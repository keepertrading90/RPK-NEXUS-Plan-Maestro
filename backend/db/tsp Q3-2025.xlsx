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l.rodriguez\MIS HERRAMIENTAS\Plan Maestro RPK NEXUS\backend\db\"/>
    </mc:Choice>
  </mc:AlternateContent>
  <xr:revisionPtr revIDLastSave="0" documentId="8_{FD9BC690-D482-4F5A-8AF4-D7B772D81B60}" xr6:coauthVersionLast="47" xr6:coauthVersionMax="47" xr10:uidLastSave="{00000000-0000-0000-0000-000000000000}"/>
  <bookViews>
    <workbookView xWindow="-108" yWindow="-108" windowWidth="23256" windowHeight="12456" xr2:uid="{AB62270A-6D29-499B-9D78-2622D05907CD}"/>
  </bookViews>
  <sheets>
    <sheet name="ARTÍCULOS" sheetId="1" r:id="rId1"/>
  </sheets>
  <externalReferences>
    <externalReference r:id="rId2"/>
  </externalReferences>
  <definedNames>
    <definedName name="_xlnm._FilterDatabase" localSheetId="0" hidden="1">ARTÍCULOS!$A$2:$AL$813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3" i="1" l="1" a="1"/>
  <c r="M813" i="1" s="1"/>
  <c r="N813" i="1" s="1"/>
  <c r="L813" i="1"/>
  <c r="K813" i="1"/>
  <c r="J813" i="1"/>
  <c r="I813" i="1"/>
  <c r="H813" i="1"/>
  <c r="G813" i="1"/>
  <c r="F813" i="1"/>
  <c r="E813" i="1"/>
  <c r="D813" i="1"/>
  <c r="C813" i="1"/>
  <c r="B813" i="1"/>
  <c r="M812" i="1" a="1"/>
  <c r="M812" i="1" s="1"/>
  <c r="N812" i="1" s="1"/>
  <c r="L812" i="1"/>
  <c r="K812" i="1"/>
  <c r="J812" i="1"/>
  <c r="I812" i="1"/>
  <c r="H812" i="1"/>
  <c r="G812" i="1"/>
  <c r="F812" i="1"/>
  <c r="E812" i="1"/>
  <c r="D812" i="1"/>
  <c r="C812" i="1"/>
  <c r="B812" i="1"/>
  <c r="T811" i="1"/>
  <c r="M811" i="1" a="1"/>
  <c r="M811" i="1" s="1"/>
  <c r="L811" i="1"/>
  <c r="K811" i="1"/>
  <c r="J811" i="1"/>
  <c r="I811" i="1"/>
  <c r="N811" i="1" s="1"/>
  <c r="H811" i="1"/>
  <c r="G811" i="1"/>
  <c r="F811" i="1"/>
  <c r="E811" i="1"/>
  <c r="D811" i="1"/>
  <c r="C811" i="1"/>
  <c r="B811" i="1"/>
  <c r="M810" i="1" a="1"/>
  <c r="M810" i="1" s="1"/>
  <c r="L810" i="1"/>
  <c r="K810" i="1"/>
  <c r="J810" i="1"/>
  <c r="I810" i="1"/>
  <c r="H810" i="1"/>
  <c r="G810" i="1"/>
  <c r="F810" i="1"/>
  <c r="E810" i="1"/>
  <c r="D810" i="1"/>
  <c r="C810" i="1"/>
  <c r="B810" i="1"/>
  <c r="M809" i="1"/>
  <c r="M809" i="1" a="1"/>
  <c r="L809" i="1"/>
  <c r="K809" i="1"/>
  <c r="J809" i="1"/>
  <c r="I809" i="1"/>
  <c r="H809" i="1"/>
  <c r="G809" i="1"/>
  <c r="F809" i="1"/>
  <c r="E809" i="1"/>
  <c r="D809" i="1"/>
  <c r="C809" i="1"/>
  <c r="N809" i="1" s="1"/>
  <c r="B809" i="1"/>
  <c r="N808" i="1"/>
  <c r="M808" i="1" a="1"/>
  <c r="M808" i="1" s="1"/>
  <c r="L808" i="1"/>
  <c r="K808" i="1"/>
  <c r="J808" i="1"/>
  <c r="I808" i="1"/>
  <c r="H808" i="1"/>
  <c r="G808" i="1"/>
  <c r="F808" i="1"/>
  <c r="E808" i="1"/>
  <c r="D808" i="1"/>
  <c r="C808" i="1"/>
  <c r="B808" i="1"/>
  <c r="M807" i="1" a="1"/>
  <c r="M807" i="1" s="1"/>
  <c r="N807" i="1" s="1"/>
  <c r="L807" i="1"/>
  <c r="K807" i="1"/>
  <c r="J807" i="1"/>
  <c r="I807" i="1"/>
  <c r="H807" i="1"/>
  <c r="G807" i="1"/>
  <c r="F807" i="1"/>
  <c r="E807" i="1"/>
  <c r="D807" i="1"/>
  <c r="C807" i="1"/>
  <c r="B807" i="1"/>
  <c r="M806" i="1"/>
  <c r="M806" i="1" a="1"/>
  <c r="L806" i="1"/>
  <c r="K806" i="1"/>
  <c r="J806" i="1"/>
  <c r="I806" i="1"/>
  <c r="H806" i="1"/>
  <c r="G806" i="1"/>
  <c r="F806" i="1"/>
  <c r="E806" i="1"/>
  <c r="D806" i="1"/>
  <c r="C806" i="1"/>
  <c r="B806" i="1"/>
  <c r="M805" i="1"/>
  <c r="M805" i="1" a="1"/>
  <c r="L805" i="1"/>
  <c r="K805" i="1"/>
  <c r="J805" i="1"/>
  <c r="I805" i="1"/>
  <c r="H805" i="1"/>
  <c r="G805" i="1"/>
  <c r="F805" i="1"/>
  <c r="E805" i="1"/>
  <c r="D805" i="1"/>
  <c r="C805" i="1"/>
  <c r="B805" i="1"/>
  <c r="M804" i="1"/>
  <c r="M804" i="1" a="1"/>
  <c r="L804" i="1"/>
  <c r="K804" i="1"/>
  <c r="J804" i="1"/>
  <c r="I804" i="1"/>
  <c r="H804" i="1"/>
  <c r="G804" i="1"/>
  <c r="F804" i="1"/>
  <c r="E804" i="1"/>
  <c r="D804" i="1"/>
  <c r="C804" i="1"/>
  <c r="B804" i="1"/>
  <c r="AC803" i="1"/>
  <c r="M803" i="1"/>
  <c r="M803" i="1" a="1"/>
  <c r="L803" i="1"/>
  <c r="K803" i="1"/>
  <c r="J803" i="1"/>
  <c r="I803" i="1"/>
  <c r="H803" i="1"/>
  <c r="G803" i="1"/>
  <c r="F803" i="1"/>
  <c r="E803" i="1"/>
  <c r="D803" i="1"/>
  <c r="C803" i="1"/>
  <c r="N803" i="1" s="1"/>
  <c r="B803" i="1"/>
  <c r="M802" i="1" a="1"/>
  <c r="M802" i="1" s="1"/>
  <c r="L802" i="1"/>
  <c r="K802" i="1"/>
  <c r="J802" i="1"/>
  <c r="I802" i="1"/>
  <c r="H802" i="1"/>
  <c r="G802" i="1"/>
  <c r="F802" i="1"/>
  <c r="E802" i="1"/>
  <c r="D802" i="1"/>
  <c r="C802" i="1"/>
  <c r="N802" i="1" s="1"/>
  <c r="B802" i="1"/>
  <c r="M801" i="1"/>
  <c r="M801" i="1" a="1"/>
  <c r="L801" i="1"/>
  <c r="K801" i="1"/>
  <c r="J801" i="1"/>
  <c r="I801" i="1"/>
  <c r="H801" i="1"/>
  <c r="G801" i="1"/>
  <c r="F801" i="1"/>
  <c r="E801" i="1"/>
  <c r="D801" i="1"/>
  <c r="C801" i="1"/>
  <c r="B801" i="1"/>
  <c r="M800" i="1"/>
  <c r="M800" i="1" a="1"/>
  <c r="L800" i="1"/>
  <c r="K800" i="1"/>
  <c r="J800" i="1"/>
  <c r="I800" i="1"/>
  <c r="H800" i="1"/>
  <c r="G800" i="1"/>
  <c r="F800" i="1"/>
  <c r="E800" i="1"/>
  <c r="D800" i="1"/>
  <c r="C800" i="1"/>
  <c r="B800" i="1"/>
  <c r="N799" i="1"/>
  <c r="M799" i="1" a="1"/>
  <c r="M799" i="1" s="1"/>
  <c r="L799" i="1"/>
  <c r="K799" i="1"/>
  <c r="J799" i="1"/>
  <c r="I799" i="1"/>
  <c r="H799" i="1"/>
  <c r="G799" i="1"/>
  <c r="F799" i="1"/>
  <c r="E799" i="1"/>
  <c r="D799" i="1"/>
  <c r="C799" i="1"/>
  <c r="B799" i="1"/>
  <c r="M798" i="1" a="1"/>
  <c r="M798" i="1" s="1"/>
  <c r="L798" i="1"/>
  <c r="K798" i="1"/>
  <c r="J798" i="1"/>
  <c r="I798" i="1"/>
  <c r="H798" i="1"/>
  <c r="G798" i="1"/>
  <c r="F798" i="1"/>
  <c r="E798" i="1"/>
  <c r="D798" i="1"/>
  <c r="C798" i="1"/>
  <c r="B798" i="1"/>
  <c r="AC797" i="1"/>
  <c r="M797" i="1" a="1"/>
  <c r="M797" i="1" s="1"/>
  <c r="N797" i="1" s="1"/>
  <c r="L797" i="1"/>
  <c r="K797" i="1"/>
  <c r="J797" i="1"/>
  <c r="I797" i="1"/>
  <c r="H797" i="1"/>
  <c r="G797" i="1"/>
  <c r="S797" i="1" s="1"/>
  <c r="F797" i="1"/>
  <c r="E797" i="1"/>
  <c r="D797" i="1"/>
  <c r="C797" i="1"/>
  <c r="B797" i="1"/>
  <c r="M796" i="1" a="1"/>
  <c r="M796" i="1" s="1"/>
  <c r="L796" i="1"/>
  <c r="K796" i="1"/>
  <c r="J796" i="1"/>
  <c r="I796" i="1"/>
  <c r="N796" i="1" s="1"/>
  <c r="H796" i="1"/>
  <c r="G796" i="1"/>
  <c r="S796" i="1" s="1"/>
  <c r="F796" i="1"/>
  <c r="E796" i="1"/>
  <c r="D796" i="1"/>
  <c r="C796" i="1"/>
  <c r="B796" i="1"/>
  <c r="M795" i="1" a="1"/>
  <c r="M795" i="1" s="1"/>
  <c r="L795" i="1"/>
  <c r="K795" i="1"/>
  <c r="J795" i="1"/>
  <c r="I795" i="1"/>
  <c r="H795" i="1"/>
  <c r="G795" i="1"/>
  <c r="F795" i="1"/>
  <c r="E795" i="1"/>
  <c r="D795" i="1"/>
  <c r="C795" i="1"/>
  <c r="B795" i="1"/>
  <c r="M794" i="1" a="1"/>
  <c r="M794" i="1" s="1"/>
  <c r="L794" i="1"/>
  <c r="K794" i="1"/>
  <c r="J794" i="1"/>
  <c r="I794" i="1"/>
  <c r="H794" i="1"/>
  <c r="G794" i="1"/>
  <c r="F794" i="1"/>
  <c r="E794" i="1"/>
  <c r="D794" i="1"/>
  <c r="C794" i="1"/>
  <c r="B794" i="1"/>
  <c r="AC793" i="1"/>
  <c r="M793" i="1"/>
  <c r="M793" i="1" a="1"/>
  <c r="L793" i="1"/>
  <c r="K793" i="1"/>
  <c r="J793" i="1"/>
  <c r="I793" i="1"/>
  <c r="H793" i="1"/>
  <c r="G793" i="1"/>
  <c r="F793" i="1"/>
  <c r="E793" i="1"/>
  <c r="D793" i="1"/>
  <c r="C793" i="1"/>
  <c r="N793" i="1" s="1"/>
  <c r="B793" i="1"/>
  <c r="M792" i="1"/>
  <c r="M792" i="1" a="1"/>
  <c r="L792" i="1"/>
  <c r="K792" i="1"/>
  <c r="J792" i="1"/>
  <c r="I792" i="1"/>
  <c r="H792" i="1"/>
  <c r="G792" i="1"/>
  <c r="F792" i="1"/>
  <c r="E792" i="1"/>
  <c r="D792" i="1"/>
  <c r="C792" i="1"/>
  <c r="N792" i="1" s="1"/>
  <c r="B792" i="1"/>
  <c r="M791" i="1" a="1"/>
  <c r="M791" i="1" s="1"/>
  <c r="L791" i="1"/>
  <c r="K791" i="1"/>
  <c r="J791" i="1"/>
  <c r="I791" i="1"/>
  <c r="H791" i="1"/>
  <c r="G791" i="1"/>
  <c r="F791" i="1"/>
  <c r="E791" i="1"/>
  <c r="D791" i="1"/>
  <c r="C791" i="1"/>
  <c r="B791" i="1"/>
  <c r="M790" i="1"/>
  <c r="M790" i="1" a="1"/>
  <c r="L790" i="1"/>
  <c r="K790" i="1"/>
  <c r="J790" i="1"/>
  <c r="I790" i="1"/>
  <c r="H790" i="1"/>
  <c r="G790" i="1"/>
  <c r="F790" i="1"/>
  <c r="E790" i="1"/>
  <c r="D790" i="1"/>
  <c r="C790" i="1"/>
  <c r="B790" i="1"/>
  <c r="M789" i="1" a="1"/>
  <c r="M789" i="1" s="1"/>
  <c r="L789" i="1"/>
  <c r="K789" i="1"/>
  <c r="J789" i="1"/>
  <c r="I789" i="1"/>
  <c r="H789" i="1"/>
  <c r="G789" i="1"/>
  <c r="F789" i="1"/>
  <c r="E789" i="1"/>
  <c r="D789" i="1"/>
  <c r="C789" i="1"/>
  <c r="B789" i="1"/>
  <c r="AD788" i="1"/>
  <c r="M788" i="1"/>
  <c r="N788" i="1" s="1"/>
  <c r="M788" i="1" a="1"/>
  <c r="L788" i="1"/>
  <c r="K788" i="1"/>
  <c r="J788" i="1"/>
  <c r="I788" i="1"/>
  <c r="H788" i="1"/>
  <c r="G788" i="1"/>
  <c r="S788" i="1" s="1"/>
  <c r="F788" i="1"/>
  <c r="T788" i="1" s="1"/>
  <c r="E788" i="1"/>
  <c r="D788" i="1"/>
  <c r="C788" i="1"/>
  <c r="B788" i="1"/>
  <c r="R787" i="1"/>
  <c r="N787" i="1"/>
  <c r="M787" i="1" a="1"/>
  <c r="M787" i="1" s="1"/>
  <c r="L787" i="1"/>
  <c r="K787" i="1"/>
  <c r="J787" i="1"/>
  <c r="I787" i="1"/>
  <c r="H787" i="1"/>
  <c r="G787" i="1"/>
  <c r="F787" i="1"/>
  <c r="E787" i="1"/>
  <c r="D787" i="1"/>
  <c r="C787" i="1"/>
  <c r="B787" i="1"/>
  <c r="M786" i="1"/>
  <c r="M786" i="1" a="1"/>
  <c r="L786" i="1"/>
  <c r="K786" i="1"/>
  <c r="J786" i="1"/>
  <c r="I786" i="1"/>
  <c r="H786" i="1"/>
  <c r="G786" i="1"/>
  <c r="F786" i="1"/>
  <c r="E786" i="1"/>
  <c r="D786" i="1"/>
  <c r="C786" i="1"/>
  <c r="B786" i="1"/>
  <c r="M785" i="1" a="1"/>
  <c r="M785" i="1" s="1"/>
  <c r="L785" i="1"/>
  <c r="K785" i="1"/>
  <c r="J785" i="1"/>
  <c r="I785" i="1"/>
  <c r="H785" i="1"/>
  <c r="G785" i="1"/>
  <c r="F785" i="1"/>
  <c r="E785" i="1"/>
  <c r="D785" i="1"/>
  <c r="C785" i="1"/>
  <c r="B785" i="1"/>
  <c r="M784" i="1" a="1"/>
  <c r="M784" i="1" s="1"/>
  <c r="L784" i="1"/>
  <c r="K784" i="1"/>
  <c r="J784" i="1"/>
  <c r="I784" i="1"/>
  <c r="H784" i="1"/>
  <c r="G784" i="1"/>
  <c r="F784" i="1"/>
  <c r="E784" i="1"/>
  <c r="D784" i="1"/>
  <c r="C784" i="1"/>
  <c r="B784" i="1"/>
  <c r="AC783" i="1"/>
  <c r="Q783" i="1"/>
  <c r="M783" i="1" a="1"/>
  <c r="M783" i="1" s="1"/>
  <c r="N783" i="1" s="1"/>
  <c r="L783" i="1"/>
  <c r="K783" i="1"/>
  <c r="J783" i="1"/>
  <c r="I783" i="1"/>
  <c r="H783" i="1"/>
  <c r="G783" i="1"/>
  <c r="F783" i="1"/>
  <c r="E783" i="1"/>
  <c r="D783" i="1"/>
  <c r="C783" i="1"/>
  <c r="B783" i="1"/>
  <c r="M782" i="1"/>
  <c r="M782" i="1" a="1"/>
  <c r="L782" i="1"/>
  <c r="K782" i="1"/>
  <c r="J782" i="1"/>
  <c r="I782" i="1"/>
  <c r="H782" i="1"/>
  <c r="G782" i="1"/>
  <c r="F782" i="1"/>
  <c r="E782" i="1"/>
  <c r="D782" i="1"/>
  <c r="C782" i="1"/>
  <c r="B782" i="1"/>
  <c r="M781" i="1"/>
  <c r="N781" i="1" s="1"/>
  <c r="M781" i="1" a="1"/>
  <c r="L781" i="1"/>
  <c r="K781" i="1"/>
  <c r="J781" i="1"/>
  <c r="I781" i="1"/>
  <c r="H781" i="1"/>
  <c r="G781" i="1"/>
  <c r="S781" i="1" s="1"/>
  <c r="F781" i="1"/>
  <c r="E781" i="1"/>
  <c r="D781" i="1"/>
  <c r="C781" i="1"/>
  <c r="B781" i="1"/>
  <c r="T780" i="1"/>
  <c r="M780" i="1"/>
  <c r="M780" i="1" a="1"/>
  <c r="L780" i="1"/>
  <c r="K780" i="1"/>
  <c r="J780" i="1"/>
  <c r="I780" i="1"/>
  <c r="H780" i="1"/>
  <c r="G780" i="1"/>
  <c r="S780" i="1" s="1"/>
  <c r="F780" i="1"/>
  <c r="E780" i="1"/>
  <c r="D780" i="1"/>
  <c r="C780" i="1"/>
  <c r="N780" i="1" s="1"/>
  <c r="B780" i="1"/>
  <c r="M779" i="1" a="1"/>
  <c r="M779" i="1" s="1"/>
  <c r="L779" i="1"/>
  <c r="K779" i="1"/>
  <c r="J779" i="1"/>
  <c r="I779" i="1"/>
  <c r="N779" i="1" s="1"/>
  <c r="H779" i="1"/>
  <c r="G779" i="1"/>
  <c r="F779" i="1"/>
  <c r="E779" i="1"/>
  <c r="D779" i="1"/>
  <c r="C779" i="1"/>
  <c r="B779" i="1"/>
  <c r="M778" i="1"/>
  <c r="M778" i="1" a="1"/>
  <c r="L778" i="1"/>
  <c r="K778" i="1"/>
  <c r="J778" i="1"/>
  <c r="I778" i="1"/>
  <c r="H778" i="1"/>
  <c r="G778" i="1"/>
  <c r="F778" i="1"/>
  <c r="E778" i="1"/>
  <c r="D778" i="1"/>
  <c r="C778" i="1"/>
  <c r="N778" i="1" s="1"/>
  <c r="B778" i="1"/>
  <c r="M777" i="1"/>
  <c r="M777" i="1" a="1"/>
  <c r="L777" i="1"/>
  <c r="K777" i="1"/>
  <c r="J777" i="1"/>
  <c r="I777" i="1"/>
  <c r="H777" i="1"/>
  <c r="G777" i="1"/>
  <c r="F777" i="1"/>
  <c r="E777" i="1"/>
  <c r="D777" i="1"/>
  <c r="C777" i="1"/>
  <c r="B777" i="1"/>
  <c r="M776" i="1"/>
  <c r="N776" i="1" s="1"/>
  <c r="M776" i="1" a="1"/>
  <c r="L776" i="1"/>
  <c r="K776" i="1"/>
  <c r="J776" i="1"/>
  <c r="I776" i="1"/>
  <c r="H776" i="1"/>
  <c r="G776" i="1"/>
  <c r="F776" i="1"/>
  <c r="T776" i="1" s="1"/>
  <c r="E776" i="1"/>
  <c r="D776" i="1"/>
  <c r="C776" i="1"/>
  <c r="B776" i="1"/>
  <c r="M775" i="1" a="1"/>
  <c r="M775" i="1" s="1"/>
  <c r="L775" i="1"/>
  <c r="K775" i="1"/>
  <c r="J775" i="1"/>
  <c r="I775" i="1"/>
  <c r="H775" i="1"/>
  <c r="G775" i="1"/>
  <c r="F775" i="1"/>
  <c r="E775" i="1"/>
  <c r="D775" i="1"/>
  <c r="C775" i="1"/>
  <c r="B775" i="1"/>
  <c r="M774" i="1"/>
  <c r="M774" i="1" a="1"/>
  <c r="L774" i="1"/>
  <c r="K774" i="1"/>
  <c r="J774" i="1"/>
  <c r="I774" i="1"/>
  <c r="H774" i="1"/>
  <c r="G774" i="1"/>
  <c r="F774" i="1"/>
  <c r="E774" i="1"/>
  <c r="D774" i="1"/>
  <c r="C774" i="1"/>
  <c r="B774" i="1"/>
  <c r="M773" i="1"/>
  <c r="M773" i="1" a="1"/>
  <c r="L773" i="1"/>
  <c r="K773" i="1"/>
  <c r="J773" i="1"/>
  <c r="I773" i="1"/>
  <c r="H773" i="1"/>
  <c r="G773" i="1"/>
  <c r="F773" i="1"/>
  <c r="E773" i="1"/>
  <c r="D773" i="1"/>
  <c r="C773" i="1"/>
  <c r="B773" i="1"/>
  <c r="M772" i="1"/>
  <c r="M772" i="1" a="1"/>
  <c r="L772" i="1"/>
  <c r="K772" i="1"/>
  <c r="J772" i="1"/>
  <c r="I772" i="1"/>
  <c r="N772" i="1" s="1"/>
  <c r="H772" i="1"/>
  <c r="G772" i="1"/>
  <c r="F772" i="1"/>
  <c r="E772" i="1"/>
  <c r="D772" i="1"/>
  <c r="C772" i="1"/>
  <c r="B772" i="1"/>
  <c r="AC771" i="1"/>
  <c r="Q771" i="1"/>
  <c r="M771" i="1"/>
  <c r="N771" i="1" s="1"/>
  <c r="AD771" i="1" s="1"/>
  <c r="M771" i="1" a="1"/>
  <c r="L771" i="1"/>
  <c r="K771" i="1"/>
  <c r="J771" i="1"/>
  <c r="I771" i="1"/>
  <c r="H771" i="1"/>
  <c r="G771" i="1"/>
  <c r="S771" i="1" s="1"/>
  <c r="F771" i="1"/>
  <c r="E771" i="1"/>
  <c r="D771" i="1"/>
  <c r="C771" i="1"/>
  <c r="B771" i="1"/>
  <c r="M770" i="1" a="1"/>
  <c r="M770" i="1" s="1"/>
  <c r="L770" i="1"/>
  <c r="K770" i="1"/>
  <c r="J770" i="1"/>
  <c r="I770" i="1"/>
  <c r="N770" i="1" s="1"/>
  <c r="H770" i="1"/>
  <c r="G770" i="1"/>
  <c r="F770" i="1"/>
  <c r="E770" i="1"/>
  <c r="D770" i="1"/>
  <c r="C770" i="1"/>
  <c r="B770" i="1"/>
  <c r="M769" i="1"/>
  <c r="M769" i="1" a="1"/>
  <c r="L769" i="1"/>
  <c r="K769" i="1"/>
  <c r="J769" i="1"/>
  <c r="I769" i="1"/>
  <c r="H769" i="1"/>
  <c r="G769" i="1"/>
  <c r="F769" i="1"/>
  <c r="E769" i="1"/>
  <c r="D769" i="1"/>
  <c r="C769" i="1"/>
  <c r="B769" i="1"/>
  <c r="M768" i="1"/>
  <c r="M768" i="1" a="1"/>
  <c r="L768" i="1"/>
  <c r="K768" i="1"/>
  <c r="J768" i="1"/>
  <c r="I768" i="1"/>
  <c r="N768" i="1" s="1"/>
  <c r="H768" i="1"/>
  <c r="G768" i="1"/>
  <c r="F768" i="1"/>
  <c r="E768" i="1"/>
  <c r="D768" i="1"/>
  <c r="C768" i="1"/>
  <c r="B768" i="1"/>
  <c r="M767" i="1"/>
  <c r="M767" i="1" a="1"/>
  <c r="L767" i="1"/>
  <c r="K767" i="1"/>
  <c r="J767" i="1"/>
  <c r="I767" i="1"/>
  <c r="H767" i="1"/>
  <c r="G767" i="1"/>
  <c r="F767" i="1"/>
  <c r="E767" i="1"/>
  <c r="D767" i="1"/>
  <c r="C767" i="1"/>
  <c r="N767" i="1" s="1"/>
  <c r="B767" i="1"/>
  <c r="M766" i="1"/>
  <c r="N766" i="1" s="1"/>
  <c r="M766" i="1" a="1"/>
  <c r="L766" i="1"/>
  <c r="K766" i="1"/>
  <c r="J766" i="1"/>
  <c r="I766" i="1"/>
  <c r="H766" i="1"/>
  <c r="G766" i="1"/>
  <c r="F766" i="1"/>
  <c r="E766" i="1"/>
  <c r="D766" i="1"/>
  <c r="C766" i="1"/>
  <c r="B766" i="1"/>
  <c r="M765" i="1" a="1"/>
  <c r="M765" i="1" s="1"/>
  <c r="L765" i="1"/>
  <c r="K765" i="1"/>
  <c r="J765" i="1"/>
  <c r="I765" i="1"/>
  <c r="H765" i="1"/>
  <c r="G765" i="1"/>
  <c r="F765" i="1"/>
  <c r="E765" i="1"/>
  <c r="D765" i="1"/>
  <c r="C765" i="1"/>
  <c r="B765" i="1"/>
  <c r="M764" i="1" a="1"/>
  <c r="M764" i="1" s="1"/>
  <c r="L764" i="1"/>
  <c r="K764" i="1"/>
  <c r="J764" i="1"/>
  <c r="I764" i="1"/>
  <c r="H764" i="1"/>
  <c r="G764" i="1"/>
  <c r="F764" i="1"/>
  <c r="E764" i="1"/>
  <c r="N764" i="1" s="1"/>
  <c r="D764" i="1"/>
  <c r="C764" i="1"/>
  <c r="B764" i="1"/>
  <c r="M763" i="1" a="1"/>
  <c r="M763" i="1" s="1"/>
  <c r="N763" i="1" s="1"/>
  <c r="L763" i="1"/>
  <c r="K763" i="1"/>
  <c r="J763" i="1"/>
  <c r="I763" i="1"/>
  <c r="H763" i="1"/>
  <c r="G763" i="1"/>
  <c r="F763" i="1"/>
  <c r="E763" i="1"/>
  <c r="D763" i="1"/>
  <c r="C763" i="1"/>
  <c r="B763" i="1"/>
  <c r="M762" i="1"/>
  <c r="N762" i="1" s="1"/>
  <c r="M762" i="1" a="1"/>
  <c r="L762" i="1"/>
  <c r="K762" i="1"/>
  <c r="J762" i="1"/>
  <c r="I762" i="1"/>
  <c r="H762" i="1"/>
  <c r="G762" i="1"/>
  <c r="F762" i="1"/>
  <c r="E762" i="1"/>
  <c r="D762" i="1"/>
  <c r="C762" i="1"/>
  <c r="B762" i="1"/>
  <c r="Q761" i="1"/>
  <c r="M761" i="1" a="1"/>
  <c r="M761" i="1" s="1"/>
  <c r="L761" i="1"/>
  <c r="K761" i="1"/>
  <c r="J761" i="1"/>
  <c r="I761" i="1"/>
  <c r="H761" i="1"/>
  <c r="G761" i="1"/>
  <c r="F761" i="1"/>
  <c r="E761" i="1"/>
  <c r="D761" i="1"/>
  <c r="C761" i="1"/>
  <c r="N761" i="1" s="1"/>
  <c r="B761" i="1"/>
  <c r="M760" i="1" a="1"/>
  <c r="M760" i="1" s="1"/>
  <c r="N760" i="1" s="1"/>
  <c r="L760" i="1"/>
  <c r="K760" i="1"/>
  <c r="J760" i="1"/>
  <c r="I760" i="1"/>
  <c r="H760" i="1"/>
  <c r="G760" i="1"/>
  <c r="F760" i="1"/>
  <c r="E760" i="1"/>
  <c r="D760" i="1"/>
  <c r="C760" i="1"/>
  <c r="B760" i="1"/>
  <c r="T759" i="1"/>
  <c r="M759" i="1" a="1"/>
  <c r="M759" i="1" s="1"/>
  <c r="L759" i="1"/>
  <c r="K759" i="1"/>
  <c r="J759" i="1"/>
  <c r="I759" i="1"/>
  <c r="N759" i="1" s="1"/>
  <c r="H759" i="1"/>
  <c r="G759" i="1"/>
  <c r="F759" i="1"/>
  <c r="E759" i="1"/>
  <c r="D759" i="1"/>
  <c r="C759" i="1"/>
  <c r="B759" i="1"/>
  <c r="AD758" i="1"/>
  <c r="S758" i="1"/>
  <c r="M758" i="1"/>
  <c r="M758" i="1" a="1"/>
  <c r="L758" i="1"/>
  <c r="K758" i="1"/>
  <c r="J758" i="1"/>
  <c r="I758" i="1"/>
  <c r="N758" i="1" s="1"/>
  <c r="Q758" i="1" s="1"/>
  <c r="H758" i="1"/>
  <c r="G758" i="1"/>
  <c r="F758" i="1"/>
  <c r="E758" i="1"/>
  <c r="D758" i="1"/>
  <c r="C758" i="1"/>
  <c r="B758" i="1"/>
  <c r="M757" i="1"/>
  <c r="M757" i="1" a="1"/>
  <c r="L757" i="1"/>
  <c r="K757" i="1"/>
  <c r="J757" i="1"/>
  <c r="I757" i="1"/>
  <c r="N757" i="1" s="1"/>
  <c r="H757" i="1"/>
  <c r="G757" i="1"/>
  <c r="F757" i="1"/>
  <c r="E757" i="1"/>
  <c r="D757" i="1"/>
  <c r="C757" i="1"/>
  <c r="B757" i="1"/>
  <c r="M756" i="1"/>
  <c r="M756" i="1" a="1"/>
  <c r="L756" i="1"/>
  <c r="K756" i="1"/>
  <c r="J756" i="1"/>
  <c r="I756" i="1"/>
  <c r="H756" i="1"/>
  <c r="G756" i="1"/>
  <c r="F756" i="1"/>
  <c r="E756" i="1"/>
  <c r="D756" i="1"/>
  <c r="C756" i="1"/>
  <c r="B756" i="1"/>
  <c r="M755" i="1" a="1"/>
  <c r="M755" i="1" s="1"/>
  <c r="L755" i="1"/>
  <c r="K755" i="1"/>
  <c r="J755" i="1"/>
  <c r="I755" i="1"/>
  <c r="H755" i="1"/>
  <c r="G755" i="1"/>
  <c r="F755" i="1"/>
  <c r="E755" i="1"/>
  <c r="D755" i="1"/>
  <c r="C755" i="1"/>
  <c r="B755" i="1"/>
  <c r="M754" i="1"/>
  <c r="M754" i="1" a="1"/>
  <c r="L754" i="1"/>
  <c r="K754" i="1"/>
  <c r="J754" i="1"/>
  <c r="I754" i="1"/>
  <c r="H754" i="1"/>
  <c r="G754" i="1"/>
  <c r="F754" i="1"/>
  <c r="E754" i="1"/>
  <c r="D754" i="1"/>
  <c r="C754" i="1"/>
  <c r="B754" i="1"/>
  <c r="M753" i="1" a="1"/>
  <c r="M753" i="1" s="1"/>
  <c r="L753" i="1"/>
  <c r="K753" i="1"/>
  <c r="J753" i="1"/>
  <c r="I753" i="1"/>
  <c r="H753" i="1"/>
  <c r="G753" i="1"/>
  <c r="F753" i="1"/>
  <c r="E753" i="1"/>
  <c r="D753" i="1"/>
  <c r="C753" i="1"/>
  <c r="B753" i="1"/>
  <c r="S752" i="1"/>
  <c r="M752" i="1"/>
  <c r="M752" i="1" a="1"/>
  <c r="L752" i="1"/>
  <c r="K752" i="1"/>
  <c r="J752" i="1"/>
  <c r="I752" i="1"/>
  <c r="N752" i="1" s="1"/>
  <c r="H752" i="1"/>
  <c r="G752" i="1"/>
  <c r="F752" i="1"/>
  <c r="E752" i="1"/>
  <c r="D752" i="1"/>
  <c r="C752" i="1"/>
  <c r="B752" i="1"/>
  <c r="R751" i="1"/>
  <c r="M751" i="1" a="1"/>
  <c r="M751" i="1" s="1"/>
  <c r="N751" i="1" s="1"/>
  <c r="L751" i="1"/>
  <c r="K751" i="1"/>
  <c r="J751" i="1"/>
  <c r="I751" i="1"/>
  <c r="H751" i="1"/>
  <c r="G751" i="1"/>
  <c r="F751" i="1"/>
  <c r="E751" i="1"/>
  <c r="D751" i="1"/>
  <c r="C751" i="1"/>
  <c r="B751" i="1"/>
  <c r="M750" i="1" a="1"/>
  <c r="M750" i="1" s="1"/>
  <c r="L750" i="1"/>
  <c r="K750" i="1"/>
  <c r="J750" i="1"/>
  <c r="I750" i="1"/>
  <c r="H750" i="1"/>
  <c r="G750" i="1"/>
  <c r="F750" i="1"/>
  <c r="E750" i="1"/>
  <c r="D750" i="1"/>
  <c r="C750" i="1"/>
  <c r="B750" i="1"/>
  <c r="M749" i="1"/>
  <c r="M749" i="1" a="1"/>
  <c r="L749" i="1"/>
  <c r="K749" i="1"/>
  <c r="J749" i="1"/>
  <c r="I749" i="1"/>
  <c r="H749" i="1"/>
  <c r="G749" i="1"/>
  <c r="F749" i="1"/>
  <c r="E749" i="1"/>
  <c r="D749" i="1"/>
  <c r="C749" i="1"/>
  <c r="B749" i="1"/>
  <c r="N748" i="1"/>
  <c r="M748" i="1" a="1"/>
  <c r="M748" i="1" s="1"/>
  <c r="L748" i="1"/>
  <c r="K748" i="1"/>
  <c r="J748" i="1"/>
  <c r="I748" i="1"/>
  <c r="H748" i="1"/>
  <c r="G748" i="1"/>
  <c r="F748" i="1"/>
  <c r="E748" i="1"/>
  <c r="D748" i="1"/>
  <c r="C748" i="1"/>
  <c r="B748" i="1"/>
  <c r="M747" i="1" a="1"/>
  <c r="M747" i="1" s="1"/>
  <c r="N747" i="1" s="1"/>
  <c r="L747" i="1"/>
  <c r="K747" i="1"/>
  <c r="J747" i="1"/>
  <c r="I747" i="1"/>
  <c r="H747" i="1"/>
  <c r="G747" i="1"/>
  <c r="F747" i="1"/>
  <c r="E747" i="1"/>
  <c r="D747" i="1"/>
  <c r="C747" i="1"/>
  <c r="B747" i="1"/>
  <c r="M746" i="1"/>
  <c r="M746" i="1" a="1"/>
  <c r="L746" i="1"/>
  <c r="K746" i="1"/>
  <c r="J746" i="1"/>
  <c r="I746" i="1"/>
  <c r="H746" i="1"/>
  <c r="G746" i="1"/>
  <c r="F746" i="1"/>
  <c r="E746" i="1"/>
  <c r="D746" i="1"/>
  <c r="C746" i="1"/>
  <c r="B746" i="1"/>
  <c r="M745" i="1"/>
  <c r="M745" i="1" a="1"/>
  <c r="L745" i="1"/>
  <c r="K745" i="1"/>
  <c r="J745" i="1"/>
  <c r="I745" i="1"/>
  <c r="H745" i="1"/>
  <c r="G745" i="1"/>
  <c r="F745" i="1"/>
  <c r="E745" i="1"/>
  <c r="D745" i="1"/>
  <c r="C745" i="1"/>
  <c r="B745" i="1"/>
  <c r="S744" i="1"/>
  <c r="M744" i="1" a="1"/>
  <c r="M744" i="1" s="1"/>
  <c r="N744" i="1" s="1"/>
  <c r="L744" i="1"/>
  <c r="K744" i="1"/>
  <c r="J744" i="1"/>
  <c r="I744" i="1"/>
  <c r="H744" i="1"/>
  <c r="G744" i="1"/>
  <c r="F744" i="1"/>
  <c r="E744" i="1"/>
  <c r="D744" i="1"/>
  <c r="C744" i="1"/>
  <c r="B744" i="1"/>
  <c r="M743" i="1"/>
  <c r="M743" i="1" a="1"/>
  <c r="L743" i="1"/>
  <c r="K743" i="1"/>
  <c r="J743" i="1"/>
  <c r="I743" i="1"/>
  <c r="H743" i="1"/>
  <c r="G743" i="1"/>
  <c r="F743" i="1"/>
  <c r="E743" i="1"/>
  <c r="D743" i="1"/>
  <c r="C743" i="1"/>
  <c r="B743" i="1"/>
  <c r="M742" i="1" a="1"/>
  <c r="M742" i="1" s="1"/>
  <c r="L742" i="1"/>
  <c r="K742" i="1"/>
  <c r="J742" i="1"/>
  <c r="I742" i="1"/>
  <c r="N742" i="1" s="1"/>
  <c r="H742" i="1"/>
  <c r="G742" i="1"/>
  <c r="F742" i="1"/>
  <c r="E742" i="1"/>
  <c r="D742" i="1"/>
  <c r="C742" i="1"/>
  <c r="B742" i="1"/>
  <c r="Q741" i="1"/>
  <c r="M741" i="1" a="1"/>
  <c r="M741" i="1" s="1"/>
  <c r="L741" i="1"/>
  <c r="K741" i="1"/>
  <c r="J741" i="1"/>
  <c r="I741" i="1"/>
  <c r="H741" i="1"/>
  <c r="G741" i="1"/>
  <c r="F741" i="1"/>
  <c r="E741" i="1"/>
  <c r="D741" i="1"/>
  <c r="C741" i="1"/>
  <c r="N741" i="1" s="1"/>
  <c r="B741" i="1"/>
  <c r="M740" i="1"/>
  <c r="M740" i="1" a="1"/>
  <c r="L740" i="1"/>
  <c r="K740" i="1"/>
  <c r="J740" i="1"/>
  <c r="I740" i="1"/>
  <c r="N740" i="1" s="1"/>
  <c r="H740" i="1"/>
  <c r="G740" i="1"/>
  <c r="F740" i="1"/>
  <c r="E740" i="1"/>
  <c r="D740" i="1"/>
  <c r="C740" i="1"/>
  <c r="B740" i="1"/>
  <c r="AC739" i="1"/>
  <c r="M739" i="1"/>
  <c r="N739" i="1" s="1"/>
  <c r="Q739" i="1" s="1"/>
  <c r="M739" i="1" a="1"/>
  <c r="L739" i="1"/>
  <c r="K739" i="1"/>
  <c r="J739" i="1"/>
  <c r="I739" i="1"/>
  <c r="H739" i="1"/>
  <c r="G739" i="1"/>
  <c r="S739" i="1" s="1"/>
  <c r="F739" i="1"/>
  <c r="E739" i="1"/>
  <c r="D739" i="1"/>
  <c r="C739" i="1"/>
  <c r="B739" i="1"/>
  <c r="S738" i="1"/>
  <c r="M738" i="1" a="1"/>
  <c r="M738" i="1" s="1"/>
  <c r="L738" i="1"/>
  <c r="K738" i="1"/>
  <c r="J738" i="1"/>
  <c r="I738" i="1"/>
  <c r="N738" i="1" s="1"/>
  <c r="H738" i="1"/>
  <c r="G738" i="1"/>
  <c r="F738" i="1"/>
  <c r="E738" i="1"/>
  <c r="D738" i="1"/>
  <c r="C738" i="1"/>
  <c r="B738" i="1"/>
  <c r="AD737" i="1"/>
  <c r="M737" i="1" a="1"/>
  <c r="M737" i="1" s="1"/>
  <c r="L737" i="1"/>
  <c r="K737" i="1"/>
  <c r="J737" i="1"/>
  <c r="I737" i="1"/>
  <c r="N737" i="1" s="1"/>
  <c r="H737" i="1"/>
  <c r="G737" i="1"/>
  <c r="F737" i="1"/>
  <c r="E737" i="1"/>
  <c r="D737" i="1"/>
  <c r="C737" i="1"/>
  <c r="B737" i="1"/>
  <c r="M736" i="1" a="1"/>
  <c r="M736" i="1" s="1"/>
  <c r="L736" i="1"/>
  <c r="K736" i="1"/>
  <c r="J736" i="1"/>
  <c r="I736" i="1"/>
  <c r="H736" i="1"/>
  <c r="G736" i="1"/>
  <c r="F736" i="1"/>
  <c r="E736" i="1"/>
  <c r="D736" i="1"/>
  <c r="C736" i="1"/>
  <c r="B736" i="1"/>
  <c r="M735" i="1"/>
  <c r="M735" i="1" a="1"/>
  <c r="L735" i="1"/>
  <c r="K735" i="1"/>
  <c r="J735" i="1"/>
  <c r="I735" i="1"/>
  <c r="H735" i="1"/>
  <c r="G735" i="1"/>
  <c r="F735" i="1"/>
  <c r="E735" i="1"/>
  <c r="D735" i="1"/>
  <c r="C735" i="1"/>
  <c r="N735" i="1" s="1"/>
  <c r="B735" i="1"/>
  <c r="M734" i="1"/>
  <c r="M734" i="1" a="1"/>
  <c r="L734" i="1"/>
  <c r="K734" i="1"/>
  <c r="J734" i="1"/>
  <c r="I734" i="1"/>
  <c r="H734" i="1"/>
  <c r="G734" i="1"/>
  <c r="F734" i="1"/>
  <c r="E734" i="1"/>
  <c r="D734" i="1"/>
  <c r="C734" i="1"/>
  <c r="B734" i="1"/>
  <c r="M733" i="1" a="1"/>
  <c r="M733" i="1" s="1"/>
  <c r="L733" i="1"/>
  <c r="K733" i="1"/>
  <c r="J733" i="1"/>
  <c r="I733" i="1"/>
  <c r="H733" i="1"/>
  <c r="G733" i="1"/>
  <c r="F733" i="1"/>
  <c r="E733" i="1"/>
  <c r="D733" i="1"/>
  <c r="C733" i="1"/>
  <c r="B733" i="1"/>
  <c r="M732" i="1" a="1"/>
  <c r="M732" i="1" s="1"/>
  <c r="L732" i="1"/>
  <c r="K732" i="1"/>
  <c r="J732" i="1"/>
  <c r="I732" i="1"/>
  <c r="N732" i="1" s="1"/>
  <c r="H732" i="1"/>
  <c r="G732" i="1"/>
  <c r="S732" i="1" s="1"/>
  <c r="F732" i="1"/>
  <c r="E732" i="1"/>
  <c r="D732" i="1"/>
  <c r="C732" i="1"/>
  <c r="B732" i="1"/>
  <c r="AD731" i="1"/>
  <c r="S731" i="1"/>
  <c r="M731" i="1"/>
  <c r="M731" i="1" a="1"/>
  <c r="L731" i="1"/>
  <c r="K731" i="1"/>
  <c r="J731" i="1"/>
  <c r="I731" i="1"/>
  <c r="N731" i="1" s="1"/>
  <c r="H731" i="1"/>
  <c r="G731" i="1"/>
  <c r="F731" i="1"/>
  <c r="E731" i="1"/>
  <c r="D731" i="1"/>
  <c r="C731" i="1"/>
  <c r="B731" i="1"/>
  <c r="M730" i="1"/>
  <c r="M730" i="1" a="1"/>
  <c r="L730" i="1"/>
  <c r="K730" i="1"/>
  <c r="J730" i="1"/>
  <c r="I730" i="1"/>
  <c r="H730" i="1"/>
  <c r="G730" i="1"/>
  <c r="F730" i="1"/>
  <c r="E730" i="1"/>
  <c r="D730" i="1"/>
  <c r="C730" i="1"/>
  <c r="B730" i="1"/>
  <c r="M729" i="1"/>
  <c r="M729" i="1" a="1"/>
  <c r="L729" i="1"/>
  <c r="K729" i="1"/>
  <c r="J729" i="1"/>
  <c r="I729" i="1"/>
  <c r="H729" i="1"/>
  <c r="G729" i="1"/>
  <c r="F729" i="1"/>
  <c r="E729" i="1"/>
  <c r="D729" i="1"/>
  <c r="C729" i="1"/>
  <c r="B729" i="1"/>
  <c r="M728" i="1"/>
  <c r="N728" i="1" s="1"/>
  <c r="M728" i="1" a="1"/>
  <c r="L728" i="1"/>
  <c r="K728" i="1"/>
  <c r="J728" i="1"/>
  <c r="I728" i="1"/>
  <c r="H728" i="1"/>
  <c r="G728" i="1"/>
  <c r="S728" i="1" s="1"/>
  <c r="F728" i="1"/>
  <c r="E728" i="1"/>
  <c r="D728" i="1"/>
  <c r="C728" i="1"/>
  <c r="B728" i="1"/>
  <c r="M727" i="1"/>
  <c r="N727" i="1" s="1"/>
  <c r="M727" i="1" a="1"/>
  <c r="L727" i="1"/>
  <c r="K727" i="1"/>
  <c r="J727" i="1"/>
  <c r="I727" i="1"/>
  <c r="H727" i="1"/>
  <c r="G727" i="1"/>
  <c r="F727" i="1"/>
  <c r="E727" i="1"/>
  <c r="D727" i="1"/>
  <c r="C727" i="1"/>
  <c r="B727" i="1"/>
  <c r="M726" i="1" a="1"/>
  <c r="M726" i="1" s="1"/>
  <c r="L726" i="1"/>
  <c r="K726" i="1"/>
  <c r="J726" i="1"/>
  <c r="I726" i="1"/>
  <c r="H726" i="1"/>
  <c r="G726" i="1"/>
  <c r="F726" i="1"/>
  <c r="E726" i="1"/>
  <c r="D726" i="1"/>
  <c r="C726" i="1"/>
  <c r="B726" i="1"/>
  <c r="M725" i="1" a="1"/>
  <c r="M725" i="1" s="1"/>
  <c r="L725" i="1"/>
  <c r="K725" i="1"/>
  <c r="J725" i="1"/>
  <c r="I725" i="1"/>
  <c r="H725" i="1"/>
  <c r="G725" i="1"/>
  <c r="F725" i="1"/>
  <c r="E725" i="1"/>
  <c r="D725" i="1"/>
  <c r="C725" i="1"/>
  <c r="B725" i="1"/>
  <c r="M724" i="1"/>
  <c r="M724" i="1" a="1"/>
  <c r="L724" i="1"/>
  <c r="K724" i="1"/>
  <c r="J724" i="1"/>
  <c r="I724" i="1"/>
  <c r="H724" i="1"/>
  <c r="G724" i="1"/>
  <c r="F724" i="1"/>
  <c r="E724" i="1"/>
  <c r="D724" i="1"/>
  <c r="C724" i="1"/>
  <c r="B724" i="1"/>
  <c r="M723" i="1" a="1"/>
  <c r="M723" i="1" s="1"/>
  <c r="L723" i="1"/>
  <c r="K723" i="1"/>
  <c r="J723" i="1"/>
  <c r="I723" i="1"/>
  <c r="H723" i="1"/>
  <c r="G723" i="1"/>
  <c r="F723" i="1"/>
  <c r="E723" i="1"/>
  <c r="D723" i="1"/>
  <c r="C723" i="1"/>
  <c r="B723" i="1"/>
  <c r="AD722" i="1"/>
  <c r="M722" i="1" a="1"/>
  <c r="M722" i="1" s="1"/>
  <c r="L722" i="1"/>
  <c r="K722" i="1"/>
  <c r="J722" i="1"/>
  <c r="I722" i="1"/>
  <c r="N722" i="1" s="1"/>
  <c r="H722" i="1"/>
  <c r="G722" i="1"/>
  <c r="F722" i="1"/>
  <c r="E722" i="1"/>
  <c r="D722" i="1"/>
  <c r="C722" i="1"/>
  <c r="B722" i="1"/>
  <c r="M721" i="1"/>
  <c r="M721" i="1" a="1"/>
  <c r="L721" i="1"/>
  <c r="K721" i="1"/>
  <c r="J721" i="1"/>
  <c r="I721" i="1"/>
  <c r="H721" i="1"/>
  <c r="G721" i="1"/>
  <c r="F721" i="1"/>
  <c r="E721" i="1"/>
  <c r="D721" i="1"/>
  <c r="C721" i="1"/>
  <c r="B721" i="1"/>
  <c r="M720" i="1"/>
  <c r="M720" i="1" a="1"/>
  <c r="L720" i="1"/>
  <c r="K720" i="1"/>
  <c r="J720" i="1"/>
  <c r="I720" i="1"/>
  <c r="H720" i="1"/>
  <c r="G720" i="1"/>
  <c r="F720" i="1"/>
  <c r="E720" i="1"/>
  <c r="D720" i="1"/>
  <c r="C720" i="1"/>
  <c r="B720" i="1"/>
  <c r="M719" i="1"/>
  <c r="M719" i="1" a="1"/>
  <c r="L719" i="1"/>
  <c r="K719" i="1"/>
  <c r="J719" i="1"/>
  <c r="I719" i="1"/>
  <c r="N719" i="1" s="1"/>
  <c r="H719" i="1"/>
  <c r="G719" i="1"/>
  <c r="F719" i="1"/>
  <c r="E719" i="1"/>
  <c r="D719" i="1"/>
  <c r="C719" i="1"/>
  <c r="B719" i="1"/>
  <c r="M718" i="1"/>
  <c r="M718" i="1" a="1"/>
  <c r="L718" i="1"/>
  <c r="K718" i="1"/>
  <c r="J718" i="1"/>
  <c r="I718" i="1"/>
  <c r="H718" i="1"/>
  <c r="G718" i="1"/>
  <c r="F718" i="1"/>
  <c r="E718" i="1"/>
  <c r="D718" i="1"/>
  <c r="C718" i="1"/>
  <c r="B718" i="1"/>
  <c r="Q717" i="1"/>
  <c r="M717" i="1" a="1"/>
  <c r="M717" i="1" s="1"/>
  <c r="L717" i="1"/>
  <c r="K717" i="1"/>
  <c r="J717" i="1"/>
  <c r="I717" i="1"/>
  <c r="H717" i="1"/>
  <c r="G717" i="1"/>
  <c r="F717" i="1"/>
  <c r="E717" i="1"/>
  <c r="D717" i="1"/>
  <c r="C717" i="1"/>
  <c r="N717" i="1" s="1"/>
  <c r="B717" i="1"/>
  <c r="M716" i="1"/>
  <c r="M716" i="1" a="1"/>
  <c r="L716" i="1"/>
  <c r="K716" i="1"/>
  <c r="J716" i="1"/>
  <c r="I716" i="1"/>
  <c r="H716" i="1"/>
  <c r="G716" i="1"/>
  <c r="F716" i="1"/>
  <c r="E716" i="1"/>
  <c r="D716" i="1"/>
  <c r="C716" i="1"/>
  <c r="B716" i="1"/>
  <c r="AC715" i="1"/>
  <c r="M715" i="1" a="1"/>
  <c r="M715" i="1" s="1"/>
  <c r="N715" i="1" s="1"/>
  <c r="L715" i="1"/>
  <c r="K715" i="1"/>
  <c r="J715" i="1"/>
  <c r="I715" i="1"/>
  <c r="H715" i="1"/>
  <c r="G715" i="1"/>
  <c r="F715" i="1"/>
  <c r="E715" i="1"/>
  <c r="D715" i="1"/>
  <c r="C715" i="1"/>
  <c r="B715" i="1"/>
  <c r="M714" i="1" a="1"/>
  <c r="M714" i="1" s="1"/>
  <c r="L714" i="1"/>
  <c r="K714" i="1"/>
  <c r="J714" i="1"/>
  <c r="I714" i="1"/>
  <c r="N714" i="1" s="1"/>
  <c r="H714" i="1"/>
  <c r="G714" i="1"/>
  <c r="F714" i="1"/>
  <c r="E714" i="1"/>
  <c r="D714" i="1"/>
  <c r="C714" i="1"/>
  <c r="B714" i="1"/>
  <c r="AD713" i="1"/>
  <c r="M713" i="1"/>
  <c r="M713" i="1" a="1"/>
  <c r="L713" i="1"/>
  <c r="K713" i="1"/>
  <c r="J713" i="1"/>
  <c r="I713" i="1"/>
  <c r="N713" i="1" s="1"/>
  <c r="H713" i="1"/>
  <c r="G713" i="1"/>
  <c r="F713" i="1"/>
  <c r="E713" i="1"/>
  <c r="D713" i="1"/>
  <c r="C713" i="1"/>
  <c r="B713" i="1"/>
  <c r="M712" i="1"/>
  <c r="M712" i="1" a="1"/>
  <c r="L712" i="1"/>
  <c r="K712" i="1"/>
  <c r="J712" i="1"/>
  <c r="I712" i="1"/>
  <c r="H712" i="1"/>
  <c r="G712" i="1"/>
  <c r="F712" i="1"/>
  <c r="E712" i="1"/>
  <c r="D712" i="1"/>
  <c r="C712" i="1"/>
  <c r="N712" i="1" s="1"/>
  <c r="B712" i="1"/>
  <c r="M711" i="1" a="1"/>
  <c r="M711" i="1" s="1"/>
  <c r="L711" i="1"/>
  <c r="K711" i="1"/>
  <c r="J711" i="1"/>
  <c r="I711" i="1"/>
  <c r="H711" i="1"/>
  <c r="G711" i="1"/>
  <c r="F711" i="1"/>
  <c r="E711" i="1"/>
  <c r="D711" i="1"/>
  <c r="C711" i="1"/>
  <c r="B711" i="1"/>
  <c r="M710" i="1"/>
  <c r="M710" i="1" a="1"/>
  <c r="L710" i="1"/>
  <c r="K710" i="1"/>
  <c r="J710" i="1"/>
  <c r="I710" i="1"/>
  <c r="H710" i="1"/>
  <c r="G710" i="1"/>
  <c r="F710" i="1"/>
  <c r="E710" i="1"/>
  <c r="D710" i="1"/>
  <c r="C710" i="1"/>
  <c r="B710" i="1"/>
  <c r="T709" i="1"/>
  <c r="M709" i="1" a="1"/>
  <c r="M709" i="1" s="1"/>
  <c r="N709" i="1" s="1"/>
  <c r="L709" i="1"/>
  <c r="K709" i="1"/>
  <c r="J709" i="1"/>
  <c r="I709" i="1"/>
  <c r="H709" i="1"/>
  <c r="G709" i="1"/>
  <c r="F709" i="1"/>
  <c r="E709" i="1"/>
  <c r="D709" i="1"/>
  <c r="C709" i="1"/>
  <c r="B709" i="1"/>
  <c r="M708" i="1"/>
  <c r="N708" i="1" s="1"/>
  <c r="M708" i="1" a="1"/>
  <c r="L708" i="1"/>
  <c r="K708" i="1"/>
  <c r="J708" i="1"/>
  <c r="I708" i="1"/>
  <c r="H708" i="1"/>
  <c r="G708" i="1"/>
  <c r="F708" i="1"/>
  <c r="E708" i="1"/>
  <c r="D708" i="1"/>
  <c r="C708" i="1"/>
  <c r="B708" i="1"/>
  <c r="M707" i="1" a="1"/>
  <c r="M707" i="1" s="1"/>
  <c r="L707" i="1"/>
  <c r="K707" i="1"/>
  <c r="J707" i="1"/>
  <c r="I707" i="1"/>
  <c r="H707" i="1"/>
  <c r="G707" i="1"/>
  <c r="F707" i="1"/>
  <c r="E707" i="1"/>
  <c r="D707" i="1"/>
  <c r="C707" i="1"/>
  <c r="B707" i="1"/>
  <c r="AC706" i="1"/>
  <c r="T706" i="1"/>
  <c r="S706" i="1"/>
  <c r="M706" i="1" a="1"/>
  <c r="M706" i="1" s="1"/>
  <c r="L706" i="1"/>
  <c r="K706" i="1"/>
  <c r="J706" i="1"/>
  <c r="I706" i="1"/>
  <c r="H706" i="1"/>
  <c r="G706" i="1"/>
  <c r="F706" i="1"/>
  <c r="E706" i="1"/>
  <c r="N706" i="1" s="1"/>
  <c r="D706" i="1"/>
  <c r="C706" i="1"/>
  <c r="B706" i="1"/>
  <c r="M705" i="1" a="1"/>
  <c r="M705" i="1" s="1"/>
  <c r="N705" i="1" s="1"/>
  <c r="L705" i="1"/>
  <c r="K705" i="1"/>
  <c r="J705" i="1"/>
  <c r="I705" i="1"/>
  <c r="H705" i="1"/>
  <c r="G705" i="1"/>
  <c r="F705" i="1"/>
  <c r="E705" i="1"/>
  <c r="D705" i="1"/>
  <c r="C705" i="1"/>
  <c r="B705" i="1"/>
  <c r="M704" i="1"/>
  <c r="M704" i="1" a="1"/>
  <c r="L704" i="1"/>
  <c r="K704" i="1"/>
  <c r="J704" i="1"/>
  <c r="I704" i="1"/>
  <c r="H704" i="1"/>
  <c r="G704" i="1"/>
  <c r="F704" i="1"/>
  <c r="E704" i="1"/>
  <c r="D704" i="1"/>
  <c r="C704" i="1"/>
  <c r="N704" i="1" s="1"/>
  <c r="B704" i="1"/>
  <c r="M703" i="1" a="1"/>
  <c r="M703" i="1" s="1"/>
  <c r="N703" i="1" s="1"/>
  <c r="L703" i="1"/>
  <c r="K703" i="1"/>
  <c r="J703" i="1"/>
  <c r="I703" i="1"/>
  <c r="H703" i="1"/>
  <c r="G703" i="1"/>
  <c r="F703" i="1"/>
  <c r="E703" i="1"/>
  <c r="D703" i="1"/>
  <c r="C703" i="1"/>
  <c r="B703" i="1"/>
  <c r="AD702" i="1"/>
  <c r="M702" i="1"/>
  <c r="N702" i="1" s="1"/>
  <c r="M702" i="1" a="1"/>
  <c r="L702" i="1"/>
  <c r="K702" i="1"/>
  <c r="J702" i="1"/>
  <c r="I702" i="1"/>
  <c r="H702" i="1"/>
  <c r="G702" i="1"/>
  <c r="F702" i="1"/>
  <c r="E702" i="1"/>
  <c r="D702" i="1"/>
  <c r="C702" i="1"/>
  <c r="B702" i="1"/>
  <c r="M701" i="1"/>
  <c r="N701" i="1" s="1"/>
  <c r="M701" i="1" a="1"/>
  <c r="L701" i="1"/>
  <c r="K701" i="1"/>
  <c r="J701" i="1"/>
  <c r="I701" i="1"/>
  <c r="H701" i="1"/>
  <c r="G701" i="1"/>
  <c r="F701" i="1"/>
  <c r="E701" i="1"/>
  <c r="D701" i="1"/>
  <c r="C701" i="1"/>
  <c r="B701" i="1"/>
  <c r="AD700" i="1"/>
  <c r="M700" i="1"/>
  <c r="M700" i="1" a="1"/>
  <c r="L700" i="1"/>
  <c r="K700" i="1"/>
  <c r="J700" i="1"/>
  <c r="I700" i="1"/>
  <c r="H700" i="1"/>
  <c r="G700" i="1"/>
  <c r="S700" i="1" s="1"/>
  <c r="F700" i="1"/>
  <c r="E700" i="1"/>
  <c r="D700" i="1"/>
  <c r="C700" i="1"/>
  <c r="N700" i="1" s="1"/>
  <c r="B700" i="1"/>
  <c r="M699" i="1"/>
  <c r="M699" i="1" a="1"/>
  <c r="L699" i="1"/>
  <c r="K699" i="1"/>
  <c r="J699" i="1"/>
  <c r="I699" i="1"/>
  <c r="H699" i="1"/>
  <c r="G699" i="1"/>
  <c r="F699" i="1"/>
  <c r="E699" i="1"/>
  <c r="D699" i="1"/>
  <c r="C699" i="1"/>
  <c r="B699" i="1"/>
  <c r="AD698" i="1"/>
  <c r="Q698" i="1"/>
  <c r="M698" i="1"/>
  <c r="M698" i="1" a="1"/>
  <c r="L698" i="1"/>
  <c r="K698" i="1"/>
  <c r="J698" i="1"/>
  <c r="I698" i="1"/>
  <c r="N698" i="1" s="1"/>
  <c r="AC698" i="1" s="1"/>
  <c r="H698" i="1"/>
  <c r="G698" i="1"/>
  <c r="S698" i="1" s="1"/>
  <c r="F698" i="1"/>
  <c r="E698" i="1"/>
  <c r="D698" i="1"/>
  <c r="C698" i="1"/>
  <c r="B698" i="1"/>
  <c r="AC697" i="1"/>
  <c r="Y697" i="1"/>
  <c r="AA697" i="1" s="1"/>
  <c r="X697" i="1"/>
  <c r="T697" i="1"/>
  <c r="M697" i="1"/>
  <c r="M697" i="1" a="1"/>
  <c r="L697" i="1"/>
  <c r="K697" i="1"/>
  <c r="J697" i="1"/>
  <c r="I697" i="1"/>
  <c r="N697" i="1" s="1"/>
  <c r="H697" i="1"/>
  <c r="G697" i="1"/>
  <c r="F697" i="1"/>
  <c r="R697" i="1" s="1"/>
  <c r="E697" i="1"/>
  <c r="D697" i="1"/>
  <c r="C697" i="1"/>
  <c r="B697" i="1"/>
  <c r="AD696" i="1"/>
  <c r="M696" i="1" a="1"/>
  <c r="M696" i="1" s="1"/>
  <c r="L696" i="1"/>
  <c r="K696" i="1"/>
  <c r="J696" i="1"/>
  <c r="I696" i="1"/>
  <c r="N696" i="1" s="1"/>
  <c r="H696" i="1"/>
  <c r="G696" i="1"/>
  <c r="F696" i="1"/>
  <c r="E696" i="1"/>
  <c r="D696" i="1"/>
  <c r="C696" i="1"/>
  <c r="B696" i="1"/>
  <c r="M695" i="1"/>
  <c r="M695" i="1" a="1"/>
  <c r="L695" i="1"/>
  <c r="K695" i="1"/>
  <c r="J695" i="1"/>
  <c r="I695" i="1"/>
  <c r="H695" i="1"/>
  <c r="G695" i="1"/>
  <c r="F695" i="1"/>
  <c r="E695" i="1"/>
  <c r="D695" i="1"/>
  <c r="C695" i="1"/>
  <c r="N695" i="1" s="1"/>
  <c r="B695" i="1"/>
  <c r="M694" i="1" a="1"/>
  <c r="M694" i="1" s="1"/>
  <c r="L694" i="1"/>
  <c r="K694" i="1"/>
  <c r="J694" i="1"/>
  <c r="I694" i="1"/>
  <c r="N694" i="1" s="1"/>
  <c r="H694" i="1"/>
  <c r="G694" i="1"/>
  <c r="F694" i="1"/>
  <c r="E694" i="1"/>
  <c r="D694" i="1"/>
  <c r="C694" i="1"/>
  <c r="B694" i="1"/>
  <c r="M693" i="1" a="1"/>
  <c r="M693" i="1" s="1"/>
  <c r="L693" i="1"/>
  <c r="K693" i="1"/>
  <c r="J693" i="1"/>
  <c r="I693" i="1"/>
  <c r="H693" i="1"/>
  <c r="G693" i="1"/>
  <c r="F693" i="1"/>
  <c r="E693" i="1"/>
  <c r="D693" i="1"/>
  <c r="C693" i="1"/>
  <c r="B693" i="1"/>
  <c r="M692" i="1"/>
  <c r="M692" i="1" a="1"/>
  <c r="L692" i="1"/>
  <c r="K692" i="1"/>
  <c r="J692" i="1"/>
  <c r="I692" i="1"/>
  <c r="H692" i="1"/>
  <c r="G692" i="1"/>
  <c r="F692" i="1"/>
  <c r="E692" i="1"/>
  <c r="D692" i="1"/>
  <c r="C692" i="1"/>
  <c r="B692" i="1"/>
  <c r="S691" i="1"/>
  <c r="M691" i="1"/>
  <c r="M691" i="1" a="1"/>
  <c r="L691" i="1"/>
  <c r="K691" i="1"/>
  <c r="J691" i="1"/>
  <c r="I691" i="1"/>
  <c r="N691" i="1" s="1"/>
  <c r="H691" i="1"/>
  <c r="G691" i="1"/>
  <c r="F691" i="1"/>
  <c r="E691" i="1"/>
  <c r="D691" i="1"/>
  <c r="C691" i="1"/>
  <c r="B691" i="1"/>
  <c r="M690" i="1" a="1"/>
  <c r="M690" i="1" s="1"/>
  <c r="N690" i="1" s="1"/>
  <c r="L690" i="1"/>
  <c r="K690" i="1"/>
  <c r="J690" i="1"/>
  <c r="I690" i="1"/>
  <c r="H690" i="1"/>
  <c r="G690" i="1"/>
  <c r="F690" i="1"/>
  <c r="E690" i="1"/>
  <c r="D690" i="1"/>
  <c r="C690" i="1"/>
  <c r="B690" i="1"/>
  <c r="N689" i="1"/>
  <c r="M689" i="1" a="1"/>
  <c r="M689" i="1" s="1"/>
  <c r="L689" i="1"/>
  <c r="K689" i="1"/>
  <c r="J689" i="1"/>
  <c r="I689" i="1"/>
  <c r="H689" i="1"/>
  <c r="G689" i="1"/>
  <c r="F689" i="1"/>
  <c r="E689" i="1"/>
  <c r="D689" i="1"/>
  <c r="C689" i="1"/>
  <c r="B689" i="1"/>
  <c r="M688" i="1"/>
  <c r="N688" i="1" s="1"/>
  <c r="M688" i="1" a="1"/>
  <c r="L688" i="1"/>
  <c r="K688" i="1"/>
  <c r="J688" i="1"/>
  <c r="I688" i="1"/>
  <c r="H688" i="1"/>
  <c r="G688" i="1"/>
  <c r="F688" i="1"/>
  <c r="E688" i="1"/>
  <c r="D688" i="1"/>
  <c r="C688" i="1"/>
  <c r="B688" i="1"/>
  <c r="T687" i="1"/>
  <c r="S687" i="1"/>
  <c r="N687" i="1"/>
  <c r="M687" i="1" a="1"/>
  <c r="M687" i="1" s="1"/>
  <c r="L687" i="1"/>
  <c r="K687" i="1"/>
  <c r="J687" i="1"/>
  <c r="I687" i="1"/>
  <c r="H687" i="1"/>
  <c r="G687" i="1"/>
  <c r="F687" i="1"/>
  <c r="E687" i="1"/>
  <c r="D687" i="1"/>
  <c r="C687" i="1"/>
  <c r="B687" i="1"/>
  <c r="AD686" i="1"/>
  <c r="AC686" i="1"/>
  <c r="T686" i="1"/>
  <c r="S686" i="1"/>
  <c r="M686" i="1" a="1"/>
  <c r="M686" i="1" s="1"/>
  <c r="N686" i="1" s="1"/>
  <c r="Q686" i="1" s="1"/>
  <c r="L686" i="1"/>
  <c r="K686" i="1"/>
  <c r="J686" i="1"/>
  <c r="I686" i="1"/>
  <c r="H686" i="1"/>
  <c r="G686" i="1"/>
  <c r="F686" i="1"/>
  <c r="E686" i="1"/>
  <c r="D686" i="1"/>
  <c r="C686" i="1"/>
  <c r="B686" i="1"/>
  <c r="M685" i="1" a="1"/>
  <c r="M685" i="1" s="1"/>
  <c r="L685" i="1"/>
  <c r="K685" i="1"/>
  <c r="J685" i="1"/>
  <c r="I685" i="1"/>
  <c r="H685" i="1"/>
  <c r="G685" i="1"/>
  <c r="F685" i="1"/>
  <c r="E685" i="1"/>
  <c r="D685" i="1"/>
  <c r="C685" i="1"/>
  <c r="B685" i="1"/>
  <c r="AC684" i="1"/>
  <c r="M684" i="1" a="1"/>
  <c r="M684" i="1" s="1"/>
  <c r="N684" i="1" s="1"/>
  <c r="L684" i="1"/>
  <c r="K684" i="1"/>
  <c r="J684" i="1"/>
  <c r="I684" i="1"/>
  <c r="H684" i="1"/>
  <c r="G684" i="1"/>
  <c r="F684" i="1"/>
  <c r="E684" i="1"/>
  <c r="D684" i="1"/>
  <c r="C684" i="1"/>
  <c r="B684" i="1"/>
  <c r="AD683" i="1"/>
  <c r="M683" i="1" a="1"/>
  <c r="M683" i="1" s="1"/>
  <c r="N683" i="1" s="1"/>
  <c r="L683" i="1"/>
  <c r="K683" i="1"/>
  <c r="J683" i="1"/>
  <c r="I683" i="1"/>
  <c r="H683" i="1"/>
  <c r="G683" i="1"/>
  <c r="F683" i="1"/>
  <c r="E683" i="1"/>
  <c r="D683" i="1"/>
  <c r="C683" i="1"/>
  <c r="B683" i="1"/>
  <c r="M682" i="1"/>
  <c r="M682" i="1" a="1"/>
  <c r="L682" i="1"/>
  <c r="K682" i="1"/>
  <c r="J682" i="1"/>
  <c r="I682" i="1"/>
  <c r="N682" i="1" s="1"/>
  <c r="H682" i="1"/>
  <c r="G682" i="1"/>
  <c r="F682" i="1"/>
  <c r="E682" i="1"/>
  <c r="D682" i="1"/>
  <c r="C682" i="1"/>
  <c r="B682" i="1"/>
  <c r="M681" i="1"/>
  <c r="M681" i="1" a="1"/>
  <c r="L681" i="1"/>
  <c r="K681" i="1"/>
  <c r="J681" i="1"/>
  <c r="I681" i="1"/>
  <c r="N681" i="1" s="1"/>
  <c r="H681" i="1"/>
  <c r="G681" i="1"/>
  <c r="F681" i="1"/>
  <c r="E681" i="1"/>
  <c r="D681" i="1"/>
  <c r="C681" i="1"/>
  <c r="B681" i="1"/>
  <c r="AI680" i="1"/>
  <c r="Z680" i="1"/>
  <c r="S680" i="1"/>
  <c r="R680" i="1"/>
  <c r="M680" i="1"/>
  <c r="M680" i="1" a="1"/>
  <c r="L680" i="1"/>
  <c r="K680" i="1"/>
  <c r="J680" i="1"/>
  <c r="I680" i="1"/>
  <c r="N680" i="1" s="1"/>
  <c r="AD680" i="1" s="1"/>
  <c r="H680" i="1"/>
  <c r="G680" i="1"/>
  <c r="F680" i="1"/>
  <c r="E680" i="1"/>
  <c r="D680" i="1"/>
  <c r="C680" i="1"/>
  <c r="B680" i="1"/>
  <c r="AD679" i="1"/>
  <c r="AC679" i="1"/>
  <c r="Q679" i="1"/>
  <c r="M679" i="1" a="1"/>
  <c r="M679" i="1" s="1"/>
  <c r="N679" i="1" s="1"/>
  <c r="L679" i="1"/>
  <c r="K679" i="1"/>
  <c r="J679" i="1"/>
  <c r="I679" i="1"/>
  <c r="H679" i="1"/>
  <c r="G679" i="1"/>
  <c r="F679" i="1"/>
  <c r="E679" i="1"/>
  <c r="D679" i="1"/>
  <c r="C679" i="1"/>
  <c r="B679" i="1"/>
  <c r="T678" i="1"/>
  <c r="M678" i="1"/>
  <c r="M678" i="1" a="1"/>
  <c r="L678" i="1"/>
  <c r="K678" i="1"/>
  <c r="J678" i="1"/>
  <c r="I678" i="1"/>
  <c r="H678" i="1"/>
  <c r="G678" i="1"/>
  <c r="S678" i="1" s="1"/>
  <c r="F678" i="1"/>
  <c r="E678" i="1"/>
  <c r="D678" i="1"/>
  <c r="C678" i="1"/>
  <c r="N678" i="1" s="1"/>
  <c r="B678" i="1"/>
  <c r="M677" i="1" a="1"/>
  <c r="M677" i="1" s="1"/>
  <c r="L677" i="1"/>
  <c r="K677" i="1"/>
  <c r="J677" i="1"/>
  <c r="I677" i="1"/>
  <c r="H677" i="1"/>
  <c r="G677" i="1"/>
  <c r="F677" i="1"/>
  <c r="E677" i="1"/>
  <c r="D677" i="1"/>
  <c r="C677" i="1"/>
  <c r="B677" i="1"/>
  <c r="M676" i="1"/>
  <c r="M676" i="1" a="1"/>
  <c r="L676" i="1"/>
  <c r="K676" i="1"/>
  <c r="J676" i="1"/>
  <c r="I676" i="1"/>
  <c r="H676" i="1"/>
  <c r="G676" i="1"/>
  <c r="F676" i="1"/>
  <c r="E676" i="1"/>
  <c r="D676" i="1"/>
  <c r="C676" i="1"/>
  <c r="N676" i="1" s="1"/>
  <c r="B676" i="1"/>
  <c r="M675" i="1" a="1"/>
  <c r="M675" i="1" s="1"/>
  <c r="L675" i="1"/>
  <c r="K675" i="1"/>
  <c r="J675" i="1"/>
  <c r="I675" i="1"/>
  <c r="H675" i="1"/>
  <c r="G675" i="1"/>
  <c r="F675" i="1"/>
  <c r="E675" i="1"/>
  <c r="D675" i="1"/>
  <c r="C675" i="1"/>
  <c r="B675" i="1"/>
  <c r="M674" i="1" a="1"/>
  <c r="M674" i="1" s="1"/>
  <c r="N674" i="1" s="1"/>
  <c r="L674" i="1"/>
  <c r="K674" i="1"/>
  <c r="J674" i="1"/>
  <c r="I674" i="1"/>
  <c r="H674" i="1"/>
  <c r="G674" i="1"/>
  <c r="F674" i="1"/>
  <c r="E674" i="1"/>
  <c r="D674" i="1"/>
  <c r="C674" i="1"/>
  <c r="B674" i="1"/>
  <c r="N673" i="1"/>
  <c r="M673" i="1" a="1"/>
  <c r="M673" i="1" s="1"/>
  <c r="L673" i="1"/>
  <c r="K673" i="1"/>
  <c r="J673" i="1"/>
  <c r="I673" i="1"/>
  <c r="H673" i="1"/>
  <c r="G673" i="1"/>
  <c r="F673" i="1"/>
  <c r="E673" i="1"/>
  <c r="D673" i="1"/>
  <c r="C673" i="1"/>
  <c r="B673" i="1"/>
  <c r="M672" i="1" a="1"/>
  <c r="M672" i="1" s="1"/>
  <c r="L672" i="1"/>
  <c r="K672" i="1"/>
  <c r="J672" i="1"/>
  <c r="I672" i="1"/>
  <c r="N672" i="1" s="1"/>
  <c r="H672" i="1"/>
  <c r="G672" i="1"/>
  <c r="F672" i="1"/>
  <c r="E672" i="1"/>
  <c r="D672" i="1"/>
  <c r="C672" i="1"/>
  <c r="B672" i="1"/>
  <c r="M671" i="1" a="1"/>
  <c r="M671" i="1" s="1"/>
  <c r="L671" i="1"/>
  <c r="K671" i="1"/>
  <c r="J671" i="1"/>
  <c r="I671" i="1"/>
  <c r="H671" i="1"/>
  <c r="G671" i="1"/>
  <c r="F671" i="1"/>
  <c r="E671" i="1"/>
  <c r="D671" i="1"/>
  <c r="C671" i="1"/>
  <c r="B671" i="1"/>
  <c r="M670" i="1"/>
  <c r="M670" i="1" a="1"/>
  <c r="L670" i="1"/>
  <c r="K670" i="1"/>
  <c r="J670" i="1"/>
  <c r="I670" i="1"/>
  <c r="H670" i="1"/>
  <c r="G670" i="1"/>
  <c r="F670" i="1"/>
  <c r="E670" i="1"/>
  <c r="D670" i="1"/>
  <c r="C670" i="1"/>
  <c r="N670" i="1" s="1"/>
  <c r="B670" i="1"/>
  <c r="M669" i="1"/>
  <c r="M669" i="1" a="1"/>
  <c r="L669" i="1"/>
  <c r="K669" i="1"/>
  <c r="J669" i="1"/>
  <c r="I669" i="1"/>
  <c r="N669" i="1" s="1"/>
  <c r="H669" i="1"/>
  <c r="G669" i="1"/>
  <c r="F669" i="1"/>
  <c r="E669" i="1"/>
  <c r="D669" i="1"/>
  <c r="C669" i="1"/>
  <c r="B669" i="1"/>
  <c r="M668" i="1"/>
  <c r="M668" i="1" a="1"/>
  <c r="L668" i="1"/>
  <c r="K668" i="1"/>
  <c r="J668" i="1"/>
  <c r="I668" i="1"/>
  <c r="H668" i="1"/>
  <c r="G668" i="1"/>
  <c r="F668" i="1"/>
  <c r="E668" i="1"/>
  <c r="D668" i="1"/>
  <c r="C668" i="1"/>
  <c r="B668" i="1"/>
  <c r="M667" i="1"/>
  <c r="M667" i="1" a="1"/>
  <c r="L667" i="1"/>
  <c r="K667" i="1"/>
  <c r="J667" i="1"/>
  <c r="I667" i="1"/>
  <c r="H667" i="1"/>
  <c r="G667" i="1"/>
  <c r="F667" i="1"/>
  <c r="E667" i="1"/>
  <c r="D667" i="1"/>
  <c r="C667" i="1"/>
  <c r="N667" i="1" s="1"/>
  <c r="B667" i="1"/>
  <c r="AD666" i="1"/>
  <c r="AC666" i="1"/>
  <c r="S666" i="1"/>
  <c r="M666" i="1"/>
  <c r="M666" i="1" a="1"/>
  <c r="L666" i="1"/>
  <c r="K666" i="1"/>
  <c r="J666" i="1"/>
  <c r="I666" i="1"/>
  <c r="H666" i="1"/>
  <c r="G666" i="1"/>
  <c r="F666" i="1"/>
  <c r="E666" i="1"/>
  <c r="D666" i="1"/>
  <c r="C666" i="1"/>
  <c r="N666" i="1" s="1"/>
  <c r="Q666" i="1" s="1"/>
  <c r="B666" i="1"/>
  <c r="M665" i="1"/>
  <c r="M665" i="1" a="1"/>
  <c r="L665" i="1"/>
  <c r="K665" i="1"/>
  <c r="J665" i="1"/>
  <c r="I665" i="1"/>
  <c r="H665" i="1"/>
  <c r="G665" i="1"/>
  <c r="F665" i="1"/>
  <c r="E665" i="1"/>
  <c r="D665" i="1"/>
  <c r="C665" i="1"/>
  <c r="B665" i="1"/>
  <c r="Q664" i="1"/>
  <c r="M664" i="1" a="1"/>
  <c r="M664" i="1" s="1"/>
  <c r="L664" i="1"/>
  <c r="K664" i="1"/>
  <c r="J664" i="1"/>
  <c r="I664" i="1"/>
  <c r="H664" i="1"/>
  <c r="G664" i="1"/>
  <c r="F664" i="1"/>
  <c r="E664" i="1"/>
  <c r="D664" i="1"/>
  <c r="C664" i="1"/>
  <c r="N664" i="1" s="1"/>
  <c r="B664" i="1"/>
  <c r="M663" i="1" a="1"/>
  <c r="M663" i="1" s="1"/>
  <c r="L663" i="1"/>
  <c r="K663" i="1"/>
  <c r="J663" i="1"/>
  <c r="I663" i="1"/>
  <c r="H663" i="1"/>
  <c r="G663" i="1"/>
  <c r="F663" i="1"/>
  <c r="E663" i="1"/>
  <c r="D663" i="1"/>
  <c r="C663" i="1"/>
  <c r="B663" i="1"/>
  <c r="R662" i="1"/>
  <c r="M662" i="1"/>
  <c r="N662" i="1" s="1"/>
  <c r="M662" i="1" a="1"/>
  <c r="L662" i="1"/>
  <c r="K662" i="1"/>
  <c r="J662" i="1"/>
  <c r="I662" i="1"/>
  <c r="H662" i="1"/>
  <c r="G662" i="1"/>
  <c r="F662" i="1"/>
  <c r="E662" i="1"/>
  <c r="D662" i="1"/>
  <c r="C662" i="1"/>
  <c r="B662" i="1"/>
  <c r="M661" i="1"/>
  <c r="M661" i="1" a="1"/>
  <c r="L661" i="1"/>
  <c r="K661" i="1"/>
  <c r="J661" i="1"/>
  <c r="I661" i="1"/>
  <c r="H661" i="1"/>
  <c r="G661" i="1"/>
  <c r="F661" i="1"/>
  <c r="E661" i="1"/>
  <c r="D661" i="1"/>
  <c r="C661" i="1"/>
  <c r="B661" i="1"/>
  <c r="M660" i="1" a="1"/>
  <c r="M660" i="1" s="1"/>
  <c r="L660" i="1"/>
  <c r="K660" i="1"/>
  <c r="J660" i="1"/>
  <c r="I660" i="1"/>
  <c r="H660" i="1"/>
  <c r="G660" i="1"/>
  <c r="F660" i="1"/>
  <c r="E660" i="1"/>
  <c r="D660" i="1"/>
  <c r="C660" i="1"/>
  <c r="B660" i="1"/>
  <c r="N659" i="1"/>
  <c r="M659" i="1" a="1"/>
  <c r="M659" i="1" s="1"/>
  <c r="L659" i="1"/>
  <c r="K659" i="1"/>
  <c r="J659" i="1"/>
  <c r="I659" i="1"/>
  <c r="H659" i="1"/>
  <c r="G659" i="1"/>
  <c r="F659" i="1"/>
  <c r="E659" i="1"/>
  <c r="D659" i="1"/>
  <c r="C659" i="1"/>
  <c r="B659" i="1"/>
  <c r="M658" i="1"/>
  <c r="M658" i="1" a="1"/>
  <c r="L658" i="1"/>
  <c r="K658" i="1"/>
  <c r="J658" i="1"/>
  <c r="I658" i="1"/>
  <c r="H658" i="1"/>
  <c r="G658" i="1"/>
  <c r="F658" i="1"/>
  <c r="E658" i="1"/>
  <c r="D658" i="1"/>
  <c r="C658" i="1"/>
  <c r="N658" i="1" s="1"/>
  <c r="B658" i="1"/>
  <c r="M657" i="1"/>
  <c r="M657" i="1" a="1"/>
  <c r="L657" i="1"/>
  <c r="K657" i="1"/>
  <c r="J657" i="1"/>
  <c r="I657" i="1"/>
  <c r="H657" i="1"/>
  <c r="G657" i="1"/>
  <c r="F657" i="1"/>
  <c r="E657" i="1"/>
  <c r="D657" i="1"/>
  <c r="C657" i="1"/>
  <c r="B657" i="1"/>
  <c r="M656" i="1"/>
  <c r="N656" i="1" s="1"/>
  <c r="M656" i="1" a="1"/>
  <c r="L656" i="1"/>
  <c r="K656" i="1"/>
  <c r="J656" i="1"/>
  <c r="I656" i="1"/>
  <c r="H656" i="1"/>
  <c r="G656" i="1"/>
  <c r="F656" i="1"/>
  <c r="E656" i="1"/>
  <c r="D656" i="1"/>
  <c r="C656" i="1"/>
  <c r="B656" i="1"/>
  <c r="M655" i="1" a="1"/>
  <c r="M655" i="1" s="1"/>
  <c r="L655" i="1"/>
  <c r="K655" i="1"/>
  <c r="J655" i="1"/>
  <c r="I655" i="1"/>
  <c r="H655" i="1"/>
  <c r="G655" i="1"/>
  <c r="F655" i="1"/>
  <c r="E655" i="1"/>
  <c r="D655" i="1"/>
  <c r="C655" i="1"/>
  <c r="B655" i="1"/>
  <c r="M654" i="1"/>
  <c r="M654" i="1" a="1"/>
  <c r="L654" i="1"/>
  <c r="K654" i="1"/>
  <c r="J654" i="1"/>
  <c r="I654" i="1"/>
  <c r="H654" i="1"/>
  <c r="G654" i="1"/>
  <c r="F654" i="1"/>
  <c r="E654" i="1"/>
  <c r="D654" i="1"/>
  <c r="C654" i="1"/>
  <c r="B654" i="1"/>
  <c r="AC653" i="1"/>
  <c r="M653" i="1"/>
  <c r="M653" i="1" a="1"/>
  <c r="L653" i="1"/>
  <c r="K653" i="1"/>
  <c r="J653" i="1"/>
  <c r="I653" i="1"/>
  <c r="N653" i="1" s="1"/>
  <c r="H653" i="1"/>
  <c r="G653" i="1"/>
  <c r="F653" i="1"/>
  <c r="E653" i="1"/>
  <c r="D653" i="1"/>
  <c r="C653" i="1"/>
  <c r="B653" i="1"/>
  <c r="AC652" i="1"/>
  <c r="M652" i="1" a="1"/>
  <c r="M652" i="1" s="1"/>
  <c r="L652" i="1"/>
  <c r="K652" i="1"/>
  <c r="J652" i="1"/>
  <c r="I652" i="1"/>
  <c r="N652" i="1" s="1"/>
  <c r="H652" i="1"/>
  <c r="G652" i="1"/>
  <c r="S652" i="1" s="1"/>
  <c r="F652" i="1"/>
  <c r="E652" i="1"/>
  <c r="D652" i="1"/>
  <c r="C652" i="1"/>
  <c r="B652" i="1"/>
  <c r="M651" i="1"/>
  <c r="M651" i="1" a="1"/>
  <c r="L651" i="1"/>
  <c r="K651" i="1"/>
  <c r="J651" i="1"/>
  <c r="I651" i="1"/>
  <c r="H651" i="1"/>
  <c r="G651" i="1"/>
  <c r="F651" i="1"/>
  <c r="E651" i="1"/>
  <c r="D651" i="1"/>
  <c r="C651" i="1"/>
  <c r="B651" i="1"/>
  <c r="M650" i="1" a="1"/>
  <c r="M650" i="1" s="1"/>
  <c r="L650" i="1"/>
  <c r="K650" i="1"/>
  <c r="J650" i="1"/>
  <c r="I650" i="1"/>
  <c r="H650" i="1"/>
  <c r="G650" i="1"/>
  <c r="F650" i="1"/>
  <c r="E650" i="1"/>
  <c r="D650" i="1"/>
  <c r="C650" i="1"/>
  <c r="B650" i="1"/>
  <c r="N649" i="1"/>
  <c r="M649" i="1" a="1"/>
  <c r="M649" i="1" s="1"/>
  <c r="L649" i="1"/>
  <c r="K649" i="1"/>
  <c r="J649" i="1"/>
  <c r="I649" i="1"/>
  <c r="H649" i="1"/>
  <c r="G649" i="1"/>
  <c r="F649" i="1"/>
  <c r="E649" i="1"/>
  <c r="D649" i="1"/>
  <c r="C649" i="1"/>
  <c r="B649" i="1"/>
  <c r="M648" i="1" a="1"/>
  <c r="M648" i="1" s="1"/>
  <c r="N648" i="1" s="1"/>
  <c r="L648" i="1"/>
  <c r="K648" i="1"/>
  <c r="J648" i="1"/>
  <c r="I648" i="1"/>
  <c r="H648" i="1"/>
  <c r="G648" i="1"/>
  <c r="S648" i="1" s="1"/>
  <c r="F648" i="1"/>
  <c r="E648" i="1"/>
  <c r="D648" i="1"/>
  <c r="C648" i="1"/>
  <c r="B648" i="1"/>
  <c r="M647" i="1" a="1"/>
  <c r="M647" i="1" s="1"/>
  <c r="N647" i="1" s="1"/>
  <c r="L647" i="1"/>
  <c r="K647" i="1"/>
  <c r="J647" i="1"/>
  <c r="I647" i="1"/>
  <c r="H647" i="1"/>
  <c r="G647" i="1"/>
  <c r="F647" i="1"/>
  <c r="E647" i="1"/>
  <c r="D647" i="1"/>
  <c r="C647" i="1"/>
  <c r="B647" i="1"/>
  <c r="M646" i="1"/>
  <c r="M646" i="1" a="1"/>
  <c r="L646" i="1"/>
  <c r="K646" i="1"/>
  <c r="J646" i="1"/>
  <c r="I646" i="1"/>
  <c r="H646" i="1"/>
  <c r="G646" i="1"/>
  <c r="F646" i="1"/>
  <c r="E646" i="1"/>
  <c r="D646" i="1"/>
  <c r="C646" i="1"/>
  <c r="B646" i="1"/>
  <c r="M645" i="1" a="1"/>
  <c r="M645" i="1" s="1"/>
  <c r="L645" i="1"/>
  <c r="K645" i="1"/>
  <c r="J645" i="1"/>
  <c r="I645" i="1"/>
  <c r="H645" i="1"/>
  <c r="G645" i="1"/>
  <c r="F645" i="1"/>
  <c r="E645" i="1"/>
  <c r="D645" i="1"/>
  <c r="C645" i="1"/>
  <c r="B645" i="1"/>
  <c r="M644" i="1"/>
  <c r="M644" i="1" a="1"/>
  <c r="L644" i="1"/>
  <c r="K644" i="1"/>
  <c r="J644" i="1"/>
  <c r="I644" i="1"/>
  <c r="H644" i="1"/>
  <c r="G644" i="1"/>
  <c r="F644" i="1"/>
  <c r="E644" i="1"/>
  <c r="D644" i="1"/>
  <c r="C644" i="1"/>
  <c r="B644" i="1"/>
  <c r="N643" i="1"/>
  <c r="M643" i="1" a="1"/>
  <c r="M643" i="1" s="1"/>
  <c r="L643" i="1"/>
  <c r="K643" i="1"/>
  <c r="J643" i="1"/>
  <c r="I643" i="1"/>
  <c r="H643" i="1"/>
  <c r="G643" i="1"/>
  <c r="F643" i="1"/>
  <c r="E643" i="1"/>
  <c r="D643" i="1"/>
  <c r="C643" i="1"/>
  <c r="B643" i="1"/>
  <c r="M642" i="1"/>
  <c r="M642" i="1" a="1"/>
  <c r="L642" i="1"/>
  <c r="K642" i="1"/>
  <c r="J642" i="1"/>
  <c r="I642" i="1"/>
  <c r="N642" i="1" s="1"/>
  <c r="H642" i="1"/>
  <c r="G642" i="1"/>
  <c r="F642" i="1"/>
  <c r="E642" i="1"/>
  <c r="D642" i="1"/>
  <c r="C642" i="1"/>
  <c r="B642" i="1"/>
  <c r="M641" i="1" a="1"/>
  <c r="M641" i="1" s="1"/>
  <c r="L641" i="1"/>
  <c r="K641" i="1"/>
  <c r="J641" i="1"/>
  <c r="I641" i="1"/>
  <c r="H641" i="1"/>
  <c r="G641" i="1"/>
  <c r="F641" i="1"/>
  <c r="E641" i="1"/>
  <c r="D641" i="1"/>
  <c r="C641" i="1"/>
  <c r="B641" i="1"/>
  <c r="M640" i="1"/>
  <c r="M640" i="1" a="1"/>
  <c r="L640" i="1"/>
  <c r="K640" i="1"/>
  <c r="J640" i="1"/>
  <c r="I640" i="1"/>
  <c r="H640" i="1"/>
  <c r="G640" i="1"/>
  <c r="F640" i="1"/>
  <c r="E640" i="1"/>
  <c r="D640" i="1"/>
  <c r="C640" i="1"/>
  <c r="B640" i="1"/>
  <c r="M639" i="1" a="1"/>
  <c r="M639" i="1" s="1"/>
  <c r="N639" i="1" s="1"/>
  <c r="L639" i="1"/>
  <c r="K639" i="1"/>
  <c r="J639" i="1"/>
  <c r="I639" i="1"/>
  <c r="H639" i="1"/>
  <c r="G639" i="1"/>
  <c r="F639" i="1"/>
  <c r="E639" i="1"/>
  <c r="D639" i="1"/>
  <c r="C639" i="1"/>
  <c r="B639" i="1"/>
  <c r="M638" i="1"/>
  <c r="M638" i="1" a="1"/>
  <c r="L638" i="1"/>
  <c r="K638" i="1"/>
  <c r="J638" i="1"/>
  <c r="I638" i="1"/>
  <c r="N638" i="1" s="1"/>
  <c r="H638" i="1"/>
  <c r="G638" i="1"/>
  <c r="S638" i="1" s="1"/>
  <c r="F638" i="1"/>
  <c r="E638" i="1"/>
  <c r="D638" i="1"/>
  <c r="C638" i="1"/>
  <c r="B638" i="1"/>
  <c r="M637" i="1" a="1"/>
  <c r="M637" i="1" s="1"/>
  <c r="L637" i="1"/>
  <c r="K637" i="1"/>
  <c r="J637" i="1"/>
  <c r="I637" i="1"/>
  <c r="H637" i="1"/>
  <c r="G637" i="1"/>
  <c r="F637" i="1"/>
  <c r="E637" i="1"/>
  <c r="D637" i="1"/>
  <c r="C637" i="1"/>
  <c r="B637" i="1"/>
  <c r="AD636" i="1"/>
  <c r="AC636" i="1"/>
  <c r="M636" i="1"/>
  <c r="M636" i="1" a="1"/>
  <c r="L636" i="1"/>
  <c r="K636" i="1"/>
  <c r="J636" i="1"/>
  <c r="I636" i="1"/>
  <c r="N636" i="1" s="1"/>
  <c r="H636" i="1"/>
  <c r="G636" i="1"/>
  <c r="F636" i="1"/>
  <c r="E636" i="1"/>
  <c r="D636" i="1"/>
  <c r="C636" i="1"/>
  <c r="B636" i="1"/>
  <c r="M635" i="1" a="1"/>
  <c r="M635" i="1" s="1"/>
  <c r="L635" i="1"/>
  <c r="K635" i="1"/>
  <c r="J635" i="1"/>
  <c r="I635" i="1"/>
  <c r="H635" i="1"/>
  <c r="G635" i="1"/>
  <c r="F635" i="1"/>
  <c r="E635" i="1"/>
  <c r="D635" i="1"/>
  <c r="C635" i="1"/>
  <c r="B635" i="1"/>
  <c r="M634" i="1"/>
  <c r="N634" i="1" s="1"/>
  <c r="M634" i="1" a="1"/>
  <c r="L634" i="1"/>
  <c r="K634" i="1"/>
  <c r="J634" i="1"/>
  <c r="I634" i="1"/>
  <c r="H634" i="1"/>
  <c r="G634" i="1"/>
  <c r="F634" i="1"/>
  <c r="E634" i="1"/>
  <c r="D634" i="1"/>
  <c r="C634" i="1"/>
  <c r="B634" i="1"/>
  <c r="M633" i="1" a="1"/>
  <c r="M633" i="1" s="1"/>
  <c r="L633" i="1"/>
  <c r="K633" i="1"/>
  <c r="J633" i="1"/>
  <c r="I633" i="1"/>
  <c r="H633" i="1"/>
  <c r="G633" i="1"/>
  <c r="F633" i="1"/>
  <c r="E633" i="1"/>
  <c r="D633" i="1"/>
  <c r="C633" i="1"/>
  <c r="B633" i="1"/>
  <c r="M632" i="1"/>
  <c r="M632" i="1" a="1"/>
  <c r="L632" i="1"/>
  <c r="K632" i="1"/>
  <c r="J632" i="1"/>
  <c r="I632" i="1"/>
  <c r="H632" i="1"/>
  <c r="G632" i="1"/>
  <c r="F632" i="1"/>
  <c r="E632" i="1"/>
  <c r="D632" i="1"/>
  <c r="C632" i="1"/>
  <c r="B632" i="1"/>
  <c r="M631" i="1" a="1"/>
  <c r="M631" i="1" s="1"/>
  <c r="L631" i="1"/>
  <c r="K631" i="1"/>
  <c r="J631" i="1"/>
  <c r="I631" i="1"/>
  <c r="H631" i="1"/>
  <c r="G631" i="1"/>
  <c r="F631" i="1"/>
  <c r="E631" i="1"/>
  <c r="D631" i="1"/>
  <c r="C631" i="1"/>
  <c r="N631" i="1" s="1"/>
  <c r="B631" i="1"/>
  <c r="M630" i="1"/>
  <c r="M630" i="1" a="1"/>
  <c r="L630" i="1"/>
  <c r="K630" i="1"/>
  <c r="J630" i="1"/>
  <c r="I630" i="1"/>
  <c r="H630" i="1"/>
  <c r="G630" i="1"/>
  <c r="F630" i="1"/>
  <c r="E630" i="1"/>
  <c r="D630" i="1"/>
  <c r="C630" i="1"/>
  <c r="N630" i="1" s="1"/>
  <c r="B630" i="1"/>
  <c r="AD629" i="1"/>
  <c r="Q629" i="1"/>
  <c r="M629" i="1"/>
  <c r="N629" i="1" s="1"/>
  <c r="M629" i="1" a="1"/>
  <c r="L629" i="1"/>
  <c r="K629" i="1"/>
  <c r="J629" i="1"/>
  <c r="I629" i="1"/>
  <c r="H629" i="1"/>
  <c r="G629" i="1"/>
  <c r="F629" i="1"/>
  <c r="E629" i="1"/>
  <c r="D629" i="1"/>
  <c r="C629" i="1"/>
  <c r="B629" i="1"/>
  <c r="Q628" i="1"/>
  <c r="M628" i="1"/>
  <c r="M628" i="1" a="1"/>
  <c r="L628" i="1"/>
  <c r="K628" i="1"/>
  <c r="J628" i="1"/>
  <c r="I628" i="1"/>
  <c r="N628" i="1" s="1"/>
  <c r="H628" i="1"/>
  <c r="G628" i="1"/>
  <c r="S628" i="1" s="1"/>
  <c r="F628" i="1"/>
  <c r="T628" i="1" s="1"/>
  <c r="E628" i="1"/>
  <c r="D628" i="1"/>
  <c r="C628" i="1"/>
  <c r="B628" i="1"/>
  <c r="M627" i="1" a="1"/>
  <c r="M627" i="1" s="1"/>
  <c r="N627" i="1" s="1"/>
  <c r="L627" i="1"/>
  <c r="K627" i="1"/>
  <c r="J627" i="1"/>
  <c r="I627" i="1"/>
  <c r="H627" i="1"/>
  <c r="G627" i="1"/>
  <c r="F627" i="1"/>
  <c r="E627" i="1"/>
  <c r="D627" i="1"/>
  <c r="C627" i="1"/>
  <c r="B627" i="1"/>
  <c r="M626" i="1" a="1"/>
  <c r="M626" i="1" s="1"/>
  <c r="L626" i="1"/>
  <c r="K626" i="1"/>
  <c r="J626" i="1"/>
  <c r="I626" i="1"/>
  <c r="N626" i="1" s="1"/>
  <c r="H626" i="1"/>
  <c r="G626" i="1"/>
  <c r="S626" i="1" s="1"/>
  <c r="F626" i="1"/>
  <c r="E626" i="1"/>
  <c r="D626" i="1"/>
  <c r="C626" i="1"/>
  <c r="B626" i="1"/>
  <c r="AD625" i="1"/>
  <c r="AC625" i="1"/>
  <c r="T625" i="1"/>
  <c r="S625" i="1"/>
  <c r="M625" i="1" a="1"/>
  <c r="M625" i="1" s="1"/>
  <c r="N625" i="1" s="1"/>
  <c r="Q625" i="1" s="1"/>
  <c r="L625" i="1"/>
  <c r="K625" i="1"/>
  <c r="J625" i="1"/>
  <c r="I625" i="1"/>
  <c r="H625" i="1"/>
  <c r="G625" i="1"/>
  <c r="F625" i="1"/>
  <c r="R625" i="1" s="1"/>
  <c r="E625" i="1"/>
  <c r="D625" i="1"/>
  <c r="C625" i="1"/>
  <c r="B625" i="1"/>
  <c r="AC624" i="1"/>
  <c r="M624" i="1"/>
  <c r="N624" i="1" s="1"/>
  <c r="M624" i="1" a="1"/>
  <c r="L624" i="1"/>
  <c r="K624" i="1"/>
  <c r="J624" i="1"/>
  <c r="I624" i="1"/>
  <c r="H624" i="1"/>
  <c r="G624" i="1"/>
  <c r="F624" i="1"/>
  <c r="E624" i="1"/>
  <c r="D624" i="1"/>
  <c r="C624" i="1"/>
  <c r="B624" i="1"/>
  <c r="M623" i="1" a="1"/>
  <c r="M623" i="1" s="1"/>
  <c r="L623" i="1"/>
  <c r="K623" i="1"/>
  <c r="J623" i="1"/>
  <c r="I623" i="1"/>
  <c r="N623" i="1" s="1"/>
  <c r="H623" i="1"/>
  <c r="G623" i="1"/>
  <c r="S623" i="1" s="1"/>
  <c r="F623" i="1"/>
  <c r="E623" i="1"/>
  <c r="D623" i="1"/>
  <c r="C623" i="1"/>
  <c r="B623" i="1"/>
  <c r="M622" i="1" a="1"/>
  <c r="M622" i="1" s="1"/>
  <c r="N622" i="1" s="1"/>
  <c r="L622" i="1"/>
  <c r="K622" i="1"/>
  <c r="J622" i="1"/>
  <c r="I622" i="1"/>
  <c r="H622" i="1"/>
  <c r="G622" i="1"/>
  <c r="F622" i="1"/>
  <c r="E622" i="1"/>
  <c r="D622" i="1"/>
  <c r="C622" i="1"/>
  <c r="B622" i="1"/>
  <c r="M621" i="1" a="1"/>
  <c r="M621" i="1" s="1"/>
  <c r="L621" i="1"/>
  <c r="K621" i="1"/>
  <c r="J621" i="1"/>
  <c r="I621" i="1"/>
  <c r="H621" i="1"/>
  <c r="G621" i="1"/>
  <c r="F621" i="1"/>
  <c r="E621" i="1"/>
  <c r="D621" i="1"/>
  <c r="C621" i="1"/>
  <c r="B621" i="1"/>
  <c r="M620" i="1"/>
  <c r="N620" i="1" s="1"/>
  <c r="M620" i="1" a="1"/>
  <c r="L620" i="1"/>
  <c r="K620" i="1"/>
  <c r="J620" i="1"/>
  <c r="I620" i="1"/>
  <c r="H620" i="1"/>
  <c r="G620" i="1"/>
  <c r="F620" i="1"/>
  <c r="E620" i="1"/>
  <c r="D620" i="1"/>
  <c r="C620" i="1"/>
  <c r="B620" i="1"/>
  <c r="M619" i="1" a="1"/>
  <c r="M619" i="1" s="1"/>
  <c r="L619" i="1"/>
  <c r="K619" i="1"/>
  <c r="J619" i="1"/>
  <c r="I619" i="1"/>
  <c r="H619" i="1"/>
  <c r="G619" i="1"/>
  <c r="F619" i="1"/>
  <c r="E619" i="1"/>
  <c r="D619" i="1"/>
  <c r="C619" i="1"/>
  <c r="B619" i="1"/>
  <c r="M618" i="1"/>
  <c r="N618" i="1" s="1"/>
  <c r="M618" i="1" a="1"/>
  <c r="L618" i="1"/>
  <c r="K618" i="1"/>
  <c r="J618" i="1"/>
  <c r="I618" i="1"/>
  <c r="H618" i="1"/>
  <c r="G618" i="1"/>
  <c r="F618" i="1"/>
  <c r="E618" i="1"/>
  <c r="D618" i="1"/>
  <c r="C618" i="1"/>
  <c r="B618" i="1"/>
  <c r="M617" i="1" a="1"/>
  <c r="M617" i="1" s="1"/>
  <c r="L617" i="1"/>
  <c r="K617" i="1"/>
  <c r="J617" i="1"/>
  <c r="I617" i="1"/>
  <c r="H617" i="1"/>
  <c r="G617" i="1"/>
  <c r="F617" i="1"/>
  <c r="E617" i="1"/>
  <c r="D617" i="1"/>
  <c r="C617" i="1"/>
  <c r="B617" i="1"/>
  <c r="M616" i="1"/>
  <c r="M616" i="1" a="1"/>
  <c r="L616" i="1"/>
  <c r="K616" i="1"/>
  <c r="J616" i="1"/>
  <c r="I616" i="1"/>
  <c r="N616" i="1" s="1"/>
  <c r="H616" i="1"/>
  <c r="G616" i="1"/>
  <c r="S616" i="1" s="1"/>
  <c r="F616" i="1"/>
  <c r="E616" i="1"/>
  <c r="D616" i="1"/>
  <c r="C616" i="1"/>
  <c r="B616" i="1"/>
  <c r="M615" i="1"/>
  <c r="N615" i="1" s="1"/>
  <c r="M615" i="1" a="1"/>
  <c r="L615" i="1"/>
  <c r="K615" i="1"/>
  <c r="J615" i="1"/>
  <c r="I615" i="1"/>
  <c r="H615" i="1"/>
  <c r="G615" i="1"/>
  <c r="F615" i="1"/>
  <c r="E615" i="1"/>
  <c r="D615" i="1"/>
  <c r="C615" i="1"/>
  <c r="B615" i="1"/>
  <c r="M614" i="1" a="1"/>
  <c r="M614" i="1" s="1"/>
  <c r="L614" i="1"/>
  <c r="K614" i="1"/>
  <c r="J614" i="1"/>
  <c r="I614" i="1"/>
  <c r="H614" i="1"/>
  <c r="G614" i="1"/>
  <c r="F614" i="1"/>
  <c r="E614" i="1"/>
  <c r="D614" i="1"/>
  <c r="C614" i="1"/>
  <c r="B614" i="1"/>
  <c r="M613" i="1"/>
  <c r="M613" i="1" a="1"/>
  <c r="L613" i="1"/>
  <c r="K613" i="1"/>
  <c r="J613" i="1"/>
  <c r="I613" i="1"/>
  <c r="N613" i="1" s="1"/>
  <c r="H613" i="1"/>
  <c r="G613" i="1"/>
  <c r="F613" i="1"/>
  <c r="E613" i="1"/>
  <c r="D613" i="1"/>
  <c r="C613" i="1"/>
  <c r="B613" i="1"/>
  <c r="M612" i="1" a="1"/>
  <c r="M612" i="1" s="1"/>
  <c r="L612" i="1"/>
  <c r="K612" i="1"/>
  <c r="J612" i="1"/>
  <c r="I612" i="1"/>
  <c r="H612" i="1"/>
  <c r="G612" i="1"/>
  <c r="F612" i="1"/>
  <c r="E612" i="1"/>
  <c r="D612" i="1"/>
  <c r="C612" i="1"/>
  <c r="B612" i="1"/>
  <c r="AC611" i="1"/>
  <c r="M611" i="1" a="1"/>
  <c r="M611" i="1" s="1"/>
  <c r="N611" i="1" s="1"/>
  <c r="L611" i="1"/>
  <c r="K611" i="1"/>
  <c r="J611" i="1"/>
  <c r="I611" i="1"/>
  <c r="H611" i="1"/>
  <c r="G611" i="1"/>
  <c r="F611" i="1"/>
  <c r="E611" i="1"/>
  <c r="D611" i="1"/>
  <c r="C611" i="1"/>
  <c r="B611" i="1"/>
  <c r="M610" i="1" a="1"/>
  <c r="M610" i="1" s="1"/>
  <c r="N610" i="1" s="1"/>
  <c r="L610" i="1"/>
  <c r="K610" i="1"/>
  <c r="J610" i="1"/>
  <c r="I610" i="1"/>
  <c r="H610" i="1"/>
  <c r="G610" i="1"/>
  <c r="F610" i="1"/>
  <c r="E610" i="1"/>
  <c r="D610" i="1"/>
  <c r="C610" i="1"/>
  <c r="B610" i="1"/>
  <c r="N609" i="1"/>
  <c r="M609" i="1" a="1"/>
  <c r="M609" i="1" s="1"/>
  <c r="L609" i="1"/>
  <c r="K609" i="1"/>
  <c r="J609" i="1"/>
  <c r="I609" i="1"/>
  <c r="H609" i="1"/>
  <c r="G609" i="1"/>
  <c r="F609" i="1"/>
  <c r="E609" i="1"/>
  <c r="D609" i="1"/>
  <c r="C609" i="1"/>
  <c r="B609" i="1"/>
  <c r="M608" i="1"/>
  <c r="M608" i="1" a="1"/>
  <c r="L608" i="1"/>
  <c r="K608" i="1"/>
  <c r="J608" i="1"/>
  <c r="I608" i="1"/>
  <c r="H608" i="1"/>
  <c r="G608" i="1"/>
  <c r="F608" i="1"/>
  <c r="E608" i="1"/>
  <c r="D608" i="1"/>
  <c r="C608" i="1"/>
  <c r="B608" i="1"/>
  <c r="M607" i="1" a="1"/>
  <c r="M607" i="1" s="1"/>
  <c r="L607" i="1"/>
  <c r="K607" i="1"/>
  <c r="J607" i="1"/>
  <c r="I607" i="1"/>
  <c r="H607" i="1"/>
  <c r="G607" i="1"/>
  <c r="F607" i="1"/>
  <c r="E607" i="1"/>
  <c r="D607" i="1"/>
  <c r="C607" i="1"/>
  <c r="B607" i="1"/>
  <c r="R606" i="1"/>
  <c r="Q606" i="1"/>
  <c r="M606" i="1"/>
  <c r="N606" i="1" s="1"/>
  <c r="M606" i="1" a="1"/>
  <c r="L606" i="1"/>
  <c r="K606" i="1"/>
  <c r="J606" i="1"/>
  <c r="I606" i="1"/>
  <c r="H606" i="1"/>
  <c r="G606" i="1"/>
  <c r="F606" i="1"/>
  <c r="E606" i="1"/>
  <c r="D606" i="1"/>
  <c r="C606" i="1"/>
  <c r="B606" i="1"/>
  <c r="M605" i="1" a="1"/>
  <c r="M605" i="1" s="1"/>
  <c r="L605" i="1"/>
  <c r="K605" i="1"/>
  <c r="J605" i="1"/>
  <c r="I605" i="1"/>
  <c r="H605" i="1"/>
  <c r="G605" i="1"/>
  <c r="F605" i="1"/>
  <c r="E605" i="1"/>
  <c r="D605" i="1"/>
  <c r="C605" i="1"/>
  <c r="B605" i="1"/>
  <c r="M604" i="1"/>
  <c r="M604" i="1" a="1"/>
  <c r="L604" i="1"/>
  <c r="K604" i="1"/>
  <c r="J604" i="1"/>
  <c r="I604" i="1"/>
  <c r="H604" i="1"/>
  <c r="G604" i="1"/>
  <c r="F604" i="1"/>
  <c r="E604" i="1"/>
  <c r="D604" i="1"/>
  <c r="C604" i="1"/>
  <c r="B604" i="1"/>
  <c r="M603" i="1" a="1"/>
  <c r="M603" i="1" s="1"/>
  <c r="L603" i="1"/>
  <c r="K603" i="1"/>
  <c r="J603" i="1"/>
  <c r="I603" i="1"/>
  <c r="H603" i="1"/>
  <c r="G603" i="1"/>
  <c r="F603" i="1"/>
  <c r="E603" i="1"/>
  <c r="D603" i="1"/>
  <c r="C603" i="1"/>
  <c r="B603" i="1"/>
  <c r="M602" i="1" a="1"/>
  <c r="M602" i="1" s="1"/>
  <c r="L602" i="1"/>
  <c r="K602" i="1"/>
  <c r="J602" i="1"/>
  <c r="I602" i="1"/>
  <c r="H602" i="1"/>
  <c r="G602" i="1"/>
  <c r="F602" i="1"/>
  <c r="E602" i="1"/>
  <c r="D602" i="1"/>
  <c r="C602" i="1"/>
  <c r="B602" i="1"/>
  <c r="AK601" i="1"/>
  <c r="AD601" i="1"/>
  <c r="AC601" i="1"/>
  <c r="T601" i="1"/>
  <c r="M601" i="1"/>
  <c r="N601" i="1" s="1"/>
  <c r="Q601" i="1" s="1"/>
  <c r="M601" i="1" a="1"/>
  <c r="L601" i="1"/>
  <c r="K601" i="1"/>
  <c r="J601" i="1"/>
  <c r="I601" i="1"/>
  <c r="H601" i="1"/>
  <c r="G601" i="1"/>
  <c r="S601" i="1" s="1"/>
  <c r="F601" i="1"/>
  <c r="R601" i="1" s="1"/>
  <c r="E601" i="1"/>
  <c r="D601" i="1"/>
  <c r="C601" i="1"/>
  <c r="B601" i="1"/>
  <c r="M600" i="1" a="1"/>
  <c r="M600" i="1" s="1"/>
  <c r="L600" i="1"/>
  <c r="K600" i="1"/>
  <c r="J600" i="1"/>
  <c r="I600" i="1"/>
  <c r="H600" i="1"/>
  <c r="G600" i="1"/>
  <c r="F600" i="1"/>
  <c r="E600" i="1"/>
  <c r="D600" i="1"/>
  <c r="C600" i="1"/>
  <c r="B600" i="1"/>
  <c r="M599" i="1" a="1"/>
  <c r="M599" i="1" s="1"/>
  <c r="L599" i="1"/>
  <c r="K599" i="1"/>
  <c r="J599" i="1"/>
  <c r="I599" i="1"/>
  <c r="H599" i="1"/>
  <c r="G599" i="1"/>
  <c r="F599" i="1"/>
  <c r="E599" i="1"/>
  <c r="D599" i="1"/>
  <c r="C599" i="1"/>
  <c r="B599" i="1"/>
  <c r="M598" i="1" a="1"/>
  <c r="M598" i="1" s="1"/>
  <c r="N598" i="1" s="1"/>
  <c r="L598" i="1"/>
  <c r="K598" i="1"/>
  <c r="J598" i="1"/>
  <c r="I598" i="1"/>
  <c r="H598" i="1"/>
  <c r="G598" i="1"/>
  <c r="F598" i="1"/>
  <c r="E598" i="1"/>
  <c r="D598" i="1"/>
  <c r="C598" i="1"/>
  <c r="B598" i="1"/>
  <c r="AC597" i="1"/>
  <c r="M597" i="1" a="1"/>
  <c r="M597" i="1" s="1"/>
  <c r="L597" i="1"/>
  <c r="K597" i="1"/>
  <c r="J597" i="1"/>
  <c r="I597" i="1"/>
  <c r="N597" i="1" s="1"/>
  <c r="H597" i="1"/>
  <c r="G597" i="1"/>
  <c r="F597" i="1"/>
  <c r="E597" i="1"/>
  <c r="D597" i="1"/>
  <c r="C597" i="1"/>
  <c r="B597" i="1"/>
  <c r="M596" i="1" a="1"/>
  <c r="M596" i="1" s="1"/>
  <c r="L596" i="1"/>
  <c r="K596" i="1"/>
  <c r="J596" i="1"/>
  <c r="I596" i="1"/>
  <c r="H596" i="1"/>
  <c r="G596" i="1"/>
  <c r="F596" i="1"/>
  <c r="E596" i="1"/>
  <c r="D596" i="1"/>
  <c r="C596" i="1"/>
  <c r="B596" i="1"/>
  <c r="M595" i="1"/>
  <c r="M595" i="1" a="1"/>
  <c r="L595" i="1"/>
  <c r="K595" i="1"/>
  <c r="J595" i="1"/>
  <c r="I595" i="1"/>
  <c r="H595" i="1"/>
  <c r="G595" i="1"/>
  <c r="F595" i="1"/>
  <c r="E595" i="1"/>
  <c r="D595" i="1"/>
  <c r="C595" i="1"/>
  <c r="B595" i="1"/>
  <c r="M594" i="1"/>
  <c r="M594" i="1" a="1"/>
  <c r="L594" i="1"/>
  <c r="K594" i="1"/>
  <c r="J594" i="1"/>
  <c r="I594" i="1"/>
  <c r="H594" i="1"/>
  <c r="G594" i="1"/>
  <c r="F594" i="1"/>
  <c r="E594" i="1"/>
  <c r="D594" i="1"/>
  <c r="C594" i="1"/>
  <c r="B594" i="1"/>
  <c r="M593" i="1"/>
  <c r="M593" i="1" a="1"/>
  <c r="L593" i="1"/>
  <c r="K593" i="1"/>
  <c r="J593" i="1"/>
  <c r="I593" i="1"/>
  <c r="H593" i="1"/>
  <c r="G593" i="1"/>
  <c r="F593" i="1"/>
  <c r="E593" i="1"/>
  <c r="D593" i="1"/>
  <c r="C593" i="1"/>
  <c r="B593" i="1"/>
  <c r="M592" i="1"/>
  <c r="M592" i="1" a="1"/>
  <c r="L592" i="1"/>
  <c r="K592" i="1"/>
  <c r="J592" i="1"/>
  <c r="I592" i="1"/>
  <c r="H592" i="1"/>
  <c r="G592" i="1"/>
  <c r="F592" i="1"/>
  <c r="E592" i="1"/>
  <c r="D592" i="1"/>
  <c r="C592" i="1"/>
  <c r="B592" i="1"/>
  <c r="M591" i="1"/>
  <c r="M591" i="1" a="1"/>
  <c r="L591" i="1"/>
  <c r="K591" i="1"/>
  <c r="J591" i="1"/>
  <c r="I591" i="1"/>
  <c r="H591" i="1"/>
  <c r="G591" i="1"/>
  <c r="F591" i="1"/>
  <c r="E591" i="1"/>
  <c r="D591" i="1"/>
  <c r="C591" i="1"/>
  <c r="B591" i="1"/>
  <c r="M590" i="1"/>
  <c r="M590" i="1" a="1"/>
  <c r="L590" i="1"/>
  <c r="K590" i="1"/>
  <c r="J590" i="1"/>
  <c r="I590" i="1"/>
  <c r="H590" i="1"/>
  <c r="G590" i="1"/>
  <c r="F590" i="1"/>
  <c r="E590" i="1"/>
  <c r="D590" i="1"/>
  <c r="C590" i="1"/>
  <c r="N590" i="1" s="1"/>
  <c r="B590" i="1"/>
  <c r="AD589" i="1"/>
  <c r="AC589" i="1"/>
  <c r="T589" i="1"/>
  <c r="M589" i="1"/>
  <c r="M589" i="1" a="1"/>
  <c r="L589" i="1"/>
  <c r="K589" i="1"/>
  <c r="J589" i="1"/>
  <c r="I589" i="1"/>
  <c r="N589" i="1" s="1"/>
  <c r="Q589" i="1" s="1"/>
  <c r="H589" i="1"/>
  <c r="G589" i="1"/>
  <c r="F589" i="1"/>
  <c r="R589" i="1" s="1"/>
  <c r="E589" i="1"/>
  <c r="D589" i="1"/>
  <c r="C589" i="1"/>
  <c r="B589" i="1"/>
  <c r="AD588" i="1"/>
  <c r="AC588" i="1"/>
  <c r="M588" i="1" a="1"/>
  <c r="M588" i="1" s="1"/>
  <c r="N588" i="1" s="1"/>
  <c r="L588" i="1"/>
  <c r="K588" i="1"/>
  <c r="J588" i="1"/>
  <c r="I588" i="1"/>
  <c r="H588" i="1"/>
  <c r="G588" i="1"/>
  <c r="F588" i="1"/>
  <c r="E588" i="1"/>
  <c r="D588" i="1"/>
  <c r="C588" i="1"/>
  <c r="B588" i="1"/>
  <c r="M587" i="1" a="1"/>
  <c r="M587" i="1" s="1"/>
  <c r="L587" i="1"/>
  <c r="K587" i="1"/>
  <c r="J587" i="1"/>
  <c r="I587" i="1"/>
  <c r="H587" i="1"/>
  <c r="G587" i="1"/>
  <c r="F587" i="1"/>
  <c r="E587" i="1"/>
  <c r="D587" i="1"/>
  <c r="C587" i="1"/>
  <c r="B587" i="1"/>
  <c r="M586" i="1"/>
  <c r="M586" i="1" a="1"/>
  <c r="L586" i="1"/>
  <c r="K586" i="1"/>
  <c r="J586" i="1"/>
  <c r="I586" i="1"/>
  <c r="H586" i="1"/>
  <c r="G586" i="1"/>
  <c r="F586" i="1"/>
  <c r="E586" i="1"/>
  <c r="D586" i="1"/>
  <c r="C586" i="1"/>
  <c r="B586" i="1"/>
  <c r="AC585" i="1"/>
  <c r="Z585" i="1"/>
  <c r="X585" i="1"/>
  <c r="M585" i="1"/>
  <c r="M585" i="1" a="1"/>
  <c r="L585" i="1"/>
  <c r="K585" i="1"/>
  <c r="J585" i="1"/>
  <c r="T585" i="1" s="1"/>
  <c r="I585" i="1"/>
  <c r="N585" i="1" s="1"/>
  <c r="H585" i="1"/>
  <c r="G585" i="1"/>
  <c r="S585" i="1" s="1"/>
  <c r="F585" i="1"/>
  <c r="R585" i="1" s="1"/>
  <c r="E585" i="1"/>
  <c r="D585" i="1"/>
  <c r="C585" i="1"/>
  <c r="B585" i="1"/>
  <c r="M584" i="1"/>
  <c r="M584" i="1" a="1"/>
  <c r="L584" i="1"/>
  <c r="K584" i="1"/>
  <c r="J584" i="1"/>
  <c r="I584" i="1"/>
  <c r="H584" i="1"/>
  <c r="G584" i="1"/>
  <c r="F584" i="1"/>
  <c r="E584" i="1"/>
  <c r="D584" i="1"/>
  <c r="C584" i="1"/>
  <c r="N584" i="1" s="1"/>
  <c r="B584" i="1"/>
  <c r="AD583" i="1"/>
  <c r="AC583" i="1"/>
  <c r="M583" i="1"/>
  <c r="N583" i="1" s="1"/>
  <c r="M583" i="1" a="1"/>
  <c r="L583" i="1"/>
  <c r="K583" i="1"/>
  <c r="J583" i="1"/>
  <c r="I583" i="1"/>
  <c r="H583" i="1"/>
  <c r="G583" i="1"/>
  <c r="F583" i="1"/>
  <c r="E583" i="1"/>
  <c r="D583" i="1"/>
  <c r="C583" i="1"/>
  <c r="B583" i="1"/>
  <c r="M582" i="1"/>
  <c r="M582" i="1" a="1"/>
  <c r="L582" i="1"/>
  <c r="K582" i="1"/>
  <c r="J582" i="1"/>
  <c r="I582" i="1"/>
  <c r="H582" i="1"/>
  <c r="G582" i="1"/>
  <c r="F582" i="1"/>
  <c r="E582" i="1"/>
  <c r="D582" i="1"/>
  <c r="C582" i="1"/>
  <c r="B582" i="1"/>
  <c r="S581" i="1"/>
  <c r="M581" i="1"/>
  <c r="M581" i="1" a="1"/>
  <c r="L581" i="1"/>
  <c r="K581" i="1"/>
  <c r="J581" i="1"/>
  <c r="I581" i="1"/>
  <c r="N581" i="1" s="1"/>
  <c r="H581" i="1"/>
  <c r="G581" i="1"/>
  <c r="F581" i="1"/>
  <c r="E581" i="1"/>
  <c r="D581" i="1"/>
  <c r="C581" i="1"/>
  <c r="B581" i="1"/>
  <c r="M580" i="1" a="1"/>
  <c r="M580" i="1" s="1"/>
  <c r="L580" i="1"/>
  <c r="K580" i="1"/>
  <c r="J580" i="1"/>
  <c r="I580" i="1"/>
  <c r="H580" i="1"/>
  <c r="G580" i="1"/>
  <c r="F580" i="1"/>
  <c r="E580" i="1"/>
  <c r="D580" i="1"/>
  <c r="C580" i="1"/>
  <c r="B580" i="1"/>
  <c r="M579" i="1" a="1"/>
  <c r="M579" i="1" s="1"/>
  <c r="N579" i="1" s="1"/>
  <c r="L579" i="1"/>
  <c r="K579" i="1"/>
  <c r="J579" i="1"/>
  <c r="I579" i="1"/>
  <c r="H579" i="1"/>
  <c r="G579" i="1"/>
  <c r="F579" i="1"/>
  <c r="E579" i="1"/>
  <c r="D579" i="1"/>
  <c r="C579" i="1"/>
  <c r="B579" i="1"/>
  <c r="T578" i="1"/>
  <c r="S578" i="1"/>
  <c r="M578" i="1" a="1"/>
  <c r="M578" i="1" s="1"/>
  <c r="L578" i="1"/>
  <c r="K578" i="1"/>
  <c r="J578" i="1"/>
  <c r="I578" i="1"/>
  <c r="N578" i="1" s="1"/>
  <c r="H578" i="1"/>
  <c r="G578" i="1"/>
  <c r="F578" i="1"/>
  <c r="E578" i="1"/>
  <c r="D578" i="1"/>
  <c r="C578" i="1"/>
  <c r="B578" i="1"/>
  <c r="S577" i="1"/>
  <c r="M577" i="1"/>
  <c r="N577" i="1" s="1"/>
  <c r="M577" i="1" a="1"/>
  <c r="L577" i="1"/>
  <c r="K577" i="1"/>
  <c r="J577" i="1"/>
  <c r="I577" i="1"/>
  <c r="H577" i="1"/>
  <c r="G577" i="1"/>
  <c r="F577" i="1"/>
  <c r="E577" i="1"/>
  <c r="D577" i="1"/>
  <c r="C577" i="1"/>
  <c r="B577" i="1"/>
  <c r="M576" i="1" a="1"/>
  <c r="M576" i="1" s="1"/>
  <c r="L576" i="1"/>
  <c r="K576" i="1"/>
  <c r="J576" i="1"/>
  <c r="I576" i="1"/>
  <c r="H576" i="1"/>
  <c r="G576" i="1"/>
  <c r="F576" i="1"/>
  <c r="E576" i="1"/>
  <c r="D576" i="1"/>
  <c r="C576" i="1"/>
  <c r="B576" i="1"/>
  <c r="M575" i="1" a="1"/>
  <c r="M575" i="1" s="1"/>
  <c r="L575" i="1"/>
  <c r="K575" i="1"/>
  <c r="J575" i="1"/>
  <c r="I575" i="1"/>
  <c r="N575" i="1" s="1"/>
  <c r="H575" i="1"/>
  <c r="G575" i="1"/>
  <c r="F575" i="1"/>
  <c r="E575" i="1"/>
  <c r="D575" i="1"/>
  <c r="C575" i="1"/>
  <c r="B575" i="1"/>
  <c r="AD574" i="1"/>
  <c r="S574" i="1"/>
  <c r="M574" i="1"/>
  <c r="N574" i="1" s="1"/>
  <c r="M574" i="1" a="1"/>
  <c r="L574" i="1"/>
  <c r="K574" i="1"/>
  <c r="J574" i="1"/>
  <c r="I574" i="1"/>
  <c r="H574" i="1"/>
  <c r="G574" i="1"/>
  <c r="F574" i="1"/>
  <c r="E574" i="1"/>
  <c r="D574" i="1"/>
  <c r="C574" i="1"/>
  <c r="B574" i="1"/>
  <c r="M573" i="1"/>
  <c r="M573" i="1" a="1"/>
  <c r="L573" i="1"/>
  <c r="K573" i="1"/>
  <c r="J573" i="1"/>
  <c r="I573" i="1"/>
  <c r="H573" i="1"/>
  <c r="G573" i="1"/>
  <c r="F573" i="1"/>
  <c r="E573" i="1"/>
  <c r="D573" i="1"/>
  <c r="C573" i="1"/>
  <c r="N573" i="1" s="1"/>
  <c r="B573" i="1"/>
  <c r="M572" i="1"/>
  <c r="M572" i="1" a="1"/>
  <c r="L572" i="1"/>
  <c r="K572" i="1"/>
  <c r="J572" i="1"/>
  <c r="I572" i="1"/>
  <c r="H572" i="1"/>
  <c r="G572" i="1"/>
  <c r="F572" i="1"/>
  <c r="E572" i="1"/>
  <c r="D572" i="1"/>
  <c r="C572" i="1"/>
  <c r="B572" i="1"/>
  <c r="M571" i="1" a="1"/>
  <c r="M571" i="1" s="1"/>
  <c r="L571" i="1"/>
  <c r="K571" i="1"/>
  <c r="J571" i="1"/>
  <c r="I571" i="1"/>
  <c r="H571" i="1"/>
  <c r="G571" i="1"/>
  <c r="F571" i="1"/>
  <c r="E571" i="1"/>
  <c r="D571" i="1"/>
  <c r="C571" i="1"/>
  <c r="B571" i="1"/>
  <c r="M570" i="1"/>
  <c r="M570" i="1" a="1"/>
  <c r="L570" i="1"/>
  <c r="K570" i="1"/>
  <c r="J570" i="1"/>
  <c r="I570" i="1"/>
  <c r="H570" i="1"/>
  <c r="G570" i="1"/>
  <c r="F570" i="1"/>
  <c r="E570" i="1"/>
  <c r="D570" i="1"/>
  <c r="C570" i="1"/>
  <c r="B570" i="1"/>
  <c r="M569" i="1" a="1"/>
  <c r="M569" i="1" s="1"/>
  <c r="L569" i="1"/>
  <c r="K569" i="1"/>
  <c r="J569" i="1"/>
  <c r="I569" i="1"/>
  <c r="H569" i="1"/>
  <c r="G569" i="1"/>
  <c r="F569" i="1"/>
  <c r="E569" i="1"/>
  <c r="D569" i="1"/>
  <c r="C569" i="1"/>
  <c r="B569" i="1"/>
  <c r="M568" i="1" a="1"/>
  <c r="M568" i="1" s="1"/>
  <c r="L568" i="1"/>
  <c r="K568" i="1"/>
  <c r="J568" i="1"/>
  <c r="I568" i="1"/>
  <c r="H568" i="1"/>
  <c r="G568" i="1"/>
  <c r="F568" i="1"/>
  <c r="E568" i="1"/>
  <c r="D568" i="1"/>
  <c r="C568" i="1"/>
  <c r="B568" i="1"/>
  <c r="M567" i="1"/>
  <c r="M567" i="1" a="1"/>
  <c r="L567" i="1"/>
  <c r="K567" i="1"/>
  <c r="J567" i="1"/>
  <c r="I567" i="1"/>
  <c r="H567" i="1"/>
  <c r="G567" i="1"/>
  <c r="F567" i="1"/>
  <c r="E567" i="1"/>
  <c r="D567" i="1"/>
  <c r="C567" i="1"/>
  <c r="B567" i="1"/>
  <c r="M566" i="1" a="1"/>
  <c r="M566" i="1" s="1"/>
  <c r="L566" i="1"/>
  <c r="K566" i="1"/>
  <c r="J566" i="1"/>
  <c r="I566" i="1"/>
  <c r="H566" i="1"/>
  <c r="G566" i="1"/>
  <c r="F566" i="1"/>
  <c r="E566" i="1"/>
  <c r="D566" i="1"/>
  <c r="C566" i="1"/>
  <c r="B566" i="1"/>
  <c r="M565" i="1" a="1"/>
  <c r="M565" i="1" s="1"/>
  <c r="L565" i="1"/>
  <c r="K565" i="1"/>
  <c r="J565" i="1"/>
  <c r="I565" i="1"/>
  <c r="H565" i="1"/>
  <c r="G565" i="1"/>
  <c r="F565" i="1"/>
  <c r="E565" i="1"/>
  <c r="D565" i="1"/>
  <c r="C565" i="1"/>
  <c r="B565" i="1"/>
  <c r="M564" i="1"/>
  <c r="M564" i="1" a="1"/>
  <c r="L564" i="1"/>
  <c r="K564" i="1"/>
  <c r="J564" i="1"/>
  <c r="I564" i="1"/>
  <c r="H564" i="1"/>
  <c r="G564" i="1"/>
  <c r="F564" i="1"/>
  <c r="E564" i="1"/>
  <c r="D564" i="1"/>
  <c r="C564" i="1"/>
  <c r="B564" i="1"/>
  <c r="Q563" i="1"/>
  <c r="M563" i="1" a="1"/>
  <c r="M563" i="1" s="1"/>
  <c r="L563" i="1"/>
  <c r="K563" i="1"/>
  <c r="J563" i="1"/>
  <c r="I563" i="1"/>
  <c r="H563" i="1"/>
  <c r="G563" i="1"/>
  <c r="F563" i="1"/>
  <c r="E563" i="1"/>
  <c r="D563" i="1"/>
  <c r="C563" i="1"/>
  <c r="N563" i="1" s="1"/>
  <c r="B563" i="1"/>
  <c r="M562" i="1" a="1"/>
  <c r="M562" i="1" s="1"/>
  <c r="L562" i="1"/>
  <c r="K562" i="1"/>
  <c r="J562" i="1"/>
  <c r="I562" i="1"/>
  <c r="H562" i="1"/>
  <c r="G562" i="1"/>
  <c r="F562" i="1"/>
  <c r="E562" i="1"/>
  <c r="D562" i="1"/>
  <c r="C562" i="1"/>
  <c r="B562" i="1"/>
  <c r="M561" i="1"/>
  <c r="M561" i="1" a="1"/>
  <c r="L561" i="1"/>
  <c r="K561" i="1"/>
  <c r="J561" i="1"/>
  <c r="I561" i="1"/>
  <c r="H561" i="1"/>
  <c r="G561" i="1"/>
  <c r="F561" i="1"/>
  <c r="E561" i="1"/>
  <c r="D561" i="1"/>
  <c r="C561" i="1"/>
  <c r="N561" i="1" s="1"/>
  <c r="B561" i="1"/>
  <c r="Q560" i="1"/>
  <c r="M560" i="1" a="1"/>
  <c r="M560" i="1" s="1"/>
  <c r="L560" i="1"/>
  <c r="K560" i="1"/>
  <c r="J560" i="1"/>
  <c r="I560" i="1"/>
  <c r="H560" i="1"/>
  <c r="G560" i="1"/>
  <c r="S560" i="1" s="1"/>
  <c r="F560" i="1"/>
  <c r="T560" i="1" s="1"/>
  <c r="E560" i="1"/>
  <c r="D560" i="1"/>
  <c r="C560" i="1"/>
  <c r="N560" i="1" s="1"/>
  <c r="AC560" i="1" s="1"/>
  <c r="B560" i="1"/>
  <c r="M559" i="1" a="1"/>
  <c r="M559" i="1" s="1"/>
  <c r="L559" i="1"/>
  <c r="K559" i="1"/>
  <c r="J559" i="1"/>
  <c r="I559" i="1"/>
  <c r="N559" i="1" s="1"/>
  <c r="H559" i="1"/>
  <c r="G559" i="1"/>
  <c r="S559" i="1" s="1"/>
  <c r="F559" i="1"/>
  <c r="E559" i="1"/>
  <c r="D559" i="1"/>
  <c r="C559" i="1"/>
  <c r="B559" i="1"/>
  <c r="M558" i="1"/>
  <c r="M558" i="1" a="1"/>
  <c r="L558" i="1"/>
  <c r="K558" i="1"/>
  <c r="J558" i="1"/>
  <c r="I558" i="1"/>
  <c r="H558" i="1"/>
  <c r="G558" i="1"/>
  <c r="F558" i="1"/>
  <c r="E558" i="1"/>
  <c r="D558" i="1"/>
  <c r="C558" i="1"/>
  <c r="B558" i="1"/>
  <c r="M557" i="1" a="1"/>
  <c r="M557" i="1" s="1"/>
  <c r="N557" i="1" s="1"/>
  <c r="L557" i="1"/>
  <c r="K557" i="1"/>
  <c r="J557" i="1"/>
  <c r="I557" i="1"/>
  <c r="H557" i="1"/>
  <c r="G557" i="1"/>
  <c r="S557" i="1" s="1"/>
  <c r="F557" i="1"/>
  <c r="E557" i="1"/>
  <c r="D557" i="1"/>
  <c r="C557" i="1"/>
  <c r="B557" i="1"/>
  <c r="M556" i="1" a="1"/>
  <c r="M556" i="1" s="1"/>
  <c r="L556" i="1"/>
  <c r="K556" i="1"/>
  <c r="J556" i="1"/>
  <c r="I556" i="1"/>
  <c r="H556" i="1"/>
  <c r="G556" i="1"/>
  <c r="F556" i="1"/>
  <c r="E556" i="1"/>
  <c r="D556" i="1"/>
  <c r="C556" i="1"/>
  <c r="B556" i="1"/>
  <c r="M555" i="1" a="1"/>
  <c r="M555" i="1" s="1"/>
  <c r="L555" i="1"/>
  <c r="K555" i="1"/>
  <c r="J555" i="1"/>
  <c r="I555" i="1"/>
  <c r="N555" i="1" s="1"/>
  <c r="H555" i="1"/>
  <c r="G555" i="1"/>
  <c r="F555" i="1"/>
  <c r="E555" i="1"/>
  <c r="D555" i="1"/>
  <c r="C555" i="1"/>
  <c r="B555" i="1"/>
  <c r="M554" i="1"/>
  <c r="M554" i="1" a="1"/>
  <c r="L554" i="1"/>
  <c r="K554" i="1"/>
  <c r="J554" i="1"/>
  <c r="I554" i="1"/>
  <c r="N554" i="1" s="1"/>
  <c r="H554" i="1"/>
  <c r="G554" i="1"/>
  <c r="F554" i="1"/>
  <c r="E554" i="1"/>
  <c r="D554" i="1"/>
  <c r="C554" i="1"/>
  <c r="B554" i="1"/>
  <c r="M553" i="1" a="1"/>
  <c r="M553" i="1" s="1"/>
  <c r="L553" i="1"/>
  <c r="K553" i="1"/>
  <c r="J553" i="1"/>
  <c r="I553" i="1"/>
  <c r="H553" i="1"/>
  <c r="G553" i="1"/>
  <c r="F553" i="1"/>
  <c r="E553" i="1"/>
  <c r="D553" i="1"/>
  <c r="C553" i="1"/>
  <c r="B553" i="1"/>
  <c r="M552" i="1"/>
  <c r="M552" i="1" a="1"/>
  <c r="L552" i="1"/>
  <c r="K552" i="1"/>
  <c r="J552" i="1"/>
  <c r="I552" i="1"/>
  <c r="H552" i="1"/>
  <c r="G552" i="1"/>
  <c r="F552" i="1"/>
  <c r="E552" i="1"/>
  <c r="D552" i="1"/>
  <c r="C552" i="1"/>
  <c r="B552" i="1"/>
  <c r="N551" i="1"/>
  <c r="AD551" i="1" s="1"/>
  <c r="M551" i="1" a="1"/>
  <c r="M551" i="1" s="1"/>
  <c r="L551" i="1"/>
  <c r="K551" i="1"/>
  <c r="J551" i="1"/>
  <c r="I551" i="1"/>
  <c r="H551" i="1"/>
  <c r="G551" i="1"/>
  <c r="F551" i="1"/>
  <c r="E551" i="1"/>
  <c r="D551" i="1"/>
  <c r="C551" i="1"/>
  <c r="B551" i="1"/>
  <c r="M550" i="1" a="1"/>
  <c r="M550" i="1" s="1"/>
  <c r="L550" i="1"/>
  <c r="K550" i="1"/>
  <c r="J550" i="1"/>
  <c r="I550" i="1"/>
  <c r="H550" i="1"/>
  <c r="G550" i="1"/>
  <c r="F550" i="1"/>
  <c r="E550" i="1"/>
  <c r="D550" i="1"/>
  <c r="C550" i="1"/>
  <c r="B550" i="1"/>
  <c r="M549" i="1"/>
  <c r="M549" i="1" a="1"/>
  <c r="L549" i="1"/>
  <c r="K549" i="1"/>
  <c r="J549" i="1"/>
  <c r="I549" i="1"/>
  <c r="N549" i="1" s="1"/>
  <c r="H549" i="1"/>
  <c r="G549" i="1"/>
  <c r="F549" i="1"/>
  <c r="E549" i="1"/>
  <c r="D549" i="1"/>
  <c r="C549" i="1"/>
  <c r="B549" i="1"/>
  <c r="M548" i="1" a="1"/>
  <c r="M548" i="1" s="1"/>
  <c r="L548" i="1"/>
  <c r="K548" i="1"/>
  <c r="J548" i="1"/>
  <c r="I548" i="1"/>
  <c r="H548" i="1"/>
  <c r="G548" i="1"/>
  <c r="F548" i="1"/>
  <c r="E548" i="1"/>
  <c r="D548" i="1"/>
  <c r="C548" i="1"/>
  <c r="B548" i="1"/>
  <c r="M547" i="1" a="1"/>
  <c r="M547" i="1" s="1"/>
  <c r="L547" i="1"/>
  <c r="K547" i="1"/>
  <c r="J547" i="1"/>
  <c r="I547" i="1"/>
  <c r="H547" i="1"/>
  <c r="G547" i="1"/>
  <c r="F547" i="1"/>
  <c r="E547" i="1"/>
  <c r="D547" i="1"/>
  <c r="C547" i="1"/>
  <c r="B547" i="1"/>
  <c r="M546" i="1"/>
  <c r="N546" i="1" s="1"/>
  <c r="M546" i="1" a="1"/>
  <c r="L546" i="1"/>
  <c r="K546" i="1"/>
  <c r="J546" i="1"/>
  <c r="I546" i="1"/>
  <c r="H546" i="1"/>
  <c r="G546" i="1"/>
  <c r="F546" i="1"/>
  <c r="E546" i="1"/>
  <c r="D546" i="1"/>
  <c r="C546" i="1"/>
  <c r="B546" i="1"/>
  <c r="AD545" i="1"/>
  <c r="N545" i="1"/>
  <c r="M545" i="1" a="1"/>
  <c r="M545" i="1" s="1"/>
  <c r="L545" i="1"/>
  <c r="K545" i="1"/>
  <c r="J545" i="1"/>
  <c r="I545" i="1"/>
  <c r="H545" i="1"/>
  <c r="G545" i="1"/>
  <c r="S545" i="1" s="1"/>
  <c r="F545" i="1"/>
  <c r="T545" i="1" s="1"/>
  <c r="E545" i="1"/>
  <c r="D545" i="1"/>
  <c r="C545" i="1"/>
  <c r="B545" i="1"/>
  <c r="M544" i="1" a="1"/>
  <c r="M544" i="1" s="1"/>
  <c r="L544" i="1"/>
  <c r="K544" i="1"/>
  <c r="J544" i="1"/>
  <c r="I544" i="1"/>
  <c r="H544" i="1"/>
  <c r="G544" i="1"/>
  <c r="F544" i="1"/>
  <c r="E544" i="1"/>
  <c r="D544" i="1"/>
  <c r="C544" i="1"/>
  <c r="B544" i="1"/>
  <c r="M543" i="1"/>
  <c r="M543" i="1" a="1"/>
  <c r="L543" i="1"/>
  <c r="K543" i="1"/>
  <c r="J543" i="1"/>
  <c r="I543" i="1"/>
  <c r="H543" i="1"/>
  <c r="G543" i="1"/>
  <c r="F543" i="1"/>
  <c r="E543" i="1"/>
  <c r="D543" i="1"/>
  <c r="C543" i="1"/>
  <c r="B543" i="1"/>
  <c r="M542" i="1"/>
  <c r="M542" i="1" a="1"/>
  <c r="L542" i="1"/>
  <c r="K542" i="1"/>
  <c r="J542" i="1"/>
  <c r="I542" i="1"/>
  <c r="H542" i="1"/>
  <c r="G542" i="1"/>
  <c r="F542" i="1"/>
  <c r="E542" i="1"/>
  <c r="D542" i="1"/>
  <c r="C542" i="1"/>
  <c r="N542" i="1" s="1"/>
  <c r="B542" i="1"/>
  <c r="M541" i="1" a="1"/>
  <c r="M541" i="1" s="1"/>
  <c r="L541" i="1"/>
  <c r="K541" i="1"/>
  <c r="J541" i="1"/>
  <c r="I541" i="1"/>
  <c r="N541" i="1" s="1"/>
  <c r="H541" i="1"/>
  <c r="G541" i="1"/>
  <c r="S541" i="1" s="1"/>
  <c r="F541" i="1"/>
  <c r="E541" i="1"/>
  <c r="D541" i="1"/>
  <c r="C541" i="1"/>
  <c r="B541" i="1"/>
  <c r="M540" i="1"/>
  <c r="M540" i="1" a="1"/>
  <c r="L540" i="1"/>
  <c r="K540" i="1"/>
  <c r="J540" i="1"/>
  <c r="I540" i="1"/>
  <c r="N540" i="1" s="1"/>
  <c r="H540" i="1"/>
  <c r="G540" i="1"/>
  <c r="F540" i="1"/>
  <c r="E540" i="1"/>
  <c r="D540" i="1"/>
  <c r="C540" i="1"/>
  <c r="B540" i="1"/>
  <c r="M539" i="1" a="1"/>
  <c r="M539" i="1" s="1"/>
  <c r="L539" i="1"/>
  <c r="K539" i="1"/>
  <c r="J539" i="1"/>
  <c r="I539" i="1"/>
  <c r="H539" i="1"/>
  <c r="G539" i="1"/>
  <c r="F539" i="1"/>
  <c r="E539" i="1"/>
  <c r="D539" i="1"/>
  <c r="C539" i="1"/>
  <c r="B539" i="1"/>
  <c r="M538" i="1" a="1"/>
  <c r="M538" i="1" s="1"/>
  <c r="L538" i="1"/>
  <c r="K538" i="1"/>
  <c r="J538" i="1"/>
  <c r="I538" i="1"/>
  <c r="H538" i="1"/>
  <c r="G538" i="1"/>
  <c r="F538" i="1"/>
  <c r="E538" i="1"/>
  <c r="D538" i="1"/>
  <c r="C538" i="1"/>
  <c r="B538" i="1"/>
  <c r="AC537" i="1"/>
  <c r="M537" i="1"/>
  <c r="N537" i="1" s="1"/>
  <c r="M537" i="1" a="1"/>
  <c r="L537" i="1"/>
  <c r="K537" i="1"/>
  <c r="J537" i="1"/>
  <c r="I537" i="1"/>
  <c r="H537" i="1"/>
  <c r="G537" i="1"/>
  <c r="F537" i="1"/>
  <c r="E537" i="1"/>
  <c r="D537" i="1"/>
  <c r="C537" i="1"/>
  <c r="B537" i="1"/>
  <c r="M536" i="1" a="1"/>
  <c r="M536" i="1" s="1"/>
  <c r="L536" i="1"/>
  <c r="K536" i="1"/>
  <c r="J536" i="1"/>
  <c r="I536" i="1"/>
  <c r="H536" i="1"/>
  <c r="G536" i="1"/>
  <c r="F536" i="1"/>
  <c r="E536" i="1"/>
  <c r="D536" i="1"/>
  <c r="C536" i="1"/>
  <c r="B536" i="1"/>
  <c r="T535" i="1"/>
  <c r="M535" i="1" a="1"/>
  <c r="M535" i="1" s="1"/>
  <c r="L535" i="1"/>
  <c r="K535" i="1"/>
  <c r="J535" i="1"/>
  <c r="I535" i="1"/>
  <c r="N535" i="1" s="1"/>
  <c r="H535" i="1"/>
  <c r="G535" i="1"/>
  <c r="F535" i="1"/>
  <c r="E535" i="1"/>
  <c r="D535" i="1"/>
  <c r="C535" i="1"/>
  <c r="B535" i="1"/>
  <c r="M534" i="1"/>
  <c r="M534" i="1" a="1"/>
  <c r="L534" i="1"/>
  <c r="K534" i="1"/>
  <c r="J534" i="1"/>
  <c r="I534" i="1"/>
  <c r="H534" i="1"/>
  <c r="G534" i="1"/>
  <c r="F534" i="1"/>
  <c r="E534" i="1"/>
  <c r="D534" i="1"/>
  <c r="C534" i="1"/>
  <c r="B534" i="1"/>
  <c r="M533" i="1" a="1"/>
  <c r="M533" i="1" s="1"/>
  <c r="L533" i="1"/>
  <c r="K533" i="1"/>
  <c r="J533" i="1"/>
  <c r="I533" i="1"/>
  <c r="H533" i="1"/>
  <c r="G533" i="1"/>
  <c r="F533" i="1"/>
  <c r="E533" i="1"/>
  <c r="D533" i="1"/>
  <c r="C533" i="1"/>
  <c r="B533" i="1"/>
  <c r="M532" i="1" a="1"/>
  <c r="M532" i="1" s="1"/>
  <c r="L532" i="1"/>
  <c r="K532" i="1"/>
  <c r="J532" i="1"/>
  <c r="I532" i="1"/>
  <c r="H532" i="1"/>
  <c r="G532" i="1"/>
  <c r="F532" i="1"/>
  <c r="E532" i="1"/>
  <c r="D532" i="1"/>
  <c r="C532" i="1"/>
  <c r="B532" i="1"/>
  <c r="M531" i="1"/>
  <c r="M531" i="1" a="1"/>
  <c r="L531" i="1"/>
  <c r="K531" i="1"/>
  <c r="J531" i="1"/>
  <c r="I531" i="1"/>
  <c r="H531" i="1"/>
  <c r="G531" i="1"/>
  <c r="F531" i="1"/>
  <c r="E531" i="1"/>
  <c r="D531" i="1"/>
  <c r="C531" i="1"/>
  <c r="B531" i="1"/>
  <c r="M530" i="1"/>
  <c r="M530" i="1" a="1"/>
  <c r="L530" i="1"/>
  <c r="K530" i="1"/>
  <c r="J530" i="1"/>
  <c r="I530" i="1"/>
  <c r="H530" i="1"/>
  <c r="G530" i="1"/>
  <c r="F530" i="1"/>
  <c r="E530" i="1"/>
  <c r="D530" i="1"/>
  <c r="C530" i="1"/>
  <c r="B530" i="1"/>
  <c r="AC529" i="1"/>
  <c r="M529" i="1" a="1"/>
  <c r="M529" i="1" s="1"/>
  <c r="L529" i="1"/>
  <c r="K529" i="1"/>
  <c r="J529" i="1"/>
  <c r="I529" i="1"/>
  <c r="N529" i="1" s="1"/>
  <c r="H529" i="1"/>
  <c r="G529" i="1"/>
  <c r="S529" i="1" s="1"/>
  <c r="F529" i="1"/>
  <c r="E529" i="1"/>
  <c r="D529" i="1"/>
  <c r="C529" i="1"/>
  <c r="B529" i="1"/>
  <c r="M528" i="1" a="1"/>
  <c r="M528" i="1" s="1"/>
  <c r="L528" i="1"/>
  <c r="K528" i="1"/>
  <c r="J528" i="1"/>
  <c r="I528" i="1"/>
  <c r="N528" i="1" s="1"/>
  <c r="H528" i="1"/>
  <c r="G528" i="1"/>
  <c r="F528" i="1"/>
  <c r="E528" i="1"/>
  <c r="D528" i="1"/>
  <c r="C528" i="1"/>
  <c r="B528" i="1"/>
  <c r="M527" i="1" a="1"/>
  <c r="M527" i="1" s="1"/>
  <c r="N527" i="1" s="1"/>
  <c r="L527" i="1"/>
  <c r="K527" i="1"/>
  <c r="J527" i="1"/>
  <c r="I527" i="1"/>
  <c r="H527" i="1"/>
  <c r="G527" i="1"/>
  <c r="F527" i="1"/>
  <c r="E527" i="1"/>
  <c r="D527" i="1"/>
  <c r="C527" i="1"/>
  <c r="B527" i="1"/>
  <c r="AG526" i="1"/>
  <c r="AC526" i="1"/>
  <c r="S526" i="1"/>
  <c r="R526" i="1"/>
  <c r="Q526" i="1"/>
  <c r="M526" i="1" a="1"/>
  <c r="M526" i="1" s="1"/>
  <c r="N526" i="1" s="1"/>
  <c r="AD526" i="1" s="1"/>
  <c r="L526" i="1"/>
  <c r="K526" i="1"/>
  <c r="J526" i="1"/>
  <c r="I526" i="1"/>
  <c r="H526" i="1"/>
  <c r="G526" i="1"/>
  <c r="F526" i="1"/>
  <c r="E526" i="1"/>
  <c r="D526" i="1"/>
  <c r="C526" i="1"/>
  <c r="B526" i="1"/>
  <c r="M525" i="1" a="1"/>
  <c r="M525" i="1" s="1"/>
  <c r="L525" i="1"/>
  <c r="K525" i="1"/>
  <c r="J525" i="1"/>
  <c r="I525" i="1"/>
  <c r="N525" i="1" s="1"/>
  <c r="H525" i="1"/>
  <c r="G525" i="1"/>
  <c r="F525" i="1"/>
  <c r="E525" i="1"/>
  <c r="D525" i="1"/>
  <c r="C525" i="1"/>
  <c r="B525" i="1"/>
  <c r="M524" i="1"/>
  <c r="M524" i="1" a="1"/>
  <c r="L524" i="1"/>
  <c r="K524" i="1"/>
  <c r="J524" i="1"/>
  <c r="I524" i="1"/>
  <c r="H524" i="1"/>
  <c r="G524" i="1"/>
  <c r="F524" i="1"/>
  <c r="E524" i="1"/>
  <c r="D524" i="1"/>
  <c r="C524" i="1"/>
  <c r="N524" i="1" s="1"/>
  <c r="B524" i="1"/>
  <c r="M523" i="1"/>
  <c r="M523" i="1" a="1"/>
  <c r="L523" i="1"/>
  <c r="K523" i="1"/>
  <c r="J523" i="1"/>
  <c r="I523" i="1"/>
  <c r="H523" i="1"/>
  <c r="G523" i="1"/>
  <c r="F523" i="1"/>
  <c r="E523" i="1"/>
  <c r="D523" i="1"/>
  <c r="C523" i="1"/>
  <c r="B523" i="1"/>
  <c r="M522" i="1"/>
  <c r="M522" i="1" a="1"/>
  <c r="L522" i="1"/>
  <c r="K522" i="1"/>
  <c r="J522" i="1"/>
  <c r="I522" i="1"/>
  <c r="H522" i="1"/>
  <c r="G522" i="1"/>
  <c r="F522" i="1"/>
  <c r="E522" i="1"/>
  <c r="D522" i="1"/>
  <c r="C522" i="1"/>
  <c r="B522" i="1"/>
  <c r="M521" i="1" a="1"/>
  <c r="M521" i="1" s="1"/>
  <c r="N521" i="1" s="1"/>
  <c r="L521" i="1"/>
  <c r="K521" i="1"/>
  <c r="J521" i="1"/>
  <c r="I521" i="1"/>
  <c r="H521" i="1"/>
  <c r="G521" i="1"/>
  <c r="F521" i="1"/>
  <c r="E521" i="1"/>
  <c r="D521" i="1"/>
  <c r="C521" i="1"/>
  <c r="B521" i="1"/>
  <c r="M520" i="1" a="1"/>
  <c r="M520" i="1" s="1"/>
  <c r="L520" i="1"/>
  <c r="K520" i="1"/>
  <c r="J520" i="1"/>
  <c r="I520" i="1"/>
  <c r="H520" i="1"/>
  <c r="G520" i="1"/>
  <c r="F520" i="1"/>
  <c r="E520" i="1"/>
  <c r="D520" i="1"/>
  <c r="C520" i="1"/>
  <c r="B520" i="1"/>
  <c r="M519" i="1"/>
  <c r="N519" i="1" s="1"/>
  <c r="M519" i="1" a="1"/>
  <c r="L519" i="1"/>
  <c r="K519" i="1"/>
  <c r="J519" i="1"/>
  <c r="I519" i="1"/>
  <c r="H519" i="1"/>
  <c r="G519" i="1"/>
  <c r="F519" i="1"/>
  <c r="E519" i="1"/>
  <c r="D519" i="1"/>
  <c r="C519" i="1"/>
  <c r="B519" i="1"/>
  <c r="M518" i="1" a="1"/>
  <c r="M518" i="1" s="1"/>
  <c r="L518" i="1"/>
  <c r="K518" i="1"/>
  <c r="J518" i="1"/>
  <c r="I518" i="1"/>
  <c r="H518" i="1"/>
  <c r="G518" i="1"/>
  <c r="F518" i="1"/>
  <c r="E518" i="1"/>
  <c r="D518" i="1"/>
  <c r="C518" i="1"/>
  <c r="N518" i="1" s="1"/>
  <c r="B518" i="1"/>
  <c r="V517" i="1"/>
  <c r="AB517" i="1" s="1" a="1"/>
  <c r="AB517" i="1" s="1"/>
  <c r="M517" i="1"/>
  <c r="N517" i="1" s="1"/>
  <c r="M517" i="1" a="1"/>
  <c r="L517" i="1"/>
  <c r="K517" i="1"/>
  <c r="J517" i="1"/>
  <c r="I517" i="1"/>
  <c r="H517" i="1"/>
  <c r="G517" i="1"/>
  <c r="S517" i="1" s="1"/>
  <c r="F517" i="1"/>
  <c r="R517" i="1" s="1"/>
  <c r="E517" i="1"/>
  <c r="D517" i="1"/>
  <c r="C517" i="1"/>
  <c r="B517" i="1"/>
  <c r="R516" i="1"/>
  <c r="Q516" i="1"/>
  <c r="M516" i="1"/>
  <c r="M516" i="1" a="1"/>
  <c r="L516" i="1"/>
  <c r="K516" i="1"/>
  <c r="J516" i="1"/>
  <c r="I516" i="1"/>
  <c r="H516" i="1"/>
  <c r="G516" i="1"/>
  <c r="F516" i="1"/>
  <c r="E516" i="1"/>
  <c r="N516" i="1" s="1"/>
  <c r="D516" i="1"/>
  <c r="C516" i="1"/>
  <c r="B516" i="1"/>
  <c r="AC515" i="1"/>
  <c r="M515" i="1" a="1"/>
  <c r="M515" i="1" s="1"/>
  <c r="L515" i="1"/>
  <c r="K515" i="1"/>
  <c r="J515" i="1"/>
  <c r="I515" i="1"/>
  <c r="N515" i="1" s="1"/>
  <c r="H515" i="1"/>
  <c r="G515" i="1"/>
  <c r="F515" i="1"/>
  <c r="E515" i="1"/>
  <c r="D515" i="1"/>
  <c r="C515" i="1"/>
  <c r="B515" i="1"/>
  <c r="AD514" i="1"/>
  <c r="AC514" i="1"/>
  <c r="T514" i="1"/>
  <c r="M514" i="1"/>
  <c r="N514" i="1" s="1"/>
  <c r="M514" i="1" a="1"/>
  <c r="L514" i="1"/>
  <c r="K514" i="1"/>
  <c r="J514" i="1"/>
  <c r="I514" i="1"/>
  <c r="H514" i="1"/>
  <c r="G514" i="1"/>
  <c r="S514" i="1" s="1"/>
  <c r="F514" i="1"/>
  <c r="E514" i="1"/>
  <c r="D514" i="1"/>
  <c r="C514" i="1"/>
  <c r="B514" i="1"/>
  <c r="N513" i="1"/>
  <c r="M513" i="1" a="1"/>
  <c r="M513" i="1" s="1"/>
  <c r="L513" i="1"/>
  <c r="K513" i="1"/>
  <c r="J513" i="1"/>
  <c r="I513" i="1"/>
  <c r="H513" i="1"/>
  <c r="G513" i="1"/>
  <c r="F513" i="1"/>
  <c r="E513" i="1"/>
  <c r="D513" i="1"/>
  <c r="C513" i="1"/>
  <c r="B513" i="1"/>
  <c r="N512" i="1"/>
  <c r="M512" i="1" a="1"/>
  <c r="M512" i="1" s="1"/>
  <c r="L512" i="1"/>
  <c r="K512" i="1"/>
  <c r="J512" i="1"/>
  <c r="I512" i="1"/>
  <c r="H512" i="1"/>
  <c r="G512" i="1"/>
  <c r="F512" i="1"/>
  <c r="E512" i="1"/>
  <c r="D512" i="1"/>
  <c r="C512" i="1"/>
  <c r="B512" i="1"/>
  <c r="M511" i="1"/>
  <c r="M511" i="1" a="1"/>
  <c r="L511" i="1"/>
  <c r="K511" i="1"/>
  <c r="J511" i="1"/>
  <c r="I511" i="1"/>
  <c r="H511" i="1"/>
  <c r="G511" i="1"/>
  <c r="F511" i="1"/>
  <c r="E511" i="1"/>
  <c r="D511" i="1"/>
  <c r="C511" i="1"/>
  <c r="B511" i="1"/>
  <c r="M510" i="1"/>
  <c r="N510" i="1" s="1"/>
  <c r="M510" i="1" a="1"/>
  <c r="L510" i="1"/>
  <c r="K510" i="1"/>
  <c r="J510" i="1"/>
  <c r="I510" i="1"/>
  <c r="H510" i="1"/>
  <c r="G510" i="1"/>
  <c r="F510" i="1"/>
  <c r="E510" i="1"/>
  <c r="D510" i="1"/>
  <c r="C510" i="1"/>
  <c r="B510" i="1"/>
  <c r="M509" i="1"/>
  <c r="N509" i="1" s="1"/>
  <c r="M509" i="1" a="1"/>
  <c r="L509" i="1"/>
  <c r="K509" i="1"/>
  <c r="J509" i="1"/>
  <c r="I509" i="1"/>
  <c r="H509" i="1"/>
  <c r="G509" i="1"/>
  <c r="F509" i="1"/>
  <c r="E509" i="1"/>
  <c r="D509" i="1"/>
  <c r="C509" i="1"/>
  <c r="B509" i="1"/>
  <c r="M508" i="1"/>
  <c r="M508" i="1" a="1"/>
  <c r="L508" i="1"/>
  <c r="K508" i="1"/>
  <c r="J508" i="1"/>
  <c r="I508" i="1"/>
  <c r="H508" i="1"/>
  <c r="G508" i="1"/>
  <c r="F508" i="1"/>
  <c r="E508" i="1"/>
  <c r="D508" i="1"/>
  <c r="C508" i="1"/>
  <c r="B508" i="1"/>
  <c r="M507" i="1" a="1"/>
  <c r="M507" i="1" s="1"/>
  <c r="L507" i="1"/>
  <c r="K507" i="1"/>
  <c r="J507" i="1"/>
  <c r="I507" i="1"/>
  <c r="N507" i="1" s="1"/>
  <c r="H507" i="1"/>
  <c r="G507" i="1"/>
  <c r="F507" i="1"/>
  <c r="E507" i="1"/>
  <c r="D507" i="1"/>
  <c r="C507" i="1"/>
  <c r="B507" i="1"/>
  <c r="M506" i="1"/>
  <c r="M506" i="1" a="1"/>
  <c r="L506" i="1"/>
  <c r="K506" i="1"/>
  <c r="J506" i="1"/>
  <c r="I506" i="1"/>
  <c r="N506" i="1" s="1"/>
  <c r="H506" i="1"/>
  <c r="G506" i="1"/>
  <c r="F506" i="1"/>
  <c r="E506" i="1"/>
  <c r="D506" i="1"/>
  <c r="C506" i="1"/>
  <c r="B506" i="1"/>
  <c r="AC505" i="1"/>
  <c r="M505" i="1"/>
  <c r="N505" i="1" s="1"/>
  <c r="M505" i="1" a="1"/>
  <c r="L505" i="1"/>
  <c r="K505" i="1"/>
  <c r="J505" i="1"/>
  <c r="I505" i="1"/>
  <c r="H505" i="1"/>
  <c r="G505" i="1"/>
  <c r="S505" i="1" s="1"/>
  <c r="F505" i="1"/>
  <c r="E505" i="1"/>
  <c r="D505" i="1"/>
  <c r="C505" i="1"/>
  <c r="B505" i="1"/>
  <c r="M504" i="1" a="1"/>
  <c r="M504" i="1" s="1"/>
  <c r="L504" i="1"/>
  <c r="K504" i="1"/>
  <c r="J504" i="1"/>
  <c r="I504" i="1"/>
  <c r="H504" i="1"/>
  <c r="G504" i="1"/>
  <c r="F504" i="1"/>
  <c r="E504" i="1"/>
  <c r="D504" i="1"/>
  <c r="C504" i="1"/>
  <c r="B504" i="1"/>
  <c r="AK503" i="1"/>
  <c r="AI503" i="1"/>
  <c r="AG503" i="1"/>
  <c r="AC503" i="1"/>
  <c r="R503" i="1"/>
  <c r="M503" i="1" a="1"/>
  <c r="M503" i="1" s="1"/>
  <c r="N503" i="1" s="1"/>
  <c r="L503" i="1"/>
  <c r="K503" i="1"/>
  <c r="J503" i="1"/>
  <c r="I503" i="1"/>
  <c r="H503" i="1"/>
  <c r="G503" i="1"/>
  <c r="F503" i="1"/>
  <c r="E503" i="1"/>
  <c r="D503" i="1"/>
  <c r="C503" i="1"/>
  <c r="B503" i="1"/>
  <c r="M502" i="1" a="1"/>
  <c r="M502" i="1" s="1"/>
  <c r="N502" i="1" s="1"/>
  <c r="Q502" i="1" s="1"/>
  <c r="L502" i="1"/>
  <c r="K502" i="1"/>
  <c r="J502" i="1"/>
  <c r="I502" i="1"/>
  <c r="H502" i="1"/>
  <c r="G502" i="1"/>
  <c r="F502" i="1"/>
  <c r="E502" i="1"/>
  <c r="D502" i="1"/>
  <c r="C502" i="1"/>
  <c r="B502" i="1"/>
  <c r="S501" i="1"/>
  <c r="M501" i="1" a="1"/>
  <c r="M501" i="1" s="1"/>
  <c r="L501" i="1"/>
  <c r="K501" i="1"/>
  <c r="J501" i="1"/>
  <c r="I501" i="1"/>
  <c r="H501" i="1"/>
  <c r="G501" i="1"/>
  <c r="F501" i="1"/>
  <c r="E501" i="1"/>
  <c r="D501" i="1"/>
  <c r="C501" i="1"/>
  <c r="N501" i="1" s="1"/>
  <c r="B501" i="1"/>
  <c r="T500" i="1"/>
  <c r="M500" i="1"/>
  <c r="M500" i="1" a="1"/>
  <c r="L500" i="1"/>
  <c r="K500" i="1"/>
  <c r="J500" i="1"/>
  <c r="I500" i="1"/>
  <c r="N500" i="1" s="1"/>
  <c r="H500" i="1"/>
  <c r="G500" i="1"/>
  <c r="F500" i="1"/>
  <c r="E500" i="1"/>
  <c r="D500" i="1"/>
  <c r="C500" i="1"/>
  <c r="B500" i="1"/>
  <c r="M499" i="1"/>
  <c r="M499" i="1" a="1"/>
  <c r="L499" i="1"/>
  <c r="K499" i="1"/>
  <c r="J499" i="1"/>
  <c r="I499" i="1"/>
  <c r="N499" i="1" s="1"/>
  <c r="H499" i="1"/>
  <c r="G499" i="1"/>
  <c r="F499" i="1"/>
  <c r="E499" i="1"/>
  <c r="D499" i="1"/>
  <c r="C499" i="1"/>
  <c r="B499" i="1"/>
  <c r="M498" i="1"/>
  <c r="M498" i="1" a="1"/>
  <c r="L498" i="1"/>
  <c r="K498" i="1"/>
  <c r="J498" i="1"/>
  <c r="I498" i="1"/>
  <c r="H498" i="1"/>
  <c r="G498" i="1"/>
  <c r="F498" i="1"/>
  <c r="E498" i="1"/>
  <c r="D498" i="1"/>
  <c r="C498" i="1"/>
  <c r="B498" i="1"/>
  <c r="M497" i="1" a="1"/>
  <c r="M497" i="1" s="1"/>
  <c r="L497" i="1"/>
  <c r="K497" i="1"/>
  <c r="J497" i="1"/>
  <c r="I497" i="1"/>
  <c r="H497" i="1"/>
  <c r="G497" i="1"/>
  <c r="F497" i="1"/>
  <c r="E497" i="1"/>
  <c r="D497" i="1"/>
  <c r="C497" i="1"/>
  <c r="B497" i="1"/>
  <c r="M496" i="1" a="1"/>
  <c r="M496" i="1" s="1"/>
  <c r="L496" i="1"/>
  <c r="K496" i="1"/>
  <c r="J496" i="1"/>
  <c r="I496" i="1"/>
  <c r="H496" i="1"/>
  <c r="G496" i="1"/>
  <c r="F496" i="1"/>
  <c r="E496" i="1"/>
  <c r="D496" i="1"/>
  <c r="C496" i="1"/>
  <c r="B496" i="1"/>
  <c r="AC495" i="1"/>
  <c r="R495" i="1"/>
  <c r="Z495" i="1" s="1"/>
  <c r="M495" i="1"/>
  <c r="M495" i="1" a="1"/>
  <c r="L495" i="1"/>
  <c r="K495" i="1"/>
  <c r="J495" i="1"/>
  <c r="I495" i="1"/>
  <c r="N495" i="1" s="1"/>
  <c r="H495" i="1"/>
  <c r="G495" i="1"/>
  <c r="S495" i="1" s="1"/>
  <c r="F495" i="1"/>
  <c r="E495" i="1"/>
  <c r="D495" i="1"/>
  <c r="C495" i="1"/>
  <c r="B495" i="1"/>
  <c r="AD494" i="1"/>
  <c r="AC494" i="1"/>
  <c r="M494" i="1"/>
  <c r="N494" i="1" s="1"/>
  <c r="Q494" i="1" s="1"/>
  <c r="M494" i="1" a="1"/>
  <c r="L494" i="1"/>
  <c r="K494" i="1"/>
  <c r="J494" i="1"/>
  <c r="I494" i="1"/>
  <c r="H494" i="1"/>
  <c r="G494" i="1"/>
  <c r="F494" i="1"/>
  <c r="E494" i="1"/>
  <c r="D494" i="1"/>
  <c r="C494" i="1"/>
  <c r="B494" i="1"/>
  <c r="M493" i="1" a="1"/>
  <c r="M493" i="1" s="1"/>
  <c r="L493" i="1"/>
  <c r="K493" i="1"/>
  <c r="J493" i="1"/>
  <c r="I493" i="1"/>
  <c r="H493" i="1"/>
  <c r="G493" i="1"/>
  <c r="F493" i="1"/>
  <c r="E493" i="1"/>
  <c r="D493" i="1"/>
  <c r="C493" i="1"/>
  <c r="B493" i="1"/>
  <c r="M492" i="1"/>
  <c r="N492" i="1" s="1"/>
  <c r="M492" i="1" a="1"/>
  <c r="L492" i="1"/>
  <c r="K492" i="1"/>
  <c r="J492" i="1"/>
  <c r="I492" i="1"/>
  <c r="H492" i="1"/>
  <c r="G492" i="1"/>
  <c r="F492" i="1"/>
  <c r="E492" i="1"/>
  <c r="D492" i="1"/>
  <c r="C492" i="1"/>
  <c r="B492" i="1"/>
  <c r="M491" i="1" a="1"/>
  <c r="M491" i="1" s="1"/>
  <c r="L491" i="1"/>
  <c r="K491" i="1"/>
  <c r="J491" i="1"/>
  <c r="I491" i="1"/>
  <c r="N491" i="1" s="1"/>
  <c r="H491" i="1"/>
  <c r="G491" i="1"/>
  <c r="F491" i="1"/>
  <c r="E491" i="1"/>
  <c r="D491" i="1"/>
  <c r="C491" i="1"/>
  <c r="B491" i="1"/>
  <c r="M490" i="1"/>
  <c r="N490" i="1" s="1"/>
  <c r="M490" i="1" a="1"/>
  <c r="L490" i="1"/>
  <c r="K490" i="1"/>
  <c r="J490" i="1"/>
  <c r="I490" i="1"/>
  <c r="H490" i="1"/>
  <c r="G490" i="1"/>
  <c r="F490" i="1"/>
  <c r="E490" i="1"/>
  <c r="D490" i="1"/>
  <c r="C490" i="1"/>
  <c r="B490" i="1"/>
  <c r="M489" i="1"/>
  <c r="M489" i="1" a="1"/>
  <c r="L489" i="1"/>
  <c r="K489" i="1"/>
  <c r="J489" i="1"/>
  <c r="I489" i="1"/>
  <c r="H489" i="1"/>
  <c r="G489" i="1"/>
  <c r="F489" i="1"/>
  <c r="E489" i="1"/>
  <c r="D489" i="1"/>
  <c r="C489" i="1"/>
  <c r="B489" i="1"/>
  <c r="M488" i="1" a="1"/>
  <c r="M488" i="1" s="1"/>
  <c r="L488" i="1"/>
  <c r="K488" i="1"/>
  <c r="J488" i="1"/>
  <c r="I488" i="1"/>
  <c r="N488" i="1" s="1"/>
  <c r="H488" i="1"/>
  <c r="G488" i="1"/>
  <c r="F488" i="1"/>
  <c r="E488" i="1"/>
  <c r="D488" i="1"/>
  <c r="C488" i="1"/>
  <c r="B488" i="1"/>
  <c r="M487" i="1" a="1"/>
  <c r="M487" i="1" s="1"/>
  <c r="L487" i="1"/>
  <c r="K487" i="1"/>
  <c r="J487" i="1"/>
  <c r="I487" i="1"/>
  <c r="N487" i="1" s="1"/>
  <c r="H487" i="1"/>
  <c r="G487" i="1"/>
  <c r="F487" i="1"/>
  <c r="E487" i="1"/>
  <c r="D487" i="1"/>
  <c r="C487" i="1"/>
  <c r="B487" i="1"/>
  <c r="M486" i="1" a="1"/>
  <c r="M486" i="1" s="1"/>
  <c r="N486" i="1" s="1"/>
  <c r="L486" i="1"/>
  <c r="K486" i="1"/>
  <c r="J486" i="1"/>
  <c r="I486" i="1"/>
  <c r="H486" i="1"/>
  <c r="G486" i="1"/>
  <c r="F486" i="1"/>
  <c r="E486" i="1"/>
  <c r="D486" i="1"/>
  <c r="C486" i="1"/>
  <c r="B486" i="1"/>
  <c r="M485" i="1"/>
  <c r="M485" i="1" a="1"/>
  <c r="L485" i="1"/>
  <c r="K485" i="1"/>
  <c r="J485" i="1"/>
  <c r="I485" i="1"/>
  <c r="H485" i="1"/>
  <c r="G485" i="1"/>
  <c r="F485" i="1"/>
  <c r="E485" i="1"/>
  <c r="D485" i="1"/>
  <c r="C485" i="1"/>
  <c r="B485" i="1"/>
  <c r="M484" i="1"/>
  <c r="N484" i="1" s="1"/>
  <c r="M484" i="1" a="1"/>
  <c r="L484" i="1"/>
  <c r="K484" i="1"/>
  <c r="J484" i="1"/>
  <c r="I484" i="1"/>
  <c r="H484" i="1"/>
  <c r="G484" i="1"/>
  <c r="F484" i="1"/>
  <c r="E484" i="1"/>
  <c r="D484" i="1"/>
  <c r="C484" i="1"/>
  <c r="B484" i="1"/>
  <c r="M483" i="1" a="1"/>
  <c r="M483" i="1" s="1"/>
  <c r="L483" i="1"/>
  <c r="K483" i="1"/>
  <c r="J483" i="1"/>
  <c r="I483" i="1"/>
  <c r="H483" i="1"/>
  <c r="G483" i="1"/>
  <c r="F483" i="1"/>
  <c r="E483" i="1"/>
  <c r="D483" i="1"/>
  <c r="C483" i="1"/>
  <c r="B483" i="1"/>
  <c r="M482" i="1" a="1"/>
  <c r="M482" i="1" s="1"/>
  <c r="N482" i="1" s="1"/>
  <c r="L482" i="1"/>
  <c r="K482" i="1"/>
  <c r="J482" i="1"/>
  <c r="I482" i="1"/>
  <c r="H482" i="1"/>
  <c r="G482" i="1"/>
  <c r="F482" i="1"/>
  <c r="E482" i="1"/>
  <c r="D482" i="1"/>
  <c r="C482" i="1"/>
  <c r="B482" i="1"/>
  <c r="M481" i="1"/>
  <c r="M481" i="1" a="1"/>
  <c r="L481" i="1"/>
  <c r="K481" i="1"/>
  <c r="J481" i="1"/>
  <c r="I481" i="1"/>
  <c r="N481" i="1" s="1"/>
  <c r="H481" i="1"/>
  <c r="G481" i="1"/>
  <c r="F481" i="1"/>
  <c r="E481" i="1"/>
  <c r="D481" i="1"/>
  <c r="C481" i="1"/>
  <c r="B481" i="1"/>
  <c r="M480" i="1" a="1"/>
  <c r="M480" i="1" s="1"/>
  <c r="N480" i="1" s="1"/>
  <c r="L480" i="1"/>
  <c r="K480" i="1"/>
  <c r="J480" i="1"/>
  <c r="I480" i="1"/>
  <c r="H480" i="1"/>
  <c r="G480" i="1"/>
  <c r="F480" i="1"/>
  <c r="E480" i="1"/>
  <c r="D480" i="1"/>
  <c r="C480" i="1"/>
  <c r="B480" i="1"/>
  <c r="M479" i="1" a="1"/>
  <c r="M479" i="1" s="1"/>
  <c r="L479" i="1"/>
  <c r="K479" i="1"/>
  <c r="J479" i="1"/>
  <c r="I479" i="1"/>
  <c r="N479" i="1" s="1"/>
  <c r="H479" i="1"/>
  <c r="G479" i="1"/>
  <c r="F479" i="1"/>
  <c r="E479" i="1"/>
  <c r="D479" i="1"/>
  <c r="C479" i="1"/>
  <c r="B479" i="1"/>
  <c r="S478" i="1"/>
  <c r="R478" i="1"/>
  <c r="M478" i="1"/>
  <c r="M478" i="1" a="1"/>
  <c r="L478" i="1"/>
  <c r="K478" i="1"/>
  <c r="J478" i="1"/>
  <c r="I478" i="1"/>
  <c r="N478" i="1" s="1"/>
  <c r="Q478" i="1" s="1"/>
  <c r="H478" i="1"/>
  <c r="G478" i="1"/>
  <c r="F478" i="1"/>
  <c r="T478" i="1" s="1"/>
  <c r="E478" i="1"/>
  <c r="D478" i="1"/>
  <c r="C478" i="1"/>
  <c r="B478" i="1"/>
  <c r="M477" i="1" a="1"/>
  <c r="M477" i="1" s="1"/>
  <c r="L477" i="1"/>
  <c r="K477" i="1"/>
  <c r="J477" i="1"/>
  <c r="I477" i="1"/>
  <c r="H477" i="1"/>
  <c r="G477" i="1"/>
  <c r="F477" i="1"/>
  <c r="E477" i="1"/>
  <c r="D477" i="1"/>
  <c r="C477" i="1"/>
  <c r="B477" i="1"/>
  <c r="AD476" i="1"/>
  <c r="S476" i="1"/>
  <c r="M476" i="1" a="1"/>
  <c r="M476" i="1" s="1"/>
  <c r="L476" i="1"/>
  <c r="K476" i="1"/>
  <c r="J476" i="1"/>
  <c r="I476" i="1"/>
  <c r="N476" i="1" s="1"/>
  <c r="H476" i="1"/>
  <c r="G476" i="1"/>
  <c r="F476" i="1"/>
  <c r="E476" i="1"/>
  <c r="D476" i="1"/>
  <c r="C476" i="1"/>
  <c r="B476" i="1"/>
  <c r="M475" i="1" a="1"/>
  <c r="M475" i="1" s="1"/>
  <c r="N475" i="1" s="1"/>
  <c r="L475" i="1"/>
  <c r="K475" i="1"/>
  <c r="J475" i="1"/>
  <c r="I475" i="1"/>
  <c r="H475" i="1"/>
  <c r="G475" i="1"/>
  <c r="F475" i="1"/>
  <c r="E475" i="1"/>
  <c r="D475" i="1"/>
  <c r="C475" i="1"/>
  <c r="B475" i="1"/>
  <c r="T474" i="1"/>
  <c r="M474" i="1" a="1"/>
  <c r="M474" i="1" s="1"/>
  <c r="L474" i="1"/>
  <c r="K474" i="1"/>
  <c r="J474" i="1"/>
  <c r="I474" i="1"/>
  <c r="H474" i="1"/>
  <c r="G474" i="1"/>
  <c r="F474" i="1"/>
  <c r="E474" i="1"/>
  <c r="D474" i="1"/>
  <c r="C474" i="1"/>
  <c r="N474" i="1" s="1"/>
  <c r="B474" i="1"/>
  <c r="M473" i="1" a="1"/>
  <c r="M473" i="1" s="1"/>
  <c r="L473" i="1"/>
  <c r="K473" i="1"/>
  <c r="J473" i="1"/>
  <c r="I473" i="1"/>
  <c r="N473" i="1" s="1"/>
  <c r="H473" i="1"/>
  <c r="G473" i="1"/>
  <c r="F473" i="1"/>
  <c r="E473" i="1"/>
  <c r="D473" i="1"/>
  <c r="C473" i="1"/>
  <c r="B473" i="1"/>
  <c r="N472" i="1"/>
  <c r="M472" i="1" a="1"/>
  <c r="M472" i="1" s="1"/>
  <c r="L472" i="1"/>
  <c r="K472" i="1"/>
  <c r="J472" i="1"/>
  <c r="I472" i="1"/>
  <c r="H472" i="1"/>
  <c r="G472" i="1"/>
  <c r="F472" i="1"/>
  <c r="E472" i="1"/>
  <c r="D472" i="1"/>
  <c r="C472" i="1"/>
  <c r="B472" i="1"/>
  <c r="M471" i="1" a="1"/>
  <c r="M471" i="1" s="1"/>
  <c r="L471" i="1"/>
  <c r="K471" i="1"/>
  <c r="J471" i="1"/>
  <c r="I471" i="1"/>
  <c r="H471" i="1"/>
  <c r="G471" i="1"/>
  <c r="F471" i="1"/>
  <c r="E471" i="1"/>
  <c r="D471" i="1"/>
  <c r="C471" i="1"/>
  <c r="B471" i="1"/>
  <c r="M470" i="1"/>
  <c r="N470" i="1" s="1"/>
  <c r="M470" i="1" a="1"/>
  <c r="L470" i="1"/>
  <c r="K470" i="1"/>
  <c r="J470" i="1"/>
  <c r="I470" i="1"/>
  <c r="H470" i="1"/>
  <c r="G470" i="1"/>
  <c r="F470" i="1"/>
  <c r="E470" i="1"/>
  <c r="D470" i="1"/>
  <c r="C470" i="1"/>
  <c r="B470" i="1"/>
  <c r="M469" i="1"/>
  <c r="M469" i="1" a="1"/>
  <c r="L469" i="1"/>
  <c r="K469" i="1"/>
  <c r="J469" i="1"/>
  <c r="I469" i="1"/>
  <c r="H469" i="1"/>
  <c r="G469" i="1"/>
  <c r="F469" i="1"/>
  <c r="E469" i="1"/>
  <c r="D469" i="1"/>
  <c r="C469" i="1"/>
  <c r="B469" i="1"/>
  <c r="T468" i="1"/>
  <c r="M468" i="1" a="1"/>
  <c r="M468" i="1" s="1"/>
  <c r="L468" i="1"/>
  <c r="K468" i="1"/>
  <c r="J468" i="1"/>
  <c r="I468" i="1"/>
  <c r="N468" i="1" s="1"/>
  <c r="H468" i="1"/>
  <c r="G468" i="1"/>
  <c r="F468" i="1"/>
  <c r="E468" i="1"/>
  <c r="D468" i="1"/>
  <c r="C468" i="1"/>
  <c r="B468" i="1"/>
  <c r="M467" i="1"/>
  <c r="M467" i="1" a="1"/>
  <c r="L467" i="1"/>
  <c r="K467" i="1"/>
  <c r="J467" i="1"/>
  <c r="I467" i="1"/>
  <c r="N467" i="1" s="1"/>
  <c r="H467" i="1"/>
  <c r="G467" i="1"/>
  <c r="F467" i="1"/>
  <c r="E467" i="1"/>
  <c r="D467" i="1"/>
  <c r="C467" i="1"/>
  <c r="B467" i="1"/>
  <c r="M466" i="1"/>
  <c r="M466" i="1" a="1"/>
  <c r="L466" i="1"/>
  <c r="K466" i="1"/>
  <c r="J466" i="1"/>
  <c r="I466" i="1"/>
  <c r="H466" i="1"/>
  <c r="G466" i="1"/>
  <c r="F466" i="1"/>
  <c r="E466" i="1"/>
  <c r="D466" i="1"/>
  <c r="C466" i="1"/>
  <c r="N466" i="1" s="1"/>
  <c r="B466" i="1"/>
  <c r="M465" i="1"/>
  <c r="M465" i="1" a="1"/>
  <c r="L465" i="1"/>
  <c r="K465" i="1"/>
  <c r="J465" i="1"/>
  <c r="I465" i="1"/>
  <c r="H465" i="1"/>
  <c r="G465" i="1"/>
  <c r="F465" i="1"/>
  <c r="E465" i="1"/>
  <c r="D465" i="1"/>
  <c r="C465" i="1"/>
  <c r="N465" i="1" s="1"/>
  <c r="B465" i="1"/>
  <c r="M464" i="1" a="1"/>
  <c r="M464" i="1" s="1"/>
  <c r="L464" i="1"/>
  <c r="K464" i="1"/>
  <c r="J464" i="1"/>
  <c r="I464" i="1"/>
  <c r="H464" i="1"/>
  <c r="G464" i="1"/>
  <c r="F464" i="1"/>
  <c r="E464" i="1"/>
  <c r="D464" i="1"/>
  <c r="C464" i="1"/>
  <c r="B464" i="1"/>
  <c r="T463" i="1"/>
  <c r="S463" i="1"/>
  <c r="M463" i="1" a="1"/>
  <c r="M463" i="1" s="1"/>
  <c r="N463" i="1" s="1"/>
  <c r="L463" i="1"/>
  <c r="K463" i="1"/>
  <c r="J463" i="1"/>
  <c r="I463" i="1"/>
  <c r="H463" i="1"/>
  <c r="G463" i="1"/>
  <c r="F463" i="1"/>
  <c r="E463" i="1"/>
  <c r="D463" i="1"/>
  <c r="C463" i="1"/>
  <c r="B463" i="1"/>
  <c r="M462" i="1"/>
  <c r="M462" i="1" a="1"/>
  <c r="L462" i="1"/>
  <c r="K462" i="1"/>
  <c r="J462" i="1"/>
  <c r="I462" i="1"/>
  <c r="H462" i="1"/>
  <c r="G462" i="1"/>
  <c r="F462" i="1"/>
  <c r="E462" i="1"/>
  <c r="D462" i="1"/>
  <c r="C462" i="1"/>
  <c r="N462" i="1" s="1"/>
  <c r="B462" i="1"/>
  <c r="M461" i="1" a="1"/>
  <c r="M461" i="1" s="1"/>
  <c r="N461" i="1" s="1"/>
  <c r="L461" i="1"/>
  <c r="K461" i="1"/>
  <c r="J461" i="1"/>
  <c r="I461" i="1"/>
  <c r="H461" i="1"/>
  <c r="G461" i="1"/>
  <c r="F461" i="1"/>
  <c r="E461" i="1"/>
  <c r="D461" i="1"/>
  <c r="C461" i="1"/>
  <c r="B461" i="1"/>
  <c r="M460" i="1" a="1"/>
  <c r="M460" i="1" s="1"/>
  <c r="L460" i="1"/>
  <c r="K460" i="1"/>
  <c r="J460" i="1"/>
  <c r="I460" i="1"/>
  <c r="N460" i="1" s="1"/>
  <c r="H460" i="1"/>
  <c r="G460" i="1"/>
  <c r="F460" i="1"/>
  <c r="E460" i="1"/>
  <c r="D460" i="1"/>
  <c r="C460" i="1"/>
  <c r="B460" i="1"/>
  <c r="AD459" i="1"/>
  <c r="S459" i="1"/>
  <c r="R459" i="1"/>
  <c r="M459" i="1" a="1"/>
  <c r="M459" i="1" s="1"/>
  <c r="L459" i="1"/>
  <c r="K459" i="1"/>
  <c r="J459" i="1"/>
  <c r="I459" i="1"/>
  <c r="N459" i="1" s="1"/>
  <c r="H459" i="1"/>
  <c r="G459" i="1"/>
  <c r="F459" i="1"/>
  <c r="T459" i="1" s="1"/>
  <c r="E459" i="1"/>
  <c r="D459" i="1"/>
  <c r="C459" i="1"/>
  <c r="B459" i="1"/>
  <c r="AD458" i="1"/>
  <c r="AC458" i="1"/>
  <c r="M458" i="1" a="1"/>
  <c r="M458" i="1" s="1"/>
  <c r="N458" i="1" s="1"/>
  <c r="L458" i="1"/>
  <c r="K458" i="1"/>
  <c r="J458" i="1"/>
  <c r="I458" i="1"/>
  <c r="H458" i="1"/>
  <c r="G458" i="1"/>
  <c r="S458" i="1" s="1"/>
  <c r="F458" i="1"/>
  <c r="E458" i="1"/>
  <c r="D458" i="1"/>
  <c r="C458" i="1"/>
  <c r="B458" i="1"/>
  <c r="S457" i="1"/>
  <c r="M457" i="1"/>
  <c r="M457" i="1" a="1"/>
  <c r="L457" i="1"/>
  <c r="K457" i="1"/>
  <c r="J457" i="1"/>
  <c r="I457" i="1"/>
  <c r="N457" i="1" s="1"/>
  <c r="H457" i="1"/>
  <c r="G457" i="1"/>
  <c r="F457" i="1"/>
  <c r="E457" i="1"/>
  <c r="D457" i="1"/>
  <c r="C457" i="1"/>
  <c r="B457" i="1"/>
  <c r="M456" i="1" a="1"/>
  <c r="M456" i="1" s="1"/>
  <c r="N456" i="1" s="1"/>
  <c r="L456" i="1"/>
  <c r="K456" i="1"/>
  <c r="J456" i="1"/>
  <c r="I456" i="1"/>
  <c r="H456" i="1"/>
  <c r="G456" i="1"/>
  <c r="F456" i="1"/>
  <c r="E456" i="1"/>
  <c r="D456" i="1"/>
  <c r="C456" i="1"/>
  <c r="B456" i="1"/>
  <c r="M455" i="1"/>
  <c r="M455" i="1" a="1"/>
  <c r="L455" i="1"/>
  <c r="K455" i="1"/>
  <c r="J455" i="1"/>
  <c r="I455" i="1"/>
  <c r="H455" i="1"/>
  <c r="G455" i="1"/>
  <c r="F455" i="1"/>
  <c r="E455" i="1"/>
  <c r="D455" i="1"/>
  <c r="C455" i="1"/>
  <c r="B455" i="1"/>
  <c r="M454" i="1"/>
  <c r="M454" i="1" a="1"/>
  <c r="L454" i="1"/>
  <c r="K454" i="1"/>
  <c r="J454" i="1"/>
  <c r="I454" i="1"/>
  <c r="N454" i="1" s="1"/>
  <c r="H454" i="1"/>
  <c r="G454" i="1"/>
  <c r="S454" i="1" s="1"/>
  <c r="F454" i="1"/>
  <c r="E454" i="1"/>
  <c r="D454" i="1"/>
  <c r="C454" i="1"/>
  <c r="B454" i="1"/>
  <c r="AC453" i="1"/>
  <c r="Z453" i="1"/>
  <c r="N453" i="1"/>
  <c r="M453" i="1" a="1"/>
  <c r="M453" i="1" s="1"/>
  <c r="L453" i="1"/>
  <c r="K453" i="1"/>
  <c r="J453" i="1"/>
  <c r="I453" i="1"/>
  <c r="H453" i="1"/>
  <c r="G453" i="1"/>
  <c r="F453" i="1"/>
  <c r="R453" i="1" s="1"/>
  <c r="E453" i="1"/>
  <c r="D453" i="1"/>
  <c r="C453" i="1"/>
  <c r="B453" i="1"/>
  <c r="M452" i="1" a="1"/>
  <c r="M452" i="1" s="1"/>
  <c r="L452" i="1"/>
  <c r="K452" i="1"/>
  <c r="J452" i="1"/>
  <c r="I452" i="1"/>
  <c r="H452" i="1"/>
  <c r="G452" i="1"/>
  <c r="F452" i="1"/>
  <c r="E452" i="1"/>
  <c r="D452" i="1"/>
  <c r="C452" i="1"/>
  <c r="B452" i="1"/>
  <c r="M451" i="1"/>
  <c r="N451" i="1" s="1"/>
  <c r="M451" i="1" a="1"/>
  <c r="L451" i="1"/>
  <c r="K451" i="1"/>
  <c r="J451" i="1"/>
  <c r="I451" i="1"/>
  <c r="H451" i="1"/>
  <c r="G451" i="1"/>
  <c r="F451" i="1"/>
  <c r="E451" i="1"/>
  <c r="D451" i="1"/>
  <c r="C451" i="1"/>
  <c r="B451" i="1"/>
  <c r="T450" i="1"/>
  <c r="S450" i="1"/>
  <c r="M450" i="1"/>
  <c r="N450" i="1" s="1"/>
  <c r="M450" i="1" a="1"/>
  <c r="L450" i="1"/>
  <c r="K450" i="1"/>
  <c r="J450" i="1"/>
  <c r="I450" i="1"/>
  <c r="H450" i="1"/>
  <c r="G450" i="1"/>
  <c r="F450" i="1"/>
  <c r="E450" i="1"/>
  <c r="D450" i="1"/>
  <c r="C450" i="1"/>
  <c r="B450" i="1"/>
  <c r="M449" i="1" a="1"/>
  <c r="M449" i="1" s="1"/>
  <c r="L449" i="1"/>
  <c r="K449" i="1"/>
  <c r="J449" i="1"/>
  <c r="I449" i="1"/>
  <c r="H449" i="1"/>
  <c r="G449" i="1"/>
  <c r="F449" i="1"/>
  <c r="E449" i="1"/>
  <c r="D449" i="1"/>
  <c r="C449" i="1"/>
  <c r="B449" i="1"/>
  <c r="M448" i="1" a="1"/>
  <c r="M448" i="1" s="1"/>
  <c r="N448" i="1" s="1"/>
  <c r="L448" i="1"/>
  <c r="K448" i="1"/>
  <c r="J448" i="1"/>
  <c r="I448" i="1"/>
  <c r="H448" i="1"/>
  <c r="G448" i="1"/>
  <c r="F448" i="1"/>
  <c r="E448" i="1"/>
  <c r="D448" i="1"/>
  <c r="C448" i="1"/>
  <c r="B448" i="1"/>
  <c r="M447" i="1" a="1"/>
  <c r="M447" i="1" s="1"/>
  <c r="L447" i="1"/>
  <c r="K447" i="1"/>
  <c r="J447" i="1"/>
  <c r="I447" i="1"/>
  <c r="H447" i="1"/>
  <c r="G447" i="1"/>
  <c r="F447" i="1"/>
  <c r="E447" i="1"/>
  <c r="D447" i="1"/>
  <c r="C447" i="1"/>
  <c r="B447" i="1"/>
  <c r="M446" i="1" a="1"/>
  <c r="M446" i="1" s="1"/>
  <c r="L446" i="1"/>
  <c r="K446" i="1"/>
  <c r="J446" i="1"/>
  <c r="I446" i="1"/>
  <c r="H446" i="1"/>
  <c r="G446" i="1"/>
  <c r="F446" i="1"/>
  <c r="E446" i="1"/>
  <c r="D446" i="1"/>
  <c r="C446" i="1"/>
  <c r="B446" i="1"/>
  <c r="S445" i="1"/>
  <c r="M445" i="1"/>
  <c r="M445" i="1" a="1"/>
  <c r="L445" i="1"/>
  <c r="K445" i="1"/>
  <c r="J445" i="1"/>
  <c r="I445" i="1"/>
  <c r="N445" i="1" s="1"/>
  <c r="H445" i="1"/>
  <c r="G445" i="1"/>
  <c r="F445" i="1"/>
  <c r="E445" i="1"/>
  <c r="D445" i="1"/>
  <c r="C445" i="1"/>
  <c r="B445" i="1"/>
  <c r="M444" i="1"/>
  <c r="M444" i="1" a="1"/>
  <c r="L444" i="1"/>
  <c r="K444" i="1"/>
  <c r="J444" i="1"/>
  <c r="I444" i="1"/>
  <c r="H444" i="1"/>
  <c r="G444" i="1"/>
  <c r="F444" i="1"/>
  <c r="E444" i="1"/>
  <c r="D444" i="1"/>
  <c r="C444" i="1"/>
  <c r="B444" i="1"/>
  <c r="M443" i="1"/>
  <c r="M443" i="1" a="1"/>
  <c r="L443" i="1"/>
  <c r="K443" i="1"/>
  <c r="J443" i="1"/>
  <c r="I443" i="1"/>
  <c r="N443" i="1" s="1"/>
  <c r="H443" i="1"/>
  <c r="G443" i="1"/>
  <c r="F443" i="1"/>
  <c r="E443" i="1"/>
  <c r="D443" i="1"/>
  <c r="C443" i="1"/>
  <c r="B443" i="1"/>
  <c r="M442" i="1"/>
  <c r="M442" i="1" a="1"/>
  <c r="L442" i="1"/>
  <c r="K442" i="1"/>
  <c r="J442" i="1"/>
  <c r="I442" i="1"/>
  <c r="H442" i="1"/>
  <c r="G442" i="1"/>
  <c r="F442" i="1"/>
  <c r="E442" i="1"/>
  <c r="D442" i="1"/>
  <c r="C442" i="1"/>
  <c r="N442" i="1" s="1"/>
  <c r="B442" i="1"/>
  <c r="M441" i="1"/>
  <c r="M441" i="1" a="1"/>
  <c r="L441" i="1"/>
  <c r="K441" i="1"/>
  <c r="J441" i="1"/>
  <c r="I441" i="1"/>
  <c r="N441" i="1" s="1"/>
  <c r="H441" i="1"/>
  <c r="G441" i="1"/>
  <c r="F441" i="1"/>
  <c r="E441" i="1"/>
  <c r="D441" i="1"/>
  <c r="C441" i="1"/>
  <c r="B441" i="1"/>
  <c r="M440" i="1" a="1"/>
  <c r="M440" i="1" s="1"/>
  <c r="L440" i="1"/>
  <c r="K440" i="1"/>
  <c r="J440" i="1"/>
  <c r="I440" i="1"/>
  <c r="H440" i="1"/>
  <c r="G440" i="1"/>
  <c r="F440" i="1"/>
  <c r="E440" i="1"/>
  <c r="D440" i="1"/>
  <c r="C440" i="1"/>
  <c r="B440" i="1"/>
  <c r="M439" i="1"/>
  <c r="M439" i="1" a="1"/>
  <c r="L439" i="1"/>
  <c r="K439" i="1"/>
  <c r="J439" i="1"/>
  <c r="I439" i="1"/>
  <c r="H439" i="1"/>
  <c r="G439" i="1"/>
  <c r="F439" i="1"/>
  <c r="E439" i="1"/>
  <c r="D439" i="1"/>
  <c r="C439" i="1"/>
  <c r="N439" i="1" s="1"/>
  <c r="B439" i="1"/>
  <c r="M438" i="1"/>
  <c r="M438" i="1" a="1"/>
  <c r="L438" i="1"/>
  <c r="K438" i="1"/>
  <c r="J438" i="1"/>
  <c r="I438" i="1"/>
  <c r="N438" i="1" s="1"/>
  <c r="H438" i="1"/>
  <c r="G438" i="1"/>
  <c r="F438" i="1"/>
  <c r="E438" i="1"/>
  <c r="D438" i="1"/>
  <c r="C438" i="1"/>
  <c r="B438" i="1"/>
  <c r="AE437" i="1"/>
  <c r="Z437" i="1"/>
  <c r="X437" i="1"/>
  <c r="M437" i="1"/>
  <c r="M437" i="1" a="1"/>
  <c r="L437" i="1"/>
  <c r="K437" i="1"/>
  <c r="J437" i="1"/>
  <c r="I437" i="1"/>
  <c r="H437" i="1"/>
  <c r="G437" i="1"/>
  <c r="S437" i="1" s="1"/>
  <c r="F437" i="1"/>
  <c r="R437" i="1" s="1"/>
  <c r="E437" i="1"/>
  <c r="D437" i="1"/>
  <c r="C437" i="1"/>
  <c r="N437" i="1" s="1"/>
  <c r="B437" i="1"/>
  <c r="M436" i="1"/>
  <c r="M436" i="1" a="1"/>
  <c r="L436" i="1"/>
  <c r="K436" i="1"/>
  <c r="J436" i="1"/>
  <c r="I436" i="1"/>
  <c r="H436" i="1"/>
  <c r="G436" i="1"/>
  <c r="F436" i="1"/>
  <c r="E436" i="1"/>
  <c r="D436" i="1"/>
  <c r="C436" i="1"/>
  <c r="B436" i="1"/>
  <c r="M435" i="1" a="1"/>
  <c r="M435" i="1" s="1"/>
  <c r="L435" i="1"/>
  <c r="K435" i="1"/>
  <c r="J435" i="1"/>
  <c r="I435" i="1"/>
  <c r="H435" i="1"/>
  <c r="G435" i="1"/>
  <c r="F435" i="1"/>
  <c r="E435" i="1"/>
  <c r="D435" i="1"/>
  <c r="C435" i="1"/>
  <c r="B435" i="1"/>
  <c r="Q434" i="1"/>
  <c r="M434" i="1" a="1"/>
  <c r="M434" i="1" s="1"/>
  <c r="L434" i="1"/>
  <c r="K434" i="1"/>
  <c r="J434" i="1"/>
  <c r="I434" i="1"/>
  <c r="H434" i="1"/>
  <c r="G434" i="1"/>
  <c r="F434" i="1"/>
  <c r="E434" i="1"/>
  <c r="D434" i="1"/>
  <c r="C434" i="1"/>
  <c r="N434" i="1" s="1"/>
  <c r="B434" i="1"/>
  <c r="AC433" i="1"/>
  <c r="M433" i="1"/>
  <c r="M433" i="1" a="1"/>
  <c r="L433" i="1"/>
  <c r="K433" i="1"/>
  <c r="J433" i="1"/>
  <c r="I433" i="1"/>
  <c r="H433" i="1"/>
  <c r="G433" i="1"/>
  <c r="F433" i="1"/>
  <c r="E433" i="1"/>
  <c r="D433" i="1"/>
  <c r="C433" i="1"/>
  <c r="N433" i="1" s="1"/>
  <c r="B433" i="1"/>
  <c r="M432" i="1"/>
  <c r="M432" i="1" a="1"/>
  <c r="L432" i="1"/>
  <c r="K432" i="1"/>
  <c r="J432" i="1"/>
  <c r="I432" i="1"/>
  <c r="H432" i="1"/>
  <c r="G432" i="1"/>
  <c r="F432" i="1"/>
  <c r="E432" i="1"/>
  <c r="D432" i="1"/>
  <c r="C432" i="1"/>
  <c r="B432" i="1"/>
  <c r="M431" i="1"/>
  <c r="M431" i="1" a="1"/>
  <c r="L431" i="1"/>
  <c r="K431" i="1"/>
  <c r="J431" i="1"/>
  <c r="I431" i="1"/>
  <c r="N431" i="1" s="1"/>
  <c r="H431" i="1"/>
  <c r="G431" i="1"/>
  <c r="F431" i="1"/>
  <c r="E431" i="1"/>
  <c r="D431" i="1"/>
  <c r="C431" i="1"/>
  <c r="B431" i="1"/>
  <c r="AI430" i="1"/>
  <c r="AG430" i="1"/>
  <c r="AD430" i="1"/>
  <c r="AC430" i="1"/>
  <c r="S430" i="1"/>
  <c r="R430" i="1"/>
  <c r="M430" i="1"/>
  <c r="N430" i="1" s="1"/>
  <c r="Q430" i="1" s="1"/>
  <c r="M430" i="1" a="1"/>
  <c r="L430" i="1"/>
  <c r="K430" i="1"/>
  <c r="J430" i="1"/>
  <c r="I430" i="1"/>
  <c r="H430" i="1"/>
  <c r="G430" i="1"/>
  <c r="F430" i="1"/>
  <c r="E430" i="1"/>
  <c r="D430" i="1"/>
  <c r="C430" i="1"/>
  <c r="B430" i="1"/>
  <c r="M429" i="1"/>
  <c r="M429" i="1" a="1"/>
  <c r="L429" i="1"/>
  <c r="K429" i="1"/>
  <c r="J429" i="1"/>
  <c r="T429" i="1" s="1"/>
  <c r="I429" i="1"/>
  <c r="N429" i="1" s="1"/>
  <c r="H429" i="1"/>
  <c r="G429" i="1"/>
  <c r="F429" i="1"/>
  <c r="E429" i="1"/>
  <c r="D429" i="1"/>
  <c r="C429" i="1"/>
  <c r="B429" i="1"/>
  <c r="M428" i="1" a="1"/>
  <c r="M428" i="1" s="1"/>
  <c r="L428" i="1"/>
  <c r="K428" i="1"/>
  <c r="J428" i="1"/>
  <c r="I428" i="1"/>
  <c r="H428" i="1"/>
  <c r="G428" i="1"/>
  <c r="F428" i="1"/>
  <c r="E428" i="1"/>
  <c r="D428" i="1"/>
  <c r="C428" i="1"/>
  <c r="B428" i="1"/>
  <c r="M427" i="1" a="1"/>
  <c r="M427" i="1" s="1"/>
  <c r="N427" i="1" s="1"/>
  <c r="L427" i="1"/>
  <c r="K427" i="1"/>
  <c r="J427" i="1"/>
  <c r="I427" i="1"/>
  <c r="H427" i="1"/>
  <c r="G427" i="1"/>
  <c r="F427" i="1"/>
  <c r="E427" i="1"/>
  <c r="D427" i="1"/>
  <c r="C427" i="1"/>
  <c r="B427" i="1"/>
  <c r="M426" i="1"/>
  <c r="M426" i="1" a="1"/>
  <c r="L426" i="1"/>
  <c r="K426" i="1"/>
  <c r="J426" i="1"/>
  <c r="I426" i="1"/>
  <c r="H426" i="1"/>
  <c r="G426" i="1"/>
  <c r="F426" i="1"/>
  <c r="E426" i="1"/>
  <c r="D426" i="1"/>
  <c r="C426" i="1"/>
  <c r="N426" i="1" s="1"/>
  <c r="B426" i="1"/>
  <c r="AC425" i="1"/>
  <c r="M425" i="1" a="1"/>
  <c r="M425" i="1" s="1"/>
  <c r="L425" i="1"/>
  <c r="K425" i="1"/>
  <c r="J425" i="1"/>
  <c r="I425" i="1"/>
  <c r="N425" i="1" s="1"/>
  <c r="H425" i="1"/>
  <c r="G425" i="1"/>
  <c r="F425" i="1"/>
  <c r="E425" i="1"/>
  <c r="D425" i="1"/>
  <c r="C425" i="1"/>
  <c r="B425" i="1"/>
  <c r="M424" i="1"/>
  <c r="N424" i="1" s="1"/>
  <c r="M424" i="1" a="1"/>
  <c r="L424" i="1"/>
  <c r="K424" i="1"/>
  <c r="J424" i="1"/>
  <c r="I424" i="1"/>
  <c r="H424" i="1"/>
  <c r="G424" i="1"/>
  <c r="F424" i="1"/>
  <c r="E424" i="1"/>
  <c r="D424" i="1"/>
  <c r="C424" i="1"/>
  <c r="B424" i="1"/>
  <c r="M423" i="1" a="1"/>
  <c r="M423" i="1" s="1"/>
  <c r="L423" i="1"/>
  <c r="K423" i="1"/>
  <c r="J423" i="1"/>
  <c r="I423" i="1"/>
  <c r="H423" i="1"/>
  <c r="G423" i="1"/>
  <c r="F423" i="1"/>
  <c r="E423" i="1"/>
  <c r="D423" i="1"/>
  <c r="C423" i="1"/>
  <c r="B423" i="1"/>
  <c r="M422" i="1" a="1"/>
  <c r="M422" i="1" s="1"/>
  <c r="N422" i="1" s="1"/>
  <c r="L422" i="1"/>
  <c r="K422" i="1"/>
  <c r="J422" i="1"/>
  <c r="I422" i="1"/>
  <c r="H422" i="1"/>
  <c r="G422" i="1"/>
  <c r="F422" i="1"/>
  <c r="E422" i="1"/>
  <c r="D422" i="1"/>
  <c r="C422" i="1"/>
  <c r="B422" i="1"/>
  <c r="M421" i="1"/>
  <c r="N421" i="1" s="1"/>
  <c r="M421" i="1" a="1"/>
  <c r="L421" i="1"/>
  <c r="K421" i="1"/>
  <c r="J421" i="1"/>
  <c r="I421" i="1"/>
  <c r="H421" i="1"/>
  <c r="G421" i="1"/>
  <c r="F421" i="1"/>
  <c r="E421" i="1"/>
  <c r="D421" i="1"/>
  <c r="C421" i="1"/>
  <c r="B421" i="1"/>
  <c r="M420" i="1"/>
  <c r="M420" i="1" a="1"/>
  <c r="L420" i="1"/>
  <c r="K420" i="1"/>
  <c r="J420" i="1"/>
  <c r="I420" i="1"/>
  <c r="H420" i="1"/>
  <c r="G420" i="1"/>
  <c r="S420" i="1" s="1"/>
  <c r="F420" i="1"/>
  <c r="E420" i="1"/>
  <c r="D420" i="1"/>
  <c r="C420" i="1"/>
  <c r="N420" i="1" s="1"/>
  <c r="B420" i="1"/>
  <c r="N419" i="1"/>
  <c r="M419" i="1"/>
  <c r="M419" i="1" a="1"/>
  <c r="L419" i="1"/>
  <c r="K419" i="1"/>
  <c r="J419" i="1"/>
  <c r="I419" i="1"/>
  <c r="H419" i="1"/>
  <c r="G419" i="1"/>
  <c r="F419" i="1"/>
  <c r="E419" i="1"/>
  <c r="D419" i="1"/>
  <c r="C419" i="1"/>
  <c r="B419" i="1"/>
  <c r="M418" i="1"/>
  <c r="M418" i="1" a="1"/>
  <c r="L418" i="1"/>
  <c r="K418" i="1"/>
  <c r="J418" i="1"/>
  <c r="I418" i="1"/>
  <c r="H418" i="1"/>
  <c r="G418" i="1"/>
  <c r="F418" i="1"/>
  <c r="E418" i="1"/>
  <c r="D418" i="1"/>
  <c r="C418" i="1"/>
  <c r="N418" i="1" s="1"/>
  <c r="B418" i="1"/>
  <c r="M417" i="1"/>
  <c r="M417" i="1" a="1"/>
  <c r="L417" i="1"/>
  <c r="K417" i="1"/>
  <c r="J417" i="1"/>
  <c r="I417" i="1"/>
  <c r="H417" i="1"/>
  <c r="G417" i="1"/>
  <c r="F417" i="1"/>
  <c r="E417" i="1"/>
  <c r="D417" i="1"/>
  <c r="C417" i="1"/>
  <c r="N417" i="1" s="1"/>
  <c r="B417" i="1"/>
  <c r="AD416" i="1"/>
  <c r="M416" i="1"/>
  <c r="M416" i="1" a="1"/>
  <c r="L416" i="1"/>
  <c r="K416" i="1"/>
  <c r="J416" i="1"/>
  <c r="I416" i="1"/>
  <c r="N416" i="1" s="1"/>
  <c r="H416" i="1"/>
  <c r="G416" i="1"/>
  <c r="F416" i="1"/>
  <c r="E416" i="1"/>
  <c r="D416" i="1"/>
  <c r="C416" i="1"/>
  <c r="B416" i="1"/>
  <c r="M415" i="1" a="1"/>
  <c r="M415" i="1" s="1"/>
  <c r="N415" i="1" s="1"/>
  <c r="L415" i="1"/>
  <c r="K415" i="1"/>
  <c r="J415" i="1"/>
  <c r="I415" i="1"/>
  <c r="H415" i="1"/>
  <c r="G415" i="1"/>
  <c r="F415" i="1"/>
  <c r="E415" i="1"/>
  <c r="D415" i="1"/>
  <c r="C415" i="1"/>
  <c r="B415" i="1"/>
  <c r="Q414" i="1"/>
  <c r="M414" i="1" a="1"/>
  <c r="M414" i="1" s="1"/>
  <c r="L414" i="1"/>
  <c r="K414" i="1"/>
  <c r="J414" i="1"/>
  <c r="I414" i="1"/>
  <c r="H414" i="1"/>
  <c r="G414" i="1"/>
  <c r="F414" i="1"/>
  <c r="E414" i="1"/>
  <c r="D414" i="1"/>
  <c r="C414" i="1"/>
  <c r="N414" i="1" s="1"/>
  <c r="B414" i="1"/>
  <c r="M413" i="1" a="1"/>
  <c r="M413" i="1" s="1"/>
  <c r="N413" i="1" s="1"/>
  <c r="L413" i="1"/>
  <c r="K413" i="1"/>
  <c r="J413" i="1"/>
  <c r="I413" i="1"/>
  <c r="H413" i="1"/>
  <c r="G413" i="1"/>
  <c r="F413" i="1"/>
  <c r="E413" i="1"/>
  <c r="D413" i="1"/>
  <c r="C413" i="1"/>
  <c r="B413" i="1"/>
  <c r="M412" i="1"/>
  <c r="N412" i="1" s="1"/>
  <c r="M412" i="1" a="1"/>
  <c r="L412" i="1"/>
  <c r="K412" i="1"/>
  <c r="J412" i="1"/>
  <c r="I412" i="1"/>
  <c r="H412" i="1"/>
  <c r="G412" i="1"/>
  <c r="F412" i="1"/>
  <c r="E412" i="1"/>
  <c r="D412" i="1"/>
  <c r="C412" i="1"/>
  <c r="B412" i="1"/>
  <c r="M411" i="1" a="1"/>
  <c r="M411" i="1" s="1"/>
  <c r="L411" i="1"/>
  <c r="K411" i="1"/>
  <c r="J411" i="1"/>
  <c r="I411" i="1"/>
  <c r="N411" i="1" s="1"/>
  <c r="H411" i="1"/>
  <c r="G411" i="1"/>
  <c r="F411" i="1"/>
  <c r="E411" i="1"/>
  <c r="D411" i="1"/>
  <c r="C411" i="1"/>
  <c r="B411" i="1"/>
  <c r="M410" i="1"/>
  <c r="M410" i="1" a="1"/>
  <c r="L410" i="1"/>
  <c r="K410" i="1"/>
  <c r="J410" i="1"/>
  <c r="I410" i="1"/>
  <c r="H410" i="1"/>
  <c r="G410" i="1"/>
  <c r="F410" i="1"/>
  <c r="E410" i="1"/>
  <c r="D410" i="1"/>
  <c r="C410" i="1"/>
  <c r="N410" i="1" s="1"/>
  <c r="B410" i="1"/>
  <c r="AC409" i="1"/>
  <c r="M409" i="1"/>
  <c r="N409" i="1" s="1"/>
  <c r="M409" i="1" a="1"/>
  <c r="L409" i="1"/>
  <c r="K409" i="1"/>
  <c r="J409" i="1"/>
  <c r="I409" i="1"/>
  <c r="H409" i="1"/>
  <c r="G409" i="1"/>
  <c r="F409" i="1"/>
  <c r="T409" i="1" s="1"/>
  <c r="E409" i="1"/>
  <c r="D409" i="1"/>
  <c r="C409" i="1"/>
  <c r="B409" i="1"/>
  <c r="M408" i="1"/>
  <c r="M408" i="1" a="1"/>
  <c r="L408" i="1"/>
  <c r="K408" i="1"/>
  <c r="J408" i="1"/>
  <c r="I408" i="1"/>
  <c r="H408" i="1"/>
  <c r="G408" i="1"/>
  <c r="F408" i="1"/>
  <c r="E408" i="1"/>
  <c r="D408" i="1"/>
  <c r="C408" i="1"/>
  <c r="B408" i="1"/>
  <c r="M407" i="1" a="1"/>
  <c r="M407" i="1" s="1"/>
  <c r="L407" i="1"/>
  <c r="K407" i="1"/>
  <c r="J407" i="1"/>
  <c r="I407" i="1"/>
  <c r="H407" i="1"/>
  <c r="G407" i="1"/>
  <c r="F407" i="1"/>
  <c r="E407" i="1"/>
  <c r="D407" i="1"/>
  <c r="C407" i="1"/>
  <c r="B407" i="1"/>
  <c r="M406" i="1"/>
  <c r="M406" i="1" a="1"/>
  <c r="L406" i="1"/>
  <c r="K406" i="1"/>
  <c r="J406" i="1"/>
  <c r="I406" i="1"/>
  <c r="H406" i="1"/>
  <c r="G406" i="1"/>
  <c r="F406" i="1"/>
  <c r="E406" i="1"/>
  <c r="D406" i="1"/>
  <c r="C406" i="1"/>
  <c r="B406" i="1"/>
  <c r="M405" i="1"/>
  <c r="M405" i="1" a="1"/>
  <c r="L405" i="1"/>
  <c r="K405" i="1"/>
  <c r="J405" i="1"/>
  <c r="I405" i="1"/>
  <c r="H405" i="1"/>
  <c r="G405" i="1"/>
  <c r="F405" i="1"/>
  <c r="E405" i="1"/>
  <c r="D405" i="1"/>
  <c r="C405" i="1"/>
  <c r="B405" i="1"/>
  <c r="M404" i="1" a="1"/>
  <c r="M404" i="1" s="1"/>
  <c r="L404" i="1"/>
  <c r="K404" i="1"/>
  <c r="J404" i="1"/>
  <c r="I404" i="1"/>
  <c r="H404" i="1"/>
  <c r="G404" i="1"/>
  <c r="F404" i="1"/>
  <c r="E404" i="1"/>
  <c r="D404" i="1"/>
  <c r="C404" i="1"/>
  <c r="B404" i="1"/>
  <c r="N403" i="1"/>
  <c r="M403" i="1" a="1"/>
  <c r="M403" i="1" s="1"/>
  <c r="L403" i="1"/>
  <c r="K403" i="1"/>
  <c r="J403" i="1"/>
  <c r="I403" i="1"/>
  <c r="H403" i="1"/>
  <c r="G403" i="1"/>
  <c r="F403" i="1"/>
  <c r="E403" i="1"/>
  <c r="D403" i="1"/>
  <c r="C403" i="1"/>
  <c r="B403" i="1"/>
  <c r="M402" i="1"/>
  <c r="N402" i="1" s="1"/>
  <c r="M402" i="1" a="1"/>
  <c r="L402" i="1"/>
  <c r="K402" i="1"/>
  <c r="J402" i="1"/>
  <c r="I402" i="1"/>
  <c r="H402" i="1"/>
  <c r="G402" i="1"/>
  <c r="F402" i="1"/>
  <c r="E402" i="1"/>
  <c r="D402" i="1"/>
  <c r="C402" i="1"/>
  <c r="B402" i="1"/>
  <c r="M401" i="1"/>
  <c r="M401" i="1" a="1"/>
  <c r="L401" i="1"/>
  <c r="K401" i="1"/>
  <c r="J401" i="1"/>
  <c r="I401" i="1"/>
  <c r="H401" i="1"/>
  <c r="G401" i="1"/>
  <c r="F401" i="1"/>
  <c r="E401" i="1"/>
  <c r="D401" i="1"/>
  <c r="C401" i="1"/>
  <c r="N401" i="1" s="1"/>
  <c r="B401" i="1"/>
  <c r="R400" i="1"/>
  <c r="Q400" i="1"/>
  <c r="M400" i="1" a="1"/>
  <c r="M400" i="1" s="1"/>
  <c r="N400" i="1" s="1"/>
  <c r="L400" i="1"/>
  <c r="K400" i="1"/>
  <c r="J400" i="1"/>
  <c r="I400" i="1"/>
  <c r="H400" i="1"/>
  <c r="G400" i="1"/>
  <c r="F400" i="1"/>
  <c r="E400" i="1"/>
  <c r="D400" i="1"/>
  <c r="C400" i="1"/>
  <c r="B400" i="1"/>
  <c r="M399" i="1" a="1"/>
  <c r="M399" i="1" s="1"/>
  <c r="L399" i="1"/>
  <c r="K399" i="1"/>
  <c r="J399" i="1"/>
  <c r="I399" i="1"/>
  <c r="H399" i="1"/>
  <c r="G399" i="1"/>
  <c r="F399" i="1"/>
  <c r="E399" i="1"/>
  <c r="D399" i="1"/>
  <c r="C399" i="1"/>
  <c r="B399" i="1"/>
  <c r="M398" i="1"/>
  <c r="N398" i="1" s="1"/>
  <c r="M398" i="1" a="1"/>
  <c r="L398" i="1"/>
  <c r="K398" i="1"/>
  <c r="J398" i="1"/>
  <c r="I398" i="1"/>
  <c r="H398" i="1"/>
  <c r="G398" i="1"/>
  <c r="F398" i="1"/>
  <c r="E398" i="1"/>
  <c r="D398" i="1"/>
  <c r="C398" i="1"/>
  <c r="B398" i="1"/>
  <c r="M397" i="1"/>
  <c r="M397" i="1" a="1"/>
  <c r="L397" i="1"/>
  <c r="K397" i="1"/>
  <c r="J397" i="1"/>
  <c r="I397" i="1"/>
  <c r="H397" i="1"/>
  <c r="G397" i="1"/>
  <c r="F397" i="1"/>
  <c r="E397" i="1"/>
  <c r="D397" i="1"/>
  <c r="C397" i="1"/>
  <c r="N397" i="1" s="1"/>
  <c r="B397" i="1"/>
  <c r="M396" i="1"/>
  <c r="M396" i="1" a="1"/>
  <c r="L396" i="1"/>
  <c r="K396" i="1"/>
  <c r="J396" i="1"/>
  <c r="I396" i="1"/>
  <c r="H396" i="1"/>
  <c r="G396" i="1"/>
  <c r="F396" i="1"/>
  <c r="E396" i="1"/>
  <c r="D396" i="1"/>
  <c r="C396" i="1"/>
  <c r="B396" i="1"/>
  <c r="M395" i="1" a="1"/>
  <c r="M395" i="1" s="1"/>
  <c r="N395" i="1" s="1"/>
  <c r="L395" i="1"/>
  <c r="K395" i="1"/>
  <c r="J395" i="1"/>
  <c r="I395" i="1"/>
  <c r="H395" i="1"/>
  <c r="G395" i="1"/>
  <c r="S395" i="1" s="1"/>
  <c r="F395" i="1"/>
  <c r="E395" i="1"/>
  <c r="D395" i="1"/>
  <c r="C395" i="1"/>
  <c r="B395" i="1"/>
  <c r="M394" i="1"/>
  <c r="M394" i="1" a="1"/>
  <c r="L394" i="1"/>
  <c r="K394" i="1"/>
  <c r="J394" i="1"/>
  <c r="I394" i="1"/>
  <c r="H394" i="1"/>
  <c r="G394" i="1"/>
  <c r="F394" i="1"/>
  <c r="E394" i="1"/>
  <c r="D394" i="1"/>
  <c r="C394" i="1"/>
  <c r="B394" i="1"/>
  <c r="M393" i="1"/>
  <c r="N393" i="1" s="1"/>
  <c r="M393" i="1" a="1"/>
  <c r="L393" i="1"/>
  <c r="K393" i="1"/>
  <c r="J393" i="1"/>
  <c r="I393" i="1"/>
  <c r="H393" i="1"/>
  <c r="G393" i="1"/>
  <c r="F393" i="1"/>
  <c r="E393" i="1"/>
  <c r="D393" i="1"/>
  <c r="C393" i="1"/>
  <c r="B393" i="1"/>
  <c r="M392" i="1"/>
  <c r="M392" i="1" a="1"/>
  <c r="L392" i="1"/>
  <c r="K392" i="1"/>
  <c r="J392" i="1"/>
  <c r="I392" i="1"/>
  <c r="H392" i="1"/>
  <c r="G392" i="1"/>
  <c r="F392" i="1"/>
  <c r="E392" i="1"/>
  <c r="D392" i="1"/>
  <c r="C392" i="1"/>
  <c r="B392" i="1"/>
  <c r="M391" i="1" a="1"/>
  <c r="M391" i="1" s="1"/>
  <c r="N391" i="1" s="1"/>
  <c r="L391" i="1"/>
  <c r="K391" i="1"/>
  <c r="J391" i="1"/>
  <c r="I391" i="1"/>
  <c r="H391" i="1"/>
  <c r="G391" i="1"/>
  <c r="F391" i="1"/>
  <c r="E391" i="1"/>
  <c r="D391" i="1"/>
  <c r="C391" i="1"/>
  <c r="B391" i="1"/>
  <c r="M390" i="1"/>
  <c r="N390" i="1" s="1"/>
  <c r="M390" i="1" a="1"/>
  <c r="L390" i="1"/>
  <c r="K390" i="1"/>
  <c r="J390" i="1"/>
  <c r="I390" i="1"/>
  <c r="H390" i="1"/>
  <c r="G390" i="1"/>
  <c r="F390" i="1"/>
  <c r="E390" i="1"/>
  <c r="D390" i="1"/>
  <c r="C390" i="1"/>
  <c r="B390" i="1"/>
  <c r="M389" i="1"/>
  <c r="M389" i="1" a="1"/>
  <c r="L389" i="1"/>
  <c r="K389" i="1"/>
  <c r="J389" i="1"/>
  <c r="I389" i="1"/>
  <c r="H389" i="1"/>
  <c r="G389" i="1"/>
  <c r="F389" i="1"/>
  <c r="E389" i="1"/>
  <c r="D389" i="1"/>
  <c r="C389" i="1"/>
  <c r="B389" i="1"/>
  <c r="M388" i="1" a="1"/>
  <c r="M388" i="1" s="1"/>
  <c r="N388" i="1" s="1"/>
  <c r="AD388" i="1" s="1"/>
  <c r="L388" i="1"/>
  <c r="K388" i="1"/>
  <c r="J388" i="1"/>
  <c r="I388" i="1"/>
  <c r="H388" i="1"/>
  <c r="G388" i="1"/>
  <c r="F388" i="1"/>
  <c r="E388" i="1"/>
  <c r="D388" i="1"/>
  <c r="C388" i="1"/>
  <c r="B388" i="1"/>
  <c r="M387" i="1" a="1"/>
  <c r="M387" i="1" s="1"/>
  <c r="L387" i="1"/>
  <c r="K387" i="1"/>
  <c r="J387" i="1"/>
  <c r="I387" i="1"/>
  <c r="H387" i="1"/>
  <c r="G387" i="1"/>
  <c r="F387" i="1"/>
  <c r="E387" i="1"/>
  <c r="D387" i="1"/>
  <c r="C387" i="1"/>
  <c r="B387" i="1"/>
  <c r="M386" i="1" a="1"/>
  <c r="M386" i="1" s="1"/>
  <c r="N386" i="1" s="1"/>
  <c r="L386" i="1"/>
  <c r="K386" i="1"/>
  <c r="J386" i="1"/>
  <c r="I386" i="1"/>
  <c r="H386" i="1"/>
  <c r="G386" i="1"/>
  <c r="F386" i="1"/>
  <c r="E386" i="1"/>
  <c r="D386" i="1"/>
  <c r="C386" i="1"/>
  <c r="B386" i="1"/>
  <c r="M385" i="1" a="1"/>
  <c r="M385" i="1" s="1"/>
  <c r="L385" i="1"/>
  <c r="K385" i="1"/>
  <c r="J385" i="1"/>
  <c r="I385" i="1"/>
  <c r="H385" i="1"/>
  <c r="G385" i="1"/>
  <c r="F385" i="1"/>
  <c r="E385" i="1"/>
  <c r="D385" i="1"/>
  <c r="C385" i="1"/>
  <c r="B385" i="1"/>
  <c r="M384" i="1"/>
  <c r="M384" i="1" a="1"/>
  <c r="L384" i="1"/>
  <c r="K384" i="1"/>
  <c r="J384" i="1"/>
  <c r="I384" i="1"/>
  <c r="H384" i="1"/>
  <c r="G384" i="1"/>
  <c r="F384" i="1"/>
  <c r="E384" i="1"/>
  <c r="D384" i="1"/>
  <c r="C384" i="1"/>
  <c r="B384" i="1"/>
  <c r="AD383" i="1"/>
  <c r="T383" i="1"/>
  <c r="M383" i="1" a="1"/>
  <c r="M383" i="1" s="1"/>
  <c r="L383" i="1"/>
  <c r="K383" i="1"/>
  <c r="J383" i="1"/>
  <c r="I383" i="1"/>
  <c r="N383" i="1" s="1"/>
  <c r="H383" i="1"/>
  <c r="G383" i="1"/>
  <c r="S383" i="1" s="1"/>
  <c r="F383" i="1"/>
  <c r="E383" i="1"/>
  <c r="D383" i="1"/>
  <c r="C383" i="1"/>
  <c r="B383" i="1"/>
  <c r="M382" i="1"/>
  <c r="M382" i="1" a="1"/>
  <c r="L382" i="1"/>
  <c r="K382" i="1"/>
  <c r="J382" i="1"/>
  <c r="I382" i="1"/>
  <c r="H382" i="1"/>
  <c r="G382" i="1"/>
  <c r="F382" i="1"/>
  <c r="E382" i="1"/>
  <c r="D382" i="1"/>
  <c r="C382" i="1"/>
  <c r="N382" i="1" s="1"/>
  <c r="B382" i="1"/>
  <c r="M381" i="1"/>
  <c r="M381" i="1" a="1"/>
  <c r="L381" i="1"/>
  <c r="K381" i="1"/>
  <c r="J381" i="1"/>
  <c r="I381" i="1"/>
  <c r="N381" i="1" s="1"/>
  <c r="H381" i="1"/>
  <c r="G381" i="1"/>
  <c r="F381" i="1"/>
  <c r="E381" i="1"/>
  <c r="D381" i="1"/>
  <c r="C381" i="1"/>
  <c r="B381" i="1"/>
  <c r="AD380" i="1"/>
  <c r="S380" i="1"/>
  <c r="M380" i="1" a="1"/>
  <c r="M380" i="1" s="1"/>
  <c r="L380" i="1"/>
  <c r="K380" i="1"/>
  <c r="J380" i="1"/>
  <c r="I380" i="1"/>
  <c r="N380" i="1" s="1"/>
  <c r="H380" i="1"/>
  <c r="G380" i="1"/>
  <c r="F380" i="1"/>
  <c r="T380" i="1" s="1"/>
  <c r="E380" i="1"/>
  <c r="D380" i="1"/>
  <c r="C380" i="1"/>
  <c r="B380" i="1"/>
  <c r="M379" i="1" a="1"/>
  <c r="M379" i="1" s="1"/>
  <c r="N379" i="1" s="1"/>
  <c r="L379" i="1"/>
  <c r="K379" i="1"/>
  <c r="J379" i="1"/>
  <c r="I379" i="1"/>
  <c r="H379" i="1"/>
  <c r="G379" i="1"/>
  <c r="F379" i="1"/>
  <c r="E379" i="1"/>
  <c r="D379" i="1"/>
  <c r="C379" i="1"/>
  <c r="B379" i="1"/>
  <c r="M378" i="1"/>
  <c r="N378" i="1" s="1"/>
  <c r="M378" i="1" a="1"/>
  <c r="L378" i="1"/>
  <c r="K378" i="1"/>
  <c r="J378" i="1"/>
  <c r="I378" i="1"/>
  <c r="H378" i="1"/>
  <c r="G378" i="1"/>
  <c r="F378" i="1"/>
  <c r="E378" i="1"/>
  <c r="D378" i="1"/>
  <c r="C378" i="1"/>
  <c r="B378" i="1"/>
  <c r="M377" i="1"/>
  <c r="M377" i="1" a="1"/>
  <c r="L377" i="1"/>
  <c r="K377" i="1"/>
  <c r="J377" i="1"/>
  <c r="I377" i="1"/>
  <c r="H377" i="1"/>
  <c r="G377" i="1"/>
  <c r="F377" i="1"/>
  <c r="E377" i="1"/>
  <c r="D377" i="1"/>
  <c r="C377" i="1"/>
  <c r="B377" i="1"/>
  <c r="M376" i="1" a="1"/>
  <c r="M376" i="1" s="1"/>
  <c r="N376" i="1" s="1"/>
  <c r="L376" i="1"/>
  <c r="K376" i="1"/>
  <c r="J376" i="1"/>
  <c r="I376" i="1"/>
  <c r="H376" i="1"/>
  <c r="G376" i="1"/>
  <c r="F376" i="1"/>
  <c r="E376" i="1"/>
  <c r="D376" i="1"/>
  <c r="C376" i="1"/>
  <c r="B376" i="1"/>
  <c r="N375" i="1"/>
  <c r="M375" i="1" a="1"/>
  <c r="M375" i="1" s="1"/>
  <c r="L375" i="1"/>
  <c r="K375" i="1"/>
  <c r="J375" i="1"/>
  <c r="I375" i="1"/>
  <c r="H375" i="1"/>
  <c r="G375" i="1"/>
  <c r="F375" i="1"/>
  <c r="E375" i="1"/>
  <c r="D375" i="1"/>
  <c r="C375" i="1"/>
  <c r="B375" i="1"/>
  <c r="T374" i="1"/>
  <c r="S374" i="1"/>
  <c r="M374" i="1" a="1"/>
  <c r="M374" i="1" s="1"/>
  <c r="N374" i="1" s="1"/>
  <c r="L374" i="1"/>
  <c r="K374" i="1"/>
  <c r="J374" i="1"/>
  <c r="I374" i="1"/>
  <c r="H374" i="1"/>
  <c r="G374" i="1"/>
  <c r="F374" i="1"/>
  <c r="E374" i="1"/>
  <c r="D374" i="1"/>
  <c r="C374" i="1"/>
  <c r="B374" i="1"/>
  <c r="M373" i="1"/>
  <c r="N373" i="1" s="1"/>
  <c r="M373" i="1" a="1"/>
  <c r="L373" i="1"/>
  <c r="K373" i="1"/>
  <c r="J373" i="1"/>
  <c r="I373" i="1"/>
  <c r="H373" i="1"/>
  <c r="G373" i="1"/>
  <c r="F373" i="1"/>
  <c r="E373" i="1"/>
  <c r="D373" i="1"/>
  <c r="C373" i="1"/>
  <c r="B373" i="1"/>
  <c r="M372" i="1" a="1"/>
  <c r="M372" i="1" s="1"/>
  <c r="L372" i="1"/>
  <c r="K372" i="1"/>
  <c r="J372" i="1"/>
  <c r="I372" i="1"/>
  <c r="N372" i="1" s="1"/>
  <c r="H372" i="1"/>
  <c r="G372" i="1"/>
  <c r="F372" i="1"/>
  <c r="E372" i="1"/>
  <c r="D372" i="1"/>
  <c r="C372" i="1"/>
  <c r="B372" i="1"/>
  <c r="AC371" i="1"/>
  <c r="T371" i="1"/>
  <c r="R371" i="1"/>
  <c r="M371" i="1" a="1"/>
  <c r="M371" i="1" s="1"/>
  <c r="L371" i="1"/>
  <c r="K371" i="1"/>
  <c r="J371" i="1"/>
  <c r="I371" i="1"/>
  <c r="N371" i="1" s="1"/>
  <c r="H371" i="1"/>
  <c r="G371" i="1"/>
  <c r="F371" i="1"/>
  <c r="E371" i="1"/>
  <c r="D371" i="1"/>
  <c r="C371" i="1"/>
  <c r="B371" i="1"/>
  <c r="M370" i="1"/>
  <c r="M370" i="1" a="1"/>
  <c r="L370" i="1"/>
  <c r="K370" i="1"/>
  <c r="J370" i="1"/>
  <c r="I370" i="1"/>
  <c r="H370" i="1"/>
  <c r="G370" i="1"/>
  <c r="F370" i="1"/>
  <c r="E370" i="1"/>
  <c r="D370" i="1"/>
  <c r="C370" i="1"/>
  <c r="N370" i="1" s="1"/>
  <c r="B370" i="1"/>
  <c r="M369" i="1" a="1"/>
  <c r="M369" i="1" s="1"/>
  <c r="N369" i="1" s="1"/>
  <c r="L369" i="1"/>
  <c r="K369" i="1"/>
  <c r="J369" i="1"/>
  <c r="I369" i="1"/>
  <c r="H369" i="1"/>
  <c r="G369" i="1"/>
  <c r="F369" i="1"/>
  <c r="E369" i="1"/>
  <c r="D369" i="1"/>
  <c r="C369" i="1"/>
  <c r="B369" i="1"/>
  <c r="T368" i="1"/>
  <c r="S368" i="1"/>
  <c r="M368" i="1" a="1"/>
  <c r="M368" i="1" s="1"/>
  <c r="L368" i="1"/>
  <c r="K368" i="1"/>
  <c r="J368" i="1"/>
  <c r="I368" i="1"/>
  <c r="N368" i="1" s="1"/>
  <c r="H368" i="1"/>
  <c r="G368" i="1"/>
  <c r="F368" i="1"/>
  <c r="E368" i="1"/>
  <c r="D368" i="1"/>
  <c r="C368" i="1"/>
  <c r="B368" i="1"/>
  <c r="AD367" i="1"/>
  <c r="N367" i="1"/>
  <c r="S367" i="1" s="1"/>
  <c r="M367" i="1" a="1"/>
  <c r="M367" i="1" s="1"/>
  <c r="L367" i="1"/>
  <c r="K367" i="1"/>
  <c r="J367" i="1"/>
  <c r="I367" i="1"/>
  <c r="H367" i="1"/>
  <c r="G367" i="1"/>
  <c r="F367" i="1"/>
  <c r="E367" i="1"/>
  <c r="D367" i="1"/>
  <c r="C367" i="1"/>
  <c r="B367" i="1"/>
  <c r="M366" i="1" a="1"/>
  <c r="M366" i="1" s="1"/>
  <c r="N366" i="1" s="1"/>
  <c r="L366" i="1"/>
  <c r="K366" i="1"/>
  <c r="J366" i="1"/>
  <c r="I366" i="1"/>
  <c r="H366" i="1"/>
  <c r="G366" i="1"/>
  <c r="F366" i="1"/>
  <c r="E366" i="1"/>
  <c r="D366" i="1"/>
  <c r="C366" i="1"/>
  <c r="B366" i="1"/>
  <c r="M365" i="1" a="1"/>
  <c r="M365" i="1" s="1"/>
  <c r="L365" i="1"/>
  <c r="K365" i="1"/>
  <c r="J365" i="1"/>
  <c r="I365" i="1"/>
  <c r="N365" i="1" s="1"/>
  <c r="H365" i="1"/>
  <c r="G365" i="1"/>
  <c r="F365" i="1"/>
  <c r="E365" i="1"/>
  <c r="D365" i="1"/>
  <c r="C365" i="1"/>
  <c r="B365" i="1"/>
  <c r="M364" i="1" a="1"/>
  <c r="M364" i="1" s="1"/>
  <c r="N364" i="1" s="1"/>
  <c r="L364" i="1"/>
  <c r="K364" i="1"/>
  <c r="J364" i="1"/>
  <c r="I364" i="1"/>
  <c r="H364" i="1"/>
  <c r="G364" i="1"/>
  <c r="F364" i="1"/>
  <c r="E364" i="1"/>
  <c r="D364" i="1"/>
  <c r="C364" i="1"/>
  <c r="B364" i="1"/>
  <c r="M363" i="1" a="1"/>
  <c r="M363" i="1" s="1"/>
  <c r="L363" i="1"/>
  <c r="K363" i="1"/>
  <c r="J363" i="1"/>
  <c r="I363" i="1"/>
  <c r="H363" i="1"/>
  <c r="G363" i="1"/>
  <c r="F363" i="1"/>
  <c r="E363" i="1"/>
  <c r="D363" i="1"/>
  <c r="C363" i="1"/>
  <c r="B363" i="1"/>
  <c r="AK362" i="1"/>
  <c r="S362" i="1"/>
  <c r="R362" i="1"/>
  <c r="Z362" i="1" s="1"/>
  <c r="M362" i="1" a="1"/>
  <c r="M362" i="1" s="1"/>
  <c r="N362" i="1" s="1"/>
  <c r="L362" i="1"/>
  <c r="K362" i="1"/>
  <c r="J362" i="1"/>
  <c r="I362" i="1"/>
  <c r="H362" i="1"/>
  <c r="G362" i="1"/>
  <c r="F362" i="1"/>
  <c r="E362" i="1"/>
  <c r="D362" i="1"/>
  <c r="C362" i="1"/>
  <c r="B362" i="1"/>
  <c r="AG361" i="1"/>
  <c r="R361" i="1"/>
  <c r="M361" i="1"/>
  <c r="N361" i="1" s="1"/>
  <c r="M361" i="1" a="1"/>
  <c r="L361" i="1"/>
  <c r="K361" i="1"/>
  <c r="J361" i="1"/>
  <c r="I361" i="1"/>
  <c r="H361" i="1"/>
  <c r="G361" i="1"/>
  <c r="F361" i="1"/>
  <c r="E361" i="1"/>
  <c r="D361" i="1"/>
  <c r="C361" i="1"/>
  <c r="B361" i="1"/>
  <c r="M360" i="1"/>
  <c r="M360" i="1" a="1"/>
  <c r="L360" i="1"/>
  <c r="K360" i="1"/>
  <c r="J360" i="1"/>
  <c r="I360" i="1"/>
  <c r="N360" i="1" s="1"/>
  <c r="H360" i="1"/>
  <c r="G360" i="1"/>
  <c r="F360" i="1"/>
  <c r="E360" i="1"/>
  <c r="D360" i="1"/>
  <c r="C360" i="1"/>
  <c r="B360" i="1"/>
  <c r="M359" i="1" a="1"/>
  <c r="M359" i="1" s="1"/>
  <c r="L359" i="1"/>
  <c r="K359" i="1"/>
  <c r="J359" i="1"/>
  <c r="I359" i="1"/>
  <c r="H359" i="1"/>
  <c r="G359" i="1"/>
  <c r="F359" i="1"/>
  <c r="E359" i="1"/>
  <c r="D359" i="1"/>
  <c r="C359" i="1"/>
  <c r="B359" i="1"/>
  <c r="M358" i="1"/>
  <c r="N358" i="1" s="1"/>
  <c r="M358" i="1" a="1"/>
  <c r="L358" i="1"/>
  <c r="K358" i="1"/>
  <c r="J358" i="1"/>
  <c r="I358" i="1"/>
  <c r="H358" i="1"/>
  <c r="G358" i="1"/>
  <c r="F358" i="1"/>
  <c r="E358" i="1"/>
  <c r="D358" i="1"/>
  <c r="C358" i="1"/>
  <c r="B358" i="1"/>
  <c r="M357" i="1" a="1"/>
  <c r="M357" i="1" s="1"/>
  <c r="L357" i="1"/>
  <c r="K357" i="1"/>
  <c r="J357" i="1"/>
  <c r="I357" i="1"/>
  <c r="H357" i="1"/>
  <c r="G357" i="1"/>
  <c r="F357" i="1"/>
  <c r="E357" i="1"/>
  <c r="D357" i="1"/>
  <c r="C357" i="1"/>
  <c r="B357" i="1"/>
  <c r="X356" i="1"/>
  <c r="S356" i="1"/>
  <c r="M356" i="1"/>
  <c r="M356" i="1" a="1"/>
  <c r="L356" i="1"/>
  <c r="K356" i="1"/>
  <c r="J356" i="1"/>
  <c r="T356" i="1" s="1"/>
  <c r="I356" i="1"/>
  <c r="N356" i="1" s="1"/>
  <c r="H356" i="1"/>
  <c r="G356" i="1"/>
  <c r="F356" i="1"/>
  <c r="R356" i="1" s="1"/>
  <c r="E356" i="1"/>
  <c r="D356" i="1"/>
  <c r="C356" i="1"/>
  <c r="B356" i="1"/>
  <c r="M355" i="1" a="1"/>
  <c r="M355" i="1" s="1"/>
  <c r="L355" i="1"/>
  <c r="K355" i="1"/>
  <c r="J355" i="1"/>
  <c r="I355" i="1"/>
  <c r="H355" i="1"/>
  <c r="G355" i="1"/>
  <c r="F355" i="1"/>
  <c r="E355" i="1"/>
  <c r="D355" i="1"/>
  <c r="C355" i="1"/>
  <c r="B355" i="1"/>
  <c r="M354" i="1"/>
  <c r="M354" i="1" a="1"/>
  <c r="L354" i="1"/>
  <c r="K354" i="1"/>
  <c r="J354" i="1"/>
  <c r="I354" i="1"/>
  <c r="H354" i="1"/>
  <c r="G354" i="1"/>
  <c r="F354" i="1"/>
  <c r="E354" i="1"/>
  <c r="D354" i="1"/>
  <c r="C354" i="1"/>
  <c r="B354" i="1"/>
  <c r="M353" i="1" a="1"/>
  <c r="M353" i="1" s="1"/>
  <c r="L353" i="1"/>
  <c r="K353" i="1"/>
  <c r="J353" i="1"/>
  <c r="I353" i="1"/>
  <c r="N353" i="1" s="1"/>
  <c r="H353" i="1"/>
  <c r="G353" i="1"/>
  <c r="S353" i="1" s="1"/>
  <c r="F353" i="1"/>
  <c r="E353" i="1"/>
  <c r="D353" i="1"/>
  <c r="C353" i="1"/>
  <c r="B353" i="1"/>
  <c r="M352" i="1" a="1"/>
  <c r="M352" i="1" s="1"/>
  <c r="L352" i="1"/>
  <c r="K352" i="1"/>
  <c r="J352" i="1"/>
  <c r="I352" i="1"/>
  <c r="H352" i="1"/>
  <c r="G352" i="1"/>
  <c r="F352" i="1"/>
  <c r="E352" i="1"/>
  <c r="D352" i="1"/>
  <c r="C352" i="1"/>
  <c r="B352" i="1"/>
  <c r="M351" i="1" a="1"/>
  <c r="M351" i="1" s="1"/>
  <c r="L351" i="1"/>
  <c r="K351" i="1"/>
  <c r="J351" i="1"/>
  <c r="I351" i="1"/>
  <c r="N351" i="1" s="1"/>
  <c r="H351" i="1"/>
  <c r="G351" i="1"/>
  <c r="F351" i="1"/>
  <c r="E351" i="1"/>
  <c r="D351" i="1"/>
  <c r="C351" i="1"/>
  <c r="B351" i="1"/>
  <c r="N350" i="1"/>
  <c r="M350" i="1" a="1"/>
  <c r="M350" i="1" s="1"/>
  <c r="L350" i="1"/>
  <c r="K350" i="1"/>
  <c r="J350" i="1"/>
  <c r="I350" i="1"/>
  <c r="H350" i="1"/>
  <c r="G350" i="1"/>
  <c r="F350" i="1"/>
  <c r="E350" i="1"/>
  <c r="D350" i="1"/>
  <c r="C350" i="1"/>
  <c r="B350" i="1"/>
  <c r="M349" i="1"/>
  <c r="M349" i="1" a="1"/>
  <c r="L349" i="1"/>
  <c r="K349" i="1"/>
  <c r="J349" i="1"/>
  <c r="I349" i="1"/>
  <c r="N349" i="1" s="1"/>
  <c r="H349" i="1"/>
  <c r="G349" i="1"/>
  <c r="F349" i="1"/>
  <c r="E349" i="1"/>
  <c r="D349" i="1"/>
  <c r="C349" i="1"/>
  <c r="B349" i="1"/>
  <c r="M348" i="1"/>
  <c r="M348" i="1" a="1"/>
  <c r="L348" i="1"/>
  <c r="K348" i="1"/>
  <c r="J348" i="1"/>
  <c r="I348" i="1"/>
  <c r="N348" i="1" s="1"/>
  <c r="H348" i="1"/>
  <c r="G348" i="1"/>
  <c r="S348" i="1" s="1"/>
  <c r="F348" i="1"/>
  <c r="E348" i="1"/>
  <c r="D348" i="1"/>
  <c r="C348" i="1"/>
  <c r="B348" i="1"/>
  <c r="M347" i="1"/>
  <c r="M347" i="1" a="1"/>
  <c r="L347" i="1"/>
  <c r="K347" i="1"/>
  <c r="J347" i="1"/>
  <c r="I347" i="1"/>
  <c r="H347" i="1"/>
  <c r="G347" i="1"/>
  <c r="F347" i="1"/>
  <c r="E347" i="1"/>
  <c r="D347" i="1"/>
  <c r="C347" i="1"/>
  <c r="B347" i="1"/>
  <c r="M346" i="1"/>
  <c r="M346" i="1" a="1"/>
  <c r="L346" i="1"/>
  <c r="K346" i="1"/>
  <c r="J346" i="1"/>
  <c r="I346" i="1"/>
  <c r="N346" i="1" s="1"/>
  <c r="H346" i="1"/>
  <c r="G346" i="1"/>
  <c r="F346" i="1"/>
  <c r="E346" i="1"/>
  <c r="D346" i="1"/>
  <c r="C346" i="1"/>
  <c r="B346" i="1"/>
  <c r="AD345" i="1"/>
  <c r="AC345" i="1"/>
  <c r="S345" i="1"/>
  <c r="Q345" i="1"/>
  <c r="M345" i="1" a="1"/>
  <c r="M345" i="1" s="1"/>
  <c r="N345" i="1" s="1"/>
  <c r="L345" i="1"/>
  <c r="K345" i="1"/>
  <c r="J345" i="1"/>
  <c r="I345" i="1"/>
  <c r="H345" i="1"/>
  <c r="G345" i="1"/>
  <c r="F345" i="1"/>
  <c r="E345" i="1"/>
  <c r="D345" i="1"/>
  <c r="C345" i="1"/>
  <c r="B345" i="1"/>
  <c r="M344" i="1" a="1"/>
  <c r="M344" i="1" s="1"/>
  <c r="L344" i="1"/>
  <c r="K344" i="1"/>
  <c r="J344" i="1"/>
  <c r="I344" i="1"/>
  <c r="H344" i="1"/>
  <c r="G344" i="1"/>
  <c r="F344" i="1"/>
  <c r="E344" i="1"/>
  <c r="D344" i="1"/>
  <c r="C344" i="1"/>
  <c r="B344" i="1"/>
  <c r="M343" i="1" a="1"/>
  <c r="M343" i="1" s="1"/>
  <c r="N343" i="1" s="1"/>
  <c r="L343" i="1"/>
  <c r="K343" i="1"/>
  <c r="J343" i="1"/>
  <c r="I343" i="1"/>
  <c r="H343" i="1"/>
  <c r="G343" i="1"/>
  <c r="F343" i="1"/>
  <c r="E343" i="1"/>
  <c r="D343" i="1"/>
  <c r="C343" i="1"/>
  <c r="B343" i="1"/>
  <c r="M342" i="1" a="1"/>
  <c r="M342" i="1" s="1"/>
  <c r="L342" i="1"/>
  <c r="K342" i="1"/>
  <c r="J342" i="1"/>
  <c r="I342" i="1"/>
  <c r="N342" i="1" s="1"/>
  <c r="H342" i="1"/>
  <c r="G342" i="1"/>
  <c r="S342" i="1" s="1"/>
  <c r="F342" i="1"/>
  <c r="E342" i="1"/>
  <c r="D342" i="1"/>
  <c r="C342" i="1"/>
  <c r="B342" i="1"/>
  <c r="AD341" i="1"/>
  <c r="AC341" i="1"/>
  <c r="M341" i="1"/>
  <c r="N341" i="1" s="1"/>
  <c r="Q341" i="1" s="1"/>
  <c r="M341" i="1" a="1"/>
  <c r="L341" i="1"/>
  <c r="K341" i="1"/>
  <c r="J341" i="1"/>
  <c r="I341" i="1"/>
  <c r="H341" i="1"/>
  <c r="G341" i="1"/>
  <c r="F341" i="1"/>
  <c r="E341" i="1"/>
  <c r="D341" i="1"/>
  <c r="C341" i="1"/>
  <c r="B341" i="1"/>
  <c r="M340" i="1"/>
  <c r="M340" i="1" a="1"/>
  <c r="L340" i="1"/>
  <c r="K340" i="1"/>
  <c r="J340" i="1"/>
  <c r="I340" i="1"/>
  <c r="H340" i="1"/>
  <c r="G340" i="1"/>
  <c r="F340" i="1"/>
  <c r="E340" i="1"/>
  <c r="D340" i="1"/>
  <c r="C340" i="1"/>
  <c r="B340" i="1"/>
  <c r="M339" i="1" a="1"/>
  <c r="M339" i="1" s="1"/>
  <c r="L339" i="1"/>
  <c r="K339" i="1"/>
  <c r="J339" i="1"/>
  <c r="I339" i="1"/>
  <c r="N339" i="1" s="1"/>
  <c r="H339" i="1"/>
  <c r="G339" i="1"/>
  <c r="F339" i="1"/>
  <c r="E339" i="1"/>
  <c r="D339" i="1"/>
  <c r="C339" i="1"/>
  <c r="B339" i="1"/>
  <c r="M338" i="1"/>
  <c r="M338" i="1" a="1"/>
  <c r="L338" i="1"/>
  <c r="K338" i="1"/>
  <c r="J338" i="1"/>
  <c r="I338" i="1"/>
  <c r="H338" i="1"/>
  <c r="G338" i="1"/>
  <c r="F338" i="1"/>
  <c r="E338" i="1"/>
  <c r="D338" i="1"/>
  <c r="C338" i="1"/>
  <c r="B338" i="1"/>
  <c r="N337" i="1"/>
  <c r="M337" i="1" a="1"/>
  <c r="M337" i="1" s="1"/>
  <c r="L337" i="1"/>
  <c r="K337" i="1"/>
  <c r="J337" i="1"/>
  <c r="I337" i="1"/>
  <c r="H337" i="1"/>
  <c r="G337" i="1"/>
  <c r="F337" i="1"/>
  <c r="E337" i="1"/>
  <c r="D337" i="1"/>
  <c r="C337" i="1"/>
  <c r="B337" i="1"/>
  <c r="M336" i="1"/>
  <c r="M336" i="1" a="1"/>
  <c r="L336" i="1"/>
  <c r="K336" i="1"/>
  <c r="J336" i="1"/>
  <c r="I336" i="1"/>
  <c r="H336" i="1"/>
  <c r="G336" i="1"/>
  <c r="F336" i="1"/>
  <c r="E336" i="1"/>
  <c r="D336" i="1"/>
  <c r="C336" i="1"/>
  <c r="N336" i="1" s="1"/>
  <c r="B336" i="1"/>
  <c r="M335" i="1" a="1"/>
  <c r="M335" i="1" s="1"/>
  <c r="L335" i="1"/>
  <c r="K335" i="1"/>
  <c r="J335" i="1"/>
  <c r="I335" i="1"/>
  <c r="H335" i="1"/>
  <c r="G335" i="1"/>
  <c r="F335" i="1"/>
  <c r="E335" i="1"/>
  <c r="D335" i="1"/>
  <c r="C335" i="1"/>
  <c r="B335" i="1"/>
  <c r="M334" i="1"/>
  <c r="M334" i="1" a="1"/>
  <c r="L334" i="1"/>
  <c r="K334" i="1"/>
  <c r="J334" i="1"/>
  <c r="I334" i="1"/>
  <c r="H334" i="1"/>
  <c r="G334" i="1"/>
  <c r="F334" i="1"/>
  <c r="E334" i="1"/>
  <c r="D334" i="1"/>
  <c r="C334" i="1"/>
  <c r="B334" i="1"/>
  <c r="M333" i="1" a="1"/>
  <c r="M333" i="1" s="1"/>
  <c r="L333" i="1"/>
  <c r="K333" i="1"/>
  <c r="J333" i="1"/>
  <c r="I333" i="1"/>
  <c r="H333" i="1"/>
  <c r="G333" i="1"/>
  <c r="F333" i="1"/>
  <c r="E333" i="1"/>
  <c r="D333" i="1"/>
  <c r="C333" i="1"/>
  <c r="B333" i="1"/>
  <c r="M332" i="1"/>
  <c r="M332" i="1" a="1"/>
  <c r="L332" i="1"/>
  <c r="K332" i="1"/>
  <c r="J332" i="1"/>
  <c r="I332" i="1"/>
  <c r="H332" i="1"/>
  <c r="G332" i="1"/>
  <c r="F332" i="1"/>
  <c r="E332" i="1"/>
  <c r="D332" i="1"/>
  <c r="C332" i="1"/>
  <c r="B332" i="1"/>
  <c r="M331" i="1" a="1"/>
  <c r="M331" i="1" s="1"/>
  <c r="L331" i="1"/>
  <c r="K331" i="1"/>
  <c r="J331" i="1"/>
  <c r="I331" i="1"/>
  <c r="N331" i="1" s="1"/>
  <c r="H331" i="1"/>
  <c r="G331" i="1"/>
  <c r="F331" i="1"/>
  <c r="E331" i="1"/>
  <c r="D331" i="1"/>
  <c r="C331" i="1"/>
  <c r="B331" i="1"/>
  <c r="AD330" i="1"/>
  <c r="M330" i="1" a="1"/>
  <c r="M330" i="1" s="1"/>
  <c r="L330" i="1"/>
  <c r="K330" i="1"/>
  <c r="J330" i="1"/>
  <c r="I330" i="1"/>
  <c r="H330" i="1"/>
  <c r="G330" i="1"/>
  <c r="F330" i="1"/>
  <c r="E330" i="1"/>
  <c r="D330" i="1"/>
  <c r="C330" i="1"/>
  <c r="N330" i="1" s="1"/>
  <c r="Q330" i="1" s="1"/>
  <c r="B330" i="1"/>
  <c r="M329" i="1"/>
  <c r="M329" i="1" a="1"/>
  <c r="L329" i="1"/>
  <c r="K329" i="1"/>
  <c r="J329" i="1"/>
  <c r="I329" i="1"/>
  <c r="H329" i="1"/>
  <c r="G329" i="1"/>
  <c r="F329" i="1"/>
  <c r="E329" i="1"/>
  <c r="D329" i="1"/>
  <c r="C329" i="1"/>
  <c r="B329" i="1"/>
  <c r="M328" i="1"/>
  <c r="M328" i="1" a="1"/>
  <c r="L328" i="1"/>
  <c r="K328" i="1"/>
  <c r="J328" i="1"/>
  <c r="I328" i="1"/>
  <c r="N328" i="1" s="1"/>
  <c r="H328" i="1"/>
  <c r="G328" i="1"/>
  <c r="F328" i="1"/>
  <c r="E328" i="1"/>
  <c r="D328" i="1"/>
  <c r="C328" i="1"/>
  <c r="B328" i="1"/>
  <c r="N327" i="1"/>
  <c r="M327" i="1" a="1"/>
  <c r="M327" i="1" s="1"/>
  <c r="L327" i="1"/>
  <c r="K327" i="1"/>
  <c r="J327" i="1"/>
  <c r="I327" i="1"/>
  <c r="H327" i="1"/>
  <c r="G327" i="1"/>
  <c r="F327" i="1"/>
  <c r="E327" i="1"/>
  <c r="D327" i="1"/>
  <c r="C327" i="1"/>
  <c r="B327" i="1"/>
  <c r="M326" i="1" a="1"/>
  <c r="M326" i="1" s="1"/>
  <c r="N326" i="1" s="1"/>
  <c r="L326" i="1"/>
  <c r="K326" i="1"/>
  <c r="J326" i="1"/>
  <c r="I326" i="1"/>
  <c r="H326" i="1"/>
  <c r="G326" i="1"/>
  <c r="F326" i="1"/>
  <c r="E326" i="1"/>
  <c r="D326" i="1"/>
  <c r="C326" i="1"/>
  <c r="B326" i="1"/>
  <c r="N325" i="1"/>
  <c r="M325" i="1" a="1"/>
  <c r="M325" i="1" s="1"/>
  <c r="L325" i="1"/>
  <c r="K325" i="1"/>
  <c r="J325" i="1"/>
  <c r="I325" i="1"/>
  <c r="H325" i="1"/>
  <c r="G325" i="1"/>
  <c r="F325" i="1"/>
  <c r="E325" i="1"/>
  <c r="D325" i="1"/>
  <c r="C325" i="1"/>
  <c r="B325" i="1"/>
  <c r="M324" i="1" a="1"/>
  <c r="M324" i="1" s="1"/>
  <c r="N324" i="1" s="1"/>
  <c r="L324" i="1"/>
  <c r="K324" i="1"/>
  <c r="J324" i="1"/>
  <c r="I324" i="1"/>
  <c r="H324" i="1"/>
  <c r="G324" i="1"/>
  <c r="F324" i="1"/>
  <c r="E324" i="1"/>
  <c r="D324" i="1"/>
  <c r="C324" i="1"/>
  <c r="B324" i="1"/>
  <c r="M323" i="1" a="1"/>
  <c r="M323" i="1" s="1"/>
  <c r="N323" i="1" s="1"/>
  <c r="L323" i="1"/>
  <c r="K323" i="1"/>
  <c r="J323" i="1"/>
  <c r="I323" i="1"/>
  <c r="H323" i="1"/>
  <c r="G323" i="1"/>
  <c r="F323" i="1"/>
  <c r="E323" i="1"/>
  <c r="D323" i="1"/>
  <c r="C323" i="1"/>
  <c r="B323" i="1"/>
  <c r="M322" i="1"/>
  <c r="M322" i="1" a="1"/>
  <c r="L322" i="1"/>
  <c r="K322" i="1"/>
  <c r="J322" i="1"/>
  <c r="I322" i="1"/>
  <c r="H322" i="1"/>
  <c r="G322" i="1"/>
  <c r="F322" i="1"/>
  <c r="E322" i="1"/>
  <c r="D322" i="1"/>
  <c r="C322" i="1"/>
  <c r="B322" i="1"/>
  <c r="M321" i="1"/>
  <c r="M321" i="1" a="1"/>
  <c r="L321" i="1"/>
  <c r="K321" i="1"/>
  <c r="J321" i="1"/>
  <c r="I321" i="1"/>
  <c r="H321" i="1"/>
  <c r="G321" i="1"/>
  <c r="F321" i="1"/>
  <c r="E321" i="1"/>
  <c r="D321" i="1"/>
  <c r="C321" i="1"/>
  <c r="N321" i="1" s="1"/>
  <c r="B321" i="1"/>
  <c r="M320" i="1"/>
  <c r="M320" i="1" a="1"/>
  <c r="L320" i="1"/>
  <c r="K320" i="1"/>
  <c r="J320" i="1"/>
  <c r="I320" i="1"/>
  <c r="H320" i="1"/>
  <c r="G320" i="1"/>
  <c r="F320" i="1"/>
  <c r="E320" i="1"/>
  <c r="D320" i="1"/>
  <c r="C320" i="1"/>
  <c r="B320" i="1"/>
  <c r="M319" i="1" a="1"/>
  <c r="M319" i="1" s="1"/>
  <c r="N319" i="1" s="1"/>
  <c r="L319" i="1"/>
  <c r="K319" i="1"/>
  <c r="J319" i="1"/>
  <c r="I319" i="1"/>
  <c r="H319" i="1"/>
  <c r="G319" i="1"/>
  <c r="F319" i="1"/>
  <c r="E319" i="1"/>
  <c r="D319" i="1"/>
  <c r="C319" i="1"/>
  <c r="B319" i="1"/>
  <c r="AD318" i="1"/>
  <c r="M318" i="1"/>
  <c r="M318" i="1" a="1"/>
  <c r="L318" i="1"/>
  <c r="K318" i="1"/>
  <c r="J318" i="1"/>
  <c r="I318" i="1"/>
  <c r="H318" i="1"/>
  <c r="G318" i="1"/>
  <c r="S318" i="1" s="1"/>
  <c r="F318" i="1"/>
  <c r="E318" i="1"/>
  <c r="D318" i="1"/>
  <c r="C318" i="1"/>
  <c r="N318" i="1" s="1"/>
  <c r="B318" i="1"/>
  <c r="M317" i="1" a="1"/>
  <c r="M317" i="1" s="1"/>
  <c r="L317" i="1"/>
  <c r="K317" i="1"/>
  <c r="J317" i="1"/>
  <c r="I317" i="1"/>
  <c r="H317" i="1"/>
  <c r="G317" i="1"/>
  <c r="F317" i="1"/>
  <c r="E317" i="1"/>
  <c r="D317" i="1"/>
  <c r="C317" i="1"/>
  <c r="B317" i="1"/>
  <c r="M316" i="1"/>
  <c r="N316" i="1" s="1"/>
  <c r="M316" i="1" a="1"/>
  <c r="L316" i="1"/>
  <c r="K316" i="1"/>
  <c r="J316" i="1"/>
  <c r="I316" i="1"/>
  <c r="H316" i="1"/>
  <c r="G316" i="1"/>
  <c r="F316" i="1"/>
  <c r="E316" i="1"/>
  <c r="D316" i="1"/>
  <c r="C316" i="1"/>
  <c r="B316" i="1"/>
  <c r="M315" i="1" a="1"/>
  <c r="M315" i="1" s="1"/>
  <c r="L315" i="1"/>
  <c r="K315" i="1"/>
  <c r="J315" i="1"/>
  <c r="I315" i="1"/>
  <c r="H315" i="1"/>
  <c r="G315" i="1"/>
  <c r="F315" i="1"/>
  <c r="E315" i="1"/>
  <c r="D315" i="1"/>
  <c r="C315" i="1"/>
  <c r="B315" i="1"/>
  <c r="M314" i="1"/>
  <c r="N314" i="1" s="1"/>
  <c r="M314" i="1" a="1"/>
  <c r="L314" i="1"/>
  <c r="K314" i="1"/>
  <c r="J314" i="1"/>
  <c r="I314" i="1"/>
  <c r="H314" i="1"/>
  <c r="G314" i="1"/>
  <c r="F314" i="1"/>
  <c r="E314" i="1"/>
  <c r="D314" i="1"/>
  <c r="C314" i="1"/>
  <c r="B314" i="1"/>
  <c r="M313" i="1" a="1"/>
  <c r="M313" i="1" s="1"/>
  <c r="L313" i="1"/>
  <c r="K313" i="1"/>
  <c r="J313" i="1"/>
  <c r="I313" i="1"/>
  <c r="N313" i="1" s="1"/>
  <c r="H313" i="1"/>
  <c r="G313" i="1"/>
  <c r="F313" i="1"/>
  <c r="E313" i="1"/>
  <c r="D313" i="1"/>
  <c r="C313" i="1"/>
  <c r="B313" i="1"/>
  <c r="M312" i="1"/>
  <c r="N312" i="1" s="1"/>
  <c r="M312" i="1" a="1"/>
  <c r="L312" i="1"/>
  <c r="K312" i="1"/>
  <c r="J312" i="1"/>
  <c r="I312" i="1"/>
  <c r="H312" i="1"/>
  <c r="G312" i="1"/>
  <c r="F312" i="1"/>
  <c r="E312" i="1"/>
  <c r="D312" i="1"/>
  <c r="C312" i="1"/>
  <c r="B312" i="1"/>
  <c r="M311" i="1" a="1"/>
  <c r="M311" i="1" s="1"/>
  <c r="L311" i="1"/>
  <c r="K311" i="1"/>
  <c r="J311" i="1"/>
  <c r="I311" i="1"/>
  <c r="N311" i="1" s="1"/>
  <c r="H311" i="1"/>
  <c r="G311" i="1"/>
  <c r="S311" i="1" s="1"/>
  <c r="F311" i="1"/>
  <c r="E311" i="1"/>
  <c r="D311" i="1"/>
  <c r="C311" i="1"/>
  <c r="B311" i="1"/>
  <c r="M310" i="1"/>
  <c r="N310" i="1" s="1"/>
  <c r="T310" i="1" s="1"/>
  <c r="M310" i="1" a="1"/>
  <c r="L310" i="1"/>
  <c r="K310" i="1"/>
  <c r="J310" i="1"/>
  <c r="I310" i="1"/>
  <c r="H310" i="1"/>
  <c r="G310" i="1"/>
  <c r="F310" i="1"/>
  <c r="E310" i="1"/>
  <c r="D310" i="1"/>
  <c r="C310" i="1"/>
  <c r="B310" i="1"/>
  <c r="M309" i="1"/>
  <c r="M309" i="1" a="1"/>
  <c r="L309" i="1"/>
  <c r="K309" i="1"/>
  <c r="J309" i="1"/>
  <c r="I309" i="1"/>
  <c r="N309" i="1" s="1"/>
  <c r="H309" i="1"/>
  <c r="G309" i="1"/>
  <c r="S309" i="1" s="1"/>
  <c r="F309" i="1"/>
  <c r="E309" i="1"/>
  <c r="D309" i="1"/>
  <c r="C309" i="1"/>
  <c r="B309" i="1"/>
  <c r="Y308" i="1"/>
  <c r="AA308" i="1" s="1"/>
  <c r="R308" i="1"/>
  <c r="M308" i="1"/>
  <c r="M308" i="1" a="1"/>
  <c r="L308" i="1"/>
  <c r="K308" i="1"/>
  <c r="J308" i="1"/>
  <c r="I308" i="1"/>
  <c r="N308" i="1" s="1"/>
  <c r="H308" i="1"/>
  <c r="G308" i="1"/>
  <c r="F308" i="1"/>
  <c r="T308" i="1" s="1"/>
  <c r="E308" i="1"/>
  <c r="D308" i="1"/>
  <c r="C308" i="1"/>
  <c r="B308" i="1"/>
  <c r="M307" i="1"/>
  <c r="M307" i="1" a="1"/>
  <c r="L307" i="1"/>
  <c r="K307" i="1"/>
  <c r="J307" i="1"/>
  <c r="I307" i="1"/>
  <c r="H307" i="1"/>
  <c r="G307" i="1"/>
  <c r="F307" i="1"/>
  <c r="E307" i="1"/>
  <c r="D307" i="1"/>
  <c r="C307" i="1"/>
  <c r="B307" i="1"/>
  <c r="M306" i="1" a="1"/>
  <c r="M306" i="1" s="1"/>
  <c r="N306" i="1" s="1"/>
  <c r="L306" i="1"/>
  <c r="K306" i="1"/>
  <c r="J306" i="1"/>
  <c r="I306" i="1"/>
  <c r="H306" i="1"/>
  <c r="G306" i="1"/>
  <c r="F306" i="1"/>
  <c r="E306" i="1"/>
  <c r="D306" i="1"/>
  <c r="C306" i="1"/>
  <c r="B306" i="1"/>
  <c r="M305" i="1"/>
  <c r="M305" i="1" a="1"/>
  <c r="L305" i="1"/>
  <c r="K305" i="1"/>
  <c r="J305" i="1"/>
  <c r="I305" i="1"/>
  <c r="H305" i="1"/>
  <c r="G305" i="1"/>
  <c r="F305" i="1"/>
  <c r="E305" i="1"/>
  <c r="D305" i="1"/>
  <c r="C305" i="1"/>
  <c r="N305" i="1" s="1"/>
  <c r="B305" i="1"/>
  <c r="M304" i="1"/>
  <c r="M304" i="1" a="1"/>
  <c r="L304" i="1"/>
  <c r="K304" i="1"/>
  <c r="J304" i="1"/>
  <c r="I304" i="1"/>
  <c r="N304" i="1" s="1"/>
  <c r="H304" i="1"/>
  <c r="G304" i="1"/>
  <c r="F304" i="1"/>
  <c r="E304" i="1"/>
  <c r="D304" i="1"/>
  <c r="C304" i="1"/>
  <c r="B304" i="1"/>
  <c r="M303" i="1" a="1"/>
  <c r="M303" i="1" s="1"/>
  <c r="N303" i="1" s="1"/>
  <c r="L303" i="1"/>
  <c r="K303" i="1"/>
  <c r="J303" i="1"/>
  <c r="I303" i="1"/>
  <c r="H303" i="1"/>
  <c r="G303" i="1"/>
  <c r="F303" i="1"/>
  <c r="E303" i="1"/>
  <c r="D303" i="1"/>
  <c r="C303" i="1"/>
  <c r="B303" i="1"/>
  <c r="M302" i="1" a="1"/>
  <c r="M302" i="1" s="1"/>
  <c r="N302" i="1" s="1"/>
  <c r="L302" i="1"/>
  <c r="K302" i="1"/>
  <c r="J302" i="1"/>
  <c r="I302" i="1"/>
  <c r="H302" i="1"/>
  <c r="G302" i="1"/>
  <c r="F302" i="1"/>
  <c r="E302" i="1"/>
  <c r="D302" i="1"/>
  <c r="C302" i="1"/>
  <c r="B302" i="1"/>
  <c r="M301" i="1"/>
  <c r="M301" i="1" a="1"/>
  <c r="L301" i="1"/>
  <c r="K301" i="1"/>
  <c r="J301" i="1"/>
  <c r="I301" i="1"/>
  <c r="H301" i="1"/>
  <c r="G301" i="1"/>
  <c r="F301" i="1"/>
  <c r="E301" i="1"/>
  <c r="D301" i="1"/>
  <c r="C301" i="1"/>
  <c r="N301" i="1" s="1"/>
  <c r="AC301" i="1" s="1"/>
  <c r="B301" i="1"/>
  <c r="M300" i="1" a="1"/>
  <c r="M300" i="1" s="1"/>
  <c r="L300" i="1"/>
  <c r="K300" i="1"/>
  <c r="J300" i="1"/>
  <c r="I300" i="1"/>
  <c r="H300" i="1"/>
  <c r="G300" i="1"/>
  <c r="F300" i="1"/>
  <c r="E300" i="1"/>
  <c r="D300" i="1"/>
  <c r="C300" i="1"/>
  <c r="B300" i="1"/>
  <c r="M299" i="1" a="1"/>
  <c r="M299" i="1" s="1"/>
  <c r="N299" i="1" s="1"/>
  <c r="L299" i="1"/>
  <c r="K299" i="1"/>
  <c r="J299" i="1"/>
  <c r="I299" i="1"/>
  <c r="H299" i="1"/>
  <c r="G299" i="1"/>
  <c r="F299" i="1"/>
  <c r="E299" i="1"/>
  <c r="D299" i="1"/>
  <c r="C299" i="1"/>
  <c r="B299" i="1"/>
  <c r="M298" i="1"/>
  <c r="M298" i="1" a="1"/>
  <c r="L298" i="1"/>
  <c r="K298" i="1"/>
  <c r="J298" i="1"/>
  <c r="I298" i="1"/>
  <c r="H298" i="1"/>
  <c r="G298" i="1"/>
  <c r="F298" i="1"/>
  <c r="E298" i="1"/>
  <c r="D298" i="1"/>
  <c r="C298" i="1"/>
  <c r="B298" i="1"/>
  <c r="M297" i="1" a="1"/>
  <c r="M297" i="1" s="1"/>
  <c r="L297" i="1"/>
  <c r="K297" i="1"/>
  <c r="J297" i="1"/>
  <c r="I297" i="1"/>
  <c r="H297" i="1"/>
  <c r="G297" i="1"/>
  <c r="F297" i="1"/>
  <c r="E297" i="1"/>
  <c r="D297" i="1"/>
  <c r="C297" i="1"/>
  <c r="B297" i="1"/>
  <c r="M296" i="1"/>
  <c r="M296" i="1" a="1"/>
  <c r="L296" i="1"/>
  <c r="K296" i="1"/>
  <c r="J296" i="1"/>
  <c r="I296" i="1"/>
  <c r="H296" i="1"/>
  <c r="G296" i="1"/>
  <c r="F296" i="1"/>
  <c r="E296" i="1"/>
  <c r="D296" i="1"/>
  <c r="C296" i="1"/>
  <c r="B296" i="1"/>
  <c r="AC295" i="1"/>
  <c r="M295" i="1" a="1"/>
  <c r="M295" i="1" s="1"/>
  <c r="N295" i="1" s="1"/>
  <c r="L295" i="1"/>
  <c r="K295" i="1"/>
  <c r="J295" i="1"/>
  <c r="I295" i="1"/>
  <c r="H295" i="1"/>
  <c r="G295" i="1"/>
  <c r="S295" i="1" s="1"/>
  <c r="F295" i="1"/>
  <c r="E295" i="1"/>
  <c r="D295" i="1"/>
  <c r="C295" i="1"/>
  <c r="B295" i="1"/>
  <c r="M294" i="1" a="1"/>
  <c r="M294" i="1" s="1"/>
  <c r="N294" i="1" s="1"/>
  <c r="L294" i="1"/>
  <c r="K294" i="1"/>
  <c r="J294" i="1"/>
  <c r="I294" i="1"/>
  <c r="H294" i="1"/>
  <c r="G294" i="1"/>
  <c r="F294" i="1"/>
  <c r="E294" i="1"/>
  <c r="D294" i="1"/>
  <c r="C294" i="1"/>
  <c r="B294" i="1"/>
  <c r="AD293" i="1"/>
  <c r="M293" i="1" a="1"/>
  <c r="M293" i="1" s="1"/>
  <c r="N293" i="1" s="1"/>
  <c r="Q293" i="1" s="1"/>
  <c r="L293" i="1"/>
  <c r="K293" i="1"/>
  <c r="J293" i="1"/>
  <c r="I293" i="1"/>
  <c r="H293" i="1"/>
  <c r="G293" i="1"/>
  <c r="F293" i="1"/>
  <c r="E293" i="1"/>
  <c r="D293" i="1"/>
  <c r="C293" i="1"/>
  <c r="B293" i="1"/>
  <c r="M292" i="1"/>
  <c r="M292" i="1" a="1"/>
  <c r="L292" i="1"/>
  <c r="K292" i="1"/>
  <c r="J292" i="1"/>
  <c r="I292" i="1"/>
  <c r="H292" i="1"/>
  <c r="G292" i="1"/>
  <c r="F292" i="1"/>
  <c r="E292" i="1"/>
  <c r="D292" i="1"/>
  <c r="C292" i="1"/>
  <c r="B292" i="1"/>
  <c r="M291" i="1" a="1"/>
  <c r="M291" i="1" s="1"/>
  <c r="L291" i="1"/>
  <c r="K291" i="1"/>
  <c r="J291" i="1"/>
  <c r="I291" i="1"/>
  <c r="H291" i="1"/>
  <c r="G291" i="1"/>
  <c r="F291" i="1"/>
  <c r="E291" i="1"/>
  <c r="D291" i="1"/>
  <c r="C291" i="1"/>
  <c r="B291" i="1"/>
  <c r="M290" i="1" a="1"/>
  <c r="M290" i="1" s="1"/>
  <c r="N290" i="1" s="1"/>
  <c r="AD290" i="1" s="1"/>
  <c r="L290" i="1"/>
  <c r="K290" i="1"/>
  <c r="J290" i="1"/>
  <c r="I290" i="1"/>
  <c r="H290" i="1"/>
  <c r="G290" i="1"/>
  <c r="F290" i="1"/>
  <c r="E290" i="1"/>
  <c r="D290" i="1"/>
  <c r="C290" i="1"/>
  <c r="B290" i="1"/>
  <c r="M289" i="1"/>
  <c r="M289" i="1" a="1"/>
  <c r="L289" i="1"/>
  <c r="K289" i="1"/>
  <c r="J289" i="1"/>
  <c r="I289" i="1"/>
  <c r="H289" i="1"/>
  <c r="G289" i="1"/>
  <c r="F289" i="1"/>
  <c r="E289" i="1"/>
  <c r="D289" i="1"/>
  <c r="C289" i="1"/>
  <c r="B289" i="1"/>
  <c r="N288" i="1"/>
  <c r="M288" i="1" a="1"/>
  <c r="M288" i="1" s="1"/>
  <c r="L288" i="1"/>
  <c r="K288" i="1"/>
  <c r="J288" i="1"/>
  <c r="I288" i="1"/>
  <c r="H288" i="1"/>
  <c r="G288" i="1"/>
  <c r="F288" i="1"/>
  <c r="E288" i="1"/>
  <c r="D288" i="1"/>
  <c r="C288" i="1"/>
  <c r="B288" i="1"/>
  <c r="M287" i="1"/>
  <c r="M287" i="1" a="1"/>
  <c r="L287" i="1"/>
  <c r="K287" i="1"/>
  <c r="J287" i="1"/>
  <c r="I287" i="1"/>
  <c r="N287" i="1" s="1"/>
  <c r="H287" i="1"/>
  <c r="G287" i="1"/>
  <c r="F287" i="1"/>
  <c r="E287" i="1"/>
  <c r="D287" i="1"/>
  <c r="C287" i="1"/>
  <c r="B287" i="1"/>
  <c r="M286" i="1"/>
  <c r="N286" i="1" s="1"/>
  <c r="M286" i="1" a="1"/>
  <c r="L286" i="1"/>
  <c r="K286" i="1"/>
  <c r="J286" i="1"/>
  <c r="I286" i="1"/>
  <c r="H286" i="1"/>
  <c r="G286" i="1"/>
  <c r="F286" i="1"/>
  <c r="E286" i="1"/>
  <c r="D286" i="1"/>
  <c r="C286" i="1"/>
  <c r="B286" i="1"/>
  <c r="M285" i="1"/>
  <c r="N285" i="1" s="1"/>
  <c r="M285" i="1" a="1"/>
  <c r="L285" i="1"/>
  <c r="K285" i="1"/>
  <c r="J285" i="1"/>
  <c r="I285" i="1"/>
  <c r="H285" i="1"/>
  <c r="G285" i="1"/>
  <c r="F285" i="1"/>
  <c r="E285" i="1"/>
  <c r="D285" i="1"/>
  <c r="C285" i="1"/>
  <c r="B285" i="1"/>
  <c r="M284" i="1"/>
  <c r="M284" i="1" a="1"/>
  <c r="L284" i="1"/>
  <c r="K284" i="1"/>
  <c r="J284" i="1"/>
  <c r="I284" i="1"/>
  <c r="N284" i="1" s="1"/>
  <c r="H284" i="1"/>
  <c r="G284" i="1"/>
  <c r="F284" i="1"/>
  <c r="E284" i="1"/>
  <c r="D284" i="1"/>
  <c r="C284" i="1"/>
  <c r="B284" i="1"/>
  <c r="M283" i="1"/>
  <c r="M283" i="1" a="1"/>
  <c r="L283" i="1"/>
  <c r="K283" i="1"/>
  <c r="J283" i="1"/>
  <c r="I283" i="1"/>
  <c r="H283" i="1"/>
  <c r="G283" i="1"/>
  <c r="F283" i="1"/>
  <c r="E283" i="1"/>
  <c r="D283" i="1"/>
  <c r="C283" i="1"/>
  <c r="B283" i="1"/>
  <c r="M282" i="1" a="1"/>
  <c r="M282" i="1" s="1"/>
  <c r="L282" i="1"/>
  <c r="K282" i="1"/>
  <c r="J282" i="1"/>
  <c r="I282" i="1"/>
  <c r="N282" i="1" s="1"/>
  <c r="H282" i="1"/>
  <c r="G282" i="1"/>
  <c r="F282" i="1"/>
  <c r="E282" i="1"/>
  <c r="D282" i="1"/>
  <c r="C282" i="1"/>
  <c r="B282" i="1"/>
  <c r="M281" i="1"/>
  <c r="M281" i="1" a="1"/>
  <c r="L281" i="1"/>
  <c r="K281" i="1"/>
  <c r="J281" i="1"/>
  <c r="I281" i="1"/>
  <c r="H281" i="1"/>
  <c r="G281" i="1"/>
  <c r="F281" i="1"/>
  <c r="E281" i="1"/>
  <c r="D281" i="1"/>
  <c r="C281" i="1"/>
  <c r="N281" i="1" s="1"/>
  <c r="B281" i="1"/>
  <c r="M280" i="1" a="1"/>
  <c r="M280" i="1" s="1"/>
  <c r="L280" i="1"/>
  <c r="K280" i="1"/>
  <c r="J280" i="1"/>
  <c r="I280" i="1"/>
  <c r="H280" i="1"/>
  <c r="G280" i="1"/>
  <c r="F280" i="1"/>
  <c r="E280" i="1"/>
  <c r="D280" i="1"/>
  <c r="C280" i="1"/>
  <c r="B280" i="1"/>
  <c r="M279" i="1" a="1"/>
  <c r="M279" i="1" s="1"/>
  <c r="N279" i="1" s="1"/>
  <c r="L279" i="1"/>
  <c r="K279" i="1"/>
  <c r="J279" i="1"/>
  <c r="I279" i="1"/>
  <c r="H279" i="1"/>
  <c r="G279" i="1"/>
  <c r="F279" i="1"/>
  <c r="E279" i="1"/>
  <c r="D279" i="1"/>
  <c r="C279" i="1"/>
  <c r="B279" i="1"/>
  <c r="M278" i="1"/>
  <c r="M278" i="1" a="1"/>
  <c r="L278" i="1"/>
  <c r="K278" i="1"/>
  <c r="J278" i="1"/>
  <c r="I278" i="1"/>
  <c r="H278" i="1"/>
  <c r="G278" i="1"/>
  <c r="F278" i="1"/>
  <c r="E278" i="1"/>
  <c r="D278" i="1"/>
  <c r="C278" i="1"/>
  <c r="B278" i="1"/>
  <c r="M277" i="1" a="1"/>
  <c r="M277" i="1" s="1"/>
  <c r="L277" i="1"/>
  <c r="K277" i="1"/>
  <c r="J277" i="1"/>
  <c r="I277" i="1"/>
  <c r="H277" i="1"/>
  <c r="G277" i="1"/>
  <c r="F277" i="1"/>
  <c r="E277" i="1"/>
  <c r="D277" i="1"/>
  <c r="C277" i="1"/>
  <c r="B277" i="1"/>
  <c r="M276" i="1"/>
  <c r="M276" i="1" a="1"/>
  <c r="L276" i="1"/>
  <c r="K276" i="1"/>
  <c r="J276" i="1"/>
  <c r="I276" i="1"/>
  <c r="N276" i="1" s="1"/>
  <c r="H276" i="1"/>
  <c r="G276" i="1"/>
  <c r="S276" i="1" s="1"/>
  <c r="F276" i="1"/>
  <c r="E276" i="1"/>
  <c r="D276" i="1"/>
  <c r="C276" i="1"/>
  <c r="B276" i="1"/>
  <c r="M275" i="1"/>
  <c r="M275" i="1" a="1"/>
  <c r="L275" i="1"/>
  <c r="K275" i="1"/>
  <c r="J275" i="1"/>
  <c r="I275" i="1"/>
  <c r="H275" i="1"/>
  <c r="G275" i="1"/>
  <c r="F275" i="1"/>
  <c r="E275" i="1"/>
  <c r="D275" i="1"/>
  <c r="C275" i="1"/>
  <c r="N275" i="1" s="1"/>
  <c r="B275" i="1"/>
  <c r="M274" i="1"/>
  <c r="M274" i="1" a="1"/>
  <c r="L274" i="1"/>
  <c r="K274" i="1"/>
  <c r="J274" i="1"/>
  <c r="I274" i="1"/>
  <c r="H274" i="1"/>
  <c r="G274" i="1"/>
  <c r="F274" i="1"/>
  <c r="E274" i="1"/>
  <c r="D274" i="1"/>
  <c r="C274" i="1"/>
  <c r="B274" i="1"/>
  <c r="M273" i="1"/>
  <c r="N273" i="1" s="1"/>
  <c r="M273" i="1" a="1"/>
  <c r="L273" i="1"/>
  <c r="K273" i="1"/>
  <c r="J273" i="1"/>
  <c r="I273" i="1"/>
  <c r="H273" i="1"/>
  <c r="G273" i="1"/>
  <c r="F273" i="1"/>
  <c r="E273" i="1"/>
  <c r="D273" i="1"/>
  <c r="C273" i="1"/>
  <c r="B273" i="1"/>
  <c r="M272" i="1" a="1"/>
  <c r="M272" i="1" s="1"/>
  <c r="L272" i="1"/>
  <c r="K272" i="1"/>
  <c r="J272" i="1"/>
  <c r="I272" i="1"/>
  <c r="H272" i="1"/>
  <c r="G272" i="1"/>
  <c r="F272" i="1"/>
  <c r="E272" i="1"/>
  <c r="D272" i="1"/>
  <c r="C272" i="1"/>
  <c r="B272" i="1"/>
  <c r="M271" i="1"/>
  <c r="M271" i="1" a="1"/>
  <c r="L271" i="1"/>
  <c r="K271" i="1"/>
  <c r="J271" i="1"/>
  <c r="I271" i="1"/>
  <c r="H271" i="1"/>
  <c r="G271" i="1"/>
  <c r="F271" i="1"/>
  <c r="E271" i="1"/>
  <c r="D271" i="1"/>
  <c r="C271" i="1"/>
  <c r="B271" i="1"/>
  <c r="M270" i="1" a="1"/>
  <c r="M270" i="1" s="1"/>
  <c r="N270" i="1" s="1"/>
  <c r="L270" i="1"/>
  <c r="K270" i="1"/>
  <c r="J270" i="1"/>
  <c r="I270" i="1"/>
  <c r="H270" i="1"/>
  <c r="G270" i="1"/>
  <c r="S270" i="1" s="1"/>
  <c r="F270" i="1"/>
  <c r="E270" i="1"/>
  <c r="D270" i="1"/>
  <c r="C270" i="1"/>
  <c r="B270" i="1"/>
  <c r="M269" i="1" a="1"/>
  <c r="M269" i="1" s="1"/>
  <c r="L269" i="1"/>
  <c r="K269" i="1"/>
  <c r="J269" i="1"/>
  <c r="I269" i="1"/>
  <c r="H269" i="1"/>
  <c r="G269" i="1"/>
  <c r="F269" i="1"/>
  <c r="E269" i="1"/>
  <c r="D269" i="1"/>
  <c r="C269" i="1"/>
  <c r="B269" i="1"/>
  <c r="N268" i="1"/>
  <c r="M268" i="1" a="1"/>
  <c r="M268" i="1" s="1"/>
  <c r="L268" i="1"/>
  <c r="K268" i="1"/>
  <c r="J268" i="1"/>
  <c r="I268" i="1"/>
  <c r="H268" i="1"/>
  <c r="G268" i="1"/>
  <c r="F268" i="1"/>
  <c r="E268" i="1"/>
  <c r="D268" i="1"/>
  <c r="C268" i="1"/>
  <c r="B268" i="1"/>
  <c r="M267" i="1" a="1"/>
  <c r="M267" i="1" s="1"/>
  <c r="L267" i="1"/>
  <c r="K267" i="1"/>
  <c r="J267" i="1"/>
  <c r="I267" i="1"/>
  <c r="H267" i="1"/>
  <c r="G267" i="1"/>
  <c r="F267" i="1"/>
  <c r="E267" i="1"/>
  <c r="D267" i="1"/>
  <c r="C267" i="1"/>
  <c r="B267" i="1"/>
  <c r="M266" i="1"/>
  <c r="M266" i="1" a="1"/>
  <c r="L266" i="1"/>
  <c r="K266" i="1"/>
  <c r="J266" i="1"/>
  <c r="I266" i="1"/>
  <c r="H266" i="1"/>
  <c r="G266" i="1"/>
  <c r="F266" i="1"/>
  <c r="E266" i="1"/>
  <c r="D266" i="1"/>
  <c r="C266" i="1"/>
  <c r="N266" i="1" s="1"/>
  <c r="B266" i="1"/>
  <c r="N265" i="1"/>
  <c r="S265" i="1" s="1"/>
  <c r="M265" i="1"/>
  <c r="M265" i="1" a="1"/>
  <c r="L265" i="1"/>
  <c r="K265" i="1"/>
  <c r="J265" i="1"/>
  <c r="I265" i="1"/>
  <c r="H265" i="1"/>
  <c r="G265" i="1"/>
  <c r="F265" i="1"/>
  <c r="E265" i="1"/>
  <c r="D265" i="1"/>
  <c r="C265" i="1"/>
  <c r="B265" i="1"/>
  <c r="M264" i="1"/>
  <c r="M264" i="1" a="1"/>
  <c r="L264" i="1"/>
  <c r="K264" i="1"/>
  <c r="J264" i="1"/>
  <c r="I264" i="1"/>
  <c r="H264" i="1"/>
  <c r="G264" i="1"/>
  <c r="F264" i="1"/>
  <c r="E264" i="1"/>
  <c r="D264" i="1"/>
  <c r="C264" i="1"/>
  <c r="N264" i="1" s="1"/>
  <c r="B264" i="1"/>
  <c r="M263" i="1" a="1"/>
  <c r="M263" i="1" s="1"/>
  <c r="L263" i="1"/>
  <c r="K263" i="1"/>
  <c r="J263" i="1"/>
  <c r="I263" i="1"/>
  <c r="H263" i="1"/>
  <c r="G263" i="1"/>
  <c r="F263" i="1"/>
  <c r="E263" i="1"/>
  <c r="D263" i="1"/>
  <c r="C263" i="1"/>
  <c r="B263" i="1"/>
  <c r="M262" i="1"/>
  <c r="N262" i="1" s="1"/>
  <c r="M262" i="1" a="1"/>
  <c r="L262" i="1"/>
  <c r="K262" i="1"/>
  <c r="J262" i="1"/>
  <c r="I262" i="1"/>
  <c r="H262" i="1"/>
  <c r="G262" i="1"/>
  <c r="S262" i="1" s="1"/>
  <c r="F262" i="1"/>
  <c r="E262" i="1"/>
  <c r="D262" i="1"/>
  <c r="C262" i="1"/>
  <c r="B262" i="1"/>
  <c r="N261" i="1"/>
  <c r="M261" i="1" a="1"/>
  <c r="M261" i="1" s="1"/>
  <c r="L261" i="1"/>
  <c r="K261" i="1"/>
  <c r="J261" i="1"/>
  <c r="I261" i="1"/>
  <c r="H261" i="1"/>
  <c r="G261" i="1"/>
  <c r="F261" i="1"/>
  <c r="E261" i="1"/>
  <c r="D261" i="1"/>
  <c r="C261" i="1"/>
  <c r="B261" i="1"/>
  <c r="M260" i="1" a="1"/>
  <c r="M260" i="1" s="1"/>
  <c r="L260" i="1"/>
  <c r="K260" i="1"/>
  <c r="J260" i="1"/>
  <c r="I260" i="1"/>
  <c r="H260" i="1"/>
  <c r="G260" i="1"/>
  <c r="F260" i="1"/>
  <c r="E260" i="1"/>
  <c r="D260" i="1"/>
  <c r="C260" i="1"/>
  <c r="B260" i="1"/>
  <c r="M259" i="1" a="1"/>
  <c r="M259" i="1" s="1"/>
  <c r="L259" i="1"/>
  <c r="K259" i="1"/>
  <c r="J259" i="1"/>
  <c r="I259" i="1"/>
  <c r="H259" i="1"/>
  <c r="G259" i="1"/>
  <c r="F259" i="1"/>
  <c r="E259" i="1"/>
  <c r="D259" i="1"/>
  <c r="C259" i="1"/>
  <c r="B259" i="1"/>
  <c r="T258" i="1"/>
  <c r="Q258" i="1"/>
  <c r="M258" i="1"/>
  <c r="M258" i="1" a="1"/>
  <c r="L258" i="1"/>
  <c r="K258" i="1"/>
  <c r="J258" i="1"/>
  <c r="I258" i="1"/>
  <c r="N258" i="1" s="1"/>
  <c r="H258" i="1"/>
  <c r="G258" i="1"/>
  <c r="S258" i="1" s="1"/>
  <c r="F258" i="1"/>
  <c r="R258" i="1" s="1"/>
  <c r="V258" i="1" s="1"/>
  <c r="AB258" i="1" s="1" a="1"/>
  <c r="AB258" i="1" s="1"/>
  <c r="E258" i="1"/>
  <c r="D258" i="1"/>
  <c r="C258" i="1"/>
  <c r="B258" i="1"/>
  <c r="M257" i="1" a="1"/>
  <c r="M257" i="1" s="1"/>
  <c r="N257" i="1" s="1"/>
  <c r="L257" i="1"/>
  <c r="K257" i="1"/>
  <c r="J257" i="1"/>
  <c r="I257" i="1"/>
  <c r="H257" i="1"/>
  <c r="G257" i="1"/>
  <c r="F257" i="1"/>
  <c r="E257" i="1"/>
  <c r="D257" i="1"/>
  <c r="C257" i="1"/>
  <c r="B257" i="1"/>
  <c r="M256" i="1"/>
  <c r="M256" i="1" a="1"/>
  <c r="L256" i="1"/>
  <c r="K256" i="1"/>
  <c r="J256" i="1"/>
  <c r="I256" i="1"/>
  <c r="N256" i="1" s="1"/>
  <c r="H256" i="1"/>
  <c r="G256" i="1"/>
  <c r="F256" i="1"/>
  <c r="E256" i="1"/>
  <c r="D256" i="1"/>
  <c r="C256" i="1"/>
  <c r="B256" i="1"/>
  <c r="M255" i="1" a="1"/>
  <c r="M255" i="1" s="1"/>
  <c r="L255" i="1"/>
  <c r="K255" i="1"/>
  <c r="J255" i="1"/>
  <c r="I255" i="1"/>
  <c r="H255" i="1"/>
  <c r="G255" i="1"/>
  <c r="F255" i="1"/>
  <c r="E255" i="1"/>
  <c r="D255" i="1"/>
  <c r="C255" i="1"/>
  <c r="B255" i="1"/>
  <c r="M254" i="1"/>
  <c r="M254" i="1" a="1"/>
  <c r="L254" i="1"/>
  <c r="K254" i="1"/>
  <c r="J254" i="1"/>
  <c r="I254" i="1"/>
  <c r="H254" i="1"/>
  <c r="G254" i="1"/>
  <c r="F254" i="1"/>
  <c r="E254" i="1"/>
  <c r="D254" i="1"/>
  <c r="C254" i="1"/>
  <c r="B254" i="1"/>
  <c r="M253" i="1" a="1"/>
  <c r="M253" i="1" s="1"/>
  <c r="N253" i="1" s="1"/>
  <c r="L253" i="1"/>
  <c r="K253" i="1"/>
  <c r="J253" i="1"/>
  <c r="I253" i="1"/>
  <c r="H253" i="1"/>
  <c r="G253" i="1"/>
  <c r="F253" i="1"/>
  <c r="E253" i="1"/>
  <c r="D253" i="1"/>
  <c r="C253" i="1"/>
  <c r="B253" i="1"/>
  <c r="M252" i="1"/>
  <c r="N252" i="1" s="1"/>
  <c r="M252" i="1" a="1"/>
  <c r="L252" i="1"/>
  <c r="K252" i="1"/>
  <c r="J252" i="1"/>
  <c r="I252" i="1"/>
  <c r="H252" i="1"/>
  <c r="G252" i="1"/>
  <c r="F252" i="1"/>
  <c r="E252" i="1"/>
  <c r="D252" i="1"/>
  <c r="C252" i="1"/>
  <c r="B252" i="1"/>
  <c r="M251" i="1" a="1"/>
  <c r="M251" i="1" s="1"/>
  <c r="L251" i="1"/>
  <c r="K251" i="1"/>
  <c r="J251" i="1"/>
  <c r="I251" i="1"/>
  <c r="H251" i="1"/>
  <c r="G251" i="1"/>
  <c r="F251" i="1"/>
  <c r="E251" i="1"/>
  <c r="D251" i="1"/>
  <c r="C251" i="1"/>
  <c r="B251" i="1"/>
  <c r="M250" i="1"/>
  <c r="M250" i="1" a="1"/>
  <c r="L250" i="1"/>
  <c r="K250" i="1"/>
  <c r="J250" i="1"/>
  <c r="I250" i="1"/>
  <c r="H250" i="1"/>
  <c r="G250" i="1"/>
  <c r="F250" i="1"/>
  <c r="E250" i="1"/>
  <c r="D250" i="1"/>
  <c r="C250" i="1"/>
  <c r="B250" i="1"/>
  <c r="M249" i="1" a="1"/>
  <c r="M249" i="1" s="1"/>
  <c r="L249" i="1"/>
  <c r="K249" i="1"/>
  <c r="J249" i="1"/>
  <c r="I249" i="1"/>
  <c r="H249" i="1"/>
  <c r="G249" i="1"/>
  <c r="F249" i="1"/>
  <c r="E249" i="1"/>
  <c r="D249" i="1"/>
  <c r="C249" i="1"/>
  <c r="B249" i="1"/>
  <c r="M248" i="1"/>
  <c r="M248" i="1" a="1"/>
  <c r="L248" i="1"/>
  <c r="K248" i="1"/>
  <c r="J248" i="1"/>
  <c r="I248" i="1"/>
  <c r="H248" i="1"/>
  <c r="G248" i="1"/>
  <c r="F248" i="1"/>
  <c r="E248" i="1"/>
  <c r="D248" i="1"/>
  <c r="C248" i="1"/>
  <c r="B248" i="1"/>
  <c r="S247" i="1"/>
  <c r="M247" i="1"/>
  <c r="M247" i="1" a="1"/>
  <c r="L247" i="1"/>
  <c r="K247" i="1"/>
  <c r="J247" i="1"/>
  <c r="I247" i="1"/>
  <c r="N247" i="1" s="1"/>
  <c r="H247" i="1"/>
  <c r="G247" i="1"/>
  <c r="F247" i="1"/>
  <c r="E247" i="1"/>
  <c r="D247" i="1"/>
  <c r="C247" i="1"/>
  <c r="B247" i="1"/>
  <c r="S246" i="1"/>
  <c r="M246" i="1"/>
  <c r="M246" i="1" a="1"/>
  <c r="L246" i="1"/>
  <c r="K246" i="1"/>
  <c r="J246" i="1"/>
  <c r="I246" i="1"/>
  <c r="N246" i="1" s="1"/>
  <c r="H246" i="1"/>
  <c r="G246" i="1"/>
  <c r="F246" i="1"/>
  <c r="E246" i="1"/>
  <c r="D246" i="1"/>
  <c r="C246" i="1"/>
  <c r="B246" i="1"/>
  <c r="M245" i="1"/>
  <c r="M245" i="1" a="1"/>
  <c r="L245" i="1"/>
  <c r="K245" i="1"/>
  <c r="J245" i="1"/>
  <c r="I245" i="1"/>
  <c r="N245" i="1" s="1"/>
  <c r="H245" i="1"/>
  <c r="G245" i="1"/>
  <c r="F245" i="1"/>
  <c r="E245" i="1"/>
  <c r="D245" i="1"/>
  <c r="C245" i="1"/>
  <c r="B245" i="1"/>
  <c r="M244" i="1"/>
  <c r="M244" i="1" a="1"/>
  <c r="L244" i="1"/>
  <c r="K244" i="1"/>
  <c r="J244" i="1"/>
  <c r="I244" i="1"/>
  <c r="H244" i="1"/>
  <c r="G244" i="1"/>
  <c r="F244" i="1"/>
  <c r="E244" i="1"/>
  <c r="D244" i="1"/>
  <c r="C244" i="1"/>
  <c r="N244" i="1" s="1"/>
  <c r="B244" i="1"/>
  <c r="M243" i="1" a="1"/>
  <c r="M243" i="1" s="1"/>
  <c r="L243" i="1"/>
  <c r="K243" i="1"/>
  <c r="J243" i="1"/>
  <c r="I243" i="1"/>
  <c r="H243" i="1"/>
  <c r="G243" i="1"/>
  <c r="F243" i="1"/>
  <c r="E243" i="1"/>
  <c r="D243" i="1"/>
  <c r="C243" i="1"/>
  <c r="B243" i="1"/>
  <c r="AD242" i="1"/>
  <c r="AC242" i="1"/>
  <c r="M242" i="1"/>
  <c r="N242" i="1" s="1"/>
  <c r="M242" i="1" a="1"/>
  <c r="L242" i="1"/>
  <c r="K242" i="1"/>
  <c r="J242" i="1"/>
  <c r="I242" i="1"/>
  <c r="H242" i="1"/>
  <c r="G242" i="1"/>
  <c r="S242" i="1" s="1"/>
  <c r="F242" i="1"/>
  <c r="R242" i="1" s="1"/>
  <c r="E242" i="1"/>
  <c r="D242" i="1"/>
  <c r="C242" i="1"/>
  <c r="B242" i="1"/>
  <c r="R241" i="1"/>
  <c r="M241" i="1" a="1"/>
  <c r="M241" i="1" s="1"/>
  <c r="L241" i="1"/>
  <c r="K241" i="1"/>
  <c r="J241" i="1"/>
  <c r="I241" i="1"/>
  <c r="H241" i="1"/>
  <c r="G241" i="1"/>
  <c r="F241" i="1"/>
  <c r="E241" i="1"/>
  <c r="D241" i="1"/>
  <c r="C241" i="1"/>
  <c r="N241" i="1" s="1"/>
  <c r="B241" i="1"/>
  <c r="M240" i="1"/>
  <c r="M240" i="1" a="1"/>
  <c r="L240" i="1"/>
  <c r="K240" i="1"/>
  <c r="J240" i="1"/>
  <c r="I240" i="1"/>
  <c r="H240" i="1"/>
  <c r="G240" i="1"/>
  <c r="F240" i="1"/>
  <c r="E240" i="1"/>
  <c r="D240" i="1"/>
  <c r="C240" i="1"/>
  <c r="B240" i="1"/>
  <c r="AD239" i="1"/>
  <c r="M239" i="1"/>
  <c r="M239" i="1" a="1"/>
  <c r="L239" i="1"/>
  <c r="K239" i="1"/>
  <c r="J239" i="1"/>
  <c r="I239" i="1"/>
  <c r="H239" i="1"/>
  <c r="G239" i="1"/>
  <c r="F239" i="1"/>
  <c r="E239" i="1"/>
  <c r="D239" i="1"/>
  <c r="C239" i="1"/>
  <c r="N239" i="1" s="1"/>
  <c r="B239" i="1"/>
  <c r="R238" i="1"/>
  <c r="Y238" i="1" s="1"/>
  <c r="AA238" i="1" s="1"/>
  <c r="M238" i="1"/>
  <c r="M238" i="1" a="1"/>
  <c r="L238" i="1"/>
  <c r="K238" i="1"/>
  <c r="J238" i="1"/>
  <c r="I238" i="1"/>
  <c r="N238" i="1" s="1"/>
  <c r="H238" i="1"/>
  <c r="G238" i="1"/>
  <c r="S238" i="1" s="1"/>
  <c r="F238" i="1"/>
  <c r="E238" i="1"/>
  <c r="D238" i="1"/>
  <c r="C238" i="1"/>
  <c r="B238" i="1"/>
  <c r="M237" i="1" a="1"/>
  <c r="M237" i="1" s="1"/>
  <c r="N237" i="1" s="1"/>
  <c r="L237" i="1"/>
  <c r="K237" i="1"/>
  <c r="J237" i="1"/>
  <c r="I237" i="1"/>
  <c r="H237" i="1"/>
  <c r="G237" i="1"/>
  <c r="F237" i="1"/>
  <c r="E237" i="1"/>
  <c r="D237" i="1"/>
  <c r="C237" i="1"/>
  <c r="B237" i="1"/>
  <c r="M236" i="1"/>
  <c r="M236" i="1" a="1"/>
  <c r="L236" i="1"/>
  <c r="K236" i="1"/>
  <c r="J236" i="1"/>
  <c r="I236" i="1"/>
  <c r="N236" i="1" s="1"/>
  <c r="H236" i="1"/>
  <c r="G236" i="1"/>
  <c r="F236" i="1"/>
  <c r="E236" i="1"/>
  <c r="D236" i="1"/>
  <c r="C236" i="1"/>
  <c r="B236" i="1"/>
  <c r="M235" i="1"/>
  <c r="M235" i="1" a="1"/>
  <c r="L235" i="1"/>
  <c r="K235" i="1"/>
  <c r="J235" i="1"/>
  <c r="I235" i="1"/>
  <c r="H235" i="1"/>
  <c r="G235" i="1"/>
  <c r="F235" i="1"/>
  <c r="E235" i="1"/>
  <c r="D235" i="1"/>
  <c r="C235" i="1"/>
  <c r="B235" i="1"/>
  <c r="M234" i="1"/>
  <c r="M234" i="1" a="1"/>
  <c r="L234" i="1"/>
  <c r="K234" i="1"/>
  <c r="J234" i="1"/>
  <c r="I234" i="1"/>
  <c r="H234" i="1"/>
  <c r="G234" i="1"/>
  <c r="F234" i="1"/>
  <c r="E234" i="1"/>
  <c r="D234" i="1"/>
  <c r="C234" i="1"/>
  <c r="B234" i="1"/>
  <c r="M233" i="1"/>
  <c r="N233" i="1" s="1"/>
  <c r="M233" i="1" a="1"/>
  <c r="L233" i="1"/>
  <c r="K233" i="1"/>
  <c r="J233" i="1"/>
  <c r="I233" i="1"/>
  <c r="H233" i="1"/>
  <c r="G233" i="1"/>
  <c r="F233" i="1"/>
  <c r="E233" i="1"/>
  <c r="D233" i="1"/>
  <c r="C233" i="1"/>
  <c r="B233" i="1"/>
  <c r="S232" i="1"/>
  <c r="M232" i="1" a="1"/>
  <c r="M232" i="1" s="1"/>
  <c r="L232" i="1"/>
  <c r="K232" i="1"/>
  <c r="J232" i="1"/>
  <c r="I232" i="1"/>
  <c r="N232" i="1" s="1"/>
  <c r="H232" i="1"/>
  <c r="G232" i="1"/>
  <c r="F232" i="1"/>
  <c r="E232" i="1"/>
  <c r="D232" i="1"/>
  <c r="C232" i="1"/>
  <c r="B232" i="1"/>
  <c r="M231" i="1"/>
  <c r="M231" i="1" a="1"/>
  <c r="L231" i="1"/>
  <c r="K231" i="1"/>
  <c r="J231" i="1"/>
  <c r="I231" i="1"/>
  <c r="H231" i="1"/>
  <c r="G231" i="1"/>
  <c r="F231" i="1"/>
  <c r="E231" i="1"/>
  <c r="D231" i="1"/>
  <c r="C231" i="1"/>
  <c r="B231" i="1"/>
  <c r="AD230" i="1"/>
  <c r="M230" i="1"/>
  <c r="N230" i="1" s="1"/>
  <c r="AC230" i="1" s="1"/>
  <c r="M230" i="1" a="1"/>
  <c r="L230" i="1"/>
  <c r="K230" i="1"/>
  <c r="J230" i="1"/>
  <c r="T230" i="1" s="1"/>
  <c r="I230" i="1"/>
  <c r="H230" i="1"/>
  <c r="G230" i="1"/>
  <c r="S230" i="1" s="1"/>
  <c r="F230" i="1"/>
  <c r="E230" i="1"/>
  <c r="D230" i="1"/>
  <c r="C230" i="1"/>
  <c r="B230" i="1"/>
  <c r="M229" i="1"/>
  <c r="M229" i="1" a="1"/>
  <c r="L229" i="1"/>
  <c r="K229" i="1"/>
  <c r="J229" i="1"/>
  <c r="I229" i="1"/>
  <c r="N229" i="1" s="1"/>
  <c r="H229" i="1"/>
  <c r="G229" i="1"/>
  <c r="F229" i="1"/>
  <c r="E229" i="1"/>
  <c r="D229" i="1"/>
  <c r="C229" i="1"/>
  <c r="B229" i="1"/>
  <c r="AC228" i="1"/>
  <c r="M228" i="1" a="1"/>
  <c r="M228" i="1" s="1"/>
  <c r="N228" i="1" s="1"/>
  <c r="L228" i="1"/>
  <c r="K228" i="1"/>
  <c r="J228" i="1"/>
  <c r="I228" i="1"/>
  <c r="H228" i="1"/>
  <c r="G228" i="1"/>
  <c r="F228" i="1"/>
  <c r="E228" i="1"/>
  <c r="D228" i="1"/>
  <c r="C228" i="1"/>
  <c r="B228" i="1"/>
  <c r="M227" i="1" a="1"/>
  <c r="M227" i="1" s="1"/>
  <c r="L227" i="1"/>
  <c r="K227" i="1"/>
  <c r="J227" i="1"/>
  <c r="I227" i="1"/>
  <c r="H227" i="1"/>
  <c r="G227" i="1"/>
  <c r="F227" i="1"/>
  <c r="E227" i="1"/>
  <c r="D227" i="1"/>
  <c r="C227" i="1"/>
  <c r="B227" i="1"/>
  <c r="M226" i="1"/>
  <c r="M226" i="1" a="1"/>
  <c r="L226" i="1"/>
  <c r="K226" i="1"/>
  <c r="J226" i="1"/>
  <c r="I226" i="1"/>
  <c r="H226" i="1"/>
  <c r="G226" i="1"/>
  <c r="F226" i="1"/>
  <c r="E226" i="1"/>
  <c r="D226" i="1"/>
  <c r="C226" i="1"/>
  <c r="B226" i="1"/>
  <c r="M225" i="1"/>
  <c r="N225" i="1" s="1"/>
  <c r="M225" i="1" a="1"/>
  <c r="L225" i="1"/>
  <c r="K225" i="1"/>
  <c r="J225" i="1"/>
  <c r="I225" i="1"/>
  <c r="H225" i="1"/>
  <c r="G225" i="1"/>
  <c r="F225" i="1"/>
  <c r="E225" i="1"/>
  <c r="D225" i="1"/>
  <c r="C225" i="1"/>
  <c r="B225" i="1"/>
  <c r="M224" i="1" a="1"/>
  <c r="M224" i="1" s="1"/>
  <c r="N224" i="1" s="1"/>
  <c r="L224" i="1"/>
  <c r="K224" i="1"/>
  <c r="J224" i="1"/>
  <c r="I224" i="1"/>
  <c r="H224" i="1"/>
  <c r="G224" i="1"/>
  <c r="F224" i="1"/>
  <c r="T224" i="1" s="1"/>
  <c r="E224" i="1"/>
  <c r="D224" i="1"/>
  <c r="C224" i="1"/>
  <c r="B224" i="1"/>
  <c r="M223" i="1"/>
  <c r="N223" i="1" s="1"/>
  <c r="M223" i="1" a="1"/>
  <c r="L223" i="1"/>
  <c r="K223" i="1"/>
  <c r="J223" i="1"/>
  <c r="I223" i="1"/>
  <c r="H223" i="1"/>
  <c r="G223" i="1"/>
  <c r="F223" i="1"/>
  <c r="E223" i="1"/>
  <c r="D223" i="1"/>
  <c r="C223" i="1"/>
  <c r="B223" i="1"/>
  <c r="M222" i="1"/>
  <c r="M222" i="1" a="1"/>
  <c r="L222" i="1"/>
  <c r="K222" i="1"/>
  <c r="J222" i="1"/>
  <c r="I222" i="1"/>
  <c r="H222" i="1"/>
  <c r="G222" i="1"/>
  <c r="F222" i="1"/>
  <c r="E222" i="1"/>
  <c r="D222" i="1"/>
  <c r="C222" i="1"/>
  <c r="N222" i="1" s="1"/>
  <c r="B222" i="1"/>
  <c r="M221" i="1"/>
  <c r="N221" i="1" s="1"/>
  <c r="M221" i="1" a="1"/>
  <c r="L221" i="1"/>
  <c r="K221" i="1"/>
  <c r="J221" i="1"/>
  <c r="I221" i="1"/>
  <c r="H221" i="1"/>
  <c r="G221" i="1"/>
  <c r="F221" i="1"/>
  <c r="E221" i="1"/>
  <c r="D221" i="1"/>
  <c r="C221" i="1"/>
  <c r="B221" i="1"/>
  <c r="M220" i="1" a="1"/>
  <c r="M220" i="1" s="1"/>
  <c r="L220" i="1"/>
  <c r="K220" i="1"/>
  <c r="J220" i="1"/>
  <c r="I220" i="1"/>
  <c r="H220" i="1"/>
  <c r="G220" i="1"/>
  <c r="F220" i="1"/>
  <c r="E220" i="1"/>
  <c r="D220" i="1"/>
  <c r="C220" i="1"/>
  <c r="B220" i="1"/>
  <c r="AD219" i="1"/>
  <c r="AC219" i="1"/>
  <c r="M219" i="1" a="1"/>
  <c r="M219" i="1" s="1"/>
  <c r="N219" i="1" s="1"/>
  <c r="L219" i="1"/>
  <c r="K219" i="1"/>
  <c r="J219" i="1"/>
  <c r="I219" i="1"/>
  <c r="H219" i="1"/>
  <c r="G219" i="1"/>
  <c r="S219" i="1" s="1"/>
  <c r="F219" i="1"/>
  <c r="E219" i="1"/>
  <c r="D219" i="1"/>
  <c r="C219" i="1"/>
  <c r="B219" i="1"/>
  <c r="T218" i="1"/>
  <c r="M218" i="1"/>
  <c r="M218" i="1" a="1"/>
  <c r="L218" i="1"/>
  <c r="K218" i="1"/>
  <c r="J218" i="1"/>
  <c r="I218" i="1"/>
  <c r="H218" i="1"/>
  <c r="G218" i="1"/>
  <c r="F218" i="1"/>
  <c r="E218" i="1"/>
  <c r="D218" i="1"/>
  <c r="C218" i="1"/>
  <c r="N218" i="1" s="1"/>
  <c r="B218" i="1"/>
  <c r="M217" i="1"/>
  <c r="M217" i="1" a="1"/>
  <c r="L217" i="1"/>
  <c r="K217" i="1"/>
  <c r="J217" i="1"/>
  <c r="I217" i="1"/>
  <c r="H217" i="1"/>
  <c r="G217" i="1"/>
  <c r="F217" i="1"/>
  <c r="E217" i="1"/>
  <c r="D217" i="1"/>
  <c r="C217" i="1"/>
  <c r="B217" i="1"/>
  <c r="M216" i="1"/>
  <c r="M216" i="1" a="1"/>
  <c r="L216" i="1"/>
  <c r="K216" i="1"/>
  <c r="J216" i="1"/>
  <c r="I216" i="1"/>
  <c r="N216" i="1" s="1"/>
  <c r="H216" i="1"/>
  <c r="G216" i="1"/>
  <c r="F216" i="1"/>
  <c r="E216" i="1"/>
  <c r="D216" i="1"/>
  <c r="C216" i="1"/>
  <c r="B216" i="1"/>
  <c r="M215" i="1" a="1"/>
  <c r="M215" i="1" s="1"/>
  <c r="L215" i="1"/>
  <c r="K215" i="1"/>
  <c r="J215" i="1"/>
  <c r="I215" i="1"/>
  <c r="H215" i="1"/>
  <c r="G215" i="1"/>
  <c r="F215" i="1"/>
  <c r="E215" i="1"/>
  <c r="D215" i="1"/>
  <c r="C215" i="1"/>
  <c r="B215" i="1"/>
  <c r="N214" i="1"/>
  <c r="M214" i="1"/>
  <c r="M214" i="1" a="1"/>
  <c r="L214" i="1"/>
  <c r="K214" i="1"/>
  <c r="J214" i="1"/>
  <c r="I214" i="1"/>
  <c r="H214" i="1"/>
  <c r="G214" i="1"/>
  <c r="F214" i="1"/>
  <c r="E214" i="1"/>
  <c r="D214" i="1"/>
  <c r="C214" i="1"/>
  <c r="B214" i="1"/>
  <c r="M213" i="1"/>
  <c r="M213" i="1" a="1"/>
  <c r="L213" i="1"/>
  <c r="K213" i="1"/>
  <c r="J213" i="1"/>
  <c r="I213" i="1"/>
  <c r="H213" i="1"/>
  <c r="G213" i="1"/>
  <c r="F213" i="1"/>
  <c r="E213" i="1"/>
  <c r="D213" i="1"/>
  <c r="C213" i="1"/>
  <c r="B213" i="1"/>
  <c r="M212" i="1" a="1"/>
  <c r="M212" i="1" s="1"/>
  <c r="L212" i="1"/>
  <c r="K212" i="1"/>
  <c r="J212" i="1"/>
  <c r="I212" i="1"/>
  <c r="H212" i="1"/>
  <c r="G212" i="1"/>
  <c r="F212" i="1"/>
  <c r="E212" i="1"/>
  <c r="D212" i="1"/>
  <c r="C212" i="1"/>
  <c r="B212" i="1"/>
  <c r="M211" i="1" a="1"/>
  <c r="M211" i="1" s="1"/>
  <c r="L211" i="1"/>
  <c r="K211" i="1"/>
  <c r="J211" i="1"/>
  <c r="I211" i="1"/>
  <c r="N211" i="1" s="1"/>
  <c r="H211" i="1"/>
  <c r="G211" i="1"/>
  <c r="F211" i="1"/>
  <c r="E211" i="1"/>
  <c r="D211" i="1"/>
  <c r="C211" i="1"/>
  <c r="B211" i="1"/>
  <c r="M210" i="1"/>
  <c r="M210" i="1" a="1"/>
  <c r="L210" i="1"/>
  <c r="K210" i="1"/>
  <c r="J210" i="1"/>
  <c r="I210" i="1"/>
  <c r="H210" i="1"/>
  <c r="G210" i="1"/>
  <c r="F210" i="1"/>
  <c r="E210" i="1"/>
  <c r="D210" i="1"/>
  <c r="C210" i="1"/>
  <c r="N210" i="1" s="1"/>
  <c r="B210" i="1"/>
  <c r="M209" i="1" a="1"/>
  <c r="M209" i="1" s="1"/>
  <c r="N209" i="1" s="1"/>
  <c r="L209" i="1"/>
  <c r="K209" i="1"/>
  <c r="J209" i="1"/>
  <c r="I209" i="1"/>
  <c r="H209" i="1"/>
  <c r="G209" i="1"/>
  <c r="E209" i="1"/>
  <c r="D209" i="1"/>
  <c r="C209" i="1"/>
  <c r="B209" i="1"/>
  <c r="M208" i="1" a="1"/>
  <c r="M208" i="1" s="1"/>
  <c r="L208" i="1"/>
  <c r="K208" i="1"/>
  <c r="J208" i="1"/>
  <c r="I208" i="1"/>
  <c r="H208" i="1"/>
  <c r="G208" i="1"/>
  <c r="F208" i="1"/>
  <c r="E208" i="1"/>
  <c r="D208" i="1"/>
  <c r="C208" i="1"/>
  <c r="B208" i="1"/>
  <c r="M207" i="1"/>
  <c r="M207" i="1" a="1"/>
  <c r="L207" i="1"/>
  <c r="K207" i="1"/>
  <c r="J207" i="1"/>
  <c r="I207" i="1"/>
  <c r="H207" i="1"/>
  <c r="G207" i="1"/>
  <c r="F207" i="1"/>
  <c r="E207" i="1"/>
  <c r="D207" i="1"/>
  <c r="C207" i="1"/>
  <c r="B207" i="1"/>
  <c r="M206" i="1" a="1"/>
  <c r="M206" i="1" s="1"/>
  <c r="L206" i="1"/>
  <c r="K206" i="1"/>
  <c r="J206" i="1"/>
  <c r="I206" i="1"/>
  <c r="N206" i="1" s="1"/>
  <c r="H206" i="1"/>
  <c r="G206" i="1"/>
  <c r="F206" i="1"/>
  <c r="E206" i="1"/>
  <c r="D206" i="1"/>
  <c r="C206" i="1"/>
  <c r="B206" i="1"/>
  <c r="M205" i="1"/>
  <c r="N205" i="1" s="1"/>
  <c r="M205" i="1" a="1"/>
  <c r="L205" i="1"/>
  <c r="K205" i="1"/>
  <c r="J205" i="1"/>
  <c r="I205" i="1"/>
  <c r="H205" i="1"/>
  <c r="G205" i="1"/>
  <c r="F205" i="1"/>
  <c r="E205" i="1"/>
  <c r="D205" i="1"/>
  <c r="C205" i="1"/>
  <c r="B205" i="1"/>
  <c r="N204" i="1"/>
  <c r="M204" i="1" a="1"/>
  <c r="M204" i="1" s="1"/>
  <c r="L204" i="1"/>
  <c r="K204" i="1"/>
  <c r="J204" i="1"/>
  <c r="I204" i="1"/>
  <c r="H204" i="1"/>
  <c r="G204" i="1"/>
  <c r="F204" i="1"/>
  <c r="E204" i="1"/>
  <c r="D204" i="1"/>
  <c r="C204" i="1"/>
  <c r="B204" i="1"/>
  <c r="M203" i="1"/>
  <c r="M203" i="1" a="1"/>
  <c r="L203" i="1"/>
  <c r="K203" i="1"/>
  <c r="J203" i="1"/>
  <c r="I203" i="1"/>
  <c r="N203" i="1" s="1"/>
  <c r="H203" i="1"/>
  <c r="G203" i="1"/>
  <c r="F203" i="1"/>
  <c r="E203" i="1"/>
  <c r="D203" i="1"/>
  <c r="C203" i="1"/>
  <c r="B203" i="1"/>
  <c r="M202" i="1" a="1"/>
  <c r="M202" i="1" s="1"/>
  <c r="N202" i="1" s="1"/>
  <c r="L202" i="1"/>
  <c r="K202" i="1"/>
  <c r="J202" i="1"/>
  <c r="I202" i="1"/>
  <c r="H202" i="1"/>
  <c r="G202" i="1"/>
  <c r="F202" i="1"/>
  <c r="E202" i="1"/>
  <c r="D202" i="1"/>
  <c r="C202" i="1"/>
  <c r="B202" i="1"/>
  <c r="M201" i="1" a="1"/>
  <c r="M201" i="1" s="1"/>
  <c r="L201" i="1"/>
  <c r="K201" i="1"/>
  <c r="J201" i="1"/>
  <c r="I201" i="1"/>
  <c r="H201" i="1"/>
  <c r="G201" i="1"/>
  <c r="F201" i="1"/>
  <c r="E201" i="1"/>
  <c r="D201" i="1"/>
  <c r="C201" i="1"/>
  <c r="B201" i="1"/>
  <c r="M200" i="1" a="1"/>
  <c r="M200" i="1" s="1"/>
  <c r="N200" i="1" s="1"/>
  <c r="L200" i="1"/>
  <c r="K200" i="1"/>
  <c r="J200" i="1"/>
  <c r="I200" i="1"/>
  <c r="H200" i="1"/>
  <c r="G200" i="1"/>
  <c r="F200" i="1"/>
  <c r="E200" i="1"/>
  <c r="D200" i="1"/>
  <c r="C200" i="1"/>
  <c r="B200" i="1"/>
  <c r="M199" i="1" a="1"/>
  <c r="M199" i="1" s="1"/>
  <c r="N199" i="1" s="1"/>
  <c r="L199" i="1"/>
  <c r="K199" i="1"/>
  <c r="J199" i="1"/>
  <c r="I199" i="1"/>
  <c r="H199" i="1"/>
  <c r="G199" i="1"/>
  <c r="F199" i="1"/>
  <c r="E199" i="1"/>
  <c r="D199" i="1"/>
  <c r="C199" i="1"/>
  <c r="B199" i="1"/>
  <c r="M198" i="1"/>
  <c r="M198" i="1" a="1"/>
  <c r="L198" i="1"/>
  <c r="K198" i="1"/>
  <c r="J198" i="1"/>
  <c r="I198" i="1"/>
  <c r="N198" i="1" s="1"/>
  <c r="H198" i="1"/>
  <c r="G198" i="1"/>
  <c r="S198" i="1" s="1"/>
  <c r="F198" i="1"/>
  <c r="T198" i="1" s="1"/>
  <c r="E198" i="1"/>
  <c r="D198" i="1"/>
  <c r="C198" i="1"/>
  <c r="B198" i="1"/>
  <c r="N197" i="1"/>
  <c r="M197" i="1" a="1"/>
  <c r="M197" i="1" s="1"/>
  <c r="L197" i="1"/>
  <c r="K197" i="1"/>
  <c r="J197" i="1"/>
  <c r="I197" i="1"/>
  <c r="H197" i="1"/>
  <c r="G197" i="1"/>
  <c r="F197" i="1"/>
  <c r="E197" i="1"/>
  <c r="D197" i="1"/>
  <c r="C197" i="1"/>
  <c r="B197" i="1"/>
  <c r="M196" i="1" a="1"/>
  <c r="M196" i="1" s="1"/>
  <c r="L196" i="1"/>
  <c r="K196" i="1"/>
  <c r="J196" i="1"/>
  <c r="I196" i="1"/>
  <c r="H196" i="1"/>
  <c r="G196" i="1"/>
  <c r="F196" i="1"/>
  <c r="E196" i="1"/>
  <c r="D196" i="1"/>
  <c r="C196" i="1"/>
  <c r="B196" i="1"/>
  <c r="M195" i="1" a="1"/>
  <c r="M195" i="1" s="1"/>
  <c r="L195" i="1"/>
  <c r="K195" i="1"/>
  <c r="J195" i="1"/>
  <c r="I195" i="1"/>
  <c r="H195" i="1"/>
  <c r="G195" i="1"/>
  <c r="F195" i="1"/>
  <c r="E195" i="1"/>
  <c r="D195" i="1"/>
  <c r="C195" i="1"/>
  <c r="B195" i="1"/>
  <c r="M194" i="1"/>
  <c r="N194" i="1" s="1"/>
  <c r="J194" i="1" s="1"/>
  <c r="M194" i="1" a="1"/>
  <c r="L194" i="1"/>
  <c r="K194" i="1"/>
  <c r="I194" i="1"/>
  <c r="H194" i="1"/>
  <c r="G194" i="1"/>
  <c r="F194" i="1"/>
  <c r="E194" i="1"/>
  <c r="D194" i="1"/>
  <c r="C194" i="1"/>
  <c r="B194" i="1"/>
  <c r="M193" i="1"/>
  <c r="M193" i="1" a="1"/>
  <c r="L193" i="1"/>
  <c r="K193" i="1"/>
  <c r="J193" i="1"/>
  <c r="I193" i="1"/>
  <c r="H193" i="1"/>
  <c r="G193" i="1"/>
  <c r="F193" i="1"/>
  <c r="E193" i="1"/>
  <c r="D193" i="1"/>
  <c r="C193" i="1"/>
  <c r="B193" i="1"/>
  <c r="M192" i="1"/>
  <c r="M192" i="1" a="1"/>
  <c r="L192" i="1"/>
  <c r="K192" i="1"/>
  <c r="J192" i="1"/>
  <c r="I192" i="1"/>
  <c r="H192" i="1"/>
  <c r="G192" i="1"/>
  <c r="F192" i="1"/>
  <c r="E192" i="1"/>
  <c r="D192" i="1"/>
  <c r="C192" i="1"/>
  <c r="B192" i="1"/>
  <c r="N191" i="1"/>
  <c r="M191" i="1"/>
  <c r="M191" i="1" a="1"/>
  <c r="L191" i="1"/>
  <c r="K191" i="1"/>
  <c r="J191" i="1"/>
  <c r="I191" i="1"/>
  <c r="H191" i="1"/>
  <c r="G191" i="1"/>
  <c r="F191" i="1"/>
  <c r="E191" i="1"/>
  <c r="D191" i="1"/>
  <c r="C191" i="1"/>
  <c r="B191" i="1"/>
  <c r="M190" i="1" a="1"/>
  <c r="M190" i="1" s="1"/>
  <c r="N190" i="1" s="1"/>
  <c r="L190" i="1"/>
  <c r="K190" i="1"/>
  <c r="J190" i="1"/>
  <c r="I190" i="1"/>
  <c r="H190" i="1"/>
  <c r="G190" i="1"/>
  <c r="F190" i="1"/>
  <c r="E190" i="1"/>
  <c r="D190" i="1"/>
  <c r="C190" i="1"/>
  <c r="B190" i="1"/>
  <c r="M189" i="1" a="1"/>
  <c r="M189" i="1" s="1"/>
  <c r="L189" i="1"/>
  <c r="K189" i="1"/>
  <c r="J189" i="1"/>
  <c r="I189" i="1"/>
  <c r="H189" i="1"/>
  <c r="G189" i="1"/>
  <c r="F189" i="1"/>
  <c r="E189" i="1"/>
  <c r="D189" i="1"/>
  <c r="C189" i="1"/>
  <c r="B189" i="1"/>
  <c r="M188" i="1" a="1"/>
  <c r="M188" i="1" s="1"/>
  <c r="L188" i="1"/>
  <c r="K188" i="1"/>
  <c r="J188" i="1"/>
  <c r="I188" i="1"/>
  <c r="N188" i="1" s="1"/>
  <c r="H188" i="1"/>
  <c r="G188" i="1"/>
  <c r="F188" i="1"/>
  <c r="E188" i="1"/>
  <c r="D188" i="1"/>
  <c r="C188" i="1"/>
  <c r="B188" i="1"/>
  <c r="T187" i="1"/>
  <c r="M187" i="1"/>
  <c r="M187" i="1" a="1"/>
  <c r="L187" i="1"/>
  <c r="K187" i="1"/>
  <c r="J187" i="1"/>
  <c r="I187" i="1"/>
  <c r="N187" i="1" s="1"/>
  <c r="H187" i="1"/>
  <c r="G187" i="1"/>
  <c r="F187" i="1"/>
  <c r="E187" i="1"/>
  <c r="D187" i="1"/>
  <c r="C187" i="1"/>
  <c r="B187" i="1"/>
  <c r="M186" i="1"/>
  <c r="M186" i="1" a="1"/>
  <c r="L186" i="1"/>
  <c r="K186" i="1"/>
  <c r="J186" i="1"/>
  <c r="I186" i="1"/>
  <c r="H186" i="1"/>
  <c r="G186" i="1"/>
  <c r="F186" i="1"/>
  <c r="E186" i="1"/>
  <c r="D186" i="1"/>
  <c r="C186" i="1"/>
  <c r="B186" i="1"/>
  <c r="M185" i="1" a="1"/>
  <c r="M185" i="1" s="1"/>
  <c r="L185" i="1"/>
  <c r="K185" i="1"/>
  <c r="J185" i="1"/>
  <c r="I185" i="1"/>
  <c r="H185" i="1"/>
  <c r="G185" i="1"/>
  <c r="F185" i="1"/>
  <c r="E185" i="1"/>
  <c r="D185" i="1"/>
  <c r="C185" i="1"/>
  <c r="B185" i="1"/>
  <c r="M184" i="1" a="1"/>
  <c r="M184" i="1" s="1"/>
  <c r="L184" i="1"/>
  <c r="K184" i="1"/>
  <c r="J184" i="1"/>
  <c r="I184" i="1"/>
  <c r="H184" i="1"/>
  <c r="G184" i="1"/>
  <c r="F184" i="1"/>
  <c r="E184" i="1"/>
  <c r="D184" i="1"/>
  <c r="C184" i="1"/>
  <c r="B184" i="1"/>
  <c r="M183" i="1" a="1"/>
  <c r="M183" i="1" s="1"/>
  <c r="N183" i="1" s="1"/>
  <c r="L183" i="1"/>
  <c r="K183" i="1"/>
  <c r="J183" i="1"/>
  <c r="I183" i="1"/>
  <c r="H183" i="1"/>
  <c r="G183" i="1"/>
  <c r="F183" i="1"/>
  <c r="E183" i="1"/>
  <c r="D183" i="1"/>
  <c r="C183" i="1"/>
  <c r="B183" i="1"/>
  <c r="N182" i="1"/>
  <c r="M182" i="1" a="1"/>
  <c r="M182" i="1" s="1"/>
  <c r="L182" i="1"/>
  <c r="K182" i="1"/>
  <c r="J182" i="1"/>
  <c r="I182" i="1"/>
  <c r="H182" i="1"/>
  <c r="G182" i="1"/>
  <c r="F182" i="1"/>
  <c r="E182" i="1"/>
  <c r="D182" i="1"/>
  <c r="C182" i="1"/>
  <c r="B182" i="1"/>
  <c r="M181" i="1"/>
  <c r="N181" i="1" s="1"/>
  <c r="M181" i="1" a="1"/>
  <c r="L181" i="1"/>
  <c r="K181" i="1"/>
  <c r="J181" i="1"/>
  <c r="I181" i="1"/>
  <c r="H181" i="1"/>
  <c r="G181" i="1"/>
  <c r="F181" i="1"/>
  <c r="E181" i="1"/>
  <c r="D181" i="1"/>
  <c r="C181" i="1"/>
  <c r="B181" i="1"/>
  <c r="M180" i="1" a="1"/>
  <c r="M180" i="1" s="1"/>
  <c r="N180" i="1" s="1"/>
  <c r="L180" i="1"/>
  <c r="K180" i="1"/>
  <c r="J180" i="1"/>
  <c r="I180" i="1"/>
  <c r="H180" i="1"/>
  <c r="G180" i="1"/>
  <c r="F180" i="1"/>
  <c r="E180" i="1"/>
  <c r="D180" i="1"/>
  <c r="C180" i="1"/>
  <c r="B180" i="1"/>
  <c r="M179" i="1"/>
  <c r="M179" i="1" a="1"/>
  <c r="L179" i="1"/>
  <c r="K179" i="1"/>
  <c r="J179" i="1"/>
  <c r="I179" i="1"/>
  <c r="H179" i="1"/>
  <c r="G179" i="1"/>
  <c r="F179" i="1"/>
  <c r="E179" i="1"/>
  <c r="D179" i="1"/>
  <c r="C179" i="1"/>
  <c r="N179" i="1" s="1"/>
  <c r="B179" i="1"/>
  <c r="M178" i="1"/>
  <c r="M178" i="1" a="1"/>
  <c r="L178" i="1"/>
  <c r="K178" i="1"/>
  <c r="J178" i="1"/>
  <c r="I178" i="1"/>
  <c r="H178" i="1"/>
  <c r="G178" i="1"/>
  <c r="F178" i="1"/>
  <c r="E178" i="1"/>
  <c r="D178" i="1"/>
  <c r="C178" i="1"/>
  <c r="N178" i="1" s="1"/>
  <c r="B178" i="1"/>
  <c r="M177" i="1" a="1"/>
  <c r="M177" i="1" s="1"/>
  <c r="L177" i="1"/>
  <c r="K177" i="1"/>
  <c r="J177" i="1"/>
  <c r="I177" i="1"/>
  <c r="H177" i="1"/>
  <c r="G177" i="1"/>
  <c r="F177" i="1"/>
  <c r="E177" i="1"/>
  <c r="D177" i="1"/>
  <c r="C177" i="1"/>
  <c r="B177" i="1"/>
  <c r="M176" i="1"/>
  <c r="N176" i="1" s="1"/>
  <c r="M176" i="1" a="1"/>
  <c r="L176" i="1"/>
  <c r="K176" i="1"/>
  <c r="J176" i="1"/>
  <c r="I176" i="1"/>
  <c r="H176" i="1"/>
  <c r="G176" i="1"/>
  <c r="F176" i="1"/>
  <c r="E176" i="1"/>
  <c r="D176" i="1"/>
  <c r="C176" i="1"/>
  <c r="B176" i="1"/>
  <c r="M175" i="1" a="1"/>
  <c r="M175" i="1" s="1"/>
  <c r="L175" i="1"/>
  <c r="K175" i="1"/>
  <c r="J175" i="1"/>
  <c r="I175" i="1"/>
  <c r="H175" i="1"/>
  <c r="G175" i="1"/>
  <c r="F175" i="1"/>
  <c r="E175" i="1"/>
  <c r="D175" i="1"/>
  <c r="C175" i="1"/>
  <c r="B175" i="1"/>
  <c r="M174" i="1" a="1"/>
  <c r="M174" i="1" s="1"/>
  <c r="N174" i="1" s="1"/>
  <c r="L174" i="1"/>
  <c r="K174" i="1"/>
  <c r="J174" i="1"/>
  <c r="I174" i="1"/>
  <c r="H174" i="1"/>
  <c r="G174" i="1"/>
  <c r="F174" i="1"/>
  <c r="E174" i="1"/>
  <c r="D174" i="1"/>
  <c r="C174" i="1"/>
  <c r="B174" i="1"/>
  <c r="M173" i="1" a="1"/>
  <c r="M173" i="1" s="1"/>
  <c r="N173" i="1" s="1"/>
  <c r="L173" i="1"/>
  <c r="K173" i="1"/>
  <c r="J173" i="1"/>
  <c r="I173" i="1"/>
  <c r="H173" i="1"/>
  <c r="G173" i="1"/>
  <c r="F173" i="1"/>
  <c r="E173" i="1"/>
  <c r="D173" i="1"/>
  <c r="C173" i="1"/>
  <c r="B173" i="1"/>
  <c r="M172" i="1" a="1"/>
  <c r="M172" i="1" s="1"/>
  <c r="N172" i="1" s="1"/>
  <c r="L172" i="1"/>
  <c r="K172" i="1"/>
  <c r="J172" i="1"/>
  <c r="I172" i="1"/>
  <c r="H172" i="1"/>
  <c r="G172" i="1"/>
  <c r="F172" i="1"/>
  <c r="E172" i="1"/>
  <c r="D172" i="1"/>
  <c r="C172" i="1"/>
  <c r="B172" i="1"/>
  <c r="M171" i="1"/>
  <c r="M171" i="1" a="1"/>
  <c r="L171" i="1"/>
  <c r="K171" i="1"/>
  <c r="J171" i="1"/>
  <c r="I171" i="1"/>
  <c r="H171" i="1"/>
  <c r="G171" i="1"/>
  <c r="F171" i="1"/>
  <c r="E171" i="1"/>
  <c r="D171" i="1"/>
  <c r="C171" i="1"/>
  <c r="B171" i="1"/>
  <c r="M170" i="1" a="1"/>
  <c r="M170" i="1" s="1"/>
  <c r="N170" i="1" s="1"/>
  <c r="L170" i="1"/>
  <c r="K170" i="1"/>
  <c r="J170" i="1"/>
  <c r="I170" i="1"/>
  <c r="H170" i="1"/>
  <c r="G170" i="1"/>
  <c r="F170" i="1"/>
  <c r="E170" i="1"/>
  <c r="D170" i="1"/>
  <c r="C170" i="1"/>
  <c r="B170" i="1"/>
  <c r="M169" i="1" a="1"/>
  <c r="M169" i="1" s="1"/>
  <c r="L169" i="1"/>
  <c r="K169" i="1"/>
  <c r="J169" i="1"/>
  <c r="I169" i="1"/>
  <c r="H169" i="1"/>
  <c r="G169" i="1"/>
  <c r="F169" i="1"/>
  <c r="E169" i="1"/>
  <c r="D169" i="1"/>
  <c r="C169" i="1"/>
  <c r="B169" i="1"/>
  <c r="M168" i="1" a="1"/>
  <c r="M168" i="1" s="1"/>
  <c r="N168" i="1" s="1"/>
  <c r="L168" i="1"/>
  <c r="K168" i="1"/>
  <c r="J168" i="1"/>
  <c r="I168" i="1"/>
  <c r="H168" i="1"/>
  <c r="G168" i="1"/>
  <c r="F168" i="1"/>
  <c r="E168" i="1"/>
  <c r="D168" i="1"/>
  <c r="C168" i="1"/>
  <c r="B168" i="1"/>
  <c r="M167" i="1"/>
  <c r="N167" i="1" s="1"/>
  <c r="M167" i="1" a="1"/>
  <c r="L167" i="1"/>
  <c r="K167" i="1"/>
  <c r="J167" i="1"/>
  <c r="I167" i="1"/>
  <c r="H167" i="1"/>
  <c r="G167" i="1"/>
  <c r="F167" i="1"/>
  <c r="E167" i="1"/>
  <c r="D167" i="1"/>
  <c r="C167" i="1"/>
  <c r="B167" i="1"/>
  <c r="M166" i="1" a="1"/>
  <c r="M166" i="1" s="1"/>
  <c r="L166" i="1"/>
  <c r="K166" i="1"/>
  <c r="J166" i="1"/>
  <c r="I166" i="1"/>
  <c r="H166" i="1"/>
  <c r="G166" i="1"/>
  <c r="F166" i="1"/>
  <c r="E166" i="1"/>
  <c r="D166" i="1"/>
  <c r="C166" i="1"/>
  <c r="B166" i="1"/>
  <c r="M165" i="1"/>
  <c r="M165" i="1" a="1"/>
  <c r="L165" i="1"/>
  <c r="K165" i="1"/>
  <c r="J165" i="1"/>
  <c r="I165" i="1"/>
  <c r="H165" i="1"/>
  <c r="G165" i="1"/>
  <c r="F165" i="1"/>
  <c r="E165" i="1"/>
  <c r="D165" i="1"/>
  <c r="C165" i="1"/>
  <c r="B165" i="1"/>
  <c r="M164" i="1" a="1"/>
  <c r="M164" i="1" s="1"/>
  <c r="L164" i="1"/>
  <c r="K164" i="1"/>
  <c r="J164" i="1"/>
  <c r="I164" i="1"/>
  <c r="H164" i="1"/>
  <c r="G164" i="1"/>
  <c r="F164" i="1"/>
  <c r="E164" i="1"/>
  <c r="D164" i="1"/>
  <c r="C164" i="1"/>
  <c r="B164" i="1"/>
  <c r="M163" i="1" a="1"/>
  <c r="M163" i="1" s="1"/>
  <c r="N163" i="1" s="1"/>
  <c r="L163" i="1"/>
  <c r="K163" i="1"/>
  <c r="J163" i="1"/>
  <c r="I163" i="1"/>
  <c r="H163" i="1"/>
  <c r="G163" i="1"/>
  <c r="F163" i="1"/>
  <c r="E163" i="1"/>
  <c r="D163" i="1"/>
  <c r="C163" i="1"/>
  <c r="B163" i="1"/>
  <c r="M162" i="1" a="1"/>
  <c r="M162" i="1" s="1"/>
  <c r="L162" i="1"/>
  <c r="K162" i="1"/>
  <c r="J162" i="1"/>
  <c r="I162" i="1"/>
  <c r="N162" i="1" s="1"/>
  <c r="H162" i="1"/>
  <c r="G162" i="1"/>
  <c r="S162" i="1" s="1"/>
  <c r="F162" i="1"/>
  <c r="T162" i="1" s="1"/>
  <c r="E162" i="1"/>
  <c r="D162" i="1"/>
  <c r="C162" i="1"/>
  <c r="B162" i="1"/>
  <c r="M161" i="1" a="1"/>
  <c r="M161" i="1" s="1"/>
  <c r="L161" i="1"/>
  <c r="K161" i="1"/>
  <c r="J161" i="1"/>
  <c r="I161" i="1"/>
  <c r="N161" i="1" s="1"/>
  <c r="AC161" i="1" s="1"/>
  <c r="H161" i="1"/>
  <c r="G161" i="1"/>
  <c r="F161" i="1"/>
  <c r="E161" i="1"/>
  <c r="D161" i="1"/>
  <c r="C161" i="1"/>
  <c r="B161" i="1"/>
  <c r="M160" i="1" a="1"/>
  <c r="M160" i="1" s="1"/>
  <c r="N160" i="1" s="1"/>
  <c r="L160" i="1"/>
  <c r="K160" i="1"/>
  <c r="J160" i="1"/>
  <c r="I160" i="1"/>
  <c r="H160" i="1"/>
  <c r="G160" i="1"/>
  <c r="F160" i="1"/>
  <c r="E160" i="1"/>
  <c r="D160" i="1"/>
  <c r="C160" i="1"/>
  <c r="B160" i="1"/>
  <c r="N159" i="1"/>
  <c r="M159" i="1"/>
  <c r="M159" i="1" a="1"/>
  <c r="L159" i="1"/>
  <c r="K159" i="1"/>
  <c r="J159" i="1"/>
  <c r="I159" i="1"/>
  <c r="H159" i="1"/>
  <c r="G159" i="1"/>
  <c r="F159" i="1"/>
  <c r="E159" i="1"/>
  <c r="D159" i="1"/>
  <c r="C159" i="1"/>
  <c r="B159" i="1"/>
  <c r="M158" i="1"/>
  <c r="N158" i="1" s="1"/>
  <c r="M158" i="1" a="1"/>
  <c r="L158" i="1"/>
  <c r="K158" i="1"/>
  <c r="J158" i="1"/>
  <c r="I158" i="1"/>
  <c r="H158" i="1"/>
  <c r="G158" i="1"/>
  <c r="F158" i="1"/>
  <c r="E158" i="1"/>
  <c r="D158" i="1"/>
  <c r="C158" i="1"/>
  <c r="B158" i="1"/>
  <c r="M157" i="1"/>
  <c r="M157" i="1" a="1"/>
  <c r="L157" i="1"/>
  <c r="K157" i="1"/>
  <c r="J157" i="1"/>
  <c r="I157" i="1"/>
  <c r="H157" i="1"/>
  <c r="G157" i="1"/>
  <c r="F157" i="1"/>
  <c r="E157" i="1"/>
  <c r="D157" i="1"/>
  <c r="C157" i="1"/>
  <c r="N157" i="1" s="1"/>
  <c r="B157" i="1"/>
  <c r="M156" i="1"/>
  <c r="M156" i="1" a="1"/>
  <c r="L156" i="1"/>
  <c r="K156" i="1"/>
  <c r="J156" i="1"/>
  <c r="I156" i="1"/>
  <c r="H156" i="1"/>
  <c r="G156" i="1"/>
  <c r="F156" i="1"/>
  <c r="E156" i="1"/>
  <c r="D156" i="1"/>
  <c r="C156" i="1"/>
  <c r="B156" i="1"/>
  <c r="M155" i="1"/>
  <c r="M155" i="1" a="1"/>
  <c r="L155" i="1"/>
  <c r="K155" i="1"/>
  <c r="J155" i="1"/>
  <c r="I155" i="1"/>
  <c r="N155" i="1" s="1"/>
  <c r="H155" i="1"/>
  <c r="G155" i="1"/>
  <c r="F155" i="1"/>
  <c r="E155" i="1"/>
  <c r="D155" i="1"/>
  <c r="C155" i="1"/>
  <c r="B155" i="1"/>
  <c r="AD154" i="1"/>
  <c r="AC154" i="1"/>
  <c r="M154" i="1"/>
  <c r="N154" i="1" s="1"/>
  <c r="M154" i="1" a="1"/>
  <c r="L154" i="1"/>
  <c r="K154" i="1"/>
  <c r="J154" i="1"/>
  <c r="I154" i="1"/>
  <c r="H154" i="1"/>
  <c r="G154" i="1"/>
  <c r="S154" i="1" s="1"/>
  <c r="F154" i="1"/>
  <c r="E154" i="1"/>
  <c r="D154" i="1"/>
  <c r="C154" i="1"/>
  <c r="B154" i="1"/>
  <c r="M153" i="1" a="1"/>
  <c r="M153" i="1" s="1"/>
  <c r="L153" i="1"/>
  <c r="K153" i="1"/>
  <c r="J153" i="1"/>
  <c r="I153" i="1"/>
  <c r="N153" i="1" s="1"/>
  <c r="H153" i="1"/>
  <c r="G153" i="1"/>
  <c r="F153" i="1"/>
  <c r="E153" i="1"/>
  <c r="D153" i="1"/>
  <c r="C153" i="1"/>
  <c r="B153" i="1"/>
  <c r="M152" i="1"/>
  <c r="N152" i="1" s="1"/>
  <c r="AD152" i="1" s="1"/>
  <c r="M152" i="1" a="1"/>
  <c r="L152" i="1"/>
  <c r="K152" i="1"/>
  <c r="J152" i="1"/>
  <c r="I152" i="1"/>
  <c r="H152" i="1"/>
  <c r="G152" i="1"/>
  <c r="F152" i="1"/>
  <c r="E152" i="1"/>
  <c r="D152" i="1"/>
  <c r="C152" i="1"/>
  <c r="B152" i="1"/>
  <c r="M151" i="1"/>
  <c r="N151" i="1" s="1"/>
  <c r="M151" i="1" a="1"/>
  <c r="L151" i="1"/>
  <c r="K151" i="1"/>
  <c r="J151" i="1"/>
  <c r="I151" i="1"/>
  <c r="H151" i="1"/>
  <c r="G151" i="1"/>
  <c r="F151" i="1"/>
  <c r="E151" i="1"/>
  <c r="D151" i="1"/>
  <c r="C151" i="1"/>
  <c r="B151" i="1"/>
  <c r="M150" i="1"/>
  <c r="M150" i="1" a="1"/>
  <c r="L150" i="1"/>
  <c r="K150" i="1"/>
  <c r="J150" i="1"/>
  <c r="I150" i="1"/>
  <c r="H150" i="1"/>
  <c r="G150" i="1"/>
  <c r="F150" i="1"/>
  <c r="E150" i="1"/>
  <c r="D150" i="1"/>
  <c r="C150" i="1"/>
  <c r="B150" i="1"/>
  <c r="N149" i="1"/>
  <c r="M149" i="1"/>
  <c r="M149" i="1" a="1"/>
  <c r="L149" i="1"/>
  <c r="K149" i="1"/>
  <c r="J149" i="1"/>
  <c r="I149" i="1"/>
  <c r="H149" i="1"/>
  <c r="G149" i="1"/>
  <c r="F149" i="1"/>
  <c r="E149" i="1"/>
  <c r="D149" i="1"/>
  <c r="C149" i="1"/>
  <c r="B149" i="1"/>
  <c r="T148" i="1"/>
  <c r="M148" i="1" a="1"/>
  <c r="M148" i="1" s="1"/>
  <c r="N148" i="1" s="1"/>
  <c r="L148" i="1"/>
  <c r="K148" i="1"/>
  <c r="J148" i="1"/>
  <c r="I148" i="1"/>
  <c r="H148" i="1"/>
  <c r="G148" i="1"/>
  <c r="S148" i="1" s="1"/>
  <c r="F148" i="1"/>
  <c r="R148" i="1" s="1"/>
  <c r="E148" i="1"/>
  <c r="D148" i="1"/>
  <c r="C148" i="1"/>
  <c r="B148" i="1"/>
  <c r="M147" i="1"/>
  <c r="M147" i="1" a="1"/>
  <c r="L147" i="1"/>
  <c r="K147" i="1"/>
  <c r="J147" i="1"/>
  <c r="I147" i="1"/>
  <c r="H147" i="1"/>
  <c r="G147" i="1"/>
  <c r="F147" i="1"/>
  <c r="E147" i="1"/>
  <c r="D147" i="1"/>
  <c r="C147" i="1"/>
  <c r="N147" i="1" s="1"/>
  <c r="B147" i="1"/>
  <c r="AC146" i="1"/>
  <c r="M146" i="1" a="1"/>
  <c r="M146" i="1" s="1"/>
  <c r="L146" i="1"/>
  <c r="K146" i="1"/>
  <c r="J146" i="1"/>
  <c r="I146" i="1"/>
  <c r="N146" i="1" s="1"/>
  <c r="H146" i="1"/>
  <c r="G146" i="1"/>
  <c r="S146" i="1" s="1"/>
  <c r="F146" i="1"/>
  <c r="E146" i="1"/>
  <c r="D146" i="1"/>
  <c r="C146" i="1"/>
  <c r="B146" i="1"/>
  <c r="M145" i="1" a="1"/>
  <c r="M145" i="1" s="1"/>
  <c r="N145" i="1" s="1"/>
  <c r="L145" i="1"/>
  <c r="K145" i="1"/>
  <c r="J145" i="1"/>
  <c r="I145" i="1"/>
  <c r="H145" i="1"/>
  <c r="G145" i="1"/>
  <c r="F145" i="1"/>
  <c r="E145" i="1"/>
  <c r="D145" i="1"/>
  <c r="C145" i="1"/>
  <c r="B145" i="1"/>
  <c r="M144" i="1"/>
  <c r="M144" i="1" a="1"/>
  <c r="L144" i="1"/>
  <c r="K144" i="1"/>
  <c r="J144" i="1"/>
  <c r="I144" i="1"/>
  <c r="H144" i="1"/>
  <c r="G144" i="1"/>
  <c r="F144" i="1"/>
  <c r="E144" i="1"/>
  <c r="D144" i="1"/>
  <c r="C144" i="1"/>
  <c r="B144" i="1"/>
  <c r="M143" i="1"/>
  <c r="N143" i="1" s="1"/>
  <c r="M143" i="1" a="1"/>
  <c r="L143" i="1"/>
  <c r="K143" i="1"/>
  <c r="J143" i="1"/>
  <c r="I143" i="1"/>
  <c r="H143" i="1"/>
  <c r="G143" i="1"/>
  <c r="F143" i="1"/>
  <c r="E143" i="1"/>
  <c r="D143" i="1"/>
  <c r="C143" i="1"/>
  <c r="B143" i="1"/>
  <c r="N142" i="1"/>
  <c r="M142" i="1" a="1"/>
  <c r="M142" i="1" s="1"/>
  <c r="L142" i="1"/>
  <c r="K142" i="1"/>
  <c r="J142" i="1"/>
  <c r="I142" i="1"/>
  <c r="H142" i="1"/>
  <c r="G142" i="1"/>
  <c r="F142" i="1"/>
  <c r="E142" i="1"/>
  <c r="D142" i="1"/>
  <c r="C142" i="1"/>
  <c r="B142" i="1"/>
  <c r="M141" i="1"/>
  <c r="M141" i="1" a="1"/>
  <c r="L141" i="1"/>
  <c r="K141" i="1"/>
  <c r="J141" i="1"/>
  <c r="I141" i="1"/>
  <c r="H141" i="1"/>
  <c r="G141" i="1"/>
  <c r="F141" i="1"/>
  <c r="E141" i="1"/>
  <c r="D141" i="1"/>
  <c r="C141" i="1"/>
  <c r="B141" i="1"/>
  <c r="T140" i="1"/>
  <c r="M140" i="1"/>
  <c r="M140" i="1" a="1"/>
  <c r="L140" i="1"/>
  <c r="K140" i="1"/>
  <c r="J140" i="1"/>
  <c r="I140" i="1"/>
  <c r="N140" i="1" s="1"/>
  <c r="H140" i="1"/>
  <c r="G140" i="1"/>
  <c r="S140" i="1" s="1"/>
  <c r="F140" i="1"/>
  <c r="E140" i="1"/>
  <c r="D140" i="1"/>
  <c r="C140" i="1"/>
  <c r="B140" i="1"/>
  <c r="M139" i="1" a="1"/>
  <c r="M139" i="1" s="1"/>
  <c r="N139" i="1" s="1"/>
  <c r="S139" i="1" s="1"/>
  <c r="L139" i="1"/>
  <c r="K139" i="1"/>
  <c r="J139" i="1"/>
  <c r="I139" i="1"/>
  <c r="H139" i="1"/>
  <c r="G139" i="1"/>
  <c r="F139" i="1"/>
  <c r="E139" i="1"/>
  <c r="D139" i="1"/>
  <c r="C139" i="1"/>
  <c r="B139" i="1"/>
  <c r="M138" i="1"/>
  <c r="M138" i="1" a="1"/>
  <c r="L138" i="1"/>
  <c r="K138" i="1"/>
  <c r="J138" i="1"/>
  <c r="I138" i="1"/>
  <c r="N138" i="1" s="1"/>
  <c r="H138" i="1"/>
  <c r="G138" i="1"/>
  <c r="S138" i="1" s="1"/>
  <c r="F138" i="1"/>
  <c r="E138" i="1"/>
  <c r="D138" i="1"/>
  <c r="C138" i="1"/>
  <c r="B138" i="1"/>
  <c r="M137" i="1" a="1"/>
  <c r="M137" i="1" s="1"/>
  <c r="L137" i="1"/>
  <c r="K137" i="1"/>
  <c r="J137" i="1"/>
  <c r="I137" i="1"/>
  <c r="N137" i="1" s="1"/>
  <c r="H137" i="1"/>
  <c r="G137" i="1"/>
  <c r="F137" i="1"/>
  <c r="E137" i="1"/>
  <c r="D137" i="1"/>
  <c r="C137" i="1"/>
  <c r="B137" i="1"/>
  <c r="M136" i="1" a="1"/>
  <c r="M136" i="1" s="1"/>
  <c r="N136" i="1" s="1"/>
  <c r="L136" i="1"/>
  <c r="K136" i="1"/>
  <c r="J136" i="1"/>
  <c r="I136" i="1"/>
  <c r="H136" i="1"/>
  <c r="G136" i="1"/>
  <c r="F136" i="1"/>
  <c r="E136" i="1"/>
  <c r="D136" i="1"/>
  <c r="C136" i="1"/>
  <c r="B136" i="1"/>
  <c r="M135" i="1"/>
  <c r="N135" i="1" s="1"/>
  <c r="M135" i="1" a="1"/>
  <c r="L135" i="1"/>
  <c r="K135" i="1"/>
  <c r="J135" i="1"/>
  <c r="I135" i="1"/>
  <c r="H135" i="1"/>
  <c r="G135" i="1"/>
  <c r="F135" i="1"/>
  <c r="E135" i="1"/>
  <c r="D135" i="1"/>
  <c r="C135" i="1"/>
  <c r="B135" i="1"/>
  <c r="M134" i="1"/>
  <c r="M134" i="1" a="1"/>
  <c r="L134" i="1"/>
  <c r="K134" i="1"/>
  <c r="J134" i="1"/>
  <c r="I134" i="1"/>
  <c r="H134" i="1"/>
  <c r="G134" i="1"/>
  <c r="F134" i="1"/>
  <c r="E134" i="1"/>
  <c r="D134" i="1"/>
  <c r="C134" i="1"/>
  <c r="N134" i="1" s="1"/>
  <c r="B134" i="1"/>
  <c r="M133" i="1" a="1"/>
  <c r="M133" i="1" s="1"/>
  <c r="L133" i="1"/>
  <c r="K133" i="1"/>
  <c r="J133" i="1"/>
  <c r="I133" i="1"/>
  <c r="N133" i="1" s="1"/>
  <c r="H133" i="1"/>
  <c r="G133" i="1"/>
  <c r="F133" i="1"/>
  <c r="E133" i="1"/>
  <c r="D133" i="1"/>
  <c r="C133" i="1"/>
  <c r="B133" i="1"/>
  <c r="M132" i="1"/>
  <c r="M132" i="1" a="1"/>
  <c r="L132" i="1"/>
  <c r="K132" i="1"/>
  <c r="J132" i="1"/>
  <c r="I132" i="1"/>
  <c r="N132" i="1" s="1"/>
  <c r="H132" i="1"/>
  <c r="G132" i="1"/>
  <c r="S132" i="1" s="1"/>
  <c r="F132" i="1"/>
  <c r="E132" i="1"/>
  <c r="D132" i="1"/>
  <c r="C132" i="1"/>
  <c r="B132" i="1"/>
  <c r="M131" i="1" a="1"/>
  <c r="M131" i="1" s="1"/>
  <c r="N131" i="1" s="1"/>
  <c r="L131" i="1"/>
  <c r="K131" i="1"/>
  <c r="J131" i="1"/>
  <c r="I131" i="1"/>
  <c r="H131" i="1"/>
  <c r="G131" i="1"/>
  <c r="F131" i="1"/>
  <c r="E131" i="1"/>
  <c r="D131" i="1"/>
  <c r="C131" i="1"/>
  <c r="B131" i="1"/>
  <c r="M130" i="1"/>
  <c r="M130" i="1" a="1"/>
  <c r="L130" i="1"/>
  <c r="K130" i="1"/>
  <c r="J130" i="1"/>
  <c r="I130" i="1"/>
  <c r="H130" i="1"/>
  <c r="G130" i="1"/>
  <c r="F130" i="1"/>
  <c r="E130" i="1"/>
  <c r="D130" i="1"/>
  <c r="C130" i="1"/>
  <c r="B130" i="1"/>
  <c r="M129" i="1"/>
  <c r="M129" i="1" a="1"/>
  <c r="L129" i="1"/>
  <c r="K129" i="1"/>
  <c r="J129" i="1"/>
  <c r="I129" i="1"/>
  <c r="H129" i="1"/>
  <c r="G129" i="1"/>
  <c r="F129" i="1"/>
  <c r="E129" i="1"/>
  <c r="D129" i="1"/>
  <c r="C129" i="1"/>
  <c r="N129" i="1" s="1"/>
  <c r="B129" i="1"/>
  <c r="M128" i="1" a="1"/>
  <c r="M128" i="1" s="1"/>
  <c r="L128" i="1"/>
  <c r="K128" i="1"/>
  <c r="J128" i="1"/>
  <c r="I128" i="1"/>
  <c r="N128" i="1" s="1"/>
  <c r="H128" i="1"/>
  <c r="G128" i="1"/>
  <c r="S128" i="1" s="1"/>
  <c r="F128" i="1"/>
  <c r="T128" i="1" s="1"/>
  <c r="E128" i="1"/>
  <c r="D128" i="1"/>
  <c r="C128" i="1"/>
  <c r="B128" i="1"/>
  <c r="M127" i="1" a="1"/>
  <c r="M127" i="1" s="1"/>
  <c r="N127" i="1" s="1"/>
  <c r="AC127" i="1" s="1"/>
  <c r="L127" i="1"/>
  <c r="K127" i="1"/>
  <c r="J127" i="1"/>
  <c r="I127" i="1"/>
  <c r="H127" i="1"/>
  <c r="G127" i="1"/>
  <c r="F127" i="1"/>
  <c r="E127" i="1"/>
  <c r="D127" i="1"/>
  <c r="C127" i="1"/>
  <c r="B127" i="1"/>
  <c r="M126" i="1"/>
  <c r="M126" i="1" a="1"/>
  <c r="L126" i="1"/>
  <c r="K126" i="1"/>
  <c r="J126" i="1"/>
  <c r="I126" i="1"/>
  <c r="H126" i="1"/>
  <c r="G126" i="1"/>
  <c r="F126" i="1"/>
  <c r="E126" i="1"/>
  <c r="D126" i="1"/>
  <c r="C126" i="1"/>
  <c r="N126" i="1" s="1"/>
  <c r="B126" i="1"/>
  <c r="M125" i="1" a="1"/>
  <c r="M125" i="1" s="1"/>
  <c r="N125" i="1" s="1"/>
  <c r="L125" i="1"/>
  <c r="K125" i="1"/>
  <c r="J125" i="1"/>
  <c r="I125" i="1"/>
  <c r="H125" i="1"/>
  <c r="G125" i="1"/>
  <c r="F125" i="1"/>
  <c r="E125" i="1"/>
  <c r="D125" i="1"/>
  <c r="C125" i="1"/>
  <c r="B125" i="1"/>
  <c r="M124" i="1"/>
  <c r="N124" i="1" s="1"/>
  <c r="M124" i="1" a="1"/>
  <c r="L124" i="1"/>
  <c r="K124" i="1"/>
  <c r="J124" i="1"/>
  <c r="I124" i="1"/>
  <c r="H124" i="1"/>
  <c r="G124" i="1"/>
  <c r="S124" i="1" s="1"/>
  <c r="F124" i="1"/>
  <c r="T124" i="1" s="1"/>
  <c r="E124" i="1"/>
  <c r="D124" i="1"/>
  <c r="C124" i="1"/>
  <c r="B124" i="1"/>
  <c r="M123" i="1" a="1"/>
  <c r="M123" i="1" s="1"/>
  <c r="L123" i="1"/>
  <c r="K123" i="1"/>
  <c r="J123" i="1"/>
  <c r="I123" i="1"/>
  <c r="H123" i="1"/>
  <c r="G123" i="1"/>
  <c r="F123" i="1"/>
  <c r="E123" i="1"/>
  <c r="D123" i="1"/>
  <c r="C123" i="1"/>
  <c r="B123" i="1"/>
  <c r="M122" i="1" a="1"/>
  <c r="M122" i="1" s="1"/>
  <c r="N122" i="1" s="1"/>
  <c r="L122" i="1"/>
  <c r="K122" i="1"/>
  <c r="J122" i="1"/>
  <c r="I122" i="1"/>
  <c r="H122" i="1"/>
  <c r="G122" i="1"/>
  <c r="F122" i="1"/>
  <c r="E122" i="1"/>
  <c r="D122" i="1"/>
  <c r="C122" i="1"/>
  <c r="B122" i="1"/>
  <c r="M121" i="1" a="1"/>
  <c r="M121" i="1" s="1"/>
  <c r="N121" i="1" s="1"/>
  <c r="L121" i="1"/>
  <c r="K121" i="1"/>
  <c r="J121" i="1"/>
  <c r="I121" i="1"/>
  <c r="H121" i="1"/>
  <c r="G121" i="1"/>
  <c r="F121" i="1"/>
  <c r="E121" i="1"/>
  <c r="D121" i="1"/>
  <c r="C121" i="1"/>
  <c r="B121" i="1"/>
  <c r="M120" i="1"/>
  <c r="M120" i="1" a="1"/>
  <c r="L120" i="1"/>
  <c r="K120" i="1"/>
  <c r="J120" i="1"/>
  <c r="I120" i="1"/>
  <c r="N120" i="1" s="1"/>
  <c r="H120" i="1"/>
  <c r="G120" i="1"/>
  <c r="S120" i="1" s="1"/>
  <c r="F120" i="1"/>
  <c r="T120" i="1" s="1"/>
  <c r="E120" i="1"/>
  <c r="D120" i="1"/>
  <c r="C120" i="1"/>
  <c r="B120" i="1"/>
  <c r="M119" i="1" a="1"/>
  <c r="M119" i="1" s="1"/>
  <c r="L119" i="1"/>
  <c r="K119" i="1"/>
  <c r="J119" i="1"/>
  <c r="I119" i="1"/>
  <c r="H119" i="1"/>
  <c r="G119" i="1"/>
  <c r="F119" i="1"/>
  <c r="E119" i="1"/>
  <c r="D119" i="1"/>
  <c r="C119" i="1"/>
  <c r="B119" i="1"/>
  <c r="M118" i="1" a="1"/>
  <c r="M118" i="1" s="1"/>
  <c r="L118" i="1"/>
  <c r="K118" i="1"/>
  <c r="J118" i="1"/>
  <c r="I118" i="1"/>
  <c r="H118" i="1"/>
  <c r="G118" i="1"/>
  <c r="F118" i="1"/>
  <c r="E118" i="1"/>
  <c r="D118" i="1"/>
  <c r="C118" i="1"/>
  <c r="B118" i="1"/>
  <c r="M117" i="1" a="1"/>
  <c r="M117" i="1" s="1"/>
  <c r="L117" i="1"/>
  <c r="K117" i="1"/>
  <c r="J117" i="1"/>
  <c r="I117" i="1"/>
  <c r="H117" i="1"/>
  <c r="G117" i="1"/>
  <c r="F117" i="1"/>
  <c r="E117" i="1"/>
  <c r="D117" i="1"/>
  <c r="C117" i="1"/>
  <c r="B117" i="1"/>
  <c r="M116" i="1" a="1"/>
  <c r="M116" i="1" s="1"/>
  <c r="L116" i="1"/>
  <c r="K116" i="1"/>
  <c r="J116" i="1"/>
  <c r="I116" i="1"/>
  <c r="N116" i="1" s="1"/>
  <c r="H116" i="1"/>
  <c r="G116" i="1"/>
  <c r="F116" i="1"/>
  <c r="E116" i="1"/>
  <c r="D116" i="1"/>
  <c r="C116" i="1"/>
  <c r="B116" i="1"/>
  <c r="M115" i="1"/>
  <c r="N115" i="1" s="1"/>
  <c r="M115" i="1" a="1"/>
  <c r="L115" i="1"/>
  <c r="K115" i="1"/>
  <c r="J115" i="1"/>
  <c r="I115" i="1"/>
  <c r="H115" i="1"/>
  <c r="G115" i="1"/>
  <c r="F115" i="1"/>
  <c r="E115" i="1"/>
  <c r="D115" i="1"/>
  <c r="C115" i="1"/>
  <c r="B115" i="1"/>
  <c r="M114" i="1"/>
  <c r="M114" i="1" a="1"/>
  <c r="L114" i="1"/>
  <c r="K114" i="1"/>
  <c r="J114" i="1"/>
  <c r="I114" i="1"/>
  <c r="H114" i="1"/>
  <c r="G114" i="1"/>
  <c r="F114" i="1"/>
  <c r="E114" i="1"/>
  <c r="D114" i="1"/>
  <c r="C114" i="1"/>
  <c r="N114" i="1" s="1"/>
  <c r="B114" i="1"/>
  <c r="M113" i="1" a="1"/>
  <c r="M113" i="1" s="1"/>
  <c r="L113" i="1"/>
  <c r="K113" i="1"/>
  <c r="J113" i="1"/>
  <c r="I113" i="1"/>
  <c r="N113" i="1" s="1"/>
  <c r="H113" i="1"/>
  <c r="G113" i="1"/>
  <c r="S113" i="1" s="1"/>
  <c r="F113" i="1"/>
  <c r="T113" i="1" s="1"/>
  <c r="E113" i="1"/>
  <c r="D113" i="1"/>
  <c r="C113" i="1"/>
  <c r="B113" i="1"/>
  <c r="M112" i="1" a="1"/>
  <c r="M112" i="1" s="1"/>
  <c r="N112" i="1" s="1"/>
  <c r="L112" i="1"/>
  <c r="K112" i="1"/>
  <c r="J112" i="1"/>
  <c r="I112" i="1"/>
  <c r="H112" i="1"/>
  <c r="G112" i="1"/>
  <c r="F112" i="1"/>
  <c r="E112" i="1"/>
  <c r="D112" i="1"/>
  <c r="C112" i="1"/>
  <c r="B112" i="1"/>
  <c r="M111" i="1"/>
  <c r="M111" i="1" a="1"/>
  <c r="L111" i="1"/>
  <c r="K111" i="1"/>
  <c r="J111" i="1"/>
  <c r="I111" i="1"/>
  <c r="H111" i="1"/>
  <c r="G111" i="1"/>
  <c r="F111" i="1"/>
  <c r="E111" i="1"/>
  <c r="D111" i="1"/>
  <c r="C111" i="1"/>
  <c r="N111" i="1" s="1"/>
  <c r="B111" i="1"/>
  <c r="M110" i="1" a="1"/>
  <c r="M110" i="1" s="1"/>
  <c r="L110" i="1"/>
  <c r="K110" i="1"/>
  <c r="J110" i="1"/>
  <c r="I110" i="1"/>
  <c r="N110" i="1" s="1"/>
  <c r="H110" i="1"/>
  <c r="G110" i="1"/>
  <c r="S110" i="1" s="1"/>
  <c r="F110" i="1"/>
  <c r="T110" i="1" s="1"/>
  <c r="E110" i="1"/>
  <c r="D110" i="1"/>
  <c r="C110" i="1"/>
  <c r="B110" i="1"/>
  <c r="M109" i="1" a="1"/>
  <c r="M109" i="1" s="1"/>
  <c r="N109" i="1" s="1"/>
  <c r="L109" i="1"/>
  <c r="K109" i="1"/>
  <c r="J109" i="1"/>
  <c r="I109" i="1"/>
  <c r="H109" i="1"/>
  <c r="G109" i="1"/>
  <c r="F109" i="1"/>
  <c r="E109" i="1"/>
  <c r="D109" i="1"/>
  <c r="C109" i="1"/>
  <c r="B109" i="1"/>
  <c r="M108" i="1"/>
  <c r="M108" i="1" a="1"/>
  <c r="L108" i="1"/>
  <c r="K108" i="1"/>
  <c r="J108" i="1"/>
  <c r="I108" i="1"/>
  <c r="H108" i="1"/>
  <c r="G108" i="1"/>
  <c r="F108" i="1"/>
  <c r="E108" i="1"/>
  <c r="D108" i="1"/>
  <c r="C108" i="1"/>
  <c r="B108" i="1"/>
  <c r="M107" i="1" a="1"/>
  <c r="M107" i="1" s="1"/>
  <c r="L107" i="1"/>
  <c r="K107" i="1"/>
  <c r="J107" i="1"/>
  <c r="I107" i="1"/>
  <c r="H107" i="1"/>
  <c r="G107" i="1"/>
  <c r="F107" i="1"/>
  <c r="E107" i="1"/>
  <c r="D107" i="1"/>
  <c r="C107" i="1"/>
  <c r="B107" i="1"/>
  <c r="M106" i="1"/>
  <c r="M106" i="1" a="1"/>
  <c r="L106" i="1"/>
  <c r="K106" i="1"/>
  <c r="J106" i="1"/>
  <c r="I106" i="1"/>
  <c r="H106" i="1"/>
  <c r="G106" i="1"/>
  <c r="F106" i="1"/>
  <c r="E106" i="1"/>
  <c r="D106" i="1"/>
  <c r="C106" i="1"/>
  <c r="B106" i="1"/>
  <c r="M105" i="1"/>
  <c r="M105" i="1" a="1"/>
  <c r="L105" i="1"/>
  <c r="K105" i="1"/>
  <c r="J105" i="1"/>
  <c r="I105" i="1"/>
  <c r="H105" i="1"/>
  <c r="G105" i="1"/>
  <c r="F105" i="1"/>
  <c r="E105" i="1"/>
  <c r="D105" i="1"/>
  <c r="C105" i="1"/>
  <c r="B105" i="1"/>
  <c r="M104" i="1" a="1"/>
  <c r="M104" i="1" s="1"/>
  <c r="L104" i="1"/>
  <c r="K104" i="1"/>
  <c r="J104" i="1"/>
  <c r="I104" i="1"/>
  <c r="N104" i="1" s="1"/>
  <c r="H104" i="1"/>
  <c r="G104" i="1"/>
  <c r="F104" i="1"/>
  <c r="E104" i="1"/>
  <c r="D104" i="1"/>
  <c r="C104" i="1"/>
  <c r="B104" i="1"/>
  <c r="M103" i="1" a="1"/>
  <c r="M103" i="1" s="1"/>
  <c r="N103" i="1" s="1"/>
  <c r="L103" i="1"/>
  <c r="K103" i="1"/>
  <c r="J103" i="1"/>
  <c r="I103" i="1"/>
  <c r="H103" i="1"/>
  <c r="G103" i="1"/>
  <c r="F103" i="1"/>
  <c r="E103" i="1"/>
  <c r="D103" i="1"/>
  <c r="C103" i="1"/>
  <c r="B103" i="1"/>
  <c r="M102" i="1"/>
  <c r="M102" i="1" a="1"/>
  <c r="L102" i="1"/>
  <c r="K102" i="1"/>
  <c r="J102" i="1"/>
  <c r="I102" i="1"/>
  <c r="H102" i="1"/>
  <c r="G102" i="1"/>
  <c r="F102" i="1"/>
  <c r="E102" i="1"/>
  <c r="D102" i="1"/>
  <c r="C102" i="1"/>
  <c r="N102" i="1" s="1"/>
  <c r="B102" i="1"/>
  <c r="M101" i="1" a="1"/>
  <c r="M101" i="1" s="1"/>
  <c r="L101" i="1"/>
  <c r="K101" i="1"/>
  <c r="J101" i="1"/>
  <c r="I101" i="1"/>
  <c r="N101" i="1" s="1"/>
  <c r="H101" i="1"/>
  <c r="G101" i="1"/>
  <c r="S101" i="1" s="1"/>
  <c r="F101" i="1"/>
  <c r="E101" i="1"/>
  <c r="D101" i="1"/>
  <c r="C101" i="1"/>
  <c r="B101" i="1"/>
  <c r="M100" i="1" a="1"/>
  <c r="M100" i="1" s="1"/>
  <c r="N100" i="1" s="1"/>
  <c r="L100" i="1"/>
  <c r="K100" i="1"/>
  <c r="J100" i="1"/>
  <c r="I100" i="1"/>
  <c r="H100" i="1"/>
  <c r="G100" i="1"/>
  <c r="F100" i="1"/>
  <c r="E100" i="1"/>
  <c r="D100" i="1"/>
  <c r="C100" i="1"/>
  <c r="B100" i="1"/>
  <c r="M99" i="1"/>
  <c r="M99" i="1" a="1"/>
  <c r="L99" i="1"/>
  <c r="K99" i="1"/>
  <c r="J99" i="1"/>
  <c r="I99" i="1"/>
  <c r="H99" i="1"/>
  <c r="G99" i="1"/>
  <c r="F99" i="1"/>
  <c r="E99" i="1"/>
  <c r="D99" i="1"/>
  <c r="C99" i="1"/>
  <c r="B99" i="1"/>
  <c r="T98" i="1"/>
  <c r="M98" i="1" a="1"/>
  <c r="M98" i="1" s="1"/>
  <c r="N98" i="1" s="1"/>
  <c r="L98" i="1"/>
  <c r="K98" i="1"/>
  <c r="J98" i="1"/>
  <c r="I98" i="1"/>
  <c r="H98" i="1"/>
  <c r="G98" i="1"/>
  <c r="S98" i="1" s="1"/>
  <c r="F98" i="1"/>
  <c r="E98" i="1"/>
  <c r="D98" i="1"/>
  <c r="C98" i="1"/>
  <c r="B98" i="1"/>
  <c r="M97" i="1" a="1"/>
  <c r="M97" i="1" s="1"/>
  <c r="N97" i="1" s="1"/>
  <c r="L97" i="1"/>
  <c r="K97" i="1"/>
  <c r="J97" i="1"/>
  <c r="I97" i="1"/>
  <c r="H97" i="1"/>
  <c r="G97" i="1"/>
  <c r="F97" i="1"/>
  <c r="E97" i="1"/>
  <c r="D97" i="1"/>
  <c r="C97" i="1"/>
  <c r="B97" i="1"/>
  <c r="M96" i="1"/>
  <c r="M96" i="1" a="1"/>
  <c r="L96" i="1"/>
  <c r="K96" i="1"/>
  <c r="J96" i="1"/>
  <c r="I96" i="1"/>
  <c r="H96" i="1"/>
  <c r="G96" i="1"/>
  <c r="F96" i="1"/>
  <c r="E96" i="1"/>
  <c r="N96" i="1" s="1"/>
  <c r="D96" i="1"/>
  <c r="C96" i="1"/>
  <c r="B96" i="1"/>
  <c r="T95" i="1"/>
  <c r="M95" i="1"/>
  <c r="M95" i="1" a="1"/>
  <c r="L95" i="1"/>
  <c r="K95" i="1"/>
  <c r="J95" i="1"/>
  <c r="I95" i="1"/>
  <c r="N95" i="1" s="1"/>
  <c r="H95" i="1"/>
  <c r="G95" i="1"/>
  <c r="S95" i="1" s="1"/>
  <c r="F95" i="1"/>
  <c r="E95" i="1"/>
  <c r="D95" i="1"/>
  <c r="C95" i="1"/>
  <c r="B95" i="1"/>
  <c r="AC94" i="1"/>
  <c r="M94" i="1"/>
  <c r="M94" i="1" a="1"/>
  <c r="L94" i="1"/>
  <c r="K94" i="1"/>
  <c r="J94" i="1"/>
  <c r="I94" i="1"/>
  <c r="N94" i="1" s="1"/>
  <c r="H94" i="1"/>
  <c r="G94" i="1"/>
  <c r="F94" i="1"/>
  <c r="E94" i="1"/>
  <c r="D94" i="1"/>
  <c r="C94" i="1"/>
  <c r="B94" i="1"/>
  <c r="M93" i="1"/>
  <c r="M93" i="1" a="1"/>
  <c r="L93" i="1"/>
  <c r="K93" i="1"/>
  <c r="J93" i="1"/>
  <c r="I93" i="1"/>
  <c r="H93" i="1"/>
  <c r="G93" i="1"/>
  <c r="F93" i="1"/>
  <c r="E93" i="1"/>
  <c r="D93" i="1"/>
  <c r="C93" i="1"/>
  <c r="N93" i="1" s="1"/>
  <c r="B93" i="1"/>
  <c r="M92" i="1" a="1"/>
  <c r="M92" i="1" s="1"/>
  <c r="L92" i="1"/>
  <c r="K92" i="1"/>
  <c r="J92" i="1"/>
  <c r="I92" i="1"/>
  <c r="H92" i="1"/>
  <c r="G92" i="1"/>
  <c r="F92" i="1"/>
  <c r="E92" i="1"/>
  <c r="D92" i="1"/>
  <c r="C92" i="1"/>
  <c r="B92" i="1"/>
  <c r="AC91" i="1"/>
  <c r="M91" i="1" a="1"/>
  <c r="M91" i="1" s="1"/>
  <c r="N91" i="1" s="1"/>
  <c r="L91" i="1"/>
  <c r="K91" i="1"/>
  <c r="J91" i="1"/>
  <c r="I91" i="1"/>
  <c r="H91" i="1"/>
  <c r="G91" i="1"/>
  <c r="F91" i="1"/>
  <c r="T91" i="1" s="1"/>
  <c r="E91" i="1"/>
  <c r="D91" i="1"/>
  <c r="C91" i="1"/>
  <c r="B91" i="1"/>
  <c r="M90" i="1" a="1"/>
  <c r="M90" i="1" s="1"/>
  <c r="N90" i="1" s="1"/>
  <c r="L90" i="1"/>
  <c r="K90" i="1"/>
  <c r="J90" i="1"/>
  <c r="I90" i="1"/>
  <c r="H90" i="1"/>
  <c r="G90" i="1"/>
  <c r="F90" i="1"/>
  <c r="E90" i="1"/>
  <c r="D90" i="1"/>
  <c r="C90" i="1"/>
  <c r="B90" i="1"/>
  <c r="M89" i="1" a="1"/>
  <c r="M89" i="1" s="1"/>
  <c r="L89" i="1"/>
  <c r="K89" i="1"/>
  <c r="J89" i="1"/>
  <c r="I89" i="1"/>
  <c r="H89" i="1"/>
  <c r="G89" i="1"/>
  <c r="F89" i="1"/>
  <c r="E89" i="1"/>
  <c r="D89" i="1"/>
  <c r="C89" i="1"/>
  <c r="B89" i="1"/>
  <c r="AC88" i="1"/>
  <c r="M88" i="1"/>
  <c r="M88" i="1" a="1"/>
  <c r="L88" i="1"/>
  <c r="K88" i="1"/>
  <c r="J88" i="1"/>
  <c r="I88" i="1"/>
  <c r="N88" i="1" s="1"/>
  <c r="H88" i="1"/>
  <c r="G88" i="1"/>
  <c r="F88" i="1"/>
  <c r="E88" i="1"/>
  <c r="D88" i="1"/>
  <c r="C88" i="1"/>
  <c r="B88" i="1"/>
  <c r="M87" i="1" a="1"/>
  <c r="M87" i="1" s="1"/>
  <c r="N87" i="1" s="1"/>
  <c r="L87" i="1"/>
  <c r="K87" i="1"/>
  <c r="J87" i="1"/>
  <c r="I87" i="1"/>
  <c r="H87" i="1"/>
  <c r="G87" i="1"/>
  <c r="F87" i="1"/>
  <c r="E87" i="1"/>
  <c r="D87" i="1"/>
  <c r="C87" i="1"/>
  <c r="B87" i="1"/>
  <c r="M86" i="1" a="1"/>
  <c r="M86" i="1" s="1"/>
  <c r="L86" i="1"/>
  <c r="K86" i="1"/>
  <c r="J86" i="1"/>
  <c r="I86" i="1"/>
  <c r="H86" i="1"/>
  <c r="G86" i="1"/>
  <c r="F86" i="1"/>
  <c r="E86" i="1"/>
  <c r="D86" i="1"/>
  <c r="C86" i="1"/>
  <c r="B86" i="1"/>
  <c r="M85" i="1" a="1"/>
  <c r="M85" i="1" s="1"/>
  <c r="L85" i="1"/>
  <c r="K85" i="1"/>
  <c r="J85" i="1"/>
  <c r="I85" i="1"/>
  <c r="N85" i="1" s="1"/>
  <c r="H85" i="1"/>
  <c r="G85" i="1"/>
  <c r="F85" i="1"/>
  <c r="E85" i="1"/>
  <c r="D85" i="1"/>
  <c r="C85" i="1"/>
  <c r="B85" i="1"/>
  <c r="M84" i="1" a="1"/>
  <c r="M84" i="1" s="1"/>
  <c r="N84" i="1" s="1"/>
  <c r="L84" i="1"/>
  <c r="K84" i="1"/>
  <c r="J84" i="1"/>
  <c r="I84" i="1"/>
  <c r="H84" i="1"/>
  <c r="G84" i="1"/>
  <c r="F84" i="1"/>
  <c r="E84" i="1"/>
  <c r="D84" i="1"/>
  <c r="C84" i="1"/>
  <c r="B84" i="1"/>
  <c r="T83" i="1"/>
  <c r="M83" i="1" a="1"/>
  <c r="M83" i="1" s="1"/>
  <c r="L83" i="1"/>
  <c r="K83" i="1"/>
  <c r="J83" i="1"/>
  <c r="I83" i="1"/>
  <c r="N83" i="1" s="1"/>
  <c r="H83" i="1"/>
  <c r="G83" i="1"/>
  <c r="F83" i="1"/>
  <c r="E83" i="1"/>
  <c r="D83" i="1"/>
  <c r="C83" i="1"/>
  <c r="B83" i="1"/>
  <c r="AC82" i="1"/>
  <c r="M82" i="1"/>
  <c r="M82" i="1" a="1"/>
  <c r="L82" i="1"/>
  <c r="K82" i="1"/>
  <c r="J82" i="1"/>
  <c r="I82" i="1"/>
  <c r="N82" i="1" s="1"/>
  <c r="H82" i="1"/>
  <c r="G82" i="1"/>
  <c r="F82" i="1"/>
  <c r="T82" i="1" s="1"/>
  <c r="E82" i="1"/>
  <c r="D82" i="1"/>
  <c r="C82" i="1"/>
  <c r="B82" i="1"/>
  <c r="M81" i="1" a="1"/>
  <c r="M81" i="1" s="1"/>
  <c r="L81" i="1"/>
  <c r="K81" i="1"/>
  <c r="J81" i="1"/>
  <c r="I81" i="1"/>
  <c r="H81" i="1"/>
  <c r="G81" i="1"/>
  <c r="F81" i="1"/>
  <c r="E81" i="1"/>
  <c r="D81" i="1"/>
  <c r="C81" i="1"/>
  <c r="B81" i="1"/>
  <c r="M80" i="1" a="1"/>
  <c r="M80" i="1" s="1"/>
  <c r="L80" i="1"/>
  <c r="K80" i="1"/>
  <c r="J80" i="1"/>
  <c r="I80" i="1"/>
  <c r="H80" i="1"/>
  <c r="G80" i="1"/>
  <c r="F80" i="1"/>
  <c r="E80" i="1"/>
  <c r="D80" i="1"/>
  <c r="C80" i="1"/>
  <c r="B80" i="1"/>
  <c r="M79" i="1" a="1"/>
  <c r="M79" i="1" s="1"/>
  <c r="L79" i="1"/>
  <c r="K79" i="1"/>
  <c r="J79" i="1"/>
  <c r="I79" i="1"/>
  <c r="N79" i="1" s="1"/>
  <c r="H79" i="1"/>
  <c r="G79" i="1"/>
  <c r="S79" i="1" s="1"/>
  <c r="F79" i="1"/>
  <c r="T79" i="1" s="1"/>
  <c r="E79" i="1"/>
  <c r="D79" i="1"/>
  <c r="C79" i="1"/>
  <c r="B79" i="1"/>
  <c r="M78" i="1" a="1"/>
  <c r="M78" i="1" s="1"/>
  <c r="N78" i="1" s="1"/>
  <c r="L78" i="1"/>
  <c r="K78" i="1"/>
  <c r="J78" i="1"/>
  <c r="I78" i="1"/>
  <c r="H78" i="1"/>
  <c r="G78" i="1"/>
  <c r="F78" i="1"/>
  <c r="E78" i="1"/>
  <c r="D78" i="1"/>
  <c r="C78" i="1"/>
  <c r="B78" i="1"/>
  <c r="M77" i="1"/>
  <c r="M77" i="1" a="1"/>
  <c r="L77" i="1"/>
  <c r="K77" i="1"/>
  <c r="I77" i="1"/>
  <c r="H77" i="1"/>
  <c r="G77" i="1"/>
  <c r="F77" i="1"/>
  <c r="E77" i="1"/>
  <c r="D77" i="1"/>
  <c r="C77" i="1"/>
  <c r="B77" i="1"/>
  <c r="M76" i="1" a="1"/>
  <c r="M76" i="1" s="1"/>
  <c r="L76" i="1"/>
  <c r="K76" i="1"/>
  <c r="J76" i="1"/>
  <c r="I76" i="1"/>
  <c r="N76" i="1" s="1"/>
  <c r="H76" i="1"/>
  <c r="G76" i="1"/>
  <c r="F76" i="1"/>
  <c r="E76" i="1"/>
  <c r="D76" i="1"/>
  <c r="C76" i="1"/>
  <c r="B76" i="1"/>
  <c r="M75" i="1" a="1"/>
  <c r="M75" i="1" s="1"/>
  <c r="N75" i="1" s="1"/>
  <c r="L75" i="1"/>
  <c r="K75" i="1"/>
  <c r="J75" i="1"/>
  <c r="I75" i="1"/>
  <c r="H75" i="1"/>
  <c r="G75" i="1"/>
  <c r="F75" i="1"/>
  <c r="E75" i="1"/>
  <c r="D75" i="1"/>
  <c r="C75" i="1"/>
  <c r="B75" i="1"/>
  <c r="M74" i="1" a="1"/>
  <c r="M74" i="1" s="1"/>
  <c r="N74" i="1" s="1"/>
  <c r="L74" i="1"/>
  <c r="K74" i="1"/>
  <c r="J74" i="1"/>
  <c r="I74" i="1"/>
  <c r="H74" i="1"/>
  <c r="G74" i="1"/>
  <c r="F74" i="1"/>
  <c r="E74" i="1"/>
  <c r="D74" i="1"/>
  <c r="C74" i="1"/>
  <c r="B74" i="1"/>
  <c r="M73" i="1" a="1"/>
  <c r="M73" i="1" s="1"/>
  <c r="L73" i="1"/>
  <c r="K73" i="1"/>
  <c r="I73" i="1"/>
  <c r="N73" i="1" s="1"/>
  <c r="H73" i="1"/>
  <c r="G73" i="1"/>
  <c r="S73" i="1" s="1"/>
  <c r="F73" i="1"/>
  <c r="E73" i="1"/>
  <c r="D73" i="1"/>
  <c r="C73" i="1"/>
  <c r="B73" i="1"/>
  <c r="M72" i="1" a="1"/>
  <c r="M72" i="1" s="1"/>
  <c r="N72" i="1" s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M71" i="1" a="1"/>
  <c r="L71" i="1"/>
  <c r="K71" i="1"/>
  <c r="I71" i="1"/>
  <c r="H71" i="1"/>
  <c r="G71" i="1"/>
  <c r="S71" i="1" s="1"/>
  <c r="F71" i="1"/>
  <c r="E71" i="1"/>
  <c r="D71" i="1"/>
  <c r="C71" i="1"/>
  <c r="B71" i="1"/>
  <c r="M70" i="1"/>
  <c r="M70" i="1" a="1"/>
  <c r="L70" i="1"/>
  <c r="K70" i="1"/>
  <c r="J70" i="1"/>
  <c r="I70" i="1"/>
  <c r="N70" i="1" s="1"/>
  <c r="H70" i="1"/>
  <c r="G70" i="1"/>
  <c r="S70" i="1" s="1"/>
  <c r="F70" i="1"/>
  <c r="T70" i="1" s="1"/>
  <c r="E70" i="1"/>
  <c r="D70" i="1"/>
  <c r="C70" i="1"/>
  <c r="B70" i="1"/>
  <c r="M69" i="1" a="1"/>
  <c r="M69" i="1" s="1"/>
  <c r="N69" i="1" s="1"/>
  <c r="L69" i="1"/>
  <c r="K69" i="1"/>
  <c r="J69" i="1"/>
  <c r="I69" i="1"/>
  <c r="H69" i="1"/>
  <c r="G69" i="1"/>
  <c r="F69" i="1"/>
  <c r="E69" i="1"/>
  <c r="D69" i="1"/>
  <c r="C69" i="1"/>
  <c r="B69" i="1"/>
  <c r="M68" i="1"/>
  <c r="M68" i="1" a="1"/>
  <c r="L68" i="1"/>
  <c r="K68" i="1"/>
  <c r="J68" i="1"/>
  <c r="I68" i="1"/>
  <c r="H68" i="1"/>
  <c r="G68" i="1"/>
  <c r="F68" i="1"/>
  <c r="E68" i="1"/>
  <c r="D68" i="1"/>
  <c r="C68" i="1"/>
  <c r="B68" i="1"/>
  <c r="M67" i="1" a="1"/>
  <c r="M67" i="1" s="1"/>
  <c r="L67" i="1"/>
  <c r="K67" i="1"/>
  <c r="J67" i="1"/>
  <c r="I67" i="1"/>
  <c r="N67" i="1" s="1"/>
  <c r="H67" i="1"/>
  <c r="G67" i="1"/>
  <c r="F67" i="1"/>
  <c r="E67" i="1"/>
  <c r="D67" i="1"/>
  <c r="C67" i="1"/>
  <c r="B67" i="1"/>
  <c r="M66" i="1" a="1"/>
  <c r="M66" i="1" s="1"/>
  <c r="N66" i="1" s="1"/>
  <c r="L66" i="1"/>
  <c r="K66" i="1"/>
  <c r="J66" i="1"/>
  <c r="I66" i="1"/>
  <c r="H66" i="1"/>
  <c r="G66" i="1"/>
  <c r="F66" i="1"/>
  <c r="E66" i="1"/>
  <c r="D66" i="1"/>
  <c r="C66" i="1"/>
  <c r="B66" i="1"/>
  <c r="M65" i="1"/>
  <c r="M65" i="1" a="1"/>
  <c r="L65" i="1"/>
  <c r="K65" i="1"/>
  <c r="J65" i="1"/>
  <c r="I65" i="1"/>
  <c r="H65" i="1"/>
  <c r="G65" i="1"/>
  <c r="F65" i="1"/>
  <c r="E65" i="1"/>
  <c r="D65" i="1"/>
  <c r="C65" i="1"/>
  <c r="N65" i="1" s="1"/>
  <c r="B65" i="1"/>
  <c r="M64" i="1" a="1"/>
  <c r="M64" i="1" s="1"/>
  <c r="L64" i="1"/>
  <c r="K64" i="1"/>
  <c r="J64" i="1"/>
  <c r="I64" i="1"/>
  <c r="N64" i="1" s="1"/>
  <c r="H64" i="1"/>
  <c r="G64" i="1"/>
  <c r="F64" i="1"/>
  <c r="E64" i="1"/>
  <c r="D64" i="1"/>
  <c r="C64" i="1"/>
  <c r="B64" i="1"/>
  <c r="M63" i="1" a="1"/>
  <c r="M63" i="1" s="1"/>
  <c r="N63" i="1" s="1"/>
  <c r="L63" i="1"/>
  <c r="K63" i="1"/>
  <c r="J63" i="1"/>
  <c r="I63" i="1"/>
  <c r="H63" i="1"/>
  <c r="G63" i="1"/>
  <c r="F63" i="1"/>
  <c r="E63" i="1"/>
  <c r="D63" i="1"/>
  <c r="C63" i="1"/>
  <c r="B63" i="1"/>
  <c r="M62" i="1"/>
  <c r="M62" i="1" a="1"/>
  <c r="L62" i="1"/>
  <c r="K62" i="1"/>
  <c r="J62" i="1"/>
  <c r="I62" i="1"/>
  <c r="H62" i="1"/>
  <c r="G62" i="1"/>
  <c r="F62" i="1"/>
  <c r="E62" i="1"/>
  <c r="D62" i="1"/>
  <c r="C62" i="1"/>
  <c r="N62" i="1" s="1"/>
  <c r="B62" i="1"/>
  <c r="M61" i="1" a="1"/>
  <c r="M61" i="1" s="1"/>
  <c r="L61" i="1"/>
  <c r="K61" i="1"/>
  <c r="J61" i="1"/>
  <c r="I61" i="1"/>
  <c r="N61" i="1" s="1"/>
  <c r="H61" i="1"/>
  <c r="G61" i="1"/>
  <c r="S61" i="1" s="1"/>
  <c r="F61" i="1"/>
  <c r="E61" i="1"/>
  <c r="D61" i="1"/>
  <c r="C61" i="1"/>
  <c r="B61" i="1"/>
  <c r="M60" i="1" a="1"/>
  <c r="M60" i="1" s="1"/>
  <c r="N60" i="1" s="1"/>
  <c r="L60" i="1"/>
  <c r="K60" i="1"/>
  <c r="I60" i="1"/>
  <c r="H60" i="1"/>
  <c r="G60" i="1"/>
  <c r="F60" i="1"/>
  <c r="E60" i="1"/>
  <c r="D60" i="1"/>
  <c r="C60" i="1"/>
  <c r="B60" i="1"/>
  <c r="M59" i="1" a="1"/>
  <c r="M59" i="1" s="1"/>
  <c r="L59" i="1"/>
  <c r="K59" i="1"/>
  <c r="J59" i="1"/>
  <c r="I59" i="1"/>
  <c r="H59" i="1"/>
  <c r="G59" i="1"/>
  <c r="F59" i="1"/>
  <c r="E59" i="1"/>
  <c r="N59" i="1" s="1"/>
  <c r="D59" i="1"/>
  <c r="C59" i="1"/>
  <c r="B59" i="1"/>
  <c r="T58" i="1"/>
  <c r="M58" i="1"/>
  <c r="M58" i="1" a="1"/>
  <c r="L58" i="1"/>
  <c r="K58" i="1"/>
  <c r="J58" i="1"/>
  <c r="I58" i="1"/>
  <c r="N58" i="1" s="1"/>
  <c r="H58" i="1"/>
  <c r="G58" i="1"/>
  <c r="S58" i="1" s="1"/>
  <c r="F58" i="1"/>
  <c r="E58" i="1"/>
  <c r="D58" i="1"/>
  <c r="C58" i="1"/>
  <c r="B58" i="1"/>
  <c r="M57" i="1"/>
  <c r="N57" i="1" s="1"/>
  <c r="M57" i="1" a="1"/>
  <c r="L57" i="1"/>
  <c r="K57" i="1"/>
  <c r="J57" i="1"/>
  <c r="I57" i="1"/>
  <c r="H57" i="1"/>
  <c r="G57" i="1"/>
  <c r="F57" i="1"/>
  <c r="E57" i="1"/>
  <c r="D57" i="1"/>
  <c r="C57" i="1"/>
  <c r="B57" i="1"/>
  <c r="M56" i="1"/>
  <c r="M56" i="1" a="1"/>
  <c r="L56" i="1"/>
  <c r="K56" i="1"/>
  <c r="J56" i="1"/>
  <c r="I56" i="1"/>
  <c r="H56" i="1"/>
  <c r="G56" i="1"/>
  <c r="F56" i="1"/>
  <c r="E56" i="1"/>
  <c r="D56" i="1"/>
  <c r="C56" i="1"/>
  <c r="B56" i="1"/>
  <c r="M55" i="1" a="1"/>
  <c r="M55" i="1" s="1"/>
  <c r="L55" i="1"/>
  <c r="K55" i="1"/>
  <c r="J55" i="1"/>
  <c r="I55" i="1"/>
  <c r="N55" i="1" s="1"/>
  <c r="H55" i="1"/>
  <c r="G55" i="1"/>
  <c r="S55" i="1" s="1"/>
  <c r="F55" i="1"/>
  <c r="E55" i="1"/>
  <c r="D55" i="1"/>
  <c r="C55" i="1"/>
  <c r="B55" i="1"/>
  <c r="M54" i="1" a="1"/>
  <c r="M54" i="1" s="1"/>
  <c r="N54" i="1" s="1"/>
  <c r="L54" i="1"/>
  <c r="K54" i="1"/>
  <c r="J54" i="1"/>
  <c r="I54" i="1"/>
  <c r="H54" i="1"/>
  <c r="G54" i="1"/>
  <c r="F54" i="1"/>
  <c r="E54" i="1"/>
  <c r="D54" i="1"/>
  <c r="C54" i="1"/>
  <c r="B54" i="1"/>
  <c r="M53" i="1"/>
  <c r="M53" i="1" a="1"/>
  <c r="L53" i="1"/>
  <c r="K53" i="1"/>
  <c r="J53" i="1"/>
  <c r="I53" i="1"/>
  <c r="H53" i="1"/>
  <c r="G53" i="1"/>
  <c r="F53" i="1"/>
  <c r="E53" i="1"/>
  <c r="D53" i="1"/>
  <c r="C53" i="1"/>
  <c r="N53" i="1" s="1"/>
  <c r="B53" i="1"/>
  <c r="M52" i="1" a="1"/>
  <c r="M52" i="1" s="1"/>
  <c r="L52" i="1"/>
  <c r="K52" i="1"/>
  <c r="J52" i="1"/>
  <c r="I52" i="1"/>
  <c r="N52" i="1" s="1"/>
  <c r="H52" i="1"/>
  <c r="G52" i="1"/>
  <c r="F52" i="1"/>
  <c r="E52" i="1"/>
  <c r="D52" i="1"/>
  <c r="C52" i="1"/>
  <c r="B52" i="1"/>
  <c r="M51" i="1" a="1"/>
  <c r="M51" i="1" s="1"/>
  <c r="N51" i="1" s="1"/>
  <c r="L51" i="1"/>
  <c r="K51" i="1"/>
  <c r="J51" i="1"/>
  <c r="I51" i="1"/>
  <c r="H51" i="1"/>
  <c r="G51" i="1"/>
  <c r="F51" i="1"/>
  <c r="E51" i="1"/>
  <c r="D51" i="1"/>
  <c r="C51" i="1"/>
  <c r="B51" i="1"/>
  <c r="M50" i="1"/>
  <c r="N50" i="1" s="1"/>
  <c r="S50" i="1" s="1"/>
  <c r="M50" i="1" a="1"/>
  <c r="L50" i="1"/>
  <c r="K50" i="1"/>
  <c r="J50" i="1"/>
  <c r="I50" i="1"/>
  <c r="H50" i="1"/>
  <c r="G50" i="1"/>
  <c r="F50" i="1"/>
  <c r="T50" i="1" s="1"/>
  <c r="E50" i="1"/>
  <c r="D50" i="1"/>
  <c r="C50" i="1"/>
  <c r="B50" i="1"/>
  <c r="M49" i="1" a="1"/>
  <c r="M49" i="1" s="1"/>
  <c r="L49" i="1"/>
  <c r="K49" i="1"/>
  <c r="J49" i="1"/>
  <c r="I49" i="1"/>
  <c r="H49" i="1"/>
  <c r="G49" i="1"/>
  <c r="F49" i="1"/>
  <c r="E49" i="1"/>
  <c r="D49" i="1"/>
  <c r="C49" i="1"/>
  <c r="B49" i="1"/>
  <c r="M48" i="1" a="1"/>
  <c r="M48" i="1" s="1"/>
  <c r="N48" i="1" s="1"/>
  <c r="L48" i="1"/>
  <c r="K48" i="1"/>
  <c r="J48" i="1"/>
  <c r="I48" i="1"/>
  <c r="H48" i="1"/>
  <c r="G48" i="1"/>
  <c r="F48" i="1"/>
  <c r="E48" i="1"/>
  <c r="D48" i="1"/>
  <c r="C48" i="1"/>
  <c r="B48" i="1"/>
  <c r="N47" i="1"/>
  <c r="AC47" i="1" s="1"/>
  <c r="M47" i="1"/>
  <c r="M47" i="1" a="1"/>
  <c r="L47" i="1"/>
  <c r="K47" i="1"/>
  <c r="J47" i="1"/>
  <c r="I47" i="1"/>
  <c r="H47" i="1"/>
  <c r="G47" i="1"/>
  <c r="F47" i="1"/>
  <c r="E47" i="1"/>
  <c r="D47" i="1"/>
  <c r="C47" i="1"/>
  <c r="B47" i="1"/>
  <c r="M46" i="1"/>
  <c r="M46" i="1" a="1"/>
  <c r="L46" i="1"/>
  <c r="K46" i="1"/>
  <c r="J46" i="1"/>
  <c r="I46" i="1"/>
  <c r="N46" i="1" s="1"/>
  <c r="H46" i="1"/>
  <c r="G46" i="1"/>
  <c r="F46" i="1"/>
  <c r="E46" i="1"/>
  <c r="D46" i="1"/>
  <c r="C46" i="1"/>
  <c r="B46" i="1"/>
  <c r="AD45" i="1"/>
  <c r="AC45" i="1"/>
  <c r="M45" i="1"/>
  <c r="N45" i="1" s="1"/>
  <c r="M45" i="1" a="1"/>
  <c r="L45" i="1"/>
  <c r="K45" i="1"/>
  <c r="J45" i="1"/>
  <c r="I45" i="1"/>
  <c r="H45" i="1"/>
  <c r="G45" i="1"/>
  <c r="F45" i="1"/>
  <c r="E45" i="1"/>
  <c r="D45" i="1"/>
  <c r="C45" i="1"/>
  <c r="B45" i="1"/>
  <c r="M44" i="1"/>
  <c r="M44" i="1" a="1"/>
  <c r="L44" i="1"/>
  <c r="K44" i="1"/>
  <c r="J44" i="1"/>
  <c r="I44" i="1"/>
  <c r="H44" i="1"/>
  <c r="G44" i="1"/>
  <c r="F44" i="1"/>
  <c r="E44" i="1"/>
  <c r="D44" i="1"/>
  <c r="C44" i="1"/>
  <c r="B44" i="1"/>
  <c r="M43" i="1" a="1"/>
  <c r="M43" i="1" s="1"/>
  <c r="L43" i="1"/>
  <c r="K43" i="1"/>
  <c r="I43" i="1"/>
  <c r="H43" i="1"/>
  <c r="G43" i="1"/>
  <c r="F43" i="1"/>
  <c r="E43" i="1"/>
  <c r="D43" i="1"/>
  <c r="C43" i="1"/>
  <c r="B43" i="1"/>
  <c r="M42" i="1" a="1"/>
  <c r="M42" i="1" s="1"/>
  <c r="N42" i="1" s="1"/>
  <c r="L42" i="1"/>
  <c r="K42" i="1"/>
  <c r="J42" i="1"/>
  <c r="I42" i="1"/>
  <c r="H42" i="1"/>
  <c r="G42" i="1"/>
  <c r="F42" i="1"/>
  <c r="E42" i="1"/>
  <c r="D42" i="1"/>
  <c r="C42" i="1"/>
  <c r="B42" i="1"/>
  <c r="M41" i="1" a="1"/>
  <c r="M41" i="1" s="1"/>
  <c r="L41" i="1"/>
  <c r="K41" i="1"/>
  <c r="J41" i="1"/>
  <c r="I41" i="1"/>
  <c r="H41" i="1"/>
  <c r="G41" i="1"/>
  <c r="F41" i="1"/>
  <c r="E41" i="1"/>
  <c r="D41" i="1"/>
  <c r="C41" i="1"/>
  <c r="B41" i="1"/>
  <c r="M40" i="1" a="1"/>
  <c r="M40" i="1" s="1"/>
  <c r="L40" i="1"/>
  <c r="K40" i="1"/>
  <c r="J40" i="1"/>
  <c r="I40" i="1"/>
  <c r="H40" i="1"/>
  <c r="G40" i="1"/>
  <c r="F40" i="1"/>
  <c r="E40" i="1"/>
  <c r="D40" i="1"/>
  <c r="C40" i="1"/>
  <c r="B40" i="1"/>
  <c r="AD39" i="1"/>
  <c r="M39" i="1" a="1"/>
  <c r="M39" i="1" s="1"/>
  <c r="L39" i="1"/>
  <c r="K39" i="1"/>
  <c r="J39" i="1"/>
  <c r="I39" i="1"/>
  <c r="N39" i="1" s="1"/>
  <c r="H39" i="1"/>
  <c r="G39" i="1"/>
  <c r="F39" i="1"/>
  <c r="T39" i="1" s="1"/>
  <c r="E39" i="1"/>
  <c r="D39" i="1"/>
  <c r="C39" i="1"/>
  <c r="B39" i="1"/>
  <c r="M38" i="1"/>
  <c r="N38" i="1" s="1"/>
  <c r="M38" i="1" a="1"/>
  <c r="L38" i="1"/>
  <c r="K38" i="1"/>
  <c r="J38" i="1"/>
  <c r="I38" i="1"/>
  <c r="H38" i="1"/>
  <c r="G38" i="1"/>
  <c r="F38" i="1"/>
  <c r="E38" i="1"/>
  <c r="D38" i="1"/>
  <c r="C38" i="1"/>
  <c r="B38" i="1"/>
  <c r="M37" i="1" a="1"/>
  <c r="M37" i="1" s="1"/>
  <c r="L37" i="1"/>
  <c r="K37" i="1"/>
  <c r="J37" i="1"/>
  <c r="I37" i="1"/>
  <c r="N37" i="1" s="1"/>
  <c r="H37" i="1"/>
  <c r="G37" i="1"/>
  <c r="F37" i="1"/>
  <c r="E37" i="1"/>
  <c r="D37" i="1"/>
  <c r="C37" i="1"/>
  <c r="B37" i="1"/>
  <c r="M36" i="1" a="1"/>
  <c r="M36" i="1" s="1"/>
  <c r="L36" i="1"/>
  <c r="K36" i="1"/>
  <c r="J36" i="1"/>
  <c r="I36" i="1"/>
  <c r="H36" i="1"/>
  <c r="G36" i="1"/>
  <c r="F36" i="1"/>
  <c r="E36" i="1"/>
  <c r="D36" i="1"/>
  <c r="C36" i="1"/>
  <c r="B36" i="1"/>
  <c r="M35" i="1" a="1"/>
  <c r="M35" i="1" s="1"/>
  <c r="N35" i="1" s="1"/>
  <c r="L35" i="1"/>
  <c r="K35" i="1"/>
  <c r="J35" i="1"/>
  <c r="I35" i="1"/>
  <c r="H35" i="1"/>
  <c r="G35" i="1"/>
  <c r="F35" i="1"/>
  <c r="E35" i="1"/>
  <c r="D35" i="1"/>
  <c r="C35" i="1"/>
  <c r="B35" i="1"/>
  <c r="M34" i="1"/>
  <c r="M34" i="1" a="1"/>
  <c r="L34" i="1"/>
  <c r="K34" i="1"/>
  <c r="J34" i="1"/>
  <c r="I34" i="1"/>
  <c r="N34" i="1" s="1"/>
  <c r="H34" i="1"/>
  <c r="G34" i="1"/>
  <c r="S34" i="1" s="1"/>
  <c r="F34" i="1"/>
  <c r="E34" i="1"/>
  <c r="D34" i="1"/>
  <c r="C34" i="1"/>
  <c r="B34" i="1"/>
  <c r="M33" i="1" a="1"/>
  <c r="M33" i="1" s="1"/>
  <c r="L33" i="1"/>
  <c r="K33" i="1"/>
  <c r="J33" i="1"/>
  <c r="I33" i="1"/>
  <c r="H33" i="1"/>
  <c r="G33" i="1"/>
  <c r="F33" i="1"/>
  <c r="E33" i="1"/>
  <c r="D33" i="1"/>
  <c r="C33" i="1"/>
  <c r="B33" i="1"/>
  <c r="M32" i="1" a="1"/>
  <c r="M32" i="1" s="1"/>
  <c r="L32" i="1"/>
  <c r="K32" i="1"/>
  <c r="J32" i="1"/>
  <c r="I32" i="1"/>
  <c r="H32" i="1"/>
  <c r="G32" i="1"/>
  <c r="F32" i="1"/>
  <c r="E32" i="1"/>
  <c r="D32" i="1"/>
  <c r="C32" i="1"/>
  <c r="B32" i="1"/>
  <c r="M31" i="1" a="1"/>
  <c r="M31" i="1" s="1"/>
  <c r="N31" i="1" s="1"/>
  <c r="L31" i="1"/>
  <c r="K31" i="1"/>
  <c r="J31" i="1"/>
  <c r="I31" i="1"/>
  <c r="H31" i="1"/>
  <c r="G31" i="1"/>
  <c r="F31" i="1"/>
  <c r="E31" i="1"/>
  <c r="D31" i="1"/>
  <c r="C31" i="1"/>
  <c r="B31" i="1"/>
  <c r="M30" i="1" a="1"/>
  <c r="M30" i="1" s="1"/>
  <c r="L30" i="1"/>
  <c r="K30" i="1"/>
  <c r="J30" i="1"/>
  <c r="I30" i="1"/>
  <c r="N30" i="1" s="1"/>
  <c r="H30" i="1"/>
  <c r="G30" i="1"/>
  <c r="F30" i="1"/>
  <c r="E30" i="1"/>
  <c r="D30" i="1"/>
  <c r="C30" i="1"/>
  <c r="B30" i="1"/>
  <c r="M29" i="1" a="1"/>
  <c r="M29" i="1" s="1"/>
  <c r="N29" i="1" s="1"/>
  <c r="L29" i="1"/>
  <c r="K29" i="1"/>
  <c r="J29" i="1"/>
  <c r="I29" i="1"/>
  <c r="H29" i="1"/>
  <c r="G29" i="1"/>
  <c r="F29" i="1"/>
  <c r="E29" i="1"/>
  <c r="D29" i="1"/>
  <c r="C29" i="1"/>
  <c r="B29" i="1"/>
  <c r="M28" i="1"/>
  <c r="M28" i="1" a="1"/>
  <c r="L28" i="1"/>
  <c r="K28" i="1"/>
  <c r="I28" i="1"/>
  <c r="H28" i="1"/>
  <c r="G28" i="1"/>
  <c r="F28" i="1"/>
  <c r="E28" i="1"/>
  <c r="D28" i="1"/>
  <c r="C28" i="1"/>
  <c r="B28" i="1"/>
  <c r="AC27" i="1"/>
  <c r="M27" i="1" a="1"/>
  <c r="M27" i="1" s="1"/>
  <c r="L27" i="1"/>
  <c r="K27" i="1"/>
  <c r="J27" i="1"/>
  <c r="I27" i="1"/>
  <c r="N27" i="1" s="1"/>
  <c r="H27" i="1"/>
  <c r="G27" i="1"/>
  <c r="S27" i="1" s="1"/>
  <c r="F27" i="1"/>
  <c r="E27" i="1"/>
  <c r="D27" i="1"/>
  <c r="C27" i="1"/>
  <c r="B27" i="1"/>
  <c r="M26" i="1" a="1"/>
  <c r="M26" i="1" s="1"/>
  <c r="N26" i="1" s="1"/>
  <c r="L26" i="1"/>
  <c r="K26" i="1"/>
  <c r="J26" i="1"/>
  <c r="I26" i="1"/>
  <c r="H26" i="1"/>
  <c r="G26" i="1"/>
  <c r="F26" i="1"/>
  <c r="E26" i="1"/>
  <c r="D26" i="1"/>
  <c r="C26" i="1"/>
  <c r="B26" i="1"/>
  <c r="M25" i="1" a="1"/>
  <c r="M25" i="1" s="1"/>
  <c r="L25" i="1"/>
  <c r="K25" i="1"/>
  <c r="J25" i="1"/>
  <c r="I25" i="1"/>
  <c r="N25" i="1" s="1"/>
  <c r="H25" i="1"/>
  <c r="G25" i="1"/>
  <c r="S25" i="1" s="1"/>
  <c r="F25" i="1"/>
  <c r="T25" i="1" s="1"/>
  <c r="E25" i="1"/>
  <c r="D25" i="1"/>
  <c r="C25" i="1"/>
  <c r="B25" i="1"/>
  <c r="M24" i="1" a="1"/>
  <c r="M24" i="1" s="1"/>
  <c r="L24" i="1"/>
  <c r="K24" i="1"/>
  <c r="J24" i="1"/>
  <c r="I24" i="1"/>
  <c r="H24" i="1"/>
  <c r="G24" i="1"/>
  <c r="F24" i="1"/>
  <c r="E24" i="1"/>
  <c r="D24" i="1"/>
  <c r="C24" i="1"/>
  <c r="B24" i="1"/>
  <c r="M23" i="1" a="1"/>
  <c r="M23" i="1" s="1"/>
  <c r="N23" i="1" s="1"/>
  <c r="L23" i="1"/>
  <c r="K23" i="1"/>
  <c r="J23" i="1"/>
  <c r="I23" i="1"/>
  <c r="H23" i="1"/>
  <c r="G23" i="1"/>
  <c r="F23" i="1"/>
  <c r="E23" i="1"/>
  <c r="D23" i="1"/>
  <c r="C23" i="1"/>
  <c r="B23" i="1"/>
  <c r="M22" i="1"/>
  <c r="M22" i="1" a="1"/>
  <c r="L22" i="1"/>
  <c r="K22" i="1"/>
  <c r="I22" i="1"/>
  <c r="H22" i="1"/>
  <c r="G22" i="1"/>
  <c r="F22" i="1"/>
  <c r="E22" i="1"/>
  <c r="D22" i="1"/>
  <c r="C22" i="1"/>
  <c r="B22" i="1"/>
  <c r="M21" i="1" a="1"/>
  <c r="M21" i="1" s="1"/>
  <c r="L21" i="1"/>
  <c r="K21" i="1"/>
  <c r="J21" i="1"/>
  <c r="I21" i="1"/>
  <c r="N21" i="1" s="1"/>
  <c r="H21" i="1"/>
  <c r="G21" i="1"/>
  <c r="F21" i="1"/>
  <c r="E21" i="1"/>
  <c r="D21" i="1"/>
  <c r="C21" i="1"/>
  <c r="B21" i="1"/>
  <c r="M20" i="1" a="1"/>
  <c r="M20" i="1" s="1"/>
  <c r="L20" i="1"/>
  <c r="K20" i="1"/>
  <c r="J20" i="1"/>
  <c r="I20" i="1"/>
  <c r="H20" i="1"/>
  <c r="G20" i="1"/>
  <c r="F20" i="1"/>
  <c r="E20" i="1"/>
  <c r="D20" i="1"/>
  <c r="C20" i="1"/>
  <c r="B20" i="1"/>
  <c r="M19" i="1" a="1"/>
  <c r="M19" i="1" s="1"/>
  <c r="L19" i="1"/>
  <c r="K19" i="1"/>
  <c r="J19" i="1"/>
  <c r="I19" i="1"/>
  <c r="H19" i="1"/>
  <c r="G19" i="1"/>
  <c r="F19" i="1"/>
  <c r="E19" i="1"/>
  <c r="D19" i="1"/>
  <c r="C19" i="1"/>
  <c r="B19" i="1"/>
  <c r="M18" i="1" a="1"/>
  <c r="M18" i="1" s="1"/>
  <c r="L18" i="1"/>
  <c r="K18" i="1"/>
  <c r="J18" i="1"/>
  <c r="I18" i="1"/>
  <c r="N18" i="1" s="1"/>
  <c r="H18" i="1"/>
  <c r="G18" i="1"/>
  <c r="F18" i="1"/>
  <c r="E18" i="1"/>
  <c r="D18" i="1"/>
  <c r="C18" i="1"/>
  <c r="B18" i="1"/>
  <c r="M17" i="1"/>
  <c r="N17" i="1" s="1"/>
  <c r="M17" i="1" a="1"/>
  <c r="L17" i="1"/>
  <c r="K17" i="1"/>
  <c r="J17" i="1"/>
  <c r="I17" i="1"/>
  <c r="H17" i="1"/>
  <c r="G17" i="1"/>
  <c r="F17" i="1"/>
  <c r="E17" i="1"/>
  <c r="D17" i="1"/>
  <c r="C17" i="1"/>
  <c r="B17" i="1"/>
  <c r="M16" i="1"/>
  <c r="M16" i="1" a="1"/>
  <c r="L16" i="1"/>
  <c r="K16" i="1"/>
  <c r="J16" i="1"/>
  <c r="I16" i="1"/>
  <c r="H16" i="1"/>
  <c r="G16" i="1"/>
  <c r="F16" i="1"/>
  <c r="E16" i="1"/>
  <c r="D16" i="1"/>
  <c r="C16" i="1"/>
  <c r="B16" i="1"/>
  <c r="M15" i="1" a="1"/>
  <c r="M15" i="1" s="1"/>
  <c r="L15" i="1"/>
  <c r="K15" i="1"/>
  <c r="J15" i="1"/>
  <c r="I15" i="1"/>
  <c r="N15" i="1" s="1"/>
  <c r="AC15" i="1" s="1"/>
  <c r="H15" i="1"/>
  <c r="G15" i="1"/>
  <c r="F15" i="1"/>
  <c r="E15" i="1"/>
  <c r="D15" i="1"/>
  <c r="C15" i="1"/>
  <c r="B15" i="1"/>
  <c r="M14" i="1" a="1"/>
  <c r="M14" i="1" s="1"/>
  <c r="N14" i="1" s="1"/>
  <c r="L14" i="1"/>
  <c r="K14" i="1"/>
  <c r="J14" i="1"/>
  <c r="I14" i="1"/>
  <c r="H14" i="1"/>
  <c r="G14" i="1"/>
  <c r="F14" i="1"/>
  <c r="E14" i="1"/>
  <c r="D14" i="1"/>
  <c r="C14" i="1"/>
  <c r="B14" i="1"/>
  <c r="M13" i="1"/>
  <c r="M13" i="1" a="1"/>
  <c r="L13" i="1"/>
  <c r="K13" i="1"/>
  <c r="I13" i="1"/>
  <c r="H13" i="1"/>
  <c r="G13" i="1"/>
  <c r="F13" i="1"/>
  <c r="E13" i="1"/>
  <c r="D13" i="1"/>
  <c r="C13" i="1"/>
  <c r="B13" i="1"/>
  <c r="M12" i="1" a="1"/>
  <c r="M12" i="1" s="1"/>
  <c r="L12" i="1"/>
  <c r="K12" i="1"/>
  <c r="J12" i="1"/>
  <c r="I12" i="1"/>
  <c r="H12" i="1"/>
  <c r="G12" i="1"/>
  <c r="F12" i="1"/>
  <c r="E12" i="1"/>
  <c r="D12" i="1"/>
  <c r="C12" i="1"/>
  <c r="B12" i="1"/>
  <c r="M11" i="1" a="1"/>
  <c r="M11" i="1" s="1"/>
  <c r="N11" i="1" s="1"/>
  <c r="L11" i="1"/>
  <c r="K11" i="1"/>
  <c r="J11" i="1"/>
  <c r="I11" i="1"/>
  <c r="H11" i="1"/>
  <c r="G11" i="1"/>
  <c r="F11" i="1"/>
  <c r="E11" i="1"/>
  <c r="D11" i="1"/>
  <c r="C11" i="1"/>
  <c r="B11" i="1"/>
  <c r="M10" i="1"/>
  <c r="M10" i="1" a="1"/>
  <c r="L10" i="1"/>
  <c r="K10" i="1"/>
  <c r="J10" i="1"/>
  <c r="I10" i="1"/>
  <c r="H10" i="1"/>
  <c r="G10" i="1"/>
  <c r="F10" i="1"/>
  <c r="E10" i="1"/>
  <c r="D10" i="1"/>
  <c r="C10" i="1"/>
  <c r="B10" i="1"/>
  <c r="M9" i="1" a="1"/>
  <c r="M9" i="1" s="1"/>
  <c r="L9" i="1"/>
  <c r="K9" i="1"/>
  <c r="J9" i="1"/>
  <c r="I9" i="1"/>
  <c r="H9" i="1"/>
  <c r="G9" i="1"/>
  <c r="F9" i="1"/>
  <c r="E9" i="1"/>
  <c r="D9" i="1"/>
  <c r="C9" i="1"/>
  <c r="B9" i="1"/>
  <c r="M8" i="1"/>
  <c r="M8" i="1" a="1"/>
  <c r="L8" i="1"/>
  <c r="K8" i="1"/>
  <c r="J8" i="1"/>
  <c r="I8" i="1"/>
  <c r="H8" i="1"/>
  <c r="G8" i="1"/>
  <c r="F8" i="1"/>
  <c r="E8" i="1"/>
  <c r="D8" i="1"/>
  <c r="C8" i="1"/>
  <c r="B8" i="1"/>
  <c r="M7" i="1"/>
  <c r="M7" i="1" a="1"/>
  <c r="L7" i="1"/>
  <c r="K7" i="1"/>
  <c r="J7" i="1"/>
  <c r="I7" i="1"/>
  <c r="H7" i="1"/>
  <c r="G7" i="1"/>
  <c r="F7" i="1"/>
  <c r="E7" i="1"/>
  <c r="D7" i="1"/>
  <c r="C7" i="1"/>
  <c r="B7" i="1"/>
  <c r="M6" i="1" a="1"/>
  <c r="M6" i="1" s="1"/>
  <c r="L6" i="1"/>
  <c r="K6" i="1"/>
  <c r="I6" i="1"/>
  <c r="H6" i="1"/>
  <c r="G6" i="1"/>
  <c r="F6" i="1"/>
  <c r="E6" i="1"/>
  <c r="D6" i="1"/>
  <c r="C6" i="1"/>
  <c r="B6" i="1"/>
  <c r="M5" i="1" a="1"/>
  <c r="M5" i="1" s="1"/>
  <c r="N5" i="1" s="1"/>
  <c r="L5" i="1"/>
  <c r="K5" i="1"/>
  <c r="J5" i="1"/>
  <c r="I5" i="1"/>
  <c r="H5" i="1"/>
  <c r="G5" i="1"/>
  <c r="F5" i="1"/>
  <c r="E5" i="1"/>
  <c r="D5" i="1"/>
  <c r="C5" i="1"/>
  <c r="B5" i="1"/>
  <c r="M4" i="1"/>
  <c r="M4" i="1" a="1"/>
  <c r="L4" i="1"/>
  <c r="K4" i="1"/>
  <c r="J4" i="1"/>
  <c r="I4" i="1"/>
  <c r="H4" i="1"/>
  <c r="G4" i="1"/>
  <c r="F4" i="1"/>
  <c r="E4" i="1"/>
  <c r="D4" i="1"/>
  <c r="C4" i="1"/>
  <c r="B4" i="1"/>
  <c r="M3" i="1" a="1"/>
  <c r="M3" i="1" s="1"/>
  <c r="L3" i="1"/>
  <c r="K3" i="1"/>
  <c r="I3" i="1"/>
  <c r="H3" i="1"/>
  <c r="G3" i="1"/>
  <c r="F3" i="1"/>
  <c r="E3" i="1"/>
  <c r="D3" i="1"/>
  <c r="C3" i="1"/>
  <c r="B3" i="1"/>
  <c r="AL1" i="1"/>
  <c r="AJ1" i="1"/>
  <c r="AH1" i="1"/>
  <c r="AF1" i="1"/>
  <c r="S29" i="1" l="1"/>
  <c r="R29" i="1" s="1"/>
  <c r="AD29" i="1"/>
  <c r="AC29" i="1"/>
  <c r="T35" i="1"/>
  <c r="AC35" i="1"/>
  <c r="AD35" i="1"/>
  <c r="R35" i="1"/>
  <c r="AC167" i="1"/>
  <c r="AD167" i="1"/>
  <c r="S167" i="1"/>
  <c r="R167" i="1" s="1"/>
  <c r="S38" i="1"/>
  <c r="AC38" i="1"/>
  <c r="AD38" i="1"/>
  <c r="R38" i="1"/>
  <c r="AD111" i="1"/>
  <c r="AC111" i="1"/>
  <c r="S111" i="1"/>
  <c r="R111" i="1"/>
  <c r="AD172" i="1"/>
  <c r="AC172" i="1"/>
  <c r="S172" i="1"/>
  <c r="R172" i="1" s="1"/>
  <c r="S115" i="1"/>
  <c r="AD115" i="1"/>
  <c r="AC115" i="1"/>
  <c r="T121" i="1"/>
  <c r="R121" i="1" s="1"/>
  <c r="AD121" i="1"/>
  <c r="AC121" i="1"/>
  <c r="AD178" i="1"/>
  <c r="T178" i="1"/>
  <c r="AC178" i="1"/>
  <c r="S178" i="1"/>
  <c r="S145" i="1"/>
  <c r="R145" i="1"/>
  <c r="AD145" i="1"/>
  <c r="AC145" i="1"/>
  <c r="S250" i="1"/>
  <c r="AC59" i="1"/>
  <c r="AD59" i="1"/>
  <c r="R59" i="1"/>
  <c r="T59" i="1"/>
  <c r="T62" i="1"/>
  <c r="T183" i="1"/>
  <c r="AD183" i="1"/>
  <c r="AC183" i="1"/>
  <c r="R183" i="1"/>
  <c r="Q183" i="1"/>
  <c r="T415" i="1"/>
  <c r="AC415" i="1"/>
  <c r="Q415" i="1"/>
  <c r="AD415" i="1"/>
  <c r="R415" i="1"/>
  <c r="S100" i="1"/>
  <c r="R100" i="1" s="1"/>
  <c r="AD100" i="1"/>
  <c r="AC100" i="1"/>
  <c r="AD222" i="1"/>
  <c r="AC222" i="1"/>
  <c r="S222" i="1"/>
  <c r="R222" i="1" s="1"/>
  <c r="T11" i="1"/>
  <c r="AD11" i="1"/>
  <c r="AC11" i="1"/>
  <c r="S14" i="1"/>
  <c r="AC14" i="1"/>
  <c r="AD14" i="1"/>
  <c r="AC48" i="1"/>
  <c r="S48" i="1"/>
  <c r="R48" i="1" s="1"/>
  <c r="AD48" i="1"/>
  <c r="S84" i="1"/>
  <c r="R84" i="1" s="1"/>
  <c r="AC84" i="1"/>
  <c r="AD84" i="1"/>
  <c r="S87" i="1"/>
  <c r="AD87" i="1"/>
  <c r="AC87" i="1"/>
  <c r="AD96" i="1"/>
  <c r="AC96" i="1"/>
  <c r="S96" i="1"/>
  <c r="T103" i="1"/>
  <c r="R103" i="1"/>
  <c r="Q103" i="1" s="1"/>
  <c r="AD103" i="1"/>
  <c r="AC103" i="1"/>
  <c r="AC157" i="1"/>
  <c r="AD157" i="1"/>
  <c r="S157" i="1"/>
  <c r="AD158" i="1"/>
  <c r="AC158" i="1"/>
  <c r="AD210" i="1"/>
  <c r="AC210" i="1"/>
  <c r="AD573" i="1"/>
  <c r="Q573" i="1"/>
  <c r="AC573" i="1"/>
  <c r="S573" i="1"/>
  <c r="R573" i="1"/>
  <c r="AD53" i="1"/>
  <c r="AC53" i="1"/>
  <c r="S53" i="1"/>
  <c r="S80" i="1"/>
  <c r="T109" i="1"/>
  <c r="AD109" i="1"/>
  <c r="AC109" i="1"/>
  <c r="AC461" i="1"/>
  <c r="AD461" i="1"/>
  <c r="S461" i="1"/>
  <c r="Q461" i="1"/>
  <c r="S112" i="1"/>
  <c r="R112" i="1" s="1"/>
  <c r="AD112" i="1"/>
  <c r="AC112" i="1"/>
  <c r="AI148" i="1"/>
  <c r="Z148" i="1"/>
  <c r="Y148" i="1"/>
  <c r="AA148" i="1" s="1"/>
  <c r="AK148" i="1"/>
  <c r="AG148" i="1"/>
  <c r="AE148" i="1"/>
  <c r="X148" i="1"/>
  <c r="V148" i="1"/>
  <c r="AB148" i="1" s="1" a="1"/>
  <c r="AB148" i="1" s="1"/>
  <c r="AC151" i="1"/>
  <c r="S151" i="1"/>
  <c r="R151" i="1" s="1"/>
  <c r="AD151" i="1"/>
  <c r="AD170" i="1"/>
  <c r="AC170" i="1"/>
  <c r="AC305" i="1"/>
  <c r="AD305" i="1"/>
  <c r="S305" i="1"/>
  <c r="R305" i="1"/>
  <c r="Q305" i="1"/>
  <c r="AC366" i="1"/>
  <c r="AD366" i="1"/>
  <c r="S366" i="1"/>
  <c r="Q366" i="1"/>
  <c r="T266" i="1"/>
  <c r="Q266" i="1"/>
  <c r="AC266" i="1"/>
  <c r="AD266" i="1"/>
  <c r="R266" i="1"/>
  <c r="Q324" i="1"/>
  <c r="AD324" i="1"/>
  <c r="AC324" i="1"/>
  <c r="T324" i="1"/>
  <c r="T53" i="1"/>
  <c r="T63" i="1"/>
  <c r="S63" i="1"/>
  <c r="AD63" i="1"/>
  <c r="AC63" i="1"/>
  <c r="S176" i="1"/>
  <c r="AD176" i="1"/>
  <c r="AC176" i="1"/>
  <c r="R176" i="1"/>
  <c r="Q176" i="1"/>
  <c r="AD561" i="1"/>
  <c r="Q561" i="1"/>
  <c r="S561" i="1"/>
  <c r="R561" i="1"/>
  <c r="AC561" i="1"/>
  <c r="S66" i="1"/>
  <c r="AC66" i="1"/>
  <c r="AD66" i="1"/>
  <c r="T108" i="1"/>
  <c r="S122" i="1"/>
  <c r="R122" i="1" s="1"/>
  <c r="AD122" i="1"/>
  <c r="AC122" i="1"/>
  <c r="Q542" i="1"/>
  <c r="AD542" i="1"/>
  <c r="AC542" i="1"/>
  <c r="S69" i="1"/>
  <c r="R69" i="1" s="1"/>
  <c r="AC69" i="1"/>
  <c r="AD69" i="1"/>
  <c r="S108" i="1"/>
  <c r="T111" i="1"/>
  <c r="AD125" i="1"/>
  <c r="AC125" i="1"/>
  <c r="S125" i="1"/>
  <c r="R125" i="1" s="1"/>
  <c r="Q125" i="1"/>
  <c r="AC180" i="1"/>
  <c r="AD180" i="1"/>
  <c r="T180" i="1"/>
  <c r="R180" i="1"/>
  <c r="S320" i="1"/>
  <c r="Q442" i="1"/>
  <c r="AD442" i="1"/>
  <c r="AC442" i="1"/>
  <c r="S442" i="1"/>
  <c r="S75" i="1"/>
  <c r="R75" i="1" s="1"/>
  <c r="Q75" i="1"/>
  <c r="AD75" i="1"/>
  <c r="AC75" i="1"/>
  <c r="S78" i="1"/>
  <c r="AD78" i="1"/>
  <c r="AC78" i="1"/>
  <c r="AC97" i="1"/>
  <c r="T97" i="1"/>
  <c r="AD97" i="1"/>
  <c r="AD179" i="1"/>
  <c r="T179" i="1"/>
  <c r="R179" i="1" s="1"/>
  <c r="AC179" i="1"/>
  <c r="AC294" i="1"/>
  <c r="AD294" i="1"/>
  <c r="S294" i="1"/>
  <c r="Q294" i="1"/>
  <c r="Q410" i="1"/>
  <c r="AD410" i="1"/>
  <c r="AC410" i="1"/>
  <c r="T410" i="1"/>
  <c r="Q466" i="1"/>
  <c r="AD466" i="1"/>
  <c r="AC466" i="1"/>
  <c r="T5" i="1"/>
  <c r="R5" i="1"/>
  <c r="AD5" i="1"/>
  <c r="AC5" i="1"/>
  <c r="AC126" i="1"/>
  <c r="S126" i="1"/>
  <c r="R126" i="1"/>
  <c r="Q126" i="1"/>
  <c r="AD126" i="1"/>
  <c r="T209" i="1"/>
  <c r="R209" i="1"/>
  <c r="AD209" i="1"/>
  <c r="AC209" i="1"/>
  <c r="S209" i="1"/>
  <c r="T275" i="1"/>
  <c r="R275" i="1"/>
  <c r="AC275" i="1"/>
  <c r="AD275" i="1"/>
  <c r="Q275" i="1"/>
  <c r="AD426" i="1"/>
  <c r="AC426" i="1"/>
  <c r="Q426" i="1"/>
  <c r="T426" i="1"/>
  <c r="AD129" i="1"/>
  <c r="AC129" i="1"/>
  <c r="S129" i="1"/>
  <c r="R129" i="1"/>
  <c r="Q129" i="1"/>
  <c r="T223" i="1"/>
  <c r="AD223" i="1"/>
  <c r="AC223" i="1"/>
  <c r="R223" i="1"/>
  <c r="S382" i="1"/>
  <c r="AC382" i="1"/>
  <c r="AD382" i="1"/>
  <c r="R382" i="1"/>
  <c r="Q382" i="1"/>
  <c r="S51" i="1"/>
  <c r="AC51" i="1"/>
  <c r="AD51" i="1"/>
  <c r="AD102" i="1"/>
  <c r="AC102" i="1"/>
  <c r="R102" i="1"/>
  <c r="Q102" i="1"/>
  <c r="S102" i="1"/>
  <c r="AC281" i="1"/>
  <c r="T281" i="1"/>
  <c r="AD281" i="1"/>
  <c r="Q281" i="1"/>
  <c r="AD373" i="1"/>
  <c r="Q373" i="1"/>
  <c r="S373" i="1"/>
  <c r="R373" i="1"/>
  <c r="AC373" i="1"/>
  <c r="Q401" i="1"/>
  <c r="AC401" i="1"/>
  <c r="AD401" i="1"/>
  <c r="T401" i="1"/>
  <c r="AD492" i="1"/>
  <c r="AC492" i="1"/>
  <c r="S492" i="1"/>
  <c r="Q492" i="1"/>
  <c r="R492" i="1"/>
  <c r="R57" i="1"/>
  <c r="S57" i="1"/>
  <c r="AD57" i="1"/>
  <c r="AC57" i="1"/>
  <c r="Q168" i="1"/>
  <c r="T168" i="1"/>
  <c r="AD168" i="1"/>
  <c r="AC168" i="1"/>
  <c r="J60" i="1"/>
  <c r="S60" i="1"/>
  <c r="Q60" i="1"/>
  <c r="R60" i="1"/>
  <c r="AD60" i="1"/>
  <c r="AC60" i="1"/>
  <c r="S93" i="1"/>
  <c r="AC93" i="1"/>
  <c r="R93" i="1"/>
  <c r="AD93" i="1"/>
  <c r="AC173" i="1"/>
  <c r="S173" i="1"/>
  <c r="AD173" i="1"/>
  <c r="S114" i="1"/>
  <c r="R114" i="1" s="1"/>
  <c r="AD114" i="1"/>
  <c r="AC114" i="1"/>
  <c r="AD62" i="1"/>
  <c r="AC62" i="1"/>
  <c r="S62" i="1"/>
  <c r="R62" i="1" s="1"/>
  <c r="S200" i="1"/>
  <c r="AD200" i="1"/>
  <c r="AC200" i="1"/>
  <c r="AD65" i="1"/>
  <c r="AC65" i="1"/>
  <c r="R65" i="1"/>
  <c r="T65" i="1"/>
  <c r="AC143" i="1"/>
  <c r="T143" i="1"/>
  <c r="AD143" i="1"/>
  <c r="S181" i="1"/>
  <c r="AD181" i="1"/>
  <c r="AC181" i="1"/>
  <c r="S72" i="1"/>
  <c r="R72" i="1"/>
  <c r="AD72" i="1"/>
  <c r="AC72" i="1"/>
  <c r="R205" i="1"/>
  <c r="AD205" i="1"/>
  <c r="AC205" i="1"/>
  <c r="Q205" i="1"/>
  <c r="T205" i="1"/>
  <c r="S370" i="1"/>
  <c r="AC370" i="1"/>
  <c r="AD370" i="1"/>
  <c r="R370" i="1"/>
  <c r="Q370" i="1"/>
  <c r="R131" i="1"/>
  <c r="S131" i="1"/>
  <c r="AD131" i="1"/>
  <c r="AC131" i="1"/>
  <c r="S17" i="1"/>
  <c r="AD17" i="1"/>
  <c r="AC17" i="1"/>
  <c r="T23" i="1"/>
  <c r="AC23" i="1"/>
  <c r="AD23" i="1"/>
  <c r="S26" i="1"/>
  <c r="R26" i="1" s="1"/>
  <c r="AD26" i="1"/>
  <c r="AC26" i="1"/>
  <c r="T54" i="1"/>
  <c r="AD54" i="1"/>
  <c r="AC54" i="1"/>
  <c r="AC90" i="1"/>
  <c r="T90" i="1"/>
  <c r="R90" i="1" s="1"/>
  <c r="AD90" i="1"/>
  <c r="S90" i="1"/>
  <c r="T129" i="1"/>
  <c r="T134" i="1"/>
  <c r="AD134" i="1"/>
  <c r="AC134" i="1"/>
  <c r="R134" i="1"/>
  <c r="AC135" i="1"/>
  <c r="S135" i="1"/>
  <c r="AD135" i="1"/>
  <c r="R135" i="1"/>
  <c r="S136" i="1"/>
  <c r="R136" i="1"/>
  <c r="AD136" i="1"/>
  <c r="AC136" i="1"/>
  <c r="S160" i="1"/>
  <c r="AD160" i="1"/>
  <c r="AC160" i="1"/>
  <c r="T264" i="1"/>
  <c r="AC264" i="1"/>
  <c r="AD264" i="1"/>
  <c r="Q264" i="1"/>
  <c r="AD319" i="1"/>
  <c r="Q319" i="1"/>
  <c r="S319" i="1"/>
  <c r="R319" i="1"/>
  <c r="AC319" i="1"/>
  <c r="AD417" i="1"/>
  <c r="AC417" i="1"/>
  <c r="T417" i="1"/>
  <c r="R417" i="1"/>
  <c r="Q417" i="1"/>
  <c r="Q475" i="1"/>
  <c r="AD475" i="1"/>
  <c r="AC475" i="1"/>
  <c r="AC31" i="1"/>
  <c r="AD31" i="1"/>
  <c r="T57" i="1"/>
  <c r="S67" i="1"/>
  <c r="AD67" i="1"/>
  <c r="AC67" i="1"/>
  <c r="R101" i="1"/>
  <c r="T101" i="1"/>
  <c r="AD116" i="1"/>
  <c r="S116" i="1"/>
  <c r="R116" i="1" s="1"/>
  <c r="AC116" i="1"/>
  <c r="AC142" i="1"/>
  <c r="AD142" i="1"/>
  <c r="AD155" i="1"/>
  <c r="AC155" i="1"/>
  <c r="AD188" i="1"/>
  <c r="AC188" i="1"/>
  <c r="T204" i="1"/>
  <c r="AD204" i="1"/>
  <c r="AC204" i="1"/>
  <c r="R250" i="1"/>
  <c r="N278" i="1"/>
  <c r="AD279" i="1"/>
  <c r="S279" i="1"/>
  <c r="Q279" i="1"/>
  <c r="AC279" i="1"/>
  <c r="S328" i="1"/>
  <c r="R328" i="1"/>
  <c r="Q328" i="1"/>
  <c r="AD328" i="1"/>
  <c r="AC378" i="1"/>
  <c r="AD378" i="1"/>
  <c r="T378" i="1"/>
  <c r="AI400" i="1"/>
  <c r="AK400" i="1"/>
  <c r="Z400" i="1"/>
  <c r="Y400" i="1"/>
  <c r="AA400" i="1" s="1"/>
  <c r="X400" i="1"/>
  <c r="V400" i="1"/>
  <c r="AG400" i="1"/>
  <c r="AD421" i="1"/>
  <c r="Q421" i="1"/>
  <c r="AC421" i="1"/>
  <c r="S435" i="1"/>
  <c r="N446" i="1"/>
  <c r="S448" i="1"/>
  <c r="R448" i="1"/>
  <c r="Q448" i="1"/>
  <c r="AD448" i="1"/>
  <c r="AC448" i="1"/>
  <c r="Q473" i="1"/>
  <c r="S473" i="1"/>
  <c r="R473" i="1"/>
  <c r="AD473" i="1"/>
  <c r="AC473" i="1"/>
  <c r="S484" i="1"/>
  <c r="AC484" i="1"/>
  <c r="AD484" i="1"/>
  <c r="R484" i="1"/>
  <c r="Q484" i="1"/>
  <c r="AD518" i="1"/>
  <c r="AC518" i="1"/>
  <c r="T518" i="1"/>
  <c r="S518" i="1"/>
  <c r="T524" i="1"/>
  <c r="R524" i="1"/>
  <c r="T620" i="1"/>
  <c r="R620" i="1"/>
  <c r="AD37" i="1"/>
  <c r="AC37" i="1"/>
  <c r="T115" i="1"/>
  <c r="R115" i="1" s="1"/>
  <c r="AD120" i="1"/>
  <c r="AC120" i="1"/>
  <c r="T122" i="1"/>
  <c r="AC133" i="1"/>
  <c r="AD133" i="1"/>
  <c r="AC245" i="1"/>
  <c r="Q245" i="1"/>
  <c r="S245" i="1"/>
  <c r="R270" i="1"/>
  <c r="T270" i="1"/>
  <c r="R278" i="1"/>
  <c r="T279" i="1"/>
  <c r="AC321" i="1"/>
  <c r="T321" i="1"/>
  <c r="Q321" i="1"/>
  <c r="R321" i="1"/>
  <c r="T325" i="1"/>
  <c r="R325" i="1"/>
  <c r="Q378" i="1"/>
  <c r="S379" i="1"/>
  <c r="AC379" i="1"/>
  <c r="R379" i="1"/>
  <c r="Q379" i="1"/>
  <c r="AE400" i="1"/>
  <c r="T416" i="1"/>
  <c r="R416" i="1"/>
  <c r="S422" i="1"/>
  <c r="Q422" i="1"/>
  <c r="AD422" i="1"/>
  <c r="AC422" i="1"/>
  <c r="R467" i="1"/>
  <c r="T467" i="1"/>
  <c r="Q467" i="1"/>
  <c r="AD467" i="1"/>
  <c r="AC467" i="1"/>
  <c r="T487" i="1"/>
  <c r="R487" i="1"/>
  <c r="Q487" i="1"/>
  <c r="AC487" i="1"/>
  <c r="AD487" i="1"/>
  <c r="N531" i="1"/>
  <c r="X662" i="1"/>
  <c r="V662" i="1"/>
  <c r="AB662" i="1" s="1" a="1"/>
  <c r="AB662" i="1" s="1"/>
  <c r="AE662" i="1"/>
  <c r="Y662" i="1"/>
  <c r="AA662" i="1" s="1"/>
  <c r="AG662" i="1"/>
  <c r="AK662" i="1"/>
  <c r="AI662" i="1"/>
  <c r="Z662" i="1"/>
  <c r="T7" i="1"/>
  <c r="S31" i="1"/>
  <c r="AD55" i="1"/>
  <c r="AC55" i="1"/>
  <c r="AD74" i="1"/>
  <c r="AC74" i="1"/>
  <c r="T75" i="1"/>
  <c r="AD85" i="1"/>
  <c r="R85" i="1"/>
  <c r="AC85" i="1"/>
  <c r="T85" i="1"/>
  <c r="S137" i="1"/>
  <c r="AC152" i="1"/>
  <c r="T171" i="1"/>
  <c r="S189" i="1"/>
  <c r="S244" i="1"/>
  <c r="Q244" i="1"/>
  <c r="AD244" i="1"/>
  <c r="AC244" i="1"/>
  <c r="Q252" i="1"/>
  <c r="AC252" i="1"/>
  <c r="AD252" i="1"/>
  <c r="AD321" i="1"/>
  <c r="AC327" i="1"/>
  <c r="Q327" i="1"/>
  <c r="S327" i="1"/>
  <c r="AD327" i="1"/>
  <c r="AD379" i="1"/>
  <c r="S412" i="1"/>
  <c r="AC412" i="1"/>
  <c r="AD412" i="1"/>
  <c r="Q412" i="1"/>
  <c r="AC465" i="1"/>
  <c r="Q465" i="1"/>
  <c r="AD465" i="1"/>
  <c r="S465" i="1"/>
  <c r="R465" i="1"/>
  <c r="AI478" i="1"/>
  <c r="AG478" i="1"/>
  <c r="AE478" i="1"/>
  <c r="AK478" i="1"/>
  <c r="Z478" i="1"/>
  <c r="X478" i="1"/>
  <c r="V478" i="1"/>
  <c r="Y478" i="1"/>
  <c r="AA478" i="1" s="1"/>
  <c r="R502" i="1"/>
  <c r="T502" i="1"/>
  <c r="R508" i="1"/>
  <c r="N558" i="1"/>
  <c r="AC30" i="1"/>
  <c r="AD30" i="1"/>
  <c r="T30" i="1"/>
  <c r="S30" i="1"/>
  <c r="T31" i="1"/>
  <c r="S43" i="1"/>
  <c r="T47" i="1"/>
  <c r="T61" i="1"/>
  <c r="R61" i="1" s="1"/>
  <c r="T73" i="1"/>
  <c r="AD101" i="1"/>
  <c r="AC101" i="1"/>
  <c r="Q113" i="1"/>
  <c r="R113" i="1"/>
  <c r="AD113" i="1"/>
  <c r="AC113" i="1"/>
  <c r="R140" i="1"/>
  <c r="Q174" i="1"/>
  <c r="AD203" i="1"/>
  <c r="AC203" i="1"/>
  <c r="S203" i="1"/>
  <c r="R203" i="1" s="1"/>
  <c r="Z241" i="1"/>
  <c r="Y241" i="1"/>
  <c r="AA241" i="1" s="1"/>
  <c r="AK241" i="1"/>
  <c r="AI241" i="1"/>
  <c r="AG241" i="1"/>
  <c r="AE241" i="1"/>
  <c r="V241" i="1"/>
  <c r="AB241" i="1" s="1" a="1"/>
  <c r="AB241" i="1" s="1"/>
  <c r="R247" i="1"/>
  <c r="T247" i="1"/>
  <c r="AD261" i="1"/>
  <c r="AC261" i="1"/>
  <c r="Q311" i="1"/>
  <c r="AD311" i="1"/>
  <c r="AC311" i="1"/>
  <c r="R311" i="1"/>
  <c r="T311" i="1"/>
  <c r="AC314" i="1"/>
  <c r="S314" i="1"/>
  <c r="R314" i="1"/>
  <c r="Q314" i="1"/>
  <c r="AD314" i="1"/>
  <c r="AD336" i="1"/>
  <c r="T336" i="1"/>
  <c r="Q336" i="1"/>
  <c r="AC336" i="1"/>
  <c r="AD337" i="1"/>
  <c r="Q337" i="1"/>
  <c r="AC337" i="1"/>
  <c r="S360" i="1"/>
  <c r="AC360" i="1"/>
  <c r="R360" i="1"/>
  <c r="Q360" i="1"/>
  <c r="AD360" i="1"/>
  <c r="R412" i="1"/>
  <c r="T442" i="1"/>
  <c r="R442" i="1"/>
  <c r="S472" i="1"/>
  <c r="R472" i="1"/>
  <c r="Q472" i="1"/>
  <c r="AD472" i="1"/>
  <c r="AC472" i="1"/>
  <c r="AD481" i="1"/>
  <c r="Q481" i="1"/>
  <c r="AC481" i="1"/>
  <c r="S481" i="1"/>
  <c r="R481" i="1"/>
  <c r="S510" i="1"/>
  <c r="Q510" i="1"/>
  <c r="AC510" i="1"/>
  <c r="AD510" i="1"/>
  <c r="R510" i="1"/>
  <c r="Q521" i="1"/>
  <c r="AD521" i="1"/>
  <c r="AC521" i="1"/>
  <c r="S521" i="1"/>
  <c r="S528" i="1"/>
  <c r="R528" i="1"/>
  <c r="AD528" i="1"/>
  <c r="AC528" i="1"/>
  <c r="Q528" i="1"/>
  <c r="AC701" i="1"/>
  <c r="Q701" i="1"/>
  <c r="AD701" i="1"/>
  <c r="T701" i="1"/>
  <c r="S712" i="1"/>
  <c r="AD712" i="1"/>
  <c r="AC712" i="1"/>
  <c r="Q712" i="1"/>
  <c r="AC34" i="1"/>
  <c r="AD34" i="1"/>
  <c r="S42" i="1"/>
  <c r="AD42" i="1"/>
  <c r="S74" i="1"/>
  <c r="N89" i="1"/>
  <c r="R98" i="1"/>
  <c r="T142" i="1"/>
  <c r="T191" i="1"/>
  <c r="AD191" i="1"/>
  <c r="AC191" i="1"/>
  <c r="N193" i="1"/>
  <c r="T211" i="1"/>
  <c r="AD211" i="1"/>
  <c r="R211" i="1"/>
  <c r="AD241" i="1"/>
  <c r="Q241" i="1"/>
  <c r="AC241" i="1"/>
  <c r="T241" i="1"/>
  <c r="S252" i="1"/>
  <c r="AD253" i="1"/>
  <c r="Q253" i="1"/>
  <c r="AC253" i="1"/>
  <c r="Q261" i="1"/>
  <c r="N292" i="1"/>
  <c r="AC323" i="1"/>
  <c r="AD323" i="1"/>
  <c r="R323" i="1"/>
  <c r="Q323" i="1"/>
  <c r="S335" i="1"/>
  <c r="R337" i="1"/>
  <c r="Q351" i="1"/>
  <c r="AD351" i="1"/>
  <c r="AC351" i="1"/>
  <c r="S351" i="1"/>
  <c r="R351" i="1"/>
  <c r="T369" i="1"/>
  <c r="AC369" i="1"/>
  <c r="R369" i="1"/>
  <c r="Q369" i="1"/>
  <c r="AD369" i="1"/>
  <c r="AC390" i="1"/>
  <c r="AD390" i="1"/>
  <c r="Q390" i="1"/>
  <c r="T390" i="1"/>
  <c r="S390" i="1"/>
  <c r="S391" i="1"/>
  <c r="AC391" i="1"/>
  <c r="AD391" i="1"/>
  <c r="R391" i="1"/>
  <c r="Q391" i="1"/>
  <c r="AC402" i="1"/>
  <c r="AD402" i="1"/>
  <c r="S402" i="1"/>
  <c r="Q402" i="1"/>
  <c r="Q413" i="1"/>
  <c r="T413" i="1"/>
  <c r="AD413" i="1"/>
  <c r="AC413" i="1"/>
  <c r="N485" i="1"/>
  <c r="Q486" i="1"/>
  <c r="AD486" i="1"/>
  <c r="AC486" i="1"/>
  <c r="R521" i="1"/>
  <c r="Q527" i="1"/>
  <c r="T527" i="1"/>
  <c r="S527" i="1"/>
  <c r="T550" i="1"/>
  <c r="AD664" i="1"/>
  <c r="AC664" i="1"/>
  <c r="S664" i="1"/>
  <c r="R664" i="1"/>
  <c r="R796" i="1"/>
  <c r="T796" i="1"/>
  <c r="S52" i="1"/>
  <c r="AD52" i="1"/>
  <c r="AC52" i="1"/>
  <c r="T100" i="1"/>
  <c r="Q273" i="1"/>
  <c r="AC273" i="1"/>
  <c r="T273" i="1"/>
  <c r="R279" i="1"/>
  <c r="S555" i="1"/>
  <c r="R555" i="1"/>
  <c r="Q555" i="1"/>
  <c r="AD555" i="1"/>
  <c r="AC555" i="1"/>
  <c r="N22" i="1"/>
  <c r="T26" i="1"/>
  <c r="S37" i="1"/>
  <c r="AD61" i="1"/>
  <c r="AC61" i="1"/>
  <c r="N77" i="1"/>
  <c r="AD147" i="1"/>
  <c r="AC147" i="1"/>
  <c r="N156" i="1"/>
  <c r="S214" i="1"/>
  <c r="AD214" i="1"/>
  <c r="AC214" i="1"/>
  <c r="R214" i="1"/>
  <c r="S251" i="1"/>
  <c r="T327" i="1"/>
  <c r="R345" i="1"/>
  <c r="T345" i="1"/>
  <c r="AC439" i="1"/>
  <c r="AD439" i="1"/>
  <c r="R466" i="1"/>
  <c r="T466" i="1"/>
  <c r="AD598" i="1"/>
  <c r="Q598" i="1"/>
  <c r="AC598" i="1"/>
  <c r="AD138" i="1"/>
  <c r="AC138" i="1"/>
  <c r="T138" i="1"/>
  <c r="R138" i="1"/>
  <c r="AD159" i="1"/>
  <c r="AC159" i="1"/>
  <c r="T159" i="1"/>
  <c r="AD187" i="1"/>
  <c r="AC187" i="1"/>
  <c r="Q214" i="1"/>
  <c r="T248" i="1"/>
  <c r="AD303" i="1"/>
  <c r="Q303" i="1"/>
  <c r="T15" i="1"/>
  <c r="N119" i="1"/>
  <c r="S123" i="1"/>
  <c r="R149" i="1"/>
  <c r="T202" i="1"/>
  <c r="S15" i="1"/>
  <c r="R15" i="1" s="1"/>
  <c r="R50" i="1"/>
  <c r="AC79" i="1"/>
  <c r="R79" i="1"/>
  <c r="AD79" i="1"/>
  <c r="T155" i="1"/>
  <c r="T157" i="1"/>
  <c r="T188" i="1"/>
  <c r="S202" i="1"/>
  <c r="R202" i="1" s="1"/>
  <c r="T210" i="1"/>
  <c r="T214" i="1"/>
  <c r="AD216" i="1"/>
  <c r="AC216" i="1"/>
  <c r="S216" i="1"/>
  <c r="S228" i="1"/>
  <c r="AD228" i="1"/>
  <c r="AD229" i="1"/>
  <c r="S229" i="1"/>
  <c r="AC229" i="1"/>
  <c r="Z238" i="1"/>
  <c r="AC256" i="1"/>
  <c r="AD256" i="1"/>
  <c r="S256" i="1"/>
  <c r="Q256" i="1"/>
  <c r="R273" i="1"/>
  <c r="R281" i="1"/>
  <c r="T286" i="1"/>
  <c r="R286" i="1"/>
  <c r="AD286" i="1"/>
  <c r="AC286" i="1"/>
  <c r="T295" i="1"/>
  <c r="AD295" i="1"/>
  <c r="S303" i="1"/>
  <c r="AD325" i="1"/>
  <c r="Q325" i="1"/>
  <c r="Q331" i="1"/>
  <c r="AD331" i="1"/>
  <c r="AC331" i="1"/>
  <c r="R331" i="1"/>
  <c r="T331" i="1"/>
  <c r="S331" i="1"/>
  <c r="AC343" i="1"/>
  <c r="S343" i="1"/>
  <c r="R343" i="1"/>
  <c r="AD343" i="1"/>
  <c r="T350" i="1"/>
  <c r="S359" i="1"/>
  <c r="AG371" i="1"/>
  <c r="V371" i="1"/>
  <c r="AB371" i="1" s="1" a="1"/>
  <c r="AB371" i="1" s="1"/>
  <c r="AI371" i="1"/>
  <c r="AE371" i="1"/>
  <c r="Y371" i="1"/>
  <c r="AA371" i="1" s="1"/>
  <c r="X371" i="1"/>
  <c r="Z371" i="1"/>
  <c r="AK371" i="1"/>
  <c r="Q376" i="1"/>
  <c r="S376" i="1"/>
  <c r="R376" i="1"/>
  <c r="AC376" i="1"/>
  <c r="AD376" i="1"/>
  <c r="AC393" i="1"/>
  <c r="AD393" i="1"/>
  <c r="S393" i="1"/>
  <c r="R393" i="1"/>
  <c r="Q393" i="1"/>
  <c r="Q427" i="1"/>
  <c r="AD427" i="1"/>
  <c r="S427" i="1"/>
  <c r="AC427" i="1"/>
  <c r="T427" i="1"/>
  <c r="R474" i="1"/>
  <c r="S511" i="1"/>
  <c r="AC524" i="1"/>
  <c r="S524" i="1"/>
  <c r="Q524" i="1"/>
  <c r="AD559" i="1"/>
  <c r="AC559" i="1"/>
  <c r="Q559" i="1"/>
  <c r="T559" i="1"/>
  <c r="R559" i="1"/>
  <c r="N569" i="1"/>
  <c r="AD658" i="1"/>
  <c r="AC658" i="1"/>
  <c r="T658" i="1"/>
  <c r="S658" i="1"/>
  <c r="Q658" i="1"/>
  <c r="Q676" i="1"/>
  <c r="S676" i="1"/>
  <c r="R676" i="1"/>
  <c r="AD676" i="1"/>
  <c r="AC676" i="1"/>
  <c r="AD21" i="1"/>
  <c r="AC21" i="1"/>
  <c r="T41" i="1"/>
  <c r="AC46" i="1"/>
  <c r="AD46" i="1"/>
  <c r="T48" i="1"/>
  <c r="AD104" i="1"/>
  <c r="AC104" i="1"/>
  <c r="T152" i="1"/>
  <c r="AC190" i="1"/>
  <c r="AD190" i="1"/>
  <c r="S190" i="1"/>
  <c r="R190" i="1" s="1"/>
  <c r="AD206" i="1"/>
  <c r="T206" i="1"/>
  <c r="AC206" i="1"/>
  <c r="AD225" i="1"/>
  <c r="AC225" i="1"/>
  <c r="S76" i="1"/>
  <c r="AC76" i="1"/>
  <c r="R76" i="1"/>
  <c r="AD76" i="1"/>
  <c r="T96" i="1"/>
  <c r="R96" i="1" s="1"/>
  <c r="T29" i="1"/>
  <c r="R47" i="1"/>
  <c r="T84" i="1"/>
  <c r="AD174" i="1"/>
  <c r="AC174" i="1"/>
  <c r="T174" i="1"/>
  <c r="R174" i="1" s="1"/>
  <c r="AD25" i="1"/>
  <c r="AC25" i="1"/>
  <c r="S64" i="1"/>
  <c r="AD64" i="1"/>
  <c r="AC64" i="1"/>
  <c r="T93" i="1"/>
  <c r="S142" i="1"/>
  <c r="R142" i="1" s="1"/>
  <c r="S164" i="1"/>
  <c r="AD202" i="1"/>
  <c r="AC202" i="1"/>
  <c r="AC39" i="1"/>
  <c r="S39" i="1"/>
  <c r="R39" i="1" s="1"/>
  <c r="AD47" i="1"/>
  <c r="AD163" i="1"/>
  <c r="AC163" i="1"/>
  <c r="Q163" i="1"/>
  <c r="T176" i="1"/>
  <c r="AC288" i="1"/>
  <c r="S288" i="1"/>
  <c r="R288" i="1"/>
  <c r="AD288" i="1"/>
  <c r="Q288" i="1"/>
  <c r="N43" i="1"/>
  <c r="S82" i="1"/>
  <c r="R82" i="1" s="1"/>
  <c r="AD82" i="1"/>
  <c r="AD139" i="1"/>
  <c r="AC139" i="1"/>
  <c r="S149" i="1"/>
  <c r="AD149" i="1"/>
  <c r="AC149" i="1"/>
  <c r="T160" i="1"/>
  <c r="R160" i="1" s="1"/>
  <c r="T163" i="1"/>
  <c r="S174" i="1"/>
  <c r="AD182" i="1"/>
  <c r="AC182" i="1"/>
  <c r="T182" i="1"/>
  <c r="R182" i="1" s="1"/>
  <c r="T190" i="1"/>
  <c r="Q237" i="1"/>
  <c r="S237" i="1"/>
  <c r="R237" i="1"/>
  <c r="AC237" i="1"/>
  <c r="AD237" i="1"/>
  <c r="X241" i="1"/>
  <c r="S261" i="1"/>
  <c r="S264" i="1"/>
  <c r="S267" i="1"/>
  <c r="Q282" i="1"/>
  <c r="AD282" i="1"/>
  <c r="AC282" i="1"/>
  <c r="T282" i="1"/>
  <c r="Q306" i="1"/>
  <c r="AC306" i="1"/>
  <c r="AD306" i="1"/>
  <c r="AC310" i="1"/>
  <c r="AD310" i="1"/>
  <c r="Q310" i="1"/>
  <c r="S321" i="1"/>
  <c r="T323" i="1"/>
  <c r="Q350" i="1"/>
  <c r="AC350" i="1"/>
  <c r="AD350" i="1"/>
  <c r="S350" i="1"/>
  <c r="Q424" i="1"/>
  <c r="S424" i="1"/>
  <c r="AC424" i="1"/>
  <c r="AD424" i="1"/>
  <c r="T431" i="1"/>
  <c r="R431" i="1"/>
  <c r="Q431" i="1"/>
  <c r="AC431" i="1"/>
  <c r="AD431" i="1"/>
  <c r="AD441" i="1"/>
  <c r="AC441" i="1"/>
  <c r="T441" i="1"/>
  <c r="S441" i="1"/>
  <c r="Q441" i="1"/>
  <c r="R454" i="1"/>
  <c r="T454" i="1"/>
  <c r="R456" i="1"/>
  <c r="AC456" i="1"/>
  <c r="T456" i="1"/>
  <c r="AD456" i="1"/>
  <c r="Q480" i="1"/>
  <c r="S480" i="1"/>
  <c r="AD480" i="1"/>
  <c r="R527" i="1"/>
  <c r="N556" i="1"/>
  <c r="N605" i="1"/>
  <c r="Q670" i="1"/>
  <c r="AC670" i="1"/>
  <c r="AD670" i="1"/>
  <c r="T670" i="1"/>
  <c r="N19" i="1"/>
  <c r="AD27" i="1"/>
  <c r="T40" i="1"/>
  <c r="T46" i="1"/>
  <c r="R46" i="1" s="1"/>
  <c r="S65" i="1"/>
  <c r="AD73" i="1"/>
  <c r="Q73" i="1"/>
  <c r="J73" i="1"/>
  <c r="R73" i="1"/>
  <c r="AC73" i="1"/>
  <c r="R95" i="1"/>
  <c r="AD110" i="1"/>
  <c r="AC110" i="1"/>
  <c r="AD140" i="1"/>
  <c r="AC140" i="1"/>
  <c r="T147" i="1"/>
  <c r="Q149" i="1"/>
  <c r="T167" i="1"/>
  <c r="S182" i="1"/>
  <c r="T252" i="1"/>
  <c r="T256" i="1"/>
  <c r="R256" i="1"/>
  <c r="AD257" i="1"/>
  <c r="AC257" i="1"/>
  <c r="S257" i="1"/>
  <c r="R257" i="1"/>
  <c r="Q257" i="1"/>
  <c r="T261" i="1"/>
  <c r="S310" i="1"/>
  <c r="N335" i="1"/>
  <c r="T348" i="1"/>
  <c r="R348" i="1"/>
  <c r="AD348" i="1"/>
  <c r="AC348" i="1"/>
  <c r="Q348" i="1"/>
  <c r="R350" i="1"/>
  <c r="N357" i="1"/>
  <c r="S364" i="1"/>
  <c r="R364" i="1"/>
  <c r="Q364" i="1"/>
  <c r="AC364" i="1"/>
  <c r="AD364" i="1"/>
  <c r="AC375" i="1"/>
  <c r="AD375" i="1"/>
  <c r="Q375" i="1"/>
  <c r="S375" i="1"/>
  <c r="R396" i="1"/>
  <c r="AC403" i="1"/>
  <c r="AD403" i="1"/>
  <c r="Q403" i="1"/>
  <c r="R403" i="1"/>
  <c r="AC414" i="1"/>
  <c r="AD414" i="1"/>
  <c r="T414" i="1"/>
  <c r="S414" i="1"/>
  <c r="Q439" i="1"/>
  <c r="AD451" i="1"/>
  <c r="AC451" i="1"/>
  <c r="S451" i="1"/>
  <c r="Q451" i="1"/>
  <c r="R451" i="1"/>
  <c r="Q456" i="1"/>
  <c r="AD474" i="1"/>
  <c r="Q474" i="1"/>
  <c r="AC474" i="1"/>
  <c r="S474" i="1"/>
  <c r="S485" i="1"/>
  <c r="S512" i="1"/>
  <c r="AD512" i="1"/>
  <c r="Q512" i="1"/>
  <c r="AC527" i="1"/>
  <c r="S540" i="1"/>
  <c r="AD540" i="1"/>
  <c r="AC540" i="1"/>
  <c r="Q540" i="1"/>
  <c r="N570" i="1"/>
  <c r="R577" i="1"/>
  <c r="T577" i="1"/>
  <c r="S603" i="1"/>
  <c r="Z606" i="1"/>
  <c r="Y606" i="1"/>
  <c r="AA606" i="1" s="1"/>
  <c r="AI606" i="1"/>
  <c r="AG606" i="1"/>
  <c r="X606" i="1"/>
  <c r="V606" i="1"/>
  <c r="AE606" i="1"/>
  <c r="AK606" i="1"/>
  <c r="T37" i="1"/>
  <c r="S49" i="1"/>
  <c r="T55" i="1"/>
  <c r="R55" i="1" s="1"/>
  <c r="R58" i="1"/>
  <c r="T123" i="1"/>
  <c r="AC132" i="1"/>
  <c r="T132" i="1"/>
  <c r="AD132" i="1"/>
  <c r="T133" i="1"/>
  <c r="AD146" i="1"/>
  <c r="AC162" i="1"/>
  <c r="AD162" i="1"/>
  <c r="Q162" i="1"/>
  <c r="R162" i="1"/>
  <c r="S194" i="1"/>
  <c r="AC199" i="1"/>
  <c r="AD199" i="1"/>
  <c r="T199" i="1"/>
  <c r="Q224" i="1"/>
  <c r="S224" i="1"/>
  <c r="AC224" i="1"/>
  <c r="T226" i="1"/>
  <c r="R261" i="1"/>
  <c r="Q262" i="1"/>
  <c r="AC262" i="1"/>
  <c r="T262" i="1"/>
  <c r="AD262" i="1"/>
  <c r="AD273" i="1"/>
  <c r="AC287" i="1"/>
  <c r="Q287" i="1"/>
  <c r="AD287" i="1"/>
  <c r="T287" i="1"/>
  <c r="R287" i="1"/>
  <c r="R301" i="1"/>
  <c r="T301" i="1"/>
  <c r="Q302" i="1"/>
  <c r="AD302" i="1"/>
  <c r="S302" i="1"/>
  <c r="AC302" i="1"/>
  <c r="S304" i="1"/>
  <c r="Q304" i="1"/>
  <c r="AD304" i="1"/>
  <c r="AC304" i="1"/>
  <c r="AC328" i="1"/>
  <c r="AD339" i="1"/>
  <c r="Q339" i="1"/>
  <c r="S339" i="1"/>
  <c r="R339" i="1"/>
  <c r="AC339" i="1"/>
  <c r="R375" i="1"/>
  <c r="AD397" i="1"/>
  <c r="Q397" i="1"/>
  <c r="AC397" i="1"/>
  <c r="S397" i="1"/>
  <c r="R397" i="1"/>
  <c r="Q398" i="1"/>
  <c r="AD398" i="1"/>
  <c r="AC398" i="1"/>
  <c r="S403" i="1"/>
  <c r="T439" i="1"/>
  <c r="AC480" i="1"/>
  <c r="R512" i="1"/>
  <c r="AD527" i="1"/>
  <c r="AD618" i="1"/>
  <c r="AC618" i="1"/>
  <c r="Q618" i="1"/>
  <c r="S618" i="1"/>
  <c r="R618" i="1"/>
  <c r="AD688" i="1"/>
  <c r="AC688" i="1"/>
  <c r="S688" i="1"/>
  <c r="R688" i="1"/>
  <c r="Q688" i="1"/>
  <c r="R25" i="1"/>
  <c r="N36" i="1"/>
  <c r="T51" i="1"/>
  <c r="R51" i="1" s="1"/>
  <c r="AD71" i="1"/>
  <c r="J71" i="1"/>
  <c r="AC71" i="1"/>
  <c r="T72" i="1"/>
  <c r="R120" i="1"/>
  <c r="AD124" i="1"/>
  <c r="AC124" i="1"/>
  <c r="N212" i="1"/>
  <c r="S241" i="1"/>
  <c r="AD245" i="1"/>
  <c r="AD270" i="1"/>
  <c r="AC270" i="1"/>
  <c r="Q270" i="1"/>
  <c r="AC290" i="1"/>
  <c r="S290" i="1"/>
  <c r="R290" i="1"/>
  <c r="Q290" i="1"/>
  <c r="N291" i="1"/>
  <c r="S301" i="1"/>
  <c r="R303" i="1"/>
  <c r="AD316" i="1"/>
  <c r="AC316" i="1"/>
  <c r="S316" i="1"/>
  <c r="Q316" i="1"/>
  <c r="T341" i="1"/>
  <c r="R341" i="1"/>
  <c r="Q386" i="1"/>
  <c r="AD386" i="1"/>
  <c r="AC386" i="1"/>
  <c r="T386" i="1"/>
  <c r="S386" i="1"/>
  <c r="T398" i="1"/>
  <c r="AD411" i="1"/>
  <c r="AC411" i="1"/>
  <c r="Q411" i="1"/>
  <c r="S411" i="1"/>
  <c r="R411" i="1"/>
  <c r="Q454" i="1"/>
  <c r="AD454" i="1"/>
  <c r="AC454" i="1"/>
  <c r="Y495" i="1"/>
  <c r="AA495" i="1" s="1"/>
  <c r="AE495" i="1"/>
  <c r="X495" i="1"/>
  <c r="V495" i="1"/>
  <c r="AB495" i="1" s="1" a="1"/>
  <c r="AB495" i="1" s="1"/>
  <c r="AI495" i="1"/>
  <c r="AK495" i="1"/>
  <c r="AG495" i="1"/>
  <c r="AC512" i="1"/>
  <c r="N533" i="1"/>
  <c r="N602" i="1"/>
  <c r="AC717" i="1"/>
  <c r="AD717" i="1"/>
  <c r="S12" i="1"/>
  <c r="T21" i="1"/>
  <c r="R21" i="1" s="1"/>
  <c r="N40" i="1"/>
  <c r="AC42" i="1"/>
  <c r="N49" i="1"/>
  <c r="T60" i="1"/>
  <c r="AD70" i="1"/>
  <c r="AC70" i="1"/>
  <c r="Q71" i="1"/>
  <c r="S83" i="1"/>
  <c r="R83" i="1" s="1"/>
  <c r="AD95" i="1"/>
  <c r="AC95" i="1"/>
  <c r="N107" i="1"/>
  <c r="R124" i="1"/>
  <c r="R147" i="1"/>
  <c r="Q147" i="1" s="1"/>
  <c r="N13" i="1"/>
  <c r="S21" i="1"/>
  <c r="N24" i="1"/>
  <c r="R37" i="1"/>
  <c r="S46" i="1"/>
  <c r="AD58" i="1"/>
  <c r="AC58" i="1"/>
  <c r="AD88" i="1"/>
  <c r="S88" i="1"/>
  <c r="R88" i="1" s="1"/>
  <c r="S104" i="1"/>
  <c r="N123" i="1"/>
  <c r="S127" i="1"/>
  <c r="R127" i="1" s="1"/>
  <c r="T131" i="1"/>
  <c r="T135" i="1"/>
  <c r="AC137" i="1"/>
  <c r="T145" i="1"/>
  <c r="S147" i="1"/>
  <c r="Q148" i="1"/>
  <c r="AD148" i="1"/>
  <c r="AC148" i="1"/>
  <c r="S155" i="1"/>
  <c r="S163" i="1"/>
  <c r="R163" i="1" s="1"/>
  <c r="S188" i="1"/>
  <c r="AC198" i="1"/>
  <c r="Q198" i="1"/>
  <c r="R198" i="1"/>
  <c r="AD198" i="1"/>
  <c r="S206" i="1"/>
  <c r="AC218" i="1"/>
  <c r="AD218" i="1"/>
  <c r="AD221" i="1"/>
  <c r="AC221" i="1"/>
  <c r="R221" i="1"/>
  <c r="AD224" i="1"/>
  <c r="S281" i="1"/>
  <c r="Q286" i="1"/>
  <c r="Q295" i="1"/>
  <c r="AD299" i="1"/>
  <c r="R299" i="1"/>
  <c r="Q299" i="1"/>
  <c r="AC299" i="1"/>
  <c r="T299" i="1"/>
  <c r="AC303" i="1"/>
  <c r="N307" i="1"/>
  <c r="N338" i="1"/>
  <c r="Q343" i="1"/>
  <c r="AD361" i="1"/>
  <c r="Q361" i="1"/>
  <c r="S361" i="1"/>
  <c r="AC361" i="1"/>
  <c r="T375" i="1"/>
  <c r="S413" i="1"/>
  <c r="AD420" i="1"/>
  <c r="AC420" i="1"/>
  <c r="T420" i="1"/>
  <c r="R420" i="1"/>
  <c r="Q420" i="1"/>
  <c r="AD524" i="1"/>
  <c r="Q610" i="1"/>
  <c r="AC610" i="1"/>
  <c r="AD610" i="1"/>
  <c r="S610" i="1"/>
  <c r="S667" i="1"/>
  <c r="Q667" i="1"/>
  <c r="AC667" i="1"/>
  <c r="AD667" i="1"/>
  <c r="AD669" i="1"/>
  <c r="AC669" i="1"/>
  <c r="R669" i="1"/>
  <c r="Q669" i="1"/>
  <c r="T669" i="1"/>
  <c r="AD18" i="1"/>
  <c r="S18" i="1"/>
  <c r="AC18" i="1"/>
  <c r="T20" i="1"/>
  <c r="R64" i="1"/>
  <c r="R224" i="1"/>
  <c r="R31" i="1"/>
  <c r="AC153" i="1"/>
  <c r="AD153" i="1"/>
  <c r="S153" i="1"/>
  <c r="T153" i="1"/>
  <c r="R153" i="1"/>
  <c r="T52" i="1"/>
  <c r="R52" i="1" s="1"/>
  <c r="T105" i="1"/>
  <c r="R128" i="1"/>
  <c r="S161" i="1"/>
  <c r="AD194" i="1"/>
  <c r="Q194" i="1"/>
  <c r="AC194" i="1"/>
  <c r="S94" i="1"/>
  <c r="R94" i="1" s="1"/>
  <c r="AD94" i="1"/>
  <c r="R252" i="1"/>
  <c r="R259" i="1"/>
  <c r="T127" i="1"/>
  <c r="AD127" i="1"/>
  <c r="AD233" i="1"/>
  <c r="AC233" i="1"/>
  <c r="S233" i="1"/>
  <c r="AD301" i="1"/>
  <c r="Q301" i="1"/>
  <c r="T74" i="1"/>
  <c r="R74" i="1" s="1"/>
  <c r="T102" i="1"/>
  <c r="N117" i="1"/>
  <c r="T136" i="1"/>
  <c r="AD50" i="1"/>
  <c r="AC50" i="1"/>
  <c r="AE238" i="1"/>
  <c r="AK238" i="1"/>
  <c r="AI238" i="1"/>
  <c r="X238" i="1"/>
  <c r="V238" i="1"/>
  <c r="AB238" i="1" s="1" a="1"/>
  <c r="AB238" i="1" s="1"/>
  <c r="AG238" i="1"/>
  <c r="S285" i="1"/>
  <c r="Q285" i="1"/>
  <c r="AD285" i="1"/>
  <c r="AC285" i="1"/>
  <c r="T419" i="1"/>
  <c r="R419" i="1"/>
  <c r="Q419" i="1"/>
  <c r="AD419" i="1"/>
  <c r="AC419" i="1"/>
  <c r="N3" i="1"/>
  <c r="N4" i="1"/>
  <c r="T4" i="1" s="1"/>
  <c r="N6" i="1"/>
  <c r="N7" i="1"/>
  <c r="N9" i="1"/>
  <c r="N12" i="1"/>
  <c r="Q15" i="1"/>
  <c r="AD15" i="1"/>
  <c r="N16" i="1"/>
  <c r="T17" i="1"/>
  <c r="N28" i="1"/>
  <c r="N33" i="1"/>
  <c r="T34" i="1"/>
  <c r="R34" i="1" s="1"/>
  <c r="R45" i="1"/>
  <c r="T45" i="1"/>
  <c r="T69" i="1"/>
  <c r="T71" i="1"/>
  <c r="R71" i="1" s="1"/>
  <c r="AD83" i="1"/>
  <c r="AC83" i="1"/>
  <c r="N86" i="1"/>
  <c r="AD91" i="1"/>
  <c r="S91" i="1"/>
  <c r="R91" i="1" s="1"/>
  <c r="Q98" i="1"/>
  <c r="AD98" i="1"/>
  <c r="AC98" i="1"/>
  <c r="N105" i="1"/>
  <c r="T106" i="1"/>
  <c r="S133" i="1"/>
  <c r="R133" i="1" s="1"/>
  <c r="AD137" i="1"/>
  <c r="N150" i="1"/>
  <c r="T154" i="1"/>
  <c r="R154" i="1"/>
  <c r="AD161" i="1"/>
  <c r="N171" i="1"/>
  <c r="S197" i="1"/>
  <c r="AD197" i="1"/>
  <c r="R197" i="1"/>
  <c r="Q197" i="1"/>
  <c r="AC197" i="1"/>
  <c r="AC211" i="1"/>
  <c r="R239" i="1"/>
  <c r="T239" i="1"/>
  <c r="Q239" i="1"/>
  <c r="AC239" i="1"/>
  <c r="X242" i="1"/>
  <c r="AI242" i="1"/>
  <c r="AG242" i="1"/>
  <c r="AE242" i="1"/>
  <c r="AK242" i="1"/>
  <c r="V242" i="1"/>
  <c r="AB242" i="1" s="1" a="1"/>
  <c r="AB242" i="1" s="1"/>
  <c r="Z242" i="1"/>
  <c r="Y242" i="1"/>
  <c r="AA242" i="1" s="1"/>
  <c r="N250" i="1"/>
  <c r="AE258" i="1"/>
  <c r="AI258" i="1"/>
  <c r="Z258" i="1"/>
  <c r="Y258" i="1"/>
  <c r="AA258" i="1" s="1"/>
  <c r="AG258" i="1"/>
  <c r="AK258" i="1"/>
  <c r="X258" i="1"/>
  <c r="AC276" i="1"/>
  <c r="AD276" i="1"/>
  <c r="R276" i="1"/>
  <c r="Q276" i="1"/>
  <c r="T276" i="1"/>
  <c r="N283" i="1"/>
  <c r="S306" i="1"/>
  <c r="X308" i="1"/>
  <c r="V308" i="1"/>
  <c r="AB308" i="1" s="1" a="1"/>
  <c r="AB308" i="1" s="1"/>
  <c r="AK308" i="1"/>
  <c r="AG308" i="1"/>
  <c r="AE308" i="1"/>
  <c r="AI308" i="1"/>
  <c r="Z308" i="1"/>
  <c r="Q312" i="1"/>
  <c r="S312" i="1"/>
  <c r="AC312" i="1"/>
  <c r="AD312" i="1"/>
  <c r="R312" i="1"/>
  <c r="T320" i="1"/>
  <c r="AC325" i="1"/>
  <c r="T330" i="1"/>
  <c r="AC330" i="1"/>
  <c r="S330" i="1"/>
  <c r="AD349" i="1"/>
  <c r="Q349" i="1"/>
  <c r="AC349" i="1"/>
  <c r="S349" i="1"/>
  <c r="X361" i="1"/>
  <c r="V361" i="1"/>
  <c r="AB361" i="1" s="1" a="1"/>
  <c r="AB361" i="1" s="1"/>
  <c r="Z361" i="1"/>
  <c r="Y361" i="1"/>
  <c r="AA361" i="1" s="1"/>
  <c r="AE361" i="1"/>
  <c r="AK361" i="1"/>
  <c r="AI361" i="1"/>
  <c r="R365" i="1"/>
  <c r="T365" i="1"/>
  <c r="Q438" i="1"/>
  <c r="AD438" i="1"/>
  <c r="AC438" i="1"/>
  <c r="R479" i="1"/>
  <c r="AC479" i="1"/>
  <c r="T479" i="1"/>
  <c r="Q479" i="1"/>
  <c r="AD479" i="1"/>
  <c r="S490" i="1"/>
  <c r="AD490" i="1"/>
  <c r="AC490" i="1"/>
  <c r="R490" i="1"/>
  <c r="Q490" i="1"/>
  <c r="T499" i="1"/>
  <c r="R499" i="1"/>
  <c r="AD499" i="1"/>
  <c r="AC499" i="1"/>
  <c r="Q499" i="1"/>
  <c r="Q518" i="1"/>
  <c r="Z601" i="1"/>
  <c r="Y601" i="1"/>
  <c r="AA601" i="1" s="1"/>
  <c r="X601" i="1"/>
  <c r="V601" i="1"/>
  <c r="AB601" i="1" s="1" a="1"/>
  <c r="AB601" i="1" s="1"/>
  <c r="AI601" i="1"/>
  <c r="AG601" i="1"/>
  <c r="AE601" i="1"/>
  <c r="S624" i="1"/>
  <c r="Q624" i="1"/>
  <c r="AD624" i="1"/>
  <c r="N189" i="1"/>
  <c r="S211" i="1"/>
  <c r="N226" i="1"/>
  <c r="N231" i="1"/>
  <c r="AC236" i="1"/>
  <c r="AD236" i="1"/>
  <c r="N243" i="1"/>
  <c r="R244" i="1"/>
  <c r="T253" i="1"/>
  <c r="R267" i="1"/>
  <c r="N274" i="1"/>
  <c r="S298" i="1"/>
  <c r="T303" i="1"/>
  <c r="AD309" i="1"/>
  <c r="AC309" i="1"/>
  <c r="Q309" i="1"/>
  <c r="T346" i="1"/>
  <c r="N352" i="1"/>
  <c r="S357" i="1"/>
  <c r="AC381" i="1"/>
  <c r="AD381" i="1"/>
  <c r="S381" i="1"/>
  <c r="Q381" i="1"/>
  <c r="Y437" i="1"/>
  <c r="AA437" i="1" s="1"/>
  <c r="AK437" i="1"/>
  <c r="AI437" i="1"/>
  <c r="AG437" i="1"/>
  <c r="V437" i="1"/>
  <c r="AB437" i="1" s="1" a="1"/>
  <c r="AB437" i="1" s="1"/>
  <c r="R443" i="1"/>
  <c r="AC443" i="1"/>
  <c r="T443" i="1"/>
  <c r="Q443" i="1"/>
  <c r="AD450" i="1"/>
  <c r="Q450" i="1"/>
  <c r="AC450" i="1"/>
  <c r="S453" i="1"/>
  <c r="Q453" i="1"/>
  <c r="AD453" i="1"/>
  <c r="AC507" i="1"/>
  <c r="Q507" i="1"/>
  <c r="AD507" i="1"/>
  <c r="S507" i="1"/>
  <c r="AD509" i="1"/>
  <c r="AC509" i="1"/>
  <c r="S509" i="1"/>
  <c r="R509" i="1"/>
  <c r="Q509" i="1"/>
  <c r="AD525" i="1"/>
  <c r="Q525" i="1"/>
  <c r="AC525" i="1"/>
  <c r="T525" i="1"/>
  <c r="R525" i="1"/>
  <c r="S525" i="1"/>
  <c r="R541" i="1"/>
  <c r="T541" i="1"/>
  <c r="S546" i="1"/>
  <c r="R546" i="1"/>
  <c r="Q546" i="1"/>
  <c r="AC546" i="1"/>
  <c r="AD546" i="1"/>
  <c r="N548" i="1"/>
  <c r="AC575" i="1"/>
  <c r="AD575" i="1"/>
  <c r="S575" i="1"/>
  <c r="Q575" i="1"/>
  <c r="N576" i="1"/>
  <c r="T592" i="1"/>
  <c r="AD613" i="1"/>
  <c r="T613" i="1"/>
  <c r="R613" i="1"/>
  <c r="Q613" i="1"/>
  <c r="AC613" i="1"/>
  <c r="T615" i="1"/>
  <c r="R615" i="1"/>
  <c r="Q622" i="1"/>
  <c r="AD622" i="1"/>
  <c r="AC622" i="1"/>
  <c r="S622" i="1"/>
  <c r="T629" i="1"/>
  <c r="R629" i="1"/>
  <c r="AC629" i="1"/>
  <c r="Q634" i="1"/>
  <c r="AD634" i="1"/>
  <c r="AC634" i="1"/>
  <c r="S634" i="1"/>
  <c r="AC639" i="1"/>
  <c r="Q639" i="1"/>
  <c r="AD639" i="1"/>
  <c r="Q709" i="1"/>
  <c r="AD709" i="1"/>
  <c r="AC709" i="1"/>
  <c r="S59" i="1"/>
  <c r="N92" i="1"/>
  <c r="N164" i="1"/>
  <c r="T170" i="1"/>
  <c r="R170" i="1" s="1"/>
  <c r="T185" i="1"/>
  <c r="AC284" i="1"/>
  <c r="AD284" i="1"/>
  <c r="R310" i="1"/>
  <c r="S337" i="1"/>
  <c r="Q353" i="1"/>
  <c r="AD353" i="1"/>
  <c r="AC353" i="1"/>
  <c r="N355" i="1"/>
  <c r="T358" i="1"/>
  <c r="R358" i="1"/>
  <c r="T403" i="1"/>
  <c r="T435" i="1"/>
  <c r="AI459" i="1"/>
  <c r="AG459" i="1"/>
  <c r="AE459" i="1"/>
  <c r="V459" i="1"/>
  <c r="AB459" i="1" s="1" a="1"/>
  <c r="AB459" i="1" s="1"/>
  <c r="Z459" i="1"/>
  <c r="AK459" i="1"/>
  <c r="S466" i="1"/>
  <c r="R488" i="1"/>
  <c r="Q488" i="1"/>
  <c r="AD488" i="1"/>
  <c r="AC488" i="1"/>
  <c r="N489" i="1"/>
  <c r="AC491" i="1"/>
  <c r="AD491" i="1"/>
  <c r="S491" i="1"/>
  <c r="Q491" i="1"/>
  <c r="AD541" i="1"/>
  <c r="AC541" i="1"/>
  <c r="Q541" i="1"/>
  <c r="T558" i="1"/>
  <c r="AC642" i="1"/>
  <c r="Q642" i="1"/>
  <c r="T642" i="1"/>
  <c r="AD642" i="1"/>
  <c r="S35" i="1"/>
  <c r="R78" i="1"/>
  <c r="T78" i="1"/>
  <c r="S5" i="1"/>
  <c r="T88" i="1"/>
  <c r="T94" i="1"/>
  <c r="S152" i="1"/>
  <c r="R152" i="1" s="1"/>
  <c r="N184" i="1"/>
  <c r="T216" i="1"/>
  <c r="R216" i="1" s="1"/>
  <c r="N217" i="1"/>
  <c r="T221" i="1"/>
  <c r="T245" i="1"/>
  <c r="R245" i="1"/>
  <c r="T257" i="1"/>
  <c r="N259" i="1"/>
  <c r="S263" i="1"/>
  <c r="R285" i="1"/>
  <c r="R291" i="1"/>
  <c r="R302" i="1"/>
  <c r="T302" i="1"/>
  <c r="T309" i="1"/>
  <c r="N315" i="1"/>
  <c r="S324" i="1"/>
  <c r="N334" i="1"/>
  <c r="S336" i="1"/>
  <c r="R349" i="1"/>
  <c r="T349" i="1"/>
  <c r="AD358" i="1"/>
  <c r="Q367" i="1"/>
  <c r="S415" i="1"/>
  <c r="N428" i="1"/>
  <c r="T428" i="1" s="1"/>
  <c r="R438" i="1"/>
  <c r="T438" i="1"/>
  <c r="S440" i="1"/>
  <c r="S456" i="1"/>
  <c r="S475" i="1"/>
  <c r="Q482" i="1"/>
  <c r="AD482" i="1"/>
  <c r="AC482" i="1"/>
  <c r="S486" i="1"/>
  <c r="X526" i="1"/>
  <c r="Y526" i="1"/>
  <c r="AA526" i="1" s="1"/>
  <c r="AE526" i="1"/>
  <c r="Z526" i="1"/>
  <c r="V526" i="1"/>
  <c r="AB526" i="1" s="1" a="1"/>
  <c r="AB526" i="1" s="1"/>
  <c r="AI526" i="1"/>
  <c r="AK526" i="1"/>
  <c r="AC545" i="1"/>
  <c r="Q545" i="1"/>
  <c r="N566" i="1"/>
  <c r="N593" i="1"/>
  <c r="T594" i="1"/>
  <c r="Z625" i="1"/>
  <c r="Y625" i="1"/>
  <c r="AA625" i="1" s="1"/>
  <c r="X625" i="1"/>
  <c r="V625" i="1"/>
  <c r="AK625" i="1"/>
  <c r="AI625" i="1"/>
  <c r="AG625" i="1"/>
  <c r="AE625" i="1"/>
  <c r="R631" i="1"/>
  <c r="AD631" i="1"/>
  <c r="Q631" i="1"/>
  <c r="T631" i="1"/>
  <c r="AC631" i="1"/>
  <c r="S635" i="1"/>
  <c r="S665" i="1"/>
  <c r="Q808" i="1"/>
  <c r="AD808" i="1"/>
  <c r="AC808" i="1"/>
  <c r="T808" i="1"/>
  <c r="S808" i="1"/>
  <c r="AD128" i="1"/>
  <c r="AC128" i="1"/>
  <c r="N186" i="1"/>
  <c r="S210" i="1"/>
  <c r="R210" i="1" s="1"/>
  <c r="N220" i="1"/>
  <c r="S220" i="1" s="1"/>
  <c r="N141" i="1"/>
  <c r="S158" i="1"/>
  <c r="T173" i="1"/>
  <c r="R173" i="1"/>
  <c r="S183" i="1"/>
  <c r="S23" i="1"/>
  <c r="N44" i="1"/>
  <c r="N56" i="1"/>
  <c r="S143" i="1"/>
  <c r="R143" i="1" s="1"/>
  <c r="S179" i="1"/>
  <c r="AD232" i="1"/>
  <c r="Q232" i="1"/>
  <c r="AC232" i="1"/>
  <c r="T232" i="1"/>
  <c r="AD247" i="1"/>
  <c r="AC247" i="1"/>
  <c r="Q247" i="1"/>
  <c r="AD265" i="1"/>
  <c r="Q265" i="1"/>
  <c r="AC265" i="1"/>
  <c r="AD313" i="1"/>
  <c r="Q313" i="1"/>
  <c r="T313" i="1"/>
  <c r="AC313" i="1"/>
  <c r="N41" i="1"/>
  <c r="S103" i="1"/>
  <c r="S109" i="1"/>
  <c r="R109" i="1" s="1"/>
  <c r="N169" i="1"/>
  <c r="N195" i="1"/>
  <c r="S196" i="1"/>
  <c r="R230" i="1"/>
  <c r="S234" i="1"/>
  <c r="S236" i="1"/>
  <c r="R240" i="1"/>
  <c r="T240" i="1"/>
  <c r="Q242" i="1"/>
  <c r="T242" i="1"/>
  <c r="N254" i="1"/>
  <c r="R265" i="1"/>
  <c r="R271" i="1"/>
  <c r="N289" i="1"/>
  <c r="T293" i="1"/>
  <c r="T312" i="1"/>
  <c r="N317" i="1"/>
  <c r="R324" i="1"/>
  <c r="R336" i="1"/>
  <c r="N340" i="1"/>
  <c r="Q346" i="1"/>
  <c r="S354" i="1"/>
  <c r="AG356" i="1"/>
  <c r="AI356" i="1"/>
  <c r="AE356" i="1"/>
  <c r="V356" i="1"/>
  <c r="AB356" i="1" s="1" a="1"/>
  <c r="AB356" i="1" s="1"/>
  <c r="Z356" i="1"/>
  <c r="AK356" i="1"/>
  <c r="Y356" i="1"/>
  <c r="AA356" i="1" s="1"/>
  <c r="AC358" i="1"/>
  <c r="R381" i="1"/>
  <c r="N387" i="1"/>
  <c r="R390" i="1"/>
  <c r="R395" i="1"/>
  <c r="Q395" i="1"/>
  <c r="T395" i="1"/>
  <c r="AC395" i="1"/>
  <c r="T399" i="1"/>
  <c r="N406" i="1"/>
  <c r="T408" i="1"/>
  <c r="R408" i="1"/>
  <c r="T424" i="1"/>
  <c r="R424" i="1"/>
  <c r="T433" i="1"/>
  <c r="R433" i="1"/>
  <c r="N435" i="1"/>
  <c r="Y459" i="1"/>
  <c r="AA459" i="1" s="1"/>
  <c r="AD462" i="1"/>
  <c r="Q462" i="1"/>
  <c r="S462" i="1"/>
  <c r="T475" i="1"/>
  <c r="R475" i="1"/>
  <c r="N483" i="1"/>
  <c r="T484" i="1"/>
  <c r="T510" i="1"/>
  <c r="AD516" i="1"/>
  <c r="AC516" i="1"/>
  <c r="S516" i="1"/>
  <c r="N522" i="1"/>
  <c r="N565" i="1"/>
  <c r="AB625" i="1" a="1"/>
  <c r="AB625" i="1" s="1"/>
  <c r="R635" i="1"/>
  <c r="T635" i="1"/>
  <c r="S11" i="1"/>
  <c r="R11" i="1" s="1"/>
  <c r="N32" i="1"/>
  <c r="R42" i="1"/>
  <c r="T42" i="1"/>
  <c r="S45" i="1"/>
  <c r="S54" i="1"/>
  <c r="R54" i="1" s="1"/>
  <c r="R70" i="1"/>
  <c r="N81" i="1"/>
  <c r="S97" i="1"/>
  <c r="R97" i="1" s="1"/>
  <c r="R110" i="1"/>
  <c r="N175" i="1"/>
  <c r="T203" i="1"/>
  <c r="N20" i="1"/>
  <c r="T27" i="1"/>
  <c r="R27" i="1" s="1"/>
  <c r="R30" i="1"/>
  <c r="N106" i="1"/>
  <c r="N118" i="1"/>
  <c r="N130" i="1"/>
  <c r="T137" i="1"/>
  <c r="R137" i="1"/>
  <c r="N144" i="1"/>
  <c r="R161" i="1"/>
  <c r="N177" i="1"/>
  <c r="N213" i="1"/>
  <c r="S221" i="1"/>
  <c r="T225" i="1"/>
  <c r="T229" i="1"/>
  <c r="R229" i="1" s="1"/>
  <c r="T233" i="1"/>
  <c r="Q246" i="1"/>
  <c r="AD246" i="1"/>
  <c r="AC246" i="1"/>
  <c r="N255" i="1"/>
  <c r="T265" i="1"/>
  <c r="T268" i="1"/>
  <c r="R268" i="1"/>
  <c r="T316" i="1"/>
  <c r="R316" i="1"/>
  <c r="AC318" i="1"/>
  <c r="Q318" i="1"/>
  <c r="T339" i="1"/>
  <c r="S341" i="1"/>
  <c r="AC346" i="1"/>
  <c r="T351" i="1"/>
  <c r="T353" i="1"/>
  <c r="AB362" i="1" a="1"/>
  <c r="AB362" i="1" s="1"/>
  <c r="N384" i="1"/>
  <c r="S400" i="1"/>
  <c r="AC400" i="1"/>
  <c r="AD400" i="1"/>
  <c r="AD418" i="1"/>
  <c r="AC418" i="1"/>
  <c r="Q418" i="1"/>
  <c r="AC434" i="1"/>
  <c r="AD434" i="1"/>
  <c r="S438" i="1"/>
  <c r="AC462" i="1"/>
  <c r="S482" i="1"/>
  <c r="T488" i="1"/>
  <c r="S494" i="1"/>
  <c r="Q505" i="1"/>
  <c r="AD505" i="1"/>
  <c r="T513" i="1"/>
  <c r="Q515" i="1"/>
  <c r="AD515" i="1"/>
  <c r="AB516" i="1" a="1"/>
  <c r="AB516" i="1" s="1"/>
  <c r="R545" i="1"/>
  <c r="N547" i="1"/>
  <c r="AD560" i="1"/>
  <c r="S571" i="1"/>
  <c r="S584" i="1"/>
  <c r="Q584" i="1"/>
  <c r="AD584" i="1"/>
  <c r="AC584" i="1"/>
  <c r="AD597" i="1"/>
  <c r="Q597" i="1"/>
  <c r="T597" i="1"/>
  <c r="R597" i="1"/>
  <c r="S597" i="1"/>
  <c r="S598" i="1"/>
  <c r="S615" i="1"/>
  <c r="Q615" i="1"/>
  <c r="AD615" i="1"/>
  <c r="AC615" i="1"/>
  <c r="AD623" i="1"/>
  <c r="Q623" i="1"/>
  <c r="AC623" i="1"/>
  <c r="Q627" i="1"/>
  <c r="AD627" i="1"/>
  <c r="AC627" i="1"/>
  <c r="S695" i="1"/>
  <c r="Q695" i="1"/>
  <c r="AC695" i="1"/>
  <c r="AD695" i="1"/>
  <c r="R758" i="1"/>
  <c r="T758" i="1"/>
  <c r="T38" i="1"/>
  <c r="N80" i="1"/>
  <c r="T125" i="1"/>
  <c r="S134" i="1"/>
  <c r="T158" i="1"/>
  <c r="S205" i="1"/>
  <c r="S325" i="1"/>
  <c r="R327" i="1"/>
  <c r="N68" i="1"/>
  <c r="T87" i="1"/>
  <c r="N108" i="1"/>
  <c r="T151" i="1"/>
  <c r="S170" i="1"/>
  <c r="R178" i="1"/>
  <c r="AC268" i="1"/>
  <c r="S268" i="1"/>
  <c r="S272" i="1"/>
  <c r="AC308" i="1"/>
  <c r="S308" i="1"/>
  <c r="AD308" i="1"/>
  <c r="Q308" i="1"/>
  <c r="T315" i="1"/>
  <c r="T326" i="1"/>
  <c r="AC326" i="1"/>
  <c r="Q358" i="1"/>
  <c r="Q365" i="1"/>
  <c r="AD365" i="1"/>
  <c r="AC365" i="1"/>
  <c r="AC372" i="1"/>
  <c r="AD372" i="1"/>
  <c r="Q372" i="1"/>
  <c r="S372" i="1"/>
  <c r="R372" i="1"/>
  <c r="AC416" i="1"/>
  <c r="Q416" i="1"/>
  <c r="AD425" i="1"/>
  <c r="Q425" i="1"/>
  <c r="AK453" i="1"/>
  <c r="V453" i="1"/>
  <c r="AI453" i="1"/>
  <c r="AE453" i="1"/>
  <c r="Y453" i="1"/>
  <c r="AA453" i="1" s="1"/>
  <c r="X453" i="1"/>
  <c r="S460" i="1"/>
  <c r="AC460" i="1"/>
  <c r="AD460" i="1"/>
  <c r="Q460" i="1"/>
  <c r="AD501" i="1"/>
  <c r="Q501" i="1"/>
  <c r="AC501" i="1"/>
  <c r="R501" i="1"/>
  <c r="R506" i="1"/>
  <c r="T506" i="1"/>
  <c r="AD513" i="1"/>
  <c r="Q513" i="1"/>
  <c r="AC513" i="1"/>
  <c r="R513" i="1"/>
  <c r="R518" i="1"/>
  <c r="AD549" i="1"/>
  <c r="Q549" i="1"/>
  <c r="T549" i="1"/>
  <c r="AC549" i="1"/>
  <c r="S549" i="1"/>
  <c r="AC563" i="1"/>
  <c r="AD563" i="1"/>
  <c r="S563" i="1"/>
  <c r="R563" i="1"/>
  <c r="R574" i="1"/>
  <c r="T574" i="1"/>
  <c r="AD581" i="1"/>
  <c r="AC581" i="1"/>
  <c r="Q581" i="1"/>
  <c r="AE589" i="1"/>
  <c r="AK589" i="1"/>
  <c r="AI589" i="1"/>
  <c r="X589" i="1"/>
  <c r="V589" i="1"/>
  <c r="Z589" i="1"/>
  <c r="Y589" i="1"/>
  <c r="AA589" i="1" s="1"/>
  <c r="AG589" i="1"/>
  <c r="T611" i="1"/>
  <c r="R611" i="1"/>
  <c r="S657" i="1"/>
  <c r="AC672" i="1"/>
  <c r="Q672" i="1"/>
  <c r="T672" i="1"/>
  <c r="AD672" i="1"/>
  <c r="AD704" i="1"/>
  <c r="Q704" i="1"/>
  <c r="S704" i="1"/>
  <c r="R704" i="1"/>
  <c r="AC704" i="1"/>
  <c r="AD735" i="1"/>
  <c r="Q735" i="1"/>
  <c r="AC735" i="1"/>
  <c r="S735" i="1"/>
  <c r="N10" i="1"/>
  <c r="T10" i="1" s="1"/>
  <c r="T14" i="1"/>
  <c r="R14" i="1" s="1"/>
  <c r="T66" i="1"/>
  <c r="N99" i="1"/>
  <c r="T112" i="1"/>
  <c r="T126" i="1"/>
  <c r="S159" i="1"/>
  <c r="R159" i="1" s="1"/>
  <c r="S168" i="1"/>
  <c r="R168" i="1" s="1"/>
  <c r="S180" i="1"/>
  <c r="T181" i="1"/>
  <c r="N227" i="1"/>
  <c r="T234" i="1"/>
  <c r="Q238" i="1"/>
  <c r="AD238" i="1"/>
  <c r="AC238" i="1"/>
  <c r="T255" i="1"/>
  <c r="AD258" i="1"/>
  <c r="AC258" i="1"/>
  <c r="S266" i="1"/>
  <c r="Q268" i="1"/>
  <c r="S297" i="1"/>
  <c r="S315" i="1"/>
  <c r="Q326" i="1"/>
  <c r="X362" i="1"/>
  <c r="V362" i="1"/>
  <c r="AG362" i="1"/>
  <c r="AE362" i="1"/>
  <c r="Y362" i="1"/>
  <c r="AA362" i="1" s="1"/>
  <c r="S388" i="1"/>
  <c r="AC388" i="1"/>
  <c r="R388" i="1"/>
  <c r="Q388" i="1"/>
  <c r="S417" i="1"/>
  <c r="R421" i="1"/>
  <c r="T421" i="1"/>
  <c r="N444" i="1"/>
  <c r="AG453" i="1"/>
  <c r="X459" i="1"/>
  <c r="T470" i="1"/>
  <c r="R470" i="1"/>
  <c r="AC470" i="1"/>
  <c r="Q470" i="1"/>
  <c r="AD470" i="1"/>
  <c r="AC502" i="1"/>
  <c r="AD502" i="1"/>
  <c r="R515" i="1"/>
  <c r="T515" i="1"/>
  <c r="AI516" i="1"/>
  <c r="Z516" i="1"/>
  <c r="Y516" i="1"/>
  <c r="AA516" i="1" s="1"/>
  <c r="AK516" i="1"/>
  <c r="AG516" i="1"/>
  <c r="AE516" i="1"/>
  <c r="X516" i="1"/>
  <c r="V516" i="1"/>
  <c r="S519" i="1"/>
  <c r="AD519" i="1"/>
  <c r="AC519" i="1"/>
  <c r="Q519" i="1"/>
  <c r="R519" i="1"/>
  <c r="AD590" i="1"/>
  <c r="AC590" i="1"/>
  <c r="S590" i="1"/>
  <c r="Q590" i="1"/>
  <c r="T622" i="1"/>
  <c r="R622" i="1"/>
  <c r="S629" i="1"/>
  <c r="AD647" i="1"/>
  <c r="Q647" i="1"/>
  <c r="S647" i="1"/>
  <c r="AC647" i="1"/>
  <c r="R647" i="1"/>
  <c r="R658" i="1"/>
  <c r="S743" i="1"/>
  <c r="R63" i="1"/>
  <c r="S121" i="1"/>
  <c r="N185" i="1"/>
  <c r="S191" i="1"/>
  <c r="R191" i="1" s="1"/>
  <c r="N192" i="1"/>
  <c r="N201" i="1"/>
  <c r="N8" i="1"/>
  <c r="R18" i="1"/>
  <c r="T18" i="1"/>
  <c r="T64" i="1"/>
  <c r="T67" i="1"/>
  <c r="S85" i="1"/>
  <c r="T104" i="1"/>
  <c r="R104" i="1" s="1"/>
  <c r="T116" i="1"/>
  <c r="R132" i="1"/>
  <c r="T146" i="1"/>
  <c r="R146" i="1" s="1"/>
  <c r="T194" i="1"/>
  <c r="R194" i="1" s="1"/>
  <c r="S225" i="1"/>
  <c r="R225" i="1" s="1"/>
  <c r="T236" i="1"/>
  <c r="R236" i="1" s="1"/>
  <c r="R262" i="1"/>
  <c r="N263" i="1"/>
  <c r="T267" i="1"/>
  <c r="AD268" i="1"/>
  <c r="N280" i="1"/>
  <c r="Q284" i="1"/>
  <c r="AC293" i="1"/>
  <c r="N296" i="1"/>
  <c r="AD326" i="1"/>
  <c r="Q342" i="1"/>
  <c r="AD342" i="1"/>
  <c r="AC342" i="1"/>
  <c r="T342" i="1"/>
  <c r="AD346" i="1"/>
  <c r="AI362" i="1"/>
  <c r="S365" i="1"/>
  <c r="AC367" i="1"/>
  <c r="AD395" i="1"/>
  <c r="N399" i="1"/>
  <c r="N408" i="1"/>
  <c r="AD409" i="1"/>
  <c r="Q409" i="1"/>
  <c r="R409" i="1"/>
  <c r="R427" i="1"/>
  <c r="Z430" i="1"/>
  <c r="Y430" i="1"/>
  <c r="AA430" i="1" s="1"/>
  <c r="X430" i="1"/>
  <c r="AK430" i="1"/>
  <c r="V430" i="1"/>
  <c r="AB430" i="1" s="1" a="1"/>
  <c r="AB430" i="1" s="1"/>
  <c r="AE430" i="1"/>
  <c r="T437" i="1"/>
  <c r="AD437" i="1"/>
  <c r="AC437" i="1"/>
  <c r="Q437" i="1"/>
  <c r="AD443" i="1"/>
  <c r="AD445" i="1"/>
  <c r="Q445" i="1"/>
  <c r="AC445" i="1"/>
  <c r="R445" i="1"/>
  <c r="R460" i="1"/>
  <c r="Q463" i="1"/>
  <c r="AC463" i="1"/>
  <c r="AD463" i="1"/>
  <c r="T465" i="1"/>
  <c r="T507" i="1"/>
  <c r="R507" i="1"/>
  <c r="S513" i="1"/>
  <c r="N552" i="1"/>
  <c r="S554" i="1"/>
  <c r="Q554" i="1"/>
  <c r="AD554" i="1"/>
  <c r="AC554" i="1"/>
  <c r="AD578" i="1"/>
  <c r="AC578" i="1"/>
  <c r="Q578" i="1"/>
  <c r="AD609" i="1"/>
  <c r="Q609" i="1"/>
  <c r="R609" i="1"/>
  <c r="AC609" i="1"/>
  <c r="S643" i="1"/>
  <c r="AC643" i="1"/>
  <c r="AD643" i="1"/>
  <c r="Q643" i="1"/>
  <c r="AC649" i="1"/>
  <c r="AD649" i="1"/>
  <c r="R649" i="1"/>
  <c r="Q649" i="1"/>
  <c r="AD762" i="1"/>
  <c r="S762" i="1"/>
  <c r="AC762" i="1"/>
  <c r="Q762" i="1"/>
  <c r="Q362" i="1"/>
  <c r="AD362" i="1"/>
  <c r="AC362" i="1"/>
  <c r="AC368" i="1"/>
  <c r="Q368" i="1"/>
  <c r="T406" i="1"/>
  <c r="S416" i="1"/>
  <c r="T462" i="1"/>
  <c r="R491" i="1"/>
  <c r="T491" i="1"/>
  <c r="AG517" i="1"/>
  <c r="AE517" i="1"/>
  <c r="AI517" i="1"/>
  <c r="Z517" i="1"/>
  <c r="Y517" i="1"/>
  <c r="AA517" i="1" s="1"/>
  <c r="X517" i="1"/>
  <c r="AK517" i="1"/>
  <c r="T579" i="1"/>
  <c r="R579" i="1"/>
  <c r="Q583" i="1"/>
  <c r="T583" i="1"/>
  <c r="R583" i="1"/>
  <c r="N645" i="1"/>
  <c r="Q648" i="1"/>
  <c r="AD648" i="1"/>
  <c r="AC648" i="1"/>
  <c r="T648" i="1"/>
  <c r="R648" i="1"/>
  <c r="S662" i="1"/>
  <c r="AC662" i="1"/>
  <c r="Q662" i="1"/>
  <c r="AD662" i="1"/>
  <c r="R666" i="1"/>
  <c r="T666" i="1"/>
  <c r="S669" i="1"/>
  <c r="AD705" i="1"/>
  <c r="Q705" i="1"/>
  <c r="AC705" i="1"/>
  <c r="Q778" i="1"/>
  <c r="AC778" i="1"/>
  <c r="AD778" i="1"/>
  <c r="T434" i="1"/>
  <c r="R439" i="1"/>
  <c r="R444" i="1"/>
  <c r="T444" i="1"/>
  <c r="R446" i="1"/>
  <c r="R463" i="1"/>
  <c r="S502" i="1"/>
  <c r="AD557" i="1"/>
  <c r="T557" i="1"/>
  <c r="AC557" i="1"/>
  <c r="R557" i="1"/>
  <c r="Q557" i="1"/>
  <c r="T575" i="1"/>
  <c r="R575" i="1"/>
  <c r="AD579" i="1"/>
  <c r="AC579" i="1"/>
  <c r="S579" i="1"/>
  <c r="Q579" i="1"/>
  <c r="N595" i="1"/>
  <c r="Q766" i="1"/>
  <c r="AD766" i="1"/>
  <c r="AC766" i="1"/>
  <c r="AC779" i="1"/>
  <c r="Q779" i="1"/>
  <c r="R779" i="1"/>
  <c r="AD779" i="1"/>
  <c r="T779" i="1"/>
  <c r="T16" i="1"/>
  <c r="S47" i="1"/>
  <c r="T76" i="1"/>
  <c r="T114" i="1"/>
  <c r="N166" i="1"/>
  <c r="T172" i="1"/>
  <c r="T222" i="1"/>
  <c r="N235" i="1"/>
  <c r="S239" i="1"/>
  <c r="N240" i="1"/>
  <c r="N249" i="1"/>
  <c r="S273" i="1"/>
  <c r="T290" i="1"/>
  <c r="N300" i="1"/>
  <c r="T300" i="1" s="1"/>
  <c r="T305" i="1"/>
  <c r="T319" i="1"/>
  <c r="R326" i="1"/>
  <c r="T384" i="1"/>
  <c r="S389" i="1"/>
  <c r="S419" i="1"/>
  <c r="AD433" i="1"/>
  <c r="Q433" i="1"/>
  <c r="S433" i="1"/>
  <c r="S434" i="1"/>
  <c r="S439" i="1"/>
  <c r="N440" i="1"/>
  <c r="AD468" i="1"/>
  <c r="Q468" i="1"/>
  <c r="AC468" i="1"/>
  <c r="R480" i="1"/>
  <c r="T480" i="1"/>
  <c r="R482" i="1"/>
  <c r="T482" i="1"/>
  <c r="S488" i="1"/>
  <c r="S503" i="1"/>
  <c r="Q503" i="1"/>
  <c r="AD503" i="1"/>
  <c r="N508" i="1"/>
  <c r="Q517" i="1"/>
  <c r="AD517" i="1"/>
  <c r="AC517" i="1"/>
  <c r="N538" i="1"/>
  <c r="R538" i="1" s="1"/>
  <c r="N543" i="1"/>
  <c r="N564" i="1"/>
  <c r="T609" i="1"/>
  <c r="N619" i="1"/>
  <c r="Q653" i="1"/>
  <c r="R653" i="1"/>
  <c r="AD653" i="1"/>
  <c r="S653" i="1"/>
  <c r="Q690" i="1"/>
  <c r="AD690" i="1"/>
  <c r="AC690" i="1"/>
  <c r="AD770" i="1"/>
  <c r="AC770" i="1"/>
  <c r="Q770" i="1"/>
  <c r="T770" i="1"/>
  <c r="T149" i="1"/>
  <c r="T161" i="1"/>
  <c r="S199" i="1"/>
  <c r="R199" i="1" s="1"/>
  <c r="S201" i="1"/>
  <c r="N207" i="1"/>
  <c r="N215" i="1"/>
  <c r="T238" i="1"/>
  <c r="S243" i="1"/>
  <c r="T285" i="1"/>
  <c r="R309" i="1"/>
  <c r="S313" i="1"/>
  <c r="N344" i="1"/>
  <c r="R346" i="1"/>
  <c r="N359" i="1"/>
  <c r="R368" i="1"/>
  <c r="AD368" i="1"/>
  <c r="AD374" i="1"/>
  <c r="Q374" i="1"/>
  <c r="AC374" i="1"/>
  <c r="AC380" i="1"/>
  <c r="R380" i="1"/>
  <c r="Q380" i="1"/>
  <c r="N396" i="1"/>
  <c r="T396" i="1" s="1"/>
  <c r="AB400" i="1" a="1"/>
  <c r="AB400" i="1" s="1"/>
  <c r="R402" i="1"/>
  <c r="T402" i="1"/>
  <c r="N405" i="1"/>
  <c r="AD429" i="1"/>
  <c r="AC429" i="1"/>
  <c r="Q429" i="1"/>
  <c r="S429" i="1"/>
  <c r="N447" i="1"/>
  <c r="R447" i="1" s="1"/>
  <c r="AD457" i="1"/>
  <c r="Q457" i="1"/>
  <c r="AC457" i="1"/>
  <c r="R457" i="1"/>
  <c r="Q458" i="1"/>
  <c r="T458" i="1"/>
  <c r="AC476" i="1"/>
  <c r="T476" i="1"/>
  <c r="Q476" i="1"/>
  <c r="R476" i="1"/>
  <c r="AD500" i="1"/>
  <c r="AC500" i="1"/>
  <c r="R500" i="1"/>
  <c r="Q500" i="1"/>
  <c r="X503" i="1"/>
  <c r="V503" i="1"/>
  <c r="AB503" i="1" s="1" a="1"/>
  <c r="AB503" i="1" s="1"/>
  <c r="Z503" i="1"/>
  <c r="Y503" i="1"/>
  <c r="AA503" i="1" s="1"/>
  <c r="AE503" i="1"/>
  <c r="N504" i="1"/>
  <c r="Q506" i="1"/>
  <c r="AD506" i="1"/>
  <c r="AC506" i="1"/>
  <c r="N511" i="1"/>
  <c r="T517" i="1"/>
  <c r="T521" i="1"/>
  <c r="AD529" i="1"/>
  <c r="Q529" i="1"/>
  <c r="T529" i="1"/>
  <c r="N567" i="1"/>
  <c r="Q611" i="1"/>
  <c r="AD611" i="1"/>
  <c r="R626" i="1"/>
  <c r="T626" i="1"/>
  <c r="T634" i="1"/>
  <c r="R634" i="1"/>
  <c r="R650" i="1"/>
  <c r="V787" i="1"/>
  <c r="Z787" i="1"/>
  <c r="Y787" i="1"/>
  <c r="AA787" i="1" s="1"/>
  <c r="X787" i="1"/>
  <c r="AK787" i="1"/>
  <c r="AI787" i="1"/>
  <c r="AG787" i="1"/>
  <c r="AE787" i="1"/>
  <c r="N234" i="1"/>
  <c r="T237" i="1"/>
  <c r="N297" i="1"/>
  <c r="N298" i="1"/>
  <c r="T298" i="1" s="1"/>
  <c r="N329" i="1"/>
  <c r="T340" i="1"/>
  <c r="T372" i="1"/>
  <c r="S421" i="1"/>
  <c r="T425" i="1"/>
  <c r="R429" i="1"/>
  <c r="R450" i="1"/>
  <c r="T457" i="1"/>
  <c r="N464" i="1"/>
  <c r="S467" i="1"/>
  <c r="S470" i="1"/>
  <c r="T473" i="1"/>
  <c r="N477" i="1"/>
  <c r="T486" i="1"/>
  <c r="Q495" i="1"/>
  <c r="AD495" i="1"/>
  <c r="S500" i="1"/>
  <c r="S506" i="1"/>
  <c r="N530" i="1"/>
  <c r="AD537" i="1"/>
  <c r="Q537" i="1"/>
  <c r="R537" i="1"/>
  <c r="R551" i="1"/>
  <c r="S565" i="1"/>
  <c r="T581" i="1"/>
  <c r="S605" i="1"/>
  <c r="AC606" i="1"/>
  <c r="S606" i="1"/>
  <c r="AD606" i="1"/>
  <c r="AD638" i="1"/>
  <c r="Q638" i="1"/>
  <c r="AC638" i="1"/>
  <c r="AC702" i="1"/>
  <c r="T702" i="1"/>
  <c r="R702" i="1"/>
  <c r="Q702" i="1"/>
  <c r="S721" i="1"/>
  <c r="S734" i="1"/>
  <c r="AD763" i="1"/>
  <c r="Q763" i="1"/>
  <c r="T763" i="1"/>
  <c r="S763" i="1"/>
  <c r="AC763" i="1"/>
  <c r="AC781" i="1"/>
  <c r="Q781" i="1"/>
  <c r="AD781" i="1"/>
  <c r="T781" i="1"/>
  <c r="R187" i="1"/>
  <c r="T200" i="1"/>
  <c r="S218" i="1"/>
  <c r="R218" i="1" s="1"/>
  <c r="R232" i="1"/>
  <c r="N267" i="1"/>
  <c r="N269" i="1"/>
  <c r="N271" i="1"/>
  <c r="T280" i="1"/>
  <c r="R282" i="1"/>
  <c r="S286" i="1"/>
  <c r="S287" i="1"/>
  <c r="T288" i="1"/>
  <c r="T292" i="1"/>
  <c r="R294" i="1"/>
  <c r="T294" i="1"/>
  <c r="N322" i="1"/>
  <c r="N347" i="1"/>
  <c r="T362" i="1"/>
  <c r="Q371" i="1"/>
  <c r="AD371" i="1"/>
  <c r="R374" i="1"/>
  <c r="T381" i="1"/>
  <c r="AC383" i="1"/>
  <c r="R383" i="1"/>
  <c r="Q383" i="1"/>
  <c r="T393" i="1"/>
  <c r="S398" i="1"/>
  <c r="S410" i="1"/>
  <c r="S418" i="1"/>
  <c r="N423" i="1"/>
  <c r="R426" i="1"/>
  <c r="S431" i="1"/>
  <c r="N432" i="1"/>
  <c r="T432" i="1" s="1"/>
  <c r="R441" i="1"/>
  <c r="T451" i="1"/>
  <c r="AC459" i="1"/>
  <c r="Q459" i="1"/>
  <c r="R461" i="1"/>
  <c r="T461" i="1"/>
  <c r="R468" i="1"/>
  <c r="AC478" i="1"/>
  <c r="T481" i="1"/>
  <c r="T492" i="1"/>
  <c r="N534" i="1"/>
  <c r="AD535" i="1"/>
  <c r="AC535" i="1"/>
  <c r="Q535" i="1"/>
  <c r="R535" i="1"/>
  <c r="T546" i="1"/>
  <c r="AC551" i="1"/>
  <c r="Q551" i="1"/>
  <c r="S589" i="1"/>
  <c r="AD656" i="1"/>
  <c r="AC656" i="1"/>
  <c r="S656" i="1"/>
  <c r="R656" i="1"/>
  <c r="Q656" i="1"/>
  <c r="R741" i="1"/>
  <c r="T741" i="1"/>
  <c r="AD741" i="1"/>
  <c r="AC741" i="1"/>
  <c r="R768" i="1"/>
  <c r="T768" i="1"/>
  <c r="AD799" i="1"/>
  <c r="AC799" i="1"/>
  <c r="Q799" i="1"/>
  <c r="R139" i="1"/>
  <c r="T139" i="1"/>
  <c r="N165" i="1"/>
  <c r="S187" i="1"/>
  <c r="S204" i="1"/>
  <c r="N208" i="1"/>
  <c r="T219" i="1"/>
  <c r="R219" i="1" s="1"/>
  <c r="S223" i="1"/>
  <c r="T228" i="1"/>
  <c r="R228" i="1"/>
  <c r="N277" i="1"/>
  <c r="S282" i="1"/>
  <c r="S284" i="1"/>
  <c r="R293" i="1"/>
  <c r="R295" i="1"/>
  <c r="T314" i="1"/>
  <c r="N320" i="1"/>
  <c r="R329" i="1"/>
  <c r="R330" i="1"/>
  <c r="N333" i="1"/>
  <c r="T343" i="1"/>
  <c r="S355" i="1"/>
  <c r="T361" i="1"/>
  <c r="T397" i="1"/>
  <c r="R422" i="1"/>
  <c r="S426" i="1"/>
  <c r="T430" i="1"/>
  <c r="N455" i="1"/>
  <c r="S468" i="1"/>
  <c r="T477" i="1"/>
  <c r="R477" i="1"/>
  <c r="AD478" i="1"/>
  <c r="S487" i="1"/>
  <c r="T501" i="1"/>
  <c r="T534" i="1"/>
  <c r="N539" i="1"/>
  <c r="S542" i="1"/>
  <c r="T551" i="1"/>
  <c r="T563" i="1"/>
  <c r="R581" i="1"/>
  <c r="AG585" i="1"/>
  <c r="AK585" i="1"/>
  <c r="AI585" i="1"/>
  <c r="AE585" i="1"/>
  <c r="V585" i="1"/>
  <c r="AB585" i="1" s="1" a="1"/>
  <c r="AB585" i="1" s="1"/>
  <c r="Y585" i="1"/>
  <c r="AA585" i="1" s="1"/>
  <c r="S588" i="1"/>
  <c r="R588" i="1"/>
  <c r="Q588" i="1"/>
  <c r="R638" i="1"/>
  <c r="T638" i="1"/>
  <c r="N644" i="1"/>
  <c r="AD673" i="1"/>
  <c r="Q673" i="1"/>
  <c r="AC673" i="1"/>
  <c r="T673" i="1"/>
  <c r="S673" i="1"/>
  <c r="R673" i="1"/>
  <c r="AD682" i="1"/>
  <c r="Q682" i="1"/>
  <c r="AC682" i="1"/>
  <c r="AC713" i="1"/>
  <c r="R713" i="1"/>
  <c r="Q713" i="1"/>
  <c r="T713" i="1"/>
  <c r="Q728" i="1"/>
  <c r="AD728" i="1"/>
  <c r="AC728" i="1"/>
  <c r="R728" i="1"/>
  <c r="T799" i="1"/>
  <c r="S317" i="1"/>
  <c r="R318" i="1"/>
  <c r="T318" i="1"/>
  <c r="S326" i="1"/>
  <c r="T337" i="1"/>
  <c r="S346" i="1"/>
  <c r="S347" i="1"/>
  <c r="AC356" i="1"/>
  <c r="Q356" i="1"/>
  <c r="AD356" i="1"/>
  <c r="N377" i="1"/>
  <c r="R377" i="1" s="1"/>
  <c r="N385" i="1"/>
  <c r="N389" i="1"/>
  <c r="N392" i="1"/>
  <c r="N404" i="1"/>
  <c r="N407" i="1"/>
  <c r="S425" i="1"/>
  <c r="T445" i="1"/>
  <c r="N449" i="1"/>
  <c r="R458" i="1"/>
  <c r="N471" i="1"/>
  <c r="AB478" i="1" a="1"/>
  <c r="AB478" i="1" s="1"/>
  <c r="N497" i="1"/>
  <c r="S508" i="1"/>
  <c r="S515" i="1"/>
  <c r="T520" i="1"/>
  <c r="N550" i="1"/>
  <c r="S551" i="1"/>
  <c r="T570" i="1"/>
  <c r="S582" i="1"/>
  <c r="R584" i="1"/>
  <c r="N612" i="1"/>
  <c r="S617" i="1"/>
  <c r="R623" i="1"/>
  <c r="T623" i="1"/>
  <c r="S639" i="1"/>
  <c r="T647" i="1"/>
  <c r="AD691" i="1"/>
  <c r="AC691" i="1"/>
  <c r="R691" i="1"/>
  <c r="Q691" i="1"/>
  <c r="N693" i="1"/>
  <c r="AD694" i="1"/>
  <c r="S694" i="1"/>
  <c r="Q694" i="1"/>
  <c r="T694" i="1"/>
  <c r="AC694" i="1"/>
  <c r="AD708" i="1"/>
  <c r="AC708" i="1"/>
  <c r="T708" i="1"/>
  <c r="R708" i="1"/>
  <c r="Q708" i="1"/>
  <c r="T732" i="1"/>
  <c r="Q732" i="1"/>
  <c r="AC732" i="1"/>
  <c r="R732" i="1"/>
  <c r="AD732" i="1"/>
  <c r="N196" i="1"/>
  <c r="T197" i="1"/>
  <c r="R206" i="1"/>
  <c r="S235" i="1"/>
  <c r="N251" i="1"/>
  <c r="S253" i="1"/>
  <c r="N260" i="1"/>
  <c r="R264" i="1"/>
  <c r="T284" i="1"/>
  <c r="S293" i="1"/>
  <c r="R304" i="1"/>
  <c r="R313" i="1"/>
  <c r="S323" i="1"/>
  <c r="R333" i="1"/>
  <c r="R342" i="1"/>
  <c r="R353" i="1"/>
  <c r="R354" i="1"/>
  <c r="T360" i="1"/>
  <c r="R366" i="1"/>
  <c r="T366" i="1"/>
  <c r="T370" i="1"/>
  <c r="R378" i="1"/>
  <c r="T379" i="1"/>
  <c r="T382" i="1"/>
  <c r="T388" i="1"/>
  <c r="T391" i="1"/>
  <c r="R401" i="1"/>
  <c r="T411" i="1"/>
  <c r="T412" i="1"/>
  <c r="R414" i="1"/>
  <c r="T460" i="1"/>
  <c r="R483" i="1"/>
  <c r="T509" i="1"/>
  <c r="T516" i="1"/>
  <c r="S547" i="1"/>
  <c r="N553" i="1"/>
  <c r="N562" i="1"/>
  <c r="S562" i="1" s="1"/>
  <c r="R578" i="1"/>
  <c r="AD626" i="1"/>
  <c r="Q626" i="1"/>
  <c r="AC626" i="1"/>
  <c r="S636" i="1"/>
  <c r="Q636" i="1"/>
  <c r="S644" i="1"/>
  <c r="R668" i="1"/>
  <c r="R739" i="1"/>
  <c r="T739" i="1"/>
  <c r="R748" i="1"/>
  <c r="T748" i="1"/>
  <c r="AC748" i="1"/>
  <c r="AD748" i="1"/>
  <c r="Q748" i="1"/>
  <c r="AD809" i="1"/>
  <c r="S809" i="1"/>
  <c r="Q809" i="1"/>
  <c r="AC809" i="1"/>
  <c r="S369" i="1"/>
  <c r="T373" i="1"/>
  <c r="S378" i="1"/>
  <c r="R386" i="1"/>
  <c r="R392" i="1"/>
  <c r="R398" i="1"/>
  <c r="S401" i="1"/>
  <c r="R404" i="1"/>
  <c r="R410" i="1"/>
  <c r="R413" i="1"/>
  <c r="R418" i="1"/>
  <c r="T418" i="1"/>
  <c r="N452" i="1"/>
  <c r="R497" i="1"/>
  <c r="N498" i="1"/>
  <c r="T503" i="1"/>
  <c r="R514" i="1"/>
  <c r="Q514" i="1"/>
  <c r="T526" i="1"/>
  <c r="Q577" i="1"/>
  <c r="AC577" i="1"/>
  <c r="AD577" i="1"/>
  <c r="AD585" i="1"/>
  <c r="Q585" i="1"/>
  <c r="R598" i="1"/>
  <c r="T598" i="1"/>
  <c r="N603" i="1"/>
  <c r="R603" i="1" s="1"/>
  <c r="AC616" i="1"/>
  <c r="Q616" i="1"/>
  <c r="AD616" i="1"/>
  <c r="AC620" i="1"/>
  <c r="Q620" i="1"/>
  <c r="AD620" i="1"/>
  <c r="S620" i="1"/>
  <c r="R627" i="1"/>
  <c r="T627" i="1"/>
  <c r="Q630" i="1"/>
  <c r="AC630" i="1"/>
  <c r="S630" i="1"/>
  <c r="R630" i="1"/>
  <c r="AD630" i="1"/>
  <c r="S641" i="1"/>
  <c r="S655" i="1"/>
  <c r="N675" i="1"/>
  <c r="T675" i="1" s="1"/>
  <c r="R698" i="1"/>
  <c r="T698" i="1"/>
  <c r="S713" i="1"/>
  <c r="AC759" i="1"/>
  <c r="AD759" i="1"/>
  <c r="Q759" i="1"/>
  <c r="S759" i="1"/>
  <c r="AD764" i="1"/>
  <c r="AC764" i="1"/>
  <c r="R764" i="1"/>
  <c r="Q764" i="1"/>
  <c r="T764" i="1"/>
  <c r="T767" i="1"/>
  <c r="R767" i="1"/>
  <c r="Q767" i="1"/>
  <c r="AD767" i="1"/>
  <c r="AC767" i="1"/>
  <c r="R246" i="1"/>
  <c r="T246" i="1"/>
  <c r="R253" i="1"/>
  <c r="N272" i="1"/>
  <c r="R284" i="1"/>
  <c r="S299" i="1"/>
  <c r="R315" i="1"/>
  <c r="T328" i="1"/>
  <c r="N354" i="1"/>
  <c r="N363" i="1"/>
  <c r="T364" i="1"/>
  <c r="R367" i="1"/>
  <c r="T367" i="1"/>
  <c r="T376" i="1"/>
  <c r="S409" i="1"/>
  <c r="R425" i="1"/>
  <c r="R434" i="1"/>
  <c r="R440" i="1"/>
  <c r="R494" i="1"/>
  <c r="T494" i="1"/>
  <c r="T512" i="1"/>
  <c r="S523" i="1"/>
  <c r="T561" i="1"/>
  <c r="T567" i="1"/>
  <c r="N586" i="1"/>
  <c r="N596" i="1"/>
  <c r="AB606" i="1" a="1"/>
  <c r="AB606" i="1" s="1"/>
  <c r="S627" i="1"/>
  <c r="N632" i="1"/>
  <c r="AK680" i="1"/>
  <c r="AG680" i="1"/>
  <c r="Y680" i="1"/>
  <c r="AA680" i="1" s="1"/>
  <c r="X680" i="1"/>
  <c r="V680" i="1"/>
  <c r="AB680" i="1" s="1" a="1"/>
  <c r="AB680" i="1" s="1"/>
  <c r="AE680" i="1"/>
  <c r="R681" i="1"/>
  <c r="Q681" i="1"/>
  <c r="T681" i="1"/>
  <c r="AD681" i="1"/>
  <c r="AC681" i="1"/>
  <c r="T688" i="1"/>
  <c r="AD796" i="1"/>
  <c r="AC796" i="1"/>
  <c r="Q796" i="1"/>
  <c r="T244" i="1"/>
  <c r="R306" i="1"/>
  <c r="T306" i="1"/>
  <c r="N332" i="1"/>
  <c r="S358" i="1"/>
  <c r="N436" i="1"/>
  <c r="AB453" i="1" a="1"/>
  <c r="AB453" i="1" s="1"/>
  <c r="R462" i="1"/>
  <c r="N520" i="1"/>
  <c r="T555" i="1"/>
  <c r="S556" i="1"/>
  <c r="R580" i="1"/>
  <c r="N604" i="1"/>
  <c r="T606" i="1"/>
  <c r="N607" i="1"/>
  <c r="N617" i="1"/>
  <c r="T618" i="1"/>
  <c r="N655" i="1"/>
  <c r="T674" i="1"/>
  <c r="R674" i="1"/>
  <c r="S679" i="1"/>
  <c r="AC683" i="1"/>
  <c r="Q683" i="1"/>
  <c r="T683" i="1"/>
  <c r="R683" i="1"/>
  <c r="AC703" i="1"/>
  <c r="Q703" i="1"/>
  <c r="AD703" i="1"/>
  <c r="S703" i="1"/>
  <c r="R705" i="1"/>
  <c r="T705" i="1"/>
  <c r="Q706" i="1"/>
  <c r="AD706" i="1"/>
  <c r="T727" i="1"/>
  <c r="R727" i="1"/>
  <c r="AC768" i="1"/>
  <c r="Q768" i="1"/>
  <c r="AD768" i="1"/>
  <c r="AC802" i="1"/>
  <c r="AD802" i="1"/>
  <c r="T802" i="1"/>
  <c r="Q802" i="1"/>
  <c r="T803" i="1"/>
  <c r="R803" i="1"/>
  <c r="AD803" i="1"/>
  <c r="Q803" i="1"/>
  <c r="N248" i="1"/>
  <c r="S275" i="1"/>
  <c r="T304" i="1"/>
  <c r="N394" i="1"/>
  <c r="T422" i="1"/>
  <c r="S443" i="1"/>
  <c r="T453" i="1"/>
  <c r="T472" i="1"/>
  <c r="R486" i="1"/>
  <c r="N493" i="1"/>
  <c r="T495" i="1"/>
  <c r="R505" i="1"/>
  <c r="T505" i="1"/>
  <c r="N523" i="1"/>
  <c r="N532" i="1"/>
  <c r="T537" i="1"/>
  <c r="N544" i="1"/>
  <c r="R560" i="1"/>
  <c r="N572" i="1"/>
  <c r="Q574" i="1"/>
  <c r="AC574" i="1"/>
  <c r="S580" i="1"/>
  <c r="T614" i="1"/>
  <c r="R616" i="1"/>
  <c r="T616" i="1"/>
  <c r="T624" i="1"/>
  <c r="N637" i="1"/>
  <c r="S659" i="1"/>
  <c r="AC659" i="1"/>
  <c r="Q659" i="1"/>
  <c r="AD659" i="1"/>
  <c r="R661" i="1"/>
  <c r="AD678" i="1"/>
  <c r="AC678" i="1"/>
  <c r="Q678" i="1"/>
  <c r="R682" i="1"/>
  <c r="T682" i="1"/>
  <c r="Q689" i="1"/>
  <c r="AD689" i="1"/>
  <c r="AC689" i="1"/>
  <c r="T689" i="1"/>
  <c r="R689" i="1"/>
  <c r="Q700" i="1"/>
  <c r="T700" i="1"/>
  <c r="AC700" i="1"/>
  <c r="R700" i="1"/>
  <c r="S705" i="1"/>
  <c r="N710" i="1"/>
  <c r="AC714" i="1"/>
  <c r="R714" i="1"/>
  <c r="Q714" i="1"/>
  <c r="T714" i="1"/>
  <c r="AD714" i="1"/>
  <c r="AC722" i="1"/>
  <c r="T722" i="1"/>
  <c r="R722" i="1"/>
  <c r="Q722" i="1"/>
  <c r="S736" i="1"/>
  <c r="AC744" i="1"/>
  <c r="AD744" i="1"/>
  <c r="Q744" i="1"/>
  <c r="R744" i="1"/>
  <c r="T777" i="1"/>
  <c r="R529" i="1"/>
  <c r="S537" i="1"/>
  <c r="N599" i="1"/>
  <c r="T600" i="1"/>
  <c r="T608" i="1"/>
  <c r="S609" i="1"/>
  <c r="S613" i="1"/>
  <c r="N651" i="1"/>
  <c r="AD674" i="1"/>
  <c r="Q674" i="1"/>
  <c r="AC674" i="1"/>
  <c r="S674" i="1"/>
  <c r="R678" i="1"/>
  <c r="AD687" i="1"/>
  <c r="AC687" i="1"/>
  <c r="Q687" i="1"/>
  <c r="N723" i="1"/>
  <c r="T742" i="1"/>
  <c r="AD742" i="1"/>
  <c r="R742" i="1"/>
  <c r="Q742" i="1"/>
  <c r="AC742" i="1"/>
  <c r="S768" i="1"/>
  <c r="AD787" i="1"/>
  <c r="Q787" i="1"/>
  <c r="AC787" i="1"/>
  <c r="T787" i="1"/>
  <c r="S787" i="1"/>
  <c r="S793" i="1"/>
  <c r="AD793" i="1"/>
  <c r="Q793" i="1"/>
  <c r="T553" i="1"/>
  <c r="R554" i="1"/>
  <c r="T554" i="1"/>
  <c r="R590" i="1"/>
  <c r="T590" i="1"/>
  <c r="N608" i="1"/>
  <c r="AC628" i="1"/>
  <c r="AD628" i="1"/>
  <c r="S637" i="1"/>
  <c r="T646" i="1"/>
  <c r="N668" i="1"/>
  <c r="S672" i="1"/>
  <c r="T684" i="1"/>
  <c r="R684" i="1"/>
  <c r="AD684" i="1"/>
  <c r="Q684" i="1"/>
  <c r="S690" i="1"/>
  <c r="Q696" i="1"/>
  <c r="AC696" i="1"/>
  <c r="AE697" i="1"/>
  <c r="Z697" i="1"/>
  <c r="AI697" i="1"/>
  <c r="AK697" i="1"/>
  <c r="V697" i="1"/>
  <c r="AB697" i="1" s="1" a="1"/>
  <c r="AB697" i="1" s="1"/>
  <c r="AG697" i="1"/>
  <c r="T704" i="1"/>
  <c r="AD715" i="1"/>
  <c r="T715" i="1"/>
  <c r="S715" i="1"/>
  <c r="Q715" i="1"/>
  <c r="T717" i="1"/>
  <c r="N718" i="1"/>
  <c r="S718" i="1" s="1"/>
  <c r="Q752" i="1"/>
  <c r="R752" i="1"/>
  <c r="AC752" i="1"/>
  <c r="AD752" i="1"/>
  <c r="T809" i="1"/>
  <c r="S371" i="1"/>
  <c r="T400" i="1"/>
  <c r="T448" i="1"/>
  <c r="N469" i="1"/>
  <c r="S479" i="1"/>
  <c r="T490" i="1"/>
  <c r="S499" i="1"/>
  <c r="T504" i="1"/>
  <c r="T519" i="1"/>
  <c r="S535" i="1"/>
  <c r="N571" i="1"/>
  <c r="N580" i="1"/>
  <c r="N594" i="1"/>
  <c r="R600" i="1"/>
  <c r="T610" i="1"/>
  <c r="R610" i="1"/>
  <c r="T630" i="1"/>
  <c r="N635" i="1"/>
  <c r="N641" i="1"/>
  <c r="T643" i="1"/>
  <c r="R651" i="1"/>
  <c r="Q652" i="1"/>
  <c r="AD652" i="1"/>
  <c r="R679" i="1"/>
  <c r="T679" i="1"/>
  <c r="S681" i="1"/>
  <c r="S717" i="1"/>
  <c r="AC719" i="1"/>
  <c r="Q719" i="1"/>
  <c r="AD719" i="1"/>
  <c r="S730" i="1"/>
  <c r="S761" i="1"/>
  <c r="AD761" i="1"/>
  <c r="AC761" i="1"/>
  <c r="N496" i="1"/>
  <c r="T522" i="1"/>
  <c r="T528" i="1"/>
  <c r="N536" i="1"/>
  <c r="T564" i="1"/>
  <c r="T573" i="1"/>
  <c r="T576" i="1"/>
  <c r="N582" i="1"/>
  <c r="S583" i="1"/>
  <c r="N591" i="1"/>
  <c r="N600" i="1"/>
  <c r="R642" i="1"/>
  <c r="N671" i="1"/>
  <c r="S683" i="1"/>
  <c r="R717" i="1"/>
  <c r="AC737" i="1"/>
  <c r="S737" i="1"/>
  <c r="Q737" i="1"/>
  <c r="R737" i="1"/>
  <c r="T738" i="1"/>
  <c r="R738" i="1"/>
  <c r="S741" i="1"/>
  <c r="T540" i="1"/>
  <c r="R540" i="1"/>
  <c r="R549" i="1"/>
  <c r="T588" i="1"/>
  <c r="S607" i="1"/>
  <c r="N633" i="1"/>
  <c r="S642" i="1"/>
  <c r="T649" i="1"/>
  <c r="T653" i="1"/>
  <c r="N654" i="1"/>
  <c r="T656" i="1"/>
  <c r="T662" i="1"/>
  <c r="T664" i="1"/>
  <c r="S670" i="1"/>
  <c r="R677" i="1"/>
  <c r="R687" i="1"/>
  <c r="AC751" i="1"/>
  <c r="Q751" i="1"/>
  <c r="AD751" i="1"/>
  <c r="T751" i="1"/>
  <c r="AC760" i="1"/>
  <c r="Q760" i="1"/>
  <c r="AD760" i="1"/>
  <c r="S764" i="1"/>
  <c r="AC776" i="1"/>
  <c r="R776" i="1"/>
  <c r="AD776" i="1"/>
  <c r="Q776" i="1"/>
  <c r="T584" i="1"/>
  <c r="N587" i="1"/>
  <c r="AB589" i="1" a="1"/>
  <c r="AB589" i="1" s="1"/>
  <c r="N592" i="1"/>
  <c r="R602" i="1"/>
  <c r="S619" i="1"/>
  <c r="N621" i="1"/>
  <c r="S621" i="1" s="1"/>
  <c r="R628" i="1"/>
  <c r="S631" i="1"/>
  <c r="R639" i="1"/>
  <c r="T639" i="1"/>
  <c r="S649" i="1"/>
  <c r="N650" i="1"/>
  <c r="AC680" i="1"/>
  <c r="Q680" i="1"/>
  <c r="N699" i="1"/>
  <c r="R701" i="1"/>
  <c r="S714" i="1"/>
  <c r="R750" i="1"/>
  <c r="X751" i="1"/>
  <c r="Z751" i="1"/>
  <c r="AK751" i="1"/>
  <c r="AI751" i="1"/>
  <c r="V751" i="1"/>
  <c r="AG751" i="1"/>
  <c r="AE751" i="1"/>
  <c r="Y751" i="1"/>
  <c r="AA751" i="1" s="1"/>
  <c r="N773" i="1"/>
  <c r="R790" i="1"/>
  <c r="T790" i="1"/>
  <c r="Q797" i="1"/>
  <c r="T797" i="1"/>
  <c r="AD797" i="1"/>
  <c r="R670" i="1"/>
  <c r="S684" i="1"/>
  <c r="N685" i="1"/>
  <c r="S708" i="1"/>
  <c r="T721" i="1"/>
  <c r="T725" i="1"/>
  <c r="R734" i="1"/>
  <c r="S748" i="1"/>
  <c r="S757" i="1"/>
  <c r="R757" i="1"/>
  <c r="Q757" i="1"/>
  <c r="AC757" i="1"/>
  <c r="AD757" i="1"/>
  <c r="T782" i="1"/>
  <c r="AC792" i="1"/>
  <c r="R792" i="1"/>
  <c r="AD792" i="1"/>
  <c r="Q792" i="1"/>
  <c r="T792" i="1"/>
  <c r="S593" i="1"/>
  <c r="S611" i="1"/>
  <c r="S668" i="1"/>
  <c r="S682" i="1"/>
  <c r="T691" i="1"/>
  <c r="N692" i="1"/>
  <c r="S701" i="1"/>
  <c r="R706" i="1"/>
  <c r="N707" i="1"/>
  <c r="T707" i="1" s="1"/>
  <c r="S722" i="1"/>
  <c r="Q740" i="1"/>
  <c r="AD740" i="1"/>
  <c r="S740" i="1"/>
  <c r="AC740" i="1"/>
  <c r="T740" i="1"/>
  <c r="N749" i="1"/>
  <c r="S750" i="1"/>
  <c r="R760" i="1"/>
  <c r="T760" i="1"/>
  <c r="T778" i="1"/>
  <c r="S783" i="1"/>
  <c r="AD783" i="1"/>
  <c r="AC807" i="1"/>
  <c r="Q807" i="1"/>
  <c r="AD807" i="1"/>
  <c r="R731" i="1"/>
  <c r="T731" i="1"/>
  <c r="T766" i="1"/>
  <c r="AD772" i="1"/>
  <c r="AC772" i="1"/>
  <c r="S772" i="1"/>
  <c r="Q772" i="1"/>
  <c r="Q788" i="1"/>
  <c r="R788" i="1"/>
  <c r="AC788" i="1"/>
  <c r="N789" i="1"/>
  <c r="AC812" i="1"/>
  <c r="AD812" i="1"/>
  <c r="T812" i="1"/>
  <c r="Q812" i="1"/>
  <c r="N646" i="1"/>
  <c r="N677" i="1"/>
  <c r="S697" i="1"/>
  <c r="N711" i="1"/>
  <c r="N729" i="1"/>
  <c r="T729" i="1" s="1"/>
  <c r="T737" i="1"/>
  <c r="AC747" i="1"/>
  <c r="T747" i="1"/>
  <c r="Q747" i="1"/>
  <c r="AD747" i="1"/>
  <c r="N753" i="1"/>
  <c r="N755" i="1"/>
  <c r="S755" i="1" s="1"/>
  <c r="S766" i="1"/>
  <c r="R542" i="1"/>
  <c r="T542" i="1"/>
  <c r="N568" i="1"/>
  <c r="S595" i="1"/>
  <c r="N614" i="1"/>
  <c r="T636" i="1"/>
  <c r="N640" i="1"/>
  <c r="N657" i="1"/>
  <c r="R686" i="1"/>
  <c r="R696" i="1"/>
  <c r="T696" i="1"/>
  <c r="T703" i="1"/>
  <c r="R709" i="1"/>
  <c r="R715" i="1"/>
  <c r="N716" i="1"/>
  <c r="N726" i="1"/>
  <c r="S726" i="1" s="1"/>
  <c r="AC731" i="1"/>
  <c r="Q731" i="1"/>
  <c r="T744" i="1"/>
  <c r="N746" i="1"/>
  <c r="S747" i="1"/>
  <c r="N784" i="1"/>
  <c r="R807" i="1"/>
  <c r="T807" i="1"/>
  <c r="N660" i="1"/>
  <c r="N663" i="1"/>
  <c r="R672" i="1"/>
  <c r="R695" i="1"/>
  <c r="S696" i="1"/>
  <c r="Q697" i="1"/>
  <c r="AD697" i="1"/>
  <c r="S709" i="1"/>
  <c r="S719" i="1"/>
  <c r="N720" i="1"/>
  <c r="T720" i="1" s="1"/>
  <c r="AC727" i="1"/>
  <c r="AD727" i="1"/>
  <c r="Q727" i="1"/>
  <c r="S727" i="1"/>
  <c r="T752" i="1"/>
  <c r="N754" i="1"/>
  <c r="AC780" i="1"/>
  <c r="AD780" i="1"/>
  <c r="Q780" i="1"/>
  <c r="R799" i="1"/>
  <c r="S807" i="1"/>
  <c r="R612" i="1"/>
  <c r="R624" i="1"/>
  <c r="R636" i="1"/>
  <c r="R643" i="1"/>
  <c r="N661" i="1"/>
  <c r="N665" i="1"/>
  <c r="T711" i="1"/>
  <c r="N725" i="1"/>
  <c r="N733" i="1"/>
  <c r="N736" i="1"/>
  <c r="T745" i="1"/>
  <c r="R769" i="1"/>
  <c r="T769" i="1"/>
  <c r="S791" i="1"/>
  <c r="R659" i="1"/>
  <c r="T659" i="1"/>
  <c r="T680" i="1"/>
  <c r="S689" i="1"/>
  <c r="R694" i="1"/>
  <c r="T695" i="1"/>
  <c r="R703" i="1"/>
  <c r="R712" i="1"/>
  <c r="T712" i="1"/>
  <c r="N724" i="1"/>
  <c r="N730" i="1"/>
  <c r="N734" i="1"/>
  <c r="N801" i="1"/>
  <c r="R802" i="1"/>
  <c r="AD811" i="1"/>
  <c r="AC811" i="1"/>
  <c r="Q811" i="1"/>
  <c r="R652" i="1"/>
  <c r="T652" i="1"/>
  <c r="R667" i="1"/>
  <c r="T667" i="1"/>
  <c r="T676" i="1"/>
  <c r="R690" i="1"/>
  <c r="T690" i="1"/>
  <c r="T728" i="1"/>
  <c r="AD738" i="1"/>
  <c r="AC738" i="1"/>
  <c r="Q738" i="1"/>
  <c r="R740" i="1"/>
  <c r="S751" i="1"/>
  <c r="N756" i="1"/>
  <c r="S812" i="1"/>
  <c r="N745" i="1"/>
  <c r="R759" i="1"/>
  <c r="S776" i="1"/>
  <c r="S778" i="1"/>
  <c r="R780" i="1"/>
  <c r="T786" i="1"/>
  <c r="N791" i="1"/>
  <c r="AD739" i="1"/>
  <c r="N769" i="1"/>
  <c r="R781" i="1"/>
  <c r="N798" i="1"/>
  <c r="R812" i="1"/>
  <c r="T657" i="1"/>
  <c r="T724" i="1"/>
  <c r="S742" i="1"/>
  <c r="S760" i="1"/>
  <c r="S779" i="1"/>
  <c r="N790" i="1"/>
  <c r="R797" i="1"/>
  <c r="S799" i="1"/>
  <c r="N804" i="1"/>
  <c r="Q813" i="1"/>
  <c r="AD813" i="1"/>
  <c r="AC813" i="1"/>
  <c r="T813" i="1"/>
  <c r="S754" i="1"/>
  <c r="R766" i="1"/>
  <c r="R789" i="1"/>
  <c r="S802" i="1"/>
  <c r="R811" i="1"/>
  <c r="S671" i="1"/>
  <c r="R719" i="1"/>
  <c r="T719" i="1"/>
  <c r="N743" i="1"/>
  <c r="N750" i="1"/>
  <c r="AC758" i="1"/>
  <c r="R770" i="1"/>
  <c r="N777" i="1"/>
  <c r="N786" i="1"/>
  <c r="S789" i="1"/>
  <c r="S792" i="1"/>
  <c r="N765" i="1"/>
  <c r="S770" i="1"/>
  <c r="N805" i="1"/>
  <c r="T805" i="1" s="1"/>
  <c r="N794" i="1"/>
  <c r="S811" i="1"/>
  <c r="R735" i="1"/>
  <c r="T735" i="1"/>
  <c r="R762" i="1"/>
  <c r="R763" i="1"/>
  <c r="N775" i="1"/>
  <c r="R775" i="1" s="1"/>
  <c r="T783" i="1"/>
  <c r="N785" i="1"/>
  <c r="T785" i="1" s="1"/>
  <c r="N800" i="1"/>
  <c r="N806" i="1"/>
  <c r="S806" i="1" s="1"/>
  <c r="S746" i="1"/>
  <c r="R747" i="1"/>
  <c r="R761" i="1"/>
  <c r="T761" i="1"/>
  <c r="R771" i="1"/>
  <c r="T771" i="1"/>
  <c r="N774" i="1"/>
  <c r="T793" i="1"/>
  <c r="N795" i="1"/>
  <c r="N810" i="1"/>
  <c r="R813" i="1"/>
  <c r="S702" i="1"/>
  <c r="N721" i="1"/>
  <c r="R772" i="1"/>
  <c r="T772" i="1"/>
  <c r="R778" i="1"/>
  <c r="R783" i="1"/>
  <c r="R793" i="1"/>
  <c r="R808" i="1"/>
  <c r="R809" i="1"/>
  <c r="S813" i="1"/>
  <c r="T762" i="1"/>
  <c r="T798" i="1"/>
  <c r="S803" i="1"/>
  <c r="T757" i="1"/>
  <c r="N782" i="1"/>
  <c r="S767" i="1"/>
  <c r="R784" i="1"/>
  <c r="T784" i="1"/>
  <c r="AE21" i="1" l="1"/>
  <c r="Z21" i="1"/>
  <c r="AK21" i="1" s="1"/>
  <c r="Y21" i="1"/>
  <c r="AA21" i="1" s="1"/>
  <c r="AK216" i="1"/>
  <c r="V216" i="1"/>
  <c r="AB216" i="1" s="1" a="1"/>
  <c r="AB216" i="1" s="1"/>
  <c r="AI216" i="1"/>
  <c r="AG216" i="1"/>
  <c r="AE216" i="1"/>
  <c r="Z216" i="1"/>
  <c r="X216" i="1"/>
  <c r="Y216" i="1"/>
  <c r="AA216" i="1" s="1"/>
  <c r="Q216" i="1"/>
  <c r="X538" i="1"/>
  <c r="AE538" i="1"/>
  <c r="AK538" i="1"/>
  <c r="V538" i="1"/>
  <c r="AB538" i="1" s="1" a="1"/>
  <c r="AB538" i="1" s="1"/>
  <c r="AG538" i="1"/>
  <c r="AI538" i="1"/>
  <c r="Z538" i="1"/>
  <c r="Y538" i="1"/>
  <c r="AA538" i="1" s="1"/>
  <c r="Z109" i="1"/>
  <c r="AG109" i="1" s="1"/>
  <c r="V109" i="1"/>
  <c r="AB109" i="1" s="1" a="1"/>
  <c r="AB109" i="1" s="1"/>
  <c r="AE109" i="1"/>
  <c r="Z210" i="1"/>
  <c r="Y210" i="1" s="1"/>
  <c r="AA210" i="1" s="1"/>
  <c r="Y91" i="1"/>
  <c r="AA91" i="1" s="1"/>
  <c r="X91" i="1"/>
  <c r="V91" i="1"/>
  <c r="AB91" i="1" s="1" a="1"/>
  <c r="AB91" i="1" s="1"/>
  <c r="AI91" i="1"/>
  <c r="AE91" i="1"/>
  <c r="AK91" i="1"/>
  <c r="AG91" i="1"/>
  <c r="Z91" i="1"/>
  <c r="Q91" i="1"/>
  <c r="AI52" i="1"/>
  <c r="AE52" i="1"/>
  <c r="AK52" i="1"/>
  <c r="AG52" i="1"/>
  <c r="Z52" i="1"/>
  <c r="V52" i="1" s="1"/>
  <c r="AK202" i="1"/>
  <c r="V202" i="1"/>
  <c r="AB202" i="1" s="1" a="1"/>
  <c r="AB202" i="1" s="1"/>
  <c r="AE202" i="1"/>
  <c r="AI202" i="1"/>
  <c r="Z202" i="1"/>
  <c r="AG202" i="1" s="1"/>
  <c r="Y202" i="1"/>
  <c r="AA202" i="1" s="1"/>
  <c r="Z179" i="1"/>
  <c r="Y179" i="1" s="1"/>
  <c r="AA179" i="1" s="1"/>
  <c r="AK179" i="1"/>
  <c r="AI229" i="1"/>
  <c r="AG229" i="1"/>
  <c r="AK229" i="1"/>
  <c r="Y229" i="1"/>
  <c r="AA229" i="1" s="1"/>
  <c r="X229" i="1"/>
  <c r="V229" i="1"/>
  <c r="AB229" i="1" s="1" a="1"/>
  <c r="AB229" i="1" s="1"/>
  <c r="AE229" i="1"/>
  <c r="Z229" i="1"/>
  <c r="Q229" i="1"/>
  <c r="X190" i="1"/>
  <c r="AK190" i="1"/>
  <c r="V190" i="1"/>
  <c r="AB190" i="1" s="1" a="1"/>
  <c r="AB190" i="1" s="1"/>
  <c r="Z190" i="1"/>
  <c r="Y190" i="1"/>
  <c r="AA190" i="1" s="1"/>
  <c r="AE190" i="1"/>
  <c r="AI190" i="1"/>
  <c r="AG190" i="1"/>
  <c r="Q190" i="1"/>
  <c r="AI88" i="1"/>
  <c r="X88" i="1"/>
  <c r="AK88" i="1"/>
  <c r="AG88" i="1"/>
  <c r="V88" i="1"/>
  <c r="AB88" i="1" s="1" a="1"/>
  <c r="AB88" i="1" s="1"/>
  <c r="AE88" i="1"/>
  <c r="Z88" i="1"/>
  <c r="Y88" i="1"/>
  <c r="AA88" i="1" s="1"/>
  <c r="Q88" i="1"/>
  <c r="Z14" i="1"/>
  <c r="AG14" i="1" s="1"/>
  <c r="Y14" i="1"/>
  <c r="AA14" i="1" s="1"/>
  <c r="V14" i="1"/>
  <c r="AB14" i="1" s="1" a="1"/>
  <c r="AB14" i="1" s="1"/>
  <c r="AK14" i="1"/>
  <c r="AE14" i="1"/>
  <c r="AI14" i="1"/>
  <c r="Z447" i="1"/>
  <c r="Y447" i="1"/>
  <c r="AA447" i="1" s="1"/>
  <c r="X447" i="1"/>
  <c r="V447" i="1"/>
  <c r="AB447" i="1" s="1" a="1"/>
  <c r="AB447" i="1" s="1"/>
  <c r="AK447" i="1"/>
  <c r="AI447" i="1"/>
  <c r="AE447" i="1"/>
  <c r="AG447" i="1"/>
  <c r="Z236" i="1"/>
  <c r="AK236" i="1" s="1"/>
  <c r="Y236" i="1"/>
  <c r="AA236" i="1" s="1"/>
  <c r="Z74" i="1"/>
  <c r="AG74" i="1" s="1"/>
  <c r="Y74" i="1"/>
  <c r="AA74" i="1" s="1"/>
  <c r="AK74" i="1"/>
  <c r="Z122" i="1"/>
  <c r="AK122" i="1" s="1"/>
  <c r="V122" i="1"/>
  <c r="AB122" i="1" s="1" a="1"/>
  <c r="AB122" i="1" s="1"/>
  <c r="AI122" i="1"/>
  <c r="AG122" i="1"/>
  <c r="Y122" i="1"/>
  <c r="AA122" i="1" s="1"/>
  <c r="AE122" i="1"/>
  <c r="Q122" i="1"/>
  <c r="AG11" i="1"/>
  <c r="Y11" i="1"/>
  <c r="AA11" i="1" s="1"/>
  <c r="Z11" i="1"/>
  <c r="AK11" i="1"/>
  <c r="AI11" i="1"/>
  <c r="X11" i="1"/>
  <c r="V11" i="1"/>
  <c r="AB11" i="1" s="1" a="1"/>
  <c r="AB11" i="1" s="1"/>
  <c r="AE11" i="1"/>
  <c r="Q11" i="1"/>
  <c r="Z151" i="1"/>
  <c r="AK151" i="1" s="1"/>
  <c r="AG775" i="1"/>
  <c r="AE775" i="1"/>
  <c r="AI775" i="1"/>
  <c r="Z775" i="1"/>
  <c r="AK775" i="1"/>
  <c r="Y775" i="1"/>
  <c r="AA775" i="1" s="1"/>
  <c r="X775" i="1"/>
  <c r="V775" i="1"/>
  <c r="AE194" i="1"/>
  <c r="Z194" i="1"/>
  <c r="AK194" i="1"/>
  <c r="V194" i="1"/>
  <c r="AB194" i="1" s="1" a="1"/>
  <c r="AB194" i="1" s="1"/>
  <c r="Y194" i="1"/>
  <c r="AA194" i="1" s="1"/>
  <c r="AI194" i="1"/>
  <c r="AG194" i="1"/>
  <c r="R220" i="1"/>
  <c r="AI121" i="1"/>
  <c r="AE121" i="1"/>
  <c r="Z121" i="1"/>
  <c r="Y121" i="1" s="1"/>
  <c r="AA121" i="1" s="1"/>
  <c r="AK121" i="1"/>
  <c r="AE628" i="1"/>
  <c r="V628" i="1"/>
  <c r="AB628" i="1" s="1" a="1"/>
  <c r="AB628" i="1" s="1"/>
  <c r="AK628" i="1"/>
  <c r="AI628" i="1"/>
  <c r="Y628" i="1"/>
  <c r="AA628" i="1" s="1"/>
  <c r="X628" i="1"/>
  <c r="AG628" i="1"/>
  <c r="Z628" i="1"/>
  <c r="AI750" i="1"/>
  <c r="AE750" i="1"/>
  <c r="V750" i="1"/>
  <c r="AG750" i="1"/>
  <c r="X750" i="1"/>
  <c r="AK750" i="1"/>
  <c r="Y750" i="1"/>
  <c r="AA750" i="1" s="1"/>
  <c r="Z750" i="1"/>
  <c r="AK813" i="1"/>
  <c r="AI813" i="1"/>
  <c r="AG813" i="1"/>
  <c r="AE813" i="1"/>
  <c r="Z813" i="1"/>
  <c r="Y813" i="1"/>
  <c r="AA813" i="1" s="1"/>
  <c r="X813" i="1"/>
  <c r="V813" i="1"/>
  <c r="R794" i="1"/>
  <c r="Q794" i="1"/>
  <c r="AD794" i="1"/>
  <c r="AC794" i="1"/>
  <c r="AI612" i="1"/>
  <c r="AG612" i="1"/>
  <c r="AE612" i="1"/>
  <c r="AK612" i="1"/>
  <c r="X612" i="1"/>
  <c r="V612" i="1"/>
  <c r="AB612" i="1" s="1" a="1"/>
  <c r="AB612" i="1" s="1"/>
  <c r="Y612" i="1"/>
  <c r="AA612" i="1" s="1"/>
  <c r="Z612" i="1"/>
  <c r="AD394" i="1"/>
  <c r="AC394" i="1"/>
  <c r="Q394" i="1"/>
  <c r="S394" i="1"/>
  <c r="R394" i="1"/>
  <c r="T394" i="1"/>
  <c r="AG418" i="1"/>
  <c r="Z418" i="1"/>
  <c r="Y418" i="1"/>
  <c r="AA418" i="1" s="1"/>
  <c r="X418" i="1"/>
  <c r="AK418" i="1"/>
  <c r="V418" i="1"/>
  <c r="AB418" i="1" s="1" a="1"/>
  <c r="AB418" i="1" s="1"/>
  <c r="AI418" i="1"/>
  <c r="AE418" i="1"/>
  <c r="X656" i="1"/>
  <c r="V656" i="1"/>
  <c r="AB656" i="1" s="1" a="1"/>
  <c r="AB656" i="1" s="1"/>
  <c r="AK656" i="1"/>
  <c r="Z656" i="1"/>
  <c r="AI656" i="1"/>
  <c r="Y656" i="1"/>
  <c r="AA656" i="1" s="1"/>
  <c r="AG656" i="1"/>
  <c r="AE656" i="1"/>
  <c r="AK429" i="1"/>
  <c r="V429" i="1"/>
  <c r="AB429" i="1" s="1" a="1"/>
  <c r="AB429" i="1" s="1"/>
  <c r="AG429" i="1"/>
  <c r="X429" i="1"/>
  <c r="Z429" i="1"/>
  <c r="AI429" i="1"/>
  <c r="AE429" i="1"/>
  <c r="Y429" i="1"/>
  <c r="AA429" i="1" s="1"/>
  <c r="AC231" i="1"/>
  <c r="AD231" i="1"/>
  <c r="T231" i="1"/>
  <c r="R231" i="1"/>
  <c r="AG71" i="1"/>
  <c r="Y71" i="1"/>
  <c r="AA71" i="1" s="1"/>
  <c r="Z71" i="1"/>
  <c r="X71" i="1"/>
  <c r="AK71" i="1"/>
  <c r="AI71" i="1"/>
  <c r="AE71" i="1"/>
  <c r="V71" i="1"/>
  <c r="AB71" i="1" s="1" a="1"/>
  <c r="AB71" i="1" s="1"/>
  <c r="Y259" i="1"/>
  <c r="AA259" i="1" s="1"/>
  <c r="Z259" i="1"/>
  <c r="X259" i="1"/>
  <c r="V259" i="1"/>
  <c r="AB259" i="1" s="1" a="1"/>
  <c r="AB259" i="1" s="1"/>
  <c r="AI259" i="1"/>
  <c r="AK259" i="1"/>
  <c r="AG259" i="1"/>
  <c r="AE259" i="1"/>
  <c r="V337" i="1"/>
  <c r="AB337" i="1" s="1" a="1"/>
  <c r="AB337" i="1" s="1"/>
  <c r="AK337" i="1"/>
  <c r="AI337" i="1"/>
  <c r="Y337" i="1"/>
  <c r="AA337" i="1" s="1"/>
  <c r="X337" i="1"/>
  <c r="AE337" i="1"/>
  <c r="AG337" i="1"/>
  <c r="Z337" i="1"/>
  <c r="Y247" i="1"/>
  <c r="AA247" i="1" s="1"/>
  <c r="AK247" i="1"/>
  <c r="AG247" i="1"/>
  <c r="AE247" i="1"/>
  <c r="V247" i="1"/>
  <c r="AB247" i="1" s="1" a="1"/>
  <c r="AB247" i="1" s="1"/>
  <c r="AI247" i="1"/>
  <c r="X247" i="1"/>
  <c r="Z247" i="1"/>
  <c r="AI65" i="1"/>
  <c r="X65" i="1"/>
  <c r="Z65" i="1"/>
  <c r="Y65" i="1"/>
  <c r="AA65" i="1" s="1"/>
  <c r="AK65" i="1"/>
  <c r="AG65" i="1"/>
  <c r="AE65" i="1"/>
  <c r="V65" i="1"/>
  <c r="AB65" i="1" s="1" a="1"/>
  <c r="AB65" i="1" s="1"/>
  <c r="Q800" i="1"/>
  <c r="AD800" i="1"/>
  <c r="R800" i="1"/>
  <c r="AC800" i="1"/>
  <c r="AK719" i="1"/>
  <c r="Y719" i="1"/>
  <c r="AA719" i="1" s="1"/>
  <c r="AI719" i="1"/>
  <c r="Z719" i="1"/>
  <c r="X719" i="1"/>
  <c r="V719" i="1"/>
  <c r="AG719" i="1"/>
  <c r="AE719" i="1"/>
  <c r="AE709" i="1"/>
  <c r="AI709" i="1"/>
  <c r="AK709" i="1"/>
  <c r="V709" i="1"/>
  <c r="AB709" i="1" s="1" a="1"/>
  <c r="AB709" i="1" s="1"/>
  <c r="Z709" i="1"/>
  <c r="Y709" i="1"/>
  <c r="AA709" i="1" s="1"/>
  <c r="X709" i="1"/>
  <c r="AG709" i="1"/>
  <c r="AC596" i="1"/>
  <c r="Q596" i="1"/>
  <c r="AD596" i="1"/>
  <c r="T596" i="1"/>
  <c r="S596" i="1"/>
  <c r="AK228" i="1"/>
  <c r="V228" i="1"/>
  <c r="AB228" i="1" s="1" a="1"/>
  <c r="AB228" i="1" s="1"/>
  <c r="AI228" i="1"/>
  <c r="X228" i="1"/>
  <c r="AG228" i="1"/>
  <c r="AE228" i="1"/>
  <c r="Z228" i="1"/>
  <c r="Y228" i="1"/>
  <c r="AA228" i="1" s="1"/>
  <c r="AD186" i="1"/>
  <c r="AC186" i="1"/>
  <c r="T186" i="1"/>
  <c r="S186" i="1"/>
  <c r="R186" i="1"/>
  <c r="Z46" i="1"/>
  <c r="AK46" i="1" s="1"/>
  <c r="Y46" i="1"/>
  <c r="AA46" i="1" s="1"/>
  <c r="V46" i="1"/>
  <c r="AB46" i="1" s="1" a="1"/>
  <c r="AB46" i="1" s="1"/>
  <c r="AK273" i="1"/>
  <c r="V273" i="1"/>
  <c r="AB273" i="1" s="1" a="1"/>
  <c r="AB273" i="1" s="1"/>
  <c r="AI273" i="1"/>
  <c r="AG273" i="1"/>
  <c r="AE273" i="1"/>
  <c r="Z273" i="1"/>
  <c r="X273" i="1"/>
  <c r="Y273" i="1"/>
  <c r="AA273" i="1" s="1"/>
  <c r="AI149" i="1"/>
  <c r="AK149" i="1"/>
  <c r="AG149" i="1"/>
  <c r="AE149" i="1"/>
  <c r="Z149" i="1"/>
  <c r="Y149" i="1"/>
  <c r="AA149" i="1" s="1"/>
  <c r="X149" i="1"/>
  <c r="V149" i="1"/>
  <c r="AB149" i="1" s="1" a="1"/>
  <c r="AB149" i="1" s="1"/>
  <c r="Z48" i="1"/>
  <c r="Y48" i="1" s="1"/>
  <c r="AA48" i="1" s="1"/>
  <c r="V48" i="1"/>
  <c r="AI48" i="1"/>
  <c r="AG48" i="1"/>
  <c r="AE48" i="1"/>
  <c r="AC804" i="1"/>
  <c r="S804" i="1"/>
  <c r="R804" i="1"/>
  <c r="Q804" i="1"/>
  <c r="AD804" i="1"/>
  <c r="T804" i="1"/>
  <c r="AK799" i="1"/>
  <c r="V799" i="1"/>
  <c r="AI799" i="1"/>
  <c r="AG799" i="1"/>
  <c r="X799" i="1"/>
  <c r="AE799" i="1"/>
  <c r="Z799" i="1"/>
  <c r="Y799" i="1"/>
  <c r="AA799" i="1" s="1"/>
  <c r="AK616" i="1"/>
  <c r="V616" i="1"/>
  <c r="AB616" i="1" s="1" a="1"/>
  <c r="AB616" i="1" s="1"/>
  <c r="X616" i="1"/>
  <c r="Z616" i="1"/>
  <c r="AE616" i="1"/>
  <c r="Y616" i="1"/>
  <c r="AA616" i="1" s="1"/>
  <c r="AG616" i="1"/>
  <c r="AI616" i="1"/>
  <c r="X764" i="1"/>
  <c r="AG764" i="1"/>
  <c r="AE764" i="1"/>
  <c r="AK764" i="1"/>
  <c r="AI764" i="1"/>
  <c r="Z764" i="1"/>
  <c r="V764" i="1"/>
  <c r="Y764" i="1"/>
  <c r="AA764" i="1" s="1"/>
  <c r="AG187" i="1"/>
  <c r="AE187" i="1"/>
  <c r="X187" i="1"/>
  <c r="V187" i="1"/>
  <c r="AB187" i="1" s="1" a="1"/>
  <c r="AB187" i="1" s="1"/>
  <c r="AI187" i="1"/>
  <c r="AK187" i="1"/>
  <c r="Z187" i="1"/>
  <c r="Y187" i="1"/>
  <c r="AA187" i="1" s="1"/>
  <c r="AK170" i="1"/>
  <c r="AI170" i="1"/>
  <c r="AG170" i="1"/>
  <c r="Z170" i="1"/>
  <c r="Y170" i="1"/>
  <c r="AA170" i="1" s="1"/>
  <c r="AE170" i="1"/>
  <c r="V170" i="1"/>
  <c r="AB170" i="1" s="1" a="1"/>
  <c r="AB170" i="1" s="1"/>
  <c r="Q170" i="1"/>
  <c r="Z136" i="1"/>
  <c r="AG136" i="1" s="1"/>
  <c r="Y136" i="1"/>
  <c r="AA136" i="1" s="1"/>
  <c r="Z112" i="1"/>
  <c r="AG112" i="1" s="1"/>
  <c r="Y112" i="1"/>
  <c r="AA112" i="1" s="1"/>
  <c r="R53" i="1"/>
  <c r="Q736" i="1"/>
  <c r="T736" i="1"/>
  <c r="AC736" i="1"/>
  <c r="AD736" i="1"/>
  <c r="X610" i="1"/>
  <c r="AK610" i="1"/>
  <c r="V610" i="1"/>
  <c r="AB610" i="1" s="1" a="1"/>
  <c r="AB610" i="1" s="1"/>
  <c r="AI610" i="1"/>
  <c r="Y610" i="1"/>
  <c r="AA610" i="1" s="1"/>
  <c r="AE610" i="1"/>
  <c r="Z610" i="1"/>
  <c r="AG610" i="1"/>
  <c r="AK477" i="1"/>
  <c r="V477" i="1"/>
  <c r="AB477" i="1" s="1" a="1"/>
  <c r="AB477" i="1" s="1"/>
  <c r="AI477" i="1"/>
  <c r="AE477" i="1"/>
  <c r="AG477" i="1"/>
  <c r="X477" i="1"/>
  <c r="Y477" i="1"/>
  <c r="AA477" i="1" s="1"/>
  <c r="Z477" i="1"/>
  <c r="AD164" i="1"/>
  <c r="Q164" i="1"/>
  <c r="AC164" i="1"/>
  <c r="R164" i="1"/>
  <c r="T164" i="1"/>
  <c r="Z613" i="1"/>
  <c r="Y613" i="1"/>
  <c r="AA613" i="1" s="1"/>
  <c r="V613" i="1"/>
  <c r="AB613" i="1" s="1" a="1"/>
  <c r="AB613" i="1" s="1"/>
  <c r="AE613" i="1"/>
  <c r="AK613" i="1"/>
  <c r="AI613" i="1"/>
  <c r="X613" i="1"/>
  <c r="AG613" i="1"/>
  <c r="AK509" i="1"/>
  <c r="V509" i="1"/>
  <c r="AB509" i="1" s="1" a="1"/>
  <c r="AB509" i="1" s="1"/>
  <c r="AE509" i="1"/>
  <c r="X509" i="1"/>
  <c r="Y509" i="1"/>
  <c r="AA509" i="1" s="1"/>
  <c r="AI509" i="1"/>
  <c r="Z509" i="1"/>
  <c r="AG509" i="1"/>
  <c r="AC212" i="1"/>
  <c r="AD212" i="1"/>
  <c r="S212" i="1"/>
  <c r="R212" i="1" s="1"/>
  <c r="T212" i="1"/>
  <c r="Q77" i="1"/>
  <c r="AC77" i="1"/>
  <c r="AD77" i="1"/>
  <c r="J77" i="1"/>
  <c r="T77" i="1"/>
  <c r="S77" i="1"/>
  <c r="R77" i="1" s="1"/>
  <c r="AC89" i="1"/>
  <c r="AD89" i="1"/>
  <c r="S89" i="1"/>
  <c r="T89" i="1"/>
  <c r="Y176" i="1"/>
  <c r="AA176" i="1" s="1"/>
  <c r="Z176" i="1"/>
  <c r="X176" i="1"/>
  <c r="AE176" i="1"/>
  <c r="V176" i="1"/>
  <c r="AB176" i="1" s="1" a="1"/>
  <c r="AB176" i="1" s="1"/>
  <c r="AG176" i="1"/>
  <c r="AK176" i="1"/>
  <c r="AI176" i="1"/>
  <c r="S774" i="1"/>
  <c r="AD774" i="1"/>
  <c r="AC774" i="1"/>
  <c r="R774" i="1"/>
  <c r="Q774" i="1"/>
  <c r="T774" i="1"/>
  <c r="AG789" i="1"/>
  <c r="AK789" i="1"/>
  <c r="X789" i="1"/>
  <c r="AE789" i="1"/>
  <c r="Y789" i="1"/>
  <c r="AA789" i="1" s="1"/>
  <c r="AI789" i="1"/>
  <c r="Z789" i="1"/>
  <c r="V789" i="1"/>
  <c r="AI694" i="1"/>
  <c r="Z694" i="1"/>
  <c r="Y694" i="1"/>
  <c r="AA694" i="1" s="1"/>
  <c r="X694" i="1"/>
  <c r="V694" i="1"/>
  <c r="AB694" i="1" s="1" a="1"/>
  <c r="AB694" i="1" s="1"/>
  <c r="AE694" i="1"/>
  <c r="AK694" i="1"/>
  <c r="AG694" i="1"/>
  <c r="AD599" i="1"/>
  <c r="Q599" i="1"/>
  <c r="AC599" i="1"/>
  <c r="S599" i="1"/>
  <c r="T599" i="1"/>
  <c r="R599" i="1"/>
  <c r="X514" i="1"/>
  <c r="Y514" i="1"/>
  <c r="AA514" i="1" s="1"/>
  <c r="V514" i="1"/>
  <c r="AB514" i="1" s="1" a="1"/>
  <c r="AB514" i="1" s="1"/>
  <c r="AK514" i="1"/>
  <c r="AI514" i="1"/>
  <c r="AG514" i="1"/>
  <c r="AE514" i="1"/>
  <c r="Z514" i="1"/>
  <c r="AE282" i="1"/>
  <c r="AI282" i="1"/>
  <c r="AG282" i="1"/>
  <c r="Z282" i="1"/>
  <c r="Y282" i="1"/>
  <c r="AA282" i="1" s="1"/>
  <c r="X282" i="1"/>
  <c r="V282" i="1"/>
  <c r="AB282" i="1" s="1" a="1"/>
  <c r="AB282" i="1" s="1"/>
  <c r="AK282" i="1"/>
  <c r="AC80" i="1"/>
  <c r="AD80" i="1"/>
  <c r="T80" i="1"/>
  <c r="R80" i="1" s="1"/>
  <c r="AG34" i="1"/>
  <c r="Z34" i="1"/>
  <c r="V34" i="1" s="1"/>
  <c r="AE34" i="1"/>
  <c r="S6" i="1"/>
  <c r="AI211" i="1"/>
  <c r="AG211" i="1"/>
  <c r="AE211" i="1"/>
  <c r="Y211" i="1"/>
  <c r="AA211" i="1" s="1"/>
  <c r="V211" i="1"/>
  <c r="AK211" i="1"/>
  <c r="Z211" i="1"/>
  <c r="Z111" i="1"/>
  <c r="AE111" i="1"/>
  <c r="Y111" i="1"/>
  <c r="AA111" i="1" s="1"/>
  <c r="AI111" i="1"/>
  <c r="AG111" i="1"/>
  <c r="V111" i="1"/>
  <c r="AB111" i="1" s="1" a="1"/>
  <c r="AB111" i="1" s="1"/>
  <c r="AK111" i="1"/>
  <c r="AC496" i="1"/>
  <c r="Q496" i="1"/>
  <c r="AD496" i="1"/>
  <c r="S496" i="1"/>
  <c r="Q359" i="1"/>
  <c r="AD359" i="1"/>
  <c r="R359" i="1"/>
  <c r="AC359" i="1"/>
  <c r="T359" i="1"/>
  <c r="R496" i="1"/>
  <c r="AG445" i="1"/>
  <c r="AE445" i="1"/>
  <c r="X445" i="1"/>
  <c r="Z445" i="1"/>
  <c r="AK445" i="1"/>
  <c r="Y445" i="1"/>
  <c r="AA445" i="1" s="1"/>
  <c r="V445" i="1"/>
  <c r="AB445" i="1" s="1" a="1"/>
  <c r="AB445" i="1" s="1"/>
  <c r="AI445" i="1"/>
  <c r="V433" i="1"/>
  <c r="AB433" i="1" s="1" a="1"/>
  <c r="AB433" i="1" s="1"/>
  <c r="Z433" i="1"/>
  <c r="Y433" i="1"/>
  <c r="AA433" i="1" s="1"/>
  <c r="AK433" i="1"/>
  <c r="AI433" i="1"/>
  <c r="AG433" i="1"/>
  <c r="AE433" i="1"/>
  <c r="X433" i="1"/>
  <c r="AC423" i="1"/>
  <c r="AD423" i="1"/>
  <c r="Q423" i="1"/>
  <c r="R423" i="1"/>
  <c r="S423" i="1"/>
  <c r="T423" i="1"/>
  <c r="AE402" i="1"/>
  <c r="V402" i="1"/>
  <c r="AB402" i="1" s="1" a="1"/>
  <c r="AB402" i="1" s="1"/>
  <c r="Y402" i="1"/>
  <c r="AA402" i="1" s="1"/>
  <c r="X402" i="1"/>
  <c r="AI402" i="1"/>
  <c r="AG402" i="1"/>
  <c r="AK402" i="1"/>
  <c r="Z402" i="1"/>
  <c r="Z63" i="1"/>
  <c r="AG63" i="1" s="1"/>
  <c r="V63" i="1"/>
  <c r="AB63" i="1" s="1" a="1"/>
  <c r="AB63" i="1" s="1"/>
  <c r="Y63" i="1"/>
  <c r="AA63" i="1" s="1"/>
  <c r="X63" i="1"/>
  <c r="AK63" i="1"/>
  <c r="X470" i="1"/>
  <c r="AK470" i="1"/>
  <c r="V470" i="1"/>
  <c r="AB470" i="1" s="1" a="1"/>
  <c r="AB470" i="1" s="1"/>
  <c r="AG470" i="1"/>
  <c r="AE470" i="1"/>
  <c r="Y470" i="1"/>
  <c r="AA470" i="1" s="1"/>
  <c r="Z470" i="1"/>
  <c r="AI470" i="1"/>
  <c r="AI316" i="1"/>
  <c r="Y316" i="1"/>
  <c r="AA316" i="1" s="1"/>
  <c r="Z316" i="1"/>
  <c r="X316" i="1"/>
  <c r="AE316" i="1"/>
  <c r="AG316" i="1"/>
  <c r="V316" i="1"/>
  <c r="AB316" i="1" s="1" a="1"/>
  <c r="AB316" i="1" s="1"/>
  <c r="AK316" i="1"/>
  <c r="AC387" i="1"/>
  <c r="AD387" i="1"/>
  <c r="Q387" i="1"/>
  <c r="T387" i="1"/>
  <c r="S387" i="1"/>
  <c r="AI37" i="1"/>
  <c r="Z37" i="1"/>
  <c r="AK37" i="1" s="1"/>
  <c r="Z301" i="1"/>
  <c r="Y301" i="1"/>
  <c r="AA301" i="1" s="1"/>
  <c r="X301" i="1"/>
  <c r="AI301" i="1"/>
  <c r="V301" i="1"/>
  <c r="AB301" i="1" s="1" a="1"/>
  <c r="AB301" i="1" s="1"/>
  <c r="AE301" i="1"/>
  <c r="AK301" i="1"/>
  <c r="AG301" i="1"/>
  <c r="Z39" i="1"/>
  <c r="AI39" i="1" s="1"/>
  <c r="Y39" i="1"/>
  <c r="AA39" i="1" s="1"/>
  <c r="V50" i="1"/>
  <c r="AB50" i="1" s="1" a="1"/>
  <c r="AB50" i="1" s="1"/>
  <c r="Z50" i="1"/>
  <c r="Y50" i="1" s="1"/>
  <c r="AA50" i="1" s="1"/>
  <c r="AE50" i="1"/>
  <c r="AK50" i="1"/>
  <c r="AG50" i="1"/>
  <c r="S794" i="1"/>
  <c r="AC640" i="1"/>
  <c r="AD640" i="1"/>
  <c r="Q640" i="1"/>
  <c r="S640" i="1"/>
  <c r="T640" i="1"/>
  <c r="Y731" i="1"/>
  <c r="AA731" i="1" s="1"/>
  <c r="AK731" i="1"/>
  <c r="Z731" i="1"/>
  <c r="AE731" i="1"/>
  <c r="AI731" i="1"/>
  <c r="AG731" i="1"/>
  <c r="X731" i="1"/>
  <c r="V731" i="1"/>
  <c r="Q749" i="1"/>
  <c r="AC749" i="1"/>
  <c r="AD749" i="1"/>
  <c r="S749" i="1"/>
  <c r="T749" i="1"/>
  <c r="R749" i="1"/>
  <c r="R640" i="1"/>
  <c r="T800" i="1"/>
  <c r="X738" i="1"/>
  <c r="AE738" i="1"/>
  <c r="AK738" i="1"/>
  <c r="V738" i="1"/>
  <c r="AI738" i="1"/>
  <c r="AG738" i="1"/>
  <c r="Y738" i="1"/>
  <c r="AA738" i="1" s="1"/>
  <c r="Z738" i="1"/>
  <c r="Q600" i="1"/>
  <c r="AD600" i="1"/>
  <c r="AC600" i="1"/>
  <c r="S600" i="1"/>
  <c r="AE590" i="1"/>
  <c r="Z590" i="1"/>
  <c r="V590" i="1"/>
  <c r="AB590" i="1" s="1" a="1"/>
  <c r="AB590" i="1" s="1"/>
  <c r="AG590" i="1"/>
  <c r="X590" i="1"/>
  <c r="Y590" i="1"/>
  <c r="AA590" i="1" s="1"/>
  <c r="AK590" i="1"/>
  <c r="AI590" i="1"/>
  <c r="Z560" i="1"/>
  <c r="AG560" i="1"/>
  <c r="AI560" i="1"/>
  <c r="V560" i="1"/>
  <c r="AB560" i="1" s="1" a="1"/>
  <c r="AB560" i="1" s="1"/>
  <c r="Y560" i="1"/>
  <c r="AA560" i="1" s="1"/>
  <c r="X560" i="1"/>
  <c r="AK560" i="1"/>
  <c r="AE560" i="1"/>
  <c r="X705" i="1"/>
  <c r="Y705" i="1"/>
  <c r="AA705" i="1" s="1"/>
  <c r="AK705" i="1"/>
  <c r="AI705" i="1"/>
  <c r="AG705" i="1"/>
  <c r="AE705" i="1"/>
  <c r="Z705" i="1"/>
  <c r="V705" i="1"/>
  <c r="AB705" i="1" s="1" a="1"/>
  <c r="AB705" i="1" s="1"/>
  <c r="AC655" i="1"/>
  <c r="AD655" i="1"/>
  <c r="Q655" i="1"/>
  <c r="R655" i="1"/>
  <c r="T655" i="1"/>
  <c r="AD436" i="1"/>
  <c r="S436" i="1"/>
  <c r="AC436" i="1"/>
  <c r="Q436" i="1"/>
  <c r="R436" i="1"/>
  <c r="T436" i="1"/>
  <c r="X598" i="1"/>
  <c r="AK598" i="1"/>
  <c r="AI598" i="1"/>
  <c r="AG598" i="1"/>
  <c r="AE598" i="1"/>
  <c r="Z598" i="1"/>
  <c r="V598" i="1"/>
  <c r="AB598" i="1" s="1" a="1"/>
  <c r="AB598" i="1" s="1"/>
  <c r="Y598" i="1"/>
  <c r="AA598" i="1" s="1"/>
  <c r="AK497" i="1"/>
  <c r="V497" i="1"/>
  <c r="AB497" i="1" s="1" a="1"/>
  <c r="AB497" i="1" s="1"/>
  <c r="AG497" i="1"/>
  <c r="AE497" i="1"/>
  <c r="Z497" i="1"/>
  <c r="X497" i="1"/>
  <c r="AI497" i="1"/>
  <c r="Y497" i="1"/>
  <c r="AA497" i="1" s="1"/>
  <c r="AG353" i="1"/>
  <c r="AE353" i="1"/>
  <c r="X353" i="1"/>
  <c r="Y353" i="1"/>
  <c r="AA353" i="1" s="1"/>
  <c r="V353" i="1"/>
  <c r="AB353" i="1" s="1" a="1"/>
  <c r="AB353" i="1" s="1"/>
  <c r="AK353" i="1"/>
  <c r="AI353" i="1"/>
  <c r="Z353" i="1"/>
  <c r="Z264" i="1"/>
  <c r="AK264" i="1"/>
  <c r="AI264" i="1"/>
  <c r="AG264" i="1"/>
  <c r="X264" i="1"/>
  <c r="Y264" i="1"/>
  <c r="AA264" i="1" s="1"/>
  <c r="V264" i="1"/>
  <c r="AB264" i="1" s="1" a="1"/>
  <c r="AB264" i="1" s="1"/>
  <c r="AE264" i="1"/>
  <c r="V732" i="1"/>
  <c r="AG732" i="1"/>
  <c r="AK732" i="1"/>
  <c r="AI732" i="1"/>
  <c r="X732" i="1"/>
  <c r="AE732" i="1"/>
  <c r="Z732" i="1"/>
  <c r="Y732" i="1"/>
  <c r="AA732" i="1" s="1"/>
  <c r="S612" i="1"/>
  <c r="Q612" i="1"/>
  <c r="AD612" i="1"/>
  <c r="AC612" i="1"/>
  <c r="T612" i="1"/>
  <c r="AC165" i="1"/>
  <c r="AD165" i="1"/>
  <c r="S165" i="1"/>
  <c r="T165" i="1"/>
  <c r="R165" i="1" s="1"/>
  <c r="Q269" i="1"/>
  <c r="AD269" i="1"/>
  <c r="AC269" i="1"/>
  <c r="S269" i="1"/>
  <c r="T269" i="1"/>
  <c r="R269" i="1"/>
  <c r="Y463" i="1"/>
  <c r="AA463" i="1" s="1"/>
  <c r="X463" i="1"/>
  <c r="Z463" i="1"/>
  <c r="AK463" i="1"/>
  <c r="AI463" i="1"/>
  <c r="AG463" i="1"/>
  <c r="V463" i="1"/>
  <c r="AB463" i="1" s="1" a="1"/>
  <c r="AB463" i="1" s="1"/>
  <c r="AE463" i="1"/>
  <c r="AG168" i="1"/>
  <c r="AI168" i="1"/>
  <c r="AE168" i="1"/>
  <c r="V168" i="1"/>
  <c r="AB168" i="1" s="1" a="1"/>
  <c r="AB168" i="1" s="1"/>
  <c r="Y168" i="1"/>
  <c r="AA168" i="1" s="1"/>
  <c r="Z168" i="1"/>
  <c r="X168" i="1"/>
  <c r="AK168" i="1"/>
  <c r="R108" i="1"/>
  <c r="AE758" i="1"/>
  <c r="AI758" i="1"/>
  <c r="AK758" i="1"/>
  <c r="AG758" i="1"/>
  <c r="V758" i="1"/>
  <c r="Z758" i="1"/>
  <c r="X758" i="1"/>
  <c r="Y758" i="1"/>
  <c r="AA758" i="1" s="1"/>
  <c r="AC20" i="1"/>
  <c r="S20" i="1"/>
  <c r="R20" i="1"/>
  <c r="AD20" i="1"/>
  <c r="AC32" i="1"/>
  <c r="T32" i="1"/>
  <c r="S32" i="1"/>
  <c r="R32" i="1"/>
  <c r="AD32" i="1"/>
  <c r="AD352" i="1"/>
  <c r="S352" i="1"/>
  <c r="R352" i="1"/>
  <c r="Q352" i="1"/>
  <c r="AC352" i="1"/>
  <c r="T352" i="1"/>
  <c r="AG239" i="1"/>
  <c r="Z239" i="1"/>
  <c r="Y239" i="1"/>
  <c r="AA239" i="1" s="1"/>
  <c r="X239" i="1"/>
  <c r="AE239" i="1"/>
  <c r="AK239" i="1"/>
  <c r="AI239" i="1"/>
  <c r="V239" i="1"/>
  <c r="AB239" i="1" s="1" a="1"/>
  <c r="AB239" i="1" s="1"/>
  <c r="AD150" i="1"/>
  <c r="AC150" i="1"/>
  <c r="S150" i="1"/>
  <c r="T150" i="1"/>
  <c r="R150" i="1" s="1"/>
  <c r="AC338" i="1"/>
  <c r="T338" i="1"/>
  <c r="Q338" i="1"/>
  <c r="R338" i="1"/>
  <c r="AD338" i="1"/>
  <c r="S338" i="1"/>
  <c r="X127" i="1"/>
  <c r="V127" i="1"/>
  <c r="AB127" i="1" s="1" a="1"/>
  <c r="AB127" i="1" s="1"/>
  <c r="AG127" i="1"/>
  <c r="AK127" i="1"/>
  <c r="AI127" i="1"/>
  <c r="AE127" i="1"/>
  <c r="Z127" i="1"/>
  <c r="Y127" i="1"/>
  <c r="AA127" i="1" s="1"/>
  <c r="Q127" i="1"/>
  <c r="AD24" i="1"/>
  <c r="S24" i="1"/>
  <c r="AC24" i="1"/>
  <c r="T24" i="1"/>
  <c r="R24" i="1" s="1"/>
  <c r="AG287" i="1"/>
  <c r="Y287" i="1"/>
  <c r="AA287" i="1" s="1"/>
  <c r="X287" i="1"/>
  <c r="AK287" i="1"/>
  <c r="AI287" i="1"/>
  <c r="AE287" i="1"/>
  <c r="Z287" i="1"/>
  <c r="V287" i="1"/>
  <c r="AB287" i="1" s="1" a="1"/>
  <c r="AB287" i="1" s="1"/>
  <c r="Z73" i="1"/>
  <c r="V73" i="1"/>
  <c r="AB73" i="1" s="1" a="1"/>
  <c r="AB73" i="1" s="1"/>
  <c r="AI73" i="1"/>
  <c r="AK73" i="1"/>
  <c r="AG73" i="1"/>
  <c r="AE73" i="1"/>
  <c r="Y73" i="1"/>
  <c r="AA73" i="1" s="1"/>
  <c r="X73" i="1"/>
  <c r="Y214" i="1"/>
  <c r="AA214" i="1" s="1"/>
  <c r="X214" i="1"/>
  <c r="AI214" i="1"/>
  <c r="AG214" i="1"/>
  <c r="AK214" i="1"/>
  <c r="AE214" i="1"/>
  <c r="V214" i="1"/>
  <c r="AB214" i="1" s="1" a="1"/>
  <c r="AB214" i="1" s="1"/>
  <c r="Z214" i="1"/>
  <c r="X481" i="1"/>
  <c r="V481" i="1"/>
  <c r="AB481" i="1" s="1" a="1"/>
  <c r="AB481" i="1" s="1"/>
  <c r="AG481" i="1"/>
  <c r="AE481" i="1"/>
  <c r="Z481" i="1"/>
  <c r="Y481" i="1"/>
  <c r="AA481" i="1" s="1"/>
  <c r="AI481" i="1"/>
  <c r="AK481" i="1"/>
  <c r="Z203" i="1"/>
  <c r="AE203" i="1"/>
  <c r="X203" i="1"/>
  <c r="V203" i="1"/>
  <c r="AB203" i="1" s="1" a="1"/>
  <c r="AB203" i="1" s="1"/>
  <c r="AI203" i="1"/>
  <c r="AK203" i="1"/>
  <c r="AG203" i="1"/>
  <c r="Y203" i="1"/>
  <c r="AA203" i="1" s="1"/>
  <c r="Z473" i="1"/>
  <c r="AI473" i="1"/>
  <c r="AG473" i="1"/>
  <c r="AE473" i="1"/>
  <c r="AK473" i="1"/>
  <c r="Y473" i="1"/>
  <c r="AA473" i="1" s="1"/>
  <c r="X473" i="1"/>
  <c r="V473" i="1"/>
  <c r="AB473" i="1" s="1" a="1"/>
  <c r="AB473" i="1" s="1"/>
  <c r="AK417" i="1"/>
  <c r="V417" i="1"/>
  <c r="AB417" i="1" s="1" a="1"/>
  <c r="AB417" i="1" s="1"/>
  <c r="Z417" i="1"/>
  <c r="X417" i="1"/>
  <c r="AE417" i="1"/>
  <c r="AG417" i="1"/>
  <c r="AI417" i="1"/>
  <c r="Y417" i="1"/>
  <c r="AA417" i="1" s="1"/>
  <c r="Z134" i="1"/>
  <c r="AK134" i="1"/>
  <c r="AI134" i="1"/>
  <c r="Y134" i="1"/>
  <c r="AA134" i="1" s="1"/>
  <c r="X134" i="1"/>
  <c r="AG134" i="1"/>
  <c r="AE134" i="1"/>
  <c r="V134" i="1"/>
  <c r="AB134" i="1" s="1" a="1"/>
  <c r="AB134" i="1" s="1"/>
  <c r="Q134" i="1"/>
  <c r="AI126" i="1"/>
  <c r="Z126" i="1"/>
  <c r="V126" i="1"/>
  <c r="AB126" i="1" s="1" a="1"/>
  <c r="AB126" i="1" s="1"/>
  <c r="Y126" i="1"/>
  <c r="AA126" i="1" s="1"/>
  <c r="X126" i="1"/>
  <c r="AK126" i="1"/>
  <c r="AE126" i="1"/>
  <c r="AG126" i="1"/>
  <c r="Q798" i="1"/>
  <c r="S798" i="1"/>
  <c r="AC798" i="1"/>
  <c r="R798" i="1"/>
  <c r="AD798" i="1"/>
  <c r="AD675" i="1"/>
  <c r="AC675" i="1"/>
  <c r="R675" i="1"/>
  <c r="Q675" i="1"/>
  <c r="S675" i="1"/>
  <c r="AG668" i="1"/>
  <c r="AK668" i="1"/>
  <c r="AI668" i="1"/>
  <c r="AE668" i="1"/>
  <c r="Z668" i="1"/>
  <c r="Y668" i="1"/>
  <c r="AA668" i="1" s="1"/>
  <c r="V668" i="1"/>
  <c r="AB668" i="1" s="1" a="1"/>
  <c r="AB668" i="1" s="1"/>
  <c r="X668" i="1"/>
  <c r="AD277" i="1"/>
  <c r="Q277" i="1"/>
  <c r="S277" i="1"/>
  <c r="R277" i="1"/>
  <c r="AC277" i="1"/>
  <c r="T277" i="1"/>
  <c r="AD166" i="1"/>
  <c r="AC166" i="1"/>
  <c r="T166" i="1"/>
  <c r="R166" i="1" s="1"/>
  <c r="S166" i="1"/>
  <c r="Z143" i="1"/>
  <c r="AI143" i="1" s="1"/>
  <c r="Y143" i="1"/>
  <c r="AA143" i="1" s="1"/>
  <c r="V143" i="1"/>
  <c r="AB143" i="1" s="1" a="1"/>
  <c r="AB143" i="1" s="1"/>
  <c r="AG143" i="1"/>
  <c r="AE143" i="1"/>
  <c r="AE527" i="1"/>
  <c r="Z527" i="1"/>
  <c r="V527" i="1"/>
  <c r="AB527" i="1" s="1" a="1"/>
  <c r="AB527" i="1" s="1"/>
  <c r="Y527" i="1"/>
  <c r="AA527" i="1" s="1"/>
  <c r="X527" i="1"/>
  <c r="AI527" i="1"/>
  <c r="AG527" i="1"/>
  <c r="AK527" i="1"/>
  <c r="AK237" i="1"/>
  <c r="V237" i="1"/>
  <c r="AB237" i="1" s="1" a="1"/>
  <c r="AB237" i="1" s="1"/>
  <c r="Y237" i="1"/>
  <c r="AA237" i="1" s="1"/>
  <c r="X237" i="1"/>
  <c r="AI237" i="1"/>
  <c r="Z237" i="1"/>
  <c r="AG237" i="1"/>
  <c r="AE237" i="1"/>
  <c r="Z281" i="1"/>
  <c r="Y281" i="1"/>
  <c r="AA281" i="1" s="1"/>
  <c r="X281" i="1"/>
  <c r="V281" i="1"/>
  <c r="AB281" i="1" s="1" a="1"/>
  <c r="AB281" i="1" s="1"/>
  <c r="AE281" i="1"/>
  <c r="AK281" i="1"/>
  <c r="AI281" i="1"/>
  <c r="AG281" i="1"/>
  <c r="Z360" i="1"/>
  <c r="AK360" i="1"/>
  <c r="Y360" i="1"/>
  <c r="AA360" i="1" s="1"/>
  <c r="AG360" i="1"/>
  <c r="V360" i="1"/>
  <c r="AB360" i="1" s="1" a="1"/>
  <c r="AB360" i="1" s="1"/>
  <c r="AE360" i="1"/>
  <c r="X360" i="1"/>
  <c r="AI360" i="1"/>
  <c r="X314" i="1"/>
  <c r="Z314" i="1"/>
  <c r="AG314" i="1"/>
  <c r="V314" i="1"/>
  <c r="AB314" i="1" s="1" a="1"/>
  <c r="AB314" i="1" s="1"/>
  <c r="AE314" i="1"/>
  <c r="Y314" i="1"/>
  <c r="AA314" i="1" s="1"/>
  <c r="AI314" i="1"/>
  <c r="AK314" i="1"/>
  <c r="AE61" i="1"/>
  <c r="AK61" i="1"/>
  <c r="AI61" i="1"/>
  <c r="AG61" i="1"/>
  <c r="V61" i="1"/>
  <c r="AB61" i="1" s="1" a="1"/>
  <c r="AB61" i="1" s="1"/>
  <c r="X61" i="1"/>
  <c r="Z61" i="1"/>
  <c r="Y61" i="1"/>
  <c r="AA61" i="1" s="1"/>
  <c r="AI508" i="1"/>
  <c r="AG508" i="1"/>
  <c r="Z508" i="1"/>
  <c r="AK508" i="1"/>
  <c r="AE508" i="1"/>
  <c r="Y508" i="1"/>
  <c r="AA508" i="1" s="1"/>
  <c r="V508" i="1"/>
  <c r="AB508" i="1" s="1" a="1"/>
  <c r="AB508" i="1" s="1"/>
  <c r="X508" i="1"/>
  <c r="AE270" i="1"/>
  <c r="Z270" i="1"/>
  <c r="Y270" i="1"/>
  <c r="AA270" i="1" s="1"/>
  <c r="X270" i="1"/>
  <c r="AK270" i="1"/>
  <c r="AI270" i="1"/>
  <c r="AG270" i="1"/>
  <c r="V270" i="1"/>
  <c r="AB270" i="1" s="1" a="1"/>
  <c r="AB270" i="1" s="1"/>
  <c r="Z72" i="1"/>
  <c r="AE72" i="1"/>
  <c r="Y72" i="1"/>
  <c r="AA72" i="1" s="1"/>
  <c r="X72" i="1"/>
  <c r="V72" i="1"/>
  <c r="AB72" i="1" s="1" a="1"/>
  <c r="AB72" i="1" s="1"/>
  <c r="AK72" i="1"/>
  <c r="AI72" i="1"/>
  <c r="AG72" i="1"/>
  <c r="Q810" i="1"/>
  <c r="S810" i="1"/>
  <c r="AC810" i="1"/>
  <c r="AD810" i="1"/>
  <c r="AC756" i="1"/>
  <c r="Q756" i="1"/>
  <c r="S756" i="1"/>
  <c r="AD756" i="1"/>
  <c r="V769" i="1"/>
  <c r="AI769" i="1"/>
  <c r="AG769" i="1"/>
  <c r="AE769" i="1"/>
  <c r="X769" i="1"/>
  <c r="AK769" i="1"/>
  <c r="Z769" i="1"/>
  <c r="Y769" i="1"/>
  <c r="AA769" i="1" s="1"/>
  <c r="AD729" i="1"/>
  <c r="AC729" i="1"/>
  <c r="S729" i="1"/>
  <c r="Q729" i="1"/>
  <c r="S800" i="1"/>
  <c r="T718" i="1"/>
  <c r="Q718" i="1"/>
  <c r="R718" i="1"/>
  <c r="AD718" i="1"/>
  <c r="AC718" i="1"/>
  <c r="X434" i="1"/>
  <c r="AK434" i="1"/>
  <c r="AI434" i="1"/>
  <c r="AG434" i="1"/>
  <c r="V434" i="1"/>
  <c r="AB434" i="1" s="1" a="1"/>
  <c r="AB434" i="1" s="1"/>
  <c r="Z434" i="1"/>
  <c r="AE434" i="1"/>
  <c r="Y434" i="1"/>
  <c r="AA434" i="1" s="1"/>
  <c r="V413" i="1"/>
  <c r="AB413" i="1" s="1" a="1"/>
  <c r="AB413" i="1" s="1"/>
  <c r="AK413" i="1"/>
  <c r="AI413" i="1"/>
  <c r="AG413" i="1"/>
  <c r="Y413" i="1"/>
  <c r="AA413" i="1" s="1"/>
  <c r="X413" i="1"/>
  <c r="Z413" i="1"/>
  <c r="AE413" i="1"/>
  <c r="AI483" i="1"/>
  <c r="AG483" i="1"/>
  <c r="AE483" i="1"/>
  <c r="Y483" i="1"/>
  <c r="AA483" i="1" s="1"/>
  <c r="X483" i="1"/>
  <c r="Z483" i="1"/>
  <c r="V483" i="1"/>
  <c r="AB483" i="1" s="1" a="1"/>
  <c r="AB483" i="1" s="1"/>
  <c r="AK483" i="1"/>
  <c r="AK557" i="1"/>
  <c r="V557" i="1"/>
  <c r="AB557" i="1" s="1" a="1"/>
  <c r="AB557" i="1" s="1"/>
  <c r="Y557" i="1"/>
  <c r="AA557" i="1" s="1"/>
  <c r="AI557" i="1"/>
  <c r="AG557" i="1"/>
  <c r="AE557" i="1"/>
  <c r="X557" i="1"/>
  <c r="Z557" i="1"/>
  <c r="AC8" i="1"/>
  <c r="S8" i="1"/>
  <c r="R8" i="1"/>
  <c r="AD8" i="1"/>
  <c r="T8" i="1"/>
  <c r="AE515" i="1"/>
  <c r="AK515" i="1"/>
  <c r="AI515" i="1"/>
  <c r="X515" i="1"/>
  <c r="V515" i="1"/>
  <c r="AB515" i="1" s="1" a="1"/>
  <c r="AB515" i="1" s="1"/>
  <c r="Z515" i="1"/>
  <c r="AG515" i="1"/>
  <c r="Y515" i="1"/>
  <c r="AA515" i="1" s="1"/>
  <c r="AG97" i="1"/>
  <c r="Z97" i="1"/>
  <c r="V97" i="1"/>
  <c r="AB97" i="1" s="1" a="1"/>
  <c r="AB97" i="1" s="1"/>
  <c r="Y97" i="1"/>
  <c r="AA97" i="1" s="1"/>
  <c r="X97" i="1"/>
  <c r="AK97" i="1"/>
  <c r="AI97" i="1"/>
  <c r="AE97" i="1"/>
  <c r="AC184" i="1"/>
  <c r="T184" i="1"/>
  <c r="AD184" i="1"/>
  <c r="AD36" i="1"/>
  <c r="T36" i="1"/>
  <c r="AC36" i="1"/>
  <c r="S36" i="1"/>
  <c r="R36" i="1" s="1"/>
  <c r="Z142" i="1"/>
  <c r="AG142" i="1" s="1"/>
  <c r="AD785" i="1"/>
  <c r="AC785" i="1"/>
  <c r="R785" i="1"/>
  <c r="Q785" i="1"/>
  <c r="AC769" i="1"/>
  <c r="Q769" i="1"/>
  <c r="S769" i="1"/>
  <c r="AD769" i="1"/>
  <c r="AK712" i="1"/>
  <c r="V712" i="1"/>
  <c r="AB712" i="1" s="1" a="1"/>
  <c r="AB712" i="1" s="1"/>
  <c r="AI712" i="1"/>
  <c r="X712" i="1"/>
  <c r="AG712" i="1"/>
  <c r="AE712" i="1"/>
  <c r="Z712" i="1"/>
  <c r="Y712" i="1"/>
  <c r="AA712" i="1" s="1"/>
  <c r="Y734" i="1"/>
  <c r="AA734" i="1" s="1"/>
  <c r="Z734" i="1"/>
  <c r="X734" i="1"/>
  <c r="AI734" i="1"/>
  <c r="AG734" i="1"/>
  <c r="AK734" i="1"/>
  <c r="AE734" i="1"/>
  <c r="V734" i="1"/>
  <c r="AI701" i="1"/>
  <c r="Z701" i="1"/>
  <c r="Y701" i="1"/>
  <c r="AA701" i="1" s="1"/>
  <c r="AE701" i="1"/>
  <c r="X701" i="1"/>
  <c r="V701" i="1"/>
  <c r="AB701" i="1" s="1" a="1"/>
  <c r="AB701" i="1" s="1"/>
  <c r="AK701" i="1"/>
  <c r="AG701" i="1"/>
  <c r="AD586" i="1"/>
  <c r="AC586" i="1"/>
  <c r="Q586" i="1"/>
  <c r="S586" i="1"/>
  <c r="T586" i="1"/>
  <c r="R428" i="1"/>
  <c r="AK284" i="1"/>
  <c r="AI284" i="1"/>
  <c r="AG284" i="1"/>
  <c r="Y284" i="1"/>
  <c r="AA284" i="1" s="1"/>
  <c r="Z284" i="1"/>
  <c r="V284" i="1"/>
  <c r="AB284" i="1" s="1" a="1"/>
  <c r="AB284" i="1" s="1"/>
  <c r="AE284" i="1"/>
  <c r="X284" i="1"/>
  <c r="X410" i="1"/>
  <c r="AK410" i="1"/>
  <c r="AI410" i="1"/>
  <c r="AG410" i="1"/>
  <c r="Y410" i="1"/>
  <c r="AA410" i="1" s="1"/>
  <c r="V410" i="1"/>
  <c r="AB410" i="1" s="1" a="1"/>
  <c r="AB410" i="1" s="1"/>
  <c r="AE410" i="1"/>
  <c r="Z410" i="1"/>
  <c r="AE378" i="1"/>
  <c r="AI378" i="1"/>
  <c r="X378" i="1"/>
  <c r="V378" i="1"/>
  <c r="AB378" i="1" s="1" a="1"/>
  <c r="AB378" i="1" s="1"/>
  <c r="AG378" i="1"/>
  <c r="Z378" i="1"/>
  <c r="Y378" i="1"/>
  <c r="AA378" i="1" s="1"/>
  <c r="AK378" i="1"/>
  <c r="AD399" i="1"/>
  <c r="AC399" i="1"/>
  <c r="S399" i="1"/>
  <c r="Q399" i="1"/>
  <c r="R399" i="1"/>
  <c r="S231" i="1"/>
  <c r="Y271" i="1"/>
  <c r="AA271" i="1" s="1"/>
  <c r="AG271" i="1"/>
  <c r="AE271" i="1"/>
  <c r="AI271" i="1"/>
  <c r="V271" i="1"/>
  <c r="AB271" i="1" s="1" a="1"/>
  <c r="AB271" i="1" s="1"/>
  <c r="X271" i="1"/>
  <c r="Z271" i="1"/>
  <c r="AK271" i="1"/>
  <c r="Y152" i="1"/>
  <c r="AA152" i="1" s="1"/>
  <c r="V152" i="1"/>
  <c r="AB152" i="1" s="1" a="1"/>
  <c r="AB152" i="1" s="1"/>
  <c r="AK152" i="1"/>
  <c r="AI152" i="1"/>
  <c r="X152" i="1"/>
  <c r="Z152" i="1"/>
  <c r="AG152" i="1"/>
  <c r="AE152" i="1"/>
  <c r="Q152" i="1"/>
  <c r="Z25" i="1"/>
  <c r="AI25" i="1" s="1"/>
  <c r="V25" i="1"/>
  <c r="AB25" i="1" s="1" a="1"/>
  <c r="AB25" i="1" s="1"/>
  <c r="Z396" i="1"/>
  <c r="AE396" i="1"/>
  <c r="X396" i="1"/>
  <c r="V396" i="1"/>
  <c r="AB396" i="1" s="1" a="1"/>
  <c r="AB396" i="1" s="1"/>
  <c r="Y396" i="1"/>
  <c r="AA396" i="1" s="1"/>
  <c r="AK396" i="1"/>
  <c r="AI396" i="1"/>
  <c r="AG396" i="1"/>
  <c r="Q228" i="1"/>
  <c r="Z167" i="1"/>
  <c r="AG167" i="1" s="1"/>
  <c r="AK809" i="1"/>
  <c r="AI809" i="1"/>
  <c r="V809" i="1"/>
  <c r="Z809" i="1"/>
  <c r="AG809" i="1"/>
  <c r="AE809" i="1"/>
  <c r="Y809" i="1"/>
  <c r="AA809" i="1" s="1"/>
  <c r="X809" i="1"/>
  <c r="Q765" i="1"/>
  <c r="AC765" i="1"/>
  <c r="T765" i="1"/>
  <c r="R765" i="1"/>
  <c r="AD765" i="1"/>
  <c r="S765" i="1"/>
  <c r="AG811" i="1"/>
  <c r="AE811" i="1"/>
  <c r="X811" i="1"/>
  <c r="AI811" i="1"/>
  <c r="Z811" i="1"/>
  <c r="Y811" i="1"/>
  <c r="AA811" i="1" s="1"/>
  <c r="AK811" i="1"/>
  <c r="V811" i="1"/>
  <c r="Z703" i="1"/>
  <c r="AI703" i="1"/>
  <c r="X703" i="1"/>
  <c r="V703" i="1"/>
  <c r="AB703" i="1" s="1" a="1"/>
  <c r="AB703" i="1" s="1"/>
  <c r="Y703" i="1"/>
  <c r="AA703" i="1" s="1"/>
  <c r="AG703" i="1"/>
  <c r="AE703" i="1"/>
  <c r="AK703" i="1"/>
  <c r="S785" i="1"/>
  <c r="R773" i="1"/>
  <c r="Q773" i="1"/>
  <c r="AC773" i="1"/>
  <c r="AD773" i="1"/>
  <c r="T773" i="1"/>
  <c r="AC272" i="1"/>
  <c r="AD272" i="1"/>
  <c r="Q272" i="1"/>
  <c r="T272" i="1"/>
  <c r="X404" i="1"/>
  <c r="AK404" i="1"/>
  <c r="AI404" i="1"/>
  <c r="AG404" i="1"/>
  <c r="Z404" i="1"/>
  <c r="Y404" i="1"/>
  <c r="AA404" i="1" s="1"/>
  <c r="AE404" i="1"/>
  <c r="V404" i="1"/>
  <c r="AB404" i="1" s="1" a="1"/>
  <c r="AB404" i="1" s="1"/>
  <c r="AD432" i="1"/>
  <c r="AC432" i="1"/>
  <c r="Q432" i="1"/>
  <c r="R432" i="1"/>
  <c r="S432" i="1"/>
  <c r="S543" i="1"/>
  <c r="AD543" i="1"/>
  <c r="AC543" i="1"/>
  <c r="Q543" i="1"/>
  <c r="R543" i="1"/>
  <c r="AC227" i="1"/>
  <c r="AD227" i="1"/>
  <c r="S227" i="1"/>
  <c r="T227" i="1"/>
  <c r="R227" i="1" s="1"/>
  <c r="Z303" i="1"/>
  <c r="Y303" i="1"/>
  <c r="AA303" i="1" s="1"/>
  <c r="X303" i="1"/>
  <c r="AE303" i="1"/>
  <c r="V303" i="1"/>
  <c r="AB303" i="1" s="1" a="1"/>
  <c r="AB303" i="1" s="1"/>
  <c r="AK303" i="1"/>
  <c r="AI303" i="1"/>
  <c r="AG303" i="1"/>
  <c r="AI808" i="1"/>
  <c r="AK808" i="1"/>
  <c r="Y808" i="1"/>
  <c r="AA808" i="1" s="1"/>
  <c r="X808" i="1"/>
  <c r="V808" i="1"/>
  <c r="AG808" i="1"/>
  <c r="AE808" i="1"/>
  <c r="Z808" i="1"/>
  <c r="T671" i="1"/>
  <c r="R671" i="1"/>
  <c r="Q671" i="1"/>
  <c r="AC671" i="1"/>
  <c r="AD671" i="1"/>
  <c r="AC196" i="1"/>
  <c r="AD196" i="1"/>
  <c r="T196" i="1"/>
  <c r="R196" i="1" s="1"/>
  <c r="AG702" i="1"/>
  <c r="V702" i="1"/>
  <c r="AB702" i="1" s="1" a="1"/>
  <c r="AB702" i="1" s="1"/>
  <c r="Y702" i="1"/>
  <c r="AA702" i="1" s="1"/>
  <c r="Z702" i="1"/>
  <c r="X702" i="1"/>
  <c r="AI702" i="1"/>
  <c r="AK702" i="1"/>
  <c r="AE702" i="1"/>
  <c r="X482" i="1"/>
  <c r="AK482" i="1"/>
  <c r="V482" i="1"/>
  <c r="AB482" i="1" s="1" a="1"/>
  <c r="AB482" i="1" s="1"/>
  <c r="Y482" i="1"/>
  <c r="AA482" i="1" s="1"/>
  <c r="AI482" i="1"/>
  <c r="AG482" i="1"/>
  <c r="Z482" i="1"/>
  <c r="AE482" i="1"/>
  <c r="AK146" i="1"/>
  <c r="Y146" i="1"/>
  <c r="AA146" i="1" s="1"/>
  <c r="V146" i="1"/>
  <c r="AB146" i="1" s="1" a="1"/>
  <c r="AB146" i="1" s="1"/>
  <c r="AI146" i="1"/>
  <c r="AE146" i="1"/>
  <c r="Z146" i="1"/>
  <c r="AG146" i="1" s="1"/>
  <c r="AI388" i="1"/>
  <c r="Y388" i="1"/>
  <c r="AA388" i="1" s="1"/>
  <c r="X388" i="1"/>
  <c r="V388" i="1"/>
  <c r="AB388" i="1" s="1" a="1"/>
  <c r="AB388" i="1" s="1"/>
  <c r="Z388" i="1"/>
  <c r="AE388" i="1"/>
  <c r="AK388" i="1"/>
  <c r="AG388" i="1"/>
  <c r="AC118" i="1"/>
  <c r="S118" i="1"/>
  <c r="R118" i="1"/>
  <c r="Q118" i="1" s="1"/>
  <c r="AD118" i="1"/>
  <c r="T118" i="1"/>
  <c r="Z54" i="1"/>
  <c r="AE54" i="1" s="1"/>
  <c r="Y54" i="1"/>
  <c r="AA54" i="1" s="1"/>
  <c r="V54" i="1"/>
  <c r="AB54" i="1" s="1" a="1"/>
  <c r="AB54" i="1" s="1"/>
  <c r="AK54" i="1"/>
  <c r="AG54" i="1"/>
  <c r="Q54" i="1"/>
  <c r="R23" i="1"/>
  <c r="AD566" i="1"/>
  <c r="Q566" i="1"/>
  <c r="AC566" i="1"/>
  <c r="S566" i="1"/>
  <c r="R566" i="1"/>
  <c r="AC4" i="1"/>
  <c r="AD4" i="1"/>
  <c r="S4" i="1"/>
  <c r="R4" i="1"/>
  <c r="AG94" i="1"/>
  <c r="V94" i="1"/>
  <c r="AB94" i="1" s="1" a="1"/>
  <c r="AB94" i="1" s="1"/>
  <c r="AE94" i="1"/>
  <c r="Z94" i="1"/>
  <c r="Y94" i="1"/>
  <c r="AA94" i="1" s="1"/>
  <c r="Z96" i="1"/>
  <c r="V96" i="1" s="1"/>
  <c r="Y96" i="1"/>
  <c r="AA96" i="1" s="1"/>
  <c r="AI96" i="1"/>
  <c r="AG96" i="1"/>
  <c r="AK96" i="1"/>
  <c r="Q569" i="1"/>
  <c r="AD569" i="1"/>
  <c r="AC569" i="1"/>
  <c r="S569" i="1"/>
  <c r="R569" i="1"/>
  <c r="T569" i="1"/>
  <c r="AI376" i="1"/>
  <c r="AE376" i="1"/>
  <c r="Y376" i="1"/>
  <c r="AA376" i="1" s="1"/>
  <c r="X376" i="1"/>
  <c r="V376" i="1"/>
  <c r="AB376" i="1" s="1" a="1"/>
  <c r="AB376" i="1" s="1"/>
  <c r="Z376" i="1"/>
  <c r="AK376" i="1"/>
  <c r="AG376" i="1"/>
  <c r="AK345" i="1"/>
  <c r="V345" i="1"/>
  <c r="AB345" i="1" s="1" a="1"/>
  <c r="AB345" i="1" s="1"/>
  <c r="Z345" i="1"/>
  <c r="Y345" i="1"/>
  <c r="AA345" i="1" s="1"/>
  <c r="X345" i="1"/>
  <c r="AE345" i="1"/>
  <c r="AI345" i="1"/>
  <c r="AG345" i="1"/>
  <c r="V793" i="1"/>
  <c r="Z793" i="1"/>
  <c r="Y793" i="1"/>
  <c r="AA793" i="1" s="1"/>
  <c r="X793" i="1"/>
  <c r="AK793" i="1"/>
  <c r="AI793" i="1"/>
  <c r="AE793" i="1"/>
  <c r="AG793" i="1"/>
  <c r="S773" i="1"/>
  <c r="Q725" i="1"/>
  <c r="S725" i="1"/>
  <c r="AC725" i="1"/>
  <c r="AD725" i="1"/>
  <c r="R725" i="1"/>
  <c r="AE792" i="1"/>
  <c r="Y792" i="1"/>
  <c r="AA792" i="1" s="1"/>
  <c r="X792" i="1"/>
  <c r="V792" i="1"/>
  <c r="AG792" i="1"/>
  <c r="Z792" i="1"/>
  <c r="AK792" i="1"/>
  <c r="AI792" i="1"/>
  <c r="Y679" i="1"/>
  <c r="AA679" i="1" s="1"/>
  <c r="V679" i="1"/>
  <c r="AB679" i="1" s="1" a="1"/>
  <c r="AB679" i="1" s="1"/>
  <c r="Z679" i="1"/>
  <c r="AK679" i="1"/>
  <c r="AI679" i="1"/>
  <c r="X679" i="1"/>
  <c r="AG679" i="1"/>
  <c r="AE679" i="1"/>
  <c r="AC520" i="1"/>
  <c r="AD520" i="1"/>
  <c r="R520" i="1"/>
  <c r="Q520" i="1"/>
  <c r="X398" i="1"/>
  <c r="AG398" i="1"/>
  <c r="AK398" i="1"/>
  <c r="AI398" i="1"/>
  <c r="AE398" i="1"/>
  <c r="Z398" i="1"/>
  <c r="Y398" i="1"/>
  <c r="AA398" i="1" s="1"/>
  <c r="V398" i="1"/>
  <c r="AB398" i="1" s="1" a="1"/>
  <c r="AB398" i="1" s="1"/>
  <c r="R756" i="1"/>
  <c r="AC207" i="1"/>
  <c r="AD207" i="1"/>
  <c r="T207" i="1"/>
  <c r="Q538" i="1"/>
  <c r="AD538" i="1"/>
  <c r="AC538" i="1"/>
  <c r="T538" i="1"/>
  <c r="S538" i="1"/>
  <c r="AI460" i="1"/>
  <c r="AG460" i="1"/>
  <c r="Y460" i="1"/>
  <c r="AA460" i="1" s="1"/>
  <c r="X460" i="1"/>
  <c r="V460" i="1"/>
  <c r="AB460" i="1" s="1" a="1"/>
  <c r="AB460" i="1" s="1"/>
  <c r="Z460" i="1"/>
  <c r="AE460" i="1"/>
  <c r="AK460" i="1"/>
  <c r="S184" i="1"/>
  <c r="R184" i="1" s="1"/>
  <c r="AD169" i="1"/>
  <c r="AC169" i="1"/>
  <c r="T169" i="1"/>
  <c r="S169" i="1"/>
  <c r="R169" i="1"/>
  <c r="AC3" i="1"/>
  <c r="Q3" i="1"/>
  <c r="AD3" i="1"/>
  <c r="J3" i="1"/>
  <c r="T3" i="1" s="1"/>
  <c r="R89" i="1"/>
  <c r="Y279" i="1"/>
  <c r="AA279" i="1" s="1"/>
  <c r="X279" i="1"/>
  <c r="V279" i="1"/>
  <c r="AB279" i="1" s="1" a="1"/>
  <c r="AB279" i="1" s="1"/>
  <c r="AE279" i="1"/>
  <c r="Z279" i="1"/>
  <c r="AK279" i="1"/>
  <c r="AI279" i="1"/>
  <c r="AG279" i="1"/>
  <c r="AI796" i="1"/>
  <c r="Z796" i="1"/>
  <c r="AG796" i="1"/>
  <c r="AE796" i="1"/>
  <c r="X796" i="1"/>
  <c r="V796" i="1"/>
  <c r="AK796" i="1"/>
  <c r="Y796" i="1"/>
  <c r="AA796" i="1" s="1"/>
  <c r="AI85" i="1"/>
  <c r="AK85" i="1"/>
  <c r="AG85" i="1"/>
  <c r="V85" i="1"/>
  <c r="AB85" i="1" s="1" a="1"/>
  <c r="AB85" i="1" s="1"/>
  <c r="Z85" i="1"/>
  <c r="AE85" i="1" s="1"/>
  <c r="Y85" i="1"/>
  <c r="AA85" i="1" s="1"/>
  <c r="AG35" i="1"/>
  <c r="Y35" i="1"/>
  <c r="AA35" i="1" s="1"/>
  <c r="Z35" i="1"/>
  <c r="X35" i="1"/>
  <c r="V35" i="1"/>
  <c r="AB35" i="1" s="1" a="1"/>
  <c r="AB35" i="1" s="1"/>
  <c r="AI35" i="1"/>
  <c r="AE35" i="1"/>
  <c r="AK35" i="1"/>
  <c r="Q35" i="1"/>
  <c r="X780" i="1"/>
  <c r="AG780" i="1"/>
  <c r="AE780" i="1"/>
  <c r="V780" i="1"/>
  <c r="AK780" i="1"/>
  <c r="AI780" i="1"/>
  <c r="Y780" i="1"/>
  <c r="AA780" i="1" s="1"/>
  <c r="Z780" i="1"/>
  <c r="Z802" i="1"/>
  <c r="AE802" i="1"/>
  <c r="Y802" i="1"/>
  <c r="AA802" i="1" s="1"/>
  <c r="X802" i="1"/>
  <c r="AK802" i="1"/>
  <c r="AI802" i="1"/>
  <c r="AG802" i="1"/>
  <c r="V802" i="1"/>
  <c r="AD685" i="1"/>
  <c r="Q685" i="1"/>
  <c r="T685" i="1"/>
  <c r="S685" i="1"/>
  <c r="AC685" i="1"/>
  <c r="R685" i="1"/>
  <c r="AD493" i="1"/>
  <c r="AC493" i="1"/>
  <c r="Q493" i="1"/>
  <c r="S493" i="1"/>
  <c r="T493" i="1"/>
  <c r="AK803" i="1"/>
  <c r="Z803" i="1"/>
  <c r="X803" i="1"/>
  <c r="V803" i="1"/>
  <c r="Y803" i="1"/>
  <c r="AA803" i="1" s="1"/>
  <c r="AG803" i="1"/>
  <c r="AI803" i="1"/>
  <c r="AE803" i="1"/>
  <c r="AE462" i="1"/>
  <c r="X462" i="1"/>
  <c r="V462" i="1"/>
  <c r="AB462" i="1" s="1" a="1"/>
  <c r="AB462" i="1" s="1"/>
  <c r="AI462" i="1"/>
  <c r="AK462" i="1"/>
  <c r="Z462" i="1"/>
  <c r="AG462" i="1"/>
  <c r="Y462" i="1"/>
  <c r="AA462" i="1" s="1"/>
  <c r="T775" i="1"/>
  <c r="Q407" i="1"/>
  <c r="T407" i="1"/>
  <c r="R407" i="1"/>
  <c r="AC407" i="1"/>
  <c r="AD407" i="1"/>
  <c r="S407" i="1"/>
  <c r="Q249" i="1"/>
  <c r="AD249" i="1"/>
  <c r="AC249" i="1"/>
  <c r="T249" i="1"/>
  <c r="S249" i="1"/>
  <c r="R249" i="1"/>
  <c r="AE390" i="1"/>
  <c r="X390" i="1"/>
  <c r="V390" i="1"/>
  <c r="AB390" i="1" s="1" a="1"/>
  <c r="AB390" i="1" s="1"/>
  <c r="AI390" i="1"/>
  <c r="AG390" i="1"/>
  <c r="Y390" i="1"/>
  <c r="AA390" i="1" s="1"/>
  <c r="Z390" i="1"/>
  <c r="AK390" i="1"/>
  <c r="AC283" i="1"/>
  <c r="S283" i="1"/>
  <c r="AD283" i="1"/>
  <c r="R283" i="1"/>
  <c r="Q283" i="1"/>
  <c r="T283" i="1"/>
  <c r="AK154" i="1"/>
  <c r="V154" i="1"/>
  <c r="AB154" i="1" s="1" a="1"/>
  <c r="AB154" i="1" s="1"/>
  <c r="Y154" i="1"/>
  <c r="AA154" i="1" s="1"/>
  <c r="Z154" i="1"/>
  <c r="AI154" i="1"/>
  <c r="AE154" i="1"/>
  <c r="AG154" i="1"/>
  <c r="X154" i="1"/>
  <c r="Q154" i="1"/>
  <c r="S3" i="1"/>
  <c r="R3" i="1" s="1"/>
  <c r="AK95" i="1"/>
  <c r="V95" i="1"/>
  <c r="AE95" i="1"/>
  <c r="AI95" i="1"/>
  <c r="Z95" i="1"/>
  <c r="AG95" i="1" s="1"/>
  <c r="Y95" i="1"/>
  <c r="AA95" i="1" s="1"/>
  <c r="AG431" i="1"/>
  <c r="AK431" i="1"/>
  <c r="V431" i="1"/>
  <c r="AB431" i="1" s="1" a="1"/>
  <c r="AB431" i="1" s="1"/>
  <c r="AI431" i="1"/>
  <c r="Y431" i="1"/>
  <c r="AA431" i="1" s="1"/>
  <c r="AE431" i="1"/>
  <c r="Z431" i="1"/>
  <c r="X431" i="1"/>
  <c r="AI76" i="1"/>
  <c r="AK76" i="1"/>
  <c r="X76" i="1"/>
  <c r="AG76" i="1"/>
  <c r="V76" i="1"/>
  <c r="AB76" i="1" s="1" a="1"/>
  <c r="AB76" i="1" s="1"/>
  <c r="AE76" i="1"/>
  <c r="Z76" i="1"/>
  <c r="Y76" i="1"/>
  <c r="AA76" i="1" s="1"/>
  <c r="Q76" i="1"/>
  <c r="AD753" i="1"/>
  <c r="Q753" i="1"/>
  <c r="AC753" i="1"/>
  <c r="S753" i="1"/>
  <c r="R753" i="1"/>
  <c r="T753" i="1"/>
  <c r="Y295" i="1"/>
  <c r="AA295" i="1" s="1"/>
  <c r="AK295" i="1"/>
  <c r="AI295" i="1"/>
  <c r="AG295" i="1"/>
  <c r="V295" i="1"/>
  <c r="AB295" i="1" s="1" a="1"/>
  <c r="AB295" i="1" s="1"/>
  <c r="Z295" i="1"/>
  <c r="X295" i="1"/>
  <c r="AE295" i="1"/>
  <c r="R729" i="1"/>
  <c r="Y759" i="1"/>
  <c r="AA759" i="1" s="1"/>
  <c r="AG759" i="1"/>
  <c r="AE759" i="1"/>
  <c r="V759" i="1"/>
  <c r="Z759" i="1"/>
  <c r="AK759" i="1"/>
  <c r="AI759" i="1"/>
  <c r="X759" i="1"/>
  <c r="AE690" i="1"/>
  <c r="AK690" i="1"/>
  <c r="AI690" i="1"/>
  <c r="AG690" i="1"/>
  <c r="Y690" i="1"/>
  <c r="AA690" i="1" s="1"/>
  <c r="X690" i="1"/>
  <c r="V690" i="1"/>
  <c r="AB690" i="1" s="1" a="1"/>
  <c r="AB690" i="1" s="1"/>
  <c r="Z690" i="1"/>
  <c r="AC734" i="1"/>
  <c r="Q734" i="1"/>
  <c r="AD734" i="1"/>
  <c r="T734" i="1"/>
  <c r="Z672" i="1"/>
  <c r="AK672" i="1"/>
  <c r="AI672" i="1"/>
  <c r="Y672" i="1"/>
  <c r="AA672" i="1" s="1"/>
  <c r="X672" i="1"/>
  <c r="V672" i="1"/>
  <c r="AB672" i="1" s="1" a="1"/>
  <c r="AB672" i="1" s="1"/>
  <c r="AG672" i="1"/>
  <c r="AE672" i="1"/>
  <c r="R810" i="1"/>
  <c r="AD633" i="1"/>
  <c r="Q633" i="1"/>
  <c r="AC633" i="1"/>
  <c r="R633" i="1"/>
  <c r="T633" i="1"/>
  <c r="AD591" i="1"/>
  <c r="S591" i="1"/>
  <c r="Q591" i="1"/>
  <c r="AC591" i="1"/>
  <c r="T591" i="1"/>
  <c r="R591" i="1"/>
  <c r="Q637" i="1"/>
  <c r="AD637" i="1"/>
  <c r="AC637" i="1"/>
  <c r="T637" i="1"/>
  <c r="R637" i="1"/>
  <c r="S633" i="1"/>
  <c r="R596" i="1"/>
  <c r="AD553" i="1"/>
  <c r="R553" i="1"/>
  <c r="Q553" i="1"/>
  <c r="S553" i="1"/>
  <c r="AC553" i="1"/>
  <c r="AC260" i="1"/>
  <c r="Q260" i="1"/>
  <c r="AD260" i="1"/>
  <c r="T260" i="1"/>
  <c r="S260" i="1"/>
  <c r="R260" i="1"/>
  <c r="Z584" i="1"/>
  <c r="AK584" i="1"/>
  <c r="V584" i="1"/>
  <c r="AB584" i="1" s="1" a="1"/>
  <c r="AB584" i="1" s="1"/>
  <c r="AI584" i="1"/>
  <c r="AG584" i="1"/>
  <c r="X584" i="1"/>
  <c r="AE584" i="1"/>
  <c r="Y584" i="1"/>
  <c r="AA584" i="1" s="1"/>
  <c r="X422" i="1"/>
  <c r="AK422" i="1"/>
  <c r="AI422" i="1"/>
  <c r="AG422" i="1"/>
  <c r="V422" i="1"/>
  <c r="AB422" i="1" s="1" a="1"/>
  <c r="AB422" i="1" s="1"/>
  <c r="AE422" i="1"/>
  <c r="Y422" i="1"/>
  <c r="AA422" i="1" s="1"/>
  <c r="Z422" i="1"/>
  <c r="AI293" i="1"/>
  <c r="AG293" i="1"/>
  <c r="AE293" i="1"/>
  <c r="Y293" i="1"/>
  <c r="AA293" i="1" s="1"/>
  <c r="X293" i="1"/>
  <c r="V293" i="1"/>
  <c r="AB293" i="1" s="1" a="1"/>
  <c r="AB293" i="1" s="1"/>
  <c r="Z293" i="1"/>
  <c r="AK293" i="1"/>
  <c r="Z741" i="1"/>
  <c r="Y741" i="1"/>
  <c r="AA741" i="1" s="1"/>
  <c r="X741" i="1"/>
  <c r="V741" i="1"/>
  <c r="AE741" i="1"/>
  <c r="AK741" i="1"/>
  <c r="AG741" i="1"/>
  <c r="AI741" i="1"/>
  <c r="AD530" i="1"/>
  <c r="AC530" i="1"/>
  <c r="S530" i="1"/>
  <c r="Q530" i="1"/>
  <c r="R530" i="1"/>
  <c r="T530" i="1"/>
  <c r="AC464" i="1"/>
  <c r="AD464" i="1"/>
  <c r="Q464" i="1"/>
  <c r="R464" i="1"/>
  <c r="T464" i="1"/>
  <c r="S464" i="1"/>
  <c r="AI650" i="1"/>
  <c r="AG650" i="1"/>
  <c r="AE650" i="1"/>
  <c r="V650" i="1"/>
  <c r="AB650" i="1" s="1" a="1"/>
  <c r="AB650" i="1" s="1"/>
  <c r="AK650" i="1"/>
  <c r="Z650" i="1"/>
  <c r="Y650" i="1"/>
  <c r="AA650" i="1" s="1"/>
  <c r="X650" i="1"/>
  <c r="Z500" i="1"/>
  <c r="AE500" i="1"/>
  <c r="AK500" i="1"/>
  <c r="X500" i="1"/>
  <c r="AI500" i="1"/>
  <c r="AG500" i="1"/>
  <c r="V500" i="1"/>
  <c r="AB500" i="1" s="1" a="1"/>
  <c r="AB500" i="1" s="1"/>
  <c r="Y500" i="1"/>
  <c r="AA500" i="1" s="1"/>
  <c r="AC344" i="1"/>
  <c r="Q344" i="1"/>
  <c r="T344" i="1"/>
  <c r="AD344" i="1"/>
  <c r="R344" i="1"/>
  <c r="S344" i="1"/>
  <c r="T645" i="1"/>
  <c r="AC645" i="1"/>
  <c r="R645" i="1"/>
  <c r="AD645" i="1"/>
  <c r="Q645" i="1"/>
  <c r="S645" i="1"/>
  <c r="Z658" i="1"/>
  <c r="Y658" i="1"/>
  <c r="AA658" i="1" s="1"/>
  <c r="X658" i="1"/>
  <c r="AI658" i="1"/>
  <c r="AG658" i="1"/>
  <c r="AK658" i="1"/>
  <c r="AE658" i="1"/>
  <c r="V658" i="1"/>
  <c r="AB658" i="1" s="1" a="1"/>
  <c r="AB658" i="1" s="1"/>
  <c r="R493" i="1"/>
  <c r="AD483" i="1"/>
  <c r="AC483" i="1"/>
  <c r="T483" i="1"/>
  <c r="S483" i="1"/>
  <c r="Q483" i="1"/>
  <c r="AD489" i="1"/>
  <c r="Q489" i="1"/>
  <c r="S489" i="1"/>
  <c r="AC489" i="1"/>
  <c r="R489" i="1"/>
  <c r="T489" i="1"/>
  <c r="Z276" i="1"/>
  <c r="AI276" i="1"/>
  <c r="V276" i="1"/>
  <c r="AB276" i="1" s="1" a="1"/>
  <c r="AB276" i="1" s="1"/>
  <c r="AE276" i="1"/>
  <c r="AK276" i="1"/>
  <c r="AG276" i="1"/>
  <c r="Y276" i="1"/>
  <c r="AA276" i="1" s="1"/>
  <c r="X276" i="1"/>
  <c r="AD86" i="1"/>
  <c r="AC86" i="1"/>
  <c r="T86" i="1"/>
  <c r="S86" i="1"/>
  <c r="R86" i="1" s="1"/>
  <c r="Z420" i="1"/>
  <c r="AI420" i="1"/>
  <c r="Y420" i="1"/>
  <c r="AA420" i="1" s="1"/>
  <c r="V420" i="1"/>
  <c r="AB420" i="1" s="1" a="1"/>
  <c r="AB420" i="1" s="1"/>
  <c r="X420" i="1"/>
  <c r="AK420" i="1"/>
  <c r="AG420" i="1"/>
  <c r="AE420" i="1"/>
  <c r="R188" i="1"/>
  <c r="Z618" i="1"/>
  <c r="X618" i="1"/>
  <c r="V618" i="1"/>
  <c r="AB618" i="1" s="1" a="1"/>
  <c r="AB618" i="1" s="1"/>
  <c r="AG618" i="1"/>
  <c r="AE618" i="1"/>
  <c r="Y618" i="1"/>
  <c r="AA618" i="1" s="1"/>
  <c r="AK618" i="1"/>
  <c r="AI618" i="1"/>
  <c r="Q146" i="1"/>
  <c r="R272" i="1"/>
  <c r="X174" i="1"/>
  <c r="V174" i="1"/>
  <c r="AB174" i="1" s="1" a="1"/>
  <c r="AB174" i="1" s="1"/>
  <c r="AG174" i="1"/>
  <c r="AE174" i="1"/>
  <c r="Z174" i="1"/>
  <c r="Y174" i="1"/>
  <c r="AA174" i="1" s="1"/>
  <c r="AK174" i="1"/>
  <c r="AI174" i="1"/>
  <c r="AG15" i="1"/>
  <c r="AE15" i="1"/>
  <c r="AK15" i="1"/>
  <c r="Z15" i="1"/>
  <c r="AI15" i="1" s="1"/>
  <c r="V15" i="1"/>
  <c r="AB15" i="1" s="1" a="1"/>
  <c r="AB15" i="1" s="1"/>
  <c r="AI528" i="1"/>
  <c r="Z528" i="1"/>
  <c r="V528" i="1"/>
  <c r="AB528" i="1" s="1" a="1"/>
  <c r="AB528" i="1" s="1"/>
  <c r="Y528" i="1"/>
  <c r="AA528" i="1" s="1"/>
  <c r="X528" i="1"/>
  <c r="AK528" i="1"/>
  <c r="AE528" i="1"/>
  <c r="AG528" i="1"/>
  <c r="Q203" i="1"/>
  <c r="X373" i="1"/>
  <c r="Y373" i="1"/>
  <c r="AA373" i="1" s="1"/>
  <c r="V373" i="1"/>
  <c r="AB373" i="1" s="1" a="1"/>
  <c r="AB373" i="1" s="1"/>
  <c r="Z373" i="1"/>
  <c r="AE373" i="1"/>
  <c r="AK373" i="1"/>
  <c r="AI373" i="1"/>
  <c r="AG373" i="1"/>
  <c r="AD806" i="1"/>
  <c r="AC806" i="1"/>
  <c r="Q806" i="1"/>
  <c r="Z715" i="1"/>
  <c r="X715" i="1"/>
  <c r="AI715" i="1"/>
  <c r="AE715" i="1"/>
  <c r="AK715" i="1"/>
  <c r="AG715" i="1"/>
  <c r="Y715" i="1"/>
  <c r="AA715" i="1" s="1"/>
  <c r="V715" i="1"/>
  <c r="AB715" i="1" s="1" a="1"/>
  <c r="AB715" i="1" s="1"/>
  <c r="X788" i="1"/>
  <c r="AI788" i="1"/>
  <c r="V788" i="1"/>
  <c r="AK788" i="1"/>
  <c r="Z788" i="1"/>
  <c r="Y788" i="1"/>
  <c r="AA788" i="1" s="1"/>
  <c r="AE788" i="1"/>
  <c r="AG788" i="1"/>
  <c r="V682" i="1"/>
  <c r="AB682" i="1" s="1" a="1"/>
  <c r="AB682" i="1" s="1"/>
  <c r="X682" i="1"/>
  <c r="AG682" i="1"/>
  <c r="AE682" i="1"/>
  <c r="Z682" i="1"/>
  <c r="Y682" i="1"/>
  <c r="AA682" i="1" s="1"/>
  <c r="AK682" i="1"/>
  <c r="AI682" i="1"/>
  <c r="AI440" i="1"/>
  <c r="V440" i="1"/>
  <c r="AB440" i="1" s="1" a="1"/>
  <c r="AB440" i="1" s="1"/>
  <c r="AK440" i="1"/>
  <c r="AG440" i="1"/>
  <c r="AE440" i="1"/>
  <c r="X440" i="1"/>
  <c r="Z440" i="1"/>
  <c r="Y440" i="1"/>
  <c r="AA440" i="1" s="1"/>
  <c r="AK333" i="1"/>
  <c r="V333" i="1"/>
  <c r="AB333" i="1" s="1" a="1"/>
  <c r="AB333" i="1" s="1"/>
  <c r="AG333" i="1"/>
  <c r="AE333" i="1"/>
  <c r="Y333" i="1"/>
  <c r="AA333" i="1" s="1"/>
  <c r="Z333" i="1"/>
  <c r="X333" i="1"/>
  <c r="AI333" i="1"/>
  <c r="X458" i="1"/>
  <c r="AK458" i="1"/>
  <c r="V458" i="1"/>
  <c r="AB458" i="1" s="1" a="1"/>
  <c r="AB458" i="1" s="1"/>
  <c r="AG458" i="1"/>
  <c r="AI458" i="1"/>
  <c r="AE458" i="1"/>
  <c r="Z458" i="1"/>
  <c r="Y458" i="1"/>
  <c r="AA458" i="1" s="1"/>
  <c r="X673" i="1"/>
  <c r="V673" i="1"/>
  <c r="AB673" i="1" s="1" a="1"/>
  <c r="AB673" i="1" s="1"/>
  <c r="AG673" i="1"/>
  <c r="AE673" i="1"/>
  <c r="Z673" i="1"/>
  <c r="Y673" i="1"/>
  <c r="AA673" i="1" s="1"/>
  <c r="AK673" i="1"/>
  <c r="AI673" i="1"/>
  <c r="T806" i="1"/>
  <c r="V476" i="1"/>
  <c r="AB476" i="1" s="1" a="1"/>
  <c r="AB476" i="1" s="1"/>
  <c r="Y476" i="1"/>
  <c r="AA476" i="1" s="1"/>
  <c r="X476" i="1"/>
  <c r="AI476" i="1"/>
  <c r="AG476" i="1"/>
  <c r="AK476" i="1"/>
  <c r="Z476" i="1"/>
  <c r="AE476" i="1"/>
  <c r="AE18" i="1"/>
  <c r="V18" i="1"/>
  <c r="AB18" i="1" s="1" a="1"/>
  <c r="AB18" i="1" s="1"/>
  <c r="AK18" i="1"/>
  <c r="AG18" i="1"/>
  <c r="AI18" i="1"/>
  <c r="Z18" i="1"/>
  <c r="Y18" i="1"/>
  <c r="AA18" i="1" s="1"/>
  <c r="X18" i="1"/>
  <c r="Q18" i="1"/>
  <c r="AC428" i="1"/>
  <c r="Q428" i="1"/>
  <c r="AD428" i="1"/>
  <c r="S428" i="1"/>
  <c r="T548" i="1"/>
  <c r="R548" i="1"/>
  <c r="Q548" i="1"/>
  <c r="AD548" i="1"/>
  <c r="AC548" i="1"/>
  <c r="S548" i="1"/>
  <c r="Z64" i="1"/>
  <c r="AI64" i="1" s="1"/>
  <c r="Y64" i="1"/>
  <c r="AA64" i="1" s="1"/>
  <c r="V64" i="1"/>
  <c r="AB64" i="1" s="1" a="1"/>
  <c r="AB64" i="1" s="1"/>
  <c r="Z51" i="1"/>
  <c r="AK51" i="1" s="1"/>
  <c r="Y451" i="1"/>
  <c r="AA451" i="1" s="1"/>
  <c r="X451" i="1"/>
  <c r="AI451" i="1"/>
  <c r="V451" i="1"/>
  <c r="AB451" i="1" s="1" a="1"/>
  <c r="AB451" i="1" s="1"/>
  <c r="AG451" i="1"/>
  <c r="AK451" i="1"/>
  <c r="Z451" i="1"/>
  <c r="AE451" i="1"/>
  <c r="Z114" i="1"/>
  <c r="AK114" i="1" s="1"/>
  <c r="Y114" i="1"/>
  <c r="AA114" i="1" s="1"/>
  <c r="AG114" i="1"/>
  <c r="AE114" i="1"/>
  <c r="Q805" i="1"/>
  <c r="AD805" i="1"/>
  <c r="AC805" i="1"/>
  <c r="S805" i="1"/>
  <c r="R805" i="1"/>
  <c r="V781" i="1"/>
  <c r="AK781" i="1"/>
  <c r="Z781" i="1"/>
  <c r="Y781" i="1"/>
  <c r="AA781" i="1" s="1"/>
  <c r="AI781" i="1"/>
  <c r="AG781" i="1"/>
  <c r="AE781" i="1"/>
  <c r="X781" i="1"/>
  <c r="X370" i="1"/>
  <c r="V370" i="1"/>
  <c r="AB370" i="1" s="1" a="1"/>
  <c r="AB370" i="1" s="1"/>
  <c r="Y370" i="1"/>
  <c r="AA370" i="1" s="1"/>
  <c r="AE370" i="1"/>
  <c r="AK370" i="1"/>
  <c r="Z370" i="1"/>
  <c r="AI370" i="1"/>
  <c r="AG370" i="1"/>
  <c r="V172" i="1"/>
  <c r="AB172" i="1" s="1" a="1"/>
  <c r="AB172" i="1" s="1"/>
  <c r="AK172" i="1"/>
  <c r="Y172" i="1"/>
  <c r="AA172" i="1" s="1"/>
  <c r="X172" i="1"/>
  <c r="AE172" i="1"/>
  <c r="Z172" i="1"/>
  <c r="AI172" i="1"/>
  <c r="AG172" i="1"/>
  <c r="Q172" i="1"/>
  <c r="AC699" i="1"/>
  <c r="AD699" i="1"/>
  <c r="R699" i="1"/>
  <c r="T699" i="1"/>
  <c r="Q699" i="1"/>
  <c r="S699" i="1"/>
  <c r="Q333" i="1"/>
  <c r="AD333" i="1"/>
  <c r="AC333" i="1"/>
  <c r="T333" i="1"/>
  <c r="AC130" i="1"/>
  <c r="T130" i="1"/>
  <c r="S130" i="1"/>
  <c r="R130" i="1" s="1"/>
  <c r="AD130" i="1"/>
  <c r="AE265" i="1"/>
  <c r="AK265" i="1"/>
  <c r="Z265" i="1"/>
  <c r="Y265" i="1"/>
  <c r="AA265" i="1" s="1"/>
  <c r="X265" i="1"/>
  <c r="V265" i="1"/>
  <c r="AB265" i="1" s="1" a="1"/>
  <c r="AB265" i="1" s="1"/>
  <c r="AI265" i="1"/>
  <c r="AG265" i="1"/>
  <c r="AD6" i="1"/>
  <c r="AC6" i="1"/>
  <c r="Q6" i="1"/>
  <c r="J6" i="1"/>
  <c r="T6" i="1"/>
  <c r="R6" i="1" s="1"/>
  <c r="AE474" i="1"/>
  <c r="AG474" i="1"/>
  <c r="AI474" i="1"/>
  <c r="Z474" i="1"/>
  <c r="Y474" i="1"/>
  <c r="AA474" i="1" s="1"/>
  <c r="X474" i="1"/>
  <c r="AK474" i="1"/>
  <c r="V474" i="1"/>
  <c r="AB474" i="1" s="1" a="1"/>
  <c r="AB474" i="1" s="1"/>
  <c r="T531" i="1"/>
  <c r="Q531" i="1"/>
  <c r="AD531" i="1"/>
  <c r="R531" i="1"/>
  <c r="AC531" i="1"/>
  <c r="S531" i="1"/>
  <c r="Z325" i="1"/>
  <c r="Y325" i="1"/>
  <c r="AA325" i="1" s="1"/>
  <c r="AK325" i="1"/>
  <c r="V325" i="1"/>
  <c r="AB325" i="1" s="1" a="1"/>
  <c r="AB325" i="1" s="1"/>
  <c r="AI325" i="1"/>
  <c r="AG325" i="1"/>
  <c r="X325" i="1"/>
  <c r="AE325" i="1"/>
  <c r="AE90" i="1"/>
  <c r="Z90" i="1"/>
  <c r="AK90" i="1" s="1"/>
  <c r="V125" i="1"/>
  <c r="AB125" i="1" s="1" a="1"/>
  <c r="AB125" i="1" s="1"/>
  <c r="AK125" i="1"/>
  <c r="X125" i="1"/>
  <c r="Z125" i="1"/>
  <c r="Y125" i="1"/>
  <c r="AA125" i="1" s="1"/>
  <c r="AI125" i="1"/>
  <c r="AG125" i="1"/>
  <c r="AE125" i="1"/>
  <c r="AC733" i="1"/>
  <c r="AD733" i="1"/>
  <c r="S733" i="1"/>
  <c r="Q733" i="1"/>
  <c r="R733" i="1"/>
  <c r="T733" i="1"/>
  <c r="AD469" i="1"/>
  <c r="Q469" i="1"/>
  <c r="AC469" i="1"/>
  <c r="S469" i="1"/>
  <c r="T469" i="1"/>
  <c r="R469" i="1"/>
  <c r="X374" i="1"/>
  <c r="AI374" i="1"/>
  <c r="AG374" i="1"/>
  <c r="AE374" i="1"/>
  <c r="Y374" i="1"/>
  <c r="AA374" i="1" s="1"/>
  <c r="V374" i="1"/>
  <c r="AB374" i="1" s="1" a="1"/>
  <c r="AB374" i="1" s="1"/>
  <c r="Z374" i="1"/>
  <c r="AK374" i="1"/>
  <c r="AC296" i="1"/>
  <c r="AD296" i="1"/>
  <c r="T296" i="1"/>
  <c r="R296" i="1"/>
  <c r="Q296" i="1"/>
  <c r="S296" i="1"/>
  <c r="Z135" i="1"/>
  <c r="AE135" i="1" s="1"/>
  <c r="AI135" i="1"/>
  <c r="AG135" i="1"/>
  <c r="V75" i="1"/>
  <c r="AB75" i="1" s="1" a="1"/>
  <c r="AB75" i="1" s="1"/>
  <c r="Z75" i="1"/>
  <c r="Y75" i="1"/>
  <c r="AA75" i="1" s="1"/>
  <c r="X75" i="1"/>
  <c r="AK75" i="1"/>
  <c r="AI75" i="1"/>
  <c r="AG75" i="1"/>
  <c r="AE75" i="1"/>
  <c r="AE116" i="1"/>
  <c r="V116" i="1"/>
  <c r="AG116" i="1"/>
  <c r="AK116" i="1"/>
  <c r="Z116" i="1"/>
  <c r="AI116" i="1" s="1"/>
  <c r="Y116" i="1"/>
  <c r="AA116" i="1" s="1"/>
  <c r="X116" i="1"/>
  <c r="AI760" i="1"/>
  <c r="X760" i="1"/>
  <c r="Z760" i="1"/>
  <c r="Y760" i="1"/>
  <c r="AA760" i="1" s="1"/>
  <c r="V760" i="1"/>
  <c r="AE760" i="1"/>
  <c r="AK760" i="1"/>
  <c r="AG760" i="1"/>
  <c r="AI600" i="1"/>
  <c r="AE600" i="1"/>
  <c r="AG600" i="1"/>
  <c r="X600" i="1"/>
  <c r="Z600" i="1"/>
  <c r="Y600" i="1"/>
  <c r="AA600" i="1" s="1"/>
  <c r="V600" i="1"/>
  <c r="AB600" i="1" s="1" a="1"/>
  <c r="AB600" i="1" s="1"/>
  <c r="AK600" i="1"/>
  <c r="AE678" i="1"/>
  <c r="AI678" i="1"/>
  <c r="AK678" i="1"/>
  <c r="Z678" i="1"/>
  <c r="V678" i="1"/>
  <c r="AB678" i="1" s="1" a="1"/>
  <c r="AB678" i="1" s="1"/>
  <c r="AG678" i="1"/>
  <c r="Y678" i="1"/>
  <c r="AA678" i="1" s="1"/>
  <c r="X678" i="1"/>
  <c r="X674" i="1"/>
  <c r="AG674" i="1"/>
  <c r="Z674" i="1"/>
  <c r="Y674" i="1"/>
  <c r="AA674" i="1" s="1"/>
  <c r="AK674" i="1"/>
  <c r="V674" i="1"/>
  <c r="AB674" i="1" s="1" a="1"/>
  <c r="AB674" i="1" s="1"/>
  <c r="AI674" i="1"/>
  <c r="AE674" i="1"/>
  <c r="T543" i="1"/>
  <c r="Y603" i="1"/>
  <c r="AA603" i="1" s="1"/>
  <c r="AG603" i="1"/>
  <c r="AK603" i="1"/>
  <c r="AI603" i="1"/>
  <c r="AE603" i="1"/>
  <c r="X603" i="1"/>
  <c r="V603" i="1"/>
  <c r="AB603" i="1" s="1" a="1"/>
  <c r="AB603" i="1" s="1"/>
  <c r="Z603" i="1"/>
  <c r="Z480" i="1"/>
  <c r="Y480" i="1"/>
  <c r="AA480" i="1" s="1"/>
  <c r="AG480" i="1"/>
  <c r="X480" i="1"/>
  <c r="V480" i="1"/>
  <c r="AB480" i="1" s="1" a="1"/>
  <c r="AB480" i="1" s="1"/>
  <c r="AK480" i="1"/>
  <c r="AI480" i="1"/>
  <c r="AE480" i="1"/>
  <c r="AD33" i="1"/>
  <c r="S33" i="1"/>
  <c r="AC33" i="1"/>
  <c r="T33" i="1"/>
  <c r="R33" i="1" s="1"/>
  <c r="Z93" i="1"/>
  <c r="AK93" i="1" s="1"/>
  <c r="Y93" i="1"/>
  <c r="AA93" i="1" s="1"/>
  <c r="AE93" i="1"/>
  <c r="AI93" i="1"/>
  <c r="AG93" i="1"/>
  <c r="AI784" i="1"/>
  <c r="AK784" i="1"/>
  <c r="AG784" i="1"/>
  <c r="Z784" i="1"/>
  <c r="AE784" i="1"/>
  <c r="Y784" i="1"/>
  <c r="AA784" i="1" s="1"/>
  <c r="V784" i="1"/>
  <c r="X784" i="1"/>
  <c r="AG486" i="1"/>
  <c r="AE486" i="1"/>
  <c r="X486" i="1"/>
  <c r="V486" i="1"/>
  <c r="AB486" i="1" s="1" a="1"/>
  <c r="AB486" i="1" s="1"/>
  <c r="AK486" i="1"/>
  <c r="AI486" i="1"/>
  <c r="Z486" i="1"/>
  <c r="Y486" i="1"/>
  <c r="AA486" i="1" s="1"/>
  <c r="AG199" i="1"/>
  <c r="AE199" i="1"/>
  <c r="Z199" i="1"/>
  <c r="Y199" i="1"/>
  <c r="AA199" i="1" s="1"/>
  <c r="X199" i="1"/>
  <c r="V199" i="1"/>
  <c r="AB199" i="1" s="1" a="1"/>
  <c r="AB199" i="1" s="1"/>
  <c r="AI199" i="1"/>
  <c r="AK199" i="1"/>
  <c r="Q199" i="1"/>
  <c r="AE42" i="1"/>
  <c r="Z42" i="1"/>
  <c r="Y42" i="1" s="1"/>
  <c r="AA42" i="1" s="1"/>
  <c r="Y55" i="1"/>
  <c r="AA55" i="1" s="1"/>
  <c r="AK55" i="1"/>
  <c r="AI55" i="1"/>
  <c r="AG55" i="1"/>
  <c r="Z55" i="1"/>
  <c r="AE55" i="1" s="1"/>
  <c r="V55" i="1"/>
  <c r="AB55" i="1" s="1" a="1"/>
  <c r="AB55" i="1" s="1"/>
  <c r="Q55" i="1"/>
  <c r="Y82" i="1"/>
  <c r="AA82" i="1" s="1"/>
  <c r="V82" i="1"/>
  <c r="AB82" i="1" s="1" a="1"/>
  <c r="AB82" i="1" s="1"/>
  <c r="AG82" i="1"/>
  <c r="AK82" i="1"/>
  <c r="AI82" i="1"/>
  <c r="AE82" i="1"/>
  <c r="X82" i="1"/>
  <c r="Z82" i="1"/>
  <c r="Q82" i="1"/>
  <c r="Z62" i="1"/>
  <c r="AK62" i="1" s="1"/>
  <c r="Y62" i="1"/>
  <c r="AA62" i="1" s="1"/>
  <c r="V62" i="1"/>
  <c r="AB62" i="1" s="1" a="1"/>
  <c r="AB62" i="1" s="1"/>
  <c r="AG62" i="1"/>
  <c r="AI62" i="1"/>
  <c r="AE62" i="1"/>
  <c r="AI223" i="1"/>
  <c r="AG223" i="1"/>
  <c r="X223" i="1"/>
  <c r="V223" i="1"/>
  <c r="AB223" i="1" s="1" a="1"/>
  <c r="AB223" i="1" s="1"/>
  <c r="Z223" i="1"/>
  <c r="Y223" i="1"/>
  <c r="AA223" i="1" s="1"/>
  <c r="AE223" i="1"/>
  <c r="AK223" i="1"/>
  <c r="Q223" i="1"/>
  <c r="AD721" i="1"/>
  <c r="Q721" i="1"/>
  <c r="R721" i="1"/>
  <c r="AC721" i="1"/>
  <c r="AI747" i="1"/>
  <c r="AE747" i="1"/>
  <c r="V747" i="1"/>
  <c r="Z747" i="1"/>
  <c r="X747" i="1"/>
  <c r="AK747" i="1"/>
  <c r="AG747" i="1"/>
  <c r="Y747" i="1"/>
  <c r="AA747" i="1" s="1"/>
  <c r="AD750" i="1"/>
  <c r="Q750" i="1"/>
  <c r="AC750" i="1"/>
  <c r="T750" i="1"/>
  <c r="AD745" i="1"/>
  <c r="Q745" i="1"/>
  <c r="AC745" i="1"/>
  <c r="R745" i="1"/>
  <c r="S745" i="1"/>
  <c r="AD726" i="1"/>
  <c r="Q726" i="1"/>
  <c r="R726" i="1"/>
  <c r="AC726" i="1"/>
  <c r="T726" i="1"/>
  <c r="Q789" i="1"/>
  <c r="AC789" i="1"/>
  <c r="AD789" i="1"/>
  <c r="T789" i="1"/>
  <c r="T810" i="1"/>
  <c r="Y639" i="1"/>
  <c r="AA639" i="1" s="1"/>
  <c r="X639" i="1"/>
  <c r="AK639" i="1"/>
  <c r="V639" i="1"/>
  <c r="AB639" i="1" s="1" a="1"/>
  <c r="AB639" i="1" s="1"/>
  <c r="AG639" i="1"/>
  <c r="AE639" i="1"/>
  <c r="AI639" i="1"/>
  <c r="Z639" i="1"/>
  <c r="AG687" i="1"/>
  <c r="AE687" i="1"/>
  <c r="Z687" i="1"/>
  <c r="Y687" i="1"/>
  <c r="AA687" i="1" s="1"/>
  <c r="X687" i="1"/>
  <c r="AK687" i="1"/>
  <c r="AI687" i="1"/>
  <c r="V687" i="1"/>
  <c r="AB687" i="1" s="1" a="1"/>
  <c r="AB687" i="1" s="1"/>
  <c r="AI737" i="1"/>
  <c r="AG737" i="1"/>
  <c r="AK737" i="1"/>
  <c r="X737" i="1"/>
  <c r="V737" i="1"/>
  <c r="Z737" i="1"/>
  <c r="AE737" i="1"/>
  <c r="Y737" i="1"/>
  <c r="AA737" i="1" s="1"/>
  <c r="AE554" i="1"/>
  <c r="Z554" i="1"/>
  <c r="V554" i="1"/>
  <c r="AB554" i="1" s="1" a="1"/>
  <c r="AB554" i="1" s="1"/>
  <c r="X554" i="1"/>
  <c r="AK554" i="1"/>
  <c r="AG554" i="1"/>
  <c r="Y554" i="1"/>
  <c r="AA554" i="1" s="1"/>
  <c r="AI554" i="1"/>
  <c r="V744" i="1"/>
  <c r="Z744" i="1"/>
  <c r="AG744" i="1"/>
  <c r="AE744" i="1"/>
  <c r="AK744" i="1"/>
  <c r="AI744" i="1"/>
  <c r="Y744" i="1"/>
  <c r="AA744" i="1" s="1"/>
  <c r="X744" i="1"/>
  <c r="AG714" i="1"/>
  <c r="Y714" i="1"/>
  <c r="AA714" i="1" s="1"/>
  <c r="AK714" i="1"/>
  <c r="AI714" i="1"/>
  <c r="X714" i="1"/>
  <c r="V714" i="1"/>
  <c r="AB714" i="1" s="1" a="1"/>
  <c r="AB714" i="1" s="1"/>
  <c r="Z714" i="1"/>
  <c r="AE714" i="1"/>
  <c r="AC544" i="1"/>
  <c r="AD544" i="1"/>
  <c r="T544" i="1"/>
  <c r="S544" i="1"/>
  <c r="Q544" i="1"/>
  <c r="R544" i="1"/>
  <c r="T617" i="1"/>
  <c r="AD617" i="1"/>
  <c r="R617" i="1"/>
  <c r="Q617" i="1"/>
  <c r="AC617" i="1"/>
  <c r="Y627" i="1"/>
  <c r="AA627" i="1" s="1"/>
  <c r="X627" i="1"/>
  <c r="AK627" i="1"/>
  <c r="V627" i="1"/>
  <c r="AB627" i="1" s="1" a="1"/>
  <c r="AB627" i="1" s="1"/>
  <c r="AI627" i="1"/>
  <c r="AG627" i="1"/>
  <c r="AE627" i="1"/>
  <c r="Z627" i="1"/>
  <c r="AE342" i="1"/>
  <c r="AG342" i="1"/>
  <c r="Y342" i="1"/>
  <c r="AA342" i="1" s="1"/>
  <c r="Z342" i="1"/>
  <c r="X342" i="1"/>
  <c r="AI342" i="1"/>
  <c r="AK342" i="1"/>
  <c r="V342" i="1"/>
  <c r="AB342" i="1" s="1" a="1"/>
  <c r="AB342" i="1" s="1"/>
  <c r="AC693" i="1"/>
  <c r="Q693" i="1"/>
  <c r="AD693" i="1"/>
  <c r="T693" i="1"/>
  <c r="R693" i="1"/>
  <c r="S693" i="1"/>
  <c r="AD539" i="1"/>
  <c r="AC539" i="1"/>
  <c r="Q539" i="1"/>
  <c r="R539" i="1"/>
  <c r="S539" i="1"/>
  <c r="T539" i="1"/>
  <c r="Z139" i="1"/>
  <c r="V139" i="1" s="1"/>
  <c r="AG535" i="1"/>
  <c r="X535" i="1"/>
  <c r="Y535" i="1"/>
  <c r="AA535" i="1" s="1"/>
  <c r="V535" i="1"/>
  <c r="AB535" i="1" s="1" a="1"/>
  <c r="AB535" i="1" s="1"/>
  <c r="AI535" i="1"/>
  <c r="AE535" i="1"/>
  <c r="AK535" i="1"/>
  <c r="Z535" i="1"/>
  <c r="S520" i="1"/>
  <c r="X634" i="1"/>
  <c r="AK634" i="1"/>
  <c r="V634" i="1"/>
  <c r="AB634" i="1" s="1" a="1"/>
  <c r="AB634" i="1" s="1"/>
  <c r="AI634" i="1"/>
  <c r="AG634" i="1"/>
  <c r="AE634" i="1"/>
  <c r="Z634" i="1"/>
  <c r="Y634" i="1"/>
  <c r="AA634" i="1" s="1"/>
  <c r="AD511" i="1"/>
  <c r="AC511" i="1"/>
  <c r="T511" i="1"/>
  <c r="R511" i="1"/>
  <c r="Q511" i="1"/>
  <c r="V575" i="1"/>
  <c r="AB575" i="1" s="1" a="1"/>
  <c r="AB575" i="1" s="1"/>
  <c r="AE575" i="1"/>
  <c r="AK575" i="1"/>
  <c r="Z575" i="1"/>
  <c r="X575" i="1"/>
  <c r="AI575" i="1"/>
  <c r="Y575" i="1"/>
  <c r="AA575" i="1" s="1"/>
  <c r="AG575" i="1"/>
  <c r="AG583" i="1"/>
  <c r="Y583" i="1"/>
  <c r="AA583" i="1" s="1"/>
  <c r="X583" i="1"/>
  <c r="V583" i="1"/>
  <c r="AB583" i="1" s="1" a="1"/>
  <c r="AB583" i="1" s="1"/>
  <c r="AK583" i="1"/>
  <c r="AI583" i="1"/>
  <c r="Z583" i="1"/>
  <c r="AE583" i="1"/>
  <c r="Y647" i="1"/>
  <c r="AA647" i="1" s="1"/>
  <c r="X647" i="1"/>
  <c r="V647" i="1"/>
  <c r="AB647" i="1" s="1" a="1"/>
  <c r="AB647" i="1" s="1"/>
  <c r="Z647" i="1"/>
  <c r="AI647" i="1"/>
  <c r="AG647" i="1"/>
  <c r="AK647" i="1"/>
  <c r="AE647" i="1"/>
  <c r="AC68" i="1"/>
  <c r="AD68" i="1"/>
  <c r="S68" i="1"/>
  <c r="T68" i="1"/>
  <c r="R68" i="1" s="1"/>
  <c r="AD220" i="1"/>
  <c r="AC220" i="1"/>
  <c r="T220" i="1"/>
  <c r="X490" i="1"/>
  <c r="AK490" i="1"/>
  <c r="AI490" i="1"/>
  <c r="V490" i="1"/>
  <c r="AB490" i="1" s="1" a="1"/>
  <c r="AB490" i="1" s="1"/>
  <c r="AE490" i="1"/>
  <c r="Y490" i="1"/>
  <c r="AA490" i="1" s="1"/>
  <c r="AG490" i="1"/>
  <c r="Z490" i="1"/>
  <c r="AG133" i="1"/>
  <c r="AK133" i="1"/>
  <c r="AI133" i="1"/>
  <c r="AE133" i="1"/>
  <c r="Z133" i="1"/>
  <c r="Y133" i="1"/>
  <c r="AA133" i="1" s="1"/>
  <c r="X133" i="1"/>
  <c r="V133" i="1"/>
  <c r="AB133" i="1" s="1" a="1"/>
  <c r="AB133" i="1" s="1"/>
  <c r="Q133" i="1"/>
  <c r="AC307" i="1"/>
  <c r="Q307" i="1"/>
  <c r="AD307" i="1"/>
  <c r="R307" i="1"/>
  <c r="S307" i="1"/>
  <c r="T307" i="1"/>
  <c r="AE163" i="1"/>
  <c r="X163" i="1"/>
  <c r="Z163" i="1"/>
  <c r="AI163" i="1"/>
  <c r="AG163" i="1"/>
  <c r="AK163" i="1"/>
  <c r="Y163" i="1"/>
  <c r="AA163" i="1" s="1"/>
  <c r="V163" i="1"/>
  <c r="AB163" i="1" s="1" a="1"/>
  <c r="AB163" i="1" s="1"/>
  <c r="AD13" i="1"/>
  <c r="Q13" i="1"/>
  <c r="J13" i="1"/>
  <c r="T13" i="1" s="1"/>
  <c r="AC13" i="1"/>
  <c r="S13" i="1"/>
  <c r="Z397" i="1"/>
  <c r="Y397" i="1"/>
  <c r="AA397" i="1" s="1"/>
  <c r="X397" i="1"/>
  <c r="V397" i="1"/>
  <c r="AB397" i="1" s="1" a="1"/>
  <c r="AB397" i="1" s="1"/>
  <c r="AG397" i="1"/>
  <c r="AK397" i="1"/>
  <c r="AI397" i="1"/>
  <c r="AE397" i="1"/>
  <c r="Y403" i="1"/>
  <c r="AA403" i="1" s="1"/>
  <c r="Z403" i="1"/>
  <c r="X403" i="1"/>
  <c r="V403" i="1"/>
  <c r="AB403" i="1" s="1" a="1"/>
  <c r="AB403" i="1" s="1"/>
  <c r="AK403" i="1"/>
  <c r="AI403" i="1"/>
  <c r="AG403" i="1"/>
  <c r="AE403" i="1"/>
  <c r="AI364" i="1"/>
  <c r="Y364" i="1"/>
  <c r="AA364" i="1" s="1"/>
  <c r="X364" i="1"/>
  <c r="V364" i="1"/>
  <c r="AB364" i="1" s="1" a="1"/>
  <c r="AB364" i="1" s="1"/>
  <c r="Z364" i="1"/>
  <c r="AK364" i="1"/>
  <c r="AG364" i="1"/>
  <c r="AE364" i="1"/>
  <c r="AK393" i="1"/>
  <c r="V393" i="1"/>
  <c r="AB393" i="1" s="1" a="1"/>
  <c r="AB393" i="1" s="1"/>
  <c r="X393" i="1"/>
  <c r="Y393" i="1"/>
  <c r="AA393" i="1" s="1"/>
  <c r="Z393" i="1"/>
  <c r="AG393" i="1"/>
  <c r="AE393" i="1"/>
  <c r="AI393" i="1"/>
  <c r="Q187" i="1"/>
  <c r="S207" i="1"/>
  <c r="R207" i="1" s="1"/>
  <c r="Q65" i="1"/>
  <c r="AK57" i="1"/>
  <c r="V57" i="1"/>
  <c r="AB57" i="1" s="1" a="1"/>
  <c r="AB57" i="1" s="1"/>
  <c r="Z57" i="1"/>
  <c r="AI57" i="1"/>
  <c r="Y57" i="1"/>
  <c r="AA57" i="1" s="1"/>
  <c r="AG57" i="1"/>
  <c r="AE57" i="1"/>
  <c r="AK69" i="1"/>
  <c r="V69" i="1"/>
  <c r="AB69" i="1" s="1" a="1"/>
  <c r="AB69" i="1" s="1"/>
  <c r="X69" i="1"/>
  <c r="Z69" i="1"/>
  <c r="Y69" i="1"/>
  <c r="AA69" i="1" s="1"/>
  <c r="AI69" i="1"/>
  <c r="AG69" i="1"/>
  <c r="AE69" i="1"/>
  <c r="Q69" i="1"/>
  <c r="AI103" i="1"/>
  <c r="Z103" i="1"/>
  <c r="Y103" i="1"/>
  <c r="AA103" i="1" s="1"/>
  <c r="V103" i="1"/>
  <c r="AB103" i="1" s="1" a="1"/>
  <c r="AB103" i="1" s="1"/>
  <c r="X103" i="1"/>
  <c r="AK103" i="1"/>
  <c r="AG103" i="1"/>
  <c r="AE103" i="1"/>
  <c r="Z84" i="1"/>
  <c r="AK84" i="1"/>
  <c r="Y84" i="1"/>
  <c r="AA84" i="1" s="1"/>
  <c r="V84" i="1"/>
  <c r="AG84" i="1"/>
  <c r="AI84" i="1"/>
  <c r="AE84" i="1"/>
  <c r="AI222" i="1"/>
  <c r="Z222" i="1"/>
  <c r="Y222" i="1"/>
  <c r="AA222" i="1" s="1"/>
  <c r="V222" i="1"/>
  <c r="AB222" i="1" s="1" a="1"/>
  <c r="AB222" i="1" s="1"/>
  <c r="AK222" i="1"/>
  <c r="X222" i="1"/>
  <c r="AG222" i="1"/>
  <c r="AE222" i="1"/>
  <c r="Q222" i="1"/>
  <c r="Y183" i="1"/>
  <c r="AA183" i="1" s="1"/>
  <c r="X183" i="1"/>
  <c r="AG183" i="1"/>
  <c r="V183" i="1"/>
  <c r="AB183" i="1" s="1" a="1"/>
  <c r="AB183" i="1" s="1"/>
  <c r="AE183" i="1"/>
  <c r="Z183" i="1"/>
  <c r="AI183" i="1"/>
  <c r="AK183" i="1"/>
  <c r="AC660" i="1"/>
  <c r="Q660" i="1"/>
  <c r="AD660" i="1"/>
  <c r="S660" i="1"/>
  <c r="T660" i="1"/>
  <c r="AC710" i="1"/>
  <c r="Q710" i="1"/>
  <c r="AD710" i="1"/>
  <c r="T710" i="1"/>
  <c r="S710" i="1"/>
  <c r="R710" i="1"/>
  <c r="AD144" i="1"/>
  <c r="AC144" i="1"/>
  <c r="T144" i="1"/>
  <c r="S144" i="1"/>
  <c r="R144" i="1" s="1"/>
  <c r="Y635" i="1"/>
  <c r="AA635" i="1" s="1"/>
  <c r="X635" i="1"/>
  <c r="AK635" i="1"/>
  <c r="AI635" i="1"/>
  <c r="AG635" i="1"/>
  <c r="AE635" i="1"/>
  <c r="V635" i="1"/>
  <c r="AB635" i="1" s="1" a="1"/>
  <c r="AB635" i="1" s="1"/>
  <c r="Z635" i="1"/>
  <c r="AD720" i="1"/>
  <c r="Q720" i="1"/>
  <c r="AC720" i="1"/>
  <c r="S720" i="1"/>
  <c r="AD621" i="1"/>
  <c r="Q621" i="1"/>
  <c r="AC621" i="1"/>
  <c r="R621" i="1"/>
  <c r="T621" i="1"/>
  <c r="Q449" i="1"/>
  <c r="AC449" i="1"/>
  <c r="T449" i="1"/>
  <c r="AD449" i="1"/>
  <c r="S449" i="1"/>
  <c r="R449" i="1"/>
  <c r="AE626" i="1"/>
  <c r="V626" i="1"/>
  <c r="AB626" i="1" s="1" a="1"/>
  <c r="AB626" i="1" s="1"/>
  <c r="X626" i="1"/>
  <c r="Z626" i="1"/>
  <c r="Y626" i="1"/>
  <c r="AA626" i="1" s="1"/>
  <c r="AI626" i="1"/>
  <c r="AG626" i="1"/>
  <c r="AK626" i="1"/>
  <c r="AE225" i="1"/>
  <c r="AK225" i="1"/>
  <c r="AG225" i="1"/>
  <c r="Z225" i="1"/>
  <c r="Y225" i="1"/>
  <c r="AA225" i="1" s="1"/>
  <c r="V225" i="1"/>
  <c r="AB225" i="1" s="1" a="1"/>
  <c r="AB225" i="1" s="1"/>
  <c r="X225" i="1"/>
  <c r="AI225" i="1"/>
  <c r="Q225" i="1"/>
  <c r="AI137" i="1"/>
  <c r="AG137" i="1"/>
  <c r="AK137" i="1"/>
  <c r="Z137" i="1"/>
  <c r="V137" i="1"/>
  <c r="AB137" i="1" s="1" a="1"/>
  <c r="AB137" i="1" s="1"/>
  <c r="Y137" i="1"/>
  <c r="AA137" i="1" s="1"/>
  <c r="AE137" i="1"/>
  <c r="X137" i="1"/>
  <c r="Q137" i="1"/>
  <c r="AD795" i="1"/>
  <c r="AC795" i="1"/>
  <c r="S795" i="1"/>
  <c r="T795" i="1"/>
  <c r="R795" i="1"/>
  <c r="Q795" i="1"/>
  <c r="AE652" i="1"/>
  <c r="AK652" i="1"/>
  <c r="AI652" i="1"/>
  <c r="AG652" i="1"/>
  <c r="V652" i="1"/>
  <c r="AB652" i="1" s="1" a="1"/>
  <c r="AB652" i="1" s="1"/>
  <c r="X652" i="1"/>
  <c r="Y652" i="1"/>
  <c r="AA652" i="1" s="1"/>
  <c r="Z652" i="1"/>
  <c r="Y807" i="1"/>
  <c r="AA807" i="1" s="1"/>
  <c r="V807" i="1"/>
  <c r="Z807" i="1"/>
  <c r="AG807" i="1"/>
  <c r="AE807" i="1"/>
  <c r="AI807" i="1"/>
  <c r="X807" i="1"/>
  <c r="AK807" i="1"/>
  <c r="Z790" i="1"/>
  <c r="X790" i="1"/>
  <c r="AI790" i="1"/>
  <c r="AG790" i="1"/>
  <c r="AE790" i="1"/>
  <c r="V790" i="1"/>
  <c r="Y790" i="1"/>
  <c r="AA790" i="1" s="1"/>
  <c r="AK790" i="1"/>
  <c r="AK700" i="1"/>
  <c r="V700" i="1"/>
  <c r="AB700" i="1" s="1" a="1"/>
  <c r="AB700" i="1" s="1"/>
  <c r="AI700" i="1"/>
  <c r="AG700" i="1"/>
  <c r="Z700" i="1"/>
  <c r="X700" i="1"/>
  <c r="AE700" i="1"/>
  <c r="Y700" i="1"/>
  <c r="AA700" i="1" s="1"/>
  <c r="AC56" i="1"/>
  <c r="AD56" i="1"/>
  <c r="S56" i="1"/>
  <c r="T56" i="1"/>
  <c r="R56" i="1" s="1"/>
  <c r="AG291" i="1"/>
  <c r="AE291" i="1"/>
  <c r="X291" i="1"/>
  <c r="V291" i="1"/>
  <c r="AB291" i="1" s="1" a="1"/>
  <c r="AB291" i="1" s="1"/>
  <c r="AK291" i="1"/>
  <c r="AI291" i="1"/>
  <c r="Y291" i="1"/>
  <c r="AA291" i="1" s="1"/>
  <c r="Z291" i="1"/>
  <c r="AK521" i="1"/>
  <c r="V521" i="1"/>
  <c r="AB521" i="1" s="1" a="1"/>
  <c r="AB521" i="1" s="1"/>
  <c r="Z521" i="1"/>
  <c r="X521" i="1"/>
  <c r="AG521" i="1"/>
  <c r="AE521" i="1"/>
  <c r="Y521" i="1"/>
  <c r="AA521" i="1" s="1"/>
  <c r="AI521" i="1"/>
  <c r="AG467" i="1"/>
  <c r="AE467" i="1"/>
  <c r="X467" i="1"/>
  <c r="V467" i="1"/>
  <c r="AB467" i="1" s="1" a="1"/>
  <c r="AB467" i="1" s="1"/>
  <c r="AK467" i="1"/>
  <c r="Y467" i="1"/>
  <c r="AA467" i="1" s="1"/>
  <c r="Z467" i="1"/>
  <c r="AI467" i="1"/>
  <c r="Q72" i="1"/>
  <c r="T794" i="1"/>
  <c r="AG740" i="1"/>
  <c r="X740" i="1"/>
  <c r="V740" i="1"/>
  <c r="Y740" i="1"/>
  <c r="AA740" i="1" s="1"/>
  <c r="Z740" i="1"/>
  <c r="AK740" i="1"/>
  <c r="AI740" i="1"/>
  <c r="AE740" i="1"/>
  <c r="AD536" i="1"/>
  <c r="R536" i="1"/>
  <c r="Q536" i="1"/>
  <c r="AC536" i="1"/>
  <c r="T536" i="1"/>
  <c r="S536" i="1"/>
  <c r="AK425" i="1"/>
  <c r="AI425" i="1"/>
  <c r="V425" i="1"/>
  <c r="AB425" i="1" s="1" a="1"/>
  <c r="AB425" i="1" s="1"/>
  <c r="Z425" i="1"/>
  <c r="X425" i="1"/>
  <c r="Y425" i="1"/>
  <c r="AA425" i="1" s="1"/>
  <c r="AG425" i="1"/>
  <c r="AE425" i="1"/>
  <c r="T192" i="1"/>
  <c r="AC192" i="1"/>
  <c r="AD192" i="1"/>
  <c r="R192" i="1"/>
  <c r="S192" i="1"/>
  <c r="V501" i="1"/>
  <c r="AB501" i="1" s="1" a="1"/>
  <c r="AB501" i="1" s="1"/>
  <c r="AK501" i="1"/>
  <c r="AG501" i="1"/>
  <c r="X501" i="1"/>
  <c r="Z501" i="1"/>
  <c r="AE501" i="1"/>
  <c r="AI501" i="1"/>
  <c r="Y501" i="1"/>
  <c r="AA501" i="1" s="1"/>
  <c r="AC44" i="1"/>
  <c r="AD44" i="1"/>
  <c r="R44" i="1"/>
  <c r="S44" i="1"/>
  <c r="T44" i="1"/>
  <c r="R586" i="1"/>
  <c r="Z45" i="1"/>
  <c r="AK45" i="1" s="1"/>
  <c r="AG45" i="1"/>
  <c r="Y45" i="1"/>
  <c r="AA45" i="1" s="1"/>
  <c r="AE45" i="1"/>
  <c r="AE153" i="1"/>
  <c r="Y153" i="1"/>
  <c r="AA153" i="1" s="1"/>
  <c r="Z153" i="1"/>
  <c r="V153" i="1" s="1"/>
  <c r="AG153" i="1"/>
  <c r="AK510" i="1"/>
  <c r="AI510" i="1"/>
  <c r="Z510" i="1"/>
  <c r="Y510" i="1"/>
  <c r="AA510" i="1" s="1"/>
  <c r="AG510" i="1"/>
  <c r="X510" i="1"/>
  <c r="V510" i="1"/>
  <c r="AB510" i="1" s="1" a="1"/>
  <c r="AB510" i="1" s="1"/>
  <c r="AE510" i="1"/>
  <c r="AD775" i="1"/>
  <c r="AC775" i="1"/>
  <c r="Q775" i="1"/>
  <c r="S775" i="1"/>
  <c r="Y706" i="1"/>
  <c r="AA706" i="1" s="1"/>
  <c r="AI706" i="1"/>
  <c r="AE706" i="1"/>
  <c r="AK706" i="1"/>
  <c r="AG706" i="1"/>
  <c r="Z706" i="1"/>
  <c r="X706" i="1"/>
  <c r="V706" i="1"/>
  <c r="AB706" i="1" s="1" a="1"/>
  <c r="AB706" i="1" s="1"/>
  <c r="AK253" i="1"/>
  <c r="AI253" i="1"/>
  <c r="AG253" i="1"/>
  <c r="Z253" i="1"/>
  <c r="AE253" i="1"/>
  <c r="V253" i="1"/>
  <c r="AB253" i="1" s="1" a="1"/>
  <c r="AB253" i="1" s="1"/>
  <c r="X253" i="1"/>
  <c r="Y253" i="1"/>
  <c r="AA253" i="1" s="1"/>
  <c r="R720" i="1"/>
  <c r="Q254" i="1"/>
  <c r="AC254" i="1"/>
  <c r="S254" i="1"/>
  <c r="R254" i="1"/>
  <c r="T254" i="1"/>
  <c r="AD254" i="1"/>
  <c r="AK209" i="1"/>
  <c r="V209" i="1"/>
  <c r="AB209" i="1" s="1" a="1"/>
  <c r="AB209" i="1" s="1"/>
  <c r="Y209" i="1"/>
  <c r="AA209" i="1" s="1"/>
  <c r="Z209" i="1"/>
  <c r="AE209" i="1" s="1"/>
  <c r="AI209" i="1"/>
  <c r="AG209" i="1"/>
  <c r="AG395" i="1"/>
  <c r="Y395" i="1"/>
  <c r="AA395" i="1" s="1"/>
  <c r="AK395" i="1"/>
  <c r="AI395" i="1"/>
  <c r="AE395" i="1"/>
  <c r="Z395" i="1"/>
  <c r="X395" i="1"/>
  <c r="V395" i="1"/>
  <c r="AB395" i="1" s="1" a="1"/>
  <c r="AB395" i="1" s="1"/>
  <c r="Q291" i="1"/>
  <c r="AD291" i="1"/>
  <c r="T291" i="1"/>
  <c r="S291" i="1"/>
  <c r="AC291" i="1"/>
  <c r="AC692" i="1"/>
  <c r="AD692" i="1"/>
  <c r="S692" i="1"/>
  <c r="Q692" i="1"/>
  <c r="T692" i="1"/>
  <c r="R692" i="1"/>
  <c r="Z642" i="1"/>
  <c r="AK642" i="1"/>
  <c r="Y642" i="1"/>
  <c r="AA642" i="1" s="1"/>
  <c r="X642" i="1"/>
  <c r="V642" i="1"/>
  <c r="AB642" i="1" s="1" a="1"/>
  <c r="AB642" i="1" s="1"/>
  <c r="AG642" i="1"/>
  <c r="AI642" i="1"/>
  <c r="AE642" i="1"/>
  <c r="T566" i="1"/>
  <c r="AK392" i="1"/>
  <c r="AI392" i="1"/>
  <c r="AG392" i="1"/>
  <c r="Y392" i="1"/>
  <c r="AA392" i="1" s="1"/>
  <c r="X392" i="1"/>
  <c r="Z392" i="1"/>
  <c r="AE392" i="1"/>
  <c r="V392" i="1"/>
  <c r="AB392" i="1" s="1" a="1"/>
  <c r="AB392" i="1" s="1"/>
  <c r="T756" i="1"/>
  <c r="AE623" i="1"/>
  <c r="AK623" i="1"/>
  <c r="AI623" i="1"/>
  <c r="AG623" i="1"/>
  <c r="Y623" i="1"/>
  <c r="AA623" i="1" s="1"/>
  <c r="Z623" i="1"/>
  <c r="X623" i="1"/>
  <c r="V623" i="1"/>
  <c r="AB623" i="1" s="1" a="1"/>
  <c r="AB623" i="1" s="1"/>
  <c r="AE426" i="1"/>
  <c r="Y426" i="1"/>
  <c r="AA426" i="1" s="1"/>
  <c r="X426" i="1"/>
  <c r="Z426" i="1"/>
  <c r="AI426" i="1"/>
  <c r="AG426" i="1"/>
  <c r="V426" i="1"/>
  <c r="AB426" i="1" s="1" a="1"/>
  <c r="AB426" i="1" s="1"/>
  <c r="AK426" i="1"/>
  <c r="AG83" i="1"/>
  <c r="Z83" i="1"/>
  <c r="AK83" i="1" s="1"/>
  <c r="AE182" i="1"/>
  <c r="AG182" i="1"/>
  <c r="Y182" i="1"/>
  <c r="AA182" i="1" s="1"/>
  <c r="X182" i="1"/>
  <c r="AI182" i="1"/>
  <c r="Z182" i="1"/>
  <c r="V182" i="1"/>
  <c r="AB182" i="1" s="1" a="1"/>
  <c r="AB182" i="1" s="1"/>
  <c r="AK182" i="1"/>
  <c r="Q182" i="1"/>
  <c r="Q801" i="1"/>
  <c r="AD801" i="1"/>
  <c r="AC801" i="1"/>
  <c r="R801" i="1"/>
  <c r="T801" i="1"/>
  <c r="AC572" i="1"/>
  <c r="AD572" i="1"/>
  <c r="Q572" i="1"/>
  <c r="S572" i="1"/>
  <c r="T572" i="1"/>
  <c r="R572" i="1"/>
  <c r="Q498" i="1"/>
  <c r="AC498" i="1"/>
  <c r="AD498" i="1"/>
  <c r="T498" i="1"/>
  <c r="S498" i="1"/>
  <c r="R498" i="1"/>
  <c r="AE354" i="1"/>
  <c r="Z354" i="1"/>
  <c r="V354" i="1"/>
  <c r="AB354" i="1" s="1" a="1"/>
  <c r="AB354" i="1" s="1"/>
  <c r="AG354" i="1"/>
  <c r="Y354" i="1"/>
  <c r="AA354" i="1" s="1"/>
  <c r="AI354" i="1"/>
  <c r="X354" i="1"/>
  <c r="AK354" i="1"/>
  <c r="Z468" i="1"/>
  <c r="Y468" i="1"/>
  <c r="AA468" i="1" s="1"/>
  <c r="AK468" i="1"/>
  <c r="AI468" i="1"/>
  <c r="AG468" i="1"/>
  <c r="X468" i="1"/>
  <c r="AE468" i="1"/>
  <c r="V468" i="1"/>
  <c r="AB468" i="1" s="1" a="1"/>
  <c r="AB468" i="1" s="1"/>
  <c r="R660" i="1"/>
  <c r="T496" i="1"/>
  <c r="Z27" i="1"/>
  <c r="AE27" i="1" s="1"/>
  <c r="AE78" i="1"/>
  <c r="V78" i="1"/>
  <c r="AB78" i="1" s="1" a="1"/>
  <c r="AB78" i="1" s="1"/>
  <c r="AK78" i="1"/>
  <c r="Y78" i="1"/>
  <c r="AA78" i="1" s="1"/>
  <c r="X78" i="1"/>
  <c r="Z78" i="1"/>
  <c r="AG78" i="1"/>
  <c r="AI78" i="1"/>
  <c r="Q78" i="1"/>
  <c r="R233" i="1"/>
  <c r="Q97" i="1"/>
  <c r="S801" i="1"/>
  <c r="AC743" i="1"/>
  <c r="AD743" i="1"/>
  <c r="Q743" i="1"/>
  <c r="T743" i="1"/>
  <c r="R743" i="1"/>
  <c r="X812" i="1"/>
  <c r="AE812" i="1"/>
  <c r="Z812" i="1"/>
  <c r="Y812" i="1"/>
  <c r="AA812" i="1" s="1"/>
  <c r="AK812" i="1"/>
  <c r="AI812" i="1"/>
  <c r="AG812" i="1"/>
  <c r="V812" i="1"/>
  <c r="R736" i="1"/>
  <c r="AI624" i="1"/>
  <c r="AG624" i="1"/>
  <c r="AE624" i="1"/>
  <c r="AK624" i="1"/>
  <c r="Z624" i="1"/>
  <c r="Y624" i="1"/>
  <c r="AA624" i="1" s="1"/>
  <c r="X624" i="1"/>
  <c r="V624" i="1"/>
  <c r="AB624" i="1" s="1" a="1"/>
  <c r="AB624" i="1" s="1"/>
  <c r="AD663" i="1"/>
  <c r="Q663" i="1"/>
  <c r="AC663" i="1"/>
  <c r="S663" i="1"/>
  <c r="T663" i="1"/>
  <c r="R663" i="1"/>
  <c r="Q716" i="1"/>
  <c r="AD716" i="1"/>
  <c r="AC716" i="1"/>
  <c r="R716" i="1"/>
  <c r="T716" i="1"/>
  <c r="S716" i="1"/>
  <c r="AD614" i="1"/>
  <c r="Q614" i="1"/>
  <c r="AC614" i="1"/>
  <c r="S614" i="1"/>
  <c r="R614" i="1"/>
  <c r="X776" i="1"/>
  <c r="Z776" i="1"/>
  <c r="Y776" i="1"/>
  <c r="AA776" i="1" s="1"/>
  <c r="AI776" i="1"/>
  <c r="AG776" i="1"/>
  <c r="V776" i="1"/>
  <c r="AK776" i="1"/>
  <c r="AE776" i="1"/>
  <c r="Z677" i="1"/>
  <c r="AG677" i="1"/>
  <c r="AK677" i="1"/>
  <c r="AI677" i="1"/>
  <c r="AE677" i="1"/>
  <c r="V677" i="1"/>
  <c r="AB677" i="1" s="1" a="1"/>
  <c r="AB677" i="1" s="1"/>
  <c r="Y677" i="1"/>
  <c r="AA677" i="1" s="1"/>
  <c r="X677" i="1"/>
  <c r="AG752" i="1"/>
  <c r="X752" i="1"/>
  <c r="AI752" i="1"/>
  <c r="AE752" i="1"/>
  <c r="Y752" i="1"/>
  <c r="AA752" i="1" s="1"/>
  <c r="Z752" i="1"/>
  <c r="V752" i="1"/>
  <c r="AK752" i="1"/>
  <c r="AC668" i="1"/>
  <c r="Q668" i="1"/>
  <c r="AD668" i="1"/>
  <c r="T668" i="1"/>
  <c r="AK742" i="1"/>
  <c r="AI742" i="1"/>
  <c r="AG742" i="1"/>
  <c r="V742" i="1"/>
  <c r="Z742" i="1"/>
  <c r="Y742" i="1"/>
  <c r="AA742" i="1" s="1"/>
  <c r="X742" i="1"/>
  <c r="AE742" i="1"/>
  <c r="Y698" i="1"/>
  <c r="AA698" i="1" s="1"/>
  <c r="AG698" i="1"/>
  <c r="AK698" i="1"/>
  <c r="AI698" i="1"/>
  <c r="AE698" i="1"/>
  <c r="X698" i="1"/>
  <c r="Z698" i="1"/>
  <c r="V698" i="1"/>
  <c r="AB698" i="1" s="1" a="1"/>
  <c r="AB698" i="1" s="1"/>
  <c r="R387" i="1"/>
  <c r="Z377" i="1"/>
  <c r="AI377" i="1"/>
  <c r="AG377" i="1"/>
  <c r="AE377" i="1"/>
  <c r="X377" i="1"/>
  <c r="V377" i="1"/>
  <c r="AB377" i="1" s="1" a="1"/>
  <c r="AB377" i="1" s="1"/>
  <c r="Y377" i="1"/>
  <c r="AA377" i="1" s="1"/>
  <c r="AK377" i="1"/>
  <c r="R806" i="1"/>
  <c r="AG218" i="1"/>
  <c r="AE218" i="1"/>
  <c r="Z218" i="1"/>
  <c r="AK218" i="1" s="1"/>
  <c r="AE450" i="1"/>
  <c r="AG450" i="1"/>
  <c r="Z450" i="1"/>
  <c r="Y450" i="1"/>
  <c r="AA450" i="1" s="1"/>
  <c r="AK450" i="1"/>
  <c r="V450" i="1"/>
  <c r="AB450" i="1" s="1" a="1"/>
  <c r="AB450" i="1" s="1"/>
  <c r="AI450" i="1"/>
  <c r="X450" i="1"/>
  <c r="S447" i="1"/>
  <c r="AC447" i="1"/>
  <c r="AD447" i="1"/>
  <c r="Q447" i="1"/>
  <c r="T447" i="1"/>
  <c r="AK380" i="1"/>
  <c r="AI380" i="1"/>
  <c r="AG380" i="1"/>
  <c r="AE380" i="1"/>
  <c r="Y380" i="1"/>
  <c r="AA380" i="1" s="1"/>
  <c r="X380" i="1"/>
  <c r="Z380" i="1"/>
  <c r="V380" i="1"/>
  <c r="AB380" i="1" s="1" a="1"/>
  <c r="AB380" i="1" s="1"/>
  <c r="AK779" i="1"/>
  <c r="AI779" i="1"/>
  <c r="AG779" i="1"/>
  <c r="X779" i="1"/>
  <c r="Z779" i="1"/>
  <c r="Y779" i="1"/>
  <c r="AA779" i="1" s="1"/>
  <c r="V779" i="1"/>
  <c r="AE779" i="1"/>
  <c r="Z444" i="1"/>
  <c r="Y444" i="1"/>
  <c r="AA444" i="1" s="1"/>
  <c r="AK444" i="1"/>
  <c r="AI444" i="1"/>
  <c r="AG444" i="1"/>
  <c r="V444" i="1"/>
  <c r="AB444" i="1" s="1" a="1"/>
  <c r="AB444" i="1" s="1"/>
  <c r="AE444" i="1"/>
  <c r="X444" i="1"/>
  <c r="AE666" i="1"/>
  <c r="Z666" i="1"/>
  <c r="Y666" i="1"/>
  <c r="AA666" i="1" s="1"/>
  <c r="X666" i="1"/>
  <c r="V666" i="1"/>
  <c r="AB666" i="1" s="1" a="1"/>
  <c r="AB666" i="1" s="1"/>
  <c r="AK666" i="1"/>
  <c r="AI666" i="1"/>
  <c r="AG666" i="1"/>
  <c r="AI262" i="1"/>
  <c r="AG262" i="1"/>
  <c r="AE262" i="1"/>
  <c r="Z262" i="1"/>
  <c r="X262" i="1"/>
  <c r="V262" i="1"/>
  <c r="AB262" i="1" s="1" a="1"/>
  <c r="AB262" i="1" s="1"/>
  <c r="AK262" i="1"/>
  <c r="Y262" i="1"/>
  <c r="AA262" i="1" s="1"/>
  <c r="Y519" i="1"/>
  <c r="AA519" i="1" s="1"/>
  <c r="AK519" i="1"/>
  <c r="V519" i="1"/>
  <c r="AB519" i="1" s="1" a="1"/>
  <c r="AB519" i="1" s="1"/>
  <c r="Z519" i="1"/>
  <c r="X519" i="1"/>
  <c r="AG519" i="1"/>
  <c r="AI519" i="1"/>
  <c r="AE519" i="1"/>
  <c r="Q444" i="1"/>
  <c r="S444" i="1"/>
  <c r="AD444" i="1"/>
  <c r="AC444" i="1"/>
  <c r="Z563" i="1"/>
  <c r="V563" i="1"/>
  <c r="AB563" i="1" s="1" a="1"/>
  <c r="AB563" i="1" s="1"/>
  <c r="AK563" i="1"/>
  <c r="AI563" i="1"/>
  <c r="AG563" i="1"/>
  <c r="Y563" i="1"/>
  <c r="AA563" i="1" s="1"/>
  <c r="X563" i="1"/>
  <c r="AE563" i="1"/>
  <c r="AK327" i="1"/>
  <c r="V327" i="1"/>
  <c r="AB327" i="1" s="1" a="1"/>
  <c r="AB327" i="1" s="1"/>
  <c r="Y327" i="1"/>
  <c r="AA327" i="1" s="1"/>
  <c r="AE327" i="1"/>
  <c r="AI327" i="1"/>
  <c r="AG327" i="1"/>
  <c r="Z327" i="1"/>
  <c r="X327" i="1"/>
  <c r="AI161" i="1"/>
  <c r="V161" i="1"/>
  <c r="AB161" i="1" s="1" a="1"/>
  <c r="AB161" i="1" s="1"/>
  <c r="AK161" i="1"/>
  <c r="Z161" i="1"/>
  <c r="AG161" i="1"/>
  <c r="Y161" i="1"/>
  <c r="AA161" i="1" s="1"/>
  <c r="X161" i="1"/>
  <c r="AE161" i="1"/>
  <c r="Q161" i="1"/>
  <c r="AE365" i="1"/>
  <c r="AI365" i="1"/>
  <c r="AG365" i="1"/>
  <c r="X365" i="1"/>
  <c r="V365" i="1"/>
  <c r="AB365" i="1" s="1" a="1"/>
  <c r="AB365" i="1" s="1"/>
  <c r="Y365" i="1"/>
  <c r="AA365" i="1" s="1"/>
  <c r="AK365" i="1"/>
  <c r="Z365" i="1"/>
  <c r="S333" i="1"/>
  <c r="X221" i="1"/>
  <c r="AK221" i="1"/>
  <c r="V221" i="1"/>
  <c r="AB221" i="1" s="1" a="1"/>
  <c r="AB221" i="1" s="1"/>
  <c r="Z221" i="1"/>
  <c r="AI221" i="1"/>
  <c r="Y221" i="1"/>
  <c r="AA221" i="1" s="1"/>
  <c r="AE221" i="1"/>
  <c r="AG221" i="1"/>
  <c r="Q221" i="1"/>
  <c r="R155" i="1"/>
  <c r="Z160" i="1"/>
  <c r="Y160" i="1"/>
  <c r="AA160" i="1" s="1"/>
  <c r="X160" i="1"/>
  <c r="V160" i="1"/>
  <c r="AB160" i="1" s="1" a="1"/>
  <c r="AB160" i="1" s="1"/>
  <c r="AK160" i="1"/>
  <c r="AG160" i="1"/>
  <c r="AI160" i="1"/>
  <c r="AE160" i="1"/>
  <c r="Q160" i="1"/>
  <c r="Z288" i="1"/>
  <c r="X288" i="1"/>
  <c r="V288" i="1"/>
  <c r="AB288" i="1" s="1" a="1"/>
  <c r="AB288" i="1" s="1"/>
  <c r="AK288" i="1"/>
  <c r="AG288" i="1"/>
  <c r="Y288" i="1"/>
  <c r="AA288" i="1" s="1"/>
  <c r="AE288" i="1"/>
  <c r="AI288" i="1"/>
  <c r="Z115" i="1"/>
  <c r="V115" i="1" s="1"/>
  <c r="X26" i="1"/>
  <c r="Z26" i="1"/>
  <c r="AK26" i="1" s="1"/>
  <c r="Y26" i="1"/>
  <c r="AA26" i="1" s="1"/>
  <c r="V26" i="1"/>
  <c r="AB26" i="1" s="1" a="1"/>
  <c r="AB26" i="1" s="1"/>
  <c r="AE26" i="1"/>
  <c r="AK131" i="1"/>
  <c r="V131" i="1"/>
  <c r="AB131" i="1" s="1" a="1"/>
  <c r="AB131" i="1" s="1"/>
  <c r="Z131" i="1"/>
  <c r="Y131" i="1"/>
  <c r="AA131" i="1" s="1"/>
  <c r="X131" i="1"/>
  <c r="AG131" i="1"/>
  <c r="AI131" i="1"/>
  <c r="AE131" i="1"/>
  <c r="Q131" i="1"/>
  <c r="Z60" i="1"/>
  <c r="AK60" i="1"/>
  <c r="AG60" i="1"/>
  <c r="Y60" i="1"/>
  <c r="AA60" i="1" s="1"/>
  <c r="V60" i="1"/>
  <c r="AB60" i="1" s="1" a="1"/>
  <c r="AB60" i="1" s="1"/>
  <c r="AI60" i="1"/>
  <c r="AE60" i="1"/>
  <c r="AG275" i="1"/>
  <c r="V275" i="1"/>
  <c r="AB275" i="1" s="1" a="1"/>
  <c r="AB275" i="1" s="1"/>
  <c r="AK275" i="1"/>
  <c r="AI275" i="1"/>
  <c r="Y275" i="1"/>
  <c r="AA275" i="1" s="1"/>
  <c r="AE275" i="1"/>
  <c r="X275" i="1"/>
  <c r="Z275" i="1"/>
  <c r="V561" i="1"/>
  <c r="AB561" i="1" s="1" a="1"/>
  <c r="AB561" i="1" s="1"/>
  <c r="Z561" i="1"/>
  <c r="AE561" i="1"/>
  <c r="Y561" i="1"/>
  <c r="AA561" i="1" s="1"/>
  <c r="X561" i="1"/>
  <c r="AK561" i="1"/>
  <c r="AI561" i="1"/>
  <c r="AG561" i="1"/>
  <c r="Z145" i="1"/>
  <c r="AG145" i="1" s="1"/>
  <c r="Y145" i="1"/>
  <c r="AA145" i="1" s="1"/>
  <c r="AK145" i="1"/>
  <c r="V145" i="1"/>
  <c r="AB145" i="1" s="1" a="1"/>
  <c r="AB145" i="1" s="1"/>
  <c r="AI145" i="1"/>
  <c r="AE145" i="1"/>
  <c r="AC711" i="1"/>
  <c r="AD711" i="1"/>
  <c r="S711" i="1"/>
  <c r="R711" i="1"/>
  <c r="Q711" i="1"/>
  <c r="V670" i="1"/>
  <c r="AB670" i="1" s="1" a="1"/>
  <c r="AB670" i="1" s="1"/>
  <c r="Z670" i="1"/>
  <c r="Y670" i="1"/>
  <c r="AA670" i="1" s="1"/>
  <c r="AG670" i="1"/>
  <c r="AE670" i="1"/>
  <c r="AK670" i="1"/>
  <c r="X670" i="1"/>
  <c r="AI670" i="1"/>
  <c r="Q594" i="1"/>
  <c r="AD594" i="1"/>
  <c r="AC594" i="1"/>
  <c r="S594" i="1"/>
  <c r="R594" i="1"/>
  <c r="Y722" i="1"/>
  <c r="AA722" i="1" s="1"/>
  <c r="X722" i="1"/>
  <c r="V722" i="1"/>
  <c r="AK722" i="1"/>
  <c r="Z722" i="1"/>
  <c r="AI722" i="1"/>
  <c r="AG722" i="1"/>
  <c r="AE722" i="1"/>
  <c r="X661" i="1"/>
  <c r="Z661" i="1"/>
  <c r="Y661" i="1"/>
  <c r="AA661" i="1" s="1"/>
  <c r="AG661" i="1"/>
  <c r="V661" i="1"/>
  <c r="AB661" i="1" s="1" a="1"/>
  <c r="AB661" i="1" s="1"/>
  <c r="AI661" i="1"/>
  <c r="AE661" i="1"/>
  <c r="AK661" i="1"/>
  <c r="AC532" i="1"/>
  <c r="Q532" i="1"/>
  <c r="AD532" i="1"/>
  <c r="S532" i="1"/>
  <c r="T532" i="1"/>
  <c r="AC452" i="1"/>
  <c r="Q452" i="1"/>
  <c r="AD452" i="1"/>
  <c r="T452" i="1"/>
  <c r="R452" i="1"/>
  <c r="S452" i="1"/>
  <c r="R251" i="1"/>
  <c r="Q251" i="1"/>
  <c r="AD251" i="1"/>
  <c r="AC251" i="1"/>
  <c r="T251" i="1"/>
  <c r="AC644" i="1"/>
  <c r="AD644" i="1"/>
  <c r="Q644" i="1"/>
  <c r="T644" i="1"/>
  <c r="R644" i="1"/>
  <c r="AK581" i="1"/>
  <c r="V581" i="1"/>
  <c r="AB581" i="1" s="1" a="1"/>
  <c r="AB581" i="1" s="1"/>
  <c r="AE581" i="1"/>
  <c r="AG581" i="1"/>
  <c r="AI581" i="1"/>
  <c r="Y581" i="1"/>
  <c r="AA581" i="1" s="1"/>
  <c r="Z581" i="1"/>
  <c r="X581" i="1"/>
  <c r="AE330" i="1"/>
  <c r="Y330" i="1"/>
  <c r="AA330" i="1" s="1"/>
  <c r="X330" i="1"/>
  <c r="V330" i="1"/>
  <c r="AB330" i="1" s="1" a="1"/>
  <c r="AB330" i="1" s="1"/>
  <c r="AI330" i="1"/>
  <c r="Z330" i="1"/>
  <c r="AK330" i="1"/>
  <c r="AG330" i="1"/>
  <c r="AD504" i="1"/>
  <c r="AC504" i="1"/>
  <c r="S504" i="1"/>
  <c r="R504" i="1"/>
  <c r="Q504" i="1"/>
  <c r="AK309" i="1"/>
  <c r="V309" i="1"/>
  <c r="AB309" i="1" s="1" a="1"/>
  <c r="AB309" i="1" s="1"/>
  <c r="AE309" i="1"/>
  <c r="AI309" i="1"/>
  <c r="AG309" i="1"/>
  <c r="Y309" i="1"/>
  <c r="AA309" i="1" s="1"/>
  <c r="X309" i="1"/>
  <c r="Z309" i="1"/>
  <c r="AK491" i="1"/>
  <c r="AE491" i="1"/>
  <c r="Y491" i="1"/>
  <c r="AA491" i="1" s="1"/>
  <c r="X491" i="1"/>
  <c r="AI491" i="1"/>
  <c r="AG491" i="1"/>
  <c r="Z491" i="1"/>
  <c r="V491" i="1"/>
  <c r="AB491" i="1" s="1" a="1"/>
  <c r="AB491" i="1" s="1"/>
  <c r="AD81" i="1"/>
  <c r="S81" i="1"/>
  <c r="R81" i="1" s="1"/>
  <c r="AC81" i="1"/>
  <c r="T81" i="1"/>
  <c r="Y783" i="1"/>
  <c r="AA783" i="1" s="1"/>
  <c r="Z783" i="1"/>
  <c r="X783" i="1"/>
  <c r="AE783" i="1"/>
  <c r="AI783" i="1"/>
  <c r="AG783" i="1"/>
  <c r="V783" i="1"/>
  <c r="AK783" i="1"/>
  <c r="Y763" i="1"/>
  <c r="AA763" i="1" s="1"/>
  <c r="AK763" i="1"/>
  <c r="AI763" i="1"/>
  <c r="Z763" i="1"/>
  <c r="AG763" i="1"/>
  <c r="V763" i="1"/>
  <c r="AE763" i="1"/>
  <c r="X763" i="1"/>
  <c r="AD786" i="1"/>
  <c r="AC786" i="1"/>
  <c r="Q786" i="1"/>
  <c r="S786" i="1"/>
  <c r="R786" i="1"/>
  <c r="Z766" i="1"/>
  <c r="Y766" i="1"/>
  <c r="AA766" i="1" s="1"/>
  <c r="X766" i="1"/>
  <c r="V766" i="1"/>
  <c r="AK766" i="1"/>
  <c r="AI766" i="1"/>
  <c r="AG766" i="1"/>
  <c r="AE766" i="1"/>
  <c r="V797" i="1"/>
  <c r="Z797" i="1"/>
  <c r="Y797" i="1"/>
  <c r="AA797" i="1" s="1"/>
  <c r="X797" i="1"/>
  <c r="AI797" i="1"/>
  <c r="AG797" i="1"/>
  <c r="AE797" i="1"/>
  <c r="AK797" i="1"/>
  <c r="AD730" i="1"/>
  <c r="R730" i="1"/>
  <c r="Q730" i="1"/>
  <c r="AC730" i="1"/>
  <c r="T730" i="1"/>
  <c r="Q665" i="1"/>
  <c r="AD665" i="1"/>
  <c r="T665" i="1"/>
  <c r="AC665" i="1"/>
  <c r="R665" i="1"/>
  <c r="AC754" i="1"/>
  <c r="AD754" i="1"/>
  <c r="R754" i="1"/>
  <c r="T754" i="1"/>
  <c r="Q754" i="1"/>
  <c r="X686" i="1"/>
  <c r="Z686" i="1"/>
  <c r="AG686" i="1"/>
  <c r="AK686" i="1"/>
  <c r="AI686" i="1"/>
  <c r="AE686" i="1"/>
  <c r="Y686" i="1"/>
  <c r="AA686" i="1" s="1"/>
  <c r="V686" i="1"/>
  <c r="AB686" i="1" s="1" a="1"/>
  <c r="AB686" i="1" s="1"/>
  <c r="AG549" i="1"/>
  <c r="V549" i="1"/>
  <c r="AB549" i="1" s="1" a="1"/>
  <c r="AB549" i="1" s="1"/>
  <c r="AE549" i="1"/>
  <c r="Z549" i="1"/>
  <c r="Y549" i="1"/>
  <c r="AA549" i="1" s="1"/>
  <c r="X549" i="1"/>
  <c r="AK549" i="1"/>
  <c r="AI549" i="1"/>
  <c r="Z717" i="1"/>
  <c r="AK717" i="1"/>
  <c r="AI717" i="1"/>
  <c r="AG717" i="1"/>
  <c r="Y717" i="1"/>
  <c r="AA717" i="1" s="1"/>
  <c r="X717" i="1"/>
  <c r="V717" i="1"/>
  <c r="AE717" i="1"/>
  <c r="AC580" i="1"/>
  <c r="Q580" i="1"/>
  <c r="AD580" i="1"/>
  <c r="T580" i="1"/>
  <c r="AD523" i="1"/>
  <c r="AC523" i="1"/>
  <c r="T523" i="1"/>
  <c r="R523" i="1"/>
  <c r="Q523" i="1"/>
  <c r="AE414" i="1"/>
  <c r="X414" i="1"/>
  <c r="V414" i="1"/>
  <c r="AB414" i="1" s="1" a="1"/>
  <c r="AB414" i="1" s="1"/>
  <c r="AI414" i="1"/>
  <c r="AG414" i="1"/>
  <c r="Z414" i="1"/>
  <c r="Y414" i="1"/>
  <c r="AA414" i="1" s="1"/>
  <c r="AK414" i="1"/>
  <c r="AE366" i="1"/>
  <c r="Z366" i="1"/>
  <c r="V366" i="1"/>
  <c r="AB366" i="1" s="1" a="1"/>
  <c r="AB366" i="1" s="1"/>
  <c r="AG366" i="1"/>
  <c r="AK366" i="1"/>
  <c r="AI366" i="1"/>
  <c r="Y366" i="1"/>
  <c r="AA366" i="1" s="1"/>
  <c r="X366" i="1"/>
  <c r="Y691" i="1"/>
  <c r="AA691" i="1" s="1"/>
  <c r="AK691" i="1"/>
  <c r="X691" i="1"/>
  <c r="AG691" i="1"/>
  <c r="AE691" i="1"/>
  <c r="AI691" i="1"/>
  <c r="V691" i="1"/>
  <c r="AB691" i="1" s="1" a="1"/>
  <c r="AB691" i="1" s="1"/>
  <c r="Z691" i="1"/>
  <c r="AC392" i="1"/>
  <c r="Q392" i="1"/>
  <c r="T392" i="1"/>
  <c r="AD392" i="1"/>
  <c r="S392" i="1"/>
  <c r="AE318" i="1"/>
  <c r="AI318" i="1"/>
  <c r="Z318" i="1"/>
  <c r="Y318" i="1"/>
  <c r="AA318" i="1" s="1"/>
  <c r="AG318" i="1"/>
  <c r="V318" i="1"/>
  <c r="AB318" i="1" s="1" a="1"/>
  <c r="AB318" i="1" s="1"/>
  <c r="AK318" i="1"/>
  <c r="X318" i="1"/>
  <c r="AE329" i="1"/>
  <c r="V329" i="1"/>
  <c r="AB329" i="1" s="1" a="1"/>
  <c r="AB329" i="1" s="1"/>
  <c r="Z329" i="1"/>
  <c r="Y329" i="1"/>
  <c r="AA329" i="1" s="1"/>
  <c r="X329" i="1"/>
  <c r="AK329" i="1"/>
  <c r="AG329" i="1"/>
  <c r="AI329" i="1"/>
  <c r="Z219" i="1"/>
  <c r="Y219" i="1"/>
  <c r="AA219" i="1" s="1"/>
  <c r="AI219" i="1"/>
  <c r="AE219" i="1"/>
  <c r="AK219" i="1"/>
  <c r="AG219" i="1"/>
  <c r="X219" i="1"/>
  <c r="V219" i="1"/>
  <c r="AB219" i="1" s="1" a="1"/>
  <c r="AB219" i="1" s="1"/>
  <c r="Q219" i="1"/>
  <c r="AD329" i="1"/>
  <c r="AC329" i="1"/>
  <c r="T329" i="1"/>
  <c r="S329" i="1"/>
  <c r="Q329" i="1"/>
  <c r="AD567" i="1"/>
  <c r="R567" i="1"/>
  <c r="S567" i="1"/>
  <c r="AC567" i="1"/>
  <c r="Q567" i="1"/>
  <c r="Y579" i="1"/>
  <c r="AA579" i="1" s="1"/>
  <c r="Z579" i="1"/>
  <c r="X579" i="1"/>
  <c r="V579" i="1"/>
  <c r="AB579" i="1" s="1" a="1"/>
  <c r="AB579" i="1" s="1"/>
  <c r="AI579" i="1"/>
  <c r="AK579" i="1"/>
  <c r="AE579" i="1"/>
  <c r="AG579" i="1"/>
  <c r="AD185" i="1"/>
  <c r="AC185" i="1"/>
  <c r="S185" i="1"/>
  <c r="R185" i="1" s="1"/>
  <c r="Q185" i="1" s="1"/>
  <c r="X611" i="1"/>
  <c r="AG611" i="1"/>
  <c r="AE611" i="1"/>
  <c r="Y611" i="1"/>
  <c r="AA611" i="1" s="1"/>
  <c r="V611" i="1"/>
  <c r="AB611" i="1" s="1" a="1"/>
  <c r="AB611" i="1" s="1"/>
  <c r="Z611" i="1"/>
  <c r="AK611" i="1"/>
  <c r="AI611" i="1"/>
  <c r="AC384" i="1"/>
  <c r="AD384" i="1"/>
  <c r="Q384" i="1"/>
  <c r="R384" i="1"/>
  <c r="S384" i="1"/>
  <c r="Z408" i="1"/>
  <c r="V408" i="1"/>
  <c r="AB408" i="1" s="1" a="1"/>
  <c r="AB408" i="1" s="1"/>
  <c r="X408" i="1"/>
  <c r="AE408" i="1"/>
  <c r="Y408" i="1"/>
  <c r="AA408" i="1" s="1"/>
  <c r="AK408" i="1"/>
  <c r="AG408" i="1"/>
  <c r="AI408" i="1"/>
  <c r="AK381" i="1"/>
  <c r="V381" i="1"/>
  <c r="AB381" i="1" s="1" a="1"/>
  <c r="AB381" i="1" s="1"/>
  <c r="X381" i="1"/>
  <c r="Y381" i="1"/>
  <c r="AA381" i="1" s="1"/>
  <c r="AG381" i="1"/>
  <c r="AE381" i="1"/>
  <c r="AI381" i="1"/>
  <c r="Z381" i="1"/>
  <c r="Z336" i="1"/>
  <c r="X336" i="1"/>
  <c r="AK336" i="1"/>
  <c r="AI336" i="1"/>
  <c r="AE336" i="1"/>
  <c r="AG336" i="1"/>
  <c r="V336" i="1"/>
  <c r="AB336" i="1" s="1" a="1"/>
  <c r="AB336" i="1" s="1"/>
  <c r="Y336" i="1"/>
  <c r="AA336" i="1" s="1"/>
  <c r="AI173" i="1"/>
  <c r="AE173" i="1"/>
  <c r="Z173" i="1"/>
  <c r="AG173" i="1" s="1"/>
  <c r="Y173" i="1"/>
  <c r="AA173" i="1" s="1"/>
  <c r="AC576" i="1"/>
  <c r="AD576" i="1"/>
  <c r="R576" i="1"/>
  <c r="Q576" i="1"/>
  <c r="S576" i="1"/>
  <c r="AD274" i="1"/>
  <c r="AC274" i="1"/>
  <c r="S274" i="1"/>
  <c r="R274" i="1"/>
  <c r="Q274" i="1"/>
  <c r="AG299" i="1"/>
  <c r="Y299" i="1"/>
  <c r="AA299" i="1" s="1"/>
  <c r="X299" i="1"/>
  <c r="V299" i="1"/>
  <c r="AB299" i="1" s="1" a="1"/>
  <c r="AB299" i="1" s="1"/>
  <c r="AI299" i="1"/>
  <c r="AE299" i="1"/>
  <c r="Z299" i="1"/>
  <c r="AK299" i="1"/>
  <c r="AC533" i="1"/>
  <c r="Q533" i="1"/>
  <c r="S533" i="1"/>
  <c r="AD533" i="1"/>
  <c r="T533" i="1"/>
  <c r="R533" i="1"/>
  <c r="AK411" i="1"/>
  <c r="X411" i="1"/>
  <c r="V411" i="1"/>
  <c r="AB411" i="1" s="1" a="1"/>
  <c r="AB411" i="1" s="1"/>
  <c r="AE411" i="1"/>
  <c r="AG411" i="1"/>
  <c r="Z411" i="1"/>
  <c r="Y411" i="1"/>
  <c r="AA411" i="1" s="1"/>
  <c r="AI411" i="1"/>
  <c r="Z348" i="1"/>
  <c r="V348" i="1"/>
  <c r="AB348" i="1" s="1" a="1"/>
  <c r="AB348" i="1" s="1"/>
  <c r="AK348" i="1"/>
  <c r="AI348" i="1"/>
  <c r="AE348" i="1"/>
  <c r="X348" i="1"/>
  <c r="AG348" i="1"/>
  <c r="Y348" i="1"/>
  <c r="AA348" i="1" s="1"/>
  <c r="AI256" i="1"/>
  <c r="AE256" i="1"/>
  <c r="Z256" i="1"/>
  <c r="Y256" i="1"/>
  <c r="AA256" i="1" s="1"/>
  <c r="AG256" i="1"/>
  <c r="AK256" i="1"/>
  <c r="X256" i="1"/>
  <c r="V256" i="1"/>
  <c r="AB256" i="1" s="1" a="1"/>
  <c r="AB256" i="1" s="1"/>
  <c r="T603" i="1"/>
  <c r="AD119" i="1"/>
  <c r="AC119" i="1"/>
  <c r="S119" i="1"/>
  <c r="R119" i="1" s="1"/>
  <c r="T119" i="1"/>
  <c r="Y466" i="1"/>
  <c r="AA466" i="1" s="1"/>
  <c r="Z466" i="1"/>
  <c r="X466" i="1"/>
  <c r="V466" i="1"/>
  <c r="AB466" i="1" s="1" a="1"/>
  <c r="AB466" i="1" s="1"/>
  <c r="AK466" i="1"/>
  <c r="AI466" i="1"/>
  <c r="AG466" i="1"/>
  <c r="AE466" i="1"/>
  <c r="AG113" i="1"/>
  <c r="AE113" i="1"/>
  <c r="AK113" i="1"/>
  <c r="AI113" i="1"/>
  <c r="Z113" i="1"/>
  <c r="Y113" i="1"/>
  <c r="AA113" i="1" s="1"/>
  <c r="V113" i="1"/>
  <c r="AB113" i="1" s="1" a="1"/>
  <c r="AB113" i="1" s="1"/>
  <c r="X113" i="1"/>
  <c r="R67" i="1"/>
  <c r="R17" i="1"/>
  <c r="R181" i="1"/>
  <c r="AK573" i="1"/>
  <c r="Y573" i="1"/>
  <c r="AA573" i="1" s="1"/>
  <c r="X573" i="1"/>
  <c r="V573" i="1"/>
  <c r="AB573" i="1" s="1" a="1"/>
  <c r="AB573" i="1" s="1"/>
  <c r="AI573" i="1"/>
  <c r="AG573" i="1"/>
  <c r="AE573" i="1"/>
  <c r="Z573" i="1"/>
  <c r="R157" i="1"/>
  <c r="AC568" i="1"/>
  <c r="Q568" i="1"/>
  <c r="AD568" i="1"/>
  <c r="S568" i="1"/>
  <c r="R568" i="1"/>
  <c r="AE602" i="1"/>
  <c r="AI602" i="1"/>
  <c r="X602" i="1"/>
  <c r="V602" i="1"/>
  <c r="AB602" i="1" s="1" a="1"/>
  <c r="AB602" i="1" s="1"/>
  <c r="Y602" i="1"/>
  <c r="AA602" i="1" s="1"/>
  <c r="AG602" i="1"/>
  <c r="Z602" i="1"/>
  <c r="AK602" i="1"/>
  <c r="AC723" i="1"/>
  <c r="AD723" i="1"/>
  <c r="Q723" i="1"/>
  <c r="S723" i="1"/>
  <c r="Q632" i="1"/>
  <c r="AC632" i="1"/>
  <c r="S632" i="1"/>
  <c r="AD632" i="1"/>
  <c r="AE246" i="1"/>
  <c r="X246" i="1"/>
  <c r="V246" i="1"/>
  <c r="AB246" i="1" s="1" a="1"/>
  <c r="AB246" i="1" s="1"/>
  <c r="AK246" i="1"/>
  <c r="AG246" i="1"/>
  <c r="AI246" i="1"/>
  <c r="Z246" i="1"/>
  <c r="Y246" i="1"/>
  <c r="AA246" i="1" s="1"/>
  <c r="AC404" i="1"/>
  <c r="Q404" i="1"/>
  <c r="T404" i="1"/>
  <c r="AD404" i="1"/>
  <c r="S404" i="1"/>
  <c r="V713" i="1"/>
  <c r="AB713" i="1" s="1" a="1"/>
  <c r="AB713" i="1" s="1"/>
  <c r="X713" i="1"/>
  <c r="AK713" i="1"/>
  <c r="Y713" i="1"/>
  <c r="AA713" i="1" s="1"/>
  <c r="Z713" i="1"/>
  <c r="AI713" i="1"/>
  <c r="AG713" i="1"/>
  <c r="AE713" i="1"/>
  <c r="AC508" i="1"/>
  <c r="AD508" i="1"/>
  <c r="Q508" i="1"/>
  <c r="T508" i="1"/>
  <c r="AK191" i="1"/>
  <c r="Y191" i="1"/>
  <c r="AA191" i="1" s="1"/>
  <c r="AE191" i="1"/>
  <c r="AG191" i="1"/>
  <c r="Z191" i="1"/>
  <c r="V191" i="1"/>
  <c r="AB191" i="1" s="1" a="1"/>
  <c r="AB191" i="1" s="1"/>
  <c r="X191" i="1"/>
  <c r="AI191" i="1"/>
  <c r="Q602" i="1"/>
  <c r="AC602" i="1"/>
  <c r="AD602" i="1"/>
  <c r="Z512" i="1"/>
  <c r="V512" i="1"/>
  <c r="AB512" i="1" s="1" a="1"/>
  <c r="AB512" i="1" s="1"/>
  <c r="AK512" i="1"/>
  <c r="Y512" i="1"/>
  <c r="AA512" i="1" s="1"/>
  <c r="X512" i="1"/>
  <c r="AG512" i="1"/>
  <c r="AE512" i="1"/>
  <c r="AI512" i="1"/>
  <c r="AG559" i="1"/>
  <c r="Z559" i="1"/>
  <c r="AE559" i="1"/>
  <c r="X559" i="1"/>
  <c r="Y559" i="1"/>
  <c r="AA559" i="1" s="1"/>
  <c r="V559" i="1"/>
  <c r="AB559" i="1" s="1" a="1"/>
  <c r="AB559" i="1" s="1"/>
  <c r="AI559" i="1"/>
  <c r="AK559" i="1"/>
  <c r="AI484" i="1"/>
  <c r="AG484" i="1"/>
  <c r="Z484" i="1"/>
  <c r="Y484" i="1"/>
  <c r="AA484" i="1" s="1"/>
  <c r="AK484" i="1"/>
  <c r="AE484" i="1"/>
  <c r="X484" i="1"/>
  <c r="V484" i="1"/>
  <c r="AB484" i="1" s="1" a="1"/>
  <c r="AB484" i="1" s="1"/>
  <c r="Y129" i="1"/>
  <c r="AA129" i="1" s="1"/>
  <c r="Z129" i="1"/>
  <c r="X129" i="1"/>
  <c r="AE129" i="1"/>
  <c r="V129" i="1"/>
  <c r="AB129" i="1" s="1" a="1"/>
  <c r="AB129" i="1" s="1"/>
  <c r="AK129" i="1"/>
  <c r="AI129" i="1"/>
  <c r="AG129" i="1"/>
  <c r="X38" i="1"/>
  <c r="AK38" i="1"/>
  <c r="Z38" i="1"/>
  <c r="AI38" i="1" s="1"/>
  <c r="V38" i="1"/>
  <c r="AB38" i="1" s="1" a="1"/>
  <c r="AB38" i="1" s="1"/>
  <c r="Y38" i="1"/>
  <c r="AA38" i="1" s="1"/>
  <c r="Z778" i="1"/>
  <c r="AI778" i="1"/>
  <c r="AK778" i="1"/>
  <c r="V778" i="1"/>
  <c r="X778" i="1"/>
  <c r="AE778" i="1"/>
  <c r="AG778" i="1"/>
  <c r="Y778" i="1"/>
  <c r="AA778" i="1" s="1"/>
  <c r="Y771" i="1"/>
  <c r="AA771" i="1" s="1"/>
  <c r="AK771" i="1"/>
  <c r="Z771" i="1"/>
  <c r="X771" i="1"/>
  <c r="AI771" i="1"/>
  <c r="AE771" i="1"/>
  <c r="V771" i="1"/>
  <c r="AG771" i="1"/>
  <c r="V762" i="1"/>
  <c r="Z762" i="1"/>
  <c r="Y762" i="1"/>
  <c r="AA762" i="1" s="1"/>
  <c r="AE762" i="1"/>
  <c r="AI762" i="1"/>
  <c r="AG762" i="1"/>
  <c r="X762" i="1"/>
  <c r="AK762" i="1"/>
  <c r="Q777" i="1"/>
  <c r="AD777" i="1"/>
  <c r="AC777" i="1"/>
  <c r="S777" i="1"/>
  <c r="R777" i="1"/>
  <c r="Q790" i="1"/>
  <c r="S790" i="1"/>
  <c r="AD790" i="1"/>
  <c r="AC790" i="1"/>
  <c r="S724" i="1"/>
  <c r="AD724" i="1"/>
  <c r="R724" i="1"/>
  <c r="AC724" i="1"/>
  <c r="Q724" i="1"/>
  <c r="AC661" i="1"/>
  <c r="AD661" i="1"/>
  <c r="Q661" i="1"/>
  <c r="S661" i="1"/>
  <c r="T661" i="1"/>
  <c r="AI695" i="1"/>
  <c r="Y695" i="1"/>
  <c r="AA695" i="1" s="1"/>
  <c r="V695" i="1"/>
  <c r="AB695" i="1" s="1" a="1"/>
  <c r="AB695" i="1" s="1"/>
  <c r="X695" i="1"/>
  <c r="Z695" i="1"/>
  <c r="AE695" i="1"/>
  <c r="AK695" i="1"/>
  <c r="AG695" i="1"/>
  <c r="Q746" i="1"/>
  <c r="AC746" i="1"/>
  <c r="AD746" i="1"/>
  <c r="T746" i="1"/>
  <c r="R746" i="1"/>
  <c r="AE542" i="1"/>
  <c r="AK542" i="1"/>
  <c r="Z542" i="1"/>
  <c r="AG542" i="1"/>
  <c r="V542" i="1"/>
  <c r="AB542" i="1" s="1" a="1"/>
  <c r="AB542" i="1" s="1"/>
  <c r="X542" i="1"/>
  <c r="AI542" i="1"/>
  <c r="Y542" i="1"/>
  <c r="AA542" i="1" s="1"/>
  <c r="Q677" i="1"/>
  <c r="AD677" i="1"/>
  <c r="AC677" i="1"/>
  <c r="T677" i="1"/>
  <c r="S677" i="1"/>
  <c r="AC592" i="1"/>
  <c r="AD592" i="1"/>
  <c r="Q592" i="1"/>
  <c r="R592" i="1"/>
  <c r="S592" i="1"/>
  <c r="AC654" i="1"/>
  <c r="S654" i="1"/>
  <c r="AD654" i="1"/>
  <c r="Q654" i="1"/>
  <c r="R654" i="1"/>
  <c r="T654" i="1"/>
  <c r="AI540" i="1"/>
  <c r="AG540" i="1"/>
  <c r="V540" i="1"/>
  <c r="AB540" i="1" s="1" a="1"/>
  <c r="AB540" i="1" s="1"/>
  <c r="AK540" i="1"/>
  <c r="Y540" i="1"/>
  <c r="AA540" i="1" s="1"/>
  <c r="AE540" i="1"/>
  <c r="X540" i="1"/>
  <c r="Z540" i="1"/>
  <c r="T641" i="1"/>
  <c r="R641" i="1"/>
  <c r="AC641" i="1"/>
  <c r="AD641" i="1"/>
  <c r="Q641" i="1"/>
  <c r="R571" i="1"/>
  <c r="Q571" i="1"/>
  <c r="AD571" i="1"/>
  <c r="T571" i="1"/>
  <c r="AC571" i="1"/>
  <c r="R707" i="1"/>
  <c r="AI689" i="1"/>
  <c r="AG689" i="1"/>
  <c r="Y689" i="1"/>
  <c r="AA689" i="1" s="1"/>
  <c r="X689" i="1"/>
  <c r="V689" i="1"/>
  <c r="AB689" i="1" s="1" a="1"/>
  <c r="AB689" i="1" s="1"/>
  <c r="AE689" i="1"/>
  <c r="Z689" i="1"/>
  <c r="AK689" i="1"/>
  <c r="AG683" i="1"/>
  <c r="AI683" i="1"/>
  <c r="V683" i="1"/>
  <c r="AB683" i="1" s="1" a="1"/>
  <c r="AB683" i="1" s="1"/>
  <c r="AK683" i="1"/>
  <c r="AE683" i="1"/>
  <c r="X683" i="1"/>
  <c r="Z683" i="1"/>
  <c r="Y683" i="1"/>
  <c r="AA683" i="1" s="1"/>
  <c r="AC604" i="1"/>
  <c r="AD604" i="1"/>
  <c r="S604" i="1"/>
  <c r="Q604" i="1"/>
  <c r="R604" i="1"/>
  <c r="AE306" i="1"/>
  <c r="V306" i="1"/>
  <c r="AB306" i="1" s="1" a="1"/>
  <c r="AB306" i="1" s="1"/>
  <c r="AK306" i="1"/>
  <c r="AI306" i="1"/>
  <c r="AG306" i="1"/>
  <c r="Z306" i="1"/>
  <c r="Y306" i="1"/>
  <c r="AA306" i="1" s="1"/>
  <c r="X306" i="1"/>
  <c r="AD363" i="1"/>
  <c r="AC363" i="1"/>
  <c r="Q363" i="1"/>
  <c r="R363" i="1"/>
  <c r="T363" i="1"/>
  <c r="Z630" i="1"/>
  <c r="X630" i="1"/>
  <c r="V630" i="1"/>
  <c r="AB630" i="1" s="1" a="1"/>
  <c r="AB630" i="1" s="1"/>
  <c r="Y630" i="1"/>
  <c r="AA630" i="1" s="1"/>
  <c r="AG630" i="1"/>
  <c r="AK630" i="1"/>
  <c r="AI630" i="1"/>
  <c r="AE630" i="1"/>
  <c r="Z748" i="1"/>
  <c r="X748" i="1"/>
  <c r="Y748" i="1"/>
  <c r="AA748" i="1" s="1"/>
  <c r="V748" i="1"/>
  <c r="AG748" i="1"/>
  <c r="AK748" i="1"/>
  <c r="AI748" i="1"/>
  <c r="AE748" i="1"/>
  <c r="AI313" i="1"/>
  <c r="AG313" i="1"/>
  <c r="AE313" i="1"/>
  <c r="Y313" i="1"/>
  <c r="AA313" i="1" s="1"/>
  <c r="Z313" i="1"/>
  <c r="AK313" i="1"/>
  <c r="X313" i="1"/>
  <c r="V313" i="1"/>
  <c r="AB313" i="1" s="1" a="1"/>
  <c r="AB313" i="1" s="1"/>
  <c r="Z708" i="1"/>
  <c r="X708" i="1"/>
  <c r="Y708" i="1"/>
  <c r="AA708" i="1" s="1"/>
  <c r="AE708" i="1"/>
  <c r="AK708" i="1"/>
  <c r="AG708" i="1"/>
  <c r="V708" i="1"/>
  <c r="AB708" i="1" s="1" a="1"/>
  <c r="AB708" i="1" s="1"/>
  <c r="AI708" i="1"/>
  <c r="R389" i="1"/>
  <c r="Q389" i="1"/>
  <c r="AD389" i="1"/>
  <c r="AC389" i="1"/>
  <c r="T389" i="1"/>
  <c r="AE638" i="1"/>
  <c r="AI638" i="1"/>
  <c r="AG638" i="1"/>
  <c r="V638" i="1"/>
  <c r="AB638" i="1" s="1" a="1"/>
  <c r="AB638" i="1" s="1"/>
  <c r="X638" i="1"/>
  <c r="Z638" i="1"/>
  <c r="Y638" i="1"/>
  <c r="AA638" i="1" s="1"/>
  <c r="AK638" i="1"/>
  <c r="R455" i="1"/>
  <c r="AC455" i="1"/>
  <c r="T455" i="1"/>
  <c r="AD455" i="1"/>
  <c r="Q455" i="1"/>
  <c r="AE232" i="1"/>
  <c r="AK232" i="1"/>
  <c r="Z232" i="1"/>
  <c r="Y232" i="1"/>
  <c r="AA232" i="1" s="1"/>
  <c r="V232" i="1"/>
  <c r="AB232" i="1" s="1" a="1"/>
  <c r="AB232" i="1" s="1"/>
  <c r="AI232" i="1"/>
  <c r="AG232" i="1"/>
  <c r="X232" i="1"/>
  <c r="AD298" i="1"/>
  <c r="AC298" i="1"/>
  <c r="R298" i="1"/>
  <c r="Q298" i="1"/>
  <c r="R532" i="1"/>
  <c r="R619" i="1"/>
  <c r="AD619" i="1"/>
  <c r="Q619" i="1"/>
  <c r="AC619" i="1"/>
  <c r="T619" i="1"/>
  <c r="T602" i="1"/>
  <c r="V609" i="1"/>
  <c r="AB609" i="1" s="1" a="1"/>
  <c r="AB609" i="1" s="1"/>
  <c r="X609" i="1"/>
  <c r="AE609" i="1"/>
  <c r="Z609" i="1"/>
  <c r="Y609" i="1"/>
  <c r="AA609" i="1" s="1"/>
  <c r="AK609" i="1"/>
  <c r="AI609" i="1"/>
  <c r="AG609" i="1"/>
  <c r="Z421" i="1"/>
  <c r="Y421" i="1"/>
  <c r="AA421" i="1" s="1"/>
  <c r="X421" i="1"/>
  <c r="V421" i="1"/>
  <c r="AB421" i="1" s="1" a="1"/>
  <c r="AB421" i="1" s="1"/>
  <c r="AI421" i="1"/>
  <c r="AK421" i="1"/>
  <c r="AG421" i="1"/>
  <c r="AE421" i="1"/>
  <c r="S363" i="1"/>
  <c r="AD547" i="1"/>
  <c r="AC547" i="1"/>
  <c r="R547" i="1"/>
  <c r="Q547" i="1"/>
  <c r="T547" i="1"/>
  <c r="AD213" i="1"/>
  <c r="AC213" i="1"/>
  <c r="T213" i="1"/>
  <c r="S213" i="1"/>
  <c r="R213" i="1"/>
  <c r="AC565" i="1"/>
  <c r="Q565" i="1"/>
  <c r="R565" i="1"/>
  <c r="T565" i="1"/>
  <c r="AD565" i="1"/>
  <c r="Z324" i="1"/>
  <c r="AI324" i="1"/>
  <c r="AG324" i="1"/>
  <c r="AE324" i="1"/>
  <c r="V324" i="1"/>
  <c r="AB324" i="1" s="1" a="1"/>
  <c r="AB324" i="1" s="1"/>
  <c r="AK324" i="1"/>
  <c r="Y324" i="1"/>
  <c r="AA324" i="1" s="1"/>
  <c r="X324" i="1"/>
  <c r="AE349" i="1"/>
  <c r="AI349" i="1"/>
  <c r="AG349" i="1"/>
  <c r="V349" i="1"/>
  <c r="AB349" i="1" s="1" a="1"/>
  <c r="AB349" i="1" s="1"/>
  <c r="AK349" i="1"/>
  <c r="X349" i="1"/>
  <c r="Y349" i="1"/>
  <c r="AA349" i="1" s="1"/>
  <c r="Z349" i="1"/>
  <c r="AD259" i="1"/>
  <c r="AC259" i="1"/>
  <c r="Q259" i="1"/>
  <c r="T259" i="1"/>
  <c r="S259" i="1"/>
  <c r="AG443" i="1"/>
  <c r="AE443" i="1"/>
  <c r="X443" i="1"/>
  <c r="V443" i="1"/>
  <c r="AB443" i="1" s="1" a="1"/>
  <c r="AB443" i="1" s="1"/>
  <c r="AK443" i="1"/>
  <c r="AI443" i="1"/>
  <c r="Y443" i="1"/>
  <c r="AA443" i="1" s="1"/>
  <c r="Z443" i="1"/>
  <c r="AE267" i="1"/>
  <c r="AK267" i="1"/>
  <c r="AI267" i="1"/>
  <c r="Y267" i="1"/>
  <c r="AA267" i="1" s="1"/>
  <c r="AG267" i="1"/>
  <c r="Z267" i="1"/>
  <c r="X267" i="1"/>
  <c r="V267" i="1"/>
  <c r="AB267" i="1" s="1" a="1"/>
  <c r="AB267" i="1" s="1"/>
  <c r="AD189" i="1"/>
  <c r="AC189" i="1"/>
  <c r="T189" i="1"/>
  <c r="R189" i="1" s="1"/>
  <c r="Z124" i="1"/>
  <c r="AK124" i="1" s="1"/>
  <c r="AG124" i="1"/>
  <c r="Y120" i="1"/>
  <c r="AA120" i="1" s="1"/>
  <c r="AE120" i="1"/>
  <c r="Z120" i="1"/>
  <c r="X120" i="1"/>
  <c r="V120" i="1"/>
  <c r="AB120" i="1" s="1" a="1"/>
  <c r="AB120" i="1" s="1"/>
  <c r="AG120" i="1"/>
  <c r="AK120" i="1"/>
  <c r="AI120" i="1"/>
  <c r="Q120" i="1"/>
  <c r="AI688" i="1"/>
  <c r="X688" i="1"/>
  <c r="Z688" i="1"/>
  <c r="AE688" i="1"/>
  <c r="V688" i="1"/>
  <c r="AB688" i="1" s="1" a="1"/>
  <c r="AB688" i="1" s="1"/>
  <c r="AG688" i="1"/>
  <c r="Y688" i="1"/>
  <c r="AA688" i="1" s="1"/>
  <c r="AK688" i="1"/>
  <c r="S455" i="1"/>
  <c r="Y375" i="1"/>
  <c r="AA375" i="1" s="1"/>
  <c r="V375" i="1"/>
  <c r="AB375" i="1" s="1" a="1"/>
  <c r="AB375" i="1" s="1"/>
  <c r="AK375" i="1"/>
  <c r="AG375" i="1"/>
  <c r="AE375" i="1"/>
  <c r="AI375" i="1"/>
  <c r="X375" i="1"/>
  <c r="Z375" i="1"/>
  <c r="J43" i="1"/>
  <c r="AC43" i="1"/>
  <c r="Q43" i="1"/>
  <c r="AD43" i="1"/>
  <c r="T43" i="1"/>
  <c r="R43" i="1" s="1"/>
  <c r="AD193" i="1"/>
  <c r="AC193" i="1"/>
  <c r="S193" i="1"/>
  <c r="T193" i="1"/>
  <c r="T274" i="1"/>
  <c r="R200" i="1"/>
  <c r="Y5" i="1"/>
  <c r="AA5" i="1" s="1"/>
  <c r="AK5" i="1"/>
  <c r="V5" i="1"/>
  <c r="AB5" i="1" s="1" a="1"/>
  <c r="AB5" i="1" s="1"/>
  <c r="Z5" i="1"/>
  <c r="AI5" i="1" s="1"/>
  <c r="AE5" i="1"/>
  <c r="Z180" i="1"/>
  <c r="AG180" i="1" s="1"/>
  <c r="Y180" i="1"/>
  <c r="AA180" i="1" s="1"/>
  <c r="AK180" i="1"/>
  <c r="AE180" i="1"/>
  <c r="AI180" i="1"/>
  <c r="X100" i="1"/>
  <c r="Z100" i="1"/>
  <c r="AK100" i="1"/>
  <c r="AG100" i="1"/>
  <c r="Y100" i="1"/>
  <c r="AA100" i="1" s="1"/>
  <c r="AI100" i="1"/>
  <c r="V100" i="1"/>
  <c r="AB100" i="1" s="1" a="1"/>
  <c r="AB100" i="1" s="1"/>
  <c r="AE100" i="1"/>
  <c r="Q100" i="1"/>
  <c r="Q784" i="1"/>
  <c r="S784" i="1"/>
  <c r="AD784" i="1"/>
  <c r="AC784" i="1"/>
  <c r="Q582" i="1"/>
  <c r="R582" i="1"/>
  <c r="T582" i="1"/>
  <c r="AC582" i="1"/>
  <c r="AD582" i="1"/>
  <c r="Z651" i="1"/>
  <c r="Y651" i="1"/>
  <c r="AA651" i="1" s="1"/>
  <c r="AK651" i="1"/>
  <c r="AE651" i="1"/>
  <c r="AI651" i="1"/>
  <c r="X651" i="1"/>
  <c r="V651" i="1"/>
  <c r="AB651" i="1" s="1" a="1"/>
  <c r="AB651" i="1" s="1"/>
  <c r="AG651" i="1"/>
  <c r="AD607" i="1"/>
  <c r="Q607" i="1"/>
  <c r="R607" i="1"/>
  <c r="T607" i="1"/>
  <c r="AC607" i="1"/>
  <c r="Y367" i="1"/>
  <c r="AA367" i="1" s="1"/>
  <c r="AG367" i="1"/>
  <c r="X367" i="1"/>
  <c r="V367" i="1"/>
  <c r="AB367" i="1" s="1" a="1"/>
  <c r="AB367" i="1" s="1"/>
  <c r="Z367" i="1"/>
  <c r="AK367" i="1"/>
  <c r="AI367" i="1"/>
  <c r="AE367" i="1"/>
  <c r="Q497" i="1"/>
  <c r="AC497" i="1"/>
  <c r="AD497" i="1"/>
  <c r="T497" i="1"/>
  <c r="S497" i="1"/>
  <c r="Q322" i="1"/>
  <c r="AD322" i="1"/>
  <c r="AC322" i="1"/>
  <c r="S322" i="1"/>
  <c r="T322" i="1"/>
  <c r="S552" i="1"/>
  <c r="AD552" i="1"/>
  <c r="Q552" i="1"/>
  <c r="AC552" i="1"/>
  <c r="R552" i="1"/>
  <c r="AK132" i="1"/>
  <c r="AE132" i="1"/>
  <c r="Z132" i="1"/>
  <c r="AG132" i="1" s="1"/>
  <c r="AD340" i="1"/>
  <c r="AC340" i="1"/>
  <c r="Q340" i="1"/>
  <c r="R340" i="1"/>
  <c r="S340" i="1"/>
  <c r="X147" i="1"/>
  <c r="AI147" i="1"/>
  <c r="AG147" i="1"/>
  <c r="AK147" i="1"/>
  <c r="AE147" i="1"/>
  <c r="Z147" i="1"/>
  <c r="Y147" i="1"/>
  <c r="AA147" i="1" s="1"/>
  <c r="V147" i="1"/>
  <c r="AB147" i="1" s="1" a="1"/>
  <c r="AB147" i="1" s="1"/>
  <c r="AI448" i="1"/>
  <c r="AG448" i="1"/>
  <c r="V448" i="1"/>
  <c r="AB448" i="1" s="1" a="1"/>
  <c r="AB448" i="1" s="1"/>
  <c r="X448" i="1"/>
  <c r="Z448" i="1"/>
  <c r="Y448" i="1"/>
  <c r="AA448" i="1" s="1"/>
  <c r="AE448" i="1"/>
  <c r="AK448" i="1"/>
  <c r="AE770" i="1"/>
  <c r="X770" i="1"/>
  <c r="Y770" i="1"/>
  <c r="AA770" i="1" s="1"/>
  <c r="AG770" i="1"/>
  <c r="Z770" i="1"/>
  <c r="V770" i="1"/>
  <c r="AI770" i="1"/>
  <c r="AK770" i="1"/>
  <c r="R791" i="1"/>
  <c r="AD791" i="1"/>
  <c r="AC791" i="1"/>
  <c r="T791" i="1"/>
  <c r="Q791" i="1"/>
  <c r="Y667" i="1"/>
  <c r="AA667" i="1" s="1"/>
  <c r="AG667" i="1"/>
  <c r="V667" i="1"/>
  <c r="AB667" i="1" s="1" a="1"/>
  <c r="AB667" i="1" s="1"/>
  <c r="AK667" i="1"/>
  <c r="AI667" i="1"/>
  <c r="Z667" i="1"/>
  <c r="AE667" i="1"/>
  <c r="X667" i="1"/>
  <c r="T723" i="1"/>
  <c r="AE659" i="1"/>
  <c r="V659" i="1"/>
  <c r="AB659" i="1" s="1" a="1"/>
  <c r="AB659" i="1" s="1"/>
  <c r="X659" i="1"/>
  <c r="AK659" i="1"/>
  <c r="Z659" i="1"/>
  <c r="Y659" i="1"/>
  <c r="AA659" i="1" s="1"/>
  <c r="AI659" i="1"/>
  <c r="AG659" i="1"/>
  <c r="AK643" i="1"/>
  <c r="V643" i="1"/>
  <c r="AB643" i="1" s="1" a="1"/>
  <c r="AB643" i="1" s="1"/>
  <c r="AI643" i="1"/>
  <c r="AG643" i="1"/>
  <c r="AE643" i="1"/>
  <c r="X643" i="1"/>
  <c r="Z643" i="1"/>
  <c r="Y643" i="1"/>
  <c r="AA643" i="1" s="1"/>
  <c r="AD657" i="1"/>
  <c r="AC657" i="1"/>
  <c r="Q657" i="1"/>
  <c r="R657" i="1"/>
  <c r="S602" i="1"/>
  <c r="V757" i="1"/>
  <c r="AK757" i="1"/>
  <c r="AI757" i="1"/>
  <c r="X757" i="1"/>
  <c r="Z757" i="1"/>
  <c r="AG757" i="1"/>
  <c r="AE757" i="1"/>
  <c r="Y757" i="1"/>
  <c r="AA757" i="1" s="1"/>
  <c r="Q650" i="1"/>
  <c r="AD650" i="1"/>
  <c r="S650" i="1"/>
  <c r="AC650" i="1"/>
  <c r="T650" i="1"/>
  <c r="Z684" i="1"/>
  <c r="X684" i="1"/>
  <c r="Y684" i="1"/>
  <c r="AA684" i="1" s="1"/>
  <c r="V684" i="1"/>
  <c r="AB684" i="1" s="1" a="1"/>
  <c r="AB684" i="1" s="1"/>
  <c r="AG684" i="1"/>
  <c r="AK684" i="1"/>
  <c r="AI684" i="1"/>
  <c r="AE684" i="1"/>
  <c r="AD608" i="1"/>
  <c r="Q608" i="1"/>
  <c r="AC608" i="1"/>
  <c r="R608" i="1"/>
  <c r="S608" i="1"/>
  <c r="Y505" i="1"/>
  <c r="AA505" i="1" s="1"/>
  <c r="X505" i="1"/>
  <c r="AK505" i="1"/>
  <c r="AE505" i="1"/>
  <c r="V505" i="1"/>
  <c r="AB505" i="1" s="1" a="1"/>
  <c r="AB505" i="1" s="1"/>
  <c r="Z505" i="1"/>
  <c r="AG505" i="1"/>
  <c r="AI505" i="1"/>
  <c r="AC248" i="1"/>
  <c r="AD248" i="1"/>
  <c r="Q248" i="1"/>
  <c r="R248" i="1"/>
  <c r="S248" i="1"/>
  <c r="X727" i="1"/>
  <c r="Z727" i="1"/>
  <c r="Y727" i="1"/>
  <c r="AA727" i="1" s="1"/>
  <c r="AI727" i="1"/>
  <c r="V727" i="1"/>
  <c r="AK727" i="1"/>
  <c r="AG727" i="1"/>
  <c r="AE727" i="1"/>
  <c r="AG580" i="1"/>
  <c r="AK580" i="1"/>
  <c r="AI580" i="1"/>
  <c r="Z580" i="1"/>
  <c r="Y580" i="1"/>
  <c r="AA580" i="1" s="1"/>
  <c r="X580" i="1"/>
  <c r="V580" i="1"/>
  <c r="AB580" i="1" s="1" a="1"/>
  <c r="AB580" i="1" s="1"/>
  <c r="AE580" i="1"/>
  <c r="AE494" i="1"/>
  <c r="Y494" i="1"/>
  <c r="AA494" i="1" s="1"/>
  <c r="X494" i="1"/>
  <c r="Z494" i="1"/>
  <c r="V494" i="1"/>
  <c r="AB494" i="1" s="1" a="1"/>
  <c r="AB494" i="1" s="1"/>
  <c r="AK494" i="1"/>
  <c r="AI494" i="1"/>
  <c r="AG494" i="1"/>
  <c r="AD354" i="1"/>
  <c r="AC354" i="1"/>
  <c r="T354" i="1"/>
  <c r="Q354" i="1"/>
  <c r="T604" i="1"/>
  <c r="AC208" i="1"/>
  <c r="AD208" i="1"/>
  <c r="T208" i="1"/>
  <c r="S208" i="1"/>
  <c r="R208" i="1" s="1"/>
  <c r="AI768" i="1"/>
  <c r="AK768" i="1"/>
  <c r="X768" i="1"/>
  <c r="AG768" i="1"/>
  <c r="Y768" i="1"/>
  <c r="AA768" i="1" s="1"/>
  <c r="Z768" i="1"/>
  <c r="V768" i="1"/>
  <c r="AE768" i="1"/>
  <c r="AC534" i="1"/>
  <c r="S534" i="1"/>
  <c r="AD534" i="1"/>
  <c r="R534" i="1"/>
  <c r="Q534" i="1"/>
  <c r="AG383" i="1"/>
  <c r="AK383" i="1"/>
  <c r="AI383" i="1"/>
  <c r="AE383" i="1"/>
  <c r="Y383" i="1"/>
  <c r="AA383" i="1" s="1"/>
  <c r="X383" i="1"/>
  <c r="Z383" i="1"/>
  <c r="V383" i="1"/>
  <c r="AB383" i="1" s="1" a="1"/>
  <c r="AB383" i="1" s="1"/>
  <c r="AE294" i="1"/>
  <c r="Z294" i="1"/>
  <c r="V294" i="1"/>
  <c r="AB294" i="1" s="1" a="1"/>
  <c r="AB294" i="1" s="1"/>
  <c r="X294" i="1"/>
  <c r="Y294" i="1"/>
  <c r="AA294" i="1" s="1"/>
  <c r="AG294" i="1"/>
  <c r="AI294" i="1"/>
  <c r="AK294" i="1"/>
  <c r="T632" i="1"/>
  <c r="T297" i="1"/>
  <c r="Q297" i="1"/>
  <c r="AD297" i="1"/>
  <c r="AC297" i="1"/>
  <c r="R297" i="1"/>
  <c r="AD595" i="1"/>
  <c r="AC595" i="1"/>
  <c r="T595" i="1"/>
  <c r="Q595" i="1"/>
  <c r="R595" i="1"/>
  <c r="Y507" i="1"/>
  <c r="AA507" i="1" s="1"/>
  <c r="Z507" i="1"/>
  <c r="AK507" i="1"/>
  <c r="AI507" i="1"/>
  <c r="AG507" i="1"/>
  <c r="V507" i="1"/>
  <c r="AB507" i="1" s="1" a="1"/>
  <c r="AB507" i="1" s="1"/>
  <c r="AE507" i="1"/>
  <c r="X507" i="1"/>
  <c r="AE104" i="1"/>
  <c r="AG104" i="1"/>
  <c r="AK104" i="1"/>
  <c r="AI104" i="1"/>
  <c r="Y104" i="1"/>
  <c r="AA104" i="1" s="1"/>
  <c r="Z104" i="1"/>
  <c r="X104" i="1"/>
  <c r="V104" i="1"/>
  <c r="AB104" i="1" s="1" a="1"/>
  <c r="AB104" i="1" s="1"/>
  <c r="AE518" i="1"/>
  <c r="AG518" i="1"/>
  <c r="Z518" i="1"/>
  <c r="X518" i="1"/>
  <c r="AK518" i="1"/>
  <c r="AI518" i="1"/>
  <c r="Y518" i="1"/>
  <c r="AA518" i="1" s="1"/>
  <c r="V518" i="1"/>
  <c r="AB518" i="1" s="1" a="1"/>
  <c r="AB518" i="1" s="1"/>
  <c r="S522" i="1"/>
  <c r="AD522" i="1"/>
  <c r="AC522" i="1"/>
  <c r="Q522" i="1"/>
  <c r="R522" i="1"/>
  <c r="AD406" i="1"/>
  <c r="S406" i="1"/>
  <c r="R406" i="1"/>
  <c r="Q406" i="1"/>
  <c r="AC406" i="1"/>
  <c r="R322" i="1"/>
  <c r="R158" i="1"/>
  <c r="AI358" i="1"/>
  <c r="X358" i="1"/>
  <c r="V358" i="1"/>
  <c r="AB358" i="1" s="1" a="1"/>
  <c r="AB358" i="1" s="1"/>
  <c r="AK358" i="1"/>
  <c r="AG358" i="1"/>
  <c r="Z358" i="1"/>
  <c r="Y358" i="1"/>
  <c r="AA358" i="1" s="1"/>
  <c r="AE358" i="1"/>
  <c r="V525" i="1"/>
  <c r="AB525" i="1" s="1" a="1"/>
  <c r="AB525" i="1" s="1"/>
  <c r="Z525" i="1"/>
  <c r="Y525" i="1"/>
  <c r="AA525" i="1" s="1"/>
  <c r="X525" i="1"/>
  <c r="AG525" i="1"/>
  <c r="AK525" i="1"/>
  <c r="AI525" i="1"/>
  <c r="AE525" i="1"/>
  <c r="Z312" i="1"/>
  <c r="Y312" i="1"/>
  <c r="AA312" i="1" s="1"/>
  <c r="X312" i="1"/>
  <c r="AE312" i="1"/>
  <c r="V312" i="1"/>
  <c r="AB312" i="1" s="1" a="1"/>
  <c r="AB312" i="1" s="1"/>
  <c r="AK312" i="1"/>
  <c r="AI312" i="1"/>
  <c r="AG312" i="1"/>
  <c r="AD9" i="1"/>
  <c r="AC9" i="1"/>
  <c r="S9" i="1"/>
  <c r="T9" i="1"/>
  <c r="AE198" i="1"/>
  <c r="AI198" i="1"/>
  <c r="V198" i="1"/>
  <c r="AB198" i="1" s="1" a="1"/>
  <c r="AB198" i="1" s="1"/>
  <c r="X198" i="1"/>
  <c r="AG198" i="1"/>
  <c r="Z198" i="1"/>
  <c r="AK198" i="1"/>
  <c r="Y198" i="1"/>
  <c r="AA198" i="1" s="1"/>
  <c r="Q107" i="1"/>
  <c r="AD107" i="1"/>
  <c r="AC107" i="1"/>
  <c r="T107" i="1"/>
  <c r="S107" i="1"/>
  <c r="R107" i="1" s="1"/>
  <c r="T335" i="1"/>
  <c r="R335" i="1"/>
  <c r="Q335" i="1"/>
  <c r="AD335" i="1"/>
  <c r="AC335" i="1"/>
  <c r="Q104" i="1"/>
  <c r="AI676" i="1"/>
  <c r="AE676" i="1"/>
  <c r="X676" i="1"/>
  <c r="V676" i="1"/>
  <c r="AB676" i="1" s="1" a="1"/>
  <c r="AB676" i="1" s="1"/>
  <c r="Y676" i="1"/>
  <c r="AA676" i="1" s="1"/>
  <c r="Z676" i="1"/>
  <c r="AK676" i="1"/>
  <c r="AG676" i="1"/>
  <c r="Y79" i="1"/>
  <c r="AA79" i="1" s="1"/>
  <c r="V79" i="1"/>
  <c r="AB79" i="1" s="1" a="1"/>
  <c r="AB79" i="1" s="1"/>
  <c r="AG79" i="1"/>
  <c r="AK79" i="1"/>
  <c r="AI79" i="1"/>
  <c r="AE79" i="1"/>
  <c r="X79" i="1"/>
  <c r="Z79" i="1"/>
  <c r="Q79" i="1"/>
  <c r="Z138" i="1"/>
  <c r="AK138" i="1" s="1"/>
  <c r="Y138" i="1"/>
  <c r="AA138" i="1" s="1"/>
  <c r="Q191" i="1"/>
  <c r="Z250" i="1"/>
  <c r="Y250" i="1"/>
  <c r="AA250" i="1" s="1"/>
  <c r="X250" i="1"/>
  <c r="AG250" i="1"/>
  <c r="AE250" i="1"/>
  <c r="AK250" i="1"/>
  <c r="AI250" i="1"/>
  <c r="V250" i="1"/>
  <c r="AB250" i="1" s="1" a="1"/>
  <c r="AB250" i="1" s="1"/>
  <c r="Y319" i="1"/>
  <c r="AA319" i="1" s="1"/>
  <c r="X319" i="1"/>
  <c r="V319" i="1"/>
  <c r="AB319" i="1" s="1" a="1"/>
  <c r="AB319" i="1" s="1"/>
  <c r="AK319" i="1"/>
  <c r="AG319" i="1"/>
  <c r="Z319" i="1"/>
  <c r="AI319" i="1"/>
  <c r="AE319" i="1"/>
  <c r="AE696" i="1"/>
  <c r="X696" i="1"/>
  <c r="AK696" i="1"/>
  <c r="Z696" i="1"/>
  <c r="V696" i="1"/>
  <c r="AB696" i="1" s="1" a="1"/>
  <c r="AB696" i="1" s="1"/>
  <c r="Y696" i="1"/>
  <c r="AA696" i="1" s="1"/>
  <c r="AI696" i="1"/>
  <c r="AG696" i="1"/>
  <c r="AC332" i="1"/>
  <c r="R332" i="1"/>
  <c r="AD332" i="1"/>
  <c r="S332" i="1"/>
  <c r="Q332" i="1"/>
  <c r="X386" i="1"/>
  <c r="Z386" i="1"/>
  <c r="AI386" i="1"/>
  <c r="AG386" i="1"/>
  <c r="AE386" i="1"/>
  <c r="Y386" i="1"/>
  <c r="AA386" i="1" s="1"/>
  <c r="V386" i="1"/>
  <c r="AB386" i="1" s="1" a="1"/>
  <c r="AB386" i="1" s="1"/>
  <c r="AK386" i="1"/>
  <c r="Z461" i="1"/>
  <c r="AI461" i="1"/>
  <c r="Y461" i="1"/>
  <c r="AA461" i="1" s="1"/>
  <c r="X461" i="1"/>
  <c r="V461" i="1"/>
  <c r="AB461" i="1" s="1" a="1"/>
  <c r="AB461" i="1" s="1"/>
  <c r="AE461" i="1"/>
  <c r="AK461" i="1"/>
  <c r="AG461" i="1"/>
  <c r="AI551" i="1"/>
  <c r="Z551" i="1"/>
  <c r="AG551" i="1"/>
  <c r="AK551" i="1"/>
  <c r="AE551" i="1"/>
  <c r="X551" i="1"/>
  <c r="Y551" i="1"/>
  <c r="AA551" i="1" s="1"/>
  <c r="V551" i="1"/>
  <c r="AB551" i="1" s="1" a="1"/>
  <c r="AB551" i="1" s="1"/>
  <c r="AC440" i="1"/>
  <c r="Q440" i="1"/>
  <c r="AD440" i="1"/>
  <c r="T440" i="1"/>
  <c r="X159" i="1"/>
  <c r="AI159" i="1"/>
  <c r="Y159" i="1"/>
  <c r="AA159" i="1" s="1"/>
  <c r="V159" i="1"/>
  <c r="AB159" i="1" s="1" a="1"/>
  <c r="AB159" i="1" s="1"/>
  <c r="Z159" i="1"/>
  <c r="AG159" i="1"/>
  <c r="AK159" i="1"/>
  <c r="AE159" i="1"/>
  <c r="Q159" i="1"/>
  <c r="AK285" i="1"/>
  <c r="V285" i="1"/>
  <c r="AB285" i="1" s="1" a="1"/>
  <c r="AB285" i="1" s="1"/>
  <c r="Z285" i="1"/>
  <c r="Y285" i="1"/>
  <c r="AA285" i="1" s="1"/>
  <c r="AE285" i="1"/>
  <c r="AG285" i="1"/>
  <c r="X285" i="1"/>
  <c r="AI285" i="1"/>
  <c r="AK197" i="1"/>
  <c r="V197" i="1"/>
  <c r="AB197" i="1" s="1" a="1"/>
  <c r="AB197" i="1" s="1"/>
  <c r="AI197" i="1"/>
  <c r="AE197" i="1"/>
  <c r="X197" i="1"/>
  <c r="AG197" i="1"/>
  <c r="Z197" i="1"/>
  <c r="Y197" i="1"/>
  <c r="AA197" i="1" s="1"/>
  <c r="Z456" i="1"/>
  <c r="Y456" i="1"/>
  <c r="AA456" i="1" s="1"/>
  <c r="X456" i="1"/>
  <c r="AK456" i="1"/>
  <c r="V456" i="1"/>
  <c r="AB456" i="1" s="1" a="1"/>
  <c r="AB456" i="1" s="1"/>
  <c r="AG456" i="1"/>
  <c r="AI456" i="1"/>
  <c r="AE456" i="1"/>
  <c r="Z305" i="1"/>
  <c r="Y305" i="1"/>
  <c r="AA305" i="1" s="1"/>
  <c r="AI305" i="1"/>
  <c r="V305" i="1"/>
  <c r="AB305" i="1" s="1" a="1"/>
  <c r="AB305" i="1" s="1"/>
  <c r="AK305" i="1"/>
  <c r="AG305" i="1"/>
  <c r="AE305" i="1"/>
  <c r="X305" i="1"/>
  <c r="AD782" i="1"/>
  <c r="S782" i="1"/>
  <c r="AC782" i="1"/>
  <c r="R782" i="1"/>
  <c r="Q782" i="1"/>
  <c r="AI772" i="1"/>
  <c r="X772" i="1"/>
  <c r="V772" i="1"/>
  <c r="Z772" i="1"/>
  <c r="Y772" i="1"/>
  <c r="AA772" i="1" s="1"/>
  <c r="AE772" i="1"/>
  <c r="AK772" i="1"/>
  <c r="AG772" i="1"/>
  <c r="AK761" i="1"/>
  <c r="Y761" i="1"/>
  <c r="AA761" i="1" s="1"/>
  <c r="X761" i="1"/>
  <c r="V761" i="1"/>
  <c r="AI761" i="1"/>
  <c r="AG761" i="1"/>
  <c r="AE761" i="1"/>
  <c r="Z761" i="1"/>
  <c r="AI735" i="1"/>
  <c r="V735" i="1"/>
  <c r="X735" i="1"/>
  <c r="AG735" i="1"/>
  <c r="AE735" i="1"/>
  <c r="Z735" i="1"/>
  <c r="Y735" i="1"/>
  <c r="AA735" i="1" s="1"/>
  <c r="AK735" i="1"/>
  <c r="R723" i="1"/>
  <c r="AI636" i="1"/>
  <c r="AG636" i="1"/>
  <c r="AE636" i="1"/>
  <c r="X636" i="1"/>
  <c r="V636" i="1"/>
  <c r="AB636" i="1" s="1" a="1"/>
  <c r="AB636" i="1" s="1"/>
  <c r="AK636" i="1"/>
  <c r="Z636" i="1"/>
  <c r="Y636" i="1"/>
  <c r="AA636" i="1" s="1"/>
  <c r="AD755" i="1"/>
  <c r="AC755" i="1"/>
  <c r="R755" i="1"/>
  <c r="Q755" i="1"/>
  <c r="T755" i="1"/>
  <c r="AD646" i="1"/>
  <c r="AC646" i="1"/>
  <c r="S646" i="1"/>
  <c r="R646" i="1"/>
  <c r="Q646" i="1"/>
  <c r="Q707" i="1"/>
  <c r="AD707" i="1"/>
  <c r="S707" i="1"/>
  <c r="AC707" i="1"/>
  <c r="AD587" i="1"/>
  <c r="R587" i="1"/>
  <c r="Q587" i="1"/>
  <c r="AC587" i="1"/>
  <c r="T587" i="1"/>
  <c r="S587" i="1"/>
  <c r="T552" i="1"/>
  <c r="AD635" i="1"/>
  <c r="AC635" i="1"/>
  <c r="Q635" i="1"/>
  <c r="Q651" i="1"/>
  <c r="AD651" i="1"/>
  <c r="AC651" i="1"/>
  <c r="S651" i="1"/>
  <c r="T651" i="1"/>
  <c r="AG529" i="1"/>
  <c r="AE529" i="1"/>
  <c r="X529" i="1"/>
  <c r="Z529" i="1"/>
  <c r="Y529" i="1"/>
  <c r="AA529" i="1" s="1"/>
  <c r="V529" i="1"/>
  <c r="AB529" i="1" s="1" a="1"/>
  <c r="AB529" i="1" s="1"/>
  <c r="AK529" i="1"/>
  <c r="AI529" i="1"/>
  <c r="AK681" i="1"/>
  <c r="V681" i="1"/>
  <c r="AB681" i="1" s="1" a="1"/>
  <c r="AB681" i="1" s="1"/>
  <c r="AI681" i="1"/>
  <c r="Y681" i="1"/>
  <c r="AA681" i="1" s="1"/>
  <c r="AE681" i="1"/>
  <c r="Z681" i="1"/>
  <c r="X681" i="1"/>
  <c r="AG681" i="1"/>
  <c r="AK767" i="1"/>
  <c r="V767" i="1"/>
  <c r="X767" i="1"/>
  <c r="AI767" i="1"/>
  <c r="AE767" i="1"/>
  <c r="Z767" i="1"/>
  <c r="AG767" i="1"/>
  <c r="Y767" i="1"/>
  <c r="AA767" i="1" s="1"/>
  <c r="Q603" i="1"/>
  <c r="AD603" i="1"/>
  <c r="AC603" i="1"/>
  <c r="X739" i="1"/>
  <c r="AK739" i="1"/>
  <c r="Z739" i="1"/>
  <c r="AE739" i="1"/>
  <c r="AI739" i="1"/>
  <c r="V739" i="1"/>
  <c r="AG739" i="1"/>
  <c r="Y739" i="1"/>
  <c r="AA739" i="1" s="1"/>
  <c r="AD562" i="1"/>
  <c r="AC562" i="1"/>
  <c r="Q562" i="1"/>
  <c r="T562" i="1"/>
  <c r="R562" i="1"/>
  <c r="AK401" i="1"/>
  <c r="AI401" i="1"/>
  <c r="AG401" i="1"/>
  <c r="Y401" i="1"/>
  <c r="AA401" i="1" s="1"/>
  <c r="X401" i="1"/>
  <c r="Z401" i="1"/>
  <c r="V401" i="1"/>
  <c r="AB401" i="1" s="1" a="1"/>
  <c r="AB401" i="1" s="1"/>
  <c r="AE401" i="1"/>
  <c r="Q377" i="1"/>
  <c r="T377" i="1"/>
  <c r="AD377" i="1"/>
  <c r="AC377" i="1"/>
  <c r="S377" i="1"/>
  <c r="AG728" i="1"/>
  <c r="X728" i="1"/>
  <c r="Z728" i="1"/>
  <c r="Y728" i="1"/>
  <c r="AA728" i="1" s="1"/>
  <c r="V728" i="1"/>
  <c r="AE728" i="1"/>
  <c r="AI728" i="1"/>
  <c r="AK728" i="1"/>
  <c r="AI588" i="1"/>
  <c r="Y588" i="1"/>
  <c r="AA588" i="1" s="1"/>
  <c r="AE588" i="1"/>
  <c r="X588" i="1"/>
  <c r="V588" i="1"/>
  <c r="AB588" i="1" s="1" a="1"/>
  <c r="AB588" i="1" s="1"/>
  <c r="AK588" i="1"/>
  <c r="AG588" i="1"/>
  <c r="Z588" i="1"/>
  <c r="R204" i="1"/>
  <c r="AK441" i="1"/>
  <c r="V441" i="1"/>
  <c r="AB441" i="1" s="1" a="1"/>
  <c r="AB441" i="1" s="1"/>
  <c r="AE441" i="1"/>
  <c r="AI441" i="1"/>
  <c r="AG441" i="1"/>
  <c r="Y441" i="1"/>
  <c r="AA441" i="1" s="1"/>
  <c r="X441" i="1"/>
  <c r="Z441" i="1"/>
  <c r="R632" i="1"/>
  <c r="AD405" i="1"/>
  <c r="AC405" i="1"/>
  <c r="S405" i="1"/>
  <c r="R405" i="1"/>
  <c r="Q405" i="1"/>
  <c r="T405" i="1"/>
  <c r="X648" i="1"/>
  <c r="AE648" i="1"/>
  <c r="Y648" i="1"/>
  <c r="AA648" i="1" s="1"/>
  <c r="V648" i="1"/>
  <c r="AB648" i="1" s="1" a="1"/>
  <c r="AB648" i="1" s="1"/>
  <c r="Z648" i="1"/>
  <c r="AK648" i="1"/>
  <c r="AI648" i="1"/>
  <c r="AG648" i="1"/>
  <c r="AD255" i="1"/>
  <c r="R255" i="1"/>
  <c r="AC255" i="1"/>
  <c r="Q255" i="1"/>
  <c r="S255" i="1"/>
  <c r="AC177" i="1"/>
  <c r="AD177" i="1"/>
  <c r="T177" i="1"/>
  <c r="S177" i="1"/>
  <c r="R177" i="1" s="1"/>
  <c r="AI30" i="1"/>
  <c r="V30" i="1"/>
  <c r="AK30" i="1"/>
  <c r="Z30" i="1"/>
  <c r="AE30" i="1" s="1"/>
  <c r="Y30" i="1"/>
  <c r="AA30" i="1" s="1"/>
  <c r="AC141" i="1"/>
  <c r="AD141" i="1"/>
  <c r="S141" i="1"/>
  <c r="T141" i="1"/>
  <c r="R141" i="1" s="1"/>
  <c r="AC334" i="1"/>
  <c r="Q334" i="1"/>
  <c r="AD334" i="1"/>
  <c r="S334" i="1"/>
  <c r="R334" i="1"/>
  <c r="T334" i="1"/>
  <c r="AI245" i="1"/>
  <c r="AG245" i="1"/>
  <c r="AK245" i="1"/>
  <c r="Y245" i="1"/>
  <c r="AA245" i="1" s="1"/>
  <c r="X245" i="1"/>
  <c r="V245" i="1"/>
  <c r="AB245" i="1" s="1" a="1"/>
  <c r="AB245" i="1" s="1"/>
  <c r="AE245" i="1"/>
  <c r="Z245" i="1"/>
  <c r="Y615" i="1"/>
  <c r="AA615" i="1" s="1"/>
  <c r="X615" i="1"/>
  <c r="AK615" i="1"/>
  <c r="V615" i="1"/>
  <c r="AB615" i="1" s="1" a="1"/>
  <c r="AB615" i="1" s="1"/>
  <c r="Z615" i="1"/>
  <c r="AG615" i="1"/>
  <c r="AE615" i="1"/>
  <c r="AI615" i="1"/>
  <c r="AI244" i="1"/>
  <c r="V244" i="1"/>
  <c r="AB244" i="1" s="1" a="1"/>
  <c r="AB244" i="1" s="1"/>
  <c r="AK244" i="1"/>
  <c r="AG244" i="1"/>
  <c r="Z244" i="1"/>
  <c r="AE244" i="1"/>
  <c r="Y244" i="1"/>
  <c r="AA244" i="1" s="1"/>
  <c r="X244" i="1"/>
  <c r="AC7" i="1"/>
  <c r="AD7" i="1"/>
  <c r="S7" i="1"/>
  <c r="R7" i="1"/>
  <c r="AC117" i="1"/>
  <c r="AD117" i="1"/>
  <c r="T117" i="1"/>
  <c r="S117" i="1"/>
  <c r="R117" i="1" s="1"/>
  <c r="AE128" i="1"/>
  <c r="Z128" i="1"/>
  <c r="AK128" i="1" s="1"/>
  <c r="Y128" i="1"/>
  <c r="AA128" i="1" s="1"/>
  <c r="Y31" i="1"/>
  <c r="AA31" i="1" s="1"/>
  <c r="AG31" i="1"/>
  <c r="AE31" i="1"/>
  <c r="Z31" i="1"/>
  <c r="V31" i="1" s="1"/>
  <c r="T568" i="1"/>
  <c r="T332" i="1"/>
  <c r="AC556" i="1"/>
  <c r="AD556" i="1"/>
  <c r="Q556" i="1"/>
  <c r="R556" i="1"/>
  <c r="T556" i="1"/>
  <c r="AG47" i="1"/>
  <c r="Z47" i="1"/>
  <c r="V47" i="1" s="1"/>
  <c r="AK47" i="1"/>
  <c r="AI47" i="1"/>
  <c r="AE47" i="1"/>
  <c r="R9" i="1"/>
  <c r="Y555" i="1"/>
  <c r="AA555" i="1" s="1"/>
  <c r="V555" i="1"/>
  <c r="AB555" i="1" s="1" a="1"/>
  <c r="AB555" i="1" s="1"/>
  <c r="AK555" i="1"/>
  <c r="Z555" i="1"/>
  <c r="AE555" i="1"/>
  <c r="X555" i="1"/>
  <c r="AG555" i="1"/>
  <c r="AI555" i="1"/>
  <c r="Y379" i="1"/>
  <c r="AA379" i="1" s="1"/>
  <c r="X379" i="1"/>
  <c r="V379" i="1"/>
  <c r="AB379" i="1" s="1" a="1"/>
  <c r="AB379" i="1" s="1"/>
  <c r="Z379" i="1"/>
  <c r="AK379" i="1"/>
  <c r="AI379" i="1"/>
  <c r="AE379" i="1"/>
  <c r="AG379" i="1"/>
  <c r="X278" i="1"/>
  <c r="AI278" i="1"/>
  <c r="Z278" i="1"/>
  <c r="Y278" i="1"/>
  <c r="AA278" i="1" s="1"/>
  <c r="AE278" i="1"/>
  <c r="AK278" i="1"/>
  <c r="AG278" i="1"/>
  <c r="V278" i="1"/>
  <c r="AB278" i="1" s="1" a="1"/>
  <c r="AB278" i="1" s="1"/>
  <c r="Z205" i="1"/>
  <c r="AK205" i="1"/>
  <c r="X205" i="1"/>
  <c r="AG205" i="1"/>
  <c r="AE205" i="1"/>
  <c r="AI205" i="1"/>
  <c r="Y205" i="1"/>
  <c r="AA205" i="1" s="1"/>
  <c r="V205" i="1"/>
  <c r="AB205" i="1" s="1" a="1"/>
  <c r="AB205" i="1" s="1"/>
  <c r="R66" i="1"/>
  <c r="R87" i="1"/>
  <c r="Z59" i="1"/>
  <c r="AE59" i="1" s="1"/>
  <c r="Z29" i="1"/>
  <c r="V29" i="1" s="1"/>
  <c r="Y29" i="1"/>
  <c r="AA29" i="1" s="1"/>
  <c r="AK29" i="1"/>
  <c r="AI29" i="1"/>
  <c r="AE29" i="1"/>
  <c r="T317" i="1"/>
  <c r="AD317" i="1"/>
  <c r="AC317" i="1"/>
  <c r="Q317" i="1"/>
  <c r="R317" i="1"/>
  <c r="Z240" i="1"/>
  <c r="AG240" i="1"/>
  <c r="AE240" i="1"/>
  <c r="AK240" i="1"/>
  <c r="AI240" i="1"/>
  <c r="X240" i="1"/>
  <c r="V240" i="1"/>
  <c r="AB240" i="1" s="1" a="1"/>
  <c r="AB240" i="1" s="1"/>
  <c r="Y240" i="1"/>
  <c r="AA240" i="1" s="1"/>
  <c r="AD41" i="1"/>
  <c r="S41" i="1"/>
  <c r="R41" i="1" s="1"/>
  <c r="AC41" i="1"/>
  <c r="AC315" i="1"/>
  <c r="Q315" i="1"/>
  <c r="AD315" i="1"/>
  <c r="Y310" i="1"/>
  <c r="AA310" i="1" s="1"/>
  <c r="X310" i="1"/>
  <c r="V310" i="1"/>
  <c r="AB310" i="1" s="1" a="1"/>
  <c r="AB310" i="1" s="1"/>
  <c r="AI310" i="1"/>
  <c r="AK310" i="1"/>
  <c r="AG310" i="1"/>
  <c r="AE310" i="1"/>
  <c r="Z310" i="1"/>
  <c r="AC92" i="1"/>
  <c r="AD92" i="1"/>
  <c r="S92" i="1"/>
  <c r="R92" i="1" s="1"/>
  <c r="T92" i="1"/>
  <c r="AC243" i="1"/>
  <c r="AD243" i="1"/>
  <c r="T243" i="1"/>
  <c r="Q243" i="1"/>
  <c r="R243" i="1"/>
  <c r="AG479" i="1"/>
  <c r="AE479" i="1"/>
  <c r="X479" i="1"/>
  <c r="V479" i="1"/>
  <c r="AB479" i="1" s="1" a="1"/>
  <c r="AB479" i="1" s="1"/>
  <c r="Z479" i="1"/>
  <c r="Y479" i="1"/>
  <c r="AA479" i="1" s="1"/>
  <c r="AK479" i="1"/>
  <c r="AI479" i="1"/>
  <c r="AD123" i="1"/>
  <c r="R123" i="1"/>
  <c r="AC123" i="1"/>
  <c r="X339" i="1"/>
  <c r="V339" i="1"/>
  <c r="AB339" i="1" s="1" a="1"/>
  <c r="AB339" i="1" s="1"/>
  <c r="AK339" i="1"/>
  <c r="Y339" i="1"/>
  <c r="AA339" i="1" s="1"/>
  <c r="Z339" i="1"/>
  <c r="AG339" i="1"/>
  <c r="AE339" i="1"/>
  <c r="AI339" i="1"/>
  <c r="X577" i="1"/>
  <c r="AI577" i="1"/>
  <c r="AG577" i="1"/>
  <c r="AE577" i="1"/>
  <c r="AK577" i="1"/>
  <c r="V577" i="1"/>
  <c r="AB577" i="1" s="1" a="1"/>
  <c r="AB577" i="1" s="1"/>
  <c r="Z577" i="1"/>
  <c r="Y577" i="1"/>
  <c r="AA577" i="1" s="1"/>
  <c r="AC357" i="1"/>
  <c r="R357" i="1"/>
  <c r="Q357" i="1"/>
  <c r="T357" i="1"/>
  <c r="AD357" i="1"/>
  <c r="V454" i="1"/>
  <c r="AB454" i="1" s="1" a="1"/>
  <c r="AB454" i="1" s="1"/>
  <c r="AI454" i="1"/>
  <c r="AG454" i="1"/>
  <c r="AE454" i="1"/>
  <c r="AK454" i="1"/>
  <c r="X454" i="1"/>
  <c r="Z454" i="1"/>
  <c r="Y454" i="1"/>
  <c r="AA454" i="1" s="1"/>
  <c r="AI664" i="1"/>
  <c r="Y664" i="1"/>
  <c r="AA664" i="1" s="1"/>
  <c r="V664" i="1"/>
  <c r="AB664" i="1" s="1" a="1"/>
  <c r="AB664" i="1" s="1"/>
  <c r="AE664" i="1"/>
  <c r="AK664" i="1"/>
  <c r="AG664" i="1"/>
  <c r="Z664" i="1"/>
  <c r="X664" i="1"/>
  <c r="AK369" i="1"/>
  <c r="V369" i="1"/>
  <c r="AB369" i="1" s="1" a="1"/>
  <c r="AB369" i="1" s="1"/>
  <c r="AI369" i="1"/>
  <c r="X369" i="1"/>
  <c r="Y369" i="1"/>
  <c r="AA369" i="1" s="1"/>
  <c r="AE369" i="1"/>
  <c r="AG369" i="1"/>
  <c r="Z369" i="1"/>
  <c r="AG323" i="1"/>
  <c r="Z323" i="1"/>
  <c r="Y323" i="1"/>
  <c r="AA323" i="1" s="1"/>
  <c r="V323" i="1"/>
  <c r="AB323" i="1" s="1" a="1"/>
  <c r="AB323" i="1" s="1"/>
  <c r="AI323" i="1"/>
  <c r="AE323" i="1"/>
  <c r="X323" i="1"/>
  <c r="AK323" i="1"/>
  <c r="Y140" i="1"/>
  <c r="AA140" i="1" s="1"/>
  <c r="AK140" i="1"/>
  <c r="AI140" i="1"/>
  <c r="AG140" i="1"/>
  <c r="AE140" i="1"/>
  <c r="Q140" i="1"/>
  <c r="Z140" i="1"/>
  <c r="X140" i="1"/>
  <c r="V140" i="1"/>
  <c r="AB140" i="1" s="1" a="1"/>
  <c r="AB140" i="1" s="1"/>
  <c r="AD446" i="1"/>
  <c r="Q446" i="1"/>
  <c r="AC446" i="1"/>
  <c r="T446" i="1"/>
  <c r="S446" i="1"/>
  <c r="X266" i="1"/>
  <c r="V266" i="1"/>
  <c r="AB266" i="1" s="1" a="1"/>
  <c r="AB266" i="1" s="1"/>
  <c r="AK266" i="1"/>
  <c r="AI266" i="1"/>
  <c r="AG266" i="1"/>
  <c r="AE266" i="1"/>
  <c r="Z266" i="1"/>
  <c r="Y266" i="1"/>
  <c r="AA266" i="1" s="1"/>
  <c r="AD347" i="1"/>
  <c r="AC347" i="1"/>
  <c r="R347" i="1"/>
  <c r="Q347" i="1"/>
  <c r="T347" i="1"/>
  <c r="Q271" i="1"/>
  <c r="AD271" i="1"/>
  <c r="AC271" i="1"/>
  <c r="T271" i="1"/>
  <c r="S271" i="1"/>
  <c r="Y653" i="1"/>
  <c r="AA653" i="1" s="1"/>
  <c r="AK653" i="1"/>
  <c r="AI653" i="1"/>
  <c r="AG653" i="1"/>
  <c r="Z653" i="1"/>
  <c r="X653" i="1"/>
  <c r="V653" i="1"/>
  <c r="AB653" i="1" s="1" a="1"/>
  <c r="AB653" i="1" s="1"/>
  <c r="AE653" i="1"/>
  <c r="Q240" i="1"/>
  <c r="AD240" i="1"/>
  <c r="AC240" i="1"/>
  <c r="S240" i="1"/>
  <c r="Y427" i="1"/>
  <c r="AA427" i="1" s="1"/>
  <c r="AE427" i="1"/>
  <c r="Z427" i="1"/>
  <c r="X427" i="1"/>
  <c r="V427" i="1"/>
  <c r="AB427" i="1" s="1" a="1"/>
  <c r="AB427" i="1" s="1"/>
  <c r="AG427" i="1"/>
  <c r="AK427" i="1"/>
  <c r="AI427" i="1"/>
  <c r="AD201" i="1"/>
  <c r="AC201" i="1"/>
  <c r="T201" i="1"/>
  <c r="R201" i="1" s="1"/>
  <c r="AD99" i="1"/>
  <c r="AC99" i="1"/>
  <c r="T99" i="1"/>
  <c r="S99" i="1"/>
  <c r="R99" i="1" s="1"/>
  <c r="X704" i="1"/>
  <c r="V704" i="1"/>
  <c r="AB704" i="1" s="1" a="1"/>
  <c r="AB704" i="1" s="1"/>
  <c r="AE704" i="1"/>
  <c r="AI704" i="1"/>
  <c r="AG704" i="1"/>
  <c r="AK704" i="1"/>
  <c r="Z704" i="1"/>
  <c r="Y704" i="1"/>
  <c r="AA704" i="1" s="1"/>
  <c r="X574" i="1"/>
  <c r="AI574" i="1"/>
  <c r="AG574" i="1"/>
  <c r="AE574" i="1"/>
  <c r="AK574" i="1"/>
  <c r="Z574" i="1"/>
  <c r="Y574" i="1"/>
  <c r="AA574" i="1" s="1"/>
  <c r="V574" i="1"/>
  <c r="AB574" i="1" s="1" a="1"/>
  <c r="AB574" i="1" s="1"/>
  <c r="Y513" i="1"/>
  <c r="AA513" i="1" s="1"/>
  <c r="V513" i="1"/>
  <c r="AB513" i="1" s="1" a="1"/>
  <c r="AB513" i="1" s="1"/>
  <c r="AK513" i="1"/>
  <c r="AI513" i="1"/>
  <c r="Z513" i="1"/>
  <c r="X513" i="1"/>
  <c r="AG513" i="1"/>
  <c r="AE513" i="1"/>
  <c r="AK178" i="1"/>
  <c r="V178" i="1"/>
  <c r="Z178" i="1"/>
  <c r="AI178" i="1"/>
  <c r="Y178" i="1"/>
  <c r="AA178" i="1" s="1"/>
  <c r="AG178" i="1"/>
  <c r="AE178" i="1"/>
  <c r="X597" i="1"/>
  <c r="AG597" i="1"/>
  <c r="Y597" i="1"/>
  <c r="AA597" i="1" s="1"/>
  <c r="V597" i="1"/>
  <c r="AB597" i="1" s="1" a="1"/>
  <c r="AB597" i="1" s="1"/>
  <c r="AI597" i="1"/>
  <c r="AE597" i="1"/>
  <c r="Z597" i="1"/>
  <c r="AK597" i="1"/>
  <c r="AK545" i="1"/>
  <c r="V545" i="1"/>
  <c r="AB545" i="1" s="1" a="1"/>
  <c r="AB545" i="1" s="1"/>
  <c r="Z545" i="1"/>
  <c r="AI545" i="1"/>
  <c r="AG545" i="1"/>
  <c r="AE545" i="1"/>
  <c r="X545" i="1"/>
  <c r="Y545" i="1"/>
  <c r="AA545" i="1" s="1"/>
  <c r="AI268" i="1"/>
  <c r="Y268" i="1"/>
  <c r="AA268" i="1" s="1"/>
  <c r="X268" i="1"/>
  <c r="V268" i="1"/>
  <c r="AB268" i="1" s="1" a="1"/>
  <c r="AB268" i="1" s="1"/>
  <c r="AG268" i="1"/>
  <c r="AK268" i="1"/>
  <c r="Z268" i="1"/>
  <c r="AE268" i="1"/>
  <c r="AD175" i="1"/>
  <c r="AC175" i="1"/>
  <c r="T175" i="1"/>
  <c r="S175" i="1"/>
  <c r="AG631" i="1"/>
  <c r="AE631" i="1"/>
  <c r="V631" i="1"/>
  <c r="AB631" i="1" s="1" a="1"/>
  <c r="AB631" i="1" s="1"/>
  <c r="Z631" i="1"/>
  <c r="AK631" i="1"/>
  <c r="AI631" i="1"/>
  <c r="X631" i="1"/>
  <c r="Y631" i="1"/>
  <c r="AA631" i="1" s="1"/>
  <c r="T593" i="1"/>
  <c r="R593" i="1"/>
  <c r="Q593" i="1"/>
  <c r="AC593" i="1"/>
  <c r="AD593" i="1"/>
  <c r="AE438" i="1"/>
  <c r="AG438" i="1"/>
  <c r="AK438" i="1"/>
  <c r="AI438" i="1"/>
  <c r="V438" i="1"/>
  <c r="AB438" i="1" s="1" a="1"/>
  <c r="AB438" i="1" s="1"/>
  <c r="Z438" i="1"/>
  <c r="Y438" i="1"/>
  <c r="AA438" i="1" s="1"/>
  <c r="X438" i="1"/>
  <c r="Z488" i="1"/>
  <c r="AI488" i="1"/>
  <c r="AG488" i="1"/>
  <c r="AK488" i="1"/>
  <c r="X488" i="1"/>
  <c r="V488" i="1"/>
  <c r="AB488" i="1" s="1" a="1"/>
  <c r="AB488" i="1" s="1"/>
  <c r="AE488" i="1"/>
  <c r="Y488" i="1"/>
  <c r="AA488" i="1" s="1"/>
  <c r="AK629" i="1"/>
  <c r="V629" i="1"/>
  <c r="AB629" i="1" s="1" a="1"/>
  <c r="AB629" i="1" s="1"/>
  <c r="AI629" i="1"/>
  <c r="AG629" i="1"/>
  <c r="Y629" i="1"/>
  <c r="AA629" i="1" s="1"/>
  <c r="X629" i="1"/>
  <c r="Z629" i="1"/>
  <c r="AE629" i="1"/>
  <c r="AG499" i="1"/>
  <c r="AK499" i="1"/>
  <c r="AI499" i="1"/>
  <c r="Y499" i="1"/>
  <c r="AA499" i="1" s="1"/>
  <c r="AE499" i="1"/>
  <c r="V499" i="1"/>
  <c r="AB499" i="1" s="1" a="1"/>
  <c r="AB499" i="1" s="1"/>
  <c r="Z499" i="1"/>
  <c r="X499" i="1"/>
  <c r="AD105" i="1"/>
  <c r="AC105" i="1"/>
  <c r="S105" i="1"/>
  <c r="R105" i="1"/>
  <c r="Q28" i="1"/>
  <c r="AC28" i="1"/>
  <c r="J28" i="1"/>
  <c r="T28" i="1" s="1"/>
  <c r="AD28" i="1"/>
  <c r="S28" i="1"/>
  <c r="R28" i="1"/>
  <c r="AD570" i="1"/>
  <c r="AC570" i="1"/>
  <c r="Q570" i="1"/>
  <c r="S570" i="1"/>
  <c r="R570" i="1"/>
  <c r="X350" i="1"/>
  <c r="Y350" i="1"/>
  <c r="AA350" i="1" s="1"/>
  <c r="V350" i="1"/>
  <c r="AB350" i="1" s="1" a="1"/>
  <c r="AB350" i="1" s="1"/>
  <c r="AK350" i="1"/>
  <c r="AG350" i="1"/>
  <c r="AI350" i="1"/>
  <c r="AE350" i="1"/>
  <c r="Z350" i="1"/>
  <c r="X257" i="1"/>
  <c r="V257" i="1"/>
  <c r="AB257" i="1" s="1" a="1"/>
  <c r="AB257" i="1" s="1"/>
  <c r="AK257" i="1"/>
  <c r="AI257" i="1"/>
  <c r="AG257" i="1"/>
  <c r="AE257" i="1"/>
  <c r="Y257" i="1"/>
  <c r="AA257" i="1" s="1"/>
  <c r="Z257" i="1"/>
  <c r="AC19" i="1"/>
  <c r="AD19" i="1"/>
  <c r="S19" i="1"/>
  <c r="R19" i="1"/>
  <c r="T19" i="1"/>
  <c r="Y343" i="1"/>
  <c r="AA343" i="1" s="1"/>
  <c r="Z343" i="1"/>
  <c r="X343" i="1"/>
  <c r="AK343" i="1"/>
  <c r="AE343" i="1"/>
  <c r="V343" i="1"/>
  <c r="AB343" i="1" s="1" a="1"/>
  <c r="AB343" i="1" s="1"/>
  <c r="AI343" i="1"/>
  <c r="AG343" i="1"/>
  <c r="AD485" i="1"/>
  <c r="AC485" i="1"/>
  <c r="Q485" i="1"/>
  <c r="R485" i="1"/>
  <c r="Y391" i="1"/>
  <c r="AA391" i="1" s="1"/>
  <c r="AK391" i="1"/>
  <c r="Z391" i="1"/>
  <c r="X391" i="1"/>
  <c r="V391" i="1"/>
  <c r="AB391" i="1" s="1" a="1"/>
  <c r="AB391" i="1" s="1"/>
  <c r="AI391" i="1"/>
  <c r="AE391" i="1"/>
  <c r="AG391" i="1"/>
  <c r="AI472" i="1"/>
  <c r="AG472" i="1"/>
  <c r="V472" i="1"/>
  <c r="AB472" i="1" s="1" a="1"/>
  <c r="AB472" i="1" s="1"/>
  <c r="Z472" i="1"/>
  <c r="AK472" i="1"/>
  <c r="AE472" i="1"/>
  <c r="Y472" i="1"/>
  <c r="AA472" i="1" s="1"/>
  <c r="X472" i="1"/>
  <c r="AG311" i="1"/>
  <c r="AE311" i="1"/>
  <c r="AK311" i="1"/>
  <c r="V311" i="1"/>
  <c r="AB311" i="1" s="1" a="1"/>
  <c r="AB311" i="1" s="1"/>
  <c r="Y311" i="1"/>
  <c r="AA311" i="1" s="1"/>
  <c r="X311" i="1"/>
  <c r="AI311" i="1"/>
  <c r="Z311" i="1"/>
  <c r="Q558" i="1"/>
  <c r="AD558" i="1"/>
  <c r="R558" i="1"/>
  <c r="AC558" i="1"/>
  <c r="S558" i="1"/>
  <c r="AG487" i="1"/>
  <c r="Z487" i="1"/>
  <c r="AE487" i="1"/>
  <c r="AK487" i="1"/>
  <c r="AI487" i="1"/>
  <c r="Y487" i="1"/>
  <c r="AA487" i="1" s="1"/>
  <c r="X487" i="1"/>
  <c r="V487" i="1"/>
  <c r="AB487" i="1" s="1" a="1"/>
  <c r="AB487" i="1" s="1"/>
  <c r="AE416" i="1"/>
  <c r="AK416" i="1"/>
  <c r="AI416" i="1"/>
  <c r="Y416" i="1"/>
  <c r="AA416" i="1" s="1"/>
  <c r="X416" i="1"/>
  <c r="Z416" i="1"/>
  <c r="V416" i="1"/>
  <c r="AB416" i="1" s="1" a="1"/>
  <c r="AB416" i="1" s="1"/>
  <c r="AG416" i="1"/>
  <c r="AK321" i="1"/>
  <c r="V321" i="1"/>
  <c r="AB321" i="1" s="1" a="1"/>
  <c r="AB321" i="1" s="1"/>
  <c r="Z321" i="1"/>
  <c r="Y321" i="1"/>
  <c r="AA321" i="1" s="1"/>
  <c r="X321" i="1"/>
  <c r="AE321" i="1"/>
  <c r="AI321" i="1"/>
  <c r="AG321" i="1"/>
  <c r="Z620" i="1"/>
  <c r="Y620" i="1"/>
  <c r="AA620" i="1" s="1"/>
  <c r="X620" i="1"/>
  <c r="V620" i="1"/>
  <c r="AB620" i="1" s="1" a="1"/>
  <c r="AB620" i="1" s="1"/>
  <c r="AK620" i="1"/>
  <c r="AE620" i="1"/>
  <c r="AI620" i="1"/>
  <c r="AG620" i="1"/>
  <c r="AD278" i="1"/>
  <c r="AC278" i="1"/>
  <c r="S278" i="1"/>
  <c r="Q278" i="1"/>
  <c r="T278" i="1"/>
  <c r="Z101" i="1"/>
  <c r="AE101" i="1" s="1"/>
  <c r="V382" i="1"/>
  <c r="AB382" i="1" s="1" a="1"/>
  <c r="AB382" i="1" s="1"/>
  <c r="Y382" i="1"/>
  <c r="AA382" i="1" s="1"/>
  <c r="X382" i="1"/>
  <c r="Z382" i="1"/>
  <c r="AE382" i="1"/>
  <c r="AK382" i="1"/>
  <c r="AI382" i="1"/>
  <c r="AG382" i="1"/>
  <c r="AK315" i="1"/>
  <c r="AI315" i="1"/>
  <c r="AG315" i="1"/>
  <c r="V315" i="1"/>
  <c r="AB315" i="1" s="1" a="1"/>
  <c r="AB315" i="1" s="1"/>
  <c r="Y315" i="1"/>
  <c r="AA315" i="1" s="1"/>
  <c r="X315" i="1"/>
  <c r="AE315" i="1"/>
  <c r="Z315" i="1"/>
  <c r="AE578" i="1"/>
  <c r="AG578" i="1"/>
  <c r="Z578" i="1"/>
  <c r="Y578" i="1"/>
  <c r="AA578" i="1" s="1"/>
  <c r="X578" i="1"/>
  <c r="V578" i="1"/>
  <c r="AB578" i="1" s="1" a="1"/>
  <c r="AB578" i="1" s="1"/>
  <c r="AK578" i="1"/>
  <c r="AI578" i="1"/>
  <c r="AI304" i="1"/>
  <c r="AK304" i="1"/>
  <c r="AG304" i="1"/>
  <c r="AE304" i="1"/>
  <c r="Y304" i="1"/>
  <c r="AA304" i="1" s="1"/>
  <c r="Z304" i="1"/>
  <c r="V304" i="1"/>
  <c r="AB304" i="1" s="1" a="1"/>
  <c r="AB304" i="1" s="1"/>
  <c r="X304" i="1"/>
  <c r="AE206" i="1"/>
  <c r="V206" i="1"/>
  <c r="AI206" i="1"/>
  <c r="AG206" i="1"/>
  <c r="Z206" i="1"/>
  <c r="AK206" i="1" s="1"/>
  <c r="X206" i="1"/>
  <c r="AD550" i="1"/>
  <c r="AC550" i="1"/>
  <c r="Q550" i="1"/>
  <c r="S550" i="1"/>
  <c r="R550" i="1"/>
  <c r="T471" i="1"/>
  <c r="AD471" i="1"/>
  <c r="AC471" i="1"/>
  <c r="S471" i="1"/>
  <c r="R471" i="1"/>
  <c r="Q471" i="1"/>
  <c r="AD385" i="1"/>
  <c r="Q385" i="1"/>
  <c r="T385" i="1"/>
  <c r="S385" i="1"/>
  <c r="AC385" i="1"/>
  <c r="R385" i="1"/>
  <c r="AC320" i="1"/>
  <c r="Q320" i="1"/>
  <c r="AD320" i="1"/>
  <c r="R320" i="1"/>
  <c r="AD267" i="1"/>
  <c r="AC267" i="1"/>
  <c r="Q267" i="1"/>
  <c r="AC234" i="1"/>
  <c r="AD234" i="1"/>
  <c r="R234" i="1"/>
  <c r="X457" i="1"/>
  <c r="Y457" i="1"/>
  <c r="AA457" i="1" s="1"/>
  <c r="V457" i="1"/>
  <c r="AB457" i="1" s="1" a="1"/>
  <c r="AB457" i="1" s="1"/>
  <c r="Z457" i="1"/>
  <c r="AK457" i="1"/>
  <c r="AI457" i="1"/>
  <c r="AG457" i="1"/>
  <c r="AE457" i="1"/>
  <c r="AI368" i="1"/>
  <c r="AG368" i="1"/>
  <c r="AE368" i="1"/>
  <c r="X368" i="1"/>
  <c r="V368" i="1"/>
  <c r="AB368" i="1" s="1" a="1"/>
  <c r="AB368" i="1" s="1"/>
  <c r="Y368" i="1"/>
  <c r="AA368" i="1" s="1"/>
  <c r="AK368" i="1"/>
  <c r="Z368" i="1"/>
  <c r="X326" i="1"/>
  <c r="AK326" i="1"/>
  <c r="AI326" i="1"/>
  <c r="AG326" i="1"/>
  <c r="Z326" i="1"/>
  <c r="Y326" i="1"/>
  <c r="AA326" i="1" s="1"/>
  <c r="V326" i="1"/>
  <c r="AB326" i="1" s="1" a="1"/>
  <c r="AB326" i="1" s="1"/>
  <c r="AE326" i="1"/>
  <c r="T235" i="1"/>
  <c r="Q235" i="1"/>
  <c r="AD235" i="1"/>
  <c r="AC235" i="1"/>
  <c r="R235" i="1"/>
  <c r="X446" i="1"/>
  <c r="AK446" i="1"/>
  <c r="V446" i="1"/>
  <c r="AB446" i="1" s="1" a="1"/>
  <c r="AB446" i="1" s="1"/>
  <c r="Y446" i="1"/>
  <c r="AA446" i="1" s="1"/>
  <c r="AI446" i="1"/>
  <c r="AG446" i="1"/>
  <c r="AE446" i="1"/>
  <c r="Z446" i="1"/>
  <c r="Z649" i="1"/>
  <c r="Y649" i="1"/>
  <c r="AA649" i="1" s="1"/>
  <c r="X649" i="1"/>
  <c r="AI649" i="1"/>
  <c r="V649" i="1"/>
  <c r="AB649" i="1" s="1" a="1"/>
  <c r="AB649" i="1" s="1"/>
  <c r="AE649" i="1"/>
  <c r="AG649" i="1"/>
  <c r="AK649" i="1"/>
  <c r="AI409" i="1"/>
  <c r="Z409" i="1"/>
  <c r="Y409" i="1"/>
  <c r="AA409" i="1" s="1"/>
  <c r="X409" i="1"/>
  <c r="V409" i="1"/>
  <c r="AB409" i="1" s="1" a="1"/>
  <c r="AB409" i="1" s="1"/>
  <c r="AE409" i="1"/>
  <c r="AK409" i="1"/>
  <c r="AG409" i="1"/>
  <c r="Q280" i="1"/>
  <c r="AD280" i="1"/>
  <c r="AC280" i="1"/>
  <c r="S280" i="1"/>
  <c r="R280" i="1"/>
  <c r="Z372" i="1"/>
  <c r="V372" i="1"/>
  <c r="AB372" i="1" s="1" a="1"/>
  <c r="AB372" i="1" s="1"/>
  <c r="X372" i="1"/>
  <c r="AG372" i="1"/>
  <c r="Y372" i="1"/>
  <c r="AA372" i="1" s="1"/>
  <c r="AK372" i="1"/>
  <c r="AI372" i="1"/>
  <c r="AE372" i="1"/>
  <c r="AC106" i="1"/>
  <c r="S106" i="1"/>
  <c r="R106" i="1"/>
  <c r="AD106" i="1"/>
  <c r="Q106" i="1"/>
  <c r="Z110" i="1"/>
  <c r="V110" i="1" s="1"/>
  <c r="AE110" i="1"/>
  <c r="AG110" i="1"/>
  <c r="AD435" i="1"/>
  <c r="AC435" i="1"/>
  <c r="Q435" i="1"/>
  <c r="R435" i="1"/>
  <c r="AD289" i="1"/>
  <c r="Q289" i="1"/>
  <c r="AC289" i="1"/>
  <c r="S289" i="1"/>
  <c r="R289" i="1"/>
  <c r="T289" i="1"/>
  <c r="AG230" i="1"/>
  <c r="AE230" i="1"/>
  <c r="Z230" i="1"/>
  <c r="AK230" i="1"/>
  <c r="V230" i="1"/>
  <c r="AB230" i="1" s="1" a="1"/>
  <c r="AB230" i="1" s="1"/>
  <c r="Q230" i="1"/>
  <c r="X230" i="1"/>
  <c r="Y230" i="1"/>
  <c r="AA230" i="1" s="1"/>
  <c r="AI230" i="1"/>
  <c r="X302" i="1"/>
  <c r="AG302" i="1"/>
  <c r="AE302" i="1"/>
  <c r="AI302" i="1"/>
  <c r="V302" i="1"/>
  <c r="AB302" i="1" s="1" a="1"/>
  <c r="AB302" i="1" s="1"/>
  <c r="Z302" i="1"/>
  <c r="Y302" i="1"/>
  <c r="AA302" i="1" s="1"/>
  <c r="AK302" i="1"/>
  <c r="AC217" i="1"/>
  <c r="S217" i="1"/>
  <c r="R217" i="1" s="1"/>
  <c r="AD217" i="1"/>
  <c r="X546" i="1"/>
  <c r="AK546" i="1"/>
  <c r="Z546" i="1"/>
  <c r="AI546" i="1"/>
  <c r="AG546" i="1"/>
  <c r="Y546" i="1"/>
  <c r="AA546" i="1" s="1"/>
  <c r="V546" i="1"/>
  <c r="AB546" i="1" s="1" a="1"/>
  <c r="AB546" i="1" s="1"/>
  <c r="AE546" i="1"/>
  <c r="AD250" i="1"/>
  <c r="Q250" i="1"/>
  <c r="AC250" i="1"/>
  <c r="T250" i="1"/>
  <c r="AC171" i="1"/>
  <c r="AD171" i="1"/>
  <c r="S171" i="1"/>
  <c r="R171" i="1" s="1"/>
  <c r="S16" i="1"/>
  <c r="AD16" i="1"/>
  <c r="AC16" i="1"/>
  <c r="R16" i="1"/>
  <c r="AG419" i="1"/>
  <c r="AK419" i="1"/>
  <c r="AI419" i="1"/>
  <c r="X419" i="1"/>
  <c r="V419" i="1"/>
  <c r="AB419" i="1" s="1" a="1"/>
  <c r="AB419" i="1" s="1"/>
  <c r="AE419" i="1"/>
  <c r="Z419" i="1"/>
  <c r="Y419" i="1"/>
  <c r="AA419" i="1" s="1"/>
  <c r="Z252" i="1"/>
  <c r="Y252" i="1"/>
  <c r="AA252" i="1" s="1"/>
  <c r="AG252" i="1"/>
  <c r="AE252" i="1"/>
  <c r="X252" i="1"/>
  <c r="V252" i="1"/>
  <c r="AB252" i="1" s="1" a="1"/>
  <c r="AB252" i="1" s="1"/>
  <c r="AI252" i="1"/>
  <c r="AK252" i="1"/>
  <c r="AD49" i="1"/>
  <c r="AC49" i="1"/>
  <c r="T49" i="1"/>
  <c r="R49" i="1" s="1"/>
  <c r="AK261" i="1"/>
  <c r="V261" i="1"/>
  <c r="AB261" i="1" s="1" a="1"/>
  <c r="AB261" i="1" s="1"/>
  <c r="Z261" i="1"/>
  <c r="Y261" i="1"/>
  <c r="AA261" i="1" s="1"/>
  <c r="AI261" i="1"/>
  <c r="AE261" i="1"/>
  <c r="AG261" i="1"/>
  <c r="X261" i="1"/>
  <c r="AE162" i="1"/>
  <c r="V162" i="1"/>
  <c r="AB162" i="1" s="1" a="1"/>
  <c r="AB162" i="1" s="1"/>
  <c r="AK162" i="1"/>
  <c r="AI162" i="1"/>
  <c r="AG162" i="1"/>
  <c r="Y162" i="1"/>
  <c r="AA162" i="1" s="1"/>
  <c r="X162" i="1"/>
  <c r="Z162" i="1"/>
  <c r="T485" i="1"/>
  <c r="T217" i="1"/>
  <c r="AD156" i="1"/>
  <c r="AC156" i="1"/>
  <c r="T156" i="1"/>
  <c r="J22" i="1"/>
  <c r="T22" i="1" s="1"/>
  <c r="R22" i="1" s="1"/>
  <c r="Q22" i="1"/>
  <c r="AC22" i="1"/>
  <c r="AD22" i="1"/>
  <c r="S22" i="1"/>
  <c r="AE351" i="1"/>
  <c r="Z351" i="1"/>
  <c r="AI351" i="1"/>
  <c r="Y351" i="1"/>
  <c r="AA351" i="1" s="1"/>
  <c r="V351" i="1"/>
  <c r="AB351" i="1" s="1" a="1"/>
  <c r="AB351" i="1" s="1"/>
  <c r="X351" i="1"/>
  <c r="AK351" i="1"/>
  <c r="AG351" i="1"/>
  <c r="S292" i="1"/>
  <c r="AC292" i="1"/>
  <c r="AD292" i="1"/>
  <c r="R292" i="1"/>
  <c r="Q292" i="1"/>
  <c r="S156" i="1"/>
  <c r="R156" i="1" s="1"/>
  <c r="AK442" i="1"/>
  <c r="Z442" i="1"/>
  <c r="Y442" i="1"/>
  <c r="AA442" i="1" s="1"/>
  <c r="AG442" i="1"/>
  <c r="AE442" i="1"/>
  <c r="AI442" i="1"/>
  <c r="X442" i="1"/>
  <c r="V442" i="1"/>
  <c r="AB442" i="1" s="1" a="1"/>
  <c r="AB442" i="1" s="1"/>
  <c r="AK465" i="1"/>
  <c r="V465" i="1"/>
  <c r="AB465" i="1" s="1" a="1"/>
  <c r="AB465" i="1" s="1"/>
  <c r="AI465" i="1"/>
  <c r="AG465" i="1"/>
  <c r="AE465" i="1"/>
  <c r="Z465" i="1"/>
  <c r="Y465" i="1"/>
  <c r="AA465" i="1" s="1"/>
  <c r="X465" i="1"/>
  <c r="Z524" i="1"/>
  <c r="V524" i="1"/>
  <c r="AB524" i="1" s="1" a="1"/>
  <c r="AB524" i="1" s="1"/>
  <c r="Y524" i="1"/>
  <c r="AA524" i="1" s="1"/>
  <c r="X524" i="1"/>
  <c r="AK524" i="1"/>
  <c r="AI524" i="1"/>
  <c r="AG524" i="1"/>
  <c r="AE524" i="1"/>
  <c r="AI102" i="1"/>
  <c r="Z102" i="1"/>
  <c r="Y102" i="1"/>
  <c r="AA102" i="1" s="1"/>
  <c r="X102" i="1"/>
  <c r="AK102" i="1"/>
  <c r="AG102" i="1"/>
  <c r="AE102" i="1"/>
  <c r="V102" i="1"/>
  <c r="AB102" i="1" s="1" a="1"/>
  <c r="AB102" i="1" s="1"/>
  <c r="Y415" i="1"/>
  <c r="AA415" i="1" s="1"/>
  <c r="X415" i="1"/>
  <c r="Z415" i="1"/>
  <c r="V415" i="1"/>
  <c r="AB415" i="1" s="1" a="1"/>
  <c r="AB415" i="1" s="1"/>
  <c r="AK415" i="1"/>
  <c r="AI415" i="1"/>
  <c r="AG415" i="1"/>
  <c r="AE415" i="1"/>
  <c r="Y537" i="1"/>
  <c r="AA537" i="1" s="1"/>
  <c r="AK537" i="1"/>
  <c r="Z537" i="1"/>
  <c r="X537" i="1"/>
  <c r="AI537" i="1"/>
  <c r="AG537" i="1"/>
  <c r="V537" i="1"/>
  <c r="AB537" i="1" s="1" a="1"/>
  <c r="AB537" i="1" s="1"/>
  <c r="AE537" i="1"/>
  <c r="S477" i="1"/>
  <c r="Q477" i="1"/>
  <c r="AD477" i="1"/>
  <c r="AC477" i="1"/>
  <c r="Q396" i="1"/>
  <c r="AC396" i="1"/>
  <c r="AD396" i="1"/>
  <c r="S396" i="1"/>
  <c r="AK346" i="1"/>
  <c r="AI346" i="1"/>
  <c r="AG346" i="1"/>
  <c r="Y346" i="1"/>
  <c r="AA346" i="1" s="1"/>
  <c r="AE346" i="1"/>
  <c r="Z346" i="1"/>
  <c r="X346" i="1"/>
  <c r="V346" i="1"/>
  <c r="AB346" i="1" s="1" a="1"/>
  <c r="AB346" i="1" s="1"/>
  <c r="AC215" i="1"/>
  <c r="AD215" i="1"/>
  <c r="T215" i="1"/>
  <c r="S215" i="1"/>
  <c r="S564" i="1"/>
  <c r="R564" i="1"/>
  <c r="Q564" i="1"/>
  <c r="AC564" i="1"/>
  <c r="AD564" i="1"/>
  <c r="Q300" i="1"/>
  <c r="AD300" i="1"/>
  <c r="AC300" i="1"/>
  <c r="S300" i="1"/>
  <c r="R300" i="1"/>
  <c r="Y439" i="1"/>
  <c r="AA439" i="1" s="1"/>
  <c r="Z439" i="1"/>
  <c r="X439" i="1"/>
  <c r="AI439" i="1"/>
  <c r="AG439" i="1"/>
  <c r="V439" i="1"/>
  <c r="AB439" i="1" s="1" a="1"/>
  <c r="AB439" i="1" s="1"/>
  <c r="AK439" i="1"/>
  <c r="AE439" i="1"/>
  <c r="AD408" i="1"/>
  <c r="AC408" i="1"/>
  <c r="Q408" i="1"/>
  <c r="S408" i="1"/>
  <c r="AD263" i="1"/>
  <c r="AC263" i="1"/>
  <c r="Q263" i="1"/>
  <c r="T263" i="1"/>
  <c r="R263" i="1"/>
  <c r="X622" i="1"/>
  <c r="AK622" i="1"/>
  <c r="V622" i="1"/>
  <c r="AB622" i="1" s="1" a="1"/>
  <c r="AB622" i="1" s="1"/>
  <c r="AI622" i="1"/>
  <c r="AG622" i="1"/>
  <c r="AE622" i="1"/>
  <c r="Z622" i="1"/>
  <c r="Y622" i="1"/>
  <c r="AA622" i="1" s="1"/>
  <c r="AD10" i="1"/>
  <c r="AC10" i="1"/>
  <c r="S10" i="1"/>
  <c r="R10" i="1" s="1"/>
  <c r="AE506" i="1"/>
  <c r="AG506" i="1"/>
  <c r="AI506" i="1"/>
  <c r="AK506" i="1"/>
  <c r="X506" i="1"/>
  <c r="V506" i="1"/>
  <c r="AB506" i="1" s="1" a="1"/>
  <c r="AB506" i="1" s="1"/>
  <c r="Y506" i="1"/>
  <c r="AA506" i="1" s="1"/>
  <c r="Z506" i="1"/>
  <c r="AD108" i="1"/>
  <c r="AC108" i="1"/>
  <c r="Z70" i="1"/>
  <c r="AG70" i="1" s="1"/>
  <c r="Y475" i="1"/>
  <c r="AA475" i="1" s="1"/>
  <c r="X475" i="1"/>
  <c r="Z475" i="1"/>
  <c r="AG475" i="1"/>
  <c r="AE475" i="1"/>
  <c r="AK475" i="1"/>
  <c r="AI475" i="1"/>
  <c r="V475" i="1"/>
  <c r="AB475" i="1" s="1" a="1"/>
  <c r="AB475" i="1" s="1"/>
  <c r="AI424" i="1"/>
  <c r="X424" i="1"/>
  <c r="Z424" i="1"/>
  <c r="Y424" i="1"/>
  <c r="AA424" i="1" s="1"/>
  <c r="AG424" i="1"/>
  <c r="AE424" i="1"/>
  <c r="V424" i="1"/>
  <c r="AB424" i="1" s="1" a="1"/>
  <c r="AB424" i="1" s="1"/>
  <c r="AK424" i="1"/>
  <c r="AD195" i="1"/>
  <c r="AC195" i="1"/>
  <c r="S195" i="1"/>
  <c r="T195" i="1"/>
  <c r="R195" i="1" s="1"/>
  <c r="T355" i="1"/>
  <c r="AC355" i="1"/>
  <c r="Q355" i="1"/>
  <c r="R355" i="1"/>
  <c r="AD355" i="1"/>
  <c r="AE541" i="1"/>
  <c r="AK541" i="1"/>
  <c r="Y541" i="1"/>
  <c r="AA541" i="1" s="1"/>
  <c r="X541" i="1"/>
  <c r="AI541" i="1"/>
  <c r="V541" i="1"/>
  <c r="AB541" i="1" s="1" a="1"/>
  <c r="AB541" i="1" s="1"/>
  <c r="AG541" i="1"/>
  <c r="Z541" i="1"/>
  <c r="AC226" i="1"/>
  <c r="AD226" i="1"/>
  <c r="S226" i="1"/>
  <c r="R226" i="1"/>
  <c r="AD12" i="1"/>
  <c r="AC12" i="1"/>
  <c r="T12" i="1"/>
  <c r="Z224" i="1"/>
  <c r="X224" i="1"/>
  <c r="AK224" i="1"/>
  <c r="AI224" i="1"/>
  <c r="V224" i="1"/>
  <c r="AB224" i="1" s="1" a="1"/>
  <c r="AB224" i="1" s="1"/>
  <c r="AG224" i="1"/>
  <c r="AE224" i="1"/>
  <c r="Y224" i="1"/>
  <c r="AA224" i="1" s="1"/>
  <c r="AK669" i="1"/>
  <c r="V669" i="1"/>
  <c r="AB669" i="1" s="1" a="1"/>
  <c r="AB669" i="1" s="1"/>
  <c r="AI669" i="1"/>
  <c r="X669" i="1"/>
  <c r="Z669" i="1"/>
  <c r="Y669" i="1"/>
  <c r="AA669" i="1" s="1"/>
  <c r="AE669" i="1"/>
  <c r="AG669" i="1"/>
  <c r="AC40" i="1"/>
  <c r="AD40" i="1"/>
  <c r="S40" i="1"/>
  <c r="R40" i="1"/>
  <c r="Y341" i="1"/>
  <c r="AA341" i="1" s="1"/>
  <c r="X341" i="1"/>
  <c r="V341" i="1"/>
  <c r="AB341" i="1" s="1" a="1"/>
  <c r="AB341" i="1" s="1"/>
  <c r="AE341" i="1"/>
  <c r="AK341" i="1"/>
  <c r="AI341" i="1"/>
  <c r="Z341" i="1"/>
  <c r="AG341" i="1"/>
  <c r="X290" i="1"/>
  <c r="Z290" i="1"/>
  <c r="Y290" i="1"/>
  <c r="AA290" i="1" s="1"/>
  <c r="V290" i="1"/>
  <c r="AB290" i="1" s="1" a="1"/>
  <c r="AB290" i="1" s="1"/>
  <c r="AG290" i="1"/>
  <c r="AI290" i="1"/>
  <c r="AE290" i="1"/>
  <c r="AK290" i="1"/>
  <c r="R12" i="1"/>
  <c r="V58" i="1"/>
  <c r="AK58" i="1"/>
  <c r="AI58" i="1"/>
  <c r="AE58" i="1"/>
  <c r="Z58" i="1"/>
  <c r="AG58" i="1" s="1"/>
  <c r="Y58" i="1"/>
  <c r="AA58" i="1" s="1"/>
  <c r="AD605" i="1"/>
  <c r="AC605" i="1"/>
  <c r="R605" i="1"/>
  <c r="T605" i="1"/>
  <c r="Q605" i="1"/>
  <c r="Y331" i="1"/>
  <c r="AA331" i="1" s="1"/>
  <c r="AE331" i="1"/>
  <c r="AI331" i="1"/>
  <c r="Z331" i="1"/>
  <c r="X331" i="1"/>
  <c r="AG331" i="1"/>
  <c r="AK331" i="1"/>
  <c r="V331" i="1"/>
  <c r="AB331" i="1" s="1" a="1"/>
  <c r="AB331" i="1" s="1"/>
  <c r="V286" i="1"/>
  <c r="AB286" i="1" s="1" a="1"/>
  <c r="AB286" i="1" s="1"/>
  <c r="AK286" i="1"/>
  <c r="AI286" i="1"/>
  <c r="Z286" i="1"/>
  <c r="AG286" i="1"/>
  <c r="AE286" i="1"/>
  <c r="Y286" i="1"/>
  <c r="AA286" i="1" s="1"/>
  <c r="X286" i="1"/>
  <c r="Z98" i="1"/>
  <c r="X98" i="1"/>
  <c r="AK98" i="1"/>
  <c r="AE98" i="1"/>
  <c r="AI98" i="1"/>
  <c r="AG98" i="1"/>
  <c r="V98" i="1"/>
  <c r="AB98" i="1" s="1" a="1"/>
  <c r="AB98" i="1" s="1"/>
  <c r="Y98" i="1"/>
  <c r="AA98" i="1" s="1"/>
  <c r="AI412" i="1"/>
  <c r="Z412" i="1"/>
  <c r="Y412" i="1"/>
  <c r="AA412" i="1" s="1"/>
  <c r="X412" i="1"/>
  <c r="V412" i="1"/>
  <c r="AB412" i="1" s="1" a="1"/>
  <c r="AB412" i="1" s="1"/>
  <c r="AG412" i="1"/>
  <c r="AE412" i="1"/>
  <c r="AK412" i="1"/>
  <c r="X502" i="1"/>
  <c r="Z502" i="1"/>
  <c r="Y502" i="1"/>
  <c r="AA502" i="1" s="1"/>
  <c r="AK502" i="1"/>
  <c r="AI502" i="1"/>
  <c r="AE502" i="1"/>
  <c r="V502" i="1"/>
  <c r="AB502" i="1" s="1" a="1"/>
  <c r="AB502" i="1" s="1"/>
  <c r="AG502" i="1"/>
  <c r="AI328" i="1"/>
  <c r="X328" i="1"/>
  <c r="V328" i="1"/>
  <c r="AB328" i="1" s="1" a="1"/>
  <c r="AB328" i="1" s="1"/>
  <c r="AK328" i="1"/>
  <c r="AE328" i="1"/>
  <c r="Y328" i="1"/>
  <c r="AA328" i="1" s="1"/>
  <c r="Z328" i="1"/>
  <c r="AG328" i="1"/>
  <c r="AI492" i="1"/>
  <c r="X492" i="1"/>
  <c r="V492" i="1"/>
  <c r="AB492" i="1" s="1" a="1"/>
  <c r="AB492" i="1" s="1"/>
  <c r="AE492" i="1"/>
  <c r="Y492" i="1"/>
  <c r="AA492" i="1" s="1"/>
  <c r="AK492" i="1"/>
  <c r="AG492" i="1"/>
  <c r="Z492" i="1"/>
  <c r="Z49" i="1" l="1"/>
  <c r="AK49" i="1" s="1"/>
  <c r="Y49" i="1"/>
  <c r="AA49" i="1" s="1"/>
  <c r="V49" i="1"/>
  <c r="AB49" i="1" s="1" a="1"/>
  <c r="AB49" i="1" s="1"/>
  <c r="Q49" i="1"/>
  <c r="AE189" i="1"/>
  <c r="AG189" i="1"/>
  <c r="V189" i="1"/>
  <c r="AB189" i="1" s="1" a="1"/>
  <c r="AB189" i="1" s="1"/>
  <c r="Z189" i="1"/>
  <c r="AI189" i="1"/>
  <c r="Y189" i="1"/>
  <c r="AA189" i="1" s="1"/>
  <c r="AK189" i="1"/>
  <c r="Q44" i="1"/>
  <c r="Z212" i="1"/>
  <c r="V212" i="1"/>
  <c r="AB212" i="1" s="1" a="1"/>
  <c r="AB212" i="1" s="1"/>
  <c r="AG212" i="1"/>
  <c r="Y212" i="1"/>
  <c r="AA212" i="1" s="1"/>
  <c r="X212" i="1"/>
  <c r="AK212" i="1"/>
  <c r="AE212" i="1"/>
  <c r="AI212" i="1"/>
  <c r="Q212" i="1"/>
  <c r="Q29" i="1"/>
  <c r="AB29" i="1" a="1"/>
  <c r="AB29" i="1" s="1"/>
  <c r="X29" i="1"/>
  <c r="AK119" i="1"/>
  <c r="V119" i="1"/>
  <c r="AB119" i="1" s="1" a="1"/>
  <c r="AB119" i="1" s="1"/>
  <c r="AG119" i="1"/>
  <c r="AE119" i="1"/>
  <c r="AI119" i="1"/>
  <c r="X119" i="1"/>
  <c r="Z119" i="1"/>
  <c r="Y119" i="1"/>
  <c r="AA119" i="1" s="1"/>
  <c r="Q119" i="1"/>
  <c r="R13" i="1"/>
  <c r="Y22" i="1"/>
  <c r="AA22" i="1" s="1"/>
  <c r="AG22" i="1"/>
  <c r="AE22" i="1"/>
  <c r="AK22" i="1"/>
  <c r="AI22" i="1"/>
  <c r="Z22" i="1"/>
  <c r="X22" i="1"/>
  <c r="V22" i="1"/>
  <c r="AB22" i="1" s="1" a="1"/>
  <c r="AB22" i="1" s="1"/>
  <c r="AB31" i="1" a="1"/>
  <c r="AB31" i="1" s="1"/>
  <c r="Q31" i="1"/>
  <c r="X31" i="1"/>
  <c r="AB153" i="1" a="1"/>
  <c r="AB153" i="1" s="1"/>
  <c r="Q153" i="1"/>
  <c r="X153" i="1"/>
  <c r="Y195" i="1"/>
  <c r="AA195" i="1" s="1"/>
  <c r="X195" i="1"/>
  <c r="V195" i="1"/>
  <c r="AB195" i="1" s="1" a="1"/>
  <c r="AB195" i="1" s="1"/>
  <c r="AK195" i="1"/>
  <c r="Z195" i="1"/>
  <c r="AI195" i="1"/>
  <c r="AE195" i="1"/>
  <c r="AG195" i="1"/>
  <c r="Q195" i="1"/>
  <c r="Z217" i="1"/>
  <c r="AG217" i="1"/>
  <c r="AK217" i="1"/>
  <c r="AE217" i="1"/>
  <c r="V217" i="1"/>
  <c r="AB217" i="1" s="1" a="1"/>
  <c r="AB217" i="1" s="1"/>
  <c r="Y217" i="1"/>
  <c r="AA217" i="1" s="1"/>
  <c r="AI217" i="1"/>
  <c r="Z43" i="1"/>
  <c r="Y43" i="1" s="1"/>
  <c r="AA43" i="1" s="1"/>
  <c r="Y207" i="1"/>
  <c r="AA207" i="1" s="1"/>
  <c r="X207" i="1"/>
  <c r="AE207" i="1"/>
  <c r="AI207" i="1"/>
  <c r="V207" i="1"/>
  <c r="AB207" i="1" s="1" a="1"/>
  <c r="AB207" i="1" s="1"/>
  <c r="AK207" i="1"/>
  <c r="Z207" i="1"/>
  <c r="AG207" i="1"/>
  <c r="Q207" i="1"/>
  <c r="AK81" i="1"/>
  <c r="V81" i="1"/>
  <c r="AB81" i="1" s="1" a="1"/>
  <c r="AB81" i="1" s="1"/>
  <c r="Y81" i="1"/>
  <c r="AA81" i="1" s="1"/>
  <c r="X81" i="1"/>
  <c r="Z81" i="1"/>
  <c r="AI81" i="1"/>
  <c r="AE81" i="1"/>
  <c r="AG81" i="1"/>
  <c r="Q81" i="1"/>
  <c r="Z56" i="1"/>
  <c r="AK56" i="1" s="1"/>
  <c r="Y56" i="1"/>
  <c r="AA56" i="1" s="1"/>
  <c r="X56" i="1"/>
  <c r="AE56" i="1"/>
  <c r="AI56" i="1"/>
  <c r="V56" i="1"/>
  <c r="AB56" i="1" s="1" a="1"/>
  <c r="AB56" i="1" s="1"/>
  <c r="Q56" i="1"/>
  <c r="AE68" i="1"/>
  <c r="Z68" i="1"/>
  <c r="Y68" i="1"/>
  <c r="AA68" i="1" s="1"/>
  <c r="AK68" i="1"/>
  <c r="AG68" i="1"/>
  <c r="AI68" i="1"/>
  <c r="V68" i="1"/>
  <c r="AB68" i="1" s="1" a="1"/>
  <c r="AB68" i="1" s="1"/>
  <c r="Q68" i="1"/>
  <c r="AB47" i="1" a="1"/>
  <c r="AB47" i="1" s="1"/>
  <c r="Q47" i="1"/>
  <c r="X47" i="1"/>
  <c r="Z6" i="1"/>
  <c r="AE6" i="1" s="1"/>
  <c r="Y6" i="1"/>
  <c r="AA6" i="1" s="1"/>
  <c r="V6" i="1"/>
  <c r="AB6" i="1" s="1" a="1"/>
  <c r="AB6" i="1" s="1"/>
  <c r="Z77" i="1"/>
  <c r="AK77" i="1" s="1"/>
  <c r="Z99" i="1"/>
  <c r="AE99" i="1" s="1"/>
  <c r="Y99" i="1"/>
  <c r="AA99" i="1" s="1"/>
  <c r="AI99" i="1"/>
  <c r="AK99" i="1"/>
  <c r="Z41" i="1"/>
  <c r="Y41" i="1"/>
  <c r="AA41" i="1" s="1"/>
  <c r="V41" i="1"/>
  <c r="AB41" i="1" s="1" a="1"/>
  <c r="AB41" i="1" s="1"/>
  <c r="AK41" i="1"/>
  <c r="AI41" i="1"/>
  <c r="AG41" i="1"/>
  <c r="AE41" i="1"/>
  <c r="AG3" i="1"/>
  <c r="AK3" i="1"/>
  <c r="AI3" i="1"/>
  <c r="Z3" i="1"/>
  <c r="AE3" i="1" s="1"/>
  <c r="Y3" i="1"/>
  <c r="AA3" i="1" s="1"/>
  <c r="V3" i="1"/>
  <c r="AB3" i="1" s="1" a="1"/>
  <c r="AB3" i="1" s="1"/>
  <c r="Y227" i="1"/>
  <c r="AA227" i="1" s="1"/>
  <c r="Z227" i="1"/>
  <c r="X227" i="1"/>
  <c r="AI227" i="1"/>
  <c r="AG227" i="1"/>
  <c r="AE227" i="1"/>
  <c r="AK227" i="1"/>
  <c r="V227" i="1"/>
  <c r="AB227" i="1" s="1" a="1"/>
  <c r="AB227" i="1" s="1"/>
  <c r="Q227" i="1"/>
  <c r="Z33" i="1"/>
  <c r="AK33" i="1" s="1"/>
  <c r="AI33" i="1"/>
  <c r="AG33" i="1"/>
  <c r="Z117" i="1"/>
  <c r="Y117" i="1" s="1"/>
  <c r="AA117" i="1" s="1"/>
  <c r="AI117" i="1"/>
  <c r="AG117" i="1"/>
  <c r="AK117" i="1"/>
  <c r="V117" i="1"/>
  <c r="AB117" i="1" s="1" a="1"/>
  <c r="AB117" i="1" s="1"/>
  <c r="Q117" i="1"/>
  <c r="AB115" i="1" a="1"/>
  <c r="AB115" i="1" s="1"/>
  <c r="Q115" i="1"/>
  <c r="X115" i="1"/>
  <c r="AB96" i="1" a="1"/>
  <c r="AB96" i="1" s="1"/>
  <c r="Q96" i="1"/>
  <c r="X96" i="1"/>
  <c r="Z92" i="1"/>
  <c r="AE92" i="1" s="1"/>
  <c r="Z165" i="1"/>
  <c r="Y165" i="1" s="1"/>
  <c r="AA165" i="1" s="1"/>
  <c r="AG165" i="1"/>
  <c r="AK165" i="1"/>
  <c r="V165" i="1"/>
  <c r="AB165" i="1" s="1" a="1"/>
  <c r="AB165" i="1" s="1"/>
  <c r="Q165" i="1"/>
  <c r="AB34" i="1" a="1"/>
  <c r="AB34" i="1" s="1"/>
  <c r="X34" i="1"/>
  <c r="Q34" i="1"/>
  <c r="AK150" i="1"/>
  <c r="AE150" i="1"/>
  <c r="Z150" i="1"/>
  <c r="Y150" i="1"/>
  <c r="AA150" i="1" s="1"/>
  <c r="X150" i="1"/>
  <c r="V150" i="1"/>
  <c r="AB150" i="1" s="1" a="1"/>
  <c r="AB150" i="1" s="1"/>
  <c r="AG150" i="1"/>
  <c r="AI150" i="1"/>
  <c r="Q150" i="1"/>
  <c r="AB139" i="1" a="1"/>
  <c r="AB139" i="1" s="1"/>
  <c r="Q139" i="1"/>
  <c r="X139" i="1"/>
  <c r="Z196" i="1"/>
  <c r="AK196" i="1"/>
  <c r="X196" i="1"/>
  <c r="AI196" i="1"/>
  <c r="AG196" i="1"/>
  <c r="AE196" i="1"/>
  <c r="Y196" i="1"/>
  <c r="AA196" i="1" s="1"/>
  <c r="V196" i="1"/>
  <c r="AB196" i="1" s="1" a="1"/>
  <c r="AB196" i="1" s="1"/>
  <c r="Q196" i="1"/>
  <c r="AK166" i="1"/>
  <c r="V166" i="1"/>
  <c r="AB166" i="1" s="1" a="1"/>
  <c r="AB166" i="1" s="1"/>
  <c r="AE166" i="1"/>
  <c r="AI166" i="1"/>
  <c r="Z166" i="1"/>
  <c r="AG166" i="1"/>
  <c r="Y166" i="1"/>
  <c r="AA166" i="1" s="1"/>
  <c r="Z80" i="1"/>
  <c r="AK80" i="1" s="1"/>
  <c r="V80" i="1"/>
  <c r="AB80" i="1" s="1" a="1"/>
  <c r="AB80" i="1" s="1"/>
  <c r="V184" i="1"/>
  <c r="AB184" i="1" s="1" a="1"/>
  <c r="AB184" i="1" s="1"/>
  <c r="AI184" i="1"/>
  <c r="Z184" i="1"/>
  <c r="AG184" i="1"/>
  <c r="AE184" i="1"/>
  <c r="X184" i="1"/>
  <c r="AK184" i="1"/>
  <c r="Y184" i="1"/>
  <c r="AA184" i="1" s="1"/>
  <c r="Q184" i="1"/>
  <c r="AG156" i="1"/>
  <c r="Z156" i="1"/>
  <c r="AK156" i="1"/>
  <c r="AE156" i="1"/>
  <c r="AI156" i="1"/>
  <c r="Y156" i="1"/>
  <c r="AA156" i="1" s="1"/>
  <c r="X156" i="1"/>
  <c r="V156" i="1"/>
  <c r="AB156" i="1" s="1" a="1"/>
  <c r="AB156" i="1" s="1"/>
  <c r="Q156" i="1"/>
  <c r="Z10" i="1"/>
  <c r="AG10" i="1" s="1"/>
  <c r="Y10" i="1"/>
  <c r="AA10" i="1" s="1"/>
  <c r="X10" i="1"/>
  <c r="AI10" i="1"/>
  <c r="V10" i="1"/>
  <c r="AB10" i="1" s="1" a="1"/>
  <c r="AB10" i="1" s="1"/>
  <c r="Q10" i="1"/>
  <c r="AB110" i="1" a="1"/>
  <c r="AB110" i="1" s="1"/>
  <c r="Q110" i="1"/>
  <c r="X110" i="1"/>
  <c r="AG201" i="1"/>
  <c r="AK201" i="1"/>
  <c r="X201" i="1"/>
  <c r="AI201" i="1"/>
  <c r="AE201" i="1"/>
  <c r="V201" i="1"/>
  <c r="AB201" i="1" s="1" a="1"/>
  <c r="AB201" i="1" s="1"/>
  <c r="Z201" i="1"/>
  <c r="Y201" i="1"/>
  <c r="AA201" i="1" s="1"/>
  <c r="Q201" i="1"/>
  <c r="Z208" i="1"/>
  <c r="Y208" i="1"/>
  <c r="AA208" i="1" s="1"/>
  <c r="AE208" i="1"/>
  <c r="V208" i="1"/>
  <c r="AB208" i="1" s="1" a="1"/>
  <c r="AB208" i="1" s="1"/>
  <c r="X208" i="1"/>
  <c r="AK208" i="1"/>
  <c r="AI208" i="1"/>
  <c r="AG208" i="1"/>
  <c r="Q208" i="1"/>
  <c r="Z86" i="1"/>
  <c r="AG86" i="1" s="1"/>
  <c r="AK86" i="1"/>
  <c r="AI86" i="1"/>
  <c r="Z36" i="1"/>
  <c r="AI36" i="1" s="1"/>
  <c r="AK36" i="1"/>
  <c r="AG36" i="1"/>
  <c r="V36" i="1"/>
  <c r="AB36" i="1" s="1" a="1"/>
  <c r="AB36" i="1" s="1"/>
  <c r="AE36" i="1"/>
  <c r="Y36" i="1"/>
  <c r="AA36" i="1" s="1"/>
  <c r="Q36" i="1"/>
  <c r="Z24" i="1"/>
  <c r="AK24" i="1" s="1"/>
  <c r="V24" i="1"/>
  <c r="AB24" i="1" s="1" a="1"/>
  <c r="AB24" i="1" s="1"/>
  <c r="AG24" i="1"/>
  <c r="Y24" i="1"/>
  <c r="AA24" i="1" s="1"/>
  <c r="AB52" i="1" a="1"/>
  <c r="AB52" i="1" s="1"/>
  <c r="Q52" i="1"/>
  <c r="X52" i="1"/>
  <c r="X171" i="1"/>
  <c r="Z171" i="1"/>
  <c r="AG171" i="1"/>
  <c r="Y171" i="1"/>
  <c r="AA171" i="1" s="1"/>
  <c r="V171" i="1"/>
  <c r="AB171" i="1" s="1" a="1"/>
  <c r="AB171" i="1" s="1"/>
  <c r="AE171" i="1"/>
  <c r="AK171" i="1"/>
  <c r="AI171" i="1"/>
  <c r="Q171" i="1"/>
  <c r="V141" i="1"/>
  <c r="AB141" i="1" s="1" a="1"/>
  <c r="AB141" i="1" s="1"/>
  <c r="AI141" i="1"/>
  <c r="AG141" i="1"/>
  <c r="Z141" i="1"/>
  <c r="AE141" i="1"/>
  <c r="Y141" i="1"/>
  <c r="AA141" i="1" s="1"/>
  <c r="AK141" i="1"/>
  <c r="X141" i="1"/>
  <c r="Q141" i="1"/>
  <c r="Z144" i="1"/>
  <c r="AG144" i="1" s="1"/>
  <c r="Y144" i="1"/>
  <c r="AA144" i="1" s="1"/>
  <c r="V144" i="1"/>
  <c r="AB144" i="1" s="1" a="1"/>
  <c r="AB144" i="1" s="1"/>
  <c r="AK144" i="1"/>
  <c r="AI144" i="1"/>
  <c r="Q144" i="1"/>
  <c r="AE385" i="1"/>
  <c r="Y385" i="1"/>
  <c r="AA385" i="1" s="1"/>
  <c r="X385" i="1"/>
  <c r="V385" i="1"/>
  <c r="AB385" i="1" s="1" a="1"/>
  <c r="AB385" i="1" s="1"/>
  <c r="Z385" i="1"/>
  <c r="AG385" i="1"/>
  <c r="AI385" i="1"/>
  <c r="AK385" i="1"/>
  <c r="X550" i="1"/>
  <c r="AE550" i="1"/>
  <c r="AK550" i="1"/>
  <c r="AG550" i="1"/>
  <c r="Z550" i="1"/>
  <c r="V550" i="1"/>
  <c r="AB550" i="1" s="1" a="1"/>
  <c r="AB550" i="1" s="1"/>
  <c r="AI550" i="1"/>
  <c r="Y550" i="1"/>
  <c r="AA550" i="1" s="1"/>
  <c r="AK593" i="1"/>
  <c r="V593" i="1"/>
  <c r="AB593" i="1" s="1" a="1"/>
  <c r="AB593" i="1" s="1"/>
  <c r="AI593" i="1"/>
  <c r="X593" i="1"/>
  <c r="AE593" i="1"/>
  <c r="Z593" i="1"/>
  <c r="Y593" i="1"/>
  <c r="AA593" i="1" s="1"/>
  <c r="AG593" i="1"/>
  <c r="AG619" i="1"/>
  <c r="AE619" i="1"/>
  <c r="Z619" i="1"/>
  <c r="Y619" i="1"/>
  <c r="AA619" i="1" s="1"/>
  <c r="X619" i="1"/>
  <c r="AK619" i="1"/>
  <c r="AI619" i="1"/>
  <c r="V619" i="1"/>
  <c r="AB619" i="1" s="1" a="1"/>
  <c r="AB619" i="1" s="1"/>
  <c r="Y226" i="1"/>
  <c r="AA226" i="1" s="1"/>
  <c r="X226" i="1"/>
  <c r="AG226" i="1"/>
  <c r="AE226" i="1"/>
  <c r="AK226" i="1"/>
  <c r="V226" i="1"/>
  <c r="AB226" i="1" s="1" a="1"/>
  <c r="AB226" i="1" s="1"/>
  <c r="AI226" i="1"/>
  <c r="Z226" i="1"/>
  <c r="AI564" i="1"/>
  <c r="V564" i="1"/>
  <c r="AB564" i="1" s="1" a="1"/>
  <c r="AB564" i="1" s="1"/>
  <c r="X564" i="1"/>
  <c r="AK564" i="1"/>
  <c r="AG564" i="1"/>
  <c r="Y564" i="1"/>
  <c r="AA564" i="1" s="1"/>
  <c r="AE564" i="1"/>
  <c r="Z564" i="1"/>
  <c r="AE289" i="1"/>
  <c r="AG289" i="1"/>
  <c r="X289" i="1"/>
  <c r="V289" i="1"/>
  <c r="AB289" i="1" s="1" a="1"/>
  <c r="AB289" i="1" s="1"/>
  <c r="AK289" i="1"/>
  <c r="AI289" i="1"/>
  <c r="Z289" i="1"/>
  <c r="Y289" i="1"/>
  <c r="AA289" i="1" s="1"/>
  <c r="V101" i="1"/>
  <c r="Z570" i="1"/>
  <c r="X570" i="1"/>
  <c r="V570" i="1"/>
  <c r="AB570" i="1" s="1" a="1"/>
  <c r="AB570" i="1" s="1"/>
  <c r="AI570" i="1"/>
  <c r="Y570" i="1"/>
  <c r="AA570" i="1" s="1"/>
  <c r="AK570" i="1"/>
  <c r="AG570" i="1"/>
  <c r="AE570" i="1"/>
  <c r="Y105" i="1"/>
  <c r="AA105" i="1" s="1"/>
  <c r="AK105" i="1"/>
  <c r="X105" i="1"/>
  <c r="Z105" i="1"/>
  <c r="AG105" i="1"/>
  <c r="AI105" i="1"/>
  <c r="AE105" i="1"/>
  <c r="V105" i="1"/>
  <c r="AB105" i="1" s="1" a="1"/>
  <c r="AB105" i="1" s="1"/>
  <c r="AB178" i="1" a="1"/>
  <c r="AB178" i="1" s="1"/>
  <c r="Q178" i="1"/>
  <c r="AK59" i="1"/>
  <c r="V124" i="1"/>
  <c r="Y746" i="1"/>
  <c r="AA746" i="1" s="1"/>
  <c r="AI746" i="1"/>
  <c r="X746" i="1"/>
  <c r="V746" i="1"/>
  <c r="AG746" i="1"/>
  <c r="AK746" i="1"/>
  <c r="Z746" i="1"/>
  <c r="AE746" i="1"/>
  <c r="Z274" i="1"/>
  <c r="X274" i="1"/>
  <c r="AE274" i="1"/>
  <c r="AK274" i="1"/>
  <c r="AI274" i="1"/>
  <c r="V274" i="1"/>
  <c r="AB274" i="1" s="1" a="1"/>
  <c r="AB274" i="1" s="1"/>
  <c r="AG274" i="1"/>
  <c r="Y274" i="1"/>
  <c r="AA274" i="1" s="1"/>
  <c r="AE665" i="1"/>
  <c r="AG665" i="1"/>
  <c r="Z665" i="1"/>
  <c r="AK665" i="1"/>
  <c r="AI665" i="1"/>
  <c r="X665" i="1"/>
  <c r="V665" i="1"/>
  <c r="AB665" i="1" s="1" a="1"/>
  <c r="AB665" i="1" s="1"/>
  <c r="Y665" i="1"/>
  <c r="AA665" i="1" s="1"/>
  <c r="AI736" i="1"/>
  <c r="AG736" i="1"/>
  <c r="AE736" i="1"/>
  <c r="X736" i="1"/>
  <c r="AK736" i="1"/>
  <c r="Z736" i="1"/>
  <c r="V736" i="1"/>
  <c r="Y736" i="1"/>
  <c r="AA736" i="1" s="1"/>
  <c r="Y660" i="1"/>
  <c r="AA660" i="1" s="1"/>
  <c r="AG660" i="1"/>
  <c r="AE660" i="1"/>
  <c r="Z660" i="1"/>
  <c r="V660" i="1"/>
  <c r="AB660" i="1" s="1" a="1"/>
  <c r="AB660" i="1" s="1"/>
  <c r="AK660" i="1"/>
  <c r="AI660" i="1"/>
  <c r="X660" i="1"/>
  <c r="AI139" i="1"/>
  <c r="AK617" i="1"/>
  <c r="V617" i="1"/>
  <c r="AB617" i="1" s="1" a="1"/>
  <c r="AB617" i="1" s="1"/>
  <c r="AI617" i="1"/>
  <c r="AG617" i="1"/>
  <c r="AE617" i="1"/>
  <c r="Y617" i="1"/>
  <c r="AA617" i="1" s="1"/>
  <c r="X617" i="1"/>
  <c r="Z617" i="1"/>
  <c r="X296" i="1"/>
  <c r="V296" i="1"/>
  <c r="AB296" i="1" s="1" a="1"/>
  <c r="AB296" i="1" s="1"/>
  <c r="AG296" i="1"/>
  <c r="AE296" i="1"/>
  <c r="Y296" i="1"/>
  <c r="AA296" i="1" s="1"/>
  <c r="Z296" i="1"/>
  <c r="AK296" i="1"/>
  <c r="AI296" i="1"/>
  <c r="Z469" i="1"/>
  <c r="AG469" i="1"/>
  <c r="AE469" i="1"/>
  <c r="Y469" i="1"/>
  <c r="AA469" i="1" s="1"/>
  <c r="X469" i="1"/>
  <c r="V469" i="1"/>
  <c r="AB469" i="1" s="1" a="1"/>
  <c r="AB469" i="1" s="1"/>
  <c r="AK469" i="1"/>
  <c r="AI469" i="1"/>
  <c r="Z753" i="1"/>
  <c r="AK753" i="1"/>
  <c r="AG753" i="1"/>
  <c r="AE753" i="1"/>
  <c r="V753" i="1"/>
  <c r="AI753" i="1"/>
  <c r="Y753" i="1"/>
  <c r="AA753" i="1" s="1"/>
  <c r="X753" i="1"/>
  <c r="V89" i="1"/>
  <c r="AB89" i="1" s="1" a="1"/>
  <c r="AB89" i="1" s="1"/>
  <c r="AG89" i="1"/>
  <c r="AE89" i="1"/>
  <c r="Z89" i="1"/>
  <c r="Y89" i="1" s="1"/>
  <c r="AA89" i="1" s="1"/>
  <c r="AI89" i="1"/>
  <c r="AK89" i="1"/>
  <c r="Y773" i="1"/>
  <c r="AA773" i="1" s="1"/>
  <c r="AK773" i="1"/>
  <c r="Z773" i="1"/>
  <c r="AG773" i="1"/>
  <c r="X773" i="1"/>
  <c r="V773" i="1"/>
  <c r="AE773" i="1"/>
  <c r="AI773" i="1"/>
  <c r="V167" i="1"/>
  <c r="Y8" i="1"/>
  <c r="AA8" i="1" s="1"/>
  <c r="Z8" i="1"/>
  <c r="AE8" i="1" s="1"/>
  <c r="AG8" i="1"/>
  <c r="AE32" i="1"/>
  <c r="Y32" i="1"/>
  <c r="AA32" i="1" s="1"/>
  <c r="Z32" i="1"/>
  <c r="AI32" i="1" s="1"/>
  <c r="V32" i="1"/>
  <c r="X32" i="1" s="1"/>
  <c r="AB211" i="1" a="1"/>
  <c r="AB211" i="1" s="1"/>
  <c r="Q211" i="1"/>
  <c r="AE112" i="1"/>
  <c r="V136" i="1"/>
  <c r="Z186" i="1"/>
  <c r="AK186" i="1"/>
  <c r="AI186" i="1"/>
  <c r="AG186" i="1"/>
  <c r="AE186" i="1"/>
  <c r="V186" i="1"/>
  <c r="AB186" i="1" s="1" a="1"/>
  <c r="AB186" i="1" s="1"/>
  <c r="Y186" i="1"/>
  <c r="AA186" i="1" s="1"/>
  <c r="X186" i="1"/>
  <c r="X800" i="1"/>
  <c r="Y800" i="1"/>
  <c r="AA800" i="1" s="1"/>
  <c r="AI800" i="1"/>
  <c r="AG800" i="1"/>
  <c r="AE800" i="1"/>
  <c r="Z800" i="1"/>
  <c r="V800" i="1"/>
  <c r="AK800" i="1"/>
  <c r="V151" i="1"/>
  <c r="AI236" i="1"/>
  <c r="Y355" i="1"/>
  <c r="AA355" i="1" s="1"/>
  <c r="Z355" i="1"/>
  <c r="V355" i="1"/>
  <c r="AB355" i="1" s="1" a="1"/>
  <c r="AB355" i="1" s="1"/>
  <c r="AK355" i="1"/>
  <c r="X355" i="1"/>
  <c r="AE355" i="1"/>
  <c r="AG355" i="1"/>
  <c r="AI355" i="1"/>
  <c r="AI110" i="1"/>
  <c r="Z334" i="1"/>
  <c r="Y334" i="1"/>
  <c r="AA334" i="1" s="1"/>
  <c r="AG334" i="1"/>
  <c r="AE334" i="1"/>
  <c r="X334" i="1"/>
  <c r="AK334" i="1"/>
  <c r="AI334" i="1"/>
  <c r="V334" i="1"/>
  <c r="AB334" i="1" s="1" a="1"/>
  <c r="AB334" i="1" s="1"/>
  <c r="V138" i="1"/>
  <c r="Y124" i="1"/>
  <c r="AA124" i="1" s="1"/>
  <c r="V654" i="1"/>
  <c r="AB654" i="1" s="1" a="1"/>
  <c r="AB654" i="1" s="1"/>
  <c r="AK654" i="1"/>
  <c r="AI654" i="1"/>
  <c r="AG654" i="1"/>
  <c r="AE654" i="1"/>
  <c r="Z654" i="1"/>
  <c r="X654" i="1"/>
  <c r="Y654" i="1"/>
  <c r="AA654" i="1" s="1"/>
  <c r="Q46" i="1"/>
  <c r="AI83" i="1"/>
  <c r="V720" i="1"/>
  <c r="AK720" i="1"/>
  <c r="X720" i="1"/>
  <c r="AE720" i="1"/>
  <c r="AI720" i="1"/>
  <c r="AG720" i="1"/>
  <c r="Y720" i="1"/>
  <c r="AA720" i="1" s="1"/>
  <c r="Z720" i="1"/>
  <c r="AE621" i="1"/>
  <c r="AG621" i="1"/>
  <c r="Z621" i="1"/>
  <c r="X621" i="1"/>
  <c r="V621" i="1"/>
  <c r="AB621" i="1" s="1" a="1"/>
  <c r="AB621" i="1" s="1"/>
  <c r="AK621" i="1"/>
  <c r="AI621" i="1"/>
  <c r="Y621" i="1"/>
  <c r="AA621" i="1" s="1"/>
  <c r="AG511" i="1"/>
  <c r="AE511" i="1"/>
  <c r="Z511" i="1"/>
  <c r="Y511" i="1"/>
  <c r="AA511" i="1" s="1"/>
  <c r="X511" i="1"/>
  <c r="V511" i="1"/>
  <c r="AB511" i="1" s="1" a="1"/>
  <c r="AB511" i="1" s="1"/>
  <c r="AK511" i="1"/>
  <c r="AI511" i="1"/>
  <c r="AG139" i="1"/>
  <c r="X693" i="1"/>
  <c r="V693" i="1"/>
  <c r="AB693" i="1" s="1" a="1"/>
  <c r="AB693" i="1" s="1"/>
  <c r="Y693" i="1"/>
  <c r="AA693" i="1" s="1"/>
  <c r="Z693" i="1"/>
  <c r="AK693" i="1"/>
  <c r="AI693" i="1"/>
  <c r="AE693" i="1"/>
  <c r="AG693" i="1"/>
  <c r="AE721" i="1"/>
  <c r="Y721" i="1"/>
  <c r="AA721" i="1" s="1"/>
  <c r="AG721" i="1"/>
  <c r="AK721" i="1"/>
  <c r="V721" i="1"/>
  <c r="AI721" i="1"/>
  <c r="Z721" i="1"/>
  <c r="X721" i="1"/>
  <c r="Q62" i="1"/>
  <c r="V90" i="1"/>
  <c r="Y51" i="1"/>
  <c r="AA51" i="1" s="1"/>
  <c r="AK553" i="1"/>
  <c r="AE553" i="1"/>
  <c r="Y553" i="1"/>
  <c r="AA553" i="1" s="1"/>
  <c r="X553" i="1"/>
  <c r="V553" i="1"/>
  <c r="AB553" i="1" s="1" a="1"/>
  <c r="AB553" i="1" s="1"/>
  <c r="AG553" i="1"/>
  <c r="AI553" i="1"/>
  <c r="Z553" i="1"/>
  <c r="V725" i="1"/>
  <c r="AK725" i="1"/>
  <c r="AI725" i="1"/>
  <c r="X725" i="1"/>
  <c r="AG725" i="1"/>
  <c r="AE725" i="1"/>
  <c r="Z725" i="1"/>
  <c r="Y725" i="1"/>
  <c r="AA725" i="1" s="1"/>
  <c r="AK25" i="1"/>
  <c r="AE142" i="1"/>
  <c r="AK718" i="1"/>
  <c r="X718" i="1"/>
  <c r="Y718" i="1"/>
  <c r="AA718" i="1" s="1"/>
  <c r="AI718" i="1"/>
  <c r="AG718" i="1"/>
  <c r="V718" i="1"/>
  <c r="AE718" i="1"/>
  <c r="Z718" i="1"/>
  <c r="AI798" i="1"/>
  <c r="X798" i="1"/>
  <c r="V798" i="1"/>
  <c r="AK798" i="1"/>
  <c r="AG798" i="1"/>
  <c r="Z798" i="1"/>
  <c r="AE798" i="1"/>
  <c r="Y798" i="1"/>
  <c r="AA798" i="1" s="1"/>
  <c r="X50" i="1"/>
  <c r="AE37" i="1"/>
  <c r="AE63" i="1"/>
  <c r="Q111" i="1"/>
  <c r="X211" i="1"/>
  <c r="Y599" i="1"/>
  <c r="AA599" i="1" s="1"/>
  <c r="V599" i="1"/>
  <c r="AB599" i="1" s="1" a="1"/>
  <c r="AB599" i="1" s="1"/>
  <c r="AG599" i="1"/>
  <c r="AE599" i="1"/>
  <c r="X599" i="1"/>
  <c r="AI599" i="1"/>
  <c r="AK599" i="1"/>
  <c r="Z599" i="1"/>
  <c r="AI774" i="1"/>
  <c r="AG774" i="1"/>
  <c r="AE774" i="1"/>
  <c r="Z774" i="1"/>
  <c r="AK774" i="1"/>
  <c r="V774" i="1"/>
  <c r="Y774" i="1"/>
  <c r="AA774" i="1" s="1"/>
  <c r="X774" i="1"/>
  <c r="AK112" i="1"/>
  <c r="AK136" i="1"/>
  <c r="AK804" i="1"/>
  <c r="Z804" i="1"/>
  <c r="Y804" i="1"/>
  <c r="AA804" i="1" s="1"/>
  <c r="AE804" i="1"/>
  <c r="X804" i="1"/>
  <c r="V804" i="1"/>
  <c r="AI804" i="1"/>
  <c r="AG804" i="1"/>
  <c r="Y394" i="1"/>
  <c r="AA394" i="1" s="1"/>
  <c r="X394" i="1"/>
  <c r="V394" i="1"/>
  <c r="AB394" i="1" s="1" a="1"/>
  <c r="AB394" i="1" s="1"/>
  <c r="Z394" i="1"/>
  <c r="AG394" i="1"/>
  <c r="AE394" i="1"/>
  <c r="AI394" i="1"/>
  <c r="AK394" i="1"/>
  <c r="AI74" i="1"/>
  <c r="AG236" i="1"/>
  <c r="AI109" i="1"/>
  <c r="R215" i="1"/>
  <c r="AI292" i="1"/>
  <c r="Z292" i="1"/>
  <c r="Y292" i="1"/>
  <c r="AA292" i="1" s="1"/>
  <c r="V292" i="1"/>
  <c r="AB292" i="1" s="1" a="1"/>
  <c r="AB292" i="1" s="1"/>
  <c r="AK292" i="1"/>
  <c r="AG292" i="1"/>
  <c r="AE292" i="1"/>
  <c r="X292" i="1"/>
  <c r="AK110" i="1"/>
  <c r="AB206" i="1" a="1"/>
  <c r="AB206" i="1" s="1"/>
  <c r="Q206" i="1"/>
  <c r="Y101" i="1"/>
  <c r="AA101" i="1" s="1"/>
  <c r="Z485" i="1"/>
  <c r="X485" i="1"/>
  <c r="Y485" i="1"/>
  <c r="AA485" i="1" s="1"/>
  <c r="V485" i="1"/>
  <c r="AB485" i="1" s="1" a="1"/>
  <c r="AB485" i="1" s="1"/>
  <c r="AI485" i="1"/>
  <c r="AG485" i="1"/>
  <c r="AK485" i="1"/>
  <c r="AE485" i="1"/>
  <c r="R175" i="1"/>
  <c r="AG29" i="1"/>
  <c r="Y59" i="1"/>
  <c r="AA59" i="1" s="1"/>
  <c r="AG556" i="1"/>
  <c r="AE556" i="1"/>
  <c r="X556" i="1"/>
  <c r="AK556" i="1"/>
  <c r="Z556" i="1"/>
  <c r="Y556" i="1"/>
  <c r="AA556" i="1" s="1"/>
  <c r="V556" i="1"/>
  <c r="AB556" i="1" s="1" a="1"/>
  <c r="AB556" i="1" s="1"/>
  <c r="AI556" i="1"/>
  <c r="AG30" i="1"/>
  <c r="AK158" i="1"/>
  <c r="AE158" i="1"/>
  <c r="Z158" i="1"/>
  <c r="X158" i="1"/>
  <c r="Y158" i="1"/>
  <c r="AA158" i="1" s="1"/>
  <c r="AI158" i="1"/>
  <c r="AG158" i="1"/>
  <c r="V158" i="1"/>
  <c r="AB158" i="1" s="1" a="1"/>
  <c r="AB158" i="1" s="1"/>
  <c r="Q158" i="1"/>
  <c r="Y132" i="1"/>
  <c r="AA132" i="1" s="1"/>
  <c r="AG5" i="1"/>
  <c r="AE124" i="1"/>
  <c r="AG547" i="1"/>
  <c r="AE547" i="1"/>
  <c r="X547" i="1"/>
  <c r="AI547" i="1"/>
  <c r="Z547" i="1"/>
  <c r="AK547" i="1"/>
  <c r="Y547" i="1"/>
  <c r="AA547" i="1" s="1"/>
  <c r="V547" i="1"/>
  <c r="AB547" i="1" s="1" a="1"/>
  <c r="AB547" i="1" s="1"/>
  <c r="AK641" i="1"/>
  <c r="V641" i="1"/>
  <c r="AB641" i="1" s="1" a="1"/>
  <c r="AB641" i="1" s="1"/>
  <c r="AI641" i="1"/>
  <c r="AG641" i="1"/>
  <c r="X641" i="1"/>
  <c r="Z641" i="1"/>
  <c r="Y641" i="1"/>
  <c r="AA641" i="1" s="1"/>
  <c r="AE641" i="1"/>
  <c r="Z786" i="1"/>
  <c r="AI786" i="1"/>
  <c r="AG786" i="1"/>
  <c r="AK786" i="1"/>
  <c r="AE786" i="1"/>
  <c r="Y786" i="1"/>
  <c r="AA786" i="1" s="1"/>
  <c r="V786" i="1"/>
  <c r="X786" i="1"/>
  <c r="Y218" i="1"/>
  <c r="AA218" i="1" s="1"/>
  <c r="AG387" i="1"/>
  <c r="X387" i="1"/>
  <c r="V387" i="1"/>
  <c r="AB387" i="1" s="1" a="1"/>
  <c r="AB387" i="1" s="1"/>
  <c r="AK387" i="1"/>
  <c r="AI387" i="1"/>
  <c r="AE387" i="1"/>
  <c r="Y387" i="1"/>
  <c r="AA387" i="1" s="1"/>
  <c r="Z387" i="1"/>
  <c r="AE83" i="1"/>
  <c r="AI692" i="1"/>
  <c r="AK692" i="1"/>
  <c r="Z692" i="1"/>
  <c r="AE692" i="1"/>
  <c r="Y692" i="1"/>
  <c r="AA692" i="1" s="1"/>
  <c r="X692" i="1"/>
  <c r="AG692" i="1"/>
  <c r="V692" i="1"/>
  <c r="AB692" i="1" s="1" a="1"/>
  <c r="AB692" i="1" s="1"/>
  <c r="Y139" i="1"/>
  <c r="AA139" i="1" s="1"/>
  <c r="AB116" i="1" a="1"/>
  <c r="AB116" i="1" s="1"/>
  <c r="Q116" i="1"/>
  <c r="AK135" i="1"/>
  <c r="Y90" i="1"/>
  <c r="AA90" i="1" s="1"/>
  <c r="V114" i="1"/>
  <c r="Q64" i="1"/>
  <c r="Z729" i="1"/>
  <c r="AK729" i="1"/>
  <c r="V729" i="1"/>
  <c r="X729" i="1"/>
  <c r="Y729" i="1"/>
  <c r="AA729" i="1" s="1"/>
  <c r="AI729" i="1"/>
  <c r="AG729" i="1"/>
  <c r="AE729" i="1"/>
  <c r="AE96" i="1"/>
  <c r="X94" i="1"/>
  <c r="Z23" i="1"/>
  <c r="AG23" i="1" s="1"/>
  <c r="Y23" i="1"/>
  <c r="AA23" i="1" s="1"/>
  <c r="AK23" i="1"/>
  <c r="Y167" i="1"/>
  <c r="AA167" i="1" s="1"/>
  <c r="Y25" i="1"/>
  <c r="AA25" i="1" s="1"/>
  <c r="Y142" i="1"/>
  <c r="AA142" i="1" s="1"/>
  <c r="Q143" i="1"/>
  <c r="AG37" i="1"/>
  <c r="AI63" i="1"/>
  <c r="AI34" i="1"/>
  <c r="V112" i="1"/>
  <c r="AG121" i="1"/>
  <c r="Y151" i="1"/>
  <c r="AA151" i="1" s="1"/>
  <c r="Q145" i="1"/>
  <c r="V74" i="1"/>
  <c r="V236" i="1"/>
  <c r="Q14" i="1"/>
  <c r="AK109" i="1"/>
  <c r="AI21" i="1"/>
  <c r="Q58" i="1"/>
  <c r="AB58" i="1" a="1"/>
  <c r="AB58" i="1" s="1"/>
  <c r="Z19" i="1"/>
  <c r="V19" i="1" s="1"/>
  <c r="AK19" i="1"/>
  <c r="AG322" i="1"/>
  <c r="AE322" i="1"/>
  <c r="Y322" i="1"/>
  <c r="AA322" i="1" s="1"/>
  <c r="AI322" i="1"/>
  <c r="V322" i="1"/>
  <c r="AB322" i="1" s="1" a="1"/>
  <c r="AB322" i="1" s="1"/>
  <c r="Z322" i="1"/>
  <c r="AK322" i="1"/>
  <c r="X322" i="1"/>
  <c r="Z44" i="1"/>
  <c r="AG44" i="1" s="1"/>
  <c r="X44" i="1"/>
  <c r="Y44" i="1"/>
  <c r="AA44" i="1" s="1"/>
  <c r="V44" i="1"/>
  <c r="AB44" i="1" s="1" a="1"/>
  <c r="AB44" i="1" s="1"/>
  <c r="AI44" i="1"/>
  <c r="AE44" i="1"/>
  <c r="AI192" i="1"/>
  <c r="AG192" i="1"/>
  <c r="AK192" i="1"/>
  <c r="AE192" i="1"/>
  <c r="V192" i="1"/>
  <c r="AB192" i="1" s="1" a="1"/>
  <c r="AB192" i="1" s="1"/>
  <c r="Z192" i="1"/>
  <c r="Y192" i="1"/>
  <c r="AA192" i="1" s="1"/>
  <c r="X192" i="1"/>
  <c r="Y531" i="1"/>
  <c r="AA531" i="1" s="1"/>
  <c r="AI531" i="1"/>
  <c r="V531" i="1"/>
  <c r="AB531" i="1" s="1" a="1"/>
  <c r="AB531" i="1" s="1"/>
  <c r="AE531" i="1"/>
  <c r="AK531" i="1"/>
  <c r="X531" i="1"/>
  <c r="AG531" i="1"/>
  <c r="Z531" i="1"/>
  <c r="Z548" i="1"/>
  <c r="Y548" i="1"/>
  <c r="AA548" i="1" s="1"/>
  <c r="AI548" i="1"/>
  <c r="AG548" i="1"/>
  <c r="V548" i="1"/>
  <c r="AB548" i="1" s="1" a="1"/>
  <c r="AB548" i="1" s="1"/>
  <c r="X548" i="1"/>
  <c r="AK548" i="1"/>
  <c r="AE548" i="1"/>
  <c r="X118" i="1"/>
  <c r="V118" i="1"/>
  <c r="AB118" i="1" s="1" a="1"/>
  <c r="AB118" i="1" s="1"/>
  <c r="Z118" i="1"/>
  <c r="Y118" i="1"/>
  <c r="AA118" i="1" s="1"/>
  <c r="AK118" i="1"/>
  <c r="AI118" i="1"/>
  <c r="AE118" i="1"/>
  <c r="AG118" i="1"/>
  <c r="Z12" i="1"/>
  <c r="AE12" i="1"/>
  <c r="AK12" i="1"/>
  <c r="AI12" i="1"/>
  <c r="AG12" i="1"/>
  <c r="V12" i="1"/>
  <c r="AB12" i="1" s="1" a="1"/>
  <c r="AB12" i="1" s="1"/>
  <c r="Y12" i="1"/>
  <c r="AA12" i="1" s="1"/>
  <c r="X12" i="1"/>
  <c r="Z300" i="1"/>
  <c r="AE300" i="1"/>
  <c r="Y300" i="1"/>
  <c r="AA300" i="1" s="1"/>
  <c r="AK300" i="1"/>
  <c r="AI300" i="1"/>
  <c r="AG300" i="1"/>
  <c r="V300" i="1"/>
  <c r="AB300" i="1" s="1" a="1"/>
  <c r="AB300" i="1" s="1"/>
  <c r="X300" i="1"/>
  <c r="Z16" i="1"/>
  <c r="AK16" i="1" s="1"/>
  <c r="AG16" i="1"/>
  <c r="Y16" i="1"/>
  <c r="AA16" i="1" s="1"/>
  <c r="AI101" i="1"/>
  <c r="AK357" i="1"/>
  <c r="V357" i="1"/>
  <c r="AB357" i="1" s="1" a="1"/>
  <c r="AB357" i="1" s="1"/>
  <c r="Z357" i="1"/>
  <c r="AG357" i="1"/>
  <c r="AE357" i="1"/>
  <c r="Y357" i="1"/>
  <c r="AA357" i="1" s="1"/>
  <c r="AI357" i="1"/>
  <c r="X357" i="1"/>
  <c r="AG59" i="1"/>
  <c r="AK9" i="1"/>
  <c r="Z9" i="1"/>
  <c r="V9" i="1" s="1"/>
  <c r="V255" i="1"/>
  <c r="AB255" i="1" s="1" a="1"/>
  <c r="AB255" i="1" s="1"/>
  <c r="AK255" i="1"/>
  <c r="AI255" i="1"/>
  <c r="X255" i="1"/>
  <c r="AE255" i="1"/>
  <c r="Y255" i="1"/>
  <c r="AA255" i="1" s="1"/>
  <c r="AG255" i="1"/>
  <c r="Z255" i="1"/>
  <c r="AG532" i="1"/>
  <c r="AE532" i="1"/>
  <c r="AI532" i="1"/>
  <c r="Z532" i="1"/>
  <c r="X532" i="1"/>
  <c r="Y532" i="1"/>
  <c r="AA532" i="1" s="1"/>
  <c r="V532" i="1"/>
  <c r="AB532" i="1" s="1" a="1"/>
  <c r="AB532" i="1" s="1"/>
  <c r="AK532" i="1"/>
  <c r="Q25" i="1"/>
  <c r="Y27" i="1"/>
  <c r="AA27" i="1" s="1"/>
  <c r="Q192" i="1"/>
  <c r="Z4" i="1"/>
  <c r="AI4" i="1" s="1"/>
  <c r="Y4" i="1"/>
  <c r="AA4" i="1" s="1"/>
  <c r="AK4" i="1"/>
  <c r="AG4" i="1"/>
  <c r="AE4" i="1"/>
  <c r="Z432" i="1"/>
  <c r="AE432" i="1"/>
  <c r="AK432" i="1"/>
  <c r="AG432" i="1"/>
  <c r="V432" i="1"/>
  <c r="AB432" i="1" s="1" a="1"/>
  <c r="AB432" i="1" s="1"/>
  <c r="AI432" i="1"/>
  <c r="Y432" i="1"/>
  <c r="AA432" i="1" s="1"/>
  <c r="X432" i="1"/>
  <c r="X25" i="1"/>
  <c r="V142" i="1"/>
  <c r="X109" i="1"/>
  <c r="Z87" i="1"/>
  <c r="Y87" i="1" s="1"/>
  <c r="AA87" i="1" s="1"/>
  <c r="AI204" i="1"/>
  <c r="AG204" i="1"/>
  <c r="Y204" i="1"/>
  <c r="AA204" i="1" s="1"/>
  <c r="X204" i="1"/>
  <c r="AE204" i="1"/>
  <c r="AK204" i="1"/>
  <c r="V204" i="1"/>
  <c r="AB204" i="1" s="1" a="1"/>
  <c r="AB204" i="1" s="1"/>
  <c r="Z204" i="1"/>
  <c r="Q204" i="1"/>
  <c r="AK755" i="1"/>
  <c r="AE755" i="1"/>
  <c r="Z755" i="1"/>
  <c r="Y755" i="1"/>
  <c r="AA755" i="1" s="1"/>
  <c r="AI755" i="1"/>
  <c r="AG755" i="1"/>
  <c r="V755" i="1"/>
  <c r="X755" i="1"/>
  <c r="AG452" i="1"/>
  <c r="Y452" i="1"/>
  <c r="AA452" i="1" s="1"/>
  <c r="X452" i="1"/>
  <c r="V452" i="1"/>
  <c r="AB452" i="1" s="1" a="1"/>
  <c r="AB452" i="1" s="1"/>
  <c r="AE452" i="1"/>
  <c r="AK452" i="1"/>
  <c r="AI452" i="1"/>
  <c r="Z452" i="1"/>
  <c r="AG130" i="1"/>
  <c r="AE130" i="1"/>
  <c r="Z130" i="1"/>
  <c r="AK130" i="1" s="1"/>
  <c r="Y130" i="1"/>
  <c r="AA130" i="1" s="1"/>
  <c r="AG633" i="1"/>
  <c r="AE633" i="1"/>
  <c r="AI633" i="1"/>
  <c r="X633" i="1"/>
  <c r="V633" i="1"/>
  <c r="AB633" i="1" s="1" a="1"/>
  <c r="AB633" i="1" s="1"/>
  <c r="AK633" i="1"/>
  <c r="Y633" i="1"/>
  <c r="AA633" i="1" s="1"/>
  <c r="Z633" i="1"/>
  <c r="AE685" i="1"/>
  <c r="X685" i="1"/>
  <c r="V685" i="1"/>
  <c r="AB685" i="1" s="1" a="1"/>
  <c r="AB685" i="1" s="1"/>
  <c r="Z685" i="1"/>
  <c r="Y685" i="1"/>
  <c r="AA685" i="1" s="1"/>
  <c r="AK685" i="1"/>
  <c r="AI685" i="1"/>
  <c r="AG685" i="1"/>
  <c r="Q50" i="1"/>
  <c r="AI210" i="1"/>
  <c r="AE782" i="1"/>
  <c r="Y782" i="1"/>
  <c r="AA782" i="1" s="1"/>
  <c r="X782" i="1"/>
  <c r="V782" i="1"/>
  <c r="Z782" i="1"/>
  <c r="AG782" i="1"/>
  <c r="AI782" i="1"/>
  <c r="AK782" i="1"/>
  <c r="X209" i="1"/>
  <c r="Z449" i="1"/>
  <c r="AE449" i="1"/>
  <c r="AK449" i="1"/>
  <c r="AI449" i="1"/>
  <c r="AG449" i="1"/>
  <c r="Y449" i="1"/>
  <c r="AA449" i="1" s="1"/>
  <c r="X449" i="1"/>
  <c r="V449" i="1"/>
  <c r="AB449" i="1" s="1" a="1"/>
  <c r="AB449" i="1" s="1"/>
  <c r="AB84" i="1" a="1"/>
  <c r="AB84" i="1" s="1"/>
  <c r="Q84" i="1"/>
  <c r="V135" i="1"/>
  <c r="AI520" i="1"/>
  <c r="AE520" i="1"/>
  <c r="Y520" i="1"/>
  <c r="AA520" i="1" s="1"/>
  <c r="Z520" i="1"/>
  <c r="X520" i="1"/>
  <c r="V520" i="1"/>
  <c r="AB520" i="1" s="1" a="1"/>
  <c r="AB520" i="1" s="1"/>
  <c r="AK520" i="1"/>
  <c r="AG520" i="1"/>
  <c r="Y109" i="1"/>
  <c r="AA109" i="1" s="1"/>
  <c r="AE70" i="1"/>
  <c r="AG101" i="1"/>
  <c r="Z7" i="1"/>
  <c r="AK7" i="1" s="1"/>
  <c r="AI7" i="1"/>
  <c r="V7" i="1"/>
  <c r="AB7" i="1" s="1" a="1"/>
  <c r="AB7" i="1" s="1"/>
  <c r="AI138" i="1"/>
  <c r="Z608" i="1"/>
  <c r="X608" i="1"/>
  <c r="AE608" i="1"/>
  <c r="Y608" i="1"/>
  <c r="AA608" i="1" s="1"/>
  <c r="V608" i="1"/>
  <c r="AB608" i="1" s="1" a="1"/>
  <c r="AB608" i="1" s="1"/>
  <c r="AI608" i="1"/>
  <c r="AK608" i="1"/>
  <c r="AG608" i="1"/>
  <c r="AI132" i="1"/>
  <c r="Y592" i="1"/>
  <c r="AA592" i="1" s="1"/>
  <c r="X592" i="1"/>
  <c r="V592" i="1"/>
  <c r="AB592" i="1" s="1" a="1"/>
  <c r="AB592" i="1" s="1"/>
  <c r="Z592" i="1"/>
  <c r="AG592" i="1"/>
  <c r="AK592" i="1"/>
  <c r="AI592" i="1"/>
  <c r="AE592" i="1"/>
  <c r="AG594" i="1"/>
  <c r="AK594" i="1"/>
  <c r="AI594" i="1"/>
  <c r="AE594" i="1"/>
  <c r="Z594" i="1"/>
  <c r="Y594" i="1"/>
  <c r="AA594" i="1" s="1"/>
  <c r="X594" i="1"/>
  <c r="V594" i="1"/>
  <c r="AB594" i="1" s="1" a="1"/>
  <c r="AB594" i="1" s="1"/>
  <c r="Z155" i="1"/>
  <c r="AI155" i="1" s="1"/>
  <c r="Y155" i="1"/>
  <c r="AA155" i="1" s="1"/>
  <c r="AG27" i="1"/>
  <c r="AG51" i="1"/>
  <c r="X54" i="1"/>
  <c r="AE39" i="1"/>
  <c r="X58" i="1"/>
  <c r="AI70" i="1"/>
  <c r="Q38" i="1"/>
  <c r="AK64" i="1"/>
  <c r="X15" i="1"/>
  <c r="AG765" i="1"/>
  <c r="AE765" i="1"/>
  <c r="Z765" i="1"/>
  <c r="AK765" i="1"/>
  <c r="AI765" i="1"/>
  <c r="X765" i="1"/>
  <c r="Y765" i="1"/>
  <c r="AA765" i="1" s="1"/>
  <c r="V765" i="1"/>
  <c r="Z428" i="1"/>
  <c r="AK428" i="1"/>
  <c r="AI428" i="1"/>
  <c r="Y428" i="1"/>
  <c r="AA428" i="1" s="1"/>
  <c r="V428" i="1"/>
  <c r="AB428" i="1" s="1" a="1"/>
  <c r="AB428" i="1" s="1"/>
  <c r="X428" i="1"/>
  <c r="AE428" i="1"/>
  <c r="AG428" i="1"/>
  <c r="AG46" i="1"/>
  <c r="X194" i="1"/>
  <c r="Z40" i="1"/>
  <c r="V40" i="1" s="1"/>
  <c r="AK40" i="1"/>
  <c r="AK70" i="1"/>
  <c r="Y206" i="1"/>
  <c r="AA206" i="1" s="1"/>
  <c r="V59" i="1"/>
  <c r="AI31" i="1"/>
  <c r="AG128" i="1"/>
  <c r="AK522" i="1"/>
  <c r="V522" i="1"/>
  <c r="AB522" i="1" s="1" a="1"/>
  <c r="AB522" i="1" s="1"/>
  <c r="AG522" i="1"/>
  <c r="Z522" i="1"/>
  <c r="Y522" i="1"/>
  <c r="AA522" i="1" s="1"/>
  <c r="AE522" i="1"/>
  <c r="X522" i="1"/>
  <c r="AI522" i="1"/>
  <c r="AI657" i="1"/>
  <c r="AK657" i="1"/>
  <c r="AE657" i="1"/>
  <c r="Z657" i="1"/>
  <c r="AG657" i="1"/>
  <c r="X657" i="1"/>
  <c r="V657" i="1"/>
  <c r="AB657" i="1" s="1" a="1"/>
  <c r="AB657" i="1" s="1"/>
  <c r="Y657" i="1"/>
  <c r="AA657" i="1" s="1"/>
  <c r="AG607" i="1"/>
  <c r="V607" i="1"/>
  <c r="AB607" i="1" s="1" a="1"/>
  <c r="AB607" i="1" s="1"/>
  <c r="AK607" i="1"/>
  <c r="Z607" i="1"/>
  <c r="Y607" i="1"/>
  <c r="AA607" i="1" s="1"/>
  <c r="AI607" i="1"/>
  <c r="AE607" i="1"/>
  <c r="X607" i="1"/>
  <c r="V180" i="1"/>
  <c r="AG455" i="1"/>
  <c r="AE455" i="1"/>
  <c r="AI455" i="1"/>
  <c r="V455" i="1"/>
  <c r="AB455" i="1" s="1" a="1"/>
  <c r="AB455" i="1" s="1"/>
  <c r="Z455" i="1"/>
  <c r="AK455" i="1"/>
  <c r="X455" i="1"/>
  <c r="Y455" i="1"/>
  <c r="AA455" i="1" s="1"/>
  <c r="AE38" i="1"/>
  <c r="Y67" i="1"/>
  <c r="AA67" i="1" s="1"/>
  <c r="AK67" i="1"/>
  <c r="AI67" i="1"/>
  <c r="AG67" i="1"/>
  <c r="AE67" i="1"/>
  <c r="X67" i="1"/>
  <c r="Z67" i="1"/>
  <c r="V67" i="1"/>
  <c r="AB67" i="1" s="1" a="1"/>
  <c r="AB67" i="1" s="1"/>
  <c r="Q67" i="1"/>
  <c r="AK533" i="1"/>
  <c r="V533" i="1"/>
  <c r="AB533" i="1" s="1" a="1"/>
  <c r="AB533" i="1" s="1"/>
  <c r="AG533" i="1"/>
  <c r="AI533" i="1"/>
  <c r="AE533" i="1"/>
  <c r="Z533" i="1"/>
  <c r="Y533" i="1"/>
  <c r="AA533" i="1" s="1"/>
  <c r="X533" i="1"/>
  <c r="AK173" i="1"/>
  <c r="Y567" i="1"/>
  <c r="AA567" i="1" s="1"/>
  <c r="V567" i="1"/>
  <c r="AB567" i="1" s="1" a="1"/>
  <c r="AB567" i="1" s="1"/>
  <c r="AG567" i="1"/>
  <c r="AE567" i="1"/>
  <c r="Z567" i="1"/>
  <c r="AI567" i="1"/>
  <c r="X567" i="1"/>
  <c r="AK567" i="1"/>
  <c r="Z754" i="1"/>
  <c r="AE754" i="1"/>
  <c r="AG754" i="1"/>
  <c r="Y754" i="1"/>
  <c r="AA754" i="1" s="1"/>
  <c r="X754" i="1"/>
  <c r="AK754" i="1"/>
  <c r="AI754" i="1"/>
  <c r="V754" i="1"/>
  <c r="AK711" i="1"/>
  <c r="Y711" i="1"/>
  <c r="AA711" i="1" s="1"/>
  <c r="Z711" i="1"/>
  <c r="X711" i="1"/>
  <c r="V711" i="1"/>
  <c r="AB711" i="1" s="1" a="1"/>
  <c r="AB711" i="1" s="1"/>
  <c r="AI711" i="1"/>
  <c r="AG711" i="1"/>
  <c r="AE711" i="1"/>
  <c r="AG26" i="1"/>
  <c r="AI218" i="1"/>
  <c r="AG743" i="1"/>
  <c r="AE743" i="1"/>
  <c r="Z743" i="1"/>
  <c r="Y743" i="1"/>
  <c r="AA743" i="1" s="1"/>
  <c r="AI743" i="1"/>
  <c r="AK743" i="1"/>
  <c r="X743" i="1"/>
  <c r="V743" i="1"/>
  <c r="X254" i="1"/>
  <c r="V254" i="1"/>
  <c r="AB254" i="1" s="1" a="1"/>
  <c r="AB254" i="1" s="1"/>
  <c r="AG254" i="1"/>
  <c r="AE254" i="1"/>
  <c r="Z254" i="1"/>
  <c r="Y254" i="1"/>
  <c r="AA254" i="1" s="1"/>
  <c r="AK254" i="1"/>
  <c r="AI254" i="1"/>
  <c r="AK153" i="1"/>
  <c r="V45" i="1"/>
  <c r="X84" i="1"/>
  <c r="X62" i="1"/>
  <c r="X55" i="1"/>
  <c r="V42" i="1"/>
  <c r="V93" i="1"/>
  <c r="AG90" i="1"/>
  <c r="AI114" i="1"/>
  <c r="V51" i="1"/>
  <c r="AE64" i="1"/>
  <c r="Z188" i="1"/>
  <c r="Y188" i="1" s="1"/>
  <c r="AA188" i="1" s="1"/>
  <c r="AE188" i="1"/>
  <c r="AK188" i="1"/>
  <c r="AI188" i="1"/>
  <c r="V188" i="1"/>
  <c r="AB188" i="1" s="1" a="1"/>
  <c r="AB188" i="1" s="1"/>
  <c r="Q188" i="1"/>
  <c r="Y489" i="1"/>
  <c r="AA489" i="1" s="1"/>
  <c r="AK489" i="1"/>
  <c r="AI489" i="1"/>
  <c r="AG489" i="1"/>
  <c r="X489" i="1"/>
  <c r="V489" i="1"/>
  <c r="AB489" i="1" s="1" a="1"/>
  <c r="AB489" i="1" s="1"/>
  <c r="AE489" i="1"/>
  <c r="Z489" i="1"/>
  <c r="Y810" i="1"/>
  <c r="AA810" i="1" s="1"/>
  <c r="AK810" i="1"/>
  <c r="AI810" i="1"/>
  <c r="AG810" i="1"/>
  <c r="V810" i="1"/>
  <c r="X810" i="1"/>
  <c r="Z810" i="1"/>
  <c r="AE810" i="1"/>
  <c r="Q94" i="1"/>
  <c r="AE566" i="1"/>
  <c r="X566" i="1"/>
  <c r="AK566" i="1"/>
  <c r="AI566" i="1"/>
  <c r="Y566" i="1"/>
  <c r="AA566" i="1" s="1"/>
  <c r="V566" i="1"/>
  <c r="AB566" i="1" s="1" a="1"/>
  <c r="AB566" i="1" s="1"/>
  <c r="AG566" i="1"/>
  <c r="Z566" i="1"/>
  <c r="AI167" i="1"/>
  <c r="AK143" i="1"/>
  <c r="Y675" i="1"/>
  <c r="AA675" i="1" s="1"/>
  <c r="Z675" i="1"/>
  <c r="X675" i="1"/>
  <c r="V675" i="1"/>
  <c r="AB675" i="1" s="1" a="1"/>
  <c r="AB675" i="1" s="1"/>
  <c r="AE675" i="1"/>
  <c r="AI675" i="1"/>
  <c r="AK675" i="1"/>
  <c r="AG675" i="1"/>
  <c r="AI436" i="1"/>
  <c r="Z436" i="1"/>
  <c r="Y436" i="1"/>
  <c r="AA436" i="1" s="1"/>
  <c r="AK436" i="1"/>
  <c r="AG436" i="1"/>
  <c r="X436" i="1"/>
  <c r="V436" i="1"/>
  <c r="AB436" i="1" s="1" a="1"/>
  <c r="AB436" i="1" s="1"/>
  <c r="AE436" i="1"/>
  <c r="V749" i="1"/>
  <c r="AK749" i="1"/>
  <c r="Y749" i="1"/>
  <c r="AA749" i="1" s="1"/>
  <c r="AG749" i="1"/>
  <c r="Z749" i="1"/>
  <c r="AI749" i="1"/>
  <c r="AE749" i="1"/>
  <c r="X749" i="1"/>
  <c r="AI50" i="1"/>
  <c r="AK39" i="1"/>
  <c r="Y34" i="1"/>
  <c r="AA34" i="1" s="1"/>
  <c r="AI136" i="1"/>
  <c r="AK48" i="1"/>
  <c r="AI46" i="1"/>
  <c r="V121" i="1"/>
  <c r="AG151" i="1"/>
  <c r="AG179" i="1"/>
  <c r="Y52" i="1"/>
  <c r="AA52" i="1" s="1"/>
  <c r="AK210" i="1"/>
  <c r="AG21" i="1"/>
  <c r="AG595" i="1"/>
  <c r="V595" i="1"/>
  <c r="AB595" i="1" s="1" a="1"/>
  <c r="AB595" i="1" s="1"/>
  <c r="AE595" i="1"/>
  <c r="AK595" i="1"/>
  <c r="Y595" i="1"/>
  <c r="AA595" i="1" s="1"/>
  <c r="Z595" i="1"/>
  <c r="X595" i="1"/>
  <c r="AI595" i="1"/>
  <c r="AG777" i="1"/>
  <c r="V777" i="1"/>
  <c r="Y777" i="1"/>
  <c r="AA777" i="1" s="1"/>
  <c r="X777" i="1"/>
  <c r="AK777" i="1"/>
  <c r="AI777" i="1"/>
  <c r="AE777" i="1"/>
  <c r="Z777" i="1"/>
  <c r="AG251" i="1"/>
  <c r="AI251" i="1"/>
  <c r="AE251" i="1"/>
  <c r="AK251" i="1"/>
  <c r="X251" i="1"/>
  <c r="V251" i="1"/>
  <c r="AB251" i="1" s="1" a="1"/>
  <c r="AB251" i="1" s="1"/>
  <c r="Z251" i="1"/>
  <c r="Y251" i="1"/>
  <c r="AA251" i="1" s="1"/>
  <c r="X399" i="1"/>
  <c r="V399" i="1"/>
  <c r="AB399" i="1" s="1" a="1"/>
  <c r="AB399" i="1" s="1"/>
  <c r="AE399" i="1"/>
  <c r="Z399" i="1"/>
  <c r="Y399" i="1"/>
  <c r="AA399" i="1" s="1"/>
  <c r="AK399" i="1"/>
  <c r="AG399" i="1"/>
  <c r="AI399" i="1"/>
  <c r="AK655" i="1"/>
  <c r="V655" i="1"/>
  <c r="AB655" i="1" s="1" a="1"/>
  <c r="AB655" i="1" s="1"/>
  <c r="AG655" i="1"/>
  <c r="AE655" i="1"/>
  <c r="Z655" i="1"/>
  <c r="AI655" i="1"/>
  <c r="Y655" i="1"/>
  <c r="AA655" i="1" s="1"/>
  <c r="X655" i="1"/>
  <c r="Z496" i="1"/>
  <c r="Y496" i="1"/>
  <c r="AA496" i="1" s="1"/>
  <c r="AI496" i="1"/>
  <c r="X496" i="1"/>
  <c r="V496" i="1"/>
  <c r="AB496" i="1" s="1" a="1"/>
  <c r="AB496" i="1" s="1"/>
  <c r="AK496" i="1"/>
  <c r="AG496" i="1"/>
  <c r="AE496" i="1"/>
  <c r="Z220" i="1"/>
  <c r="AK220" i="1" s="1"/>
  <c r="AB30" i="1" a="1"/>
  <c r="AB30" i="1" s="1"/>
  <c r="Q30" i="1"/>
  <c r="AK405" i="1"/>
  <c r="V405" i="1"/>
  <c r="AB405" i="1" s="1" a="1"/>
  <c r="AB405" i="1" s="1"/>
  <c r="Y405" i="1"/>
  <c r="AA405" i="1" s="1"/>
  <c r="X405" i="1"/>
  <c r="AE405" i="1"/>
  <c r="Z405" i="1"/>
  <c r="AI405" i="1"/>
  <c r="AG405" i="1"/>
  <c r="AI723" i="1"/>
  <c r="AE723" i="1"/>
  <c r="Y723" i="1"/>
  <c r="AA723" i="1" s="1"/>
  <c r="X723" i="1"/>
  <c r="Z723" i="1"/>
  <c r="AK723" i="1"/>
  <c r="AG723" i="1"/>
  <c r="V723" i="1"/>
  <c r="AK139" i="1"/>
  <c r="X699" i="1"/>
  <c r="Y699" i="1"/>
  <c r="AA699" i="1" s="1"/>
  <c r="AG699" i="1"/>
  <c r="AE699" i="1"/>
  <c r="AK699" i="1"/>
  <c r="AI699" i="1"/>
  <c r="Z699" i="1"/>
  <c r="V699" i="1"/>
  <c r="AB699" i="1" s="1" a="1"/>
  <c r="AB699" i="1" s="1"/>
  <c r="X64" i="1"/>
  <c r="AG260" i="1"/>
  <c r="AE260" i="1"/>
  <c r="X260" i="1"/>
  <c r="V260" i="1"/>
  <c r="AB260" i="1" s="1" a="1"/>
  <c r="AB260" i="1" s="1"/>
  <c r="AK260" i="1"/>
  <c r="AI260" i="1"/>
  <c r="Y260" i="1"/>
  <c r="AA260" i="1" s="1"/>
  <c r="Z260" i="1"/>
  <c r="AG407" i="1"/>
  <c r="AE407" i="1"/>
  <c r="AK407" i="1"/>
  <c r="AI407" i="1"/>
  <c r="Z407" i="1"/>
  <c r="Y407" i="1"/>
  <c r="AA407" i="1" s="1"/>
  <c r="X407" i="1"/>
  <c r="V407" i="1"/>
  <c r="AB407" i="1" s="1" a="1"/>
  <c r="AB407" i="1" s="1"/>
  <c r="V70" i="1"/>
  <c r="X435" i="1"/>
  <c r="AE435" i="1"/>
  <c r="AK435" i="1"/>
  <c r="Y435" i="1"/>
  <c r="AA435" i="1" s="1"/>
  <c r="V435" i="1"/>
  <c r="AB435" i="1" s="1" a="1"/>
  <c r="AB435" i="1" s="1"/>
  <c r="Z435" i="1"/>
  <c r="AI435" i="1"/>
  <c r="AG435" i="1"/>
  <c r="Z234" i="1"/>
  <c r="Y234" i="1"/>
  <c r="AA234" i="1" s="1"/>
  <c r="AE234" i="1"/>
  <c r="AK234" i="1"/>
  <c r="V234" i="1"/>
  <c r="X234" i="1" s="1"/>
  <c r="AI234" i="1"/>
  <c r="AG234" i="1"/>
  <c r="AK101" i="1"/>
  <c r="AI28" i="1"/>
  <c r="AG28" i="1"/>
  <c r="Z28" i="1"/>
  <c r="AE28" i="1"/>
  <c r="X28" i="1"/>
  <c r="AK28" i="1"/>
  <c r="V28" i="1"/>
  <c r="AB28" i="1" s="1" a="1"/>
  <c r="AB28" i="1" s="1"/>
  <c r="Y28" i="1"/>
  <c r="AA28" i="1" s="1"/>
  <c r="AE138" i="1"/>
  <c r="X5" i="1"/>
  <c r="AI124" i="1"/>
  <c r="AI707" i="1"/>
  <c r="AE707" i="1"/>
  <c r="AK707" i="1"/>
  <c r="AG707" i="1"/>
  <c r="Y707" i="1"/>
  <c r="AA707" i="1" s="1"/>
  <c r="X707" i="1"/>
  <c r="V707" i="1"/>
  <c r="AB707" i="1" s="1" a="1"/>
  <c r="AB707" i="1" s="1"/>
  <c r="Z707" i="1"/>
  <c r="AE115" i="1"/>
  <c r="AE806" i="1"/>
  <c r="AG806" i="1"/>
  <c r="Z806" i="1"/>
  <c r="Y806" i="1"/>
  <c r="AA806" i="1" s="1"/>
  <c r="X806" i="1"/>
  <c r="AK806" i="1"/>
  <c r="V806" i="1"/>
  <c r="AI806" i="1"/>
  <c r="Z233" i="1"/>
  <c r="AK233" i="1" s="1"/>
  <c r="AI233" i="1"/>
  <c r="AG233" i="1"/>
  <c r="Q57" i="1"/>
  <c r="Y307" i="1"/>
  <c r="AA307" i="1" s="1"/>
  <c r="AK307" i="1"/>
  <c r="V307" i="1"/>
  <c r="AB307" i="1" s="1" a="1"/>
  <c r="AB307" i="1" s="1"/>
  <c r="AE307" i="1"/>
  <c r="Z307" i="1"/>
  <c r="X307" i="1"/>
  <c r="AI307" i="1"/>
  <c r="AG307" i="1"/>
  <c r="AE139" i="1"/>
  <c r="Q85" i="1"/>
  <c r="AB95" i="1" a="1"/>
  <c r="AB95" i="1" s="1"/>
  <c r="Q95" i="1"/>
  <c r="AK142" i="1"/>
  <c r="AG39" i="1"/>
  <c r="AI112" i="1"/>
  <c r="X46" i="1"/>
  <c r="Q186" i="1"/>
  <c r="AE794" i="1"/>
  <c r="AK794" i="1"/>
  <c r="AI794" i="1"/>
  <c r="Z794" i="1"/>
  <c r="Y794" i="1"/>
  <c r="AA794" i="1" s="1"/>
  <c r="X794" i="1"/>
  <c r="AG794" i="1"/>
  <c r="V794" i="1"/>
  <c r="Y70" i="1"/>
  <c r="AA70" i="1" s="1"/>
  <c r="AI280" i="1"/>
  <c r="AE280" i="1"/>
  <c r="Z280" i="1"/>
  <c r="Y280" i="1"/>
  <c r="AA280" i="1" s="1"/>
  <c r="AG280" i="1"/>
  <c r="X280" i="1"/>
  <c r="V280" i="1"/>
  <c r="AB280" i="1" s="1" a="1"/>
  <c r="AB280" i="1" s="1"/>
  <c r="AK280" i="1"/>
  <c r="AG138" i="1"/>
  <c r="AG335" i="1"/>
  <c r="AK335" i="1"/>
  <c r="AI335" i="1"/>
  <c r="AE335" i="1"/>
  <c r="V335" i="1"/>
  <c r="AB335" i="1" s="1" a="1"/>
  <c r="AB335" i="1" s="1"/>
  <c r="Z335" i="1"/>
  <c r="Y335" i="1"/>
  <c r="AA335" i="1" s="1"/>
  <c r="X335" i="1"/>
  <c r="Y406" i="1"/>
  <c r="AA406" i="1" s="1"/>
  <c r="Z406" i="1"/>
  <c r="X406" i="1"/>
  <c r="V406" i="1"/>
  <c r="AB406" i="1" s="1" a="1"/>
  <c r="AB406" i="1" s="1"/>
  <c r="AG406" i="1"/>
  <c r="AE406" i="1"/>
  <c r="AK406" i="1"/>
  <c r="AI406" i="1"/>
  <c r="Y248" i="1"/>
  <c r="AA248" i="1" s="1"/>
  <c r="X248" i="1"/>
  <c r="V248" i="1"/>
  <c r="AB248" i="1" s="1" a="1"/>
  <c r="AB248" i="1" s="1"/>
  <c r="AG248" i="1"/>
  <c r="AE248" i="1"/>
  <c r="Z248" i="1"/>
  <c r="AK248" i="1"/>
  <c r="AI248" i="1"/>
  <c r="AK791" i="1"/>
  <c r="Y791" i="1"/>
  <c r="AA791" i="1" s="1"/>
  <c r="V791" i="1"/>
  <c r="AI791" i="1"/>
  <c r="Z791" i="1"/>
  <c r="AE791" i="1"/>
  <c r="X791" i="1"/>
  <c r="AG791" i="1"/>
  <c r="AE213" i="1"/>
  <c r="AI213" i="1"/>
  <c r="Z213" i="1"/>
  <c r="Y213" i="1"/>
  <c r="AA213" i="1" s="1"/>
  <c r="X213" i="1"/>
  <c r="AK213" i="1"/>
  <c r="AG213" i="1"/>
  <c r="V213" i="1"/>
  <c r="AB213" i="1" s="1" a="1"/>
  <c r="AB213" i="1" s="1"/>
  <c r="AI298" i="1"/>
  <c r="Y298" i="1"/>
  <c r="AA298" i="1" s="1"/>
  <c r="X298" i="1"/>
  <c r="V298" i="1"/>
  <c r="AB298" i="1" s="1" a="1"/>
  <c r="AB298" i="1" s="1"/>
  <c r="AE298" i="1"/>
  <c r="Z298" i="1"/>
  <c r="AK298" i="1"/>
  <c r="AG298" i="1"/>
  <c r="AI576" i="1"/>
  <c r="Y576" i="1"/>
  <c r="AA576" i="1" s="1"/>
  <c r="X576" i="1"/>
  <c r="V576" i="1"/>
  <c r="AB576" i="1" s="1" a="1"/>
  <c r="AB576" i="1" s="1"/>
  <c r="AK576" i="1"/>
  <c r="Z576" i="1"/>
  <c r="AG576" i="1"/>
  <c r="AE576" i="1"/>
  <c r="AK185" i="1"/>
  <c r="V185" i="1"/>
  <c r="AB185" i="1" s="1" a="1"/>
  <c r="AB185" i="1" s="1"/>
  <c r="AI185" i="1"/>
  <c r="AE185" i="1"/>
  <c r="AG185" i="1"/>
  <c r="X185" i="1"/>
  <c r="Y185" i="1"/>
  <c r="AA185" i="1" s="1"/>
  <c r="Z185" i="1"/>
  <c r="AG644" i="1"/>
  <c r="AE644" i="1"/>
  <c r="AI644" i="1"/>
  <c r="Z644" i="1"/>
  <c r="Y644" i="1"/>
  <c r="AA644" i="1" s="1"/>
  <c r="X644" i="1"/>
  <c r="V644" i="1"/>
  <c r="AB644" i="1" s="1" a="1"/>
  <c r="AB644" i="1" s="1"/>
  <c r="AK644" i="1"/>
  <c r="AG115" i="1"/>
  <c r="V27" i="1"/>
  <c r="AG801" i="1"/>
  <c r="X801" i="1"/>
  <c r="Y801" i="1"/>
  <c r="AA801" i="1" s="1"/>
  <c r="V801" i="1"/>
  <c r="Z801" i="1"/>
  <c r="AK801" i="1"/>
  <c r="AE801" i="1"/>
  <c r="AI801" i="1"/>
  <c r="AG42" i="1"/>
  <c r="AE25" i="1"/>
  <c r="Z108" i="1"/>
  <c r="AE108" i="1" s="1"/>
  <c r="Y108" i="1"/>
  <c r="AA108" i="1" s="1"/>
  <c r="V108" i="1"/>
  <c r="AB108" i="1" s="1" a="1"/>
  <c r="AB108" i="1" s="1"/>
  <c r="AK108" i="1"/>
  <c r="AI108" i="1"/>
  <c r="AG108" i="1"/>
  <c r="AG359" i="1"/>
  <c r="AI359" i="1"/>
  <c r="AE359" i="1"/>
  <c r="V359" i="1"/>
  <c r="AB359" i="1" s="1" a="1"/>
  <c r="AB359" i="1" s="1"/>
  <c r="X359" i="1"/>
  <c r="AK359" i="1"/>
  <c r="Z359" i="1"/>
  <c r="Y359" i="1"/>
  <c r="AA359" i="1" s="1"/>
  <c r="AE74" i="1"/>
  <c r="V179" i="1"/>
  <c r="AE210" i="1"/>
  <c r="Z106" i="1"/>
  <c r="V106" i="1"/>
  <c r="AB106" i="1" s="1" a="1"/>
  <c r="AB106" i="1" s="1"/>
  <c r="Y106" i="1"/>
  <c r="AA106" i="1" s="1"/>
  <c r="X106" i="1"/>
  <c r="AK106" i="1"/>
  <c r="AI106" i="1"/>
  <c r="AG106" i="1"/>
  <c r="AE106" i="1"/>
  <c r="Z181" i="1"/>
  <c r="AK181" i="1"/>
  <c r="Y181" i="1"/>
  <c r="AA181" i="1" s="1"/>
  <c r="V181" i="1"/>
  <c r="AB181" i="1" s="1" a="1"/>
  <c r="AB181" i="1" s="1"/>
  <c r="X181" i="1"/>
  <c r="AI181" i="1"/>
  <c r="AE181" i="1"/>
  <c r="AG181" i="1"/>
  <c r="Q181" i="1"/>
  <c r="Q26" i="1"/>
  <c r="AI115" i="1"/>
  <c r="Q63" i="1"/>
  <c r="AI42" i="1"/>
  <c r="Y135" i="1"/>
  <c r="AA135" i="1" s="1"/>
  <c r="AG64" i="1"/>
  <c r="Z493" i="1"/>
  <c r="Y493" i="1"/>
  <c r="AA493" i="1" s="1"/>
  <c r="X493" i="1"/>
  <c r="AK493" i="1"/>
  <c r="AI493" i="1"/>
  <c r="AE493" i="1"/>
  <c r="V493" i="1"/>
  <c r="AB493" i="1" s="1" a="1"/>
  <c r="AB493" i="1" s="1"/>
  <c r="AG493" i="1"/>
  <c r="Y283" i="1"/>
  <c r="AA283" i="1" s="1"/>
  <c r="Z283" i="1"/>
  <c r="X283" i="1"/>
  <c r="V283" i="1"/>
  <c r="AB283" i="1" s="1" a="1"/>
  <c r="AB283" i="1" s="1"/>
  <c r="AE283" i="1"/>
  <c r="AK283" i="1"/>
  <c r="AI283" i="1"/>
  <c r="AG283" i="1"/>
  <c r="AK249" i="1"/>
  <c r="V249" i="1"/>
  <c r="AB249" i="1" s="1" a="1"/>
  <c r="AB249" i="1" s="1"/>
  <c r="AE249" i="1"/>
  <c r="AG249" i="1"/>
  <c r="AI249" i="1"/>
  <c r="Z249" i="1"/>
  <c r="Y249" i="1"/>
  <c r="AA249" i="1" s="1"/>
  <c r="X249" i="1"/>
  <c r="AG25" i="1"/>
  <c r="AG785" i="1"/>
  <c r="AI785" i="1"/>
  <c r="AE785" i="1"/>
  <c r="Z785" i="1"/>
  <c r="V785" i="1"/>
  <c r="Y785" i="1"/>
  <c r="AA785" i="1" s="1"/>
  <c r="AK785" i="1"/>
  <c r="X785" i="1"/>
  <c r="X277" i="1"/>
  <c r="V277" i="1"/>
  <c r="AB277" i="1" s="1" a="1"/>
  <c r="AB277" i="1" s="1"/>
  <c r="AK277" i="1"/>
  <c r="AG277" i="1"/>
  <c r="Z277" i="1"/>
  <c r="Y277" i="1"/>
  <c r="AA277" i="1" s="1"/>
  <c r="AI277" i="1"/>
  <c r="AE277" i="1"/>
  <c r="X170" i="1"/>
  <c r="AB48" i="1" a="1"/>
  <c r="AB48" i="1" s="1"/>
  <c r="Q48" i="1"/>
  <c r="Z231" i="1"/>
  <c r="Y231" i="1"/>
  <c r="AA231" i="1" s="1"/>
  <c r="AE231" i="1"/>
  <c r="AK231" i="1"/>
  <c r="X231" i="1"/>
  <c r="AI231" i="1"/>
  <c r="AG231" i="1"/>
  <c r="V231" i="1"/>
  <c r="AB231" i="1" s="1" a="1"/>
  <c r="AB231" i="1" s="1"/>
  <c r="X202" i="1"/>
  <c r="V210" i="1"/>
  <c r="V317" i="1"/>
  <c r="AB317" i="1" s="1" a="1"/>
  <c r="AB317" i="1" s="1"/>
  <c r="AK317" i="1"/>
  <c r="AI317" i="1"/>
  <c r="Y317" i="1"/>
  <c r="AA317" i="1" s="1"/>
  <c r="AE317" i="1"/>
  <c r="AG317" i="1"/>
  <c r="Z317" i="1"/>
  <c r="X317" i="1"/>
  <c r="V128" i="1"/>
  <c r="AG177" i="1"/>
  <c r="AE177" i="1"/>
  <c r="Z177" i="1"/>
  <c r="V177" i="1" s="1"/>
  <c r="AK177" i="1"/>
  <c r="AI177" i="1"/>
  <c r="Z632" i="1"/>
  <c r="Y632" i="1"/>
  <c r="AA632" i="1" s="1"/>
  <c r="X632" i="1"/>
  <c r="AI632" i="1"/>
  <c r="AG632" i="1"/>
  <c r="V632" i="1"/>
  <c r="AB632" i="1" s="1" a="1"/>
  <c r="AB632" i="1" s="1"/>
  <c r="AE632" i="1"/>
  <c r="AK632" i="1"/>
  <c r="AK107" i="1"/>
  <c r="V107" i="1"/>
  <c r="AB107" i="1" s="1" a="1"/>
  <c r="AB107" i="1" s="1"/>
  <c r="X107" i="1"/>
  <c r="AI107" i="1"/>
  <c r="AG107" i="1"/>
  <c r="AE107" i="1"/>
  <c r="Z107" i="1"/>
  <c r="Y107" i="1"/>
  <c r="AA107" i="1" s="1"/>
  <c r="AK297" i="1"/>
  <c r="V297" i="1"/>
  <c r="AB297" i="1" s="1" a="1"/>
  <c r="AB297" i="1" s="1"/>
  <c r="X297" i="1"/>
  <c r="AI297" i="1"/>
  <c r="Z297" i="1"/>
  <c r="Y297" i="1"/>
  <c r="AA297" i="1" s="1"/>
  <c r="AE297" i="1"/>
  <c r="AG297" i="1"/>
  <c r="AI340" i="1"/>
  <c r="AK340" i="1"/>
  <c r="V340" i="1"/>
  <c r="AB340" i="1" s="1" a="1"/>
  <c r="AB340" i="1" s="1"/>
  <c r="Z340" i="1"/>
  <c r="AG340" i="1"/>
  <c r="AE340" i="1"/>
  <c r="Y340" i="1"/>
  <c r="AA340" i="1" s="1"/>
  <c r="X340" i="1"/>
  <c r="AI552" i="1"/>
  <c r="V552" i="1"/>
  <c r="AB552" i="1" s="1" a="1"/>
  <c r="AB552" i="1" s="1"/>
  <c r="Z552" i="1"/>
  <c r="AK552" i="1"/>
  <c r="Y552" i="1"/>
  <c r="AA552" i="1" s="1"/>
  <c r="AG552" i="1"/>
  <c r="AE552" i="1"/>
  <c r="X552" i="1"/>
  <c r="Z200" i="1"/>
  <c r="Y200" i="1"/>
  <c r="AA200" i="1" s="1"/>
  <c r="V200" i="1"/>
  <c r="AB200" i="1" s="1" a="1"/>
  <c r="AB200" i="1" s="1"/>
  <c r="AI200" i="1"/>
  <c r="X200" i="1"/>
  <c r="AG200" i="1"/>
  <c r="AE200" i="1"/>
  <c r="AK200" i="1"/>
  <c r="Q200" i="1"/>
  <c r="Z363" i="1"/>
  <c r="V363" i="1"/>
  <c r="AB363" i="1" s="1" a="1"/>
  <c r="AB363" i="1" s="1"/>
  <c r="AK363" i="1"/>
  <c r="X363" i="1"/>
  <c r="AG363" i="1"/>
  <c r="Y363" i="1"/>
  <c r="AA363" i="1" s="1"/>
  <c r="AI363" i="1"/>
  <c r="AE363" i="1"/>
  <c r="AG604" i="1"/>
  <c r="AE604" i="1"/>
  <c r="Y604" i="1"/>
  <c r="AA604" i="1" s="1"/>
  <c r="X604" i="1"/>
  <c r="AI604" i="1"/>
  <c r="AK604" i="1"/>
  <c r="V604" i="1"/>
  <c r="AB604" i="1" s="1" a="1"/>
  <c r="AB604" i="1" s="1"/>
  <c r="Z604" i="1"/>
  <c r="Z724" i="1"/>
  <c r="V724" i="1"/>
  <c r="AG724" i="1"/>
  <c r="AE724" i="1"/>
  <c r="Y724" i="1"/>
  <c r="AA724" i="1" s="1"/>
  <c r="X724" i="1"/>
  <c r="AI724" i="1"/>
  <c r="AK724" i="1"/>
  <c r="Z17" i="1"/>
  <c r="AI17" i="1" s="1"/>
  <c r="V17" i="1"/>
  <c r="AB17" i="1" s="1" a="1"/>
  <c r="AB17" i="1" s="1"/>
  <c r="AK17" i="1"/>
  <c r="AK730" i="1"/>
  <c r="V730" i="1"/>
  <c r="Y730" i="1"/>
  <c r="AA730" i="1" s="1"/>
  <c r="AI730" i="1"/>
  <c r="AG730" i="1"/>
  <c r="X730" i="1"/>
  <c r="AE730" i="1"/>
  <c r="Z730" i="1"/>
  <c r="X60" i="1"/>
  <c r="AK115" i="1"/>
  <c r="AI27" i="1"/>
  <c r="AI153" i="1"/>
  <c r="AI45" i="1"/>
  <c r="Z536" i="1"/>
  <c r="Y536" i="1"/>
  <c r="AA536" i="1" s="1"/>
  <c r="V536" i="1"/>
  <c r="AB536" i="1" s="1" a="1"/>
  <c r="AB536" i="1" s="1"/>
  <c r="AE536" i="1"/>
  <c r="AK536" i="1"/>
  <c r="X536" i="1"/>
  <c r="AG536" i="1"/>
  <c r="AI536" i="1"/>
  <c r="AE745" i="1"/>
  <c r="Y745" i="1"/>
  <c r="AA745" i="1" s="1"/>
  <c r="V745" i="1"/>
  <c r="Z745" i="1"/>
  <c r="X745" i="1"/>
  <c r="AK745" i="1"/>
  <c r="AI745" i="1"/>
  <c r="AG745" i="1"/>
  <c r="V805" i="1"/>
  <c r="AG805" i="1"/>
  <c r="AK805" i="1"/>
  <c r="AI805" i="1"/>
  <c r="AE805" i="1"/>
  <c r="Z805" i="1"/>
  <c r="Y805" i="1"/>
  <c r="AA805" i="1" s="1"/>
  <c r="X805" i="1"/>
  <c r="AI51" i="1"/>
  <c r="Z756" i="1"/>
  <c r="X756" i="1"/>
  <c r="V756" i="1"/>
  <c r="AK756" i="1"/>
  <c r="AI756" i="1"/>
  <c r="Y756" i="1"/>
  <c r="AA756" i="1" s="1"/>
  <c r="AE756" i="1"/>
  <c r="AG756" i="1"/>
  <c r="AK569" i="1"/>
  <c r="V569" i="1"/>
  <c r="AB569" i="1" s="1" a="1"/>
  <c r="AB569" i="1" s="1"/>
  <c r="AE569" i="1"/>
  <c r="AI569" i="1"/>
  <c r="AG569" i="1"/>
  <c r="Z569" i="1"/>
  <c r="X569" i="1"/>
  <c r="Y569" i="1"/>
  <c r="AA569" i="1" s="1"/>
  <c r="AE179" i="1"/>
  <c r="Y110" i="1"/>
  <c r="AA110" i="1" s="1"/>
  <c r="AE471" i="1"/>
  <c r="Y471" i="1"/>
  <c r="AA471" i="1" s="1"/>
  <c r="X471" i="1"/>
  <c r="V471" i="1"/>
  <c r="AB471" i="1" s="1" a="1"/>
  <c r="AB471" i="1" s="1"/>
  <c r="Z471" i="1"/>
  <c r="AG471" i="1"/>
  <c r="AK471" i="1"/>
  <c r="AI471" i="1"/>
  <c r="Z243" i="1"/>
  <c r="Y243" i="1"/>
  <c r="AA243" i="1" s="1"/>
  <c r="AK243" i="1"/>
  <c r="AI243" i="1"/>
  <c r="X243" i="1"/>
  <c r="AE243" i="1"/>
  <c r="V243" i="1"/>
  <c r="AB243" i="1" s="1" a="1"/>
  <c r="AB243" i="1" s="1"/>
  <c r="AG243" i="1"/>
  <c r="AI59" i="1"/>
  <c r="Y47" i="1"/>
  <c r="AA47" i="1" s="1"/>
  <c r="AK31" i="1"/>
  <c r="AI128" i="1"/>
  <c r="Z332" i="1"/>
  <c r="Y332" i="1"/>
  <c r="AA332" i="1" s="1"/>
  <c r="X332" i="1"/>
  <c r="AE332" i="1"/>
  <c r="AI332" i="1"/>
  <c r="V332" i="1"/>
  <c r="AB332" i="1" s="1" a="1"/>
  <c r="AB332" i="1" s="1"/>
  <c r="AK332" i="1"/>
  <c r="AG332" i="1"/>
  <c r="Q213" i="1"/>
  <c r="AI389" i="1"/>
  <c r="AK389" i="1"/>
  <c r="AG389" i="1"/>
  <c r="AE389" i="1"/>
  <c r="Y389" i="1"/>
  <c r="AA389" i="1" s="1"/>
  <c r="X389" i="1"/>
  <c r="Z389" i="1"/>
  <c r="V389" i="1"/>
  <c r="AB389" i="1" s="1" a="1"/>
  <c r="AB389" i="1" s="1"/>
  <c r="AG571" i="1"/>
  <c r="AI571" i="1"/>
  <c r="AK571" i="1"/>
  <c r="AE571" i="1"/>
  <c r="X571" i="1"/>
  <c r="V571" i="1"/>
  <c r="AB571" i="1" s="1" a="1"/>
  <c r="AB571" i="1" s="1"/>
  <c r="Z571" i="1"/>
  <c r="Y571" i="1"/>
  <c r="AA571" i="1" s="1"/>
  <c r="AG38" i="1"/>
  <c r="Z157" i="1"/>
  <c r="AG157" i="1" s="1"/>
  <c r="V173" i="1"/>
  <c r="AI504" i="1"/>
  <c r="X504" i="1"/>
  <c r="Y504" i="1"/>
  <c r="AA504" i="1" s="1"/>
  <c r="V504" i="1"/>
  <c r="AB504" i="1" s="1" a="1"/>
  <c r="AB504" i="1" s="1"/>
  <c r="AK504" i="1"/>
  <c r="AG504" i="1"/>
  <c r="AE504" i="1"/>
  <c r="Z504" i="1"/>
  <c r="AI26" i="1"/>
  <c r="Y115" i="1"/>
  <c r="AA115" i="1" s="1"/>
  <c r="V218" i="1"/>
  <c r="AK663" i="1"/>
  <c r="AI663" i="1"/>
  <c r="AE663" i="1"/>
  <c r="Z663" i="1"/>
  <c r="V663" i="1"/>
  <c r="AB663" i="1" s="1" a="1"/>
  <c r="AB663" i="1" s="1"/>
  <c r="AG663" i="1"/>
  <c r="Y663" i="1"/>
  <c r="AA663" i="1" s="1"/>
  <c r="X663" i="1"/>
  <c r="AK27" i="1"/>
  <c r="Y83" i="1"/>
  <c r="AA83" i="1" s="1"/>
  <c r="Q209" i="1"/>
  <c r="AI90" i="1"/>
  <c r="Y15" i="1"/>
  <c r="AA15" i="1" s="1"/>
  <c r="AK464" i="1"/>
  <c r="AG464" i="1"/>
  <c r="AE464" i="1"/>
  <c r="AI464" i="1"/>
  <c r="Y464" i="1"/>
  <c r="AA464" i="1" s="1"/>
  <c r="X464" i="1"/>
  <c r="Z464" i="1"/>
  <c r="V464" i="1"/>
  <c r="AB464" i="1" s="1" a="1"/>
  <c r="AB464" i="1" s="1"/>
  <c r="Y591" i="1"/>
  <c r="AA591" i="1" s="1"/>
  <c r="AG591" i="1"/>
  <c r="AE591" i="1"/>
  <c r="X591" i="1"/>
  <c r="V591" i="1"/>
  <c r="AB591" i="1" s="1" a="1"/>
  <c r="AB591" i="1" s="1"/>
  <c r="AK591" i="1"/>
  <c r="AI591" i="1"/>
  <c r="Z591" i="1"/>
  <c r="AI54" i="1"/>
  <c r="AG671" i="1"/>
  <c r="V671" i="1"/>
  <c r="AB671" i="1" s="1" a="1"/>
  <c r="AB671" i="1" s="1"/>
  <c r="AE671" i="1"/>
  <c r="Y671" i="1"/>
  <c r="AA671" i="1" s="1"/>
  <c r="X671" i="1"/>
  <c r="Z671" i="1"/>
  <c r="AI671" i="1"/>
  <c r="AK671" i="1"/>
  <c r="Y543" i="1"/>
  <c r="AA543" i="1" s="1"/>
  <c r="AK543" i="1"/>
  <c r="Z543" i="1"/>
  <c r="X543" i="1"/>
  <c r="V543" i="1"/>
  <c r="AB543" i="1" s="1" a="1"/>
  <c r="AB543" i="1" s="1"/>
  <c r="AI543" i="1"/>
  <c r="AG543" i="1"/>
  <c r="AE543" i="1"/>
  <c r="AE167" i="1"/>
  <c r="AI142" i="1"/>
  <c r="X143" i="1"/>
  <c r="Y37" i="1"/>
  <c r="AA37" i="1" s="1"/>
  <c r="AK34" i="1"/>
  <c r="AE136" i="1"/>
  <c r="AE46" i="1"/>
  <c r="AI151" i="1"/>
  <c r="X122" i="1"/>
  <c r="AE236" i="1"/>
  <c r="X14" i="1"/>
  <c r="AI179" i="1"/>
  <c r="AG210" i="1"/>
  <c r="V21" i="1"/>
  <c r="AG565" i="1"/>
  <c r="AE565" i="1"/>
  <c r="X565" i="1"/>
  <c r="Y565" i="1"/>
  <c r="AA565" i="1" s="1"/>
  <c r="V565" i="1"/>
  <c r="AB565" i="1" s="1" a="1"/>
  <c r="AB565" i="1" s="1"/>
  <c r="AI565" i="1"/>
  <c r="Z565" i="1"/>
  <c r="AK565" i="1"/>
  <c r="V544" i="1"/>
  <c r="AB544" i="1" s="1" a="1"/>
  <c r="AB544" i="1" s="1"/>
  <c r="AE544" i="1"/>
  <c r="Y544" i="1"/>
  <c r="AA544" i="1" s="1"/>
  <c r="X544" i="1"/>
  <c r="AG544" i="1"/>
  <c r="AI544" i="1"/>
  <c r="Z544" i="1"/>
  <c r="AK544" i="1"/>
  <c r="AE530" i="1"/>
  <c r="Z530" i="1"/>
  <c r="AK530" i="1"/>
  <c r="Y530" i="1"/>
  <c r="AA530" i="1" s="1"/>
  <c r="X530" i="1"/>
  <c r="AG530" i="1"/>
  <c r="V530" i="1"/>
  <c r="AB530" i="1" s="1" a="1"/>
  <c r="AB530" i="1" s="1"/>
  <c r="AI530" i="1"/>
  <c r="Z596" i="1"/>
  <c r="V596" i="1"/>
  <c r="AB596" i="1" s="1" a="1"/>
  <c r="AB596" i="1" s="1"/>
  <c r="Y596" i="1"/>
  <c r="AA596" i="1" s="1"/>
  <c r="AG596" i="1"/>
  <c r="AE596" i="1"/>
  <c r="AK596" i="1"/>
  <c r="AI596" i="1"/>
  <c r="X596" i="1"/>
  <c r="AG347" i="1"/>
  <c r="AK347" i="1"/>
  <c r="V347" i="1"/>
  <c r="AB347" i="1" s="1" a="1"/>
  <c r="AB347" i="1" s="1"/>
  <c r="AI347" i="1"/>
  <c r="AE347" i="1"/>
  <c r="Z347" i="1"/>
  <c r="Y347" i="1"/>
  <c r="AA347" i="1" s="1"/>
  <c r="X347" i="1"/>
  <c r="V587" i="1"/>
  <c r="AB587" i="1" s="1" a="1"/>
  <c r="AB587" i="1" s="1"/>
  <c r="Z587" i="1"/>
  <c r="Y587" i="1"/>
  <c r="AA587" i="1" s="1"/>
  <c r="X587" i="1"/>
  <c r="AE587" i="1"/>
  <c r="AG587" i="1"/>
  <c r="AK587" i="1"/>
  <c r="AI587" i="1"/>
  <c r="AI726" i="1"/>
  <c r="AG726" i="1"/>
  <c r="AE726" i="1"/>
  <c r="V726" i="1"/>
  <c r="AK726" i="1"/>
  <c r="Z726" i="1"/>
  <c r="Y726" i="1"/>
  <c r="AA726" i="1" s="1"/>
  <c r="X726" i="1"/>
  <c r="AE151" i="1"/>
  <c r="AK605" i="1"/>
  <c r="V605" i="1"/>
  <c r="AB605" i="1" s="1" a="1"/>
  <c r="AB605" i="1" s="1"/>
  <c r="AG605" i="1"/>
  <c r="Z605" i="1"/>
  <c r="AE605" i="1"/>
  <c r="X605" i="1"/>
  <c r="AI605" i="1"/>
  <c r="Y605" i="1"/>
  <c r="AA605" i="1" s="1"/>
  <c r="V132" i="1"/>
  <c r="Y568" i="1"/>
  <c r="AA568" i="1" s="1"/>
  <c r="AG568" i="1"/>
  <c r="AE568" i="1"/>
  <c r="AI568" i="1"/>
  <c r="X568" i="1"/>
  <c r="V568" i="1"/>
  <c r="AB568" i="1" s="1" a="1"/>
  <c r="AB568" i="1" s="1"/>
  <c r="AK568" i="1"/>
  <c r="Z568" i="1"/>
  <c r="Z498" i="1"/>
  <c r="AK498" i="1"/>
  <c r="AI498" i="1"/>
  <c r="AG498" i="1"/>
  <c r="Y498" i="1"/>
  <c r="AA498" i="1" s="1"/>
  <c r="X498" i="1"/>
  <c r="AE498" i="1"/>
  <c r="V498" i="1"/>
  <c r="AB498" i="1" s="1" a="1"/>
  <c r="AB498" i="1" s="1"/>
  <c r="Z637" i="1"/>
  <c r="Y637" i="1"/>
  <c r="AA637" i="1" s="1"/>
  <c r="AK637" i="1"/>
  <c r="AI637" i="1"/>
  <c r="AG637" i="1"/>
  <c r="AE637" i="1"/>
  <c r="X637" i="1"/>
  <c r="V637" i="1"/>
  <c r="AB637" i="1" s="1" a="1"/>
  <c r="AB637" i="1" s="1"/>
  <c r="AE66" i="1"/>
  <c r="Z66" i="1"/>
  <c r="V66" i="1"/>
  <c r="AB66" i="1" s="1" a="1"/>
  <c r="AB66" i="1" s="1"/>
  <c r="AK66" i="1"/>
  <c r="Y66" i="1"/>
  <c r="AA66" i="1" s="1"/>
  <c r="X66" i="1"/>
  <c r="AI66" i="1"/>
  <c r="AG66" i="1"/>
  <c r="Q66" i="1"/>
  <c r="X30" i="1"/>
  <c r="Z384" i="1"/>
  <c r="X384" i="1"/>
  <c r="V384" i="1"/>
  <c r="AB384" i="1" s="1" a="1"/>
  <c r="AB384" i="1" s="1"/>
  <c r="Y384" i="1"/>
  <c r="AA384" i="1" s="1"/>
  <c r="AG384" i="1"/>
  <c r="AE384" i="1"/>
  <c r="AI384" i="1"/>
  <c r="AK384" i="1"/>
  <c r="X145" i="1"/>
  <c r="AG716" i="1"/>
  <c r="AI716" i="1"/>
  <c r="AK716" i="1"/>
  <c r="AE716" i="1"/>
  <c r="Z716" i="1"/>
  <c r="Y716" i="1"/>
  <c r="AA716" i="1" s="1"/>
  <c r="V716" i="1"/>
  <c r="X716" i="1"/>
  <c r="AE51" i="1"/>
  <c r="X85" i="1"/>
  <c r="X146" i="1"/>
  <c r="V39" i="1"/>
  <c r="AK534" i="1"/>
  <c r="Z534" i="1"/>
  <c r="Y534" i="1"/>
  <c r="AA534" i="1" s="1"/>
  <c r="AI534" i="1"/>
  <c r="AG534" i="1"/>
  <c r="X534" i="1"/>
  <c r="V534" i="1"/>
  <c r="AB534" i="1" s="1" a="1"/>
  <c r="AB534" i="1" s="1"/>
  <c r="AE534" i="1"/>
  <c r="AE733" i="1"/>
  <c r="AG733" i="1"/>
  <c r="AK733" i="1"/>
  <c r="AI733" i="1"/>
  <c r="X733" i="1"/>
  <c r="Z733" i="1"/>
  <c r="V733" i="1"/>
  <c r="Y733" i="1"/>
  <c r="AA733" i="1" s="1"/>
  <c r="AG645" i="1"/>
  <c r="X645" i="1"/>
  <c r="V645" i="1"/>
  <c r="AB645" i="1" s="1" a="1"/>
  <c r="AB645" i="1" s="1"/>
  <c r="AK645" i="1"/>
  <c r="AI645" i="1"/>
  <c r="AE645" i="1"/>
  <c r="Z645" i="1"/>
  <c r="Y645" i="1"/>
  <c r="AA645" i="1" s="1"/>
  <c r="Z169" i="1"/>
  <c r="AI169" i="1" s="1"/>
  <c r="AE169" i="1"/>
  <c r="Y169" i="1"/>
  <c r="AA169" i="1" s="1"/>
  <c r="V169" i="1"/>
  <c r="AK169" i="1"/>
  <c r="Z20" i="1"/>
  <c r="Y20" i="1" s="1"/>
  <c r="AA20" i="1" s="1"/>
  <c r="AK20" i="1"/>
  <c r="AE423" i="1"/>
  <c r="Y423" i="1"/>
  <c r="AA423" i="1" s="1"/>
  <c r="AK423" i="1"/>
  <c r="AI423" i="1"/>
  <c r="V423" i="1"/>
  <c r="AB423" i="1" s="1" a="1"/>
  <c r="AB423" i="1" s="1"/>
  <c r="Z423" i="1"/>
  <c r="AG423" i="1"/>
  <c r="X423" i="1"/>
  <c r="X111" i="1"/>
  <c r="X178" i="1"/>
  <c r="V83" i="1"/>
  <c r="X57" i="1"/>
  <c r="Z539" i="1"/>
  <c r="Y539" i="1"/>
  <c r="AA539" i="1" s="1"/>
  <c r="AI539" i="1"/>
  <c r="AG539" i="1"/>
  <c r="AK539" i="1"/>
  <c r="AE539" i="1"/>
  <c r="V539" i="1"/>
  <c r="AB539" i="1" s="1" a="1"/>
  <c r="AB539" i="1" s="1"/>
  <c r="X539" i="1"/>
  <c r="AK42" i="1"/>
  <c r="AK167" i="1"/>
  <c r="AI352" i="1"/>
  <c r="Z352" i="1"/>
  <c r="Y352" i="1"/>
  <c r="AA352" i="1" s="1"/>
  <c r="X352" i="1"/>
  <c r="AE352" i="1"/>
  <c r="AG352" i="1"/>
  <c r="AK352" i="1"/>
  <c r="V352" i="1"/>
  <c r="AB352" i="1" s="1" a="1"/>
  <c r="AB352" i="1" s="1"/>
  <c r="Y640" i="1"/>
  <c r="AA640" i="1" s="1"/>
  <c r="X640" i="1"/>
  <c r="V640" i="1"/>
  <c r="AB640" i="1" s="1" a="1"/>
  <c r="AB640" i="1" s="1"/>
  <c r="AI640" i="1"/>
  <c r="Z640" i="1"/>
  <c r="AK640" i="1"/>
  <c r="AG640" i="1"/>
  <c r="AE640" i="1"/>
  <c r="V37" i="1"/>
  <c r="X48" i="1"/>
  <c r="Q12" i="1"/>
  <c r="Q226" i="1"/>
  <c r="Q108" i="1"/>
  <c r="AG263" i="1"/>
  <c r="Z263" i="1"/>
  <c r="X263" i="1"/>
  <c r="AK263" i="1"/>
  <c r="Y263" i="1"/>
  <c r="AA263" i="1" s="1"/>
  <c r="V263" i="1"/>
  <c r="AB263" i="1" s="1" a="1"/>
  <c r="AB263" i="1" s="1"/>
  <c r="AI263" i="1"/>
  <c r="AE263" i="1"/>
  <c r="Y235" i="1"/>
  <c r="AA235" i="1" s="1"/>
  <c r="V235" i="1"/>
  <c r="AB235" i="1" s="1" a="1"/>
  <c r="AB235" i="1" s="1"/>
  <c r="AK235" i="1"/>
  <c r="AI235" i="1"/>
  <c r="Z235" i="1"/>
  <c r="AG235" i="1"/>
  <c r="AE235" i="1"/>
  <c r="X235" i="1"/>
  <c r="AE320" i="1"/>
  <c r="AK320" i="1"/>
  <c r="Z320" i="1"/>
  <c r="Y320" i="1"/>
  <c r="AA320" i="1" s="1"/>
  <c r="AI320" i="1"/>
  <c r="AG320" i="1"/>
  <c r="X320" i="1"/>
  <c r="V320" i="1"/>
  <c r="AB320" i="1" s="1" a="1"/>
  <c r="AB320" i="1" s="1"/>
  <c r="AE558" i="1"/>
  <c r="V558" i="1"/>
  <c r="AB558" i="1" s="1" a="1"/>
  <c r="AB558" i="1" s="1"/>
  <c r="AG558" i="1"/>
  <c r="AK558" i="1"/>
  <c r="AI558" i="1"/>
  <c r="Z558" i="1"/>
  <c r="Y558" i="1"/>
  <c r="AA558" i="1" s="1"/>
  <c r="X558" i="1"/>
  <c r="Q105" i="1"/>
  <c r="AK123" i="1"/>
  <c r="AI123" i="1"/>
  <c r="V123" i="1"/>
  <c r="AG123" i="1"/>
  <c r="AE123" i="1"/>
  <c r="Z123" i="1"/>
  <c r="Y123" i="1"/>
  <c r="AA123" i="1" s="1"/>
  <c r="X562" i="1"/>
  <c r="AI562" i="1"/>
  <c r="AE562" i="1"/>
  <c r="Z562" i="1"/>
  <c r="Y562" i="1"/>
  <c r="AA562" i="1" s="1"/>
  <c r="AG562" i="1"/>
  <c r="V562" i="1"/>
  <c r="AB562" i="1" s="1" a="1"/>
  <c r="AB562" i="1" s="1"/>
  <c r="AK562" i="1"/>
  <c r="Z646" i="1"/>
  <c r="Y646" i="1"/>
  <c r="AA646" i="1" s="1"/>
  <c r="AK646" i="1"/>
  <c r="X646" i="1"/>
  <c r="V646" i="1"/>
  <c r="AB646" i="1" s="1" a="1"/>
  <c r="AB646" i="1" s="1"/>
  <c r="AG646" i="1"/>
  <c r="AE646" i="1"/>
  <c r="AI646" i="1"/>
  <c r="AI582" i="1"/>
  <c r="AE582" i="1"/>
  <c r="Z582" i="1"/>
  <c r="AK582" i="1"/>
  <c r="AG582" i="1"/>
  <c r="V582" i="1"/>
  <c r="AB582" i="1" s="1" a="1"/>
  <c r="AB582" i="1" s="1"/>
  <c r="X582" i="1"/>
  <c r="Y582" i="1"/>
  <c r="AA582" i="1" s="1"/>
  <c r="Q5" i="1"/>
  <c r="R193" i="1"/>
  <c r="AG523" i="1"/>
  <c r="AE523" i="1"/>
  <c r="Z523" i="1"/>
  <c r="Y523" i="1"/>
  <c r="AA523" i="1" s="1"/>
  <c r="X523" i="1"/>
  <c r="AK523" i="1"/>
  <c r="AI523" i="1"/>
  <c r="V523" i="1"/>
  <c r="AB523" i="1" s="1" a="1"/>
  <c r="AB523" i="1" s="1"/>
  <c r="AE614" i="1"/>
  <c r="V614" i="1"/>
  <c r="AB614" i="1" s="1" a="1"/>
  <c r="AB614" i="1" s="1"/>
  <c r="Z614" i="1"/>
  <c r="AI614" i="1"/>
  <c r="AK614" i="1"/>
  <c r="AG614" i="1"/>
  <c r="Y614" i="1"/>
  <c r="AA614" i="1" s="1"/>
  <c r="X614" i="1"/>
  <c r="Z572" i="1"/>
  <c r="AE572" i="1"/>
  <c r="AK572" i="1"/>
  <c r="Y572" i="1"/>
  <c r="AA572" i="1" s="1"/>
  <c r="X572" i="1"/>
  <c r="V572" i="1"/>
  <c r="AB572" i="1" s="1" a="1"/>
  <c r="AB572" i="1" s="1"/>
  <c r="AG572" i="1"/>
  <c r="AI572" i="1"/>
  <c r="X586" i="1"/>
  <c r="V586" i="1"/>
  <c r="AB586" i="1" s="1" a="1"/>
  <c r="AB586" i="1" s="1"/>
  <c r="Y586" i="1"/>
  <c r="AA586" i="1" s="1"/>
  <c r="AK586" i="1"/>
  <c r="Z586" i="1"/>
  <c r="AI586" i="1"/>
  <c r="AE586" i="1"/>
  <c r="AG586" i="1"/>
  <c r="Y795" i="1"/>
  <c r="AA795" i="1" s="1"/>
  <c r="AG795" i="1"/>
  <c r="AI795" i="1"/>
  <c r="AE795" i="1"/>
  <c r="Z795" i="1"/>
  <c r="X795" i="1"/>
  <c r="V795" i="1"/>
  <c r="AK795" i="1"/>
  <c r="Y710" i="1"/>
  <c r="AA710" i="1" s="1"/>
  <c r="AI710" i="1"/>
  <c r="Z710" i="1"/>
  <c r="X710" i="1"/>
  <c r="AE710" i="1"/>
  <c r="AK710" i="1"/>
  <c r="V710" i="1"/>
  <c r="AB710" i="1" s="1" a="1"/>
  <c r="AB710" i="1" s="1"/>
  <c r="AG710" i="1"/>
  <c r="Q61" i="1"/>
  <c r="Z272" i="1"/>
  <c r="Y272" i="1"/>
  <c r="AA272" i="1" s="1"/>
  <c r="AE272" i="1"/>
  <c r="AK272" i="1"/>
  <c r="AI272" i="1"/>
  <c r="AG272" i="1"/>
  <c r="X272" i="1"/>
  <c r="V272" i="1"/>
  <c r="AB272" i="1" s="1" a="1"/>
  <c r="AB272" i="1" s="1"/>
  <c r="AI344" i="1"/>
  <c r="AG344" i="1"/>
  <c r="AE344" i="1"/>
  <c r="V344" i="1"/>
  <c r="AB344" i="1" s="1" a="1"/>
  <c r="AB344" i="1" s="1"/>
  <c r="Y344" i="1"/>
  <c r="AA344" i="1" s="1"/>
  <c r="X344" i="1"/>
  <c r="AK344" i="1"/>
  <c r="Z344" i="1"/>
  <c r="X95" i="1"/>
  <c r="X338" i="1"/>
  <c r="AG338" i="1"/>
  <c r="AK338" i="1"/>
  <c r="V338" i="1"/>
  <c r="AB338" i="1" s="1" a="1"/>
  <c r="AB338" i="1" s="1"/>
  <c r="AI338" i="1"/>
  <c r="AE338" i="1"/>
  <c r="Y338" i="1"/>
  <c r="AA338" i="1" s="1"/>
  <c r="Z338" i="1"/>
  <c r="AE269" i="1"/>
  <c r="AI269" i="1"/>
  <c r="Z269" i="1"/>
  <c r="Y269" i="1"/>
  <c r="AA269" i="1" s="1"/>
  <c r="AK269" i="1"/>
  <c r="AG269" i="1"/>
  <c r="X269" i="1"/>
  <c r="V269" i="1"/>
  <c r="AB269" i="1" s="1" a="1"/>
  <c r="AB269" i="1" s="1"/>
  <c r="Y164" i="1"/>
  <c r="AA164" i="1" s="1"/>
  <c r="AK164" i="1"/>
  <c r="AI164" i="1"/>
  <c r="AG164" i="1"/>
  <c r="AE164" i="1"/>
  <c r="V164" i="1"/>
  <c r="AB164" i="1" s="1" a="1"/>
  <c r="AB164" i="1" s="1"/>
  <c r="Z164" i="1"/>
  <c r="X164" i="1"/>
  <c r="Z53" i="1"/>
  <c r="Y53" i="1"/>
  <c r="AA53" i="1" s="1"/>
  <c r="V53" i="1"/>
  <c r="AB53" i="1" s="1" a="1"/>
  <c r="AB53" i="1" s="1"/>
  <c r="AI53" i="1"/>
  <c r="AG53" i="1"/>
  <c r="AE53" i="1"/>
  <c r="AK53" i="1"/>
  <c r="Q53" i="1"/>
  <c r="Q231" i="1"/>
  <c r="Q202" i="1"/>
  <c r="Q109" i="1"/>
  <c r="AB19" i="1" l="1" a="1"/>
  <c r="AB19" i="1" s="1"/>
  <c r="X19" i="1"/>
  <c r="Q19" i="1"/>
  <c r="AB40" i="1" a="1"/>
  <c r="AB40" i="1" s="1"/>
  <c r="Q40" i="1"/>
  <c r="X40" i="1"/>
  <c r="AB177" i="1" a="1"/>
  <c r="AB177" i="1" s="1"/>
  <c r="X177" i="1"/>
  <c r="Q177" i="1"/>
  <c r="AB9" i="1" a="1"/>
  <c r="AB9" i="1" s="1"/>
  <c r="X9" i="1"/>
  <c r="Q9" i="1"/>
  <c r="AB123" i="1" a="1"/>
  <c r="AB123" i="1" s="1"/>
  <c r="Q123" i="1"/>
  <c r="AB39" i="1" a="1"/>
  <c r="AB39" i="1" s="1"/>
  <c r="X39" i="1"/>
  <c r="Q39" i="1"/>
  <c r="X17" i="1"/>
  <c r="AB51" i="1" a="1"/>
  <c r="AB51" i="1" s="1"/>
  <c r="X51" i="1"/>
  <c r="Q51" i="1"/>
  <c r="AE7" i="1"/>
  <c r="V87" i="1"/>
  <c r="V16" i="1"/>
  <c r="AG19" i="1"/>
  <c r="AB74" i="1" a="1"/>
  <c r="AB74" i="1" s="1"/>
  <c r="X74" i="1"/>
  <c r="Q74" i="1"/>
  <c r="Q167" i="1"/>
  <c r="AB167" i="1" a="1"/>
  <c r="AB167" i="1" s="1"/>
  <c r="X167" i="1"/>
  <c r="V86" i="1"/>
  <c r="Y80" i="1"/>
  <c r="AA80" i="1" s="1"/>
  <c r="V92" i="1"/>
  <c r="Y33" i="1"/>
  <c r="AA33" i="1" s="1"/>
  <c r="V99" i="1"/>
  <c r="AE77" i="1"/>
  <c r="V20" i="1"/>
  <c r="Y17" i="1"/>
  <c r="AA17" i="1" s="1"/>
  <c r="AB128" i="1" a="1"/>
  <c r="AB128" i="1" s="1"/>
  <c r="Q128" i="1"/>
  <c r="X128" i="1"/>
  <c r="AE233" i="1"/>
  <c r="Y40" i="1"/>
  <c r="AA40" i="1" s="1"/>
  <c r="AG7" i="1"/>
  <c r="V130" i="1"/>
  <c r="AK87" i="1"/>
  <c r="V4" i="1"/>
  <c r="AE16" i="1"/>
  <c r="AI19" i="1"/>
  <c r="AI23" i="1"/>
  <c r="AE144" i="1"/>
  <c r="Y86" i="1"/>
  <c r="AA86" i="1" s="1"/>
  <c r="AE80" i="1"/>
  <c r="AE33" i="1"/>
  <c r="Q41" i="1"/>
  <c r="AG99" i="1"/>
  <c r="Y77" i="1"/>
  <c r="AA77" i="1" s="1"/>
  <c r="AG56" i="1"/>
  <c r="X217" i="1"/>
  <c r="AB151" i="1" a="1"/>
  <c r="AB151" i="1" s="1"/>
  <c r="Q151" i="1"/>
  <c r="X151" i="1"/>
  <c r="AB32" i="1" a="1"/>
  <c r="AB32" i="1" s="1"/>
  <c r="Q32" i="1"/>
  <c r="AB173" i="1" a="1"/>
  <c r="AB173" i="1" s="1"/>
  <c r="Q173" i="1"/>
  <c r="X173" i="1"/>
  <c r="Y92" i="1"/>
  <c r="AA92" i="1" s="1"/>
  <c r="AG77" i="1"/>
  <c r="AB21" i="1" a="1"/>
  <c r="AB21" i="1" s="1"/>
  <c r="X21" i="1"/>
  <c r="Q21" i="1"/>
  <c r="AB218" i="1" a="1"/>
  <c r="AB218" i="1" s="1"/>
  <c r="Q218" i="1"/>
  <c r="X218" i="1"/>
  <c r="X7" i="1"/>
  <c r="AB142" i="1" a="1"/>
  <c r="AB142" i="1" s="1"/>
  <c r="Q142" i="1"/>
  <c r="X142" i="1"/>
  <c r="AG80" i="1"/>
  <c r="AB169" i="1" a="1"/>
  <c r="AB169" i="1" s="1"/>
  <c r="Q169" i="1"/>
  <c r="V157" i="1"/>
  <c r="AB179" i="1" a="1"/>
  <c r="AB179" i="1" s="1"/>
  <c r="X179" i="1"/>
  <c r="Q179" i="1"/>
  <c r="AG220" i="1"/>
  <c r="X188" i="1"/>
  <c r="AB42" i="1" a="1"/>
  <c r="AB42" i="1" s="1"/>
  <c r="X42" i="1"/>
  <c r="Q42" i="1"/>
  <c r="AG155" i="1"/>
  <c r="AE19" i="1"/>
  <c r="AB112" i="1" a="1"/>
  <c r="AB112" i="1" s="1"/>
  <c r="Q112" i="1"/>
  <c r="X112" i="1"/>
  <c r="X53" i="1"/>
  <c r="V233" i="1"/>
  <c r="AE220" i="1"/>
  <c r="AE40" i="1"/>
  <c r="AI16" i="1"/>
  <c r="Y19" i="1"/>
  <c r="AA19" i="1" s="1"/>
  <c r="AG92" i="1"/>
  <c r="X6" i="1"/>
  <c r="AE43" i="1"/>
  <c r="Q189" i="1"/>
  <c r="AE157" i="1"/>
  <c r="AB70" i="1" a="1"/>
  <c r="AB70" i="1" s="1"/>
  <c r="Q70" i="1"/>
  <c r="X70" i="1"/>
  <c r="AG40" i="1"/>
  <c r="AI87" i="1"/>
  <c r="AE9" i="1"/>
  <c r="V23" i="1"/>
  <c r="AG49" i="1"/>
  <c r="AE20" i="1"/>
  <c r="Y220" i="1"/>
  <c r="AA220" i="1" s="1"/>
  <c r="AB180" i="1" a="1"/>
  <c r="AB180" i="1" s="1"/>
  <c r="X180" i="1"/>
  <c r="Q180" i="1"/>
  <c r="AK155" i="1"/>
  <c r="AG9" i="1"/>
  <c r="AE23" i="1"/>
  <c r="V8" i="1"/>
  <c r="AB83" i="1" a="1"/>
  <c r="AB83" i="1" s="1"/>
  <c r="Q83" i="1"/>
  <c r="X83" i="1"/>
  <c r="AI20" i="1"/>
  <c r="AG169" i="1"/>
  <c r="AI157" i="1"/>
  <c r="AG17" i="1"/>
  <c r="Y177" i="1"/>
  <c r="AA177" i="1" s="1"/>
  <c r="AB27" i="1" a="1"/>
  <c r="AB27" i="1" s="1"/>
  <c r="Q27" i="1"/>
  <c r="X27" i="1"/>
  <c r="Y233" i="1"/>
  <c r="AA233" i="1" s="1"/>
  <c r="V220" i="1"/>
  <c r="AG188" i="1"/>
  <c r="AB45" i="1" a="1"/>
  <c r="AB45" i="1" s="1"/>
  <c r="X45" i="1"/>
  <c r="Q45" i="1"/>
  <c r="AI40" i="1"/>
  <c r="AE155" i="1"/>
  <c r="AI130" i="1"/>
  <c r="AG87" i="1"/>
  <c r="AI9" i="1"/>
  <c r="AK44" i="1"/>
  <c r="AB114" i="1" a="1"/>
  <c r="AB114" i="1" s="1"/>
  <c r="X114" i="1"/>
  <c r="Q114" i="1"/>
  <c r="AG32" i="1"/>
  <c r="AI8" i="1"/>
  <c r="AE24" i="1"/>
  <c r="X36" i="1"/>
  <c r="AK10" i="1"/>
  <c r="Q80" i="1"/>
  <c r="X166" i="1"/>
  <c r="AI165" i="1"/>
  <c r="X117" i="1"/>
  <c r="AI77" i="1"/>
  <c r="AI6" i="1"/>
  <c r="AG43" i="1"/>
  <c r="AE49" i="1"/>
  <c r="Q7" i="1"/>
  <c r="Z193" i="1"/>
  <c r="AK193" i="1" s="1"/>
  <c r="Y193" i="1"/>
  <c r="AA193" i="1" s="1"/>
  <c r="AI193" i="1"/>
  <c r="AB93" i="1" a="1"/>
  <c r="AB93" i="1" s="1"/>
  <c r="X93" i="1"/>
  <c r="Q93" i="1"/>
  <c r="AK92" i="1"/>
  <c r="V43" i="1"/>
  <c r="AB37" i="1" a="1"/>
  <c r="AB37" i="1" s="1"/>
  <c r="Q37" i="1"/>
  <c r="X37" i="1"/>
  <c r="AB234" i="1" a="1"/>
  <c r="AB234" i="1" s="1"/>
  <c r="Q234" i="1"/>
  <c r="AB121" i="1" a="1"/>
  <c r="AB121" i="1" s="1"/>
  <c r="X121" i="1"/>
  <c r="Q121" i="1"/>
  <c r="AK215" i="1"/>
  <c r="AI215" i="1"/>
  <c r="V215" i="1"/>
  <c r="AB215" i="1" s="1" a="1"/>
  <c r="AB215" i="1" s="1"/>
  <c r="AE215" i="1"/>
  <c r="Z215" i="1"/>
  <c r="Y215" i="1" s="1"/>
  <c r="AA215" i="1" s="1"/>
  <c r="Q138" i="1"/>
  <c r="AB138" i="1" a="1"/>
  <c r="AB138" i="1" s="1"/>
  <c r="X138" i="1"/>
  <c r="X144" i="1"/>
  <c r="X80" i="1"/>
  <c r="AK157" i="1"/>
  <c r="Q24" i="1"/>
  <c r="AE86" i="1"/>
  <c r="X169" i="1"/>
  <c r="X108" i="1"/>
  <c r="V155" i="1"/>
  <c r="Y7" i="1"/>
  <c r="AA7" i="1" s="1"/>
  <c r="AB135" i="1" a="1"/>
  <c r="AB135" i="1" s="1"/>
  <c r="X135" i="1"/>
  <c r="Q135" i="1"/>
  <c r="AI92" i="1"/>
  <c r="V33" i="1"/>
  <c r="AI43" i="1"/>
  <c r="Z13" i="1"/>
  <c r="Y13" i="1" s="1"/>
  <c r="AA13" i="1" s="1"/>
  <c r="AE13" i="1"/>
  <c r="X123" i="1"/>
  <c r="AB132" i="1" a="1"/>
  <c r="AB132" i="1" s="1"/>
  <c r="Q132" i="1"/>
  <c r="X132" i="1"/>
  <c r="Q17" i="1"/>
  <c r="AE87" i="1"/>
  <c r="AE175" i="1"/>
  <c r="AI175" i="1"/>
  <c r="Z175" i="1"/>
  <c r="Y175" i="1"/>
  <c r="AA175" i="1" s="1"/>
  <c r="X175" i="1"/>
  <c r="AG175" i="1"/>
  <c r="V175" i="1"/>
  <c r="AB175" i="1" s="1" a="1"/>
  <c r="AB175" i="1" s="1"/>
  <c r="AK175" i="1"/>
  <c r="Q175" i="1"/>
  <c r="X41" i="1"/>
  <c r="AG6" i="1"/>
  <c r="X68" i="1"/>
  <c r="AK43" i="1"/>
  <c r="X189" i="1"/>
  <c r="AI49" i="1"/>
  <c r="AG20" i="1"/>
  <c r="Y157" i="1"/>
  <c r="AA157" i="1" s="1"/>
  <c r="AE17" i="1"/>
  <c r="AI220" i="1"/>
  <c r="AK32" i="1"/>
  <c r="AK8" i="1"/>
  <c r="X89" i="1"/>
  <c r="AI24" i="1"/>
  <c r="AE10" i="1"/>
  <c r="AI80" i="1"/>
  <c r="AE165" i="1"/>
  <c r="AE117" i="1"/>
  <c r="V77" i="1"/>
  <c r="AK6" i="1"/>
  <c r="AB236" i="1" a="1"/>
  <c r="AB236" i="1" s="1"/>
  <c r="X236" i="1"/>
  <c r="Q236" i="1"/>
  <c r="AB101" i="1" a="1"/>
  <c r="AB101" i="1" s="1"/>
  <c r="Q101" i="1"/>
  <c r="X101" i="1"/>
  <c r="AB136" i="1" a="1"/>
  <c r="AB136" i="1" s="1"/>
  <c r="Q136" i="1"/>
  <c r="X136" i="1"/>
  <c r="Y9" i="1"/>
  <c r="AA9" i="1" s="1"/>
  <c r="Q166" i="1"/>
  <c r="X165" i="1"/>
  <c r="AB124" i="1" a="1"/>
  <c r="AB124" i="1" s="1"/>
  <c r="X124" i="1"/>
  <c r="Q124" i="1"/>
  <c r="X24" i="1"/>
  <c r="X3" i="1"/>
  <c r="Q89" i="1"/>
  <c r="AB210" i="1" a="1"/>
  <c r="AB210" i="1" s="1"/>
  <c r="X210" i="1"/>
  <c r="Q210" i="1"/>
  <c r="Q59" i="1"/>
  <c r="AB59" i="1" a="1"/>
  <c r="AB59" i="1" s="1"/>
  <c r="X59" i="1"/>
  <c r="AB90" i="1" a="1"/>
  <c r="AB90" i="1" s="1"/>
  <c r="Q90" i="1"/>
  <c r="X90" i="1"/>
  <c r="Q217" i="1"/>
  <c r="X49" i="1"/>
  <c r="AB43" i="1" l="1" a="1"/>
  <c r="AB43" i="1" s="1"/>
  <c r="X43" i="1"/>
  <c r="AB77" i="1" a="1"/>
  <c r="AB77" i="1" s="1"/>
  <c r="X77" i="1"/>
  <c r="AK13" i="1"/>
  <c r="Q215" i="1"/>
  <c r="V193" i="1"/>
  <c r="AB157" i="1" a="1"/>
  <c r="AB157" i="1" s="1"/>
  <c r="X157" i="1"/>
  <c r="Q157" i="1"/>
  <c r="AB4" i="1" a="1"/>
  <c r="AB4" i="1" s="1"/>
  <c r="Q4" i="1"/>
  <c r="X4" i="1"/>
  <c r="AB99" i="1" a="1"/>
  <c r="AB99" i="1" s="1"/>
  <c r="Q99" i="1"/>
  <c r="X99" i="1"/>
  <c r="AB16" i="1" a="1"/>
  <c r="AB16" i="1" s="1"/>
  <c r="Q16" i="1"/>
  <c r="X16" i="1"/>
  <c r="AB33" i="1" a="1"/>
  <c r="AB33" i="1" s="1"/>
  <c r="X33" i="1"/>
  <c r="Q33" i="1"/>
  <c r="AB220" i="1" a="1"/>
  <c r="AB220" i="1" s="1"/>
  <c r="X220" i="1"/>
  <c r="Q220" i="1"/>
  <c r="AG13" i="1"/>
  <c r="AB8" i="1" a="1"/>
  <c r="AB8" i="1" s="1"/>
  <c r="X8" i="1"/>
  <c r="Q8" i="1"/>
  <c r="V13" i="1"/>
  <c r="AB155" i="1" a="1"/>
  <c r="AB155" i="1" s="1"/>
  <c r="X155" i="1"/>
  <c r="Q155" i="1"/>
  <c r="AG215" i="1"/>
  <c r="AE193" i="1"/>
  <c r="AB233" i="1" a="1"/>
  <c r="AB233" i="1" s="1"/>
  <c r="X233" i="1"/>
  <c r="Q233" i="1"/>
  <c r="AB87" i="1" a="1"/>
  <c r="AB87" i="1" s="1"/>
  <c r="X87" i="1"/>
  <c r="Q87" i="1"/>
  <c r="AB86" i="1" a="1"/>
  <c r="AB86" i="1" s="1"/>
  <c r="X86" i="1"/>
  <c r="Q86" i="1"/>
  <c r="AB23" i="1" a="1"/>
  <c r="AB23" i="1" s="1"/>
  <c r="X23" i="1"/>
  <c r="Q23" i="1"/>
  <c r="AI13" i="1"/>
  <c r="AG193" i="1"/>
  <c r="AB20" i="1" a="1"/>
  <c r="AB20" i="1" s="1"/>
  <c r="Q20" i="1"/>
  <c r="X20" i="1"/>
  <c r="AB130" i="1" a="1"/>
  <c r="AB130" i="1" s="1"/>
  <c r="X130" i="1"/>
  <c r="Q130" i="1"/>
  <c r="AB92" i="1" a="1"/>
  <c r="AB92" i="1" s="1"/>
  <c r="X92" i="1"/>
  <c r="Q92" i="1"/>
  <c r="X215" i="1"/>
  <c r="AB193" i="1" l="1" a="1"/>
  <c r="AB193" i="1" s="1"/>
  <c r="X193" i="1"/>
  <c r="Q193" i="1"/>
  <c r="AB13" i="1" a="1"/>
  <c r="AB13" i="1" s="1"/>
  <c r="X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tc={F2DE351B-83A0-4E6A-B599-CECEE46C0091}</author>
  </authors>
  <commentList>
    <comment ref="F209" authorId="0" shapeId="0" xr:uid="{F2DE351B-83A0-4E6A-B599-CECEE46C00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83/4
Se modifica manualmente con fórmula de frecuencia de recogida </t>
      </text>
    </comment>
  </commentList>
</comments>
</file>

<file path=xl/sharedStrings.xml><?xml version="1.0" encoding="utf-8"?>
<sst xmlns="http://schemas.openxmlformats.org/spreadsheetml/2006/main" count="125" uniqueCount="113">
  <si>
    <t>DATOS</t>
  </si>
  <si>
    <t>ESTRATEGIA DE FABRICACIÓN</t>
  </si>
  <si>
    <t>PUNTO DE PEDIDO CUATRIMESTRAL</t>
  </si>
  <si>
    <t>STOCKS</t>
  </si>
  <si>
    <t>LOWRUNNER</t>
  </si>
  <si>
    <t xml:space="preserve">PUNTO DE PEDIDO </t>
  </si>
  <si>
    <t>ARTÍCULO</t>
  </si>
  <si>
    <t>CV</t>
  </si>
  <si>
    <t>UATC</t>
  </si>
  <si>
    <t>Nº pedidos a futuro</t>
  </si>
  <si>
    <t xml:space="preserve">DEMANDA </t>
  </si>
  <si>
    <t>FRECUENCIA DE RECOGIDA</t>
  </si>
  <si>
    <t>LOTE RECOGIDA</t>
  </si>
  <si>
    <t>Δ LOTE RECOGIDA</t>
  </si>
  <si>
    <t>MCD</t>
  </si>
  <si>
    <t>LT + rotación</t>
  </si>
  <si>
    <t>Δ LT</t>
  </si>
  <si>
    <t>MAQ. CABECERA</t>
  </si>
  <si>
    <t>LOTE ECONÓMICO</t>
  </si>
  <si>
    <t>LOTE DE PRODUCCIÓN</t>
  </si>
  <si>
    <t>PROPUESTA PLANIFICACIÓN</t>
  </si>
  <si>
    <t>PaP</t>
  </si>
  <si>
    <t>ESTRATEGIA</t>
  </si>
  <si>
    <t>Resultado por Lote</t>
  </si>
  <si>
    <t>Resultado por LT</t>
  </si>
  <si>
    <t>PROPUESTA PLANIFICACIÓN 2</t>
  </si>
  <si>
    <t>Punto de pedido</t>
  </si>
  <si>
    <t>STOCK MÁXIMO</t>
  </si>
  <si>
    <t>STOCK MEDIO</t>
  </si>
  <si>
    <t>STOCK DE SEGURIDAD</t>
  </si>
  <si>
    <t>Nº de huecos ocupados</t>
  </si>
  <si>
    <t>Sobrecoste almacenamiento pt</t>
  </si>
  <si>
    <t>SC ALM WIP</t>
  </si>
  <si>
    <t>421653L</t>
  </si>
  <si>
    <t>421979B</t>
  </si>
  <si>
    <t>451860I</t>
  </si>
  <si>
    <t>421809B</t>
  </si>
  <si>
    <t>421109C</t>
  </si>
  <si>
    <t>421910A</t>
  </si>
  <si>
    <t>422054B</t>
  </si>
  <si>
    <t>421429F</t>
  </si>
  <si>
    <t>451460C</t>
  </si>
  <si>
    <t>451596F</t>
  </si>
  <si>
    <t>421075A</t>
  </si>
  <si>
    <t>453322A</t>
  </si>
  <si>
    <t>422089A</t>
  </si>
  <si>
    <t>451381A</t>
  </si>
  <si>
    <t>422413A</t>
  </si>
  <si>
    <t>422414A</t>
  </si>
  <si>
    <t>422125A</t>
  </si>
  <si>
    <t>452920C</t>
  </si>
  <si>
    <t>421904I</t>
  </si>
  <si>
    <t>421728I</t>
  </si>
  <si>
    <t>422087E</t>
  </si>
  <si>
    <t>421613A</t>
  </si>
  <si>
    <t>412198A</t>
  </si>
  <si>
    <t>453876A</t>
  </si>
  <si>
    <t>452985A</t>
  </si>
  <si>
    <t>451443C</t>
  </si>
  <si>
    <t>405680A</t>
  </si>
  <si>
    <t>422440B</t>
  </si>
  <si>
    <t>453395A</t>
  </si>
  <si>
    <t>451106A</t>
  </si>
  <si>
    <t>407621A</t>
  </si>
  <si>
    <t>421404D</t>
  </si>
  <si>
    <t>451052A</t>
  </si>
  <si>
    <t>451033P</t>
  </si>
  <si>
    <t>450335A</t>
  </si>
  <si>
    <t>450601B</t>
  </si>
  <si>
    <t>404648/HUN</t>
  </si>
  <si>
    <t>422048A</t>
  </si>
  <si>
    <t>451973A</t>
  </si>
  <si>
    <t>453385A</t>
  </si>
  <si>
    <t>400213R</t>
  </si>
  <si>
    <t>422144A</t>
  </si>
  <si>
    <t>452295S</t>
  </si>
  <si>
    <t>451928B</t>
  </si>
  <si>
    <t>422749D</t>
  </si>
  <si>
    <t>450431R</t>
  </si>
  <si>
    <t>450072B</t>
  </si>
  <si>
    <t>404672/CO</t>
  </si>
  <si>
    <t>421895B</t>
  </si>
  <si>
    <t>403978A</t>
  </si>
  <si>
    <t>451492C</t>
  </si>
  <si>
    <t>400291R</t>
  </si>
  <si>
    <t>422468A</t>
  </si>
  <si>
    <t>404034A</t>
  </si>
  <si>
    <t>407062/CO</t>
  </si>
  <si>
    <t>453656A</t>
  </si>
  <si>
    <t>421099A</t>
  </si>
  <si>
    <t>413481S</t>
  </si>
  <si>
    <t>452920L</t>
  </si>
  <si>
    <t>450431A</t>
  </si>
  <si>
    <t>450431S</t>
  </si>
  <si>
    <t>451621S</t>
  </si>
  <si>
    <t>453487B</t>
  </si>
  <si>
    <t>421060A</t>
  </si>
  <si>
    <t>422151E</t>
  </si>
  <si>
    <t>421098B</t>
  </si>
  <si>
    <t>400303B</t>
  </si>
  <si>
    <t>452357E</t>
  </si>
  <si>
    <t>450084A</t>
  </si>
  <si>
    <t>413242/CO</t>
  </si>
  <si>
    <t>453275A</t>
  </si>
  <si>
    <t>422185A</t>
  </si>
  <si>
    <t>453379A</t>
  </si>
  <si>
    <t>413240C</t>
  </si>
  <si>
    <t>450366P</t>
  </si>
  <si>
    <t>453488A</t>
  </si>
  <si>
    <t>421101A</t>
  </si>
  <si>
    <t>451621T</t>
  </si>
  <si>
    <t>453123A</t>
  </si>
  <si>
    <t>401451/CO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</si>
</sst>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rgb="FFFF0000"/>
      </top>
      <bottom style="thin">
        <color theme="4" tint="0.39997558519241921"/>
      </bottom>
      <diagonal/>
    </border>
    <border>
      <left style="thick">
        <color rgb="FFFF0000"/>
      </left>
      <right/>
      <top style="thick">
        <color rgb="FFFF0000"/>
      </top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2" fillId="0" borderId="1" xfId="0" applyNumberFormat="1" applyFont="1" applyBorder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3" fontId="2" fillId="4" borderId="4" xfId="0" quotePrefix="1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5" fontId="4" fillId="7" borderId="6" xfId="0" applyNumberFormat="1" applyFont="1" applyFill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3" fontId="7" fillId="11" borderId="0" xfId="0" applyNumberFormat="1" applyFont="1" applyFill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3" fontId="8" fillId="13" borderId="0" xfId="0" applyNumberFormat="1" applyFont="1" applyFill="1" applyAlignment="1">
      <alignment horizontal="center" vertical="center" wrapText="1"/>
    </xf>
    <xf numFmtId="3" fontId="8" fillId="14" borderId="0" xfId="0" applyNumberFormat="1" applyFont="1" applyFill="1" applyAlignment="1">
      <alignment horizontal="center" vertical="center" wrapText="1"/>
    </xf>
    <xf numFmtId="3" fontId="8" fillId="15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3" fontId="7" fillId="11" borderId="8" xfId="0" applyNumberFormat="1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49" fontId="2" fillId="10" borderId="0" xfId="1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1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2" fontId="9" fillId="17" borderId="0" xfId="0" applyNumberFormat="1" applyFont="1" applyFill="1" applyAlignment="1">
      <alignment horizontal="center"/>
    </xf>
    <xf numFmtId="49" fontId="2" fillId="12" borderId="0" xfId="0" applyNumberFormat="1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upply%20Chain\SEBASTI&#193;N\BACKUP\Planificaci&#243;n%20-%20producci&#243;n\TSP\2025\Q3\EJECUCI&#211;N\Versiones%20Q3\P7%20V3%20%20CON%20DATOS%20DEL%2027082025.xlsm" TargetMode="External"/><Relationship Id="rId1" Type="http://schemas.openxmlformats.org/officeDocument/2006/relationships/externalLinkPath" Target="file:///Y:\Supply%20Chain\SEBASTI&#193;N\BACKUP\Planificaci&#243;n%20-%20producci&#243;n\TSP\2025\Q3\EJECUCI&#211;N\Versiones%20Q3\P7%20V3%20%20CON%20DATOS%20DEL%202708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Resumen_Agrupado"/>
      <sheetName val="comparativa artículos entre des"/>
      <sheetName val="ALBARANES"/>
      <sheetName val="DV-S"/>
      <sheetName val="RM UA02"/>
      <sheetName val="OEE MEJORADA"/>
      <sheetName val="CÁLCULO ESTACIONALIDAD"/>
      <sheetName val="Hoja1"/>
      <sheetName val="PEGAR LISTADO PEDIDOS DE VE (2)"/>
      <sheetName val="DATOS PBI Artículos"/>
      <sheetName val="ARTÍCULOS"/>
      <sheetName val="CRITERIOS"/>
      <sheetName val="CAPACIDAD INSTALADA"/>
      <sheetName val="MÁQUINAS"/>
      <sheetName val="SATURACIÓN MÁQUINAS"/>
      <sheetName val="NIVELACIÓN PERSO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CARGA TABLA DE DATOS PBI</v>
          </cell>
          <cell r="AX1" t="str">
            <v>Calculadora lote económico</v>
          </cell>
        </row>
        <row r="3">
          <cell r="A3" t="str">
            <v>ARTÍCULO</v>
          </cell>
          <cell r="B3" t="str">
            <v>CADENA_VALOR</v>
          </cell>
          <cell r="C3" t="str">
            <v>UATC</v>
          </cell>
          <cell r="T3" t="str">
            <v>NºPED_FUT</v>
          </cell>
          <cell r="W3" t="str">
            <v>STOCK</v>
          </cell>
          <cell r="X3" t="str">
            <v>WIP</v>
          </cell>
          <cell r="Z3" t="str">
            <v>CANT_EMB</v>
          </cell>
          <cell r="AJ3" t="str">
            <v xml:space="preserve">DEMANDA </v>
          </cell>
          <cell r="AK3" t="str">
            <v>DECISIÓN PLANIF</v>
          </cell>
          <cell r="AL3" t="str">
            <v>SEPTIEMBRE</v>
          </cell>
          <cell r="AM3" t="str">
            <v>OCTUBRE</v>
          </cell>
          <cell r="AN3" t="str">
            <v>NOVIEMBRE</v>
          </cell>
          <cell r="AO3" t="str">
            <v>DICIEMBRE</v>
          </cell>
          <cell r="AP3" t="str">
            <v xml:space="preserve">FRECUENCIA
</v>
          </cell>
          <cell r="AR3" t="str">
            <v>LOTE RECOGIDA</v>
          </cell>
          <cell r="AS3" t="str">
            <v>MCD</v>
          </cell>
          <cell r="AT3" t="str">
            <v>DESVIACIÓN LOTE RECOGIDA</v>
          </cell>
          <cell r="AU3" t="str">
            <v>LT + rotación</v>
          </cell>
          <cell r="AV3" t="str">
            <v>VAR. LT_OP</v>
          </cell>
          <cell r="AX3" t="str">
            <v>LOTE ECONÓMICO ROW</v>
          </cell>
        </row>
        <row r="4">
          <cell r="A4" t="str">
            <v>421653L</v>
          </cell>
          <cell r="C4" t="str">
            <v>UA01</v>
          </cell>
          <cell r="T4">
            <v>89</v>
          </cell>
          <cell r="W4">
            <v>450455</v>
          </cell>
          <cell r="X4">
            <v>308174</v>
          </cell>
          <cell r="Y4" t="str">
            <v>C14N/FONDO</v>
          </cell>
          <cell r="Z4">
            <v>4000</v>
          </cell>
          <cell r="AA4">
            <v>6.173E-2</v>
          </cell>
          <cell r="AJ4">
            <v>9116000</v>
          </cell>
          <cell r="AL4">
            <v>2530385.7171670003</v>
          </cell>
          <cell r="AM4">
            <v>2322521.3040929995</v>
          </cell>
          <cell r="AN4">
            <v>2418954.7824689997</v>
          </cell>
          <cell r="AO4">
            <v>1844138.196271</v>
          </cell>
          <cell r="AP4">
            <v>0.88</v>
          </cell>
          <cell r="AR4">
            <v>108000</v>
          </cell>
          <cell r="AS4">
            <v>4000</v>
          </cell>
          <cell r="AT4">
            <v>44557.05</v>
          </cell>
          <cell r="AU4">
            <v>3.0960000000000001</v>
          </cell>
          <cell r="AV4">
            <v>1.166909344959941</v>
          </cell>
          <cell r="AX4">
            <v>622239.07442782808</v>
          </cell>
        </row>
        <row r="5">
          <cell r="A5">
            <v>421654</v>
          </cell>
          <cell r="C5" t="str">
            <v>UA01</v>
          </cell>
          <cell r="T5">
            <v>68</v>
          </cell>
          <cell r="W5">
            <v>668000</v>
          </cell>
          <cell r="X5">
            <v>432000</v>
          </cell>
          <cell r="Z5">
            <v>4000</v>
          </cell>
          <cell r="AJ5">
            <v>5176000</v>
          </cell>
          <cell r="AL5">
            <v>1436735.0232619999</v>
          </cell>
          <cell r="AM5">
            <v>1318711.0870979999</v>
          </cell>
          <cell r="AN5">
            <v>1373465.3306339998</v>
          </cell>
          <cell r="AO5">
            <v>1047088.5590059999</v>
          </cell>
          <cell r="AP5">
            <v>1.1384615384600001</v>
          </cell>
          <cell r="AR5">
            <v>80000</v>
          </cell>
          <cell r="AS5">
            <v>4000</v>
          </cell>
          <cell r="AT5">
            <v>65196.050046954086</v>
          </cell>
          <cell r="AU5">
            <v>13.694444444444445</v>
          </cell>
          <cell r="AV5">
            <v>1.7086267353678428</v>
          </cell>
          <cell r="AX5">
            <v>647661.32747057034</v>
          </cell>
        </row>
        <row r="6">
          <cell r="A6" t="str">
            <v>421979B</v>
          </cell>
          <cell r="C6" t="str">
            <v>UA01</v>
          </cell>
          <cell r="T6">
            <v>24</v>
          </cell>
          <cell r="W6">
            <v>496180</v>
          </cell>
          <cell r="X6">
            <v>267400</v>
          </cell>
          <cell r="Z6">
            <v>3000</v>
          </cell>
          <cell r="AJ6">
            <v>2832000</v>
          </cell>
          <cell r="AL6">
            <v>786096.13328399998</v>
          </cell>
          <cell r="AM6">
            <v>721520.44023599988</v>
          </cell>
          <cell r="AN6">
            <v>751478.71258799988</v>
          </cell>
          <cell r="AO6">
            <v>572904.71389199991</v>
          </cell>
          <cell r="AP6">
            <v>3.1428571428500001</v>
          </cell>
          <cell r="AR6">
            <v>120000</v>
          </cell>
          <cell r="AS6">
            <v>24000</v>
          </cell>
          <cell r="AT6">
            <v>37434.618327834592</v>
          </cell>
          <cell r="AU6">
            <v>22.53846153846154</v>
          </cell>
          <cell r="AV6">
            <v>7.1000180570373495</v>
          </cell>
          <cell r="AX6">
            <v>316711.21299139614</v>
          </cell>
        </row>
        <row r="7">
          <cell r="A7" t="str">
            <v>451860I</v>
          </cell>
          <cell r="C7" t="str">
            <v>UA01</v>
          </cell>
          <cell r="T7">
            <v>8</v>
          </cell>
          <cell r="W7">
            <v>120960</v>
          </cell>
          <cell r="X7">
            <v>360</v>
          </cell>
          <cell r="Z7">
            <v>20160</v>
          </cell>
          <cell r="AJ7">
            <v>2681280</v>
          </cell>
          <cell r="AL7">
            <v>744259.83059736004</v>
          </cell>
          <cell r="AM7">
            <v>683120.87782343989</v>
          </cell>
          <cell r="AN7">
            <v>711484.76076551992</v>
          </cell>
          <cell r="AO7">
            <v>542414.53081367991</v>
          </cell>
          <cell r="AP7">
            <v>9</v>
          </cell>
          <cell r="AR7">
            <v>342720</v>
          </cell>
          <cell r="AS7">
            <v>20160</v>
          </cell>
          <cell r="AT7">
            <v>415809.81806590379</v>
          </cell>
          <cell r="AU7">
            <v>14.388888888888889</v>
          </cell>
          <cell r="AV7">
            <v>9.6170124313414078</v>
          </cell>
          <cell r="AX7">
            <v>589288.66800186411</v>
          </cell>
        </row>
        <row r="8">
          <cell r="A8" t="str">
            <v>421809B</v>
          </cell>
          <cell r="C8" t="str">
            <v>UA01</v>
          </cell>
          <cell r="T8">
            <v>7</v>
          </cell>
          <cell r="W8">
            <v>455000</v>
          </cell>
          <cell r="X8">
            <v>152300</v>
          </cell>
          <cell r="Z8">
            <v>5000</v>
          </cell>
          <cell r="AJ8">
            <v>1900000</v>
          </cell>
          <cell r="AL8">
            <v>527395.00467499997</v>
          </cell>
          <cell r="AM8">
            <v>484070.91682499996</v>
          </cell>
          <cell r="AN8">
            <v>504170.04022499995</v>
          </cell>
          <cell r="AO8">
            <v>384364.038275</v>
          </cell>
          <cell r="AP8">
            <v>10.33333333333</v>
          </cell>
          <cell r="AR8">
            <v>300000</v>
          </cell>
          <cell r="AS8">
            <v>100000</v>
          </cell>
          <cell r="AT8">
            <v>95118.973121134186</v>
          </cell>
          <cell r="AU8">
            <v>23.74285714285714</v>
          </cell>
          <cell r="AV8">
            <v>3.9358298111733703</v>
          </cell>
          <cell r="AX8">
            <v>566636.93962175399</v>
          </cell>
        </row>
        <row r="9">
          <cell r="A9">
            <v>422016</v>
          </cell>
          <cell r="C9" t="str">
            <v>UA01</v>
          </cell>
          <cell r="T9">
            <v>19</v>
          </cell>
          <cell r="W9">
            <v>174230</v>
          </cell>
          <cell r="X9">
            <v>0</v>
          </cell>
          <cell r="Z9">
            <v>2000</v>
          </cell>
          <cell r="AJ9">
            <v>1300000</v>
          </cell>
          <cell r="AL9">
            <v>360849.21372500004</v>
          </cell>
          <cell r="AM9">
            <v>331206.41677499999</v>
          </cell>
          <cell r="AN9">
            <v>344958.44857499999</v>
          </cell>
          <cell r="AO9">
            <v>262985.92092499998</v>
          </cell>
          <cell r="AP9">
            <v>4.125</v>
          </cell>
          <cell r="AR9">
            <v>80000</v>
          </cell>
          <cell r="AS9">
            <v>20000</v>
          </cell>
          <cell r="AT9">
            <v>7859.05247993375</v>
          </cell>
          <cell r="AU9">
            <v>12.28099173553719</v>
          </cell>
          <cell r="AV9">
            <v>0.98508155750228599</v>
          </cell>
          <cell r="AX9">
            <v>358928.6085731748</v>
          </cell>
        </row>
        <row r="10">
          <cell r="A10" t="str">
            <v>421109C</v>
          </cell>
          <cell r="C10" t="str">
            <v>UA01</v>
          </cell>
          <cell r="T10">
            <v>5</v>
          </cell>
          <cell r="X10">
            <v>49540</v>
          </cell>
          <cell r="Z10">
            <v>1500</v>
          </cell>
          <cell r="AJ10">
            <v>1200000</v>
          </cell>
          <cell r="AL10">
            <v>333091.58189999999</v>
          </cell>
          <cell r="AM10">
            <v>305729.00009999995</v>
          </cell>
          <cell r="AN10">
            <v>318423.18329999998</v>
          </cell>
          <cell r="AO10">
            <v>242756.23469999997</v>
          </cell>
          <cell r="AP10">
            <v>20.666666666659999</v>
          </cell>
          <cell r="AR10">
            <v>300000</v>
          </cell>
          <cell r="AS10">
            <v>300000</v>
          </cell>
          <cell r="AT10">
            <v>0</v>
          </cell>
          <cell r="AU10">
            <v>20.333333333333336</v>
          </cell>
          <cell r="AV10">
            <v>2.3094010767585051</v>
          </cell>
          <cell r="AX10">
            <v>159402.21087159228</v>
          </cell>
        </row>
        <row r="11">
          <cell r="A11">
            <v>452065</v>
          </cell>
          <cell r="C11" t="str">
            <v>UA02</v>
          </cell>
          <cell r="T11">
            <v>4</v>
          </cell>
          <cell r="W11">
            <v>268200</v>
          </cell>
          <cell r="X11">
            <v>305500</v>
          </cell>
          <cell r="Z11">
            <v>20000</v>
          </cell>
          <cell r="AJ11">
            <v>1200000</v>
          </cell>
          <cell r="AL11">
            <v>333091.58189999999</v>
          </cell>
          <cell r="AM11">
            <v>305729.00009999995</v>
          </cell>
          <cell r="AN11">
            <v>318423.18329999998</v>
          </cell>
          <cell r="AO11">
            <v>242756.23469999997</v>
          </cell>
          <cell r="AP11">
            <v>18.666666666659999</v>
          </cell>
          <cell r="AR11">
            <v>300000</v>
          </cell>
          <cell r="AS11">
            <v>300000</v>
          </cell>
          <cell r="AT11">
            <v>0</v>
          </cell>
          <cell r="AU11">
            <v>30.19047619047619</v>
          </cell>
          <cell r="AV11">
            <v>8.6407120517874425</v>
          </cell>
          <cell r="AX11">
            <v>204254.25019708797</v>
          </cell>
        </row>
        <row r="12">
          <cell r="A12">
            <v>412366</v>
          </cell>
          <cell r="C12" t="str">
            <v>UA03</v>
          </cell>
          <cell r="T12">
            <v>2</v>
          </cell>
          <cell r="W12">
            <v>48480</v>
          </cell>
          <cell r="X12">
            <v>0</v>
          </cell>
          <cell r="Z12">
            <v>15000</v>
          </cell>
          <cell r="AJ12">
            <v>990000</v>
          </cell>
          <cell r="AL12">
            <v>495000</v>
          </cell>
          <cell r="AM12">
            <v>495000</v>
          </cell>
          <cell r="AN12">
            <v>0</v>
          </cell>
          <cell r="AO12">
            <v>0</v>
          </cell>
          <cell r="AP12">
            <v>23</v>
          </cell>
          <cell r="AR12">
            <v>495000</v>
          </cell>
          <cell r="AS12">
            <v>495000</v>
          </cell>
          <cell r="AT12">
            <v>0</v>
          </cell>
          <cell r="AU12">
            <v>14.6</v>
          </cell>
          <cell r="AV12">
            <v>1.3522468075656271</v>
          </cell>
          <cell r="AX12">
            <v>212461.11969321719</v>
          </cell>
        </row>
        <row r="13">
          <cell r="A13" t="str">
            <v>421910A</v>
          </cell>
          <cell r="C13" t="str">
            <v>UA01</v>
          </cell>
          <cell r="T13">
            <v>18</v>
          </cell>
          <cell r="W13">
            <v>55500</v>
          </cell>
          <cell r="X13">
            <v>277385</v>
          </cell>
          <cell r="Z13">
            <v>1000</v>
          </cell>
          <cell r="AJ13">
            <v>800000</v>
          </cell>
          <cell r="AL13">
            <v>222061.0546</v>
          </cell>
          <cell r="AM13">
            <v>203819.33339999997</v>
          </cell>
          <cell r="AN13">
            <v>212282.12219999998</v>
          </cell>
          <cell r="AO13">
            <v>161837.48979999998</v>
          </cell>
          <cell r="AP13">
            <v>4.375</v>
          </cell>
          <cell r="AR13">
            <v>40000</v>
          </cell>
          <cell r="AS13">
            <v>40000</v>
          </cell>
          <cell r="AT13">
            <v>15718.104959867516</v>
          </cell>
          <cell r="AU13">
            <v>23.129870129870127</v>
          </cell>
          <cell r="AV13">
            <v>7.3634064080614374</v>
          </cell>
          <cell r="AX13">
            <v>101425.75748626106</v>
          </cell>
        </row>
        <row r="14">
          <cell r="A14">
            <v>453298</v>
          </cell>
          <cell r="C14" t="str">
            <v>UA01</v>
          </cell>
          <cell r="T14">
            <v>7</v>
          </cell>
          <cell r="X14">
            <v>88900</v>
          </cell>
          <cell r="Z14">
            <v>5000</v>
          </cell>
          <cell r="AJ14">
            <v>800000</v>
          </cell>
          <cell r="AL14">
            <v>222061.0546</v>
          </cell>
          <cell r="AM14">
            <v>203819.33339999997</v>
          </cell>
          <cell r="AN14">
            <v>212282.12219999998</v>
          </cell>
          <cell r="AO14">
            <v>161837.48979999998</v>
          </cell>
          <cell r="AP14">
            <v>9.8333333333299997</v>
          </cell>
          <cell r="AR14">
            <v>100000</v>
          </cell>
          <cell r="AS14">
            <v>50000</v>
          </cell>
          <cell r="AT14">
            <v>47559.486560567093</v>
          </cell>
          <cell r="AU14">
            <v>7.7948717948717947</v>
          </cell>
          <cell r="AV14">
            <v>3.6444548676106931</v>
          </cell>
          <cell r="AX14">
            <v>226484.71534643078</v>
          </cell>
        </row>
        <row r="15">
          <cell r="A15">
            <v>422297</v>
          </cell>
          <cell r="C15" t="str">
            <v>UA01</v>
          </cell>
          <cell r="T15">
            <v>5</v>
          </cell>
          <cell r="W15">
            <v>35000</v>
          </cell>
          <cell r="X15">
            <v>432100</v>
          </cell>
          <cell r="Z15">
            <v>20000</v>
          </cell>
          <cell r="AJ15">
            <v>800000</v>
          </cell>
          <cell r="AL15">
            <v>222061.0546</v>
          </cell>
          <cell r="AM15">
            <v>203819.33339999997</v>
          </cell>
          <cell r="AN15">
            <v>212282.12219999998</v>
          </cell>
          <cell r="AO15">
            <v>161837.48979999998</v>
          </cell>
          <cell r="AP15">
            <v>16.75</v>
          </cell>
          <cell r="AR15">
            <v>160000</v>
          </cell>
          <cell r="AS15">
            <v>160000</v>
          </cell>
          <cell r="AT15">
            <v>0</v>
          </cell>
          <cell r="AU15">
            <v>33.733333333333334</v>
          </cell>
          <cell r="AV15">
            <v>19.277917295135779</v>
          </cell>
          <cell r="AX15">
            <v>183820.00141725715</v>
          </cell>
        </row>
        <row r="16">
          <cell r="A16">
            <v>404003</v>
          </cell>
          <cell r="C16" t="str">
            <v>UA02</v>
          </cell>
          <cell r="T16">
            <v>4</v>
          </cell>
          <cell r="W16">
            <v>330000</v>
          </cell>
          <cell r="X16">
            <v>118800</v>
          </cell>
          <cell r="Z16">
            <v>15000</v>
          </cell>
          <cell r="AJ16">
            <v>730000</v>
          </cell>
          <cell r="AL16">
            <v>202630.71232250001</v>
          </cell>
          <cell r="AM16">
            <v>185985.14172749998</v>
          </cell>
          <cell r="AN16">
            <v>193707.43650749998</v>
          </cell>
          <cell r="AO16">
            <v>147676.7094425</v>
          </cell>
          <cell r="AP16">
            <v>1.17391304347</v>
          </cell>
          <cell r="AR16">
            <v>15000</v>
          </cell>
          <cell r="AS16">
            <v>15000</v>
          </cell>
          <cell r="AT16">
            <v>3060.445633328678</v>
          </cell>
          <cell r="AU16">
            <v>12.681818181818182</v>
          </cell>
          <cell r="AV16">
            <v>5.2225369098639964</v>
          </cell>
          <cell r="AX16">
            <v>163128.25618745567</v>
          </cell>
        </row>
        <row r="17">
          <cell r="A17">
            <v>452130</v>
          </cell>
          <cell r="C17" t="str">
            <v>UA02</v>
          </cell>
          <cell r="T17">
            <v>4</v>
          </cell>
          <cell r="W17">
            <v>348100</v>
          </cell>
          <cell r="X17">
            <v>251000</v>
          </cell>
          <cell r="Z17">
            <v>50000</v>
          </cell>
          <cell r="AJ17">
            <v>700000</v>
          </cell>
          <cell r="AL17">
            <v>194303.42277500001</v>
          </cell>
          <cell r="AM17">
            <v>178341.91672499999</v>
          </cell>
          <cell r="AN17">
            <v>185746.85692499997</v>
          </cell>
          <cell r="AO17">
            <v>141607.803575</v>
          </cell>
          <cell r="AP17">
            <v>17.666666666659999</v>
          </cell>
          <cell r="AR17">
            <v>200000</v>
          </cell>
          <cell r="AS17">
            <v>50000</v>
          </cell>
          <cell r="AT17">
            <v>86602.540378443868</v>
          </cell>
          <cell r="AU17">
            <v>28.363636363636363</v>
          </cell>
          <cell r="AV17">
            <v>9.6671891185879595</v>
          </cell>
          <cell r="AX17">
            <v>198300.70355438258</v>
          </cell>
        </row>
        <row r="18">
          <cell r="A18" t="str">
            <v>422054B</v>
          </cell>
          <cell r="C18" t="str">
            <v>UA01</v>
          </cell>
          <cell r="T18">
            <v>22</v>
          </cell>
          <cell r="W18">
            <v>115880</v>
          </cell>
          <cell r="X18">
            <v>120750</v>
          </cell>
          <cell r="Z18">
            <v>4000</v>
          </cell>
          <cell r="AJ18">
            <v>690000</v>
          </cell>
          <cell r="AL18">
            <v>191527.65959250001</v>
          </cell>
          <cell r="AM18">
            <v>175794.17505749999</v>
          </cell>
          <cell r="AN18">
            <v>183093.33039749999</v>
          </cell>
          <cell r="AO18">
            <v>139584.83495249998</v>
          </cell>
          <cell r="AP18">
            <v>3.6</v>
          </cell>
          <cell r="AR18">
            <v>32000</v>
          </cell>
          <cell r="AS18">
            <v>4000</v>
          </cell>
          <cell r="AT18">
            <v>5461.5539389968044</v>
          </cell>
          <cell r="AU18">
            <v>24.098765432098766</v>
          </cell>
          <cell r="AV18">
            <v>6.0840055437836442</v>
          </cell>
          <cell r="AX18">
            <v>149902.53699438644</v>
          </cell>
        </row>
        <row r="19">
          <cell r="A19" t="str">
            <v>421429F</v>
          </cell>
          <cell r="C19" t="str">
            <v>UA01</v>
          </cell>
          <cell r="T19">
            <v>3</v>
          </cell>
          <cell r="W19">
            <v>170125</v>
          </cell>
          <cell r="X19">
            <v>251300</v>
          </cell>
          <cell r="Z19">
            <v>4200</v>
          </cell>
          <cell r="AJ19">
            <v>604800</v>
          </cell>
          <cell r="AL19">
            <v>201600</v>
          </cell>
          <cell r="AM19">
            <v>0</v>
          </cell>
          <cell r="AN19">
            <v>201600</v>
          </cell>
          <cell r="AO19">
            <v>201600</v>
          </cell>
          <cell r="AP19">
            <v>27.5</v>
          </cell>
          <cell r="AR19">
            <v>201600</v>
          </cell>
          <cell r="AS19">
            <v>201600</v>
          </cell>
          <cell r="AT19">
            <v>0</v>
          </cell>
          <cell r="AU19">
            <v>21.130434782608695</v>
          </cell>
          <cell r="AV19">
            <v>5.0838813717839191</v>
          </cell>
          <cell r="AX19">
            <v>282537.4193876771</v>
          </cell>
        </row>
        <row r="20">
          <cell r="A20" t="str">
            <v>451460C</v>
          </cell>
          <cell r="C20" t="str">
            <v>UA02</v>
          </cell>
          <cell r="T20">
            <v>4</v>
          </cell>
          <cell r="W20">
            <v>108700</v>
          </cell>
          <cell r="X20">
            <v>5200</v>
          </cell>
          <cell r="Z20">
            <v>10000</v>
          </cell>
          <cell r="AJ20">
            <v>550000</v>
          </cell>
          <cell r="AL20">
            <v>152666.9750375</v>
          </cell>
          <cell r="AM20">
            <v>140125.79171249998</v>
          </cell>
          <cell r="AN20">
            <v>145943.95901249998</v>
          </cell>
          <cell r="AO20">
            <v>111263.27423749999</v>
          </cell>
          <cell r="AP20">
            <v>1.2857142857099999</v>
          </cell>
          <cell r="AR20">
            <v>10000</v>
          </cell>
          <cell r="AS20">
            <v>10000</v>
          </cell>
          <cell r="AT20">
            <v>0</v>
          </cell>
          <cell r="AU20">
            <v>20</v>
          </cell>
          <cell r="AV20">
            <v>2</v>
          </cell>
          <cell r="AX20">
            <v>118238.77442361592</v>
          </cell>
        </row>
        <row r="21">
          <cell r="A21">
            <v>453389</v>
          </cell>
          <cell r="C21" t="str">
            <v>UA03</v>
          </cell>
          <cell r="T21">
            <v>7</v>
          </cell>
          <cell r="X21">
            <v>185000</v>
          </cell>
          <cell r="Z21">
            <v>10000</v>
          </cell>
          <cell r="AJ21">
            <v>540000</v>
          </cell>
          <cell r="AL21">
            <v>164880.3330405</v>
          </cell>
          <cell r="AM21">
            <v>151335.85504949998</v>
          </cell>
          <cell r="AN21">
            <v>157619.4757335</v>
          </cell>
          <cell r="AO21">
            <v>120164.3361765</v>
          </cell>
          <cell r="AP21">
            <v>8.8333333333299997</v>
          </cell>
          <cell r="AR21">
            <v>80000</v>
          </cell>
          <cell r="AS21">
            <v>20000</v>
          </cell>
          <cell r="AT21">
            <v>21380.89935299394</v>
          </cell>
          <cell r="AU21">
            <v>20.714285714285715</v>
          </cell>
          <cell r="AV21">
            <v>8.3409489011399991</v>
          </cell>
          <cell r="AX21">
            <v>137439.88091638341</v>
          </cell>
        </row>
        <row r="22">
          <cell r="A22" t="str">
            <v>451596F</v>
          </cell>
          <cell r="C22" t="str">
            <v>UA03</v>
          </cell>
          <cell r="T22">
            <v>5</v>
          </cell>
          <cell r="W22">
            <v>38000</v>
          </cell>
          <cell r="X22">
            <v>474000</v>
          </cell>
          <cell r="Z22">
            <v>2000</v>
          </cell>
          <cell r="AJ22">
            <v>514000</v>
          </cell>
          <cell r="AL22">
            <v>156941.65033855001</v>
          </cell>
          <cell r="AM22">
            <v>144049.31388045</v>
          </cell>
          <cell r="AN22">
            <v>150030.38986485</v>
          </cell>
          <cell r="AO22">
            <v>114378.64591615001</v>
          </cell>
          <cell r="AP22">
            <v>14.75</v>
          </cell>
          <cell r="AR22">
            <v>102000</v>
          </cell>
          <cell r="AS22">
            <v>2000</v>
          </cell>
          <cell r="AT22">
            <v>6260.9903369994108</v>
          </cell>
          <cell r="AU22">
            <v>50.928571428571431</v>
          </cell>
          <cell r="AV22">
            <v>14.139221421902358</v>
          </cell>
          <cell r="AX22">
            <v>74715.054642685733</v>
          </cell>
        </row>
        <row r="23">
          <cell r="A23">
            <v>451811</v>
          </cell>
          <cell r="C23" t="str">
            <v>UA03</v>
          </cell>
          <cell r="T23">
            <v>4</v>
          </cell>
          <cell r="W23">
            <v>277200</v>
          </cell>
          <cell r="X23">
            <v>0</v>
          </cell>
          <cell r="Z23">
            <v>10000</v>
          </cell>
          <cell r="AJ23">
            <v>500000</v>
          </cell>
          <cell r="AL23">
            <v>150000</v>
          </cell>
          <cell r="AM23">
            <v>100000</v>
          </cell>
          <cell r="AN23">
            <v>100000</v>
          </cell>
          <cell r="AO23">
            <v>150000</v>
          </cell>
          <cell r="AP23">
            <v>21.666666666659999</v>
          </cell>
          <cell r="AR23">
            <v>150000</v>
          </cell>
          <cell r="AS23">
            <v>50000</v>
          </cell>
          <cell r="AT23">
            <v>28867.513459481288</v>
          </cell>
          <cell r="AU23">
            <v>9.3571428571428577</v>
          </cell>
          <cell r="AV23">
            <v>5.6921963161067195</v>
          </cell>
          <cell r="AX23">
            <v>65895.106961715399</v>
          </cell>
        </row>
        <row r="24">
          <cell r="A24">
            <v>450962</v>
          </cell>
          <cell r="C24" t="str">
            <v>UA03</v>
          </cell>
          <cell r="T24">
            <v>15</v>
          </cell>
          <cell r="W24">
            <v>138975</v>
          </cell>
          <cell r="X24">
            <v>0</v>
          </cell>
          <cell r="Z24">
            <v>2805</v>
          </cell>
          <cell r="AJ24">
            <v>474045</v>
          </cell>
          <cell r="AL24">
            <v>144742.03236330341</v>
          </cell>
          <cell r="AM24">
            <v>132851.86186470411</v>
          </cell>
          <cell r="AN24">
            <v>138368.00810016113</v>
          </cell>
          <cell r="AO24">
            <v>105487.59767183138</v>
          </cell>
          <cell r="AP24">
            <v>3.63157894736</v>
          </cell>
          <cell r="AR24">
            <v>22440</v>
          </cell>
          <cell r="AS24">
            <v>2805</v>
          </cell>
          <cell r="AT24">
            <v>20562.169562214567</v>
          </cell>
          <cell r="AU24">
            <v>17.142857142857142</v>
          </cell>
          <cell r="AV24">
            <v>3.9880774697543053</v>
          </cell>
          <cell r="AX24">
            <v>71301.474454181531</v>
          </cell>
        </row>
        <row r="25">
          <cell r="A25">
            <v>450431</v>
          </cell>
          <cell r="C25" t="str">
            <v>UA03</v>
          </cell>
          <cell r="T25">
            <v>16</v>
          </cell>
          <cell r="W25">
            <v>80500</v>
          </cell>
          <cell r="X25">
            <v>0</v>
          </cell>
          <cell r="Z25">
            <v>3500</v>
          </cell>
          <cell r="AJ25">
            <v>462000</v>
          </cell>
          <cell r="AL25">
            <v>141064.28493465</v>
          </cell>
          <cell r="AM25">
            <v>129476.23154235001</v>
          </cell>
          <cell r="AN25">
            <v>134852.21812755</v>
          </cell>
          <cell r="AO25">
            <v>102807.26539545</v>
          </cell>
          <cell r="AP25">
            <v>5</v>
          </cell>
          <cell r="AR25">
            <v>21000</v>
          </cell>
          <cell r="AS25">
            <v>21000</v>
          </cell>
          <cell r="AT25">
            <v>22262.075374951008</v>
          </cell>
          <cell r="AU25">
            <v>15.766666666666666</v>
          </cell>
          <cell r="AV25">
            <v>2.9087659823763556</v>
          </cell>
          <cell r="AX25">
            <v>76647.772891482935</v>
          </cell>
        </row>
        <row r="26">
          <cell r="A26">
            <v>400311</v>
          </cell>
          <cell r="C26" t="str">
            <v>UA03</v>
          </cell>
          <cell r="T26">
            <v>4</v>
          </cell>
          <cell r="W26">
            <v>80640</v>
          </cell>
          <cell r="X26">
            <v>95000</v>
          </cell>
          <cell r="Z26">
            <v>5040</v>
          </cell>
          <cell r="AJ26">
            <v>448560</v>
          </cell>
          <cell r="AL26">
            <v>136960.59664564201</v>
          </cell>
          <cell r="AM26">
            <v>125709.650261118</v>
          </cell>
          <cell r="AN26">
            <v>130929.24450929399</v>
          </cell>
          <cell r="AO26">
            <v>99816.508583945993</v>
          </cell>
          <cell r="AP26">
            <v>5.6666666666600003</v>
          </cell>
          <cell r="AR26">
            <v>110880</v>
          </cell>
          <cell r="AS26">
            <v>5040</v>
          </cell>
          <cell r="AT26">
            <v>46625.675330229802</v>
          </cell>
          <cell r="AU26">
            <v>15.130434782608695</v>
          </cell>
          <cell r="AV26">
            <v>2.4551309505176544</v>
          </cell>
          <cell r="AX26">
            <v>83812.849259342722</v>
          </cell>
        </row>
        <row r="27">
          <cell r="A27">
            <v>400293</v>
          </cell>
          <cell r="C27" t="str">
            <v>UA03</v>
          </cell>
          <cell r="T27">
            <v>8</v>
          </cell>
          <cell r="W27">
            <v>20400</v>
          </cell>
          <cell r="X27">
            <v>160400</v>
          </cell>
          <cell r="Z27">
            <v>10200</v>
          </cell>
          <cell r="AJ27">
            <v>438600</v>
          </cell>
          <cell r="AL27">
            <v>133919.47050289501</v>
          </cell>
          <cell r="AM27">
            <v>122918.344490205</v>
          </cell>
          <cell r="AN27">
            <v>128022.040845765</v>
          </cell>
          <cell r="AO27">
            <v>97600.144161135002</v>
          </cell>
          <cell r="AP27">
            <v>10.14285714285</v>
          </cell>
          <cell r="AR27">
            <v>51000</v>
          </cell>
          <cell r="AS27">
            <v>10200</v>
          </cell>
          <cell r="AT27">
            <v>13285.195842419056</v>
          </cell>
          <cell r="AU27">
            <v>14.285714285714285</v>
          </cell>
          <cell r="AV27">
            <v>2.1246848505803664</v>
          </cell>
          <cell r="AX27">
            <v>121503.67015999577</v>
          </cell>
        </row>
        <row r="28">
          <cell r="A28" t="str">
            <v>421075A</v>
          </cell>
          <cell r="C28" t="str">
            <v>UA01</v>
          </cell>
          <cell r="T28">
            <v>4</v>
          </cell>
          <cell r="W28">
            <v>276000</v>
          </cell>
          <cell r="X28">
            <v>87170</v>
          </cell>
          <cell r="Z28">
            <v>6000</v>
          </cell>
          <cell r="AJ28">
            <v>420000</v>
          </cell>
          <cell r="AL28">
            <v>116582.053665</v>
          </cell>
          <cell r="AM28">
            <v>107005.15003499998</v>
          </cell>
          <cell r="AN28">
            <v>111448.11415499999</v>
          </cell>
          <cell r="AO28">
            <v>84964.682144999999</v>
          </cell>
          <cell r="AP28">
            <v>20.666666666659999</v>
          </cell>
          <cell r="AR28">
            <v>100000</v>
          </cell>
          <cell r="AS28">
            <v>20000</v>
          </cell>
          <cell r="AT28">
            <v>10000</v>
          </cell>
          <cell r="AU28">
            <v>24.666666666666664</v>
          </cell>
          <cell r="AV28">
            <v>8.6590511412432853</v>
          </cell>
          <cell r="AX28">
            <v>110145.28566988668</v>
          </cell>
        </row>
        <row r="29">
          <cell r="A29">
            <v>452108</v>
          </cell>
          <cell r="C29" t="str">
            <v>UA02</v>
          </cell>
          <cell r="T29">
            <v>2</v>
          </cell>
          <cell r="W29">
            <v>14600</v>
          </cell>
          <cell r="X29">
            <v>215200</v>
          </cell>
          <cell r="Z29">
            <v>50000</v>
          </cell>
          <cell r="AJ29">
            <v>400000</v>
          </cell>
          <cell r="AL29">
            <v>0</v>
          </cell>
          <cell r="AM29">
            <v>250000</v>
          </cell>
          <cell r="AN29">
            <v>150000</v>
          </cell>
          <cell r="AO29">
            <v>0</v>
          </cell>
          <cell r="AP29">
            <v>20</v>
          </cell>
          <cell r="AR29">
            <v>200000</v>
          </cell>
          <cell r="AS29">
            <v>50000</v>
          </cell>
          <cell r="AT29">
            <v>70710.67811865476</v>
          </cell>
          <cell r="AU29">
            <v>17.7</v>
          </cell>
          <cell r="AV29">
            <v>8.9153917763784101</v>
          </cell>
          <cell r="AX29">
            <v>147969.40562365577</v>
          </cell>
        </row>
        <row r="30">
          <cell r="A30">
            <v>452085</v>
          </cell>
          <cell r="C30" t="str">
            <v>UA02</v>
          </cell>
          <cell r="T30">
            <v>2</v>
          </cell>
          <cell r="W30">
            <v>90700</v>
          </cell>
          <cell r="X30">
            <v>170000</v>
          </cell>
          <cell r="Z30">
            <v>50000</v>
          </cell>
          <cell r="AJ30">
            <v>400000</v>
          </cell>
          <cell r="AL30">
            <v>111030.5273</v>
          </cell>
          <cell r="AM30">
            <v>101909.66669999999</v>
          </cell>
          <cell r="AN30">
            <v>106141.06109999999</v>
          </cell>
          <cell r="AO30">
            <v>80918.744899999991</v>
          </cell>
          <cell r="AP30">
            <v>20</v>
          </cell>
          <cell r="AR30">
            <v>200000</v>
          </cell>
          <cell r="AS30">
            <v>200000</v>
          </cell>
          <cell r="AT30">
            <v>0</v>
          </cell>
          <cell r="AU30">
            <v>36.666666666666671</v>
          </cell>
          <cell r="AV30">
            <v>15.610796574709749</v>
          </cell>
          <cell r="AX30">
            <v>174146.42232835214</v>
          </cell>
        </row>
        <row r="31">
          <cell r="A31">
            <v>453288</v>
          </cell>
          <cell r="C31" t="str">
            <v>UA02</v>
          </cell>
          <cell r="T31">
            <v>4</v>
          </cell>
          <cell r="W31">
            <v>281900</v>
          </cell>
          <cell r="X31">
            <v>0</v>
          </cell>
          <cell r="Z31">
            <v>25000</v>
          </cell>
          <cell r="AJ31">
            <v>400000</v>
          </cell>
          <cell r="AL31">
            <v>111030.5273</v>
          </cell>
          <cell r="AM31">
            <v>101909.66669999999</v>
          </cell>
          <cell r="AN31">
            <v>106141.06109999999</v>
          </cell>
          <cell r="AO31">
            <v>80918.744899999991</v>
          </cell>
          <cell r="AP31">
            <v>8.375</v>
          </cell>
          <cell r="AR31">
            <v>25000</v>
          </cell>
          <cell r="AS31">
            <v>25000</v>
          </cell>
          <cell r="AT31">
            <v>0</v>
          </cell>
          <cell r="AU31">
            <v>24.933333333333334</v>
          </cell>
          <cell r="AV31">
            <v>8.99576619993036</v>
          </cell>
          <cell r="AX31">
            <v>129715.49032606227</v>
          </cell>
        </row>
        <row r="32">
          <cell r="A32" t="str">
            <v>453322A</v>
          </cell>
          <cell r="C32" t="str">
            <v>UA01</v>
          </cell>
          <cell r="T32">
            <v>14</v>
          </cell>
          <cell r="W32">
            <v>97890</v>
          </cell>
          <cell r="X32">
            <v>0</v>
          </cell>
          <cell r="Z32">
            <v>3000</v>
          </cell>
          <cell r="AJ32">
            <v>384000</v>
          </cell>
          <cell r="AL32">
            <v>106589.30620800001</v>
          </cell>
          <cell r="AM32">
            <v>97833.280031999995</v>
          </cell>
          <cell r="AN32">
            <v>101895.41865599999</v>
          </cell>
          <cell r="AO32">
            <v>77681.995104000001</v>
          </cell>
          <cell r="AP32">
            <v>4.84615384615</v>
          </cell>
          <cell r="AR32">
            <v>24000</v>
          </cell>
          <cell r="AS32">
            <v>24000</v>
          </cell>
          <cell r="AT32">
            <v>8715.2764704307556</v>
          </cell>
          <cell r="AU32">
            <v>15.2</v>
          </cell>
          <cell r="AV32">
            <v>3.7682887362833548</v>
          </cell>
          <cell r="AX32">
            <v>130578.92640940849</v>
          </cell>
        </row>
        <row r="33">
          <cell r="A33" t="str">
            <v>422089A</v>
          </cell>
          <cell r="C33" t="str">
            <v>UA01</v>
          </cell>
          <cell r="T33">
            <v>11</v>
          </cell>
          <cell r="W33">
            <v>35360</v>
          </cell>
          <cell r="X33">
            <v>146700</v>
          </cell>
          <cell r="Z33">
            <v>3000</v>
          </cell>
          <cell r="AJ33">
            <v>366000</v>
          </cell>
          <cell r="AL33">
            <v>101592.9324795</v>
          </cell>
          <cell r="AM33">
            <v>93247.345030499986</v>
          </cell>
          <cell r="AN33">
            <v>97119.070906499997</v>
          </cell>
          <cell r="AO33">
            <v>74040.651583499988</v>
          </cell>
          <cell r="AP33">
            <v>6.8888888888800004</v>
          </cell>
          <cell r="AR33">
            <v>36000</v>
          </cell>
          <cell r="AS33">
            <v>3000</v>
          </cell>
          <cell r="AT33">
            <v>14886.235252742716</v>
          </cell>
          <cell r="AU33">
            <v>45.666666666666664</v>
          </cell>
          <cell r="AV33">
            <v>19.809235146805875</v>
          </cell>
          <cell r="AX33">
            <v>108644.75704425824</v>
          </cell>
        </row>
        <row r="34">
          <cell r="A34">
            <v>452590</v>
          </cell>
          <cell r="C34" t="str">
            <v>UA03</v>
          </cell>
          <cell r="T34">
            <v>21</v>
          </cell>
          <cell r="W34">
            <v>22950</v>
          </cell>
          <cell r="X34">
            <v>0</v>
          </cell>
          <cell r="Z34">
            <v>2550</v>
          </cell>
          <cell r="AJ34">
            <v>357000</v>
          </cell>
          <cell r="AL34">
            <v>109004.22017677502</v>
          </cell>
          <cell r="AM34">
            <v>100049.815282725</v>
          </cell>
          <cell r="AN34">
            <v>104203.986734925</v>
          </cell>
          <cell r="AO34">
            <v>79441.977805574992</v>
          </cell>
          <cell r="AP34">
            <v>3.7777777777699999</v>
          </cell>
          <cell r="AR34">
            <v>20400</v>
          </cell>
          <cell r="AS34">
            <v>10200</v>
          </cell>
          <cell r="AT34">
            <v>13283.15117971477</v>
          </cell>
          <cell r="AU34">
            <v>15</v>
          </cell>
          <cell r="AV34">
            <v>2.354878881270658</v>
          </cell>
          <cell r="AX34">
            <v>56690.348940790711</v>
          </cell>
        </row>
        <row r="35">
          <cell r="A35">
            <v>403076</v>
          </cell>
          <cell r="C35" t="str">
            <v>UA02</v>
          </cell>
          <cell r="T35">
            <v>4</v>
          </cell>
          <cell r="W35">
            <v>234100</v>
          </cell>
          <cell r="X35">
            <v>0</v>
          </cell>
          <cell r="Z35">
            <v>20000</v>
          </cell>
          <cell r="AJ35">
            <v>350000</v>
          </cell>
          <cell r="AL35">
            <v>97151.711387500007</v>
          </cell>
          <cell r="AM35">
            <v>89170.958362499994</v>
          </cell>
          <cell r="AN35">
            <v>92873.428462499985</v>
          </cell>
          <cell r="AO35">
            <v>70803.901787499999</v>
          </cell>
          <cell r="AP35">
            <v>4.5333333333299999</v>
          </cell>
          <cell r="AR35">
            <v>20000</v>
          </cell>
          <cell r="AS35">
            <v>20000</v>
          </cell>
          <cell r="AT35">
            <v>0</v>
          </cell>
          <cell r="AU35">
            <v>20.166666666666664</v>
          </cell>
          <cell r="AV35">
            <v>7.7174363314128982</v>
          </cell>
          <cell r="AX35">
            <v>125750.95420585299</v>
          </cell>
        </row>
        <row r="36">
          <cell r="A36">
            <v>452083</v>
          </cell>
          <cell r="C36" t="str">
            <v>UA02</v>
          </cell>
          <cell r="T36">
            <v>3</v>
          </cell>
          <cell r="W36">
            <v>240000</v>
          </cell>
          <cell r="Z36">
            <v>20000</v>
          </cell>
          <cell r="AJ36">
            <v>340000</v>
          </cell>
          <cell r="AL36">
            <v>100000</v>
          </cell>
          <cell r="AM36">
            <v>140000</v>
          </cell>
          <cell r="AN36">
            <v>100000</v>
          </cell>
          <cell r="AO36">
            <v>0</v>
          </cell>
          <cell r="AP36">
            <v>26.5</v>
          </cell>
          <cell r="AR36">
            <v>120000</v>
          </cell>
          <cell r="AS36">
            <v>20000</v>
          </cell>
          <cell r="AT36">
            <v>23094.010767585001</v>
          </cell>
          <cell r="AU36">
            <v>19.5</v>
          </cell>
          <cell r="AV36">
            <v>3.1091263510296048</v>
          </cell>
          <cell r="AX36">
            <v>129496.01837933519</v>
          </cell>
        </row>
        <row r="37">
          <cell r="A37">
            <v>422007</v>
          </cell>
          <cell r="C37" t="str">
            <v>UA01</v>
          </cell>
          <cell r="T37">
            <v>6</v>
          </cell>
          <cell r="W37">
            <v>5000</v>
          </cell>
          <cell r="X37">
            <v>0</v>
          </cell>
          <cell r="Z37">
            <v>5000</v>
          </cell>
          <cell r="AJ37">
            <v>340000</v>
          </cell>
          <cell r="AL37">
            <v>94375.948205000008</v>
          </cell>
          <cell r="AM37">
            <v>86623.216694999996</v>
          </cell>
          <cell r="AN37">
            <v>90219.901934999987</v>
          </cell>
          <cell r="AO37">
            <v>68780.933164999995</v>
          </cell>
          <cell r="AP37">
            <v>14</v>
          </cell>
          <cell r="AR37">
            <v>60000</v>
          </cell>
          <cell r="AS37">
            <v>20000</v>
          </cell>
          <cell r="AT37">
            <v>15055.453054181611</v>
          </cell>
          <cell r="AU37">
            <v>18.482758620689655</v>
          </cell>
          <cell r="AV37">
            <v>5.0399878801949818</v>
          </cell>
          <cell r="AX37">
            <v>127058.73290123366</v>
          </cell>
        </row>
        <row r="38">
          <cell r="A38" t="str">
            <v>451381A</v>
          </cell>
          <cell r="C38" t="str">
            <v>UA01</v>
          </cell>
          <cell r="T38">
            <v>11</v>
          </cell>
          <cell r="W38">
            <v>283000</v>
          </cell>
          <cell r="Z38">
            <v>2000</v>
          </cell>
          <cell r="AJ38">
            <v>332000</v>
          </cell>
          <cell r="AL38">
            <v>92155.337658999997</v>
          </cell>
          <cell r="AM38">
            <v>84585.023360999985</v>
          </cell>
          <cell r="AN38">
            <v>88097.080712999988</v>
          </cell>
          <cell r="AO38">
            <v>67162.558267</v>
          </cell>
          <cell r="AP38">
            <v>6.5</v>
          </cell>
          <cell r="AR38">
            <v>32000</v>
          </cell>
          <cell r="AS38">
            <v>4000</v>
          </cell>
          <cell r="AT38">
            <v>6030.226891555275</v>
          </cell>
          <cell r="AU38">
            <v>16.75</v>
          </cell>
          <cell r="AV38">
            <v>4.1713307229228418</v>
          </cell>
          <cell r="AX38">
            <v>117399.78884368201</v>
          </cell>
        </row>
        <row r="39">
          <cell r="A39">
            <v>422003</v>
          </cell>
          <cell r="C39" t="str">
            <v>UA01</v>
          </cell>
          <cell r="T39">
            <v>5</v>
          </cell>
          <cell r="X39">
            <v>86250</v>
          </cell>
          <cell r="Z39">
            <v>2000</v>
          </cell>
          <cell r="AJ39">
            <v>320000</v>
          </cell>
          <cell r="AL39">
            <v>88824.42184000001</v>
          </cell>
          <cell r="AM39">
            <v>81527.733359999998</v>
          </cell>
          <cell r="AN39">
            <v>84912.84887999999</v>
          </cell>
          <cell r="AO39">
            <v>64734.995919999994</v>
          </cell>
          <cell r="AP39">
            <v>11.5</v>
          </cell>
          <cell r="AR39">
            <v>64000</v>
          </cell>
          <cell r="AS39">
            <v>32000</v>
          </cell>
          <cell r="AT39">
            <v>55425.62584220407</v>
          </cell>
          <cell r="AU39">
            <v>16.81818181818182</v>
          </cell>
          <cell r="AV39">
            <v>3.6467384467084143</v>
          </cell>
          <cell r="AX39">
            <v>95412.614474741858</v>
          </cell>
        </row>
        <row r="40">
          <cell r="A40" t="str">
            <v>422413A</v>
          </cell>
          <cell r="C40" t="str">
            <v>UA01</v>
          </cell>
          <cell r="T40">
            <v>12</v>
          </cell>
          <cell r="W40">
            <v>21000</v>
          </cell>
          <cell r="X40">
            <v>224000</v>
          </cell>
          <cell r="Z40">
            <v>1000</v>
          </cell>
          <cell r="AJ40">
            <v>320000</v>
          </cell>
          <cell r="AL40">
            <v>88824.42184000001</v>
          </cell>
          <cell r="AM40">
            <v>81527.733359999998</v>
          </cell>
          <cell r="AN40">
            <v>84912.84887999999</v>
          </cell>
          <cell r="AO40">
            <v>64734.995919999994</v>
          </cell>
          <cell r="AP40">
            <v>6.6363636363599996</v>
          </cell>
          <cell r="AR40">
            <v>20000</v>
          </cell>
          <cell r="AS40">
            <v>20000</v>
          </cell>
          <cell r="AT40">
            <v>13026.778945578593</v>
          </cell>
          <cell r="AU40">
            <v>36.299999999999997</v>
          </cell>
          <cell r="AV40">
            <v>9.3532994459878083</v>
          </cell>
          <cell r="AX40">
            <v>91255.793582819271</v>
          </cell>
        </row>
        <row r="41">
          <cell r="A41" t="str">
            <v>422414A</v>
          </cell>
          <cell r="C41" t="str">
            <v>UA01</v>
          </cell>
          <cell r="T41">
            <v>12</v>
          </cell>
          <cell r="W41">
            <v>360</v>
          </cell>
          <cell r="X41">
            <v>265350</v>
          </cell>
          <cell r="Z41">
            <v>1000</v>
          </cell>
          <cell r="AJ41">
            <v>320000</v>
          </cell>
          <cell r="AL41">
            <v>88824.42184000001</v>
          </cell>
          <cell r="AM41">
            <v>81527.733359999998</v>
          </cell>
          <cell r="AN41">
            <v>84912.84887999999</v>
          </cell>
          <cell r="AO41">
            <v>64734.995919999994</v>
          </cell>
          <cell r="AP41">
            <v>6.6363636363599996</v>
          </cell>
          <cell r="AR41">
            <v>20000</v>
          </cell>
          <cell r="AS41">
            <v>20000</v>
          </cell>
          <cell r="AT41">
            <v>13026.778945578593</v>
          </cell>
          <cell r="AU41">
            <v>37.444444444444443</v>
          </cell>
          <cell r="AV41">
            <v>7.5320665254491015</v>
          </cell>
          <cell r="AX41">
            <v>91255.793582819271</v>
          </cell>
        </row>
        <row r="42">
          <cell r="A42">
            <v>451572</v>
          </cell>
          <cell r="C42" t="str">
            <v>UA02</v>
          </cell>
          <cell r="T42">
            <v>4</v>
          </cell>
          <cell r="W42">
            <v>131700</v>
          </cell>
          <cell r="X42">
            <v>22950</v>
          </cell>
          <cell r="Z42">
            <v>10000</v>
          </cell>
          <cell r="AJ42">
            <v>320000</v>
          </cell>
          <cell r="AL42">
            <v>88824.42184000001</v>
          </cell>
          <cell r="AM42">
            <v>81527.733359999998</v>
          </cell>
          <cell r="AN42">
            <v>84912.84887999999</v>
          </cell>
          <cell r="AO42">
            <v>64734.995919999994</v>
          </cell>
          <cell r="AP42">
            <v>2.6956521739100001</v>
          </cell>
          <cell r="AR42">
            <v>10000</v>
          </cell>
          <cell r="AS42">
            <v>10000</v>
          </cell>
          <cell r="AT42">
            <v>0</v>
          </cell>
          <cell r="AU42">
            <v>20.357142857142858</v>
          </cell>
          <cell r="AV42">
            <v>3.3651412784868078</v>
          </cell>
          <cell r="AX42">
            <v>91209.65980561584</v>
          </cell>
        </row>
        <row r="43">
          <cell r="A43">
            <v>400208</v>
          </cell>
          <cell r="C43" t="str">
            <v>UA03</v>
          </cell>
          <cell r="T43">
            <v>14</v>
          </cell>
          <cell r="W43">
            <v>99120</v>
          </cell>
          <cell r="X43">
            <v>0</v>
          </cell>
          <cell r="Z43">
            <v>7080</v>
          </cell>
          <cell r="AJ43">
            <v>318600</v>
          </cell>
          <cell r="AL43">
            <v>97279.396493895008</v>
          </cell>
          <cell r="AM43">
            <v>89288.154479204997</v>
          </cell>
          <cell r="AN43">
            <v>92995.490682764997</v>
          </cell>
          <cell r="AO43">
            <v>70896.958344134997</v>
          </cell>
          <cell r="AP43">
            <v>5.61538461538</v>
          </cell>
          <cell r="AR43">
            <v>21240</v>
          </cell>
          <cell r="AS43">
            <v>7080</v>
          </cell>
          <cell r="AT43">
            <v>12779.825103276245</v>
          </cell>
          <cell r="AU43">
            <v>14.944444444444445</v>
          </cell>
          <cell r="AV43">
            <v>1.7977836754712315</v>
          </cell>
          <cell r="AX43">
            <v>81580.826539712725</v>
          </cell>
        </row>
        <row r="44">
          <cell r="A44">
            <v>453074</v>
          </cell>
          <cell r="C44" t="str">
            <v>UA01</v>
          </cell>
          <cell r="T44">
            <v>23</v>
          </cell>
          <cell r="W44">
            <v>14400</v>
          </cell>
          <cell r="X44">
            <v>8921</v>
          </cell>
          <cell r="Z44">
            <v>300</v>
          </cell>
          <cell r="AJ44">
            <v>316800</v>
          </cell>
          <cell r="AL44">
            <v>87936.1776216</v>
          </cell>
          <cell r="AM44">
            <v>80712.456026399988</v>
          </cell>
          <cell r="AN44">
            <v>84063.720391199997</v>
          </cell>
          <cell r="AO44">
            <v>64087.645960799993</v>
          </cell>
          <cell r="AP44">
            <v>3.5</v>
          </cell>
          <cell r="AR44">
            <v>14400</v>
          </cell>
          <cell r="AS44">
            <v>14400</v>
          </cell>
          <cell r="AT44">
            <v>3142.337619398289</v>
          </cell>
          <cell r="AU44">
            <v>7.583333333333333</v>
          </cell>
          <cell r="AV44">
            <v>5.0899059772399387</v>
          </cell>
          <cell r="AX44">
            <v>19938.345513297107</v>
          </cell>
        </row>
        <row r="45">
          <cell r="A45">
            <v>422088</v>
          </cell>
          <cell r="C45" t="str">
            <v>UA01</v>
          </cell>
          <cell r="T45">
            <v>13</v>
          </cell>
          <cell r="W45">
            <v>69780</v>
          </cell>
          <cell r="X45">
            <v>0</v>
          </cell>
          <cell r="Z45">
            <v>4000</v>
          </cell>
          <cell r="AJ45">
            <v>316000</v>
          </cell>
          <cell r="AL45">
            <v>87714.116567000005</v>
          </cell>
          <cell r="AM45">
            <v>80508.636692999993</v>
          </cell>
          <cell r="AN45">
            <v>83851.438268999991</v>
          </cell>
          <cell r="AO45">
            <v>63925.808470999997</v>
          </cell>
          <cell r="AP45">
            <v>5.9090909090899997</v>
          </cell>
          <cell r="AR45">
            <v>28000</v>
          </cell>
          <cell r="AS45">
            <v>4000</v>
          </cell>
          <cell r="AT45">
            <v>16924.072867493876</v>
          </cell>
          <cell r="AU45">
            <v>19.5</v>
          </cell>
          <cell r="AV45">
            <v>4.489754418322021</v>
          </cell>
          <cell r="AX45">
            <v>112631.51894424518</v>
          </cell>
        </row>
        <row r="46">
          <cell r="A46" t="str">
            <v>422125A</v>
          </cell>
          <cell r="C46" t="str">
            <v>UA01</v>
          </cell>
          <cell r="T46">
            <v>15</v>
          </cell>
          <cell r="W46">
            <v>92080</v>
          </cell>
          <cell r="X46">
            <v>0</v>
          </cell>
          <cell r="Z46">
            <v>2000</v>
          </cell>
          <cell r="AJ46">
            <v>312000</v>
          </cell>
          <cell r="AL46">
            <v>86603.811293999999</v>
          </cell>
          <cell r="AM46">
            <v>79489.540025999988</v>
          </cell>
          <cell r="AN46">
            <v>82790.027657999992</v>
          </cell>
          <cell r="AO46">
            <v>63116.621021999999</v>
          </cell>
          <cell r="AP46">
            <v>5.0714285714200003</v>
          </cell>
          <cell r="AR46">
            <v>24000</v>
          </cell>
          <cell r="AS46">
            <v>12000</v>
          </cell>
          <cell r="AT46">
            <v>9585.7036406157622</v>
          </cell>
          <cell r="AU46">
            <v>34.769230769230774</v>
          </cell>
          <cell r="AV46">
            <v>18.881329809751627</v>
          </cell>
          <cell r="AX46">
            <v>151918.61315676678</v>
          </cell>
        </row>
        <row r="47">
          <cell r="A47">
            <v>422086</v>
          </cell>
          <cell r="C47" t="str">
            <v>UA01</v>
          </cell>
          <cell r="T47">
            <v>3</v>
          </cell>
          <cell r="W47">
            <v>273030</v>
          </cell>
          <cell r="X47">
            <v>136000</v>
          </cell>
          <cell r="Z47">
            <v>8000</v>
          </cell>
          <cell r="AJ47">
            <v>312000</v>
          </cell>
          <cell r="AL47">
            <v>86603.811293999999</v>
          </cell>
          <cell r="AM47">
            <v>79489.540025999988</v>
          </cell>
          <cell r="AN47">
            <v>82790.027657999992</v>
          </cell>
          <cell r="AO47">
            <v>63116.621021999999</v>
          </cell>
          <cell r="AP47">
            <v>26.5</v>
          </cell>
          <cell r="AR47">
            <v>104000</v>
          </cell>
          <cell r="AS47">
            <v>104000</v>
          </cell>
          <cell r="AT47">
            <v>0</v>
          </cell>
          <cell r="AU47">
            <v>22.636363636363637</v>
          </cell>
          <cell r="AV47">
            <v>5.9878665194328979</v>
          </cell>
          <cell r="AX47">
            <v>202818.35159089012</v>
          </cell>
        </row>
        <row r="48">
          <cell r="A48" t="str">
            <v>452920C</v>
          </cell>
          <cell r="C48" t="str">
            <v>UA01</v>
          </cell>
          <cell r="T48">
            <v>6</v>
          </cell>
          <cell r="W48">
            <v>34000</v>
          </cell>
          <cell r="X48">
            <v>0</v>
          </cell>
          <cell r="Z48">
            <v>1000</v>
          </cell>
          <cell r="AJ48">
            <v>300000</v>
          </cell>
          <cell r="AL48">
            <v>83272.895474999998</v>
          </cell>
          <cell r="AM48">
            <v>76432.250024999987</v>
          </cell>
          <cell r="AN48">
            <v>79605.795824999994</v>
          </cell>
          <cell r="AO48">
            <v>60689.058674999993</v>
          </cell>
          <cell r="AP48">
            <v>11.8</v>
          </cell>
          <cell r="AR48">
            <v>50000</v>
          </cell>
          <cell r="AS48">
            <v>25000</v>
          </cell>
          <cell r="AT48">
            <v>41833.001326703779</v>
          </cell>
          <cell r="AU48">
            <v>14.333333333333332</v>
          </cell>
          <cell r="AV48">
            <v>1.3706888336846834</v>
          </cell>
          <cell r="AX48">
            <v>89025.398995331314</v>
          </cell>
        </row>
        <row r="49">
          <cell r="A49">
            <v>400211</v>
          </cell>
          <cell r="C49" t="str">
            <v>UA03</v>
          </cell>
          <cell r="T49">
            <v>23</v>
          </cell>
          <cell r="W49">
            <v>61700</v>
          </cell>
          <cell r="X49">
            <v>77000</v>
          </cell>
          <cell r="Z49">
            <v>4000</v>
          </cell>
          <cell r="AJ49">
            <v>300000</v>
          </cell>
          <cell r="AL49">
            <v>91600.185022500009</v>
          </cell>
          <cell r="AM49">
            <v>84075.475027499997</v>
          </cell>
          <cell r="AN49">
            <v>87566.375407500003</v>
          </cell>
          <cell r="AO49">
            <v>66757.964542499991</v>
          </cell>
          <cell r="AP49">
            <v>3.2857142857100001</v>
          </cell>
          <cell r="AR49">
            <v>12000</v>
          </cell>
          <cell r="AS49">
            <v>12000</v>
          </cell>
          <cell r="AT49">
            <v>4215.0010398852528</v>
          </cell>
          <cell r="AU49">
            <v>18.25</v>
          </cell>
          <cell r="AV49">
            <v>4.4746762198763914</v>
          </cell>
          <cell r="AX49">
            <v>65576.406403926012</v>
          </cell>
        </row>
        <row r="50">
          <cell r="A50" t="str">
            <v>421904I</v>
          </cell>
          <cell r="C50" t="str">
            <v>UA01</v>
          </cell>
          <cell r="T50">
            <v>5</v>
          </cell>
          <cell r="X50">
            <v>123679</v>
          </cell>
          <cell r="Z50">
            <v>2000</v>
          </cell>
          <cell r="AJ50">
            <v>296000</v>
          </cell>
          <cell r="AL50">
            <v>82162.590202000007</v>
          </cell>
          <cell r="AM50">
            <v>75413.153357999996</v>
          </cell>
          <cell r="AN50">
            <v>78544.385213999994</v>
          </cell>
          <cell r="AO50">
            <v>59879.871225999996</v>
          </cell>
          <cell r="AP50">
            <v>14.75</v>
          </cell>
          <cell r="AR50">
            <v>60000</v>
          </cell>
          <cell r="AS50">
            <v>4000</v>
          </cell>
          <cell r="AT50">
            <v>15336.23161014465</v>
          </cell>
          <cell r="AU50">
            <v>130.66666666666669</v>
          </cell>
          <cell r="AV50">
            <v>21.951461606614391</v>
          </cell>
          <cell r="AX50">
            <v>74154.27951522365</v>
          </cell>
        </row>
        <row r="51">
          <cell r="A51" t="str">
            <v>421728I</v>
          </cell>
          <cell r="C51" t="str">
            <v>UA01</v>
          </cell>
          <cell r="T51">
            <v>5</v>
          </cell>
          <cell r="X51">
            <v>164300</v>
          </cell>
          <cell r="Z51">
            <v>2000</v>
          </cell>
          <cell r="AJ51">
            <v>296000</v>
          </cell>
          <cell r="AL51">
            <v>82162.590202000007</v>
          </cell>
          <cell r="AM51">
            <v>75413.153357999996</v>
          </cell>
          <cell r="AN51">
            <v>78544.385213999994</v>
          </cell>
          <cell r="AO51">
            <v>59879.871225999996</v>
          </cell>
          <cell r="AP51">
            <v>14.75</v>
          </cell>
          <cell r="AR51">
            <v>60000</v>
          </cell>
          <cell r="AS51">
            <v>4000</v>
          </cell>
          <cell r="AT51">
            <v>15336.23161014465</v>
          </cell>
          <cell r="AU51">
            <v>100</v>
          </cell>
          <cell r="AV51">
            <v>50.911688245431421</v>
          </cell>
          <cell r="AX51">
            <v>74154.27951522365</v>
          </cell>
        </row>
        <row r="52">
          <cell r="A52" t="str">
            <v>422087E</v>
          </cell>
          <cell r="C52" t="str">
            <v>UA01</v>
          </cell>
          <cell r="T52">
            <v>11</v>
          </cell>
          <cell r="X52">
            <v>2600</v>
          </cell>
          <cell r="Z52">
            <v>3000</v>
          </cell>
          <cell r="AJ52">
            <v>288000</v>
          </cell>
          <cell r="AL52">
            <v>79941.979655999996</v>
          </cell>
          <cell r="AM52">
            <v>73374.960024</v>
          </cell>
          <cell r="AN52">
            <v>76421.563991999996</v>
          </cell>
          <cell r="AO52">
            <v>58261.496327999994</v>
          </cell>
          <cell r="AP52">
            <v>8.125</v>
          </cell>
          <cell r="AR52">
            <v>24000</v>
          </cell>
          <cell r="AS52">
            <v>24000</v>
          </cell>
          <cell r="AT52">
            <v>12000</v>
          </cell>
          <cell r="AU52">
            <v>29.44</v>
          </cell>
          <cell r="AV52">
            <v>11.827260106747168</v>
          </cell>
          <cell r="AX52">
            <v>136515.72858644987</v>
          </cell>
        </row>
        <row r="53">
          <cell r="A53">
            <v>453368</v>
          </cell>
          <cell r="C53" t="str">
            <v>UA02</v>
          </cell>
          <cell r="T53">
            <v>2</v>
          </cell>
          <cell r="W53">
            <v>140000</v>
          </cell>
          <cell r="X53">
            <v>116200</v>
          </cell>
          <cell r="Z53">
            <v>10000</v>
          </cell>
          <cell r="AJ53">
            <v>280000</v>
          </cell>
          <cell r="AL53">
            <v>77721.36911</v>
          </cell>
          <cell r="AM53">
            <v>71336.766689999989</v>
          </cell>
          <cell r="AN53">
            <v>74298.742769999997</v>
          </cell>
          <cell r="AO53">
            <v>56643.121429999999</v>
          </cell>
          <cell r="AP53">
            <v>23</v>
          </cell>
          <cell r="AR53">
            <v>140000</v>
          </cell>
          <cell r="AS53">
            <v>140000</v>
          </cell>
          <cell r="AT53">
            <v>0</v>
          </cell>
          <cell r="AU53">
            <v>21.066666666666666</v>
          </cell>
          <cell r="AV53">
            <v>4.5271666741172787</v>
          </cell>
          <cell r="AX53">
            <v>75962.808459652995</v>
          </cell>
        </row>
        <row r="54">
          <cell r="A54" t="str">
            <v>421613A</v>
          </cell>
          <cell r="C54" t="str">
            <v>UA01</v>
          </cell>
          <cell r="T54">
            <v>11</v>
          </cell>
          <cell r="W54">
            <v>120000</v>
          </cell>
          <cell r="X54">
            <v>0</v>
          </cell>
          <cell r="Z54">
            <v>5000</v>
          </cell>
          <cell r="AJ54">
            <v>260000</v>
          </cell>
          <cell r="AL54">
            <v>72169.842745000002</v>
          </cell>
          <cell r="AM54">
            <v>66241.283354999992</v>
          </cell>
          <cell r="AN54">
            <v>68991.689714999986</v>
          </cell>
          <cell r="AO54">
            <v>52597.184184999998</v>
          </cell>
          <cell r="AP54">
            <v>6.8888888888800004</v>
          </cell>
          <cell r="AR54">
            <v>25000</v>
          </cell>
          <cell r="AS54">
            <v>5000</v>
          </cell>
          <cell r="AT54">
            <v>14491.376746189439</v>
          </cell>
          <cell r="AU54">
            <v>22.615384615384613</v>
          </cell>
          <cell r="AV54">
            <v>3.5482028676139095</v>
          </cell>
          <cell r="AX54">
            <v>188878.17663880577</v>
          </cell>
        </row>
        <row r="55">
          <cell r="A55">
            <v>421867</v>
          </cell>
          <cell r="C55" t="str">
            <v>UA01</v>
          </cell>
          <cell r="T55">
            <v>7</v>
          </cell>
          <cell r="W55">
            <v>46960</v>
          </cell>
          <cell r="X55">
            <v>86950</v>
          </cell>
          <cell r="Z55">
            <v>3000</v>
          </cell>
          <cell r="AJ55">
            <v>252000</v>
          </cell>
          <cell r="AL55">
            <v>69949.232199000005</v>
          </cell>
          <cell r="AM55">
            <v>64203.090020999996</v>
          </cell>
          <cell r="AN55">
            <v>66868.868492999987</v>
          </cell>
          <cell r="AO55">
            <v>50978.809286999996</v>
          </cell>
          <cell r="AP55">
            <v>12.4</v>
          </cell>
          <cell r="AR55">
            <v>42000</v>
          </cell>
          <cell r="AS55">
            <v>42000</v>
          </cell>
          <cell r="AT55">
            <v>0</v>
          </cell>
          <cell r="AU55">
            <v>41.066666666666663</v>
          </cell>
          <cell r="AV55">
            <v>16.006546279866988</v>
          </cell>
          <cell r="AX55">
            <v>53570.790566757612</v>
          </cell>
        </row>
        <row r="56">
          <cell r="A56">
            <v>403901</v>
          </cell>
          <cell r="C56" t="str">
            <v>UA02</v>
          </cell>
          <cell r="T56">
            <v>4</v>
          </cell>
          <cell r="W56">
            <v>109200</v>
          </cell>
          <cell r="X56">
            <v>3800</v>
          </cell>
          <cell r="Z56">
            <v>9000</v>
          </cell>
          <cell r="AJ56">
            <v>252000</v>
          </cell>
          <cell r="AL56">
            <v>69949.232199000005</v>
          </cell>
          <cell r="AM56">
            <v>64203.090020999996</v>
          </cell>
          <cell r="AN56">
            <v>66868.868492999987</v>
          </cell>
          <cell r="AO56">
            <v>50978.809286999996</v>
          </cell>
          <cell r="AP56">
            <v>4.3333333333299997</v>
          </cell>
          <cell r="AR56">
            <v>9000</v>
          </cell>
          <cell r="AS56">
            <v>9000</v>
          </cell>
          <cell r="AT56">
            <v>0</v>
          </cell>
          <cell r="AU56">
            <v>28.1</v>
          </cell>
          <cell r="AV56">
            <v>15.961411800547804</v>
          </cell>
          <cell r="AX56">
            <v>57974.118102641951</v>
          </cell>
        </row>
        <row r="57">
          <cell r="A57" t="str">
            <v>412198A</v>
          </cell>
          <cell r="C57" t="str">
            <v>UA01</v>
          </cell>
          <cell r="T57">
            <v>4</v>
          </cell>
          <cell r="X57">
            <v>180800</v>
          </cell>
          <cell r="Z57">
            <v>2500</v>
          </cell>
          <cell r="AJ57">
            <v>250000</v>
          </cell>
          <cell r="AL57">
            <v>69394.079562500003</v>
          </cell>
          <cell r="AM57">
            <v>63693.541687499994</v>
          </cell>
          <cell r="AN57">
            <v>66338.163187499988</v>
          </cell>
          <cell r="AO57">
            <v>50574.215562499994</v>
          </cell>
          <cell r="AP57">
            <v>9</v>
          </cell>
          <cell r="AR57">
            <v>50000</v>
          </cell>
          <cell r="AS57">
            <v>50000</v>
          </cell>
          <cell r="AT57">
            <v>25000</v>
          </cell>
          <cell r="AU57">
            <v>46.272727272727273</v>
          </cell>
          <cell r="AV57">
            <v>11.619732433157909</v>
          </cell>
          <cell r="AX57">
            <v>0</v>
          </cell>
        </row>
        <row r="58">
          <cell r="A58">
            <v>422449</v>
          </cell>
          <cell r="C58" t="str">
            <v>UA01</v>
          </cell>
          <cell r="T58">
            <v>5</v>
          </cell>
          <cell r="W58">
            <v>469885</v>
          </cell>
          <cell r="Z58">
            <v>5000</v>
          </cell>
          <cell r="AJ58">
            <v>250000</v>
          </cell>
          <cell r="AL58">
            <v>69394.079562500003</v>
          </cell>
          <cell r="AM58">
            <v>63693.541687499994</v>
          </cell>
          <cell r="AN58">
            <v>66338.163187499988</v>
          </cell>
          <cell r="AO58">
            <v>50574.215562499994</v>
          </cell>
          <cell r="AP58">
            <v>13.25</v>
          </cell>
          <cell r="AR58">
            <v>50000</v>
          </cell>
          <cell r="AS58">
            <v>50000</v>
          </cell>
          <cell r="AT58">
            <v>0</v>
          </cell>
          <cell r="AU58">
            <v>18.428571428571431</v>
          </cell>
          <cell r="AV58">
            <v>4.685844945913475</v>
          </cell>
          <cell r="AX58">
            <v>204965.85960747002</v>
          </cell>
        </row>
        <row r="59">
          <cell r="A59" t="str">
            <v>453876A</v>
          </cell>
          <cell r="C59" t="str">
            <v>UA02</v>
          </cell>
          <cell r="T59">
            <v>4</v>
          </cell>
          <cell r="W59">
            <v>104900</v>
          </cell>
          <cell r="X59">
            <v>76600</v>
          </cell>
          <cell r="Z59">
            <v>10000</v>
          </cell>
          <cell r="AJ59">
            <v>240000</v>
          </cell>
          <cell r="AL59">
            <v>66618.316380000004</v>
          </cell>
          <cell r="AM59">
            <v>61145.800019999995</v>
          </cell>
          <cell r="AN59">
            <v>63684.636659999996</v>
          </cell>
          <cell r="AO59">
            <v>48551.246939999997</v>
          </cell>
          <cell r="AP59">
            <v>4.8</v>
          </cell>
          <cell r="AR59">
            <v>10000</v>
          </cell>
          <cell r="AS59">
            <v>10000</v>
          </cell>
          <cell r="AT59">
            <v>0</v>
          </cell>
          <cell r="AU59">
            <v>25.333333333333336</v>
          </cell>
          <cell r="AV59">
            <v>13.051181300301261</v>
          </cell>
          <cell r="AX59">
            <v>69041.814036717828</v>
          </cell>
        </row>
        <row r="60">
          <cell r="A60">
            <v>453378</v>
          </cell>
          <cell r="C60" t="str">
            <v>UA01</v>
          </cell>
          <cell r="T60">
            <v>11</v>
          </cell>
          <cell r="W60">
            <v>99000</v>
          </cell>
          <cell r="X60">
            <v>0</v>
          </cell>
          <cell r="Z60">
            <v>4400</v>
          </cell>
          <cell r="AJ60">
            <v>237600</v>
          </cell>
          <cell r="AL60">
            <v>65952.133216200004</v>
          </cell>
          <cell r="AM60">
            <v>60534.342019799995</v>
          </cell>
          <cell r="AN60">
            <v>63047.790293399994</v>
          </cell>
          <cell r="AO60">
            <v>48065.7344706</v>
          </cell>
          <cell r="AP60">
            <v>7</v>
          </cell>
          <cell r="AR60">
            <v>26400</v>
          </cell>
          <cell r="AS60">
            <v>13200</v>
          </cell>
          <cell r="AT60">
            <v>14784.857118010981</v>
          </cell>
          <cell r="AU60">
            <v>18.777777777777779</v>
          </cell>
          <cell r="AV60">
            <v>4.4794374063183628</v>
          </cell>
          <cell r="AX60">
            <v>107095.2499139541</v>
          </cell>
        </row>
        <row r="61">
          <cell r="A61">
            <v>450829</v>
          </cell>
          <cell r="C61" t="str">
            <v>UA01</v>
          </cell>
          <cell r="T61">
            <v>37</v>
          </cell>
          <cell r="W61">
            <v>66000</v>
          </cell>
          <cell r="X61">
            <v>7100</v>
          </cell>
          <cell r="Z61">
            <v>750</v>
          </cell>
          <cell r="AJ61">
            <v>232500</v>
          </cell>
          <cell r="AL61">
            <v>64536.493993125005</v>
          </cell>
          <cell r="AM61">
            <v>59234.993769374996</v>
          </cell>
          <cell r="AN61">
            <v>61694.491764374994</v>
          </cell>
          <cell r="AO61">
            <v>47034.020473124998</v>
          </cell>
          <cell r="AP61">
            <v>2.1142857142799998</v>
          </cell>
          <cell r="AR61">
            <v>6750</v>
          </cell>
          <cell r="AS61">
            <v>750</v>
          </cell>
          <cell r="AT61">
            <v>5968.5186006005115</v>
          </cell>
          <cell r="AU61">
            <v>9.8372093023255811</v>
          </cell>
          <cell r="AV61">
            <v>7.4799103399201741</v>
          </cell>
          <cell r="AX61">
            <v>97443.78649745544</v>
          </cell>
        </row>
        <row r="62">
          <cell r="A62">
            <v>452551</v>
          </cell>
          <cell r="C62" t="str">
            <v>UA02</v>
          </cell>
          <cell r="T62">
            <v>4</v>
          </cell>
          <cell r="W62">
            <v>47300</v>
          </cell>
          <cell r="X62">
            <v>12500</v>
          </cell>
          <cell r="Z62">
            <v>25000</v>
          </cell>
          <cell r="AJ62">
            <v>225000</v>
          </cell>
          <cell r="AL62">
            <v>62454.671606250005</v>
          </cell>
          <cell r="AM62">
            <v>57324.187518749997</v>
          </cell>
          <cell r="AN62">
            <v>59704.346868749992</v>
          </cell>
          <cell r="AO62">
            <v>45516.794006249998</v>
          </cell>
          <cell r="AP62">
            <v>10</v>
          </cell>
          <cell r="AR62">
            <v>25000</v>
          </cell>
          <cell r="AS62">
            <v>25000</v>
          </cell>
          <cell r="AT62">
            <v>0</v>
          </cell>
          <cell r="AU62">
            <v>19.23076923076923</v>
          </cell>
          <cell r="AV62">
            <v>5.3875449905908939</v>
          </cell>
          <cell r="AX62">
            <v>88918.294171828587</v>
          </cell>
        </row>
        <row r="63">
          <cell r="A63" t="str">
            <v>452985A</v>
          </cell>
          <cell r="C63" t="str">
            <v>UA03</v>
          </cell>
          <cell r="T63">
            <v>7</v>
          </cell>
          <cell r="W63">
            <v>43375</v>
          </cell>
          <cell r="X63">
            <v>-36500</v>
          </cell>
          <cell r="Z63">
            <v>4500</v>
          </cell>
          <cell r="AJ63">
            <v>220500</v>
          </cell>
          <cell r="AL63">
            <v>67326.135991537507</v>
          </cell>
          <cell r="AM63">
            <v>61795.474145212502</v>
          </cell>
          <cell r="AN63">
            <v>64361.2859245125</v>
          </cell>
          <cell r="AO63">
            <v>49067.103938737506</v>
          </cell>
          <cell r="AP63">
            <v>11.166666666659999</v>
          </cell>
          <cell r="AR63">
            <v>31500</v>
          </cell>
          <cell r="AS63">
            <v>31500</v>
          </cell>
          <cell r="AT63">
            <v>0</v>
          </cell>
          <cell r="AU63">
            <v>15.666666666666668</v>
          </cell>
          <cell r="AV63">
            <v>3.3188089359924278</v>
          </cell>
          <cell r="AX63">
            <v>54375.427789348738</v>
          </cell>
        </row>
        <row r="64">
          <cell r="A64">
            <v>404033</v>
          </cell>
          <cell r="C64" t="str">
            <v>UA02</v>
          </cell>
          <cell r="T64">
            <v>4</v>
          </cell>
          <cell r="W64">
            <v>158400</v>
          </cell>
          <cell r="X64">
            <v>0</v>
          </cell>
          <cell r="Z64">
            <v>20000</v>
          </cell>
          <cell r="AJ64">
            <v>220000</v>
          </cell>
          <cell r="AL64">
            <v>61066.790014999999</v>
          </cell>
          <cell r="AM64">
            <v>56050.316684999998</v>
          </cell>
          <cell r="AN64">
            <v>58377.583604999993</v>
          </cell>
          <cell r="AO64">
            <v>44505.309694999996</v>
          </cell>
          <cell r="AP64">
            <v>10.83333333333</v>
          </cell>
          <cell r="AR64">
            <v>20000</v>
          </cell>
          <cell r="AS64">
            <v>20000</v>
          </cell>
          <cell r="AT64">
            <v>0</v>
          </cell>
          <cell r="AU64">
            <v>16.363636363636363</v>
          </cell>
          <cell r="AV64">
            <v>2.5009089256799126</v>
          </cell>
          <cell r="AX64">
            <v>95230.978482759587</v>
          </cell>
        </row>
        <row r="65">
          <cell r="A65">
            <v>404020</v>
          </cell>
          <cell r="C65" t="str">
            <v>UA02</v>
          </cell>
          <cell r="T65">
            <v>4</v>
          </cell>
          <cell r="W65">
            <v>65400</v>
          </cell>
          <cell r="X65">
            <v>60400</v>
          </cell>
          <cell r="Z65">
            <v>10000</v>
          </cell>
          <cell r="AJ65">
            <v>210000</v>
          </cell>
          <cell r="AL65">
            <v>58291.0268325</v>
          </cell>
          <cell r="AM65">
            <v>53502.575017499992</v>
          </cell>
          <cell r="AN65">
            <v>55724.057077499994</v>
          </cell>
          <cell r="AO65">
            <v>42482.341072499999</v>
          </cell>
          <cell r="AP65">
            <v>4.7857142857100001</v>
          </cell>
          <cell r="AR65">
            <v>10000</v>
          </cell>
          <cell r="AS65">
            <v>10000</v>
          </cell>
          <cell r="AT65">
            <v>2500</v>
          </cell>
          <cell r="AU65">
            <v>19.81818181818182</v>
          </cell>
          <cell r="AV65">
            <v>4.020402512639297</v>
          </cell>
          <cell r="AX65">
            <v>81796.01752177575</v>
          </cell>
        </row>
        <row r="66">
          <cell r="A66" t="str">
            <v>451443C</v>
          </cell>
          <cell r="C66" t="str">
            <v>UA03</v>
          </cell>
          <cell r="T66">
            <v>2</v>
          </cell>
          <cell r="W66">
            <v>29690</v>
          </cell>
          <cell r="X66">
            <v>0</v>
          </cell>
          <cell r="Z66">
            <v>1500</v>
          </cell>
          <cell r="AJ66">
            <v>201000</v>
          </cell>
          <cell r="AL66">
            <v>100500</v>
          </cell>
          <cell r="AM66">
            <v>0</v>
          </cell>
          <cell r="AN66">
            <v>100500</v>
          </cell>
          <cell r="AO66">
            <v>0</v>
          </cell>
          <cell r="AP66">
            <v>30</v>
          </cell>
          <cell r="AR66">
            <v>100500</v>
          </cell>
          <cell r="AS66">
            <v>100500</v>
          </cell>
          <cell r="AT66">
            <v>0</v>
          </cell>
          <cell r="AU66">
            <v>13</v>
          </cell>
          <cell r="AV66">
            <v>1.1832159566199232</v>
          </cell>
          <cell r="AX66">
            <v>30588.309258437461</v>
          </cell>
        </row>
        <row r="67">
          <cell r="A67" t="str">
            <v>405680A</v>
          </cell>
          <cell r="C67" t="str">
            <v>UA03</v>
          </cell>
          <cell r="T67">
            <v>2</v>
          </cell>
          <cell r="X67">
            <v>0</v>
          </cell>
          <cell r="Z67">
            <v>3000</v>
          </cell>
          <cell r="AJ67">
            <v>200000</v>
          </cell>
          <cell r="AL67">
            <v>100000</v>
          </cell>
          <cell r="AM67">
            <v>100000</v>
          </cell>
          <cell r="AN67">
            <v>0</v>
          </cell>
          <cell r="AO67">
            <v>0</v>
          </cell>
          <cell r="AP67">
            <v>23</v>
          </cell>
          <cell r="AR67">
            <v>100000</v>
          </cell>
          <cell r="AS67">
            <v>100000</v>
          </cell>
          <cell r="AT67">
            <v>0</v>
          </cell>
          <cell r="AU67">
            <v>15.5</v>
          </cell>
          <cell r="AV67">
            <v>2.1213203435596424</v>
          </cell>
          <cell r="AX67">
            <v>41602.153428083409</v>
          </cell>
        </row>
        <row r="68">
          <cell r="A68">
            <v>451383</v>
          </cell>
          <cell r="C68" t="str">
            <v>UA01</v>
          </cell>
          <cell r="T68">
            <v>2</v>
          </cell>
          <cell r="X68">
            <v>0</v>
          </cell>
          <cell r="Z68">
            <v>15000</v>
          </cell>
          <cell r="AJ68">
            <v>200000</v>
          </cell>
          <cell r="AL68">
            <v>100000</v>
          </cell>
          <cell r="AM68">
            <v>0</v>
          </cell>
          <cell r="AN68">
            <v>100000</v>
          </cell>
          <cell r="AO68">
            <v>0</v>
          </cell>
          <cell r="AP68">
            <v>45</v>
          </cell>
          <cell r="AR68">
            <v>100000</v>
          </cell>
          <cell r="AS68">
            <v>100000</v>
          </cell>
          <cell r="AT68">
            <v>0</v>
          </cell>
          <cell r="AU68">
            <v>23.333333333333336</v>
          </cell>
          <cell r="AV68">
            <v>15.307950004273378</v>
          </cell>
          <cell r="AX68">
            <v>193231.44625580436</v>
          </cell>
        </row>
        <row r="69">
          <cell r="A69">
            <v>453418</v>
          </cell>
          <cell r="C69" t="str">
            <v>UA02</v>
          </cell>
          <cell r="T69">
            <v>3</v>
          </cell>
          <cell r="X69">
            <v>87000</v>
          </cell>
          <cell r="Z69">
            <v>10000</v>
          </cell>
          <cell r="AJ69">
            <v>200000</v>
          </cell>
          <cell r="AL69">
            <v>55515.263650000001</v>
          </cell>
          <cell r="AM69">
            <v>50954.833349999994</v>
          </cell>
          <cell r="AN69">
            <v>53070.530549999996</v>
          </cell>
          <cell r="AO69">
            <v>40459.372449999995</v>
          </cell>
          <cell r="AP69">
            <v>23.5</v>
          </cell>
          <cell r="AR69">
            <v>70000</v>
          </cell>
          <cell r="AS69">
            <v>10000</v>
          </cell>
          <cell r="AT69">
            <v>5773.5026918962303</v>
          </cell>
          <cell r="AU69">
            <v>27.307692307692307</v>
          </cell>
          <cell r="AV69">
            <v>11.827824647729434</v>
          </cell>
          <cell r="AX69">
            <v>63715.075676055429</v>
          </cell>
        </row>
        <row r="70">
          <cell r="A70" t="str">
            <v>422440B</v>
          </cell>
          <cell r="C70" t="str">
            <v>UA01</v>
          </cell>
          <cell r="T70">
            <v>2</v>
          </cell>
          <cell r="X70">
            <v>0</v>
          </cell>
          <cell r="Z70">
            <v>10000</v>
          </cell>
          <cell r="AJ70">
            <v>200000</v>
          </cell>
          <cell r="AL70">
            <v>0</v>
          </cell>
          <cell r="AM70">
            <v>100000</v>
          </cell>
          <cell r="AN70">
            <v>0</v>
          </cell>
          <cell r="AO70">
            <v>100000</v>
          </cell>
          <cell r="AP70">
            <v>34</v>
          </cell>
          <cell r="AR70">
            <v>100000</v>
          </cell>
          <cell r="AS70">
            <v>100000</v>
          </cell>
          <cell r="AT70">
            <v>0</v>
          </cell>
          <cell r="AU70">
            <v>17.5</v>
          </cell>
          <cell r="AV70">
            <v>3.3166247903553998</v>
          </cell>
          <cell r="AX70">
            <v>118088.3516759167</v>
          </cell>
        </row>
        <row r="71">
          <cell r="A71">
            <v>412604</v>
          </cell>
          <cell r="C71" t="str">
            <v>UA02</v>
          </cell>
          <cell r="T71">
            <v>2</v>
          </cell>
          <cell r="X71">
            <v>96400</v>
          </cell>
          <cell r="Z71">
            <v>15000</v>
          </cell>
          <cell r="AJ71">
            <v>200000</v>
          </cell>
          <cell r="AL71">
            <v>55515.263650000001</v>
          </cell>
          <cell r="AM71">
            <v>50954.833349999994</v>
          </cell>
          <cell r="AN71">
            <v>53070.530549999996</v>
          </cell>
          <cell r="AO71">
            <v>40459.372449999995</v>
          </cell>
          <cell r="AP71">
            <v>21</v>
          </cell>
          <cell r="AR71">
            <v>100000</v>
          </cell>
          <cell r="AS71">
            <v>100000</v>
          </cell>
          <cell r="AT71">
            <v>0</v>
          </cell>
          <cell r="AU71">
            <v>29.8</v>
          </cell>
          <cell r="AV71">
            <v>8.4169141877795361</v>
          </cell>
          <cell r="AX71">
            <v>85002.960606713867</v>
          </cell>
        </row>
        <row r="72">
          <cell r="A72">
            <v>453526</v>
          </cell>
          <cell r="C72" t="str">
            <v>UA01</v>
          </cell>
          <cell r="T72">
            <v>4</v>
          </cell>
          <cell r="W72">
            <v>1905</v>
          </cell>
          <cell r="X72">
            <v>0</v>
          </cell>
          <cell r="Z72">
            <v>1000</v>
          </cell>
          <cell r="AJ72">
            <v>200000</v>
          </cell>
          <cell r="AL72">
            <v>100000</v>
          </cell>
          <cell r="AM72">
            <v>50000</v>
          </cell>
          <cell r="AN72">
            <v>50000</v>
          </cell>
          <cell r="AO72">
            <v>0</v>
          </cell>
          <cell r="AP72">
            <v>16</v>
          </cell>
          <cell r="AR72">
            <v>50000</v>
          </cell>
          <cell r="AS72">
            <v>50000</v>
          </cell>
          <cell r="AT72">
            <v>0</v>
          </cell>
          <cell r="AU72">
            <v>9.2666666666666675</v>
          </cell>
          <cell r="AV72">
            <v>5.1473525326363747</v>
          </cell>
          <cell r="AX72">
            <v>79192.311809648643</v>
          </cell>
        </row>
        <row r="73">
          <cell r="A73" t="str">
            <v>453395A</v>
          </cell>
          <cell r="C73" t="str">
            <v>UA02</v>
          </cell>
          <cell r="T73">
            <v>3</v>
          </cell>
          <cell r="X73">
            <v>32000</v>
          </cell>
          <cell r="Z73">
            <v>8000</v>
          </cell>
          <cell r="AJ73">
            <v>192000</v>
          </cell>
          <cell r="AL73">
            <v>64000</v>
          </cell>
          <cell r="AM73">
            <v>64000</v>
          </cell>
          <cell r="AN73">
            <v>0</v>
          </cell>
          <cell r="AO73">
            <v>64000</v>
          </cell>
          <cell r="AP73">
            <v>31</v>
          </cell>
          <cell r="AR73">
            <v>64000</v>
          </cell>
          <cell r="AS73">
            <v>64000</v>
          </cell>
          <cell r="AT73">
            <v>0</v>
          </cell>
          <cell r="AU73">
            <v>26.714285714285715</v>
          </cell>
          <cell r="AV73">
            <v>4.9569575922564191</v>
          </cell>
          <cell r="AX73">
            <v>59864.303235721287</v>
          </cell>
        </row>
        <row r="74">
          <cell r="A74" t="str">
            <v>451106A</v>
          </cell>
          <cell r="C74" t="str">
            <v>UA03</v>
          </cell>
          <cell r="T74">
            <v>2</v>
          </cell>
          <cell r="W74">
            <v>83770</v>
          </cell>
          <cell r="X74">
            <v>0</v>
          </cell>
          <cell r="Z74">
            <v>400</v>
          </cell>
          <cell r="AJ74">
            <v>183770</v>
          </cell>
          <cell r="AL74">
            <v>83770</v>
          </cell>
          <cell r="AM74">
            <v>0</v>
          </cell>
          <cell r="AN74">
            <v>100000</v>
          </cell>
          <cell r="AO74">
            <v>0</v>
          </cell>
          <cell r="AP74">
            <v>35</v>
          </cell>
          <cell r="AR74">
            <v>91890</v>
          </cell>
          <cell r="AS74">
            <v>10</v>
          </cell>
          <cell r="AT74">
            <v>11476.343058657667</v>
          </cell>
          <cell r="AU74">
            <v>12.6</v>
          </cell>
          <cell r="AV74">
            <v>4.5324228777616433</v>
          </cell>
          <cell r="AX74">
            <v>25994.588636897206</v>
          </cell>
        </row>
        <row r="75">
          <cell r="A75" t="str">
            <v>407621A</v>
          </cell>
          <cell r="C75" t="str">
            <v>UA03</v>
          </cell>
          <cell r="T75">
            <v>5</v>
          </cell>
          <cell r="W75">
            <v>145800</v>
          </cell>
          <cell r="X75">
            <v>0</v>
          </cell>
          <cell r="Z75">
            <v>1250</v>
          </cell>
          <cell r="AJ75">
            <v>181250</v>
          </cell>
          <cell r="AL75">
            <v>55341.778451093756</v>
          </cell>
          <cell r="AM75">
            <v>50795.599495781251</v>
          </cell>
          <cell r="AN75">
            <v>52904.685142031245</v>
          </cell>
          <cell r="AO75">
            <v>40332.936911093748</v>
          </cell>
          <cell r="AP75">
            <v>8.5</v>
          </cell>
          <cell r="AR75">
            <v>36250</v>
          </cell>
          <cell r="AS75">
            <v>36250</v>
          </cell>
          <cell r="AT75">
            <v>0</v>
          </cell>
          <cell r="AU75">
            <v>13.904761904761905</v>
          </cell>
          <cell r="AV75">
            <v>2.3431765171399679</v>
          </cell>
          <cell r="AX75">
            <v>22028.94530061672</v>
          </cell>
        </row>
        <row r="76">
          <cell r="A76" t="str">
            <v>421404D</v>
          </cell>
          <cell r="C76" t="str">
            <v>UA01</v>
          </cell>
          <cell r="T76">
            <v>1</v>
          </cell>
          <cell r="W76">
            <v>10000</v>
          </cell>
          <cell r="X76">
            <v>0</v>
          </cell>
          <cell r="Z76">
            <v>2000</v>
          </cell>
          <cell r="AJ76">
            <v>180000</v>
          </cell>
          <cell r="AL76">
            <v>0</v>
          </cell>
          <cell r="AM76">
            <v>0</v>
          </cell>
          <cell r="AN76">
            <v>0</v>
          </cell>
          <cell r="AO76">
            <v>180000</v>
          </cell>
          <cell r="AP76">
            <v>75</v>
          </cell>
          <cell r="AR76">
            <v>180000</v>
          </cell>
          <cell r="AS76">
            <v>180000</v>
          </cell>
          <cell r="AT76">
            <v>0</v>
          </cell>
          <cell r="AU76">
            <v>28</v>
          </cell>
          <cell r="AV76">
            <v>11.005049346146119</v>
          </cell>
          <cell r="AX76">
            <v>72168.161579783497</v>
          </cell>
        </row>
        <row r="77">
          <cell r="A77" t="str">
            <v>451052A</v>
          </cell>
          <cell r="C77" t="str">
            <v>UA03</v>
          </cell>
          <cell r="T77">
            <v>3</v>
          </cell>
          <cell r="W77">
            <v>96095</v>
          </cell>
          <cell r="X77">
            <v>5000</v>
          </cell>
          <cell r="Z77">
            <v>2000</v>
          </cell>
          <cell r="AJ77">
            <v>180000</v>
          </cell>
          <cell r="AL77">
            <v>120000</v>
          </cell>
          <cell r="AM77">
            <v>0</v>
          </cell>
          <cell r="AN77">
            <v>60000</v>
          </cell>
          <cell r="AO77">
            <v>0</v>
          </cell>
          <cell r="AP77">
            <v>20.5</v>
          </cell>
          <cell r="AR77">
            <v>60000</v>
          </cell>
          <cell r="AS77">
            <v>60000</v>
          </cell>
          <cell r="AT77">
            <v>0</v>
          </cell>
          <cell r="AU77">
            <v>12.636363636363637</v>
          </cell>
          <cell r="AV77">
            <v>0.9244162777371755</v>
          </cell>
          <cell r="AX77">
            <v>49877.876805070344</v>
          </cell>
        </row>
        <row r="78">
          <cell r="A78">
            <v>453257</v>
          </cell>
          <cell r="C78" t="str">
            <v>UA01</v>
          </cell>
          <cell r="T78">
            <v>10</v>
          </cell>
          <cell r="X78">
            <v>12600</v>
          </cell>
          <cell r="Z78">
            <v>300</v>
          </cell>
          <cell r="AJ78">
            <v>172800</v>
          </cell>
          <cell r="AL78">
            <v>47965.187793600002</v>
          </cell>
          <cell r="AM78">
            <v>44024.976014399996</v>
          </cell>
          <cell r="AN78">
            <v>45852.938395199999</v>
          </cell>
          <cell r="AO78">
            <v>34956.897796799996</v>
          </cell>
          <cell r="AP78">
            <v>8.125</v>
          </cell>
          <cell r="AR78">
            <v>14400</v>
          </cell>
          <cell r="AS78">
            <v>14400</v>
          </cell>
          <cell r="AT78">
            <v>7200</v>
          </cell>
          <cell r="AU78">
            <v>4.7272727272727275</v>
          </cell>
          <cell r="AV78">
            <v>2.6252705488283401</v>
          </cell>
          <cell r="AX78">
            <v>14563.887166497894</v>
          </cell>
        </row>
        <row r="79">
          <cell r="A79">
            <v>452466</v>
          </cell>
          <cell r="C79" t="str">
            <v>UA01</v>
          </cell>
          <cell r="T79">
            <v>3</v>
          </cell>
          <cell r="W79">
            <v>9000</v>
          </cell>
          <cell r="X79">
            <v>51200</v>
          </cell>
          <cell r="Z79">
            <v>5040</v>
          </cell>
          <cell r="AJ79">
            <v>151200</v>
          </cell>
          <cell r="AL79">
            <v>50400</v>
          </cell>
          <cell r="AM79">
            <v>50400</v>
          </cell>
          <cell r="AN79">
            <v>0</v>
          </cell>
          <cell r="AO79">
            <v>50400</v>
          </cell>
          <cell r="AP79">
            <v>31</v>
          </cell>
          <cell r="AR79">
            <v>50400</v>
          </cell>
          <cell r="AS79">
            <v>50400</v>
          </cell>
          <cell r="AT79">
            <v>0</v>
          </cell>
          <cell r="AU79">
            <v>18.8</v>
          </cell>
          <cell r="AV79">
            <v>3.8528488738133042</v>
          </cell>
          <cell r="AX79">
            <v>96639.203762701814</v>
          </cell>
        </row>
        <row r="80">
          <cell r="A80" t="str">
            <v>451033P</v>
          </cell>
          <cell r="C80" t="str">
            <v>UA03</v>
          </cell>
          <cell r="T80">
            <v>4</v>
          </cell>
          <cell r="X80">
            <v>4980</v>
          </cell>
          <cell r="Z80">
            <v>10010</v>
          </cell>
          <cell r="AJ80">
            <v>150150</v>
          </cell>
          <cell r="AL80">
            <v>40040</v>
          </cell>
          <cell r="AM80">
            <v>40040</v>
          </cell>
          <cell r="AN80">
            <v>30030</v>
          </cell>
          <cell r="AO80">
            <v>40040</v>
          </cell>
          <cell r="AP80">
            <v>19.33333333333</v>
          </cell>
          <cell r="AR80">
            <v>40040</v>
          </cell>
          <cell r="AS80">
            <v>10010</v>
          </cell>
          <cell r="AT80">
            <v>5005</v>
          </cell>
          <cell r="AU80">
            <v>12.2</v>
          </cell>
          <cell r="AV80">
            <v>0.77459666924148363</v>
          </cell>
          <cell r="AX80">
            <v>64238.910927882476</v>
          </cell>
        </row>
        <row r="81">
          <cell r="A81">
            <v>404055</v>
          </cell>
          <cell r="C81" t="str">
            <v>UA02</v>
          </cell>
          <cell r="T81">
            <v>4</v>
          </cell>
          <cell r="W81">
            <v>96400</v>
          </cell>
          <cell r="X81">
            <v>0</v>
          </cell>
          <cell r="Z81">
            <v>10000</v>
          </cell>
          <cell r="AJ81">
            <v>150000</v>
          </cell>
          <cell r="AL81">
            <v>41636.447737499999</v>
          </cell>
          <cell r="AM81">
            <v>38216.125012499993</v>
          </cell>
          <cell r="AN81">
            <v>39802.897912499997</v>
          </cell>
          <cell r="AO81">
            <v>30344.529337499996</v>
          </cell>
          <cell r="AP81">
            <v>6.9</v>
          </cell>
          <cell r="AR81">
            <v>10000</v>
          </cell>
          <cell r="AS81">
            <v>10000</v>
          </cell>
          <cell r="AT81">
            <v>0</v>
          </cell>
          <cell r="AU81">
            <v>16.777777777777779</v>
          </cell>
          <cell r="AV81">
            <v>2.333333333333333</v>
          </cell>
          <cell r="AX81">
            <v>51176.657250640048</v>
          </cell>
        </row>
        <row r="82">
          <cell r="A82">
            <v>453410</v>
          </cell>
          <cell r="C82" t="str">
            <v>UA03</v>
          </cell>
          <cell r="T82">
            <v>4</v>
          </cell>
          <cell r="X82">
            <v>85000</v>
          </cell>
          <cell r="Z82">
            <v>10000</v>
          </cell>
          <cell r="AJ82">
            <v>150000</v>
          </cell>
          <cell r="AL82">
            <v>0</v>
          </cell>
          <cell r="AM82">
            <v>50000</v>
          </cell>
          <cell r="AN82">
            <v>50000</v>
          </cell>
          <cell r="AO82">
            <v>50000</v>
          </cell>
          <cell r="AP82">
            <v>22.5</v>
          </cell>
          <cell r="AR82">
            <v>50000</v>
          </cell>
          <cell r="AS82">
            <v>50000</v>
          </cell>
          <cell r="AT82">
            <v>0</v>
          </cell>
          <cell r="AU82">
            <v>10</v>
          </cell>
          <cell r="AV82">
            <v>0</v>
          </cell>
          <cell r="AX82">
            <v>50886.508594788189</v>
          </cell>
        </row>
        <row r="83">
          <cell r="A83">
            <v>451844</v>
          </cell>
          <cell r="C83" t="str">
            <v>UA02</v>
          </cell>
          <cell r="T83">
            <v>1</v>
          </cell>
          <cell r="W83">
            <v>14400</v>
          </cell>
          <cell r="X83">
            <v>7800</v>
          </cell>
          <cell r="Z83">
            <v>50000</v>
          </cell>
          <cell r="AJ83">
            <v>150000</v>
          </cell>
          <cell r="AL83">
            <v>0</v>
          </cell>
          <cell r="AM83">
            <v>0</v>
          </cell>
          <cell r="AN83">
            <v>0</v>
          </cell>
          <cell r="AO83">
            <v>150000</v>
          </cell>
          <cell r="AP83">
            <v>75</v>
          </cell>
          <cell r="AR83">
            <v>150000</v>
          </cell>
          <cell r="AS83">
            <v>150000</v>
          </cell>
          <cell r="AT83">
            <v>0</v>
          </cell>
          <cell r="AU83">
            <v>30.25</v>
          </cell>
          <cell r="AV83">
            <v>9.0323492698928192</v>
          </cell>
          <cell r="AX83">
            <v>61658.082242977798</v>
          </cell>
        </row>
        <row r="84">
          <cell r="A84">
            <v>407518</v>
          </cell>
          <cell r="C84" t="str">
            <v>UA03</v>
          </cell>
          <cell r="T84">
            <v>4</v>
          </cell>
          <cell r="W84">
            <v>144000</v>
          </cell>
          <cell r="X84">
            <v>6000</v>
          </cell>
          <cell r="Z84">
            <v>2000</v>
          </cell>
          <cell r="AJ84">
            <v>144000</v>
          </cell>
          <cell r="AL84">
            <v>43968.0888108</v>
          </cell>
          <cell r="AM84">
            <v>40356.228013200001</v>
          </cell>
          <cell r="AN84">
            <v>42031.860195599998</v>
          </cell>
          <cell r="AO84">
            <v>32043.8229804</v>
          </cell>
          <cell r="AP84">
            <v>23</v>
          </cell>
          <cell r="AR84">
            <v>36000</v>
          </cell>
          <cell r="AS84">
            <v>36000</v>
          </cell>
          <cell r="AT84">
            <v>0</v>
          </cell>
          <cell r="AU84">
            <v>14.083333333333332</v>
          </cell>
          <cell r="AV84">
            <v>2.4664414311581235</v>
          </cell>
          <cell r="AX84">
            <v>66875.322289027346</v>
          </cell>
        </row>
        <row r="85">
          <cell r="A85">
            <v>413240</v>
          </cell>
          <cell r="C85" t="str">
            <v>UA01</v>
          </cell>
          <cell r="T85">
            <v>7</v>
          </cell>
          <cell r="W85">
            <v>28500</v>
          </cell>
          <cell r="X85">
            <v>0</v>
          </cell>
          <cell r="Z85">
            <v>1000</v>
          </cell>
          <cell r="AJ85">
            <v>144000</v>
          </cell>
          <cell r="AL85">
            <v>39970.989827999998</v>
          </cell>
          <cell r="AM85">
            <v>36687.480012</v>
          </cell>
          <cell r="AN85">
            <v>38210.781995999998</v>
          </cell>
          <cell r="AO85">
            <v>29130.748163999997</v>
          </cell>
          <cell r="AP85">
            <v>6.6666666666600003</v>
          </cell>
          <cell r="AR85">
            <v>18000</v>
          </cell>
          <cell r="AS85">
            <v>18000</v>
          </cell>
          <cell r="AT85">
            <v>6803.3605141660919</v>
          </cell>
          <cell r="AU85">
            <v>36.4</v>
          </cell>
          <cell r="AV85">
            <v>6.0663003552412365</v>
          </cell>
          <cell r="AX85">
            <v>61187.652518440489</v>
          </cell>
        </row>
        <row r="86">
          <cell r="A86">
            <v>452196</v>
          </cell>
          <cell r="C86" t="str">
            <v>UA02</v>
          </cell>
          <cell r="T86">
            <v>4</v>
          </cell>
          <cell r="W86">
            <v>10000</v>
          </cell>
          <cell r="X86">
            <v>54200</v>
          </cell>
          <cell r="Z86">
            <v>10000</v>
          </cell>
          <cell r="AJ86">
            <v>140000</v>
          </cell>
          <cell r="AL86">
            <v>38860.684555</v>
          </cell>
          <cell r="AM86">
            <v>35668.383344999995</v>
          </cell>
          <cell r="AN86">
            <v>37149.371384999999</v>
          </cell>
          <cell r="AO86">
            <v>28321.560715</v>
          </cell>
          <cell r="AP86">
            <v>4.2</v>
          </cell>
          <cell r="AR86">
            <v>8800</v>
          </cell>
          <cell r="AS86">
            <v>200</v>
          </cell>
          <cell r="AT86">
            <v>2233.896621969569</v>
          </cell>
          <cell r="AU86">
            <v>38.07692307692308</v>
          </cell>
          <cell r="AV86">
            <v>10.20180979419451</v>
          </cell>
          <cell r="AX86">
            <v>35093.900459855104</v>
          </cell>
        </row>
        <row r="87">
          <cell r="A87">
            <v>452366</v>
          </cell>
          <cell r="C87" t="str">
            <v>UA02</v>
          </cell>
          <cell r="T87">
            <v>3</v>
          </cell>
          <cell r="W87">
            <v>109000</v>
          </cell>
          <cell r="X87">
            <v>0</v>
          </cell>
          <cell r="Z87">
            <v>10000</v>
          </cell>
          <cell r="AJ87">
            <v>140000</v>
          </cell>
          <cell r="AL87">
            <v>38860.684555</v>
          </cell>
          <cell r="AM87">
            <v>35668.383344999995</v>
          </cell>
          <cell r="AN87">
            <v>37149.371384999999</v>
          </cell>
          <cell r="AO87">
            <v>28321.560715</v>
          </cell>
          <cell r="AP87">
            <v>3.3157894736800002</v>
          </cell>
          <cell r="AR87">
            <v>10000</v>
          </cell>
          <cell r="AS87">
            <v>10000</v>
          </cell>
          <cell r="AT87">
            <v>2236.0679774997898</v>
          </cell>
          <cell r="AU87">
            <v>17.625</v>
          </cell>
          <cell r="AV87">
            <v>3.4423828956117011</v>
          </cell>
          <cell r="AX87">
            <v>58124.24248798882</v>
          </cell>
        </row>
        <row r="88">
          <cell r="A88">
            <v>400296</v>
          </cell>
          <cell r="C88" t="str">
            <v>UA03</v>
          </cell>
          <cell r="T88">
            <v>8</v>
          </cell>
          <cell r="W88">
            <v>37350</v>
          </cell>
          <cell r="X88">
            <v>5450</v>
          </cell>
          <cell r="Z88">
            <v>9000</v>
          </cell>
          <cell r="AJ88">
            <v>136000</v>
          </cell>
          <cell r="AL88">
            <v>41525.417210200008</v>
          </cell>
          <cell r="AM88">
            <v>38114.215345800003</v>
          </cell>
          <cell r="AN88">
            <v>39696.756851400001</v>
          </cell>
          <cell r="AO88">
            <v>30263.610592600002</v>
          </cell>
          <cell r="AP88">
            <v>9.5714285714200003</v>
          </cell>
          <cell r="AR88">
            <v>18000</v>
          </cell>
          <cell r="AS88">
            <v>2000</v>
          </cell>
          <cell r="AT88">
            <v>1069.0449676496976</v>
          </cell>
          <cell r="AU88">
            <v>16.23076923076923</v>
          </cell>
          <cell r="AV88">
            <v>4.7811059765470958</v>
          </cell>
          <cell r="AX88">
            <v>61677.176256336439</v>
          </cell>
        </row>
        <row r="89">
          <cell r="A89" t="str">
            <v>450335A</v>
          </cell>
          <cell r="C89" t="str">
            <v>UA03</v>
          </cell>
          <cell r="T89">
            <v>3</v>
          </cell>
          <cell r="X89">
            <v>0</v>
          </cell>
          <cell r="Z89">
            <v>5070</v>
          </cell>
          <cell r="AJ89">
            <v>121680</v>
          </cell>
          <cell r="AL89">
            <v>40560</v>
          </cell>
          <cell r="AM89">
            <v>0</v>
          </cell>
          <cell r="AN89">
            <v>40560</v>
          </cell>
          <cell r="AO89">
            <v>40560</v>
          </cell>
          <cell r="AP89">
            <v>31</v>
          </cell>
          <cell r="AR89">
            <v>40560</v>
          </cell>
          <cell r="AS89">
            <v>40560</v>
          </cell>
          <cell r="AT89">
            <v>0</v>
          </cell>
          <cell r="AU89">
            <v>14.761904761904763</v>
          </cell>
          <cell r="AV89">
            <v>2.8089991439080557</v>
          </cell>
          <cell r="AX89">
            <v>53341.104411050765</v>
          </cell>
        </row>
        <row r="90">
          <cell r="A90">
            <v>453010</v>
          </cell>
          <cell r="C90" t="str">
            <v>UA02</v>
          </cell>
          <cell r="T90">
            <v>2</v>
          </cell>
          <cell r="W90">
            <v>143000</v>
          </cell>
          <cell r="Z90">
            <v>10000</v>
          </cell>
          <cell r="AJ90">
            <v>120000</v>
          </cell>
          <cell r="AL90">
            <v>33309.158190000002</v>
          </cell>
          <cell r="AM90">
            <v>30572.900009999998</v>
          </cell>
          <cell r="AN90">
            <v>31842.318329999998</v>
          </cell>
          <cell r="AO90">
            <v>24275.623469999999</v>
          </cell>
          <cell r="AP90">
            <v>32</v>
          </cell>
          <cell r="AR90">
            <v>60000</v>
          </cell>
          <cell r="AS90">
            <v>60000</v>
          </cell>
          <cell r="AT90">
            <v>0</v>
          </cell>
          <cell r="AU90">
            <v>30</v>
          </cell>
          <cell r="AV90">
            <v>13.490737563232042</v>
          </cell>
          <cell r="AX90">
            <v>46858.102955070943</v>
          </cell>
        </row>
        <row r="91">
          <cell r="A91">
            <v>420321</v>
          </cell>
          <cell r="C91" t="str">
            <v>UA01</v>
          </cell>
          <cell r="T91">
            <v>2</v>
          </cell>
          <cell r="W91">
            <v>40000</v>
          </cell>
          <cell r="X91">
            <v>0</v>
          </cell>
          <cell r="Z91">
            <v>20000</v>
          </cell>
          <cell r="AJ91">
            <v>120000</v>
          </cell>
          <cell r="AL91">
            <v>33309.158190000002</v>
          </cell>
          <cell r="AM91">
            <v>30572.900009999998</v>
          </cell>
          <cell r="AN91">
            <v>31842.318329999998</v>
          </cell>
          <cell r="AO91">
            <v>24275.623469999999</v>
          </cell>
          <cell r="AP91">
            <v>35</v>
          </cell>
          <cell r="AR91">
            <v>60000</v>
          </cell>
          <cell r="AS91">
            <v>60000</v>
          </cell>
          <cell r="AT91">
            <v>0</v>
          </cell>
          <cell r="AU91">
            <v>31</v>
          </cell>
          <cell r="AV91">
            <v>4.6904157598234297</v>
          </cell>
          <cell r="AX91">
            <v>170386.37070498231</v>
          </cell>
        </row>
        <row r="92">
          <cell r="A92">
            <v>412607</v>
          </cell>
          <cell r="C92" t="str">
            <v>UA02</v>
          </cell>
          <cell r="T92">
            <v>2</v>
          </cell>
          <cell r="X92">
            <v>0</v>
          </cell>
          <cell r="Z92">
            <v>20000</v>
          </cell>
          <cell r="AJ92">
            <v>120000</v>
          </cell>
          <cell r="AL92">
            <v>60000</v>
          </cell>
          <cell r="AM92">
            <v>0</v>
          </cell>
          <cell r="AN92">
            <v>60000</v>
          </cell>
          <cell r="AO92">
            <v>0</v>
          </cell>
          <cell r="AP92">
            <v>40</v>
          </cell>
          <cell r="AR92">
            <v>60000</v>
          </cell>
          <cell r="AS92">
            <v>60000</v>
          </cell>
          <cell r="AT92">
            <v>0</v>
          </cell>
          <cell r="AU92">
            <v>25.333333333333336</v>
          </cell>
          <cell r="AV92">
            <v>10.263202878893768</v>
          </cell>
          <cell r="AX92">
            <v>72417.803819424924</v>
          </cell>
        </row>
        <row r="93">
          <cell r="A93" t="str">
            <v>450601B</v>
          </cell>
          <cell r="C93" t="str">
            <v>UA01</v>
          </cell>
          <cell r="T93">
            <v>9</v>
          </cell>
          <cell r="W93">
            <v>3500</v>
          </cell>
          <cell r="X93">
            <v>0</v>
          </cell>
          <cell r="Z93">
            <v>4000</v>
          </cell>
          <cell r="AJ93">
            <v>120000</v>
          </cell>
          <cell r="AL93">
            <v>33309.158190000002</v>
          </cell>
          <cell r="AM93">
            <v>30572.900009999998</v>
          </cell>
          <cell r="AN93">
            <v>31842.318329999998</v>
          </cell>
          <cell r="AO93">
            <v>24275.623469999999</v>
          </cell>
          <cell r="AP93">
            <v>29.5</v>
          </cell>
          <cell r="AR93">
            <v>40000</v>
          </cell>
          <cell r="AS93">
            <v>40000</v>
          </cell>
          <cell r="AT93">
            <v>0</v>
          </cell>
          <cell r="AU93">
            <v>32.200000000000003</v>
          </cell>
          <cell r="AV93">
            <v>11.25610945220417</v>
          </cell>
          <cell r="AX93">
            <v>71071.815147533096</v>
          </cell>
        </row>
        <row r="94">
          <cell r="A94">
            <v>403994</v>
          </cell>
          <cell r="C94" t="str">
            <v>UA02</v>
          </cell>
          <cell r="T94">
            <v>4</v>
          </cell>
          <cell r="W94">
            <v>74300</v>
          </cell>
          <cell r="X94">
            <v>48000</v>
          </cell>
          <cell r="Z94">
            <v>5000</v>
          </cell>
          <cell r="AJ94">
            <v>120000</v>
          </cell>
          <cell r="AL94">
            <v>33309.158190000002</v>
          </cell>
          <cell r="AM94">
            <v>30572.900009999998</v>
          </cell>
          <cell r="AN94">
            <v>31842.318329999998</v>
          </cell>
          <cell r="AO94">
            <v>24275.623469999999</v>
          </cell>
          <cell r="AP94">
            <v>5.8</v>
          </cell>
          <cell r="AR94">
            <v>5000</v>
          </cell>
          <cell r="AS94">
            <v>5000</v>
          </cell>
          <cell r="AT94">
            <v>0</v>
          </cell>
          <cell r="AU94">
            <v>19.076923076923077</v>
          </cell>
          <cell r="AV94">
            <v>5.057363253408151</v>
          </cell>
          <cell r="AX94">
            <v>35822.533088580189</v>
          </cell>
        </row>
        <row r="95">
          <cell r="A95" t="str">
            <v>404648/HUN</v>
          </cell>
          <cell r="C95" t="str">
            <v>UA03</v>
          </cell>
          <cell r="T95">
            <v>7</v>
          </cell>
          <cell r="W95">
            <v>66000</v>
          </cell>
          <cell r="X95">
            <v>0</v>
          </cell>
          <cell r="Z95">
            <v>6000</v>
          </cell>
          <cell r="AJ95">
            <v>120000</v>
          </cell>
          <cell r="AL95">
            <v>36640.074009000004</v>
          </cell>
          <cell r="AM95">
            <v>33630.190010999999</v>
          </cell>
          <cell r="AN95">
            <v>35026.550163</v>
          </cell>
          <cell r="AO95">
            <v>26703.185817000001</v>
          </cell>
          <cell r="AP95">
            <v>11.666666666659999</v>
          </cell>
          <cell r="AR95">
            <v>12000</v>
          </cell>
          <cell r="AS95">
            <v>12000</v>
          </cell>
          <cell r="AT95">
            <v>6414.269805898186</v>
          </cell>
          <cell r="AU95">
            <v>16.90909090909091</v>
          </cell>
          <cell r="AV95">
            <v>4.8878327601206948</v>
          </cell>
          <cell r="AX95">
            <v>56728.854046132517</v>
          </cell>
        </row>
        <row r="96">
          <cell r="A96">
            <v>453523</v>
          </cell>
          <cell r="C96" t="str">
            <v>UA01</v>
          </cell>
          <cell r="T96">
            <v>5</v>
          </cell>
          <cell r="W96">
            <v>11520</v>
          </cell>
          <cell r="X96">
            <v>0</v>
          </cell>
          <cell r="Z96">
            <v>4800</v>
          </cell>
          <cell r="AJ96">
            <v>118400</v>
          </cell>
          <cell r="AL96">
            <v>32865.036080800004</v>
          </cell>
          <cell r="AM96">
            <v>30165.261343199996</v>
          </cell>
          <cell r="AN96">
            <v>31417.754085599998</v>
          </cell>
          <cell r="AO96">
            <v>23951.948490399998</v>
          </cell>
          <cell r="AP96">
            <v>14</v>
          </cell>
          <cell r="AR96">
            <v>24000</v>
          </cell>
          <cell r="AS96">
            <v>800</v>
          </cell>
          <cell r="AT96">
            <v>8228.7301571992266</v>
          </cell>
          <cell r="AU96">
            <v>69.666666666666657</v>
          </cell>
          <cell r="AV96">
            <v>25.794056162870799</v>
          </cell>
          <cell r="AX96">
            <v>93731.328036906358</v>
          </cell>
        </row>
        <row r="97">
          <cell r="A97">
            <v>452128</v>
          </cell>
          <cell r="C97" t="str">
            <v>UA02</v>
          </cell>
          <cell r="T97">
            <v>2</v>
          </cell>
          <cell r="W97">
            <v>115400</v>
          </cell>
          <cell r="Z97">
            <v>30000</v>
          </cell>
          <cell r="AJ97">
            <v>115400</v>
          </cell>
          <cell r="AL97">
            <v>32032.30712605</v>
          </cell>
          <cell r="AM97">
            <v>29400.938842949996</v>
          </cell>
          <cell r="AN97">
            <v>30621.696127349998</v>
          </cell>
          <cell r="AO97">
            <v>23345.057903649998</v>
          </cell>
          <cell r="AP97">
            <v>23</v>
          </cell>
          <cell r="AR97">
            <v>57800</v>
          </cell>
          <cell r="AS97">
            <v>200</v>
          </cell>
          <cell r="AT97">
            <v>3252.6911934581185</v>
          </cell>
          <cell r="AU97">
            <v>34</v>
          </cell>
          <cell r="AV97">
            <v>9.8994949366116654</v>
          </cell>
          <cell r="AX97">
            <v>62210.013009263639</v>
          </cell>
        </row>
        <row r="98">
          <cell r="A98">
            <v>453451</v>
          </cell>
          <cell r="C98" t="str">
            <v>UA03</v>
          </cell>
          <cell r="T98">
            <v>5</v>
          </cell>
          <cell r="W98">
            <v>21600</v>
          </cell>
          <cell r="X98">
            <v>60000</v>
          </cell>
          <cell r="Z98">
            <v>3600</v>
          </cell>
          <cell r="AJ98">
            <v>115200</v>
          </cell>
          <cell r="AL98">
            <v>28800</v>
          </cell>
          <cell r="AM98">
            <v>28800</v>
          </cell>
          <cell r="AN98">
            <v>28800</v>
          </cell>
          <cell r="AO98">
            <v>28800</v>
          </cell>
          <cell r="AP98">
            <v>20.666666666659999</v>
          </cell>
          <cell r="AR98">
            <v>28800</v>
          </cell>
          <cell r="AS98">
            <v>28800</v>
          </cell>
          <cell r="AT98">
            <v>0</v>
          </cell>
          <cell r="AU98">
            <v>13.923076923076923</v>
          </cell>
          <cell r="AV98">
            <v>1.2557559782549625</v>
          </cell>
          <cell r="AX98">
            <v>36387.616919363354</v>
          </cell>
        </row>
        <row r="99">
          <cell r="A99">
            <v>407076</v>
          </cell>
          <cell r="C99" t="str">
            <v>UA03</v>
          </cell>
          <cell r="T99">
            <v>1</v>
          </cell>
          <cell r="W99">
            <v>114000</v>
          </cell>
          <cell r="X99">
            <v>0</v>
          </cell>
          <cell r="Z99">
            <v>10000</v>
          </cell>
          <cell r="AJ99">
            <v>114000</v>
          </cell>
          <cell r="AL99">
            <v>114000</v>
          </cell>
          <cell r="AM99">
            <v>0</v>
          </cell>
          <cell r="AN99">
            <v>0</v>
          </cell>
          <cell r="AO99">
            <v>0</v>
          </cell>
          <cell r="AP99">
            <v>75</v>
          </cell>
          <cell r="AR99">
            <v>114000</v>
          </cell>
          <cell r="AS99">
            <v>114000</v>
          </cell>
          <cell r="AT99">
            <v>0</v>
          </cell>
          <cell r="AU99">
            <v>14</v>
          </cell>
          <cell r="AV99">
            <v>1.1547005383792515</v>
          </cell>
          <cell r="AX99">
            <v>74218.984845137747</v>
          </cell>
        </row>
        <row r="100">
          <cell r="A100">
            <v>453591</v>
          </cell>
          <cell r="C100" t="str">
            <v>UA02</v>
          </cell>
          <cell r="T100">
            <v>3</v>
          </cell>
          <cell r="W100">
            <v>90700</v>
          </cell>
          <cell r="X100">
            <v>0</v>
          </cell>
          <cell r="Z100">
            <v>4000</v>
          </cell>
          <cell r="AJ100">
            <v>112000</v>
          </cell>
          <cell r="AL100">
            <v>31088.547644000002</v>
          </cell>
          <cell r="AM100">
            <v>28534.706675999998</v>
          </cell>
          <cell r="AN100">
            <v>29719.497107999996</v>
          </cell>
          <cell r="AO100">
            <v>22657.248571999997</v>
          </cell>
          <cell r="AP100">
            <v>19.5</v>
          </cell>
          <cell r="AR100">
            <v>36000</v>
          </cell>
          <cell r="AS100">
            <v>4000</v>
          </cell>
          <cell r="AT100">
            <v>6110.1009266077799</v>
          </cell>
          <cell r="AU100">
            <v>18.18181818181818</v>
          </cell>
          <cell r="AV100">
            <v>3.5161962919661303</v>
          </cell>
          <cell r="AX100">
            <v>38581.05811077141</v>
          </cell>
        </row>
        <row r="101">
          <cell r="A101" t="str">
            <v>422048A</v>
          </cell>
          <cell r="C101" t="str">
            <v>UA01</v>
          </cell>
          <cell r="T101">
            <v>3</v>
          </cell>
          <cell r="W101">
            <v>2630</v>
          </cell>
          <cell r="X101">
            <v>6000</v>
          </cell>
          <cell r="Z101">
            <v>3000</v>
          </cell>
          <cell r="AJ101">
            <v>108000</v>
          </cell>
          <cell r="AL101">
            <v>36000</v>
          </cell>
          <cell r="AM101">
            <v>0</v>
          </cell>
          <cell r="AN101">
            <v>36000</v>
          </cell>
          <cell r="AO101">
            <v>36000</v>
          </cell>
          <cell r="AP101">
            <v>31</v>
          </cell>
          <cell r="AR101">
            <v>36000</v>
          </cell>
          <cell r="AS101">
            <v>36000</v>
          </cell>
          <cell r="AT101">
            <v>0</v>
          </cell>
          <cell r="AU101">
            <v>14.166666666666668</v>
          </cell>
          <cell r="AV101">
            <v>2.6394443859772205</v>
          </cell>
          <cell r="AX101">
            <v>59467.743365766059</v>
          </cell>
        </row>
        <row r="102">
          <cell r="A102" t="str">
            <v>451973A</v>
          </cell>
          <cell r="C102" t="str">
            <v>UA03</v>
          </cell>
          <cell r="T102">
            <v>5</v>
          </cell>
          <cell r="W102">
            <v>72600</v>
          </cell>
          <cell r="X102">
            <v>0</v>
          </cell>
          <cell r="Z102">
            <v>10200</v>
          </cell>
          <cell r="AJ102">
            <v>102000</v>
          </cell>
          <cell r="AL102">
            <v>31144.062907650001</v>
          </cell>
          <cell r="AM102">
            <v>28585.661509349997</v>
          </cell>
          <cell r="AN102">
            <v>29772.567638550001</v>
          </cell>
          <cell r="AO102">
            <v>22697.707944450001</v>
          </cell>
          <cell r="AP102">
            <v>15.5</v>
          </cell>
          <cell r="AR102">
            <v>20400</v>
          </cell>
          <cell r="AS102">
            <v>10200</v>
          </cell>
          <cell r="AT102">
            <v>17666.91823720255</v>
          </cell>
          <cell r="AU102">
            <v>13.454545454545455</v>
          </cell>
          <cell r="AV102">
            <v>1.5075567228888178</v>
          </cell>
          <cell r="AX102">
            <v>50837.318697425042</v>
          </cell>
        </row>
        <row r="103">
          <cell r="A103">
            <v>421125</v>
          </cell>
          <cell r="T103">
            <v>3</v>
          </cell>
          <cell r="X103">
            <v>0</v>
          </cell>
          <cell r="Z103">
            <v>20000</v>
          </cell>
          <cell r="AJ103">
            <v>100000</v>
          </cell>
          <cell r="AL103" t="e">
            <v>#N/A</v>
          </cell>
          <cell r="AM103" t="e">
            <v>#N/A</v>
          </cell>
          <cell r="AN103" t="e">
            <v>#N/A</v>
          </cell>
          <cell r="AO103" t="e">
            <v>#N/A</v>
          </cell>
          <cell r="AP103">
            <v>4</v>
          </cell>
          <cell r="AR103">
            <v>40000</v>
          </cell>
          <cell r="AS103">
            <v>20000</v>
          </cell>
          <cell r="AT103">
            <v>23094.01076758503</v>
          </cell>
          <cell r="AU103">
            <v>0</v>
          </cell>
          <cell r="AV103">
            <v>0</v>
          </cell>
          <cell r="AX103">
            <v>0</v>
          </cell>
        </row>
        <row r="104">
          <cell r="A104">
            <v>451621</v>
          </cell>
          <cell r="C104" t="str">
            <v>UA03</v>
          </cell>
          <cell r="T104">
            <v>2</v>
          </cell>
          <cell r="W104">
            <v>3300</v>
          </cell>
          <cell r="X104">
            <v>0</v>
          </cell>
          <cell r="Z104">
            <v>5000</v>
          </cell>
          <cell r="AJ104">
            <v>100000</v>
          </cell>
          <cell r="AL104">
            <v>50000</v>
          </cell>
          <cell r="AM104">
            <v>0</v>
          </cell>
          <cell r="AN104">
            <v>50000</v>
          </cell>
          <cell r="AO104">
            <v>0</v>
          </cell>
          <cell r="AP104">
            <v>37</v>
          </cell>
          <cell r="AR104">
            <v>50000</v>
          </cell>
          <cell r="AS104">
            <v>50000</v>
          </cell>
          <cell r="AT104">
            <v>0</v>
          </cell>
          <cell r="AU104">
            <v>12.333333333333334</v>
          </cell>
          <cell r="AV104">
            <v>0.77849894416152332</v>
          </cell>
          <cell r="AX104">
            <v>40383.777062744412</v>
          </cell>
        </row>
        <row r="105">
          <cell r="A105">
            <v>452778</v>
          </cell>
          <cell r="C105" t="str">
            <v>UA02</v>
          </cell>
          <cell r="T105">
            <v>1</v>
          </cell>
          <cell r="W105">
            <v>12900</v>
          </cell>
          <cell r="X105">
            <v>110000</v>
          </cell>
          <cell r="Z105">
            <v>50000</v>
          </cell>
          <cell r="AJ105">
            <v>100000</v>
          </cell>
          <cell r="AL105">
            <v>100000</v>
          </cell>
          <cell r="AM105">
            <v>0</v>
          </cell>
          <cell r="AN105">
            <v>0</v>
          </cell>
          <cell r="AO105">
            <v>0</v>
          </cell>
          <cell r="AP105">
            <v>75</v>
          </cell>
          <cell r="AR105">
            <v>100000</v>
          </cell>
          <cell r="AS105">
            <v>100000</v>
          </cell>
          <cell r="AT105">
            <v>0</v>
          </cell>
          <cell r="AU105">
            <v>28.5</v>
          </cell>
          <cell r="AV105">
            <v>3.5355339059327378</v>
          </cell>
          <cell r="AX105">
            <v>66303.697799318659</v>
          </cell>
        </row>
        <row r="106">
          <cell r="A106" t="str">
            <v>453385A</v>
          </cell>
          <cell r="C106" t="str">
            <v>UA01</v>
          </cell>
          <cell r="T106">
            <v>2</v>
          </cell>
          <cell r="X106">
            <v>0</v>
          </cell>
          <cell r="Z106">
            <v>6000</v>
          </cell>
          <cell r="AJ106">
            <v>96000</v>
          </cell>
          <cell r="AL106">
            <v>48000</v>
          </cell>
          <cell r="AM106">
            <v>0</v>
          </cell>
          <cell r="AN106">
            <v>48000</v>
          </cell>
          <cell r="AO106">
            <v>0</v>
          </cell>
          <cell r="AP106">
            <v>40</v>
          </cell>
          <cell r="AR106">
            <v>48000</v>
          </cell>
          <cell r="AS106">
            <v>48000</v>
          </cell>
          <cell r="AT106">
            <v>0</v>
          </cell>
          <cell r="AU106">
            <v>23</v>
          </cell>
          <cell r="AV106">
            <v>0</v>
          </cell>
          <cell r="AX106">
            <v>58851.346256495373</v>
          </cell>
        </row>
        <row r="107">
          <cell r="A107">
            <v>453800</v>
          </cell>
          <cell r="C107" t="str">
            <v>UA02</v>
          </cell>
          <cell r="T107">
            <v>1</v>
          </cell>
          <cell r="W107">
            <v>84600</v>
          </cell>
          <cell r="Z107">
            <v>80000</v>
          </cell>
          <cell r="AJ107">
            <v>93800</v>
          </cell>
          <cell r="AL107">
            <v>93800</v>
          </cell>
          <cell r="AM107">
            <v>0</v>
          </cell>
          <cell r="AN107">
            <v>0</v>
          </cell>
          <cell r="AO107">
            <v>0</v>
          </cell>
          <cell r="AP107">
            <v>75</v>
          </cell>
          <cell r="AR107">
            <v>93800</v>
          </cell>
          <cell r="AS107">
            <v>93800</v>
          </cell>
          <cell r="AT107">
            <v>0</v>
          </cell>
          <cell r="AU107">
            <v>30</v>
          </cell>
          <cell r="AV107">
            <v>30.61590000854676</v>
          </cell>
          <cell r="AX107">
            <v>72151.673588553007</v>
          </cell>
        </row>
        <row r="108">
          <cell r="A108" t="str">
            <v>400213R</v>
          </cell>
          <cell r="C108" t="str">
            <v>UA03</v>
          </cell>
          <cell r="T108">
            <v>3</v>
          </cell>
          <cell r="W108">
            <v>1820</v>
          </cell>
          <cell r="X108">
            <v>0</v>
          </cell>
          <cell r="Z108">
            <v>5040</v>
          </cell>
          <cell r="AJ108">
            <v>90720</v>
          </cell>
          <cell r="AL108">
            <v>30240</v>
          </cell>
          <cell r="AM108">
            <v>30240</v>
          </cell>
          <cell r="AN108">
            <v>0</v>
          </cell>
          <cell r="AO108">
            <v>30240</v>
          </cell>
          <cell r="AP108">
            <v>28</v>
          </cell>
          <cell r="AR108">
            <v>30240</v>
          </cell>
          <cell r="AS108">
            <v>30240</v>
          </cell>
          <cell r="AT108">
            <v>0</v>
          </cell>
          <cell r="AU108">
            <v>13</v>
          </cell>
          <cell r="AV108">
            <v>0</v>
          </cell>
          <cell r="AX108">
            <v>48645.137426036803</v>
          </cell>
        </row>
        <row r="109">
          <cell r="A109" t="str">
            <v>422144A</v>
          </cell>
          <cell r="C109" t="str">
            <v>UA01</v>
          </cell>
          <cell r="T109">
            <v>7</v>
          </cell>
          <cell r="W109">
            <v>23910</v>
          </cell>
          <cell r="X109">
            <v>0</v>
          </cell>
          <cell r="Z109">
            <v>3000</v>
          </cell>
          <cell r="AJ109">
            <v>90000</v>
          </cell>
          <cell r="AL109">
            <v>24981.868642500001</v>
          </cell>
          <cell r="AM109">
            <v>22929.675007499998</v>
          </cell>
          <cell r="AN109">
            <v>23881.738747499996</v>
          </cell>
          <cell r="AO109">
            <v>18206.717602499997</v>
          </cell>
          <cell r="AP109">
            <v>11.4</v>
          </cell>
          <cell r="AR109">
            <v>15000</v>
          </cell>
          <cell r="AS109">
            <v>3000</v>
          </cell>
          <cell r="AT109">
            <v>6572.6706900619938</v>
          </cell>
          <cell r="AU109">
            <v>17.76923076923077</v>
          </cell>
          <cell r="AV109">
            <v>4.4750017905740576</v>
          </cell>
          <cell r="AX109">
            <v>54798.451963398089</v>
          </cell>
        </row>
        <row r="110">
          <cell r="A110">
            <v>452367</v>
          </cell>
          <cell r="C110" t="str">
            <v>UA02</v>
          </cell>
          <cell r="T110">
            <v>3</v>
          </cell>
          <cell r="W110">
            <v>122800</v>
          </cell>
          <cell r="X110">
            <v>0</v>
          </cell>
          <cell r="Z110">
            <v>10000</v>
          </cell>
          <cell r="AJ110">
            <v>90000</v>
          </cell>
          <cell r="AL110">
            <v>24981.868642500001</v>
          </cell>
          <cell r="AM110">
            <v>22929.675007499998</v>
          </cell>
          <cell r="AN110">
            <v>23881.738747499996</v>
          </cell>
          <cell r="AO110">
            <v>18206.717602499997</v>
          </cell>
          <cell r="AP110">
            <v>3.15384615384</v>
          </cell>
          <cell r="AR110">
            <v>10000</v>
          </cell>
          <cell r="AS110">
            <v>10000</v>
          </cell>
          <cell r="AT110">
            <v>0</v>
          </cell>
          <cell r="AU110">
            <v>19.76923076923077</v>
          </cell>
          <cell r="AV110">
            <v>5.5999084241596631</v>
          </cell>
          <cell r="AX110">
            <v>46588.04627545621</v>
          </cell>
        </row>
        <row r="111">
          <cell r="A111">
            <v>422459</v>
          </cell>
          <cell r="C111" t="str">
            <v>UA01</v>
          </cell>
          <cell r="T111">
            <v>2</v>
          </cell>
          <cell r="X111">
            <v>82000</v>
          </cell>
          <cell r="Z111">
            <v>20000</v>
          </cell>
          <cell r="AJ111">
            <v>86000</v>
          </cell>
          <cell r="AL111">
            <v>23871.5633695</v>
          </cell>
          <cell r="AM111">
            <v>21910.578340499997</v>
          </cell>
          <cell r="AN111">
            <v>22820.328136499997</v>
          </cell>
          <cell r="AO111">
            <v>17397.5301535</v>
          </cell>
          <cell r="AP111">
            <v>3</v>
          </cell>
          <cell r="AR111">
            <v>44000</v>
          </cell>
          <cell r="AS111">
            <v>2000</v>
          </cell>
          <cell r="AT111">
            <v>52325.901807804519</v>
          </cell>
          <cell r="AU111">
            <v>10</v>
          </cell>
          <cell r="AV111">
            <v>0</v>
          </cell>
          <cell r="AX111">
            <v>54519.111596746799</v>
          </cell>
        </row>
        <row r="112">
          <cell r="A112" t="str">
            <v>452295S</v>
          </cell>
          <cell r="C112" t="str">
            <v>UA01</v>
          </cell>
          <cell r="T112">
            <v>4</v>
          </cell>
          <cell r="W112">
            <v>98880</v>
          </cell>
          <cell r="Z112">
            <v>10400</v>
          </cell>
          <cell r="AJ112">
            <v>83200</v>
          </cell>
          <cell r="AL112">
            <v>23094.349678400002</v>
          </cell>
          <cell r="AM112">
            <v>21197.210673599999</v>
          </cell>
          <cell r="AN112">
            <v>22077.340708799999</v>
          </cell>
          <cell r="AO112">
            <v>16831.098939199997</v>
          </cell>
          <cell r="AP112">
            <v>20</v>
          </cell>
          <cell r="AR112">
            <v>20800</v>
          </cell>
          <cell r="AS112">
            <v>20800</v>
          </cell>
          <cell r="AT112">
            <v>0</v>
          </cell>
          <cell r="AU112">
            <v>22.8</v>
          </cell>
          <cell r="AV112">
            <v>5.2630789467763055</v>
          </cell>
          <cell r="AX112">
            <v>81117.603829652464</v>
          </cell>
        </row>
        <row r="113">
          <cell r="A113">
            <v>400298</v>
          </cell>
          <cell r="C113" t="str">
            <v>UA03</v>
          </cell>
          <cell r="T113">
            <v>4</v>
          </cell>
          <cell r="W113">
            <v>4420</v>
          </cell>
          <cell r="X113">
            <v>0</v>
          </cell>
          <cell r="Z113">
            <v>10200</v>
          </cell>
          <cell r="AJ113">
            <v>81600</v>
          </cell>
          <cell r="AL113">
            <v>24915.250326120004</v>
          </cell>
          <cell r="AM113">
            <v>22868.529207479998</v>
          </cell>
          <cell r="AN113">
            <v>23818.054110839999</v>
          </cell>
          <cell r="AO113">
            <v>18158.166355560003</v>
          </cell>
          <cell r="AP113">
            <v>21.33333333333</v>
          </cell>
          <cell r="AR113">
            <v>20400</v>
          </cell>
          <cell r="AS113">
            <v>20400</v>
          </cell>
          <cell r="AT113">
            <v>0</v>
          </cell>
          <cell r="AU113">
            <v>15</v>
          </cell>
          <cell r="AV113">
            <v>2.598076211353316</v>
          </cell>
          <cell r="AX113">
            <v>46423.451443923324</v>
          </cell>
        </row>
        <row r="114">
          <cell r="A114">
            <v>453367</v>
          </cell>
          <cell r="C114" t="str">
            <v>UA02</v>
          </cell>
          <cell r="T114">
            <v>3</v>
          </cell>
          <cell r="W114">
            <v>108000</v>
          </cell>
          <cell r="X114">
            <v>0</v>
          </cell>
          <cell r="Z114">
            <v>9000</v>
          </cell>
          <cell r="AJ114">
            <v>81000</v>
          </cell>
          <cell r="AL114">
            <v>27000</v>
          </cell>
          <cell r="AM114">
            <v>0</v>
          </cell>
          <cell r="AN114">
            <v>27000</v>
          </cell>
          <cell r="AO114">
            <v>27000</v>
          </cell>
          <cell r="AP114">
            <v>24.5</v>
          </cell>
          <cell r="AR114">
            <v>27000</v>
          </cell>
          <cell r="AS114">
            <v>27000</v>
          </cell>
          <cell r="AT114">
            <v>0</v>
          </cell>
          <cell r="AU114">
            <v>10</v>
          </cell>
          <cell r="AV114">
            <v>0</v>
          </cell>
          <cell r="AX114">
            <v>40888.04259671305</v>
          </cell>
        </row>
        <row r="115">
          <cell r="A115">
            <v>422185</v>
          </cell>
          <cell r="C115" t="str">
            <v>UA01</v>
          </cell>
          <cell r="T115">
            <v>7</v>
          </cell>
          <cell r="W115">
            <v>3000</v>
          </cell>
          <cell r="X115">
            <v>35000</v>
          </cell>
          <cell r="Z115">
            <v>250</v>
          </cell>
          <cell r="AJ115">
            <v>80000</v>
          </cell>
          <cell r="AL115">
            <v>22206.105460000002</v>
          </cell>
          <cell r="AM115">
            <v>20381.93334</v>
          </cell>
          <cell r="AN115">
            <v>21228.212219999998</v>
          </cell>
          <cell r="AO115">
            <v>16183.748979999998</v>
          </cell>
          <cell r="AP115">
            <v>12.8</v>
          </cell>
          <cell r="AR115">
            <v>10000</v>
          </cell>
          <cell r="AS115">
            <v>10000</v>
          </cell>
          <cell r="AT115">
            <v>5163.9777949432237</v>
          </cell>
          <cell r="AU115">
            <v>55.666666666666664</v>
          </cell>
          <cell r="AV115">
            <v>20.372992503051972</v>
          </cell>
          <cell r="AX115">
            <v>18767.479961105531</v>
          </cell>
        </row>
        <row r="116">
          <cell r="A116">
            <v>404053</v>
          </cell>
          <cell r="C116" t="str">
            <v>UA02</v>
          </cell>
          <cell r="T116">
            <v>4</v>
          </cell>
          <cell r="W116">
            <v>51900</v>
          </cell>
          <cell r="X116">
            <v>0</v>
          </cell>
          <cell r="Z116">
            <v>10000</v>
          </cell>
          <cell r="AJ116">
            <v>80000</v>
          </cell>
          <cell r="AL116">
            <v>22206.105460000002</v>
          </cell>
          <cell r="AM116">
            <v>20381.93334</v>
          </cell>
          <cell r="AN116">
            <v>21228.212219999998</v>
          </cell>
          <cell r="AO116">
            <v>16183.748979999998</v>
          </cell>
          <cell r="AP116">
            <v>8.375</v>
          </cell>
          <cell r="AR116">
            <v>10000</v>
          </cell>
          <cell r="AS116">
            <v>10000</v>
          </cell>
          <cell r="AT116">
            <v>0</v>
          </cell>
          <cell r="AU116">
            <v>24.2</v>
          </cell>
          <cell r="AV116">
            <v>10.733126291998991</v>
          </cell>
          <cell r="AX116">
            <v>44926.89590803974</v>
          </cell>
        </row>
        <row r="117">
          <cell r="A117">
            <v>403085</v>
          </cell>
          <cell r="C117" t="str">
            <v>UA02</v>
          </cell>
          <cell r="T117">
            <v>4</v>
          </cell>
          <cell r="W117">
            <v>115900</v>
          </cell>
          <cell r="X117">
            <v>0</v>
          </cell>
          <cell r="Z117">
            <v>20000</v>
          </cell>
          <cell r="AJ117">
            <v>80000</v>
          </cell>
          <cell r="AL117">
            <v>22206.105460000002</v>
          </cell>
          <cell r="AM117">
            <v>20381.93334</v>
          </cell>
          <cell r="AN117">
            <v>21228.212219999998</v>
          </cell>
          <cell r="AO117">
            <v>16183.748979999998</v>
          </cell>
          <cell r="AP117">
            <v>6.5</v>
          </cell>
          <cell r="AR117">
            <v>20000</v>
          </cell>
          <cell r="AS117">
            <v>20000</v>
          </cell>
          <cell r="AT117">
            <v>0</v>
          </cell>
          <cell r="AU117">
            <v>18.375</v>
          </cell>
          <cell r="AV117">
            <v>3.5025500914129899</v>
          </cell>
          <cell r="AX117">
            <v>58931.269096690543</v>
          </cell>
        </row>
        <row r="118">
          <cell r="A118" t="str">
            <v>451928B</v>
          </cell>
          <cell r="C118" t="str">
            <v>UA01</v>
          </cell>
          <cell r="T118">
            <v>7</v>
          </cell>
          <cell r="W118">
            <v>116000</v>
          </cell>
          <cell r="Z118">
            <v>2000</v>
          </cell>
          <cell r="AJ118">
            <v>72000</v>
          </cell>
          <cell r="AL118">
            <v>19985.494913999999</v>
          </cell>
          <cell r="AM118">
            <v>18343.740006</v>
          </cell>
          <cell r="AN118">
            <v>19105.390997999999</v>
          </cell>
          <cell r="AO118">
            <v>14565.374081999998</v>
          </cell>
          <cell r="AP118">
            <v>9.5</v>
          </cell>
          <cell r="AR118">
            <v>12000</v>
          </cell>
          <cell r="AS118">
            <v>6000</v>
          </cell>
          <cell r="AT118">
            <v>2927.7002188456004</v>
          </cell>
          <cell r="AU118">
            <v>13</v>
          </cell>
          <cell r="AV118">
            <v>1.4142135623730951</v>
          </cell>
          <cell r="AX118">
            <v>52874.191678061055</v>
          </cell>
        </row>
        <row r="119">
          <cell r="A119">
            <v>422470</v>
          </cell>
          <cell r="C119" t="str">
            <v>UA01</v>
          </cell>
          <cell r="T119">
            <v>3</v>
          </cell>
          <cell r="W119">
            <v>39000</v>
          </cell>
          <cell r="X119">
            <v>72800</v>
          </cell>
          <cell r="Z119">
            <v>3000</v>
          </cell>
          <cell r="AJ119">
            <v>72000</v>
          </cell>
          <cell r="AL119">
            <v>24000</v>
          </cell>
          <cell r="AM119">
            <v>0</v>
          </cell>
          <cell r="AN119">
            <v>24000</v>
          </cell>
          <cell r="AO119">
            <v>24000</v>
          </cell>
          <cell r="AP119">
            <v>31</v>
          </cell>
          <cell r="AR119">
            <v>24000</v>
          </cell>
          <cell r="AS119">
            <v>24000</v>
          </cell>
          <cell r="AT119">
            <v>0</v>
          </cell>
          <cell r="AU119">
            <v>15</v>
          </cell>
          <cell r="AV119">
            <v>3.437758254761643</v>
          </cell>
          <cell r="AX119">
            <v>47815.34845429485</v>
          </cell>
        </row>
        <row r="120">
          <cell r="A120">
            <v>453363</v>
          </cell>
          <cell r="C120" t="str">
            <v>UA01</v>
          </cell>
          <cell r="T120">
            <v>2</v>
          </cell>
          <cell r="W120">
            <v>10400</v>
          </cell>
          <cell r="X120">
            <v>0</v>
          </cell>
          <cell r="Z120">
            <v>6000</v>
          </cell>
          <cell r="AJ120">
            <v>72000</v>
          </cell>
          <cell r="AL120">
            <v>36000</v>
          </cell>
          <cell r="AM120">
            <v>0</v>
          </cell>
          <cell r="AN120">
            <v>36000</v>
          </cell>
          <cell r="AO120">
            <v>0</v>
          </cell>
          <cell r="AP120">
            <v>53</v>
          </cell>
          <cell r="AR120">
            <v>36000</v>
          </cell>
          <cell r="AS120">
            <v>36000</v>
          </cell>
          <cell r="AT120">
            <v>0</v>
          </cell>
          <cell r="AU120">
            <v>17.333333333333332</v>
          </cell>
          <cell r="AV120">
            <v>2.8867513459481282</v>
          </cell>
          <cell r="AX120">
            <v>56541.738504375906</v>
          </cell>
        </row>
        <row r="121">
          <cell r="A121" t="str">
            <v>422749D</v>
          </cell>
          <cell r="C121" t="str">
            <v>UA01</v>
          </cell>
          <cell r="T121">
            <v>2</v>
          </cell>
          <cell r="X121">
            <v>3700</v>
          </cell>
          <cell r="Z121">
            <v>3200</v>
          </cell>
          <cell r="AJ121">
            <v>70400</v>
          </cell>
          <cell r="AL121">
            <v>0</v>
          </cell>
          <cell r="AM121">
            <v>0</v>
          </cell>
          <cell r="AN121">
            <v>12800</v>
          </cell>
          <cell r="AO121">
            <v>57600</v>
          </cell>
          <cell r="AP121">
            <v>23</v>
          </cell>
          <cell r="AR121">
            <v>38400</v>
          </cell>
          <cell r="AS121">
            <v>6400</v>
          </cell>
          <cell r="AT121">
            <v>31678.38379715733</v>
          </cell>
          <cell r="AU121">
            <v>10</v>
          </cell>
          <cell r="AV121">
            <v>0</v>
          </cell>
          <cell r="AX121">
            <v>27653.78421297716</v>
          </cell>
        </row>
        <row r="122">
          <cell r="A122" t="str">
            <v>450431R</v>
          </cell>
          <cell r="C122" t="str">
            <v>UA03</v>
          </cell>
          <cell r="T122">
            <v>15</v>
          </cell>
          <cell r="W122">
            <v>9600</v>
          </cell>
          <cell r="X122">
            <v>0</v>
          </cell>
          <cell r="Z122">
            <v>3500</v>
          </cell>
          <cell r="AJ122">
            <v>70000</v>
          </cell>
          <cell r="AL122">
            <v>21373.376505250002</v>
          </cell>
          <cell r="AM122">
            <v>19617.610839749999</v>
          </cell>
          <cell r="AN122">
            <v>20432.154261750002</v>
          </cell>
          <cell r="AO122">
            <v>15576.858393250001</v>
          </cell>
          <cell r="AP122">
            <v>4.7857142857100001</v>
          </cell>
          <cell r="AR122">
            <v>3500</v>
          </cell>
          <cell r="AS122">
            <v>3500</v>
          </cell>
          <cell r="AT122">
            <v>1707.8251276599326</v>
          </cell>
          <cell r="AU122">
            <v>15.5</v>
          </cell>
          <cell r="AV122">
            <v>4.9497474683058327</v>
          </cell>
          <cell r="AX122">
            <v>21623.683467353905</v>
          </cell>
        </row>
        <row r="123">
          <cell r="A123">
            <v>453590</v>
          </cell>
          <cell r="C123" t="str">
            <v>UA02</v>
          </cell>
          <cell r="T123">
            <v>2</v>
          </cell>
          <cell r="W123">
            <v>69300</v>
          </cell>
          <cell r="X123">
            <v>900</v>
          </cell>
          <cell r="Z123">
            <v>5000</v>
          </cell>
          <cell r="AJ123">
            <v>69300</v>
          </cell>
          <cell r="AL123">
            <v>19236.038854725</v>
          </cell>
          <cell r="AM123">
            <v>17655.849755774998</v>
          </cell>
          <cell r="AN123">
            <v>18388.938835574998</v>
          </cell>
          <cell r="AO123">
            <v>14019.172553924998</v>
          </cell>
          <cell r="AP123">
            <v>11</v>
          </cell>
          <cell r="AR123">
            <v>34800</v>
          </cell>
          <cell r="AS123">
            <v>300</v>
          </cell>
          <cell r="AT123">
            <v>6576.0930650348919</v>
          </cell>
          <cell r="AU123">
            <v>21.111111111111111</v>
          </cell>
          <cell r="AV123">
            <v>6.8637534273246672</v>
          </cell>
          <cell r="AX123">
            <v>32994.657702390054</v>
          </cell>
        </row>
        <row r="124">
          <cell r="A124">
            <v>422136</v>
          </cell>
          <cell r="C124" t="str">
            <v>UA01</v>
          </cell>
          <cell r="T124">
            <v>15</v>
          </cell>
          <cell r="W124">
            <v>48460</v>
          </cell>
          <cell r="X124">
            <v>122100</v>
          </cell>
          <cell r="Z124">
            <v>3600</v>
          </cell>
          <cell r="AJ124">
            <v>68400</v>
          </cell>
          <cell r="AL124">
            <v>18986.220168300002</v>
          </cell>
          <cell r="AM124">
            <v>17426.5530057</v>
          </cell>
          <cell r="AN124">
            <v>18150.121448099999</v>
          </cell>
          <cell r="AO124">
            <v>13837.105377899999</v>
          </cell>
          <cell r="AP124">
            <v>5.0714285714200003</v>
          </cell>
          <cell r="AR124">
            <v>3600</v>
          </cell>
          <cell r="AS124">
            <v>3600</v>
          </cell>
          <cell r="AT124">
            <v>2137.0206229367891</v>
          </cell>
          <cell r="AU124">
            <v>29.428571428571427</v>
          </cell>
          <cell r="AV124">
            <v>6.8033605141660907</v>
          </cell>
          <cell r="AX124">
            <v>49962.880279530618</v>
          </cell>
        </row>
        <row r="125">
          <cell r="A125">
            <v>453195</v>
          </cell>
          <cell r="C125" t="str">
            <v>UA01</v>
          </cell>
          <cell r="T125">
            <v>4</v>
          </cell>
          <cell r="W125">
            <v>6900</v>
          </cell>
          <cell r="X125">
            <v>63176</v>
          </cell>
          <cell r="Z125">
            <v>800</v>
          </cell>
          <cell r="AJ125">
            <v>64000</v>
          </cell>
          <cell r="AL125">
            <v>17764.884367999999</v>
          </cell>
          <cell r="AM125">
            <v>16305.546671999999</v>
          </cell>
          <cell r="AN125">
            <v>16982.569775999997</v>
          </cell>
          <cell r="AO125">
            <v>12946.999183999998</v>
          </cell>
          <cell r="AP125">
            <v>14.666666666659999</v>
          </cell>
          <cell r="AR125">
            <v>16000</v>
          </cell>
          <cell r="AS125">
            <v>4000</v>
          </cell>
          <cell r="AT125">
            <v>4618.8021535170055</v>
          </cell>
          <cell r="AU125">
            <v>60.722222222222221</v>
          </cell>
          <cell r="AV125">
            <v>19.2867084849387</v>
          </cell>
          <cell r="AX125">
            <v>100204.55272659863</v>
          </cell>
        </row>
        <row r="126">
          <cell r="A126">
            <v>422262</v>
          </cell>
          <cell r="C126" t="str">
            <v>UA01</v>
          </cell>
          <cell r="T126">
            <v>2</v>
          </cell>
          <cell r="W126">
            <v>9420</v>
          </cell>
          <cell r="X126">
            <v>0</v>
          </cell>
          <cell r="Z126">
            <v>4000</v>
          </cell>
          <cell r="AJ126">
            <v>64000</v>
          </cell>
          <cell r="AL126">
            <v>0</v>
          </cell>
          <cell r="AM126">
            <v>0</v>
          </cell>
          <cell r="AN126">
            <v>32000</v>
          </cell>
          <cell r="AO126">
            <v>32000</v>
          </cell>
          <cell r="AP126">
            <v>24</v>
          </cell>
          <cell r="AR126">
            <v>32000</v>
          </cell>
          <cell r="AS126">
            <v>32000</v>
          </cell>
          <cell r="AT126">
            <v>0</v>
          </cell>
          <cell r="AU126">
            <v>16.75</v>
          </cell>
          <cell r="AV126">
            <v>4.9916597106239795</v>
          </cell>
          <cell r="AX126">
            <v>50235.279595948959</v>
          </cell>
        </row>
        <row r="127">
          <cell r="A127">
            <v>452761</v>
          </cell>
          <cell r="C127" t="str">
            <v>UA02</v>
          </cell>
          <cell r="T127">
            <v>2</v>
          </cell>
          <cell r="W127">
            <v>30000</v>
          </cell>
          <cell r="X127">
            <v>0</v>
          </cell>
          <cell r="Z127">
            <v>10000</v>
          </cell>
          <cell r="AJ127">
            <v>60000</v>
          </cell>
          <cell r="AL127">
            <v>30000</v>
          </cell>
          <cell r="AM127">
            <v>30000</v>
          </cell>
          <cell r="AN127">
            <v>0</v>
          </cell>
          <cell r="AO127">
            <v>0</v>
          </cell>
          <cell r="AP127">
            <v>37</v>
          </cell>
          <cell r="AR127">
            <v>30000</v>
          </cell>
          <cell r="AS127">
            <v>30000</v>
          </cell>
          <cell r="AT127">
            <v>0</v>
          </cell>
          <cell r="AU127">
            <v>25</v>
          </cell>
          <cell r="AV127">
            <v>3.2403703492039302</v>
          </cell>
          <cell r="AX127">
            <v>34719.65718354367</v>
          </cell>
        </row>
        <row r="128">
          <cell r="A128">
            <v>420324</v>
          </cell>
          <cell r="C128" t="str">
            <v>UA01</v>
          </cell>
          <cell r="T128">
            <v>1</v>
          </cell>
          <cell r="W128">
            <v>48295</v>
          </cell>
          <cell r="X128">
            <v>0</v>
          </cell>
          <cell r="Z128">
            <v>10000</v>
          </cell>
          <cell r="AJ128">
            <v>60000</v>
          </cell>
          <cell r="AL128">
            <v>0</v>
          </cell>
          <cell r="AM128">
            <v>60000</v>
          </cell>
          <cell r="AN128">
            <v>0</v>
          </cell>
          <cell r="AO128">
            <v>0</v>
          </cell>
          <cell r="AP128">
            <v>75</v>
          </cell>
          <cell r="AR128">
            <v>60000</v>
          </cell>
          <cell r="AS128">
            <v>60000</v>
          </cell>
          <cell r="AT128">
            <v>0</v>
          </cell>
          <cell r="AU128">
            <v>49.333333333333336</v>
          </cell>
          <cell r="AV128">
            <v>10.969655114602896</v>
          </cell>
          <cell r="AX128">
            <v>88666.726787463922</v>
          </cell>
        </row>
        <row r="129">
          <cell r="A129">
            <v>453516</v>
          </cell>
          <cell r="C129" t="str">
            <v>UA03</v>
          </cell>
          <cell r="T129">
            <v>4</v>
          </cell>
          <cell r="W129">
            <v>18000</v>
          </cell>
          <cell r="X129">
            <v>36000</v>
          </cell>
          <cell r="Z129">
            <v>6000</v>
          </cell>
          <cell r="AJ129">
            <v>60000</v>
          </cell>
          <cell r="AL129">
            <v>18320.037004500002</v>
          </cell>
          <cell r="AM129">
            <v>16815.095005499999</v>
          </cell>
          <cell r="AN129">
            <v>17513.2750815</v>
          </cell>
          <cell r="AO129">
            <v>13351.592908500001</v>
          </cell>
          <cell r="AP129">
            <v>18</v>
          </cell>
          <cell r="AR129">
            <v>12000</v>
          </cell>
          <cell r="AS129">
            <v>12000</v>
          </cell>
          <cell r="AT129">
            <v>6000</v>
          </cell>
          <cell r="AU129">
            <v>14.333333333333332</v>
          </cell>
          <cell r="AV129">
            <v>0.57735026918962473</v>
          </cell>
          <cell r="AX129">
            <v>26662.029326681142</v>
          </cell>
        </row>
        <row r="130">
          <cell r="A130" t="str">
            <v>450072B</v>
          </cell>
          <cell r="C130" t="str">
            <v>UA01</v>
          </cell>
          <cell r="T130">
            <v>2</v>
          </cell>
          <cell r="X130">
            <v>0</v>
          </cell>
          <cell r="Z130">
            <v>1500</v>
          </cell>
          <cell r="AJ130">
            <v>60000</v>
          </cell>
          <cell r="AL130">
            <v>30000</v>
          </cell>
          <cell r="AM130">
            <v>30000</v>
          </cell>
          <cell r="AN130">
            <v>0</v>
          </cell>
          <cell r="AO130">
            <v>0</v>
          </cell>
          <cell r="AP130">
            <v>20</v>
          </cell>
          <cell r="AR130">
            <v>30000</v>
          </cell>
          <cell r="AS130">
            <v>30000</v>
          </cell>
          <cell r="AT130">
            <v>0</v>
          </cell>
          <cell r="AU130">
            <v>11</v>
          </cell>
          <cell r="AV130">
            <v>0</v>
          </cell>
          <cell r="AX130">
            <v>33232.408897372276</v>
          </cell>
        </row>
        <row r="131">
          <cell r="A131">
            <v>452971</v>
          </cell>
          <cell r="C131" t="str">
            <v>UA02</v>
          </cell>
          <cell r="T131">
            <v>3</v>
          </cell>
          <cell r="W131">
            <v>80000</v>
          </cell>
          <cell r="X131">
            <v>0</v>
          </cell>
          <cell r="Z131">
            <v>10000</v>
          </cell>
          <cell r="AJ131">
            <v>60000</v>
          </cell>
          <cell r="AL131">
            <v>16654.579095000001</v>
          </cell>
          <cell r="AM131">
            <v>15286.450004999999</v>
          </cell>
          <cell r="AN131">
            <v>15921.159164999999</v>
          </cell>
          <cell r="AO131">
            <v>12137.811734999999</v>
          </cell>
          <cell r="AP131">
            <v>10.6</v>
          </cell>
          <cell r="AR131">
            <v>10000</v>
          </cell>
          <cell r="AS131">
            <v>10000</v>
          </cell>
          <cell r="AT131">
            <v>0</v>
          </cell>
          <cell r="AU131">
            <v>24.625</v>
          </cell>
          <cell r="AV131">
            <v>5.7305571905605932</v>
          </cell>
          <cell r="AX131">
            <v>37548.928127203355</v>
          </cell>
        </row>
        <row r="132">
          <cell r="A132" t="str">
            <v>404672/CO</v>
          </cell>
          <cell r="C132" t="str">
            <v>UA05</v>
          </cell>
          <cell r="T132">
            <v>1</v>
          </cell>
          <cell r="X132">
            <v>0</v>
          </cell>
          <cell r="Z132">
            <v>10000</v>
          </cell>
          <cell r="AJ132">
            <v>60000</v>
          </cell>
          <cell r="AL132">
            <v>0</v>
          </cell>
          <cell r="AM132">
            <v>60000</v>
          </cell>
          <cell r="AN132">
            <v>0</v>
          </cell>
          <cell r="AO132">
            <v>0</v>
          </cell>
          <cell r="AP132">
            <v>75</v>
          </cell>
          <cell r="AR132">
            <v>60000</v>
          </cell>
          <cell r="AS132">
            <v>60000</v>
          </cell>
          <cell r="AT132">
            <v>0</v>
          </cell>
          <cell r="AU132">
            <v>2</v>
          </cell>
          <cell r="AV132">
            <v>0.57735026918962573</v>
          </cell>
          <cell r="AX132">
            <v>0</v>
          </cell>
        </row>
        <row r="133">
          <cell r="A133">
            <v>404015</v>
          </cell>
          <cell r="C133" t="str">
            <v>UA02</v>
          </cell>
          <cell r="T133">
            <v>4</v>
          </cell>
          <cell r="W133">
            <v>30000</v>
          </cell>
          <cell r="X133">
            <v>23400</v>
          </cell>
          <cell r="Z133">
            <v>5000</v>
          </cell>
          <cell r="AJ133">
            <v>55000</v>
          </cell>
          <cell r="AL133">
            <v>15266.69750375</v>
          </cell>
          <cell r="AM133">
            <v>14012.579171249999</v>
          </cell>
          <cell r="AN133">
            <v>14594.395901249998</v>
          </cell>
          <cell r="AO133">
            <v>11126.327423749999</v>
          </cell>
          <cell r="AP133">
            <v>13.5</v>
          </cell>
          <cell r="AR133">
            <v>5000</v>
          </cell>
          <cell r="AS133">
            <v>5000</v>
          </cell>
          <cell r="AT133">
            <v>0</v>
          </cell>
          <cell r="AU133">
            <v>25</v>
          </cell>
          <cell r="AV133">
            <v>13.50061726983869</v>
          </cell>
          <cell r="AX133">
            <v>20427.207376074548</v>
          </cell>
        </row>
        <row r="134">
          <cell r="A134">
            <v>453805</v>
          </cell>
          <cell r="C134" t="str">
            <v>UA03</v>
          </cell>
          <cell r="T134">
            <v>1</v>
          </cell>
          <cell r="W134">
            <v>3060</v>
          </cell>
          <cell r="X134">
            <v>0</v>
          </cell>
          <cell r="Z134">
            <v>2975</v>
          </cell>
          <cell r="AJ134">
            <v>50000</v>
          </cell>
          <cell r="AL134">
            <v>50000</v>
          </cell>
          <cell r="AM134">
            <v>0</v>
          </cell>
          <cell r="AN134">
            <v>0</v>
          </cell>
          <cell r="AO134">
            <v>0</v>
          </cell>
          <cell r="AP134">
            <v>75</v>
          </cell>
          <cell r="AR134">
            <v>50000</v>
          </cell>
          <cell r="AS134">
            <v>50000</v>
          </cell>
          <cell r="AT134">
            <v>0</v>
          </cell>
          <cell r="AU134">
            <v>13</v>
          </cell>
          <cell r="AV134">
            <v>0</v>
          </cell>
          <cell r="AX134">
            <v>21386.594437293341</v>
          </cell>
        </row>
        <row r="135">
          <cell r="A135">
            <v>452952</v>
          </cell>
          <cell r="C135" t="str">
            <v>UA02</v>
          </cell>
          <cell r="T135">
            <v>1</v>
          </cell>
          <cell r="Z135">
            <v>50000</v>
          </cell>
          <cell r="AJ135">
            <v>50000</v>
          </cell>
          <cell r="AL135">
            <v>0</v>
          </cell>
          <cell r="AM135">
            <v>0</v>
          </cell>
          <cell r="AN135">
            <v>0</v>
          </cell>
          <cell r="AO135">
            <v>50000</v>
          </cell>
          <cell r="AP135">
            <v>75</v>
          </cell>
          <cell r="AR135">
            <v>50000</v>
          </cell>
          <cell r="AS135">
            <v>50000</v>
          </cell>
          <cell r="AT135">
            <v>0</v>
          </cell>
          <cell r="AU135">
            <v>22</v>
          </cell>
          <cell r="AV135">
            <v>91.923881554251182</v>
          </cell>
          <cell r="AX135">
            <v>0</v>
          </cell>
        </row>
        <row r="136">
          <cell r="A136">
            <v>403996</v>
          </cell>
          <cell r="C136" t="str">
            <v>UA02</v>
          </cell>
          <cell r="T136">
            <v>4</v>
          </cell>
          <cell r="W136">
            <v>45400</v>
          </cell>
          <cell r="X136">
            <v>0</v>
          </cell>
          <cell r="Z136">
            <v>4000</v>
          </cell>
          <cell r="AJ136">
            <v>48000</v>
          </cell>
          <cell r="AL136">
            <v>13323.663276000001</v>
          </cell>
          <cell r="AM136">
            <v>12229.160003999999</v>
          </cell>
          <cell r="AN136">
            <v>12736.927331999999</v>
          </cell>
          <cell r="AO136">
            <v>9710.2493880000002</v>
          </cell>
          <cell r="AP136">
            <v>6.5</v>
          </cell>
          <cell r="AR136">
            <v>4000</v>
          </cell>
          <cell r="AS136">
            <v>4000</v>
          </cell>
          <cell r="AT136">
            <v>0</v>
          </cell>
          <cell r="AU136">
            <v>20.399999999999999</v>
          </cell>
          <cell r="AV136">
            <v>4.9035134795822124</v>
          </cell>
          <cell r="AX136">
            <v>20714.051486499218</v>
          </cell>
        </row>
        <row r="137">
          <cell r="A137">
            <v>453333</v>
          </cell>
          <cell r="C137" t="str">
            <v>UA01</v>
          </cell>
          <cell r="T137">
            <v>6</v>
          </cell>
          <cell r="X137">
            <v>46500</v>
          </cell>
          <cell r="Z137">
            <v>6500</v>
          </cell>
          <cell r="AJ137">
            <v>45500</v>
          </cell>
          <cell r="AL137">
            <v>12629.722480375</v>
          </cell>
          <cell r="AM137">
            <v>11592.224587125</v>
          </cell>
          <cell r="AN137">
            <v>12073.545700124998</v>
          </cell>
          <cell r="AO137">
            <v>9204.5072323749991</v>
          </cell>
          <cell r="AP137">
            <v>14</v>
          </cell>
          <cell r="AR137">
            <v>6500</v>
          </cell>
          <cell r="AS137">
            <v>6500</v>
          </cell>
          <cell r="AT137">
            <v>2653.6138880151088</v>
          </cell>
          <cell r="AU137">
            <v>19.666666666666664</v>
          </cell>
          <cell r="AV137">
            <v>2.5166114784235849</v>
          </cell>
          <cell r="AX137">
            <v>44788.691459627371</v>
          </cell>
        </row>
        <row r="138">
          <cell r="A138" t="str">
            <v>421895B</v>
          </cell>
          <cell r="C138" t="str">
            <v>UA01</v>
          </cell>
          <cell r="T138">
            <v>2</v>
          </cell>
          <cell r="W138">
            <v>2500</v>
          </cell>
          <cell r="X138">
            <v>52000</v>
          </cell>
          <cell r="Z138">
            <v>2500</v>
          </cell>
          <cell r="AJ138">
            <v>43000</v>
          </cell>
          <cell r="AL138">
            <v>0</v>
          </cell>
          <cell r="AM138">
            <v>0</v>
          </cell>
          <cell r="AN138">
            <v>0</v>
          </cell>
          <cell r="AO138">
            <v>43000</v>
          </cell>
          <cell r="AP138">
            <v>75</v>
          </cell>
          <cell r="AR138">
            <v>22000</v>
          </cell>
          <cell r="AS138">
            <v>1000</v>
          </cell>
          <cell r="AT138">
            <v>4949.7474683058326</v>
          </cell>
          <cell r="AU138">
            <v>38</v>
          </cell>
          <cell r="AV138">
            <v>9.8994949366116654</v>
          </cell>
          <cell r="AX138">
            <v>38776.367352635185</v>
          </cell>
        </row>
        <row r="139">
          <cell r="A139">
            <v>453713</v>
          </cell>
          <cell r="C139" t="str">
            <v>UA03</v>
          </cell>
          <cell r="T139">
            <v>18</v>
          </cell>
          <cell r="W139">
            <v>17805</v>
          </cell>
          <cell r="X139">
            <v>0</v>
          </cell>
          <cell r="Z139">
            <v>600</v>
          </cell>
          <cell r="AJ139">
            <v>42000</v>
          </cell>
          <cell r="AL139">
            <v>12824.025903150001</v>
          </cell>
          <cell r="AM139">
            <v>11770.566503849999</v>
          </cell>
          <cell r="AN139">
            <v>12259.292557049999</v>
          </cell>
          <cell r="AO139">
            <v>9346.1150359499989</v>
          </cell>
          <cell r="AP139">
            <v>4.7333333333300001</v>
          </cell>
          <cell r="AR139">
            <v>2400</v>
          </cell>
          <cell r="AS139">
            <v>600</v>
          </cell>
          <cell r="AT139">
            <v>1330.4134695650071</v>
          </cell>
          <cell r="AU139">
            <v>68.833333333333343</v>
          </cell>
          <cell r="AV139">
            <v>42.447222131332296</v>
          </cell>
          <cell r="AX139">
            <v>11555.921748436675</v>
          </cell>
        </row>
        <row r="140">
          <cell r="A140">
            <v>452579</v>
          </cell>
          <cell r="C140" t="str">
            <v>UA03</v>
          </cell>
          <cell r="T140">
            <v>3</v>
          </cell>
          <cell r="W140">
            <v>74340</v>
          </cell>
          <cell r="Z140">
            <v>2000</v>
          </cell>
          <cell r="AJ140">
            <v>42000</v>
          </cell>
          <cell r="AL140">
            <v>12824.025903150001</v>
          </cell>
          <cell r="AM140">
            <v>11770.566503849999</v>
          </cell>
          <cell r="AN140">
            <v>12259.292557049999</v>
          </cell>
          <cell r="AO140">
            <v>9346.1150359499989</v>
          </cell>
          <cell r="AP140">
            <v>11.5</v>
          </cell>
          <cell r="AR140">
            <v>14000</v>
          </cell>
          <cell r="AS140">
            <v>2000</v>
          </cell>
          <cell r="AT140">
            <v>10392.304845413264</v>
          </cell>
          <cell r="AU140">
            <v>13</v>
          </cell>
          <cell r="AV140">
            <v>0.89442719099991586</v>
          </cell>
          <cell r="AX140">
            <v>23927.008984974247</v>
          </cell>
        </row>
        <row r="141">
          <cell r="A141">
            <v>411933</v>
          </cell>
          <cell r="C141" t="str">
            <v>UA03</v>
          </cell>
          <cell r="T141">
            <v>2</v>
          </cell>
          <cell r="X141">
            <v>0</v>
          </cell>
          <cell r="Z141">
            <v>10500</v>
          </cell>
          <cell r="AJ141">
            <v>42000</v>
          </cell>
          <cell r="AL141">
            <v>21000</v>
          </cell>
          <cell r="AM141">
            <v>0</v>
          </cell>
          <cell r="AN141">
            <v>21000</v>
          </cell>
          <cell r="AO141">
            <v>0</v>
          </cell>
          <cell r="AP141">
            <v>40</v>
          </cell>
          <cell r="AR141">
            <v>21000</v>
          </cell>
          <cell r="AS141">
            <v>21000</v>
          </cell>
          <cell r="AT141">
            <v>0</v>
          </cell>
          <cell r="AU141">
            <v>10</v>
          </cell>
          <cell r="AV141">
            <v>0</v>
          </cell>
          <cell r="AX141">
            <v>36234.052444223205</v>
          </cell>
        </row>
        <row r="142">
          <cell r="A142">
            <v>453055</v>
          </cell>
          <cell r="C142" t="str">
            <v>UA01</v>
          </cell>
          <cell r="T142">
            <v>2</v>
          </cell>
          <cell r="X142">
            <v>0</v>
          </cell>
          <cell r="Z142">
            <v>5000</v>
          </cell>
          <cell r="AJ142">
            <v>40000</v>
          </cell>
          <cell r="AL142">
            <v>20000</v>
          </cell>
          <cell r="AM142">
            <v>0</v>
          </cell>
          <cell r="AN142">
            <v>20000</v>
          </cell>
          <cell r="AO142">
            <v>0</v>
          </cell>
          <cell r="AP142">
            <v>53</v>
          </cell>
          <cell r="AR142">
            <v>20000</v>
          </cell>
          <cell r="AS142">
            <v>20000</v>
          </cell>
          <cell r="AT142">
            <v>0</v>
          </cell>
          <cell r="AU142">
            <v>20.5</v>
          </cell>
          <cell r="AV142">
            <v>10.606601717798213</v>
          </cell>
          <cell r="AX142">
            <v>16189.738671353445</v>
          </cell>
        </row>
        <row r="143">
          <cell r="A143">
            <v>404006</v>
          </cell>
          <cell r="C143" t="str">
            <v>UA02</v>
          </cell>
          <cell r="T143">
            <v>4</v>
          </cell>
          <cell r="W143">
            <v>22300</v>
          </cell>
          <cell r="X143">
            <v>18000</v>
          </cell>
          <cell r="Z143">
            <v>5000</v>
          </cell>
          <cell r="AJ143">
            <v>40000</v>
          </cell>
          <cell r="AL143">
            <v>11103.052730000001</v>
          </cell>
          <cell r="AM143">
            <v>10190.96667</v>
          </cell>
          <cell r="AN143">
            <v>10614.106109999999</v>
          </cell>
          <cell r="AO143">
            <v>8091.8744899999992</v>
          </cell>
          <cell r="AP143">
            <v>7.5</v>
          </cell>
          <cell r="AR143">
            <v>5000</v>
          </cell>
          <cell r="AS143">
            <v>5000</v>
          </cell>
          <cell r="AT143">
            <v>0</v>
          </cell>
          <cell r="AU143">
            <v>22.875</v>
          </cell>
          <cell r="AV143">
            <v>11.556538038208995</v>
          </cell>
          <cell r="AX143">
            <v>18064.338749446786</v>
          </cell>
        </row>
        <row r="144">
          <cell r="A144" t="str">
            <v>403978A</v>
          </cell>
          <cell r="C144" t="str">
            <v>UA02</v>
          </cell>
          <cell r="T144">
            <v>4</v>
          </cell>
          <cell r="W144">
            <v>28000</v>
          </cell>
          <cell r="X144">
            <v>26300</v>
          </cell>
          <cell r="Z144">
            <v>5000</v>
          </cell>
          <cell r="AJ144">
            <v>40000</v>
          </cell>
          <cell r="AL144">
            <v>11103.052730000001</v>
          </cell>
          <cell r="AM144">
            <v>10190.96667</v>
          </cell>
          <cell r="AN144">
            <v>10614.106109999999</v>
          </cell>
          <cell r="AO144">
            <v>8091.8744899999992</v>
          </cell>
          <cell r="AP144">
            <v>12</v>
          </cell>
          <cell r="AR144">
            <v>5000</v>
          </cell>
          <cell r="AS144">
            <v>5000</v>
          </cell>
          <cell r="AT144">
            <v>0</v>
          </cell>
          <cell r="AU144">
            <v>22.5</v>
          </cell>
          <cell r="AV144">
            <v>3.415650255319866</v>
          </cell>
          <cell r="AX144">
            <v>19446.224245643694</v>
          </cell>
        </row>
        <row r="145">
          <cell r="A145">
            <v>452973</v>
          </cell>
          <cell r="C145" t="str">
            <v>UA02</v>
          </cell>
          <cell r="T145">
            <v>4</v>
          </cell>
          <cell r="W145">
            <v>56000</v>
          </cell>
          <cell r="X145">
            <v>0</v>
          </cell>
          <cell r="Z145">
            <v>10000</v>
          </cell>
          <cell r="AJ145">
            <v>40000</v>
          </cell>
          <cell r="AL145">
            <v>11103.052730000001</v>
          </cell>
          <cell r="AM145">
            <v>10190.96667</v>
          </cell>
          <cell r="AN145">
            <v>10614.106109999999</v>
          </cell>
          <cell r="AO145">
            <v>8091.8744899999992</v>
          </cell>
          <cell r="AP145">
            <v>3</v>
          </cell>
          <cell r="AR145">
            <v>10000</v>
          </cell>
          <cell r="AS145">
            <v>10000</v>
          </cell>
          <cell r="AT145">
            <v>0</v>
          </cell>
          <cell r="AU145">
            <v>24.6</v>
          </cell>
          <cell r="AV145">
            <v>11.036303729057117</v>
          </cell>
          <cell r="AX145">
            <v>31187.144284694587</v>
          </cell>
        </row>
        <row r="146">
          <cell r="A146" t="str">
            <v>451492C</v>
          </cell>
          <cell r="C146" t="str">
            <v>UA02</v>
          </cell>
          <cell r="T146">
            <v>4</v>
          </cell>
          <cell r="W146">
            <v>8500</v>
          </cell>
          <cell r="X146">
            <v>13000</v>
          </cell>
          <cell r="Z146">
            <v>10000</v>
          </cell>
          <cell r="AJ146">
            <v>40000</v>
          </cell>
          <cell r="AL146">
            <v>11103.052730000001</v>
          </cell>
          <cell r="AM146">
            <v>10190.96667</v>
          </cell>
          <cell r="AN146">
            <v>10614.106109999999</v>
          </cell>
          <cell r="AO146">
            <v>8091.8744899999992</v>
          </cell>
          <cell r="AP146">
            <v>18.33333333333</v>
          </cell>
          <cell r="AR146">
            <v>10000</v>
          </cell>
          <cell r="AS146">
            <v>10000</v>
          </cell>
          <cell r="AT146">
            <v>0</v>
          </cell>
          <cell r="AU146">
            <v>25</v>
          </cell>
          <cell r="AV146">
            <v>22.534418119845029</v>
          </cell>
          <cell r="AX146">
            <v>30954.101178041452</v>
          </cell>
        </row>
        <row r="147">
          <cell r="A147">
            <v>421019</v>
          </cell>
          <cell r="C147" t="str">
            <v>UA01</v>
          </cell>
          <cell r="T147">
            <v>3</v>
          </cell>
          <cell r="W147">
            <v>89240</v>
          </cell>
          <cell r="Z147">
            <v>12000</v>
          </cell>
          <cell r="AJ147">
            <v>40000</v>
          </cell>
          <cell r="AL147">
            <v>11103.052730000001</v>
          </cell>
          <cell r="AM147">
            <v>10190.96667</v>
          </cell>
          <cell r="AN147">
            <v>10614.106109999999</v>
          </cell>
          <cell r="AO147">
            <v>8091.8744899999992</v>
          </cell>
          <cell r="AP147">
            <v>13</v>
          </cell>
          <cell r="AR147">
            <v>14000</v>
          </cell>
          <cell r="AS147">
            <v>2000</v>
          </cell>
          <cell r="AT147">
            <v>1154.7005383792559</v>
          </cell>
          <cell r="AU147">
            <v>39</v>
          </cell>
          <cell r="AV147">
            <v>11.313708498984761</v>
          </cell>
          <cell r="AX147">
            <v>77220.347905265342</v>
          </cell>
        </row>
        <row r="148">
          <cell r="A148" t="str">
            <v>400291R</v>
          </cell>
          <cell r="C148" t="str">
            <v>UA03</v>
          </cell>
          <cell r="T148">
            <v>2</v>
          </cell>
          <cell r="W148">
            <v>5900</v>
          </cell>
          <cell r="X148">
            <v>0</v>
          </cell>
          <cell r="Z148">
            <v>4000</v>
          </cell>
          <cell r="AJ148">
            <v>40000</v>
          </cell>
          <cell r="AL148">
            <v>20000</v>
          </cell>
          <cell r="AM148">
            <v>0</v>
          </cell>
          <cell r="AN148">
            <v>20000</v>
          </cell>
          <cell r="AO148">
            <v>0</v>
          </cell>
          <cell r="AP148">
            <v>27</v>
          </cell>
          <cell r="AR148">
            <v>20000</v>
          </cell>
          <cell r="AS148">
            <v>20000</v>
          </cell>
          <cell r="AT148">
            <v>0</v>
          </cell>
          <cell r="AU148">
            <v>14.857142857142858</v>
          </cell>
          <cell r="AV148">
            <v>2.0354009783964297</v>
          </cell>
          <cell r="AX148">
            <v>22269.383086752558</v>
          </cell>
        </row>
        <row r="149">
          <cell r="A149">
            <v>407612</v>
          </cell>
          <cell r="C149" t="str">
            <v>UA03</v>
          </cell>
          <cell r="T149">
            <v>1</v>
          </cell>
          <cell r="X149">
            <v>0</v>
          </cell>
          <cell r="Z149">
            <v>10000</v>
          </cell>
          <cell r="AJ149">
            <v>40000</v>
          </cell>
          <cell r="AL149">
            <v>0</v>
          </cell>
          <cell r="AM149">
            <v>40000</v>
          </cell>
          <cell r="AN149">
            <v>0</v>
          </cell>
          <cell r="AO149">
            <v>0</v>
          </cell>
          <cell r="AP149">
            <v>75</v>
          </cell>
          <cell r="AR149">
            <v>40000</v>
          </cell>
          <cell r="AS149">
            <v>40000</v>
          </cell>
          <cell r="AT149">
            <v>0</v>
          </cell>
          <cell r="AU149">
            <v>15.75</v>
          </cell>
          <cell r="AV149">
            <v>5.1881274720911268</v>
          </cell>
          <cell r="AX149">
            <v>28238.299012824664</v>
          </cell>
        </row>
        <row r="150">
          <cell r="A150">
            <v>452802</v>
          </cell>
          <cell r="C150" t="str">
            <v>UA05</v>
          </cell>
          <cell r="T150">
            <v>3</v>
          </cell>
          <cell r="W150">
            <v>39900</v>
          </cell>
          <cell r="Z150">
            <v>1300</v>
          </cell>
          <cell r="AJ150">
            <v>39000</v>
          </cell>
          <cell r="AL150" t="e">
            <v>#DIV/0!</v>
          </cell>
          <cell r="AM150" t="e">
            <v>#DIV/0!</v>
          </cell>
          <cell r="AN150" t="e">
            <v>#DIV/0!</v>
          </cell>
          <cell r="AO150" t="e">
            <v>#DIV/0!</v>
          </cell>
          <cell r="AP150">
            <v>21.5</v>
          </cell>
          <cell r="AR150">
            <v>13000</v>
          </cell>
          <cell r="AS150">
            <v>13000</v>
          </cell>
          <cell r="AT150">
            <v>0</v>
          </cell>
          <cell r="AU150">
            <v>1.5666666666666667</v>
          </cell>
          <cell r="AV150">
            <v>0.25819888974716115</v>
          </cell>
          <cell r="AX150" t="e">
            <v>#DIV/0!</v>
          </cell>
        </row>
        <row r="151">
          <cell r="A151">
            <v>412524</v>
          </cell>
          <cell r="C151" t="str">
            <v>UA01</v>
          </cell>
          <cell r="T151">
            <v>2</v>
          </cell>
          <cell r="X151">
            <v>107100</v>
          </cell>
          <cell r="Z151">
            <v>6000</v>
          </cell>
          <cell r="AJ151">
            <v>36000</v>
          </cell>
          <cell r="AL151">
            <v>36000</v>
          </cell>
          <cell r="AM151">
            <v>0</v>
          </cell>
          <cell r="AN151">
            <v>0</v>
          </cell>
          <cell r="AO151">
            <v>0</v>
          </cell>
          <cell r="AP151">
            <v>75</v>
          </cell>
          <cell r="AR151">
            <v>36000</v>
          </cell>
          <cell r="AS151">
            <v>36000</v>
          </cell>
          <cell r="AT151">
            <v>0</v>
          </cell>
          <cell r="AU151">
            <v>41</v>
          </cell>
          <cell r="AV151">
            <v>0</v>
          </cell>
          <cell r="AX151">
            <v>89335.500989754655</v>
          </cell>
        </row>
        <row r="152">
          <cell r="A152">
            <v>453719</v>
          </cell>
          <cell r="C152" t="str">
            <v>UA01</v>
          </cell>
          <cell r="T152">
            <v>7</v>
          </cell>
          <cell r="X152">
            <v>0</v>
          </cell>
          <cell r="Z152">
            <v>4400</v>
          </cell>
          <cell r="AJ152">
            <v>35200</v>
          </cell>
          <cell r="AL152">
            <v>9770.6864024000006</v>
          </cell>
          <cell r="AM152">
            <v>8968.0506695999993</v>
          </cell>
          <cell r="AN152">
            <v>9340.4133767999992</v>
          </cell>
          <cell r="AO152">
            <v>7120.8495512</v>
          </cell>
          <cell r="AP152">
            <v>10.33333333333</v>
          </cell>
          <cell r="AR152">
            <v>4400</v>
          </cell>
          <cell r="AS152">
            <v>4400</v>
          </cell>
          <cell r="AT152">
            <v>1663.0436812405992</v>
          </cell>
          <cell r="AU152">
            <v>20.75</v>
          </cell>
          <cell r="AV152">
            <v>4.4253060157839181</v>
          </cell>
          <cell r="AX152">
            <v>27830.949949972266</v>
          </cell>
        </row>
        <row r="153">
          <cell r="A153">
            <v>451002</v>
          </cell>
          <cell r="C153" t="str">
            <v>UA03</v>
          </cell>
          <cell r="T153">
            <v>1</v>
          </cell>
          <cell r="X153">
            <v>0</v>
          </cell>
          <cell r="Z153">
            <v>418</v>
          </cell>
          <cell r="AJ153">
            <v>33440</v>
          </cell>
          <cell r="AL153">
            <v>33440</v>
          </cell>
          <cell r="AM153">
            <v>0</v>
          </cell>
          <cell r="AN153">
            <v>0</v>
          </cell>
          <cell r="AO153">
            <v>0</v>
          </cell>
          <cell r="AP153">
            <v>75</v>
          </cell>
          <cell r="AR153">
            <v>33440</v>
          </cell>
          <cell r="AS153">
            <v>33440</v>
          </cell>
          <cell r="AT153">
            <v>0</v>
          </cell>
          <cell r="AU153">
            <v>15.666666666666668</v>
          </cell>
          <cell r="AV153">
            <v>4.9261208538429777</v>
          </cell>
          <cell r="AX153">
            <v>7289.0615167863934</v>
          </cell>
        </row>
        <row r="154">
          <cell r="A154">
            <v>400299</v>
          </cell>
          <cell r="C154" t="str">
            <v>UA03</v>
          </cell>
          <cell r="T154">
            <v>3</v>
          </cell>
          <cell r="W154">
            <v>7350</v>
          </cell>
          <cell r="X154">
            <v>31000</v>
          </cell>
          <cell r="Z154">
            <v>10800</v>
          </cell>
          <cell r="AJ154">
            <v>32400</v>
          </cell>
          <cell r="AL154">
            <v>9892.8199824300009</v>
          </cell>
          <cell r="AM154">
            <v>9080.15130297</v>
          </cell>
          <cell r="AN154">
            <v>9457.1685440100009</v>
          </cell>
          <cell r="AO154">
            <v>7209.8601705900001</v>
          </cell>
          <cell r="AP154">
            <v>11.5</v>
          </cell>
          <cell r="AR154">
            <v>10800</v>
          </cell>
          <cell r="AS154">
            <v>10800</v>
          </cell>
          <cell r="AT154">
            <v>0</v>
          </cell>
          <cell r="AU154">
            <v>13.285714285714285</v>
          </cell>
          <cell r="AV154">
            <v>0.95118973121134198</v>
          </cell>
          <cell r="AX154">
            <v>32279.060553401679</v>
          </cell>
        </row>
        <row r="155">
          <cell r="A155" t="str">
            <v>422468A</v>
          </cell>
          <cell r="C155" t="str">
            <v>UA01</v>
          </cell>
          <cell r="T155">
            <v>2</v>
          </cell>
          <cell r="X155">
            <v>50600</v>
          </cell>
          <cell r="Z155">
            <v>16000</v>
          </cell>
          <cell r="AJ155">
            <v>32000</v>
          </cell>
          <cell r="AL155">
            <v>16000</v>
          </cell>
          <cell r="AM155">
            <v>0</v>
          </cell>
          <cell r="AN155">
            <v>16000</v>
          </cell>
          <cell r="AO155">
            <v>0</v>
          </cell>
          <cell r="AP155">
            <v>47</v>
          </cell>
          <cell r="AR155">
            <v>16000</v>
          </cell>
          <cell r="AS155">
            <v>16000</v>
          </cell>
          <cell r="AT155">
            <v>0</v>
          </cell>
          <cell r="AU155">
            <v>11</v>
          </cell>
          <cell r="AV155">
            <v>0</v>
          </cell>
          <cell r="AX155">
            <v>12259.45158025702</v>
          </cell>
        </row>
        <row r="156">
          <cell r="A156">
            <v>453449</v>
          </cell>
          <cell r="C156" t="str">
            <v>UA01</v>
          </cell>
          <cell r="T156">
            <v>4</v>
          </cell>
          <cell r="W156">
            <v>6890</v>
          </cell>
          <cell r="X156">
            <v>0</v>
          </cell>
          <cell r="Z156">
            <v>7800</v>
          </cell>
          <cell r="AJ156">
            <v>31200</v>
          </cell>
          <cell r="AL156">
            <v>8660.3811294000006</v>
          </cell>
          <cell r="AM156">
            <v>7948.9540025999995</v>
          </cell>
          <cell r="AN156">
            <v>8279.0027657999999</v>
          </cell>
          <cell r="AO156">
            <v>6311.6621021999999</v>
          </cell>
          <cell r="AP156">
            <v>20</v>
          </cell>
          <cell r="AR156">
            <v>7800</v>
          </cell>
          <cell r="AS156">
            <v>7800</v>
          </cell>
          <cell r="AT156">
            <v>0</v>
          </cell>
          <cell r="AU156">
            <v>24</v>
          </cell>
          <cell r="AV156">
            <v>8.4852813742385695</v>
          </cell>
          <cell r="AX156">
            <v>35759.39038503453</v>
          </cell>
        </row>
        <row r="157">
          <cell r="A157">
            <v>400213</v>
          </cell>
          <cell r="C157" t="str">
            <v>UA03</v>
          </cell>
          <cell r="T157">
            <v>1</v>
          </cell>
          <cell r="W157">
            <v>4620</v>
          </cell>
          <cell r="X157">
            <v>31000</v>
          </cell>
          <cell r="Z157">
            <v>5040</v>
          </cell>
          <cell r="AJ157">
            <v>30240</v>
          </cell>
          <cell r="AL157">
            <v>0</v>
          </cell>
          <cell r="AM157">
            <v>30240</v>
          </cell>
          <cell r="AN157">
            <v>0</v>
          </cell>
          <cell r="AO157">
            <v>0</v>
          </cell>
          <cell r="AP157">
            <v>75</v>
          </cell>
          <cell r="AR157">
            <v>30240</v>
          </cell>
          <cell r="AS157">
            <v>30240</v>
          </cell>
          <cell r="AT157">
            <v>0</v>
          </cell>
          <cell r="AU157">
            <v>12.428571428571429</v>
          </cell>
          <cell r="AV157">
            <v>0.5345224838248489</v>
          </cell>
          <cell r="AX157">
            <v>22656.716339286781</v>
          </cell>
        </row>
        <row r="158">
          <cell r="A158">
            <v>450636</v>
          </cell>
          <cell r="C158" t="str">
            <v>UA03</v>
          </cell>
          <cell r="T158">
            <v>3</v>
          </cell>
          <cell r="W158">
            <v>5000</v>
          </cell>
          <cell r="X158">
            <v>30000</v>
          </cell>
          <cell r="Z158">
            <v>5000</v>
          </cell>
          <cell r="AJ158">
            <v>30000</v>
          </cell>
          <cell r="AL158">
            <v>9160.0185022500009</v>
          </cell>
          <cell r="AM158">
            <v>8407.5475027499997</v>
          </cell>
          <cell r="AN158">
            <v>8756.63754075</v>
          </cell>
          <cell r="AO158">
            <v>6675.7964542500004</v>
          </cell>
          <cell r="AP158">
            <v>4.5</v>
          </cell>
          <cell r="AR158">
            <v>10000</v>
          </cell>
          <cell r="AS158">
            <v>5000</v>
          </cell>
          <cell r="AT158">
            <v>5000</v>
          </cell>
          <cell r="AU158">
            <v>18</v>
          </cell>
          <cell r="AV158">
            <v>0</v>
          </cell>
          <cell r="AX158">
            <v>28022.060082849363</v>
          </cell>
        </row>
        <row r="159">
          <cell r="A159" t="str">
            <v>404034A</v>
          </cell>
          <cell r="C159" t="str">
            <v>UA02</v>
          </cell>
          <cell r="T159">
            <v>1</v>
          </cell>
          <cell r="W159">
            <v>63800</v>
          </cell>
          <cell r="Z159">
            <v>10000</v>
          </cell>
          <cell r="AJ159">
            <v>30000</v>
          </cell>
          <cell r="AL159">
            <v>30000</v>
          </cell>
          <cell r="AM159">
            <v>0</v>
          </cell>
          <cell r="AN159">
            <v>0</v>
          </cell>
          <cell r="AO159">
            <v>0</v>
          </cell>
          <cell r="AP159">
            <v>75</v>
          </cell>
          <cell r="AR159">
            <v>30000</v>
          </cell>
          <cell r="AS159">
            <v>30000</v>
          </cell>
          <cell r="AT159">
            <v>0</v>
          </cell>
          <cell r="AU159">
            <v>18</v>
          </cell>
          <cell r="AV159">
            <v>4.0824829046386304</v>
          </cell>
          <cell r="AX159">
            <v>28697.918762279307</v>
          </cell>
        </row>
        <row r="160">
          <cell r="A160">
            <v>421686</v>
          </cell>
          <cell r="C160" t="str">
            <v>UA01</v>
          </cell>
          <cell r="T160">
            <v>1</v>
          </cell>
          <cell r="W160">
            <v>62000</v>
          </cell>
          <cell r="X160">
            <v>0</v>
          </cell>
          <cell r="Z160">
            <v>2000</v>
          </cell>
          <cell r="AJ160">
            <v>30000</v>
          </cell>
          <cell r="AL160">
            <v>30000</v>
          </cell>
          <cell r="AM160">
            <v>0</v>
          </cell>
          <cell r="AN160">
            <v>0</v>
          </cell>
          <cell r="AO160">
            <v>0</v>
          </cell>
          <cell r="AP160">
            <v>75</v>
          </cell>
          <cell r="AR160">
            <v>30000</v>
          </cell>
          <cell r="AS160">
            <v>30000</v>
          </cell>
          <cell r="AT160">
            <v>0</v>
          </cell>
          <cell r="AU160">
            <v>32.666666666666671</v>
          </cell>
          <cell r="AV160">
            <v>9.4516312525052193</v>
          </cell>
          <cell r="AX160">
            <v>35916.848768885386</v>
          </cell>
        </row>
        <row r="161">
          <cell r="A161">
            <v>453641</v>
          </cell>
          <cell r="C161" t="str">
            <v>UA03</v>
          </cell>
          <cell r="T161">
            <v>2</v>
          </cell>
          <cell r="W161">
            <v>56000</v>
          </cell>
          <cell r="Z161">
            <v>3000</v>
          </cell>
          <cell r="AJ161">
            <v>30000</v>
          </cell>
          <cell r="AL161">
            <v>15000</v>
          </cell>
          <cell r="AM161">
            <v>0</v>
          </cell>
          <cell r="AN161">
            <v>15000</v>
          </cell>
          <cell r="AO161">
            <v>0</v>
          </cell>
          <cell r="AP161">
            <v>50</v>
          </cell>
          <cell r="AR161">
            <v>15000</v>
          </cell>
          <cell r="AS161">
            <v>15000</v>
          </cell>
          <cell r="AT161">
            <v>0</v>
          </cell>
          <cell r="AU161">
            <v>16.333333333333332</v>
          </cell>
          <cell r="AV161">
            <v>5.5075705472861021</v>
          </cell>
          <cell r="AX161">
            <v>15469.315984915844</v>
          </cell>
        </row>
        <row r="162">
          <cell r="A162">
            <v>450072</v>
          </cell>
          <cell r="C162" t="str">
            <v>UA01</v>
          </cell>
          <cell r="T162">
            <v>1</v>
          </cell>
          <cell r="W162">
            <v>53900</v>
          </cell>
          <cell r="X162">
            <v>0</v>
          </cell>
          <cell r="Z162">
            <v>1500</v>
          </cell>
          <cell r="AJ162">
            <v>30000</v>
          </cell>
          <cell r="AL162">
            <v>30000</v>
          </cell>
          <cell r="AM162">
            <v>0</v>
          </cell>
          <cell r="AN162">
            <v>0</v>
          </cell>
          <cell r="AO162">
            <v>0</v>
          </cell>
          <cell r="AP162">
            <v>75</v>
          </cell>
          <cell r="AR162">
            <v>30000</v>
          </cell>
          <cell r="AS162">
            <v>30000</v>
          </cell>
          <cell r="AT162">
            <v>0</v>
          </cell>
          <cell r="AU162">
            <v>31</v>
          </cell>
          <cell r="AV162">
            <v>14.191546779685433</v>
          </cell>
          <cell r="AX162">
            <v>23498.86168649609</v>
          </cell>
        </row>
        <row r="163">
          <cell r="A163" t="str">
            <v>407062/CO</v>
          </cell>
          <cell r="C163" t="str">
            <v>UA05</v>
          </cell>
          <cell r="T163">
            <v>3</v>
          </cell>
          <cell r="W163">
            <v>25000</v>
          </cell>
          <cell r="X163">
            <v>0</v>
          </cell>
          <cell r="Z163">
            <v>5000</v>
          </cell>
          <cell r="AJ163">
            <v>30000</v>
          </cell>
          <cell r="AL163" t="e">
            <v>#DIV/0!</v>
          </cell>
          <cell r="AM163" t="e">
            <v>#DIV/0!</v>
          </cell>
          <cell r="AN163" t="e">
            <v>#DIV/0!</v>
          </cell>
          <cell r="AO163" t="e">
            <v>#DIV/0!</v>
          </cell>
          <cell r="AP163">
            <v>21.5</v>
          </cell>
          <cell r="AR163">
            <v>10000</v>
          </cell>
          <cell r="AS163">
            <v>10000</v>
          </cell>
          <cell r="AT163">
            <v>0</v>
          </cell>
          <cell r="AU163">
            <v>1.625</v>
          </cell>
          <cell r="AV163">
            <v>0.35355339059327379</v>
          </cell>
          <cell r="AX163" t="e">
            <v>#DIV/0!</v>
          </cell>
        </row>
        <row r="164">
          <cell r="A164" t="str">
            <v>453656A</v>
          </cell>
          <cell r="C164" t="str">
            <v>UA01</v>
          </cell>
          <cell r="T164">
            <v>2</v>
          </cell>
          <cell r="X164">
            <v>1700</v>
          </cell>
          <cell r="Z164">
            <v>5000</v>
          </cell>
          <cell r="AJ164">
            <v>30000</v>
          </cell>
          <cell r="AL164">
            <v>0</v>
          </cell>
          <cell r="AM164">
            <v>15000</v>
          </cell>
          <cell r="AN164">
            <v>0</v>
          </cell>
          <cell r="AO164">
            <v>15000</v>
          </cell>
          <cell r="AP164">
            <v>44</v>
          </cell>
          <cell r="AR164">
            <v>15000</v>
          </cell>
          <cell r="AS164">
            <v>15000</v>
          </cell>
          <cell r="AT164">
            <v>0</v>
          </cell>
          <cell r="AU164">
            <v>23.2</v>
          </cell>
          <cell r="AV164">
            <v>3.4205262752974122</v>
          </cell>
          <cell r="AX164">
            <v>24052.80381315872</v>
          </cell>
        </row>
        <row r="165">
          <cell r="A165" t="str">
            <v>421099A</v>
          </cell>
          <cell r="C165" t="str">
            <v>UA01</v>
          </cell>
          <cell r="T165">
            <v>2</v>
          </cell>
          <cell r="W165">
            <v>45000</v>
          </cell>
          <cell r="X165">
            <v>0</v>
          </cell>
          <cell r="Z165">
            <v>2500</v>
          </cell>
          <cell r="AJ165">
            <v>30000</v>
          </cell>
          <cell r="AL165">
            <v>15000</v>
          </cell>
          <cell r="AM165">
            <v>0</v>
          </cell>
          <cell r="AN165">
            <v>15000</v>
          </cell>
          <cell r="AO165">
            <v>0</v>
          </cell>
          <cell r="AP165">
            <v>38</v>
          </cell>
          <cell r="AR165">
            <v>15000</v>
          </cell>
          <cell r="AS165">
            <v>15000</v>
          </cell>
          <cell r="AT165">
            <v>0</v>
          </cell>
          <cell r="AU165">
            <v>11</v>
          </cell>
          <cell r="AV165">
            <v>0</v>
          </cell>
          <cell r="AX165">
            <v>32646.761032852035</v>
          </cell>
        </row>
        <row r="166">
          <cell r="A166" t="str">
            <v>413481S</v>
          </cell>
          <cell r="C166" t="str">
            <v>UA01</v>
          </cell>
          <cell r="T166">
            <v>6</v>
          </cell>
          <cell r="W166">
            <v>2640</v>
          </cell>
          <cell r="X166">
            <v>12000</v>
          </cell>
          <cell r="Z166">
            <v>6000</v>
          </cell>
          <cell r="AJ166">
            <v>30000</v>
          </cell>
          <cell r="AL166">
            <v>8327.2895475000005</v>
          </cell>
          <cell r="AM166">
            <v>7643.2250024999994</v>
          </cell>
          <cell r="AN166">
            <v>7960.5795824999996</v>
          </cell>
          <cell r="AO166">
            <v>6068.9058674999997</v>
          </cell>
          <cell r="AP166">
            <v>17.25</v>
          </cell>
          <cell r="AR166">
            <v>6000</v>
          </cell>
          <cell r="AS166">
            <v>6000</v>
          </cell>
          <cell r="AT166">
            <v>0</v>
          </cell>
          <cell r="AU166">
            <v>18</v>
          </cell>
          <cell r="AV166">
            <v>4.5825756949558398</v>
          </cell>
          <cell r="AX166">
            <v>39992.704308640961</v>
          </cell>
        </row>
        <row r="167">
          <cell r="A167">
            <v>453690</v>
          </cell>
          <cell r="C167" t="str">
            <v>UA02</v>
          </cell>
          <cell r="T167">
            <v>3</v>
          </cell>
          <cell r="W167">
            <v>48300</v>
          </cell>
          <cell r="X167">
            <v>0</v>
          </cell>
          <cell r="Z167">
            <v>10000</v>
          </cell>
          <cell r="AJ167">
            <v>30000</v>
          </cell>
          <cell r="AL167">
            <v>8327.2895475000005</v>
          </cell>
          <cell r="AM167">
            <v>7643.2250024999994</v>
          </cell>
          <cell r="AN167">
            <v>7960.5795824999996</v>
          </cell>
          <cell r="AO167">
            <v>6068.9058674999997</v>
          </cell>
          <cell r="AP167">
            <v>7.7142857142799999</v>
          </cell>
          <cell r="AR167">
            <v>10000</v>
          </cell>
          <cell r="AS167">
            <v>10000</v>
          </cell>
          <cell r="AT167">
            <v>0</v>
          </cell>
          <cell r="AU167">
            <v>14.25</v>
          </cell>
          <cell r="AV167">
            <v>0.9574271077563381</v>
          </cell>
          <cell r="AX167">
            <v>25363.915328821899</v>
          </cell>
        </row>
        <row r="168">
          <cell r="A168">
            <v>452777</v>
          </cell>
          <cell r="C168" t="str">
            <v>UA02</v>
          </cell>
          <cell r="T168">
            <v>3</v>
          </cell>
          <cell r="W168">
            <v>10000</v>
          </cell>
          <cell r="X168">
            <v>27400</v>
          </cell>
          <cell r="Z168">
            <v>10000</v>
          </cell>
          <cell r="AJ168">
            <v>30000</v>
          </cell>
          <cell r="AL168">
            <v>8327.2895475000005</v>
          </cell>
          <cell r="AM168">
            <v>7643.2250024999994</v>
          </cell>
          <cell r="AN168">
            <v>7960.5795824999996</v>
          </cell>
          <cell r="AO168">
            <v>6068.9058674999997</v>
          </cell>
          <cell r="AP168">
            <v>11</v>
          </cell>
          <cell r="AR168">
            <v>10000</v>
          </cell>
          <cell r="AS168">
            <v>10000</v>
          </cell>
          <cell r="AT168">
            <v>0</v>
          </cell>
          <cell r="AU168">
            <v>38.08</v>
          </cell>
          <cell r="AV168">
            <v>30.489654763854702</v>
          </cell>
          <cell r="AX168">
            <v>15752.873063642097</v>
          </cell>
        </row>
        <row r="169">
          <cell r="A169">
            <v>421016</v>
          </cell>
          <cell r="C169" t="str">
            <v>UA01</v>
          </cell>
          <cell r="T169">
            <v>1</v>
          </cell>
          <cell r="W169">
            <v>30000</v>
          </cell>
          <cell r="Z169">
            <v>5000</v>
          </cell>
          <cell r="AJ169">
            <v>30000</v>
          </cell>
          <cell r="AL169">
            <v>30000</v>
          </cell>
          <cell r="AM169">
            <v>0</v>
          </cell>
          <cell r="AN169">
            <v>0</v>
          </cell>
          <cell r="AO169">
            <v>0</v>
          </cell>
          <cell r="AP169">
            <v>75</v>
          </cell>
          <cell r="AR169">
            <v>30000</v>
          </cell>
          <cell r="AS169">
            <v>30000</v>
          </cell>
          <cell r="AT169">
            <v>0</v>
          </cell>
          <cell r="AU169">
            <v>33</v>
          </cell>
          <cell r="AV169">
            <v>5.6568542494923806</v>
          </cell>
          <cell r="AX169">
            <v>53981.512839851013</v>
          </cell>
        </row>
        <row r="170">
          <cell r="A170">
            <v>453659</v>
          </cell>
          <cell r="C170" t="str">
            <v>UA02</v>
          </cell>
          <cell r="T170">
            <v>2</v>
          </cell>
          <cell r="W170">
            <v>73600</v>
          </cell>
          <cell r="Z170">
            <v>5000</v>
          </cell>
          <cell r="AJ170">
            <v>30000</v>
          </cell>
          <cell r="AL170">
            <v>8327.2895475000005</v>
          </cell>
          <cell r="AM170">
            <v>7643.2250024999994</v>
          </cell>
          <cell r="AN170">
            <v>7960.5795824999996</v>
          </cell>
          <cell r="AO170">
            <v>6068.9058674999997</v>
          </cell>
          <cell r="AP170">
            <v>19</v>
          </cell>
          <cell r="AR170">
            <v>15000</v>
          </cell>
          <cell r="AS170">
            <v>15000</v>
          </cell>
          <cell r="AT170">
            <v>0</v>
          </cell>
          <cell r="AU170">
            <v>24.2</v>
          </cell>
          <cell r="AV170">
            <v>10.009995004993758</v>
          </cell>
          <cell r="AX170">
            <v>20544.713818887663</v>
          </cell>
        </row>
        <row r="171">
          <cell r="A171">
            <v>453584</v>
          </cell>
          <cell r="C171" t="str">
            <v>UA02</v>
          </cell>
          <cell r="T171">
            <v>2</v>
          </cell>
          <cell r="W171">
            <v>58600</v>
          </cell>
          <cell r="Z171">
            <v>5000</v>
          </cell>
          <cell r="AJ171">
            <v>30000</v>
          </cell>
          <cell r="AL171">
            <v>8327.2895475000005</v>
          </cell>
          <cell r="AM171">
            <v>7643.2250024999994</v>
          </cell>
          <cell r="AN171">
            <v>7960.5795824999996</v>
          </cell>
          <cell r="AO171">
            <v>6068.9058674999997</v>
          </cell>
          <cell r="AP171">
            <v>19</v>
          </cell>
          <cell r="AR171">
            <v>15000</v>
          </cell>
          <cell r="AS171">
            <v>15000</v>
          </cell>
          <cell r="AT171">
            <v>0</v>
          </cell>
          <cell r="AU171">
            <v>25.5</v>
          </cell>
          <cell r="AV171">
            <v>8.9628864398325021</v>
          </cell>
          <cell r="AX171">
            <v>18190.99942349796</v>
          </cell>
        </row>
        <row r="172">
          <cell r="A172">
            <v>407605</v>
          </cell>
          <cell r="C172" t="str">
            <v>UA03</v>
          </cell>
          <cell r="T172">
            <v>1</v>
          </cell>
          <cell r="W172">
            <v>29490</v>
          </cell>
          <cell r="Z172">
            <v>4000</v>
          </cell>
          <cell r="AJ172">
            <v>29490</v>
          </cell>
          <cell r="AL172">
            <v>0</v>
          </cell>
          <cell r="AM172">
            <v>0</v>
          </cell>
          <cell r="AN172">
            <v>29490</v>
          </cell>
          <cell r="AO172">
            <v>0</v>
          </cell>
          <cell r="AP172">
            <v>75</v>
          </cell>
          <cell r="AR172">
            <v>29490</v>
          </cell>
          <cell r="AS172">
            <v>29490</v>
          </cell>
          <cell r="AT172">
            <v>0</v>
          </cell>
          <cell r="AU172">
            <v>12</v>
          </cell>
          <cell r="AV172">
            <v>0</v>
          </cell>
          <cell r="AX172">
            <v>20829.195755767945</v>
          </cell>
        </row>
        <row r="173">
          <cell r="A173">
            <v>453215</v>
          </cell>
          <cell r="C173" t="str">
            <v>UA01</v>
          </cell>
          <cell r="T173">
            <v>1</v>
          </cell>
          <cell r="W173">
            <v>700</v>
          </cell>
          <cell r="X173">
            <v>0</v>
          </cell>
          <cell r="Z173">
            <v>7200</v>
          </cell>
          <cell r="AJ173">
            <v>28800</v>
          </cell>
          <cell r="AL173">
            <v>28800</v>
          </cell>
          <cell r="AM173">
            <v>0</v>
          </cell>
          <cell r="AN173">
            <v>0</v>
          </cell>
          <cell r="AO173">
            <v>0</v>
          </cell>
          <cell r="AP173">
            <v>75</v>
          </cell>
          <cell r="AR173">
            <v>28800</v>
          </cell>
          <cell r="AS173">
            <v>28800</v>
          </cell>
          <cell r="AT173">
            <v>0</v>
          </cell>
          <cell r="AU173">
            <v>18</v>
          </cell>
          <cell r="AV173">
            <v>0</v>
          </cell>
          <cell r="AX173">
            <v>13885.363624824213</v>
          </cell>
        </row>
        <row r="174">
          <cell r="A174">
            <v>422480</v>
          </cell>
          <cell r="C174" t="str">
            <v>UA01</v>
          </cell>
          <cell r="T174">
            <v>16</v>
          </cell>
          <cell r="W174">
            <v>965</v>
          </cell>
          <cell r="X174">
            <v>21657</v>
          </cell>
          <cell r="Z174">
            <v>500</v>
          </cell>
          <cell r="AJ174">
            <v>27500</v>
          </cell>
          <cell r="AL174">
            <v>7633.3487518749998</v>
          </cell>
          <cell r="AM174">
            <v>7006.2895856249997</v>
          </cell>
          <cell r="AN174">
            <v>7297.1979506249991</v>
          </cell>
          <cell r="AO174">
            <v>5563.1637118749995</v>
          </cell>
          <cell r="AP174">
            <v>5.9090909090899997</v>
          </cell>
          <cell r="AR174">
            <v>2500</v>
          </cell>
          <cell r="AS174">
            <v>500</v>
          </cell>
          <cell r="AT174">
            <v>810.67685898696379</v>
          </cell>
          <cell r="AU174">
            <v>19.5</v>
          </cell>
          <cell r="AV174">
            <v>6.8862945501611348</v>
          </cell>
          <cell r="AX174">
            <v>9108.3466134453392</v>
          </cell>
        </row>
        <row r="175">
          <cell r="A175">
            <v>451558</v>
          </cell>
          <cell r="C175" t="str">
            <v>UA01</v>
          </cell>
          <cell r="T175">
            <v>1</v>
          </cell>
          <cell r="X175">
            <v>0</v>
          </cell>
          <cell r="Z175">
            <v>1500</v>
          </cell>
          <cell r="AJ175">
            <v>25500</v>
          </cell>
          <cell r="AL175">
            <v>0</v>
          </cell>
          <cell r="AM175">
            <v>0</v>
          </cell>
          <cell r="AN175">
            <v>0</v>
          </cell>
          <cell r="AO175">
            <v>25500</v>
          </cell>
          <cell r="AP175">
            <v>75</v>
          </cell>
          <cell r="AR175">
            <v>25500</v>
          </cell>
          <cell r="AS175">
            <v>25500</v>
          </cell>
          <cell r="AT175">
            <v>0</v>
          </cell>
          <cell r="AU175">
            <v>13.5</v>
          </cell>
          <cell r="AV175">
            <v>2.1213203435596424</v>
          </cell>
          <cell r="AX175">
            <v>30582.117782779482</v>
          </cell>
        </row>
        <row r="176">
          <cell r="A176" t="str">
            <v>452920L</v>
          </cell>
          <cell r="C176" t="str">
            <v>UA01</v>
          </cell>
          <cell r="T176">
            <v>1</v>
          </cell>
          <cell r="W176">
            <v>76000</v>
          </cell>
          <cell r="Z176">
            <v>1000</v>
          </cell>
          <cell r="AJ176">
            <v>25000</v>
          </cell>
          <cell r="AL176">
            <v>0</v>
          </cell>
          <cell r="AM176">
            <v>25000</v>
          </cell>
          <cell r="AN176">
            <v>0</v>
          </cell>
          <cell r="AO176">
            <v>0</v>
          </cell>
          <cell r="AP176">
            <v>75</v>
          </cell>
          <cell r="AR176">
            <v>25000</v>
          </cell>
          <cell r="AS176">
            <v>25000</v>
          </cell>
          <cell r="AT176">
            <v>0</v>
          </cell>
          <cell r="AU176">
            <v>13.333333333333334</v>
          </cell>
          <cell r="AV176">
            <v>1.5275252316519463</v>
          </cell>
          <cell r="AX176">
            <v>41079.208044965737</v>
          </cell>
        </row>
        <row r="177">
          <cell r="A177" t="str">
            <v>450431A</v>
          </cell>
          <cell r="C177" t="str">
            <v>UA03</v>
          </cell>
          <cell r="T177">
            <v>1</v>
          </cell>
          <cell r="W177">
            <v>27200</v>
          </cell>
          <cell r="Z177">
            <v>4800</v>
          </cell>
          <cell r="AJ177">
            <v>24000</v>
          </cell>
          <cell r="AL177">
            <v>0</v>
          </cell>
          <cell r="AM177">
            <v>0</v>
          </cell>
          <cell r="AN177">
            <v>24000</v>
          </cell>
          <cell r="AO177">
            <v>0</v>
          </cell>
          <cell r="AP177">
            <v>75</v>
          </cell>
          <cell r="AR177">
            <v>24000</v>
          </cell>
          <cell r="AS177">
            <v>24000</v>
          </cell>
          <cell r="AT177">
            <v>0</v>
          </cell>
          <cell r="AU177">
            <v>25</v>
          </cell>
          <cell r="AV177">
            <v>0</v>
          </cell>
          <cell r="AX177">
            <v>19271.947368065077</v>
          </cell>
        </row>
        <row r="178">
          <cell r="A178">
            <v>452965</v>
          </cell>
          <cell r="C178" t="str">
            <v>UA02</v>
          </cell>
          <cell r="T178">
            <v>4</v>
          </cell>
          <cell r="W178">
            <v>20000</v>
          </cell>
          <cell r="X178">
            <v>0</v>
          </cell>
          <cell r="Z178">
            <v>3000</v>
          </cell>
          <cell r="AJ178">
            <v>24000</v>
          </cell>
          <cell r="AL178">
            <v>6661.8316380000006</v>
          </cell>
          <cell r="AM178">
            <v>6114.5800019999997</v>
          </cell>
          <cell r="AN178">
            <v>6368.4636659999996</v>
          </cell>
          <cell r="AO178">
            <v>4855.1246940000001</v>
          </cell>
          <cell r="AP178">
            <v>9</v>
          </cell>
          <cell r="AR178">
            <v>3000</v>
          </cell>
          <cell r="AS178">
            <v>3000</v>
          </cell>
          <cell r="AT178">
            <v>0</v>
          </cell>
          <cell r="AU178">
            <v>25</v>
          </cell>
          <cell r="AV178">
            <v>11.467344941179714</v>
          </cell>
          <cell r="AX178">
            <v>13984.202177458226</v>
          </cell>
        </row>
        <row r="179">
          <cell r="A179" t="str">
            <v>450431S</v>
          </cell>
          <cell r="C179" t="str">
            <v>UA03</v>
          </cell>
          <cell r="T179">
            <v>4</v>
          </cell>
          <cell r="W179">
            <v>4900</v>
          </cell>
          <cell r="X179">
            <v>28000</v>
          </cell>
          <cell r="Z179">
            <v>4000</v>
          </cell>
          <cell r="AJ179">
            <v>24000</v>
          </cell>
          <cell r="AL179">
            <v>7328.0148018000009</v>
          </cell>
          <cell r="AM179">
            <v>6726.0380021999999</v>
          </cell>
          <cell r="AN179">
            <v>7005.3100326000003</v>
          </cell>
          <cell r="AO179">
            <v>5340.6371634000006</v>
          </cell>
          <cell r="AP179">
            <v>13.33333333333</v>
          </cell>
          <cell r="AR179">
            <v>8000</v>
          </cell>
          <cell r="AS179">
            <v>4000</v>
          </cell>
          <cell r="AT179">
            <v>4000</v>
          </cell>
          <cell r="AU179">
            <v>12.833333333333334</v>
          </cell>
          <cell r="AV179">
            <v>0.75277265270908122</v>
          </cell>
          <cell r="AX179">
            <v>12996.931768515748</v>
          </cell>
        </row>
        <row r="180">
          <cell r="A180">
            <v>453396</v>
          </cell>
          <cell r="C180" t="str">
            <v>UA03</v>
          </cell>
          <cell r="T180">
            <v>7</v>
          </cell>
          <cell r="W180">
            <v>18300</v>
          </cell>
          <cell r="X180">
            <v>0</v>
          </cell>
          <cell r="Z180">
            <v>4000</v>
          </cell>
          <cell r="AJ180">
            <v>24000</v>
          </cell>
          <cell r="AL180">
            <v>7328.0148018000009</v>
          </cell>
          <cell r="AM180">
            <v>6726.0380021999999</v>
          </cell>
          <cell r="AN180">
            <v>7005.3100326000003</v>
          </cell>
          <cell r="AO180">
            <v>5340.6371634000006</v>
          </cell>
          <cell r="AP180">
            <v>13.2</v>
          </cell>
          <cell r="AR180">
            <v>4000</v>
          </cell>
          <cell r="AS180">
            <v>4000</v>
          </cell>
          <cell r="AT180">
            <v>0</v>
          </cell>
          <cell r="AU180">
            <v>15.4</v>
          </cell>
          <cell r="AV180">
            <v>2.5099800796022262</v>
          </cell>
          <cell r="AX180">
            <v>11095.552190549328</v>
          </cell>
        </row>
        <row r="181">
          <cell r="A181" t="str">
            <v>451621S</v>
          </cell>
          <cell r="C181" t="str">
            <v>UA03</v>
          </cell>
          <cell r="T181">
            <v>2</v>
          </cell>
          <cell r="W181">
            <v>9300</v>
          </cell>
          <cell r="X181">
            <v>6700</v>
          </cell>
          <cell r="Z181">
            <v>4000</v>
          </cell>
          <cell r="AJ181">
            <v>24000</v>
          </cell>
          <cell r="AL181">
            <v>7328.0148018000009</v>
          </cell>
          <cell r="AM181">
            <v>6726.0380021999999</v>
          </cell>
          <cell r="AN181">
            <v>7005.3100326000003</v>
          </cell>
          <cell r="AO181">
            <v>5340.6371634000006</v>
          </cell>
          <cell r="AP181">
            <v>10</v>
          </cell>
          <cell r="AR181">
            <v>12000</v>
          </cell>
          <cell r="AS181">
            <v>12000</v>
          </cell>
          <cell r="AT181">
            <v>0</v>
          </cell>
          <cell r="AU181">
            <v>14</v>
          </cell>
          <cell r="AV181">
            <v>2.6457513110645907</v>
          </cell>
          <cell r="AX181">
            <v>17410.673565826932</v>
          </cell>
        </row>
        <row r="182">
          <cell r="A182" t="str">
            <v>453487B</v>
          </cell>
          <cell r="C182" t="str">
            <v>UA01</v>
          </cell>
          <cell r="T182">
            <v>1</v>
          </cell>
          <cell r="W182">
            <v>1100</v>
          </cell>
          <cell r="X182">
            <v>0</v>
          </cell>
          <cell r="Z182">
            <v>6000</v>
          </cell>
          <cell r="AJ182">
            <v>24000</v>
          </cell>
          <cell r="AL182">
            <v>0</v>
          </cell>
          <cell r="AM182">
            <v>0</v>
          </cell>
          <cell r="AN182">
            <v>24000</v>
          </cell>
          <cell r="AO182">
            <v>0</v>
          </cell>
          <cell r="AP182">
            <v>75</v>
          </cell>
          <cell r="AR182">
            <v>24000</v>
          </cell>
          <cell r="AS182">
            <v>24000</v>
          </cell>
          <cell r="AT182">
            <v>0</v>
          </cell>
          <cell r="AU182">
            <v>24.333333333333336</v>
          </cell>
          <cell r="AV182">
            <v>6.4291005073286351</v>
          </cell>
          <cell r="AX182">
            <v>33283.925348991106</v>
          </cell>
        </row>
        <row r="183">
          <cell r="A183" t="str">
            <v>421060A</v>
          </cell>
          <cell r="C183" t="str">
            <v>UA01</v>
          </cell>
          <cell r="T183">
            <v>1</v>
          </cell>
          <cell r="W183">
            <v>22000</v>
          </cell>
          <cell r="Z183">
            <v>2000</v>
          </cell>
          <cell r="AJ183">
            <v>22000</v>
          </cell>
          <cell r="AL183">
            <v>0</v>
          </cell>
          <cell r="AM183">
            <v>22000</v>
          </cell>
          <cell r="AN183">
            <v>0</v>
          </cell>
          <cell r="AO183">
            <v>0</v>
          </cell>
          <cell r="AP183">
            <v>75</v>
          </cell>
          <cell r="AR183">
            <v>22000</v>
          </cell>
          <cell r="AS183">
            <v>22000</v>
          </cell>
          <cell r="AT183">
            <v>0</v>
          </cell>
          <cell r="AU183">
            <v>13</v>
          </cell>
          <cell r="AV183">
            <v>2.8284271247461903</v>
          </cell>
          <cell r="AX183">
            <v>28715.80339409089</v>
          </cell>
        </row>
        <row r="184">
          <cell r="A184">
            <v>400256</v>
          </cell>
          <cell r="C184" t="str">
            <v>UA03</v>
          </cell>
          <cell r="T184">
            <v>1</v>
          </cell>
          <cell r="W184">
            <v>20000</v>
          </cell>
          <cell r="Z184">
            <v>20000</v>
          </cell>
          <cell r="AJ184">
            <v>20000</v>
          </cell>
          <cell r="AL184">
            <v>0</v>
          </cell>
          <cell r="AM184">
            <v>20000</v>
          </cell>
          <cell r="AN184">
            <v>0</v>
          </cell>
          <cell r="AO184">
            <v>0</v>
          </cell>
          <cell r="AP184">
            <v>75</v>
          </cell>
          <cell r="AR184">
            <v>20000</v>
          </cell>
          <cell r="AS184">
            <v>20000</v>
          </cell>
          <cell r="AT184">
            <v>0</v>
          </cell>
          <cell r="AU184">
            <v>14</v>
          </cell>
          <cell r="AV184">
            <v>0</v>
          </cell>
          <cell r="AX184">
            <v>8286.1072920746046</v>
          </cell>
        </row>
        <row r="185">
          <cell r="A185">
            <v>453759</v>
          </cell>
          <cell r="C185" t="str">
            <v>UA01</v>
          </cell>
          <cell r="T185">
            <v>1</v>
          </cell>
          <cell r="X185">
            <v>0</v>
          </cell>
          <cell r="Z185">
            <v>4000</v>
          </cell>
          <cell r="AJ185">
            <v>20000</v>
          </cell>
          <cell r="AL185">
            <v>0</v>
          </cell>
          <cell r="AM185">
            <v>20000</v>
          </cell>
          <cell r="AN185">
            <v>0</v>
          </cell>
          <cell r="AO185">
            <v>0</v>
          </cell>
          <cell r="AP185">
            <v>75</v>
          </cell>
          <cell r="AR185">
            <v>20000</v>
          </cell>
          <cell r="AS185">
            <v>20000</v>
          </cell>
          <cell r="AT185">
            <v>0</v>
          </cell>
          <cell r="AU185">
            <v>12</v>
          </cell>
          <cell r="AV185">
            <v>0</v>
          </cell>
          <cell r="AX185">
            <v>23530.636198441844</v>
          </cell>
        </row>
        <row r="186">
          <cell r="A186">
            <v>422443</v>
          </cell>
          <cell r="C186" t="str">
            <v>UA01</v>
          </cell>
          <cell r="T186">
            <v>1</v>
          </cell>
          <cell r="X186">
            <v>22000</v>
          </cell>
          <cell r="Z186">
            <v>2000</v>
          </cell>
          <cell r="AJ186">
            <v>20000</v>
          </cell>
          <cell r="AL186">
            <v>20000</v>
          </cell>
          <cell r="AM186">
            <v>0</v>
          </cell>
          <cell r="AN186">
            <v>0</v>
          </cell>
          <cell r="AO186">
            <v>0</v>
          </cell>
          <cell r="AP186">
            <v>75</v>
          </cell>
          <cell r="AR186">
            <v>20000</v>
          </cell>
          <cell r="AS186">
            <v>20000</v>
          </cell>
          <cell r="AT186">
            <v>0</v>
          </cell>
          <cell r="AU186">
            <v>10</v>
          </cell>
          <cell r="AV186">
            <v>0</v>
          </cell>
          <cell r="AX186">
            <v>20113.977256459391</v>
          </cell>
        </row>
        <row r="187">
          <cell r="A187" t="str">
            <v>422151E</v>
          </cell>
          <cell r="C187" t="str">
            <v>UA01</v>
          </cell>
          <cell r="T187">
            <v>1</v>
          </cell>
          <cell r="X187">
            <v>0</v>
          </cell>
          <cell r="Z187">
            <v>2500</v>
          </cell>
          <cell r="AJ187">
            <v>20000</v>
          </cell>
          <cell r="AL187">
            <v>20000</v>
          </cell>
          <cell r="AM187">
            <v>0</v>
          </cell>
          <cell r="AN187">
            <v>0</v>
          </cell>
          <cell r="AO187">
            <v>0</v>
          </cell>
          <cell r="AP187">
            <v>75</v>
          </cell>
          <cell r="AR187">
            <v>20000</v>
          </cell>
          <cell r="AS187">
            <v>20000</v>
          </cell>
          <cell r="AT187">
            <v>0</v>
          </cell>
          <cell r="AU187">
            <v>10</v>
          </cell>
          <cell r="AV187">
            <v>0</v>
          </cell>
          <cell r="AX187">
            <v>16551.982101626083</v>
          </cell>
        </row>
        <row r="188">
          <cell r="A188">
            <v>453479</v>
          </cell>
          <cell r="C188" t="str">
            <v>UA01</v>
          </cell>
          <cell r="T188">
            <v>1</v>
          </cell>
          <cell r="Z188">
            <v>5000</v>
          </cell>
          <cell r="AJ188">
            <v>20000</v>
          </cell>
          <cell r="AL188">
            <v>0</v>
          </cell>
          <cell r="AM188">
            <v>0</v>
          </cell>
          <cell r="AN188">
            <v>0</v>
          </cell>
          <cell r="AO188">
            <v>20000</v>
          </cell>
          <cell r="AP188">
            <v>75</v>
          </cell>
          <cell r="AR188">
            <v>20000</v>
          </cell>
          <cell r="AS188">
            <v>20000</v>
          </cell>
          <cell r="AT188">
            <v>0</v>
          </cell>
          <cell r="AU188">
            <v>16</v>
          </cell>
          <cell r="AV188">
            <v>1.4142135623730951</v>
          </cell>
          <cell r="AX188">
            <v>30505.641539162203</v>
          </cell>
        </row>
        <row r="189">
          <cell r="A189">
            <v>404018</v>
          </cell>
          <cell r="C189" t="str">
            <v>UA02</v>
          </cell>
          <cell r="T189">
            <v>4</v>
          </cell>
          <cell r="W189">
            <v>20000</v>
          </cell>
          <cell r="Z189">
            <v>4000</v>
          </cell>
          <cell r="AJ189">
            <v>20000</v>
          </cell>
          <cell r="AL189">
            <v>5551.5263650000006</v>
          </cell>
          <cell r="AM189">
            <v>5095.4833349999999</v>
          </cell>
          <cell r="AN189">
            <v>5307.0530549999994</v>
          </cell>
          <cell r="AO189">
            <v>4045.9372449999996</v>
          </cell>
          <cell r="AP189">
            <v>6.6666666666600003</v>
          </cell>
          <cell r="AR189">
            <v>4000</v>
          </cell>
          <cell r="AS189">
            <v>4000</v>
          </cell>
          <cell r="AT189">
            <v>0</v>
          </cell>
          <cell r="AU189">
            <v>21</v>
          </cell>
          <cell r="AV189">
            <v>5.8594652770823155</v>
          </cell>
          <cell r="AX189">
            <v>14242.963157832753</v>
          </cell>
        </row>
        <row r="190">
          <cell r="A190">
            <v>451792</v>
          </cell>
          <cell r="C190" t="str">
            <v>UA02</v>
          </cell>
          <cell r="T190">
            <v>2</v>
          </cell>
          <cell r="W190">
            <v>52600</v>
          </cell>
          <cell r="Z190">
            <v>10000</v>
          </cell>
          <cell r="AJ190">
            <v>20000</v>
          </cell>
          <cell r="AL190">
            <v>5551.5263650000006</v>
          </cell>
          <cell r="AM190">
            <v>5095.4833349999999</v>
          </cell>
          <cell r="AN190">
            <v>5307.0530549999994</v>
          </cell>
          <cell r="AO190">
            <v>4045.9372449999996</v>
          </cell>
          <cell r="AP190">
            <v>2.5</v>
          </cell>
          <cell r="AR190">
            <v>10000</v>
          </cell>
          <cell r="AS190">
            <v>10000</v>
          </cell>
          <cell r="AT190">
            <v>0</v>
          </cell>
          <cell r="AU190">
            <v>16</v>
          </cell>
          <cell r="AV190">
            <v>1</v>
          </cell>
          <cell r="AX190">
            <v>23236.457287464738</v>
          </cell>
        </row>
        <row r="191">
          <cell r="A191">
            <v>453419</v>
          </cell>
          <cell r="C191" t="str">
            <v>UA03</v>
          </cell>
          <cell r="T191">
            <v>3</v>
          </cell>
          <cell r="X191">
            <v>0</v>
          </cell>
          <cell r="Z191">
            <v>600</v>
          </cell>
          <cell r="AJ191">
            <v>19200</v>
          </cell>
          <cell r="AL191">
            <v>9600</v>
          </cell>
          <cell r="AM191">
            <v>0</v>
          </cell>
          <cell r="AN191">
            <v>9600</v>
          </cell>
          <cell r="AO191">
            <v>0</v>
          </cell>
          <cell r="AP191">
            <v>35</v>
          </cell>
          <cell r="AR191">
            <v>9600</v>
          </cell>
          <cell r="AS191">
            <v>9600</v>
          </cell>
          <cell r="AT191">
            <v>0</v>
          </cell>
          <cell r="AU191">
            <v>20.25</v>
          </cell>
          <cell r="AV191">
            <v>4.5734742446707477</v>
          </cell>
          <cell r="AX191">
            <v>6764.1365435644375</v>
          </cell>
        </row>
        <row r="192">
          <cell r="A192">
            <v>450179</v>
          </cell>
          <cell r="C192" t="str">
            <v>UA03</v>
          </cell>
          <cell r="T192">
            <v>1</v>
          </cell>
          <cell r="X192">
            <v>0</v>
          </cell>
          <cell r="Z192">
            <v>9000</v>
          </cell>
          <cell r="AJ192">
            <v>18000</v>
          </cell>
          <cell r="AL192">
            <v>18000</v>
          </cell>
          <cell r="AM192">
            <v>0</v>
          </cell>
          <cell r="AN192">
            <v>0</v>
          </cell>
          <cell r="AO192">
            <v>0</v>
          </cell>
          <cell r="AP192">
            <v>75</v>
          </cell>
          <cell r="AR192">
            <v>18000</v>
          </cell>
          <cell r="AS192">
            <v>18000</v>
          </cell>
          <cell r="AT192">
            <v>0</v>
          </cell>
          <cell r="AU192">
            <v>11.5</v>
          </cell>
          <cell r="AV192">
            <v>0.70710678118654757</v>
          </cell>
          <cell r="AX192">
            <v>18238.555929012855</v>
          </cell>
        </row>
        <row r="193">
          <cell r="A193">
            <v>452240</v>
          </cell>
          <cell r="C193" t="str">
            <v>UA02</v>
          </cell>
          <cell r="T193">
            <v>1</v>
          </cell>
          <cell r="W193">
            <v>17400</v>
          </cell>
          <cell r="Z193">
            <v>5000</v>
          </cell>
          <cell r="AJ193">
            <v>17400</v>
          </cell>
          <cell r="AL193">
            <v>17400</v>
          </cell>
          <cell r="AM193">
            <v>0</v>
          </cell>
          <cell r="AN193">
            <v>0</v>
          </cell>
          <cell r="AO193">
            <v>0</v>
          </cell>
          <cell r="AP193">
            <v>75</v>
          </cell>
          <cell r="AR193">
            <v>17400</v>
          </cell>
          <cell r="AS193">
            <v>17400</v>
          </cell>
          <cell r="AT193">
            <v>0</v>
          </cell>
          <cell r="AU193">
            <v>13.5</v>
          </cell>
          <cell r="AV193">
            <v>0.70710678118654757</v>
          </cell>
          <cell r="AX193">
            <v>12592.31561540795</v>
          </cell>
        </row>
        <row r="194">
          <cell r="A194">
            <v>450348</v>
          </cell>
          <cell r="C194" t="str">
            <v>UA03</v>
          </cell>
          <cell r="T194">
            <v>15</v>
          </cell>
          <cell r="W194">
            <v>14390</v>
          </cell>
          <cell r="X194">
            <v>0</v>
          </cell>
          <cell r="Z194">
            <v>600</v>
          </cell>
          <cell r="AJ194">
            <v>16200</v>
          </cell>
          <cell r="AL194">
            <v>4946.4099912150004</v>
          </cell>
          <cell r="AM194">
            <v>4540.075651485</v>
          </cell>
          <cell r="AN194">
            <v>4728.5842720050005</v>
          </cell>
          <cell r="AO194">
            <v>3604.930085295</v>
          </cell>
          <cell r="AP194">
            <v>4.6923076923</v>
          </cell>
          <cell r="AR194">
            <v>1200</v>
          </cell>
          <cell r="AS194">
            <v>600</v>
          </cell>
          <cell r="AT194">
            <v>954.91786655614089</v>
          </cell>
          <cell r="AU194">
            <v>12.75</v>
          </cell>
          <cell r="AV194">
            <v>2.1876275473019362</v>
          </cell>
          <cell r="AX194">
            <v>6542.4782432593856</v>
          </cell>
        </row>
        <row r="195">
          <cell r="A195">
            <v>411490</v>
          </cell>
          <cell r="C195" t="str">
            <v>UA01</v>
          </cell>
          <cell r="T195">
            <v>4</v>
          </cell>
          <cell r="W195">
            <v>24000</v>
          </cell>
          <cell r="X195">
            <v>1400</v>
          </cell>
          <cell r="Z195">
            <v>1000</v>
          </cell>
          <cell r="AJ195">
            <v>16000</v>
          </cell>
          <cell r="AL195">
            <v>4441.2210919999998</v>
          </cell>
          <cell r="AM195">
            <v>4076.3866679999996</v>
          </cell>
          <cell r="AN195">
            <v>4245.6424439999992</v>
          </cell>
          <cell r="AO195">
            <v>3236.7497959999996</v>
          </cell>
          <cell r="AP195">
            <v>20</v>
          </cell>
          <cell r="AR195">
            <v>4000</v>
          </cell>
          <cell r="AS195">
            <v>1000</v>
          </cell>
          <cell r="AT195">
            <v>2000</v>
          </cell>
          <cell r="AU195">
            <v>13</v>
          </cell>
          <cell r="AV195">
            <v>12.727922061357855</v>
          </cell>
          <cell r="AX195">
            <v>29908.340904780252</v>
          </cell>
        </row>
        <row r="196">
          <cell r="A196" t="str">
            <v>421098B</v>
          </cell>
          <cell r="C196" t="str">
            <v>UA01</v>
          </cell>
          <cell r="T196">
            <v>1</v>
          </cell>
          <cell r="W196">
            <v>32000</v>
          </cell>
          <cell r="Z196">
            <v>4000</v>
          </cell>
          <cell r="AJ196">
            <v>16000</v>
          </cell>
          <cell r="AL196">
            <v>0</v>
          </cell>
          <cell r="AM196">
            <v>16000</v>
          </cell>
          <cell r="AN196">
            <v>0</v>
          </cell>
          <cell r="AO196">
            <v>0</v>
          </cell>
          <cell r="AP196">
            <v>75</v>
          </cell>
          <cell r="AR196">
            <v>16000</v>
          </cell>
          <cell r="AS196">
            <v>16000</v>
          </cell>
          <cell r="AT196">
            <v>0</v>
          </cell>
          <cell r="AU196">
            <v>12</v>
          </cell>
          <cell r="AV196">
            <v>0</v>
          </cell>
          <cell r="AX196">
            <v>29847.562289456586</v>
          </cell>
        </row>
        <row r="197">
          <cell r="A197" t="str">
            <v>400303B</v>
          </cell>
          <cell r="C197" t="str">
            <v>UA03</v>
          </cell>
          <cell r="T197">
            <v>1</v>
          </cell>
          <cell r="W197">
            <v>15120</v>
          </cell>
          <cell r="Z197">
            <v>5040</v>
          </cell>
          <cell r="AJ197">
            <v>15120</v>
          </cell>
          <cell r="AL197">
            <v>0</v>
          </cell>
          <cell r="AM197">
            <v>15120</v>
          </cell>
          <cell r="AN197">
            <v>0</v>
          </cell>
          <cell r="AO197">
            <v>0</v>
          </cell>
          <cell r="AP197">
            <v>75</v>
          </cell>
          <cell r="AR197">
            <v>15120</v>
          </cell>
          <cell r="AS197">
            <v>15120</v>
          </cell>
          <cell r="AT197">
            <v>0</v>
          </cell>
          <cell r="AU197">
            <v>13</v>
          </cell>
          <cell r="AV197">
            <v>0</v>
          </cell>
          <cell r="AX197">
            <v>10173.877437590141</v>
          </cell>
        </row>
        <row r="198">
          <cell r="A198" t="str">
            <v>452357E</v>
          </cell>
          <cell r="C198" t="str">
            <v>UA01</v>
          </cell>
          <cell r="T198">
            <v>1</v>
          </cell>
          <cell r="W198">
            <v>28800</v>
          </cell>
          <cell r="Z198">
            <v>5000</v>
          </cell>
          <cell r="AJ198">
            <v>15000</v>
          </cell>
          <cell r="AL198">
            <v>0</v>
          </cell>
          <cell r="AM198">
            <v>0</v>
          </cell>
          <cell r="AN198">
            <v>15000</v>
          </cell>
          <cell r="AO198">
            <v>0</v>
          </cell>
          <cell r="AP198">
            <v>75</v>
          </cell>
          <cell r="AR198">
            <v>15000</v>
          </cell>
          <cell r="AS198">
            <v>15000</v>
          </cell>
          <cell r="AT198">
            <v>0</v>
          </cell>
          <cell r="AU198">
            <v>10</v>
          </cell>
          <cell r="AV198">
            <v>0</v>
          </cell>
          <cell r="AX198">
            <v>19256.843722825921</v>
          </cell>
        </row>
        <row r="199">
          <cell r="A199" t="str">
            <v>450084A</v>
          </cell>
          <cell r="C199" t="str">
            <v>UA02</v>
          </cell>
          <cell r="T199">
            <v>2</v>
          </cell>
          <cell r="W199">
            <v>42100</v>
          </cell>
          <cell r="Z199">
            <v>5000</v>
          </cell>
          <cell r="AJ199">
            <v>15000</v>
          </cell>
          <cell r="AL199">
            <v>5000</v>
          </cell>
          <cell r="AM199">
            <v>10000</v>
          </cell>
          <cell r="AN199">
            <v>0</v>
          </cell>
          <cell r="AO199">
            <v>0</v>
          </cell>
          <cell r="AP199">
            <v>33</v>
          </cell>
          <cell r="AR199">
            <v>5000</v>
          </cell>
          <cell r="AS199">
            <v>5000</v>
          </cell>
          <cell r="AT199">
            <v>0</v>
          </cell>
          <cell r="AU199">
            <v>21.857142857142858</v>
          </cell>
          <cell r="AV199">
            <v>8.0711125096145917</v>
          </cell>
          <cell r="AX199">
            <v>6931.6017502813229</v>
          </cell>
        </row>
        <row r="200">
          <cell r="A200">
            <v>421100</v>
          </cell>
          <cell r="C200" t="str">
            <v>UA01</v>
          </cell>
          <cell r="T200">
            <v>1</v>
          </cell>
          <cell r="W200">
            <v>27500</v>
          </cell>
          <cell r="Z200">
            <v>2500</v>
          </cell>
          <cell r="AJ200">
            <v>15000</v>
          </cell>
          <cell r="AL200">
            <v>0</v>
          </cell>
          <cell r="AM200">
            <v>0</v>
          </cell>
          <cell r="AN200">
            <v>15000</v>
          </cell>
          <cell r="AO200">
            <v>0</v>
          </cell>
          <cell r="AP200">
            <v>75</v>
          </cell>
          <cell r="AR200">
            <v>15000</v>
          </cell>
          <cell r="AS200">
            <v>15000</v>
          </cell>
          <cell r="AT200">
            <v>0</v>
          </cell>
          <cell r="AU200">
            <v>10</v>
          </cell>
          <cell r="AV200">
            <v>0</v>
          </cell>
          <cell r="AX200">
            <v>21146.319760990114</v>
          </cell>
        </row>
        <row r="201">
          <cell r="A201">
            <v>407611</v>
          </cell>
          <cell r="C201" t="str">
            <v>UA03</v>
          </cell>
          <cell r="T201">
            <v>1</v>
          </cell>
          <cell r="W201">
            <v>13865</v>
          </cell>
          <cell r="Z201">
            <v>2000</v>
          </cell>
          <cell r="AJ201">
            <v>13865</v>
          </cell>
          <cell r="AL201">
            <v>0</v>
          </cell>
          <cell r="AM201">
            <v>0</v>
          </cell>
          <cell r="AN201">
            <v>13865</v>
          </cell>
          <cell r="AO201">
            <v>0</v>
          </cell>
          <cell r="AP201">
            <v>75</v>
          </cell>
          <cell r="AR201">
            <v>13865</v>
          </cell>
          <cell r="AS201">
            <v>13865</v>
          </cell>
          <cell r="AT201">
            <v>0</v>
          </cell>
          <cell r="AU201">
            <v>16</v>
          </cell>
          <cell r="AV201">
            <v>4.2426406871192848</v>
          </cell>
          <cell r="AX201">
            <v>11398.524539718792</v>
          </cell>
        </row>
        <row r="202">
          <cell r="A202">
            <v>422444</v>
          </cell>
          <cell r="C202" t="str">
            <v>UA01</v>
          </cell>
          <cell r="T202">
            <v>1</v>
          </cell>
          <cell r="X202">
            <v>20600</v>
          </cell>
          <cell r="Z202">
            <v>2000</v>
          </cell>
          <cell r="AJ202">
            <v>12000</v>
          </cell>
          <cell r="AL202">
            <v>12000</v>
          </cell>
          <cell r="AM202">
            <v>0</v>
          </cell>
          <cell r="AN202">
            <v>0</v>
          </cell>
          <cell r="AO202">
            <v>0</v>
          </cell>
          <cell r="AP202">
            <v>75</v>
          </cell>
          <cell r="AR202">
            <v>12000</v>
          </cell>
          <cell r="AS202">
            <v>12000</v>
          </cell>
          <cell r="AT202">
            <v>0</v>
          </cell>
          <cell r="AU202">
            <v>10</v>
          </cell>
          <cell r="AV202">
            <v>0</v>
          </cell>
          <cell r="AX202">
            <v>15580.219788052395</v>
          </cell>
        </row>
        <row r="203">
          <cell r="A203">
            <v>451892</v>
          </cell>
          <cell r="C203" t="str">
            <v>UA02</v>
          </cell>
          <cell r="T203">
            <v>4</v>
          </cell>
          <cell r="W203">
            <v>15000</v>
          </cell>
          <cell r="X203">
            <v>0</v>
          </cell>
          <cell r="Z203">
            <v>3000</v>
          </cell>
          <cell r="AJ203">
            <v>12000</v>
          </cell>
          <cell r="AL203">
            <v>3330.9158190000003</v>
          </cell>
          <cell r="AM203">
            <v>3057.2900009999998</v>
          </cell>
          <cell r="AN203">
            <v>3184.2318329999998</v>
          </cell>
          <cell r="AO203">
            <v>2427.562347</v>
          </cell>
          <cell r="AP203">
            <v>2.5</v>
          </cell>
          <cell r="AR203">
            <v>3000</v>
          </cell>
          <cell r="AS203">
            <v>3000</v>
          </cell>
          <cell r="AT203">
            <v>0</v>
          </cell>
          <cell r="AU203">
            <v>28.6</v>
          </cell>
          <cell r="AV203">
            <v>17.111399708965951</v>
          </cell>
          <cell r="AX203">
            <v>10255.705476057652</v>
          </cell>
        </row>
        <row r="204">
          <cell r="A204" t="str">
            <v>413242/CO</v>
          </cell>
          <cell r="C204" t="str">
            <v>UA05</v>
          </cell>
          <cell r="T204">
            <v>4</v>
          </cell>
          <cell r="W204">
            <v>6000</v>
          </cell>
          <cell r="Z204">
            <v>3000</v>
          </cell>
          <cell r="AJ204">
            <v>12000</v>
          </cell>
          <cell r="AL204">
            <v>3000</v>
          </cell>
          <cell r="AM204">
            <v>3000</v>
          </cell>
          <cell r="AN204">
            <v>3000</v>
          </cell>
          <cell r="AO204">
            <v>3000</v>
          </cell>
          <cell r="AP204">
            <v>17.666666666659999</v>
          </cell>
          <cell r="AR204">
            <v>3000</v>
          </cell>
          <cell r="AS204">
            <v>3000</v>
          </cell>
          <cell r="AT204">
            <v>0</v>
          </cell>
          <cell r="AU204">
            <v>1.5</v>
          </cell>
          <cell r="AV204">
            <v>0</v>
          </cell>
          <cell r="AX204">
            <v>0</v>
          </cell>
        </row>
        <row r="205">
          <cell r="A205">
            <v>400304</v>
          </cell>
          <cell r="C205" t="str">
            <v>UA03</v>
          </cell>
          <cell r="T205">
            <v>1</v>
          </cell>
          <cell r="X205">
            <v>50200</v>
          </cell>
          <cell r="Z205">
            <v>10800</v>
          </cell>
          <cell r="AJ205">
            <v>10800</v>
          </cell>
          <cell r="AL205">
            <v>0</v>
          </cell>
          <cell r="AM205">
            <v>0</v>
          </cell>
          <cell r="AN205">
            <v>0</v>
          </cell>
          <cell r="AO205">
            <v>10800</v>
          </cell>
          <cell r="AP205">
            <v>75</v>
          </cell>
          <cell r="AR205">
            <v>10800</v>
          </cell>
          <cell r="AS205">
            <v>10800</v>
          </cell>
          <cell r="AT205">
            <v>0</v>
          </cell>
          <cell r="AU205">
            <v>18.333333333333336</v>
          </cell>
          <cell r="AV205">
            <v>5.9553897157672777</v>
          </cell>
          <cell r="AX205">
            <v>18944.205781544661</v>
          </cell>
        </row>
        <row r="206">
          <cell r="A206">
            <v>407102</v>
          </cell>
          <cell r="C206" t="str">
            <v>UA01</v>
          </cell>
          <cell r="T206">
            <v>1</v>
          </cell>
          <cell r="W206">
            <v>21000</v>
          </cell>
          <cell r="Z206">
            <v>3500</v>
          </cell>
          <cell r="AJ206">
            <v>10500</v>
          </cell>
          <cell r="AL206">
            <v>0</v>
          </cell>
          <cell r="AM206">
            <v>10500</v>
          </cell>
          <cell r="AN206">
            <v>0</v>
          </cell>
          <cell r="AO206">
            <v>0</v>
          </cell>
          <cell r="AP206">
            <v>75</v>
          </cell>
          <cell r="AR206">
            <v>10500</v>
          </cell>
          <cell r="AS206">
            <v>10500</v>
          </cell>
          <cell r="AT206">
            <v>0</v>
          </cell>
          <cell r="AU206">
            <v>14</v>
          </cell>
          <cell r="AV206">
            <v>1.8257418583505538</v>
          </cell>
          <cell r="AX206">
            <v>25899.707696853908</v>
          </cell>
        </row>
        <row r="207">
          <cell r="A207">
            <v>400303</v>
          </cell>
          <cell r="C207" t="str">
            <v>UA03</v>
          </cell>
          <cell r="T207">
            <v>2</v>
          </cell>
          <cell r="W207">
            <v>12360</v>
          </cell>
          <cell r="Z207">
            <v>5040</v>
          </cell>
          <cell r="AJ207">
            <v>10080</v>
          </cell>
          <cell r="AL207">
            <v>3077.7662167560006</v>
          </cell>
          <cell r="AM207">
            <v>2824.935960924</v>
          </cell>
          <cell r="AN207">
            <v>2942.2302136919998</v>
          </cell>
          <cell r="AO207">
            <v>2243.067608628</v>
          </cell>
          <cell r="AP207">
            <v>13</v>
          </cell>
          <cell r="AR207">
            <v>5040</v>
          </cell>
          <cell r="AS207">
            <v>5040</v>
          </cell>
          <cell r="AT207">
            <v>0</v>
          </cell>
          <cell r="AU207">
            <v>12.666666666666666</v>
          </cell>
          <cell r="AV207">
            <v>1.1547005383792517</v>
          </cell>
          <cell r="AX207">
            <v>9716.6839451668475</v>
          </cell>
        </row>
        <row r="208">
          <cell r="A208">
            <v>410997</v>
          </cell>
          <cell r="C208" t="str">
            <v>UA01</v>
          </cell>
          <cell r="T208">
            <v>1</v>
          </cell>
          <cell r="W208">
            <v>20000</v>
          </cell>
          <cell r="Z208">
            <v>5000</v>
          </cell>
          <cell r="AJ208">
            <v>10000</v>
          </cell>
          <cell r="AL208">
            <v>0</v>
          </cell>
          <cell r="AM208">
            <v>10000</v>
          </cell>
          <cell r="AN208">
            <v>0</v>
          </cell>
          <cell r="AO208">
            <v>0</v>
          </cell>
          <cell r="AP208">
            <v>75</v>
          </cell>
          <cell r="AR208">
            <v>10000</v>
          </cell>
          <cell r="AS208">
            <v>10000</v>
          </cell>
          <cell r="AT208">
            <v>0</v>
          </cell>
          <cell r="AU208">
            <v>36</v>
          </cell>
          <cell r="AV208">
            <v>0</v>
          </cell>
          <cell r="AX208">
            <v>23421.737136919885</v>
          </cell>
        </row>
        <row r="209">
          <cell r="A209">
            <v>413115</v>
          </cell>
          <cell r="C209" t="str">
            <v>UA03</v>
          </cell>
          <cell r="T209">
            <v>1</v>
          </cell>
          <cell r="W209">
            <v>25700</v>
          </cell>
          <cell r="Z209">
            <v>5000</v>
          </cell>
          <cell r="AJ209">
            <v>10000</v>
          </cell>
          <cell r="AL209">
            <v>10000</v>
          </cell>
          <cell r="AM209">
            <v>0</v>
          </cell>
          <cell r="AN209">
            <v>0</v>
          </cell>
          <cell r="AO209">
            <v>0</v>
          </cell>
          <cell r="AP209">
            <v>75</v>
          </cell>
          <cell r="AR209">
            <v>10000</v>
          </cell>
          <cell r="AS209">
            <v>10000</v>
          </cell>
          <cell r="AT209">
            <v>0</v>
          </cell>
          <cell r="AU209">
            <v>12.571428571428571</v>
          </cell>
          <cell r="AV209">
            <v>0.97590007294853331</v>
          </cell>
          <cell r="AX209">
            <v>12233.54581716684</v>
          </cell>
        </row>
        <row r="210">
          <cell r="A210" t="str">
            <v>453275A</v>
          </cell>
          <cell r="C210" t="str">
            <v>UA02</v>
          </cell>
          <cell r="T210">
            <v>2</v>
          </cell>
          <cell r="W210">
            <v>5000</v>
          </cell>
          <cell r="X210">
            <v>0</v>
          </cell>
          <cell r="Z210">
            <v>5000</v>
          </cell>
          <cell r="AJ210">
            <v>10000</v>
          </cell>
          <cell r="AL210">
            <v>2775.7631825000003</v>
          </cell>
          <cell r="AM210">
            <v>2547.7416674999999</v>
          </cell>
          <cell r="AN210">
            <v>2653.5265274999997</v>
          </cell>
          <cell r="AO210">
            <v>2022.9686224999998</v>
          </cell>
          <cell r="AP210">
            <v>4</v>
          </cell>
          <cell r="AR210">
            <v>5000</v>
          </cell>
          <cell r="AS210">
            <v>5000</v>
          </cell>
          <cell r="AT210">
            <v>0</v>
          </cell>
          <cell r="AU210">
            <v>22.5</v>
          </cell>
          <cell r="AV210">
            <v>12.785408349625234</v>
          </cell>
          <cell r="AX210">
            <v>11583.793240054752</v>
          </cell>
        </row>
        <row r="211">
          <cell r="A211">
            <v>453037</v>
          </cell>
          <cell r="C211" t="str">
            <v>UA02</v>
          </cell>
          <cell r="T211">
            <v>1</v>
          </cell>
          <cell r="W211">
            <v>74600</v>
          </cell>
          <cell r="Z211">
            <v>5000</v>
          </cell>
          <cell r="AJ211">
            <v>10000</v>
          </cell>
          <cell r="AL211">
            <v>2775.7631825000003</v>
          </cell>
          <cell r="AM211">
            <v>2547.7416674999999</v>
          </cell>
          <cell r="AN211">
            <v>2653.5265274999997</v>
          </cell>
          <cell r="AO211">
            <v>2022.9686224999998</v>
          </cell>
          <cell r="AP211">
            <v>4.5999999999999996</v>
          </cell>
          <cell r="AR211">
            <v>5000</v>
          </cell>
          <cell r="AS211">
            <v>5000</v>
          </cell>
          <cell r="AT211">
            <v>0</v>
          </cell>
          <cell r="AU211">
            <v>27.944444444444443</v>
          </cell>
          <cell r="AV211">
            <v>13.492796432006063</v>
          </cell>
          <cell r="AX211">
            <v>9816.9131299120108</v>
          </cell>
        </row>
        <row r="212">
          <cell r="A212">
            <v>453409</v>
          </cell>
          <cell r="C212" t="str">
            <v>UA02</v>
          </cell>
          <cell r="T212">
            <v>1</v>
          </cell>
          <cell r="W212">
            <v>35000</v>
          </cell>
          <cell r="Z212">
            <v>5000</v>
          </cell>
          <cell r="AJ212">
            <v>10000</v>
          </cell>
          <cell r="AL212">
            <v>2775.7631825000003</v>
          </cell>
          <cell r="AM212">
            <v>2547.7416674999999</v>
          </cell>
          <cell r="AN212">
            <v>2653.5265274999997</v>
          </cell>
          <cell r="AO212">
            <v>2022.9686224999998</v>
          </cell>
          <cell r="AP212">
            <v>5.3</v>
          </cell>
          <cell r="AR212">
            <v>5000</v>
          </cell>
          <cell r="AS212">
            <v>5000</v>
          </cell>
          <cell r="AT212">
            <v>0</v>
          </cell>
          <cell r="AU212">
            <v>18.142857142857142</v>
          </cell>
          <cell r="AV212">
            <v>5.2098807225172763</v>
          </cell>
          <cell r="AX212">
            <v>12130.842216419645</v>
          </cell>
        </row>
        <row r="213">
          <cell r="A213">
            <v>404041</v>
          </cell>
          <cell r="C213" t="str">
            <v>UA02</v>
          </cell>
          <cell r="T213">
            <v>1</v>
          </cell>
          <cell r="X213">
            <v>13000</v>
          </cell>
          <cell r="Z213">
            <v>10000</v>
          </cell>
          <cell r="AJ213">
            <v>10000</v>
          </cell>
          <cell r="AL213">
            <v>10000</v>
          </cell>
          <cell r="AM213">
            <v>0</v>
          </cell>
          <cell r="AN213">
            <v>0</v>
          </cell>
          <cell r="AO213">
            <v>0</v>
          </cell>
          <cell r="AP213">
            <v>75</v>
          </cell>
          <cell r="AR213">
            <v>10000</v>
          </cell>
          <cell r="AS213">
            <v>10000</v>
          </cell>
          <cell r="AT213">
            <v>0</v>
          </cell>
          <cell r="AU213">
            <v>21</v>
          </cell>
          <cell r="AV213">
            <v>0</v>
          </cell>
          <cell r="AX213">
            <v>20714.88018692104</v>
          </cell>
        </row>
        <row r="214">
          <cell r="A214" t="str">
            <v>422185A</v>
          </cell>
          <cell r="C214" t="str">
            <v>UA01</v>
          </cell>
          <cell r="T214">
            <v>1</v>
          </cell>
          <cell r="Z214">
            <v>250</v>
          </cell>
          <cell r="AJ214">
            <v>9000</v>
          </cell>
          <cell r="AL214">
            <v>0</v>
          </cell>
          <cell r="AM214">
            <v>0</v>
          </cell>
          <cell r="AN214">
            <v>9000</v>
          </cell>
          <cell r="AO214">
            <v>0</v>
          </cell>
          <cell r="AP214">
            <v>75</v>
          </cell>
          <cell r="AR214">
            <v>9000</v>
          </cell>
          <cell r="AS214">
            <v>9000</v>
          </cell>
          <cell r="AT214">
            <v>0</v>
          </cell>
          <cell r="AU214">
            <v>10</v>
          </cell>
          <cell r="AV214">
            <v>0</v>
          </cell>
          <cell r="AX214">
            <v>5696.8487987200797</v>
          </cell>
        </row>
        <row r="215">
          <cell r="A215">
            <v>408644</v>
          </cell>
          <cell r="C215" t="str">
            <v>UA03</v>
          </cell>
          <cell r="T215">
            <v>1</v>
          </cell>
          <cell r="W215">
            <v>8440</v>
          </cell>
          <cell r="Z215">
            <v>10000</v>
          </cell>
          <cell r="AJ215">
            <v>8440</v>
          </cell>
          <cell r="AL215">
            <v>0</v>
          </cell>
          <cell r="AM215">
            <v>0</v>
          </cell>
          <cell r="AN215">
            <v>8440</v>
          </cell>
          <cell r="AO215">
            <v>0</v>
          </cell>
          <cell r="AP215">
            <v>75</v>
          </cell>
          <cell r="AR215">
            <v>8440</v>
          </cell>
          <cell r="AS215">
            <v>8440</v>
          </cell>
          <cell r="AT215">
            <v>0</v>
          </cell>
          <cell r="AU215">
            <v>13</v>
          </cell>
          <cell r="AV215">
            <v>0</v>
          </cell>
          <cell r="AX215">
            <v>14407.464090491831</v>
          </cell>
        </row>
        <row r="216">
          <cell r="A216">
            <v>451707</v>
          </cell>
          <cell r="C216" t="str">
            <v>UA02</v>
          </cell>
          <cell r="T216">
            <v>4</v>
          </cell>
          <cell r="W216">
            <v>12000</v>
          </cell>
          <cell r="X216">
            <v>0</v>
          </cell>
          <cell r="Z216">
            <v>2000</v>
          </cell>
          <cell r="AJ216">
            <v>8000</v>
          </cell>
          <cell r="AL216">
            <v>2220.6105459999999</v>
          </cell>
          <cell r="AM216">
            <v>2038.1933339999998</v>
          </cell>
          <cell r="AN216">
            <v>2122.8212219999996</v>
          </cell>
          <cell r="AO216">
            <v>1618.3748979999998</v>
          </cell>
          <cell r="AP216">
            <v>6.6666666666600003</v>
          </cell>
          <cell r="AR216">
            <v>2000</v>
          </cell>
          <cell r="AS216">
            <v>2000</v>
          </cell>
          <cell r="AT216">
            <v>0</v>
          </cell>
          <cell r="AU216">
            <v>22.4</v>
          </cell>
          <cell r="AV216">
            <v>11.193748255164577</v>
          </cell>
          <cell r="AX216">
            <v>6054.88977584442</v>
          </cell>
        </row>
        <row r="217">
          <cell r="A217" t="str">
            <v>453379A</v>
          </cell>
          <cell r="C217" t="str">
            <v>UA01</v>
          </cell>
          <cell r="T217">
            <v>2</v>
          </cell>
          <cell r="W217">
            <v>5390</v>
          </cell>
          <cell r="Z217">
            <v>3520</v>
          </cell>
          <cell r="AJ217">
            <v>7040</v>
          </cell>
          <cell r="AL217">
            <v>3520</v>
          </cell>
          <cell r="AM217">
            <v>0</v>
          </cell>
          <cell r="AN217">
            <v>3520</v>
          </cell>
          <cell r="AO217">
            <v>0</v>
          </cell>
          <cell r="AP217">
            <v>42</v>
          </cell>
          <cell r="AR217">
            <v>3520</v>
          </cell>
          <cell r="AS217">
            <v>3520</v>
          </cell>
          <cell r="AT217">
            <v>0</v>
          </cell>
          <cell r="AU217">
            <v>15</v>
          </cell>
          <cell r="AV217">
            <v>0</v>
          </cell>
          <cell r="AX217">
            <v>11439.323071907918</v>
          </cell>
        </row>
        <row r="218">
          <cell r="A218" t="str">
            <v>413240C</v>
          </cell>
          <cell r="C218" t="str">
            <v>UA01</v>
          </cell>
          <cell r="T218">
            <v>4</v>
          </cell>
          <cell r="W218">
            <v>86000</v>
          </cell>
          <cell r="Z218">
            <v>2000</v>
          </cell>
          <cell r="AJ218">
            <v>7000</v>
          </cell>
          <cell r="AL218">
            <v>1943.0342277500001</v>
          </cell>
          <cell r="AM218">
            <v>1783.4191672499999</v>
          </cell>
          <cell r="AN218">
            <v>1857.4685692499997</v>
          </cell>
          <cell r="AO218">
            <v>1416.0780357499998</v>
          </cell>
          <cell r="AP218">
            <v>16</v>
          </cell>
          <cell r="AR218">
            <v>2000</v>
          </cell>
          <cell r="AS218">
            <v>1000</v>
          </cell>
          <cell r="AT218">
            <v>500</v>
          </cell>
          <cell r="AU218">
            <v>15.5</v>
          </cell>
          <cell r="AV218">
            <v>2.1213203435596424</v>
          </cell>
          <cell r="AX218">
            <v>8446.787461032829</v>
          </cell>
        </row>
        <row r="219">
          <cell r="A219">
            <v>422481</v>
          </cell>
          <cell r="C219" t="str">
            <v>UA01</v>
          </cell>
          <cell r="T219">
            <v>6</v>
          </cell>
          <cell r="W219">
            <v>2715</v>
          </cell>
          <cell r="X219">
            <v>1186</v>
          </cell>
          <cell r="Z219">
            <v>1000</v>
          </cell>
          <cell r="AJ219">
            <v>6000</v>
          </cell>
          <cell r="AL219">
            <v>1665.4579095000001</v>
          </cell>
          <cell r="AM219">
            <v>1528.6450004999999</v>
          </cell>
          <cell r="AN219">
            <v>1592.1159164999999</v>
          </cell>
          <cell r="AO219">
            <v>1213.7811735</v>
          </cell>
          <cell r="AP219">
            <v>11.6</v>
          </cell>
          <cell r="AR219">
            <v>1000</v>
          </cell>
          <cell r="AS219">
            <v>1000</v>
          </cell>
          <cell r="AT219">
            <v>0</v>
          </cell>
          <cell r="AU219">
            <v>15.727272727272727</v>
          </cell>
          <cell r="AV219">
            <v>3.1965890912317492</v>
          </cell>
          <cell r="AX219">
            <v>4819.5764548365032</v>
          </cell>
        </row>
        <row r="220">
          <cell r="A220" t="str">
            <v>450366P</v>
          </cell>
          <cell r="C220" t="str">
            <v>UA03</v>
          </cell>
          <cell r="T220">
            <v>1</v>
          </cell>
          <cell r="X220">
            <v>0</v>
          </cell>
          <cell r="Z220">
            <v>6000</v>
          </cell>
          <cell r="AJ220">
            <v>6000</v>
          </cell>
          <cell r="AL220">
            <v>6000</v>
          </cell>
          <cell r="AM220">
            <v>0</v>
          </cell>
          <cell r="AN220">
            <v>0</v>
          </cell>
          <cell r="AO220">
            <v>0</v>
          </cell>
          <cell r="AP220">
            <v>75</v>
          </cell>
          <cell r="AR220">
            <v>6000</v>
          </cell>
          <cell r="AS220">
            <v>6000</v>
          </cell>
          <cell r="AT220">
            <v>0</v>
          </cell>
          <cell r="AU220">
            <v>12.75</v>
          </cell>
          <cell r="AV220">
            <v>1.2583057392117916</v>
          </cell>
          <cell r="AX220">
            <v>6960.6554842059104</v>
          </cell>
        </row>
        <row r="221">
          <cell r="A221">
            <v>403584</v>
          </cell>
          <cell r="C221" t="str">
            <v>UA02</v>
          </cell>
          <cell r="T221">
            <v>4</v>
          </cell>
          <cell r="W221">
            <v>1500</v>
          </cell>
          <cell r="X221">
            <v>6500</v>
          </cell>
          <cell r="Z221">
            <v>1500</v>
          </cell>
          <cell r="AJ221">
            <v>6000</v>
          </cell>
          <cell r="AL221">
            <v>1665.4579095000001</v>
          </cell>
          <cell r="AM221">
            <v>1528.6450004999999</v>
          </cell>
          <cell r="AN221">
            <v>1592.1159164999999</v>
          </cell>
          <cell r="AO221">
            <v>1213.7811735</v>
          </cell>
          <cell r="AP221">
            <v>8</v>
          </cell>
          <cell r="AR221">
            <v>1500</v>
          </cell>
          <cell r="AS221">
            <v>1500</v>
          </cell>
          <cell r="AT221">
            <v>0</v>
          </cell>
          <cell r="AU221">
            <v>24.333333333333336</v>
          </cell>
          <cell r="AV221">
            <v>0.5773502691896093</v>
          </cell>
          <cell r="AX221">
            <v>5594.5033788600413</v>
          </cell>
        </row>
        <row r="222">
          <cell r="A222" t="str">
            <v>453488A</v>
          </cell>
          <cell r="C222" t="str">
            <v>UA01</v>
          </cell>
          <cell r="T222">
            <v>1</v>
          </cell>
          <cell r="W222">
            <v>1500</v>
          </cell>
          <cell r="X222">
            <v>0</v>
          </cell>
          <cell r="Z222">
            <v>6000</v>
          </cell>
          <cell r="AJ222">
            <v>6000</v>
          </cell>
          <cell r="AL222">
            <v>0</v>
          </cell>
          <cell r="AM222">
            <v>0</v>
          </cell>
          <cell r="AN222">
            <v>6000</v>
          </cell>
          <cell r="AO222">
            <v>0</v>
          </cell>
          <cell r="AP222">
            <v>75</v>
          </cell>
          <cell r="AR222">
            <v>6000</v>
          </cell>
          <cell r="AS222">
            <v>6000</v>
          </cell>
          <cell r="AT222">
            <v>0</v>
          </cell>
          <cell r="AU222">
            <v>18</v>
          </cell>
          <cell r="AV222">
            <v>0</v>
          </cell>
          <cell r="AX222">
            <v>13042.831656555998</v>
          </cell>
        </row>
        <row r="223">
          <cell r="A223">
            <v>451400</v>
          </cell>
          <cell r="C223" t="str">
            <v>UA03</v>
          </cell>
          <cell r="T223">
            <v>1</v>
          </cell>
          <cell r="W223">
            <v>5990</v>
          </cell>
          <cell r="Z223">
            <v>500</v>
          </cell>
          <cell r="AJ223">
            <v>5990</v>
          </cell>
          <cell r="AL223">
            <v>0</v>
          </cell>
          <cell r="AM223">
            <v>0</v>
          </cell>
          <cell r="AN223">
            <v>5990</v>
          </cell>
          <cell r="AO223">
            <v>0</v>
          </cell>
          <cell r="AP223">
            <v>75</v>
          </cell>
          <cell r="AR223">
            <v>5990</v>
          </cell>
          <cell r="AS223">
            <v>5990</v>
          </cell>
          <cell r="AT223">
            <v>0</v>
          </cell>
          <cell r="AU223">
            <v>11</v>
          </cell>
          <cell r="AV223">
            <v>0</v>
          </cell>
          <cell r="AX223">
            <v>4332.1542320953222</v>
          </cell>
        </row>
        <row r="224">
          <cell r="A224">
            <v>451401</v>
          </cell>
          <cell r="C224" t="str">
            <v>UA03</v>
          </cell>
          <cell r="T224">
            <v>1</v>
          </cell>
          <cell r="Z224">
            <v>500</v>
          </cell>
          <cell r="AJ224">
            <v>5000</v>
          </cell>
          <cell r="AL224">
            <v>0</v>
          </cell>
          <cell r="AM224">
            <v>0</v>
          </cell>
          <cell r="AN224">
            <v>5000</v>
          </cell>
          <cell r="AO224">
            <v>0</v>
          </cell>
          <cell r="AP224">
            <v>75</v>
          </cell>
          <cell r="AR224">
            <v>5000</v>
          </cell>
          <cell r="AS224">
            <v>5000</v>
          </cell>
          <cell r="AT224">
            <v>0</v>
          </cell>
          <cell r="AU224">
            <v>11</v>
          </cell>
          <cell r="AV224">
            <v>0</v>
          </cell>
          <cell r="AX224">
            <v>2765.8508469214203</v>
          </cell>
        </row>
        <row r="225">
          <cell r="A225">
            <v>421103</v>
          </cell>
          <cell r="C225" t="str">
            <v>UA01</v>
          </cell>
          <cell r="T225">
            <v>1</v>
          </cell>
          <cell r="W225">
            <v>5000</v>
          </cell>
          <cell r="Z225">
            <v>2500</v>
          </cell>
          <cell r="AJ225">
            <v>5000</v>
          </cell>
          <cell r="AL225">
            <v>5000</v>
          </cell>
          <cell r="AM225">
            <v>0</v>
          </cell>
          <cell r="AN225">
            <v>0</v>
          </cell>
          <cell r="AO225">
            <v>0</v>
          </cell>
          <cell r="AP225">
            <v>75</v>
          </cell>
          <cell r="AR225">
            <v>5000</v>
          </cell>
          <cell r="AS225">
            <v>5000</v>
          </cell>
          <cell r="AT225">
            <v>0</v>
          </cell>
          <cell r="AU225">
            <v>12</v>
          </cell>
          <cell r="AV225">
            <v>0</v>
          </cell>
          <cell r="AX225">
            <v>10087.756700178648</v>
          </cell>
        </row>
        <row r="226">
          <cell r="A226">
            <v>450647</v>
          </cell>
          <cell r="C226" t="str">
            <v>UA03</v>
          </cell>
          <cell r="T226">
            <v>1</v>
          </cell>
          <cell r="X226">
            <v>0</v>
          </cell>
          <cell r="Z226">
            <v>10000</v>
          </cell>
          <cell r="AJ226">
            <v>5000</v>
          </cell>
          <cell r="AL226">
            <v>5000</v>
          </cell>
          <cell r="AM226">
            <v>0</v>
          </cell>
          <cell r="AN226">
            <v>0</v>
          </cell>
          <cell r="AO226">
            <v>0</v>
          </cell>
          <cell r="AP226">
            <v>75</v>
          </cell>
          <cell r="AR226">
            <v>5000</v>
          </cell>
          <cell r="AS226">
            <v>5000</v>
          </cell>
          <cell r="AT226">
            <v>0</v>
          </cell>
          <cell r="AU226">
            <v>13</v>
          </cell>
          <cell r="AV226">
            <v>0</v>
          </cell>
          <cell r="AX226">
            <v>9649.5597880946461</v>
          </cell>
        </row>
        <row r="227">
          <cell r="A227">
            <v>452629</v>
          </cell>
          <cell r="C227" t="str">
            <v>UA03</v>
          </cell>
          <cell r="T227">
            <v>1</v>
          </cell>
          <cell r="Z227">
            <v>5000</v>
          </cell>
          <cell r="AJ227">
            <v>5000</v>
          </cell>
          <cell r="AL227">
            <v>0</v>
          </cell>
          <cell r="AM227">
            <v>0</v>
          </cell>
          <cell r="AN227">
            <v>5000</v>
          </cell>
          <cell r="AO227">
            <v>0</v>
          </cell>
          <cell r="AP227">
            <v>75</v>
          </cell>
          <cell r="AR227">
            <v>5000</v>
          </cell>
          <cell r="AS227">
            <v>5000</v>
          </cell>
          <cell r="AT227">
            <v>0</v>
          </cell>
          <cell r="AU227">
            <v>31</v>
          </cell>
          <cell r="AV227">
            <v>0</v>
          </cell>
          <cell r="AX227">
            <v>6673.2059265690059</v>
          </cell>
        </row>
        <row r="228">
          <cell r="A228">
            <v>400292</v>
          </cell>
          <cell r="C228" t="str">
            <v>UA03</v>
          </cell>
          <cell r="T228">
            <v>1</v>
          </cell>
          <cell r="W228">
            <v>7900</v>
          </cell>
          <cell r="X228">
            <v>200</v>
          </cell>
          <cell r="Z228">
            <v>5000</v>
          </cell>
          <cell r="AJ228">
            <v>5000</v>
          </cell>
          <cell r="AL228">
            <v>0</v>
          </cell>
          <cell r="AM228">
            <v>5000</v>
          </cell>
          <cell r="AN228">
            <v>0</v>
          </cell>
          <cell r="AO228">
            <v>0</v>
          </cell>
          <cell r="AP228">
            <v>75</v>
          </cell>
          <cell r="AR228">
            <v>5000</v>
          </cell>
          <cell r="AS228">
            <v>5000</v>
          </cell>
          <cell r="AT228">
            <v>0</v>
          </cell>
          <cell r="AU228">
            <v>13.333333333333334</v>
          </cell>
          <cell r="AV228">
            <v>1.154700538379251</v>
          </cell>
          <cell r="AX228">
            <v>9201.1696068174624</v>
          </cell>
        </row>
        <row r="229">
          <cell r="A229">
            <v>452526</v>
          </cell>
          <cell r="C229" t="str">
            <v>UA03</v>
          </cell>
          <cell r="T229">
            <v>1</v>
          </cell>
          <cell r="W229">
            <v>6200</v>
          </cell>
          <cell r="Z229">
            <v>5000</v>
          </cell>
          <cell r="AJ229">
            <v>5000</v>
          </cell>
          <cell r="AL229">
            <v>0</v>
          </cell>
          <cell r="AM229">
            <v>0</v>
          </cell>
          <cell r="AN229">
            <v>5000</v>
          </cell>
          <cell r="AO229">
            <v>0</v>
          </cell>
          <cell r="AP229">
            <v>75</v>
          </cell>
          <cell r="AR229">
            <v>5000</v>
          </cell>
          <cell r="AS229">
            <v>5000</v>
          </cell>
          <cell r="AT229">
            <v>0</v>
          </cell>
          <cell r="AU229">
            <v>11.666666666666666</v>
          </cell>
          <cell r="AV229">
            <v>0.57735026918962551</v>
          </cell>
          <cell r="AX229">
            <v>6656.3875561697196</v>
          </cell>
        </row>
        <row r="230">
          <cell r="A230" t="str">
            <v>421101A</v>
          </cell>
          <cell r="C230" t="str">
            <v>UA01</v>
          </cell>
          <cell r="T230">
            <v>1</v>
          </cell>
          <cell r="W230">
            <v>4000</v>
          </cell>
          <cell r="Z230">
            <v>2000</v>
          </cell>
          <cell r="AJ230">
            <v>4000</v>
          </cell>
          <cell r="AL230">
            <v>4000</v>
          </cell>
          <cell r="AM230">
            <v>0</v>
          </cell>
          <cell r="AN230">
            <v>0</v>
          </cell>
          <cell r="AO230">
            <v>0</v>
          </cell>
          <cell r="AP230">
            <v>75</v>
          </cell>
          <cell r="AR230">
            <v>4000</v>
          </cell>
          <cell r="AS230">
            <v>4000</v>
          </cell>
          <cell r="AT230">
            <v>0</v>
          </cell>
          <cell r="AU230">
            <v>13</v>
          </cell>
          <cell r="AV230">
            <v>0</v>
          </cell>
          <cell r="AX230">
            <v>11369.968423987499</v>
          </cell>
        </row>
        <row r="231">
          <cell r="A231" t="str">
            <v>451621T</v>
          </cell>
          <cell r="C231" t="str">
            <v>UA03</v>
          </cell>
          <cell r="T231">
            <v>1</v>
          </cell>
          <cell r="W231">
            <v>6200</v>
          </cell>
          <cell r="Z231">
            <v>4000</v>
          </cell>
          <cell r="AJ231">
            <v>4000</v>
          </cell>
          <cell r="AL231">
            <v>0</v>
          </cell>
          <cell r="AM231">
            <v>4000</v>
          </cell>
          <cell r="AN231">
            <v>0</v>
          </cell>
          <cell r="AO231">
            <v>0</v>
          </cell>
          <cell r="AP231">
            <v>75</v>
          </cell>
          <cell r="AR231">
            <v>4000</v>
          </cell>
          <cell r="AS231">
            <v>4000</v>
          </cell>
          <cell r="AT231">
            <v>0</v>
          </cell>
          <cell r="AU231">
            <v>13</v>
          </cell>
          <cell r="AV231">
            <v>0.89442719099991586</v>
          </cell>
          <cell r="AX231">
            <v>7143.5455708989857</v>
          </cell>
        </row>
        <row r="232">
          <cell r="A232" t="str">
            <v>453123A</v>
          </cell>
          <cell r="C232" t="str">
            <v>UA03</v>
          </cell>
          <cell r="T232">
            <v>1</v>
          </cell>
          <cell r="W232">
            <v>1200</v>
          </cell>
          <cell r="X232">
            <v>0</v>
          </cell>
          <cell r="Z232">
            <v>3000</v>
          </cell>
          <cell r="AJ232">
            <v>3000</v>
          </cell>
          <cell r="AL232">
            <v>0</v>
          </cell>
          <cell r="AM232">
            <v>3000</v>
          </cell>
          <cell r="AN232">
            <v>0</v>
          </cell>
          <cell r="AO232">
            <v>0</v>
          </cell>
          <cell r="AP232">
            <v>75</v>
          </cell>
          <cell r="AR232">
            <v>3000</v>
          </cell>
          <cell r="AS232">
            <v>3000</v>
          </cell>
          <cell r="AT232">
            <v>0</v>
          </cell>
          <cell r="AU232">
            <v>13.5</v>
          </cell>
          <cell r="AV232">
            <v>2.1213203435596424</v>
          </cell>
          <cell r="AX232">
            <v>4630.0663915708019</v>
          </cell>
        </row>
        <row r="233">
          <cell r="A233" t="str">
            <v>401451/CO</v>
          </cell>
          <cell r="C233" t="str">
            <v>UA05</v>
          </cell>
          <cell r="T233">
            <v>1</v>
          </cell>
          <cell r="X233">
            <v>0</v>
          </cell>
          <cell r="Z233">
            <v>2500</v>
          </cell>
          <cell r="AJ233">
            <v>2500</v>
          </cell>
          <cell r="AL233" t="e">
            <v>#VALUE!</v>
          </cell>
          <cell r="AM233" t="e">
            <v>#VALUE!</v>
          </cell>
          <cell r="AN233" t="e">
            <v>#VALUE!</v>
          </cell>
          <cell r="AO233" t="e">
            <v>#VALUE!</v>
          </cell>
          <cell r="AP233">
            <v>75</v>
          </cell>
          <cell r="AR233">
            <v>2500</v>
          </cell>
          <cell r="AS233">
            <v>2500</v>
          </cell>
          <cell r="AT233">
            <v>0</v>
          </cell>
          <cell r="AU233">
            <v>0.5</v>
          </cell>
          <cell r="AV233">
            <v>0</v>
          </cell>
          <cell r="AX233" t="e">
            <v>#VALUE!</v>
          </cell>
        </row>
        <row r="234">
          <cell r="A234">
            <v>453914</v>
          </cell>
          <cell r="C234" t="str">
            <v>UA02</v>
          </cell>
          <cell r="T234">
            <v>1</v>
          </cell>
          <cell r="X234">
            <v>3500</v>
          </cell>
          <cell r="Z234">
            <v>5000</v>
          </cell>
          <cell r="AJ234">
            <v>2400</v>
          </cell>
          <cell r="AL234">
            <v>666.18316379999999</v>
          </cell>
          <cell r="AM234">
            <v>611.4580001999999</v>
          </cell>
          <cell r="AN234">
            <v>636.8463665999999</v>
          </cell>
          <cell r="AO234">
            <v>485.51246939999999</v>
          </cell>
          <cell r="AP234">
            <v>75</v>
          </cell>
          <cell r="AR234">
            <v>2400</v>
          </cell>
          <cell r="AS234">
            <v>2400</v>
          </cell>
          <cell r="AT234">
            <v>0</v>
          </cell>
          <cell r="AU234">
            <v>10</v>
          </cell>
          <cell r="AV234">
            <v>0</v>
          </cell>
          <cell r="AX234">
            <v>5757.0390477066821</v>
          </cell>
        </row>
        <row r="235">
          <cell r="A235">
            <v>453666</v>
          </cell>
          <cell r="C235" t="str">
            <v>UA01</v>
          </cell>
          <cell r="T235">
            <v>1</v>
          </cell>
          <cell r="X235">
            <v>0</v>
          </cell>
          <cell r="Z235">
            <v>5000</v>
          </cell>
          <cell r="AJ235">
            <v>2000</v>
          </cell>
          <cell r="AL235">
            <v>555.15263649999997</v>
          </cell>
          <cell r="AM235">
            <v>509.54833349999996</v>
          </cell>
          <cell r="AN235">
            <v>530.70530549999989</v>
          </cell>
          <cell r="AO235">
            <v>404.59372449999995</v>
          </cell>
          <cell r="AP235">
            <v>75</v>
          </cell>
          <cell r="AR235">
            <v>2000</v>
          </cell>
          <cell r="AS235">
            <v>2000</v>
          </cell>
          <cell r="AT235">
            <v>0</v>
          </cell>
          <cell r="AU235">
            <v>17</v>
          </cell>
          <cell r="AV235">
            <v>0</v>
          </cell>
          <cell r="AX235">
            <v>7162.1481418287949</v>
          </cell>
        </row>
        <row r="236">
          <cell r="A236">
            <v>407593</v>
          </cell>
          <cell r="T236">
            <v>1</v>
          </cell>
          <cell r="W236">
            <v>800</v>
          </cell>
          <cell r="Z236">
            <v>400</v>
          </cell>
          <cell r="AJ236">
            <v>800</v>
          </cell>
          <cell r="AL236" t="e">
            <v>#N/A</v>
          </cell>
          <cell r="AM236" t="e">
            <v>#N/A</v>
          </cell>
          <cell r="AN236" t="e">
            <v>#N/A</v>
          </cell>
          <cell r="AO236" t="e">
            <v>#N/A</v>
          </cell>
          <cell r="AP236">
            <v>75</v>
          </cell>
          <cell r="AR236">
            <v>800</v>
          </cell>
          <cell r="AS236">
            <v>800</v>
          </cell>
          <cell r="AT236">
            <v>0</v>
          </cell>
          <cell r="AU236">
            <v>22</v>
          </cell>
          <cell r="AV236">
            <v>0</v>
          </cell>
          <cell r="AX236" t="e">
            <v>#N/A</v>
          </cell>
        </row>
        <row r="237">
          <cell r="A237">
            <v>402698</v>
          </cell>
          <cell r="C237" t="str">
            <v>UA03</v>
          </cell>
          <cell r="T237">
            <v>1</v>
          </cell>
          <cell r="Z237">
            <v>2000</v>
          </cell>
          <cell r="AJ237">
            <v>5</v>
          </cell>
          <cell r="AL237">
            <v>1.5266697503750002</v>
          </cell>
          <cell r="AM237">
            <v>1.4012579171249999</v>
          </cell>
          <cell r="AN237">
            <v>1.4594395901249999</v>
          </cell>
          <cell r="AO237">
            <v>1.112632742375</v>
          </cell>
          <cell r="AP237">
            <v>75</v>
          </cell>
          <cell r="AR237">
            <v>5</v>
          </cell>
          <cell r="AS237">
            <v>5</v>
          </cell>
          <cell r="AT237">
            <v>0</v>
          </cell>
          <cell r="AU237">
            <v>10</v>
          </cell>
          <cell r="AV237">
            <v>0</v>
          </cell>
          <cell r="AX237">
            <v>197.38444348015338</v>
          </cell>
        </row>
        <row r="238">
          <cell r="A238">
            <v>413190</v>
          </cell>
          <cell r="C238" t="str">
            <v>UA03</v>
          </cell>
          <cell r="T238">
            <v>0</v>
          </cell>
          <cell r="X238">
            <v>0</v>
          </cell>
          <cell r="AJ238">
            <v>0</v>
          </cell>
          <cell r="AL238" t="e">
            <v>#N/A</v>
          </cell>
          <cell r="AM238" t="e">
            <v>#N/A</v>
          </cell>
          <cell r="AN238" t="e">
            <v>#N/A</v>
          </cell>
          <cell r="AO238" t="e">
            <v>#N/A</v>
          </cell>
          <cell r="AP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11.875</v>
          </cell>
          <cell r="AV238">
            <v>1.1259916264596033</v>
          </cell>
          <cell r="AX238" t="e">
            <v>#DIV/0!</v>
          </cell>
        </row>
        <row r="239">
          <cell r="A239">
            <v>406717</v>
          </cell>
          <cell r="C239" t="str">
            <v>UA03</v>
          </cell>
          <cell r="T239">
            <v>0</v>
          </cell>
          <cell r="Z239">
            <v>200</v>
          </cell>
          <cell r="AJ239">
            <v>0</v>
          </cell>
          <cell r="AL239" t="e">
            <v>#N/A</v>
          </cell>
          <cell r="AM239" t="e">
            <v>#N/A</v>
          </cell>
          <cell r="AN239" t="e">
            <v>#N/A</v>
          </cell>
          <cell r="AO239" t="e">
            <v>#N/A</v>
          </cell>
          <cell r="AP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24.333333333333336</v>
          </cell>
          <cell r="AV239">
            <v>3.5118845842842434</v>
          </cell>
          <cell r="AX239">
            <v>0</v>
          </cell>
        </row>
        <row r="240">
          <cell r="A240">
            <v>451584</v>
          </cell>
          <cell r="C240" t="str">
            <v>UA01</v>
          </cell>
          <cell r="T240">
            <v>0</v>
          </cell>
          <cell r="Z240">
            <v>800</v>
          </cell>
          <cell r="AJ240">
            <v>0</v>
          </cell>
          <cell r="AL240" t="e">
            <v>#N/A</v>
          </cell>
          <cell r="AM240" t="e">
            <v>#N/A</v>
          </cell>
          <cell r="AN240" t="e">
            <v>#N/A</v>
          </cell>
          <cell r="AO240" t="e">
            <v>#N/A</v>
          </cell>
          <cell r="AP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14.416666666666668</v>
          </cell>
          <cell r="AV240">
            <v>2.2343733444579583</v>
          </cell>
          <cell r="AX240">
            <v>0</v>
          </cell>
        </row>
        <row r="241">
          <cell r="A241" t="str">
            <v>422661B</v>
          </cell>
          <cell r="C241" t="str">
            <v>UA01</v>
          </cell>
          <cell r="T241">
            <v>0</v>
          </cell>
          <cell r="X241">
            <v>0</v>
          </cell>
          <cell r="Z241">
            <v>7000</v>
          </cell>
          <cell r="AJ241">
            <v>0</v>
          </cell>
          <cell r="AL241" t="e">
            <v>#N/A</v>
          </cell>
          <cell r="AM241" t="e">
            <v>#N/A</v>
          </cell>
          <cell r="AN241" t="e">
            <v>#N/A</v>
          </cell>
          <cell r="AO241" t="e">
            <v>#N/A</v>
          </cell>
          <cell r="AP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10</v>
          </cell>
          <cell r="AV241">
            <v>0</v>
          </cell>
          <cell r="AX241">
            <v>0</v>
          </cell>
        </row>
        <row r="242">
          <cell r="A242">
            <v>413180</v>
          </cell>
          <cell r="C242" t="str">
            <v>UA03</v>
          </cell>
          <cell r="T242">
            <v>0</v>
          </cell>
          <cell r="AJ242">
            <v>0</v>
          </cell>
          <cell r="AL242" t="e">
            <v>#N/A</v>
          </cell>
          <cell r="AM242" t="e">
            <v>#N/A</v>
          </cell>
          <cell r="AN242" t="e">
            <v>#N/A</v>
          </cell>
          <cell r="AO242" t="e">
            <v>#N/A</v>
          </cell>
          <cell r="AP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13.5</v>
          </cell>
          <cell r="AV242">
            <v>2.3299294900428702</v>
          </cell>
          <cell r="AX242" t="e">
            <v>#DIV/0!</v>
          </cell>
        </row>
        <row r="243">
          <cell r="A243">
            <v>453585</v>
          </cell>
          <cell r="C243" t="str">
            <v>UA03</v>
          </cell>
          <cell r="T243">
            <v>0</v>
          </cell>
          <cell r="X243">
            <v>0</v>
          </cell>
          <cell r="AJ243">
            <v>0</v>
          </cell>
          <cell r="AL243" t="e">
            <v>#N/A</v>
          </cell>
          <cell r="AM243" t="e">
            <v>#N/A</v>
          </cell>
          <cell r="AN243" t="e">
            <v>#N/A</v>
          </cell>
          <cell r="AO243" t="e">
            <v>#N/A</v>
          </cell>
          <cell r="AP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12</v>
          </cell>
          <cell r="AV243">
            <v>0.70710678118654757</v>
          </cell>
          <cell r="AX243" t="e">
            <v>#DIV/0!</v>
          </cell>
        </row>
        <row r="244">
          <cell r="A244">
            <v>453035</v>
          </cell>
          <cell r="C244" t="str">
            <v>UA03</v>
          </cell>
          <cell r="T244">
            <v>0</v>
          </cell>
          <cell r="Z244">
            <v>1</v>
          </cell>
          <cell r="AJ244">
            <v>0</v>
          </cell>
          <cell r="AL244" t="e">
            <v>#N/A</v>
          </cell>
          <cell r="AM244" t="e">
            <v>#N/A</v>
          </cell>
          <cell r="AN244" t="e">
            <v>#N/A</v>
          </cell>
          <cell r="AO244" t="e">
            <v>#N/A</v>
          </cell>
          <cell r="AP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12</v>
          </cell>
          <cell r="AV244">
            <v>0</v>
          </cell>
          <cell r="AX244">
            <v>0</v>
          </cell>
        </row>
        <row r="245">
          <cell r="A245" t="str">
            <v>402336A</v>
          </cell>
          <cell r="C245" t="str">
            <v>UA01</v>
          </cell>
          <cell r="T245">
            <v>0</v>
          </cell>
          <cell r="Z245">
            <v>400</v>
          </cell>
          <cell r="AJ245">
            <v>0</v>
          </cell>
          <cell r="AL245" t="e">
            <v>#N/A</v>
          </cell>
          <cell r="AM245" t="e">
            <v>#N/A</v>
          </cell>
          <cell r="AN245" t="e">
            <v>#N/A</v>
          </cell>
          <cell r="AO245" t="e">
            <v>#N/A</v>
          </cell>
          <cell r="AP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X245">
            <v>0</v>
          </cell>
        </row>
        <row r="246">
          <cell r="A246">
            <v>412206</v>
          </cell>
          <cell r="C246" t="str">
            <v>UA01</v>
          </cell>
          <cell r="T246">
            <v>1</v>
          </cell>
          <cell r="X246">
            <v>65700</v>
          </cell>
          <cell r="Z246">
            <v>3000</v>
          </cell>
          <cell r="AJ246">
            <v>0</v>
          </cell>
          <cell r="AL246" t="e">
            <v>#N/A</v>
          </cell>
          <cell r="AM246" t="e">
            <v>#N/A</v>
          </cell>
          <cell r="AN246" t="e">
            <v>#N/A</v>
          </cell>
          <cell r="AO246" t="e">
            <v>#N/A</v>
          </cell>
          <cell r="AP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16.25</v>
          </cell>
          <cell r="AV246">
            <v>1.4880476182856899</v>
          </cell>
          <cell r="AX246">
            <v>0</v>
          </cell>
        </row>
        <row r="247">
          <cell r="A247" t="str">
            <v>408440B</v>
          </cell>
          <cell r="C247" t="str">
            <v>UA03</v>
          </cell>
          <cell r="T247">
            <v>0</v>
          </cell>
          <cell r="Z247">
            <v>300</v>
          </cell>
          <cell r="AJ247">
            <v>0</v>
          </cell>
          <cell r="AL247" t="e">
            <v>#N/A</v>
          </cell>
          <cell r="AM247" t="e">
            <v>#N/A</v>
          </cell>
          <cell r="AN247" t="e">
            <v>#N/A</v>
          </cell>
          <cell r="AO247" t="e">
            <v>#N/A</v>
          </cell>
          <cell r="AP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25.153846153846153</v>
          </cell>
          <cell r="AV247">
            <v>10.073448216691192</v>
          </cell>
          <cell r="AX247">
            <v>0</v>
          </cell>
        </row>
        <row r="248">
          <cell r="A248">
            <v>450612</v>
          </cell>
          <cell r="C248" t="str">
            <v>UA01</v>
          </cell>
          <cell r="T248">
            <v>0</v>
          </cell>
          <cell r="Z248">
            <v>3500</v>
          </cell>
          <cell r="AJ248">
            <v>0</v>
          </cell>
          <cell r="AL248" t="e">
            <v>#N/A</v>
          </cell>
          <cell r="AM248" t="e">
            <v>#N/A</v>
          </cell>
          <cell r="AN248" t="e">
            <v>#N/A</v>
          </cell>
          <cell r="AO248" t="e">
            <v>#N/A</v>
          </cell>
          <cell r="AP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10</v>
          </cell>
          <cell r="AV248">
            <v>0</v>
          </cell>
          <cell r="AX248">
            <v>0</v>
          </cell>
        </row>
        <row r="249">
          <cell r="A249">
            <v>453462</v>
          </cell>
          <cell r="C249" t="str">
            <v>UA03</v>
          </cell>
          <cell r="T249">
            <v>0</v>
          </cell>
          <cell r="Z249">
            <v>10000</v>
          </cell>
          <cell r="AJ249">
            <v>0</v>
          </cell>
          <cell r="AL249" t="e">
            <v>#N/A</v>
          </cell>
          <cell r="AM249" t="e">
            <v>#N/A</v>
          </cell>
          <cell r="AN249" t="e">
            <v>#N/A</v>
          </cell>
          <cell r="AO249" t="e">
            <v>#N/A</v>
          </cell>
          <cell r="AP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13</v>
          </cell>
          <cell r="AV249">
            <v>0.81649658092772603</v>
          </cell>
          <cell r="AX249">
            <v>0</v>
          </cell>
        </row>
        <row r="250">
          <cell r="A250">
            <v>453618</v>
          </cell>
          <cell r="C250" t="str">
            <v>UA01</v>
          </cell>
          <cell r="T250">
            <v>0</v>
          </cell>
          <cell r="Z250">
            <v>4000</v>
          </cell>
          <cell r="AJ250">
            <v>0</v>
          </cell>
          <cell r="AL250" t="e">
            <v>#N/A</v>
          </cell>
          <cell r="AM250" t="e">
            <v>#N/A</v>
          </cell>
          <cell r="AN250" t="e">
            <v>#N/A</v>
          </cell>
          <cell r="AO250" t="e">
            <v>#N/A</v>
          </cell>
          <cell r="AP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21</v>
          </cell>
          <cell r="AV250">
            <v>9.8994949366116654</v>
          </cell>
          <cell r="AX250">
            <v>0</v>
          </cell>
        </row>
        <row r="251">
          <cell r="A251">
            <v>452089</v>
          </cell>
          <cell r="C251" t="str">
            <v>UA02</v>
          </cell>
          <cell r="T251">
            <v>0</v>
          </cell>
          <cell r="Z251">
            <v>10000</v>
          </cell>
          <cell r="AJ251">
            <v>0</v>
          </cell>
          <cell r="AL251" t="e">
            <v>#N/A</v>
          </cell>
          <cell r="AM251" t="e">
            <v>#N/A</v>
          </cell>
          <cell r="AN251" t="e">
            <v>#N/A</v>
          </cell>
          <cell r="AO251" t="e">
            <v>#N/A</v>
          </cell>
          <cell r="AP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34</v>
          </cell>
          <cell r="AV251">
            <v>13.30413469565007</v>
          </cell>
          <cell r="AX251">
            <v>0</v>
          </cell>
        </row>
        <row r="252">
          <cell r="A252">
            <v>453773</v>
          </cell>
          <cell r="C252" t="str">
            <v>UA02</v>
          </cell>
          <cell r="T252">
            <v>0</v>
          </cell>
          <cell r="Z252">
            <v>24000</v>
          </cell>
          <cell r="AJ252">
            <v>0</v>
          </cell>
          <cell r="AL252" t="e">
            <v>#N/A</v>
          </cell>
          <cell r="AM252" t="e">
            <v>#N/A</v>
          </cell>
          <cell r="AN252" t="e">
            <v>#N/A</v>
          </cell>
          <cell r="AO252" t="e">
            <v>#N/A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51</v>
          </cell>
          <cell r="AV252">
            <v>0</v>
          </cell>
          <cell r="AX252">
            <v>0</v>
          </cell>
        </row>
        <row r="253">
          <cell r="A253" t="str">
            <v>408439B</v>
          </cell>
          <cell r="C253" t="str">
            <v>UA03</v>
          </cell>
          <cell r="T253">
            <v>0</v>
          </cell>
          <cell r="Z253">
            <v>160</v>
          </cell>
          <cell r="AJ253">
            <v>0</v>
          </cell>
          <cell r="AL253" t="e">
            <v>#N/A</v>
          </cell>
          <cell r="AM253" t="e">
            <v>#N/A</v>
          </cell>
          <cell r="AN253" t="e">
            <v>#N/A</v>
          </cell>
          <cell r="AO253" t="e">
            <v>#N/A</v>
          </cell>
          <cell r="AP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21</v>
          </cell>
          <cell r="AV253">
            <v>6.6332495807107996</v>
          </cell>
          <cell r="AX253">
            <v>0</v>
          </cell>
        </row>
        <row r="254">
          <cell r="A254" t="str">
            <v>451460A</v>
          </cell>
          <cell r="C254" t="str">
            <v>UA02</v>
          </cell>
          <cell r="T254">
            <v>0</v>
          </cell>
          <cell r="Z254">
            <v>10000</v>
          </cell>
          <cell r="AJ254">
            <v>0</v>
          </cell>
          <cell r="AL254" t="e">
            <v>#N/A</v>
          </cell>
          <cell r="AM254" t="e">
            <v>#N/A</v>
          </cell>
          <cell r="AN254" t="e">
            <v>#N/A</v>
          </cell>
          <cell r="AO254" t="e">
            <v>#N/A</v>
          </cell>
          <cell r="AP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21</v>
          </cell>
          <cell r="AV254">
            <v>6.9935034788788739</v>
          </cell>
          <cell r="AX254">
            <v>0</v>
          </cell>
        </row>
        <row r="255">
          <cell r="A255" t="str">
            <v>453766A</v>
          </cell>
          <cell r="C255" t="str">
            <v>UA02</v>
          </cell>
          <cell r="T255">
            <v>0</v>
          </cell>
          <cell r="W255">
            <v>50000</v>
          </cell>
          <cell r="Z255">
            <v>5000</v>
          </cell>
          <cell r="AJ255">
            <v>0</v>
          </cell>
          <cell r="AL255" t="e">
            <v>#N/A</v>
          </cell>
          <cell r="AM255" t="e">
            <v>#N/A</v>
          </cell>
          <cell r="AN255" t="e">
            <v>#N/A</v>
          </cell>
          <cell r="AO255" t="e">
            <v>#N/A</v>
          </cell>
          <cell r="AP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14</v>
          </cell>
          <cell r="AV255">
            <v>2.8284271247461903</v>
          </cell>
          <cell r="AX255">
            <v>0</v>
          </cell>
        </row>
        <row r="256">
          <cell r="A256">
            <v>452106</v>
          </cell>
          <cell r="C256" t="str">
            <v>UA02</v>
          </cell>
          <cell r="T256">
            <v>0</v>
          </cell>
          <cell r="X256">
            <v>76000</v>
          </cell>
          <cell r="Z256">
            <v>50000</v>
          </cell>
          <cell r="AJ256">
            <v>0</v>
          </cell>
          <cell r="AL256" t="e">
            <v>#N/A</v>
          </cell>
          <cell r="AM256" t="e">
            <v>#N/A</v>
          </cell>
          <cell r="AN256" t="e">
            <v>#N/A</v>
          </cell>
          <cell r="AO256" t="e">
            <v>#N/A</v>
          </cell>
          <cell r="AP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25.833333333333336</v>
          </cell>
          <cell r="AV256">
            <v>4.4907311951024917</v>
          </cell>
          <cell r="AX256">
            <v>0</v>
          </cell>
        </row>
        <row r="257">
          <cell r="A257">
            <v>453660</v>
          </cell>
          <cell r="C257" t="str">
            <v>UA01</v>
          </cell>
          <cell r="T257">
            <v>0</v>
          </cell>
          <cell r="Z257">
            <v>3000</v>
          </cell>
          <cell r="AJ257">
            <v>0</v>
          </cell>
          <cell r="AL257" t="e">
            <v>#N/A</v>
          </cell>
          <cell r="AM257" t="e">
            <v>#N/A</v>
          </cell>
          <cell r="AN257" t="e">
            <v>#N/A</v>
          </cell>
          <cell r="AO257" t="e">
            <v>#N/A</v>
          </cell>
          <cell r="AP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29.5</v>
          </cell>
          <cell r="AV257">
            <v>16.263455967290593</v>
          </cell>
          <cell r="AX257">
            <v>0</v>
          </cell>
        </row>
        <row r="258">
          <cell r="A258">
            <v>407550</v>
          </cell>
          <cell r="C258" t="str">
            <v>UA03</v>
          </cell>
          <cell r="T258">
            <v>0</v>
          </cell>
          <cell r="Z258">
            <v>5000</v>
          </cell>
          <cell r="AJ258">
            <v>0</v>
          </cell>
          <cell r="AL258" t="e">
            <v>#N/A</v>
          </cell>
          <cell r="AM258" t="e">
            <v>#N/A</v>
          </cell>
          <cell r="AN258" t="e">
            <v>#N/A</v>
          </cell>
          <cell r="AO258" t="e">
            <v>#N/A</v>
          </cell>
          <cell r="AP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10</v>
          </cell>
          <cell r="AV258">
            <v>0</v>
          </cell>
          <cell r="AX258">
            <v>0</v>
          </cell>
        </row>
        <row r="259">
          <cell r="A259" t="str">
            <v>451460B</v>
          </cell>
          <cell r="C259" t="str">
            <v>UA02</v>
          </cell>
          <cell r="T259">
            <v>0</v>
          </cell>
          <cell r="Z259">
            <v>10000</v>
          </cell>
          <cell r="AJ259">
            <v>0</v>
          </cell>
          <cell r="AL259" t="e">
            <v>#N/A</v>
          </cell>
          <cell r="AM259" t="e">
            <v>#N/A</v>
          </cell>
          <cell r="AN259" t="e">
            <v>#N/A</v>
          </cell>
          <cell r="AO259" t="e">
            <v>#N/A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27.333333333333332</v>
          </cell>
          <cell r="AV259">
            <v>8.9628864398325003</v>
          </cell>
          <cell r="AX259">
            <v>0</v>
          </cell>
        </row>
        <row r="260">
          <cell r="A260" t="str">
            <v>421109B</v>
          </cell>
          <cell r="C260" t="str">
            <v>UA01</v>
          </cell>
          <cell r="T260">
            <v>0</v>
          </cell>
          <cell r="Z260">
            <v>1500</v>
          </cell>
          <cell r="AJ260">
            <v>0</v>
          </cell>
          <cell r="AL260" t="e">
            <v>#N/A</v>
          </cell>
          <cell r="AM260" t="e">
            <v>#N/A</v>
          </cell>
          <cell r="AN260" t="e">
            <v>#N/A</v>
          </cell>
          <cell r="AO260" t="e">
            <v>#N/A</v>
          </cell>
          <cell r="AP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13.644444444444444</v>
          </cell>
          <cell r="AV260">
            <v>10.863102285301553</v>
          </cell>
          <cell r="AX260">
            <v>0</v>
          </cell>
        </row>
        <row r="261">
          <cell r="A261">
            <v>453401</v>
          </cell>
          <cell r="C261" t="str">
            <v>UA03</v>
          </cell>
          <cell r="T261">
            <v>0</v>
          </cell>
          <cell r="Z261">
            <v>1530</v>
          </cell>
          <cell r="AJ261">
            <v>0</v>
          </cell>
          <cell r="AL261" t="e">
            <v>#N/A</v>
          </cell>
          <cell r="AM261" t="e">
            <v>#N/A</v>
          </cell>
          <cell r="AN261" t="e">
            <v>#N/A</v>
          </cell>
          <cell r="AO261" t="e">
            <v>#N/A</v>
          </cell>
          <cell r="AP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18.285714285714285</v>
          </cell>
          <cell r="AV261">
            <v>6.343350474165466</v>
          </cell>
          <cell r="AX261">
            <v>0</v>
          </cell>
        </row>
        <row r="262">
          <cell r="A262">
            <v>453601</v>
          </cell>
          <cell r="C262" t="str">
            <v>UA03</v>
          </cell>
          <cell r="T262">
            <v>0</v>
          </cell>
          <cell r="W262">
            <v>2295</v>
          </cell>
          <cell r="Z262">
            <v>2550</v>
          </cell>
          <cell r="AJ262">
            <v>0</v>
          </cell>
          <cell r="AL262" t="e">
            <v>#N/A</v>
          </cell>
          <cell r="AM262" t="e">
            <v>#N/A</v>
          </cell>
          <cell r="AN262" t="e">
            <v>#N/A</v>
          </cell>
          <cell r="AO262" t="e">
            <v>#N/A</v>
          </cell>
          <cell r="AP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13</v>
          </cell>
          <cell r="AV262">
            <v>1.4142135623730951</v>
          </cell>
          <cell r="AX262">
            <v>0</v>
          </cell>
        </row>
        <row r="263">
          <cell r="A263">
            <v>422468</v>
          </cell>
          <cell r="C263" t="str">
            <v>UA01</v>
          </cell>
          <cell r="T263">
            <v>0</v>
          </cell>
          <cell r="Z263">
            <v>16000</v>
          </cell>
          <cell r="AJ263">
            <v>0</v>
          </cell>
          <cell r="AL263" t="e">
            <v>#N/A</v>
          </cell>
          <cell r="AM263" t="e">
            <v>#N/A</v>
          </cell>
          <cell r="AN263" t="e">
            <v>#N/A</v>
          </cell>
          <cell r="AO263" t="e">
            <v>#N/A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37.611111111111114</v>
          </cell>
          <cell r="AV263">
            <v>8.8924216835850061</v>
          </cell>
          <cell r="AX263">
            <v>0</v>
          </cell>
        </row>
        <row r="264">
          <cell r="A264" t="str">
            <v>422749C</v>
          </cell>
          <cell r="C264" t="str">
            <v>UA01</v>
          </cell>
          <cell r="T264">
            <v>0</v>
          </cell>
          <cell r="Z264">
            <v>3200</v>
          </cell>
          <cell r="AJ264">
            <v>0</v>
          </cell>
          <cell r="AL264" t="e">
            <v>#N/A</v>
          </cell>
          <cell r="AM264" t="e">
            <v>#N/A</v>
          </cell>
          <cell r="AN264" t="e">
            <v>#N/A</v>
          </cell>
          <cell r="AO264" t="e">
            <v>#N/A</v>
          </cell>
          <cell r="AP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23</v>
          </cell>
          <cell r="AV264">
            <v>17.349351572897472</v>
          </cell>
          <cell r="AX264">
            <v>0</v>
          </cell>
        </row>
        <row r="265">
          <cell r="A265">
            <v>407522</v>
          </cell>
          <cell r="C265" t="str">
            <v>UA03</v>
          </cell>
          <cell r="T265">
            <v>0</v>
          </cell>
          <cell r="Z265">
            <v>2500</v>
          </cell>
          <cell r="AJ265">
            <v>0</v>
          </cell>
          <cell r="AL265" t="e">
            <v>#N/A</v>
          </cell>
          <cell r="AM265" t="e">
            <v>#N/A</v>
          </cell>
          <cell r="AN265" t="e">
            <v>#N/A</v>
          </cell>
          <cell r="AO265" t="e">
            <v>#N/A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19.058823529411764</v>
          </cell>
          <cell r="AV265">
            <v>5.1656387339235961</v>
          </cell>
          <cell r="AX265">
            <v>0</v>
          </cell>
        </row>
        <row r="266">
          <cell r="A266" t="str">
            <v>402035E/CO</v>
          </cell>
          <cell r="C266" t="str">
            <v>UA05</v>
          </cell>
          <cell r="T266">
            <v>0</v>
          </cell>
          <cell r="W266">
            <v>4000</v>
          </cell>
          <cell r="Z266">
            <v>4000</v>
          </cell>
          <cell r="AJ266">
            <v>0</v>
          </cell>
          <cell r="AL266" t="e">
            <v>#N/A</v>
          </cell>
          <cell r="AM266" t="e">
            <v>#N/A</v>
          </cell>
          <cell r="AN266" t="e">
            <v>#N/A</v>
          </cell>
          <cell r="AO266" t="e">
            <v>#N/A</v>
          </cell>
          <cell r="AP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0.5</v>
          </cell>
          <cell r="AV266">
            <v>0</v>
          </cell>
          <cell r="AX266">
            <v>0</v>
          </cell>
        </row>
        <row r="267">
          <cell r="A267">
            <v>403107</v>
          </cell>
          <cell r="C267" t="str">
            <v>UA02</v>
          </cell>
          <cell r="T267">
            <v>0</v>
          </cell>
          <cell r="Z267">
            <v>5000</v>
          </cell>
          <cell r="AJ267">
            <v>0</v>
          </cell>
          <cell r="AL267" t="e">
            <v>#N/A</v>
          </cell>
          <cell r="AM267" t="e">
            <v>#N/A</v>
          </cell>
          <cell r="AN267" t="e">
            <v>#N/A</v>
          </cell>
          <cell r="AO267" t="e">
            <v>#N/A</v>
          </cell>
          <cell r="AP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14.666666666666668</v>
          </cell>
          <cell r="AV267">
            <v>2.0816659994661335</v>
          </cell>
          <cell r="AX267">
            <v>0</v>
          </cell>
        </row>
        <row r="268">
          <cell r="A268">
            <v>403988</v>
          </cell>
          <cell r="C268" t="str">
            <v>UA02</v>
          </cell>
          <cell r="T268">
            <v>0</v>
          </cell>
          <cell r="W268">
            <v>20000</v>
          </cell>
          <cell r="Z268">
            <v>5000</v>
          </cell>
          <cell r="AJ268">
            <v>0</v>
          </cell>
          <cell r="AL268" t="e">
            <v>#N/A</v>
          </cell>
          <cell r="AM268" t="e">
            <v>#N/A</v>
          </cell>
          <cell r="AN268" t="e">
            <v>#N/A</v>
          </cell>
          <cell r="AO268" t="e">
            <v>#N/A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14.666666666666668</v>
          </cell>
          <cell r="AV268">
            <v>1.5275252316519474</v>
          </cell>
          <cell r="AX268">
            <v>0</v>
          </cell>
        </row>
        <row r="269">
          <cell r="A269">
            <v>403109</v>
          </cell>
          <cell r="C269" t="str">
            <v>UA02</v>
          </cell>
          <cell r="T269">
            <v>0</v>
          </cell>
          <cell r="W269">
            <v>29700</v>
          </cell>
          <cell r="Z269">
            <v>5000</v>
          </cell>
          <cell r="AJ269">
            <v>0</v>
          </cell>
          <cell r="AL269" t="e">
            <v>#N/A</v>
          </cell>
          <cell r="AM269" t="e">
            <v>#N/A</v>
          </cell>
          <cell r="AN269" t="e">
            <v>#N/A</v>
          </cell>
          <cell r="AO269" t="e">
            <v>#N/A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24.285714285714285</v>
          </cell>
          <cell r="AV269">
            <v>5.1547481579053454</v>
          </cell>
          <cell r="AX269">
            <v>0</v>
          </cell>
        </row>
        <row r="270">
          <cell r="A270">
            <v>403110</v>
          </cell>
          <cell r="C270" t="str">
            <v>UA02</v>
          </cell>
          <cell r="T270">
            <v>0</v>
          </cell>
          <cell r="W270">
            <v>34500</v>
          </cell>
          <cell r="Z270">
            <v>5000</v>
          </cell>
          <cell r="AJ270">
            <v>0</v>
          </cell>
          <cell r="AL270" t="e">
            <v>#N/A</v>
          </cell>
          <cell r="AM270" t="e">
            <v>#N/A</v>
          </cell>
          <cell r="AN270" t="e">
            <v>#N/A</v>
          </cell>
          <cell r="AO270" t="e">
            <v>#N/A</v>
          </cell>
          <cell r="AP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35.75</v>
          </cell>
          <cell r="AV270">
            <v>13.89501452217408</v>
          </cell>
          <cell r="AX270">
            <v>0</v>
          </cell>
        </row>
        <row r="271">
          <cell r="A271">
            <v>404011</v>
          </cell>
          <cell r="C271" t="str">
            <v>UA02</v>
          </cell>
          <cell r="T271">
            <v>0</v>
          </cell>
          <cell r="W271">
            <v>2200</v>
          </cell>
          <cell r="Z271">
            <v>5000</v>
          </cell>
          <cell r="AJ271">
            <v>0</v>
          </cell>
          <cell r="AL271" t="e">
            <v>#N/A</v>
          </cell>
          <cell r="AM271" t="e">
            <v>#N/A</v>
          </cell>
          <cell r="AN271" t="e">
            <v>#N/A</v>
          </cell>
          <cell r="AO271" t="e">
            <v>#N/A</v>
          </cell>
          <cell r="AP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16.666666666666668</v>
          </cell>
          <cell r="AV271">
            <v>3.785938897200182</v>
          </cell>
          <cell r="AX271">
            <v>0</v>
          </cell>
        </row>
        <row r="272">
          <cell r="A272">
            <v>451906</v>
          </cell>
          <cell r="C272" t="str">
            <v>UA02</v>
          </cell>
          <cell r="T272">
            <v>0</v>
          </cell>
          <cell r="W272">
            <v>17800</v>
          </cell>
          <cell r="Z272">
            <v>5000</v>
          </cell>
          <cell r="AJ272">
            <v>0</v>
          </cell>
          <cell r="AL272" t="e">
            <v>#N/A</v>
          </cell>
          <cell r="AM272" t="e">
            <v>#N/A</v>
          </cell>
          <cell r="AN272" t="e">
            <v>#N/A</v>
          </cell>
          <cell r="AO272" t="e">
            <v>#N/A</v>
          </cell>
          <cell r="AP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25.333333333333336</v>
          </cell>
          <cell r="AV272">
            <v>8.5049005481153817</v>
          </cell>
          <cell r="AX272">
            <v>0</v>
          </cell>
        </row>
        <row r="273">
          <cell r="A273">
            <v>400301</v>
          </cell>
          <cell r="C273" t="str">
            <v>UA03</v>
          </cell>
          <cell r="T273">
            <v>0</v>
          </cell>
          <cell r="Z273">
            <v>5100</v>
          </cell>
          <cell r="AJ273">
            <v>0</v>
          </cell>
          <cell r="AL273" t="e">
            <v>#N/A</v>
          </cell>
          <cell r="AM273" t="e">
            <v>#N/A</v>
          </cell>
          <cell r="AN273" t="e">
            <v>#N/A</v>
          </cell>
          <cell r="AO273" t="e">
            <v>#N/A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12.5</v>
          </cell>
          <cell r="AV273">
            <v>2.1213203435596424</v>
          </cell>
          <cell r="AX273">
            <v>0</v>
          </cell>
        </row>
        <row r="274">
          <cell r="A274">
            <v>407110</v>
          </cell>
          <cell r="C274" t="str">
            <v>UA03</v>
          </cell>
          <cell r="T274">
            <v>0</v>
          </cell>
          <cell r="Z274">
            <v>10000</v>
          </cell>
          <cell r="AJ274">
            <v>0</v>
          </cell>
          <cell r="AL274" t="e">
            <v>#N/A</v>
          </cell>
          <cell r="AM274" t="e">
            <v>#N/A</v>
          </cell>
          <cell r="AN274" t="e">
            <v>#N/A</v>
          </cell>
          <cell r="AO274" t="e">
            <v>#N/A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10</v>
          </cell>
          <cell r="AV274">
            <v>0</v>
          </cell>
          <cell r="AX274">
            <v>0</v>
          </cell>
        </row>
        <row r="275">
          <cell r="A275">
            <v>400314</v>
          </cell>
          <cell r="C275" t="str">
            <v>UA01</v>
          </cell>
          <cell r="T275">
            <v>1</v>
          </cell>
          <cell r="W275">
            <v>34440</v>
          </cell>
          <cell r="Z275">
            <v>6000</v>
          </cell>
          <cell r="AJ275">
            <v>0</v>
          </cell>
          <cell r="AL275" t="e">
            <v>#N/A</v>
          </cell>
          <cell r="AM275" t="e">
            <v>#N/A</v>
          </cell>
          <cell r="AN275" t="e">
            <v>#N/A</v>
          </cell>
          <cell r="AO275" t="e">
            <v>#N/A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74</v>
          </cell>
          <cell r="AV275">
            <v>0</v>
          </cell>
          <cell r="AX275">
            <v>0</v>
          </cell>
        </row>
        <row r="276">
          <cell r="A276">
            <v>403763</v>
          </cell>
          <cell r="C276" t="str">
            <v>UA02</v>
          </cell>
          <cell r="T276">
            <v>0</v>
          </cell>
          <cell r="Z276">
            <v>6000</v>
          </cell>
          <cell r="AJ276">
            <v>0</v>
          </cell>
          <cell r="AL276" t="e">
            <v>#N/A</v>
          </cell>
          <cell r="AM276" t="e">
            <v>#N/A</v>
          </cell>
          <cell r="AN276" t="e">
            <v>#N/A</v>
          </cell>
          <cell r="AO276" t="e">
            <v>#N/A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15</v>
          </cell>
          <cell r="AV276">
            <v>1.4142135623730951</v>
          </cell>
          <cell r="AX276">
            <v>0</v>
          </cell>
        </row>
        <row r="277">
          <cell r="A277">
            <v>453630</v>
          </cell>
          <cell r="C277" t="str">
            <v>UA02</v>
          </cell>
          <cell r="T277">
            <v>0</v>
          </cell>
          <cell r="W277">
            <v>29300</v>
          </cell>
          <cell r="Z277">
            <v>8000</v>
          </cell>
          <cell r="AJ277">
            <v>0</v>
          </cell>
          <cell r="AL277" t="e">
            <v>#N/A</v>
          </cell>
          <cell r="AM277" t="e">
            <v>#N/A</v>
          </cell>
          <cell r="AN277" t="e">
            <v>#N/A</v>
          </cell>
          <cell r="AO277" t="e">
            <v>#N/A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13.666666666666666</v>
          </cell>
          <cell r="AV277">
            <v>2.7325202042558927</v>
          </cell>
          <cell r="AX277">
            <v>0</v>
          </cell>
        </row>
        <row r="278">
          <cell r="A278">
            <v>422601</v>
          </cell>
          <cell r="C278" t="str">
            <v>UA01</v>
          </cell>
          <cell r="T278">
            <v>0</v>
          </cell>
          <cell r="X278">
            <v>0</v>
          </cell>
          <cell r="Z278">
            <v>10000</v>
          </cell>
          <cell r="AJ278">
            <v>0</v>
          </cell>
          <cell r="AL278" t="e">
            <v>#N/A</v>
          </cell>
          <cell r="AM278" t="e">
            <v>#N/A</v>
          </cell>
          <cell r="AN278" t="e">
            <v>#N/A</v>
          </cell>
          <cell r="AO278" t="e">
            <v>#N/A</v>
          </cell>
          <cell r="AP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10</v>
          </cell>
          <cell r="AV278">
            <v>0</v>
          </cell>
          <cell r="AX278">
            <v>0</v>
          </cell>
        </row>
        <row r="279">
          <cell r="A279" t="str">
            <v>451481/CO</v>
          </cell>
          <cell r="C279" t="str">
            <v>UA05</v>
          </cell>
          <cell r="T279">
            <v>0</v>
          </cell>
          <cell r="Z279">
            <v>17500</v>
          </cell>
          <cell r="AJ279">
            <v>0</v>
          </cell>
          <cell r="AL279" t="e">
            <v>#N/A</v>
          </cell>
          <cell r="AM279" t="e">
            <v>#N/A</v>
          </cell>
          <cell r="AN279" t="e">
            <v>#N/A</v>
          </cell>
          <cell r="AO279" t="e">
            <v>#N/A</v>
          </cell>
          <cell r="AP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3.5</v>
          </cell>
          <cell r="AV279">
            <v>1.7320508075688772</v>
          </cell>
          <cell r="AX279">
            <v>0</v>
          </cell>
        </row>
        <row r="280">
          <cell r="A280">
            <v>407099</v>
          </cell>
          <cell r="C280" t="str">
            <v>UA03</v>
          </cell>
          <cell r="T280">
            <v>0</v>
          </cell>
          <cell r="Z280">
            <v>10000</v>
          </cell>
          <cell r="AJ280">
            <v>0</v>
          </cell>
          <cell r="AL280" t="e">
            <v>#N/A</v>
          </cell>
          <cell r="AM280" t="e">
            <v>#N/A</v>
          </cell>
          <cell r="AN280" t="e">
            <v>#N/A</v>
          </cell>
          <cell r="AO280" t="e">
            <v>#N/A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13</v>
          </cell>
          <cell r="AV280">
            <v>0</v>
          </cell>
          <cell r="AX280">
            <v>0</v>
          </cell>
        </row>
        <row r="281">
          <cell r="A281">
            <v>400312</v>
          </cell>
          <cell r="C281" t="str">
            <v>UA01</v>
          </cell>
          <cell r="T281">
            <v>0</v>
          </cell>
          <cell r="Z281">
            <v>5100</v>
          </cell>
          <cell r="AJ281">
            <v>0</v>
          </cell>
          <cell r="AL281" t="e">
            <v>#N/A</v>
          </cell>
          <cell r="AM281" t="e">
            <v>#N/A</v>
          </cell>
          <cell r="AN281" t="e">
            <v>#N/A</v>
          </cell>
          <cell r="AO281" t="e">
            <v>#N/A</v>
          </cell>
          <cell r="AP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15</v>
          </cell>
          <cell r="AV281">
            <v>0</v>
          </cell>
          <cell r="AX281">
            <v>0</v>
          </cell>
        </row>
        <row r="282">
          <cell r="A282">
            <v>400309</v>
          </cell>
          <cell r="C282" t="str">
            <v>UA01</v>
          </cell>
          <cell r="T282">
            <v>0</v>
          </cell>
          <cell r="Z282">
            <v>10500</v>
          </cell>
          <cell r="AJ282">
            <v>0</v>
          </cell>
          <cell r="AL282" t="e">
            <v>#N/A</v>
          </cell>
          <cell r="AM282" t="e">
            <v>#N/A</v>
          </cell>
          <cell r="AN282" t="e">
            <v>#N/A</v>
          </cell>
          <cell r="AO282" t="e">
            <v>#N/A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14</v>
          </cell>
          <cell r="AV282">
            <v>0</v>
          </cell>
          <cell r="AX282">
            <v>0</v>
          </cell>
        </row>
        <row r="283">
          <cell r="A283">
            <v>453643</v>
          </cell>
          <cell r="C283" t="str">
            <v>UA03</v>
          </cell>
          <cell r="T283">
            <v>0</v>
          </cell>
          <cell r="W283">
            <v>2380</v>
          </cell>
          <cell r="Z283">
            <v>5600</v>
          </cell>
          <cell r="AJ283">
            <v>0</v>
          </cell>
          <cell r="AL283" t="e">
            <v>#N/A</v>
          </cell>
          <cell r="AM283" t="e">
            <v>#N/A</v>
          </cell>
          <cell r="AN283" t="e">
            <v>#N/A</v>
          </cell>
          <cell r="AO283" t="e">
            <v>#N/A</v>
          </cell>
          <cell r="AP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14.5</v>
          </cell>
          <cell r="AV283">
            <v>0.70710678118654757</v>
          </cell>
          <cell r="AX283">
            <v>0</v>
          </cell>
        </row>
        <row r="284">
          <cell r="A284">
            <v>411563</v>
          </cell>
          <cell r="C284" t="str">
            <v>UA03</v>
          </cell>
          <cell r="T284">
            <v>0</v>
          </cell>
          <cell r="Z284">
            <v>10000</v>
          </cell>
          <cell r="AJ284">
            <v>0</v>
          </cell>
          <cell r="AL284" t="e">
            <v>#N/A</v>
          </cell>
          <cell r="AM284" t="e">
            <v>#N/A</v>
          </cell>
          <cell r="AN284" t="e">
            <v>#N/A</v>
          </cell>
          <cell r="AO284" t="e">
            <v>#N/A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16</v>
          </cell>
          <cell r="AV284">
            <v>5.6568542494923806</v>
          </cell>
          <cell r="AX284">
            <v>0</v>
          </cell>
        </row>
        <row r="285">
          <cell r="A285">
            <v>412203</v>
          </cell>
          <cell r="C285" t="str">
            <v>UA01</v>
          </cell>
          <cell r="T285">
            <v>0</v>
          </cell>
          <cell r="W285">
            <v>34850</v>
          </cell>
          <cell r="Z285">
            <v>2500</v>
          </cell>
          <cell r="AJ285">
            <v>0</v>
          </cell>
          <cell r="AL285" t="e">
            <v>#N/A</v>
          </cell>
          <cell r="AM285" t="e">
            <v>#N/A</v>
          </cell>
          <cell r="AN285" t="e">
            <v>#N/A</v>
          </cell>
          <cell r="AO285" t="e">
            <v>#N/A</v>
          </cell>
          <cell r="AP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25</v>
          </cell>
          <cell r="AV285">
            <v>4.2426406871192848</v>
          </cell>
          <cell r="AX285">
            <v>0</v>
          </cell>
        </row>
        <row r="286">
          <cell r="A286">
            <v>453645</v>
          </cell>
          <cell r="C286" t="str">
            <v>UA01</v>
          </cell>
          <cell r="T286">
            <v>0</v>
          </cell>
          <cell r="W286">
            <v>28100</v>
          </cell>
          <cell r="Z286">
            <v>5000</v>
          </cell>
          <cell r="AJ286">
            <v>0</v>
          </cell>
          <cell r="AL286" t="e">
            <v>#N/A</v>
          </cell>
          <cell r="AM286" t="e">
            <v>#N/A</v>
          </cell>
          <cell r="AN286" t="e">
            <v>#N/A</v>
          </cell>
          <cell r="AO286" t="e">
            <v>#N/A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16.5</v>
          </cell>
          <cell r="AV286">
            <v>2.1213203435596424</v>
          </cell>
          <cell r="AX286">
            <v>0</v>
          </cell>
        </row>
        <row r="287">
          <cell r="A287" t="str">
            <v>451700A</v>
          </cell>
          <cell r="C287" t="str">
            <v>UA03</v>
          </cell>
          <cell r="T287">
            <v>0</v>
          </cell>
          <cell r="W287">
            <v>3500</v>
          </cell>
          <cell r="Z287">
            <v>8000</v>
          </cell>
          <cell r="AJ287">
            <v>0</v>
          </cell>
          <cell r="AL287" t="e">
            <v>#N/A</v>
          </cell>
          <cell r="AM287" t="e">
            <v>#N/A</v>
          </cell>
          <cell r="AN287" t="e">
            <v>#N/A</v>
          </cell>
          <cell r="AO287" t="e">
            <v>#N/A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12</v>
          </cell>
          <cell r="AV287">
            <v>1.4142135623730951</v>
          </cell>
          <cell r="AX287">
            <v>0</v>
          </cell>
        </row>
        <row r="288">
          <cell r="A288" t="str">
            <v>404004A</v>
          </cell>
          <cell r="C288" t="str">
            <v>UA02</v>
          </cell>
          <cell r="T288">
            <v>0</v>
          </cell>
          <cell r="Z288">
            <v>10000</v>
          </cell>
          <cell r="AJ288">
            <v>0</v>
          </cell>
          <cell r="AL288" t="e">
            <v>#N/A</v>
          </cell>
          <cell r="AM288" t="e">
            <v>#N/A</v>
          </cell>
          <cell r="AN288" t="e">
            <v>#N/A</v>
          </cell>
          <cell r="AO288" t="e">
            <v>#N/A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10</v>
          </cell>
          <cell r="AV288">
            <v>0</v>
          </cell>
          <cell r="AX288">
            <v>0</v>
          </cell>
        </row>
        <row r="289">
          <cell r="A289">
            <v>413253</v>
          </cell>
          <cell r="C289" t="str">
            <v>UA01</v>
          </cell>
          <cell r="T289">
            <v>0</v>
          </cell>
          <cell r="W289">
            <v>40000</v>
          </cell>
          <cell r="Z289">
            <v>4000</v>
          </cell>
          <cell r="AJ289">
            <v>0</v>
          </cell>
          <cell r="AL289" t="e">
            <v>#N/A</v>
          </cell>
          <cell r="AM289" t="e">
            <v>#N/A</v>
          </cell>
          <cell r="AN289" t="e">
            <v>#N/A</v>
          </cell>
          <cell r="AO289" t="e">
            <v>#N/A</v>
          </cell>
          <cell r="AP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12.571428571428571</v>
          </cell>
          <cell r="AV289">
            <v>1.3972762620115438</v>
          </cell>
          <cell r="AX289">
            <v>0</v>
          </cell>
        </row>
        <row r="290">
          <cell r="A290" t="str">
            <v>451860IA</v>
          </cell>
          <cell r="C290" t="str">
            <v>UA01</v>
          </cell>
          <cell r="T290">
            <v>0</v>
          </cell>
          <cell r="Z290">
            <v>20160</v>
          </cell>
          <cell r="AJ290">
            <v>0</v>
          </cell>
          <cell r="AL290" t="e">
            <v>#N/A</v>
          </cell>
          <cell r="AM290" t="e">
            <v>#N/A</v>
          </cell>
          <cell r="AN290" t="e">
            <v>#N/A</v>
          </cell>
          <cell r="AO290" t="e">
            <v>#N/A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11.551724137931034</v>
          </cell>
          <cell r="AV290">
            <v>2.131166798066793</v>
          </cell>
          <cell r="AX290">
            <v>0</v>
          </cell>
        </row>
        <row r="291">
          <cell r="A291">
            <v>407542</v>
          </cell>
          <cell r="C291" t="str">
            <v>UA03</v>
          </cell>
          <cell r="T291">
            <v>0</v>
          </cell>
          <cell r="Z291">
            <v>10000</v>
          </cell>
          <cell r="AJ291">
            <v>0</v>
          </cell>
          <cell r="AL291" t="e">
            <v>#N/A</v>
          </cell>
          <cell r="AM291" t="e">
            <v>#N/A</v>
          </cell>
          <cell r="AN291" t="e">
            <v>#N/A</v>
          </cell>
          <cell r="AO291" t="e">
            <v>#N/A</v>
          </cell>
          <cell r="AP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25.5</v>
          </cell>
          <cell r="AV291">
            <v>13.435028842544403</v>
          </cell>
          <cell r="AX291">
            <v>0</v>
          </cell>
        </row>
        <row r="292">
          <cell r="A292" t="str">
            <v>451570P</v>
          </cell>
          <cell r="C292" t="str">
            <v>UA01</v>
          </cell>
          <cell r="T292">
            <v>0</v>
          </cell>
          <cell r="W292">
            <v>11700</v>
          </cell>
          <cell r="Z292">
            <v>8100</v>
          </cell>
          <cell r="AJ292">
            <v>0</v>
          </cell>
          <cell r="AL292" t="e">
            <v>#N/A</v>
          </cell>
          <cell r="AM292" t="e">
            <v>#N/A</v>
          </cell>
          <cell r="AN292" t="e">
            <v>#N/A</v>
          </cell>
          <cell r="AO292" t="e">
            <v>#N/A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17</v>
          </cell>
          <cell r="AV292">
            <v>2.8284271247461903</v>
          </cell>
          <cell r="AX292">
            <v>0</v>
          </cell>
        </row>
        <row r="293">
          <cell r="A293">
            <v>451384</v>
          </cell>
          <cell r="C293" t="str">
            <v>UA01</v>
          </cell>
          <cell r="T293">
            <v>0</v>
          </cell>
          <cell r="W293">
            <v>37500</v>
          </cell>
          <cell r="Z293">
            <v>12500</v>
          </cell>
          <cell r="AJ293">
            <v>0</v>
          </cell>
          <cell r="AL293" t="e">
            <v>#N/A</v>
          </cell>
          <cell r="AM293" t="e">
            <v>#N/A</v>
          </cell>
          <cell r="AN293" t="e">
            <v>#N/A</v>
          </cell>
          <cell r="AO293" t="e">
            <v>#N/A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29</v>
          </cell>
          <cell r="AV293">
            <v>0</v>
          </cell>
          <cell r="AX293">
            <v>0</v>
          </cell>
        </row>
        <row r="294">
          <cell r="A294">
            <v>451516</v>
          </cell>
          <cell r="C294" t="str">
            <v>UA03</v>
          </cell>
          <cell r="T294">
            <v>0</v>
          </cell>
          <cell r="Z294">
            <v>1200</v>
          </cell>
          <cell r="AJ294">
            <v>0</v>
          </cell>
          <cell r="AL294" t="e">
            <v>#N/A</v>
          </cell>
          <cell r="AM294" t="e">
            <v>#N/A</v>
          </cell>
          <cell r="AN294" t="e">
            <v>#N/A</v>
          </cell>
          <cell r="AO294" t="e">
            <v>#N/A</v>
          </cell>
          <cell r="AP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15</v>
          </cell>
          <cell r="AV294">
            <v>0</v>
          </cell>
          <cell r="AX294">
            <v>0</v>
          </cell>
        </row>
        <row r="295">
          <cell r="A295" t="str">
            <v>404670A</v>
          </cell>
          <cell r="C295" t="str">
            <v>UA03</v>
          </cell>
          <cell r="T295">
            <v>0</v>
          </cell>
          <cell r="Z295">
            <v>2000</v>
          </cell>
          <cell r="AJ295">
            <v>0</v>
          </cell>
          <cell r="AL295" t="e">
            <v>#N/A</v>
          </cell>
          <cell r="AM295" t="e">
            <v>#N/A</v>
          </cell>
          <cell r="AN295" t="e">
            <v>#N/A</v>
          </cell>
          <cell r="AO295" t="e">
            <v>#N/A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28</v>
          </cell>
          <cell r="AV295">
            <v>6.3639610306789276</v>
          </cell>
          <cell r="AX295">
            <v>0</v>
          </cell>
        </row>
        <row r="296">
          <cell r="A296">
            <v>450940</v>
          </cell>
          <cell r="C296" t="str">
            <v>UA02</v>
          </cell>
          <cell r="T296">
            <v>0</v>
          </cell>
          <cell r="W296">
            <v>65700</v>
          </cell>
          <cell r="Z296">
            <v>20000</v>
          </cell>
          <cell r="AJ296">
            <v>0</v>
          </cell>
          <cell r="AL296" t="e">
            <v>#N/A</v>
          </cell>
          <cell r="AM296" t="e">
            <v>#N/A</v>
          </cell>
          <cell r="AN296" t="e">
            <v>#N/A</v>
          </cell>
          <cell r="AO296" t="e">
            <v>#N/A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27</v>
          </cell>
          <cell r="AV296">
            <v>0</v>
          </cell>
          <cell r="AX296">
            <v>0</v>
          </cell>
        </row>
        <row r="297">
          <cell r="A297">
            <v>452017</v>
          </cell>
          <cell r="C297" t="str">
            <v>UA02</v>
          </cell>
          <cell r="T297">
            <v>0</v>
          </cell>
          <cell r="W297">
            <v>115800</v>
          </cell>
          <cell r="Z297">
            <v>50000</v>
          </cell>
          <cell r="AJ297">
            <v>0</v>
          </cell>
          <cell r="AL297" t="e">
            <v>#N/A</v>
          </cell>
          <cell r="AM297" t="e">
            <v>#N/A</v>
          </cell>
          <cell r="AN297" t="e">
            <v>#N/A</v>
          </cell>
          <cell r="AO297" t="e">
            <v>#N/A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33.5</v>
          </cell>
          <cell r="AV297">
            <v>4.9497474683058327</v>
          </cell>
          <cell r="AX297">
            <v>0</v>
          </cell>
        </row>
      </sheetData>
      <sheetData sheetId="11"/>
      <sheetData sheetId="12">
        <row r="11">
          <cell r="BG11">
            <v>109</v>
          </cell>
        </row>
        <row r="12">
          <cell r="BG12">
            <v>122</v>
          </cell>
        </row>
        <row r="13">
          <cell r="BG13">
            <v>124</v>
          </cell>
        </row>
        <row r="14">
          <cell r="BG14">
            <v>125</v>
          </cell>
        </row>
        <row r="15">
          <cell r="BG15">
            <v>127</v>
          </cell>
        </row>
        <row r="16">
          <cell r="M16">
            <v>75</v>
          </cell>
          <cell r="S16" t="str">
            <v>ENERO</v>
          </cell>
          <cell r="BG16">
            <v>136</v>
          </cell>
        </row>
        <row r="17">
          <cell r="BG17">
            <v>139</v>
          </cell>
        </row>
        <row r="18">
          <cell r="S18" t="str">
            <v>FEBRERO</v>
          </cell>
          <cell r="BG18">
            <v>142</v>
          </cell>
        </row>
        <row r="19">
          <cell r="BG19">
            <v>207</v>
          </cell>
        </row>
        <row r="20">
          <cell r="S20" t="str">
            <v>MARZO</v>
          </cell>
          <cell r="BG20">
            <v>210</v>
          </cell>
        </row>
        <row r="21">
          <cell r="BG21">
            <v>211</v>
          </cell>
        </row>
        <row r="22">
          <cell r="S22" t="str">
            <v>ABRIL</v>
          </cell>
          <cell r="BG22">
            <v>212</v>
          </cell>
        </row>
        <row r="23">
          <cell r="BG23">
            <v>213</v>
          </cell>
        </row>
        <row r="24">
          <cell r="S24" t="str">
            <v>MAYO</v>
          </cell>
          <cell r="BG24">
            <v>214</v>
          </cell>
        </row>
        <row r="25">
          <cell r="K25" t="str">
            <v>UA01</v>
          </cell>
          <cell r="M25">
            <v>20</v>
          </cell>
          <cell r="BG25">
            <v>215</v>
          </cell>
        </row>
        <row r="26">
          <cell r="S26" t="str">
            <v>JUNIO</v>
          </cell>
          <cell r="BG26">
            <v>216</v>
          </cell>
        </row>
        <row r="27">
          <cell r="K27" t="str">
            <v>UA02</v>
          </cell>
          <cell r="M27">
            <v>20</v>
          </cell>
          <cell r="BG27">
            <v>217</v>
          </cell>
        </row>
        <row r="28">
          <cell r="S28" t="str">
            <v>JULIO</v>
          </cell>
          <cell r="BG28">
            <v>221</v>
          </cell>
        </row>
        <row r="29">
          <cell r="K29" t="str">
            <v>UA03</v>
          </cell>
          <cell r="M29">
            <v>20</v>
          </cell>
          <cell r="BG29">
            <v>256</v>
          </cell>
        </row>
        <row r="30">
          <cell r="S30" t="str">
            <v>AGOSTO</v>
          </cell>
          <cell r="BG30">
            <v>257</v>
          </cell>
        </row>
        <row r="31">
          <cell r="BG31">
            <v>258</v>
          </cell>
        </row>
        <row r="32">
          <cell r="S32" t="str">
            <v>SEPTIEMBRE</v>
          </cell>
          <cell r="Y32">
            <v>18</v>
          </cell>
          <cell r="BG32">
            <v>260</v>
          </cell>
        </row>
        <row r="33">
          <cell r="K33" t="str">
            <v>UA04</v>
          </cell>
          <cell r="M33">
            <v>1</v>
          </cell>
          <cell r="BG33">
            <v>261</v>
          </cell>
        </row>
        <row r="34">
          <cell r="S34" t="str">
            <v>OCTUBRE</v>
          </cell>
          <cell r="Y34">
            <v>23</v>
          </cell>
          <cell r="BG34">
            <v>262</v>
          </cell>
        </row>
        <row r="35">
          <cell r="K35" t="str">
            <v>UA05</v>
          </cell>
          <cell r="M35">
            <v>1</v>
          </cell>
          <cell r="BG35">
            <v>265</v>
          </cell>
        </row>
        <row r="36">
          <cell r="S36" t="str">
            <v>NOVIEMBRE</v>
          </cell>
          <cell r="Y36">
            <v>20</v>
          </cell>
          <cell r="BG36">
            <v>266</v>
          </cell>
        </row>
        <row r="37">
          <cell r="K37" t="str">
            <v>UA07</v>
          </cell>
          <cell r="M37">
            <v>1</v>
          </cell>
          <cell r="BG37">
            <v>270</v>
          </cell>
        </row>
        <row r="38">
          <cell r="S38" t="str">
            <v>DICIEMBRE</v>
          </cell>
          <cell r="Y38">
            <v>14</v>
          </cell>
          <cell r="BG38">
            <v>280</v>
          </cell>
        </row>
        <row r="39">
          <cell r="K39" t="str">
            <v>UA08</v>
          </cell>
          <cell r="M39">
            <v>1</v>
          </cell>
          <cell r="BG39">
            <v>281</v>
          </cell>
        </row>
        <row r="40">
          <cell r="BG40">
            <v>282</v>
          </cell>
        </row>
        <row r="41">
          <cell r="K41" t="str">
            <v>UA06</v>
          </cell>
          <cell r="M41">
            <v>1</v>
          </cell>
          <cell r="BG41">
            <v>401</v>
          </cell>
        </row>
        <row r="42">
          <cell r="BG42">
            <v>405</v>
          </cell>
        </row>
        <row r="43">
          <cell r="BG43">
            <v>406</v>
          </cell>
        </row>
        <row r="44">
          <cell r="BG44">
            <v>407</v>
          </cell>
        </row>
        <row r="45">
          <cell r="BG45">
            <v>409</v>
          </cell>
        </row>
        <row r="46">
          <cell r="BG46">
            <v>412</v>
          </cell>
        </row>
        <row r="47">
          <cell r="BG47">
            <v>417</v>
          </cell>
        </row>
        <row r="48">
          <cell r="X48">
            <v>1.2</v>
          </cell>
          <cell r="BG48">
            <v>452</v>
          </cell>
        </row>
        <row r="49">
          <cell r="BG49">
            <v>454</v>
          </cell>
        </row>
        <row r="50">
          <cell r="BG50">
            <v>455</v>
          </cell>
        </row>
        <row r="51">
          <cell r="BG51">
            <v>456</v>
          </cell>
        </row>
        <row r="52">
          <cell r="BG52">
            <v>457</v>
          </cell>
        </row>
        <row r="53">
          <cell r="BG53">
            <v>458</v>
          </cell>
        </row>
        <row r="54">
          <cell r="BG54">
            <v>500</v>
          </cell>
        </row>
        <row r="55">
          <cell r="BG55">
            <v>501</v>
          </cell>
        </row>
        <row r="56">
          <cell r="BG56">
            <v>502</v>
          </cell>
        </row>
        <row r="57">
          <cell r="BG57">
            <v>504</v>
          </cell>
        </row>
        <row r="58">
          <cell r="BG58">
            <v>505</v>
          </cell>
        </row>
        <row r="59">
          <cell r="BG59">
            <v>506</v>
          </cell>
        </row>
        <row r="60">
          <cell r="BG60">
            <v>507</v>
          </cell>
        </row>
        <row r="61">
          <cell r="BG61">
            <v>509</v>
          </cell>
        </row>
        <row r="62">
          <cell r="BG62">
            <v>520</v>
          </cell>
        </row>
        <row r="63">
          <cell r="BG63">
            <v>521</v>
          </cell>
        </row>
        <row r="64">
          <cell r="BG64">
            <v>522</v>
          </cell>
        </row>
        <row r="65">
          <cell r="BG65">
            <v>523</v>
          </cell>
        </row>
        <row r="66">
          <cell r="BG66">
            <v>550</v>
          </cell>
        </row>
        <row r="67">
          <cell r="BG67">
            <v>655</v>
          </cell>
        </row>
        <row r="68">
          <cell r="BG68">
            <v>670</v>
          </cell>
        </row>
        <row r="69">
          <cell r="BG69">
            <v>700</v>
          </cell>
        </row>
        <row r="70">
          <cell r="BG70">
            <v>701</v>
          </cell>
        </row>
        <row r="71">
          <cell r="BG71">
            <v>724</v>
          </cell>
        </row>
        <row r="72">
          <cell r="BG72">
            <v>728</v>
          </cell>
        </row>
        <row r="73">
          <cell r="BG73">
            <v>750</v>
          </cell>
        </row>
        <row r="74">
          <cell r="BG74">
            <v>774</v>
          </cell>
        </row>
        <row r="75">
          <cell r="BG75">
            <v>775</v>
          </cell>
        </row>
        <row r="76">
          <cell r="BG76">
            <v>776</v>
          </cell>
        </row>
        <row r="77">
          <cell r="BG77">
            <v>777</v>
          </cell>
        </row>
        <row r="78">
          <cell r="BG78">
            <v>780</v>
          </cell>
        </row>
        <row r="79">
          <cell r="P79" t="str">
            <v>C14N/FONDO</v>
          </cell>
          <cell r="BG79">
            <v>781</v>
          </cell>
        </row>
        <row r="80">
          <cell r="M80">
            <v>1500</v>
          </cell>
          <cell r="P80" t="str">
            <v>C14NB/FOND</v>
          </cell>
          <cell r="BG80">
            <v>782</v>
          </cell>
        </row>
        <row r="81">
          <cell r="P81" t="str">
            <v>C40/CAJA</v>
          </cell>
          <cell r="BG81">
            <v>783</v>
          </cell>
        </row>
        <row r="82">
          <cell r="P82" t="str">
            <v>E15</v>
          </cell>
          <cell r="BG82">
            <v>790</v>
          </cell>
        </row>
        <row r="83">
          <cell r="P83" t="str">
            <v>E12</v>
          </cell>
          <cell r="BG83">
            <v>793</v>
          </cell>
        </row>
        <row r="84">
          <cell r="P84" t="str">
            <v>4314KLT152</v>
          </cell>
          <cell r="BG84">
            <v>794</v>
          </cell>
        </row>
        <row r="85">
          <cell r="P85" t="str">
            <v>E14</v>
          </cell>
          <cell r="BG85">
            <v>795</v>
          </cell>
        </row>
        <row r="86">
          <cell r="M86">
            <v>4</v>
          </cell>
          <cell r="P86" t="str">
            <v>E14R</v>
          </cell>
          <cell r="BG86">
            <v>797</v>
          </cell>
        </row>
        <row r="87">
          <cell r="P87" t="str">
            <v>E15/VI</v>
          </cell>
          <cell r="BG87">
            <v>798</v>
          </cell>
        </row>
        <row r="88">
          <cell r="P88" t="str">
            <v>E16</v>
          </cell>
          <cell r="BG88">
            <v>799</v>
          </cell>
        </row>
        <row r="89">
          <cell r="M89">
            <v>2</v>
          </cell>
          <cell r="P89" t="str">
            <v>ILPEA</v>
          </cell>
          <cell r="BG89">
            <v>896</v>
          </cell>
        </row>
        <row r="90">
          <cell r="P90" t="str">
            <v>4314KLT1618</v>
          </cell>
          <cell r="BG90">
            <v>897</v>
          </cell>
        </row>
        <row r="91">
          <cell r="P91" t="str">
            <v>4314KLT1520</v>
          </cell>
          <cell r="BG91">
            <v>898</v>
          </cell>
        </row>
        <row r="92">
          <cell r="M92">
            <v>0.5</v>
          </cell>
          <cell r="P92" t="str">
            <v>E14/VI</v>
          </cell>
          <cell r="BG92">
            <v>899</v>
          </cell>
        </row>
        <row r="93">
          <cell r="P93" t="str">
            <v>E122</v>
          </cell>
          <cell r="BG93">
            <v>901</v>
          </cell>
        </row>
        <row r="94">
          <cell r="P94" t="str">
            <v>CAJAPALETBMW</v>
          </cell>
          <cell r="BG94">
            <v>902</v>
          </cell>
        </row>
        <row r="95">
          <cell r="M95">
            <v>0.05</v>
          </cell>
          <cell r="BG95">
            <v>903</v>
          </cell>
        </row>
        <row r="96">
          <cell r="BG96">
            <v>904</v>
          </cell>
        </row>
        <row r="97">
          <cell r="BG97">
            <v>906</v>
          </cell>
        </row>
        <row r="98">
          <cell r="M98">
            <v>2.4E-2</v>
          </cell>
          <cell r="BG98">
            <v>907</v>
          </cell>
        </row>
        <row r="99">
          <cell r="BG99">
            <v>908</v>
          </cell>
        </row>
        <row r="100">
          <cell r="BG100">
            <v>909</v>
          </cell>
        </row>
        <row r="101">
          <cell r="BG101">
            <v>910</v>
          </cell>
        </row>
        <row r="102">
          <cell r="BG102">
            <v>911</v>
          </cell>
        </row>
        <row r="103">
          <cell r="BG103">
            <v>912</v>
          </cell>
        </row>
        <row r="104">
          <cell r="BG104">
            <v>913</v>
          </cell>
        </row>
        <row r="105">
          <cell r="BG105">
            <v>914</v>
          </cell>
        </row>
        <row r="106">
          <cell r="BG106">
            <v>915</v>
          </cell>
        </row>
        <row r="107">
          <cell r="BG107">
            <v>916</v>
          </cell>
        </row>
        <row r="108">
          <cell r="BG108">
            <v>917</v>
          </cell>
        </row>
        <row r="109">
          <cell r="BG109">
            <v>918</v>
          </cell>
        </row>
        <row r="110">
          <cell r="M110">
            <v>2</v>
          </cell>
          <cell r="BG110">
            <v>920</v>
          </cell>
        </row>
        <row r="111">
          <cell r="BG111">
            <v>2700</v>
          </cell>
        </row>
        <row r="112">
          <cell r="BG112">
            <v>3600</v>
          </cell>
        </row>
        <row r="113">
          <cell r="BG113">
            <v>3601</v>
          </cell>
        </row>
        <row r="114">
          <cell r="BG114">
            <v>8001</v>
          </cell>
        </row>
        <row r="115">
          <cell r="BG115">
            <v>10014</v>
          </cell>
        </row>
        <row r="116">
          <cell r="BG116">
            <v>10199</v>
          </cell>
        </row>
        <row r="117">
          <cell r="BG117">
            <v>10258</v>
          </cell>
        </row>
        <row r="118">
          <cell r="BG118">
            <v>10405</v>
          </cell>
        </row>
        <row r="119">
          <cell r="BG119">
            <v>10413</v>
          </cell>
        </row>
        <row r="120">
          <cell r="BG120">
            <v>10662</v>
          </cell>
        </row>
        <row r="121">
          <cell r="BG121">
            <v>10666</v>
          </cell>
        </row>
        <row r="122">
          <cell r="BG122">
            <v>10798</v>
          </cell>
        </row>
        <row r="123">
          <cell r="BG123">
            <v>11005</v>
          </cell>
        </row>
        <row r="124">
          <cell r="BG124">
            <v>20014</v>
          </cell>
        </row>
        <row r="125">
          <cell r="BG125">
            <v>20405</v>
          </cell>
        </row>
        <row r="126">
          <cell r="BG126">
            <v>20725</v>
          </cell>
        </row>
        <row r="127">
          <cell r="BG127">
            <v>21005</v>
          </cell>
        </row>
        <row r="128">
          <cell r="BG128">
            <v>30014</v>
          </cell>
        </row>
        <row r="129">
          <cell r="BG129">
            <v>30405</v>
          </cell>
        </row>
        <row r="130">
          <cell r="BG130">
            <v>31002</v>
          </cell>
        </row>
        <row r="131">
          <cell r="BG131">
            <v>31003</v>
          </cell>
        </row>
        <row r="132">
          <cell r="BG132">
            <v>31005</v>
          </cell>
        </row>
        <row r="133">
          <cell r="BG133">
            <v>31568</v>
          </cell>
        </row>
        <row r="134">
          <cell r="BG134">
            <v>31660</v>
          </cell>
        </row>
        <row r="135">
          <cell r="BG135">
            <v>40014</v>
          </cell>
        </row>
        <row r="136">
          <cell r="BG136">
            <v>40405</v>
          </cell>
        </row>
        <row r="137">
          <cell r="BG137">
            <v>41002</v>
          </cell>
        </row>
        <row r="138">
          <cell r="BG138">
            <v>41003</v>
          </cell>
        </row>
        <row r="139">
          <cell r="BG139">
            <v>41005</v>
          </cell>
        </row>
        <row r="140">
          <cell r="BG140">
            <v>41006</v>
          </cell>
        </row>
        <row r="141">
          <cell r="BG141">
            <v>50014</v>
          </cell>
        </row>
        <row r="142">
          <cell r="BG142">
            <v>50616</v>
          </cell>
        </row>
        <row r="143">
          <cell r="BG143">
            <v>60219</v>
          </cell>
        </row>
        <row r="144">
          <cell r="BG144">
            <v>60305</v>
          </cell>
        </row>
        <row r="145">
          <cell r="BG145">
            <v>60311</v>
          </cell>
        </row>
        <row r="146">
          <cell r="BG146">
            <v>60392</v>
          </cell>
        </row>
        <row r="147">
          <cell r="BG147">
            <v>60661</v>
          </cell>
        </row>
        <row r="148">
          <cell r="BG148">
            <v>60824</v>
          </cell>
        </row>
        <row r="149">
          <cell r="BG149">
            <v>60825</v>
          </cell>
        </row>
        <row r="150">
          <cell r="BG150">
            <v>66614</v>
          </cell>
        </row>
        <row r="151">
          <cell r="BG151">
            <v>66662</v>
          </cell>
        </row>
        <row r="152">
          <cell r="BG152">
            <v>67663</v>
          </cell>
        </row>
        <row r="153">
          <cell r="BG153">
            <v>68664</v>
          </cell>
        </row>
        <row r="154">
          <cell r="BG154">
            <v>69665</v>
          </cell>
        </row>
        <row r="155">
          <cell r="BG155">
            <v>70258</v>
          </cell>
        </row>
        <row r="156">
          <cell r="BG156">
            <v>81012</v>
          </cell>
        </row>
        <row r="157">
          <cell r="BG157">
            <v>90000</v>
          </cell>
        </row>
        <row r="158">
          <cell r="BG158">
            <v>90014</v>
          </cell>
        </row>
        <row r="159">
          <cell r="BG159">
            <v>90288</v>
          </cell>
        </row>
        <row r="160">
          <cell r="K160" t="str">
            <v>MTOMTS</v>
          </cell>
          <cell r="N160" t="str">
            <v>MTS</v>
          </cell>
          <cell r="BG160">
            <v>90798</v>
          </cell>
        </row>
        <row r="161">
          <cell r="H161">
            <v>0.5</v>
          </cell>
          <cell r="K161" t="str">
            <v>MTSMTS</v>
          </cell>
          <cell r="N161" t="str">
            <v>MTS</v>
          </cell>
          <cell r="BG161">
            <v>91144</v>
          </cell>
        </row>
        <row r="162">
          <cell r="K162" t="str">
            <v>MTOSMTS</v>
          </cell>
          <cell r="N162" t="str">
            <v>MTS</v>
          </cell>
          <cell r="BG162">
            <v>91160</v>
          </cell>
        </row>
        <row r="163">
          <cell r="G163">
            <v>0.75</v>
          </cell>
          <cell r="K163" t="str">
            <v>MTOMTO</v>
          </cell>
          <cell r="N163" t="str">
            <v>MTO</v>
          </cell>
          <cell r="BG163">
            <v>91170</v>
          </cell>
        </row>
        <row r="164">
          <cell r="K164" t="str">
            <v>MTOSMTO</v>
          </cell>
          <cell r="N164" t="str">
            <v>MTO</v>
          </cell>
          <cell r="BG164">
            <v>91190</v>
          </cell>
        </row>
        <row r="165">
          <cell r="K165" t="str">
            <v>MTSMTO</v>
          </cell>
          <cell r="N165" t="str">
            <v>MTS</v>
          </cell>
          <cell r="BG165">
            <v>101196</v>
          </cell>
        </row>
        <row r="166">
          <cell r="K166" t="str">
            <v>MTSMTOS</v>
          </cell>
          <cell r="N166" t="str">
            <v>MTS</v>
          </cell>
          <cell r="BG166">
            <v>101200</v>
          </cell>
        </row>
        <row r="167">
          <cell r="K167" t="str">
            <v>MTOSMTOS</v>
          </cell>
          <cell r="N167" t="str">
            <v>MTS</v>
          </cell>
          <cell r="BG167">
            <v>101236</v>
          </cell>
        </row>
        <row r="168">
          <cell r="H168">
            <v>1.1000000000000001</v>
          </cell>
          <cell r="K168" t="str">
            <v>MTOMTOS</v>
          </cell>
          <cell r="N168" t="str">
            <v>MTO</v>
          </cell>
          <cell r="BG168">
            <v>101360</v>
          </cell>
        </row>
        <row r="169">
          <cell r="BG169">
            <v>101465</v>
          </cell>
        </row>
        <row r="170">
          <cell r="G170">
            <v>1.2</v>
          </cell>
          <cell r="BG170">
            <v>101479</v>
          </cell>
        </row>
        <row r="171">
          <cell r="BG171">
            <v>101798</v>
          </cell>
        </row>
        <row r="172">
          <cell r="BG172">
            <v>121236</v>
          </cell>
        </row>
        <row r="173">
          <cell r="BG173">
            <v>121286</v>
          </cell>
        </row>
        <row r="174">
          <cell r="BG174">
            <v>121337</v>
          </cell>
        </row>
        <row r="175">
          <cell r="BG175">
            <v>121921</v>
          </cell>
        </row>
        <row r="176">
          <cell r="BG176">
            <v>131236</v>
          </cell>
        </row>
        <row r="177">
          <cell r="BG177">
            <v>201339</v>
          </cell>
        </row>
        <row r="178">
          <cell r="BG178">
            <v>201482</v>
          </cell>
        </row>
        <row r="179">
          <cell r="F179">
            <v>451811</v>
          </cell>
          <cell r="I179">
            <v>407518</v>
          </cell>
          <cell r="J179">
            <v>160000</v>
          </cell>
          <cell r="BG179">
            <v>201559</v>
          </cell>
        </row>
        <row r="180">
          <cell r="F180">
            <v>453298</v>
          </cell>
          <cell r="BG180">
            <v>201921</v>
          </cell>
        </row>
        <row r="181">
          <cell r="F181">
            <v>453526</v>
          </cell>
          <cell r="BG181">
            <v>405314</v>
          </cell>
        </row>
        <row r="182">
          <cell r="F182" t="str">
            <v>402336A</v>
          </cell>
          <cell r="BG182">
            <v>651407</v>
          </cell>
        </row>
        <row r="183">
          <cell r="F183" t="str">
            <v>452667C</v>
          </cell>
          <cell r="BG183">
            <v>661196</v>
          </cell>
        </row>
        <row r="184">
          <cell r="F184">
            <v>453074</v>
          </cell>
          <cell r="BG184">
            <v>661335</v>
          </cell>
        </row>
        <row r="185">
          <cell r="F185">
            <v>453257</v>
          </cell>
          <cell r="BG185">
            <v>661337</v>
          </cell>
        </row>
        <row r="186">
          <cell r="F186">
            <v>450829</v>
          </cell>
          <cell r="BG186">
            <v>661640</v>
          </cell>
        </row>
        <row r="187">
          <cell r="F187">
            <v>411490</v>
          </cell>
          <cell r="BG187">
            <v>671197</v>
          </cell>
        </row>
        <row r="188">
          <cell r="F188" t="str">
            <v>421109B</v>
          </cell>
          <cell r="BG188">
            <v>671302</v>
          </cell>
        </row>
        <row r="189">
          <cell r="F189" t="str">
            <v>451860I</v>
          </cell>
          <cell r="BG189">
            <v>671330</v>
          </cell>
        </row>
        <row r="190">
          <cell r="F190" t="str">
            <v>421653L</v>
          </cell>
          <cell r="BG190">
            <v>671340</v>
          </cell>
        </row>
        <row r="191">
          <cell r="F191">
            <v>452108</v>
          </cell>
          <cell r="BG191">
            <v>671361</v>
          </cell>
        </row>
        <row r="192">
          <cell r="F192">
            <v>404003</v>
          </cell>
          <cell r="BG192">
            <v>671523</v>
          </cell>
        </row>
        <row r="193">
          <cell r="F193" t="str">
            <v>451106A</v>
          </cell>
          <cell r="BG193">
            <v>671970</v>
          </cell>
        </row>
        <row r="194">
          <cell r="BG194">
            <v>671993</v>
          </cell>
        </row>
        <row r="195">
          <cell r="BG195">
            <v>681198</v>
          </cell>
        </row>
        <row r="196">
          <cell r="BG196">
            <v>681337</v>
          </cell>
        </row>
        <row r="197">
          <cell r="BG197">
            <v>681379</v>
          </cell>
        </row>
        <row r="198">
          <cell r="BG198">
            <v>691199</v>
          </cell>
        </row>
        <row r="199">
          <cell r="BG199">
            <v>691728</v>
          </cell>
        </row>
        <row r="200">
          <cell r="BG200">
            <v>692030</v>
          </cell>
        </row>
        <row r="201">
          <cell r="BG201">
            <v>701476</v>
          </cell>
        </row>
      </sheetData>
      <sheetData sheetId="13" refreshError="1"/>
      <sheetData sheetId="14">
        <row r="1">
          <cell r="A1" t="str">
            <v>ARTICULO-MÁQUINA</v>
          </cell>
          <cell r="B1" t="str">
            <v>CARGA DE DATOS PBI MÁQUINAS</v>
          </cell>
        </row>
        <row r="3">
          <cell r="B3" t="str">
            <v>ARTÍCULO</v>
          </cell>
          <cell r="C3" t="str">
            <v>MÁQ</v>
          </cell>
          <cell r="D3" t="str">
            <v>PROD. HORARIA</v>
          </cell>
        </row>
        <row r="4">
          <cell r="A4" t="str">
            <v>400208142</v>
          </cell>
          <cell r="B4">
            <v>400208</v>
          </cell>
          <cell r="C4">
            <v>142</v>
          </cell>
          <cell r="D4">
            <v>8000</v>
          </cell>
        </row>
        <row r="5">
          <cell r="A5" t="str">
            <v>400208798</v>
          </cell>
          <cell r="B5">
            <v>400208</v>
          </cell>
          <cell r="C5">
            <v>798</v>
          </cell>
          <cell r="D5">
            <v>8000</v>
          </cell>
        </row>
        <row r="6">
          <cell r="A6" t="str">
            <v>400208910</v>
          </cell>
          <cell r="B6">
            <v>400208</v>
          </cell>
          <cell r="C6">
            <v>910</v>
          </cell>
          <cell r="D6">
            <v>8000</v>
          </cell>
        </row>
        <row r="7">
          <cell r="A7" t="str">
            <v>4002082700</v>
          </cell>
          <cell r="B7">
            <v>400208</v>
          </cell>
          <cell r="C7">
            <v>2700</v>
          </cell>
          <cell r="D7">
            <v>20000</v>
          </cell>
        </row>
        <row r="8">
          <cell r="A8" t="str">
            <v>400208750</v>
          </cell>
          <cell r="B8">
            <v>400208</v>
          </cell>
          <cell r="C8">
            <v>750</v>
          </cell>
          <cell r="D8">
            <v>5000</v>
          </cell>
        </row>
        <row r="9">
          <cell r="A9" t="str">
            <v>400211142</v>
          </cell>
          <cell r="B9">
            <v>400211</v>
          </cell>
          <cell r="C9">
            <v>142</v>
          </cell>
          <cell r="D9">
            <v>8000</v>
          </cell>
        </row>
        <row r="10">
          <cell r="A10" t="str">
            <v>400211798</v>
          </cell>
          <cell r="B10">
            <v>400211</v>
          </cell>
          <cell r="C10">
            <v>798</v>
          </cell>
          <cell r="D10">
            <v>8000</v>
          </cell>
        </row>
        <row r="11">
          <cell r="A11" t="str">
            <v>400211910</v>
          </cell>
          <cell r="B11">
            <v>400211</v>
          </cell>
          <cell r="C11">
            <v>910</v>
          </cell>
          <cell r="D11">
            <v>8000</v>
          </cell>
        </row>
        <row r="12">
          <cell r="A12" t="str">
            <v>4002112700</v>
          </cell>
          <cell r="B12">
            <v>400211</v>
          </cell>
          <cell r="C12">
            <v>2700</v>
          </cell>
          <cell r="D12">
            <v>20000</v>
          </cell>
        </row>
        <row r="13">
          <cell r="A13" t="str">
            <v>400211750</v>
          </cell>
          <cell r="B13">
            <v>400211</v>
          </cell>
          <cell r="C13">
            <v>750</v>
          </cell>
          <cell r="D13">
            <v>5000</v>
          </cell>
        </row>
        <row r="14">
          <cell r="A14" t="str">
            <v>400213142</v>
          </cell>
          <cell r="B14">
            <v>400213</v>
          </cell>
          <cell r="C14">
            <v>142</v>
          </cell>
          <cell r="D14">
            <v>8000</v>
          </cell>
        </row>
        <row r="15">
          <cell r="A15" t="str">
            <v>400213798</v>
          </cell>
          <cell r="B15">
            <v>400213</v>
          </cell>
          <cell r="C15">
            <v>798</v>
          </cell>
          <cell r="D15">
            <v>8000</v>
          </cell>
        </row>
        <row r="16">
          <cell r="A16" t="str">
            <v>400213910</v>
          </cell>
          <cell r="B16">
            <v>400213</v>
          </cell>
          <cell r="C16">
            <v>910</v>
          </cell>
          <cell r="D16">
            <v>8000</v>
          </cell>
        </row>
        <row r="17">
          <cell r="A17" t="str">
            <v>4002132700</v>
          </cell>
          <cell r="B17">
            <v>400213</v>
          </cell>
          <cell r="C17">
            <v>2700</v>
          </cell>
          <cell r="D17">
            <v>20000</v>
          </cell>
        </row>
        <row r="18">
          <cell r="A18" t="str">
            <v>400213750</v>
          </cell>
          <cell r="B18">
            <v>400213</v>
          </cell>
          <cell r="C18">
            <v>750</v>
          </cell>
          <cell r="D18">
            <v>5000</v>
          </cell>
        </row>
        <row r="19">
          <cell r="A19" t="str">
            <v>400256142</v>
          </cell>
          <cell r="B19">
            <v>400256</v>
          </cell>
          <cell r="C19">
            <v>142</v>
          </cell>
          <cell r="D19">
            <v>15000</v>
          </cell>
        </row>
        <row r="20">
          <cell r="A20" t="str">
            <v>400256911</v>
          </cell>
          <cell r="B20">
            <v>400256</v>
          </cell>
          <cell r="C20">
            <v>911</v>
          </cell>
          <cell r="D20">
            <v>15000</v>
          </cell>
        </row>
        <row r="21">
          <cell r="A21" t="str">
            <v>4002562700</v>
          </cell>
          <cell r="B21">
            <v>400256</v>
          </cell>
          <cell r="C21">
            <v>2700</v>
          </cell>
          <cell r="D21">
            <v>30000</v>
          </cell>
        </row>
        <row r="22">
          <cell r="A22" t="str">
            <v>400256777</v>
          </cell>
          <cell r="B22">
            <v>400256</v>
          </cell>
          <cell r="C22">
            <v>777</v>
          </cell>
          <cell r="D22">
            <v>100000</v>
          </cell>
        </row>
        <row r="23">
          <cell r="A23" t="str">
            <v>400292142</v>
          </cell>
          <cell r="B23">
            <v>400292</v>
          </cell>
          <cell r="C23">
            <v>142</v>
          </cell>
          <cell r="D23">
            <v>8000</v>
          </cell>
        </row>
        <row r="24">
          <cell r="A24" t="str">
            <v>400292798</v>
          </cell>
          <cell r="B24">
            <v>400292</v>
          </cell>
          <cell r="C24">
            <v>798</v>
          </cell>
          <cell r="D24">
            <v>8000</v>
          </cell>
        </row>
        <row r="25">
          <cell r="A25" t="str">
            <v>400292910</v>
          </cell>
          <cell r="B25">
            <v>400292</v>
          </cell>
          <cell r="C25">
            <v>910</v>
          </cell>
          <cell r="D25">
            <v>8000</v>
          </cell>
        </row>
        <row r="26">
          <cell r="A26" t="str">
            <v>4002922700</v>
          </cell>
          <cell r="B26">
            <v>400292</v>
          </cell>
          <cell r="C26">
            <v>2700</v>
          </cell>
          <cell r="D26">
            <v>20000</v>
          </cell>
        </row>
        <row r="27">
          <cell r="A27" t="str">
            <v>400292750</v>
          </cell>
          <cell r="B27">
            <v>400292</v>
          </cell>
          <cell r="C27">
            <v>750</v>
          </cell>
          <cell r="D27">
            <v>5000</v>
          </cell>
        </row>
        <row r="28">
          <cell r="A28" t="str">
            <v>400293142</v>
          </cell>
          <cell r="B28">
            <v>400293</v>
          </cell>
          <cell r="C28">
            <v>142</v>
          </cell>
          <cell r="D28">
            <v>10000</v>
          </cell>
        </row>
        <row r="29">
          <cell r="A29" t="str">
            <v>400293798</v>
          </cell>
          <cell r="B29">
            <v>400293</v>
          </cell>
          <cell r="C29">
            <v>798</v>
          </cell>
          <cell r="D29">
            <v>10000</v>
          </cell>
        </row>
        <row r="30">
          <cell r="A30" t="str">
            <v>400293910</v>
          </cell>
          <cell r="B30">
            <v>400293</v>
          </cell>
          <cell r="C30">
            <v>910</v>
          </cell>
          <cell r="D30">
            <v>10000</v>
          </cell>
        </row>
        <row r="31">
          <cell r="A31" t="str">
            <v>4002932700</v>
          </cell>
          <cell r="B31">
            <v>400293</v>
          </cell>
          <cell r="C31">
            <v>2700</v>
          </cell>
          <cell r="D31">
            <v>20000</v>
          </cell>
        </row>
        <row r="32">
          <cell r="A32" t="str">
            <v>400293750</v>
          </cell>
          <cell r="B32">
            <v>400293</v>
          </cell>
          <cell r="C32">
            <v>750</v>
          </cell>
          <cell r="D32">
            <v>6000</v>
          </cell>
        </row>
        <row r="33">
          <cell r="A33" t="str">
            <v>400296142</v>
          </cell>
          <cell r="B33">
            <v>400296</v>
          </cell>
          <cell r="C33">
            <v>142</v>
          </cell>
          <cell r="D33">
            <v>10000</v>
          </cell>
        </row>
        <row r="34">
          <cell r="A34" t="str">
            <v>400296798</v>
          </cell>
          <cell r="B34">
            <v>400296</v>
          </cell>
          <cell r="C34">
            <v>798</v>
          </cell>
          <cell r="D34">
            <v>10000</v>
          </cell>
        </row>
        <row r="35">
          <cell r="A35" t="str">
            <v>400296910</v>
          </cell>
          <cell r="B35">
            <v>400296</v>
          </cell>
          <cell r="C35">
            <v>910</v>
          </cell>
          <cell r="D35">
            <v>10000</v>
          </cell>
        </row>
        <row r="36">
          <cell r="A36" t="str">
            <v>4002962700</v>
          </cell>
          <cell r="B36">
            <v>400296</v>
          </cell>
          <cell r="C36">
            <v>2700</v>
          </cell>
          <cell r="D36">
            <v>20000</v>
          </cell>
        </row>
        <row r="37">
          <cell r="A37" t="str">
            <v>400296750</v>
          </cell>
          <cell r="B37">
            <v>400296</v>
          </cell>
          <cell r="C37">
            <v>750</v>
          </cell>
          <cell r="D37">
            <v>6000</v>
          </cell>
        </row>
        <row r="38">
          <cell r="A38" t="str">
            <v>400298142</v>
          </cell>
          <cell r="B38">
            <v>400298</v>
          </cell>
          <cell r="C38">
            <v>142</v>
          </cell>
          <cell r="D38">
            <v>10000</v>
          </cell>
        </row>
        <row r="39">
          <cell r="A39" t="str">
            <v>400298798</v>
          </cell>
          <cell r="B39">
            <v>400298</v>
          </cell>
          <cell r="C39">
            <v>798</v>
          </cell>
          <cell r="D39">
            <v>10000</v>
          </cell>
        </row>
        <row r="40">
          <cell r="A40" t="str">
            <v>400298910</v>
          </cell>
          <cell r="B40">
            <v>400298</v>
          </cell>
          <cell r="C40">
            <v>910</v>
          </cell>
          <cell r="D40">
            <v>10000</v>
          </cell>
        </row>
        <row r="41">
          <cell r="A41" t="str">
            <v>4002982700</v>
          </cell>
          <cell r="B41">
            <v>400298</v>
          </cell>
          <cell r="C41">
            <v>2700</v>
          </cell>
          <cell r="D41">
            <v>20000</v>
          </cell>
        </row>
        <row r="42">
          <cell r="A42" t="str">
            <v>400298750</v>
          </cell>
          <cell r="B42">
            <v>400298</v>
          </cell>
          <cell r="C42">
            <v>750</v>
          </cell>
          <cell r="D42">
            <v>5000</v>
          </cell>
        </row>
        <row r="43">
          <cell r="A43" t="str">
            <v>400299142</v>
          </cell>
          <cell r="B43">
            <v>400299</v>
          </cell>
          <cell r="C43">
            <v>142</v>
          </cell>
          <cell r="D43">
            <v>10000</v>
          </cell>
        </row>
        <row r="44">
          <cell r="A44" t="str">
            <v>400299798</v>
          </cell>
          <cell r="B44">
            <v>400299</v>
          </cell>
          <cell r="C44">
            <v>798</v>
          </cell>
          <cell r="D44">
            <v>10000</v>
          </cell>
        </row>
        <row r="45">
          <cell r="A45" t="str">
            <v>400299910</v>
          </cell>
          <cell r="B45">
            <v>400299</v>
          </cell>
          <cell r="C45">
            <v>910</v>
          </cell>
          <cell r="D45">
            <v>10000</v>
          </cell>
        </row>
        <row r="46">
          <cell r="A46" t="str">
            <v>4002992700</v>
          </cell>
          <cell r="B46">
            <v>400299</v>
          </cell>
          <cell r="C46">
            <v>2700</v>
          </cell>
          <cell r="D46">
            <v>15000</v>
          </cell>
        </row>
        <row r="47">
          <cell r="A47" t="str">
            <v>400299750</v>
          </cell>
          <cell r="B47">
            <v>400299</v>
          </cell>
          <cell r="C47">
            <v>750</v>
          </cell>
          <cell r="D47">
            <v>6000</v>
          </cell>
        </row>
        <row r="48">
          <cell r="A48" t="str">
            <v>400301142</v>
          </cell>
          <cell r="B48">
            <v>400301</v>
          </cell>
          <cell r="C48">
            <v>142</v>
          </cell>
          <cell r="D48">
            <v>6000</v>
          </cell>
        </row>
        <row r="49">
          <cell r="A49" t="str">
            <v>400301798</v>
          </cell>
          <cell r="B49">
            <v>400301</v>
          </cell>
          <cell r="C49">
            <v>798</v>
          </cell>
          <cell r="D49">
            <v>6000</v>
          </cell>
        </row>
        <row r="50">
          <cell r="A50" t="str">
            <v>400301910</v>
          </cell>
          <cell r="B50">
            <v>400301</v>
          </cell>
          <cell r="C50">
            <v>910</v>
          </cell>
          <cell r="D50">
            <v>6000</v>
          </cell>
        </row>
        <row r="51">
          <cell r="A51" t="str">
            <v>4003012700</v>
          </cell>
          <cell r="B51">
            <v>400301</v>
          </cell>
          <cell r="C51">
            <v>2700</v>
          </cell>
          <cell r="D51">
            <v>10000</v>
          </cell>
        </row>
        <row r="52">
          <cell r="A52" t="str">
            <v>400301750</v>
          </cell>
          <cell r="B52">
            <v>400301</v>
          </cell>
          <cell r="C52">
            <v>750</v>
          </cell>
          <cell r="D52">
            <v>5000</v>
          </cell>
        </row>
        <row r="53">
          <cell r="A53" t="str">
            <v>400303142</v>
          </cell>
          <cell r="B53">
            <v>400303</v>
          </cell>
          <cell r="C53">
            <v>142</v>
          </cell>
          <cell r="D53">
            <v>6000</v>
          </cell>
        </row>
        <row r="54">
          <cell r="A54" t="str">
            <v>400303798</v>
          </cell>
          <cell r="B54">
            <v>400303</v>
          </cell>
          <cell r="C54">
            <v>798</v>
          </cell>
          <cell r="D54">
            <v>6000</v>
          </cell>
        </row>
        <row r="55">
          <cell r="A55" t="str">
            <v>400303910</v>
          </cell>
          <cell r="B55">
            <v>400303</v>
          </cell>
          <cell r="C55">
            <v>910</v>
          </cell>
          <cell r="D55">
            <v>6000</v>
          </cell>
        </row>
        <row r="56">
          <cell r="A56" t="str">
            <v>4003032700</v>
          </cell>
          <cell r="B56">
            <v>400303</v>
          </cell>
          <cell r="C56">
            <v>2700</v>
          </cell>
          <cell r="D56">
            <v>15000</v>
          </cell>
        </row>
        <row r="57">
          <cell r="A57" t="str">
            <v>400303750</v>
          </cell>
          <cell r="B57">
            <v>400303</v>
          </cell>
          <cell r="C57">
            <v>750</v>
          </cell>
          <cell r="D57">
            <v>6000</v>
          </cell>
        </row>
        <row r="58">
          <cell r="A58" t="str">
            <v>400304142</v>
          </cell>
          <cell r="B58">
            <v>400304</v>
          </cell>
          <cell r="C58">
            <v>142</v>
          </cell>
          <cell r="D58">
            <v>8000</v>
          </cell>
        </row>
        <row r="59">
          <cell r="A59" t="str">
            <v>400304798</v>
          </cell>
          <cell r="B59">
            <v>400304</v>
          </cell>
          <cell r="C59">
            <v>798</v>
          </cell>
          <cell r="D59">
            <v>8000</v>
          </cell>
        </row>
        <row r="60">
          <cell r="A60" t="str">
            <v>400304910</v>
          </cell>
          <cell r="B60">
            <v>400304</v>
          </cell>
          <cell r="C60">
            <v>910</v>
          </cell>
          <cell r="D60">
            <v>8000</v>
          </cell>
        </row>
        <row r="61">
          <cell r="A61" t="str">
            <v>4003042700</v>
          </cell>
          <cell r="B61">
            <v>400304</v>
          </cell>
          <cell r="C61">
            <v>2700</v>
          </cell>
          <cell r="D61">
            <v>15000</v>
          </cell>
        </row>
        <row r="62">
          <cell r="A62" t="str">
            <v>400304750</v>
          </cell>
          <cell r="B62">
            <v>400304</v>
          </cell>
          <cell r="C62">
            <v>750</v>
          </cell>
          <cell r="D62">
            <v>6000</v>
          </cell>
        </row>
        <row r="63">
          <cell r="A63" t="str">
            <v>400309407</v>
          </cell>
          <cell r="B63">
            <v>400309</v>
          </cell>
          <cell r="C63">
            <v>407</v>
          </cell>
          <cell r="D63">
            <v>3000</v>
          </cell>
        </row>
        <row r="64">
          <cell r="A64" t="str">
            <v>400309910</v>
          </cell>
          <cell r="B64">
            <v>400309</v>
          </cell>
          <cell r="C64">
            <v>910</v>
          </cell>
          <cell r="D64">
            <v>3000</v>
          </cell>
        </row>
        <row r="65">
          <cell r="A65" t="str">
            <v>4003092700</v>
          </cell>
          <cell r="B65">
            <v>400309</v>
          </cell>
          <cell r="C65">
            <v>2700</v>
          </cell>
          <cell r="D65">
            <v>12000</v>
          </cell>
        </row>
        <row r="66">
          <cell r="A66" t="str">
            <v>400309777</v>
          </cell>
          <cell r="B66">
            <v>400309</v>
          </cell>
          <cell r="C66">
            <v>777</v>
          </cell>
          <cell r="D66">
            <v>40000</v>
          </cell>
        </row>
        <row r="67">
          <cell r="A67" t="str">
            <v>400311142</v>
          </cell>
          <cell r="B67">
            <v>400311</v>
          </cell>
          <cell r="C67">
            <v>142</v>
          </cell>
          <cell r="D67">
            <v>10000</v>
          </cell>
        </row>
        <row r="68">
          <cell r="A68" t="str">
            <v>400311798</v>
          </cell>
          <cell r="B68">
            <v>400311</v>
          </cell>
          <cell r="C68">
            <v>798</v>
          </cell>
          <cell r="D68">
            <v>10000</v>
          </cell>
        </row>
        <row r="69">
          <cell r="A69" t="str">
            <v>400311910</v>
          </cell>
          <cell r="B69">
            <v>400311</v>
          </cell>
          <cell r="C69">
            <v>910</v>
          </cell>
          <cell r="D69">
            <v>10000</v>
          </cell>
        </row>
        <row r="70">
          <cell r="A70" t="str">
            <v>4003112700</v>
          </cell>
          <cell r="B70">
            <v>400311</v>
          </cell>
          <cell r="C70">
            <v>2700</v>
          </cell>
          <cell r="D70">
            <v>15000</v>
          </cell>
        </row>
        <row r="71">
          <cell r="A71" t="str">
            <v>400311750</v>
          </cell>
          <cell r="B71">
            <v>400311</v>
          </cell>
          <cell r="C71">
            <v>750</v>
          </cell>
          <cell r="D71">
            <v>6000</v>
          </cell>
        </row>
        <row r="72">
          <cell r="A72" t="str">
            <v>400312406</v>
          </cell>
          <cell r="B72">
            <v>400312</v>
          </cell>
          <cell r="C72">
            <v>406</v>
          </cell>
          <cell r="D72">
            <v>4000</v>
          </cell>
        </row>
        <row r="73">
          <cell r="A73" t="str">
            <v>400312798</v>
          </cell>
          <cell r="B73">
            <v>400312</v>
          </cell>
          <cell r="C73">
            <v>798</v>
          </cell>
          <cell r="D73">
            <v>4000</v>
          </cell>
        </row>
        <row r="74">
          <cell r="A74" t="str">
            <v>400312910</v>
          </cell>
          <cell r="B74">
            <v>400312</v>
          </cell>
          <cell r="C74">
            <v>910</v>
          </cell>
          <cell r="D74">
            <v>4000</v>
          </cell>
        </row>
        <row r="75">
          <cell r="A75" t="str">
            <v>4003122700</v>
          </cell>
          <cell r="B75">
            <v>400312</v>
          </cell>
          <cell r="C75">
            <v>2700</v>
          </cell>
          <cell r="D75">
            <v>10000</v>
          </cell>
        </row>
        <row r="76">
          <cell r="A76" t="str">
            <v>400312750</v>
          </cell>
          <cell r="B76">
            <v>400312</v>
          </cell>
          <cell r="C76">
            <v>750</v>
          </cell>
          <cell r="D76">
            <v>5000</v>
          </cell>
        </row>
        <row r="77">
          <cell r="A77" t="str">
            <v>400314401</v>
          </cell>
          <cell r="B77">
            <v>400314</v>
          </cell>
          <cell r="C77">
            <v>401</v>
          </cell>
          <cell r="D77">
            <v>2300</v>
          </cell>
        </row>
        <row r="78">
          <cell r="A78" t="str">
            <v>400314798</v>
          </cell>
          <cell r="B78">
            <v>400314</v>
          </cell>
          <cell r="C78">
            <v>798</v>
          </cell>
          <cell r="D78">
            <v>2300</v>
          </cell>
        </row>
        <row r="79">
          <cell r="A79" t="str">
            <v>400314910</v>
          </cell>
          <cell r="B79">
            <v>400314</v>
          </cell>
          <cell r="C79">
            <v>910</v>
          </cell>
          <cell r="D79">
            <v>2300</v>
          </cell>
        </row>
        <row r="80">
          <cell r="A80" t="str">
            <v>4003142700</v>
          </cell>
          <cell r="B80">
            <v>400314</v>
          </cell>
          <cell r="C80">
            <v>2700</v>
          </cell>
          <cell r="D80">
            <v>10000</v>
          </cell>
        </row>
        <row r="81">
          <cell r="A81" t="str">
            <v>400314750</v>
          </cell>
          <cell r="B81">
            <v>400314</v>
          </cell>
          <cell r="C81">
            <v>750</v>
          </cell>
          <cell r="D81">
            <v>4000</v>
          </cell>
        </row>
        <row r="82">
          <cell r="A82" t="str">
            <v>402698122</v>
          </cell>
          <cell r="B82">
            <v>402698</v>
          </cell>
          <cell r="C82">
            <v>122</v>
          </cell>
          <cell r="D82">
            <v>2500</v>
          </cell>
        </row>
        <row r="83">
          <cell r="A83" t="str">
            <v>402698950</v>
          </cell>
          <cell r="B83">
            <v>402698</v>
          </cell>
          <cell r="C83">
            <v>950</v>
          </cell>
          <cell r="D83">
            <v>2500</v>
          </cell>
        </row>
        <row r="84">
          <cell r="A84" t="str">
            <v>403076211</v>
          </cell>
          <cell r="B84">
            <v>403076</v>
          </cell>
          <cell r="C84">
            <v>211</v>
          </cell>
          <cell r="D84">
            <v>1800</v>
          </cell>
        </row>
        <row r="85">
          <cell r="A85" t="str">
            <v>403076916</v>
          </cell>
          <cell r="B85">
            <v>403076</v>
          </cell>
          <cell r="C85">
            <v>916</v>
          </cell>
          <cell r="D85">
            <v>100000</v>
          </cell>
        </row>
        <row r="86">
          <cell r="A86" t="str">
            <v>403076260</v>
          </cell>
          <cell r="B86">
            <v>403076</v>
          </cell>
          <cell r="C86">
            <v>260</v>
          </cell>
          <cell r="D86">
            <v>3000</v>
          </cell>
        </row>
        <row r="87">
          <cell r="A87" t="str">
            <v>403076724</v>
          </cell>
          <cell r="B87">
            <v>403076</v>
          </cell>
          <cell r="C87">
            <v>724</v>
          </cell>
          <cell r="D87">
            <v>100000</v>
          </cell>
        </row>
        <row r="88">
          <cell r="A88" t="str">
            <v>403085214</v>
          </cell>
          <cell r="B88">
            <v>403085</v>
          </cell>
          <cell r="C88">
            <v>214</v>
          </cell>
          <cell r="D88">
            <v>1800</v>
          </cell>
        </row>
        <row r="89">
          <cell r="A89" t="str">
            <v>403085916</v>
          </cell>
          <cell r="B89">
            <v>403085</v>
          </cell>
          <cell r="C89">
            <v>916</v>
          </cell>
          <cell r="D89">
            <v>100000</v>
          </cell>
        </row>
        <row r="90">
          <cell r="A90" t="str">
            <v>403085260</v>
          </cell>
          <cell r="B90">
            <v>403085</v>
          </cell>
          <cell r="C90">
            <v>260</v>
          </cell>
          <cell r="D90">
            <v>3000</v>
          </cell>
        </row>
        <row r="91">
          <cell r="A91" t="str">
            <v>403085724</v>
          </cell>
          <cell r="B91">
            <v>403085</v>
          </cell>
          <cell r="C91">
            <v>724</v>
          </cell>
          <cell r="D91">
            <v>100000</v>
          </cell>
        </row>
        <row r="92">
          <cell r="A92" t="str">
            <v>403107211</v>
          </cell>
          <cell r="B92">
            <v>403107</v>
          </cell>
          <cell r="C92">
            <v>211</v>
          </cell>
          <cell r="D92">
            <v>1000</v>
          </cell>
        </row>
        <row r="93">
          <cell r="A93" t="str">
            <v>403107916</v>
          </cell>
          <cell r="B93">
            <v>403107</v>
          </cell>
          <cell r="C93">
            <v>916</v>
          </cell>
          <cell r="D93">
            <v>100000</v>
          </cell>
        </row>
        <row r="94">
          <cell r="A94" t="str">
            <v>403107270</v>
          </cell>
          <cell r="B94">
            <v>403107</v>
          </cell>
          <cell r="C94">
            <v>270</v>
          </cell>
          <cell r="D94">
            <v>1000</v>
          </cell>
        </row>
        <row r="95">
          <cell r="A95" t="str">
            <v>403107780</v>
          </cell>
          <cell r="B95">
            <v>403107</v>
          </cell>
          <cell r="C95">
            <v>780</v>
          </cell>
          <cell r="D95">
            <v>3000</v>
          </cell>
        </row>
        <row r="96">
          <cell r="A96" t="str">
            <v>403107724</v>
          </cell>
          <cell r="B96">
            <v>403107</v>
          </cell>
          <cell r="C96">
            <v>724</v>
          </cell>
          <cell r="D96">
            <v>100000</v>
          </cell>
        </row>
        <row r="97">
          <cell r="A97" t="str">
            <v>403109211</v>
          </cell>
          <cell r="B97">
            <v>403109</v>
          </cell>
          <cell r="C97">
            <v>211</v>
          </cell>
          <cell r="D97">
            <v>800</v>
          </cell>
        </row>
        <row r="98">
          <cell r="A98" t="str">
            <v>403109916</v>
          </cell>
          <cell r="B98">
            <v>403109</v>
          </cell>
          <cell r="C98">
            <v>916</v>
          </cell>
          <cell r="D98">
            <v>100000</v>
          </cell>
        </row>
        <row r="99">
          <cell r="A99" t="str">
            <v>403109270</v>
          </cell>
          <cell r="B99">
            <v>403109</v>
          </cell>
          <cell r="C99">
            <v>270</v>
          </cell>
          <cell r="D99">
            <v>1000</v>
          </cell>
        </row>
        <row r="100">
          <cell r="A100" t="str">
            <v>403109780</v>
          </cell>
          <cell r="B100">
            <v>403109</v>
          </cell>
          <cell r="C100">
            <v>780</v>
          </cell>
          <cell r="D100">
            <v>3000</v>
          </cell>
        </row>
        <row r="101">
          <cell r="A101" t="str">
            <v>403109724</v>
          </cell>
          <cell r="B101">
            <v>403109</v>
          </cell>
          <cell r="C101">
            <v>724</v>
          </cell>
          <cell r="D101">
            <v>100000</v>
          </cell>
        </row>
        <row r="102">
          <cell r="A102" t="str">
            <v>403110211</v>
          </cell>
          <cell r="B102">
            <v>403110</v>
          </cell>
          <cell r="C102">
            <v>211</v>
          </cell>
          <cell r="D102">
            <v>600</v>
          </cell>
        </row>
        <row r="103">
          <cell r="A103" t="str">
            <v>403110916</v>
          </cell>
          <cell r="B103">
            <v>403110</v>
          </cell>
          <cell r="C103">
            <v>916</v>
          </cell>
          <cell r="D103">
            <v>100000</v>
          </cell>
        </row>
        <row r="104">
          <cell r="A104" t="str">
            <v>403110270</v>
          </cell>
          <cell r="B104">
            <v>403110</v>
          </cell>
          <cell r="C104">
            <v>270</v>
          </cell>
          <cell r="D104">
            <v>1000</v>
          </cell>
        </row>
        <row r="105">
          <cell r="A105" t="str">
            <v>403110780</v>
          </cell>
          <cell r="B105">
            <v>403110</v>
          </cell>
          <cell r="C105">
            <v>780</v>
          </cell>
          <cell r="D105">
            <v>3000</v>
          </cell>
        </row>
        <row r="106">
          <cell r="A106" t="str">
            <v>403110724</v>
          </cell>
          <cell r="B106">
            <v>403110</v>
          </cell>
          <cell r="C106">
            <v>724</v>
          </cell>
          <cell r="D106">
            <v>100000</v>
          </cell>
        </row>
        <row r="107">
          <cell r="A107" t="str">
            <v>403584213</v>
          </cell>
          <cell r="B107">
            <v>403584</v>
          </cell>
          <cell r="C107">
            <v>213</v>
          </cell>
          <cell r="D107">
            <v>600</v>
          </cell>
        </row>
        <row r="108">
          <cell r="A108" t="str">
            <v>403584916</v>
          </cell>
          <cell r="B108">
            <v>403584</v>
          </cell>
          <cell r="C108">
            <v>916</v>
          </cell>
          <cell r="D108">
            <v>100000</v>
          </cell>
        </row>
        <row r="109">
          <cell r="A109" t="str">
            <v>403584270</v>
          </cell>
          <cell r="B109">
            <v>403584</v>
          </cell>
          <cell r="C109">
            <v>270</v>
          </cell>
          <cell r="D109">
            <v>1100</v>
          </cell>
        </row>
        <row r="110">
          <cell r="A110" t="str">
            <v>403584780</v>
          </cell>
          <cell r="B110">
            <v>403584</v>
          </cell>
          <cell r="C110">
            <v>780</v>
          </cell>
          <cell r="D110">
            <v>3000</v>
          </cell>
        </row>
        <row r="111">
          <cell r="A111" t="str">
            <v>403584724</v>
          </cell>
          <cell r="B111">
            <v>403584</v>
          </cell>
          <cell r="C111">
            <v>724</v>
          </cell>
          <cell r="D111">
            <v>100000</v>
          </cell>
        </row>
        <row r="112">
          <cell r="A112" t="str">
            <v>403763207</v>
          </cell>
          <cell r="B112">
            <v>403763</v>
          </cell>
          <cell r="C112">
            <v>207</v>
          </cell>
          <cell r="D112">
            <v>1200</v>
          </cell>
        </row>
        <row r="113">
          <cell r="A113" t="str">
            <v>403763916</v>
          </cell>
          <cell r="B113">
            <v>403763</v>
          </cell>
          <cell r="C113">
            <v>916</v>
          </cell>
          <cell r="D113">
            <v>100000</v>
          </cell>
        </row>
        <row r="114">
          <cell r="A114" t="str">
            <v>403763260</v>
          </cell>
          <cell r="B114">
            <v>403763</v>
          </cell>
          <cell r="C114">
            <v>260</v>
          </cell>
          <cell r="D114">
            <v>3000</v>
          </cell>
        </row>
        <row r="115">
          <cell r="A115" t="str">
            <v>403763780</v>
          </cell>
          <cell r="B115">
            <v>403763</v>
          </cell>
          <cell r="C115">
            <v>780</v>
          </cell>
          <cell r="D115">
            <v>3000</v>
          </cell>
        </row>
        <row r="116">
          <cell r="A116" t="str">
            <v>403763724</v>
          </cell>
          <cell r="B116">
            <v>403763</v>
          </cell>
          <cell r="C116">
            <v>724</v>
          </cell>
          <cell r="D116">
            <v>100000</v>
          </cell>
        </row>
        <row r="117">
          <cell r="A117" t="str">
            <v>403901213</v>
          </cell>
          <cell r="B117">
            <v>403901</v>
          </cell>
          <cell r="C117">
            <v>213</v>
          </cell>
          <cell r="D117">
            <v>1200</v>
          </cell>
        </row>
        <row r="118">
          <cell r="A118" t="str">
            <v>403901916</v>
          </cell>
          <cell r="B118">
            <v>403901</v>
          </cell>
          <cell r="C118">
            <v>916</v>
          </cell>
          <cell r="D118">
            <v>100000</v>
          </cell>
        </row>
        <row r="119">
          <cell r="A119" t="str">
            <v>403901261</v>
          </cell>
          <cell r="B119">
            <v>403901</v>
          </cell>
          <cell r="C119">
            <v>261</v>
          </cell>
          <cell r="D119">
            <v>2600</v>
          </cell>
        </row>
        <row r="120">
          <cell r="A120" t="str">
            <v>403901724</v>
          </cell>
          <cell r="B120">
            <v>403901</v>
          </cell>
          <cell r="C120">
            <v>724</v>
          </cell>
          <cell r="D120">
            <v>100000</v>
          </cell>
        </row>
        <row r="121">
          <cell r="A121" t="str">
            <v>403988221</v>
          </cell>
          <cell r="B121">
            <v>403988</v>
          </cell>
          <cell r="C121">
            <v>221</v>
          </cell>
          <cell r="D121">
            <v>720</v>
          </cell>
        </row>
        <row r="122">
          <cell r="A122" t="str">
            <v>403988916</v>
          </cell>
          <cell r="B122">
            <v>403988</v>
          </cell>
          <cell r="C122">
            <v>916</v>
          </cell>
          <cell r="D122">
            <v>100000</v>
          </cell>
        </row>
        <row r="123">
          <cell r="A123" t="str">
            <v>403988270</v>
          </cell>
          <cell r="B123">
            <v>403988</v>
          </cell>
          <cell r="C123">
            <v>270</v>
          </cell>
          <cell r="D123">
            <v>1000</v>
          </cell>
        </row>
        <row r="124">
          <cell r="A124" t="str">
            <v>403988780</v>
          </cell>
          <cell r="B124">
            <v>403988</v>
          </cell>
          <cell r="C124">
            <v>780</v>
          </cell>
          <cell r="D124">
            <v>1000</v>
          </cell>
        </row>
        <row r="125">
          <cell r="A125" t="str">
            <v>403994221</v>
          </cell>
          <cell r="B125">
            <v>403994</v>
          </cell>
          <cell r="C125">
            <v>221</v>
          </cell>
          <cell r="D125">
            <v>1300</v>
          </cell>
        </row>
        <row r="126">
          <cell r="A126" t="str">
            <v>403994916</v>
          </cell>
          <cell r="B126">
            <v>403994</v>
          </cell>
          <cell r="C126">
            <v>916</v>
          </cell>
          <cell r="D126">
            <v>100000</v>
          </cell>
        </row>
        <row r="127">
          <cell r="A127" t="str">
            <v>403994270</v>
          </cell>
          <cell r="B127">
            <v>403994</v>
          </cell>
          <cell r="C127">
            <v>270</v>
          </cell>
          <cell r="D127">
            <v>1200</v>
          </cell>
        </row>
        <row r="128">
          <cell r="A128" t="str">
            <v>403994780</v>
          </cell>
          <cell r="B128">
            <v>403994</v>
          </cell>
          <cell r="C128">
            <v>780</v>
          </cell>
          <cell r="D128">
            <v>3000</v>
          </cell>
        </row>
        <row r="129">
          <cell r="A129" t="str">
            <v>403996221</v>
          </cell>
          <cell r="B129">
            <v>403996</v>
          </cell>
          <cell r="C129">
            <v>221</v>
          </cell>
          <cell r="D129">
            <v>1200</v>
          </cell>
        </row>
        <row r="130">
          <cell r="A130" t="str">
            <v>403996916</v>
          </cell>
          <cell r="B130">
            <v>403996</v>
          </cell>
          <cell r="C130">
            <v>916</v>
          </cell>
          <cell r="D130">
            <v>100000</v>
          </cell>
        </row>
        <row r="131">
          <cell r="A131" t="str">
            <v>403996270</v>
          </cell>
          <cell r="B131">
            <v>403996</v>
          </cell>
          <cell r="C131">
            <v>270</v>
          </cell>
          <cell r="D131">
            <v>1000</v>
          </cell>
        </row>
        <row r="132">
          <cell r="A132" t="str">
            <v>403996780</v>
          </cell>
          <cell r="B132">
            <v>403996</v>
          </cell>
          <cell r="C132">
            <v>780</v>
          </cell>
          <cell r="D132">
            <v>3000</v>
          </cell>
        </row>
        <row r="133">
          <cell r="A133" t="str">
            <v>404003214</v>
          </cell>
          <cell r="B133">
            <v>404003</v>
          </cell>
          <cell r="C133">
            <v>214</v>
          </cell>
          <cell r="D133">
            <v>2000</v>
          </cell>
        </row>
        <row r="134">
          <cell r="A134" t="str">
            <v>404003916</v>
          </cell>
          <cell r="B134">
            <v>404003</v>
          </cell>
          <cell r="C134">
            <v>916</v>
          </cell>
          <cell r="D134">
            <v>100000</v>
          </cell>
        </row>
        <row r="135">
          <cell r="A135" t="str">
            <v>404003260</v>
          </cell>
          <cell r="B135">
            <v>404003</v>
          </cell>
          <cell r="C135">
            <v>260</v>
          </cell>
          <cell r="D135">
            <v>2500</v>
          </cell>
        </row>
        <row r="136">
          <cell r="A136" t="str">
            <v>404003724</v>
          </cell>
          <cell r="B136">
            <v>404003</v>
          </cell>
          <cell r="C136">
            <v>724</v>
          </cell>
          <cell r="D136">
            <v>100000</v>
          </cell>
        </row>
        <row r="137">
          <cell r="A137" t="str">
            <v>404006221</v>
          </cell>
          <cell r="B137">
            <v>404006</v>
          </cell>
          <cell r="C137">
            <v>221</v>
          </cell>
          <cell r="D137">
            <v>1100</v>
          </cell>
        </row>
        <row r="138">
          <cell r="A138" t="str">
            <v>404006916</v>
          </cell>
          <cell r="B138">
            <v>404006</v>
          </cell>
          <cell r="C138">
            <v>916</v>
          </cell>
          <cell r="D138">
            <v>100000</v>
          </cell>
        </row>
        <row r="139">
          <cell r="A139" t="str">
            <v>404006270</v>
          </cell>
          <cell r="B139">
            <v>404006</v>
          </cell>
          <cell r="C139">
            <v>270</v>
          </cell>
          <cell r="D139">
            <v>1500</v>
          </cell>
        </row>
        <row r="140">
          <cell r="A140" t="str">
            <v>404006780</v>
          </cell>
          <cell r="B140">
            <v>404006</v>
          </cell>
          <cell r="C140">
            <v>780</v>
          </cell>
          <cell r="D140">
            <v>3000</v>
          </cell>
        </row>
        <row r="141">
          <cell r="A141" t="str">
            <v>404011212</v>
          </cell>
          <cell r="B141">
            <v>404011</v>
          </cell>
          <cell r="C141">
            <v>212</v>
          </cell>
          <cell r="D141">
            <v>800</v>
          </cell>
        </row>
        <row r="142">
          <cell r="A142" t="str">
            <v>404011916</v>
          </cell>
          <cell r="B142">
            <v>404011</v>
          </cell>
          <cell r="C142">
            <v>916</v>
          </cell>
          <cell r="D142">
            <v>100000</v>
          </cell>
        </row>
        <row r="143">
          <cell r="A143" t="str">
            <v>404011270</v>
          </cell>
          <cell r="B143">
            <v>404011</v>
          </cell>
          <cell r="C143">
            <v>270</v>
          </cell>
          <cell r="D143">
            <v>1200</v>
          </cell>
        </row>
        <row r="144">
          <cell r="A144" t="str">
            <v>404011780</v>
          </cell>
          <cell r="B144">
            <v>404011</v>
          </cell>
          <cell r="C144">
            <v>780</v>
          </cell>
          <cell r="D144">
            <v>3000</v>
          </cell>
        </row>
        <row r="145">
          <cell r="A145" t="str">
            <v>404011724</v>
          </cell>
          <cell r="B145">
            <v>404011</v>
          </cell>
          <cell r="C145">
            <v>724</v>
          </cell>
          <cell r="D145">
            <v>100000</v>
          </cell>
        </row>
        <row r="146">
          <cell r="A146" t="str">
            <v>404015221</v>
          </cell>
          <cell r="B146">
            <v>404015</v>
          </cell>
          <cell r="C146">
            <v>221</v>
          </cell>
          <cell r="D146">
            <v>1200</v>
          </cell>
        </row>
        <row r="147">
          <cell r="A147" t="str">
            <v>404015916</v>
          </cell>
          <cell r="B147">
            <v>404015</v>
          </cell>
          <cell r="C147">
            <v>916</v>
          </cell>
          <cell r="D147">
            <v>100000</v>
          </cell>
        </row>
        <row r="148">
          <cell r="A148" t="str">
            <v>404015270</v>
          </cell>
          <cell r="B148">
            <v>404015</v>
          </cell>
          <cell r="C148">
            <v>270</v>
          </cell>
          <cell r="D148">
            <v>1000</v>
          </cell>
        </row>
        <row r="149">
          <cell r="A149" t="str">
            <v>404015780</v>
          </cell>
          <cell r="B149">
            <v>404015</v>
          </cell>
          <cell r="C149">
            <v>780</v>
          </cell>
          <cell r="D149">
            <v>3000</v>
          </cell>
        </row>
        <row r="150">
          <cell r="A150" t="str">
            <v>404018212</v>
          </cell>
          <cell r="B150">
            <v>404018</v>
          </cell>
          <cell r="C150">
            <v>212</v>
          </cell>
          <cell r="D150">
            <v>600</v>
          </cell>
        </row>
        <row r="151">
          <cell r="A151" t="str">
            <v>404018916</v>
          </cell>
          <cell r="B151">
            <v>404018</v>
          </cell>
          <cell r="C151">
            <v>916</v>
          </cell>
          <cell r="D151">
            <v>100000</v>
          </cell>
        </row>
        <row r="152">
          <cell r="A152" t="str">
            <v>404018270</v>
          </cell>
          <cell r="B152">
            <v>404018</v>
          </cell>
          <cell r="C152">
            <v>270</v>
          </cell>
          <cell r="D152">
            <v>1000</v>
          </cell>
        </row>
        <row r="153">
          <cell r="A153" t="str">
            <v>404018780</v>
          </cell>
          <cell r="B153">
            <v>404018</v>
          </cell>
          <cell r="C153">
            <v>780</v>
          </cell>
          <cell r="D153">
            <v>3000</v>
          </cell>
        </row>
        <row r="154">
          <cell r="A154" t="str">
            <v>404018724</v>
          </cell>
          <cell r="B154">
            <v>404018</v>
          </cell>
          <cell r="C154">
            <v>724</v>
          </cell>
          <cell r="D154">
            <v>100000</v>
          </cell>
        </row>
        <row r="155">
          <cell r="A155" t="str">
            <v>404020210</v>
          </cell>
          <cell r="B155">
            <v>404020</v>
          </cell>
          <cell r="C155">
            <v>210</v>
          </cell>
          <cell r="D155">
            <v>1600</v>
          </cell>
        </row>
        <row r="156">
          <cell r="A156" t="str">
            <v>404020916</v>
          </cell>
          <cell r="B156">
            <v>404020</v>
          </cell>
          <cell r="C156">
            <v>916</v>
          </cell>
          <cell r="D156">
            <v>100000</v>
          </cell>
        </row>
        <row r="157">
          <cell r="A157" t="str">
            <v>404020260</v>
          </cell>
          <cell r="B157">
            <v>404020</v>
          </cell>
          <cell r="C157">
            <v>260</v>
          </cell>
          <cell r="D157">
            <v>2500</v>
          </cell>
        </row>
        <row r="158">
          <cell r="A158" t="str">
            <v>404020724</v>
          </cell>
          <cell r="B158">
            <v>404020</v>
          </cell>
          <cell r="C158">
            <v>724</v>
          </cell>
          <cell r="D158">
            <v>100000</v>
          </cell>
        </row>
        <row r="159">
          <cell r="A159" t="str">
            <v>404033207</v>
          </cell>
          <cell r="B159">
            <v>404033</v>
          </cell>
          <cell r="C159">
            <v>207</v>
          </cell>
          <cell r="D159">
            <v>1800</v>
          </cell>
        </row>
        <row r="160">
          <cell r="A160" t="str">
            <v>404033916</v>
          </cell>
          <cell r="B160">
            <v>404033</v>
          </cell>
          <cell r="C160">
            <v>916</v>
          </cell>
          <cell r="D160">
            <v>100000</v>
          </cell>
        </row>
        <row r="161">
          <cell r="A161" t="str">
            <v>404033262</v>
          </cell>
          <cell r="B161">
            <v>404033</v>
          </cell>
          <cell r="C161">
            <v>262</v>
          </cell>
          <cell r="D161">
            <v>3000</v>
          </cell>
        </row>
        <row r="162">
          <cell r="A162" t="str">
            <v>404033724</v>
          </cell>
          <cell r="B162">
            <v>404033</v>
          </cell>
          <cell r="C162">
            <v>724</v>
          </cell>
          <cell r="D162">
            <v>100000</v>
          </cell>
        </row>
        <row r="163">
          <cell r="A163" t="str">
            <v>404041210</v>
          </cell>
          <cell r="B163">
            <v>404041</v>
          </cell>
          <cell r="C163">
            <v>210</v>
          </cell>
          <cell r="D163">
            <v>1800</v>
          </cell>
        </row>
        <row r="164">
          <cell r="A164" t="str">
            <v>404041910</v>
          </cell>
          <cell r="B164">
            <v>404041</v>
          </cell>
          <cell r="C164">
            <v>910</v>
          </cell>
          <cell r="D164">
            <v>20000</v>
          </cell>
        </row>
        <row r="165">
          <cell r="A165" t="str">
            <v>404041261</v>
          </cell>
          <cell r="B165">
            <v>404041</v>
          </cell>
          <cell r="C165">
            <v>261</v>
          </cell>
          <cell r="D165">
            <v>3000</v>
          </cell>
        </row>
        <row r="166">
          <cell r="A166" t="str">
            <v>404041724</v>
          </cell>
          <cell r="B166">
            <v>404041</v>
          </cell>
          <cell r="C166">
            <v>724</v>
          </cell>
          <cell r="D166">
            <v>30000</v>
          </cell>
        </row>
        <row r="167">
          <cell r="A167" t="str">
            <v>404053216</v>
          </cell>
          <cell r="B167">
            <v>404053</v>
          </cell>
          <cell r="C167">
            <v>216</v>
          </cell>
          <cell r="D167">
            <v>1200</v>
          </cell>
        </row>
        <row r="168">
          <cell r="A168" t="str">
            <v>404053916</v>
          </cell>
          <cell r="B168">
            <v>404053</v>
          </cell>
          <cell r="C168">
            <v>916</v>
          </cell>
          <cell r="D168">
            <v>100000</v>
          </cell>
        </row>
        <row r="169">
          <cell r="A169" t="str">
            <v>404053265</v>
          </cell>
          <cell r="B169">
            <v>404053</v>
          </cell>
          <cell r="C169">
            <v>265</v>
          </cell>
          <cell r="D169">
            <v>2500</v>
          </cell>
        </row>
        <row r="170">
          <cell r="A170" t="str">
            <v>404053724</v>
          </cell>
          <cell r="B170">
            <v>404053</v>
          </cell>
          <cell r="C170">
            <v>724</v>
          </cell>
          <cell r="D170">
            <v>100000</v>
          </cell>
        </row>
        <row r="171">
          <cell r="A171" t="str">
            <v>404055210</v>
          </cell>
          <cell r="B171">
            <v>404055</v>
          </cell>
          <cell r="C171">
            <v>210</v>
          </cell>
          <cell r="D171">
            <v>1500</v>
          </cell>
        </row>
        <row r="172">
          <cell r="A172" t="str">
            <v>404055916</v>
          </cell>
          <cell r="B172">
            <v>404055</v>
          </cell>
          <cell r="C172">
            <v>916</v>
          </cell>
          <cell r="D172">
            <v>100000</v>
          </cell>
        </row>
        <row r="173">
          <cell r="A173" t="str">
            <v>404055265</v>
          </cell>
          <cell r="B173">
            <v>404055</v>
          </cell>
          <cell r="C173">
            <v>265</v>
          </cell>
          <cell r="D173">
            <v>2300</v>
          </cell>
        </row>
        <row r="174">
          <cell r="A174" t="str">
            <v>404055724</v>
          </cell>
          <cell r="B174">
            <v>404055</v>
          </cell>
          <cell r="C174">
            <v>724</v>
          </cell>
          <cell r="D174">
            <v>100000</v>
          </cell>
        </row>
        <row r="175">
          <cell r="A175" t="str">
            <v>406717139</v>
          </cell>
          <cell r="B175">
            <v>406717</v>
          </cell>
          <cell r="C175">
            <v>139</v>
          </cell>
          <cell r="D175">
            <v>1500</v>
          </cell>
        </row>
        <row r="176">
          <cell r="A176" t="str">
            <v>406717910</v>
          </cell>
          <cell r="B176">
            <v>406717</v>
          </cell>
          <cell r="C176">
            <v>910</v>
          </cell>
          <cell r="D176">
            <v>1500</v>
          </cell>
        </row>
        <row r="177">
          <cell r="A177" t="str">
            <v>4067172700</v>
          </cell>
          <cell r="B177">
            <v>406717</v>
          </cell>
          <cell r="C177">
            <v>2700</v>
          </cell>
          <cell r="D177">
            <v>550</v>
          </cell>
        </row>
        <row r="178">
          <cell r="A178" t="str">
            <v>406717799</v>
          </cell>
          <cell r="B178">
            <v>406717</v>
          </cell>
          <cell r="C178">
            <v>799</v>
          </cell>
          <cell r="D178">
            <v>2000</v>
          </cell>
        </row>
        <row r="179">
          <cell r="A179" t="str">
            <v>407076127</v>
          </cell>
          <cell r="B179">
            <v>407076</v>
          </cell>
          <cell r="C179">
            <v>127</v>
          </cell>
          <cell r="D179">
            <v>7000</v>
          </cell>
        </row>
        <row r="180">
          <cell r="A180" t="str">
            <v>407076910</v>
          </cell>
          <cell r="B180">
            <v>407076</v>
          </cell>
          <cell r="C180">
            <v>910</v>
          </cell>
          <cell r="D180">
            <v>7000</v>
          </cell>
        </row>
        <row r="181">
          <cell r="A181" t="str">
            <v>407076799</v>
          </cell>
          <cell r="B181">
            <v>407076</v>
          </cell>
          <cell r="C181">
            <v>799</v>
          </cell>
          <cell r="D181">
            <v>100000</v>
          </cell>
        </row>
        <row r="182">
          <cell r="A182" t="str">
            <v>407099122</v>
          </cell>
          <cell r="B182">
            <v>407099</v>
          </cell>
          <cell r="C182">
            <v>122</v>
          </cell>
          <cell r="D182">
            <v>6000</v>
          </cell>
        </row>
        <row r="183">
          <cell r="A183" t="str">
            <v>407099910</v>
          </cell>
          <cell r="B183">
            <v>407099</v>
          </cell>
          <cell r="C183">
            <v>910</v>
          </cell>
          <cell r="D183">
            <v>6000</v>
          </cell>
        </row>
        <row r="184">
          <cell r="A184" t="str">
            <v>407099799</v>
          </cell>
          <cell r="B184">
            <v>407099</v>
          </cell>
          <cell r="C184">
            <v>799</v>
          </cell>
          <cell r="D184">
            <v>100000</v>
          </cell>
        </row>
        <row r="185">
          <cell r="A185" t="str">
            <v>407102406</v>
          </cell>
          <cell r="B185">
            <v>407102</v>
          </cell>
          <cell r="C185">
            <v>406</v>
          </cell>
          <cell r="D185">
            <v>3300</v>
          </cell>
        </row>
        <row r="186">
          <cell r="A186" t="str">
            <v>407102910</v>
          </cell>
          <cell r="B186">
            <v>407102</v>
          </cell>
          <cell r="C186">
            <v>910</v>
          </cell>
          <cell r="D186">
            <v>3300</v>
          </cell>
        </row>
        <row r="187">
          <cell r="A187" t="str">
            <v>407110122</v>
          </cell>
          <cell r="B187">
            <v>407110</v>
          </cell>
          <cell r="C187">
            <v>122</v>
          </cell>
          <cell r="D187">
            <v>6000</v>
          </cell>
        </row>
        <row r="188">
          <cell r="A188" t="str">
            <v>407110910</v>
          </cell>
          <cell r="B188">
            <v>407110</v>
          </cell>
          <cell r="C188">
            <v>910</v>
          </cell>
          <cell r="D188">
            <v>6000</v>
          </cell>
        </row>
        <row r="189">
          <cell r="A189" t="str">
            <v>407110799</v>
          </cell>
          <cell r="B189">
            <v>407110</v>
          </cell>
          <cell r="C189">
            <v>799</v>
          </cell>
          <cell r="D189">
            <v>100000</v>
          </cell>
        </row>
        <row r="190">
          <cell r="A190" t="str">
            <v>407518136</v>
          </cell>
          <cell r="B190">
            <v>407518</v>
          </cell>
          <cell r="C190">
            <v>136</v>
          </cell>
          <cell r="D190">
            <v>5000</v>
          </cell>
        </row>
        <row r="191">
          <cell r="A191" t="str">
            <v>407518912</v>
          </cell>
          <cell r="B191">
            <v>407518</v>
          </cell>
          <cell r="C191">
            <v>912</v>
          </cell>
          <cell r="D191">
            <v>5000</v>
          </cell>
        </row>
        <row r="192">
          <cell r="A192" t="str">
            <v>407522139</v>
          </cell>
          <cell r="B192">
            <v>407522</v>
          </cell>
          <cell r="C192">
            <v>139</v>
          </cell>
          <cell r="D192">
            <v>5000</v>
          </cell>
        </row>
        <row r="193">
          <cell r="A193" t="str">
            <v>407522910</v>
          </cell>
          <cell r="B193">
            <v>407522</v>
          </cell>
          <cell r="C193">
            <v>910</v>
          </cell>
          <cell r="D193">
            <v>5000</v>
          </cell>
        </row>
        <row r="194">
          <cell r="A194" t="str">
            <v>407522623</v>
          </cell>
          <cell r="B194">
            <v>407522</v>
          </cell>
          <cell r="C194">
            <v>623</v>
          </cell>
          <cell r="D194">
            <v>2000</v>
          </cell>
        </row>
        <row r="195">
          <cell r="A195" t="str">
            <v>407522799</v>
          </cell>
          <cell r="B195">
            <v>407522</v>
          </cell>
          <cell r="C195">
            <v>799</v>
          </cell>
          <cell r="D195">
            <v>60000</v>
          </cell>
        </row>
        <row r="196">
          <cell r="A196" t="str">
            <v>407542122</v>
          </cell>
          <cell r="B196">
            <v>407542</v>
          </cell>
          <cell r="C196">
            <v>122</v>
          </cell>
          <cell r="D196">
            <v>6500</v>
          </cell>
        </row>
        <row r="197">
          <cell r="A197" t="str">
            <v>407542910</v>
          </cell>
          <cell r="B197">
            <v>407542</v>
          </cell>
          <cell r="C197">
            <v>910</v>
          </cell>
          <cell r="D197">
            <v>6500</v>
          </cell>
        </row>
        <row r="198">
          <cell r="A198" t="str">
            <v>407542610</v>
          </cell>
          <cell r="B198">
            <v>407542</v>
          </cell>
          <cell r="C198">
            <v>610</v>
          </cell>
          <cell r="D198">
            <v>2500</v>
          </cell>
        </row>
        <row r="199">
          <cell r="A199" t="str">
            <v>407542799</v>
          </cell>
          <cell r="B199">
            <v>407542</v>
          </cell>
          <cell r="C199">
            <v>799</v>
          </cell>
          <cell r="D199">
            <v>100000</v>
          </cell>
        </row>
        <row r="200">
          <cell r="A200" t="str">
            <v>407550122</v>
          </cell>
          <cell r="B200">
            <v>407550</v>
          </cell>
          <cell r="C200">
            <v>122</v>
          </cell>
          <cell r="D200">
            <v>5000</v>
          </cell>
        </row>
        <row r="201">
          <cell r="A201" t="str">
            <v>407550910</v>
          </cell>
          <cell r="B201">
            <v>407550</v>
          </cell>
          <cell r="C201">
            <v>910</v>
          </cell>
          <cell r="D201">
            <v>5000</v>
          </cell>
        </row>
        <row r="202">
          <cell r="A202" t="str">
            <v>407550623</v>
          </cell>
          <cell r="B202">
            <v>407550</v>
          </cell>
          <cell r="C202">
            <v>623</v>
          </cell>
          <cell r="D202">
            <v>1600</v>
          </cell>
        </row>
        <row r="203">
          <cell r="A203" t="str">
            <v>407550799</v>
          </cell>
          <cell r="B203">
            <v>407550</v>
          </cell>
          <cell r="C203">
            <v>799</v>
          </cell>
          <cell r="D203">
            <v>50000</v>
          </cell>
        </row>
        <row r="204">
          <cell r="A204" t="str">
            <v>407593140</v>
          </cell>
          <cell r="B204">
            <v>407593</v>
          </cell>
          <cell r="C204">
            <v>140</v>
          </cell>
          <cell r="D204">
            <v>3500</v>
          </cell>
        </row>
        <row r="205">
          <cell r="A205" t="str">
            <v>407593910</v>
          </cell>
          <cell r="B205">
            <v>407593</v>
          </cell>
          <cell r="C205">
            <v>910</v>
          </cell>
          <cell r="D205">
            <v>6000</v>
          </cell>
        </row>
        <row r="206">
          <cell r="A206" t="str">
            <v>407593630</v>
          </cell>
          <cell r="B206">
            <v>407593</v>
          </cell>
          <cell r="C206">
            <v>630</v>
          </cell>
          <cell r="D206">
            <v>750</v>
          </cell>
        </row>
        <row r="207">
          <cell r="A207" t="str">
            <v>407593799</v>
          </cell>
          <cell r="B207">
            <v>407593</v>
          </cell>
          <cell r="C207">
            <v>799</v>
          </cell>
          <cell r="D207">
            <v>4000</v>
          </cell>
        </row>
        <row r="208">
          <cell r="A208" t="str">
            <v>407605122</v>
          </cell>
          <cell r="B208">
            <v>407605</v>
          </cell>
          <cell r="C208">
            <v>122</v>
          </cell>
          <cell r="D208">
            <v>5500</v>
          </cell>
        </row>
        <row r="209">
          <cell r="A209" t="str">
            <v>407605917</v>
          </cell>
          <cell r="B209">
            <v>407605</v>
          </cell>
          <cell r="C209">
            <v>917</v>
          </cell>
          <cell r="D209">
            <v>5500</v>
          </cell>
        </row>
        <row r="210">
          <cell r="A210" t="str">
            <v>407611139</v>
          </cell>
          <cell r="B210">
            <v>407611</v>
          </cell>
          <cell r="C210">
            <v>139</v>
          </cell>
          <cell r="D210">
            <v>5000</v>
          </cell>
        </row>
        <row r="211">
          <cell r="A211" t="str">
            <v>407611910</v>
          </cell>
          <cell r="B211">
            <v>407611</v>
          </cell>
          <cell r="C211">
            <v>910</v>
          </cell>
          <cell r="D211">
            <v>5000</v>
          </cell>
        </row>
        <row r="212">
          <cell r="A212" t="str">
            <v>407611623</v>
          </cell>
          <cell r="B212">
            <v>407611</v>
          </cell>
          <cell r="C212">
            <v>623</v>
          </cell>
          <cell r="D212">
            <v>1500</v>
          </cell>
        </row>
        <row r="213">
          <cell r="A213" t="str">
            <v>407611799</v>
          </cell>
          <cell r="B213">
            <v>407611</v>
          </cell>
          <cell r="C213">
            <v>799</v>
          </cell>
          <cell r="D213">
            <v>100000</v>
          </cell>
        </row>
        <row r="214">
          <cell r="A214" t="str">
            <v>407612122</v>
          </cell>
          <cell r="B214">
            <v>407612</v>
          </cell>
          <cell r="C214">
            <v>122</v>
          </cell>
          <cell r="D214">
            <v>6500</v>
          </cell>
        </row>
        <row r="215">
          <cell r="A215" t="str">
            <v>407612917</v>
          </cell>
          <cell r="B215">
            <v>407612</v>
          </cell>
          <cell r="C215">
            <v>917</v>
          </cell>
          <cell r="D215">
            <v>6500</v>
          </cell>
        </row>
        <row r="216">
          <cell r="A216" t="str">
            <v>408644122</v>
          </cell>
          <cell r="B216">
            <v>408644</v>
          </cell>
          <cell r="C216">
            <v>122</v>
          </cell>
          <cell r="D216">
            <v>5000</v>
          </cell>
        </row>
        <row r="217">
          <cell r="A217" t="str">
            <v>408644910</v>
          </cell>
          <cell r="B217">
            <v>408644</v>
          </cell>
          <cell r="C217">
            <v>910</v>
          </cell>
          <cell r="D217">
            <v>5000</v>
          </cell>
        </row>
        <row r="218">
          <cell r="A218" t="str">
            <v>410997401</v>
          </cell>
          <cell r="B218">
            <v>410997</v>
          </cell>
          <cell r="C218">
            <v>401</v>
          </cell>
          <cell r="D218">
            <v>2400</v>
          </cell>
        </row>
        <row r="219">
          <cell r="A219" t="str">
            <v>410997910</v>
          </cell>
          <cell r="B219">
            <v>410997</v>
          </cell>
          <cell r="C219">
            <v>910</v>
          </cell>
          <cell r="D219">
            <v>2400</v>
          </cell>
        </row>
        <row r="220">
          <cell r="A220" t="str">
            <v>41099740014</v>
          </cell>
          <cell r="B220">
            <v>410997</v>
          </cell>
          <cell r="C220">
            <v>40014</v>
          </cell>
        </row>
        <row r="221">
          <cell r="A221" t="str">
            <v>410997777</v>
          </cell>
          <cell r="B221">
            <v>410997</v>
          </cell>
          <cell r="C221">
            <v>777</v>
          </cell>
          <cell r="D221">
            <v>10000</v>
          </cell>
        </row>
        <row r="222">
          <cell r="A222" t="str">
            <v>411490454</v>
          </cell>
          <cell r="B222">
            <v>411490</v>
          </cell>
          <cell r="C222">
            <v>454</v>
          </cell>
          <cell r="D222">
            <v>500</v>
          </cell>
        </row>
        <row r="223">
          <cell r="A223" t="str">
            <v>411490910</v>
          </cell>
          <cell r="B223">
            <v>411490</v>
          </cell>
          <cell r="C223">
            <v>910</v>
          </cell>
          <cell r="D223">
            <v>500</v>
          </cell>
        </row>
        <row r="224">
          <cell r="A224" t="str">
            <v>411563142</v>
          </cell>
          <cell r="B224">
            <v>411563</v>
          </cell>
          <cell r="C224">
            <v>142</v>
          </cell>
          <cell r="D224">
            <v>8000</v>
          </cell>
        </row>
        <row r="225">
          <cell r="A225" t="str">
            <v>411563910</v>
          </cell>
          <cell r="B225">
            <v>411563</v>
          </cell>
          <cell r="C225">
            <v>910</v>
          </cell>
          <cell r="D225">
            <v>8000</v>
          </cell>
        </row>
        <row r="226">
          <cell r="A226" t="str">
            <v>4115632700</v>
          </cell>
          <cell r="B226">
            <v>411563</v>
          </cell>
          <cell r="C226">
            <v>2700</v>
          </cell>
          <cell r="D226">
            <v>10000</v>
          </cell>
        </row>
        <row r="227">
          <cell r="A227" t="str">
            <v>411563777</v>
          </cell>
          <cell r="B227">
            <v>411563</v>
          </cell>
          <cell r="C227">
            <v>777</v>
          </cell>
          <cell r="D227">
            <v>20000</v>
          </cell>
        </row>
        <row r="228">
          <cell r="A228" t="str">
            <v>411933142</v>
          </cell>
          <cell r="B228">
            <v>411933</v>
          </cell>
          <cell r="C228">
            <v>142</v>
          </cell>
          <cell r="D228">
            <v>10000</v>
          </cell>
        </row>
        <row r="229">
          <cell r="A229" t="str">
            <v>411933798</v>
          </cell>
          <cell r="B229">
            <v>411933</v>
          </cell>
          <cell r="C229">
            <v>798</v>
          </cell>
          <cell r="D229">
            <v>10000</v>
          </cell>
        </row>
        <row r="230">
          <cell r="A230" t="str">
            <v>411933910</v>
          </cell>
          <cell r="B230">
            <v>411933</v>
          </cell>
          <cell r="C230">
            <v>910</v>
          </cell>
          <cell r="D230">
            <v>10000</v>
          </cell>
        </row>
        <row r="231">
          <cell r="A231" t="str">
            <v>4119332700</v>
          </cell>
          <cell r="B231">
            <v>411933</v>
          </cell>
          <cell r="C231">
            <v>2700</v>
          </cell>
          <cell r="D231">
            <v>10000</v>
          </cell>
        </row>
        <row r="232">
          <cell r="A232" t="str">
            <v>411933750</v>
          </cell>
          <cell r="B232">
            <v>411933</v>
          </cell>
          <cell r="C232">
            <v>750</v>
          </cell>
          <cell r="D232">
            <v>5000</v>
          </cell>
        </row>
        <row r="233">
          <cell r="A233" t="str">
            <v>412203412</v>
          </cell>
          <cell r="B233">
            <v>412203</v>
          </cell>
          <cell r="C233">
            <v>412</v>
          </cell>
          <cell r="D233">
            <v>3600</v>
          </cell>
        </row>
        <row r="234">
          <cell r="A234" t="str">
            <v>412203910</v>
          </cell>
          <cell r="B234">
            <v>412203</v>
          </cell>
          <cell r="C234">
            <v>910</v>
          </cell>
          <cell r="D234">
            <v>3600</v>
          </cell>
        </row>
        <row r="235">
          <cell r="A235" t="str">
            <v>412203777</v>
          </cell>
          <cell r="B235">
            <v>412203</v>
          </cell>
          <cell r="C235">
            <v>777</v>
          </cell>
          <cell r="D235">
            <v>20000</v>
          </cell>
        </row>
        <row r="236">
          <cell r="A236" t="str">
            <v>412206412</v>
          </cell>
          <cell r="B236">
            <v>412206</v>
          </cell>
          <cell r="C236">
            <v>412</v>
          </cell>
          <cell r="D236">
            <v>3000</v>
          </cell>
        </row>
        <row r="237">
          <cell r="A237" t="str">
            <v>412206910</v>
          </cell>
          <cell r="B237">
            <v>412206</v>
          </cell>
          <cell r="C237">
            <v>910</v>
          </cell>
          <cell r="D237">
            <v>3000</v>
          </cell>
        </row>
        <row r="238">
          <cell r="A238" t="str">
            <v>412206777</v>
          </cell>
          <cell r="B238">
            <v>412206</v>
          </cell>
          <cell r="C238">
            <v>777</v>
          </cell>
          <cell r="D238">
            <v>2000</v>
          </cell>
        </row>
        <row r="239">
          <cell r="A239" t="str">
            <v>412366127</v>
          </cell>
          <cell r="B239">
            <v>412366</v>
          </cell>
          <cell r="C239">
            <v>127</v>
          </cell>
          <cell r="D239">
            <v>7000</v>
          </cell>
        </row>
        <row r="240">
          <cell r="A240" t="str">
            <v>412366909</v>
          </cell>
          <cell r="B240">
            <v>412366</v>
          </cell>
          <cell r="C240">
            <v>909</v>
          </cell>
          <cell r="D240">
            <v>7000</v>
          </cell>
        </row>
        <row r="241">
          <cell r="A241" t="str">
            <v>412524401</v>
          </cell>
          <cell r="B241">
            <v>412524</v>
          </cell>
          <cell r="C241">
            <v>401</v>
          </cell>
          <cell r="D241">
            <v>2200</v>
          </cell>
        </row>
        <row r="242">
          <cell r="A242" t="str">
            <v>412524910</v>
          </cell>
          <cell r="B242">
            <v>412524</v>
          </cell>
          <cell r="C242">
            <v>910</v>
          </cell>
          <cell r="D242">
            <v>2200</v>
          </cell>
        </row>
        <row r="243">
          <cell r="A243" t="str">
            <v>41252470258</v>
          </cell>
          <cell r="B243">
            <v>412524</v>
          </cell>
          <cell r="C243">
            <v>70258</v>
          </cell>
        </row>
        <row r="244">
          <cell r="A244" t="str">
            <v>412524783</v>
          </cell>
          <cell r="B244">
            <v>412524</v>
          </cell>
          <cell r="C244">
            <v>783</v>
          </cell>
          <cell r="D244">
            <v>1000</v>
          </cell>
        </row>
        <row r="245">
          <cell r="A245" t="str">
            <v>412604221</v>
          </cell>
          <cell r="B245">
            <v>412604</v>
          </cell>
          <cell r="C245">
            <v>221</v>
          </cell>
          <cell r="D245">
            <v>1800</v>
          </cell>
        </row>
        <row r="246">
          <cell r="A246" t="str">
            <v>412604916</v>
          </cell>
          <cell r="B246">
            <v>412604</v>
          </cell>
          <cell r="C246">
            <v>916</v>
          </cell>
          <cell r="D246">
            <v>100000</v>
          </cell>
        </row>
        <row r="247">
          <cell r="A247" t="str">
            <v>412604261</v>
          </cell>
          <cell r="B247">
            <v>412604</v>
          </cell>
          <cell r="C247">
            <v>261</v>
          </cell>
          <cell r="D247">
            <v>3000</v>
          </cell>
        </row>
        <row r="248">
          <cell r="A248" t="str">
            <v>412604282</v>
          </cell>
          <cell r="B248">
            <v>412604</v>
          </cell>
          <cell r="C248">
            <v>282</v>
          </cell>
          <cell r="D248">
            <v>2500</v>
          </cell>
        </row>
        <row r="249">
          <cell r="A249" t="str">
            <v>412607213</v>
          </cell>
          <cell r="B249">
            <v>412607</v>
          </cell>
          <cell r="C249">
            <v>213</v>
          </cell>
          <cell r="D249">
            <v>2000</v>
          </cell>
        </row>
        <row r="250">
          <cell r="A250" t="str">
            <v>412607916</v>
          </cell>
          <cell r="B250">
            <v>412607</v>
          </cell>
          <cell r="C250">
            <v>916</v>
          </cell>
          <cell r="D250">
            <v>100000</v>
          </cell>
        </row>
        <row r="251">
          <cell r="A251" t="str">
            <v>412607261</v>
          </cell>
          <cell r="B251">
            <v>412607</v>
          </cell>
          <cell r="C251">
            <v>261</v>
          </cell>
          <cell r="D251">
            <v>3000</v>
          </cell>
        </row>
        <row r="252">
          <cell r="A252" t="str">
            <v>412607282</v>
          </cell>
          <cell r="B252">
            <v>412607</v>
          </cell>
          <cell r="C252">
            <v>282</v>
          </cell>
          <cell r="D252">
            <v>2500</v>
          </cell>
        </row>
        <row r="253">
          <cell r="A253" t="str">
            <v>413115142</v>
          </cell>
          <cell r="B253">
            <v>413115</v>
          </cell>
          <cell r="C253">
            <v>142</v>
          </cell>
          <cell r="D253">
            <v>8000</v>
          </cell>
        </row>
        <row r="254">
          <cell r="A254" t="str">
            <v>413115798</v>
          </cell>
          <cell r="B254">
            <v>413115</v>
          </cell>
          <cell r="C254">
            <v>798</v>
          </cell>
          <cell r="D254">
            <v>8000</v>
          </cell>
        </row>
        <row r="255">
          <cell r="A255" t="str">
            <v>413115910</v>
          </cell>
          <cell r="B255">
            <v>413115</v>
          </cell>
          <cell r="C255">
            <v>910</v>
          </cell>
          <cell r="D255">
            <v>8000</v>
          </cell>
        </row>
        <row r="256">
          <cell r="A256" t="str">
            <v>4131152700</v>
          </cell>
          <cell r="B256">
            <v>413115</v>
          </cell>
          <cell r="C256">
            <v>2700</v>
          </cell>
          <cell r="D256">
            <v>15000</v>
          </cell>
        </row>
        <row r="257">
          <cell r="A257" t="str">
            <v>413115750</v>
          </cell>
          <cell r="B257">
            <v>413115</v>
          </cell>
          <cell r="C257">
            <v>750</v>
          </cell>
          <cell r="D257">
            <v>6000</v>
          </cell>
        </row>
        <row r="258">
          <cell r="A258" t="str">
            <v>413180125</v>
          </cell>
          <cell r="B258">
            <v>413180</v>
          </cell>
          <cell r="C258">
            <v>125</v>
          </cell>
          <cell r="D258">
            <v>3</v>
          </cell>
        </row>
        <row r="259">
          <cell r="A259" t="str">
            <v>413180799</v>
          </cell>
          <cell r="B259">
            <v>413180</v>
          </cell>
          <cell r="C259">
            <v>799</v>
          </cell>
          <cell r="D259">
            <v>3</v>
          </cell>
        </row>
        <row r="260">
          <cell r="A260" t="str">
            <v>413190125</v>
          </cell>
          <cell r="B260">
            <v>413190</v>
          </cell>
          <cell r="C260">
            <v>125</v>
          </cell>
          <cell r="D260">
            <v>3</v>
          </cell>
        </row>
        <row r="261">
          <cell r="A261" t="str">
            <v>413190799</v>
          </cell>
          <cell r="B261">
            <v>413190</v>
          </cell>
          <cell r="C261">
            <v>799</v>
          </cell>
          <cell r="D261">
            <v>3</v>
          </cell>
        </row>
        <row r="262">
          <cell r="A262" t="str">
            <v>413240417</v>
          </cell>
          <cell r="B262">
            <v>413240</v>
          </cell>
          <cell r="C262">
            <v>417</v>
          </cell>
          <cell r="D262">
            <v>1800</v>
          </cell>
        </row>
        <row r="263">
          <cell r="A263" t="str">
            <v>4132402700</v>
          </cell>
          <cell r="B263">
            <v>413240</v>
          </cell>
          <cell r="C263">
            <v>2700</v>
          </cell>
          <cell r="D263">
            <v>10000</v>
          </cell>
        </row>
        <row r="264">
          <cell r="A264" t="str">
            <v>413240777</v>
          </cell>
          <cell r="B264">
            <v>413240</v>
          </cell>
          <cell r="C264">
            <v>777</v>
          </cell>
          <cell r="D264">
            <v>41000</v>
          </cell>
        </row>
        <row r="265">
          <cell r="A265" t="str">
            <v>41324090014</v>
          </cell>
          <cell r="B265">
            <v>413240</v>
          </cell>
          <cell r="C265">
            <v>90014</v>
          </cell>
        </row>
        <row r="266">
          <cell r="A266" t="str">
            <v>413240777</v>
          </cell>
          <cell r="B266">
            <v>413240</v>
          </cell>
          <cell r="C266">
            <v>777</v>
          </cell>
          <cell r="D266">
            <v>200000</v>
          </cell>
        </row>
        <row r="267">
          <cell r="A267" t="str">
            <v>413253406</v>
          </cell>
          <cell r="B267">
            <v>413253</v>
          </cell>
          <cell r="C267">
            <v>406</v>
          </cell>
          <cell r="D267">
            <v>5000</v>
          </cell>
        </row>
        <row r="268">
          <cell r="A268" t="str">
            <v>413253910</v>
          </cell>
          <cell r="B268">
            <v>413253</v>
          </cell>
          <cell r="C268">
            <v>910</v>
          </cell>
          <cell r="D268">
            <v>5000</v>
          </cell>
        </row>
        <row r="269">
          <cell r="A269" t="str">
            <v>420321505</v>
          </cell>
          <cell r="B269">
            <v>420321</v>
          </cell>
          <cell r="C269">
            <v>505</v>
          </cell>
          <cell r="D269">
            <v>4200</v>
          </cell>
        </row>
        <row r="270">
          <cell r="A270" t="str">
            <v>420321671197</v>
          </cell>
          <cell r="B270">
            <v>420321</v>
          </cell>
          <cell r="C270">
            <v>671197</v>
          </cell>
        </row>
        <row r="271">
          <cell r="A271" t="str">
            <v>420321101196</v>
          </cell>
          <cell r="B271">
            <v>420321</v>
          </cell>
          <cell r="C271">
            <v>101196</v>
          </cell>
        </row>
        <row r="272">
          <cell r="A272" t="str">
            <v>420321777</v>
          </cell>
          <cell r="B272">
            <v>420321</v>
          </cell>
          <cell r="C272">
            <v>777</v>
          </cell>
          <cell r="D272">
            <v>100000</v>
          </cell>
        </row>
        <row r="273">
          <cell r="A273" t="str">
            <v>420324504</v>
          </cell>
          <cell r="B273">
            <v>420324</v>
          </cell>
          <cell r="C273">
            <v>504</v>
          </cell>
          <cell r="D273">
            <v>2900</v>
          </cell>
        </row>
        <row r="274">
          <cell r="A274" t="str">
            <v>420324799</v>
          </cell>
          <cell r="B274">
            <v>420324</v>
          </cell>
          <cell r="C274">
            <v>799</v>
          </cell>
          <cell r="D274">
            <v>60000</v>
          </cell>
        </row>
        <row r="275">
          <cell r="A275" t="str">
            <v>42032410258</v>
          </cell>
          <cell r="B275">
            <v>420324</v>
          </cell>
          <cell r="C275">
            <v>10258</v>
          </cell>
        </row>
        <row r="276">
          <cell r="A276" t="str">
            <v>420324691199</v>
          </cell>
          <cell r="B276">
            <v>420324</v>
          </cell>
          <cell r="C276">
            <v>691199</v>
          </cell>
        </row>
        <row r="277">
          <cell r="A277" t="str">
            <v>420324101196</v>
          </cell>
          <cell r="B277">
            <v>420324</v>
          </cell>
          <cell r="C277">
            <v>101196</v>
          </cell>
        </row>
        <row r="278">
          <cell r="A278" t="str">
            <v>420324799</v>
          </cell>
          <cell r="B278">
            <v>420324</v>
          </cell>
          <cell r="C278">
            <v>799</v>
          </cell>
        </row>
        <row r="279">
          <cell r="A279" t="str">
            <v>420324799</v>
          </cell>
          <cell r="B279">
            <v>420324</v>
          </cell>
          <cell r="C279">
            <v>799</v>
          </cell>
          <cell r="D279">
            <v>80000</v>
          </cell>
        </row>
        <row r="280">
          <cell r="A280" t="str">
            <v>421016504</v>
          </cell>
          <cell r="B280">
            <v>421016</v>
          </cell>
          <cell r="C280">
            <v>504</v>
          </cell>
          <cell r="D280">
            <v>5600</v>
          </cell>
        </row>
        <row r="281">
          <cell r="A281" t="str">
            <v>421016671197</v>
          </cell>
          <cell r="B281">
            <v>421016</v>
          </cell>
          <cell r="C281">
            <v>671197</v>
          </cell>
        </row>
        <row r="282">
          <cell r="A282" t="str">
            <v>42101631002</v>
          </cell>
          <cell r="B282">
            <v>421016</v>
          </cell>
          <cell r="C282">
            <v>31002</v>
          </cell>
        </row>
        <row r="283">
          <cell r="A283" t="str">
            <v>421016777</v>
          </cell>
          <cell r="B283">
            <v>421016</v>
          </cell>
          <cell r="C283">
            <v>777</v>
          </cell>
          <cell r="D283">
            <v>80000</v>
          </cell>
        </row>
        <row r="284">
          <cell r="A284" t="str">
            <v>421019505</v>
          </cell>
          <cell r="B284">
            <v>421019</v>
          </cell>
          <cell r="C284">
            <v>505</v>
          </cell>
          <cell r="D284">
            <v>6300</v>
          </cell>
        </row>
        <row r="285">
          <cell r="A285" t="str">
            <v>421019671197</v>
          </cell>
          <cell r="B285">
            <v>421019</v>
          </cell>
          <cell r="C285">
            <v>671197</v>
          </cell>
        </row>
        <row r="286">
          <cell r="A286" t="str">
            <v>42101910258</v>
          </cell>
          <cell r="B286">
            <v>421019</v>
          </cell>
          <cell r="C286">
            <v>10258</v>
          </cell>
        </row>
        <row r="287">
          <cell r="A287" t="str">
            <v>421019777</v>
          </cell>
          <cell r="B287">
            <v>421019</v>
          </cell>
          <cell r="C287">
            <v>777</v>
          </cell>
          <cell r="D287">
            <v>100000</v>
          </cell>
        </row>
        <row r="288">
          <cell r="A288" t="str">
            <v>421100406</v>
          </cell>
          <cell r="B288">
            <v>421100</v>
          </cell>
          <cell r="C288">
            <v>406</v>
          </cell>
          <cell r="D288">
            <v>2500</v>
          </cell>
        </row>
        <row r="289">
          <cell r="A289" t="str">
            <v>421100910</v>
          </cell>
          <cell r="B289">
            <v>421100</v>
          </cell>
          <cell r="C289">
            <v>910</v>
          </cell>
          <cell r="D289">
            <v>2500</v>
          </cell>
        </row>
        <row r="290">
          <cell r="A290" t="str">
            <v>421103406</v>
          </cell>
          <cell r="B290">
            <v>421103</v>
          </cell>
          <cell r="C290">
            <v>406</v>
          </cell>
          <cell r="D290">
            <v>2500</v>
          </cell>
        </row>
        <row r="291">
          <cell r="A291" t="str">
            <v>421103910</v>
          </cell>
          <cell r="B291">
            <v>421103</v>
          </cell>
          <cell r="C291">
            <v>910</v>
          </cell>
          <cell r="D291">
            <v>2500</v>
          </cell>
        </row>
        <row r="292">
          <cell r="A292" t="str">
            <v>421125661640</v>
          </cell>
          <cell r="B292">
            <v>421125</v>
          </cell>
          <cell r="C292">
            <v>661640</v>
          </cell>
        </row>
        <row r="293">
          <cell r="A293" t="str">
            <v>4211252700</v>
          </cell>
          <cell r="B293">
            <v>421125</v>
          </cell>
          <cell r="C293">
            <v>2700</v>
          </cell>
          <cell r="D293">
            <v>20000</v>
          </cell>
        </row>
        <row r="294">
          <cell r="A294" t="str">
            <v>421125799</v>
          </cell>
          <cell r="B294">
            <v>421125</v>
          </cell>
          <cell r="C294">
            <v>799</v>
          </cell>
          <cell r="D294">
            <v>50000</v>
          </cell>
        </row>
        <row r="295">
          <cell r="A295" t="str">
            <v>421654521</v>
          </cell>
          <cell r="B295">
            <v>421654</v>
          </cell>
          <cell r="C295">
            <v>521</v>
          </cell>
          <cell r="D295">
            <v>6000</v>
          </cell>
        </row>
        <row r="296">
          <cell r="A296" t="str">
            <v>421654797</v>
          </cell>
          <cell r="B296">
            <v>421654</v>
          </cell>
          <cell r="C296">
            <v>797</v>
          </cell>
          <cell r="D296">
            <v>6000</v>
          </cell>
        </row>
        <row r="297">
          <cell r="A297" t="str">
            <v>421686501</v>
          </cell>
          <cell r="B297">
            <v>421686</v>
          </cell>
          <cell r="C297">
            <v>501</v>
          </cell>
          <cell r="D297">
            <v>3500</v>
          </cell>
        </row>
        <row r="298">
          <cell r="A298" t="str">
            <v>421686661335</v>
          </cell>
          <cell r="B298">
            <v>421686</v>
          </cell>
          <cell r="C298">
            <v>661335</v>
          </cell>
        </row>
        <row r="299">
          <cell r="A299" t="str">
            <v>4216862700</v>
          </cell>
          <cell r="B299">
            <v>421686</v>
          </cell>
          <cell r="C299">
            <v>2700</v>
          </cell>
          <cell r="D299">
            <v>10000</v>
          </cell>
        </row>
        <row r="300">
          <cell r="A300" t="str">
            <v>421686777</v>
          </cell>
          <cell r="B300">
            <v>421686</v>
          </cell>
          <cell r="C300">
            <v>777</v>
          </cell>
          <cell r="D300">
            <v>20000</v>
          </cell>
        </row>
        <row r="301">
          <cell r="A301" t="str">
            <v>421867550</v>
          </cell>
          <cell r="B301">
            <v>421867</v>
          </cell>
          <cell r="C301">
            <v>550</v>
          </cell>
          <cell r="D301">
            <v>4800</v>
          </cell>
        </row>
        <row r="302">
          <cell r="A302" t="str">
            <v>421867910</v>
          </cell>
          <cell r="B302">
            <v>421867</v>
          </cell>
          <cell r="C302">
            <v>910</v>
          </cell>
          <cell r="D302">
            <v>4800</v>
          </cell>
        </row>
        <row r="303">
          <cell r="A303" t="str">
            <v>421867201482</v>
          </cell>
          <cell r="B303">
            <v>421867</v>
          </cell>
          <cell r="C303">
            <v>201482</v>
          </cell>
        </row>
        <row r="304">
          <cell r="A304" t="str">
            <v>421867799</v>
          </cell>
          <cell r="B304">
            <v>421867</v>
          </cell>
          <cell r="C304">
            <v>799</v>
          </cell>
        </row>
        <row r="305">
          <cell r="A305" t="str">
            <v>42186791160</v>
          </cell>
          <cell r="B305">
            <v>421867</v>
          </cell>
          <cell r="C305">
            <v>91160</v>
          </cell>
        </row>
        <row r="306">
          <cell r="A306" t="str">
            <v>421867799</v>
          </cell>
          <cell r="B306">
            <v>421867</v>
          </cell>
          <cell r="C306">
            <v>799</v>
          </cell>
          <cell r="D306">
            <v>99999999</v>
          </cell>
        </row>
        <row r="307">
          <cell r="A307" t="str">
            <v>421867799</v>
          </cell>
          <cell r="B307">
            <v>421867</v>
          </cell>
          <cell r="C307">
            <v>799</v>
          </cell>
          <cell r="D307">
            <v>30000</v>
          </cell>
        </row>
        <row r="308">
          <cell r="A308" t="str">
            <v>422003550</v>
          </cell>
          <cell r="B308">
            <v>422003</v>
          </cell>
          <cell r="C308">
            <v>550</v>
          </cell>
          <cell r="D308">
            <v>5000</v>
          </cell>
        </row>
        <row r="309">
          <cell r="A309" t="str">
            <v>422003910</v>
          </cell>
          <cell r="B309">
            <v>422003</v>
          </cell>
          <cell r="C309">
            <v>910</v>
          </cell>
          <cell r="D309">
            <v>5000</v>
          </cell>
        </row>
        <row r="310">
          <cell r="A310" t="str">
            <v>4220032700</v>
          </cell>
          <cell r="B310">
            <v>422003</v>
          </cell>
          <cell r="C310">
            <v>2700</v>
          </cell>
          <cell r="D310">
            <v>15000</v>
          </cell>
        </row>
        <row r="311">
          <cell r="A311" t="str">
            <v>422003777</v>
          </cell>
          <cell r="B311">
            <v>422003</v>
          </cell>
          <cell r="C311">
            <v>777</v>
          </cell>
          <cell r="D311">
            <v>40000</v>
          </cell>
        </row>
        <row r="312">
          <cell r="A312" t="str">
            <v>422007500</v>
          </cell>
          <cell r="B312">
            <v>422007</v>
          </cell>
          <cell r="C312">
            <v>500</v>
          </cell>
          <cell r="D312">
            <v>18000</v>
          </cell>
        </row>
        <row r="313">
          <cell r="A313" t="str">
            <v>4220072700</v>
          </cell>
          <cell r="B313">
            <v>422007</v>
          </cell>
          <cell r="C313">
            <v>2700</v>
          </cell>
          <cell r="D313">
            <v>20000</v>
          </cell>
        </row>
        <row r="314">
          <cell r="A314" t="str">
            <v>422007777</v>
          </cell>
          <cell r="B314">
            <v>422007</v>
          </cell>
          <cell r="C314">
            <v>777</v>
          </cell>
          <cell r="D314">
            <v>50000</v>
          </cell>
        </row>
        <row r="315">
          <cell r="A315" t="str">
            <v>422016522</v>
          </cell>
          <cell r="B315">
            <v>422016</v>
          </cell>
          <cell r="C315">
            <v>522</v>
          </cell>
          <cell r="D315">
            <v>3300</v>
          </cell>
        </row>
        <row r="316">
          <cell r="A316" t="str">
            <v>422016910</v>
          </cell>
          <cell r="B316">
            <v>422016</v>
          </cell>
          <cell r="C316">
            <v>910</v>
          </cell>
          <cell r="D316">
            <v>3300</v>
          </cell>
        </row>
        <row r="317">
          <cell r="A317" t="str">
            <v>422016799</v>
          </cell>
          <cell r="B317">
            <v>422016</v>
          </cell>
          <cell r="C317">
            <v>799</v>
          </cell>
        </row>
        <row r="318">
          <cell r="A318" t="str">
            <v>422086504</v>
          </cell>
          <cell r="B318">
            <v>422086</v>
          </cell>
          <cell r="C318">
            <v>504</v>
          </cell>
          <cell r="D318">
            <v>3000</v>
          </cell>
        </row>
        <row r="319">
          <cell r="A319" t="str">
            <v>422086910</v>
          </cell>
          <cell r="B319">
            <v>422086</v>
          </cell>
          <cell r="C319">
            <v>910</v>
          </cell>
          <cell r="D319">
            <v>3000</v>
          </cell>
        </row>
        <row r="320">
          <cell r="A320" t="str">
            <v>4220862700</v>
          </cell>
          <cell r="B320">
            <v>422086</v>
          </cell>
          <cell r="C320">
            <v>2700</v>
          </cell>
          <cell r="D320">
            <v>20000</v>
          </cell>
        </row>
        <row r="321">
          <cell r="A321" t="str">
            <v>422086777</v>
          </cell>
          <cell r="B321">
            <v>422086</v>
          </cell>
          <cell r="C321">
            <v>777</v>
          </cell>
          <cell r="D321">
            <v>100000</v>
          </cell>
        </row>
        <row r="322">
          <cell r="A322" t="str">
            <v>422088500</v>
          </cell>
          <cell r="B322">
            <v>422088</v>
          </cell>
          <cell r="C322">
            <v>500</v>
          </cell>
          <cell r="D322">
            <v>5000</v>
          </cell>
        </row>
        <row r="323">
          <cell r="A323" t="str">
            <v>4220882700</v>
          </cell>
          <cell r="B323">
            <v>422088</v>
          </cell>
          <cell r="C323">
            <v>2700</v>
          </cell>
          <cell r="D323">
            <v>20000</v>
          </cell>
        </row>
        <row r="324">
          <cell r="A324" t="str">
            <v>422088777</v>
          </cell>
          <cell r="B324">
            <v>422088</v>
          </cell>
          <cell r="C324">
            <v>777</v>
          </cell>
          <cell r="D324">
            <v>40000</v>
          </cell>
        </row>
        <row r="325">
          <cell r="A325" t="str">
            <v>422136505</v>
          </cell>
          <cell r="B325">
            <v>422136</v>
          </cell>
          <cell r="C325">
            <v>505</v>
          </cell>
          <cell r="D325">
            <v>3600</v>
          </cell>
        </row>
        <row r="326">
          <cell r="A326" t="str">
            <v>422136910</v>
          </cell>
          <cell r="B326">
            <v>422136</v>
          </cell>
          <cell r="C326">
            <v>910</v>
          </cell>
          <cell r="D326">
            <v>3600</v>
          </cell>
        </row>
        <row r="327">
          <cell r="A327" t="str">
            <v>4221362700</v>
          </cell>
          <cell r="B327">
            <v>422136</v>
          </cell>
          <cell r="C327">
            <v>2700</v>
          </cell>
          <cell r="D327">
            <v>4500</v>
          </cell>
        </row>
        <row r="328">
          <cell r="A328" t="str">
            <v>422136791</v>
          </cell>
          <cell r="B328">
            <v>422136</v>
          </cell>
          <cell r="C328">
            <v>791</v>
          </cell>
          <cell r="D328">
            <v>1000</v>
          </cell>
        </row>
        <row r="329">
          <cell r="A329" t="str">
            <v>422185550</v>
          </cell>
          <cell r="B329">
            <v>422185</v>
          </cell>
          <cell r="C329">
            <v>550</v>
          </cell>
          <cell r="D329">
            <v>3000</v>
          </cell>
        </row>
        <row r="330">
          <cell r="A330" t="str">
            <v>422185671330</v>
          </cell>
          <cell r="B330">
            <v>422185</v>
          </cell>
          <cell r="C330">
            <v>671330</v>
          </cell>
        </row>
        <row r="331">
          <cell r="A331" t="str">
            <v>42218531568</v>
          </cell>
          <cell r="B331">
            <v>422185</v>
          </cell>
          <cell r="C331">
            <v>31568</v>
          </cell>
        </row>
        <row r="332">
          <cell r="A332" t="str">
            <v>422185799</v>
          </cell>
          <cell r="B332">
            <v>422185</v>
          </cell>
          <cell r="C332">
            <v>799</v>
          </cell>
          <cell r="D332">
            <v>0</v>
          </cell>
        </row>
        <row r="333">
          <cell r="A333" t="str">
            <v>422185782</v>
          </cell>
          <cell r="B333">
            <v>422185</v>
          </cell>
          <cell r="C333">
            <v>782</v>
          </cell>
          <cell r="D333">
            <v>530</v>
          </cell>
        </row>
        <row r="334">
          <cell r="A334" t="str">
            <v>422262500</v>
          </cell>
          <cell r="B334">
            <v>422262</v>
          </cell>
          <cell r="C334">
            <v>500</v>
          </cell>
          <cell r="D334">
            <v>6000</v>
          </cell>
        </row>
        <row r="335">
          <cell r="A335" t="str">
            <v>4222622700</v>
          </cell>
          <cell r="B335">
            <v>422262</v>
          </cell>
          <cell r="C335">
            <v>2700</v>
          </cell>
          <cell r="D335">
            <v>20000</v>
          </cell>
        </row>
        <row r="336">
          <cell r="A336" t="str">
            <v>422262777</v>
          </cell>
          <cell r="B336">
            <v>422262</v>
          </cell>
          <cell r="C336">
            <v>777</v>
          </cell>
          <cell r="D336">
            <v>40000</v>
          </cell>
        </row>
        <row r="337">
          <cell r="A337" t="str">
            <v>422297500</v>
          </cell>
          <cell r="B337">
            <v>422297</v>
          </cell>
          <cell r="C337">
            <v>500</v>
          </cell>
          <cell r="D337">
            <v>24000</v>
          </cell>
        </row>
        <row r="338">
          <cell r="A338" t="str">
            <v>422297782</v>
          </cell>
          <cell r="B338">
            <v>422297</v>
          </cell>
          <cell r="C338">
            <v>782</v>
          </cell>
          <cell r="D338">
            <v>4000</v>
          </cell>
        </row>
        <row r="339">
          <cell r="A339" t="str">
            <v>4222972700</v>
          </cell>
          <cell r="B339">
            <v>422297</v>
          </cell>
          <cell r="C339">
            <v>2700</v>
          </cell>
          <cell r="D339">
            <v>60000</v>
          </cell>
        </row>
        <row r="340">
          <cell r="A340" t="str">
            <v>422297799</v>
          </cell>
          <cell r="B340">
            <v>422297</v>
          </cell>
          <cell r="C340">
            <v>799</v>
          </cell>
          <cell r="D340">
            <v>40000</v>
          </cell>
        </row>
        <row r="341">
          <cell r="A341" t="str">
            <v>422443523</v>
          </cell>
          <cell r="B341">
            <v>422443</v>
          </cell>
          <cell r="C341">
            <v>523</v>
          </cell>
          <cell r="D341">
            <v>4000</v>
          </cell>
        </row>
        <row r="342">
          <cell r="A342" t="str">
            <v>422443913</v>
          </cell>
          <cell r="B342">
            <v>422443</v>
          </cell>
          <cell r="C342">
            <v>913</v>
          </cell>
          <cell r="D342">
            <v>4000</v>
          </cell>
        </row>
        <row r="343">
          <cell r="A343" t="str">
            <v>422443799</v>
          </cell>
          <cell r="B343">
            <v>422443</v>
          </cell>
          <cell r="C343">
            <v>799</v>
          </cell>
          <cell r="D343">
            <v>1000</v>
          </cell>
        </row>
        <row r="344">
          <cell r="A344" t="str">
            <v>422443799</v>
          </cell>
          <cell r="B344">
            <v>422443</v>
          </cell>
          <cell r="C344">
            <v>799</v>
          </cell>
        </row>
        <row r="345">
          <cell r="A345" t="str">
            <v>4224432700</v>
          </cell>
          <cell r="B345">
            <v>422443</v>
          </cell>
          <cell r="C345">
            <v>2700</v>
          </cell>
          <cell r="D345">
            <v>10000</v>
          </cell>
        </row>
        <row r="346">
          <cell r="A346" t="str">
            <v>422443799</v>
          </cell>
          <cell r="B346">
            <v>422443</v>
          </cell>
          <cell r="C346">
            <v>799</v>
          </cell>
          <cell r="D346">
            <v>20000</v>
          </cell>
        </row>
        <row r="347">
          <cell r="A347" t="str">
            <v>422444523</v>
          </cell>
          <cell r="B347">
            <v>422444</v>
          </cell>
          <cell r="C347">
            <v>523</v>
          </cell>
          <cell r="D347">
            <v>4000</v>
          </cell>
        </row>
        <row r="348">
          <cell r="A348" t="str">
            <v>422444913</v>
          </cell>
          <cell r="B348">
            <v>422444</v>
          </cell>
          <cell r="C348">
            <v>913</v>
          </cell>
          <cell r="D348">
            <v>4000</v>
          </cell>
        </row>
        <row r="349">
          <cell r="A349" t="str">
            <v>422444799</v>
          </cell>
          <cell r="B349">
            <v>422444</v>
          </cell>
          <cell r="C349">
            <v>799</v>
          </cell>
          <cell r="D349">
            <v>1000</v>
          </cell>
        </row>
        <row r="350">
          <cell r="A350" t="str">
            <v>422444799</v>
          </cell>
          <cell r="B350">
            <v>422444</v>
          </cell>
          <cell r="C350">
            <v>799</v>
          </cell>
        </row>
        <row r="351">
          <cell r="A351" t="str">
            <v>4224442700</v>
          </cell>
          <cell r="B351">
            <v>422444</v>
          </cell>
          <cell r="C351">
            <v>2700</v>
          </cell>
          <cell r="D351">
            <v>10000</v>
          </cell>
        </row>
        <row r="352">
          <cell r="A352" t="str">
            <v>422444799</v>
          </cell>
          <cell r="B352">
            <v>422444</v>
          </cell>
          <cell r="C352">
            <v>799</v>
          </cell>
          <cell r="D352">
            <v>20000</v>
          </cell>
        </row>
        <row r="353">
          <cell r="A353" t="str">
            <v>422449504</v>
          </cell>
          <cell r="B353">
            <v>422449</v>
          </cell>
          <cell r="C353">
            <v>504</v>
          </cell>
          <cell r="D353">
            <v>4000</v>
          </cell>
        </row>
        <row r="354">
          <cell r="A354" t="str">
            <v>422449910</v>
          </cell>
          <cell r="B354">
            <v>422449</v>
          </cell>
          <cell r="C354">
            <v>910</v>
          </cell>
          <cell r="D354">
            <v>4000</v>
          </cell>
        </row>
        <row r="355">
          <cell r="A355" t="str">
            <v>4224492700</v>
          </cell>
          <cell r="B355">
            <v>422449</v>
          </cell>
          <cell r="C355">
            <v>2700</v>
          </cell>
          <cell r="D355">
            <v>30000</v>
          </cell>
        </row>
        <row r="356">
          <cell r="A356" t="str">
            <v>422449777</v>
          </cell>
          <cell r="B356">
            <v>422449</v>
          </cell>
          <cell r="C356">
            <v>777</v>
          </cell>
          <cell r="D356">
            <v>100000</v>
          </cell>
        </row>
        <row r="357">
          <cell r="A357" t="str">
            <v>422459500</v>
          </cell>
          <cell r="B357">
            <v>422459</v>
          </cell>
          <cell r="C357">
            <v>500</v>
          </cell>
          <cell r="D357">
            <v>24000</v>
          </cell>
        </row>
        <row r="358">
          <cell r="A358" t="str">
            <v>422459782</v>
          </cell>
          <cell r="B358">
            <v>422459</v>
          </cell>
          <cell r="C358">
            <v>782</v>
          </cell>
          <cell r="D358">
            <v>4000</v>
          </cell>
        </row>
        <row r="359">
          <cell r="A359" t="str">
            <v>4224592700</v>
          </cell>
          <cell r="B359">
            <v>422459</v>
          </cell>
          <cell r="C359">
            <v>2700</v>
          </cell>
          <cell r="D359">
            <v>30000</v>
          </cell>
        </row>
        <row r="360">
          <cell r="A360" t="str">
            <v>422459799</v>
          </cell>
          <cell r="B360">
            <v>422459</v>
          </cell>
          <cell r="C360">
            <v>799</v>
          </cell>
          <cell r="D360">
            <v>40000</v>
          </cell>
        </row>
        <row r="361">
          <cell r="A361" t="str">
            <v>422468550</v>
          </cell>
          <cell r="B361">
            <v>422468</v>
          </cell>
          <cell r="C361">
            <v>550</v>
          </cell>
          <cell r="D361">
            <v>3000</v>
          </cell>
        </row>
        <row r="362">
          <cell r="A362" t="str">
            <v>422468671330</v>
          </cell>
          <cell r="B362">
            <v>422468</v>
          </cell>
          <cell r="C362">
            <v>671330</v>
          </cell>
        </row>
        <row r="363">
          <cell r="A363" t="str">
            <v>42246831568</v>
          </cell>
          <cell r="B363">
            <v>422468</v>
          </cell>
          <cell r="C363">
            <v>31568</v>
          </cell>
        </row>
        <row r="364">
          <cell r="A364" t="str">
            <v>422468799</v>
          </cell>
          <cell r="B364">
            <v>422468</v>
          </cell>
          <cell r="C364">
            <v>799</v>
          </cell>
          <cell r="D364">
            <v>100000</v>
          </cell>
        </row>
        <row r="365">
          <cell r="A365" t="str">
            <v>422468799</v>
          </cell>
          <cell r="B365">
            <v>422468</v>
          </cell>
          <cell r="C365">
            <v>799</v>
          </cell>
          <cell r="D365">
            <v>500</v>
          </cell>
        </row>
        <row r="366">
          <cell r="A366" t="str">
            <v>422468782</v>
          </cell>
          <cell r="B366">
            <v>422468</v>
          </cell>
          <cell r="C366">
            <v>782</v>
          </cell>
          <cell r="D366">
            <v>600</v>
          </cell>
        </row>
        <row r="367">
          <cell r="A367" t="str">
            <v>422470550</v>
          </cell>
          <cell r="B367">
            <v>422470</v>
          </cell>
          <cell r="C367">
            <v>550</v>
          </cell>
          <cell r="D367">
            <v>6000</v>
          </cell>
        </row>
        <row r="368">
          <cell r="A368" t="str">
            <v>422470910</v>
          </cell>
          <cell r="B368">
            <v>422470</v>
          </cell>
          <cell r="C368">
            <v>910</v>
          </cell>
          <cell r="D368">
            <v>6000</v>
          </cell>
        </row>
        <row r="369">
          <cell r="A369" t="str">
            <v>4224702700</v>
          </cell>
          <cell r="B369">
            <v>422470</v>
          </cell>
          <cell r="C369">
            <v>2700</v>
          </cell>
          <cell r="D369">
            <v>15000</v>
          </cell>
        </row>
        <row r="370">
          <cell r="A370" t="str">
            <v>422470799</v>
          </cell>
          <cell r="B370">
            <v>422470</v>
          </cell>
          <cell r="C370">
            <v>799</v>
          </cell>
        </row>
        <row r="371">
          <cell r="A371" t="str">
            <v>422470799</v>
          </cell>
          <cell r="B371">
            <v>422470</v>
          </cell>
          <cell r="C371">
            <v>799</v>
          </cell>
          <cell r="D371">
            <v>30000</v>
          </cell>
        </row>
        <row r="372">
          <cell r="A372" t="str">
            <v>422480500</v>
          </cell>
          <cell r="B372">
            <v>422480</v>
          </cell>
          <cell r="C372">
            <v>500</v>
          </cell>
          <cell r="D372">
            <v>4800</v>
          </cell>
        </row>
        <row r="373">
          <cell r="A373" t="str">
            <v>422480910</v>
          </cell>
          <cell r="B373">
            <v>422480</v>
          </cell>
          <cell r="C373">
            <v>910</v>
          </cell>
          <cell r="D373">
            <v>4800</v>
          </cell>
        </row>
        <row r="374">
          <cell r="A374" t="str">
            <v>422480655</v>
          </cell>
          <cell r="B374">
            <v>422480</v>
          </cell>
          <cell r="C374">
            <v>655</v>
          </cell>
          <cell r="D374">
            <v>375</v>
          </cell>
        </row>
        <row r="375">
          <cell r="A375" t="str">
            <v>422480794</v>
          </cell>
          <cell r="B375">
            <v>422480</v>
          </cell>
          <cell r="C375">
            <v>794</v>
          </cell>
          <cell r="D375">
            <v>0</v>
          </cell>
        </row>
        <row r="376">
          <cell r="A376" t="str">
            <v>422480728</v>
          </cell>
          <cell r="B376">
            <v>422480</v>
          </cell>
          <cell r="C376">
            <v>728</v>
          </cell>
          <cell r="D376">
            <v>600</v>
          </cell>
        </row>
        <row r="377">
          <cell r="A377" t="str">
            <v>422480782</v>
          </cell>
          <cell r="B377">
            <v>422480</v>
          </cell>
          <cell r="C377">
            <v>782</v>
          </cell>
          <cell r="D377">
            <v>1000</v>
          </cell>
        </row>
        <row r="378">
          <cell r="A378" t="str">
            <v>422480782</v>
          </cell>
          <cell r="B378">
            <v>422480</v>
          </cell>
          <cell r="C378">
            <v>782</v>
          </cell>
          <cell r="D378">
            <v>600</v>
          </cell>
        </row>
        <row r="379">
          <cell r="A379" t="str">
            <v>422481500</v>
          </cell>
          <cell r="B379">
            <v>422481</v>
          </cell>
          <cell r="C379">
            <v>500</v>
          </cell>
          <cell r="D379">
            <v>4800</v>
          </cell>
        </row>
        <row r="380">
          <cell r="A380" t="str">
            <v>422481910</v>
          </cell>
          <cell r="B380">
            <v>422481</v>
          </cell>
          <cell r="C380">
            <v>910</v>
          </cell>
          <cell r="D380">
            <v>4800</v>
          </cell>
        </row>
        <row r="381">
          <cell r="A381" t="str">
            <v>422481655</v>
          </cell>
          <cell r="B381">
            <v>422481</v>
          </cell>
          <cell r="C381">
            <v>655</v>
          </cell>
          <cell r="D381">
            <v>500</v>
          </cell>
        </row>
        <row r="382">
          <cell r="A382" t="str">
            <v>422481794</v>
          </cell>
          <cell r="B382">
            <v>422481</v>
          </cell>
          <cell r="C382">
            <v>794</v>
          </cell>
          <cell r="D382">
            <v>0</v>
          </cell>
        </row>
        <row r="383">
          <cell r="A383" t="str">
            <v>422481728</v>
          </cell>
          <cell r="B383">
            <v>422481</v>
          </cell>
          <cell r="C383">
            <v>728</v>
          </cell>
          <cell r="D383">
            <v>1000</v>
          </cell>
        </row>
        <row r="384">
          <cell r="A384" t="str">
            <v>422481782</v>
          </cell>
          <cell r="B384">
            <v>422481</v>
          </cell>
          <cell r="C384">
            <v>782</v>
          </cell>
          <cell r="D384">
            <v>1000</v>
          </cell>
        </row>
        <row r="385">
          <cell r="A385" t="str">
            <v>422601500</v>
          </cell>
          <cell r="B385">
            <v>422601</v>
          </cell>
          <cell r="C385">
            <v>500</v>
          </cell>
          <cell r="D385">
            <v>14000</v>
          </cell>
        </row>
        <row r="386">
          <cell r="A386" t="str">
            <v>4226013600</v>
          </cell>
          <cell r="B386">
            <v>422601</v>
          </cell>
          <cell r="C386">
            <v>3600</v>
          </cell>
          <cell r="D386">
            <v>50000</v>
          </cell>
        </row>
        <row r="387">
          <cell r="A387" t="str">
            <v>422601782</v>
          </cell>
          <cell r="B387">
            <v>422601</v>
          </cell>
          <cell r="C387">
            <v>782</v>
          </cell>
          <cell r="D387">
            <v>1000</v>
          </cell>
        </row>
        <row r="388">
          <cell r="A388" t="str">
            <v>422601799</v>
          </cell>
          <cell r="B388">
            <v>422601</v>
          </cell>
          <cell r="C388">
            <v>799</v>
          </cell>
          <cell r="D388">
            <v>100000</v>
          </cell>
        </row>
        <row r="389">
          <cell r="A389" t="str">
            <v>450072452</v>
          </cell>
          <cell r="B389">
            <v>450072</v>
          </cell>
          <cell r="C389">
            <v>452</v>
          </cell>
          <cell r="D389">
            <v>600</v>
          </cell>
        </row>
        <row r="390">
          <cell r="A390" t="str">
            <v>450072910</v>
          </cell>
          <cell r="B390">
            <v>450072</v>
          </cell>
          <cell r="C390">
            <v>910</v>
          </cell>
          <cell r="D390">
            <v>600</v>
          </cell>
        </row>
        <row r="391">
          <cell r="A391" t="str">
            <v>450179122</v>
          </cell>
          <cell r="B391">
            <v>450179</v>
          </cell>
          <cell r="C391">
            <v>122</v>
          </cell>
          <cell r="D391">
            <v>7000</v>
          </cell>
        </row>
        <row r="392">
          <cell r="A392" t="str">
            <v>450179917</v>
          </cell>
          <cell r="B392">
            <v>450179</v>
          </cell>
          <cell r="C392">
            <v>917</v>
          </cell>
          <cell r="D392">
            <v>7000</v>
          </cell>
        </row>
        <row r="393">
          <cell r="A393" t="str">
            <v>450348122</v>
          </cell>
          <cell r="B393">
            <v>450348</v>
          </cell>
          <cell r="C393">
            <v>122</v>
          </cell>
          <cell r="D393">
            <v>2200</v>
          </cell>
        </row>
        <row r="394">
          <cell r="A394" t="str">
            <v>450348917</v>
          </cell>
          <cell r="B394">
            <v>450348</v>
          </cell>
          <cell r="C394">
            <v>917</v>
          </cell>
          <cell r="D394">
            <v>2200</v>
          </cell>
        </row>
        <row r="395">
          <cell r="A395" t="str">
            <v>450431142</v>
          </cell>
          <cell r="B395">
            <v>450431</v>
          </cell>
          <cell r="C395">
            <v>142</v>
          </cell>
          <cell r="D395">
            <v>8000</v>
          </cell>
        </row>
        <row r="396">
          <cell r="A396" t="str">
            <v>450431798</v>
          </cell>
          <cell r="B396">
            <v>450431</v>
          </cell>
          <cell r="C396">
            <v>798</v>
          </cell>
          <cell r="D396">
            <v>8000</v>
          </cell>
        </row>
        <row r="397">
          <cell r="A397" t="str">
            <v>450431910</v>
          </cell>
          <cell r="B397">
            <v>450431</v>
          </cell>
          <cell r="C397">
            <v>910</v>
          </cell>
          <cell r="D397">
            <v>8000</v>
          </cell>
        </row>
        <row r="398">
          <cell r="A398" t="str">
            <v>4504312700</v>
          </cell>
          <cell r="B398">
            <v>450431</v>
          </cell>
          <cell r="C398">
            <v>2700</v>
          </cell>
          <cell r="D398">
            <v>15000</v>
          </cell>
        </row>
        <row r="399">
          <cell r="A399" t="str">
            <v>450431750</v>
          </cell>
          <cell r="B399">
            <v>450431</v>
          </cell>
          <cell r="C399">
            <v>750</v>
          </cell>
          <cell r="D399">
            <v>5000</v>
          </cell>
        </row>
        <row r="400">
          <cell r="A400" t="str">
            <v>450612406</v>
          </cell>
          <cell r="B400">
            <v>450612</v>
          </cell>
          <cell r="C400">
            <v>406</v>
          </cell>
          <cell r="D400">
            <v>3000</v>
          </cell>
        </row>
        <row r="401">
          <cell r="A401" t="str">
            <v>450612910</v>
          </cell>
          <cell r="B401">
            <v>450612</v>
          </cell>
          <cell r="C401">
            <v>910</v>
          </cell>
          <cell r="D401">
            <v>3000</v>
          </cell>
        </row>
        <row r="402">
          <cell r="A402" t="str">
            <v>45061291160</v>
          </cell>
          <cell r="B402">
            <v>450612</v>
          </cell>
          <cell r="C402">
            <v>91160</v>
          </cell>
          <cell r="D402">
            <v>500</v>
          </cell>
        </row>
        <row r="403">
          <cell r="A403" t="str">
            <v>450612799</v>
          </cell>
          <cell r="B403">
            <v>450612</v>
          </cell>
          <cell r="C403">
            <v>799</v>
          </cell>
          <cell r="D403">
            <v>100000</v>
          </cell>
        </row>
        <row r="404">
          <cell r="A404" t="str">
            <v>450636142</v>
          </cell>
          <cell r="B404">
            <v>450636</v>
          </cell>
          <cell r="C404">
            <v>142</v>
          </cell>
          <cell r="D404">
            <v>8000</v>
          </cell>
        </row>
        <row r="405">
          <cell r="A405" t="str">
            <v>450636910</v>
          </cell>
          <cell r="B405">
            <v>450636</v>
          </cell>
          <cell r="C405">
            <v>910</v>
          </cell>
          <cell r="D405">
            <v>8000</v>
          </cell>
        </row>
        <row r="406">
          <cell r="A406" t="str">
            <v>4506362700</v>
          </cell>
          <cell r="B406">
            <v>450636</v>
          </cell>
          <cell r="C406">
            <v>2700</v>
          </cell>
          <cell r="D406">
            <v>10000</v>
          </cell>
        </row>
        <row r="407">
          <cell r="A407" t="str">
            <v>450636777</v>
          </cell>
          <cell r="B407">
            <v>450636</v>
          </cell>
          <cell r="C407">
            <v>777</v>
          </cell>
          <cell r="D407">
            <v>10000</v>
          </cell>
        </row>
        <row r="408">
          <cell r="A408" t="str">
            <v>450647142</v>
          </cell>
          <cell r="B408">
            <v>450647</v>
          </cell>
          <cell r="C408">
            <v>142</v>
          </cell>
          <cell r="D408">
            <v>8000</v>
          </cell>
        </row>
        <row r="409">
          <cell r="A409" t="str">
            <v>450647798</v>
          </cell>
          <cell r="B409">
            <v>450647</v>
          </cell>
          <cell r="C409">
            <v>798</v>
          </cell>
          <cell r="D409">
            <v>8000</v>
          </cell>
        </row>
        <row r="410">
          <cell r="A410" t="str">
            <v>450647910</v>
          </cell>
          <cell r="B410">
            <v>450647</v>
          </cell>
          <cell r="C410">
            <v>910</v>
          </cell>
          <cell r="D410">
            <v>8000</v>
          </cell>
        </row>
        <row r="411">
          <cell r="A411" t="str">
            <v>4506472700</v>
          </cell>
          <cell r="B411">
            <v>450647</v>
          </cell>
          <cell r="C411">
            <v>2700</v>
          </cell>
          <cell r="D411">
            <v>10000</v>
          </cell>
        </row>
        <row r="412">
          <cell r="A412" t="str">
            <v>450647750</v>
          </cell>
          <cell r="B412">
            <v>450647</v>
          </cell>
          <cell r="C412">
            <v>750</v>
          </cell>
          <cell r="D412">
            <v>6000</v>
          </cell>
        </row>
        <row r="413">
          <cell r="A413" t="str">
            <v>450829455</v>
          </cell>
          <cell r="B413">
            <v>450829</v>
          </cell>
          <cell r="C413">
            <v>455</v>
          </cell>
          <cell r="D413">
            <v>500</v>
          </cell>
        </row>
        <row r="414">
          <cell r="A414" t="str">
            <v>450829910</v>
          </cell>
          <cell r="B414">
            <v>450829</v>
          </cell>
          <cell r="C414">
            <v>910</v>
          </cell>
          <cell r="D414">
            <v>500</v>
          </cell>
        </row>
        <row r="415">
          <cell r="A415" t="str">
            <v>450940216</v>
          </cell>
          <cell r="B415">
            <v>450940</v>
          </cell>
          <cell r="C415">
            <v>216</v>
          </cell>
          <cell r="D415">
            <v>1800</v>
          </cell>
        </row>
        <row r="416">
          <cell r="A416" t="str">
            <v>450940915</v>
          </cell>
          <cell r="B416">
            <v>450940</v>
          </cell>
          <cell r="C416">
            <v>915</v>
          </cell>
          <cell r="D416">
            <v>80000</v>
          </cell>
        </row>
        <row r="417">
          <cell r="A417" t="str">
            <v>450940256</v>
          </cell>
          <cell r="B417">
            <v>450940</v>
          </cell>
          <cell r="C417">
            <v>256</v>
          </cell>
          <cell r="D417">
            <v>3000</v>
          </cell>
        </row>
        <row r="418">
          <cell r="A418" t="str">
            <v>450940281</v>
          </cell>
          <cell r="B418">
            <v>450940</v>
          </cell>
          <cell r="C418">
            <v>281</v>
          </cell>
          <cell r="D418">
            <v>2500</v>
          </cell>
        </row>
        <row r="419">
          <cell r="A419" t="str">
            <v>450962142</v>
          </cell>
          <cell r="B419">
            <v>450962</v>
          </cell>
          <cell r="C419">
            <v>142</v>
          </cell>
          <cell r="D419">
            <v>8000</v>
          </cell>
        </row>
        <row r="420">
          <cell r="A420" t="str">
            <v>450962798</v>
          </cell>
          <cell r="B420">
            <v>450962</v>
          </cell>
          <cell r="C420">
            <v>798</v>
          </cell>
          <cell r="D420">
            <v>8000</v>
          </cell>
        </row>
        <row r="421">
          <cell r="A421" t="str">
            <v>450962910</v>
          </cell>
          <cell r="B421">
            <v>450962</v>
          </cell>
          <cell r="C421">
            <v>910</v>
          </cell>
          <cell r="D421">
            <v>8000</v>
          </cell>
        </row>
        <row r="422">
          <cell r="A422" t="str">
            <v>4509622700</v>
          </cell>
          <cell r="B422">
            <v>450962</v>
          </cell>
          <cell r="C422">
            <v>2700</v>
          </cell>
          <cell r="D422">
            <v>15000</v>
          </cell>
        </row>
        <row r="423">
          <cell r="A423" t="str">
            <v>450962750</v>
          </cell>
          <cell r="B423">
            <v>450962</v>
          </cell>
          <cell r="C423">
            <v>750</v>
          </cell>
          <cell r="D423">
            <v>5000</v>
          </cell>
        </row>
        <row r="424">
          <cell r="A424" t="str">
            <v>451002127</v>
          </cell>
          <cell r="B424">
            <v>451002</v>
          </cell>
          <cell r="C424">
            <v>127</v>
          </cell>
          <cell r="D424">
            <v>700</v>
          </cell>
        </row>
        <row r="425">
          <cell r="A425" t="str">
            <v>451002799</v>
          </cell>
          <cell r="B425">
            <v>451002</v>
          </cell>
          <cell r="C425">
            <v>799</v>
          </cell>
          <cell r="D425">
            <v>700</v>
          </cell>
        </row>
        <row r="426">
          <cell r="A426" t="str">
            <v>451383504</v>
          </cell>
          <cell r="B426">
            <v>451383</v>
          </cell>
          <cell r="C426">
            <v>504</v>
          </cell>
          <cell r="D426">
            <v>4800</v>
          </cell>
        </row>
        <row r="427">
          <cell r="A427" t="str">
            <v>451383910</v>
          </cell>
          <cell r="B427">
            <v>451383</v>
          </cell>
          <cell r="C427">
            <v>910</v>
          </cell>
          <cell r="D427">
            <v>4800</v>
          </cell>
        </row>
        <row r="428">
          <cell r="A428" t="str">
            <v>4513833600</v>
          </cell>
          <cell r="B428">
            <v>451383</v>
          </cell>
          <cell r="C428">
            <v>3600</v>
          </cell>
          <cell r="D428">
            <v>70000</v>
          </cell>
        </row>
        <row r="429">
          <cell r="A429" t="str">
            <v>451383777</v>
          </cell>
          <cell r="B429">
            <v>451383</v>
          </cell>
          <cell r="C429">
            <v>777</v>
          </cell>
          <cell r="D429">
            <v>200000</v>
          </cell>
        </row>
        <row r="430">
          <cell r="A430" t="str">
            <v>451384504</v>
          </cell>
          <cell r="B430">
            <v>451384</v>
          </cell>
          <cell r="C430">
            <v>504</v>
          </cell>
          <cell r="D430">
            <v>4800</v>
          </cell>
        </row>
        <row r="431">
          <cell r="A431" t="str">
            <v>451384910</v>
          </cell>
          <cell r="B431">
            <v>451384</v>
          </cell>
          <cell r="C431">
            <v>910</v>
          </cell>
          <cell r="D431">
            <v>4800</v>
          </cell>
        </row>
        <row r="432">
          <cell r="A432" t="str">
            <v>4513843600</v>
          </cell>
          <cell r="B432">
            <v>451384</v>
          </cell>
          <cell r="C432">
            <v>3600</v>
          </cell>
          <cell r="D432">
            <v>70000</v>
          </cell>
        </row>
        <row r="433">
          <cell r="A433" t="str">
            <v>451384777</v>
          </cell>
          <cell r="B433">
            <v>451384</v>
          </cell>
          <cell r="C433">
            <v>777</v>
          </cell>
          <cell r="D433">
            <v>100000</v>
          </cell>
        </row>
        <row r="434">
          <cell r="A434" t="str">
            <v>451400136</v>
          </cell>
          <cell r="B434">
            <v>451400</v>
          </cell>
          <cell r="C434">
            <v>136</v>
          </cell>
          <cell r="D434">
            <v>5000</v>
          </cell>
        </row>
        <row r="435">
          <cell r="A435" t="str">
            <v>451400910</v>
          </cell>
          <cell r="B435">
            <v>451400</v>
          </cell>
          <cell r="C435">
            <v>910</v>
          </cell>
          <cell r="D435">
            <v>5000</v>
          </cell>
        </row>
        <row r="436">
          <cell r="A436" t="str">
            <v>451401136</v>
          </cell>
          <cell r="B436">
            <v>451401</v>
          </cell>
          <cell r="C436">
            <v>136</v>
          </cell>
          <cell r="D436">
            <v>4000</v>
          </cell>
        </row>
        <row r="437">
          <cell r="A437" t="str">
            <v>451401910</v>
          </cell>
          <cell r="B437">
            <v>451401</v>
          </cell>
          <cell r="C437">
            <v>910</v>
          </cell>
          <cell r="D437">
            <v>4000</v>
          </cell>
        </row>
        <row r="438">
          <cell r="A438" t="str">
            <v>451516139</v>
          </cell>
          <cell r="B438">
            <v>451516</v>
          </cell>
          <cell r="C438">
            <v>139</v>
          </cell>
          <cell r="D438">
            <v>5500</v>
          </cell>
        </row>
        <row r="439">
          <cell r="A439" t="str">
            <v>451516910</v>
          </cell>
          <cell r="B439">
            <v>451516</v>
          </cell>
          <cell r="C439">
            <v>910</v>
          </cell>
          <cell r="D439">
            <v>5500</v>
          </cell>
        </row>
        <row r="440">
          <cell r="A440" t="str">
            <v>451516630</v>
          </cell>
          <cell r="B440">
            <v>451516</v>
          </cell>
          <cell r="C440">
            <v>630</v>
          </cell>
          <cell r="D440">
            <v>2200</v>
          </cell>
        </row>
        <row r="441">
          <cell r="A441" t="str">
            <v>451516799</v>
          </cell>
          <cell r="B441">
            <v>451516</v>
          </cell>
          <cell r="C441">
            <v>799</v>
          </cell>
          <cell r="D441">
            <v>20000</v>
          </cell>
        </row>
        <row r="442">
          <cell r="A442" t="str">
            <v>4515162700</v>
          </cell>
          <cell r="B442">
            <v>451516</v>
          </cell>
          <cell r="C442">
            <v>2700</v>
          </cell>
          <cell r="D442">
            <v>10000</v>
          </cell>
        </row>
        <row r="443">
          <cell r="A443" t="str">
            <v>451516799</v>
          </cell>
          <cell r="B443">
            <v>451516</v>
          </cell>
          <cell r="C443">
            <v>799</v>
          </cell>
          <cell r="D443">
            <v>12000</v>
          </cell>
        </row>
        <row r="444">
          <cell r="A444" t="str">
            <v>451558504</v>
          </cell>
          <cell r="B444">
            <v>451558</v>
          </cell>
          <cell r="C444">
            <v>504</v>
          </cell>
          <cell r="D444">
            <v>3000</v>
          </cell>
        </row>
        <row r="445">
          <cell r="A445" t="str">
            <v>451558910</v>
          </cell>
          <cell r="B445">
            <v>451558</v>
          </cell>
          <cell r="C445">
            <v>910</v>
          </cell>
          <cell r="D445">
            <v>3000</v>
          </cell>
        </row>
        <row r="446">
          <cell r="A446" t="str">
            <v>451572221</v>
          </cell>
          <cell r="B446">
            <v>451572</v>
          </cell>
          <cell r="C446">
            <v>221</v>
          </cell>
          <cell r="D446">
            <v>2000</v>
          </cell>
        </row>
        <row r="447">
          <cell r="A447" t="str">
            <v>451572916</v>
          </cell>
          <cell r="B447">
            <v>451572</v>
          </cell>
          <cell r="C447">
            <v>916</v>
          </cell>
          <cell r="D447">
            <v>100000</v>
          </cell>
        </row>
        <row r="448">
          <cell r="A448" t="str">
            <v>451572262</v>
          </cell>
          <cell r="B448">
            <v>451572</v>
          </cell>
          <cell r="C448">
            <v>262</v>
          </cell>
          <cell r="D448">
            <v>2500</v>
          </cell>
        </row>
        <row r="449">
          <cell r="A449" t="str">
            <v>451572724</v>
          </cell>
          <cell r="B449">
            <v>451572</v>
          </cell>
          <cell r="C449">
            <v>724</v>
          </cell>
          <cell r="D449">
            <v>100000</v>
          </cell>
        </row>
        <row r="450">
          <cell r="A450" t="str">
            <v>451584455</v>
          </cell>
          <cell r="B450">
            <v>451584</v>
          </cell>
          <cell r="C450">
            <v>455</v>
          </cell>
          <cell r="D450">
            <v>540</v>
          </cell>
        </row>
        <row r="451">
          <cell r="A451" t="str">
            <v>451584910</v>
          </cell>
          <cell r="B451">
            <v>451584</v>
          </cell>
          <cell r="C451">
            <v>910</v>
          </cell>
          <cell r="D451">
            <v>540</v>
          </cell>
        </row>
        <row r="452">
          <cell r="A452" t="str">
            <v>451621142</v>
          </cell>
          <cell r="B452">
            <v>451621</v>
          </cell>
          <cell r="C452">
            <v>142</v>
          </cell>
          <cell r="D452">
            <v>8000</v>
          </cell>
        </row>
        <row r="453">
          <cell r="A453" t="str">
            <v>451621798</v>
          </cell>
          <cell r="B453">
            <v>451621</v>
          </cell>
          <cell r="C453">
            <v>798</v>
          </cell>
          <cell r="D453">
            <v>8000</v>
          </cell>
        </row>
        <row r="454">
          <cell r="A454" t="str">
            <v>451621910</v>
          </cell>
          <cell r="B454">
            <v>451621</v>
          </cell>
          <cell r="C454">
            <v>910</v>
          </cell>
          <cell r="D454">
            <v>8000</v>
          </cell>
        </row>
        <row r="455">
          <cell r="A455" t="str">
            <v>4516212700</v>
          </cell>
          <cell r="B455">
            <v>451621</v>
          </cell>
          <cell r="C455">
            <v>2700</v>
          </cell>
          <cell r="D455">
            <v>10000</v>
          </cell>
        </row>
        <row r="456">
          <cell r="A456" t="str">
            <v>451621750</v>
          </cell>
          <cell r="B456">
            <v>451621</v>
          </cell>
          <cell r="C456">
            <v>750</v>
          </cell>
          <cell r="D456">
            <v>5000</v>
          </cell>
        </row>
        <row r="457">
          <cell r="A457" t="str">
            <v>451707221</v>
          </cell>
          <cell r="B457">
            <v>451707</v>
          </cell>
          <cell r="C457">
            <v>221</v>
          </cell>
          <cell r="D457">
            <v>1200</v>
          </cell>
        </row>
        <row r="458">
          <cell r="A458" t="str">
            <v>451707916</v>
          </cell>
          <cell r="B458">
            <v>451707</v>
          </cell>
          <cell r="C458">
            <v>916</v>
          </cell>
          <cell r="D458">
            <v>100000</v>
          </cell>
        </row>
        <row r="459">
          <cell r="A459" t="str">
            <v>451707270</v>
          </cell>
          <cell r="B459">
            <v>451707</v>
          </cell>
          <cell r="C459">
            <v>270</v>
          </cell>
          <cell r="D459">
            <v>1000</v>
          </cell>
        </row>
        <row r="460">
          <cell r="A460" t="str">
            <v>451707780</v>
          </cell>
          <cell r="B460">
            <v>451707</v>
          </cell>
          <cell r="C460">
            <v>780</v>
          </cell>
          <cell r="D460">
            <v>3000</v>
          </cell>
        </row>
        <row r="461">
          <cell r="A461" t="str">
            <v>451792216</v>
          </cell>
          <cell r="B461">
            <v>451792</v>
          </cell>
          <cell r="C461">
            <v>216</v>
          </cell>
          <cell r="D461">
            <v>1300</v>
          </cell>
        </row>
        <row r="462">
          <cell r="A462" t="str">
            <v>451792916</v>
          </cell>
          <cell r="B462">
            <v>451792</v>
          </cell>
          <cell r="C462">
            <v>916</v>
          </cell>
          <cell r="D462">
            <v>100000</v>
          </cell>
        </row>
        <row r="463">
          <cell r="A463" t="str">
            <v>451792265</v>
          </cell>
          <cell r="B463">
            <v>451792</v>
          </cell>
          <cell r="C463">
            <v>265</v>
          </cell>
          <cell r="D463">
            <v>2200</v>
          </cell>
        </row>
        <row r="464">
          <cell r="A464" t="str">
            <v>451792724</v>
          </cell>
          <cell r="B464">
            <v>451792</v>
          </cell>
          <cell r="C464">
            <v>724</v>
          </cell>
          <cell r="D464">
            <v>100000</v>
          </cell>
        </row>
        <row r="465">
          <cell r="A465" t="str">
            <v>451811109</v>
          </cell>
          <cell r="B465">
            <v>451811</v>
          </cell>
          <cell r="C465">
            <v>109</v>
          </cell>
          <cell r="D465">
            <v>4000</v>
          </cell>
        </row>
        <row r="466">
          <cell r="A466" t="str">
            <v>451811906</v>
          </cell>
          <cell r="B466">
            <v>451811</v>
          </cell>
          <cell r="C466">
            <v>906</v>
          </cell>
          <cell r="D466">
            <v>4000</v>
          </cell>
        </row>
        <row r="467">
          <cell r="A467" t="str">
            <v>451844215</v>
          </cell>
          <cell r="B467">
            <v>451844</v>
          </cell>
          <cell r="C467">
            <v>215</v>
          </cell>
          <cell r="D467">
            <v>2300</v>
          </cell>
        </row>
        <row r="468">
          <cell r="A468" t="str">
            <v>451844916</v>
          </cell>
          <cell r="B468">
            <v>451844</v>
          </cell>
          <cell r="C468">
            <v>916</v>
          </cell>
          <cell r="D468">
            <v>100000</v>
          </cell>
        </row>
        <row r="469">
          <cell r="A469" t="str">
            <v>451844258</v>
          </cell>
          <cell r="B469">
            <v>451844</v>
          </cell>
          <cell r="C469">
            <v>258</v>
          </cell>
          <cell r="D469">
            <v>3000</v>
          </cell>
        </row>
        <row r="470">
          <cell r="A470" t="str">
            <v>451844282</v>
          </cell>
          <cell r="B470">
            <v>451844</v>
          </cell>
          <cell r="C470">
            <v>282</v>
          </cell>
          <cell r="D470">
            <v>3500</v>
          </cell>
        </row>
        <row r="471">
          <cell r="A471" t="str">
            <v>451892212</v>
          </cell>
          <cell r="B471">
            <v>451892</v>
          </cell>
          <cell r="C471">
            <v>212</v>
          </cell>
          <cell r="D471">
            <v>700</v>
          </cell>
        </row>
        <row r="472">
          <cell r="A472" t="str">
            <v>451892916</v>
          </cell>
          <cell r="B472">
            <v>451892</v>
          </cell>
          <cell r="C472">
            <v>916</v>
          </cell>
          <cell r="D472">
            <v>100000</v>
          </cell>
        </row>
        <row r="473">
          <cell r="A473" t="str">
            <v>451892270</v>
          </cell>
          <cell r="B473">
            <v>451892</v>
          </cell>
          <cell r="C473">
            <v>270</v>
          </cell>
          <cell r="D473">
            <v>1500</v>
          </cell>
        </row>
        <row r="474">
          <cell r="A474" t="str">
            <v>451892780</v>
          </cell>
          <cell r="B474">
            <v>451892</v>
          </cell>
          <cell r="C474">
            <v>780</v>
          </cell>
          <cell r="D474">
            <v>3000</v>
          </cell>
        </row>
        <row r="475">
          <cell r="A475" t="str">
            <v>451892724</v>
          </cell>
          <cell r="B475">
            <v>451892</v>
          </cell>
          <cell r="C475">
            <v>724</v>
          </cell>
          <cell r="D475">
            <v>100000</v>
          </cell>
        </row>
        <row r="476">
          <cell r="A476" t="str">
            <v>451906216</v>
          </cell>
          <cell r="B476">
            <v>451906</v>
          </cell>
          <cell r="C476">
            <v>216</v>
          </cell>
          <cell r="D476">
            <v>1000</v>
          </cell>
        </row>
        <row r="477">
          <cell r="A477" t="str">
            <v>451906916</v>
          </cell>
          <cell r="B477">
            <v>451906</v>
          </cell>
          <cell r="C477">
            <v>916</v>
          </cell>
          <cell r="D477">
            <v>100000</v>
          </cell>
        </row>
        <row r="478">
          <cell r="A478" t="str">
            <v>451906266</v>
          </cell>
          <cell r="B478">
            <v>451906</v>
          </cell>
          <cell r="C478">
            <v>266</v>
          </cell>
          <cell r="D478">
            <v>1500</v>
          </cell>
        </row>
        <row r="479">
          <cell r="A479" t="str">
            <v>451906780</v>
          </cell>
          <cell r="B479">
            <v>451906</v>
          </cell>
          <cell r="C479">
            <v>780</v>
          </cell>
          <cell r="D479">
            <v>3000</v>
          </cell>
        </row>
        <row r="480">
          <cell r="A480" t="str">
            <v>452017215</v>
          </cell>
          <cell r="B480">
            <v>452017</v>
          </cell>
          <cell r="C480">
            <v>215</v>
          </cell>
          <cell r="D480">
            <v>2000</v>
          </cell>
        </row>
        <row r="481">
          <cell r="A481" t="str">
            <v>452017916</v>
          </cell>
          <cell r="B481">
            <v>452017</v>
          </cell>
          <cell r="C481">
            <v>916</v>
          </cell>
          <cell r="D481">
            <v>100000</v>
          </cell>
        </row>
        <row r="482">
          <cell r="A482" t="str">
            <v>452017262</v>
          </cell>
          <cell r="B482">
            <v>452017</v>
          </cell>
          <cell r="C482">
            <v>262</v>
          </cell>
          <cell r="D482">
            <v>3500</v>
          </cell>
        </row>
        <row r="483">
          <cell r="A483" t="str">
            <v>452017280</v>
          </cell>
          <cell r="B483">
            <v>452017</v>
          </cell>
          <cell r="C483">
            <v>280</v>
          </cell>
          <cell r="D483">
            <v>3000</v>
          </cell>
        </row>
        <row r="484">
          <cell r="A484" t="str">
            <v>452017724</v>
          </cell>
          <cell r="B484">
            <v>452017</v>
          </cell>
          <cell r="C484">
            <v>724</v>
          </cell>
          <cell r="D484">
            <v>100000</v>
          </cell>
        </row>
        <row r="485">
          <cell r="A485" t="str">
            <v>452065207</v>
          </cell>
          <cell r="B485">
            <v>452065</v>
          </cell>
          <cell r="C485">
            <v>207</v>
          </cell>
          <cell r="D485">
            <v>2400</v>
          </cell>
        </row>
        <row r="486">
          <cell r="A486" t="str">
            <v>452065916</v>
          </cell>
          <cell r="B486">
            <v>452065</v>
          </cell>
          <cell r="C486">
            <v>916</v>
          </cell>
          <cell r="D486">
            <v>100000</v>
          </cell>
        </row>
        <row r="487">
          <cell r="A487" t="str">
            <v>452065262</v>
          </cell>
          <cell r="B487">
            <v>452065</v>
          </cell>
          <cell r="C487">
            <v>262</v>
          </cell>
          <cell r="D487">
            <v>3000</v>
          </cell>
        </row>
        <row r="488">
          <cell r="A488" t="str">
            <v>452065282</v>
          </cell>
          <cell r="B488">
            <v>452065</v>
          </cell>
          <cell r="C488">
            <v>282</v>
          </cell>
          <cell r="D488">
            <v>3000</v>
          </cell>
        </row>
        <row r="489">
          <cell r="A489" t="str">
            <v>452083216</v>
          </cell>
          <cell r="B489">
            <v>452083</v>
          </cell>
          <cell r="C489">
            <v>216</v>
          </cell>
          <cell r="D489">
            <v>2300</v>
          </cell>
        </row>
        <row r="490">
          <cell r="A490" t="str">
            <v>452083916</v>
          </cell>
          <cell r="B490">
            <v>452083</v>
          </cell>
          <cell r="C490">
            <v>916</v>
          </cell>
          <cell r="D490">
            <v>100000</v>
          </cell>
        </row>
        <row r="491">
          <cell r="A491" t="str">
            <v>452083261</v>
          </cell>
          <cell r="B491">
            <v>452083</v>
          </cell>
          <cell r="C491">
            <v>261</v>
          </cell>
          <cell r="D491">
            <v>3000</v>
          </cell>
        </row>
        <row r="492">
          <cell r="A492" t="str">
            <v>452083282</v>
          </cell>
          <cell r="B492">
            <v>452083</v>
          </cell>
          <cell r="C492">
            <v>282</v>
          </cell>
          <cell r="D492">
            <v>3000</v>
          </cell>
        </row>
        <row r="493">
          <cell r="A493" t="str">
            <v>452085221</v>
          </cell>
          <cell r="B493">
            <v>452085</v>
          </cell>
          <cell r="C493">
            <v>221</v>
          </cell>
          <cell r="D493">
            <v>4000</v>
          </cell>
        </row>
        <row r="494">
          <cell r="A494" t="str">
            <v>452085916</v>
          </cell>
          <cell r="B494">
            <v>452085</v>
          </cell>
          <cell r="C494">
            <v>916</v>
          </cell>
          <cell r="D494">
            <v>100000</v>
          </cell>
        </row>
        <row r="495">
          <cell r="A495" t="str">
            <v>452085258</v>
          </cell>
          <cell r="B495">
            <v>452085</v>
          </cell>
          <cell r="C495">
            <v>258</v>
          </cell>
          <cell r="D495">
            <v>4000</v>
          </cell>
        </row>
        <row r="496">
          <cell r="A496" t="str">
            <v>452085282</v>
          </cell>
          <cell r="B496">
            <v>452085</v>
          </cell>
          <cell r="C496">
            <v>282</v>
          </cell>
          <cell r="D496">
            <v>3500</v>
          </cell>
        </row>
        <row r="497">
          <cell r="A497" t="str">
            <v>452085724</v>
          </cell>
          <cell r="B497">
            <v>452085</v>
          </cell>
          <cell r="C497">
            <v>724</v>
          </cell>
          <cell r="D497">
            <v>100000</v>
          </cell>
        </row>
        <row r="498">
          <cell r="A498" t="str">
            <v>452089211</v>
          </cell>
          <cell r="B498">
            <v>452089</v>
          </cell>
          <cell r="C498">
            <v>211</v>
          </cell>
          <cell r="D498">
            <v>1500</v>
          </cell>
        </row>
        <row r="499">
          <cell r="A499" t="str">
            <v>452089916</v>
          </cell>
          <cell r="B499">
            <v>452089</v>
          </cell>
          <cell r="C499">
            <v>916</v>
          </cell>
          <cell r="D499">
            <v>100000</v>
          </cell>
        </row>
        <row r="500">
          <cell r="A500" t="str">
            <v>452089265</v>
          </cell>
          <cell r="B500">
            <v>452089</v>
          </cell>
          <cell r="C500">
            <v>265</v>
          </cell>
          <cell r="D500">
            <v>2000</v>
          </cell>
        </row>
        <row r="501">
          <cell r="A501" t="str">
            <v>452089780</v>
          </cell>
          <cell r="B501">
            <v>452089</v>
          </cell>
          <cell r="C501">
            <v>780</v>
          </cell>
          <cell r="D501">
            <v>3000</v>
          </cell>
        </row>
        <row r="502">
          <cell r="A502" t="str">
            <v>452089724</v>
          </cell>
          <cell r="B502">
            <v>452089</v>
          </cell>
          <cell r="C502">
            <v>724</v>
          </cell>
          <cell r="D502">
            <v>100000</v>
          </cell>
        </row>
        <row r="503">
          <cell r="A503" t="str">
            <v>452106221</v>
          </cell>
          <cell r="B503">
            <v>452106</v>
          </cell>
          <cell r="C503">
            <v>221</v>
          </cell>
          <cell r="D503">
            <v>2000</v>
          </cell>
        </row>
        <row r="504">
          <cell r="A504" t="str">
            <v>452106916</v>
          </cell>
          <cell r="B504">
            <v>452106</v>
          </cell>
          <cell r="C504">
            <v>916</v>
          </cell>
          <cell r="D504">
            <v>100000</v>
          </cell>
        </row>
        <row r="505">
          <cell r="A505" t="str">
            <v>452106257</v>
          </cell>
          <cell r="B505">
            <v>452106</v>
          </cell>
          <cell r="C505">
            <v>257</v>
          </cell>
          <cell r="D505">
            <v>3000</v>
          </cell>
        </row>
        <row r="506">
          <cell r="A506" t="str">
            <v>452106281</v>
          </cell>
          <cell r="B506">
            <v>452106</v>
          </cell>
          <cell r="C506">
            <v>281</v>
          </cell>
          <cell r="D506">
            <v>3500</v>
          </cell>
        </row>
        <row r="507">
          <cell r="A507" t="str">
            <v>452108217</v>
          </cell>
          <cell r="B507">
            <v>452108</v>
          </cell>
          <cell r="C507">
            <v>217</v>
          </cell>
          <cell r="D507">
            <v>1800</v>
          </cell>
        </row>
        <row r="508">
          <cell r="A508" t="str">
            <v>452108916</v>
          </cell>
          <cell r="B508">
            <v>452108</v>
          </cell>
          <cell r="C508">
            <v>916</v>
          </cell>
          <cell r="D508">
            <v>100000</v>
          </cell>
        </row>
        <row r="509">
          <cell r="A509" t="str">
            <v>452108256</v>
          </cell>
          <cell r="B509">
            <v>452108</v>
          </cell>
          <cell r="C509">
            <v>256</v>
          </cell>
          <cell r="D509">
            <v>3000</v>
          </cell>
        </row>
        <row r="510">
          <cell r="A510" t="str">
            <v>452108280</v>
          </cell>
          <cell r="B510">
            <v>452108</v>
          </cell>
          <cell r="C510">
            <v>280</v>
          </cell>
          <cell r="D510">
            <v>2500</v>
          </cell>
        </row>
        <row r="511">
          <cell r="A511" t="str">
            <v>452128215</v>
          </cell>
          <cell r="B511">
            <v>452128</v>
          </cell>
          <cell r="C511">
            <v>215</v>
          </cell>
          <cell r="D511">
            <v>1600</v>
          </cell>
        </row>
        <row r="512">
          <cell r="A512" t="str">
            <v>452128916</v>
          </cell>
          <cell r="B512">
            <v>452128</v>
          </cell>
          <cell r="C512">
            <v>916</v>
          </cell>
          <cell r="D512">
            <v>100000</v>
          </cell>
        </row>
        <row r="513">
          <cell r="A513" t="str">
            <v>452128262</v>
          </cell>
          <cell r="B513">
            <v>452128</v>
          </cell>
          <cell r="C513">
            <v>262</v>
          </cell>
          <cell r="D513">
            <v>3000</v>
          </cell>
        </row>
        <row r="514">
          <cell r="A514" t="str">
            <v>452128282</v>
          </cell>
          <cell r="B514">
            <v>452128</v>
          </cell>
          <cell r="C514">
            <v>282</v>
          </cell>
          <cell r="D514">
            <v>3000</v>
          </cell>
        </row>
        <row r="515">
          <cell r="A515" t="str">
            <v>452130215</v>
          </cell>
          <cell r="B515">
            <v>452130</v>
          </cell>
          <cell r="C515">
            <v>215</v>
          </cell>
          <cell r="D515">
            <v>2000</v>
          </cell>
        </row>
        <row r="516">
          <cell r="A516" t="str">
            <v>452130916</v>
          </cell>
          <cell r="B516">
            <v>452130</v>
          </cell>
          <cell r="C516">
            <v>916</v>
          </cell>
          <cell r="D516">
            <v>100000</v>
          </cell>
        </row>
        <row r="517">
          <cell r="A517" t="str">
            <v>452130257</v>
          </cell>
          <cell r="B517">
            <v>452130</v>
          </cell>
          <cell r="C517">
            <v>257</v>
          </cell>
          <cell r="D517">
            <v>3000</v>
          </cell>
        </row>
        <row r="518">
          <cell r="A518" t="str">
            <v>452130282</v>
          </cell>
          <cell r="B518">
            <v>452130</v>
          </cell>
          <cell r="C518">
            <v>282</v>
          </cell>
          <cell r="D518">
            <v>3500</v>
          </cell>
        </row>
        <row r="519">
          <cell r="A519" t="str">
            <v>452196215</v>
          </cell>
          <cell r="B519">
            <v>452196</v>
          </cell>
          <cell r="C519">
            <v>215</v>
          </cell>
          <cell r="D519">
            <v>800</v>
          </cell>
        </row>
        <row r="520">
          <cell r="A520" t="str">
            <v>452196916</v>
          </cell>
          <cell r="B520">
            <v>452196</v>
          </cell>
          <cell r="C520">
            <v>916</v>
          </cell>
          <cell r="D520">
            <v>100000</v>
          </cell>
        </row>
        <row r="521">
          <cell r="A521" t="str">
            <v>452196779</v>
          </cell>
          <cell r="B521">
            <v>452196</v>
          </cell>
          <cell r="C521">
            <v>779</v>
          </cell>
          <cell r="D521">
            <v>400</v>
          </cell>
        </row>
        <row r="522">
          <cell r="A522" t="str">
            <v>452240211</v>
          </cell>
          <cell r="B522">
            <v>452240</v>
          </cell>
          <cell r="C522">
            <v>211</v>
          </cell>
          <cell r="D522">
            <v>1200</v>
          </cell>
        </row>
        <row r="523">
          <cell r="A523" t="str">
            <v>452240916</v>
          </cell>
          <cell r="B523">
            <v>452240</v>
          </cell>
          <cell r="C523">
            <v>916</v>
          </cell>
          <cell r="D523">
            <v>100000</v>
          </cell>
        </row>
        <row r="524">
          <cell r="A524" t="str">
            <v>452240270</v>
          </cell>
          <cell r="B524">
            <v>452240</v>
          </cell>
          <cell r="C524">
            <v>270</v>
          </cell>
          <cell r="D524">
            <v>1800</v>
          </cell>
        </row>
        <row r="525">
          <cell r="A525" t="str">
            <v>452240780</v>
          </cell>
          <cell r="B525">
            <v>452240</v>
          </cell>
          <cell r="C525">
            <v>780</v>
          </cell>
          <cell r="D525">
            <v>3000</v>
          </cell>
        </row>
        <row r="526">
          <cell r="A526" t="str">
            <v>452240724</v>
          </cell>
          <cell r="B526">
            <v>452240</v>
          </cell>
          <cell r="C526">
            <v>724</v>
          </cell>
          <cell r="D526">
            <v>100000</v>
          </cell>
        </row>
        <row r="527">
          <cell r="A527" t="str">
            <v>452366210</v>
          </cell>
          <cell r="B527">
            <v>452366</v>
          </cell>
          <cell r="C527">
            <v>210</v>
          </cell>
          <cell r="D527">
            <v>1600</v>
          </cell>
        </row>
        <row r="528">
          <cell r="A528" t="str">
            <v>452366916</v>
          </cell>
          <cell r="B528">
            <v>452366</v>
          </cell>
          <cell r="C528">
            <v>916</v>
          </cell>
          <cell r="D528">
            <v>100000</v>
          </cell>
        </row>
        <row r="529">
          <cell r="A529" t="str">
            <v>452366260</v>
          </cell>
          <cell r="B529">
            <v>452366</v>
          </cell>
          <cell r="C529">
            <v>260</v>
          </cell>
          <cell r="D529">
            <v>3000</v>
          </cell>
        </row>
        <row r="530">
          <cell r="A530" t="str">
            <v>452366724</v>
          </cell>
          <cell r="B530">
            <v>452366</v>
          </cell>
          <cell r="C530">
            <v>724</v>
          </cell>
          <cell r="D530">
            <v>100000</v>
          </cell>
        </row>
        <row r="531">
          <cell r="A531" t="str">
            <v>452367216</v>
          </cell>
          <cell r="B531">
            <v>452367</v>
          </cell>
          <cell r="C531">
            <v>216</v>
          </cell>
          <cell r="D531">
            <v>1200</v>
          </cell>
        </row>
        <row r="532">
          <cell r="A532" t="str">
            <v>452367916</v>
          </cell>
          <cell r="B532">
            <v>452367</v>
          </cell>
          <cell r="C532">
            <v>916</v>
          </cell>
          <cell r="D532">
            <v>100000</v>
          </cell>
        </row>
        <row r="533">
          <cell r="A533" t="str">
            <v>452367260</v>
          </cell>
          <cell r="B533">
            <v>452367</v>
          </cell>
          <cell r="C533">
            <v>260</v>
          </cell>
          <cell r="D533">
            <v>3000</v>
          </cell>
        </row>
        <row r="534">
          <cell r="A534" t="str">
            <v>452367724</v>
          </cell>
          <cell r="B534">
            <v>452367</v>
          </cell>
          <cell r="C534">
            <v>724</v>
          </cell>
          <cell r="D534">
            <v>100000</v>
          </cell>
        </row>
        <row r="535">
          <cell r="A535" t="str">
            <v>452466406</v>
          </cell>
          <cell r="B535">
            <v>452466</v>
          </cell>
          <cell r="C535">
            <v>406</v>
          </cell>
          <cell r="D535">
            <v>4000</v>
          </cell>
        </row>
        <row r="536">
          <cell r="A536" t="str">
            <v>452466798</v>
          </cell>
          <cell r="B536">
            <v>452466</v>
          </cell>
          <cell r="C536">
            <v>798</v>
          </cell>
          <cell r="D536">
            <v>4000</v>
          </cell>
        </row>
        <row r="537">
          <cell r="A537" t="str">
            <v>452466910</v>
          </cell>
          <cell r="B537">
            <v>452466</v>
          </cell>
          <cell r="C537">
            <v>910</v>
          </cell>
          <cell r="D537">
            <v>4000</v>
          </cell>
        </row>
        <row r="538">
          <cell r="A538" t="str">
            <v>4524662700</v>
          </cell>
          <cell r="B538">
            <v>452466</v>
          </cell>
          <cell r="C538">
            <v>2700</v>
          </cell>
          <cell r="D538">
            <v>15000</v>
          </cell>
        </row>
        <row r="539">
          <cell r="A539" t="str">
            <v>452466750</v>
          </cell>
          <cell r="B539">
            <v>452466</v>
          </cell>
          <cell r="C539">
            <v>750</v>
          </cell>
          <cell r="D539">
            <v>5000</v>
          </cell>
        </row>
        <row r="540">
          <cell r="A540" t="str">
            <v>452526142</v>
          </cell>
          <cell r="B540">
            <v>452526</v>
          </cell>
          <cell r="C540">
            <v>142</v>
          </cell>
          <cell r="D540">
            <v>8000</v>
          </cell>
        </row>
        <row r="541">
          <cell r="A541" t="str">
            <v>452526798</v>
          </cell>
          <cell r="B541">
            <v>452526</v>
          </cell>
          <cell r="C541">
            <v>798</v>
          </cell>
          <cell r="D541">
            <v>8000</v>
          </cell>
        </row>
        <row r="542">
          <cell r="A542" t="str">
            <v>452526910</v>
          </cell>
          <cell r="B542">
            <v>452526</v>
          </cell>
          <cell r="C542">
            <v>910</v>
          </cell>
          <cell r="D542">
            <v>8000</v>
          </cell>
        </row>
        <row r="543">
          <cell r="A543" t="str">
            <v>4525262700</v>
          </cell>
          <cell r="B543">
            <v>452526</v>
          </cell>
          <cell r="C543">
            <v>2700</v>
          </cell>
          <cell r="D543">
            <v>10000</v>
          </cell>
        </row>
        <row r="544">
          <cell r="A544" t="str">
            <v>452526750</v>
          </cell>
          <cell r="B544">
            <v>452526</v>
          </cell>
          <cell r="C544">
            <v>750</v>
          </cell>
          <cell r="D544">
            <v>5000</v>
          </cell>
        </row>
        <row r="545">
          <cell r="A545" t="str">
            <v>452551215</v>
          </cell>
          <cell r="B545">
            <v>452551</v>
          </cell>
          <cell r="C545">
            <v>215</v>
          </cell>
          <cell r="D545">
            <v>1200</v>
          </cell>
        </row>
        <row r="546">
          <cell r="A546" t="str">
            <v>452551916</v>
          </cell>
          <cell r="B546">
            <v>452551</v>
          </cell>
          <cell r="C546">
            <v>916</v>
          </cell>
          <cell r="D546">
            <v>100000</v>
          </cell>
        </row>
        <row r="547">
          <cell r="A547" t="str">
            <v>452551262</v>
          </cell>
          <cell r="B547">
            <v>452551</v>
          </cell>
          <cell r="C547">
            <v>262</v>
          </cell>
          <cell r="D547">
            <v>2500</v>
          </cell>
        </row>
        <row r="548">
          <cell r="A548" t="str">
            <v>452551724</v>
          </cell>
          <cell r="B548">
            <v>452551</v>
          </cell>
          <cell r="C548">
            <v>724</v>
          </cell>
          <cell r="D548">
            <v>100000</v>
          </cell>
        </row>
        <row r="549">
          <cell r="A549" t="str">
            <v>452579136</v>
          </cell>
          <cell r="B549">
            <v>452579</v>
          </cell>
          <cell r="C549">
            <v>136</v>
          </cell>
          <cell r="D549">
            <v>5000</v>
          </cell>
        </row>
        <row r="550">
          <cell r="A550" t="str">
            <v>452579912</v>
          </cell>
          <cell r="B550">
            <v>452579</v>
          </cell>
          <cell r="C550">
            <v>912</v>
          </cell>
          <cell r="D550">
            <v>5000</v>
          </cell>
        </row>
        <row r="551">
          <cell r="A551" t="str">
            <v>452590142</v>
          </cell>
          <cell r="B551">
            <v>452590</v>
          </cell>
          <cell r="C551">
            <v>142</v>
          </cell>
          <cell r="D551">
            <v>7000</v>
          </cell>
        </row>
        <row r="552">
          <cell r="A552" t="str">
            <v>452590798</v>
          </cell>
          <cell r="B552">
            <v>452590</v>
          </cell>
          <cell r="C552">
            <v>798</v>
          </cell>
          <cell r="D552">
            <v>7000</v>
          </cell>
        </row>
        <row r="553">
          <cell r="A553" t="str">
            <v>452590910</v>
          </cell>
          <cell r="B553">
            <v>452590</v>
          </cell>
          <cell r="C553">
            <v>910</v>
          </cell>
          <cell r="D553">
            <v>7000</v>
          </cell>
        </row>
        <row r="554">
          <cell r="A554" t="str">
            <v>4525902700</v>
          </cell>
          <cell r="B554">
            <v>452590</v>
          </cell>
          <cell r="C554">
            <v>2700</v>
          </cell>
          <cell r="D554">
            <v>10000</v>
          </cell>
        </row>
        <row r="555">
          <cell r="A555" t="str">
            <v>452590750</v>
          </cell>
          <cell r="B555">
            <v>452590</v>
          </cell>
          <cell r="C555">
            <v>750</v>
          </cell>
          <cell r="D555">
            <v>5000</v>
          </cell>
        </row>
        <row r="556">
          <cell r="A556" t="str">
            <v>452629142</v>
          </cell>
          <cell r="B556">
            <v>452629</v>
          </cell>
          <cell r="C556">
            <v>142</v>
          </cell>
          <cell r="D556">
            <v>8000</v>
          </cell>
        </row>
        <row r="557">
          <cell r="A557" t="str">
            <v>452629798</v>
          </cell>
          <cell r="B557">
            <v>452629</v>
          </cell>
          <cell r="C557">
            <v>798</v>
          </cell>
          <cell r="D557">
            <v>8000</v>
          </cell>
        </row>
        <row r="558">
          <cell r="A558" t="str">
            <v>452629910</v>
          </cell>
          <cell r="B558">
            <v>452629</v>
          </cell>
          <cell r="C558">
            <v>910</v>
          </cell>
          <cell r="D558">
            <v>8000</v>
          </cell>
        </row>
        <row r="559">
          <cell r="A559" t="str">
            <v>4526292700</v>
          </cell>
          <cell r="B559">
            <v>452629</v>
          </cell>
          <cell r="C559">
            <v>2700</v>
          </cell>
          <cell r="D559">
            <v>15000</v>
          </cell>
        </row>
        <row r="560">
          <cell r="A560" t="str">
            <v>452629750</v>
          </cell>
          <cell r="B560">
            <v>452629</v>
          </cell>
          <cell r="C560">
            <v>750</v>
          </cell>
          <cell r="D560">
            <v>5000</v>
          </cell>
        </row>
        <row r="561">
          <cell r="A561" t="str">
            <v>452761214</v>
          </cell>
          <cell r="B561">
            <v>452761</v>
          </cell>
          <cell r="C561">
            <v>214</v>
          </cell>
          <cell r="D561">
            <v>1000</v>
          </cell>
        </row>
        <row r="562">
          <cell r="A562" t="str">
            <v>452761915</v>
          </cell>
          <cell r="B562">
            <v>452761</v>
          </cell>
          <cell r="C562">
            <v>915</v>
          </cell>
          <cell r="D562">
            <v>25000</v>
          </cell>
        </row>
        <row r="563">
          <cell r="A563" t="str">
            <v>452761266</v>
          </cell>
          <cell r="B563">
            <v>452761</v>
          </cell>
          <cell r="C563">
            <v>266</v>
          </cell>
          <cell r="D563">
            <v>2000</v>
          </cell>
        </row>
        <row r="564">
          <cell r="A564" t="str">
            <v>452761724</v>
          </cell>
          <cell r="B564">
            <v>452761</v>
          </cell>
          <cell r="C564">
            <v>724</v>
          </cell>
          <cell r="D564">
            <v>100000</v>
          </cell>
        </row>
        <row r="565">
          <cell r="A565" t="str">
            <v>452761799</v>
          </cell>
          <cell r="B565">
            <v>452761</v>
          </cell>
          <cell r="C565">
            <v>799</v>
          </cell>
          <cell r="D565">
            <v>2000</v>
          </cell>
        </row>
        <row r="566">
          <cell r="A566" t="str">
            <v>452761799</v>
          </cell>
          <cell r="B566">
            <v>452761</v>
          </cell>
          <cell r="C566">
            <v>799</v>
          </cell>
          <cell r="D566">
            <v>100000</v>
          </cell>
        </row>
        <row r="567">
          <cell r="A567" t="str">
            <v>452777215</v>
          </cell>
          <cell r="B567">
            <v>452777</v>
          </cell>
          <cell r="C567">
            <v>215</v>
          </cell>
          <cell r="D567">
            <v>500</v>
          </cell>
        </row>
        <row r="568">
          <cell r="A568" t="str">
            <v>452777916</v>
          </cell>
          <cell r="B568">
            <v>452777</v>
          </cell>
          <cell r="C568">
            <v>916</v>
          </cell>
          <cell r="D568">
            <v>100000</v>
          </cell>
        </row>
        <row r="569">
          <cell r="A569" t="str">
            <v>452777779</v>
          </cell>
          <cell r="B569">
            <v>452777</v>
          </cell>
          <cell r="C569">
            <v>779</v>
          </cell>
          <cell r="D569">
            <v>500</v>
          </cell>
        </row>
        <row r="570">
          <cell r="A570" t="str">
            <v>452778217</v>
          </cell>
          <cell r="B570">
            <v>452778</v>
          </cell>
          <cell r="C570">
            <v>217</v>
          </cell>
          <cell r="D570">
            <v>3000</v>
          </cell>
        </row>
        <row r="571">
          <cell r="A571" t="str">
            <v>452778916</v>
          </cell>
          <cell r="B571">
            <v>452778</v>
          </cell>
          <cell r="C571">
            <v>916</v>
          </cell>
          <cell r="D571">
            <v>100000</v>
          </cell>
        </row>
        <row r="572">
          <cell r="A572" t="str">
            <v>452778256</v>
          </cell>
          <cell r="B572">
            <v>452778</v>
          </cell>
          <cell r="C572">
            <v>256</v>
          </cell>
          <cell r="D572">
            <v>3000</v>
          </cell>
        </row>
        <row r="573">
          <cell r="A573" t="str">
            <v>452778280</v>
          </cell>
          <cell r="B573">
            <v>452778</v>
          </cell>
          <cell r="C573">
            <v>280</v>
          </cell>
          <cell r="D573">
            <v>3000</v>
          </cell>
        </row>
        <row r="574">
          <cell r="A574" t="str">
            <v>452802799</v>
          </cell>
          <cell r="B574">
            <v>452802</v>
          </cell>
          <cell r="C574">
            <v>799</v>
          </cell>
          <cell r="D574">
            <v>100000</v>
          </cell>
        </row>
        <row r="575">
          <cell r="A575" t="str">
            <v>452802777</v>
          </cell>
          <cell r="B575">
            <v>452802</v>
          </cell>
          <cell r="C575">
            <v>777</v>
          </cell>
          <cell r="D575">
            <v>100000</v>
          </cell>
        </row>
        <row r="576">
          <cell r="A576" t="str">
            <v>452952215</v>
          </cell>
          <cell r="B576">
            <v>452952</v>
          </cell>
          <cell r="C576">
            <v>215</v>
          </cell>
          <cell r="D576">
            <v>2200</v>
          </cell>
        </row>
        <row r="577">
          <cell r="A577" t="str">
            <v>452952916</v>
          </cell>
          <cell r="B577">
            <v>452952</v>
          </cell>
          <cell r="C577">
            <v>916</v>
          </cell>
          <cell r="D577">
            <v>100000</v>
          </cell>
        </row>
        <row r="578">
          <cell r="A578" t="str">
            <v>452952258</v>
          </cell>
          <cell r="B578">
            <v>452952</v>
          </cell>
          <cell r="C578">
            <v>258</v>
          </cell>
          <cell r="D578">
            <v>3000</v>
          </cell>
        </row>
        <row r="579">
          <cell r="A579" t="str">
            <v>452952282</v>
          </cell>
          <cell r="B579">
            <v>452952</v>
          </cell>
          <cell r="C579">
            <v>282</v>
          </cell>
          <cell r="D579">
            <v>3500</v>
          </cell>
        </row>
        <row r="580">
          <cell r="A580" t="str">
            <v>452965212</v>
          </cell>
          <cell r="B580">
            <v>452965</v>
          </cell>
          <cell r="C580">
            <v>212</v>
          </cell>
          <cell r="D580">
            <v>800</v>
          </cell>
        </row>
        <row r="581">
          <cell r="A581" t="str">
            <v>452965916</v>
          </cell>
          <cell r="B581">
            <v>452965</v>
          </cell>
          <cell r="C581">
            <v>916</v>
          </cell>
          <cell r="D581">
            <v>100000</v>
          </cell>
        </row>
        <row r="582">
          <cell r="A582" t="str">
            <v>452965270</v>
          </cell>
          <cell r="B582">
            <v>452965</v>
          </cell>
          <cell r="C582">
            <v>270</v>
          </cell>
          <cell r="D582">
            <v>1000</v>
          </cell>
        </row>
        <row r="583">
          <cell r="A583" t="str">
            <v>452965780</v>
          </cell>
          <cell r="B583">
            <v>452965</v>
          </cell>
          <cell r="C583">
            <v>780</v>
          </cell>
          <cell r="D583">
            <v>3000</v>
          </cell>
        </row>
        <row r="584">
          <cell r="A584" t="str">
            <v>452965724</v>
          </cell>
          <cell r="B584">
            <v>452965</v>
          </cell>
          <cell r="C584">
            <v>724</v>
          </cell>
          <cell r="D584">
            <v>100000</v>
          </cell>
        </row>
        <row r="585">
          <cell r="A585" t="str">
            <v>452971216</v>
          </cell>
          <cell r="B585">
            <v>452971</v>
          </cell>
          <cell r="C585">
            <v>216</v>
          </cell>
          <cell r="D585">
            <v>1800</v>
          </cell>
        </row>
        <row r="586">
          <cell r="A586" t="str">
            <v>452971916</v>
          </cell>
          <cell r="B586">
            <v>452971</v>
          </cell>
          <cell r="C586">
            <v>916</v>
          </cell>
          <cell r="D586">
            <v>100000</v>
          </cell>
        </row>
        <row r="587">
          <cell r="A587" t="str">
            <v>452971261</v>
          </cell>
          <cell r="B587">
            <v>452971</v>
          </cell>
          <cell r="C587">
            <v>261</v>
          </cell>
          <cell r="D587">
            <v>2400</v>
          </cell>
        </row>
        <row r="588">
          <cell r="A588" t="str">
            <v>452971724</v>
          </cell>
          <cell r="B588">
            <v>452971</v>
          </cell>
          <cell r="C588">
            <v>724</v>
          </cell>
          <cell r="D588">
            <v>100000</v>
          </cell>
        </row>
        <row r="589">
          <cell r="A589" t="str">
            <v>452973216</v>
          </cell>
          <cell r="B589">
            <v>452973</v>
          </cell>
          <cell r="C589">
            <v>216</v>
          </cell>
          <cell r="D589">
            <v>1500</v>
          </cell>
        </row>
        <row r="590">
          <cell r="A590" t="str">
            <v>452973916</v>
          </cell>
          <cell r="B590">
            <v>452973</v>
          </cell>
          <cell r="C590">
            <v>916</v>
          </cell>
          <cell r="D590">
            <v>100000</v>
          </cell>
        </row>
        <row r="591">
          <cell r="A591" t="str">
            <v>452973260</v>
          </cell>
          <cell r="B591">
            <v>452973</v>
          </cell>
          <cell r="C591">
            <v>260</v>
          </cell>
          <cell r="D591">
            <v>2500</v>
          </cell>
        </row>
        <row r="592">
          <cell r="A592" t="str">
            <v>452973724</v>
          </cell>
          <cell r="B592">
            <v>452973</v>
          </cell>
          <cell r="C592">
            <v>724</v>
          </cell>
          <cell r="D592">
            <v>100000</v>
          </cell>
        </row>
        <row r="593">
          <cell r="A593" t="str">
            <v>453010215</v>
          </cell>
          <cell r="B593">
            <v>453010</v>
          </cell>
          <cell r="C593">
            <v>215</v>
          </cell>
          <cell r="D593">
            <v>1500</v>
          </cell>
        </row>
        <row r="594">
          <cell r="A594" t="str">
            <v>453010916</v>
          </cell>
          <cell r="B594">
            <v>453010</v>
          </cell>
          <cell r="C594">
            <v>916</v>
          </cell>
          <cell r="D594">
            <v>100000</v>
          </cell>
        </row>
        <row r="595">
          <cell r="A595" t="str">
            <v>453010262</v>
          </cell>
          <cell r="B595">
            <v>453010</v>
          </cell>
          <cell r="C595">
            <v>262</v>
          </cell>
          <cell r="D595">
            <v>3000</v>
          </cell>
        </row>
        <row r="596">
          <cell r="A596" t="str">
            <v>453010282</v>
          </cell>
          <cell r="B596">
            <v>453010</v>
          </cell>
          <cell r="C596">
            <v>282</v>
          </cell>
          <cell r="D596">
            <v>2800</v>
          </cell>
        </row>
        <row r="597">
          <cell r="A597" t="str">
            <v>453035125</v>
          </cell>
          <cell r="B597">
            <v>453035</v>
          </cell>
          <cell r="C597">
            <v>125</v>
          </cell>
          <cell r="D597">
            <v>3</v>
          </cell>
        </row>
        <row r="598">
          <cell r="A598" t="str">
            <v>453035799</v>
          </cell>
          <cell r="B598">
            <v>453035</v>
          </cell>
          <cell r="C598">
            <v>799</v>
          </cell>
          <cell r="D598">
            <v>3</v>
          </cell>
        </row>
        <row r="599">
          <cell r="A599" t="str">
            <v>453037216</v>
          </cell>
          <cell r="B599">
            <v>453037</v>
          </cell>
          <cell r="C599">
            <v>216</v>
          </cell>
          <cell r="D599">
            <v>1000</v>
          </cell>
        </row>
        <row r="600">
          <cell r="A600" t="str">
            <v>453037916</v>
          </cell>
          <cell r="B600">
            <v>453037</v>
          </cell>
          <cell r="C600">
            <v>916</v>
          </cell>
          <cell r="D600">
            <v>100000</v>
          </cell>
        </row>
        <row r="601">
          <cell r="A601" t="str">
            <v>453037270</v>
          </cell>
          <cell r="B601">
            <v>453037</v>
          </cell>
          <cell r="C601">
            <v>270</v>
          </cell>
          <cell r="D601">
            <v>1500</v>
          </cell>
        </row>
        <row r="602">
          <cell r="A602" t="str">
            <v>453037780</v>
          </cell>
          <cell r="B602">
            <v>453037</v>
          </cell>
          <cell r="C602">
            <v>780</v>
          </cell>
          <cell r="D602">
            <v>3000</v>
          </cell>
        </row>
        <row r="603">
          <cell r="A603" t="str">
            <v>453037724</v>
          </cell>
          <cell r="B603">
            <v>453037</v>
          </cell>
          <cell r="C603">
            <v>724</v>
          </cell>
          <cell r="D603">
            <v>100000</v>
          </cell>
        </row>
        <row r="604">
          <cell r="A604" t="str">
            <v>453055406</v>
          </cell>
          <cell r="B604">
            <v>453055</v>
          </cell>
          <cell r="C604">
            <v>406</v>
          </cell>
          <cell r="D604">
            <v>4000</v>
          </cell>
        </row>
        <row r="605">
          <cell r="A605" t="str">
            <v>453055798</v>
          </cell>
          <cell r="B605">
            <v>453055</v>
          </cell>
          <cell r="C605">
            <v>798</v>
          </cell>
          <cell r="D605">
            <v>4000</v>
          </cell>
        </row>
        <row r="606">
          <cell r="A606" t="str">
            <v>453055910</v>
          </cell>
          <cell r="B606">
            <v>453055</v>
          </cell>
          <cell r="C606">
            <v>910</v>
          </cell>
          <cell r="D606">
            <v>4000</v>
          </cell>
        </row>
        <row r="607">
          <cell r="A607" t="str">
            <v>4530552700</v>
          </cell>
          <cell r="B607">
            <v>453055</v>
          </cell>
          <cell r="C607">
            <v>2700</v>
          </cell>
          <cell r="D607">
            <v>15000</v>
          </cell>
        </row>
        <row r="608">
          <cell r="A608" t="str">
            <v>453055750</v>
          </cell>
          <cell r="B608">
            <v>453055</v>
          </cell>
          <cell r="C608">
            <v>750</v>
          </cell>
          <cell r="D608">
            <v>5000</v>
          </cell>
        </row>
        <row r="609">
          <cell r="A609" t="str">
            <v>453074457</v>
          </cell>
          <cell r="B609">
            <v>453074</v>
          </cell>
          <cell r="C609">
            <v>457</v>
          </cell>
          <cell r="D609">
            <v>500</v>
          </cell>
        </row>
        <row r="610">
          <cell r="A610" t="str">
            <v>453074910</v>
          </cell>
          <cell r="B610">
            <v>453074</v>
          </cell>
          <cell r="C610">
            <v>910</v>
          </cell>
          <cell r="D610">
            <v>500</v>
          </cell>
        </row>
        <row r="611">
          <cell r="A611" t="str">
            <v>453195522</v>
          </cell>
          <cell r="B611">
            <v>453195</v>
          </cell>
          <cell r="C611">
            <v>522</v>
          </cell>
          <cell r="D611">
            <v>1000</v>
          </cell>
        </row>
        <row r="612">
          <cell r="A612" t="str">
            <v>453195910</v>
          </cell>
          <cell r="B612">
            <v>453195</v>
          </cell>
          <cell r="C612">
            <v>910</v>
          </cell>
          <cell r="D612">
            <v>1000</v>
          </cell>
        </row>
        <row r="613">
          <cell r="A613" t="str">
            <v>45319591170</v>
          </cell>
          <cell r="B613">
            <v>453195</v>
          </cell>
          <cell r="C613">
            <v>91170</v>
          </cell>
        </row>
        <row r="614">
          <cell r="A614" t="str">
            <v>453195799</v>
          </cell>
          <cell r="B614">
            <v>453195</v>
          </cell>
          <cell r="C614">
            <v>799</v>
          </cell>
          <cell r="D614">
            <v>100000</v>
          </cell>
        </row>
        <row r="615">
          <cell r="A615" t="str">
            <v>453215406</v>
          </cell>
          <cell r="B615">
            <v>453215</v>
          </cell>
          <cell r="C615">
            <v>406</v>
          </cell>
          <cell r="D615">
            <v>3000</v>
          </cell>
        </row>
        <row r="616">
          <cell r="A616" t="str">
            <v>453215798</v>
          </cell>
          <cell r="B616">
            <v>453215</v>
          </cell>
          <cell r="C616">
            <v>798</v>
          </cell>
          <cell r="D616">
            <v>3000</v>
          </cell>
        </row>
        <row r="617">
          <cell r="A617" t="str">
            <v>453215910</v>
          </cell>
          <cell r="B617">
            <v>453215</v>
          </cell>
          <cell r="C617">
            <v>910</v>
          </cell>
          <cell r="D617">
            <v>3000</v>
          </cell>
        </row>
        <row r="618">
          <cell r="A618" t="str">
            <v>4532152700</v>
          </cell>
          <cell r="B618">
            <v>453215</v>
          </cell>
          <cell r="C618">
            <v>2700</v>
          </cell>
          <cell r="D618">
            <v>15000</v>
          </cell>
        </row>
        <row r="619">
          <cell r="A619" t="str">
            <v>453215750</v>
          </cell>
          <cell r="B619">
            <v>453215</v>
          </cell>
          <cell r="C619">
            <v>750</v>
          </cell>
          <cell r="D619">
            <v>5000</v>
          </cell>
        </row>
        <row r="620">
          <cell r="A620" t="str">
            <v>453257458</v>
          </cell>
          <cell r="B620">
            <v>453257</v>
          </cell>
          <cell r="C620">
            <v>458</v>
          </cell>
          <cell r="D620">
            <v>600</v>
          </cell>
        </row>
        <row r="621">
          <cell r="A621" t="str">
            <v>453257910</v>
          </cell>
          <cell r="B621">
            <v>453257</v>
          </cell>
          <cell r="C621">
            <v>910</v>
          </cell>
          <cell r="D621">
            <v>600</v>
          </cell>
        </row>
        <row r="622">
          <cell r="A622" t="str">
            <v>453288214</v>
          </cell>
          <cell r="B622">
            <v>453288</v>
          </cell>
          <cell r="C622">
            <v>214</v>
          </cell>
          <cell r="D622">
            <v>2000</v>
          </cell>
        </row>
        <row r="623">
          <cell r="A623" t="str">
            <v>453288916</v>
          </cell>
          <cell r="B623">
            <v>453288</v>
          </cell>
          <cell r="C623">
            <v>916</v>
          </cell>
          <cell r="D623">
            <v>100000</v>
          </cell>
        </row>
        <row r="624">
          <cell r="A624" t="str">
            <v>453288260</v>
          </cell>
          <cell r="B624">
            <v>453288</v>
          </cell>
          <cell r="C624">
            <v>260</v>
          </cell>
          <cell r="D624">
            <v>3000</v>
          </cell>
        </row>
        <row r="625">
          <cell r="A625" t="str">
            <v>453288724</v>
          </cell>
          <cell r="B625">
            <v>453288</v>
          </cell>
          <cell r="C625">
            <v>724</v>
          </cell>
          <cell r="D625">
            <v>100000</v>
          </cell>
        </row>
        <row r="626">
          <cell r="A626" t="str">
            <v>453298405</v>
          </cell>
          <cell r="B626">
            <v>453298</v>
          </cell>
          <cell r="C626">
            <v>405</v>
          </cell>
          <cell r="D626">
            <v>3000</v>
          </cell>
        </row>
        <row r="627">
          <cell r="A627" t="str">
            <v>453298910</v>
          </cell>
          <cell r="B627">
            <v>453298</v>
          </cell>
          <cell r="C627">
            <v>910</v>
          </cell>
          <cell r="D627">
            <v>3000</v>
          </cell>
        </row>
        <row r="628">
          <cell r="A628" t="str">
            <v>4532983600</v>
          </cell>
          <cell r="B628">
            <v>453298</v>
          </cell>
          <cell r="C628">
            <v>3600</v>
          </cell>
          <cell r="D628">
            <v>60000</v>
          </cell>
        </row>
        <row r="629">
          <cell r="A629" t="str">
            <v>453298799</v>
          </cell>
          <cell r="B629">
            <v>453298</v>
          </cell>
          <cell r="C629">
            <v>799</v>
          </cell>
        </row>
        <row r="630">
          <cell r="A630" t="str">
            <v>453298799</v>
          </cell>
          <cell r="B630">
            <v>453298</v>
          </cell>
          <cell r="C630">
            <v>799</v>
          </cell>
          <cell r="D630">
            <v>50000</v>
          </cell>
        </row>
        <row r="631">
          <cell r="A631" t="str">
            <v>453333406</v>
          </cell>
          <cell r="B631">
            <v>453333</v>
          </cell>
          <cell r="C631">
            <v>406</v>
          </cell>
          <cell r="D631">
            <v>3000</v>
          </cell>
        </row>
        <row r="632">
          <cell r="A632" t="str">
            <v>453333798</v>
          </cell>
          <cell r="B632">
            <v>453333</v>
          </cell>
          <cell r="C632">
            <v>798</v>
          </cell>
          <cell r="D632">
            <v>3000</v>
          </cell>
        </row>
        <row r="633">
          <cell r="A633" t="str">
            <v>453333910</v>
          </cell>
          <cell r="B633">
            <v>453333</v>
          </cell>
          <cell r="C633">
            <v>910</v>
          </cell>
          <cell r="D633">
            <v>3000</v>
          </cell>
        </row>
        <row r="634">
          <cell r="A634" t="str">
            <v>4533332700</v>
          </cell>
          <cell r="B634">
            <v>453333</v>
          </cell>
          <cell r="C634">
            <v>2700</v>
          </cell>
          <cell r="D634">
            <v>15000</v>
          </cell>
        </row>
        <row r="635">
          <cell r="A635" t="str">
            <v>453333750</v>
          </cell>
          <cell r="B635">
            <v>453333</v>
          </cell>
          <cell r="C635">
            <v>750</v>
          </cell>
          <cell r="D635">
            <v>4500</v>
          </cell>
        </row>
        <row r="636">
          <cell r="A636" t="str">
            <v>453363407</v>
          </cell>
          <cell r="B636">
            <v>453363</v>
          </cell>
          <cell r="C636">
            <v>407</v>
          </cell>
          <cell r="D636">
            <v>3000</v>
          </cell>
        </row>
        <row r="637">
          <cell r="A637" t="str">
            <v>453363798</v>
          </cell>
          <cell r="B637">
            <v>453363</v>
          </cell>
          <cell r="C637">
            <v>798</v>
          </cell>
          <cell r="D637">
            <v>3000</v>
          </cell>
        </row>
        <row r="638">
          <cell r="A638" t="str">
            <v>453363910</v>
          </cell>
          <cell r="B638">
            <v>453363</v>
          </cell>
          <cell r="C638">
            <v>910</v>
          </cell>
          <cell r="D638">
            <v>3000</v>
          </cell>
        </row>
        <row r="639">
          <cell r="A639" t="str">
            <v>4533632700</v>
          </cell>
          <cell r="B639">
            <v>453363</v>
          </cell>
          <cell r="C639">
            <v>2700</v>
          </cell>
          <cell r="D639">
            <v>15000</v>
          </cell>
        </row>
        <row r="640">
          <cell r="A640" t="str">
            <v>453363750</v>
          </cell>
          <cell r="B640">
            <v>453363</v>
          </cell>
          <cell r="C640">
            <v>750</v>
          </cell>
          <cell r="D640">
            <v>5000</v>
          </cell>
        </row>
        <row r="641">
          <cell r="A641" t="str">
            <v>453367213</v>
          </cell>
          <cell r="B641">
            <v>453367</v>
          </cell>
          <cell r="C641">
            <v>213</v>
          </cell>
          <cell r="D641">
            <v>1400</v>
          </cell>
        </row>
        <row r="642">
          <cell r="A642" t="str">
            <v>453367916</v>
          </cell>
          <cell r="B642">
            <v>453367</v>
          </cell>
          <cell r="C642">
            <v>916</v>
          </cell>
          <cell r="D642">
            <v>100000</v>
          </cell>
        </row>
        <row r="643">
          <cell r="A643" t="str">
            <v>453367261</v>
          </cell>
          <cell r="B643">
            <v>453367</v>
          </cell>
          <cell r="C643">
            <v>261</v>
          </cell>
          <cell r="D643">
            <v>2500</v>
          </cell>
        </row>
        <row r="644">
          <cell r="A644" t="str">
            <v>453367724</v>
          </cell>
          <cell r="B644">
            <v>453367</v>
          </cell>
          <cell r="C644">
            <v>724</v>
          </cell>
          <cell r="D644">
            <v>100000</v>
          </cell>
        </row>
        <row r="645">
          <cell r="A645" t="str">
            <v>453368213</v>
          </cell>
          <cell r="B645">
            <v>453368</v>
          </cell>
          <cell r="C645">
            <v>213</v>
          </cell>
          <cell r="D645">
            <v>1200</v>
          </cell>
        </row>
        <row r="646">
          <cell r="A646" t="str">
            <v>453368916</v>
          </cell>
          <cell r="B646">
            <v>453368</v>
          </cell>
          <cell r="C646">
            <v>916</v>
          </cell>
          <cell r="D646">
            <v>100000</v>
          </cell>
        </row>
        <row r="647">
          <cell r="A647" t="str">
            <v>453368261</v>
          </cell>
          <cell r="B647">
            <v>453368</v>
          </cell>
          <cell r="C647">
            <v>261</v>
          </cell>
          <cell r="D647">
            <v>2500</v>
          </cell>
        </row>
        <row r="648">
          <cell r="A648" t="str">
            <v>453368724</v>
          </cell>
          <cell r="B648">
            <v>453368</v>
          </cell>
          <cell r="C648">
            <v>724</v>
          </cell>
          <cell r="D648">
            <v>100000</v>
          </cell>
        </row>
        <row r="649">
          <cell r="A649" t="str">
            <v>453378407</v>
          </cell>
          <cell r="B649">
            <v>453378</v>
          </cell>
          <cell r="C649">
            <v>407</v>
          </cell>
          <cell r="D649">
            <v>4000</v>
          </cell>
        </row>
        <row r="650">
          <cell r="A650" t="str">
            <v>453378798</v>
          </cell>
          <cell r="B650">
            <v>453378</v>
          </cell>
          <cell r="C650">
            <v>798</v>
          </cell>
          <cell r="D650">
            <v>4000</v>
          </cell>
        </row>
        <row r="651">
          <cell r="A651" t="str">
            <v>453378910</v>
          </cell>
          <cell r="B651">
            <v>453378</v>
          </cell>
          <cell r="C651">
            <v>910</v>
          </cell>
          <cell r="D651">
            <v>4000</v>
          </cell>
        </row>
        <row r="652">
          <cell r="A652" t="str">
            <v>4533782700</v>
          </cell>
          <cell r="B652">
            <v>453378</v>
          </cell>
          <cell r="C652">
            <v>2700</v>
          </cell>
          <cell r="D652">
            <v>15000</v>
          </cell>
        </row>
        <row r="653">
          <cell r="A653" t="str">
            <v>453378750</v>
          </cell>
          <cell r="B653">
            <v>453378</v>
          </cell>
          <cell r="C653">
            <v>750</v>
          </cell>
          <cell r="D653">
            <v>5000</v>
          </cell>
        </row>
        <row r="654">
          <cell r="A654" t="str">
            <v>453389122</v>
          </cell>
          <cell r="B654">
            <v>453389</v>
          </cell>
          <cell r="C654">
            <v>122</v>
          </cell>
          <cell r="D654">
            <v>15000</v>
          </cell>
        </row>
        <row r="655">
          <cell r="A655" t="str">
            <v>453389910</v>
          </cell>
          <cell r="B655">
            <v>453389</v>
          </cell>
          <cell r="C655">
            <v>910</v>
          </cell>
          <cell r="D655">
            <v>15000</v>
          </cell>
        </row>
        <row r="656">
          <cell r="A656" t="str">
            <v>4533892700</v>
          </cell>
          <cell r="B656">
            <v>453389</v>
          </cell>
          <cell r="C656">
            <v>2700</v>
          </cell>
          <cell r="D656">
            <v>40000</v>
          </cell>
        </row>
        <row r="657">
          <cell r="A657" t="str">
            <v>453389777</v>
          </cell>
          <cell r="B657">
            <v>453389</v>
          </cell>
          <cell r="C657">
            <v>777</v>
          </cell>
          <cell r="D657">
            <v>100000</v>
          </cell>
        </row>
        <row r="658">
          <cell r="A658" t="str">
            <v>453396142</v>
          </cell>
          <cell r="B658">
            <v>453396</v>
          </cell>
          <cell r="C658">
            <v>142</v>
          </cell>
          <cell r="D658">
            <v>8000</v>
          </cell>
        </row>
        <row r="659">
          <cell r="A659" t="str">
            <v>453396798</v>
          </cell>
          <cell r="B659">
            <v>453396</v>
          </cell>
          <cell r="C659">
            <v>798</v>
          </cell>
          <cell r="D659">
            <v>8000</v>
          </cell>
        </row>
        <row r="660">
          <cell r="A660" t="str">
            <v>453396910</v>
          </cell>
          <cell r="B660">
            <v>453396</v>
          </cell>
          <cell r="C660">
            <v>910</v>
          </cell>
          <cell r="D660">
            <v>8000</v>
          </cell>
        </row>
        <row r="661">
          <cell r="A661" t="str">
            <v>4533962700</v>
          </cell>
          <cell r="B661">
            <v>453396</v>
          </cell>
          <cell r="C661">
            <v>2700</v>
          </cell>
          <cell r="D661">
            <v>15000</v>
          </cell>
        </row>
        <row r="662">
          <cell r="A662" t="str">
            <v>453396750</v>
          </cell>
          <cell r="B662">
            <v>453396</v>
          </cell>
          <cell r="C662">
            <v>750</v>
          </cell>
          <cell r="D662">
            <v>5000</v>
          </cell>
        </row>
        <row r="663">
          <cell r="A663" t="str">
            <v>453401136</v>
          </cell>
          <cell r="B663">
            <v>453401</v>
          </cell>
          <cell r="C663">
            <v>136</v>
          </cell>
          <cell r="D663">
            <v>7000</v>
          </cell>
        </row>
        <row r="664">
          <cell r="A664" t="str">
            <v>453401910</v>
          </cell>
          <cell r="B664">
            <v>453401</v>
          </cell>
          <cell r="C664">
            <v>910</v>
          </cell>
          <cell r="D664">
            <v>7000</v>
          </cell>
        </row>
        <row r="665">
          <cell r="A665" t="str">
            <v>4534013600</v>
          </cell>
          <cell r="B665">
            <v>453401</v>
          </cell>
          <cell r="C665">
            <v>3600</v>
          </cell>
          <cell r="D665">
            <v>1500</v>
          </cell>
        </row>
        <row r="666">
          <cell r="A666" t="str">
            <v>453401799</v>
          </cell>
          <cell r="B666">
            <v>453401</v>
          </cell>
          <cell r="C666">
            <v>799</v>
          </cell>
          <cell r="D666">
            <v>500</v>
          </cell>
        </row>
        <row r="667">
          <cell r="A667" t="str">
            <v>4534012700</v>
          </cell>
          <cell r="B667">
            <v>453401</v>
          </cell>
          <cell r="C667">
            <v>2700</v>
          </cell>
          <cell r="D667">
            <v>10000</v>
          </cell>
        </row>
        <row r="668">
          <cell r="A668" t="str">
            <v>453401750</v>
          </cell>
          <cell r="B668">
            <v>453401</v>
          </cell>
          <cell r="C668">
            <v>750</v>
          </cell>
          <cell r="D668">
            <v>5000</v>
          </cell>
        </row>
        <row r="669">
          <cell r="A669" t="str">
            <v>453401799</v>
          </cell>
          <cell r="B669">
            <v>453401</v>
          </cell>
          <cell r="C669">
            <v>799</v>
          </cell>
          <cell r="D669">
            <v>50000</v>
          </cell>
        </row>
        <row r="670">
          <cell r="A670" t="str">
            <v>453409216</v>
          </cell>
          <cell r="B670">
            <v>453409</v>
          </cell>
          <cell r="C670">
            <v>216</v>
          </cell>
          <cell r="D670">
            <v>1200</v>
          </cell>
        </row>
        <row r="671">
          <cell r="A671" t="str">
            <v>453409916</v>
          </cell>
          <cell r="B671">
            <v>453409</v>
          </cell>
          <cell r="C671">
            <v>916</v>
          </cell>
          <cell r="D671">
            <v>100000</v>
          </cell>
        </row>
        <row r="672">
          <cell r="A672" t="str">
            <v>453409266</v>
          </cell>
          <cell r="B672">
            <v>453409</v>
          </cell>
          <cell r="C672">
            <v>266</v>
          </cell>
          <cell r="D672">
            <v>2000</v>
          </cell>
        </row>
        <row r="673">
          <cell r="A673" t="str">
            <v>453409780</v>
          </cell>
          <cell r="B673">
            <v>453409</v>
          </cell>
          <cell r="C673">
            <v>780</v>
          </cell>
          <cell r="D673">
            <v>3000</v>
          </cell>
        </row>
        <row r="674">
          <cell r="A674" t="str">
            <v>453409724</v>
          </cell>
          <cell r="B674">
            <v>453409</v>
          </cell>
          <cell r="C674">
            <v>724</v>
          </cell>
          <cell r="D674">
            <v>100000</v>
          </cell>
        </row>
        <row r="675">
          <cell r="A675" t="str">
            <v>453410142</v>
          </cell>
          <cell r="B675">
            <v>453410</v>
          </cell>
          <cell r="C675">
            <v>142</v>
          </cell>
          <cell r="D675">
            <v>15000</v>
          </cell>
        </row>
        <row r="676">
          <cell r="A676" t="str">
            <v>453410910</v>
          </cell>
          <cell r="B676">
            <v>453410</v>
          </cell>
          <cell r="C676">
            <v>910</v>
          </cell>
          <cell r="D676">
            <v>15000</v>
          </cell>
        </row>
        <row r="677">
          <cell r="A677" t="str">
            <v>4534102700</v>
          </cell>
          <cell r="B677">
            <v>453410</v>
          </cell>
          <cell r="C677">
            <v>2700</v>
          </cell>
          <cell r="D677">
            <v>20000</v>
          </cell>
        </row>
        <row r="678">
          <cell r="A678" t="str">
            <v>453410777</v>
          </cell>
          <cell r="B678">
            <v>453410</v>
          </cell>
          <cell r="C678">
            <v>777</v>
          </cell>
          <cell r="D678">
            <v>100000</v>
          </cell>
        </row>
        <row r="679">
          <cell r="A679" t="str">
            <v>453418212</v>
          </cell>
          <cell r="B679">
            <v>453418</v>
          </cell>
          <cell r="C679">
            <v>212</v>
          </cell>
          <cell r="D679">
            <v>1700</v>
          </cell>
        </row>
        <row r="680">
          <cell r="A680" t="str">
            <v>453418916</v>
          </cell>
          <cell r="B680">
            <v>453418</v>
          </cell>
          <cell r="C680">
            <v>916</v>
          </cell>
          <cell r="D680">
            <v>100000</v>
          </cell>
        </row>
        <row r="681">
          <cell r="A681" t="str">
            <v>453418265</v>
          </cell>
          <cell r="B681">
            <v>453418</v>
          </cell>
          <cell r="C681">
            <v>265</v>
          </cell>
          <cell r="D681">
            <v>2400</v>
          </cell>
        </row>
        <row r="682">
          <cell r="A682" t="str">
            <v>453418780</v>
          </cell>
          <cell r="B682">
            <v>453418</v>
          </cell>
          <cell r="C682">
            <v>780</v>
          </cell>
          <cell r="D682">
            <v>3000</v>
          </cell>
        </row>
        <row r="683">
          <cell r="A683" t="str">
            <v>453418724</v>
          </cell>
          <cell r="B683">
            <v>453418</v>
          </cell>
          <cell r="C683">
            <v>724</v>
          </cell>
          <cell r="D683">
            <v>100000</v>
          </cell>
        </row>
        <row r="684">
          <cell r="A684" t="str">
            <v>453419136</v>
          </cell>
          <cell r="B684">
            <v>453419</v>
          </cell>
          <cell r="C684">
            <v>136</v>
          </cell>
          <cell r="D684">
            <v>4000</v>
          </cell>
        </row>
        <row r="685">
          <cell r="A685" t="str">
            <v>453419912</v>
          </cell>
          <cell r="B685">
            <v>453419</v>
          </cell>
          <cell r="C685">
            <v>912</v>
          </cell>
          <cell r="D685">
            <v>4000</v>
          </cell>
        </row>
        <row r="686">
          <cell r="A686" t="str">
            <v>4534192700</v>
          </cell>
          <cell r="B686">
            <v>453419</v>
          </cell>
          <cell r="C686">
            <v>2700</v>
          </cell>
          <cell r="D686">
            <v>3000</v>
          </cell>
        </row>
        <row r="687">
          <cell r="A687" t="str">
            <v>453419777</v>
          </cell>
          <cell r="B687">
            <v>453419</v>
          </cell>
          <cell r="C687">
            <v>777</v>
          </cell>
          <cell r="D687">
            <v>100000</v>
          </cell>
        </row>
        <row r="688">
          <cell r="A688" t="str">
            <v>453449406</v>
          </cell>
          <cell r="B688">
            <v>453449</v>
          </cell>
          <cell r="C688">
            <v>406</v>
          </cell>
          <cell r="D688">
            <v>3000</v>
          </cell>
        </row>
        <row r="689">
          <cell r="A689" t="str">
            <v>453449798</v>
          </cell>
          <cell r="B689">
            <v>453449</v>
          </cell>
          <cell r="C689">
            <v>798</v>
          </cell>
          <cell r="D689">
            <v>3000</v>
          </cell>
        </row>
        <row r="690">
          <cell r="A690" t="str">
            <v>453449910</v>
          </cell>
          <cell r="B690">
            <v>453449</v>
          </cell>
          <cell r="C690">
            <v>910</v>
          </cell>
          <cell r="D690">
            <v>3000</v>
          </cell>
        </row>
        <row r="691">
          <cell r="A691" t="str">
            <v>4534492700</v>
          </cell>
          <cell r="B691">
            <v>453449</v>
          </cell>
          <cell r="C691">
            <v>2700</v>
          </cell>
          <cell r="D691">
            <v>15000</v>
          </cell>
        </row>
        <row r="692">
          <cell r="A692" t="str">
            <v>453449750</v>
          </cell>
          <cell r="B692">
            <v>453449</v>
          </cell>
          <cell r="C692">
            <v>750</v>
          </cell>
          <cell r="D692">
            <v>5000</v>
          </cell>
        </row>
        <row r="693">
          <cell r="A693" t="str">
            <v>453451142</v>
          </cell>
          <cell r="B693">
            <v>453451</v>
          </cell>
          <cell r="C693">
            <v>142</v>
          </cell>
          <cell r="D693">
            <v>8000</v>
          </cell>
        </row>
        <row r="694">
          <cell r="A694" t="str">
            <v>453451798</v>
          </cell>
          <cell r="B694">
            <v>453451</v>
          </cell>
          <cell r="C694">
            <v>798</v>
          </cell>
          <cell r="D694">
            <v>8000</v>
          </cell>
        </row>
        <row r="695">
          <cell r="A695" t="str">
            <v>453451910</v>
          </cell>
          <cell r="B695">
            <v>453451</v>
          </cell>
          <cell r="C695">
            <v>910</v>
          </cell>
          <cell r="D695">
            <v>8000</v>
          </cell>
        </row>
        <row r="696">
          <cell r="A696" t="str">
            <v>4534512700</v>
          </cell>
          <cell r="B696">
            <v>453451</v>
          </cell>
          <cell r="C696">
            <v>2700</v>
          </cell>
          <cell r="D696">
            <v>20000</v>
          </cell>
        </row>
        <row r="697">
          <cell r="A697" t="str">
            <v>453451750</v>
          </cell>
          <cell r="B697">
            <v>453451</v>
          </cell>
          <cell r="C697">
            <v>750</v>
          </cell>
          <cell r="D697">
            <v>5000</v>
          </cell>
        </row>
        <row r="698">
          <cell r="A698" t="str">
            <v>453462122</v>
          </cell>
          <cell r="B698">
            <v>453462</v>
          </cell>
          <cell r="C698">
            <v>122</v>
          </cell>
          <cell r="D698">
            <v>6000</v>
          </cell>
        </row>
        <row r="699">
          <cell r="A699" t="str">
            <v>453462917</v>
          </cell>
          <cell r="B699">
            <v>453462</v>
          </cell>
          <cell r="C699">
            <v>917</v>
          </cell>
          <cell r="D699">
            <v>6000</v>
          </cell>
        </row>
        <row r="700">
          <cell r="A700" t="str">
            <v>4534622700</v>
          </cell>
          <cell r="B700">
            <v>453462</v>
          </cell>
          <cell r="C700">
            <v>2700</v>
          </cell>
          <cell r="D700">
            <v>30000</v>
          </cell>
        </row>
        <row r="701">
          <cell r="A701" t="str">
            <v>453462777</v>
          </cell>
          <cell r="B701">
            <v>453462</v>
          </cell>
          <cell r="C701">
            <v>777</v>
          </cell>
          <cell r="D701">
            <v>50000</v>
          </cell>
        </row>
        <row r="702">
          <cell r="A702" t="str">
            <v>453479407</v>
          </cell>
          <cell r="B702">
            <v>453479</v>
          </cell>
          <cell r="C702">
            <v>407</v>
          </cell>
          <cell r="D702">
            <v>3000</v>
          </cell>
        </row>
        <row r="703">
          <cell r="A703" t="str">
            <v>453479798</v>
          </cell>
          <cell r="B703">
            <v>453479</v>
          </cell>
          <cell r="C703">
            <v>798</v>
          </cell>
          <cell r="D703">
            <v>3000</v>
          </cell>
        </row>
        <row r="704">
          <cell r="A704" t="str">
            <v>453479910</v>
          </cell>
          <cell r="B704">
            <v>453479</v>
          </cell>
          <cell r="C704">
            <v>910</v>
          </cell>
          <cell r="D704">
            <v>3000</v>
          </cell>
        </row>
        <row r="705">
          <cell r="A705" t="str">
            <v>4534792700</v>
          </cell>
          <cell r="B705">
            <v>453479</v>
          </cell>
          <cell r="C705">
            <v>2700</v>
          </cell>
          <cell r="D705">
            <v>15000</v>
          </cell>
        </row>
        <row r="706">
          <cell r="A706" t="str">
            <v>453479750</v>
          </cell>
          <cell r="B706">
            <v>453479</v>
          </cell>
          <cell r="C706">
            <v>750</v>
          </cell>
          <cell r="D706">
            <v>5000</v>
          </cell>
        </row>
        <row r="707">
          <cell r="A707" t="str">
            <v>453516142</v>
          </cell>
          <cell r="B707">
            <v>453516</v>
          </cell>
          <cell r="C707">
            <v>142</v>
          </cell>
          <cell r="D707">
            <v>6000</v>
          </cell>
        </row>
        <row r="708">
          <cell r="A708" t="str">
            <v>453516798</v>
          </cell>
          <cell r="B708">
            <v>453516</v>
          </cell>
          <cell r="C708">
            <v>798</v>
          </cell>
          <cell r="D708">
            <v>6000</v>
          </cell>
        </row>
        <row r="709">
          <cell r="A709" t="str">
            <v>453516910</v>
          </cell>
          <cell r="B709">
            <v>453516</v>
          </cell>
          <cell r="C709">
            <v>910</v>
          </cell>
          <cell r="D709">
            <v>6000</v>
          </cell>
        </row>
        <row r="710">
          <cell r="A710" t="str">
            <v>4535162700</v>
          </cell>
          <cell r="B710">
            <v>453516</v>
          </cell>
          <cell r="C710">
            <v>2700</v>
          </cell>
          <cell r="D710">
            <v>20000</v>
          </cell>
        </row>
        <row r="711">
          <cell r="A711" t="str">
            <v>453516750</v>
          </cell>
          <cell r="B711">
            <v>453516</v>
          </cell>
          <cell r="C711">
            <v>750</v>
          </cell>
          <cell r="D711">
            <v>5000</v>
          </cell>
        </row>
        <row r="712">
          <cell r="A712" t="str">
            <v>453523406</v>
          </cell>
          <cell r="B712">
            <v>453523</v>
          </cell>
          <cell r="C712">
            <v>406</v>
          </cell>
          <cell r="D712">
            <v>3300</v>
          </cell>
        </row>
        <row r="713">
          <cell r="A713" t="str">
            <v>453523910</v>
          </cell>
          <cell r="B713">
            <v>453523</v>
          </cell>
          <cell r="C713">
            <v>910</v>
          </cell>
          <cell r="D713">
            <v>3300</v>
          </cell>
        </row>
        <row r="714">
          <cell r="A714" t="str">
            <v>453523201921</v>
          </cell>
          <cell r="B714">
            <v>453523</v>
          </cell>
          <cell r="C714">
            <v>201921</v>
          </cell>
        </row>
        <row r="715">
          <cell r="A715" t="str">
            <v>453523799</v>
          </cell>
          <cell r="B715">
            <v>453523</v>
          </cell>
          <cell r="C715">
            <v>799</v>
          </cell>
          <cell r="D715">
            <v>900</v>
          </cell>
        </row>
        <row r="716">
          <cell r="A716" t="str">
            <v>4535232700</v>
          </cell>
          <cell r="B716">
            <v>453523</v>
          </cell>
          <cell r="C716">
            <v>2700</v>
          </cell>
          <cell r="D716">
            <v>15000</v>
          </cell>
        </row>
        <row r="717">
          <cell r="A717" t="str">
            <v>453523750</v>
          </cell>
          <cell r="B717">
            <v>453523</v>
          </cell>
          <cell r="C717">
            <v>750</v>
          </cell>
          <cell r="D717">
            <v>4000</v>
          </cell>
        </row>
        <row r="718">
          <cell r="A718" t="str">
            <v>453526409</v>
          </cell>
          <cell r="B718">
            <v>453526</v>
          </cell>
          <cell r="C718">
            <v>409</v>
          </cell>
          <cell r="D718">
            <v>2500</v>
          </cell>
        </row>
        <row r="719">
          <cell r="A719" t="str">
            <v>453526910</v>
          </cell>
          <cell r="B719">
            <v>453526</v>
          </cell>
          <cell r="C719">
            <v>910</v>
          </cell>
          <cell r="D719">
            <v>2500</v>
          </cell>
        </row>
        <row r="720">
          <cell r="A720" t="str">
            <v>4535262700</v>
          </cell>
          <cell r="B720">
            <v>453526</v>
          </cell>
          <cell r="C720">
            <v>2700</v>
          </cell>
          <cell r="D720">
            <v>5000</v>
          </cell>
        </row>
        <row r="721">
          <cell r="A721" t="str">
            <v>453526777</v>
          </cell>
          <cell r="B721">
            <v>453526</v>
          </cell>
          <cell r="C721">
            <v>777</v>
          </cell>
          <cell r="D721">
            <v>15000</v>
          </cell>
        </row>
        <row r="722">
          <cell r="A722" t="str">
            <v>453584212</v>
          </cell>
          <cell r="B722">
            <v>453584</v>
          </cell>
          <cell r="C722">
            <v>212</v>
          </cell>
          <cell r="D722">
            <v>1200</v>
          </cell>
        </row>
        <row r="723">
          <cell r="A723" t="str">
            <v>453584916</v>
          </cell>
          <cell r="B723">
            <v>453584</v>
          </cell>
          <cell r="C723">
            <v>916</v>
          </cell>
          <cell r="D723">
            <v>100000</v>
          </cell>
        </row>
        <row r="724">
          <cell r="A724" t="str">
            <v>453584266</v>
          </cell>
          <cell r="B724">
            <v>453584</v>
          </cell>
          <cell r="C724">
            <v>266</v>
          </cell>
          <cell r="D724">
            <v>2000</v>
          </cell>
        </row>
        <row r="725">
          <cell r="A725" t="str">
            <v>453584780</v>
          </cell>
          <cell r="B725">
            <v>453584</v>
          </cell>
          <cell r="C725">
            <v>780</v>
          </cell>
          <cell r="D725">
            <v>3000</v>
          </cell>
        </row>
        <row r="726">
          <cell r="A726" t="str">
            <v>453584724</v>
          </cell>
          <cell r="B726">
            <v>453584</v>
          </cell>
          <cell r="C726">
            <v>724</v>
          </cell>
          <cell r="D726">
            <v>100000</v>
          </cell>
        </row>
        <row r="727">
          <cell r="A727" t="str">
            <v>453585125</v>
          </cell>
          <cell r="B727">
            <v>453585</v>
          </cell>
          <cell r="C727">
            <v>125</v>
          </cell>
          <cell r="D727">
            <v>5</v>
          </cell>
        </row>
        <row r="728">
          <cell r="A728" t="str">
            <v>453585799</v>
          </cell>
          <cell r="B728">
            <v>453585</v>
          </cell>
          <cell r="C728">
            <v>799</v>
          </cell>
          <cell r="D728">
            <v>5</v>
          </cell>
        </row>
        <row r="729">
          <cell r="A729" t="str">
            <v>453590212</v>
          </cell>
          <cell r="B729">
            <v>453590</v>
          </cell>
          <cell r="C729">
            <v>212</v>
          </cell>
          <cell r="D729">
            <v>1500</v>
          </cell>
        </row>
        <row r="730">
          <cell r="A730" t="str">
            <v>453590916</v>
          </cell>
          <cell r="B730">
            <v>453590</v>
          </cell>
          <cell r="C730">
            <v>916</v>
          </cell>
          <cell r="D730">
            <v>100000</v>
          </cell>
        </row>
        <row r="731">
          <cell r="A731" t="str">
            <v>453590266</v>
          </cell>
          <cell r="B731">
            <v>453590</v>
          </cell>
          <cell r="C731">
            <v>266</v>
          </cell>
          <cell r="D731">
            <v>2100</v>
          </cell>
        </row>
        <row r="732">
          <cell r="A732" t="str">
            <v>453590724</v>
          </cell>
          <cell r="B732">
            <v>453590</v>
          </cell>
          <cell r="C732">
            <v>724</v>
          </cell>
          <cell r="D732">
            <v>100000</v>
          </cell>
        </row>
        <row r="733">
          <cell r="A733" t="str">
            <v>453591212</v>
          </cell>
          <cell r="B733">
            <v>453591</v>
          </cell>
          <cell r="C733">
            <v>212</v>
          </cell>
          <cell r="D733">
            <v>1200</v>
          </cell>
        </row>
        <row r="734">
          <cell r="A734" t="str">
            <v>453591916</v>
          </cell>
          <cell r="B734">
            <v>453591</v>
          </cell>
          <cell r="C734">
            <v>916</v>
          </cell>
          <cell r="D734">
            <v>100000</v>
          </cell>
        </row>
        <row r="735">
          <cell r="A735" t="str">
            <v>453591266</v>
          </cell>
          <cell r="B735">
            <v>453591</v>
          </cell>
          <cell r="C735">
            <v>266</v>
          </cell>
          <cell r="D735">
            <v>2200</v>
          </cell>
        </row>
        <row r="736">
          <cell r="A736" t="str">
            <v>453591724</v>
          </cell>
          <cell r="B736">
            <v>453591</v>
          </cell>
          <cell r="C736">
            <v>724</v>
          </cell>
          <cell r="D736">
            <v>100000</v>
          </cell>
        </row>
        <row r="737">
          <cell r="A737" t="str">
            <v>453601142</v>
          </cell>
          <cell r="B737">
            <v>453601</v>
          </cell>
          <cell r="C737">
            <v>142</v>
          </cell>
          <cell r="D737">
            <v>6000</v>
          </cell>
        </row>
        <row r="738">
          <cell r="A738" t="str">
            <v>453601798</v>
          </cell>
          <cell r="B738">
            <v>453601</v>
          </cell>
          <cell r="C738">
            <v>798</v>
          </cell>
          <cell r="D738">
            <v>6000</v>
          </cell>
        </row>
        <row r="739">
          <cell r="A739" t="str">
            <v>453601910</v>
          </cell>
          <cell r="B739">
            <v>453601</v>
          </cell>
          <cell r="C739">
            <v>910</v>
          </cell>
          <cell r="D739">
            <v>6000</v>
          </cell>
        </row>
        <row r="740">
          <cell r="A740" t="str">
            <v>4536012700</v>
          </cell>
          <cell r="B740">
            <v>453601</v>
          </cell>
          <cell r="C740">
            <v>2700</v>
          </cell>
          <cell r="D740">
            <v>10000</v>
          </cell>
        </row>
        <row r="741">
          <cell r="A741" t="str">
            <v>453601750</v>
          </cell>
          <cell r="B741">
            <v>453601</v>
          </cell>
          <cell r="C741">
            <v>750</v>
          </cell>
          <cell r="D741">
            <v>5000</v>
          </cell>
        </row>
        <row r="742">
          <cell r="A742" t="str">
            <v>453618407</v>
          </cell>
          <cell r="B742">
            <v>453618</v>
          </cell>
          <cell r="C742">
            <v>407</v>
          </cell>
          <cell r="D742">
            <v>3000</v>
          </cell>
        </row>
        <row r="743">
          <cell r="A743" t="str">
            <v>453618798</v>
          </cell>
          <cell r="B743">
            <v>453618</v>
          </cell>
          <cell r="C743">
            <v>798</v>
          </cell>
          <cell r="D743">
            <v>3000</v>
          </cell>
        </row>
        <row r="744">
          <cell r="A744" t="str">
            <v>453618910</v>
          </cell>
          <cell r="B744">
            <v>453618</v>
          </cell>
          <cell r="C744">
            <v>910</v>
          </cell>
          <cell r="D744">
            <v>3000</v>
          </cell>
        </row>
        <row r="745">
          <cell r="A745" t="str">
            <v>4536182700</v>
          </cell>
          <cell r="B745">
            <v>453618</v>
          </cell>
          <cell r="C745">
            <v>2700</v>
          </cell>
          <cell r="D745">
            <v>15000</v>
          </cell>
        </row>
        <row r="746">
          <cell r="A746" t="str">
            <v>453618750</v>
          </cell>
          <cell r="B746">
            <v>453618</v>
          </cell>
          <cell r="C746">
            <v>750</v>
          </cell>
          <cell r="D746">
            <v>3000</v>
          </cell>
        </row>
        <row r="747">
          <cell r="A747" t="str">
            <v>453630216</v>
          </cell>
          <cell r="B747">
            <v>453630</v>
          </cell>
          <cell r="C747">
            <v>216</v>
          </cell>
          <cell r="D747">
            <v>1500</v>
          </cell>
        </row>
        <row r="748">
          <cell r="A748" t="str">
            <v>453630916</v>
          </cell>
          <cell r="B748">
            <v>453630</v>
          </cell>
          <cell r="C748">
            <v>916</v>
          </cell>
          <cell r="D748">
            <v>100000</v>
          </cell>
        </row>
        <row r="749">
          <cell r="A749" t="str">
            <v>453630265</v>
          </cell>
          <cell r="B749">
            <v>453630</v>
          </cell>
          <cell r="C749">
            <v>265</v>
          </cell>
          <cell r="D749">
            <v>2000</v>
          </cell>
        </row>
        <row r="750">
          <cell r="A750" t="str">
            <v>453630724</v>
          </cell>
          <cell r="B750">
            <v>453630</v>
          </cell>
          <cell r="C750">
            <v>724</v>
          </cell>
          <cell r="D750">
            <v>100000</v>
          </cell>
        </row>
        <row r="751">
          <cell r="A751" t="str">
            <v>453641142</v>
          </cell>
          <cell r="B751">
            <v>453641</v>
          </cell>
          <cell r="C751">
            <v>142</v>
          </cell>
          <cell r="D751">
            <v>6000</v>
          </cell>
        </row>
        <row r="752">
          <cell r="A752" t="str">
            <v>453641798</v>
          </cell>
          <cell r="B752">
            <v>453641</v>
          </cell>
          <cell r="C752">
            <v>798</v>
          </cell>
          <cell r="D752">
            <v>6000</v>
          </cell>
        </row>
        <row r="753">
          <cell r="A753" t="str">
            <v>453641910</v>
          </cell>
          <cell r="B753">
            <v>453641</v>
          </cell>
          <cell r="C753">
            <v>910</v>
          </cell>
          <cell r="D753">
            <v>6000</v>
          </cell>
        </row>
        <row r="754">
          <cell r="A754" t="str">
            <v>4536412700</v>
          </cell>
          <cell r="B754">
            <v>453641</v>
          </cell>
          <cell r="C754">
            <v>2700</v>
          </cell>
          <cell r="D754">
            <v>15000</v>
          </cell>
        </row>
        <row r="755">
          <cell r="A755" t="str">
            <v>453641750</v>
          </cell>
          <cell r="B755">
            <v>453641</v>
          </cell>
          <cell r="C755">
            <v>750</v>
          </cell>
          <cell r="D755">
            <v>5000</v>
          </cell>
        </row>
        <row r="756">
          <cell r="A756" t="str">
            <v>453643142</v>
          </cell>
          <cell r="B756">
            <v>453643</v>
          </cell>
          <cell r="C756">
            <v>142</v>
          </cell>
          <cell r="D756">
            <v>8000</v>
          </cell>
        </row>
        <row r="757">
          <cell r="A757" t="str">
            <v>453643798</v>
          </cell>
          <cell r="B757">
            <v>453643</v>
          </cell>
          <cell r="C757">
            <v>798</v>
          </cell>
          <cell r="D757">
            <v>8000</v>
          </cell>
        </row>
        <row r="758">
          <cell r="A758" t="str">
            <v>453643910</v>
          </cell>
          <cell r="B758">
            <v>453643</v>
          </cell>
          <cell r="C758">
            <v>910</v>
          </cell>
          <cell r="D758">
            <v>8000</v>
          </cell>
        </row>
        <row r="759">
          <cell r="A759" t="str">
            <v>4536432700</v>
          </cell>
          <cell r="B759">
            <v>453643</v>
          </cell>
          <cell r="C759">
            <v>2700</v>
          </cell>
          <cell r="D759">
            <v>10000</v>
          </cell>
        </row>
        <row r="760">
          <cell r="A760" t="str">
            <v>453643750</v>
          </cell>
          <cell r="B760">
            <v>453643</v>
          </cell>
          <cell r="C760">
            <v>750</v>
          </cell>
          <cell r="D760">
            <v>6000</v>
          </cell>
        </row>
        <row r="761">
          <cell r="A761" t="str">
            <v>453645407</v>
          </cell>
          <cell r="B761">
            <v>453645</v>
          </cell>
          <cell r="C761">
            <v>407</v>
          </cell>
          <cell r="D761">
            <v>3000</v>
          </cell>
        </row>
        <row r="762">
          <cell r="A762" t="str">
            <v>453645798</v>
          </cell>
          <cell r="B762">
            <v>453645</v>
          </cell>
          <cell r="C762">
            <v>798</v>
          </cell>
          <cell r="D762">
            <v>3000</v>
          </cell>
        </row>
        <row r="763">
          <cell r="A763" t="str">
            <v>453645910</v>
          </cell>
          <cell r="B763">
            <v>453645</v>
          </cell>
          <cell r="C763">
            <v>910</v>
          </cell>
          <cell r="D763">
            <v>3000</v>
          </cell>
        </row>
        <row r="764">
          <cell r="A764" t="str">
            <v>4536452700</v>
          </cell>
          <cell r="B764">
            <v>453645</v>
          </cell>
          <cell r="C764">
            <v>2700</v>
          </cell>
          <cell r="D764">
            <v>15000</v>
          </cell>
        </row>
        <row r="765">
          <cell r="A765" t="str">
            <v>453645750</v>
          </cell>
          <cell r="B765">
            <v>453645</v>
          </cell>
          <cell r="C765">
            <v>750</v>
          </cell>
          <cell r="D765">
            <v>4000</v>
          </cell>
        </row>
        <row r="766">
          <cell r="A766" t="str">
            <v>453659210</v>
          </cell>
          <cell r="B766">
            <v>453659</v>
          </cell>
          <cell r="C766">
            <v>210</v>
          </cell>
          <cell r="D766">
            <v>1000</v>
          </cell>
        </row>
        <row r="767">
          <cell r="A767" t="str">
            <v>453659916</v>
          </cell>
          <cell r="B767">
            <v>453659</v>
          </cell>
          <cell r="C767">
            <v>916</v>
          </cell>
          <cell r="D767">
            <v>100000</v>
          </cell>
        </row>
        <row r="768">
          <cell r="A768" t="str">
            <v>453659266</v>
          </cell>
          <cell r="B768">
            <v>453659</v>
          </cell>
          <cell r="C768">
            <v>266</v>
          </cell>
          <cell r="D768">
            <v>2300</v>
          </cell>
        </row>
        <row r="769">
          <cell r="A769" t="str">
            <v>453659724</v>
          </cell>
          <cell r="B769">
            <v>453659</v>
          </cell>
          <cell r="C769">
            <v>724</v>
          </cell>
          <cell r="D769">
            <v>100000</v>
          </cell>
        </row>
        <row r="770">
          <cell r="A770" t="str">
            <v>453660407</v>
          </cell>
          <cell r="B770">
            <v>453660</v>
          </cell>
          <cell r="C770">
            <v>407</v>
          </cell>
          <cell r="D770">
            <v>3500</v>
          </cell>
        </row>
        <row r="771">
          <cell r="A771" t="str">
            <v>453660798</v>
          </cell>
          <cell r="B771">
            <v>453660</v>
          </cell>
          <cell r="C771">
            <v>798</v>
          </cell>
          <cell r="D771">
            <v>3500</v>
          </cell>
        </row>
        <row r="772">
          <cell r="A772" t="str">
            <v>453660910</v>
          </cell>
          <cell r="B772">
            <v>453660</v>
          </cell>
          <cell r="C772">
            <v>910</v>
          </cell>
          <cell r="D772">
            <v>3500</v>
          </cell>
        </row>
        <row r="773">
          <cell r="A773" t="str">
            <v>4536602700</v>
          </cell>
          <cell r="B773">
            <v>453660</v>
          </cell>
          <cell r="C773">
            <v>2700</v>
          </cell>
          <cell r="D773">
            <v>15000</v>
          </cell>
        </row>
        <row r="774">
          <cell r="A774" t="str">
            <v>453660750</v>
          </cell>
          <cell r="B774">
            <v>453660</v>
          </cell>
          <cell r="C774">
            <v>750</v>
          </cell>
          <cell r="D774">
            <v>4000</v>
          </cell>
        </row>
        <row r="775">
          <cell r="A775" t="str">
            <v>453666407</v>
          </cell>
          <cell r="B775">
            <v>453666</v>
          </cell>
          <cell r="C775">
            <v>407</v>
          </cell>
          <cell r="D775">
            <v>4000</v>
          </cell>
        </row>
        <row r="776">
          <cell r="A776" t="str">
            <v>453666910</v>
          </cell>
          <cell r="B776">
            <v>453666</v>
          </cell>
          <cell r="C776">
            <v>910</v>
          </cell>
          <cell r="D776">
            <v>4000</v>
          </cell>
        </row>
        <row r="777">
          <cell r="A777" t="str">
            <v>453666782</v>
          </cell>
          <cell r="B777">
            <v>453666</v>
          </cell>
          <cell r="C777">
            <v>782</v>
          </cell>
          <cell r="D777">
            <v>1000</v>
          </cell>
        </row>
        <row r="778">
          <cell r="A778" t="str">
            <v>453690212</v>
          </cell>
          <cell r="B778">
            <v>453690</v>
          </cell>
          <cell r="C778">
            <v>212</v>
          </cell>
          <cell r="D778">
            <v>1500</v>
          </cell>
        </row>
        <row r="779">
          <cell r="A779" t="str">
            <v>453690916</v>
          </cell>
          <cell r="B779">
            <v>453690</v>
          </cell>
          <cell r="C779">
            <v>916</v>
          </cell>
          <cell r="D779">
            <v>100000</v>
          </cell>
        </row>
        <row r="780">
          <cell r="A780" t="str">
            <v>453690266</v>
          </cell>
          <cell r="B780">
            <v>453690</v>
          </cell>
          <cell r="C780">
            <v>266</v>
          </cell>
          <cell r="D780">
            <v>2300</v>
          </cell>
        </row>
        <row r="781">
          <cell r="A781" t="str">
            <v>453690724</v>
          </cell>
          <cell r="B781">
            <v>453690</v>
          </cell>
          <cell r="C781">
            <v>724</v>
          </cell>
          <cell r="D781">
            <v>100000</v>
          </cell>
        </row>
        <row r="782">
          <cell r="A782" t="str">
            <v>453713122</v>
          </cell>
          <cell r="B782">
            <v>453713</v>
          </cell>
          <cell r="C782">
            <v>122</v>
          </cell>
          <cell r="D782">
            <v>2000</v>
          </cell>
        </row>
        <row r="783">
          <cell r="A783" t="str">
            <v>453713910</v>
          </cell>
          <cell r="B783">
            <v>453713</v>
          </cell>
          <cell r="C783">
            <v>910</v>
          </cell>
          <cell r="D783">
            <v>2000</v>
          </cell>
        </row>
        <row r="784">
          <cell r="A784" t="str">
            <v>453713700</v>
          </cell>
          <cell r="B784">
            <v>453713</v>
          </cell>
          <cell r="C784">
            <v>700</v>
          </cell>
          <cell r="D784">
            <v>500</v>
          </cell>
        </row>
        <row r="785">
          <cell r="A785" t="str">
            <v>453713799</v>
          </cell>
          <cell r="B785">
            <v>453713</v>
          </cell>
          <cell r="C785">
            <v>799</v>
          </cell>
          <cell r="D785">
            <v>6000</v>
          </cell>
        </row>
        <row r="786">
          <cell r="A786" t="str">
            <v>453719406</v>
          </cell>
          <cell r="B786">
            <v>453719</v>
          </cell>
          <cell r="C786">
            <v>406</v>
          </cell>
          <cell r="D786">
            <v>3000</v>
          </cell>
        </row>
        <row r="787">
          <cell r="A787" t="str">
            <v>453719798</v>
          </cell>
          <cell r="B787">
            <v>453719</v>
          </cell>
          <cell r="C787">
            <v>798</v>
          </cell>
          <cell r="D787">
            <v>3000</v>
          </cell>
        </row>
        <row r="788">
          <cell r="A788" t="str">
            <v>453719910</v>
          </cell>
          <cell r="B788">
            <v>453719</v>
          </cell>
          <cell r="C788">
            <v>910</v>
          </cell>
          <cell r="D788">
            <v>3000</v>
          </cell>
        </row>
        <row r="789">
          <cell r="A789" t="str">
            <v>4537192700</v>
          </cell>
          <cell r="B789">
            <v>453719</v>
          </cell>
          <cell r="C789">
            <v>2700</v>
          </cell>
          <cell r="D789">
            <v>15000</v>
          </cell>
        </row>
        <row r="790">
          <cell r="A790" t="str">
            <v>453719750</v>
          </cell>
          <cell r="B790">
            <v>453719</v>
          </cell>
          <cell r="C790">
            <v>750</v>
          </cell>
          <cell r="D790">
            <v>5000</v>
          </cell>
        </row>
        <row r="791">
          <cell r="A791" t="str">
            <v>453759406</v>
          </cell>
          <cell r="B791">
            <v>453759</v>
          </cell>
          <cell r="C791">
            <v>406</v>
          </cell>
          <cell r="D791">
            <v>3500</v>
          </cell>
        </row>
        <row r="792">
          <cell r="A792" t="str">
            <v>453759798</v>
          </cell>
          <cell r="B792">
            <v>453759</v>
          </cell>
          <cell r="C792">
            <v>798</v>
          </cell>
          <cell r="D792">
            <v>3500</v>
          </cell>
        </row>
        <row r="793">
          <cell r="A793" t="str">
            <v>453759910</v>
          </cell>
          <cell r="B793">
            <v>453759</v>
          </cell>
          <cell r="C793">
            <v>910</v>
          </cell>
          <cell r="D793">
            <v>3500</v>
          </cell>
        </row>
        <row r="794">
          <cell r="A794" t="str">
            <v>4537592700</v>
          </cell>
          <cell r="B794">
            <v>453759</v>
          </cell>
          <cell r="C794">
            <v>2700</v>
          </cell>
          <cell r="D794">
            <v>15000</v>
          </cell>
        </row>
        <row r="795">
          <cell r="A795" t="str">
            <v>453759750</v>
          </cell>
          <cell r="B795">
            <v>453759</v>
          </cell>
          <cell r="C795">
            <v>750</v>
          </cell>
          <cell r="D795">
            <v>5000</v>
          </cell>
        </row>
        <row r="796">
          <cell r="A796" t="str">
            <v>453773221</v>
          </cell>
          <cell r="B796">
            <v>453773</v>
          </cell>
          <cell r="C796">
            <v>221</v>
          </cell>
          <cell r="D796">
            <v>4000</v>
          </cell>
        </row>
        <row r="797">
          <cell r="A797" t="str">
            <v>453773916</v>
          </cell>
          <cell r="B797">
            <v>453773</v>
          </cell>
          <cell r="C797">
            <v>916</v>
          </cell>
          <cell r="D797">
            <v>100000</v>
          </cell>
        </row>
        <row r="798">
          <cell r="A798" t="str">
            <v>453773257</v>
          </cell>
          <cell r="B798">
            <v>453773</v>
          </cell>
          <cell r="C798">
            <v>257</v>
          </cell>
          <cell r="D798">
            <v>3000</v>
          </cell>
        </row>
        <row r="799">
          <cell r="A799" t="str">
            <v>453773280</v>
          </cell>
          <cell r="B799">
            <v>453773</v>
          </cell>
          <cell r="C799">
            <v>280</v>
          </cell>
          <cell r="D799">
            <v>3000</v>
          </cell>
        </row>
        <row r="800">
          <cell r="A800" t="str">
            <v>453773724</v>
          </cell>
          <cell r="B800">
            <v>453773</v>
          </cell>
          <cell r="C800">
            <v>724</v>
          </cell>
          <cell r="D800">
            <v>100000</v>
          </cell>
        </row>
        <row r="801">
          <cell r="A801" t="str">
            <v>453800215</v>
          </cell>
          <cell r="B801">
            <v>453800</v>
          </cell>
          <cell r="C801">
            <v>215</v>
          </cell>
          <cell r="D801">
            <v>3000</v>
          </cell>
        </row>
        <row r="802">
          <cell r="A802" t="str">
            <v>453800916</v>
          </cell>
          <cell r="B802">
            <v>453800</v>
          </cell>
          <cell r="C802">
            <v>916</v>
          </cell>
          <cell r="D802">
            <v>100000</v>
          </cell>
        </row>
        <row r="803">
          <cell r="A803" t="str">
            <v>453800258</v>
          </cell>
          <cell r="B803">
            <v>453800</v>
          </cell>
          <cell r="C803">
            <v>258</v>
          </cell>
          <cell r="D803">
            <v>3000</v>
          </cell>
        </row>
        <row r="804">
          <cell r="A804" t="str">
            <v>453800280</v>
          </cell>
          <cell r="B804">
            <v>453800</v>
          </cell>
          <cell r="C804">
            <v>280</v>
          </cell>
          <cell r="D804">
            <v>3500</v>
          </cell>
        </row>
        <row r="805">
          <cell r="A805" t="str">
            <v>453800724</v>
          </cell>
          <cell r="B805">
            <v>453800</v>
          </cell>
          <cell r="C805">
            <v>724</v>
          </cell>
          <cell r="D805">
            <v>100000</v>
          </cell>
        </row>
        <row r="806">
          <cell r="A806" t="str">
            <v>453805142</v>
          </cell>
          <cell r="B806">
            <v>453805</v>
          </cell>
          <cell r="C806">
            <v>142</v>
          </cell>
          <cell r="D806">
            <v>6000</v>
          </cell>
        </row>
        <row r="807">
          <cell r="A807" t="str">
            <v>453805798</v>
          </cell>
          <cell r="B807">
            <v>453805</v>
          </cell>
          <cell r="C807">
            <v>798</v>
          </cell>
          <cell r="D807">
            <v>6000</v>
          </cell>
        </row>
        <row r="808">
          <cell r="A808" t="str">
            <v>453805910</v>
          </cell>
          <cell r="B808">
            <v>453805</v>
          </cell>
          <cell r="C808">
            <v>910</v>
          </cell>
          <cell r="D808">
            <v>6000</v>
          </cell>
        </row>
        <row r="809">
          <cell r="A809" t="str">
            <v>4538052700</v>
          </cell>
          <cell r="B809">
            <v>453805</v>
          </cell>
          <cell r="C809">
            <v>2700</v>
          </cell>
          <cell r="D809">
            <v>10000</v>
          </cell>
        </row>
        <row r="810">
          <cell r="A810" t="str">
            <v>453805750</v>
          </cell>
          <cell r="B810">
            <v>453805</v>
          </cell>
          <cell r="C810">
            <v>750</v>
          </cell>
          <cell r="D810">
            <v>5000</v>
          </cell>
        </row>
        <row r="811">
          <cell r="A811" t="str">
            <v>453914221</v>
          </cell>
          <cell r="B811">
            <v>453914</v>
          </cell>
          <cell r="C811">
            <v>221</v>
          </cell>
          <cell r="D811">
            <v>2000</v>
          </cell>
        </row>
        <row r="812">
          <cell r="A812" t="str">
            <v>453914916</v>
          </cell>
          <cell r="B812">
            <v>453914</v>
          </cell>
          <cell r="C812">
            <v>916</v>
          </cell>
          <cell r="D812">
            <v>100000</v>
          </cell>
        </row>
        <row r="813">
          <cell r="A813" t="str">
            <v>453914265</v>
          </cell>
          <cell r="B813">
            <v>453914</v>
          </cell>
          <cell r="C813">
            <v>265</v>
          </cell>
          <cell r="D813">
            <v>2200</v>
          </cell>
        </row>
        <row r="814">
          <cell r="A814" t="str">
            <v>453914724</v>
          </cell>
          <cell r="B814">
            <v>453914</v>
          </cell>
          <cell r="C814">
            <v>724</v>
          </cell>
          <cell r="D814">
            <v>100000</v>
          </cell>
        </row>
        <row r="815">
          <cell r="A815" t="str">
            <v>400213R142</v>
          </cell>
          <cell r="B815" t="str">
            <v>400213R</v>
          </cell>
          <cell r="C815">
            <v>142</v>
          </cell>
          <cell r="D815">
            <v>7000</v>
          </cell>
        </row>
        <row r="816">
          <cell r="A816" t="str">
            <v>400213R798</v>
          </cell>
          <cell r="B816" t="str">
            <v>400213R</v>
          </cell>
          <cell r="C816">
            <v>798</v>
          </cell>
          <cell r="D816">
            <v>7000</v>
          </cell>
        </row>
        <row r="817">
          <cell r="A817" t="str">
            <v>400213R910</v>
          </cell>
          <cell r="B817" t="str">
            <v>400213R</v>
          </cell>
          <cell r="C817">
            <v>910</v>
          </cell>
          <cell r="D817">
            <v>7000</v>
          </cell>
        </row>
        <row r="818">
          <cell r="A818" t="str">
            <v>400213R2700</v>
          </cell>
          <cell r="B818" t="str">
            <v>400213R</v>
          </cell>
          <cell r="C818">
            <v>2700</v>
          </cell>
          <cell r="D818">
            <v>10000</v>
          </cell>
        </row>
        <row r="819">
          <cell r="A819" t="str">
            <v>400213R750</v>
          </cell>
          <cell r="B819" t="str">
            <v>400213R</v>
          </cell>
          <cell r="C819">
            <v>750</v>
          </cell>
          <cell r="D819">
            <v>5000</v>
          </cell>
        </row>
        <row r="820">
          <cell r="A820" t="str">
            <v>400291R142</v>
          </cell>
          <cell r="B820" t="str">
            <v>400291R</v>
          </cell>
          <cell r="C820">
            <v>142</v>
          </cell>
          <cell r="D820">
            <v>7000</v>
          </cell>
        </row>
        <row r="821">
          <cell r="A821" t="str">
            <v>400291R798</v>
          </cell>
          <cell r="B821" t="str">
            <v>400291R</v>
          </cell>
          <cell r="C821">
            <v>798</v>
          </cell>
          <cell r="D821">
            <v>7000</v>
          </cell>
        </row>
        <row r="822">
          <cell r="A822" t="str">
            <v>400291R910</v>
          </cell>
          <cell r="B822" t="str">
            <v>400291R</v>
          </cell>
          <cell r="C822">
            <v>910</v>
          </cell>
          <cell r="D822">
            <v>7000</v>
          </cell>
        </row>
        <row r="823">
          <cell r="A823" t="str">
            <v>400291R2700</v>
          </cell>
          <cell r="B823" t="str">
            <v>400291R</v>
          </cell>
          <cell r="C823">
            <v>2700</v>
          </cell>
          <cell r="D823">
            <v>20000</v>
          </cell>
        </row>
        <row r="824">
          <cell r="A824" t="str">
            <v>400291R750</v>
          </cell>
          <cell r="B824" t="str">
            <v>400291R</v>
          </cell>
          <cell r="C824">
            <v>750</v>
          </cell>
          <cell r="D824">
            <v>5000</v>
          </cell>
        </row>
        <row r="825">
          <cell r="A825" t="str">
            <v>400303B124</v>
          </cell>
          <cell r="B825" t="str">
            <v>400303B</v>
          </cell>
          <cell r="C825">
            <v>124</v>
          </cell>
          <cell r="D825">
            <v>6000</v>
          </cell>
        </row>
        <row r="826">
          <cell r="A826" t="str">
            <v>400303B910</v>
          </cell>
          <cell r="B826" t="str">
            <v>400303B</v>
          </cell>
          <cell r="C826">
            <v>910</v>
          </cell>
          <cell r="D826">
            <v>6000</v>
          </cell>
        </row>
        <row r="827">
          <cell r="A827" t="str">
            <v>400303B2700</v>
          </cell>
          <cell r="B827" t="str">
            <v>400303B</v>
          </cell>
          <cell r="C827">
            <v>2700</v>
          </cell>
          <cell r="D827">
            <v>10000</v>
          </cell>
        </row>
        <row r="828">
          <cell r="A828" t="str">
            <v>400303B750</v>
          </cell>
          <cell r="B828" t="str">
            <v>400303B</v>
          </cell>
          <cell r="C828">
            <v>750</v>
          </cell>
          <cell r="D828">
            <v>6000</v>
          </cell>
        </row>
        <row r="829">
          <cell r="A829" t="str">
            <v>401451/CO799</v>
          </cell>
          <cell r="B829" t="str">
            <v>401451/CO</v>
          </cell>
          <cell r="C829">
            <v>799</v>
          </cell>
          <cell r="D829">
            <v>100000</v>
          </cell>
        </row>
        <row r="830">
          <cell r="A830" t="str">
            <v>401451/CO777</v>
          </cell>
          <cell r="B830" t="str">
            <v>401451/CO</v>
          </cell>
          <cell r="C830">
            <v>777</v>
          </cell>
          <cell r="D830">
            <v>100000</v>
          </cell>
        </row>
        <row r="831">
          <cell r="A831" t="str">
            <v>402035E/CO799</v>
          </cell>
          <cell r="B831" t="str">
            <v>402035E/CO</v>
          </cell>
          <cell r="C831">
            <v>799</v>
          </cell>
          <cell r="D831">
            <v>100000</v>
          </cell>
        </row>
        <row r="832">
          <cell r="A832" t="str">
            <v>402035E/CO777</v>
          </cell>
          <cell r="B832" t="str">
            <v>402035E/CO</v>
          </cell>
          <cell r="C832">
            <v>777</v>
          </cell>
          <cell r="D832">
            <v>100000</v>
          </cell>
        </row>
        <row r="833">
          <cell r="A833" t="str">
            <v>402336A452</v>
          </cell>
          <cell r="B833" t="str">
            <v>402336A</v>
          </cell>
          <cell r="C833">
            <v>452</v>
          </cell>
          <cell r="D833">
            <v>400</v>
          </cell>
        </row>
        <row r="834">
          <cell r="A834" t="str">
            <v>402336A910</v>
          </cell>
          <cell r="B834" t="str">
            <v>402336A</v>
          </cell>
          <cell r="C834">
            <v>910</v>
          </cell>
          <cell r="D834">
            <v>400</v>
          </cell>
        </row>
        <row r="835">
          <cell r="A835" t="str">
            <v>403978A221</v>
          </cell>
          <cell r="B835" t="str">
            <v>403978A</v>
          </cell>
          <cell r="C835">
            <v>221</v>
          </cell>
          <cell r="D835">
            <v>1000</v>
          </cell>
        </row>
        <row r="836">
          <cell r="A836" t="str">
            <v>403978A916</v>
          </cell>
          <cell r="B836" t="str">
            <v>403978A</v>
          </cell>
          <cell r="C836">
            <v>916</v>
          </cell>
          <cell r="D836">
            <v>100000</v>
          </cell>
        </row>
        <row r="837">
          <cell r="A837" t="str">
            <v>403978A270</v>
          </cell>
          <cell r="B837" t="str">
            <v>403978A</v>
          </cell>
          <cell r="C837">
            <v>270</v>
          </cell>
          <cell r="D837">
            <v>1000</v>
          </cell>
        </row>
        <row r="838">
          <cell r="A838" t="str">
            <v>403978A780</v>
          </cell>
          <cell r="B838" t="str">
            <v>403978A</v>
          </cell>
          <cell r="C838">
            <v>780</v>
          </cell>
          <cell r="D838">
            <v>3000</v>
          </cell>
        </row>
        <row r="839">
          <cell r="A839" t="str">
            <v>404004A215</v>
          </cell>
          <cell r="B839" t="str">
            <v>404004A</v>
          </cell>
          <cell r="C839">
            <v>215</v>
          </cell>
          <cell r="D839">
            <v>600</v>
          </cell>
        </row>
        <row r="840">
          <cell r="A840" t="str">
            <v>404004A916</v>
          </cell>
          <cell r="B840" t="str">
            <v>404004A</v>
          </cell>
          <cell r="C840">
            <v>916</v>
          </cell>
          <cell r="D840">
            <v>100000</v>
          </cell>
        </row>
        <row r="841">
          <cell r="A841" t="str">
            <v>404004A266</v>
          </cell>
          <cell r="B841" t="str">
            <v>404004A</v>
          </cell>
          <cell r="C841">
            <v>266</v>
          </cell>
          <cell r="D841">
            <v>2000</v>
          </cell>
        </row>
        <row r="842">
          <cell r="A842" t="str">
            <v>404004A780</v>
          </cell>
          <cell r="B842" t="str">
            <v>404004A</v>
          </cell>
          <cell r="C842">
            <v>780</v>
          </cell>
          <cell r="D842">
            <v>3000</v>
          </cell>
        </row>
        <row r="843">
          <cell r="A843" t="str">
            <v>404034A207</v>
          </cell>
          <cell r="B843" t="str">
            <v>404034A</v>
          </cell>
          <cell r="C843">
            <v>207</v>
          </cell>
          <cell r="D843">
            <v>1600</v>
          </cell>
        </row>
        <row r="844">
          <cell r="A844" t="str">
            <v>404034A916</v>
          </cell>
          <cell r="B844" t="str">
            <v>404034A</v>
          </cell>
          <cell r="C844">
            <v>916</v>
          </cell>
          <cell r="D844">
            <v>100000</v>
          </cell>
        </row>
        <row r="845">
          <cell r="A845" t="str">
            <v>404034A266</v>
          </cell>
          <cell r="B845" t="str">
            <v>404034A</v>
          </cell>
          <cell r="C845">
            <v>266</v>
          </cell>
          <cell r="D845">
            <v>2000</v>
          </cell>
        </row>
        <row r="846">
          <cell r="A846" t="str">
            <v>404034A724</v>
          </cell>
          <cell r="B846" t="str">
            <v>404034A</v>
          </cell>
          <cell r="C846">
            <v>724</v>
          </cell>
          <cell r="D846">
            <v>100000</v>
          </cell>
        </row>
        <row r="847">
          <cell r="A847" t="str">
            <v>404648/HUN142</v>
          </cell>
          <cell r="B847" t="str">
            <v>404648/HUN</v>
          </cell>
          <cell r="C847">
            <v>142</v>
          </cell>
          <cell r="D847">
            <v>10000</v>
          </cell>
        </row>
        <row r="848">
          <cell r="A848" t="str">
            <v>404648/HUN911</v>
          </cell>
          <cell r="B848" t="str">
            <v>404648/HUN</v>
          </cell>
          <cell r="C848">
            <v>911</v>
          </cell>
          <cell r="D848">
            <v>10000</v>
          </cell>
        </row>
        <row r="849">
          <cell r="A849" t="str">
            <v>404648/HUN2700</v>
          </cell>
          <cell r="B849" t="str">
            <v>404648/HUN</v>
          </cell>
          <cell r="C849">
            <v>2700</v>
          </cell>
          <cell r="D849">
            <v>30000</v>
          </cell>
        </row>
        <row r="850">
          <cell r="A850" t="str">
            <v>404648/HUN777</v>
          </cell>
          <cell r="B850" t="str">
            <v>404648/HUN</v>
          </cell>
          <cell r="C850">
            <v>777</v>
          </cell>
          <cell r="D850">
            <v>100000</v>
          </cell>
        </row>
        <row r="851">
          <cell r="A851" t="str">
            <v>404670A122</v>
          </cell>
          <cell r="B851" t="str">
            <v>404670A</v>
          </cell>
          <cell r="C851">
            <v>122</v>
          </cell>
          <cell r="D851">
            <v>4000</v>
          </cell>
        </row>
        <row r="852">
          <cell r="A852" t="str">
            <v>404670A910</v>
          </cell>
          <cell r="B852" t="str">
            <v>404670A</v>
          </cell>
          <cell r="C852">
            <v>910</v>
          </cell>
          <cell r="D852">
            <v>4000</v>
          </cell>
        </row>
        <row r="853">
          <cell r="A853" t="str">
            <v>404670A623</v>
          </cell>
          <cell r="B853" t="str">
            <v>404670A</v>
          </cell>
          <cell r="C853">
            <v>623</v>
          </cell>
          <cell r="D853">
            <v>2200</v>
          </cell>
        </row>
        <row r="854">
          <cell r="A854" t="str">
            <v>404670A90014</v>
          </cell>
          <cell r="B854" t="str">
            <v>404670A</v>
          </cell>
          <cell r="C854">
            <v>90014</v>
          </cell>
        </row>
        <row r="855">
          <cell r="A855" t="str">
            <v>404670A799</v>
          </cell>
          <cell r="B855" t="str">
            <v>404670A</v>
          </cell>
          <cell r="C855">
            <v>799</v>
          </cell>
          <cell r="D855">
            <v>20000</v>
          </cell>
        </row>
        <row r="856">
          <cell r="A856" t="str">
            <v>404672/CO799</v>
          </cell>
          <cell r="B856" t="str">
            <v>404672/CO</v>
          </cell>
          <cell r="C856">
            <v>799</v>
          </cell>
          <cell r="D856">
            <v>100000</v>
          </cell>
        </row>
        <row r="857">
          <cell r="A857" t="str">
            <v>404672/CO777</v>
          </cell>
          <cell r="B857" t="str">
            <v>404672/CO</v>
          </cell>
          <cell r="C857">
            <v>777</v>
          </cell>
          <cell r="D857">
            <v>100000</v>
          </cell>
        </row>
        <row r="858">
          <cell r="A858" t="str">
            <v>405680A122</v>
          </cell>
          <cell r="B858" t="str">
            <v>405680A</v>
          </cell>
          <cell r="C858">
            <v>122</v>
          </cell>
          <cell r="D858">
            <v>4500</v>
          </cell>
        </row>
        <row r="859">
          <cell r="A859" t="str">
            <v>405680A917</v>
          </cell>
          <cell r="B859" t="str">
            <v>405680A</v>
          </cell>
          <cell r="C859">
            <v>917</v>
          </cell>
          <cell r="D859">
            <v>4500</v>
          </cell>
        </row>
        <row r="860">
          <cell r="A860" t="str">
            <v>407062/CO799</v>
          </cell>
          <cell r="B860" t="str">
            <v>407062/CO</v>
          </cell>
          <cell r="C860">
            <v>799</v>
          </cell>
          <cell r="D860">
            <v>100000</v>
          </cell>
        </row>
        <row r="861">
          <cell r="A861" t="str">
            <v>407062/CO777</v>
          </cell>
          <cell r="B861" t="str">
            <v>407062/CO</v>
          </cell>
          <cell r="C861">
            <v>777</v>
          </cell>
          <cell r="D861">
            <v>100000</v>
          </cell>
        </row>
        <row r="862">
          <cell r="A862" t="str">
            <v>407621A136</v>
          </cell>
          <cell r="B862" t="str">
            <v>407621A</v>
          </cell>
          <cell r="C862">
            <v>136</v>
          </cell>
          <cell r="D862">
            <v>4500</v>
          </cell>
        </row>
        <row r="863">
          <cell r="A863" t="str">
            <v>407621A912</v>
          </cell>
          <cell r="B863" t="str">
            <v>407621A</v>
          </cell>
          <cell r="C863">
            <v>912</v>
          </cell>
          <cell r="D863">
            <v>4500</v>
          </cell>
        </row>
        <row r="864">
          <cell r="A864" t="str">
            <v>408439B139</v>
          </cell>
          <cell r="B864" t="str">
            <v>408439B</v>
          </cell>
          <cell r="C864">
            <v>139</v>
          </cell>
          <cell r="D864">
            <v>1500</v>
          </cell>
        </row>
        <row r="865">
          <cell r="A865" t="str">
            <v>408439B910</v>
          </cell>
          <cell r="B865" t="str">
            <v>408439B</v>
          </cell>
          <cell r="C865">
            <v>910</v>
          </cell>
          <cell r="D865">
            <v>1500</v>
          </cell>
        </row>
        <row r="866">
          <cell r="A866" t="str">
            <v>408439B630</v>
          </cell>
          <cell r="B866" t="str">
            <v>408439B</v>
          </cell>
          <cell r="C866">
            <v>630</v>
          </cell>
          <cell r="D866">
            <v>1000</v>
          </cell>
        </row>
        <row r="867">
          <cell r="A867" t="str">
            <v>408439B655</v>
          </cell>
          <cell r="B867" t="str">
            <v>408439B</v>
          </cell>
          <cell r="C867">
            <v>655</v>
          </cell>
          <cell r="D867">
            <v>2000</v>
          </cell>
        </row>
        <row r="868">
          <cell r="A868" t="str">
            <v>408439B920</v>
          </cell>
          <cell r="B868" t="str">
            <v>408439B</v>
          </cell>
          <cell r="C868">
            <v>920</v>
          </cell>
          <cell r="D868">
            <v>2000</v>
          </cell>
        </row>
        <row r="869">
          <cell r="A869" t="str">
            <v>408439B799</v>
          </cell>
          <cell r="B869" t="str">
            <v>408439B</v>
          </cell>
          <cell r="C869">
            <v>799</v>
          </cell>
          <cell r="D869">
            <v>20000</v>
          </cell>
        </row>
        <row r="870">
          <cell r="A870" t="str">
            <v>408439B2700</v>
          </cell>
          <cell r="B870" t="str">
            <v>408439B</v>
          </cell>
          <cell r="C870">
            <v>2700</v>
          </cell>
          <cell r="D870">
            <v>2000</v>
          </cell>
        </row>
        <row r="871">
          <cell r="A871" t="str">
            <v>408439B799</v>
          </cell>
          <cell r="B871" t="str">
            <v>408439B</v>
          </cell>
          <cell r="C871">
            <v>799</v>
          </cell>
          <cell r="D871">
            <v>10000</v>
          </cell>
        </row>
        <row r="872">
          <cell r="A872" t="str">
            <v>408439B799</v>
          </cell>
          <cell r="B872" t="str">
            <v>408439B</v>
          </cell>
          <cell r="C872">
            <v>799</v>
          </cell>
          <cell r="D872">
            <v>30000</v>
          </cell>
        </row>
        <row r="873">
          <cell r="A873" t="str">
            <v>408439B799</v>
          </cell>
          <cell r="B873" t="str">
            <v>408439B</v>
          </cell>
          <cell r="C873">
            <v>799</v>
          </cell>
          <cell r="D873">
            <v>10000</v>
          </cell>
        </row>
        <row r="874">
          <cell r="A874" t="str">
            <v>408440B139</v>
          </cell>
          <cell r="B874" t="str">
            <v>408440B</v>
          </cell>
          <cell r="C874">
            <v>139</v>
          </cell>
          <cell r="D874">
            <v>1500</v>
          </cell>
        </row>
        <row r="875">
          <cell r="A875" t="str">
            <v>408440B910</v>
          </cell>
          <cell r="B875" t="str">
            <v>408440B</v>
          </cell>
          <cell r="C875">
            <v>910</v>
          </cell>
          <cell r="D875">
            <v>1500</v>
          </cell>
        </row>
        <row r="876">
          <cell r="A876" t="str">
            <v>408440B630</v>
          </cell>
          <cell r="B876" t="str">
            <v>408440B</v>
          </cell>
          <cell r="C876">
            <v>630</v>
          </cell>
          <cell r="D876">
            <v>1000</v>
          </cell>
        </row>
        <row r="877">
          <cell r="A877" t="str">
            <v>408440B655</v>
          </cell>
          <cell r="B877" t="str">
            <v>408440B</v>
          </cell>
          <cell r="C877">
            <v>655</v>
          </cell>
          <cell r="D877">
            <v>3000</v>
          </cell>
        </row>
        <row r="878">
          <cell r="A878" t="str">
            <v>408440B920</v>
          </cell>
          <cell r="B878" t="str">
            <v>408440B</v>
          </cell>
          <cell r="C878">
            <v>920</v>
          </cell>
          <cell r="D878">
            <v>3500</v>
          </cell>
        </row>
        <row r="879">
          <cell r="A879" t="str">
            <v>408440B799</v>
          </cell>
          <cell r="B879" t="str">
            <v>408440B</v>
          </cell>
          <cell r="C879">
            <v>799</v>
          </cell>
          <cell r="D879">
            <v>20000</v>
          </cell>
        </row>
        <row r="880">
          <cell r="A880" t="str">
            <v>408440B2700</v>
          </cell>
          <cell r="B880" t="str">
            <v>408440B</v>
          </cell>
          <cell r="C880">
            <v>2700</v>
          </cell>
          <cell r="D880">
            <v>3500</v>
          </cell>
        </row>
        <row r="881">
          <cell r="A881" t="str">
            <v>408440B799</v>
          </cell>
          <cell r="B881" t="str">
            <v>408440B</v>
          </cell>
          <cell r="C881">
            <v>799</v>
          </cell>
          <cell r="D881">
            <v>30000</v>
          </cell>
        </row>
        <row r="882">
          <cell r="A882" t="str">
            <v>408440B799</v>
          </cell>
          <cell r="B882" t="str">
            <v>408440B</v>
          </cell>
          <cell r="C882">
            <v>799</v>
          </cell>
          <cell r="D882">
            <v>10000</v>
          </cell>
        </row>
        <row r="883">
          <cell r="A883" t="str">
            <v>412198A412</v>
          </cell>
          <cell r="B883" t="str">
            <v>412198A</v>
          </cell>
          <cell r="C883">
            <v>412</v>
          </cell>
          <cell r="D883">
            <v>3600</v>
          </cell>
        </row>
        <row r="884">
          <cell r="A884" t="str">
            <v>412198A910</v>
          </cell>
          <cell r="B884" t="str">
            <v>412198A</v>
          </cell>
          <cell r="C884">
            <v>910</v>
          </cell>
          <cell r="D884">
            <v>3600</v>
          </cell>
        </row>
        <row r="885">
          <cell r="A885" t="str">
            <v>412198A201559</v>
          </cell>
          <cell r="B885" t="str">
            <v>412198A</v>
          </cell>
          <cell r="C885">
            <v>201559</v>
          </cell>
        </row>
        <row r="886">
          <cell r="A886" t="str">
            <v>412198A777</v>
          </cell>
          <cell r="B886" t="str">
            <v>412198A</v>
          </cell>
          <cell r="C886">
            <v>777</v>
          </cell>
          <cell r="D886">
            <v>15000</v>
          </cell>
        </row>
        <row r="887">
          <cell r="A887" t="str">
            <v>413240C417</v>
          </cell>
          <cell r="B887" t="str">
            <v>413240C</v>
          </cell>
          <cell r="C887">
            <v>417</v>
          </cell>
          <cell r="D887">
            <v>2500</v>
          </cell>
        </row>
        <row r="888">
          <cell r="A888" t="str">
            <v>413240C799</v>
          </cell>
          <cell r="B888" t="str">
            <v>413240C</v>
          </cell>
          <cell r="C888">
            <v>799</v>
          </cell>
          <cell r="D888">
            <v>40000</v>
          </cell>
        </row>
        <row r="889">
          <cell r="A889" t="str">
            <v>413242/CO799</v>
          </cell>
          <cell r="B889" t="str">
            <v>413242/CO</v>
          </cell>
          <cell r="C889">
            <v>799</v>
          </cell>
          <cell r="D889">
            <v>100000</v>
          </cell>
        </row>
        <row r="890">
          <cell r="A890" t="str">
            <v>413242/CO777</v>
          </cell>
          <cell r="B890" t="str">
            <v>413242/CO</v>
          </cell>
          <cell r="C890">
            <v>777</v>
          </cell>
          <cell r="D890">
            <v>100000</v>
          </cell>
        </row>
        <row r="891">
          <cell r="A891" t="str">
            <v>413481S406</v>
          </cell>
          <cell r="B891" t="str">
            <v>413481S</v>
          </cell>
          <cell r="C891">
            <v>406</v>
          </cell>
          <cell r="D891">
            <v>3000</v>
          </cell>
        </row>
        <row r="892">
          <cell r="A892" t="str">
            <v>413481S798</v>
          </cell>
          <cell r="B892" t="str">
            <v>413481S</v>
          </cell>
          <cell r="C892">
            <v>798</v>
          </cell>
          <cell r="D892">
            <v>3000</v>
          </cell>
        </row>
        <row r="893">
          <cell r="A893" t="str">
            <v>413481S910</v>
          </cell>
          <cell r="B893" t="str">
            <v>413481S</v>
          </cell>
          <cell r="C893">
            <v>910</v>
          </cell>
          <cell r="D893">
            <v>3000</v>
          </cell>
        </row>
        <row r="894">
          <cell r="A894" t="str">
            <v>413481S2700</v>
          </cell>
          <cell r="B894" t="str">
            <v>413481S</v>
          </cell>
          <cell r="C894">
            <v>2700</v>
          </cell>
          <cell r="D894">
            <v>15000</v>
          </cell>
        </row>
        <row r="895">
          <cell r="A895" t="str">
            <v>413481S750</v>
          </cell>
          <cell r="B895" t="str">
            <v>413481S</v>
          </cell>
          <cell r="C895">
            <v>750</v>
          </cell>
          <cell r="D895">
            <v>5000</v>
          </cell>
        </row>
        <row r="896">
          <cell r="A896" t="str">
            <v>421060A406</v>
          </cell>
          <cell r="B896" t="str">
            <v>421060A</v>
          </cell>
          <cell r="C896">
            <v>406</v>
          </cell>
          <cell r="D896">
            <v>2600</v>
          </cell>
        </row>
        <row r="897">
          <cell r="A897" t="str">
            <v>421060A910</v>
          </cell>
          <cell r="B897" t="str">
            <v>421060A</v>
          </cell>
          <cell r="C897">
            <v>910</v>
          </cell>
          <cell r="D897">
            <v>2600</v>
          </cell>
        </row>
        <row r="898">
          <cell r="A898" t="str">
            <v>421075A501</v>
          </cell>
          <cell r="B898" t="str">
            <v>421075A</v>
          </cell>
          <cell r="C898">
            <v>501</v>
          </cell>
          <cell r="D898">
            <v>3500</v>
          </cell>
        </row>
        <row r="899">
          <cell r="A899" t="str">
            <v>421075A910</v>
          </cell>
          <cell r="B899" t="str">
            <v>421075A</v>
          </cell>
          <cell r="C899">
            <v>910</v>
          </cell>
          <cell r="D899">
            <v>3500</v>
          </cell>
        </row>
        <row r="900">
          <cell r="A900" t="str">
            <v>421075A3600</v>
          </cell>
          <cell r="B900" t="str">
            <v>421075A</v>
          </cell>
          <cell r="C900">
            <v>3600</v>
          </cell>
          <cell r="D900">
            <v>20000</v>
          </cell>
        </row>
        <row r="901">
          <cell r="A901" t="str">
            <v>421075A793</v>
          </cell>
          <cell r="B901" t="str">
            <v>421075A</v>
          </cell>
          <cell r="C901">
            <v>793</v>
          </cell>
          <cell r="D901">
            <v>1000</v>
          </cell>
        </row>
        <row r="902">
          <cell r="A902" t="str">
            <v>421098B406</v>
          </cell>
          <cell r="B902" t="str">
            <v>421098B</v>
          </cell>
          <cell r="C902">
            <v>406</v>
          </cell>
          <cell r="D902">
            <v>3000</v>
          </cell>
        </row>
        <row r="903">
          <cell r="A903" t="str">
            <v>421098B910</v>
          </cell>
          <cell r="B903" t="str">
            <v>421098B</v>
          </cell>
          <cell r="C903">
            <v>910</v>
          </cell>
          <cell r="D903">
            <v>3000</v>
          </cell>
        </row>
        <row r="904">
          <cell r="A904" t="str">
            <v>421099A406</v>
          </cell>
          <cell r="B904" t="str">
            <v>421099A</v>
          </cell>
          <cell r="C904">
            <v>406</v>
          </cell>
          <cell r="D904">
            <v>3000</v>
          </cell>
        </row>
        <row r="905">
          <cell r="A905" t="str">
            <v>421099A910</v>
          </cell>
          <cell r="B905" t="str">
            <v>421099A</v>
          </cell>
          <cell r="C905">
            <v>910</v>
          </cell>
          <cell r="D905">
            <v>3000</v>
          </cell>
        </row>
        <row r="906">
          <cell r="A906" t="str">
            <v>421101A406</v>
          </cell>
          <cell r="B906" t="str">
            <v>421101A</v>
          </cell>
          <cell r="C906">
            <v>406</v>
          </cell>
          <cell r="D906">
            <v>2500</v>
          </cell>
        </row>
        <row r="907">
          <cell r="A907" t="str">
            <v>421101A910</v>
          </cell>
          <cell r="B907" t="str">
            <v>421101A</v>
          </cell>
          <cell r="C907">
            <v>910</v>
          </cell>
          <cell r="D907">
            <v>2500</v>
          </cell>
        </row>
        <row r="908">
          <cell r="A908" t="str">
            <v>421109B507</v>
          </cell>
          <cell r="B908" t="str">
            <v>421109B</v>
          </cell>
          <cell r="C908">
            <v>507</v>
          </cell>
          <cell r="D908">
            <v>3500</v>
          </cell>
        </row>
        <row r="909">
          <cell r="A909" t="str">
            <v>421109B3600</v>
          </cell>
          <cell r="B909" t="str">
            <v>421109B</v>
          </cell>
          <cell r="C909">
            <v>3600</v>
          </cell>
          <cell r="D909">
            <v>5000</v>
          </cell>
        </row>
        <row r="910">
          <cell r="A910" t="str">
            <v>421109B799</v>
          </cell>
          <cell r="B910" t="str">
            <v>421109B</v>
          </cell>
          <cell r="C910">
            <v>799</v>
          </cell>
          <cell r="D910">
            <v>15000</v>
          </cell>
        </row>
        <row r="911">
          <cell r="A911" t="str">
            <v>421109C507</v>
          </cell>
          <cell r="B911" t="str">
            <v>421109C</v>
          </cell>
          <cell r="C911">
            <v>507</v>
          </cell>
          <cell r="D911">
            <v>3500</v>
          </cell>
        </row>
        <row r="912">
          <cell r="A912" t="str">
            <v>421109C3600</v>
          </cell>
          <cell r="B912" t="str">
            <v>421109C</v>
          </cell>
          <cell r="C912">
            <v>3600</v>
          </cell>
          <cell r="D912">
            <v>5000</v>
          </cell>
        </row>
        <row r="913">
          <cell r="A913" t="str">
            <v>421109C782</v>
          </cell>
          <cell r="B913" t="str">
            <v>421109C</v>
          </cell>
          <cell r="C913">
            <v>782</v>
          </cell>
          <cell r="D913">
            <v>1500</v>
          </cell>
        </row>
        <row r="914">
          <cell r="A914" t="str">
            <v>421109C799</v>
          </cell>
          <cell r="B914" t="str">
            <v>421109C</v>
          </cell>
          <cell r="C914">
            <v>799</v>
          </cell>
          <cell r="D914">
            <v>15000</v>
          </cell>
        </row>
        <row r="915">
          <cell r="A915" t="str">
            <v>421404D505</v>
          </cell>
          <cell r="B915" t="str">
            <v>421404D</v>
          </cell>
          <cell r="C915">
            <v>505</v>
          </cell>
          <cell r="D915">
            <v>3000</v>
          </cell>
        </row>
        <row r="916">
          <cell r="A916" t="str">
            <v>421404D910</v>
          </cell>
          <cell r="B916" t="str">
            <v>421404D</v>
          </cell>
          <cell r="C916">
            <v>910</v>
          </cell>
          <cell r="D916">
            <v>3000</v>
          </cell>
        </row>
        <row r="917">
          <cell r="A917" t="str">
            <v>421404D3600</v>
          </cell>
          <cell r="B917" t="str">
            <v>421404D</v>
          </cell>
          <cell r="C917">
            <v>3600</v>
          </cell>
          <cell r="D917">
            <v>6000</v>
          </cell>
        </row>
        <row r="918">
          <cell r="A918" t="str">
            <v>421404D2700</v>
          </cell>
          <cell r="B918" t="str">
            <v>421404D</v>
          </cell>
          <cell r="C918">
            <v>2700</v>
          </cell>
          <cell r="D918">
            <v>5000</v>
          </cell>
        </row>
        <row r="919">
          <cell r="A919" t="str">
            <v>421404D777</v>
          </cell>
          <cell r="B919" t="str">
            <v>421404D</v>
          </cell>
          <cell r="C919">
            <v>777</v>
          </cell>
          <cell r="D919">
            <v>20000</v>
          </cell>
        </row>
        <row r="920">
          <cell r="A920" t="str">
            <v>421429F505</v>
          </cell>
          <cell r="B920" t="str">
            <v>421429F</v>
          </cell>
          <cell r="C920">
            <v>505</v>
          </cell>
          <cell r="D920">
            <v>7000</v>
          </cell>
        </row>
        <row r="921">
          <cell r="A921" t="str">
            <v>421429F2700</v>
          </cell>
          <cell r="B921" t="str">
            <v>421429F</v>
          </cell>
          <cell r="C921">
            <v>2700</v>
          </cell>
          <cell r="D921">
            <v>45000</v>
          </cell>
        </row>
        <row r="922">
          <cell r="A922" t="str">
            <v>421429F777</v>
          </cell>
          <cell r="B922" t="str">
            <v>421429F</v>
          </cell>
          <cell r="C922">
            <v>777</v>
          </cell>
          <cell r="D922">
            <v>50000</v>
          </cell>
        </row>
        <row r="923">
          <cell r="A923" t="str">
            <v>421613A505</v>
          </cell>
          <cell r="B923" t="str">
            <v>421613A</v>
          </cell>
          <cell r="C923">
            <v>505</v>
          </cell>
          <cell r="D923">
            <v>3600</v>
          </cell>
        </row>
        <row r="924">
          <cell r="A924" t="str">
            <v>421613A910</v>
          </cell>
          <cell r="B924" t="str">
            <v>421613A</v>
          </cell>
          <cell r="C924">
            <v>910</v>
          </cell>
          <cell r="D924">
            <v>3600</v>
          </cell>
        </row>
        <row r="925">
          <cell r="A925" t="str">
            <v>421613A3600</v>
          </cell>
          <cell r="B925" t="str">
            <v>421613A</v>
          </cell>
          <cell r="C925">
            <v>3600</v>
          </cell>
          <cell r="D925">
            <v>1400</v>
          </cell>
        </row>
        <row r="926">
          <cell r="A926" t="str">
            <v>421613A2700</v>
          </cell>
          <cell r="B926" t="str">
            <v>421613A</v>
          </cell>
          <cell r="C926">
            <v>2700</v>
          </cell>
          <cell r="D926">
            <v>30000</v>
          </cell>
        </row>
        <row r="927">
          <cell r="A927" t="str">
            <v>421613A777</v>
          </cell>
          <cell r="B927" t="str">
            <v>421613A</v>
          </cell>
          <cell r="C927">
            <v>777</v>
          </cell>
          <cell r="D927">
            <v>80000</v>
          </cell>
        </row>
        <row r="928">
          <cell r="A928" t="str">
            <v>421653L520</v>
          </cell>
          <cell r="B928" t="str">
            <v>421653L</v>
          </cell>
          <cell r="C928">
            <v>520</v>
          </cell>
          <cell r="D928">
            <v>7800</v>
          </cell>
        </row>
        <row r="929">
          <cell r="A929" t="str">
            <v>421653L8001</v>
          </cell>
          <cell r="B929" t="str">
            <v>421653L</v>
          </cell>
          <cell r="C929">
            <v>8001</v>
          </cell>
          <cell r="D929">
            <v>7800</v>
          </cell>
        </row>
        <row r="930">
          <cell r="A930" t="str">
            <v>421728I523</v>
          </cell>
          <cell r="B930" t="str">
            <v>421728I</v>
          </cell>
          <cell r="C930">
            <v>523</v>
          </cell>
          <cell r="D930">
            <v>8000</v>
          </cell>
        </row>
        <row r="931">
          <cell r="A931" t="str">
            <v>421728I671197</v>
          </cell>
          <cell r="B931" t="str">
            <v>421728I</v>
          </cell>
          <cell r="C931">
            <v>671197</v>
          </cell>
        </row>
        <row r="932">
          <cell r="A932" t="str">
            <v>421728I201482</v>
          </cell>
          <cell r="B932" t="str">
            <v>421728I</v>
          </cell>
          <cell r="C932">
            <v>201482</v>
          </cell>
        </row>
        <row r="933">
          <cell r="A933" t="str">
            <v>421728I781</v>
          </cell>
          <cell r="B933" t="str">
            <v>421728I</v>
          </cell>
          <cell r="C933">
            <v>781</v>
          </cell>
          <cell r="D933">
            <v>560</v>
          </cell>
        </row>
        <row r="934">
          <cell r="A934" t="str">
            <v>421809B502</v>
          </cell>
          <cell r="B934" t="str">
            <v>421809B</v>
          </cell>
          <cell r="C934">
            <v>502</v>
          </cell>
          <cell r="D934">
            <v>6000</v>
          </cell>
        </row>
        <row r="935">
          <cell r="A935" t="str">
            <v>421809B910</v>
          </cell>
          <cell r="B935" t="str">
            <v>421809B</v>
          </cell>
          <cell r="C935">
            <v>910</v>
          </cell>
          <cell r="D935">
            <v>6000</v>
          </cell>
        </row>
        <row r="936">
          <cell r="A936" t="str">
            <v>421809B31568</v>
          </cell>
          <cell r="B936" t="str">
            <v>421809B</v>
          </cell>
          <cell r="C936">
            <v>31568</v>
          </cell>
        </row>
        <row r="937">
          <cell r="A937" t="str">
            <v>421809B777</v>
          </cell>
          <cell r="B937" t="str">
            <v>421809B</v>
          </cell>
          <cell r="C937">
            <v>777</v>
          </cell>
          <cell r="D937">
            <v>80000</v>
          </cell>
        </row>
        <row r="938">
          <cell r="A938" t="str">
            <v>421895B502</v>
          </cell>
          <cell r="B938" t="str">
            <v>421895B</v>
          </cell>
          <cell r="C938">
            <v>502</v>
          </cell>
          <cell r="D938">
            <v>3000</v>
          </cell>
        </row>
        <row r="939">
          <cell r="A939" t="str">
            <v>421895B671197</v>
          </cell>
          <cell r="B939" t="str">
            <v>421895B</v>
          </cell>
          <cell r="C939">
            <v>671197</v>
          </cell>
        </row>
        <row r="940">
          <cell r="A940" t="str">
            <v>421895B2700</v>
          </cell>
          <cell r="B940" t="str">
            <v>421895B</v>
          </cell>
          <cell r="C940">
            <v>2700</v>
          </cell>
          <cell r="D940">
            <v>10000</v>
          </cell>
        </row>
        <row r="941">
          <cell r="A941" t="str">
            <v>421895B782</v>
          </cell>
          <cell r="B941" t="str">
            <v>421895B</v>
          </cell>
          <cell r="C941">
            <v>782</v>
          </cell>
          <cell r="D941">
            <v>1000</v>
          </cell>
        </row>
        <row r="942">
          <cell r="A942" t="str">
            <v>421895B782</v>
          </cell>
          <cell r="B942" t="str">
            <v>421895B</v>
          </cell>
          <cell r="C942">
            <v>782</v>
          </cell>
          <cell r="D942">
            <v>1000</v>
          </cell>
        </row>
        <row r="943">
          <cell r="A943" t="str">
            <v>421904I521</v>
          </cell>
          <cell r="B943" t="str">
            <v>421904I</v>
          </cell>
          <cell r="C943">
            <v>521</v>
          </cell>
          <cell r="D943">
            <v>8000</v>
          </cell>
        </row>
        <row r="944">
          <cell r="A944" t="str">
            <v>421904I671197</v>
          </cell>
          <cell r="B944" t="str">
            <v>421904I</v>
          </cell>
          <cell r="C944">
            <v>671197</v>
          </cell>
        </row>
        <row r="945">
          <cell r="A945" t="str">
            <v>421904I201482</v>
          </cell>
          <cell r="B945" t="str">
            <v>421904I</v>
          </cell>
          <cell r="C945">
            <v>201482</v>
          </cell>
        </row>
        <row r="946">
          <cell r="A946" t="str">
            <v>421904I781</v>
          </cell>
          <cell r="B946" t="str">
            <v>421904I</v>
          </cell>
          <cell r="C946">
            <v>781</v>
          </cell>
          <cell r="D946">
            <v>560</v>
          </cell>
        </row>
        <row r="947">
          <cell r="A947" t="str">
            <v>421910A500</v>
          </cell>
          <cell r="B947" t="str">
            <v>421910A</v>
          </cell>
          <cell r="C947">
            <v>500</v>
          </cell>
          <cell r="D947">
            <v>4800</v>
          </cell>
        </row>
        <row r="948">
          <cell r="A948" t="str">
            <v>421910A910</v>
          </cell>
          <cell r="B948" t="str">
            <v>421910A</v>
          </cell>
          <cell r="C948">
            <v>910</v>
          </cell>
          <cell r="D948">
            <v>4800</v>
          </cell>
        </row>
        <row r="949">
          <cell r="A949" t="str">
            <v>421910A3600</v>
          </cell>
          <cell r="B949" t="str">
            <v>421910A</v>
          </cell>
          <cell r="C949">
            <v>3600</v>
          </cell>
          <cell r="D949">
            <v>1500</v>
          </cell>
        </row>
        <row r="950">
          <cell r="A950" t="str">
            <v>421910A2700</v>
          </cell>
          <cell r="B950" t="str">
            <v>421910A</v>
          </cell>
          <cell r="C950">
            <v>2700</v>
          </cell>
          <cell r="D950">
            <v>5000</v>
          </cell>
        </row>
        <row r="951">
          <cell r="A951" t="str">
            <v>421910A799</v>
          </cell>
          <cell r="B951" t="str">
            <v>421910A</v>
          </cell>
          <cell r="C951">
            <v>799</v>
          </cell>
        </row>
        <row r="952">
          <cell r="A952" t="str">
            <v>421910A782</v>
          </cell>
          <cell r="B952" t="str">
            <v>421910A</v>
          </cell>
          <cell r="C952">
            <v>782</v>
          </cell>
          <cell r="D952">
            <v>1500</v>
          </cell>
        </row>
        <row r="953">
          <cell r="A953" t="str">
            <v>421979B550</v>
          </cell>
          <cell r="B953" t="str">
            <v>421979B</v>
          </cell>
          <cell r="C953">
            <v>550</v>
          </cell>
          <cell r="D953">
            <v>21000</v>
          </cell>
        </row>
        <row r="954">
          <cell r="A954" t="str">
            <v>421979B910</v>
          </cell>
          <cell r="B954" t="str">
            <v>421979B</v>
          </cell>
          <cell r="C954">
            <v>910</v>
          </cell>
          <cell r="D954">
            <v>21000</v>
          </cell>
        </row>
        <row r="955">
          <cell r="A955" t="str">
            <v>421979B2700</v>
          </cell>
          <cell r="B955" t="str">
            <v>421979B</v>
          </cell>
          <cell r="C955">
            <v>2700</v>
          </cell>
          <cell r="D955">
            <v>10000</v>
          </cell>
        </row>
        <row r="956">
          <cell r="A956" t="str">
            <v>421979B799</v>
          </cell>
          <cell r="B956" t="str">
            <v>421979B</v>
          </cell>
          <cell r="C956">
            <v>799</v>
          </cell>
        </row>
        <row r="957">
          <cell r="A957" t="str">
            <v>421979B91170</v>
          </cell>
          <cell r="B957" t="str">
            <v>421979B</v>
          </cell>
          <cell r="C957">
            <v>91170</v>
          </cell>
        </row>
        <row r="958">
          <cell r="A958" t="str">
            <v>421979B799</v>
          </cell>
          <cell r="B958" t="str">
            <v>421979B</v>
          </cell>
          <cell r="C958">
            <v>799</v>
          </cell>
          <cell r="D958">
            <v>100000</v>
          </cell>
        </row>
        <row r="959">
          <cell r="A959" t="str">
            <v>422048A500</v>
          </cell>
          <cell r="B959" t="str">
            <v>422048A</v>
          </cell>
          <cell r="C959">
            <v>500</v>
          </cell>
          <cell r="D959">
            <v>5000</v>
          </cell>
        </row>
        <row r="960">
          <cell r="A960" t="str">
            <v>422048A2700</v>
          </cell>
          <cell r="B960" t="str">
            <v>422048A</v>
          </cell>
          <cell r="C960">
            <v>2700</v>
          </cell>
          <cell r="D960">
            <v>20000</v>
          </cell>
        </row>
        <row r="961">
          <cell r="A961" t="str">
            <v>422048A777</v>
          </cell>
          <cell r="B961" t="str">
            <v>422048A</v>
          </cell>
          <cell r="C961">
            <v>777</v>
          </cell>
          <cell r="D961">
            <v>30000</v>
          </cell>
        </row>
        <row r="962">
          <cell r="A962" t="str">
            <v>422054B550</v>
          </cell>
          <cell r="B962" t="str">
            <v>422054B</v>
          </cell>
          <cell r="C962">
            <v>550</v>
          </cell>
          <cell r="D962">
            <v>5000</v>
          </cell>
        </row>
        <row r="963">
          <cell r="A963" t="str">
            <v>422054B910</v>
          </cell>
          <cell r="B963" t="str">
            <v>422054B</v>
          </cell>
          <cell r="C963">
            <v>910</v>
          </cell>
          <cell r="D963">
            <v>5000</v>
          </cell>
        </row>
        <row r="964">
          <cell r="A964" t="str">
            <v>422054B3600</v>
          </cell>
          <cell r="B964" t="str">
            <v>422054B</v>
          </cell>
          <cell r="C964">
            <v>3600</v>
          </cell>
          <cell r="D964">
            <v>15000</v>
          </cell>
        </row>
        <row r="965">
          <cell r="A965" t="str">
            <v>422054B795</v>
          </cell>
          <cell r="B965" t="str">
            <v>422054B</v>
          </cell>
          <cell r="C965">
            <v>795</v>
          </cell>
          <cell r="D965">
            <v>1000</v>
          </cell>
        </row>
        <row r="966">
          <cell r="A966" t="str">
            <v>422054B782</v>
          </cell>
          <cell r="B966" t="str">
            <v>422054B</v>
          </cell>
          <cell r="C966">
            <v>782</v>
          </cell>
          <cell r="D966">
            <v>50000</v>
          </cell>
        </row>
        <row r="967">
          <cell r="A967" t="str">
            <v>422054B2700</v>
          </cell>
          <cell r="B967" t="str">
            <v>422054B</v>
          </cell>
          <cell r="C967">
            <v>2700</v>
          </cell>
          <cell r="D967">
            <v>30000</v>
          </cell>
        </row>
        <row r="968">
          <cell r="A968" t="str">
            <v>422054B777</v>
          </cell>
          <cell r="B968" t="str">
            <v>422054B</v>
          </cell>
          <cell r="C968">
            <v>777</v>
          </cell>
          <cell r="D968">
            <v>40000</v>
          </cell>
        </row>
        <row r="969">
          <cell r="A969" t="str">
            <v>422087E502</v>
          </cell>
          <cell r="B969" t="str">
            <v>422087E</v>
          </cell>
          <cell r="C969">
            <v>502</v>
          </cell>
          <cell r="D969">
            <v>2250</v>
          </cell>
        </row>
        <row r="970">
          <cell r="A970" t="str">
            <v>422087E2700</v>
          </cell>
          <cell r="B970" t="str">
            <v>422087E</v>
          </cell>
          <cell r="C970">
            <v>2700</v>
          </cell>
          <cell r="D970">
            <v>20000</v>
          </cell>
        </row>
        <row r="971">
          <cell r="A971" t="str">
            <v>422087E91170</v>
          </cell>
          <cell r="B971" t="str">
            <v>422087E</v>
          </cell>
          <cell r="C971">
            <v>91170</v>
          </cell>
        </row>
        <row r="972">
          <cell r="A972" t="str">
            <v>422087E799</v>
          </cell>
          <cell r="B972" t="str">
            <v>422087E</v>
          </cell>
          <cell r="C972">
            <v>799</v>
          </cell>
          <cell r="D972">
            <v>100000</v>
          </cell>
        </row>
        <row r="973">
          <cell r="A973" t="str">
            <v>422089A550</v>
          </cell>
          <cell r="B973" t="str">
            <v>422089A</v>
          </cell>
          <cell r="C973">
            <v>550</v>
          </cell>
          <cell r="D973">
            <v>6000</v>
          </cell>
        </row>
        <row r="974">
          <cell r="A974" t="str">
            <v>422089A671361</v>
          </cell>
          <cell r="B974" t="str">
            <v>422089A</v>
          </cell>
          <cell r="C974">
            <v>671361</v>
          </cell>
        </row>
        <row r="975">
          <cell r="A975" t="str">
            <v>422089A2700</v>
          </cell>
          <cell r="B975" t="str">
            <v>422089A</v>
          </cell>
          <cell r="C975">
            <v>2700</v>
          </cell>
          <cell r="D975">
            <v>15000</v>
          </cell>
        </row>
        <row r="976">
          <cell r="A976" t="str">
            <v>422089A799</v>
          </cell>
          <cell r="B976" t="str">
            <v>422089A</v>
          </cell>
          <cell r="C976">
            <v>799</v>
          </cell>
        </row>
        <row r="977">
          <cell r="A977" t="str">
            <v>422089A91170</v>
          </cell>
          <cell r="B977" t="str">
            <v>422089A</v>
          </cell>
          <cell r="C977">
            <v>91170</v>
          </cell>
        </row>
        <row r="978">
          <cell r="A978" t="str">
            <v>422089A777</v>
          </cell>
          <cell r="B978" t="str">
            <v>422089A</v>
          </cell>
          <cell r="C978">
            <v>777</v>
          </cell>
          <cell r="D978">
            <v>100000</v>
          </cell>
        </row>
        <row r="979">
          <cell r="A979" t="str">
            <v>422125A504</v>
          </cell>
          <cell r="B979" t="str">
            <v>422125A</v>
          </cell>
          <cell r="C979">
            <v>504</v>
          </cell>
          <cell r="D979">
            <v>3500</v>
          </cell>
        </row>
        <row r="980">
          <cell r="A980" t="str">
            <v>422125A910</v>
          </cell>
          <cell r="B980" t="str">
            <v>422125A</v>
          </cell>
          <cell r="C980">
            <v>910</v>
          </cell>
          <cell r="D980">
            <v>3500</v>
          </cell>
        </row>
        <row r="981">
          <cell r="A981" t="str">
            <v>422125A2700</v>
          </cell>
          <cell r="B981" t="str">
            <v>422125A</v>
          </cell>
          <cell r="C981">
            <v>2700</v>
          </cell>
          <cell r="D981">
            <v>10000</v>
          </cell>
        </row>
        <row r="982">
          <cell r="A982" t="str">
            <v>422125A791</v>
          </cell>
          <cell r="B982" t="str">
            <v>422125A</v>
          </cell>
          <cell r="C982">
            <v>791</v>
          </cell>
          <cell r="D982">
            <v>30000</v>
          </cell>
        </row>
        <row r="983">
          <cell r="A983" t="str">
            <v>422144A500</v>
          </cell>
          <cell r="B983" t="str">
            <v>422144A</v>
          </cell>
          <cell r="C983">
            <v>500</v>
          </cell>
          <cell r="D983">
            <v>6000</v>
          </cell>
        </row>
        <row r="984">
          <cell r="A984" t="str">
            <v>422144A2700</v>
          </cell>
          <cell r="B984" t="str">
            <v>422144A</v>
          </cell>
          <cell r="C984">
            <v>2700</v>
          </cell>
          <cell r="D984">
            <v>20000</v>
          </cell>
        </row>
        <row r="985">
          <cell r="A985" t="str">
            <v>422144A777</v>
          </cell>
          <cell r="B985" t="str">
            <v>422144A</v>
          </cell>
          <cell r="C985">
            <v>777</v>
          </cell>
          <cell r="D985">
            <v>30000</v>
          </cell>
        </row>
        <row r="986">
          <cell r="A986" t="str">
            <v>422151E504</v>
          </cell>
          <cell r="B986" t="str">
            <v>422151E</v>
          </cell>
          <cell r="C986">
            <v>504</v>
          </cell>
          <cell r="D986">
            <v>2400</v>
          </cell>
        </row>
        <row r="987">
          <cell r="A987" t="str">
            <v>422151E671330</v>
          </cell>
          <cell r="B987" t="str">
            <v>422151E</v>
          </cell>
          <cell r="C987">
            <v>671330</v>
          </cell>
        </row>
        <row r="988">
          <cell r="A988" t="str">
            <v>422151E121921</v>
          </cell>
          <cell r="B988" t="str">
            <v>422151E</v>
          </cell>
          <cell r="C988">
            <v>121921</v>
          </cell>
        </row>
        <row r="989">
          <cell r="A989" t="str">
            <v>422151E91170</v>
          </cell>
          <cell r="B989" t="str">
            <v>422151E</v>
          </cell>
          <cell r="C989">
            <v>91170</v>
          </cell>
        </row>
        <row r="990">
          <cell r="A990" t="str">
            <v>422151E799</v>
          </cell>
          <cell r="B990" t="str">
            <v>422151E</v>
          </cell>
          <cell r="C990">
            <v>799</v>
          </cell>
          <cell r="D990">
            <v>100000</v>
          </cell>
        </row>
        <row r="991">
          <cell r="A991" t="str">
            <v>422185A550</v>
          </cell>
          <cell r="B991" t="str">
            <v>422185A</v>
          </cell>
          <cell r="C991">
            <v>550</v>
          </cell>
          <cell r="D991">
            <v>3000</v>
          </cell>
        </row>
        <row r="992">
          <cell r="A992" t="str">
            <v>422185A671330</v>
          </cell>
          <cell r="B992" t="str">
            <v>422185A</v>
          </cell>
          <cell r="C992">
            <v>671330</v>
          </cell>
        </row>
        <row r="993">
          <cell r="A993" t="str">
            <v>422185A31568</v>
          </cell>
          <cell r="B993" t="str">
            <v>422185A</v>
          </cell>
          <cell r="C993">
            <v>31568</v>
          </cell>
        </row>
        <row r="994">
          <cell r="A994" t="str">
            <v>422185A799</v>
          </cell>
          <cell r="B994" t="str">
            <v>422185A</v>
          </cell>
          <cell r="C994">
            <v>799</v>
          </cell>
          <cell r="D994">
            <v>0</v>
          </cell>
        </row>
        <row r="995">
          <cell r="A995" t="str">
            <v>422185A799</v>
          </cell>
          <cell r="B995" t="str">
            <v>422185A</v>
          </cell>
          <cell r="C995">
            <v>799</v>
          </cell>
          <cell r="D995">
            <v>530</v>
          </cell>
        </row>
        <row r="996">
          <cell r="A996" t="str">
            <v>422413A521</v>
          </cell>
          <cell r="B996" t="str">
            <v>422413A</v>
          </cell>
          <cell r="C996">
            <v>521</v>
          </cell>
          <cell r="D996">
            <v>7200</v>
          </cell>
        </row>
        <row r="997">
          <cell r="A997" t="str">
            <v>422413A910</v>
          </cell>
          <cell r="B997" t="str">
            <v>422413A</v>
          </cell>
          <cell r="C997">
            <v>910</v>
          </cell>
          <cell r="D997">
            <v>3600</v>
          </cell>
        </row>
        <row r="998">
          <cell r="A998" t="str">
            <v>422413A50014</v>
          </cell>
          <cell r="B998" t="str">
            <v>422413A</v>
          </cell>
          <cell r="C998">
            <v>50014</v>
          </cell>
        </row>
        <row r="999">
          <cell r="A999" t="str">
            <v>422413A799</v>
          </cell>
          <cell r="B999" t="str">
            <v>422413A</v>
          </cell>
          <cell r="C999">
            <v>799</v>
          </cell>
        </row>
        <row r="1000">
          <cell r="A1000" t="str">
            <v>422413A782</v>
          </cell>
          <cell r="B1000" t="str">
            <v>422413A</v>
          </cell>
          <cell r="C1000">
            <v>782</v>
          </cell>
          <cell r="D1000">
            <v>2000</v>
          </cell>
        </row>
        <row r="1001">
          <cell r="A1001" t="str">
            <v>422414A521</v>
          </cell>
          <cell r="B1001" t="str">
            <v>422414A</v>
          </cell>
          <cell r="C1001">
            <v>521</v>
          </cell>
          <cell r="D1001">
            <v>7200</v>
          </cell>
        </row>
        <row r="1002">
          <cell r="A1002" t="str">
            <v>422414A910</v>
          </cell>
          <cell r="B1002" t="str">
            <v>422414A</v>
          </cell>
          <cell r="C1002">
            <v>910</v>
          </cell>
          <cell r="D1002">
            <v>3600</v>
          </cell>
        </row>
        <row r="1003">
          <cell r="A1003" t="str">
            <v>422414A50014</v>
          </cell>
          <cell r="B1003" t="str">
            <v>422414A</v>
          </cell>
          <cell r="C1003">
            <v>50014</v>
          </cell>
        </row>
        <row r="1004">
          <cell r="A1004" t="str">
            <v>422414A799</v>
          </cell>
          <cell r="B1004" t="str">
            <v>422414A</v>
          </cell>
          <cell r="C1004">
            <v>799</v>
          </cell>
        </row>
        <row r="1005">
          <cell r="A1005" t="str">
            <v>422414A782</v>
          </cell>
          <cell r="B1005" t="str">
            <v>422414A</v>
          </cell>
          <cell r="C1005">
            <v>782</v>
          </cell>
          <cell r="D1005">
            <v>2000</v>
          </cell>
        </row>
        <row r="1006">
          <cell r="A1006" t="str">
            <v>422440B500</v>
          </cell>
          <cell r="B1006" t="str">
            <v>422440B</v>
          </cell>
          <cell r="C1006">
            <v>500</v>
          </cell>
          <cell r="D1006">
            <v>6000</v>
          </cell>
        </row>
        <row r="1007">
          <cell r="A1007" t="str">
            <v>422440B799</v>
          </cell>
          <cell r="B1007" t="str">
            <v>422440B</v>
          </cell>
          <cell r="C1007">
            <v>799</v>
          </cell>
        </row>
        <row r="1008">
          <cell r="A1008" t="str">
            <v>422440B782</v>
          </cell>
          <cell r="B1008" t="str">
            <v>422440B</v>
          </cell>
          <cell r="C1008">
            <v>782</v>
          </cell>
          <cell r="D1008">
            <v>5000</v>
          </cell>
        </row>
        <row r="1009">
          <cell r="A1009" t="str">
            <v>422468A550</v>
          </cell>
          <cell r="B1009" t="str">
            <v>422468A</v>
          </cell>
          <cell r="C1009">
            <v>550</v>
          </cell>
          <cell r="D1009">
            <v>3000</v>
          </cell>
        </row>
        <row r="1010">
          <cell r="A1010" t="str">
            <v>422468A671330</v>
          </cell>
          <cell r="B1010" t="str">
            <v>422468A</v>
          </cell>
          <cell r="C1010">
            <v>671330</v>
          </cell>
        </row>
        <row r="1011">
          <cell r="A1011" t="str">
            <v>422468A31568</v>
          </cell>
          <cell r="B1011" t="str">
            <v>422468A</v>
          </cell>
          <cell r="C1011">
            <v>31568</v>
          </cell>
        </row>
        <row r="1012">
          <cell r="A1012" t="str">
            <v>422468A799</v>
          </cell>
          <cell r="B1012" t="str">
            <v>422468A</v>
          </cell>
          <cell r="C1012">
            <v>799</v>
          </cell>
          <cell r="D1012">
            <v>100000</v>
          </cell>
        </row>
        <row r="1013">
          <cell r="A1013" t="str">
            <v>422468A799</v>
          </cell>
          <cell r="B1013" t="str">
            <v>422468A</v>
          </cell>
          <cell r="C1013">
            <v>799</v>
          </cell>
          <cell r="D1013">
            <v>500</v>
          </cell>
        </row>
        <row r="1014">
          <cell r="A1014" t="str">
            <v>422468A782</v>
          </cell>
          <cell r="B1014" t="str">
            <v>422468A</v>
          </cell>
          <cell r="C1014">
            <v>782</v>
          </cell>
          <cell r="D1014">
            <v>600</v>
          </cell>
        </row>
        <row r="1015">
          <cell r="A1015" t="str">
            <v>422661B505</v>
          </cell>
          <cell r="B1015" t="str">
            <v>422661B</v>
          </cell>
          <cell r="C1015">
            <v>505</v>
          </cell>
          <cell r="D1015">
            <v>4500</v>
          </cell>
        </row>
        <row r="1016">
          <cell r="A1016" t="str">
            <v>422661B671330</v>
          </cell>
          <cell r="B1016" t="str">
            <v>422661B</v>
          </cell>
          <cell r="C1016">
            <v>671330</v>
          </cell>
        </row>
        <row r="1017">
          <cell r="A1017" t="str">
            <v>422661B101798</v>
          </cell>
          <cell r="B1017" t="str">
            <v>422661B</v>
          </cell>
          <cell r="C1017">
            <v>101798</v>
          </cell>
        </row>
        <row r="1018">
          <cell r="A1018" t="str">
            <v>422661B799</v>
          </cell>
          <cell r="B1018" t="str">
            <v>422661B</v>
          </cell>
          <cell r="C1018">
            <v>799</v>
          </cell>
        </row>
        <row r="1019">
          <cell r="A1019" t="str">
            <v>422661B782</v>
          </cell>
          <cell r="B1019" t="str">
            <v>422661B</v>
          </cell>
          <cell r="C1019">
            <v>782</v>
          </cell>
          <cell r="D1019">
            <v>1500</v>
          </cell>
        </row>
        <row r="1020">
          <cell r="A1020" t="str">
            <v>422661B2700</v>
          </cell>
          <cell r="B1020" t="str">
            <v>422661B</v>
          </cell>
          <cell r="C1020">
            <v>2700</v>
          </cell>
          <cell r="D1020">
            <v>10000</v>
          </cell>
        </row>
        <row r="1021">
          <cell r="A1021" t="str">
            <v>422661B777</v>
          </cell>
          <cell r="B1021" t="str">
            <v>422661B</v>
          </cell>
          <cell r="C1021">
            <v>777</v>
          </cell>
          <cell r="D1021">
            <v>40000</v>
          </cell>
        </row>
        <row r="1022">
          <cell r="A1022" t="str">
            <v>422749C506</v>
          </cell>
          <cell r="B1022" t="str">
            <v>422749C</v>
          </cell>
          <cell r="C1022">
            <v>506</v>
          </cell>
          <cell r="D1022">
            <v>3000</v>
          </cell>
        </row>
        <row r="1023">
          <cell r="A1023" t="str">
            <v>422749C782</v>
          </cell>
          <cell r="B1023" t="str">
            <v>422749C</v>
          </cell>
          <cell r="C1023">
            <v>782</v>
          </cell>
          <cell r="D1023">
            <v>1000</v>
          </cell>
        </row>
        <row r="1024">
          <cell r="A1024" t="str">
            <v>422749C2700</v>
          </cell>
          <cell r="B1024" t="str">
            <v>422749C</v>
          </cell>
          <cell r="C1024">
            <v>2700</v>
          </cell>
          <cell r="D1024">
            <v>25000</v>
          </cell>
        </row>
        <row r="1025">
          <cell r="A1025" t="str">
            <v>422749C799</v>
          </cell>
          <cell r="B1025" t="str">
            <v>422749C</v>
          </cell>
          <cell r="C1025">
            <v>799</v>
          </cell>
          <cell r="D1025">
            <v>800</v>
          </cell>
        </row>
        <row r="1026">
          <cell r="A1026" t="str">
            <v>422749D506</v>
          </cell>
          <cell r="B1026" t="str">
            <v>422749D</v>
          </cell>
          <cell r="C1026">
            <v>506</v>
          </cell>
          <cell r="D1026">
            <v>3000</v>
          </cell>
        </row>
        <row r="1027">
          <cell r="A1027" t="str">
            <v>422749D782</v>
          </cell>
          <cell r="B1027" t="str">
            <v>422749D</v>
          </cell>
          <cell r="C1027">
            <v>782</v>
          </cell>
          <cell r="D1027">
            <v>1000</v>
          </cell>
        </row>
        <row r="1028">
          <cell r="A1028" t="str">
            <v>422749D2700</v>
          </cell>
          <cell r="B1028" t="str">
            <v>422749D</v>
          </cell>
          <cell r="C1028">
            <v>2700</v>
          </cell>
          <cell r="D1028">
            <v>25000</v>
          </cell>
        </row>
        <row r="1029">
          <cell r="A1029" t="str">
            <v>422749D792</v>
          </cell>
          <cell r="B1029" t="str">
            <v>422749D</v>
          </cell>
          <cell r="C1029">
            <v>792</v>
          </cell>
          <cell r="D1029">
            <v>800</v>
          </cell>
        </row>
        <row r="1030">
          <cell r="A1030" t="str">
            <v>422749D782</v>
          </cell>
          <cell r="B1030" t="str">
            <v>422749D</v>
          </cell>
          <cell r="C1030">
            <v>782</v>
          </cell>
          <cell r="D1030">
            <v>50000</v>
          </cell>
        </row>
        <row r="1031">
          <cell r="A1031" t="str">
            <v>450072B452</v>
          </cell>
          <cell r="B1031" t="str">
            <v>450072B</v>
          </cell>
          <cell r="C1031">
            <v>452</v>
          </cell>
          <cell r="D1031">
            <v>600</v>
          </cell>
        </row>
        <row r="1032">
          <cell r="A1032" t="str">
            <v>450072B910</v>
          </cell>
          <cell r="B1032" t="str">
            <v>450072B</v>
          </cell>
          <cell r="C1032">
            <v>910</v>
          </cell>
          <cell r="D1032">
            <v>600</v>
          </cell>
        </row>
        <row r="1033">
          <cell r="A1033" t="str">
            <v>450084A221</v>
          </cell>
          <cell r="B1033" t="str">
            <v>450084A</v>
          </cell>
          <cell r="C1033">
            <v>221</v>
          </cell>
          <cell r="D1033">
            <v>700</v>
          </cell>
        </row>
        <row r="1034">
          <cell r="A1034" t="str">
            <v>450084A916</v>
          </cell>
          <cell r="B1034" t="str">
            <v>450084A</v>
          </cell>
          <cell r="C1034">
            <v>916</v>
          </cell>
          <cell r="D1034">
            <v>100000</v>
          </cell>
        </row>
        <row r="1035">
          <cell r="A1035" t="str">
            <v>450084A270</v>
          </cell>
          <cell r="B1035" t="str">
            <v>450084A</v>
          </cell>
          <cell r="C1035">
            <v>270</v>
          </cell>
          <cell r="D1035">
            <v>1000</v>
          </cell>
        </row>
        <row r="1036">
          <cell r="A1036" t="str">
            <v>450084A780</v>
          </cell>
          <cell r="B1036" t="str">
            <v>450084A</v>
          </cell>
          <cell r="C1036">
            <v>780</v>
          </cell>
          <cell r="D1036">
            <v>3000</v>
          </cell>
        </row>
        <row r="1037">
          <cell r="A1037" t="str">
            <v>450335A142</v>
          </cell>
          <cell r="B1037" t="str">
            <v>450335A</v>
          </cell>
          <cell r="C1037">
            <v>142</v>
          </cell>
          <cell r="D1037">
            <v>10000</v>
          </cell>
        </row>
        <row r="1038">
          <cell r="A1038" t="str">
            <v>450335A798</v>
          </cell>
          <cell r="B1038" t="str">
            <v>450335A</v>
          </cell>
          <cell r="C1038">
            <v>798</v>
          </cell>
          <cell r="D1038">
            <v>10000</v>
          </cell>
        </row>
        <row r="1039">
          <cell r="A1039" t="str">
            <v>450335A910</v>
          </cell>
          <cell r="B1039" t="str">
            <v>450335A</v>
          </cell>
          <cell r="C1039">
            <v>910</v>
          </cell>
          <cell r="D1039">
            <v>10000</v>
          </cell>
        </row>
        <row r="1040">
          <cell r="A1040" t="str">
            <v>450335A2700</v>
          </cell>
          <cell r="B1040" t="str">
            <v>450335A</v>
          </cell>
          <cell r="C1040">
            <v>2700</v>
          </cell>
          <cell r="D1040">
            <v>15000</v>
          </cell>
        </row>
        <row r="1041">
          <cell r="A1041" t="str">
            <v>450335A750</v>
          </cell>
          <cell r="B1041" t="str">
            <v>450335A</v>
          </cell>
          <cell r="C1041">
            <v>750</v>
          </cell>
          <cell r="D1041">
            <v>6000</v>
          </cell>
        </row>
        <row r="1042">
          <cell r="A1042" t="str">
            <v>450366P142</v>
          </cell>
          <cell r="B1042" t="str">
            <v>450366P</v>
          </cell>
          <cell r="C1042">
            <v>142</v>
          </cell>
          <cell r="D1042">
            <v>10000</v>
          </cell>
        </row>
        <row r="1043">
          <cell r="A1043" t="str">
            <v>450366P798</v>
          </cell>
          <cell r="B1043" t="str">
            <v>450366P</v>
          </cell>
          <cell r="C1043">
            <v>798</v>
          </cell>
          <cell r="D1043">
            <v>10000</v>
          </cell>
        </row>
        <row r="1044">
          <cell r="A1044" t="str">
            <v>450366P910</v>
          </cell>
          <cell r="B1044" t="str">
            <v>450366P</v>
          </cell>
          <cell r="C1044">
            <v>910</v>
          </cell>
          <cell r="D1044">
            <v>10000</v>
          </cell>
        </row>
        <row r="1045">
          <cell r="A1045" t="str">
            <v>450366P2700</v>
          </cell>
          <cell r="B1045" t="str">
            <v>450366P</v>
          </cell>
          <cell r="C1045">
            <v>2700</v>
          </cell>
          <cell r="D1045">
            <v>15000</v>
          </cell>
        </row>
        <row r="1046">
          <cell r="A1046" t="str">
            <v>450366P750</v>
          </cell>
          <cell r="B1046" t="str">
            <v>450366P</v>
          </cell>
          <cell r="C1046">
            <v>750</v>
          </cell>
          <cell r="D1046">
            <v>5000</v>
          </cell>
        </row>
        <row r="1047">
          <cell r="A1047" t="str">
            <v>450431A142</v>
          </cell>
          <cell r="B1047" t="str">
            <v>450431A</v>
          </cell>
          <cell r="C1047">
            <v>142</v>
          </cell>
          <cell r="D1047">
            <v>8000</v>
          </cell>
        </row>
        <row r="1048">
          <cell r="A1048" t="str">
            <v>450431A798</v>
          </cell>
          <cell r="B1048" t="str">
            <v>450431A</v>
          </cell>
          <cell r="C1048">
            <v>798</v>
          </cell>
          <cell r="D1048">
            <v>8000</v>
          </cell>
        </row>
        <row r="1049">
          <cell r="A1049" t="str">
            <v>450431A910</v>
          </cell>
          <cell r="B1049" t="str">
            <v>450431A</v>
          </cell>
          <cell r="C1049">
            <v>910</v>
          </cell>
          <cell r="D1049">
            <v>8000</v>
          </cell>
        </row>
        <row r="1050">
          <cell r="A1050" t="str">
            <v>450431A2700</v>
          </cell>
          <cell r="B1050" t="str">
            <v>450431A</v>
          </cell>
          <cell r="C1050">
            <v>2700</v>
          </cell>
          <cell r="D1050">
            <v>15000</v>
          </cell>
        </row>
        <row r="1051">
          <cell r="A1051" t="str">
            <v>450431A750</v>
          </cell>
          <cell r="B1051" t="str">
            <v>450431A</v>
          </cell>
          <cell r="C1051">
            <v>750</v>
          </cell>
          <cell r="D1051">
            <v>5000</v>
          </cell>
        </row>
        <row r="1052">
          <cell r="A1052" t="str">
            <v>450431R142</v>
          </cell>
          <cell r="B1052" t="str">
            <v>450431R</v>
          </cell>
          <cell r="C1052">
            <v>142</v>
          </cell>
          <cell r="D1052">
            <v>8000</v>
          </cell>
        </row>
        <row r="1053">
          <cell r="A1053" t="str">
            <v>450431R798</v>
          </cell>
          <cell r="B1053" t="str">
            <v>450431R</v>
          </cell>
          <cell r="C1053">
            <v>798</v>
          </cell>
          <cell r="D1053">
            <v>8000</v>
          </cell>
        </row>
        <row r="1054">
          <cell r="A1054" t="str">
            <v>450431R910</v>
          </cell>
          <cell r="B1054" t="str">
            <v>450431R</v>
          </cell>
          <cell r="C1054">
            <v>910</v>
          </cell>
          <cell r="D1054">
            <v>8000</v>
          </cell>
        </row>
        <row r="1055">
          <cell r="A1055" t="str">
            <v>450431R2700</v>
          </cell>
          <cell r="B1055" t="str">
            <v>450431R</v>
          </cell>
          <cell r="C1055">
            <v>2700</v>
          </cell>
          <cell r="D1055">
            <v>15000</v>
          </cell>
        </row>
        <row r="1056">
          <cell r="A1056" t="str">
            <v>450431R750</v>
          </cell>
          <cell r="B1056" t="str">
            <v>450431R</v>
          </cell>
          <cell r="C1056">
            <v>750</v>
          </cell>
          <cell r="D1056">
            <v>5000</v>
          </cell>
        </row>
        <row r="1057">
          <cell r="A1057" t="str">
            <v>450431S142</v>
          </cell>
          <cell r="B1057" t="str">
            <v>450431S</v>
          </cell>
          <cell r="C1057">
            <v>142</v>
          </cell>
          <cell r="D1057">
            <v>8000</v>
          </cell>
        </row>
        <row r="1058">
          <cell r="A1058" t="str">
            <v>450431S798</v>
          </cell>
          <cell r="B1058" t="str">
            <v>450431S</v>
          </cell>
          <cell r="C1058">
            <v>798</v>
          </cell>
          <cell r="D1058">
            <v>8000</v>
          </cell>
        </row>
        <row r="1059">
          <cell r="A1059" t="str">
            <v>450431S910</v>
          </cell>
          <cell r="B1059" t="str">
            <v>450431S</v>
          </cell>
          <cell r="C1059">
            <v>910</v>
          </cell>
          <cell r="D1059">
            <v>8000</v>
          </cell>
        </row>
        <row r="1060">
          <cell r="A1060" t="str">
            <v>450431S2700</v>
          </cell>
          <cell r="B1060" t="str">
            <v>450431S</v>
          </cell>
          <cell r="C1060">
            <v>2700</v>
          </cell>
          <cell r="D1060">
            <v>15000</v>
          </cell>
        </row>
        <row r="1061">
          <cell r="A1061" t="str">
            <v>450431S750</v>
          </cell>
          <cell r="B1061" t="str">
            <v>450431S</v>
          </cell>
          <cell r="C1061">
            <v>750</v>
          </cell>
          <cell r="D1061">
            <v>5000</v>
          </cell>
        </row>
        <row r="1062">
          <cell r="A1062" t="str">
            <v>450601B401</v>
          </cell>
          <cell r="B1062" t="str">
            <v>450601B</v>
          </cell>
          <cell r="C1062">
            <v>401</v>
          </cell>
          <cell r="D1062">
            <v>3000</v>
          </cell>
        </row>
        <row r="1063">
          <cell r="A1063" t="str">
            <v>450601B798</v>
          </cell>
          <cell r="B1063" t="str">
            <v>450601B</v>
          </cell>
          <cell r="C1063">
            <v>798</v>
          </cell>
          <cell r="D1063">
            <v>3000</v>
          </cell>
        </row>
        <row r="1064">
          <cell r="A1064" t="str">
            <v>450601B910</v>
          </cell>
          <cell r="B1064" t="str">
            <v>450601B</v>
          </cell>
          <cell r="C1064">
            <v>910</v>
          </cell>
          <cell r="D1064">
            <v>3000</v>
          </cell>
        </row>
        <row r="1065">
          <cell r="A1065" t="str">
            <v>450601B2700</v>
          </cell>
          <cell r="B1065" t="str">
            <v>450601B</v>
          </cell>
          <cell r="C1065">
            <v>2700</v>
          </cell>
          <cell r="D1065">
            <v>10000</v>
          </cell>
        </row>
        <row r="1066">
          <cell r="A1066" t="str">
            <v>450601B750</v>
          </cell>
          <cell r="B1066" t="str">
            <v>450601B</v>
          </cell>
          <cell r="C1066">
            <v>750</v>
          </cell>
          <cell r="D1066">
            <v>4000</v>
          </cell>
        </row>
        <row r="1067">
          <cell r="A1067" t="str">
            <v>451033P142</v>
          </cell>
          <cell r="B1067" t="str">
            <v>451033P</v>
          </cell>
          <cell r="C1067">
            <v>142</v>
          </cell>
          <cell r="D1067">
            <v>10000</v>
          </cell>
        </row>
        <row r="1068">
          <cell r="A1068" t="str">
            <v>451033P798</v>
          </cell>
          <cell r="B1068" t="str">
            <v>451033P</v>
          </cell>
          <cell r="C1068">
            <v>798</v>
          </cell>
          <cell r="D1068">
            <v>10000</v>
          </cell>
        </row>
        <row r="1069">
          <cell r="A1069" t="str">
            <v>451033P910</v>
          </cell>
          <cell r="B1069" t="str">
            <v>451033P</v>
          </cell>
          <cell r="C1069">
            <v>910</v>
          </cell>
          <cell r="D1069">
            <v>10000</v>
          </cell>
        </row>
        <row r="1070">
          <cell r="A1070" t="str">
            <v>451033P2700</v>
          </cell>
          <cell r="B1070" t="str">
            <v>451033P</v>
          </cell>
          <cell r="C1070">
            <v>2700</v>
          </cell>
          <cell r="D1070">
            <v>20000</v>
          </cell>
        </row>
        <row r="1071">
          <cell r="A1071" t="str">
            <v>451033P750</v>
          </cell>
          <cell r="B1071" t="str">
            <v>451033P</v>
          </cell>
          <cell r="C1071">
            <v>750</v>
          </cell>
          <cell r="D1071">
            <v>5000</v>
          </cell>
        </row>
        <row r="1072">
          <cell r="A1072" t="str">
            <v>451052A136</v>
          </cell>
          <cell r="B1072" t="str">
            <v>451052A</v>
          </cell>
          <cell r="C1072">
            <v>136</v>
          </cell>
          <cell r="D1072">
            <v>5000</v>
          </cell>
        </row>
        <row r="1073">
          <cell r="A1073" t="str">
            <v>451052A912</v>
          </cell>
          <cell r="B1073" t="str">
            <v>451052A</v>
          </cell>
          <cell r="C1073">
            <v>912</v>
          </cell>
          <cell r="D1073">
            <v>5000</v>
          </cell>
        </row>
        <row r="1074">
          <cell r="A1074" t="str">
            <v>451106A124</v>
          </cell>
          <cell r="B1074" t="str">
            <v>451106A</v>
          </cell>
          <cell r="C1074">
            <v>124</v>
          </cell>
          <cell r="D1074">
            <v>3500</v>
          </cell>
        </row>
        <row r="1075">
          <cell r="A1075" t="str">
            <v>451106A910</v>
          </cell>
          <cell r="B1075" t="str">
            <v>451106A</v>
          </cell>
          <cell r="C1075">
            <v>910</v>
          </cell>
          <cell r="D1075">
            <v>3500</v>
          </cell>
        </row>
        <row r="1076">
          <cell r="A1076" t="str">
            <v>451106A655</v>
          </cell>
          <cell r="B1076" t="str">
            <v>451106A</v>
          </cell>
          <cell r="C1076">
            <v>655</v>
          </cell>
          <cell r="D1076">
            <v>7000</v>
          </cell>
        </row>
        <row r="1077">
          <cell r="A1077" t="str">
            <v>451106A799</v>
          </cell>
          <cell r="B1077" t="str">
            <v>451106A</v>
          </cell>
          <cell r="C1077">
            <v>799</v>
          </cell>
          <cell r="D1077">
            <v>20000</v>
          </cell>
        </row>
        <row r="1078">
          <cell r="A1078" t="str">
            <v>451106A2700</v>
          </cell>
          <cell r="B1078" t="str">
            <v>451106A</v>
          </cell>
          <cell r="C1078">
            <v>2700</v>
          </cell>
          <cell r="D1078">
            <v>3600</v>
          </cell>
        </row>
        <row r="1079">
          <cell r="A1079" t="str">
            <v>451106A799</v>
          </cell>
          <cell r="B1079" t="str">
            <v>451106A</v>
          </cell>
          <cell r="C1079">
            <v>799</v>
          </cell>
          <cell r="D1079">
            <v>10000</v>
          </cell>
        </row>
        <row r="1080">
          <cell r="A1080" t="str">
            <v>451381A417</v>
          </cell>
          <cell r="B1080" t="str">
            <v>451381A</v>
          </cell>
          <cell r="C1080">
            <v>417</v>
          </cell>
          <cell r="D1080">
            <v>3500</v>
          </cell>
        </row>
        <row r="1081">
          <cell r="A1081" t="str">
            <v>451443C136</v>
          </cell>
          <cell r="B1081" t="str">
            <v>451443C</v>
          </cell>
          <cell r="C1081">
            <v>136</v>
          </cell>
          <cell r="D1081">
            <v>4500</v>
          </cell>
        </row>
        <row r="1082">
          <cell r="A1082" t="str">
            <v>451443C910</v>
          </cell>
          <cell r="B1082" t="str">
            <v>451443C</v>
          </cell>
          <cell r="C1082">
            <v>910</v>
          </cell>
          <cell r="D1082">
            <v>4500</v>
          </cell>
        </row>
        <row r="1083">
          <cell r="A1083" t="str">
            <v>451460A212</v>
          </cell>
          <cell r="B1083" t="str">
            <v>451460A</v>
          </cell>
          <cell r="C1083">
            <v>212</v>
          </cell>
          <cell r="D1083">
            <v>1300</v>
          </cell>
        </row>
        <row r="1084">
          <cell r="A1084" t="str">
            <v>451460A916</v>
          </cell>
          <cell r="B1084" t="str">
            <v>451460A</v>
          </cell>
          <cell r="C1084">
            <v>916</v>
          </cell>
          <cell r="D1084">
            <v>100000</v>
          </cell>
        </row>
        <row r="1085">
          <cell r="A1085" t="str">
            <v>451460A266</v>
          </cell>
          <cell r="B1085" t="str">
            <v>451460A</v>
          </cell>
          <cell r="C1085">
            <v>266</v>
          </cell>
          <cell r="D1085">
            <v>2300</v>
          </cell>
        </row>
        <row r="1086">
          <cell r="A1086" t="str">
            <v>451460A724</v>
          </cell>
          <cell r="B1086" t="str">
            <v>451460A</v>
          </cell>
          <cell r="C1086">
            <v>724</v>
          </cell>
          <cell r="D1086">
            <v>100000</v>
          </cell>
        </row>
        <row r="1087">
          <cell r="A1087" t="str">
            <v>451460B213</v>
          </cell>
          <cell r="B1087" t="str">
            <v>451460B</v>
          </cell>
          <cell r="C1087">
            <v>213</v>
          </cell>
          <cell r="D1087">
            <v>1300</v>
          </cell>
        </row>
        <row r="1088">
          <cell r="A1088" t="str">
            <v>451460B916</v>
          </cell>
          <cell r="B1088" t="str">
            <v>451460B</v>
          </cell>
          <cell r="C1088">
            <v>916</v>
          </cell>
          <cell r="D1088">
            <v>100000</v>
          </cell>
        </row>
        <row r="1089">
          <cell r="A1089" t="str">
            <v>451460B266</v>
          </cell>
          <cell r="B1089" t="str">
            <v>451460B</v>
          </cell>
          <cell r="C1089">
            <v>266</v>
          </cell>
          <cell r="D1089">
            <v>2300</v>
          </cell>
        </row>
        <row r="1090">
          <cell r="A1090" t="str">
            <v>451460B724</v>
          </cell>
          <cell r="B1090" t="str">
            <v>451460B</v>
          </cell>
          <cell r="C1090">
            <v>724</v>
          </cell>
          <cell r="D1090">
            <v>100000</v>
          </cell>
        </row>
        <row r="1091">
          <cell r="A1091" t="str">
            <v>451460C213</v>
          </cell>
          <cell r="B1091" t="str">
            <v>451460C</v>
          </cell>
          <cell r="C1091">
            <v>213</v>
          </cell>
          <cell r="D1091">
            <v>1300</v>
          </cell>
        </row>
        <row r="1092">
          <cell r="A1092" t="str">
            <v>451460C916</v>
          </cell>
          <cell r="B1092" t="str">
            <v>451460C</v>
          </cell>
          <cell r="C1092">
            <v>916</v>
          </cell>
          <cell r="D1092">
            <v>100000</v>
          </cell>
        </row>
        <row r="1093">
          <cell r="A1093" t="str">
            <v>451460C266</v>
          </cell>
          <cell r="B1093" t="str">
            <v>451460C</v>
          </cell>
          <cell r="C1093">
            <v>266</v>
          </cell>
          <cell r="D1093">
            <v>2300</v>
          </cell>
        </row>
        <row r="1094">
          <cell r="A1094" t="str">
            <v>451460C724</v>
          </cell>
          <cell r="B1094" t="str">
            <v>451460C</v>
          </cell>
          <cell r="C1094">
            <v>724</v>
          </cell>
          <cell r="D1094">
            <v>100000</v>
          </cell>
        </row>
        <row r="1095">
          <cell r="A1095" t="str">
            <v>451481/CO799</v>
          </cell>
          <cell r="B1095" t="str">
            <v>451481/CO</v>
          </cell>
          <cell r="C1095">
            <v>799</v>
          </cell>
          <cell r="D1095">
            <v>100000</v>
          </cell>
        </row>
        <row r="1096">
          <cell r="A1096" t="str">
            <v>451481/CO777</v>
          </cell>
          <cell r="B1096" t="str">
            <v>451481/CO</v>
          </cell>
          <cell r="C1096">
            <v>777</v>
          </cell>
          <cell r="D1096">
            <v>100000</v>
          </cell>
        </row>
        <row r="1097">
          <cell r="A1097" t="str">
            <v>451492C211</v>
          </cell>
          <cell r="B1097" t="str">
            <v>451492C</v>
          </cell>
          <cell r="C1097">
            <v>211</v>
          </cell>
          <cell r="D1097">
            <v>1000</v>
          </cell>
        </row>
        <row r="1098">
          <cell r="A1098" t="str">
            <v>451492C916</v>
          </cell>
          <cell r="B1098" t="str">
            <v>451492C</v>
          </cell>
          <cell r="C1098">
            <v>916</v>
          </cell>
          <cell r="D1098">
            <v>100000</v>
          </cell>
        </row>
        <row r="1099">
          <cell r="A1099" t="str">
            <v>451492C270</v>
          </cell>
          <cell r="B1099" t="str">
            <v>451492C</v>
          </cell>
          <cell r="C1099">
            <v>270</v>
          </cell>
          <cell r="D1099">
            <v>2000</v>
          </cell>
        </row>
        <row r="1100">
          <cell r="A1100" t="str">
            <v>451492C780</v>
          </cell>
          <cell r="B1100" t="str">
            <v>451492C</v>
          </cell>
          <cell r="C1100">
            <v>780</v>
          </cell>
          <cell r="D1100">
            <v>3000</v>
          </cell>
        </row>
        <row r="1101">
          <cell r="A1101" t="str">
            <v>451492C724</v>
          </cell>
          <cell r="B1101" t="str">
            <v>451492C</v>
          </cell>
          <cell r="C1101">
            <v>724</v>
          </cell>
          <cell r="D1101">
            <v>100000</v>
          </cell>
        </row>
        <row r="1102">
          <cell r="A1102" t="str">
            <v>451570P405</v>
          </cell>
          <cell r="B1102" t="str">
            <v>451570P</v>
          </cell>
          <cell r="C1102">
            <v>405</v>
          </cell>
          <cell r="D1102">
            <v>2400</v>
          </cell>
        </row>
        <row r="1103">
          <cell r="A1103" t="str">
            <v>451570P798</v>
          </cell>
          <cell r="B1103" t="str">
            <v>451570P</v>
          </cell>
          <cell r="C1103">
            <v>798</v>
          </cell>
          <cell r="D1103">
            <v>2400</v>
          </cell>
        </row>
        <row r="1104">
          <cell r="A1104" t="str">
            <v>451570P910</v>
          </cell>
          <cell r="B1104" t="str">
            <v>451570P</v>
          </cell>
          <cell r="C1104">
            <v>910</v>
          </cell>
          <cell r="D1104">
            <v>2400</v>
          </cell>
        </row>
        <row r="1105">
          <cell r="A1105" t="str">
            <v>451570P2700</v>
          </cell>
          <cell r="B1105" t="str">
            <v>451570P</v>
          </cell>
          <cell r="C1105">
            <v>2700</v>
          </cell>
          <cell r="D1105">
            <v>10000</v>
          </cell>
        </row>
        <row r="1106">
          <cell r="A1106" t="str">
            <v>451570P750</v>
          </cell>
          <cell r="B1106" t="str">
            <v>451570P</v>
          </cell>
          <cell r="C1106">
            <v>750</v>
          </cell>
          <cell r="D1106">
            <v>5000</v>
          </cell>
        </row>
        <row r="1107">
          <cell r="A1107" t="str">
            <v>451596F136</v>
          </cell>
          <cell r="B1107" t="str">
            <v>451596F</v>
          </cell>
          <cell r="C1107">
            <v>136</v>
          </cell>
          <cell r="D1107">
            <v>5000</v>
          </cell>
        </row>
        <row r="1108">
          <cell r="A1108" t="str">
            <v>451596F912</v>
          </cell>
          <cell r="B1108" t="str">
            <v>451596F</v>
          </cell>
          <cell r="C1108">
            <v>912</v>
          </cell>
          <cell r="D1108">
            <v>5000</v>
          </cell>
        </row>
        <row r="1109">
          <cell r="A1109" t="str">
            <v>451596F91160</v>
          </cell>
          <cell r="B1109" t="str">
            <v>451596F</v>
          </cell>
          <cell r="C1109">
            <v>91160</v>
          </cell>
        </row>
        <row r="1110">
          <cell r="A1110" t="str">
            <v>451596F799</v>
          </cell>
          <cell r="B1110" t="str">
            <v>451596F</v>
          </cell>
          <cell r="C1110">
            <v>799</v>
          </cell>
          <cell r="D1110">
            <v>99999999</v>
          </cell>
        </row>
        <row r="1111">
          <cell r="A1111" t="str">
            <v>451621S142</v>
          </cell>
          <cell r="B1111" t="str">
            <v>451621S</v>
          </cell>
          <cell r="C1111">
            <v>142</v>
          </cell>
          <cell r="D1111">
            <v>8000</v>
          </cell>
        </row>
        <row r="1112">
          <cell r="A1112" t="str">
            <v>451621S798</v>
          </cell>
          <cell r="B1112" t="str">
            <v>451621S</v>
          </cell>
          <cell r="C1112">
            <v>798</v>
          </cell>
          <cell r="D1112">
            <v>8000</v>
          </cell>
        </row>
        <row r="1113">
          <cell r="A1113" t="str">
            <v>451621S910</v>
          </cell>
          <cell r="B1113" t="str">
            <v>451621S</v>
          </cell>
          <cell r="C1113">
            <v>910</v>
          </cell>
          <cell r="D1113">
            <v>8000</v>
          </cell>
        </row>
        <row r="1114">
          <cell r="A1114" t="str">
            <v>451621S2700</v>
          </cell>
          <cell r="B1114" t="str">
            <v>451621S</v>
          </cell>
          <cell r="C1114">
            <v>2700</v>
          </cell>
          <cell r="D1114">
            <v>10000</v>
          </cell>
        </row>
        <row r="1115">
          <cell r="A1115" t="str">
            <v>451621S750</v>
          </cell>
          <cell r="B1115" t="str">
            <v>451621S</v>
          </cell>
          <cell r="C1115">
            <v>750</v>
          </cell>
          <cell r="D1115">
            <v>5000</v>
          </cell>
        </row>
        <row r="1116">
          <cell r="A1116" t="str">
            <v>451621T142</v>
          </cell>
          <cell r="B1116" t="str">
            <v>451621T</v>
          </cell>
          <cell r="C1116">
            <v>142</v>
          </cell>
          <cell r="D1116">
            <v>8000</v>
          </cell>
        </row>
        <row r="1117">
          <cell r="A1117" t="str">
            <v>451621T798</v>
          </cell>
          <cell r="B1117" t="str">
            <v>451621T</v>
          </cell>
          <cell r="C1117">
            <v>798</v>
          </cell>
          <cell r="D1117">
            <v>8000</v>
          </cell>
        </row>
        <row r="1118">
          <cell r="A1118" t="str">
            <v>451621T910</v>
          </cell>
          <cell r="B1118" t="str">
            <v>451621T</v>
          </cell>
          <cell r="C1118">
            <v>910</v>
          </cell>
          <cell r="D1118">
            <v>8000</v>
          </cell>
        </row>
        <row r="1119">
          <cell r="A1119" t="str">
            <v>451621T2700</v>
          </cell>
          <cell r="B1119" t="str">
            <v>451621T</v>
          </cell>
          <cell r="C1119">
            <v>2700</v>
          </cell>
          <cell r="D1119">
            <v>10000</v>
          </cell>
        </row>
        <row r="1120">
          <cell r="A1120" t="str">
            <v>451621T750</v>
          </cell>
          <cell r="B1120" t="str">
            <v>451621T</v>
          </cell>
          <cell r="C1120">
            <v>750</v>
          </cell>
          <cell r="D1120">
            <v>5000</v>
          </cell>
        </row>
        <row r="1121">
          <cell r="A1121" t="str">
            <v>451700A122</v>
          </cell>
          <cell r="B1121" t="str">
            <v>451700A</v>
          </cell>
          <cell r="C1121">
            <v>122</v>
          </cell>
          <cell r="D1121">
            <v>6000</v>
          </cell>
        </row>
        <row r="1122">
          <cell r="A1122" t="str">
            <v>451700A910</v>
          </cell>
          <cell r="B1122" t="str">
            <v>451700A</v>
          </cell>
          <cell r="C1122">
            <v>910</v>
          </cell>
          <cell r="D1122">
            <v>6000</v>
          </cell>
        </row>
        <row r="1123">
          <cell r="A1123" t="str">
            <v>451700A799</v>
          </cell>
          <cell r="B1123" t="str">
            <v>451700A</v>
          </cell>
          <cell r="C1123">
            <v>799</v>
          </cell>
          <cell r="D1123">
            <v>100000</v>
          </cell>
        </row>
        <row r="1124">
          <cell r="A1124" t="str">
            <v>451860I509</v>
          </cell>
          <cell r="B1124" t="str">
            <v>451860I</v>
          </cell>
          <cell r="C1124">
            <v>509</v>
          </cell>
          <cell r="D1124">
            <v>8000</v>
          </cell>
        </row>
        <row r="1125">
          <cell r="A1125" t="str">
            <v>451860I910</v>
          </cell>
          <cell r="B1125" t="str">
            <v>451860I</v>
          </cell>
          <cell r="C1125">
            <v>910</v>
          </cell>
          <cell r="D1125">
            <v>8000</v>
          </cell>
        </row>
        <row r="1126">
          <cell r="A1126" t="str">
            <v>451860I798</v>
          </cell>
          <cell r="B1126" t="str">
            <v>451860I</v>
          </cell>
          <cell r="C1126">
            <v>798</v>
          </cell>
          <cell r="D1126">
            <v>8000</v>
          </cell>
        </row>
        <row r="1127">
          <cell r="A1127" t="str">
            <v>451860I910</v>
          </cell>
          <cell r="B1127" t="str">
            <v>451860I</v>
          </cell>
          <cell r="C1127">
            <v>910</v>
          </cell>
          <cell r="D1127">
            <v>8000</v>
          </cell>
        </row>
        <row r="1128">
          <cell r="A1128" t="str">
            <v>451860IA509</v>
          </cell>
          <cell r="B1128" t="str">
            <v>451860IA</v>
          </cell>
          <cell r="C1128">
            <v>509</v>
          </cell>
          <cell r="D1128">
            <v>9000</v>
          </cell>
        </row>
        <row r="1129">
          <cell r="A1129" t="str">
            <v>451860IA910</v>
          </cell>
          <cell r="B1129" t="str">
            <v>451860IA</v>
          </cell>
          <cell r="C1129">
            <v>910</v>
          </cell>
          <cell r="D1129">
            <v>7000</v>
          </cell>
        </row>
        <row r="1130">
          <cell r="A1130" t="str">
            <v>451860IA798</v>
          </cell>
          <cell r="B1130" t="str">
            <v>451860IA</v>
          </cell>
          <cell r="C1130">
            <v>798</v>
          </cell>
          <cell r="D1130">
            <v>7000</v>
          </cell>
        </row>
        <row r="1131">
          <cell r="A1131" t="str">
            <v>451860IA910</v>
          </cell>
          <cell r="B1131" t="str">
            <v>451860IA</v>
          </cell>
          <cell r="C1131">
            <v>910</v>
          </cell>
          <cell r="D1131">
            <v>7000</v>
          </cell>
        </row>
        <row r="1132">
          <cell r="A1132" t="str">
            <v>451928B417</v>
          </cell>
          <cell r="B1132" t="str">
            <v>451928B</v>
          </cell>
          <cell r="C1132">
            <v>417</v>
          </cell>
          <cell r="D1132">
            <v>2500</v>
          </cell>
        </row>
        <row r="1133">
          <cell r="A1133" t="str">
            <v>451973A142</v>
          </cell>
          <cell r="B1133" t="str">
            <v>451973A</v>
          </cell>
          <cell r="C1133">
            <v>142</v>
          </cell>
          <cell r="D1133">
            <v>9000</v>
          </cell>
        </row>
        <row r="1134">
          <cell r="A1134" t="str">
            <v>451973A798</v>
          </cell>
          <cell r="B1134" t="str">
            <v>451973A</v>
          </cell>
          <cell r="C1134">
            <v>798</v>
          </cell>
          <cell r="D1134">
            <v>9000</v>
          </cell>
        </row>
        <row r="1135">
          <cell r="A1135" t="str">
            <v>451973A910</v>
          </cell>
          <cell r="B1135" t="str">
            <v>451973A</v>
          </cell>
          <cell r="C1135">
            <v>910</v>
          </cell>
          <cell r="D1135">
            <v>9000</v>
          </cell>
        </row>
        <row r="1136">
          <cell r="A1136" t="str">
            <v>451973A2700</v>
          </cell>
          <cell r="B1136" t="str">
            <v>451973A</v>
          </cell>
          <cell r="C1136">
            <v>2700</v>
          </cell>
          <cell r="D1136">
            <v>20000</v>
          </cell>
        </row>
        <row r="1137">
          <cell r="A1137" t="str">
            <v>451973A750</v>
          </cell>
          <cell r="B1137" t="str">
            <v>451973A</v>
          </cell>
          <cell r="C1137">
            <v>750</v>
          </cell>
          <cell r="D1137">
            <v>6000</v>
          </cell>
        </row>
        <row r="1138">
          <cell r="A1138" t="str">
            <v>452295S406</v>
          </cell>
          <cell r="B1138" t="str">
            <v>452295S</v>
          </cell>
          <cell r="C1138">
            <v>406</v>
          </cell>
          <cell r="D1138">
            <v>3500</v>
          </cell>
        </row>
        <row r="1139">
          <cell r="A1139" t="str">
            <v>452295S798</v>
          </cell>
          <cell r="B1139" t="str">
            <v>452295S</v>
          </cell>
          <cell r="C1139">
            <v>798</v>
          </cell>
          <cell r="D1139">
            <v>3500</v>
          </cell>
        </row>
        <row r="1140">
          <cell r="A1140" t="str">
            <v>452295S910</v>
          </cell>
          <cell r="B1140" t="str">
            <v>452295S</v>
          </cell>
          <cell r="C1140">
            <v>910</v>
          </cell>
          <cell r="D1140">
            <v>3500</v>
          </cell>
        </row>
        <row r="1141">
          <cell r="A1141" t="str">
            <v>452295S2700</v>
          </cell>
          <cell r="B1141" t="str">
            <v>452295S</v>
          </cell>
          <cell r="C1141">
            <v>2700</v>
          </cell>
          <cell r="D1141">
            <v>15000</v>
          </cell>
        </row>
        <row r="1142">
          <cell r="A1142" t="str">
            <v>452295S750</v>
          </cell>
          <cell r="B1142" t="str">
            <v>452295S</v>
          </cell>
          <cell r="C1142">
            <v>750</v>
          </cell>
          <cell r="D1142">
            <v>5000</v>
          </cell>
        </row>
        <row r="1143">
          <cell r="A1143" t="str">
            <v>452357E407</v>
          </cell>
          <cell r="B1143" t="str">
            <v>452357E</v>
          </cell>
          <cell r="C1143">
            <v>407</v>
          </cell>
          <cell r="D1143">
            <v>3000</v>
          </cell>
        </row>
        <row r="1144">
          <cell r="A1144" t="str">
            <v>452357E798</v>
          </cell>
          <cell r="B1144" t="str">
            <v>452357E</v>
          </cell>
          <cell r="C1144">
            <v>798</v>
          </cell>
          <cell r="D1144">
            <v>3000</v>
          </cell>
        </row>
        <row r="1145">
          <cell r="A1145" t="str">
            <v>452357E910</v>
          </cell>
          <cell r="B1145" t="str">
            <v>452357E</v>
          </cell>
          <cell r="C1145">
            <v>910</v>
          </cell>
          <cell r="D1145">
            <v>3000</v>
          </cell>
        </row>
        <row r="1146">
          <cell r="A1146" t="str">
            <v>452357E799</v>
          </cell>
          <cell r="B1146" t="str">
            <v>452357E</v>
          </cell>
          <cell r="C1146">
            <v>799</v>
          </cell>
        </row>
        <row r="1147">
          <cell r="A1147" t="str">
            <v>452357E750</v>
          </cell>
          <cell r="B1147" t="str">
            <v>452357E</v>
          </cell>
          <cell r="C1147">
            <v>750</v>
          </cell>
          <cell r="D1147">
            <v>5000</v>
          </cell>
        </row>
        <row r="1148">
          <cell r="A1148" t="str">
            <v>452920C406</v>
          </cell>
          <cell r="B1148" t="str">
            <v>452920C</v>
          </cell>
          <cell r="C1148">
            <v>406</v>
          </cell>
          <cell r="D1148">
            <v>3501</v>
          </cell>
        </row>
        <row r="1149">
          <cell r="A1149" t="str">
            <v>452920C910</v>
          </cell>
          <cell r="B1149" t="str">
            <v>452920C</v>
          </cell>
          <cell r="C1149">
            <v>910</v>
          </cell>
          <cell r="D1149">
            <v>3501</v>
          </cell>
        </row>
        <row r="1150">
          <cell r="A1150" t="str">
            <v>452920C799</v>
          </cell>
          <cell r="B1150" t="str">
            <v>452920C</v>
          </cell>
          <cell r="C1150">
            <v>799</v>
          </cell>
          <cell r="D1150">
            <v>10000</v>
          </cell>
        </row>
        <row r="1151">
          <cell r="A1151" t="str">
            <v>452920L406</v>
          </cell>
          <cell r="B1151" t="str">
            <v>452920L</v>
          </cell>
          <cell r="C1151">
            <v>406</v>
          </cell>
          <cell r="D1151">
            <v>2400</v>
          </cell>
        </row>
        <row r="1152">
          <cell r="A1152" t="str">
            <v>452920L910</v>
          </cell>
          <cell r="B1152" t="str">
            <v>452920L</v>
          </cell>
          <cell r="C1152">
            <v>910</v>
          </cell>
          <cell r="D1152">
            <v>2400</v>
          </cell>
        </row>
        <row r="1153">
          <cell r="A1153" t="str">
            <v>452985A142</v>
          </cell>
          <cell r="B1153" t="str">
            <v>452985A</v>
          </cell>
          <cell r="C1153">
            <v>142</v>
          </cell>
          <cell r="D1153">
            <v>10000</v>
          </cell>
        </row>
        <row r="1154">
          <cell r="A1154" t="str">
            <v>452985A798</v>
          </cell>
          <cell r="B1154" t="str">
            <v>452985A</v>
          </cell>
          <cell r="C1154">
            <v>798</v>
          </cell>
          <cell r="D1154">
            <v>10000</v>
          </cell>
        </row>
        <row r="1155">
          <cell r="A1155" t="str">
            <v>452985A910</v>
          </cell>
          <cell r="B1155" t="str">
            <v>452985A</v>
          </cell>
          <cell r="C1155">
            <v>910</v>
          </cell>
          <cell r="D1155">
            <v>10000</v>
          </cell>
        </row>
        <row r="1156">
          <cell r="A1156" t="str">
            <v>452985A2700</v>
          </cell>
          <cell r="B1156" t="str">
            <v>452985A</v>
          </cell>
          <cell r="C1156">
            <v>2700</v>
          </cell>
          <cell r="D1156">
            <v>20000</v>
          </cell>
        </row>
        <row r="1157">
          <cell r="A1157" t="str">
            <v>452985A750</v>
          </cell>
          <cell r="B1157" t="str">
            <v>452985A</v>
          </cell>
          <cell r="C1157">
            <v>750</v>
          </cell>
          <cell r="D1157">
            <v>5000</v>
          </cell>
        </row>
        <row r="1158">
          <cell r="A1158" t="str">
            <v>453123A136</v>
          </cell>
          <cell r="B1158" t="str">
            <v>453123A</v>
          </cell>
          <cell r="C1158">
            <v>136</v>
          </cell>
          <cell r="D1158">
            <v>5000</v>
          </cell>
        </row>
        <row r="1159">
          <cell r="A1159" t="str">
            <v>453123A798</v>
          </cell>
          <cell r="B1159" t="str">
            <v>453123A</v>
          </cell>
          <cell r="C1159">
            <v>798</v>
          </cell>
          <cell r="D1159">
            <v>5000</v>
          </cell>
        </row>
        <row r="1160">
          <cell r="A1160" t="str">
            <v>453123A910</v>
          </cell>
          <cell r="B1160" t="str">
            <v>453123A</v>
          </cell>
          <cell r="C1160">
            <v>910</v>
          </cell>
          <cell r="D1160">
            <v>5000</v>
          </cell>
        </row>
        <row r="1161">
          <cell r="A1161" t="str">
            <v>453123A2700</v>
          </cell>
          <cell r="B1161" t="str">
            <v>453123A</v>
          </cell>
          <cell r="C1161">
            <v>2700</v>
          </cell>
          <cell r="D1161">
            <v>15000</v>
          </cell>
        </row>
        <row r="1162">
          <cell r="A1162" t="str">
            <v>453123A750</v>
          </cell>
          <cell r="B1162" t="str">
            <v>453123A</v>
          </cell>
          <cell r="C1162">
            <v>750</v>
          </cell>
          <cell r="D1162">
            <v>5000</v>
          </cell>
        </row>
        <row r="1163">
          <cell r="A1163" t="str">
            <v>453123A799</v>
          </cell>
          <cell r="B1163" t="str">
            <v>453123A</v>
          </cell>
          <cell r="C1163">
            <v>799</v>
          </cell>
          <cell r="D1163">
            <v>50000</v>
          </cell>
        </row>
        <row r="1164">
          <cell r="A1164" t="str">
            <v>453275A216</v>
          </cell>
          <cell r="B1164" t="str">
            <v>453275A</v>
          </cell>
          <cell r="C1164">
            <v>216</v>
          </cell>
          <cell r="D1164">
            <v>1500</v>
          </cell>
        </row>
        <row r="1165">
          <cell r="A1165" t="str">
            <v>453275A916</v>
          </cell>
          <cell r="B1165" t="str">
            <v>453275A</v>
          </cell>
          <cell r="C1165">
            <v>916</v>
          </cell>
          <cell r="D1165">
            <v>100000</v>
          </cell>
        </row>
        <row r="1166">
          <cell r="A1166" t="str">
            <v>453275A265</v>
          </cell>
          <cell r="B1166" t="str">
            <v>453275A</v>
          </cell>
          <cell r="C1166">
            <v>265</v>
          </cell>
          <cell r="D1166">
            <v>2200</v>
          </cell>
        </row>
        <row r="1167">
          <cell r="A1167" t="str">
            <v>453275A724</v>
          </cell>
          <cell r="B1167" t="str">
            <v>453275A</v>
          </cell>
          <cell r="C1167">
            <v>724</v>
          </cell>
          <cell r="D1167">
            <v>100000</v>
          </cell>
        </row>
        <row r="1168">
          <cell r="A1168" t="str">
            <v>453322A407</v>
          </cell>
          <cell r="B1168" t="str">
            <v>453322A</v>
          </cell>
          <cell r="C1168">
            <v>407</v>
          </cell>
          <cell r="D1168">
            <v>3600</v>
          </cell>
        </row>
        <row r="1169">
          <cell r="A1169" t="str">
            <v>453322A910</v>
          </cell>
          <cell r="B1169" t="str">
            <v>453322A</v>
          </cell>
          <cell r="C1169">
            <v>910</v>
          </cell>
          <cell r="D1169">
            <v>3600</v>
          </cell>
        </row>
        <row r="1170">
          <cell r="A1170" t="str">
            <v>453379A405</v>
          </cell>
          <cell r="B1170" t="str">
            <v>453379A</v>
          </cell>
          <cell r="C1170">
            <v>405</v>
          </cell>
          <cell r="D1170">
            <v>4000</v>
          </cell>
        </row>
        <row r="1171">
          <cell r="A1171" t="str">
            <v>453379A798</v>
          </cell>
          <cell r="B1171" t="str">
            <v>453379A</v>
          </cell>
          <cell r="C1171">
            <v>798</v>
          </cell>
          <cell r="D1171">
            <v>4000</v>
          </cell>
        </row>
        <row r="1172">
          <cell r="A1172" t="str">
            <v>453379A910</v>
          </cell>
          <cell r="B1172" t="str">
            <v>453379A</v>
          </cell>
          <cell r="C1172">
            <v>910</v>
          </cell>
          <cell r="D1172">
            <v>4000</v>
          </cell>
        </row>
        <row r="1173">
          <cell r="A1173" t="str">
            <v>453379A2700</v>
          </cell>
          <cell r="B1173" t="str">
            <v>453379A</v>
          </cell>
          <cell r="C1173">
            <v>2700</v>
          </cell>
          <cell r="D1173">
            <v>10000</v>
          </cell>
        </row>
        <row r="1174">
          <cell r="A1174" t="str">
            <v>453379A750</v>
          </cell>
          <cell r="B1174" t="str">
            <v>453379A</v>
          </cell>
          <cell r="C1174">
            <v>750</v>
          </cell>
          <cell r="D1174">
            <v>5000</v>
          </cell>
        </row>
        <row r="1175">
          <cell r="A1175" t="str">
            <v>453385A406</v>
          </cell>
          <cell r="B1175" t="str">
            <v>453385A</v>
          </cell>
          <cell r="C1175">
            <v>406</v>
          </cell>
          <cell r="D1175">
            <v>4500</v>
          </cell>
        </row>
        <row r="1176">
          <cell r="A1176" t="str">
            <v>453385A798</v>
          </cell>
          <cell r="B1176" t="str">
            <v>453385A</v>
          </cell>
          <cell r="C1176">
            <v>798</v>
          </cell>
          <cell r="D1176">
            <v>4500</v>
          </cell>
        </row>
        <row r="1177">
          <cell r="A1177" t="str">
            <v>453385A910</v>
          </cell>
          <cell r="B1177" t="str">
            <v>453385A</v>
          </cell>
          <cell r="C1177">
            <v>910</v>
          </cell>
          <cell r="D1177">
            <v>4500</v>
          </cell>
        </row>
        <row r="1178">
          <cell r="A1178" t="str">
            <v>453385A2700</v>
          </cell>
          <cell r="B1178" t="str">
            <v>453385A</v>
          </cell>
          <cell r="C1178">
            <v>2700</v>
          </cell>
          <cell r="D1178">
            <v>15000</v>
          </cell>
        </row>
        <row r="1179">
          <cell r="A1179" t="str">
            <v>453385A750</v>
          </cell>
          <cell r="B1179" t="str">
            <v>453385A</v>
          </cell>
          <cell r="C1179">
            <v>750</v>
          </cell>
          <cell r="D1179">
            <v>5000</v>
          </cell>
        </row>
        <row r="1180">
          <cell r="A1180" t="str">
            <v>453395A213</v>
          </cell>
          <cell r="B1180" t="str">
            <v>453395A</v>
          </cell>
          <cell r="C1180">
            <v>213</v>
          </cell>
          <cell r="D1180">
            <v>1500</v>
          </cell>
        </row>
        <row r="1181">
          <cell r="A1181" t="str">
            <v>453395A916</v>
          </cell>
          <cell r="B1181" t="str">
            <v>453395A</v>
          </cell>
          <cell r="C1181">
            <v>916</v>
          </cell>
          <cell r="D1181">
            <v>100000</v>
          </cell>
        </row>
        <row r="1182">
          <cell r="A1182" t="str">
            <v>453395A261</v>
          </cell>
          <cell r="B1182" t="str">
            <v>453395A</v>
          </cell>
          <cell r="C1182">
            <v>261</v>
          </cell>
          <cell r="D1182">
            <v>3000</v>
          </cell>
        </row>
        <row r="1183">
          <cell r="A1183" t="str">
            <v>453395A724</v>
          </cell>
          <cell r="B1183" t="str">
            <v>453395A</v>
          </cell>
          <cell r="C1183">
            <v>724</v>
          </cell>
          <cell r="D1183">
            <v>100000</v>
          </cell>
        </row>
        <row r="1184">
          <cell r="A1184" t="str">
            <v>453487B406</v>
          </cell>
          <cell r="B1184" t="str">
            <v>453487B</v>
          </cell>
          <cell r="C1184">
            <v>406</v>
          </cell>
          <cell r="D1184">
            <v>3000</v>
          </cell>
        </row>
        <row r="1185">
          <cell r="A1185" t="str">
            <v>453487B798</v>
          </cell>
          <cell r="B1185" t="str">
            <v>453487B</v>
          </cell>
          <cell r="C1185">
            <v>798</v>
          </cell>
          <cell r="D1185">
            <v>3000</v>
          </cell>
        </row>
        <row r="1186">
          <cell r="A1186" t="str">
            <v>453487B910</v>
          </cell>
          <cell r="B1186" t="str">
            <v>453487B</v>
          </cell>
          <cell r="C1186">
            <v>910</v>
          </cell>
          <cell r="D1186">
            <v>3000</v>
          </cell>
        </row>
        <row r="1187">
          <cell r="A1187" t="str">
            <v>453487B2700</v>
          </cell>
          <cell r="B1187" t="str">
            <v>453487B</v>
          </cell>
          <cell r="C1187">
            <v>2700</v>
          </cell>
          <cell r="D1187">
            <v>15000</v>
          </cell>
        </row>
        <row r="1188">
          <cell r="A1188" t="str">
            <v>453487B750</v>
          </cell>
          <cell r="B1188" t="str">
            <v>453487B</v>
          </cell>
          <cell r="C1188">
            <v>750</v>
          </cell>
          <cell r="D1188">
            <v>5000</v>
          </cell>
        </row>
        <row r="1189">
          <cell r="A1189" t="str">
            <v>453488A406</v>
          </cell>
          <cell r="B1189" t="str">
            <v>453488A</v>
          </cell>
          <cell r="C1189">
            <v>406</v>
          </cell>
          <cell r="D1189">
            <v>3000</v>
          </cell>
        </row>
        <row r="1190">
          <cell r="A1190" t="str">
            <v>453488A798</v>
          </cell>
          <cell r="B1190" t="str">
            <v>453488A</v>
          </cell>
          <cell r="C1190">
            <v>798</v>
          </cell>
          <cell r="D1190">
            <v>3000</v>
          </cell>
        </row>
        <row r="1191">
          <cell r="A1191" t="str">
            <v>453488A910</v>
          </cell>
          <cell r="B1191" t="str">
            <v>453488A</v>
          </cell>
          <cell r="C1191">
            <v>910</v>
          </cell>
          <cell r="D1191">
            <v>3000</v>
          </cell>
        </row>
        <row r="1192">
          <cell r="A1192" t="str">
            <v>453488A2700</v>
          </cell>
          <cell r="B1192" t="str">
            <v>453488A</v>
          </cell>
          <cell r="C1192">
            <v>2700</v>
          </cell>
          <cell r="D1192">
            <v>15000</v>
          </cell>
        </row>
        <row r="1193">
          <cell r="A1193" t="str">
            <v>453488A750</v>
          </cell>
          <cell r="B1193" t="str">
            <v>453488A</v>
          </cell>
          <cell r="C1193">
            <v>750</v>
          </cell>
          <cell r="D1193">
            <v>5000</v>
          </cell>
        </row>
        <row r="1194">
          <cell r="A1194" t="str">
            <v>453656A406</v>
          </cell>
          <cell r="B1194" t="str">
            <v>453656A</v>
          </cell>
          <cell r="C1194">
            <v>406</v>
          </cell>
          <cell r="D1194">
            <v>3600</v>
          </cell>
        </row>
        <row r="1195">
          <cell r="A1195" t="str">
            <v>453656A798</v>
          </cell>
          <cell r="B1195" t="str">
            <v>453656A</v>
          </cell>
          <cell r="C1195">
            <v>798</v>
          </cell>
          <cell r="D1195">
            <v>3600</v>
          </cell>
        </row>
        <row r="1196">
          <cell r="A1196" t="str">
            <v>453656A910</v>
          </cell>
          <cell r="B1196" t="str">
            <v>453656A</v>
          </cell>
          <cell r="C1196">
            <v>910</v>
          </cell>
          <cell r="D1196">
            <v>3600</v>
          </cell>
        </row>
        <row r="1197">
          <cell r="A1197" t="str">
            <v>453656A2700</v>
          </cell>
          <cell r="B1197" t="str">
            <v>453656A</v>
          </cell>
          <cell r="C1197">
            <v>2700</v>
          </cell>
          <cell r="D1197">
            <v>15000</v>
          </cell>
        </row>
        <row r="1198">
          <cell r="A1198" t="str">
            <v>453656A750</v>
          </cell>
          <cell r="B1198" t="str">
            <v>453656A</v>
          </cell>
          <cell r="C1198">
            <v>750</v>
          </cell>
          <cell r="D1198">
            <v>4000</v>
          </cell>
        </row>
        <row r="1199">
          <cell r="A1199" t="str">
            <v>453766A213</v>
          </cell>
          <cell r="B1199" t="str">
            <v>453766A</v>
          </cell>
          <cell r="C1199">
            <v>213</v>
          </cell>
          <cell r="D1199">
            <v>2000</v>
          </cell>
        </row>
        <row r="1200">
          <cell r="A1200" t="str">
            <v>453766A916</v>
          </cell>
          <cell r="B1200" t="str">
            <v>453766A</v>
          </cell>
          <cell r="C1200">
            <v>916</v>
          </cell>
          <cell r="D1200">
            <v>100000</v>
          </cell>
        </row>
        <row r="1201">
          <cell r="A1201" t="str">
            <v>453766A262</v>
          </cell>
          <cell r="B1201" t="str">
            <v>453766A</v>
          </cell>
          <cell r="C1201">
            <v>262</v>
          </cell>
          <cell r="D1201">
            <v>2400</v>
          </cell>
        </row>
        <row r="1202">
          <cell r="A1202" t="str">
            <v>453766A724</v>
          </cell>
          <cell r="B1202" t="str">
            <v>453766A</v>
          </cell>
          <cell r="C1202">
            <v>724</v>
          </cell>
          <cell r="D1202">
            <v>100000</v>
          </cell>
        </row>
        <row r="1203">
          <cell r="A1203" t="str">
            <v>453876A221</v>
          </cell>
          <cell r="B1203" t="str">
            <v>453876A</v>
          </cell>
          <cell r="C1203">
            <v>221</v>
          </cell>
          <cell r="D1203">
            <v>1500</v>
          </cell>
        </row>
        <row r="1204">
          <cell r="A1204" t="str">
            <v>453876A916</v>
          </cell>
          <cell r="B1204" t="str">
            <v>453876A</v>
          </cell>
          <cell r="C1204">
            <v>916</v>
          </cell>
          <cell r="D1204">
            <v>100000</v>
          </cell>
        </row>
        <row r="1205">
          <cell r="A1205" t="str">
            <v>453876A265</v>
          </cell>
          <cell r="B1205" t="str">
            <v>453876A</v>
          </cell>
          <cell r="C1205">
            <v>265</v>
          </cell>
          <cell r="D1205">
            <v>2100</v>
          </cell>
        </row>
        <row r="1206">
          <cell r="A1206" t="str">
            <v>453876A724</v>
          </cell>
          <cell r="B1206" t="str">
            <v>453876A</v>
          </cell>
          <cell r="C1206">
            <v>724</v>
          </cell>
          <cell r="D1206">
            <v>100000</v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  <row r="1460">
          <cell r="A1460" t="str">
            <v/>
          </cell>
        </row>
        <row r="1461">
          <cell r="A1461" t="str">
            <v/>
          </cell>
        </row>
        <row r="1462">
          <cell r="A1462" t="str">
            <v/>
          </cell>
        </row>
        <row r="1463">
          <cell r="A1463" t="str">
            <v/>
          </cell>
        </row>
        <row r="1464">
          <cell r="A1464" t="str">
            <v/>
          </cell>
        </row>
        <row r="1465">
          <cell r="A1465" t="str">
            <v/>
          </cell>
        </row>
        <row r="1466">
          <cell r="A1466" t="str">
            <v/>
          </cell>
        </row>
        <row r="1467">
          <cell r="A1467" t="str">
            <v/>
          </cell>
        </row>
        <row r="1468">
          <cell r="A1468" t="str">
            <v/>
          </cell>
        </row>
        <row r="1469">
          <cell r="A1469" t="str">
            <v/>
          </cell>
        </row>
        <row r="1470">
          <cell r="A1470" t="str">
            <v/>
          </cell>
        </row>
        <row r="1471">
          <cell r="A1471" t="str">
            <v/>
          </cell>
        </row>
        <row r="1472">
          <cell r="A1472" t="str">
            <v/>
          </cell>
        </row>
        <row r="1473">
          <cell r="A1473" t="str">
            <v/>
          </cell>
        </row>
        <row r="1474">
          <cell r="A1474" t="str">
            <v/>
          </cell>
        </row>
        <row r="1475">
          <cell r="A1475" t="str">
            <v/>
          </cell>
        </row>
        <row r="1476">
          <cell r="A1476" t="str">
            <v/>
          </cell>
        </row>
        <row r="1477">
          <cell r="A1477" t="str">
            <v/>
          </cell>
        </row>
        <row r="1478">
          <cell r="A1478" t="str">
            <v/>
          </cell>
        </row>
        <row r="1479">
          <cell r="A1479" t="str">
            <v/>
          </cell>
        </row>
        <row r="1480">
          <cell r="A1480" t="str">
            <v/>
          </cell>
        </row>
        <row r="1481">
          <cell r="A1481" t="str">
            <v/>
          </cell>
        </row>
        <row r="1482">
          <cell r="A1482" t="str">
            <v/>
          </cell>
        </row>
        <row r="1483">
          <cell r="A1483" t="str">
            <v/>
          </cell>
        </row>
        <row r="1484">
          <cell r="A1484" t="str">
            <v/>
          </cell>
        </row>
        <row r="1485">
          <cell r="A1485" t="str">
            <v/>
          </cell>
        </row>
        <row r="1486">
          <cell r="A1486" t="str">
            <v/>
          </cell>
        </row>
        <row r="1487">
          <cell r="A1487" t="str">
            <v/>
          </cell>
        </row>
        <row r="1488">
          <cell r="A1488" t="str">
            <v/>
          </cell>
        </row>
        <row r="1489">
          <cell r="A1489" t="str">
            <v/>
          </cell>
        </row>
        <row r="1490">
          <cell r="A1490" t="str">
            <v/>
          </cell>
        </row>
        <row r="1491">
          <cell r="A1491" t="str">
            <v/>
          </cell>
        </row>
        <row r="1492">
          <cell r="A1492" t="str">
            <v/>
          </cell>
        </row>
        <row r="1493">
          <cell r="A1493" t="str">
            <v/>
          </cell>
        </row>
        <row r="1494">
          <cell r="A1494" t="str">
            <v/>
          </cell>
        </row>
        <row r="1495">
          <cell r="A1495" t="str">
            <v/>
          </cell>
        </row>
        <row r="1496">
          <cell r="A1496" t="str">
            <v/>
          </cell>
        </row>
        <row r="1497">
          <cell r="A1497" t="str">
            <v/>
          </cell>
        </row>
        <row r="1498">
          <cell r="A1498" t="str">
            <v/>
          </cell>
        </row>
        <row r="1499">
          <cell r="A1499" t="str">
            <v/>
          </cell>
        </row>
        <row r="1500">
          <cell r="A1500" t="str">
            <v/>
          </cell>
        </row>
        <row r="1501">
          <cell r="A1501" t="str">
            <v/>
          </cell>
        </row>
        <row r="1502">
          <cell r="A1502" t="str">
            <v/>
          </cell>
        </row>
        <row r="1503">
          <cell r="A1503" t="str">
            <v/>
          </cell>
        </row>
        <row r="1504">
          <cell r="A1504" t="str">
            <v/>
          </cell>
        </row>
        <row r="1505">
          <cell r="A1505" t="str">
            <v/>
          </cell>
        </row>
        <row r="1506">
          <cell r="A1506" t="str">
            <v/>
          </cell>
        </row>
        <row r="1507">
          <cell r="A1507" t="str">
            <v/>
          </cell>
        </row>
        <row r="1508">
          <cell r="A1508" t="str">
            <v/>
          </cell>
        </row>
        <row r="1509">
          <cell r="A1509" t="str">
            <v/>
          </cell>
        </row>
        <row r="1510">
          <cell r="A1510" t="str">
            <v/>
          </cell>
        </row>
        <row r="1511">
          <cell r="A1511" t="str">
            <v/>
          </cell>
        </row>
        <row r="1512">
          <cell r="A1512" t="str">
            <v/>
          </cell>
        </row>
        <row r="1513">
          <cell r="A1513" t="str">
            <v/>
          </cell>
        </row>
        <row r="1514">
          <cell r="A1514" t="str">
            <v/>
          </cell>
        </row>
        <row r="1515">
          <cell r="A1515" t="str">
            <v/>
          </cell>
        </row>
        <row r="1516">
          <cell r="A1516" t="str">
            <v/>
          </cell>
        </row>
        <row r="1517">
          <cell r="A1517" t="str">
            <v/>
          </cell>
        </row>
        <row r="1518">
          <cell r="A1518" t="str">
            <v/>
          </cell>
        </row>
        <row r="1519">
          <cell r="A1519" t="str">
            <v/>
          </cell>
        </row>
        <row r="1520">
          <cell r="A1520" t="str">
            <v/>
          </cell>
        </row>
        <row r="1521">
          <cell r="A1521" t="str">
            <v/>
          </cell>
        </row>
        <row r="1522">
          <cell r="A1522" t="str">
            <v/>
          </cell>
        </row>
        <row r="1523">
          <cell r="A1523" t="str">
            <v/>
          </cell>
        </row>
        <row r="1524">
          <cell r="A1524" t="str">
            <v/>
          </cell>
        </row>
        <row r="1525">
          <cell r="A1525" t="str">
            <v/>
          </cell>
        </row>
        <row r="1526">
          <cell r="A1526" t="str">
            <v/>
          </cell>
        </row>
        <row r="1527">
          <cell r="A1527" t="str">
            <v/>
          </cell>
        </row>
        <row r="1528">
          <cell r="A1528" t="str">
            <v/>
          </cell>
        </row>
        <row r="1529">
          <cell r="A1529" t="str">
            <v/>
          </cell>
        </row>
        <row r="1530">
          <cell r="A1530" t="str">
            <v/>
          </cell>
        </row>
        <row r="1531">
          <cell r="A1531" t="str">
            <v/>
          </cell>
        </row>
        <row r="1532">
          <cell r="A1532" t="str">
            <v/>
          </cell>
        </row>
        <row r="1533">
          <cell r="A1533" t="str">
            <v/>
          </cell>
        </row>
        <row r="1534">
          <cell r="A1534" t="str">
            <v/>
          </cell>
        </row>
        <row r="1535">
          <cell r="A1535" t="str">
            <v/>
          </cell>
        </row>
        <row r="1536">
          <cell r="A1536" t="str">
            <v/>
          </cell>
        </row>
        <row r="1537">
          <cell r="A1537" t="str">
            <v/>
          </cell>
        </row>
        <row r="1538">
          <cell r="A1538" t="str">
            <v/>
          </cell>
        </row>
        <row r="1539">
          <cell r="A1539" t="str">
            <v/>
          </cell>
        </row>
        <row r="1540">
          <cell r="A1540" t="str">
            <v/>
          </cell>
        </row>
        <row r="1541">
          <cell r="A1541" t="str">
            <v/>
          </cell>
        </row>
        <row r="1542">
          <cell r="A1542" t="str">
            <v/>
          </cell>
        </row>
        <row r="1543">
          <cell r="A1543" t="str">
            <v/>
          </cell>
        </row>
        <row r="1544">
          <cell r="A1544" t="str">
            <v/>
          </cell>
        </row>
        <row r="1545">
          <cell r="A1545" t="str">
            <v/>
          </cell>
        </row>
        <row r="1546">
          <cell r="A1546" t="str">
            <v/>
          </cell>
        </row>
        <row r="1547">
          <cell r="A1547" t="str">
            <v/>
          </cell>
        </row>
        <row r="1548">
          <cell r="A1548" t="str">
            <v/>
          </cell>
        </row>
        <row r="1549">
          <cell r="A1549" t="str">
            <v/>
          </cell>
        </row>
        <row r="1550">
          <cell r="A1550" t="str">
            <v/>
          </cell>
        </row>
        <row r="1551">
          <cell r="A1551" t="str">
            <v/>
          </cell>
        </row>
        <row r="1552">
          <cell r="A1552" t="str">
            <v/>
          </cell>
        </row>
        <row r="1553">
          <cell r="A1553" t="str">
            <v/>
          </cell>
        </row>
        <row r="1554">
          <cell r="A1554" t="str">
            <v/>
          </cell>
        </row>
        <row r="1555">
          <cell r="A1555" t="str">
            <v/>
          </cell>
        </row>
        <row r="1556">
          <cell r="A1556" t="str">
            <v/>
          </cell>
        </row>
        <row r="1557">
          <cell r="A1557" t="str">
            <v/>
          </cell>
        </row>
        <row r="1558">
          <cell r="A1558" t="str">
            <v/>
          </cell>
        </row>
        <row r="1559">
          <cell r="A1559" t="str">
            <v/>
          </cell>
        </row>
        <row r="1560">
          <cell r="A1560" t="str">
            <v/>
          </cell>
        </row>
        <row r="1561">
          <cell r="A1561" t="str">
            <v/>
          </cell>
        </row>
        <row r="1562">
          <cell r="A1562" t="str">
            <v/>
          </cell>
        </row>
        <row r="1563">
          <cell r="A1563" t="str">
            <v/>
          </cell>
        </row>
        <row r="1564">
          <cell r="A1564" t="str">
            <v/>
          </cell>
        </row>
        <row r="1565">
          <cell r="A1565" t="str">
            <v/>
          </cell>
        </row>
        <row r="1566">
          <cell r="A1566" t="str">
            <v/>
          </cell>
        </row>
        <row r="1567">
          <cell r="A1567" t="str">
            <v/>
          </cell>
        </row>
        <row r="1568">
          <cell r="A1568" t="str">
            <v/>
          </cell>
        </row>
        <row r="1569">
          <cell r="A1569" t="str">
            <v/>
          </cell>
        </row>
        <row r="1570">
          <cell r="A1570" t="str">
            <v/>
          </cell>
        </row>
        <row r="1571">
          <cell r="A1571" t="str">
            <v/>
          </cell>
        </row>
        <row r="1572">
          <cell r="A1572" t="str">
            <v/>
          </cell>
        </row>
        <row r="1573">
          <cell r="A1573" t="str">
            <v/>
          </cell>
        </row>
        <row r="1574">
          <cell r="A1574" t="str">
            <v/>
          </cell>
        </row>
        <row r="1575">
          <cell r="A1575" t="str">
            <v/>
          </cell>
        </row>
        <row r="1576">
          <cell r="A1576" t="str">
            <v/>
          </cell>
        </row>
        <row r="1577">
          <cell r="A1577" t="str">
            <v/>
          </cell>
        </row>
        <row r="1578">
          <cell r="A1578" t="str">
            <v/>
          </cell>
        </row>
        <row r="1579">
          <cell r="A1579" t="str">
            <v/>
          </cell>
        </row>
        <row r="1580">
          <cell r="A1580" t="str">
            <v/>
          </cell>
        </row>
        <row r="1581">
          <cell r="A1581" t="str">
            <v/>
          </cell>
        </row>
        <row r="1582">
          <cell r="A1582" t="str">
            <v/>
          </cell>
        </row>
        <row r="1583">
          <cell r="A1583" t="str">
            <v/>
          </cell>
        </row>
        <row r="1584">
          <cell r="A1584" t="str">
            <v/>
          </cell>
        </row>
        <row r="1585">
          <cell r="A1585" t="str">
            <v/>
          </cell>
        </row>
        <row r="1586">
          <cell r="A1586" t="str">
            <v/>
          </cell>
        </row>
        <row r="1587">
          <cell r="A1587" t="str">
            <v/>
          </cell>
        </row>
        <row r="1588">
          <cell r="A1588" t="str">
            <v/>
          </cell>
        </row>
        <row r="1589">
          <cell r="A1589" t="str">
            <v/>
          </cell>
        </row>
        <row r="1590">
          <cell r="A1590" t="str">
            <v/>
          </cell>
        </row>
        <row r="1591">
          <cell r="A1591" t="str">
            <v/>
          </cell>
        </row>
        <row r="1592">
          <cell r="A1592" t="str">
            <v/>
          </cell>
        </row>
        <row r="1593">
          <cell r="A1593" t="str">
            <v/>
          </cell>
        </row>
        <row r="1594">
          <cell r="A1594" t="str">
            <v/>
          </cell>
        </row>
        <row r="1595">
          <cell r="A1595" t="str">
            <v/>
          </cell>
        </row>
        <row r="1596">
          <cell r="A1596" t="str">
            <v/>
          </cell>
        </row>
        <row r="1597">
          <cell r="A1597" t="str">
            <v/>
          </cell>
        </row>
        <row r="1598">
          <cell r="A1598" t="str">
            <v/>
          </cell>
        </row>
        <row r="1599">
          <cell r="A1599" t="str">
            <v/>
          </cell>
        </row>
        <row r="1600">
          <cell r="A1600" t="str">
            <v/>
          </cell>
        </row>
        <row r="1601">
          <cell r="A1601" t="str">
            <v/>
          </cell>
        </row>
        <row r="1602">
          <cell r="A1602" t="str">
            <v/>
          </cell>
        </row>
        <row r="1603">
          <cell r="A1603" t="str">
            <v/>
          </cell>
        </row>
        <row r="1604">
          <cell r="A1604" t="str">
            <v/>
          </cell>
        </row>
        <row r="1605">
          <cell r="A1605" t="str">
            <v/>
          </cell>
        </row>
        <row r="1606">
          <cell r="A1606" t="str">
            <v/>
          </cell>
        </row>
        <row r="1607">
          <cell r="A1607" t="str">
            <v/>
          </cell>
        </row>
        <row r="1608">
          <cell r="A1608" t="str">
            <v/>
          </cell>
        </row>
        <row r="1609">
          <cell r="A1609" t="str">
            <v/>
          </cell>
        </row>
        <row r="1610">
          <cell r="A1610" t="str">
            <v/>
          </cell>
        </row>
        <row r="1611">
          <cell r="A1611" t="str">
            <v/>
          </cell>
        </row>
        <row r="1612">
          <cell r="A1612" t="str">
            <v/>
          </cell>
        </row>
        <row r="1613">
          <cell r="A1613" t="str">
            <v/>
          </cell>
        </row>
        <row r="1614">
          <cell r="A1614" t="str">
            <v/>
          </cell>
        </row>
        <row r="1615">
          <cell r="A1615" t="str">
            <v/>
          </cell>
        </row>
        <row r="1616">
          <cell r="A1616" t="str">
            <v/>
          </cell>
        </row>
        <row r="1617">
          <cell r="A1617" t="str">
            <v/>
          </cell>
        </row>
        <row r="1618">
          <cell r="A1618" t="str">
            <v/>
          </cell>
        </row>
        <row r="1619">
          <cell r="A1619" t="str">
            <v/>
          </cell>
        </row>
        <row r="1620">
          <cell r="A1620" t="str">
            <v/>
          </cell>
        </row>
        <row r="1621">
          <cell r="A1621" t="str">
            <v/>
          </cell>
        </row>
        <row r="1622">
          <cell r="A1622" t="str">
            <v/>
          </cell>
        </row>
        <row r="1623">
          <cell r="A1623" t="str">
            <v/>
          </cell>
        </row>
        <row r="1624">
          <cell r="A1624" t="str">
            <v/>
          </cell>
        </row>
        <row r="1625">
          <cell r="A1625" t="str">
            <v/>
          </cell>
        </row>
        <row r="1626">
          <cell r="A1626" t="str">
            <v/>
          </cell>
        </row>
        <row r="1627">
          <cell r="A1627" t="str">
            <v/>
          </cell>
        </row>
        <row r="1628">
          <cell r="A1628" t="str">
            <v/>
          </cell>
        </row>
        <row r="1629">
          <cell r="A1629" t="str">
            <v/>
          </cell>
        </row>
        <row r="1630">
          <cell r="A1630" t="str">
            <v/>
          </cell>
        </row>
        <row r="1631">
          <cell r="A1631" t="str">
            <v/>
          </cell>
        </row>
        <row r="1632">
          <cell r="A1632" t="str">
            <v/>
          </cell>
        </row>
        <row r="1633">
          <cell r="A1633" t="str">
            <v/>
          </cell>
        </row>
        <row r="1634">
          <cell r="A1634" t="str">
            <v/>
          </cell>
        </row>
        <row r="1635">
          <cell r="A1635" t="str">
            <v/>
          </cell>
        </row>
        <row r="1636">
          <cell r="A1636" t="str">
            <v/>
          </cell>
        </row>
        <row r="1637">
          <cell r="A1637" t="str">
            <v/>
          </cell>
        </row>
        <row r="1638">
          <cell r="A1638" t="str">
            <v/>
          </cell>
        </row>
        <row r="1639">
          <cell r="A1639" t="str">
            <v/>
          </cell>
        </row>
        <row r="1640">
          <cell r="A1640" t="str">
            <v/>
          </cell>
        </row>
        <row r="1641">
          <cell r="A1641" t="str">
            <v/>
          </cell>
        </row>
        <row r="1642">
          <cell r="A1642" t="str">
            <v/>
          </cell>
        </row>
        <row r="1643">
          <cell r="A1643" t="str">
            <v/>
          </cell>
        </row>
        <row r="1644">
          <cell r="A1644" t="str">
            <v/>
          </cell>
        </row>
        <row r="1645">
          <cell r="A1645" t="str">
            <v/>
          </cell>
        </row>
        <row r="1646">
          <cell r="A1646" t="str">
            <v/>
          </cell>
        </row>
        <row r="1647">
          <cell r="A1647" t="str">
            <v/>
          </cell>
        </row>
        <row r="1648">
          <cell r="A1648" t="str">
            <v/>
          </cell>
        </row>
        <row r="1649">
          <cell r="A1649" t="str">
            <v/>
          </cell>
        </row>
        <row r="1650">
          <cell r="A1650" t="str">
            <v/>
          </cell>
        </row>
        <row r="1651">
          <cell r="A1651" t="str">
            <v/>
          </cell>
        </row>
        <row r="1652">
          <cell r="A1652" t="str">
            <v/>
          </cell>
        </row>
        <row r="1653">
          <cell r="A1653" t="str">
            <v/>
          </cell>
        </row>
        <row r="1654">
          <cell r="A1654" t="str">
            <v/>
          </cell>
        </row>
        <row r="1655">
          <cell r="A1655" t="str">
            <v/>
          </cell>
        </row>
        <row r="1656">
          <cell r="A1656" t="str">
            <v/>
          </cell>
        </row>
        <row r="1657">
          <cell r="A1657" t="str">
            <v/>
          </cell>
        </row>
        <row r="1658">
          <cell r="A1658" t="str">
            <v/>
          </cell>
        </row>
        <row r="1659">
          <cell r="A1659" t="str">
            <v/>
          </cell>
        </row>
        <row r="1660">
          <cell r="A1660" t="str">
            <v/>
          </cell>
        </row>
        <row r="1661">
          <cell r="A1661" t="str">
            <v/>
          </cell>
        </row>
        <row r="1662">
          <cell r="A1662" t="str">
            <v/>
          </cell>
        </row>
        <row r="1663">
          <cell r="A1663" t="str">
            <v/>
          </cell>
        </row>
        <row r="1664">
          <cell r="A1664" t="str">
            <v/>
          </cell>
        </row>
        <row r="1665">
          <cell r="A1665" t="str">
            <v/>
          </cell>
        </row>
        <row r="1666">
          <cell r="A1666" t="str">
            <v/>
          </cell>
        </row>
        <row r="1667">
          <cell r="A1667" t="str">
            <v/>
          </cell>
        </row>
        <row r="1668">
          <cell r="A1668" t="str">
            <v/>
          </cell>
        </row>
        <row r="1669">
          <cell r="A1669" t="str">
            <v/>
          </cell>
        </row>
        <row r="1670">
          <cell r="A1670" t="str">
            <v/>
          </cell>
        </row>
        <row r="1671">
          <cell r="A1671" t="str">
            <v/>
          </cell>
        </row>
        <row r="1672">
          <cell r="A1672" t="str">
            <v/>
          </cell>
        </row>
        <row r="1673">
          <cell r="A1673" t="str">
            <v/>
          </cell>
        </row>
        <row r="1674">
          <cell r="A1674" t="str">
            <v/>
          </cell>
        </row>
        <row r="1675">
          <cell r="A1675" t="str">
            <v/>
          </cell>
        </row>
        <row r="1676">
          <cell r="A1676" t="str">
            <v/>
          </cell>
        </row>
        <row r="1677">
          <cell r="A1677" t="str">
            <v/>
          </cell>
        </row>
        <row r="1678">
          <cell r="A1678" t="str">
            <v/>
          </cell>
        </row>
        <row r="1679">
          <cell r="A1679" t="str">
            <v/>
          </cell>
        </row>
        <row r="1680">
          <cell r="A1680" t="str">
            <v/>
          </cell>
        </row>
        <row r="1681">
          <cell r="A1681" t="str">
            <v/>
          </cell>
        </row>
        <row r="1682">
          <cell r="A1682" t="str">
            <v/>
          </cell>
        </row>
        <row r="1683">
          <cell r="A1683" t="str">
            <v/>
          </cell>
        </row>
        <row r="1684">
          <cell r="A1684" t="str">
            <v/>
          </cell>
        </row>
        <row r="1685">
          <cell r="A1685" t="str">
            <v/>
          </cell>
        </row>
        <row r="1686">
          <cell r="A1686" t="str">
            <v/>
          </cell>
        </row>
        <row r="1687">
          <cell r="A1687" t="str">
            <v/>
          </cell>
        </row>
        <row r="1688">
          <cell r="A1688" t="str">
            <v/>
          </cell>
        </row>
        <row r="1689">
          <cell r="A1689" t="str">
            <v/>
          </cell>
        </row>
        <row r="1690">
          <cell r="A1690" t="str">
            <v/>
          </cell>
        </row>
        <row r="1691">
          <cell r="A1691" t="str">
            <v/>
          </cell>
        </row>
        <row r="1692">
          <cell r="A1692" t="str">
            <v/>
          </cell>
        </row>
        <row r="1693">
          <cell r="A1693" t="str">
            <v/>
          </cell>
        </row>
        <row r="1694">
          <cell r="A1694" t="str">
            <v/>
          </cell>
        </row>
        <row r="1695">
          <cell r="A1695" t="str">
            <v/>
          </cell>
        </row>
        <row r="1696">
          <cell r="A1696" t="str">
            <v/>
          </cell>
        </row>
        <row r="1697">
          <cell r="A1697" t="str">
            <v/>
          </cell>
        </row>
        <row r="1698">
          <cell r="A1698" t="str">
            <v/>
          </cell>
        </row>
        <row r="1699">
          <cell r="A1699" t="str">
            <v/>
          </cell>
        </row>
        <row r="1700">
          <cell r="A1700" t="str">
            <v/>
          </cell>
        </row>
        <row r="1701">
          <cell r="A1701" t="str">
            <v/>
          </cell>
        </row>
        <row r="1702">
          <cell r="A1702" t="str">
            <v/>
          </cell>
        </row>
        <row r="1703">
          <cell r="A1703" t="str">
            <v/>
          </cell>
        </row>
        <row r="1704">
          <cell r="A1704" t="str">
            <v/>
          </cell>
        </row>
        <row r="1705">
          <cell r="A1705" t="str">
            <v/>
          </cell>
        </row>
        <row r="1706">
          <cell r="A1706" t="str">
            <v/>
          </cell>
        </row>
        <row r="1707">
          <cell r="A1707" t="str">
            <v/>
          </cell>
        </row>
        <row r="1708">
          <cell r="A1708" t="str">
            <v/>
          </cell>
        </row>
        <row r="1709">
          <cell r="A1709" t="str">
            <v/>
          </cell>
        </row>
        <row r="1710">
          <cell r="A1710" t="str">
            <v/>
          </cell>
        </row>
        <row r="1711">
          <cell r="A1711" t="str">
            <v/>
          </cell>
        </row>
        <row r="1712">
          <cell r="A1712" t="str">
            <v/>
          </cell>
        </row>
        <row r="1713">
          <cell r="A1713" t="str">
            <v/>
          </cell>
        </row>
        <row r="1714">
          <cell r="A1714" t="str">
            <v/>
          </cell>
        </row>
        <row r="1715">
          <cell r="A1715" t="str">
            <v/>
          </cell>
        </row>
        <row r="1716">
          <cell r="A1716" t="str">
            <v/>
          </cell>
        </row>
        <row r="1717">
          <cell r="A1717" t="str">
            <v/>
          </cell>
        </row>
        <row r="1718">
          <cell r="A1718" t="str">
            <v/>
          </cell>
        </row>
        <row r="1719">
          <cell r="A1719" t="str">
            <v/>
          </cell>
        </row>
        <row r="1720">
          <cell r="A1720" t="str">
            <v/>
          </cell>
        </row>
        <row r="1721">
          <cell r="A1721" t="str">
            <v/>
          </cell>
        </row>
        <row r="1722">
          <cell r="A1722" t="str">
            <v/>
          </cell>
        </row>
        <row r="1723">
          <cell r="A1723" t="str">
            <v/>
          </cell>
        </row>
        <row r="1724">
          <cell r="A1724" t="str">
            <v/>
          </cell>
        </row>
        <row r="1725">
          <cell r="A1725" t="str">
            <v/>
          </cell>
        </row>
        <row r="1726">
          <cell r="A1726" t="str">
            <v/>
          </cell>
        </row>
        <row r="1727">
          <cell r="A1727" t="str">
            <v/>
          </cell>
        </row>
        <row r="1728">
          <cell r="A1728" t="str">
            <v/>
          </cell>
        </row>
        <row r="1729">
          <cell r="A1729" t="str">
            <v/>
          </cell>
        </row>
        <row r="1730">
          <cell r="A1730" t="str">
            <v/>
          </cell>
        </row>
        <row r="1731">
          <cell r="A1731" t="str">
            <v/>
          </cell>
        </row>
        <row r="1732">
          <cell r="A1732" t="str">
            <v/>
          </cell>
        </row>
        <row r="1733">
          <cell r="A1733" t="str">
            <v/>
          </cell>
        </row>
        <row r="1734">
          <cell r="A1734" t="str">
            <v/>
          </cell>
        </row>
        <row r="1735">
          <cell r="A1735" t="str">
            <v/>
          </cell>
        </row>
        <row r="1736">
          <cell r="A1736" t="str">
            <v/>
          </cell>
        </row>
        <row r="1737">
          <cell r="A1737" t="str">
            <v/>
          </cell>
        </row>
        <row r="1738">
          <cell r="A1738" t="str">
            <v/>
          </cell>
        </row>
        <row r="1739">
          <cell r="A1739" t="str">
            <v/>
          </cell>
        </row>
        <row r="1740">
          <cell r="A1740" t="str">
            <v/>
          </cell>
        </row>
        <row r="1741">
          <cell r="A1741" t="str">
            <v/>
          </cell>
        </row>
        <row r="1742">
          <cell r="A1742" t="str">
            <v/>
          </cell>
        </row>
        <row r="1743">
          <cell r="A1743" t="str">
            <v/>
          </cell>
        </row>
        <row r="1744">
          <cell r="A1744" t="str">
            <v/>
          </cell>
        </row>
        <row r="1745">
          <cell r="A1745" t="str">
            <v/>
          </cell>
        </row>
        <row r="1746">
          <cell r="A1746" t="str">
            <v/>
          </cell>
        </row>
        <row r="1747">
          <cell r="A1747" t="str">
            <v/>
          </cell>
        </row>
        <row r="1748">
          <cell r="A1748" t="str">
            <v/>
          </cell>
        </row>
        <row r="1749">
          <cell r="A1749" t="str">
            <v/>
          </cell>
        </row>
        <row r="1750">
          <cell r="A1750" t="str">
            <v/>
          </cell>
        </row>
        <row r="1751">
          <cell r="A1751" t="str">
            <v/>
          </cell>
        </row>
        <row r="1752">
          <cell r="A1752" t="str">
            <v/>
          </cell>
        </row>
        <row r="1753">
          <cell r="A1753" t="str">
            <v/>
          </cell>
        </row>
        <row r="1754">
          <cell r="A1754" t="str">
            <v/>
          </cell>
        </row>
        <row r="1755">
          <cell r="A1755" t="str">
            <v/>
          </cell>
        </row>
        <row r="1756">
          <cell r="A1756" t="str">
            <v/>
          </cell>
        </row>
        <row r="1757">
          <cell r="A1757" t="str">
            <v/>
          </cell>
        </row>
        <row r="1758">
          <cell r="A1758" t="str">
            <v/>
          </cell>
        </row>
        <row r="1759">
          <cell r="A1759" t="str">
            <v/>
          </cell>
        </row>
        <row r="1760">
          <cell r="A1760" t="str">
            <v/>
          </cell>
        </row>
        <row r="1761">
          <cell r="A1761" t="str">
            <v/>
          </cell>
        </row>
        <row r="1762">
          <cell r="A1762" t="str">
            <v/>
          </cell>
        </row>
        <row r="1763">
          <cell r="A1763" t="str">
            <v/>
          </cell>
        </row>
        <row r="1764">
          <cell r="A1764" t="str">
            <v/>
          </cell>
        </row>
        <row r="1765">
          <cell r="A1765" t="str">
            <v/>
          </cell>
        </row>
        <row r="1766">
          <cell r="A1766" t="str">
            <v/>
          </cell>
        </row>
        <row r="1767">
          <cell r="A1767" t="str">
            <v/>
          </cell>
        </row>
        <row r="1768">
          <cell r="A1768" t="str">
            <v/>
          </cell>
        </row>
        <row r="1769">
          <cell r="A1769" t="str">
            <v/>
          </cell>
        </row>
        <row r="1770">
          <cell r="A1770" t="str">
            <v/>
          </cell>
        </row>
        <row r="1771">
          <cell r="A1771" t="str">
            <v/>
          </cell>
        </row>
        <row r="1772">
          <cell r="A1772" t="str">
            <v/>
          </cell>
        </row>
        <row r="1773">
          <cell r="A1773" t="str">
            <v/>
          </cell>
        </row>
        <row r="1774">
          <cell r="A1774" t="str">
            <v/>
          </cell>
        </row>
        <row r="1775">
          <cell r="A1775" t="str">
            <v/>
          </cell>
        </row>
        <row r="1776">
          <cell r="A1776" t="str">
            <v/>
          </cell>
        </row>
        <row r="1777">
          <cell r="A1777" t="str">
            <v/>
          </cell>
        </row>
        <row r="1778">
          <cell r="A1778" t="str">
            <v/>
          </cell>
        </row>
        <row r="1779">
          <cell r="A1779" t="str">
            <v/>
          </cell>
        </row>
        <row r="1780">
          <cell r="A1780" t="str">
            <v/>
          </cell>
        </row>
        <row r="1781">
          <cell r="A1781" t="str">
            <v/>
          </cell>
        </row>
        <row r="1782">
          <cell r="A1782" t="str">
            <v/>
          </cell>
        </row>
        <row r="1783">
          <cell r="A1783" t="str">
            <v/>
          </cell>
        </row>
        <row r="1784">
          <cell r="A1784" t="str">
            <v/>
          </cell>
        </row>
        <row r="1785">
          <cell r="A1785" t="str">
            <v/>
          </cell>
        </row>
        <row r="1786">
          <cell r="A1786" t="str">
            <v/>
          </cell>
        </row>
        <row r="1787">
          <cell r="A1787" t="str">
            <v/>
          </cell>
        </row>
        <row r="1788">
          <cell r="A1788" t="str">
            <v/>
          </cell>
        </row>
        <row r="1789">
          <cell r="A1789" t="str">
            <v/>
          </cell>
        </row>
        <row r="1790">
          <cell r="A1790" t="str">
            <v/>
          </cell>
        </row>
        <row r="1791">
          <cell r="A1791" t="str">
            <v/>
          </cell>
        </row>
        <row r="1792">
          <cell r="A1792" t="str">
            <v/>
          </cell>
        </row>
        <row r="1793">
          <cell r="A1793" t="str">
            <v/>
          </cell>
        </row>
        <row r="1794">
          <cell r="A1794" t="str">
            <v/>
          </cell>
        </row>
        <row r="1795">
          <cell r="A1795" t="str">
            <v/>
          </cell>
        </row>
        <row r="1796">
          <cell r="A1796" t="str">
            <v/>
          </cell>
        </row>
        <row r="1797">
          <cell r="A1797" t="str">
            <v/>
          </cell>
        </row>
        <row r="1798">
          <cell r="A1798" t="str">
            <v/>
          </cell>
        </row>
        <row r="1799">
          <cell r="A1799" t="str">
            <v/>
          </cell>
        </row>
        <row r="1800">
          <cell r="A1800" t="str">
            <v/>
          </cell>
        </row>
        <row r="1801">
          <cell r="A1801" t="str">
            <v/>
          </cell>
        </row>
        <row r="1802">
          <cell r="A1802" t="str">
            <v/>
          </cell>
        </row>
        <row r="1803">
          <cell r="A1803" t="str">
            <v/>
          </cell>
        </row>
        <row r="1804">
          <cell r="A1804" t="str">
            <v/>
          </cell>
        </row>
        <row r="1805">
          <cell r="A1805" t="str">
            <v/>
          </cell>
        </row>
        <row r="1806">
          <cell r="A1806" t="str">
            <v/>
          </cell>
        </row>
        <row r="1807">
          <cell r="A1807" t="str">
            <v/>
          </cell>
        </row>
        <row r="1808">
          <cell r="A1808" t="str">
            <v/>
          </cell>
        </row>
        <row r="1809">
          <cell r="A1809" t="str">
            <v/>
          </cell>
        </row>
        <row r="1810">
          <cell r="A1810" t="str">
            <v/>
          </cell>
        </row>
        <row r="1811">
          <cell r="A1811" t="str">
            <v/>
          </cell>
        </row>
        <row r="1812">
          <cell r="A1812" t="str">
            <v/>
          </cell>
        </row>
        <row r="1813">
          <cell r="A1813" t="str">
            <v/>
          </cell>
        </row>
        <row r="1814">
          <cell r="A1814" t="str">
            <v/>
          </cell>
        </row>
        <row r="1815">
          <cell r="A1815" t="str">
            <v/>
          </cell>
        </row>
        <row r="1816">
          <cell r="A1816" t="str">
            <v/>
          </cell>
        </row>
        <row r="1817">
          <cell r="A1817" t="str">
            <v/>
          </cell>
        </row>
        <row r="1818">
          <cell r="A1818" t="str">
            <v/>
          </cell>
        </row>
        <row r="1819">
          <cell r="A1819" t="str">
            <v/>
          </cell>
        </row>
        <row r="1820">
          <cell r="A1820" t="str">
            <v/>
          </cell>
        </row>
        <row r="1821">
          <cell r="A1821" t="str">
            <v/>
          </cell>
        </row>
        <row r="1822">
          <cell r="A1822" t="str">
            <v/>
          </cell>
        </row>
        <row r="1823">
          <cell r="A1823" t="str">
            <v/>
          </cell>
        </row>
        <row r="1824">
          <cell r="A1824" t="str">
            <v/>
          </cell>
        </row>
        <row r="1825">
          <cell r="A1825" t="str">
            <v/>
          </cell>
        </row>
        <row r="1826">
          <cell r="A1826" t="str">
            <v/>
          </cell>
        </row>
        <row r="1827">
          <cell r="A1827" t="str">
            <v/>
          </cell>
        </row>
        <row r="1828">
          <cell r="A1828" t="str">
            <v/>
          </cell>
        </row>
        <row r="1829">
          <cell r="A1829" t="str">
            <v/>
          </cell>
        </row>
        <row r="1830">
          <cell r="A1830" t="str">
            <v/>
          </cell>
        </row>
        <row r="1831">
          <cell r="A1831" t="str">
            <v/>
          </cell>
        </row>
        <row r="1832">
          <cell r="A1832" t="str">
            <v/>
          </cell>
        </row>
        <row r="1833">
          <cell r="A1833" t="str">
            <v/>
          </cell>
        </row>
        <row r="1834">
          <cell r="A1834" t="str">
            <v/>
          </cell>
        </row>
        <row r="1835">
          <cell r="A1835" t="str">
            <v/>
          </cell>
        </row>
        <row r="1836">
          <cell r="A1836" t="str">
            <v/>
          </cell>
        </row>
        <row r="1837">
          <cell r="A1837" t="str">
            <v/>
          </cell>
        </row>
        <row r="1838">
          <cell r="A1838" t="str">
            <v/>
          </cell>
        </row>
        <row r="1839">
          <cell r="A1839" t="str">
            <v/>
          </cell>
        </row>
        <row r="1840">
          <cell r="A1840" t="str">
            <v/>
          </cell>
        </row>
        <row r="1841">
          <cell r="A1841" t="str">
            <v/>
          </cell>
        </row>
        <row r="1842">
          <cell r="A1842" t="str">
            <v/>
          </cell>
        </row>
        <row r="1843">
          <cell r="A1843" t="str">
            <v/>
          </cell>
        </row>
        <row r="1844">
          <cell r="A1844" t="str">
            <v/>
          </cell>
        </row>
        <row r="1845">
          <cell r="A1845" t="str">
            <v/>
          </cell>
        </row>
        <row r="1846">
          <cell r="A1846" t="str">
            <v/>
          </cell>
        </row>
        <row r="1847">
          <cell r="A1847" t="str">
            <v/>
          </cell>
        </row>
        <row r="1848">
          <cell r="A1848" t="str">
            <v/>
          </cell>
        </row>
        <row r="1849">
          <cell r="A1849" t="str">
            <v/>
          </cell>
        </row>
        <row r="1850">
          <cell r="A1850" t="str">
            <v/>
          </cell>
        </row>
        <row r="1851">
          <cell r="A1851" t="str">
            <v/>
          </cell>
        </row>
        <row r="1852">
          <cell r="A1852" t="str">
            <v/>
          </cell>
        </row>
        <row r="1853">
          <cell r="A1853" t="str">
            <v/>
          </cell>
        </row>
        <row r="1854">
          <cell r="A1854" t="str">
            <v/>
          </cell>
        </row>
        <row r="1855">
          <cell r="A1855" t="str">
            <v/>
          </cell>
        </row>
        <row r="1856">
          <cell r="A1856" t="str">
            <v/>
          </cell>
        </row>
        <row r="1857">
          <cell r="A1857" t="str">
            <v/>
          </cell>
        </row>
        <row r="1858">
          <cell r="A1858" t="str">
            <v/>
          </cell>
        </row>
        <row r="1859">
          <cell r="A1859" t="str">
            <v/>
          </cell>
        </row>
        <row r="1860">
          <cell r="A1860" t="str">
            <v/>
          </cell>
        </row>
        <row r="1861">
          <cell r="A1861" t="str">
            <v/>
          </cell>
        </row>
        <row r="1862">
          <cell r="A1862" t="str">
            <v/>
          </cell>
        </row>
        <row r="1863">
          <cell r="A1863" t="str">
            <v/>
          </cell>
        </row>
        <row r="1864">
          <cell r="A1864" t="str">
            <v/>
          </cell>
        </row>
        <row r="1865">
          <cell r="A1865" t="str">
            <v/>
          </cell>
        </row>
        <row r="1866">
          <cell r="A1866" t="str">
            <v/>
          </cell>
        </row>
        <row r="1867">
          <cell r="A1867" t="str">
            <v/>
          </cell>
        </row>
        <row r="1868">
          <cell r="A1868" t="str">
            <v/>
          </cell>
        </row>
        <row r="1869">
          <cell r="A1869" t="str">
            <v/>
          </cell>
        </row>
        <row r="1870">
          <cell r="A1870" t="str">
            <v/>
          </cell>
        </row>
        <row r="1871">
          <cell r="A1871" t="str">
            <v/>
          </cell>
        </row>
        <row r="1872">
          <cell r="A1872" t="str">
            <v/>
          </cell>
        </row>
        <row r="1873">
          <cell r="A1873" t="str">
            <v/>
          </cell>
        </row>
        <row r="1874">
          <cell r="A1874" t="str">
            <v/>
          </cell>
        </row>
        <row r="1875">
          <cell r="A1875" t="str">
            <v/>
          </cell>
        </row>
        <row r="1876">
          <cell r="A1876" t="str">
            <v/>
          </cell>
        </row>
        <row r="1877">
          <cell r="A1877" t="str">
            <v/>
          </cell>
        </row>
        <row r="1878">
          <cell r="A1878" t="str">
            <v/>
          </cell>
        </row>
        <row r="1879">
          <cell r="A1879" t="str">
            <v/>
          </cell>
        </row>
        <row r="1880">
          <cell r="A1880" t="str">
            <v/>
          </cell>
        </row>
        <row r="1881">
          <cell r="A1881" t="str">
            <v/>
          </cell>
        </row>
        <row r="1882">
          <cell r="A1882" t="str">
            <v/>
          </cell>
        </row>
        <row r="1883">
          <cell r="A1883" t="str">
            <v/>
          </cell>
        </row>
        <row r="1884">
          <cell r="A1884" t="str">
            <v/>
          </cell>
        </row>
        <row r="1885">
          <cell r="A1885" t="str">
            <v/>
          </cell>
        </row>
        <row r="1886">
          <cell r="A1886" t="str">
            <v/>
          </cell>
        </row>
        <row r="1887">
          <cell r="A1887" t="str">
            <v/>
          </cell>
        </row>
        <row r="1888">
          <cell r="A1888" t="str">
            <v/>
          </cell>
        </row>
        <row r="1889">
          <cell r="A1889" t="str">
            <v/>
          </cell>
        </row>
        <row r="1890">
          <cell r="A1890" t="str">
            <v/>
          </cell>
        </row>
        <row r="1891">
          <cell r="A1891" t="str">
            <v/>
          </cell>
        </row>
        <row r="1892">
          <cell r="A1892" t="str">
            <v/>
          </cell>
        </row>
        <row r="1893">
          <cell r="A1893" t="str">
            <v/>
          </cell>
        </row>
        <row r="1894">
          <cell r="A1894" t="str">
            <v/>
          </cell>
        </row>
        <row r="1895">
          <cell r="A1895" t="str">
            <v/>
          </cell>
        </row>
        <row r="1896">
          <cell r="A1896" t="str">
            <v/>
          </cell>
        </row>
        <row r="1897">
          <cell r="A1897" t="str">
            <v/>
          </cell>
        </row>
        <row r="1898">
          <cell r="A1898" t="str">
            <v/>
          </cell>
        </row>
        <row r="1899">
          <cell r="A1899" t="str">
            <v/>
          </cell>
        </row>
        <row r="1900">
          <cell r="A1900" t="str">
            <v/>
          </cell>
        </row>
        <row r="1901">
          <cell r="A1901" t="str">
            <v/>
          </cell>
        </row>
        <row r="1902">
          <cell r="A1902" t="str">
            <v/>
          </cell>
        </row>
        <row r="1903">
          <cell r="A1903" t="str">
            <v/>
          </cell>
        </row>
        <row r="1904">
          <cell r="A1904" t="str">
            <v/>
          </cell>
        </row>
        <row r="1905">
          <cell r="A1905" t="str">
            <v/>
          </cell>
        </row>
        <row r="1906">
          <cell r="A1906" t="str">
            <v/>
          </cell>
        </row>
        <row r="1907">
          <cell r="A1907" t="str">
            <v/>
          </cell>
        </row>
        <row r="1908">
          <cell r="A1908" t="str">
            <v/>
          </cell>
        </row>
        <row r="1909">
          <cell r="A1909" t="str">
            <v/>
          </cell>
        </row>
        <row r="1910">
          <cell r="A1910" t="str">
            <v/>
          </cell>
        </row>
        <row r="1911">
          <cell r="A1911" t="str">
            <v/>
          </cell>
        </row>
        <row r="1912">
          <cell r="A1912" t="str">
            <v/>
          </cell>
        </row>
        <row r="1913">
          <cell r="A1913" t="str">
            <v/>
          </cell>
        </row>
        <row r="1914">
          <cell r="A1914" t="str">
            <v/>
          </cell>
        </row>
        <row r="1915">
          <cell r="A1915" t="str">
            <v/>
          </cell>
        </row>
        <row r="1916">
          <cell r="A1916" t="str">
            <v/>
          </cell>
        </row>
        <row r="1917">
          <cell r="A1917" t="str">
            <v/>
          </cell>
        </row>
        <row r="1918">
          <cell r="A1918" t="str">
            <v/>
          </cell>
        </row>
        <row r="1919">
          <cell r="A1919" t="str">
            <v/>
          </cell>
        </row>
        <row r="1920">
          <cell r="A1920" t="str">
            <v/>
          </cell>
        </row>
        <row r="1921">
          <cell r="A1921" t="str">
            <v/>
          </cell>
        </row>
        <row r="1922">
          <cell r="A1922" t="str">
            <v/>
          </cell>
        </row>
        <row r="1923">
          <cell r="A1923" t="str">
            <v/>
          </cell>
        </row>
        <row r="1924">
          <cell r="A1924" t="str">
            <v/>
          </cell>
        </row>
        <row r="1925">
          <cell r="A1925" t="str">
            <v/>
          </cell>
        </row>
        <row r="1926">
          <cell r="A1926" t="str">
            <v/>
          </cell>
        </row>
        <row r="1927">
          <cell r="A1927" t="str">
            <v/>
          </cell>
        </row>
        <row r="1928">
          <cell r="A1928" t="str">
            <v/>
          </cell>
        </row>
        <row r="1929">
          <cell r="A1929" t="str">
            <v/>
          </cell>
        </row>
        <row r="1930">
          <cell r="A1930" t="str">
            <v/>
          </cell>
        </row>
        <row r="1931">
          <cell r="A1931" t="str">
            <v/>
          </cell>
        </row>
        <row r="1932">
          <cell r="A1932" t="str">
            <v/>
          </cell>
        </row>
        <row r="1933">
          <cell r="A1933" t="str">
            <v/>
          </cell>
        </row>
        <row r="1934">
          <cell r="A1934" t="str">
            <v/>
          </cell>
        </row>
        <row r="1935">
          <cell r="A1935" t="str">
            <v/>
          </cell>
        </row>
        <row r="1936">
          <cell r="A1936" t="str">
            <v/>
          </cell>
        </row>
        <row r="1937">
          <cell r="A1937" t="str">
            <v/>
          </cell>
        </row>
        <row r="1938">
          <cell r="A1938" t="str">
            <v/>
          </cell>
        </row>
        <row r="1939">
          <cell r="A1939" t="str">
            <v/>
          </cell>
        </row>
        <row r="1940">
          <cell r="A1940" t="str">
            <v/>
          </cell>
        </row>
        <row r="1941">
          <cell r="A1941" t="str">
            <v/>
          </cell>
        </row>
        <row r="1942">
          <cell r="A1942" t="str">
            <v/>
          </cell>
        </row>
        <row r="1943">
          <cell r="A1943" t="str">
            <v/>
          </cell>
        </row>
        <row r="1944">
          <cell r="A1944" t="str">
            <v/>
          </cell>
        </row>
        <row r="1945">
          <cell r="A1945" t="str">
            <v/>
          </cell>
        </row>
        <row r="1946">
          <cell r="A1946" t="str">
            <v/>
          </cell>
        </row>
        <row r="1947">
          <cell r="A1947" t="str">
            <v/>
          </cell>
        </row>
        <row r="1948">
          <cell r="A1948" t="str">
            <v/>
          </cell>
        </row>
        <row r="1949">
          <cell r="A1949" t="str">
            <v/>
          </cell>
        </row>
        <row r="1950">
          <cell r="A1950" t="str">
            <v/>
          </cell>
        </row>
        <row r="1951">
          <cell r="A1951" t="str">
            <v/>
          </cell>
        </row>
        <row r="1952">
          <cell r="A1952" t="str">
            <v/>
          </cell>
        </row>
        <row r="1953">
          <cell r="A1953" t="str">
            <v/>
          </cell>
        </row>
        <row r="1954">
          <cell r="A1954" t="str">
            <v/>
          </cell>
        </row>
        <row r="1955">
          <cell r="A1955" t="str">
            <v/>
          </cell>
        </row>
        <row r="1956">
          <cell r="A1956" t="str">
            <v/>
          </cell>
        </row>
        <row r="1957">
          <cell r="A1957" t="str">
            <v/>
          </cell>
        </row>
        <row r="1958">
          <cell r="A1958" t="str">
            <v/>
          </cell>
        </row>
        <row r="1959">
          <cell r="A1959" t="str">
            <v/>
          </cell>
        </row>
        <row r="1960">
          <cell r="A1960" t="str">
            <v/>
          </cell>
        </row>
        <row r="1961">
          <cell r="A1961" t="str">
            <v/>
          </cell>
        </row>
        <row r="1962">
          <cell r="A1962" t="str">
            <v/>
          </cell>
        </row>
        <row r="1963">
          <cell r="A1963" t="str">
            <v/>
          </cell>
        </row>
        <row r="1964">
          <cell r="A1964" t="str">
            <v/>
          </cell>
        </row>
        <row r="1965">
          <cell r="A1965" t="str">
            <v/>
          </cell>
        </row>
        <row r="1966">
          <cell r="A1966" t="str">
            <v/>
          </cell>
        </row>
        <row r="1967">
          <cell r="A1967" t="str">
            <v/>
          </cell>
        </row>
        <row r="1968">
          <cell r="A1968" t="str">
            <v/>
          </cell>
        </row>
        <row r="1969">
          <cell r="A1969" t="str">
            <v/>
          </cell>
        </row>
        <row r="1970">
          <cell r="A1970" t="str">
            <v/>
          </cell>
        </row>
        <row r="1971">
          <cell r="A1971" t="str">
            <v/>
          </cell>
        </row>
        <row r="1972">
          <cell r="A1972" t="str">
            <v/>
          </cell>
        </row>
        <row r="1973">
          <cell r="A1973" t="str">
            <v/>
          </cell>
        </row>
        <row r="1974">
          <cell r="A1974" t="str">
            <v/>
          </cell>
        </row>
        <row r="1975">
          <cell r="A1975" t="str">
            <v/>
          </cell>
        </row>
        <row r="1976">
          <cell r="A1976" t="str">
            <v/>
          </cell>
        </row>
        <row r="1977">
          <cell r="A1977" t="str">
            <v/>
          </cell>
        </row>
        <row r="1978">
          <cell r="A1978" t="str">
            <v/>
          </cell>
        </row>
        <row r="1979">
          <cell r="A1979" t="str">
            <v/>
          </cell>
        </row>
        <row r="1980">
          <cell r="A1980" t="str">
            <v/>
          </cell>
        </row>
        <row r="1981">
          <cell r="A1981" t="str">
            <v/>
          </cell>
        </row>
        <row r="1982">
          <cell r="A1982" t="str">
            <v/>
          </cell>
        </row>
        <row r="1983">
          <cell r="A1983" t="str">
            <v/>
          </cell>
        </row>
        <row r="1984">
          <cell r="A1984" t="str">
            <v/>
          </cell>
        </row>
        <row r="1985">
          <cell r="A1985" t="str">
            <v/>
          </cell>
        </row>
        <row r="1986">
          <cell r="A1986" t="str">
            <v/>
          </cell>
        </row>
        <row r="1987">
          <cell r="A1987" t="str">
            <v/>
          </cell>
        </row>
        <row r="1988">
          <cell r="A1988" t="str">
            <v/>
          </cell>
        </row>
        <row r="1989">
          <cell r="A1989" t="str">
            <v/>
          </cell>
        </row>
        <row r="1990">
          <cell r="A1990" t="str">
            <v/>
          </cell>
        </row>
        <row r="1991">
          <cell r="A1991" t="str">
            <v/>
          </cell>
        </row>
        <row r="1992">
          <cell r="A1992" t="str">
            <v/>
          </cell>
        </row>
        <row r="1993">
          <cell r="A1993" t="str">
            <v/>
          </cell>
        </row>
        <row r="1994">
          <cell r="A1994" t="str">
            <v/>
          </cell>
        </row>
        <row r="1995">
          <cell r="A1995" t="str">
            <v/>
          </cell>
        </row>
        <row r="1996">
          <cell r="A1996" t="str">
            <v/>
          </cell>
        </row>
        <row r="1997">
          <cell r="A1997" t="str">
            <v/>
          </cell>
        </row>
        <row r="1998">
          <cell r="A1998" t="str">
            <v/>
          </cell>
        </row>
        <row r="1999">
          <cell r="A1999" t="str">
            <v/>
          </cell>
        </row>
        <row r="2000">
          <cell r="A2000" t="str">
            <v/>
          </cell>
        </row>
        <row r="2001">
          <cell r="A2001" t="str">
            <v/>
          </cell>
        </row>
        <row r="2002">
          <cell r="A2002" t="str">
            <v/>
          </cell>
        </row>
        <row r="2003">
          <cell r="A2003" t="str">
            <v/>
          </cell>
        </row>
        <row r="2004">
          <cell r="A2004" t="str">
            <v/>
          </cell>
        </row>
        <row r="2005">
          <cell r="A2005" t="str">
            <v/>
          </cell>
        </row>
        <row r="2006">
          <cell r="A2006" t="str">
            <v/>
          </cell>
        </row>
        <row r="2007">
          <cell r="A2007" t="str">
            <v/>
          </cell>
        </row>
        <row r="2008">
          <cell r="A2008" t="str">
            <v/>
          </cell>
        </row>
        <row r="2009">
          <cell r="A2009" t="str">
            <v/>
          </cell>
        </row>
        <row r="2010">
          <cell r="A2010" t="str">
            <v/>
          </cell>
        </row>
        <row r="2011">
          <cell r="A2011" t="str">
            <v/>
          </cell>
        </row>
        <row r="2012">
          <cell r="A2012" t="str">
            <v/>
          </cell>
        </row>
        <row r="2013">
          <cell r="A2013" t="str">
            <v/>
          </cell>
        </row>
        <row r="2014">
          <cell r="A2014" t="str">
            <v/>
          </cell>
        </row>
        <row r="2015">
          <cell r="A2015" t="str">
            <v/>
          </cell>
        </row>
        <row r="2016">
          <cell r="A2016" t="str">
            <v/>
          </cell>
        </row>
        <row r="2017">
          <cell r="A2017" t="str">
            <v/>
          </cell>
        </row>
        <row r="2018">
          <cell r="A2018" t="str">
            <v/>
          </cell>
        </row>
        <row r="2019">
          <cell r="A2019" t="str">
            <v/>
          </cell>
        </row>
        <row r="2020">
          <cell r="A2020" t="str">
            <v/>
          </cell>
        </row>
        <row r="2021">
          <cell r="A2021" t="str">
            <v/>
          </cell>
        </row>
        <row r="2022">
          <cell r="A2022" t="str">
            <v/>
          </cell>
        </row>
        <row r="2023">
          <cell r="A2023" t="str">
            <v/>
          </cell>
        </row>
        <row r="2024">
          <cell r="A2024" t="str">
            <v/>
          </cell>
        </row>
        <row r="2025">
          <cell r="A2025" t="str">
            <v/>
          </cell>
        </row>
        <row r="2026">
          <cell r="A2026" t="str">
            <v/>
          </cell>
        </row>
        <row r="2027">
          <cell r="A2027" t="str">
            <v/>
          </cell>
        </row>
        <row r="2028">
          <cell r="A2028" t="str">
            <v/>
          </cell>
        </row>
        <row r="2029">
          <cell r="A2029" t="str">
            <v/>
          </cell>
        </row>
        <row r="2030">
          <cell r="A2030" t="str">
            <v/>
          </cell>
        </row>
        <row r="2031">
          <cell r="A2031" t="str">
            <v/>
          </cell>
        </row>
        <row r="2032">
          <cell r="A2032" t="str">
            <v/>
          </cell>
        </row>
        <row r="2033">
          <cell r="A2033" t="str">
            <v/>
          </cell>
        </row>
        <row r="2034">
          <cell r="A2034" t="str">
            <v/>
          </cell>
        </row>
        <row r="2035">
          <cell r="A2035" t="str">
            <v/>
          </cell>
        </row>
        <row r="2036">
          <cell r="A2036" t="str">
            <v/>
          </cell>
        </row>
        <row r="2037">
          <cell r="A2037" t="str">
            <v/>
          </cell>
        </row>
        <row r="2038">
          <cell r="A2038" t="str">
            <v/>
          </cell>
        </row>
        <row r="2039">
          <cell r="A2039" t="str">
            <v/>
          </cell>
        </row>
        <row r="2040">
          <cell r="A2040" t="str">
            <v/>
          </cell>
        </row>
        <row r="2041">
          <cell r="A2041" t="str">
            <v/>
          </cell>
        </row>
        <row r="2042">
          <cell r="A2042" t="str">
            <v/>
          </cell>
        </row>
        <row r="2043">
          <cell r="A2043" t="str">
            <v/>
          </cell>
        </row>
        <row r="2044">
          <cell r="A2044" t="str">
            <v/>
          </cell>
        </row>
        <row r="2045">
          <cell r="A2045" t="str">
            <v/>
          </cell>
        </row>
        <row r="2046">
          <cell r="A2046" t="str">
            <v/>
          </cell>
        </row>
        <row r="2047">
          <cell r="A2047" t="str">
            <v/>
          </cell>
        </row>
        <row r="2048">
          <cell r="A2048" t="str">
            <v/>
          </cell>
        </row>
        <row r="2049">
          <cell r="A2049" t="str">
            <v/>
          </cell>
        </row>
        <row r="2050">
          <cell r="A2050" t="str">
            <v/>
          </cell>
        </row>
        <row r="2051">
          <cell r="A2051" t="str">
            <v/>
          </cell>
        </row>
        <row r="2052">
          <cell r="A2052" t="str">
            <v/>
          </cell>
        </row>
        <row r="2053">
          <cell r="A2053" t="str">
            <v/>
          </cell>
        </row>
        <row r="2054">
          <cell r="A2054" t="str">
            <v/>
          </cell>
        </row>
        <row r="2055">
          <cell r="A2055" t="str">
            <v/>
          </cell>
        </row>
        <row r="2056">
          <cell r="A2056" t="str">
            <v/>
          </cell>
        </row>
        <row r="2057">
          <cell r="A2057" t="str">
            <v/>
          </cell>
        </row>
        <row r="2058">
          <cell r="A2058" t="str">
            <v/>
          </cell>
        </row>
        <row r="2059">
          <cell r="A2059" t="str">
            <v/>
          </cell>
        </row>
        <row r="2060">
          <cell r="A2060" t="str">
            <v/>
          </cell>
        </row>
        <row r="2061">
          <cell r="A2061" t="str">
            <v/>
          </cell>
        </row>
        <row r="2062">
          <cell r="A2062" t="str">
            <v/>
          </cell>
        </row>
        <row r="2063">
          <cell r="A2063" t="str">
            <v/>
          </cell>
        </row>
        <row r="2064">
          <cell r="A2064" t="str">
            <v/>
          </cell>
        </row>
        <row r="2065">
          <cell r="A2065" t="str">
            <v/>
          </cell>
        </row>
        <row r="2066">
          <cell r="A2066" t="str">
            <v/>
          </cell>
        </row>
        <row r="2067">
          <cell r="A2067" t="str">
            <v/>
          </cell>
        </row>
        <row r="2068">
          <cell r="A2068" t="str">
            <v/>
          </cell>
        </row>
        <row r="2069">
          <cell r="A2069" t="str">
            <v/>
          </cell>
        </row>
        <row r="2070">
          <cell r="A2070" t="str">
            <v/>
          </cell>
        </row>
        <row r="2071">
          <cell r="A2071" t="str">
            <v/>
          </cell>
        </row>
        <row r="2072">
          <cell r="A2072" t="str">
            <v/>
          </cell>
        </row>
        <row r="2073">
          <cell r="A2073" t="str">
            <v/>
          </cell>
        </row>
        <row r="2074">
          <cell r="A2074" t="str">
            <v/>
          </cell>
        </row>
        <row r="2075">
          <cell r="A2075" t="str">
            <v/>
          </cell>
        </row>
        <row r="2076">
          <cell r="A2076" t="str">
            <v/>
          </cell>
        </row>
        <row r="2077">
          <cell r="A2077" t="str">
            <v/>
          </cell>
        </row>
        <row r="2078">
          <cell r="A2078" t="str">
            <v/>
          </cell>
        </row>
        <row r="2079">
          <cell r="A2079" t="str">
            <v/>
          </cell>
        </row>
        <row r="2080">
          <cell r="A2080" t="str">
            <v/>
          </cell>
        </row>
        <row r="2081">
          <cell r="A2081" t="str">
            <v/>
          </cell>
        </row>
        <row r="2082">
          <cell r="A2082" t="str">
            <v/>
          </cell>
        </row>
        <row r="2083">
          <cell r="A2083" t="str">
            <v/>
          </cell>
        </row>
        <row r="2084">
          <cell r="A2084" t="str">
            <v/>
          </cell>
        </row>
        <row r="2085">
          <cell r="A2085" t="str">
            <v/>
          </cell>
        </row>
        <row r="2086">
          <cell r="A2086" t="str">
            <v/>
          </cell>
        </row>
        <row r="2087">
          <cell r="A2087" t="str">
            <v/>
          </cell>
        </row>
        <row r="2088">
          <cell r="A2088" t="str">
            <v/>
          </cell>
        </row>
        <row r="2089">
          <cell r="A2089" t="str">
            <v/>
          </cell>
        </row>
        <row r="2090">
          <cell r="A2090" t="str">
            <v/>
          </cell>
        </row>
        <row r="2091">
          <cell r="A2091" t="str">
            <v/>
          </cell>
        </row>
        <row r="2092">
          <cell r="A2092" t="str">
            <v/>
          </cell>
        </row>
        <row r="2093">
          <cell r="A2093" t="str">
            <v/>
          </cell>
        </row>
        <row r="2094">
          <cell r="A2094" t="str">
            <v/>
          </cell>
        </row>
        <row r="2095">
          <cell r="A2095" t="str">
            <v/>
          </cell>
        </row>
        <row r="2096">
          <cell r="A2096" t="str">
            <v/>
          </cell>
        </row>
        <row r="2097">
          <cell r="A2097" t="str">
            <v/>
          </cell>
        </row>
        <row r="2098">
          <cell r="A2098" t="str">
            <v/>
          </cell>
        </row>
        <row r="2099">
          <cell r="A2099" t="str">
            <v/>
          </cell>
        </row>
        <row r="2100">
          <cell r="A2100" t="str">
            <v/>
          </cell>
        </row>
        <row r="2101">
          <cell r="A2101" t="str">
            <v/>
          </cell>
        </row>
        <row r="2102">
          <cell r="A2102" t="str">
            <v/>
          </cell>
        </row>
        <row r="2103">
          <cell r="A2103" t="str">
            <v/>
          </cell>
        </row>
        <row r="2104">
          <cell r="A2104" t="str">
            <v/>
          </cell>
        </row>
        <row r="2105">
          <cell r="A2105" t="str">
            <v/>
          </cell>
        </row>
        <row r="2106">
          <cell r="A2106" t="str">
            <v/>
          </cell>
        </row>
        <row r="2107">
          <cell r="A2107" t="str">
            <v/>
          </cell>
        </row>
        <row r="2108">
          <cell r="A2108" t="str">
            <v/>
          </cell>
        </row>
        <row r="2109">
          <cell r="A2109" t="str">
            <v/>
          </cell>
        </row>
        <row r="2110">
          <cell r="A2110" t="str">
            <v/>
          </cell>
        </row>
        <row r="2111">
          <cell r="A2111" t="str">
            <v/>
          </cell>
        </row>
        <row r="2112">
          <cell r="A2112" t="str">
            <v/>
          </cell>
        </row>
        <row r="2113">
          <cell r="A2113" t="str">
            <v/>
          </cell>
        </row>
        <row r="2114">
          <cell r="A2114" t="str">
            <v/>
          </cell>
        </row>
        <row r="2115">
          <cell r="A2115" t="str">
            <v/>
          </cell>
        </row>
        <row r="2116">
          <cell r="A2116" t="str">
            <v/>
          </cell>
        </row>
        <row r="2117">
          <cell r="A2117" t="str">
            <v/>
          </cell>
        </row>
        <row r="2118">
          <cell r="A2118" t="str">
            <v/>
          </cell>
        </row>
        <row r="2119">
          <cell r="A2119" t="str">
            <v/>
          </cell>
        </row>
        <row r="2120">
          <cell r="A2120" t="str">
            <v/>
          </cell>
        </row>
        <row r="2121">
          <cell r="A2121" t="str">
            <v/>
          </cell>
        </row>
        <row r="2122">
          <cell r="A2122" t="str">
            <v/>
          </cell>
        </row>
        <row r="2123">
          <cell r="A2123" t="str">
            <v/>
          </cell>
        </row>
        <row r="2124">
          <cell r="A2124" t="str">
            <v/>
          </cell>
        </row>
        <row r="2125">
          <cell r="A2125" t="str">
            <v/>
          </cell>
        </row>
        <row r="2126">
          <cell r="A2126" t="str">
            <v/>
          </cell>
        </row>
        <row r="2127">
          <cell r="A2127" t="str">
            <v/>
          </cell>
        </row>
        <row r="2128">
          <cell r="A2128" t="str">
            <v/>
          </cell>
        </row>
        <row r="2129">
          <cell r="A2129" t="str">
            <v/>
          </cell>
        </row>
        <row r="2130">
          <cell r="A2130" t="str">
            <v/>
          </cell>
        </row>
        <row r="2131">
          <cell r="A2131" t="str">
            <v/>
          </cell>
        </row>
        <row r="2132">
          <cell r="A2132" t="str">
            <v/>
          </cell>
        </row>
        <row r="2133">
          <cell r="A2133" t="str">
            <v/>
          </cell>
        </row>
        <row r="2134">
          <cell r="A2134" t="str">
            <v/>
          </cell>
        </row>
        <row r="2135">
          <cell r="A2135" t="str">
            <v/>
          </cell>
        </row>
        <row r="2136">
          <cell r="A2136" t="str">
            <v/>
          </cell>
        </row>
        <row r="2137">
          <cell r="A2137" t="str">
            <v/>
          </cell>
        </row>
        <row r="2138">
          <cell r="A2138" t="str">
            <v/>
          </cell>
        </row>
        <row r="2139">
          <cell r="A2139" t="str">
            <v/>
          </cell>
        </row>
        <row r="2140">
          <cell r="A2140" t="str">
            <v/>
          </cell>
        </row>
        <row r="2141">
          <cell r="A2141" t="str">
            <v/>
          </cell>
        </row>
        <row r="2142">
          <cell r="A2142" t="str">
            <v/>
          </cell>
        </row>
        <row r="2143">
          <cell r="A2143" t="str">
            <v/>
          </cell>
        </row>
        <row r="2144">
          <cell r="A2144" t="str">
            <v/>
          </cell>
        </row>
        <row r="2145">
          <cell r="A2145" t="str">
            <v/>
          </cell>
        </row>
        <row r="2146">
          <cell r="A2146" t="str">
            <v/>
          </cell>
        </row>
        <row r="2147">
          <cell r="A2147" t="str">
            <v/>
          </cell>
        </row>
        <row r="2148">
          <cell r="A2148" t="str">
            <v/>
          </cell>
        </row>
        <row r="2149">
          <cell r="A2149" t="str">
            <v/>
          </cell>
        </row>
        <row r="2150">
          <cell r="A2150" t="str">
            <v/>
          </cell>
        </row>
        <row r="2151">
          <cell r="A2151" t="str">
            <v/>
          </cell>
        </row>
        <row r="2152">
          <cell r="A2152" t="str">
            <v/>
          </cell>
        </row>
        <row r="2153">
          <cell r="A2153" t="str">
            <v/>
          </cell>
        </row>
        <row r="2154">
          <cell r="A2154" t="str">
            <v/>
          </cell>
        </row>
        <row r="2155">
          <cell r="A2155" t="str">
            <v/>
          </cell>
        </row>
        <row r="2156">
          <cell r="A2156" t="str">
            <v/>
          </cell>
        </row>
        <row r="2157">
          <cell r="A2157" t="str">
            <v/>
          </cell>
        </row>
        <row r="2158">
          <cell r="A2158" t="str">
            <v/>
          </cell>
        </row>
        <row r="2159">
          <cell r="A2159" t="str">
            <v/>
          </cell>
        </row>
        <row r="2160">
          <cell r="A2160" t="str">
            <v/>
          </cell>
        </row>
        <row r="2161">
          <cell r="A2161" t="str">
            <v/>
          </cell>
        </row>
        <row r="2162">
          <cell r="A2162" t="str">
            <v/>
          </cell>
        </row>
        <row r="2163">
          <cell r="A2163" t="str">
            <v/>
          </cell>
        </row>
        <row r="2164">
          <cell r="A2164" t="str">
            <v/>
          </cell>
        </row>
        <row r="2165">
          <cell r="A2165" t="str">
            <v/>
          </cell>
        </row>
        <row r="2166">
          <cell r="A2166" t="str">
            <v/>
          </cell>
        </row>
        <row r="2167">
          <cell r="A2167" t="str">
            <v/>
          </cell>
        </row>
        <row r="2168">
          <cell r="A2168" t="str">
            <v/>
          </cell>
        </row>
        <row r="2169">
          <cell r="A2169" t="str">
            <v/>
          </cell>
        </row>
        <row r="2170">
          <cell r="A2170" t="str">
            <v/>
          </cell>
        </row>
        <row r="2171">
          <cell r="A2171" t="str">
            <v/>
          </cell>
        </row>
        <row r="2172">
          <cell r="A2172" t="str">
            <v/>
          </cell>
        </row>
        <row r="2173">
          <cell r="A2173" t="str">
            <v/>
          </cell>
        </row>
        <row r="2174">
          <cell r="A2174" t="str">
            <v/>
          </cell>
        </row>
        <row r="2175">
          <cell r="A2175" t="str">
            <v/>
          </cell>
        </row>
        <row r="2176">
          <cell r="A2176" t="str">
            <v/>
          </cell>
        </row>
        <row r="2177">
          <cell r="A2177" t="str">
            <v/>
          </cell>
        </row>
        <row r="2178">
          <cell r="A2178" t="str">
            <v/>
          </cell>
        </row>
        <row r="2179">
          <cell r="A2179" t="str">
            <v/>
          </cell>
        </row>
        <row r="2180">
          <cell r="A2180" t="str">
            <v/>
          </cell>
        </row>
        <row r="2181">
          <cell r="A2181" t="str">
            <v/>
          </cell>
        </row>
        <row r="2182">
          <cell r="A2182" t="str">
            <v/>
          </cell>
        </row>
        <row r="2183">
          <cell r="A2183" t="str">
            <v/>
          </cell>
        </row>
        <row r="2184">
          <cell r="A2184" t="str">
            <v/>
          </cell>
        </row>
        <row r="2185">
          <cell r="A2185" t="str">
            <v/>
          </cell>
        </row>
        <row r="2186">
          <cell r="A2186" t="str">
            <v/>
          </cell>
        </row>
        <row r="2187">
          <cell r="A2187" t="str">
            <v/>
          </cell>
        </row>
        <row r="2188">
          <cell r="A2188" t="str">
            <v/>
          </cell>
        </row>
        <row r="2189">
          <cell r="A2189" t="str">
            <v/>
          </cell>
        </row>
        <row r="2190">
          <cell r="A2190" t="str">
            <v/>
          </cell>
        </row>
        <row r="2191">
          <cell r="A2191" t="str">
            <v/>
          </cell>
        </row>
        <row r="2192">
          <cell r="A2192" t="str">
            <v/>
          </cell>
        </row>
        <row r="2193">
          <cell r="A2193" t="str">
            <v/>
          </cell>
        </row>
        <row r="2194">
          <cell r="A2194" t="str">
            <v/>
          </cell>
        </row>
        <row r="2195">
          <cell r="A2195" t="str">
            <v/>
          </cell>
        </row>
        <row r="2196">
          <cell r="A2196" t="str">
            <v/>
          </cell>
        </row>
        <row r="2197">
          <cell r="A2197" t="str">
            <v/>
          </cell>
        </row>
        <row r="2198">
          <cell r="A2198" t="str">
            <v/>
          </cell>
        </row>
        <row r="2199">
          <cell r="A2199" t="str">
            <v/>
          </cell>
        </row>
        <row r="2200">
          <cell r="A2200" t="str">
            <v/>
          </cell>
        </row>
        <row r="2201">
          <cell r="A2201" t="str">
            <v/>
          </cell>
        </row>
        <row r="2202">
          <cell r="A2202" t="str">
            <v/>
          </cell>
        </row>
        <row r="2203">
          <cell r="A2203" t="str">
            <v/>
          </cell>
        </row>
        <row r="2204">
          <cell r="A2204" t="str">
            <v/>
          </cell>
        </row>
        <row r="2205">
          <cell r="A2205" t="str">
            <v/>
          </cell>
        </row>
        <row r="2206">
          <cell r="A2206" t="str">
            <v/>
          </cell>
        </row>
        <row r="2207">
          <cell r="A2207" t="str">
            <v/>
          </cell>
        </row>
        <row r="2208">
          <cell r="A2208" t="str">
            <v/>
          </cell>
        </row>
        <row r="2209">
          <cell r="A2209" t="str">
            <v/>
          </cell>
        </row>
        <row r="2210">
          <cell r="A2210" t="str">
            <v/>
          </cell>
        </row>
        <row r="2211">
          <cell r="A2211" t="str">
            <v/>
          </cell>
        </row>
        <row r="2212">
          <cell r="A2212" t="str">
            <v/>
          </cell>
        </row>
        <row r="2213">
          <cell r="A2213" t="str">
            <v/>
          </cell>
        </row>
        <row r="2214">
          <cell r="A2214" t="str">
            <v/>
          </cell>
        </row>
        <row r="2215">
          <cell r="A2215" t="str">
            <v/>
          </cell>
        </row>
        <row r="2216">
          <cell r="A2216" t="str">
            <v/>
          </cell>
        </row>
        <row r="2217">
          <cell r="A2217" t="str">
            <v/>
          </cell>
        </row>
        <row r="2218">
          <cell r="A2218" t="str">
            <v/>
          </cell>
        </row>
        <row r="2219">
          <cell r="A2219" t="str">
            <v/>
          </cell>
        </row>
        <row r="2220">
          <cell r="A2220" t="str">
            <v/>
          </cell>
        </row>
        <row r="2221">
          <cell r="A2221" t="str">
            <v/>
          </cell>
        </row>
        <row r="2222">
          <cell r="A2222" t="str">
            <v/>
          </cell>
        </row>
        <row r="2223">
          <cell r="A2223" t="str">
            <v/>
          </cell>
        </row>
        <row r="2224">
          <cell r="A2224" t="str">
            <v/>
          </cell>
        </row>
        <row r="2225">
          <cell r="A2225" t="str">
            <v/>
          </cell>
        </row>
        <row r="2226">
          <cell r="A2226" t="str">
            <v/>
          </cell>
        </row>
        <row r="2227">
          <cell r="A2227" t="str">
            <v/>
          </cell>
        </row>
        <row r="2228">
          <cell r="A2228" t="str">
            <v/>
          </cell>
        </row>
        <row r="2229">
          <cell r="A2229" t="str">
            <v/>
          </cell>
        </row>
        <row r="2230">
          <cell r="A2230" t="str">
            <v/>
          </cell>
        </row>
        <row r="2231">
          <cell r="A2231" t="str">
            <v/>
          </cell>
        </row>
        <row r="2232">
          <cell r="A2232" t="str">
            <v/>
          </cell>
        </row>
        <row r="2233">
          <cell r="A2233" t="str">
            <v/>
          </cell>
        </row>
        <row r="2234">
          <cell r="A2234" t="str">
            <v/>
          </cell>
        </row>
        <row r="2235">
          <cell r="A2235" t="str">
            <v/>
          </cell>
        </row>
        <row r="2236">
          <cell r="A2236" t="str">
            <v/>
          </cell>
        </row>
        <row r="2237">
          <cell r="A2237" t="str">
            <v/>
          </cell>
        </row>
        <row r="2238">
          <cell r="A2238" t="str">
            <v/>
          </cell>
        </row>
        <row r="2239">
          <cell r="A2239" t="str">
            <v/>
          </cell>
        </row>
        <row r="2240">
          <cell r="A2240" t="str">
            <v/>
          </cell>
        </row>
        <row r="2241">
          <cell r="A2241" t="str">
            <v/>
          </cell>
        </row>
        <row r="2242">
          <cell r="A2242" t="str">
            <v/>
          </cell>
        </row>
        <row r="2243">
          <cell r="A2243" t="str">
            <v/>
          </cell>
        </row>
        <row r="2244">
          <cell r="A2244" t="str">
            <v/>
          </cell>
        </row>
        <row r="2245">
          <cell r="A2245" t="str">
            <v/>
          </cell>
        </row>
        <row r="2246">
          <cell r="A2246" t="str">
            <v/>
          </cell>
        </row>
        <row r="2247">
          <cell r="A2247" t="str">
            <v/>
          </cell>
        </row>
        <row r="2248">
          <cell r="A2248" t="str">
            <v/>
          </cell>
        </row>
        <row r="2249">
          <cell r="A2249" t="str">
            <v/>
          </cell>
        </row>
        <row r="2250">
          <cell r="A2250" t="str">
            <v/>
          </cell>
        </row>
        <row r="2251">
          <cell r="A2251" t="str">
            <v/>
          </cell>
        </row>
        <row r="2252">
          <cell r="A2252" t="str">
            <v/>
          </cell>
        </row>
        <row r="2253">
          <cell r="A2253" t="str">
            <v/>
          </cell>
        </row>
        <row r="2254">
          <cell r="A2254" t="str">
            <v/>
          </cell>
        </row>
        <row r="2255">
          <cell r="A2255" t="str">
            <v/>
          </cell>
        </row>
        <row r="2256">
          <cell r="A2256" t="str">
            <v/>
          </cell>
        </row>
        <row r="2257">
          <cell r="A2257" t="str">
            <v/>
          </cell>
        </row>
        <row r="2258">
          <cell r="A2258" t="str">
            <v/>
          </cell>
        </row>
        <row r="2259">
          <cell r="A2259" t="str">
            <v/>
          </cell>
        </row>
        <row r="2260">
          <cell r="A2260" t="str">
            <v/>
          </cell>
        </row>
        <row r="2261">
          <cell r="A2261" t="str">
            <v/>
          </cell>
        </row>
        <row r="2262">
          <cell r="A2262" t="str">
            <v/>
          </cell>
        </row>
        <row r="2263">
          <cell r="A2263" t="str">
            <v/>
          </cell>
        </row>
        <row r="2264">
          <cell r="A2264" t="str">
            <v/>
          </cell>
        </row>
        <row r="2265">
          <cell r="A2265" t="str">
            <v/>
          </cell>
        </row>
        <row r="2266">
          <cell r="A2266" t="str">
            <v/>
          </cell>
        </row>
        <row r="2267">
          <cell r="A2267" t="str">
            <v/>
          </cell>
        </row>
        <row r="2268">
          <cell r="A2268" t="str">
            <v/>
          </cell>
        </row>
        <row r="2269">
          <cell r="A2269" t="str">
            <v/>
          </cell>
        </row>
        <row r="2270">
          <cell r="A2270" t="str">
            <v/>
          </cell>
        </row>
        <row r="2271">
          <cell r="A2271" t="str">
            <v/>
          </cell>
        </row>
        <row r="2272">
          <cell r="A2272" t="str">
            <v/>
          </cell>
        </row>
        <row r="2273">
          <cell r="A2273" t="str">
            <v/>
          </cell>
        </row>
        <row r="2274">
          <cell r="A2274" t="str">
            <v/>
          </cell>
        </row>
        <row r="2275">
          <cell r="A2275" t="str">
            <v/>
          </cell>
        </row>
        <row r="2276">
          <cell r="A2276" t="str">
            <v/>
          </cell>
        </row>
        <row r="2277">
          <cell r="A2277" t="str">
            <v/>
          </cell>
        </row>
        <row r="2278">
          <cell r="A2278" t="str">
            <v/>
          </cell>
        </row>
        <row r="2279">
          <cell r="A2279" t="str">
            <v/>
          </cell>
        </row>
        <row r="2280">
          <cell r="A2280" t="str">
            <v/>
          </cell>
        </row>
        <row r="2281">
          <cell r="A2281" t="str">
            <v/>
          </cell>
        </row>
        <row r="2282">
          <cell r="A2282" t="str">
            <v/>
          </cell>
        </row>
        <row r="2283">
          <cell r="A2283" t="str">
            <v/>
          </cell>
        </row>
        <row r="2284">
          <cell r="A2284" t="str">
            <v/>
          </cell>
        </row>
        <row r="2285">
          <cell r="A2285" t="str">
            <v/>
          </cell>
        </row>
        <row r="2286">
          <cell r="A2286" t="str">
            <v/>
          </cell>
        </row>
        <row r="2287">
          <cell r="A2287" t="str">
            <v/>
          </cell>
        </row>
        <row r="2288">
          <cell r="A2288" t="str">
            <v/>
          </cell>
        </row>
        <row r="2289">
          <cell r="A2289" t="str">
            <v/>
          </cell>
        </row>
        <row r="2290">
          <cell r="A2290" t="str">
            <v/>
          </cell>
        </row>
        <row r="2291">
          <cell r="A2291" t="str">
            <v/>
          </cell>
        </row>
        <row r="2292">
          <cell r="A2292" t="str">
            <v/>
          </cell>
        </row>
        <row r="2293">
          <cell r="A2293" t="str">
            <v/>
          </cell>
        </row>
        <row r="2294">
          <cell r="A2294" t="str">
            <v/>
          </cell>
        </row>
        <row r="2295">
          <cell r="A2295" t="str">
            <v/>
          </cell>
        </row>
        <row r="2296">
          <cell r="A2296" t="str">
            <v/>
          </cell>
        </row>
        <row r="2297">
          <cell r="A2297" t="str">
            <v/>
          </cell>
        </row>
        <row r="2298">
          <cell r="A2298" t="str">
            <v/>
          </cell>
        </row>
        <row r="2299">
          <cell r="A2299" t="str">
            <v/>
          </cell>
        </row>
        <row r="2300">
          <cell r="A2300" t="str">
            <v/>
          </cell>
        </row>
        <row r="2301">
          <cell r="A2301" t="str">
            <v/>
          </cell>
        </row>
        <row r="2302">
          <cell r="A2302" t="str">
            <v/>
          </cell>
        </row>
        <row r="2303">
          <cell r="A2303" t="str">
            <v/>
          </cell>
        </row>
        <row r="2304">
          <cell r="A2304" t="str">
            <v/>
          </cell>
        </row>
        <row r="2305">
          <cell r="A2305" t="str">
            <v/>
          </cell>
        </row>
        <row r="2306">
          <cell r="A2306" t="str">
            <v/>
          </cell>
        </row>
        <row r="2307">
          <cell r="A2307" t="str">
            <v/>
          </cell>
        </row>
        <row r="2308">
          <cell r="A2308" t="str">
            <v/>
          </cell>
        </row>
        <row r="2309">
          <cell r="A2309" t="str">
            <v/>
          </cell>
        </row>
        <row r="2310">
          <cell r="A2310" t="str">
            <v/>
          </cell>
        </row>
        <row r="2311">
          <cell r="A2311" t="str">
            <v/>
          </cell>
        </row>
        <row r="2312">
          <cell r="A2312" t="str">
            <v/>
          </cell>
        </row>
        <row r="2313">
          <cell r="A2313" t="str">
            <v/>
          </cell>
        </row>
        <row r="2314">
          <cell r="A2314" t="str">
            <v/>
          </cell>
        </row>
        <row r="2315">
          <cell r="A2315" t="str">
            <v/>
          </cell>
        </row>
        <row r="2316">
          <cell r="A2316" t="str">
            <v/>
          </cell>
        </row>
        <row r="2317">
          <cell r="A2317" t="str">
            <v/>
          </cell>
        </row>
        <row r="2318">
          <cell r="A2318" t="str">
            <v/>
          </cell>
        </row>
        <row r="2319">
          <cell r="A2319" t="str">
            <v/>
          </cell>
        </row>
        <row r="2320">
          <cell r="A2320" t="str">
            <v/>
          </cell>
        </row>
        <row r="2321">
          <cell r="A2321" t="str">
            <v/>
          </cell>
        </row>
        <row r="2322">
          <cell r="A2322" t="str">
            <v/>
          </cell>
        </row>
        <row r="2323">
          <cell r="A2323" t="str">
            <v/>
          </cell>
        </row>
        <row r="2324">
          <cell r="A2324" t="str">
            <v/>
          </cell>
        </row>
        <row r="2325">
          <cell r="A2325" t="str">
            <v/>
          </cell>
        </row>
        <row r="2326">
          <cell r="A2326" t="str">
            <v/>
          </cell>
        </row>
        <row r="2327">
          <cell r="A2327" t="str">
            <v/>
          </cell>
        </row>
        <row r="2328">
          <cell r="A2328" t="str">
            <v/>
          </cell>
        </row>
        <row r="2329">
          <cell r="A2329" t="str">
            <v/>
          </cell>
        </row>
        <row r="2330">
          <cell r="A2330" t="str">
            <v/>
          </cell>
        </row>
        <row r="2331">
          <cell r="A2331" t="str">
            <v/>
          </cell>
        </row>
        <row r="2332">
          <cell r="A2332" t="str">
            <v/>
          </cell>
        </row>
        <row r="2333">
          <cell r="A2333" t="str">
            <v/>
          </cell>
        </row>
        <row r="2334">
          <cell r="A2334" t="str">
            <v/>
          </cell>
        </row>
        <row r="2335">
          <cell r="A2335" t="str">
            <v/>
          </cell>
        </row>
        <row r="2336">
          <cell r="A2336" t="str">
            <v/>
          </cell>
        </row>
        <row r="2337">
          <cell r="A2337" t="str">
            <v/>
          </cell>
        </row>
        <row r="2338">
          <cell r="A2338" t="str">
            <v/>
          </cell>
        </row>
        <row r="2339">
          <cell r="A2339" t="str">
            <v/>
          </cell>
        </row>
        <row r="2340">
          <cell r="A2340" t="str">
            <v/>
          </cell>
        </row>
        <row r="2341">
          <cell r="A2341" t="str">
            <v/>
          </cell>
        </row>
        <row r="2342">
          <cell r="A2342" t="str">
            <v/>
          </cell>
        </row>
        <row r="2343">
          <cell r="A2343" t="str">
            <v/>
          </cell>
        </row>
        <row r="2344">
          <cell r="A2344" t="str">
            <v/>
          </cell>
        </row>
        <row r="2345">
          <cell r="A2345" t="str">
            <v/>
          </cell>
        </row>
        <row r="2346">
          <cell r="A2346" t="str">
            <v/>
          </cell>
        </row>
        <row r="2347">
          <cell r="A2347" t="str">
            <v/>
          </cell>
        </row>
        <row r="2348">
          <cell r="A2348" t="str">
            <v/>
          </cell>
        </row>
        <row r="2349">
          <cell r="A2349" t="str">
            <v/>
          </cell>
        </row>
        <row r="2350">
          <cell r="A2350" t="str">
            <v/>
          </cell>
        </row>
        <row r="2351">
          <cell r="A2351" t="str">
            <v/>
          </cell>
        </row>
        <row r="2352">
          <cell r="A2352" t="str">
            <v/>
          </cell>
        </row>
        <row r="2353">
          <cell r="A2353" t="str">
            <v/>
          </cell>
        </row>
        <row r="2354">
          <cell r="A2354" t="str">
            <v/>
          </cell>
        </row>
        <row r="2355">
          <cell r="A2355" t="str">
            <v/>
          </cell>
        </row>
        <row r="2356">
          <cell r="A2356" t="str">
            <v/>
          </cell>
        </row>
        <row r="2357">
          <cell r="A2357" t="str">
            <v/>
          </cell>
        </row>
        <row r="2358">
          <cell r="A2358" t="str">
            <v/>
          </cell>
        </row>
        <row r="2359">
          <cell r="A2359" t="str">
            <v/>
          </cell>
        </row>
        <row r="2360">
          <cell r="A2360" t="str">
            <v/>
          </cell>
        </row>
        <row r="2361">
          <cell r="A2361" t="str">
            <v/>
          </cell>
        </row>
        <row r="2362">
          <cell r="A2362" t="str">
            <v/>
          </cell>
        </row>
        <row r="2363">
          <cell r="A2363" t="str">
            <v/>
          </cell>
        </row>
        <row r="2364">
          <cell r="A2364" t="str">
            <v/>
          </cell>
        </row>
        <row r="2365">
          <cell r="A2365" t="str">
            <v/>
          </cell>
        </row>
        <row r="2366">
          <cell r="A2366" t="str">
            <v/>
          </cell>
        </row>
        <row r="2367">
          <cell r="A2367" t="str">
            <v/>
          </cell>
        </row>
        <row r="2368">
          <cell r="A2368" t="str">
            <v/>
          </cell>
        </row>
        <row r="2369">
          <cell r="A2369" t="str">
            <v/>
          </cell>
        </row>
        <row r="2370">
          <cell r="A2370" t="str">
            <v/>
          </cell>
        </row>
        <row r="2371">
          <cell r="A2371" t="str">
            <v/>
          </cell>
        </row>
        <row r="2372">
          <cell r="A2372" t="str">
            <v/>
          </cell>
        </row>
        <row r="2373">
          <cell r="A2373" t="str">
            <v/>
          </cell>
        </row>
        <row r="2374">
          <cell r="A2374" t="str">
            <v/>
          </cell>
        </row>
        <row r="2375">
          <cell r="A2375" t="str">
            <v/>
          </cell>
        </row>
        <row r="2376">
          <cell r="A2376" t="str">
            <v/>
          </cell>
        </row>
        <row r="2377">
          <cell r="A2377" t="str">
            <v/>
          </cell>
        </row>
        <row r="2378">
          <cell r="A2378" t="str">
            <v/>
          </cell>
        </row>
        <row r="2379">
          <cell r="A2379" t="str">
            <v/>
          </cell>
        </row>
        <row r="2380">
          <cell r="A2380" t="str">
            <v/>
          </cell>
        </row>
        <row r="2381">
          <cell r="A2381" t="str">
            <v/>
          </cell>
        </row>
        <row r="2382">
          <cell r="A2382" t="str">
            <v/>
          </cell>
        </row>
        <row r="2383">
          <cell r="A2383" t="str">
            <v/>
          </cell>
        </row>
        <row r="2384">
          <cell r="A2384" t="str">
            <v/>
          </cell>
        </row>
        <row r="2385">
          <cell r="A2385" t="str">
            <v/>
          </cell>
        </row>
        <row r="2386">
          <cell r="A2386" t="str">
            <v/>
          </cell>
        </row>
        <row r="2387">
          <cell r="A2387" t="str">
            <v/>
          </cell>
        </row>
        <row r="2388">
          <cell r="A2388" t="str">
            <v/>
          </cell>
        </row>
        <row r="2389">
          <cell r="A2389" t="str">
            <v/>
          </cell>
        </row>
        <row r="2390">
          <cell r="A2390" t="str">
            <v/>
          </cell>
        </row>
        <row r="2391">
          <cell r="A2391" t="str">
            <v/>
          </cell>
        </row>
        <row r="2392">
          <cell r="A2392" t="str">
            <v/>
          </cell>
        </row>
        <row r="2393">
          <cell r="A2393" t="str">
            <v/>
          </cell>
        </row>
        <row r="2394">
          <cell r="A2394" t="str">
            <v/>
          </cell>
        </row>
        <row r="2395">
          <cell r="A2395" t="str">
            <v/>
          </cell>
        </row>
        <row r="2396">
          <cell r="A2396" t="str">
            <v/>
          </cell>
        </row>
        <row r="2397">
          <cell r="A2397" t="str">
            <v/>
          </cell>
        </row>
        <row r="2398">
          <cell r="A2398" t="str">
            <v/>
          </cell>
        </row>
        <row r="2399">
          <cell r="A2399" t="str">
            <v/>
          </cell>
        </row>
        <row r="2400">
          <cell r="A2400" t="str">
            <v/>
          </cell>
        </row>
        <row r="2401">
          <cell r="A2401" t="str">
            <v/>
          </cell>
        </row>
        <row r="2402">
          <cell r="A2402" t="str">
            <v/>
          </cell>
        </row>
        <row r="2403">
          <cell r="A2403" t="str">
            <v/>
          </cell>
        </row>
        <row r="2404">
          <cell r="A2404" t="str">
            <v/>
          </cell>
        </row>
        <row r="2405">
          <cell r="A2405" t="str">
            <v/>
          </cell>
        </row>
        <row r="2406">
          <cell r="A2406" t="str">
            <v/>
          </cell>
        </row>
        <row r="2407">
          <cell r="A2407" t="str">
            <v/>
          </cell>
        </row>
        <row r="2408">
          <cell r="A2408" t="str">
            <v/>
          </cell>
        </row>
        <row r="2409">
          <cell r="A2409" t="str">
            <v/>
          </cell>
        </row>
        <row r="2410">
          <cell r="A2410" t="str">
            <v/>
          </cell>
        </row>
        <row r="2411">
          <cell r="A2411" t="str">
            <v/>
          </cell>
        </row>
        <row r="2412">
          <cell r="A2412" t="str">
            <v/>
          </cell>
        </row>
        <row r="2413">
          <cell r="A2413" t="str">
            <v/>
          </cell>
        </row>
        <row r="2414">
          <cell r="A2414" t="str">
            <v/>
          </cell>
        </row>
        <row r="2415">
          <cell r="A2415" t="str">
            <v/>
          </cell>
        </row>
        <row r="2416">
          <cell r="A2416" t="str">
            <v/>
          </cell>
        </row>
        <row r="2417">
          <cell r="A2417" t="str">
            <v/>
          </cell>
        </row>
        <row r="2418">
          <cell r="A2418" t="str">
            <v/>
          </cell>
        </row>
        <row r="2419">
          <cell r="A2419" t="str">
            <v/>
          </cell>
        </row>
        <row r="2420">
          <cell r="A2420" t="str">
            <v/>
          </cell>
        </row>
        <row r="2421">
          <cell r="A2421" t="str">
            <v/>
          </cell>
        </row>
        <row r="2422">
          <cell r="A2422" t="str">
            <v/>
          </cell>
        </row>
        <row r="2423">
          <cell r="A2423" t="str">
            <v/>
          </cell>
        </row>
        <row r="2424">
          <cell r="A2424" t="str">
            <v/>
          </cell>
        </row>
        <row r="2425">
          <cell r="A2425" t="str">
            <v/>
          </cell>
        </row>
        <row r="2426">
          <cell r="A2426" t="str">
            <v/>
          </cell>
        </row>
        <row r="2427">
          <cell r="A2427" t="str">
            <v/>
          </cell>
        </row>
        <row r="2428">
          <cell r="A2428" t="str">
            <v/>
          </cell>
        </row>
        <row r="2429">
          <cell r="A2429" t="str">
            <v/>
          </cell>
        </row>
        <row r="2430">
          <cell r="A2430" t="str">
            <v/>
          </cell>
        </row>
        <row r="2431">
          <cell r="A2431" t="str">
            <v/>
          </cell>
        </row>
        <row r="2432">
          <cell r="A2432" t="str">
            <v/>
          </cell>
        </row>
        <row r="2433">
          <cell r="A2433" t="str">
            <v/>
          </cell>
        </row>
        <row r="2434">
          <cell r="A2434" t="str">
            <v/>
          </cell>
        </row>
        <row r="2435">
          <cell r="A2435" t="str">
            <v/>
          </cell>
        </row>
        <row r="2436">
          <cell r="A2436" t="str">
            <v/>
          </cell>
        </row>
        <row r="2437">
          <cell r="A2437" t="str">
            <v/>
          </cell>
        </row>
        <row r="2438">
          <cell r="A2438" t="str">
            <v/>
          </cell>
        </row>
        <row r="2439">
          <cell r="A2439" t="str">
            <v/>
          </cell>
        </row>
        <row r="2440">
          <cell r="A2440" t="str">
            <v/>
          </cell>
        </row>
        <row r="2441">
          <cell r="A2441" t="str">
            <v/>
          </cell>
        </row>
        <row r="2442">
          <cell r="A2442" t="str">
            <v/>
          </cell>
        </row>
        <row r="2443">
          <cell r="A2443" t="str">
            <v/>
          </cell>
        </row>
        <row r="2444">
          <cell r="A2444" t="str">
            <v/>
          </cell>
        </row>
        <row r="2445">
          <cell r="A2445" t="str">
            <v/>
          </cell>
        </row>
        <row r="2446">
          <cell r="A2446" t="str">
            <v/>
          </cell>
        </row>
        <row r="2447">
          <cell r="A2447" t="str">
            <v/>
          </cell>
        </row>
        <row r="2448">
          <cell r="A2448" t="str">
            <v/>
          </cell>
        </row>
        <row r="2449">
          <cell r="A2449" t="str">
            <v/>
          </cell>
        </row>
        <row r="2450">
          <cell r="A2450" t="str">
            <v/>
          </cell>
        </row>
        <row r="2451">
          <cell r="A2451" t="str">
            <v/>
          </cell>
        </row>
        <row r="2452">
          <cell r="A2452" t="str">
            <v/>
          </cell>
        </row>
        <row r="2453">
          <cell r="A2453" t="str">
            <v/>
          </cell>
        </row>
        <row r="2454">
          <cell r="A2454" t="str">
            <v/>
          </cell>
        </row>
        <row r="2455">
          <cell r="A2455" t="str">
            <v/>
          </cell>
        </row>
        <row r="2456">
          <cell r="A2456" t="str">
            <v/>
          </cell>
        </row>
        <row r="2457">
          <cell r="A2457" t="str">
            <v/>
          </cell>
        </row>
        <row r="2458">
          <cell r="A2458" t="str">
            <v/>
          </cell>
        </row>
        <row r="2459">
          <cell r="A2459" t="str">
            <v/>
          </cell>
        </row>
        <row r="2460">
          <cell r="A2460" t="str">
            <v/>
          </cell>
        </row>
        <row r="2461">
          <cell r="A2461" t="str">
            <v/>
          </cell>
        </row>
        <row r="2462">
          <cell r="A2462" t="str">
            <v/>
          </cell>
        </row>
        <row r="2463">
          <cell r="A2463" t="str">
            <v/>
          </cell>
        </row>
        <row r="2464">
          <cell r="A2464" t="str">
            <v/>
          </cell>
        </row>
        <row r="2465">
          <cell r="A2465" t="str">
            <v/>
          </cell>
        </row>
        <row r="2466">
          <cell r="A2466" t="str">
            <v/>
          </cell>
        </row>
        <row r="2467">
          <cell r="A2467" t="str">
            <v/>
          </cell>
        </row>
        <row r="2468">
          <cell r="A2468" t="str">
            <v/>
          </cell>
        </row>
        <row r="2469">
          <cell r="A2469" t="str">
            <v/>
          </cell>
        </row>
        <row r="2470">
          <cell r="A2470" t="str">
            <v/>
          </cell>
        </row>
        <row r="2471">
          <cell r="A2471" t="str">
            <v/>
          </cell>
        </row>
        <row r="2472">
          <cell r="A2472" t="str">
            <v/>
          </cell>
        </row>
        <row r="2473">
          <cell r="A2473" t="str">
            <v/>
          </cell>
        </row>
        <row r="2474">
          <cell r="A2474" t="str">
            <v/>
          </cell>
        </row>
        <row r="2475">
          <cell r="A2475" t="str">
            <v/>
          </cell>
        </row>
        <row r="2476">
          <cell r="A2476" t="str">
            <v/>
          </cell>
        </row>
        <row r="2477">
          <cell r="A2477" t="str">
            <v/>
          </cell>
        </row>
        <row r="2478">
          <cell r="A2478" t="str">
            <v/>
          </cell>
        </row>
        <row r="2479">
          <cell r="A2479" t="str">
            <v/>
          </cell>
        </row>
        <row r="2480">
          <cell r="A2480" t="str">
            <v/>
          </cell>
        </row>
        <row r="2481">
          <cell r="A2481" t="str">
            <v/>
          </cell>
        </row>
        <row r="2482">
          <cell r="A2482" t="str">
            <v/>
          </cell>
        </row>
        <row r="2483">
          <cell r="A2483" t="str">
            <v/>
          </cell>
        </row>
        <row r="2484">
          <cell r="A2484" t="str">
            <v/>
          </cell>
        </row>
        <row r="2485">
          <cell r="A2485" t="str">
            <v/>
          </cell>
        </row>
        <row r="2486">
          <cell r="A2486" t="str">
            <v/>
          </cell>
        </row>
        <row r="2487">
          <cell r="A2487" t="str">
            <v/>
          </cell>
        </row>
        <row r="2488">
          <cell r="A2488" t="str">
            <v/>
          </cell>
        </row>
        <row r="2489">
          <cell r="A2489" t="str">
            <v/>
          </cell>
        </row>
        <row r="2490">
          <cell r="A2490" t="str">
            <v/>
          </cell>
        </row>
        <row r="2491">
          <cell r="A2491" t="str">
            <v/>
          </cell>
        </row>
        <row r="2492">
          <cell r="A2492" t="str">
            <v/>
          </cell>
        </row>
        <row r="2493">
          <cell r="A2493" t="str">
            <v/>
          </cell>
        </row>
        <row r="2494">
          <cell r="A2494" t="str">
            <v/>
          </cell>
        </row>
        <row r="2495">
          <cell r="A2495" t="str">
            <v/>
          </cell>
        </row>
        <row r="2496">
          <cell r="A2496" t="str">
            <v/>
          </cell>
        </row>
        <row r="2497">
          <cell r="A2497" t="str">
            <v/>
          </cell>
        </row>
        <row r="2498">
          <cell r="A2498" t="str">
            <v/>
          </cell>
        </row>
        <row r="2499">
          <cell r="A2499" t="str">
            <v/>
          </cell>
        </row>
        <row r="2500">
          <cell r="A2500" t="str">
            <v/>
          </cell>
        </row>
        <row r="2501">
          <cell r="A2501" t="str">
            <v/>
          </cell>
        </row>
        <row r="2502">
          <cell r="A2502" t="str">
            <v/>
          </cell>
        </row>
        <row r="2503">
          <cell r="A2503" t="str">
            <v/>
          </cell>
        </row>
        <row r="2504">
          <cell r="A2504" t="str">
            <v/>
          </cell>
        </row>
        <row r="2505">
          <cell r="A2505" t="str">
            <v/>
          </cell>
        </row>
        <row r="2506">
          <cell r="A2506" t="str">
            <v/>
          </cell>
        </row>
        <row r="2507">
          <cell r="A2507" t="str">
            <v/>
          </cell>
        </row>
        <row r="2508">
          <cell r="A2508" t="str">
            <v/>
          </cell>
        </row>
        <row r="2509">
          <cell r="A2509" t="str">
            <v/>
          </cell>
        </row>
        <row r="2510">
          <cell r="A2510" t="str">
            <v/>
          </cell>
        </row>
        <row r="2511">
          <cell r="A2511" t="str">
            <v/>
          </cell>
        </row>
        <row r="2512">
          <cell r="A2512" t="str">
            <v/>
          </cell>
        </row>
        <row r="2513">
          <cell r="A2513" t="str">
            <v/>
          </cell>
        </row>
        <row r="2514">
          <cell r="A2514" t="str">
            <v/>
          </cell>
        </row>
        <row r="2515">
          <cell r="A2515" t="str">
            <v/>
          </cell>
        </row>
        <row r="2516">
          <cell r="A2516" t="str">
            <v/>
          </cell>
        </row>
        <row r="2517">
          <cell r="A2517" t="str">
            <v/>
          </cell>
        </row>
        <row r="2518">
          <cell r="A2518" t="str">
            <v/>
          </cell>
        </row>
        <row r="2519">
          <cell r="A2519" t="str">
            <v/>
          </cell>
        </row>
        <row r="2520">
          <cell r="A2520" t="str">
            <v/>
          </cell>
        </row>
        <row r="2521">
          <cell r="A2521" t="str">
            <v/>
          </cell>
        </row>
        <row r="2522">
          <cell r="A2522" t="str">
            <v/>
          </cell>
        </row>
        <row r="2523">
          <cell r="A2523" t="str">
            <v/>
          </cell>
        </row>
        <row r="2524">
          <cell r="A2524" t="str">
            <v/>
          </cell>
        </row>
        <row r="2525">
          <cell r="A2525" t="str">
            <v/>
          </cell>
        </row>
        <row r="2526">
          <cell r="A2526" t="str">
            <v/>
          </cell>
        </row>
        <row r="2527">
          <cell r="A2527" t="str">
            <v/>
          </cell>
        </row>
        <row r="2528">
          <cell r="A2528" t="str">
            <v/>
          </cell>
        </row>
        <row r="2529">
          <cell r="A2529" t="str">
            <v/>
          </cell>
        </row>
        <row r="2530">
          <cell r="A2530" t="str">
            <v/>
          </cell>
        </row>
        <row r="2531">
          <cell r="A2531" t="str">
            <v/>
          </cell>
        </row>
        <row r="2532">
          <cell r="A2532" t="str">
            <v/>
          </cell>
        </row>
        <row r="2533">
          <cell r="A2533" t="str">
            <v/>
          </cell>
        </row>
        <row r="2534">
          <cell r="A2534" t="str">
            <v/>
          </cell>
        </row>
        <row r="2535">
          <cell r="A2535" t="str">
            <v/>
          </cell>
        </row>
        <row r="2536">
          <cell r="A2536" t="str">
            <v/>
          </cell>
        </row>
        <row r="2537">
          <cell r="A2537" t="str">
            <v/>
          </cell>
        </row>
        <row r="2538">
          <cell r="A2538" t="str">
            <v/>
          </cell>
        </row>
        <row r="2539">
          <cell r="A2539" t="str">
            <v/>
          </cell>
        </row>
        <row r="2540">
          <cell r="A2540" t="str">
            <v/>
          </cell>
        </row>
        <row r="2541">
          <cell r="A2541" t="str">
            <v/>
          </cell>
        </row>
        <row r="2542">
          <cell r="A2542" t="str">
            <v/>
          </cell>
        </row>
        <row r="2543">
          <cell r="A2543" t="str">
            <v/>
          </cell>
        </row>
        <row r="2544">
          <cell r="A2544" t="str">
            <v/>
          </cell>
        </row>
        <row r="2545">
          <cell r="A2545" t="str">
            <v/>
          </cell>
        </row>
        <row r="2546">
          <cell r="A2546" t="str">
            <v/>
          </cell>
        </row>
        <row r="2547">
          <cell r="A2547" t="str">
            <v/>
          </cell>
        </row>
        <row r="2548">
          <cell r="A2548" t="str">
            <v/>
          </cell>
        </row>
        <row r="2549">
          <cell r="A2549" t="str">
            <v/>
          </cell>
        </row>
        <row r="2550">
          <cell r="A2550" t="str">
            <v/>
          </cell>
        </row>
        <row r="2551">
          <cell r="A2551" t="str">
            <v/>
          </cell>
        </row>
        <row r="2552">
          <cell r="A2552" t="str">
            <v/>
          </cell>
        </row>
        <row r="2553">
          <cell r="A2553" t="str">
            <v/>
          </cell>
        </row>
        <row r="2554">
          <cell r="A2554" t="str">
            <v/>
          </cell>
        </row>
        <row r="2555">
          <cell r="A2555" t="str">
            <v/>
          </cell>
        </row>
        <row r="2556">
          <cell r="A2556" t="str">
            <v/>
          </cell>
        </row>
        <row r="2557">
          <cell r="A2557" t="str">
            <v/>
          </cell>
        </row>
        <row r="2558">
          <cell r="A2558" t="str">
            <v/>
          </cell>
        </row>
        <row r="2559">
          <cell r="A2559" t="str">
            <v/>
          </cell>
        </row>
        <row r="2560">
          <cell r="A2560" t="str">
            <v/>
          </cell>
        </row>
        <row r="2561">
          <cell r="A2561" t="str">
            <v/>
          </cell>
        </row>
        <row r="2562">
          <cell r="A2562" t="str">
            <v/>
          </cell>
        </row>
        <row r="2563">
          <cell r="A2563" t="str">
            <v/>
          </cell>
        </row>
        <row r="2564">
          <cell r="A2564" t="str">
            <v/>
          </cell>
        </row>
        <row r="2565">
          <cell r="A2565" t="str">
            <v/>
          </cell>
        </row>
        <row r="2566">
          <cell r="A2566" t="str">
            <v/>
          </cell>
        </row>
        <row r="2567">
          <cell r="A2567" t="str">
            <v/>
          </cell>
        </row>
        <row r="2568">
          <cell r="A2568" t="str">
            <v/>
          </cell>
        </row>
        <row r="2569">
          <cell r="A2569" t="str">
            <v/>
          </cell>
        </row>
        <row r="2570">
          <cell r="A2570" t="str">
            <v/>
          </cell>
        </row>
        <row r="2571">
          <cell r="A2571" t="str">
            <v/>
          </cell>
        </row>
        <row r="2572">
          <cell r="A2572" t="str">
            <v/>
          </cell>
        </row>
        <row r="2573">
          <cell r="A2573" t="str">
            <v/>
          </cell>
        </row>
        <row r="2574">
          <cell r="A2574" t="str">
            <v/>
          </cell>
        </row>
        <row r="2575">
          <cell r="A2575" t="str">
            <v/>
          </cell>
        </row>
        <row r="2576">
          <cell r="A2576" t="str">
            <v/>
          </cell>
        </row>
        <row r="2577">
          <cell r="A2577" t="str">
            <v/>
          </cell>
        </row>
        <row r="2578">
          <cell r="A2578" t="str">
            <v/>
          </cell>
        </row>
        <row r="2579">
          <cell r="A2579" t="str">
            <v/>
          </cell>
        </row>
        <row r="2580">
          <cell r="A2580" t="str">
            <v/>
          </cell>
        </row>
        <row r="2581">
          <cell r="A2581" t="str">
            <v/>
          </cell>
        </row>
        <row r="2582">
          <cell r="A2582" t="str">
            <v/>
          </cell>
        </row>
        <row r="2583">
          <cell r="A2583" t="str">
            <v/>
          </cell>
        </row>
        <row r="2584">
          <cell r="A2584" t="str">
            <v/>
          </cell>
        </row>
        <row r="2585">
          <cell r="A2585" t="str">
            <v/>
          </cell>
        </row>
        <row r="2586">
          <cell r="A2586" t="str">
            <v/>
          </cell>
        </row>
        <row r="2587">
          <cell r="A2587" t="str">
            <v/>
          </cell>
        </row>
        <row r="2588">
          <cell r="A2588" t="str">
            <v/>
          </cell>
        </row>
        <row r="2589">
          <cell r="A2589" t="str">
            <v/>
          </cell>
        </row>
        <row r="2590">
          <cell r="A2590" t="str">
            <v/>
          </cell>
        </row>
        <row r="2591">
          <cell r="A2591" t="str">
            <v/>
          </cell>
        </row>
        <row r="2592">
          <cell r="A2592" t="str">
            <v/>
          </cell>
        </row>
        <row r="2593">
          <cell r="A2593" t="str">
            <v/>
          </cell>
        </row>
        <row r="2594">
          <cell r="A2594" t="str">
            <v/>
          </cell>
        </row>
        <row r="2595">
          <cell r="A2595" t="str">
            <v/>
          </cell>
        </row>
        <row r="2596">
          <cell r="A2596" t="str">
            <v/>
          </cell>
        </row>
        <row r="2597">
          <cell r="A2597" t="str">
            <v/>
          </cell>
        </row>
        <row r="2598">
          <cell r="A2598" t="str">
            <v/>
          </cell>
        </row>
        <row r="2599">
          <cell r="A2599" t="str">
            <v/>
          </cell>
        </row>
        <row r="2600">
          <cell r="A2600" t="str">
            <v/>
          </cell>
        </row>
        <row r="2601">
          <cell r="A2601" t="str">
            <v/>
          </cell>
        </row>
        <row r="2602">
          <cell r="A2602" t="str">
            <v/>
          </cell>
        </row>
        <row r="2603">
          <cell r="A2603" t="str">
            <v/>
          </cell>
        </row>
        <row r="2604">
          <cell r="A2604" t="str">
            <v/>
          </cell>
        </row>
        <row r="2605">
          <cell r="A2605" t="str">
            <v/>
          </cell>
        </row>
        <row r="2606">
          <cell r="A2606" t="str">
            <v/>
          </cell>
        </row>
        <row r="2607">
          <cell r="A2607" t="str">
            <v/>
          </cell>
        </row>
        <row r="2608">
          <cell r="A2608" t="str">
            <v/>
          </cell>
        </row>
        <row r="2609">
          <cell r="A2609" t="str">
            <v/>
          </cell>
        </row>
        <row r="2610">
          <cell r="A2610" t="str">
            <v/>
          </cell>
        </row>
        <row r="2611">
          <cell r="A2611" t="str">
            <v/>
          </cell>
        </row>
        <row r="2612">
          <cell r="A2612" t="str">
            <v/>
          </cell>
        </row>
        <row r="2613">
          <cell r="A2613" t="str">
            <v/>
          </cell>
        </row>
        <row r="2614">
          <cell r="A2614" t="str">
            <v/>
          </cell>
        </row>
        <row r="2615">
          <cell r="A2615" t="str">
            <v/>
          </cell>
        </row>
        <row r="2616">
          <cell r="A2616" t="str">
            <v/>
          </cell>
        </row>
        <row r="2617">
          <cell r="A2617" t="str">
            <v/>
          </cell>
        </row>
        <row r="2618">
          <cell r="A2618" t="str">
            <v/>
          </cell>
        </row>
        <row r="2619">
          <cell r="A2619" t="str">
            <v/>
          </cell>
        </row>
        <row r="2620">
          <cell r="A2620" t="str">
            <v/>
          </cell>
        </row>
        <row r="2621">
          <cell r="A2621" t="str">
            <v/>
          </cell>
        </row>
        <row r="2622">
          <cell r="A2622" t="str">
            <v/>
          </cell>
        </row>
        <row r="2623">
          <cell r="A2623" t="str">
            <v/>
          </cell>
        </row>
        <row r="2624">
          <cell r="A2624" t="str">
            <v/>
          </cell>
        </row>
        <row r="2625">
          <cell r="A2625" t="str">
            <v/>
          </cell>
        </row>
        <row r="2626">
          <cell r="A2626" t="str">
            <v/>
          </cell>
        </row>
        <row r="2627">
          <cell r="A2627" t="str">
            <v/>
          </cell>
        </row>
        <row r="2628">
          <cell r="A2628" t="str">
            <v/>
          </cell>
        </row>
        <row r="2629">
          <cell r="A2629" t="str">
            <v/>
          </cell>
        </row>
        <row r="2630">
          <cell r="A2630" t="str">
            <v/>
          </cell>
        </row>
        <row r="2631">
          <cell r="A2631" t="str">
            <v/>
          </cell>
        </row>
        <row r="2632">
          <cell r="A2632" t="str">
            <v/>
          </cell>
        </row>
        <row r="2633">
          <cell r="A2633" t="str">
            <v/>
          </cell>
        </row>
        <row r="2634">
          <cell r="A2634" t="str">
            <v/>
          </cell>
        </row>
        <row r="2635">
          <cell r="A2635" t="str">
            <v/>
          </cell>
        </row>
        <row r="2636">
          <cell r="A2636" t="str">
            <v/>
          </cell>
        </row>
        <row r="2637">
          <cell r="A2637" t="str">
            <v/>
          </cell>
        </row>
        <row r="2638">
          <cell r="A2638" t="str">
            <v/>
          </cell>
        </row>
        <row r="2639">
          <cell r="A2639" t="str">
            <v/>
          </cell>
        </row>
        <row r="2640">
          <cell r="A2640" t="str">
            <v/>
          </cell>
        </row>
        <row r="2641">
          <cell r="A2641" t="str">
            <v/>
          </cell>
        </row>
        <row r="2642">
          <cell r="A2642" t="str">
            <v/>
          </cell>
        </row>
        <row r="2643">
          <cell r="A2643" t="str">
            <v/>
          </cell>
        </row>
        <row r="2644">
          <cell r="A2644" t="str">
            <v/>
          </cell>
        </row>
        <row r="2645">
          <cell r="A2645" t="str">
            <v/>
          </cell>
        </row>
        <row r="2646">
          <cell r="A2646" t="str">
            <v/>
          </cell>
        </row>
        <row r="2647">
          <cell r="A2647" t="str">
            <v/>
          </cell>
        </row>
        <row r="2648">
          <cell r="A2648" t="str">
            <v/>
          </cell>
        </row>
        <row r="2649">
          <cell r="A2649" t="str">
            <v/>
          </cell>
        </row>
        <row r="2650">
          <cell r="A2650" t="str">
            <v/>
          </cell>
        </row>
        <row r="2651">
          <cell r="A2651" t="str">
            <v/>
          </cell>
        </row>
        <row r="2652">
          <cell r="A2652" t="str">
            <v/>
          </cell>
        </row>
        <row r="2653">
          <cell r="A2653" t="str">
            <v/>
          </cell>
        </row>
        <row r="2654">
          <cell r="A2654" t="str">
            <v/>
          </cell>
        </row>
        <row r="2655">
          <cell r="A2655" t="str">
            <v/>
          </cell>
        </row>
        <row r="2656">
          <cell r="A2656" t="str">
            <v/>
          </cell>
        </row>
        <row r="2657">
          <cell r="A2657" t="str">
            <v/>
          </cell>
        </row>
        <row r="2658">
          <cell r="A2658" t="str">
            <v/>
          </cell>
        </row>
        <row r="2659">
          <cell r="A2659" t="str">
            <v/>
          </cell>
        </row>
        <row r="2660">
          <cell r="A2660" t="str">
            <v/>
          </cell>
        </row>
        <row r="2661">
          <cell r="A2661" t="str">
            <v/>
          </cell>
        </row>
        <row r="2662">
          <cell r="A2662" t="str">
            <v/>
          </cell>
        </row>
        <row r="2663">
          <cell r="A2663" t="str">
            <v/>
          </cell>
        </row>
        <row r="2664">
          <cell r="A2664" t="str">
            <v/>
          </cell>
        </row>
        <row r="2665">
          <cell r="A2665" t="str">
            <v/>
          </cell>
        </row>
        <row r="2666">
          <cell r="A2666" t="str">
            <v/>
          </cell>
        </row>
        <row r="2667">
          <cell r="A2667" t="str">
            <v/>
          </cell>
        </row>
        <row r="2668">
          <cell r="A2668" t="str">
            <v/>
          </cell>
        </row>
        <row r="2669">
          <cell r="A2669" t="str">
            <v/>
          </cell>
        </row>
        <row r="2670">
          <cell r="A2670" t="str">
            <v/>
          </cell>
        </row>
        <row r="2671">
          <cell r="A2671" t="str">
            <v/>
          </cell>
        </row>
        <row r="2672">
          <cell r="A2672" t="str">
            <v/>
          </cell>
        </row>
        <row r="2673">
          <cell r="A2673" t="str">
            <v/>
          </cell>
        </row>
        <row r="2674">
          <cell r="A2674" t="str">
            <v/>
          </cell>
        </row>
        <row r="2675">
          <cell r="A2675" t="str">
            <v/>
          </cell>
        </row>
        <row r="2676">
          <cell r="A2676" t="str">
            <v/>
          </cell>
        </row>
        <row r="2677">
          <cell r="A2677" t="str">
            <v/>
          </cell>
        </row>
        <row r="2678">
          <cell r="A2678" t="str">
            <v/>
          </cell>
        </row>
        <row r="2679">
          <cell r="A2679" t="str">
            <v/>
          </cell>
        </row>
        <row r="2680">
          <cell r="A2680" t="str">
            <v/>
          </cell>
        </row>
        <row r="2681">
          <cell r="A2681" t="str">
            <v/>
          </cell>
        </row>
        <row r="2682">
          <cell r="A2682" t="str">
            <v/>
          </cell>
        </row>
        <row r="2683">
          <cell r="A2683" t="str">
            <v/>
          </cell>
        </row>
        <row r="2684">
          <cell r="A2684" t="str">
            <v/>
          </cell>
        </row>
        <row r="2685">
          <cell r="A2685" t="str">
            <v/>
          </cell>
        </row>
        <row r="2686">
          <cell r="A2686" t="str">
            <v/>
          </cell>
        </row>
        <row r="2687">
          <cell r="A2687" t="str">
            <v/>
          </cell>
        </row>
        <row r="2688">
          <cell r="A2688" t="str">
            <v/>
          </cell>
        </row>
        <row r="2689">
          <cell r="A2689" t="str">
            <v/>
          </cell>
        </row>
        <row r="2690">
          <cell r="A2690" t="str">
            <v/>
          </cell>
        </row>
        <row r="2691">
          <cell r="A2691" t="str">
            <v/>
          </cell>
        </row>
        <row r="2692">
          <cell r="A2692" t="str">
            <v/>
          </cell>
        </row>
        <row r="2693">
          <cell r="A2693" t="str">
            <v/>
          </cell>
        </row>
        <row r="2694">
          <cell r="A2694" t="str">
            <v/>
          </cell>
        </row>
        <row r="2695">
          <cell r="A2695" t="str">
            <v/>
          </cell>
        </row>
        <row r="2696">
          <cell r="A2696" t="str">
            <v/>
          </cell>
        </row>
        <row r="2697">
          <cell r="A2697" t="str">
            <v/>
          </cell>
        </row>
        <row r="2698">
          <cell r="A2698" t="str">
            <v/>
          </cell>
        </row>
        <row r="2699">
          <cell r="A2699" t="str">
            <v/>
          </cell>
        </row>
        <row r="2700">
          <cell r="A2700" t="str">
            <v/>
          </cell>
        </row>
        <row r="2701">
          <cell r="A2701" t="str">
            <v/>
          </cell>
        </row>
        <row r="2702">
          <cell r="A2702" t="str">
            <v/>
          </cell>
        </row>
        <row r="2703">
          <cell r="A2703" t="str">
            <v/>
          </cell>
        </row>
        <row r="2704">
          <cell r="A2704" t="str">
            <v/>
          </cell>
        </row>
        <row r="2705">
          <cell r="A2705" t="str">
            <v/>
          </cell>
        </row>
        <row r="2706">
          <cell r="A2706" t="str">
            <v/>
          </cell>
        </row>
        <row r="2707">
          <cell r="A2707" t="str">
            <v/>
          </cell>
        </row>
        <row r="2708">
          <cell r="A2708" t="str">
            <v/>
          </cell>
        </row>
        <row r="2709">
          <cell r="A2709" t="str">
            <v/>
          </cell>
        </row>
        <row r="2710">
          <cell r="A2710" t="str">
            <v/>
          </cell>
        </row>
        <row r="2711">
          <cell r="A2711" t="str">
            <v/>
          </cell>
        </row>
        <row r="2712">
          <cell r="A2712" t="str">
            <v/>
          </cell>
        </row>
        <row r="2713">
          <cell r="A2713" t="str">
            <v/>
          </cell>
        </row>
        <row r="2714">
          <cell r="A2714" t="str">
            <v/>
          </cell>
        </row>
        <row r="2715">
          <cell r="A2715" t="str">
            <v/>
          </cell>
        </row>
        <row r="2716">
          <cell r="A2716" t="str">
            <v/>
          </cell>
        </row>
        <row r="2717">
          <cell r="A2717" t="str">
            <v/>
          </cell>
        </row>
        <row r="2718">
          <cell r="A2718" t="str">
            <v/>
          </cell>
        </row>
        <row r="2719">
          <cell r="A2719" t="str">
            <v/>
          </cell>
        </row>
        <row r="2720">
          <cell r="A2720" t="str">
            <v/>
          </cell>
        </row>
        <row r="2721">
          <cell r="A2721" t="str">
            <v/>
          </cell>
        </row>
        <row r="2722">
          <cell r="A2722" t="str">
            <v/>
          </cell>
        </row>
        <row r="2723">
          <cell r="A2723" t="str">
            <v/>
          </cell>
        </row>
        <row r="2724">
          <cell r="A2724" t="str">
            <v/>
          </cell>
        </row>
        <row r="2725">
          <cell r="A2725" t="str">
            <v/>
          </cell>
        </row>
        <row r="2726">
          <cell r="A2726" t="str">
            <v/>
          </cell>
        </row>
        <row r="2727">
          <cell r="A2727" t="str">
            <v/>
          </cell>
        </row>
        <row r="2728">
          <cell r="A2728" t="str">
            <v/>
          </cell>
        </row>
        <row r="2729">
          <cell r="A2729" t="str">
            <v/>
          </cell>
        </row>
        <row r="2730">
          <cell r="A2730" t="str">
            <v/>
          </cell>
        </row>
        <row r="2731">
          <cell r="A2731" t="str">
            <v/>
          </cell>
        </row>
        <row r="2732">
          <cell r="A2732" t="str">
            <v/>
          </cell>
        </row>
        <row r="2733">
          <cell r="A2733" t="str">
            <v/>
          </cell>
        </row>
        <row r="2734">
          <cell r="A2734" t="str">
            <v/>
          </cell>
        </row>
        <row r="2735">
          <cell r="A2735" t="str">
            <v/>
          </cell>
        </row>
        <row r="2736">
          <cell r="A2736" t="str">
            <v/>
          </cell>
        </row>
        <row r="2737">
          <cell r="A2737" t="str">
            <v/>
          </cell>
        </row>
        <row r="2738">
          <cell r="A2738" t="str">
            <v/>
          </cell>
        </row>
        <row r="2739">
          <cell r="A2739" t="str">
            <v/>
          </cell>
        </row>
        <row r="2740">
          <cell r="A2740" t="str">
            <v/>
          </cell>
        </row>
        <row r="2741">
          <cell r="A2741" t="str">
            <v/>
          </cell>
        </row>
        <row r="2742">
          <cell r="A2742" t="str">
            <v/>
          </cell>
        </row>
        <row r="2743">
          <cell r="A2743" t="str">
            <v/>
          </cell>
        </row>
        <row r="2744">
          <cell r="A2744" t="str">
            <v/>
          </cell>
        </row>
        <row r="2745">
          <cell r="A2745" t="str">
            <v/>
          </cell>
        </row>
        <row r="2746">
          <cell r="A2746" t="str">
            <v/>
          </cell>
        </row>
        <row r="2747">
          <cell r="A2747" t="str">
            <v/>
          </cell>
        </row>
        <row r="2748">
          <cell r="A2748" t="str">
            <v/>
          </cell>
        </row>
        <row r="2749">
          <cell r="A2749" t="str">
            <v/>
          </cell>
        </row>
        <row r="2750">
          <cell r="A2750" t="str">
            <v/>
          </cell>
        </row>
        <row r="2751">
          <cell r="A2751" t="str">
            <v/>
          </cell>
        </row>
        <row r="2752">
          <cell r="A2752" t="str">
            <v/>
          </cell>
        </row>
        <row r="2753">
          <cell r="A2753" t="str">
            <v/>
          </cell>
        </row>
        <row r="2754">
          <cell r="A2754" t="str">
            <v/>
          </cell>
        </row>
        <row r="2755">
          <cell r="A2755" t="str">
            <v/>
          </cell>
        </row>
        <row r="2756">
          <cell r="A2756" t="str">
            <v/>
          </cell>
        </row>
        <row r="2757">
          <cell r="A2757" t="str">
            <v/>
          </cell>
        </row>
        <row r="2758">
          <cell r="A2758" t="str">
            <v/>
          </cell>
        </row>
        <row r="2759">
          <cell r="A2759" t="str">
            <v/>
          </cell>
        </row>
        <row r="2760">
          <cell r="A2760" t="str">
            <v/>
          </cell>
        </row>
        <row r="2761">
          <cell r="A2761" t="str">
            <v/>
          </cell>
        </row>
        <row r="2762">
          <cell r="A2762" t="str">
            <v/>
          </cell>
        </row>
        <row r="2763">
          <cell r="A2763" t="str">
            <v/>
          </cell>
        </row>
        <row r="2764">
          <cell r="A2764" t="str">
            <v/>
          </cell>
        </row>
        <row r="2765">
          <cell r="A2765" t="str">
            <v/>
          </cell>
        </row>
        <row r="2766">
          <cell r="A2766" t="str">
            <v/>
          </cell>
        </row>
        <row r="2767">
          <cell r="A2767" t="str">
            <v/>
          </cell>
        </row>
        <row r="2768">
          <cell r="A2768" t="str">
            <v/>
          </cell>
        </row>
        <row r="2769">
          <cell r="A2769" t="str">
            <v/>
          </cell>
        </row>
        <row r="2770">
          <cell r="A2770" t="str">
            <v/>
          </cell>
        </row>
        <row r="2771">
          <cell r="A2771" t="str">
            <v/>
          </cell>
        </row>
        <row r="2772">
          <cell r="A2772" t="str">
            <v/>
          </cell>
        </row>
        <row r="2773">
          <cell r="A2773" t="str">
            <v/>
          </cell>
        </row>
        <row r="2774">
          <cell r="A2774" t="str">
            <v/>
          </cell>
        </row>
        <row r="2775">
          <cell r="A2775" t="str">
            <v/>
          </cell>
        </row>
        <row r="2776">
          <cell r="A2776" t="str">
            <v/>
          </cell>
        </row>
        <row r="2777">
          <cell r="A2777" t="str">
            <v/>
          </cell>
        </row>
        <row r="2778">
          <cell r="A2778" t="str">
            <v/>
          </cell>
        </row>
        <row r="2779">
          <cell r="A2779" t="str">
            <v/>
          </cell>
        </row>
        <row r="2780">
          <cell r="A2780" t="str">
            <v/>
          </cell>
        </row>
        <row r="2781">
          <cell r="A2781" t="str">
            <v/>
          </cell>
        </row>
        <row r="2782">
          <cell r="A2782" t="str">
            <v/>
          </cell>
        </row>
        <row r="2783">
          <cell r="A2783" t="str">
            <v/>
          </cell>
        </row>
        <row r="2784">
          <cell r="A2784" t="str">
            <v/>
          </cell>
        </row>
        <row r="2785">
          <cell r="A2785" t="str">
            <v/>
          </cell>
        </row>
        <row r="2786">
          <cell r="A2786" t="str">
            <v/>
          </cell>
        </row>
        <row r="2787">
          <cell r="A2787" t="str">
            <v/>
          </cell>
        </row>
        <row r="2788">
          <cell r="A2788" t="str">
            <v/>
          </cell>
        </row>
        <row r="2789">
          <cell r="A2789" t="str">
            <v/>
          </cell>
        </row>
        <row r="2790">
          <cell r="A2790" t="str">
            <v/>
          </cell>
        </row>
        <row r="2791">
          <cell r="A2791" t="str">
            <v/>
          </cell>
        </row>
        <row r="2792">
          <cell r="A2792" t="str">
            <v/>
          </cell>
        </row>
        <row r="2793">
          <cell r="A2793" t="str">
            <v/>
          </cell>
        </row>
        <row r="2794">
          <cell r="A2794" t="str">
            <v/>
          </cell>
        </row>
        <row r="2795">
          <cell r="A2795" t="str">
            <v/>
          </cell>
        </row>
        <row r="2796">
          <cell r="A2796" t="str">
            <v/>
          </cell>
        </row>
        <row r="2797">
          <cell r="A2797" t="str">
            <v/>
          </cell>
        </row>
        <row r="2798">
          <cell r="A2798" t="str">
            <v/>
          </cell>
        </row>
        <row r="2799">
          <cell r="A2799" t="str">
            <v/>
          </cell>
        </row>
        <row r="2800">
          <cell r="A2800" t="str">
            <v/>
          </cell>
        </row>
        <row r="2801">
          <cell r="A2801" t="str">
            <v/>
          </cell>
        </row>
        <row r="2802">
          <cell r="A2802" t="str">
            <v/>
          </cell>
        </row>
        <row r="2803">
          <cell r="A2803" t="str">
            <v/>
          </cell>
        </row>
        <row r="2804">
          <cell r="A2804" t="str">
            <v/>
          </cell>
        </row>
        <row r="2805">
          <cell r="A2805" t="str">
            <v/>
          </cell>
        </row>
        <row r="2806">
          <cell r="A2806" t="str">
            <v/>
          </cell>
        </row>
        <row r="2807">
          <cell r="A2807" t="str">
            <v/>
          </cell>
        </row>
        <row r="2808">
          <cell r="A2808" t="str">
            <v/>
          </cell>
        </row>
        <row r="2809">
          <cell r="A2809" t="str">
            <v/>
          </cell>
        </row>
        <row r="2810">
          <cell r="A2810" t="str">
            <v/>
          </cell>
        </row>
        <row r="2811">
          <cell r="A2811" t="str">
            <v/>
          </cell>
        </row>
        <row r="2812">
          <cell r="A2812" t="str">
            <v/>
          </cell>
        </row>
        <row r="2813">
          <cell r="A2813" t="str">
            <v/>
          </cell>
        </row>
        <row r="2814">
          <cell r="A2814" t="str">
            <v/>
          </cell>
        </row>
        <row r="2815">
          <cell r="A2815" t="str">
            <v/>
          </cell>
        </row>
        <row r="2816">
          <cell r="A2816" t="str">
            <v/>
          </cell>
        </row>
        <row r="2817">
          <cell r="A2817" t="str">
            <v/>
          </cell>
        </row>
        <row r="2818">
          <cell r="A2818" t="str">
            <v/>
          </cell>
        </row>
        <row r="2819">
          <cell r="A2819" t="str">
            <v/>
          </cell>
        </row>
        <row r="2820">
          <cell r="A2820" t="str">
            <v/>
          </cell>
        </row>
        <row r="2821">
          <cell r="A2821" t="str">
            <v/>
          </cell>
        </row>
        <row r="2822">
          <cell r="A2822" t="str">
            <v/>
          </cell>
        </row>
        <row r="2823">
          <cell r="A2823" t="str">
            <v/>
          </cell>
        </row>
        <row r="2824">
          <cell r="A2824" t="str">
            <v/>
          </cell>
        </row>
        <row r="2825">
          <cell r="A2825" t="str">
            <v/>
          </cell>
        </row>
        <row r="2826">
          <cell r="A2826" t="str">
            <v/>
          </cell>
        </row>
        <row r="2827">
          <cell r="A2827" t="str">
            <v/>
          </cell>
        </row>
        <row r="2828">
          <cell r="A2828" t="str">
            <v/>
          </cell>
        </row>
        <row r="2829">
          <cell r="A2829" t="str">
            <v/>
          </cell>
        </row>
        <row r="2830">
          <cell r="A2830" t="str">
            <v/>
          </cell>
        </row>
        <row r="2831">
          <cell r="A2831" t="str">
            <v/>
          </cell>
        </row>
        <row r="2832">
          <cell r="A2832" t="str">
            <v/>
          </cell>
        </row>
        <row r="2833">
          <cell r="A2833" t="str">
            <v/>
          </cell>
        </row>
        <row r="2834">
          <cell r="A2834" t="str">
            <v/>
          </cell>
        </row>
        <row r="2835">
          <cell r="A2835" t="str">
            <v/>
          </cell>
        </row>
        <row r="2836">
          <cell r="A2836" t="str">
            <v/>
          </cell>
        </row>
        <row r="2837">
          <cell r="A2837" t="str">
            <v/>
          </cell>
        </row>
        <row r="2838">
          <cell r="A2838" t="str">
            <v/>
          </cell>
        </row>
        <row r="2839">
          <cell r="A2839" t="str">
            <v/>
          </cell>
        </row>
        <row r="2840">
          <cell r="A2840" t="str">
            <v/>
          </cell>
        </row>
        <row r="2841">
          <cell r="A2841" t="str">
            <v/>
          </cell>
        </row>
        <row r="2842">
          <cell r="A2842" t="str">
            <v/>
          </cell>
        </row>
        <row r="2843">
          <cell r="A2843" t="str">
            <v/>
          </cell>
        </row>
        <row r="2844">
          <cell r="A2844" t="str">
            <v/>
          </cell>
        </row>
        <row r="2845">
          <cell r="A2845" t="str">
            <v/>
          </cell>
        </row>
        <row r="2846">
          <cell r="A2846" t="str">
            <v/>
          </cell>
        </row>
        <row r="2847">
          <cell r="A2847" t="str">
            <v/>
          </cell>
        </row>
        <row r="2848">
          <cell r="A2848" t="str">
            <v/>
          </cell>
        </row>
        <row r="2849">
          <cell r="A2849" t="str">
            <v/>
          </cell>
        </row>
        <row r="2850">
          <cell r="A2850" t="str">
            <v/>
          </cell>
        </row>
        <row r="2851">
          <cell r="A2851" t="str">
            <v/>
          </cell>
        </row>
        <row r="2852">
          <cell r="A2852" t="str">
            <v/>
          </cell>
        </row>
        <row r="2853">
          <cell r="A2853" t="str">
            <v/>
          </cell>
        </row>
        <row r="2854">
          <cell r="A2854" t="str">
            <v/>
          </cell>
        </row>
        <row r="2855">
          <cell r="A2855" t="str">
            <v/>
          </cell>
        </row>
        <row r="2856">
          <cell r="A2856" t="str">
            <v/>
          </cell>
        </row>
        <row r="2857">
          <cell r="A2857" t="str">
            <v/>
          </cell>
        </row>
        <row r="2858">
          <cell r="A2858" t="str">
            <v/>
          </cell>
        </row>
        <row r="2859">
          <cell r="A2859" t="str">
            <v/>
          </cell>
        </row>
        <row r="2860">
          <cell r="A2860" t="str">
            <v/>
          </cell>
        </row>
        <row r="2861">
          <cell r="A2861" t="str">
            <v/>
          </cell>
        </row>
        <row r="2862">
          <cell r="A2862" t="str">
            <v/>
          </cell>
        </row>
        <row r="2863">
          <cell r="A2863" t="str">
            <v/>
          </cell>
        </row>
        <row r="2864">
          <cell r="A2864" t="str">
            <v/>
          </cell>
        </row>
        <row r="2865">
          <cell r="A2865" t="str">
            <v/>
          </cell>
        </row>
        <row r="2866">
          <cell r="A2866" t="str">
            <v/>
          </cell>
        </row>
        <row r="2867">
          <cell r="A2867" t="str">
            <v/>
          </cell>
        </row>
        <row r="2868">
          <cell r="A2868" t="str">
            <v/>
          </cell>
        </row>
        <row r="2869">
          <cell r="A2869" t="str">
            <v/>
          </cell>
        </row>
        <row r="2870">
          <cell r="A2870" t="str">
            <v/>
          </cell>
        </row>
        <row r="2871">
          <cell r="A2871" t="str">
            <v/>
          </cell>
        </row>
        <row r="2872">
          <cell r="A2872" t="str">
            <v/>
          </cell>
        </row>
        <row r="2873">
          <cell r="A2873" t="str">
            <v/>
          </cell>
        </row>
        <row r="2874">
          <cell r="A2874" t="str">
            <v/>
          </cell>
        </row>
        <row r="2875">
          <cell r="A2875" t="str">
            <v/>
          </cell>
        </row>
        <row r="2876">
          <cell r="A2876" t="str">
            <v/>
          </cell>
        </row>
        <row r="2877">
          <cell r="A2877" t="str">
            <v/>
          </cell>
        </row>
        <row r="2878">
          <cell r="A2878" t="str">
            <v/>
          </cell>
        </row>
        <row r="2879">
          <cell r="A2879" t="str">
            <v/>
          </cell>
        </row>
        <row r="2880">
          <cell r="A2880" t="str">
            <v/>
          </cell>
        </row>
        <row r="2881">
          <cell r="A2881" t="str">
            <v/>
          </cell>
        </row>
        <row r="2882">
          <cell r="A2882" t="str">
            <v/>
          </cell>
        </row>
        <row r="2883">
          <cell r="A2883" t="str">
            <v/>
          </cell>
        </row>
        <row r="2884">
          <cell r="A2884" t="str">
            <v/>
          </cell>
        </row>
        <row r="2885">
          <cell r="A2885" t="str">
            <v/>
          </cell>
        </row>
        <row r="2886">
          <cell r="A2886" t="str">
            <v/>
          </cell>
        </row>
        <row r="2887">
          <cell r="A2887" t="str">
            <v/>
          </cell>
        </row>
        <row r="2888">
          <cell r="A2888" t="str">
            <v/>
          </cell>
        </row>
        <row r="2889">
          <cell r="A2889" t="str">
            <v/>
          </cell>
        </row>
        <row r="2890">
          <cell r="A2890" t="str">
            <v/>
          </cell>
        </row>
        <row r="2891">
          <cell r="A2891" t="str">
            <v/>
          </cell>
        </row>
        <row r="2892">
          <cell r="A2892" t="str">
            <v/>
          </cell>
        </row>
        <row r="2893">
          <cell r="A2893" t="str">
            <v/>
          </cell>
        </row>
        <row r="2894">
          <cell r="A2894" t="str">
            <v/>
          </cell>
        </row>
        <row r="2895">
          <cell r="A2895" t="str">
            <v/>
          </cell>
        </row>
        <row r="2896">
          <cell r="A2896" t="str">
            <v/>
          </cell>
        </row>
        <row r="2897">
          <cell r="A2897" t="str">
            <v/>
          </cell>
        </row>
        <row r="2898">
          <cell r="A2898" t="str">
            <v/>
          </cell>
        </row>
        <row r="2899">
          <cell r="A2899" t="str">
            <v/>
          </cell>
        </row>
        <row r="2900">
          <cell r="A2900" t="str">
            <v/>
          </cell>
        </row>
        <row r="2901">
          <cell r="A2901" t="str">
            <v/>
          </cell>
        </row>
        <row r="2902">
          <cell r="A2902" t="str">
            <v/>
          </cell>
        </row>
        <row r="2903">
          <cell r="A2903" t="str">
            <v/>
          </cell>
        </row>
        <row r="2904">
          <cell r="A2904" t="str">
            <v/>
          </cell>
        </row>
        <row r="2905">
          <cell r="A2905" t="str">
            <v/>
          </cell>
        </row>
        <row r="2906">
          <cell r="A2906" t="str">
            <v/>
          </cell>
        </row>
        <row r="2907">
          <cell r="A2907" t="str">
            <v/>
          </cell>
        </row>
        <row r="2908">
          <cell r="A2908" t="str">
            <v/>
          </cell>
        </row>
        <row r="2909">
          <cell r="A2909" t="str">
            <v/>
          </cell>
        </row>
        <row r="2910">
          <cell r="A2910" t="str">
            <v/>
          </cell>
        </row>
        <row r="2911">
          <cell r="A2911" t="str">
            <v/>
          </cell>
        </row>
        <row r="2912">
          <cell r="A2912" t="str">
            <v/>
          </cell>
        </row>
        <row r="2913">
          <cell r="A2913" t="str">
            <v/>
          </cell>
        </row>
        <row r="2914">
          <cell r="A2914" t="str">
            <v/>
          </cell>
        </row>
        <row r="2915">
          <cell r="A2915" t="str">
            <v/>
          </cell>
        </row>
        <row r="2916">
          <cell r="A2916" t="str">
            <v/>
          </cell>
        </row>
        <row r="2917">
          <cell r="A2917" t="str">
            <v/>
          </cell>
        </row>
        <row r="2918">
          <cell r="A2918" t="str">
            <v/>
          </cell>
        </row>
        <row r="2919">
          <cell r="A2919" t="str">
            <v/>
          </cell>
        </row>
        <row r="2920">
          <cell r="A2920" t="str">
            <v/>
          </cell>
        </row>
        <row r="2921">
          <cell r="A2921" t="str">
            <v/>
          </cell>
        </row>
        <row r="2922">
          <cell r="A2922" t="str">
            <v/>
          </cell>
        </row>
        <row r="2923">
          <cell r="A2923" t="str">
            <v/>
          </cell>
        </row>
        <row r="2924">
          <cell r="A2924" t="str">
            <v/>
          </cell>
        </row>
        <row r="2925">
          <cell r="A2925" t="str">
            <v/>
          </cell>
        </row>
        <row r="2926">
          <cell r="A2926" t="str">
            <v/>
          </cell>
        </row>
        <row r="2927">
          <cell r="A2927" t="str">
            <v/>
          </cell>
        </row>
        <row r="2928">
          <cell r="A2928" t="str">
            <v/>
          </cell>
        </row>
        <row r="2929">
          <cell r="A2929" t="str">
            <v/>
          </cell>
        </row>
        <row r="2930">
          <cell r="A2930" t="str">
            <v/>
          </cell>
        </row>
        <row r="2931">
          <cell r="A2931" t="str">
            <v/>
          </cell>
        </row>
        <row r="2932">
          <cell r="A2932" t="str">
            <v/>
          </cell>
        </row>
        <row r="2933">
          <cell r="A2933" t="str">
            <v/>
          </cell>
        </row>
        <row r="2934">
          <cell r="A2934" t="str">
            <v/>
          </cell>
        </row>
        <row r="2935">
          <cell r="A2935" t="str">
            <v/>
          </cell>
        </row>
        <row r="2936">
          <cell r="A2936" t="str">
            <v/>
          </cell>
        </row>
        <row r="2937">
          <cell r="A2937" t="str">
            <v/>
          </cell>
        </row>
        <row r="2938">
          <cell r="A2938" t="str">
            <v/>
          </cell>
        </row>
        <row r="2939">
          <cell r="A2939" t="str">
            <v/>
          </cell>
        </row>
        <row r="2940">
          <cell r="A2940" t="str">
            <v/>
          </cell>
        </row>
        <row r="2941">
          <cell r="A2941" t="str">
            <v/>
          </cell>
        </row>
        <row r="2942">
          <cell r="A2942" t="str">
            <v/>
          </cell>
        </row>
        <row r="2943">
          <cell r="A2943" t="str">
            <v/>
          </cell>
        </row>
        <row r="2944">
          <cell r="A2944" t="str">
            <v/>
          </cell>
        </row>
        <row r="2945">
          <cell r="A2945" t="str">
            <v/>
          </cell>
        </row>
        <row r="2946">
          <cell r="A2946" t="str">
            <v/>
          </cell>
        </row>
        <row r="2947">
          <cell r="A2947" t="str">
            <v/>
          </cell>
        </row>
        <row r="2948">
          <cell r="A2948" t="str">
            <v/>
          </cell>
        </row>
        <row r="2949">
          <cell r="A2949" t="str">
            <v/>
          </cell>
        </row>
        <row r="2950">
          <cell r="A2950" t="str">
            <v/>
          </cell>
        </row>
        <row r="2951">
          <cell r="A2951" t="str">
            <v/>
          </cell>
        </row>
        <row r="2952">
          <cell r="A2952" t="str">
            <v/>
          </cell>
        </row>
        <row r="2953">
          <cell r="A2953" t="str">
            <v/>
          </cell>
        </row>
        <row r="2954">
          <cell r="A2954" t="str">
            <v/>
          </cell>
        </row>
        <row r="2955">
          <cell r="A2955" t="str">
            <v/>
          </cell>
        </row>
        <row r="2956">
          <cell r="A2956" t="str">
            <v/>
          </cell>
        </row>
        <row r="2957">
          <cell r="A2957" t="str">
            <v/>
          </cell>
        </row>
        <row r="2958">
          <cell r="A2958" t="str">
            <v/>
          </cell>
        </row>
        <row r="2959">
          <cell r="A2959" t="str">
            <v/>
          </cell>
        </row>
        <row r="2960">
          <cell r="A2960" t="str">
            <v/>
          </cell>
        </row>
        <row r="2961">
          <cell r="A2961" t="str">
            <v/>
          </cell>
        </row>
        <row r="2962">
          <cell r="A2962" t="str">
            <v/>
          </cell>
        </row>
        <row r="2963">
          <cell r="A2963" t="str">
            <v/>
          </cell>
        </row>
        <row r="2964">
          <cell r="A2964" t="str">
            <v/>
          </cell>
        </row>
        <row r="2965">
          <cell r="A2965" t="str">
            <v/>
          </cell>
        </row>
        <row r="2966">
          <cell r="A2966" t="str">
            <v/>
          </cell>
        </row>
        <row r="2967">
          <cell r="A2967" t="str">
            <v/>
          </cell>
        </row>
        <row r="2968">
          <cell r="A2968" t="str">
            <v/>
          </cell>
        </row>
        <row r="2969">
          <cell r="A2969" t="str">
            <v/>
          </cell>
        </row>
        <row r="2970">
          <cell r="A2970" t="str">
            <v/>
          </cell>
        </row>
        <row r="2971">
          <cell r="A2971" t="str">
            <v/>
          </cell>
        </row>
        <row r="2972">
          <cell r="A2972" t="str">
            <v/>
          </cell>
        </row>
        <row r="2973">
          <cell r="A2973" t="str">
            <v/>
          </cell>
        </row>
        <row r="2974">
          <cell r="A2974" t="str">
            <v/>
          </cell>
        </row>
        <row r="2975">
          <cell r="A2975" t="str">
            <v/>
          </cell>
        </row>
        <row r="2976">
          <cell r="A2976" t="str">
            <v/>
          </cell>
        </row>
        <row r="2977">
          <cell r="A2977" t="str">
            <v/>
          </cell>
        </row>
        <row r="2978">
          <cell r="A2978" t="str">
            <v/>
          </cell>
        </row>
        <row r="2979">
          <cell r="A2979" t="str">
            <v/>
          </cell>
        </row>
        <row r="2980">
          <cell r="A2980" t="str">
            <v/>
          </cell>
        </row>
        <row r="2981">
          <cell r="A2981" t="str">
            <v/>
          </cell>
        </row>
        <row r="2982">
          <cell r="A2982" t="str">
            <v/>
          </cell>
        </row>
        <row r="2983">
          <cell r="A2983" t="str">
            <v/>
          </cell>
        </row>
        <row r="2984">
          <cell r="A2984" t="str">
            <v/>
          </cell>
        </row>
        <row r="2985">
          <cell r="A2985" t="str">
            <v/>
          </cell>
        </row>
        <row r="2986">
          <cell r="A2986" t="str">
            <v/>
          </cell>
        </row>
        <row r="2987">
          <cell r="A2987" t="str">
            <v/>
          </cell>
        </row>
        <row r="2988">
          <cell r="A2988" t="str">
            <v/>
          </cell>
        </row>
        <row r="2989">
          <cell r="A2989" t="str">
            <v/>
          </cell>
        </row>
        <row r="2990">
          <cell r="A2990" t="str">
            <v/>
          </cell>
        </row>
        <row r="2991">
          <cell r="A2991" t="str">
            <v/>
          </cell>
        </row>
        <row r="2992">
          <cell r="A2992" t="str">
            <v/>
          </cell>
        </row>
        <row r="2993">
          <cell r="A2993" t="str">
            <v/>
          </cell>
        </row>
        <row r="2994">
          <cell r="A2994" t="str">
            <v/>
          </cell>
        </row>
        <row r="2995">
          <cell r="A2995" t="str">
            <v/>
          </cell>
        </row>
        <row r="2996">
          <cell r="A2996" t="str">
            <v/>
          </cell>
        </row>
        <row r="2997">
          <cell r="A2997" t="str">
            <v/>
          </cell>
        </row>
        <row r="2998">
          <cell r="A2998" t="str">
            <v/>
          </cell>
        </row>
        <row r="2999">
          <cell r="A2999" t="str">
            <v/>
          </cell>
        </row>
        <row r="3000">
          <cell r="A3000" t="str">
            <v/>
          </cell>
        </row>
        <row r="3001">
          <cell r="A3001" t="str">
            <v/>
          </cell>
        </row>
        <row r="3002">
          <cell r="A3002" t="str">
            <v/>
          </cell>
        </row>
        <row r="3003">
          <cell r="A3003" t="str">
            <v/>
          </cell>
        </row>
        <row r="3004">
          <cell r="A3004" t="str">
            <v/>
          </cell>
        </row>
        <row r="3005">
          <cell r="A3005" t="str">
            <v/>
          </cell>
        </row>
        <row r="3006">
          <cell r="A3006" t="str">
            <v/>
          </cell>
        </row>
        <row r="3007">
          <cell r="A3007" t="str">
            <v/>
          </cell>
        </row>
        <row r="3008">
          <cell r="A3008" t="str">
            <v/>
          </cell>
        </row>
        <row r="3009">
          <cell r="A3009" t="str">
            <v/>
          </cell>
        </row>
        <row r="3010">
          <cell r="A3010" t="str">
            <v/>
          </cell>
        </row>
        <row r="3011">
          <cell r="A3011" t="str">
            <v/>
          </cell>
        </row>
        <row r="3012">
          <cell r="A3012" t="str">
            <v/>
          </cell>
        </row>
        <row r="3013">
          <cell r="A3013" t="str">
            <v/>
          </cell>
        </row>
        <row r="3014">
          <cell r="A3014" t="str">
            <v/>
          </cell>
        </row>
        <row r="3015">
          <cell r="A3015" t="str">
            <v/>
          </cell>
        </row>
        <row r="3016">
          <cell r="A3016" t="str">
            <v/>
          </cell>
        </row>
        <row r="3017">
          <cell r="A3017" t="str">
            <v/>
          </cell>
        </row>
        <row r="3018">
          <cell r="A3018" t="str">
            <v/>
          </cell>
        </row>
        <row r="3019">
          <cell r="A3019" t="str">
            <v/>
          </cell>
        </row>
        <row r="3020">
          <cell r="A3020" t="str">
            <v/>
          </cell>
        </row>
        <row r="3021">
          <cell r="A3021" t="str">
            <v/>
          </cell>
        </row>
        <row r="3022">
          <cell r="A3022" t="str">
            <v/>
          </cell>
        </row>
        <row r="3023">
          <cell r="A3023" t="str">
            <v/>
          </cell>
        </row>
        <row r="3024">
          <cell r="A3024" t="str">
            <v/>
          </cell>
        </row>
        <row r="3025">
          <cell r="A3025" t="str">
            <v/>
          </cell>
        </row>
        <row r="3026">
          <cell r="A3026" t="str">
            <v/>
          </cell>
        </row>
        <row r="3027">
          <cell r="A3027" t="str">
            <v/>
          </cell>
        </row>
        <row r="3028">
          <cell r="A3028" t="str">
            <v/>
          </cell>
        </row>
        <row r="3029">
          <cell r="A3029" t="str">
            <v/>
          </cell>
        </row>
        <row r="3030">
          <cell r="A3030" t="str">
            <v/>
          </cell>
        </row>
        <row r="3031">
          <cell r="A3031" t="str">
            <v/>
          </cell>
        </row>
        <row r="3032">
          <cell r="A3032" t="str">
            <v/>
          </cell>
        </row>
        <row r="3033">
          <cell r="A3033" t="str">
            <v/>
          </cell>
        </row>
        <row r="3034">
          <cell r="A3034" t="str">
            <v/>
          </cell>
        </row>
        <row r="3035">
          <cell r="A3035" t="str">
            <v/>
          </cell>
        </row>
        <row r="3036">
          <cell r="A3036" t="str">
            <v/>
          </cell>
        </row>
        <row r="3037">
          <cell r="A3037" t="str">
            <v/>
          </cell>
        </row>
        <row r="3038">
          <cell r="A3038" t="str">
            <v/>
          </cell>
        </row>
        <row r="3039">
          <cell r="A3039" t="str">
            <v/>
          </cell>
        </row>
        <row r="3040">
          <cell r="A3040" t="str">
            <v/>
          </cell>
        </row>
        <row r="3041">
          <cell r="A3041" t="str">
            <v/>
          </cell>
        </row>
        <row r="3042">
          <cell r="A3042" t="str">
            <v/>
          </cell>
        </row>
        <row r="3043">
          <cell r="A3043" t="str">
            <v/>
          </cell>
        </row>
        <row r="3044">
          <cell r="A3044" t="str">
            <v/>
          </cell>
        </row>
        <row r="3045">
          <cell r="A3045" t="str">
            <v/>
          </cell>
        </row>
        <row r="3046">
          <cell r="A3046" t="str">
            <v/>
          </cell>
        </row>
        <row r="3047">
          <cell r="A3047" t="str">
            <v/>
          </cell>
        </row>
        <row r="3048">
          <cell r="A3048" t="str">
            <v/>
          </cell>
        </row>
        <row r="3049">
          <cell r="A3049" t="str">
            <v/>
          </cell>
        </row>
        <row r="3050">
          <cell r="A3050" t="str">
            <v/>
          </cell>
        </row>
        <row r="3051">
          <cell r="A3051" t="str">
            <v/>
          </cell>
        </row>
        <row r="3052">
          <cell r="A3052" t="str">
            <v/>
          </cell>
        </row>
        <row r="3053">
          <cell r="A3053" t="str">
            <v/>
          </cell>
        </row>
        <row r="3054">
          <cell r="A3054" t="str">
            <v/>
          </cell>
        </row>
        <row r="3055">
          <cell r="A3055" t="str">
            <v/>
          </cell>
        </row>
        <row r="3056">
          <cell r="A3056" t="str">
            <v/>
          </cell>
        </row>
        <row r="3057">
          <cell r="A3057" t="str">
            <v/>
          </cell>
        </row>
        <row r="3058">
          <cell r="A3058" t="str">
            <v/>
          </cell>
        </row>
        <row r="3059">
          <cell r="A3059" t="str">
            <v/>
          </cell>
        </row>
        <row r="3060">
          <cell r="A3060" t="str">
            <v/>
          </cell>
        </row>
        <row r="3061">
          <cell r="A3061" t="str">
            <v/>
          </cell>
        </row>
        <row r="3062">
          <cell r="A3062" t="str">
            <v/>
          </cell>
        </row>
        <row r="3063">
          <cell r="A3063" t="str">
            <v/>
          </cell>
        </row>
        <row r="3064">
          <cell r="A3064" t="str">
            <v/>
          </cell>
        </row>
        <row r="3065">
          <cell r="A3065" t="str">
            <v/>
          </cell>
        </row>
        <row r="3066">
          <cell r="A3066" t="str">
            <v/>
          </cell>
        </row>
        <row r="3067">
          <cell r="A3067" t="str">
            <v/>
          </cell>
        </row>
        <row r="3068">
          <cell r="A3068" t="str">
            <v/>
          </cell>
        </row>
        <row r="3069">
          <cell r="A3069" t="str">
            <v/>
          </cell>
        </row>
        <row r="3070">
          <cell r="A3070" t="str">
            <v/>
          </cell>
        </row>
        <row r="3071">
          <cell r="A3071" t="str">
            <v/>
          </cell>
        </row>
        <row r="3072">
          <cell r="A3072" t="str">
            <v/>
          </cell>
        </row>
        <row r="3073">
          <cell r="A3073" t="str">
            <v/>
          </cell>
        </row>
        <row r="3074">
          <cell r="A3074" t="str">
            <v/>
          </cell>
        </row>
        <row r="3075">
          <cell r="A3075" t="str">
            <v/>
          </cell>
        </row>
        <row r="3076">
          <cell r="A3076" t="str">
            <v/>
          </cell>
        </row>
        <row r="3077">
          <cell r="A3077" t="str">
            <v/>
          </cell>
        </row>
        <row r="3078">
          <cell r="A3078" t="str">
            <v/>
          </cell>
        </row>
        <row r="3079">
          <cell r="A3079" t="str">
            <v/>
          </cell>
        </row>
        <row r="3080">
          <cell r="A3080" t="str">
            <v/>
          </cell>
        </row>
        <row r="3081">
          <cell r="A3081" t="str">
            <v/>
          </cell>
        </row>
        <row r="3082">
          <cell r="A3082" t="str">
            <v/>
          </cell>
        </row>
        <row r="3083">
          <cell r="A3083" t="str">
            <v/>
          </cell>
        </row>
        <row r="3084">
          <cell r="A3084" t="str">
            <v/>
          </cell>
        </row>
        <row r="3085">
          <cell r="A3085" t="str">
            <v/>
          </cell>
        </row>
        <row r="3086">
          <cell r="A3086" t="str">
            <v/>
          </cell>
        </row>
        <row r="3087">
          <cell r="A3087" t="str">
            <v/>
          </cell>
        </row>
        <row r="3088">
          <cell r="A3088" t="str">
            <v/>
          </cell>
        </row>
        <row r="3089">
          <cell r="A3089" t="str">
            <v/>
          </cell>
        </row>
        <row r="3090">
          <cell r="A3090" t="str">
            <v/>
          </cell>
        </row>
        <row r="3091">
          <cell r="A3091" t="str">
            <v/>
          </cell>
        </row>
        <row r="3092">
          <cell r="A3092" t="str">
            <v/>
          </cell>
        </row>
        <row r="3093">
          <cell r="A3093" t="str">
            <v/>
          </cell>
        </row>
        <row r="3094">
          <cell r="A3094" t="str">
            <v/>
          </cell>
        </row>
        <row r="3095">
          <cell r="A3095" t="str">
            <v/>
          </cell>
        </row>
        <row r="3096">
          <cell r="A3096" t="str">
            <v/>
          </cell>
        </row>
        <row r="3097">
          <cell r="A3097" t="str">
            <v/>
          </cell>
        </row>
        <row r="3098">
          <cell r="A3098" t="str">
            <v/>
          </cell>
        </row>
        <row r="3099">
          <cell r="A3099" t="str">
            <v/>
          </cell>
        </row>
        <row r="3100">
          <cell r="A3100" t="str">
            <v/>
          </cell>
        </row>
        <row r="3101">
          <cell r="A3101" t="str">
            <v/>
          </cell>
        </row>
        <row r="3102">
          <cell r="A3102" t="str">
            <v/>
          </cell>
        </row>
        <row r="3103">
          <cell r="A3103" t="str">
            <v/>
          </cell>
        </row>
        <row r="3104">
          <cell r="A3104" t="str">
            <v/>
          </cell>
        </row>
        <row r="3105">
          <cell r="A3105" t="str">
            <v/>
          </cell>
        </row>
        <row r="3106">
          <cell r="A3106" t="str">
            <v/>
          </cell>
        </row>
        <row r="3107">
          <cell r="A3107" t="str">
            <v/>
          </cell>
        </row>
        <row r="3108">
          <cell r="A3108" t="str">
            <v/>
          </cell>
        </row>
        <row r="3109">
          <cell r="A3109" t="str">
            <v/>
          </cell>
        </row>
        <row r="3110">
          <cell r="A3110" t="str">
            <v/>
          </cell>
        </row>
        <row r="3111">
          <cell r="A3111" t="str">
            <v/>
          </cell>
        </row>
        <row r="3112">
          <cell r="A3112" t="str">
            <v/>
          </cell>
        </row>
        <row r="3113">
          <cell r="A3113" t="str">
            <v/>
          </cell>
        </row>
        <row r="3114">
          <cell r="A3114" t="str">
            <v/>
          </cell>
        </row>
        <row r="3115">
          <cell r="A3115" t="str">
            <v/>
          </cell>
        </row>
        <row r="3116">
          <cell r="A3116" t="str">
            <v/>
          </cell>
        </row>
        <row r="3117">
          <cell r="A3117" t="str">
            <v/>
          </cell>
        </row>
        <row r="3118">
          <cell r="A3118" t="str">
            <v/>
          </cell>
        </row>
        <row r="3119">
          <cell r="A3119" t="str">
            <v/>
          </cell>
        </row>
        <row r="3120">
          <cell r="A3120" t="str">
            <v/>
          </cell>
        </row>
        <row r="3121">
          <cell r="A3121" t="str">
            <v/>
          </cell>
        </row>
        <row r="3122">
          <cell r="A3122" t="str">
            <v/>
          </cell>
        </row>
        <row r="3123">
          <cell r="A3123" t="str">
            <v/>
          </cell>
        </row>
        <row r="3124">
          <cell r="A3124" t="str">
            <v/>
          </cell>
        </row>
        <row r="3125">
          <cell r="A3125" t="str">
            <v/>
          </cell>
        </row>
        <row r="3126">
          <cell r="A3126" t="str">
            <v/>
          </cell>
        </row>
        <row r="3127">
          <cell r="A3127" t="str">
            <v/>
          </cell>
        </row>
        <row r="3128">
          <cell r="A3128" t="str">
            <v/>
          </cell>
        </row>
        <row r="3129">
          <cell r="A3129" t="str">
            <v/>
          </cell>
        </row>
        <row r="3130">
          <cell r="A3130" t="str">
            <v/>
          </cell>
        </row>
        <row r="3131">
          <cell r="A3131" t="str">
            <v/>
          </cell>
        </row>
        <row r="3132">
          <cell r="A3132" t="str">
            <v/>
          </cell>
        </row>
        <row r="3133">
          <cell r="A3133" t="str">
            <v/>
          </cell>
        </row>
        <row r="3134">
          <cell r="A3134" t="str">
            <v/>
          </cell>
        </row>
        <row r="3135">
          <cell r="A3135" t="str">
            <v/>
          </cell>
        </row>
        <row r="3136">
          <cell r="A3136" t="str">
            <v/>
          </cell>
        </row>
        <row r="3137">
          <cell r="A3137" t="str">
            <v/>
          </cell>
        </row>
        <row r="3138">
          <cell r="A3138" t="str">
            <v/>
          </cell>
        </row>
        <row r="3139">
          <cell r="A3139" t="str">
            <v/>
          </cell>
        </row>
        <row r="3140">
          <cell r="A3140" t="str">
            <v/>
          </cell>
        </row>
        <row r="3141">
          <cell r="A3141" t="str">
            <v/>
          </cell>
        </row>
        <row r="3142">
          <cell r="A3142" t="str">
            <v/>
          </cell>
        </row>
        <row r="3143">
          <cell r="A3143" t="str">
            <v/>
          </cell>
        </row>
        <row r="3144">
          <cell r="A3144" t="str">
            <v/>
          </cell>
        </row>
        <row r="3145">
          <cell r="A3145" t="str">
            <v/>
          </cell>
        </row>
        <row r="3146">
          <cell r="A3146" t="str">
            <v/>
          </cell>
        </row>
        <row r="3147">
          <cell r="A3147" t="str">
            <v/>
          </cell>
        </row>
        <row r="3148">
          <cell r="A3148" t="str">
            <v/>
          </cell>
        </row>
        <row r="3149">
          <cell r="A3149" t="str">
            <v/>
          </cell>
        </row>
        <row r="3150">
          <cell r="A3150" t="str">
            <v/>
          </cell>
        </row>
        <row r="3151">
          <cell r="A3151" t="str">
            <v/>
          </cell>
        </row>
        <row r="3152">
          <cell r="A3152" t="str">
            <v/>
          </cell>
        </row>
        <row r="3153">
          <cell r="A3153" t="str">
            <v/>
          </cell>
        </row>
        <row r="3154">
          <cell r="A3154" t="str">
            <v/>
          </cell>
        </row>
        <row r="3155">
          <cell r="A3155" t="str">
            <v/>
          </cell>
        </row>
        <row r="3156">
          <cell r="A3156" t="str">
            <v/>
          </cell>
        </row>
        <row r="3157">
          <cell r="A3157" t="str">
            <v/>
          </cell>
        </row>
        <row r="3158">
          <cell r="A3158" t="str">
            <v/>
          </cell>
        </row>
        <row r="3159">
          <cell r="A3159" t="str">
            <v/>
          </cell>
        </row>
        <row r="3160">
          <cell r="A3160" t="str">
            <v/>
          </cell>
        </row>
        <row r="3161">
          <cell r="A3161" t="str">
            <v/>
          </cell>
        </row>
        <row r="3162">
          <cell r="A3162" t="str">
            <v/>
          </cell>
        </row>
        <row r="3163">
          <cell r="A3163" t="str">
            <v/>
          </cell>
        </row>
        <row r="3164">
          <cell r="A3164" t="str">
            <v/>
          </cell>
        </row>
        <row r="3165">
          <cell r="A3165" t="str">
            <v/>
          </cell>
        </row>
        <row r="3166">
          <cell r="A3166" t="str">
            <v/>
          </cell>
        </row>
        <row r="3167">
          <cell r="A3167" t="str">
            <v/>
          </cell>
        </row>
        <row r="3168">
          <cell r="A3168" t="str">
            <v/>
          </cell>
        </row>
        <row r="3169">
          <cell r="A3169" t="str">
            <v/>
          </cell>
        </row>
        <row r="3170">
          <cell r="A3170" t="str">
            <v/>
          </cell>
        </row>
        <row r="3171">
          <cell r="A3171" t="str">
            <v/>
          </cell>
        </row>
        <row r="3172">
          <cell r="A3172" t="str">
            <v/>
          </cell>
        </row>
        <row r="3173">
          <cell r="A3173" t="str">
            <v/>
          </cell>
        </row>
        <row r="3174">
          <cell r="A3174" t="str">
            <v/>
          </cell>
        </row>
        <row r="3175">
          <cell r="A3175" t="str">
            <v/>
          </cell>
        </row>
        <row r="3176">
          <cell r="A3176" t="str">
            <v/>
          </cell>
        </row>
        <row r="3177">
          <cell r="A3177" t="str">
            <v/>
          </cell>
        </row>
        <row r="3178">
          <cell r="A3178" t="str">
            <v/>
          </cell>
        </row>
        <row r="3179">
          <cell r="A3179" t="str">
            <v/>
          </cell>
        </row>
        <row r="3180">
          <cell r="A3180" t="str">
            <v/>
          </cell>
        </row>
        <row r="3181">
          <cell r="A3181" t="str">
            <v/>
          </cell>
        </row>
        <row r="3182">
          <cell r="A3182" t="str">
            <v/>
          </cell>
        </row>
        <row r="3183">
          <cell r="A3183" t="str">
            <v/>
          </cell>
        </row>
        <row r="3184">
          <cell r="A3184" t="str">
            <v/>
          </cell>
        </row>
        <row r="3185">
          <cell r="A3185" t="str">
            <v/>
          </cell>
        </row>
        <row r="3186">
          <cell r="A3186" t="str">
            <v/>
          </cell>
        </row>
        <row r="3187">
          <cell r="A3187" t="str">
            <v/>
          </cell>
        </row>
        <row r="3188">
          <cell r="A3188" t="str">
            <v/>
          </cell>
        </row>
        <row r="3189">
          <cell r="A3189" t="str">
            <v/>
          </cell>
        </row>
        <row r="3190">
          <cell r="A3190" t="str">
            <v/>
          </cell>
        </row>
        <row r="3191">
          <cell r="A3191" t="str">
            <v/>
          </cell>
        </row>
        <row r="3192">
          <cell r="A3192" t="str">
            <v/>
          </cell>
        </row>
        <row r="3193">
          <cell r="A3193" t="str">
            <v/>
          </cell>
        </row>
        <row r="3194">
          <cell r="A3194" t="str">
            <v/>
          </cell>
        </row>
        <row r="3195">
          <cell r="A3195" t="str">
            <v/>
          </cell>
        </row>
        <row r="3196">
          <cell r="A3196" t="str">
            <v/>
          </cell>
        </row>
        <row r="3197">
          <cell r="A3197" t="str">
            <v/>
          </cell>
        </row>
        <row r="3198">
          <cell r="A3198" t="str">
            <v/>
          </cell>
        </row>
        <row r="3199">
          <cell r="A3199" t="str">
            <v/>
          </cell>
        </row>
        <row r="3200">
          <cell r="A3200" t="str">
            <v/>
          </cell>
        </row>
        <row r="3201">
          <cell r="A3201" t="str">
            <v/>
          </cell>
        </row>
        <row r="3202">
          <cell r="A3202" t="str">
            <v/>
          </cell>
        </row>
        <row r="3203">
          <cell r="A3203" t="str">
            <v/>
          </cell>
        </row>
        <row r="3204">
          <cell r="A3204" t="str">
            <v/>
          </cell>
        </row>
        <row r="3205">
          <cell r="A3205" t="str">
            <v/>
          </cell>
        </row>
        <row r="3206">
          <cell r="A3206" t="str">
            <v/>
          </cell>
        </row>
        <row r="3207">
          <cell r="A3207" t="str">
            <v/>
          </cell>
        </row>
        <row r="3208">
          <cell r="A3208" t="str">
            <v/>
          </cell>
        </row>
        <row r="3209">
          <cell r="A3209" t="str">
            <v/>
          </cell>
        </row>
        <row r="3210">
          <cell r="A3210" t="str">
            <v/>
          </cell>
        </row>
        <row r="3211">
          <cell r="A3211" t="str">
            <v/>
          </cell>
        </row>
        <row r="3212">
          <cell r="A3212" t="str">
            <v/>
          </cell>
        </row>
        <row r="3213">
          <cell r="A3213" t="str">
            <v/>
          </cell>
        </row>
        <row r="3214">
          <cell r="A3214" t="str">
            <v/>
          </cell>
        </row>
        <row r="3215">
          <cell r="A3215" t="str">
            <v/>
          </cell>
        </row>
        <row r="3216">
          <cell r="A3216" t="str">
            <v/>
          </cell>
        </row>
        <row r="3217">
          <cell r="A3217" t="str">
            <v/>
          </cell>
        </row>
        <row r="3218">
          <cell r="A3218" t="str">
            <v/>
          </cell>
        </row>
        <row r="3219">
          <cell r="A3219" t="str">
            <v/>
          </cell>
        </row>
        <row r="3220">
          <cell r="A3220" t="str">
            <v/>
          </cell>
        </row>
        <row r="3221">
          <cell r="A3221" t="str">
            <v/>
          </cell>
        </row>
        <row r="3222">
          <cell r="A3222" t="str">
            <v/>
          </cell>
        </row>
        <row r="3223">
          <cell r="A3223" t="str">
            <v/>
          </cell>
        </row>
        <row r="3224">
          <cell r="A3224" t="str">
            <v/>
          </cell>
        </row>
        <row r="3225">
          <cell r="A3225" t="str">
            <v/>
          </cell>
        </row>
        <row r="3226">
          <cell r="A3226" t="str">
            <v/>
          </cell>
        </row>
        <row r="3227">
          <cell r="A3227" t="str">
            <v/>
          </cell>
        </row>
        <row r="3228">
          <cell r="A3228" t="str">
            <v/>
          </cell>
        </row>
        <row r="3229">
          <cell r="A3229" t="str">
            <v/>
          </cell>
        </row>
        <row r="3230">
          <cell r="A3230" t="str">
            <v/>
          </cell>
        </row>
        <row r="3231">
          <cell r="A3231" t="str">
            <v/>
          </cell>
        </row>
        <row r="3232">
          <cell r="A3232" t="str">
            <v/>
          </cell>
        </row>
        <row r="3233">
          <cell r="A3233" t="str">
            <v/>
          </cell>
        </row>
        <row r="3234">
          <cell r="A3234" t="str">
            <v/>
          </cell>
        </row>
        <row r="3235">
          <cell r="A3235" t="str">
            <v/>
          </cell>
        </row>
        <row r="3236">
          <cell r="A3236" t="str">
            <v/>
          </cell>
        </row>
        <row r="3237">
          <cell r="A3237" t="str">
            <v/>
          </cell>
        </row>
        <row r="3238">
          <cell r="A3238" t="str">
            <v/>
          </cell>
        </row>
        <row r="3239">
          <cell r="A3239" t="str">
            <v/>
          </cell>
        </row>
        <row r="3240">
          <cell r="A3240" t="str">
            <v/>
          </cell>
        </row>
        <row r="3241">
          <cell r="A3241" t="str">
            <v/>
          </cell>
        </row>
        <row r="3242">
          <cell r="A3242" t="str">
            <v/>
          </cell>
        </row>
        <row r="3243">
          <cell r="A3243" t="str">
            <v/>
          </cell>
        </row>
        <row r="3244">
          <cell r="A3244" t="str">
            <v/>
          </cell>
        </row>
        <row r="3245">
          <cell r="A3245" t="str">
            <v/>
          </cell>
        </row>
        <row r="3246">
          <cell r="A3246" t="str">
            <v/>
          </cell>
        </row>
        <row r="3247">
          <cell r="A3247" t="str">
            <v/>
          </cell>
        </row>
        <row r="3248">
          <cell r="A3248" t="str">
            <v/>
          </cell>
        </row>
        <row r="3249">
          <cell r="A3249" t="str">
            <v/>
          </cell>
        </row>
        <row r="3250">
          <cell r="A3250" t="str">
            <v/>
          </cell>
        </row>
        <row r="3251">
          <cell r="A3251" t="str">
            <v/>
          </cell>
        </row>
        <row r="3252">
          <cell r="A3252" t="str">
            <v/>
          </cell>
        </row>
        <row r="3253">
          <cell r="A3253" t="str">
            <v/>
          </cell>
        </row>
        <row r="3254">
          <cell r="A3254" t="str">
            <v/>
          </cell>
        </row>
        <row r="3255">
          <cell r="A3255" t="str">
            <v/>
          </cell>
        </row>
        <row r="3256">
          <cell r="A3256" t="str">
            <v/>
          </cell>
        </row>
        <row r="3257">
          <cell r="A3257" t="str">
            <v/>
          </cell>
        </row>
        <row r="3258">
          <cell r="A3258" t="str">
            <v/>
          </cell>
        </row>
        <row r="3259">
          <cell r="A3259" t="str">
            <v/>
          </cell>
        </row>
        <row r="3260">
          <cell r="A3260" t="str">
            <v/>
          </cell>
        </row>
        <row r="3261">
          <cell r="A3261" t="str">
            <v/>
          </cell>
        </row>
        <row r="3262">
          <cell r="A3262" t="str">
            <v/>
          </cell>
        </row>
        <row r="3263">
          <cell r="A3263" t="str">
            <v/>
          </cell>
        </row>
        <row r="3264">
          <cell r="A3264" t="str">
            <v/>
          </cell>
        </row>
        <row r="3265">
          <cell r="A3265" t="str">
            <v/>
          </cell>
        </row>
        <row r="3266">
          <cell r="A3266" t="str">
            <v/>
          </cell>
        </row>
        <row r="3267">
          <cell r="A3267" t="str">
            <v/>
          </cell>
        </row>
        <row r="3268">
          <cell r="A3268" t="str">
            <v/>
          </cell>
        </row>
        <row r="3269">
          <cell r="A3269" t="str">
            <v/>
          </cell>
        </row>
        <row r="3270">
          <cell r="A3270" t="str">
            <v/>
          </cell>
        </row>
        <row r="3271">
          <cell r="A3271" t="str">
            <v/>
          </cell>
        </row>
        <row r="3272">
          <cell r="A3272" t="str">
            <v/>
          </cell>
        </row>
        <row r="3273">
          <cell r="A3273" t="str">
            <v/>
          </cell>
        </row>
        <row r="3274">
          <cell r="A3274" t="str">
            <v/>
          </cell>
        </row>
        <row r="3275">
          <cell r="A3275" t="str">
            <v/>
          </cell>
        </row>
        <row r="3276">
          <cell r="A3276" t="str">
            <v/>
          </cell>
        </row>
        <row r="3277">
          <cell r="A3277" t="str">
            <v/>
          </cell>
        </row>
        <row r="3278">
          <cell r="A3278" t="str">
            <v/>
          </cell>
        </row>
        <row r="3279">
          <cell r="A3279" t="str">
            <v/>
          </cell>
        </row>
        <row r="3280">
          <cell r="A3280" t="str">
            <v/>
          </cell>
        </row>
        <row r="3281">
          <cell r="A3281" t="str">
            <v/>
          </cell>
        </row>
        <row r="3282">
          <cell r="A3282" t="str">
            <v/>
          </cell>
        </row>
        <row r="3283">
          <cell r="A3283" t="str">
            <v/>
          </cell>
        </row>
        <row r="3284">
          <cell r="A3284" t="str">
            <v/>
          </cell>
        </row>
        <row r="3285">
          <cell r="A3285" t="str">
            <v/>
          </cell>
        </row>
        <row r="3286">
          <cell r="A3286" t="str">
            <v/>
          </cell>
        </row>
        <row r="3287">
          <cell r="A3287" t="str">
            <v/>
          </cell>
        </row>
        <row r="3288">
          <cell r="A3288" t="str">
            <v/>
          </cell>
        </row>
        <row r="3289">
          <cell r="A3289" t="str">
            <v/>
          </cell>
        </row>
        <row r="3290">
          <cell r="A3290" t="str">
            <v/>
          </cell>
        </row>
        <row r="3291">
          <cell r="A3291" t="str">
            <v/>
          </cell>
        </row>
        <row r="3292">
          <cell r="A3292" t="str">
            <v/>
          </cell>
        </row>
        <row r="3293">
          <cell r="A3293" t="str">
            <v/>
          </cell>
        </row>
        <row r="3294">
          <cell r="A3294" t="str">
            <v/>
          </cell>
        </row>
        <row r="3295">
          <cell r="A3295" t="str">
            <v/>
          </cell>
        </row>
        <row r="3296">
          <cell r="A3296" t="str">
            <v/>
          </cell>
        </row>
        <row r="3297">
          <cell r="A3297" t="str">
            <v/>
          </cell>
        </row>
        <row r="3298">
          <cell r="A3298" t="str">
            <v/>
          </cell>
        </row>
        <row r="3299">
          <cell r="A3299" t="str">
            <v/>
          </cell>
        </row>
        <row r="3300">
          <cell r="A3300" t="str">
            <v/>
          </cell>
        </row>
        <row r="3301">
          <cell r="A3301" t="str">
            <v/>
          </cell>
        </row>
        <row r="3302">
          <cell r="A3302" t="str">
            <v/>
          </cell>
        </row>
        <row r="3303">
          <cell r="A3303" t="str">
            <v/>
          </cell>
        </row>
        <row r="3304">
          <cell r="A3304" t="str">
            <v/>
          </cell>
        </row>
        <row r="3305">
          <cell r="A3305" t="str">
            <v/>
          </cell>
        </row>
        <row r="3306">
          <cell r="A3306" t="str">
            <v/>
          </cell>
        </row>
        <row r="3307">
          <cell r="A3307" t="str">
            <v/>
          </cell>
        </row>
        <row r="3308">
          <cell r="A3308" t="str">
            <v/>
          </cell>
        </row>
        <row r="3309">
          <cell r="A3309" t="str">
            <v/>
          </cell>
        </row>
        <row r="3310">
          <cell r="A3310" t="str">
            <v/>
          </cell>
        </row>
        <row r="3311">
          <cell r="A3311" t="str">
            <v/>
          </cell>
        </row>
        <row r="3312">
          <cell r="A3312" t="str">
            <v/>
          </cell>
        </row>
        <row r="3313">
          <cell r="A3313" t="str">
            <v/>
          </cell>
        </row>
        <row r="3314">
          <cell r="A3314" t="str">
            <v/>
          </cell>
        </row>
        <row r="3315">
          <cell r="A3315" t="str">
            <v/>
          </cell>
        </row>
        <row r="3316">
          <cell r="A3316" t="str">
            <v/>
          </cell>
        </row>
        <row r="3317">
          <cell r="A3317" t="str">
            <v/>
          </cell>
        </row>
        <row r="3318">
          <cell r="A3318" t="str">
            <v/>
          </cell>
        </row>
        <row r="3319">
          <cell r="A3319" t="str">
            <v/>
          </cell>
        </row>
        <row r="3320">
          <cell r="A3320" t="str">
            <v/>
          </cell>
        </row>
        <row r="3321">
          <cell r="A3321" t="str">
            <v/>
          </cell>
        </row>
        <row r="3322">
          <cell r="A3322" t="str">
            <v/>
          </cell>
        </row>
        <row r="3323">
          <cell r="A3323" t="str">
            <v/>
          </cell>
        </row>
        <row r="3324">
          <cell r="A3324" t="str">
            <v/>
          </cell>
        </row>
        <row r="3325">
          <cell r="A3325" t="str">
            <v/>
          </cell>
        </row>
        <row r="3326">
          <cell r="A3326" t="str">
            <v/>
          </cell>
        </row>
        <row r="3327">
          <cell r="A3327" t="str">
            <v/>
          </cell>
        </row>
        <row r="3328">
          <cell r="A3328" t="str">
            <v/>
          </cell>
        </row>
        <row r="3329">
          <cell r="A3329" t="str">
            <v/>
          </cell>
        </row>
        <row r="3330">
          <cell r="A3330" t="str">
            <v/>
          </cell>
        </row>
        <row r="3331">
          <cell r="A3331" t="str">
            <v/>
          </cell>
        </row>
        <row r="3332">
          <cell r="A3332" t="str">
            <v/>
          </cell>
        </row>
        <row r="3333">
          <cell r="A3333" t="str">
            <v/>
          </cell>
        </row>
        <row r="3334">
          <cell r="A3334" t="str">
            <v/>
          </cell>
        </row>
        <row r="3335">
          <cell r="A3335" t="str">
            <v/>
          </cell>
        </row>
        <row r="3336">
          <cell r="A3336" t="str">
            <v/>
          </cell>
        </row>
        <row r="3337">
          <cell r="A3337" t="str">
            <v/>
          </cell>
        </row>
        <row r="3338">
          <cell r="A3338" t="str">
            <v/>
          </cell>
        </row>
        <row r="3339">
          <cell r="A3339" t="str">
            <v/>
          </cell>
        </row>
        <row r="3340">
          <cell r="A3340" t="str">
            <v/>
          </cell>
        </row>
        <row r="3341">
          <cell r="A3341" t="str">
            <v/>
          </cell>
        </row>
        <row r="3342">
          <cell r="A3342" t="str">
            <v/>
          </cell>
        </row>
        <row r="3343">
          <cell r="A3343" t="str">
            <v/>
          </cell>
        </row>
        <row r="3344">
          <cell r="A3344" t="str">
            <v/>
          </cell>
        </row>
        <row r="3345">
          <cell r="A3345" t="str">
            <v/>
          </cell>
        </row>
        <row r="3346">
          <cell r="A3346" t="str">
            <v/>
          </cell>
        </row>
        <row r="3347">
          <cell r="A3347" t="str">
            <v/>
          </cell>
        </row>
        <row r="3348">
          <cell r="A3348" t="str">
            <v/>
          </cell>
        </row>
        <row r="3349">
          <cell r="A3349" t="str">
            <v/>
          </cell>
        </row>
        <row r="3350">
          <cell r="A3350" t="str">
            <v/>
          </cell>
        </row>
        <row r="3351">
          <cell r="A3351" t="str">
            <v/>
          </cell>
        </row>
        <row r="3352">
          <cell r="A3352" t="str">
            <v/>
          </cell>
        </row>
        <row r="3353">
          <cell r="A3353" t="str">
            <v/>
          </cell>
        </row>
        <row r="3354">
          <cell r="A3354" t="str">
            <v/>
          </cell>
        </row>
        <row r="3355">
          <cell r="A3355" t="str">
            <v/>
          </cell>
        </row>
        <row r="3356">
          <cell r="A3356" t="str">
            <v/>
          </cell>
        </row>
        <row r="3357">
          <cell r="A3357" t="str">
            <v/>
          </cell>
        </row>
        <row r="3358">
          <cell r="A3358" t="str">
            <v/>
          </cell>
        </row>
        <row r="3359">
          <cell r="A3359" t="str">
            <v/>
          </cell>
        </row>
        <row r="3360">
          <cell r="A3360" t="str">
            <v/>
          </cell>
        </row>
        <row r="3361">
          <cell r="A3361" t="str">
            <v/>
          </cell>
        </row>
        <row r="3362">
          <cell r="A3362" t="str">
            <v/>
          </cell>
        </row>
        <row r="3363">
          <cell r="A3363" t="str">
            <v/>
          </cell>
        </row>
        <row r="3364">
          <cell r="A3364" t="str">
            <v/>
          </cell>
        </row>
        <row r="3365">
          <cell r="A3365" t="str">
            <v/>
          </cell>
        </row>
        <row r="3366">
          <cell r="A3366" t="str">
            <v/>
          </cell>
        </row>
        <row r="3367">
          <cell r="A3367" t="str">
            <v/>
          </cell>
        </row>
        <row r="3368">
          <cell r="A3368" t="str">
            <v/>
          </cell>
        </row>
        <row r="3369">
          <cell r="A3369" t="str">
            <v/>
          </cell>
        </row>
        <row r="3370">
          <cell r="A3370" t="str">
            <v/>
          </cell>
        </row>
        <row r="3371">
          <cell r="A3371" t="str">
            <v/>
          </cell>
        </row>
        <row r="3372">
          <cell r="A3372" t="str">
            <v/>
          </cell>
        </row>
        <row r="3373">
          <cell r="A3373" t="str">
            <v/>
          </cell>
        </row>
        <row r="3374">
          <cell r="A3374" t="str">
            <v/>
          </cell>
        </row>
        <row r="3375">
          <cell r="A3375" t="str">
            <v/>
          </cell>
        </row>
        <row r="3376">
          <cell r="A3376" t="str">
            <v/>
          </cell>
        </row>
        <row r="3377">
          <cell r="A3377" t="str">
            <v/>
          </cell>
        </row>
        <row r="3378">
          <cell r="A3378" t="str">
            <v/>
          </cell>
        </row>
        <row r="3379">
          <cell r="A3379" t="str">
            <v/>
          </cell>
        </row>
        <row r="3380">
          <cell r="A3380" t="str">
            <v/>
          </cell>
        </row>
        <row r="3381">
          <cell r="A3381" t="str">
            <v/>
          </cell>
        </row>
        <row r="3382">
          <cell r="A3382" t="str">
            <v/>
          </cell>
        </row>
        <row r="3383">
          <cell r="A3383" t="str">
            <v/>
          </cell>
        </row>
        <row r="3384">
          <cell r="A3384" t="str">
            <v/>
          </cell>
        </row>
        <row r="3385">
          <cell r="A3385" t="str">
            <v/>
          </cell>
        </row>
        <row r="3386">
          <cell r="A3386" t="str">
            <v/>
          </cell>
        </row>
        <row r="3387">
          <cell r="A3387" t="str">
            <v/>
          </cell>
        </row>
        <row r="3388">
          <cell r="A3388" t="str">
            <v/>
          </cell>
        </row>
        <row r="3389">
          <cell r="A3389" t="str">
            <v/>
          </cell>
        </row>
        <row r="3390">
          <cell r="A3390" t="str">
            <v/>
          </cell>
        </row>
        <row r="3391">
          <cell r="A3391" t="str">
            <v/>
          </cell>
        </row>
        <row r="3392">
          <cell r="A3392" t="str">
            <v/>
          </cell>
        </row>
        <row r="3393">
          <cell r="A3393" t="str">
            <v/>
          </cell>
        </row>
        <row r="3394">
          <cell r="A3394" t="str">
            <v/>
          </cell>
        </row>
        <row r="3395">
          <cell r="A3395" t="str">
            <v/>
          </cell>
        </row>
        <row r="3396">
          <cell r="A3396" t="str">
            <v/>
          </cell>
        </row>
        <row r="3397">
          <cell r="A3397" t="str">
            <v/>
          </cell>
        </row>
        <row r="3398">
          <cell r="A3398" t="str">
            <v/>
          </cell>
        </row>
        <row r="3399">
          <cell r="A3399" t="str">
            <v/>
          </cell>
        </row>
        <row r="3400">
          <cell r="A3400" t="str">
            <v/>
          </cell>
        </row>
        <row r="3401">
          <cell r="A3401" t="str">
            <v/>
          </cell>
        </row>
        <row r="3402">
          <cell r="A3402" t="str">
            <v/>
          </cell>
        </row>
        <row r="3403">
          <cell r="A3403" t="str">
            <v/>
          </cell>
        </row>
        <row r="3404">
          <cell r="A3404" t="str">
            <v/>
          </cell>
        </row>
        <row r="3405">
          <cell r="A3405" t="str">
            <v/>
          </cell>
        </row>
        <row r="3406">
          <cell r="A3406" t="str">
            <v/>
          </cell>
        </row>
        <row r="3407">
          <cell r="A3407" t="str">
            <v/>
          </cell>
        </row>
        <row r="3408">
          <cell r="A3408" t="str">
            <v/>
          </cell>
        </row>
        <row r="3409">
          <cell r="A3409" t="str">
            <v/>
          </cell>
        </row>
        <row r="3410">
          <cell r="A3410" t="str">
            <v/>
          </cell>
        </row>
        <row r="3411">
          <cell r="A3411" t="str">
            <v/>
          </cell>
        </row>
        <row r="3412">
          <cell r="A3412" t="str">
            <v/>
          </cell>
        </row>
        <row r="3413">
          <cell r="A3413" t="str">
            <v/>
          </cell>
        </row>
        <row r="3414">
          <cell r="A3414" t="str">
            <v/>
          </cell>
        </row>
        <row r="3415">
          <cell r="A3415" t="str">
            <v/>
          </cell>
        </row>
        <row r="3416">
          <cell r="A3416" t="str">
            <v/>
          </cell>
        </row>
        <row r="3417">
          <cell r="A3417" t="str">
            <v/>
          </cell>
        </row>
        <row r="3418">
          <cell r="A3418" t="str">
            <v/>
          </cell>
        </row>
        <row r="3419">
          <cell r="A3419" t="str">
            <v/>
          </cell>
        </row>
        <row r="3420">
          <cell r="A3420" t="str">
            <v/>
          </cell>
        </row>
        <row r="3421">
          <cell r="A3421" t="str">
            <v/>
          </cell>
        </row>
        <row r="3422">
          <cell r="A3422" t="str">
            <v/>
          </cell>
        </row>
        <row r="3423">
          <cell r="A3423" t="str">
            <v/>
          </cell>
        </row>
        <row r="3424">
          <cell r="A3424" t="str">
            <v/>
          </cell>
        </row>
        <row r="3425">
          <cell r="A3425" t="str">
            <v/>
          </cell>
        </row>
        <row r="3426">
          <cell r="A3426" t="str">
            <v/>
          </cell>
        </row>
        <row r="3427">
          <cell r="A3427" t="str">
            <v/>
          </cell>
        </row>
        <row r="3428">
          <cell r="A3428" t="str">
            <v/>
          </cell>
        </row>
        <row r="3429">
          <cell r="A3429" t="str">
            <v/>
          </cell>
        </row>
        <row r="3430">
          <cell r="A3430" t="str">
            <v/>
          </cell>
        </row>
        <row r="3431">
          <cell r="A3431" t="str">
            <v/>
          </cell>
        </row>
        <row r="3432">
          <cell r="A3432" t="str">
            <v/>
          </cell>
        </row>
        <row r="3433">
          <cell r="A3433" t="str">
            <v/>
          </cell>
        </row>
        <row r="3434">
          <cell r="A3434" t="str">
            <v/>
          </cell>
        </row>
        <row r="3435">
          <cell r="A3435" t="str">
            <v/>
          </cell>
        </row>
        <row r="3436">
          <cell r="A3436" t="str">
            <v/>
          </cell>
        </row>
        <row r="3437">
          <cell r="A3437" t="str">
            <v/>
          </cell>
        </row>
        <row r="3438">
          <cell r="A3438" t="str">
            <v/>
          </cell>
        </row>
        <row r="3439">
          <cell r="A3439" t="str">
            <v/>
          </cell>
        </row>
        <row r="3440">
          <cell r="A3440" t="str">
            <v/>
          </cell>
        </row>
        <row r="3441">
          <cell r="A3441" t="str">
            <v/>
          </cell>
        </row>
        <row r="3442">
          <cell r="A3442" t="str">
            <v/>
          </cell>
        </row>
        <row r="3443">
          <cell r="A3443" t="str">
            <v/>
          </cell>
        </row>
        <row r="3444">
          <cell r="A3444" t="str">
            <v/>
          </cell>
        </row>
        <row r="3445">
          <cell r="A3445" t="str">
            <v/>
          </cell>
        </row>
        <row r="3446">
          <cell r="A3446" t="str">
            <v/>
          </cell>
        </row>
        <row r="3447">
          <cell r="A3447" t="str">
            <v/>
          </cell>
        </row>
        <row r="3448">
          <cell r="A3448" t="str">
            <v/>
          </cell>
        </row>
        <row r="3449">
          <cell r="A3449" t="str">
            <v/>
          </cell>
        </row>
        <row r="3450">
          <cell r="A3450" t="str">
            <v/>
          </cell>
        </row>
        <row r="3451">
          <cell r="A3451" t="str">
            <v/>
          </cell>
        </row>
        <row r="3452">
          <cell r="A3452" t="str">
            <v/>
          </cell>
        </row>
        <row r="3453">
          <cell r="A3453" t="str">
            <v/>
          </cell>
        </row>
        <row r="3454">
          <cell r="A3454" t="str">
            <v/>
          </cell>
        </row>
        <row r="3455">
          <cell r="A3455" t="str">
            <v/>
          </cell>
        </row>
        <row r="3456">
          <cell r="A3456" t="str">
            <v/>
          </cell>
        </row>
        <row r="3457">
          <cell r="A3457" t="str">
            <v/>
          </cell>
        </row>
        <row r="3458">
          <cell r="A3458" t="str">
            <v/>
          </cell>
        </row>
        <row r="3459">
          <cell r="A3459" t="str">
            <v/>
          </cell>
        </row>
        <row r="3460">
          <cell r="A3460" t="str">
            <v/>
          </cell>
        </row>
        <row r="3461">
          <cell r="A3461" t="str">
            <v/>
          </cell>
        </row>
        <row r="3462">
          <cell r="A3462" t="str">
            <v/>
          </cell>
        </row>
        <row r="3463">
          <cell r="A3463" t="str">
            <v/>
          </cell>
        </row>
        <row r="3464">
          <cell r="A3464" t="str">
            <v/>
          </cell>
        </row>
        <row r="3465">
          <cell r="A3465" t="str">
            <v/>
          </cell>
        </row>
        <row r="3466">
          <cell r="A3466" t="str">
            <v/>
          </cell>
        </row>
        <row r="3467">
          <cell r="A3467" t="str">
            <v/>
          </cell>
        </row>
        <row r="3468">
          <cell r="A3468" t="str">
            <v/>
          </cell>
        </row>
        <row r="3469">
          <cell r="A3469" t="str">
            <v/>
          </cell>
        </row>
        <row r="3470">
          <cell r="A3470" t="str">
            <v/>
          </cell>
        </row>
        <row r="3471">
          <cell r="A3471" t="str">
            <v/>
          </cell>
        </row>
        <row r="3472">
          <cell r="A3472" t="str">
            <v/>
          </cell>
        </row>
        <row r="3473">
          <cell r="A3473" t="str">
            <v/>
          </cell>
        </row>
        <row r="3474">
          <cell r="A3474" t="str">
            <v/>
          </cell>
        </row>
        <row r="3475">
          <cell r="A3475" t="str">
            <v/>
          </cell>
        </row>
        <row r="3476">
          <cell r="A3476" t="str">
            <v/>
          </cell>
        </row>
        <row r="3477">
          <cell r="A3477" t="str">
            <v/>
          </cell>
        </row>
        <row r="3478">
          <cell r="A3478" t="str">
            <v/>
          </cell>
        </row>
        <row r="3479">
          <cell r="A3479" t="str">
            <v/>
          </cell>
        </row>
        <row r="3480">
          <cell r="A3480" t="str">
            <v/>
          </cell>
        </row>
        <row r="3481">
          <cell r="A3481" t="str">
            <v/>
          </cell>
        </row>
        <row r="3482">
          <cell r="A3482" t="str">
            <v/>
          </cell>
        </row>
        <row r="3483">
          <cell r="A3483" t="str">
            <v/>
          </cell>
        </row>
        <row r="3484">
          <cell r="A3484" t="str">
            <v/>
          </cell>
        </row>
        <row r="3485">
          <cell r="A3485" t="str">
            <v/>
          </cell>
        </row>
        <row r="3486">
          <cell r="A3486" t="str">
            <v/>
          </cell>
        </row>
        <row r="3487">
          <cell r="A3487" t="str">
            <v/>
          </cell>
        </row>
        <row r="3488">
          <cell r="A3488" t="str">
            <v/>
          </cell>
        </row>
        <row r="3489">
          <cell r="A3489" t="str">
            <v/>
          </cell>
        </row>
        <row r="3490">
          <cell r="A3490" t="str">
            <v/>
          </cell>
        </row>
        <row r="3491">
          <cell r="A3491" t="str">
            <v/>
          </cell>
        </row>
        <row r="3492">
          <cell r="A3492" t="str">
            <v/>
          </cell>
        </row>
        <row r="3493">
          <cell r="A3493" t="str">
            <v/>
          </cell>
        </row>
        <row r="3494">
          <cell r="A3494" t="str">
            <v/>
          </cell>
        </row>
        <row r="3495">
          <cell r="A3495" t="str">
            <v/>
          </cell>
        </row>
        <row r="3496">
          <cell r="A3496" t="str">
            <v/>
          </cell>
        </row>
        <row r="3497">
          <cell r="A3497" t="str">
            <v/>
          </cell>
        </row>
        <row r="3498">
          <cell r="A3498" t="str">
            <v/>
          </cell>
        </row>
        <row r="3499">
          <cell r="A3499" t="str">
            <v/>
          </cell>
        </row>
        <row r="3500">
          <cell r="A3500" t="str">
            <v/>
          </cell>
        </row>
        <row r="3501">
          <cell r="A3501" t="str">
            <v/>
          </cell>
        </row>
        <row r="3502">
          <cell r="A3502" t="str">
            <v/>
          </cell>
        </row>
        <row r="3503">
          <cell r="A3503" t="str">
            <v/>
          </cell>
        </row>
        <row r="3504">
          <cell r="A3504" t="str">
            <v/>
          </cell>
        </row>
        <row r="3505">
          <cell r="A3505" t="str">
            <v/>
          </cell>
        </row>
        <row r="3506">
          <cell r="A3506" t="str">
            <v/>
          </cell>
        </row>
        <row r="3507">
          <cell r="A3507" t="str">
            <v/>
          </cell>
        </row>
        <row r="3508">
          <cell r="A3508" t="str">
            <v/>
          </cell>
        </row>
        <row r="3509">
          <cell r="A3509" t="str">
            <v/>
          </cell>
        </row>
        <row r="3510">
          <cell r="A3510" t="str">
            <v/>
          </cell>
        </row>
        <row r="3511">
          <cell r="A3511" t="str">
            <v/>
          </cell>
        </row>
        <row r="3512">
          <cell r="A3512" t="str">
            <v/>
          </cell>
        </row>
        <row r="3513">
          <cell r="A3513" t="str">
            <v/>
          </cell>
        </row>
        <row r="3514">
          <cell r="A3514" t="str">
            <v/>
          </cell>
        </row>
        <row r="3515">
          <cell r="A3515" t="str">
            <v/>
          </cell>
        </row>
        <row r="3516">
          <cell r="A3516" t="str">
            <v/>
          </cell>
        </row>
        <row r="3517">
          <cell r="A3517" t="str">
            <v/>
          </cell>
        </row>
        <row r="3518">
          <cell r="A3518" t="str">
            <v/>
          </cell>
        </row>
        <row r="3519">
          <cell r="A3519" t="str">
            <v/>
          </cell>
        </row>
        <row r="3520">
          <cell r="A3520" t="str">
            <v/>
          </cell>
        </row>
        <row r="3521">
          <cell r="A3521" t="str">
            <v/>
          </cell>
        </row>
        <row r="3522">
          <cell r="A3522" t="str">
            <v/>
          </cell>
        </row>
        <row r="3523">
          <cell r="A3523" t="str">
            <v/>
          </cell>
        </row>
        <row r="3524">
          <cell r="A3524" t="str">
            <v/>
          </cell>
        </row>
        <row r="3525">
          <cell r="A3525" t="str">
            <v/>
          </cell>
        </row>
        <row r="3526">
          <cell r="A3526" t="str">
            <v/>
          </cell>
        </row>
        <row r="3527">
          <cell r="A3527" t="str">
            <v/>
          </cell>
        </row>
        <row r="3528">
          <cell r="A3528" t="str">
            <v/>
          </cell>
        </row>
        <row r="3529">
          <cell r="A3529" t="str">
            <v/>
          </cell>
        </row>
        <row r="3530">
          <cell r="A3530" t="str">
            <v/>
          </cell>
        </row>
        <row r="3531">
          <cell r="A3531" t="str">
            <v/>
          </cell>
        </row>
        <row r="3532">
          <cell r="A3532" t="str">
            <v/>
          </cell>
        </row>
        <row r="3533">
          <cell r="A3533" t="str">
            <v/>
          </cell>
        </row>
        <row r="3534">
          <cell r="A3534" t="str">
            <v/>
          </cell>
        </row>
        <row r="3535">
          <cell r="A3535" t="str">
            <v/>
          </cell>
        </row>
        <row r="3536">
          <cell r="A3536" t="str">
            <v/>
          </cell>
        </row>
        <row r="3537">
          <cell r="A3537" t="str">
            <v/>
          </cell>
        </row>
        <row r="3538">
          <cell r="A3538" t="str">
            <v/>
          </cell>
        </row>
        <row r="3539">
          <cell r="A3539" t="str">
            <v/>
          </cell>
        </row>
        <row r="3540">
          <cell r="A3540" t="str">
            <v/>
          </cell>
        </row>
        <row r="3541">
          <cell r="A3541" t="str">
            <v/>
          </cell>
        </row>
        <row r="3542">
          <cell r="A3542" t="str">
            <v/>
          </cell>
        </row>
        <row r="3543">
          <cell r="A3543" t="str">
            <v/>
          </cell>
        </row>
        <row r="3544">
          <cell r="A3544" t="str">
            <v/>
          </cell>
        </row>
        <row r="3545">
          <cell r="A3545" t="str">
            <v/>
          </cell>
        </row>
        <row r="3546">
          <cell r="A3546" t="str">
            <v/>
          </cell>
        </row>
        <row r="3547">
          <cell r="A3547" t="str">
            <v/>
          </cell>
        </row>
        <row r="3548">
          <cell r="A3548" t="str">
            <v/>
          </cell>
        </row>
        <row r="3549">
          <cell r="A3549" t="str">
            <v/>
          </cell>
        </row>
        <row r="3550">
          <cell r="A3550" t="str">
            <v/>
          </cell>
        </row>
        <row r="3551">
          <cell r="A3551" t="str">
            <v/>
          </cell>
        </row>
        <row r="3552">
          <cell r="A3552" t="str">
            <v/>
          </cell>
        </row>
        <row r="3553">
          <cell r="A3553" t="str">
            <v/>
          </cell>
        </row>
        <row r="3554">
          <cell r="A3554" t="str">
            <v/>
          </cell>
        </row>
        <row r="3555">
          <cell r="A3555" t="str">
            <v/>
          </cell>
        </row>
        <row r="3556">
          <cell r="A3556" t="str">
            <v/>
          </cell>
        </row>
        <row r="3557">
          <cell r="A3557" t="str">
            <v/>
          </cell>
        </row>
        <row r="3558">
          <cell r="A3558" t="str">
            <v/>
          </cell>
        </row>
        <row r="3559">
          <cell r="A3559" t="str">
            <v/>
          </cell>
        </row>
        <row r="3560">
          <cell r="A3560" t="str">
            <v/>
          </cell>
        </row>
        <row r="3561">
          <cell r="A3561" t="str">
            <v/>
          </cell>
        </row>
        <row r="3562">
          <cell r="A3562" t="str">
            <v/>
          </cell>
        </row>
        <row r="3563">
          <cell r="A3563" t="str">
            <v/>
          </cell>
        </row>
        <row r="3564">
          <cell r="A3564" t="str">
            <v/>
          </cell>
        </row>
        <row r="3565">
          <cell r="A3565" t="str">
            <v/>
          </cell>
        </row>
        <row r="3566">
          <cell r="A3566" t="str">
            <v/>
          </cell>
        </row>
        <row r="3567">
          <cell r="A3567" t="str">
            <v/>
          </cell>
        </row>
        <row r="3568">
          <cell r="A3568" t="str">
            <v/>
          </cell>
        </row>
        <row r="3569">
          <cell r="A3569" t="str">
            <v/>
          </cell>
        </row>
        <row r="3570">
          <cell r="A3570" t="str">
            <v/>
          </cell>
        </row>
        <row r="3571">
          <cell r="A3571" t="str">
            <v/>
          </cell>
        </row>
        <row r="3572">
          <cell r="A3572" t="str">
            <v/>
          </cell>
        </row>
        <row r="3573">
          <cell r="A3573" t="str">
            <v/>
          </cell>
        </row>
        <row r="3574">
          <cell r="A3574" t="str">
            <v/>
          </cell>
        </row>
        <row r="3575">
          <cell r="A3575" t="str">
            <v/>
          </cell>
        </row>
        <row r="3576">
          <cell r="A3576" t="str">
            <v/>
          </cell>
        </row>
        <row r="3577">
          <cell r="A3577" t="str">
            <v/>
          </cell>
        </row>
        <row r="3578">
          <cell r="A3578" t="str">
            <v/>
          </cell>
        </row>
        <row r="3579">
          <cell r="A3579" t="str">
            <v/>
          </cell>
        </row>
        <row r="3580">
          <cell r="A3580" t="str">
            <v/>
          </cell>
        </row>
        <row r="3581">
          <cell r="A3581" t="str">
            <v/>
          </cell>
        </row>
        <row r="3582">
          <cell r="A3582" t="str">
            <v/>
          </cell>
        </row>
        <row r="3583">
          <cell r="A3583" t="str">
            <v/>
          </cell>
        </row>
        <row r="3584">
          <cell r="A3584" t="str">
            <v/>
          </cell>
        </row>
        <row r="3585">
          <cell r="A3585" t="str">
            <v/>
          </cell>
        </row>
        <row r="3586">
          <cell r="A3586" t="str">
            <v/>
          </cell>
        </row>
        <row r="3587">
          <cell r="A3587" t="str">
            <v/>
          </cell>
        </row>
        <row r="3588">
          <cell r="A3588" t="str">
            <v/>
          </cell>
        </row>
        <row r="3589">
          <cell r="A3589" t="str">
            <v/>
          </cell>
        </row>
        <row r="3590">
          <cell r="A3590" t="str">
            <v/>
          </cell>
        </row>
        <row r="3591">
          <cell r="A3591" t="str">
            <v/>
          </cell>
        </row>
        <row r="3592">
          <cell r="A3592" t="str">
            <v/>
          </cell>
        </row>
        <row r="3593">
          <cell r="A3593" t="str">
            <v/>
          </cell>
        </row>
        <row r="3594">
          <cell r="A3594" t="str">
            <v/>
          </cell>
        </row>
        <row r="3595">
          <cell r="A3595" t="str">
            <v/>
          </cell>
        </row>
        <row r="3596">
          <cell r="A3596" t="str">
            <v/>
          </cell>
        </row>
        <row r="3597">
          <cell r="A3597" t="str">
            <v/>
          </cell>
        </row>
        <row r="3598">
          <cell r="A3598" t="str">
            <v/>
          </cell>
        </row>
        <row r="3599">
          <cell r="A3599" t="str">
            <v/>
          </cell>
        </row>
        <row r="3600">
          <cell r="A3600" t="str">
            <v/>
          </cell>
        </row>
        <row r="3601">
          <cell r="A3601" t="str">
            <v/>
          </cell>
        </row>
        <row r="3602">
          <cell r="A3602" t="str">
            <v/>
          </cell>
        </row>
        <row r="3603">
          <cell r="A3603" t="str">
            <v/>
          </cell>
        </row>
        <row r="3604">
          <cell r="A3604" t="str">
            <v/>
          </cell>
        </row>
        <row r="3605">
          <cell r="A3605" t="str">
            <v/>
          </cell>
        </row>
        <row r="3606">
          <cell r="A3606" t="str">
            <v/>
          </cell>
        </row>
        <row r="3607">
          <cell r="A3607" t="str">
            <v/>
          </cell>
        </row>
        <row r="3608">
          <cell r="A3608" t="str">
            <v/>
          </cell>
        </row>
        <row r="3609">
          <cell r="A3609" t="str">
            <v/>
          </cell>
        </row>
        <row r="3610">
          <cell r="A3610" t="str">
            <v/>
          </cell>
        </row>
        <row r="3611">
          <cell r="A3611" t="str">
            <v/>
          </cell>
        </row>
        <row r="3612">
          <cell r="A3612" t="str">
            <v/>
          </cell>
        </row>
        <row r="3613">
          <cell r="A3613" t="str">
            <v/>
          </cell>
        </row>
        <row r="3614">
          <cell r="A3614" t="str">
            <v/>
          </cell>
        </row>
        <row r="3615">
          <cell r="A3615" t="str">
            <v/>
          </cell>
        </row>
        <row r="3616">
          <cell r="A3616" t="str">
            <v/>
          </cell>
        </row>
        <row r="3617">
          <cell r="A3617" t="str">
            <v/>
          </cell>
        </row>
        <row r="3618">
          <cell r="A3618" t="str">
            <v/>
          </cell>
        </row>
        <row r="3619">
          <cell r="A3619" t="str">
            <v/>
          </cell>
        </row>
        <row r="3620">
          <cell r="A3620" t="str">
            <v/>
          </cell>
        </row>
        <row r="3621">
          <cell r="A3621" t="str">
            <v/>
          </cell>
        </row>
        <row r="3622">
          <cell r="A3622" t="str">
            <v/>
          </cell>
        </row>
        <row r="3623">
          <cell r="A3623" t="str">
            <v/>
          </cell>
        </row>
        <row r="3624">
          <cell r="A3624" t="str">
            <v/>
          </cell>
        </row>
        <row r="3625">
          <cell r="A3625" t="str">
            <v/>
          </cell>
        </row>
        <row r="3626">
          <cell r="A3626" t="str">
            <v/>
          </cell>
        </row>
        <row r="3627">
          <cell r="A3627" t="str">
            <v/>
          </cell>
        </row>
        <row r="3628">
          <cell r="A3628" t="str">
            <v/>
          </cell>
        </row>
        <row r="3629">
          <cell r="A3629" t="str">
            <v/>
          </cell>
        </row>
        <row r="3630">
          <cell r="A3630" t="str">
            <v/>
          </cell>
        </row>
        <row r="3631">
          <cell r="A3631" t="str">
            <v/>
          </cell>
        </row>
        <row r="3632">
          <cell r="A3632" t="str">
            <v/>
          </cell>
        </row>
        <row r="3633">
          <cell r="A3633" t="str">
            <v/>
          </cell>
        </row>
        <row r="3634">
          <cell r="A3634" t="str">
            <v/>
          </cell>
        </row>
        <row r="3635">
          <cell r="A3635" t="str">
            <v/>
          </cell>
        </row>
        <row r="3636">
          <cell r="A3636" t="str">
            <v/>
          </cell>
        </row>
        <row r="3637">
          <cell r="A3637" t="str">
            <v/>
          </cell>
        </row>
        <row r="3638">
          <cell r="A3638" t="str">
            <v/>
          </cell>
        </row>
        <row r="3639">
          <cell r="A3639" t="str">
            <v/>
          </cell>
        </row>
        <row r="3640">
          <cell r="A3640" t="str">
            <v/>
          </cell>
        </row>
        <row r="3641">
          <cell r="A3641" t="str">
            <v/>
          </cell>
        </row>
        <row r="3642">
          <cell r="A3642" t="str">
            <v/>
          </cell>
        </row>
        <row r="3643">
          <cell r="A3643" t="str">
            <v/>
          </cell>
        </row>
        <row r="3644">
          <cell r="A3644" t="str">
            <v/>
          </cell>
        </row>
        <row r="3645">
          <cell r="A3645" t="str">
            <v/>
          </cell>
        </row>
        <row r="3646">
          <cell r="A3646" t="str">
            <v/>
          </cell>
        </row>
        <row r="3647">
          <cell r="A3647" t="str">
            <v/>
          </cell>
        </row>
        <row r="3648">
          <cell r="A3648" t="str">
            <v/>
          </cell>
        </row>
        <row r="3649">
          <cell r="A3649" t="str">
            <v/>
          </cell>
        </row>
        <row r="3650">
          <cell r="A3650" t="str">
            <v/>
          </cell>
        </row>
        <row r="3651">
          <cell r="A3651" t="str">
            <v/>
          </cell>
        </row>
        <row r="3652">
          <cell r="A3652" t="str">
            <v/>
          </cell>
        </row>
        <row r="3653">
          <cell r="A3653" t="str">
            <v/>
          </cell>
        </row>
        <row r="3654">
          <cell r="A3654" t="str">
            <v/>
          </cell>
        </row>
        <row r="3655">
          <cell r="A3655" t="str">
            <v/>
          </cell>
        </row>
        <row r="3656">
          <cell r="A3656" t="str">
            <v/>
          </cell>
        </row>
        <row r="3657">
          <cell r="A3657" t="str">
            <v/>
          </cell>
        </row>
        <row r="3658">
          <cell r="A3658" t="str">
            <v/>
          </cell>
        </row>
        <row r="3659">
          <cell r="A3659" t="str">
            <v/>
          </cell>
        </row>
        <row r="3660">
          <cell r="A3660" t="str">
            <v/>
          </cell>
        </row>
        <row r="3661">
          <cell r="A3661" t="str">
            <v/>
          </cell>
        </row>
        <row r="3662">
          <cell r="A3662" t="str">
            <v/>
          </cell>
        </row>
        <row r="3663">
          <cell r="A3663" t="str">
            <v/>
          </cell>
        </row>
        <row r="3664">
          <cell r="A3664" t="str">
            <v/>
          </cell>
        </row>
        <row r="3665">
          <cell r="A3665" t="str">
            <v/>
          </cell>
        </row>
        <row r="3666">
          <cell r="A3666" t="str">
            <v/>
          </cell>
        </row>
        <row r="3667">
          <cell r="A3667" t="str">
            <v/>
          </cell>
        </row>
        <row r="3668">
          <cell r="A3668" t="str">
            <v/>
          </cell>
        </row>
        <row r="3669">
          <cell r="A3669" t="str">
            <v/>
          </cell>
        </row>
        <row r="3670">
          <cell r="A3670" t="str">
            <v/>
          </cell>
        </row>
        <row r="3671">
          <cell r="A3671" t="str">
            <v/>
          </cell>
        </row>
        <row r="3672">
          <cell r="A3672" t="str">
            <v/>
          </cell>
        </row>
        <row r="3673">
          <cell r="A3673" t="str">
            <v/>
          </cell>
        </row>
        <row r="3674">
          <cell r="A3674" t="str">
            <v/>
          </cell>
        </row>
        <row r="3675">
          <cell r="A3675" t="str">
            <v/>
          </cell>
        </row>
        <row r="3676">
          <cell r="A3676" t="str">
            <v/>
          </cell>
        </row>
        <row r="3677">
          <cell r="A3677" t="str">
            <v/>
          </cell>
        </row>
        <row r="3678">
          <cell r="A3678" t="str">
            <v/>
          </cell>
        </row>
        <row r="3679">
          <cell r="A3679" t="str">
            <v/>
          </cell>
        </row>
        <row r="3680">
          <cell r="A3680" t="str">
            <v/>
          </cell>
        </row>
        <row r="3681">
          <cell r="A3681" t="str">
            <v/>
          </cell>
        </row>
        <row r="3682">
          <cell r="A3682" t="str">
            <v/>
          </cell>
        </row>
        <row r="3683">
          <cell r="A3683" t="str">
            <v/>
          </cell>
        </row>
        <row r="3684">
          <cell r="A3684" t="str">
            <v/>
          </cell>
        </row>
        <row r="3685">
          <cell r="A3685" t="str">
            <v/>
          </cell>
        </row>
        <row r="3686">
          <cell r="A3686" t="str">
            <v/>
          </cell>
        </row>
        <row r="3687">
          <cell r="A3687" t="str">
            <v/>
          </cell>
        </row>
        <row r="3688">
          <cell r="A3688" t="str">
            <v/>
          </cell>
        </row>
        <row r="3689">
          <cell r="A3689" t="str">
            <v/>
          </cell>
        </row>
        <row r="3690">
          <cell r="A3690" t="str">
            <v/>
          </cell>
        </row>
        <row r="3691">
          <cell r="A3691" t="str">
            <v/>
          </cell>
        </row>
        <row r="3692">
          <cell r="A3692" t="str">
            <v/>
          </cell>
        </row>
        <row r="3693">
          <cell r="A3693" t="str">
            <v/>
          </cell>
        </row>
        <row r="3694">
          <cell r="A3694" t="str">
            <v/>
          </cell>
        </row>
        <row r="3695">
          <cell r="A3695" t="str">
            <v/>
          </cell>
        </row>
        <row r="3696">
          <cell r="A3696" t="str">
            <v/>
          </cell>
        </row>
        <row r="3697">
          <cell r="A3697" t="str">
            <v/>
          </cell>
        </row>
        <row r="3698">
          <cell r="A3698" t="str">
            <v/>
          </cell>
        </row>
        <row r="3699">
          <cell r="A3699" t="str">
            <v/>
          </cell>
        </row>
        <row r="3700">
          <cell r="A3700" t="str">
            <v/>
          </cell>
        </row>
        <row r="3701">
          <cell r="A3701" t="str">
            <v/>
          </cell>
        </row>
        <row r="3702">
          <cell r="A3702" t="str">
            <v/>
          </cell>
        </row>
        <row r="3703">
          <cell r="A3703" t="str">
            <v/>
          </cell>
        </row>
        <row r="3704">
          <cell r="A3704" t="str">
            <v/>
          </cell>
        </row>
        <row r="3705">
          <cell r="A3705" t="str">
            <v/>
          </cell>
        </row>
        <row r="3706">
          <cell r="A3706" t="str">
            <v/>
          </cell>
        </row>
        <row r="3707">
          <cell r="A3707" t="str">
            <v/>
          </cell>
        </row>
        <row r="3708">
          <cell r="A3708" t="str">
            <v/>
          </cell>
        </row>
        <row r="3709">
          <cell r="A3709" t="str">
            <v/>
          </cell>
        </row>
        <row r="3710">
          <cell r="A3710" t="str">
            <v/>
          </cell>
        </row>
        <row r="3711">
          <cell r="A3711" t="str">
            <v/>
          </cell>
        </row>
        <row r="3712">
          <cell r="A3712" t="str">
            <v/>
          </cell>
        </row>
        <row r="3713">
          <cell r="A3713" t="str">
            <v/>
          </cell>
        </row>
        <row r="3714">
          <cell r="A3714" t="str">
            <v/>
          </cell>
        </row>
        <row r="3715">
          <cell r="A3715" t="str">
            <v/>
          </cell>
        </row>
        <row r="3716">
          <cell r="A3716" t="str">
            <v/>
          </cell>
        </row>
        <row r="3717">
          <cell r="A3717" t="str">
            <v/>
          </cell>
        </row>
        <row r="3718">
          <cell r="A3718" t="str">
            <v/>
          </cell>
        </row>
        <row r="3719">
          <cell r="A3719" t="str">
            <v/>
          </cell>
        </row>
        <row r="3720">
          <cell r="A3720" t="str">
            <v/>
          </cell>
        </row>
        <row r="3721">
          <cell r="A3721" t="str">
            <v/>
          </cell>
        </row>
        <row r="3722">
          <cell r="A3722" t="str">
            <v/>
          </cell>
        </row>
        <row r="3723">
          <cell r="A3723" t="str">
            <v/>
          </cell>
        </row>
        <row r="3724">
          <cell r="A3724" t="str">
            <v/>
          </cell>
        </row>
        <row r="3725">
          <cell r="A3725" t="str">
            <v/>
          </cell>
        </row>
        <row r="3726">
          <cell r="A3726" t="str">
            <v/>
          </cell>
        </row>
        <row r="3727">
          <cell r="A3727" t="str">
            <v/>
          </cell>
        </row>
        <row r="3728">
          <cell r="A3728" t="str">
            <v/>
          </cell>
        </row>
        <row r="3729">
          <cell r="A3729" t="str">
            <v/>
          </cell>
        </row>
        <row r="3730">
          <cell r="A3730" t="str">
            <v/>
          </cell>
        </row>
        <row r="3731">
          <cell r="A3731" t="str">
            <v/>
          </cell>
        </row>
        <row r="3732">
          <cell r="A3732" t="str">
            <v/>
          </cell>
        </row>
        <row r="3733">
          <cell r="A3733" t="str">
            <v/>
          </cell>
        </row>
        <row r="3734">
          <cell r="A3734" t="str">
            <v/>
          </cell>
        </row>
        <row r="3735">
          <cell r="A3735" t="str">
            <v/>
          </cell>
        </row>
        <row r="3736">
          <cell r="A3736" t="str">
            <v/>
          </cell>
        </row>
        <row r="3737">
          <cell r="A3737" t="str">
            <v/>
          </cell>
        </row>
        <row r="3738">
          <cell r="A3738" t="str">
            <v/>
          </cell>
        </row>
        <row r="3739">
          <cell r="A3739" t="str">
            <v/>
          </cell>
        </row>
        <row r="3740">
          <cell r="A3740" t="str">
            <v/>
          </cell>
        </row>
        <row r="3741">
          <cell r="A3741" t="str">
            <v/>
          </cell>
        </row>
        <row r="3742">
          <cell r="A3742" t="str">
            <v/>
          </cell>
        </row>
        <row r="3743">
          <cell r="A3743" t="str">
            <v/>
          </cell>
        </row>
        <row r="3744">
          <cell r="A3744" t="str">
            <v/>
          </cell>
        </row>
        <row r="3745">
          <cell r="A3745" t="str">
            <v/>
          </cell>
        </row>
        <row r="3746">
          <cell r="A3746" t="str">
            <v/>
          </cell>
        </row>
        <row r="3747">
          <cell r="A3747" t="str">
            <v/>
          </cell>
        </row>
        <row r="3748">
          <cell r="A3748" t="str">
            <v/>
          </cell>
        </row>
        <row r="3749">
          <cell r="A3749" t="str">
            <v/>
          </cell>
        </row>
        <row r="3750">
          <cell r="A3750" t="str">
            <v/>
          </cell>
        </row>
        <row r="3751">
          <cell r="A3751" t="str">
            <v/>
          </cell>
        </row>
        <row r="3752">
          <cell r="A3752" t="str">
            <v/>
          </cell>
        </row>
        <row r="3753">
          <cell r="A3753" t="str">
            <v/>
          </cell>
        </row>
        <row r="3754">
          <cell r="A3754" t="str">
            <v/>
          </cell>
        </row>
        <row r="3755">
          <cell r="A3755" t="str">
            <v/>
          </cell>
        </row>
        <row r="3756">
          <cell r="A3756" t="str">
            <v/>
          </cell>
        </row>
        <row r="3757">
          <cell r="A3757" t="str">
            <v/>
          </cell>
        </row>
        <row r="3758">
          <cell r="A3758" t="str">
            <v/>
          </cell>
        </row>
        <row r="3759">
          <cell r="A3759" t="str">
            <v/>
          </cell>
        </row>
        <row r="3760">
          <cell r="A3760" t="str">
            <v/>
          </cell>
        </row>
        <row r="3761">
          <cell r="A3761" t="str">
            <v/>
          </cell>
        </row>
        <row r="3762">
          <cell r="A3762" t="str">
            <v/>
          </cell>
        </row>
        <row r="3763">
          <cell r="A3763" t="str">
            <v/>
          </cell>
        </row>
        <row r="3764">
          <cell r="A3764" t="str">
            <v/>
          </cell>
        </row>
        <row r="3765">
          <cell r="A3765" t="str">
            <v/>
          </cell>
        </row>
        <row r="3766">
          <cell r="A3766" t="str">
            <v/>
          </cell>
        </row>
        <row r="3767">
          <cell r="A3767" t="str">
            <v/>
          </cell>
        </row>
        <row r="3768">
          <cell r="A3768" t="str">
            <v/>
          </cell>
        </row>
        <row r="3769">
          <cell r="A3769" t="str">
            <v/>
          </cell>
        </row>
        <row r="3770">
          <cell r="A3770" t="str">
            <v/>
          </cell>
        </row>
        <row r="3771">
          <cell r="A3771" t="str">
            <v/>
          </cell>
        </row>
        <row r="3772">
          <cell r="A3772" t="str">
            <v/>
          </cell>
        </row>
        <row r="3773">
          <cell r="A3773" t="str">
            <v/>
          </cell>
        </row>
        <row r="3774">
          <cell r="A3774" t="str">
            <v/>
          </cell>
        </row>
        <row r="3775">
          <cell r="A3775" t="str">
            <v/>
          </cell>
        </row>
        <row r="3776">
          <cell r="A3776" t="str">
            <v/>
          </cell>
        </row>
        <row r="3777">
          <cell r="A3777" t="str">
            <v/>
          </cell>
        </row>
        <row r="3778">
          <cell r="A3778" t="str">
            <v/>
          </cell>
        </row>
        <row r="3779">
          <cell r="A3779" t="str">
            <v/>
          </cell>
        </row>
        <row r="3780">
          <cell r="A3780" t="str">
            <v/>
          </cell>
        </row>
        <row r="3781">
          <cell r="A3781" t="str">
            <v/>
          </cell>
        </row>
        <row r="3782">
          <cell r="A3782" t="str">
            <v/>
          </cell>
        </row>
        <row r="3783">
          <cell r="A3783" t="str">
            <v/>
          </cell>
        </row>
        <row r="3784">
          <cell r="A3784" t="str">
            <v/>
          </cell>
        </row>
        <row r="3785">
          <cell r="A3785" t="str">
            <v/>
          </cell>
        </row>
        <row r="3786">
          <cell r="A3786" t="str">
            <v/>
          </cell>
        </row>
        <row r="3787">
          <cell r="A3787" t="str">
            <v/>
          </cell>
        </row>
        <row r="3788">
          <cell r="A3788" t="str">
            <v/>
          </cell>
        </row>
        <row r="3789">
          <cell r="A3789" t="str">
            <v/>
          </cell>
        </row>
        <row r="3790">
          <cell r="A3790" t="str">
            <v/>
          </cell>
        </row>
        <row r="3791">
          <cell r="A3791" t="str">
            <v/>
          </cell>
        </row>
        <row r="3792">
          <cell r="A3792" t="str">
            <v/>
          </cell>
        </row>
        <row r="3793">
          <cell r="A3793" t="str">
            <v/>
          </cell>
        </row>
        <row r="3794">
          <cell r="A3794" t="str">
            <v/>
          </cell>
        </row>
        <row r="3795">
          <cell r="A3795" t="str">
            <v/>
          </cell>
        </row>
        <row r="3796">
          <cell r="A3796" t="str">
            <v/>
          </cell>
        </row>
        <row r="3797">
          <cell r="A3797" t="str">
            <v/>
          </cell>
        </row>
        <row r="3798">
          <cell r="A3798" t="str">
            <v/>
          </cell>
        </row>
        <row r="3799">
          <cell r="A3799" t="str">
            <v/>
          </cell>
        </row>
        <row r="3800">
          <cell r="A3800" t="str">
            <v/>
          </cell>
        </row>
        <row r="3801">
          <cell r="A3801" t="str">
            <v/>
          </cell>
        </row>
        <row r="3802">
          <cell r="A3802" t="str">
            <v/>
          </cell>
        </row>
        <row r="3803">
          <cell r="A3803" t="str">
            <v/>
          </cell>
        </row>
        <row r="3804">
          <cell r="A3804" t="str">
            <v/>
          </cell>
        </row>
        <row r="3805">
          <cell r="A3805" t="str">
            <v/>
          </cell>
        </row>
        <row r="3806">
          <cell r="A3806" t="str">
            <v/>
          </cell>
        </row>
        <row r="3807">
          <cell r="A3807" t="str">
            <v/>
          </cell>
        </row>
        <row r="3808">
          <cell r="A3808" t="str">
            <v/>
          </cell>
        </row>
        <row r="3809">
          <cell r="A3809" t="str">
            <v/>
          </cell>
        </row>
        <row r="3810">
          <cell r="A3810" t="str">
            <v/>
          </cell>
        </row>
        <row r="3811">
          <cell r="A3811" t="str">
            <v/>
          </cell>
        </row>
        <row r="3812">
          <cell r="A3812" t="str">
            <v/>
          </cell>
        </row>
        <row r="3813">
          <cell r="A3813" t="str">
            <v/>
          </cell>
        </row>
        <row r="3814">
          <cell r="A3814" t="str">
            <v/>
          </cell>
        </row>
        <row r="3815">
          <cell r="A3815" t="str">
            <v/>
          </cell>
        </row>
        <row r="3816">
          <cell r="A3816" t="str">
            <v/>
          </cell>
        </row>
        <row r="3817">
          <cell r="A3817" t="str">
            <v/>
          </cell>
        </row>
        <row r="3818">
          <cell r="A3818" t="str">
            <v/>
          </cell>
        </row>
        <row r="3819">
          <cell r="A3819" t="str">
            <v/>
          </cell>
        </row>
        <row r="3820">
          <cell r="A3820" t="str">
            <v/>
          </cell>
        </row>
        <row r="3821">
          <cell r="A3821" t="str">
            <v/>
          </cell>
        </row>
        <row r="3822">
          <cell r="A3822" t="str">
            <v/>
          </cell>
        </row>
        <row r="3823">
          <cell r="A3823" t="str">
            <v/>
          </cell>
        </row>
        <row r="3824">
          <cell r="A3824" t="str">
            <v/>
          </cell>
        </row>
        <row r="3825">
          <cell r="A3825" t="str">
            <v/>
          </cell>
        </row>
        <row r="3826">
          <cell r="A3826" t="str">
            <v/>
          </cell>
        </row>
        <row r="3827">
          <cell r="A3827" t="str">
            <v/>
          </cell>
        </row>
        <row r="3828">
          <cell r="A3828" t="str">
            <v/>
          </cell>
        </row>
        <row r="3829">
          <cell r="A3829" t="str">
            <v/>
          </cell>
        </row>
        <row r="3830">
          <cell r="A3830" t="str">
            <v/>
          </cell>
        </row>
        <row r="3831">
          <cell r="A3831" t="str">
            <v/>
          </cell>
        </row>
        <row r="3832">
          <cell r="A3832" t="str">
            <v/>
          </cell>
        </row>
        <row r="3833">
          <cell r="A3833" t="str">
            <v/>
          </cell>
        </row>
        <row r="3834">
          <cell r="A3834" t="str">
            <v/>
          </cell>
        </row>
        <row r="3835">
          <cell r="A3835" t="str">
            <v/>
          </cell>
        </row>
        <row r="3836">
          <cell r="A3836" t="str">
            <v/>
          </cell>
        </row>
        <row r="3837">
          <cell r="A3837" t="str">
            <v/>
          </cell>
        </row>
        <row r="3838">
          <cell r="A3838" t="str">
            <v/>
          </cell>
        </row>
        <row r="3839">
          <cell r="A3839" t="str">
            <v/>
          </cell>
        </row>
        <row r="3840">
          <cell r="A3840" t="str">
            <v/>
          </cell>
        </row>
        <row r="3841">
          <cell r="A3841" t="str">
            <v/>
          </cell>
        </row>
        <row r="3842">
          <cell r="A3842" t="str">
            <v/>
          </cell>
        </row>
        <row r="3843">
          <cell r="A3843" t="str">
            <v/>
          </cell>
        </row>
        <row r="3844">
          <cell r="A3844" t="str">
            <v/>
          </cell>
        </row>
        <row r="3845">
          <cell r="A3845" t="str">
            <v/>
          </cell>
        </row>
        <row r="3846">
          <cell r="A3846" t="str">
            <v/>
          </cell>
        </row>
        <row r="3847">
          <cell r="A3847" t="str">
            <v/>
          </cell>
        </row>
        <row r="3848">
          <cell r="A3848" t="str">
            <v/>
          </cell>
        </row>
        <row r="3849">
          <cell r="A3849" t="str">
            <v/>
          </cell>
        </row>
        <row r="3850">
          <cell r="A3850" t="str">
            <v/>
          </cell>
        </row>
        <row r="3851">
          <cell r="A3851" t="str">
            <v/>
          </cell>
        </row>
        <row r="3852">
          <cell r="A3852" t="str">
            <v/>
          </cell>
        </row>
        <row r="3853">
          <cell r="A3853" t="str">
            <v/>
          </cell>
        </row>
        <row r="3854">
          <cell r="A3854" t="str">
            <v/>
          </cell>
        </row>
        <row r="3855">
          <cell r="A3855" t="str">
            <v/>
          </cell>
        </row>
        <row r="3856">
          <cell r="A3856" t="str">
            <v/>
          </cell>
        </row>
        <row r="3857">
          <cell r="A3857" t="str">
            <v/>
          </cell>
        </row>
        <row r="3858">
          <cell r="A3858" t="str">
            <v/>
          </cell>
        </row>
        <row r="3859">
          <cell r="A3859" t="str">
            <v/>
          </cell>
        </row>
        <row r="3860">
          <cell r="A3860" t="str">
            <v/>
          </cell>
        </row>
        <row r="3861">
          <cell r="A3861" t="str">
            <v/>
          </cell>
        </row>
        <row r="3862">
          <cell r="A3862" t="str">
            <v/>
          </cell>
        </row>
        <row r="3863">
          <cell r="A3863" t="str">
            <v/>
          </cell>
        </row>
        <row r="3864">
          <cell r="A3864" t="str">
            <v/>
          </cell>
        </row>
        <row r="3865">
          <cell r="A3865" t="str">
            <v/>
          </cell>
        </row>
        <row r="3866">
          <cell r="A3866" t="str">
            <v/>
          </cell>
        </row>
        <row r="3867">
          <cell r="A3867" t="str">
            <v/>
          </cell>
        </row>
        <row r="3868">
          <cell r="A3868" t="str">
            <v/>
          </cell>
        </row>
        <row r="3869">
          <cell r="A3869" t="str">
            <v/>
          </cell>
        </row>
        <row r="3870">
          <cell r="A3870" t="str">
            <v/>
          </cell>
        </row>
        <row r="3871">
          <cell r="A3871" t="str">
            <v/>
          </cell>
        </row>
        <row r="3872">
          <cell r="A3872" t="str">
            <v/>
          </cell>
        </row>
        <row r="3873">
          <cell r="A3873" t="str">
            <v/>
          </cell>
        </row>
        <row r="3874">
          <cell r="A3874" t="str">
            <v/>
          </cell>
        </row>
        <row r="3875">
          <cell r="A3875" t="str">
            <v/>
          </cell>
        </row>
        <row r="3876">
          <cell r="A3876" t="str">
            <v/>
          </cell>
        </row>
        <row r="3877">
          <cell r="A3877" t="str">
            <v/>
          </cell>
        </row>
        <row r="3878">
          <cell r="A3878" t="str">
            <v/>
          </cell>
        </row>
        <row r="3879">
          <cell r="A3879" t="str">
            <v/>
          </cell>
        </row>
        <row r="3880">
          <cell r="A3880" t="str">
            <v/>
          </cell>
        </row>
        <row r="3881">
          <cell r="A3881" t="str">
            <v/>
          </cell>
        </row>
        <row r="3882">
          <cell r="A3882" t="str">
            <v/>
          </cell>
        </row>
        <row r="3883">
          <cell r="A3883" t="str">
            <v/>
          </cell>
        </row>
        <row r="3884">
          <cell r="A3884" t="str">
            <v/>
          </cell>
        </row>
        <row r="3885">
          <cell r="A3885" t="str">
            <v/>
          </cell>
        </row>
        <row r="3886">
          <cell r="A3886" t="str">
            <v/>
          </cell>
        </row>
        <row r="3887">
          <cell r="A3887" t="str">
            <v/>
          </cell>
        </row>
        <row r="3888">
          <cell r="A3888" t="str">
            <v/>
          </cell>
        </row>
        <row r="3889">
          <cell r="A3889" t="str">
            <v/>
          </cell>
        </row>
        <row r="3890">
          <cell r="A3890" t="str">
            <v/>
          </cell>
        </row>
        <row r="3891">
          <cell r="A3891" t="str">
            <v/>
          </cell>
        </row>
        <row r="3892">
          <cell r="A3892" t="str">
            <v/>
          </cell>
        </row>
        <row r="3893">
          <cell r="A3893" t="str">
            <v/>
          </cell>
        </row>
        <row r="3894">
          <cell r="A3894" t="str">
            <v/>
          </cell>
        </row>
        <row r="3895">
          <cell r="A3895" t="str">
            <v/>
          </cell>
        </row>
        <row r="3896">
          <cell r="A3896" t="str">
            <v/>
          </cell>
        </row>
        <row r="3897">
          <cell r="A3897" t="str">
            <v/>
          </cell>
        </row>
        <row r="3898">
          <cell r="A3898" t="str">
            <v/>
          </cell>
        </row>
        <row r="3899">
          <cell r="A3899" t="str">
            <v/>
          </cell>
        </row>
        <row r="3900">
          <cell r="A3900" t="str">
            <v/>
          </cell>
        </row>
        <row r="3901">
          <cell r="A3901" t="str">
            <v/>
          </cell>
        </row>
        <row r="3902">
          <cell r="A3902" t="str">
            <v/>
          </cell>
        </row>
        <row r="3903">
          <cell r="A3903" t="str">
            <v/>
          </cell>
        </row>
        <row r="3904">
          <cell r="A3904" t="str">
            <v/>
          </cell>
        </row>
        <row r="3905">
          <cell r="A3905" t="str">
            <v/>
          </cell>
        </row>
        <row r="3906">
          <cell r="A3906" t="str">
            <v/>
          </cell>
        </row>
        <row r="3907">
          <cell r="A3907" t="str">
            <v/>
          </cell>
        </row>
        <row r="3908">
          <cell r="A3908" t="str">
            <v/>
          </cell>
        </row>
        <row r="3909">
          <cell r="A3909" t="str">
            <v/>
          </cell>
        </row>
        <row r="3910">
          <cell r="A3910" t="str">
            <v/>
          </cell>
        </row>
        <row r="3911">
          <cell r="A3911" t="str">
            <v/>
          </cell>
        </row>
        <row r="3912">
          <cell r="A3912" t="str">
            <v/>
          </cell>
        </row>
        <row r="3913">
          <cell r="A3913" t="str">
            <v/>
          </cell>
        </row>
        <row r="3914">
          <cell r="A3914" t="str">
            <v/>
          </cell>
        </row>
        <row r="3915">
          <cell r="A3915" t="str">
            <v/>
          </cell>
        </row>
        <row r="3916">
          <cell r="A3916" t="str">
            <v/>
          </cell>
        </row>
        <row r="3917">
          <cell r="A3917" t="str">
            <v/>
          </cell>
        </row>
        <row r="3918">
          <cell r="A3918" t="str">
            <v/>
          </cell>
        </row>
        <row r="3919">
          <cell r="A3919" t="str">
            <v/>
          </cell>
        </row>
        <row r="3920">
          <cell r="A3920" t="str">
            <v/>
          </cell>
        </row>
        <row r="3921">
          <cell r="A3921" t="str">
            <v/>
          </cell>
        </row>
        <row r="3922">
          <cell r="A3922" t="str">
            <v/>
          </cell>
        </row>
        <row r="3923">
          <cell r="A3923" t="str">
            <v/>
          </cell>
        </row>
        <row r="3924">
          <cell r="A3924" t="str">
            <v/>
          </cell>
        </row>
        <row r="3925">
          <cell r="A3925" t="str">
            <v/>
          </cell>
        </row>
        <row r="3926">
          <cell r="A3926" t="str">
            <v/>
          </cell>
        </row>
        <row r="3927">
          <cell r="A3927" t="str">
            <v/>
          </cell>
        </row>
        <row r="3928">
          <cell r="A3928" t="str">
            <v/>
          </cell>
        </row>
        <row r="3929">
          <cell r="A3929" t="str">
            <v/>
          </cell>
        </row>
        <row r="3930">
          <cell r="A3930" t="str">
            <v/>
          </cell>
        </row>
        <row r="3931">
          <cell r="A3931" t="str">
            <v/>
          </cell>
        </row>
        <row r="3932">
          <cell r="A3932" t="str">
            <v/>
          </cell>
        </row>
        <row r="3933">
          <cell r="A3933" t="str">
            <v/>
          </cell>
        </row>
        <row r="3934">
          <cell r="A3934" t="str">
            <v/>
          </cell>
        </row>
        <row r="3935">
          <cell r="A3935" t="str">
            <v/>
          </cell>
        </row>
        <row r="3936">
          <cell r="A3936" t="str">
            <v/>
          </cell>
        </row>
        <row r="3937">
          <cell r="A3937" t="str">
            <v/>
          </cell>
        </row>
        <row r="3938">
          <cell r="A3938" t="str">
            <v/>
          </cell>
        </row>
        <row r="3939">
          <cell r="A3939" t="str">
            <v/>
          </cell>
        </row>
        <row r="3940">
          <cell r="A3940" t="str">
            <v/>
          </cell>
        </row>
        <row r="3941">
          <cell r="A3941" t="str">
            <v/>
          </cell>
        </row>
        <row r="3942">
          <cell r="A3942" t="str">
            <v/>
          </cell>
        </row>
        <row r="3943">
          <cell r="A3943" t="str">
            <v/>
          </cell>
        </row>
        <row r="3944">
          <cell r="A3944" t="str">
            <v/>
          </cell>
        </row>
        <row r="3945">
          <cell r="A3945" t="str">
            <v/>
          </cell>
        </row>
        <row r="3946">
          <cell r="A3946" t="str">
            <v/>
          </cell>
        </row>
        <row r="3947">
          <cell r="A3947" t="str">
            <v/>
          </cell>
        </row>
        <row r="3948">
          <cell r="A3948" t="str">
            <v/>
          </cell>
        </row>
        <row r="3949">
          <cell r="A3949" t="str">
            <v/>
          </cell>
        </row>
        <row r="3950">
          <cell r="A3950" t="str">
            <v/>
          </cell>
        </row>
        <row r="3951">
          <cell r="A3951" t="str">
            <v/>
          </cell>
        </row>
        <row r="3952">
          <cell r="A3952" t="str">
            <v/>
          </cell>
        </row>
        <row r="3953">
          <cell r="A3953" t="str">
            <v/>
          </cell>
        </row>
        <row r="3954">
          <cell r="A3954" t="str">
            <v/>
          </cell>
        </row>
        <row r="3955">
          <cell r="A3955" t="str">
            <v/>
          </cell>
        </row>
        <row r="3956">
          <cell r="A3956" t="str">
            <v/>
          </cell>
        </row>
        <row r="3957">
          <cell r="A3957" t="str">
            <v/>
          </cell>
        </row>
        <row r="3958">
          <cell r="A3958" t="str">
            <v/>
          </cell>
        </row>
        <row r="3959">
          <cell r="A3959" t="str">
            <v/>
          </cell>
        </row>
        <row r="3960">
          <cell r="A3960" t="str">
            <v/>
          </cell>
        </row>
        <row r="3961">
          <cell r="A3961" t="str">
            <v/>
          </cell>
        </row>
        <row r="3962">
          <cell r="A3962" t="str">
            <v/>
          </cell>
        </row>
        <row r="3963">
          <cell r="A3963" t="str">
            <v/>
          </cell>
        </row>
        <row r="3964">
          <cell r="A3964" t="str">
            <v/>
          </cell>
        </row>
        <row r="3965">
          <cell r="A3965" t="str">
            <v/>
          </cell>
        </row>
        <row r="3966">
          <cell r="A3966" t="str">
            <v/>
          </cell>
        </row>
        <row r="3967">
          <cell r="A3967" t="str">
            <v/>
          </cell>
        </row>
        <row r="3968">
          <cell r="A3968" t="str">
            <v/>
          </cell>
        </row>
        <row r="3969">
          <cell r="A3969" t="str">
            <v/>
          </cell>
        </row>
        <row r="3970">
          <cell r="A3970" t="str">
            <v/>
          </cell>
        </row>
        <row r="3971">
          <cell r="A3971" t="str">
            <v/>
          </cell>
        </row>
        <row r="3972">
          <cell r="A3972" t="str">
            <v/>
          </cell>
        </row>
        <row r="3973">
          <cell r="A3973" t="str">
            <v/>
          </cell>
        </row>
        <row r="3974">
          <cell r="A3974" t="str">
            <v/>
          </cell>
        </row>
        <row r="3975">
          <cell r="A3975" t="str">
            <v/>
          </cell>
        </row>
        <row r="3976">
          <cell r="A3976" t="str">
            <v/>
          </cell>
        </row>
        <row r="3977">
          <cell r="A3977" t="str">
            <v/>
          </cell>
        </row>
        <row r="3978">
          <cell r="A3978" t="str">
            <v/>
          </cell>
        </row>
        <row r="3979">
          <cell r="A3979" t="str">
            <v/>
          </cell>
        </row>
        <row r="3980">
          <cell r="A3980" t="str">
            <v/>
          </cell>
        </row>
        <row r="3981">
          <cell r="A3981" t="str">
            <v/>
          </cell>
        </row>
        <row r="3982">
          <cell r="A3982" t="str">
            <v/>
          </cell>
        </row>
        <row r="3983">
          <cell r="A3983" t="str">
            <v/>
          </cell>
        </row>
        <row r="3984">
          <cell r="A3984" t="str">
            <v/>
          </cell>
        </row>
        <row r="3985">
          <cell r="A3985" t="str">
            <v/>
          </cell>
        </row>
        <row r="3986">
          <cell r="A3986" t="str">
            <v/>
          </cell>
        </row>
        <row r="3987">
          <cell r="A3987" t="str">
            <v/>
          </cell>
        </row>
        <row r="3988">
          <cell r="A3988" t="str">
            <v/>
          </cell>
        </row>
        <row r="3989">
          <cell r="A3989" t="str">
            <v/>
          </cell>
        </row>
        <row r="3990">
          <cell r="A3990" t="str">
            <v/>
          </cell>
        </row>
        <row r="3991">
          <cell r="A3991" t="str">
            <v/>
          </cell>
        </row>
        <row r="3992">
          <cell r="A3992" t="str">
            <v/>
          </cell>
        </row>
        <row r="3993">
          <cell r="A3993" t="str">
            <v/>
          </cell>
        </row>
        <row r="3994">
          <cell r="A3994" t="str">
            <v/>
          </cell>
        </row>
        <row r="3995">
          <cell r="A3995" t="str">
            <v/>
          </cell>
        </row>
        <row r="3996">
          <cell r="A3996" t="str">
            <v/>
          </cell>
        </row>
        <row r="3997">
          <cell r="A3997" t="str">
            <v/>
          </cell>
        </row>
        <row r="3998">
          <cell r="A3998" t="str">
            <v/>
          </cell>
        </row>
        <row r="3999">
          <cell r="A3999" t="str">
            <v/>
          </cell>
        </row>
        <row r="4000">
          <cell r="A4000" t="str">
            <v/>
          </cell>
        </row>
        <row r="4001">
          <cell r="A4001" t="str">
            <v/>
          </cell>
        </row>
        <row r="4002">
          <cell r="A4002" t="str">
            <v/>
          </cell>
        </row>
        <row r="4003">
          <cell r="A4003" t="str">
            <v/>
          </cell>
        </row>
        <row r="4004">
          <cell r="A4004" t="str">
            <v/>
          </cell>
        </row>
        <row r="4005">
          <cell r="A4005" t="str">
            <v/>
          </cell>
        </row>
        <row r="4006">
          <cell r="A4006" t="str">
            <v/>
          </cell>
        </row>
        <row r="4007">
          <cell r="A4007" t="str">
            <v/>
          </cell>
        </row>
        <row r="4008">
          <cell r="A4008" t="str">
            <v/>
          </cell>
        </row>
        <row r="4009">
          <cell r="A4009" t="str">
            <v/>
          </cell>
        </row>
        <row r="4010">
          <cell r="A4010" t="str">
            <v/>
          </cell>
        </row>
        <row r="4011">
          <cell r="A4011" t="str">
            <v/>
          </cell>
        </row>
        <row r="4012">
          <cell r="A4012" t="str">
            <v/>
          </cell>
        </row>
        <row r="4013">
          <cell r="A4013" t="str">
            <v/>
          </cell>
        </row>
        <row r="4014">
          <cell r="A4014" t="str">
            <v/>
          </cell>
        </row>
        <row r="4015">
          <cell r="A4015" t="str">
            <v/>
          </cell>
        </row>
        <row r="4016">
          <cell r="A4016" t="str">
            <v/>
          </cell>
        </row>
        <row r="4017">
          <cell r="A4017" t="str">
            <v/>
          </cell>
        </row>
        <row r="4018">
          <cell r="A4018" t="str">
            <v/>
          </cell>
        </row>
        <row r="4019">
          <cell r="A4019" t="str">
            <v/>
          </cell>
        </row>
        <row r="4020">
          <cell r="A4020" t="str">
            <v/>
          </cell>
        </row>
        <row r="4021">
          <cell r="A4021" t="str">
            <v/>
          </cell>
        </row>
        <row r="4022">
          <cell r="A4022" t="str">
            <v/>
          </cell>
        </row>
        <row r="4023">
          <cell r="A4023" t="str">
            <v/>
          </cell>
        </row>
        <row r="4024">
          <cell r="A4024" t="str">
            <v/>
          </cell>
        </row>
        <row r="4025">
          <cell r="A4025" t="str">
            <v/>
          </cell>
        </row>
        <row r="4026">
          <cell r="A4026" t="str">
            <v/>
          </cell>
        </row>
        <row r="4027">
          <cell r="A4027" t="str">
            <v/>
          </cell>
        </row>
        <row r="4028">
          <cell r="A4028" t="str">
            <v/>
          </cell>
        </row>
        <row r="4029">
          <cell r="A4029" t="str">
            <v/>
          </cell>
        </row>
        <row r="4030">
          <cell r="A4030" t="str">
            <v/>
          </cell>
        </row>
        <row r="4031">
          <cell r="A4031" t="str">
            <v/>
          </cell>
        </row>
        <row r="4032">
          <cell r="A4032" t="str">
            <v/>
          </cell>
        </row>
        <row r="4033">
          <cell r="A4033" t="str">
            <v/>
          </cell>
        </row>
        <row r="4034">
          <cell r="A4034" t="str">
            <v/>
          </cell>
        </row>
        <row r="4035">
          <cell r="A4035" t="str">
            <v/>
          </cell>
        </row>
        <row r="4036">
          <cell r="A4036" t="str">
            <v/>
          </cell>
        </row>
        <row r="4037">
          <cell r="A4037" t="str">
            <v/>
          </cell>
        </row>
        <row r="4038">
          <cell r="A4038" t="str">
            <v/>
          </cell>
        </row>
        <row r="4039">
          <cell r="A4039" t="str">
            <v/>
          </cell>
        </row>
        <row r="4040">
          <cell r="A4040" t="str">
            <v/>
          </cell>
        </row>
        <row r="4041">
          <cell r="A4041" t="str">
            <v/>
          </cell>
        </row>
        <row r="4042">
          <cell r="A4042" t="str">
            <v/>
          </cell>
        </row>
        <row r="4043">
          <cell r="A4043" t="str">
            <v/>
          </cell>
        </row>
        <row r="4044">
          <cell r="A4044" t="str">
            <v/>
          </cell>
        </row>
        <row r="4045">
          <cell r="A4045" t="str">
            <v/>
          </cell>
        </row>
        <row r="4046">
          <cell r="A4046" t="str">
            <v/>
          </cell>
        </row>
        <row r="4047">
          <cell r="A4047" t="str">
            <v/>
          </cell>
        </row>
        <row r="4048">
          <cell r="A4048" t="str">
            <v/>
          </cell>
        </row>
        <row r="4049">
          <cell r="A4049" t="str">
            <v/>
          </cell>
        </row>
        <row r="4050">
          <cell r="A4050" t="str">
            <v/>
          </cell>
        </row>
        <row r="4051">
          <cell r="A4051" t="str">
            <v/>
          </cell>
        </row>
        <row r="4052">
          <cell r="A4052" t="str">
            <v/>
          </cell>
        </row>
        <row r="4053">
          <cell r="A4053" t="str">
            <v/>
          </cell>
        </row>
        <row r="4054">
          <cell r="A4054" t="str">
            <v/>
          </cell>
        </row>
        <row r="4055">
          <cell r="A4055" t="str">
            <v/>
          </cell>
        </row>
        <row r="4056">
          <cell r="A4056" t="str">
            <v/>
          </cell>
        </row>
        <row r="4057">
          <cell r="A4057" t="str">
            <v/>
          </cell>
        </row>
        <row r="4058">
          <cell r="A4058" t="str">
            <v/>
          </cell>
        </row>
        <row r="4059">
          <cell r="A4059" t="str">
            <v/>
          </cell>
        </row>
        <row r="4060">
          <cell r="A4060" t="str">
            <v/>
          </cell>
        </row>
        <row r="4061">
          <cell r="A4061" t="str">
            <v/>
          </cell>
        </row>
        <row r="4062">
          <cell r="A4062" t="str">
            <v/>
          </cell>
        </row>
        <row r="4063">
          <cell r="A4063" t="str">
            <v/>
          </cell>
        </row>
        <row r="4064">
          <cell r="A4064" t="str">
            <v/>
          </cell>
        </row>
        <row r="4065">
          <cell r="A4065" t="str">
            <v/>
          </cell>
        </row>
        <row r="4066">
          <cell r="A4066" t="str">
            <v/>
          </cell>
        </row>
        <row r="4067">
          <cell r="A4067" t="str">
            <v/>
          </cell>
        </row>
        <row r="4068">
          <cell r="A4068" t="str">
            <v/>
          </cell>
        </row>
        <row r="4069">
          <cell r="A4069" t="str">
            <v/>
          </cell>
        </row>
        <row r="4070">
          <cell r="A4070" t="str">
            <v/>
          </cell>
        </row>
        <row r="4071">
          <cell r="A4071" t="str">
            <v/>
          </cell>
        </row>
        <row r="4072">
          <cell r="A4072" t="str">
            <v/>
          </cell>
        </row>
        <row r="4073">
          <cell r="A4073" t="str">
            <v/>
          </cell>
        </row>
        <row r="4074">
          <cell r="A4074" t="str">
            <v/>
          </cell>
        </row>
        <row r="4075">
          <cell r="A4075" t="str">
            <v/>
          </cell>
        </row>
        <row r="4076">
          <cell r="A4076" t="str">
            <v/>
          </cell>
        </row>
        <row r="4077">
          <cell r="A4077" t="str">
            <v/>
          </cell>
        </row>
        <row r="4078">
          <cell r="A4078" t="str">
            <v/>
          </cell>
        </row>
        <row r="4079">
          <cell r="A4079" t="str">
            <v/>
          </cell>
        </row>
        <row r="4080">
          <cell r="A4080" t="str">
            <v/>
          </cell>
        </row>
        <row r="4081">
          <cell r="A4081" t="str">
            <v/>
          </cell>
        </row>
        <row r="4082">
          <cell r="A4082" t="str">
            <v/>
          </cell>
        </row>
        <row r="4083">
          <cell r="A4083" t="str">
            <v/>
          </cell>
        </row>
        <row r="4084">
          <cell r="A4084" t="str">
            <v/>
          </cell>
        </row>
        <row r="4085">
          <cell r="A4085" t="str">
            <v/>
          </cell>
        </row>
        <row r="4086">
          <cell r="A4086" t="str">
            <v/>
          </cell>
        </row>
        <row r="4087">
          <cell r="A4087" t="str">
            <v/>
          </cell>
        </row>
        <row r="4088">
          <cell r="A4088" t="str">
            <v/>
          </cell>
        </row>
        <row r="4089">
          <cell r="A4089" t="str">
            <v/>
          </cell>
        </row>
        <row r="4090">
          <cell r="A4090" t="str">
            <v/>
          </cell>
        </row>
        <row r="4091">
          <cell r="A4091" t="str">
            <v/>
          </cell>
        </row>
        <row r="4092">
          <cell r="A4092" t="str">
            <v/>
          </cell>
        </row>
        <row r="4093">
          <cell r="A4093" t="str">
            <v/>
          </cell>
        </row>
        <row r="4094">
          <cell r="A4094" t="str">
            <v/>
          </cell>
        </row>
        <row r="4095">
          <cell r="A4095" t="str">
            <v/>
          </cell>
        </row>
        <row r="4096">
          <cell r="A4096" t="str">
            <v/>
          </cell>
        </row>
        <row r="4097">
          <cell r="A4097" t="str">
            <v/>
          </cell>
        </row>
        <row r="4098">
          <cell r="A4098" t="str">
            <v/>
          </cell>
        </row>
        <row r="4099">
          <cell r="A4099" t="str">
            <v/>
          </cell>
        </row>
        <row r="4100">
          <cell r="A4100" t="str">
            <v/>
          </cell>
        </row>
        <row r="4101">
          <cell r="A4101" t="str">
            <v/>
          </cell>
        </row>
        <row r="4102">
          <cell r="A4102" t="str">
            <v/>
          </cell>
        </row>
        <row r="4103">
          <cell r="A4103" t="str">
            <v/>
          </cell>
        </row>
        <row r="4104">
          <cell r="A4104" t="str">
            <v/>
          </cell>
        </row>
        <row r="4105">
          <cell r="A4105" t="str">
            <v/>
          </cell>
        </row>
        <row r="4106">
          <cell r="A4106" t="str">
            <v/>
          </cell>
        </row>
        <row r="4107">
          <cell r="A4107" t="str">
            <v/>
          </cell>
        </row>
        <row r="4108">
          <cell r="A4108" t="str">
            <v/>
          </cell>
        </row>
        <row r="4109">
          <cell r="A4109" t="str">
            <v/>
          </cell>
        </row>
        <row r="4110">
          <cell r="A4110" t="str">
            <v/>
          </cell>
        </row>
        <row r="4111">
          <cell r="A4111" t="str">
            <v/>
          </cell>
        </row>
        <row r="4112">
          <cell r="A4112" t="str">
            <v/>
          </cell>
        </row>
        <row r="4113">
          <cell r="A4113" t="str">
            <v/>
          </cell>
        </row>
        <row r="4114">
          <cell r="A4114" t="str">
            <v/>
          </cell>
        </row>
        <row r="4115">
          <cell r="A4115" t="str">
            <v/>
          </cell>
        </row>
        <row r="4116">
          <cell r="A4116" t="str">
            <v/>
          </cell>
        </row>
        <row r="4117">
          <cell r="A4117" t="str">
            <v/>
          </cell>
        </row>
        <row r="4118">
          <cell r="A4118" t="str">
            <v/>
          </cell>
        </row>
        <row r="4119">
          <cell r="A4119" t="str">
            <v/>
          </cell>
        </row>
        <row r="4120">
          <cell r="A4120" t="str">
            <v/>
          </cell>
        </row>
        <row r="4121">
          <cell r="A4121" t="str">
            <v/>
          </cell>
        </row>
        <row r="4122">
          <cell r="A4122" t="str">
            <v/>
          </cell>
        </row>
        <row r="4123">
          <cell r="A4123" t="str">
            <v/>
          </cell>
        </row>
        <row r="4124">
          <cell r="A4124" t="str">
            <v/>
          </cell>
        </row>
        <row r="4125">
          <cell r="A4125" t="str">
            <v/>
          </cell>
        </row>
        <row r="4126">
          <cell r="A4126" t="str">
            <v/>
          </cell>
        </row>
        <row r="4127">
          <cell r="A4127" t="str">
            <v/>
          </cell>
        </row>
        <row r="4128">
          <cell r="A4128" t="str">
            <v/>
          </cell>
        </row>
        <row r="4129">
          <cell r="A4129" t="str">
            <v/>
          </cell>
        </row>
        <row r="4130">
          <cell r="A4130" t="str">
            <v/>
          </cell>
        </row>
        <row r="4131">
          <cell r="A4131" t="str">
            <v/>
          </cell>
        </row>
        <row r="4132">
          <cell r="A4132" t="str">
            <v/>
          </cell>
        </row>
        <row r="4133">
          <cell r="A4133" t="str">
            <v/>
          </cell>
        </row>
        <row r="4134">
          <cell r="A4134" t="str">
            <v/>
          </cell>
        </row>
        <row r="4135">
          <cell r="A4135" t="str">
            <v/>
          </cell>
        </row>
        <row r="4136">
          <cell r="A4136" t="str">
            <v/>
          </cell>
        </row>
        <row r="4137">
          <cell r="A4137" t="str">
            <v/>
          </cell>
        </row>
        <row r="4138">
          <cell r="A4138" t="str">
            <v/>
          </cell>
        </row>
        <row r="4139">
          <cell r="A4139" t="str">
            <v/>
          </cell>
        </row>
        <row r="4140">
          <cell r="A4140" t="str">
            <v/>
          </cell>
        </row>
        <row r="4141">
          <cell r="A4141" t="str">
            <v/>
          </cell>
        </row>
        <row r="4142">
          <cell r="A4142" t="str">
            <v/>
          </cell>
        </row>
        <row r="4143">
          <cell r="A4143" t="str">
            <v/>
          </cell>
        </row>
        <row r="4144">
          <cell r="A4144" t="str">
            <v/>
          </cell>
        </row>
        <row r="4145">
          <cell r="A4145" t="str">
            <v/>
          </cell>
        </row>
        <row r="4146">
          <cell r="A4146" t="str">
            <v/>
          </cell>
        </row>
        <row r="4147">
          <cell r="A4147" t="str">
            <v/>
          </cell>
        </row>
        <row r="4148">
          <cell r="A4148" t="str">
            <v/>
          </cell>
        </row>
        <row r="4149">
          <cell r="A4149" t="str">
            <v/>
          </cell>
        </row>
        <row r="4150">
          <cell r="A4150" t="str">
            <v/>
          </cell>
        </row>
        <row r="4151">
          <cell r="A4151" t="str">
            <v/>
          </cell>
        </row>
        <row r="4152">
          <cell r="A4152" t="str">
            <v/>
          </cell>
        </row>
        <row r="4153">
          <cell r="A4153" t="str">
            <v/>
          </cell>
        </row>
        <row r="4154">
          <cell r="A4154" t="str">
            <v/>
          </cell>
        </row>
        <row r="4155">
          <cell r="A4155" t="str">
            <v/>
          </cell>
        </row>
        <row r="4156">
          <cell r="A4156" t="str">
            <v/>
          </cell>
        </row>
        <row r="4157">
          <cell r="A4157" t="str">
            <v/>
          </cell>
        </row>
        <row r="4158">
          <cell r="A4158" t="str">
            <v/>
          </cell>
        </row>
        <row r="4159">
          <cell r="A4159" t="str">
            <v/>
          </cell>
        </row>
        <row r="4160">
          <cell r="A4160" t="str">
            <v/>
          </cell>
        </row>
        <row r="4161">
          <cell r="A4161" t="str">
            <v/>
          </cell>
        </row>
        <row r="4162">
          <cell r="A4162" t="str">
            <v/>
          </cell>
        </row>
        <row r="4163">
          <cell r="A4163" t="str">
            <v/>
          </cell>
        </row>
        <row r="4164">
          <cell r="A4164" t="str">
            <v/>
          </cell>
        </row>
        <row r="4165">
          <cell r="A4165" t="str">
            <v/>
          </cell>
        </row>
        <row r="4166">
          <cell r="A4166" t="str">
            <v/>
          </cell>
        </row>
        <row r="4167">
          <cell r="A4167" t="str">
            <v/>
          </cell>
        </row>
        <row r="4168">
          <cell r="A4168" t="str">
            <v/>
          </cell>
        </row>
        <row r="4169">
          <cell r="A4169" t="str">
            <v/>
          </cell>
        </row>
        <row r="4170">
          <cell r="A4170" t="str">
            <v/>
          </cell>
        </row>
        <row r="4171">
          <cell r="A4171" t="str">
            <v/>
          </cell>
        </row>
        <row r="4172">
          <cell r="A4172" t="str">
            <v/>
          </cell>
        </row>
        <row r="4173">
          <cell r="A4173" t="str">
            <v/>
          </cell>
        </row>
        <row r="4174">
          <cell r="A4174" t="str">
            <v/>
          </cell>
        </row>
        <row r="4175">
          <cell r="A4175" t="str">
            <v/>
          </cell>
        </row>
        <row r="4176">
          <cell r="A4176" t="str">
            <v/>
          </cell>
        </row>
        <row r="4177">
          <cell r="A4177" t="str">
            <v/>
          </cell>
        </row>
        <row r="4178">
          <cell r="A4178" t="str">
            <v/>
          </cell>
        </row>
        <row r="4179">
          <cell r="A4179" t="str">
            <v/>
          </cell>
        </row>
        <row r="4180">
          <cell r="A4180" t="str">
            <v/>
          </cell>
        </row>
        <row r="4181">
          <cell r="A4181" t="str">
            <v/>
          </cell>
        </row>
        <row r="4182">
          <cell r="A4182" t="str">
            <v/>
          </cell>
        </row>
        <row r="4183">
          <cell r="A4183" t="str">
            <v/>
          </cell>
        </row>
        <row r="4184">
          <cell r="A4184" t="str">
            <v/>
          </cell>
        </row>
        <row r="4185">
          <cell r="A4185" t="str">
            <v/>
          </cell>
        </row>
        <row r="4186">
          <cell r="A4186" t="str">
            <v/>
          </cell>
        </row>
        <row r="4187">
          <cell r="A4187" t="str">
            <v/>
          </cell>
        </row>
        <row r="4188">
          <cell r="A4188" t="str">
            <v/>
          </cell>
        </row>
        <row r="4189">
          <cell r="A4189" t="str">
            <v/>
          </cell>
        </row>
        <row r="4190">
          <cell r="A4190" t="str">
            <v/>
          </cell>
        </row>
        <row r="4191">
          <cell r="A4191" t="str">
            <v/>
          </cell>
        </row>
        <row r="4192">
          <cell r="A4192" t="str">
            <v/>
          </cell>
        </row>
        <row r="4193">
          <cell r="A4193" t="str">
            <v/>
          </cell>
        </row>
        <row r="4194">
          <cell r="A4194" t="str">
            <v/>
          </cell>
        </row>
        <row r="4195">
          <cell r="A4195" t="str">
            <v/>
          </cell>
        </row>
        <row r="4196">
          <cell r="A4196" t="str">
            <v/>
          </cell>
        </row>
        <row r="4197">
          <cell r="A4197" t="str">
            <v/>
          </cell>
        </row>
        <row r="4198">
          <cell r="A4198" t="str">
            <v/>
          </cell>
        </row>
        <row r="4199">
          <cell r="A4199" t="str">
            <v/>
          </cell>
        </row>
        <row r="4200">
          <cell r="A4200" t="str">
            <v/>
          </cell>
        </row>
        <row r="4201">
          <cell r="A4201" t="str">
            <v/>
          </cell>
        </row>
        <row r="4202">
          <cell r="A4202" t="str">
            <v/>
          </cell>
        </row>
        <row r="4203">
          <cell r="A4203" t="str">
            <v/>
          </cell>
        </row>
        <row r="4204">
          <cell r="A4204" t="str">
            <v/>
          </cell>
        </row>
        <row r="4205">
          <cell r="A4205" t="str">
            <v/>
          </cell>
        </row>
        <row r="4206">
          <cell r="A4206" t="str">
            <v/>
          </cell>
        </row>
        <row r="4207">
          <cell r="A4207" t="str">
            <v/>
          </cell>
        </row>
        <row r="4208">
          <cell r="A4208" t="str">
            <v/>
          </cell>
        </row>
        <row r="4209">
          <cell r="A4209" t="str">
            <v/>
          </cell>
        </row>
        <row r="4210">
          <cell r="A4210" t="str">
            <v/>
          </cell>
        </row>
        <row r="4211">
          <cell r="A4211" t="str">
            <v/>
          </cell>
        </row>
        <row r="4212">
          <cell r="A4212" t="str">
            <v/>
          </cell>
        </row>
        <row r="4213">
          <cell r="A4213" t="str">
            <v/>
          </cell>
        </row>
        <row r="4214">
          <cell r="A4214" t="str">
            <v/>
          </cell>
        </row>
        <row r="4215">
          <cell r="A4215" t="str">
            <v/>
          </cell>
        </row>
        <row r="4216">
          <cell r="A4216" t="str">
            <v/>
          </cell>
        </row>
        <row r="4217">
          <cell r="A4217" t="str">
            <v/>
          </cell>
        </row>
        <row r="4218">
          <cell r="A4218" t="str">
            <v/>
          </cell>
        </row>
        <row r="4219">
          <cell r="A4219" t="str">
            <v/>
          </cell>
        </row>
        <row r="4220">
          <cell r="A4220" t="str">
            <v/>
          </cell>
        </row>
        <row r="4221">
          <cell r="A4221" t="str">
            <v/>
          </cell>
        </row>
        <row r="4222">
          <cell r="A4222" t="str">
            <v/>
          </cell>
        </row>
        <row r="4223">
          <cell r="A4223" t="str">
            <v/>
          </cell>
        </row>
        <row r="4224">
          <cell r="A4224" t="str">
            <v/>
          </cell>
        </row>
        <row r="4225">
          <cell r="A4225" t="str">
            <v/>
          </cell>
        </row>
        <row r="4226">
          <cell r="A4226" t="str">
            <v/>
          </cell>
        </row>
        <row r="4227">
          <cell r="A4227" t="str">
            <v/>
          </cell>
        </row>
        <row r="4228">
          <cell r="A4228" t="str">
            <v/>
          </cell>
        </row>
        <row r="4229">
          <cell r="A4229" t="str">
            <v/>
          </cell>
        </row>
        <row r="4230">
          <cell r="A4230" t="str">
            <v/>
          </cell>
        </row>
        <row r="4231">
          <cell r="A4231" t="str">
            <v/>
          </cell>
        </row>
        <row r="4232">
          <cell r="A4232" t="str">
            <v/>
          </cell>
        </row>
        <row r="4233">
          <cell r="A4233" t="str">
            <v/>
          </cell>
        </row>
        <row r="4234">
          <cell r="A4234" t="str">
            <v/>
          </cell>
        </row>
        <row r="4235">
          <cell r="A4235" t="str">
            <v/>
          </cell>
        </row>
        <row r="4236">
          <cell r="A4236" t="str">
            <v/>
          </cell>
        </row>
        <row r="4237">
          <cell r="A4237" t="str">
            <v/>
          </cell>
        </row>
        <row r="4238">
          <cell r="A4238" t="str">
            <v/>
          </cell>
        </row>
        <row r="4239">
          <cell r="A4239" t="str">
            <v/>
          </cell>
        </row>
        <row r="4240">
          <cell r="A4240" t="str">
            <v/>
          </cell>
        </row>
        <row r="4241">
          <cell r="A4241" t="str">
            <v/>
          </cell>
        </row>
        <row r="4242">
          <cell r="A4242" t="str">
            <v/>
          </cell>
        </row>
        <row r="4243">
          <cell r="A4243" t="str">
            <v/>
          </cell>
        </row>
        <row r="4244">
          <cell r="A4244" t="str">
            <v/>
          </cell>
        </row>
        <row r="4245">
          <cell r="A4245" t="str">
            <v/>
          </cell>
        </row>
        <row r="4246">
          <cell r="A4246" t="str">
            <v/>
          </cell>
        </row>
        <row r="4247">
          <cell r="A4247" t="str">
            <v/>
          </cell>
        </row>
        <row r="4248">
          <cell r="A4248" t="str">
            <v/>
          </cell>
        </row>
        <row r="4249">
          <cell r="A4249" t="str">
            <v/>
          </cell>
        </row>
        <row r="4250">
          <cell r="A4250" t="str">
            <v/>
          </cell>
        </row>
        <row r="4251">
          <cell r="A4251" t="str">
            <v/>
          </cell>
        </row>
        <row r="4252">
          <cell r="A4252" t="str">
            <v/>
          </cell>
        </row>
        <row r="4253">
          <cell r="A4253" t="str">
            <v/>
          </cell>
        </row>
        <row r="4254">
          <cell r="A4254" t="str">
            <v/>
          </cell>
        </row>
        <row r="4255">
          <cell r="A4255" t="str">
            <v/>
          </cell>
        </row>
        <row r="4256">
          <cell r="A4256" t="str">
            <v/>
          </cell>
        </row>
        <row r="4257">
          <cell r="A4257" t="str">
            <v/>
          </cell>
        </row>
        <row r="4258">
          <cell r="A4258" t="str">
            <v/>
          </cell>
        </row>
        <row r="4259">
          <cell r="A4259" t="str">
            <v/>
          </cell>
        </row>
        <row r="4260">
          <cell r="A4260" t="str">
            <v/>
          </cell>
        </row>
        <row r="4261">
          <cell r="A4261" t="str">
            <v/>
          </cell>
        </row>
        <row r="4262">
          <cell r="A4262" t="str">
            <v/>
          </cell>
        </row>
        <row r="4263">
          <cell r="A4263" t="str">
            <v/>
          </cell>
        </row>
        <row r="4264">
          <cell r="A4264" t="str">
            <v/>
          </cell>
        </row>
        <row r="4265">
          <cell r="A4265" t="str">
            <v/>
          </cell>
        </row>
        <row r="4266">
          <cell r="A4266" t="str">
            <v/>
          </cell>
        </row>
        <row r="4267">
          <cell r="A4267" t="str">
            <v/>
          </cell>
        </row>
        <row r="4268">
          <cell r="A4268" t="str">
            <v/>
          </cell>
        </row>
        <row r="4269">
          <cell r="A4269" t="str">
            <v/>
          </cell>
        </row>
        <row r="4270">
          <cell r="A4270" t="str">
            <v/>
          </cell>
        </row>
        <row r="4271">
          <cell r="A4271" t="str">
            <v/>
          </cell>
        </row>
        <row r="4272">
          <cell r="A4272" t="str">
            <v/>
          </cell>
        </row>
        <row r="4273">
          <cell r="A4273" t="str">
            <v/>
          </cell>
        </row>
        <row r="4274">
          <cell r="A4274" t="str">
            <v/>
          </cell>
        </row>
        <row r="4275">
          <cell r="A4275" t="str">
            <v/>
          </cell>
        </row>
        <row r="4276">
          <cell r="A4276" t="str">
            <v/>
          </cell>
        </row>
        <row r="4277">
          <cell r="A4277" t="str">
            <v/>
          </cell>
        </row>
        <row r="4278">
          <cell r="A4278" t="str">
            <v/>
          </cell>
        </row>
        <row r="4279">
          <cell r="A4279" t="str">
            <v/>
          </cell>
        </row>
        <row r="4280">
          <cell r="A4280" t="str">
            <v/>
          </cell>
        </row>
        <row r="4281">
          <cell r="A4281" t="str">
            <v/>
          </cell>
        </row>
        <row r="4282">
          <cell r="A4282" t="str">
            <v/>
          </cell>
        </row>
        <row r="4283">
          <cell r="A4283" t="str">
            <v/>
          </cell>
        </row>
        <row r="4284">
          <cell r="A4284" t="str">
            <v/>
          </cell>
        </row>
        <row r="4285">
          <cell r="A4285" t="str">
            <v/>
          </cell>
        </row>
        <row r="4286">
          <cell r="A4286" t="str">
            <v/>
          </cell>
        </row>
        <row r="4287">
          <cell r="A4287" t="str">
            <v/>
          </cell>
        </row>
        <row r="4288">
          <cell r="A4288" t="str">
            <v/>
          </cell>
        </row>
        <row r="4289">
          <cell r="A4289" t="str">
            <v/>
          </cell>
        </row>
        <row r="4290">
          <cell r="A4290" t="str">
            <v/>
          </cell>
        </row>
        <row r="4291">
          <cell r="A4291" t="str">
            <v/>
          </cell>
        </row>
        <row r="4292">
          <cell r="A4292" t="str">
            <v/>
          </cell>
        </row>
        <row r="4293">
          <cell r="A4293" t="str">
            <v/>
          </cell>
        </row>
        <row r="4294">
          <cell r="A4294" t="str">
            <v/>
          </cell>
        </row>
        <row r="4295">
          <cell r="A4295" t="str">
            <v/>
          </cell>
        </row>
        <row r="4296">
          <cell r="A4296" t="str">
            <v/>
          </cell>
        </row>
        <row r="4297">
          <cell r="A4297" t="str">
            <v/>
          </cell>
        </row>
        <row r="4298">
          <cell r="A4298" t="str">
            <v/>
          </cell>
        </row>
        <row r="4299">
          <cell r="A4299" t="str">
            <v/>
          </cell>
        </row>
        <row r="4300">
          <cell r="A4300" t="str">
            <v/>
          </cell>
        </row>
        <row r="4301">
          <cell r="A4301" t="str">
            <v/>
          </cell>
        </row>
        <row r="4302">
          <cell r="A4302" t="str">
            <v/>
          </cell>
        </row>
        <row r="4303">
          <cell r="A4303" t="str">
            <v/>
          </cell>
        </row>
        <row r="4304">
          <cell r="A4304" t="str">
            <v/>
          </cell>
        </row>
        <row r="4305">
          <cell r="A4305" t="str">
            <v/>
          </cell>
        </row>
        <row r="4306">
          <cell r="A4306" t="str">
            <v/>
          </cell>
        </row>
        <row r="4307">
          <cell r="A4307" t="str">
            <v/>
          </cell>
        </row>
        <row r="4308">
          <cell r="A4308" t="str">
            <v/>
          </cell>
        </row>
        <row r="4309">
          <cell r="A4309" t="str">
            <v/>
          </cell>
        </row>
        <row r="4310">
          <cell r="A4310" t="str">
            <v/>
          </cell>
        </row>
        <row r="4311">
          <cell r="A4311" t="str">
            <v/>
          </cell>
        </row>
        <row r="4312">
          <cell r="A4312" t="str">
            <v/>
          </cell>
        </row>
        <row r="4313">
          <cell r="A4313" t="str">
            <v/>
          </cell>
        </row>
        <row r="4314">
          <cell r="A4314" t="str">
            <v/>
          </cell>
        </row>
        <row r="4315">
          <cell r="A4315" t="str">
            <v/>
          </cell>
        </row>
        <row r="4316">
          <cell r="A4316" t="str">
            <v/>
          </cell>
        </row>
        <row r="4317">
          <cell r="A4317" t="str">
            <v/>
          </cell>
        </row>
        <row r="4318">
          <cell r="A4318" t="str">
            <v/>
          </cell>
        </row>
        <row r="4319">
          <cell r="A4319" t="str">
            <v/>
          </cell>
        </row>
        <row r="4320">
          <cell r="A4320" t="str">
            <v/>
          </cell>
        </row>
        <row r="4321">
          <cell r="A4321" t="str">
            <v/>
          </cell>
        </row>
        <row r="4322">
          <cell r="A4322" t="str">
            <v/>
          </cell>
        </row>
        <row r="4323">
          <cell r="A4323" t="str">
            <v/>
          </cell>
        </row>
        <row r="4324">
          <cell r="A4324" t="str">
            <v/>
          </cell>
        </row>
        <row r="4325">
          <cell r="A4325" t="str">
            <v/>
          </cell>
        </row>
        <row r="4326">
          <cell r="A4326" t="str">
            <v/>
          </cell>
        </row>
        <row r="4327">
          <cell r="A4327" t="str">
            <v/>
          </cell>
        </row>
        <row r="4328">
          <cell r="A4328" t="str">
            <v/>
          </cell>
        </row>
        <row r="4329">
          <cell r="A4329" t="str">
            <v/>
          </cell>
        </row>
        <row r="4330">
          <cell r="A4330" t="str">
            <v/>
          </cell>
        </row>
        <row r="4331">
          <cell r="A4331" t="str">
            <v/>
          </cell>
        </row>
        <row r="4332">
          <cell r="A4332" t="str">
            <v/>
          </cell>
        </row>
        <row r="4333">
          <cell r="A4333" t="str">
            <v/>
          </cell>
        </row>
        <row r="4334">
          <cell r="A4334" t="str">
            <v/>
          </cell>
        </row>
        <row r="4335">
          <cell r="A4335" t="str">
            <v/>
          </cell>
        </row>
        <row r="4336">
          <cell r="A4336" t="str">
            <v/>
          </cell>
        </row>
        <row r="4337">
          <cell r="A4337" t="str">
            <v/>
          </cell>
        </row>
        <row r="4338">
          <cell r="A4338" t="str">
            <v/>
          </cell>
        </row>
        <row r="4339">
          <cell r="A4339" t="str">
            <v/>
          </cell>
        </row>
        <row r="4340">
          <cell r="A4340" t="str">
            <v/>
          </cell>
        </row>
        <row r="4341">
          <cell r="A4341" t="str">
            <v/>
          </cell>
        </row>
        <row r="4342">
          <cell r="A4342" t="str">
            <v/>
          </cell>
        </row>
        <row r="4343">
          <cell r="A4343" t="str">
            <v/>
          </cell>
        </row>
        <row r="4344">
          <cell r="A4344" t="str">
            <v/>
          </cell>
        </row>
        <row r="4345">
          <cell r="A4345" t="str">
            <v/>
          </cell>
        </row>
        <row r="4346">
          <cell r="A4346" t="str">
            <v/>
          </cell>
        </row>
        <row r="4347">
          <cell r="A4347" t="str">
            <v/>
          </cell>
        </row>
        <row r="4348">
          <cell r="A4348" t="str">
            <v/>
          </cell>
        </row>
        <row r="4349">
          <cell r="A4349" t="str">
            <v/>
          </cell>
        </row>
        <row r="4350">
          <cell r="A4350" t="str">
            <v/>
          </cell>
        </row>
        <row r="4351">
          <cell r="A4351" t="str">
            <v/>
          </cell>
        </row>
        <row r="4352">
          <cell r="A4352" t="str">
            <v/>
          </cell>
        </row>
        <row r="4353">
          <cell r="A4353" t="str">
            <v/>
          </cell>
        </row>
        <row r="4354">
          <cell r="A4354" t="str">
            <v/>
          </cell>
        </row>
        <row r="4355">
          <cell r="A4355" t="str">
            <v/>
          </cell>
        </row>
        <row r="4356">
          <cell r="A4356" t="str">
            <v/>
          </cell>
        </row>
        <row r="4357">
          <cell r="A4357" t="str">
            <v/>
          </cell>
        </row>
        <row r="4358">
          <cell r="A4358" t="str">
            <v/>
          </cell>
        </row>
        <row r="4359">
          <cell r="A4359" t="str">
            <v/>
          </cell>
        </row>
        <row r="4360">
          <cell r="A4360" t="str">
            <v/>
          </cell>
        </row>
        <row r="4361">
          <cell r="A4361" t="str">
            <v/>
          </cell>
        </row>
        <row r="4362">
          <cell r="A4362" t="str">
            <v/>
          </cell>
        </row>
        <row r="4363">
          <cell r="A4363" t="str">
            <v/>
          </cell>
        </row>
        <row r="4364">
          <cell r="A4364" t="str">
            <v/>
          </cell>
        </row>
        <row r="4365">
          <cell r="A4365" t="str">
            <v/>
          </cell>
        </row>
        <row r="4366">
          <cell r="A4366" t="str">
            <v/>
          </cell>
        </row>
        <row r="4367">
          <cell r="A4367" t="str">
            <v/>
          </cell>
        </row>
        <row r="4368">
          <cell r="A4368" t="str">
            <v/>
          </cell>
        </row>
        <row r="4369">
          <cell r="A4369" t="str">
            <v/>
          </cell>
        </row>
        <row r="4370">
          <cell r="A4370" t="str">
            <v/>
          </cell>
        </row>
        <row r="4371">
          <cell r="A4371" t="str">
            <v/>
          </cell>
        </row>
        <row r="4372">
          <cell r="A4372" t="str">
            <v/>
          </cell>
        </row>
        <row r="4373">
          <cell r="A4373" t="str">
            <v/>
          </cell>
        </row>
        <row r="4374">
          <cell r="A4374" t="str">
            <v/>
          </cell>
        </row>
        <row r="4375">
          <cell r="A4375" t="str">
            <v/>
          </cell>
        </row>
        <row r="4376">
          <cell r="A4376" t="str">
            <v/>
          </cell>
        </row>
        <row r="4377">
          <cell r="A4377" t="str">
            <v/>
          </cell>
        </row>
        <row r="4378">
          <cell r="A4378" t="str">
            <v/>
          </cell>
        </row>
        <row r="4379">
          <cell r="A4379" t="str">
            <v/>
          </cell>
        </row>
        <row r="4380">
          <cell r="A4380" t="str">
            <v/>
          </cell>
        </row>
        <row r="4381">
          <cell r="A4381" t="str">
            <v/>
          </cell>
        </row>
        <row r="4382">
          <cell r="A4382" t="str">
            <v/>
          </cell>
        </row>
        <row r="4383">
          <cell r="A4383" t="str">
            <v/>
          </cell>
        </row>
        <row r="4384">
          <cell r="A4384" t="str">
            <v/>
          </cell>
        </row>
        <row r="4385">
          <cell r="A4385" t="str">
            <v/>
          </cell>
        </row>
        <row r="4386">
          <cell r="A4386" t="str">
            <v/>
          </cell>
        </row>
        <row r="4387">
          <cell r="A4387" t="str">
            <v/>
          </cell>
        </row>
        <row r="4388">
          <cell r="A4388" t="str">
            <v/>
          </cell>
        </row>
        <row r="4389">
          <cell r="A4389" t="str">
            <v/>
          </cell>
        </row>
        <row r="4390">
          <cell r="A4390" t="str">
            <v/>
          </cell>
        </row>
        <row r="4391">
          <cell r="A4391" t="str">
            <v/>
          </cell>
        </row>
        <row r="4392">
          <cell r="A4392" t="str">
            <v/>
          </cell>
        </row>
        <row r="4393">
          <cell r="A4393" t="str">
            <v/>
          </cell>
        </row>
        <row r="4394">
          <cell r="A4394" t="str">
            <v/>
          </cell>
        </row>
        <row r="4395">
          <cell r="A4395" t="str">
            <v/>
          </cell>
        </row>
        <row r="4396">
          <cell r="A4396" t="str">
            <v/>
          </cell>
        </row>
        <row r="4397">
          <cell r="A4397" t="str">
            <v/>
          </cell>
        </row>
        <row r="4398">
          <cell r="A4398" t="str">
            <v/>
          </cell>
        </row>
        <row r="4399">
          <cell r="A4399" t="str">
            <v/>
          </cell>
        </row>
        <row r="4400">
          <cell r="A4400" t="str">
            <v/>
          </cell>
        </row>
        <row r="4401">
          <cell r="A4401" t="str">
            <v/>
          </cell>
        </row>
        <row r="4402">
          <cell r="A4402" t="str">
            <v/>
          </cell>
        </row>
        <row r="4403">
          <cell r="A4403" t="str">
            <v/>
          </cell>
        </row>
        <row r="4404">
          <cell r="A4404" t="str">
            <v/>
          </cell>
        </row>
        <row r="4405">
          <cell r="A4405" t="str">
            <v/>
          </cell>
        </row>
        <row r="4406">
          <cell r="A4406" t="str">
            <v/>
          </cell>
        </row>
        <row r="4407">
          <cell r="A4407" t="str">
            <v/>
          </cell>
        </row>
        <row r="4408">
          <cell r="A4408" t="str">
            <v/>
          </cell>
        </row>
        <row r="4409">
          <cell r="A4409" t="str">
            <v/>
          </cell>
        </row>
        <row r="4410">
          <cell r="A4410" t="str">
            <v/>
          </cell>
        </row>
        <row r="4411">
          <cell r="A4411" t="str">
            <v/>
          </cell>
        </row>
        <row r="4412">
          <cell r="A4412" t="str">
            <v/>
          </cell>
        </row>
        <row r="4413">
          <cell r="A4413" t="str">
            <v/>
          </cell>
        </row>
        <row r="4414">
          <cell r="A4414" t="str">
            <v/>
          </cell>
        </row>
        <row r="4415">
          <cell r="A4415" t="str">
            <v/>
          </cell>
        </row>
        <row r="4416">
          <cell r="A4416" t="str">
            <v/>
          </cell>
        </row>
        <row r="4417">
          <cell r="A4417" t="str">
            <v/>
          </cell>
        </row>
        <row r="4418">
          <cell r="A4418" t="str">
            <v/>
          </cell>
        </row>
        <row r="4419">
          <cell r="A4419" t="str">
            <v/>
          </cell>
        </row>
        <row r="4420">
          <cell r="A4420" t="str">
            <v/>
          </cell>
        </row>
        <row r="4421">
          <cell r="A4421" t="str">
            <v/>
          </cell>
        </row>
        <row r="4422">
          <cell r="A4422" t="str">
            <v/>
          </cell>
        </row>
        <row r="4423">
          <cell r="A4423" t="str">
            <v/>
          </cell>
        </row>
        <row r="4424">
          <cell r="A4424" t="str">
            <v/>
          </cell>
        </row>
        <row r="4425">
          <cell r="A4425" t="str">
            <v/>
          </cell>
        </row>
        <row r="4426">
          <cell r="A4426" t="str">
            <v/>
          </cell>
        </row>
        <row r="4427">
          <cell r="A4427" t="str">
            <v/>
          </cell>
        </row>
        <row r="4428">
          <cell r="A4428" t="str">
            <v/>
          </cell>
        </row>
        <row r="4429">
          <cell r="A4429" t="str">
            <v/>
          </cell>
        </row>
        <row r="4430">
          <cell r="A4430" t="str">
            <v/>
          </cell>
        </row>
        <row r="4431">
          <cell r="A4431" t="str">
            <v/>
          </cell>
        </row>
        <row r="4432">
          <cell r="A4432" t="str">
            <v/>
          </cell>
        </row>
        <row r="4433">
          <cell r="A4433" t="str">
            <v/>
          </cell>
        </row>
        <row r="4434">
          <cell r="A4434" t="str">
            <v/>
          </cell>
        </row>
        <row r="4435">
          <cell r="A4435" t="str">
            <v/>
          </cell>
        </row>
        <row r="4436">
          <cell r="A4436" t="str">
            <v/>
          </cell>
        </row>
        <row r="4437">
          <cell r="A4437" t="str">
            <v/>
          </cell>
        </row>
        <row r="4438">
          <cell r="A4438" t="str">
            <v/>
          </cell>
        </row>
        <row r="4439">
          <cell r="A4439" t="str">
            <v/>
          </cell>
        </row>
        <row r="4440">
          <cell r="A4440" t="str">
            <v/>
          </cell>
        </row>
        <row r="4441">
          <cell r="A4441" t="str">
            <v/>
          </cell>
        </row>
        <row r="4442">
          <cell r="A4442" t="str">
            <v/>
          </cell>
        </row>
        <row r="4443">
          <cell r="A4443" t="str">
            <v/>
          </cell>
        </row>
        <row r="4444">
          <cell r="A4444" t="str">
            <v/>
          </cell>
        </row>
        <row r="4445">
          <cell r="A4445" t="str">
            <v/>
          </cell>
        </row>
        <row r="4446">
          <cell r="A4446" t="str">
            <v/>
          </cell>
        </row>
        <row r="4447">
          <cell r="A4447" t="str">
            <v/>
          </cell>
        </row>
        <row r="4448">
          <cell r="A4448" t="str">
            <v/>
          </cell>
        </row>
        <row r="4449">
          <cell r="A4449" t="str">
            <v/>
          </cell>
        </row>
        <row r="4450">
          <cell r="A4450" t="str">
            <v/>
          </cell>
        </row>
        <row r="4451">
          <cell r="A4451" t="str">
            <v/>
          </cell>
        </row>
        <row r="4452">
          <cell r="A4452" t="str">
            <v/>
          </cell>
        </row>
        <row r="4453">
          <cell r="A4453" t="str">
            <v/>
          </cell>
        </row>
        <row r="4454">
          <cell r="A4454" t="str">
            <v/>
          </cell>
        </row>
        <row r="4455">
          <cell r="A4455" t="str">
            <v/>
          </cell>
        </row>
      </sheetData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bastián Varela" id="{4F8A55CC-CDE4-4A98-9525-6B8643DE12A2}" userId="S::sebastianvar@rpk.es::edaf2319-fc36-4ba7-a65d-d370a7e5d6a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09" dT="2025-08-28T10:50:19.27" personId="{4F8A55CC-CDE4-4A98-9525-6B8643DE12A2}" id="{F2DE351B-83A0-4E6A-B599-CECEE46C0091}">
    <text xml:space="preserve">83/4
Se modifica manualmente con fórmula de frecuencia de recogida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FLUJOGRAMAS/Hoja%20Art&#237;culos/Flujograma%20estrategia%20de%20fabricaci&#243;n%20x%20LT.pptx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../../../../FLUJOGRAMAS/Hoja%20Art&#237;culos/Flujograma%20lote%20de%20producci&#243;n.pptx" TargetMode="External"/><Relationship Id="rId1" Type="http://schemas.openxmlformats.org/officeDocument/2006/relationships/hyperlink" Target="../../../../FLUJOGRAMAS/Hoja%20Art&#237;culos/diagrama%20PaP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../../../../FLUJOGRAMAS/Hoja%20Art&#237;culos/Flujograma%20estrategia%20de%20fabricaci&#243;n%20x%20L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D76A-2BD4-4CD0-8B8A-2B8BAB1143CA}">
  <sheetPr codeName="Hoja25" filterMode="1"/>
  <dimension ref="A1:AL8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4" sqref="I4"/>
    </sheetView>
  </sheetViews>
  <sheetFormatPr baseColWidth="10" defaultRowHeight="14.4" x14ac:dyDescent="0.3"/>
  <cols>
    <col min="1" max="1" width="22.33203125" bestFit="1" customWidth="1"/>
    <col min="2" max="2" width="5.33203125" bestFit="1" customWidth="1"/>
    <col min="3" max="3" width="9" bestFit="1" customWidth="1"/>
    <col min="4" max="4" width="11.109375" bestFit="1" customWidth="1"/>
    <col min="5" max="5" width="16.44140625" customWidth="1"/>
    <col min="6" max="6" width="11" bestFit="1" customWidth="1"/>
    <col min="7" max="7" width="16.44140625" customWidth="1"/>
    <col min="8" max="8" width="16.5546875" customWidth="1"/>
    <col min="10" max="10" width="14.33203125" customWidth="1"/>
    <col min="11" max="11" width="6.6640625" bestFit="1" customWidth="1"/>
    <col min="12" max="12" width="11" bestFit="1" customWidth="1"/>
    <col min="13" max="13" width="13" bestFit="1" customWidth="1"/>
    <col min="14" max="14" width="13.6640625" bestFit="1" customWidth="1"/>
    <col min="15" max="15" width="16.88671875" customWidth="1"/>
    <col min="17" max="17" width="13" bestFit="1" customWidth="1"/>
    <col min="18" max="18" width="18.109375" bestFit="1" customWidth="1"/>
    <col min="19" max="20" width="13" bestFit="1" customWidth="1"/>
    <col min="22" max="22" width="23.44140625" bestFit="1" customWidth="1"/>
    <col min="24" max="24" width="14.33203125" bestFit="1" customWidth="1"/>
    <col min="25" max="25" width="13.6640625" bestFit="1" customWidth="1"/>
    <col min="26" max="26" width="13" bestFit="1" customWidth="1"/>
    <col min="27" max="28" width="13" hidden="1" customWidth="1"/>
    <col min="29" max="29" width="22.88671875" hidden="1" customWidth="1"/>
    <col min="30" max="30" width="18.6640625" hidden="1" customWidth="1"/>
    <col min="31" max="31" width="32.33203125" bestFit="1" customWidth="1"/>
    <col min="32" max="32" width="21.5546875" bestFit="1" customWidth="1"/>
    <col min="33" max="33" width="32.33203125" bestFit="1" customWidth="1"/>
    <col min="34" max="34" width="17.109375" bestFit="1" customWidth="1"/>
    <col min="35" max="35" width="32.33203125" bestFit="1" customWidth="1"/>
    <col min="36" max="36" width="20.88671875" bestFit="1" customWidth="1"/>
    <col min="37" max="37" width="32.33203125" bestFit="1" customWidth="1"/>
    <col min="38" max="38" width="19.6640625" bestFit="1" customWidth="1"/>
  </cols>
  <sheetData>
    <row r="1" spans="1:38" ht="46.5" customHeight="1" thickBot="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3"/>
      <c r="P1" s="3"/>
      <c r="Q1" s="2"/>
      <c r="R1" s="4" t="s">
        <v>1</v>
      </c>
      <c r="S1" s="4"/>
      <c r="T1" s="4"/>
      <c r="U1" s="4"/>
      <c r="V1" s="5" t="s">
        <v>2</v>
      </c>
      <c r="W1" s="5"/>
      <c r="X1" s="6" t="s">
        <v>3</v>
      </c>
      <c r="Y1" s="6"/>
      <c r="Z1" s="6"/>
      <c r="AA1" s="6"/>
      <c r="AB1" s="6"/>
      <c r="AC1" s="7" t="s">
        <v>4</v>
      </c>
      <c r="AD1" s="8"/>
      <c r="AE1" s="9" t="s">
        <v>5</v>
      </c>
      <c r="AF1" s="10" t="str">
        <f>'[1]DATOS PBI Artículos'!AL3</f>
        <v>SEPTIEMBRE</v>
      </c>
      <c r="AG1" s="9" t="s">
        <v>5</v>
      </c>
      <c r="AH1" s="10" t="str">
        <f>'[1]DATOS PBI Artículos'!AM3</f>
        <v>OCTUBRE</v>
      </c>
      <c r="AI1" s="9" t="s">
        <v>5</v>
      </c>
      <c r="AJ1" s="10" t="str">
        <f>'[1]DATOS PBI Artículos'!AN3</f>
        <v>NOVIEMBRE</v>
      </c>
      <c r="AK1" s="9" t="s">
        <v>5</v>
      </c>
      <c r="AL1" s="10" t="str">
        <f>'[1]DATOS PBI Artículos'!AO3</f>
        <v>DICIEMBRE</v>
      </c>
    </row>
    <row r="2" spans="1:38" ht="117.6" thickTop="1" x14ac:dyDescent="0.3">
      <c r="A2" s="11" t="s">
        <v>6</v>
      </c>
      <c r="B2" s="12" t="s">
        <v>7</v>
      </c>
      <c r="C2" s="12" t="s">
        <v>8</v>
      </c>
      <c r="D2" s="12" t="s">
        <v>9</v>
      </c>
      <c r="E2" s="13" t="s">
        <v>10</v>
      </c>
      <c r="F2" s="14" t="s">
        <v>11</v>
      </c>
      <c r="G2" s="15" t="s">
        <v>12</v>
      </c>
      <c r="H2" s="15" t="s">
        <v>13</v>
      </c>
      <c r="I2" s="15" t="s">
        <v>14</v>
      </c>
      <c r="J2" s="16" t="s">
        <v>15</v>
      </c>
      <c r="K2" s="17" t="s">
        <v>16</v>
      </c>
      <c r="L2" s="18" t="s">
        <v>17</v>
      </c>
      <c r="M2" s="19" t="s">
        <v>18</v>
      </c>
      <c r="N2" s="20" t="s">
        <v>19</v>
      </c>
      <c r="O2" s="20" t="s">
        <v>20</v>
      </c>
      <c r="P2" s="20"/>
      <c r="Q2" s="20" t="s">
        <v>21</v>
      </c>
      <c r="R2" s="21" t="s">
        <v>22</v>
      </c>
      <c r="S2" s="21" t="s">
        <v>23</v>
      </c>
      <c r="T2" s="21" t="s">
        <v>24</v>
      </c>
      <c r="U2" s="22" t="s">
        <v>25</v>
      </c>
      <c r="V2" s="23" t="s">
        <v>26</v>
      </c>
      <c r="W2" s="24" t="s">
        <v>20</v>
      </c>
      <c r="X2" s="25" t="s">
        <v>27</v>
      </c>
      <c r="Y2" s="26" t="s">
        <v>28</v>
      </c>
      <c r="Z2" s="27" t="s">
        <v>29</v>
      </c>
      <c r="AA2" s="28" t="s">
        <v>30</v>
      </c>
      <c r="AC2" s="29" t="s">
        <v>31</v>
      </c>
      <c r="AD2" s="29" t="s">
        <v>32</v>
      </c>
      <c r="AE2" s="30" t="s">
        <v>26</v>
      </c>
      <c r="AF2" s="31" t="s">
        <v>20</v>
      </c>
      <c r="AG2" s="30" t="s">
        <v>26</v>
      </c>
      <c r="AH2" s="31" t="s">
        <v>20</v>
      </c>
      <c r="AI2" s="30" t="s">
        <v>26</v>
      </c>
      <c r="AJ2" s="31" t="s">
        <v>20</v>
      </c>
      <c r="AK2" s="30" t="s">
        <v>26</v>
      </c>
      <c r="AL2" s="31" t="s">
        <v>20</v>
      </c>
    </row>
    <row r="3" spans="1:38" ht="25.8" x14ac:dyDescent="0.5">
      <c r="A3" s="32" t="s">
        <v>33</v>
      </c>
      <c r="B3" s="33">
        <f>_xlfn.XLOOKUP($A3,'[1]DATOS PBI Artículos'!A:A,'[1]DATOS PBI Artículos'!B:B)</f>
        <v>0</v>
      </c>
      <c r="C3" s="33" t="str">
        <f>_xlfn.XLOOKUP($A3,'[1]DATOS PBI Artículos'!A:A,'[1]DATOS PBI Artículos'!C:C)</f>
        <v>UA01</v>
      </c>
      <c r="D3" s="33">
        <f>_xlfn.XLOOKUP(A3,'[1]DATOS PBI Artículos'!A:A,'[1]DATOS PBI Artículos'!T:T)</f>
        <v>89</v>
      </c>
      <c r="E3" s="34">
        <f>IF(_xlfn.XLOOKUP($A3,'[1]DATOS PBI Artículos'!A:A,'[1]DATOS PBI Artículos'!AK:AK)="",_xlfn.XLOOKUP($A3,'[1]DATOS PBI Artículos'!A:A,'[1]DATOS PBI Artículos'!AJ:AJ),_xlfn.XLOOKUP($A3,'[1]DATOS PBI Artículos'!A:A,'[1]DATOS PBI Artículos'!AK:AK))</f>
        <v>9116000</v>
      </c>
      <c r="F3" s="35">
        <f>_xlfn.XLOOKUP($A3,'[1]DATOS PBI Artículos'!A:A,'[1]DATOS PBI Artículos'!AP:AP)</f>
        <v>0.88</v>
      </c>
      <c r="G3" s="34">
        <f>_xlfn.XLOOKUP($A3,'[1]DATOS PBI Artículos'!A:A,'[1]DATOS PBI Artículos'!AR:AR)</f>
        <v>108000</v>
      </c>
      <c r="H3" s="34">
        <f>_xlfn.XLOOKUP($A3,'[1]DATOS PBI Artículos'!A:A,'[1]DATOS PBI Artículos'!AT:AT)</f>
        <v>44557.05</v>
      </c>
      <c r="I3" s="34">
        <f>_xlfn.XLOOKUP($A3,'[1]DATOS PBI Artículos'!A:A,'[1]DATOS PBI Artículos'!AS:AS)</f>
        <v>4000</v>
      </c>
      <c r="J3" s="35">
        <f>IF(COUNTIF([1]CRITERIOS!$F$179:$F$199,$A3)&gt;=1,
 IF(O3&lt;&gt;"",
    (O3/_xlfn.XLOOKUP(CONCATENATE(A3,L3),[1]MÁQUINAS!A:A,[1]MÁQUINAS!D:D))/24,
    (N3/_xlfn.XLOOKUP(CONCATENATE(A3,L3),[1]MÁQUINAS!A:A,[1]MÁQUINAS!D:D))/24),
  _xlfn.XLOOKUP($A3,'[1]DATOS PBI Artículos'!A:A,'[1]DATOS PBI Artículos'!AU:AU))</f>
        <v>13.162393162393164</v>
      </c>
      <c r="K3" s="36">
        <f>_xlfn.XLOOKUP($A3,'[1]DATOS PBI Artículos'!A:A,'[1]DATOS PBI Artículos'!AV:AV)</f>
        <v>1.166909344959941</v>
      </c>
      <c r="L3" s="33">
        <f>_xlfn.XLOOKUP(A3,[1]MÁQUINAS!B:B,[1]MÁQUINAS!C:C)</f>
        <v>520</v>
      </c>
      <c r="M3" s="34">
        <f t="array" ref="M3">_xlfn.XLOOKUP(A3,'[1]DATOS PBI Artículos'!A:A,'[1]DATOS PBI Artículos'!AX:$AX)</f>
        <v>622239.07442782808</v>
      </c>
      <c r="N3" s="37">
        <f>IF(I3="DV",
E3,
IF(COUNTIF([1]CRITERIOS!$I$179:$I$199,$A3)&gt;=1,
_xlfn.XLOOKUP($A3,[1]CRITERIOS!$I$179:$I$199,[1]CRITERIOS!$J$179:$J$199),
IF(COUNTIF([1]CRITERIOS!$L$179:$L$199,$A3)&gt;=1,
_xlfn.CEILING.MATH(IF($M3&gt;$E3,
$E3,
IF($M3&lt;$E3/ROUNDDOWN([1]CRITERIOS!$M$16/_xlfn.XLOOKUP($C3,[1]CRITERIOS!$K$25:$K$42,[1]CRITERIOS!$M$25:$M$42),
1),
E3/ROUNDDOWN([1]CRITERIOS!$M$16/_xlfn.XLOOKUP($C3,[1]CRITERIOS!$K$25:$K$42,[1]CRITERIOS!$M$25:$M$42),
1),
$M3)),
_xlfn.XLOOKUP($A3,[1]CRITERIOS!$L$179:$L$200,[1]CRITERIOS!$M$179:$M$200)),
_xlfn.CEILING.MATH(IF($M3&gt;$E3,
$E3,
IF($M3&lt;$E3/ROUNDDOWN([1]CRITERIOS!$M$16/_xlfn.XLOOKUP($C3,[1]CRITERIOS!$K$25:$K$42,[1]CRITERIOS!$M$25:$M$42),
1),
E3/ROUNDDOWN([1]CRITERIOS!$M$16/_xlfn.XLOOKUP($C3,[1]CRITERIOS!$K$25:$K$42,[1]CRITERIOS!$M$25:$M$42),
1),
$M3)),_xlfn.XLOOKUP(A3,'[1]DATOS PBI Artículos'!A:A,'[1]DATOS PBI Artículos'!Z:Z
)))))</f>
        <v>2464000</v>
      </c>
      <c r="Q3" s="38">
        <f>IF(AND(O3="",N3=0),
0,
   IF(COUNTIF([1]CRITERIOS!$F$179:$F$199,$A3)&gt;=1,
   1,
   IF(R3="MTO",
      $D3,
      ROUNDUP(
                    IF(($E3-SUMIF('[1]DATOS PBI Artículos'!A:A,A3,'[1]DATOS PBI Artículos'!X:X)+($V3-_xlfn.XLOOKUP(A3,'[1]DATOS PBI Artículos'!A:A,'[1]DATOS PBI Artículos'!W:W)))&lt;0,
                    0,
                    IF(($E3-SUMIF('[1]DATOS PBI Artículos'!A:A,A3,'[1]DATOS PBI Artículos'!X:X)+$V3-_xlfn.XLOOKUP($A3,'[1]DATOS PBI Artículos'!A:A,'[1]DATOS PBI Artículos'!W:W))/IF($O3="",$N3,$O3)&gt;ROUNDUP([1]CRITERIOS!$M$16/(IF(COUNTIF([1]CRITERIOS!$BG$11:$BG$201,L3)&gt;=1,_xlfn.XLOOKUP($C3,[1]CRITERIOS!$K$25:$K$42,[1]CRITERIOS!$M$25:$M$42),_xlfn.XLOOKUP($C3,[1]CRITERIOS!$K$25:$K$42,[1]CRITERIOS!$M$25:$M$42))),0),
                    ROUNDUP([1]CRITERIOS!$M$16/(IF(COUNTIF([1]CRITERIOS!$BG$11:$BG$201,$L3)&gt;=1,_xlfn.XLOOKUP($C3,[1]CRITERIOS!$K$25:$K$42,[1]CRITERIOS!$M$25:$M$42),_xlfn.XLOOKUP($C3,[1]CRITERIOS!$K$25:$K$42,[1]CRITERIOS!$M$25:$M$42))),0),
                    (E3+V3-SUMIF('[1]DATOS PBI Artículos'!A:A,A3,'[1]DATOS PBI Artículos'!X:X)-_xlfn.XLOOKUP(A3,'[1]DATOS PBI Artículos'!A:A,'[1]DATOS PBI Artículos'!W:W))/IF($O3="",$N3,$O3))),0))))</f>
        <v>1</v>
      </c>
      <c r="R3" s="33" t="str">
        <f>IF(U3&lt;&gt;"",U3,IF(F3="DV","MTO",IF(N3=0,"MTO",_xlfn.XLOOKUP(CONCATENATE(S3,T3),[1]CRITERIOS!$K$160:$K$168,[1]CRITERIOS!$N$160:$N$168))))</f>
        <v>MTS</v>
      </c>
      <c r="S3" s="33" t="str">
        <f>IF(G3="DV","MTO",IF(N3=0,"MTO",IF(OR(AND(N3=0,O3=""),IF(O3="",G3/N3,G3/O3)&gt;[1]CRITERIOS!$G$163),"MTO",IF(IF(O3="",G3/N3,G3/O3)&lt;[1]CRITERIOS!$H$161,"MTS","MTOS"))))</f>
        <v>MTS</v>
      </c>
      <c r="T3" s="33" t="str">
        <f>IF(F3="DV","MTO",IF(OR(AND($N3=0,O3=""),$F3/$J3&gt;[1]CRITERIOS!$G$170,$F3="DV"),"MTO",IF($F3/$J3&lt;[1]CRITERIOS!$H$168,"MTS","MTOS")))</f>
        <v>MTS</v>
      </c>
      <c r="V3" s="34">
        <f t="shared" ref="V3:V21" si="0">IF(R3="MTO","",
IF($H3=0,(((($J3/$F3)*$G3)+$Z3)/$G3)*$G3,
(($J3/$F3)*$G3)+$Z3))</f>
        <v>1770710.441369669</v>
      </c>
      <c r="X3" s="34">
        <f t="shared" ref="X3:X66" si="1">IF(R3="MTO",0,V3+N3)</f>
        <v>4234710.4413696695</v>
      </c>
      <c r="Y3" s="34">
        <f t="shared" ref="Y3:Y66" si="2">IF(R3="MTO",0,Z3+(N3/2))</f>
        <v>1387325.8259850536</v>
      </c>
      <c r="Z3" s="34">
        <f>IF($R3="MTO",
0,
($H3+$K3*($E3/[1]CRITERIOS!$M$16))/[1]CRITERIOS!$X$48)</f>
        <v>155325.82598505358</v>
      </c>
      <c r="AA3" s="34" t="e">
        <f>ROUNDUP(($Y3/_xlfn.XLOOKUP($A3,'[1]DATOS PBI Artículos'!$A$4:$A$4,'[1]DATOS PBI Artículos'!$Z$4:$Z$4))/_xlfn.XLOOKUP(_xlfn.XLOOKUP($A3,'[1]DATOS PBI Artículos'!$A$4:$A$4,'[1]DATOS PBI Artículos'!$Y$4:$Y$4),[1]CRITERIOS!$P$79:$P$123,[1]CRITERIOS!$S$79:$S$123,),0)</f>
        <v>#DIV/0!</v>
      </c>
      <c r="AB3" s="33" t="e">
        <f t="array" ref="AB3">IF((E3+V3-_xlfn.XLOOKUP(A3,'[1]DATOS PBI Artículos'!$A$4:$A$4,'[1]DATOS PBI Artículos'!$W$4:$W$4))/N3&gt;ROUNDUP([1]CRITERIOS!$M$16/(IF(COUNTIF([1]CRITERIOS!$BG$11:$BG$201,L3)&gt;=1,_xlfn.XLOOKUP(ARTÍCULOS!L3,[1]CRITERIOS!$BG$11:$BG$201,[1]CRITERIOS!$BJ$11:$BJ$201),_xlfn.XLOOKUP(ARTÍCULOS!C3,[1]CRITERIOS!$K$25:$K$42,[1]CRITERIOS!$M$25:$M$42))),0),ROUNDUP([1]CRITERIOS!$M$16/(IF(COUNTIF([1]CRITERIOS!$BG$11:$BG$201,L3)&gt;=1,_xlfn.XLOOKUP(ARTÍCULOS!L3,[1]CRITERIOS!$BG$11:$BG$201:#REF!,[1]CRITERIOS!$BJ$11:$BJ$201),_xlfn.XLOOKUP(ARTÍCULOS!C3,[1]CRITERIOS!$K$25:$K$42,[1]CRITERIOS!$M$25:$M$42))),0),(E3+V3-_xlfn.XLOOKUP(A3,'[1]DATOS PBI Artículos'!$A$4:$A$4,'[1]DATOS PBI Artículos'!$W$4:$W$4))/N3)</f>
        <v>#DIV/0!</v>
      </c>
      <c r="AC3" s="33" t="e">
        <f>IF(N3=0,"",(ROUNDUP((N3/2)/(_xlfn.XLOOKUP(A3,'[1]DATOS PBI Artículos'!$A$4:$A$4,'[1]DATOS PBI Artículos'!$Z$4:$Z$4)*_xlfn.XLOOKUP(_xlfn.XLOOKUP(A3,'[1]DATOS PBI Artículos'!$A$4:$A$4,'[1]DATOS PBI Artículos'!$Y$4:$Y$4),[1]CRITERIOS!$P$79:$P$123,[1]CRITERIOS!$S$79:$S$123)),0)*[1]CRITERIOS!$M$80*([1]CRITERIOS!$M$110/[1]CRITERIOS!$M$86)+(_xlfn.XLOOKUP(A3,'[1]DATOS PBI Artículos'!$A$4:$A$4,'[1]DATOS PBI Artículos'!$AA$4:$AA$4)*([1]CRITERIOS!$M$95+[1]CRITERIOS!$M$98)))/N3)</f>
        <v>#DIV/0!</v>
      </c>
      <c r="AD3" s="33" t="e">
        <f>IF(N3=0,"",(ROUNDUP((N3/2)/(_xlfn.XLOOKUP(A3,'[1]DATOS PBI Artículos'!$A$4:$A$4,'[1]DATOS PBI Artículos'!$Z$4:$Z$4)*_xlfn.XLOOKUP(_xlfn.XLOOKUP(A3,'[1]DATOS PBI Artículos'!$A$4:$A$4,'[1]DATOS PBI Artículos'!$Y$4:$Y$4),[1]CRITERIOS!$P$79:$P$123,[1]CRITERIOS!$S$79:$S$123)),0)*[1]CRITERIOS!$M$80*([1]CRITERIOS!$M$89*[1]CRITERIOS!$M$92)+((_xlfn.XLOOKUP(A3,'[1]DATOS PBI Artículos'!$A$4:$A$4,'[1]DATOS PBI Artículos'!$AA$4:$AA$4)/2)*([1]CRITERIOS!$M$95+[1]CRITERIOS!$M$98)))/N3)</f>
        <v>#DIV/0!</v>
      </c>
      <c r="AE3" s="39">
        <f>IF($R3="MTO","",
IF($H3=0,ROUNDUP(((_xlfn.XLOOKUP($A3,'[1]DATOS PBI Artículos'!$A:$A,'[1]DATOS PBI Artículos'!$AL:$AL))/(_xlfn.XLOOKUP($AF$1,[1]CRITERIOS!$S$16:$S$39,[1]CRITERIOS!$Y$16:$Y$39))*$J3+$Z3)/$G3,0)*$G3,
((_xlfn.XLOOKUP($A3,'[1]DATOS PBI Artículos'!$A:$A,'[1]DATOS PBI Artículos'!$AL:$AL))/(_xlfn.XLOOKUP($AF$1,[1]CRITERIOS!$S$16:$S$39,[1]CRITERIOS!$Y$16:$Y$39))*$J3+$Z3)))</f>
        <v>2005655.3627548448</v>
      </c>
      <c r="AG3" s="39">
        <f>IF($R3="MTO","",
IF($H3=0,ROUNDUP(((_xlfn.XLOOKUP($A3,'[1]DATOS PBI Artículos'!$A:$A,'[1]DATOS PBI Artículos'!$AM:$AM))/(_xlfn.XLOOKUP($AH$1,[1]CRITERIOS!$S$16:$S$39,[1]CRITERIOS!$Y$16:$Y$39))*$J3+$Z3)/$G3,0)*$G3,
((_xlfn.XLOOKUP($A3,'[1]DATOS PBI Artículos'!$A:$A,'[1]DATOS PBI Artículos'!$AM:$AM))/(_xlfn.XLOOKUP($AH$1,[1]CRITERIOS!$S$16:$S$39,[1]CRITERIOS!$Y$16:$Y$39))*$J3+$Z3)))</f>
        <v>1484453.5882679296</v>
      </c>
      <c r="AI3" s="39">
        <f>IF($R3="MTO","",
IF($H3=0,ROUNDUP(((_xlfn.XLOOKUP($A3,'[1]DATOS PBI Artículos'!$A:$A,'[1]DATOS PBI Artículos'!$AN:$AN))/(_xlfn.XLOOKUP($AJ$1,[1]CRITERIOS!$S$16:$S$39,[1]CRITERIOS!$Y$16:$Y$39))*$J3+$Z3)/$G3,0)*$G3,
((_xlfn.XLOOKUP($A3,'[1]DATOS PBI Artículos'!$A:$A,'[1]DATOS PBI Artículos'!$AN:$AN))/(_xlfn.XLOOKUP($AJ$1,[1]CRITERIOS!$S$16:$S$39,[1]CRITERIOS!$Y$16:$Y$39))*$J3+$Z3)))</f>
        <v>1747287.5204304636</v>
      </c>
      <c r="AK3" s="39">
        <f>IF($R3="MTO","",
IF($H3=0,ROUNDUP(((_xlfn.XLOOKUP($A3,'[1]DATOS PBI Artículos'!$A:$A,'[1]DATOS PBI Artículos'!$AO:$AO))/(_xlfn.XLOOKUP($AL$1,[1]CRITERIOS!$S$16:$S$39,[1]CRITERIOS!$Y$16:$Y$39))*$J3+$Z3)/$G3,0)*$G3,
((_xlfn.XLOOKUP($A3,'[1]DATOS PBI Artículos'!$A:$A,'[1]DATOS PBI Artículos'!$AO:$AO))/(_xlfn.XLOOKUP($AL$1,[1]CRITERIOS!$S$16:$S$39,[1]CRITERIOS!$Y$16:$Y$39))*$J3+$Z3)))</f>
        <v>1889130.9677783016</v>
      </c>
    </row>
    <row r="4" spans="1:38" ht="25.8" x14ac:dyDescent="0.5">
      <c r="A4" s="32">
        <v>421654</v>
      </c>
      <c r="B4" s="33">
        <f>_xlfn.XLOOKUP($A4,'[1]DATOS PBI Artículos'!A:A,'[1]DATOS PBI Artículos'!B:B)</f>
        <v>0</v>
      </c>
      <c r="C4" s="33" t="str">
        <f>_xlfn.XLOOKUP($A4,'[1]DATOS PBI Artículos'!A:A,'[1]DATOS PBI Artículos'!C:C)</f>
        <v>UA01</v>
      </c>
      <c r="D4" s="33">
        <f>_xlfn.XLOOKUP(A4,'[1]DATOS PBI Artículos'!A:A,'[1]DATOS PBI Artículos'!T:T)</f>
        <v>68</v>
      </c>
      <c r="E4" s="34">
        <f>IF(_xlfn.XLOOKUP($A4,'[1]DATOS PBI Artículos'!A:A,'[1]DATOS PBI Artículos'!AK:AK)="",_xlfn.XLOOKUP($A4,'[1]DATOS PBI Artículos'!A:A,'[1]DATOS PBI Artículos'!AJ:AJ),_xlfn.XLOOKUP($A4,'[1]DATOS PBI Artículos'!A:A,'[1]DATOS PBI Artículos'!AK:AK))</f>
        <v>5176000</v>
      </c>
      <c r="F4" s="35">
        <f>_xlfn.XLOOKUP($A4,'[1]DATOS PBI Artículos'!A:A,'[1]DATOS PBI Artículos'!AP:AP)</f>
        <v>1.1384615384600001</v>
      </c>
      <c r="G4" s="34">
        <f>_xlfn.XLOOKUP($A4,'[1]DATOS PBI Artículos'!A:A,'[1]DATOS PBI Artículos'!AR:AR)</f>
        <v>80000</v>
      </c>
      <c r="H4" s="34">
        <f>_xlfn.XLOOKUP($A4,'[1]DATOS PBI Artículos'!A:A,'[1]DATOS PBI Artículos'!AT:AT)</f>
        <v>65196.050046954086</v>
      </c>
      <c r="I4" s="34">
        <f>_xlfn.XLOOKUP($A4,'[1]DATOS PBI Artículos'!A:A,'[1]DATOS PBI Artículos'!AS:AS)</f>
        <v>4000</v>
      </c>
      <c r="J4" s="35">
        <f>IF(COUNTIF([1]CRITERIOS!$F$179:$F$199,$A4)&gt;=1,
 IF(O4&lt;&gt;"",
    (O4/_xlfn.XLOOKUP(CONCATENATE(A4,L4),[1]MÁQUINAS!A:A,[1]MÁQUINAS!D:D))/24,
    (N4/_xlfn.XLOOKUP(CONCATENATE(A4,L4),[1]MÁQUINAS!A:A,[1]MÁQUINAS!D:D))/24),
  _xlfn.XLOOKUP($A4,'[1]DATOS PBI Artículos'!A:A,'[1]DATOS PBI Artículos'!AU:AU))</f>
        <v>13.694444444444445</v>
      </c>
      <c r="K4" s="36">
        <f>_xlfn.XLOOKUP($A4,'[1]DATOS PBI Artículos'!A:A,'[1]DATOS PBI Artículos'!AV:AV)</f>
        <v>1.7086267353678428</v>
      </c>
      <c r="L4" s="33">
        <f>_xlfn.XLOOKUP(A4,[1]MÁQUINAS!B:B,[1]MÁQUINAS!C:C)</f>
        <v>521</v>
      </c>
      <c r="M4" s="34">
        <f t="array" ref="M4">_xlfn.XLOOKUP(A4,'[1]DATOS PBI Artículos'!A:A,'[1]DATOS PBI Artículos'!AX:$AX)</f>
        <v>647661.32747057034</v>
      </c>
      <c r="N4" s="37">
        <f>IF(I4="DV",
E4,
IF(COUNTIF([1]CRITERIOS!$I$179:$I$199,$A4)&gt;=1,
_xlfn.XLOOKUP($A4,[1]CRITERIOS!$I$179:$I$199,[1]CRITERIOS!$J$179:$J$199),
IF(COUNTIF([1]CRITERIOS!$L$179:$L$199,$A4)&gt;=1,
_xlfn.CEILING.MATH(IF($M4&gt;$E4,
$E4,
IF($M4&lt;$E4/ROUNDDOWN([1]CRITERIOS!$M$16/_xlfn.XLOOKUP($C4,[1]CRITERIOS!$K$25:$K$42,[1]CRITERIOS!$M$25:$M$42),
1),
E4/ROUNDDOWN([1]CRITERIOS!$M$16/_xlfn.XLOOKUP($C4,[1]CRITERIOS!$K$25:$K$42,[1]CRITERIOS!$M$25:$M$42),
1),
$M4)),
_xlfn.XLOOKUP($A4,[1]CRITERIOS!$L$179:$L$200,[1]CRITERIOS!$M$179:$M$200)),
_xlfn.CEILING.MATH(IF($M4&gt;$E4,
$E4,
IF($M4&lt;$E4/ROUNDDOWN([1]CRITERIOS!$M$16/_xlfn.XLOOKUP($C4,[1]CRITERIOS!$K$25:$K$42,[1]CRITERIOS!$M$25:$M$42),
1),
E4/ROUNDDOWN([1]CRITERIOS!$M$16/_xlfn.XLOOKUP($C4,[1]CRITERIOS!$K$25:$K$42,[1]CRITERIOS!$M$25:$M$42),
1),
$M4)),_xlfn.XLOOKUP(A4,'[1]DATOS PBI Artículos'!A:A,'[1]DATOS PBI Artículos'!Z:Z
)))))</f>
        <v>1400000</v>
      </c>
      <c r="Q4" s="38">
        <f>IF(AND(O4="",N4=0),
0,
   IF(COUNTIF([1]CRITERIOS!$F$179:$F$199,$A4)&gt;=1,
   1,
   IF(R4="MTO",
      $D4,
      ROUNDUP(
                    IF(($E4-SUMIF('[1]DATOS PBI Artículos'!A:A,A4,'[1]DATOS PBI Artículos'!X:X)+($V4-_xlfn.XLOOKUP(A4,'[1]DATOS PBI Artículos'!A:A,'[1]DATOS PBI Artículos'!W:W)))&lt;0,
                    0,
                    IF(($E4-SUMIF('[1]DATOS PBI Artículos'!A:A,A4,'[1]DATOS PBI Artículos'!X:X)+$V4-_xlfn.XLOOKUP($A4,'[1]DATOS PBI Artículos'!A:A,'[1]DATOS PBI Artículos'!W:W))/IF($O4="",$N4,$O4)&gt;ROUNDUP([1]CRITERIOS!$M$16/(IF(COUNTIF([1]CRITERIOS!$BG$11:$BG$201,L4)&gt;=1,_xlfn.XLOOKUP($C4,[1]CRITERIOS!$K$25:$K$42,[1]CRITERIOS!$M$25:$M$42),_xlfn.XLOOKUP($C4,[1]CRITERIOS!$K$25:$K$42,[1]CRITERIOS!$M$25:$M$42))),0),
                    ROUNDUP([1]CRITERIOS!$M$16/(IF(COUNTIF([1]CRITERIOS!$BG$11:$BG$201,$L4)&gt;=1,_xlfn.XLOOKUP($C4,[1]CRITERIOS!$K$25:$K$42,[1]CRITERIOS!$M$25:$M$42),_xlfn.XLOOKUP($C4,[1]CRITERIOS!$K$25:$K$42,[1]CRITERIOS!$M$25:$M$42))),0),
                    (E4+V4-SUMIF('[1]DATOS PBI Artículos'!A:A,A4,'[1]DATOS PBI Artículos'!X:X)-_xlfn.XLOOKUP(A4,'[1]DATOS PBI Artículos'!A:A,'[1]DATOS PBI Artículos'!W:W))/IF($O4="",$N4,$O4))),0))))</f>
        <v>4</v>
      </c>
      <c r="R4" s="33" t="str">
        <f>IF(U4&lt;&gt;"",U4,IF(F4="DV","MTO",IF(N4=0,"MTO",_xlfn.XLOOKUP(CONCATENATE(S4,T4),[1]CRITERIOS!$K$160:$K$168,[1]CRITERIOS!$N$160:$N$168))))</f>
        <v>MTS</v>
      </c>
      <c r="S4" s="33" t="str">
        <f>IF(G4="DV","MTO",IF(N4=0,"MTO",IF(OR(AND(N4=0,O4=""),IF(O4="",G4/N4,G4/O4)&gt;[1]CRITERIOS!$G$163),"MTO",IF(IF(O4="",G4/N4,G4/O4)&lt;[1]CRITERIOS!$H$161,"MTS","MTOS"))))</f>
        <v>MTS</v>
      </c>
      <c r="T4" s="33" t="str">
        <f>IF(F4="DV","MTO",IF(OR(AND($N4=0,O4=""),$F4/$J4&gt;[1]CRITERIOS!$G$170,$F4="DV"),"MTO",IF($F4/$J4&lt;[1]CRITERIOS!$H$168,"MTS","MTOS")))</f>
        <v>MTS</v>
      </c>
      <c r="V4" s="34">
        <f t="shared" si="0"/>
        <v>1114907.3760445628</v>
      </c>
      <c r="X4" s="34">
        <f t="shared" si="1"/>
        <v>2514907.376044563</v>
      </c>
      <c r="Y4" s="34">
        <f t="shared" si="2"/>
        <v>852595.06373095012</v>
      </c>
      <c r="Z4" s="34">
        <f>IF($R4="MTO",
0,
($H4+$K4*($E4/[1]CRITERIOS!$M$16))/[1]CRITERIOS!$X$48)</f>
        <v>152595.06373095012</v>
      </c>
      <c r="AA4" s="34" t="e">
        <f>ROUNDUP(($Y4/_xlfn.XLOOKUP($A4,'[1]DATOS PBI Artículos'!$A$4:$A$4,'[1]DATOS PBI Artículos'!$Z$4:$Z$4))/_xlfn.XLOOKUP(_xlfn.XLOOKUP($A4,'[1]DATOS PBI Artículos'!$A$4:$A$4,'[1]DATOS PBI Artículos'!$Y$4:$Y$4),[1]CRITERIOS!$P$79:$P$123,[1]CRITERIOS!$S$79:$S$123,),0)</f>
        <v>#N/A</v>
      </c>
      <c r="AB4" s="33" t="e">
        <f t="array" ref="AB4">IF((E4+V4-_xlfn.XLOOKUP(A4,'[1]DATOS PBI Artículos'!$A$4:$A$4,'[1]DATOS PBI Artículos'!$W$4:$W$4))/N4&gt;ROUNDUP([1]CRITERIOS!$M$16/(IF(COUNTIF([1]CRITERIOS!$BG$11:$BG$201,L4)&gt;=1,_xlfn.XLOOKUP(ARTÍCULOS!L4,[1]CRITERIOS!$BG$11:$BG$201,[1]CRITERIOS!$BJ$11:$BJ$201),_xlfn.XLOOKUP(ARTÍCULOS!C4,[1]CRITERIOS!$K$25:$K$42,[1]CRITERIOS!$M$25:$M$42))),0),ROUNDUP([1]CRITERIOS!$M$16/(IF(COUNTIF([1]CRITERIOS!$BG$11:$BG$201,L4)&gt;=1,_xlfn.XLOOKUP(ARTÍCULOS!L4,[1]CRITERIOS!$BG$11:$BG$201:#REF!,[1]CRITERIOS!$BJ$11:$BJ$201),_xlfn.XLOOKUP(ARTÍCULOS!C4,[1]CRITERIOS!$K$25:$K$42,[1]CRITERIOS!$M$25:$M$42))),0),(E4+V4-_xlfn.XLOOKUP(A4,'[1]DATOS PBI Artículos'!$A$4:$A$4,'[1]DATOS PBI Artículos'!$W$4:$W$4))/N4)</f>
        <v>#N/A</v>
      </c>
      <c r="AC4" s="33" t="e">
        <f>IF(N4=0,"",(ROUNDUP((N4/2)/(_xlfn.XLOOKUP(A4,'[1]DATOS PBI Artículos'!$A$4:$A$4,'[1]DATOS PBI Artículos'!$Z$4:$Z$4)*_xlfn.XLOOKUP(_xlfn.XLOOKUP(A4,'[1]DATOS PBI Artículos'!$A$4:$A$4,'[1]DATOS PBI Artículos'!$Y$4:$Y$4),[1]CRITERIOS!$P$79:$P$123,[1]CRITERIOS!$S$79:$S$123)),0)*[1]CRITERIOS!$M$80*([1]CRITERIOS!$M$110/[1]CRITERIOS!$M$86)+(_xlfn.XLOOKUP(A4,'[1]DATOS PBI Artículos'!$A$4:$A$4,'[1]DATOS PBI Artículos'!$AA$4:$AA$4)*([1]CRITERIOS!$M$95+[1]CRITERIOS!$M$98)))/N4)</f>
        <v>#N/A</v>
      </c>
      <c r="AD4" s="33" t="e">
        <f>IF(N4=0,"",(ROUNDUP((N4/2)/(_xlfn.XLOOKUP(A4,'[1]DATOS PBI Artículos'!$A$4:$A$4,'[1]DATOS PBI Artículos'!$Z$4:$Z$4)*_xlfn.XLOOKUP(_xlfn.XLOOKUP(A4,'[1]DATOS PBI Artículos'!$A$4:$A$4,'[1]DATOS PBI Artículos'!$Y$4:$Y$4),[1]CRITERIOS!$P$79:$P$123,[1]CRITERIOS!$S$79:$S$123)),0)*[1]CRITERIOS!$M$80*([1]CRITERIOS!$M$89*[1]CRITERIOS!$M$92)+((_xlfn.XLOOKUP(A4,'[1]DATOS PBI Artículos'!$A$4:$A$4,'[1]DATOS PBI Artículos'!$AA$4:$AA$4)/2)*([1]CRITERIOS!$M$95+[1]CRITERIOS!$M$98)))/N4)</f>
        <v>#N/A</v>
      </c>
      <c r="AE4" s="39">
        <f>IF($R4="MTO","",
IF($H4=0,ROUNDUP(((_xlfn.XLOOKUP($A4,'[1]DATOS PBI Artículos'!$A:$A,'[1]DATOS PBI Artículos'!$AL:$AL))/(_xlfn.XLOOKUP($AF$1,[1]CRITERIOS!$S$16:$S$39,[1]CRITERIOS!$Y$16:$Y$39))*$J4+$Z4)/$G4,0)*$G4,
((_xlfn.XLOOKUP($A4,'[1]DATOS PBI Artículos'!$A:$A,'[1]DATOS PBI Artículos'!$AL:$AL))/(_xlfn.XLOOKUP($AF$1,[1]CRITERIOS!$S$16:$S$39,[1]CRITERIOS!$Y$16:$Y$39))*$J4+$Z4)))</f>
        <v>1245666.6169225643</v>
      </c>
      <c r="AG4" s="39">
        <f>IF($R4="MTO","",
IF($H4=0,ROUNDUP(((_xlfn.XLOOKUP($A4,'[1]DATOS PBI Artículos'!$A:$A,'[1]DATOS PBI Artículos'!$AM:$AM))/(_xlfn.XLOOKUP($AH$1,[1]CRITERIOS!$S$16:$S$39,[1]CRITERIOS!$Y$16:$Y$39))*$J4+$Z4)/$G4,0)*$G4,
((_xlfn.XLOOKUP($A4,'[1]DATOS PBI Artículos'!$A:$A,'[1]DATOS PBI Artículos'!$AM:$AM))/(_xlfn.XLOOKUP($AH$1,[1]CRITERIOS!$S$16:$S$39,[1]CRITERIOS!$Y$16:$Y$39))*$J4+$Z4)))</f>
        <v>937769.66027601529</v>
      </c>
      <c r="AI4" s="39">
        <f>IF($R4="MTO","",
IF($H4=0,ROUNDUP(((_xlfn.XLOOKUP($A4,'[1]DATOS PBI Artículos'!$A:$A,'[1]DATOS PBI Artículos'!$AN:$AN))/(_xlfn.XLOOKUP($AJ$1,[1]CRITERIOS!$S$16:$S$39,[1]CRITERIOS!$Y$16:$Y$39))*$J4+$Z4)/$G4,0)*$G4,
((_xlfn.XLOOKUP($A4,'[1]DATOS PBI Artículos'!$A:$A,'[1]DATOS PBI Artículos'!$AN:$AN))/(_xlfn.XLOOKUP($AJ$1,[1]CRITERIOS!$S$16:$S$39,[1]CRITERIOS!$Y$16:$Y$39))*$J4+$Z4)))</f>
        <v>1093037.2970678415</v>
      </c>
      <c r="AK4" s="39">
        <f>IF($R4="MTO","",
IF($H4=0,ROUNDUP(((_xlfn.XLOOKUP($A4,'[1]DATOS PBI Artículos'!$A:$A,'[1]DATOS PBI Artículos'!$AO:$AO))/(_xlfn.XLOOKUP($AL$1,[1]CRITERIOS!$S$16:$S$39,[1]CRITERIOS!$Y$16:$Y$39))*$J4+$Z4)/$G4,0)*$G4,
((_xlfn.XLOOKUP($A4,'[1]DATOS PBI Artículos'!$A:$A,'[1]DATOS PBI Artículos'!$AO:$AO))/(_xlfn.XLOOKUP($AL$1,[1]CRITERIOS!$S$16:$S$39,[1]CRITERIOS!$Y$16:$Y$39))*$J4+$Z4)))</f>
        <v>1176830.4994253111</v>
      </c>
    </row>
    <row r="5" spans="1:38" ht="25.8" x14ac:dyDescent="0.5">
      <c r="A5" s="32" t="s">
        <v>34</v>
      </c>
      <c r="B5" s="33">
        <f>_xlfn.XLOOKUP($A5,'[1]DATOS PBI Artículos'!A:A,'[1]DATOS PBI Artículos'!B:B)</f>
        <v>0</v>
      </c>
      <c r="C5" s="33" t="str">
        <f>_xlfn.XLOOKUP($A5,'[1]DATOS PBI Artículos'!A:A,'[1]DATOS PBI Artículos'!C:C)</f>
        <v>UA01</v>
      </c>
      <c r="D5" s="33">
        <f>_xlfn.XLOOKUP(A5,'[1]DATOS PBI Artículos'!A:A,'[1]DATOS PBI Artículos'!T:T)</f>
        <v>24</v>
      </c>
      <c r="E5" s="34">
        <f>IF(_xlfn.XLOOKUP($A5,'[1]DATOS PBI Artículos'!A:A,'[1]DATOS PBI Artículos'!AK:AK)="",_xlfn.XLOOKUP($A5,'[1]DATOS PBI Artículos'!A:A,'[1]DATOS PBI Artículos'!AJ:AJ),_xlfn.XLOOKUP($A5,'[1]DATOS PBI Artículos'!A:A,'[1]DATOS PBI Artículos'!AK:AK))</f>
        <v>2832000</v>
      </c>
      <c r="F5" s="35">
        <f>_xlfn.XLOOKUP($A5,'[1]DATOS PBI Artículos'!A:A,'[1]DATOS PBI Artículos'!AP:AP)</f>
        <v>3.1428571428500001</v>
      </c>
      <c r="G5" s="34">
        <f>_xlfn.XLOOKUP($A5,'[1]DATOS PBI Artículos'!A:A,'[1]DATOS PBI Artículos'!AR:AR)</f>
        <v>120000</v>
      </c>
      <c r="H5" s="34">
        <f>_xlfn.XLOOKUP($A5,'[1]DATOS PBI Artículos'!A:A,'[1]DATOS PBI Artículos'!AT:AT)</f>
        <v>37434.618327834592</v>
      </c>
      <c r="I5" s="34">
        <f>_xlfn.XLOOKUP($A5,'[1]DATOS PBI Artículos'!A:A,'[1]DATOS PBI Artículos'!AS:AS)</f>
        <v>24000</v>
      </c>
      <c r="J5" s="35">
        <f>IF(COUNTIF([1]CRITERIOS!$F$179:$F$199,$A5)&gt;=1,
 IF(O5&lt;&gt;"",
    (O5/_xlfn.XLOOKUP(CONCATENATE(A5,L5),[1]MÁQUINAS!A:A,[1]MÁQUINAS!D:D))/24,
    (N5/_xlfn.XLOOKUP(CONCATENATE(A5,L5),[1]MÁQUINAS!A:A,[1]MÁQUINAS!D:D))/24),
  _xlfn.XLOOKUP($A5,'[1]DATOS PBI Artículos'!A:A,'[1]DATOS PBI Artículos'!AU:AU))</f>
        <v>22.53846153846154</v>
      </c>
      <c r="K5" s="36">
        <f>_xlfn.XLOOKUP($A5,'[1]DATOS PBI Artículos'!A:A,'[1]DATOS PBI Artículos'!AV:AV)</f>
        <v>7.1000180570373495</v>
      </c>
      <c r="L5" s="33">
        <f>_xlfn.XLOOKUP(A5,[1]MÁQUINAS!B:B,[1]MÁQUINAS!C:C)</f>
        <v>550</v>
      </c>
      <c r="M5" s="34">
        <f t="array" ref="M5">_xlfn.XLOOKUP(A5,'[1]DATOS PBI Artículos'!A:A,'[1]DATOS PBI Artículos'!AX:$AX)</f>
        <v>316711.21299139614</v>
      </c>
      <c r="N5" s="37">
        <f>IF(I5="DV",
E5,
IF(COUNTIF([1]CRITERIOS!$I$179:$I$199,$A5)&gt;=1,
_xlfn.XLOOKUP($A5,[1]CRITERIOS!$I$179:$I$199,[1]CRITERIOS!$J$179:$J$199),
IF(COUNTIF([1]CRITERIOS!$L$179:$L$199,$A5)&gt;=1,
_xlfn.CEILING.MATH(IF($M5&gt;$E5,
$E5,
IF($M5&lt;$E5/ROUNDDOWN([1]CRITERIOS!$M$16/_xlfn.XLOOKUP($C5,[1]CRITERIOS!$K$25:$K$42,[1]CRITERIOS!$M$25:$M$42),
1),
E5/ROUNDDOWN([1]CRITERIOS!$M$16/_xlfn.XLOOKUP($C5,[1]CRITERIOS!$K$25:$K$42,[1]CRITERIOS!$M$25:$M$42),
1),
$M5)),
_xlfn.XLOOKUP($A5,[1]CRITERIOS!$L$179:$L$200,[1]CRITERIOS!$M$179:$M$200)),
_xlfn.CEILING.MATH(IF($M5&gt;$E5,
$E5,
IF($M5&lt;$E5/ROUNDDOWN([1]CRITERIOS!$M$16/_xlfn.XLOOKUP($C5,[1]CRITERIOS!$K$25:$K$42,[1]CRITERIOS!$M$25:$M$42),
1),
E5/ROUNDDOWN([1]CRITERIOS!$M$16/_xlfn.XLOOKUP($C5,[1]CRITERIOS!$K$25:$K$42,[1]CRITERIOS!$M$25:$M$42),
1),
$M5)),_xlfn.XLOOKUP(A5,'[1]DATOS PBI Artículos'!A:A,'[1]DATOS PBI Artículos'!Z:Z
)))))</f>
        <v>768000</v>
      </c>
      <c r="Q5" s="38">
        <f>IF(AND(O5="",N5=0),
0,
   IF(COUNTIF([1]CRITERIOS!$F$179:$F$199,$A5)&gt;=1,
   1,
   IF(R5="MTO",
      $D5,
      ROUNDUP(
                    IF(($E5-SUMIF('[1]DATOS PBI Artículos'!A:A,A5,'[1]DATOS PBI Artículos'!X:X)+($V5-_xlfn.XLOOKUP(A5,'[1]DATOS PBI Artículos'!A:A,'[1]DATOS PBI Artículos'!W:W)))&lt;0,
                    0,
                    IF(($E5-SUMIF('[1]DATOS PBI Artículos'!A:A,A5,'[1]DATOS PBI Artículos'!X:X)+$V5-_xlfn.XLOOKUP($A5,'[1]DATOS PBI Artículos'!A:A,'[1]DATOS PBI Artículos'!W:W))/IF($O5="",$N5,$O5)&gt;ROUNDUP([1]CRITERIOS!$M$16/(IF(COUNTIF([1]CRITERIOS!$BG$11:$BG$201,L5)&gt;=1,_xlfn.XLOOKUP($C5,[1]CRITERIOS!$K$25:$K$42,[1]CRITERIOS!$M$25:$M$42),_xlfn.XLOOKUP($C5,[1]CRITERIOS!$K$25:$K$42,[1]CRITERIOS!$M$25:$M$42))),0),
                    ROUNDUP([1]CRITERIOS!$M$16/(IF(COUNTIF([1]CRITERIOS!$BG$11:$BG$201,$L5)&gt;=1,_xlfn.XLOOKUP($C5,[1]CRITERIOS!$K$25:$K$42,[1]CRITERIOS!$M$25:$M$42),_xlfn.XLOOKUP($C5,[1]CRITERIOS!$K$25:$K$42,[1]CRITERIOS!$M$25:$M$42))),0),
                    (E5+V5-SUMIF('[1]DATOS PBI Artículos'!A:A,A5,'[1]DATOS PBI Artículos'!X:X)-_xlfn.XLOOKUP(A5,'[1]DATOS PBI Artículos'!A:A,'[1]DATOS PBI Artículos'!W:W))/IF($O5="",$N5,$O5))),0))))</f>
        <v>4</v>
      </c>
      <c r="R5" s="33" t="str">
        <f>IF(U5&lt;&gt;"",U5,IF(F5="DV","MTO",IF(N5=0,"MTO",_xlfn.XLOOKUP(CONCATENATE(S5,T5),[1]CRITERIOS!$K$160:$K$168,[1]CRITERIOS!$N$160:$N$168))))</f>
        <v>MTS</v>
      </c>
      <c r="S5" s="33" t="str">
        <f>IF(G5="DV","MTO",IF(N5=0,"MTO",IF(OR(AND(N5=0,O5=""),IF(O5="",G5/N5,G5/O5)&gt;[1]CRITERIOS!$G$163),"MTO",IF(IF(O5="",G5/N5,G5/O5)&lt;[1]CRITERIOS!$H$161,"MTS","MTOS"))))</f>
        <v>MTS</v>
      </c>
      <c r="T5" s="33" t="str">
        <f>IF(F5="DV","MTO",IF(OR(AND($N5=0,O5=""),$F5/$J5&gt;[1]CRITERIOS!$G$170,$F5="DV"),"MTO",IF($F5/$J5&lt;[1]CRITERIOS!$H$168,"MTS","MTOS")))</f>
        <v>MTS</v>
      </c>
      <c r="V5" s="34">
        <f t="shared" si="0"/>
        <v>1115168.8573627006</v>
      </c>
      <c r="X5" s="34">
        <f t="shared" si="1"/>
        <v>1883168.8573627006</v>
      </c>
      <c r="Y5" s="34">
        <f t="shared" si="2"/>
        <v>638609.41680130409</v>
      </c>
      <c r="Z5" s="34">
        <f>IF($R5="MTO",
0,
($H5+$K5*($E5/[1]CRITERIOS!$M$16))/[1]CRITERIOS!$X$48)</f>
        <v>254609.41680130409</v>
      </c>
      <c r="AA5" s="34" t="e">
        <f>ROUNDUP(($Y5/_xlfn.XLOOKUP($A5,'[1]DATOS PBI Artículos'!$A$4:$A$4,'[1]DATOS PBI Artículos'!$Z$4:$Z$4))/_xlfn.XLOOKUP(_xlfn.XLOOKUP($A5,'[1]DATOS PBI Artículos'!$A$4:$A$4,'[1]DATOS PBI Artículos'!$Y$4:$Y$4),[1]CRITERIOS!$P$79:$P$123,[1]CRITERIOS!$S$79:$S$123,),0)</f>
        <v>#N/A</v>
      </c>
      <c r="AB5" s="33" t="e">
        <f t="array" ref="AB5">IF((E5+V5-_xlfn.XLOOKUP(A5,'[1]DATOS PBI Artículos'!$A$4:$A$4,'[1]DATOS PBI Artículos'!$W$4:$W$4))/N5&gt;ROUNDUP([1]CRITERIOS!$M$16/(IF(COUNTIF([1]CRITERIOS!$BG$11:$BG$201,L5)&gt;=1,_xlfn.XLOOKUP(ARTÍCULOS!L5,[1]CRITERIOS!$BG$11:$BG$201,[1]CRITERIOS!$BJ$11:$BJ$201),_xlfn.XLOOKUP(ARTÍCULOS!C5,[1]CRITERIOS!$K$25:$K$42,[1]CRITERIOS!$M$25:$M$42))),0),ROUNDUP([1]CRITERIOS!$M$16/(IF(COUNTIF([1]CRITERIOS!$BG$11:$BG$201,L5)&gt;=1,_xlfn.XLOOKUP(ARTÍCULOS!L5,[1]CRITERIOS!$BG$11:$BG$201:#REF!,[1]CRITERIOS!$BJ$11:$BJ$201),_xlfn.XLOOKUP(ARTÍCULOS!C5,[1]CRITERIOS!$K$25:$K$42,[1]CRITERIOS!$M$25:$M$42))),0),(E5+V5-_xlfn.XLOOKUP(A5,'[1]DATOS PBI Artículos'!$A$4:$A$4,'[1]DATOS PBI Artículos'!$W$4:$W$4))/N5)</f>
        <v>#N/A</v>
      </c>
      <c r="AC5" s="33" t="e">
        <f>IF(N5=0,"",(ROUNDUP((N5/2)/(_xlfn.XLOOKUP(A5,'[1]DATOS PBI Artículos'!$A$4:$A$4,'[1]DATOS PBI Artículos'!$Z$4:$Z$4)*_xlfn.XLOOKUP(_xlfn.XLOOKUP(A5,'[1]DATOS PBI Artículos'!$A$4:$A$4,'[1]DATOS PBI Artículos'!$Y$4:$Y$4),[1]CRITERIOS!$P$79:$P$123,[1]CRITERIOS!$S$79:$S$123)),0)*[1]CRITERIOS!$M$80*([1]CRITERIOS!$M$110/[1]CRITERIOS!$M$86)+(_xlfn.XLOOKUP(A5,'[1]DATOS PBI Artículos'!$A$4:$A$4,'[1]DATOS PBI Artículos'!$AA$4:$AA$4)*([1]CRITERIOS!$M$95+[1]CRITERIOS!$M$98)))/N5)</f>
        <v>#N/A</v>
      </c>
      <c r="AD5" s="33" t="e">
        <f>IF(N5=0,"",(ROUNDUP((N5/2)/(_xlfn.XLOOKUP(A5,'[1]DATOS PBI Artículos'!$A$4:$A$4,'[1]DATOS PBI Artículos'!$Z$4:$Z$4)*_xlfn.XLOOKUP(_xlfn.XLOOKUP(A5,'[1]DATOS PBI Artículos'!$A$4:$A$4,'[1]DATOS PBI Artículos'!$Y$4:$Y$4),[1]CRITERIOS!$P$79:$P$123,[1]CRITERIOS!$S$79:$S$123)),0)*[1]CRITERIOS!$M$80*([1]CRITERIOS!$M$89*[1]CRITERIOS!$M$92)+((_xlfn.XLOOKUP(A5,'[1]DATOS PBI Artículos'!$A$4:$A$4,'[1]DATOS PBI Artículos'!$AA$4:$AA$4)/2)*([1]CRITERIOS!$M$95+[1]CRITERIOS!$M$98)))/N5)</f>
        <v>#N/A</v>
      </c>
      <c r="AE5" s="39">
        <f>IF($R5="MTO","",
IF($H5=0,ROUNDUP(((_xlfn.XLOOKUP($A5,'[1]DATOS PBI Artículos'!$A:$A,'[1]DATOS PBI Artículos'!$AL:$AL))/(_xlfn.XLOOKUP($AF$1,[1]CRITERIOS!$S$16:$S$39,[1]CRITERIOS!$Y$16:$Y$39))*$J5+$Z5)/$G5,0)*$G5,
((_xlfn.XLOOKUP($A5,'[1]DATOS PBI Artículos'!$A:$A,'[1]DATOS PBI Artículos'!$AL:$AL))/(_xlfn.XLOOKUP($AF$1,[1]CRITERIOS!$S$16:$S$39,[1]CRITERIOS!$Y$16:$Y$39))*$J5+$Z5)))</f>
        <v>1238909.2759987912</v>
      </c>
      <c r="AG5" s="39">
        <f>IF($R5="MTO","",
IF($H5=0,ROUNDUP(((_xlfn.XLOOKUP($A5,'[1]DATOS PBI Artículos'!$A:$A,'[1]DATOS PBI Artículos'!$AM:$AM))/(_xlfn.XLOOKUP($AH$1,[1]CRITERIOS!$S$16:$S$39,[1]CRITERIOS!$Y$16:$Y$39))*$J5+$Z5)/$G5,0)*$G5,
((_xlfn.XLOOKUP($A5,'[1]DATOS PBI Artículos'!$A:$A,'[1]DATOS PBI Artículos'!$AM:$AM))/(_xlfn.XLOOKUP($AH$1,[1]CRITERIOS!$S$16:$S$39,[1]CRITERIOS!$Y$16:$Y$39))*$J5+$Z5)))</f>
        <v>961651.185995779</v>
      </c>
      <c r="AI5" s="39">
        <f>IF($R5="MTO","",
IF($H5=0,ROUNDUP(((_xlfn.XLOOKUP($A5,'[1]DATOS PBI Artículos'!$A:$A,'[1]DATOS PBI Artículos'!$AN:$AN))/(_xlfn.XLOOKUP($AJ$1,[1]CRITERIOS!$S$16:$S$39,[1]CRITERIOS!$Y$16:$Y$39))*$J5+$Z5)/$G5,0)*$G5,
((_xlfn.XLOOKUP($A5,'[1]DATOS PBI Artículos'!$A:$A,'[1]DATOS PBI Artículos'!$AN:$AN))/(_xlfn.XLOOKUP($AJ$1,[1]CRITERIOS!$S$16:$S$39,[1]CRITERIOS!$Y$16:$Y$39))*$J5+$Z5)))</f>
        <v>1101468.1198331655</v>
      </c>
      <c r="AK5" s="39">
        <f>IF($R5="MTO","",
IF($H5=0,ROUNDUP(((_xlfn.XLOOKUP($A5,'[1]DATOS PBI Artículos'!$A:$A,'[1]DATOS PBI Artículos'!$AO:$AO))/(_xlfn.XLOOKUP($AL$1,[1]CRITERIOS!$S$16:$S$39,[1]CRITERIOS!$Y$16:$Y$39))*$J5+$Z5)/$G5,0)*$G5,
((_xlfn.XLOOKUP($A5,'[1]DATOS PBI Artículos'!$A:$A,'[1]DATOS PBI Artículos'!$AO:$AO))/(_xlfn.XLOOKUP($AL$1,[1]CRITERIOS!$S$16:$S$39,[1]CRITERIOS!$Y$16:$Y$39))*$J5+$Z5)))</f>
        <v>1176923.0496054578</v>
      </c>
    </row>
    <row r="6" spans="1:38" ht="25.8" x14ac:dyDescent="0.5">
      <c r="A6" s="32" t="s">
        <v>35</v>
      </c>
      <c r="B6" s="33">
        <f>_xlfn.XLOOKUP($A6,'[1]DATOS PBI Artículos'!A:A,'[1]DATOS PBI Artículos'!B:B)</f>
        <v>0</v>
      </c>
      <c r="C6" s="33" t="str">
        <f>_xlfn.XLOOKUP($A6,'[1]DATOS PBI Artículos'!A:A,'[1]DATOS PBI Artículos'!C:C)</f>
        <v>UA01</v>
      </c>
      <c r="D6" s="33">
        <f>_xlfn.XLOOKUP(A6,'[1]DATOS PBI Artículos'!A:A,'[1]DATOS PBI Artículos'!T:T)</f>
        <v>8</v>
      </c>
      <c r="E6" s="34">
        <f>IF(_xlfn.XLOOKUP($A6,'[1]DATOS PBI Artículos'!A:A,'[1]DATOS PBI Artículos'!AK:AK)="",_xlfn.XLOOKUP($A6,'[1]DATOS PBI Artículos'!A:A,'[1]DATOS PBI Artículos'!AJ:AJ),_xlfn.XLOOKUP($A6,'[1]DATOS PBI Artículos'!A:A,'[1]DATOS PBI Artículos'!AK:AK))</f>
        <v>2681280</v>
      </c>
      <c r="F6" s="35">
        <f>_xlfn.XLOOKUP($A6,'[1]DATOS PBI Artículos'!A:A,'[1]DATOS PBI Artículos'!AP:AP)</f>
        <v>9</v>
      </c>
      <c r="G6" s="34">
        <f>_xlfn.XLOOKUP($A6,'[1]DATOS PBI Artículos'!A:A,'[1]DATOS PBI Artículos'!AR:AR)</f>
        <v>342720</v>
      </c>
      <c r="H6" s="34">
        <f>_xlfn.XLOOKUP($A6,'[1]DATOS PBI Artículos'!A:A,'[1]DATOS PBI Artículos'!AT:AT)</f>
        <v>415809.81806590379</v>
      </c>
      <c r="I6" s="34">
        <f>_xlfn.XLOOKUP($A6,'[1]DATOS PBI Artículos'!A:A,'[1]DATOS PBI Artículos'!AS:AS)</f>
        <v>20160</v>
      </c>
      <c r="J6" s="35">
        <f>IF(COUNTIF([1]CRITERIOS!$F$179:$F$199,$A6)&gt;=1,
 IF(O6&lt;&gt;"",
    (O6/_xlfn.XLOOKUP(CONCATENATE(A6,L6),[1]MÁQUINAS!A:A,[1]MÁQUINAS!D:D))/24,
    (N6/_xlfn.XLOOKUP(CONCATENATE(A6,L6),[1]MÁQUINAS!A:A,[1]MÁQUINAS!D:D))/24),
  _xlfn.XLOOKUP($A6,'[1]DATOS PBI Artículos'!A:A,'[1]DATOS PBI Artículos'!AU:AU))</f>
        <v>3.78</v>
      </c>
      <c r="K6" s="36">
        <f>_xlfn.XLOOKUP($A6,'[1]DATOS PBI Artículos'!A:A,'[1]DATOS PBI Artículos'!AV:AV)</f>
        <v>9.6170124313414078</v>
      </c>
      <c r="L6" s="33">
        <f>_xlfn.XLOOKUP(A6,[1]MÁQUINAS!B:B,[1]MÁQUINAS!C:C)</f>
        <v>509</v>
      </c>
      <c r="M6" s="34">
        <f t="array" ref="M6">_xlfn.XLOOKUP(A6,'[1]DATOS PBI Artículos'!A:A,'[1]DATOS PBI Artículos'!AX:$AX)</f>
        <v>589288.66800186411</v>
      </c>
      <c r="N6" s="37">
        <f>IF(I6="DV",
E6,
IF(COUNTIF([1]CRITERIOS!$I$179:$I$199,$A6)&gt;=1,
_xlfn.XLOOKUP($A6,[1]CRITERIOS!$I$179:$I$199,[1]CRITERIOS!$J$179:$J$199),
IF(COUNTIF([1]CRITERIOS!$L$179:$L$199,$A6)&gt;=1,
_xlfn.CEILING.MATH(IF($M6&gt;$E6,
$E6,
IF($M6&lt;$E6/ROUNDDOWN([1]CRITERIOS!$M$16/_xlfn.XLOOKUP($C6,[1]CRITERIOS!$K$25:$K$42,[1]CRITERIOS!$M$25:$M$42),
1),
E6/ROUNDDOWN([1]CRITERIOS!$M$16/_xlfn.XLOOKUP($C6,[1]CRITERIOS!$K$25:$K$42,[1]CRITERIOS!$M$25:$M$42),
1),
$M6)),
_xlfn.XLOOKUP($A6,[1]CRITERIOS!$L$179:$L$200,[1]CRITERIOS!$M$179:$M$200)),
_xlfn.CEILING.MATH(IF($M6&gt;$E6,
$E6,
IF($M6&lt;$E6/ROUNDDOWN([1]CRITERIOS!$M$16/_xlfn.XLOOKUP($C6,[1]CRITERIOS!$K$25:$K$42,[1]CRITERIOS!$M$25:$M$42),
1),
E6/ROUNDDOWN([1]CRITERIOS!$M$16/_xlfn.XLOOKUP($C6,[1]CRITERIOS!$K$25:$K$42,[1]CRITERIOS!$M$25:$M$42),
1),
$M6)),_xlfn.XLOOKUP(A6,'[1]DATOS PBI Artículos'!A:A,'[1]DATOS PBI Artículos'!Z:Z
)))))</f>
        <v>725760</v>
      </c>
      <c r="Q6" s="38">
        <f>IF(AND(O6="",N6=0),
0,
   IF(COUNTIF([1]CRITERIOS!$F$179:$F$199,$A6)&gt;=1,
   1,
   IF(R6="MTO",
      $D6,
      ROUNDUP(
                    IF(($E6-SUMIF('[1]DATOS PBI Artículos'!A:A,A6,'[1]DATOS PBI Artículos'!X:X)+($V6-_xlfn.XLOOKUP(A6,'[1]DATOS PBI Artículos'!A:A,'[1]DATOS PBI Artículos'!W:W)))&lt;0,
                    0,
                    IF(($E6-SUMIF('[1]DATOS PBI Artículos'!A:A,A6,'[1]DATOS PBI Artículos'!X:X)+$V6-_xlfn.XLOOKUP($A6,'[1]DATOS PBI Artículos'!A:A,'[1]DATOS PBI Artículos'!W:W))/IF($O6="",$N6,$O6)&gt;ROUNDUP([1]CRITERIOS!$M$16/(IF(COUNTIF([1]CRITERIOS!$BG$11:$BG$201,L6)&gt;=1,_xlfn.XLOOKUP($C6,[1]CRITERIOS!$K$25:$K$42,[1]CRITERIOS!$M$25:$M$42),_xlfn.XLOOKUP($C6,[1]CRITERIOS!$K$25:$K$42,[1]CRITERIOS!$M$25:$M$42))),0),
                    ROUNDUP([1]CRITERIOS!$M$16/(IF(COUNTIF([1]CRITERIOS!$BG$11:$BG$201,$L6)&gt;=1,_xlfn.XLOOKUP($C6,[1]CRITERIOS!$K$25:$K$42,[1]CRITERIOS!$M$25:$M$42),_xlfn.XLOOKUP($C6,[1]CRITERIOS!$K$25:$K$42,[1]CRITERIOS!$M$25:$M$42))),0),
                    (E6+V6-SUMIF('[1]DATOS PBI Artículos'!A:A,A6,'[1]DATOS PBI Artículos'!X:X)-_xlfn.XLOOKUP(A6,'[1]DATOS PBI Artículos'!A:A,'[1]DATOS PBI Artículos'!W:W))/IF($O6="",$N6,$O6))),0))))</f>
        <v>1</v>
      </c>
      <c r="R6" s="33" t="str">
        <f>IF(U6&lt;&gt;"",U6,IF(F6="DV","MTO",IF(N6=0,"MTO",_xlfn.XLOOKUP(CONCATENATE(S6,T6),[1]CRITERIOS!$K$160:$K$168,[1]CRITERIOS!$N$160:$N$168))))</f>
        <v>MTS</v>
      </c>
      <c r="S6" s="33" t="str">
        <f>IF(G6="DV","MTO",IF(N6=0,"MTO",IF(OR(AND(N6=0,O6=""),IF(O6="",G6/N6,G6/O6)&gt;[1]CRITERIOS!$G$163),"MTO",IF(IF(O6="",G6/N6,G6/O6)&lt;[1]CRITERIOS!$H$161,"MTS","MTOS"))))</f>
        <v>MTS</v>
      </c>
      <c r="T6" s="33" t="str">
        <f>IF(F6="DV","MTO",IF(OR(AND($N6=0,O6=""),$F6/$J6&gt;[1]CRITERIOS!$G$170,$F6="DV"),"MTO",IF($F6/$J6&lt;[1]CRITERIOS!$H$168,"MTS","MTOS")))</f>
        <v>MTO</v>
      </c>
      <c r="V6" s="34">
        <f t="shared" si="0"/>
        <v>776960.6160761097</v>
      </c>
      <c r="X6" s="34">
        <f t="shared" si="1"/>
        <v>1502720.6160761097</v>
      </c>
      <c r="Y6" s="34">
        <f t="shared" si="2"/>
        <v>995898.21607610967</v>
      </c>
      <c r="Z6" s="34">
        <f>IF($R6="MTO",
0,
($H6+$K6*($E6/[1]CRITERIOS!$M$16))/[1]CRITERIOS!$X$48)</f>
        <v>633018.21607610967</v>
      </c>
      <c r="AA6" s="34" t="e">
        <f>ROUNDUP(($Y6/_xlfn.XLOOKUP($A6,'[1]DATOS PBI Artículos'!$A$4:$A$4,'[1]DATOS PBI Artículos'!$Z$4:$Z$4))/_xlfn.XLOOKUP(_xlfn.XLOOKUP($A6,'[1]DATOS PBI Artículos'!$A$4:$A$4,'[1]DATOS PBI Artículos'!$Y$4:$Y$4),[1]CRITERIOS!$P$79:$P$123,[1]CRITERIOS!$S$79:$S$123,),0)</f>
        <v>#N/A</v>
      </c>
      <c r="AB6" s="33" t="e">
        <f t="array" ref="AB6">IF((E6+V6-_xlfn.XLOOKUP(A6,'[1]DATOS PBI Artículos'!$A$4:$A$4,'[1]DATOS PBI Artículos'!$W$4:$W$4))/N6&gt;ROUNDUP([1]CRITERIOS!$M$16/(IF(COUNTIF([1]CRITERIOS!$BG$11:$BG$201,L6)&gt;=1,_xlfn.XLOOKUP(ARTÍCULOS!L6,[1]CRITERIOS!$BG$11:$BG$201,[1]CRITERIOS!$BJ$11:$BJ$201),_xlfn.XLOOKUP(ARTÍCULOS!C6,[1]CRITERIOS!$K$25:$K$42,[1]CRITERIOS!$M$25:$M$42))),0),ROUNDUP([1]CRITERIOS!$M$16/(IF(COUNTIF([1]CRITERIOS!$BG$11:$BG$201,L6)&gt;=1,_xlfn.XLOOKUP(ARTÍCULOS!L6,[1]CRITERIOS!$BG$11:$BG$201:#REF!,[1]CRITERIOS!$BJ$11:$BJ$201),_xlfn.XLOOKUP(ARTÍCULOS!C6,[1]CRITERIOS!$K$25:$K$42,[1]CRITERIOS!$M$25:$M$42))),0),(E6+V6-_xlfn.XLOOKUP(A6,'[1]DATOS PBI Artículos'!$A$4:$A$4,'[1]DATOS PBI Artículos'!$W$4:$W$4))/N6)</f>
        <v>#N/A</v>
      </c>
      <c r="AC6" s="33" t="e">
        <f>IF(N6=0,"",(ROUNDUP((N6/2)/(_xlfn.XLOOKUP(A6,'[1]DATOS PBI Artículos'!$A$4:$A$4,'[1]DATOS PBI Artículos'!$Z$4:$Z$4)*_xlfn.XLOOKUP(_xlfn.XLOOKUP(A6,'[1]DATOS PBI Artículos'!$A$4:$A$4,'[1]DATOS PBI Artículos'!$Y$4:$Y$4),[1]CRITERIOS!$P$79:$P$123,[1]CRITERIOS!$S$79:$S$123)),0)*[1]CRITERIOS!$M$80*([1]CRITERIOS!$M$110/[1]CRITERIOS!$M$86)+(_xlfn.XLOOKUP(A6,'[1]DATOS PBI Artículos'!$A$4:$A$4,'[1]DATOS PBI Artículos'!$AA$4:$AA$4)*([1]CRITERIOS!$M$95+[1]CRITERIOS!$M$98)))/N6)</f>
        <v>#N/A</v>
      </c>
      <c r="AD6" s="33" t="e">
        <f>IF(N6=0,"",(ROUNDUP((N6/2)/(_xlfn.XLOOKUP(A6,'[1]DATOS PBI Artículos'!$A$4:$A$4,'[1]DATOS PBI Artículos'!$Z$4:$Z$4)*_xlfn.XLOOKUP(_xlfn.XLOOKUP(A6,'[1]DATOS PBI Artículos'!$A$4:$A$4,'[1]DATOS PBI Artículos'!$Y$4:$Y$4),[1]CRITERIOS!$P$79:$P$123,[1]CRITERIOS!$S$79:$S$123)),0)*[1]CRITERIOS!$M$80*([1]CRITERIOS!$M$89*[1]CRITERIOS!$M$92)+((_xlfn.XLOOKUP(A6,'[1]DATOS PBI Artículos'!$A$4:$A$4,'[1]DATOS PBI Artículos'!$AA$4:$AA$4)/2)*([1]CRITERIOS!$M$95+[1]CRITERIOS!$M$98)))/N6)</f>
        <v>#N/A</v>
      </c>
      <c r="AE6" s="39">
        <f>IF($R6="MTO","",
IF($H6=0,ROUNDUP(((_xlfn.XLOOKUP($A6,'[1]DATOS PBI Artículos'!$A:$A,'[1]DATOS PBI Artículos'!$AL:$AL))/(_xlfn.XLOOKUP($AF$1,[1]CRITERIOS!$S$16:$S$39,[1]CRITERIOS!$Y$16:$Y$39))*$J6+$Z6)/$G6,0)*$G6,
((_xlfn.XLOOKUP($A6,'[1]DATOS PBI Artículos'!$A:$A,'[1]DATOS PBI Artículos'!$AL:$AL))/(_xlfn.XLOOKUP($AF$1,[1]CRITERIOS!$S$16:$S$39,[1]CRITERIOS!$Y$16:$Y$39))*$J6+$Z6)))</f>
        <v>789312.7805015553</v>
      </c>
      <c r="AG6" s="39">
        <f>IF($R6="MTO","",
IF($H6=0,ROUNDUP(((_xlfn.XLOOKUP($A6,'[1]DATOS PBI Artículos'!$A:$A,'[1]DATOS PBI Artículos'!$AM:$AM))/(_xlfn.XLOOKUP($AH$1,[1]CRITERIOS!$S$16:$S$39,[1]CRITERIOS!$Y$16:$Y$39))*$J6+$Z6)/$G6,0)*$G6,
((_xlfn.XLOOKUP($A6,'[1]DATOS PBI Artículos'!$A:$A,'[1]DATOS PBI Artículos'!$AM:$AM))/(_xlfn.XLOOKUP($AH$1,[1]CRITERIOS!$S$16:$S$39,[1]CRITERIOS!$Y$16:$Y$39))*$J6+$Z6)))</f>
        <v>745287.64730100543</v>
      </c>
      <c r="AI6" s="39">
        <f>IF($R6="MTO","",
IF($H6=0,ROUNDUP(((_xlfn.XLOOKUP($A6,'[1]DATOS PBI Artículos'!$A:$A,'[1]DATOS PBI Artículos'!$AN:$AN))/(_xlfn.XLOOKUP($AJ$1,[1]CRITERIOS!$S$16:$S$39,[1]CRITERIOS!$Y$16:$Y$39))*$J6+$Z6)/$G6,0)*$G6,
((_xlfn.XLOOKUP($A6,'[1]DATOS PBI Artículos'!$A:$A,'[1]DATOS PBI Artículos'!$AN:$AN))/(_xlfn.XLOOKUP($AJ$1,[1]CRITERIOS!$S$16:$S$39,[1]CRITERIOS!$Y$16:$Y$39))*$J6+$Z6)))</f>
        <v>767488.8358607929</v>
      </c>
      <c r="AK6" s="39">
        <f>IF($R6="MTO","",
IF($H6=0,ROUNDUP(((_xlfn.XLOOKUP($A6,'[1]DATOS PBI Artículos'!$A:$A,'[1]DATOS PBI Artículos'!$AO:$AO))/(_xlfn.XLOOKUP($AL$1,[1]CRITERIOS!$S$16:$S$39,[1]CRITERIOS!$Y$16:$Y$39))*$J6+$Z6)/$G6,0)*$G6,
((_xlfn.XLOOKUP($A6,'[1]DATOS PBI Artículos'!$A:$A,'[1]DATOS PBI Artículos'!$AO:$AO))/(_xlfn.XLOOKUP($AL$1,[1]CRITERIOS!$S$16:$S$39,[1]CRITERIOS!$Y$16:$Y$39))*$J6+$Z6)))</f>
        <v>779470.13939580321</v>
      </c>
    </row>
    <row r="7" spans="1:38" ht="25.8" x14ac:dyDescent="0.5">
      <c r="A7" s="32" t="s">
        <v>36</v>
      </c>
      <c r="B7" s="33">
        <f>_xlfn.XLOOKUP($A7,'[1]DATOS PBI Artículos'!A:A,'[1]DATOS PBI Artículos'!B:B)</f>
        <v>0</v>
      </c>
      <c r="C7" s="33" t="str">
        <f>_xlfn.XLOOKUP($A7,'[1]DATOS PBI Artículos'!A:A,'[1]DATOS PBI Artículos'!C:C)</f>
        <v>UA01</v>
      </c>
      <c r="D7" s="33">
        <f>_xlfn.XLOOKUP(A7,'[1]DATOS PBI Artículos'!A:A,'[1]DATOS PBI Artículos'!T:T)</f>
        <v>7</v>
      </c>
      <c r="E7" s="34">
        <f>IF(_xlfn.XLOOKUP($A7,'[1]DATOS PBI Artículos'!A:A,'[1]DATOS PBI Artículos'!AK:AK)="",_xlfn.XLOOKUP($A7,'[1]DATOS PBI Artículos'!A:A,'[1]DATOS PBI Artículos'!AJ:AJ),_xlfn.XLOOKUP($A7,'[1]DATOS PBI Artículos'!A:A,'[1]DATOS PBI Artículos'!AK:AK))</f>
        <v>1900000</v>
      </c>
      <c r="F7" s="35">
        <f>_xlfn.XLOOKUP($A7,'[1]DATOS PBI Artículos'!A:A,'[1]DATOS PBI Artículos'!AP:AP)</f>
        <v>10.33333333333</v>
      </c>
      <c r="G7" s="34">
        <f>_xlfn.XLOOKUP($A7,'[1]DATOS PBI Artículos'!A:A,'[1]DATOS PBI Artículos'!AR:AR)</f>
        <v>300000</v>
      </c>
      <c r="H7" s="34">
        <f>_xlfn.XLOOKUP($A7,'[1]DATOS PBI Artículos'!A:A,'[1]DATOS PBI Artículos'!AT:AT)</f>
        <v>95118.973121134186</v>
      </c>
      <c r="I7" s="34">
        <f>_xlfn.XLOOKUP($A7,'[1]DATOS PBI Artículos'!A:A,'[1]DATOS PBI Artículos'!AS:AS)</f>
        <v>100000</v>
      </c>
      <c r="J7" s="35">
        <f>IF(COUNTIF([1]CRITERIOS!$F$179:$F$199,$A7)&gt;=1,
 IF(O7&lt;&gt;"",
    (O7/_xlfn.XLOOKUP(CONCATENATE(A7,L7),[1]MÁQUINAS!A:A,[1]MÁQUINAS!D:D))/24,
    (N7/_xlfn.XLOOKUP(CONCATENATE(A7,L7),[1]MÁQUINAS!A:A,[1]MÁQUINAS!D:D))/24),
  _xlfn.XLOOKUP($A7,'[1]DATOS PBI Artículos'!A:A,'[1]DATOS PBI Artículos'!AU:AU))</f>
        <v>23.74285714285714</v>
      </c>
      <c r="K7" s="36">
        <f>_xlfn.XLOOKUP($A7,'[1]DATOS PBI Artículos'!A:A,'[1]DATOS PBI Artículos'!AV:AV)</f>
        <v>3.9358298111733703</v>
      </c>
      <c r="L7" s="33">
        <f>_xlfn.XLOOKUP(A7,[1]MÁQUINAS!B:B,[1]MÁQUINAS!C:C)</f>
        <v>502</v>
      </c>
      <c r="M7" s="34">
        <f t="array" ref="M7">_xlfn.XLOOKUP(A7,'[1]DATOS PBI Artículos'!A:A,'[1]DATOS PBI Artículos'!AX:$AX)</f>
        <v>566636.93962175399</v>
      </c>
      <c r="N7" s="37">
        <f>IF(I7="DV",
E7,
IF(COUNTIF([1]CRITERIOS!$I$179:$I$199,$A7)&gt;=1,
_xlfn.XLOOKUP($A7,[1]CRITERIOS!$I$179:$I$199,[1]CRITERIOS!$J$179:$J$199),
IF(COUNTIF([1]CRITERIOS!$L$179:$L$199,$A7)&gt;=1,
_xlfn.CEILING.MATH(IF($M7&gt;$E7,
$E7,
IF($M7&lt;$E7/ROUNDDOWN([1]CRITERIOS!$M$16/_xlfn.XLOOKUP($C7,[1]CRITERIOS!$K$25:$K$42,[1]CRITERIOS!$M$25:$M$42),
1),
E7/ROUNDDOWN([1]CRITERIOS!$M$16/_xlfn.XLOOKUP($C7,[1]CRITERIOS!$K$25:$K$42,[1]CRITERIOS!$M$25:$M$42),
1),
$M7)),
_xlfn.XLOOKUP($A7,[1]CRITERIOS!$L$179:$L$200,[1]CRITERIOS!$M$179:$M$200)),
_xlfn.CEILING.MATH(IF($M7&gt;$E7,
$E7,
IF($M7&lt;$E7/ROUNDDOWN([1]CRITERIOS!$M$16/_xlfn.XLOOKUP($C7,[1]CRITERIOS!$K$25:$K$42,[1]CRITERIOS!$M$25:$M$42),
1),
E7/ROUNDDOWN([1]CRITERIOS!$M$16/_xlfn.XLOOKUP($C7,[1]CRITERIOS!$K$25:$K$42,[1]CRITERIOS!$M$25:$M$42),
1),
$M7)),_xlfn.XLOOKUP(A7,'[1]DATOS PBI Artículos'!A:A,'[1]DATOS PBI Artículos'!Z:Z
)))))</f>
        <v>570000</v>
      </c>
      <c r="Q7" s="38">
        <f>IF(AND(O7="",N7=0),
0,
   IF(COUNTIF([1]CRITERIOS!$F$179:$F$199,$A7)&gt;=1,
   1,
   IF(R7="MTO",
      $D7,
      ROUNDUP(
                    IF(($E7-SUMIF('[1]DATOS PBI Artículos'!A:A,A7,'[1]DATOS PBI Artículos'!X:X)+($V7-_xlfn.XLOOKUP(A7,'[1]DATOS PBI Artículos'!A:A,'[1]DATOS PBI Artículos'!W:W)))&lt;0,
                    0,
                    IF(($E7-SUMIF('[1]DATOS PBI Artículos'!A:A,A7,'[1]DATOS PBI Artículos'!X:X)+$V7-_xlfn.XLOOKUP($A7,'[1]DATOS PBI Artículos'!A:A,'[1]DATOS PBI Artículos'!W:W))/IF($O7="",$N7,$O7)&gt;ROUNDUP([1]CRITERIOS!$M$16/(IF(COUNTIF([1]CRITERIOS!$BG$11:$BG$201,L7)&gt;=1,_xlfn.XLOOKUP($C7,[1]CRITERIOS!$K$25:$K$42,[1]CRITERIOS!$M$25:$M$42),_xlfn.XLOOKUP($C7,[1]CRITERIOS!$K$25:$K$42,[1]CRITERIOS!$M$25:$M$42))),0),
                    ROUNDUP([1]CRITERIOS!$M$16/(IF(COUNTIF([1]CRITERIOS!$BG$11:$BG$201,$L7)&gt;=1,_xlfn.XLOOKUP($C7,[1]CRITERIOS!$K$25:$K$42,[1]CRITERIOS!$M$25:$M$42),_xlfn.XLOOKUP($C7,[1]CRITERIOS!$K$25:$K$42,[1]CRITERIOS!$M$25:$M$42))),0),
                    (E7+V7-SUMIF('[1]DATOS PBI Artículos'!A:A,A7,'[1]DATOS PBI Artículos'!X:X)-_xlfn.XLOOKUP(A7,'[1]DATOS PBI Artículos'!A:A,'[1]DATOS PBI Artículos'!W:W))/IF($O7="",$N7,$O7))),0))))</f>
        <v>4</v>
      </c>
      <c r="R7" s="33" t="str">
        <f>IF(U7&lt;&gt;"",U7,IF(F7="DV","MTO",IF(N7=0,"MTO",_xlfn.XLOOKUP(CONCATENATE(S7,T7),[1]CRITERIOS!$K$160:$K$168,[1]CRITERIOS!$N$160:$N$168))))</f>
        <v>MTS</v>
      </c>
      <c r="S7" s="33" t="str">
        <f>IF(G7="DV","MTO",IF(N7=0,"MTO",IF(OR(AND(N7=0,O7=""),IF(O7="",G7/N7,G7/O7)&gt;[1]CRITERIOS!$G$163),"MTO",IF(IF(O7="",G7/N7,G7/O7)&lt;[1]CRITERIOS!$H$161,"MTS","MTOS"))))</f>
        <v>MTOS</v>
      </c>
      <c r="T7" s="33" t="str">
        <f>IF(F7="DV","MTO",IF(OR(AND($N7=0,O7=""),$F7/$J7&gt;[1]CRITERIOS!$G$170,$F7="DV"),"MTO",IF($F7/$J7&lt;[1]CRITERIOS!$H$168,"MTS","MTOS")))</f>
        <v>MTS</v>
      </c>
      <c r="V7" s="34">
        <f t="shared" si="0"/>
        <v>851664.30715297395</v>
      </c>
      <c r="X7" s="34">
        <f t="shared" si="1"/>
        <v>1421664.307152974</v>
      </c>
      <c r="Y7" s="34">
        <f t="shared" si="2"/>
        <v>447355.55139238294</v>
      </c>
      <c r="Z7" s="34">
        <f>IF($R7="MTO",
0,
($H7+$K7*($E7/[1]CRITERIOS!$M$16))/[1]CRITERIOS!$X$48)</f>
        <v>162355.55139238297</v>
      </c>
      <c r="AA7" s="34" t="e">
        <f>ROUNDUP(($Y7/_xlfn.XLOOKUP($A7,'[1]DATOS PBI Artículos'!$A$4:$A$4,'[1]DATOS PBI Artículos'!$Z$4:$Z$4))/_xlfn.XLOOKUP(_xlfn.XLOOKUP($A7,'[1]DATOS PBI Artículos'!$A$4:$A$4,'[1]DATOS PBI Artículos'!$Y$4:$Y$4),[1]CRITERIOS!$P$79:$P$123,[1]CRITERIOS!$S$79:$S$123,),0)</f>
        <v>#N/A</v>
      </c>
      <c r="AB7" s="33" t="e">
        <f t="array" ref="AB7">IF((E7+V7-_xlfn.XLOOKUP(A7,'[1]DATOS PBI Artículos'!$A$4:$A$4,'[1]DATOS PBI Artículos'!$W$4:$W$4))/N7&gt;ROUNDUP([1]CRITERIOS!$M$16/(IF(COUNTIF([1]CRITERIOS!$BG$11:$BG$201,L7)&gt;=1,_xlfn.XLOOKUP(ARTÍCULOS!L7,[1]CRITERIOS!$BG$11:$BG$201,[1]CRITERIOS!$BJ$11:$BJ$201),_xlfn.XLOOKUP(ARTÍCULOS!C7,[1]CRITERIOS!$K$25:$K$42,[1]CRITERIOS!$M$25:$M$42))),0),ROUNDUP([1]CRITERIOS!$M$16/(IF(COUNTIF([1]CRITERIOS!$BG$11:$BG$201,L7)&gt;=1,_xlfn.XLOOKUP(ARTÍCULOS!L7,[1]CRITERIOS!$BG$11:$BG$201:#REF!,[1]CRITERIOS!$BJ$11:$BJ$201),_xlfn.XLOOKUP(ARTÍCULOS!C7,[1]CRITERIOS!$K$25:$K$42,[1]CRITERIOS!$M$25:$M$42))),0),(E7+V7-_xlfn.XLOOKUP(A7,'[1]DATOS PBI Artículos'!$A$4:$A$4,'[1]DATOS PBI Artículos'!$W$4:$W$4))/N7)</f>
        <v>#N/A</v>
      </c>
      <c r="AC7" s="33" t="e">
        <f>IF(N7=0,"",(ROUNDUP((N7/2)/(_xlfn.XLOOKUP(A7,'[1]DATOS PBI Artículos'!$A$4:$A$4,'[1]DATOS PBI Artículos'!$Z$4:$Z$4)*_xlfn.XLOOKUP(_xlfn.XLOOKUP(A7,'[1]DATOS PBI Artículos'!$A$4:$A$4,'[1]DATOS PBI Artículos'!$Y$4:$Y$4),[1]CRITERIOS!$P$79:$P$123,[1]CRITERIOS!$S$79:$S$123)),0)*[1]CRITERIOS!$M$80*([1]CRITERIOS!$M$110/[1]CRITERIOS!$M$86)+(_xlfn.XLOOKUP(A7,'[1]DATOS PBI Artículos'!$A$4:$A$4,'[1]DATOS PBI Artículos'!$AA$4:$AA$4)*([1]CRITERIOS!$M$95+[1]CRITERIOS!$M$98)))/N7)</f>
        <v>#N/A</v>
      </c>
      <c r="AD7" s="33" t="e">
        <f>IF(N7=0,"",(ROUNDUP((N7/2)/(_xlfn.XLOOKUP(A7,'[1]DATOS PBI Artículos'!$A$4:$A$4,'[1]DATOS PBI Artículos'!$Z$4:$Z$4)*_xlfn.XLOOKUP(_xlfn.XLOOKUP(A7,'[1]DATOS PBI Artículos'!$A$4:$A$4,'[1]DATOS PBI Artículos'!$Y$4:$Y$4),[1]CRITERIOS!$P$79:$P$123,[1]CRITERIOS!$S$79:$S$123)),0)*[1]CRITERIOS!$M$80*([1]CRITERIOS!$M$89*[1]CRITERIOS!$M$92)+((_xlfn.XLOOKUP(A7,'[1]DATOS PBI Artículos'!$A$4:$A$4,'[1]DATOS PBI Artículos'!$AA$4:$AA$4)/2)*([1]CRITERIOS!$M$95+[1]CRITERIOS!$M$98)))/N7)</f>
        <v>#N/A</v>
      </c>
      <c r="AE7" s="39">
        <f>IF($R7="MTO","",
IF($H7=0,ROUNDUP(((_xlfn.XLOOKUP($A7,'[1]DATOS PBI Artículos'!$A:$A,'[1]DATOS PBI Artículos'!$AL:$AL))/(_xlfn.XLOOKUP($AF$1,[1]CRITERIOS!$S$16:$S$39,[1]CRITERIOS!$Y$16:$Y$39))*$J7+$Z7)/$G7,0)*$G7,
((_xlfn.XLOOKUP($A7,'[1]DATOS PBI Artículos'!$A:$A,'[1]DATOS PBI Artículos'!$AL:$AL))/(_xlfn.XLOOKUP($AF$1,[1]CRITERIOS!$S$16:$S$39,[1]CRITERIOS!$Y$16:$Y$39))*$J7+$Z7)))</f>
        <v>858014.67660654942</v>
      </c>
      <c r="AG7" s="39">
        <f>IF($R7="MTO","",
IF($H7=0,ROUNDUP(((_xlfn.XLOOKUP($A7,'[1]DATOS PBI Artículos'!$A:$A,'[1]DATOS PBI Artículos'!$AM:$AM))/(_xlfn.XLOOKUP($AH$1,[1]CRITERIOS!$S$16:$S$39,[1]CRITERIOS!$Y$16:$Y$39))*$J7+$Z7)/$G7,0)*$G7,
((_xlfn.XLOOKUP($A7,'[1]DATOS PBI Artículos'!$A:$A,'[1]DATOS PBI Artículos'!$AM:$AM))/(_xlfn.XLOOKUP($AH$1,[1]CRITERIOS!$S$16:$S$39,[1]CRITERIOS!$Y$16:$Y$39))*$J7+$Z7)))</f>
        <v>662061.05683533323</v>
      </c>
      <c r="AI7" s="39">
        <f>IF($R7="MTO","",
IF($H7=0,ROUNDUP(((_xlfn.XLOOKUP($A7,'[1]DATOS PBI Artículos'!$A:$A,'[1]DATOS PBI Artículos'!$AN:$AN))/(_xlfn.XLOOKUP($AJ$1,[1]CRITERIOS!$S$16:$S$39,[1]CRITERIOS!$Y$16:$Y$39))*$J7+$Z7)/$G7,0)*$G7,
((_xlfn.XLOOKUP($A7,'[1]DATOS PBI Artículos'!$A:$A,'[1]DATOS PBI Artículos'!$AN:$AN))/(_xlfn.XLOOKUP($AJ$1,[1]CRITERIOS!$S$16:$S$39,[1]CRITERIOS!$Y$16:$Y$39))*$J7+$Z7)))</f>
        <v>760877.41343091859</v>
      </c>
      <c r="AK7" s="39">
        <f>IF($R7="MTO","",
IF($H7=0,ROUNDUP(((_xlfn.XLOOKUP($A7,'[1]DATOS PBI Artículos'!$A:$A,'[1]DATOS PBI Artículos'!$AO:$AO))/(_xlfn.XLOOKUP($AL$1,[1]CRITERIOS!$S$16:$S$39,[1]CRITERIOS!$Y$16:$Y$39))*$J7+$Z7)/$G7,0)*$G7,
((_xlfn.XLOOKUP($A7,'[1]DATOS PBI Artículos'!$A:$A,'[1]DATOS PBI Artículos'!$AO:$AO))/(_xlfn.XLOOKUP($AL$1,[1]CRITERIOS!$S$16:$S$39,[1]CRITERIOS!$Y$16:$Y$39))*$J7+$Z7)))</f>
        <v>814205.58365059714</v>
      </c>
    </row>
    <row r="8" spans="1:38" ht="25.8" x14ac:dyDescent="0.5">
      <c r="A8" s="32">
        <v>422016</v>
      </c>
      <c r="B8" s="33">
        <f>_xlfn.XLOOKUP($A8,'[1]DATOS PBI Artículos'!A:A,'[1]DATOS PBI Artículos'!B:B)</f>
        <v>0</v>
      </c>
      <c r="C8" s="33" t="str">
        <f>_xlfn.XLOOKUP($A8,'[1]DATOS PBI Artículos'!A:A,'[1]DATOS PBI Artículos'!C:C)</f>
        <v>UA01</v>
      </c>
      <c r="D8" s="33">
        <f>_xlfn.XLOOKUP(A8,'[1]DATOS PBI Artículos'!A:A,'[1]DATOS PBI Artículos'!T:T)</f>
        <v>19</v>
      </c>
      <c r="E8" s="34">
        <f>IF(_xlfn.XLOOKUP($A8,'[1]DATOS PBI Artículos'!A:A,'[1]DATOS PBI Artículos'!AK:AK)="",_xlfn.XLOOKUP($A8,'[1]DATOS PBI Artículos'!A:A,'[1]DATOS PBI Artículos'!AJ:AJ),_xlfn.XLOOKUP($A8,'[1]DATOS PBI Artículos'!A:A,'[1]DATOS PBI Artículos'!AK:AK))</f>
        <v>1300000</v>
      </c>
      <c r="F8" s="35">
        <f>_xlfn.XLOOKUP($A8,'[1]DATOS PBI Artículos'!A:A,'[1]DATOS PBI Artículos'!AP:AP)</f>
        <v>4.125</v>
      </c>
      <c r="G8" s="34">
        <f>_xlfn.XLOOKUP($A8,'[1]DATOS PBI Artículos'!A:A,'[1]DATOS PBI Artículos'!AR:AR)</f>
        <v>80000</v>
      </c>
      <c r="H8" s="34">
        <f>_xlfn.XLOOKUP($A8,'[1]DATOS PBI Artículos'!A:A,'[1]DATOS PBI Artículos'!AT:AT)</f>
        <v>7859.05247993375</v>
      </c>
      <c r="I8" s="34">
        <f>_xlfn.XLOOKUP($A8,'[1]DATOS PBI Artículos'!A:A,'[1]DATOS PBI Artículos'!AS:AS)</f>
        <v>20000</v>
      </c>
      <c r="J8" s="35">
        <f>IF(COUNTIF([1]CRITERIOS!$F$179:$F$199,$A8)&gt;=1,
 IF(O8&lt;&gt;"",
    (O8/_xlfn.XLOOKUP(CONCATENATE(A8,L8),[1]MÁQUINAS!A:A,[1]MÁQUINAS!D:D))/24,
    (N8/_xlfn.XLOOKUP(CONCATENATE(A8,L8),[1]MÁQUINAS!A:A,[1]MÁQUINAS!D:D))/24),
  _xlfn.XLOOKUP($A8,'[1]DATOS PBI Artículos'!A:A,'[1]DATOS PBI Artículos'!AU:AU))</f>
        <v>12.28099173553719</v>
      </c>
      <c r="K8" s="36">
        <f>_xlfn.XLOOKUP($A8,'[1]DATOS PBI Artículos'!A:A,'[1]DATOS PBI Artículos'!AV:AV)</f>
        <v>0.98508155750228599</v>
      </c>
      <c r="L8" s="33">
        <f>_xlfn.XLOOKUP(A8,[1]MÁQUINAS!B:B,[1]MÁQUINAS!C:C)</f>
        <v>522</v>
      </c>
      <c r="M8" s="34">
        <f t="array" ref="M8">_xlfn.XLOOKUP(A8,'[1]DATOS PBI Artículos'!A:A,'[1]DATOS PBI Artículos'!AX:$AX)</f>
        <v>358928.6085731748</v>
      </c>
      <c r="N8" s="37">
        <f>IF(I8="DV",
E8,
IF(COUNTIF([1]CRITERIOS!$I$179:$I$199,$A8)&gt;=1,
_xlfn.XLOOKUP($A8,[1]CRITERIOS!$I$179:$I$199,[1]CRITERIOS!$J$179:$J$199),
IF(COUNTIF([1]CRITERIOS!$L$179:$L$199,$A8)&gt;=1,
_xlfn.CEILING.MATH(IF($M8&gt;$E8,
$E8,
IF($M8&lt;$E8/ROUNDDOWN([1]CRITERIOS!$M$16/_xlfn.XLOOKUP($C8,[1]CRITERIOS!$K$25:$K$42,[1]CRITERIOS!$M$25:$M$42),
1),
E8/ROUNDDOWN([1]CRITERIOS!$M$16/_xlfn.XLOOKUP($C8,[1]CRITERIOS!$K$25:$K$42,[1]CRITERIOS!$M$25:$M$42),
1),
$M8)),
_xlfn.XLOOKUP($A8,[1]CRITERIOS!$L$179:$L$200,[1]CRITERIOS!$M$179:$M$200)),
_xlfn.CEILING.MATH(IF($M8&gt;$E8,
$E8,
IF($M8&lt;$E8/ROUNDDOWN([1]CRITERIOS!$M$16/_xlfn.XLOOKUP($C8,[1]CRITERIOS!$K$25:$K$42,[1]CRITERIOS!$M$25:$M$42),
1),
E8/ROUNDDOWN([1]CRITERIOS!$M$16/_xlfn.XLOOKUP($C8,[1]CRITERIOS!$K$25:$K$42,[1]CRITERIOS!$M$25:$M$42),
1),
$M8)),_xlfn.XLOOKUP(A8,'[1]DATOS PBI Artículos'!A:A,'[1]DATOS PBI Artículos'!Z:Z
)))))</f>
        <v>360000</v>
      </c>
      <c r="Q8" s="38">
        <f>IF(AND(O8="",N8=0),
0,
   IF(COUNTIF([1]CRITERIOS!$F$179:$F$199,$A8)&gt;=1,
   1,
   IF(R8="MTO",
      $D8,
      ROUNDUP(
                    IF(($E8-SUMIF('[1]DATOS PBI Artículos'!A:A,A8,'[1]DATOS PBI Artículos'!X:X)+($V8-_xlfn.XLOOKUP(A8,'[1]DATOS PBI Artículos'!A:A,'[1]DATOS PBI Artículos'!W:W)))&lt;0,
                    0,
                    IF(($E8-SUMIF('[1]DATOS PBI Artículos'!A:A,A8,'[1]DATOS PBI Artículos'!X:X)+$V8-_xlfn.XLOOKUP($A8,'[1]DATOS PBI Artículos'!A:A,'[1]DATOS PBI Artículos'!W:W))/IF($O8="",$N8,$O8)&gt;ROUNDUP([1]CRITERIOS!$M$16/(IF(COUNTIF([1]CRITERIOS!$BG$11:$BG$201,L8)&gt;=1,_xlfn.XLOOKUP($C8,[1]CRITERIOS!$K$25:$K$42,[1]CRITERIOS!$M$25:$M$42),_xlfn.XLOOKUP($C8,[1]CRITERIOS!$K$25:$K$42,[1]CRITERIOS!$M$25:$M$42))),0),
                    ROUNDUP([1]CRITERIOS!$M$16/(IF(COUNTIF([1]CRITERIOS!$BG$11:$BG$201,$L8)&gt;=1,_xlfn.XLOOKUP($C8,[1]CRITERIOS!$K$25:$K$42,[1]CRITERIOS!$M$25:$M$42),_xlfn.XLOOKUP($C8,[1]CRITERIOS!$K$25:$K$42,[1]CRITERIOS!$M$25:$M$42))),0),
                    (E8+V8-SUMIF('[1]DATOS PBI Artículos'!A:A,A8,'[1]DATOS PBI Artículos'!X:X)-_xlfn.XLOOKUP(A8,'[1]DATOS PBI Artículos'!A:A,'[1]DATOS PBI Artículos'!W:W))/IF($O8="",$N8,$O8))),0))))</f>
        <v>4</v>
      </c>
      <c r="R8" s="33" t="str">
        <f>IF(U8&lt;&gt;"",U8,IF(F8="DV","MTO",IF(N8=0,"MTO",_xlfn.XLOOKUP(CONCATENATE(S8,T8),[1]CRITERIOS!$K$160:$K$168,[1]CRITERIOS!$N$160:$N$168))))</f>
        <v>MTS</v>
      </c>
      <c r="S8" s="33" t="str">
        <f>IF(G8="DV","MTO",IF(N8=0,"MTO",IF(OR(AND(N8=0,O8=""),IF(O8="",G8/N8,G8/O8)&gt;[1]CRITERIOS!$G$163),"MTO",IF(IF(O8="",G8/N8,G8/O8)&lt;[1]CRITERIOS!$H$161,"MTS","MTOS"))))</f>
        <v>MTS</v>
      </c>
      <c r="T8" s="33" t="str">
        <f>IF(F8="DV","MTO",IF(OR(AND($N8=0,O8=""),$F8/$J8&gt;[1]CRITERIOS!$G$170,$F8="DV"),"MTO",IF($F8/$J8&lt;[1]CRITERIOS!$H$168,"MTS","MTOS")))</f>
        <v>MTS</v>
      </c>
      <c r="V8" s="34">
        <f t="shared" si="0"/>
        <v>258954.97564701221</v>
      </c>
      <c r="X8" s="34">
        <f t="shared" si="1"/>
        <v>618954.97564701224</v>
      </c>
      <c r="Y8" s="34">
        <f t="shared" si="2"/>
        <v>200778.16623053336</v>
      </c>
      <c r="Z8" s="34">
        <f>IF($R8="MTO",
0,
($H8+$K8*($E8/[1]CRITERIOS!$M$16))/[1]CRITERIOS!$X$48)</f>
        <v>20778.166230533367</v>
      </c>
      <c r="AA8" s="34" t="e">
        <f>ROUNDUP(($Y8/_xlfn.XLOOKUP($A8,'[1]DATOS PBI Artículos'!$A$4:$A$4,'[1]DATOS PBI Artículos'!$Z$4:$Z$4))/_xlfn.XLOOKUP(_xlfn.XLOOKUP($A8,'[1]DATOS PBI Artículos'!$A$4:$A$4,'[1]DATOS PBI Artículos'!$Y$4:$Y$4),[1]CRITERIOS!$P$79:$P$123,[1]CRITERIOS!$S$79:$S$123,),0)</f>
        <v>#N/A</v>
      </c>
      <c r="AB8" s="33" t="e">
        <f t="array" ref="AB8">IF((E8+V8-_xlfn.XLOOKUP(A8,'[1]DATOS PBI Artículos'!$A$4:$A$4,'[1]DATOS PBI Artículos'!$W$4:$W$4))/N8&gt;ROUNDUP([1]CRITERIOS!$M$16/(IF(COUNTIF([1]CRITERIOS!$BG$11:$BG$201,L8)&gt;=1,_xlfn.XLOOKUP(ARTÍCULOS!L8,[1]CRITERIOS!$BG$11:$BG$201,[1]CRITERIOS!$BJ$11:$BJ$201),_xlfn.XLOOKUP(ARTÍCULOS!C8,[1]CRITERIOS!$K$25:$K$42,[1]CRITERIOS!$M$25:$M$42))),0),ROUNDUP([1]CRITERIOS!$M$16/(IF(COUNTIF([1]CRITERIOS!$BG$11:$BG$201,L8)&gt;=1,_xlfn.XLOOKUP(ARTÍCULOS!L8,[1]CRITERIOS!$BG$11:$BG$201:#REF!,[1]CRITERIOS!$BJ$11:$BJ$201),_xlfn.XLOOKUP(ARTÍCULOS!C8,[1]CRITERIOS!$K$25:$K$42,[1]CRITERIOS!$M$25:$M$42))),0),(E8+V8-_xlfn.XLOOKUP(A8,'[1]DATOS PBI Artículos'!$A$4:$A$4,'[1]DATOS PBI Artículos'!$W$4:$W$4))/N8)</f>
        <v>#N/A</v>
      </c>
      <c r="AC8" s="33" t="e">
        <f>IF(N8=0,"",(ROUNDUP((N8/2)/(_xlfn.XLOOKUP(A8,'[1]DATOS PBI Artículos'!$A$4:$A$4,'[1]DATOS PBI Artículos'!$Z$4:$Z$4)*_xlfn.XLOOKUP(_xlfn.XLOOKUP(A8,'[1]DATOS PBI Artículos'!$A$4:$A$4,'[1]DATOS PBI Artículos'!$Y$4:$Y$4),[1]CRITERIOS!$P$79:$P$123,[1]CRITERIOS!$S$79:$S$123)),0)*[1]CRITERIOS!$M$80*([1]CRITERIOS!$M$110/[1]CRITERIOS!$M$86)+(_xlfn.XLOOKUP(A8,'[1]DATOS PBI Artículos'!$A$4:$A$4,'[1]DATOS PBI Artículos'!$AA$4:$AA$4)*([1]CRITERIOS!$M$95+[1]CRITERIOS!$M$98)))/N8)</f>
        <v>#N/A</v>
      </c>
      <c r="AD8" s="33" t="e">
        <f>IF(N8=0,"",(ROUNDUP((N8/2)/(_xlfn.XLOOKUP(A8,'[1]DATOS PBI Artículos'!$A$4:$A$4,'[1]DATOS PBI Artículos'!$Z$4:$Z$4)*_xlfn.XLOOKUP(_xlfn.XLOOKUP(A8,'[1]DATOS PBI Artículos'!$A$4:$A$4,'[1]DATOS PBI Artículos'!$Y$4:$Y$4),[1]CRITERIOS!$P$79:$P$123,[1]CRITERIOS!$S$79:$S$123)),0)*[1]CRITERIOS!$M$80*([1]CRITERIOS!$M$89*[1]CRITERIOS!$M$92)+((_xlfn.XLOOKUP(A8,'[1]DATOS PBI Artículos'!$A$4:$A$4,'[1]DATOS PBI Artículos'!$AA$4:$AA$4)/2)*([1]CRITERIOS!$M$95+[1]CRITERIOS!$M$98)))/N8)</f>
        <v>#N/A</v>
      </c>
      <c r="AE8" s="39">
        <f>IF($R8="MTO","",
IF($H8=0,ROUNDUP(((_xlfn.XLOOKUP($A8,'[1]DATOS PBI Artículos'!$A:$A,'[1]DATOS PBI Artículos'!$AL:$AL))/(_xlfn.XLOOKUP($AF$1,[1]CRITERIOS!$S$16:$S$39,[1]CRITERIOS!$Y$16:$Y$39))*$J8+$Z8)/$G8,0)*$G8,
((_xlfn.XLOOKUP($A8,'[1]DATOS PBI Artículos'!$A:$A,'[1]DATOS PBI Artículos'!$AL:$AL))/(_xlfn.XLOOKUP($AF$1,[1]CRITERIOS!$S$16:$S$39,[1]CRITERIOS!$Y$16:$Y$39))*$J8+$Z8)))</f>
        <v>266977.40020452329</v>
      </c>
      <c r="AG8" s="39">
        <f>IF($R8="MTO","",
IF($H8=0,ROUNDUP(((_xlfn.XLOOKUP($A8,'[1]DATOS PBI Artículos'!$A:$A,'[1]DATOS PBI Artículos'!$AM:$AM))/(_xlfn.XLOOKUP($AH$1,[1]CRITERIOS!$S$16:$S$39,[1]CRITERIOS!$Y$16:$Y$39))*$J8+$Z8)/$G8,0)*$G8,
((_xlfn.XLOOKUP($A8,'[1]DATOS PBI Artículos'!$A:$A,'[1]DATOS PBI Artículos'!$AM:$AM))/(_xlfn.XLOOKUP($AH$1,[1]CRITERIOS!$S$16:$S$39,[1]CRITERIOS!$Y$16:$Y$39))*$J8+$Z8)))</f>
        <v>197627.873498823</v>
      </c>
      <c r="AI8" s="39">
        <f>IF($R8="MTO","",
IF($H8=0,ROUNDUP(((_xlfn.XLOOKUP($A8,'[1]DATOS PBI Artículos'!$A:$A,'[1]DATOS PBI Artículos'!$AN:$AN))/(_xlfn.XLOOKUP($AJ$1,[1]CRITERIOS!$S$16:$S$39,[1]CRITERIOS!$Y$16:$Y$39))*$J8+$Z8)/$G8,0)*$G8,
((_xlfn.XLOOKUP($A8,'[1]DATOS PBI Artículos'!$A:$A,'[1]DATOS PBI Artículos'!$AN:$AN))/(_xlfn.XLOOKUP($AJ$1,[1]CRITERIOS!$S$16:$S$39,[1]CRITERIOS!$Y$16:$Y$39))*$J8+$Z8)))</f>
        <v>232599.75903319864</v>
      </c>
      <c r="AK8" s="39">
        <f>IF($R8="MTO","",
IF($H8=0,ROUNDUP(((_xlfn.XLOOKUP($A8,'[1]DATOS PBI Artículos'!$A:$A,'[1]DATOS PBI Artículos'!$AO:$AO))/(_xlfn.XLOOKUP($AL$1,[1]CRITERIOS!$S$16:$S$39,[1]CRITERIOS!$Y$16:$Y$39))*$J8+$Z8)/$G8,0)*$G8,
((_xlfn.XLOOKUP($A8,'[1]DATOS PBI Artículos'!$A:$A,'[1]DATOS PBI Artículos'!$AO:$AO))/(_xlfn.XLOOKUP($AL$1,[1]CRITERIOS!$S$16:$S$39,[1]CRITERIOS!$Y$16:$Y$39))*$J8+$Z8)))</f>
        <v>251473.01776214494</v>
      </c>
    </row>
    <row r="9" spans="1:38" ht="25.8" x14ac:dyDescent="0.5">
      <c r="A9" s="32" t="s">
        <v>37</v>
      </c>
      <c r="B9" s="33">
        <f>_xlfn.XLOOKUP($A9,'[1]DATOS PBI Artículos'!A:A,'[1]DATOS PBI Artículos'!B:B)</f>
        <v>0</v>
      </c>
      <c r="C9" s="33" t="str">
        <f>_xlfn.XLOOKUP($A9,'[1]DATOS PBI Artículos'!A:A,'[1]DATOS PBI Artículos'!C:C)</f>
        <v>UA01</v>
      </c>
      <c r="D9" s="33">
        <f>_xlfn.XLOOKUP(A9,'[1]DATOS PBI Artículos'!A:A,'[1]DATOS PBI Artículos'!T:T)</f>
        <v>5</v>
      </c>
      <c r="E9" s="34">
        <f>IF(_xlfn.XLOOKUP($A9,'[1]DATOS PBI Artículos'!A:A,'[1]DATOS PBI Artículos'!AK:AK)="",_xlfn.XLOOKUP($A9,'[1]DATOS PBI Artículos'!A:A,'[1]DATOS PBI Artículos'!AJ:AJ),_xlfn.XLOOKUP($A9,'[1]DATOS PBI Artículos'!A:A,'[1]DATOS PBI Artículos'!AK:AK))</f>
        <v>1200000</v>
      </c>
      <c r="F9" s="35">
        <f>_xlfn.XLOOKUP($A9,'[1]DATOS PBI Artículos'!A:A,'[1]DATOS PBI Artículos'!AP:AP)</f>
        <v>20.666666666659999</v>
      </c>
      <c r="G9" s="34">
        <f>_xlfn.XLOOKUP($A9,'[1]DATOS PBI Artículos'!A:A,'[1]DATOS PBI Artículos'!AR:AR)</f>
        <v>300000</v>
      </c>
      <c r="H9" s="34">
        <f>_xlfn.XLOOKUP($A9,'[1]DATOS PBI Artículos'!A:A,'[1]DATOS PBI Artículos'!AT:AT)</f>
        <v>0</v>
      </c>
      <c r="I9" s="34">
        <f>_xlfn.XLOOKUP($A9,'[1]DATOS PBI Artículos'!A:A,'[1]DATOS PBI Artículos'!AS:AS)</f>
        <v>300000</v>
      </c>
      <c r="J9" s="35">
        <f>IF(COUNTIF([1]CRITERIOS!$F$179:$F$199,$A9)&gt;=1,
 IF(O9&lt;&gt;"",
    (O9/_xlfn.XLOOKUP(CONCATENATE(A9,L9),[1]MÁQUINAS!A:A,[1]MÁQUINAS!D:D))/24,
    (N9/_xlfn.XLOOKUP(CONCATENATE(A9,L9),[1]MÁQUINAS!A:A,[1]MÁQUINAS!D:D))/24),
  _xlfn.XLOOKUP($A9,'[1]DATOS PBI Artículos'!A:A,'[1]DATOS PBI Artículos'!AU:AU))</f>
        <v>20.333333333333336</v>
      </c>
      <c r="K9" s="36">
        <f>_xlfn.XLOOKUP($A9,'[1]DATOS PBI Artículos'!A:A,'[1]DATOS PBI Artículos'!AV:AV)</f>
        <v>2.3094010767585051</v>
      </c>
      <c r="L9" s="33">
        <f>_xlfn.XLOOKUP(A9,[1]MÁQUINAS!B:B,[1]MÁQUINAS!C:C)</f>
        <v>507</v>
      </c>
      <c r="M9" s="34">
        <f t="array" ref="M9">_xlfn.XLOOKUP(A9,'[1]DATOS PBI Artículos'!A:A,'[1]DATOS PBI Artículos'!AX:$AX)</f>
        <v>159402.21087159228</v>
      </c>
      <c r="N9" s="37">
        <f>IF(I9="DV",
E9,
IF(COUNTIF([1]CRITERIOS!$I$179:$I$199,$A9)&gt;=1,
_xlfn.XLOOKUP($A9,[1]CRITERIOS!$I$179:$I$199,[1]CRITERIOS!$J$179:$J$199),
IF(COUNTIF([1]CRITERIOS!$L$179:$L$199,$A9)&gt;=1,
_xlfn.CEILING.MATH(IF($M9&gt;$E9,
$E9,
IF($M9&lt;$E9/ROUNDDOWN([1]CRITERIOS!$M$16/_xlfn.XLOOKUP($C9,[1]CRITERIOS!$K$25:$K$42,[1]CRITERIOS!$M$25:$M$42),
1),
E9/ROUNDDOWN([1]CRITERIOS!$M$16/_xlfn.XLOOKUP($C9,[1]CRITERIOS!$K$25:$K$42,[1]CRITERIOS!$M$25:$M$42),
1),
$M9)),
_xlfn.XLOOKUP($A9,[1]CRITERIOS!$L$179:$L$200,[1]CRITERIOS!$M$179:$M$200)),
_xlfn.CEILING.MATH(IF($M9&gt;$E9,
$E9,
IF($M9&lt;$E9/ROUNDDOWN([1]CRITERIOS!$M$16/_xlfn.XLOOKUP($C9,[1]CRITERIOS!$K$25:$K$42,[1]CRITERIOS!$M$25:$M$42),
1),
E9/ROUNDDOWN([1]CRITERIOS!$M$16/_xlfn.XLOOKUP($C9,[1]CRITERIOS!$K$25:$K$42,[1]CRITERIOS!$M$25:$M$42),
1),
$M9)),_xlfn.XLOOKUP(A9,'[1]DATOS PBI Artículos'!A:A,'[1]DATOS PBI Artículos'!Z:Z
)))))</f>
        <v>325500</v>
      </c>
      <c r="Q9" s="38">
        <f>IF(AND(O9="",N9=0),
0,
   IF(COUNTIF([1]CRITERIOS!$F$179:$F$199,$A9)&gt;=1,
   1,
   IF(R9="MTO",
      $D9,
      ROUNDUP(
                    IF(($E9-SUMIF('[1]DATOS PBI Artículos'!A:A,A9,'[1]DATOS PBI Artículos'!X:X)+($V9-_xlfn.XLOOKUP(A9,'[1]DATOS PBI Artículos'!A:A,'[1]DATOS PBI Artículos'!W:W)))&lt;0,
                    0,
                    IF(($E9-SUMIF('[1]DATOS PBI Artículos'!A:A,A9,'[1]DATOS PBI Artículos'!X:X)+$V9-_xlfn.XLOOKUP($A9,'[1]DATOS PBI Artículos'!A:A,'[1]DATOS PBI Artículos'!W:W))/IF($O9="",$N9,$O9)&gt;ROUNDUP([1]CRITERIOS!$M$16/(IF(COUNTIF([1]CRITERIOS!$BG$11:$BG$201,L9)&gt;=1,_xlfn.XLOOKUP($C9,[1]CRITERIOS!$K$25:$K$42,[1]CRITERIOS!$M$25:$M$42),_xlfn.XLOOKUP($C9,[1]CRITERIOS!$K$25:$K$42,[1]CRITERIOS!$M$25:$M$42))),0),
                    ROUNDUP([1]CRITERIOS!$M$16/(IF(COUNTIF([1]CRITERIOS!$BG$11:$BG$201,$L9)&gt;=1,_xlfn.XLOOKUP($C9,[1]CRITERIOS!$K$25:$K$42,[1]CRITERIOS!$M$25:$M$42),_xlfn.XLOOKUP($C9,[1]CRITERIOS!$K$25:$K$42,[1]CRITERIOS!$M$25:$M$42))),0),
                    (E9+V9-SUMIF('[1]DATOS PBI Artículos'!A:A,A9,'[1]DATOS PBI Artículos'!X:X)-_xlfn.XLOOKUP(A9,'[1]DATOS PBI Artículos'!A:A,'[1]DATOS PBI Artículos'!W:W))/IF($O9="",$N9,$O9))),0))))</f>
        <v>4</v>
      </c>
      <c r="R9" s="33" t="str">
        <f>IF(U9&lt;&gt;"",U9,IF(F9="DV","MTO",IF(N9=0,"MTO",_xlfn.XLOOKUP(CONCATENATE(S9,T9),[1]CRITERIOS!$K$160:$K$168,[1]CRITERIOS!$N$160:$N$168))))</f>
        <v>MTS</v>
      </c>
      <c r="S9" s="33" t="str">
        <f>IF(G9="DV","MTO",IF(N9=0,"MTO",IF(OR(AND(N9=0,O9=""),IF(O9="",G9/N9,G9/O9)&gt;[1]CRITERIOS!$G$163),"MTO",IF(IF(O9="",G9/N9,G9/O9)&lt;[1]CRITERIOS!$H$161,"MTS","MTOS"))))</f>
        <v>MTO</v>
      </c>
      <c r="T9" s="33" t="str">
        <f>IF(F9="DV","MTO",IF(OR(AND($N9=0,O9=""),$F9/$J9&gt;[1]CRITERIOS!$G$170,$F9="DV"),"MTO",IF($F9/$J9&lt;[1]CRITERIOS!$H$168,"MTS","MTOS")))</f>
        <v>MTS</v>
      </c>
      <c r="V9" s="34">
        <f t="shared" si="0"/>
        <v>325953.30467945593</v>
      </c>
      <c r="X9" s="34">
        <f t="shared" si="1"/>
        <v>651453.30467945593</v>
      </c>
      <c r="Y9" s="34">
        <f t="shared" si="2"/>
        <v>193542.01435678007</v>
      </c>
      <c r="Z9" s="34">
        <f>IF($R9="MTO",
0,
($H9+$K9*($E9/[1]CRITERIOS!$M$16))/[1]CRITERIOS!$X$48)</f>
        <v>30792.01435678007</v>
      </c>
      <c r="AA9" s="34" t="e">
        <f>ROUNDUP(($Y9/_xlfn.XLOOKUP($A9,'[1]DATOS PBI Artículos'!$A$4:$A$4,'[1]DATOS PBI Artículos'!$Z$4:$Z$4))/_xlfn.XLOOKUP(_xlfn.XLOOKUP($A9,'[1]DATOS PBI Artículos'!$A$4:$A$4,'[1]DATOS PBI Artículos'!$Y$4:$Y$4),[1]CRITERIOS!$P$79:$P$123,[1]CRITERIOS!$S$79:$S$123,),0)</f>
        <v>#N/A</v>
      </c>
      <c r="AB9" s="33" t="e">
        <f t="array" ref="AB9">IF((E9+V9-_xlfn.XLOOKUP(A9,'[1]DATOS PBI Artículos'!$A$4:$A$4,'[1]DATOS PBI Artículos'!$W$4:$W$4))/N9&gt;ROUNDUP([1]CRITERIOS!$M$16/(IF(COUNTIF([1]CRITERIOS!$BG$11:$BG$201,L9)&gt;=1,_xlfn.XLOOKUP(ARTÍCULOS!L9,[1]CRITERIOS!$BG$11:$BG$201,[1]CRITERIOS!$BJ$11:$BJ$201),_xlfn.XLOOKUP(ARTÍCULOS!C9,[1]CRITERIOS!$K$25:$K$42,[1]CRITERIOS!$M$25:$M$42))),0),ROUNDUP([1]CRITERIOS!$M$16/(IF(COUNTIF([1]CRITERIOS!$BG$11:$BG$201,L9)&gt;=1,_xlfn.XLOOKUP(ARTÍCULOS!L9,[1]CRITERIOS!$BG$11:$BG$201:#REF!,[1]CRITERIOS!$BJ$11:$BJ$201),_xlfn.XLOOKUP(ARTÍCULOS!C9,[1]CRITERIOS!$K$25:$K$42,[1]CRITERIOS!$M$25:$M$42))),0),(E9+V9-_xlfn.XLOOKUP(A9,'[1]DATOS PBI Artículos'!$A$4:$A$4,'[1]DATOS PBI Artículos'!$W$4:$W$4))/N9)</f>
        <v>#N/A</v>
      </c>
      <c r="AC9" s="33" t="e">
        <f>IF(N9=0,"",(ROUNDUP((N9/2)/(_xlfn.XLOOKUP(A9,'[1]DATOS PBI Artículos'!$A$4:$A$4,'[1]DATOS PBI Artículos'!$Z$4:$Z$4)*_xlfn.XLOOKUP(_xlfn.XLOOKUP(A9,'[1]DATOS PBI Artículos'!$A$4:$A$4,'[1]DATOS PBI Artículos'!$Y$4:$Y$4),[1]CRITERIOS!$P$79:$P$123,[1]CRITERIOS!$S$79:$S$123)),0)*[1]CRITERIOS!$M$80*([1]CRITERIOS!$M$110/[1]CRITERIOS!$M$86)+(_xlfn.XLOOKUP(A9,'[1]DATOS PBI Artículos'!$A$4:$A$4,'[1]DATOS PBI Artículos'!$AA$4:$AA$4)*([1]CRITERIOS!$M$95+[1]CRITERIOS!$M$98)))/N9)</f>
        <v>#N/A</v>
      </c>
      <c r="AD9" s="33" t="e">
        <f>IF(N9=0,"",(ROUNDUP((N9/2)/(_xlfn.XLOOKUP(A9,'[1]DATOS PBI Artículos'!$A$4:$A$4,'[1]DATOS PBI Artículos'!$Z$4:$Z$4)*_xlfn.XLOOKUP(_xlfn.XLOOKUP(A9,'[1]DATOS PBI Artículos'!$A$4:$A$4,'[1]DATOS PBI Artículos'!$Y$4:$Y$4),[1]CRITERIOS!$P$79:$P$123,[1]CRITERIOS!$S$79:$S$123)),0)*[1]CRITERIOS!$M$80*([1]CRITERIOS!$M$89*[1]CRITERIOS!$M$92)+((_xlfn.XLOOKUP(A9,'[1]DATOS PBI Artículos'!$A$4:$A$4,'[1]DATOS PBI Artículos'!$AA$4:$AA$4)/2)*([1]CRITERIOS!$M$95+[1]CRITERIOS!$M$98)))/N9)</f>
        <v>#N/A</v>
      </c>
      <c r="AE9" s="39">
        <f>IF($R9="MTO","",
IF($H9=0,ROUNDUP(((_xlfn.XLOOKUP($A9,'[1]DATOS PBI Artículos'!$A:$A,'[1]DATOS PBI Artículos'!$AL:$AL))/(_xlfn.XLOOKUP($AF$1,[1]CRITERIOS!$S$16:$S$39,[1]CRITERIOS!$Y$16:$Y$39))*$J9+$Z9)/$G9,0)*$G9,
((_xlfn.XLOOKUP($A9,'[1]DATOS PBI Artículos'!$A:$A,'[1]DATOS PBI Artículos'!$AL:$AL))/(_xlfn.XLOOKUP($AF$1,[1]CRITERIOS!$S$16:$S$39,[1]CRITERIOS!$Y$16:$Y$39))*$J9+$Z9)))</f>
        <v>600000</v>
      </c>
      <c r="AG9" s="39">
        <f>IF($R9="MTO","",
IF($H9=0,ROUNDUP(((_xlfn.XLOOKUP($A9,'[1]DATOS PBI Artículos'!$A:$A,'[1]DATOS PBI Artículos'!$AM:$AM))/(_xlfn.XLOOKUP($AH$1,[1]CRITERIOS!$S$16:$S$39,[1]CRITERIOS!$Y$16:$Y$39))*$J9+$Z9)/$G9,0)*$G9,
((_xlfn.XLOOKUP($A9,'[1]DATOS PBI Artículos'!$A:$A,'[1]DATOS PBI Artículos'!$AM:$AM))/(_xlfn.XLOOKUP($AH$1,[1]CRITERIOS!$S$16:$S$39,[1]CRITERIOS!$Y$16:$Y$39))*$J9+$Z9)))</f>
        <v>600000</v>
      </c>
      <c r="AI9" s="39">
        <f>IF($R9="MTO","",
IF($H9=0,ROUNDUP(((_xlfn.XLOOKUP($A9,'[1]DATOS PBI Artículos'!$A:$A,'[1]DATOS PBI Artículos'!$AN:$AN))/(_xlfn.XLOOKUP($AJ$1,[1]CRITERIOS!$S$16:$S$39,[1]CRITERIOS!$Y$16:$Y$39))*$J9+$Z9)/$G9,0)*$G9,
((_xlfn.XLOOKUP($A9,'[1]DATOS PBI Artículos'!$A:$A,'[1]DATOS PBI Artículos'!$AN:$AN))/(_xlfn.XLOOKUP($AJ$1,[1]CRITERIOS!$S$16:$S$39,[1]CRITERIOS!$Y$16:$Y$39))*$J9+$Z9)))</f>
        <v>600000</v>
      </c>
      <c r="AK9" s="39">
        <f>IF($R9="MTO","",
IF($H9=0,ROUNDUP(((_xlfn.XLOOKUP($A9,'[1]DATOS PBI Artículos'!$A:$A,'[1]DATOS PBI Artículos'!$AO:$AO))/(_xlfn.XLOOKUP($AL$1,[1]CRITERIOS!$S$16:$S$39,[1]CRITERIOS!$Y$16:$Y$39))*$J9+$Z9)/$G9,0)*$G9,
((_xlfn.XLOOKUP($A9,'[1]DATOS PBI Artículos'!$A:$A,'[1]DATOS PBI Artículos'!$AO:$AO))/(_xlfn.XLOOKUP($AL$1,[1]CRITERIOS!$S$16:$S$39,[1]CRITERIOS!$Y$16:$Y$39))*$J9+$Z9)))</f>
        <v>600000</v>
      </c>
    </row>
    <row r="10" spans="1:38" ht="25.8" x14ac:dyDescent="0.5">
      <c r="A10" s="32">
        <v>452065</v>
      </c>
      <c r="B10" s="33">
        <f>_xlfn.XLOOKUP($A10,'[1]DATOS PBI Artículos'!A:A,'[1]DATOS PBI Artículos'!B:B)</f>
        <v>0</v>
      </c>
      <c r="C10" s="33" t="str">
        <f>_xlfn.XLOOKUP($A10,'[1]DATOS PBI Artículos'!A:A,'[1]DATOS PBI Artículos'!C:C)</f>
        <v>UA02</v>
      </c>
      <c r="D10" s="33">
        <f>_xlfn.XLOOKUP(A10,'[1]DATOS PBI Artículos'!A:A,'[1]DATOS PBI Artículos'!T:T)</f>
        <v>4</v>
      </c>
      <c r="E10" s="34">
        <f>IF(_xlfn.XLOOKUP($A10,'[1]DATOS PBI Artículos'!A:A,'[1]DATOS PBI Artículos'!AK:AK)="",_xlfn.XLOOKUP($A10,'[1]DATOS PBI Artículos'!A:A,'[1]DATOS PBI Artículos'!AJ:AJ),_xlfn.XLOOKUP($A10,'[1]DATOS PBI Artículos'!A:A,'[1]DATOS PBI Artículos'!AK:AK))</f>
        <v>1200000</v>
      </c>
      <c r="F10" s="35">
        <f>_xlfn.XLOOKUP($A10,'[1]DATOS PBI Artículos'!A:A,'[1]DATOS PBI Artículos'!AP:AP)</f>
        <v>18.666666666659999</v>
      </c>
      <c r="G10" s="34">
        <f>_xlfn.XLOOKUP($A10,'[1]DATOS PBI Artículos'!A:A,'[1]DATOS PBI Artículos'!AR:AR)</f>
        <v>300000</v>
      </c>
      <c r="H10" s="34">
        <f>_xlfn.XLOOKUP($A10,'[1]DATOS PBI Artículos'!A:A,'[1]DATOS PBI Artículos'!AT:AT)</f>
        <v>0</v>
      </c>
      <c r="I10" s="34">
        <f>_xlfn.XLOOKUP($A10,'[1]DATOS PBI Artículos'!A:A,'[1]DATOS PBI Artículos'!AS:AS)</f>
        <v>300000</v>
      </c>
      <c r="J10" s="35">
        <f>IF(COUNTIF([1]CRITERIOS!$F$179:$F$199,$A10)&gt;=1,
 IF(O10&lt;&gt;"",
    (O10/_xlfn.XLOOKUP(CONCATENATE(A10,L10),[1]MÁQUINAS!A:A,[1]MÁQUINAS!D:D))/24,
    (N10/_xlfn.XLOOKUP(CONCATENATE(A10,L10),[1]MÁQUINAS!A:A,[1]MÁQUINAS!D:D))/24),
  _xlfn.XLOOKUP($A10,'[1]DATOS PBI Artículos'!A:A,'[1]DATOS PBI Artículos'!AU:AU))</f>
        <v>30.19047619047619</v>
      </c>
      <c r="K10" s="36">
        <f>_xlfn.XLOOKUP($A10,'[1]DATOS PBI Artículos'!A:A,'[1]DATOS PBI Artículos'!AV:AV)</f>
        <v>8.6407120517874425</v>
      </c>
      <c r="L10" s="33">
        <f>_xlfn.XLOOKUP(A10,[1]MÁQUINAS!B:B,[1]MÁQUINAS!C:C)</f>
        <v>207</v>
      </c>
      <c r="M10" s="34">
        <f t="array" ref="M10">_xlfn.XLOOKUP(A10,'[1]DATOS PBI Artículos'!A:A,'[1]DATOS PBI Artículos'!AX:$AX)</f>
        <v>204254.25019708797</v>
      </c>
      <c r="N10" s="37">
        <f>IF(I10="DV",
E10,
IF(COUNTIF([1]CRITERIOS!$I$179:$I$199,$A10)&gt;=1,
_xlfn.XLOOKUP($A10,[1]CRITERIOS!$I$179:$I$199,[1]CRITERIOS!$J$179:$J$199),
IF(COUNTIF([1]CRITERIOS!$L$179:$L$199,$A10)&gt;=1,
_xlfn.CEILING.MATH(IF($M10&gt;$E10,
$E10,
IF($M10&lt;$E10/ROUNDDOWN([1]CRITERIOS!$M$16/_xlfn.XLOOKUP($C10,[1]CRITERIOS!$K$25:$K$42,[1]CRITERIOS!$M$25:$M$42),
1),
E10/ROUNDDOWN([1]CRITERIOS!$M$16/_xlfn.XLOOKUP($C10,[1]CRITERIOS!$K$25:$K$42,[1]CRITERIOS!$M$25:$M$42),
1),
$M10)),
_xlfn.XLOOKUP($A10,[1]CRITERIOS!$L$179:$L$200,[1]CRITERIOS!$M$179:$M$200)),
_xlfn.CEILING.MATH(IF($M10&gt;$E10,
$E10,
IF($M10&lt;$E10/ROUNDDOWN([1]CRITERIOS!$M$16/_xlfn.XLOOKUP($C10,[1]CRITERIOS!$K$25:$K$42,[1]CRITERIOS!$M$25:$M$42),
1),
E10/ROUNDDOWN([1]CRITERIOS!$M$16/_xlfn.XLOOKUP($C10,[1]CRITERIOS!$K$25:$K$42,[1]CRITERIOS!$M$25:$M$42),
1),
$M10)),_xlfn.XLOOKUP(A10,'[1]DATOS PBI Artículos'!A:A,'[1]DATOS PBI Artículos'!Z:Z
)))))</f>
        <v>340000</v>
      </c>
      <c r="Q10" s="38">
        <f>IF(AND(O10="",N10=0),
0,
   IF(COUNTIF([1]CRITERIOS!$F$179:$F$199,$A10)&gt;=1,
   1,
   IF(R10="MTO",
      $D10,
      ROUNDUP(
                    IF(($E10-SUMIF('[1]DATOS PBI Artículos'!A:A,A10,'[1]DATOS PBI Artículos'!X:X)+($V10-_xlfn.XLOOKUP(A10,'[1]DATOS PBI Artículos'!A:A,'[1]DATOS PBI Artículos'!W:W)))&lt;0,
                    0,
                    IF(($E10-SUMIF('[1]DATOS PBI Artículos'!A:A,A10,'[1]DATOS PBI Artículos'!X:X)+$V10-_xlfn.XLOOKUP($A10,'[1]DATOS PBI Artículos'!A:A,'[1]DATOS PBI Artículos'!W:W))/IF($O10="",$N10,$O10)&gt;ROUNDUP([1]CRITERIOS!$M$16/(IF(COUNTIF([1]CRITERIOS!$BG$11:$BG$201,L10)&gt;=1,_xlfn.XLOOKUP($C10,[1]CRITERIOS!$K$25:$K$42,[1]CRITERIOS!$M$25:$M$42),_xlfn.XLOOKUP($C10,[1]CRITERIOS!$K$25:$K$42,[1]CRITERIOS!$M$25:$M$42))),0),
                    ROUNDUP([1]CRITERIOS!$M$16/(IF(COUNTIF([1]CRITERIOS!$BG$11:$BG$201,$L10)&gt;=1,_xlfn.XLOOKUP($C10,[1]CRITERIOS!$K$25:$K$42,[1]CRITERIOS!$M$25:$M$42),_xlfn.XLOOKUP($C10,[1]CRITERIOS!$K$25:$K$42,[1]CRITERIOS!$M$25:$M$42))),0),
                    (E10+V10-SUMIF('[1]DATOS PBI Artículos'!A:A,A10,'[1]DATOS PBI Artículos'!X:X)-_xlfn.XLOOKUP(A10,'[1]DATOS PBI Artículos'!A:A,'[1]DATOS PBI Artículos'!W:W))/IF($O10="",$N10,$O10))),0))))</f>
        <v>4</v>
      </c>
      <c r="R10" s="33" t="str">
        <f>IF(U10&lt;&gt;"",U10,IF(F10="DV","MTO",IF(N10=0,"MTO",_xlfn.XLOOKUP(CONCATENATE(S10,T10),[1]CRITERIOS!$K$160:$K$168,[1]CRITERIOS!$N$160:$N$168))))</f>
        <v>MTS</v>
      </c>
      <c r="S10" s="33" t="str">
        <f>IF(G10="DV","MTO",IF(N10=0,"MTO",IF(OR(AND(N10=0,O10=""),IF(O10="",G10/N10,G10/O10)&gt;[1]CRITERIOS!$G$163),"MTO",IF(IF(O10="",G10/N10,G10/O10)&lt;[1]CRITERIOS!$H$161,"MTS","MTOS"))))</f>
        <v>MTO</v>
      </c>
      <c r="T10" s="33" t="str">
        <f>IF(F10="DV","MTO",IF(OR(AND($N10=0,O10=""),$F10/$J10&gt;[1]CRITERIOS!$G$170,$F10="DV"),"MTO",IF($F10/$J10&lt;[1]CRITERIOS!$H$168,"MTS","MTOS")))</f>
        <v>MTS</v>
      </c>
      <c r="V10" s="34">
        <f t="shared" si="0"/>
        <v>600413.57565665897</v>
      </c>
      <c r="X10" s="34">
        <f t="shared" si="1"/>
        <v>940413.57565665897</v>
      </c>
      <c r="Y10" s="34">
        <f t="shared" si="2"/>
        <v>285209.49402383261</v>
      </c>
      <c r="Z10" s="34">
        <f>IF($R10="MTO",
0,
($H10+$K10*($E10/[1]CRITERIOS!$M$16))/[1]CRITERIOS!$X$48)</f>
        <v>115209.49402383258</v>
      </c>
      <c r="AA10" s="34" t="e">
        <f>ROUNDUP(($Y10/_xlfn.XLOOKUP($A10,'[1]DATOS PBI Artículos'!$A$4:$A$4,'[1]DATOS PBI Artículos'!$Z$4:$Z$4))/_xlfn.XLOOKUP(_xlfn.XLOOKUP($A10,'[1]DATOS PBI Artículos'!$A$4:$A$4,'[1]DATOS PBI Artículos'!$Y$4:$Y$4),[1]CRITERIOS!$P$79:$P$123,[1]CRITERIOS!$S$79:$S$123,),0)</f>
        <v>#N/A</v>
      </c>
      <c r="AB10" s="33" t="e">
        <f t="array" ref="AB10">IF((E10+V10-_xlfn.XLOOKUP(A10,'[1]DATOS PBI Artículos'!$A$4:$A$4,'[1]DATOS PBI Artículos'!$W$4:$W$4))/N10&gt;ROUNDUP([1]CRITERIOS!$M$16/(IF(COUNTIF([1]CRITERIOS!$BG$11:$BG$201,L10)&gt;=1,_xlfn.XLOOKUP(ARTÍCULOS!L10,[1]CRITERIOS!$BG$11:$BG$201,[1]CRITERIOS!$BJ$11:$BJ$201),_xlfn.XLOOKUP(ARTÍCULOS!C10,[1]CRITERIOS!$K$25:$K$42,[1]CRITERIOS!$M$25:$M$42))),0),ROUNDUP([1]CRITERIOS!$M$16/(IF(COUNTIF([1]CRITERIOS!$BG$11:$BG$201,L10)&gt;=1,_xlfn.XLOOKUP(ARTÍCULOS!L10,[1]CRITERIOS!$BG$11:$BG$201:#REF!,[1]CRITERIOS!$BJ$11:$BJ$201),_xlfn.XLOOKUP(ARTÍCULOS!C10,[1]CRITERIOS!$K$25:$K$42,[1]CRITERIOS!$M$25:$M$42))),0),(E10+V10-_xlfn.XLOOKUP(A10,'[1]DATOS PBI Artículos'!$A$4:$A$4,'[1]DATOS PBI Artículos'!$W$4:$W$4))/N10)</f>
        <v>#N/A</v>
      </c>
      <c r="AC10" s="33" t="e">
        <f>IF(N10=0,"",(ROUNDUP((N10/2)/(_xlfn.XLOOKUP(A10,'[1]DATOS PBI Artículos'!$A$4:$A$4,'[1]DATOS PBI Artículos'!$Z$4:$Z$4)*_xlfn.XLOOKUP(_xlfn.XLOOKUP(A10,'[1]DATOS PBI Artículos'!$A$4:$A$4,'[1]DATOS PBI Artículos'!$Y$4:$Y$4),[1]CRITERIOS!$P$79:$P$123,[1]CRITERIOS!$S$79:$S$123)),0)*[1]CRITERIOS!$M$80*([1]CRITERIOS!$M$110/[1]CRITERIOS!$M$86)+(_xlfn.XLOOKUP(A10,'[1]DATOS PBI Artículos'!$A$4:$A$4,'[1]DATOS PBI Artículos'!$AA$4:$AA$4)*([1]CRITERIOS!$M$95+[1]CRITERIOS!$M$98)))/N10)</f>
        <v>#N/A</v>
      </c>
      <c r="AD10" s="33" t="e">
        <f>IF(N10=0,"",(ROUNDUP((N10/2)/(_xlfn.XLOOKUP(A10,'[1]DATOS PBI Artículos'!$A$4:$A$4,'[1]DATOS PBI Artículos'!$Z$4:$Z$4)*_xlfn.XLOOKUP(_xlfn.XLOOKUP(A10,'[1]DATOS PBI Artículos'!$A$4:$A$4,'[1]DATOS PBI Artículos'!$Y$4:$Y$4),[1]CRITERIOS!$P$79:$P$123,[1]CRITERIOS!$S$79:$S$123)),0)*[1]CRITERIOS!$M$80*([1]CRITERIOS!$M$89*[1]CRITERIOS!$M$92)+((_xlfn.XLOOKUP(A10,'[1]DATOS PBI Artículos'!$A$4:$A$4,'[1]DATOS PBI Artículos'!$AA$4:$AA$4)/2)*([1]CRITERIOS!$M$95+[1]CRITERIOS!$M$98)))/N10)</f>
        <v>#N/A</v>
      </c>
      <c r="AE10" s="39">
        <f>IF($R10="MTO","",
IF($H10=0,ROUNDUP(((_xlfn.XLOOKUP($A10,'[1]DATOS PBI Artículos'!$A:$A,'[1]DATOS PBI Artículos'!$AL:$AL))/(_xlfn.XLOOKUP($AF$1,[1]CRITERIOS!$S$16:$S$39,[1]CRITERIOS!$Y$16:$Y$39))*$J10+$Z10)/$G10,0)*$G10,
((_xlfn.XLOOKUP($A10,'[1]DATOS PBI Artículos'!$A:$A,'[1]DATOS PBI Artículos'!$AL:$AL))/(_xlfn.XLOOKUP($AF$1,[1]CRITERIOS!$S$16:$S$39,[1]CRITERIOS!$Y$16:$Y$39))*$J10+$Z10)))</f>
        <v>900000</v>
      </c>
      <c r="AG10" s="39">
        <f>IF($R10="MTO","",
IF($H10=0,ROUNDUP(((_xlfn.XLOOKUP($A10,'[1]DATOS PBI Artículos'!$A:$A,'[1]DATOS PBI Artículos'!$AM:$AM))/(_xlfn.XLOOKUP($AH$1,[1]CRITERIOS!$S$16:$S$39,[1]CRITERIOS!$Y$16:$Y$39))*$J10+$Z10)/$G10,0)*$G10,
((_xlfn.XLOOKUP($A10,'[1]DATOS PBI Artículos'!$A:$A,'[1]DATOS PBI Artículos'!$AM:$AM))/(_xlfn.XLOOKUP($AH$1,[1]CRITERIOS!$S$16:$S$39,[1]CRITERIOS!$Y$16:$Y$39))*$J10+$Z10)))</f>
        <v>600000</v>
      </c>
      <c r="AI10" s="39">
        <f>IF($R10="MTO","",
IF($H10=0,ROUNDUP(((_xlfn.XLOOKUP($A10,'[1]DATOS PBI Artículos'!$A:$A,'[1]DATOS PBI Artículos'!$AN:$AN))/(_xlfn.XLOOKUP($AJ$1,[1]CRITERIOS!$S$16:$S$39,[1]CRITERIOS!$Y$16:$Y$39))*$J10+$Z10)/$G10,0)*$G10,
((_xlfn.XLOOKUP($A10,'[1]DATOS PBI Artículos'!$A:$A,'[1]DATOS PBI Artículos'!$AN:$AN))/(_xlfn.XLOOKUP($AJ$1,[1]CRITERIOS!$S$16:$S$39,[1]CRITERIOS!$Y$16:$Y$39))*$J10+$Z10)))</f>
        <v>600000</v>
      </c>
      <c r="AK10" s="39">
        <f>IF($R10="MTO","",
IF($H10=0,ROUNDUP(((_xlfn.XLOOKUP($A10,'[1]DATOS PBI Artículos'!$A:$A,'[1]DATOS PBI Artículos'!$AO:$AO))/(_xlfn.XLOOKUP($AL$1,[1]CRITERIOS!$S$16:$S$39,[1]CRITERIOS!$Y$16:$Y$39))*$J10+$Z10)/$G10,0)*$G10,
((_xlfn.XLOOKUP($A10,'[1]DATOS PBI Artículos'!$A:$A,'[1]DATOS PBI Artículos'!$AO:$AO))/(_xlfn.XLOOKUP($AL$1,[1]CRITERIOS!$S$16:$S$39,[1]CRITERIOS!$Y$16:$Y$39))*$J10+$Z10)))</f>
        <v>900000</v>
      </c>
    </row>
    <row r="11" spans="1:38" ht="25.8" x14ac:dyDescent="0.5">
      <c r="A11" s="32">
        <v>412366</v>
      </c>
      <c r="B11" s="33">
        <f>_xlfn.XLOOKUP($A11,'[1]DATOS PBI Artículos'!A:A,'[1]DATOS PBI Artículos'!B:B)</f>
        <v>0</v>
      </c>
      <c r="C11" s="33" t="str">
        <f>_xlfn.XLOOKUP($A11,'[1]DATOS PBI Artículos'!A:A,'[1]DATOS PBI Artículos'!C:C)</f>
        <v>UA03</v>
      </c>
      <c r="D11" s="33">
        <f>_xlfn.XLOOKUP(A11,'[1]DATOS PBI Artículos'!A:A,'[1]DATOS PBI Artículos'!T:T)</f>
        <v>2</v>
      </c>
      <c r="E11" s="34">
        <f>IF(_xlfn.XLOOKUP($A11,'[1]DATOS PBI Artículos'!A:A,'[1]DATOS PBI Artículos'!AK:AK)="",_xlfn.XLOOKUP($A11,'[1]DATOS PBI Artículos'!A:A,'[1]DATOS PBI Artículos'!AJ:AJ),_xlfn.XLOOKUP($A11,'[1]DATOS PBI Artículos'!A:A,'[1]DATOS PBI Artículos'!AK:AK))</f>
        <v>990000</v>
      </c>
      <c r="F11" s="35">
        <f>_xlfn.XLOOKUP($A11,'[1]DATOS PBI Artículos'!A:A,'[1]DATOS PBI Artículos'!AP:AP)</f>
        <v>23</v>
      </c>
      <c r="G11" s="34">
        <f>_xlfn.XLOOKUP($A11,'[1]DATOS PBI Artículos'!A:A,'[1]DATOS PBI Artículos'!AR:AR)</f>
        <v>495000</v>
      </c>
      <c r="H11" s="34">
        <f>_xlfn.XLOOKUP($A11,'[1]DATOS PBI Artículos'!A:A,'[1]DATOS PBI Artículos'!AT:AT)</f>
        <v>0</v>
      </c>
      <c r="I11" s="34">
        <f>_xlfn.XLOOKUP($A11,'[1]DATOS PBI Artículos'!A:A,'[1]DATOS PBI Artículos'!AS:AS)</f>
        <v>495000</v>
      </c>
      <c r="J11" s="35">
        <f>IF(COUNTIF([1]CRITERIOS!$F$179:$F$199,$A11)&gt;=1,
 IF(O11&lt;&gt;"",
    (O11/_xlfn.XLOOKUP(CONCATENATE(A11,L11),[1]MÁQUINAS!A:A,[1]MÁQUINAS!D:D))/24,
    (N11/_xlfn.XLOOKUP(CONCATENATE(A11,L11),[1]MÁQUINAS!A:A,[1]MÁQUINAS!D:D))/24),
  _xlfn.XLOOKUP($A11,'[1]DATOS PBI Artículos'!A:A,'[1]DATOS PBI Artículos'!AU:AU))</f>
        <v>14.6</v>
      </c>
      <c r="K11" s="36">
        <f>_xlfn.XLOOKUP($A11,'[1]DATOS PBI Artículos'!A:A,'[1]DATOS PBI Artículos'!AV:AV)</f>
        <v>1.3522468075656271</v>
      </c>
      <c r="L11" s="33">
        <f>_xlfn.XLOOKUP(A11,[1]MÁQUINAS!B:B,[1]MÁQUINAS!C:C)</f>
        <v>127</v>
      </c>
      <c r="M11" s="34">
        <f t="array" ref="M11">_xlfn.XLOOKUP(A11,'[1]DATOS PBI Artículos'!A:A,'[1]DATOS PBI Artículos'!AX:$AX)</f>
        <v>212461.11969321719</v>
      </c>
      <c r="N11" s="37">
        <f>IF(I11="DV",
E11,
IF(COUNTIF([1]CRITERIOS!$I$179:$I$199,$A11)&gt;=1,
_xlfn.XLOOKUP($A11,[1]CRITERIOS!$I$179:$I$199,[1]CRITERIOS!$J$179:$J$199),
IF(COUNTIF([1]CRITERIOS!$L$179:$L$199,$A11)&gt;=1,
_xlfn.CEILING.MATH(IF($M11&gt;$E11,
$E11,
IF($M11&lt;$E11/ROUNDDOWN([1]CRITERIOS!$M$16/_xlfn.XLOOKUP($C11,[1]CRITERIOS!$K$25:$K$42,[1]CRITERIOS!$M$25:$M$42),
1),
E11/ROUNDDOWN([1]CRITERIOS!$M$16/_xlfn.XLOOKUP($C11,[1]CRITERIOS!$K$25:$K$42,[1]CRITERIOS!$M$25:$M$42),
1),
$M11)),
_xlfn.XLOOKUP($A11,[1]CRITERIOS!$L$179:$L$200,[1]CRITERIOS!$M$179:$M$200)),
_xlfn.CEILING.MATH(IF($M11&gt;$E11,
$E11,
IF($M11&lt;$E11/ROUNDDOWN([1]CRITERIOS!$M$16/_xlfn.XLOOKUP($C11,[1]CRITERIOS!$K$25:$K$42,[1]CRITERIOS!$M$25:$M$42),
1),
E11/ROUNDDOWN([1]CRITERIOS!$M$16/_xlfn.XLOOKUP($C11,[1]CRITERIOS!$K$25:$K$42,[1]CRITERIOS!$M$25:$M$42),
1),
$M11)),_xlfn.XLOOKUP(A11,'[1]DATOS PBI Artículos'!A:A,'[1]DATOS PBI Artículos'!Z:Z
)))))</f>
        <v>270000</v>
      </c>
      <c r="Q11" s="38">
        <f>IF(AND(O11="",N11=0),
0,
   IF(COUNTIF([1]CRITERIOS!$F$179:$F$199,$A11)&gt;=1,
   1,
   IF(R11="MTO",
      $D11,
      ROUNDUP(
                    IF(($E11-SUMIF('[1]DATOS PBI Artículos'!A:A,A11,'[1]DATOS PBI Artículos'!X:X)+($V11-_xlfn.XLOOKUP(A11,'[1]DATOS PBI Artículos'!A:A,'[1]DATOS PBI Artículos'!W:W)))&lt;0,
                    0,
                    IF(($E11-SUMIF('[1]DATOS PBI Artículos'!A:A,A11,'[1]DATOS PBI Artículos'!X:X)+$V11-_xlfn.XLOOKUP($A11,'[1]DATOS PBI Artículos'!A:A,'[1]DATOS PBI Artículos'!W:W))/IF($O11="",$N11,$O11)&gt;ROUNDUP([1]CRITERIOS!$M$16/(IF(COUNTIF([1]CRITERIOS!$BG$11:$BG$201,L11)&gt;=1,_xlfn.XLOOKUP($C11,[1]CRITERIOS!$K$25:$K$42,[1]CRITERIOS!$M$25:$M$42),_xlfn.XLOOKUP($C11,[1]CRITERIOS!$K$25:$K$42,[1]CRITERIOS!$M$25:$M$42))),0),
                    ROUNDUP([1]CRITERIOS!$M$16/(IF(COUNTIF([1]CRITERIOS!$BG$11:$BG$201,$L11)&gt;=1,_xlfn.XLOOKUP($C11,[1]CRITERIOS!$K$25:$K$42,[1]CRITERIOS!$M$25:$M$42),_xlfn.XLOOKUP($C11,[1]CRITERIOS!$K$25:$K$42,[1]CRITERIOS!$M$25:$M$42))),0),
                    (E11+V11-SUMIF('[1]DATOS PBI Artículos'!A:A,A11,'[1]DATOS PBI Artículos'!X:X)-_xlfn.XLOOKUP(A11,'[1]DATOS PBI Artículos'!A:A,'[1]DATOS PBI Artículos'!W:W))/IF($O11="",$N11,$O11))),0))))</f>
        <v>2</v>
      </c>
      <c r="R11" s="33" t="str">
        <f>IF(U11&lt;&gt;"",U11,IF(F11="DV","MTO",IF(N11=0,"MTO",_xlfn.XLOOKUP(CONCATENATE(S11,T11),[1]CRITERIOS!$K$160:$K$168,[1]CRITERIOS!$N$160:$N$168))))</f>
        <v>MTO</v>
      </c>
      <c r="S11" s="33" t="str">
        <f>IF(G11="DV","MTO",IF(N11=0,"MTO",IF(OR(AND(N11=0,O11=""),IF(O11="",G11/N11,G11/O11)&gt;[1]CRITERIOS!$G$163),"MTO",IF(IF(O11="",G11/N11,G11/O11)&lt;[1]CRITERIOS!$H$161,"MTS","MTOS"))))</f>
        <v>MTO</v>
      </c>
      <c r="T11" s="33" t="str">
        <f>IF(F11="DV","MTO",IF(OR(AND($N11=0,O11=""),$F11/$J11&gt;[1]CRITERIOS!$G$170,$F11="DV"),"MTO",IF($F11/$J11&lt;[1]CRITERIOS!$H$168,"MTS","MTOS")))</f>
        <v>MTO</v>
      </c>
      <c r="V11" s="34" t="str">
        <f t="shared" si="0"/>
        <v/>
      </c>
      <c r="X11" s="34">
        <f t="shared" si="1"/>
        <v>0</v>
      </c>
      <c r="Y11" s="34">
        <f t="shared" si="2"/>
        <v>0</v>
      </c>
      <c r="Z11" s="34">
        <f>IF($R11="MTO",
0,
($H11+$K11*($E11/[1]CRITERIOS!$M$16))/[1]CRITERIOS!$X$48)</f>
        <v>0</v>
      </c>
      <c r="AA11" s="34" t="e">
        <f>ROUNDUP(($Y11/_xlfn.XLOOKUP($A11,'[1]DATOS PBI Artículos'!$A$4:$A$4,'[1]DATOS PBI Artículos'!$Z$4:$Z$4))/_xlfn.XLOOKUP(_xlfn.XLOOKUP($A11,'[1]DATOS PBI Artículos'!$A$4:$A$4,'[1]DATOS PBI Artículos'!$Y$4:$Y$4),[1]CRITERIOS!$P$79:$P$123,[1]CRITERIOS!$S$79:$S$123,),0)</f>
        <v>#N/A</v>
      </c>
      <c r="AB11" s="33" t="e">
        <f t="array" ref="AB11">IF((E11+V11-_xlfn.XLOOKUP(A11,'[1]DATOS PBI Artículos'!$A$4:$A$4,'[1]DATOS PBI Artículos'!$W$4:$W$4))/N11&gt;ROUNDUP([1]CRITERIOS!$M$16/(IF(COUNTIF([1]CRITERIOS!$BG$11:$BG$201,L11)&gt;=1,_xlfn.XLOOKUP(ARTÍCULOS!L11,[1]CRITERIOS!$BG$11:$BG$201,[1]CRITERIOS!$BJ$11:$BJ$201),_xlfn.XLOOKUP(ARTÍCULOS!C11,[1]CRITERIOS!$K$25:$K$42,[1]CRITERIOS!$M$25:$M$42))),0),ROUNDUP([1]CRITERIOS!$M$16/(IF(COUNTIF([1]CRITERIOS!$BG$11:$BG$201,L11)&gt;=1,_xlfn.XLOOKUP(ARTÍCULOS!L11,[1]CRITERIOS!$BG$11:$BG$201:#REF!,[1]CRITERIOS!$BJ$11:$BJ$201),_xlfn.XLOOKUP(ARTÍCULOS!C11,[1]CRITERIOS!$K$25:$K$42,[1]CRITERIOS!$M$25:$M$42))),0),(E11+V11-_xlfn.XLOOKUP(A11,'[1]DATOS PBI Artículos'!$A$4:$A$4,'[1]DATOS PBI Artículos'!$W$4:$W$4))/N11)</f>
        <v>#VALUE!</v>
      </c>
      <c r="AC11" s="33" t="e">
        <f>IF(N11=0,"",(ROUNDUP((N11/2)/(_xlfn.XLOOKUP(A11,'[1]DATOS PBI Artículos'!$A$4:$A$4,'[1]DATOS PBI Artículos'!$Z$4:$Z$4)*_xlfn.XLOOKUP(_xlfn.XLOOKUP(A11,'[1]DATOS PBI Artículos'!$A$4:$A$4,'[1]DATOS PBI Artículos'!$Y$4:$Y$4),[1]CRITERIOS!$P$79:$P$123,[1]CRITERIOS!$S$79:$S$123)),0)*[1]CRITERIOS!$M$80*([1]CRITERIOS!$M$110/[1]CRITERIOS!$M$86)+(_xlfn.XLOOKUP(A11,'[1]DATOS PBI Artículos'!$A$4:$A$4,'[1]DATOS PBI Artículos'!$AA$4:$AA$4)*([1]CRITERIOS!$M$95+[1]CRITERIOS!$M$98)))/N11)</f>
        <v>#N/A</v>
      </c>
      <c r="AD11" s="33" t="e">
        <f>IF(N11=0,"",(ROUNDUP((N11/2)/(_xlfn.XLOOKUP(A11,'[1]DATOS PBI Artículos'!$A$4:$A$4,'[1]DATOS PBI Artículos'!$Z$4:$Z$4)*_xlfn.XLOOKUP(_xlfn.XLOOKUP(A11,'[1]DATOS PBI Artículos'!$A$4:$A$4,'[1]DATOS PBI Artículos'!$Y$4:$Y$4),[1]CRITERIOS!$P$79:$P$123,[1]CRITERIOS!$S$79:$S$123)),0)*[1]CRITERIOS!$M$80*([1]CRITERIOS!$M$89*[1]CRITERIOS!$M$92)+((_xlfn.XLOOKUP(A11,'[1]DATOS PBI Artículos'!$A$4:$A$4,'[1]DATOS PBI Artículos'!$AA$4:$AA$4)/2)*([1]CRITERIOS!$M$95+[1]CRITERIOS!$M$98)))/N11)</f>
        <v>#N/A</v>
      </c>
      <c r="AE11" s="39" t="str">
        <f>IF($R11="MTO","",
IF($H11=0,ROUNDUP(((_xlfn.XLOOKUP($A11,'[1]DATOS PBI Artículos'!$A:$A,'[1]DATOS PBI Artículos'!$AL:$AL))/(_xlfn.XLOOKUP($AF$1,[1]CRITERIOS!$S$16:$S$39,[1]CRITERIOS!$Y$16:$Y$39))*$J11+$Z11)/$G11,0)*$G11,
((_xlfn.XLOOKUP($A11,'[1]DATOS PBI Artículos'!$A:$A,'[1]DATOS PBI Artículos'!$AL:$AL))/(_xlfn.XLOOKUP($AF$1,[1]CRITERIOS!$S$16:$S$39,[1]CRITERIOS!$Y$16:$Y$39))*$J11+$Z11)))</f>
        <v/>
      </c>
      <c r="AG11" s="39" t="str">
        <f>IF($R11="MTO","",
IF($H11=0,ROUNDUP(((_xlfn.XLOOKUP($A11,'[1]DATOS PBI Artículos'!$A:$A,'[1]DATOS PBI Artículos'!$AM:$AM))/(_xlfn.XLOOKUP($AH$1,[1]CRITERIOS!$S$16:$S$39,[1]CRITERIOS!$Y$16:$Y$39))*$J11+$Z11)/$G11,0)*$G11,
((_xlfn.XLOOKUP($A11,'[1]DATOS PBI Artículos'!$A:$A,'[1]DATOS PBI Artículos'!$AM:$AM))/(_xlfn.XLOOKUP($AH$1,[1]CRITERIOS!$S$16:$S$39,[1]CRITERIOS!$Y$16:$Y$39))*$J11+$Z11)))</f>
        <v/>
      </c>
      <c r="AI11" s="39" t="str">
        <f>IF($R11="MTO","",
IF($H11=0,ROUNDUP(((_xlfn.XLOOKUP($A11,'[1]DATOS PBI Artículos'!$A:$A,'[1]DATOS PBI Artículos'!$AN:$AN))/(_xlfn.XLOOKUP($AJ$1,[1]CRITERIOS!$S$16:$S$39,[1]CRITERIOS!$Y$16:$Y$39))*$J11+$Z11)/$G11,0)*$G11,
((_xlfn.XLOOKUP($A11,'[1]DATOS PBI Artículos'!$A:$A,'[1]DATOS PBI Artículos'!$AN:$AN))/(_xlfn.XLOOKUP($AJ$1,[1]CRITERIOS!$S$16:$S$39,[1]CRITERIOS!$Y$16:$Y$39))*$J11+$Z11)))</f>
        <v/>
      </c>
      <c r="AK11" s="39" t="str">
        <f>IF($R11="MTO","",
IF($H11=0,ROUNDUP(((_xlfn.XLOOKUP($A11,'[1]DATOS PBI Artículos'!$A:$A,'[1]DATOS PBI Artículos'!$AO:$AO))/(_xlfn.XLOOKUP($AL$1,[1]CRITERIOS!$S$16:$S$39,[1]CRITERIOS!$Y$16:$Y$39))*$J11+$Z11)/$G11,0)*$G11,
((_xlfn.XLOOKUP($A11,'[1]DATOS PBI Artículos'!$A:$A,'[1]DATOS PBI Artículos'!$AO:$AO))/(_xlfn.XLOOKUP($AL$1,[1]CRITERIOS!$S$16:$S$39,[1]CRITERIOS!$Y$16:$Y$39))*$J11+$Z11)))</f>
        <v/>
      </c>
    </row>
    <row r="12" spans="1:38" ht="25.8" x14ac:dyDescent="0.5">
      <c r="A12" s="32" t="s">
        <v>38</v>
      </c>
      <c r="B12" s="33">
        <f>_xlfn.XLOOKUP($A12,'[1]DATOS PBI Artículos'!A:A,'[1]DATOS PBI Artículos'!B:B)</f>
        <v>0</v>
      </c>
      <c r="C12" s="33" t="str">
        <f>_xlfn.XLOOKUP($A12,'[1]DATOS PBI Artículos'!A:A,'[1]DATOS PBI Artículos'!C:C)</f>
        <v>UA01</v>
      </c>
      <c r="D12" s="33">
        <f>_xlfn.XLOOKUP(A12,'[1]DATOS PBI Artículos'!A:A,'[1]DATOS PBI Artículos'!T:T)</f>
        <v>18</v>
      </c>
      <c r="E12" s="34">
        <f>IF(_xlfn.XLOOKUP($A12,'[1]DATOS PBI Artículos'!A:A,'[1]DATOS PBI Artículos'!AK:AK)="",_xlfn.XLOOKUP($A12,'[1]DATOS PBI Artículos'!A:A,'[1]DATOS PBI Artículos'!AJ:AJ),_xlfn.XLOOKUP($A12,'[1]DATOS PBI Artículos'!A:A,'[1]DATOS PBI Artículos'!AK:AK))</f>
        <v>800000</v>
      </c>
      <c r="F12" s="35">
        <f>_xlfn.XLOOKUP($A12,'[1]DATOS PBI Artículos'!A:A,'[1]DATOS PBI Artículos'!AP:AP)</f>
        <v>4.375</v>
      </c>
      <c r="G12" s="34">
        <f>_xlfn.XLOOKUP($A12,'[1]DATOS PBI Artículos'!A:A,'[1]DATOS PBI Artículos'!AR:AR)</f>
        <v>40000</v>
      </c>
      <c r="H12" s="34">
        <f>_xlfn.XLOOKUP($A12,'[1]DATOS PBI Artículos'!A:A,'[1]DATOS PBI Artículos'!AT:AT)</f>
        <v>15718.104959867516</v>
      </c>
      <c r="I12" s="34">
        <f>_xlfn.XLOOKUP($A12,'[1]DATOS PBI Artículos'!A:A,'[1]DATOS PBI Artículos'!AS:AS)</f>
        <v>40000</v>
      </c>
      <c r="J12" s="35">
        <f>IF(COUNTIF([1]CRITERIOS!$F$179:$F$199,$A12)&gt;=1,
 IF(O12&lt;&gt;"",
    (O12/_xlfn.XLOOKUP(CONCATENATE(A12,L12),[1]MÁQUINAS!A:A,[1]MÁQUINAS!D:D))/24,
    (N12/_xlfn.XLOOKUP(CONCATENATE(A12,L12),[1]MÁQUINAS!A:A,[1]MÁQUINAS!D:D))/24),
  _xlfn.XLOOKUP($A12,'[1]DATOS PBI Artículos'!A:A,'[1]DATOS PBI Artículos'!AU:AU))</f>
        <v>23.129870129870127</v>
      </c>
      <c r="K12" s="36">
        <f>_xlfn.XLOOKUP($A12,'[1]DATOS PBI Artículos'!A:A,'[1]DATOS PBI Artículos'!AV:AV)</f>
        <v>7.3634064080614374</v>
      </c>
      <c r="L12" s="33">
        <f>_xlfn.XLOOKUP(A12,[1]MÁQUINAS!B:B,[1]MÁQUINAS!C:C)</f>
        <v>500</v>
      </c>
      <c r="M12" s="34">
        <f t="array" ref="M12">_xlfn.XLOOKUP(A12,'[1]DATOS PBI Artículos'!A:A,'[1]DATOS PBI Artículos'!AX:$AX)</f>
        <v>101425.75748626106</v>
      </c>
      <c r="N12" s="37">
        <f>IF(I12="DV",
E12,
IF(COUNTIF([1]CRITERIOS!$I$179:$I$199,$A12)&gt;=1,
_xlfn.XLOOKUP($A12,[1]CRITERIOS!$I$179:$I$199,[1]CRITERIOS!$J$179:$J$199),
IF(COUNTIF([1]CRITERIOS!$L$179:$L$199,$A12)&gt;=1,
_xlfn.CEILING.MATH(IF($M12&gt;$E12,
$E12,
IF($M12&lt;$E12/ROUNDDOWN([1]CRITERIOS!$M$16/_xlfn.XLOOKUP($C12,[1]CRITERIOS!$K$25:$K$42,[1]CRITERIOS!$M$25:$M$42),
1),
E12/ROUNDDOWN([1]CRITERIOS!$M$16/_xlfn.XLOOKUP($C12,[1]CRITERIOS!$K$25:$K$42,[1]CRITERIOS!$M$25:$M$42),
1),
$M12)),
_xlfn.XLOOKUP($A12,[1]CRITERIOS!$L$179:$L$200,[1]CRITERIOS!$M$179:$M$200)),
_xlfn.CEILING.MATH(IF($M12&gt;$E12,
$E12,
IF($M12&lt;$E12/ROUNDDOWN([1]CRITERIOS!$M$16/_xlfn.XLOOKUP($C12,[1]CRITERIOS!$K$25:$K$42,[1]CRITERIOS!$M$25:$M$42),
1),
E12/ROUNDDOWN([1]CRITERIOS!$M$16/_xlfn.XLOOKUP($C12,[1]CRITERIOS!$K$25:$K$42,[1]CRITERIOS!$M$25:$M$42),
1),
$M12)),_xlfn.XLOOKUP(A12,'[1]DATOS PBI Artículos'!A:A,'[1]DATOS PBI Artículos'!Z:Z
)))))</f>
        <v>217000</v>
      </c>
      <c r="Q12" s="38">
        <f>IF(AND(O12="",N12=0),
0,
   IF(COUNTIF([1]CRITERIOS!$F$179:$F$199,$A12)&gt;=1,
   1,
   IF(R12="MTO",
      $D12,
      ROUNDUP(
                    IF(($E12-SUMIF('[1]DATOS PBI Artículos'!A:A,A12,'[1]DATOS PBI Artículos'!X:X)+($V12-_xlfn.XLOOKUP(A12,'[1]DATOS PBI Artículos'!A:A,'[1]DATOS PBI Artículos'!W:W)))&lt;0,
                    0,
                    IF(($E12-SUMIF('[1]DATOS PBI Artículos'!A:A,A12,'[1]DATOS PBI Artículos'!X:X)+$V12-_xlfn.XLOOKUP($A12,'[1]DATOS PBI Artículos'!A:A,'[1]DATOS PBI Artículos'!W:W))/IF($O12="",$N12,$O12)&gt;ROUNDUP([1]CRITERIOS!$M$16/(IF(COUNTIF([1]CRITERIOS!$BG$11:$BG$201,L12)&gt;=1,_xlfn.XLOOKUP($C12,[1]CRITERIOS!$K$25:$K$42,[1]CRITERIOS!$M$25:$M$42),_xlfn.XLOOKUP($C12,[1]CRITERIOS!$K$25:$K$42,[1]CRITERIOS!$M$25:$M$42))),0),
                    ROUNDUP([1]CRITERIOS!$M$16/(IF(COUNTIF([1]CRITERIOS!$BG$11:$BG$201,$L12)&gt;=1,_xlfn.XLOOKUP($C12,[1]CRITERIOS!$K$25:$K$42,[1]CRITERIOS!$M$25:$M$42),_xlfn.XLOOKUP($C12,[1]CRITERIOS!$K$25:$K$42,[1]CRITERIOS!$M$25:$M$42))),0),
                    (E12+V12-SUMIF('[1]DATOS PBI Artículos'!A:A,A12,'[1]DATOS PBI Artículos'!X:X)-_xlfn.XLOOKUP(A12,'[1]DATOS PBI Artículos'!A:A,'[1]DATOS PBI Artículos'!W:W))/IF($O12="",$N12,$O12))),0))))</f>
        <v>4</v>
      </c>
      <c r="R12" s="33" t="str">
        <f>IF(U12&lt;&gt;"",U12,IF(F12="DV","MTO",IF(N12=0,"MTO",_xlfn.XLOOKUP(CONCATENATE(S12,T12),[1]CRITERIOS!$K$160:$K$168,[1]CRITERIOS!$N$160:$N$168))))</f>
        <v>MTS</v>
      </c>
      <c r="S12" s="33" t="str">
        <f>IF(G12="DV","MTO",IF(N12=0,"MTO",IF(OR(AND(N12=0,O12=""),IF(O12="",G12/N12,G12/O12)&gt;[1]CRITERIOS!$G$163),"MTO",IF(IF(O12="",G12/N12,G12/O12)&lt;[1]CRITERIOS!$H$161,"MTS","MTOS"))))</f>
        <v>MTS</v>
      </c>
      <c r="T12" s="33" t="str">
        <f>IF(F12="DV","MTO",IF(OR(AND($N12=0,O12=""),$F12/$J12&gt;[1]CRITERIOS!$G$170,$F12="DV"),"MTO",IF($F12/$J12&lt;[1]CRITERIOS!$H$168,"MTS","MTOS")))</f>
        <v>MTS</v>
      </c>
      <c r="V12" s="34">
        <f t="shared" si="0"/>
        <v>290024.02053512132</v>
      </c>
      <c r="X12" s="34">
        <f t="shared" si="1"/>
        <v>507024.02053512132</v>
      </c>
      <c r="Y12" s="34">
        <f t="shared" si="2"/>
        <v>187050.92220488016</v>
      </c>
      <c r="Z12" s="34">
        <f>IF($R12="MTO",
0,
($H12+$K12*($E12/[1]CRITERIOS!$M$16))/[1]CRITERIOS!$X$48)</f>
        <v>78550.92220488016</v>
      </c>
      <c r="AA12" s="34" t="e">
        <f>ROUNDUP(($Y12/_xlfn.XLOOKUP($A12,'[1]DATOS PBI Artículos'!$A$4:$A$4,'[1]DATOS PBI Artículos'!$Z$4:$Z$4))/_xlfn.XLOOKUP(_xlfn.XLOOKUP($A12,'[1]DATOS PBI Artículos'!$A$4:$A$4,'[1]DATOS PBI Artículos'!$Y$4:$Y$4),[1]CRITERIOS!$P$79:$P$123,[1]CRITERIOS!$S$79:$S$123,),0)</f>
        <v>#N/A</v>
      </c>
      <c r="AB12" s="33" t="e">
        <f t="array" ref="AB12">IF((E12+V12-_xlfn.XLOOKUP(A12,'[1]DATOS PBI Artículos'!$A$4:$A$4,'[1]DATOS PBI Artículos'!$W$4:$W$4))/N12&gt;ROUNDUP([1]CRITERIOS!$M$16/(IF(COUNTIF([1]CRITERIOS!$BG$11:$BG$201,L12)&gt;=1,_xlfn.XLOOKUP(ARTÍCULOS!L12,[1]CRITERIOS!$BG$11:$BG$201,[1]CRITERIOS!$BJ$11:$BJ$201),_xlfn.XLOOKUP(ARTÍCULOS!C12,[1]CRITERIOS!$K$25:$K$42,[1]CRITERIOS!$M$25:$M$42))),0),ROUNDUP([1]CRITERIOS!$M$16/(IF(COUNTIF([1]CRITERIOS!$BG$11:$BG$201,L12)&gt;=1,_xlfn.XLOOKUP(ARTÍCULOS!L12,[1]CRITERIOS!$BG$11:$BG$201:#REF!,[1]CRITERIOS!$BJ$11:$BJ$201),_xlfn.XLOOKUP(ARTÍCULOS!C12,[1]CRITERIOS!$K$25:$K$42,[1]CRITERIOS!$M$25:$M$42))),0),(E12+V12-_xlfn.XLOOKUP(A12,'[1]DATOS PBI Artículos'!$A$4:$A$4,'[1]DATOS PBI Artículos'!$W$4:$W$4))/N12)</f>
        <v>#N/A</v>
      </c>
      <c r="AC12" s="33" t="e">
        <f>IF(N12=0,"",(ROUNDUP((N12/2)/(_xlfn.XLOOKUP(A12,'[1]DATOS PBI Artículos'!$A$4:$A$4,'[1]DATOS PBI Artículos'!$Z$4:$Z$4)*_xlfn.XLOOKUP(_xlfn.XLOOKUP(A12,'[1]DATOS PBI Artículos'!$A$4:$A$4,'[1]DATOS PBI Artículos'!$Y$4:$Y$4),[1]CRITERIOS!$P$79:$P$123,[1]CRITERIOS!$S$79:$S$123)),0)*[1]CRITERIOS!$M$80*([1]CRITERIOS!$M$110/[1]CRITERIOS!$M$86)+(_xlfn.XLOOKUP(A12,'[1]DATOS PBI Artículos'!$A$4:$A$4,'[1]DATOS PBI Artículos'!$AA$4:$AA$4)*([1]CRITERIOS!$M$95+[1]CRITERIOS!$M$98)))/N12)</f>
        <v>#N/A</v>
      </c>
      <c r="AD12" s="33" t="e">
        <f>IF(N12=0,"",(ROUNDUP((N12/2)/(_xlfn.XLOOKUP(A12,'[1]DATOS PBI Artículos'!$A$4:$A$4,'[1]DATOS PBI Artículos'!$Z$4:$Z$4)*_xlfn.XLOOKUP(_xlfn.XLOOKUP(A12,'[1]DATOS PBI Artículos'!$A$4:$A$4,'[1]DATOS PBI Artículos'!$Y$4:$Y$4),[1]CRITERIOS!$P$79:$P$123,[1]CRITERIOS!$S$79:$S$123)),0)*[1]CRITERIOS!$M$80*([1]CRITERIOS!$M$89*[1]CRITERIOS!$M$92)+((_xlfn.XLOOKUP(A12,'[1]DATOS PBI Artículos'!$A$4:$A$4,'[1]DATOS PBI Artículos'!$AA$4:$AA$4)/2)*([1]CRITERIOS!$M$95+[1]CRITERIOS!$M$98)))/N12)</f>
        <v>#N/A</v>
      </c>
      <c r="AE12" s="39">
        <f>IF($R12="MTO","",
IF($H12=0,ROUNDUP(((_xlfn.XLOOKUP($A12,'[1]DATOS PBI Artículos'!$A:$A,'[1]DATOS PBI Artículos'!$AL:$AL))/(_xlfn.XLOOKUP($AF$1,[1]CRITERIOS!$S$16:$S$39,[1]CRITERIOS!$Y$16:$Y$39))*$J12+$Z12)/$G12,0)*$G12,
((_xlfn.XLOOKUP($A12,'[1]DATOS PBI Artículos'!$A:$A,'[1]DATOS PBI Artículos'!$AL:$AL))/(_xlfn.XLOOKUP($AF$1,[1]CRITERIOS!$S$16:$S$39,[1]CRITERIOS!$Y$16:$Y$39))*$J12+$Z12)))</f>
        <v>363897.77519376902</v>
      </c>
      <c r="AG12" s="39">
        <f>IF($R12="MTO","",
IF($H12=0,ROUNDUP(((_xlfn.XLOOKUP($A12,'[1]DATOS PBI Artículos'!$A:$A,'[1]DATOS PBI Artículos'!$AM:$AM))/(_xlfn.XLOOKUP($AH$1,[1]CRITERIOS!$S$16:$S$39,[1]CRITERIOS!$Y$16:$Y$39))*$J12+$Z12)/$G12,0)*$G12,
((_xlfn.XLOOKUP($A12,'[1]DATOS PBI Artículos'!$A:$A,'[1]DATOS PBI Artículos'!$AM:$AM))/(_xlfn.XLOOKUP($AH$1,[1]CRITERIOS!$S$16:$S$39,[1]CRITERIOS!$Y$16:$Y$39))*$J12+$Z12)))</f>
        <v>283521.12705264974</v>
      </c>
      <c r="AI12" s="39">
        <f>IF($R12="MTO","",
IF($H12=0,ROUNDUP(((_xlfn.XLOOKUP($A12,'[1]DATOS PBI Artículos'!$A:$A,'[1]DATOS PBI Artículos'!$AN:$AN))/(_xlfn.XLOOKUP($AJ$1,[1]CRITERIOS!$S$16:$S$39,[1]CRITERIOS!$Y$16:$Y$39))*$J12+$Z12)/$G12,0)*$G12,
((_xlfn.XLOOKUP($A12,'[1]DATOS PBI Artículos'!$A:$A,'[1]DATOS PBI Artículos'!$AN:$AN))/(_xlfn.XLOOKUP($AJ$1,[1]CRITERIOS!$S$16:$S$39,[1]CRITERIOS!$Y$16:$Y$39))*$J12+$Z12)))</f>
        <v>324053.81807384116</v>
      </c>
      <c r="AK12" s="39">
        <f>IF($R12="MTO","",
IF($H12=0,ROUNDUP(((_xlfn.XLOOKUP($A12,'[1]DATOS PBI Artículos'!$A:$A,'[1]DATOS PBI Artículos'!$AO:$AO))/(_xlfn.XLOOKUP($AL$1,[1]CRITERIOS!$S$16:$S$39,[1]CRITERIOS!$Y$16:$Y$39))*$J12+$Z12)/$G12,0)*$G12,
((_xlfn.XLOOKUP($A12,'[1]DATOS PBI Artículos'!$A:$A,'[1]DATOS PBI Artículos'!$AO:$AO))/(_xlfn.XLOOKUP($AL$1,[1]CRITERIOS!$S$16:$S$39,[1]CRITERIOS!$Y$16:$Y$39))*$J12+$Z12)))</f>
        <v>345928.07372046448</v>
      </c>
    </row>
    <row r="13" spans="1:38" ht="25.8" x14ac:dyDescent="0.5">
      <c r="A13" s="32">
        <v>453298</v>
      </c>
      <c r="B13" s="33">
        <f>_xlfn.XLOOKUP($A13,'[1]DATOS PBI Artículos'!A:A,'[1]DATOS PBI Artículos'!B:B)</f>
        <v>0</v>
      </c>
      <c r="C13" s="33" t="str">
        <f>_xlfn.XLOOKUP($A13,'[1]DATOS PBI Artículos'!A:A,'[1]DATOS PBI Artículos'!C:C)</f>
        <v>UA01</v>
      </c>
      <c r="D13" s="33">
        <f>_xlfn.XLOOKUP(A13,'[1]DATOS PBI Artículos'!A:A,'[1]DATOS PBI Artículos'!T:T)</f>
        <v>7</v>
      </c>
      <c r="E13" s="34">
        <f>IF(_xlfn.XLOOKUP($A13,'[1]DATOS PBI Artículos'!A:A,'[1]DATOS PBI Artículos'!AK:AK)="",_xlfn.XLOOKUP($A13,'[1]DATOS PBI Artículos'!A:A,'[1]DATOS PBI Artículos'!AJ:AJ),_xlfn.XLOOKUP($A13,'[1]DATOS PBI Artículos'!A:A,'[1]DATOS PBI Artículos'!AK:AK))</f>
        <v>800000</v>
      </c>
      <c r="F13" s="35">
        <f>_xlfn.XLOOKUP($A13,'[1]DATOS PBI Artículos'!A:A,'[1]DATOS PBI Artículos'!AP:AP)</f>
        <v>9.8333333333299997</v>
      </c>
      <c r="G13" s="34">
        <f>_xlfn.XLOOKUP($A13,'[1]DATOS PBI Artículos'!A:A,'[1]DATOS PBI Artículos'!AR:AR)</f>
        <v>100000</v>
      </c>
      <c r="H13" s="34">
        <f>_xlfn.XLOOKUP($A13,'[1]DATOS PBI Artículos'!A:A,'[1]DATOS PBI Artículos'!AT:AT)</f>
        <v>47559.486560567093</v>
      </c>
      <c r="I13" s="34">
        <f>_xlfn.XLOOKUP($A13,'[1]DATOS PBI Artículos'!A:A,'[1]DATOS PBI Artículos'!AS:AS)</f>
        <v>50000</v>
      </c>
      <c r="J13" s="35">
        <f>IF(COUNTIF([1]CRITERIOS!$F$179:$F$199,$A13)&gt;=1,
 IF(O13&lt;&gt;"",
    (O13/_xlfn.XLOOKUP(CONCATENATE(A13,L13),[1]MÁQUINAS!A:A,[1]MÁQUINAS!D:D))/24,
    (N13/_xlfn.XLOOKUP(CONCATENATE(A13,L13),[1]MÁQUINAS!A:A,[1]MÁQUINAS!D:D))/24),
  _xlfn.XLOOKUP($A13,'[1]DATOS PBI Artículos'!A:A,'[1]DATOS PBI Artículos'!AU:AU))</f>
        <v>3.1944444444444446</v>
      </c>
      <c r="K13" s="36">
        <f>_xlfn.XLOOKUP($A13,'[1]DATOS PBI Artículos'!A:A,'[1]DATOS PBI Artículos'!AV:AV)</f>
        <v>3.6444548676106931</v>
      </c>
      <c r="L13" s="33">
        <f>_xlfn.XLOOKUP(A13,[1]MÁQUINAS!B:B,[1]MÁQUINAS!C:C)</f>
        <v>405</v>
      </c>
      <c r="M13" s="34">
        <f t="array" ref="M13">_xlfn.XLOOKUP(A13,'[1]DATOS PBI Artículos'!A:A,'[1]DATOS PBI Artículos'!AX:$AX)</f>
        <v>226484.71534643078</v>
      </c>
      <c r="N13" s="37">
        <f>IF(I13="DV",
E13,
IF(COUNTIF([1]CRITERIOS!$I$179:$I$199,$A13)&gt;=1,
_xlfn.XLOOKUP($A13,[1]CRITERIOS!$I$179:$I$199,[1]CRITERIOS!$J$179:$J$199),
IF(COUNTIF([1]CRITERIOS!$L$179:$L$199,$A13)&gt;=1,
_xlfn.CEILING.MATH(IF($M13&gt;$E13,
$E13,
IF($M13&lt;$E13/ROUNDDOWN([1]CRITERIOS!$M$16/_xlfn.XLOOKUP($C13,[1]CRITERIOS!$K$25:$K$42,[1]CRITERIOS!$M$25:$M$42),
1),
E13/ROUNDDOWN([1]CRITERIOS!$M$16/_xlfn.XLOOKUP($C13,[1]CRITERIOS!$K$25:$K$42,[1]CRITERIOS!$M$25:$M$42),
1),
$M13)),
_xlfn.XLOOKUP($A13,[1]CRITERIOS!$L$179:$L$200,[1]CRITERIOS!$M$179:$M$200)),
_xlfn.CEILING.MATH(IF($M13&gt;$E13,
$E13,
IF($M13&lt;$E13/ROUNDDOWN([1]CRITERIOS!$M$16/_xlfn.XLOOKUP($C13,[1]CRITERIOS!$K$25:$K$42,[1]CRITERIOS!$M$25:$M$42),
1),
E13/ROUNDDOWN([1]CRITERIOS!$M$16/_xlfn.XLOOKUP($C13,[1]CRITERIOS!$K$25:$K$42,[1]CRITERIOS!$M$25:$M$42),
1),
$M13)),_xlfn.XLOOKUP(A13,'[1]DATOS PBI Artículos'!A:A,'[1]DATOS PBI Artículos'!Z:Z
)))))</f>
        <v>230000</v>
      </c>
      <c r="Q13" s="38">
        <f>IF(AND(O13="",N13=0),
0,
   IF(COUNTIF([1]CRITERIOS!$F$179:$F$199,$A13)&gt;=1,
   1,
   IF(R13="MTO",
      $D13,
      ROUNDUP(
                    IF(($E13-SUMIF('[1]DATOS PBI Artículos'!A:A,A13,'[1]DATOS PBI Artículos'!X:X)+($V13-_xlfn.XLOOKUP(A13,'[1]DATOS PBI Artículos'!A:A,'[1]DATOS PBI Artículos'!W:W)))&lt;0,
                    0,
                    IF(($E13-SUMIF('[1]DATOS PBI Artículos'!A:A,A13,'[1]DATOS PBI Artículos'!X:X)+$V13-_xlfn.XLOOKUP($A13,'[1]DATOS PBI Artículos'!A:A,'[1]DATOS PBI Artículos'!W:W))/IF($O13="",$N13,$O13)&gt;ROUNDUP([1]CRITERIOS!$M$16/(IF(COUNTIF([1]CRITERIOS!$BG$11:$BG$201,L13)&gt;=1,_xlfn.XLOOKUP($C13,[1]CRITERIOS!$K$25:$K$42,[1]CRITERIOS!$M$25:$M$42),_xlfn.XLOOKUP($C13,[1]CRITERIOS!$K$25:$K$42,[1]CRITERIOS!$M$25:$M$42))),0),
                    ROUNDUP([1]CRITERIOS!$M$16/(IF(COUNTIF([1]CRITERIOS!$BG$11:$BG$201,$L13)&gt;=1,_xlfn.XLOOKUP($C13,[1]CRITERIOS!$K$25:$K$42,[1]CRITERIOS!$M$25:$M$42),_xlfn.XLOOKUP($C13,[1]CRITERIOS!$K$25:$K$42,[1]CRITERIOS!$M$25:$M$42))),0),
                    (E13+V13-SUMIF('[1]DATOS PBI Artículos'!A:A,A13,'[1]DATOS PBI Artículos'!X:X)-_xlfn.XLOOKUP(A13,'[1]DATOS PBI Artículos'!A:A,'[1]DATOS PBI Artículos'!W:W))/IF($O13="",$N13,$O13))),0))))</f>
        <v>1</v>
      </c>
      <c r="R13" s="33" t="str">
        <f>IF(U13&lt;&gt;"",U13,IF(F13="DV","MTO",IF(N13=0,"MTO",_xlfn.XLOOKUP(CONCATENATE(S13,T13),[1]CRITERIOS!$K$160:$K$168,[1]CRITERIOS!$N$160:$N$168))))</f>
        <v>MTS</v>
      </c>
      <c r="S13" s="33" t="str">
        <f>IF(G13="DV","MTO",IF(N13=0,"MTO",IF(OR(AND(N13=0,O13=""),IF(O13="",G13/N13,G13/O13)&gt;[1]CRITERIOS!$G$163),"MTO",IF(IF(O13="",G13/N13,G13/O13)&lt;[1]CRITERIOS!$H$161,"MTS","MTOS"))))</f>
        <v>MTS</v>
      </c>
      <c r="T13" s="33" t="str">
        <f>IF(F13="DV","MTO",IF(OR(AND($N13=0,O13=""),$F13/$J13&gt;[1]CRITERIOS!$G$170,$F13="DV"),"MTO",IF($F13/$J13&lt;[1]CRITERIOS!$H$168,"MTS","MTOS")))</f>
        <v>MTO</v>
      </c>
      <c r="V13" s="34">
        <f t="shared" si="0"/>
        <v>104513.93555212667</v>
      </c>
      <c r="X13" s="34">
        <f t="shared" si="1"/>
        <v>334513.93555212667</v>
      </c>
      <c r="Y13" s="34">
        <f t="shared" si="2"/>
        <v>187028.05984590098</v>
      </c>
      <c r="Z13" s="34">
        <f>IF($R13="MTO",
0,
($H13+$K13*($E13/[1]CRITERIOS!$M$16))/[1]CRITERIOS!$X$48)</f>
        <v>72028.059845900963</v>
      </c>
      <c r="AA13" s="34" t="e">
        <f>ROUNDUP(($Y13/_xlfn.XLOOKUP($A13,'[1]DATOS PBI Artículos'!$A$4:$A$4,'[1]DATOS PBI Artículos'!$Z$4:$Z$4))/_xlfn.XLOOKUP(_xlfn.XLOOKUP($A13,'[1]DATOS PBI Artículos'!$A$4:$A$4,'[1]DATOS PBI Artículos'!$Y$4:$Y$4),[1]CRITERIOS!$P$79:$P$123,[1]CRITERIOS!$S$79:$S$123,),0)</f>
        <v>#N/A</v>
      </c>
      <c r="AB13" s="33" t="e">
        <f t="array" ref="AB13">IF((E13+V13-_xlfn.XLOOKUP(A13,'[1]DATOS PBI Artículos'!$A$4:$A$4,'[1]DATOS PBI Artículos'!$W$4:$W$4))/N13&gt;ROUNDUP([1]CRITERIOS!$M$16/(IF(COUNTIF([1]CRITERIOS!$BG$11:$BG$201,L13)&gt;=1,_xlfn.XLOOKUP(ARTÍCULOS!L13,[1]CRITERIOS!$BG$11:$BG$201,[1]CRITERIOS!$BJ$11:$BJ$201),_xlfn.XLOOKUP(ARTÍCULOS!C13,[1]CRITERIOS!$K$25:$K$42,[1]CRITERIOS!$M$25:$M$42))),0),ROUNDUP([1]CRITERIOS!$M$16/(IF(COUNTIF([1]CRITERIOS!$BG$11:$BG$201,L13)&gt;=1,_xlfn.XLOOKUP(ARTÍCULOS!L13,[1]CRITERIOS!$BG$11:$BG$201:#REF!,[1]CRITERIOS!$BJ$11:$BJ$201),_xlfn.XLOOKUP(ARTÍCULOS!C13,[1]CRITERIOS!$K$25:$K$42,[1]CRITERIOS!$M$25:$M$42))),0),(E13+V13-_xlfn.XLOOKUP(A13,'[1]DATOS PBI Artículos'!$A$4:$A$4,'[1]DATOS PBI Artículos'!$W$4:$W$4))/N13)</f>
        <v>#N/A</v>
      </c>
      <c r="AC13" s="33" t="e">
        <f>IF(N13=0,"",(ROUNDUP((N13/2)/(_xlfn.XLOOKUP(A13,'[1]DATOS PBI Artículos'!$A$4:$A$4,'[1]DATOS PBI Artículos'!$Z$4:$Z$4)*_xlfn.XLOOKUP(_xlfn.XLOOKUP(A13,'[1]DATOS PBI Artículos'!$A$4:$A$4,'[1]DATOS PBI Artículos'!$Y$4:$Y$4),[1]CRITERIOS!$P$79:$P$123,[1]CRITERIOS!$S$79:$S$123)),0)*[1]CRITERIOS!$M$80*([1]CRITERIOS!$M$110/[1]CRITERIOS!$M$86)+(_xlfn.XLOOKUP(A13,'[1]DATOS PBI Artículos'!$A$4:$A$4,'[1]DATOS PBI Artículos'!$AA$4:$AA$4)*([1]CRITERIOS!$M$95+[1]CRITERIOS!$M$98)))/N13)</f>
        <v>#N/A</v>
      </c>
      <c r="AD13" s="33" t="e">
        <f>IF(N13=0,"",(ROUNDUP((N13/2)/(_xlfn.XLOOKUP(A13,'[1]DATOS PBI Artículos'!$A$4:$A$4,'[1]DATOS PBI Artículos'!$Z$4:$Z$4)*_xlfn.XLOOKUP(_xlfn.XLOOKUP(A13,'[1]DATOS PBI Artículos'!$A$4:$A$4,'[1]DATOS PBI Artículos'!$Y$4:$Y$4),[1]CRITERIOS!$P$79:$P$123,[1]CRITERIOS!$S$79:$S$123)),0)*[1]CRITERIOS!$M$80*([1]CRITERIOS!$M$89*[1]CRITERIOS!$M$92)+((_xlfn.XLOOKUP(A13,'[1]DATOS PBI Artículos'!$A$4:$A$4,'[1]DATOS PBI Artículos'!$AA$4:$AA$4)/2)*([1]CRITERIOS!$M$95+[1]CRITERIOS!$M$98)))/N13)</f>
        <v>#N/A</v>
      </c>
      <c r="AE13" s="39">
        <f>IF($R13="MTO","",
IF($H13=0,ROUNDUP(((_xlfn.XLOOKUP($A13,'[1]DATOS PBI Artículos'!$A:$A,'[1]DATOS PBI Artículos'!$AL:$AL))/(_xlfn.XLOOKUP($AF$1,[1]CRITERIOS!$S$16:$S$39,[1]CRITERIOS!$Y$16:$Y$39))*$J13+$Z13)/$G13,0)*$G13,
((_xlfn.XLOOKUP($A13,'[1]DATOS PBI Artículos'!$A:$A,'[1]DATOS PBI Artículos'!$AL:$AL))/(_xlfn.XLOOKUP($AF$1,[1]CRITERIOS!$S$16:$S$39,[1]CRITERIOS!$Y$16:$Y$39))*$J13+$Z13)))</f>
        <v>111437.04330114787</v>
      </c>
      <c r="AG13" s="39">
        <f>IF($R13="MTO","",
IF($H13=0,ROUNDUP(((_xlfn.XLOOKUP($A13,'[1]DATOS PBI Artículos'!$A:$A,'[1]DATOS PBI Artículos'!$AM:$AM))/(_xlfn.XLOOKUP($AH$1,[1]CRITERIOS!$S$16:$S$39,[1]CRITERIOS!$Y$16:$Y$39))*$J13+$Z13)/$G13,0)*$G13,
((_xlfn.XLOOKUP($A13,'[1]DATOS PBI Artículos'!$A:$A,'[1]DATOS PBI Artículos'!$AM:$AM))/(_xlfn.XLOOKUP($AH$1,[1]CRITERIOS!$S$16:$S$39,[1]CRITERIOS!$Y$16:$Y$39))*$J13+$Z13)))</f>
        <v>100336.30059590096</v>
      </c>
      <c r="AI13" s="39">
        <f>IF($R13="MTO","",
IF($H13=0,ROUNDUP(((_xlfn.XLOOKUP($A13,'[1]DATOS PBI Artículos'!$A:$A,'[1]DATOS PBI Artículos'!$AN:$AN))/(_xlfn.XLOOKUP($AJ$1,[1]CRITERIOS!$S$16:$S$39,[1]CRITERIOS!$Y$16:$Y$39))*$J13+$Z13)/$G13,0)*$G13,
((_xlfn.XLOOKUP($A13,'[1]DATOS PBI Artículos'!$A:$A,'[1]DATOS PBI Artículos'!$AN:$AN))/(_xlfn.XLOOKUP($AJ$1,[1]CRITERIOS!$S$16:$S$39,[1]CRITERIOS!$Y$16:$Y$39))*$J13+$Z13)))</f>
        <v>105934.2321417343</v>
      </c>
      <c r="AK13" s="39">
        <f>IF($R13="MTO","",
IF($H13=0,ROUNDUP(((_xlfn.XLOOKUP($A13,'[1]DATOS PBI Artículos'!$A:$A,'[1]DATOS PBI Artículos'!$AO:$AO))/(_xlfn.XLOOKUP($AL$1,[1]CRITERIOS!$S$16:$S$39,[1]CRITERIOS!$Y$16:$Y$39))*$J13+$Z13)/$G13,0)*$G13,
((_xlfn.XLOOKUP($A13,'[1]DATOS PBI Artículos'!$A:$A,'[1]DATOS PBI Artículos'!$AO:$AO))/(_xlfn.XLOOKUP($AL$1,[1]CRITERIOS!$S$16:$S$39,[1]CRITERIOS!$Y$16:$Y$39))*$J13+$Z13)))</f>
        <v>108955.26485978985</v>
      </c>
    </row>
    <row r="14" spans="1:38" ht="25.8" x14ac:dyDescent="0.5">
      <c r="A14" s="32">
        <v>422297</v>
      </c>
      <c r="B14" s="33">
        <f>_xlfn.XLOOKUP($A14,'[1]DATOS PBI Artículos'!A:A,'[1]DATOS PBI Artículos'!B:B)</f>
        <v>0</v>
      </c>
      <c r="C14" s="33" t="str">
        <f>_xlfn.XLOOKUP($A14,'[1]DATOS PBI Artículos'!A:A,'[1]DATOS PBI Artículos'!C:C)</f>
        <v>UA01</v>
      </c>
      <c r="D14" s="33">
        <f>_xlfn.XLOOKUP(A14,'[1]DATOS PBI Artículos'!A:A,'[1]DATOS PBI Artículos'!T:T)</f>
        <v>5</v>
      </c>
      <c r="E14" s="34">
        <f>IF(_xlfn.XLOOKUP($A14,'[1]DATOS PBI Artículos'!A:A,'[1]DATOS PBI Artículos'!AK:AK)="",_xlfn.XLOOKUP($A14,'[1]DATOS PBI Artículos'!A:A,'[1]DATOS PBI Artículos'!AJ:AJ),_xlfn.XLOOKUP($A14,'[1]DATOS PBI Artículos'!A:A,'[1]DATOS PBI Artículos'!AK:AK))</f>
        <v>800000</v>
      </c>
      <c r="F14" s="35">
        <f>_xlfn.XLOOKUP($A14,'[1]DATOS PBI Artículos'!A:A,'[1]DATOS PBI Artículos'!AP:AP)</f>
        <v>16.75</v>
      </c>
      <c r="G14" s="34">
        <f>_xlfn.XLOOKUP($A14,'[1]DATOS PBI Artículos'!A:A,'[1]DATOS PBI Artículos'!AR:AR)</f>
        <v>160000</v>
      </c>
      <c r="H14" s="34">
        <f>_xlfn.XLOOKUP($A14,'[1]DATOS PBI Artículos'!A:A,'[1]DATOS PBI Artículos'!AT:AT)</f>
        <v>0</v>
      </c>
      <c r="I14" s="34">
        <f>_xlfn.XLOOKUP($A14,'[1]DATOS PBI Artículos'!A:A,'[1]DATOS PBI Artículos'!AS:AS)</f>
        <v>160000</v>
      </c>
      <c r="J14" s="35">
        <f>IF(COUNTIF([1]CRITERIOS!$F$179:$F$199,$A14)&gt;=1,
 IF(O14&lt;&gt;"",
    (O14/_xlfn.XLOOKUP(CONCATENATE(A14,L14),[1]MÁQUINAS!A:A,[1]MÁQUINAS!D:D))/24,
    (N14/_xlfn.XLOOKUP(CONCATENATE(A14,L14),[1]MÁQUINAS!A:A,[1]MÁQUINAS!D:D))/24),
  _xlfn.XLOOKUP($A14,'[1]DATOS PBI Artículos'!A:A,'[1]DATOS PBI Artículos'!AU:AU))</f>
        <v>33.733333333333334</v>
      </c>
      <c r="K14" s="36">
        <f>_xlfn.XLOOKUP($A14,'[1]DATOS PBI Artículos'!A:A,'[1]DATOS PBI Artículos'!AV:AV)</f>
        <v>19.277917295135779</v>
      </c>
      <c r="L14" s="33">
        <f>_xlfn.XLOOKUP(A14,[1]MÁQUINAS!B:B,[1]MÁQUINAS!C:C)</f>
        <v>500</v>
      </c>
      <c r="M14" s="34">
        <f t="array" ref="M14">_xlfn.XLOOKUP(A14,'[1]DATOS PBI Artículos'!A:A,'[1]DATOS PBI Artículos'!AX:$AX)</f>
        <v>183820.00141725715</v>
      </c>
      <c r="N14" s="37">
        <f>IF(I14="DV",
E14,
IF(COUNTIF([1]CRITERIOS!$I$179:$I$199,$A14)&gt;=1,
_xlfn.XLOOKUP($A14,[1]CRITERIOS!$I$179:$I$199,[1]CRITERIOS!$J$179:$J$199),
IF(COUNTIF([1]CRITERIOS!$L$179:$L$199,$A14)&gt;=1,
_xlfn.CEILING.MATH(IF($M14&gt;$E14,
$E14,
IF($M14&lt;$E14/ROUNDDOWN([1]CRITERIOS!$M$16/_xlfn.XLOOKUP($C14,[1]CRITERIOS!$K$25:$K$42,[1]CRITERIOS!$M$25:$M$42),
1),
E14/ROUNDDOWN([1]CRITERIOS!$M$16/_xlfn.XLOOKUP($C14,[1]CRITERIOS!$K$25:$K$42,[1]CRITERIOS!$M$25:$M$42),
1),
$M14)),
_xlfn.XLOOKUP($A14,[1]CRITERIOS!$L$179:$L$200,[1]CRITERIOS!$M$179:$M$200)),
_xlfn.CEILING.MATH(IF($M14&gt;$E14,
$E14,
IF($M14&lt;$E14/ROUNDDOWN([1]CRITERIOS!$M$16/_xlfn.XLOOKUP($C14,[1]CRITERIOS!$K$25:$K$42,[1]CRITERIOS!$M$25:$M$42),
1),
E14/ROUNDDOWN([1]CRITERIOS!$M$16/_xlfn.XLOOKUP($C14,[1]CRITERIOS!$K$25:$K$42,[1]CRITERIOS!$M$25:$M$42),
1),
$M14)),_xlfn.XLOOKUP(A14,'[1]DATOS PBI Artículos'!A:A,'[1]DATOS PBI Artículos'!Z:Z
)))))</f>
        <v>220000</v>
      </c>
      <c r="Q14" s="38">
        <f>IF(AND(O14="",N14=0),
0,
   IF(COUNTIF([1]CRITERIOS!$F$179:$F$199,$A14)&gt;=1,
   1,
   IF(R14="MTO",
      $D14,
      ROUNDUP(
                    IF(($E14-SUMIF('[1]DATOS PBI Artículos'!A:A,A14,'[1]DATOS PBI Artículos'!X:X)+($V14-_xlfn.XLOOKUP(A14,'[1]DATOS PBI Artículos'!A:A,'[1]DATOS PBI Artículos'!W:W)))&lt;0,
                    0,
                    IF(($E14-SUMIF('[1]DATOS PBI Artículos'!A:A,A14,'[1]DATOS PBI Artículos'!X:X)+$V14-_xlfn.XLOOKUP($A14,'[1]DATOS PBI Artículos'!A:A,'[1]DATOS PBI Artículos'!W:W))/IF($O14="",$N14,$O14)&gt;ROUNDUP([1]CRITERIOS!$M$16/(IF(COUNTIF([1]CRITERIOS!$BG$11:$BG$201,L14)&gt;=1,_xlfn.XLOOKUP($C14,[1]CRITERIOS!$K$25:$K$42,[1]CRITERIOS!$M$25:$M$42),_xlfn.XLOOKUP($C14,[1]CRITERIOS!$K$25:$K$42,[1]CRITERIOS!$M$25:$M$42))),0),
                    ROUNDUP([1]CRITERIOS!$M$16/(IF(COUNTIF([1]CRITERIOS!$BG$11:$BG$201,$L14)&gt;=1,_xlfn.XLOOKUP($C14,[1]CRITERIOS!$K$25:$K$42,[1]CRITERIOS!$M$25:$M$42),_xlfn.XLOOKUP($C14,[1]CRITERIOS!$K$25:$K$42,[1]CRITERIOS!$M$25:$M$42))),0),
                    (E14+V14-SUMIF('[1]DATOS PBI Artículos'!A:A,A14,'[1]DATOS PBI Artículos'!X:X)-_xlfn.XLOOKUP(A14,'[1]DATOS PBI Artículos'!A:A,'[1]DATOS PBI Artículos'!W:W))/IF($O14="",$N14,$O14))),0))))</f>
        <v>4</v>
      </c>
      <c r="R14" s="33" t="str">
        <f>IF(U14&lt;&gt;"",U14,IF(F14="DV","MTO",IF(N14=0,"MTO",_xlfn.XLOOKUP(CONCATENATE(S14,T14),[1]CRITERIOS!$K$160:$K$168,[1]CRITERIOS!$N$160:$N$168))))</f>
        <v>MTS</v>
      </c>
      <c r="S14" s="33" t="str">
        <f>IF(G14="DV","MTO",IF(N14=0,"MTO",IF(OR(AND(N14=0,O14=""),IF(O14="",G14/N14,G14/O14)&gt;[1]CRITERIOS!$G$163),"MTO",IF(IF(O14="",G14/N14,G14/O14)&lt;[1]CRITERIOS!$H$161,"MTS","MTOS"))))</f>
        <v>MTOS</v>
      </c>
      <c r="T14" s="33" t="str">
        <f>IF(F14="DV","MTO",IF(OR(AND($N14=0,O14=""),$F14/$J14&gt;[1]CRITERIOS!$G$170,$F14="DV"),"MTO",IF($F14/$J14&lt;[1]CRITERIOS!$H$168,"MTS","MTOS")))</f>
        <v>MTS</v>
      </c>
      <c r="V14" s="34">
        <f t="shared" si="0"/>
        <v>493588.12056704436</v>
      </c>
      <c r="X14" s="34">
        <f t="shared" si="1"/>
        <v>713588.12056704436</v>
      </c>
      <c r="Y14" s="34">
        <f t="shared" si="2"/>
        <v>281359.26484565134</v>
      </c>
      <c r="Z14" s="34">
        <f>IF($R14="MTO",
0,
($H14+$K14*($E14/[1]CRITERIOS!$M$16))/[1]CRITERIOS!$X$48)</f>
        <v>171359.26484565137</v>
      </c>
      <c r="AA14" s="34" t="e">
        <f>ROUNDUP(($Y14/_xlfn.XLOOKUP($A14,'[1]DATOS PBI Artículos'!$A$4:$A$4,'[1]DATOS PBI Artículos'!$Z$4:$Z$4))/_xlfn.XLOOKUP(_xlfn.XLOOKUP($A14,'[1]DATOS PBI Artículos'!$A$4:$A$4,'[1]DATOS PBI Artículos'!$Y$4:$Y$4),[1]CRITERIOS!$P$79:$P$123,[1]CRITERIOS!$S$79:$S$123,),0)</f>
        <v>#N/A</v>
      </c>
      <c r="AB14" s="33" t="e">
        <f t="array" ref="AB14">IF((E14+V14-_xlfn.XLOOKUP(A14,'[1]DATOS PBI Artículos'!$A$4:$A$4,'[1]DATOS PBI Artículos'!$W$4:$W$4))/N14&gt;ROUNDUP([1]CRITERIOS!$M$16/(IF(COUNTIF([1]CRITERIOS!$BG$11:$BG$201,L14)&gt;=1,_xlfn.XLOOKUP(ARTÍCULOS!L14,[1]CRITERIOS!$BG$11:$BG$201,[1]CRITERIOS!$BJ$11:$BJ$201),_xlfn.XLOOKUP(ARTÍCULOS!C14,[1]CRITERIOS!$K$25:$K$42,[1]CRITERIOS!$M$25:$M$42))),0),ROUNDUP([1]CRITERIOS!$M$16/(IF(COUNTIF([1]CRITERIOS!$BG$11:$BG$201,L14)&gt;=1,_xlfn.XLOOKUP(ARTÍCULOS!L14,[1]CRITERIOS!$BG$11:$BG$201:#REF!,[1]CRITERIOS!$BJ$11:$BJ$201),_xlfn.XLOOKUP(ARTÍCULOS!C14,[1]CRITERIOS!$K$25:$K$42,[1]CRITERIOS!$M$25:$M$42))),0),(E14+V14-_xlfn.XLOOKUP(A14,'[1]DATOS PBI Artículos'!$A$4:$A$4,'[1]DATOS PBI Artículos'!$W$4:$W$4))/N14)</f>
        <v>#N/A</v>
      </c>
      <c r="AC14" s="33" t="e">
        <f>IF(N14=0,"",(ROUNDUP((N14/2)/(_xlfn.XLOOKUP(A14,'[1]DATOS PBI Artículos'!$A$4:$A$4,'[1]DATOS PBI Artículos'!$Z$4:$Z$4)*_xlfn.XLOOKUP(_xlfn.XLOOKUP(A14,'[1]DATOS PBI Artículos'!$A$4:$A$4,'[1]DATOS PBI Artículos'!$Y$4:$Y$4),[1]CRITERIOS!$P$79:$P$123,[1]CRITERIOS!$S$79:$S$123)),0)*[1]CRITERIOS!$M$80*([1]CRITERIOS!$M$110/[1]CRITERIOS!$M$86)+(_xlfn.XLOOKUP(A14,'[1]DATOS PBI Artículos'!$A$4:$A$4,'[1]DATOS PBI Artículos'!$AA$4:$AA$4)*([1]CRITERIOS!$M$95+[1]CRITERIOS!$M$98)))/N14)</f>
        <v>#N/A</v>
      </c>
      <c r="AD14" s="33" t="e">
        <f>IF(N14=0,"",(ROUNDUP((N14/2)/(_xlfn.XLOOKUP(A14,'[1]DATOS PBI Artículos'!$A$4:$A$4,'[1]DATOS PBI Artículos'!$Z$4:$Z$4)*_xlfn.XLOOKUP(_xlfn.XLOOKUP(A14,'[1]DATOS PBI Artículos'!$A$4:$A$4,'[1]DATOS PBI Artículos'!$Y$4:$Y$4),[1]CRITERIOS!$P$79:$P$123,[1]CRITERIOS!$S$79:$S$123)),0)*[1]CRITERIOS!$M$80*([1]CRITERIOS!$M$89*[1]CRITERIOS!$M$92)+((_xlfn.XLOOKUP(A14,'[1]DATOS PBI Artículos'!$A$4:$A$4,'[1]DATOS PBI Artículos'!$AA$4:$AA$4)/2)*([1]CRITERIOS!$M$95+[1]CRITERIOS!$M$98)))/N14)</f>
        <v>#N/A</v>
      </c>
      <c r="AE14" s="39">
        <f>IF($R14="MTO","",
IF($H14=0,ROUNDUP(((_xlfn.XLOOKUP($A14,'[1]DATOS PBI Artículos'!$A:$A,'[1]DATOS PBI Artículos'!$AL:$AL))/(_xlfn.XLOOKUP($AF$1,[1]CRITERIOS!$S$16:$S$39,[1]CRITERIOS!$Y$16:$Y$39))*$J14+$Z14)/$G14,0)*$G14,
((_xlfn.XLOOKUP($A14,'[1]DATOS PBI Artículos'!$A:$A,'[1]DATOS PBI Artículos'!$AL:$AL))/(_xlfn.XLOOKUP($AF$1,[1]CRITERIOS!$S$16:$S$39,[1]CRITERIOS!$Y$16:$Y$39))*$J14+$Z14)))</f>
        <v>640000</v>
      </c>
      <c r="AG14" s="39">
        <f>IF($R14="MTO","",
IF($H14=0,ROUNDUP(((_xlfn.XLOOKUP($A14,'[1]DATOS PBI Artículos'!$A:$A,'[1]DATOS PBI Artículos'!$AM:$AM))/(_xlfn.XLOOKUP($AH$1,[1]CRITERIOS!$S$16:$S$39,[1]CRITERIOS!$Y$16:$Y$39))*$J14+$Z14)/$G14,0)*$G14,
((_xlfn.XLOOKUP($A14,'[1]DATOS PBI Artículos'!$A:$A,'[1]DATOS PBI Artículos'!$AM:$AM))/(_xlfn.XLOOKUP($AH$1,[1]CRITERIOS!$S$16:$S$39,[1]CRITERIOS!$Y$16:$Y$39))*$J14+$Z14)))</f>
        <v>480000</v>
      </c>
      <c r="AI14" s="39">
        <f>IF($R14="MTO","",
IF($H14=0,ROUNDUP(((_xlfn.XLOOKUP($A14,'[1]DATOS PBI Artículos'!$A:$A,'[1]DATOS PBI Artículos'!$AN:$AN))/(_xlfn.XLOOKUP($AJ$1,[1]CRITERIOS!$S$16:$S$39,[1]CRITERIOS!$Y$16:$Y$39))*$J14+$Z14)/$G14,0)*$G14,
((_xlfn.XLOOKUP($A14,'[1]DATOS PBI Artículos'!$A:$A,'[1]DATOS PBI Artículos'!$AN:$AN))/(_xlfn.XLOOKUP($AJ$1,[1]CRITERIOS!$S$16:$S$39,[1]CRITERIOS!$Y$16:$Y$39))*$J14+$Z14)))</f>
        <v>640000</v>
      </c>
      <c r="AK14" s="39">
        <f>IF($R14="MTO","",
IF($H14=0,ROUNDUP(((_xlfn.XLOOKUP($A14,'[1]DATOS PBI Artículos'!$A:$A,'[1]DATOS PBI Artículos'!$AO:$AO))/(_xlfn.XLOOKUP($AL$1,[1]CRITERIOS!$S$16:$S$39,[1]CRITERIOS!$Y$16:$Y$39))*$J14+$Z14)/$G14,0)*$G14,
((_xlfn.XLOOKUP($A14,'[1]DATOS PBI Artículos'!$A:$A,'[1]DATOS PBI Artículos'!$AO:$AO))/(_xlfn.XLOOKUP($AL$1,[1]CRITERIOS!$S$16:$S$39,[1]CRITERIOS!$Y$16:$Y$39))*$J14+$Z14)))</f>
        <v>640000</v>
      </c>
    </row>
    <row r="15" spans="1:38" ht="25.8" x14ac:dyDescent="0.5">
      <c r="A15" s="32">
        <v>404003</v>
      </c>
      <c r="B15" s="33">
        <f>_xlfn.XLOOKUP($A15,'[1]DATOS PBI Artículos'!A:A,'[1]DATOS PBI Artículos'!B:B)</f>
        <v>0</v>
      </c>
      <c r="C15" s="33" t="str">
        <f>_xlfn.XLOOKUP($A15,'[1]DATOS PBI Artículos'!A:A,'[1]DATOS PBI Artículos'!C:C)</f>
        <v>UA02</v>
      </c>
      <c r="D15" s="33">
        <f>_xlfn.XLOOKUP(A15,'[1]DATOS PBI Artículos'!A:A,'[1]DATOS PBI Artículos'!T:T)</f>
        <v>4</v>
      </c>
      <c r="E15" s="34">
        <f>IF(_xlfn.XLOOKUP($A15,'[1]DATOS PBI Artículos'!A:A,'[1]DATOS PBI Artículos'!AK:AK)="",_xlfn.XLOOKUP($A15,'[1]DATOS PBI Artículos'!A:A,'[1]DATOS PBI Artículos'!AJ:AJ),_xlfn.XLOOKUP($A15,'[1]DATOS PBI Artículos'!A:A,'[1]DATOS PBI Artículos'!AK:AK))</f>
        <v>730000</v>
      </c>
      <c r="F15" s="35">
        <f>_xlfn.XLOOKUP($A15,'[1]DATOS PBI Artículos'!A:A,'[1]DATOS PBI Artículos'!AP:AP)</f>
        <v>1.17391304347</v>
      </c>
      <c r="G15" s="34">
        <f>_xlfn.XLOOKUP($A15,'[1]DATOS PBI Artículos'!A:A,'[1]DATOS PBI Artículos'!AR:AR)</f>
        <v>15000</v>
      </c>
      <c r="H15" s="34">
        <f>_xlfn.XLOOKUP($A15,'[1]DATOS PBI Artículos'!A:A,'[1]DATOS PBI Artículos'!AT:AT)</f>
        <v>3060.445633328678</v>
      </c>
      <c r="I15" s="34">
        <f>_xlfn.XLOOKUP($A15,'[1]DATOS PBI Artículos'!A:A,'[1]DATOS PBI Artículos'!AS:AS)</f>
        <v>15000</v>
      </c>
      <c r="J15" s="35">
        <f>IF(COUNTIF([1]CRITERIOS!$F$179:$F$199,$A15)&gt;=1,
 IF(O15&lt;&gt;"",
    (O15/_xlfn.XLOOKUP(CONCATENATE(A15,L15),[1]MÁQUINAS!A:A,[1]MÁQUINAS!D:D))/24,
    (N15/_xlfn.XLOOKUP(CONCATENATE(A15,L15),[1]MÁQUINAS!A:A,[1]MÁQUINAS!D:D))/24),
  _xlfn.XLOOKUP($A15,'[1]DATOS PBI Artículos'!A:A,'[1]DATOS PBI Artículos'!AU:AU))</f>
        <v>4.375</v>
      </c>
      <c r="K15" s="36">
        <f>_xlfn.XLOOKUP($A15,'[1]DATOS PBI Artículos'!A:A,'[1]DATOS PBI Artículos'!AV:AV)</f>
        <v>5.2225369098639964</v>
      </c>
      <c r="L15" s="33">
        <f>_xlfn.XLOOKUP(A15,[1]MÁQUINAS!B:B,[1]MÁQUINAS!C:C)</f>
        <v>214</v>
      </c>
      <c r="M15" s="34">
        <f t="array" ref="M15">_xlfn.XLOOKUP(A15,'[1]DATOS PBI Artículos'!A:A,'[1]DATOS PBI Artículos'!AX:$AX)</f>
        <v>163128.25618745567</v>
      </c>
      <c r="N15" s="37">
        <f>IF(I15="DV",
E15,
IF(COUNTIF([1]CRITERIOS!$I$179:$I$199,$A15)&gt;=1,
_xlfn.XLOOKUP($A15,[1]CRITERIOS!$I$179:$I$199,[1]CRITERIOS!$J$179:$J$199),
IF(COUNTIF([1]CRITERIOS!$L$179:$L$199,$A15)&gt;=1,
_xlfn.CEILING.MATH(IF($M15&gt;$E15,
$E15,
IF($M15&lt;$E15/ROUNDDOWN([1]CRITERIOS!$M$16/_xlfn.XLOOKUP($C15,[1]CRITERIOS!$K$25:$K$42,[1]CRITERIOS!$M$25:$M$42),
1),
E15/ROUNDDOWN([1]CRITERIOS!$M$16/_xlfn.XLOOKUP($C15,[1]CRITERIOS!$K$25:$K$42,[1]CRITERIOS!$M$25:$M$42),
1),
$M15)),
_xlfn.XLOOKUP($A15,[1]CRITERIOS!$L$179:$L$200,[1]CRITERIOS!$M$179:$M$200)),
_xlfn.CEILING.MATH(IF($M15&gt;$E15,
$E15,
IF($M15&lt;$E15/ROUNDDOWN([1]CRITERIOS!$M$16/_xlfn.XLOOKUP($C15,[1]CRITERIOS!$K$25:$K$42,[1]CRITERIOS!$M$25:$M$42),
1),
E15/ROUNDDOWN([1]CRITERIOS!$M$16/_xlfn.XLOOKUP($C15,[1]CRITERIOS!$K$25:$K$42,[1]CRITERIOS!$M$25:$M$42),
1),
$M15)),_xlfn.XLOOKUP(A15,'[1]DATOS PBI Artículos'!A:A,'[1]DATOS PBI Artículos'!Z:Z
)))))</f>
        <v>210000</v>
      </c>
      <c r="Q15" s="38">
        <f>IF(AND(O15="",N15=0),
0,
   IF(COUNTIF([1]CRITERIOS!$F$179:$F$199,$A15)&gt;=1,
   1,
   IF(R15="MTO",
      $D15,
      ROUNDUP(
                    IF(($E15-SUMIF('[1]DATOS PBI Artículos'!A:A,A15,'[1]DATOS PBI Artículos'!X:X)+($V15-_xlfn.XLOOKUP(A15,'[1]DATOS PBI Artículos'!A:A,'[1]DATOS PBI Artículos'!W:W)))&lt;0,
                    0,
                    IF(($E15-SUMIF('[1]DATOS PBI Artículos'!A:A,A15,'[1]DATOS PBI Artículos'!X:X)+$V15-_xlfn.XLOOKUP($A15,'[1]DATOS PBI Artículos'!A:A,'[1]DATOS PBI Artículos'!W:W))/IF($O15="",$N15,$O15)&gt;ROUNDUP([1]CRITERIOS!$M$16/(IF(COUNTIF([1]CRITERIOS!$BG$11:$BG$201,L15)&gt;=1,_xlfn.XLOOKUP($C15,[1]CRITERIOS!$K$25:$K$42,[1]CRITERIOS!$M$25:$M$42),_xlfn.XLOOKUP($C15,[1]CRITERIOS!$K$25:$K$42,[1]CRITERIOS!$M$25:$M$42))),0),
                    ROUNDUP([1]CRITERIOS!$M$16/(IF(COUNTIF([1]CRITERIOS!$BG$11:$BG$201,$L15)&gt;=1,_xlfn.XLOOKUP($C15,[1]CRITERIOS!$K$25:$K$42,[1]CRITERIOS!$M$25:$M$42),_xlfn.XLOOKUP($C15,[1]CRITERIOS!$K$25:$K$42,[1]CRITERIOS!$M$25:$M$42))),0),
                    (E15+V15-SUMIF('[1]DATOS PBI Artículos'!A:A,A15,'[1]DATOS PBI Artículos'!X:X)-_xlfn.XLOOKUP(A15,'[1]DATOS PBI Artículos'!A:A,'[1]DATOS PBI Artículos'!W:W))/IF($O15="",$N15,$O15))),0))))</f>
        <v>1</v>
      </c>
      <c r="R15" s="33" t="str">
        <f>IF(U15&lt;&gt;"",U15,IF(F15="DV","MTO",IF(N15=0,"MTO",_xlfn.XLOOKUP(CONCATENATE(S15,T15),[1]CRITERIOS!$K$160:$K$168,[1]CRITERIOS!$N$160:$N$168))))</f>
        <v>MTS</v>
      </c>
      <c r="S15" s="33" t="str">
        <f>IF(G15="DV","MTO",IF(N15=0,"MTO",IF(OR(AND(N15=0,O15=""),IF(O15="",G15/N15,G15/O15)&gt;[1]CRITERIOS!$G$163),"MTO",IF(IF(O15="",G15/N15,G15/O15)&lt;[1]CRITERIOS!$H$161,"MTS","MTOS"))))</f>
        <v>MTS</v>
      </c>
      <c r="T15" s="33" t="str">
        <f>IF(F15="DV","MTO",IF(OR(AND($N15=0,O15=""),$F15/$J15&gt;[1]CRITERIOS!$G$170,$F15="DV"),"MTO",IF($F15/$J15&lt;[1]CRITERIOS!$H$168,"MTS","MTOS")))</f>
        <v>MTS</v>
      </c>
      <c r="V15" s="34">
        <f t="shared" si="0"/>
        <v>100813.72629706415</v>
      </c>
      <c r="X15" s="34">
        <f t="shared" si="1"/>
        <v>310813.72629706416</v>
      </c>
      <c r="Y15" s="34">
        <f t="shared" si="2"/>
        <v>149910.94851889298</v>
      </c>
      <c r="Z15" s="34">
        <f>IF($R15="MTO",
0,
($H15+$K15*($E15/[1]CRITERIOS!$M$16))/[1]CRITERIOS!$X$48)</f>
        <v>44910.948518892983</v>
      </c>
      <c r="AA15" s="34" t="e">
        <f>ROUNDUP(($Y15/_xlfn.XLOOKUP($A15,'[1]DATOS PBI Artículos'!$A$4:$A$4,'[1]DATOS PBI Artículos'!$Z$4:$Z$4))/_xlfn.XLOOKUP(_xlfn.XLOOKUP($A15,'[1]DATOS PBI Artículos'!$A$4:$A$4,'[1]DATOS PBI Artículos'!$Y$4:$Y$4),[1]CRITERIOS!$P$79:$P$123,[1]CRITERIOS!$S$79:$S$123,),0)</f>
        <v>#N/A</v>
      </c>
      <c r="AB15" s="33" t="e">
        <f t="array" ref="AB15">IF((E15+V15-_xlfn.XLOOKUP(A15,'[1]DATOS PBI Artículos'!$A$4:$A$4,'[1]DATOS PBI Artículos'!$W$4:$W$4))/N15&gt;ROUNDUP([1]CRITERIOS!$M$16/(IF(COUNTIF([1]CRITERIOS!$BG$11:$BG$201,L15)&gt;=1,_xlfn.XLOOKUP(ARTÍCULOS!L15,[1]CRITERIOS!$BG$11:$BG$201,[1]CRITERIOS!$BJ$11:$BJ$201),_xlfn.XLOOKUP(ARTÍCULOS!C15,[1]CRITERIOS!$K$25:$K$42,[1]CRITERIOS!$M$25:$M$42))),0),ROUNDUP([1]CRITERIOS!$M$16/(IF(COUNTIF([1]CRITERIOS!$BG$11:$BG$201,L15)&gt;=1,_xlfn.XLOOKUP(ARTÍCULOS!L15,[1]CRITERIOS!$BG$11:$BG$201:#REF!,[1]CRITERIOS!$BJ$11:$BJ$201),_xlfn.XLOOKUP(ARTÍCULOS!C15,[1]CRITERIOS!$K$25:$K$42,[1]CRITERIOS!$M$25:$M$42))),0),(E15+V15-_xlfn.XLOOKUP(A15,'[1]DATOS PBI Artículos'!$A$4:$A$4,'[1]DATOS PBI Artículos'!$W$4:$W$4))/N15)</f>
        <v>#N/A</v>
      </c>
      <c r="AC15" s="33" t="e">
        <f>IF(N15=0,"",(ROUNDUP((N15/2)/(_xlfn.XLOOKUP(A15,'[1]DATOS PBI Artículos'!$A$4:$A$4,'[1]DATOS PBI Artículos'!$Z$4:$Z$4)*_xlfn.XLOOKUP(_xlfn.XLOOKUP(A15,'[1]DATOS PBI Artículos'!$A$4:$A$4,'[1]DATOS PBI Artículos'!$Y$4:$Y$4),[1]CRITERIOS!$P$79:$P$123,[1]CRITERIOS!$S$79:$S$123)),0)*[1]CRITERIOS!$M$80*([1]CRITERIOS!$M$110/[1]CRITERIOS!$M$86)+(_xlfn.XLOOKUP(A15,'[1]DATOS PBI Artículos'!$A$4:$A$4,'[1]DATOS PBI Artículos'!$AA$4:$AA$4)*([1]CRITERIOS!$M$95+[1]CRITERIOS!$M$98)))/N15)</f>
        <v>#N/A</v>
      </c>
      <c r="AD15" s="33" t="e">
        <f>IF(N15=0,"",(ROUNDUP((N15/2)/(_xlfn.XLOOKUP(A15,'[1]DATOS PBI Artículos'!$A$4:$A$4,'[1]DATOS PBI Artículos'!$Z$4:$Z$4)*_xlfn.XLOOKUP(_xlfn.XLOOKUP(A15,'[1]DATOS PBI Artículos'!$A$4:$A$4,'[1]DATOS PBI Artículos'!$Y$4:$Y$4),[1]CRITERIOS!$P$79:$P$123,[1]CRITERIOS!$S$79:$S$123)),0)*[1]CRITERIOS!$M$80*([1]CRITERIOS!$M$89*[1]CRITERIOS!$M$92)+((_xlfn.XLOOKUP(A15,'[1]DATOS PBI Artículos'!$A$4:$A$4,'[1]DATOS PBI Artículos'!$AA$4:$AA$4)/2)*([1]CRITERIOS!$M$95+[1]CRITERIOS!$M$98)))/N15)</f>
        <v>#N/A</v>
      </c>
      <c r="AE15" s="39">
        <f>IF($R15="MTO","",
IF($H15=0,ROUNDUP(((_xlfn.XLOOKUP($A15,'[1]DATOS PBI Artículos'!$A:$A,'[1]DATOS PBI Artículos'!$AL:$AL))/(_xlfn.XLOOKUP($AF$1,[1]CRITERIOS!$S$16:$S$39,[1]CRITERIOS!$Y$16:$Y$39))*$J15+$Z15)/$G15,0)*$G15,
((_xlfn.XLOOKUP($A15,'[1]DATOS PBI Artículos'!$A:$A,'[1]DATOS PBI Artículos'!$AL:$AL))/(_xlfn.XLOOKUP($AF$1,[1]CRITERIOS!$S$16:$S$39,[1]CRITERIOS!$Y$16:$Y$39))*$J15+$Z15)))</f>
        <v>94161.468875056176</v>
      </c>
      <c r="AG15" s="39">
        <f>IF($R15="MTO","",
IF($H15=0,ROUNDUP(((_xlfn.XLOOKUP($A15,'[1]DATOS PBI Artículos'!$A:$A,'[1]DATOS PBI Artículos'!$AM:$AM))/(_xlfn.XLOOKUP($AH$1,[1]CRITERIOS!$S$16:$S$39,[1]CRITERIOS!$Y$16:$Y$39))*$J15+$Z15)/$G15,0)*$G15,
((_xlfn.XLOOKUP($A15,'[1]DATOS PBI Artículos'!$A:$A,'[1]DATOS PBI Artículos'!$AM:$AM))/(_xlfn.XLOOKUP($AH$1,[1]CRITERIOS!$S$16:$S$39,[1]CRITERIOS!$Y$16:$Y$39))*$J15+$Z15)))</f>
        <v>80288.556999667431</v>
      </c>
      <c r="AI15" s="39">
        <f>IF($R15="MTO","",
IF($H15=0,ROUNDUP(((_xlfn.XLOOKUP($A15,'[1]DATOS PBI Artículos'!$A:$A,'[1]DATOS PBI Artículos'!$AN:$AN))/(_xlfn.XLOOKUP($AJ$1,[1]CRITERIOS!$S$16:$S$39,[1]CRITERIOS!$Y$16:$Y$39))*$J15+$Z15)/$G15,0)*$G15,
((_xlfn.XLOOKUP($A15,'[1]DATOS PBI Artículos'!$A:$A,'[1]DATOS PBI Artículos'!$AN:$AN))/(_xlfn.XLOOKUP($AJ$1,[1]CRITERIOS!$S$16:$S$39,[1]CRITERIOS!$Y$16:$Y$39))*$J15+$Z15)))</f>
        <v>87284.450254908603</v>
      </c>
      <c r="AK15" s="39">
        <f>IF($R15="MTO","",
IF($H15=0,ROUNDUP(((_xlfn.XLOOKUP($A15,'[1]DATOS PBI Artículos'!$A:$A,'[1]DATOS PBI Artículos'!$AO:$AO))/(_xlfn.XLOOKUP($AL$1,[1]CRITERIOS!$S$16:$S$39,[1]CRITERIOS!$Y$16:$Y$39))*$J15+$Z15)/$G15,0)*$G15,
((_xlfn.XLOOKUP($A15,'[1]DATOS PBI Artículos'!$A:$A,'[1]DATOS PBI Artículos'!$AO:$AO))/(_xlfn.XLOOKUP($AL$1,[1]CRITERIOS!$S$16:$S$39,[1]CRITERIOS!$Y$16:$Y$39))*$J15+$Z15)))</f>
        <v>91059.920219674241</v>
      </c>
    </row>
    <row r="16" spans="1:38" ht="25.8" x14ac:dyDescent="0.5">
      <c r="A16" s="32">
        <v>452130</v>
      </c>
      <c r="B16" s="33">
        <f>_xlfn.XLOOKUP($A16,'[1]DATOS PBI Artículos'!A:A,'[1]DATOS PBI Artículos'!B:B)</f>
        <v>0</v>
      </c>
      <c r="C16" s="33" t="str">
        <f>_xlfn.XLOOKUP($A16,'[1]DATOS PBI Artículos'!A:A,'[1]DATOS PBI Artículos'!C:C)</f>
        <v>UA02</v>
      </c>
      <c r="D16" s="33">
        <f>_xlfn.XLOOKUP(A16,'[1]DATOS PBI Artículos'!A:A,'[1]DATOS PBI Artículos'!T:T)</f>
        <v>4</v>
      </c>
      <c r="E16" s="34">
        <f>IF(_xlfn.XLOOKUP($A16,'[1]DATOS PBI Artículos'!A:A,'[1]DATOS PBI Artículos'!AK:AK)="",_xlfn.XLOOKUP($A16,'[1]DATOS PBI Artículos'!A:A,'[1]DATOS PBI Artículos'!AJ:AJ),_xlfn.XLOOKUP($A16,'[1]DATOS PBI Artículos'!A:A,'[1]DATOS PBI Artículos'!AK:AK))</f>
        <v>700000</v>
      </c>
      <c r="F16" s="35">
        <f>_xlfn.XLOOKUP($A16,'[1]DATOS PBI Artículos'!A:A,'[1]DATOS PBI Artículos'!AP:AP)</f>
        <v>17.666666666659999</v>
      </c>
      <c r="G16" s="34">
        <f>_xlfn.XLOOKUP($A16,'[1]DATOS PBI Artículos'!A:A,'[1]DATOS PBI Artículos'!AR:AR)</f>
        <v>200000</v>
      </c>
      <c r="H16" s="34">
        <f>_xlfn.XLOOKUP($A16,'[1]DATOS PBI Artículos'!A:A,'[1]DATOS PBI Artículos'!AT:AT)</f>
        <v>86602.540378443868</v>
      </c>
      <c r="I16" s="34">
        <f>_xlfn.XLOOKUP($A16,'[1]DATOS PBI Artículos'!A:A,'[1]DATOS PBI Artículos'!AS:AS)</f>
        <v>50000</v>
      </c>
      <c r="J16" s="35">
        <f>IF(COUNTIF([1]CRITERIOS!$F$179:$F$199,$A16)&gt;=1,
 IF(O16&lt;&gt;"",
    (O16/_xlfn.XLOOKUP(CONCATENATE(A16,L16),[1]MÁQUINAS!A:A,[1]MÁQUINAS!D:D))/24,
    (N16/_xlfn.XLOOKUP(CONCATENATE(A16,L16),[1]MÁQUINAS!A:A,[1]MÁQUINAS!D:D))/24),
  _xlfn.XLOOKUP($A16,'[1]DATOS PBI Artículos'!A:A,'[1]DATOS PBI Artículos'!AU:AU))</f>
        <v>28.363636363636363</v>
      </c>
      <c r="K16" s="36">
        <f>_xlfn.XLOOKUP($A16,'[1]DATOS PBI Artículos'!A:A,'[1]DATOS PBI Artículos'!AV:AV)</f>
        <v>9.6671891185879595</v>
      </c>
      <c r="L16" s="33">
        <f>_xlfn.XLOOKUP(A16,[1]MÁQUINAS!B:B,[1]MÁQUINAS!C:C)</f>
        <v>215</v>
      </c>
      <c r="M16" s="34">
        <f t="array" ref="M16">_xlfn.XLOOKUP(A16,'[1]DATOS PBI Artículos'!A:A,'[1]DATOS PBI Artículos'!AX:$AX)</f>
        <v>198300.70355438258</v>
      </c>
      <c r="N16" s="37">
        <f>IF(I16="DV",
E16,
IF(COUNTIF([1]CRITERIOS!$I$179:$I$199,$A16)&gt;=1,
_xlfn.XLOOKUP($A16,[1]CRITERIOS!$I$179:$I$199,[1]CRITERIOS!$J$179:$J$199),
IF(COUNTIF([1]CRITERIOS!$L$179:$L$199,$A16)&gt;=1,
_xlfn.CEILING.MATH(IF($M16&gt;$E16,
$E16,
IF($M16&lt;$E16/ROUNDDOWN([1]CRITERIOS!$M$16/_xlfn.XLOOKUP($C16,[1]CRITERIOS!$K$25:$K$42,[1]CRITERIOS!$M$25:$M$42),
1),
E16/ROUNDDOWN([1]CRITERIOS!$M$16/_xlfn.XLOOKUP($C16,[1]CRITERIOS!$K$25:$K$42,[1]CRITERIOS!$M$25:$M$42),
1),
$M16)),
_xlfn.XLOOKUP($A16,[1]CRITERIOS!$L$179:$L$200,[1]CRITERIOS!$M$179:$M$200)),
_xlfn.CEILING.MATH(IF($M16&gt;$E16,
$E16,
IF($M16&lt;$E16/ROUNDDOWN([1]CRITERIOS!$M$16/_xlfn.XLOOKUP($C16,[1]CRITERIOS!$K$25:$K$42,[1]CRITERIOS!$M$25:$M$42),
1),
E16/ROUNDDOWN([1]CRITERIOS!$M$16/_xlfn.XLOOKUP($C16,[1]CRITERIOS!$K$25:$K$42,[1]CRITERIOS!$M$25:$M$42),
1),
$M16)),_xlfn.XLOOKUP(A16,'[1]DATOS PBI Artículos'!A:A,'[1]DATOS PBI Artículos'!Z:Z
)))))</f>
        <v>200000</v>
      </c>
      <c r="Q16" s="38">
        <f>IF(AND(O16="",N16=0),
0,
   IF(COUNTIF([1]CRITERIOS!$F$179:$F$199,$A16)&gt;=1,
   1,
   IF(R16="MTO",
      $D16,
      ROUNDUP(
                    IF(($E16-SUMIF('[1]DATOS PBI Artículos'!A:A,A16,'[1]DATOS PBI Artículos'!X:X)+($V16-_xlfn.XLOOKUP(A16,'[1]DATOS PBI Artículos'!A:A,'[1]DATOS PBI Artículos'!W:W)))&lt;0,
                    0,
                    IF(($E16-SUMIF('[1]DATOS PBI Artículos'!A:A,A16,'[1]DATOS PBI Artículos'!X:X)+$V16-_xlfn.XLOOKUP($A16,'[1]DATOS PBI Artículos'!A:A,'[1]DATOS PBI Artículos'!W:W))/IF($O16="",$N16,$O16)&gt;ROUNDUP([1]CRITERIOS!$M$16/(IF(COUNTIF([1]CRITERIOS!$BG$11:$BG$201,L16)&gt;=1,_xlfn.XLOOKUP($C16,[1]CRITERIOS!$K$25:$K$42,[1]CRITERIOS!$M$25:$M$42),_xlfn.XLOOKUP($C16,[1]CRITERIOS!$K$25:$K$42,[1]CRITERIOS!$M$25:$M$42))),0),
                    ROUNDUP([1]CRITERIOS!$M$16/(IF(COUNTIF([1]CRITERIOS!$BG$11:$BG$201,$L16)&gt;=1,_xlfn.XLOOKUP($C16,[1]CRITERIOS!$K$25:$K$42,[1]CRITERIOS!$M$25:$M$42),_xlfn.XLOOKUP($C16,[1]CRITERIOS!$K$25:$K$42,[1]CRITERIOS!$M$25:$M$42))),0),
                    (E16+V16-SUMIF('[1]DATOS PBI Artículos'!A:A,A16,'[1]DATOS PBI Artículos'!X:X)-_xlfn.XLOOKUP(A16,'[1]DATOS PBI Artículos'!A:A,'[1]DATOS PBI Artículos'!W:W))/IF($O16="",$N16,$O16))),0))))</f>
        <v>3</v>
      </c>
      <c r="R16" s="33" t="str">
        <f>IF(U16&lt;&gt;"",U16,IF(F16="DV","MTO",IF(N16=0,"MTO",_xlfn.XLOOKUP(CONCATENATE(S16,T16),[1]CRITERIOS!$K$160:$K$168,[1]CRITERIOS!$N$160:$N$168))))</f>
        <v>MTS</v>
      </c>
      <c r="S16" s="33" t="str">
        <f>IF(G16="DV","MTO",IF(N16=0,"MTO",IF(OR(AND(N16=0,O16=""),IF(O16="",G16/N16,G16/O16)&gt;[1]CRITERIOS!$G$163),"MTO",IF(IF(O16="",G16/N16,G16/O16)&lt;[1]CRITERIOS!$H$161,"MTS","MTOS"))))</f>
        <v>MTO</v>
      </c>
      <c r="T16" s="33" t="str">
        <f>IF(F16="DV","MTO",IF(OR(AND($N16=0,O16=""),$F16/$J16&gt;[1]CRITERIOS!$G$170,$F16="DV"),"MTO",IF($F16/$J16&lt;[1]CRITERIOS!$H$168,"MTS","MTOS")))</f>
        <v>MTS</v>
      </c>
      <c r="V16" s="34">
        <f t="shared" si="0"/>
        <v>468455.80250332697</v>
      </c>
      <c r="X16" s="34">
        <f t="shared" si="1"/>
        <v>668455.80250332691</v>
      </c>
      <c r="Y16" s="34">
        <f t="shared" si="2"/>
        <v>247358.03234883182</v>
      </c>
      <c r="Z16" s="34">
        <f>IF($R16="MTO",
0,
($H16+$K16*($E16/[1]CRITERIOS!$M$16))/[1]CRITERIOS!$X$48)</f>
        <v>147358.03234883182</v>
      </c>
      <c r="AA16" s="34" t="e">
        <f>ROUNDUP(($Y16/_xlfn.XLOOKUP($A16,'[1]DATOS PBI Artículos'!$A$4:$A$4,'[1]DATOS PBI Artículos'!$Z$4:$Z$4))/_xlfn.XLOOKUP(_xlfn.XLOOKUP($A16,'[1]DATOS PBI Artículos'!$A$4:$A$4,'[1]DATOS PBI Artículos'!$Y$4:$Y$4),[1]CRITERIOS!$P$79:$P$123,[1]CRITERIOS!$S$79:$S$123,),0)</f>
        <v>#N/A</v>
      </c>
      <c r="AB16" s="33" t="e">
        <f t="array" ref="AB16">IF((E16+V16-_xlfn.XLOOKUP(A16,'[1]DATOS PBI Artículos'!$A$4:$A$4,'[1]DATOS PBI Artículos'!$W$4:$W$4))/N16&gt;ROUNDUP([1]CRITERIOS!$M$16/(IF(COUNTIF([1]CRITERIOS!$BG$11:$BG$201,L16)&gt;=1,_xlfn.XLOOKUP(ARTÍCULOS!L16,[1]CRITERIOS!$BG$11:$BG$201,[1]CRITERIOS!$BJ$11:$BJ$201),_xlfn.XLOOKUP(ARTÍCULOS!C16,[1]CRITERIOS!$K$25:$K$42,[1]CRITERIOS!$M$25:$M$42))),0),ROUNDUP([1]CRITERIOS!$M$16/(IF(COUNTIF([1]CRITERIOS!$BG$11:$BG$201,L16)&gt;=1,_xlfn.XLOOKUP(ARTÍCULOS!L16,[1]CRITERIOS!$BG$11:$BG$201:#REF!,[1]CRITERIOS!$BJ$11:$BJ$201),_xlfn.XLOOKUP(ARTÍCULOS!C16,[1]CRITERIOS!$K$25:$K$42,[1]CRITERIOS!$M$25:$M$42))),0),(E16+V16-_xlfn.XLOOKUP(A16,'[1]DATOS PBI Artículos'!$A$4:$A$4,'[1]DATOS PBI Artículos'!$W$4:$W$4))/N16)</f>
        <v>#N/A</v>
      </c>
      <c r="AC16" s="33" t="e">
        <f>IF(N16=0,"",(ROUNDUP((N16/2)/(_xlfn.XLOOKUP(A16,'[1]DATOS PBI Artículos'!$A$4:$A$4,'[1]DATOS PBI Artículos'!$Z$4:$Z$4)*_xlfn.XLOOKUP(_xlfn.XLOOKUP(A16,'[1]DATOS PBI Artículos'!$A$4:$A$4,'[1]DATOS PBI Artículos'!$Y$4:$Y$4),[1]CRITERIOS!$P$79:$P$123,[1]CRITERIOS!$S$79:$S$123)),0)*[1]CRITERIOS!$M$80*([1]CRITERIOS!$M$110/[1]CRITERIOS!$M$86)+(_xlfn.XLOOKUP(A16,'[1]DATOS PBI Artículos'!$A$4:$A$4,'[1]DATOS PBI Artículos'!$AA$4:$AA$4)*([1]CRITERIOS!$M$95+[1]CRITERIOS!$M$98)))/N16)</f>
        <v>#N/A</v>
      </c>
      <c r="AD16" s="33" t="e">
        <f>IF(N16=0,"",(ROUNDUP((N16/2)/(_xlfn.XLOOKUP(A16,'[1]DATOS PBI Artículos'!$A$4:$A$4,'[1]DATOS PBI Artículos'!$Z$4:$Z$4)*_xlfn.XLOOKUP(_xlfn.XLOOKUP(A16,'[1]DATOS PBI Artículos'!$A$4:$A$4,'[1]DATOS PBI Artículos'!$Y$4:$Y$4),[1]CRITERIOS!$P$79:$P$123,[1]CRITERIOS!$S$79:$S$123)),0)*[1]CRITERIOS!$M$80*([1]CRITERIOS!$M$89*[1]CRITERIOS!$M$92)+((_xlfn.XLOOKUP(A16,'[1]DATOS PBI Artículos'!$A$4:$A$4,'[1]DATOS PBI Artículos'!$AA$4:$AA$4)/2)*([1]CRITERIOS!$M$95+[1]CRITERIOS!$M$98)))/N16)</f>
        <v>#N/A</v>
      </c>
      <c r="AE16" s="39">
        <f>IF($R16="MTO","",
IF($H16=0,ROUNDUP(((_xlfn.XLOOKUP($A16,'[1]DATOS PBI Artículos'!$A:$A,'[1]DATOS PBI Artículos'!$AL:$AL))/(_xlfn.XLOOKUP($AF$1,[1]CRITERIOS!$S$16:$S$39,[1]CRITERIOS!$Y$16:$Y$39))*$J16+$Z16)/$G16,0)*$G16,
((_xlfn.XLOOKUP($A16,'[1]DATOS PBI Artículos'!$A:$A,'[1]DATOS PBI Artículos'!$AL:$AL))/(_xlfn.XLOOKUP($AF$1,[1]CRITERIOS!$S$16:$S$39,[1]CRITERIOS!$Y$16:$Y$39))*$J16+$Z16)))</f>
        <v>453533.12278216518</v>
      </c>
      <c r="AG16" s="39">
        <f>IF($R16="MTO","",
IF($H16=0,ROUNDUP(((_xlfn.XLOOKUP($A16,'[1]DATOS PBI Artículos'!$A:$A,'[1]DATOS PBI Artículos'!$AM:$AM))/(_xlfn.XLOOKUP($AH$1,[1]CRITERIOS!$S$16:$S$39,[1]CRITERIOS!$Y$16:$Y$39))*$J16+$Z16)/$G16,0)*$G16,
((_xlfn.XLOOKUP($A16,'[1]DATOS PBI Artículos'!$A:$A,'[1]DATOS PBI Artículos'!$AM:$AM))/(_xlfn.XLOOKUP($AH$1,[1]CRITERIOS!$S$16:$S$39,[1]CRITERIOS!$Y$16:$Y$39))*$J16+$Z16)))</f>
        <v>367289.56601760653</v>
      </c>
      <c r="AI16" s="39">
        <f>IF($R16="MTO","",
IF($H16=0,ROUNDUP(((_xlfn.XLOOKUP($A16,'[1]DATOS PBI Artículos'!$A:$A,'[1]DATOS PBI Artículos'!$AN:$AN))/(_xlfn.XLOOKUP($AJ$1,[1]CRITERIOS!$S$16:$S$39,[1]CRITERIOS!$Y$16:$Y$39))*$J16+$Z16)/$G16,0)*$G16,
((_xlfn.XLOOKUP($A16,'[1]DATOS PBI Artículos'!$A:$A,'[1]DATOS PBI Artículos'!$AN:$AN))/(_xlfn.XLOOKUP($AJ$1,[1]CRITERIOS!$S$16:$S$39,[1]CRITERIOS!$Y$16:$Y$39))*$J16+$Z16)))</f>
        <v>410780.84762428631</v>
      </c>
      <c r="AK16" s="39">
        <f>IF($R16="MTO","",
IF($H16=0,ROUNDUP(((_xlfn.XLOOKUP($A16,'[1]DATOS PBI Artículos'!$A:$A,'[1]DATOS PBI Artículos'!$AO:$AO))/(_xlfn.XLOOKUP($AL$1,[1]CRITERIOS!$S$16:$S$39,[1]CRITERIOS!$Y$16:$Y$39))*$J16+$Z16)/$G16,0)*$G16,
((_xlfn.XLOOKUP($A16,'[1]DATOS PBI Artículos'!$A:$A,'[1]DATOS PBI Artículos'!$AO:$AO))/(_xlfn.XLOOKUP($AL$1,[1]CRITERIOS!$S$16:$S$39,[1]CRITERIOS!$Y$16:$Y$39))*$J16+$Z16)))</f>
        <v>434251.76426701364</v>
      </c>
    </row>
    <row r="17" spans="1:37" ht="25.8" x14ac:dyDescent="0.5">
      <c r="A17" s="32" t="s">
        <v>39</v>
      </c>
      <c r="B17" s="33">
        <f>_xlfn.XLOOKUP($A17,'[1]DATOS PBI Artículos'!A:A,'[1]DATOS PBI Artículos'!B:B)</f>
        <v>0</v>
      </c>
      <c r="C17" s="33" t="str">
        <f>_xlfn.XLOOKUP($A17,'[1]DATOS PBI Artículos'!A:A,'[1]DATOS PBI Artículos'!C:C)</f>
        <v>UA01</v>
      </c>
      <c r="D17" s="33">
        <f>_xlfn.XLOOKUP(A17,'[1]DATOS PBI Artículos'!A:A,'[1]DATOS PBI Artículos'!T:T)</f>
        <v>22</v>
      </c>
      <c r="E17" s="34">
        <f>IF(_xlfn.XLOOKUP($A17,'[1]DATOS PBI Artículos'!A:A,'[1]DATOS PBI Artículos'!AK:AK)="",_xlfn.XLOOKUP($A17,'[1]DATOS PBI Artículos'!A:A,'[1]DATOS PBI Artículos'!AJ:AJ),_xlfn.XLOOKUP($A17,'[1]DATOS PBI Artículos'!A:A,'[1]DATOS PBI Artículos'!AK:AK))</f>
        <v>690000</v>
      </c>
      <c r="F17" s="35">
        <f>_xlfn.XLOOKUP($A17,'[1]DATOS PBI Artículos'!A:A,'[1]DATOS PBI Artículos'!AP:AP)</f>
        <v>3.6</v>
      </c>
      <c r="G17" s="34">
        <f>_xlfn.XLOOKUP($A17,'[1]DATOS PBI Artículos'!A:A,'[1]DATOS PBI Artículos'!AR:AR)</f>
        <v>32000</v>
      </c>
      <c r="H17" s="34">
        <f>_xlfn.XLOOKUP($A17,'[1]DATOS PBI Artículos'!A:A,'[1]DATOS PBI Artículos'!AT:AT)</f>
        <v>5461.5539389968044</v>
      </c>
      <c r="I17" s="34">
        <f>_xlfn.XLOOKUP($A17,'[1]DATOS PBI Artículos'!A:A,'[1]DATOS PBI Artículos'!AS:AS)</f>
        <v>4000</v>
      </c>
      <c r="J17" s="35">
        <f>IF(COUNTIF([1]CRITERIOS!$F$179:$F$199,$A17)&gt;=1,
 IF(O17&lt;&gt;"",
    (O17/_xlfn.XLOOKUP(CONCATENATE(A17,L17),[1]MÁQUINAS!A:A,[1]MÁQUINAS!D:D))/24,
    (N17/_xlfn.XLOOKUP(CONCATENATE(A17,L17),[1]MÁQUINAS!A:A,[1]MÁQUINAS!D:D))/24),
  _xlfn.XLOOKUP($A17,'[1]DATOS PBI Artículos'!A:A,'[1]DATOS PBI Artículos'!AU:AU))</f>
        <v>24.098765432098766</v>
      </c>
      <c r="K17" s="36">
        <f>_xlfn.XLOOKUP($A17,'[1]DATOS PBI Artículos'!A:A,'[1]DATOS PBI Artículos'!AV:AV)</f>
        <v>6.0840055437836442</v>
      </c>
      <c r="L17" s="33">
        <f>_xlfn.XLOOKUP(A17,[1]MÁQUINAS!B:B,[1]MÁQUINAS!C:C)</f>
        <v>550</v>
      </c>
      <c r="M17" s="34">
        <f t="array" ref="M17">_xlfn.XLOOKUP(A17,'[1]DATOS PBI Artículos'!A:A,'[1]DATOS PBI Artículos'!AX:$AX)</f>
        <v>149902.53699438644</v>
      </c>
      <c r="N17" s="37">
        <f>IF(I17="DV",
E17,
IF(COUNTIF([1]CRITERIOS!$I$179:$I$199,$A17)&gt;=1,
_xlfn.XLOOKUP($A17,[1]CRITERIOS!$I$179:$I$199,[1]CRITERIOS!$J$179:$J$199),
IF(COUNTIF([1]CRITERIOS!$L$179:$L$199,$A17)&gt;=1,
_xlfn.CEILING.MATH(IF($M17&gt;$E17,
$E17,
IF($M17&lt;$E17/ROUNDDOWN([1]CRITERIOS!$M$16/_xlfn.XLOOKUP($C17,[1]CRITERIOS!$K$25:$K$42,[1]CRITERIOS!$M$25:$M$42),
1),
E17/ROUNDDOWN([1]CRITERIOS!$M$16/_xlfn.XLOOKUP($C17,[1]CRITERIOS!$K$25:$K$42,[1]CRITERIOS!$M$25:$M$42),
1),
$M17)),
_xlfn.XLOOKUP($A17,[1]CRITERIOS!$L$179:$L$200,[1]CRITERIOS!$M$179:$M$200)),
_xlfn.CEILING.MATH(IF($M17&gt;$E17,
$E17,
IF($M17&lt;$E17/ROUNDDOWN([1]CRITERIOS!$M$16/_xlfn.XLOOKUP($C17,[1]CRITERIOS!$K$25:$K$42,[1]CRITERIOS!$M$25:$M$42),
1),
E17/ROUNDDOWN([1]CRITERIOS!$M$16/_xlfn.XLOOKUP($C17,[1]CRITERIOS!$K$25:$K$42,[1]CRITERIOS!$M$25:$M$42),
1),
$M17)),_xlfn.XLOOKUP(A17,'[1]DATOS PBI Artículos'!A:A,'[1]DATOS PBI Artículos'!Z:Z
)))))</f>
        <v>188000</v>
      </c>
      <c r="Q17" s="38">
        <f>IF(AND(O17="",N17=0),
0,
   IF(COUNTIF([1]CRITERIOS!$F$179:$F$199,$A17)&gt;=1,
   1,
   IF(R17="MTO",
      $D17,
      ROUNDUP(
                    IF(($E17-SUMIF('[1]DATOS PBI Artículos'!A:A,A17,'[1]DATOS PBI Artículos'!X:X)+($V17-_xlfn.XLOOKUP(A17,'[1]DATOS PBI Artículos'!A:A,'[1]DATOS PBI Artículos'!W:W)))&lt;0,
                    0,
                    IF(($E17-SUMIF('[1]DATOS PBI Artículos'!A:A,A17,'[1]DATOS PBI Artículos'!X:X)+$V17-_xlfn.XLOOKUP($A17,'[1]DATOS PBI Artículos'!A:A,'[1]DATOS PBI Artículos'!W:W))/IF($O17="",$N17,$O17)&gt;ROUNDUP([1]CRITERIOS!$M$16/(IF(COUNTIF([1]CRITERIOS!$BG$11:$BG$201,L17)&gt;=1,_xlfn.XLOOKUP($C17,[1]CRITERIOS!$K$25:$K$42,[1]CRITERIOS!$M$25:$M$42),_xlfn.XLOOKUP($C17,[1]CRITERIOS!$K$25:$K$42,[1]CRITERIOS!$M$25:$M$42))),0),
                    ROUNDUP([1]CRITERIOS!$M$16/(IF(COUNTIF([1]CRITERIOS!$BG$11:$BG$201,$L17)&gt;=1,_xlfn.XLOOKUP($C17,[1]CRITERIOS!$K$25:$K$42,[1]CRITERIOS!$M$25:$M$42),_xlfn.XLOOKUP($C17,[1]CRITERIOS!$K$25:$K$42,[1]CRITERIOS!$M$25:$M$42))),0),
                    (E17+V17-SUMIF('[1]DATOS PBI Artículos'!A:A,A17,'[1]DATOS PBI Artículos'!X:X)-_xlfn.XLOOKUP(A17,'[1]DATOS PBI Artículos'!A:A,'[1]DATOS PBI Artículos'!W:W))/IF($O17="",$N17,$O17))),0))))</f>
        <v>4</v>
      </c>
      <c r="R17" s="33" t="str">
        <f>IF(U17&lt;&gt;"",U17,IF(F17="DV","MTO",IF(N17=0,"MTO",_xlfn.XLOOKUP(CONCATENATE(S17,T17),[1]CRITERIOS!$K$160:$K$168,[1]CRITERIOS!$N$160:$N$168))))</f>
        <v>MTS</v>
      </c>
      <c r="S17" s="33" t="str">
        <f>IF(G17="DV","MTO",IF(N17=0,"MTO",IF(OR(AND(N17=0,O17=""),IF(O17="",G17/N17,G17/O17)&gt;[1]CRITERIOS!$G$163),"MTO",IF(IF(O17="",G17/N17,G17/O17)&lt;[1]CRITERIOS!$H$161,"MTS","MTOS"))))</f>
        <v>MTS</v>
      </c>
      <c r="T17" s="33" t="str">
        <f>IF(F17="DV","MTO",IF(OR(AND($N17=0,O17=""),$F17/$J17&gt;[1]CRITERIOS!$G$170,$F17="DV"),"MTO",IF($F17/$J17&lt;[1]CRITERIOS!$H$168,"MTS","MTOS")))</f>
        <v>MTS</v>
      </c>
      <c r="V17" s="34">
        <f t="shared" si="0"/>
        <v>265406.58573682763</v>
      </c>
      <c r="X17" s="34">
        <f t="shared" si="1"/>
        <v>453406.58573682763</v>
      </c>
      <c r="Y17" s="34">
        <f t="shared" si="2"/>
        <v>145195.33745150527</v>
      </c>
      <c r="Z17" s="34">
        <f>IF($R17="MTO",
0,
($H17+$K17*($E17/[1]CRITERIOS!$M$16))/[1]CRITERIOS!$X$48)</f>
        <v>51195.337451505278</v>
      </c>
      <c r="AA17" s="34" t="e">
        <f>ROUNDUP(($Y17/_xlfn.XLOOKUP($A17,'[1]DATOS PBI Artículos'!$A$4:$A$4,'[1]DATOS PBI Artículos'!$Z$4:$Z$4))/_xlfn.XLOOKUP(_xlfn.XLOOKUP($A17,'[1]DATOS PBI Artículos'!$A$4:$A$4,'[1]DATOS PBI Artículos'!$Y$4:$Y$4),[1]CRITERIOS!$P$79:$P$123,[1]CRITERIOS!$S$79:$S$123,),0)</f>
        <v>#N/A</v>
      </c>
      <c r="AB17" s="33" t="e">
        <f t="array" ref="AB17">IF((E17+V17-_xlfn.XLOOKUP(A17,'[1]DATOS PBI Artículos'!$A$4:$A$4,'[1]DATOS PBI Artículos'!$W$4:$W$4))/N17&gt;ROUNDUP([1]CRITERIOS!$M$16/(IF(COUNTIF([1]CRITERIOS!$BG$11:$BG$201,L17)&gt;=1,_xlfn.XLOOKUP(ARTÍCULOS!L17,[1]CRITERIOS!$BG$11:$BG$201,[1]CRITERIOS!$BJ$11:$BJ$201),_xlfn.XLOOKUP(ARTÍCULOS!C17,[1]CRITERIOS!$K$25:$K$42,[1]CRITERIOS!$M$25:$M$42))),0),ROUNDUP([1]CRITERIOS!$M$16/(IF(COUNTIF([1]CRITERIOS!$BG$11:$BG$201,L17)&gt;=1,_xlfn.XLOOKUP(ARTÍCULOS!L17,[1]CRITERIOS!$BG$11:$BG$201:#REF!,[1]CRITERIOS!$BJ$11:$BJ$201),_xlfn.XLOOKUP(ARTÍCULOS!C17,[1]CRITERIOS!$K$25:$K$42,[1]CRITERIOS!$M$25:$M$42))),0),(E17+V17-_xlfn.XLOOKUP(A17,'[1]DATOS PBI Artículos'!$A$4:$A$4,'[1]DATOS PBI Artículos'!$W$4:$W$4))/N17)</f>
        <v>#N/A</v>
      </c>
      <c r="AC17" s="33" t="e">
        <f>IF(N17=0,"",(ROUNDUP((N17/2)/(_xlfn.XLOOKUP(A17,'[1]DATOS PBI Artículos'!$A$4:$A$4,'[1]DATOS PBI Artículos'!$Z$4:$Z$4)*_xlfn.XLOOKUP(_xlfn.XLOOKUP(A17,'[1]DATOS PBI Artículos'!$A$4:$A$4,'[1]DATOS PBI Artículos'!$Y$4:$Y$4),[1]CRITERIOS!$P$79:$P$123,[1]CRITERIOS!$S$79:$S$123)),0)*[1]CRITERIOS!$M$80*([1]CRITERIOS!$M$110/[1]CRITERIOS!$M$86)+(_xlfn.XLOOKUP(A17,'[1]DATOS PBI Artículos'!$A$4:$A$4,'[1]DATOS PBI Artículos'!$AA$4:$AA$4)*([1]CRITERIOS!$M$95+[1]CRITERIOS!$M$98)))/N17)</f>
        <v>#N/A</v>
      </c>
      <c r="AD17" s="33" t="e">
        <f>IF(N17=0,"",(ROUNDUP((N17/2)/(_xlfn.XLOOKUP(A17,'[1]DATOS PBI Artículos'!$A$4:$A$4,'[1]DATOS PBI Artículos'!$Z$4:$Z$4)*_xlfn.XLOOKUP(_xlfn.XLOOKUP(A17,'[1]DATOS PBI Artículos'!$A$4:$A$4,'[1]DATOS PBI Artículos'!$Y$4:$Y$4),[1]CRITERIOS!$P$79:$P$123,[1]CRITERIOS!$S$79:$S$123)),0)*[1]CRITERIOS!$M$80*([1]CRITERIOS!$M$89*[1]CRITERIOS!$M$92)+((_xlfn.XLOOKUP(A17,'[1]DATOS PBI Artículos'!$A$4:$A$4,'[1]DATOS PBI Artículos'!$AA$4:$AA$4)/2)*([1]CRITERIOS!$M$95+[1]CRITERIOS!$M$98)))/N17)</f>
        <v>#N/A</v>
      </c>
      <c r="AE17" s="39">
        <f>IF($R17="MTO","",
IF($H17=0,ROUNDUP(((_xlfn.XLOOKUP($A17,'[1]DATOS PBI Artículos'!$A:$A,'[1]DATOS PBI Artículos'!$AL:$AL))/(_xlfn.XLOOKUP($AF$1,[1]CRITERIOS!$S$16:$S$39,[1]CRITERIOS!$Y$16:$Y$39))*$J17+$Z17)/$G17,0)*$G17,
((_xlfn.XLOOKUP($A17,'[1]DATOS PBI Artículos'!$A:$A,'[1]DATOS PBI Artículos'!$AL:$AL))/(_xlfn.XLOOKUP($AF$1,[1]CRITERIOS!$S$16:$S$39,[1]CRITERIOS!$Y$16:$Y$39))*$J17+$Z17)))</f>
        <v>307616.45646697859</v>
      </c>
      <c r="AG17" s="39">
        <f>IF($R17="MTO","",
IF($H17=0,ROUNDUP(((_xlfn.XLOOKUP($A17,'[1]DATOS PBI Artículos'!$A:$A,'[1]DATOS PBI Artículos'!$AM:$AM))/(_xlfn.XLOOKUP($AH$1,[1]CRITERIOS!$S$16:$S$39,[1]CRITERIOS!$Y$16:$Y$39))*$J17+$Z17)/$G17,0)*$G17,
((_xlfn.XLOOKUP($A17,'[1]DATOS PBI Artículos'!$A:$A,'[1]DATOS PBI Artículos'!$AM:$AM))/(_xlfn.XLOOKUP($AH$1,[1]CRITERIOS!$S$16:$S$39,[1]CRITERIOS!$Y$16:$Y$39))*$J17+$Z17)))</f>
        <v>235387.62393150525</v>
      </c>
      <c r="AI17" s="39">
        <f>IF($R17="MTO","",
IF($H17=0,ROUNDUP(((_xlfn.XLOOKUP($A17,'[1]DATOS PBI Artículos'!$A:$A,'[1]DATOS PBI Artículos'!$AN:$AN))/(_xlfn.XLOOKUP($AJ$1,[1]CRITERIOS!$S$16:$S$39,[1]CRITERIOS!$Y$16:$Y$39))*$J17+$Z17)/$G17,0)*$G17,
((_xlfn.XLOOKUP($A17,'[1]DATOS PBI Artículos'!$A:$A,'[1]DATOS PBI Artículos'!$AN:$AN))/(_xlfn.XLOOKUP($AJ$1,[1]CRITERIOS!$S$16:$S$39,[1]CRITERIOS!$Y$16:$Y$39))*$J17+$Z17)))</f>
        <v>271811.49852306081</v>
      </c>
      <c r="AK17" s="39">
        <f>IF($R17="MTO","",
IF($H17=0,ROUNDUP(((_xlfn.XLOOKUP($A17,'[1]DATOS PBI Artículos'!$A:$A,'[1]DATOS PBI Artículos'!$AO:$AO))/(_xlfn.XLOOKUP($AL$1,[1]CRITERIOS!$S$16:$S$39,[1]CRITERIOS!$Y$16:$Y$39))*$J17+$Z17)/$G17,0)*$G17,
((_xlfn.XLOOKUP($A17,'[1]DATOS PBI Artículos'!$A:$A,'[1]DATOS PBI Artículos'!$AO:$AO))/(_xlfn.XLOOKUP($AL$1,[1]CRITERIOS!$S$16:$S$39,[1]CRITERIOS!$Y$16:$Y$39))*$J17+$Z17)))</f>
        <v>291468.35140854231</v>
      </c>
    </row>
    <row r="18" spans="1:37" ht="25.8" x14ac:dyDescent="0.5">
      <c r="A18" s="32" t="s">
        <v>40</v>
      </c>
      <c r="B18" s="33">
        <f>_xlfn.XLOOKUP($A18,'[1]DATOS PBI Artículos'!A:A,'[1]DATOS PBI Artículos'!B:B)</f>
        <v>0</v>
      </c>
      <c r="C18" s="33" t="str">
        <f>_xlfn.XLOOKUP($A18,'[1]DATOS PBI Artículos'!A:A,'[1]DATOS PBI Artículos'!C:C)</f>
        <v>UA01</v>
      </c>
      <c r="D18" s="33">
        <f>_xlfn.XLOOKUP(A18,'[1]DATOS PBI Artículos'!A:A,'[1]DATOS PBI Artículos'!T:T)</f>
        <v>3</v>
      </c>
      <c r="E18" s="34">
        <f>IF(_xlfn.XLOOKUP($A18,'[1]DATOS PBI Artículos'!A:A,'[1]DATOS PBI Artículos'!AK:AK)="",_xlfn.XLOOKUP($A18,'[1]DATOS PBI Artículos'!A:A,'[1]DATOS PBI Artículos'!AJ:AJ),_xlfn.XLOOKUP($A18,'[1]DATOS PBI Artículos'!A:A,'[1]DATOS PBI Artículos'!AK:AK))</f>
        <v>604800</v>
      </c>
      <c r="F18" s="35">
        <f>_xlfn.XLOOKUP($A18,'[1]DATOS PBI Artículos'!A:A,'[1]DATOS PBI Artículos'!AP:AP)</f>
        <v>27.5</v>
      </c>
      <c r="G18" s="34">
        <f>_xlfn.XLOOKUP($A18,'[1]DATOS PBI Artículos'!A:A,'[1]DATOS PBI Artículos'!AR:AR)</f>
        <v>201600</v>
      </c>
      <c r="H18" s="34">
        <f>_xlfn.XLOOKUP($A18,'[1]DATOS PBI Artículos'!A:A,'[1]DATOS PBI Artículos'!AT:AT)</f>
        <v>0</v>
      </c>
      <c r="I18" s="34">
        <f>_xlfn.XLOOKUP($A18,'[1]DATOS PBI Artículos'!A:A,'[1]DATOS PBI Artículos'!AS:AS)</f>
        <v>201600</v>
      </c>
      <c r="J18" s="35">
        <f>IF(COUNTIF([1]CRITERIOS!$F$179:$F$199,$A18)&gt;=1,
 IF(O18&lt;&gt;"",
    (O18/_xlfn.XLOOKUP(CONCATENATE(A18,L18),[1]MÁQUINAS!A:A,[1]MÁQUINAS!D:D))/24,
    (N18/_xlfn.XLOOKUP(CONCATENATE(A18,L18),[1]MÁQUINAS!A:A,[1]MÁQUINAS!D:D))/24),
  _xlfn.XLOOKUP($A18,'[1]DATOS PBI Artículos'!A:A,'[1]DATOS PBI Artículos'!AU:AU))</f>
        <v>21.130434782608695</v>
      </c>
      <c r="K18" s="36">
        <f>_xlfn.XLOOKUP($A18,'[1]DATOS PBI Artículos'!A:A,'[1]DATOS PBI Artículos'!AV:AV)</f>
        <v>5.0838813717839191</v>
      </c>
      <c r="L18" s="33">
        <f>_xlfn.XLOOKUP(A18,[1]MÁQUINAS!B:B,[1]MÁQUINAS!C:C)</f>
        <v>505</v>
      </c>
      <c r="M18" s="34">
        <f t="array" ref="M18">_xlfn.XLOOKUP(A18,'[1]DATOS PBI Artículos'!A:A,'[1]DATOS PBI Artículos'!AX:$AX)</f>
        <v>282537.4193876771</v>
      </c>
      <c r="N18" s="37">
        <f>IF(I18="DV",
E18,
IF(COUNTIF([1]CRITERIOS!$I$179:$I$199,$A18)&gt;=1,
_xlfn.XLOOKUP($A18,[1]CRITERIOS!$I$179:$I$199,[1]CRITERIOS!$J$179:$J$199),
IF(COUNTIF([1]CRITERIOS!$L$179:$L$199,$A18)&gt;=1,
_xlfn.CEILING.MATH(IF($M18&gt;$E18,
$E18,
IF($M18&lt;$E18/ROUNDDOWN([1]CRITERIOS!$M$16/_xlfn.XLOOKUP($C18,[1]CRITERIOS!$K$25:$K$42,[1]CRITERIOS!$M$25:$M$42),
1),
E18/ROUNDDOWN([1]CRITERIOS!$M$16/_xlfn.XLOOKUP($C18,[1]CRITERIOS!$K$25:$K$42,[1]CRITERIOS!$M$25:$M$42),
1),
$M18)),
_xlfn.XLOOKUP($A18,[1]CRITERIOS!$L$179:$L$200,[1]CRITERIOS!$M$179:$M$200)),
_xlfn.CEILING.MATH(IF($M18&gt;$E18,
$E18,
IF($M18&lt;$E18/ROUNDDOWN([1]CRITERIOS!$M$16/_xlfn.XLOOKUP($C18,[1]CRITERIOS!$K$25:$K$42,[1]CRITERIOS!$M$25:$M$42),
1),
E18/ROUNDDOWN([1]CRITERIOS!$M$16/_xlfn.XLOOKUP($C18,[1]CRITERIOS!$K$25:$K$42,[1]CRITERIOS!$M$25:$M$42),
1),
$M18)),_xlfn.XLOOKUP(A18,'[1]DATOS PBI Artículos'!A:A,'[1]DATOS PBI Artículos'!Z:Z
)))))</f>
        <v>285600</v>
      </c>
      <c r="Q18" s="38">
        <f>IF(AND(O18="",N18=0),
0,
   IF(COUNTIF([1]CRITERIOS!$F$179:$F$199,$A18)&gt;=1,
   1,
   IF(R18="MTO",
      $D18,
      ROUNDUP(
                    IF(($E18-SUMIF('[1]DATOS PBI Artículos'!A:A,A18,'[1]DATOS PBI Artículos'!X:X)+($V18-_xlfn.XLOOKUP(A18,'[1]DATOS PBI Artículos'!A:A,'[1]DATOS PBI Artículos'!W:W)))&lt;0,
                    0,
                    IF(($E18-SUMIF('[1]DATOS PBI Artículos'!A:A,A18,'[1]DATOS PBI Artículos'!X:X)+$V18-_xlfn.XLOOKUP($A18,'[1]DATOS PBI Artículos'!A:A,'[1]DATOS PBI Artículos'!W:W))/IF($O18="",$N18,$O18)&gt;ROUNDUP([1]CRITERIOS!$M$16/(IF(COUNTIF([1]CRITERIOS!$BG$11:$BG$201,L18)&gt;=1,_xlfn.XLOOKUP($C18,[1]CRITERIOS!$K$25:$K$42,[1]CRITERIOS!$M$25:$M$42),_xlfn.XLOOKUP($C18,[1]CRITERIOS!$K$25:$K$42,[1]CRITERIOS!$M$25:$M$42))),0),
                    ROUNDUP([1]CRITERIOS!$M$16/(IF(COUNTIF([1]CRITERIOS!$BG$11:$BG$201,$L18)&gt;=1,_xlfn.XLOOKUP($C18,[1]CRITERIOS!$K$25:$K$42,[1]CRITERIOS!$M$25:$M$42),_xlfn.XLOOKUP($C18,[1]CRITERIOS!$K$25:$K$42,[1]CRITERIOS!$M$25:$M$42))),0),
                    (E18+V18-SUMIF('[1]DATOS PBI Artículos'!A:A,A18,'[1]DATOS PBI Artículos'!X:X)-_xlfn.XLOOKUP(A18,'[1]DATOS PBI Artículos'!A:A,'[1]DATOS PBI Artículos'!W:W))/IF($O18="",$N18,$O18))),0))))</f>
        <v>3</v>
      </c>
      <c r="R18" s="33" t="str">
        <f>IF(U18&lt;&gt;"",U18,IF(F18="DV","MTO",IF(N18=0,"MTO",_xlfn.XLOOKUP(CONCATENATE(S18,T18),[1]CRITERIOS!$K$160:$K$168,[1]CRITERIOS!$N$160:$N$168))))</f>
        <v>MTO</v>
      </c>
      <c r="S18" s="33" t="str">
        <f>IF(G18="DV","MTO",IF(N18=0,"MTO",IF(OR(AND(N18=0,O18=""),IF(O18="",G18/N18,G18/O18)&gt;[1]CRITERIOS!$G$163),"MTO",IF(IF(O18="",G18/N18,G18/O18)&lt;[1]CRITERIOS!$H$161,"MTS","MTOS"))))</f>
        <v>MTOS</v>
      </c>
      <c r="T18" s="33" t="str">
        <f>IF(F18="DV","MTO",IF(OR(AND($N18=0,O18=""),$F18/$J18&gt;[1]CRITERIOS!$G$170,$F18="DV"),"MTO",IF($F18/$J18&lt;[1]CRITERIOS!$H$168,"MTS","MTOS")))</f>
        <v>MTO</v>
      </c>
      <c r="V18" s="34" t="str">
        <f t="shared" si="0"/>
        <v/>
      </c>
      <c r="X18" s="34">
        <f t="shared" si="1"/>
        <v>0</v>
      </c>
      <c r="Y18" s="34">
        <f t="shared" si="2"/>
        <v>0</v>
      </c>
      <c r="Z18" s="34">
        <f>IF($R18="MTO",
0,
($H18+$K18*($E18/[1]CRITERIOS!$M$16))/[1]CRITERIOS!$X$48)</f>
        <v>0</v>
      </c>
      <c r="AA18" s="34" t="e">
        <f>ROUNDUP(($Y18/_xlfn.XLOOKUP($A18,'[1]DATOS PBI Artículos'!$A$4:$A$4,'[1]DATOS PBI Artículos'!$Z$4:$Z$4))/_xlfn.XLOOKUP(_xlfn.XLOOKUP($A18,'[1]DATOS PBI Artículos'!$A$4:$A$4,'[1]DATOS PBI Artículos'!$Y$4:$Y$4),[1]CRITERIOS!$P$79:$P$123,[1]CRITERIOS!$S$79:$S$123,),0)</f>
        <v>#N/A</v>
      </c>
      <c r="AB18" s="33" t="e">
        <f t="array" ref="AB18">IF((E18+V18-_xlfn.XLOOKUP(A18,'[1]DATOS PBI Artículos'!$A$4:$A$4,'[1]DATOS PBI Artículos'!$W$4:$W$4))/N18&gt;ROUNDUP([1]CRITERIOS!$M$16/(IF(COUNTIF([1]CRITERIOS!$BG$11:$BG$201,L18)&gt;=1,_xlfn.XLOOKUP(ARTÍCULOS!L18,[1]CRITERIOS!$BG$11:$BG$201,[1]CRITERIOS!$BJ$11:$BJ$201),_xlfn.XLOOKUP(ARTÍCULOS!C18,[1]CRITERIOS!$K$25:$K$42,[1]CRITERIOS!$M$25:$M$42))),0),ROUNDUP([1]CRITERIOS!$M$16/(IF(COUNTIF([1]CRITERIOS!$BG$11:$BG$201,L18)&gt;=1,_xlfn.XLOOKUP(ARTÍCULOS!L18,[1]CRITERIOS!$BG$11:$BG$201:#REF!,[1]CRITERIOS!$BJ$11:$BJ$201),_xlfn.XLOOKUP(ARTÍCULOS!C18,[1]CRITERIOS!$K$25:$K$42,[1]CRITERIOS!$M$25:$M$42))),0),(E18+V18-_xlfn.XLOOKUP(A18,'[1]DATOS PBI Artículos'!$A$4:$A$4,'[1]DATOS PBI Artículos'!$W$4:$W$4))/N18)</f>
        <v>#VALUE!</v>
      </c>
      <c r="AC18" s="33" t="e">
        <f>IF(N18=0,"",(ROUNDUP((N18/2)/(_xlfn.XLOOKUP(A18,'[1]DATOS PBI Artículos'!$A$4:$A$4,'[1]DATOS PBI Artículos'!$Z$4:$Z$4)*_xlfn.XLOOKUP(_xlfn.XLOOKUP(A18,'[1]DATOS PBI Artículos'!$A$4:$A$4,'[1]DATOS PBI Artículos'!$Y$4:$Y$4),[1]CRITERIOS!$P$79:$P$123,[1]CRITERIOS!$S$79:$S$123)),0)*[1]CRITERIOS!$M$80*([1]CRITERIOS!$M$110/[1]CRITERIOS!$M$86)+(_xlfn.XLOOKUP(A18,'[1]DATOS PBI Artículos'!$A$4:$A$4,'[1]DATOS PBI Artículos'!$AA$4:$AA$4)*([1]CRITERIOS!$M$95+[1]CRITERIOS!$M$98)))/N18)</f>
        <v>#N/A</v>
      </c>
      <c r="AD18" s="33" t="e">
        <f>IF(N18=0,"",(ROUNDUP((N18/2)/(_xlfn.XLOOKUP(A18,'[1]DATOS PBI Artículos'!$A$4:$A$4,'[1]DATOS PBI Artículos'!$Z$4:$Z$4)*_xlfn.XLOOKUP(_xlfn.XLOOKUP(A18,'[1]DATOS PBI Artículos'!$A$4:$A$4,'[1]DATOS PBI Artículos'!$Y$4:$Y$4),[1]CRITERIOS!$P$79:$P$123,[1]CRITERIOS!$S$79:$S$123)),0)*[1]CRITERIOS!$M$80*([1]CRITERIOS!$M$89*[1]CRITERIOS!$M$92)+((_xlfn.XLOOKUP(A18,'[1]DATOS PBI Artículos'!$A$4:$A$4,'[1]DATOS PBI Artículos'!$AA$4:$AA$4)/2)*([1]CRITERIOS!$M$95+[1]CRITERIOS!$M$98)))/N18)</f>
        <v>#N/A</v>
      </c>
      <c r="AE18" s="39" t="str">
        <f>IF($R18="MTO","",
IF($H18=0,ROUNDUP(((_xlfn.XLOOKUP($A18,'[1]DATOS PBI Artículos'!$A:$A,'[1]DATOS PBI Artículos'!$AL:$AL))/(_xlfn.XLOOKUP($AF$1,[1]CRITERIOS!$S$16:$S$39,[1]CRITERIOS!$Y$16:$Y$39))*$J18+$Z18)/$G18,0)*$G18,
((_xlfn.XLOOKUP($A18,'[1]DATOS PBI Artículos'!$A:$A,'[1]DATOS PBI Artículos'!$AL:$AL))/(_xlfn.XLOOKUP($AF$1,[1]CRITERIOS!$S$16:$S$39,[1]CRITERIOS!$Y$16:$Y$39))*$J18+$Z18)))</f>
        <v/>
      </c>
      <c r="AG18" s="39" t="str">
        <f>IF($R18="MTO","",
IF($H18=0,ROUNDUP(((_xlfn.XLOOKUP($A18,'[1]DATOS PBI Artículos'!$A:$A,'[1]DATOS PBI Artículos'!$AM:$AM))/(_xlfn.XLOOKUP($AH$1,[1]CRITERIOS!$S$16:$S$39,[1]CRITERIOS!$Y$16:$Y$39))*$J18+$Z18)/$G18,0)*$G18,
((_xlfn.XLOOKUP($A18,'[1]DATOS PBI Artículos'!$A:$A,'[1]DATOS PBI Artículos'!$AM:$AM))/(_xlfn.XLOOKUP($AH$1,[1]CRITERIOS!$S$16:$S$39,[1]CRITERIOS!$Y$16:$Y$39))*$J18+$Z18)))</f>
        <v/>
      </c>
      <c r="AI18" s="39" t="str">
        <f>IF($R18="MTO","",
IF($H18=0,ROUNDUP(((_xlfn.XLOOKUP($A18,'[1]DATOS PBI Artículos'!$A:$A,'[1]DATOS PBI Artículos'!$AN:$AN))/(_xlfn.XLOOKUP($AJ$1,[1]CRITERIOS!$S$16:$S$39,[1]CRITERIOS!$Y$16:$Y$39))*$J18+$Z18)/$G18,0)*$G18,
((_xlfn.XLOOKUP($A18,'[1]DATOS PBI Artículos'!$A:$A,'[1]DATOS PBI Artículos'!$AN:$AN))/(_xlfn.XLOOKUP($AJ$1,[1]CRITERIOS!$S$16:$S$39,[1]CRITERIOS!$Y$16:$Y$39))*$J18+$Z18)))</f>
        <v/>
      </c>
      <c r="AK18" s="39" t="str">
        <f>IF($R18="MTO","",
IF($H18=0,ROUNDUP(((_xlfn.XLOOKUP($A18,'[1]DATOS PBI Artículos'!$A:$A,'[1]DATOS PBI Artículos'!$AO:$AO))/(_xlfn.XLOOKUP($AL$1,[1]CRITERIOS!$S$16:$S$39,[1]CRITERIOS!$Y$16:$Y$39))*$J18+$Z18)/$G18,0)*$G18,
((_xlfn.XLOOKUP($A18,'[1]DATOS PBI Artículos'!$A:$A,'[1]DATOS PBI Artículos'!$AO:$AO))/(_xlfn.XLOOKUP($AL$1,[1]CRITERIOS!$S$16:$S$39,[1]CRITERIOS!$Y$16:$Y$39))*$J18+$Z18)))</f>
        <v/>
      </c>
    </row>
    <row r="19" spans="1:37" ht="25.8" x14ac:dyDescent="0.5">
      <c r="A19" s="32" t="s">
        <v>41</v>
      </c>
      <c r="B19" s="33">
        <f>_xlfn.XLOOKUP($A19,'[1]DATOS PBI Artículos'!A:A,'[1]DATOS PBI Artículos'!B:B)</f>
        <v>0</v>
      </c>
      <c r="C19" s="33" t="str">
        <f>_xlfn.XLOOKUP($A19,'[1]DATOS PBI Artículos'!A:A,'[1]DATOS PBI Artículos'!C:C)</f>
        <v>UA02</v>
      </c>
      <c r="D19" s="33">
        <f>_xlfn.XLOOKUP(A19,'[1]DATOS PBI Artículos'!A:A,'[1]DATOS PBI Artículos'!T:T)</f>
        <v>4</v>
      </c>
      <c r="E19" s="34">
        <f>IF(_xlfn.XLOOKUP($A19,'[1]DATOS PBI Artículos'!A:A,'[1]DATOS PBI Artículos'!AK:AK)="",_xlfn.XLOOKUP($A19,'[1]DATOS PBI Artículos'!A:A,'[1]DATOS PBI Artículos'!AJ:AJ),_xlfn.XLOOKUP($A19,'[1]DATOS PBI Artículos'!A:A,'[1]DATOS PBI Artículos'!AK:AK))</f>
        <v>550000</v>
      </c>
      <c r="F19" s="35">
        <f>_xlfn.XLOOKUP($A19,'[1]DATOS PBI Artículos'!A:A,'[1]DATOS PBI Artículos'!AP:AP)</f>
        <v>1.2857142857099999</v>
      </c>
      <c r="G19" s="34">
        <f>_xlfn.XLOOKUP($A19,'[1]DATOS PBI Artículos'!A:A,'[1]DATOS PBI Artículos'!AR:AR)</f>
        <v>10000</v>
      </c>
      <c r="H19" s="34">
        <f>_xlfn.XLOOKUP($A19,'[1]DATOS PBI Artículos'!A:A,'[1]DATOS PBI Artículos'!AT:AT)</f>
        <v>0</v>
      </c>
      <c r="I19" s="34">
        <f>_xlfn.XLOOKUP($A19,'[1]DATOS PBI Artículos'!A:A,'[1]DATOS PBI Artículos'!AS:AS)</f>
        <v>10000</v>
      </c>
      <c r="J19" s="35">
        <f>IF(COUNTIF([1]CRITERIOS!$F$179:$F$199,$A19)&gt;=1,
 IF(O19&lt;&gt;"",
    (O19/_xlfn.XLOOKUP(CONCATENATE(A19,L19),[1]MÁQUINAS!A:A,[1]MÁQUINAS!D:D))/24,
    (N19/_xlfn.XLOOKUP(CONCATENATE(A19,L19),[1]MÁQUINAS!A:A,[1]MÁQUINAS!D:D))/24),
  _xlfn.XLOOKUP($A19,'[1]DATOS PBI Artículos'!A:A,'[1]DATOS PBI Artículos'!AU:AU))</f>
        <v>20</v>
      </c>
      <c r="K19" s="36">
        <f>_xlfn.XLOOKUP($A19,'[1]DATOS PBI Artículos'!A:A,'[1]DATOS PBI Artículos'!AV:AV)</f>
        <v>2</v>
      </c>
      <c r="L19" s="33">
        <f>_xlfn.XLOOKUP(A19,[1]MÁQUINAS!B:B,[1]MÁQUINAS!C:C)</f>
        <v>213</v>
      </c>
      <c r="M19" s="34">
        <f t="array" ref="M19">_xlfn.XLOOKUP(A19,'[1]DATOS PBI Artículos'!A:A,'[1]DATOS PBI Artículos'!AX:$AX)</f>
        <v>118238.77442361592</v>
      </c>
      <c r="N19" s="37">
        <f>IF(I19="DV",
E19,
IF(COUNTIF([1]CRITERIOS!$I$179:$I$199,$A19)&gt;=1,
_xlfn.XLOOKUP($A19,[1]CRITERIOS!$I$179:$I$199,[1]CRITERIOS!$J$179:$J$199),
IF(COUNTIF([1]CRITERIOS!$L$179:$L$199,$A19)&gt;=1,
_xlfn.CEILING.MATH(IF($M19&gt;$E19,
$E19,
IF($M19&lt;$E19/ROUNDDOWN([1]CRITERIOS!$M$16/_xlfn.XLOOKUP($C19,[1]CRITERIOS!$K$25:$K$42,[1]CRITERIOS!$M$25:$M$42),
1),
E19/ROUNDDOWN([1]CRITERIOS!$M$16/_xlfn.XLOOKUP($C19,[1]CRITERIOS!$K$25:$K$42,[1]CRITERIOS!$M$25:$M$42),
1),
$M19)),
_xlfn.XLOOKUP($A19,[1]CRITERIOS!$L$179:$L$200,[1]CRITERIOS!$M$179:$M$200)),
_xlfn.CEILING.MATH(IF($M19&gt;$E19,
$E19,
IF($M19&lt;$E19/ROUNDDOWN([1]CRITERIOS!$M$16/_xlfn.XLOOKUP($C19,[1]CRITERIOS!$K$25:$K$42,[1]CRITERIOS!$M$25:$M$42),
1),
E19/ROUNDDOWN([1]CRITERIOS!$M$16/_xlfn.XLOOKUP($C19,[1]CRITERIOS!$K$25:$K$42,[1]CRITERIOS!$M$25:$M$42),
1),
$M19)),_xlfn.XLOOKUP(A19,'[1]DATOS PBI Artículos'!A:A,'[1]DATOS PBI Artículos'!Z:Z
)))))</f>
        <v>150000</v>
      </c>
      <c r="Q19" s="38">
        <f>IF(AND(O19="",N19=0),
0,
   IF(COUNTIF([1]CRITERIOS!$F$179:$F$199,$A19)&gt;=1,
   1,
   IF(R19="MTO",
      $D19,
      ROUNDUP(
                    IF(($E19-SUMIF('[1]DATOS PBI Artículos'!A:A,A19,'[1]DATOS PBI Artículos'!X:X)+($V19-_xlfn.XLOOKUP(A19,'[1]DATOS PBI Artículos'!A:A,'[1]DATOS PBI Artículos'!W:W)))&lt;0,
                    0,
                    IF(($E19-SUMIF('[1]DATOS PBI Artículos'!A:A,A19,'[1]DATOS PBI Artículos'!X:X)+$V19-_xlfn.XLOOKUP($A19,'[1]DATOS PBI Artículos'!A:A,'[1]DATOS PBI Artículos'!W:W))/IF($O19="",$N19,$O19)&gt;ROUNDUP([1]CRITERIOS!$M$16/(IF(COUNTIF([1]CRITERIOS!$BG$11:$BG$201,L19)&gt;=1,_xlfn.XLOOKUP($C19,[1]CRITERIOS!$K$25:$K$42,[1]CRITERIOS!$M$25:$M$42),_xlfn.XLOOKUP($C19,[1]CRITERIOS!$K$25:$K$42,[1]CRITERIOS!$M$25:$M$42))),0),
                    ROUNDUP([1]CRITERIOS!$M$16/(IF(COUNTIF([1]CRITERIOS!$BG$11:$BG$201,$L19)&gt;=1,_xlfn.XLOOKUP($C19,[1]CRITERIOS!$K$25:$K$42,[1]CRITERIOS!$M$25:$M$42),_xlfn.XLOOKUP($C19,[1]CRITERIOS!$K$25:$K$42,[1]CRITERIOS!$M$25:$M$42))),0),
                    (E19+V19-SUMIF('[1]DATOS PBI Artículos'!A:A,A19,'[1]DATOS PBI Artículos'!X:X)-_xlfn.XLOOKUP(A19,'[1]DATOS PBI Artículos'!A:A,'[1]DATOS PBI Artículos'!W:W))/IF($O19="",$N19,$O19))),0))))</f>
        <v>4</v>
      </c>
      <c r="R19" s="33" t="str">
        <f>IF(U19&lt;&gt;"",U19,IF(F19="DV","MTO",IF(N19=0,"MTO",_xlfn.XLOOKUP(CONCATENATE(S19,T19),[1]CRITERIOS!$K$160:$K$168,[1]CRITERIOS!$N$160:$N$168))))</f>
        <v>MTS</v>
      </c>
      <c r="S19" s="33" t="str">
        <f>IF(G19="DV","MTO",IF(N19=0,"MTO",IF(OR(AND(N19=0,O19=""),IF(O19="",G19/N19,G19/O19)&gt;[1]CRITERIOS!$G$163),"MTO",IF(IF(O19="",G19/N19,G19/O19)&lt;[1]CRITERIOS!$H$161,"MTS","MTOS"))))</f>
        <v>MTS</v>
      </c>
      <c r="T19" s="33" t="str">
        <f>IF(F19="DV","MTO",IF(OR(AND($N19=0,O19=""),$F19/$J19&gt;[1]CRITERIOS!$G$170,$F19="DV"),"MTO",IF($F19/$J19&lt;[1]CRITERIOS!$H$168,"MTS","MTOS")))</f>
        <v>MTS</v>
      </c>
      <c r="V19" s="34">
        <f t="shared" si="0"/>
        <v>167777.77777829629</v>
      </c>
      <c r="X19" s="34">
        <f t="shared" si="1"/>
        <v>317777.77777829627</v>
      </c>
      <c r="Y19" s="34">
        <f t="shared" si="2"/>
        <v>87222.222222222219</v>
      </c>
      <c r="Z19" s="34">
        <f>IF($R19="MTO",
0,
($H19+$K19*($E19/[1]CRITERIOS!$M$16))/[1]CRITERIOS!$X$48)</f>
        <v>12222.222222222223</v>
      </c>
      <c r="AA19" s="34" t="e">
        <f>ROUNDUP(($Y19/_xlfn.XLOOKUP($A19,'[1]DATOS PBI Artículos'!$A$4:$A$4,'[1]DATOS PBI Artículos'!$Z$4:$Z$4))/_xlfn.XLOOKUP(_xlfn.XLOOKUP($A19,'[1]DATOS PBI Artículos'!$A$4:$A$4,'[1]DATOS PBI Artículos'!$Y$4:$Y$4),[1]CRITERIOS!$P$79:$P$123,[1]CRITERIOS!$S$79:$S$123,),0)</f>
        <v>#N/A</v>
      </c>
      <c r="AB19" s="33" t="e">
        <f t="array" ref="AB19">IF((E19+V19-_xlfn.XLOOKUP(A19,'[1]DATOS PBI Artículos'!$A$4:$A$4,'[1]DATOS PBI Artículos'!$W$4:$W$4))/N19&gt;ROUNDUP([1]CRITERIOS!$M$16/(IF(COUNTIF([1]CRITERIOS!$BG$11:$BG$201,L19)&gt;=1,_xlfn.XLOOKUP(ARTÍCULOS!L19,[1]CRITERIOS!$BG$11:$BG$201,[1]CRITERIOS!$BJ$11:$BJ$201),_xlfn.XLOOKUP(ARTÍCULOS!C19,[1]CRITERIOS!$K$25:$K$42,[1]CRITERIOS!$M$25:$M$42))),0),ROUNDUP([1]CRITERIOS!$M$16/(IF(COUNTIF([1]CRITERIOS!$BG$11:$BG$201,L19)&gt;=1,_xlfn.XLOOKUP(ARTÍCULOS!L19,[1]CRITERIOS!$BG$11:$BG$201:#REF!,[1]CRITERIOS!$BJ$11:$BJ$201),_xlfn.XLOOKUP(ARTÍCULOS!C19,[1]CRITERIOS!$K$25:$K$42,[1]CRITERIOS!$M$25:$M$42))),0),(E19+V19-_xlfn.XLOOKUP(A19,'[1]DATOS PBI Artículos'!$A$4:$A$4,'[1]DATOS PBI Artículos'!$W$4:$W$4))/N19)</f>
        <v>#N/A</v>
      </c>
      <c r="AC19" s="33" t="e">
        <f>IF(N19=0,"",(ROUNDUP((N19/2)/(_xlfn.XLOOKUP(A19,'[1]DATOS PBI Artículos'!$A$4:$A$4,'[1]DATOS PBI Artículos'!$Z$4:$Z$4)*_xlfn.XLOOKUP(_xlfn.XLOOKUP(A19,'[1]DATOS PBI Artículos'!$A$4:$A$4,'[1]DATOS PBI Artículos'!$Y$4:$Y$4),[1]CRITERIOS!$P$79:$P$123,[1]CRITERIOS!$S$79:$S$123)),0)*[1]CRITERIOS!$M$80*([1]CRITERIOS!$M$110/[1]CRITERIOS!$M$86)+(_xlfn.XLOOKUP(A19,'[1]DATOS PBI Artículos'!$A$4:$A$4,'[1]DATOS PBI Artículos'!$AA$4:$AA$4)*([1]CRITERIOS!$M$95+[1]CRITERIOS!$M$98)))/N19)</f>
        <v>#N/A</v>
      </c>
      <c r="AD19" s="33" t="e">
        <f>IF(N19=0,"",(ROUNDUP((N19/2)/(_xlfn.XLOOKUP(A19,'[1]DATOS PBI Artículos'!$A$4:$A$4,'[1]DATOS PBI Artículos'!$Z$4:$Z$4)*_xlfn.XLOOKUP(_xlfn.XLOOKUP(A19,'[1]DATOS PBI Artículos'!$A$4:$A$4,'[1]DATOS PBI Artículos'!$Y$4:$Y$4),[1]CRITERIOS!$P$79:$P$123,[1]CRITERIOS!$S$79:$S$123)),0)*[1]CRITERIOS!$M$80*([1]CRITERIOS!$M$89*[1]CRITERIOS!$M$92)+((_xlfn.XLOOKUP(A19,'[1]DATOS PBI Artículos'!$A$4:$A$4,'[1]DATOS PBI Artículos'!$AA$4:$AA$4)/2)*([1]CRITERIOS!$M$95+[1]CRITERIOS!$M$98)))/N19)</f>
        <v>#N/A</v>
      </c>
      <c r="AE19" s="39">
        <f>IF($R19="MTO","",
IF($H19=0,ROUNDUP(((_xlfn.XLOOKUP($A19,'[1]DATOS PBI Artículos'!$A:$A,'[1]DATOS PBI Artículos'!$AL:$AL))/(_xlfn.XLOOKUP($AF$1,[1]CRITERIOS!$S$16:$S$39,[1]CRITERIOS!$Y$16:$Y$39))*$J19+$Z19)/$G19,0)*$G19,
((_xlfn.XLOOKUP($A19,'[1]DATOS PBI Artículos'!$A:$A,'[1]DATOS PBI Artículos'!$AL:$AL))/(_xlfn.XLOOKUP($AF$1,[1]CRITERIOS!$S$16:$S$39,[1]CRITERIOS!$Y$16:$Y$39))*$J19+$Z19)))</f>
        <v>190000</v>
      </c>
      <c r="AG19" s="39">
        <f>IF($R19="MTO","",
IF($H19=0,ROUNDUP(((_xlfn.XLOOKUP($A19,'[1]DATOS PBI Artículos'!$A:$A,'[1]DATOS PBI Artículos'!$AM:$AM))/(_xlfn.XLOOKUP($AH$1,[1]CRITERIOS!$S$16:$S$39,[1]CRITERIOS!$Y$16:$Y$39))*$J19+$Z19)/$G19,0)*$G19,
((_xlfn.XLOOKUP($A19,'[1]DATOS PBI Artículos'!$A:$A,'[1]DATOS PBI Artículos'!$AM:$AM))/(_xlfn.XLOOKUP($AH$1,[1]CRITERIOS!$S$16:$S$39,[1]CRITERIOS!$Y$16:$Y$39))*$J19+$Z19)))</f>
        <v>140000</v>
      </c>
      <c r="AI19" s="39">
        <f>IF($R19="MTO","",
IF($H19=0,ROUNDUP(((_xlfn.XLOOKUP($A19,'[1]DATOS PBI Artículos'!$A:$A,'[1]DATOS PBI Artículos'!$AN:$AN))/(_xlfn.XLOOKUP($AJ$1,[1]CRITERIOS!$S$16:$S$39,[1]CRITERIOS!$Y$16:$Y$39))*$J19+$Z19)/$G19,0)*$G19,
((_xlfn.XLOOKUP($A19,'[1]DATOS PBI Artículos'!$A:$A,'[1]DATOS PBI Artículos'!$AN:$AN))/(_xlfn.XLOOKUP($AJ$1,[1]CRITERIOS!$S$16:$S$39,[1]CRITERIOS!$Y$16:$Y$39))*$J19+$Z19)))</f>
        <v>160000</v>
      </c>
      <c r="AK19" s="39">
        <f>IF($R19="MTO","",
IF($H19=0,ROUNDUP(((_xlfn.XLOOKUP($A19,'[1]DATOS PBI Artículos'!$A:$A,'[1]DATOS PBI Artículos'!$AO:$AO))/(_xlfn.XLOOKUP($AL$1,[1]CRITERIOS!$S$16:$S$39,[1]CRITERIOS!$Y$16:$Y$39))*$J19+$Z19)/$G19,0)*$G19,
((_xlfn.XLOOKUP($A19,'[1]DATOS PBI Artículos'!$A:$A,'[1]DATOS PBI Artículos'!$AO:$AO))/(_xlfn.XLOOKUP($AL$1,[1]CRITERIOS!$S$16:$S$39,[1]CRITERIOS!$Y$16:$Y$39))*$J19+$Z19)))</f>
        <v>180000</v>
      </c>
    </row>
    <row r="20" spans="1:37" ht="25.8" x14ac:dyDescent="0.5">
      <c r="A20" s="32">
        <v>453389</v>
      </c>
      <c r="B20" s="33">
        <f>_xlfn.XLOOKUP($A20,'[1]DATOS PBI Artículos'!A:A,'[1]DATOS PBI Artículos'!B:B)</f>
        <v>0</v>
      </c>
      <c r="C20" s="33" t="str">
        <f>_xlfn.XLOOKUP($A20,'[1]DATOS PBI Artículos'!A:A,'[1]DATOS PBI Artículos'!C:C)</f>
        <v>UA03</v>
      </c>
      <c r="D20" s="33">
        <f>_xlfn.XLOOKUP(A20,'[1]DATOS PBI Artículos'!A:A,'[1]DATOS PBI Artículos'!T:T)</f>
        <v>7</v>
      </c>
      <c r="E20" s="34">
        <f>IF(_xlfn.XLOOKUP($A20,'[1]DATOS PBI Artículos'!A:A,'[1]DATOS PBI Artículos'!AK:AK)="",_xlfn.XLOOKUP($A20,'[1]DATOS PBI Artículos'!A:A,'[1]DATOS PBI Artículos'!AJ:AJ),_xlfn.XLOOKUP($A20,'[1]DATOS PBI Artículos'!A:A,'[1]DATOS PBI Artículos'!AK:AK))</f>
        <v>540000</v>
      </c>
      <c r="F20" s="35">
        <f>_xlfn.XLOOKUP($A20,'[1]DATOS PBI Artículos'!A:A,'[1]DATOS PBI Artículos'!AP:AP)</f>
        <v>8.8333333333299997</v>
      </c>
      <c r="G20" s="34">
        <f>_xlfn.XLOOKUP($A20,'[1]DATOS PBI Artículos'!A:A,'[1]DATOS PBI Artículos'!AR:AR)</f>
        <v>80000</v>
      </c>
      <c r="H20" s="34">
        <f>_xlfn.XLOOKUP($A20,'[1]DATOS PBI Artículos'!A:A,'[1]DATOS PBI Artículos'!AT:AT)</f>
        <v>21380.89935299394</v>
      </c>
      <c r="I20" s="34">
        <f>_xlfn.XLOOKUP($A20,'[1]DATOS PBI Artículos'!A:A,'[1]DATOS PBI Artículos'!AS:AS)</f>
        <v>20000</v>
      </c>
      <c r="J20" s="35">
        <f>IF(COUNTIF([1]CRITERIOS!$F$179:$F$199,$A20)&gt;=1,
 IF(O20&lt;&gt;"",
    (O20/_xlfn.XLOOKUP(CONCATENATE(A20,L20),[1]MÁQUINAS!A:A,[1]MÁQUINAS!D:D))/24,
    (N20/_xlfn.XLOOKUP(CONCATENATE(A20,L20),[1]MÁQUINAS!A:A,[1]MÁQUINAS!D:D))/24),
  _xlfn.XLOOKUP($A20,'[1]DATOS PBI Artículos'!A:A,'[1]DATOS PBI Artículos'!AU:AU))</f>
        <v>20.714285714285715</v>
      </c>
      <c r="K20" s="36">
        <f>_xlfn.XLOOKUP($A20,'[1]DATOS PBI Artículos'!A:A,'[1]DATOS PBI Artículos'!AV:AV)</f>
        <v>8.3409489011399991</v>
      </c>
      <c r="L20" s="33">
        <f>_xlfn.XLOOKUP(A20,[1]MÁQUINAS!B:B,[1]MÁQUINAS!C:C)</f>
        <v>122</v>
      </c>
      <c r="M20" s="34">
        <f t="array" ref="M20">_xlfn.XLOOKUP(A20,'[1]DATOS PBI Artículos'!A:A,'[1]DATOS PBI Artículos'!AX:$AX)</f>
        <v>137439.88091638341</v>
      </c>
      <c r="N20" s="37">
        <f>IF(I20="DV",
E20,
IF(COUNTIF([1]CRITERIOS!$I$179:$I$199,$A20)&gt;=1,
_xlfn.XLOOKUP($A20,[1]CRITERIOS!$I$179:$I$199,[1]CRITERIOS!$J$179:$J$199),
IF(COUNTIF([1]CRITERIOS!$L$179:$L$199,$A20)&gt;=1,
_xlfn.CEILING.MATH(IF($M20&gt;$E20,
$E20,
IF($M20&lt;$E20/ROUNDDOWN([1]CRITERIOS!$M$16/_xlfn.XLOOKUP($C20,[1]CRITERIOS!$K$25:$K$42,[1]CRITERIOS!$M$25:$M$42),
1),
E20/ROUNDDOWN([1]CRITERIOS!$M$16/_xlfn.XLOOKUP($C20,[1]CRITERIOS!$K$25:$K$42,[1]CRITERIOS!$M$25:$M$42),
1),
$M20)),
_xlfn.XLOOKUP($A20,[1]CRITERIOS!$L$179:$L$200,[1]CRITERIOS!$M$179:$M$200)),
_xlfn.CEILING.MATH(IF($M20&gt;$E20,
$E20,
IF($M20&lt;$E20/ROUNDDOWN([1]CRITERIOS!$M$16/_xlfn.XLOOKUP($C20,[1]CRITERIOS!$K$25:$K$42,[1]CRITERIOS!$M$25:$M$42),
1),
E20/ROUNDDOWN([1]CRITERIOS!$M$16/_xlfn.XLOOKUP($C20,[1]CRITERIOS!$K$25:$K$42,[1]CRITERIOS!$M$25:$M$42),
1),
$M20)),_xlfn.XLOOKUP(A20,'[1]DATOS PBI Artículos'!A:A,'[1]DATOS PBI Artículos'!Z:Z
)))))</f>
        <v>150000</v>
      </c>
      <c r="Q20" s="38">
        <f>IF(AND(O20="",N20=0),
0,
   IF(COUNTIF([1]CRITERIOS!$F$179:$F$199,$A20)&gt;=1,
   1,
   IF(R20="MTO",
      $D20,
      ROUNDUP(
                    IF(($E20-SUMIF('[1]DATOS PBI Artículos'!A:A,A20,'[1]DATOS PBI Artículos'!X:X)+($V20-_xlfn.XLOOKUP(A20,'[1]DATOS PBI Artículos'!A:A,'[1]DATOS PBI Artículos'!W:W)))&lt;0,
                    0,
                    IF(($E20-SUMIF('[1]DATOS PBI Artículos'!A:A,A20,'[1]DATOS PBI Artículos'!X:X)+$V20-_xlfn.XLOOKUP($A20,'[1]DATOS PBI Artículos'!A:A,'[1]DATOS PBI Artículos'!W:W))/IF($O20="",$N20,$O20)&gt;ROUNDUP([1]CRITERIOS!$M$16/(IF(COUNTIF([1]CRITERIOS!$BG$11:$BG$201,L20)&gt;=1,_xlfn.XLOOKUP($C20,[1]CRITERIOS!$K$25:$K$42,[1]CRITERIOS!$M$25:$M$42),_xlfn.XLOOKUP($C20,[1]CRITERIOS!$K$25:$K$42,[1]CRITERIOS!$M$25:$M$42))),0),
                    ROUNDUP([1]CRITERIOS!$M$16/(IF(COUNTIF([1]CRITERIOS!$BG$11:$BG$201,$L20)&gt;=1,_xlfn.XLOOKUP($C20,[1]CRITERIOS!$K$25:$K$42,[1]CRITERIOS!$M$25:$M$42),_xlfn.XLOOKUP($C20,[1]CRITERIOS!$K$25:$K$42,[1]CRITERIOS!$M$25:$M$42))),0),
                    (E20+V20-SUMIF('[1]DATOS PBI Artículos'!A:A,A20,'[1]DATOS PBI Artículos'!X:X)-_xlfn.XLOOKUP(A20,'[1]DATOS PBI Artículos'!A:A,'[1]DATOS PBI Artículos'!W:W))/IF($O20="",$N20,$O20))),0))))</f>
        <v>4</v>
      </c>
      <c r="R20" s="33" t="str">
        <f>IF(U20&lt;&gt;"",U20,IF(F20="DV","MTO",IF(N20=0,"MTO",_xlfn.XLOOKUP(CONCATENATE(S20,T20),[1]CRITERIOS!$K$160:$K$168,[1]CRITERIOS!$N$160:$N$168))))</f>
        <v>MTS</v>
      </c>
      <c r="S20" s="33" t="str">
        <f>IF(G20="DV","MTO",IF(N20=0,"MTO",IF(OR(AND(N20=0,O20=""),IF(O20="",G20/N20,G20/O20)&gt;[1]CRITERIOS!$G$163),"MTO",IF(IF(O20="",G20/N20,G20/O20)&lt;[1]CRITERIOS!$H$161,"MTS","MTOS"))))</f>
        <v>MTOS</v>
      </c>
      <c r="T20" s="33" t="str">
        <f>IF(F20="DV","MTO",IF(OR(AND($N20=0,O20=""),$F20/$J20&gt;[1]CRITERIOS!$G$170,$F20="DV"),"MTO",IF($F20/$J20&lt;[1]CRITERIOS!$H$168,"MTS","MTOS")))</f>
        <v>MTS</v>
      </c>
      <c r="V20" s="34">
        <f t="shared" si="0"/>
        <v>255464.18770152167</v>
      </c>
      <c r="X20" s="34">
        <f t="shared" si="1"/>
        <v>405464.18770152167</v>
      </c>
      <c r="Y20" s="34">
        <f t="shared" si="2"/>
        <v>142863.10953433494</v>
      </c>
      <c r="Z20" s="34">
        <f>IF($R20="MTO",
0,
($H20+$K20*($E20/[1]CRITERIOS!$M$16))/[1]CRITERIOS!$X$48)</f>
        <v>67863.109534334944</v>
      </c>
      <c r="AA20" s="34" t="e">
        <f>ROUNDUP(($Y20/_xlfn.XLOOKUP($A20,'[1]DATOS PBI Artículos'!$A$4:$A$4,'[1]DATOS PBI Artículos'!$Z$4:$Z$4))/_xlfn.XLOOKUP(_xlfn.XLOOKUP($A20,'[1]DATOS PBI Artículos'!$A$4:$A$4,'[1]DATOS PBI Artículos'!$Y$4:$Y$4),[1]CRITERIOS!$P$79:$P$123,[1]CRITERIOS!$S$79:$S$123,),0)</f>
        <v>#N/A</v>
      </c>
      <c r="AB20" s="33" t="e">
        <f t="array" ref="AB20">IF((E20+V20-_xlfn.XLOOKUP(A20,'[1]DATOS PBI Artículos'!$A$4:$A$4,'[1]DATOS PBI Artículos'!$W$4:$W$4))/N20&gt;ROUNDUP([1]CRITERIOS!$M$16/(IF(COUNTIF([1]CRITERIOS!$BG$11:$BG$201,L20)&gt;=1,_xlfn.XLOOKUP(ARTÍCULOS!L20,[1]CRITERIOS!$BG$11:$BG$201,[1]CRITERIOS!$BJ$11:$BJ$201),_xlfn.XLOOKUP(ARTÍCULOS!C20,[1]CRITERIOS!$K$25:$K$42,[1]CRITERIOS!$M$25:$M$42))),0),ROUNDUP([1]CRITERIOS!$M$16/(IF(COUNTIF([1]CRITERIOS!$BG$11:$BG$201,L20)&gt;=1,_xlfn.XLOOKUP(ARTÍCULOS!L20,[1]CRITERIOS!$BG$11:$BG$201:#REF!,[1]CRITERIOS!$BJ$11:$BJ$201),_xlfn.XLOOKUP(ARTÍCULOS!C20,[1]CRITERIOS!$K$25:$K$42,[1]CRITERIOS!$M$25:$M$42))),0),(E20+V20-_xlfn.XLOOKUP(A20,'[1]DATOS PBI Artículos'!$A$4:$A$4,'[1]DATOS PBI Artículos'!$W$4:$W$4))/N20)</f>
        <v>#N/A</v>
      </c>
      <c r="AC20" s="33" t="e">
        <f>IF(N20=0,"",(ROUNDUP((N20/2)/(_xlfn.XLOOKUP(A20,'[1]DATOS PBI Artículos'!$A$4:$A$4,'[1]DATOS PBI Artículos'!$Z$4:$Z$4)*_xlfn.XLOOKUP(_xlfn.XLOOKUP(A20,'[1]DATOS PBI Artículos'!$A$4:$A$4,'[1]DATOS PBI Artículos'!$Y$4:$Y$4),[1]CRITERIOS!$P$79:$P$123,[1]CRITERIOS!$S$79:$S$123)),0)*[1]CRITERIOS!$M$80*([1]CRITERIOS!$M$110/[1]CRITERIOS!$M$86)+(_xlfn.XLOOKUP(A20,'[1]DATOS PBI Artículos'!$A$4:$A$4,'[1]DATOS PBI Artículos'!$AA$4:$AA$4)*([1]CRITERIOS!$M$95+[1]CRITERIOS!$M$98)))/N20)</f>
        <v>#N/A</v>
      </c>
      <c r="AD20" s="33" t="e">
        <f>IF(N20=0,"",(ROUNDUP((N20/2)/(_xlfn.XLOOKUP(A20,'[1]DATOS PBI Artículos'!$A$4:$A$4,'[1]DATOS PBI Artículos'!$Z$4:$Z$4)*_xlfn.XLOOKUP(_xlfn.XLOOKUP(A20,'[1]DATOS PBI Artículos'!$A$4:$A$4,'[1]DATOS PBI Artículos'!$Y$4:$Y$4),[1]CRITERIOS!$P$79:$P$123,[1]CRITERIOS!$S$79:$S$123)),0)*[1]CRITERIOS!$M$80*([1]CRITERIOS!$M$89*[1]CRITERIOS!$M$92)+((_xlfn.XLOOKUP(A20,'[1]DATOS PBI Artículos'!$A$4:$A$4,'[1]DATOS PBI Artículos'!$AA$4:$AA$4)/2)*([1]CRITERIOS!$M$95+[1]CRITERIOS!$M$98)))/N20)</f>
        <v>#N/A</v>
      </c>
      <c r="AE20" s="39">
        <f>IF($R20="MTO","",
IF($H20=0,ROUNDUP(((_xlfn.XLOOKUP($A20,'[1]DATOS PBI Artículos'!$A:$A,'[1]DATOS PBI Artículos'!$AL:$AL))/(_xlfn.XLOOKUP($AF$1,[1]CRITERIOS!$S$16:$S$39,[1]CRITERIOS!$Y$16:$Y$39))*$J20+$Z20)/$G20,0)*$G20,
((_xlfn.XLOOKUP($A20,'[1]DATOS PBI Artículos'!$A:$A,'[1]DATOS PBI Artículos'!$AL:$AL))/(_xlfn.XLOOKUP($AF$1,[1]CRITERIOS!$S$16:$S$39,[1]CRITERIOS!$Y$16:$Y$39))*$J20+$Z20)))</f>
        <v>257606.34993808498</v>
      </c>
      <c r="AG20" s="39">
        <f>IF($R20="MTO","",
IF($H20=0,ROUNDUP(((_xlfn.XLOOKUP($A20,'[1]DATOS PBI Artículos'!$A:$A,'[1]DATOS PBI Artículos'!$AM:$AM))/(_xlfn.XLOOKUP($AH$1,[1]CRITERIOS!$S$16:$S$39,[1]CRITERIOS!$Y$16:$Y$39))*$J20+$Z20)/$G20,0)*$G20,
((_xlfn.XLOOKUP($A20,'[1]DATOS PBI Artículos'!$A:$A,'[1]DATOS PBI Artículos'!$AM:$AM))/(_xlfn.XLOOKUP($AH$1,[1]CRITERIOS!$S$16:$S$39,[1]CRITERIOS!$Y$16:$Y$39))*$J20+$Z20)))</f>
        <v>204159.37650438154</v>
      </c>
      <c r="AI20" s="39">
        <f>IF($R20="MTO","",
IF($H20=0,ROUNDUP(((_xlfn.XLOOKUP($A20,'[1]DATOS PBI Artículos'!$A:$A,'[1]DATOS PBI Artículos'!$AN:$AN))/(_xlfn.XLOOKUP($AJ$1,[1]CRITERIOS!$S$16:$S$39,[1]CRITERIOS!$Y$16:$Y$39))*$J20+$Z20)/$G20,0)*$G20,
((_xlfn.XLOOKUP($A20,'[1]DATOS PBI Artículos'!$A:$A,'[1]DATOS PBI Artículos'!$AN:$AN))/(_xlfn.XLOOKUP($AJ$1,[1]CRITERIOS!$S$16:$S$39,[1]CRITERIOS!$Y$16:$Y$39))*$J20+$Z20)))</f>
        <v>231111.85225831709</v>
      </c>
      <c r="AK20" s="39">
        <f>IF($R20="MTO","",
IF($H20=0,ROUNDUP(((_xlfn.XLOOKUP($A20,'[1]DATOS PBI Artículos'!$A:$A,'[1]DATOS PBI Artículos'!$AO:$AO))/(_xlfn.XLOOKUP($AL$1,[1]CRITERIOS!$S$16:$S$39,[1]CRITERIOS!$Y$16:$Y$39))*$J20+$Z20)/$G20,0)*$G20,
((_xlfn.XLOOKUP($A20,'[1]DATOS PBI Artículos'!$A:$A,'[1]DATOS PBI Artículos'!$AO:$AO))/(_xlfn.XLOOKUP($AL$1,[1]CRITERIOS!$S$16:$S$39,[1]CRITERIOS!$Y$16:$Y$39))*$J20+$Z20)))</f>
        <v>245657.28040772784</v>
      </c>
    </row>
    <row r="21" spans="1:37" ht="25.8" x14ac:dyDescent="0.5">
      <c r="A21" s="32" t="s">
        <v>42</v>
      </c>
      <c r="B21" s="33">
        <f>_xlfn.XLOOKUP($A21,'[1]DATOS PBI Artículos'!A:A,'[1]DATOS PBI Artículos'!B:B)</f>
        <v>0</v>
      </c>
      <c r="C21" s="33" t="str">
        <f>_xlfn.XLOOKUP($A21,'[1]DATOS PBI Artículos'!A:A,'[1]DATOS PBI Artículos'!C:C)</f>
        <v>UA03</v>
      </c>
      <c r="D21" s="33">
        <f>_xlfn.XLOOKUP(A21,'[1]DATOS PBI Artículos'!A:A,'[1]DATOS PBI Artículos'!T:T)</f>
        <v>5</v>
      </c>
      <c r="E21" s="34">
        <f>IF(_xlfn.XLOOKUP($A21,'[1]DATOS PBI Artículos'!A:A,'[1]DATOS PBI Artículos'!AK:AK)="",_xlfn.XLOOKUP($A21,'[1]DATOS PBI Artículos'!A:A,'[1]DATOS PBI Artículos'!AJ:AJ),_xlfn.XLOOKUP($A21,'[1]DATOS PBI Artículos'!A:A,'[1]DATOS PBI Artículos'!AK:AK))</f>
        <v>514000</v>
      </c>
      <c r="F21" s="35">
        <f>_xlfn.XLOOKUP($A21,'[1]DATOS PBI Artículos'!A:A,'[1]DATOS PBI Artículos'!AP:AP)</f>
        <v>14.75</v>
      </c>
      <c r="G21" s="34">
        <f>_xlfn.XLOOKUP($A21,'[1]DATOS PBI Artículos'!A:A,'[1]DATOS PBI Artículos'!AR:AR)</f>
        <v>102000</v>
      </c>
      <c r="H21" s="34">
        <f>_xlfn.XLOOKUP($A21,'[1]DATOS PBI Artículos'!A:A,'[1]DATOS PBI Artículos'!AT:AT)</f>
        <v>6260.9903369994108</v>
      </c>
      <c r="I21" s="34">
        <f>_xlfn.XLOOKUP($A21,'[1]DATOS PBI Artículos'!A:A,'[1]DATOS PBI Artículos'!AS:AS)</f>
        <v>2000</v>
      </c>
      <c r="J21" s="35">
        <f>IF(COUNTIF([1]CRITERIOS!$F$179:$F$199,$A21)&gt;=1,
 IF(O21&lt;&gt;"",
    (O21/_xlfn.XLOOKUP(CONCATENATE(A21,L21),[1]MÁQUINAS!A:A,[1]MÁQUINAS!D:D))/24,
    (N21/_xlfn.XLOOKUP(CONCATENATE(A21,L21),[1]MÁQUINAS!A:A,[1]MÁQUINAS!D:D))/24),
  _xlfn.XLOOKUP($A21,'[1]DATOS PBI Artículos'!A:A,'[1]DATOS PBI Artículos'!AU:AU))</f>
        <v>50.928571428571431</v>
      </c>
      <c r="K21" s="36">
        <f>_xlfn.XLOOKUP($A21,'[1]DATOS PBI Artículos'!A:A,'[1]DATOS PBI Artículos'!AV:AV)</f>
        <v>14.139221421902358</v>
      </c>
      <c r="L21" s="33">
        <f>_xlfn.XLOOKUP(A21,[1]MÁQUINAS!B:B,[1]MÁQUINAS!C:C)</f>
        <v>136</v>
      </c>
      <c r="M21" s="34">
        <f t="array" ref="M21">_xlfn.XLOOKUP(A21,'[1]DATOS PBI Artículos'!A:A,'[1]DATOS PBI Artículos'!AX:$AX)</f>
        <v>74715.054642685733</v>
      </c>
      <c r="N21" s="37">
        <f>IF(I21="DV",
E21,
IF(COUNTIF([1]CRITERIOS!$I$179:$I$199,$A21)&gt;=1,
_xlfn.XLOOKUP($A21,[1]CRITERIOS!$I$179:$I$199,[1]CRITERIOS!$J$179:$J$199),
IF(COUNTIF([1]CRITERIOS!$L$179:$L$199,$A21)&gt;=1,
_xlfn.CEILING.MATH(IF($M21&gt;$E21,
$E21,
IF($M21&lt;$E21/ROUNDDOWN([1]CRITERIOS!$M$16/_xlfn.XLOOKUP($C21,[1]CRITERIOS!$K$25:$K$42,[1]CRITERIOS!$M$25:$M$42),
1),
E21/ROUNDDOWN([1]CRITERIOS!$M$16/_xlfn.XLOOKUP($C21,[1]CRITERIOS!$K$25:$K$42,[1]CRITERIOS!$M$25:$M$42),
1),
$M21)),
_xlfn.XLOOKUP($A21,[1]CRITERIOS!$L$179:$L$200,[1]CRITERIOS!$M$179:$M$200)),
_xlfn.CEILING.MATH(IF($M21&gt;$E21,
$E21,
IF($M21&lt;$E21/ROUNDDOWN([1]CRITERIOS!$M$16/_xlfn.XLOOKUP($C21,[1]CRITERIOS!$K$25:$K$42,[1]CRITERIOS!$M$25:$M$42),
1),
E21/ROUNDDOWN([1]CRITERIOS!$M$16/_xlfn.XLOOKUP($C21,[1]CRITERIOS!$K$25:$K$42,[1]CRITERIOS!$M$25:$M$42),
1),
$M21)),_xlfn.XLOOKUP(A21,'[1]DATOS PBI Artículos'!A:A,'[1]DATOS PBI Artículos'!Z:Z
)))))</f>
        <v>140000</v>
      </c>
      <c r="Q21" s="38">
        <f>IF(AND(O21="",N21=0),
0,
   IF(COUNTIF([1]CRITERIOS!$F$179:$F$199,$A21)&gt;=1,
   1,
   IF(R21="MTO",
      $D21,
      ROUNDUP(
                    IF(($E21-SUMIF('[1]DATOS PBI Artículos'!A:A,A21,'[1]DATOS PBI Artículos'!X:X)+($V21-_xlfn.XLOOKUP(A21,'[1]DATOS PBI Artículos'!A:A,'[1]DATOS PBI Artículos'!W:W)))&lt;0,
                    0,
                    IF(($E21-SUMIF('[1]DATOS PBI Artículos'!A:A,A21,'[1]DATOS PBI Artículos'!X:X)+$V21-_xlfn.XLOOKUP($A21,'[1]DATOS PBI Artículos'!A:A,'[1]DATOS PBI Artículos'!W:W))/IF($O21="",$N21,$O21)&gt;ROUNDUP([1]CRITERIOS!$M$16/(IF(COUNTIF([1]CRITERIOS!$BG$11:$BG$201,L21)&gt;=1,_xlfn.XLOOKUP($C21,[1]CRITERIOS!$K$25:$K$42,[1]CRITERIOS!$M$25:$M$42),_xlfn.XLOOKUP($C21,[1]CRITERIOS!$K$25:$K$42,[1]CRITERIOS!$M$25:$M$42))),0),
                    ROUNDUP([1]CRITERIOS!$M$16/(IF(COUNTIF([1]CRITERIOS!$BG$11:$BG$201,$L21)&gt;=1,_xlfn.XLOOKUP($C21,[1]CRITERIOS!$K$25:$K$42,[1]CRITERIOS!$M$25:$M$42),_xlfn.XLOOKUP($C21,[1]CRITERIOS!$K$25:$K$42,[1]CRITERIOS!$M$25:$M$42))),0),
                    (E21+V21-SUMIF('[1]DATOS PBI Artículos'!A:A,A21,'[1]DATOS PBI Artículos'!X:X)-_xlfn.XLOOKUP(A21,'[1]DATOS PBI Artículos'!A:A,'[1]DATOS PBI Artículos'!W:W))/IF($O21="",$N21,$O21))),0))))</f>
        <v>4</v>
      </c>
      <c r="R21" s="33" t="str">
        <f>IF(U21&lt;&gt;"",U21,IF(F21="DV","MTO",IF(N21=0,"MTO",_xlfn.XLOOKUP(CONCATENATE(S21,T21),[1]CRITERIOS!$K$160:$K$168,[1]CRITERIOS!$N$160:$N$168))))</f>
        <v>MTS</v>
      </c>
      <c r="S21" s="33" t="str">
        <f>IF(G21="DV","MTO",IF(N21=0,"MTO",IF(OR(AND(N21=0,O21=""),IF(O21="",G21/N21,G21/O21)&gt;[1]CRITERIOS!$G$163),"MTO",IF(IF(O21="",G21/N21,G21/O21)&lt;[1]CRITERIOS!$H$161,"MTS","MTOS"))))</f>
        <v>MTOS</v>
      </c>
      <c r="T21" s="33" t="str">
        <f>IF(F21="DV","MTO",IF(OR(AND($N21=0,O21=""),$F21/$J21&gt;[1]CRITERIOS!$G$170,$F21="DV"),"MTO",IF($F21/$J21&lt;[1]CRITERIOS!$H$168,"MTS","MTOS")))</f>
        <v>MTS</v>
      </c>
      <c r="V21" s="34">
        <f t="shared" si="0"/>
        <v>438152.17588304635</v>
      </c>
      <c r="X21" s="34">
        <f t="shared" si="1"/>
        <v>578152.17588304635</v>
      </c>
      <c r="Y21" s="34">
        <f t="shared" si="2"/>
        <v>155968.15651258631</v>
      </c>
      <c r="Z21" s="34">
        <f>IF($R21="MTO",
0,
($H21+$K21*($E21/[1]CRITERIOS!$M$16))/[1]CRITERIOS!$X$48)</f>
        <v>85968.156512586313</v>
      </c>
      <c r="AA21" s="34" t="e">
        <f>ROUNDUP(($Y21/_xlfn.XLOOKUP($A21,'[1]DATOS PBI Artículos'!$A$4:$A$4,'[1]DATOS PBI Artículos'!$Z$4:$Z$4))/_xlfn.XLOOKUP(_xlfn.XLOOKUP($A21,'[1]DATOS PBI Artículos'!$A$4:$A$4,'[1]DATOS PBI Artículos'!$Y$4:$Y$4),[1]CRITERIOS!$P$79:$P$123,[1]CRITERIOS!$S$79:$S$123,),0)</f>
        <v>#N/A</v>
      </c>
      <c r="AB21" s="33" t="e">
        <f t="array" ref="AB21">IF((E21+V21-_xlfn.XLOOKUP(A21,'[1]DATOS PBI Artículos'!$A$4:$A$4,'[1]DATOS PBI Artículos'!$W$4:$W$4))/N21&gt;ROUNDUP([1]CRITERIOS!$M$16/(IF(COUNTIF([1]CRITERIOS!$BG$11:$BG$201,L21)&gt;=1,_xlfn.XLOOKUP(ARTÍCULOS!L21,[1]CRITERIOS!$BG$11:$BG$201,[1]CRITERIOS!$BJ$11:$BJ$201),_xlfn.XLOOKUP(ARTÍCULOS!C21,[1]CRITERIOS!$K$25:$K$42,[1]CRITERIOS!$M$25:$M$42))),0),ROUNDUP([1]CRITERIOS!$M$16/(IF(COUNTIF([1]CRITERIOS!$BG$11:$BG$201,L21)&gt;=1,_xlfn.XLOOKUP(ARTÍCULOS!L21,[1]CRITERIOS!$BG$11:$BG$201:#REF!,[1]CRITERIOS!$BJ$11:$BJ$201),_xlfn.XLOOKUP(ARTÍCULOS!C21,[1]CRITERIOS!$K$25:$K$42,[1]CRITERIOS!$M$25:$M$42))),0),(E21+V21-_xlfn.XLOOKUP(A21,'[1]DATOS PBI Artículos'!$A$4:$A$4,'[1]DATOS PBI Artículos'!$W$4:$W$4))/N21)</f>
        <v>#N/A</v>
      </c>
      <c r="AC21" s="33" t="e">
        <f>IF(N21=0,"",(ROUNDUP((N21/2)/(_xlfn.XLOOKUP(A21,'[1]DATOS PBI Artículos'!$A$4:$A$4,'[1]DATOS PBI Artículos'!$Z$4:$Z$4)*_xlfn.XLOOKUP(_xlfn.XLOOKUP(A21,'[1]DATOS PBI Artículos'!$A$4:$A$4,'[1]DATOS PBI Artículos'!$Y$4:$Y$4),[1]CRITERIOS!$P$79:$P$123,[1]CRITERIOS!$S$79:$S$123)),0)*[1]CRITERIOS!$M$80*([1]CRITERIOS!$M$110/[1]CRITERIOS!$M$86)+(_xlfn.XLOOKUP(A21,'[1]DATOS PBI Artículos'!$A$4:$A$4,'[1]DATOS PBI Artículos'!$AA$4:$AA$4)*([1]CRITERIOS!$M$95+[1]CRITERIOS!$M$98)))/N21)</f>
        <v>#N/A</v>
      </c>
      <c r="AD21" s="33" t="e">
        <f>IF(N21=0,"",(ROUNDUP((N21/2)/(_xlfn.XLOOKUP(A21,'[1]DATOS PBI Artículos'!$A$4:$A$4,'[1]DATOS PBI Artículos'!$Z$4:$Z$4)*_xlfn.XLOOKUP(_xlfn.XLOOKUP(A21,'[1]DATOS PBI Artículos'!$A$4:$A$4,'[1]DATOS PBI Artículos'!$Y$4:$Y$4),[1]CRITERIOS!$P$79:$P$123,[1]CRITERIOS!$S$79:$S$123)),0)*[1]CRITERIOS!$M$80*([1]CRITERIOS!$M$89*[1]CRITERIOS!$M$92)+((_xlfn.XLOOKUP(A21,'[1]DATOS PBI Artículos'!$A$4:$A$4,'[1]DATOS PBI Artículos'!$AA$4:$AA$4)/2)*([1]CRITERIOS!$M$95+[1]CRITERIOS!$M$98)))/N21)</f>
        <v>#N/A</v>
      </c>
      <c r="AE21" s="39">
        <f>IF($R21="MTO","",
IF($H21=0,ROUNDUP(((_xlfn.XLOOKUP($A21,'[1]DATOS PBI Artículos'!$A:$A,'[1]DATOS PBI Artículos'!$AL:$AL))/(_xlfn.XLOOKUP($AF$1,[1]CRITERIOS!$S$16:$S$39,[1]CRITERIOS!$Y$16:$Y$39))*$J21+$Z21)/$G21,0)*$G21,
((_xlfn.XLOOKUP($A21,'[1]DATOS PBI Artículos'!$A:$A,'[1]DATOS PBI Artículos'!$AL:$AL))/(_xlfn.XLOOKUP($AF$1,[1]CRITERIOS!$S$16:$S$39,[1]CRITERIOS!$Y$16:$Y$39))*$J21+$Z21)))</f>
        <v>530013.38147840439</v>
      </c>
      <c r="AG21" s="39">
        <f>IF($R21="MTO","",
IF($H21=0,ROUNDUP(((_xlfn.XLOOKUP($A21,'[1]DATOS PBI Artículos'!$A:$A,'[1]DATOS PBI Artículos'!$AM:$AM))/(_xlfn.XLOOKUP($AH$1,[1]CRITERIOS!$S$16:$S$39,[1]CRITERIOS!$Y$16:$Y$39))*$J21+$Z21)/$G21,0)*$G21,
((_xlfn.XLOOKUP($A21,'[1]DATOS PBI Artículos'!$A:$A,'[1]DATOS PBI Artículos'!$AM:$AM))/(_xlfn.XLOOKUP($AH$1,[1]CRITERIOS!$S$16:$S$39,[1]CRITERIOS!$Y$16:$Y$39))*$J21+$Z21)))</f>
        <v>404934.49439072562</v>
      </c>
      <c r="AI21" s="39">
        <f>IF($R21="MTO","",
IF($H21=0,ROUNDUP(((_xlfn.XLOOKUP($A21,'[1]DATOS PBI Artículos'!$A:$A,'[1]DATOS PBI Artículos'!$AN:$AN))/(_xlfn.XLOOKUP($AJ$1,[1]CRITERIOS!$S$16:$S$39,[1]CRITERIOS!$Y$16:$Y$39))*$J21+$Z21)/$G21,0)*$G21,
((_xlfn.XLOOKUP($A21,'[1]DATOS PBI Artículos'!$A:$A,'[1]DATOS PBI Artículos'!$AN:$AN))/(_xlfn.XLOOKUP($AJ$1,[1]CRITERIOS!$S$16:$S$39,[1]CRITERIOS!$Y$16:$Y$39))*$J21+$Z21)))</f>
        <v>468009.82784700789</v>
      </c>
      <c r="AK21" s="39">
        <f>IF($R21="MTO","",
IF($H21=0,ROUNDUP(((_xlfn.XLOOKUP($A21,'[1]DATOS PBI Artículos'!$A:$A,'[1]DATOS PBI Artículos'!$AO:$AO))/(_xlfn.XLOOKUP($AL$1,[1]CRITERIOS!$S$16:$S$39,[1]CRITERIOS!$Y$16:$Y$39))*$J21+$Z21)/$G21,0)*$G21,
((_xlfn.XLOOKUP($A21,'[1]DATOS PBI Artículos'!$A:$A,'[1]DATOS PBI Artículos'!$AO:$AO))/(_xlfn.XLOOKUP($AL$1,[1]CRITERIOS!$S$16:$S$39,[1]CRITERIOS!$Y$16:$Y$39))*$J21+$Z21)))</f>
        <v>502049.659258581</v>
      </c>
    </row>
    <row r="22" spans="1:37" ht="25.8" x14ac:dyDescent="0.5">
      <c r="A22" s="32">
        <v>451811</v>
      </c>
      <c r="B22" s="33">
        <f>_xlfn.XLOOKUP($A22,'[1]DATOS PBI Artículos'!A:A,'[1]DATOS PBI Artículos'!B:B)</f>
        <v>0</v>
      </c>
      <c r="C22" s="33" t="str">
        <f>_xlfn.XLOOKUP($A22,'[1]DATOS PBI Artículos'!A:A,'[1]DATOS PBI Artículos'!C:C)</f>
        <v>UA03</v>
      </c>
      <c r="D22" s="33">
        <f>_xlfn.XLOOKUP(A22,'[1]DATOS PBI Artículos'!A:A,'[1]DATOS PBI Artículos'!T:T)</f>
        <v>4</v>
      </c>
      <c r="E22" s="34">
        <f>IF(_xlfn.XLOOKUP($A22,'[1]DATOS PBI Artículos'!A:A,'[1]DATOS PBI Artículos'!AK:AK)="",_xlfn.XLOOKUP($A22,'[1]DATOS PBI Artículos'!A:A,'[1]DATOS PBI Artículos'!AJ:AJ),_xlfn.XLOOKUP($A22,'[1]DATOS PBI Artículos'!A:A,'[1]DATOS PBI Artículos'!AK:AK))</f>
        <v>500000</v>
      </c>
      <c r="F22" s="35">
        <f>_xlfn.XLOOKUP($A22,'[1]DATOS PBI Artículos'!A:A,'[1]DATOS PBI Artículos'!AP:AP)</f>
        <v>21.666666666659999</v>
      </c>
      <c r="G22" s="34">
        <f>_xlfn.XLOOKUP($A22,'[1]DATOS PBI Artículos'!A:A,'[1]DATOS PBI Artículos'!AR:AR)</f>
        <v>150000</v>
      </c>
      <c r="H22" s="34">
        <f>_xlfn.XLOOKUP($A22,'[1]DATOS PBI Artículos'!A:A,'[1]DATOS PBI Artículos'!AT:AT)</f>
        <v>28867.513459481288</v>
      </c>
      <c r="I22" s="34">
        <f>_xlfn.XLOOKUP($A22,'[1]DATOS PBI Artículos'!A:A,'[1]DATOS PBI Artículos'!AS:AS)</f>
        <v>50000</v>
      </c>
      <c r="J22" s="35">
        <f>IF(COUNTIF([1]CRITERIOS!$F$179:$F$199,$A22)&gt;=1,
 IF(O22&lt;&gt;"",
    (O22/_xlfn.XLOOKUP(CONCATENATE(A22,L22),[1]MÁQUINAS!A:A,[1]MÁQUINAS!D:D))/24,
    (N22/_xlfn.XLOOKUP(CONCATENATE(A22,L22),[1]MÁQUINAS!A:A,[1]MÁQUINAS!D:D))/24),
  _xlfn.XLOOKUP($A22,'[1]DATOS PBI Artículos'!A:A,'[1]DATOS PBI Artículos'!AU:AU))</f>
        <v>1.4583333333333333</v>
      </c>
      <c r="K22" s="36">
        <f>_xlfn.XLOOKUP($A22,'[1]DATOS PBI Artículos'!A:A,'[1]DATOS PBI Artículos'!AV:AV)</f>
        <v>5.6921963161067195</v>
      </c>
      <c r="L22" s="33">
        <f>_xlfn.XLOOKUP(A22,[1]MÁQUINAS!B:B,[1]MÁQUINAS!C:C)</f>
        <v>109</v>
      </c>
      <c r="M22" s="34">
        <f t="array" ref="M22">_xlfn.XLOOKUP(A22,'[1]DATOS PBI Artículos'!A:A,'[1]DATOS PBI Artículos'!AX:$AX)</f>
        <v>65895.106961715399</v>
      </c>
      <c r="N22" s="37">
        <f>IF(I22="DV",
E22,
IF(COUNTIF([1]CRITERIOS!$I$179:$I$199,$A22)&gt;=1,
_xlfn.XLOOKUP($A22,[1]CRITERIOS!$I$179:$I$199,[1]CRITERIOS!$J$179:$J$199),
IF(COUNTIF([1]CRITERIOS!$L$179:$L$199,$A22)&gt;=1,
_xlfn.CEILING.MATH(IF($M22&gt;$E22,
$E22,
IF($M22&lt;$E22/ROUNDDOWN([1]CRITERIOS!$M$16/_xlfn.XLOOKUP($C22,[1]CRITERIOS!$K$25:$K$42,[1]CRITERIOS!$M$25:$M$42),
1),
E22/ROUNDDOWN([1]CRITERIOS!$M$16/_xlfn.XLOOKUP($C22,[1]CRITERIOS!$K$25:$K$42,[1]CRITERIOS!$M$25:$M$42),
1),
$M22)),
_xlfn.XLOOKUP($A22,[1]CRITERIOS!$L$179:$L$200,[1]CRITERIOS!$M$179:$M$200)),
_xlfn.CEILING.MATH(IF($M22&gt;$E22,
$E22,
IF($M22&lt;$E22/ROUNDDOWN([1]CRITERIOS!$M$16/_xlfn.XLOOKUP($C22,[1]CRITERIOS!$K$25:$K$42,[1]CRITERIOS!$M$25:$M$42),
1),
E22/ROUNDDOWN([1]CRITERIOS!$M$16/_xlfn.XLOOKUP($C22,[1]CRITERIOS!$K$25:$K$42,[1]CRITERIOS!$M$25:$M$42),
1),
$M22)),_xlfn.XLOOKUP(A22,'[1]DATOS PBI Artículos'!A:A,'[1]DATOS PBI Artículos'!Z:Z
)))))</f>
        <v>140000</v>
      </c>
      <c r="Q22" s="38">
        <f>IF(AND(O22="",N22=0),
0,
   IF(COUNTIF([1]CRITERIOS!$F$179:$F$199,$A22)&gt;=1,
   1,
   IF(R22="MTO",
      $D22,
      ROUNDUP(
                    IF(($E22-SUMIF('[1]DATOS PBI Artículos'!A:A,A22,'[1]DATOS PBI Artículos'!X:X)+($V22-_xlfn.XLOOKUP(A22,'[1]DATOS PBI Artículos'!A:A,'[1]DATOS PBI Artículos'!W:W)))&lt;0,
                    0,
                    IF(($E22-SUMIF('[1]DATOS PBI Artículos'!A:A,A22,'[1]DATOS PBI Artículos'!X:X)+$V22-_xlfn.XLOOKUP($A22,'[1]DATOS PBI Artículos'!A:A,'[1]DATOS PBI Artículos'!W:W))/IF($O22="",$N22,$O22)&gt;ROUNDUP([1]CRITERIOS!$M$16/(IF(COUNTIF([1]CRITERIOS!$BG$11:$BG$201,L22)&gt;=1,_xlfn.XLOOKUP($C22,[1]CRITERIOS!$K$25:$K$42,[1]CRITERIOS!$M$25:$M$42),_xlfn.XLOOKUP($C22,[1]CRITERIOS!$K$25:$K$42,[1]CRITERIOS!$M$25:$M$42))),0),
                    ROUNDUP([1]CRITERIOS!$M$16/(IF(COUNTIF([1]CRITERIOS!$BG$11:$BG$201,$L22)&gt;=1,_xlfn.XLOOKUP($C22,[1]CRITERIOS!$K$25:$K$42,[1]CRITERIOS!$M$25:$M$42),_xlfn.XLOOKUP($C22,[1]CRITERIOS!$K$25:$K$42,[1]CRITERIOS!$M$25:$M$42))),0),
                    (E22+V22-SUMIF('[1]DATOS PBI Artículos'!A:A,A22,'[1]DATOS PBI Artículos'!X:X)-_xlfn.XLOOKUP(A22,'[1]DATOS PBI Artículos'!A:A,'[1]DATOS PBI Artículos'!W:W))/IF($O22="",$N22,$O22))),0))))</f>
        <v>1</v>
      </c>
      <c r="R22" s="33" t="str">
        <f>IF(U22&lt;&gt;"",U22,IF(F22="DV","MTO",IF(N22=0,"MTO",_xlfn.XLOOKUP(CONCATENATE(S22,T22),[1]CRITERIOS!$K$160:$K$168,[1]CRITERIOS!$N$160:$N$168))))</f>
        <v>MTO</v>
      </c>
      <c r="S22" s="33" t="str">
        <f>IF(G22="DV","MTO",IF(N22=0,"MTO",IF(OR(AND(N22=0,O22=""),IF(O22="",G22/N22,G22/O22)&gt;[1]CRITERIOS!$G$163),"MTO",IF(IF(O22="",G22/N22,G22/O22)&lt;[1]CRITERIOS!$H$161,"MTS","MTOS"))))</f>
        <v>MTO</v>
      </c>
      <c r="T22" s="33" t="str">
        <f>IF(F22="DV","MTO",IF(OR(AND($N22=0,O22=""),$F22/$J22&gt;[1]CRITERIOS!$G$170,$F22="DV"),"MTO",IF($F22/$J22&lt;[1]CRITERIOS!$H$168,"MTS","MTOS")))</f>
        <v>MTO</v>
      </c>
      <c r="V22" s="34" t="str">
        <f>IF(R22="MTO","",
IF($H22=0,(((($J22/$F22)*$G22)+$Z22)/$G22)*$G22,
(($J22/$F22)*$G22)+$Z22))</f>
        <v/>
      </c>
      <c r="X22" s="34">
        <f t="shared" si="1"/>
        <v>0</v>
      </c>
      <c r="Y22" s="34">
        <f t="shared" si="2"/>
        <v>0</v>
      </c>
      <c r="Z22" s="34">
        <f>IF($R22="MTO",
0,
($H22+$K22*($E22/[1]CRITERIOS!$M$16))/[1]CRITERIOS!$X$48)</f>
        <v>0</v>
      </c>
      <c r="AA22" s="34" t="e">
        <f>ROUNDUP(($Y22/_xlfn.XLOOKUP($A22,'[1]DATOS PBI Artículos'!$A$4:$A$4,'[1]DATOS PBI Artículos'!$Z$4:$Z$4))/_xlfn.XLOOKUP(_xlfn.XLOOKUP($A22,'[1]DATOS PBI Artículos'!$A$4:$A$4,'[1]DATOS PBI Artículos'!$Y$4:$Y$4),[1]CRITERIOS!$P$79:$P$123,[1]CRITERIOS!$S$79:$S$123,),0)</f>
        <v>#N/A</v>
      </c>
      <c r="AB22" s="33" t="e">
        <f t="array" ref="AB22">IF((E22+V22-_xlfn.XLOOKUP(A22,'[1]DATOS PBI Artículos'!$A$4:$A$4,'[1]DATOS PBI Artículos'!$W$4:$W$4))/N22&gt;ROUNDUP([1]CRITERIOS!$M$16/(IF(COUNTIF([1]CRITERIOS!$BG$11:$BG$201,L22)&gt;=1,_xlfn.XLOOKUP(ARTÍCULOS!L22,[1]CRITERIOS!$BG$11:$BG$201,[1]CRITERIOS!$BJ$11:$BJ$201),_xlfn.XLOOKUP(ARTÍCULOS!C22,[1]CRITERIOS!$K$25:$K$42,[1]CRITERIOS!$M$25:$M$42))),0),ROUNDUP([1]CRITERIOS!$M$16/(IF(COUNTIF([1]CRITERIOS!$BG$11:$BG$201,L22)&gt;=1,_xlfn.XLOOKUP(ARTÍCULOS!L22,[1]CRITERIOS!$BG$11:$BG$201:#REF!,[1]CRITERIOS!$BJ$11:$BJ$201),_xlfn.XLOOKUP(ARTÍCULOS!C22,[1]CRITERIOS!$K$25:$K$42,[1]CRITERIOS!$M$25:$M$42))),0),(E22+V22-_xlfn.XLOOKUP(A22,'[1]DATOS PBI Artículos'!$A$4:$A$4,'[1]DATOS PBI Artículos'!$W$4:$W$4))/N22)</f>
        <v>#VALUE!</v>
      </c>
      <c r="AC22" s="33" t="e">
        <f>IF(N22=0,"",(ROUNDUP((N22/2)/(_xlfn.XLOOKUP(A22,'[1]DATOS PBI Artículos'!$A$4:$A$4,'[1]DATOS PBI Artículos'!$Z$4:$Z$4)*_xlfn.XLOOKUP(_xlfn.XLOOKUP(A22,'[1]DATOS PBI Artículos'!$A$4:$A$4,'[1]DATOS PBI Artículos'!$Y$4:$Y$4),[1]CRITERIOS!$P$79:$P$123,[1]CRITERIOS!$S$79:$S$123)),0)*[1]CRITERIOS!$M$80*([1]CRITERIOS!$M$110/[1]CRITERIOS!$M$86)+(_xlfn.XLOOKUP(A22,'[1]DATOS PBI Artículos'!$A$4:$A$4,'[1]DATOS PBI Artículos'!$AA$4:$AA$4)*([1]CRITERIOS!$M$95+[1]CRITERIOS!$M$98)))/N22)</f>
        <v>#N/A</v>
      </c>
      <c r="AD22" s="33" t="e">
        <f>IF(N22=0,"",(ROUNDUP((N22/2)/(_xlfn.XLOOKUP(A22,'[1]DATOS PBI Artículos'!$A$4:$A$4,'[1]DATOS PBI Artículos'!$Z$4:$Z$4)*_xlfn.XLOOKUP(_xlfn.XLOOKUP(A22,'[1]DATOS PBI Artículos'!$A$4:$A$4,'[1]DATOS PBI Artículos'!$Y$4:$Y$4),[1]CRITERIOS!$P$79:$P$123,[1]CRITERIOS!$S$79:$S$123)),0)*[1]CRITERIOS!$M$80*([1]CRITERIOS!$M$89*[1]CRITERIOS!$M$92)+((_xlfn.XLOOKUP(A22,'[1]DATOS PBI Artículos'!$A$4:$A$4,'[1]DATOS PBI Artículos'!$AA$4:$AA$4)/2)*([1]CRITERIOS!$M$95+[1]CRITERIOS!$M$98)))/N22)</f>
        <v>#N/A</v>
      </c>
      <c r="AE22" s="39" t="str">
        <f>IF($R22="MTO","",
IF($H22=0,ROUNDUP(((_xlfn.XLOOKUP($A22,'[1]DATOS PBI Artículos'!$A:$A,'[1]DATOS PBI Artículos'!$AL:$AL))/(_xlfn.XLOOKUP($AF$1,[1]CRITERIOS!$S$16:$S$39,[1]CRITERIOS!$Y$16:$Y$39))*$J22+$Z22)/$G22,0)*$G22,
((_xlfn.XLOOKUP($A22,'[1]DATOS PBI Artículos'!$A:$A,'[1]DATOS PBI Artículos'!$AL:$AL))/(_xlfn.XLOOKUP($AF$1,[1]CRITERIOS!$S$16:$S$39,[1]CRITERIOS!$Y$16:$Y$39))*$J22+$Z22)))</f>
        <v/>
      </c>
      <c r="AG22" s="39" t="str">
        <f>IF($R22="MTO","",
IF($H22=0,ROUNDUP(((_xlfn.XLOOKUP($A22,'[1]DATOS PBI Artículos'!$A:$A,'[1]DATOS PBI Artículos'!$AM:$AM))/(_xlfn.XLOOKUP($AH$1,[1]CRITERIOS!$S$16:$S$39,[1]CRITERIOS!$Y$16:$Y$39))*$J22+$Z22)/$G22,0)*$G22,
((_xlfn.XLOOKUP($A22,'[1]DATOS PBI Artículos'!$A:$A,'[1]DATOS PBI Artículos'!$AM:$AM))/(_xlfn.XLOOKUP($AH$1,[1]CRITERIOS!$S$16:$S$39,[1]CRITERIOS!$Y$16:$Y$39))*$J22+$Z22)))</f>
        <v/>
      </c>
      <c r="AI22" s="39" t="str">
        <f>IF($R22="MTO","",
IF($H22=0,ROUNDUP(((_xlfn.XLOOKUP($A22,'[1]DATOS PBI Artículos'!$A:$A,'[1]DATOS PBI Artículos'!$AN:$AN))/(_xlfn.XLOOKUP($AJ$1,[1]CRITERIOS!$S$16:$S$39,[1]CRITERIOS!$Y$16:$Y$39))*$J22+$Z22)/$G22,0)*$G22,
((_xlfn.XLOOKUP($A22,'[1]DATOS PBI Artículos'!$A:$A,'[1]DATOS PBI Artículos'!$AN:$AN))/(_xlfn.XLOOKUP($AJ$1,[1]CRITERIOS!$S$16:$S$39,[1]CRITERIOS!$Y$16:$Y$39))*$J22+$Z22)))</f>
        <v/>
      </c>
      <c r="AK22" s="39" t="str">
        <f>IF($R22="MTO","",
IF($H22=0,ROUNDUP(((_xlfn.XLOOKUP($A22,'[1]DATOS PBI Artículos'!$A:$A,'[1]DATOS PBI Artículos'!$AO:$AO))/(_xlfn.XLOOKUP($AL$1,[1]CRITERIOS!$S$16:$S$39,[1]CRITERIOS!$Y$16:$Y$39))*$J22+$Z22)/$G22,0)*$G22,
((_xlfn.XLOOKUP($A22,'[1]DATOS PBI Artículos'!$A:$A,'[1]DATOS PBI Artículos'!$AO:$AO))/(_xlfn.XLOOKUP($AL$1,[1]CRITERIOS!$S$16:$S$39,[1]CRITERIOS!$Y$16:$Y$39))*$J22+$Z22)))</f>
        <v/>
      </c>
    </row>
    <row r="23" spans="1:37" ht="25.8" x14ac:dyDescent="0.5">
      <c r="A23" s="32">
        <v>450962</v>
      </c>
      <c r="B23" s="33">
        <f>_xlfn.XLOOKUP($A23,'[1]DATOS PBI Artículos'!A:A,'[1]DATOS PBI Artículos'!B:B)</f>
        <v>0</v>
      </c>
      <c r="C23" s="33" t="str">
        <f>_xlfn.XLOOKUP($A23,'[1]DATOS PBI Artículos'!A:A,'[1]DATOS PBI Artículos'!C:C)</f>
        <v>UA03</v>
      </c>
      <c r="D23" s="33">
        <f>_xlfn.XLOOKUP(A23,'[1]DATOS PBI Artículos'!A:A,'[1]DATOS PBI Artículos'!T:T)</f>
        <v>15</v>
      </c>
      <c r="E23" s="34">
        <f>IF(_xlfn.XLOOKUP($A23,'[1]DATOS PBI Artículos'!A:A,'[1]DATOS PBI Artículos'!AK:AK)="",_xlfn.XLOOKUP($A23,'[1]DATOS PBI Artículos'!A:A,'[1]DATOS PBI Artículos'!AJ:AJ),_xlfn.XLOOKUP($A23,'[1]DATOS PBI Artículos'!A:A,'[1]DATOS PBI Artículos'!AK:AK))</f>
        <v>474045</v>
      </c>
      <c r="F23" s="35">
        <f>_xlfn.XLOOKUP($A23,'[1]DATOS PBI Artículos'!A:A,'[1]DATOS PBI Artículos'!AP:AP)</f>
        <v>3.63157894736</v>
      </c>
      <c r="G23" s="34">
        <f>_xlfn.XLOOKUP($A23,'[1]DATOS PBI Artículos'!A:A,'[1]DATOS PBI Artículos'!AR:AR)</f>
        <v>22440</v>
      </c>
      <c r="H23" s="34">
        <f>_xlfn.XLOOKUP($A23,'[1]DATOS PBI Artículos'!A:A,'[1]DATOS PBI Artículos'!AT:AT)</f>
        <v>20562.169562214567</v>
      </c>
      <c r="I23" s="34">
        <f>_xlfn.XLOOKUP($A23,'[1]DATOS PBI Artículos'!A:A,'[1]DATOS PBI Artículos'!AS:AS)</f>
        <v>2805</v>
      </c>
      <c r="J23" s="35">
        <f>IF(COUNTIF([1]CRITERIOS!$F$179:$F$199,$A23)&gt;=1,
 IF(O23&lt;&gt;"",
    (O23/_xlfn.XLOOKUP(CONCATENATE(A23,L23),[1]MÁQUINAS!A:A,[1]MÁQUINAS!D:D))/24,
    (N23/_xlfn.XLOOKUP(CONCATENATE(A23,L23),[1]MÁQUINAS!A:A,[1]MÁQUINAS!D:D))/24),
  _xlfn.XLOOKUP($A23,'[1]DATOS PBI Artículos'!A:A,'[1]DATOS PBI Artículos'!AU:AU))</f>
        <v>17.142857142857142</v>
      </c>
      <c r="K23" s="36">
        <f>_xlfn.XLOOKUP($A23,'[1]DATOS PBI Artículos'!A:A,'[1]DATOS PBI Artículos'!AV:AV)</f>
        <v>3.9880774697543053</v>
      </c>
      <c r="L23" s="33">
        <f>_xlfn.XLOOKUP(A23,[1]MÁQUINAS!B:B,[1]MÁQUINAS!C:C)</f>
        <v>142</v>
      </c>
      <c r="M23" s="34">
        <f t="array" ref="M23">_xlfn.XLOOKUP(A23,'[1]DATOS PBI Artículos'!A:A,'[1]DATOS PBI Artículos'!AX:$AX)</f>
        <v>71301.474454181531</v>
      </c>
      <c r="N23" s="37">
        <f>IF(I23="DV",
E23,
IF(COUNTIF([1]CRITERIOS!$I$179:$I$199,$A23)&gt;=1,
_xlfn.XLOOKUP($A23,[1]CRITERIOS!$I$179:$I$199,[1]CRITERIOS!$J$179:$J$199),
IF(COUNTIF([1]CRITERIOS!$L$179:$L$199,$A23)&gt;=1,
_xlfn.CEILING.MATH(IF($M23&gt;$E23,
$E23,
IF($M23&lt;$E23/ROUNDDOWN([1]CRITERIOS!$M$16/_xlfn.XLOOKUP($C23,[1]CRITERIOS!$K$25:$K$42,[1]CRITERIOS!$M$25:$M$42),
1),
E23/ROUNDDOWN([1]CRITERIOS!$M$16/_xlfn.XLOOKUP($C23,[1]CRITERIOS!$K$25:$K$42,[1]CRITERIOS!$M$25:$M$42),
1),
$M23)),
_xlfn.XLOOKUP($A23,[1]CRITERIOS!$L$179:$L$200,[1]CRITERIOS!$M$179:$M$200)),
_xlfn.CEILING.MATH(IF($M23&gt;$E23,
$E23,
IF($M23&lt;$E23/ROUNDDOWN([1]CRITERIOS!$M$16/_xlfn.XLOOKUP($C23,[1]CRITERIOS!$K$25:$K$42,[1]CRITERIOS!$M$25:$M$42),
1),
E23/ROUNDDOWN([1]CRITERIOS!$M$16/_xlfn.XLOOKUP($C23,[1]CRITERIOS!$K$25:$K$42,[1]CRITERIOS!$M$25:$M$42),
1),
$M23)),_xlfn.XLOOKUP(A23,'[1]DATOS PBI Artículos'!A:A,'[1]DATOS PBI Artículos'!Z:Z
)))))</f>
        <v>129030</v>
      </c>
      <c r="Q23" s="38">
        <f>IF(AND(O23="",N23=0),
0,
   IF(COUNTIF([1]CRITERIOS!$F$179:$F$199,$A23)&gt;=1,
   1,
   IF(R23="MTO",
      $D23,
      ROUNDUP(
                    IF(($E23-SUMIF('[1]DATOS PBI Artículos'!A:A,A23,'[1]DATOS PBI Artículos'!X:X)+($V23-_xlfn.XLOOKUP(A23,'[1]DATOS PBI Artículos'!A:A,'[1]DATOS PBI Artículos'!W:W)))&lt;0,
                    0,
                    IF(($E23-SUMIF('[1]DATOS PBI Artículos'!A:A,A23,'[1]DATOS PBI Artículos'!X:X)+$V23-_xlfn.XLOOKUP($A23,'[1]DATOS PBI Artículos'!A:A,'[1]DATOS PBI Artículos'!W:W))/IF($O23="",$N23,$O23)&gt;ROUNDUP([1]CRITERIOS!$M$16/(IF(COUNTIF([1]CRITERIOS!$BG$11:$BG$201,L23)&gt;=1,_xlfn.XLOOKUP($C23,[1]CRITERIOS!$K$25:$K$42,[1]CRITERIOS!$M$25:$M$42),_xlfn.XLOOKUP($C23,[1]CRITERIOS!$K$25:$K$42,[1]CRITERIOS!$M$25:$M$42))),0),
                    ROUNDUP([1]CRITERIOS!$M$16/(IF(COUNTIF([1]CRITERIOS!$BG$11:$BG$201,$L23)&gt;=1,_xlfn.XLOOKUP($C23,[1]CRITERIOS!$K$25:$K$42,[1]CRITERIOS!$M$25:$M$42),_xlfn.XLOOKUP($C23,[1]CRITERIOS!$K$25:$K$42,[1]CRITERIOS!$M$25:$M$42))),0),
                    (E23+V23-SUMIF('[1]DATOS PBI Artículos'!A:A,A23,'[1]DATOS PBI Artículos'!X:X)-_xlfn.XLOOKUP(A23,'[1]DATOS PBI Artículos'!A:A,'[1]DATOS PBI Artículos'!W:W))/IF($O23="",$N23,$O23))),0))))</f>
        <v>4</v>
      </c>
      <c r="R23" s="33" t="str">
        <f>IF(U23&lt;&gt;"",U23,IF(F23="DV","MTO",IF(N23=0,"MTO",_xlfn.XLOOKUP(CONCATENATE(S23,T23),[1]CRITERIOS!$K$160:$K$168,[1]CRITERIOS!$N$160:$N$168))))</f>
        <v>MTS</v>
      </c>
      <c r="S23" s="33" t="str">
        <f>IF(G23="DV","MTO",IF(N23=0,"MTO",IF(OR(AND(N23=0,O23=""),IF(O23="",G23/N23,G23/O23)&gt;[1]CRITERIOS!$G$163),"MTO",IF(IF(O23="",G23/N23,G23/O23)&lt;[1]CRITERIOS!$H$161,"MTS","MTOS"))))</f>
        <v>MTS</v>
      </c>
      <c r="T23" s="33" t="str">
        <f>IF(F23="DV","MTO",IF(OR(AND($N23=0,O23=""),$F23/$J23&gt;[1]CRITERIOS!$G$170,$F23="DV"),"MTO",IF($F23/$J23&lt;[1]CRITERIOS!$H$168,"MTS","MTOS")))</f>
        <v>MTS</v>
      </c>
      <c r="V23" s="34">
        <f t="shared" ref="V23:V86" si="3">IF(R23="MTO","",
IF($H23=0,(((($J23/$F23)*$G23)+$Z23)/$G23)*$G23,
(($J23/$F23)*$G23)+$Z23))</f>
        <v>144068.96032542433</v>
      </c>
      <c r="X23" s="34">
        <f t="shared" si="1"/>
        <v>273098.96032542433</v>
      </c>
      <c r="Y23" s="34">
        <f t="shared" si="2"/>
        <v>102656.01001461969</v>
      </c>
      <c r="Z23" s="34">
        <f>IF($R23="MTO",
0,
($H23+$K23*($E23/[1]CRITERIOS!$M$16))/[1]CRITERIOS!$X$48)</f>
        <v>38141.010014619693</v>
      </c>
      <c r="AA23" s="34" t="e">
        <f>ROUNDUP(($Y23/_xlfn.XLOOKUP($A23,'[1]DATOS PBI Artículos'!$A$4:$A$4,'[1]DATOS PBI Artículos'!$Z$4:$Z$4))/_xlfn.XLOOKUP(_xlfn.XLOOKUP($A23,'[1]DATOS PBI Artículos'!$A$4:$A$4,'[1]DATOS PBI Artículos'!$Y$4:$Y$4),[1]CRITERIOS!$P$79:$P$123,[1]CRITERIOS!$S$79:$S$123,),0)</f>
        <v>#N/A</v>
      </c>
      <c r="AB23" s="33" t="e">
        <f t="array" ref="AB23">IF((E23+V23-_xlfn.XLOOKUP(A23,'[1]DATOS PBI Artículos'!$A$4:$A$4,'[1]DATOS PBI Artículos'!$W$4:$W$4))/N23&gt;ROUNDUP([1]CRITERIOS!$M$16/(IF(COUNTIF([1]CRITERIOS!$BG$11:$BG$201,L23)&gt;=1,_xlfn.XLOOKUP(ARTÍCULOS!L23,[1]CRITERIOS!$BG$11:$BG$201,[1]CRITERIOS!$BJ$11:$BJ$201),_xlfn.XLOOKUP(ARTÍCULOS!C23,[1]CRITERIOS!$K$25:$K$42,[1]CRITERIOS!$M$25:$M$42))),0),ROUNDUP([1]CRITERIOS!$M$16/(IF(COUNTIF([1]CRITERIOS!$BG$11:$BG$201,L23)&gt;=1,_xlfn.XLOOKUP(ARTÍCULOS!L23,[1]CRITERIOS!$BG$11:$BG$201:#REF!,[1]CRITERIOS!$BJ$11:$BJ$201),_xlfn.XLOOKUP(ARTÍCULOS!C23,[1]CRITERIOS!$K$25:$K$42,[1]CRITERIOS!$M$25:$M$42))),0),(E23+V23-_xlfn.XLOOKUP(A23,'[1]DATOS PBI Artículos'!$A$4:$A$4,'[1]DATOS PBI Artículos'!$W$4:$W$4))/N23)</f>
        <v>#N/A</v>
      </c>
      <c r="AC23" s="33" t="e">
        <f>IF(N23=0,"",(ROUNDUP((N23/2)/(_xlfn.XLOOKUP(A23,'[1]DATOS PBI Artículos'!$A$4:$A$4,'[1]DATOS PBI Artículos'!$Z$4:$Z$4)*_xlfn.XLOOKUP(_xlfn.XLOOKUP(A23,'[1]DATOS PBI Artículos'!$A$4:$A$4,'[1]DATOS PBI Artículos'!$Y$4:$Y$4),[1]CRITERIOS!$P$79:$P$123,[1]CRITERIOS!$S$79:$S$123)),0)*[1]CRITERIOS!$M$80*([1]CRITERIOS!$M$110/[1]CRITERIOS!$M$86)+(_xlfn.XLOOKUP(A23,'[1]DATOS PBI Artículos'!$A$4:$A$4,'[1]DATOS PBI Artículos'!$AA$4:$AA$4)*([1]CRITERIOS!$M$95+[1]CRITERIOS!$M$98)))/N23)</f>
        <v>#N/A</v>
      </c>
      <c r="AD23" s="33" t="e">
        <f>IF(N23=0,"",(ROUNDUP((N23/2)/(_xlfn.XLOOKUP(A23,'[1]DATOS PBI Artículos'!$A$4:$A$4,'[1]DATOS PBI Artículos'!$Z$4:$Z$4)*_xlfn.XLOOKUP(_xlfn.XLOOKUP(A23,'[1]DATOS PBI Artículos'!$A$4:$A$4,'[1]DATOS PBI Artículos'!$Y$4:$Y$4),[1]CRITERIOS!$P$79:$P$123,[1]CRITERIOS!$S$79:$S$123)),0)*[1]CRITERIOS!$M$80*([1]CRITERIOS!$M$89*[1]CRITERIOS!$M$92)+((_xlfn.XLOOKUP(A23,'[1]DATOS PBI Artículos'!$A$4:$A$4,'[1]DATOS PBI Artículos'!$AA$4:$AA$4)/2)*([1]CRITERIOS!$M$95+[1]CRITERIOS!$M$98)))/N23)</f>
        <v>#N/A</v>
      </c>
      <c r="AE23" s="39">
        <f>IF($R23="MTO","",
IF($H23=0,ROUNDUP(((_xlfn.XLOOKUP($A23,'[1]DATOS PBI Artículos'!$A:$A,'[1]DATOS PBI Artículos'!$AL:$AL))/(_xlfn.XLOOKUP($AF$1,[1]CRITERIOS!$S$16:$S$39,[1]CRITERIOS!$Y$16:$Y$39))*$J23+$Z23)/$G23,0)*$G23,
((_xlfn.XLOOKUP($A23,'[1]DATOS PBI Artículos'!$A:$A,'[1]DATOS PBI Artículos'!$AL:$AL))/(_xlfn.XLOOKUP($AF$1,[1]CRITERIOS!$S$16:$S$39,[1]CRITERIOS!$Y$16:$Y$39))*$J23+$Z23)))</f>
        <v>175990.56464633724</v>
      </c>
      <c r="AG23" s="39">
        <f>IF($R23="MTO","",
IF($H23=0,ROUNDUP(((_xlfn.XLOOKUP($A23,'[1]DATOS PBI Artículos'!$A:$A,'[1]DATOS PBI Artículos'!$AM:$AM))/(_xlfn.XLOOKUP($AH$1,[1]CRITERIOS!$S$16:$S$39,[1]CRITERIOS!$Y$16:$Y$39))*$J23+$Z23)/$G23,0)*$G23,
((_xlfn.XLOOKUP($A23,'[1]DATOS PBI Artículos'!$A:$A,'[1]DATOS PBI Artículos'!$AM:$AM))/(_xlfn.XLOOKUP($AH$1,[1]CRITERIOS!$S$16:$S$39,[1]CRITERIOS!$Y$16:$Y$39))*$J23+$Z23)))</f>
        <v>137161.03128023766</v>
      </c>
      <c r="AI23" s="39">
        <f>IF($R23="MTO","",
IF($H23=0,ROUNDUP(((_xlfn.XLOOKUP($A23,'[1]DATOS PBI Artículos'!$A:$A,'[1]DATOS PBI Artículos'!$AN:$AN))/(_xlfn.XLOOKUP($AJ$1,[1]CRITERIOS!$S$16:$S$39,[1]CRITERIOS!$Y$16:$Y$39))*$J23+$Z23)/$G23,0)*$G23,
((_xlfn.XLOOKUP($A23,'[1]DATOS PBI Artículos'!$A:$A,'[1]DATOS PBI Artículos'!$AN:$AN))/(_xlfn.XLOOKUP($AJ$1,[1]CRITERIOS!$S$16:$S$39,[1]CRITERIOS!$Y$16:$Y$39))*$J23+$Z23)))</f>
        <v>156742.15981475782</v>
      </c>
      <c r="AK23" s="39">
        <f>IF($R23="MTO","",
IF($H23=0,ROUNDUP(((_xlfn.XLOOKUP($A23,'[1]DATOS PBI Artículos'!$A:$A,'[1]DATOS PBI Artículos'!$AO:$AO))/(_xlfn.XLOOKUP($AL$1,[1]CRITERIOS!$S$16:$S$39,[1]CRITERIOS!$Y$16:$Y$39))*$J23+$Z23)/$G23,0)*$G23,
((_xlfn.XLOOKUP($A23,'[1]DATOS PBI Artículos'!$A:$A,'[1]DATOS PBI Artículos'!$AO:$AO))/(_xlfn.XLOOKUP($AL$1,[1]CRITERIOS!$S$16:$S$39,[1]CRITERIOS!$Y$16:$Y$39))*$J23+$Z23)))</f>
        <v>167309.49695971934</v>
      </c>
    </row>
    <row r="24" spans="1:37" ht="25.8" x14ac:dyDescent="0.5">
      <c r="A24" s="32">
        <v>450431</v>
      </c>
      <c r="B24" s="33">
        <f>_xlfn.XLOOKUP($A24,'[1]DATOS PBI Artículos'!A:A,'[1]DATOS PBI Artículos'!B:B)</f>
        <v>0</v>
      </c>
      <c r="C24" s="33" t="str">
        <f>_xlfn.XLOOKUP($A24,'[1]DATOS PBI Artículos'!A:A,'[1]DATOS PBI Artículos'!C:C)</f>
        <v>UA03</v>
      </c>
      <c r="D24" s="33">
        <f>_xlfn.XLOOKUP(A24,'[1]DATOS PBI Artículos'!A:A,'[1]DATOS PBI Artículos'!T:T)</f>
        <v>16</v>
      </c>
      <c r="E24" s="34">
        <f>IF(_xlfn.XLOOKUP($A24,'[1]DATOS PBI Artículos'!A:A,'[1]DATOS PBI Artículos'!AK:AK)="",_xlfn.XLOOKUP($A24,'[1]DATOS PBI Artículos'!A:A,'[1]DATOS PBI Artículos'!AJ:AJ),_xlfn.XLOOKUP($A24,'[1]DATOS PBI Artículos'!A:A,'[1]DATOS PBI Artículos'!AK:AK))</f>
        <v>462000</v>
      </c>
      <c r="F24" s="35">
        <f>_xlfn.XLOOKUP($A24,'[1]DATOS PBI Artículos'!A:A,'[1]DATOS PBI Artículos'!AP:AP)</f>
        <v>5</v>
      </c>
      <c r="G24" s="34">
        <f>_xlfn.XLOOKUP($A24,'[1]DATOS PBI Artículos'!A:A,'[1]DATOS PBI Artículos'!AR:AR)</f>
        <v>21000</v>
      </c>
      <c r="H24" s="34">
        <f>_xlfn.XLOOKUP($A24,'[1]DATOS PBI Artículos'!A:A,'[1]DATOS PBI Artículos'!AT:AT)</f>
        <v>22262.075374951008</v>
      </c>
      <c r="I24" s="34">
        <f>_xlfn.XLOOKUP($A24,'[1]DATOS PBI Artículos'!A:A,'[1]DATOS PBI Artículos'!AS:AS)</f>
        <v>21000</v>
      </c>
      <c r="J24" s="35">
        <f>IF(COUNTIF([1]CRITERIOS!$F$179:$F$199,$A24)&gt;=1,
 IF(O24&lt;&gt;"",
    (O24/_xlfn.XLOOKUP(CONCATENATE(A24,L24),[1]MÁQUINAS!A:A,[1]MÁQUINAS!D:D))/24,
    (N24/_xlfn.XLOOKUP(CONCATENATE(A24,L24),[1]MÁQUINAS!A:A,[1]MÁQUINAS!D:D))/24),
  _xlfn.XLOOKUP($A24,'[1]DATOS PBI Artículos'!A:A,'[1]DATOS PBI Artículos'!AU:AU))</f>
        <v>15.766666666666666</v>
      </c>
      <c r="K24" s="36">
        <f>_xlfn.XLOOKUP($A24,'[1]DATOS PBI Artículos'!A:A,'[1]DATOS PBI Artículos'!AV:AV)</f>
        <v>2.9087659823763556</v>
      </c>
      <c r="L24" s="33">
        <f>_xlfn.XLOOKUP(A24,[1]MÁQUINAS!B:B,[1]MÁQUINAS!C:C)</f>
        <v>142</v>
      </c>
      <c r="M24" s="34">
        <f t="array" ref="M24">_xlfn.XLOOKUP(A24,'[1]DATOS PBI Artículos'!A:A,'[1]DATOS PBI Artículos'!AX:$AX)</f>
        <v>76647.772891482935</v>
      </c>
      <c r="N24" s="37">
        <f>IF(I24="DV",
E24,
IF(COUNTIF([1]CRITERIOS!$I$179:$I$199,$A24)&gt;=1,
_xlfn.XLOOKUP($A24,[1]CRITERIOS!$I$179:$I$199,[1]CRITERIOS!$J$179:$J$199),
IF(COUNTIF([1]CRITERIOS!$L$179:$L$199,$A24)&gt;=1,
_xlfn.CEILING.MATH(IF($M24&gt;$E24,
$E24,
IF($M24&lt;$E24/ROUNDDOWN([1]CRITERIOS!$M$16/_xlfn.XLOOKUP($C24,[1]CRITERIOS!$K$25:$K$42,[1]CRITERIOS!$M$25:$M$42),
1),
E24/ROUNDDOWN([1]CRITERIOS!$M$16/_xlfn.XLOOKUP($C24,[1]CRITERIOS!$K$25:$K$42,[1]CRITERIOS!$M$25:$M$42),
1),
$M24)),
_xlfn.XLOOKUP($A24,[1]CRITERIOS!$L$179:$L$200,[1]CRITERIOS!$M$179:$M$200)),
_xlfn.CEILING.MATH(IF($M24&gt;$E24,
$E24,
IF($M24&lt;$E24/ROUNDDOWN([1]CRITERIOS!$M$16/_xlfn.XLOOKUP($C24,[1]CRITERIOS!$K$25:$K$42,[1]CRITERIOS!$M$25:$M$42),
1),
E24/ROUNDDOWN([1]CRITERIOS!$M$16/_xlfn.XLOOKUP($C24,[1]CRITERIOS!$K$25:$K$42,[1]CRITERIOS!$M$25:$M$42),
1),
$M24)),_xlfn.XLOOKUP(A24,'[1]DATOS PBI Artículos'!A:A,'[1]DATOS PBI Artículos'!Z:Z
)))))</f>
        <v>126000</v>
      </c>
      <c r="Q24" s="38">
        <f>IF(AND(O24="",N24=0),
0,
   IF(COUNTIF([1]CRITERIOS!$F$179:$F$199,$A24)&gt;=1,
   1,
   IF(R24="MTO",
      $D24,
      ROUNDUP(
                    IF(($E24-SUMIF('[1]DATOS PBI Artículos'!A:A,A24,'[1]DATOS PBI Artículos'!X:X)+($V24-_xlfn.XLOOKUP(A24,'[1]DATOS PBI Artículos'!A:A,'[1]DATOS PBI Artículos'!W:W)))&lt;0,
                    0,
                    IF(($E24-SUMIF('[1]DATOS PBI Artículos'!A:A,A24,'[1]DATOS PBI Artículos'!X:X)+$V24-_xlfn.XLOOKUP($A24,'[1]DATOS PBI Artículos'!A:A,'[1]DATOS PBI Artículos'!W:W))/IF($O24="",$N24,$O24)&gt;ROUNDUP([1]CRITERIOS!$M$16/(IF(COUNTIF([1]CRITERIOS!$BG$11:$BG$201,L24)&gt;=1,_xlfn.XLOOKUP($C24,[1]CRITERIOS!$K$25:$K$42,[1]CRITERIOS!$M$25:$M$42),_xlfn.XLOOKUP($C24,[1]CRITERIOS!$K$25:$K$42,[1]CRITERIOS!$M$25:$M$42))),0),
                    ROUNDUP([1]CRITERIOS!$M$16/(IF(COUNTIF([1]CRITERIOS!$BG$11:$BG$201,$L24)&gt;=1,_xlfn.XLOOKUP($C24,[1]CRITERIOS!$K$25:$K$42,[1]CRITERIOS!$M$25:$M$42),_xlfn.XLOOKUP($C24,[1]CRITERIOS!$K$25:$K$42,[1]CRITERIOS!$M$25:$M$42))),0),
                    (E24+V24-SUMIF('[1]DATOS PBI Artículos'!A:A,A24,'[1]DATOS PBI Artículos'!X:X)-_xlfn.XLOOKUP(A24,'[1]DATOS PBI Artículos'!A:A,'[1]DATOS PBI Artículos'!W:W))/IF($O24="",$N24,$O24))),0))))</f>
        <v>4</v>
      </c>
      <c r="R24" s="33" t="str">
        <f>IF(U24&lt;&gt;"",U24,IF(F24="DV","MTO",IF(N24=0,"MTO",_xlfn.XLOOKUP(CONCATENATE(S24,T24),[1]CRITERIOS!$K$160:$K$168,[1]CRITERIOS!$N$160:$N$168))))</f>
        <v>MTS</v>
      </c>
      <c r="S24" s="33" t="str">
        <f>IF(G24="DV","MTO",IF(N24=0,"MTO",IF(OR(AND(N24=0,O24=""),IF(O24="",G24/N24,G24/O24)&gt;[1]CRITERIOS!$G$163),"MTO",IF(IF(O24="",G24/N24,G24/O24)&lt;[1]CRITERIOS!$H$161,"MTS","MTOS"))))</f>
        <v>MTS</v>
      </c>
      <c r="T24" s="33" t="str">
        <f>IF(F24="DV","MTO",IF(OR(AND($N24=0,O24=""),$F24/$J24&gt;[1]CRITERIOS!$G$170,$F24="DV"),"MTO",IF($F24/$J24&lt;[1]CRITERIOS!$H$168,"MTS","MTOS")))</f>
        <v>MTS</v>
      </c>
      <c r="V24" s="34">
        <f t="shared" si="3"/>
        <v>99703.39485532447</v>
      </c>
      <c r="X24" s="34">
        <f t="shared" si="1"/>
        <v>225703.39485532447</v>
      </c>
      <c r="Y24" s="34">
        <f t="shared" si="2"/>
        <v>96483.39485532447</v>
      </c>
      <c r="Z24" s="34">
        <f>IF($R24="MTO",
0,
($H24+$K24*($E24/[1]CRITERIOS!$M$16))/[1]CRITERIOS!$X$48)</f>
        <v>33483.39485532447</v>
      </c>
      <c r="AA24" s="34" t="e">
        <f>ROUNDUP(($Y24/_xlfn.XLOOKUP($A24,'[1]DATOS PBI Artículos'!$A$4:$A$4,'[1]DATOS PBI Artículos'!$Z$4:$Z$4))/_xlfn.XLOOKUP(_xlfn.XLOOKUP($A24,'[1]DATOS PBI Artículos'!$A$4:$A$4,'[1]DATOS PBI Artículos'!$Y$4:$Y$4),[1]CRITERIOS!$P$79:$P$123,[1]CRITERIOS!$S$79:$S$123,),0)</f>
        <v>#N/A</v>
      </c>
      <c r="AB24" s="33" t="e">
        <f t="array" ref="AB24">IF((E24+V24-_xlfn.XLOOKUP(A24,'[1]DATOS PBI Artículos'!$A$4:$A$4,'[1]DATOS PBI Artículos'!$W$4:$W$4))/N24&gt;ROUNDUP([1]CRITERIOS!$M$16/(IF(COUNTIF([1]CRITERIOS!$BG$11:$BG$201,L24)&gt;=1,_xlfn.XLOOKUP(ARTÍCULOS!L24,[1]CRITERIOS!$BG$11:$BG$201,[1]CRITERIOS!$BJ$11:$BJ$201),_xlfn.XLOOKUP(ARTÍCULOS!C24,[1]CRITERIOS!$K$25:$K$42,[1]CRITERIOS!$M$25:$M$42))),0),ROUNDUP([1]CRITERIOS!$M$16/(IF(COUNTIF([1]CRITERIOS!$BG$11:$BG$201,L24)&gt;=1,_xlfn.XLOOKUP(ARTÍCULOS!L24,[1]CRITERIOS!$BG$11:$BG$201:#REF!,[1]CRITERIOS!$BJ$11:$BJ$201),_xlfn.XLOOKUP(ARTÍCULOS!C24,[1]CRITERIOS!$K$25:$K$42,[1]CRITERIOS!$M$25:$M$42))),0),(E24+V24-_xlfn.XLOOKUP(A24,'[1]DATOS PBI Artículos'!$A$4:$A$4,'[1]DATOS PBI Artículos'!$W$4:$W$4))/N24)</f>
        <v>#N/A</v>
      </c>
      <c r="AC24" s="33" t="e">
        <f>IF(N24=0,"",(ROUNDUP((N24/2)/(_xlfn.XLOOKUP(A24,'[1]DATOS PBI Artículos'!$A$4:$A$4,'[1]DATOS PBI Artículos'!$Z$4:$Z$4)*_xlfn.XLOOKUP(_xlfn.XLOOKUP(A24,'[1]DATOS PBI Artículos'!$A$4:$A$4,'[1]DATOS PBI Artículos'!$Y$4:$Y$4),[1]CRITERIOS!$P$79:$P$123,[1]CRITERIOS!$S$79:$S$123)),0)*[1]CRITERIOS!$M$80*([1]CRITERIOS!$M$110/[1]CRITERIOS!$M$86)+(_xlfn.XLOOKUP(A24,'[1]DATOS PBI Artículos'!$A$4:$A$4,'[1]DATOS PBI Artículos'!$AA$4:$AA$4)*([1]CRITERIOS!$M$95+[1]CRITERIOS!$M$98)))/N24)</f>
        <v>#N/A</v>
      </c>
      <c r="AD24" s="33" t="e">
        <f>IF(N24=0,"",(ROUNDUP((N24/2)/(_xlfn.XLOOKUP(A24,'[1]DATOS PBI Artículos'!$A$4:$A$4,'[1]DATOS PBI Artículos'!$Z$4:$Z$4)*_xlfn.XLOOKUP(_xlfn.XLOOKUP(A24,'[1]DATOS PBI Artículos'!$A$4:$A$4,'[1]DATOS PBI Artículos'!$Y$4:$Y$4),[1]CRITERIOS!$P$79:$P$123,[1]CRITERIOS!$S$79:$S$123)),0)*[1]CRITERIOS!$M$80*([1]CRITERIOS!$M$89*[1]CRITERIOS!$M$92)+((_xlfn.XLOOKUP(A24,'[1]DATOS PBI Artículos'!$A$4:$A$4,'[1]DATOS PBI Artículos'!$AA$4:$AA$4)/2)*([1]CRITERIOS!$M$95+[1]CRITERIOS!$M$98)))/N24)</f>
        <v>#N/A</v>
      </c>
      <c r="AE24" s="39">
        <f>IF($R24="MTO","",
IF($H24=0,ROUNDUP(((_xlfn.XLOOKUP($A24,'[1]DATOS PBI Artículos'!$A:$A,'[1]DATOS PBI Artículos'!$AL:$AL))/(_xlfn.XLOOKUP($AF$1,[1]CRITERIOS!$S$16:$S$39,[1]CRITERIOS!$Y$16:$Y$39))*$J24+$Z24)/$G24,0)*$G24,
((_xlfn.XLOOKUP($A24,'[1]DATOS PBI Artículos'!$A:$A,'[1]DATOS PBI Artículos'!$AL:$AL))/(_xlfn.XLOOKUP($AF$1,[1]CRITERIOS!$S$16:$S$39,[1]CRITERIOS!$Y$16:$Y$39))*$J24+$Z24)))</f>
        <v>157045.2592517864</v>
      </c>
      <c r="AG24" s="39">
        <f>IF($R24="MTO","",
IF($H24=0,ROUNDUP(((_xlfn.XLOOKUP($A24,'[1]DATOS PBI Artículos'!$A:$A,'[1]DATOS PBI Artículos'!$AM:$AM))/(_xlfn.XLOOKUP($AH$1,[1]CRITERIOS!$S$16:$S$39,[1]CRITERIOS!$Y$16:$Y$39))*$J24+$Z24)/$G24,0)*$G24,
((_xlfn.XLOOKUP($A24,'[1]DATOS PBI Artículos'!$A:$A,'[1]DATOS PBI Artículos'!$AM:$AM))/(_xlfn.XLOOKUP($AH$1,[1]CRITERIOS!$S$16:$S$39,[1]CRITERIOS!$Y$16:$Y$39))*$J24+$Z24)))</f>
        <v>122240.2898111673</v>
      </c>
      <c r="AI24" s="39">
        <f>IF($R24="MTO","",
IF($H24=0,ROUNDUP(((_xlfn.XLOOKUP($A24,'[1]DATOS PBI Artículos'!$A:$A,'[1]DATOS PBI Artículos'!$AN:$AN))/(_xlfn.XLOOKUP($AJ$1,[1]CRITERIOS!$S$16:$S$39,[1]CRITERIOS!$Y$16:$Y$39))*$J24+$Z24)/$G24,0)*$G24,
((_xlfn.XLOOKUP($A24,'[1]DATOS PBI Artículos'!$A:$A,'[1]DATOS PBI Artículos'!$AN:$AN))/(_xlfn.XLOOKUP($AJ$1,[1]CRITERIOS!$S$16:$S$39,[1]CRITERIOS!$Y$16:$Y$39))*$J24+$Z24)))</f>
        <v>139791.89347920971</v>
      </c>
      <c r="AK24" s="39">
        <f>IF($R24="MTO","",
IF($H24=0,ROUNDUP(((_xlfn.XLOOKUP($A24,'[1]DATOS PBI Artículos'!$A:$A,'[1]DATOS PBI Artículos'!$AO:$AO))/(_xlfn.XLOOKUP($AL$1,[1]CRITERIOS!$S$16:$S$39,[1]CRITERIOS!$Y$16:$Y$39))*$J24+$Z24)/$G24,0)*$G24,
((_xlfn.XLOOKUP($A24,'[1]DATOS PBI Artículos'!$A:$A,'[1]DATOS PBI Artículos'!$AO:$AO))/(_xlfn.XLOOKUP($AL$1,[1]CRITERIOS!$S$16:$S$39,[1]CRITERIOS!$Y$16:$Y$39))*$J24+$Z24)))</f>
        <v>149263.95802686695</v>
      </c>
    </row>
    <row r="25" spans="1:37" ht="25.8" x14ac:dyDescent="0.5">
      <c r="A25" s="32">
        <v>400311</v>
      </c>
      <c r="B25" s="33">
        <f>_xlfn.XLOOKUP($A25,'[1]DATOS PBI Artículos'!A:A,'[1]DATOS PBI Artículos'!B:B)</f>
        <v>0</v>
      </c>
      <c r="C25" s="33" t="str">
        <f>_xlfn.XLOOKUP($A25,'[1]DATOS PBI Artículos'!A:A,'[1]DATOS PBI Artículos'!C:C)</f>
        <v>UA03</v>
      </c>
      <c r="D25" s="33">
        <f>_xlfn.XLOOKUP(A25,'[1]DATOS PBI Artículos'!A:A,'[1]DATOS PBI Artículos'!T:T)</f>
        <v>4</v>
      </c>
      <c r="E25" s="34">
        <f>IF(_xlfn.XLOOKUP($A25,'[1]DATOS PBI Artículos'!A:A,'[1]DATOS PBI Artículos'!AK:AK)="",_xlfn.XLOOKUP($A25,'[1]DATOS PBI Artículos'!A:A,'[1]DATOS PBI Artículos'!AJ:AJ),_xlfn.XLOOKUP($A25,'[1]DATOS PBI Artículos'!A:A,'[1]DATOS PBI Artículos'!AK:AK))</f>
        <v>448560</v>
      </c>
      <c r="F25" s="35">
        <f>_xlfn.XLOOKUP($A25,'[1]DATOS PBI Artículos'!A:A,'[1]DATOS PBI Artículos'!AP:AP)</f>
        <v>5.6666666666600003</v>
      </c>
      <c r="G25" s="34">
        <f>_xlfn.XLOOKUP($A25,'[1]DATOS PBI Artículos'!A:A,'[1]DATOS PBI Artículos'!AR:AR)</f>
        <v>110880</v>
      </c>
      <c r="H25" s="34">
        <f>_xlfn.XLOOKUP($A25,'[1]DATOS PBI Artículos'!A:A,'[1]DATOS PBI Artículos'!AT:AT)</f>
        <v>46625.675330229802</v>
      </c>
      <c r="I25" s="34">
        <f>_xlfn.XLOOKUP($A25,'[1]DATOS PBI Artículos'!A:A,'[1]DATOS PBI Artículos'!AS:AS)</f>
        <v>5040</v>
      </c>
      <c r="J25" s="35">
        <f>IF(COUNTIF([1]CRITERIOS!$F$179:$F$199,$A25)&gt;=1,
 IF(O25&lt;&gt;"",
    (O25/_xlfn.XLOOKUP(CONCATENATE(A25,L25),[1]MÁQUINAS!A:A,[1]MÁQUINAS!D:D))/24,
    (N25/_xlfn.XLOOKUP(CONCATENATE(A25,L25),[1]MÁQUINAS!A:A,[1]MÁQUINAS!D:D))/24),
  _xlfn.XLOOKUP($A25,'[1]DATOS PBI Artículos'!A:A,'[1]DATOS PBI Artículos'!AU:AU))</f>
        <v>15.130434782608695</v>
      </c>
      <c r="K25" s="36">
        <f>_xlfn.XLOOKUP($A25,'[1]DATOS PBI Artículos'!A:A,'[1]DATOS PBI Artículos'!AV:AV)</f>
        <v>2.4551309505176544</v>
      </c>
      <c r="L25" s="33">
        <f>_xlfn.XLOOKUP(A25,[1]MÁQUINAS!B:B,[1]MÁQUINAS!C:C)</f>
        <v>142</v>
      </c>
      <c r="M25" s="34">
        <f t="array" ref="M25">_xlfn.XLOOKUP(A25,'[1]DATOS PBI Artículos'!A:A,'[1]DATOS PBI Artículos'!AX:$AX)</f>
        <v>83812.849259342722</v>
      </c>
      <c r="N25" s="37">
        <f>IF(I25="DV",
E25,
IF(COUNTIF([1]CRITERIOS!$I$179:$I$199,$A25)&gt;=1,
_xlfn.XLOOKUP($A25,[1]CRITERIOS!$I$179:$I$199,[1]CRITERIOS!$J$179:$J$199),
IF(COUNTIF([1]CRITERIOS!$L$179:$L$199,$A25)&gt;=1,
_xlfn.CEILING.MATH(IF($M25&gt;$E25,
$E25,
IF($M25&lt;$E25/ROUNDDOWN([1]CRITERIOS!$M$16/_xlfn.XLOOKUP($C25,[1]CRITERIOS!$K$25:$K$42,[1]CRITERIOS!$M$25:$M$42),
1),
E25/ROUNDDOWN([1]CRITERIOS!$M$16/_xlfn.XLOOKUP($C25,[1]CRITERIOS!$K$25:$K$42,[1]CRITERIOS!$M$25:$M$42),
1),
$M25)),
_xlfn.XLOOKUP($A25,[1]CRITERIOS!$L$179:$L$200,[1]CRITERIOS!$M$179:$M$200)),
_xlfn.CEILING.MATH(IF($M25&gt;$E25,
$E25,
IF($M25&lt;$E25/ROUNDDOWN([1]CRITERIOS!$M$16/_xlfn.XLOOKUP($C25,[1]CRITERIOS!$K$25:$K$42,[1]CRITERIOS!$M$25:$M$42),
1),
E25/ROUNDDOWN([1]CRITERIOS!$M$16/_xlfn.XLOOKUP($C25,[1]CRITERIOS!$K$25:$K$42,[1]CRITERIOS!$M$25:$M$42),
1),
$M25)),_xlfn.XLOOKUP(A25,'[1]DATOS PBI Artículos'!A:A,'[1]DATOS PBI Artículos'!Z:Z
)))))</f>
        <v>126000</v>
      </c>
      <c r="Q25" s="38">
        <f>IF(AND(O25="",N25=0),
0,
   IF(COUNTIF([1]CRITERIOS!$F$179:$F$199,$A25)&gt;=1,
   1,
   IF(R25="MTO",
      $D25,
      ROUNDUP(
                    IF(($E25-SUMIF('[1]DATOS PBI Artículos'!A:A,A25,'[1]DATOS PBI Artículos'!X:X)+($V25-_xlfn.XLOOKUP(A25,'[1]DATOS PBI Artículos'!A:A,'[1]DATOS PBI Artículos'!W:W)))&lt;0,
                    0,
                    IF(($E25-SUMIF('[1]DATOS PBI Artículos'!A:A,A25,'[1]DATOS PBI Artículos'!X:X)+$V25-_xlfn.XLOOKUP($A25,'[1]DATOS PBI Artículos'!A:A,'[1]DATOS PBI Artículos'!W:W))/IF($O25="",$N25,$O25)&gt;ROUNDUP([1]CRITERIOS!$M$16/(IF(COUNTIF([1]CRITERIOS!$BG$11:$BG$201,L25)&gt;=1,_xlfn.XLOOKUP($C25,[1]CRITERIOS!$K$25:$K$42,[1]CRITERIOS!$M$25:$M$42),_xlfn.XLOOKUP($C25,[1]CRITERIOS!$K$25:$K$42,[1]CRITERIOS!$M$25:$M$42))),0),
                    ROUNDUP([1]CRITERIOS!$M$16/(IF(COUNTIF([1]CRITERIOS!$BG$11:$BG$201,$L25)&gt;=1,_xlfn.XLOOKUP($C25,[1]CRITERIOS!$K$25:$K$42,[1]CRITERIOS!$M$25:$M$42),_xlfn.XLOOKUP($C25,[1]CRITERIOS!$K$25:$K$42,[1]CRITERIOS!$M$25:$M$42))),0),
                    (E25+V25-SUMIF('[1]DATOS PBI Artículos'!A:A,A25,'[1]DATOS PBI Artículos'!X:X)-_xlfn.XLOOKUP(A25,'[1]DATOS PBI Artículos'!A:A,'[1]DATOS PBI Artículos'!W:W))/IF($O25="",$N25,$O25))),0))))</f>
        <v>4</v>
      </c>
      <c r="R25" s="33" t="str">
        <f>IF(U25&lt;&gt;"",U25,IF(F25="DV","MTO",IF(N25=0,"MTO",_xlfn.XLOOKUP(CONCATENATE(S25,T25),[1]CRITERIOS!$K$160:$K$168,[1]CRITERIOS!$N$160:$N$168))))</f>
        <v>MTS</v>
      </c>
      <c r="S25" s="33" t="str">
        <f>IF(G25="DV","MTO",IF(N25=0,"MTO",IF(OR(AND(N25=0,O25=""),IF(O25="",G25/N25,G25/O25)&gt;[1]CRITERIOS!$G$163),"MTO",IF(IF(O25="",G25/N25,G25/O25)&lt;[1]CRITERIOS!$H$161,"MTS","MTOS"))))</f>
        <v>MTO</v>
      </c>
      <c r="T25" s="33" t="str">
        <f>IF(F25="DV","MTO",IF(OR(AND($N25=0,O25=""),$F25/$J25&gt;[1]CRITERIOS!$G$170,$F25="DV"),"MTO",IF($F25/$J25&lt;[1]CRITERIOS!$H$168,"MTS","MTOS")))</f>
        <v>MTS</v>
      </c>
      <c r="V25" s="34">
        <f t="shared" si="3"/>
        <v>347149.20951646625</v>
      </c>
      <c r="X25" s="34">
        <f t="shared" si="1"/>
        <v>473149.20951646625</v>
      </c>
      <c r="Y25" s="34">
        <f t="shared" si="2"/>
        <v>114091.10209923817</v>
      </c>
      <c r="Z25" s="34">
        <f>IF($R25="MTO",
0,
($H25+$K25*($E25/[1]CRITERIOS!$M$16))/[1]CRITERIOS!$X$48)</f>
        <v>51091.10209923816</v>
      </c>
      <c r="AA25" s="34" t="e">
        <f>ROUNDUP(($Y25/_xlfn.XLOOKUP($A25,'[1]DATOS PBI Artículos'!$A$4:$A$4,'[1]DATOS PBI Artículos'!$Z$4:$Z$4))/_xlfn.XLOOKUP(_xlfn.XLOOKUP($A25,'[1]DATOS PBI Artículos'!$A$4:$A$4,'[1]DATOS PBI Artículos'!$Y$4:$Y$4),[1]CRITERIOS!$P$79:$P$123,[1]CRITERIOS!$S$79:$S$123,),0)</f>
        <v>#N/A</v>
      </c>
      <c r="AB25" s="33" t="e">
        <f t="array" ref="AB25">IF((E25+V25-_xlfn.XLOOKUP(A25,'[1]DATOS PBI Artículos'!$A$4:$A$4,'[1]DATOS PBI Artículos'!$W$4:$W$4))/N25&gt;ROUNDUP([1]CRITERIOS!$M$16/(IF(COUNTIF([1]CRITERIOS!$BG$11:$BG$201,L25)&gt;=1,_xlfn.XLOOKUP(ARTÍCULOS!L25,[1]CRITERIOS!$BG$11:$BG$201,[1]CRITERIOS!$BJ$11:$BJ$201),_xlfn.XLOOKUP(ARTÍCULOS!C25,[1]CRITERIOS!$K$25:$K$42,[1]CRITERIOS!$M$25:$M$42))),0),ROUNDUP([1]CRITERIOS!$M$16/(IF(COUNTIF([1]CRITERIOS!$BG$11:$BG$201,L25)&gt;=1,_xlfn.XLOOKUP(ARTÍCULOS!L25,[1]CRITERIOS!$BG$11:$BG$201:#REF!,[1]CRITERIOS!$BJ$11:$BJ$201),_xlfn.XLOOKUP(ARTÍCULOS!C25,[1]CRITERIOS!$K$25:$K$42,[1]CRITERIOS!$M$25:$M$42))),0),(E25+V25-_xlfn.XLOOKUP(A25,'[1]DATOS PBI Artículos'!$A$4:$A$4,'[1]DATOS PBI Artículos'!$W$4:$W$4))/N25)</f>
        <v>#N/A</v>
      </c>
      <c r="AC25" s="33" t="e">
        <f>IF(N25=0,"",(ROUNDUP((N25/2)/(_xlfn.XLOOKUP(A25,'[1]DATOS PBI Artículos'!$A$4:$A$4,'[1]DATOS PBI Artículos'!$Z$4:$Z$4)*_xlfn.XLOOKUP(_xlfn.XLOOKUP(A25,'[1]DATOS PBI Artículos'!$A$4:$A$4,'[1]DATOS PBI Artículos'!$Y$4:$Y$4),[1]CRITERIOS!$P$79:$P$123,[1]CRITERIOS!$S$79:$S$123)),0)*[1]CRITERIOS!$M$80*([1]CRITERIOS!$M$110/[1]CRITERIOS!$M$86)+(_xlfn.XLOOKUP(A25,'[1]DATOS PBI Artículos'!$A$4:$A$4,'[1]DATOS PBI Artículos'!$AA$4:$AA$4)*([1]CRITERIOS!$M$95+[1]CRITERIOS!$M$98)))/N25)</f>
        <v>#N/A</v>
      </c>
      <c r="AD25" s="33" t="e">
        <f>IF(N25=0,"",(ROUNDUP((N25/2)/(_xlfn.XLOOKUP(A25,'[1]DATOS PBI Artículos'!$A$4:$A$4,'[1]DATOS PBI Artículos'!$Z$4:$Z$4)*_xlfn.XLOOKUP(_xlfn.XLOOKUP(A25,'[1]DATOS PBI Artículos'!$A$4:$A$4,'[1]DATOS PBI Artículos'!$Y$4:$Y$4),[1]CRITERIOS!$P$79:$P$123,[1]CRITERIOS!$S$79:$S$123)),0)*[1]CRITERIOS!$M$80*([1]CRITERIOS!$M$89*[1]CRITERIOS!$M$92)+((_xlfn.XLOOKUP(A25,'[1]DATOS PBI Artículos'!$A$4:$A$4,'[1]DATOS PBI Artículos'!$AA$4:$AA$4)/2)*([1]CRITERIOS!$M$95+[1]CRITERIOS!$M$98)))/N25)</f>
        <v>#N/A</v>
      </c>
      <c r="AE25" s="39">
        <f>IF($R25="MTO","",
IF($H25=0,ROUNDUP(((_xlfn.XLOOKUP($A25,'[1]DATOS PBI Artículos'!$A:$A,'[1]DATOS PBI Artículos'!$AL:$AL))/(_xlfn.XLOOKUP($AF$1,[1]CRITERIOS!$S$16:$S$39,[1]CRITERIOS!$Y$16:$Y$39))*$J25+$Z25)/$G25,0)*$G25,
((_xlfn.XLOOKUP($A25,'[1]DATOS PBI Artículos'!$A:$A,'[1]DATOS PBI Artículos'!$AL:$AL))/(_xlfn.XLOOKUP($AF$1,[1]CRITERIOS!$S$16:$S$39,[1]CRITERIOS!$Y$16:$Y$39))*$J25+$Z25)))</f>
        <v>166217.40072890825</v>
      </c>
      <c r="AG25" s="39">
        <f>IF($R25="MTO","",
IF($H25=0,ROUNDUP(((_xlfn.XLOOKUP($A25,'[1]DATOS PBI Artículos'!$A:$A,'[1]DATOS PBI Artículos'!$AM:$AM))/(_xlfn.XLOOKUP($AH$1,[1]CRITERIOS!$S$16:$S$39,[1]CRITERIOS!$Y$16:$Y$39))*$J25+$Z25)/$G25,0)*$G25,
((_xlfn.XLOOKUP($A25,'[1]DATOS PBI Artículos'!$A:$A,'[1]DATOS PBI Artículos'!$AM:$AM))/(_xlfn.XLOOKUP($AH$1,[1]CRITERIOS!$S$16:$S$39,[1]CRITERIOS!$Y$16:$Y$39))*$J25+$Z25)))</f>
        <v>133788.56578708137</v>
      </c>
      <c r="AI25" s="39">
        <f>IF($R25="MTO","",
IF($H25=0,ROUNDUP(((_xlfn.XLOOKUP($A25,'[1]DATOS PBI Artículos'!$A:$A,'[1]DATOS PBI Artículos'!$AN:$AN))/(_xlfn.XLOOKUP($AJ$1,[1]CRITERIOS!$S$16:$S$39,[1]CRITERIOS!$Y$16:$Y$39))*$J25+$Z25)/$G25,0)*$G25,
((_xlfn.XLOOKUP($A25,'[1]DATOS PBI Artículos'!$A:$A,'[1]DATOS PBI Artículos'!$AN:$AN))/(_xlfn.XLOOKUP($AJ$1,[1]CRITERIOS!$S$16:$S$39,[1]CRITERIOS!$Y$16:$Y$39))*$J25+$Z25)))</f>
        <v>150141.92185844318</v>
      </c>
      <c r="AK25" s="39">
        <f>IF($R25="MTO","",
IF($H25=0,ROUNDUP(((_xlfn.XLOOKUP($A25,'[1]DATOS PBI Artículos'!$A:$A,'[1]DATOS PBI Artículos'!$AO:$AO))/(_xlfn.XLOOKUP($AL$1,[1]CRITERIOS!$S$16:$S$39,[1]CRITERIOS!$Y$16:$Y$39))*$J25+$Z25)/$G25,0)*$G25,
((_xlfn.XLOOKUP($A25,'[1]DATOS PBI Artículos'!$A:$A,'[1]DATOS PBI Artículos'!$AO:$AO))/(_xlfn.XLOOKUP($AL$1,[1]CRITERIOS!$S$16:$S$39,[1]CRITERIOS!$Y$16:$Y$39))*$J25+$Z25)))</f>
        <v>158967.32876760216</v>
      </c>
    </row>
    <row r="26" spans="1:37" ht="25.8" x14ac:dyDescent="0.5">
      <c r="A26" s="32">
        <v>400293</v>
      </c>
      <c r="B26" s="33">
        <f>_xlfn.XLOOKUP($A26,'[1]DATOS PBI Artículos'!A:A,'[1]DATOS PBI Artículos'!B:B)</f>
        <v>0</v>
      </c>
      <c r="C26" s="33" t="str">
        <f>_xlfn.XLOOKUP($A26,'[1]DATOS PBI Artículos'!A:A,'[1]DATOS PBI Artículos'!C:C)</f>
        <v>UA03</v>
      </c>
      <c r="D26" s="33">
        <f>_xlfn.XLOOKUP(A26,'[1]DATOS PBI Artículos'!A:A,'[1]DATOS PBI Artículos'!T:T)</f>
        <v>8</v>
      </c>
      <c r="E26" s="34">
        <f>IF(_xlfn.XLOOKUP($A26,'[1]DATOS PBI Artículos'!A:A,'[1]DATOS PBI Artículos'!AK:AK)="",_xlfn.XLOOKUP($A26,'[1]DATOS PBI Artículos'!A:A,'[1]DATOS PBI Artículos'!AJ:AJ),_xlfn.XLOOKUP($A26,'[1]DATOS PBI Artículos'!A:A,'[1]DATOS PBI Artículos'!AK:AK))</f>
        <v>438600</v>
      </c>
      <c r="F26" s="35">
        <f>_xlfn.XLOOKUP($A26,'[1]DATOS PBI Artículos'!A:A,'[1]DATOS PBI Artículos'!AP:AP)</f>
        <v>10.14285714285</v>
      </c>
      <c r="G26" s="34">
        <f>_xlfn.XLOOKUP($A26,'[1]DATOS PBI Artículos'!A:A,'[1]DATOS PBI Artículos'!AR:AR)</f>
        <v>51000</v>
      </c>
      <c r="H26" s="34">
        <f>_xlfn.XLOOKUP($A26,'[1]DATOS PBI Artículos'!A:A,'[1]DATOS PBI Artículos'!AT:AT)</f>
        <v>13285.195842419056</v>
      </c>
      <c r="I26" s="34">
        <f>_xlfn.XLOOKUP($A26,'[1]DATOS PBI Artículos'!A:A,'[1]DATOS PBI Artículos'!AS:AS)</f>
        <v>10200</v>
      </c>
      <c r="J26" s="35">
        <f>IF(COUNTIF([1]CRITERIOS!$F$179:$F$199,$A26)&gt;=1,
 IF(O26&lt;&gt;"",
    (O26/_xlfn.XLOOKUP(CONCATENATE(A26,L26),[1]MÁQUINAS!A:A,[1]MÁQUINAS!D:D))/24,
    (N26/_xlfn.XLOOKUP(CONCATENATE(A26,L26),[1]MÁQUINAS!A:A,[1]MÁQUINAS!D:D))/24),
  _xlfn.XLOOKUP($A26,'[1]DATOS PBI Artículos'!A:A,'[1]DATOS PBI Artículos'!AU:AU))</f>
        <v>14.285714285714285</v>
      </c>
      <c r="K26" s="36">
        <f>_xlfn.XLOOKUP($A26,'[1]DATOS PBI Artículos'!A:A,'[1]DATOS PBI Artículos'!AV:AV)</f>
        <v>2.1246848505803664</v>
      </c>
      <c r="L26" s="33">
        <f>_xlfn.XLOOKUP(A26,[1]MÁQUINAS!B:B,[1]MÁQUINAS!C:C)</f>
        <v>142</v>
      </c>
      <c r="M26" s="34">
        <f t="array" ref="M26">_xlfn.XLOOKUP(A26,'[1]DATOS PBI Artículos'!A:A,'[1]DATOS PBI Artículos'!AX:$AX)</f>
        <v>121503.67015999577</v>
      </c>
      <c r="N26" s="37">
        <f>IF(I26="DV",
E26,
IF(COUNTIF([1]CRITERIOS!$I$179:$I$199,$A26)&gt;=1,
_xlfn.XLOOKUP($A26,[1]CRITERIOS!$I$179:$I$199,[1]CRITERIOS!$J$179:$J$199),
IF(COUNTIF([1]CRITERIOS!$L$179:$L$199,$A26)&gt;=1,
_xlfn.CEILING.MATH(IF($M26&gt;$E26,
$E26,
IF($M26&lt;$E26/ROUNDDOWN([1]CRITERIOS!$M$16/_xlfn.XLOOKUP($C26,[1]CRITERIOS!$K$25:$K$42,[1]CRITERIOS!$M$25:$M$42),
1),
E26/ROUNDDOWN([1]CRITERIOS!$M$16/_xlfn.XLOOKUP($C26,[1]CRITERIOS!$K$25:$K$42,[1]CRITERIOS!$M$25:$M$42),
1),
$M26)),
_xlfn.XLOOKUP($A26,[1]CRITERIOS!$L$179:$L$200,[1]CRITERIOS!$M$179:$M$200)),
_xlfn.CEILING.MATH(IF($M26&gt;$E26,
$E26,
IF($M26&lt;$E26/ROUNDDOWN([1]CRITERIOS!$M$16/_xlfn.XLOOKUP($C26,[1]CRITERIOS!$K$25:$K$42,[1]CRITERIOS!$M$25:$M$42),
1),
E26/ROUNDDOWN([1]CRITERIOS!$M$16/_xlfn.XLOOKUP($C26,[1]CRITERIOS!$K$25:$K$42,[1]CRITERIOS!$M$25:$M$42),
1),
$M26)),_xlfn.XLOOKUP(A26,'[1]DATOS PBI Artículos'!A:A,'[1]DATOS PBI Artículos'!Z:Z
)))))</f>
        <v>122400</v>
      </c>
      <c r="Q26" s="38">
        <f>IF(AND(O26="",N26=0),
0,
   IF(COUNTIF([1]CRITERIOS!$F$179:$F$199,$A26)&gt;=1,
   1,
   IF(R26="MTO",
      $D26,
      ROUNDUP(
                    IF(($E26-SUMIF('[1]DATOS PBI Artículos'!A:A,A26,'[1]DATOS PBI Artículos'!X:X)+($V26-_xlfn.XLOOKUP(A26,'[1]DATOS PBI Artículos'!A:A,'[1]DATOS PBI Artículos'!W:W)))&lt;0,
                    0,
                    IF(($E26-SUMIF('[1]DATOS PBI Artículos'!A:A,A26,'[1]DATOS PBI Artículos'!X:X)+$V26-_xlfn.XLOOKUP($A26,'[1]DATOS PBI Artículos'!A:A,'[1]DATOS PBI Artículos'!W:W))/IF($O26="",$N26,$O26)&gt;ROUNDUP([1]CRITERIOS!$M$16/(IF(COUNTIF([1]CRITERIOS!$BG$11:$BG$201,L26)&gt;=1,_xlfn.XLOOKUP($C26,[1]CRITERIOS!$K$25:$K$42,[1]CRITERIOS!$M$25:$M$42),_xlfn.XLOOKUP($C26,[1]CRITERIOS!$K$25:$K$42,[1]CRITERIOS!$M$25:$M$42))),0),
                    ROUNDUP([1]CRITERIOS!$M$16/(IF(COUNTIF([1]CRITERIOS!$BG$11:$BG$201,$L26)&gt;=1,_xlfn.XLOOKUP($C26,[1]CRITERIOS!$K$25:$K$42,[1]CRITERIOS!$M$25:$M$42),_xlfn.XLOOKUP($C26,[1]CRITERIOS!$K$25:$K$42,[1]CRITERIOS!$M$25:$M$42))),0),
                    (E26+V26-SUMIF('[1]DATOS PBI Artículos'!A:A,A26,'[1]DATOS PBI Artículos'!X:X)-_xlfn.XLOOKUP(A26,'[1]DATOS PBI Artículos'!A:A,'[1]DATOS PBI Artículos'!W:W))/IF($O26="",$N26,$O26))),0))))</f>
        <v>3</v>
      </c>
      <c r="R26" s="33" t="str">
        <f>IF(U26&lt;&gt;"",U26,IF(F26="DV","MTO",IF(N26=0,"MTO",_xlfn.XLOOKUP(CONCATENATE(S26,T26),[1]CRITERIOS!$K$160:$K$168,[1]CRITERIOS!$N$160:$N$168))))</f>
        <v>MTS</v>
      </c>
      <c r="S26" s="33" t="str">
        <f>IF(G26="DV","MTO",IF(N26=0,"MTO",IF(OR(AND(N26=0,O26=""),IF(O26="",G26/N26,G26/O26)&gt;[1]CRITERIOS!$G$163),"MTO",IF(IF(O26="",G26/N26,G26/O26)&lt;[1]CRITERIOS!$H$161,"MTS","MTOS"))))</f>
        <v>MTS</v>
      </c>
      <c r="T26" s="33" t="str">
        <f>IF(F26="DV","MTO",IF(OR(AND($N26=0,O26=""),$F26/$J26&gt;[1]CRITERIOS!$G$170,$F26="DV"),"MTO",IF($F26/$J26&lt;[1]CRITERIOS!$H$168,"MTS","MTOS")))</f>
        <v>MTS</v>
      </c>
      <c r="V26" s="34">
        <f t="shared" si="3"/>
        <v>93256.279956054408</v>
      </c>
      <c r="X26" s="34">
        <f t="shared" si="1"/>
        <v>215656.27995605441</v>
      </c>
      <c r="Y26" s="34">
        <f t="shared" si="2"/>
        <v>82625.294040510867</v>
      </c>
      <c r="Z26" s="34">
        <f>IF($R26="MTO",
0,
($H26+$K26*($E26/[1]CRITERIOS!$M$16))/[1]CRITERIOS!$X$48)</f>
        <v>21425.294040510867</v>
      </c>
      <c r="AA26" s="34" t="e">
        <f>ROUNDUP(($Y26/_xlfn.XLOOKUP($A26,'[1]DATOS PBI Artículos'!$A$4:$A$4,'[1]DATOS PBI Artículos'!$Z$4:$Z$4))/_xlfn.XLOOKUP(_xlfn.XLOOKUP($A26,'[1]DATOS PBI Artículos'!$A$4:$A$4,'[1]DATOS PBI Artículos'!$Y$4:$Y$4),[1]CRITERIOS!$P$79:$P$123,[1]CRITERIOS!$S$79:$S$123,),0)</f>
        <v>#N/A</v>
      </c>
      <c r="AB26" s="33" t="e">
        <f t="array" ref="AB26">IF((E26+V26-_xlfn.XLOOKUP(A26,'[1]DATOS PBI Artículos'!$A$4:$A$4,'[1]DATOS PBI Artículos'!$W$4:$W$4))/N26&gt;ROUNDUP([1]CRITERIOS!$M$16/(IF(COUNTIF([1]CRITERIOS!$BG$11:$BG$201,L26)&gt;=1,_xlfn.XLOOKUP(ARTÍCULOS!L26,[1]CRITERIOS!$BG$11:$BG$201,[1]CRITERIOS!$BJ$11:$BJ$201),_xlfn.XLOOKUP(ARTÍCULOS!C26,[1]CRITERIOS!$K$25:$K$42,[1]CRITERIOS!$M$25:$M$42))),0),ROUNDUP([1]CRITERIOS!$M$16/(IF(COUNTIF([1]CRITERIOS!$BG$11:$BG$201,L26)&gt;=1,_xlfn.XLOOKUP(ARTÍCULOS!L26,[1]CRITERIOS!$BG$11:$BG$201:#REF!,[1]CRITERIOS!$BJ$11:$BJ$201),_xlfn.XLOOKUP(ARTÍCULOS!C26,[1]CRITERIOS!$K$25:$K$42,[1]CRITERIOS!$M$25:$M$42))),0),(E26+V26-_xlfn.XLOOKUP(A26,'[1]DATOS PBI Artículos'!$A$4:$A$4,'[1]DATOS PBI Artículos'!$W$4:$W$4))/N26)</f>
        <v>#N/A</v>
      </c>
      <c r="AC26" s="33" t="e">
        <f>IF(N26=0,"",(ROUNDUP((N26/2)/(_xlfn.XLOOKUP(A26,'[1]DATOS PBI Artículos'!$A$4:$A$4,'[1]DATOS PBI Artículos'!$Z$4:$Z$4)*_xlfn.XLOOKUP(_xlfn.XLOOKUP(A26,'[1]DATOS PBI Artículos'!$A$4:$A$4,'[1]DATOS PBI Artículos'!$Y$4:$Y$4),[1]CRITERIOS!$P$79:$P$123,[1]CRITERIOS!$S$79:$S$123)),0)*[1]CRITERIOS!$M$80*([1]CRITERIOS!$M$110/[1]CRITERIOS!$M$86)+(_xlfn.XLOOKUP(A26,'[1]DATOS PBI Artículos'!$A$4:$A$4,'[1]DATOS PBI Artículos'!$AA$4:$AA$4)*([1]CRITERIOS!$M$95+[1]CRITERIOS!$M$98)))/N26)</f>
        <v>#N/A</v>
      </c>
      <c r="AD26" s="33" t="e">
        <f>IF(N26=0,"",(ROUNDUP((N26/2)/(_xlfn.XLOOKUP(A26,'[1]DATOS PBI Artículos'!$A$4:$A$4,'[1]DATOS PBI Artículos'!$Z$4:$Z$4)*_xlfn.XLOOKUP(_xlfn.XLOOKUP(A26,'[1]DATOS PBI Artículos'!$A$4:$A$4,'[1]DATOS PBI Artículos'!$Y$4:$Y$4),[1]CRITERIOS!$P$79:$P$123,[1]CRITERIOS!$S$79:$S$123)),0)*[1]CRITERIOS!$M$80*([1]CRITERIOS!$M$89*[1]CRITERIOS!$M$92)+((_xlfn.XLOOKUP(A26,'[1]DATOS PBI Artículos'!$A$4:$A$4,'[1]DATOS PBI Artículos'!$AA$4:$AA$4)/2)*([1]CRITERIOS!$M$95+[1]CRITERIOS!$M$98)))/N26)</f>
        <v>#N/A</v>
      </c>
      <c r="AE26" s="39">
        <f>IF($R26="MTO","",
IF($H26=0,ROUNDUP(((_xlfn.XLOOKUP($A26,'[1]DATOS PBI Artículos'!$A:$A,'[1]DATOS PBI Artículos'!$AL:$AL))/(_xlfn.XLOOKUP($AF$1,[1]CRITERIOS!$S$16:$S$39,[1]CRITERIOS!$Y$16:$Y$39))*$J26+$Z26)/$G26,0)*$G26,
((_xlfn.XLOOKUP($A26,'[1]DATOS PBI Artículos'!$A:$A,'[1]DATOS PBI Artículos'!$AL:$AL))/(_xlfn.XLOOKUP($AF$1,[1]CRITERIOS!$S$16:$S$39,[1]CRITERIOS!$Y$16:$Y$39))*$J26+$Z26)))</f>
        <v>127710.58809042753</v>
      </c>
      <c r="AG26" s="39">
        <f>IF($R26="MTO","",
IF($H26=0,ROUNDUP(((_xlfn.XLOOKUP($A26,'[1]DATOS PBI Artículos'!$A:$A,'[1]DATOS PBI Artículos'!$AM:$AM))/(_xlfn.XLOOKUP($AH$1,[1]CRITERIOS!$S$16:$S$39,[1]CRITERIOS!$Y$16:$Y$39))*$J26+$Z26)/$G26,0)*$G26,
((_xlfn.XLOOKUP($A26,'[1]DATOS PBI Artículos'!$A:$A,'[1]DATOS PBI Artículos'!$AM:$AM))/(_xlfn.XLOOKUP($AH$1,[1]CRITERIOS!$S$16:$S$39,[1]CRITERIOS!$Y$16:$Y$39))*$J26+$Z26)))</f>
        <v>97772.091860513974</v>
      </c>
      <c r="AI26" s="39">
        <f>IF($R26="MTO","",
IF($H26=0,ROUNDUP(((_xlfn.XLOOKUP($A26,'[1]DATOS PBI Artículos'!$A:$A,'[1]DATOS PBI Artículos'!$AN:$AN))/(_xlfn.XLOOKUP($AJ$1,[1]CRITERIOS!$S$16:$S$39,[1]CRITERIOS!$Y$16:$Y$39))*$J26+$Z26)/$G26,0)*$G26,
((_xlfn.XLOOKUP($A26,'[1]DATOS PBI Artículos'!$A:$A,'[1]DATOS PBI Artículos'!$AN:$AN))/(_xlfn.XLOOKUP($AJ$1,[1]CRITERIOS!$S$16:$S$39,[1]CRITERIOS!$Y$16:$Y$39))*$J26+$Z26)))</f>
        <v>112869.60893034301</v>
      </c>
      <c r="AK26" s="39">
        <f>IF($R26="MTO","",
IF($H26=0,ROUNDUP(((_xlfn.XLOOKUP($A26,'[1]DATOS PBI Artículos'!$A:$A,'[1]DATOS PBI Artículos'!$AO:$AO))/(_xlfn.XLOOKUP($AL$1,[1]CRITERIOS!$S$16:$S$39,[1]CRITERIOS!$Y$16:$Y$39))*$J26+$Z26)/$G26,0)*$G26,
((_xlfn.XLOOKUP($A26,'[1]DATOS PBI Artículos'!$A:$A,'[1]DATOS PBI Artículos'!$AO:$AO))/(_xlfn.XLOOKUP($AL$1,[1]CRITERIOS!$S$16:$S$39,[1]CRITERIOS!$Y$16:$Y$39))*$J26+$Z26)))</f>
        <v>121017.27787840372</v>
      </c>
    </row>
    <row r="27" spans="1:37" ht="25.8" x14ac:dyDescent="0.5">
      <c r="A27" s="32" t="s">
        <v>43</v>
      </c>
      <c r="B27" s="33">
        <f>_xlfn.XLOOKUP($A27,'[1]DATOS PBI Artículos'!A:A,'[1]DATOS PBI Artículos'!B:B)</f>
        <v>0</v>
      </c>
      <c r="C27" s="33" t="str">
        <f>_xlfn.XLOOKUP($A27,'[1]DATOS PBI Artículos'!A:A,'[1]DATOS PBI Artículos'!C:C)</f>
        <v>UA01</v>
      </c>
      <c r="D27" s="33">
        <f>_xlfn.XLOOKUP(A27,'[1]DATOS PBI Artículos'!A:A,'[1]DATOS PBI Artículos'!T:T)</f>
        <v>4</v>
      </c>
      <c r="E27" s="34">
        <f>IF(_xlfn.XLOOKUP($A27,'[1]DATOS PBI Artículos'!A:A,'[1]DATOS PBI Artículos'!AK:AK)="",_xlfn.XLOOKUP($A27,'[1]DATOS PBI Artículos'!A:A,'[1]DATOS PBI Artículos'!AJ:AJ),_xlfn.XLOOKUP($A27,'[1]DATOS PBI Artículos'!A:A,'[1]DATOS PBI Artículos'!AK:AK))</f>
        <v>420000</v>
      </c>
      <c r="F27" s="35">
        <f>_xlfn.XLOOKUP($A27,'[1]DATOS PBI Artículos'!A:A,'[1]DATOS PBI Artículos'!AP:AP)</f>
        <v>20.666666666659999</v>
      </c>
      <c r="G27" s="34">
        <f>_xlfn.XLOOKUP($A27,'[1]DATOS PBI Artículos'!A:A,'[1]DATOS PBI Artículos'!AR:AR)</f>
        <v>100000</v>
      </c>
      <c r="H27" s="34">
        <f>_xlfn.XLOOKUP($A27,'[1]DATOS PBI Artículos'!A:A,'[1]DATOS PBI Artículos'!AT:AT)</f>
        <v>10000</v>
      </c>
      <c r="I27" s="34">
        <f>_xlfn.XLOOKUP($A27,'[1]DATOS PBI Artículos'!A:A,'[1]DATOS PBI Artículos'!AS:AS)</f>
        <v>20000</v>
      </c>
      <c r="J27" s="35">
        <f>IF(COUNTIF([1]CRITERIOS!$F$179:$F$199,$A27)&gt;=1,
 IF(O27&lt;&gt;"",
    (O27/_xlfn.XLOOKUP(CONCATENATE(A27,L27),[1]MÁQUINAS!A:A,[1]MÁQUINAS!D:D))/24,
    (N27/_xlfn.XLOOKUP(CONCATENATE(A27,L27),[1]MÁQUINAS!A:A,[1]MÁQUINAS!D:D))/24),
  _xlfn.XLOOKUP($A27,'[1]DATOS PBI Artículos'!A:A,'[1]DATOS PBI Artículos'!AU:AU))</f>
        <v>24.666666666666664</v>
      </c>
      <c r="K27" s="36">
        <f>_xlfn.XLOOKUP($A27,'[1]DATOS PBI Artículos'!A:A,'[1]DATOS PBI Artículos'!AV:AV)</f>
        <v>8.6590511412432853</v>
      </c>
      <c r="L27" s="33">
        <f>_xlfn.XLOOKUP(A27,[1]MÁQUINAS!B:B,[1]MÁQUINAS!C:C)</f>
        <v>501</v>
      </c>
      <c r="M27" s="34">
        <f t="array" ref="M27">_xlfn.XLOOKUP(A27,'[1]DATOS PBI Artículos'!A:A,'[1]DATOS PBI Artículos'!AX:$AX)</f>
        <v>110145.28566988668</v>
      </c>
      <c r="N27" s="37">
        <f>IF(I27="DV",
E27,
IF(COUNTIF([1]CRITERIOS!$I$179:$I$199,$A27)&gt;=1,
_xlfn.XLOOKUP($A27,[1]CRITERIOS!$I$179:$I$199,[1]CRITERIOS!$J$179:$J$199),
IF(COUNTIF([1]CRITERIOS!$L$179:$L$199,$A27)&gt;=1,
_xlfn.CEILING.MATH(IF($M27&gt;$E27,
$E27,
IF($M27&lt;$E27/ROUNDDOWN([1]CRITERIOS!$M$16/_xlfn.XLOOKUP($C27,[1]CRITERIOS!$K$25:$K$42,[1]CRITERIOS!$M$25:$M$42),
1),
E27/ROUNDDOWN([1]CRITERIOS!$M$16/_xlfn.XLOOKUP($C27,[1]CRITERIOS!$K$25:$K$42,[1]CRITERIOS!$M$25:$M$42),
1),
$M27)),
_xlfn.XLOOKUP($A27,[1]CRITERIOS!$L$179:$L$200,[1]CRITERIOS!$M$179:$M$200)),
_xlfn.CEILING.MATH(IF($M27&gt;$E27,
$E27,
IF($M27&lt;$E27/ROUNDDOWN([1]CRITERIOS!$M$16/_xlfn.XLOOKUP($C27,[1]CRITERIOS!$K$25:$K$42,[1]CRITERIOS!$M$25:$M$42),
1),
E27/ROUNDDOWN([1]CRITERIOS!$M$16/_xlfn.XLOOKUP($C27,[1]CRITERIOS!$K$25:$K$42,[1]CRITERIOS!$M$25:$M$42),
1),
$M27)),_xlfn.XLOOKUP(A27,'[1]DATOS PBI Artículos'!A:A,'[1]DATOS PBI Artículos'!Z:Z
)))))</f>
        <v>114000</v>
      </c>
      <c r="Q27" s="38">
        <f>IF(AND(O27="",N27=0),
0,
   IF(COUNTIF([1]CRITERIOS!$F$179:$F$199,$A27)&gt;=1,
   1,
   IF(R27="MTO",
      $D27,
      ROUNDUP(
                    IF(($E27-SUMIF('[1]DATOS PBI Artículos'!A:A,A27,'[1]DATOS PBI Artículos'!X:X)+($V27-_xlfn.XLOOKUP(A27,'[1]DATOS PBI Artículos'!A:A,'[1]DATOS PBI Artículos'!W:W)))&lt;0,
                    0,
                    IF(($E27-SUMIF('[1]DATOS PBI Artículos'!A:A,A27,'[1]DATOS PBI Artículos'!X:X)+$V27-_xlfn.XLOOKUP($A27,'[1]DATOS PBI Artículos'!A:A,'[1]DATOS PBI Artículos'!W:W))/IF($O27="",$N27,$O27)&gt;ROUNDUP([1]CRITERIOS!$M$16/(IF(COUNTIF([1]CRITERIOS!$BG$11:$BG$201,L27)&gt;=1,_xlfn.XLOOKUP($C27,[1]CRITERIOS!$K$25:$K$42,[1]CRITERIOS!$M$25:$M$42),_xlfn.XLOOKUP($C27,[1]CRITERIOS!$K$25:$K$42,[1]CRITERIOS!$M$25:$M$42))),0),
                    ROUNDUP([1]CRITERIOS!$M$16/(IF(COUNTIF([1]CRITERIOS!$BG$11:$BG$201,$L27)&gt;=1,_xlfn.XLOOKUP($C27,[1]CRITERIOS!$K$25:$K$42,[1]CRITERIOS!$M$25:$M$42),_xlfn.XLOOKUP($C27,[1]CRITERIOS!$K$25:$K$42,[1]CRITERIOS!$M$25:$M$42))),0),
                    (E27+V27-SUMIF('[1]DATOS PBI Artículos'!A:A,A27,'[1]DATOS PBI Artículos'!X:X)-_xlfn.XLOOKUP(A27,'[1]DATOS PBI Artículos'!A:A,'[1]DATOS PBI Artículos'!W:W))/IF($O27="",$N27,$O27))),0))))</f>
        <v>2</v>
      </c>
      <c r="R27" s="33" t="str">
        <f>IF(U27&lt;&gt;"",U27,IF(F27="DV","MTO",IF(N27=0,"MTO",_xlfn.XLOOKUP(CONCATENATE(S27,T27),[1]CRITERIOS!$K$160:$K$168,[1]CRITERIOS!$N$160:$N$168))))</f>
        <v>MTS</v>
      </c>
      <c r="S27" s="33" t="str">
        <f>IF(G27="DV","MTO",IF(N27=0,"MTO",IF(OR(AND(N27=0,O27=""),IF(O27="",G27/N27,G27/O27)&gt;[1]CRITERIOS!$G$163),"MTO",IF(IF(O27="",G27/N27,G27/O27)&lt;[1]CRITERIOS!$H$161,"MTS","MTOS"))))</f>
        <v>MTO</v>
      </c>
      <c r="T27" s="33" t="str">
        <f>IF(F27="DV","MTO",IF(OR(AND($N27=0,O27=""),$F27/$J27&gt;[1]CRITERIOS!$G$170,$F27="DV"),"MTO",IF($F27/$J27&lt;[1]CRITERIOS!$H$168,"MTS","MTOS")))</f>
        <v>MTS</v>
      </c>
      <c r="V27" s="34">
        <f>IF(R27="MTO","",
IF($H27=0,(((($G27/$F27)*$J27)+$Z27)/$G27)*$G27,
(($G27/$F27)*$J27)+$Z27))</f>
        <v>168097.07736885126</v>
      </c>
      <c r="X27" s="34">
        <f t="shared" si="1"/>
        <v>282097.07736885129</v>
      </c>
      <c r="Y27" s="34">
        <f t="shared" si="2"/>
        <v>105742.23865913533</v>
      </c>
      <c r="Z27" s="34">
        <f>IF($R27="MTO",
0,
($H27+$K27*($E27/[1]CRITERIOS!$M$16))/[1]CRITERIOS!$X$48)</f>
        <v>48742.238659135335</v>
      </c>
      <c r="AA27" s="34" t="e">
        <f>ROUNDUP(($Y27/_xlfn.XLOOKUP($A27,'[1]DATOS PBI Artículos'!$A$4:$A$4,'[1]DATOS PBI Artículos'!$Z$4:$Z$4))/_xlfn.XLOOKUP(_xlfn.XLOOKUP($A27,'[1]DATOS PBI Artículos'!$A$4:$A$4,'[1]DATOS PBI Artículos'!$Y$4:$Y$4),[1]CRITERIOS!$P$79:$P$123,[1]CRITERIOS!$S$79:$S$123,),0)</f>
        <v>#N/A</v>
      </c>
      <c r="AB27" s="33" t="e">
        <f t="array" ref="AB27">IF((E27+V27-_xlfn.XLOOKUP(A27,'[1]DATOS PBI Artículos'!$A$4:$A$4,'[1]DATOS PBI Artículos'!$W$4:$W$4))/N27&gt;ROUNDUP([1]CRITERIOS!$M$16/(IF(COUNTIF([1]CRITERIOS!$BG$11:$BG$201,L27)&gt;=1,_xlfn.XLOOKUP(ARTÍCULOS!L27,[1]CRITERIOS!$BG$11:$BG$201,[1]CRITERIOS!$BJ$11:$BJ$201),_xlfn.XLOOKUP(ARTÍCULOS!C27,[1]CRITERIOS!$K$25:$K$42,[1]CRITERIOS!$M$25:$M$42))),0),ROUNDUP([1]CRITERIOS!$M$16/(IF(COUNTIF([1]CRITERIOS!$BG$11:$BG$201,L27)&gt;=1,_xlfn.XLOOKUP(ARTÍCULOS!L27,[1]CRITERIOS!$BG$11:$BG$201:#REF!,[1]CRITERIOS!$BJ$11:$BJ$201),_xlfn.XLOOKUP(ARTÍCULOS!C27,[1]CRITERIOS!$K$25:$K$42,[1]CRITERIOS!$M$25:$M$42))),0),(E27+V27-_xlfn.XLOOKUP(A27,'[1]DATOS PBI Artículos'!$A$4:$A$4,'[1]DATOS PBI Artículos'!$W$4:$W$4))/N27)</f>
        <v>#N/A</v>
      </c>
      <c r="AC27" s="33" t="e">
        <f>IF(N27=0,"",(ROUNDUP((N27/2)/(_xlfn.XLOOKUP(A27,'[1]DATOS PBI Artículos'!$A$4:$A$4,'[1]DATOS PBI Artículos'!$Z$4:$Z$4)*_xlfn.XLOOKUP(_xlfn.XLOOKUP(A27,'[1]DATOS PBI Artículos'!$A$4:$A$4,'[1]DATOS PBI Artículos'!$Y$4:$Y$4),[1]CRITERIOS!$P$79:$P$123,[1]CRITERIOS!$S$79:$S$123)),0)*[1]CRITERIOS!$M$80*([1]CRITERIOS!$M$110/[1]CRITERIOS!$M$86)+(_xlfn.XLOOKUP(A27,'[1]DATOS PBI Artículos'!$A$4:$A$4,'[1]DATOS PBI Artículos'!$AA$4:$AA$4)*([1]CRITERIOS!$M$95+[1]CRITERIOS!$M$98)))/N27)</f>
        <v>#N/A</v>
      </c>
      <c r="AD27" s="33" t="e">
        <f>IF(N27=0,"",(ROUNDUP((N27/2)/(_xlfn.XLOOKUP(A27,'[1]DATOS PBI Artículos'!$A$4:$A$4,'[1]DATOS PBI Artículos'!$Z$4:$Z$4)*_xlfn.XLOOKUP(_xlfn.XLOOKUP(A27,'[1]DATOS PBI Artículos'!$A$4:$A$4,'[1]DATOS PBI Artículos'!$Y$4:$Y$4),[1]CRITERIOS!$P$79:$P$123,[1]CRITERIOS!$S$79:$S$123)),0)*[1]CRITERIOS!$M$80*([1]CRITERIOS!$M$89*[1]CRITERIOS!$M$92)+((_xlfn.XLOOKUP(A27,'[1]DATOS PBI Artículos'!$A$4:$A$4,'[1]DATOS PBI Artículos'!$AA$4:$AA$4)/2)*([1]CRITERIOS!$M$95+[1]CRITERIOS!$M$98)))/N27)</f>
        <v>#N/A</v>
      </c>
      <c r="AE27" s="39">
        <f>IF($R27="MTO","",
IF($H27=0,ROUNDUP(((_xlfn.XLOOKUP($A27,'[1]DATOS PBI Artículos'!$A:$A,'[1]DATOS PBI Artículos'!$AL:$AL))/(_xlfn.XLOOKUP($AF$1,[1]CRITERIOS!$S$16:$S$39,[1]CRITERIOS!$Y$16:$Y$39))*$J27+$Z27)/$G27,0)*$G27,
((_xlfn.XLOOKUP($A27,'[1]DATOS PBI Artículos'!$A:$A,'[1]DATOS PBI Artículos'!$AL:$AL))/(_xlfn.XLOOKUP($AF$1,[1]CRITERIOS!$S$16:$S$39,[1]CRITERIOS!$Y$16:$Y$39))*$J27+$Z27)))</f>
        <v>208502.83071857976</v>
      </c>
      <c r="AG27" s="39">
        <f>IF($R27="MTO","",
IF($H27=0,ROUNDUP(((_xlfn.XLOOKUP($A27,'[1]DATOS PBI Artículos'!$A:$A,'[1]DATOS PBI Artículos'!$AM:$AM))/(_xlfn.XLOOKUP($AH$1,[1]CRITERIOS!$S$16:$S$39,[1]CRITERIOS!$Y$16:$Y$39))*$J27+$Z27)/$G27,0)*$G27,
((_xlfn.XLOOKUP($A27,'[1]DATOS PBI Artículos'!$A:$A,'[1]DATOS PBI Artículos'!$AM:$AM))/(_xlfn.XLOOKUP($AH$1,[1]CRITERIOS!$S$16:$S$39,[1]CRITERIOS!$Y$16:$Y$39))*$J27+$Z27)))</f>
        <v>163501.38507348314</v>
      </c>
      <c r="AI27" s="39">
        <f>IF($R27="MTO","",
IF($H27=0,ROUNDUP(((_xlfn.XLOOKUP($A27,'[1]DATOS PBI Artículos'!$A:$A,'[1]DATOS PBI Artículos'!$AN:$AN))/(_xlfn.XLOOKUP($AJ$1,[1]CRITERIOS!$S$16:$S$39,[1]CRITERIOS!$Y$16:$Y$39))*$J27+$Z27)/$G27,0)*$G27,
((_xlfn.XLOOKUP($A27,'[1]DATOS PBI Artículos'!$A:$A,'[1]DATOS PBI Artículos'!$AN:$AN))/(_xlfn.XLOOKUP($AJ$1,[1]CRITERIOS!$S$16:$S$39,[1]CRITERIOS!$Y$16:$Y$39))*$J27+$Z27)))</f>
        <v>186194.91278363529</v>
      </c>
      <c r="AK27" s="39">
        <f>IF($R27="MTO","",
IF($H27=0,ROUNDUP(((_xlfn.XLOOKUP($A27,'[1]DATOS PBI Artículos'!$A:$A,'[1]DATOS PBI Artículos'!$AO:$AO))/(_xlfn.XLOOKUP($AL$1,[1]CRITERIOS!$S$16:$S$39,[1]CRITERIOS!$Y$16:$Y$39))*$J27+$Z27)/$G27,0)*$G27,
((_xlfn.XLOOKUP($A27,'[1]DATOS PBI Artículos'!$A:$A,'[1]DATOS PBI Artículos'!$AO:$AO))/(_xlfn.XLOOKUP($AL$1,[1]CRITERIOS!$S$16:$S$39,[1]CRITERIOS!$Y$16:$Y$39))*$J27+$Z27)))</f>
        <v>198441.91672413531</v>
      </c>
    </row>
    <row r="28" spans="1:37" ht="25.8" x14ac:dyDescent="0.5">
      <c r="A28" s="32">
        <v>452108</v>
      </c>
      <c r="B28" s="33">
        <f>_xlfn.XLOOKUP($A28,'[1]DATOS PBI Artículos'!A:A,'[1]DATOS PBI Artículos'!B:B)</f>
        <v>0</v>
      </c>
      <c r="C28" s="33" t="str">
        <f>_xlfn.XLOOKUP($A28,'[1]DATOS PBI Artículos'!A:A,'[1]DATOS PBI Artículos'!C:C)</f>
        <v>UA02</v>
      </c>
      <c r="D28" s="33">
        <f>_xlfn.XLOOKUP(A28,'[1]DATOS PBI Artículos'!A:A,'[1]DATOS PBI Artículos'!T:T)</f>
        <v>2</v>
      </c>
      <c r="E28" s="34">
        <f>IF(_xlfn.XLOOKUP($A28,'[1]DATOS PBI Artículos'!A:A,'[1]DATOS PBI Artículos'!AK:AK)="",_xlfn.XLOOKUP($A28,'[1]DATOS PBI Artículos'!A:A,'[1]DATOS PBI Artículos'!AJ:AJ),_xlfn.XLOOKUP($A28,'[1]DATOS PBI Artículos'!A:A,'[1]DATOS PBI Artículos'!AK:AK))</f>
        <v>400000</v>
      </c>
      <c r="F28" s="35">
        <f>_xlfn.XLOOKUP($A28,'[1]DATOS PBI Artículos'!A:A,'[1]DATOS PBI Artículos'!AP:AP)</f>
        <v>20</v>
      </c>
      <c r="G28" s="34">
        <f>_xlfn.XLOOKUP($A28,'[1]DATOS PBI Artículos'!A:A,'[1]DATOS PBI Artículos'!AR:AR)</f>
        <v>200000</v>
      </c>
      <c r="H28" s="34">
        <f>_xlfn.XLOOKUP($A28,'[1]DATOS PBI Artículos'!A:A,'[1]DATOS PBI Artículos'!AT:AT)</f>
        <v>70710.67811865476</v>
      </c>
      <c r="I28" s="34">
        <f>_xlfn.XLOOKUP($A28,'[1]DATOS PBI Artículos'!A:A,'[1]DATOS PBI Artículos'!AS:AS)</f>
        <v>50000</v>
      </c>
      <c r="J28" s="35">
        <f>IF(COUNTIF([1]CRITERIOS!$F$179:$F$199,$A28)&gt;=1,
 IF(O28&lt;&gt;"",
    (O28/_xlfn.XLOOKUP(CONCATENATE(A28,L28),[1]MÁQUINAS!A:A,[1]MÁQUINAS!D:D))/24,
    (N28/_xlfn.XLOOKUP(CONCATENATE(A28,L28),[1]MÁQUINAS!A:A,[1]MÁQUINAS!D:D))/24),
  _xlfn.XLOOKUP($A28,'[1]DATOS PBI Artículos'!A:A,'[1]DATOS PBI Artículos'!AU:AU))</f>
        <v>3.4722222222222219</v>
      </c>
      <c r="K28" s="36">
        <f>_xlfn.XLOOKUP($A28,'[1]DATOS PBI Artículos'!A:A,'[1]DATOS PBI Artículos'!AV:AV)</f>
        <v>8.9153917763784101</v>
      </c>
      <c r="L28" s="33">
        <f>_xlfn.XLOOKUP(A28,[1]MÁQUINAS!B:B,[1]MÁQUINAS!C:C)</f>
        <v>217</v>
      </c>
      <c r="M28" s="34">
        <f t="array" ref="M28">_xlfn.XLOOKUP(A28,'[1]DATOS PBI Artículos'!A:A,'[1]DATOS PBI Artículos'!AX:$AX)</f>
        <v>147969.40562365577</v>
      </c>
      <c r="N28" s="37">
        <f>IF(I28="DV",
E28,
IF(COUNTIF([1]CRITERIOS!$I$179:$I$199,$A28)&gt;=1,
_xlfn.XLOOKUP($A28,[1]CRITERIOS!$I$179:$I$199,[1]CRITERIOS!$J$179:$J$199),
IF(COUNTIF([1]CRITERIOS!$L$179:$L$199,$A28)&gt;=1,
_xlfn.CEILING.MATH(IF($M28&gt;$E28,
$E28,
IF($M28&lt;$E28/ROUNDDOWN([1]CRITERIOS!$M$16/_xlfn.XLOOKUP($C28,[1]CRITERIOS!$K$25:$K$42,[1]CRITERIOS!$M$25:$M$42),
1),
E28/ROUNDDOWN([1]CRITERIOS!$M$16/_xlfn.XLOOKUP($C28,[1]CRITERIOS!$K$25:$K$42,[1]CRITERIOS!$M$25:$M$42),
1),
$M28)),
_xlfn.XLOOKUP($A28,[1]CRITERIOS!$L$179:$L$200,[1]CRITERIOS!$M$179:$M$200)),
_xlfn.CEILING.MATH(IF($M28&gt;$E28,
$E28,
IF($M28&lt;$E28/ROUNDDOWN([1]CRITERIOS!$M$16/_xlfn.XLOOKUP($C28,[1]CRITERIOS!$K$25:$K$42,[1]CRITERIOS!$M$25:$M$42),
1),
E28/ROUNDDOWN([1]CRITERIOS!$M$16/_xlfn.XLOOKUP($C28,[1]CRITERIOS!$K$25:$K$42,[1]CRITERIOS!$M$25:$M$42),
1),
$M28)),_xlfn.XLOOKUP(A28,'[1]DATOS PBI Artículos'!A:A,'[1]DATOS PBI Artículos'!Z:Z
)))))</f>
        <v>150000</v>
      </c>
      <c r="Q28" s="38">
        <f>IF(AND(O28="",N28=0),
0,
   IF(COUNTIF([1]CRITERIOS!$F$179:$F$199,$A28)&gt;=1,
   1,
   IF(R28="MTO",
      $D28,
      ROUNDUP(
                    IF(($E28-SUMIF('[1]DATOS PBI Artículos'!A:A,A28,'[1]DATOS PBI Artículos'!X:X)+($V28-_xlfn.XLOOKUP(A28,'[1]DATOS PBI Artículos'!A:A,'[1]DATOS PBI Artículos'!W:W)))&lt;0,
                    0,
                    IF(($E28-SUMIF('[1]DATOS PBI Artículos'!A:A,A28,'[1]DATOS PBI Artículos'!X:X)+$V28-_xlfn.XLOOKUP($A28,'[1]DATOS PBI Artículos'!A:A,'[1]DATOS PBI Artículos'!W:W))/IF($O28="",$N28,$O28)&gt;ROUNDUP([1]CRITERIOS!$M$16/(IF(COUNTIF([1]CRITERIOS!$BG$11:$BG$201,L28)&gt;=1,_xlfn.XLOOKUP($C28,[1]CRITERIOS!$K$25:$K$42,[1]CRITERIOS!$M$25:$M$42),_xlfn.XLOOKUP($C28,[1]CRITERIOS!$K$25:$K$42,[1]CRITERIOS!$M$25:$M$42))),0),
                    ROUNDUP([1]CRITERIOS!$M$16/(IF(COUNTIF([1]CRITERIOS!$BG$11:$BG$201,$L28)&gt;=1,_xlfn.XLOOKUP($C28,[1]CRITERIOS!$K$25:$K$42,[1]CRITERIOS!$M$25:$M$42),_xlfn.XLOOKUP($C28,[1]CRITERIOS!$K$25:$K$42,[1]CRITERIOS!$M$25:$M$42))),0),
                    (E28+V28-SUMIF('[1]DATOS PBI Artículos'!A:A,A28,'[1]DATOS PBI Artículos'!X:X)-_xlfn.XLOOKUP(A28,'[1]DATOS PBI Artículos'!A:A,'[1]DATOS PBI Artículos'!W:W))/IF($O28="",$N28,$O28))),0))))</f>
        <v>1</v>
      </c>
      <c r="R28" s="33" t="str">
        <f>IF(U28&lt;&gt;"",U28,IF(F28="DV","MTO",IF(N28=0,"MTO",_xlfn.XLOOKUP(CONCATENATE(S28,T28),[1]CRITERIOS!$K$160:$K$168,[1]CRITERIOS!$N$160:$N$168))))</f>
        <v>MTO</v>
      </c>
      <c r="S28" s="33" t="str">
        <f>IF(G28="DV","MTO",IF(N28=0,"MTO",IF(OR(AND(N28=0,O28=""),IF(O28="",G28/N28,G28/O28)&gt;[1]CRITERIOS!$G$163),"MTO",IF(IF(O28="",G28/N28,G28/O28)&lt;[1]CRITERIOS!$H$161,"MTS","MTOS"))))</f>
        <v>MTO</v>
      </c>
      <c r="T28" s="33" t="str">
        <f>IF(F28="DV","MTO",IF(OR(AND($N28=0,O28=""),$F28/$J28&gt;[1]CRITERIOS!$G$170,$F28="DV"),"MTO",IF($F28/$J28&lt;[1]CRITERIOS!$H$168,"MTS","MTOS")))</f>
        <v>MTO</v>
      </c>
      <c r="V28" s="34" t="str">
        <f t="shared" ref="V28:V91" si="4">IF(R28="MTO","",
IF($H28=0,(((($J28/$F28)*$G28)+$Z28)/$G28)*$G28,
(($J28/$F28)*$G28)+$Z28))</f>
        <v/>
      </c>
      <c r="X28" s="34">
        <f t="shared" si="1"/>
        <v>0</v>
      </c>
      <c r="Y28" s="34">
        <f t="shared" si="2"/>
        <v>0</v>
      </c>
      <c r="Z28" s="34">
        <f>IF($R28="MTO",
0,
($H28+$K28*($E28/[1]CRITERIOS!$M$16))/[1]CRITERIOS!$X$48)</f>
        <v>0</v>
      </c>
      <c r="AA28" s="34" t="e">
        <f>ROUNDUP(($Y28/_xlfn.XLOOKUP($A28,'[1]DATOS PBI Artículos'!$A$4:$A$4,'[1]DATOS PBI Artículos'!$Z$4:$Z$4))/_xlfn.XLOOKUP(_xlfn.XLOOKUP($A28,'[1]DATOS PBI Artículos'!$A$4:$A$4,'[1]DATOS PBI Artículos'!$Y$4:$Y$4),[1]CRITERIOS!$P$79:$P$123,[1]CRITERIOS!$S$79:$S$123,),0)</f>
        <v>#N/A</v>
      </c>
      <c r="AB28" s="33" t="e">
        <f t="array" ref="AB28">IF((E28+V28-_xlfn.XLOOKUP(A28,'[1]DATOS PBI Artículos'!$A$4:$A$4,'[1]DATOS PBI Artículos'!$W$4:$W$4))/N28&gt;ROUNDUP([1]CRITERIOS!$M$16/(IF(COUNTIF([1]CRITERIOS!$BG$11:$BG$201,L28)&gt;=1,_xlfn.XLOOKUP(ARTÍCULOS!L28,[1]CRITERIOS!$BG$11:$BG$201,[1]CRITERIOS!$BJ$11:$BJ$201),_xlfn.XLOOKUP(ARTÍCULOS!C28,[1]CRITERIOS!$K$25:$K$42,[1]CRITERIOS!$M$25:$M$42))),0),ROUNDUP([1]CRITERIOS!$M$16/(IF(COUNTIF([1]CRITERIOS!$BG$11:$BG$201,L28)&gt;=1,_xlfn.XLOOKUP(ARTÍCULOS!L28,[1]CRITERIOS!$BG$11:$BG$201:#REF!,[1]CRITERIOS!$BJ$11:$BJ$201),_xlfn.XLOOKUP(ARTÍCULOS!C28,[1]CRITERIOS!$K$25:$K$42,[1]CRITERIOS!$M$25:$M$42))),0),(E28+V28-_xlfn.XLOOKUP(A28,'[1]DATOS PBI Artículos'!$A$4:$A$4,'[1]DATOS PBI Artículos'!$W$4:$W$4))/N28)</f>
        <v>#VALUE!</v>
      </c>
      <c r="AC28" s="33" t="e">
        <f>IF(N28=0,"",(ROUNDUP((N28/2)/(_xlfn.XLOOKUP(A28,'[1]DATOS PBI Artículos'!$A$4:$A$4,'[1]DATOS PBI Artículos'!$Z$4:$Z$4)*_xlfn.XLOOKUP(_xlfn.XLOOKUP(A28,'[1]DATOS PBI Artículos'!$A$4:$A$4,'[1]DATOS PBI Artículos'!$Y$4:$Y$4),[1]CRITERIOS!$P$79:$P$123,[1]CRITERIOS!$S$79:$S$123)),0)*[1]CRITERIOS!$M$80*([1]CRITERIOS!$M$110/[1]CRITERIOS!$M$86)+(_xlfn.XLOOKUP(A28,'[1]DATOS PBI Artículos'!$A$4:$A$4,'[1]DATOS PBI Artículos'!$AA$4:$AA$4)*([1]CRITERIOS!$M$95+[1]CRITERIOS!$M$98)))/N28)</f>
        <v>#N/A</v>
      </c>
      <c r="AD28" s="33" t="e">
        <f>IF(N28=0,"",(ROUNDUP((N28/2)/(_xlfn.XLOOKUP(A28,'[1]DATOS PBI Artículos'!$A$4:$A$4,'[1]DATOS PBI Artículos'!$Z$4:$Z$4)*_xlfn.XLOOKUP(_xlfn.XLOOKUP(A28,'[1]DATOS PBI Artículos'!$A$4:$A$4,'[1]DATOS PBI Artículos'!$Y$4:$Y$4),[1]CRITERIOS!$P$79:$P$123,[1]CRITERIOS!$S$79:$S$123)),0)*[1]CRITERIOS!$M$80*([1]CRITERIOS!$M$89*[1]CRITERIOS!$M$92)+((_xlfn.XLOOKUP(A28,'[1]DATOS PBI Artículos'!$A$4:$A$4,'[1]DATOS PBI Artículos'!$AA$4:$AA$4)/2)*([1]CRITERIOS!$M$95+[1]CRITERIOS!$M$98)))/N28)</f>
        <v>#N/A</v>
      </c>
      <c r="AE28" s="39" t="str">
        <f>IF($R28="MTO","",
IF($H28=0,ROUNDUP(((_xlfn.XLOOKUP($A28,'[1]DATOS PBI Artículos'!$A:$A,'[1]DATOS PBI Artículos'!$AL:$AL))/(_xlfn.XLOOKUP($AF$1,[1]CRITERIOS!$S$16:$S$39,[1]CRITERIOS!$Y$16:$Y$39))*$J28+$Z28)/$G28,0)*$G28,
((_xlfn.XLOOKUP($A28,'[1]DATOS PBI Artículos'!$A:$A,'[1]DATOS PBI Artículos'!$AL:$AL))/(_xlfn.XLOOKUP($AF$1,[1]CRITERIOS!$S$16:$S$39,[1]CRITERIOS!$Y$16:$Y$39))*$J28+$Z28)))</f>
        <v/>
      </c>
      <c r="AG28" s="39" t="str">
        <f>IF($R28="MTO","",
IF($H28=0,ROUNDUP(((_xlfn.XLOOKUP($A28,'[1]DATOS PBI Artículos'!$A:$A,'[1]DATOS PBI Artículos'!$AM:$AM))/(_xlfn.XLOOKUP($AH$1,[1]CRITERIOS!$S$16:$S$39,[1]CRITERIOS!$Y$16:$Y$39))*$J28+$Z28)/$G28,0)*$G28,
((_xlfn.XLOOKUP($A28,'[1]DATOS PBI Artículos'!$A:$A,'[1]DATOS PBI Artículos'!$AM:$AM))/(_xlfn.XLOOKUP($AH$1,[1]CRITERIOS!$S$16:$S$39,[1]CRITERIOS!$Y$16:$Y$39))*$J28+$Z28)))</f>
        <v/>
      </c>
      <c r="AI28" s="39" t="str">
        <f>IF($R28="MTO","",
IF($H28=0,ROUNDUP(((_xlfn.XLOOKUP($A28,'[1]DATOS PBI Artículos'!$A:$A,'[1]DATOS PBI Artículos'!$AN:$AN))/(_xlfn.XLOOKUP($AJ$1,[1]CRITERIOS!$S$16:$S$39,[1]CRITERIOS!$Y$16:$Y$39))*$J28+$Z28)/$G28,0)*$G28,
((_xlfn.XLOOKUP($A28,'[1]DATOS PBI Artículos'!$A:$A,'[1]DATOS PBI Artículos'!$AN:$AN))/(_xlfn.XLOOKUP($AJ$1,[1]CRITERIOS!$S$16:$S$39,[1]CRITERIOS!$Y$16:$Y$39))*$J28+$Z28)))</f>
        <v/>
      </c>
      <c r="AK28" s="39" t="str">
        <f>IF($R28="MTO","",
IF($H28=0,ROUNDUP(((_xlfn.XLOOKUP($A28,'[1]DATOS PBI Artículos'!$A:$A,'[1]DATOS PBI Artículos'!$AO:$AO))/(_xlfn.XLOOKUP($AL$1,[1]CRITERIOS!$S$16:$S$39,[1]CRITERIOS!$Y$16:$Y$39))*$J28+$Z28)/$G28,0)*$G28,
((_xlfn.XLOOKUP($A28,'[1]DATOS PBI Artículos'!$A:$A,'[1]DATOS PBI Artículos'!$AO:$AO))/(_xlfn.XLOOKUP($AL$1,[1]CRITERIOS!$S$16:$S$39,[1]CRITERIOS!$Y$16:$Y$39))*$J28+$Z28)))</f>
        <v/>
      </c>
    </row>
    <row r="29" spans="1:37" ht="25.8" x14ac:dyDescent="0.5">
      <c r="A29" s="32">
        <v>452085</v>
      </c>
      <c r="B29" s="33">
        <f>_xlfn.XLOOKUP($A29,'[1]DATOS PBI Artículos'!A:A,'[1]DATOS PBI Artículos'!B:B)</f>
        <v>0</v>
      </c>
      <c r="C29" s="33" t="str">
        <f>_xlfn.XLOOKUP($A29,'[1]DATOS PBI Artículos'!A:A,'[1]DATOS PBI Artículos'!C:C)</f>
        <v>UA02</v>
      </c>
      <c r="D29" s="33">
        <f>_xlfn.XLOOKUP(A29,'[1]DATOS PBI Artículos'!A:A,'[1]DATOS PBI Artículos'!T:T)</f>
        <v>2</v>
      </c>
      <c r="E29" s="34">
        <f>IF(_xlfn.XLOOKUP($A29,'[1]DATOS PBI Artículos'!A:A,'[1]DATOS PBI Artículos'!AK:AK)="",_xlfn.XLOOKUP($A29,'[1]DATOS PBI Artículos'!A:A,'[1]DATOS PBI Artículos'!AJ:AJ),_xlfn.XLOOKUP($A29,'[1]DATOS PBI Artículos'!A:A,'[1]DATOS PBI Artículos'!AK:AK))</f>
        <v>400000</v>
      </c>
      <c r="F29" s="35">
        <f>_xlfn.XLOOKUP($A29,'[1]DATOS PBI Artículos'!A:A,'[1]DATOS PBI Artículos'!AP:AP)</f>
        <v>20</v>
      </c>
      <c r="G29" s="34">
        <f>_xlfn.XLOOKUP($A29,'[1]DATOS PBI Artículos'!A:A,'[1]DATOS PBI Artículos'!AR:AR)</f>
        <v>200000</v>
      </c>
      <c r="H29" s="34">
        <f>_xlfn.XLOOKUP($A29,'[1]DATOS PBI Artículos'!A:A,'[1]DATOS PBI Artículos'!AT:AT)</f>
        <v>0</v>
      </c>
      <c r="I29" s="34">
        <f>_xlfn.XLOOKUP($A29,'[1]DATOS PBI Artículos'!A:A,'[1]DATOS PBI Artículos'!AS:AS)</f>
        <v>200000</v>
      </c>
      <c r="J29" s="35">
        <f>IF(COUNTIF([1]CRITERIOS!$F$179:$F$199,$A29)&gt;=1,
 IF(O29&lt;&gt;"",
    (O29/_xlfn.XLOOKUP(CONCATENATE(A29,L29),[1]MÁQUINAS!A:A,[1]MÁQUINAS!D:D))/24,
    (N29/_xlfn.XLOOKUP(CONCATENATE(A29,L29),[1]MÁQUINAS!A:A,[1]MÁQUINAS!D:D))/24),
  _xlfn.XLOOKUP($A29,'[1]DATOS PBI Artículos'!A:A,'[1]DATOS PBI Artículos'!AU:AU))</f>
        <v>36.666666666666671</v>
      </c>
      <c r="K29" s="36">
        <f>_xlfn.XLOOKUP($A29,'[1]DATOS PBI Artículos'!A:A,'[1]DATOS PBI Artículos'!AV:AV)</f>
        <v>15.610796574709749</v>
      </c>
      <c r="L29" s="33">
        <f>_xlfn.XLOOKUP(A29,[1]MÁQUINAS!B:B,[1]MÁQUINAS!C:C)</f>
        <v>221</v>
      </c>
      <c r="M29" s="34">
        <f t="array" ref="M29">_xlfn.XLOOKUP(A29,'[1]DATOS PBI Artículos'!A:A,'[1]DATOS PBI Artículos'!AX:$AX)</f>
        <v>174146.42232835214</v>
      </c>
      <c r="N29" s="37">
        <f>IF(I29="DV",
E29,
IF(COUNTIF([1]CRITERIOS!$I$179:$I$199,$A29)&gt;=1,
_xlfn.XLOOKUP($A29,[1]CRITERIOS!$I$179:$I$199,[1]CRITERIOS!$J$179:$J$199),
IF(COUNTIF([1]CRITERIOS!$L$179:$L$199,$A29)&gt;=1,
_xlfn.CEILING.MATH(IF($M29&gt;$E29,
$E29,
IF($M29&lt;$E29/ROUNDDOWN([1]CRITERIOS!$M$16/_xlfn.XLOOKUP($C29,[1]CRITERIOS!$K$25:$K$42,[1]CRITERIOS!$M$25:$M$42),
1),
E29/ROUNDDOWN([1]CRITERIOS!$M$16/_xlfn.XLOOKUP($C29,[1]CRITERIOS!$K$25:$K$42,[1]CRITERIOS!$M$25:$M$42),
1),
$M29)),
_xlfn.XLOOKUP($A29,[1]CRITERIOS!$L$179:$L$200,[1]CRITERIOS!$M$179:$M$200)),
_xlfn.CEILING.MATH(IF($M29&gt;$E29,
$E29,
IF($M29&lt;$E29/ROUNDDOWN([1]CRITERIOS!$M$16/_xlfn.XLOOKUP($C29,[1]CRITERIOS!$K$25:$K$42,[1]CRITERIOS!$M$25:$M$42),
1),
E29/ROUNDDOWN([1]CRITERIOS!$M$16/_xlfn.XLOOKUP($C29,[1]CRITERIOS!$K$25:$K$42,[1]CRITERIOS!$M$25:$M$42),
1),
$M29)),_xlfn.XLOOKUP(A29,'[1]DATOS PBI Artículos'!A:A,'[1]DATOS PBI Artículos'!Z:Z
)))))</f>
        <v>200000</v>
      </c>
      <c r="Q29" s="38">
        <f>IF(AND(O29="",N29=0),
0,
   IF(COUNTIF([1]CRITERIOS!$F$179:$F$199,$A29)&gt;=1,
   1,
   IF(R29="MTO",
      $D29,
      ROUNDUP(
                    IF(($E29-SUMIF('[1]DATOS PBI Artículos'!A:A,A29,'[1]DATOS PBI Artículos'!X:X)+($V29-_xlfn.XLOOKUP(A29,'[1]DATOS PBI Artículos'!A:A,'[1]DATOS PBI Artículos'!W:W)))&lt;0,
                    0,
                    IF(($E29-SUMIF('[1]DATOS PBI Artículos'!A:A,A29,'[1]DATOS PBI Artículos'!X:X)+$V29-_xlfn.XLOOKUP($A29,'[1]DATOS PBI Artículos'!A:A,'[1]DATOS PBI Artículos'!W:W))/IF($O29="",$N29,$O29)&gt;ROUNDUP([1]CRITERIOS!$M$16/(IF(COUNTIF([1]CRITERIOS!$BG$11:$BG$201,L29)&gt;=1,_xlfn.XLOOKUP($C29,[1]CRITERIOS!$K$25:$K$42,[1]CRITERIOS!$M$25:$M$42),_xlfn.XLOOKUP($C29,[1]CRITERIOS!$K$25:$K$42,[1]CRITERIOS!$M$25:$M$42))),0),
                    ROUNDUP([1]CRITERIOS!$M$16/(IF(COUNTIF([1]CRITERIOS!$BG$11:$BG$201,$L29)&gt;=1,_xlfn.XLOOKUP($C29,[1]CRITERIOS!$K$25:$K$42,[1]CRITERIOS!$M$25:$M$42),_xlfn.XLOOKUP($C29,[1]CRITERIOS!$K$25:$K$42,[1]CRITERIOS!$M$25:$M$42))),0),
                    (E29+V29-SUMIF('[1]DATOS PBI Artículos'!A:A,A29,'[1]DATOS PBI Artículos'!X:X)-_xlfn.XLOOKUP(A29,'[1]DATOS PBI Artículos'!A:A,'[1]DATOS PBI Artículos'!W:W))/IF($O29="",$N29,$O29))),0))))</f>
        <v>3</v>
      </c>
      <c r="R29" s="33" t="str">
        <f>IF(U29&lt;&gt;"",U29,IF(F29="DV","MTO",IF(N29=0,"MTO",_xlfn.XLOOKUP(CONCATENATE(S29,T29),[1]CRITERIOS!$K$160:$K$168,[1]CRITERIOS!$N$160:$N$168))))</f>
        <v>MTS</v>
      </c>
      <c r="S29" s="33" t="str">
        <f>IF(G29="DV","MTO",IF(N29=0,"MTO",IF(OR(AND(N29=0,O29=""),IF(O29="",G29/N29,G29/O29)&gt;[1]CRITERIOS!$G$163),"MTO",IF(IF(O29="",G29/N29,G29/O29)&lt;[1]CRITERIOS!$H$161,"MTS","MTOS"))))</f>
        <v>MTO</v>
      </c>
      <c r="T29" s="33" t="str">
        <f>IF(F29="DV","MTO",IF(OR(AND($N29=0,O29=""),$F29/$J29&gt;[1]CRITERIOS!$G$170,$F29="DV"),"MTO",IF($F29/$J29&lt;[1]CRITERIOS!$H$168,"MTS","MTOS")))</f>
        <v>MTS</v>
      </c>
      <c r="V29" s="34">
        <f t="shared" si="4"/>
        <v>436047.98477648775</v>
      </c>
      <c r="X29" s="34">
        <f t="shared" si="1"/>
        <v>636047.98477648781</v>
      </c>
      <c r="Y29" s="34">
        <f t="shared" si="2"/>
        <v>169381.31810982112</v>
      </c>
      <c r="Z29" s="34">
        <f>IF($R29="MTO",
0,
($H29+$K29*($E29/[1]CRITERIOS!$M$16))/[1]CRITERIOS!$X$48)</f>
        <v>69381.318109821106</v>
      </c>
      <c r="AA29" s="34" t="e">
        <f>ROUNDUP(($Y29/_xlfn.XLOOKUP($A29,'[1]DATOS PBI Artículos'!$A$4:$A$4,'[1]DATOS PBI Artículos'!$Z$4:$Z$4))/_xlfn.XLOOKUP(_xlfn.XLOOKUP($A29,'[1]DATOS PBI Artículos'!$A$4:$A$4,'[1]DATOS PBI Artículos'!$Y$4:$Y$4),[1]CRITERIOS!$P$79:$P$123,[1]CRITERIOS!$S$79:$S$123,),0)</f>
        <v>#N/A</v>
      </c>
      <c r="AB29" s="33" t="e">
        <f t="array" ref="AB29">IF((E29+V29-_xlfn.XLOOKUP(A29,'[1]DATOS PBI Artículos'!$A$4:$A$4,'[1]DATOS PBI Artículos'!$W$4:$W$4))/N29&gt;ROUNDUP([1]CRITERIOS!$M$16/(IF(COUNTIF([1]CRITERIOS!$BG$11:$BG$201,L29)&gt;=1,_xlfn.XLOOKUP(ARTÍCULOS!L29,[1]CRITERIOS!$BG$11:$BG$201,[1]CRITERIOS!$BJ$11:$BJ$201),_xlfn.XLOOKUP(ARTÍCULOS!C29,[1]CRITERIOS!$K$25:$K$42,[1]CRITERIOS!$M$25:$M$42))),0),ROUNDUP([1]CRITERIOS!$M$16/(IF(COUNTIF([1]CRITERIOS!$BG$11:$BG$201,L29)&gt;=1,_xlfn.XLOOKUP(ARTÍCULOS!L29,[1]CRITERIOS!$BG$11:$BG$201:#REF!,[1]CRITERIOS!$BJ$11:$BJ$201),_xlfn.XLOOKUP(ARTÍCULOS!C29,[1]CRITERIOS!$K$25:$K$42,[1]CRITERIOS!$M$25:$M$42))),0),(E29+V29-_xlfn.XLOOKUP(A29,'[1]DATOS PBI Artículos'!$A$4:$A$4,'[1]DATOS PBI Artículos'!$W$4:$W$4))/N29)</f>
        <v>#N/A</v>
      </c>
      <c r="AC29" s="33" t="e">
        <f>IF(N29=0,"",(ROUNDUP((N29/2)/(_xlfn.XLOOKUP(A29,'[1]DATOS PBI Artículos'!$A$4:$A$4,'[1]DATOS PBI Artículos'!$Z$4:$Z$4)*_xlfn.XLOOKUP(_xlfn.XLOOKUP(A29,'[1]DATOS PBI Artículos'!$A$4:$A$4,'[1]DATOS PBI Artículos'!$Y$4:$Y$4),[1]CRITERIOS!$P$79:$P$123,[1]CRITERIOS!$S$79:$S$123)),0)*[1]CRITERIOS!$M$80*([1]CRITERIOS!$M$110/[1]CRITERIOS!$M$86)+(_xlfn.XLOOKUP(A29,'[1]DATOS PBI Artículos'!$A$4:$A$4,'[1]DATOS PBI Artículos'!$AA$4:$AA$4)*([1]CRITERIOS!$M$95+[1]CRITERIOS!$M$98)))/N29)</f>
        <v>#N/A</v>
      </c>
      <c r="AD29" s="33" t="e">
        <f>IF(N29=0,"",(ROUNDUP((N29/2)/(_xlfn.XLOOKUP(A29,'[1]DATOS PBI Artículos'!$A$4:$A$4,'[1]DATOS PBI Artículos'!$Z$4:$Z$4)*_xlfn.XLOOKUP(_xlfn.XLOOKUP(A29,'[1]DATOS PBI Artículos'!$A$4:$A$4,'[1]DATOS PBI Artículos'!$Y$4:$Y$4),[1]CRITERIOS!$P$79:$P$123,[1]CRITERIOS!$S$79:$S$123)),0)*[1]CRITERIOS!$M$80*([1]CRITERIOS!$M$89*[1]CRITERIOS!$M$92)+((_xlfn.XLOOKUP(A29,'[1]DATOS PBI Artículos'!$A$4:$A$4,'[1]DATOS PBI Artículos'!$AA$4:$AA$4)/2)*([1]CRITERIOS!$M$95+[1]CRITERIOS!$M$98)))/N29)</f>
        <v>#N/A</v>
      </c>
      <c r="AE29" s="39">
        <f>IF($R29="MTO","",
IF($H29=0,ROUNDUP(((_xlfn.XLOOKUP($A29,'[1]DATOS PBI Artículos'!$A:$A,'[1]DATOS PBI Artículos'!$AL:$AL))/(_xlfn.XLOOKUP($AF$1,[1]CRITERIOS!$S$16:$S$39,[1]CRITERIOS!$Y$16:$Y$39))*$J29+$Z29)/$G29,0)*$G29,
((_xlfn.XLOOKUP($A29,'[1]DATOS PBI Artículos'!$A:$A,'[1]DATOS PBI Artículos'!$AL:$AL))/(_xlfn.XLOOKUP($AF$1,[1]CRITERIOS!$S$16:$S$39,[1]CRITERIOS!$Y$16:$Y$39))*$J29+$Z29)))</f>
        <v>400000</v>
      </c>
      <c r="AG29" s="39">
        <f>IF($R29="MTO","",
IF($H29=0,ROUNDUP(((_xlfn.XLOOKUP($A29,'[1]DATOS PBI Artículos'!$A:$A,'[1]DATOS PBI Artículos'!$AM:$AM))/(_xlfn.XLOOKUP($AH$1,[1]CRITERIOS!$S$16:$S$39,[1]CRITERIOS!$Y$16:$Y$39))*$J29+$Z29)/$G29,0)*$G29,
((_xlfn.XLOOKUP($A29,'[1]DATOS PBI Artículos'!$A:$A,'[1]DATOS PBI Artículos'!$AM:$AM))/(_xlfn.XLOOKUP($AH$1,[1]CRITERIOS!$S$16:$S$39,[1]CRITERIOS!$Y$16:$Y$39))*$J29+$Z29)))</f>
        <v>400000</v>
      </c>
      <c r="AI29" s="39">
        <f>IF($R29="MTO","",
IF($H29=0,ROUNDUP(((_xlfn.XLOOKUP($A29,'[1]DATOS PBI Artículos'!$A:$A,'[1]DATOS PBI Artículos'!$AN:$AN))/(_xlfn.XLOOKUP($AJ$1,[1]CRITERIOS!$S$16:$S$39,[1]CRITERIOS!$Y$16:$Y$39))*$J29+$Z29)/$G29,0)*$G29,
((_xlfn.XLOOKUP($A29,'[1]DATOS PBI Artículos'!$A:$A,'[1]DATOS PBI Artículos'!$AN:$AN))/(_xlfn.XLOOKUP($AJ$1,[1]CRITERIOS!$S$16:$S$39,[1]CRITERIOS!$Y$16:$Y$39))*$J29+$Z29)))</f>
        <v>400000</v>
      </c>
      <c r="AK29" s="39">
        <f>IF($R29="MTO","",
IF($H29=0,ROUNDUP(((_xlfn.XLOOKUP($A29,'[1]DATOS PBI Artículos'!$A:$A,'[1]DATOS PBI Artículos'!$AO:$AO))/(_xlfn.XLOOKUP($AL$1,[1]CRITERIOS!$S$16:$S$39,[1]CRITERIOS!$Y$16:$Y$39))*$J29+$Z29)/$G29,0)*$G29,
((_xlfn.XLOOKUP($A29,'[1]DATOS PBI Artículos'!$A:$A,'[1]DATOS PBI Artículos'!$AO:$AO))/(_xlfn.XLOOKUP($AL$1,[1]CRITERIOS!$S$16:$S$39,[1]CRITERIOS!$Y$16:$Y$39))*$J29+$Z29)))</f>
        <v>400000</v>
      </c>
    </row>
    <row r="30" spans="1:37" ht="25.8" x14ac:dyDescent="0.5">
      <c r="A30" s="32">
        <v>453288</v>
      </c>
      <c r="B30" s="33">
        <f>_xlfn.XLOOKUP($A30,'[1]DATOS PBI Artículos'!A:A,'[1]DATOS PBI Artículos'!B:B)</f>
        <v>0</v>
      </c>
      <c r="C30" s="33" t="str">
        <f>_xlfn.XLOOKUP($A30,'[1]DATOS PBI Artículos'!A:A,'[1]DATOS PBI Artículos'!C:C)</f>
        <v>UA02</v>
      </c>
      <c r="D30" s="33">
        <f>_xlfn.XLOOKUP(A30,'[1]DATOS PBI Artículos'!A:A,'[1]DATOS PBI Artículos'!T:T)</f>
        <v>4</v>
      </c>
      <c r="E30" s="34">
        <f>IF(_xlfn.XLOOKUP($A30,'[1]DATOS PBI Artículos'!A:A,'[1]DATOS PBI Artículos'!AK:AK)="",_xlfn.XLOOKUP($A30,'[1]DATOS PBI Artículos'!A:A,'[1]DATOS PBI Artículos'!AJ:AJ),_xlfn.XLOOKUP($A30,'[1]DATOS PBI Artículos'!A:A,'[1]DATOS PBI Artículos'!AK:AK))</f>
        <v>400000</v>
      </c>
      <c r="F30" s="35">
        <f>_xlfn.XLOOKUP($A30,'[1]DATOS PBI Artículos'!A:A,'[1]DATOS PBI Artículos'!AP:AP)</f>
        <v>8.375</v>
      </c>
      <c r="G30" s="34">
        <f>_xlfn.XLOOKUP($A30,'[1]DATOS PBI Artículos'!A:A,'[1]DATOS PBI Artículos'!AR:AR)</f>
        <v>25000</v>
      </c>
      <c r="H30" s="34">
        <f>_xlfn.XLOOKUP($A30,'[1]DATOS PBI Artículos'!A:A,'[1]DATOS PBI Artículos'!AT:AT)</f>
        <v>0</v>
      </c>
      <c r="I30" s="34">
        <f>_xlfn.XLOOKUP($A30,'[1]DATOS PBI Artículos'!A:A,'[1]DATOS PBI Artículos'!AS:AS)</f>
        <v>25000</v>
      </c>
      <c r="J30" s="35">
        <f>IF(COUNTIF([1]CRITERIOS!$F$179:$F$199,$A30)&gt;=1,
 IF(O30&lt;&gt;"",
    (O30/_xlfn.XLOOKUP(CONCATENATE(A30,L30),[1]MÁQUINAS!A:A,[1]MÁQUINAS!D:D))/24,
    (N30/_xlfn.XLOOKUP(CONCATENATE(A30,L30),[1]MÁQUINAS!A:A,[1]MÁQUINAS!D:D))/24),
  _xlfn.XLOOKUP($A30,'[1]DATOS PBI Artículos'!A:A,'[1]DATOS PBI Artículos'!AU:AU))</f>
        <v>24.933333333333334</v>
      </c>
      <c r="K30" s="36">
        <f>_xlfn.XLOOKUP($A30,'[1]DATOS PBI Artículos'!A:A,'[1]DATOS PBI Artículos'!AV:AV)</f>
        <v>8.99576619993036</v>
      </c>
      <c r="L30" s="33">
        <f>_xlfn.XLOOKUP(A30,[1]MÁQUINAS!B:B,[1]MÁQUINAS!C:C)</f>
        <v>214</v>
      </c>
      <c r="M30" s="34">
        <f t="array" ref="M30">_xlfn.XLOOKUP(A30,'[1]DATOS PBI Artículos'!A:A,'[1]DATOS PBI Artículos'!AX:$AX)</f>
        <v>129715.49032606227</v>
      </c>
      <c r="N30" s="37">
        <f>IF(I30="DV",
E30,
IF(COUNTIF([1]CRITERIOS!$I$179:$I$199,$A30)&gt;=1,
_xlfn.XLOOKUP($A30,[1]CRITERIOS!$I$179:$I$199,[1]CRITERIOS!$J$179:$J$199),
IF(COUNTIF([1]CRITERIOS!$L$179:$L$199,$A30)&gt;=1,
_xlfn.CEILING.MATH(IF($M30&gt;$E30,
$E30,
IF($M30&lt;$E30/ROUNDDOWN([1]CRITERIOS!$M$16/_xlfn.XLOOKUP($C30,[1]CRITERIOS!$K$25:$K$42,[1]CRITERIOS!$M$25:$M$42),
1),
E30/ROUNDDOWN([1]CRITERIOS!$M$16/_xlfn.XLOOKUP($C30,[1]CRITERIOS!$K$25:$K$42,[1]CRITERIOS!$M$25:$M$42),
1),
$M30)),
_xlfn.XLOOKUP($A30,[1]CRITERIOS!$L$179:$L$200,[1]CRITERIOS!$M$179:$M$200)),
_xlfn.CEILING.MATH(IF($M30&gt;$E30,
$E30,
IF($M30&lt;$E30/ROUNDDOWN([1]CRITERIOS!$M$16/_xlfn.XLOOKUP($C30,[1]CRITERIOS!$K$25:$K$42,[1]CRITERIOS!$M$25:$M$42),
1),
E30/ROUNDDOWN([1]CRITERIOS!$M$16/_xlfn.XLOOKUP($C30,[1]CRITERIOS!$K$25:$K$42,[1]CRITERIOS!$M$25:$M$42),
1),
$M30)),_xlfn.XLOOKUP(A30,'[1]DATOS PBI Artículos'!A:A,'[1]DATOS PBI Artículos'!Z:Z
)))))</f>
        <v>150000</v>
      </c>
      <c r="Q30" s="38">
        <f>IF(AND(O30="",N30=0),
0,
   IF(COUNTIF([1]CRITERIOS!$F$179:$F$199,$A30)&gt;=1,
   1,
   IF(R30="MTO",
      $D30,
      ROUNDUP(
                    IF(($E30-SUMIF('[1]DATOS PBI Artículos'!A:A,A30,'[1]DATOS PBI Artículos'!X:X)+($V30-_xlfn.XLOOKUP(A30,'[1]DATOS PBI Artículos'!A:A,'[1]DATOS PBI Artículos'!W:W)))&lt;0,
                    0,
                    IF(($E30-SUMIF('[1]DATOS PBI Artículos'!A:A,A30,'[1]DATOS PBI Artículos'!X:X)+$V30-_xlfn.XLOOKUP($A30,'[1]DATOS PBI Artículos'!A:A,'[1]DATOS PBI Artículos'!W:W))/IF($O30="",$N30,$O30)&gt;ROUNDUP([1]CRITERIOS!$M$16/(IF(COUNTIF([1]CRITERIOS!$BG$11:$BG$201,L30)&gt;=1,_xlfn.XLOOKUP($C30,[1]CRITERIOS!$K$25:$K$42,[1]CRITERIOS!$M$25:$M$42),_xlfn.XLOOKUP($C30,[1]CRITERIOS!$K$25:$K$42,[1]CRITERIOS!$M$25:$M$42))),0),
                    ROUNDUP([1]CRITERIOS!$M$16/(IF(COUNTIF([1]CRITERIOS!$BG$11:$BG$201,$L30)&gt;=1,_xlfn.XLOOKUP($C30,[1]CRITERIOS!$K$25:$K$42,[1]CRITERIOS!$M$25:$M$42),_xlfn.XLOOKUP($C30,[1]CRITERIOS!$K$25:$K$42,[1]CRITERIOS!$M$25:$M$42))),0),
                    (E30+V30-SUMIF('[1]DATOS PBI Artículos'!A:A,A30,'[1]DATOS PBI Artículos'!X:X)-_xlfn.XLOOKUP(A30,'[1]DATOS PBI Artículos'!A:A,'[1]DATOS PBI Artículos'!W:W))/IF($O30="",$N30,$O30))),0))))</f>
        <v>2</v>
      </c>
      <c r="R30" s="33" t="str">
        <f>IF(U30&lt;&gt;"",U30,IF(F30="DV","MTO",IF(N30=0,"MTO",_xlfn.XLOOKUP(CONCATENATE(S30,T30),[1]CRITERIOS!$K$160:$K$168,[1]CRITERIOS!$N$160:$N$168))))</f>
        <v>MTS</v>
      </c>
      <c r="S30" s="33" t="str">
        <f>IF(G30="DV","MTO",IF(N30=0,"MTO",IF(OR(AND(N30=0,O30=""),IF(O30="",G30/N30,G30/O30)&gt;[1]CRITERIOS!$G$163),"MTO",IF(IF(O30="",G30/N30,G30/O30)&lt;[1]CRITERIOS!$H$161,"MTS","MTOS"))))</f>
        <v>MTS</v>
      </c>
      <c r="T30" s="33" t="str">
        <f>IF(F30="DV","MTO",IF(OR(AND($N30=0,O30=""),$F30/$J30&gt;[1]CRITERIOS!$G$170,$F30="DV"),"MTO",IF($F30/$J30&lt;[1]CRITERIOS!$H$168,"MTS","MTOS")))</f>
        <v>MTS</v>
      </c>
      <c r="V30" s="34">
        <f t="shared" si="4"/>
        <v>114409.04380731902</v>
      </c>
      <c r="X30" s="34">
        <f t="shared" si="1"/>
        <v>264409.04380731902</v>
      </c>
      <c r="Y30" s="34">
        <f t="shared" si="2"/>
        <v>114981.1831108016</v>
      </c>
      <c r="Z30" s="34">
        <f>IF($R30="MTO",
0,
($H30+$K30*($E30/[1]CRITERIOS!$M$16))/[1]CRITERIOS!$X$48)</f>
        <v>39981.183110801605</v>
      </c>
      <c r="AA30" s="34" t="e">
        <f>ROUNDUP(($Y30/_xlfn.XLOOKUP($A30,'[1]DATOS PBI Artículos'!$A$4:$A$4,'[1]DATOS PBI Artículos'!$Z$4:$Z$4))/_xlfn.XLOOKUP(_xlfn.XLOOKUP($A30,'[1]DATOS PBI Artículos'!$A$4:$A$4,'[1]DATOS PBI Artículos'!$Y$4:$Y$4),[1]CRITERIOS!$P$79:$P$123,[1]CRITERIOS!$S$79:$S$123,),0)</f>
        <v>#N/A</v>
      </c>
      <c r="AB30" s="33" t="e">
        <f t="array" ref="AB30">IF((E30+V30-_xlfn.XLOOKUP(A30,'[1]DATOS PBI Artículos'!$A$4:$A$4,'[1]DATOS PBI Artículos'!$W$4:$W$4))/N30&gt;ROUNDUP([1]CRITERIOS!$M$16/(IF(COUNTIF([1]CRITERIOS!$BG$11:$BG$201,L30)&gt;=1,_xlfn.XLOOKUP(ARTÍCULOS!L30,[1]CRITERIOS!$BG$11:$BG$201,[1]CRITERIOS!$BJ$11:$BJ$201),_xlfn.XLOOKUP(ARTÍCULOS!C30,[1]CRITERIOS!$K$25:$K$42,[1]CRITERIOS!$M$25:$M$42))),0),ROUNDUP([1]CRITERIOS!$M$16/(IF(COUNTIF([1]CRITERIOS!$BG$11:$BG$201,L30)&gt;=1,_xlfn.XLOOKUP(ARTÍCULOS!L30,[1]CRITERIOS!$BG$11:$BG$201:#REF!,[1]CRITERIOS!$BJ$11:$BJ$201),_xlfn.XLOOKUP(ARTÍCULOS!C30,[1]CRITERIOS!$K$25:$K$42,[1]CRITERIOS!$M$25:$M$42))),0),(E30+V30-_xlfn.XLOOKUP(A30,'[1]DATOS PBI Artículos'!$A$4:$A$4,'[1]DATOS PBI Artículos'!$W$4:$W$4))/N30)</f>
        <v>#N/A</v>
      </c>
      <c r="AC30" s="33" t="e">
        <f>IF(N30=0,"",(ROUNDUP((N30/2)/(_xlfn.XLOOKUP(A30,'[1]DATOS PBI Artículos'!$A$4:$A$4,'[1]DATOS PBI Artículos'!$Z$4:$Z$4)*_xlfn.XLOOKUP(_xlfn.XLOOKUP(A30,'[1]DATOS PBI Artículos'!$A$4:$A$4,'[1]DATOS PBI Artículos'!$Y$4:$Y$4),[1]CRITERIOS!$P$79:$P$123,[1]CRITERIOS!$S$79:$S$123)),0)*[1]CRITERIOS!$M$80*([1]CRITERIOS!$M$110/[1]CRITERIOS!$M$86)+(_xlfn.XLOOKUP(A30,'[1]DATOS PBI Artículos'!$A$4:$A$4,'[1]DATOS PBI Artículos'!$AA$4:$AA$4)*([1]CRITERIOS!$M$95+[1]CRITERIOS!$M$98)))/N30)</f>
        <v>#N/A</v>
      </c>
      <c r="AD30" s="33" t="e">
        <f>IF(N30=0,"",(ROUNDUP((N30/2)/(_xlfn.XLOOKUP(A30,'[1]DATOS PBI Artículos'!$A$4:$A$4,'[1]DATOS PBI Artículos'!$Z$4:$Z$4)*_xlfn.XLOOKUP(_xlfn.XLOOKUP(A30,'[1]DATOS PBI Artículos'!$A$4:$A$4,'[1]DATOS PBI Artículos'!$Y$4:$Y$4),[1]CRITERIOS!$P$79:$P$123,[1]CRITERIOS!$S$79:$S$123)),0)*[1]CRITERIOS!$M$80*([1]CRITERIOS!$M$89*[1]CRITERIOS!$M$92)+((_xlfn.XLOOKUP(A30,'[1]DATOS PBI Artículos'!$A$4:$A$4,'[1]DATOS PBI Artículos'!$AA$4:$AA$4)/2)*([1]CRITERIOS!$M$95+[1]CRITERIOS!$M$98)))/N30)</f>
        <v>#N/A</v>
      </c>
      <c r="AE30" s="39">
        <f>IF($R30="MTO","",
IF($H30=0,ROUNDUP(((_xlfn.XLOOKUP($A30,'[1]DATOS PBI Artículos'!$A:$A,'[1]DATOS PBI Artículos'!$AL:$AL))/(_xlfn.XLOOKUP($AF$1,[1]CRITERIOS!$S$16:$S$39,[1]CRITERIOS!$Y$16:$Y$39))*$J30+$Z30)/$G30,0)*$G30,
((_xlfn.XLOOKUP($A30,'[1]DATOS PBI Artículos'!$A:$A,'[1]DATOS PBI Artículos'!$AL:$AL))/(_xlfn.XLOOKUP($AF$1,[1]CRITERIOS!$S$16:$S$39,[1]CRITERIOS!$Y$16:$Y$39))*$J30+$Z30)))</f>
        <v>200000</v>
      </c>
      <c r="AG30" s="39">
        <f>IF($R30="MTO","",
IF($H30=0,ROUNDUP(((_xlfn.XLOOKUP($A30,'[1]DATOS PBI Artículos'!$A:$A,'[1]DATOS PBI Artículos'!$AM:$AM))/(_xlfn.XLOOKUP($AH$1,[1]CRITERIOS!$S$16:$S$39,[1]CRITERIOS!$Y$16:$Y$39))*$J30+$Z30)/$G30,0)*$G30,
((_xlfn.XLOOKUP($A30,'[1]DATOS PBI Artículos'!$A:$A,'[1]DATOS PBI Artículos'!$AM:$AM))/(_xlfn.XLOOKUP($AH$1,[1]CRITERIOS!$S$16:$S$39,[1]CRITERIOS!$Y$16:$Y$39))*$J30+$Z30)))</f>
        <v>175000</v>
      </c>
      <c r="AI30" s="39">
        <f>IF($R30="MTO","",
IF($H30=0,ROUNDUP(((_xlfn.XLOOKUP($A30,'[1]DATOS PBI Artículos'!$A:$A,'[1]DATOS PBI Artículos'!$AN:$AN))/(_xlfn.XLOOKUP($AJ$1,[1]CRITERIOS!$S$16:$S$39,[1]CRITERIOS!$Y$16:$Y$39))*$J30+$Z30)/$G30,0)*$G30,
((_xlfn.XLOOKUP($A30,'[1]DATOS PBI Artículos'!$A:$A,'[1]DATOS PBI Artículos'!$AN:$AN))/(_xlfn.XLOOKUP($AJ$1,[1]CRITERIOS!$S$16:$S$39,[1]CRITERIOS!$Y$16:$Y$39))*$J30+$Z30)))</f>
        <v>175000</v>
      </c>
      <c r="AK30" s="39">
        <f>IF($R30="MTO","",
IF($H30=0,ROUNDUP(((_xlfn.XLOOKUP($A30,'[1]DATOS PBI Artículos'!$A:$A,'[1]DATOS PBI Artículos'!$AO:$AO))/(_xlfn.XLOOKUP($AL$1,[1]CRITERIOS!$S$16:$S$39,[1]CRITERIOS!$Y$16:$Y$39))*$J30+$Z30)/$G30,0)*$G30,
((_xlfn.XLOOKUP($A30,'[1]DATOS PBI Artículos'!$A:$A,'[1]DATOS PBI Artículos'!$AO:$AO))/(_xlfn.XLOOKUP($AL$1,[1]CRITERIOS!$S$16:$S$39,[1]CRITERIOS!$Y$16:$Y$39))*$J30+$Z30)))</f>
        <v>200000</v>
      </c>
    </row>
    <row r="31" spans="1:37" ht="25.8" x14ac:dyDescent="0.5">
      <c r="A31" s="32" t="s">
        <v>44</v>
      </c>
      <c r="B31" s="33">
        <f>_xlfn.XLOOKUP($A31,'[1]DATOS PBI Artículos'!A:A,'[1]DATOS PBI Artículos'!B:B)</f>
        <v>0</v>
      </c>
      <c r="C31" s="33" t="str">
        <f>_xlfn.XLOOKUP($A31,'[1]DATOS PBI Artículos'!A:A,'[1]DATOS PBI Artículos'!C:C)</f>
        <v>UA01</v>
      </c>
      <c r="D31" s="33">
        <f>_xlfn.XLOOKUP(A31,'[1]DATOS PBI Artículos'!A:A,'[1]DATOS PBI Artículos'!T:T)</f>
        <v>14</v>
      </c>
      <c r="E31" s="34">
        <f>IF(_xlfn.XLOOKUP($A31,'[1]DATOS PBI Artículos'!A:A,'[1]DATOS PBI Artículos'!AK:AK)="",_xlfn.XLOOKUP($A31,'[1]DATOS PBI Artículos'!A:A,'[1]DATOS PBI Artículos'!AJ:AJ),_xlfn.XLOOKUP($A31,'[1]DATOS PBI Artículos'!A:A,'[1]DATOS PBI Artículos'!AK:AK))</f>
        <v>384000</v>
      </c>
      <c r="F31" s="35">
        <f>_xlfn.XLOOKUP($A31,'[1]DATOS PBI Artículos'!A:A,'[1]DATOS PBI Artículos'!AP:AP)</f>
        <v>4.84615384615</v>
      </c>
      <c r="G31" s="34">
        <f>_xlfn.XLOOKUP($A31,'[1]DATOS PBI Artículos'!A:A,'[1]DATOS PBI Artículos'!AR:AR)</f>
        <v>24000</v>
      </c>
      <c r="H31" s="34">
        <f>_xlfn.XLOOKUP($A31,'[1]DATOS PBI Artículos'!A:A,'[1]DATOS PBI Artículos'!AT:AT)</f>
        <v>8715.2764704307556</v>
      </c>
      <c r="I31" s="34">
        <f>_xlfn.XLOOKUP($A31,'[1]DATOS PBI Artículos'!A:A,'[1]DATOS PBI Artículos'!AS:AS)</f>
        <v>24000</v>
      </c>
      <c r="J31" s="35">
        <f>IF(COUNTIF([1]CRITERIOS!$F$179:$F$199,$A31)&gt;=1,
 IF(O31&lt;&gt;"",
    (O31/_xlfn.XLOOKUP(CONCATENATE(A31,L31),[1]MÁQUINAS!A:A,[1]MÁQUINAS!D:D))/24,
    (N31/_xlfn.XLOOKUP(CONCATENATE(A31,L31),[1]MÁQUINAS!A:A,[1]MÁQUINAS!D:D))/24),
  _xlfn.XLOOKUP($A31,'[1]DATOS PBI Artículos'!A:A,'[1]DATOS PBI Artículos'!AU:AU))</f>
        <v>15.2</v>
      </c>
      <c r="K31" s="36">
        <f>_xlfn.XLOOKUP($A31,'[1]DATOS PBI Artículos'!A:A,'[1]DATOS PBI Artículos'!AV:AV)</f>
        <v>3.7682887362833548</v>
      </c>
      <c r="L31" s="33">
        <f>_xlfn.XLOOKUP(A31,[1]MÁQUINAS!B:B,[1]MÁQUINAS!C:C)</f>
        <v>407</v>
      </c>
      <c r="M31" s="34">
        <f t="array" ref="M31">_xlfn.XLOOKUP(A31,'[1]DATOS PBI Artículos'!A:A,'[1]DATOS PBI Artículos'!AX:$AX)</f>
        <v>130578.92640940849</v>
      </c>
      <c r="N31" s="37">
        <f>IF(I31="DV",
E31,
IF(COUNTIF([1]CRITERIOS!$I$179:$I$199,$A31)&gt;=1,
_xlfn.XLOOKUP($A31,[1]CRITERIOS!$I$179:$I$199,[1]CRITERIOS!$J$179:$J$199),
IF(COUNTIF([1]CRITERIOS!$L$179:$L$199,$A31)&gt;=1,
_xlfn.CEILING.MATH(IF($M31&gt;$E31,
$E31,
IF($M31&lt;$E31/ROUNDDOWN([1]CRITERIOS!$M$16/_xlfn.XLOOKUP($C31,[1]CRITERIOS!$K$25:$K$42,[1]CRITERIOS!$M$25:$M$42),
1),
E31/ROUNDDOWN([1]CRITERIOS!$M$16/_xlfn.XLOOKUP($C31,[1]CRITERIOS!$K$25:$K$42,[1]CRITERIOS!$M$25:$M$42),
1),
$M31)),
_xlfn.XLOOKUP($A31,[1]CRITERIOS!$L$179:$L$200,[1]CRITERIOS!$M$179:$M$200)),
_xlfn.CEILING.MATH(IF($M31&gt;$E31,
$E31,
IF($M31&lt;$E31/ROUNDDOWN([1]CRITERIOS!$M$16/_xlfn.XLOOKUP($C31,[1]CRITERIOS!$K$25:$K$42,[1]CRITERIOS!$M$25:$M$42),
1),
E31/ROUNDDOWN([1]CRITERIOS!$M$16/_xlfn.XLOOKUP($C31,[1]CRITERIOS!$K$25:$K$42,[1]CRITERIOS!$M$25:$M$42),
1),
$M31)),_xlfn.XLOOKUP(A31,'[1]DATOS PBI Artículos'!A:A,'[1]DATOS PBI Artículos'!Z:Z
)))))</f>
        <v>132000</v>
      </c>
      <c r="Q31" s="38">
        <f>IF(AND(O31="",N31=0),
0,
   IF(COUNTIF([1]CRITERIOS!$F$179:$F$199,$A31)&gt;=1,
   1,
   IF(R31="MTO",
      $D31,
      ROUNDUP(
                    IF(($E31-SUMIF('[1]DATOS PBI Artículos'!A:A,A31,'[1]DATOS PBI Artículos'!X:X)+($V31-_xlfn.XLOOKUP(A31,'[1]DATOS PBI Artículos'!A:A,'[1]DATOS PBI Artículos'!W:W)))&lt;0,
                    0,
                    IF(($E31-SUMIF('[1]DATOS PBI Artículos'!A:A,A31,'[1]DATOS PBI Artículos'!X:X)+$V31-_xlfn.XLOOKUP($A31,'[1]DATOS PBI Artículos'!A:A,'[1]DATOS PBI Artículos'!W:W))/IF($O31="",$N31,$O31)&gt;ROUNDUP([1]CRITERIOS!$M$16/(IF(COUNTIF([1]CRITERIOS!$BG$11:$BG$201,L31)&gt;=1,_xlfn.XLOOKUP($C31,[1]CRITERIOS!$K$25:$K$42,[1]CRITERIOS!$M$25:$M$42),_xlfn.XLOOKUP($C31,[1]CRITERIOS!$K$25:$K$42,[1]CRITERIOS!$M$25:$M$42))),0),
                    ROUNDUP([1]CRITERIOS!$M$16/(IF(COUNTIF([1]CRITERIOS!$BG$11:$BG$201,$L31)&gt;=1,_xlfn.XLOOKUP($C31,[1]CRITERIOS!$K$25:$K$42,[1]CRITERIOS!$M$25:$M$42),_xlfn.XLOOKUP($C31,[1]CRITERIOS!$K$25:$K$42,[1]CRITERIOS!$M$25:$M$42))),0),
                    (E31+V31-SUMIF('[1]DATOS PBI Artículos'!A:A,A31,'[1]DATOS PBI Artículos'!X:X)-_xlfn.XLOOKUP(A31,'[1]DATOS PBI Artículos'!A:A,'[1]DATOS PBI Artículos'!W:W))/IF($O31="",$N31,$O31))),0))))</f>
        <v>3</v>
      </c>
      <c r="R31" s="33" t="str">
        <f>IF(U31&lt;&gt;"",U31,IF(F31="DV","MTO",IF(N31=0,"MTO",_xlfn.XLOOKUP(CONCATENATE(S31,T31),[1]CRITERIOS!$K$160:$K$168,[1]CRITERIOS!$N$160:$N$168))))</f>
        <v>MTS</v>
      </c>
      <c r="S31" s="33" t="str">
        <f>IF(G31="DV","MTO",IF(N31=0,"MTO",IF(OR(AND(N31=0,O31=""),IF(O31="",G31/N31,G31/O31)&gt;[1]CRITERIOS!$G$163),"MTO",IF(IF(O31="",G31/N31,G31/O31)&lt;[1]CRITERIOS!$H$161,"MTS","MTOS"))))</f>
        <v>MTS</v>
      </c>
      <c r="T31" s="33" t="str">
        <f>IF(F31="DV","MTO",IF(OR(AND($N31=0,O31=""),$F31/$J31&gt;[1]CRITERIOS!$G$170,$F31="DV"),"MTO",IF($F31/$J31&lt;[1]CRITERIOS!$H$168,"MTS","MTOS")))</f>
        <v>MTS</v>
      </c>
      <c r="V31" s="34">
        <f t="shared" si="4"/>
        <v>98616.952809751485</v>
      </c>
      <c r="X31" s="34">
        <f t="shared" si="1"/>
        <v>230616.9528097515</v>
      </c>
      <c r="Y31" s="34">
        <f t="shared" si="2"/>
        <v>89340.762333501276</v>
      </c>
      <c r="Z31" s="34">
        <f>IF($R31="MTO",
0,
($H31+$K31*($E31/[1]CRITERIOS!$M$16))/[1]CRITERIOS!$X$48)</f>
        <v>23340.762333501276</v>
      </c>
      <c r="AA31" s="34" t="e">
        <f>ROUNDUP(($Y31/_xlfn.XLOOKUP($A31,'[1]DATOS PBI Artículos'!$A$4:$A$4,'[1]DATOS PBI Artículos'!$Z$4:$Z$4))/_xlfn.XLOOKUP(_xlfn.XLOOKUP($A31,'[1]DATOS PBI Artículos'!$A$4:$A$4,'[1]DATOS PBI Artículos'!$Y$4:$Y$4),[1]CRITERIOS!$P$79:$P$123,[1]CRITERIOS!$S$79:$S$123,),0)</f>
        <v>#N/A</v>
      </c>
      <c r="AB31" s="33" t="e">
        <f t="array" ref="AB31">IF((E31+V31-_xlfn.XLOOKUP(A31,'[1]DATOS PBI Artículos'!$A$4:$A$4,'[1]DATOS PBI Artículos'!$W$4:$W$4))/N31&gt;ROUNDUP([1]CRITERIOS!$M$16/(IF(COUNTIF([1]CRITERIOS!$BG$11:$BG$201,L31)&gt;=1,_xlfn.XLOOKUP(ARTÍCULOS!L31,[1]CRITERIOS!$BG$11:$BG$201,[1]CRITERIOS!$BJ$11:$BJ$201),_xlfn.XLOOKUP(ARTÍCULOS!C31,[1]CRITERIOS!$K$25:$K$42,[1]CRITERIOS!$M$25:$M$42))),0),ROUNDUP([1]CRITERIOS!$M$16/(IF(COUNTIF([1]CRITERIOS!$BG$11:$BG$201,L31)&gt;=1,_xlfn.XLOOKUP(ARTÍCULOS!L31,[1]CRITERIOS!$BG$11:$BG$201:#REF!,[1]CRITERIOS!$BJ$11:$BJ$201),_xlfn.XLOOKUP(ARTÍCULOS!C31,[1]CRITERIOS!$K$25:$K$42,[1]CRITERIOS!$M$25:$M$42))),0),(E31+V31-_xlfn.XLOOKUP(A31,'[1]DATOS PBI Artículos'!$A$4:$A$4,'[1]DATOS PBI Artículos'!$W$4:$W$4))/N31)</f>
        <v>#N/A</v>
      </c>
      <c r="AC31" s="33" t="e">
        <f>IF(N31=0,"",(ROUNDUP((N31/2)/(_xlfn.XLOOKUP(A31,'[1]DATOS PBI Artículos'!$A$4:$A$4,'[1]DATOS PBI Artículos'!$Z$4:$Z$4)*_xlfn.XLOOKUP(_xlfn.XLOOKUP(A31,'[1]DATOS PBI Artículos'!$A$4:$A$4,'[1]DATOS PBI Artículos'!$Y$4:$Y$4),[1]CRITERIOS!$P$79:$P$123,[1]CRITERIOS!$S$79:$S$123)),0)*[1]CRITERIOS!$M$80*([1]CRITERIOS!$M$110/[1]CRITERIOS!$M$86)+(_xlfn.XLOOKUP(A31,'[1]DATOS PBI Artículos'!$A$4:$A$4,'[1]DATOS PBI Artículos'!$AA$4:$AA$4)*([1]CRITERIOS!$M$95+[1]CRITERIOS!$M$98)))/N31)</f>
        <v>#N/A</v>
      </c>
      <c r="AD31" s="33" t="e">
        <f>IF(N31=0,"",(ROUNDUP((N31/2)/(_xlfn.XLOOKUP(A31,'[1]DATOS PBI Artículos'!$A$4:$A$4,'[1]DATOS PBI Artículos'!$Z$4:$Z$4)*_xlfn.XLOOKUP(_xlfn.XLOOKUP(A31,'[1]DATOS PBI Artículos'!$A$4:$A$4,'[1]DATOS PBI Artículos'!$Y$4:$Y$4),[1]CRITERIOS!$P$79:$P$123,[1]CRITERIOS!$S$79:$S$123)),0)*[1]CRITERIOS!$M$80*([1]CRITERIOS!$M$89*[1]CRITERIOS!$M$92)+((_xlfn.XLOOKUP(A31,'[1]DATOS PBI Artículos'!$A$4:$A$4,'[1]DATOS PBI Artículos'!$AA$4:$AA$4)/2)*([1]CRITERIOS!$M$95+[1]CRITERIOS!$M$98)))/N31)</f>
        <v>#N/A</v>
      </c>
      <c r="AE31" s="39">
        <f>IF($R31="MTO","",
IF($H31=0,ROUNDUP(((_xlfn.XLOOKUP($A31,'[1]DATOS PBI Artículos'!$A:$A,'[1]DATOS PBI Artículos'!$AL:$AL))/(_xlfn.XLOOKUP($AF$1,[1]CRITERIOS!$S$16:$S$39,[1]CRITERIOS!$Y$16:$Y$39))*$J31+$Z31)/$G31,0)*$G31,
((_xlfn.XLOOKUP($A31,'[1]DATOS PBI Artículos'!$A:$A,'[1]DATOS PBI Artículos'!$AL:$AL))/(_xlfn.XLOOKUP($AF$1,[1]CRITERIOS!$S$16:$S$39,[1]CRITERIOS!$Y$16:$Y$39))*$J31+$Z31)))</f>
        <v>113349.5097980346</v>
      </c>
      <c r="AG31" s="39">
        <f>IF($R31="MTO","",
IF($H31=0,ROUNDUP(((_xlfn.XLOOKUP($A31,'[1]DATOS PBI Artículos'!$A:$A,'[1]DATOS PBI Artículos'!$AM:$AM))/(_xlfn.XLOOKUP($AH$1,[1]CRITERIOS!$S$16:$S$39,[1]CRITERIOS!$Y$16:$Y$39))*$J31+$Z31)/$G31,0)*$G31,
((_xlfn.XLOOKUP($A31,'[1]DATOS PBI Artículos'!$A:$A,'[1]DATOS PBI Artículos'!$AM:$AM))/(_xlfn.XLOOKUP($AH$1,[1]CRITERIOS!$S$16:$S$39,[1]CRITERIOS!$Y$16:$Y$39))*$J31+$Z31)))</f>
        <v>87995.7995720404</v>
      </c>
      <c r="AI31" s="39">
        <f>IF($R31="MTO","",
IF($H31=0,ROUNDUP(((_xlfn.XLOOKUP($A31,'[1]DATOS PBI Artículos'!$A:$A,'[1]DATOS PBI Artículos'!$AN:$AN))/(_xlfn.XLOOKUP($AJ$1,[1]CRITERIOS!$S$16:$S$39,[1]CRITERIOS!$Y$16:$Y$39))*$J31+$Z31)/$G31,0)*$G31,
((_xlfn.XLOOKUP($A31,'[1]DATOS PBI Artículos'!$A:$A,'[1]DATOS PBI Artículos'!$AN:$AN))/(_xlfn.XLOOKUP($AJ$1,[1]CRITERIOS!$S$16:$S$39,[1]CRITERIOS!$Y$16:$Y$39))*$J31+$Z31)))</f>
        <v>100781.28051206128</v>
      </c>
      <c r="AK31" s="39">
        <f>IF($R31="MTO","",
IF($H31=0,ROUNDUP(((_xlfn.XLOOKUP($A31,'[1]DATOS PBI Artículos'!$A:$A,'[1]DATOS PBI Artículos'!$AO:$AO))/(_xlfn.XLOOKUP($AL$1,[1]CRITERIOS!$S$16:$S$39,[1]CRITERIOS!$Y$16:$Y$39))*$J31+$Z31)/$G31,0)*$G31,
((_xlfn.XLOOKUP($A31,'[1]DATOS PBI Artículos'!$A:$A,'[1]DATOS PBI Artículos'!$AO:$AO))/(_xlfn.XLOOKUP($AL$1,[1]CRITERIOS!$S$16:$S$39,[1]CRITERIOS!$Y$16:$Y$39))*$J31+$Z31)))</f>
        <v>107681.21416070127</v>
      </c>
    </row>
    <row r="32" spans="1:37" ht="25.8" x14ac:dyDescent="0.5">
      <c r="A32" s="32" t="s">
        <v>45</v>
      </c>
      <c r="B32" s="33">
        <f>_xlfn.XLOOKUP($A32,'[1]DATOS PBI Artículos'!A:A,'[1]DATOS PBI Artículos'!B:B)</f>
        <v>0</v>
      </c>
      <c r="C32" s="33" t="str">
        <f>_xlfn.XLOOKUP($A32,'[1]DATOS PBI Artículos'!A:A,'[1]DATOS PBI Artículos'!C:C)</f>
        <v>UA01</v>
      </c>
      <c r="D32" s="33">
        <f>_xlfn.XLOOKUP(A32,'[1]DATOS PBI Artículos'!A:A,'[1]DATOS PBI Artículos'!T:T)</f>
        <v>11</v>
      </c>
      <c r="E32" s="34">
        <f>IF(_xlfn.XLOOKUP($A32,'[1]DATOS PBI Artículos'!A:A,'[1]DATOS PBI Artículos'!AK:AK)="",_xlfn.XLOOKUP($A32,'[1]DATOS PBI Artículos'!A:A,'[1]DATOS PBI Artículos'!AJ:AJ),_xlfn.XLOOKUP($A32,'[1]DATOS PBI Artículos'!A:A,'[1]DATOS PBI Artículos'!AK:AK))</f>
        <v>366000</v>
      </c>
      <c r="F32" s="35">
        <f>_xlfn.XLOOKUP($A32,'[1]DATOS PBI Artículos'!A:A,'[1]DATOS PBI Artículos'!AP:AP)</f>
        <v>6.8888888888800004</v>
      </c>
      <c r="G32" s="34">
        <f>_xlfn.XLOOKUP($A32,'[1]DATOS PBI Artículos'!A:A,'[1]DATOS PBI Artículos'!AR:AR)</f>
        <v>36000</v>
      </c>
      <c r="H32" s="34">
        <f>_xlfn.XLOOKUP($A32,'[1]DATOS PBI Artículos'!A:A,'[1]DATOS PBI Artículos'!AT:AT)</f>
        <v>14886.235252742716</v>
      </c>
      <c r="I32" s="34">
        <f>_xlfn.XLOOKUP($A32,'[1]DATOS PBI Artículos'!A:A,'[1]DATOS PBI Artículos'!AS:AS)</f>
        <v>3000</v>
      </c>
      <c r="J32" s="35">
        <f>IF(COUNTIF([1]CRITERIOS!$F$179:$F$199,$A32)&gt;=1,
 IF(O32&lt;&gt;"",
    (O32/_xlfn.XLOOKUP(CONCATENATE(A32,L32),[1]MÁQUINAS!A:A,[1]MÁQUINAS!D:D))/24,
    (N32/_xlfn.XLOOKUP(CONCATENATE(A32,L32),[1]MÁQUINAS!A:A,[1]MÁQUINAS!D:D))/24),
  _xlfn.XLOOKUP($A32,'[1]DATOS PBI Artículos'!A:A,'[1]DATOS PBI Artículos'!AU:AU))</f>
        <v>45.666666666666664</v>
      </c>
      <c r="K32" s="36">
        <f>_xlfn.XLOOKUP($A32,'[1]DATOS PBI Artículos'!A:A,'[1]DATOS PBI Artículos'!AV:AV)</f>
        <v>19.809235146805875</v>
      </c>
      <c r="L32" s="33">
        <f>_xlfn.XLOOKUP(A32,[1]MÁQUINAS!B:B,[1]MÁQUINAS!C:C)</f>
        <v>550</v>
      </c>
      <c r="M32" s="34">
        <f t="array" ref="M32">_xlfn.XLOOKUP(A32,'[1]DATOS PBI Artículos'!A:A,'[1]DATOS PBI Artículos'!AX:$AX)</f>
        <v>108644.75704425824</v>
      </c>
      <c r="N32" s="37">
        <f>IF(I32="DV",
E32,
IF(COUNTIF([1]CRITERIOS!$I$179:$I$199,$A32)&gt;=1,
_xlfn.XLOOKUP($A32,[1]CRITERIOS!$I$179:$I$199,[1]CRITERIOS!$J$179:$J$199),
IF(COUNTIF([1]CRITERIOS!$L$179:$L$199,$A32)&gt;=1,
_xlfn.CEILING.MATH(IF($M32&gt;$E32,
$E32,
IF($M32&lt;$E32/ROUNDDOWN([1]CRITERIOS!$M$16/_xlfn.XLOOKUP($C32,[1]CRITERIOS!$K$25:$K$42,[1]CRITERIOS!$M$25:$M$42),
1),
E32/ROUNDDOWN([1]CRITERIOS!$M$16/_xlfn.XLOOKUP($C32,[1]CRITERIOS!$K$25:$K$42,[1]CRITERIOS!$M$25:$M$42),
1),
$M32)),
_xlfn.XLOOKUP($A32,[1]CRITERIOS!$L$179:$L$200,[1]CRITERIOS!$M$179:$M$200)),
_xlfn.CEILING.MATH(IF($M32&gt;$E32,
$E32,
IF($M32&lt;$E32/ROUNDDOWN([1]CRITERIOS!$M$16/_xlfn.XLOOKUP($C32,[1]CRITERIOS!$K$25:$K$42,[1]CRITERIOS!$M$25:$M$42),
1),
E32/ROUNDDOWN([1]CRITERIOS!$M$16/_xlfn.XLOOKUP($C32,[1]CRITERIOS!$K$25:$K$42,[1]CRITERIOS!$M$25:$M$42),
1),
$M32)),_xlfn.XLOOKUP(A32,'[1]DATOS PBI Artículos'!A:A,'[1]DATOS PBI Artículos'!Z:Z
)))))</f>
        <v>111000</v>
      </c>
      <c r="Q32" s="38">
        <f>IF(AND(O32="",N32=0),
0,
   IF(COUNTIF([1]CRITERIOS!$F$179:$F$199,$A32)&gt;=1,
   1,
   IF(R32="MTO",
      $D32,
      ROUNDUP(
                    IF(($E32-SUMIF('[1]DATOS PBI Artículos'!A:A,A32,'[1]DATOS PBI Artículos'!X:X)+($V32-_xlfn.XLOOKUP(A32,'[1]DATOS PBI Artículos'!A:A,'[1]DATOS PBI Artículos'!W:W)))&lt;0,
                    0,
                    IF(($E32-SUMIF('[1]DATOS PBI Artículos'!A:A,A32,'[1]DATOS PBI Artículos'!X:X)+$V32-_xlfn.XLOOKUP($A32,'[1]DATOS PBI Artículos'!A:A,'[1]DATOS PBI Artículos'!W:W))/IF($O32="",$N32,$O32)&gt;ROUNDUP([1]CRITERIOS!$M$16/(IF(COUNTIF([1]CRITERIOS!$BG$11:$BG$201,L32)&gt;=1,_xlfn.XLOOKUP($C32,[1]CRITERIOS!$K$25:$K$42,[1]CRITERIOS!$M$25:$M$42),_xlfn.XLOOKUP($C32,[1]CRITERIOS!$K$25:$K$42,[1]CRITERIOS!$M$25:$M$42))),0),
                    ROUNDUP([1]CRITERIOS!$M$16/(IF(COUNTIF([1]CRITERIOS!$BG$11:$BG$201,$L32)&gt;=1,_xlfn.XLOOKUP($C32,[1]CRITERIOS!$K$25:$K$42,[1]CRITERIOS!$M$25:$M$42),_xlfn.XLOOKUP($C32,[1]CRITERIOS!$K$25:$K$42,[1]CRITERIOS!$M$25:$M$42))),0),
                    (E32+V32-SUMIF('[1]DATOS PBI Artículos'!A:A,A32,'[1]DATOS PBI Artículos'!X:X)-_xlfn.XLOOKUP(A32,'[1]DATOS PBI Artículos'!A:A,'[1]DATOS PBI Artículos'!W:W))/IF($O32="",$N32,$O32))),0))))</f>
        <v>4</v>
      </c>
      <c r="R32" s="33" t="str">
        <f>IF(U32&lt;&gt;"",U32,IF(F32="DV","MTO",IF(N32=0,"MTO",_xlfn.XLOOKUP(CONCATENATE(S32,T32),[1]CRITERIOS!$K$160:$K$168,[1]CRITERIOS!$N$160:$N$168))))</f>
        <v>MTS</v>
      </c>
      <c r="S32" s="33" t="str">
        <f>IF(G32="DV","MTO",IF(N32=0,"MTO",IF(OR(AND(N32=0,O32=""),IF(O32="",G32/N32,G32/O32)&gt;[1]CRITERIOS!$G$163),"MTO",IF(IF(O32="",G32/N32,G32/O32)&lt;[1]CRITERIOS!$H$161,"MTS","MTOS"))))</f>
        <v>MTS</v>
      </c>
      <c r="T32" s="33" t="str">
        <f>IF(F32="DV","MTO",IF(OR(AND($N32=0,O32=""),$F32/$J32&gt;[1]CRITERIOS!$G$170,$F32="DV"),"MTO",IF($F32/$J32&lt;[1]CRITERIOS!$H$168,"MTS","MTOS")))</f>
        <v>MTS</v>
      </c>
      <c r="V32" s="34">
        <f t="shared" si="4"/>
        <v>331607.91359825997</v>
      </c>
      <c r="X32" s="34">
        <f t="shared" si="1"/>
        <v>442607.91359825997</v>
      </c>
      <c r="Y32" s="34">
        <f t="shared" si="2"/>
        <v>148462.7523076295</v>
      </c>
      <c r="Z32" s="34">
        <f>IF($R32="MTO",
0,
($H32+$K32*($E32/[1]CRITERIOS!$M$16))/[1]CRITERIOS!$X$48)</f>
        <v>92962.752307629489</v>
      </c>
      <c r="AA32" s="34" t="e">
        <f>ROUNDUP(($Y32/_xlfn.XLOOKUP($A32,'[1]DATOS PBI Artículos'!$A$4:$A$4,'[1]DATOS PBI Artículos'!$Z$4:$Z$4))/_xlfn.XLOOKUP(_xlfn.XLOOKUP($A32,'[1]DATOS PBI Artículos'!$A$4:$A$4,'[1]DATOS PBI Artículos'!$Y$4:$Y$4),[1]CRITERIOS!$P$79:$P$123,[1]CRITERIOS!$S$79:$S$123,),0)</f>
        <v>#N/A</v>
      </c>
      <c r="AB32" s="33" t="e">
        <f t="array" ref="AB32">IF((E32+V32-_xlfn.XLOOKUP(A32,'[1]DATOS PBI Artículos'!$A$4:$A$4,'[1]DATOS PBI Artículos'!$W$4:$W$4))/N32&gt;ROUNDUP([1]CRITERIOS!$M$16/(IF(COUNTIF([1]CRITERIOS!$BG$11:$BG$201,L32)&gt;=1,_xlfn.XLOOKUP(ARTÍCULOS!L32,[1]CRITERIOS!$BG$11:$BG$201,[1]CRITERIOS!$BJ$11:$BJ$201),_xlfn.XLOOKUP(ARTÍCULOS!C32,[1]CRITERIOS!$K$25:$K$42,[1]CRITERIOS!$M$25:$M$42))),0),ROUNDUP([1]CRITERIOS!$M$16/(IF(COUNTIF([1]CRITERIOS!$BG$11:$BG$201,L32)&gt;=1,_xlfn.XLOOKUP(ARTÍCULOS!L32,[1]CRITERIOS!$BG$11:$BG$201:#REF!,[1]CRITERIOS!$BJ$11:$BJ$201),_xlfn.XLOOKUP(ARTÍCULOS!C32,[1]CRITERIOS!$K$25:$K$42,[1]CRITERIOS!$M$25:$M$42))),0),(E32+V32-_xlfn.XLOOKUP(A32,'[1]DATOS PBI Artículos'!$A$4:$A$4,'[1]DATOS PBI Artículos'!$W$4:$W$4))/N32)</f>
        <v>#N/A</v>
      </c>
      <c r="AC32" s="33" t="e">
        <f>IF(N32=0,"",(ROUNDUP((N32/2)/(_xlfn.XLOOKUP(A32,'[1]DATOS PBI Artículos'!$A$4:$A$4,'[1]DATOS PBI Artículos'!$Z$4:$Z$4)*_xlfn.XLOOKUP(_xlfn.XLOOKUP(A32,'[1]DATOS PBI Artículos'!$A$4:$A$4,'[1]DATOS PBI Artículos'!$Y$4:$Y$4),[1]CRITERIOS!$P$79:$P$123,[1]CRITERIOS!$S$79:$S$123)),0)*[1]CRITERIOS!$M$80*([1]CRITERIOS!$M$110/[1]CRITERIOS!$M$86)+(_xlfn.XLOOKUP(A32,'[1]DATOS PBI Artículos'!$A$4:$A$4,'[1]DATOS PBI Artículos'!$AA$4:$AA$4)*([1]CRITERIOS!$M$95+[1]CRITERIOS!$M$98)))/N32)</f>
        <v>#N/A</v>
      </c>
      <c r="AD32" s="33" t="e">
        <f>IF(N32=0,"",(ROUNDUP((N32/2)/(_xlfn.XLOOKUP(A32,'[1]DATOS PBI Artículos'!$A$4:$A$4,'[1]DATOS PBI Artículos'!$Z$4:$Z$4)*_xlfn.XLOOKUP(_xlfn.XLOOKUP(A32,'[1]DATOS PBI Artículos'!$A$4:$A$4,'[1]DATOS PBI Artículos'!$Y$4:$Y$4),[1]CRITERIOS!$P$79:$P$123,[1]CRITERIOS!$S$79:$S$123)),0)*[1]CRITERIOS!$M$80*([1]CRITERIOS!$M$89*[1]CRITERIOS!$M$92)+((_xlfn.XLOOKUP(A32,'[1]DATOS PBI Artículos'!$A$4:$A$4,'[1]DATOS PBI Artículos'!$AA$4:$AA$4)/2)*([1]CRITERIOS!$M$95+[1]CRITERIOS!$M$98)))/N32)</f>
        <v>#N/A</v>
      </c>
      <c r="AE32" s="39">
        <f>IF($R32="MTO","",
IF($H32=0,ROUNDUP(((_xlfn.XLOOKUP($A32,'[1]DATOS PBI Artículos'!$A:$A,'[1]DATOS PBI Artículos'!$AL:$AL))/(_xlfn.XLOOKUP($AF$1,[1]CRITERIOS!$S$16:$S$39,[1]CRITERIOS!$Y$16:$Y$39))*$J32+$Z32)/$G32,0)*$G32,
((_xlfn.XLOOKUP($A32,'[1]DATOS PBI Artículos'!$A:$A,'[1]DATOS PBI Artículos'!$AL:$AL))/(_xlfn.XLOOKUP($AF$1,[1]CRITERIOS!$S$16:$S$39,[1]CRITERIOS!$Y$16:$Y$39))*$J32+$Z32)))</f>
        <v>350707.7847093239</v>
      </c>
      <c r="AG32" s="39">
        <f>IF($R32="MTO","",
IF($H32=0,ROUNDUP(((_xlfn.XLOOKUP($A32,'[1]DATOS PBI Artículos'!$A:$A,'[1]DATOS PBI Artículos'!$AM:$AM))/(_xlfn.XLOOKUP($AH$1,[1]CRITERIOS!$S$16:$S$39,[1]CRITERIOS!$Y$16:$Y$39))*$J32+$Z32)/$G32,0)*$G32,
((_xlfn.XLOOKUP($A32,'[1]DATOS PBI Artículos'!$A:$A,'[1]DATOS PBI Artículos'!$AM:$AM))/(_xlfn.XLOOKUP($AH$1,[1]CRITERIOS!$S$16:$S$39,[1]CRITERIOS!$Y$16:$Y$39))*$J32+$Z32)))</f>
        <v>278106.03157108597</v>
      </c>
      <c r="AI32" s="39">
        <f>IF($R32="MTO","",
IF($H32=0,ROUNDUP(((_xlfn.XLOOKUP($A32,'[1]DATOS PBI Artículos'!$A:$A,'[1]DATOS PBI Artículos'!$AN:$AN))/(_xlfn.XLOOKUP($AJ$1,[1]CRITERIOS!$S$16:$S$39,[1]CRITERIOS!$Y$16:$Y$39))*$J32+$Z32)/$G32,0)*$G32,
((_xlfn.XLOOKUP($A32,'[1]DATOS PBI Artículos'!$A:$A,'[1]DATOS PBI Artículos'!$AN:$AN))/(_xlfn.XLOOKUP($AJ$1,[1]CRITERIOS!$S$16:$S$39,[1]CRITERIOS!$Y$16:$Y$39))*$J32+$Z32)))</f>
        <v>314717.96421080449</v>
      </c>
      <c r="AK32" s="39">
        <f>IF($R32="MTO","",
IF($H32=0,ROUNDUP(((_xlfn.XLOOKUP($A32,'[1]DATOS PBI Artículos'!$A:$A,'[1]DATOS PBI Artículos'!$AO:$AO))/(_xlfn.XLOOKUP($AL$1,[1]CRITERIOS!$S$16:$S$39,[1]CRITERIOS!$Y$16:$Y$39))*$J32+$Z32)/$G32,0)*$G32,
((_xlfn.XLOOKUP($A32,'[1]DATOS PBI Artículos'!$A:$A,'[1]DATOS PBI Artículos'!$AO:$AO))/(_xlfn.XLOOKUP($AL$1,[1]CRITERIOS!$S$16:$S$39,[1]CRITERIOS!$Y$16:$Y$39))*$J32+$Z32)))</f>
        <v>334476.30628237943</v>
      </c>
    </row>
    <row r="33" spans="1:37" ht="25.8" x14ac:dyDescent="0.5">
      <c r="A33" s="32">
        <v>452590</v>
      </c>
      <c r="B33" s="33">
        <f>_xlfn.XLOOKUP($A33,'[1]DATOS PBI Artículos'!A:A,'[1]DATOS PBI Artículos'!B:B)</f>
        <v>0</v>
      </c>
      <c r="C33" s="33" t="str">
        <f>_xlfn.XLOOKUP($A33,'[1]DATOS PBI Artículos'!A:A,'[1]DATOS PBI Artículos'!C:C)</f>
        <v>UA03</v>
      </c>
      <c r="D33" s="33">
        <f>_xlfn.XLOOKUP(A33,'[1]DATOS PBI Artículos'!A:A,'[1]DATOS PBI Artículos'!T:T)</f>
        <v>21</v>
      </c>
      <c r="E33" s="34">
        <f>IF(_xlfn.XLOOKUP($A33,'[1]DATOS PBI Artículos'!A:A,'[1]DATOS PBI Artículos'!AK:AK)="",_xlfn.XLOOKUP($A33,'[1]DATOS PBI Artículos'!A:A,'[1]DATOS PBI Artículos'!AJ:AJ),_xlfn.XLOOKUP($A33,'[1]DATOS PBI Artículos'!A:A,'[1]DATOS PBI Artículos'!AK:AK))</f>
        <v>357000</v>
      </c>
      <c r="F33" s="35">
        <f>_xlfn.XLOOKUP($A33,'[1]DATOS PBI Artículos'!A:A,'[1]DATOS PBI Artículos'!AP:AP)</f>
        <v>3.7777777777699999</v>
      </c>
      <c r="G33" s="34">
        <f>_xlfn.XLOOKUP($A33,'[1]DATOS PBI Artículos'!A:A,'[1]DATOS PBI Artículos'!AR:AR)</f>
        <v>20400</v>
      </c>
      <c r="H33" s="34">
        <f>_xlfn.XLOOKUP($A33,'[1]DATOS PBI Artículos'!A:A,'[1]DATOS PBI Artículos'!AT:AT)</f>
        <v>13283.15117971477</v>
      </c>
      <c r="I33" s="34">
        <f>_xlfn.XLOOKUP($A33,'[1]DATOS PBI Artículos'!A:A,'[1]DATOS PBI Artículos'!AS:AS)</f>
        <v>10200</v>
      </c>
      <c r="J33" s="35">
        <f>IF(COUNTIF([1]CRITERIOS!$F$179:$F$199,$A33)&gt;=1,
 IF(O33&lt;&gt;"",
    (O33/_xlfn.XLOOKUP(CONCATENATE(A33,L33),[1]MÁQUINAS!A:A,[1]MÁQUINAS!D:D))/24,
    (N33/_xlfn.XLOOKUP(CONCATENATE(A33,L33),[1]MÁQUINAS!A:A,[1]MÁQUINAS!D:D))/24),
  _xlfn.XLOOKUP($A33,'[1]DATOS PBI Artículos'!A:A,'[1]DATOS PBI Artículos'!AU:AU))</f>
        <v>15</v>
      </c>
      <c r="K33" s="36">
        <f>_xlfn.XLOOKUP($A33,'[1]DATOS PBI Artículos'!A:A,'[1]DATOS PBI Artículos'!AV:AV)</f>
        <v>2.354878881270658</v>
      </c>
      <c r="L33" s="33">
        <f>_xlfn.XLOOKUP(A33,[1]MÁQUINAS!B:B,[1]MÁQUINAS!C:C)</f>
        <v>142</v>
      </c>
      <c r="M33" s="34">
        <f t="array" ref="M33">_xlfn.XLOOKUP(A33,'[1]DATOS PBI Artículos'!A:A,'[1]DATOS PBI Artículos'!AX:$AX)</f>
        <v>56690.348940790711</v>
      </c>
      <c r="N33" s="37">
        <f>IF(I33="DV",
E33,
IF(COUNTIF([1]CRITERIOS!$I$179:$I$199,$A33)&gt;=1,
_xlfn.XLOOKUP($A33,[1]CRITERIOS!$I$179:$I$199,[1]CRITERIOS!$J$179:$J$199),
IF(COUNTIF([1]CRITERIOS!$L$179:$L$199,$A33)&gt;=1,
_xlfn.CEILING.MATH(IF($M33&gt;$E33,
$E33,
IF($M33&lt;$E33/ROUNDDOWN([1]CRITERIOS!$M$16/_xlfn.XLOOKUP($C33,[1]CRITERIOS!$K$25:$K$42,[1]CRITERIOS!$M$25:$M$42),
1),
E33/ROUNDDOWN([1]CRITERIOS!$M$16/_xlfn.XLOOKUP($C33,[1]CRITERIOS!$K$25:$K$42,[1]CRITERIOS!$M$25:$M$42),
1),
$M33)),
_xlfn.XLOOKUP($A33,[1]CRITERIOS!$L$179:$L$200,[1]CRITERIOS!$M$179:$M$200)),
_xlfn.CEILING.MATH(IF($M33&gt;$E33,
$E33,
IF($M33&lt;$E33/ROUNDDOWN([1]CRITERIOS!$M$16/_xlfn.XLOOKUP($C33,[1]CRITERIOS!$K$25:$K$42,[1]CRITERIOS!$M$25:$M$42),
1),
E33/ROUNDDOWN([1]CRITERIOS!$M$16/_xlfn.XLOOKUP($C33,[1]CRITERIOS!$K$25:$K$42,[1]CRITERIOS!$M$25:$M$42),
1),
$M33)),_xlfn.XLOOKUP(A33,'[1]DATOS PBI Artículos'!A:A,'[1]DATOS PBI Artículos'!Z:Z
)))))</f>
        <v>96900</v>
      </c>
      <c r="Q33" s="38">
        <f>IF(AND(O33="",N33=0),
0,
   IF(COUNTIF([1]CRITERIOS!$F$179:$F$199,$A33)&gt;=1,
   1,
   IF(R33="MTO",
      $D33,
      ROUNDUP(
                    IF(($E33-SUMIF('[1]DATOS PBI Artículos'!A:A,A33,'[1]DATOS PBI Artículos'!X:X)+($V33-_xlfn.XLOOKUP(A33,'[1]DATOS PBI Artículos'!A:A,'[1]DATOS PBI Artículos'!W:W)))&lt;0,
                    0,
                    IF(($E33-SUMIF('[1]DATOS PBI Artículos'!A:A,A33,'[1]DATOS PBI Artículos'!X:X)+$V33-_xlfn.XLOOKUP($A33,'[1]DATOS PBI Artículos'!A:A,'[1]DATOS PBI Artículos'!W:W))/IF($O33="",$N33,$O33)&gt;ROUNDUP([1]CRITERIOS!$M$16/(IF(COUNTIF([1]CRITERIOS!$BG$11:$BG$201,L33)&gt;=1,_xlfn.XLOOKUP($C33,[1]CRITERIOS!$K$25:$K$42,[1]CRITERIOS!$M$25:$M$42),_xlfn.XLOOKUP($C33,[1]CRITERIOS!$K$25:$K$42,[1]CRITERIOS!$M$25:$M$42))),0),
                    ROUNDUP([1]CRITERIOS!$M$16/(IF(COUNTIF([1]CRITERIOS!$BG$11:$BG$201,$L33)&gt;=1,_xlfn.XLOOKUP($C33,[1]CRITERIOS!$K$25:$K$42,[1]CRITERIOS!$M$25:$M$42),_xlfn.XLOOKUP($C33,[1]CRITERIOS!$K$25:$K$42,[1]CRITERIOS!$M$25:$M$42))),0),
                    (E33+V33-SUMIF('[1]DATOS PBI Artículos'!A:A,A33,'[1]DATOS PBI Artículos'!X:X)-_xlfn.XLOOKUP(A33,'[1]DATOS PBI Artículos'!A:A,'[1]DATOS PBI Artículos'!W:W))/IF($O33="",$N33,$O33))),0))))</f>
        <v>4</v>
      </c>
      <c r="R33" s="33" t="str">
        <f>IF(U33&lt;&gt;"",U33,IF(F33="DV","MTO",IF(N33=0,"MTO",_xlfn.XLOOKUP(CONCATENATE(S33,T33),[1]CRITERIOS!$K$160:$K$168,[1]CRITERIOS!$N$160:$N$168))))</f>
        <v>MTS</v>
      </c>
      <c r="S33" s="33" t="str">
        <f>IF(G33="DV","MTO",IF(N33=0,"MTO",IF(OR(AND(N33=0,O33=""),IF(O33="",G33/N33,G33/O33)&gt;[1]CRITERIOS!$G$163),"MTO",IF(IF(O33="",G33/N33,G33/O33)&lt;[1]CRITERIOS!$H$161,"MTS","MTOS"))))</f>
        <v>MTS</v>
      </c>
      <c r="T33" s="33" t="str">
        <f>IF(F33="DV","MTO",IF(OR(AND($N33=0,O33=""),$F33/$J33&gt;[1]CRITERIOS!$G$170,$F33="DV"),"MTO",IF($F33/$J33&lt;[1]CRITERIOS!$H$168,"MTS","MTOS")))</f>
        <v>MTS</v>
      </c>
      <c r="V33" s="34">
        <f t="shared" si="4"/>
        <v>101410.31221230268</v>
      </c>
      <c r="X33" s="34">
        <f t="shared" si="1"/>
        <v>198310.3122123027</v>
      </c>
      <c r="Y33" s="34">
        <f t="shared" si="2"/>
        <v>68860.312212135919</v>
      </c>
      <c r="Z33" s="34">
        <f>IF($R33="MTO",
0,
($H33+$K33*($E33/[1]CRITERIOS!$M$16))/[1]CRITERIOS!$X$48)</f>
        <v>20410.312212135919</v>
      </c>
      <c r="AA33" s="34" t="e">
        <f>ROUNDUP(($Y33/_xlfn.XLOOKUP($A33,'[1]DATOS PBI Artículos'!$A$4:$A$4,'[1]DATOS PBI Artículos'!$Z$4:$Z$4))/_xlfn.XLOOKUP(_xlfn.XLOOKUP($A33,'[1]DATOS PBI Artículos'!$A$4:$A$4,'[1]DATOS PBI Artículos'!$Y$4:$Y$4),[1]CRITERIOS!$P$79:$P$123,[1]CRITERIOS!$S$79:$S$123,),0)</f>
        <v>#N/A</v>
      </c>
      <c r="AB33" s="33" t="e">
        <f t="array" ref="AB33">IF((E33+V33-_xlfn.XLOOKUP(A33,'[1]DATOS PBI Artículos'!$A$4:$A$4,'[1]DATOS PBI Artículos'!$W$4:$W$4))/N33&gt;ROUNDUP([1]CRITERIOS!$M$16/(IF(COUNTIF([1]CRITERIOS!$BG$11:$BG$201,L33)&gt;=1,_xlfn.XLOOKUP(ARTÍCULOS!L33,[1]CRITERIOS!$BG$11:$BG$201,[1]CRITERIOS!$BJ$11:$BJ$201),_xlfn.XLOOKUP(ARTÍCULOS!C33,[1]CRITERIOS!$K$25:$K$42,[1]CRITERIOS!$M$25:$M$42))),0),ROUNDUP([1]CRITERIOS!$M$16/(IF(COUNTIF([1]CRITERIOS!$BG$11:$BG$201,L33)&gt;=1,_xlfn.XLOOKUP(ARTÍCULOS!L33,[1]CRITERIOS!$BG$11:$BG$201:#REF!,[1]CRITERIOS!$BJ$11:$BJ$201),_xlfn.XLOOKUP(ARTÍCULOS!C33,[1]CRITERIOS!$K$25:$K$42,[1]CRITERIOS!$M$25:$M$42))),0),(E33+V33-_xlfn.XLOOKUP(A33,'[1]DATOS PBI Artículos'!$A$4:$A$4,'[1]DATOS PBI Artículos'!$W$4:$W$4))/N33)</f>
        <v>#N/A</v>
      </c>
      <c r="AC33" s="33" t="e">
        <f>IF(N33=0,"",(ROUNDUP((N33/2)/(_xlfn.XLOOKUP(A33,'[1]DATOS PBI Artículos'!$A$4:$A$4,'[1]DATOS PBI Artículos'!$Z$4:$Z$4)*_xlfn.XLOOKUP(_xlfn.XLOOKUP(A33,'[1]DATOS PBI Artículos'!$A$4:$A$4,'[1]DATOS PBI Artículos'!$Y$4:$Y$4),[1]CRITERIOS!$P$79:$P$123,[1]CRITERIOS!$S$79:$S$123)),0)*[1]CRITERIOS!$M$80*([1]CRITERIOS!$M$110/[1]CRITERIOS!$M$86)+(_xlfn.XLOOKUP(A33,'[1]DATOS PBI Artículos'!$A$4:$A$4,'[1]DATOS PBI Artículos'!$AA$4:$AA$4)*([1]CRITERIOS!$M$95+[1]CRITERIOS!$M$98)))/N33)</f>
        <v>#N/A</v>
      </c>
      <c r="AD33" s="33" t="e">
        <f>IF(N33=0,"",(ROUNDUP((N33/2)/(_xlfn.XLOOKUP(A33,'[1]DATOS PBI Artículos'!$A$4:$A$4,'[1]DATOS PBI Artículos'!$Z$4:$Z$4)*_xlfn.XLOOKUP(_xlfn.XLOOKUP(A33,'[1]DATOS PBI Artículos'!$A$4:$A$4,'[1]DATOS PBI Artículos'!$Y$4:$Y$4),[1]CRITERIOS!$P$79:$P$123,[1]CRITERIOS!$S$79:$S$123)),0)*[1]CRITERIOS!$M$80*([1]CRITERIOS!$M$89*[1]CRITERIOS!$M$92)+((_xlfn.XLOOKUP(A33,'[1]DATOS PBI Artículos'!$A$4:$A$4,'[1]DATOS PBI Artículos'!$AA$4:$AA$4)/2)*([1]CRITERIOS!$M$95+[1]CRITERIOS!$M$98)))/N33)</f>
        <v>#N/A</v>
      </c>
      <c r="AE33" s="39">
        <f>IF($R33="MTO","",
IF($H33=0,ROUNDUP(((_xlfn.XLOOKUP($A33,'[1]DATOS PBI Artículos'!$A:$A,'[1]DATOS PBI Artículos'!$AL:$AL))/(_xlfn.XLOOKUP($AF$1,[1]CRITERIOS!$S$16:$S$39,[1]CRITERIOS!$Y$16:$Y$39))*$J33+$Z33)/$G33,0)*$G33,
((_xlfn.XLOOKUP($A33,'[1]DATOS PBI Artículos'!$A:$A,'[1]DATOS PBI Artículos'!$AL:$AL))/(_xlfn.XLOOKUP($AF$1,[1]CRITERIOS!$S$16:$S$39,[1]CRITERIOS!$Y$16:$Y$39))*$J33+$Z33)))</f>
        <v>111247.16235944844</v>
      </c>
      <c r="AG33" s="39">
        <f>IF($R33="MTO","",
IF($H33=0,ROUNDUP(((_xlfn.XLOOKUP($A33,'[1]DATOS PBI Artículos'!$A:$A,'[1]DATOS PBI Artículos'!$AM:$AM))/(_xlfn.XLOOKUP($AH$1,[1]CRITERIOS!$S$16:$S$39,[1]CRITERIOS!$Y$16:$Y$39))*$J33+$Z33)/$G33,0)*$G33,
((_xlfn.XLOOKUP($A33,'[1]DATOS PBI Artículos'!$A:$A,'[1]DATOS PBI Artículos'!$AM:$AM))/(_xlfn.XLOOKUP($AH$1,[1]CRITERIOS!$S$16:$S$39,[1]CRITERIOS!$Y$16:$Y$39))*$J33+$Z33)))</f>
        <v>85660.191744347889</v>
      </c>
      <c r="AI33" s="39">
        <f>IF($R33="MTO","",
IF($H33=0,ROUNDUP(((_xlfn.XLOOKUP($A33,'[1]DATOS PBI Artículos'!$A:$A,'[1]DATOS PBI Artículos'!$AN:$AN))/(_xlfn.XLOOKUP($AJ$1,[1]CRITERIOS!$S$16:$S$39,[1]CRITERIOS!$Y$16:$Y$39))*$J33+$Z33)/$G33,0)*$G33,
((_xlfn.XLOOKUP($A33,'[1]DATOS PBI Artículos'!$A:$A,'[1]DATOS PBI Artículos'!$AN:$AN))/(_xlfn.XLOOKUP($AJ$1,[1]CRITERIOS!$S$16:$S$39,[1]CRITERIOS!$Y$16:$Y$39))*$J33+$Z33)))</f>
        <v>98563.302263329664</v>
      </c>
      <c r="AK33" s="39">
        <f>IF($R33="MTO","",
IF($H33=0,ROUNDUP(((_xlfn.XLOOKUP($A33,'[1]DATOS PBI Artículos'!$A:$A,'[1]DATOS PBI Artículos'!$AO:$AO))/(_xlfn.XLOOKUP($AL$1,[1]CRITERIOS!$S$16:$S$39,[1]CRITERIOS!$Y$16:$Y$39))*$J33+$Z33)/$G33,0)*$G33,
((_xlfn.XLOOKUP($A33,'[1]DATOS PBI Artículos'!$A:$A,'[1]DATOS PBI Artículos'!$AO:$AO))/(_xlfn.XLOOKUP($AL$1,[1]CRITERIOS!$S$16:$S$39,[1]CRITERIOS!$Y$16:$Y$39))*$J33+$Z33)))</f>
        <v>105526.71700382342</v>
      </c>
    </row>
    <row r="34" spans="1:37" ht="25.8" x14ac:dyDescent="0.5">
      <c r="A34" s="32">
        <v>403076</v>
      </c>
      <c r="B34" s="33">
        <f>_xlfn.XLOOKUP($A34,'[1]DATOS PBI Artículos'!A:A,'[1]DATOS PBI Artículos'!B:B)</f>
        <v>0</v>
      </c>
      <c r="C34" s="33" t="str">
        <f>_xlfn.XLOOKUP($A34,'[1]DATOS PBI Artículos'!A:A,'[1]DATOS PBI Artículos'!C:C)</f>
        <v>UA02</v>
      </c>
      <c r="D34" s="33">
        <f>_xlfn.XLOOKUP(A34,'[1]DATOS PBI Artículos'!A:A,'[1]DATOS PBI Artículos'!T:T)</f>
        <v>4</v>
      </c>
      <c r="E34" s="34">
        <f>IF(_xlfn.XLOOKUP($A34,'[1]DATOS PBI Artículos'!A:A,'[1]DATOS PBI Artículos'!AK:AK)="",_xlfn.XLOOKUP($A34,'[1]DATOS PBI Artículos'!A:A,'[1]DATOS PBI Artículos'!AJ:AJ),_xlfn.XLOOKUP($A34,'[1]DATOS PBI Artículos'!A:A,'[1]DATOS PBI Artículos'!AK:AK))</f>
        <v>350000</v>
      </c>
      <c r="F34" s="35">
        <f>_xlfn.XLOOKUP($A34,'[1]DATOS PBI Artículos'!A:A,'[1]DATOS PBI Artículos'!AP:AP)</f>
        <v>4.5333333333299999</v>
      </c>
      <c r="G34" s="34">
        <f>_xlfn.XLOOKUP($A34,'[1]DATOS PBI Artículos'!A:A,'[1]DATOS PBI Artículos'!AR:AR)</f>
        <v>20000</v>
      </c>
      <c r="H34" s="34">
        <f>_xlfn.XLOOKUP($A34,'[1]DATOS PBI Artículos'!A:A,'[1]DATOS PBI Artículos'!AT:AT)</f>
        <v>0</v>
      </c>
      <c r="I34" s="34">
        <f>_xlfn.XLOOKUP($A34,'[1]DATOS PBI Artículos'!A:A,'[1]DATOS PBI Artículos'!AS:AS)</f>
        <v>20000</v>
      </c>
      <c r="J34" s="35">
        <f>IF(COUNTIF([1]CRITERIOS!$F$179:$F$199,$A34)&gt;=1,
 IF(O34&lt;&gt;"",
    (O34/_xlfn.XLOOKUP(CONCATENATE(A34,L34),[1]MÁQUINAS!A:A,[1]MÁQUINAS!D:D))/24,
    (N34/_xlfn.XLOOKUP(CONCATENATE(A34,L34),[1]MÁQUINAS!A:A,[1]MÁQUINAS!D:D))/24),
  _xlfn.XLOOKUP($A34,'[1]DATOS PBI Artículos'!A:A,'[1]DATOS PBI Artículos'!AU:AU))</f>
        <v>20.166666666666664</v>
      </c>
      <c r="K34" s="36">
        <f>_xlfn.XLOOKUP($A34,'[1]DATOS PBI Artículos'!A:A,'[1]DATOS PBI Artículos'!AV:AV)</f>
        <v>7.7174363314128982</v>
      </c>
      <c r="L34" s="33">
        <f>_xlfn.XLOOKUP(A34,[1]MÁQUINAS!B:B,[1]MÁQUINAS!C:C)</f>
        <v>211</v>
      </c>
      <c r="M34" s="34">
        <f t="array" ref="M34">_xlfn.XLOOKUP(A34,'[1]DATOS PBI Artículos'!A:A,'[1]DATOS PBI Artículos'!AX:$AX)</f>
        <v>125750.95420585299</v>
      </c>
      <c r="N34" s="37">
        <f>IF(I34="DV",
E34,
IF(COUNTIF([1]CRITERIOS!$I$179:$I$199,$A34)&gt;=1,
_xlfn.XLOOKUP($A34,[1]CRITERIOS!$I$179:$I$199,[1]CRITERIOS!$J$179:$J$199),
IF(COUNTIF([1]CRITERIOS!$L$179:$L$199,$A34)&gt;=1,
_xlfn.CEILING.MATH(IF($M34&gt;$E34,
$E34,
IF($M34&lt;$E34/ROUNDDOWN([1]CRITERIOS!$M$16/_xlfn.XLOOKUP($C34,[1]CRITERIOS!$K$25:$K$42,[1]CRITERIOS!$M$25:$M$42),
1),
E34/ROUNDDOWN([1]CRITERIOS!$M$16/_xlfn.XLOOKUP($C34,[1]CRITERIOS!$K$25:$K$42,[1]CRITERIOS!$M$25:$M$42),
1),
$M34)),
_xlfn.XLOOKUP($A34,[1]CRITERIOS!$L$179:$L$200,[1]CRITERIOS!$M$179:$M$200)),
_xlfn.CEILING.MATH(IF($M34&gt;$E34,
$E34,
IF($M34&lt;$E34/ROUNDDOWN([1]CRITERIOS!$M$16/_xlfn.XLOOKUP($C34,[1]CRITERIOS!$K$25:$K$42,[1]CRITERIOS!$M$25:$M$42),
1),
E34/ROUNDDOWN([1]CRITERIOS!$M$16/_xlfn.XLOOKUP($C34,[1]CRITERIOS!$K$25:$K$42,[1]CRITERIOS!$M$25:$M$42),
1),
$M34)),_xlfn.XLOOKUP(A34,'[1]DATOS PBI Artículos'!A:A,'[1]DATOS PBI Artículos'!Z:Z
)))))</f>
        <v>140000</v>
      </c>
      <c r="Q34" s="38">
        <f>IF(AND(O34="",N34=0),
0,
   IF(COUNTIF([1]CRITERIOS!$F$179:$F$199,$A34)&gt;=1,
   1,
   IF(R34="MTO",
      $D34,
      ROUNDUP(
                    IF(($E34-SUMIF('[1]DATOS PBI Artículos'!A:A,A34,'[1]DATOS PBI Artículos'!X:X)+($V34-_xlfn.XLOOKUP(A34,'[1]DATOS PBI Artículos'!A:A,'[1]DATOS PBI Artículos'!W:W)))&lt;0,
                    0,
                    IF(($E34-SUMIF('[1]DATOS PBI Artículos'!A:A,A34,'[1]DATOS PBI Artículos'!X:X)+$V34-_xlfn.XLOOKUP($A34,'[1]DATOS PBI Artículos'!A:A,'[1]DATOS PBI Artículos'!W:W))/IF($O34="",$N34,$O34)&gt;ROUNDUP([1]CRITERIOS!$M$16/(IF(COUNTIF([1]CRITERIOS!$BG$11:$BG$201,L34)&gt;=1,_xlfn.XLOOKUP($C34,[1]CRITERIOS!$K$25:$K$42,[1]CRITERIOS!$M$25:$M$42),_xlfn.XLOOKUP($C34,[1]CRITERIOS!$K$25:$K$42,[1]CRITERIOS!$M$25:$M$42))),0),
                    ROUNDUP([1]CRITERIOS!$M$16/(IF(COUNTIF([1]CRITERIOS!$BG$11:$BG$201,$L34)&gt;=1,_xlfn.XLOOKUP($C34,[1]CRITERIOS!$K$25:$K$42,[1]CRITERIOS!$M$25:$M$42),_xlfn.XLOOKUP($C34,[1]CRITERIOS!$K$25:$K$42,[1]CRITERIOS!$M$25:$M$42))),0),
                    (E34+V34-SUMIF('[1]DATOS PBI Artículos'!A:A,A34,'[1]DATOS PBI Artículos'!X:X)-_xlfn.XLOOKUP(A34,'[1]DATOS PBI Artículos'!A:A,'[1]DATOS PBI Artículos'!W:W))/IF($O34="",$N34,$O34))),0))))</f>
        <v>2</v>
      </c>
      <c r="R34" s="33" t="str">
        <f>IF(U34&lt;&gt;"",U34,IF(F34="DV","MTO",IF(N34=0,"MTO",_xlfn.XLOOKUP(CONCATENATE(S34,T34),[1]CRITERIOS!$K$160:$K$168,[1]CRITERIOS!$N$160:$N$168))))</f>
        <v>MTS</v>
      </c>
      <c r="S34" s="33" t="str">
        <f>IF(G34="DV","MTO",IF(N34=0,"MTO",IF(OR(AND(N34=0,O34=""),IF(O34="",G34/N34,G34/O34)&gt;[1]CRITERIOS!$G$163),"MTO",IF(IF(O34="",G34/N34,G34/O34)&lt;[1]CRITERIOS!$H$161,"MTS","MTOS"))))</f>
        <v>MTS</v>
      </c>
      <c r="T34" s="33" t="str">
        <f>IF(F34="DV","MTO",IF(OR(AND($N34=0,O34=""),$F34/$J34&gt;[1]CRITERIOS!$G$170,$F34="DV"),"MTO",IF($F34/$J34&lt;[1]CRITERIOS!$H$168,"MTS","MTOS")))</f>
        <v>MTS</v>
      </c>
      <c r="V34" s="34">
        <f t="shared" si="4"/>
        <v>118982.84063529859</v>
      </c>
      <c r="X34" s="34">
        <f t="shared" si="1"/>
        <v>258982.84063529858</v>
      </c>
      <c r="Y34" s="34">
        <f t="shared" si="2"/>
        <v>100012.25239993905</v>
      </c>
      <c r="Z34" s="34">
        <f>IF($R34="MTO",
0,
($H34+$K34*($E34/[1]CRITERIOS!$M$16))/[1]CRITERIOS!$X$48)</f>
        <v>30012.252399939051</v>
      </c>
      <c r="AA34" s="34" t="e">
        <f>ROUNDUP(($Y34/_xlfn.XLOOKUP($A34,'[1]DATOS PBI Artículos'!$A$4:$A$4,'[1]DATOS PBI Artículos'!$Z$4:$Z$4))/_xlfn.XLOOKUP(_xlfn.XLOOKUP($A34,'[1]DATOS PBI Artículos'!$A$4:$A$4,'[1]DATOS PBI Artículos'!$Y$4:$Y$4),[1]CRITERIOS!$P$79:$P$123,[1]CRITERIOS!$S$79:$S$123,),0)</f>
        <v>#N/A</v>
      </c>
      <c r="AB34" s="33" t="e">
        <f t="array" ref="AB34">IF((E34+V34-_xlfn.XLOOKUP(A34,'[1]DATOS PBI Artículos'!$A$4:$A$4,'[1]DATOS PBI Artículos'!$W$4:$W$4))/N34&gt;ROUNDUP([1]CRITERIOS!$M$16/(IF(COUNTIF([1]CRITERIOS!$BG$11:$BG$201,L34)&gt;=1,_xlfn.XLOOKUP(ARTÍCULOS!L34,[1]CRITERIOS!$BG$11:$BG$201,[1]CRITERIOS!$BJ$11:$BJ$201),_xlfn.XLOOKUP(ARTÍCULOS!C34,[1]CRITERIOS!$K$25:$K$42,[1]CRITERIOS!$M$25:$M$42))),0),ROUNDUP([1]CRITERIOS!$M$16/(IF(COUNTIF([1]CRITERIOS!$BG$11:$BG$201,L34)&gt;=1,_xlfn.XLOOKUP(ARTÍCULOS!L34,[1]CRITERIOS!$BG$11:$BG$201:#REF!,[1]CRITERIOS!$BJ$11:$BJ$201),_xlfn.XLOOKUP(ARTÍCULOS!C34,[1]CRITERIOS!$K$25:$K$42,[1]CRITERIOS!$M$25:$M$42))),0),(E34+V34-_xlfn.XLOOKUP(A34,'[1]DATOS PBI Artículos'!$A$4:$A$4,'[1]DATOS PBI Artículos'!$W$4:$W$4))/N34)</f>
        <v>#N/A</v>
      </c>
      <c r="AC34" s="33" t="e">
        <f>IF(N34=0,"",(ROUNDUP((N34/2)/(_xlfn.XLOOKUP(A34,'[1]DATOS PBI Artículos'!$A$4:$A$4,'[1]DATOS PBI Artículos'!$Z$4:$Z$4)*_xlfn.XLOOKUP(_xlfn.XLOOKUP(A34,'[1]DATOS PBI Artículos'!$A$4:$A$4,'[1]DATOS PBI Artículos'!$Y$4:$Y$4),[1]CRITERIOS!$P$79:$P$123,[1]CRITERIOS!$S$79:$S$123)),0)*[1]CRITERIOS!$M$80*([1]CRITERIOS!$M$110/[1]CRITERIOS!$M$86)+(_xlfn.XLOOKUP(A34,'[1]DATOS PBI Artículos'!$A$4:$A$4,'[1]DATOS PBI Artículos'!$AA$4:$AA$4)*([1]CRITERIOS!$M$95+[1]CRITERIOS!$M$98)))/N34)</f>
        <v>#N/A</v>
      </c>
      <c r="AD34" s="33" t="e">
        <f>IF(N34=0,"",(ROUNDUP((N34/2)/(_xlfn.XLOOKUP(A34,'[1]DATOS PBI Artículos'!$A$4:$A$4,'[1]DATOS PBI Artículos'!$Z$4:$Z$4)*_xlfn.XLOOKUP(_xlfn.XLOOKUP(A34,'[1]DATOS PBI Artículos'!$A$4:$A$4,'[1]DATOS PBI Artículos'!$Y$4:$Y$4),[1]CRITERIOS!$P$79:$P$123,[1]CRITERIOS!$S$79:$S$123)),0)*[1]CRITERIOS!$M$80*([1]CRITERIOS!$M$89*[1]CRITERIOS!$M$92)+((_xlfn.XLOOKUP(A34,'[1]DATOS PBI Artículos'!$A$4:$A$4,'[1]DATOS PBI Artículos'!$AA$4:$AA$4)/2)*([1]CRITERIOS!$M$95+[1]CRITERIOS!$M$98)))/N34)</f>
        <v>#N/A</v>
      </c>
      <c r="AE34" s="39">
        <f>IF($R34="MTO","",
IF($H34=0,ROUNDUP(((_xlfn.XLOOKUP($A34,'[1]DATOS PBI Artículos'!$A:$A,'[1]DATOS PBI Artículos'!$AL:$AL))/(_xlfn.XLOOKUP($AF$1,[1]CRITERIOS!$S$16:$S$39,[1]CRITERIOS!$Y$16:$Y$39))*$J34+$Z34)/$G34,0)*$G34,
((_xlfn.XLOOKUP($A34,'[1]DATOS PBI Artículos'!$A:$A,'[1]DATOS PBI Artículos'!$AL:$AL))/(_xlfn.XLOOKUP($AF$1,[1]CRITERIOS!$S$16:$S$39,[1]CRITERIOS!$Y$16:$Y$39))*$J34+$Z34)))</f>
        <v>140000</v>
      </c>
      <c r="AG34" s="39">
        <f>IF($R34="MTO","",
IF($H34=0,ROUNDUP(((_xlfn.XLOOKUP($A34,'[1]DATOS PBI Artículos'!$A:$A,'[1]DATOS PBI Artículos'!$AM:$AM))/(_xlfn.XLOOKUP($AH$1,[1]CRITERIOS!$S$16:$S$39,[1]CRITERIOS!$Y$16:$Y$39))*$J34+$Z34)/$G34,0)*$G34,
((_xlfn.XLOOKUP($A34,'[1]DATOS PBI Artículos'!$A:$A,'[1]DATOS PBI Artículos'!$AM:$AM))/(_xlfn.XLOOKUP($AH$1,[1]CRITERIOS!$S$16:$S$39,[1]CRITERIOS!$Y$16:$Y$39))*$J34+$Z34)))</f>
        <v>120000</v>
      </c>
      <c r="AI34" s="39">
        <f>IF($R34="MTO","",
IF($H34=0,ROUNDUP(((_xlfn.XLOOKUP($A34,'[1]DATOS PBI Artículos'!$A:$A,'[1]DATOS PBI Artículos'!$AN:$AN))/(_xlfn.XLOOKUP($AJ$1,[1]CRITERIOS!$S$16:$S$39,[1]CRITERIOS!$Y$16:$Y$39))*$J34+$Z34)/$G34,0)*$G34,
((_xlfn.XLOOKUP($A34,'[1]DATOS PBI Artículos'!$A:$A,'[1]DATOS PBI Artículos'!$AN:$AN))/(_xlfn.XLOOKUP($AJ$1,[1]CRITERIOS!$S$16:$S$39,[1]CRITERIOS!$Y$16:$Y$39))*$J34+$Z34)))</f>
        <v>140000</v>
      </c>
      <c r="AK34" s="39">
        <f>IF($R34="MTO","",
IF($H34=0,ROUNDUP(((_xlfn.XLOOKUP($A34,'[1]DATOS PBI Artículos'!$A:$A,'[1]DATOS PBI Artículos'!$AO:$AO))/(_xlfn.XLOOKUP($AL$1,[1]CRITERIOS!$S$16:$S$39,[1]CRITERIOS!$Y$16:$Y$39))*$J34+$Z34)/$G34,0)*$G34,
((_xlfn.XLOOKUP($A34,'[1]DATOS PBI Artículos'!$A:$A,'[1]DATOS PBI Artículos'!$AO:$AO))/(_xlfn.XLOOKUP($AL$1,[1]CRITERIOS!$S$16:$S$39,[1]CRITERIOS!$Y$16:$Y$39))*$J34+$Z34)))</f>
        <v>140000</v>
      </c>
    </row>
    <row r="35" spans="1:37" ht="25.8" x14ac:dyDescent="0.5">
      <c r="A35" s="32">
        <v>452083</v>
      </c>
      <c r="B35" s="33">
        <f>_xlfn.XLOOKUP($A35,'[1]DATOS PBI Artículos'!A:A,'[1]DATOS PBI Artículos'!B:B)</f>
        <v>0</v>
      </c>
      <c r="C35" s="33" t="str">
        <f>_xlfn.XLOOKUP($A35,'[1]DATOS PBI Artículos'!A:A,'[1]DATOS PBI Artículos'!C:C)</f>
        <v>UA02</v>
      </c>
      <c r="D35" s="33">
        <f>_xlfn.XLOOKUP(A35,'[1]DATOS PBI Artículos'!A:A,'[1]DATOS PBI Artículos'!T:T)</f>
        <v>3</v>
      </c>
      <c r="E35" s="34">
        <f>IF(_xlfn.XLOOKUP($A35,'[1]DATOS PBI Artículos'!A:A,'[1]DATOS PBI Artículos'!AK:AK)="",_xlfn.XLOOKUP($A35,'[1]DATOS PBI Artículos'!A:A,'[1]DATOS PBI Artículos'!AJ:AJ),_xlfn.XLOOKUP($A35,'[1]DATOS PBI Artículos'!A:A,'[1]DATOS PBI Artículos'!AK:AK))</f>
        <v>340000</v>
      </c>
      <c r="F35" s="35">
        <f>_xlfn.XLOOKUP($A35,'[1]DATOS PBI Artículos'!A:A,'[1]DATOS PBI Artículos'!AP:AP)</f>
        <v>26.5</v>
      </c>
      <c r="G35" s="34">
        <f>_xlfn.XLOOKUP($A35,'[1]DATOS PBI Artículos'!A:A,'[1]DATOS PBI Artículos'!AR:AR)</f>
        <v>120000</v>
      </c>
      <c r="H35" s="34">
        <f>_xlfn.XLOOKUP($A35,'[1]DATOS PBI Artículos'!A:A,'[1]DATOS PBI Artículos'!AT:AT)</f>
        <v>23094.010767585001</v>
      </c>
      <c r="I35" s="34">
        <f>_xlfn.XLOOKUP($A35,'[1]DATOS PBI Artículos'!A:A,'[1]DATOS PBI Artículos'!AS:AS)</f>
        <v>20000</v>
      </c>
      <c r="J35" s="35">
        <f>IF(COUNTIF([1]CRITERIOS!$F$179:$F$199,$A35)&gt;=1,
 IF(O35&lt;&gt;"",
    (O35/_xlfn.XLOOKUP(CONCATENATE(A35,L35),[1]MÁQUINAS!A:A,[1]MÁQUINAS!D:D))/24,
    (N35/_xlfn.XLOOKUP(CONCATENATE(A35,L35),[1]MÁQUINAS!A:A,[1]MÁQUINAS!D:D))/24),
  _xlfn.XLOOKUP($A35,'[1]DATOS PBI Artículos'!A:A,'[1]DATOS PBI Artículos'!AU:AU))</f>
        <v>19.5</v>
      </c>
      <c r="K35" s="36">
        <f>_xlfn.XLOOKUP($A35,'[1]DATOS PBI Artículos'!A:A,'[1]DATOS PBI Artículos'!AV:AV)</f>
        <v>3.1091263510296048</v>
      </c>
      <c r="L35" s="33">
        <f>_xlfn.XLOOKUP(A35,[1]MÁQUINAS!B:B,[1]MÁQUINAS!C:C)</f>
        <v>216</v>
      </c>
      <c r="M35" s="34">
        <f t="array" ref="M35">_xlfn.XLOOKUP(A35,'[1]DATOS PBI Artículos'!A:A,'[1]DATOS PBI Artículos'!AX:$AX)</f>
        <v>129496.01837933519</v>
      </c>
      <c r="N35" s="37">
        <f>IF(I35="DV",
E35,
IF(COUNTIF([1]CRITERIOS!$I$179:$I$199,$A35)&gt;=1,
_xlfn.XLOOKUP($A35,[1]CRITERIOS!$I$179:$I$199,[1]CRITERIOS!$J$179:$J$199),
IF(COUNTIF([1]CRITERIOS!$L$179:$L$199,$A35)&gt;=1,
_xlfn.CEILING.MATH(IF($M35&gt;$E35,
$E35,
IF($M35&lt;$E35/ROUNDDOWN([1]CRITERIOS!$M$16/_xlfn.XLOOKUP($C35,[1]CRITERIOS!$K$25:$K$42,[1]CRITERIOS!$M$25:$M$42),
1),
E35/ROUNDDOWN([1]CRITERIOS!$M$16/_xlfn.XLOOKUP($C35,[1]CRITERIOS!$K$25:$K$42,[1]CRITERIOS!$M$25:$M$42),
1),
$M35)),
_xlfn.XLOOKUP($A35,[1]CRITERIOS!$L$179:$L$200,[1]CRITERIOS!$M$179:$M$200)),
_xlfn.CEILING.MATH(IF($M35&gt;$E35,
$E35,
IF($M35&lt;$E35/ROUNDDOWN([1]CRITERIOS!$M$16/_xlfn.XLOOKUP($C35,[1]CRITERIOS!$K$25:$K$42,[1]CRITERIOS!$M$25:$M$42),
1),
E35/ROUNDDOWN([1]CRITERIOS!$M$16/_xlfn.XLOOKUP($C35,[1]CRITERIOS!$K$25:$K$42,[1]CRITERIOS!$M$25:$M$42),
1),
$M35)),_xlfn.XLOOKUP(A35,'[1]DATOS PBI Artículos'!A:A,'[1]DATOS PBI Artículos'!Z:Z
)))))</f>
        <v>140000</v>
      </c>
      <c r="Q35" s="38">
        <f>IF(AND(O35="",N35=0),
0,
   IF(COUNTIF([1]CRITERIOS!$F$179:$F$199,$A35)&gt;=1,
   1,
   IF(R35="MTO",
      $D35,
      ROUNDUP(
                    IF(($E35-SUMIF('[1]DATOS PBI Artículos'!A:A,A35,'[1]DATOS PBI Artículos'!X:X)+($V35-_xlfn.XLOOKUP(A35,'[1]DATOS PBI Artículos'!A:A,'[1]DATOS PBI Artículos'!W:W)))&lt;0,
                    0,
                    IF(($E35-SUMIF('[1]DATOS PBI Artículos'!A:A,A35,'[1]DATOS PBI Artículos'!X:X)+$V35-_xlfn.XLOOKUP($A35,'[1]DATOS PBI Artículos'!A:A,'[1]DATOS PBI Artículos'!W:W))/IF($O35="",$N35,$O35)&gt;ROUNDUP([1]CRITERIOS!$M$16/(IF(COUNTIF([1]CRITERIOS!$BG$11:$BG$201,L35)&gt;=1,_xlfn.XLOOKUP($C35,[1]CRITERIOS!$K$25:$K$42,[1]CRITERIOS!$M$25:$M$42),_xlfn.XLOOKUP($C35,[1]CRITERIOS!$K$25:$K$42,[1]CRITERIOS!$M$25:$M$42))),0),
                    ROUNDUP([1]CRITERIOS!$M$16/(IF(COUNTIF([1]CRITERIOS!$BG$11:$BG$201,$L35)&gt;=1,_xlfn.XLOOKUP($C35,[1]CRITERIOS!$K$25:$K$42,[1]CRITERIOS!$M$25:$M$42),_xlfn.XLOOKUP($C35,[1]CRITERIOS!$K$25:$K$42,[1]CRITERIOS!$M$25:$M$42))),0),
                    (E35+V35-SUMIF('[1]DATOS PBI Artículos'!A:A,A35,'[1]DATOS PBI Artículos'!X:X)-_xlfn.XLOOKUP(A35,'[1]DATOS PBI Artículos'!A:A,'[1]DATOS PBI Artículos'!W:W))/IF($O35="",$N35,$O35))),0))))</f>
        <v>3</v>
      </c>
      <c r="R35" s="33" t="str">
        <f>IF(U35&lt;&gt;"",U35,IF(F35="DV","MTO",IF(N35=0,"MTO",_xlfn.XLOOKUP(CONCATENATE(S35,T35),[1]CRITERIOS!$K$160:$K$168,[1]CRITERIOS!$N$160:$N$168))))</f>
        <v>MTO</v>
      </c>
      <c r="S35" s="33" t="str">
        <f>IF(G35="DV","MTO",IF(N35=0,"MTO",IF(OR(AND(N35=0,O35=""),IF(O35="",G35/N35,G35/O35)&gt;[1]CRITERIOS!$G$163),"MTO",IF(IF(O35="",G35/N35,G35/O35)&lt;[1]CRITERIOS!$H$161,"MTS","MTOS"))))</f>
        <v>MTO</v>
      </c>
      <c r="T35" s="33" t="str">
        <f>IF(F35="DV","MTO",IF(OR(AND($N35=0,O35=""),$F35/$J35&gt;[1]CRITERIOS!$G$170,$F35="DV"),"MTO",IF($F35/$J35&lt;[1]CRITERIOS!$H$168,"MTS","MTOS")))</f>
        <v>MTO</v>
      </c>
      <c r="V35" s="34" t="str">
        <f t="shared" si="4"/>
        <v/>
      </c>
      <c r="X35" s="34">
        <f t="shared" si="1"/>
        <v>0</v>
      </c>
      <c r="Y35" s="34">
        <f t="shared" si="2"/>
        <v>0</v>
      </c>
      <c r="Z35" s="34">
        <f>IF($R35="MTO",
0,
($H35+$K35*($E35/[1]CRITERIOS!$M$16))/[1]CRITERIOS!$X$48)</f>
        <v>0</v>
      </c>
      <c r="AA35" s="34" t="e">
        <f>ROUNDUP(($Y35/_xlfn.XLOOKUP($A35,'[1]DATOS PBI Artículos'!$A$4:$A$4,'[1]DATOS PBI Artículos'!$Z$4:$Z$4))/_xlfn.XLOOKUP(_xlfn.XLOOKUP($A35,'[1]DATOS PBI Artículos'!$A$4:$A$4,'[1]DATOS PBI Artículos'!$Y$4:$Y$4),[1]CRITERIOS!$P$79:$P$123,[1]CRITERIOS!$S$79:$S$123,),0)</f>
        <v>#N/A</v>
      </c>
      <c r="AB35" s="33" t="e">
        <f t="array" ref="AB35">IF((E35+V35-_xlfn.XLOOKUP(A35,'[1]DATOS PBI Artículos'!$A$4:$A$4,'[1]DATOS PBI Artículos'!$W$4:$W$4))/N35&gt;ROUNDUP([1]CRITERIOS!$M$16/(IF(COUNTIF([1]CRITERIOS!$BG$11:$BG$201,L35)&gt;=1,_xlfn.XLOOKUP(ARTÍCULOS!L35,[1]CRITERIOS!$BG$11:$BG$201,[1]CRITERIOS!$BJ$11:$BJ$201),_xlfn.XLOOKUP(ARTÍCULOS!C35,[1]CRITERIOS!$K$25:$K$42,[1]CRITERIOS!$M$25:$M$42))),0),ROUNDUP([1]CRITERIOS!$M$16/(IF(COUNTIF([1]CRITERIOS!$BG$11:$BG$201,L35)&gt;=1,_xlfn.XLOOKUP(ARTÍCULOS!L35,[1]CRITERIOS!$BG$11:$BG$201:#REF!,[1]CRITERIOS!$BJ$11:$BJ$201),_xlfn.XLOOKUP(ARTÍCULOS!C35,[1]CRITERIOS!$K$25:$K$42,[1]CRITERIOS!$M$25:$M$42))),0),(E35+V35-_xlfn.XLOOKUP(A35,'[1]DATOS PBI Artículos'!$A$4:$A$4,'[1]DATOS PBI Artículos'!$W$4:$W$4))/N35)</f>
        <v>#VALUE!</v>
      </c>
      <c r="AC35" s="33" t="e">
        <f>IF(N35=0,"",(ROUNDUP((N35/2)/(_xlfn.XLOOKUP(A35,'[1]DATOS PBI Artículos'!$A$4:$A$4,'[1]DATOS PBI Artículos'!$Z$4:$Z$4)*_xlfn.XLOOKUP(_xlfn.XLOOKUP(A35,'[1]DATOS PBI Artículos'!$A$4:$A$4,'[1]DATOS PBI Artículos'!$Y$4:$Y$4),[1]CRITERIOS!$P$79:$P$123,[1]CRITERIOS!$S$79:$S$123)),0)*[1]CRITERIOS!$M$80*([1]CRITERIOS!$M$110/[1]CRITERIOS!$M$86)+(_xlfn.XLOOKUP(A35,'[1]DATOS PBI Artículos'!$A$4:$A$4,'[1]DATOS PBI Artículos'!$AA$4:$AA$4)*([1]CRITERIOS!$M$95+[1]CRITERIOS!$M$98)))/N35)</f>
        <v>#N/A</v>
      </c>
      <c r="AD35" s="33" t="e">
        <f>IF(N35=0,"",(ROUNDUP((N35/2)/(_xlfn.XLOOKUP(A35,'[1]DATOS PBI Artículos'!$A$4:$A$4,'[1]DATOS PBI Artículos'!$Z$4:$Z$4)*_xlfn.XLOOKUP(_xlfn.XLOOKUP(A35,'[1]DATOS PBI Artículos'!$A$4:$A$4,'[1]DATOS PBI Artículos'!$Y$4:$Y$4),[1]CRITERIOS!$P$79:$P$123,[1]CRITERIOS!$S$79:$S$123)),0)*[1]CRITERIOS!$M$80*([1]CRITERIOS!$M$89*[1]CRITERIOS!$M$92)+((_xlfn.XLOOKUP(A35,'[1]DATOS PBI Artículos'!$A$4:$A$4,'[1]DATOS PBI Artículos'!$AA$4:$AA$4)/2)*([1]CRITERIOS!$M$95+[1]CRITERIOS!$M$98)))/N35)</f>
        <v>#N/A</v>
      </c>
      <c r="AE35" s="39" t="str">
        <f>IF($R35="MTO","",
IF($H35=0,ROUNDUP(((_xlfn.XLOOKUP($A35,'[1]DATOS PBI Artículos'!$A:$A,'[1]DATOS PBI Artículos'!$AL:$AL))/(_xlfn.XLOOKUP($AF$1,[1]CRITERIOS!$S$16:$S$39,[1]CRITERIOS!$Y$16:$Y$39))*$J35+$Z35)/$G35,0)*$G35,
((_xlfn.XLOOKUP($A35,'[1]DATOS PBI Artículos'!$A:$A,'[1]DATOS PBI Artículos'!$AL:$AL))/(_xlfn.XLOOKUP($AF$1,[1]CRITERIOS!$S$16:$S$39,[1]CRITERIOS!$Y$16:$Y$39))*$J35+$Z35)))</f>
        <v/>
      </c>
      <c r="AG35" s="39" t="str">
        <f>IF($R35="MTO","",
IF($H35=0,ROUNDUP(((_xlfn.XLOOKUP($A35,'[1]DATOS PBI Artículos'!$A:$A,'[1]DATOS PBI Artículos'!$AM:$AM))/(_xlfn.XLOOKUP($AH$1,[1]CRITERIOS!$S$16:$S$39,[1]CRITERIOS!$Y$16:$Y$39))*$J35+$Z35)/$G35,0)*$G35,
((_xlfn.XLOOKUP($A35,'[1]DATOS PBI Artículos'!$A:$A,'[1]DATOS PBI Artículos'!$AM:$AM))/(_xlfn.XLOOKUP($AH$1,[1]CRITERIOS!$S$16:$S$39,[1]CRITERIOS!$Y$16:$Y$39))*$J35+$Z35)))</f>
        <v/>
      </c>
      <c r="AI35" s="39" t="str">
        <f>IF($R35="MTO","",
IF($H35=0,ROUNDUP(((_xlfn.XLOOKUP($A35,'[1]DATOS PBI Artículos'!$A:$A,'[1]DATOS PBI Artículos'!$AN:$AN))/(_xlfn.XLOOKUP($AJ$1,[1]CRITERIOS!$S$16:$S$39,[1]CRITERIOS!$Y$16:$Y$39))*$J35+$Z35)/$G35,0)*$G35,
((_xlfn.XLOOKUP($A35,'[1]DATOS PBI Artículos'!$A:$A,'[1]DATOS PBI Artículos'!$AN:$AN))/(_xlfn.XLOOKUP($AJ$1,[1]CRITERIOS!$S$16:$S$39,[1]CRITERIOS!$Y$16:$Y$39))*$J35+$Z35)))</f>
        <v/>
      </c>
      <c r="AK35" s="39" t="str">
        <f>IF($R35="MTO","",
IF($H35=0,ROUNDUP(((_xlfn.XLOOKUP($A35,'[1]DATOS PBI Artículos'!$A:$A,'[1]DATOS PBI Artículos'!$AO:$AO))/(_xlfn.XLOOKUP($AL$1,[1]CRITERIOS!$S$16:$S$39,[1]CRITERIOS!$Y$16:$Y$39))*$J35+$Z35)/$G35,0)*$G35,
((_xlfn.XLOOKUP($A35,'[1]DATOS PBI Artículos'!$A:$A,'[1]DATOS PBI Artículos'!$AO:$AO))/(_xlfn.XLOOKUP($AL$1,[1]CRITERIOS!$S$16:$S$39,[1]CRITERIOS!$Y$16:$Y$39))*$J35+$Z35)))</f>
        <v/>
      </c>
    </row>
    <row r="36" spans="1:37" ht="25.8" x14ac:dyDescent="0.5">
      <c r="A36" s="32">
        <v>422007</v>
      </c>
      <c r="B36" s="33">
        <f>_xlfn.XLOOKUP($A36,'[1]DATOS PBI Artículos'!A:A,'[1]DATOS PBI Artículos'!B:B)</f>
        <v>0</v>
      </c>
      <c r="C36" s="33" t="str">
        <f>_xlfn.XLOOKUP($A36,'[1]DATOS PBI Artículos'!A:A,'[1]DATOS PBI Artículos'!C:C)</f>
        <v>UA01</v>
      </c>
      <c r="D36" s="33">
        <f>_xlfn.XLOOKUP(A36,'[1]DATOS PBI Artículos'!A:A,'[1]DATOS PBI Artículos'!T:T)</f>
        <v>6</v>
      </c>
      <c r="E36" s="34">
        <f>IF(_xlfn.XLOOKUP($A36,'[1]DATOS PBI Artículos'!A:A,'[1]DATOS PBI Artículos'!AK:AK)="",_xlfn.XLOOKUP($A36,'[1]DATOS PBI Artículos'!A:A,'[1]DATOS PBI Artículos'!AJ:AJ),_xlfn.XLOOKUP($A36,'[1]DATOS PBI Artículos'!A:A,'[1]DATOS PBI Artículos'!AK:AK))</f>
        <v>340000</v>
      </c>
      <c r="F36" s="35">
        <f>_xlfn.XLOOKUP($A36,'[1]DATOS PBI Artículos'!A:A,'[1]DATOS PBI Artículos'!AP:AP)</f>
        <v>14</v>
      </c>
      <c r="G36" s="34">
        <f>_xlfn.XLOOKUP($A36,'[1]DATOS PBI Artículos'!A:A,'[1]DATOS PBI Artículos'!AR:AR)</f>
        <v>60000</v>
      </c>
      <c r="H36" s="34">
        <f>_xlfn.XLOOKUP($A36,'[1]DATOS PBI Artículos'!A:A,'[1]DATOS PBI Artículos'!AT:AT)</f>
        <v>15055.453054181611</v>
      </c>
      <c r="I36" s="34">
        <f>_xlfn.XLOOKUP($A36,'[1]DATOS PBI Artículos'!A:A,'[1]DATOS PBI Artículos'!AS:AS)</f>
        <v>20000</v>
      </c>
      <c r="J36" s="35">
        <f>IF(COUNTIF([1]CRITERIOS!$F$179:$F$199,$A36)&gt;=1,
 IF(O36&lt;&gt;"",
    (O36/_xlfn.XLOOKUP(CONCATENATE(A36,L36),[1]MÁQUINAS!A:A,[1]MÁQUINAS!D:D))/24,
    (N36/_xlfn.XLOOKUP(CONCATENATE(A36,L36),[1]MÁQUINAS!A:A,[1]MÁQUINAS!D:D))/24),
  _xlfn.XLOOKUP($A36,'[1]DATOS PBI Artículos'!A:A,'[1]DATOS PBI Artículos'!AU:AU))</f>
        <v>18.482758620689655</v>
      </c>
      <c r="K36" s="36">
        <f>_xlfn.XLOOKUP($A36,'[1]DATOS PBI Artículos'!A:A,'[1]DATOS PBI Artículos'!AV:AV)</f>
        <v>5.0399878801949818</v>
      </c>
      <c r="L36" s="33">
        <f>_xlfn.XLOOKUP(A36,[1]MÁQUINAS!B:B,[1]MÁQUINAS!C:C)</f>
        <v>500</v>
      </c>
      <c r="M36" s="34">
        <f t="array" ref="M36">_xlfn.XLOOKUP(A36,'[1]DATOS PBI Artículos'!A:A,'[1]DATOS PBI Artículos'!AX:$AX)</f>
        <v>127058.73290123366</v>
      </c>
      <c r="N36" s="37">
        <f>IF(I36="DV",
E36,
IF(COUNTIF([1]CRITERIOS!$I$179:$I$199,$A36)&gt;=1,
_xlfn.XLOOKUP($A36,[1]CRITERIOS!$I$179:$I$199,[1]CRITERIOS!$J$179:$J$199),
IF(COUNTIF([1]CRITERIOS!$L$179:$L$199,$A36)&gt;=1,
_xlfn.CEILING.MATH(IF($M36&gt;$E36,
$E36,
IF($M36&lt;$E36/ROUNDDOWN([1]CRITERIOS!$M$16/_xlfn.XLOOKUP($C36,[1]CRITERIOS!$K$25:$K$42,[1]CRITERIOS!$M$25:$M$42),
1),
E36/ROUNDDOWN([1]CRITERIOS!$M$16/_xlfn.XLOOKUP($C36,[1]CRITERIOS!$K$25:$K$42,[1]CRITERIOS!$M$25:$M$42),
1),
$M36)),
_xlfn.XLOOKUP($A36,[1]CRITERIOS!$L$179:$L$200,[1]CRITERIOS!$M$179:$M$200)),
_xlfn.CEILING.MATH(IF($M36&gt;$E36,
$E36,
IF($M36&lt;$E36/ROUNDDOWN([1]CRITERIOS!$M$16/_xlfn.XLOOKUP($C36,[1]CRITERIOS!$K$25:$K$42,[1]CRITERIOS!$M$25:$M$42),
1),
E36/ROUNDDOWN([1]CRITERIOS!$M$16/_xlfn.XLOOKUP($C36,[1]CRITERIOS!$K$25:$K$42,[1]CRITERIOS!$M$25:$M$42),
1),
$M36)),_xlfn.XLOOKUP(A36,'[1]DATOS PBI Artículos'!A:A,'[1]DATOS PBI Artículos'!Z:Z
)))))</f>
        <v>130000</v>
      </c>
      <c r="Q36" s="38">
        <f>IF(AND(O36="",N36=0),
0,
   IF(COUNTIF([1]CRITERIOS!$F$179:$F$199,$A36)&gt;=1,
   1,
   IF(R36="MTO",
      $D36,
      ROUNDUP(
                    IF(($E36-SUMIF('[1]DATOS PBI Artículos'!A:A,A36,'[1]DATOS PBI Artículos'!X:X)+($V36-_xlfn.XLOOKUP(A36,'[1]DATOS PBI Artículos'!A:A,'[1]DATOS PBI Artículos'!W:W)))&lt;0,
                    0,
                    IF(($E36-SUMIF('[1]DATOS PBI Artículos'!A:A,A36,'[1]DATOS PBI Artículos'!X:X)+$V36-_xlfn.XLOOKUP($A36,'[1]DATOS PBI Artículos'!A:A,'[1]DATOS PBI Artículos'!W:W))/IF($O36="",$N36,$O36)&gt;ROUNDUP([1]CRITERIOS!$M$16/(IF(COUNTIF([1]CRITERIOS!$BG$11:$BG$201,L36)&gt;=1,_xlfn.XLOOKUP($C36,[1]CRITERIOS!$K$25:$K$42,[1]CRITERIOS!$M$25:$M$42),_xlfn.XLOOKUP($C36,[1]CRITERIOS!$K$25:$K$42,[1]CRITERIOS!$M$25:$M$42))),0),
                    ROUNDUP([1]CRITERIOS!$M$16/(IF(COUNTIF([1]CRITERIOS!$BG$11:$BG$201,$L36)&gt;=1,_xlfn.XLOOKUP($C36,[1]CRITERIOS!$K$25:$K$42,[1]CRITERIOS!$M$25:$M$42),_xlfn.XLOOKUP($C36,[1]CRITERIOS!$K$25:$K$42,[1]CRITERIOS!$M$25:$M$42))),0),
                    (E36+V36-SUMIF('[1]DATOS PBI Artículos'!A:A,A36,'[1]DATOS PBI Artículos'!X:X)-_xlfn.XLOOKUP(A36,'[1]DATOS PBI Artículos'!A:A,'[1]DATOS PBI Artículos'!W:W))/IF($O36="",$N36,$O36))),0))))</f>
        <v>4</v>
      </c>
      <c r="R36" s="33" t="str">
        <f>IF(U36&lt;&gt;"",U36,IF(F36="DV","MTO",IF(N36=0,"MTO",_xlfn.XLOOKUP(CONCATENATE(S36,T36),[1]CRITERIOS!$K$160:$K$168,[1]CRITERIOS!$N$160:$N$168))))</f>
        <v>MTS</v>
      </c>
      <c r="S36" s="33" t="str">
        <f>IF(G36="DV","MTO",IF(N36=0,"MTO",IF(OR(AND(N36=0,O36=""),IF(O36="",G36/N36,G36/O36)&gt;[1]CRITERIOS!$G$163),"MTO",IF(IF(O36="",G36/N36,G36/O36)&lt;[1]CRITERIOS!$H$161,"MTS","MTOS"))))</f>
        <v>MTS</v>
      </c>
      <c r="T36" s="33" t="str">
        <f>IF(F36="DV","MTO",IF(OR(AND($N36=0,O36=""),$F36/$J36&gt;[1]CRITERIOS!$G$170,$F36="DV"),"MTO",IF($F36/$J36&lt;[1]CRITERIOS!$H$168,"MTS","MTOS")))</f>
        <v>MTS</v>
      </c>
      <c r="V36" s="34">
        <f t="shared" si="4"/>
        <v>110797.98775265313</v>
      </c>
      <c r="X36" s="34">
        <f t="shared" si="1"/>
        <v>240797.98775265313</v>
      </c>
      <c r="Y36" s="34">
        <f t="shared" si="2"/>
        <v>96586.165092554613</v>
      </c>
      <c r="Z36" s="34">
        <f>IF($R36="MTO",
0,
($H36+$K36*($E36/[1]CRITERIOS!$M$16))/[1]CRITERIOS!$X$48)</f>
        <v>31586.165092554609</v>
      </c>
      <c r="AA36" s="34" t="e">
        <f>ROUNDUP(($Y36/_xlfn.XLOOKUP($A36,'[1]DATOS PBI Artículos'!$A$4:$A$4,'[1]DATOS PBI Artículos'!$Z$4:$Z$4))/_xlfn.XLOOKUP(_xlfn.XLOOKUP($A36,'[1]DATOS PBI Artículos'!$A$4:$A$4,'[1]DATOS PBI Artículos'!$Y$4:$Y$4),[1]CRITERIOS!$P$79:$P$123,[1]CRITERIOS!$S$79:$S$123,),0)</f>
        <v>#N/A</v>
      </c>
      <c r="AB36" s="33" t="e">
        <f t="array" ref="AB36">IF((E36+V36-_xlfn.XLOOKUP(A36,'[1]DATOS PBI Artículos'!$A$4:$A$4,'[1]DATOS PBI Artículos'!$W$4:$W$4))/N36&gt;ROUNDUP([1]CRITERIOS!$M$16/(IF(COUNTIF([1]CRITERIOS!$BG$11:$BG$201,L36)&gt;=1,_xlfn.XLOOKUP(ARTÍCULOS!L36,[1]CRITERIOS!$BG$11:$BG$201,[1]CRITERIOS!$BJ$11:$BJ$201),_xlfn.XLOOKUP(ARTÍCULOS!C36,[1]CRITERIOS!$K$25:$K$42,[1]CRITERIOS!$M$25:$M$42))),0),ROUNDUP([1]CRITERIOS!$M$16/(IF(COUNTIF([1]CRITERIOS!$BG$11:$BG$201,L36)&gt;=1,_xlfn.XLOOKUP(ARTÍCULOS!L36,[1]CRITERIOS!$BG$11:$BG$201:#REF!,[1]CRITERIOS!$BJ$11:$BJ$201),_xlfn.XLOOKUP(ARTÍCULOS!C36,[1]CRITERIOS!$K$25:$K$42,[1]CRITERIOS!$M$25:$M$42))),0),(E36+V36-_xlfn.XLOOKUP(A36,'[1]DATOS PBI Artículos'!$A$4:$A$4,'[1]DATOS PBI Artículos'!$W$4:$W$4))/N36)</f>
        <v>#N/A</v>
      </c>
      <c r="AC36" s="33" t="e">
        <f>IF(N36=0,"",(ROUNDUP((N36/2)/(_xlfn.XLOOKUP(A36,'[1]DATOS PBI Artículos'!$A$4:$A$4,'[1]DATOS PBI Artículos'!$Z$4:$Z$4)*_xlfn.XLOOKUP(_xlfn.XLOOKUP(A36,'[1]DATOS PBI Artículos'!$A$4:$A$4,'[1]DATOS PBI Artículos'!$Y$4:$Y$4),[1]CRITERIOS!$P$79:$P$123,[1]CRITERIOS!$S$79:$S$123)),0)*[1]CRITERIOS!$M$80*([1]CRITERIOS!$M$110/[1]CRITERIOS!$M$86)+(_xlfn.XLOOKUP(A36,'[1]DATOS PBI Artículos'!$A$4:$A$4,'[1]DATOS PBI Artículos'!$AA$4:$AA$4)*([1]CRITERIOS!$M$95+[1]CRITERIOS!$M$98)))/N36)</f>
        <v>#N/A</v>
      </c>
      <c r="AD36" s="33" t="e">
        <f>IF(N36=0,"",(ROUNDUP((N36/2)/(_xlfn.XLOOKUP(A36,'[1]DATOS PBI Artículos'!$A$4:$A$4,'[1]DATOS PBI Artículos'!$Z$4:$Z$4)*_xlfn.XLOOKUP(_xlfn.XLOOKUP(A36,'[1]DATOS PBI Artículos'!$A$4:$A$4,'[1]DATOS PBI Artículos'!$Y$4:$Y$4),[1]CRITERIOS!$P$79:$P$123,[1]CRITERIOS!$S$79:$S$123)),0)*[1]CRITERIOS!$M$80*([1]CRITERIOS!$M$89*[1]CRITERIOS!$M$92)+((_xlfn.XLOOKUP(A36,'[1]DATOS PBI Artículos'!$A$4:$A$4,'[1]DATOS PBI Artículos'!$AA$4:$AA$4)/2)*([1]CRITERIOS!$M$95+[1]CRITERIOS!$M$98)))/N36)</f>
        <v>#N/A</v>
      </c>
      <c r="AE36" s="39">
        <f>IF($R36="MTO","",
IF($H36=0,ROUNDUP(((_xlfn.XLOOKUP($A36,'[1]DATOS PBI Artículos'!$A:$A,'[1]DATOS PBI Artículos'!$AL:$AL))/(_xlfn.XLOOKUP($AF$1,[1]CRITERIOS!$S$16:$S$39,[1]CRITERIOS!$Y$16:$Y$39))*$J36+$Z36)/$G36,0)*$G36,
((_xlfn.XLOOKUP($A36,'[1]DATOS PBI Artículos'!$A:$A,'[1]DATOS PBI Artículos'!$AL:$AL))/(_xlfn.XLOOKUP($AF$1,[1]CRITERIOS!$S$16:$S$39,[1]CRITERIOS!$Y$16:$Y$39))*$J36+$Z36)))</f>
        <v>128493.26899653929</v>
      </c>
      <c r="AG36" s="39">
        <f>IF($R36="MTO","",
IF($H36=0,ROUNDUP(((_xlfn.XLOOKUP($A36,'[1]DATOS PBI Artículos'!$A:$A,'[1]DATOS PBI Artículos'!$AM:$AM))/(_xlfn.XLOOKUP($AH$1,[1]CRITERIOS!$S$16:$S$39,[1]CRITERIOS!$Y$16:$Y$39))*$J36+$Z36)/$G36,0)*$G36,
((_xlfn.XLOOKUP($A36,'[1]DATOS PBI Artículos'!$A:$A,'[1]DATOS PBI Artículos'!$AM:$AM))/(_xlfn.XLOOKUP($AH$1,[1]CRITERIOS!$S$16:$S$39,[1]CRITERIOS!$Y$16:$Y$39))*$J36+$Z36)))</f>
        <v>101196.42618478849</v>
      </c>
      <c r="AI36" s="39">
        <f>IF($R36="MTO","",
IF($H36=0,ROUNDUP(((_xlfn.XLOOKUP($A36,'[1]DATOS PBI Artículos'!$A:$A,'[1]DATOS PBI Artículos'!$AN:$AN))/(_xlfn.XLOOKUP($AJ$1,[1]CRITERIOS!$S$16:$S$39,[1]CRITERIOS!$Y$16:$Y$39))*$J36+$Z36)/$G36,0)*$G36,
((_xlfn.XLOOKUP($A36,'[1]DATOS PBI Artículos'!$A:$A,'[1]DATOS PBI Artículos'!$AN:$AN))/(_xlfn.XLOOKUP($AJ$1,[1]CRITERIOS!$S$16:$S$39,[1]CRITERIOS!$Y$16:$Y$39))*$J36+$Z36)))</f>
        <v>114961.79860489942</v>
      </c>
      <c r="AK36" s="39">
        <f>IF($R36="MTO","",
IF($H36=0,ROUNDUP(((_xlfn.XLOOKUP($A36,'[1]DATOS PBI Artículos'!$A:$A,'[1]DATOS PBI Artículos'!$AO:$AO))/(_xlfn.XLOOKUP($AL$1,[1]CRITERIOS!$S$16:$S$39,[1]CRITERIOS!$Y$16:$Y$39))*$J36+$Z36)/$G36,0)*$G36,
((_xlfn.XLOOKUP($A36,'[1]DATOS PBI Artículos'!$A:$A,'[1]DATOS PBI Artículos'!$AO:$AO))/(_xlfn.XLOOKUP($AL$1,[1]CRITERIOS!$S$16:$S$39,[1]CRITERIOS!$Y$16:$Y$39))*$J36+$Z36)))</f>
        <v>122390.54976358909</v>
      </c>
    </row>
    <row r="37" spans="1:37" ht="25.8" x14ac:dyDescent="0.5">
      <c r="A37" s="32" t="s">
        <v>46</v>
      </c>
      <c r="B37" s="33">
        <f>_xlfn.XLOOKUP($A37,'[1]DATOS PBI Artículos'!A:A,'[1]DATOS PBI Artículos'!B:B)</f>
        <v>0</v>
      </c>
      <c r="C37" s="33" t="str">
        <f>_xlfn.XLOOKUP($A37,'[1]DATOS PBI Artículos'!A:A,'[1]DATOS PBI Artículos'!C:C)</f>
        <v>UA01</v>
      </c>
      <c r="D37" s="33">
        <f>_xlfn.XLOOKUP(A37,'[1]DATOS PBI Artículos'!A:A,'[1]DATOS PBI Artículos'!T:T)</f>
        <v>11</v>
      </c>
      <c r="E37" s="34">
        <f>IF(_xlfn.XLOOKUP($A37,'[1]DATOS PBI Artículos'!A:A,'[1]DATOS PBI Artículos'!AK:AK)="",_xlfn.XLOOKUP($A37,'[1]DATOS PBI Artículos'!A:A,'[1]DATOS PBI Artículos'!AJ:AJ),_xlfn.XLOOKUP($A37,'[1]DATOS PBI Artículos'!A:A,'[1]DATOS PBI Artículos'!AK:AK))</f>
        <v>332000</v>
      </c>
      <c r="F37" s="35">
        <f>_xlfn.XLOOKUP($A37,'[1]DATOS PBI Artículos'!A:A,'[1]DATOS PBI Artículos'!AP:AP)</f>
        <v>6.5</v>
      </c>
      <c r="G37" s="34">
        <f>_xlfn.XLOOKUP($A37,'[1]DATOS PBI Artículos'!A:A,'[1]DATOS PBI Artículos'!AR:AR)</f>
        <v>32000</v>
      </c>
      <c r="H37" s="34">
        <f>_xlfn.XLOOKUP($A37,'[1]DATOS PBI Artículos'!A:A,'[1]DATOS PBI Artículos'!AT:AT)</f>
        <v>6030.226891555275</v>
      </c>
      <c r="I37" s="34">
        <f>_xlfn.XLOOKUP($A37,'[1]DATOS PBI Artículos'!A:A,'[1]DATOS PBI Artículos'!AS:AS)</f>
        <v>4000</v>
      </c>
      <c r="J37" s="35">
        <f>IF(COUNTIF([1]CRITERIOS!$F$179:$F$199,$A37)&gt;=1,
 IF(O37&lt;&gt;"",
    (O37/_xlfn.XLOOKUP(CONCATENATE(A37,L37),[1]MÁQUINAS!A:A,[1]MÁQUINAS!D:D))/24,
    (N37/_xlfn.XLOOKUP(CONCATENATE(A37,L37),[1]MÁQUINAS!A:A,[1]MÁQUINAS!D:D))/24),
  _xlfn.XLOOKUP($A37,'[1]DATOS PBI Artículos'!A:A,'[1]DATOS PBI Artículos'!AU:AU))</f>
        <v>16.75</v>
      </c>
      <c r="K37" s="36">
        <f>_xlfn.XLOOKUP($A37,'[1]DATOS PBI Artículos'!A:A,'[1]DATOS PBI Artículos'!AV:AV)</f>
        <v>4.1713307229228418</v>
      </c>
      <c r="L37" s="33">
        <f>_xlfn.XLOOKUP(A37,[1]MÁQUINAS!B:B,[1]MÁQUINAS!C:C)</f>
        <v>417</v>
      </c>
      <c r="M37" s="34">
        <f t="array" ref="M37">_xlfn.XLOOKUP(A37,'[1]DATOS PBI Artículos'!A:A,'[1]DATOS PBI Artículos'!AX:$AX)</f>
        <v>117399.78884368201</v>
      </c>
      <c r="N37" s="37">
        <f>IF(I37="DV",
E37,
IF(COUNTIF([1]CRITERIOS!$I$179:$I$199,$A37)&gt;=1,
_xlfn.XLOOKUP($A37,[1]CRITERIOS!$I$179:$I$199,[1]CRITERIOS!$J$179:$J$199),
IF(COUNTIF([1]CRITERIOS!$L$179:$L$199,$A37)&gt;=1,
_xlfn.CEILING.MATH(IF($M37&gt;$E37,
$E37,
IF($M37&lt;$E37/ROUNDDOWN([1]CRITERIOS!$M$16/_xlfn.XLOOKUP($C37,[1]CRITERIOS!$K$25:$K$42,[1]CRITERIOS!$M$25:$M$42),
1),
E37/ROUNDDOWN([1]CRITERIOS!$M$16/_xlfn.XLOOKUP($C37,[1]CRITERIOS!$K$25:$K$42,[1]CRITERIOS!$M$25:$M$42),
1),
$M37)),
_xlfn.XLOOKUP($A37,[1]CRITERIOS!$L$179:$L$200,[1]CRITERIOS!$M$179:$M$200)),
_xlfn.CEILING.MATH(IF($M37&gt;$E37,
$E37,
IF($M37&lt;$E37/ROUNDDOWN([1]CRITERIOS!$M$16/_xlfn.XLOOKUP($C37,[1]CRITERIOS!$K$25:$K$42,[1]CRITERIOS!$M$25:$M$42),
1),
E37/ROUNDDOWN([1]CRITERIOS!$M$16/_xlfn.XLOOKUP($C37,[1]CRITERIOS!$K$25:$K$42,[1]CRITERIOS!$M$25:$M$42),
1),
$M37)),_xlfn.XLOOKUP(A37,'[1]DATOS PBI Artículos'!A:A,'[1]DATOS PBI Artículos'!Z:Z
)))))</f>
        <v>118000</v>
      </c>
      <c r="Q37" s="38">
        <f>IF(AND(O37="",N37=0),
0,
   IF(COUNTIF([1]CRITERIOS!$F$179:$F$199,$A37)&gt;=1,
   1,
   IF(R37="MTO",
      $D37,
      ROUNDUP(
                    IF(($E37-SUMIF('[1]DATOS PBI Artículos'!A:A,A37,'[1]DATOS PBI Artículos'!X:X)+($V37-_xlfn.XLOOKUP(A37,'[1]DATOS PBI Artículos'!A:A,'[1]DATOS PBI Artículos'!W:W)))&lt;0,
                    0,
                    IF(($E37-SUMIF('[1]DATOS PBI Artículos'!A:A,A37,'[1]DATOS PBI Artículos'!X:X)+$V37-_xlfn.XLOOKUP($A37,'[1]DATOS PBI Artículos'!A:A,'[1]DATOS PBI Artículos'!W:W))/IF($O37="",$N37,$O37)&gt;ROUNDUP([1]CRITERIOS!$M$16/(IF(COUNTIF([1]CRITERIOS!$BG$11:$BG$201,L37)&gt;=1,_xlfn.XLOOKUP($C37,[1]CRITERIOS!$K$25:$K$42,[1]CRITERIOS!$M$25:$M$42),_xlfn.XLOOKUP($C37,[1]CRITERIOS!$K$25:$K$42,[1]CRITERIOS!$M$25:$M$42))),0),
                    ROUNDUP([1]CRITERIOS!$M$16/(IF(COUNTIF([1]CRITERIOS!$BG$11:$BG$201,$L37)&gt;=1,_xlfn.XLOOKUP($C37,[1]CRITERIOS!$K$25:$K$42,[1]CRITERIOS!$M$25:$M$42),_xlfn.XLOOKUP($C37,[1]CRITERIOS!$K$25:$K$42,[1]CRITERIOS!$M$25:$M$42))),0),
                    (E37+V37-SUMIF('[1]DATOS PBI Artículos'!A:A,A37,'[1]DATOS PBI Artículos'!X:X)-_xlfn.XLOOKUP(A37,'[1]DATOS PBI Artículos'!A:A,'[1]DATOS PBI Artículos'!W:W))/IF($O37="",$N37,$O37))),0))))</f>
        <v>2</v>
      </c>
      <c r="R37" s="33" t="str">
        <f>IF(U37&lt;&gt;"",U37,IF(F37="DV","MTO",IF(N37=0,"MTO",_xlfn.XLOOKUP(CONCATENATE(S37,T37),[1]CRITERIOS!$K$160:$K$168,[1]CRITERIOS!$N$160:$N$168))))</f>
        <v>MTS</v>
      </c>
      <c r="S37" s="33" t="str">
        <f>IF(G37="DV","MTO",IF(N37=0,"MTO",IF(OR(AND(N37=0,O37=""),IF(O37="",G37/N37,G37/O37)&gt;[1]CRITERIOS!$G$163),"MTO",IF(IF(O37="",G37/N37,G37/O37)&lt;[1]CRITERIOS!$H$161,"MTS","MTOS"))))</f>
        <v>MTS</v>
      </c>
      <c r="T37" s="33" t="str">
        <f>IF(F37="DV","MTO",IF(OR(AND($N37=0,O37=""),$F37/$J37&gt;[1]CRITERIOS!$G$170,$F37="DV"),"MTO",IF($F37/$J37&lt;[1]CRITERIOS!$H$168,"MTS","MTOS")))</f>
        <v>MTS</v>
      </c>
      <c r="V37" s="34">
        <f t="shared" si="4"/>
        <v>102874.30309350546</v>
      </c>
      <c r="X37" s="34">
        <f t="shared" si="1"/>
        <v>220874.30309350544</v>
      </c>
      <c r="Y37" s="34">
        <f t="shared" si="2"/>
        <v>79412.764631966988</v>
      </c>
      <c r="Z37" s="34">
        <f>IF($R37="MTO",
0,
($H37+$K37*($E37/[1]CRITERIOS!$M$16))/[1]CRITERIOS!$X$48)</f>
        <v>20412.764631966991</v>
      </c>
      <c r="AA37" s="34" t="e">
        <f>ROUNDUP(($Y37/_xlfn.XLOOKUP($A37,'[1]DATOS PBI Artículos'!$A$4:$A$4,'[1]DATOS PBI Artículos'!$Z$4:$Z$4))/_xlfn.XLOOKUP(_xlfn.XLOOKUP($A37,'[1]DATOS PBI Artículos'!$A$4:$A$4,'[1]DATOS PBI Artículos'!$Y$4:$Y$4),[1]CRITERIOS!$P$79:$P$123,[1]CRITERIOS!$S$79:$S$123,),0)</f>
        <v>#N/A</v>
      </c>
      <c r="AB37" s="33" t="e">
        <f t="array" ref="AB37">IF((E37+V37-_xlfn.XLOOKUP(A37,'[1]DATOS PBI Artículos'!$A$4:$A$4,'[1]DATOS PBI Artículos'!$W$4:$W$4))/N37&gt;ROUNDUP([1]CRITERIOS!$M$16/(IF(COUNTIF([1]CRITERIOS!$BG$11:$BG$201,L37)&gt;=1,_xlfn.XLOOKUP(ARTÍCULOS!L37,[1]CRITERIOS!$BG$11:$BG$201,[1]CRITERIOS!$BJ$11:$BJ$201),_xlfn.XLOOKUP(ARTÍCULOS!C37,[1]CRITERIOS!$K$25:$K$42,[1]CRITERIOS!$M$25:$M$42))),0),ROUNDUP([1]CRITERIOS!$M$16/(IF(COUNTIF([1]CRITERIOS!$BG$11:$BG$201,L37)&gt;=1,_xlfn.XLOOKUP(ARTÍCULOS!L37,[1]CRITERIOS!$BG$11:$BG$201:#REF!,[1]CRITERIOS!$BJ$11:$BJ$201),_xlfn.XLOOKUP(ARTÍCULOS!C37,[1]CRITERIOS!$K$25:$K$42,[1]CRITERIOS!$M$25:$M$42))),0),(E37+V37-_xlfn.XLOOKUP(A37,'[1]DATOS PBI Artículos'!$A$4:$A$4,'[1]DATOS PBI Artículos'!$W$4:$W$4))/N37)</f>
        <v>#N/A</v>
      </c>
      <c r="AC37" s="33" t="e">
        <f>IF(N37=0,"",(ROUNDUP((N37/2)/(_xlfn.XLOOKUP(A37,'[1]DATOS PBI Artículos'!$A$4:$A$4,'[1]DATOS PBI Artículos'!$Z$4:$Z$4)*_xlfn.XLOOKUP(_xlfn.XLOOKUP(A37,'[1]DATOS PBI Artículos'!$A$4:$A$4,'[1]DATOS PBI Artículos'!$Y$4:$Y$4),[1]CRITERIOS!$P$79:$P$123,[1]CRITERIOS!$S$79:$S$123)),0)*[1]CRITERIOS!$M$80*([1]CRITERIOS!$M$110/[1]CRITERIOS!$M$86)+(_xlfn.XLOOKUP(A37,'[1]DATOS PBI Artículos'!$A$4:$A$4,'[1]DATOS PBI Artículos'!$AA$4:$AA$4)*([1]CRITERIOS!$M$95+[1]CRITERIOS!$M$98)))/N37)</f>
        <v>#N/A</v>
      </c>
      <c r="AD37" s="33" t="e">
        <f>IF(N37=0,"",(ROUNDUP((N37/2)/(_xlfn.XLOOKUP(A37,'[1]DATOS PBI Artículos'!$A$4:$A$4,'[1]DATOS PBI Artículos'!$Z$4:$Z$4)*_xlfn.XLOOKUP(_xlfn.XLOOKUP(A37,'[1]DATOS PBI Artículos'!$A$4:$A$4,'[1]DATOS PBI Artículos'!$Y$4:$Y$4),[1]CRITERIOS!$P$79:$P$123,[1]CRITERIOS!$S$79:$S$123)),0)*[1]CRITERIOS!$M$80*([1]CRITERIOS!$M$89*[1]CRITERIOS!$M$92)+((_xlfn.XLOOKUP(A37,'[1]DATOS PBI Artículos'!$A$4:$A$4,'[1]DATOS PBI Artículos'!$AA$4:$AA$4)/2)*([1]CRITERIOS!$M$95+[1]CRITERIOS!$M$98)))/N37)</f>
        <v>#N/A</v>
      </c>
      <c r="AE37" s="39">
        <f>IF($R37="MTO","",
IF($H37=0,ROUNDUP(((_xlfn.XLOOKUP($A37,'[1]DATOS PBI Artículos'!$A:$A,'[1]DATOS PBI Artículos'!$AL:$AL))/(_xlfn.XLOOKUP($AF$1,[1]CRITERIOS!$S$16:$S$39,[1]CRITERIOS!$Y$16:$Y$39))*$J37+$Z37)/$G37,0)*$G37,
((_xlfn.XLOOKUP($A37,'[1]DATOS PBI Artículos'!$A:$A,'[1]DATOS PBI Artículos'!$AL:$AL))/(_xlfn.XLOOKUP($AF$1,[1]CRITERIOS!$S$16:$S$39,[1]CRITERIOS!$Y$16:$Y$39))*$J37+$Z37)))</f>
        <v>106168.42606464754</v>
      </c>
      <c r="AG37" s="39">
        <f>IF($R37="MTO","",
IF($H37=0,ROUNDUP(((_xlfn.XLOOKUP($A37,'[1]DATOS PBI Artículos'!$A:$A,'[1]DATOS PBI Artículos'!$AM:$AM))/(_xlfn.XLOOKUP($AH$1,[1]CRITERIOS!$S$16:$S$39,[1]CRITERIOS!$Y$16:$Y$39))*$J37+$Z37)/$G37,0)*$G37,
((_xlfn.XLOOKUP($A37,'[1]DATOS PBI Artículos'!$A:$A,'[1]DATOS PBI Artículos'!$AM:$AM))/(_xlfn.XLOOKUP($AH$1,[1]CRITERIOS!$S$16:$S$39,[1]CRITERIOS!$Y$16:$Y$39))*$J37+$Z37)))</f>
        <v>82012.727297043064</v>
      </c>
      <c r="AI37" s="39">
        <f>IF($R37="MTO","",
IF($H37=0,ROUNDUP(((_xlfn.XLOOKUP($A37,'[1]DATOS PBI Artículos'!$A:$A,'[1]DATOS PBI Artículos'!$AN:$AN))/(_xlfn.XLOOKUP($AJ$1,[1]CRITERIOS!$S$16:$S$39,[1]CRITERIOS!$Y$16:$Y$39))*$J37+$Z37)/$G37,0)*$G37,
((_xlfn.XLOOKUP($A37,'[1]DATOS PBI Artículos'!$A:$A,'[1]DATOS PBI Artículos'!$AN:$AN))/(_xlfn.XLOOKUP($AJ$1,[1]CRITERIOS!$S$16:$S$39,[1]CRITERIOS!$Y$16:$Y$39))*$J37+$Z37)))</f>
        <v>94194.069729104478</v>
      </c>
      <c r="AK37" s="39">
        <f>IF($R37="MTO","",
IF($H37=0,ROUNDUP(((_xlfn.XLOOKUP($A37,'[1]DATOS PBI Artículos'!$A:$A,'[1]DATOS PBI Artículos'!$AO:$AO))/(_xlfn.XLOOKUP($AL$1,[1]CRITERIOS!$S$16:$S$39,[1]CRITERIOS!$Y$16:$Y$39))*$J37+$Z37)/$G37,0)*$G37,
((_xlfn.XLOOKUP($A37,'[1]DATOS PBI Artículos'!$A:$A,'[1]DATOS PBI Artículos'!$AO:$AO))/(_xlfn.XLOOKUP($AL$1,[1]CRITERIOS!$S$16:$S$39,[1]CRITERIOS!$Y$16:$Y$39))*$J37+$Z37)))</f>
        <v>100767.96827284199</v>
      </c>
    </row>
    <row r="38" spans="1:37" ht="25.8" x14ac:dyDescent="0.5">
      <c r="A38" s="32">
        <v>422003</v>
      </c>
      <c r="B38" s="33">
        <f>_xlfn.XLOOKUP($A38,'[1]DATOS PBI Artículos'!A:A,'[1]DATOS PBI Artículos'!B:B)</f>
        <v>0</v>
      </c>
      <c r="C38" s="33" t="str">
        <f>_xlfn.XLOOKUP($A38,'[1]DATOS PBI Artículos'!A:A,'[1]DATOS PBI Artículos'!C:C)</f>
        <v>UA01</v>
      </c>
      <c r="D38" s="33">
        <f>_xlfn.XLOOKUP(A38,'[1]DATOS PBI Artículos'!A:A,'[1]DATOS PBI Artículos'!T:T)</f>
        <v>5</v>
      </c>
      <c r="E38" s="34">
        <f>IF(_xlfn.XLOOKUP($A38,'[1]DATOS PBI Artículos'!A:A,'[1]DATOS PBI Artículos'!AK:AK)="",_xlfn.XLOOKUP($A38,'[1]DATOS PBI Artículos'!A:A,'[1]DATOS PBI Artículos'!AJ:AJ),_xlfn.XLOOKUP($A38,'[1]DATOS PBI Artículos'!A:A,'[1]DATOS PBI Artículos'!AK:AK))</f>
        <v>320000</v>
      </c>
      <c r="F38" s="35">
        <f>_xlfn.XLOOKUP($A38,'[1]DATOS PBI Artículos'!A:A,'[1]DATOS PBI Artículos'!AP:AP)</f>
        <v>11.5</v>
      </c>
      <c r="G38" s="34">
        <f>_xlfn.XLOOKUP($A38,'[1]DATOS PBI Artículos'!A:A,'[1]DATOS PBI Artículos'!AR:AR)</f>
        <v>64000</v>
      </c>
      <c r="H38" s="34">
        <f>_xlfn.XLOOKUP($A38,'[1]DATOS PBI Artículos'!A:A,'[1]DATOS PBI Artículos'!AT:AT)</f>
        <v>55425.62584220407</v>
      </c>
      <c r="I38" s="34">
        <f>_xlfn.XLOOKUP($A38,'[1]DATOS PBI Artículos'!A:A,'[1]DATOS PBI Artículos'!AS:AS)</f>
        <v>32000</v>
      </c>
      <c r="J38" s="35">
        <f>IF(COUNTIF([1]CRITERIOS!$F$179:$F$199,$A38)&gt;=1,
 IF(O38&lt;&gt;"",
    (O38/_xlfn.XLOOKUP(CONCATENATE(A38,L38),[1]MÁQUINAS!A:A,[1]MÁQUINAS!D:D))/24,
    (N38/_xlfn.XLOOKUP(CONCATENATE(A38,L38),[1]MÁQUINAS!A:A,[1]MÁQUINAS!D:D))/24),
  _xlfn.XLOOKUP($A38,'[1]DATOS PBI Artículos'!A:A,'[1]DATOS PBI Artículos'!AU:AU))</f>
        <v>16.81818181818182</v>
      </c>
      <c r="K38" s="36">
        <f>_xlfn.XLOOKUP($A38,'[1]DATOS PBI Artículos'!A:A,'[1]DATOS PBI Artículos'!AV:AV)</f>
        <v>3.6467384467084143</v>
      </c>
      <c r="L38" s="33">
        <f>_xlfn.XLOOKUP(A38,[1]MÁQUINAS!B:B,[1]MÁQUINAS!C:C)</f>
        <v>550</v>
      </c>
      <c r="M38" s="34">
        <f t="array" ref="M38">_xlfn.XLOOKUP(A38,'[1]DATOS PBI Artículos'!A:A,'[1]DATOS PBI Artículos'!AX:$AX)</f>
        <v>95412.614474741858</v>
      </c>
      <c r="N38" s="37">
        <f>IF(I38="DV",
E38,
IF(COUNTIF([1]CRITERIOS!$I$179:$I$199,$A38)&gt;=1,
_xlfn.XLOOKUP($A38,[1]CRITERIOS!$I$179:$I$199,[1]CRITERIOS!$J$179:$J$199),
IF(COUNTIF([1]CRITERIOS!$L$179:$L$199,$A38)&gt;=1,
_xlfn.CEILING.MATH(IF($M38&gt;$E38,
$E38,
IF($M38&lt;$E38/ROUNDDOWN([1]CRITERIOS!$M$16/_xlfn.XLOOKUP($C38,[1]CRITERIOS!$K$25:$K$42,[1]CRITERIOS!$M$25:$M$42),
1),
E38/ROUNDDOWN([1]CRITERIOS!$M$16/_xlfn.XLOOKUP($C38,[1]CRITERIOS!$K$25:$K$42,[1]CRITERIOS!$M$25:$M$42),
1),
$M38)),
_xlfn.XLOOKUP($A38,[1]CRITERIOS!$L$179:$L$200,[1]CRITERIOS!$M$179:$M$200)),
_xlfn.CEILING.MATH(IF($M38&gt;$E38,
$E38,
IF($M38&lt;$E38/ROUNDDOWN([1]CRITERIOS!$M$16/_xlfn.XLOOKUP($C38,[1]CRITERIOS!$K$25:$K$42,[1]CRITERIOS!$M$25:$M$42),
1),
E38/ROUNDDOWN([1]CRITERIOS!$M$16/_xlfn.XLOOKUP($C38,[1]CRITERIOS!$K$25:$K$42,[1]CRITERIOS!$M$25:$M$42),
1),
$M38)),_xlfn.XLOOKUP(A38,'[1]DATOS PBI Artículos'!A:A,'[1]DATOS PBI Artículos'!Z:Z
)))))</f>
        <v>96000</v>
      </c>
      <c r="Q38" s="38">
        <f>IF(AND(O38="",N38=0),
0,
   IF(COUNTIF([1]CRITERIOS!$F$179:$F$199,$A38)&gt;=1,
   1,
   IF(R38="MTO",
      $D38,
      ROUNDUP(
                    IF(($E38-SUMIF('[1]DATOS PBI Artículos'!A:A,A38,'[1]DATOS PBI Artículos'!X:X)+($V38-_xlfn.XLOOKUP(A38,'[1]DATOS PBI Artículos'!A:A,'[1]DATOS PBI Artículos'!W:W)))&lt;0,
                    0,
                    IF(($E38-SUMIF('[1]DATOS PBI Artículos'!A:A,A38,'[1]DATOS PBI Artículos'!X:X)+$V38-_xlfn.XLOOKUP($A38,'[1]DATOS PBI Artículos'!A:A,'[1]DATOS PBI Artículos'!W:W))/IF($O38="",$N38,$O38)&gt;ROUNDUP([1]CRITERIOS!$M$16/(IF(COUNTIF([1]CRITERIOS!$BG$11:$BG$201,L38)&gt;=1,_xlfn.XLOOKUP($C38,[1]CRITERIOS!$K$25:$K$42,[1]CRITERIOS!$M$25:$M$42),_xlfn.XLOOKUP($C38,[1]CRITERIOS!$K$25:$K$42,[1]CRITERIOS!$M$25:$M$42))),0),
                    ROUNDUP([1]CRITERIOS!$M$16/(IF(COUNTIF([1]CRITERIOS!$BG$11:$BG$201,$L38)&gt;=1,_xlfn.XLOOKUP($C38,[1]CRITERIOS!$K$25:$K$42,[1]CRITERIOS!$M$25:$M$42),_xlfn.XLOOKUP($C38,[1]CRITERIOS!$K$25:$K$42,[1]CRITERIOS!$M$25:$M$42))),0),
                    (E38+V38-SUMIF('[1]DATOS PBI Artículos'!A:A,A38,'[1]DATOS PBI Artículos'!X:X)-_xlfn.XLOOKUP(A38,'[1]DATOS PBI Artículos'!A:A,'[1]DATOS PBI Artículos'!W:W))/IF($O38="",$N38,$O38))),0))))</f>
        <v>4</v>
      </c>
      <c r="R38" s="33" t="str">
        <f>IF(U38&lt;&gt;"",U38,IF(F38="DV","MTO",IF(N38=0,"MTO",_xlfn.XLOOKUP(CONCATENATE(S38,T38),[1]CRITERIOS!$K$160:$K$168,[1]CRITERIOS!$N$160:$N$168))))</f>
        <v>MTS</v>
      </c>
      <c r="S38" s="33" t="str">
        <f>IF(G38="DV","MTO",IF(N38=0,"MTO",IF(OR(AND(N38=0,O38=""),IF(O38="",G38/N38,G38/O38)&gt;[1]CRITERIOS!$G$163),"MTO",IF(IF(O38="",G38/N38,G38/O38)&lt;[1]CRITERIOS!$H$161,"MTS","MTOS"))))</f>
        <v>MTOS</v>
      </c>
      <c r="T38" s="33" t="str">
        <f>IF(F38="DV","MTO",IF(OR(AND($N38=0,O38=""),$F38/$J38&gt;[1]CRITERIOS!$G$170,$F38="DV"),"MTO",IF($F38/$J38&lt;[1]CRITERIOS!$H$168,"MTS","MTOS")))</f>
        <v>MTS</v>
      </c>
      <c r="V38" s="34">
        <f t="shared" si="4"/>
        <v>152751.04062368625</v>
      </c>
      <c r="X38" s="34">
        <f t="shared" si="1"/>
        <v>248751.04062368625</v>
      </c>
      <c r="Y38" s="34">
        <f t="shared" si="2"/>
        <v>107154.2026790222</v>
      </c>
      <c r="Z38" s="34">
        <f>IF($R38="MTO",
0,
($H38+$K38*($E38/[1]CRITERIOS!$M$16))/[1]CRITERIOS!$X$48)</f>
        <v>59154.202679022201</v>
      </c>
      <c r="AA38" s="34" t="e">
        <f>ROUNDUP(($Y38/_xlfn.XLOOKUP($A38,'[1]DATOS PBI Artículos'!$A$4:$A$4,'[1]DATOS PBI Artículos'!$Z$4:$Z$4))/_xlfn.XLOOKUP(_xlfn.XLOOKUP($A38,'[1]DATOS PBI Artículos'!$A$4:$A$4,'[1]DATOS PBI Artículos'!$Y$4:$Y$4),[1]CRITERIOS!$P$79:$P$123,[1]CRITERIOS!$S$79:$S$123,),0)</f>
        <v>#N/A</v>
      </c>
      <c r="AB38" s="33" t="e">
        <f t="array" ref="AB38">IF((E38+V38-_xlfn.XLOOKUP(A38,'[1]DATOS PBI Artículos'!$A$4:$A$4,'[1]DATOS PBI Artículos'!$W$4:$W$4))/N38&gt;ROUNDUP([1]CRITERIOS!$M$16/(IF(COUNTIF([1]CRITERIOS!$BG$11:$BG$201,L38)&gt;=1,_xlfn.XLOOKUP(ARTÍCULOS!L38,[1]CRITERIOS!$BG$11:$BG$201,[1]CRITERIOS!$BJ$11:$BJ$201),_xlfn.XLOOKUP(ARTÍCULOS!C38,[1]CRITERIOS!$K$25:$K$42,[1]CRITERIOS!$M$25:$M$42))),0),ROUNDUP([1]CRITERIOS!$M$16/(IF(COUNTIF([1]CRITERIOS!$BG$11:$BG$201,L38)&gt;=1,_xlfn.XLOOKUP(ARTÍCULOS!L38,[1]CRITERIOS!$BG$11:$BG$201:#REF!,[1]CRITERIOS!$BJ$11:$BJ$201),_xlfn.XLOOKUP(ARTÍCULOS!C38,[1]CRITERIOS!$K$25:$K$42,[1]CRITERIOS!$M$25:$M$42))),0),(E38+V38-_xlfn.XLOOKUP(A38,'[1]DATOS PBI Artículos'!$A$4:$A$4,'[1]DATOS PBI Artículos'!$W$4:$W$4))/N38)</f>
        <v>#N/A</v>
      </c>
      <c r="AC38" s="33" t="e">
        <f>IF(N38=0,"",(ROUNDUP((N38/2)/(_xlfn.XLOOKUP(A38,'[1]DATOS PBI Artículos'!$A$4:$A$4,'[1]DATOS PBI Artículos'!$Z$4:$Z$4)*_xlfn.XLOOKUP(_xlfn.XLOOKUP(A38,'[1]DATOS PBI Artículos'!$A$4:$A$4,'[1]DATOS PBI Artículos'!$Y$4:$Y$4),[1]CRITERIOS!$P$79:$P$123,[1]CRITERIOS!$S$79:$S$123)),0)*[1]CRITERIOS!$M$80*([1]CRITERIOS!$M$110/[1]CRITERIOS!$M$86)+(_xlfn.XLOOKUP(A38,'[1]DATOS PBI Artículos'!$A$4:$A$4,'[1]DATOS PBI Artículos'!$AA$4:$AA$4)*([1]CRITERIOS!$M$95+[1]CRITERIOS!$M$98)))/N38)</f>
        <v>#N/A</v>
      </c>
      <c r="AD38" s="33" t="e">
        <f>IF(N38=0,"",(ROUNDUP((N38/2)/(_xlfn.XLOOKUP(A38,'[1]DATOS PBI Artículos'!$A$4:$A$4,'[1]DATOS PBI Artículos'!$Z$4:$Z$4)*_xlfn.XLOOKUP(_xlfn.XLOOKUP(A38,'[1]DATOS PBI Artículos'!$A$4:$A$4,'[1]DATOS PBI Artículos'!$Y$4:$Y$4),[1]CRITERIOS!$P$79:$P$123,[1]CRITERIOS!$S$79:$S$123)),0)*[1]CRITERIOS!$M$80*([1]CRITERIOS!$M$89*[1]CRITERIOS!$M$92)+((_xlfn.XLOOKUP(A38,'[1]DATOS PBI Artículos'!$A$4:$A$4,'[1]DATOS PBI Artículos'!$AA$4:$AA$4)/2)*([1]CRITERIOS!$M$95+[1]CRITERIOS!$M$98)))/N38)</f>
        <v>#N/A</v>
      </c>
      <c r="AE38" s="39">
        <f>IF($R38="MTO","",
IF($H38=0,ROUNDUP(((_xlfn.XLOOKUP($A38,'[1]DATOS PBI Artículos'!$A:$A,'[1]DATOS PBI Artículos'!$AL:$AL))/(_xlfn.XLOOKUP($AF$1,[1]CRITERIOS!$S$16:$S$39,[1]CRITERIOS!$Y$16:$Y$39))*$J38+$Z38)/$G38,0)*$G38,
((_xlfn.XLOOKUP($A38,'[1]DATOS PBI Artículos'!$A:$A,'[1]DATOS PBI Artículos'!$AL:$AL))/(_xlfn.XLOOKUP($AF$1,[1]CRITERIOS!$S$16:$S$39,[1]CRITERIOS!$Y$16:$Y$39))*$J38+$Z38)))</f>
        <v>142146.71803457779</v>
      </c>
      <c r="AG38" s="39">
        <f>IF($R38="MTO","",
IF($H38=0,ROUNDUP(((_xlfn.XLOOKUP($A38,'[1]DATOS PBI Artículos'!$A:$A,'[1]DATOS PBI Artículos'!$AM:$AM))/(_xlfn.XLOOKUP($AH$1,[1]CRITERIOS!$S$16:$S$39,[1]CRITERIOS!$Y$16:$Y$39))*$J38+$Z38)/$G38,0)*$G38,
((_xlfn.XLOOKUP($A38,'[1]DATOS PBI Artículos'!$A:$A,'[1]DATOS PBI Artículos'!$AM:$AM))/(_xlfn.XLOOKUP($AH$1,[1]CRITERIOS!$S$16:$S$39,[1]CRITERIOS!$Y$16:$Y$39))*$J38+$Z38)))</f>
        <v>118769.34367348862</v>
      </c>
      <c r="AI38" s="39">
        <f>IF($R38="MTO","",
IF($H38=0,ROUNDUP(((_xlfn.XLOOKUP($A38,'[1]DATOS PBI Artículos'!$A:$A,'[1]DATOS PBI Artículos'!$AN:$AN))/(_xlfn.XLOOKUP($AJ$1,[1]CRITERIOS!$S$16:$S$39,[1]CRITERIOS!$Y$16:$Y$39))*$J38+$Z38)/$G38,0)*$G38,
((_xlfn.XLOOKUP($A38,'[1]DATOS PBI Artículos'!$A:$A,'[1]DATOS PBI Artículos'!$AN:$AN))/(_xlfn.XLOOKUP($AJ$1,[1]CRITERIOS!$S$16:$S$39,[1]CRITERIOS!$Y$16:$Y$39))*$J38+$Z38)))</f>
        <v>130558.18923720402</v>
      </c>
      <c r="AK38" s="39">
        <f>IF($R38="MTO","",
IF($H38=0,ROUNDUP(((_xlfn.XLOOKUP($A38,'[1]DATOS PBI Artículos'!$A:$A,'[1]DATOS PBI Artículos'!$AO:$AO))/(_xlfn.XLOOKUP($AL$1,[1]CRITERIOS!$S$16:$S$39,[1]CRITERIOS!$Y$16:$Y$39))*$J38+$Z38)/$G38,0)*$G38,
((_xlfn.XLOOKUP($A38,'[1]DATOS PBI Artículos'!$A:$A,'[1]DATOS PBI Artículos'!$AO:$AO))/(_xlfn.XLOOKUP($AL$1,[1]CRITERIOS!$S$16:$S$39,[1]CRITERIOS!$Y$16:$Y$39))*$J38+$Z38)))</f>
        <v>136920.26920629491</v>
      </c>
    </row>
    <row r="39" spans="1:37" ht="25.8" x14ac:dyDescent="0.5">
      <c r="A39" s="32" t="s">
        <v>47</v>
      </c>
      <c r="B39" s="33">
        <f>_xlfn.XLOOKUP($A39,'[1]DATOS PBI Artículos'!A:A,'[1]DATOS PBI Artículos'!B:B)</f>
        <v>0</v>
      </c>
      <c r="C39" s="33" t="str">
        <f>_xlfn.XLOOKUP($A39,'[1]DATOS PBI Artículos'!A:A,'[1]DATOS PBI Artículos'!C:C)</f>
        <v>UA01</v>
      </c>
      <c r="D39" s="33">
        <f>_xlfn.XLOOKUP(A39,'[1]DATOS PBI Artículos'!A:A,'[1]DATOS PBI Artículos'!T:T)</f>
        <v>12</v>
      </c>
      <c r="E39" s="34">
        <f>IF(_xlfn.XLOOKUP($A39,'[1]DATOS PBI Artículos'!A:A,'[1]DATOS PBI Artículos'!AK:AK)="",_xlfn.XLOOKUP($A39,'[1]DATOS PBI Artículos'!A:A,'[1]DATOS PBI Artículos'!AJ:AJ),_xlfn.XLOOKUP($A39,'[1]DATOS PBI Artículos'!A:A,'[1]DATOS PBI Artículos'!AK:AK))</f>
        <v>320000</v>
      </c>
      <c r="F39" s="35">
        <f>_xlfn.XLOOKUP($A39,'[1]DATOS PBI Artículos'!A:A,'[1]DATOS PBI Artículos'!AP:AP)</f>
        <v>6.6363636363599996</v>
      </c>
      <c r="G39" s="34">
        <f>_xlfn.XLOOKUP($A39,'[1]DATOS PBI Artículos'!A:A,'[1]DATOS PBI Artículos'!AR:AR)</f>
        <v>20000</v>
      </c>
      <c r="H39" s="34">
        <f>_xlfn.XLOOKUP($A39,'[1]DATOS PBI Artículos'!A:A,'[1]DATOS PBI Artículos'!AT:AT)</f>
        <v>13026.778945578593</v>
      </c>
      <c r="I39" s="34">
        <f>_xlfn.XLOOKUP($A39,'[1]DATOS PBI Artículos'!A:A,'[1]DATOS PBI Artículos'!AS:AS)</f>
        <v>20000</v>
      </c>
      <c r="J39" s="35">
        <f>IF(COUNTIF([1]CRITERIOS!$F$179:$F$199,$A39)&gt;=1,
 IF(O39&lt;&gt;"",
    (O39/_xlfn.XLOOKUP(CONCATENATE(A39,L39),[1]MÁQUINAS!A:A,[1]MÁQUINAS!D:D))/24,
    (N39/_xlfn.XLOOKUP(CONCATENATE(A39,L39),[1]MÁQUINAS!A:A,[1]MÁQUINAS!D:D))/24),
  _xlfn.XLOOKUP($A39,'[1]DATOS PBI Artículos'!A:A,'[1]DATOS PBI Artículos'!AU:AU))</f>
        <v>36.299999999999997</v>
      </c>
      <c r="K39" s="36">
        <f>_xlfn.XLOOKUP($A39,'[1]DATOS PBI Artículos'!A:A,'[1]DATOS PBI Artículos'!AV:AV)</f>
        <v>9.3532994459878083</v>
      </c>
      <c r="L39" s="33">
        <f>_xlfn.XLOOKUP(A39,[1]MÁQUINAS!B:B,[1]MÁQUINAS!C:C)</f>
        <v>521</v>
      </c>
      <c r="M39" s="34">
        <f t="array" ref="M39">_xlfn.XLOOKUP(A39,'[1]DATOS PBI Artículos'!A:A,'[1]DATOS PBI Artículos'!AX:$AX)</f>
        <v>91255.793582819271</v>
      </c>
      <c r="N39" s="37">
        <f>IF(I39="DV",
E39,
IF(COUNTIF([1]CRITERIOS!$I$179:$I$199,$A39)&gt;=1,
_xlfn.XLOOKUP($A39,[1]CRITERIOS!$I$179:$I$199,[1]CRITERIOS!$J$179:$J$199),
IF(COUNTIF([1]CRITERIOS!$L$179:$L$199,$A39)&gt;=1,
_xlfn.CEILING.MATH(IF($M39&gt;$E39,
$E39,
IF($M39&lt;$E39/ROUNDDOWN([1]CRITERIOS!$M$16/_xlfn.XLOOKUP($C39,[1]CRITERIOS!$K$25:$K$42,[1]CRITERIOS!$M$25:$M$42),
1),
E39/ROUNDDOWN([1]CRITERIOS!$M$16/_xlfn.XLOOKUP($C39,[1]CRITERIOS!$K$25:$K$42,[1]CRITERIOS!$M$25:$M$42),
1),
$M39)),
_xlfn.XLOOKUP($A39,[1]CRITERIOS!$L$179:$L$200,[1]CRITERIOS!$M$179:$M$200)),
_xlfn.CEILING.MATH(IF($M39&gt;$E39,
$E39,
IF($M39&lt;$E39/ROUNDDOWN([1]CRITERIOS!$M$16/_xlfn.XLOOKUP($C39,[1]CRITERIOS!$K$25:$K$42,[1]CRITERIOS!$M$25:$M$42),
1),
E39/ROUNDDOWN([1]CRITERIOS!$M$16/_xlfn.XLOOKUP($C39,[1]CRITERIOS!$K$25:$K$42,[1]CRITERIOS!$M$25:$M$42),
1),
$M39)),_xlfn.XLOOKUP(A39,'[1]DATOS PBI Artículos'!A:A,'[1]DATOS PBI Artículos'!Z:Z
)))))</f>
        <v>92000</v>
      </c>
      <c r="Q39" s="38">
        <f>IF(AND(O39="",N39=0),
0,
   IF(COUNTIF([1]CRITERIOS!$F$179:$F$199,$A39)&gt;=1,
   1,
   IF(R39="MTO",
      $D39,
      ROUNDUP(
                    IF(($E39-SUMIF('[1]DATOS PBI Artículos'!A:A,A39,'[1]DATOS PBI Artículos'!X:X)+($V39-_xlfn.XLOOKUP(A39,'[1]DATOS PBI Artículos'!A:A,'[1]DATOS PBI Artículos'!W:W)))&lt;0,
                    0,
                    IF(($E39-SUMIF('[1]DATOS PBI Artículos'!A:A,A39,'[1]DATOS PBI Artículos'!X:X)+$V39-_xlfn.XLOOKUP($A39,'[1]DATOS PBI Artículos'!A:A,'[1]DATOS PBI Artículos'!W:W))/IF($O39="",$N39,$O39)&gt;ROUNDUP([1]CRITERIOS!$M$16/(IF(COUNTIF([1]CRITERIOS!$BG$11:$BG$201,L39)&gt;=1,_xlfn.XLOOKUP($C39,[1]CRITERIOS!$K$25:$K$42,[1]CRITERIOS!$M$25:$M$42),_xlfn.XLOOKUP($C39,[1]CRITERIOS!$K$25:$K$42,[1]CRITERIOS!$M$25:$M$42))),0),
                    ROUNDUP([1]CRITERIOS!$M$16/(IF(COUNTIF([1]CRITERIOS!$BG$11:$BG$201,$L39)&gt;=1,_xlfn.XLOOKUP($C39,[1]CRITERIOS!$K$25:$K$42,[1]CRITERIOS!$M$25:$M$42),_xlfn.XLOOKUP($C39,[1]CRITERIOS!$K$25:$K$42,[1]CRITERIOS!$M$25:$M$42))),0),
                    (E39+V39-SUMIF('[1]DATOS PBI Artículos'!A:A,A39,'[1]DATOS PBI Artículos'!X:X)-_xlfn.XLOOKUP(A39,'[1]DATOS PBI Artículos'!A:A,'[1]DATOS PBI Artículos'!W:W))/IF($O39="",$N39,$O39))),0))))</f>
        <v>3</v>
      </c>
      <c r="R39" s="33" t="str">
        <f>IF(U39&lt;&gt;"",U39,IF(F39="DV","MTO",IF(N39=0,"MTO",_xlfn.XLOOKUP(CONCATENATE(S39,T39),[1]CRITERIOS!$K$160:$K$168,[1]CRITERIOS!$N$160:$N$168))))</f>
        <v>MTS</v>
      </c>
      <c r="S39" s="33" t="str">
        <f>IF(G39="DV","MTO",IF(N39=0,"MTO",IF(OR(AND(N39=0,O39=""),IF(O39="",G39/N39,G39/O39)&gt;[1]CRITERIOS!$G$163),"MTO",IF(IF(O39="",G39/N39,G39/O39)&lt;[1]CRITERIOS!$H$161,"MTS","MTOS"))))</f>
        <v>MTS</v>
      </c>
      <c r="T39" s="33" t="str">
        <f>IF(F39="DV","MTO",IF(OR(AND($N39=0,O39=""),$F39/$J39&gt;[1]CRITERIOS!$G$170,$F39="DV"),"MTO",IF($F39/$J39&lt;[1]CRITERIOS!$H$168,"MTS","MTOS")))</f>
        <v>MTS</v>
      </c>
      <c r="V39" s="34">
        <f t="shared" si="4"/>
        <v>153509.08520330471</v>
      </c>
      <c r="X39" s="34">
        <f t="shared" si="1"/>
        <v>245509.08520330471</v>
      </c>
      <c r="Y39" s="34">
        <f t="shared" si="2"/>
        <v>90111.824929272145</v>
      </c>
      <c r="Z39" s="34">
        <f>IF($R39="MTO",
0,
($H39+$K39*($E39/[1]CRITERIOS!$M$16))/[1]CRITERIOS!$X$48)</f>
        <v>44111.824929272152</v>
      </c>
      <c r="AA39" s="34" t="e">
        <f>ROUNDUP(($Y39/_xlfn.XLOOKUP($A39,'[1]DATOS PBI Artículos'!$A$4:$A$4,'[1]DATOS PBI Artículos'!$Z$4:$Z$4))/_xlfn.XLOOKUP(_xlfn.XLOOKUP($A39,'[1]DATOS PBI Artículos'!$A$4:$A$4,'[1]DATOS PBI Artículos'!$Y$4:$Y$4),[1]CRITERIOS!$P$79:$P$123,[1]CRITERIOS!$S$79:$S$123,),0)</f>
        <v>#N/A</v>
      </c>
      <c r="AB39" s="33" t="e">
        <f t="array" ref="AB39">IF((E39+V39-_xlfn.XLOOKUP(A39,'[1]DATOS PBI Artículos'!$A$4:$A$4,'[1]DATOS PBI Artículos'!$W$4:$W$4))/N39&gt;ROUNDUP([1]CRITERIOS!$M$16/(IF(COUNTIF([1]CRITERIOS!$BG$11:$BG$201,L39)&gt;=1,_xlfn.XLOOKUP(ARTÍCULOS!L39,[1]CRITERIOS!$BG$11:$BG$201,[1]CRITERIOS!$BJ$11:$BJ$201),_xlfn.XLOOKUP(ARTÍCULOS!C39,[1]CRITERIOS!$K$25:$K$42,[1]CRITERIOS!$M$25:$M$42))),0),ROUNDUP([1]CRITERIOS!$M$16/(IF(COUNTIF([1]CRITERIOS!$BG$11:$BG$201,L39)&gt;=1,_xlfn.XLOOKUP(ARTÍCULOS!L39,[1]CRITERIOS!$BG$11:$BG$201:#REF!,[1]CRITERIOS!$BJ$11:$BJ$201),_xlfn.XLOOKUP(ARTÍCULOS!C39,[1]CRITERIOS!$K$25:$K$42,[1]CRITERIOS!$M$25:$M$42))),0),(E39+V39-_xlfn.XLOOKUP(A39,'[1]DATOS PBI Artículos'!$A$4:$A$4,'[1]DATOS PBI Artículos'!$W$4:$W$4))/N39)</f>
        <v>#N/A</v>
      </c>
      <c r="AC39" s="33" t="e">
        <f>IF(N39=0,"",(ROUNDUP((N39/2)/(_xlfn.XLOOKUP(A39,'[1]DATOS PBI Artículos'!$A$4:$A$4,'[1]DATOS PBI Artículos'!$Z$4:$Z$4)*_xlfn.XLOOKUP(_xlfn.XLOOKUP(A39,'[1]DATOS PBI Artículos'!$A$4:$A$4,'[1]DATOS PBI Artículos'!$Y$4:$Y$4),[1]CRITERIOS!$P$79:$P$123,[1]CRITERIOS!$S$79:$S$123)),0)*[1]CRITERIOS!$M$80*([1]CRITERIOS!$M$110/[1]CRITERIOS!$M$86)+(_xlfn.XLOOKUP(A39,'[1]DATOS PBI Artículos'!$A$4:$A$4,'[1]DATOS PBI Artículos'!$AA$4:$AA$4)*([1]CRITERIOS!$M$95+[1]CRITERIOS!$M$98)))/N39)</f>
        <v>#N/A</v>
      </c>
      <c r="AD39" s="33" t="e">
        <f>IF(N39=0,"",(ROUNDUP((N39/2)/(_xlfn.XLOOKUP(A39,'[1]DATOS PBI Artículos'!$A$4:$A$4,'[1]DATOS PBI Artículos'!$Z$4:$Z$4)*_xlfn.XLOOKUP(_xlfn.XLOOKUP(A39,'[1]DATOS PBI Artículos'!$A$4:$A$4,'[1]DATOS PBI Artículos'!$Y$4:$Y$4),[1]CRITERIOS!$P$79:$P$123,[1]CRITERIOS!$S$79:$S$123)),0)*[1]CRITERIOS!$M$80*([1]CRITERIOS!$M$89*[1]CRITERIOS!$M$92)+((_xlfn.XLOOKUP(A39,'[1]DATOS PBI Artículos'!$A$4:$A$4,'[1]DATOS PBI Artículos'!$AA$4:$AA$4)/2)*([1]CRITERIOS!$M$95+[1]CRITERIOS!$M$98)))/N39)</f>
        <v>#N/A</v>
      </c>
      <c r="AE39" s="39">
        <f>IF($R39="MTO","",
IF($H39=0,ROUNDUP(((_xlfn.XLOOKUP($A39,'[1]DATOS PBI Artículos'!$A:$A,'[1]DATOS PBI Artículos'!$AL:$AL))/(_xlfn.XLOOKUP($AF$1,[1]CRITERIOS!$S$16:$S$39,[1]CRITERIOS!$Y$16:$Y$39))*$J39+$Z39)/$G39,0)*$G39,
((_xlfn.XLOOKUP($A39,'[1]DATOS PBI Artículos'!$A:$A,'[1]DATOS PBI Artículos'!$AL:$AL))/(_xlfn.XLOOKUP($AF$1,[1]CRITERIOS!$S$16:$S$39,[1]CRITERIOS!$Y$16:$Y$39))*$J39+$Z39)))</f>
        <v>223241.07563993882</v>
      </c>
      <c r="AG39" s="39">
        <f>IF($R39="MTO","",
IF($H39=0,ROUNDUP(((_xlfn.XLOOKUP($A39,'[1]DATOS PBI Artículos'!$A:$A,'[1]DATOS PBI Artículos'!$AM:$AM))/(_xlfn.XLOOKUP($AH$1,[1]CRITERIOS!$S$16:$S$39,[1]CRITERIOS!$Y$16:$Y$39))*$J39+$Z39)/$G39,0)*$G39,
((_xlfn.XLOOKUP($A39,'[1]DATOS PBI Artículos'!$A:$A,'[1]DATOS PBI Artículos'!$AM:$AM))/(_xlfn.XLOOKUP($AH$1,[1]CRITERIOS!$S$16:$S$39,[1]CRITERIOS!$Y$16:$Y$39))*$J39+$Z39)))</f>
        <v>172783.85627570693</v>
      </c>
      <c r="AI39" s="39">
        <f>IF($R39="MTO","",
IF($H39=0,ROUNDUP(((_xlfn.XLOOKUP($A39,'[1]DATOS PBI Artículos'!$A:$A,'[1]DATOS PBI Artículos'!$AN:$AN))/(_xlfn.XLOOKUP($AJ$1,[1]CRITERIOS!$S$16:$S$39,[1]CRITERIOS!$Y$16:$Y$39))*$J39+$Z39)/$G39,0)*$G39,
((_xlfn.XLOOKUP($A39,'[1]DATOS PBI Artículos'!$A:$A,'[1]DATOS PBI Artículos'!$AN:$AN))/(_xlfn.XLOOKUP($AJ$1,[1]CRITERIOS!$S$16:$S$39,[1]CRITERIOS!$Y$16:$Y$39))*$J39+$Z39)))</f>
        <v>198228.64564647211</v>
      </c>
      <c r="AK39" s="39">
        <f>IF($R39="MTO","",
IF($H39=0,ROUNDUP(((_xlfn.XLOOKUP($A39,'[1]DATOS PBI Artículos'!$A:$A,'[1]DATOS PBI Artículos'!$AO:$AO))/(_xlfn.XLOOKUP($AL$1,[1]CRITERIOS!$S$16:$S$39,[1]CRITERIOS!$Y$16:$Y$39))*$J39+$Z39)/$G39,0)*$G39,
((_xlfn.XLOOKUP($A39,'[1]DATOS PBI Artículos'!$A:$A,'[1]DATOS PBI Artículos'!$AO:$AO))/(_xlfn.XLOOKUP($AL$1,[1]CRITERIOS!$S$16:$S$39,[1]CRITERIOS!$Y$16:$Y$39))*$J39+$Z39)))</f>
        <v>211960.42149327209</v>
      </c>
    </row>
    <row r="40" spans="1:37" ht="25.8" x14ac:dyDescent="0.5">
      <c r="A40" s="32" t="s">
        <v>48</v>
      </c>
      <c r="B40" s="33">
        <f>_xlfn.XLOOKUP($A40,'[1]DATOS PBI Artículos'!A:A,'[1]DATOS PBI Artículos'!B:B)</f>
        <v>0</v>
      </c>
      <c r="C40" s="33" t="str">
        <f>_xlfn.XLOOKUP($A40,'[1]DATOS PBI Artículos'!A:A,'[1]DATOS PBI Artículos'!C:C)</f>
        <v>UA01</v>
      </c>
      <c r="D40" s="33">
        <f>_xlfn.XLOOKUP(A40,'[1]DATOS PBI Artículos'!A:A,'[1]DATOS PBI Artículos'!T:T)</f>
        <v>12</v>
      </c>
      <c r="E40" s="34">
        <f>IF(_xlfn.XLOOKUP($A40,'[1]DATOS PBI Artículos'!A:A,'[1]DATOS PBI Artículos'!AK:AK)="",_xlfn.XLOOKUP($A40,'[1]DATOS PBI Artículos'!A:A,'[1]DATOS PBI Artículos'!AJ:AJ),_xlfn.XLOOKUP($A40,'[1]DATOS PBI Artículos'!A:A,'[1]DATOS PBI Artículos'!AK:AK))</f>
        <v>320000</v>
      </c>
      <c r="F40" s="35">
        <f>_xlfn.XLOOKUP($A40,'[1]DATOS PBI Artículos'!A:A,'[1]DATOS PBI Artículos'!AP:AP)</f>
        <v>6.6363636363599996</v>
      </c>
      <c r="G40" s="34">
        <f>_xlfn.XLOOKUP($A40,'[1]DATOS PBI Artículos'!A:A,'[1]DATOS PBI Artículos'!AR:AR)</f>
        <v>20000</v>
      </c>
      <c r="H40" s="34">
        <f>_xlfn.XLOOKUP($A40,'[1]DATOS PBI Artículos'!A:A,'[1]DATOS PBI Artículos'!AT:AT)</f>
        <v>13026.778945578593</v>
      </c>
      <c r="I40" s="34">
        <f>_xlfn.XLOOKUP($A40,'[1]DATOS PBI Artículos'!A:A,'[1]DATOS PBI Artículos'!AS:AS)</f>
        <v>20000</v>
      </c>
      <c r="J40" s="35">
        <f>IF(COUNTIF([1]CRITERIOS!$F$179:$F$199,$A40)&gt;=1,
 IF(O40&lt;&gt;"",
    (O40/_xlfn.XLOOKUP(CONCATENATE(A40,L40),[1]MÁQUINAS!A:A,[1]MÁQUINAS!D:D))/24,
    (N40/_xlfn.XLOOKUP(CONCATENATE(A40,L40),[1]MÁQUINAS!A:A,[1]MÁQUINAS!D:D))/24),
  _xlfn.XLOOKUP($A40,'[1]DATOS PBI Artículos'!A:A,'[1]DATOS PBI Artículos'!AU:AU))</f>
        <v>37.444444444444443</v>
      </c>
      <c r="K40" s="36">
        <f>_xlfn.XLOOKUP($A40,'[1]DATOS PBI Artículos'!A:A,'[1]DATOS PBI Artículos'!AV:AV)</f>
        <v>7.5320665254491015</v>
      </c>
      <c r="L40" s="33">
        <f>_xlfn.XLOOKUP(A40,[1]MÁQUINAS!B:B,[1]MÁQUINAS!C:C)</f>
        <v>521</v>
      </c>
      <c r="M40" s="34">
        <f t="array" ref="M40">_xlfn.XLOOKUP(A40,'[1]DATOS PBI Artículos'!A:A,'[1]DATOS PBI Artículos'!AX:$AX)</f>
        <v>91255.793582819271</v>
      </c>
      <c r="N40" s="37">
        <f>IF(I40="DV",
E40,
IF(COUNTIF([1]CRITERIOS!$I$179:$I$199,$A40)&gt;=1,
_xlfn.XLOOKUP($A40,[1]CRITERIOS!$I$179:$I$199,[1]CRITERIOS!$J$179:$J$199),
IF(COUNTIF([1]CRITERIOS!$L$179:$L$199,$A40)&gt;=1,
_xlfn.CEILING.MATH(IF($M40&gt;$E40,
$E40,
IF($M40&lt;$E40/ROUNDDOWN([1]CRITERIOS!$M$16/_xlfn.XLOOKUP($C40,[1]CRITERIOS!$K$25:$K$42,[1]CRITERIOS!$M$25:$M$42),
1),
E40/ROUNDDOWN([1]CRITERIOS!$M$16/_xlfn.XLOOKUP($C40,[1]CRITERIOS!$K$25:$K$42,[1]CRITERIOS!$M$25:$M$42),
1),
$M40)),
_xlfn.XLOOKUP($A40,[1]CRITERIOS!$L$179:$L$200,[1]CRITERIOS!$M$179:$M$200)),
_xlfn.CEILING.MATH(IF($M40&gt;$E40,
$E40,
IF($M40&lt;$E40/ROUNDDOWN([1]CRITERIOS!$M$16/_xlfn.XLOOKUP($C40,[1]CRITERIOS!$K$25:$K$42,[1]CRITERIOS!$M$25:$M$42),
1),
E40/ROUNDDOWN([1]CRITERIOS!$M$16/_xlfn.XLOOKUP($C40,[1]CRITERIOS!$K$25:$K$42,[1]CRITERIOS!$M$25:$M$42),
1),
$M40)),_xlfn.XLOOKUP(A40,'[1]DATOS PBI Artículos'!A:A,'[1]DATOS PBI Artículos'!Z:Z
)))))</f>
        <v>92000</v>
      </c>
      <c r="Q40" s="38">
        <f>IF(AND(O40="",N40=0),
0,
   IF(COUNTIF([1]CRITERIOS!$F$179:$F$199,$A40)&gt;=1,
   1,
   IF(R40="MTO",
      $D40,
      ROUNDUP(
                    IF(($E40-SUMIF('[1]DATOS PBI Artículos'!A:A,A40,'[1]DATOS PBI Artículos'!X:X)+($V40-_xlfn.XLOOKUP(A40,'[1]DATOS PBI Artículos'!A:A,'[1]DATOS PBI Artículos'!W:W)))&lt;0,
                    0,
                    IF(($E40-SUMIF('[1]DATOS PBI Artículos'!A:A,A40,'[1]DATOS PBI Artículos'!X:X)+$V40-_xlfn.XLOOKUP($A40,'[1]DATOS PBI Artículos'!A:A,'[1]DATOS PBI Artículos'!W:W))/IF($O40="",$N40,$O40)&gt;ROUNDUP([1]CRITERIOS!$M$16/(IF(COUNTIF([1]CRITERIOS!$BG$11:$BG$201,L40)&gt;=1,_xlfn.XLOOKUP($C40,[1]CRITERIOS!$K$25:$K$42,[1]CRITERIOS!$M$25:$M$42),_xlfn.XLOOKUP($C40,[1]CRITERIOS!$K$25:$K$42,[1]CRITERIOS!$M$25:$M$42))),0),
                    ROUNDUP([1]CRITERIOS!$M$16/(IF(COUNTIF([1]CRITERIOS!$BG$11:$BG$201,$L40)&gt;=1,_xlfn.XLOOKUP($C40,[1]CRITERIOS!$K$25:$K$42,[1]CRITERIOS!$M$25:$M$42),_xlfn.XLOOKUP($C40,[1]CRITERIOS!$K$25:$K$42,[1]CRITERIOS!$M$25:$M$42))),0),
                    (E40+V40-SUMIF('[1]DATOS PBI Artículos'!A:A,A40,'[1]DATOS PBI Artículos'!X:X)-_xlfn.XLOOKUP(A40,'[1]DATOS PBI Artículos'!A:A,'[1]DATOS PBI Artículos'!W:W))/IF($O40="",$N40,$O40))),0))))</f>
        <v>3</v>
      </c>
      <c r="R40" s="33" t="str">
        <f>IF(U40&lt;&gt;"",U40,IF(F40="DV","MTO",IF(N40=0,"MTO",_xlfn.XLOOKUP(CONCATENATE(S40,T40),[1]CRITERIOS!$K$160:$K$168,[1]CRITERIOS!$N$160:$N$168))))</f>
        <v>MTS</v>
      </c>
      <c r="S40" s="33" t="str">
        <f>IF(G40="DV","MTO",IF(N40=0,"MTO",IF(OR(AND(N40=0,O40=""),IF(O40="",G40/N40,G40/O40)&gt;[1]CRITERIOS!$G$163),"MTO",IF(IF(O40="",G40/N40,G40/O40)&lt;[1]CRITERIOS!$H$161,"MTS","MTOS"))))</f>
        <v>MTS</v>
      </c>
      <c r="T40" s="33" t="str">
        <f>IF(F40="DV","MTO",IF(OR(AND($N40=0,O40=""),$F40/$J40&gt;[1]CRITERIOS!$G$170,$F40="DV"),"MTO",IF($F40/$J40&lt;[1]CRITERIOS!$H$168,"MTS","MTOS")))</f>
        <v>MTS</v>
      </c>
      <c r="V40" s="34">
        <f t="shared" si="4"/>
        <v>150482.60102921462</v>
      </c>
      <c r="X40" s="34">
        <f t="shared" si="1"/>
        <v>242482.60102921462</v>
      </c>
      <c r="Y40" s="34">
        <f t="shared" si="2"/>
        <v>83636.330100690073</v>
      </c>
      <c r="Z40" s="34">
        <f>IF($R40="MTO",
0,
($H40+$K40*($E40/[1]CRITERIOS!$M$16))/[1]CRITERIOS!$X$48)</f>
        <v>37636.33010069008</v>
      </c>
      <c r="AA40" s="34" t="e">
        <f>ROUNDUP(($Y40/_xlfn.XLOOKUP($A40,'[1]DATOS PBI Artículos'!$A$4:$A$4,'[1]DATOS PBI Artículos'!$Z$4:$Z$4))/_xlfn.XLOOKUP(_xlfn.XLOOKUP($A40,'[1]DATOS PBI Artículos'!$A$4:$A$4,'[1]DATOS PBI Artículos'!$Y$4:$Y$4),[1]CRITERIOS!$P$79:$P$123,[1]CRITERIOS!$S$79:$S$123,),0)</f>
        <v>#N/A</v>
      </c>
      <c r="AB40" s="33" t="e">
        <f t="array" ref="AB40">IF((E40+V40-_xlfn.XLOOKUP(A40,'[1]DATOS PBI Artículos'!$A$4:$A$4,'[1]DATOS PBI Artículos'!$W$4:$W$4))/N40&gt;ROUNDUP([1]CRITERIOS!$M$16/(IF(COUNTIF([1]CRITERIOS!$BG$11:$BG$201,L40)&gt;=1,_xlfn.XLOOKUP(ARTÍCULOS!L40,[1]CRITERIOS!$BG$11:$BG$201,[1]CRITERIOS!$BJ$11:$BJ$201),_xlfn.XLOOKUP(ARTÍCULOS!C40,[1]CRITERIOS!$K$25:$K$42,[1]CRITERIOS!$M$25:$M$42))),0),ROUNDUP([1]CRITERIOS!$M$16/(IF(COUNTIF([1]CRITERIOS!$BG$11:$BG$201,L40)&gt;=1,_xlfn.XLOOKUP(ARTÍCULOS!L40,[1]CRITERIOS!$BG$11:$BG$201:#REF!,[1]CRITERIOS!$BJ$11:$BJ$201),_xlfn.XLOOKUP(ARTÍCULOS!C40,[1]CRITERIOS!$K$25:$K$42,[1]CRITERIOS!$M$25:$M$42))),0),(E40+V40-_xlfn.XLOOKUP(A40,'[1]DATOS PBI Artículos'!$A$4:$A$4,'[1]DATOS PBI Artículos'!$W$4:$W$4))/N40)</f>
        <v>#N/A</v>
      </c>
      <c r="AC40" s="33" t="e">
        <f>IF(N40=0,"",(ROUNDUP((N40/2)/(_xlfn.XLOOKUP(A40,'[1]DATOS PBI Artículos'!$A$4:$A$4,'[1]DATOS PBI Artículos'!$Z$4:$Z$4)*_xlfn.XLOOKUP(_xlfn.XLOOKUP(A40,'[1]DATOS PBI Artículos'!$A$4:$A$4,'[1]DATOS PBI Artículos'!$Y$4:$Y$4),[1]CRITERIOS!$P$79:$P$123,[1]CRITERIOS!$S$79:$S$123)),0)*[1]CRITERIOS!$M$80*([1]CRITERIOS!$M$110/[1]CRITERIOS!$M$86)+(_xlfn.XLOOKUP(A40,'[1]DATOS PBI Artículos'!$A$4:$A$4,'[1]DATOS PBI Artículos'!$AA$4:$AA$4)*([1]CRITERIOS!$M$95+[1]CRITERIOS!$M$98)))/N40)</f>
        <v>#N/A</v>
      </c>
      <c r="AD40" s="33" t="e">
        <f>IF(N40=0,"",(ROUNDUP((N40/2)/(_xlfn.XLOOKUP(A40,'[1]DATOS PBI Artículos'!$A$4:$A$4,'[1]DATOS PBI Artículos'!$Z$4:$Z$4)*_xlfn.XLOOKUP(_xlfn.XLOOKUP(A40,'[1]DATOS PBI Artículos'!$A$4:$A$4,'[1]DATOS PBI Artículos'!$Y$4:$Y$4),[1]CRITERIOS!$P$79:$P$123,[1]CRITERIOS!$S$79:$S$123)),0)*[1]CRITERIOS!$M$80*([1]CRITERIOS!$M$89*[1]CRITERIOS!$M$92)+((_xlfn.XLOOKUP(A40,'[1]DATOS PBI Artículos'!$A$4:$A$4,'[1]DATOS PBI Artículos'!$AA$4:$AA$4)/2)*([1]CRITERIOS!$M$95+[1]CRITERIOS!$M$98)))/N40)</f>
        <v>#N/A</v>
      </c>
      <c r="AE40" s="39">
        <f>IF($R40="MTO","",
IF($H40=0,ROUNDUP(((_xlfn.XLOOKUP($A40,'[1]DATOS PBI Artículos'!$A:$A,'[1]DATOS PBI Artículos'!$AL:$AL))/(_xlfn.XLOOKUP($AF$1,[1]CRITERIOS!$S$16:$S$39,[1]CRITERIOS!$Y$16:$Y$39))*$J40+$Z40)/$G40,0)*$G40,
((_xlfn.XLOOKUP($A40,'[1]DATOS PBI Artículos'!$A:$A,'[1]DATOS PBI Artículos'!$AL:$AL))/(_xlfn.XLOOKUP($AF$1,[1]CRITERIOS!$S$16:$S$39,[1]CRITERIOS!$Y$16:$Y$39))*$J40+$Z40)))</f>
        <v>222413.05948389997</v>
      </c>
      <c r="AG40" s="39">
        <f>IF($R40="MTO","",
IF($H40=0,ROUNDUP(((_xlfn.XLOOKUP($A40,'[1]DATOS PBI Artículos'!$A:$A,'[1]DATOS PBI Artículos'!$AM:$AM))/(_xlfn.XLOOKUP($AH$1,[1]CRITERIOS!$S$16:$S$39,[1]CRITERIOS!$Y$16:$Y$39))*$J40+$Z40)/$G40,0)*$G40,
((_xlfn.XLOOKUP($A40,'[1]DATOS PBI Artículos'!$A:$A,'[1]DATOS PBI Artículos'!$AM:$AM))/(_xlfn.XLOOKUP($AH$1,[1]CRITERIOS!$S$16:$S$39,[1]CRITERIOS!$Y$16:$Y$39))*$J40+$Z40)))</f>
        <v>170365.05542590746</v>
      </c>
      <c r="AI40" s="39">
        <f>IF($R40="MTO","",
IF($H40=0,ROUNDUP(((_xlfn.XLOOKUP($A40,'[1]DATOS PBI Artículos'!$A:$A,'[1]DATOS PBI Artículos'!$AN:$AN))/(_xlfn.XLOOKUP($AJ$1,[1]CRITERIOS!$S$16:$S$39,[1]CRITERIOS!$Y$16:$Y$39))*$J40+$Z40)/$G40,0)*$G40,
((_xlfn.XLOOKUP($A40,'[1]DATOS PBI Artículos'!$A:$A,'[1]DATOS PBI Artículos'!$AN:$AN))/(_xlfn.XLOOKUP($AJ$1,[1]CRITERIOS!$S$16:$S$39,[1]CRITERIOS!$Y$16:$Y$39))*$J40+$Z40)))</f>
        <v>196612.05272602336</v>
      </c>
      <c r="AK40" s="39">
        <f>IF($R40="MTO","",
IF($H40=0,ROUNDUP(((_xlfn.XLOOKUP($A40,'[1]DATOS PBI Artículos'!$A:$A,'[1]DATOS PBI Artículos'!$AO:$AO))/(_xlfn.XLOOKUP($AL$1,[1]CRITERIOS!$S$16:$S$39,[1]CRITERIOS!$Y$16:$Y$39))*$J40+$Z40)/$G40,0)*$G40,
((_xlfn.XLOOKUP($A40,'[1]DATOS PBI Artículos'!$A:$A,'[1]DATOS PBI Artículos'!$AO:$AO))/(_xlfn.XLOOKUP($AL$1,[1]CRITERIOS!$S$16:$S$39,[1]CRITERIOS!$Y$16:$Y$39))*$J40+$Z40)))</f>
        <v>210776.75569624559</v>
      </c>
    </row>
    <row r="41" spans="1:37" ht="25.8" x14ac:dyDescent="0.5">
      <c r="A41" s="32">
        <v>451572</v>
      </c>
      <c r="B41" s="33">
        <f>_xlfn.XLOOKUP($A41,'[1]DATOS PBI Artículos'!A:A,'[1]DATOS PBI Artículos'!B:B)</f>
        <v>0</v>
      </c>
      <c r="C41" s="33" t="str">
        <f>_xlfn.XLOOKUP($A41,'[1]DATOS PBI Artículos'!A:A,'[1]DATOS PBI Artículos'!C:C)</f>
        <v>UA02</v>
      </c>
      <c r="D41" s="33">
        <f>_xlfn.XLOOKUP(A41,'[1]DATOS PBI Artículos'!A:A,'[1]DATOS PBI Artículos'!T:T)</f>
        <v>4</v>
      </c>
      <c r="E41" s="34">
        <f>IF(_xlfn.XLOOKUP($A41,'[1]DATOS PBI Artículos'!A:A,'[1]DATOS PBI Artículos'!AK:AK)="",_xlfn.XLOOKUP($A41,'[1]DATOS PBI Artículos'!A:A,'[1]DATOS PBI Artículos'!AJ:AJ),_xlfn.XLOOKUP($A41,'[1]DATOS PBI Artículos'!A:A,'[1]DATOS PBI Artículos'!AK:AK))</f>
        <v>320000</v>
      </c>
      <c r="F41" s="35">
        <f>_xlfn.XLOOKUP($A41,'[1]DATOS PBI Artículos'!A:A,'[1]DATOS PBI Artículos'!AP:AP)</f>
        <v>2.6956521739100001</v>
      </c>
      <c r="G41" s="34">
        <f>_xlfn.XLOOKUP($A41,'[1]DATOS PBI Artículos'!A:A,'[1]DATOS PBI Artículos'!AR:AR)</f>
        <v>10000</v>
      </c>
      <c r="H41" s="34">
        <f>_xlfn.XLOOKUP($A41,'[1]DATOS PBI Artículos'!A:A,'[1]DATOS PBI Artículos'!AT:AT)</f>
        <v>0</v>
      </c>
      <c r="I41" s="34">
        <f>_xlfn.XLOOKUP($A41,'[1]DATOS PBI Artículos'!A:A,'[1]DATOS PBI Artículos'!AS:AS)</f>
        <v>10000</v>
      </c>
      <c r="J41" s="35">
        <f>IF(COUNTIF([1]CRITERIOS!$F$179:$F$199,$A41)&gt;=1,
 IF(O41&lt;&gt;"",
    (O41/_xlfn.XLOOKUP(CONCATENATE(A41,L41),[1]MÁQUINAS!A:A,[1]MÁQUINAS!D:D))/24,
    (N41/_xlfn.XLOOKUP(CONCATENATE(A41,L41),[1]MÁQUINAS!A:A,[1]MÁQUINAS!D:D))/24),
  _xlfn.XLOOKUP($A41,'[1]DATOS PBI Artículos'!A:A,'[1]DATOS PBI Artículos'!AU:AU))</f>
        <v>20.357142857142858</v>
      </c>
      <c r="K41" s="36">
        <f>_xlfn.XLOOKUP($A41,'[1]DATOS PBI Artículos'!A:A,'[1]DATOS PBI Artículos'!AV:AV)</f>
        <v>3.3651412784868078</v>
      </c>
      <c r="L41" s="33">
        <f>_xlfn.XLOOKUP(A41,[1]MÁQUINAS!B:B,[1]MÁQUINAS!C:C)</f>
        <v>221</v>
      </c>
      <c r="M41" s="34">
        <f t="array" ref="M41">_xlfn.XLOOKUP(A41,'[1]DATOS PBI Artículos'!A:A,'[1]DATOS PBI Artículos'!AX:$AX)</f>
        <v>91209.65980561584</v>
      </c>
      <c r="N41" s="37">
        <f>IF(I41="DV",
E41,
IF(COUNTIF([1]CRITERIOS!$I$179:$I$199,$A41)&gt;=1,
_xlfn.XLOOKUP($A41,[1]CRITERIOS!$I$179:$I$199,[1]CRITERIOS!$J$179:$J$199),
IF(COUNTIF([1]CRITERIOS!$L$179:$L$199,$A41)&gt;=1,
_xlfn.CEILING.MATH(IF($M41&gt;$E41,
$E41,
IF($M41&lt;$E41/ROUNDDOWN([1]CRITERIOS!$M$16/_xlfn.XLOOKUP($C41,[1]CRITERIOS!$K$25:$K$42,[1]CRITERIOS!$M$25:$M$42),
1),
E41/ROUNDDOWN([1]CRITERIOS!$M$16/_xlfn.XLOOKUP($C41,[1]CRITERIOS!$K$25:$K$42,[1]CRITERIOS!$M$25:$M$42),
1),
$M41)),
_xlfn.XLOOKUP($A41,[1]CRITERIOS!$L$179:$L$200,[1]CRITERIOS!$M$179:$M$200)),
_xlfn.CEILING.MATH(IF($M41&gt;$E41,
$E41,
IF($M41&lt;$E41/ROUNDDOWN([1]CRITERIOS!$M$16/_xlfn.XLOOKUP($C41,[1]CRITERIOS!$K$25:$K$42,[1]CRITERIOS!$M$25:$M$42),
1),
E41/ROUNDDOWN([1]CRITERIOS!$M$16/_xlfn.XLOOKUP($C41,[1]CRITERIOS!$K$25:$K$42,[1]CRITERIOS!$M$25:$M$42),
1),
$M41)),_xlfn.XLOOKUP(A41,'[1]DATOS PBI Artículos'!A:A,'[1]DATOS PBI Artículos'!Z:Z
)))))</f>
        <v>100000</v>
      </c>
      <c r="Q41" s="38">
        <f>IF(AND(O41="",N41=0),
0,
   IF(COUNTIF([1]CRITERIOS!$F$179:$F$199,$A41)&gt;=1,
   1,
   IF(R41="MTO",
      $D41,
      ROUNDUP(
                    IF(($E41-SUMIF('[1]DATOS PBI Artículos'!A:A,A41,'[1]DATOS PBI Artículos'!X:X)+($V41-_xlfn.XLOOKUP(A41,'[1]DATOS PBI Artículos'!A:A,'[1]DATOS PBI Artículos'!W:W)))&lt;0,
                    0,
                    IF(($E41-SUMIF('[1]DATOS PBI Artículos'!A:A,A41,'[1]DATOS PBI Artículos'!X:X)+$V41-_xlfn.XLOOKUP($A41,'[1]DATOS PBI Artículos'!A:A,'[1]DATOS PBI Artículos'!W:W))/IF($O41="",$N41,$O41)&gt;ROUNDUP([1]CRITERIOS!$M$16/(IF(COUNTIF([1]CRITERIOS!$BG$11:$BG$201,L41)&gt;=1,_xlfn.XLOOKUP($C41,[1]CRITERIOS!$K$25:$K$42,[1]CRITERIOS!$M$25:$M$42),_xlfn.XLOOKUP($C41,[1]CRITERIOS!$K$25:$K$42,[1]CRITERIOS!$M$25:$M$42))),0),
                    ROUNDUP([1]CRITERIOS!$M$16/(IF(COUNTIF([1]CRITERIOS!$BG$11:$BG$201,$L41)&gt;=1,_xlfn.XLOOKUP($C41,[1]CRITERIOS!$K$25:$K$42,[1]CRITERIOS!$M$25:$M$42),_xlfn.XLOOKUP($C41,[1]CRITERIOS!$K$25:$K$42,[1]CRITERIOS!$M$25:$M$42))),0),
                    (E41+V41-SUMIF('[1]DATOS PBI Artículos'!A:A,A41,'[1]DATOS PBI Artículos'!X:X)-_xlfn.XLOOKUP(A41,'[1]DATOS PBI Artículos'!A:A,'[1]DATOS PBI Artículos'!W:W))/IF($O41="",$N41,$O41))),0))))</f>
        <v>3</v>
      </c>
      <c r="R41" s="33" t="str">
        <f>IF(U41&lt;&gt;"",U41,IF(F41="DV","MTO",IF(N41=0,"MTO",_xlfn.XLOOKUP(CONCATENATE(S41,T41),[1]CRITERIOS!$K$160:$K$168,[1]CRITERIOS!$N$160:$N$168))))</f>
        <v>MTS</v>
      </c>
      <c r="S41" s="33" t="str">
        <f>IF(G41="DV","MTO",IF(N41=0,"MTO",IF(OR(AND(N41=0,O41=""),IF(O41="",G41/N41,G41/O41)&gt;[1]CRITERIOS!$G$163),"MTO",IF(IF(O41="",G41/N41,G41/O41)&lt;[1]CRITERIOS!$H$161,"MTS","MTOS"))))</f>
        <v>MTS</v>
      </c>
      <c r="T41" s="33" t="str">
        <f>IF(F41="DV","MTO",IF(OR(AND($N41=0,O41=""),$F41/$J41&gt;[1]CRITERIOS!$G$170,$F41="DV"),"MTO",IF($F41/$J41&lt;[1]CRITERIOS!$H$168,"MTS","MTOS")))</f>
        <v>MTS</v>
      </c>
      <c r="V41" s="34">
        <f t="shared" si="4"/>
        <v>87483.37994776186</v>
      </c>
      <c r="X41" s="34">
        <f t="shared" si="1"/>
        <v>187483.37994776186</v>
      </c>
      <c r="Y41" s="34">
        <f t="shared" si="2"/>
        <v>61964.946767953094</v>
      </c>
      <c r="Z41" s="34">
        <f>IF($R41="MTO",
0,
($H41+$K41*($E41/[1]CRITERIOS!$M$16))/[1]CRITERIOS!$X$48)</f>
        <v>11964.946767953095</v>
      </c>
      <c r="AA41" s="34" t="e">
        <f>ROUNDUP(($Y41/_xlfn.XLOOKUP($A41,'[1]DATOS PBI Artículos'!$A$4:$A$4,'[1]DATOS PBI Artículos'!$Z$4:$Z$4))/_xlfn.XLOOKUP(_xlfn.XLOOKUP($A41,'[1]DATOS PBI Artículos'!$A$4:$A$4,'[1]DATOS PBI Artículos'!$Y$4:$Y$4),[1]CRITERIOS!$P$79:$P$123,[1]CRITERIOS!$S$79:$S$123,),0)</f>
        <v>#N/A</v>
      </c>
      <c r="AB41" s="33" t="e">
        <f t="array" ref="AB41">IF((E41+V41-_xlfn.XLOOKUP(A41,'[1]DATOS PBI Artículos'!$A$4:$A$4,'[1]DATOS PBI Artículos'!$W$4:$W$4))/N41&gt;ROUNDUP([1]CRITERIOS!$M$16/(IF(COUNTIF([1]CRITERIOS!$BG$11:$BG$201,L41)&gt;=1,_xlfn.XLOOKUP(ARTÍCULOS!L41,[1]CRITERIOS!$BG$11:$BG$201,[1]CRITERIOS!$BJ$11:$BJ$201),_xlfn.XLOOKUP(ARTÍCULOS!C41,[1]CRITERIOS!$K$25:$K$42,[1]CRITERIOS!$M$25:$M$42))),0),ROUNDUP([1]CRITERIOS!$M$16/(IF(COUNTIF([1]CRITERIOS!$BG$11:$BG$201,L41)&gt;=1,_xlfn.XLOOKUP(ARTÍCULOS!L41,[1]CRITERIOS!$BG$11:$BG$201:#REF!,[1]CRITERIOS!$BJ$11:$BJ$201),_xlfn.XLOOKUP(ARTÍCULOS!C41,[1]CRITERIOS!$K$25:$K$42,[1]CRITERIOS!$M$25:$M$42))),0),(E41+V41-_xlfn.XLOOKUP(A41,'[1]DATOS PBI Artículos'!$A$4:$A$4,'[1]DATOS PBI Artículos'!$W$4:$W$4))/N41)</f>
        <v>#N/A</v>
      </c>
      <c r="AC41" s="33" t="e">
        <f>IF(N41=0,"",(ROUNDUP((N41/2)/(_xlfn.XLOOKUP(A41,'[1]DATOS PBI Artículos'!$A$4:$A$4,'[1]DATOS PBI Artículos'!$Z$4:$Z$4)*_xlfn.XLOOKUP(_xlfn.XLOOKUP(A41,'[1]DATOS PBI Artículos'!$A$4:$A$4,'[1]DATOS PBI Artículos'!$Y$4:$Y$4),[1]CRITERIOS!$P$79:$P$123,[1]CRITERIOS!$S$79:$S$123)),0)*[1]CRITERIOS!$M$80*([1]CRITERIOS!$M$110/[1]CRITERIOS!$M$86)+(_xlfn.XLOOKUP(A41,'[1]DATOS PBI Artículos'!$A$4:$A$4,'[1]DATOS PBI Artículos'!$AA$4:$AA$4)*([1]CRITERIOS!$M$95+[1]CRITERIOS!$M$98)))/N41)</f>
        <v>#N/A</v>
      </c>
      <c r="AD41" s="33" t="e">
        <f>IF(N41=0,"",(ROUNDUP((N41/2)/(_xlfn.XLOOKUP(A41,'[1]DATOS PBI Artículos'!$A$4:$A$4,'[1]DATOS PBI Artículos'!$Z$4:$Z$4)*_xlfn.XLOOKUP(_xlfn.XLOOKUP(A41,'[1]DATOS PBI Artículos'!$A$4:$A$4,'[1]DATOS PBI Artículos'!$Y$4:$Y$4),[1]CRITERIOS!$P$79:$P$123,[1]CRITERIOS!$S$79:$S$123)),0)*[1]CRITERIOS!$M$80*([1]CRITERIOS!$M$89*[1]CRITERIOS!$M$92)+((_xlfn.XLOOKUP(A41,'[1]DATOS PBI Artículos'!$A$4:$A$4,'[1]DATOS PBI Artículos'!$AA$4:$AA$4)/2)*([1]CRITERIOS!$M$95+[1]CRITERIOS!$M$98)))/N41)</f>
        <v>#N/A</v>
      </c>
      <c r="AE41" s="39">
        <f>IF($R41="MTO","",
IF($H41=0,ROUNDUP(((_xlfn.XLOOKUP($A41,'[1]DATOS PBI Artículos'!$A:$A,'[1]DATOS PBI Artículos'!$AL:$AL))/(_xlfn.XLOOKUP($AF$1,[1]CRITERIOS!$S$16:$S$39,[1]CRITERIOS!$Y$16:$Y$39))*$J41+$Z41)/$G41,0)*$G41,
((_xlfn.XLOOKUP($A41,'[1]DATOS PBI Artículos'!$A:$A,'[1]DATOS PBI Artículos'!$AL:$AL))/(_xlfn.XLOOKUP($AF$1,[1]CRITERIOS!$S$16:$S$39,[1]CRITERIOS!$Y$16:$Y$39))*$J41+$Z41)))</f>
        <v>120000</v>
      </c>
      <c r="AG41" s="39">
        <f>IF($R41="MTO","",
IF($H41=0,ROUNDUP(((_xlfn.XLOOKUP($A41,'[1]DATOS PBI Artículos'!$A:$A,'[1]DATOS PBI Artículos'!$AM:$AM))/(_xlfn.XLOOKUP($AH$1,[1]CRITERIOS!$S$16:$S$39,[1]CRITERIOS!$Y$16:$Y$39))*$J41+$Z41)/$G41,0)*$G41,
((_xlfn.XLOOKUP($A41,'[1]DATOS PBI Artículos'!$A:$A,'[1]DATOS PBI Artículos'!$AM:$AM))/(_xlfn.XLOOKUP($AH$1,[1]CRITERIOS!$S$16:$S$39,[1]CRITERIOS!$Y$16:$Y$39))*$J41+$Z41)))</f>
        <v>90000</v>
      </c>
      <c r="AI41" s="39">
        <f>IF($R41="MTO","",
IF($H41=0,ROUNDUP(((_xlfn.XLOOKUP($A41,'[1]DATOS PBI Artículos'!$A:$A,'[1]DATOS PBI Artículos'!$AN:$AN))/(_xlfn.XLOOKUP($AJ$1,[1]CRITERIOS!$S$16:$S$39,[1]CRITERIOS!$Y$16:$Y$39))*$J41+$Z41)/$G41,0)*$G41,
((_xlfn.XLOOKUP($A41,'[1]DATOS PBI Artículos'!$A:$A,'[1]DATOS PBI Artículos'!$AN:$AN))/(_xlfn.XLOOKUP($AJ$1,[1]CRITERIOS!$S$16:$S$39,[1]CRITERIOS!$Y$16:$Y$39))*$J41+$Z41)))</f>
        <v>100000</v>
      </c>
      <c r="AK41" s="39">
        <f>IF($R41="MTO","",
IF($H41=0,ROUNDUP(((_xlfn.XLOOKUP($A41,'[1]DATOS PBI Artículos'!$A:$A,'[1]DATOS PBI Artículos'!$AO:$AO))/(_xlfn.XLOOKUP($AL$1,[1]CRITERIOS!$S$16:$S$39,[1]CRITERIOS!$Y$16:$Y$39))*$J41+$Z41)/$G41,0)*$G41,
((_xlfn.XLOOKUP($A41,'[1]DATOS PBI Artículos'!$A:$A,'[1]DATOS PBI Artículos'!$AO:$AO))/(_xlfn.XLOOKUP($AL$1,[1]CRITERIOS!$S$16:$S$39,[1]CRITERIOS!$Y$16:$Y$39))*$J41+$Z41)))</f>
        <v>110000</v>
      </c>
    </row>
    <row r="42" spans="1:37" ht="25.8" x14ac:dyDescent="0.5">
      <c r="A42" s="32">
        <v>400208</v>
      </c>
      <c r="B42" s="33">
        <f>_xlfn.XLOOKUP($A42,'[1]DATOS PBI Artículos'!A:A,'[1]DATOS PBI Artículos'!B:B)</f>
        <v>0</v>
      </c>
      <c r="C42" s="33" t="str">
        <f>_xlfn.XLOOKUP($A42,'[1]DATOS PBI Artículos'!A:A,'[1]DATOS PBI Artículos'!C:C)</f>
        <v>UA03</v>
      </c>
      <c r="D42" s="33">
        <f>_xlfn.XLOOKUP(A42,'[1]DATOS PBI Artículos'!A:A,'[1]DATOS PBI Artículos'!T:T)</f>
        <v>14</v>
      </c>
      <c r="E42" s="34">
        <f>IF(_xlfn.XLOOKUP($A42,'[1]DATOS PBI Artículos'!A:A,'[1]DATOS PBI Artículos'!AK:AK)="",_xlfn.XLOOKUP($A42,'[1]DATOS PBI Artículos'!A:A,'[1]DATOS PBI Artículos'!AJ:AJ),_xlfn.XLOOKUP($A42,'[1]DATOS PBI Artículos'!A:A,'[1]DATOS PBI Artículos'!AK:AK))</f>
        <v>318600</v>
      </c>
      <c r="F42" s="35">
        <f>_xlfn.XLOOKUP($A42,'[1]DATOS PBI Artículos'!A:A,'[1]DATOS PBI Artículos'!AP:AP)</f>
        <v>5.61538461538</v>
      </c>
      <c r="G42" s="34">
        <f>_xlfn.XLOOKUP($A42,'[1]DATOS PBI Artículos'!A:A,'[1]DATOS PBI Artículos'!AR:AR)</f>
        <v>21240</v>
      </c>
      <c r="H42" s="34">
        <f>_xlfn.XLOOKUP($A42,'[1]DATOS PBI Artículos'!A:A,'[1]DATOS PBI Artículos'!AT:AT)</f>
        <v>12779.825103276245</v>
      </c>
      <c r="I42" s="34">
        <f>_xlfn.XLOOKUP($A42,'[1]DATOS PBI Artículos'!A:A,'[1]DATOS PBI Artículos'!AS:AS)</f>
        <v>7080</v>
      </c>
      <c r="J42" s="35">
        <f>IF(COUNTIF([1]CRITERIOS!$F$179:$F$199,$A42)&gt;=1,
 IF(O42&lt;&gt;"",
    (O42/_xlfn.XLOOKUP(CONCATENATE(A42,L42),[1]MÁQUINAS!A:A,[1]MÁQUINAS!D:D))/24,
    (N42/_xlfn.XLOOKUP(CONCATENATE(A42,L42),[1]MÁQUINAS!A:A,[1]MÁQUINAS!D:D))/24),
  _xlfn.XLOOKUP($A42,'[1]DATOS PBI Artículos'!A:A,'[1]DATOS PBI Artículos'!AU:AU))</f>
        <v>14.944444444444445</v>
      </c>
      <c r="K42" s="36">
        <f>_xlfn.XLOOKUP($A42,'[1]DATOS PBI Artículos'!A:A,'[1]DATOS PBI Artículos'!AV:AV)</f>
        <v>1.7977836754712315</v>
      </c>
      <c r="L42" s="33">
        <f>_xlfn.XLOOKUP(A42,[1]MÁQUINAS!B:B,[1]MÁQUINAS!C:C)</f>
        <v>142</v>
      </c>
      <c r="M42" s="34">
        <f t="array" ref="M42">_xlfn.XLOOKUP(A42,'[1]DATOS PBI Artículos'!A:A,'[1]DATOS PBI Artículos'!AX:$AX)</f>
        <v>81580.826539712725</v>
      </c>
      <c r="N42" s="37">
        <f>IF(I42="DV",
E42,
IF(COUNTIF([1]CRITERIOS!$I$179:$I$199,$A42)&gt;=1,
_xlfn.XLOOKUP($A42,[1]CRITERIOS!$I$179:$I$199,[1]CRITERIOS!$J$179:$J$199),
IF(COUNTIF([1]CRITERIOS!$L$179:$L$199,$A42)&gt;=1,
_xlfn.CEILING.MATH(IF($M42&gt;$E42,
$E42,
IF($M42&lt;$E42/ROUNDDOWN([1]CRITERIOS!$M$16/_xlfn.XLOOKUP($C42,[1]CRITERIOS!$K$25:$K$42,[1]CRITERIOS!$M$25:$M$42),
1),
E42/ROUNDDOWN([1]CRITERIOS!$M$16/_xlfn.XLOOKUP($C42,[1]CRITERIOS!$K$25:$K$42,[1]CRITERIOS!$M$25:$M$42),
1),
$M42)),
_xlfn.XLOOKUP($A42,[1]CRITERIOS!$L$179:$L$200,[1]CRITERIOS!$M$179:$M$200)),
_xlfn.CEILING.MATH(IF($M42&gt;$E42,
$E42,
IF($M42&lt;$E42/ROUNDDOWN([1]CRITERIOS!$M$16/_xlfn.XLOOKUP($C42,[1]CRITERIOS!$K$25:$K$42,[1]CRITERIOS!$M$25:$M$42),
1),
E42/ROUNDDOWN([1]CRITERIOS!$M$16/_xlfn.XLOOKUP($C42,[1]CRITERIOS!$K$25:$K$42,[1]CRITERIOS!$M$25:$M$42),
1),
$M42)),_xlfn.XLOOKUP(A42,'[1]DATOS PBI Artículos'!A:A,'[1]DATOS PBI Artículos'!Z:Z
)))))</f>
        <v>92040</v>
      </c>
      <c r="Q42" s="38">
        <f>IF(AND(O42="",N42=0),
0,
   IF(COUNTIF([1]CRITERIOS!$F$179:$F$199,$A42)&gt;=1,
   1,
   IF(R42="MTO",
      $D42,
      ROUNDUP(
                    IF(($E42-SUMIF('[1]DATOS PBI Artículos'!A:A,A42,'[1]DATOS PBI Artículos'!X:X)+($V42-_xlfn.XLOOKUP(A42,'[1]DATOS PBI Artículos'!A:A,'[1]DATOS PBI Artículos'!W:W)))&lt;0,
                    0,
                    IF(($E42-SUMIF('[1]DATOS PBI Artículos'!A:A,A42,'[1]DATOS PBI Artículos'!X:X)+$V42-_xlfn.XLOOKUP($A42,'[1]DATOS PBI Artículos'!A:A,'[1]DATOS PBI Artículos'!W:W))/IF($O42="",$N42,$O42)&gt;ROUNDUP([1]CRITERIOS!$M$16/(IF(COUNTIF([1]CRITERIOS!$BG$11:$BG$201,L42)&gt;=1,_xlfn.XLOOKUP($C42,[1]CRITERIOS!$K$25:$K$42,[1]CRITERIOS!$M$25:$M$42),_xlfn.XLOOKUP($C42,[1]CRITERIOS!$K$25:$K$42,[1]CRITERIOS!$M$25:$M$42))),0),
                    ROUNDUP([1]CRITERIOS!$M$16/(IF(COUNTIF([1]CRITERIOS!$BG$11:$BG$201,$L42)&gt;=1,_xlfn.XLOOKUP($C42,[1]CRITERIOS!$K$25:$K$42,[1]CRITERIOS!$M$25:$M$42),_xlfn.XLOOKUP($C42,[1]CRITERIOS!$K$25:$K$42,[1]CRITERIOS!$M$25:$M$42))),0),
                    (E42+V42-SUMIF('[1]DATOS PBI Artículos'!A:A,A42,'[1]DATOS PBI Artículos'!X:X)-_xlfn.XLOOKUP(A42,'[1]DATOS PBI Artículos'!A:A,'[1]DATOS PBI Artículos'!W:W))/IF($O42="",$N42,$O42))),0))))</f>
        <v>4</v>
      </c>
      <c r="R42" s="33" t="str">
        <f>IF(U42&lt;&gt;"",U42,IF(F42="DV","MTO",IF(N42=0,"MTO",_xlfn.XLOOKUP(CONCATENATE(S42,T42),[1]CRITERIOS!$K$160:$K$168,[1]CRITERIOS!$N$160:$N$168))))</f>
        <v>MTS</v>
      </c>
      <c r="S42" s="33" t="str">
        <f>IF(G42="DV","MTO",IF(N42=0,"MTO",IF(OR(AND(N42=0,O42=""),IF(O42="",G42/N42,G42/O42)&gt;[1]CRITERIOS!$G$163),"MTO",IF(IF(O42="",G42/N42,G42/O42)&lt;[1]CRITERIOS!$H$161,"MTS","MTOS"))))</f>
        <v>MTS</v>
      </c>
      <c r="T42" s="33" t="str">
        <f>IF(F42="DV","MTO",IF(OR(AND($N42=0,O42=""),$F42/$J42&gt;[1]CRITERIOS!$G$170,$F42="DV"),"MTO",IF($F42/$J42&lt;[1]CRITERIOS!$H$168,"MTS","MTOS")))</f>
        <v>MTS</v>
      </c>
      <c r="V42" s="34">
        <f t="shared" si="4"/>
        <v>73540.857779013313</v>
      </c>
      <c r="X42" s="34">
        <f t="shared" si="1"/>
        <v>165580.85777901331</v>
      </c>
      <c r="Y42" s="34">
        <f t="shared" si="2"/>
        <v>63034.008463898368</v>
      </c>
      <c r="Z42" s="34">
        <f>IF($R42="MTO",
0,
($H42+$K42*($E42/[1]CRITERIOS!$M$16))/[1]CRITERIOS!$X$48)</f>
        <v>17014.008463898368</v>
      </c>
      <c r="AA42" s="34" t="e">
        <f>ROUNDUP(($Y42/_xlfn.XLOOKUP($A42,'[1]DATOS PBI Artículos'!$A$4:$A$4,'[1]DATOS PBI Artículos'!$Z$4:$Z$4))/_xlfn.XLOOKUP(_xlfn.XLOOKUP($A42,'[1]DATOS PBI Artículos'!$A$4:$A$4,'[1]DATOS PBI Artículos'!$Y$4:$Y$4),[1]CRITERIOS!$P$79:$P$123,[1]CRITERIOS!$S$79:$S$123,),0)</f>
        <v>#N/A</v>
      </c>
      <c r="AB42" s="33" t="e">
        <f t="array" ref="AB42">IF((E42+V42-_xlfn.XLOOKUP(A42,'[1]DATOS PBI Artículos'!$A$4:$A$4,'[1]DATOS PBI Artículos'!$W$4:$W$4))/N42&gt;ROUNDUP([1]CRITERIOS!$M$16/(IF(COUNTIF([1]CRITERIOS!$BG$11:$BG$201,L42)&gt;=1,_xlfn.XLOOKUP(ARTÍCULOS!L42,[1]CRITERIOS!$BG$11:$BG$201,[1]CRITERIOS!$BJ$11:$BJ$201),_xlfn.XLOOKUP(ARTÍCULOS!C42,[1]CRITERIOS!$K$25:$K$42,[1]CRITERIOS!$M$25:$M$42))),0),ROUNDUP([1]CRITERIOS!$M$16/(IF(COUNTIF([1]CRITERIOS!$BG$11:$BG$201,L42)&gt;=1,_xlfn.XLOOKUP(ARTÍCULOS!L42,[1]CRITERIOS!$BG$11:$BG$201:#REF!,[1]CRITERIOS!$BJ$11:$BJ$201),_xlfn.XLOOKUP(ARTÍCULOS!C42,[1]CRITERIOS!$K$25:$K$42,[1]CRITERIOS!$M$25:$M$42))),0),(E42+V42-_xlfn.XLOOKUP(A42,'[1]DATOS PBI Artículos'!$A$4:$A$4,'[1]DATOS PBI Artículos'!$W$4:$W$4))/N42)</f>
        <v>#N/A</v>
      </c>
      <c r="AC42" s="33" t="e">
        <f>IF(N42=0,"",(ROUNDUP((N42/2)/(_xlfn.XLOOKUP(A42,'[1]DATOS PBI Artículos'!$A$4:$A$4,'[1]DATOS PBI Artículos'!$Z$4:$Z$4)*_xlfn.XLOOKUP(_xlfn.XLOOKUP(A42,'[1]DATOS PBI Artículos'!$A$4:$A$4,'[1]DATOS PBI Artículos'!$Y$4:$Y$4),[1]CRITERIOS!$P$79:$P$123,[1]CRITERIOS!$S$79:$S$123)),0)*[1]CRITERIOS!$M$80*([1]CRITERIOS!$M$110/[1]CRITERIOS!$M$86)+(_xlfn.XLOOKUP(A42,'[1]DATOS PBI Artículos'!$A$4:$A$4,'[1]DATOS PBI Artículos'!$AA$4:$AA$4)*([1]CRITERIOS!$M$95+[1]CRITERIOS!$M$98)))/N42)</f>
        <v>#N/A</v>
      </c>
      <c r="AD42" s="33" t="e">
        <f>IF(N42=0,"",(ROUNDUP((N42/2)/(_xlfn.XLOOKUP(A42,'[1]DATOS PBI Artículos'!$A$4:$A$4,'[1]DATOS PBI Artículos'!$Z$4:$Z$4)*_xlfn.XLOOKUP(_xlfn.XLOOKUP(A42,'[1]DATOS PBI Artículos'!$A$4:$A$4,'[1]DATOS PBI Artículos'!$Y$4:$Y$4),[1]CRITERIOS!$P$79:$P$123,[1]CRITERIOS!$S$79:$S$123)),0)*[1]CRITERIOS!$M$80*([1]CRITERIOS!$M$89*[1]CRITERIOS!$M$92)+((_xlfn.XLOOKUP(A42,'[1]DATOS PBI Artículos'!$A$4:$A$4,'[1]DATOS PBI Artículos'!$AA$4:$AA$4)/2)*([1]CRITERIOS!$M$95+[1]CRITERIOS!$M$98)))/N42)</f>
        <v>#N/A</v>
      </c>
      <c r="AE42" s="39">
        <f>IF($R42="MTO","",
IF($H42=0,ROUNDUP(((_xlfn.XLOOKUP($A42,'[1]DATOS PBI Artículos'!$A:$A,'[1]DATOS PBI Artículos'!$AL:$AL))/(_xlfn.XLOOKUP($AF$1,[1]CRITERIOS!$S$16:$S$39,[1]CRITERIOS!$Y$16:$Y$39))*$J42+$Z42)/$G42,0)*$G42,
((_xlfn.XLOOKUP($A42,'[1]DATOS PBI Artículos'!$A:$A,'[1]DATOS PBI Artículos'!$AL:$AL))/(_xlfn.XLOOKUP($AF$1,[1]CRITERIOS!$S$16:$S$39,[1]CRITERIOS!$Y$16:$Y$39))*$J42+$Z42)))</f>
        <v>97779.927157903789</v>
      </c>
      <c r="AG42" s="39">
        <f>IF($R42="MTO","",
IF($H42=0,ROUNDUP(((_xlfn.XLOOKUP($A42,'[1]DATOS PBI Artículos'!$A:$A,'[1]DATOS PBI Artículos'!$AM:$AM))/(_xlfn.XLOOKUP($AH$1,[1]CRITERIOS!$S$16:$S$39,[1]CRITERIOS!$Y$16:$Y$39))*$J42+$Z42)/$G42,0)*$G42,
((_xlfn.XLOOKUP($A42,'[1]DATOS PBI Artículos'!$A:$A,'[1]DATOS PBI Artículos'!$AM:$AM))/(_xlfn.XLOOKUP($AH$1,[1]CRITERIOS!$S$16:$S$39,[1]CRITERIOS!$Y$16:$Y$39))*$J42+$Z42)))</f>
        <v>75029.741688309354</v>
      </c>
      <c r="AI42" s="39">
        <f>IF($R42="MTO","",
IF($H42=0,ROUNDUP(((_xlfn.XLOOKUP($A42,'[1]DATOS PBI Artículos'!$A:$A,'[1]DATOS PBI Artículos'!$AN:$AN))/(_xlfn.XLOOKUP($AJ$1,[1]CRITERIOS!$S$16:$S$39,[1]CRITERIOS!$Y$16:$Y$39))*$J42+$Z42)/$G42,0)*$G42,
((_xlfn.XLOOKUP($A42,'[1]DATOS PBI Artículos'!$A:$A,'[1]DATOS PBI Artículos'!$AN:$AN))/(_xlfn.XLOOKUP($AJ$1,[1]CRITERIOS!$S$16:$S$39,[1]CRITERIOS!$Y$16:$Y$39))*$J42+$Z42)))</f>
        <v>86502.305668519984</v>
      </c>
      <c r="AK42" s="39">
        <f>IF($R42="MTO","",
IF($H42=0,ROUNDUP(((_xlfn.XLOOKUP($A42,'[1]DATOS PBI Artículos'!$A:$A,'[1]DATOS PBI Artículos'!$AO:$AO))/(_xlfn.XLOOKUP($AL$1,[1]CRITERIOS!$S$16:$S$39,[1]CRITERIOS!$Y$16:$Y$39))*$J42+$Z42)/$G42,0)*$G42,
((_xlfn.XLOOKUP($A42,'[1]DATOS PBI Artículos'!$A:$A,'[1]DATOS PBI Artículos'!$AO:$AO))/(_xlfn.XLOOKUP($AL$1,[1]CRITERIOS!$S$16:$S$39,[1]CRITERIOS!$Y$16:$Y$39))*$J42+$Z42)))</f>
        <v>92693.698124899616</v>
      </c>
    </row>
    <row r="43" spans="1:37" ht="25.8" x14ac:dyDescent="0.5">
      <c r="A43" s="32">
        <v>453074</v>
      </c>
      <c r="B43" s="33">
        <f>_xlfn.XLOOKUP($A43,'[1]DATOS PBI Artículos'!A:A,'[1]DATOS PBI Artículos'!B:B)</f>
        <v>0</v>
      </c>
      <c r="C43" s="33" t="str">
        <f>_xlfn.XLOOKUP($A43,'[1]DATOS PBI Artículos'!A:A,'[1]DATOS PBI Artículos'!C:C)</f>
        <v>UA01</v>
      </c>
      <c r="D43" s="33">
        <f>_xlfn.XLOOKUP(A43,'[1]DATOS PBI Artículos'!A:A,'[1]DATOS PBI Artículos'!T:T)</f>
        <v>23</v>
      </c>
      <c r="E43" s="34">
        <f>IF(_xlfn.XLOOKUP($A43,'[1]DATOS PBI Artículos'!A:A,'[1]DATOS PBI Artículos'!AK:AK)="",_xlfn.XLOOKUP($A43,'[1]DATOS PBI Artículos'!A:A,'[1]DATOS PBI Artículos'!AJ:AJ),_xlfn.XLOOKUP($A43,'[1]DATOS PBI Artículos'!A:A,'[1]DATOS PBI Artículos'!AK:AK))</f>
        <v>316800</v>
      </c>
      <c r="F43" s="35">
        <f>_xlfn.XLOOKUP($A43,'[1]DATOS PBI Artículos'!A:A,'[1]DATOS PBI Artículos'!AP:AP)</f>
        <v>3.5</v>
      </c>
      <c r="G43" s="34">
        <f>_xlfn.XLOOKUP($A43,'[1]DATOS PBI Artículos'!A:A,'[1]DATOS PBI Artículos'!AR:AR)</f>
        <v>14400</v>
      </c>
      <c r="H43" s="34">
        <f>_xlfn.XLOOKUP($A43,'[1]DATOS PBI Artículos'!A:A,'[1]DATOS PBI Artículos'!AT:AT)</f>
        <v>3142.337619398289</v>
      </c>
      <c r="I43" s="34">
        <f>_xlfn.XLOOKUP($A43,'[1]DATOS PBI Artículos'!A:A,'[1]DATOS PBI Artículos'!AS:AS)</f>
        <v>14400</v>
      </c>
      <c r="J43" s="35">
        <f>IF(COUNTIF([1]CRITERIOS!$F$179:$F$199,$A43)&gt;=1,
 IF(O43&lt;&gt;"",
    (O43/_xlfn.XLOOKUP(CONCATENATE(A43,L43),[1]MÁQUINAS!A:A,[1]MÁQUINAS!D:D))/24,
    (N43/_xlfn.XLOOKUP(CONCATENATE(A43,L43),[1]MÁQUINAS!A:A,[1]MÁQUINAS!D:D))/24),
  _xlfn.XLOOKUP($A43,'[1]DATOS PBI Artículos'!A:A,'[1]DATOS PBI Artículos'!AU:AU))</f>
        <v>7.1499999999999995</v>
      </c>
      <c r="K43" s="36">
        <f>_xlfn.XLOOKUP($A43,'[1]DATOS PBI Artículos'!A:A,'[1]DATOS PBI Artículos'!AV:AV)</f>
        <v>5.0899059772399387</v>
      </c>
      <c r="L43" s="33">
        <f>_xlfn.XLOOKUP(A43,[1]MÁQUINAS!B:B,[1]MÁQUINAS!C:C)</f>
        <v>457</v>
      </c>
      <c r="M43" s="34">
        <f t="array" ref="M43">_xlfn.XLOOKUP(A43,'[1]DATOS PBI Artículos'!A:A,'[1]DATOS PBI Artículos'!AX:$AX)</f>
        <v>19938.345513297107</v>
      </c>
      <c r="N43" s="37">
        <f>IF(I43="DV",
E43,
IF(COUNTIF([1]CRITERIOS!$I$179:$I$199,$A43)&gt;=1,
_xlfn.XLOOKUP($A43,[1]CRITERIOS!$I$179:$I$199,[1]CRITERIOS!$J$179:$J$199),
IF(COUNTIF([1]CRITERIOS!$L$179:$L$199,$A43)&gt;=1,
_xlfn.CEILING.MATH(IF($M43&gt;$E43,
$E43,
IF($M43&lt;$E43/ROUNDDOWN([1]CRITERIOS!$M$16/_xlfn.XLOOKUP($C43,[1]CRITERIOS!$K$25:$K$42,[1]CRITERIOS!$M$25:$M$42),
1),
E43/ROUNDDOWN([1]CRITERIOS!$M$16/_xlfn.XLOOKUP($C43,[1]CRITERIOS!$K$25:$K$42,[1]CRITERIOS!$M$25:$M$42),
1),
$M43)),
_xlfn.XLOOKUP($A43,[1]CRITERIOS!$L$179:$L$200,[1]CRITERIOS!$M$179:$M$200)),
_xlfn.CEILING.MATH(IF($M43&gt;$E43,
$E43,
IF($M43&lt;$E43/ROUNDDOWN([1]CRITERIOS!$M$16/_xlfn.XLOOKUP($C43,[1]CRITERIOS!$K$25:$K$42,[1]CRITERIOS!$M$25:$M$42),
1),
E43/ROUNDDOWN([1]CRITERIOS!$M$16/_xlfn.XLOOKUP($C43,[1]CRITERIOS!$K$25:$K$42,[1]CRITERIOS!$M$25:$M$42),
1),
$M43)),_xlfn.XLOOKUP(A43,'[1]DATOS PBI Artículos'!A:A,'[1]DATOS PBI Artículos'!Z:Z
)))))</f>
        <v>85800</v>
      </c>
      <c r="Q43" s="38">
        <f>IF(AND(O43="",N43=0),
0,
   IF(COUNTIF([1]CRITERIOS!$F$179:$F$199,$A43)&gt;=1,
   1,
   IF(R43="MTO",
      $D43,
      ROUNDUP(
                    IF(($E43-SUMIF('[1]DATOS PBI Artículos'!A:A,A43,'[1]DATOS PBI Artículos'!X:X)+($V43-_xlfn.XLOOKUP(A43,'[1]DATOS PBI Artículos'!A:A,'[1]DATOS PBI Artículos'!W:W)))&lt;0,
                    0,
                    IF(($E43-SUMIF('[1]DATOS PBI Artículos'!A:A,A43,'[1]DATOS PBI Artículos'!X:X)+$V43-_xlfn.XLOOKUP($A43,'[1]DATOS PBI Artículos'!A:A,'[1]DATOS PBI Artículos'!W:W))/IF($O43="",$N43,$O43)&gt;ROUNDUP([1]CRITERIOS!$M$16/(IF(COUNTIF([1]CRITERIOS!$BG$11:$BG$201,L43)&gt;=1,_xlfn.XLOOKUP($C43,[1]CRITERIOS!$K$25:$K$42,[1]CRITERIOS!$M$25:$M$42),_xlfn.XLOOKUP($C43,[1]CRITERIOS!$K$25:$K$42,[1]CRITERIOS!$M$25:$M$42))),0),
                    ROUNDUP([1]CRITERIOS!$M$16/(IF(COUNTIF([1]CRITERIOS!$BG$11:$BG$201,$L43)&gt;=1,_xlfn.XLOOKUP($C43,[1]CRITERIOS!$K$25:$K$42,[1]CRITERIOS!$M$25:$M$42),_xlfn.XLOOKUP($C43,[1]CRITERIOS!$K$25:$K$42,[1]CRITERIOS!$M$25:$M$42))),0),
                    (E43+V43-SUMIF('[1]DATOS PBI Artículos'!A:A,A43,'[1]DATOS PBI Artículos'!X:X)-_xlfn.XLOOKUP(A43,'[1]DATOS PBI Artículos'!A:A,'[1]DATOS PBI Artículos'!W:W))/IF($O43="",$N43,$O43))),0))))</f>
        <v>1</v>
      </c>
      <c r="R43" s="33" t="str">
        <f>IF(U43&lt;&gt;"",U43,IF(F43="DV","MTO",IF(N43=0,"MTO",_xlfn.XLOOKUP(CONCATENATE(S43,T43),[1]CRITERIOS!$K$160:$K$168,[1]CRITERIOS!$N$160:$N$168))))</f>
        <v>MTS</v>
      </c>
      <c r="S43" s="33" t="str">
        <f>IF(G43="DV","MTO",IF(N43=0,"MTO",IF(OR(AND(N43=0,O43=""),IF(O43="",G43/N43,G43/O43)&gt;[1]CRITERIOS!$G$163),"MTO",IF(IF(O43="",G43/N43,G43/O43)&lt;[1]CRITERIOS!$H$161,"MTS","MTOS"))))</f>
        <v>MTS</v>
      </c>
      <c r="T43" s="33" t="str">
        <f>IF(F43="DV","MTO",IF(OR(AND($N43=0,O43=""),$F43/$J43&gt;[1]CRITERIOS!$G$170,$F43="DV"),"MTO",IF($F43/$J43&lt;[1]CRITERIOS!$H$168,"MTS","MTOS")))</f>
        <v>MTS</v>
      </c>
      <c r="V43" s="34">
        <f t="shared" si="4"/>
        <v>49952.226579859343</v>
      </c>
      <c r="X43" s="34">
        <f t="shared" si="1"/>
        <v>135752.22657985933</v>
      </c>
      <c r="Y43" s="34">
        <f t="shared" si="2"/>
        <v>63435.083722716488</v>
      </c>
      <c r="Z43" s="34">
        <f>IF($R43="MTO",
0,
($H43+$K43*($E43/[1]CRITERIOS!$M$16))/[1]CRITERIOS!$X$48)</f>
        <v>20535.083722716492</v>
      </c>
      <c r="AA43" s="34" t="e">
        <f>ROUNDUP(($Y43/_xlfn.XLOOKUP($A43,'[1]DATOS PBI Artículos'!$A$4:$A$4,'[1]DATOS PBI Artículos'!$Z$4:$Z$4))/_xlfn.XLOOKUP(_xlfn.XLOOKUP($A43,'[1]DATOS PBI Artículos'!$A$4:$A$4,'[1]DATOS PBI Artículos'!$Y$4:$Y$4),[1]CRITERIOS!$P$79:$P$123,[1]CRITERIOS!$S$79:$S$123,),0)</f>
        <v>#N/A</v>
      </c>
      <c r="AB43" s="33" t="e">
        <f t="array" ref="AB43">IF((E43+V43-_xlfn.XLOOKUP(A43,'[1]DATOS PBI Artículos'!$A$4:$A$4,'[1]DATOS PBI Artículos'!$W$4:$W$4))/N43&gt;ROUNDUP([1]CRITERIOS!$M$16/(IF(COUNTIF([1]CRITERIOS!$BG$11:$BG$201,L43)&gt;=1,_xlfn.XLOOKUP(ARTÍCULOS!L43,[1]CRITERIOS!$BG$11:$BG$201,[1]CRITERIOS!$BJ$11:$BJ$201),_xlfn.XLOOKUP(ARTÍCULOS!C43,[1]CRITERIOS!$K$25:$K$42,[1]CRITERIOS!$M$25:$M$42))),0),ROUNDUP([1]CRITERIOS!$M$16/(IF(COUNTIF([1]CRITERIOS!$BG$11:$BG$201,L43)&gt;=1,_xlfn.XLOOKUP(ARTÍCULOS!L43,[1]CRITERIOS!$BG$11:$BG$201:#REF!,[1]CRITERIOS!$BJ$11:$BJ$201),_xlfn.XLOOKUP(ARTÍCULOS!C43,[1]CRITERIOS!$K$25:$K$42,[1]CRITERIOS!$M$25:$M$42))),0),(E43+V43-_xlfn.XLOOKUP(A43,'[1]DATOS PBI Artículos'!$A$4:$A$4,'[1]DATOS PBI Artículos'!$W$4:$W$4))/N43)</f>
        <v>#N/A</v>
      </c>
      <c r="AC43" s="33" t="e">
        <f>IF(N43=0,"",(ROUNDUP((N43/2)/(_xlfn.XLOOKUP(A43,'[1]DATOS PBI Artículos'!$A$4:$A$4,'[1]DATOS PBI Artículos'!$Z$4:$Z$4)*_xlfn.XLOOKUP(_xlfn.XLOOKUP(A43,'[1]DATOS PBI Artículos'!$A$4:$A$4,'[1]DATOS PBI Artículos'!$Y$4:$Y$4),[1]CRITERIOS!$P$79:$P$123,[1]CRITERIOS!$S$79:$S$123)),0)*[1]CRITERIOS!$M$80*([1]CRITERIOS!$M$110/[1]CRITERIOS!$M$86)+(_xlfn.XLOOKUP(A43,'[1]DATOS PBI Artículos'!$A$4:$A$4,'[1]DATOS PBI Artículos'!$AA$4:$AA$4)*([1]CRITERIOS!$M$95+[1]CRITERIOS!$M$98)))/N43)</f>
        <v>#N/A</v>
      </c>
      <c r="AD43" s="33" t="e">
        <f>IF(N43=0,"",(ROUNDUP((N43/2)/(_xlfn.XLOOKUP(A43,'[1]DATOS PBI Artículos'!$A$4:$A$4,'[1]DATOS PBI Artículos'!$Z$4:$Z$4)*_xlfn.XLOOKUP(_xlfn.XLOOKUP(A43,'[1]DATOS PBI Artículos'!$A$4:$A$4,'[1]DATOS PBI Artículos'!$Y$4:$Y$4),[1]CRITERIOS!$P$79:$P$123,[1]CRITERIOS!$S$79:$S$123)),0)*[1]CRITERIOS!$M$80*([1]CRITERIOS!$M$89*[1]CRITERIOS!$M$92)+((_xlfn.XLOOKUP(A43,'[1]DATOS PBI Artículos'!$A$4:$A$4,'[1]DATOS PBI Artículos'!$AA$4:$AA$4)/2)*([1]CRITERIOS!$M$95+[1]CRITERIOS!$M$98)))/N43)</f>
        <v>#N/A</v>
      </c>
      <c r="AE43" s="39">
        <f>IF($R43="MTO","",
IF($H43=0,ROUNDUP(((_xlfn.XLOOKUP($A43,'[1]DATOS PBI Artículos'!$A:$A,'[1]DATOS PBI Artículos'!$AL:$AL))/(_xlfn.XLOOKUP($AF$1,[1]CRITERIOS!$S$16:$S$39,[1]CRITERIOS!$Y$16:$Y$39))*$J43+$Z43)/$G43,0)*$G43,
((_xlfn.XLOOKUP($A43,'[1]DATOS PBI Artículos'!$A:$A,'[1]DATOS PBI Artículos'!$AL:$AL))/(_xlfn.XLOOKUP($AF$1,[1]CRITERIOS!$S$16:$S$39,[1]CRITERIOS!$Y$16:$Y$39))*$J43+$Z43)))</f>
        <v>55465.287611296488</v>
      </c>
      <c r="AG43" s="39">
        <f>IF($R43="MTO","",
IF($H43=0,ROUNDUP(((_xlfn.XLOOKUP($A43,'[1]DATOS PBI Artículos'!$A:$A,'[1]DATOS PBI Artículos'!$AM:$AM))/(_xlfn.XLOOKUP($AH$1,[1]CRITERIOS!$S$16:$S$39,[1]CRITERIOS!$Y$16:$Y$39))*$J43+$Z43)/$G43,0)*$G43,
((_xlfn.XLOOKUP($A43,'[1]DATOS PBI Artículos'!$A:$A,'[1]DATOS PBI Artículos'!$AM:$AM))/(_xlfn.XLOOKUP($AH$1,[1]CRITERIOS!$S$16:$S$39,[1]CRITERIOS!$Y$16:$Y$39))*$J43+$Z43)))</f>
        <v>45626.129835271269</v>
      </c>
      <c r="AI43" s="39">
        <f>IF($R43="MTO","",
IF($H43=0,ROUNDUP(((_xlfn.XLOOKUP($A43,'[1]DATOS PBI Artículos'!$A:$A,'[1]DATOS PBI Artículos'!$AN:$AN))/(_xlfn.XLOOKUP($AJ$1,[1]CRITERIOS!$S$16:$S$39,[1]CRITERIOS!$Y$16:$Y$39))*$J43+$Z43)/$G43,0)*$G43,
((_xlfn.XLOOKUP($A43,'[1]DATOS PBI Artículos'!$A:$A,'[1]DATOS PBI Artículos'!$AN:$AN))/(_xlfn.XLOOKUP($AJ$1,[1]CRITERIOS!$S$16:$S$39,[1]CRITERIOS!$Y$16:$Y$39))*$J43+$Z43)))</f>
        <v>50587.863762570487</v>
      </c>
      <c r="AK43" s="39">
        <f>IF($R43="MTO","",
IF($H43=0,ROUNDUP(((_xlfn.XLOOKUP($A43,'[1]DATOS PBI Artículos'!$A:$A,'[1]DATOS PBI Artículos'!$AO:$AO))/(_xlfn.XLOOKUP($AL$1,[1]CRITERIOS!$S$16:$S$39,[1]CRITERIOS!$Y$16:$Y$39))*$J43+$Z43)/$G43,0)*$G43,
((_xlfn.XLOOKUP($A43,'[1]DATOS PBI Artículos'!$A:$A,'[1]DATOS PBI Artículos'!$AO:$AO))/(_xlfn.XLOOKUP($AL$1,[1]CRITERIOS!$S$16:$S$39,[1]CRITERIOS!$Y$16:$Y$39))*$J43+$Z43)))</f>
        <v>53265.560052696484</v>
      </c>
    </row>
    <row r="44" spans="1:37" ht="25.8" x14ac:dyDescent="0.5">
      <c r="A44" s="32">
        <v>422088</v>
      </c>
      <c r="B44" s="33">
        <f>_xlfn.XLOOKUP($A44,'[1]DATOS PBI Artículos'!A:A,'[1]DATOS PBI Artículos'!B:B)</f>
        <v>0</v>
      </c>
      <c r="C44" s="33" t="str">
        <f>_xlfn.XLOOKUP($A44,'[1]DATOS PBI Artículos'!A:A,'[1]DATOS PBI Artículos'!C:C)</f>
        <v>UA01</v>
      </c>
      <c r="D44" s="33">
        <f>_xlfn.XLOOKUP(A44,'[1]DATOS PBI Artículos'!A:A,'[1]DATOS PBI Artículos'!T:T)</f>
        <v>13</v>
      </c>
      <c r="E44" s="34">
        <f>IF(_xlfn.XLOOKUP($A44,'[1]DATOS PBI Artículos'!A:A,'[1]DATOS PBI Artículos'!AK:AK)="",_xlfn.XLOOKUP($A44,'[1]DATOS PBI Artículos'!A:A,'[1]DATOS PBI Artículos'!AJ:AJ),_xlfn.XLOOKUP($A44,'[1]DATOS PBI Artículos'!A:A,'[1]DATOS PBI Artículos'!AK:AK))</f>
        <v>316000</v>
      </c>
      <c r="F44" s="35">
        <f>_xlfn.XLOOKUP($A44,'[1]DATOS PBI Artículos'!A:A,'[1]DATOS PBI Artículos'!AP:AP)</f>
        <v>5.9090909090899997</v>
      </c>
      <c r="G44" s="34">
        <f>_xlfn.XLOOKUP($A44,'[1]DATOS PBI Artículos'!A:A,'[1]DATOS PBI Artículos'!AR:AR)</f>
        <v>28000</v>
      </c>
      <c r="H44" s="34">
        <f>_xlfn.XLOOKUP($A44,'[1]DATOS PBI Artículos'!A:A,'[1]DATOS PBI Artículos'!AT:AT)</f>
        <v>16924.072867493876</v>
      </c>
      <c r="I44" s="34">
        <f>_xlfn.XLOOKUP($A44,'[1]DATOS PBI Artículos'!A:A,'[1]DATOS PBI Artículos'!AS:AS)</f>
        <v>4000</v>
      </c>
      <c r="J44" s="35">
        <f>IF(COUNTIF([1]CRITERIOS!$F$179:$F$199,$A44)&gt;=1,
 IF(O44&lt;&gt;"",
    (O44/_xlfn.XLOOKUP(CONCATENATE(A44,L44),[1]MÁQUINAS!A:A,[1]MÁQUINAS!D:D))/24,
    (N44/_xlfn.XLOOKUP(CONCATENATE(A44,L44),[1]MÁQUINAS!A:A,[1]MÁQUINAS!D:D))/24),
  _xlfn.XLOOKUP($A44,'[1]DATOS PBI Artículos'!A:A,'[1]DATOS PBI Artículos'!AU:AU))</f>
        <v>19.5</v>
      </c>
      <c r="K44" s="36">
        <f>_xlfn.XLOOKUP($A44,'[1]DATOS PBI Artículos'!A:A,'[1]DATOS PBI Artículos'!AV:AV)</f>
        <v>4.489754418322021</v>
      </c>
      <c r="L44" s="33">
        <f>_xlfn.XLOOKUP(A44,[1]MÁQUINAS!B:B,[1]MÁQUINAS!C:C)</f>
        <v>500</v>
      </c>
      <c r="M44" s="34">
        <f t="array" ref="M44">_xlfn.XLOOKUP(A44,'[1]DATOS PBI Artículos'!A:A,'[1]DATOS PBI Artículos'!AX:$AX)</f>
        <v>112631.51894424518</v>
      </c>
      <c r="N44" s="37">
        <f>IF(I44="DV",
E44,
IF(COUNTIF([1]CRITERIOS!$I$179:$I$199,$A44)&gt;=1,
_xlfn.XLOOKUP($A44,[1]CRITERIOS!$I$179:$I$199,[1]CRITERIOS!$J$179:$J$199),
IF(COUNTIF([1]CRITERIOS!$L$179:$L$199,$A44)&gt;=1,
_xlfn.CEILING.MATH(IF($M44&gt;$E44,
$E44,
IF($M44&lt;$E44/ROUNDDOWN([1]CRITERIOS!$M$16/_xlfn.XLOOKUP($C44,[1]CRITERIOS!$K$25:$K$42,[1]CRITERIOS!$M$25:$M$42),
1),
E44/ROUNDDOWN([1]CRITERIOS!$M$16/_xlfn.XLOOKUP($C44,[1]CRITERIOS!$K$25:$K$42,[1]CRITERIOS!$M$25:$M$42),
1),
$M44)),
_xlfn.XLOOKUP($A44,[1]CRITERIOS!$L$179:$L$200,[1]CRITERIOS!$M$179:$M$200)),
_xlfn.CEILING.MATH(IF($M44&gt;$E44,
$E44,
IF($M44&lt;$E44/ROUNDDOWN([1]CRITERIOS!$M$16/_xlfn.XLOOKUP($C44,[1]CRITERIOS!$K$25:$K$42,[1]CRITERIOS!$M$25:$M$42),
1),
E44/ROUNDDOWN([1]CRITERIOS!$M$16/_xlfn.XLOOKUP($C44,[1]CRITERIOS!$K$25:$K$42,[1]CRITERIOS!$M$25:$M$42),
1),
$M44)),_xlfn.XLOOKUP(A44,'[1]DATOS PBI Artículos'!A:A,'[1]DATOS PBI Artículos'!Z:Z
)))))</f>
        <v>116000</v>
      </c>
      <c r="Q44" s="38">
        <f>IF(AND(O44="",N44=0),
0,
   IF(COUNTIF([1]CRITERIOS!$F$179:$F$199,$A44)&gt;=1,
   1,
   IF(R44="MTO",
      $D44,
      ROUNDUP(
                    IF(($E44-SUMIF('[1]DATOS PBI Artículos'!A:A,A44,'[1]DATOS PBI Artículos'!X:X)+($V44-_xlfn.XLOOKUP(A44,'[1]DATOS PBI Artículos'!A:A,'[1]DATOS PBI Artículos'!W:W)))&lt;0,
                    0,
                    IF(($E44-SUMIF('[1]DATOS PBI Artículos'!A:A,A44,'[1]DATOS PBI Artículos'!X:X)+$V44-_xlfn.XLOOKUP($A44,'[1]DATOS PBI Artículos'!A:A,'[1]DATOS PBI Artículos'!W:W))/IF($O44="",$N44,$O44)&gt;ROUNDUP([1]CRITERIOS!$M$16/(IF(COUNTIF([1]CRITERIOS!$BG$11:$BG$201,L44)&gt;=1,_xlfn.XLOOKUP($C44,[1]CRITERIOS!$K$25:$K$42,[1]CRITERIOS!$M$25:$M$42),_xlfn.XLOOKUP($C44,[1]CRITERIOS!$K$25:$K$42,[1]CRITERIOS!$M$25:$M$42))),0),
                    ROUNDUP([1]CRITERIOS!$M$16/(IF(COUNTIF([1]CRITERIOS!$BG$11:$BG$201,$L44)&gt;=1,_xlfn.XLOOKUP($C44,[1]CRITERIOS!$K$25:$K$42,[1]CRITERIOS!$M$25:$M$42),_xlfn.XLOOKUP($C44,[1]CRITERIOS!$K$25:$K$42,[1]CRITERIOS!$M$25:$M$42))),0),
                    (E44+V44-SUMIF('[1]DATOS PBI Artículos'!A:A,A44,'[1]DATOS PBI Artículos'!X:X)-_xlfn.XLOOKUP(A44,'[1]DATOS PBI Artículos'!A:A,'[1]DATOS PBI Artículos'!W:W))/IF($O44="",$N44,$O44))),0))))</f>
        <v>4</v>
      </c>
      <c r="R44" s="33" t="str">
        <f>IF(U44&lt;&gt;"",U44,IF(F44="DV","MTO",IF(N44=0,"MTO",_xlfn.XLOOKUP(CONCATENATE(S44,T44),[1]CRITERIOS!$K$160:$K$168,[1]CRITERIOS!$N$160:$N$168))))</f>
        <v>MTS</v>
      </c>
      <c r="S44" s="33" t="str">
        <f>IF(G44="DV","MTO",IF(N44=0,"MTO",IF(OR(AND(N44=0,O44=""),IF(O44="",G44/N44,G44/O44)&gt;[1]CRITERIOS!$G$163),"MTO",IF(IF(O44="",G44/N44,G44/O44)&lt;[1]CRITERIOS!$H$161,"MTS","MTOS"))))</f>
        <v>MTS</v>
      </c>
      <c r="T44" s="33" t="str">
        <f>IF(F44="DV","MTO",IF(OR(AND($N44=0,O44=""),$F44/$J44&gt;[1]CRITERIOS!$G$170,$F44="DV"),"MTO",IF($F44/$J44&lt;[1]CRITERIOS!$H$168,"MTS","MTOS")))</f>
        <v>MTS</v>
      </c>
      <c r="V44" s="34">
        <f t="shared" si="4"/>
        <v>122267.42068058977</v>
      </c>
      <c r="X44" s="34">
        <f t="shared" si="1"/>
        <v>238267.42068058977</v>
      </c>
      <c r="Y44" s="34">
        <f t="shared" si="2"/>
        <v>87867.420680575553</v>
      </c>
      <c r="Z44" s="34">
        <f>IF($R44="MTO",
0,
($H44+$K44*($E44/[1]CRITERIOS!$M$16))/[1]CRITERIOS!$X$48)</f>
        <v>29867.420680575549</v>
      </c>
      <c r="AA44" s="34" t="e">
        <f>ROUNDUP(($Y44/_xlfn.XLOOKUP($A44,'[1]DATOS PBI Artículos'!$A$4:$A$4,'[1]DATOS PBI Artículos'!$Z$4:$Z$4))/_xlfn.XLOOKUP(_xlfn.XLOOKUP($A44,'[1]DATOS PBI Artículos'!$A$4:$A$4,'[1]DATOS PBI Artículos'!$Y$4:$Y$4),[1]CRITERIOS!$P$79:$P$123,[1]CRITERIOS!$S$79:$S$123,),0)</f>
        <v>#N/A</v>
      </c>
      <c r="AB44" s="33" t="e">
        <f t="array" ref="AB44">IF((E44+V44-_xlfn.XLOOKUP(A44,'[1]DATOS PBI Artículos'!$A$4:$A$4,'[1]DATOS PBI Artículos'!$W$4:$W$4))/N44&gt;ROUNDUP([1]CRITERIOS!$M$16/(IF(COUNTIF([1]CRITERIOS!$BG$11:$BG$201,L44)&gt;=1,_xlfn.XLOOKUP(ARTÍCULOS!L44,[1]CRITERIOS!$BG$11:$BG$201,[1]CRITERIOS!$BJ$11:$BJ$201),_xlfn.XLOOKUP(ARTÍCULOS!C44,[1]CRITERIOS!$K$25:$K$42,[1]CRITERIOS!$M$25:$M$42))),0),ROUNDUP([1]CRITERIOS!$M$16/(IF(COUNTIF([1]CRITERIOS!$BG$11:$BG$201,L44)&gt;=1,_xlfn.XLOOKUP(ARTÍCULOS!L44,[1]CRITERIOS!$BG$11:$BG$201:#REF!,[1]CRITERIOS!$BJ$11:$BJ$201),_xlfn.XLOOKUP(ARTÍCULOS!C44,[1]CRITERIOS!$K$25:$K$42,[1]CRITERIOS!$M$25:$M$42))),0),(E44+V44-_xlfn.XLOOKUP(A44,'[1]DATOS PBI Artículos'!$A$4:$A$4,'[1]DATOS PBI Artículos'!$W$4:$W$4))/N44)</f>
        <v>#N/A</v>
      </c>
      <c r="AC44" s="33" t="e">
        <f>IF(N44=0,"",(ROUNDUP((N44/2)/(_xlfn.XLOOKUP(A44,'[1]DATOS PBI Artículos'!$A$4:$A$4,'[1]DATOS PBI Artículos'!$Z$4:$Z$4)*_xlfn.XLOOKUP(_xlfn.XLOOKUP(A44,'[1]DATOS PBI Artículos'!$A$4:$A$4,'[1]DATOS PBI Artículos'!$Y$4:$Y$4),[1]CRITERIOS!$P$79:$P$123,[1]CRITERIOS!$S$79:$S$123)),0)*[1]CRITERIOS!$M$80*([1]CRITERIOS!$M$110/[1]CRITERIOS!$M$86)+(_xlfn.XLOOKUP(A44,'[1]DATOS PBI Artículos'!$A$4:$A$4,'[1]DATOS PBI Artículos'!$AA$4:$AA$4)*([1]CRITERIOS!$M$95+[1]CRITERIOS!$M$98)))/N44)</f>
        <v>#N/A</v>
      </c>
      <c r="AD44" s="33" t="e">
        <f>IF(N44=0,"",(ROUNDUP((N44/2)/(_xlfn.XLOOKUP(A44,'[1]DATOS PBI Artículos'!$A$4:$A$4,'[1]DATOS PBI Artículos'!$Z$4:$Z$4)*_xlfn.XLOOKUP(_xlfn.XLOOKUP(A44,'[1]DATOS PBI Artículos'!$A$4:$A$4,'[1]DATOS PBI Artículos'!$Y$4:$Y$4),[1]CRITERIOS!$P$79:$P$123,[1]CRITERIOS!$S$79:$S$123)),0)*[1]CRITERIOS!$M$80*([1]CRITERIOS!$M$89*[1]CRITERIOS!$M$92)+((_xlfn.XLOOKUP(A44,'[1]DATOS PBI Artículos'!$A$4:$A$4,'[1]DATOS PBI Artículos'!$AA$4:$AA$4)/2)*([1]CRITERIOS!$M$95+[1]CRITERIOS!$M$98)))/N44)</f>
        <v>#N/A</v>
      </c>
      <c r="AE44" s="39">
        <f>IF($R44="MTO","",
IF($H44=0,ROUNDUP(((_xlfn.XLOOKUP($A44,'[1]DATOS PBI Artículos'!$A:$A,'[1]DATOS PBI Artículos'!$AL:$AL))/(_xlfn.XLOOKUP($AF$1,[1]CRITERIOS!$S$16:$S$39,[1]CRITERIOS!$Y$16:$Y$39))*$J44+$Z44)/$G44,0)*$G44,
((_xlfn.XLOOKUP($A44,'[1]DATOS PBI Artículos'!$A:$A,'[1]DATOS PBI Artículos'!$AL:$AL))/(_xlfn.XLOOKUP($AF$1,[1]CRITERIOS!$S$16:$S$39,[1]CRITERIOS!$Y$16:$Y$39))*$J44+$Z44)))</f>
        <v>124891.04696149223</v>
      </c>
      <c r="AG44" s="39">
        <f>IF($R44="MTO","",
IF($H44=0,ROUNDUP(((_xlfn.XLOOKUP($A44,'[1]DATOS PBI Artículos'!$A:$A,'[1]DATOS PBI Artículos'!$AM:$AM))/(_xlfn.XLOOKUP($AH$1,[1]CRITERIOS!$S$16:$S$39,[1]CRITERIOS!$Y$16:$Y$39))*$J44+$Z44)/$G44,0)*$G44,
((_xlfn.XLOOKUP($A44,'[1]DATOS PBI Artículos'!$A:$A,'[1]DATOS PBI Artículos'!$AM:$AM))/(_xlfn.XLOOKUP($AH$1,[1]CRITERIOS!$S$16:$S$39,[1]CRITERIOS!$Y$16:$Y$39))*$J44+$Z44)))</f>
        <v>98124.743094205987</v>
      </c>
      <c r="AI44" s="39">
        <f>IF($R44="MTO","",
IF($H44=0,ROUNDUP(((_xlfn.XLOOKUP($A44,'[1]DATOS PBI Artículos'!$A:$A,'[1]DATOS PBI Artículos'!$AN:$AN))/(_xlfn.XLOOKUP($AJ$1,[1]CRITERIOS!$S$16:$S$39,[1]CRITERIOS!$Y$16:$Y$39))*$J44+$Z44)/$G44,0)*$G44,
((_xlfn.XLOOKUP($A44,'[1]DATOS PBI Artículos'!$A:$A,'[1]DATOS PBI Artículos'!$AN:$AN))/(_xlfn.XLOOKUP($AJ$1,[1]CRITERIOS!$S$16:$S$39,[1]CRITERIOS!$Y$16:$Y$39))*$J44+$Z44)))</f>
        <v>111622.57299285055</v>
      </c>
      <c r="AK44" s="39">
        <f>IF($R44="MTO","",
IF($H44=0,ROUNDUP(((_xlfn.XLOOKUP($A44,'[1]DATOS PBI Artículos'!$A:$A,'[1]DATOS PBI Artículos'!$AO:$AO))/(_xlfn.XLOOKUP($AL$1,[1]CRITERIOS!$S$16:$S$39,[1]CRITERIOS!$Y$16:$Y$39))*$J44+$Z44)/$G44,0)*$G44,
((_xlfn.XLOOKUP($A44,'[1]DATOS PBI Artículos'!$A:$A,'[1]DATOS PBI Artículos'!$AO:$AO))/(_xlfn.XLOOKUP($AL$1,[1]CRITERIOS!$S$16:$S$39,[1]CRITERIOS!$Y$16:$Y$39))*$J44+$Z44)))</f>
        <v>118906.93962232555</v>
      </c>
    </row>
    <row r="45" spans="1:37" ht="25.8" x14ac:dyDescent="0.5">
      <c r="A45" s="32" t="s">
        <v>49</v>
      </c>
      <c r="B45" s="33">
        <f>_xlfn.XLOOKUP($A45,'[1]DATOS PBI Artículos'!A:A,'[1]DATOS PBI Artículos'!B:B)</f>
        <v>0</v>
      </c>
      <c r="C45" s="33" t="str">
        <f>_xlfn.XLOOKUP($A45,'[1]DATOS PBI Artículos'!A:A,'[1]DATOS PBI Artículos'!C:C)</f>
        <v>UA01</v>
      </c>
      <c r="D45" s="33">
        <f>_xlfn.XLOOKUP(A45,'[1]DATOS PBI Artículos'!A:A,'[1]DATOS PBI Artículos'!T:T)</f>
        <v>15</v>
      </c>
      <c r="E45" s="34">
        <f>IF(_xlfn.XLOOKUP($A45,'[1]DATOS PBI Artículos'!A:A,'[1]DATOS PBI Artículos'!AK:AK)="",_xlfn.XLOOKUP($A45,'[1]DATOS PBI Artículos'!A:A,'[1]DATOS PBI Artículos'!AJ:AJ),_xlfn.XLOOKUP($A45,'[1]DATOS PBI Artículos'!A:A,'[1]DATOS PBI Artículos'!AK:AK))</f>
        <v>312000</v>
      </c>
      <c r="F45" s="35">
        <f>_xlfn.XLOOKUP($A45,'[1]DATOS PBI Artículos'!A:A,'[1]DATOS PBI Artículos'!AP:AP)</f>
        <v>5.0714285714200003</v>
      </c>
      <c r="G45" s="34">
        <f>_xlfn.XLOOKUP($A45,'[1]DATOS PBI Artículos'!A:A,'[1]DATOS PBI Artículos'!AR:AR)</f>
        <v>24000</v>
      </c>
      <c r="H45" s="34">
        <f>_xlfn.XLOOKUP($A45,'[1]DATOS PBI Artículos'!A:A,'[1]DATOS PBI Artículos'!AT:AT)</f>
        <v>9585.7036406157622</v>
      </c>
      <c r="I45" s="34">
        <f>_xlfn.XLOOKUP($A45,'[1]DATOS PBI Artículos'!A:A,'[1]DATOS PBI Artículos'!AS:AS)</f>
        <v>12000</v>
      </c>
      <c r="J45" s="35">
        <f>IF(COUNTIF([1]CRITERIOS!$F$179:$F$199,$A45)&gt;=1,
 IF(O45&lt;&gt;"",
    (O45/_xlfn.XLOOKUP(CONCATENATE(A45,L45),[1]MÁQUINAS!A:A,[1]MÁQUINAS!D:D))/24,
    (N45/_xlfn.XLOOKUP(CONCATENATE(A45,L45),[1]MÁQUINAS!A:A,[1]MÁQUINAS!D:D))/24),
  _xlfn.XLOOKUP($A45,'[1]DATOS PBI Artículos'!A:A,'[1]DATOS PBI Artículos'!AU:AU))</f>
        <v>34.769230769230774</v>
      </c>
      <c r="K45" s="36">
        <f>_xlfn.XLOOKUP($A45,'[1]DATOS PBI Artículos'!A:A,'[1]DATOS PBI Artículos'!AV:AV)</f>
        <v>18.881329809751627</v>
      </c>
      <c r="L45" s="33">
        <f>_xlfn.XLOOKUP(A45,[1]MÁQUINAS!B:B,[1]MÁQUINAS!C:C)</f>
        <v>504</v>
      </c>
      <c r="M45" s="34">
        <f t="array" ref="M45">_xlfn.XLOOKUP(A45,'[1]DATOS PBI Artículos'!A:A,'[1]DATOS PBI Artículos'!AX:$AX)</f>
        <v>151918.61315676678</v>
      </c>
      <c r="N45" s="37">
        <f>IF(I45="DV",
E45,
IF(COUNTIF([1]CRITERIOS!$I$179:$I$199,$A45)&gt;=1,
_xlfn.XLOOKUP($A45,[1]CRITERIOS!$I$179:$I$199,[1]CRITERIOS!$J$179:$J$199),
IF(COUNTIF([1]CRITERIOS!$L$179:$L$199,$A45)&gt;=1,
_xlfn.CEILING.MATH(IF($M45&gt;$E45,
$E45,
IF($M45&lt;$E45/ROUNDDOWN([1]CRITERIOS!$M$16/_xlfn.XLOOKUP($C45,[1]CRITERIOS!$K$25:$K$42,[1]CRITERIOS!$M$25:$M$42),
1),
E45/ROUNDDOWN([1]CRITERIOS!$M$16/_xlfn.XLOOKUP($C45,[1]CRITERIOS!$K$25:$K$42,[1]CRITERIOS!$M$25:$M$42),
1),
$M45)),
_xlfn.XLOOKUP($A45,[1]CRITERIOS!$L$179:$L$200,[1]CRITERIOS!$M$179:$M$200)),
_xlfn.CEILING.MATH(IF($M45&gt;$E45,
$E45,
IF($M45&lt;$E45/ROUNDDOWN([1]CRITERIOS!$M$16/_xlfn.XLOOKUP($C45,[1]CRITERIOS!$K$25:$K$42,[1]CRITERIOS!$M$25:$M$42),
1),
E45/ROUNDDOWN([1]CRITERIOS!$M$16/_xlfn.XLOOKUP($C45,[1]CRITERIOS!$K$25:$K$42,[1]CRITERIOS!$M$25:$M$42),
1),
$M45)),_xlfn.XLOOKUP(A45,'[1]DATOS PBI Artículos'!A:A,'[1]DATOS PBI Artículos'!Z:Z
)))))</f>
        <v>152000</v>
      </c>
      <c r="Q45" s="38">
        <f>IF(AND(O45="",N45=0),
0,
   IF(COUNTIF([1]CRITERIOS!$F$179:$F$199,$A45)&gt;=1,
   1,
   IF(R45="MTO",
      $D45,
      ROUNDUP(
                    IF(($E45-SUMIF('[1]DATOS PBI Artículos'!A:A,A45,'[1]DATOS PBI Artículos'!X:X)+($V45-_xlfn.XLOOKUP(A45,'[1]DATOS PBI Artículos'!A:A,'[1]DATOS PBI Artículos'!W:W)))&lt;0,
                    0,
                    IF(($E45-SUMIF('[1]DATOS PBI Artículos'!A:A,A45,'[1]DATOS PBI Artículos'!X:X)+$V45-_xlfn.XLOOKUP($A45,'[1]DATOS PBI Artículos'!A:A,'[1]DATOS PBI Artículos'!W:W))/IF($O45="",$N45,$O45)&gt;ROUNDUP([1]CRITERIOS!$M$16/(IF(COUNTIF([1]CRITERIOS!$BG$11:$BG$201,L45)&gt;=1,_xlfn.XLOOKUP($C45,[1]CRITERIOS!$K$25:$K$42,[1]CRITERIOS!$M$25:$M$42),_xlfn.XLOOKUP($C45,[1]CRITERIOS!$K$25:$K$42,[1]CRITERIOS!$M$25:$M$42))),0),
                    ROUNDUP([1]CRITERIOS!$M$16/(IF(COUNTIF([1]CRITERIOS!$BG$11:$BG$201,$L45)&gt;=1,_xlfn.XLOOKUP($C45,[1]CRITERIOS!$K$25:$K$42,[1]CRITERIOS!$M$25:$M$42),_xlfn.XLOOKUP($C45,[1]CRITERIOS!$K$25:$K$42,[1]CRITERIOS!$M$25:$M$42))),0),
                    (E45+V45-SUMIF('[1]DATOS PBI Artículos'!A:A,A45,'[1]DATOS PBI Artículos'!X:X)-_xlfn.XLOOKUP(A45,'[1]DATOS PBI Artículos'!A:A,'[1]DATOS PBI Artículos'!W:W))/IF($O45="",$N45,$O45))),0))))</f>
        <v>4</v>
      </c>
      <c r="R45" s="33" t="str">
        <f>IF(U45&lt;&gt;"",U45,IF(F45="DV","MTO",IF(N45=0,"MTO",_xlfn.XLOOKUP(CONCATENATE(S45,T45),[1]CRITERIOS!$K$160:$K$168,[1]CRITERIOS!$N$160:$N$168))))</f>
        <v>MTS</v>
      </c>
      <c r="S45" s="33" t="str">
        <f>IF(G45="DV","MTO",IF(N45=0,"MTO",IF(OR(AND(N45=0,O45=""),IF(O45="",G45/N45,G45/O45)&gt;[1]CRITERIOS!$G$163),"MTO",IF(IF(O45="",G45/N45,G45/O45)&lt;[1]CRITERIOS!$H$161,"MTS","MTOS"))))</f>
        <v>MTS</v>
      </c>
      <c r="T45" s="33" t="str">
        <f>IF(F45="DV","MTO",IF(OR(AND($N45=0,O45=""),$F45/$J45&gt;[1]CRITERIOS!$G$170,$F45="DV"),"MTO",IF($F45/$J45&lt;[1]CRITERIOS!$H$168,"MTS","MTOS")))</f>
        <v>MTS</v>
      </c>
      <c r="V45" s="34">
        <f t="shared" si="4"/>
        <v>237985.074850581</v>
      </c>
      <c r="X45" s="34">
        <f t="shared" si="1"/>
        <v>389985.074850581</v>
      </c>
      <c r="Y45" s="34">
        <f t="shared" si="2"/>
        <v>149443.36304098542</v>
      </c>
      <c r="Z45" s="34">
        <f>IF($R45="MTO",
0,
($H45+$K45*($E45/[1]CRITERIOS!$M$16))/[1]CRITERIOS!$X$48)</f>
        <v>73443.363040985438</v>
      </c>
      <c r="AA45" s="34" t="e">
        <f>ROUNDUP(($Y45/_xlfn.XLOOKUP($A45,'[1]DATOS PBI Artículos'!$A$4:$A$4,'[1]DATOS PBI Artículos'!$Z$4:$Z$4))/_xlfn.XLOOKUP(_xlfn.XLOOKUP($A45,'[1]DATOS PBI Artículos'!$A$4:$A$4,'[1]DATOS PBI Artículos'!$Y$4:$Y$4),[1]CRITERIOS!$P$79:$P$123,[1]CRITERIOS!$S$79:$S$123,),0)</f>
        <v>#N/A</v>
      </c>
      <c r="AB45" s="33" t="e">
        <f t="array" ref="AB45">IF((E45+V45-_xlfn.XLOOKUP(A45,'[1]DATOS PBI Artículos'!$A$4:$A$4,'[1]DATOS PBI Artículos'!$W$4:$W$4))/N45&gt;ROUNDUP([1]CRITERIOS!$M$16/(IF(COUNTIF([1]CRITERIOS!$BG$11:$BG$201,L45)&gt;=1,_xlfn.XLOOKUP(ARTÍCULOS!L45,[1]CRITERIOS!$BG$11:$BG$201,[1]CRITERIOS!$BJ$11:$BJ$201),_xlfn.XLOOKUP(ARTÍCULOS!C45,[1]CRITERIOS!$K$25:$K$42,[1]CRITERIOS!$M$25:$M$42))),0),ROUNDUP([1]CRITERIOS!$M$16/(IF(COUNTIF([1]CRITERIOS!$BG$11:$BG$201,L45)&gt;=1,_xlfn.XLOOKUP(ARTÍCULOS!L45,[1]CRITERIOS!$BG$11:$BG$201:#REF!,[1]CRITERIOS!$BJ$11:$BJ$201),_xlfn.XLOOKUP(ARTÍCULOS!C45,[1]CRITERIOS!$K$25:$K$42,[1]CRITERIOS!$M$25:$M$42))),0),(E45+V45-_xlfn.XLOOKUP(A45,'[1]DATOS PBI Artículos'!$A$4:$A$4,'[1]DATOS PBI Artículos'!$W$4:$W$4))/N45)</f>
        <v>#N/A</v>
      </c>
      <c r="AC45" s="33" t="e">
        <f>IF(N45=0,"",(ROUNDUP((N45/2)/(_xlfn.XLOOKUP(A45,'[1]DATOS PBI Artículos'!$A$4:$A$4,'[1]DATOS PBI Artículos'!$Z$4:$Z$4)*_xlfn.XLOOKUP(_xlfn.XLOOKUP(A45,'[1]DATOS PBI Artículos'!$A$4:$A$4,'[1]DATOS PBI Artículos'!$Y$4:$Y$4),[1]CRITERIOS!$P$79:$P$123,[1]CRITERIOS!$S$79:$S$123)),0)*[1]CRITERIOS!$M$80*([1]CRITERIOS!$M$110/[1]CRITERIOS!$M$86)+(_xlfn.XLOOKUP(A45,'[1]DATOS PBI Artículos'!$A$4:$A$4,'[1]DATOS PBI Artículos'!$AA$4:$AA$4)*([1]CRITERIOS!$M$95+[1]CRITERIOS!$M$98)))/N45)</f>
        <v>#N/A</v>
      </c>
      <c r="AD45" s="33" t="e">
        <f>IF(N45=0,"",(ROUNDUP((N45/2)/(_xlfn.XLOOKUP(A45,'[1]DATOS PBI Artículos'!$A$4:$A$4,'[1]DATOS PBI Artículos'!$Z$4:$Z$4)*_xlfn.XLOOKUP(_xlfn.XLOOKUP(A45,'[1]DATOS PBI Artículos'!$A$4:$A$4,'[1]DATOS PBI Artículos'!$Y$4:$Y$4),[1]CRITERIOS!$P$79:$P$123,[1]CRITERIOS!$S$79:$S$123)),0)*[1]CRITERIOS!$M$80*([1]CRITERIOS!$M$89*[1]CRITERIOS!$M$92)+((_xlfn.XLOOKUP(A45,'[1]DATOS PBI Artículos'!$A$4:$A$4,'[1]DATOS PBI Artículos'!$AA$4:$AA$4)/2)*([1]CRITERIOS!$M$95+[1]CRITERIOS!$M$98)))/N45)</f>
        <v>#N/A</v>
      </c>
      <c r="AE45" s="39">
        <f>IF($R45="MTO","",
IF($H45=0,ROUNDUP(((_xlfn.XLOOKUP($A45,'[1]DATOS PBI Artículos'!$A:$A,'[1]DATOS PBI Artículos'!$AL:$AL))/(_xlfn.XLOOKUP($AF$1,[1]CRITERIOS!$S$16:$S$39,[1]CRITERIOS!$Y$16:$Y$39))*$J45+$Z45)/$G45,0)*$G45,
((_xlfn.XLOOKUP($A45,'[1]DATOS PBI Artículos'!$A:$A,'[1]DATOS PBI Artículos'!$AL:$AL))/(_xlfn.XLOOKUP($AF$1,[1]CRITERIOS!$S$16:$S$39,[1]CRITERIOS!$Y$16:$Y$39))*$J45+$Z45)))</f>
        <v>240729.35750631883</v>
      </c>
      <c r="AG45" s="39">
        <f>IF($R45="MTO","",
IF($H45=0,ROUNDUP(((_xlfn.XLOOKUP($A45,'[1]DATOS PBI Artículos'!$A:$A,'[1]DATOS PBI Artículos'!$AM:$AM))/(_xlfn.XLOOKUP($AH$1,[1]CRITERIOS!$S$16:$S$39,[1]CRITERIOS!$Y$16:$Y$39))*$J45+$Z45)/$G45,0)*$G45,
((_xlfn.XLOOKUP($A45,'[1]DATOS PBI Artículos'!$A:$A,'[1]DATOS PBI Artículos'!$AM:$AM))/(_xlfn.XLOOKUP($AH$1,[1]CRITERIOS!$S$16:$S$39,[1]CRITERIOS!$Y$16:$Y$39))*$J45+$Z45)))</f>
        <v>193608.15264550719</v>
      </c>
      <c r="AI45" s="39">
        <f>IF($R45="MTO","",
IF($H45=0,ROUNDUP(((_xlfn.XLOOKUP($A45,'[1]DATOS PBI Artículos'!$A:$A,'[1]DATOS PBI Artículos'!$AN:$AN))/(_xlfn.XLOOKUP($AJ$1,[1]CRITERIOS!$S$16:$S$39,[1]CRITERIOS!$Y$16:$Y$39))*$J45+$Z45)/$G45,0)*$G45,
((_xlfn.XLOOKUP($A45,'[1]DATOS PBI Artículos'!$A:$A,'[1]DATOS PBI Artículos'!$AN:$AN))/(_xlfn.XLOOKUP($AJ$1,[1]CRITERIOS!$S$16:$S$39,[1]CRITERIOS!$Y$16:$Y$39))*$J45+$Z45)))</f>
        <v>217370.64189258544</v>
      </c>
      <c r="AK45" s="39">
        <f>IF($R45="MTO","",
IF($H45=0,ROUNDUP(((_xlfn.XLOOKUP($A45,'[1]DATOS PBI Artículos'!$A:$A,'[1]DATOS PBI Artículos'!$AO:$AO))/(_xlfn.XLOOKUP($AL$1,[1]CRITERIOS!$S$16:$S$39,[1]CRITERIOS!$Y$16:$Y$39))*$J45+$Z45)/$G45,0)*$G45,
((_xlfn.XLOOKUP($A45,'[1]DATOS PBI Artículos'!$A:$A,'[1]DATOS PBI Artículos'!$AO:$AO))/(_xlfn.XLOOKUP($AL$1,[1]CRITERIOS!$S$16:$S$39,[1]CRITERIOS!$Y$16:$Y$39))*$J45+$Z45)))</f>
        <v>230194.53173298546</v>
      </c>
    </row>
    <row r="46" spans="1:37" ht="25.8" x14ac:dyDescent="0.5">
      <c r="A46" s="32">
        <v>422086</v>
      </c>
      <c r="B46" s="33">
        <f>_xlfn.XLOOKUP($A46,'[1]DATOS PBI Artículos'!A:A,'[1]DATOS PBI Artículos'!B:B)</f>
        <v>0</v>
      </c>
      <c r="C46" s="33" t="str">
        <f>_xlfn.XLOOKUP($A46,'[1]DATOS PBI Artículos'!A:A,'[1]DATOS PBI Artículos'!C:C)</f>
        <v>UA01</v>
      </c>
      <c r="D46" s="33">
        <f>_xlfn.XLOOKUP(A46,'[1]DATOS PBI Artículos'!A:A,'[1]DATOS PBI Artículos'!T:T)</f>
        <v>3</v>
      </c>
      <c r="E46" s="34">
        <f>IF(_xlfn.XLOOKUP($A46,'[1]DATOS PBI Artículos'!A:A,'[1]DATOS PBI Artículos'!AK:AK)="",_xlfn.XLOOKUP($A46,'[1]DATOS PBI Artículos'!A:A,'[1]DATOS PBI Artículos'!AJ:AJ),_xlfn.XLOOKUP($A46,'[1]DATOS PBI Artículos'!A:A,'[1]DATOS PBI Artículos'!AK:AK))</f>
        <v>312000</v>
      </c>
      <c r="F46" s="35">
        <f>_xlfn.XLOOKUP($A46,'[1]DATOS PBI Artículos'!A:A,'[1]DATOS PBI Artículos'!AP:AP)</f>
        <v>26.5</v>
      </c>
      <c r="G46" s="34">
        <f>_xlfn.XLOOKUP($A46,'[1]DATOS PBI Artículos'!A:A,'[1]DATOS PBI Artículos'!AR:AR)</f>
        <v>104000</v>
      </c>
      <c r="H46" s="34">
        <f>_xlfn.XLOOKUP($A46,'[1]DATOS PBI Artículos'!A:A,'[1]DATOS PBI Artículos'!AT:AT)</f>
        <v>0</v>
      </c>
      <c r="I46" s="34">
        <f>_xlfn.XLOOKUP($A46,'[1]DATOS PBI Artículos'!A:A,'[1]DATOS PBI Artículos'!AS:AS)</f>
        <v>104000</v>
      </c>
      <c r="J46" s="35">
        <f>IF(COUNTIF([1]CRITERIOS!$F$179:$F$199,$A46)&gt;=1,
 IF(O46&lt;&gt;"",
    (O46/_xlfn.XLOOKUP(CONCATENATE(A46,L46),[1]MÁQUINAS!A:A,[1]MÁQUINAS!D:D))/24,
    (N46/_xlfn.XLOOKUP(CONCATENATE(A46,L46),[1]MÁQUINAS!A:A,[1]MÁQUINAS!D:D))/24),
  _xlfn.XLOOKUP($A46,'[1]DATOS PBI Artículos'!A:A,'[1]DATOS PBI Artículos'!AU:AU))</f>
        <v>22.636363636363637</v>
      </c>
      <c r="K46" s="36">
        <f>_xlfn.XLOOKUP($A46,'[1]DATOS PBI Artículos'!A:A,'[1]DATOS PBI Artículos'!AV:AV)</f>
        <v>5.9878665194328979</v>
      </c>
      <c r="L46" s="33">
        <f>_xlfn.XLOOKUP(A46,[1]MÁQUINAS!B:B,[1]MÁQUINAS!C:C)</f>
        <v>504</v>
      </c>
      <c r="M46" s="34">
        <f t="array" ref="M46">_xlfn.XLOOKUP(A46,'[1]DATOS PBI Artículos'!A:A,'[1]DATOS PBI Artículos'!AX:$AX)</f>
        <v>202818.35159089012</v>
      </c>
      <c r="N46" s="37">
        <f>IF(I46="DV",
E46,
IF(COUNTIF([1]CRITERIOS!$I$179:$I$199,$A46)&gt;=1,
_xlfn.XLOOKUP($A46,[1]CRITERIOS!$I$179:$I$199,[1]CRITERIOS!$J$179:$J$199),
IF(COUNTIF([1]CRITERIOS!$L$179:$L$199,$A46)&gt;=1,
_xlfn.CEILING.MATH(IF($M46&gt;$E46,
$E46,
IF($M46&lt;$E46/ROUNDDOWN([1]CRITERIOS!$M$16/_xlfn.XLOOKUP($C46,[1]CRITERIOS!$K$25:$K$42,[1]CRITERIOS!$M$25:$M$42),
1),
E46/ROUNDDOWN([1]CRITERIOS!$M$16/_xlfn.XLOOKUP($C46,[1]CRITERIOS!$K$25:$K$42,[1]CRITERIOS!$M$25:$M$42),
1),
$M46)),
_xlfn.XLOOKUP($A46,[1]CRITERIOS!$L$179:$L$200,[1]CRITERIOS!$M$179:$M$200)),
_xlfn.CEILING.MATH(IF($M46&gt;$E46,
$E46,
IF($M46&lt;$E46/ROUNDDOWN([1]CRITERIOS!$M$16/_xlfn.XLOOKUP($C46,[1]CRITERIOS!$K$25:$K$42,[1]CRITERIOS!$M$25:$M$42),
1),
E46/ROUNDDOWN([1]CRITERIOS!$M$16/_xlfn.XLOOKUP($C46,[1]CRITERIOS!$K$25:$K$42,[1]CRITERIOS!$M$25:$M$42),
1),
$M46)),_xlfn.XLOOKUP(A46,'[1]DATOS PBI Artículos'!A:A,'[1]DATOS PBI Artículos'!Z:Z
)))))</f>
        <v>208000</v>
      </c>
      <c r="Q46" s="38">
        <f>IF(AND(O46="",N46=0),
0,
   IF(COUNTIF([1]CRITERIOS!$F$179:$F$199,$A46)&gt;=1,
   1,
   IF(R46="MTO",
      $D46,
      ROUNDUP(
                    IF(($E46-SUMIF('[1]DATOS PBI Artículos'!A:A,A46,'[1]DATOS PBI Artículos'!X:X)+($V46-_xlfn.XLOOKUP(A46,'[1]DATOS PBI Artículos'!A:A,'[1]DATOS PBI Artículos'!W:W)))&lt;0,
                    0,
                    IF(($E46-SUMIF('[1]DATOS PBI Artículos'!A:A,A46,'[1]DATOS PBI Artículos'!X:X)+$V46-_xlfn.XLOOKUP($A46,'[1]DATOS PBI Artículos'!A:A,'[1]DATOS PBI Artículos'!W:W))/IF($O46="",$N46,$O46)&gt;ROUNDUP([1]CRITERIOS!$M$16/(IF(COUNTIF([1]CRITERIOS!$BG$11:$BG$201,L46)&gt;=1,_xlfn.XLOOKUP($C46,[1]CRITERIOS!$K$25:$K$42,[1]CRITERIOS!$M$25:$M$42),_xlfn.XLOOKUP($C46,[1]CRITERIOS!$K$25:$K$42,[1]CRITERIOS!$M$25:$M$42))),0),
                    ROUNDUP([1]CRITERIOS!$M$16/(IF(COUNTIF([1]CRITERIOS!$BG$11:$BG$201,$L46)&gt;=1,_xlfn.XLOOKUP($C46,[1]CRITERIOS!$K$25:$K$42,[1]CRITERIOS!$M$25:$M$42),_xlfn.XLOOKUP($C46,[1]CRITERIOS!$K$25:$K$42,[1]CRITERIOS!$M$25:$M$42))),0),
                    (E46+V46-SUMIF('[1]DATOS PBI Artículos'!A:A,A46,'[1]DATOS PBI Artículos'!X:X)-_xlfn.XLOOKUP(A46,'[1]DATOS PBI Artículos'!A:A,'[1]DATOS PBI Artículos'!W:W))/IF($O46="",$N46,$O46))),0))))</f>
        <v>1</v>
      </c>
      <c r="R46" s="33" t="str">
        <f>IF(U46&lt;&gt;"",U46,IF(F46="DV","MTO",IF(N46=0,"MTO",_xlfn.XLOOKUP(CONCATENATE(S46,T46),[1]CRITERIOS!$K$160:$K$168,[1]CRITERIOS!$N$160:$N$168))))</f>
        <v>MTS</v>
      </c>
      <c r="S46" s="33" t="str">
        <f>IF(G46="DV","MTO",IF(N46=0,"MTO",IF(OR(AND(N46=0,O46=""),IF(O46="",G46/N46,G46/O46)&gt;[1]CRITERIOS!$G$163),"MTO",IF(IF(O46="",G46/N46,G46/O46)&lt;[1]CRITERIOS!$H$161,"MTS","MTOS"))))</f>
        <v>MTOS</v>
      </c>
      <c r="T46" s="33" t="str">
        <f>IF(F46="DV","MTO",IF(OR(AND($N46=0,O46=""),$F46/$J46&gt;[1]CRITERIOS!$G$170,$F46="DV"),"MTO",IF($F46/$J46&lt;[1]CRITERIOS!$H$168,"MTS","MTOS")))</f>
        <v>MTOS</v>
      </c>
      <c r="V46" s="34">
        <f t="shared" si="4"/>
        <v>109594.98701007752</v>
      </c>
      <c r="X46" s="34">
        <f t="shared" si="1"/>
        <v>317594.98701007752</v>
      </c>
      <c r="Y46" s="34">
        <f t="shared" si="2"/>
        <v>124757.93726736738</v>
      </c>
      <c r="Z46" s="34">
        <f>IF($R46="MTO",
0,
($H46+$K46*($E46/[1]CRITERIOS!$M$16))/[1]CRITERIOS!$X$48)</f>
        <v>20757.937267367379</v>
      </c>
      <c r="AA46" s="34" t="e">
        <f>ROUNDUP(($Y46/_xlfn.XLOOKUP($A46,'[1]DATOS PBI Artículos'!$A$4:$A$4,'[1]DATOS PBI Artículos'!$Z$4:$Z$4))/_xlfn.XLOOKUP(_xlfn.XLOOKUP($A46,'[1]DATOS PBI Artículos'!$A$4:$A$4,'[1]DATOS PBI Artículos'!$Y$4:$Y$4),[1]CRITERIOS!$P$79:$P$123,[1]CRITERIOS!$S$79:$S$123,),0)</f>
        <v>#N/A</v>
      </c>
      <c r="AB46" s="33" t="e">
        <f t="array" ref="AB46">IF((E46+V46-_xlfn.XLOOKUP(A46,'[1]DATOS PBI Artículos'!$A$4:$A$4,'[1]DATOS PBI Artículos'!$W$4:$W$4))/N46&gt;ROUNDUP([1]CRITERIOS!$M$16/(IF(COUNTIF([1]CRITERIOS!$BG$11:$BG$201,L46)&gt;=1,_xlfn.XLOOKUP(ARTÍCULOS!L46,[1]CRITERIOS!$BG$11:$BG$201,[1]CRITERIOS!$BJ$11:$BJ$201),_xlfn.XLOOKUP(ARTÍCULOS!C46,[1]CRITERIOS!$K$25:$K$42,[1]CRITERIOS!$M$25:$M$42))),0),ROUNDUP([1]CRITERIOS!$M$16/(IF(COUNTIF([1]CRITERIOS!$BG$11:$BG$201,L46)&gt;=1,_xlfn.XLOOKUP(ARTÍCULOS!L46,[1]CRITERIOS!$BG$11:$BG$201:#REF!,[1]CRITERIOS!$BJ$11:$BJ$201),_xlfn.XLOOKUP(ARTÍCULOS!C46,[1]CRITERIOS!$K$25:$K$42,[1]CRITERIOS!$M$25:$M$42))),0),(E46+V46-_xlfn.XLOOKUP(A46,'[1]DATOS PBI Artículos'!$A$4:$A$4,'[1]DATOS PBI Artículos'!$W$4:$W$4))/N46)</f>
        <v>#N/A</v>
      </c>
      <c r="AC46" s="33" t="e">
        <f>IF(N46=0,"",(ROUNDUP((N46/2)/(_xlfn.XLOOKUP(A46,'[1]DATOS PBI Artículos'!$A$4:$A$4,'[1]DATOS PBI Artículos'!$Z$4:$Z$4)*_xlfn.XLOOKUP(_xlfn.XLOOKUP(A46,'[1]DATOS PBI Artículos'!$A$4:$A$4,'[1]DATOS PBI Artículos'!$Y$4:$Y$4),[1]CRITERIOS!$P$79:$P$123,[1]CRITERIOS!$S$79:$S$123)),0)*[1]CRITERIOS!$M$80*([1]CRITERIOS!$M$110/[1]CRITERIOS!$M$86)+(_xlfn.XLOOKUP(A46,'[1]DATOS PBI Artículos'!$A$4:$A$4,'[1]DATOS PBI Artículos'!$AA$4:$AA$4)*([1]CRITERIOS!$M$95+[1]CRITERIOS!$M$98)))/N46)</f>
        <v>#N/A</v>
      </c>
      <c r="AD46" s="33" t="e">
        <f>IF(N46=0,"",(ROUNDUP((N46/2)/(_xlfn.XLOOKUP(A46,'[1]DATOS PBI Artículos'!$A$4:$A$4,'[1]DATOS PBI Artículos'!$Z$4:$Z$4)*_xlfn.XLOOKUP(_xlfn.XLOOKUP(A46,'[1]DATOS PBI Artículos'!$A$4:$A$4,'[1]DATOS PBI Artículos'!$Y$4:$Y$4),[1]CRITERIOS!$P$79:$P$123,[1]CRITERIOS!$S$79:$S$123)),0)*[1]CRITERIOS!$M$80*([1]CRITERIOS!$M$89*[1]CRITERIOS!$M$92)+((_xlfn.XLOOKUP(A46,'[1]DATOS PBI Artículos'!$A$4:$A$4,'[1]DATOS PBI Artículos'!$AA$4:$AA$4)/2)*([1]CRITERIOS!$M$95+[1]CRITERIOS!$M$98)))/N46)</f>
        <v>#N/A</v>
      </c>
      <c r="AE46" s="39">
        <f>IF($R46="MTO","",
IF($H46=0,ROUNDUP(((_xlfn.XLOOKUP($A46,'[1]DATOS PBI Artículos'!$A:$A,'[1]DATOS PBI Artículos'!$AL:$AL))/(_xlfn.XLOOKUP($AF$1,[1]CRITERIOS!$S$16:$S$39,[1]CRITERIOS!$Y$16:$Y$39))*$J46+$Z46)/$G46,0)*$G46,
((_xlfn.XLOOKUP($A46,'[1]DATOS PBI Artículos'!$A:$A,'[1]DATOS PBI Artículos'!$AL:$AL))/(_xlfn.XLOOKUP($AF$1,[1]CRITERIOS!$S$16:$S$39,[1]CRITERIOS!$Y$16:$Y$39))*$J46+$Z46)))</f>
        <v>208000</v>
      </c>
      <c r="AG46" s="39">
        <f>IF($R46="MTO","",
IF($H46=0,ROUNDUP(((_xlfn.XLOOKUP($A46,'[1]DATOS PBI Artículos'!$A:$A,'[1]DATOS PBI Artículos'!$AM:$AM))/(_xlfn.XLOOKUP($AH$1,[1]CRITERIOS!$S$16:$S$39,[1]CRITERIOS!$Y$16:$Y$39))*$J46+$Z46)/$G46,0)*$G46,
((_xlfn.XLOOKUP($A46,'[1]DATOS PBI Artículos'!$A:$A,'[1]DATOS PBI Artículos'!$AM:$AM))/(_xlfn.XLOOKUP($AH$1,[1]CRITERIOS!$S$16:$S$39,[1]CRITERIOS!$Y$16:$Y$39))*$J46+$Z46)))</f>
        <v>104000</v>
      </c>
      <c r="AI46" s="39">
        <f>IF($R46="MTO","",
IF($H46=0,ROUNDUP(((_xlfn.XLOOKUP($A46,'[1]DATOS PBI Artículos'!$A:$A,'[1]DATOS PBI Artículos'!$AN:$AN))/(_xlfn.XLOOKUP($AJ$1,[1]CRITERIOS!$S$16:$S$39,[1]CRITERIOS!$Y$16:$Y$39))*$J46+$Z46)/$G46,0)*$G46,
((_xlfn.XLOOKUP($A46,'[1]DATOS PBI Artículos'!$A:$A,'[1]DATOS PBI Artículos'!$AN:$AN))/(_xlfn.XLOOKUP($AJ$1,[1]CRITERIOS!$S$16:$S$39,[1]CRITERIOS!$Y$16:$Y$39))*$J46+$Z46)))</f>
        <v>208000</v>
      </c>
      <c r="AK46" s="39">
        <f>IF($R46="MTO","",
IF($H46=0,ROUNDUP(((_xlfn.XLOOKUP($A46,'[1]DATOS PBI Artículos'!$A:$A,'[1]DATOS PBI Artículos'!$AO:$AO))/(_xlfn.XLOOKUP($AL$1,[1]CRITERIOS!$S$16:$S$39,[1]CRITERIOS!$Y$16:$Y$39))*$J46+$Z46)/$G46,0)*$G46,
((_xlfn.XLOOKUP($A46,'[1]DATOS PBI Artículos'!$A:$A,'[1]DATOS PBI Artículos'!$AO:$AO))/(_xlfn.XLOOKUP($AL$1,[1]CRITERIOS!$S$16:$S$39,[1]CRITERIOS!$Y$16:$Y$39))*$J46+$Z46)))</f>
        <v>208000</v>
      </c>
    </row>
    <row r="47" spans="1:37" ht="25.8" x14ac:dyDescent="0.5">
      <c r="A47" s="32" t="s">
        <v>50</v>
      </c>
      <c r="B47" s="33">
        <f>_xlfn.XLOOKUP($A47,'[1]DATOS PBI Artículos'!A:A,'[1]DATOS PBI Artículos'!B:B)</f>
        <v>0</v>
      </c>
      <c r="C47" s="33" t="str">
        <f>_xlfn.XLOOKUP($A47,'[1]DATOS PBI Artículos'!A:A,'[1]DATOS PBI Artículos'!C:C)</f>
        <v>UA01</v>
      </c>
      <c r="D47" s="33">
        <f>_xlfn.XLOOKUP(A47,'[1]DATOS PBI Artículos'!A:A,'[1]DATOS PBI Artículos'!T:T)</f>
        <v>6</v>
      </c>
      <c r="E47" s="34">
        <f>IF(_xlfn.XLOOKUP($A47,'[1]DATOS PBI Artículos'!A:A,'[1]DATOS PBI Artículos'!AK:AK)="",_xlfn.XLOOKUP($A47,'[1]DATOS PBI Artículos'!A:A,'[1]DATOS PBI Artículos'!AJ:AJ),_xlfn.XLOOKUP($A47,'[1]DATOS PBI Artículos'!A:A,'[1]DATOS PBI Artículos'!AK:AK))</f>
        <v>300000</v>
      </c>
      <c r="F47" s="35">
        <f>_xlfn.XLOOKUP($A47,'[1]DATOS PBI Artículos'!A:A,'[1]DATOS PBI Artículos'!AP:AP)</f>
        <v>11.8</v>
      </c>
      <c r="G47" s="34">
        <f>_xlfn.XLOOKUP($A47,'[1]DATOS PBI Artículos'!A:A,'[1]DATOS PBI Artículos'!AR:AR)</f>
        <v>50000</v>
      </c>
      <c r="H47" s="34">
        <f>_xlfn.XLOOKUP($A47,'[1]DATOS PBI Artículos'!A:A,'[1]DATOS PBI Artículos'!AT:AT)</f>
        <v>41833.001326703779</v>
      </c>
      <c r="I47" s="34">
        <f>_xlfn.XLOOKUP($A47,'[1]DATOS PBI Artículos'!A:A,'[1]DATOS PBI Artículos'!AS:AS)</f>
        <v>25000</v>
      </c>
      <c r="J47" s="35">
        <f>IF(COUNTIF([1]CRITERIOS!$F$179:$F$199,$A47)&gt;=1,
 IF(O47&lt;&gt;"",
    (O47/_xlfn.XLOOKUP(CONCATENATE(A47,L47),[1]MÁQUINAS!A:A,[1]MÁQUINAS!D:D))/24,
    (N47/_xlfn.XLOOKUP(CONCATENATE(A47,L47),[1]MÁQUINAS!A:A,[1]MÁQUINAS!D:D))/24),
  _xlfn.XLOOKUP($A47,'[1]DATOS PBI Artículos'!A:A,'[1]DATOS PBI Artículos'!AU:AU))</f>
        <v>14.333333333333332</v>
      </c>
      <c r="K47" s="36">
        <f>_xlfn.XLOOKUP($A47,'[1]DATOS PBI Artículos'!A:A,'[1]DATOS PBI Artículos'!AV:AV)</f>
        <v>1.3706888336846834</v>
      </c>
      <c r="L47" s="33">
        <f>_xlfn.XLOOKUP(A47,[1]MÁQUINAS!B:B,[1]MÁQUINAS!C:C)</f>
        <v>406</v>
      </c>
      <c r="M47" s="34">
        <f t="array" ref="M47">_xlfn.XLOOKUP(A47,'[1]DATOS PBI Artículos'!A:A,'[1]DATOS PBI Artículos'!AX:$AX)</f>
        <v>89025.398995331314</v>
      </c>
      <c r="N47" s="37">
        <f>IF(I47="DV",
E47,
IF(COUNTIF([1]CRITERIOS!$I$179:$I$199,$A47)&gt;=1,
_xlfn.XLOOKUP($A47,[1]CRITERIOS!$I$179:$I$199,[1]CRITERIOS!$J$179:$J$199),
IF(COUNTIF([1]CRITERIOS!$L$179:$L$199,$A47)&gt;=1,
_xlfn.CEILING.MATH(IF($M47&gt;$E47,
$E47,
IF($M47&lt;$E47/ROUNDDOWN([1]CRITERIOS!$M$16/_xlfn.XLOOKUP($C47,[1]CRITERIOS!$K$25:$K$42,[1]CRITERIOS!$M$25:$M$42),
1),
E47/ROUNDDOWN([1]CRITERIOS!$M$16/_xlfn.XLOOKUP($C47,[1]CRITERIOS!$K$25:$K$42,[1]CRITERIOS!$M$25:$M$42),
1),
$M47)),
_xlfn.XLOOKUP($A47,[1]CRITERIOS!$L$179:$L$200,[1]CRITERIOS!$M$179:$M$200)),
_xlfn.CEILING.MATH(IF($M47&gt;$E47,
$E47,
IF($M47&lt;$E47/ROUNDDOWN([1]CRITERIOS!$M$16/_xlfn.XLOOKUP($C47,[1]CRITERIOS!$K$25:$K$42,[1]CRITERIOS!$M$25:$M$42),
1),
E47/ROUNDDOWN([1]CRITERIOS!$M$16/_xlfn.XLOOKUP($C47,[1]CRITERIOS!$K$25:$K$42,[1]CRITERIOS!$M$25:$M$42),
1),
$M47)),_xlfn.XLOOKUP(A47,'[1]DATOS PBI Artículos'!A:A,'[1]DATOS PBI Artículos'!Z:Z
)))))</f>
        <v>90000</v>
      </c>
      <c r="Q47" s="38">
        <f>IF(AND(O47="",N47=0),
0,
   IF(COUNTIF([1]CRITERIOS!$F$179:$F$199,$A47)&gt;=1,
   1,
   IF(R47="MTO",
      $D47,
      ROUNDUP(
                    IF(($E47-SUMIF('[1]DATOS PBI Artículos'!A:A,A47,'[1]DATOS PBI Artículos'!X:X)+($V47-_xlfn.XLOOKUP(A47,'[1]DATOS PBI Artículos'!A:A,'[1]DATOS PBI Artículos'!W:W)))&lt;0,
                    0,
                    IF(($E47-SUMIF('[1]DATOS PBI Artículos'!A:A,A47,'[1]DATOS PBI Artículos'!X:X)+$V47-_xlfn.XLOOKUP($A47,'[1]DATOS PBI Artículos'!A:A,'[1]DATOS PBI Artículos'!W:W))/IF($O47="",$N47,$O47)&gt;ROUNDUP([1]CRITERIOS!$M$16/(IF(COUNTIF([1]CRITERIOS!$BG$11:$BG$201,L47)&gt;=1,_xlfn.XLOOKUP($C47,[1]CRITERIOS!$K$25:$K$42,[1]CRITERIOS!$M$25:$M$42),_xlfn.XLOOKUP($C47,[1]CRITERIOS!$K$25:$K$42,[1]CRITERIOS!$M$25:$M$42))),0),
                    ROUNDUP([1]CRITERIOS!$M$16/(IF(COUNTIF([1]CRITERIOS!$BG$11:$BG$201,$L47)&gt;=1,_xlfn.XLOOKUP($C47,[1]CRITERIOS!$K$25:$K$42,[1]CRITERIOS!$M$25:$M$42),_xlfn.XLOOKUP($C47,[1]CRITERIOS!$K$25:$K$42,[1]CRITERIOS!$M$25:$M$42))),0),
                    (E47+V47-SUMIF('[1]DATOS PBI Artículos'!A:A,A47,'[1]DATOS PBI Artículos'!X:X)-_xlfn.XLOOKUP(A47,'[1]DATOS PBI Artículos'!A:A,'[1]DATOS PBI Artículos'!W:W))/IF($O47="",$N47,$O47))),0))))</f>
        <v>4</v>
      </c>
      <c r="R47" s="33" t="str">
        <f>IF(U47&lt;&gt;"",U47,IF(F47="DV","MTO",IF(N47=0,"MTO",_xlfn.XLOOKUP(CONCATENATE(S47,T47),[1]CRITERIOS!$K$160:$K$168,[1]CRITERIOS!$N$160:$N$168))))</f>
        <v>MTS</v>
      </c>
      <c r="S47" s="33" t="str">
        <f>IF(G47="DV","MTO",IF(N47=0,"MTO",IF(OR(AND(N47=0,O47=""),IF(O47="",G47/N47,G47/O47)&gt;[1]CRITERIOS!$G$163),"MTO",IF(IF(O47="",G47/N47,G47/O47)&lt;[1]CRITERIOS!$H$161,"MTS","MTOS"))))</f>
        <v>MTOS</v>
      </c>
      <c r="T47" s="33" t="str">
        <f>IF(F47="DV","MTO",IF(OR(AND($N47=0,O47=""),$F47/$J47&gt;[1]CRITERIOS!$G$170,$F47="DV"),"MTO",IF($F47/$J47&lt;[1]CRITERIOS!$H$168,"MTS","MTOS")))</f>
        <v>MTS</v>
      </c>
      <c r="V47" s="34">
        <f t="shared" si="4"/>
        <v>100164.26049470491</v>
      </c>
      <c r="X47" s="34">
        <f t="shared" si="1"/>
        <v>190164.26049470491</v>
      </c>
      <c r="Y47" s="34">
        <f t="shared" si="2"/>
        <v>84429.797217868763</v>
      </c>
      <c r="Z47" s="34">
        <f>IF($R47="MTO",
0,
($H47+$K47*($E47/[1]CRITERIOS!$M$16))/[1]CRITERIOS!$X$48)</f>
        <v>39429.797217868763</v>
      </c>
      <c r="AA47" s="34" t="e">
        <f>ROUNDUP(($Y47/_xlfn.XLOOKUP($A47,'[1]DATOS PBI Artículos'!$A$4:$A$4,'[1]DATOS PBI Artículos'!$Z$4:$Z$4))/_xlfn.XLOOKUP(_xlfn.XLOOKUP($A47,'[1]DATOS PBI Artículos'!$A$4:$A$4,'[1]DATOS PBI Artículos'!$Y$4:$Y$4),[1]CRITERIOS!$P$79:$P$123,[1]CRITERIOS!$S$79:$S$123,),0)</f>
        <v>#N/A</v>
      </c>
      <c r="AB47" s="33" t="e">
        <f t="array" ref="AB47">IF((E47+V47-_xlfn.XLOOKUP(A47,'[1]DATOS PBI Artículos'!$A$4:$A$4,'[1]DATOS PBI Artículos'!$W$4:$W$4))/N47&gt;ROUNDUP([1]CRITERIOS!$M$16/(IF(COUNTIF([1]CRITERIOS!$BG$11:$BG$201,L47)&gt;=1,_xlfn.XLOOKUP(ARTÍCULOS!L47,[1]CRITERIOS!$BG$11:$BG$201,[1]CRITERIOS!$BJ$11:$BJ$201),_xlfn.XLOOKUP(ARTÍCULOS!C47,[1]CRITERIOS!$K$25:$K$42,[1]CRITERIOS!$M$25:$M$42))),0),ROUNDUP([1]CRITERIOS!$M$16/(IF(COUNTIF([1]CRITERIOS!$BG$11:$BG$201,L47)&gt;=1,_xlfn.XLOOKUP(ARTÍCULOS!L47,[1]CRITERIOS!$BG$11:$BG$201:#REF!,[1]CRITERIOS!$BJ$11:$BJ$201),_xlfn.XLOOKUP(ARTÍCULOS!C47,[1]CRITERIOS!$K$25:$K$42,[1]CRITERIOS!$M$25:$M$42))),0),(E47+V47-_xlfn.XLOOKUP(A47,'[1]DATOS PBI Artículos'!$A$4:$A$4,'[1]DATOS PBI Artículos'!$W$4:$W$4))/N47)</f>
        <v>#N/A</v>
      </c>
      <c r="AC47" s="33" t="e">
        <f>IF(N47=0,"",(ROUNDUP((N47/2)/(_xlfn.XLOOKUP(A47,'[1]DATOS PBI Artículos'!$A$4:$A$4,'[1]DATOS PBI Artículos'!$Z$4:$Z$4)*_xlfn.XLOOKUP(_xlfn.XLOOKUP(A47,'[1]DATOS PBI Artículos'!$A$4:$A$4,'[1]DATOS PBI Artículos'!$Y$4:$Y$4),[1]CRITERIOS!$P$79:$P$123,[1]CRITERIOS!$S$79:$S$123)),0)*[1]CRITERIOS!$M$80*([1]CRITERIOS!$M$110/[1]CRITERIOS!$M$86)+(_xlfn.XLOOKUP(A47,'[1]DATOS PBI Artículos'!$A$4:$A$4,'[1]DATOS PBI Artículos'!$AA$4:$AA$4)*([1]CRITERIOS!$M$95+[1]CRITERIOS!$M$98)))/N47)</f>
        <v>#N/A</v>
      </c>
      <c r="AD47" s="33" t="e">
        <f>IF(N47=0,"",(ROUNDUP((N47/2)/(_xlfn.XLOOKUP(A47,'[1]DATOS PBI Artículos'!$A$4:$A$4,'[1]DATOS PBI Artículos'!$Z$4:$Z$4)*_xlfn.XLOOKUP(_xlfn.XLOOKUP(A47,'[1]DATOS PBI Artículos'!$A$4:$A$4,'[1]DATOS PBI Artículos'!$Y$4:$Y$4),[1]CRITERIOS!$P$79:$P$123,[1]CRITERIOS!$S$79:$S$123)),0)*[1]CRITERIOS!$M$80*([1]CRITERIOS!$M$89*[1]CRITERIOS!$M$92)+((_xlfn.XLOOKUP(A47,'[1]DATOS PBI Artículos'!$A$4:$A$4,'[1]DATOS PBI Artículos'!$AA$4:$AA$4)/2)*([1]CRITERIOS!$M$95+[1]CRITERIOS!$M$98)))/N47)</f>
        <v>#N/A</v>
      </c>
      <c r="AE47" s="39">
        <f>IF($R47="MTO","",
IF($H47=0,ROUNDUP(((_xlfn.XLOOKUP($A47,'[1]DATOS PBI Artículos'!$A:$A,'[1]DATOS PBI Artículos'!$AL:$AL))/(_xlfn.XLOOKUP($AF$1,[1]CRITERIOS!$S$16:$S$39,[1]CRITERIOS!$Y$16:$Y$39))*$J47+$Z47)/$G47,0)*$G47,
((_xlfn.XLOOKUP($A47,'[1]DATOS PBI Artículos'!$A:$A,'[1]DATOS PBI Artículos'!$AL:$AL))/(_xlfn.XLOOKUP($AF$1,[1]CRITERIOS!$S$16:$S$39,[1]CRITERIOS!$Y$16:$Y$39))*$J47+$Z47)))</f>
        <v>105739.69546647987</v>
      </c>
      <c r="AG47" s="39">
        <f>IF($R47="MTO","",
IF($H47=0,ROUNDUP(((_xlfn.XLOOKUP($A47,'[1]DATOS PBI Artículos'!$A:$A,'[1]DATOS PBI Artículos'!$AM:$AM))/(_xlfn.XLOOKUP($AH$1,[1]CRITERIOS!$S$16:$S$39,[1]CRITERIOS!$Y$16:$Y$39))*$J47+$Z47)/$G47,0)*$G47,
((_xlfn.XLOOKUP($A47,'[1]DATOS PBI Artículos'!$A:$A,'[1]DATOS PBI Artículos'!$AM:$AM))/(_xlfn.XLOOKUP($AH$1,[1]CRITERIOS!$S$16:$S$39,[1]CRITERIOS!$Y$16:$Y$39))*$J47+$Z47)))</f>
        <v>87061.48926243397</v>
      </c>
      <c r="AI47" s="39">
        <f>IF($R47="MTO","",
IF($H47=0,ROUNDUP(((_xlfn.XLOOKUP($A47,'[1]DATOS PBI Artículos'!$A:$A,'[1]DATOS PBI Artículos'!$AN:$AN))/(_xlfn.XLOOKUP($AJ$1,[1]CRITERIOS!$S$16:$S$39,[1]CRITERIOS!$Y$16:$Y$39))*$J47+$Z47)/$G47,0)*$G47,
((_xlfn.XLOOKUP($A47,'[1]DATOS PBI Artículos'!$A:$A,'[1]DATOS PBI Artículos'!$AN:$AN))/(_xlfn.XLOOKUP($AJ$1,[1]CRITERIOS!$S$16:$S$39,[1]CRITERIOS!$Y$16:$Y$39))*$J47+$Z47)))</f>
        <v>96480.617559118749</v>
      </c>
      <c r="AK47" s="39">
        <f>IF($R47="MTO","",
IF($H47=0,ROUNDUP(((_xlfn.XLOOKUP($A47,'[1]DATOS PBI Artículos'!$A:$A,'[1]DATOS PBI Artículos'!$AO:$AO))/(_xlfn.XLOOKUP($AL$1,[1]CRITERIOS!$S$16:$S$39,[1]CRITERIOS!$Y$16:$Y$39))*$J47+$Z47)/$G47,0)*$G47,
((_xlfn.XLOOKUP($A47,'[1]DATOS PBI Artículos'!$A:$A,'[1]DATOS PBI Artículos'!$AO:$AO))/(_xlfn.XLOOKUP($AL$1,[1]CRITERIOS!$S$16:$S$39,[1]CRITERIOS!$Y$16:$Y$39))*$J47+$Z47)))</f>
        <v>101563.83348036875</v>
      </c>
    </row>
    <row r="48" spans="1:37" ht="25.8" x14ac:dyDescent="0.5">
      <c r="A48" s="32">
        <v>400211</v>
      </c>
      <c r="B48" s="33">
        <f>_xlfn.XLOOKUP($A48,'[1]DATOS PBI Artículos'!A:A,'[1]DATOS PBI Artículos'!B:B)</f>
        <v>0</v>
      </c>
      <c r="C48" s="33" t="str">
        <f>_xlfn.XLOOKUP($A48,'[1]DATOS PBI Artículos'!A:A,'[1]DATOS PBI Artículos'!C:C)</f>
        <v>UA03</v>
      </c>
      <c r="D48" s="33">
        <f>_xlfn.XLOOKUP(A48,'[1]DATOS PBI Artículos'!A:A,'[1]DATOS PBI Artículos'!T:T)</f>
        <v>23</v>
      </c>
      <c r="E48" s="34">
        <f>IF(_xlfn.XLOOKUP($A48,'[1]DATOS PBI Artículos'!A:A,'[1]DATOS PBI Artículos'!AK:AK)="",_xlfn.XLOOKUP($A48,'[1]DATOS PBI Artículos'!A:A,'[1]DATOS PBI Artículos'!AJ:AJ),_xlfn.XLOOKUP($A48,'[1]DATOS PBI Artículos'!A:A,'[1]DATOS PBI Artículos'!AK:AK))</f>
        <v>300000</v>
      </c>
      <c r="F48" s="35">
        <f>_xlfn.XLOOKUP($A48,'[1]DATOS PBI Artículos'!A:A,'[1]DATOS PBI Artículos'!AP:AP)</f>
        <v>3.2857142857100001</v>
      </c>
      <c r="G48" s="34">
        <f>_xlfn.XLOOKUP($A48,'[1]DATOS PBI Artículos'!A:A,'[1]DATOS PBI Artículos'!AR:AR)</f>
        <v>12000</v>
      </c>
      <c r="H48" s="34">
        <f>_xlfn.XLOOKUP($A48,'[1]DATOS PBI Artículos'!A:A,'[1]DATOS PBI Artículos'!AT:AT)</f>
        <v>4215.0010398852528</v>
      </c>
      <c r="I48" s="34">
        <f>_xlfn.XLOOKUP($A48,'[1]DATOS PBI Artículos'!A:A,'[1]DATOS PBI Artículos'!AS:AS)</f>
        <v>12000</v>
      </c>
      <c r="J48" s="35">
        <f>IF(COUNTIF([1]CRITERIOS!$F$179:$F$199,$A48)&gt;=1,
 IF(O48&lt;&gt;"",
    (O48/_xlfn.XLOOKUP(CONCATENATE(A48,L48),[1]MÁQUINAS!A:A,[1]MÁQUINAS!D:D))/24,
    (N48/_xlfn.XLOOKUP(CONCATENATE(A48,L48),[1]MÁQUINAS!A:A,[1]MÁQUINAS!D:D))/24),
  _xlfn.XLOOKUP($A48,'[1]DATOS PBI Artículos'!A:A,'[1]DATOS PBI Artículos'!AU:AU))</f>
        <v>18.25</v>
      </c>
      <c r="K48" s="36">
        <f>_xlfn.XLOOKUP($A48,'[1]DATOS PBI Artículos'!A:A,'[1]DATOS PBI Artículos'!AV:AV)</f>
        <v>4.4746762198763914</v>
      </c>
      <c r="L48" s="33">
        <f>_xlfn.XLOOKUP(A48,[1]MÁQUINAS!B:B,[1]MÁQUINAS!C:C)</f>
        <v>142</v>
      </c>
      <c r="M48" s="34">
        <f t="array" ref="M48">_xlfn.XLOOKUP(A48,'[1]DATOS PBI Artículos'!A:A,'[1]DATOS PBI Artículos'!AX:$AX)</f>
        <v>65576.406403926012</v>
      </c>
      <c r="N48" s="37">
        <f>IF(I48="DV",
E48,
IF(COUNTIF([1]CRITERIOS!$I$179:$I$199,$A48)&gt;=1,
_xlfn.XLOOKUP($A48,[1]CRITERIOS!$I$179:$I$199,[1]CRITERIOS!$J$179:$J$199),
IF(COUNTIF([1]CRITERIOS!$L$179:$L$199,$A48)&gt;=1,
_xlfn.CEILING.MATH(IF($M48&gt;$E48,
$E48,
IF($M48&lt;$E48/ROUNDDOWN([1]CRITERIOS!$M$16/_xlfn.XLOOKUP($C48,[1]CRITERIOS!$K$25:$K$42,[1]CRITERIOS!$M$25:$M$42),
1),
E48/ROUNDDOWN([1]CRITERIOS!$M$16/_xlfn.XLOOKUP($C48,[1]CRITERIOS!$K$25:$K$42,[1]CRITERIOS!$M$25:$M$42),
1),
$M48)),
_xlfn.XLOOKUP($A48,[1]CRITERIOS!$L$179:$L$200,[1]CRITERIOS!$M$179:$M$200)),
_xlfn.CEILING.MATH(IF($M48&gt;$E48,
$E48,
IF($M48&lt;$E48/ROUNDDOWN([1]CRITERIOS!$M$16/_xlfn.XLOOKUP($C48,[1]CRITERIOS!$K$25:$K$42,[1]CRITERIOS!$M$25:$M$42),
1),
E48/ROUNDDOWN([1]CRITERIOS!$M$16/_xlfn.XLOOKUP($C48,[1]CRITERIOS!$K$25:$K$42,[1]CRITERIOS!$M$25:$M$42),
1),
$M48)),_xlfn.XLOOKUP(A48,'[1]DATOS PBI Artículos'!A:A,'[1]DATOS PBI Artículos'!Z:Z
)))))</f>
        <v>84000</v>
      </c>
      <c r="Q48" s="38">
        <f>IF(AND(O48="",N48=0),
0,
   IF(COUNTIF([1]CRITERIOS!$F$179:$F$199,$A48)&gt;=1,
   1,
   IF(R48="MTO",
      $D48,
      ROUNDUP(
                    IF(($E48-SUMIF('[1]DATOS PBI Artículos'!A:A,A48,'[1]DATOS PBI Artículos'!X:X)+($V48-_xlfn.XLOOKUP(A48,'[1]DATOS PBI Artículos'!A:A,'[1]DATOS PBI Artículos'!W:W)))&lt;0,
                    0,
                    IF(($E48-SUMIF('[1]DATOS PBI Artículos'!A:A,A48,'[1]DATOS PBI Artículos'!X:X)+$V48-_xlfn.XLOOKUP($A48,'[1]DATOS PBI Artículos'!A:A,'[1]DATOS PBI Artículos'!W:W))/IF($O48="",$N48,$O48)&gt;ROUNDUP([1]CRITERIOS!$M$16/(IF(COUNTIF([1]CRITERIOS!$BG$11:$BG$201,L48)&gt;=1,_xlfn.XLOOKUP($C48,[1]CRITERIOS!$K$25:$K$42,[1]CRITERIOS!$M$25:$M$42),_xlfn.XLOOKUP($C48,[1]CRITERIOS!$K$25:$K$42,[1]CRITERIOS!$M$25:$M$42))),0),
                    ROUNDUP([1]CRITERIOS!$M$16/(IF(COUNTIF([1]CRITERIOS!$BG$11:$BG$201,$L48)&gt;=1,_xlfn.XLOOKUP($C48,[1]CRITERIOS!$K$25:$K$42,[1]CRITERIOS!$M$25:$M$42),_xlfn.XLOOKUP($C48,[1]CRITERIOS!$K$25:$K$42,[1]CRITERIOS!$M$25:$M$42))),0),
                    (E48+V48-SUMIF('[1]DATOS PBI Artículos'!A:A,A48,'[1]DATOS PBI Artículos'!X:X)-_xlfn.XLOOKUP(A48,'[1]DATOS PBI Artículos'!A:A,'[1]DATOS PBI Artículos'!W:W))/IF($O48="",$N48,$O48))),0))))</f>
        <v>3</v>
      </c>
      <c r="R48" s="33" t="str">
        <f>IF(U48&lt;&gt;"",U48,IF(F48="DV","MTO",IF(N48=0,"MTO",_xlfn.XLOOKUP(CONCATENATE(S48,T48),[1]CRITERIOS!$K$160:$K$168,[1]CRITERIOS!$N$160:$N$168))))</f>
        <v>MTS</v>
      </c>
      <c r="S48" s="33" t="str">
        <f>IF(G48="DV","MTO",IF(N48=0,"MTO",IF(OR(AND(N48=0,O48=""),IF(O48="",G48/N48,G48/O48)&gt;[1]CRITERIOS!$G$163),"MTO",IF(IF(O48="",G48/N48,G48/O48)&lt;[1]CRITERIOS!$H$161,"MTS","MTOS"))))</f>
        <v>MTS</v>
      </c>
      <c r="T48" s="33" t="str">
        <f>IF(F48="DV","MTO",IF(OR(AND($N48=0,O48=""),$F48/$J48&gt;[1]CRITERIOS!$G$170,$F48="DV"),"MTO",IF($F48/$J48&lt;[1]CRITERIOS!$H$168,"MTS","MTOS")))</f>
        <v>MTS</v>
      </c>
      <c r="V48" s="34">
        <f t="shared" si="4"/>
        <v>85080.262179289421</v>
      </c>
      <c r="X48" s="34">
        <f t="shared" si="1"/>
        <v>169080.26217928942</v>
      </c>
      <c r="Y48" s="34">
        <f t="shared" si="2"/>
        <v>60428.088266159015</v>
      </c>
      <c r="Z48" s="34">
        <f>IF($R48="MTO",
0,
($H48+$K48*($E48/[1]CRITERIOS!$M$16))/[1]CRITERIOS!$X$48)</f>
        <v>18428.088266159019</v>
      </c>
      <c r="AA48" s="34" t="e">
        <f>ROUNDUP(($Y48/_xlfn.XLOOKUP($A48,'[1]DATOS PBI Artículos'!$A$4:$A$4,'[1]DATOS PBI Artículos'!$Z$4:$Z$4))/_xlfn.XLOOKUP(_xlfn.XLOOKUP($A48,'[1]DATOS PBI Artículos'!$A$4:$A$4,'[1]DATOS PBI Artículos'!$Y$4:$Y$4),[1]CRITERIOS!$P$79:$P$123,[1]CRITERIOS!$S$79:$S$123,),0)</f>
        <v>#N/A</v>
      </c>
      <c r="AB48" s="33" t="e">
        <f t="array" ref="AB48">IF((E48+V48-_xlfn.XLOOKUP(A48,'[1]DATOS PBI Artículos'!$A$4:$A$4,'[1]DATOS PBI Artículos'!$W$4:$W$4))/N48&gt;ROUNDUP([1]CRITERIOS!$M$16/(IF(COUNTIF([1]CRITERIOS!$BG$11:$BG$201,L48)&gt;=1,_xlfn.XLOOKUP(ARTÍCULOS!L48,[1]CRITERIOS!$BG$11:$BG$201,[1]CRITERIOS!$BJ$11:$BJ$201),_xlfn.XLOOKUP(ARTÍCULOS!C48,[1]CRITERIOS!$K$25:$K$42,[1]CRITERIOS!$M$25:$M$42))),0),ROUNDUP([1]CRITERIOS!$M$16/(IF(COUNTIF([1]CRITERIOS!$BG$11:$BG$201,L48)&gt;=1,_xlfn.XLOOKUP(ARTÍCULOS!L48,[1]CRITERIOS!$BG$11:$BG$201:#REF!,[1]CRITERIOS!$BJ$11:$BJ$201),_xlfn.XLOOKUP(ARTÍCULOS!C48,[1]CRITERIOS!$K$25:$K$42,[1]CRITERIOS!$M$25:$M$42))),0),(E48+V48-_xlfn.XLOOKUP(A48,'[1]DATOS PBI Artículos'!$A$4:$A$4,'[1]DATOS PBI Artículos'!$W$4:$W$4))/N48)</f>
        <v>#N/A</v>
      </c>
      <c r="AC48" s="33" t="e">
        <f>IF(N48=0,"",(ROUNDUP((N48/2)/(_xlfn.XLOOKUP(A48,'[1]DATOS PBI Artículos'!$A$4:$A$4,'[1]DATOS PBI Artículos'!$Z$4:$Z$4)*_xlfn.XLOOKUP(_xlfn.XLOOKUP(A48,'[1]DATOS PBI Artículos'!$A$4:$A$4,'[1]DATOS PBI Artículos'!$Y$4:$Y$4),[1]CRITERIOS!$P$79:$P$123,[1]CRITERIOS!$S$79:$S$123)),0)*[1]CRITERIOS!$M$80*([1]CRITERIOS!$M$110/[1]CRITERIOS!$M$86)+(_xlfn.XLOOKUP(A48,'[1]DATOS PBI Artículos'!$A$4:$A$4,'[1]DATOS PBI Artículos'!$AA$4:$AA$4)*([1]CRITERIOS!$M$95+[1]CRITERIOS!$M$98)))/N48)</f>
        <v>#N/A</v>
      </c>
      <c r="AD48" s="33" t="e">
        <f>IF(N48=0,"",(ROUNDUP((N48/2)/(_xlfn.XLOOKUP(A48,'[1]DATOS PBI Artículos'!$A$4:$A$4,'[1]DATOS PBI Artículos'!$Z$4:$Z$4)*_xlfn.XLOOKUP(_xlfn.XLOOKUP(A48,'[1]DATOS PBI Artículos'!$A$4:$A$4,'[1]DATOS PBI Artículos'!$Y$4:$Y$4),[1]CRITERIOS!$P$79:$P$123,[1]CRITERIOS!$S$79:$S$123)),0)*[1]CRITERIOS!$M$80*([1]CRITERIOS!$M$89*[1]CRITERIOS!$M$92)+((_xlfn.XLOOKUP(A48,'[1]DATOS PBI Artículos'!$A$4:$A$4,'[1]DATOS PBI Artículos'!$AA$4:$AA$4)/2)*([1]CRITERIOS!$M$95+[1]CRITERIOS!$M$98)))/N48)</f>
        <v>#N/A</v>
      </c>
      <c r="AE48" s="39">
        <f>IF($R48="MTO","",
IF($H48=0,ROUNDUP(((_xlfn.XLOOKUP($A48,'[1]DATOS PBI Artículos'!$A:$A,'[1]DATOS PBI Artículos'!$AL:$AL))/(_xlfn.XLOOKUP($AF$1,[1]CRITERIOS!$S$16:$S$39,[1]CRITERIOS!$Y$16:$Y$39))*$J48+$Z48)/$G48,0)*$G48,
((_xlfn.XLOOKUP($A48,'[1]DATOS PBI Artículos'!$A:$A,'[1]DATOS PBI Artículos'!$AL:$AL))/(_xlfn.XLOOKUP($AF$1,[1]CRITERIOS!$S$16:$S$39,[1]CRITERIOS!$Y$16:$Y$39))*$J48+$Z48)))</f>
        <v>111300.49808063819</v>
      </c>
      <c r="AG48" s="39">
        <f>IF($R48="MTO","",
IF($H48=0,ROUNDUP(((_xlfn.XLOOKUP($A48,'[1]DATOS PBI Artículos'!$A:$A,'[1]DATOS PBI Artículos'!$AM:$AM))/(_xlfn.XLOOKUP($AH$1,[1]CRITERIOS!$S$16:$S$39,[1]CRITERIOS!$Y$16:$Y$39))*$J48+$Z48)/$G48,0)*$G48,
((_xlfn.XLOOKUP($A48,'[1]DATOS PBI Artículos'!$A:$A,'[1]DATOS PBI Artículos'!$AM:$AM))/(_xlfn.XLOOKUP($AH$1,[1]CRITERIOS!$S$16:$S$39,[1]CRITERIOS!$Y$16:$Y$39))*$J48+$Z48)))</f>
        <v>85140.149972762272</v>
      </c>
      <c r="AI48" s="39">
        <f>IF($R48="MTO","",
IF($H48=0,ROUNDUP(((_xlfn.XLOOKUP($A48,'[1]DATOS PBI Artículos'!$A:$A,'[1]DATOS PBI Artículos'!$AN:$AN))/(_xlfn.XLOOKUP($AJ$1,[1]CRITERIOS!$S$16:$S$39,[1]CRITERIOS!$Y$16:$Y$39))*$J48+$Z48)/$G48,0)*$G48,
((_xlfn.XLOOKUP($A48,'[1]DATOS PBI Artículos'!$A:$A,'[1]DATOS PBI Artículos'!$AN:$AN))/(_xlfn.XLOOKUP($AJ$1,[1]CRITERIOS!$S$16:$S$39,[1]CRITERIOS!$Y$16:$Y$39))*$J48+$Z48)))</f>
        <v>98332.405825502763</v>
      </c>
      <c r="AK48" s="39">
        <f>IF($R48="MTO","",
IF($H48=0,ROUNDUP(((_xlfn.XLOOKUP($A48,'[1]DATOS PBI Artículos'!$A:$A,'[1]DATOS PBI Artículos'!$AO:$AO))/(_xlfn.XLOOKUP($AL$1,[1]CRITERIOS!$S$16:$S$39,[1]CRITERIOS!$Y$16:$Y$39))*$J48+$Z48)/$G48,0)*$G48,
((_xlfn.XLOOKUP($A48,'[1]DATOS PBI Artículos'!$A:$A,'[1]DATOS PBI Artículos'!$AO:$AO))/(_xlfn.XLOOKUP($AL$1,[1]CRITERIOS!$S$16:$S$39,[1]CRITERIOS!$Y$16:$Y$39))*$J48+$Z48)))</f>
        <v>105451.8634733465</v>
      </c>
    </row>
    <row r="49" spans="1:37" ht="25.8" x14ac:dyDescent="0.5">
      <c r="A49" s="32" t="s">
        <v>51</v>
      </c>
      <c r="B49" s="33">
        <f>_xlfn.XLOOKUP($A49,'[1]DATOS PBI Artículos'!A:A,'[1]DATOS PBI Artículos'!B:B)</f>
        <v>0</v>
      </c>
      <c r="C49" s="33" t="str">
        <f>_xlfn.XLOOKUP($A49,'[1]DATOS PBI Artículos'!A:A,'[1]DATOS PBI Artículos'!C:C)</f>
        <v>UA01</v>
      </c>
      <c r="D49" s="33">
        <f>_xlfn.XLOOKUP(A49,'[1]DATOS PBI Artículos'!A:A,'[1]DATOS PBI Artículos'!T:T)</f>
        <v>5</v>
      </c>
      <c r="E49" s="34">
        <f>IF(_xlfn.XLOOKUP($A49,'[1]DATOS PBI Artículos'!A:A,'[1]DATOS PBI Artículos'!AK:AK)="",_xlfn.XLOOKUP($A49,'[1]DATOS PBI Artículos'!A:A,'[1]DATOS PBI Artículos'!AJ:AJ),_xlfn.XLOOKUP($A49,'[1]DATOS PBI Artículos'!A:A,'[1]DATOS PBI Artículos'!AK:AK))</f>
        <v>296000</v>
      </c>
      <c r="F49" s="35">
        <f>_xlfn.XLOOKUP($A49,'[1]DATOS PBI Artículos'!A:A,'[1]DATOS PBI Artículos'!AP:AP)</f>
        <v>14.75</v>
      </c>
      <c r="G49" s="34">
        <f>_xlfn.XLOOKUP($A49,'[1]DATOS PBI Artículos'!A:A,'[1]DATOS PBI Artículos'!AR:AR)</f>
        <v>60000</v>
      </c>
      <c r="H49" s="34">
        <f>_xlfn.XLOOKUP($A49,'[1]DATOS PBI Artículos'!A:A,'[1]DATOS PBI Artículos'!AT:AT)</f>
        <v>15336.23161014465</v>
      </c>
      <c r="I49" s="34">
        <f>_xlfn.XLOOKUP($A49,'[1]DATOS PBI Artículos'!A:A,'[1]DATOS PBI Artículos'!AS:AS)</f>
        <v>4000</v>
      </c>
      <c r="J49" s="35">
        <f>IF(COUNTIF([1]CRITERIOS!$F$179:$F$199,$A49)&gt;=1,
 IF(O49&lt;&gt;"",
    (O49/_xlfn.XLOOKUP(CONCATENATE(A49,L49),[1]MÁQUINAS!A:A,[1]MÁQUINAS!D:D))/24,
    (N49/_xlfn.XLOOKUP(CONCATENATE(A49,L49),[1]MÁQUINAS!A:A,[1]MÁQUINAS!D:D))/24),
  _xlfn.XLOOKUP($A49,'[1]DATOS PBI Artículos'!A:A,'[1]DATOS PBI Artículos'!AU:AU))</f>
        <v>130.66666666666669</v>
      </c>
      <c r="K49" s="36">
        <f>_xlfn.XLOOKUP($A49,'[1]DATOS PBI Artículos'!A:A,'[1]DATOS PBI Artículos'!AV:AV)</f>
        <v>21.951461606614391</v>
      </c>
      <c r="L49" s="33">
        <f>_xlfn.XLOOKUP(A49,[1]MÁQUINAS!B:B,[1]MÁQUINAS!C:C)</f>
        <v>521</v>
      </c>
      <c r="M49" s="34">
        <f t="array" ref="M49">_xlfn.XLOOKUP(A49,'[1]DATOS PBI Artículos'!A:A,'[1]DATOS PBI Artículos'!AX:$AX)</f>
        <v>74154.27951522365</v>
      </c>
      <c r="N49" s="37">
        <f>IF(I49="DV",
E49,
IF(COUNTIF([1]CRITERIOS!$I$179:$I$199,$A49)&gt;=1,
_xlfn.XLOOKUP($A49,[1]CRITERIOS!$I$179:$I$199,[1]CRITERIOS!$J$179:$J$199),
IF(COUNTIF([1]CRITERIOS!$L$179:$L$199,$A49)&gt;=1,
_xlfn.CEILING.MATH(IF($M49&gt;$E49,
$E49,
IF($M49&lt;$E49/ROUNDDOWN([1]CRITERIOS!$M$16/_xlfn.XLOOKUP($C49,[1]CRITERIOS!$K$25:$K$42,[1]CRITERIOS!$M$25:$M$42),
1),
E49/ROUNDDOWN([1]CRITERIOS!$M$16/_xlfn.XLOOKUP($C49,[1]CRITERIOS!$K$25:$K$42,[1]CRITERIOS!$M$25:$M$42),
1),
$M49)),
_xlfn.XLOOKUP($A49,[1]CRITERIOS!$L$179:$L$200,[1]CRITERIOS!$M$179:$M$200)),
_xlfn.CEILING.MATH(IF($M49&gt;$E49,
$E49,
IF($M49&lt;$E49/ROUNDDOWN([1]CRITERIOS!$M$16/_xlfn.XLOOKUP($C49,[1]CRITERIOS!$K$25:$K$42,[1]CRITERIOS!$M$25:$M$42),
1),
E49/ROUNDDOWN([1]CRITERIOS!$M$16/_xlfn.XLOOKUP($C49,[1]CRITERIOS!$K$25:$K$42,[1]CRITERIOS!$M$25:$M$42),
1),
$M49)),_xlfn.XLOOKUP(A49,'[1]DATOS PBI Artículos'!A:A,'[1]DATOS PBI Artículos'!Z:Z
)))))</f>
        <v>80000</v>
      </c>
      <c r="Q49" s="38">
        <f>IF(AND(O49="",N49=0),
0,
   IF(COUNTIF([1]CRITERIOS!$F$179:$F$199,$A49)&gt;=1,
   1,
   IF(R49="MTO",
      $D49,
      ROUNDUP(
                    IF(($E49-SUMIF('[1]DATOS PBI Artículos'!A:A,A49,'[1]DATOS PBI Artículos'!X:X)+($V49-_xlfn.XLOOKUP(A49,'[1]DATOS PBI Artículos'!A:A,'[1]DATOS PBI Artículos'!W:W)))&lt;0,
                    0,
                    IF(($E49-SUMIF('[1]DATOS PBI Artículos'!A:A,A49,'[1]DATOS PBI Artículos'!X:X)+$V49-_xlfn.XLOOKUP($A49,'[1]DATOS PBI Artículos'!A:A,'[1]DATOS PBI Artículos'!W:W))/IF($O49="",$N49,$O49)&gt;ROUNDUP([1]CRITERIOS!$M$16/(IF(COUNTIF([1]CRITERIOS!$BG$11:$BG$201,L49)&gt;=1,_xlfn.XLOOKUP($C49,[1]CRITERIOS!$K$25:$K$42,[1]CRITERIOS!$M$25:$M$42),_xlfn.XLOOKUP($C49,[1]CRITERIOS!$K$25:$K$42,[1]CRITERIOS!$M$25:$M$42))),0),
                    ROUNDUP([1]CRITERIOS!$M$16/(IF(COUNTIF([1]CRITERIOS!$BG$11:$BG$201,$L49)&gt;=1,_xlfn.XLOOKUP($C49,[1]CRITERIOS!$K$25:$K$42,[1]CRITERIOS!$M$25:$M$42),_xlfn.XLOOKUP($C49,[1]CRITERIOS!$K$25:$K$42,[1]CRITERIOS!$M$25:$M$42))),0),
                    (E49+V49-SUMIF('[1]DATOS PBI Artículos'!A:A,A49,'[1]DATOS PBI Artículos'!X:X)-_xlfn.XLOOKUP(A49,'[1]DATOS PBI Artículos'!A:A,'[1]DATOS PBI Artículos'!W:W))/IF($O49="",$N49,$O49))),0))))</f>
        <v>4</v>
      </c>
      <c r="R49" s="33" t="str">
        <f>IF(U49&lt;&gt;"",U49,IF(F49="DV","MTO",IF(N49=0,"MTO",_xlfn.XLOOKUP(CONCATENATE(S49,T49),[1]CRITERIOS!$K$160:$K$168,[1]CRITERIOS!$N$160:$N$168))))</f>
        <v>MTS</v>
      </c>
      <c r="S49" s="33" t="str">
        <f>IF(G49="DV","MTO",IF(N49=0,"MTO",IF(OR(AND(N49=0,O49=""),IF(O49="",G49/N49,G49/O49)&gt;[1]CRITERIOS!$G$163),"MTO",IF(IF(O49="",G49/N49,G49/O49)&lt;[1]CRITERIOS!$H$161,"MTS","MTOS"))))</f>
        <v>MTOS</v>
      </c>
      <c r="T49" s="33" t="str">
        <f>IF(F49="DV","MTO",IF(OR(AND($N49=0,O49=""),$F49/$J49&gt;[1]CRITERIOS!$G$170,$F49="DV"),"MTO",IF($F49/$J49&lt;[1]CRITERIOS!$H$168,"MTS","MTOS")))</f>
        <v>MTS</v>
      </c>
      <c r="V49" s="34">
        <f t="shared" si="4"/>
        <v>616501.53491013264</v>
      </c>
      <c r="X49" s="34">
        <f t="shared" si="1"/>
        <v>696501.53491013264</v>
      </c>
      <c r="Y49" s="34">
        <f t="shared" si="2"/>
        <v>124976.11118131898</v>
      </c>
      <c r="Z49" s="34">
        <f>IF($R49="MTO",
0,
($H49+$K49*($E49/[1]CRITERIOS!$M$16))/[1]CRITERIOS!$X$48)</f>
        <v>84976.111181318978</v>
      </c>
      <c r="AA49" s="34" t="e">
        <f>ROUNDUP(($Y49/_xlfn.XLOOKUP($A49,'[1]DATOS PBI Artículos'!$A$4:$A$4,'[1]DATOS PBI Artículos'!$Z$4:$Z$4))/_xlfn.XLOOKUP(_xlfn.XLOOKUP($A49,'[1]DATOS PBI Artículos'!$A$4:$A$4,'[1]DATOS PBI Artículos'!$Y$4:$Y$4),[1]CRITERIOS!$P$79:$P$123,[1]CRITERIOS!$S$79:$S$123,),0)</f>
        <v>#N/A</v>
      </c>
      <c r="AB49" s="33" t="e">
        <f t="array" ref="AB49">IF((E49+V49-_xlfn.XLOOKUP(A49,'[1]DATOS PBI Artículos'!$A$4:$A$4,'[1]DATOS PBI Artículos'!$W$4:$W$4))/N49&gt;ROUNDUP([1]CRITERIOS!$M$16/(IF(COUNTIF([1]CRITERIOS!$BG$11:$BG$201,L49)&gt;=1,_xlfn.XLOOKUP(ARTÍCULOS!L49,[1]CRITERIOS!$BG$11:$BG$201,[1]CRITERIOS!$BJ$11:$BJ$201),_xlfn.XLOOKUP(ARTÍCULOS!C49,[1]CRITERIOS!$K$25:$K$42,[1]CRITERIOS!$M$25:$M$42))),0),ROUNDUP([1]CRITERIOS!$M$16/(IF(COUNTIF([1]CRITERIOS!$BG$11:$BG$201,L49)&gt;=1,_xlfn.XLOOKUP(ARTÍCULOS!L49,[1]CRITERIOS!$BG$11:$BG$201:#REF!,[1]CRITERIOS!$BJ$11:$BJ$201),_xlfn.XLOOKUP(ARTÍCULOS!C49,[1]CRITERIOS!$K$25:$K$42,[1]CRITERIOS!$M$25:$M$42))),0),(E49+V49-_xlfn.XLOOKUP(A49,'[1]DATOS PBI Artículos'!$A$4:$A$4,'[1]DATOS PBI Artículos'!$W$4:$W$4))/N49)</f>
        <v>#N/A</v>
      </c>
      <c r="AC49" s="33" t="e">
        <f>IF(N49=0,"",(ROUNDUP((N49/2)/(_xlfn.XLOOKUP(A49,'[1]DATOS PBI Artículos'!$A$4:$A$4,'[1]DATOS PBI Artículos'!$Z$4:$Z$4)*_xlfn.XLOOKUP(_xlfn.XLOOKUP(A49,'[1]DATOS PBI Artículos'!$A$4:$A$4,'[1]DATOS PBI Artículos'!$Y$4:$Y$4),[1]CRITERIOS!$P$79:$P$123,[1]CRITERIOS!$S$79:$S$123)),0)*[1]CRITERIOS!$M$80*([1]CRITERIOS!$M$110/[1]CRITERIOS!$M$86)+(_xlfn.XLOOKUP(A49,'[1]DATOS PBI Artículos'!$A$4:$A$4,'[1]DATOS PBI Artículos'!$AA$4:$AA$4)*([1]CRITERIOS!$M$95+[1]CRITERIOS!$M$98)))/N49)</f>
        <v>#N/A</v>
      </c>
      <c r="AD49" s="33" t="e">
        <f>IF(N49=0,"",(ROUNDUP((N49/2)/(_xlfn.XLOOKUP(A49,'[1]DATOS PBI Artículos'!$A$4:$A$4,'[1]DATOS PBI Artículos'!$Z$4:$Z$4)*_xlfn.XLOOKUP(_xlfn.XLOOKUP(A49,'[1]DATOS PBI Artículos'!$A$4:$A$4,'[1]DATOS PBI Artículos'!$Y$4:$Y$4),[1]CRITERIOS!$P$79:$P$123,[1]CRITERIOS!$S$79:$S$123)),0)*[1]CRITERIOS!$M$80*([1]CRITERIOS!$M$89*[1]CRITERIOS!$M$92)+((_xlfn.XLOOKUP(A49,'[1]DATOS PBI Artículos'!$A$4:$A$4,'[1]DATOS PBI Artículos'!$AA$4:$AA$4)/2)*([1]CRITERIOS!$M$95+[1]CRITERIOS!$M$98)))/N49)</f>
        <v>#N/A</v>
      </c>
      <c r="AE49" s="39">
        <f>IF($R49="MTO","",
IF($H49=0,ROUNDUP(((_xlfn.XLOOKUP($A49,'[1]DATOS PBI Artículos'!$A:$A,'[1]DATOS PBI Artículos'!$AL:$AL))/(_xlfn.XLOOKUP($AF$1,[1]CRITERIOS!$S$16:$S$39,[1]CRITERIOS!$Y$16:$Y$39))*$J49+$Z49)/$G49,0)*$G49,
((_xlfn.XLOOKUP($A49,'[1]DATOS PBI Artículos'!$A:$A,'[1]DATOS PBI Artículos'!$AL:$AL))/(_xlfn.XLOOKUP($AF$1,[1]CRITERIOS!$S$16:$S$39,[1]CRITERIOS!$Y$16:$Y$39))*$J49+$Z49)))</f>
        <v>681415.65486991161</v>
      </c>
      <c r="AG49" s="39">
        <f>IF($R49="MTO","",
IF($H49=0,ROUNDUP(((_xlfn.XLOOKUP($A49,'[1]DATOS PBI Artículos'!$A:$A,'[1]DATOS PBI Artículos'!$AM:$AM))/(_xlfn.XLOOKUP($AH$1,[1]CRITERIOS!$S$16:$S$39,[1]CRITERIOS!$Y$16:$Y$39))*$J49+$Z49)/$G49,0)*$G49,
((_xlfn.XLOOKUP($A49,'[1]DATOS PBI Artículos'!$A:$A,'[1]DATOS PBI Artículos'!$AM:$AM))/(_xlfn.XLOOKUP($AH$1,[1]CRITERIOS!$S$16:$S$39,[1]CRITERIOS!$Y$16:$Y$39))*$J49+$Z49)))</f>
        <v>513410.25779488427</v>
      </c>
      <c r="AI49" s="39">
        <f>IF($R49="MTO","",
IF($H49=0,ROUNDUP(((_xlfn.XLOOKUP($A49,'[1]DATOS PBI Artículos'!$A:$A,'[1]DATOS PBI Artículos'!$AN:$AN))/(_xlfn.XLOOKUP($AJ$1,[1]CRITERIOS!$S$16:$S$39,[1]CRITERIOS!$Y$16:$Y$39))*$J49+$Z49)/$G49,0)*$G49,
((_xlfn.XLOOKUP($A49,'[1]DATOS PBI Artículos'!$A:$A,'[1]DATOS PBI Artículos'!$AN:$AN))/(_xlfn.XLOOKUP($AJ$1,[1]CRITERIOS!$S$16:$S$39,[1]CRITERIOS!$Y$16:$Y$39))*$J49+$Z49)))</f>
        <v>598132.76124611904</v>
      </c>
      <c r="AK49" s="39">
        <f>IF($R49="MTO","",
IF($H49=0,ROUNDUP(((_xlfn.XLOOKUP($A49,'[1]DATOS PBI Artículos'!$A:$A,'[1]DATOS PBI Artículos'!$AO:$AO))/(_xlfn.XLOOKUP($AL$1,[1]CRITERIOS!$S$16:$S$39,[1]CRITERIOS!$Y$16:$Y$39))*$J49+$Z49)/$G49,0)*$G49,
((_xlfn.XLOOKUP($A49,'[1]DATOS PBI Artículos'!$A:$A,'[1]DATOS PBI Artículos'!$AO:$AO))/(_xlfn.XLOOKUP($AL$1,[1]CRITERIOS!$S$16:$S$39,[1]CRITERIOS!$Y$16:$Y$39))*$J49+$Z49)))</f>
        <v>643854.90929065237</v>
      </c>
    </row>
    <row r="50" spans="1:37" ht="25.8" x14ac:dyDescent="0.5">
      <c r="A50" s="32" t="s">
        <v>52</v>
      </c>
      <c r="B50" s="33">
        <f>_xlfn.XLOOKUP($A50,'[1]DATOS PBI Artículos'!A:A,'[1]DATOS PBI Artículos'!B:B)</f>
        <v>0</v>
      </c>
      <c r="C50" s="33" t="str">
        <f>_xlfn.XLOOKUP($A50,'[1]DATOS PBI Artículos'!A:A,'[1]DATOS PBI Artículos'!C:C)</f>
        <v>UA01</v>
      </c>
      <c r="D50" s="33">
        <f>_xlfn.XLOOKUP(A50,'[1]DATOS PBI Artículos'!A:A,'[1]DATOS PBI Artículos'!T:T)</f>
        <v>5</v>
      </c>
      <c r="E50" s="34">
        <f>IF(_xlfn.XLOOKUP($A50,'[1]DATOS PBI Artículos'!A:A,'[1]DATOS PBI Artículos'!AK:AK)="",_xlfn.XLOOKUP($A50,'[1]DATOS PBI Artículos'!A:A,'[1]DATOS PBI Artículos'!AJ:AJ),_xlfn.XLOOKUP($A50,'[1]DATOS PBI Artículos'!A:A,'[1]DATOS PBI Artículos'!AK:AK))</f>
        <v>296000</v>
      </c>
      <c r="F50" s="35">
        <f>_xlfn.XLOOKUP($A50,'[1]DATOS PBI Artículos'!A:A,'[1]DATOS PBI Artículos'!AP:AP)</f>
        <v>14.75</v>
      </c>
      <c r="G50" s="34">
        <f>_xlfn.XLOOKUP($A50,'[1]DATOS PBI Artículos'!A:A,'[1]DATOS PBI Artículos'!AR:AR)</f>
        <v>60000</v>
      </c>
      <c r="H50" s="34">
        <f>_xlfn.XLOOKUP($A50,'[1]DATOS PBI Artículos'!A:A,'[1]DATOS PBI Artículos'!AT:AT)</f>
        <v>15336.23161014465</v>
      </c>
      <c r="I50" s="34">
        <f>_xlfn.XLOOKUP($A50,'[1]DATOS PBI Artículos'!A:A,'[1]DATOS PBI Artículos'!AS:AS)</f>
        <v>4000</v>
      </c>
      <c r="J50" s="35">
        <f>IF(COUNTIF([1]CRITERIOS!$F$179:$F$199,$A50)&gt;=1,
 IF(O50&lt;&gt;"",
    (O50/_xlfn.XLOOKUP(CONCATENATE(A50,L50),[1]MÁQUINAS!A:A,[1]MÁQUINAS!D:D))/24,
    (N50/_xlfn.XLOOKUP(CONCATENATE(A50,L50),[1]MÁQUINAS!A:A,[1]MÁQUINAS!D:D))/24),
  _xlfn.XLOOKUP($A50,'[1]DATOS PBI Artículos'!A:A,'[1]DATOS PBI Artículos'!AU:AU))</f>
        <v>100</v>
      </c>
      <c r="K50" s="36">
        <f>_xlfn.XLOOKUP($A50,'[1]DATOS PBI Artículos'!A:A,'[1]DATOS PBI Artículos'!AV:AV)</f>
        <v>50.911688245431421</v>
      </c>
      <c r="L50" s="33">
        <f>_xlfn.XLOOKUP(A50,[1]MÁQUINAS!B:B,[1]MÁQUINAS!C:C)</f>
        <v>523</v>
      </c>
      <c r="M50" s="34">
        <f t="array" ref="M50">_xlfn.XLOOKUP(A50,'[1]DATOS PBI Artículos'!A:A,'[1]DATOS PBI Artículos'!AX:$AX)</f>
        <v>74154.27951522365</v>
      </c>
      <c r="N50" s="37">
        <f>IF(I50="DV",
E50,
IF(COUNTIF([1]CRITERIOS!$I$179:$I$199,$A50)&gt;=1,
_xlfn.XLOOKUP($A50,[1]CRITERIOS!$I$179:$I$199,[1]CRITERIOS!$J$179:$J$199),
IF(COUNTIF([1]CRITERIOS!$L$179:$L$199,$A50)&gt;=1,
_xlfn.CEILING.MATH(IF($M50&gt;$E50,
$E50,
IF($M50&lt;$E50/ROUNDDOWN([1]CRITERIOS!$M$16/_xlfn.XLOOKUP($C50,[1]CRITERIOS!$K$25:$K$42,[1]CRITERIOS!$M$25:$M$42),
1),
E50/ROUNDDOWN([1]CRITERIOS!$M$16/_xlfn.XLOOKUP($C50,[1]CRITERIOS!$K$25:$K$42,[1]CRITERIOS!$M$25:$M$42),
1),
$M50)),
_xlfn.XLOOKUP($A50,[1]CRITERIOS!$L$179:$L$200,[1]CRITERIOS!$M$179:$M$200)),
_xlfn.CEILING.MATH(IF($M50&gt;$E50,
$E50,
IF($M50&lt;$E50/ROUNDDOWN([1]CRITERIOS!$M$16/_xlfn.XLOOKUP($C50,[1]CRITERIOS!$K$25:$K$42,[1]CRITERIOS!$M$25:$M$42),
1),
E50/ROUNDDOWN([1]CRITERIOS!$M$16/_xlfn.XLOOKUP($C50,[1]CRITERIOS!$K$25:$K$42,[1]CRITERIOS!$M$25:$M$42),
1),
$M50)),_xlfn.XLOOKUP(A50,'[1]DATOS PBI Artículos'!A:A,'[1]DATOS PBI Artículos'!Z:Z
)))))</f>
        <v>80000</v>
      </c>
      <c r="Q50" s="38">
        <f>IF(AND(O50="",N50=0),
0,
   IF(COUNTIF([1]CRITERIOS!$F$179:$F$199,$A50)&gt;=1,
   1,
   IF(R50="MTO",
      $D50,
      ROUNDUP(
                    IF(($E50-SUMIF('[1]DATOS PBI Artículos'!A:A,A50,'[1]DATOS PBI Artículos'!X:X)+($V50-_xlfn.XLOOKUP(A50,'[1]DATOS PBI Artículos'!A:A,'[1]DATOS PBI Artículos'!W:W)))&lt;0,
                    0,
                    IF(($E50-SUMIF('[1]DATOS PBI Artículos'!A:A,A50,'[1]DATOS PBI Artículos'!X:X)+$V50-_xlfn.XLOOKUP($A50,'[1]DATOS PBI Artículos'!A:A,'[1]DATOS PBI Artículos'!W:W))/IF($O50="",$N50,$O50)&gt;ROUNDUP([1]CRITERIOS!$M$16/(IF(COUNTIF([1]CRITERIOS!$BG$11:$BG$201,L50)&gt;=1,_xlfn.XLOOKUP($C50,[1]CRITERIOS!$K$25:$K$42,[1]CRITERIOS!$M$25:$M$42),_xlfn.XLOOKUP($C50,[1]CRITERIOS!$K$25:$K$42,[1]CRITERIOS!$M$25:$M$42))),0),
                    ROUNDUP([1]CRITERIOS!$M$16/(IF(COUNTIF([1]CRITERIOS!$BG$11:$BG$201,$L50)&gt;=1,_xlfn.XLOOKUP($C50,[1]CRITERIOS!$K$25:$K$42,[1]CRITERIOS!$M$25:$M$42),_xlfn.XLOOKUP($C50,[1]CRITERIOS!$K$25:$K$42,[1]CRITERIOS!$M$25:$M$42))),0),
                    (E50+V50-SUMIF('[1]DATOS PBI Artículos'!A:A,A50,'[1]DATOS PBI Artículos'!X:X)-_xlfn.XLOOKUP(A50,'[1]DATOS PBI Artículos'!A:A,'[1]DATOS PBI Artículos'!W:W))/IF($O50="",$N50,$O50))),0))))</f>
        <v>4</v>
      </c>
      <c r="R50" s="33" t="str">
        <f>IF(U50&lt;&gt;"",U50,IF(F50="DV","MTO",IF(N50=0,"MTO",_xlfn.XLOOKUP(CONCATENATE(S50,T50),[1]CRITERIOS!$K$160:$K$168,[1]CRITERIOS!$N$160:$N$168))))</f>
        <v>MTS</v>
      </c>
      <c r="S50" s="33" t="str">
        <f>IF(G50="DV","MTO",IF(N50=0,"MTO",IF(OR(AND(N50=0,O50=""),IF(O50="",G50/N50,G50/O50)&gt;[1]CRITERIOS!$G$163),"MTO",IF(IF(O50="",G50/N50,G50/O50)&lt;[1]CRITERIOS!$H$161,"MTS","MTOS"))))</f>
        <v>MTOS</v>
      </c>
      <c r="T50" s="33" t="str">
        <f>IF(F50="DV","MTO",IF(OR(AND($N50=0,O50=""),$F50/$J50&gt;[1]CRITERIOS!$G$170,$F50="DV"),"MTO",IF($F50/$J50&lt;[1]CRITERIOS!$H$168,"MTS","MTOS")))</f>
        <v>MTS</v>
      </c>
      <c r="V50" s="34">
        <f t="shared" si="4"/>
        <v>587002.73981037748</v>
      </c>
      <c r="X50" s="34">
        <f t="shared" si="1"/>
        <v>667002.73981037748</v>
      </c>
      <c r="Y50" s="34">
        <f t="shared" si="2"/>
        <v>220223.07879342834</v>
      </c>
      <c r="Z50" s="34">
        <f>IF($R50="MTO",
0,
($H50+$K50*($E50/[1]CRITERIOS!$M$16))/[1]CRITERIOS!$X$48)</f>
        <v>180223.07879342834</v>
      </c>
      <c r="AA50" s="34" t="e">
        <f>ROUNDUP(($Y50/_xlfn.XLOOKUP($A50,'[1]DATOS PBI Artículos'!$A$4:$A$4,'[1]DATOS PBI Artículos'!$Z$4:$Z$4))/_xlfn.XLOOKUP(_xlfn.XLOOKUP($A50,'[1]DATOS PBI Artículos'!$A$4:$A$4,'[1]DATOS PBI Artículos'!$Y$4:$Y$4),[1]CRITERIOS!$P$79:$P$123,[1]CRITERIOS!$S$79:$S$123,),0)</f>
        <v>#N/A</v>
      </c>
      <c r="AB50" s="33" t="e">
        <f t="array" ref="AB50">IF((E50+V50-_xlfn.XLOOKUP(A50,'[1]DATOS PBI Artículos'!$A$4:$A$4,'[1]DATOS PBI Artículos'!$W$4:$W$4))/N50&gt;ROUNDUP([1]CRITERIOS!$M$16/(IF(COUNTIF([1]CRITERIOS!$BG$11:$BG$201,L50)&gt;=1,_xlfn.XLOOKUP(ARTÍCULOS!L50,[1]CRITERIOS!$BG$11:$BG$201,[1]CRITERIOS!$BJ$11:$BJ$201),_xlfn.XLOOKUP(ARTÍCULOS!C50,[1]CRITERIOS!$K$25:$K$42,[1]CRITERIOS!$M$25:$M$42))),0),ROUNDUP([1]CRITERIOS!$M$16/(IF(COUNTIF([1]CRITERIOS!$BG$11:$BG$201,L50)&gt;=1,_xlfn.XLOOKUP(ARTÍCULOS!L50,[1]CRITERIOS!$BG$11:$BG$201:#REF!,[1]CRITERIOS!$BJ$11:$BJ$201),_xlfn.XLOOKUP(ARTÍCULOS!C50,[1]CRITERIOS!$K$25:$K$42,[1]CRITERIOS!$M$25:$M$42))),0),(E50+V50-_xlfn.XLOOKUP(A50,'[1]DATOS PBI Artículos'!$A$4:$A$4,'[1]DATOS PBI Artículos'!$W$4:$W$4))/N50)</f>
        <v>#N/A</v>
      </c>
      <c r="AC50" s="33" t="e">
        <f>IF(N50=0,"",(ROUNDUP((N50/2)/(_xlfn.XLOOKUP(A50,'[1]DATOS PBI Artículos'!$A$4:$A$4,'[1]DATOS PBI Artículos'!$Z$4:$Z$4)*_xlfn.XLOOKUP(_xlfn.XLOOKUP(A50,'[1]DATOS PBI Artículos'!$A$4:$A$4,'[1]DATOS PBI Artículos'!$Y$4:$Y$4),[1]CRITERIOS!$P$79:$P$123,[1]CRITERIOS!$S$79:$S$123)),0)*[1]CRITERIOS!$M$80*([1]CRITERIOS!$M$110/[1]CRITERIOS!$M$86)+(_xlfn.XLOOKUP(A50,'[1]DATOS PBI Artículos'!$A$4:$A$4,'[1]DATOS PBI Artículos'!$AA$4:$AA$4)*([1]CRITERIOS!$M$95+[1]CRITERIOS!$M$98)))/N50)</f>
        <v>#N/A</v>
      </c>
      <c r="AD50" s="33" t="e">
        <f>IF(N50=0,"",(ROUNDUP((N50/2)/(_xlfn.XLOOKUP(A50,'[1]DATOS PBI Artículos'!$A$4:$A$4,'[1]DATOS PBI Artículos'!$Z$4:$Z$4)*_xlfn.XLOOKUP(_xlfn.XLOOKUP(A50,'[1]DATOS PBI Artículos'!$A$4:$A$4,'[1]DATOS PBI Artículos'!$Y$4:$Y$4),[1]CRITERIOS!$P$79:$P$123,[1]CRITERIOS!$S$79:$S$123)),0)*[1]CRITERIOS!$M$80*([1]CRITERIOS!$M$89*[1]CRITERIOS!$M$92)+((_xlfn.XLOOKUP(A50,'[1]DATOS PBI Artículos'!$A$4:$A$4,'[1]DATOS PBI Artículos'!$AA$4:$AA$4)/2)*([1]CRITERIOS!$M$95+[1]CRITERIOS!$M$98)))/N50)</f>
        <v>#N/A</v>
      </c>
      <c r="AE50" s="39">
        <f>IF($R50="MTO","",
IF($H50=0,ROUNDUP(((_xlfn.XLOOKUP($A50,'[1]DATOS PBI Artículos'!$A:$A,'[1]DATOS PBI Artículos'!$AL:$AL))/(_xlfn.XLOOKUP($AF$1,[1]CRITERIOS!$S$16:$S$39,[1]CRITERIOS!$Y$16:$Y$39))*$J50+$Z50)/$G50,0)*$G50,
((_xlfn.XLOOKUP($A50,'[1]DATOS PBI Artículos'!$A:$A,'[1]DATOS PBI Artículos'!$AL:$AL))/(_xlfn.XLOOKUP($AF$1,[1]CRITERIOS!$S$16:$S$39,[1]CRITERIOS!$Y$16:$Y$39))*$J50+$Z50)))</f>
        <v>636681.91324898391</v>
      </c>
      <c r="AG50" s="39">
        <f>IF($R50="MTO","",
IF($H50=0,ROUNDUP(((_xlfn.XLOOKUP($A50,'[1]DATOS PBI Artículos'!$A:$A,'[1]DATOS PBI Artículos'!$AM:$AM))/(_xlfn.XLOOKUP($AH$1,[1]CRITERIOS!$S$16:$S$39,[1]CRITERIOS!$Y$16:$Y$39))*$J50+$Z50)/$G50,0)*$G50,
((_xlfn.XLOOKUP($A50,'[1]DATOS PBI Artículos'!$A:$A,'[1]DATOS PBI Artículos'!$AM:$AM))/(_xlfn.XLOOKUP($AH$1,[1]CRITERIOS!$S$16:$S$39,[1]CRITERIOS!$Y$16:$Y$39))*$J50+$Z50)))</f>
        <v>508106.35426299355</v>
      </c>
      <c r="AI50" s="39">
        <f>IF($R50="MTO","",
IF($H50=0,ROUNDUP(((_xlfn.XLOOKUP($A50,'[1]DATOS PBI Artículos'!$A:$A,'[1]DATOS PBI Artículos'!$AN:$AN))/(_xlfn.XLOOKUP($AJ$1,[1]CRITERIOS!$S$16:$S$39,[1]CRITERIOS!$Y$16:$Y$39))*$J50+$Z50)/$G50,0)*$G50,
((_xlfn.XLOOKUP($A50,'[1]DATOS PBI Artículos'!$A:$A,'[1]DATOS PBI Artículos'!$AN:$AN))/(_xlfn.XLOOKUP($AJ$1,[1]CRITERIOS!$S$16:$S$39,[1]CRITERIOS!$Y$16:$Y$39))*$J50+$Z50)))</f>
        <v>572945.0048634283</v>
      </c>
      <c r="AK50" s="39">
        <f>IF($R50="MTO","",
IF($H50=0,ROUNDUP(((_xlfn.XLOOKUP($A50,'[1]DATOS PBI Artículos'!$A:$A,'[1]DATOS PBI Artículos'!$AO:$AO))/(_xlfn.XLOOKUP($AL$1,[1]CRITERIOS!$S$16:$S$39,[1]CRITERIOS!$Y$16:$Y$39))*$J50+$Z50)/$G50,0)*$G50,
((_xlfn.XLOOKUP($A50,'[1]DATOS PBI Artículos'!$A:$A,'[1]DATOS PBI Artículos'!$AO:$AO))/(_xlfn.XLOOKUP($AL$1,[1]CRITERIOS!$S$16:$S$39,[1]CRITERIOS!$Y$16:$Y$39))*$J50+$Z50)))</f>
        <v>607936.44469342835</v>
      </c>
    </row>
    <row r="51" spans="1:37" ht="25.8" x14ac:dyDescent="0.5">
      <c r="A51" s="32" t="s">
        <v>53</v>
      </c>
      <c r="B51" s="33">
        <f>_xlfn.XLOOKUP($A51,'[1]DATOS PBI Artículos'!A:A,'[1]DATOS PBI Artículos'!B:B)</f>
        <v>0</v>
      </c>
      <c r="C51" s="33" t="str">
        <f>_xlfn.XLOOKUP($A51,'[1]DATOS PBI Artículos'!A:A,'[1]DATOS PBI Artículos'!C:C)</f>
        <v>UA01</v>
      </c>
      <c r="D51" s="33">
        <f>_xlfn.XLOOKUP(A51,'[1]DATOS PBI Artículos'!A:A,'[1]DATOS PBI Artículos'!T:T)</f>
        <v>11</v>
      </c>
      <c r="E51" s="34">
        <f>IF(_xlfn.XLOOKUP($A51,'[1]DATOS PBI Artículos'!A:A,'[1]DATOS PBI Artículos'!AK:AK)="",_xlfn.XLOOKUP($A51,'[1]DATOS PBI Artículos'!A:A,'[1]DATOS PBI Artículos'!AJ:AJ),_xlfn.XLOOKUP($A51,'[1]DATOS PBI Artículos'!A:A,'[1]DATOS PBI Artículos'!AK:AK))</f>
        <v>288000</v>
      </c>
      <c r="F51" s="35">
        <f>_xlfn.XLOOKUP($A51,'[1]DATOS PBI Artículos'!A:A,'[1]DATOS PBI Artículos'!AP:AP)</f>
        <v>8.125</v>
      </c>
      <c r="G51" s="34">
        <f>_xlfn.XLOOKUP($A51,'[1]DATOS PBI Artículos'!A:A,'[1]DATOS PBI Artículos'!AR:AR)</f>
        <v>24000</v>
      </c>
      <c r="H51" s="34">
        <f>_xlfn.XLOOKUP($A51,'[1]DATOS PBI Artículos'!A:A,'[1]DATOS PBI Artículos'!AT:AT)</f>
        <v>12000</v>
      </c>
      <c r="I51" s="34">
        <f>_xlfn.XLOOKUP($A51,'[1]DATOS PBI Artículos'!A:A,'[1]DATOS PBI Artículos'!AS:AS)</f>
        <v>24000</v>
      </c>
      <c r="J51" s="35">
        <f>IF(COUNTIF([1]CRITERIOS!$F$179:$F$199,$A51)&gt;=1,
 IF(O51&lt;&gt;"",
    (O51/_xlfn.XLOOKUP(CONCATENATE(A51,L51),[1]MÁQUINAS!A:A,[1]MÁQUINAS!D:D))/24,
    (N51/_xlfn.XLOOKUP(CONCATENATE(A51,L51),[1]MÁQUINAS!A:A,[1]MÁQUINAS!D:D))/24),
  _xlfn.XLOOKUP($A51,'[1]DATOS PBI Artículos'!A:A,'[1]DATOS PBI Artículos'!AU:AU))</f>
        <v>29.44</v>
      </c>
      <c r="K51" s="36">
        <f>_xlfn.XLOOKUP($A51,'[1]DATOS PBI Artículos'!A:A,'[1]DATOS PBI Artículos'!AV:AV)</f>
        <v>11.827260106747168</v>
      </c>
      <c r="L51" s="33">
        <f>_xlfn.XLOOKUP(A51,[1]MÁQUINAS!B:B,[1]MÁQUINAS!C:C)</f>
        <v>502</v>
      </c>
      <c r="M51" s="34">
        <f t="array" ref="M51">_xlfn.XLOOKUP(A51,'[1]DATOS PBI Artículos'!A:A,'[1]DATOS PBI Artículos'!AX:$AX)</f>
        <v>136515.72858644987</v>
      </c>
      <c r="N51" s="37">
        <f>IF(I51="DV",
E51,
IF(COUNTIF([1]CRITERIOS!$I$179:$I$199,$A51)&gt;=1,
_xlfn.XLOOKUP($A51,[1]CRITERIOS!$I$179:$I$199,[1]CRITERIOS!$J$179:$J$199),
IF(COUNTIF([1]CRITERIOS!$L$179:$L$199,$A51)&gt;=1,
_xlfn.CEILING.MATH(IF($M51&gt;$E51,
$E51,
IF($M51&lt;$E51/ROUNDDOWN([1]CRITERIOS!$M$16/_xlfn.XLOOKUP($C51,[1]CRITERIOS!$K$25:$K$42,[1]CRITERIOS!$M$25:$M$42),
1),
E51/ROUNDDOWN([1]CRITERIOS!$M$16/_xlfn.XLOOKUP($C51,[1]CRITERIOS!$K$25:$K$42,[1]CRITERIOS!$M$25:$M$42),
1),
$M51)),
_xlfn.XLOOKUP($A51,[1]CRITERIOS!$L$179:$L$200,[1]CRITERIOS!$M$179:$M$200)),
_xlfn.CEILING.MATH(IF($M51&gt;$E51,
$E51,
IF($M51&lt;$E51/ROUNDDOWN([1]CRITERIOS!$M$16/_xlfn.XLOOKUP($C51,[1]CRITERIOS!$K$25:$K$42,[1]CRITERIOS!$M$25:$M$42),
1),
E51/ROUNDDOWN([1]CRITERIOS!$M$16/_xlfn.XLOOKUP($C51,[1]CRITERIOS!$K$25:$K$42,[1]CRITERIOS!$M$25:$M$42),
1),
$M51)),_xlfn.XLOOKUP(A51,'[1]DATOS PBI Artículos'!A:A,'[1]DATOS PBI Artículos'!Z:Z
)))))</f>
        <v>138000</v>
      </c>
      <c r="Q51" s="38">
        <f>IF(AND(O51="",N51=0),
0,
   IF(COUNTIF([1]CRITERIOS!$F$179:$F$199,$A51)&gt;=1,
   1,
   IF(R51="MTO",
      $D51,
      ROUNDUP(
                    IF(($E51-SUMIF('[1]DATOS PBI Artículos'!A:A,A51,'[1]DATOS PBI Artículos'!X:X)+($V51-_xlfn.XLOOKUP(A51,'[1]DATOS PBI Artículos'!A:A,'[1]DATOS PBI Artículos'!W:W)))&lt;0,
                    0,
                    IF(($E51-SUMIF('[1]DATOS PBI Artículos'!A:A,A51,'[1]DATOS PBI Artículos'!X:X)+$V51-_xlfn.XLOOKUP($A51,'[1]DATOS PBI Artículos'!A:A,'[1]DATOS PBI Artículos'!W:W))/IF($O51="",$N51,$O51)&gt;ROUNDUP([1]CRITERIOS!$M$16/(IF(COUNTIF([1]CRITERIOS!$BG$11:$BG$201,L51)&gt;=1,_xlfn.XLOOKUP($C51,[1]CRITERIOS!$K$25:$K$42,[1]CRITERIOS!$M$25:$M$42),_xlfn.XLOOKUP($C51,[1]CRITERIOS!$K$25:$K$42,[1]CRITERIOS!$M$25:$M$42))),0),
                    ROUNDUP([1]CRITERIOS!$M$16/(IF(COUNTIF([1]CRITERIOS!$BG$11:$BG$201,$L51)&gt;=1,_xlfn.XLOOKUP($C51,[1]CRITERIOS!$K$25:$K$42,[1]CRITERIOS!$M$25:$M$42),_xlfn.XLOOKUP($C51,[1]CRITERIOS!$K$25:$K$42,[1]CRITERIOS!$M$25:$M$42))),0),
                    (E51+V51-SUMIF('[1]DATOS PBI Artículos'!A:A,A51,'[1]DATOS PBI Artículos'!X:X)-_xlfn.XLOOKUP(A51,'[1]DATOS PBI Artículos'!A:A,'[1]DATOS PBI Artículos'!W:W))/IF($O51="",$N51,$O51))),0))))</f>
        <v>4</v>
      </c>
      <c r="R51" s="33" t="str">
        <f>IF(U51&lt;&gt;"",U51,IF(F51="DV","MTO",IF(N51=0,"MTO",_xlfn.XLOOKUP(CONCATENATE(S51,T51),[1]CRITERIOS!$K$160:$K$168,[1]CRITERIOS!$N$160:$N$168))))</f>
        <v>MTS</v>
      </c>
      <c r="S51" s="33" t="str">
        <f>IF(G51="DV","MTO",IF(N51=0,"MTO",IF(OR(AND(N51=0,O51=""),IF(O51="",G51/N51,G51/O51)&gt;[1]CRITERIOS!$G$163),"MTO",IF(IF(O51="",G51/N51,G51/O51)&lt;[1]CRITERIOS!$H$161,"MTS","MTOS"))))</f>
        <v>MTS</v>
      </c>
      <c r="T51" s="33" t="str">
        <f>IF(F51="DV","MTO",IF(OR(AND($N51=0,O51=""),$F51/$J51&gt;[1]CRITERIOS!$G$170,$F51="DV"),"MTO",IF($F51/$J51&lt;[1]CRITERIOS!$H$168,"MTS","MTOS")))</f>
        <v>MTS</v>
      </c>
      <c r="V51" s="34">
        <f t="shared" si="4"/>
        <v>134808.4631108217</v>
      </c>
      <c r="X51" s="34">
        <f t="shared" si="1"/>
        <v>272808.46311082167</v>
      </c>
      <c r="Y51" s="34">
        <f t="shared" si="2"/>
        <v>116847.23234159095</v>
      </c>
      <c r="Z51" s="34">
        <f>IF($R51="MTO",
0,
($H51+$K51*($E51/[1]CRITERIOS!$M$16))/[1]CRITERIOS!$X$48)</f>
        <v>47847.232341590941</v>
      </c>
      <c r="AA51" s="34" t="e">
        <f>ROUNDUP(($Y51/_xlfn.XLOOKUP($A51,'[1]DATOS PBI Artículos'!$A$4:$A$4,'[1]DATOS PBI Artículos'!$Z$4:$Z$4))/_xlfn.XLOOKUP(_xlfn.XLOOKUP($A51,'[1]DATOS PBI Artículos'!$A$4:$A$4,'[1]DATOS PBI Artículos'!$Y$4:$Y$4),[1]CRITERIOS!$P$79:$P$123,[1]CRITERIOS!$S$79:$S$123,),0)</f>
        <v>#N/A</v>
      </c>
      <c r="AB51" s="33" t="e">
        <f t="array" ref="AB51">IF((E51+V51-_xlfn.XLOOKUP(A51,'[1]DATOS PBI Artículos'!$A$4:$A$4,'[1]DATOS PBI Artículos'!$W$4:$W$4))/N51&gt;ROUNDUP([1]CRITERIOS!$M$16/(IF(COUNTIF([1]CRITERIOS!$BG$11:$BG$201,L51)&gt;=1,_xlfn.XLOOKUP(ARTÍCULOS!L51,[1]CRITERIOS!$BG$11:$BG$201,[1]CRITERIOS!$BJ$11:$BJ$201),_xlfn.XLOOKUP(ARTÍCULOS!C51,[1]CRITERIOS!$K$25:$K$42,[1]CRITERIOS!$M$25:$M$42))),0),ROUNDUP([1]CRITERIOS!$M$16/(IF(COUNTIF([1]CRITERIOS!$BG$11:$BG$201,L51)&gt;=1,_xlfn.XLOOKUP(ARTÍCULOS!L51,[1]CRITERIOS!$BG$11:$BG$201:#REF!,[1]CRITERIOS!$BJ$11:$BJ$201),_xlfn.XLOOKUP(ARTÍCULOS!C51,[1]CRITERIOS!$K$25:$K$42,[1]CRITERIOS!$M$25:$M$42))),0),(E51+V51-_xlfn.XLOOKUP(A51,'[1]DATOS PBI Artículos'!$A$4:$A$4,'[1]DATOS PBI Artículos'!$W$4:$W$4))/N51)</f>
        <v>#N/A</v>
      </c>
      <c r="AC51" s="33" t="e">
        <f>IF(N51=0,"",(ROUNDUP((N51/2)/(_xlfn.XLOOKUP(A51,'[1]DATOS PBI Artículos'!$A$4:$A$4,'[1]DATOS PBI Artículos'!$Z$4:$Z$4)*_xlfn.XLOOKUP(_xlfn.XLOOKUP(A51,'[1]DATOS PBI Artículos'!$A$4:$A$4,'[1]DATOS PBI Artículos'!$Y$4:$Y$4),[1]CRITERIOS!$P$79:$P$123,[1]CRITERIOS!$S$79:$S$123)),0)*[1]CRITERIOS!$M$80*([1]CRITERIOS!$M$110/[1]CRITERIOS!$M$86)+(_xlfn.XLOOKUP(A51,'[1]DATOS PBI Artículos'!$A$4:$A$4,'[1]DATOS PBI Artículos'!$AA$4:$AA$4)*([1]CRITERIOS!$M$95+[1]CRITERIOS!$M$98)))/N51)</f>
        <v>#N/A</v>
      </c>
      <c r="AD51" s="33" t="e">
        <f>IF(N51=0,"",(ROUNDUP((N51/2)/(_xlfn.XLOOKUP(A51,'[1]DATOS PBI Artículos'!$A$4:$A$4,'[1]DATOS PBI Artículos'!$Z$4:$Z$4)*_xlfn.XLOOKUP(_xlfn.XLOOKUP(A51,'[1]DATOS PBI Artículos'!$A$4:$A$4,'[1]DATOS PBI Artículos'!$Y$4:$Y$4),[1]CRITERIOS!$P$79:$P$123,[1]CRITERIOS!$S$79:$S$123)),0)*[1]CRITERIOS!$M$80*([1]CRITERIOS!$M$89*[1]CRITERIOS!$M$92)+((_xlfn.XLOOKUP(A51,'[1]DATOS PBI Artículos'!$A$4:$A$4,'[1]DATOS PBI Artículos'!$AA$4:$AA$4)/2)*([1]CRITERIOS!$M$95+[1]CRITERIOS!$M$98)))/N51)</f>
        <v>#N/A</v>
      </c>
      <c r="AE51" s="39">
        <f>IF($R51="MTO","",
IF($H51=0,ROUNDUP(((_xlfn.XLOOKUP($A51,'[1]DATOS PBI Artículos'!$A:$A,'[1]DATOS PBI Artículos'!$AL:$AL))/(_xlfn.XLOOKUP($AF$1,[1]CRITERIOS!$S$16:$S$39,[1]CRITERIOS!$Y$16:$Y$39))*$J51+$Z51)/$G51,0)*$G51,
((_xlfn.XLOOKUP($A51,'[1]DATOS PBI Artículos'!$A:$A,'[1]DATOS PBI Artículos'!$AL:$AL))/(_xlfn.XLOOKUP($AF$1,[1]CRITERIOS!$S$16:$S$39,[1]CRITERIOS!$Y$16:$Y$39))*$J51+$Z51)))</f>
        <v>178596.78129007094</v>
      </c>
      <c r="AG51" s="39">
        <f>IF($R51="MTO","",
IF($H51=0,ROUNDUP(((_xlfn.XLOOKUP($A51,'[1]DATOS PBI Artículos'!$A:$A,'[1]DATOS PBI Artículos'!$AM:$AM))/(_xlfn.XLOOKUP($AH$1,[1]CRITERIOS!$S$16:$S$39,[1]CRITERIOS!$Y$16:$Y$39))*$J51+$Z51)/$G51,0)*$G51,
((_xlfn.XLOOKUP($A51,'[1]DATOS PBI Artículos'!$A:$A,'[1]DATOS PBI Artículos'!$AM:$AM))/(_xlfn.XLOOKUP($AH$1,[1]CRITERIOS!$S$16:$S$39,[1]CRITERIOS!$Y$16:$Y$39))*$J51+$Z51)))</f>
        <v>141767.18117231096</v>
      </c>
      <c r="AI51" s="39">
        <f>IF($R51="MTO","",
IF($H51=0,ROUNDUP(((_xlfn.XLOOKUP($A51,'[1]DATOS PBI Artículos'!$A:$A,'[1]DATOS PBI Artículos'!$AN:$AN))/(_xlfn.XLOOKUP($AJ$1,[1]CRITERIOS!$S$16:$S$39,[1]CRITERIOS!$Y$16:$Y$39))*$J51+$Z51)/$G51,0)*$G51,
((_xlfn.XLOOKUP($A51,'[1]DATOS PBI Artículos'!$A:$A,'[1]DATOS PBI Artículos'!$AN:$AN))/(_xlfn.XLOOKUP($AJ$1,[1]CRITERIOS!$S$16:$S$39,[1]CRITERIOS!$Y$16:$Y$39))*$J51+$Z51)))</f>
        <v>160339.77453781493</v>
      </c>
      <c r="AK51" s="39">
        <f>IF($R51="MTO","",
IF($H51=0,ROUNDUP(((_xlfn.XLOOKUP($A51,'[1]DATOS PBI Artículos'!$A:$A,'[1]DATOS PBI Artículos'!$AO:$AO))/(_xlfn.XLOOKUP($AL$1,[1]CRITERIOS!$S$16:$S$39,[1]CRITERIOS!$Y$16:$Y$39))*$J51+$Z51)/$G51,0)*$G51,
((_xlfn.XLOOKUP($A51,'[1]DATOS PBI Artículos'!$A:$A,'[1]DATOS PBI Artículos'!$AO:$AO))/(_xlfn.XLOOKUP($AL$1,[1]CRITERIOS!$S$16:$S$39,[1]CRITERIOS!$Y$16:$Y$39))*$J51+$Z51)))</f>
        <v>170362.83604847093</v>
      </c>
    </row>
    <row r="52" spans="1:37" ht="25.8" x14ac:dyDescent="0.5">
      <c r="A52" s="32">
        <v>453368</v>
      </c>
      <c r="B52" s="33">
        <f>_xlfn.XLOOKUP($A52,'[1]DATOS PBI Artículos'!A:A,'[1]DATOS PBI Artículos'!B:B)</f>
        <v>0</v>
      </c>
      <c r="C52" s="33" t="str">
        <f>_xlfn.XLOOKUP($A52,'[1]DATOS PBI Artículos'!A:A,'[1]DATOS PBI Artículos'!C:C)</f>
        <v>UA02</v>
      </c>
      <c r="D52" s="33">
        <f>_xlfn.XLOOKUP(A52,'[1]DATOS PBI Artículos'!A:A,'[1]DATOS PBI Artículos'!T:T)</f>
        <v>2</v>
      </c>
      <c r="E52" s="34">
        <f>IF(_xlfn.XLOOKUP($A52,'[1]DATOS PBI Artículos'!A:A,'[1]DATOS PBI Artículos'!AK:AK)="",_xlfn.XLOOKUP($A52,'[1]DATOS PBI Artículos'!A:A,'[1]DATOS PBI Artículos'!AJ:AJ),_xlfn.XLOOKUP($A52,'[1]DATOS PBI Artículos'!A:A,'[1]DATOS PBI Artículos'!AK:AK))</f>
        <v>280000</v>
      </c>
      <c r="F52" s="35">
        <f>_xlfn.XLOOKUP($A52,'[1]DATOS PBI Artículos'!A:A,'[1]DATOS PBI Artículos'!AP:AP)</f>
        <v>23</v>
      </c>
      <c r="G52" s="34">
        <f>_xlfn.XLOOKUP($A52,'[1]DATOS PBI Artículos'!A:A,'[1]DATOS PBI Artículos'!AR:AR)</f>
        <v>140000</v>
      </c>
      <c r="H52" s="34">
        <f>_xlfn.XLOOKUP($A52,'[1]DATOS PBI Artículos'!A:A,'[1]DATOS PBI Artículos'!AT:AT)</f>
        <v>0</v>
      </c>
      <c r="I52" s="34">
        <f>_xlfn.XLOOKUP($A52,'[1]DATOS PBI Artículos'!A:A,'[1]DATOS PBI Artículos'!AS:AS)</f>
        <v>140000</v>
      </c>
      <c r="J52" s="35">
        <f>IF(COUNTIF([1]CRITERIOS!$F$179:$F$199,$A52)&gt;=1,
 IF(O52&lt;&gt;"",
    (O52/_xlfn.XLOOKUP(CONCATENATE(A52,L52),[1]MÁQUINAS!A:A,[1]MÁQUINAS!D:D))/24,
    (N52/_xlfn.XLOOKUP(CONCATENATE(A52,L52),[1]MÁQUINAS!A:A,[1]MÁQUINAS!D:D))/24),
  _xlfn.XLOOKUP($A52,'[1]DATOS PBI Artículos'!A:A,'[1]DATOS PBI Artículos'!AU:AU))</f>
        <v>21.066666666666666</v>
      </c>
      <c r="K52" s="36">
        <f>_xlfn.XLOOKUP($A52,'[1]DATOS PBI Artículos'!A:A,'[1]DATOS PBI Artículos'!AV:AV)</f>
        <v>4.5271666741172787</v>
      </c>
      <c r="L52" s="33">
        <f>_xlfn.XLOOKUP(A52,[1]MÁQUINAS!B:B,[1]MÁQUINAS!C:C)</f>
        <v>213</v>
      </c>
      <c r="M52" s="34">
        <f t="array" ref="M52">_xlfn.XLOOKUP(A52,'[1]DATOS PBI Artículos'!A:A,'[1]DATOS PBI Artículos'!AX:$AX)</f>
        <v>75962.808459652995</v>
      </c>
      <c r="N52" s="37">
        <f>IF(I52="DV",
E52,
IF(COUNTIF([1]CRITERIOS!$I$179:$I$199,$A52)&gt;=1,
_xlfn.XLOOKUP($A52,[1]CRITERIOS!$I$179:$I$199,[1]CRITERIOS!$J$179:$J$199),
IF(COUNTIF([1]CRITERIOS!$L$179:$L$199,$A52)&gt;=1,
_xlfn.CEILING.MATH(IF($M52&gt;$E52,
$E52,
IF($M52&lt;$E52/ROUNDDOWN([1]CRITERIOS!$M$16/_xlfn.XLOOKUP($C52,[1]CRITERIOS!$K$25:$K$42,[1]CRITERIOS!$M$25:$M$42),
1),
E52/ROUNDDOWN([1]CRITERIOS!$M$16/_xlfn.XLOOKUP($C52,[1]CRITERIOS!$K$25:$K$42,[1]CRITERIOS!$M$25:$M$42),
1),
$M52)),
_xlfn.XLOOKUP($A52,[1]CRITERIOS!$L$179:$L$200,[1]CRITERIOS!$M$179:$M$200)),
_xlfn.CEILING.MATH(IF($M52&gt;$E52,
$E52,
IF($M52&lt;$E52/ROUNDDOWN([1]CRITERIOS!$M$16/_xlfn.XLOOKUP($C52,[1]CRITERIOS!$K$25:$K$42,[1]CRITERIOS!$M$25:$M$42),
1),
E52/ROUNDDOWN([1]CRITERIOS!$M$16/_xlfn.XLOOKUP($C52,[1]CRITERIOS!$K$25:$K$42,[1]CRITERIOS!$M$25:$M$42),
1),
$M52)),_xlfn.XLOOKUP(A52,'[1]DATOS PBI Artículos'!A:A,'[1]DATOS PBI Artículos'!Z:Z
)))))</f>
        <v>80000</v>
      </c>
      <c r="Q52" s="38">
        <f>IF(AND(O52="",N52=0),
0,
   IF(COUNTIF([1]CRITERIOS!$F$179:$F$199,$A52)&gt;=1,
   1,
   IF(R52="MTO",
      $D52,
      ROUNDUP(
                    IF(($E52-SUMIF('[1]DATOS PBI Artículos'!A:A,A52,'[1]DATOS PBI Artículos'!X:X)+($V52-_xlfn.XLOOKUP(A52,'[1]DATOS PBI Artículos'!A:A,'[1]DATOS PBI Artículos'!W:W)))&lt;0,
                    0,
                    IF(($E52-SUMIF('[1]DATOS PBI Artículos'!A:A,A52,'[1]DATOS PBI Artículos'!X:X)+$V52-_xlfn.XLOOKUP($A52,'[1]DATOS PBI Artículos'!A:A,'[1]DATOS PBI Artículos'!W:W))/IF($O52="",$N52,$O52)&gt;ROUNDUP([1]CRITERIOS!$M$16/(IF(COUNTIF([1]CRITERIOS!$BG$11:$BG$201,L52)&gt;=1,_xlfn.XLOOKUP($C52,[1]CRITERIOS!$K$25:$K$42,[1]CRITERIOS!$M$25:$M$42),_xlfn.XLOOKUP($C52,[1]CRITERIOS!$K$25:$K$42,[1]CRITERIOS!$M$25:$M$42))),0),
                    ROUNDUP([1]CRITERIOS!$M$16/(IF(COUNTIF([1]CRITERIOS!$BG$11:$BG$201,$L52)&gt;=1,_xlfn.XLOOKUP($C52,[1]CRITERIOS!$K$25:$K$42,[1]CRITERIOS!$M$25:$M$42),_xlfn.XLOOKUP($C52,[1]CRITERIOS!$K$25:$K$42,[1]CRITERIOS!$M$25:$M$42))),0),
                    (E52+V52-SUMIF('[1]DATOS PBI Artículos'!A:A,A52,'[1]DATOS PBI Artículos'!X:X)-_xlfn.XLOOKUP(A52,'[1]DATOS PBI Artículos'!A:A,'[1]DATOS PBI Artículos'!W:W))/IF($O52="",$N52,$O52))),0))))</f>
        <v>3</v>
      </c>
      <c r="R52" s="33" t="str">
        <f>IF(U52&lt;&gt;"",U52,IF(F52="DV","MTO",IF(N52=0,"MTO",_xlfn.XLOOKUP(CONCATENATE(S52,T52),[1]CRITERIOS!$K$160:$K$168,[1]CRITERIOS!$N$160:$N$168))))</f>
        <v>MTS</v>
      </c>
      <c r="S52" s="33" t="str">
        <f>IF(G52="DV","MTO",IF(N52=0,"MTO",IF(OR(AND(N52=0,O52=""),IF(O52="",G52/N52,G52/O52)&gt;[1]CRITERIOS!$G$163),"MTO",IF(IF(O52="",G52/N52,G52/O52)&lt;[1]CRITERIOS!$H$161,"MTS","MTOS"))))</f>
        <v>MTO</v>
      </c>
      <c r="T52" s="33" t="str">
        <f>IF(F52="DV","MTO",IF(OR(AND($N52=0,O52=""),$F52/$J52&gt;[1]CRITERIOS!$G$170,$F52="DV"),"MTO",IF($F52/$J52&lt;[1]CRITERIOS!$H$168,"MTS","MTOS")))</f>
        <v>MTS</v>
      </c>
      <c r="V52" s="34">
        <f t="shared" si="4"/>
        <v>142316.40259966921</v>
      </c>
      <c r="X52" s="34">
        <f t="shared" si="1"/>
        <v>222316.40259966921</v>
      </c>
      <c r="Y52" s="34">
        <f t="shared" si="2"/>
        <v>54084.518541698199</v>
      </c>
      <c r="Z52" s="34">
        <f>IF($R52="MTO",
0,
($H52+$K52*($E52/[1]CRITERIOS!$M$16))/[1]CRITERIOS!$X$48)</f>
        <v>14084.518541698202</v>
      </c>
      <c r="AA52" s="34" t="e">
        <f>ROUNDUP(($Y52/_xlfn.XLOOKUP($A52,'[1]DATOS PBI Artículos'!$A$4:$A$4,'[1]DATOS PBI Artículos'!$Z$4:$Z$4))/_xlfn.XLOOKUP(_xlfn.XLOOKUP($A52,'[1]DATOS PBI Artículos'!$A$4:$A$4,'[1]DATOS PBI Artículos'!$Y$4:$Y$4),[1]CRITERIOS!$P$79:$P$123,[1]CRITERIOS!$S$79:$S$123,),0)</f>
        <v>#N/A</v>
      </c>
      <c r="AB52" s="33" t="e">
        <f t="array" ref="AB52">IF((E52+V52-_xlfn.XLOOKUP(A52,'[1]DATOS PBI Artículos'!$A$4:$A$4,'[1]DATOS PBI Artículos'!$W$4:$W$4))/N52&gt;ROUNDUP([1]CRITERIOS!$M$16/(IF(COUNTIF([1]CRITERIOS!$BG$11:$BG$201,L52)&gt;=1,_xlfn.XLOOKUP(ARTÍCULOS!L52,[1]CRITERIOS!$BG$11:$BG$201,[1]CRITERIOS!$BJ$11:$BJ$201),_xlfn.XLOOKUP(ARTÍCULOS!C52,[1]CRITERIOS!$K$25:$K$42,[1]CRITERIOS!$M$25:$M$42))),0),ROUNDUP([1]CRITERIOS!$M$16/(IF(COUNTIF([1]CRITERIOS!$BG$11:$BG$201,L52)&gt;=1,_xlfn.XLOOKUP(ARTÍCULOS!L52,[1]CRITERIOS!$BG$11:$BG$201:#REF!,[1]CRITERIOS!$BJ$11:$BJ$201),_xlfn.XLOOKUP(ARTÍCULOS!C52,[1]CRITERIOS!$K$25:$K$42,[1]CRITERIOS!$M$25:$M$42))),0),(E52+V52-_xlfn.XLOOKUP(A52,'[1]DATOS PBI Artículos'!$A$4:$A$4,'[1]DATOS PBI Artículos'!$W$4:$W$4))/N52)</f>
        <v>#N/A</v>
      </c>
      <c r="AC52" s="33" t="e">
        <f>IF(N52=0,"",(ROUNDUP((N52/2)/(_xlfn.XLOOKUP(A52,'[1]DATOS PBI Artículos'!$A$4:$A$4,'[1]DATOS PBI Artículos'!$Z$4:$Z$4)*_xlfn.XLOOKUP(_xlfn.XLOOKUP(A52,'[1]DATOS PBI Artículos'!$A$4:$A$4,'[1]DATOS PBI Artículos'!$Y$4:$Y$4),[1]CRITERIOS!$P$79:$P$123,[1]CRITERIOS!$S$79:$S$123)),0)*[1]CRITERIOS!$M$80*([1]CRITERIOS!$M$110/[1]CRITERIOS!$M$86)+(_xlfn.XLOOKUP(A52,'[1]DATOS PBI Artículos'!$A$4:$A$4,'[1]DATOS PBI Artículos'!$AA$4:$AA$4)*([1]CRITERIOS!$M$95+[1]CRITERIOS!$M$98)))/N52)</f>
        <v>#N/A</v>
      </c>
      <c r="AD52" s="33" t="e">
        <f>IF(N52=0,"",(ROUNDUP((N52/2)/(_xlfn.XLOOKUP(A52,'[1]DATOS PBI Artículos'!$A$4:$A$4,'[1]DATOS PBI Artículos'!$Z$4:$Z$4)*_xlfn.XLOOKUP(_xlfn.XLOOKUP(A52,'[1]DATOS PBI Artículos'!$A$4:$A$4,'[1]DATOS PBI Artículos'!$Y$4:$Y$4),[1]CRITERIOS!$P$79:$P$123,[1]CRITERIOS!$S$79:$S$123)),0)*[1]CRITERIOS!$M$80*([1]CRITERIOS!$M$89*[1]CRITERIOS!$M$92)+((_xlfn.XLOOKUP(A52,'[1]DATOS PBI Artículos'!$A$4:$A$4,'[1]DATOS PBI Artículos'!$AA$4:$AA$4)/2)*([1]CRITERIOS!$M$95+[1]CRITERIOS!$M$98)))/N52)</f>
        <v>#N/A</v>
      </c>
      <c r="AE52" s="39">
        <f>IF($R52="MTO","",
IF($H52=0,ROUNDUP(((_xlfn.XLOOKUP($A52,'[1]DATOS PBI Artículos'!$A:$A,'[1]DATOS PBI Artículos'!$AL:$AL))/(_xlfn.XLOOKUP($AF$1,[1]CRITERIOS!$S$16:$S$39,[1]CRITERIOS!$Y$16:$Y$39))*$J52+$Z52)/$G52,0)*$G52,
((_xlfn.XLOOKUP($A52,'[1]DATOS PBI Artículos'!$A:$A,'[1]DATOS PBI Artículos'!$AL:$AL))/(_xlfn.XLOOKUP($AF$1,[1]CRITERIOS!$S$16:$S$39,[1]CRITERIOS!$Y$16:$Y$39))*$J52+$Z52)))</f>
        <v>140000</v>
      </c>
      <c r="AG52" s="39">
        <f>IF($R52="MTO","",
IF($H52=0,ROUNDUP(((_xlfn.XLOOKUP($A52,'[1]DATOS PBI Artículos'!$A:$A,'[1]DATOS PBI Artículos'!$AM:$AM))/(_xlfn.XLOOKUP($AH$1,[1]CRITERIOS!$S$16:$S$39,[1]CRITERIOS!$Y$16:$Y$39))*$J52+$Z52)/$G52,0)*$G52,
((_xlfn.XLOOKUP($A52,'[1]DATOS PBI Artículos'!$A:$A,'[1]DATOS PBI Artículos'!$AM:$AM))/(_xlfn.XLOOKUP($AH$1,[1]CRITERIOS!$S$16:$S$39,[1]CRITERIOS!$Y$16:$Y$39))*$J52+$Z52)))</f>
        <v>140000</v>
      </c>
      <c r="AI52" s="39">
        <f>IF($R52="MTO","",
IF($H52=0,ROUNDUP(((_xlfn.XLOOKUP($A52,'[1]DATOS PBI Artículos'!$A:$A,'[1]DATOS PBI Artículos'!$AN:$AN))/(_xlfn.XLOOKUP($AJ$1,[1]CRITERIOS!$S$16:$S$39,[1]CRITERIOS!$Y$16:$Y$39))*$J52+$Z52)/$G52,0)*$G52,
((_xlfn.XLOOKUP($A52,'[1]DATOS PBI Artículos'!$A:$A,'[1]DATOS PBI Artículos'!$AN:$AN))/(_xlfn.XLOOKUP($AJ$1,[1]CRITERIOS!$S$16:$S$39,[1]CRITERIOS!$Y$16:$Y$39))*$J52+$Z52)))</f>
        <v>140000</v>
      </c>
      <c r="AK52" s="39">
        <f>IF($R52="MTO","",
IF($H52=0,ROUNDUP(((_xlfn.XLOOKUP($A52,'[1]DATOS PBI Artículos'!$A:$A,'[1]DATOS PBI Artículos'!$AO:$AO))/(_xlfn.XLOOKUP($AL$1,[1]CRITERIOS!$S$16:$S$39,[1]CRITERIOS!$Y$16:$Y$39))*$J52+$Z52)/$G52,0)*$G52,
((_xlfn.XLOOKUP($A52,'[1]DATOS PBI Artículos'!$A:$A,'[1]DATOS PBI Artículos'!$AO:$AO))/(_xlfn.XLOOKUP($AL$1,[1]CRITERIOS!$S$16:$S$39,[1]CRITERIOS!$Y$16:$Y$39))*$J52+$Z52)))</f>
        <v>140000</v>
      </c>
    </row>
    <row r="53" spans="1:37" ht="25.8" x14ac:dyDescent="0.5">
      <c r="A53" s="32" t="s">
        <v>54</v>
      </c>
      <c r="B53" s="33">
        <f>_xlfn.XLOOKUP($A53,'[1]DATOS PBI Artículos'!A:A,'[1]DATOS PBI Artículos'!B:B)</f>
        <v>0</v>
      </c>
      <c r="C53" s="33" t="str">
        <f>_xlfn.XLOOKUP($A53,'[1]DATOS PBI Artículos'!A:A,'[1]DATOS PBI Artículos'!C:C)</f>
        <v>UA01</v>
      </c>
      <c r="D53" s="33">
        <f>_xlfn.XLOOKUP(A53,'[1]DATOS PBI Artículos'!A:A,'[1]DATOS PBI Artículos'!T:T)</f>
        <v>11</v>
      </c>
      <c r="E53" s="34">
        <f>IF(_xlfn.XLOOKUP($A53,'[1]DATOS PBI Artículos'!A:A,'[1]DATOS PBI Artículos'!AK:AK)="",_xlfn.XLOOKUP($A53,'[1]DATOS PBI Artículos'!A:A,'[1]DATOS PBI Artículos'!AJ:AJ),_xlfn.XLOOKUP($A53,'[1]DATOS PBI Artículos'!A:A,'[1]DATOS PBI Artículos'!AK:AK))</f>
        <v>260000</v>
      </c>
      <c r="F53" s="35">
        <f>_xlfn.XLOOKUP($A53,'[1]DATOS PBI Artículos'!A:A,'[1]DATOS PBI Artículos'!AP:AP)</f>
        <v>6.8888888888800004</v>
      </c>
      <c r="G53" s="34">
        <f>_xlfn.XLOOKUP($A53,'[1]DATOS PBI Artículos'!A:A,'[1]DATOS PBI Artículos'!AR:AR)</f>
        <v>25000</v>
      </c>
      <c r="H53" s="34">
        <f>_xlfn.XLOOKUP($A53,'[1]DATOS PBI Artículos'!A:A,'[1]DATOS PBI Artículos'!AT:AT)</f>
        <v>14491.376746189439</v>
      </c>
      <c r="I53" s="34">
        <f>_xlfn.XLOOKUP($A53,'[1]DATOS PBI Artículos'!A:A,'[1]DATOS PBI Artículos'!AS:AS)</f>
        <v>5000</v>
      </c>
      <c r="J53" s="35">
        <f>IF(COUNTIF([1]CRITERIOS!$F$179:$F$199,$A53)&gt;=1,
 IF(O53&lt;&gt;"",
    (O53/_xlfn.XLOOKUP(CONCATENATE(A53,L53),[1]MÁQUINAS!A:A,[1]MÁQUINAS!D:D))/24,
    (N53/_xlfn.XLOOKUP(CONCATENATE(A53,L53),[1]MÁQUINAS!A:A,[1]MÁQUINAS!D:D))/24),
  _xlfn.XLOOKUP($A53,'[1]DATOS PBI Artículos'!A:A,'[1]DATOS PBI Artículos'!AU:AU))</f>
        <v>22.615384615384613</v>
      </c>
      <c r="K53" s="36">
        <f>_xlfn.XLOOKUP($A53,'[1]DATOS PBI Artículos'!A:A,'[1]DATOS PBI Artículos'!AV:AV)</f>
        <v>3.5482028676139095</v>
      </c>
      <c r="L53" s="33">
        <f>_xlfn.XLOOKUP(A53,[1]MÁQUINAS!B:B,[1]MÁQUINAS!C:C)</f>
        <v>505</v>
      </c>
      <c r="M53" s="34">
        <f t="array" ref="M53">_xlfn.XLOOKUP(A53,'[1]DATOS PBI Artículos'!A:A,'[1]DATOS PBI Artículos'!AX:$AX)</f>
        <v>188878.17663880577</v>
      </c>
      <c r="N53" s="37">
        <f>IF(I53="DV",
E53,
IF(COUNTIF([1]CRITERIOS!$I$179:$I$199,$A53)&gt;=1,
_xlfn.XLOOKUP($A53,[1]CRITERIOS!$I$179:$I$199,[1]CRITERIOS!$J$179:$J$199),
IF(COUNTIF([1]CRITERIOS!$L$179:$L$199,$A53)&gt;=1,
_xlfn.CEILING.MATH(IF($M53&gt;$E53,
$E53,
IF($M53&lt;$E53/ROUNDDOWN([1]CRITERIOS!$M$16/_xlfn.XLOOKUP($C53,[1]CRITERIOS!$K$25:$K$42,[1]CRITERIOS!$M$25:$M$42),
1),
E53/ROUNDDOWN([1]CRITERIOS!$M$16/_xlfn.XLOOKUP($C53,[1]CRITERIOS!$K$25:$K$42,[1]CRITERIOS!$M$25:$M$42),
1),
$M53)),
_xlfn.XLOOKUP($A53,[1]CRITERIOS!$L$179:$L$200,[1]CRITERIOS!$M$179:$M$200)),
_xlfn.CEILING.MATH(IF($M53&gt;$E53,
$E53,
IF($M53&lt;$E53/ROUNDDOWN([1]CRITERIOS!$M$16/_xlfn.XLOOKUP($C53,[1]CRITERIOS!$K$25:$K$42,[1]CRITERIOS!$M$25:$M$42),
1),
E53/ROUNDDOWN([1]CRITERIOS!$M$16/_xlfn.XLOOKUP($C53,[1]CRITERIOS!$K$25:$K$42,[1]CRITERIOS!$M$25:$M$42),
1),
$M53)),_xlfn.XLOOKUP(A53,'[1]DATOS PBI Artículos'!A:A,'[1]DATOS PBI Artículos'!Z:Z
)))))</f>
        <v>190000</v>
      </c>
      <c r="Q53" s="38">
        <f>IF(AND(O53="",N53=0),
0,
   IF(COUNTIF([1]CRITERIOS!$F$179:$F$199,$A53)&gt;=1,
   1,
   IF(R53="MTO",
      $D53,
      ROUNDUP(
                    IF(($E53-SUMIF('[1]DATOS PBI Artículos'!A:A,A53,'[1]DATOS PBI Artículos'!X:X)+($V53-_xlfn.XLOOKUP(A53,'[1]DATOS PBI Artículos'!A:A,'[1]DATOS PBI Artículos'!W:W)))&lt;0,
                    0,
                    IF(($E53-SUMIF('[1]DATOS PBI Artículos'!A:A,A53,'[1]DATOS PBI Artículos'!X:X)+$V53-_xlfn.XLOOKUP($A53,'[1]DATOS PBI Artículos'!A:A,'[1]DATOS PBI Artículos'!W:W))/IF($O53="",$N53,$O53)&gt;ROUNDUP([1]CRITERIOS!$M$16/(IF(COUNTIF([1]CRITERIOS!$BG$11:$BG$201,L53)&gt;=1,_xlfn.XLOOKUP($C53,[1]CRITERIOS!$K$25:$K$42,[1]CRITERIOS!$M$25:$M$42),_xlfn.XLOOKUP($C53,[1]CRITERIOS!$K$25:$K$42,[1]CRITERIOS!$M$25:$M$42))),0),
                    ROUNDUP([1]CRITERIOS!$M$16/(IF(COUNTIF([1]CRITERIOS!$BG$11:$BG$201,$L53)&gt;=1,_xlfn.XLOOKUP($C53,[1]CRITERIOS!$K$25:$K$42,[1]CRITERIOS!$M$25:$M$42),_xlfn.XLOOKUP($C53,[1]CRITERIOS!$K$25:$K$42,[1]CRITERIOS!$M$25:$M$42))),0),
                    (E53+V53-SUMIF('[1]DATOS PBI Artículos'!A:A,A53,'[1]DATOS PBI Artículos'!X:X)-_xlfn.XLOOKUP(A53,'[1]DATOS PBI Artículos'!A:A,'[1]DATOS PBI Artículos'!W:W))/IF($O53="",$N53,$O53))),0))))</f>
        <v>2</v>
      </c>
      <c r="R53" s="33" t="str">
        <f>IF(U53&lt;&gt;"",U53,IF(F53="DV","MTO",IF(N53=0,"MTO",_xlfn.XLOOKUP(CONCATENATE(S53,T53),[1]CRITERIOS!$K$160:$K$168,[1]CRITERIOS!$N$160:$N$168))))</f>
        <v>MTS</v>
      </c>
      <c r="S53" s="33" t="str">
        <f>IF(G53="DV","MTO",IF(N53=0,"MTO",IF(OR(AND(N53=0,O53=""),IF(O53="",G53/N53,G53/O53)&gt;[1]CRITERIOS!$G$163),"MTO",IF(IF(O53="",G53/N53,G53/O53)&lt;[1]CRITERIOS!$H$161,"MTS","MTOS"))))</f>
        <v>MTS</v>
      </c>
      <c r="T53" s="33" t="str">
        <f>IF(F53="DV","MTO",IF(OR(AND($N53=0,O53=""),$F53/$J53&gt;[1]CRITERIOS!$G$170,$F53="DV"),"MTO",IF($F53/$J53&lt;[1]CRITERIOS!$H$168,"MTS","MTOS")))</f>
        <v>MTS</v>
      </c>
      <c r="V53" s="34">
        <f t="shared" si="4"/>
        <v>104398.47142613734</v>
      </c>
      <c r="X53" s="34">
        <f t="shared" si="1"/>
        <v>294398.47142613737</v>
      </c>
      <c r="Y53" s="34">
        <f t="shared" si="2"/>
        <v>117326.51112826471</v>
      </c>
      <c r="Z53" s="34">
        <f>IF($R53="MTO",
0,
($H53+$K53*($E53/[1]CRITERIOS!$M$16))/[1]CRITERIOS!$X$48)</f>
        <v>22326.511128264716</v>
      </c>
      <c r="AA53" s="34" t="e">
        <f>ROUNDUP(($Y53/_xlfn.XLOOKUP($A53,'[1]DATOS PBI Artículos'!$A$4:$A$4,'[1]DATOS PBI Artículos'!$Z$4:$Z$4))/_xlfn.XLOOKUP(_xlfn.XLOOKUP($A53,'[1]DATOS PBI Artículos'!$A$4:$A$4,'[1]DATOS PBI Artículos'!$Y$4:$Y$4),[1]CRITERIOS!$P$79:$P$123,[1]CRITERIOS!$S$79:$S$123,),0)</f>
        <v>#N/A</v>
      </c>
      <c r="AB53" s="33" t="e">
        <f t="array" ref="AB53">IF((E53+V53-_xlfn.XLOOKUP(A53,'[1]DATOS PBI Artículos'!$A$4:$A$4,'[1]DATOS PBI Artículos'!$W$4:$W$4))/N53&gt;ROUNDUP([1]CRITERIOS!$M$16/(IF(COUNTIF([1]CRITERIOS!$BG$11:$BG$201,L53)&gt;=1,_xlfn.XLOOKUP(ARTÍCULOS!L53,[1]CRITERIOS!$BG$11:$BG$201,[1]CRITERIOS!$BJ$11:$BJ$201),_xlfn.XLOOKUP(ARTÍCULOS!C53,[1]CRITERIOS!$K$25:$K$42,[1]CRITERIOS!$M$25:$M$42))),0),ROUNDUP([1]CRITERIOS!$M$16/(IF(COUNTIF([1]CRITERIOS!$BG$11:$BG$201,L53)&gt;=1,_xlfn.XLOOKUP(ARTÍCULOS!L53,[1]CRITERIOS!$BG$11:$BG$201:#REF!,[1]CRITERIOS!$BJ$11:$BJ$201),_xlfn.XLOOKUP(ARTÍCULOS!C53,[1]CRITERIOS!$K$25:$K$42,[1]CRITERIOS!$M$25:$M$42))),0),(E53+V53-_xlfn.XLOOKUP(A53,'[1]DATOS PBI Artículos'!$A$4:$A$4,'[1]DATOS PBI Artículos'!$W$4:$W$4))/N53)</f>
        <v>#N/A</v>
      </c>
      <c r="AC53" s="33" t="e">
        <f>IF(N53=0,"",(ROUNDUP((N53/2)/(_xlfn.XLOOKUP(A53,'[1]DATOS PBI Artículos'!$A$4:$A$4,'[1]DATOS PBI Artículos'!$Z$4:$Z$4)*_xlfn.XLOOKUP(_xlfn.XLOOKUP(A53,'[1]DATOS PBI Artículos'!$A$4:$A$4,'[1]DATOS PBI Artículos'!$Y$4:$Y$4),[1]CRITERIOS!$P$79:$P$123,[1]CRITERIOS!$S$79:$S$123)),0)*[1]CRITERIOS!$M$80*([1]CRITERIOS!$M$110/[1]CRITERIOS!$M$86)+(_xlfn.XLOOKUP(A53,'[1]DATOS PBI Artículos'!$A$4:$A$4,'[1]DATOS PBI Artículos'!$AA$4:$AA$4)*([1]CRITERIOS!$M$95+[1]CRITERIOS!$M$98)))/N53)</f>
        <v>#N/A</v>
      </c>
      <c r="AD53" s="33" t="e">
        <f>IF(N53=0,"",(ROUNDUP((N53/2)/(_xlfn.XLOOKUP(A53,'[1]DATOS PBI Artículos'!$A$4:$A$4,'[1]DATOS PBI Artículos'!$Z$4:$Z$4)*_xlfn.XLOOKUP(_xlfn.XLOOKUP(A53,'[1]DATOS PBI Artículos'!$A$4:$A$4,'[1]DATOS PBI Artículos'!$Y$4:$Y$4),[1]CRITERIOS!$P$79:$P$123,[1]CRITERIOS!$S$79:$S$123)),0)*[1]CRITERIOS!$M$80*([1]CRITERIOS!$M$89*[1]CRITERIOS!$M$92)+((_xlfn.XLOOKUP(A53,'[1]DATOS PBI Artículos'!$A$4:$A$4,'[1]DATOS PBI Artículos'!$AA$4:$AA$4)/2)*([1]CRITERIOS!$M$95+[1]CRITERIOS!$M$98)))/N53)</f>
        <v>#N/A</v>
      </c>
      <c r="AE53" s="39">
        <f>IF($R53="MTO","",
IF($H53=0,ROUNDUP(((_xlfn.XLOOKUP($A53,'[1]DATOS PBI Artículos'!$A:$A,'[1]DATOS PBI Artículos'!$AL:$AL))/(_xlfn.XLOOKUP($AF$1,[1]CRITERIOS!$S$16:$S$39,[1]CRITERIOS!$Y$16:$Y$39))*$J53+$Z53)/$G53,0)*$G53,
((_xlfn.XLOOKUP($A53,'[1]DATOS PBI Artículos'!$A:$A,'[1]DATOS PBI Artículos'!$AL:$AL))/(_xlfn.XLOOKUP($AF$1,[1]CRITERIOS!$S$16:$S$39,[1]CRITERIOS!$Y$16:$Y$39))*$J53+$Z53)))</f>
        <v>113001.44175659804</v>
      </c>
      <c r="AG53" s="39">
        <f>IF($R53="MTO","",
IF($H53=0,ROUNDUP(((_xlfn.XLOOKUP($A53,'[1]DATOS PBI Artículos'!$A:$A,'[1]DATOS PBI Artículos'!$AM:$AM))/(_xlfn.XLOOKUP($AH$1,[1]CRITERIOS!$S$16:$S$39,[1]CRITERIOS!$Y$16:$Y$39))*$J53+$Z53)/$G53,0)*$G53,
((_xlfn.XLOOKUP($A53,'[1]DATOS PBI Artículos'!$A:$A,'[1]DATOS PBI Artículos'!$AM:$AM))/(_xlfn.XLOOKUP($AH$1,[1]CRITERIOS!$S$16:$S$39,[1]CRITERIOS!$Y$16:$Y$39))*$J53+$Z53)))</f>
        <v>87460.08071478644</v>
      </c>
      <c r="AI53" s="39">
        <f>IF($R53="MTO","",
IF($H53=0,ROUNDUP(((_xlfn.XLOOKUP($A53,'[1]DATOS PBI Artículos'!$A:$A,'[1]DATOS PBI Artículos'!$AN:$AN))/(_xlfn.XLOOKUP($AJ$1,[1]CRITERIOS!$S$16:$S$39,[1]CRITERIOS!$Y$16:$Y$39))*$J53+$Z53)/$G53,0)*$G53,
((_xlfn.XLOOKUP($A53,'[1]DATOS PBI Artículos'!$A:$A,'[1]DATOS PBI Artículos'!$AN:$AN))/(_xlfn.XLOOKUP($AJ$1,[1]CRITERIOS!$S$16:$S$39,[1]CRITERIOS!$Y$16:$Y$39))*$J53+$Z53)))</f>
        <v>100340.19103676469</v>
      </c>
      <c r="AK53" s="39">
        <f>IF($R53="MTO","",
IF($H53=0,ROUNDUP(((_xlfn.XLOOKUP($A53,'[1]DATOS PBI Artículos'!$A:$A,'[1]DATOS PBI Artículos'!$AO:$AO))/(_xlfn.XLOOKUP($AL$1,[1]CRITERIOS!$S$16:$S$39,[1]CRITERIOS!$Y$16:$Y$39))*$J53+$Z53)/$G53,0)*$G53,
((_xlfn.XLOOKUP($A53,'[1]DATOS PBI Artículos'!$A:$A,'[1]DATOS PBI Artículos'!$AO:$AO))/(_xlfn.XLOOKUP($AL$1,[1]CRITERIOS!$S$16:$S$39,[1]CRITERIOS!$Y$16:$Y$39))*$J53+$Z53)))</f>
        <v>107291.19327326471</v>
      </c>
    </row>
    <row r="54" spans="1:37" ht="25.8" x14ac:dyDescent="0.5">
      <c r="A54" s="32">
        <v>421867</v>
      </c>
      <c r="B54" s="33">
        <f>_xlfn.XLOOKUP($A54,'[1]DATOS PBI Artículos'!A:A,'[1]DATOS PBI Artículos'!B:B)</f>
        <v>0</v>
      </c>
      <c r="C54" s="33" t="str">
        <f>_xlfn.XLOOKUP($A54,'[1]DATOS PBI Artículos'!A:A,'[1]DATOS PBI Artículos'!C:C)</f>
        <v>UA01</v>
      </c>
      <c r="D54" s="33">
        <f>_xlfn.XLOOKUP(A54,'[1]DATOS PBI Artículos'!A:A,'[1]DATOS PBI Artículos'!T:T)</f>
        <v>7</v>
      </c>
      <c r="E54" s="34">
        <f>IF(_xlfn.XLOOKUP($A54,'[1]DATOS PBI Artículos'!A:A,'[1]DATOS PBI Artículos'!AK:AK)="",_xlfn.XLOOKUP($A54,'[1]DATOS PBI Artículos'!A:A,'[1]DATOS PBI Artículos'!AJ:AJ),_xlfn.XLOOKUP($A54,'[1]DATOS PBI Artículos'!A:A,'[1]DATOS PBI Artículos'!AK:AK))</f>
        <v>252000</v>
      </c>
      <c r="F54" s="35">
        <f>_xlfn.XLOOKUP($A54,'[1]DATOS PBI Artículos'!A:A,'[1]DATOS PBI Artículos'!AP:AP)</f>
        <v>12.4</v>
      </c>
      <c r="G54" s="34">
        <f>_xlfn.XLOOKUP($A54,'[1]DATOS PBI Artículos'!A:A,'[1]DATOS PBI Artículos'!AR:AR)</f>
        <v>42000</v>
      </c>
      <c r="H54" s="34">
        <f>_xlfn.XLOOKUP($A54,'[1]DATOS PBI Artículos'!A:A,'[1]DATOS PBI Artículos'!AT:AT)</f>
        <v>0</v>
      </c>
      <c r="I54" s="34">
        <f>_xlfn.XLOOKUP($A54,'[1]DATOS PBI Artículos'!A:A,'[1]DATOS PBI Artículos'!AS:AS)</f>
        <v>42000</v>
      </c>
      <c r="J54" s="35">
        <f>IF(COUNTIF([1]CRITERIOS!$F$179:$F$199,$A54)&gt;=1,
 IF(O54&lt;&gt;"",
    (O54/_xlfn.XLOOKUP(CONCATENATE(A54,L54),[1]MÁQUINAS!A:A,[1]MÁQUINAS!D:D))/24,
    (N54/_xlfn.XLOOKUP(CONCATENATE(A54,L54),[1]MÁQUINAS!A:A,[1]MÁQUINAS!D:D))/24),
  _xlfn.XLOOKUP($A54,'[1]DATOS PBI Artículos'!A:A,'[1]DATOS PBI Artículos'!AU:AU))</f>
        <v>41.066666666666663</v>
      </c>
      <c r="K54" s="36">
        <f>_xlfn.XLOOKUP($A54,'[1]DATOS PBI Artículos'!A:A,'[1]DATOS PBI Artículos'!AV:AV)</f>
        <v>16.006546279866988</v>
      </c>
      <c r="L54" s="33">
        <f>_xlfn.XLOOKUP(A54,[1]MÁQUINAS!B:B,[1]MÁQUINAS!C:C)</f>
        <v>550</v>
      </c>
      <c r="M54" s="34">
        <f t="array" ref="M54">_xlfn.XLOOKUP(A54,'[1]DATOS PBI Artículos'!A:A,'[1]DATOS PBI Artículos'!AX:$AX)</f>
        <v>53570.790566757612</v>
      </c>
      <c r="N54" s="37">
        <f>IF(I54="DV",
E54,
IF(COUNTIF([1]CRITERIOS!$I$179:$I$199,$A54)&gt;=1,
_xlfn.XLOOKUP($A54,[1]CRITERIOS!$I$179:$I$199,[1]CRITERIOS!$J$179:$J$199),
IF(COUNTIF([1]CRITERIOS!$L$179:$L$199,$A54)&gt;=1,
_xlfn.CEILING.MATH(IF($M54&gt;$E54,
$E54,
IF($M54&lt;$E54/ROUNDDOWN([1]CRITERIOS!$M$16/_xlfn.XLOOKUP($C54,[1]CRITERIOS!$K$25:$K$42,[1]CRITERIOS!$M$25:$M$42),
1),
E54/ROUNDDOWN([1]CRITERIOS!$M$16/_xlfn.XLOOKUP($C54,[1]CRITERIOS!$K$25:$K$42,[1]CRITERIOS!$M$25:$M$42),
1),
$M54)),
_xlfn.XLOOKUP($A54,[1]CRITERIOS!$L$179:$L$200,[1]CRITERIOS!$M$179:$M$200)),
_xlfn.CEILING.MATH(IF($M54&gt;$E54,
$E54,
IF($M54&lt;$E54/ROUNDDOWN([1]CRITERIOS!$M$16/_xlfn.XLOOKUP($C54,[1]CRITERIOS!$K$25:$K$42,[1]CRITERIOS!$M$25:$M$42),
1),
E54/ROUNDDOWN([1]CRITERIOS!$M$16/_xlfn.XLOOKUP($C54,[1]CRITERIOS!$K$25:$K$42,[1]CRITERIOS!$M$25:$M$42),
1),
$M54)),_xlfn.XLOOKUP(A54,'[1]DATOS PBI Artículos'!A:A,'[1]DATOS PBI Artículos'!Z:Z
)))))</f>
        <v>69000</v>
      </c>
      <c r="Q54" s="38">
        <f>IF(AND(O54="",N54=0),
0,
   IF(COUNTIF([1]CRITERIOS!$F$179:$F$199,$A54)&gt;=1,
   1,
   IF(R54="MTO",
      $D54,
      ROUNDUP(
                    IF(($E54-SUMIF('[1]DATOS PBI Artículos'!A:A,A54,'[1]DATOS PBI Artículos'!X:X)+($V54-_xlfn.XLOOKUP(A54,'[1]DATOS PBI Artículos'!A:A,'[1]DATOS PBI Artículos'!W:W)))&lt;0,
                    0,
                    IF(($E54-SUMIF('[1]DATOS PBI Artículos'!A:A,A54,'[1]DATOS PBI Artículos'!X:X)+$V54-_xlfn.XLOOKUP($A54,'[1]DATOS PBI Artículos'!A:A,'[1]DATOS PBI Artículos'!W:W))/IF($O54="",$N54,$O54)&gt;ROUNDUP([1]CRITERIOS!$M$16/(IF(COUNTIF([1]CRITERIOS!$BG$11:$BG$201,L54)&gt;=1,_xlfn.XLOOKUP($C54,[1]CRITERIOS!$K$25:$K$42,[1]CRITERIOS!$M$25:$M$42),_xlfn.XLOOKUP($C54,[1]CRITERIOS!$K$25:$K$42,[1]CRITERIOS!$M$25:$M$42))),0),
                    ROUNDUP([1]CRITERIOS!$M$16/(IF(COUNTIF([1]CRITERIOS!$BG$11:$BG$201,$L54)&gt;=1,_xlfn.XLOOKUP($C54,[1]CRITERIOS!$K$25:$K$42,[1]CRITERIOS!$M$25:$M$42),_xlfn.XLOOKUP($C54,[1]CRITERIOS!$K$25:$K$42,[1]CRITERIOS!$M$25:$M$42))),0),
                    (E54+V54-SUMIF('[1]DATOS PBI Artículos'!A:A,A54,'[1]DATOS PBI Artículos'!X:X)-_xlfn.XLOOKUP(A54,'[1]DATOS PBI Artículos'!A:A,'[1]DATOS PBI Artículos'!W:W))/IF($O54="",$N54,$O54))),0))))</f>
        <v>4</v>
      </c>
      <c r="R54" s="33" t="str">
        <f>IF(U54&lt;&gt;"",U54,IF(F54="DV","MTO",IF(N54=0,"MTO",_xlfn.XLOOKUP(CONCATENATE(S54,T54),[1]CRITERIOS!$K$160:$K$168,[1]CRITERIOS!$N$160:$N$168))))</f>
        <v>MTS</v>
      </c>
      <c r="S54" s="33" t="str">
        <f>IF(G54="DV","MTO",IF(N54=0,"MTO",IF(OR(AND(N54=0,O54=""),IF(O54="",G54/N54,G54/O54)&gt;[1]CRITERIOS!$G$163),"MTO",IF(IF(O54="",G54/N54,G54/O54)&lt;[1]CRITERIOS!$H$161,"MTS","MTOS"))))</f>
        <v>MTOS</v>
      </c>
      <c r="T54" s="33" t="str">
        <f>IF(F54="DV","MTO",IF(OR(AND($N54=0,O54=""),$F54/$J54&gt;[1]CRITERIOS!$G$170,$F54="DV"),"MTO",IF($F54/$J54&lt;[1]CRITERIOS!$H$168,"MTS","MTOS")))</f>
        <v>MTS</v>
      </c>
      <c r="V54" s="34">
        <f t="shared" si="4"/>
        <v>183915.10377717594</v>
      </c>
      <c r="X54" s="34">
        <f t="shared" si="1"/>
        <v>252915.10377717594</v>
      </c>
      <c r="Y54" s="34">
        <f t="shared" si="2"/>
        <v>79318.329583627565</v>
      </c>
      <c r="Z54" s="34">
        <f>IF($R54="MTO",
0,
($H54+$K54*($E54/[1]CRITERIOS!$M$16))/[1]CRITERIOS!$X$48)</f>
        <v>44818.329583627565</v>
      </c>
      <c r="AA54" s="34" t="e">
        <f>ROUNDUP(($Y54/_xlfn.XLOOKUP($A54,'[1]DATOS PBI Artículos'!$A$4:$A$4,'[1]DATOS PBI Artículos'!$Z$4:$Z$4))/_xlfn.XLOOKUP(_xlfn.XLOOKUP($A54,'[1]DATOS PBI Artículos'!$A$4:$A$4,'[1]DATOS PBI Artículos'!$Y$4:$Y$4),[1]CRITERIOS!$P$79:$P$123,[1]CRITERIOS!$S$79:$S$123,),0)</f>
        <v>#N/A</v>
      </c>
      <c r="AB54" s="33" t="e">
        <f t="array" ref="AB54">IF((E54+V54-_xlfn.XLOOKUP(A54,'[1]DATOS PBI Artículos'!$A$4:$A$4,'[1]DATOS PBI Artículos'!$W$4:$W$4))/N54&gt;ROUNDUP([1]CRITERIOS!$M$16/(IF(COUNTIF([1]CRITERIOS!$BG$11:$BG$201,L54)&gt;=1,_xlfn.XLOOKUP(ARTÍCULOS!L54,[1]CRITERIOS!$BG$11:$BG$201,[1]CRITERIOS!$BJ$11:$BJ$201),_xlfn.XLOOKUP(ARTÍCULOS!C54,[1]CRITERIOS!$K$25:$K$42,[1]CRITERIOS!$M$25:$M$42))),0),ROUNDUP([1]CRITERIOS!$M$16/(IF(COUNTIF([1]CRITERIOS!$BG$11:$BG$201,L54)&gt;=1,_xlfn.XLOOKUP(ARTÍCULOS!L54,[1]CRITERIOS!$BG$11:$BG$201:#REF!,[1]CRITERIOS!$BJ$11:$BJ$201),_xlfn.XLOOKUP(ARTÍCULOS!C54,[1]CRITERIOS!$K$25:$K$42,[1]CRITERIOS!$M$25:$M$42))),0),(E54+V54-_xlfn.XLOOKUP(A54,'[1]DATOS PBI Artículos'!$A$4:$A$4,'[1]DATOS PBI Artículos'!$W$4:$W$4))/N54)</f>
        <v>#N/A</v>
      </c>
      <c r="AC54" s="33" t="e">
        <f>IF(N54=0,"",(ROUNDUP((N54/2)/(_xlfn.XLOOKUP(A54,'[1]DATOS PBI Artículos'!$A$4:$A$4,'[1]DATOS PBI Artículos'!$Z$4:$Z$4)*_xlfn.XLOOKUP(_xlfn.XLOOKUP(A54,'[1]DATOS PBI Artículos'!$A$4:$A$4,'[1]DATOS PBI Artículos'!$Y$4:$Y$4),[1]CRITERIOS!$P$79:$P$123,[1]CRITERIOS!$S$79:$S$123)),0)*[1]CRITERIOS!$M$80*([1]CRITERIOS!$M$110/[1]CRITERIOS!$M$86)+(_xlfn.XLOOKUP(A54,'[1]DATOS PBI Artículos'!$A$4:$A$4,'[1]DATOS PBI Artículos'!$AA$4:$AA$4)*([1]CRITERIOS!$M$95+[1]CRITERIOS!$M$98)))/N54)</f>
        <v>#N/A</v>
      </c>
      <c r="AD54" s="33" t="e">
        <f>IF(N54=0,"",(ROUNDUP((N54/2)/(_xlfn.XLOOKUP(A54,'[1]DATOS PBI Artículos'!$A$4:$A$4,'[1]DATOS PBI Artículos'!$Z$4:$Z$4)*_xlfn.XLOOKUP(_xlfn.XLOOKUP(A54,'[1]DATOS PBI Artículos'!$A$4:$A$4,'[1]DATOS PBI Artículos'!$Y$4:$Y$4),[1]CRITERIOS!$P$79:$P$123,[1]CRITERIOS!$S$79:$S$123)),0)*[1]CRITERIOS!$M$80*([1]CRITERIOS!$M$89*[1]CRITERIOS!$M$92)+((_xlfn.XLOOKUP(A54,'[1]DATOS PBI Artículos'!$A$4:$A$4,'[1]DATOS PBI Artículos'!$AA$4:$AA$4)/2)*([1]CRITERIOS!$M$95+[1]CRITERIOS!$M$98)))/N54)</f>
        <v>#N/A</v>
      </c>
      <c r="AE54" s="39">
        <f>IF($R54="MTO","",
IF($H54=0,ROUNDUP(((_xlfn.XLOOKUP($A54,'[1]DATOS PBI Artículos'!$A:$A,'[1]DATOS PBI Artículos'!$AL:$AL))/(_xlfn.XLOOKUP($AF$1,[1]CRITERIOS!$S$16:$S$39,[1]CRITERIOS!$Y$16:$Y$39))*$J54+$Z54)/$G54,0)*$G54,
((_xlfn.XLOOKUP($A54,'[1]DATOS PBI Artículos'!$A:$A,'[1]DATOS PBI Artículos'!$AL:$AL))/(_xlfn.XLOOKUP($AF$1,[1]CRITERIOS!$S$16:$S$39,[1]CRITERIOS!$Y$16:$Y$39))*$J54+$Z54)))</f>
        <v>210000</v>
      </c>
      <c r="AG54" s="39">
        <f>IF($R54="MTO","",
IF($H54=0,ROUNDUP(((_xlfn.XLOOKUP($A54,'[1]DATOS PBI Artículos'!$A:$A,'[1]DATOS PBI Artículos'!$AM:$AM))/(_xlfn.XLOOKUP($AH$1,[1]CRITERIOS!$S$16:$S$39,[1]CRITERIOS!$Y$16:$Y$39))*$J54+$Z54)/$G54,0)*$G54,
((_xlfn.XLOOKUP($A54,'[1]DATOS PBI Artículos'!$A:$A,'[1]DATOS PBI Artículos'!$AM:$AM))/(_xlfn.XLOOKUP($AH$1,[1]CRITERIOS!$S$16:$S$39,[1]CRITERIOS!$Y$16:$Y$39))*$J54+$Z54)))</f>
        <v>168000</v>
      </c>
      <c r="AI54" s="39">
        <f>IF($R54="MTO","",
IF($H54=0,ROUNDUP(((_xlfn.XLOOKUP($A54,'[1]DATOS PBI Artículos'!$A:$A,'[1]DATOS PBI Artículos'!$AN:$AN))/(_xlfn.XLOOKUP($AJ$1,[1]CRITERIOS!$S$16:$S$39,[1]CRITERIOS!$Y$16:$Y$39))*$J54+$Z54)/$G54,0)*$G54,
((_xlfn.XLOOKUP($A54,'[1]DATOS PBI Artículos'!$A:$A,'[1]DATOS PBI Artículos'!$AN:$AN))/(_xlfn.XLOOKUP($AJ$1,[1]CRITERIOS!$S$16:$S$39,[1]CRITERIOS!$Y$16:$Y$39))*$J54+$Z54)))</f>
        <v>210000</v>
      </c>
      <c r="AK54" s="39">
        <f>IF($R54="MTO","",
IF($H54=0,ROUNDUP(((_xlfn.XLOOKUP($A54,'[1]DATOS PBI Artículos'!$A:$A,'[1]DATOS PBI Artículos'!$AO:$AO))/(_xlfn.XLOOKUP($AL$1,[1]CRITERIOS!$S$16:$S$39,[1]CRITERIOS!$Y$16:$Y$39))*$J54+$Z54)/$G54,0)*$G54,
((_xlfn.XLOOKUP($A54,'[1]DATOS PBI Artículos'!$A:$A,'[1]DATOS PBI Artículos'!$AO:$AO))/(_xlfn.XLOOKUP($AL$1,[1]CRITERIOS!$S$16:$S$39,[1]CRITERIOS!$Y$16:$Y$39))*$J54+$Z54)))</f>
        <v>210000</v>
      </c>
    </row>
    <row r="55" spans="1:37" ht="25.8" x14ac:dyDescent="0.5">
      <c r="A55" s="32">
        <v>403901</v>
      </c>
      <c r="B55" s="33">
        <f>_xlfn.XLOOKUP($A55,'[1]DATOS PBI Artículos'!A:A,'[1]DATOS PBI Artículos'!B:B)</f>
        <v>0</v>
      </c>
      <c r="C55" s="33" t="str">
        <f>_xlfn.XLOOKUP($A55,'[1]DATOS PBI Artículos'!A:A,'[1]DATOS PBI Artículos'!C:C)</f>
        <v>UA02</v>
      </c>
      <c r="D55" s="33">
        <f>_xlfn.XLOOKUP(A55,'[1]DATOS PBI Artículos'!A:A,'[1]DATOS PBI Artículos'!T:T)</f>
        <v>4</v>
      </c>
      <c r="E55" s="34">
        <f>IF(_xlfn.XLOOKUP($A55,'[1]DATOS PBI Artículos'!A:A,'[1]DATOS PBI Artículos'!AK:AK)="",_xlfn.XLOOKUP($A55,'[1]DATOS PBI Artículos'!A:A,'[1]DATOS PBI Artículos'!AJ:AJ),_xlfn.XLOOKUP($A55,'[1]DATOS PBI Artículos'!A:A,'[1]DATOS PBI Artículos'!AK:AK))</f>
        <v>252000</v>
      </c>
      <c r="F55" s="35">
        <f>_xlfn.XLOOKUP($A55,'[1]DATOS PBI Artículos'!A:A,'[1]DATOS PBI Artículos'!AP:AP)</f>
        <v>4.3333333333299997</v>
      </c>
      <c r="G55" s="34">
        <f>_xlfn.XLOOKUP($A55,'[1]DATOS PBI Artículos'!A:A,'[1]DATOS PBI Artículos'!AR:AR)</f>
        <v>9000</v>
      </c>
      <c r="H55" s="34">
        <f>_xlfn.XLOOKUP($A55,'[1]DATOS PBI Artículos'!A:A,'[1]DATOS PBI Artículos'!AT:AT)</f>
        <v>0</v>
      </c>
      <c r="I55" s="34">
        <f>_xlfn.XLOOKUP($A55,'[1]DATOS PBI Artículos'!A:A,'[1]DATOS PBI Artículos'!AS:AS)</f>
        <v>9000</v>
      </c>
      <c r="J55" s="35">
        <f>IF(COUNTIF([1]CRITERIOS!$F$179:$F$199,$A55)&gt;=1,
 IF(O55&lt;&gt;"",
    (O55/_xlfn.XLOOKUP(CONCATENATE(A55,L55),[1]MÁQUINAS!A:A,[1]MÁQUINAS!D:D))/24,
    (N55/_xlfn.XLOOKUP(CONCATENATE(A55,L55),[1]MÁQUINAS!A:A,[1]MÁQUINAS!D:D))/24),
  _xlfn.XLOOKUP($A55,'[1]DATOS PBI Artículos'!A:A,'[1]DATOS PBI Artículos'!AU:AU))</f>
        <v>28.1</v>
      </c>
      <c r="K55" s="36">
        <f>_xlfn.XLOOKUP($A55,'[1]DATOS PBI Artículos'!A:A,'[1]DATOS PBI Artículos'!AV:AV)</f>
        <v>15.961411800547804</v>
      </c>
      <c r="L55" s="33">
        <f>_xlfn.XLOOKUP(A55,[1]MÁQUINAS!B:B,[1]MÁQUINAS!C:C)</f>
        <v>213</v>
      </c>
      <c r="M55" s="34">
        <f t="array" ref="M55">_xlfn.XLOOKUP(A55,'[1]DATOS PBI Artículos'!A:A,'[1]DATOS PBI Artículos'!AX:$AX)</f>
        <v>57974.118102641951</v>
      </c>
      <c r="N55" s="37">
        <f>IF(I55="DV",
E55,
IF(COUNTIF([1]CRITERIOS!$I$179:$I$199,$A55)&gt;=1,
_xlfn.XLOOKUP($A55,[1]CRITERIOS!$I$179:$I$199,[1]CRITERIOS!$J$179:$J$199),
IF(COUNTIF([1]CRITERIOS!$L$179:$L$199,$A55)&gt;=1,
_xlfn.CEILING.MATH(IF($M55&gt;$E55,
$E55,
IF($M55&lt;$E55/ROUNDDOWN([1]CRITERIOS!$M$16/_xlfn.XLOOKUP($C55,[1]CRITERIOS!$K$25:$K$42,[1]CRITERIOS!$M$25:$M$42),
1),
E55/ROUNDDOWN([1]CRITERIOS!$M$16/_xlfn.XLOOKUP($C55,[1]CRITERIOS!$K$25:$K$42,[1]CRITERIOS!$M$25:$M$42),
1),
$M55)),
_xlfn.XLOOKUP($A55,[1]CRITERIOS!$L$179:$L$200,[1]CRITERIOS!$M$179:$M$200)),
_xlfn.CEILING.MATH(IF($M55&gt;$E55,
$E55,
IF($M55&lt;$E55/ROUNDDOWN([1]CRITERIOS!$M$16/_xlfn.XLOOKUP($C55,[1]CRITERIOS!$K$25:$K$42,[1]CRITERIOS!$M$25:$M$42),
1),
E55/ROUNDDOWN([1]CRITERIOS!$M$16/_xlfn.XLOOKUP($C55,[1]CRITERIOS!$K$25:$K$42,[1]CRITERIOS!$M$25:$M$42),
1),
$M55)),_xlfn.XLOOKUP(A55,'[1]DATOS PBI Artículos'!A:A,'[1]DATOS PBI Artículos'!Z:Z
)))))</f>
        <v>72000</v>
      </c>
      <c r="Q55" s="38">
        <f>IF(AND(O55="",N55=0),
0,
   IF(COUNTIF([1]CRITERIOS!$F$179:$F$199,$A55)&gt;=1,
   1,
   IF(R55="MTO",
      $D55,
      ROUNDUP(
                    IF(($E55-SUMIF('[1]DATOS PBI Artículos'!A:A,A55,'[1]DATOS PBI Artículos'!X:X)+($V55-_xlfn.XLOOKUP(A55,'[1]DATOS PBI Artículos'!A:A,'[1]DATOS PBI Artículos'!W:W)))&lt;0,
                    0,
                    IF(($E55-SUMIF('[1]DATOS PBI Artículos'!A:A,A55,'[1]DATOS PBI Artículos'!X:X)+$V55-_xlfn.XLOOKUP($A55,'[1]DATOS PBI Artículos'!A:A,'[1]DATOS PBI Artículos'!W:W))/IF($O55="",$N55,$O55)&gt;ROUNDUP([1]CRITERIOS!$M$16/(IF(COUNTIF([1]CRITERIOS!$BG$11:$BG$201,L55)&gt;=1,_xlfn.XLOOKUP($C55,[1]CRITERIOS!$K$25:$K$42,[1]CRITERIOS!$M$25:$M$42),_xlfn.XLOOKUP($C55,[1]CRITERIOS!$K$25:$K$42,[1]CRITERIOS!$M$25:$M$42))),0),
                    ROUNDUP([1]CRITERIOS!$M$16/(IF(COUNTIF([1]CRITERIOS!$BG$11:$BG$201,$L55)&gt;=1,_xlfn.XLOOKUP($C55,[1]CRITERIOS!$K$25:$K$42,[1]CRITERIOS!$M$25:$M$42),_xlfn.XLOOKUP($C55,[1]CRITERIOS!$K$25:$K$42,[1]CRITERIOS!$M$25:$M$42))),0),
                    (E55+V55-SUMIF('[1]DATOS PBI Artículos'!A:A,A55,'[1]DATOS PBI Artículos'!X:X)-_xlfn.XLOOKUP(A55,'[1]DATOS PBI Artículos'!A:A,'[1]DATOS PBI Artículos'!W:W))/IF($O55="",$N55,$O55))),0))))</f>
        <v>4</v>
      </c>
      <c r="R55" s="33" t="str">
        <f>IF(U55&lt;&gt;"",U55,IF(F55="DV","MTO",IF(N55=0,"MTO",_xlfn.XLOOKUP(CONCATENATE(S55,T55),[1]CRITERIOS!$K$160:$K$168,[1]CRITERIOS!$N$160:$N$168))))</f>
        <v>MTS</v>
      </c>
      <c r="S55" s="33" t="str">
        <f>IF(G55="DV","MTO",IF(N55=0,"MTO",IF(OR(AND(N55=0,O55=""),IF(O55="",G55/N55,G55/O55)&gt;[1]CRITERIOS!$G$163),"MTO",IF(IF(O55="",G55/N55,G55/O55)&lt;[1]CRITERIOS!$H$161,"MTS","MTOS"))))</f>
        <v>MTS</v>
      </c>
      <c r="T55" s="33" t="str">
        <f>IF(F55="DV","MTO",IF(OR(AND($N55=0,O55=""),$F55/$J55&gt;[1]CRITERIOS!$G$170,$F55="DV"),"MTO",IF($F55/$J55&lt;[1]CRITERIOS!$H$168,"MTS","MTOS")))</f>
        <v>MTS</v>
      </c>
      <c r="V55" s="34">
        <f t="shared" si="4"/>
        <v>103053.49150311721</v>
      </c>
      <c r="X55" s="34">
        <f t="shared" si="1"/>
        <v>175053.4915031172</v>
      </c>
      <c r="Y55" s="34">
        <f t="shared" si="2"/>
        <v>80691.953041533852</v>
      </c>
      <c r="Z55" s="34">
        <f>IF($R55="MTO",
0,
($H55+$K55*($E55/[1]CRITERIOS!$M$16))/[1]CRITERIOS!$X$48)</f>
        <v>44691.953041533852</v>
      </c>
      <c r="AA55" s="34" t="e">
        <f>ROUNDUP(($Y55/_xlfn.XLOOKUP($A55,'[1]DATOS PBI Artículos'!$A$4:$A$4,'[1]DATOS PBI Artículos'!$Z$4:$Z$4))/_xlfn.XLOOKUP(_xlfn.XLOOKUP($A55,'[1]DATOS PBI Artículos'!$A$4:$A$4,'[1]DATOS PBI Artículos'!$Y$4:$Y$4),[1]CRITERIOS!$P$79:$P$123,[1]CRITERIOS!$S$79:$S$123,),0)</f>
        <v>#N/A</v>
      </c>
      <c r="AB55" s="33" t="e">
        <f t="array" ref="AB55">IF((E55+V55-_xlfn.XLOOKUP(A55,'[1]DATOS PBI Artículos'!$A$4:$A$4,'[1]DATOS PBI Artículos'!$W$4:$W$4))/N55&gt;ROUNDUP([1]CRITERIOS!$M$16/(IF(COUNTIF([1]CRITERIOS!$BG$11:$BG$201,L55)&gt;=1,_xlfn.XLOOKUP(ARTÍCULOS!L55,[1]CRITERIOS!$BG$11:$BG$201,[1]CRITERIOS!$BJ$11:$BJ$201),_xlfn.XLOOKUP(ARTÍCULOS!C55,[1]CRITERIOS!$K$25:$K$42,[1]CRITERIOS!$M$25:$M$42))),0),ROUNDUP([1]CRITERIOS!$M$16/(IF(COUNTIF([1]CRITERIOS!$BG$11:$BG$201,L55)&gt;=1,_xlfn.XLOOKUP(ARTÍCULOS!L55,[1]CRITERIOS!$BG$11:$BG$201:#REF!,[1]CRITERIOS!$BJ$11:$BJ$201),_xlfn.XLOOKUP(ARTÍCULOS!C55,[1]CRITERIOS!$K$25:$K$42,[1]CRITERIOS!$M$25:$M$42))),0),(E55+V55-_xlfn.XLOOKUP(A55,'[1]DATOS PBI Artículos'!$A$4:$A$4,'[1]DATOS PBI Artículos'!$W$4:$W$4))/N55)</f>
        <v>#N/A</v>
      </c>
      <c r="AC55" s="33" t="e">
        <f>IF(N55=0,"",(ROUNDUP((N55/2)/(_xlfn.XLOOKUP(A55,'[1]DATOS PBI Artículos'!$A$4:$A$4,'[1]DATOS PBI Artículos'!$Z$4:$Z$4)*_xlfn.XLOOKUP(_xlfn.XLOOKUP(A55,'[1]DATOS PBI Artículos'!$A$4:$A$4,'[1]DATOS PBI Artículos'!$Y$4:$Y$4),[1]CRITERIOS!$P$79:$P$123,[1]CRITERIOS!$S$79:$S$123)),0)*[1]CRITERIOS!$M$80*([1]CRITERIOS!$M$110/[1]CRITERIOS!$M$86)+(_xlfn.XLOOKUP(A55,'[1]DATOS PBI Artículos'!$A$4:$A$4,'[1]DATOS PBI Artículos'!$AA$4:$AA$4)*([1]CRITERIOS!$M$95+[1]CRITERIOS!$M$98)))/N55)</f>
        <v>#N/A</v>
      </c>
      <c r="AD55" s="33" t="e">
        <f>IF(N55=0,"",(ROUNDUP((N55/2)/(_xlfn.XLOOKUP(A55,'[1]DATOS PBI Artículos'!$A$4:$A$4,'[1]DATOS PBI Artículos'!$Z$4:$Z$4)*_xlfn.XLOOKUP(_xlfn.XLOOKUP(A55,'[1]DATOS PBI Artículos'!$A$4:$A$4,'[1]DATOS PBI Artículos'!$Y$4:$Y$4),[1]CRITERIOS!$P$79:$P$123,[1]CRITERIOS!$S$79:$S$123)),0)*[1]CRITERIOS!$M$80*([1]CRITERIOS!$M$89*[1]CRITERIOS!$M$92)+((_xlfn.XLOOKUP(A55,'[1]DATOS PBI Artículos'!$A$4:$A$4,'[1]DATOS PBI Artículos'!$AA$4:$AA$4)/2)*([1]CRITERIOS!$M$95+[1]CRITERIOS!$M$98)))/N55)</f>
        <v>#N/A</v>
      </c>
      <c r="AE55" s="39">
        <f>IF($R55="MTO","",
IF($H55=0,ROUNDUP(((_xlfn.XLOOKUP($A55,'[1]DATOS PBI Artículos'!$A:$A,'[1]DATOS PBI Artículos'!$AL:$AL))/(_xlfn.XLOOKUP($AF$1,[1]CRITERIOS!$S$16:$S$39,[1]CRITERIOS!$Y$16:$Y$39))*$J55+$Z55)/$G55,0)*$G55,
((_xlfn.XLOOKUP($A55,'[1]DATOS PBI Artículos'!$A:$A,'[1]DATOS PBI Artículos'!$AL:$AL))/(_xlfn.XLOOKUP($AF$1,[1]CRITERIOS!$S$16:$S$39,[1]CRITERIOS!$Y$16:$Y$39))*$J55+$Z55)))</f>
        <v>162000</v>
      </c>
      <c r="AG55" s="39">
        <f>IF($R55="MTO","",
IF($H55=0,ROUNDUP(((_xlfn.XLOOKUP($A55,'[1]DATOS PBI Artículos'!$A:$A,'[1]DATOS PBI Artículos'!$AM:$AM))/(_xlfn.XLOOKUP($AH$1,[1]CRITERIOS!$S$16:$S$39,[1]CRITERIOS!$Y$16:$Y$39))*$J55+$Z55)/$G55,0)*$G55,
((_xlfn.XLOOKUP($A55,'[1]DATOS PBI Artículos'!$A:$A,'[1]DATOS PBI Artículos'!$AM:$AM))/(_xlfn.XLOOKUP($AH$1,[1]CRITERIOS!$S$16:$S$39,[1]CRITERIOS!$Y$16:$Y$39))*$J55+$Z55)))</f>
        <v>126000</v>
      </c>
      <c r="AI55" s="39">
        <f>IF($R55="MTO","",
IF($H55=0,ROUNDUP(((_xlfn.XLOOKUP($A55,'[1]DATOS PBI Artículos'!$A:$A,'[1]DATOS PBI Artículos'!$AN:$AN))/(_xlfn.XLOOKUP($AJ$1,[1]CRITERIOS!$S$16:$S$39,[1]CRITERIOS!$Y$16:$Y$39))*$J55+$Z55)/$G55,0)*$G55,
((_xlfn.XLOOKUP($A55,'[1]DATOS PBI Artículos'!$A:$A,'[1]DATOS PBI Artículos'!$AN:$AN))/(_xlfn.XLOOKUP($AJ$1,[1]CRITERIOS!$S$16:$S$39,[1]CRITERIOS!$Y$16:$Y$39))*$J55+$Z55)))</f>
        <v>144000</v>
      </c>
      <c r="AK55" s="39">
        <f>IF($R55="MTO","",
IF($H55=0,ROUNDUP(((_xlfn.XLOOKUP($A55,'[1]DATOS PBI Artículos'!$A:$A,'[1]DATOS PBI Artículos'!$AO:$AO))/(_xlfn.XLOOKUP($AL$1,[1]CRITERIOS!$S$16:$S$39,[1]CRITERIOS!$Y$16:$Y$39))*$J55+$Z55)/$G55,0)*$G55,
((_xlfn.XLOOKUP($A55,'[1]DATOS PBI Artículos'!$A:$A,'[1]DATOS PBI Artículos'!$AO:$AO))/(_xlfn.XLOOKUP($AL$1,[1]CRITERIOS!$S$16:$S$39,[1]CRITERIOS!$Y$16:$Y$39))*$J55+$Z55)))</f>
        <v>153000</v>
      </c>
    </row>
    <row r="56" spans="1:37" ht="25.8" x14ac:dyDescent="0.5">
      <c r="A56" s="32" t="s">
        <v>55</v>
      </c>
      <c r="B56" s="33">
        <f>_xlfn.XLOOKUP($A56,'[1]DATOS PBI Artículos'!A:A,'[1]DATOS PBI Artículos'!B:B)</f>
        <v>0</v>
      </c>
      <c r="C56" s="33" t="str">
        <f>_xlfn.XLOOKUP($A56,'[1]DATOS PBI Artículos'!A:A,'[1]DATOS PBI Artículos'!C:C)</f>
        <v>UA01</v>
      </c>
      <c r="D56" s="33">
        <f>_xlfn.XLOOKUP(A56,'[1]DATOS PBI Artículos'!A:A,'[1]DATOS PBI Artículos'!T:T)</f>
        <v>4</v>
      </c>
      <c r="E56" s="34">
        <f>IF(_xlfn.XLOOKUP($A56,'[1]DATOS PBI Artículos'!A:A,'[1]DATOS PBI Artículos'!AK:AK)="",_xlfn.XLOOKUP($A56,'[1]DATOS PBI Artículos'!A:A,'[1]DATOS PBI Artículos'!AJ:AJ),_xlfn.XLOOKUP($A56,'[1]DATOS PBI Artículos'!A:A,'[1]DATOS PBI Artículos'!AK:AK))</f>
        <v>250000</v>
      </c>
      <c r="F56" s="35">
        <f>_xlfn.XLOOKUP($A56,'[1]DATOS PBI Artículos'!A:A,'[1]DATOS PBI Artículos'!AP:AP)</f>
        <v>9</v>
      </c>
      <c r="G56" s="34">
        <f>_xlfn.XLOOKUP($A56,'[1]DATOS PBI Artículos'!A:A,'[1]DATOS PBI Artículos'!AR:AR)</f>
        <v>50000</v>
      </c>
      <c r="H56" s="34">
        <f>_xlfn.XLOOKUP($A56,'[1]DATOS PBI Artículos'!A:A,'[1]DATOS PBI Artículos'!AT:AT)</f>
        <v>25000</v>
      </c>
      <c r="I56" s="34">
        <f>_xlfn.XLOOKUP($A56,'[1]DATOS PBI Artículos'!A:A,'[1]DATOS PBI Artículos'!AS:AS)</f>
        <v>50000</v>
      </c>
      <c r="J56" s="35">
        <f>IF(COUNTIF([1]CRITERIOS!$F$179:$F$199,$A56)&gt;=1,
 IF(O56&lt;&gt;"",
    (O56/_xlfn.XLOOKUP(CONCATENATE(A56,L56),[1]MÁQUINAS!A:A,[1]MÁQUINAS!D:D))/24,
    (N56/_xlfn.XLOOKUP(CONCATENATE(A56,L56),[1]MÁQUINAS!A:A,[1]MÁQUINAS!D:D))/24),
  _xlfn.XLOOKUP($A56,'[1]DATOS PBI Artículos'!A:A,'[1]DATOS PBI Artículos'!AU:AU))</f>
        <v>46.272727272727273</v>
      </c>
      <c r="K56" s="36">
        <f>_xlfn.XLOOKUP($A56,'[1]DATOS PBI Artículos'!A:A,'[1]DATOS PBI Artículos'!AV:AV)</f>
        <v>11.619732433157909</v>
      </c>
      <c r="L56" s="33">
        <f>_xlfn.XLOOKUP(A56,[1]MÁQUINAS!B:B,[1]MÁQUINAS!C:C)</f>
        <v>412</v>
      </c>
      <c r="M56" s="34">
        <f t="array" ref="M56">_xlfn.XLOOKUP(A56,'[1]DATOS PBI Artículos'!A:A,'[1]DATOS PBI Artículos'!AX:$AX)</f>
        <v>0</v>
      </c>
      <c r="N56" s="37">
        <f>IF(I56="DV",
E56,
IF(COUNTIF([1]CRITERIOS!$I$179:$I$199,$A56)&gt;=1,
_xlfn.XLOOKUP($A56,[1]CRITERIOS!$I$179:$I$199,[1]CRITERIOS!$J$179:$J$199),
IF(COUNTIF([1]CRITERIOS!$L$179:$L$199,$A56)&gt;=1,
_xlfn.CEILING.MATH(IF($M56&gt;$E56,
$E56,
IF($M56&lt;$E56/ROUNDDOWN([1]CRITERIOS!$M$16/_xlfn.XLOOKUP($C56,[1]CRITERIOS!$K$25:$K$42,[1]CRITERIOS!$M$25:$M$42),
1),
E56/ROUNDDOWN([1]CRITERIOS!$M$16/_xlfn.XLOOKUP($C56,[1]CRITERIOS!$K$25:$K$42,[1]CRITERIOS!$M$25:$M$42),
1),
$M56)),
_xlfn.XLOOKUP($A56,[1]CRITERIOS!$L$179:$L$200,[1]CRITERIOS!$M$179:$M$200)),
_xlfn.CEILING.MATH(IF($M56&gt;$E56,
$E56,
IF($M56&lt;$E56/ROUNDDOWN([1]CRITERIOS!$M$16/_xlfn.XLOOKUP($C56,[1]CRITERIOS!$K$25:$K$42,[1]CRITERIOS!$M$25:$M$42),
1),
E56/ROUNDDOWN([1]CRITERIOS!$M$16/_xlfn.XLOOKUP($C56,[1]CRITERIOS!$K$25:$K$42,[1]CRITERIOS!$M$25:$M$42),
1),
$M56)),_xlfn.XLOOKUP(A56,'[1]DATOS PBI Artículos'!A:A,'[1]DATOS PBI Artículos'!Z:Z
)))))</f>
        <v>70000</v>
      </c>
      <c r="Q56" s="38">
        <f>IF(AND(O56="",N56=0),
0,
   IF(COUNTIF([1]CRITERIOS!$F$179:$F$199,$A56)&gt;=1,
   1,
   IF(R56="MTO",
      $D56,
      ROUNDUP(
                    IF(($E56-SUMIF('[1]DATOS PBI Artículos'!A:A,A56,'[1]DATOS PBI Artículos'!X:X)+($V56-_xlfn.XLOOKUP(A56,'[1]DATOS PBI Artículos'!A:A,'[1]DATOS PBI Artículos'!W:W)))&lt;0,
                    0,
                    IF(($E56-SUMIF('[1]DATOS PBI Artículos'!A:A,A56,'[1]DATOS PBI Artículos'!X:X)+$V56-_xlfn.XLOOKUP($A56,'[1]DATOS PBI Artículos'!A:A,'[1]DATOS PBI Artículos'!W:W))/IF($O56="",$N56,$O56)&gt;ROUNDUP([1]CRITERIOS!$M$16/(IF(COUNTIF([1]CRITERIOS!$BG$11:$BG$201,L56)&gt;=1,_xlfn.XLOOKUP($C56,[1]CRITERIOS!$K$25:$K$42,[1]CRITERIOS!$M$25:$M$42),_xlfn.XLOOKUP($C56,[1]CRITERIOS!$K$25:$K$42,[1]CRITERIOS!$M$25:$M$42))),0),
                    ROUNDUP([1]CRITERIOS!$M$16/(IF(COUNTIF([1]CRITERIOS!$BG$11:$BG$201,$L56)&gt;=1,_xlfn.XLOOKUP($C56,[1]CRITERIOS!$K$25:$K$42,[1]CRITERIOS!$M$25:$M$42),_xlfn.XLOOKUP($C56,[1]CRITERIOS!$K$25:$K$42,[1]CRITERIOS!$M$25:$M$42))),0),
                    (E56+V56-SUMIF('[1]DATOS PBI Artículos'!A:A,A56,'[1]DATOS PBI Artículos'!X:X)-_xlfn.XLOOKUP(A56,'[1]DATOS PBI Artículos'!A:A,'[1]DATOS PBI Artículos'!W:W))/IF($O56="",$N56,$O56))),0))))</f>
        <v>4</v>
      </c>
      <c r="R56" s="33" t="str">
        <f>IF(U56&lt;&gt;"",U56,IF(F56="DV","MTO",IF(N56=0,"MTO",_xlfn.XLOOKUP(CONCATENATE(S56,T56),[1]CRITERIOS!$K$160:$K$168,[1]CRITERIOS!$N$160:$N$168))))</f>
        <v>MTS</v>
      </c>
      <c r="S56" s="33" t="str">
        <f>IF(G56="DV","MTO",IF(N56=0,"MTO",IF(OR(AND(N56=0,O56=""),IF(O56="",G56/N56,G56/O56)&gt;[1]CRITERIOS!$G$163),"MTO",IF(IF(O56="",G56/N56,G56/O56)&lt;[1]CRITERIOS!$H$161,"MTS","MTOS"))))</f>
        <v>MTOS</v>
      </c>
      <c r="T56" s="33" t="str">
        <f>IF(F56="DV","MTO",IF(OR(AND($N56=0,O56=""),$F56/$J56&gt;[1]CRITERIOS!$G$170,$F56="DV"),"MTO",IF($F56/$J56&lt;[1]CRITERIOS!$H$168,"MTS","MTOS")))</f>
        <v>MTS</v>
      </c>
      <c r="V56" s="34">
        <f t="shared" si="4"/>
        <v>310181.07494059019</v>
      </c>
      <c r="X56" s="34">
        <f t="shared" si="1"/>
        <v>380181.07494059019</v>
      </c>
      <c r="Y56" s="34">
        <f t="shared" si="2"/>
        <v>88110.367869883077</v>
      </c>
      <c r="Z56" s="34">
        <f>IF($R56="MTO",
0,
($H56+$K56*($E56/[1]CRITERIOS!$M$16))/[1]CRITERIOS!$X$48)</f>
        <v>53110.367869883077</v>
      </c>
      <c r="AA56" s="34" t="e">
        <f>ROUNDUP(($Y56/_xlfn.XLOOKUP($A56,'[1]DATOS PBI Artículos'!$A$4:$A$4,'[1]DATOS PBI Artículos'!$Z$4:$Z$4))/_xlfn.XLOOKUP(_xlfn.XLOOKUP($A56,'[1]DATOS PBI Artículos'!$A$4:$A$4,'[1]DATOS PBI Artículos'!$Y$4:$Y$4),[1]CRITERIOS!$P$79:$P$123,[1]CRITERIOS!$S$79:$S$123,),0)</f>
        <v>#N/A</v>
      </c>
      <c r="AB56" s="33" t="e">
        <f t="array" ref="AB56">IF((E56+V56-_xlfn.XLOOKUP(A56,'[1]DATOS PBI Artículos'!$A$4:$A$4,'[1]DATOS PBI Artículos'!$W$4:$W$4))/N56&gt;ROUNDUP([1]CRITERIOS!$M$16/(IF(COUNTIF([1]CRITERIOS!$BG$11:$BG$201,L56)&gt;=1,_xlfn.XLOOKUP(ARTÍCULOS!L56,[1]CRITERIOS!$BG$11:$BG$201,[1]CRITERIOS!$BJ$11:$BJ$201),_xlfn.XLOOKUP(ARTÍCULOS!C56,[1]CRITERIOS!$K$25:$K$42,[1]CRITERIOS!$M$25:$M$42))),0),ROUNDUP([1]CRITERIOS!$M$16/(IF(COUNTIF([1]CRITERIOS!$BG$11:$BG$201,L56)&gt;=1,_xlfn.XLOOKUP(ARTÍCULOS!L56,[1]CRITERIOS!$BG$11:$BG$201:#REF!,[1]CRITERIOS!$BJ$11:$BJ$201),_xlfn.XLOOKUP(ARTÍCULOS!C56,[1]CRITERIOS!$K$25:$K$42,[1]CRITERIOS!$M$25:$M$42))),0),(E56+V56-_xlfn.XLOOKUP(A56,'[1]DATOS PBI Artículos'!$A$4:$A$4,'[1]DATOS PBI Artículos'!$W$4:$W$4))/N56)</f>
        <v>#N/A</v>
      </c>
      <c r="AC56" s="33" t="e">
        <f>IF(N56=0,"",(ROUNDUP((N56/2)/(_xlfn.XLOOKUP(A56,'[1]DATOS PBI Artículos'!$A$4:$A$4,'[1]DATOS PBI Artículos'!$Z$4:$Z$4)*_xlfn.XLOOKUP(_xlfn.XLOOKUP(A56,'[1]DATOS PBI Artículos'!$A$4:$A$4,'[1]DATOS PBI Artículos'!$Y$4:$Y$4),[1]CRITERIOS!$P$79:$P$123,[1]CRITERIOS!$S$79:$S$123)),0)*[1]CRITERIOS!$M$80*([1]CRITERIOS!$M$110/[1]CRITERIOS!$M$86)+(_xlfn.XLOOKUP(A56,'[1]DATOS PBI Artículos'!$A$4:$A$4,'[1]DATOS PBI Artículos'!$AA$4:$AA$4)*([1]CRITERIOS!$M$95+[1]CRITERIOS!$M$98)))/N56)</f>
        <v>#N/A</v>
      </c>
      <c r="AD56" s="33" t="e">
        <f>IF(N56=0,"",(ROUNDUP((N56/2)/(_xlfn.XLOOKUP(A56,'[1]DATOS PBI Artículos'!$A$4:$A$4,'[1]DATOS PBI Artículos'!$Z$4:$Z$4)*_xlfn.XLOOKUP(_xlfn.XLOOKUP(A56,'[1]DATOS PBI Artículos'!$A$4:$A$4,'[1]DATOS PBI Artículos'!$Y$4:$Y$4),[1]CRITERIOS!$P$79:$P$123,[1]CRITERIOS!$S$79:$S$123)),0)*[1]CRITERIOS!$M$80*([1]CRITERIOS!$M$89*[1]CRITERIOS!$M$92)+((_xlfn.XLOOKUP(A56,'[1]DATOS PBI Artículos'!$A$4:$A$4,'[1]DATOS PBI Artículos'!$AA$4:$AA$4)/2)*([1]CRITERIOS!$M$95+[1]CRITERIOS!$M$98)))/N56)</f>
        <v>#N/A</v>
      </c>
      <c r="AE56" s="39">
        <f>IF($R56="MTO","",
IF($H56=0,ROUNDUP(((_xlfn.XLOOKUP($A56,'[1]DATOS PBI Artículos'!$A:$A,'[1]DATOS PBI Artículos'!$AL:$AL))/(_xlfn.XLOOKUP($AF$1,[1]CRITERIOS!$S$16:$S$39,[1]CRITERIOS!$Y$16:$Y$39))*$J56+$Z56)/$G56,0)*$G56,
((_xlfn.XLOOKUP($A56,'[1]DATOS PBI Artículos'!$A:$A,'[1]DATOS PBI Artículos'!$AL:$AL))/(_xlfn.XLOOKUP($AF$1,[1]CRITERIOS!$S$16:$S$39,[1]CRITERIOS!$Y$16:$Y$39))*$J56+$Z56)))</f>
        <v>231502.21886641087</v>
      </c>
      <c r="AG56" s="39">
        <f>IF($R56="MTO","",
IF($H56=0,ROUNDUP(((_xlfn.XLOOKUP($A56,'[1]DATOS PBI Artículos'!$A:$A,'[1]DATOS PBI Artículos'!$AM:$AM))/(_xlfn.XLOOKUP($AH$1,[1]CRITERIOS!$S$16:$S$39,[1]CRITERIOS!$Y$16:$Y$39))*$J56+$Z56)/$G56,0)*$G56,
((_xlfn.XLOOKUP($A56,'[1]DATOS PBI Artículos'!$A:$A,'[1]DATOS PBI Artículos'!$AM:$AM))/(_xlfn.XLOOKUP($AH$1,[1]CRITERIOS!$S$16:$S$39,[1]CRITERIOS!$Y$16:$Y$39))*$J56+$Z56)))</f>
        <v>181252.71063248187</v>
      </c>
      <c r="AI56" s="39">
        <f>IF($R56="MTO","",
IF($H56=0,ROUNDUP(((_xlfn.XLOOKUP($A56,'[1]DATOS PBI Artículos'!$A:$A,'[1]DATOS PBI Artículos'!$AN:$AN))/(_xlfn.XLOOKUP($AJ$1,[1]CRITERIOS!$S$16:$S$39,[1]CRITERIOS!$Y$16:$Y$39))*$J56+$Z56)/$G56,0)*$G56,
((_xlfn.XLOOKUP($A56,'[1]DATOS PBI Artículos'!$A:$A,'[1]DATOS PBI Artículos'!$AN:$AN))/(_xlfn.XLOOKUP($AJ$1,[1]CRITERIOS!$S$16:$S$39,[1]CRITERIOS!$Y$16:$Y$39))*$J56+$Z56)))</f>
        <v>206592.75451732622</v>
      </c>
      <c r="AK56" s="39">
        <f>IF($R56="MTO","",
IF($H56=0,ROUNDUP(((_xlfn.XLOOKUP($A56,'[1]DATOS PBI Artículos'!$A:$A,'[1]DATOS PBI Artículos'!$AO:$AO))/(_xlfn.XLOOKUP($AL$1,[1]CRITERIOS!$S$16:$S$39,[1]CRITERIOS!$Y$16:$Y$39))*$J56+$Z56)/$G56,0)*$G56,
((_xlfn.XLOOKUP($A56,'[1]DATOS PBI Artículos'!$A:$A,'[1]DATOS PBI Artículos'!$AO:$AO))/(_xlfn.XLOOKUP($AL$1,[1]CRITERIOS!$S$16:$S$39,[1]CRITERIOS!$Y$16:$Y$39))*$J56+$Z56)))</f>
        <v>220268.00242386034</v>
      </c>
    </row>
    <row r="57" spans="1:37" ht="25.8" x14ac:dyDescent="0.5">
      <c r="A57" s="32">
        <v>422449</v>
      </c>
      <c r="B57" s="33">
        <f>_xlfn.XLOOKUP($A57,'[1]DATOS PBI Artículos'!A:A,'[1]DATOS PBI Artículos'!B:B)</f>
        <v>0</v>
      </c>
      <c r="C57" s="33" t="str">
        <f>_xlfn.XLOOKUP($A57,'[1]DATOS PBI Artículos'!A:A,'[1]DATOS PBI Artículos'!C:C)</f>
        <v>UA01</v>
      </c>
      <c r="D57" s="33">
        <f>_xlfn.XLOOKUP(A57,'[1]DATOS PBI Artículos'!A:A,'[1]DATOS PBI Artículos'!T:T)</f>
        <v>5</v>
      </c>
      <c r="E57" s="34">
        <f>IF(_xlfn.XLOOKUP($A57,'[1]DATOS PBI Artículos'!A:A,'[1]DATOS PBI Artículos'!AK:AK)="",_xlfn.XLOOKUP($A57,'[1]DATOS PBI Artículos'!A:A,'[1]DATOS PBI Artículos'!AJ:AJ),_xlfn.XLOOKUP($A57,'[1]DATOS PBI Artículos'!A:A,'[1]DATOS PBI Artículos'!AK:AK))</f>
        <v>250000</v>
      </c>
      <c r="F57" s="35">
        <f>_xlfn.XLOOKUP($A57,'[1]DATOS PBI Artículos'!A:A,'[1]DATOS PBI Artículos'!AP:AP)</f>
        <v>13.25</v>
      </c>
      <c r="G57" s="34">
        <f>_xlfn.XLOOKUP($A57,'[1]DATOS PBI Artículos'!A:A,'[1]DATOS PBI Artículos'!AR:AR)</f>
        <v>50000</v>
      </c>
      <c r="H57" s="34">
        <f>_xlfn.XLOOKUP($A57,'[1]DATOS PBI Artículos'!A:A,'[1]DATOS PBI Artículos'!AT:AT)</f>
        <v>0</v>
      </c>
      <c r="I57" s="34">
        <f>_xlfn.XLOOKUP($A57,'[1]DATOS PBI Artículos'!A:A,'[1]DATOS PBI Artículos'!AS:AS)</f>
        <v>50000</v>
      </c>
      <c r="J57" s="35">
        <f>IF(COUNTIF([1]CRITERIOS!$F$179:$F$199,$A57)&gt;=1,
 IF(O57&lt;&gt;"",
    (O57/_xlfn.XLOOKUP(CONCATENATE(A57,L57),[1]MÁQUINAS!A:A,[1]MÁQUINAS!D:D))/24,
    (N57/_xlfn.XLOOKUP(CONCATENATE(A57,L57),[1]MÁQUINAS!A:A,[1]MÁQUINAS!D:D))/24),
  _xlfn.XLOOKUP($A57,'[1]DATOS PBI Artículos'!A:A,'[1]DATOS PBI Artículos'!AU:AU))</f>
        <v>18.428571428571431</v>
      </c>
      <c r="K57" s="36">
        <f>_xlfn.XLOOKUP($A57,'[1]DATOS PBI Artículos'!A:A,'[1]DATOS PBI Artículos'!AV:AV)</f>
        <v>4.685844945913475</v>
      </c>
      <c r="L57" s="33">
        <f>_xlfn.XLOOKUP(A57,[1]MÁQUINAS!B:B,[1]MÁQUINAS!C:C)</f>
        <v>504</v>
      </c>
      <c r="M57" s="34">
        <f t="array" ref="M57">_xlfn.XLOOKUP(A57,'[1]DATOS PBI Artículos'!A:A,'[1]DATOS PBI Artículos'!AX:$AX)</f>
        <v>204965.85960747002</v>
      </c>
      <c r="N57" s="37">
        <f>IF(I57="DV",
E57,
IF(COUNTIF([1]CRITERIOS!$I$179:$I$199,$A57)&gt;=1,
_xlfn.XLOOKUP($A57,[1]CRITERIOS!$I$179:$I$199,[1]CRITERIOS!$J$179:$J$199),
IF(COUNTIF([1]CRITERIOS!$L$179:$L$199,$A57)&gt;=1,
_xlfn.CEILING.MATH(IF($M57&gt;$E57,
$E57,
IF($M57&lt;$E57/ROUNDDOWN([1]CRITERIOS!$M$16/_xlfn.XLOOKUP($C57,[1]CRITERIOS!$K$25:$K$42,[1]CRITERIOS!$M$25:$M$42),
1),
E57/ROUNDDOWN([1]CRITERIOS!$M$16/_xlfn.XLOOKUP($C57,[1]CRITERIOS!$K$25:$K$42,[1]CRITERIOS!$M$25:$M$42),
1),
$M57)),
_xlfn.XLOOKUP($A57,[1]CRITERIOS!$L$179:$L$200,[1]CRITERIOS!$M$179:$M$200)),
_xlfn.CEILING.MATH(IF($M57&gt;$E57,
$E57,
IF($M57&lt;$E57/ROUNDDOWN([1]CRITERIOS!$M$16/_xlfn.XLOOKUP($C57,[1]CRITERIOS!$K$25:$K$42,[1]CRITERIOS!$M$25:$M$42),
1),
E57/ROUNDDOWN([1]CRITERIOS!$M$16/_xlfn.XLOOKUP($C57,[1]CRITERIOS!$K$25:$K$42,[1]CRITERIOS!$M$25:$M$42),
1),
$M57)),_xlfn.XLOOKUP(A57,'[1]DATOS PBI Artículos'!A:A,'[1]DATOS PBI Artículos'!Z:Z
)))))</f>
        <v>205000</v>
      </c>
      <c r="Q57" s="38">
        <f>IF(AND(O57="",N57=0),
0,
   IF(COUNTIF([1]CRITERIOS!$F$179:$F$199,$A57)&gt;=1,
   1,
   IF(R57="MTO",
      $D57,
      ROUNDUP(
                    IF(($E57-SUMIF('[1]DATOS PBI Artículos'!A:A,A57,'[1]DATOS PBI Artículos'!X:X)+($V57-_xlfn.XLOOKUP(A57,'[1]DATOS PBI Artículos'!A:A,'[1]DATOS PBI Artículos'!W:W)))&lt;0,
                    0,
                    IF(($E57-SUMIF('[1]DATOS PBI Artículos'!A:A,A57,'[1]DATOS PBI Artículos'!X:X)+$V57-_xlfn.XLOOKUP($A57,'[1]DATOS PBI Artículos'!A:A,'[1]DATOS PBI Artículos'!W:W))/IF($O57="",$N57,$O57)&gt;ROUNDUP([1]CRITERIOS!$M$16/(IF(COUNTIF([1]CRITERIOS!$BG$11:$BG$201,L57)&gt;=1,_xlfn.XLOOKUP($C57,[1]CRITERIOS!$K$25:$K$42,[1]CRITERIOS!$M$25:$M$42),_xlfn.XLOOKUP($C57,[1]CRITERIOS!$K$25:$K$42,[1]CRITERIOS!$M$25:$M$42))),0),
                    ROUNDUP([1]CRITERIOS!$M$16/(IF(COUNTIF([1]CRITERIOS!$BG$11:$BG$201,$L57)&gt;=1,_xlfn.XLOOKUP($C57,[1]CRITERIOS!$K$25:$K$42,[1]CRITERIOS!$M$25:$M$42),_xlfn.XLOOKUP($C57,[1]CRITERIOS!$K$25:$K$42,[1]CRITERIOS!$M$25:$M$42))),0),
                    (E57+V57-SUMIF('[1]DATOS PBI Artículos'!A:A,A57,'[1]DATOS PBI Artículos'!X:X)-_xlfn.XLOOKUP(A57,'[1]DATOS PBI Artículos'!A:A,'[1]DATOS PBI Artículos'!W:W))/IF($O57="",$N57,$O57))),0))))</f>
        <v>0</v>
      </c>
      <c r="R57" s="33" t="str">
        <f>IF(U57&lt;&gt;"",U57,IF(F57="DV","MTO",IF(N57=0,"MTO",_xlfn.XLOOKUP(CONCATENATE(S57,T57),[1]CRITERIOS!$K$160:$K$168,[1]CRITERIOS!$N$160:$N$168))))</f>
        <v>MTS</v>
      </c>
      <c r="S57" s="33" t="str">
        <f>IF(G57="DV","MTO",IF(N57=0,"MTO",IF(OR(AND(N57=0,O57=""),IF(O57="",G57/N57,G57/O57)&gt;[1]CRITERIOS!$G$163),"MTO",IF(IF(O57="",G57/N57,G57/O57)&lt;[1]CRITERIOS!$H$161,"MTS","MTOS"))))</f>
        <v>MTS</v>
      </c>
      <c r="T57" s="33" t="str">
        <f>IF(F57="DV","MTO",IF(OR(AND($N57=0,O57=""),$F57/$J57&gt;[1]CRITERIOS!$G$170,$F57="DV"),"MTO",IF($F57/$J57&lt;[1]CRITERIOS!$H$168,"MTS","MTOS")))</f>
        <v>MTS</v>
      </c>
      <c r="V57" s="34">
        <f t="shared" si="4"/>
        <v>82558.014936612017</v>
      </c>
      <c r="X57" s="34">
        <f t="shared" si="1"/>
        <v>287558.01493661199</v>
      </c>
      <c r="Y57" s="34">
        <f t="shared" si="2"/>
        <v>115516.23596087076</v>
      </c>
      <c r="Z57" s="34">
        <f>IF($R57="MTO",
0,
($H57+$K57*($E57/[1]CRITERIOS!$M$16))/[1]CRITERIOS!$X$48)</f>
        <v>13016.235960870765</v>
      </c>
      <c r="AA57" s="34" t="e">
        <f>ROUNDUP(($Y57/_xlfn.XLOOKUP($A57,'[1]DATOS PBI Artículos'!$A$4:$A$4,'[1]DATOS PBI Artículos'!$Z$4:$Z$4))/_xlfn.XLOOKUP(_xlfn.XLOOKUP($A57,'[1]DATOS PBI Artículos'!$A$4:$A$4,'[1]DATOS PBI Artículos'!$Y$4:$Y$4),[1]CRITERIOS!$P$79:$P$123,[1]CRITERIOS!$S$79:$S$123,),0)</f>
        <v>#N/A</v>
      </c>
      <c r="AB57" s="33" t="e">
        <f t="array" ref="AB57">IF((E57+V57-_xlfn.XLOOKUP(A57,'[1]DATOS PBI Artículos'!$A$4:$A$4,'[1]DATOS PBI Artículos'!$W$4:$W$4))/N57&gt;ROUNDUP([1]CRITERIOS!$M$16/(IF(COUNTIF([1]CRITERIOS!$BG$11:$BG$201,L57)&gt;=1,_xlfn.XLOOKUP(ARTÍCULOS!L57,[1]CRITERIOS!$BG$11:$BG$201,[1]CRITERIOS!$BJ$11:$BJ$201),_xlfn.XLOOKUP(ARTÍCULOS!C57,[1]CRITERIOS!$K$25:$K$42,[1]CRITERIOS!$M$25:$M$42))),0),ROUNDUP([1]CRITERIOS!$M$16/(IF(COUNTIF([1]CRITERIOS!$BG$11:$BG$201,L57)&gt;=1,_xlfn.XLOOKUP(ARTÍCULOS!L57,[1]CRITERIOS!$BG$11:$BG$201:#REF!,[1]CRITERIOS!$BJ$11:$BJ$201),_xlfn.XLOOKUP(ARTÍCULOS!C57,[1]CRITERIOS!$K$25:$K$42,[1]CRITERIOS!$M$25:$M$42))),0),(E57+V57-_xlfn.XLOOKUP(A57,'[1]DATOS PBI Artículos'!$A$4:$A$4,'[1]DATOS PBI Artículos'!$W$4:$W$4))/N57)</f>
        <v>#N/A</v>
      </c>
      <c r="AC57" s="33" t="e">
        <f>IF(N57=0,"",(ROUNDUP((N57/2)/(_xlfn.XLOOKUP(A57,'[1]DATOS PBI Artículos'!$A$4:$A$4,'[1]DATOS PBI Artículos'!$Z$4:$Z$4)*_xlfn.XLOOKUP(_xlfn.XLOOKUP(A57,'[1]DATOS PBI Artículos'!$A$4:$A$4,'[1]DATOS PBI Artículos'!$Y$4:$Y$4),[1]CRITERIOS!$P$79:$P$123,[1]CRITERIOS!$S$79:$S$123)),0)*[1]CRITERIOS!$M$80*([1]CRITERIOS!$M$110/[1]CRITERIOS!$M$86)+(_xlfn.XLOOKUP(A57,'[1]DATOS PBI Artículos'!$A$4:$A$4,'[1]DATOS PBI Artículos'!$AA$4:$AA$4)*([1]CRITERIOS!$M$95+[1]CRITERIOS!$M$98)))/N57)</f>
        <v>#N/A</v>
      </c>
      <c r="AD57" s="33" t="e">
        <f>IF(N57=0,"",(ROUNDUP((N57/2)/(_xlfn.XLOOKUP(A57,'[1]DATOS PBI Artículos'!$A$4:$A$4,'[1]DATOS PBI Artículos'!$Z$4:$Z$4)*_xlfn.XLOOKUP(_xlfn.XLOOKUP(A57,'[1]DATOS PBI Artículos'!$A$4:$A$4,'[1]DATOS PBI Artículos'!$Y$4:$Y$4),[1]CRITERIOS!$P$79:$P$123,[1]CRITERIOS!$S$79:$S$123)),0)*[1]CRITERIOS!$M$80*([1]CRITERIOS!$M$89*[1]CRITERIOS!$M$92)+((_xlfn.XLOOKUP(A57,'[1]DATOS PBI Artículos'!$A$4:$A$4,'[1]DATOS PBI Artículos'!$AA$4:$AA$4)/2)*([1]CRITERIOS!$M$95+[1]CRITERIOS!$M$98)))/N57)</f>
        <v>#N/A</v>
      </c>
      <c r="AE57" s="39">
        <f>IF($R57="MTO","",
IF($H57=0,ROUNDUP(((_xlfn.XLOOKUP($A57,'[1]DATOS PBI Artículos'!$A:$A,'[1]DATOS PBI Artículos'!$AL:$AL))/(_xlfn.XLOOKUP($AF$1,[1]CRITERIOS!$S$16:$S$39,[1]CRITERIOS!$Y$16:$Y$39))*$J57+$Z57)/$G57,0)*$G57,
((_xlfn.XLOOKUP($A57,'[1]DATOS PBI Artículos'!$A:$A,'[1]DATOS PBI Artículos'!$AL:$AL))/(_xlfn.XLOOKUP($AF$1,[1]CRITERIOS!$S$16:$S$39,[1]CRITERIOS!$Y$16:$Y$39))*$J57+$Z57)))</f>
        <v>100000</v>
      </c>
      <c r="AG57" s="39">
        <f>IF($R57="MTO","",
IF($H57=0,ROUNDUP(((_xlfn.XLOOKUP($A57,'[1]DATOS PBI Artículos'!$A:$A,'[1]DATOS PBI Artículos'!$AM:$AM))/(_xlfn.XLOOKUP($AH$1,[1]CRITERIOS!$S$16:$S$39,[1]CRITERIOS!$Y$16:$Y$39))*$J57+$Z57)/$G57,0)*$G57,
((_xlfn.XLOOKUP($A57,'[1]DATOS PBI Artículos'!$A:$A,'[1]DATOS PBI Artículos'!$AM:$AM))/(_xlfn.XLOOKUP($AH$1,[1]CRITERIOS!$S$16:$S$39,[1]CRITERIOS!$Y$16:$Y$39))*$J57+$Z57)))</f>
        <v>100000</v>
      </c>
      <c r="AI57" s="39">
        <f>IF($R57="MTO","",
IF($H57=0,ROUNDUP(((_xlfn.XLOOKUP($A57,'[1]DATOS PBI Artículos'!$A:$A,'[1]DATOS PBI Artículos'!$AN:$AN))/(_xlfn.XLOOKUP($AJ$1,[1]CRITERIOS!$S$16:$S$39,[1]CRITERIOS!$Y$16:$Y$39))*$J57+$Z57)/$G57,0)*$G57,
((_xlfn.XLOOKUP($A57,'[1]DATOS PBI Artículos'!$A:$A,'[1]DATOS PBI Artículos'!$AN:$AN))/(_xlfn.XLOOKUP($AJ$1,[1]CRITERIOS!$S$16:$S$39,[1]CRITERIOS!$Y$16:$Y$39))*$J57+$Z57)))</f>
        <v>100000</v>
      </c>
      <c r="AK57" s="39">
        <f>IF($R57="MTO","",
IF($H57=0,ROUNDUP(((_xlfn.XLOOKUP($A57,'[1]DATOS PBI Artículos'!$A:$A,'[1]DATOS PBI Artículos'!$AO:$AO))/(_xlfn.XLOOKUP($AL$1,[1]CRITERIOS!$S$16:$S$39,[1]CRITERIOS!$Y$16:$Y$39))*$J57+$Z57)/$G57,0)*$G57,
((_xlfn.XLOOKUP($A57,'[1]DATOS PBI Artículos'!$A:$A,'[1]DATOS PBI Artículos'!$AO:$AO))/(_xlfn.XLOOKUP($AL$1,[1]CRITERIOS!$S$16:$S$39,[1]CRITERIOS!$Y$16:$Y$39))*$J57+$Z57)))</f>
        <v>100000</v>
      </c>
    </row>
    <row r="58" spans="1:37" ht="25.8" x14ac:dyDescent="0.5">
      <c r="A58" s="32" t="s">
        <v>56</v>
      </c>
      <c r="B58" s="33">
        <f>_xlfn.XLOOKUP($A58,'[1]DATOS PBI Artículos'!A:A,'[1]DATOS PBI Artículos'!B:B)</f>
        <v>0</v>
      </c>
      <c r="C58" s="33" t="str">
        <f>_xlfn.XLOOKUP($A58,'[1]DATOS PBI Artículos'!A:A,'[1]DATOS PBI Artículos'!C:C)</f>
        <v>UA02</v>
      </c>
      <c r="D58" s="33">
        <f>_xlfn.XLOOKUP(A58,'[1]DATOS PBI Artículos'!A:A,'[1]DATOS PBI Artículos'!T:T)</f>
        <v>4</v>
      </c>
      <c r="E58" s="34">
        <f>IF(_xlfn.XLOOKUP($A58,'[1]DATOS PBI Artículos'!A:A,'[1]DATOS PBI Artículos'!AK:AK)="",_xlfn.XLOOKUP($A58,'[1]DATOS PBI Artículos'!A:A,'[1]DATOS PBI Artículos'!AJ:AJ),_xlfn.XLOOKUP($A58,'[1]DATOS PBI Artículos'!A:A,'[1]DATOS PBI Artículos'!AK:AK))</f>
        <v>240000</v>
      </c>
      <c r="F58" s="35">
        <f>_xlfn.XLOOKUP($A58,'[1]DATOS PBI Artículos'!A:A,'[1]DATOS PBI Artículos'!AP:AP)</f>
        <v>4.8</v>
      </c>
      <c r="G58" s="34">
        <f>_xlfn.XLOOKUP($A58,'[1]DATOS PBI Artículos'!A:A,'[1]DATOS PBI Artículos'!AR:AR)</f>
        <v>10000</v>
      </c>
      <c r="H58" s="34">
        <f>_xlfn.XLOOKUP($A58,'[1]DATOS PBI Artículos'!A:A,'[1]DATOS PBI Artículos'!AT:AT)</f>
        <v>0</v>
      </c>
      <c r="I58" s="34">
        <f>_xlfn.XLOOKUP($A58,'[1]DATOS PBI Artículos'!A:A,'[1]DATOS PBI Artículos'!AS:AS)</f>
        <v>10000</v>
      </c>
      <c r="J58" s="35">
        <f>IF(COUNTIF([1]CRITERIOS!$F$179:$F$199,$A58)&gt;=1,
 IF(O58&lt;&gt;"",
    (O58/_xlfn.XLOOKUP(CONCATENATE(A58,L58),[1]MÁQUINAS!A:A,[1]MÁQUINAS!D:D))/24,
    (N58/_xlfn.XLOOKUP(CONCATENATE(A58,L58),[1]MÁQUINAS!A:A,[1]MÁQUINAS!D:D))/24),
  _xlfn.XLOOKUP($A58,'[1]DATOS PBI Artículos'!A:A,'[1]DATOS PBI Artículos'!AU:AU))</f>
        <v>25.333333333333336</v>
      </c>
      <c r="K58" s="36">
        <f>_xlfn.XLOOKUP($A58,'[1]DATOS PBI Artículos'!A:A,'[1]DATOS PBI Artículos'!AV:AV)</f>
        <v>13.051181300301261</v>
      </c>
      <c r="L58" s="33">
        <f>_xlfn.XLOOKUP(A58,[1]MÁQUINAS!B:B,[1]MÁQUINAS!C:C)</f>
        <v>221</v>
      </c>
      <c r="M58" s="34">
        <f t="array" ref="M58">_xlfn.XLOOKUP(A58,'[1]DATOS PBI Artículos'!A:A,'[1]DATOS PBI Artículos'!AX:$AX)</f>
        <v>69041.814036717828</v>
      </c>
      <c r="N58" s="37">
        <f>IF(I58="DV",
E58,
IF(COUNTIF([1]CRITERIOS!$I$179:$I$199,$A58)&gt;=1,
_xlfn.XLOOKUP($A58,[1]CRITERIOS!$I$179:$I$199,[1]CRITERIOS!$J$179:$J$199),
IF(COUNTIF([1]CRITERIOS!$L$179:$L$199,$A58)&gt;=1,
_xlfn.CEILING.MATH(IF($M58&gt;$E58,
$E58,
IF($M58&lt;$E58/ROUNDDOWN([1]CRITERIOS!$M$16/_xlfn.XLOOKUP($C58,[1]CRITERIOS!$K$25:$K$42,[1]CRITERIOS!$M$25:$M$42),
1),
E58/ROUNDDOWN([1]CRITERIOS!$M$16/_xlfn.XLOOKUP($C58,[1]CRITERIOS!$K$25:$K$42,[1]CRITERIOS!$M$25:$M$42),
1),
$M58)),
_xlfn.XLOOKUP($A58,[1]CRITERIOS!$L$179:$L$200,[1]CRITERIOS!$M$179:$M$200)),
_xlfn.CEILING.MATH(IF($M58&gt;$E58,
$E58,
IF($M58&lt;$E58/ROUNDDOWN([1]CRITERIOS!$M$16/_xlfn.XLOOKUP($C58,[1]CRITERIOS!$K$25:$K$42,[1]CRITERIOS!$M$25:$M$42),
1),
E58/ROUNDDOWN([1]CRITERIOS!$M$16/_xlfn.XLOOKUP($C58,[1]CRITERIOS!$K$25:$K$42,[1]CRITERIOS!$M$25:$M$42),
1),
$M58)),_xlfn.XLOOKUP(A58,'[1]DATOS PBI Artículos'!A:A,'[1]DATOS PBI Artículos'!Z:Z
)))))</f>
        <v>70000</v>
      </c>
      <c r="Q58" s="38">
        <f>IF(AND(O58="",N58=0),
0,
   IF(COUNTIF([1]CRITERIOS!$F$179:$F$199,$A58)&gt;=1,
   1,
   IF(R58="MTO",
      $D58,
      ROUNDUP(
                    IF(($E58-SUMIF('[1]DATOS PBI Artículos'!A:A,A58,'[1]DATOS PBI Artículos'!X:X)+($V58-_xlfn.XLOOKUP(A58,'[1]DATOS PBI Artículos'!A:A,'[1]DATOS PBI Artículos'!W:W)))&lt;0,
                    0,
                    IF(($E58-SUMIF('[1]DATOS PBI Artículos'!A:A,A58,'[1]DATOS PBI Artículos'!X:X)+$V58-_xlfn.XLOOKUP($A58,'[1]DATOS PBI Artículos'!A:A,'[1]DATOS PBI Artículos'!W:W))/IF($O58="",$N58,$O58)&gt;ROUNDUP([1]CRITERIOS!$M$16/(IF(COUNTIF([1]CRITERIOS!$BG$11:$BG$201,L58)&gt;=1,_xlfn.XLOOKUP($C58,[1]CRITERIOS!$K$25:$K$42,[1]CRITERIOS!$M$25:$M$42),_xlfn.XLOOKUP($C58,[1]CRITERIOS!$K$25:$K$42,[1]CRITERIOS!$M$25:$M$42))),0),
                    ROUNDUP([1]CRITERIOS!$M$16/(IF(COUNTIF([1]CRITERIOS!$BG$11:$BG$201,$L58)&gt;=1,_xlfn.XLOOKUP($C58,[1]CRITERIOS!$K$25:$K$42,[1]CRITERIOS!$M$25:$M$42),_xlfn.XLOOKUP($C58,[1]CRITERIOS!$K$25:$K$42,[1]CRITERIOS!$M$25:$M$42))),0),
                    (E58+V58-SUMIF('[1]DATOS PBI Artículos'!A:A,A58,'[1]DATOS PBI Artículos'!X:X)-_xlfn.XLOOKUP(A58,'[1]DATOS PBI Artículos'!A:A,'[1]DATOS PBI Artículos'!W:W))/IF($O58="",$N58,$O58))),0))))</f>
        <v>3</v>
      </c>
      <c r="R58" s="33" t="str">
        <f>IF(U58&lt;&gt;"",U58,IF(F58="DV","MTO",IF(N58=0,"MTO",_xlfn.XLOOKUP(CONCATENATE(S58,T58),[1]CRITERIOS!$K$160:$K$168,[1]CRITERIOS!$N$160:$N$168))))</f>
        <v>MTS</v>
      </c>
      <c r="S58" s="33" t="str">
        <f>IF(G58="DV","MTO",IF(N58=0,"MTO",IF(OR(AND(N58=0,O58=""),IF(O58="",G58/N58,G58/O58)&gt;[1]CRITERIOS!$G$163),"MTO",IF(IF(O58="",G58/N58,G58/O58)&lt;[1]CRITERIOS!$H$161,"MTS","MTOS"))))</f>
        <v>MTS</v>
      </c>
      <c r="T58" s="33" t="str">
        <f>IF(F58="DV","MTO",IF(OR(AND($N58=0,O58=""),$F58/$J58&gt;[1]CRITERIOS!$G$170,$F58="DV"),"MTO",IF($F58/$J58&lt;[1]CRITERIOS!$H$168,"MTS","MTOS")))</f>
        <v>MTS</v>
      </c>
      <c r="V58" s="34">
        <f t="shared" si="4"/>
        <v>87580.927911914478</v>
      </c>
      <c r="X58" s="34">
        <f t="shared" si="1"/>
        <v>157580.92791191448</v>
      </c>
      <c r="Y58" s="34">
        <f t="shared" si="2"/>
        <v>69803.150134136697</v>
      </c>
      <c r="Z58" s="34">
        <f>IF($R58="MTO",
0,
($H58+$K58*($E58/[1]CRITERIOS!$M$16))/[1]CRITERIOS!$X$48)</f>
        <v>34803.150134136697</v>
      </c>
      <c r="AA58" s="34" t="e">
        <f>ROUNDUP(($Y58/_xlfn.XLOOKUP($A58,'[1]DATOS PBI Artículos'!$A$4:$A$4,'[1]DATOS PBI Artículos'!$Z$4:$Z$4))/_xlfn.XLOOKUP(_xlfn.XLOOKUP($A58,'[1]DATOS PBI Artículos'!$A$4:$A$4,'[1]DATOS PBI Artículos'!$Y$4:$Y$4),[1]CRITERIOS!$P$79:$P$123,[1]CRITERIOS!$S$79:$S$123,),0)</f>
        <v>#N/A</v>
      </c>
      <c r="AB58" s="33" t="e">
        <f t="array" ref="AB58">IF((E58+V58-_xlfn.XLOOKUP(A58,'[1]DATOS PBI Artículos'!$A$4:$A$4,'[1]DATOS PBI Artículos'!$W$4:$W$4))/N58&gt;ROUNDUP([1]CRITERIOS!$M$16/(IF(COUNTIF([1]CRITERIOS!$BG$11:$BG$201,L58)&gt;=1,_xlfn.XLOOKUP(ARTÍCULOS!L58,[1]CRITERIOS!$BG$11:$BG$201,[1]CRITERIOS!$BJ$11:$BJ$201),_xlfn.XLOOKUP(ARTÍCULOS!C58,[1]CRITERIOS!$K$25:$K$42,[1]CRITERIOS!$M$25:$M$42))),0),ROUNDUP([1]CRITERIOS!$M$16/(IF(COUNTIF([1]CRITERIOS!$BG$11:$BG$201,L58)&gt;=1,_xlfn.XLOOKUP(ARTÍCULOS!L58,[1]CRITERIOS!$BG$11:$BG$201:#REF!,[1]CRITERIOS!$BJ$11:$BJ$201),_xlfn.XLOOKUP(ARTÍCULOS!C58,[1]CRITERIOS!$K$25:$K$42,[1]CRITERIOS!$M$25:$M$42))),0),(E58+V58-_xlfn.XLOOKUP(A58,'[1]DATOS PBI Artículos'!$A$4:$A$4,'[1]DATOS PBI Artículos'!$W$4:$W$4))/N58)</f>
        <v>#N/A</v>
      </c>
      <c r="AC58" s="33" t="e">
        <f>IF(N58=0,"",(ROUNDUP((N58/2)/(_xlfn.XLOOKUP(A58,'[1]DATOS PBI Artículos'!$A$4:$A$4,'[1]DATOS PBI Artículos'!$Z$4:$Z$4)*_xlfn.XLOOKUP(_xlfn.XLOOKUP(A58,'[1]DATOS PBI Artículos'!$A$4:$A$4,'[1]DATOS PBI Artículos'!$Y$4:$Y$4),[1]CRITERIOS!$P$79:$P$123,[1]CRITERIOS!$S$79:$S$123)),0)*[1]CRITERIOS!$M$80*([1]CRITERIOS!$M$110/[1]CRITERIOS!$M$86)+(_xlfn.XLOOKUP(A58,'[1]DATOS PBI Artículos'!$A$4:$A$4,'[1]DATOS PBI Artículos'!$AA$4:$AA$4)*([1]CRITERIOS!$M$95+[1]CRITERIOS!$M$98)))/N58)</f>
        <v>#N/A</v>
      </c>
      <c r="AD58" s="33" t="e">
        <f>IF(N58=0,"",(ROUNDUP((N58/2)/(_xlfn.XLOOKUP(A58,'[1]DATOS PBI Artículos'!$A$4:$A$4,'[1]DATOS PBI Artículos'!$Z$4:$Z$4)*_xlfn.XLOOKUP(_xlfn.XLOOKUP(A58,'[1]DATOS PBI Artículos'!$A$4:$A$4,'[1]DATOS PBI Artículos'!$Y$4:$Y$4),[1]CRITERIOS!$P$79:$P$123,[1]CRITERIOS!$S$79:$S$123)),0)*[1]CRITERIOS!$M$80*([1]CRITERIOS!$M$89*[1]CRITERIOS!$M$92)+((_xlfn.XLOOKUP(A58,'[1]DATOS PBI Artículos'!$A$4:$A$4,'[1]DATOS PBI Artículos'!$AA$4:$AA$4)/2)*([1]CRITERIOS!$M$95+[1]CRITERIOS!$M$98)))/N58)</f>
        <v>#N/A</v>
      </c>
      <c r="AE58" s="39">
        <f>IF($R58="MTO","",
IF($H58=0,ROUNDUP(((_xlfn.XLOOKUP($A58,'[1]DATOS PBI Artículos'!$A:$A,'[1]DATOS PBI Artículos'!$AL:$AL))/(_xlfn.XLOOKUP($AF$1,[1]CRITERIOS!$S$16:$S$39,[1]CRITERIOS!$Y$16:$Y$39))*$J58+$Z58)/$G58,0)*$G58,
((_xlfn.XLOOKUP($A58,'[1]DATOS PBI Artículos'!$A:$A,'[1]DATOS PBI Artículos'!$AL:$AL))/(_xlfn.XLOOKUP($AF$1,[1]CRITERIOS!$S$16:$S$39,[1]CRITERIOS!$Y$16:$Y$39))*$J58+$Z58)))</f>
        <v>130000</v>
      </c>
      <c r="AG58" s="39">
        <f>IF($R58="MTO","",
IF($H58=0,ROUNDUP(((_xlfn.XLOOKUP($A58,'[1]DATOS PBI Artículos'!$A:$A,'[1]DATOS PBI Artículos'!$AM:$AM))/(_xlfn.XLOOKUP($AH$1,[1]CRITERIOS!$S$16:$S$39,[1]CRITERIOS!$Y$16:$Y$39))*$J58+$Z58)/$G58,0)*$G58,
((_xlfn.XLOOKUP($A58,'[1]DATOS PBI Artículos'!$A:$A,'[1]DATOS PBI Artículos'!$AM:$AM))/(_xlfn.XLOOKUP($AH$1,[1]CRITERIOS!$S$16:$S$39,[1]CRITERIOS!$Y$16:$Y$39))*$J58+$Z58)))</f>
        <v>110000</v>
      </c>
      <c r="AI58" s="39">
        <f>IF($R58="MTO","",
IF($H58=0,ROUNDUP(((_xlfn.XLOOKUP($A58,'[1]DATOS PBI Artículos'!$A:$A,'[1]DATOS PBI Artículos'!$AN:$AN))/(_xlfn.XLOOKUP($AJ$1,[1]CRITERIOS!$S$16:$S$39,[1]CRITERIOS!$Y$16:$Y$39))*$J58+$Z58)/$G58,0)*$G58,
((_xlfn.XLOOKUP($A58,'[1]DATOS PBI Artículos'!$A:$A,'[1]DATOS PBI Artículos'!$AN:$AN))/(_xlfn.XLOOKUP($AJ$1,[1]CRITERIOS!$S$16:$S$39,[1]CRITERIOS!$Y$16:$Y$39))*$J58+$Z58)))</f>
        <v>120000</v>
      </c>
      <c r="AK58" s="39">
        <f>IF($R58="MTO","",
IF($H58=0,ROUNDUP(((_xlfn.XLOOKUP($A58,'[1]DATOS PBI Artículos'!$A:$A,'[1]DATOS PBI Artículos'!$AO:$AO))/(_xlfn.XLOOKUP($AL$1,[1]CRITERIOS!$S$16:$S$39,[1]CRITERIOS!$Y$16:$Y$39))*$J58+$Z58)/$G58,0)*$G58,
((_xlfn.XLOOKUP($A58,'[1]DATOS PBI Artículos'!$A:$A,'[1]DATOS PBI Artículos'!$AO:$AO))/(_xlfn.XLOOKUP($AL$1,[1]CRITERIOS!$S$16:$S$39,[1]CRITERIOS!$Y$16:$Y$39))*$J58+$Z58)))</f>
        <v>130000</v>
      </c>
    </row>
    <row r="59" spans="1:37" ht="25.8" x14ac:dyDescent="0.5">
      <c r="A59" s="32">
        <v>453378</v>
      </c>
      <c r="B59" s="33">
        <f>_xlfn.XLOOKUP($A59,'[1]DATOS PBI Artículos'!A:A,'[1]DATOS PBI Artículos'!B:B)</f>
        <v>0</v>
      </c>
      <c r="C59" s="33" t="str">
        <f>_xlfn.XLOOKUP($A59,'[1]DATOS PBI Artículos'!A:A,'[1]DATOS PBI Artículos'!C:C)</f>
        <v>UA01</v>
      </c>
      <c r="D59" s="33">
        <f>_xlfn.XLOOKUP(A59,'[1]DATOS PBI Artículos'!A:A,'[1]DATOS PBI Artículos'!T:T)</f>
        <v>11</v>
      </c>
      <c r="E59" s="34">
        <f>IF(_xlfn.XLOOKUP($A59,'[1]DATOS PBI Artículos'!A:A,'[1]DATOS PBI Artículos'!AK:AK)="",_xlfn.XLOOKUP($A59,'[1]DATOS PBI Artículos'!A:A,'[1]DATOS PBI Artículos'!AJ:AJ),_xlfn.XLOOKUP($A59,'[1]DATOS PBI Artículos'!A:A,'[1]DATOS PBI Artículos'!AK:AK))</f>
        <v>237600</v>
      </c>
      <c r="F59" s="35">
        <f>_xlfn.XLOOKUP($A59,'[1]DATOS PBI Artículos'!A:A,'[1]DATOS PBI Artículos'!AP:AP)</f>
        <v>7</v>
      </c>
      <c r="G59" s="34">
        <f>_xlfn.XLOOKUP($A59,'[1]DATOS PBI Artículos'!A:A,'[1]DATOS PBI Artículos'!AR:AR)</f>
        <v>26400</v>
      </c>
      <c r="H59" s="34">
        <f>_xlfn.XLOOKUP($A59,'[1]DATOS PBI Artículos'!A:A,'[1]DATOS PBI Artículos'!AT:AT)</f>
        <v>14784.857118010981</v>
      </c>
      <c r="I59" s="34">
        <f>_xlfn.XLOOKUP($A59,'[1]DATOS PBI Artículos'!A:A,'[1]DATOS PBI Artículos'!AS:AS)</f>
        <v>13200</v>
      </c>
      <c r="J59" s="35">
        <f>IF(COUNTIF([1]CRITERIOS!$F$179:$F$199,$A59)&gt;=1,
 IF(O59&lt;&gt;"",
    (O59/_xlfn.XLOOKUP(CONCATENATE(A59,L59),[1]MÁQUINAS!A:A,[1]MÁQUINAS!D:D))/24,
    (N59/_xlfn.XLOOKUP(CONCATENATE(A59,L59),[1]MÁQUINAS!A:A,[1]MÁQUINAS!D:D))/24),
  _xlfn.XLOOKUP($A59,'[1]DATOS PBI Artículos'!A:A,'[1]DATOS PBI Artículos'!AU:AU))</f>
        <v>18.777777777777779</v>
      </c>
      <c r="K59" s="36">
        <f>_xlfn.XLOOKUP($A59,'[1]DATOS PBI Artículos'!A:A,'[1]DATOS PBI Artículos'!AV:AV)</f>
        <v>4.4794374063183628</v>
      </c>
      <c r="L59" s="33">
        <f>_xlfn.XLOOKUP(A59,[1]MÁQUINAS!B:B,[1]MÁQUINAS!C:C)</f>
        <v>407</v>
      </c>
      <c r="M59" s="34">
        <f t="array" ref="M59">_xlfn.XLOOKUP(A59,'[1]DATOS PBI Artículos'!A:A,'[1]DATOS PBI Artículos'!AX:$AX)</f>
        <v>107095.2499139541</v>
      </c>
      <c r="N59" s="37">
        <f>IF(I59="DV",
E59,
IF(COUNTIF([1]CRITERIOS!$I$179:$I$199,$A59)&gt;=1,
_xlfn.XLOOKUP($A59,[1]CRITERIOS!$I$179:$I$199,[1]CRITERIOS!$J$179:$J$199),
IF(COUNTIF([1]CRITERIOS!$L$179:$L$199,$A59)&gt;=1,
_xlfn.CEILING.MATH(IF($M59&gt;$E59,
$E59,
IF($M59&lt;$E59/ROUNDDOWN([1]CRITERIOS!$M$16/_xlfn.XLOOKUP($C59,[1]CRITERIOS!$K$25:$K$42,[1]CRITERIOS!$M$25:$M$42),
1),
E59/ROUNDDOWN([1]CRITERIOS!$M$16/_xlfn.XLOOKUP($C59,[1]CRITERIOS!$K$25:$K$42,[1]CRITERIOS!$M$25:$M$42),
1),
$M59)),
_xlfn.XLOOKUP($A59,[1]CRITERIOS!$L$179:$L$200,[1]CRITERIOS!$M$179:$M$200)),
_xlfn.CEILING.MATH(IF($M59&gt;$E59,
$E59,
IF($M59&lt;$E59/ROUNDDOWN([1]CRITERIOS!$M$16/_xlfn.XLOOKUP($C59,[1]CRITERIOS!$K$25:$K$42,[1]CRITERIOS!$M$25:$M$42),
1),
E59/ROUNDDOWN([1]CRITERIOS!$M$16/_xlfn.XLOOKUP($C59,[1]CRITERIOS!$K$25:$K$42,[1]CRITERIOS!$M$25:$M$42),
1),
$M59)),_xlfn.XLOOKUP(A59,'[1]DATOS PBI Artículos'!A:A,'[1]DATOS PBI Artículos'!Z:Z
)))))</f>
        <v>110000</v>
      </c>
      <c r="Q59" s="38">
        <f>IF(AND(O59="",N59=0),
0,
   IF(COUNTIF([1]CRITERIOS!$F$179:$F$199,$A59)&gt;=1,
   1,
   IF(R59="MTO",
      $D59,
      ROUNDUP(
                    IF(($E59-SUMIF('[1]DATOS PBI Artículos'!A:A,A59,'[1]DATOS PBI Artículos'!X:X)+($V59-_xlfn.XLOOKUP(A59,'[1]DATOS PBI Artículos'!A:A,'[1]DATOS PBI Artículos'!W:W)))&lt;0,
                    0,
                    IF(($E59-SUMIF('[1]DATOS PBI Artículos'!A:A,A59,'[1]DATOS PBI Artículos'!X:X)+$V59-_xlfn.XLOOKUP($A59,'[1]DATOS PBI Artículos'!A:A,'[1]DATOS PBI Artículos'!W:W))/IF($O59="",$N59,$O59)&gt;ROUNDUP([1]CRITERIOS!$M$16/(IF(COUNTIF([1]CRITERIOS!$BG$11:$BG$201,L59)&gt;=1,_xlfn.XLOOKUP($C59,[1]CRITERIOS!$K$25:$K$42,[1]CRITERIOS!$M$25:$M$42),_xlfn.XLOOKUP($C59,[1]CRITERIOS!$K$25:$K$42,[1]CRITERIOS!$M$25:$M$42))),0),
                    ROUNDUP([1]CRITERIOS!$M$16/(IF(COUNTIF([1]CRITERIOS!$BG$11:$BG$201,$L59)&gt;=1,_xlfn.XLOOKUP($C59,[1]CRITERIOS!$K$25:$K$42,[1]CRITERIOS!$M$25:$M$42),_xlfn.XLOOKUP($C59,[1]CRITERIOS!$K$25:$K$42,[1]CRITERIOS!$M$25:$M$42))),0),
                    (E59+V59-SUMIF('[1]DATOS PBI Artículos'!A:A,A59,'[1]DATOS PBI Artículos'!X:X)-_xlfn.XLOOKUP(A59,'[1]DATOS PBI Artículos'!A:A,'[1]DATOS PBI Artículos'!W:W))/IF($O59="",$N59,$O59))),0))))</f>
        <v>3</v>
      </c>
      <c r="R59" s="33" t="str">
        <f>IF(U59&lt;&gt;"",U59,IF(F59="DV","MTO",IF(N59=0,"MTO",_xlfn.XLOOKUP(CONCATENATE(S59,T59),[1]CRITERIOS!$K$160:$K$168,[1]CRITERIOS!$N$160:$N$168))))</f>
        <v>MTS</v>
      </c>
      <c r="S59" s="33" t="str">
        <f>IF(G59="DV","MTO",IF(N59=0,"MTO",IF(OR(AND(N59=0,O59=""),IF(O59="",G59/N59,G59/O59)&gt;[1]CRITERIOS!$G$163),"MTO",IF(IF(O59="",G59/N59,G59/O59)&lt;[1]CRITERIOS!$H$161,"MTS","MTOS"))))</f>
        <v>MTS</v>
      </c>
      <c r="T59" s="33" t="str">
        <f>IF(F59="DV","MTO",IF(OR(AND($N59=0,O59=""),$F59/$J59&gt;[1]CRITERIOS!$G$170,$F59="DV"),"MTO",IF($F59/$J59&lt;[1]CRITERIOS!$H$168,"MTS","MTOS")))</f>
        <v>MTS</v>
      </c>
      <c r="V59" s="34">
        <f t="shared" si="4"/>
        <v>94965.47663673725</v>
      </c>
      <c r="X59" s="34">
        <f t="shared" si="1"/>
        <v>204965.47663673724</v>
      </c>
      <c r="Y59" s="34">
        <f t="shared" si="2"/>
        <v>79146.429017689632</v>
      </c>
      <c r="Z59" s="34">
        <f>IF($R59="MTO",
0,
($H59+$K59*($E59/[1]CRITERIOS!$M$16))/[1]CRITERIOS!$X$48)</f>
        <v>24146.429017689632</v>
      </c>
      <c r="AA59" s="34" t="e">
        <f>ROUNDUP(($Y59/_xlfn.XLOOKUP($A59,'[1]DATOS PBI Artículos'!$A$4:$A$4,'[1]DATOS PBI Artículos'!$Z$4:$Z$4))/_xlfn.XLOOKUP(_xlfn.XLOOKUP($A59,'[1]DATOS PBI Artículos'!$A$4:$A$4,'[1]DATOS PBI Artículos'!$Y$4:$Y$4),[1]CRITERIOS!$P$79:$P$123,[1]CRITERIOS!$S$79:$S$123,),0)</f>
        <v>#N/A</v>
      </c>
      <c r="AB59" s="33" t="e">
        <f t="array" ref="AB59">IF((E59+V59-_xlfn.XLOOKUP(A59,'[1]DATOS PBI Artículos'!$A$4:$A$4,'[1]DATOS PBI Artículos'!$W$4:$W$4))/N59&gt;ROUNDUP([1]CRITERIOS!$M$16/(IF(COUNTIF([1]CRITERIOS!$BG$11:$BG$201,L59)&gt;=1,_xlfn.XLOOKUP(ARTÍCULOS!L59,[1]CRITERIOS!$BG$11:$BG$201,[1]CRITERIOS!$BJ$11:$BJ$201),_xlfn.XLOOKUP(ARTÍCULOS!C59,[1]CRITERIOS!$K$25:$K$42,[1]CRITERIOS!$M$25:$M$42))),0),ROUNDUP([1]CRITERIOS!$M$16/(IF(COUNTIF([1]CRITERIOS!$BG$11:$BG$201,L59)&gt;=1,_xlfn.XLOOKUP(ARTÍCULOS!L59,[1]CRITERIOS!$BG$11:$BG$201:#REF!,[1]CRITERIOS!$BJ$11:$BJ$201),_xlfn.XLOOKUP(ARTÍCULOS!C59,[1]CRITERIOS!$K$25:$K$42,[1]CRITERIOS!$M$25:$M$42))),0),(E59+V59-_xlfn.XLOOKUP(A59,'[1]DATOS PBI Artículos'!$A$4:$A$4,'[1]DATOS PBI Artículos'!$W$4:$W$4))/N59)</f>
        <v>#N/A</v>
      </c>
      <c r="AC59" s="33" t="e">
        <f>IF(N59=0,"",(ROUNDUP((N59/2)/(_xlfn.XLOOKUP(A59,'[1]DATOS PBI Artículos'!$A$4:$A$4,'[1]DATOS PBI Artículos'!$Z$4:$Z$4)*_xlfn.XLOOKUP(_xlfn.XLOOKUP(A59,'[1]DATOS PBI Artículos'!$A$4:$A$4,'[1]DATOS PBI Artículos'!$Y$4:$Y$4),[1]CRITERIOS!$P$79:$P$123,[1]CRITERIOS!$S$79:$S$123)),0)*[1]CRITERIOS!$M$80*([1]CRITERIOS!$M$110/[1]CRITERIOS!$M$86)+(_xlfn.XLOOKUP(A59,'[1]DATOS PBI Artículos'!$A$4:$A$4,'[1]DATOS PBI Artículos'!$AA$4:$AA$4)*([1]CRITERIOS!$M$95+[1]CRITERIOS!$M$98)))/N59)</f>
        <v>#N/A</v>
      </c>
      <c r="AD59" s="33" t="e">
        <f>IF(N59=0,"",(ROUNDUP((N59/2)/(_xlfn.XLOOKUP(A59,'[1]DATOS PBI Artículos'!$A$4:$A$4,'[1]DATOS PBI Artículos'!$Z$4:$Z$4)*_xlfn.XLOOKUP(_xlfn.XLOOKUP(A59,'[1]DATOS PBI Artículos'!$A$4:$A$4,'[1]DATOS PBI Artículos'!$Y$4:$Y$4),[1]CRITERIOS!$P$79:$P$123,[1]CRITERIOS!$S$79:$S$123)),0)*[1]CRITERIOS!$M$80*([1]CRITERIOS!$M$89*[1]CRITERIOS!$M$92)+((_xlfn.XLOOKUP(A59,'[1]DATOS PBI Artículos'!$A$4:$A$4,'[1]DATOS PBI Artículos'!$AA$4:$AA$4)/2)*([1]CRITERIOS!$M$95+[1]CRITERIOS!$M$98)))/N59)</f>
        <v>#N/A</v>
      </c>
      <c r="AE59" s="39">
        <f>IF($R59="MTO","",
IF($H59=0,ROUNDUP(((_xlfn.XLOOKUP($A59,'[1]DATOS PBI Artículos'!$A:$A,'[1]DATOS PBI Artículos'!$AL:$AL))/(_xlfn.XLOOKUP($AF$1,[1]CRITERIOS!$S$16:$S$39,[1]CRITERIOS!$Y$16:$Y$39))*$J59+$Z59)/$G59,0)*$G59,
((_xlfn.XLOOKUP($A59,'[1]DATOS PBI Artículos'!$A:$A,'[1]DATOS PBI Artículos'!$AL:$AL))/(_xlfn.XLOOKUP($AF$1,[1]CRITERIOS!$S$16:$S$39,[1]CRITERIOS!$Y$16:$Y$39))*$J59+$Z59)))</f>
        <v>92948.345767922961</v>
      </c>
      <c r="AG59" s="39">
        <f>IF($R59="MTO","",
IF($H59=0,ROUNDUP(((_xlfn.XLOOKUP($A59,'[1]DATOS PBI Artículos'!$A:$A,'[1]DATOS PBI Artículos'!$AM:$AM))/(_xlfn.XLOOKUP($AH$1,[1]CRITERIOS!$S$16:$S$39,[1]CRITERIOS!$Y$16:$Y$39))*$J59+$Z59)/$G59,0)*$G59,
((_xlfn.XLOOKUP($A59,'[1]DATOS PBI Artículos'!$A:$A,'[1]DATOS PBI Artículos'!$AM:$AM))/(_xlfn.XLOOKUP($AH$1,[1]CRITERIOS!$S$16:$S$39,[1]CRITERIOS!$Y$16:$Y$39))*$J59+$Z59)))</f>
        <v>73568.186512115702</v>
      </c>
      <c r="AI59" s="39">
        <f>IF($R59="MTO","",
IF($H59=0,ROUNDUP(((_xlfn.XLOOKUP($A59,'[1]DATOS PBI Artículos'!$A:$A,'[1]DATOS PBI Artículos'!$AN:$AN))/(_xlfn.XLOOKUP($AJ$1,[1]CRITERIOS!$S$16:$S$39,[1]CRITERIOS!$Y$16:$Y$39))*$J59+$Z59)/$G59,0)*$G59,
((_xlfn.XLOOKUP($A59,'[1]DATOS PBI Artículos'!$A:$A,'[1]DATOS PBI Artículos'!$AN:$AN))/(_xlfn.XLOOKUP($AJ$1,[1]CRITERIOS!$S$16:$S$39,[1]CRITERIOS!$Y$16:$Y$39))*$J59+$Z59)))</f>
        <v>83341.298793159629</v>
      </c>
      <c r="AK59" s="39">
        <f>IF($R59="MTO","",
IF($H59=0,ROUNDUP(((_xlfn.XLOOKUP($A59,'[1]DATOS PBI Artículos'!$A:$A,'[1]DATOS PBI Artículos'!$AO:$AO))/(_xlfn.XLOOKUP($AL$1,[1]CRITERIOS!$S$16:$S$39,[1]CRITERIOS!$Y$16:$Y$39))*$J59+$Z59)/$G59,0)*$G59,
((_xlfn.XLOOKUP($A59,'[1]DATOS PBI Artículos'!$A:$A,'[1]DATOS PBI Artículos'!$AO:$AO))/(_xlfn.XLOOKUP($AL$1,[1]CRITERIOS!$S$16:$S$39,[1]CRITERIOS!$Y$16:$Y$39))*$J59+$Z59)))</f>
        <v>88615.549061589641</v>
      </c>
    </row>
    <row r="60" spans="1:37" ht="25.8" x14ac:dyDescent="0.5">
      <c r="A60" s="32">
        <v>450829</v>
      </c>
      <c r="B60" s="33">
        <f>_xlfn.XLOOKUP($A60,'[1]DATOS PBI Artículos'!A:A,'[1]DATOS PBI Artículos'!B:B)</f>
        <v>0</v>
      </c>
      <c r="C60" s="33" t="str">
        <f>_xlfn.XLOOKUP($A60,'[1]DATOS PBI Artículos'!A:A,'[1]DATOS PBI Artículos'!C:C)</f>
        <v>UA01</v>
      </c>
      <c r="D60" s="33">
        <f>_xlfn.XLOOKUP(A60,'[1]DATOS PBI Artículos'!A:A,'[1]DATOS PBI Artículos'!T:T)</f>
        <v>37</v>
      </c>
      <c r="E60" s="34">
        <f>IF(_xlfn.XLOOKUP($A60,'[1]DATOS PBI Artículos'!A:A,'[1]DATOS PBI Artículos'!AK:AK)="",_xlfn.XLOOKUP($A60,'[1]DATOS PBI Artículos'!A:A,'[1]DATOS PBI Artículos'!AJ:AJ),_xlfn.XLOOKUP($A60,'[1]DATOS PBI Artículos'!A:A,'[1]DATOS PBI Artículos'!AK:AK))</f>
        <v>232500</v>
      </c>
      <c r="F60" s="35">
        <f>_xlfn.XLOOKUP($A60,'[1]DATOS PBI Artículos'!A:A,'[1]DATOS PBI Artículos'!AP:AP)</f>
        <v>2.1142857142799998</v>
      </c>
      <c r="G60" s="34">
        <f>_xlfn.XLOOKUP($A60,'[1]DATOS PBI Artículos'!A:A,'[1]DATOS PBI Artículos'!AR:AR)</f>
        <v>6750</v>
      </c>
      <c r="H60" s="34">
        <f>_xlfn.XLOOKUP($A60,'[1]DATOS PBI Artículos'!A:A,'[1]DATOS PBI Artículos'!AT:AT)</f>
        <v>5968.5186006005115</v>
      </c>
      <c r="I60" s="34">
        <f>_xlfn.XLOOKUP($A60,'[1]DATOS PBI Artículos'!A:A,'[1]DATOS PBI Artículos'!AS:AS)</f>
        <v>750</v>
      </c>
      <c r="J60" s="35">
        <f>IF(COUNTIF([1]CRITERIOS!$F$179:$F$199,$A60)&gt;=1,
 IF(O60&lt;&gt;"",
    (O60/_xlfn.XLOOKUP(CONCATENATE(A60,L60),[1]MÁQUINAS!A:A,[1]MÁQUINAS!D:D))/24,
    (N60/_xlfn.XLOOKUP(CONCATENATE(A60,L60),[1]MÁQUINAS!A:A,[1]MÁQUINAS!D:D))/24),
  _xlfn.XLOOKUP($A60,'[1]DATOS PBI Artículos'!A:A,'[1]DATOS PBI Artículos'!AU:AU))</f>
        <v>8.125</v>
      </c>
      <c r="K60" s="36">
        <f>_xlfn.XLOOKUP($A60,'[1]DATOS PBI Artículos'!A:A,'[1]DATOS PBI Artículos'!AV:AV)</f>
        <v>7.4799103399201741</v>
      </c>
      <c r="L60" s="33">
        <f>_xlfn.XLOOKUP(A60,[1]MÁQUINAS!B:B,[1]MÁQUINAS!C:C)</f>
        <v>455</v>
      </c>
      <c r="M60" s="34">
        <f t="array" ref="M60">_xlfn.XLOOKUP(A60,'[1]DATOS PBI Artículos'!A:A,'[1]DATOS PBI Artículos'!AX:$AX)</f>
        <v>97443.78649745544</v>
      </c>
      <c r="N60" s="37">
        <f>IF(I60="DV",
E60,
IF(COUNTIF([1]CRITERIOS!$I$179:$I$199,$A60)&gt;=1,
_xlfn.XLOOKUP($A60,[1]CRITERIOS!$I$179:$I$199,[1]CRITERIOS!$J$179:$J$199),
IF(COUNTIF([1]CRITERIOS!$L$179:$L$199,$A60)&gt;=1,
_xlfn.CEILING.MATH(IF($M60&gt;$E60,
$E60,
IF($M60&lt;$E60/ROUNDDOWN([1]CRITERIOS!$M$16/_xlfn.XLOOKUP($C60,[1]CRITERIOS!$K$25:$K$42,[1]CRITERIOS!$M$25:$M$42),
1),
E60/ROUNDDOWN([1]CRITERIOS!$M$16/_xlfn.XLOOKUP($C60,[1]CRITERIOS!$K$25:$K$42,[1]CRITERIOS!$M$25:$M$42),
1),
$M60)),
_xlfn.XLOOKUP($A60,[1]CRITERIOS!$L$179:$L$200,[1]CRITERIOS!$M$179:$M$200)),
_xlfn.CEILING.MATH(IF($M60&gt;$E60,
$E60,
IF($M60&lt;$E60/ROUNDDOWN([1]CRITERIOS!$M$16/_xlfn.XLOOKUP($C60,[1]CRITERIOS!$K$25:$K$42,[1]CRITERIOS!$M$25:$M$42),
1),
E60/ROUNDDOWN([1]CRITERIOS!$M$16/_xlfn.XLOOKUP($C60,[1]CRITERIOS!$K$25:$K$42,[1]CRITERIOS!$M$25:$M$42),
1),
$M60)),_xlfn.XLOOKUP(A60,'[1]DATOS PBI Artículos'!A:A,'[1]DATOS PBI Artículos'!Z:Z
)))))</f>
        <v>97500</v>
      </c>
      <c r="Q60" s="38">
        <f>IF(AND(O60="",N60=0),
0,
   IF(COUNTIF([1]CRITERIOS!$F$179:$F$199,$A60)&gt;=1,
   1,
   IF(R60="MTO",
      $D60,
      ROUNDUP(
                    IF(($E60-SUMIF('[1]DATOS PBI Artículos'!A:A,A60,'[1]DATOS PBI Artículos'!X:X)+($V60-_xlfn.XLOOKUP(A60,'[1]DATOS PBI Artículos'!A:A,'[1]DATOS PBI Artículos'!W:W)))&lt;0,
                    0,
                    IF(($E60-SUMIF('[1]DATOS PBI Artículos'!A:A,A60,'[1]DATOS PBI Artículos'!X:X)+$V60-_xlfn.XLOOKUP($A60,'[1]DATOS PBI Artículos'!A:A,'[1]DATOS PBI Artículos'!W:W))/IF($O60="",$N60,$O60)&gt;ROUNDUP([1]CRITERIOS!$M$16/(IF(COUNTIF([1]CRITERIOS!$BG$11:$BG$201,L60)&gt;=1,_xlfn.XLOOKUP($C60,[1]CRITERIOS!$K$25:$K$42,[1]CRITERIOS!$M$25:$M$42),_xlfn.XLOOKUP($C60,[1]CRITERIOS!$K$25:$K$42,[1]CRITERIOS!$M$25:$M$42))),0),
                    ROUNDUP([1]CRITERIOS!$M$16/(IF(COUNTIF([1]CRITERIOS!$BG$11:$BG$201,$L60)&gt;=1,_xlfn.XLOOKUP($C60,[1]CRITERIOS!$K$25:$K$42,[1]CRITERIOS!$M$25:$M$42),_xlfn.XLOOKUP($C60,[1]CRITERIOS!$K$25:$K$42,[1]CRITERIOS!$M$25:$M$42))),0),
                    (E60+V60-SUMIF('[1]DATOS PBI Artículos'!A:A,A60,'[1]DATOS PBI Artículos'!X:X)-_xlfn.XLOOKUP(A60,'[1]DATOS PBI Artículos'!A:A,'[1]DATOS PBI Artículos'!W:W))/IF($O60="",$N60,$O60))),0))))</f>
        <v>1</v>
      </c>
      <c r="R60" s="33" t="str">
        <f>IF(U60&lt;&gt;"",U60,IF(F60="DV","MTO",IF(N60=0,"MTO",_xlfn.XLOOKUP(CONCATENATE(S60,T60),[1]CRITERIOS!$K$160:$K$168,[1]CRITERIOS!$N$160:$N$168))))</f>
        <v>MTS</v>
      </c>
      <c r="S60" s="33" t="str">
        <f>IF(G60="DV","MTO",IF(N60=0,"MTO",IF(OR(AND(N60=0,O60=""),IF(O60="",G60/N60,G60/O60)&gt;[1]CRITERIOS!$G$163),"MTO",IF(IF(O60="",G60/N60,G60/O60)&lt;[1]CRITERIOS!$H$161,"MTS","MTOS"))))</f>
        <v>MTS</v>
      </c>
      <c r="T60" s="33" t="str">
        <f>IF(F60="DV","MTO",IF(OR(AND($N60=0,O60=""),$F60/$J60&gt;[1]CRITERIOS!$G$170,$F60="DV"),"MTO",IF($F60/$J60&lt;[1]CRITERIOS!$H$168,"MTS","MTOS")))</f>
        <v>MTS</v>
      </c>
      <c r="V60" s="34">
        <f t="shared" si="4"/>
        <v>50236.478698517472</v>
      </c>
      <c r="X60" s="34">
        <f t="shared" si="1"/>
        <v>147736.47869851749</v>
      </c>
      <c r="Y60" s="34">
        <f t="shared" si="2"/>
        <v>73046.867211960882</v>
      </c>
      <c r="Z60" s="34">
        <f>IF($R60="MTO",
0,
($H60+$K60*($E60/[1]CRITERIOS!$M$16))/[1]CRITERIOS!$X$48)</f>
        <v>24296.867211960878</v>
      </c>
      <c r="AA60" s="34" t="e">
        <f>ROUNDUP(($Y60/_xlfn.XLOOKUP($A60,'[1]DATOS PBI Artículos'!$A$4:$A$4,'[1]DATOS PBI Artículos'!$Z$4:$Z$4))/_xlfn.XLOOKUP(_xlfn.XLOOKUP($A60,'[1]DATOS PBI Artículos'!$A$4:$A$4,'[1]DATOS PBI Artículos'!$Y$4:$Y$4),[1]CRITERIOS!$P$79:$P$123,[1]CRITERIOS!$S$79:$S$123,),0)</f>
        <v>#N/A</v>
      </c>
      <c r="AB60" s="33" t="e">
        <f t="array" ref="AB60">IF((E60+V60-_xlfn.XLOOKUP(A60,'[1]DATOS PBI Artículos'!$A$4:$A$4,'[1]DATOS PBI Artículos'!$W$4:$W$4))/N60&gt;ROUNDUP([1]CRITERIOS!$M$16/(IF(COUNTIF([1]CRITERIOS!$BG$11:$BG$201,L60)&gt;=1,_xlfn.XLOOKUP(ARTÍCULOS!L60,[1]CRITERIOS!$BG$11:$BG$201,[1]CRITERIOS!$BJ$11:$BJ$201),_xlfn.XLOOKUP(ARTÍCULOS!C60,[1]CRITERIOS!$K$25:$K$42,[1]CRITERIOS!$M$25:$M$42))),0),ROUNDUP([1]CRITERIOS!$M$16/(IF(COUNTIF([1]CRITERIOS!$BG$11:$BG$201,L60)&gt;=1,_xlfn.XLOOKUP(ARTÍCULOS!L60,[1]CRITERIOS!$BG$11:$BG$201:#REF!,[1]CRITERIOS!$BJ$11:$BJ$201),_xlfn.XLOOKUP(ARTÍCULOS!C60,[1]CRITERIOS!$K$25:$K$42,[1]CRITERIOS!$M$25:$M$42))),0),(E60+V60-_xlfn.XLOOKUP(A60,'[1]DATOS PBI Artículos'!$A$4:$A$4,'[1]DATOS PBI Artículos'!$W$4:$W$4))/N60)</f>
        <v>#N/A</v>
      </c>
      <c r="AC60" s="33" t="e">
        <f>IF(N60=0,"",(ROUNDUP((N60/2)/(_xlfn.XLOOKUP(A60,'[1]DATOS PBI Artículos'!$A$4:$A$4,'[1]DATOS PBI Artículos'!$Z$4:$Z$4)*_xlfn.XLOOKUP(_xlfn.XLOOKUP(A60,'[1]DATOS PBI Artículos'!$A$4:$A$4,'[1]DATOS PBI Artículos'!$Y$4:$Y$4),[1]CRITERIOS!$P$79:$P$123,[1]CRITERIOS!$S$79:$S$123)),0)*[1]CRITERIOS!$M$80*([1]CRITERIOS!$M$110/[1]CRITERIOS!$M$86)+(_xlfn.XLOOKUP(A60,'[1]DATOS PBI Artículos'!$A$4:$A$4,'[1]DATOS PBI Artículos'!$AA$4:$AA$4)*([1]CRITERIOS!$M$95+[1]CRITERIOS!$M$98)))/N60)</f>
        <v>#N/A</v>
      </c>
      <c r="AD60" s="33" t="e">
        <f>IF(N60=0,"",(ROUNDUP((N60/2)/(_xlfn.XLOOKUP(A60,'[1]DATOS PBI Artículos'!$A$4:$A$4,'[1]DATOS PBI Artículos'!$Z$4:$Z$4)*_xlfn.XLOOKUP(_xlfn.XLOOKUP(A60,'[1]DATOS PBI Artículos'!$A$4:$A$4,'[1]DATOS PBI Artículos'!$Y$4:$Y$4),[1]CRITERIOS!$P$79:$P$123,[1]CRITERIOS!$S$79:$S$123)),0)*[1]CRITERIOS!$M$80*([1]CRITERIOS!$M$89*[1]CRITERIOS!$M$92)+((_xlfn.XLOOKUP(A60,'[1]DATOS PBI Artículos'!$A$4:$A$4,'[1]DATOS PBI Artículos'!$AA$4:$AA$4)/2)*([1]CRITERIOS!$M$95+[1]CRITERIOS!$M$98)))/N60)</f>
        <v>#N/A</v>
      </c>
      <c r="AE60" s="39">
        <f>IF($R60="MTO","",
IF($H60=0,ROUNDUP(((_xlfn.XLOOKUP($A60,'[1]DATOS PBI Artículos'!$A:$A,'[1]DATOS PBI Artículos'!$AL:$AL))/(_xlfn.XLOOKUP($AF$1,[1]CRITERIOS!$S$16:$S$39,[1]CRITERIOS!$Y$16:$Y$39))*$J60+$Z60)/$G60,0)*$G60,
((_xlfn.XLOOKUP($A60,'[1]DATOS PBI Artículos'!$A:$A,'[1]DATOS PBI Artículos'!$AL:$AL))/(_xlfn.XLOOKUP($AF$1,[1]CRITERIOS!$S$16:$S$39,[1]CRITERIOS!$Y$16:$Y$39))*$J60+$Z60)))</f>
        <v>53427.923528302024</v>
      </c>
      <c r="AG60" s="39">
        <f>IF($R60="MTO","",
IF($H60=0,ROUNDUP(((_xlfn.XLOOKUP($A60,'[1]DATOS PBI Artículos'!$A:$A,'[1]DATOS PBI Artículos'!$AM:$AM))/(_xlfn.XLOOKUP($AH$1,[1]CRITERIOS!$S$16:$S$39,[1]CRITERIOS!$Y$16:$Y$39))*$J60+$Z60)/$G60,0)*$G60,
((_xlfn.XLOOKUP($A60,'[1]DATOS PBI Artículos'!$A:$A,'[1]DATOS PBI Artículos'!$AM:$AM))/(_xlfn.XLOOKUP($AH$1,[1]CRITERIOS!$S$16:$S$39,[1]CRITERIOS!$Y$16:$Y$39))*$J60+$Z60)))</f>
        <v>45222.272619620526</v>
      </c>
      <c r="AI60" s="39">
        <f>IF($R60="MTO","",
IF($H60=0,ROUNDUP(((_xlfn.XLOOKUP($A60,'[1]DATOS PBI Artículos'!$A:$A,'[1]DATOS PBI Artículos'!$AN:$AN))/(_xlfn.XLOOKUP($AJ$1,[1]CRITERIOS!$S$16:$S$39,[1]CRITERIOS!$Y$16:$Y$39))*$J60+$Z60)/$G60,0)*$G60,
((_xlfn.XLOOKUP($A60,'[1]DATOS PBI Artículos'!$A:$A,'[1]DATOS PBI Artículos'!$AN:$AN))/(_xlfn.XLOOKUP($AJ$1,[1]CRITERIOS!$S$16:$S$39,[1]CRITERIOS!$Y$16:$Y$39))*$J60+$Z60)))</f>
        <v>49360.254491238222</v>
      </c>
      <c r="AK60" s="39">
        <f>IF($R60="MTO","",
IF($H60=0,ROUNDUP(((_xlfn.XLOOKUP($A60,'[1]DATOS PBI Artículos'!$A:$A,'[1]DATOS PBI Artículos'!$AO:$AO))/(_xlfn.XLOOKUP($AL$1,[1]CRITERIOS!$S$16:$S$39,[1]CRITERIOS!$Y$16:$Y$39))*$J60+$Z60)/$G60,0)*$G60,
((_xlfn.XLOOKUP($A60,'[1]DATOS PBI Artículos'!$A:$A,'[1]DATOS PBI Artículos'!$AO:$AO))/(_xlfn.XLOOKUP($AL$1,[1]CRITERIOS!$S$16:$S$39,[1]CRITERIOS!$Y$16:$Y$39))*$J60+$Z60)))</f>
        <v>51593.396950828064</v>
      </c>
    </row>
    <row r="61" spans="1:37" ht="25.8" x14ac:dyDescent="0.5">
      <c r="A61" s="32">
        <v>452551</v>
      </c>
      <c r="B61" s="33">
        <f>_xlfn.XLOOKUP($A61,'[1]DATOS PBI Artículos'!A:A,'[1]DATOS PBI Artículos'!B:B)</f>
        <v>0</v>
      </c>
      <c r="C61" s="33" t="str">
        <f>_xlfn.XLOOKUP($A61,'[1]DATOS PBI Artículos'!A:A,'[1]DATOS PBI Artículos'!C:C)</f>
        <v>UA02</v>
      </c>
      <c r="D61" s="33">
        <f>_xlfn.XLOOKUP(A61,'[1]DATOS PBI Artículos'!A:A,'[1]DATOS PBI Artículos'!T:T)</f>
        <v>4</v>
      </c>
      <c r="E61" s="34">
        <f>IF(_xlfn.XLOOKUP($A61,'[1]DATOS PBI Artículos'!A:A,'[1]DATOS PBI Artículos'!AK:AK)="",_xlfn.XLOOKUP($A61,'[1]DATOS PBI Artículos'!A:A,'[1]DATOS PBI Artículos'!AJ:AJ),_xlfn.XLOOKUP($A61,'[1]DATOS PBI Artículos'!A:A,'[1]DATOS PBI Artículos'!AK:AK))</f>
        <v>225000</v>
      </c>
      <c r="F61" s="35">
        <f>_xlfn.XLOOKUP($A61,'[1]DATOS PBI Artículos'!A:A,'[1]DATOS PBI Artículos'!AP:AP)</f>
        <v>10</v>
      </c>
      <c r="G61" s="34">
        <f>_xlfn.XLOOKUP($A61,'[1]DATOS PBI Artículos'!A:A,'[1]DATOS PBI Artículos'!AR:AR)</f>
        <v>25000</v>
      </c>
      <c r="H61" s="34">
        <f>_xlfn.XLOOKUP($A61,'[1]DATOS PBI Artículos'!A:A,'[1]DATOS PBI Artículos'!AT:AT)</f>
        <v>0</v>
      </c>
      <c r="I61" s="34">
        <f>_xlfn.XLOOKUP($A61,'[1]DATOS PBI Artículos'!A:A,'[1]DATOS PBI Artículos'!AS:AS)</f>
        <v>25000</v>
      </c>
      <c r="J61" s="35">
        <f>IF(COUNTIF([1]CRITERIOS!$F$179:$F$199,$A61)&gt;=1,
 IF(O61&lt;&gt;"",
    (O61/_xlfn.XLOOKUP(CONCATENATE(A61,L61),[1]MÁQUINAS!A:A,[1]MÁQUINAS!D:D))/24,
    (N61/_xlfn.XLOOKUP(CONCATENATE(A61,L61),[1]MÁQUINAS!A:A,[1]MÁQUINAS!D:D))/24),
  _xlfn.XLOOKUP($A61,'[1]DATOS PBI Artículos'!A:A,'[1]DATOS PBI Artículos'!AU:AU))</f>
        <v>19.23076923076923</v>
      </c>
      <c r="K61" s="36">
        <f>_xlfn.XLOOKUP($A61,'[1]DATOS PBI Artículos'!A:A,'[1]DATOS PBI Artículos'!AV:AV)</f>
        <v>5.3875449905908939</v>
      </c>
      <c r="L61" s="33">
        <f>_xlfn.XLOOKUP(A61,[1]MÁQUINAS!B:B,[1]MÁQUINAS!C:C)</f>
        <v>215</v>
      </c>
      <c r="M61" s="34">
        <f t="array" ref="M61">_xlfn.XLOOKUP(A61,'[1]DATOS PBI Artículos'!A:A,'[1]DATOS PBI Artículos'!AX:$AX)</f>
        <v>88918.294171828587</v>
      </c>
      <c r="N61" s="37">
        <f>IF(I61="DV",
E61,
IF(COUNTIF([1]CRITERIOS!$I$179:$I$199,$A61)&gt;=1,
_xlfn.XLOOKUP($A61,[1]CRITERIOS!$I$179:$I$199,[1]CRITERIOS!$J$179:$J$199),
IF(COUNTIF([1]CRITERIOS!$L$179:$L$199,$A61)&gt;=1,
_xlfn.CEILING.MATH(IF($M61&gt;$E61,
$E61,
IF($M61&lt;$E61/ROUNDDOWN([1]CRITERIOS!$M$16/_xlfn.XLOOKUP($C61,[1]CRITERIOS!$K$25:$K$42,[1]CRITERIOS!$M$25:$M$42),
1),
E61/ROUNDDOWN([1]CRITERIOS!$M$16/_xlfn.XLOOKUP($C61,[1]CRITERIOS!$K$25:$K$42,[1]CRITERIOS!$M$25:$M$42),
1),
$M61)),
_xlfn.XLOOKUP($A61,[1]CRITERIOS!$L$179:$L$200,[1]CRITERIOS!$M$179:$M$200)),
_xlfn.CEILING.MATH(IF($M61&gt;$E61,
$E61,
IF($M61&lt;$E61/ROUNDDOWN([1]CRITERIOS!$M$16/_xlfn.XLOOKUP($C61,[1]CRITERIOS!$K$25:$K$42,[1]CRITERIOS!$M$25:$M$42),
1),
E61/ROUNDDOWN([1]CRITERIOS!$M$16/_xlfn.XLOOKUP($C61,[1]CRITERIOS!$K$25:$K$42,[1]CRITERIOS!$M$25:$M$42),
1),
$M61)),_xlfn.XLOOKUP(A61,'[1]DATOS PBI Artículos'!A:A,'[1]DATOS PBI Artículos'!Z:Z
)))))</f>
        <v>100000</v>
      </c>
      <c r="Q61" s="38">
        <f>IF(AND(O61="",N61=0),
0,
   IF(COUNTIF([1]CRITERIOS!$F$179:$F$199,$A61)&gt;=1,
   1,
   IF(R61="MTO",
      $D61,
      ROUNDUP(
                    IF(($E61-SUMIF('[1]DATOS PBI Artículos'!A:A,A61,'[1]DATOS PBI Artículos'!X:X)+($V61-_xlfn.XLOOKUP(A61,'[1]DATOS PBI Artículos'!A:A,'[1]DATOS PBI Artículos'!W:W)))&lt;0,
                    0,
                    IF(($E61-SUMIF('[1]DATOS PBI Artículos'!A:A,A61,'[1]DATOS PBI Artículos'!X:X)+$V61-_xlfn.XLOOKUP($A61,'[1]DATOS PBI Artículos'!A:A,'[1]DATOS PBI Artículos'!W:W))/IF($O61="",$N61,$O61)&gt;ROUNDUP([1]CRITERIOS!$M$16/(IF(COUNTIF([1]CRITERIOS!$BG$11:$BG$201,L61)&gt;=1,_xlfn.XLOOKUP($C61,[1]CRITERIOS!$K$25:$K$42,[1]CRITERIOS!$M$25:$M$42),_xlfn.XLOOKUP($C61,[1]CRITERIOS!$K$25:$K$42,[1]CRITERIOS!$M$25:$M$42))),0),
                    ROUNDUP([1]CRITERIOS!$M$16/(IF(COUNTIF([1]CRITERIOS!$BG$11:$BG$201,$L61)&gt;=1,_xlfn.XLOOKUP($C61,[1]CRITERIOS!$K$25:$K$42,[1]CRITERIOS!$M$25:$M$42),_xlfn.XLOOKUP($C61,[1]CRITERIOS!$K$25:$K$42,[1]CRITERIOS!$M$25:$M$42))),0),
                    (E61+V61-SUMIF('[1]DATOS PBI Artículos'!A:A,A61,'[1]DATOS PBI Artículos'!X:X)-_xlfn.XLOOKUP(A61,'[1]DATOS PBI Artículos'!A:A,'[1]DATOS PBI Artículos'!W:W))/IF($O61="",$N61,$O61))),0))))</f>
        <v>3</v>
      </c>
      <c r="R61" s="33" t="str">
        <f>IF(U61&lt;&gt;"",U61,IF(F61="DV","MTO",IF(N61=0,"MTO",_xlfn.XLOOKUP(CONCATENATE(S61,T61),[1]CRITERIOS!$K$160:$K$168,[1]CRITERIOS!$N$160:$N$168))))</f>
        <v>MTS</v>
      </c>
      <c r="S61" s="33" t="str">
        <f>IF(G61="DV","MTO",IF(N61=0,"MTO",IF(OR(AND(N61=0,O61=""),IF(O61="",G61/N61,G61/O61)&gt;[1]CRITERIOS!$G$163),"MTO",IF(IF(O61="",G61/N61,G61/O61)&lt;[1]CRITERIOS!$H$161,"MTS","MTOS"))))</f>
        <v>MTS</v>
      </c>
      <c r="T61" s="33" t="str">
        <f>IF(F61="DV","MTO",IF(OR(AND($N61=0,O61=""),$F61/$J61&gt;[1]CRITERIOS!$G$170,$F61="DV"),"MTO",IF($F61/$J61&lt;[1]CRITERIOS!$H$168,"MTS","MTOS")))</f>
        <v>MTS</v>
      </c>
      <c r="V61" s="34">
        <f t="shared" si="4"/>
        <v>61545.785553400303</v>
      </c>
      <c r="X61" s="34">
        <f t="shared" si="1"/>
        <v>161545.78555340029</v>
      </c>
      <c r="Y61" s="34">
        <f t="shared" si="2"/>
        <v>63468.862476477232</v>
      </c>
      <c r="Z61" s="34">
        <f>IF($R61="MTO",
0,
($H61+$K61*($E61/[1]CRITERIOS!$M$16))/[1]CRITERIOS!$X$48)</f>
        <v>13468.862476477234</v>
      </c>
      <c r="AA61" s="34" t="e">
        <f>ROUNDUP(($Y61/_xlfn.XLOOKUP($A61,'[1]DATOS PBI Artículos'!$A$4:$A$4,'[1]DATOS PBI Artículos'!$Z$4:$Z$4))/_xlfn.XLOOKUP(_xlfn.XLOOKUP($A61,'[1]DATOS PBI Artículos'!$A$4:$A$4,'[1]DATOS PBI Artículos'!$Y$4:$Y$4),[1]CRITERIOS!$P$79:$P$123,[1]CRITERIOS!$S$79:$S$123,),0)</f>
        <v>#N/A</v>
      </c>
      <c r="AB61" s="33" t="e">
        <f t="array" ref="AB61">IF((E61+V61-_xlfn.XLOOKUP(A61,'[1]DATOS PBI Artículos'!$A$4:$A$4,'[1]DATOS PBI Artículos'!$W$4:$W$4))/N61&gt;ROUNDUP([1]CRITERIOS!$M$16/(IF(COUNTIF([1]CRITERIOS!$BG$11:$BG$201,L61)&gt;=1,_xlfn.XLOOKUP(ARTÍCULOS!L61,[1]CRITERIOS!$BG$11:$BG$201,[1]CRITERIOS!$BJ$11:$BJ$201),_xlfn.XLOOKUP(ARTÍCULOS!C61,[1]CRITERIOS!$K$25:$K$42,[1]CRITERIOS!$M$25:$M$42))),0),ROUNDUP([1]CRITERIOS!$M$16/(IF(COUNTIF([1]CRITERIOS!$BG$11:$BG$201,L61)&gt;=1,_xlfn.XLOOKUP(ARTÍCULOS!L61,[1]CRITERIOS!$BG$11:$BG$201:#REF!,[1]CRITERIOS!$BJ$11:$BJ$201),_xlfn.XLOOKUP(ARTÍCULOS!C61,[1]CRITERIOS!$K$25:$K$42,[1]CRITERIOS!$M$25:$M$42))),0),(E61+V61-_xlfn.XLOOKUP(A61,'[1]DATOS PBI Artículos'!$A$4:$A$4,'[1]DATOS PBI Artículos'!$W$4:$W$4))/N61)</f>
        <v>#N/A</v>
      </c>
      <c r="AC61" s="33" t="e">
        <f>IF(N61=0,"",(ROUNDUP((N61/2)/(_xlfn.XLOOKUP(A61,'[1]DATOS PBI Artículos'!$A$4:$A$4,'[1]DATOS PBI Artículos'!$Z$4:$Z$4)*_xlfn.XLOOKUP(_xlfn.XLOOKUP(A61,'[1]DATOS PBI Artículos'!$A$4:$A$4,'[1]DATOS PBI Artículos'!$Y$4:$Y$4),[1]CRITERIOS!$P$79:$P$123,[1]CRITERIOS!$S$79:$S$123)),0)*[1]CRITERIOS!$M$80*([1]CRITERIOS!$M$110/[1]CRITERIOS!$M$86)+(_xlfn.XLOOKUP(A61,'[1]DATOS PBI Artículos'!$A$4:$A$4,'[1]DATOS PBI Artículos'!$AA$4:$AA$4)*([1]CRITERIOS!$M$95+[1]CRITERIOS!$M$98)))/N61)</f>
        <v>#N/A</v>
      </c>
      <c r="AD61" s="33" t="e">
        <f>IF(N61=0,"",(ROUNDUP((N61/2)/(_xlfn.XLOOKUP(A61,'[1]DATOS PBI Artículos'!$A$4:$A$4,'[1]DATOS PBI Artículos'!$Z$4:$Z$4)*_xlfn.XLOOKUP(_xlfn.XLOOKUP(A61,'[1]DATOS PBI Artículos'!$A$4:$A$4,'[1]DATOS PBI Artículos'!$Y$4:$Y$4),[1]CRITERIOS!$P$79:$P$123,[1]CRITERIOS!$S$79:$S$123)),0)*[1]CRITERIOS!$M$80*([1]CRITERIOS!$M$89*[1]CRITERIOS!$M$92)+((_xlfn.XLOOKUP(A61,'[1]DATOS PBI Artículos'!$A$4:$A$4,'[1]DATOS PBI Artículos'!$AA$4:$AA$4)/2)*([1]CRITERIOS!$M$95+[1]CRITERIOS!$M$98)))/N61)</f>
        <v>#N/A</v>
      </c>
      <c r="AE61" s="39">
        <f>IF($R61="MTO","",
IF($H61=0,ROUNDUP(((_xlfn.XLOOKUP($A61,'[1]DATOS PBI Artículos'!$A:$A,'[1]DATOS PBI Artículos'!$AL:$AL))/(_xlfn.XLOOKUP($AF$1,[1]CRITERIOS!$S$16:$S$39,[1]CRITERIOS!$Y$16:$Y$39))*$J61+$Z61)/$G61,0)*$G61,
((_xlfn.XLOOKUP($A61,'[1]DATOS PBI Artículos'!$A:$A,'[1]DATOS PBI Artículos'!$AL:$AL))/(_xlfn.XLOOKUP($AF$1,[1]CRITERIOS!$S$16:$S$39,[1]CRITERIOS!$Y$16:$Y$39))*$J61+$Z61)))</f>
        <v>100000</v>
      </c>
      <c r="AG61" s="39">
        <f>IF($R61="MTO","",
IF($H61=0,ROUNDUP(((_xlfn.XLOOKUP($A61,'[1]DATOS PBI Artículos'!$A:$A,'[1]DATOS PBI Artículos'!$AM:$AM))/(_xlfn.XLOOKUP($AH$1,[1]CRITERIOS!$S$16:$S$39,[1]CRITERIOS!$Y$16:$Y$39))*$J61+$Z61)/$G61,0)*$G61,
((_xlfn.XLOOKUP($A61,'[1]DATOS PBI Artículos'!$A:$A,'[1]DATOS PBI Artículos'!$AM:$AM))/(_xlfn.XLOOKUP($AH$1,[1]CRITERIOS!$S$16:$S$39,[1]CRITERIOS!$Y$16:$Y$39))*$J61+$Z61)))</f>
        <v>75000</v>
      </c>
      <c r="AI61" s="39">
        <f>IF($R61="MTO","",
IF($H61=0,ROUNDUP(((_xlfn.XLOOKUP($A61,'[1]DATOS PBI Artículos'!$A:$A,'[1]DATOS PBI Artículos'!$AN:$AN))/(_xlfn.XLOOKUP($AJ$1,[1]CRITERIOS!$S$16:$S$39,[1]CRITERIOS!$Y$16:$Y$39))*$J61+$Z61)/$G61,0)*$G61,
((_xlfn.XLOOKUP($A61,'[1]DATOS PBI Artículos'!$A:$A,'[1]DATOS PBI Artículos'!$AN:$AN))/(_xlfn.XLOOKUP($AJ$1,[1]CRITERIOS!$S$16:$S$39,[1]CRITERIOS!$Y$16:$Y$39))*$J61+$Z61)))</f>
        <v>75000</v>
      </c>
      <c r="AK61" s="39">
        <f>IF($R61="MTO","",
IF($H61=0,ROUNDUP(((_xlfn.XLOOKUP($A61,'[1]DATOS PBI Artículos'!$A:$A,'[1]DATOS PBI Artículos'!$AO:$AO))/(_xlfn.XLOOKUP($AL$1,[1]CRITERIOS!$S$16:$S$39,[1]CRITERIOS!$Y$16:$Y$39))*$J61+$Z61)/$G61,0)*$G61,
((_xlfn.XLOOKUP($A61,'[1]DATOS PBI Artículos'!$A:$A,'[1]DATOS PBI Artículos'!$AO:$AO))/(_xlfn.XLOOKUP($AL$1,[1]CRITERIOS!$S$16:$S$39,[1]CRITERIOS!$Y$16:$Y$39))*$J61+$Z61)))</f>
        <v>100000</v>
      </c>
    </row>
    <row r="62" spans="1:37" ht="25.8" x14ac:dyDescent="0.5">
      <c r="A62" s="32" t="s">
        <v>57</v>
      </c>
      <c r="B62" s="33">
        <f>_xlfn.XLOOKUP($A62,'[1]DATOS PBI Artículos'!A:A,'[1]DATOS PBI Artículos'!B:B)</f>
        <v>0</v>
      </c>
      <c r="C62" s="33" t="str">
        <f>_xlfn.XLOOKUP($A62,'[1]DATOS PBI Artículos'!A:A,'[1]DATOS PBI Artículos'!C:C)</f>
        <v>UA03</v>
      </c>
      <c r="D62" s="33">
        <f>_xlfn.XLOOKUP(A62,'[1]DATOS PBI Artículos'!A:A,'[1]DATOS PBI Artículos'!T:T)</f>
        <v>7</v>
      </c>
      <c r="E62" s="34">
        <f>IF(_xlfn.XLOOKUP($A62,'[1]DATOS PBI Artículos'!A:A,'[1]DATOS PBI Artículos'!AK:AK)="",_xlfn.XLOOKUP($A62,'[1]DATOS PBI Artículos'!A:A,'[1]DATOS PBI Artículos'!AJ:AJ),_xlfn.XLOOKUP($A62,'[1]DATOS PBI Artículos'!A:A,'[1]DATOS PBI Artículos'!AK:AK))</f>
        <v>220500</v>
      </c>
      <c r="F62" s="35">
        <f>_xlfn.XLOOKUP($A62,'[1]DATOS PBI Artículos'!A:A,'[1]DATOS PBI Artículos'!AP:AP)</f>
        <v>11.166666666659999</v>
      </c>
      <c r="G62" s="34">
        <f>_xlfn.XLOOKUP($A62,'[1]DATOS PBI Artículos'!A:A,'[1]DATOS PBI Artículos'!AR:AR)</f>
        <v>31500</v>
      </c>
      <c r="H62" s="34">
        <f>_xlfn.XLOOKUP($A62,'[1]DATOS PBI Artículos'!A:A,'[1]DATOS PBI Artículos'!AT:AT)</f>
        <v>0</v>
      </c>
      <c r="I62" s="34">
        <f>_xlfn.XLOOKUP($A62,'[1]DATOS PBI Artículos'!A:A,'[1]DATOS PBI Artículos'!AS:AS)</f>
        <v>31500</v>
      </c>
      <c r="J62" s="35">
        <f>IF(COUNTIF([1]CRITERIOS!$F$179:$F$199,$A62)&gt;=1,
 IF(O62&lt;&gt;"",
    (O62/_xlfn.XLOOKUP(CONCATENATE(A62,L62),[1]MÁQUINAS!A:A,[1]MÁQUINAS!D:D))/24,
    (N62/_xlfn.XLOOKUP(CONCATENATE(A62,L62),[1]MÁQUINAS!A:A,[1]MÁQUINAS!D:D))/24),
  _xlfn.XLOOKUP($A62,'[1]DATOS PBI Artículos'!A:A,'[1]DATOS PBI Artículos'!AU:AU))</f>
        <v>15.666666666666668</v>
      </c>
      <c r="K62" s="36">
        <f>_xlfn.XLOOKUP($A62,'[1]DATOS PBI Artículos'!A:A,'[1]DATOS PBI Artículos'!AV:AV)</f>
        <v>3.3188089359924278</v>
      </c>
      <c r="L62" s="33">
        <f>_xlfn.XLOOKUP(A62,[1]MÁQUINAS!B:B,[1]MÁQUINAS!C:C)</f>
        <v>142</v>
      </c>
      <c r="M62" s="34">
        <f t="array" ref="M62">_xlfn.XLOOKUP(A62,'[1]DATOS PBI Artículos'!A:A,'[1]DATOS PBI Artículos'!AX:$AX)</f>
        <v>54375.427789348738</v>
      </c>
      <c r="N62" s="37">
        <f>IF(I62="DV",
E62,
IF(COUNTIF([1]CRITERIOS!$I$179:$I$199,$A62)&gt;=1,
_xlfn.XLOOKUP($A62,[1]CRITERIOS!$I$179:$I$199,[1]CRITERIOS!$J$179:$J$199),
IF(COUNTIF([1]CRITERIOS!$L$179:$L$199,$A62)&gt;=1,
_xlfn.CEILING.MATH(IF($M62&gt;$E62,
$E62,
IF($M62&lt;$E62/ROUNDDOWN([1]CRITERIOS!$M$16/_xlfn.XLOOKUP($C62,[1]CRITERIOS!$K$25:$K$42,[1]CRITERIOS!$M$25:$M$42),
1),
E62/ROUNDDOWN([1]CRITERIOS!$M$16/_xlfn.XLOOKUP($C62,[1]CRITERIOS!$K$25:$K$42,[1]CRITERIOS!$M$25:$M$42),
1),
$M62)),
_xlfn.XLOOKUP($A62,[1]CRITERIOS!$L$179:$L$200,[1]CRITERIOS!$M$179:$M$200)),
_xlfn.CEILING.MATH(IF($M62&gt;$E62,
$E62,
IF($M62&lt;$E62/ROUNDDOWN([1]CRITERIOS!$M$16/_xlfn.XLOOKUP($C62,[1]CRITERIOS!$K$25:$K$42,[1]CRITERIOS!$M$25:$M$42),
1),
E62/ROUNDDOWN([1]CRITERIOS!$M$16/_xlfn.XLOOKUP($C62,[1]CRITERIOS!$K$25:$K$42,[1]CRITERIOS!$M$25:$M$42),
1),
$M62)),_xlfn.XLOOKUP(A62,'[1]DATOS PBI Artículos'!A:A,'[1]DATOS PBI Artículos'!Z:Z
)))))</f>
        <v>63000</v>
      </c>
      <c r="Q62" s="38">
        <f>IF(AND(O62="",N62=0),
0,
   IF(COUNTIF([1]CRITERIOS!$F$179:$F$199,$A62)&gt;=1,
   1,
   IF(R62="MTO",
      $D62,
      ROUNDUP(
                    IF(($E62-SUMIF('[1]DATOS PBI Artículos'!A:A,A62,'[1]DATOS PBI Artículos'!X:X)+($V62-_xlfn.XLOOKUP(A62,'[1]DATOS PBI Artículos'!A:A,'[1]DATOS PBI Artículos'!W:W)))&lt;0,
                    0,
                    IF(($E62-SUMIF('[1]DATOS PBI Artículos'!A:A,A62,'[1]DATOS PBI Artículos'!X:X)+$V62-_xlfn.XLOOKUP($A62,'[1]DATOS PBI Artículos'!A:A,'[1]DATOS PBI Artículos'!W:W))/IF($O62="",$N62,$O62)&gt;ROUNDUP([1]CRITERIOS!$M$16/(IF(COUNTIF([1]CRITERIOS!$BG$11:$BG$201,L62)&gt;=1,_xlfn.XLOOKUP($C62,[1]CRITERIOS!$K$25:$K$42,[1]CRITERIOS!$M$25:$M$42),_xlfn.XLOOKUP($C62,[1]CRITERIOS!$K$25:$K$42,[1]CRITERIOS!$M$25:$M$42))),0),
                    ROUNDUP([1]CRITERIOS!$M$16/(IF(COUNTIF([1]CRITERIOS!$BG$11:$BG$201,$L62)&gt;=1,_xlfn.XLOOKUP($C62,[1]CRITERIOS!$K$25:$K$42,[1]CRITERIOS!$M$25:$M$42),_xlfn.XLOOKUP($C62,[1]CRITERIOS!$K$25:$K$42,[1]CRITERIOS!$M$25:$M$42))),0),
                    (E62+V62-SUMIF('[1]DATOS PBI Artículos'!A:A,A62,'[1]DATOS PBI Artículos'!X:X)-_xlfn.XLOOKUP(A62,'[1]DATOS PBI Artículos'!A:A,'[1]DATOS PBI Artículos'!W:W))/IF($O62="",$N62,$O62))),0))))</f>
        <v>4</v>
      </c>
      <c r="R62" s="33" t="str">
        <f>IF(U62&lt;&gt;"",U62,IF(F62="DV","MTO",IF(N62=0,"MTO",_xlfn.XLOOKUP(CONCATENATE(S62,T62),[1]CRITERIOS!$K$160:$K$168,[1]CRITERIOS!$N$160:$N$168))))</f>
        <v>MTS</v>
      </c>
      <c r="S62" s="33" t="str">
        <f>IF(G62="DV","MTO",IF(N62=0,"MTO",IF(OR(AND(N62=0,O62=""),IF(O62="",G62/N62,G62/O62)&gt;[1]CRITERIOS!$G$163),"MTO",IF(IF(O62="",G62/N62,G62/O62)&lt;[1]CRITERIOS!$H$161,"MTS","MTOS"))))</f>
        <v>MTOS</v>
      </c>
      <c r="T62" s="33" t="str">
        <f>IF(F62="DV","MTO",IF(OR(AND($N62=0,O62=""),$F62/$J62&gt;[1]CRITERIOS!$G$170,$F62="DV"),"MTO",IF($F62/$J62&lt;[1]CRITERIOS!$H$168,"MTS","MTOS")))</f>
        <v>MTS</v>
      </c>
      <c r="V62" s="34">
        <f t="shared" si="4"/>
        <v>52325.111743954112</v>
      </c>
      <c r="X62" s="34">
        <f t="shared" si="1"/>
        <v>115325.11174395411</v>
      </c>
      <c r="Y62" s="34">
        <f t="shared" si="2"/>
        <v>39631.08189318145</v>
      </c>
      <c r="Z62" s="34">
        <f>IF($R62="MTO",
0,
($H62+$K62*($E62/[1]CRITERIOS!$M$16))/[1]CRITERIOS!$X$48)</f>
        <v>8131.0818931814483</v>
      </c>
      <c r="AA62" s="34" t="e">
        <f>ROUNDUP(($Y62/_xlfn.XLOOKUP($A62,'[1]DATOS PBI Artículos'!$A$4:$A$4,'[1]DATOS PBI Artículos'!$Z$4:$Z$4))/_xlfn.XLOOKUP(_xlfn.XLOOKUP($A62,'[1]DATOS PBI Artículos'!$A$4:$A$4,'[1]DATOS PBI Artículos'!$Y$4:$Y$4),[1]CRITERIOS!$P$79:$P$123,[1]CRITERIOS!$S$79:$S$123,),0)</f>
        <v>#N/A</v>
      </c>
      <c r="AB62" s="33" t="e">
        <f t="array" ref="AB62">IF((E62+V62-_xlfn.XLOOKUP(A62,'[1]DATOS PBI Artículos'!$A$4:$A$4,'[1]DATOS PBI Artículos'!$W$4:$W$4))/N62&gt;ROUNDUP([1]CRITERIOS!$M$16/(IF(COUNTIF([1]CRITERIOS!$BG$11:$BG$201,L62)&gt;=1,_xlfn.XLOOKUP(ARTÍCULOS!L62,[1]CRITERIOS!$BG$11:$BG$201,[1]CRITERIOS!$BJ$11:$BJ$201),_xlfn.XLOOKUP(ARTÍCULOS!C62,[1]CRITERIOS!$K$25:$K$42,[1]CRITERIOS!$M$25:$M$42))),0),ROUNDUP([1]CRITERIOS!$M$16/(IF(COUNTIF([1]CRITERIOS!$BG$11:$BG$201,L62)&gt;=1,_xlfn.XLOOKUP(ARTÍCULOS!L62,[1]CRITERIOS!$BG$11:$BG$201:#REF!,[1]CRITERIOS!$BJ$11:$BJ$201),_xlfn.XLOOKUP(ARTÍCULOS!C62,[1]CRITERIOS!$K$25:$K$42,[1]CRITERIOS!$M$25:$M$42))),0),(E62+V62-_xlfn.XLOOKUP(A62,'[1]DATOS PBI Artículos'!$A$4:$A$4,'[1]DATOS PBI Artículos'!$W$4:$W$4))/N62)</f>
        <v>#N/A</v>
      </c>
      <c r="AC62" s="33" t="e">
        <f>IF(N62=0,"",(ROUNDUP((N62/2)/(_xlfn.XLOOKUP(A62,'[1]DATOS PBI Artículos'!$A$4:$A$4,'[1]DATOS PBI Artículos'!$Z$4:$Z$4)*_xlfn.XLOOKUP(_xlfn.XLOOKUP(A62,'[1]DATOS PBI Artículos'!$A$4:$A$4,'[1]DATOS PBI Artículos'!$Y$4:$Y$4),[1]CRITERIOS!$P$79:$P$123,[1]CRITERIOS!$S$79:$S$123)),0)*[1]CRITERIOS!$M$80*([1]CRITERIOS!$M$110/[1]CRITERIOS!$M$86)+(_xlfn.XLOOKUP(A62,'[1]DATOS PBI Artículos'!$A$4:$A$4,'[1]DATOS PBI Artículos'!$AA$4:$AA$4)*([1]CRITERIOS!$M$95+[1]CRITERIOS!$M$98)))/N62)</f>
        <v>#N/A</v>
      </c>
      <c r="AD62" s="33" t="e">
        <f>IF(N62=0,"",(ROUNDUP((N62/2)/(_xlfn.XLOOKUP(A62,'[1]DATOS PBI Artículos'!$A$4:$A$4,'[1]DATOS PBI Artículos'!$Z$4:$Z$4)*_xlfn.XLOOKUP(_xlfn.XLOOKUP(A62,'[1]DATOS PBI Artículos'!$A$4:$A$4,'[1]DATOS PBI Artículos'!$Y$4:$Y$4),[1]CRITERIOS!$P$79:$P$123,[1]CRITERIOS!$S$79:$S$123)),0)*[1]CRITERIOS!$M$80*([1]CRITERIOS!$M$89*[1]CRITERIOS!$M$92)+((_xlfn.XLOOKUP(A62,'[1]DATOS PBI Artículos'!$A$4:$A$4,'[1]DATOS PBI Artículos'!$AA$4:$AA$4)/2)*([1]CRITERIOS!$M$95+[1]CRITERIOS!$M$98)))/N62)</f>
        <v>#N/A</v>
      </c>
      <c r="AE62" s="39">
        <f>IF($R62="MTO","",
IF($H62=0,ROUNDUP(((_xlfn.XLOOKUP($A62,'[1]DATOS PBI Artículos'!$A:$A,'[1]DATOS PBI Artículos'!$AL:$AL))/(_xlfn.XLOOKUP($AF$1,[1]CRITERIOS!$S$16:$S$39,[1]CRITERIOS!$Y$16:$Y$39))*$J62+$Z62)/$G62,0)*$G62,
((_xlfn.XLOOKUP($A62,'[1]DATOS PBI Artículos'!$A:$A,'[1]DATOS PBI Artículos'!$AL:$AL))/(_xlfn.XLOOKUP($AF$1,[1]CRITERIOS!$S$16:$S$39,[1]CRITERIOS!$Y$16:$Y$39))*$J62+$Z62)))</f>
        <v>94500</v>
      </c>
      <c r="AG62" s="39">
        <f>IF($R62="MTO","",
IF($H62=0,ROUNDUP(((_xlfn.XLOOKUP($A62,'[1]DATOS PBI Artículos'!$A:$A,'[1]DATOS PBI Artículos'!$AM:$AM))/(_xlfn.XLOOKUP($AH$1,[1]CRITERIOS!$S$16:$S$39,[1]CRITERIOS!$Y$16:$Y$39))*$J62+$Z62)/$G62,0)*$G62,
((_xlfn.XLOOKUP($A62,'[1]DATOS PBI Artículos'!$A:$A,'[1]DATOS PBI Artículos'!$AM:$AM))/(_xlfn.XLOOKUP($AH$1,[1]CRITERIOS!$S$16:$S$39,[1]CRITERIOS!$Y$16:$Y$39))*$J62+$Z62)))</f>
        <v>63000</v>
      </c>
      <c r="AI62" s="39">
        <f>IF($R62="MTO","",
IF($H62=0,ROUNDUP(((_xlfn.XLOOKUP($A62,'[1]DATOS PBI Artículos'!$A:$A,'[1]DATOS PBI Artículos'!$AN:$AN))/(_xlfn.XLOOKUP($AJ$1,[1]CRITERIOS!$S$16:$S$39,[1]CRITERIOS!$Y$16:$Y$39))*$J62+$Z62)/$G62,0)*$G62,
((_xlfn.XLOOKUP($A62,'[1]DATOS PBI Artículos'!$A:$A,'[1]DATOS PBI Artículos'!$AN:$AN))/(_xlfn.XLOOKUP($AJ$1,[1]CRITERIOS!$S$16:$S$39,[1]CRITERIOS!$Y$16:$Y$39))*$J62+$Z62)))</f>
        <v>63000</v>
      </c>
      <c r="AK62" s="39">
        <f>IF($R62="MTO","",
IF($H62=0,ROUNDUP(((_xlfn.XLOOKUP($A62,'[1]DATOS PBI Artículos'!$A:$A,'[1]DATOS PBI Artículos'!$AO:$AO))/(_xlfn.XLOOKUP($AL$1,[1]CRITERIOS!$S$16:$S$39,[1]CRITERIOS!$Y$16:$Y$39))*$J62+$Z62)/$G62,0)*$G62,
((_xlfn.XLOOKUP($A62,'[1]DATOS PBI Artículos'!$A:$A,'[1]DATOS PBI Artículos'!$AO:$AO))/(_xlfn.XLOOKUP($AL$1,[1]CRITERIOS!$S$16:$S$39,[1]CRITERIOS!$Y$16:$Y$39))*$J62+$Z62)))</f>
        <v>94500</v>
      </c>
    </row>
    <row r="63" spans="1:37" ht="25.8" x14ac:dyDescent="0.5">
      <c r="A63" s="32">
        <v>404033</v>
      </c>
      <c r="B63" s="33">
        <f>_xlfn.XLOOKUP($A63,'[1]DATOS PBI Artículos'!A:A,'[1]DATOS PBI Artículos'!B:B)</f>
        <v>0</v>
      </c>
      <c r="C63" s="33" t="str">
        <f>_xlfn.XLOOKUP($A63,'[1]DATOS PBI Artículos'!A:A,'[1]DATOS PBI Artículos'!C:C)</f>
        <v>UA02</v>
      </c>
      <c r="D63" s="33">
        <f>_xlfn.XLOOKUP(A63,'[1]DATOS PBI Artículos'!A:A,'[1]DATOS PBI Artículos'!T:T)</f>
        <v>4</v>
      </c>
      <c r="E63" s="34">
        <f>IF(_xlfn.XLOOKUP($A63,'[1]DATOS PBI Artículos'!A:A,'[1]DATOS PBI Artículos'!AK:AK)="",_xlfn.XLOOKUP($A63,'[1]DATOS PBI Artículos'!A:A,'[1]DATOS PBI Artículos'!AJ:AJ),_xlfn.XLOOKUP($A63,'[1]DATOS PBI Artículos'!A:A,'[1]DATOS PBI Artículos'!AK:AK))</f>
        <v>220000</v>
      </c>
      <c r="F63" s="35">
        <f>_xlfn.XLOOKUP($A63,'[1]DATOS PBI Artículos'!A:A,'[1]DATOS PBI Artículos'!AP:AP)</f>
        <v>10.83333333333</v>
      </c>
      <c r="G63" s="34">
        <f>_xlfn.XLOOKUP($A63,'[1]DATOS PBI Artículos'!A:A,'[1]DATOS PBI Artículos'!AR:AR)</f>
        <v>20000</v>
      </c>
      <c r="H63" s="34">
        <f>_xlfn.XLOOKUP($A63,'[1]DATOS PBI Artículos'!A:A,'[1]DATOS PBI Artículos'!AT:AT)</f>
        <v>0</v>
      </c>
      <c r="I63" s="34">
        <f>_xlfn.XLOOKUP($A63,'[1]DATOS PBI Artículos'!A:A,'[1]DATOS PBI Artículos'!AS:AS)</f>
        <v>20000</v>
      </c>
      <c r="J63" s="35">
        <f>IF(COUNTIF([1]CRITERIOS!$F$179:$F$199,$A63)&gt;=1,
 IF(O63&lt;&gt;"",
    (O63/_xlfn.XLOOKUP(CONCATENATE(A63,L63),[1]MÁQUINAS!A:A,[1]MÁQUINAS!D:D))/24,
    (N63/_xlfn.XLOOKUP(CONCATENATE(A63,L63),[1]MÁQUINAS!A:A,[1]MÁQUINAS!D:D))/24),
  _xlfn.XLOOKUP($A63,'[1]DATOS PBI Artículos'!A:A,'[1]DATOS PBI Artículos'!AU:AU))</f>
        <v>16.363636363636363</v>
      </c>
      <c r="K63" s="36">
        <f>_xlfn.XLOOKUP($A63,'[1]DATOS PBI Artículos'!A:A,'[1]DATOS PBI Artículos'!AV:AV)</f>
        <v>2.5009089256799126</v>
      </c>
      <c r="L63" s="33">
        <f>_xlfn.XLOOKUP(A63,[1]MÁQUINAS!B:B,[1]MÁQUINAS!C:C)</f>
        <v>207</v>
      </c>
      <c r="M63" s="34">
        <f t="array" ref="M63">_xlfn.XLOOKUP(A63,'[1]DATOS PBI Artículos'!A:A,'[1]DATOS PBI Artículos'!AX:$AX)</f>
        <v>95230.978482759587</v>
      </c>
      <c r="N63" s="37">
        <f>IF(I63="DV",
E63,
IF(COUNTIF([1]CRITERIOS!$I$179:$I$199,$A63)&gt;=1,
_xlfn.XLOOKUP($A63,[1]CRITERIOS!$I$179:$I$199,[1]CRITERIOS!$J$179:$J$199),
IF(COUNTIF([1]CRITERIOS!$L$179:$L$199,$A63)&gt;=1,
_xlfn.CEILING.MATH(IF($M63&gt;$E63,
$E63,
IF($M63&lt;$E63/ROUNDDOWN([1]CRITERIOS!$M$16/_xlfn.XLOOKUP($C63,[1]CRITERIOS!$K$25:$K$42,[1]CRITERIOS!$M$25:$M$42),
1),
E63/ROUNDDOWN([1]CRITERIOS!$M$16/_xlfn.XLOOKUP($C63,[1]CRITERIOS!$K$25:$K$42,[1]CRITERIOS!$M$25:$M$42),
1),
$M63)),
_xlfn.XLOOKUP($A63,[1]CRITERIOS!$L$179:$L$200,[1]CRITERIOS!$M$179:$M$200)),
_xlfn.CEILING.MATH(IF($M63&gt;$E63,
$E63,
IF($M63&lt;$E63/ROUNDDOWN([1]CRITERIOS!$M$16/_xlfn.XLOOKUP($C63,[1]CRITERIOS!$K$25:$K$42,[1]CRITERIOS!$M$25:$M$42),
1),
E63/ROUNDDOWN([1]CRITERIOS!$M$16/_xlfn.XLOOKUP($C63,[1]CRITERIOS!$K$25:$K$42,[1]CRITERIOS!$M$25:$M$42),
1),
$M63)),_xlfn.XLOOKUP(A63,'[1]DATOS PBI Artículos'!A:A,'[1]DATOS PBI Artículos'!Z:Z
)))))</f>
        <v>100000</v>
      </c>
      <c r="Q63" s="38">
        <f>IF(AND(O63="",N63=0),
0,
   IF(COUNTIF([1]CRITERIOS!$F$179:$F$199,$A63)&gt;=1,
   1,
   IF(R63="MTO",
      $D63,
      ROUNDUP(
                    IF(($E63-SUMIF('[1]DATOS PBI Artículos'!A:A,A63,'[1]DATOS PBI Artículos'!X:X)+($V63-_xlfn.XLOOKUP(A63,'[1]DATOS PBI Artículos'!A:A,'[1]DATOS PBI Artículos'!W:W)))&lt;0,
                    0,
                    IF(($E63-SUMIF('[1]DATOS PBI Artículos'!A:A,A63,'[1]DATOS PBI Artículos'!X:X)+$V63-_xlfn.XLOOKUP($A63,'[1]DATOS PBI Artículos'!A:A,'[1]DATOS PBI Artículos'!W:W))/IF($O63="",$N63,$O63)&gt;ROUNDUP([1]CRITERIOS!$M$16/(IF(COUNTIF([1]CRITERIOS!$BG$11:$BG$201,L63)&gt;=1,_xlfn.XLOOKUP($C63,[1]CRITERIOS!$K$25:$K$42,[1]CRITERIOS!$M$25:$M$42),_xlfn.XLOOKUP($C63,[1]CRITERIOS!$K$25:$K$42,[1]CRITERIOS!$M$25:$M$42))),0),
                    ROUNDUP([1]CRITERIOS!$M$16/(IF(COUNTIF([1]CRITERIOS!$BG$11:$BG$201,$L63)&gt;=1,_xlfn.XLOOKUP($C63,[1]CRITERIOS!$K$25:$K$42,[1]CRITERIOS!$M$25:$M$42),_xlfn.XLOOKUP($C63,[1]CRITERIOS!$K$25:$K$42,[1]CRITERIOS!$M$25:$M$42))),0),
                    (E63+V63-SUMIF('[1]DATOS PBI Artículos'!A:A,A63,'[1]DATOS PBI Artículos'!X:X)-_xlfn.XLOOKUP(A63,'[1]DATOS PBI Artículos'!A:A,'[1]DATOS PBI Artículos'!W:W))/IF($O63="",$N63,$O63))),0))))</f>
        <v>1</v>
      </c>
      <c r="R63" s="33" t="str">
        <f>IF(U63&lt;&gt;"",U63,IF(F63="DV","MTO",IF(N63=0,"MTO",_xlfn.XLOOKUP(CONCATENATE(S63,T63),[1]CRITERIOS!$K$160:$K$168,[1]CRITERIOS!$N$160:$N$168))))</f>
        <v>MTS</v>
      </c>
      <c r="S63" s="33" t="str">
        <f>IF(G63="DV","MTO",IF(N63=0,"MTO",IF(OR(AND(N63=0,O63=""),IF(O63="",G63/N63,G63/O63)&gt;[1]CRITERIOS!$G$163),"MTO",IF(IF(O63="",G63/N63,G63/O63)&lt;[1]CRITERIOS!$H$161,"MTS","MTOS"))))</f>
        <v>MTS</v>
      </c>
      <c r="T63" s="33" t="str">
        <f>IF(F63="DV","MTO",IF(OR(AND($N63=0,O63=""),$F63/$J63&gt;[1]CRITERIOS!$G$170,$F63="DV"),"MTO",IF($F63/$J63&lt;[1]CRITERIOS!$H$168,"MTS","MTOS")))</f>
        <v>MTS</v>
      </c>
      <c r="V63" s="34">
        <f t="shared" si="4"/>
        <v>36323.123139239295</v>
      </c>
      <c r="X63" s="34">
        <f t="shared" si="1"/>
        <v>136323.12313923929</v>
      </c>
      <c r="Y63" s="34">
        <f t="shared" si="2"/>
        <v>56113.332929439784</v>
      </c>
      <c r="Z63" s="34">
        <f>IF($R63="MTO",
0,
($H63+$K63*($E63/[1]CRITERIOS!$M$16))/[1]CRITERIOS!$X$48)</f>
        <v>6113.3329294397872</v>
      </c>
      <c r="AA63" s="34" t="e">
        <f>ROUNDUP(($Y63/_xlfn.XLOOKUP($A63,'[1]DATOS PBI Artículos'!$A$4:$A$4,'[1]DATOS PBI Artículos'!$Z$4:$Z$4))/_xlfn.XLOOKUP(_xlfn.XLOOKUP($A63,'[1]DATOS PBI Artículos'!$A$4:$A$4,'[1]DATOS PBI Artículos'!$Y$4:$Y$4),[1]CRITERIOS!$P$79:$P$123,[1]CRITERIOS!$S$79:$S$123,),0)</f>
        <v>#N/A</v>
      </c>
      <c r="AB63" s="33" t="e">
        <f t="array" ref="AB63">IF((E63+V63-_xlfn.XLOOKUP(A63,'[1]DATOS PBI Artículos'!$A$4:$A$4,'[1]DATOS PBI Artículos'!$W$4:$W$4))/N63&gt;ROUNDUP([1]CRITERIOS!$M$16/(IF(COUNTIF([1]CRITERIOS!$BG$11:$BG$201,L63)&gt;=1,_xlfn.XLOOKUP(ARTÍCULOS!L63,[1]CRITERIOS!$BG$11:$BG$201,[1]CRITERIOS!$BJ$11:$BJ$201),_xlfn.XLOOKUP(ARTÍCULOS!C63,[1]CRITERIOS!$K$25:$K$42,[1]CRITERIOS!$M$25:$M$42))),0),ROUNDUP([1]CRITERIOS!$M$16/(IF(COUNTIF([1]CRITERIOS!$BG$11:$BG$201,L63)&gt;=1,_xlfn.XLOOKUP(ARTÍCULOS!L63,[1]CRITERIOS!$BG$11:$BG$201:#REF!,[1]CRITERIOS!$BJ$11:$BJ$201),_xlfn.XLOOKUP(ARTÍCULOS!C63,[1]CRITERIOS!$K$25:$K$42,[1]CRITERIOS!$M$25:$M$42))),0),(E63+V63-_xlfn.XLOOKUP(A63,'[1]DATOS PBI Artículos'!$A$4:$A$4,'[1]DATOS PBI Artículos'!$W$4:$W$4))/N63)</f>
        <v>#N/A</v>
      </c>
      <c r="AC63" s="33" t="e">
        <f>IF(N63=0,"",(ROUNDUP((N63/2)/(_xlfn.XLOOKUP(A63,'[1]DATOS PBI Artículos'!$A$4:$A$4,'[1]DATOS PBI Artículos'!$Z$4:$Z$4)*_xlfn.XLOOKUP(_xlfn.XLOOKUP(A63,'[1]DATOS PBI Artículos'!$A$4:$A$4,'[1]DATOS PBI Artículos'!$Y$4:$Y$4),[1]CRITERIOS!$P$79:$P$123,[1]CRITERIOS!$S$79:$S$123)),0)*[1]CRITERIOS!$M$80*([1]CRITERIOS!$M$110/[1]CRITERIOS!$M$86)+(_xlfn.XLOOKUP(A63,'[1]DATOS PBI Artículos'!$A$4:$A$4,'[1]DATOS PBI Artículos'!$AA$4:$AA$4)*([1]CRITERIOS!$M$95+[1]CRITERIOS!$M$98)))/N63)</f>
        <v>#N/A</v>
      </c>
      <c r="AD63" s="33" t="e">
        <f>IF(N63=0,"",(ROUNDUP((N63/2)/(_xlfn.XLOOKUP(A63,'[1]DATOS PBI Artículos'!$A$4:$A$4,'[1]DATOS PBI Artículos'!$Z$4:$Z$4)*_xlfn.XLOOKUP(_xlfn.XLOOKUP(A63,'[1]DATOS PBI Artículos'!$A$4:$A$4,'[1]DATOS PBI Artículos'!$Y$4:$Y$4),[1]CRITERIOS!$P$79:$P$123,[1]CRITERIOS!$S$79:$S$123)),0)*[1]CRITERIOS!$M$80*([1]CRITERIOS!$M$89*[1]CRITERIOS!$M$92)+((_xlfn.XLOOKUP(A63,'[1]DATOS PBI Artículos'!$A$4:$A$4,'[1]DATOS PBI Artículos'!$AA$4:$AA$4)/2)*([1]CRITERIOS!$M$95+[1]CRITERIOS!$M$98)))/N63)</f>
        <v>#N/A</v>
      </c>
      <c r="AE63" s="39">
        <f>IF($R63="MTO","",
IF($H63=0,ROUNDUP(((_xlfn.XLOOKUP($A63,'[1]DATOS PBI Artículos'!$A:$A,'[1]DATOS PBI Artículos'!$AL:$AL))/(_xlfn.XLOOKUP($AF$1,[1]CRITERIOS!$S$16:$S$39,[1]CRITERIOS!$Y$16:$Y$39))*$J63+$Z63)/$G63,0)*$G63,
((_xlfn.XLOOKUP($A63,'[1]DATOS PBI Artículos'!$A:$A,'[1]DATOS PBI Artículos'!$AL:$AL))/(_xlfn.XLOOKUP($AF$1,[1]CRITERIOS!$S$16:$S$39,[1]CRITERIOS!$Y$16:$Y$39))*$J63+$Z63)))</f>
        <v>80000</v>
      </c>
      <c r="AG63" s="39">
        <f>IF($R63="MTO","",
IF($H63=0,ROUNDUP(((_xlfn.XLOOKUP($A63,'[1]DATOS PBI Artículos'!$A:$A,'[1]DATOS PBI Artículos'!$AM:$AM))/(_xlfn.XLOOKUP($AH$1,[1]CRITERIOS!$S$16:$S$39,[1]CRITERIOS!$Y$16:$Y$39))*$J63+$Z63)/$G63,0)*$G63,
((_xlfn.XLOOKUP($A63,'[1]DATOS PBI Artículos'!$A:$A,'[1]DATOS PBI Artículos'!$AM:$AM))/(_xlfn.XLOOKUP($AH$1,[1]CRITERIOS!$S$16:$S$39,[1]CRITERIOS!$Y$16:$Y$39))*$J63+$Z63)))</f>
        <v>60000</v>
      </c>
      <c r="AI63" s="39">
        <f>IF($R63="MTO","",
IF($H63=0,ROUNDUP(((_xlfn.XLOOKUP($A63,'[1]DATOS PBI Artículos'!$A:$A,'[1]DATOS PBI Artículos'!$AN:$AN))/(_xlfn.XLOOKUP($AJ$1,[1]CRITERIOS!$S$16:$S$39,[1]CRITERIOS!$Y$16:$Y$39))*$J63+$Z63)/$G63,0)*$G63,
((_xlfn.XLOOKUP($A63,'[1]DATOS PBI Artículos'!$A:$A,'[1]DATOS PBI Artículos'!$AN:$AN))/(_xlfn.XLOOKUP($AJ$1,[1]CRITERIOS!$S$16:$S$39,[1]CRITERIOS!$Y$16:$Y$39))*$J63+$Z63)))</f>
        <v>60000</v>
      </c>
      <c r="AK63" s="39">
        <f>IF($R63="MTO","",
IF($H63=0,ROUNDUP(((_xlfn.XLOOKUP($A63,'[1]DATOS PBI Artículos'!$A:$A,'[1]DATOS PBI Artículos'!$AO:$AO))/(_xlfn.XLOOKUP($AL$1,[1]CRITERIOS!$S$16:$S$39,[1]CRITERIOS!$Y$16:$Y$39))*$J63+$Z63)/$G63,0)*$G63,
((_xlfn.XLOOKUP($A63,'[1]DATOS PBI Artículos'!$A:$A,'[1]DATOS PBI Artículos'!$AO:$AO))/(_xlfn.XLOOKUP($AL$1,[1]CRITERIOS!$S$16:$S$39,[1]CRITERIOS!$Y$16:$Y$39))*$J63+$Z63)))</f>
        <v>60000</v>
      </c>
    </row>
    <row r="64" spans="1:37" ht="25.8" x14ac:dyDescent="0.5">
      <c r="A64" s="32">
        <v>404020</v>
      </c>
      <c r="B64" s="33">
        <f>_xlfn.XLOOKUP($A64,'[1]DATOS PBI Artículos'!A:A,'[1]DATOS PBI Artículos'!B:B)</f>
        <v>0</v>
      </c>
      <c r="C64" s="33" t="str">
        <f>_xlfn.XLOOKUP($A64,'[1]DATOS PBI Artículos'!A:A,'[1]DATOS PBI Artículos'!C:C)</f>
        <v>UA02</v>
      </c>
      <c r="D64" s="33">
        <f>_xlfn.XLOOKUP(A64,'[1]DATOS PBI Artículos'!A:A,'[1]DATOS PBI Artículos'!T:T)</f>
        <v>4</v>
      </c>
      <c r="E64" s="34">
        <f>IF(_xlfn.XLOOKUP($A64,'[1]DATOS PBI Artículos'!A:A,'[1]DATOS PBI Artículos'!AK:AK)="",_xlfn.XLOOKUP($A64,'[1]DATOS PBI Artículos'!A:A,'[1]DATOS PBI Artículos'!AJ:AJ),_xlfn.XLOOKUP($A64,'[1]DATOS PBI Artículos'!A:A,'[1]DATOS PBI Artículos'!AK:AK))</f>
        <v>210000</v>
      </c>
      <c r="F64" s="35">
        <f>_xlfn.XLOOKUP($A64,'[1]DATOS PBI Artículos'!A:A,'[1]DATOS PBI Artículos'!AP:AP)</f>
        <v>4.7857142857100001</v>
      </c>
      <c r="G64" s="34">
        <f>_xlfn.XLOOKUP($A64,'[1]DATOS PBI Artículos'!A:A,'[1]DATOS PBI Artículos'!AR:AR)</f>
        <v>10000</v>
      </c>
      <c r="H64" s="34">
        <f>_xlfn.XLOOKUP($A64,'[1]DATOS PBI Artículos'!A:A,'[1]DATOS PBI Artículos'!AT:AT)</f>
        <v>2500</v>
      </c>
      <c r="I64" s="34">
        <f>_xlfn.XLOOKUP($A64,'[1]DATOS PBI Artículos'!A:A,'[1]DATOS PBI Artículos'!AS:AS)</f>
        <v>10000</v>
      </c>
      <c r="J64" s="35">
        <f>IF(COUNTIF([1]CRITERIOS!$F$179:$F$199,$A64)&gt;=1,
 IF(O64&lt;&gt;"",
    (O64/_xlfn.XLOOKUP(CONCATENATE(A64,L64),[1]MÁQUINAS!A:A,[1]MÁQUINAS!D:D))/24,
    (N64/_xlfn.XLOOKUP(CONCATENATE(A64,L64),[1]MÁQUINAS!A:A,[1]MÁQUINAS!D:D))/24),
  _xlfn.XLOOKUP($A64,'[1]DATOS PBI Artículos'!A:A,'[1]DATOS PBI Artículos'!AU:AU))</f>
        <v>19.81818181818182</v>
      </c>
      <c r="K64" s="36">
        <f>_xlfn.XLOOKUP($A64,'[1]DATOS PBI Artículos'!A:A,'[1]DATOS PBI Artículos'!AV:AV)</f>
        <v>4.020402512639297</v>
      </c>
      <c r="L64" s="33">
        <f>_xlfn.XLOOKUP(A64,[1]MÁQUINAS!B:B,[1]MÁQUINAS!C:C)</f>
        <v>210</v>
      </c>
      <c r="M64" s="34">
        <f t="array" ref="M64">_xlfn.XLOOKUP(A64,'[1]DATOS PBI Artículos'!A:A,'[1]DATOS PBI Artículos'!AX:$AX)</f>
        <v>81796.01752177575</v>
      </c>
      <c r="N64" s="37">
        <f>IF(I64="DV",
E64,
IF(COUNTIF([1]CRITERIOS!$I$179:$I$199,$A64)&gt;=1,
_xlfn.XLOOKUP($A64,[1]CRITERIOS!$I$179:$I$199,[1]CRITERIOS!$J$179:$J$199),
IF(COUNTIF([1]CRITERIOS!$L$179:$L$199,$A64)&gt;=1,
_xlfn.CEILING.MATH(IF($M64&gt;$E64,
$E64,
IF($M64&lt;$E64/ROUNDDOWN([1]CRITERIOS!$M$16/_xlfn.XLOOKUP($C64,[1]CRITERIOS!$K$25:$K$42,[1]CRITERIOS!$M$25:$M$42),
1),
E64/ROUNDDOWN([1]CRITERIOS!$M$16/_xlfn.XLOOKUP($C64,[1]CRITERIOS!$K$25:$K$42,[1]CRITERIOS!$M$25:$M$42),
1),
$M64)),
_xlfn.XLOOKUP($A64,[1]CRITERIOS!$L$179:$L$200,[1]CRITERIOS!$M$179:$M$200)),
_xlfn.CEILING.MATH(IF($M64&gt;$E64,
$E64,
IF($M64&lt;$E64/ROUNDDOWN([1]CRITERIOS!$M$16/_xlfn.XLOOKUP($C64,[1]CRITERIOS!$K$25:$K$42,[1]CRITERIOS!$M$25:$M$42),
1),
E64/ROUNDDOWN([1]CRITERIOS!$M$16/_xlfn.XLOOKUP($C64,[1]CRITERIOS!$K$25:$K$42,[1]CRITERIOS!$M$25:$M$42),
1),
$M64)),_xlfn.XLOOKUP(A64,'[1]DATOS PBI Artículos'!A:A,'[1]DATOS PBI Artículos'!Z:Z
)))))</f>
        <v>90000</v>
      </c>
      <c r="Q64" s="38">
        <f>IF(AND(O64="",N64=0),
0,
   IF(COUNTIF([1]CRITERIOS!$F$179:$F$199,$A64)&gt;=1,
   1,
   IF(R64="MTO",
      $D64,
      ROUNDUP(
                    IF(($E64-SUMIF('[1]DATOS PBI Artículos'!A:A,A64,'[1]DATOS PBI Artículos'!X:X)+($V64-_xlfn.XLOOKUP(A64,'[1]DATOS PBI Artículos'!A:A,'[1]DATOS PBI Artículos'!W:W)))&lt;0,
                    0,
                    IF(($E64-SUMIF('[1]DATOS PBI Artículos'!A:A,A64,'[1]DATOS PBI Artículos'!X:X)+$V64-_xlfn.XLOOKUP($A64,'[1]DATOS PBI Artículos'!A:A,'[1]DATOS PBI Artículos'!W:W))/IF($O64="",$N64,$O64)&gt;ROUNDUP([1]CRITERIOS!$M$16/(IF(COUNTIF([1]CRITERIOS!$BG$11:$BG$201,L64)&gt;=1,_xlfn.XLOOKUP($C64,[1]CRITERIOS!$K$25:$K$42,[1]CRITERIOS!$M$25:$M$42),_xlfn.XLOOKUP($C64,[1]CRITERIOS!$K$25:$K$42,[1]CRITERIOS!$M$25:$M$42))),0),
                    ROUNDUP([1]CRITERIOS!$M$16/(IF(COUNTIF([1]CRITERIOS!$BG$11:$BG$201,$L64)&gt;=1,_xlfn.XLOOKUP($C64,[1]CRITERIOS!$K$25:$K$42,[1]CRITERIOS!$M$25:$M$42),_xlfn.XLOOKUP($C64,[1]CRITERIOS!$K$25:$K$42,[1]CRITERIOS!$M$25:$M$42))),0),
                    (E64+V64-SUMIF('[1]DATOS PBI Artículos'!A:A,A64,'[1]DATOS PBI Artículos'!X:X)-_xlfn.XLOOKUP(A64,'[1]DATOS PBI Artículos'!A:A,'[1]DATOS PBI Artículos'!W:W))/IF($O64="",$N64,$O64))),0))))</f>
        <v>2</v>
      </c>
      <c r="R64" s="33" t="str">
        <f>IF(U64&lt;&gt;"",U64,IF(F64="DV","MTO",IF(N64=0,"MTO",_xlfn.XLOOKUP(CONCATENATE(S64,T64),[1]CRITERIOS!$K$160:$K$168,[1]CRITERIOS!$N$160:$N$168))))</f>
        <v>MTS</v>
      </c>
      <c r="S64" s="33" t="str">
        <f>IF(G64="DV","MTO",IF(N64=0,"MTO",IF(OR(AND(N64=0,O64=""),IF(O64="",G64/N64,G64/O64)&gt;[1]CRITERIOS!$G$163),"MTO",IF(IF(O64="",G64/N64,G64/O64)&lt;[1]CRITERIOS!$H$161,"MTS","MTOS"))))</f>
        <v>MTS</v>
      </c>
      <c r="T64" s="33" t="str">
        <f>IF(F64="DV","MTO",IF(OR(AND($N64=0,O64=""),$F64/$J64&gt;[1]CRITERIOS!$G$170,$F64="DV"),"MTO",IF($F64/$J64&lt;[1]CRITERIOS!$H$168,"MTS","MTOS")))</f>
        <v>MTS</v>
      </c>
      <c r="V64" s="34">
        <f t="shared" si="4"/>
        <v>52875.398716774362</v>
      </c>
      <c r="X64" s="34">
        <f t="shared" si="1"/>
        <v>142875.39871677436</v>
      </c>
      <c r="Y64" s="34">
        <f t="shared" si="2"/>
        <v>56464.272529491689</v>
      </c>
      <c r="Z64" s="34">
        <f>IF($R64="MTO",
0,
($H64+$K64*($E64/[1]CRITERIOS!$M$16))/[1]CRITERIOS!$X$48)</f>
        <v>11464.272529491693</v>
      </c>
      <c r="AA64" s="34" t="e">
        <f>ROUNDUP(($Y64/_xlfn.XLOOKUP($A64,'[1]DATOS PBI Artículos'!$A$4:$A$4,'[1]DATOS PBI Artículos'!$Z$4:$Z$4))/_xlfn.XLOOKUP(_xlfn.XLOOKUP($A64,'[1]DATOS PBI Artículos'!$A$4:$A$4,'[1]DATOS PBI Artículos'!$Y$4:$Y$4),[1]CRITERIOS!$P$79:$P$123,[1]CRITERIOS!$S$79:$S$123,),0)</f>
        <v>#N/A</v>
      </c>
      <c r="AB64" s="33" t="e">
        <f t="array" ref="AB64">IF((E64+V64-_xlfn.XLOOKUP(A64,'[1]DATOS PBI Artículos'!$A$4:$A$4,'[1]DATOS PBI Artículos'!$W$4:$W$4))/N64&gt;ROUNDUP([1]CRITERIOS!$M$16/(IF(COUNTIF([1]CRITERIOS!$BG$11:$BG$201,L64)&gt;=1,_xlfn.XLOOKUP(ARTÍCULOS!L64,[1]CRITERIOS!$BG$11:$BG$201,[1]CRITERIOS!$BJ$11:$BJ$201),_xlfn.XLOOKUP(ARTÍCULOS!C64,[1]CRITERIOS!$K$25:$K$42,[1]CRITERIOS!$M$25:$M$42))),0),ROUNDUP([1]CRITERIOS!$M$16/(IF(COUNTIF([1]CRITERIOS!$BG$11:$BG$201,L64)&gt;=1,_xlfn.XLOOKUP(ARTÍCULOS!L64,[1]CRITERIOS!$BG$11:$BG$201:#REF!,[1]CRITERIOS!$BJ$11:$BJ$201),_xlfn.XLOOKUP(ARTÍCULOS!C64,[1]CRITERIOS!$K$25:$K$42,[1]CRITERIOS!$M$25:$M$42))),0),(E64+V64-_xlfn.XLOOKUP(A64,'[1]DATOS PBI Artículos'!$A$4:$A$4,'[1]DATOS PBI Artículos'!$W$4:$W$4))/N64)</f>
        <v>#N/A</v>
      </c>
      <c r="AC64" s="33" t="e">
        <f>IF(N64=0,"",(ROUNDUP((N64/2)/(_xlfn.XLOOKUP(A64,'[1]DATOS PBI Artículos'!$A$4:$A$4,'[1]DATOS PBI Artículos'!$Z$4:$Z$4)*_xlfn.XLOOKUP(_xlfn.XLOOKUP(A64,'[1]DATOS PBI Artículos'!$A$4:$A$4,'[1]DATOS PBI Artículos'!$Y$4:$Y$4),[1]CRITERIOS!$P$79:$P$123,[1]CRITERIOS!$S$79:$S$123)),0)*[1]CRITERIOS!$M$80*([1]CRITERIOS!$M$110/[1]CRITERIOS!$M$86)+(_xlfn.XLOOKUP(A64,'[1]DATOS PBI Artículos'!$A$4:$A$4,'[1]DATOS PBI Artículos'!$AA$4:$AA$4)*([1]CRITERIOS!$M$95+[1]CRITERIOS!$M$98)))/N64)</f>
        <v>#N/A</v>
      </c>
      <c r="AD64" s="33" t="e">
        <f>IF(N64=0,"",(ROUNDUP((N64/2)/(_xlfn.XLOOKUP(A64,'[1]DATOS PBI Artículos'!$A$4:$A$4,'[1]DATOS PBI Artículos'!$Z$4:$Z$4)*_xlfn.XLOOKUP(_xlfn.XLOOKUP(A64,'[1]DATOS PBI Artículos'!$A$4:$A$4,'[1]DATOS PBI Artículos'!$Y$4:$Y$4),[1]CRITERIOS!$P$79:$P$123,[1]CRITERIOS!$S$79:$S$123)),0)*[1]CRITERIOS!$M$80*([1]CRITERIOS!$M$89*[1]CRITERIOS!$M$92)+((_xlfn.XLOOKUP(A64,'[1]DATOS PBI Artículos'!$A$4:$A$4,'[1]DATOS PBI Artículos'!$AA$4:$AA$4)/2)*([1]CRITERIOS!$M$95+[1]CRITERIOS!$M$98)))/N64)</f>
        <v>#N/A</v>
      </c>
      <c r="AE64" s="39">
        <f>IF($R64="MTO","",
IF($H64=0,ROUNDUP(((_xlfn.XLOOKUP($A64,'[1]DATOS PBI Artículos'!$A:$A,'[1]DATOS PBI Artículos'!$AL:$AL))/(_xlfn.XLOOKUP($AF$1,[1]CRITERIOS!$S$16:$S$39,[1]CRITERIOS!$Y$16:$Y$39))*$J64+$Z64)/$G64,0)*$G64,
((_xlfn.XLOOKUP($A64,'[1]DATOS PBI Artículos'!$A:$A,'[1]DATOS PBI Artículos'!$AL:$AL))/(_xlfn.XLOOKUP($AF$1,[1]CRITERIOS!$S$16:$S$39,[1]CRITERIOS!$Y$16:$Y$39))*$J64+$Z64)))</f>
        <v>75643.281870325038</v>
      </c>
      <c r="AG64" s="39">
        <f>IF($R64="MTO","",
IF($H64=0,ROUNDUP(((_xlfn.XLOOKUP($A64,'[1]DATOS PBI Artículos'!$A:$A,'[1]DATOS PBI Artículos'!$AM:$AM))/(_xlfn.XLOOKUP($AH$1,[1]CRITERIOS!$S$16:$S$39,[1]CRITERIOS!$Y$16:$Y$39))*$J64+$Z64)/$G64,0)*$G64,
((_xlfn.XLOOKUP($A64,'[1]DATOS PBI Artículos'!$A:$A,'[1]DATOS PBI Artículos'!$AM:$AM))/(_xlfn.XLOOKUP($AH$1,[1]CRITERIOS!$S$16:$S$39,[1]CRITERIOS!$Y$16:$Y$39))*$J64+$Z64)))</f>
        <v>57565.305548523305</v>
      </c>
      <c r="AI64" s="39">
        <f>IF($R64="MTO","",
IF($H64=0,ROUNDUP(((_xlfn.XLOOKUP($A64,'[1]DATOS PBI Artículos'!$A:$A,'[1]DATOS PBI Artículos'!$AN:$AN))/(_xlfn.XLOOKUP($AJ$1,[1]CRITERIOS!$S$16:$S$39,[1]CRITERIOS!$Y$16:$Y$39))*$J64+$Z64)/$G64,0)*$G64,
((_xlfn.XLOOKUP($A64,'[1]DATOS PBI Artículos'!$A:$A,'[1]DATOS PBI Artículos'!$AN:$AN))/(_xlfn.XLOOKUP($AJ$1,[1]CRITERIOS!$S$16:$S$39,[1]CRITERIOS!$Y$16:$Y$39))*$J64+$Z64)))</f>
        <v>66681.747269923508</v>
      </c>
      <c r="AK64" s="39">
        <f>IF($R64="MTO","",
IF($H64=0,ROUNDUP(((_xlfn.XLOOKUP($A64,'[1]DATOS PBI Artículos'!$A:$A,'[1]DATOS PBI Artículos'!$AO:$AO))/(_xlfn.XLOOKUP($AL$1,[1]CRITERIOS!$S$16:$S$39,[1]CRITERIOS!$Y$16:$Y$39))*$J64+$Z64)/$G64,0)*$G64,
((_xlfn.XLOOKUP($A64,'[1]DATOS PBI Artículos'!$A:$A,'[1]DATOS PBI Artículos'!$AO:$AO))/(_xlfn.XLOOKUP($AL$1,[1]CRITERIOS!$S$16:$S$39,[1]CRITERIOS!$Y$16:$Y$39))*$J64+$Z64)))</f>
        <v>71601.612489264429</v>
      </c>
    </row>
    <row r="65" spans="1:37" ht="25.8" x14ac:dyDescent="0.5">
      <c r="A65" s="32" t="s">
        <v>58</v>
      </c>
      <c r="B65" s="33">
        <f>_xlfn.XLOOKUP($A65,'[1]DATOS PBI Artículos'!A:A,'[1]DATOS PBI Artículos'!B:B)</f>
        <v>0</v>
      </c>
      <c r="C65" s="33" t="str">
        <f>_xlfn.XLOOKUP($A65,'[1]DATOS PBI Artículos'!A:A,'[1]DATOS PBI Artículos'!C:C)</f>
        <v>UA03</v>
      </c>
      <c r="D65" s="33">
        <f>_xlfn.XLOOKUP(A65,'[1]DATOS PBI Artículos'!A:A,'[1]DATOS PBI Artículos'!T:T)</f>
        <v>2</v>
      </c>
      <c r="E65" s="34">
        <f>IF(_xlfn.XLOOKUP($A65,'[1]DATOS PBI Artículos'!A:A,'[1]DATOS PBI Artículos'!AK:AK)="",_xlfn.XLOOKUP($A65,'[1]DATOS PBI Artículos'!A:A,'[1]DATOS PBI Artículos'!AJ:AJ),_xlfn.XLOOKUP($A65,'[1]DATOS PBI Artículos'!A:A,'[1]DATOS PBI Artículos'!AK:AK))</f>
        <v>201000</v>
      </c>
      <c r="F65" s="35">
        <f>_xlfn.XLOOKUP($A65,'[1]DATOS PBI Artículos'!A:A,'[1]DATOS PBI Artículos'!AP:AP)</f>
        <v>30</v>
      </c>
      <c r="G65" s="34">
        <f>_xlfn.XLOOKUP($A65,'[1]DATOS PBI Artículos'!A:A,'[1]DATOS PBI Artículos'!AR:AR)</f>
        <v>100500</v>
      </c>
      <c r="H65" s="34">
        <f>_xlfn.XLOOKUP($A65,'[1]DATOS PBI Artículos'!A:A,'[1]DATOS PBI Artículos'!AT:AT)</f>
        <v>0</v>
      </c>
      <c r="I65" s="34">
        <f>_xlfn.XLOOKUP($A65,'[1]DATOS PBI Artículos'!A:A,'[1]DATOS PBI Artículos'!AS:AS)</f>
        <v>100500</v>
      </c>
      <c r="J65" s="35">
        <f>IF(COUNTIF([1]CRITERIOS!$F$179:$F$199,$A65)&gt;=1,
 IF(O65&lt;&gt;"",
    (O65/_xlfn.XLOOKUP(CONCATENATE(A65,L65),[1]MÁQUINAS!A:A,[1]MÁQUINAS!D:D))/24,
    (N65/_xlfn.XLOOKUP(CONCATENATE(A65,L65),[1]MÁQUINAS!A:A,[1]MÁQUINAS!D:D))/24),
  _xlfn.XLOOKUP($A65,'[1]DATOS PBI Artículos'!A:A,'[1]DATOS PBI Artículos'!AU:AU))</f>
        <v>13</v>
      </c>
      <c r="K65" s="36">
        <f>_xlfn.XLOOKUP($A65,'[1]DATOS PBI Artículos'!A:A,'[1]DATOS PBI Artículos'!AV:AV)</f>
        <v>1.1832159566199232</v>
      </c>
      <c r="L65" s="33">
        <f>_xlfn.XLOOKUP(A65,[1]MÁQUINAS!B:B,[1]MÁQUINAS!C:C)</f>
        <v>136</v>
      </c>
      <c r="M65" s="34">
        <f t="array" ref="M65">_xlfn.XLOOKUP(A65,'[1]DATOS PBI Artículos'!A:A,'[1]DATOS PBI Artículos'!AX:$AX)</f>
        <v>30588.309258437461</v>
      </c>
      <c r="N65" s="37">
        <f>IF(I65="DV",
E65,
IF(COUNTIF([1]CRITERIOS!$I$179:$I$199,$A65)&gt;=1,
_xlfn.XLOOKUP($A65,[1]CRITERIOS!$I$179:$I$199,[1]CRITERIOS!$J$179:$J$199),
IF(COUNTIF([1]CRITERIOS!$L$179:$L$199,$A65)&gt;=1,
_xlfn.CEILING.MATH(IF($M65&gt;$E65,
$E65,
IF($M65&lt;$E65/ROUNDDOWN([1]CRITERIOS!$M$16/_xlfn.XLOOKUP($C65,[1]CRITERIOS!$K$25:$K$42,[1]CRITERIOS!$M$25:$M$42),
1),
E65/ROUNDDOWN([1]CRITERIOS!$M$16/_xlfn.XLOOKUP($C65,[1]CRITERIOS!$K$25:$K$42,[1]CRITERIOS!$M$25:$M$42),
1),
$M65)),
_xlfn.XLOOKUP($A65,[1]CRITERIOS!$L$179:$L$200,[1]CRITERIOS!$M$179:$M$200)),
_xlfn.CEILING.MATH(IF($M65&gt;$E65,
$E65,
IF($M65&lt;$E65/ROUNDDOWN([1]CRITERIOS!$M$16/_xlfn.XLOOKUP($C65,[1]CRITERIOS!$K$25:$K$42,[1]CRITERIOS!$M$25:$M$42),
1),
E65/ROUNDDOWN([1]CRITERIOS!$M$16/_xlfn.XLOOKUP($C65,[1]CRITERIOS!$K$25:$K$42,[1]CRITERIOS!$M$25:$M$42),
1),
$M65)),_xlfn.XLOOKUP(A65,'[1]DATOS PBI Artículos'!A:A,'[1]DATOS PBI Artículos'!Z:Z
)))))</f>
        <v>55500</v>
      </c>
      <c r="Q65" s="38">
        <f>IF(AND(O65="",N65=0),
0,
   IF(COUNTIF([1]CRITERIOS!$F$179:$F$199,$A65)&gt;=1,
   1,
   IF(R65="MTO",
      $D65,
      ROUNDUP(
                    IF(($E65-SUMIF('[1]DATOS PBI Artículos'!A:A,A65,'[1]DATOS PBI Artículos'!X:X)+($V65-_xlfn.XLOOKUP(A65,'[1]DATOS PBI Artículos'!A:A,'[1]DATOS PBI Artículos'!W:W)))&lt;0,
                    0,
                    IF(($E65-SUMIF('[1]DATOS PBI Artículos'!A:A,A65,'[1]DATOS PBI Artículos'!X:X)+$V65-_xlfn.XLOOKUP($A65,'[1]DATOS PBI Artículos'!A:A,'[1]DATOS PBI Artículos'!W:W))/IF($O65="",$N65,$O65)&gt;ROUNDUP([1]CRITERIOS!$M$16/(IF(COUNTIF([1]CRITERIOS!$BG$11:$BG$201,L65)&gt;=1,_xlfn.XLOOKUP($C65,[1]CRITERIOS!$K$25:$K$42,[1]CRITERIOS!$M$25:$M$42),_xlfn.XLOOKUP($C65,[1]CRITERIOS!$K$25:$K$42,[1]CRITERIOS!$M$25:$M$42))),0),
                    ROUNDUP([1]CRITERIOS!$M$16/(IF(COUNTIF([1]CRITERIOS!$BG$11:$BG$201,$L65)&gt;=1,_xlfn.XLOOKUP($C65,[1]CRITERIOS!$K$25:$K$42,[1]CRITERIOS!$M$25:$M$42),_xlfn.XLOOKUP($C65,[1]CRITERIOS!$K$25:$K$42,[1]CRITERIOS!$M$25:$M$42))),0),
                    (E65+V65-SUMIF('[1]DATOS PBI Artículos'!A:A,A65,'[1]DATOS PBI Artículos'!X:X)-_xlfn.XLOOKUP(A65,'[1]DATOS PBI Artículos'!A:A,'[1]DATOS PBI Artículos'!W:W))/IF($O65="",$N65,$O65))),0))))</f>
        <v>2</v>
      </c>
      <c r="R65" s="33" t="str">
        <f>IF(U65&lt;&gt;"",U65,IF(F65="DV","MTO",IF(N65=0,"MTO",_xlfn.XLOOKUP(CONCATENATE(S65,T65),[1]CRITERIOS!$K$160:$K$168,[1]CRITERIOS!$N$160:$N$168))))</f>
        <v>MTO</v>
      </c>
      <c r="S65" s="33" t="str">
        <f>IF(G65="DV","MTO",IF(N65=0,"MTO",IF(OR(AND(N65=0,O65=""),IF(O65="",G65/N65,G65/O65)&gt;[1]CRITERIOS!$G$163),"MTO",IF(IF(O65="",G65/N65,G65/O65)&lt;[1]CRITERIOS!$H$161,"MTS","MTOS"))))</f>
        <v>MTO</v>
      </c>
      <c r="T65" s="33" t="str">
        <f>IF(F65="DV","MTO",IF(OR(AND($N65=0,O65=""),$F65/$J65&gt;[1]CRITERIOS!$G$170,$F65="DV"),"MTO",IF($F65/$J65&lt;[1]CRITERIOS!$H$168,"MTS","MTOS")))</f>
        <v>MTO</v>
      </c>
      <c r="V65" s="34" t="str">
        <f t="shared" si="4"/>
        <v/>
      </c>
      <c r="X65" s="34">
        <f t="shared" si="1"/>
        <v>0</v>
      </c>
      <c r="Y65" s="34">
        <f t="shared" si="2"/>
        <v>0</v>
      </c>
      <c r="Z65" s="34">
        <f>IF($R65="MTO",
0,
($H65+$K65*($E65/[1]CRITERIOS!$M$16))/[1]CRITERIOS!$X$48)</f>
        <v>0</v>
      </c>
      <c r="AA65" s="34" t="e">
        <f>ROUNDUP(($Y65/_xlfn.XLOOKUP($A65,'[1]DATOS PBI Artículos'!$A$4:$A$4,'[1]DATOS PBI Artículos'!$Z$4:$Z$4))/_xlfn.XLOOKUP(_xlfn.XLOOKUP($A65,'[1]DATOS PBI Artículos'!$A$4:$A$4,'[1]DATOS PBI Artículos'!$Y$4:$Y$4),[1]CRITERIOS!$P$79:$P$123,[1]CRITERIOS!$S$79:$S$123,),0)</f>
        <v>#N/A</v>
      </c>
      <c r="AB65" s="33" t="e">
        <f t="array" ref="AB65">IF((E65+V65-_xlfn.XLOOKUP(A65,'[1]DATOS PBI Artículos'!$A$4:$A$4,'[1]DATOS PBI Artículos'!$W$4:$W$4))/N65&gt;ROUNDUP([1]CRITERIOS!$M$16/(IF(COUNTIF([1]CRITERIOS!$BG$11:$BG$201,L65)&gt;=1,_xlfn.XLOOKUP(ARTÍCULOS!L65,[1]CRITERIOS!$BG$11:$BG$201,[1]CRITERIOS!$BJ$11:$BJ$201),_xlfn.XLOOKUP(ARTÍCULOS!C65,[1]CRITERIOS!$K$25:$K$42,[1]CRITERIOS!$M$25:$M$42))),0),ROUNDUP([1]CRITERIOS!$M$16/(IF(COUNTIF([1]CRITERIOS!$BG$11:$BG$201,L65)&gt;=1,_xlfn.XLOOKUP(ARTÍCULOS!L65,[1]CRITERIOS!$BG$11:$BG$201:#REF!,[1]CRITERIOS!$BJ$11:$BJ$201),_xlfn.XLOOKUP(ARTÍCULOS!C65,[1]CRITERIOS!$K$25:$K$42,[1]CRITERIOS!$M$25:$M$42))),0),(E65+V65-_xlfn.XLOOKUP(A65,'[1]DATOS PBI Artículos'!$A$4:$A$4,'[1]DATOS PBI Artículos'!$W$4:$W$4))/N65)</f>
        <v>#VALUE!</v>
      </c>
      <c r="AC65" s="33" t="e">
        <f>IF(N65=0,"",(ROUNDUP((N65/2)/(_xlfn.XLOOKUP(A65,'[1]DATOS PBI Artículos'!$A$4:$A$4,'[1]DATOS PBI Artículos'!$Z$4:$Z$4)*_xlfn.XLOOKUP(_xlfn.XLOOKUP(A65,'[1]DATOS PBI Artículos'!$A$4:$A$4,'[1]DATOS PBI Artículos'!$Y$4:$Y$4),[1]CRITERIOS!$P$79:$P$123,[1]CRITERIOS!$S$79:$S$123)),0)*[1]CRITERIOS!$M$80*([1]CRITERIOS!$M$110/[1]CRITERIOS!$M$86)+(_xlfn.XLOOKUP(A65,'[1]DATOS PBI Artículos'!$A$4:$A$4,'[1]DATOS PBI Artículos'!$AA$4:$AA$4)*([1]CRITERIOS!$M$95+[1]CRITERIOS!$M$98)))/N65)</f>
        <v>#N/A</v>
      </c>
      <c r="AD65" s="33" t="e">
        <f>IF(N65=0,"",(ROUNDUP((N65/2)/(_xlfn.XLOOKUP(A65,'[1]DATOS PBI Artículos'!$A$4:$A$4,'[1]DATOS PBI Artículos'!$Z$4:$Z$4)*_xlfn.XLOOKUP(_xlfn.XLOOKUP(A65,'[1]DATOS PBI Artículos'!$A$4:$A$4,'[1]DATOS PBI Artículos'!$Y$4:$Y$4),[1]CRITERIOS!$P$79:$P$123,[1]CRITERIOS!$S$79:$S$123)),0)*[1]CRITERIOS!$M$80*([1]CRITERIOS!$M$89*[1]CRITERIOS!$M$92)+((_xlfn.XLOOKUP(A65,'[1]DATOS PBI Artículos'!$A$4:$A$4,'[1]DATOS PBI Artículos'!$AA$4:$AA$4)/2)*([1]CRITERIOS!$M$95+[1]CRITERIOS!$M$98)))/N65)</f>
        <v>#N/A</v>
      </c>
      <c r="AE65" s="39" t="str">
        <f>IF($R65="MTO","",
IF($H65=0,ROUNDUP(((_xlfn.XLOOKUP($A65,'[1]DATOS PBI Artículos'!$A:$A,'[1]DATOS PBI Artículos'!$AL:$AL))/(_xlfn.XLOOKUP($AF$1,[1]CRITERIOS!$S$16:$S$39,[1]CRITERIOS!$Y$16:$Y$39))*$J65+$Z65)/$G65,0)*$G65,
((_xlfn.XLOOKUP($A65,'[1]DATOS PBI Artículos'!$A:$A,'[1]DATOS PBI Artículos'!$AL:$AL))/(_xlfn.XLOOKUP($AF$1,[1]CRITERIOS!$S$16:$S$39,[1]CRITERIOS!$Y$16:$Y$39))*$J65+$Z65)))</f>
        <v/>
      </c>
      <c r="AG65" s="39" t="str">
        <f>IF($R65="MTO","",
IF($H65=0,ROUNDUP(((_xlfn.XLOOKUP($A65,'[1]DATOS PBI Artículos'!$A:$A,'[1]DATOS PBI Artículos'!$AM:$AM))/(_xlfn.XLOOKUP($AH$1,[1]CRITERIOS!$S$16:$S$39,[1]CRITERIOS!$Y$16:$Y$39))*$J65+$Z65)/$G65,0)*$G65,
((_xlfn.XLOOKUP($A65,'[1]DATOS PBI Artículos'!$A:$A,'[1]DATOS PBI Artículos'!$AM:$AM))/(_xlfn.XLOOKUP($AH$1,[1]CRITERIOS!$S$16:$S$39,[1]CRITERIOS!$Y$16:$Y$39))*$J65+$Z65)))</f>
        <v/>
      </c>
      <c r="AI65" s="39" t="str">
        <f>IF($R65="MTO","",
IF($H65=0,ROUNDUP(((_xlfn.XLOOKUP($A65,'[1]DATOS PBI Artículos'!$A:$A,'[1]DATOS PBI Artículos'!$AN:$AN))/(_xlfn.XLOOKUP($AJ$1,[1]CRITERIOS!$S$16:$S$39,[1]CRITERIOS!$Y$16:$Y$39))*$J65+$Z65)/$G65,0)*$G65,
((_xlfn.XLOOKUP($A65,'[1]DATOS PBI Artículos'!$A:$A,'[1]DATOS PBI Artículos'!$AN:$AN))/(_xlfn.XLOOKUP($AJ$1,[1]CRITERIOS!$S$16:$S$39,[1]CRITERIOS!$Y$16:$Y$39))*$J65+$Z65)))</f>
        <v/>
      </c>
      <c r="AK65" s="39" t="str">
        <f>IF($R65="MTO","",
IF($H65=0,ROUNDUP(((_xlfn.XLOOKUP($A65,'[1]DATOS PBI Artículos'!$A:$A,'[1]DATOS PBI Artículos'!$AO:$AO))/(_xlfn.XLOOKUP($AL$1,[1]CRITERIOS!$S$16:$S$39,[1]CRITERIOS!$Y$16:$Y$39))*$J65+$Z65)/$G65,0)*$G65,
((_xlfn.XLOOKUP($A65,'[1]DATOS PBI Artículos'!$A:$A,'[1]DATOS PBI Artículos'!$AO:$AO))/(_xlfn.XLOOKUP($AL$1,[1]CRITERIOS!$S$16:$S$39,[1]CRITERIOS!$Y$16:$Y$39))*$J65+$Z65)))</f>
        <v/>
      </c>
    </row>
    <row r="66" spans="1:37" ht="25.8" x14ac:dyDescent="0.5">
      <c r="A66" s="32" t="s">
        <v>59</v>
      </c>
      <c r="B66" s="33">
        <f>_xlfn.XLOOKUP($A66,'[1]DATOS PBI Artículos'!A:A,'[1]DATOS PBI Artículos'!B:B)</f>
        <v>0</v>
      </c>
      <c r="C66" s="33" t="str">
        <f>_xlfn.XLOOKUP($A66,'[1]DATOS PBI Artículos'!A:A,'[1]DATOS PBI Artículos'!C:C)</f>
        <v>UA03</v>
      </c>
      <c r="D66" s="33">
        <f>_xlfn.XLOOKUP(A66,'[1]DATOS PBI Artículos'!A:A,'[1]DATOS PBI Artículos'!T:T)</f>
        <v>2</v>
      </c>
      <c r="E66" s="34">
        <f>IF(_xlfn.XLOOKUP($A66,'[1]DATOS PBI Artículos'!A:A,'[1]DATOS PBI Artículos'!AK:AK)="",_xlfn.XLOOKUP($A66,'[1]DATOS PBI Artículos'!A:A,'[1]DATOS PBI Artículos'!AJ:AJ),_xlfn.XLOOKUP($A66,'[1]DATOS PBI Artículos'!A:A,'[1]DATOS PBI Artículos'!AK:AK))</f>
        <v>200000</v>
      </c>
      <c r="F66" s="35">
        <f>_xlfn.XLOOKUP($A66,'[1]DATOS PBI Artículos'!A:A,'[1]DATOS PBI Artículos'!AP:AP)</f>
        <v>23</v>
      </c>
      <c r="G66" s="34">
        <f>_xlfn.XLOOKUP($A66,'[1]DATOS PBI Artículos'!A:A,'[1]DATOS PBI Artículos'!AR:AR)</f>
        <v>100000</v>
      </c>
      <c r="H66" s="34">
        <f>_xlfn.XLOOKUP($A66,'[1]DATOS PBI Artículos'!A:A,'[1]DATOS PBI Artículos'!AT:AT)</f>
        <v>0</v>
      </c>
      <c r="I66" s="34">
        <f>_xlfn.XLOOKUP($A66,'[1]DATOS PBI Artículos'!A:A,'[1]DATOS PBI Artículos'!AS:AS)</f>
        <v>100000</v>
      </c>
      <c r="J66" s="35">
        <f>IF(COUNTIF([1]CRITERIOS!$F$179:$F$199,$A66)&gt;=1,
 IF(O66&lt;&gt;"",
    (O66/_xlfn.XLOOKUP(CONCATENATE(A66,L66),[1]MÁQUINAS!A:A,[1]MÁQUINAS!D:D))/24,
    (N66/_xlfn.XLOOKUP(CONCATENATE(A66,L66),[1]MÁQUINAS!A:A,[1]MÁQUINAS!D:D))/24),
  _xlfn.XLOOKUP($A66,'[1]DATOS PBI Artículos'!A:A,'[1]DATOS PBI Artículos'!AU:AU))</f>
        <v>15.5</v>
      </c>
      <c r="K66" s="36">
        <f>_xlfn.XLOOKUP($A66,'[1]DATOS PBI Artículos'!A:A,'[1]DATOS PBI Artículos'!AV:AV)</f>
        <v>2.1213203435596424</v>
      </c>
      <c r="L66" s="33">
        <f>_xlfn.XLOOKUP(A66,[1]MÁQUINAS!B:B,[1]MÁQUINAS!C:C)</f>
        <v>122</v>
      </c>
      <c r="M66" s="34">
        <f t="array" ref="M66">_xlfn.XLOOKUP(A66,'[1]DATOS PBI Artículos'!A:A,'[1]DATOS PBI Artículos'!AX:$AX)</f>
        <v>41602.153428083409</v>
      </c>
      <c r="N66" s="37">
        <f>IF(I66="DV",
E66,
IF(COUNTIF([1]CRITERIOS!$I$179:$I$199,$A66)&gt;=1,
_xlfn.XLOOKUP($A66,[1]CRITERIOS!$I$179:$I$199,[1]CRITERIOS!$J$179:$J$199),
IF(COUNTIF([1]CRITERIOS!$L$179:$L$199,$A66)&gt;=1,
_xlfn.CEILING.MATH(IF($M66&gt;$E66,
$E66,
IF($M66&lt;$E66/ROUNDDOWN([1]CRITERIOS!$M$16/_xlfn.XLOOKUP($C66,[1]CRITERIOS!$K$25:$K$42,[1]CRITERIOS!$M$25:$M$42),
1),
E66/ROUNDDOWN([1]CRITERIOS!$M$16/_xlfn.XLOOKUP($C66,[1]CRITERIOS!$K$25:$K$42,[1]CRITERIOS!$M$25:$M$42),
1),
$M66)),
_xlfn.XLOOKUP($A66,[1]CRITERIOS!$L$179:$L$200,[1]CRITERIOS!$M$179:$M$200)),
_xlfn.CEILING.MATH(IF($M66&gt;$E66,
$E66,
IF($M66&lt;$E66/ROUNDDOWN([1]CRITERIOS!$M$16/_xlfn.XLOOKUP($C66,[1]CRITERIOS!$K$25:$K$42,[1]CRITERIOS!$M$25:$M$42),
1),
E66/ROUNDDOWN([1]CRITERIOS!$M$16/_xlfn.XLOOKUP($C66,[1]CRITERIOS!$K$25:$K$42,[1]CRITERIOS!$M$25:$M$42),
1),
$M66)),_xlfn.XLOOKUP(A66,'[1]DATOS PBI Artículos'!A:A,'[1]DATOS PBI Artículos'!Z:Z
)))))</f>
        <v>57000</v>
      </c>
      <c r="Q66" s="38">
        <f>IF(AND(O66="",N66=0),
0,
   IF(COUNTIF([1]CRITERIOS!$F$179:$F$199,$A66)&gt;=1,
   1,
   IF(R66="MTO",
      $D66,
      ROUNDUP(
                    IF(($E66-SUMIF('[1]DATOS PBI Artículos'!A:A,A66,'[1]DATOS PBI Artículos'!X:X)+($V66-_xlfn.XLOOKUP(A66,'[1]DATOS PBI Artículos'!A:A,'[1]DATOS PBI Artículos'!W:W)))&lt;0,
                    0,
                    IF(($E66-SUMIF('[1]DATOS PBI Artículos'!A:A,A66,'[1]DATOS PBI Artículos'!X:X)+$V66-_xlfn.XLOOKUP($A66,'[1]DATOS PBI Artículos'!A:A,'[1]DATOS PBI Artículos'!W:W))/IF($O66="",$N66,$O66)&gt;ROUNDUP([1]CRITERIOS!$M$16/(IF(COUNTIF([1]CRITERIOS!$BG$11:$BG$201,L66)&gt;=1,_xlfn.XLOOKUP($C66,[1]CRITERIOS!$K$25:$K$42,[1]CRITERIOS!$M$25:$M$42),_xlfn.XLOOKUP($C66,[1]CRITERIOS!$K$25:$K$42,[1]CRITERIOS!$M$25:$M$42))),0),
                    ROUNDUP([1]CRITERIOS!$M$16/(IF(COUNTIF([1]CRITERIOS!$BG$11:$BG$201,$L66)&gt;=1,_xlfn.XLOOKUP($C66,[1]CRITERIOS!$K$25:$K$42,[1]CRITERIOS!$M$25:$M$42),_xlfn.XLOOKUP($C66,[1]CRITERIOS!$K$25:$K$42,[1]CRITERIOS!$M$25:$M$42))),0),
                    (E66+V66-SUMIF('[1]DATOS PBI Artículos'!A:A,A66,'[1]DATOS PBI Artículos'!X:X)-_xlfn.XLOOKUP(A66,'[1]DATOS PBI Artículos'!A:A,'[1]DATOS PBI Artículos'!W:W))/IF($O66="",$N66,$O66))),0))))</f>
        <v>2</v>
      </c>
      <c r="R66" s="33" t="str">
        <f>IF(U66&lt;&gt;"",U66,IF(F66="DV","MTO",IF(N66=0,"MTO",_xlfn.XLOOKUP(CONCATENATE(S66,T66),[1]CRITERIOS!$K$160:$K$168,[1]CRITERIOS!$N$160:$N$168))))</f>
        <v>MTO</v>
      </c>
      <c r="S66" s="33" t="str">
        <f>IF(G66="DV","MTO",IF(N66=0,"MTO",IF(OR(AND(N66=0,O66=""),IF(O66="",G66/N66,G66/O66)&gt;[1]CRITERIOS!$G$163),"MTO",IF(IF(O66="",G66/N66,G66/O66)&lt;[1]CRITERIOS!$H$161,"MTS","MTOS"))))</f>
        <v>MTO</v>
      </c>
      <c r="T66" s="33" t="str">
        <f>IF(F66="DV","MTO",IF(OR(AND($N66=0,O66=""),$F66/$J66&gt;[1]CRITERIOS!$G$170,$F66="DV"),"MTO",IF($F66/$J66&lt;[1]CRITERIOS!$H$168,"MTS","MTOS")))</f>
        <v>MTO</v>
      </c>
      <c r="V66" s="34" t="str">
        <f t="shared" si="4"/>
        <v/>
      </c>
      <c r="X66" s="34">
        <f t="shared" si="1"/>
        <v>0</v>
      </c>
      <c r="Y66" s="34">
        <f t="shared" si="2"/>
        <v>0</v>
      </c>
      <c r="Z66" s="34">
        <f>IF($R66="MTO",
0,
($H66+$K66*($E66/[1]CRITERIOS!$M$16))/[1]CRITERIOS!$X$48)</f>
        <v>0</v>
      </c>
      <c r="AA66" s="34" t="e">
        <f>ROUNDUP(($Y66/_xlfn.XLOOKUP($A66,'[1]DATOS PBI Artículos'!$A$4:$A$4,'[1]DATOS PBI Artículos'!$Z$4:$Z$4))/_xlfn.XLOOKUP(_xlfn.XLOOKUP($A66,'[1]DATOS PBI Artículos'!$A$4:$A$4,'[1]DATOS PBI Artículos'!$Y$4:$Y$4),[1]CRITERIOS!$P$79:$P$123,[1]CRITERIOS!$S$79:$S$123,),0)</f>
        <v>#N/A</v>
      </c>
      <c r="AB66" s="33" t="e">
        <f t="array" ref="AB66">IF((E66+V66-_xlfn.XLOOKUP(A66,'[1]DATOS PBI Artículos'!$A$4:$A$4,'[1]DATOS PBI Artículos'!$W$4:$W$4))/N66&gt;ROUNDUP([1]CRITERIOS!$M$16/(IF(COUNTIF([1]CRITERIOS!$BG$11:$BG$201,L66)&gt;=1,_xlfn.XLOOKUP(ARTÍCULOS!L66,[1]CRITERIOS!$BG$11:$BG$201,[1]CRITERIOS!$BJ$11:$BJ$201),_xlfn.XLOOKUP(ARTÍCULOS!C66,[1]CRITERIOS!$K$25:$K$42,[1]CRITERIOS!$M$25:$M$42))),0),ROUNDUP([1]CRITERIOS!$M$16/(IF(COUNTIF([1]CRITERIOS!$BG$11:$BG$201,L66)&gt;=1,_xlfn.XLOOKUP(ARTÍCULOS!L66,[1]CRITERIOS!$BG$11:$BG$201:#REF!,[1]CRITERIOS!$BJ$11:$BJ$201),_xlfn.XLOOKUP(ARTÍCULOS!C66,[1]CRITERIOS!$K$25:$K$42,[1]CRITERIOS!$M$25:$M$42))),0),(E66+V66-_xlfn.XLOOKUP(A66,'[1]DATOS PBI Artículos'!$A$4:$A$4,'[1]DATOS PBI Artículos'!$W$4:$W$4))/N66)</f>
        <v>#VALUE!</v>
      </c>
      <c r="AC66" s="33" t="e">
        <f>IF(N66=0,"",(ROUNDUP((N66/2)/(_xlfn.XLOOKUP(A66,'[1]DATOS PBI Artículos'!$A$4:$A$4,'[1]DATOS PBI Artículos'!$Z$4:$Z$4)*_xlfn.XLOOKUP(_xlfn.XLOOKUP(A66,'[1]DATOS PBI Artículos'!$A$4:$A$4,'[1]DATOS PBI Artículos'!$Y$4:$Y$4),[1]CRITERIOS!$P$79:$P$123,[1]CRITERIOS!$S$79:$S$123)),0)*[1]CRITERIOS!$M$80*([1]CRITERIOS!$M$110/[1]CRITERIOS!$M$86)+(_xlfn.XLOOKUP(A66,'[1]DATOS PBI Artículos'!$A$4:$A$4,'[1]DATOS PBI Artículos'!$AA$4:$AA$4)*([1]CRITERIOS!$M$95+[1]CRITERIOS!$M$98)))/N66)</f>
        <v>#N/A</v>
      </c>
      <c r="AD66" s="33" t="e">
        <f>IF(N66=0,"",(ROUNDUP((N66/2)/(_xlfn.XLOOKUP(A66,'[1]DATOS PBI Artículos'!$A$4:$A$4,'[1]DATOS PBI Artículos'!$Z$4:$Z$4)*_xlfn.XLOOKUP(_xlfn.XLOOKUP(A66,'[1]DATOS PBI Artículos'!$A$4:$A$4,'[1]DATOS PBI Artículos'!$Y$4:$Y$4),[1]CRITERIOS!$P$79:$P$123,[1]CRITERIOS!$S$79:$S$123)),0)*[1]CRITERIOS!$M$80*([1]CRITERIOS!$M$89*[1]CRITERIOS!$M$92)+((_xlfn.XLOOKUP(A66,'[1]DATOS PBI Artículos'!$A$4:$A$4,'[1]DATOS PBI Artículos'!$AA$4:$AA$4)/2)*([1]CRITERIOS!$M$95+[1]CRITERIOS!$M$98)))/N66)</f>
        <v>#N/A</v>
      </c>
      <c r="AE66" s="39" t="str">
        <f>IF($R66="MTO","",
IF($H66=0,ROUNDUP(((_xlfn.XLOOKUP($A66,'[1]DATOS PBI Artículos'!$A:$A,'[1]DATOS PBI Artículos'!$AL:$AL))/(_xlfn.XLOOKUP($AF$1,[1]CRITERIOS!$S$16:$S$39,[1]CRITERIOS!$Y$16:$Y$39))*$J66+$Z66)/$G66,0)*$G66,
((_xlfn.XLOOKUP($A66,'[1]DATOS PBI Artículos'!$A:$A,'[1]DATOS PBI Artículos'!$AL:$AL))/(_xlfn.XLOOKUP($AF$1,[1]CRITERIOS!$S$16:$S$39,[1]CRITERIOS!$Y$16:$Y$39))*$J66+$Z66)))</f>
        <v/>
      </c>
      <c r="AG66" s="39" t="str">
        <f>IF($R66="MTO","",
IF($H66=0,ROUNDUP(((_xlfn.XLOOKUP($A66,'[1]DATOS PBI Artículos'!$A:$A,'[1]DATOS PBI Artículos'!$AM:$AM))/(_xlfn.XLOOKUP($AH$1,[1]CRITERIOS!$S$16:$S$39,[1]CRITERIOS!$Y$16:$Y$39))*$J66+$Z66)/$G66,0)*$G66,
((_xlfn.XLOOKUP($A66,'[1]DATOS PBI Artículos'!$A:$A,'[1]DATOS PBI Artículos'!$AM:$AM))/(_xlfn.XLOOKUP($AH$1,[1]CRITERIOS!$S$16:$S$39,[1]CRITERIOS!$Y$16:$Y$39))*$J66+$Z66)))</f>
        <v/>
      </c>
      <c r="AI66" s="39" t="str">
        <f>IF($R66="MTO","",
IF($H66=0,ROUNDUP(((_xlfn.XLOOKUP($A66,'[1]DATOS PBI Artículos'!$A:$A,'[1]DATOS PBI Artículos'!$AN:$AN))/(_xlfn.XLOOKUP($AJ$1,[1]CRITERIOS!$S$16:$S$39,[1]CRITERIOS!$Y$16:$Y$39))*$J66+$Z66)/$G66,0)*$G66,
((_xlfn.XLOOKUP($A66,'[1]DATOS PBI Artículos'!$A:$A,'[1]DATOS PBI Artículos'!$AN:$AN))/(_xlfn.XLOOKUP($AJ$1,[1]CRITERIOS!$S$16:$S$39,[1]CRITERIOS!$Y$16:$Y$39))*$J66+$Z66)))</f>
        <v/>
      </c>
      <c r="AK66" s="39" t="str">
        <f>IF($R66="MTO","",
IF($H66=0,ROUNDUP(((_xlfn.XLOOKUP($A66,'[1]DATOS PBI Artículos'!$A:$A,'[1]DATOS PBI Artículos'!$AO:$AO))/(_xlfn.XLOOKUP($AL$1,[1]CRITERIOS!$S$16:$S$39,[1]CRITERIOS!$Y$16:$Y$39))*$J66+$Z66)/$G66,0)*$G66,
((_xlfn.XLOOKUP($A66,'[1]DATOS PBI Artículos'!$A:$A,'[1]DATOS PBI Artículos'!$AO:$AO))/(_xlfn.XLOOKUP($AL$1,[1]CRITERIOS!$S$16:$S$39,[1]CRITERIOS!$Y$16:$Y$39))*$J66+$Z66)))</f>
        <v/>
      </c>
    </row>
    <row r="67" spans="1:37" ht="25.8" x14ac:dyDescent="0.5">
      <c r="A67" s="32">
        <v>451383</v>
      </c>
      <c r="B67" s="33">
        <f>_xlfn.XLOOKUP($A67,'[1]DATOS PBI Artículos'!A:A,'[1]DATOS PBI Artículos'!B:B)</f>
        <v>0</v>
      </c>
      <c r="C67" s="33" t="str">
        <f>_xlfn.XLOOKUP($A67,'[1]DATOS PBI Artículos'!A:A,'[1]DATOS PBI Artículos'!C:C)</f>
        <v>UA01</v>
      </c>
      <c r="D67" s="33">
        <f>_xlfn.XLOOKUP(A67,'[1]DATOS PBI Artículos'!A:A,'[1]DATOS PBI Artículos'!T:T)</f>
        <v>2</v>
      </c>
      <c r="E67" s="34">
        <f>IF(_xlfn.XLOOKUP($A67,'[1]DATOS PBI Artículos'!A:A,'[1]DATOS PBI Artículos'!AK:AK)="",_xlfn.XLOOKUP($A67,'[1]DATOS PBI Artículos'!A:A,'[1]DATOS PBI Artículos'!AJ:AJ),_xlfn.XLOOKUP($A67,'[1]DATOS PBI Artículos'!A:A,'[1]DATOS PBI Artículos'!AK:AK))</f>
        <v>200000</v>
      </c>
      <c r="F67" s="35">
        <f>_xlfn.XLOOKUP($A67,'[1]DATOS PBI Artículos'!A:A,'[1]DATOS PBI Artículos'!AP:AP)</f>
        <v>45</v>
      </c>
      <c r="G67" s="34">
        <f>_xlfn.XLOOKUP($A67,'[1]DATOS PBI Artículos'!A:A,'[1]DATOS PBI Artículos'!AR:AR)</f>
        <v>100000</v>
      </c>
      <c r="H67" s="34">
        <f>_xlfn.XLOOKUP($A67,'[1]DATOS PBI Artículos'!A:A,'[1]DATOS PBI Artículos'!AT:AT)</f>
        <v>0</v>
      </c>
      <c r="I67" s="34">
        <f>_xlfn.XLOOKUP($A67,'[1]DATOS PBI Artículos'!A:A,'[1]DATOS PBI Artículos'!AS:AS)</f>
        <v>100000</v>
      </c>
      <c r="J67" s="35">
        <f>IF(COUNTIF([1]CRITERIOS!$F$179:$F$199,$A67)&gt;=1,
 IF(O67&lt;&gt;"",
    (O67/_xlfn.XLOOKUP(CONCATENATE(A67,L67),[1]MÁQUINAS!A:A,[1]MÁQUINAS!D:D))/24,
    (N67/_xlfn.XLOOKUP(CONCATENATE(A67,L67),[1]MÁQUINAS!A:A,[1]MÁQUINAS!D:D))/24),
  _xlfn.XLOOKUP($A67,'[1]DATOS PBI Artículos'!A:A,'[1]DATOS PBI Artículos'!AU:AU))</f>
        <v>23.333333333333336</v>
      </c>
      <c r="K67" s="36">
        <f>_xlfn.XLOOKUP($A67,'[1]DATOS PBI Artículos'!A:A,'[1]DATOS PBI Artículos'!AV:AV)</f>
        <v>15.307950004273378</v>
      </c>
      <c r="L67" s="33">
        <f>_xlfn.XLOOKUP(A67,[1]MÁQUINAS!B:B,[1]MÁQUINAS!C:C)</f>
        <v>504</v>
      </c>
      <c r="M67" s="34">
        <f t="array" ref="M67">_xlfn.XLOOKUP(A67,'[1]DATOS PBI Artículos'!A:A,'[1]DATOS PBI Artículos'!AX:$AX)</f>
        <v>193231.44625580436</v>
      </c>
      <c r="N67" s="37">
        <f>IF(I67="DV",
E67,
IF(COUNTIF([1]CRITERIOS!$I$179:$I$199,$A67)&gt;=1,
_xlfn.XLOOKUP($A67,[1]CRITERIOS!$I$179:$I$199,[1]CRITERIOS!$J$179:$J$199),
IF(COUNTIF([1]CRITERIOS!$L$179:$L$199,$A67)&gt;=1,
_xlfn.CEILING.MATH(IF($M67&gt;$E67,
$E67,
IF($M67&lt;$E67/ROUNDDOWN([1]CRITERIOS!$M$16/_xlfn.XLOOKUP($C67,[1]CRITERIOS!$K$25:$K$42,[1]CRITERIOS!$M$25:$M$42),
1),
E67/ROUNDDOWN([1]CRITERIOS!$M$16/_xlfn.XLOOKUP($C67,[1]CRITERIOS!$K$25:$K$42,[1]CRITERIOS!$M$25:$M$42),
1),
$M67)),
_xlfn.XLOOKUP($A67,[1]CRITERIOS!$L$179:$L$200,[1]CRITERIOS!$M$179:$M$200)),
_xlfn.CEILING.MATH(IF($M67&gt;$E67,
$E67,
IF($M67&lt;$E67/ROUNDDOWN([1]CRITERIOS!$M$16/_xlfn.XLOOKUP($C67,[1]CRITERIOS!$K$25:$K$42,[1]CRITERIOS!$M$25:$M$42),
1),
E67/ROUNDDOWN([1]CRITERIOS!$M$16/_xlfn.XLOOKUP($C67,[1]CRITERIOS!$K$25:$K$42,[1]CRITERIOS!$M$25:$M$42),
1),
$M67)),_xlfn.XLOOKUP(A67,'[1]DATOS PBI Artículos'!A:A,'[1]DATOS PBI Artículos'!Z:Z
)))))</f>
        <v>195000</v>
      </c>
      <c r="Q67" s="38">
        <f>IF(AND(O67="",N67=0),
0,
   IF(COUNTIF([1]CRITERIOS!$F$179:$F$199,$A67)&gt;=1,
   1,
   IF(R67="MTO",
      $D67,
      ROUNDUP(
                    IF(($E67-SUMIF('[1]DATOS PBI Artículos'!A:A,A67,'[1]DATOS PBI Artículos'!X:X)+($V67-_xlfn.XLOOKUP(A67,'[1]DATOS PBI Artículos'!A:A,'[1]DATOS PBI Artículos'!W:W)))&lt;0,
                    0,
                    IF(($E67-SUMIF('[1]DATOS PBI Artículos'!A:A,A67,'[1]DATOS PBI Artículos'!X:X)+$V67-_xlfn.XLOOKUP($A67,'[1]DATOS PBI Artículos'!A:A,'[1]DATOS PBI Artículos'!W:W))/IF($O67="",$N67,$O67)&gt;ROUNDUP([1]CRITERIOS!$M$16/(IF(COUNTIF([1]CRITERIOS!$BG$11:$BG$201,L67)&gt;=1,_xlfn.XLOOKUP($C67,[1]CRITERIOS!$K$25:$K$42,[1]CRITERIOS!$M$25:$M$42),_xlfn.XLOOKUP($C67,[1]CRITERIOS!$K$25:$K$42,[1]CRITERIOS!$M$25:$M$42))),0),
                    ROUNDUP([1]CRITERIOS!$M$16/(IF(COUNTIF([1]CRITERIOS!$BG$11:$BG$201,$L67)&gt;=1,_xlfn.XLOOKUP($C67,[1]CRITERIOS!$K$25:$K$42,[1]CRITERIOS!$M$25:$M$42),_xlfn.XLOOKUP($C67,[1]CRITERIOS!$K$25:$K$42,[1]CRITERIOS!$M$25:$M$42))),0),
                    (E67+V67-SUMIF('[1]DATOS PBI Artículos'!A:A,A67,'[1]DATOS PBI Artículos'!X:X)-_xlfn.XLOOKUP(A67,'[1]DATOS PBI Artículos'!A:A,'[1]DATOS PBI Artículos'!W:W))/IF($O67="",$N67,$O67))),0))))</f>
        <v>2</v>
      </c>
      <c r="R67" s="33" t="str">
        <f>IF(U67&lt;&gt;"",U67,IF(F67="DV","MTO",IF(N67=0,"MTO",_xlfn.XLOOKUP(CONCATENATE(S67,T67),[1]CRITERIOS!$K$160:$K$168,[1]CRITERIOS!$N$160:$N$168))))</f>
        <v>MTO</v>
      </c>
      <c r="S67" s="33" t="str">
        <f>IF(G67="DV","MTO",IF(N67=0,"MTO",IF(OR(AND(N67=0,O67=""),IF(O67="",G67/N67,G67/O67)&gt;[1]CRITERIOS!$G$163),"MTO",IF(IF(O67="",G67/N67,G67/O67)&lt;[1]CRITERIOS!$H$161,"MTS","MTOS"))))</f>
        <v>MTOS</v>
      </c>
      <c r="T67" s="33" t="str">
        <f>IF(F67="DV","MTO",IF(OR(AND($N67=0,O67=""),$F67/$J67&gt;[1]CRITERIOS!$G$170,$F67="DV"),"MTO",IF($F67/$J67&lt;[1]CRITERIOS!$H$168,"MTS","MTOS")))</f>
        <v>MTO</v>
      </c>
      <c r="V67" s="34" t="str">
        <f t="shared" si="4"/>
        <v/>
      </c>
      <c r="X67" s="34">
        <f t="shared" ref="X67:X130" si="5">IF(R67="MTO",0,V67+N67)</f>
        <v>0</v>
      </c>
      <c r="Y67" s="34">
        <f t="shared" ref="Y67:Y130" si="6">IF(R67="MTO",0,Z67+(N67/2))</f>
        <v>0</v>
      </c>
      <c r="Z67" s="34">
        <f>IF($R67="MTO",
0,
($H67+$K67*($E67/[1]CRITERIOS!$M$16))/[1]CRITERIOS!$X$48)</f>
        <v>0</v>
      </c>
      <c r="AA67" s="34" t="e">
        <f>ROUNDUP(($Y67/_xlfn.XLOOKUP($A67,'[1]DATOS PBI Artículos'!$A$4:$A$4,'[1]DATOS PBI Artículos'!$Z$4:$Z$4))/_xlfn.XLOOKUP(_xlfn.XLOOKUP($A67,'[1]DATOS PBI Artículos'!$A$4:$A$4,'[1]DATOS PBI Artículos'!$Y$4:$Y$4),[1]CRITERIOS!$P$79:$P$123,[1]CRITERIOS!$S$79:$S$123,),0)</f>
        <v>#N/A</v>
      </c>
      <c r="AB67" s="33" t="e">
        <f t="array" ref="AB67">IF((E67+V67-_xlfn.XLOOKUP(A67,'[1]DATOS PBI Artículos'!$A$4:$A$4,'[1]DATOS PBI Artículos'!$W$4:$W$4))/N67&gt;ROUNDUP([1]CRITERIOS!$M$16/(IF(COUNTIF([1]CRITERIOS!$BG$11:$BG$201,L67)&gt;=1,_xlfn.XLOOKUP(ARTÍCULOS!L67,[1]CRITERIOS!$BG$11:$BG$201,[1]CRITERIOS!$BJ$11:$BJ$201),_xlfn.XLOOKUP(ARTÍCULOS!C67,[1]CRITERIOS!$K$25:$K$42,[1]CRITERIOS!$M$25:$M$42))),0),ROUNDUP([1]CRITERIOS!$M$16/(IF(COUNTIF([1]CRITERIOS!$BG$11:$BG$201,L67)&gt;=1,_xlfn.XLOOKUP(ARTÍCULOS!L67,[1]CRITERIOS!$BG$11:$BG$201:#REF!,[1]CRITERIOS!$BJ$11:$BJ$201),_xlfn.XLOOKUP(ARTÍCULOS!C67,[1]CRITERIOS!$K$25:$K$42,[1]CRITERIOS!$M$25:$M$42))),0),(E67+V67-_xlfn.XLOOKUP(A67,'[1]DATOS PBI Artículos'!$A$4:$A$4,'[1]DATOS PBI Artículos'!$W$4:$W$4))/N67)</f>
        <v>#VALUE!</v>
      </c>
      <c r="AC67" s="33" t="e">
        <f>IF(N67=0,"",(ROUNDUP((N67/2)/(_xlfn.XLOOKUP(A67,'[1]DATOS PBI Artículos'!$A$4:$A$4,'[1]DATOS PBI Artículos'!$Z$4:$Z$4)*_xlfn.XLOOKUP(_xlfn.XLOOKUP(A67,'[1]DATOS PBI Artículos'!$A$4:$A$4,'[1]DATOS PBI Artículos'!$Y$4:$Y$4),[1]CRITERIOS!$P$79:$P$123,[1]CRITERIOS!$S$79:$S$123)),0)*[1]CRITERIOS!$M$80*([1]CRITERIOS!$M$110/[1]CRITERIOS!$M$86)+(_xlfn.XLOOKUP(A67,'[1]DATOS PBI Artículos'!$A$4:$A$4,'[1]DATOS PBI Artículos'!$AA$4:$AA$4)*([1]CRITERIOS!$M$95+[1]CRITERIOS!$M$98)))/N67)</f>
        <v>#N/A</v>
      </c>
      <c r="AD67" s="33" t="e">
        <f>IF(N67=0,"",(ROUNDUP((N67/2)/(_xlfn.XLOOKUP(A67,'[1]DATOS PBI Artículos'!$A$4:$A$4,'[1]DATOS PBI Artículos'!$Z$4:$Z$4)*_xlfn.XLOOKUP(_xlfn.XLOOKUP(A67,'[1]DATOS PBI Artículos'!$A$4:$A$4,'[1]DATOS PBI Artículos'!$Y$4:$Y$4),[1]CRITERIOS!$P$79:$P$123,[1]CRITERIOS!$S$79:$S$123)),0)*[1]CRITERIOS!$M$80*([1]CRITERIOS!$M$89*[1]CRITERIOS!$M$92)+((_xlfn.XLOOKUP(A67,'[1]DATOS PBI Artículos'!$A$4:$A$4,'[1]DATOS PBI Artículos'!$AA$4:$AA$4)/2)*([1]CRITERIOS!$M$95+[1]CRITERIOS!$M$98)))/N67)</f>
        <v>#N/A</v>
      </c>
      <c r="AE67" s="39" t="str">
        <f>IF($R67="MTO","",
IF($H67=0,ROUNDUP(((_xlfn.XLOOKUP($A67,'[1]DATOS PBI Artículos'!$A:$A,'[1]DATOS PBI Artículos'!$AL:$AL))/(_xlfn.XLOOKUP($AF$1,[1]CRITERIOS!$S$16:$S$39,[1]CRITERIOS!$Y$16:$Y$39))*$J67+$Z67)/$G67,0)*$G67,
((_xlfn.XLOOKUP($A67,'[1]DATOS PBI Artículos'!$A:$A,'[1]DATOS PBI Artículos'!$AL:$AL))/(_xlfn.XLOOKUP($AF$1,[1]CRITERIOS!$S$16:$S$39,[1]CRITERIOS!$Y$16:$Y$39))*$J67+$Z67)))</f>
        <v/>
      </c>
      <c r="AG67" s="39" t="str">
        <f>IF($R67="MTO","",
IF($H67=0,ROUNDUP(((_xlfn.XLOOKUP($A67,'[1]DATOS PBI Artículos'!$A:$A,'[1]DATOS PBI Artículos'!$AM:$AM))/(_xlfn.XLOOKUP($AH$1,[1]CRITERIOS!$S$16:$S$39,[1]CRITERIOS!$Y$16:$Y$39))*$J67+$Z67)/$G67,0)*$G67,
((_xlfn.XLOOKUP($A67,'[1]DATOS PBI Artículos'!$A:$A,'[1]DATOS PBI Artículos'!$AM:$AM))/(_xlfn.XLOOKUP($AH$1,[1]CRITERIOS!$S$16:$S$39,[1]CRITERIOS!$Y$16:$Y$39))*$J67+$Z67)))</f>
        <v/>
      </c>
      <c r="AI67" s="39" t="str">
        <f>IF($R67="MTO","",
IF($H67=0,ROUNDUP(((_xlfn.XLOOKUP($A67,'[1]DATOS PBI Artículos'!$A:$A,'[1]DATOS PBI Artículos'!$AN:$AN))/(_xlfn.XLOOKUP($AJ$1,[1]CRITERIOS!$S$16:$S$39,[1]CRITERIOS!$Y$16:$Y$39))*$J67+$Z67)/$G67,0)*$G67,
((_xlfn.XLOOKUP($A67,'[1]DATOS PBI Artículos'!$A:$A,'[1]DATOS PBI Artículos'!$AN:$AN))/(_xlfn.XLOOKUP($AJ$1,[1]CRITERIOS!$S$16:$S$39,[1]CRITERIOS!$Y$16:$Y$39))*$J67+$Z67)))</f>
        <v/>
      </c>
      <c r="AK67" s="39" t="str">
        <f>IF($R67="MTO","",
IF($H67=0,ROUNDUP(((_xlfn.XLOOKUP($A67,'[1]DATOS PBI Artículos'!$A:$A,'[1]DATOS PBI Artículos'!$AO:$AO))/(_xlfn.XLOOKUP($AL$1,[1]CRITERIOS!$S$16:$S$39,[1]CRITERIOS!$Y$16:$Y$39))*$J67+$Z67)/$G67,0)*$G67,
((_xlfn.XLOOKUP($A67,'[1]DATOS PBI Artículos'!$A:$A,'[1]DATOS PBI Artículos'!$AO:$AO))/(_xlfn.XLOOKUP($AL$1,[1]CRITERIOS!$S$16:$S$39,[1]CRITERIOS!$Y$16:$Y$39))*$J67+$Z67)))</f>
        <v/>
      </c>
    </row>
    <row r="68" spans="1:37" ht="25.8" x14ac:dyDescent="0.5">
      <c r="A68" s="32">
        <v>453418</v>
      </c>
      <c r="B68" s="33">
        <f>_xlfn.XLOOKUP($A68,'[1]DATOS PBI Artículos'!A:A,'[1]DATOS PBI Artículos'!B:B)</f>
        <v>0</v>
      </c>
      <c r="C68" s="33" t="str">
        <f>_xlfn.XLOOKUP($A68,'[1]DATOS PBI Artículos'!A:A,'[1]DATOS PBI Artículos'!C:C)</f>
        <v>UA02</v>
      </c>
      <c r="D68" s="33">
        <f>_xlfn.XLOOKUP(A68,'[1]DATOS PBI Artículos'!A:A,'[1]DATOS PBI Artículos'!T:T)</f>
        <v>3</v>
      </c>
      <c r="E68" s="34">
        <f>IF(_xlfn.XLOOKUP($A68,'[1]DATOS PBI Artículos'!A:A,'[1]DATOS PBI Artículos'!AK:AK)="",_xlfn.XLOOKUP($A68,'[1]DATOS PBI Artículos'!A:A,'[1]DATOS PBI Artículos'!AJ:AJ),_xlfn.XLOOKUP($A68,'[1]DATOS PBI Artículos'!A:A,'[1]DATOS PBI Artículos'!AK:AK))</f>
        <v>200000</v>
      </c>
      <c r="F68" s="35">
        <f>_xlfn.XLOOKUP($A68,'[1]DATOS PBI Artículos'!A:A,'[1]DATOS PBI Artículos'!AP:AP)</f>
        <v>23.5</v>
      </c>
      <c r="G68" s="34">
        <f>_xlfn.XLOOKUP($A68,'[1]DATOS PBI Artículos'!A:A,'[1]DATOS PBI Artículos'!AR:AR)</f>
        <v>70000</v>
      </c>
      <c r="H68" s="34">
        <f>_xlfn.XLOOKUP($A68,'[1]DATOS PBI Artículos'!A:A,'[1]DATOS PBI Artículos'!AT:AT)</f>
        <v>5773.5026918962303</v>
      </c>
      <c r="I68" s="34">
        <f>_xlfn.XLOOKUP($A68,'[1]DATOS PBI Artículos'!A:A,'[1]DATOS PBI Artículos'!AS:AS)</f>
        <v>10000</v>
      </c>
      <c r="J68" s="35">
        <f>IF(COUNTIF([1]CRITERIOS!$F$179:$F$199,$A68)&gt;=1,
 IF(O68&lt;&gt;"",
    (O68/_xlfn.XLOOKUP(CONCATENATE(A68,L68),[1]MÁQUINAS!A:A,[1]MÁQUINAS!D:D))/24,
    (N68/_xlfn.XLOOKUP(CONCATENATE(A68,L68),[1]MÁQUINAS!A:A,[1]MÁQUINAS!D:D))/24),
  _xlfn.XLOOKUP($A68,'[1]DATOS PBI Artículos'!A:A,'[1]DATOS PBI Artículos'!AU:AU))</f>
        <v>27.307692307692307</v>
      </c>
      <c r="K68" s="36">
        <f>_xlfn.XLOOKUP($A68,'[1]DATOS PBI Artículos'!A:A,'[1]DATOS PBI Artículos'!AV:AV)</f>
        <v>11.827824647729434</v>
      </c>
      <c r="L68" s="33">
        <f>_xlfn.XLOOKUP(A68,[1]MÁQUINAS!B:B,[1]MÁQUINAS!C:C)</f>
        <v>212</v>
      </c>
      <c r="M68" s="34">
        <f t="array" ref="M68">_xlfn.XLOOKUP(A68,'[1]DATOS PBI Artículos'!A:A,'[1]DATOS PBI Artículos'!AX:$AX)</f>
        <v>63715.075676055429</v>
      </c>
      <c r="N68" s="37">
        <f>IF(I68="DV",
E68,
IF(COUNTIF([1]CRITERIOS!$I$179:$I$199,$A68)&gt;=1,
_xlfn.XLOOKUP($A68,[1]CRITERIOS!$I$179:$I$199,[1]CRITERIOS!$J$179:$J$199),
IF(COUNTIF([1]CRITERIOS!$L$179:$L$199,$A68)&gt;=1,
_xlfn.CEILING.MATH(IF($M68&gt;$E68,
$E68,
IF($M68&lt;$E68/ROUNDDOWN([1]CRITERIOS!$M$16/_xlfn.XLOOKUP($C68,[1]CRITERIOS!$K$25:$K$42,[1]CRITERIOS!$M$25:$M$42),
1),
E68/ROUNDDOWN([1]CRITERIOS!$M$16/_xlfn.XLOOKUP($C68,[1]CRITERIOS!$K$25:$K$42,[1]CRITERIOS!$M$25:$M$42),
1),
$M68)),
_xlfn.XLOOKUP($A68,[1]CRITERIOS!$L$179:$L$200,[1]CRITERIOS!$M$179:$M$200)),
_xlfn.CEILING.MATH(IF($M68&gt;$E68,
$E68,
IF($M68&lt;$E68/ROUNDDOWN([1]CRITERIOS!$M$16/_xlfn.XLOOKUP($C68,[1]CRITERIOS!$K$25:$K$42,[1]CRITERIOS!$M$25:$M$42),
1),
E68/ROUNDDOWN([1]CRITERIOS!$M$16/_xlfn.XLOOKUP($C68,[1]CRITERIOS!$K$25:$K$42,[1]CRITERIOS!$M$25:$M$42),
1),
$M68)),_xlfn.XLOOKUP(A68,'[1]DATOS PBI Artículos'!A:A,'[1]DATOS PBI Artículos'!Z:Z
)))))</f>
        <v>70000</v>
      </c>
      <c r="Q68" s="38">
        <f>IF(AND(O68="",N68=0),
0,
   IF(COUNTIF([1]CRITERIOS!$F$179:$F$199,$A68)&gt;=1,
   1,
   IF(R68="MTO",
      $D68,
      ROUNDUP(
                    IF(($E68-SUMIF('[1]DATOS PBI Artículos'!A:A,A68,'[1]DATOS PBI Artículos'!X:X)+($V68-_xlfn.XLOOKUP(A68,'[1]DATOS PBI Artículos'!A:A,'[1]DATOS PBI Artículos'!W:W)))&lt;0,
                    0,
                    IF(($E68-SUMIF('[1]DATOS PBI Artículos'!A:A,A68,'[1]DATOS PBI Artículos'!X:X)+$V68-_xlfn.XLOOKUP($A68,'[1]DATOS PBI Artículos'!A:A,'[1]DATOS PBI Artículos'!W:W))/IF($O68="",$N68,$O68)&gt;ROUNDUP([1]CRITERIOS!$M$16/(IF(COUNTIF([1]CRITERIOS!$BG$11:$BG$201,L68)&gt;=1,_xlfn.XLOOKUP($C68,[1]CRITERIOS!$K$25:$K$42,[1]CRITERIOS!$M$25:$M$42),_xlfn.XLOOKUP($C68,[1]CRITERIOS!$K$25:$K$42,[1]CRITERIOS!$M$25:$M$42))),0),
                    ROUNDUP([1]CRITERIOS!$M$16/(IF(COUNTIF([1]CRITERIOS!$BG$11:$BG$201,$L68)&gt;=1,_xlfn.XLOOKUP($C68,[1]CRITERIOS!$K$25:$K$42,[1]CRITERIOS!$M$25:$M$42),_xlfn.XLOOKUP($C68,[1]CRITERIOS!$K$25:$K$42,[1]CRITERIOS!$M$25:$M$42))),0),
                    (E68+V68-SUMIF('[1]DATOS PBI Artículos'!A:A,A68,'[1]DATOS PBI Artículos'!X:X)-_xlfn.XLOOKUP(A68,'[1]DATOS PBI Artículos'!A:A,'[1]DATOS PBI Artículos'!W:W))/IF($O68="",$N68,$O68))),0))))</f>
        <v>4</v>
      </c>
      <c r="R68" s="33" t="str">
        <f>IF(U68&lt;&gt;"",U68,IF(F68="DV","MTO",IF(N68=0,"MTO",_xlfn.XLOOKUP(CONCATENATE(S68,T68),[1]CRITERIOS!$K$160:$K$168,[1]CRITERIOS!$N$160:$N$168))))</f>
        <v>MTS</v>
      </c>
      <c r="S68" s="33" t="str">
        <f>IF(G68="DV","MTO",IF(N68=0,"MTO",IF(OR(AND(N68=0,O68=""),IF(O68="",G68/N68,G68/O68)&gt;[1]CRITERIOS!$G$163),"MTO",IF(IF(O68="",G68/N68,G68/O68)&lt;[1]CRITERIOS!$H$161,"MTS","MTOS"))))</f>
        <v>MTO</v>
      </c>
      <c r="T68" s="33" t="str">
        <f>IF(F68="DV","MTO",IF(OR(AND($N68=0,O68=""),$F68/$J68&gt;[1]CRITERIOS!$G$170,$F68="DV"),"MTO",IF($F68/$J68&lt;[1]CRITERIOS!$H$168,"MTS","MTOS")))</f>
        <v>MTS</v>
      </c>
      <c r="V68" s="34">
        <f t="shared" si="4"/>
        <v>112437.36920910495</v>
      </c>
      <c r="X68" s="34">
        <f t="shared" si="5"/>
        <v>182437.36920910495</v>
      </c>
      <c r="Y68" s="34">
        <f t="shared" si="6"/>
        <v>66095.307015978935</v>
      </c>
      <c r="Z68" s="34">
        <f>IF($R68="MTO",
0,
($H68+$K68*($E68/[1]CRITERIOS!$M$16))/[1]CRITERIOS!$X$48)</f>
        <v>31095.307015978931</v>
      </c>
      <c r="AA68" s="34" t="e">
        <f>ROUNDUP(($Y68/_xlfn.XLOOKUP($A68,'[1]DATOS PBI Artículos'!$A$4:$A$4,'[1]DATOS PBI Artículos'!$Z$4:$Z$4))/_xlfn.XLOOKUP(_xlfn.XLOOKUP($A68,'[1]DATOS PBI Artículos'!$A$4:$A$4,'[1]DATOS PBI Artículos'!$Y$4:$Y$4),[1]CRITERIOS!$P$79:$P$123,[1]CRITERIOS!$S$79:$S$123,),0)</f>
        <v>#N/A</v>
      </c>
      <c r="AB68" s="33" t="e">
        <f t="array" ref="AB68">IF((E68+V68-_xlfn.XLOOKUP(A68,'[1]DATOS PBI Artículos'!$A$4:$A$4,'[1]DATOS PBI Artículos'!$W$4:$W$4))/N68&gt;ROUNDUP([1]CRITERIOS!$M$16/(IF(COUNTIF([1]CRITERIOS!$BG$11:$BG$201,L68)&gt;=1,_xlfn.XLOOKUP(ARTÍCULOS!L68,[1]CRITERIOS!$BG$11:$BG$201,[1]CRITERIOS!$BJ$11:$BJ$201),_xlfn.XLOOKUP(ARTÍCULOS!C68,[1]CRITERIOS!$K$25:$K$42,[1]CRITERIOS!$M$25:$M$42))),0),ROUNDUP([1]CRITERIOS!$M$16/(IF(COUNTIF([1]CRITERIOS!$BG$11:$BG$201,L68)&gt;=1,_xlfn.XLOOKUP(ARTÍCULOS!L68,[1]CRITERIOS!$BG$11:$BG$201:#REF!,[1]CRITERIOS!$BJ$11:$BJ$201),_xlfn.XLOOKUP(ARTÍCULOS!C68,[1]CRITERIOS!$K$25:$K$42,[1]CRITERIOS!$M$25:$M$42))),0),(E68+V68-_xlfn.XLOOKUP(A68,'[1]DATOS PBI Artículos'!$A$4:$A$4,'[1]DATOS PBI Artículos'!$W$4:$W$4))/N68)</f>
        <v>#N/A</v>
      </c>
      <c r="AC68" s="33" t="e">
        <f>IF(N68=0,"",(ROUNDUP((N68/2)/(_xlfn.XLOOKUP(A68,'[1]DATOS PBI Artículos'!$A$4:$A$4,'[1]DATOS PBI Artículos'!$Z$4:$Z$4)*_xlfn.XLOOKUP(_xlfn.XLOOKUP(A68,'[1]DATOS PBI Artículos'!$A$4:$A$4,'[1]DATOS PBI Artículos'!$Y$4:$Y$4),[1]CRITERIOS!$P$79:$P$123,[1]CRITERIOS!$S$79:$S$123)),0)*[1]CRITERIOS!$M$80*([1]CRITERIOS!$M$110/[1]CRITERIOS!$M$86)+(_xlfn.XLOOKUP(A68,'[1]DATOS PBI Artículos'!$A$4:$A$4,'[1]DATOS PBI Artículos'!$AA$4:$AA$4)*([1]CRITERIOS!$M$95+[1]CRITERIOS!$M$98)))/N68)</f>
        <v>#N/A</v>
      </c>
      <c r="AD68" s="33" t="e">
        <f>IF(N68=0,"",(ROUNDUP((N68/2)/(_xlfn.XLOOKUP(A68,'[1]DATOS PBI Artículos'!$A$4:$A$4,'[1]DATOS PBI Artículos'!$Z$4:$Z$4)*_xlfn.XLOOKUP(_xlfn.XLOOKUP(A68,'[1]DATOS PBI Artículos'!$A$4:$A$4,'[1]DATOS PBI Artículos'!$Y$4:$Y$4),[1]CRITERIOS!$P$79:$P$123,[1]CRITERIOS!$S$79:$S$123)),0)*[1]CRITERIOS!$M$80*([1]CRITERIOS!$M$89*[1]CRITERIOS!$M$92)+((_xlfn.XLOOKUP(A68,'[1]DATOS PBI Artículos'!$A$4:$A$4,'[1]DATOS PBI Artículos'!$AA$4:$AA$4)/2)*([1]CRITERIOS!$M$95+[1]CRITERIOS!$M$98)))/N68)</f>
        <v>#N/A</v>
      </c>
      <c r="AE68" s="39">
        <f>IF($R68="MTO","",
IF($H68=0,ROUNDUP(((_xlfn.XLOOKUP($A68,'[1]DATOS PBI Artículos'!$A:$A,'[1]DATOS PBI Artículos'!$AL:$AL))/(_xlfn.XLOOKUP($AF$1,[1]CRITERIOS!$S$16:$S$39,[1]CRITERIOS!$Y$16:$Y$39))*$J68+$Z68)/$G68,0)*$G68,
((_xlfn.XLOOKUP($A68,'[1]DATOS PBI Artículos'!$A:$A,'[1]DATOS PBI Artículos'!$AL:$AL))/(_xlfn.XLOOKUP($AF$1,[1]CRITERIOS!$S$16:$S$39,[1]CRITERIOS!$Y$16:$Y$39))*$J68+$Z68)))</f>
        <v>115317.1813567909</v>
      </c>
      <c r="AG68" s="39">
        <f>IF($R68="MTO","",
IF($H68=0,ROUNDUP(((_xlfn.XLOOKUP($A68,'[1]DATOS PBI Artículos'!$A:$A,'[1]DATOS PBI Artículos'!$AM:$AM))/(_xlfn.XLOOKUP($AH$1,[1]CRITERIOS!$S$16:$S$39,[1]CRITERIOS!$Y$16:$Y$39))*$J68+$Z68)/$G68,0)*$G68,
((_xlfn.XLOOKUP($A68,'[1]DATOS PBI Artículos'!$A:$A,'[1]DATOS PBI Artículos'!$AM:$AM))/(_xlfn.XLOOKUP($AH$1,[1]CRITERIOS!$S$16:$S$39,[1]CRITERIOS!$Y$16:$Y$39))*$J68+$Z68)))</f>
        <v>91593.520525176253</v>
      </c>
      <c r="AI68" s="39">
        <f>IF($R68="MTO","",
IF($H68=0,ROUNDUP(((_xlfn.XLOOKUP($A68,'[1]DATOS PBI Artículos'!$A:$A,'[1]DATOS PBI Artículos'!$AN:$AN))/(_xlfn.XLOOKUP($AJ$1,[1]CRITERIOS!$S$16:$S$39,[1]CRITERIOS!$Y$16:$Y$39))*$J68+$Z68)/$G68,0)*$G68,
((_xlfn.XLOOKUP($A68,'[1]DATOS PBI Artículos'!$A:$A,'[1]DATOS PBI Artículos'!$AN:$AN))/(_xlfn.XLOOKUP($AJ$1,[1]CRITERIOS!$S$16:$S$39,[1]CRITERIOS!$Y$16:$Y$39))*$J68+$Z68)))</f>
        <v>103556.99295924815</v>
      </c>
      <c r="AK68" s="39">
        <f>IF($R68="MTO","",
IF($H68=0,ROUNDUP(((_xlfn.XLOOKUP($A68,'[1]DATOS PBI Artículos'!$A:$A,'[1]DATOS PBI Artículos'!$AO:$AO))/(_xlfn.XLOOKUP($AL$1,[1]CRITERIOS!$S$16:$S$39,[1]CRITERIOS!$Y$16:$Y$39))*$J68+$Z68)/$G68,0)*$G68,
((_xlfn.XLOOKUP($A68,'[1]DATOS PBI Artículos'!$A:$A,'[1]DATOS PBI Artículos'!$AO:$AO))/(_xlfn.XLOOKUP($AL$1,[1]CRITERIOS!$S$16:$S$39,[1]CRITERIOS!$Y$16:$Y$39))*$J68+$Z68)))</f>
        <v>110013.313717902</v>
      </c>
    </row>
    <row r="69" spans="1:37" ht="25.8" x14ac:dyDescent="0.5">
      <c r="A69" s="32" t="s">
        <v>60</v>
      </c>
      <c r="B69" s="33">
        <f>_xlfn.XLOOKUP($A69,'[1]DATOS PBI Artículos'!A:A,'[1]DATOS PBI Artículos'!B:B)</f>
        <v>0</v>
      </c>
      <c r="C69" s="33" t="str">
        <f>_xlfn.XLOOKUP($A69,'[1]DATOS PBI Artículos'!A:A,'[1]DATOS PBI Artículos'!C:C)</f>
        <v>UA01</v>
      </c>
      <c r="D69" s="33">
        <f>_xlfn.XLOOKUP(A69,'[1]DATOS PBI Artículos'!A:A,'[1]DATOS PBI Artículos'!T:T)</f>
        <v>2</v>
      </c>
      <c r="E69" s="34">
        <f>IF(_xlfn.XLOOKUP($A69,'[1]DATOS PBI Artículos'!A:A,'[1]DATOS PBI Artículos'!AK:AK)="",_xlfn.XLOOKUP($A69,'[1]DATOS PBI Artículos'!A:A,'[1]DATOS PBI Artículos'!AJ:AJ),_xlfn.XLOOKUP($A69,'[1]DATOS PBI Artículos'!A:A,'[1]DATOS PBI Artículos'!AK:AK))</f>
        <v>200000</v>
      </c>
      <c r="F69" s="35">
        <f>_xlfn.XLOOKUP($A69,'[1]DATOS PBI Artículos'!A:A,'[1]DATOS PBI Artículos'!AP:AP)</f>
        <v>34</v>
      </c>
      <c r="G69" s="34">
        <f>_xlfn.XLOOKUP($A69,'[1]DATOS PBI Artículos'!A:A,'[1]DATOS PBI Artículos'!AR:AR)</f>
        <v>100000</v>
      </c>
      <c r="H69" s="34">
        <f>_xlfn.XLOOKUP($A69,'[1]DATOS PBI Artículos'!A:A,'[1]DATOS PBI Artículos'!AT:AT)</f>
        <v>0</v>
      </c>
      <c r="I69" s="34">
        <f>_xlfn.XLOOKUP($A69,'[1]DATOS PBI Artículos'!A:A,'[1]DATOS PBI Artículos'!AS:AS)</f>
        <v>100000</v>
      </c>
      <c r="J69" s="35">
        <f>IF(COUNTIF([1]CRITERIOS!$F$179:$F$199,$A69)&gt;=1,
 IF(O69&lt;&gt;"",
    (O69/_xlfn.XLOOKUP(CONCATENATE(A69,L69),[1]MÁQUINAS!A:A,[1]MÁQUINAS!D:D))/24,
    (N69/_xlfn.XLOOKUP(CONCATENATE(A69,L69),[1]MÁQUINAS!A:A,[1]MÁQUINAS!D:D))/24),
  _xlfn.XLOOKUP($A69,'[1]DATOS PBI Artículos'!A:A,'[1]DATOS PBI Artículos'!AU:AU))</f>
        <v>17.5</v>
      </c>
      <c r="K69" s="36">
        <f>_xlfn.XLOOKUP($A69,'[1]DATOS PBI Artículos'!A:A,'[1]DATOS PBI Artículos'!AV:AV)</f>
        <v>3.3166247903553998</v>
      </c>
      <c r="L69" s="33">
        <f>_xlfn.XLOOKUP(A69,[1]MÁQUINAS!B:B,[1]MÁQUINAS!C:C)</f>
        <v>500</v>
      </c>
      <c r="M69" s="34">
        <f t="array" ref="M69">_xlfn.XLOOKUP(A69,'[1]DATOS PBI Artículos'!A:A,'[1]DATOS PBI Artículos'!AX:$AX)</f>
        <v>118088.3516759167</v>
      </c>
      <c r="N69" s="37">
        <f>IF(I69="DV",
E69,
IF(COUNTIF([1]CRITERIOS!$I$179:$I$199,$A69)&gt;=1,
_xlfn.XLOOKUP($A69,[1]CRITERIOS!$I$179:$I$199,[1]CRITERIOS!$J$179:$J$199),
IF(COUNTIF([1]CRITERIOS!$L$179:$L$199,$A69)&gt;=1,
_xlfn.CEILING.MATH(IF($M69&gt;$E69,
$E69,
IF($M69&lt;$E69/ROUNDDOWN([1]CRITERIOS!$M$16/_xlfn.XLOOKUP($C69,[1]CRITERIOS!$K$25:$K$42,[1]CRITERIOS!$M$25:$M$42),
1),
E69/ROUNDDOWN([1]CRITERIOS!$M$16/_xlfn.XLOOKUP($C69,[1]CRITERIOS!$K$25:$K$42,[1]CRITERIOS!$M$25:$M$42),
1),
$M69)),
_xlfn.XLOOKUP($A69,[1]CRITERIOS!$L$179:$L$200,[1]CRITERIOS!$M$179:$M$200)),
_xlfn.CEILING.MATH(IF($M69&gt;$E69,
$E69,
IF($M69&lt;$E69/ROUNDDOWN([1]CRITERIOS!$M$16/_xlfn.XLOOKUP($C69,[1]CRITERIOS!$K$25:$K$42,[1]CRITERIOS!$M$25:$M$42),
1),
E69/ROUNDDOWN([1]CRITERIOS!$M$16/_xlfn.XLOOKUP($C69,[1]CRITERIOS!$K$25:$K$42,[1]CRITERIOS!$M$25:$M$42),
1),
$M69)),_xlfn.XLOOKUP(A69,'[1]DATOS PBI Artículos'!A:A,'[1]DATOS PBI Artículos'!Z:Z
)))))</f>
        <v>120000</v>
      </c>
      <c r="Q69" s="38">
        <f>IF(AND(O69="",N69=0),
0,
   IF(COUNTIF([1]CRITERIOS!$F$179:$F$199,$A69)&gt;=1,
   1,
   IF(R69="MTO",
      $D69,
      ROUNDUP(
                    IF(($E69-SUMIF('[1]DATOS PBI Artículos'!A:A,A69,'[1]DATOS PBI Artículos'!X:X)+($V69-_xlfn.XLOOKUP(A69,'[1]DATOS PBI Artículos'!A:A,'[1]DATOS PBI Artículos'!W:W)))&lt;0,
                    0,
                    IF(($E69-SUMIF('[1]DATOS PBI Artículos'!A:A,A69,'[1]DATOS PBI Artículos'!X:X)+$V69-_xlfn.XLOOKUP($A69,'[1]DATOS PBI Artículos'!A:A,'[1]DATOS PBI Artículos'!W:W))/IF($O69="",$N69,$O69)&gt;ROUNDUP([1]CRITERIOS!$M$16/(IF(COUNTIF([1]CRITERIOS!$BG$11:$BG$201,L69)&gt;=1,_xlfn.XLOOKUP($C69,[1]CRITERIOS!$K$25:$K$42,[1]CRITERIOS!$M$25:$M$42),_xlfn.XLOOKUP($C69,[1]CRITERIOS!$K$25:$K$42,[1]CRITERIOS!$M$25:$M$42))),0),
                    ROUNDUP([1]CRITERIOS!$M$16/(IF(COUNTIF([1]CRITERIOS!$BG$11:$BG$201,$L69)&gt;=1,_xlfn.XLOOKUP($C69,[1]CRITERIOS!$K$25:$K$42,[1]CRITERIOS!$M$25:$M$42),_xlfn.XLOOKUP($C69,[1]CRITERIOS!$K$25:$K$42,[1]CRITERIOS!$M$25:$M$42))),0),
                    (E69+V69-SUMIF('[1]DATOS PBI Artículos'!A:A,A69,'[1]DATOS PBI Artículos'!X:X)-_xlfn.XLOOKUP(A69,'[1]DATOS PBI Artículos'!A:A,'[1]DATOS PBI Artículos'!W:W))/IF($O69="",$N69,$O69))),0))))</f>
        <v>2</v>
      </c>
      <c r="R69" s="33" t="str">
        <f>IF(U69&lt;&gt;"",U69,IF(F69="DV","MTO",IF(N69=0,"MTO",_xlfn.XLOOKUP(CONCATENATE(S69,T69),[1]CRITERIOS!$K$160:$K$168,[1]CRITERIOS!$N$160:$N$168))))</f>
        <v>MTO</v>
      </c>
      <c r="S69" s="33" t="str">
        <f>IF(G69="DV","MTO",IF(N69=0,"MTO",IF(OR(AND(N69=0,O69=""),IF(O69="",G69/N69,G69/O69)&gt;[1]CRITERIOS!$G$163),"MTO",IF(IF(O69="",G69/N69,G69/O69)&lt;[1]CRITERIOS!$H$161,"MTS","MTOS"))))</f>
        <v>MTO</v>
      </c>
      <c r="T69" s="33" t="str">
        <f>IF(F69="DV","MTO",IF(OR(AND($N69=0,O69=""),$F69/$J69&gt;[1]CRITERIOS!$G$170,$F69="DV"),"MTO",IF($F69/$J69&lt;[1]CRITERIOS!$H$168,"MTS","MTOS")))</f>
        <v>MTO</v>
      </c>
      <c r="V69" s="34" t="str">
        <f t="shared" si="4"/>
        <v/>
      </c>
      <c r="X69" s="34">
        <f t="shared" si="5"/>
        <v>0</v>
      </c>
      <c r="Y69" s="34">
        <f t="shared" si="6"/>
        <v>0</v>
      </c>
      <c r="Z69" s="34">
        <f>IF($R69="MTO",
0,
($H69+$K69*($E69/[1]CRITERIOS!$M$16))/[1]CRITERIOS!$X$48)</f>
        <v>0</v>
      </c>
      <c r="AA69" s="34" t="e">
        <f>ROUNDUP(($Y69/_xlfn.XLOOKUP($A69,'[1]DATOS PBI Artículos'!$A$4:$A$4,'[1]DATOS PBI Artículos'!$Z$4:$Z$4))/_xlfn.XLOOKUP(_xlfn.XLOOKUP($A69,'[1]DATOS PBI Artículos'!$A$4:$A$4,'[1]DATOS PBI Artículos'!$Y$4:$Y$4),[1]CRITERIOS!$P$79:$P$123,[1]CRITERIOS!$S$79:$S$123,),0)</f>
        <v>#N/A</v>
      </c>
      <c r="AB69" s="33" t="e">
        <f t="array" ref="AB69">IF((E69+V69-_xlfn.XLOOKUP(A69,'[1]DATOS PBI Artículos'!$A$4:$A$4,'[1]DATOS PBI Artículos'!$W$4:$W$4))/N69&gt;ROUNDUP([1]CRITERIOS!$M$16/(IF(COUNTIF([1]CRITERIOS!$BG$11:$BG$201,L69)&gt;=1,_xlfn.XLOOKUP(ARTÍCULOS!L69,[1]CRITERIOS!$BG$11:$BG$201,[1]CRITERIOS!$BJ$11:$BJ$201),_xlfn.XLOOKUP(ARTÍCULOS!C69,[1]CRITERIOS!$K$25:$K$42,[1]CRITERIOS!$M$25:$M$42))),0),ROUNDUP([1]CRITERIOS!$M$16/(IF(COUNTIF([1]CRITERIOS!$BG$11:$BG$201,L69)&gt;=1,_xlfn.XLOOKUP(ARTÍCULOS!L69,[1]CRITERIOS!$BG$11:$BG$201:#REF!,[1]CRITERIOS!$BJ$11:$BJ$201),_xlfn.XLOOKUP(ARTÍCULOS!C69,[1]CRITERIOS!$K$25:$K$42,[1]CRITERIOS!$M$25:$M$42))),0),(E69+V69-_xlfn.XLOOKUP(A69,'[1]DATOS PBI Artículos'!$A$4:$A$4,'[1]DATOS PBI Artículos'!$W$4:$W$4))/N69)</f>
        <v>#VALUE!</v>
      </c>
      <c r="AC69" s="33" t="e">
        <f>IF(N69=0,"",(ROUNDUP((N69/2)/(_xlfn.XLOOKUP(A69,'[1]DATOS PBI Artículos'!$A$4:$A$4,'[1]DATOS PBI Artículos'!$Z$4:$Z$4)*_xlfn.XLOOKUP(_xlfn.XLOOKUP(A69,'[1]DATOS PBI Artículos'!$A$4:$A$4,'[1]DATOS PBI Artículos'!$Y$4:$Y$4),[1]CRITERIOS!$P$79:$P$123,[1]CRITERIOS!$S$79:$S$123)),0)*[1]CRITERIOS!$M$80*([1]CRITERIOS!$M$110/[1]CRITERIOS!$M$86)+(_xlfn.XLOOKUP(A69,'[1]DATOS PBI Artículos'!$A$4:$A$4,'[1]DATOS PBI Artículos'!$AA$4:$AA$4)*([1]CRITERIOS!$M$95+[1]CRITERIOS!$M$98)))/N69)</f>
        <v>#N/A</v>
      </c>
      <c r="AD69" s="33" t="e">
        <f>IF(N69=0,"",(ROUNDUP((N69/2)/(_xlfn.XLOOKUP(A69,'[1]DATOS PBI Artículos'!$A$4:$A$4,'[1]DATOS PBI Artículos'!$Z$4:$Z$4)*_xlfn.XLOOKUP(_xlfn.XLOOKUP(A69,'[1]DATOS PBI Artículos'!$A$4:$A$4,'[1]DATOS PBI Artículos'!$Y$4:$Y$4),[1]CRITERIOS!$P$79:$P$123,[1]CRITERIOS!$S$79:$S$123)),0)*[1]CRITERIOS!$M$80*([1]CRITERIOS!$M$89*[1]CRITERIOS!$M$92)+((_xlfn.XLOOKUP(A69,'[1]DATOS PBI Artículos'!$A$4:$A$4,'[1]DATOS PBI Artículos'!$AA$4:$AA$4)/2)*([1]CRITERIOS!$M$95+[1]CRITERIOS!$M$98)))/N69)</f>
        <v>#N/A</v>
      </c>
      <c r="AE69" s="39" t="str">
        <f>IF($R69="MTO","",
IF($H69=0,ROUNDUP(((_xlfn.XLOOKUP($A69,'[1]DATOS PBI Artículos'!$A:$A,'[1]DATOS PBI Artículos'!$AL:$AL))/(_xlfn.XLOOKUP($AF$1,[1]CRITERIOS!$S$16:$S$39,[1]CRITERIOS!$Y$16:$Y$39))*$J69+$Z69)/$G69,0)*$G69,
((_xlfn.XLOOKUP($A69,'[1]DATOS PBI Artículos'!$A:$A,'[1]DATOS PBI Artículos'!$AL:$AL))/(_xlfn.XLOOKUP($AF$1,[1]CRITERIOS!$S$16:$S$39,[1]CRITERIOS!$Y$16:$Y$39))*$J69+$Z69)))</f>
        <v/>
      </c>
      <c r="AG69" s="39" t="str">
        <f>IF($R69="MTO","",
IF($H69=0,ROUNDUP(((_xlfn.XLOOKUP($A69,'[1]DATOS PBI Artículos'!$A:$A,'[1]DATOS PBI Artículos'!$AM:$AM))/(_xlfn.XLOOKUP($AH$1,[1]CRITERIOS!$S$16:$S$39,[1]CRITERIOS!$Y$16:$Y$39))*$J69+$Z69)/$G69,0)*$G69,
((_xlfn.XLOOKUP($A69,'[1]DATOS PBI Artículos'!$A:$A,'[1]DATOS PBI Artículos'!$AM:$AM))/(_xlfn.XLOOKUP($AH$1,[1]CRITERIOS!$S$16:$S$39,[1]CRITERIOS!$Y$16:$Y$39))*$J69+$Z69)))</f>
        <v/>
      </c>
      <c r="AI69" s="39" t="str">
        <f>IF($R69="MTO","",
IF($H69=0,ROUNDUP(((_xlfn.XLOOKUP($A69,'[1]DATOS PBI Artículos'!$A:$A,'[1]DATOS PBI Artículos'!$AN:$AN))/(_xlfn.XLOOKUP($AJ$1,[1]CRITERIOS!$S$16:$S$39,[1]CRITERIOS!$Y$16:$Y$39))*$J69+$Z69)/$G69,0)*$G69,
((_xlfn.XLOOKUP($A69,'[1]DATOS PBI Artículos'!$A:$A,'[1]DATOS PBI Artículos'!$AN:$AN))/(_xlfn.XLOOKUP($AJ$1,[1]CRITERIOS!$S$16:$S$39,[1]CRITERIOS!$Y$16:$Y$39))*$J69+$Z69)))</f>
        <v/>
      </c>
      <c r="AK69" s="39" t="str">
        <f>IF($R69="MTO","",
IF($H69=0,ROUNDUP(((_xlfn.XLOOKUP($A69,'[1]DATOS PBI Artículos'!$A:$A,'[1]DATOS PBI Artículos'!$AO:$AO))/(_xlfn.XLOOKUP($AL$1,[1]CRITERIOS!$S$16:$S$39,[1]CRITERIOS!$Y$16:$Y$39))*$J69+$Z69)/$G69,0)*$G69,
((_xlfn.XLOOKUP($A69,'[1]DATOS PBI Artículos'!$A:$A,'[1]DATOS PBI Artículos'!$AO:$AO))/(_xlfn.XLOOKUP($AL$1,[1]CRITERIOS!$S$16:$S$39,[1]CRITERIOS!$Y$16:$Y$39))*$J69+$Z69)))</f>
        <v/>
      </c>
    </row>
    <row r="70" spans="1:37" ht="25.8" x14ac:dyDescent="0.5">
      <c r="A70" s="32">
        <v>412604</v>
      </c>
      <c r="B70" s="33">
        <f>_xlfn.XLOOKUP($A70,'[1]DATOS PBI Artículos'!A:A,'[1]DATOS PBI Artículos'!B:B)</f>
        <v>0</v>
      </c>
      <c r="C70" s="33" t="str">
        <f>_xlfn.XLOOKUP($A70,'[1]DATOS PBI Artículos'!A:A,'[1]DATOS PBI Artículos'!C:C)</f>
        <v>UA02</v>
      </c>
      <c r="D70" s="33">
        <f>_xlfn.XLOOKUP(A70,'[1]DATOS PBI Artículos'!A:A,'[1]DATOS PBI Artículos'!T:T)</f>
        <v>2</v>
      </c>
      <c r="E70" s="34">
        <f>IF(_xlfn.XLOOKUP($A70,'[1]DATOS PBI Artículos'!A:A,'[1]DATOS PBI Artículos'!AK:AK)="",_xlfn.XLOOKUP($A70,'[1]DATOS PBI Artículos'!A:A,'[1]DATOS PBI Artículos'!AJ:AJ),_xlfn.XLOOKUP($A70,'[1]DATOS PBI Artículos'!A:A,'[1]DATOS PBI Artículos'!AK:AK))</f>
        <v>200000</v>
      </c>
      <c r="F70" s="35">
        <f>_xlfn.XLOOKUP($A70,'[1]DATOS PBI Artículos'!A:A,'[1]DATOS PBI Artículos'!AP:AP)</f>
        <v>21</v>
      </c>
      <c r="G70" s="34">
        <f>_xlfn.XLOOKUP($A70,'[1]DATOS PBI Artículos'!A:A,'[1]DATOS PBI Artículos'!AR:AR)</f>
        <v>100000</v>
      </c>
      <c r="H70" s="34">
        <f>_xlfn.XLOOKUP($A70,'[1]DATOS PBI Artículos'!A:A,'[1]DATOS PBI Artículos'!AT:AT)</f>
        <v>0</v>
      </c>
      <c r="I70" s="34">
        <f>_xlfn.XLOOKUP($A70,'[1]DATOS PBI Artículos'!A:A,'[1]DATOS PBI Artículos'!AS:AS)</f>
        <v>100000</v>
      </c>
      <c r="J70" s="35">
        <f>IF(COUNTIF([1]CRITERIOS!$F$179:$F$199,$A70)&gt;=1,
 IF(O70&lt;&gt;"",
    (O70/_xlfn.XLOOKUP(CONCATENATE(A70,L70),[1]MÁQUINAS!A:A,[1]MÁQUINAS!D:D))/24,
    (N70/_xlfn.XLOOKUP(CONCATENATE(A70,L70),[1]MÁQUINAS!A:A,[1]MÁQUINAS!D:D))/24),
  _xlfn.XLOOKUP($A70,'[1]DATOS PBI Artículos'!A:A,'[1]DATOS PBI Artículos'!AU:AU))</f>
        <v>29.8</v>
      </c>
      <c r="K70" s="36">
        <f>_xlfn.XLOOKUP($A70,'[1]DATOS PBI Artículos'!A:A,'[1]DATOS PBI Artículos'!AV:AV)</f>
        <v>8.4169141877795361</v>
      </c>
      <c r="L70" s="33">
        <f>_xlfn.XLOOKUP(A70,[1]MÁQUINAS!B:B,[1]MÁQUINAS!C:C)</f>
        <v>221</v>
      </c>
      <c r="M70" s="34">
        <f t="array" ref="M70">_xlfn.XLOOKUP(A70,'[1]DATOS PBI Artículos'!A:A,'[1]DATOS PBI Artículos'!AX:$AX)</f>
        <v>85002.960606713867</v>
      </c>
      <c r="N70" s="37">
        <f>IF(I70="DV",
E70,
IF(COUNTIF([1]CRITERIOS!$I$179:$I$199,$A70)&gt;=1,
_xlfn.XLOOKUP($A70,[1]CRITERIOS!$I$179:$I$199,[1]CRITERIOS!$J$179:$J$199),
IF(COUNTIF([1]CRITERIOS!$L$179:$L$199,$A70)&gt;=1,
_xlfn.CEILING.MATH(IF($M70&gt;$E70,
$E70,
IF($M70&lt;$E70/ROUNDDOWN([1]CRITERIOS!$M$16/_xlfn.XLOOKUP($C70,[1]CRITERIOS!$K$25:$K$42,[1]CRITERIOS!$M$25:$M$42),
1),
E70/ROUNDDOWN([1]CRITERIOS!$M$16/_xlfn.XLOOKUP($C70,[1]CRITERIOS!$K$25:$K$42,[1]CRITERIOS!$M$25:$M$42),
1),
$M70)),
_xlfn.XLOOKUP($A70,[1]CRITERIOS!$L$179:$L$200,[1]CRITERIOS!$M$179:$M$200)),
_xlfn.CEILING.MATH(IF($M70&gt;$E70,
$E70,
IF($M70&lt;$E70/ROUNDDOWN([1]CRITERIOS!$M$16/_xlfn.XLOOKUP($C70,[1]CRITERIOS!$K$25:$K$42,[1]CRITERIOS!$M$25:$M$42),
1),
E70/ROUNDDOWN([1]CRITERIOS!$M$16/_xlfn.XLOOKUP($C70,[1]CRITERIOS!$K$25:$K$42,[1]CRITERIOS!$M$25:$M$42),
1),
$M70)),_xlfn.XLOOKUP(A70,'[1]DATOS PBI Artículos'!A:A,'[1]DATOS PBI Artículos'!Z:Z
)))))</f>
        <v>90000</v>
      </c>
      <c r="Q70" s="38">
        <f>IF(AND(O70="",N70=0),
0,
   IF(COUNTIF([1]CRITERIOS!$F$179:$F$199,$A70)&gt;=1,
   1,
   IF(R70="MTO",
      $D70,
      ROUNDUP(
                    IF(($E70-SUMIF('[1]DATOS PBI Artículos'!A:A,A70,'[1]DATOS PBI Artículos'!X:X)+($V70-_xlfn.XLOOKUP(A70,'[1]DATOS PBI Artículos'!A:A,'[1]DATOS PBI Artículos'!W:W)))&lt;0,
                    0,
                    IF(($E70-SUMIF('[1]DATOS PBI Artículos'!A:A,A70,'[1]DATOS PBI Artículos'!X:X)+$V70-_xlfn.XLOOKUP($A70,'[1]DATOS PBI Artículos'!A:A,'[1]DATOS PBI Artículos'!W:W))/IF($O70="",$N70,$O70)&gt;ROUNDUP([1]CRITERIOS!$M$16/(IF(COUNTIF([1]CRITERIOS!$BG$11:$BG$201,L70)&gt;=1,_xlfn.XLOOKUP($C70,[1]CRITERIOS!$K$25:$K$42,[1]CRITERIOS!$M$25:$M$42),_xlfn.XLOOKUP($C70,[1]CRITERIOS!$K$25:$K$42,[1]CRITERIOS!$M$25:$M$42))),0),
                    ROUNDUP([1]CRITERIOS!$M$16/(IF(COUNTIF([1]CRITERIOS!$BG$11:$BG$201,$L70)&gt;=1,_xlfn.XLOOKUP($C70,[1]CRITERIOS!$K$25:$K$42,[1]CRITERIOS!$M$25:$M$42),_xlfn.XLOOKUP($C70,[1]CRITERIOS!$K$25:$K$42,[1]CRITERIOS!$M$25:$M$42))),0),
                    (E70+V70-SUMIF('[1]DATOS PBI Artículos'!A:A,A70,'[1]DATOS PBI Artículos'!X:X)-_xlfn.XLOOKUP(A70,'[1]DATOS PBI Artículos'!A:A,'[1]DATOS PBI Artículos'!W:W))/IF($O70="",$N70,$O70))),0))))</f>
        <v>3</v>
      </c>
      <c r="R70" s="33" t="str">
        <f>IF(U70&lt;&gt;"",U70,IF(F70="DV","MTO",IF(N70=0,"MTO",_xlfn.XLOOKUP(CONCATENATE(S70,T70),[1]CRITERIOS!$K$160:$K$168,[1]CRITERIOS!$N$160:$N$168))))</f>
        <v>MTS</v>
      </c>
      <c r="S70" s="33" t="str">
        <f>IF(G70="DV","MTO",IF(N70=0,"MTO",IF(OR(AND(N70=0,O70=""),IF(O70="",G70/N70,G70/O70)&gt;[1]CRITERIOS!$G$163),"MTO",IF(IF(O70="",G70/N70,G70/O70)&lt;[1]CRITERIOS!$H$161,"MTS","MTOS"))))</f>
        <v>MTO</v>
      </c>
      <c r="T70" s="33" t="str">
        <f>IF(F70="DV","MTO",IF(OR(AND($N70=0,O70=""),$F70/$J70&gt;[1]CRITERIOS!$G$170,$F70="DV"),"MTO",IF($F70/$J70&lt;[1]CRITERIOS!$H$168,"MTS","MTOS")))</f>
        <v>MTS</v>
      </c>
      <c r="V70" s="34">
        <f t="shared" si="4"/>
        <v>160609.01565538312</v>
      </c>
      <c r="X70" s="34">
        <f t="shared" si="5"/>
        <v>250609.01565538312</v>
      </c>
      <c r="Y70" s="34">
        <f t="shared" si="6"/>
        <v>63704.253750621188</v>
      </c>
      <c r="Z70" s="34">
        <f>IF($R70="MTO",
0,
($H70+$K70*($E70/[1]CRITERIOS!$M$16))/[1]CRITERIOS!$X$48)</f>
        <v>18704.253750621188</v>
      </c>
      <c r="AA70" s="34" t="e">
        <f>ROUNDUP(($Y70/_xlfn.XLOOKUP($A70,'[1]DATOS PBI Artículos'!$A$4:$A$4,'[1]DATOS PBI Artículos'!$Z$4:$Z$4))/_xlfn.XLOOKUP(_xlfn.XLOOKUP($A70,'[1]DATOS PBI Artículos'!$A$4:$A$4,'[1]DATOS PBI Artículos'!$Y$4:$Y$4),[1]CRITERIOS!$P$79:$P$123,[1]CRITERIOS!$S$79:$S$123,),0)</f>
        <v>#N/A</v>
      </c>
      <c r="AB70" s="33" t="e">
        <f t="array" ref="AB70">IF((E70+V70-_xlfn.XLOOKUP(A70,'[1]DATOS PBI Artículos'!$A$4:$A$4,'[1]DATOS PBI Artículos'!$W$4:$W$4))/N70&gt;ROUNDUP([1]CRITERIOS!$M$16/(IF(COUNTIF([1]CRITERIOS!$BG$11:$BG$201,L70)&gt;=1,_xlfn.XLOOKUP(ARTÍCULOS!L70,[1]CRITERIOS!$BG$11:$BG$201,[1]CRITERIOS!$BJ$11:$BJ$201),_xlfn.XLOOKUP(ARTÍCULOS!C70,[1]CRITERIOS!$K$25:$K$42,[1]CRITERIOS!$M$25:$M$42))),0),ROUNDUP([1]CRITERIOS!$M$16/(IF(COUNTIF([1]CRITERIOS!$BG$11:$BG$201,L70)&gt;=1,_xlfn.XLOOKUP(ARTÍCULOS!L70,[1]CRITERIOS!$BG$11:$BG$201:#REF!,[1]CRITERIOS!$BJ$11:$BJ$201),_xlfn.XLOOKUP(ARTÍCULOS!C70,[1]CRITERIOS!$K$25:$K$42,[1]CRITERIOS!$M$25:$M$42))),0),(E70+V70-_xlfn.XLOOKUP(A70,'[1]DATOS PBI Artículos'!$A$4:$A$4,'[1]DATOS PBI Artículos'!$W$4:$W$4))/N70)</f>
        <v>#N/A</v>
      </c>
      <c r="AC70" s="33" t="e">
        <f>IF(N70=0,"",(ROUNDUP((N70/2)/(_xlfn.XLOOKUP(A70,'[1]DATOS PBI Artículos'!$A$4:$A$4,'[1]DATOS PBI Artículos'!$Z$4:$Z$4)*_xlfn.XLOOKUP(_xlfn.XLOOKUP(A70,'[1]DATOS PBI Artículos'!$A$4:$A$4,'[1]DATOS PBI Artículos'!$Y$4:$Y$4),[1]CRITERIOS!$P$79:$P$123,[1]CRITERIOS!$S$79:$S$123)),0)*[1]CRITERIOS!$M$80*([1]CRITERIOS!$M$110/[1]CRITERIOS!$M$86)+(_xlfn.XLOOKUP(A70,'[1]DATOS PBI Artículos'!$A$4:$A$4,'[1]DATOS PBI Artículos'!$AA$4:$AA$4)*([1]CRITERIOS!$M$95+[1]CRITERIOS!$M$98)))/N70)</f>
        <v>#N/A</v>
      </c>
      <c r="AD70" s="33" t="e">
        <f>IF(N70=0,"",(ROUNDUP((N70/2)/(_xlfn.XLOOKUP(A70,'[1]DATOS PBI Artículos'!$A$4:$A$4,'[1]DATOS PBI Artículos'!$Z$4:$Z$4)*_xlfn.XLOOKUP(_xlfn.XLOOKUP(A70,'[1]DATOS PBI Artículos'!$A$4:$A$4,'[1]DATOS PBI Artículos'!$Y$4:$Y$4),[1]CRITERIOS!$P$79:$P$123,[1]CRITERIOS!$S$79:$S$123)),0)*[1]CRITERIOS!$M$80*([1]CRITERIOS!$M$89*[1]CRITERIOS!$M$92)+((_xlfn.XLOOKUP(A70,'[1]DATOS PBI Artículos'!$A$4:$A$4,'[1]DATOS PBI Artículos'!$AA$4:$AA$4)/2)*([1]CRITERIOS!$M$95+[1]CRITERIOS!$M$98)))/N70)</f>
        <v>#N/A</v>
      </c>
      <c r="AE70" s="39">
        <f>IF($R70="MTO","",
IF($H70=0,ROUNDUP(((_xlfn.XLOOKUP($A70,'[1]DATOS PBI Artículos'!$A:$A,'[1]DATOS PBI Artículos'!$AL:$AL))/(_xlfn.XLOOKUP($AF$1,[1]CRITERIOS!$S$16:$S$39,[1]CRITERIOS!$Y$16:$Y$39))*$J70+$Z70)/$G70,0)*$G70,
((_xlfn.XLOOKUP($A70,'[1]DATOS PBI Artículos'!$A:$A,'[1]DATOS PBI Artículos'!$AL:$AL))/(_xlfn.XLOOKUP($AF$1,[1]CRITERIOS!$S$16:$S$39,[1]CRITERIOS!$Y$16:$Y$39))*$J70+$Z70)))</f>
        <v>200000</v>
      </c>
      <c r="AG70" s="39">
        <f>IF($R70="MTO","",
IF($H70=0,ROUNDUP(((_xlfn.XLOOKUP($A70,'[1]DATOS PBI Artículos'!$A:$A,'[1]DATOS PBI Artículos'!$AM:$AM))/(_xlfn.XLOOKUP($AH$1,[1]CRITERIOS!$S$16:$S$39,[1]CRITERIOS!$Y$16:$Y$39))*$J70+$Z70)/$G70,0)*$G70,
((_xlfn.XLOOKUP($A70,'[1]DATOS PBI Artículos'!$A:$A,'[1]DATOS PBI Artículos'!$AM:$AM))/(_xlfn.XLOOKUP($AH$1,[1]CRITERIOS!$S$16:$S$39,[1]CRITERIOS!$Y$16:$Y$39))*$J70+$Z70)))</f>
        <v>100000</v>
      </c>
      <c r="AI70" s="39">
        <f>IF($R70="MTO","",
IF($H70=0,ROUNDUP(((_xlfn.XLOOKUP($A70,'[1]DATOS PBI Artículos'!$A:$A,'[1]DATOS PBI Artículos'!$AN:$AN))/(_xlfn.XLOOKUP($AJ$1,[1]CRITERIOS!$S$16:$S$39,[1]CRITERIOS!$Y$16:$Y$39))*$J70+$Z70)/$G70,0)*$G70,
((_xlfn.XLOOKUP($A70,'[1]DATOS PBI Artículos'!$A:$A,'[1]DATOS PBI Artículos'!$AN:$AN))/(_xlfn.XLOOKUP($AJ$1,[1]CRITERIOS!$S$16:$S$39,[1]CRITERIOS!$Y$16:$Y$39))*$J70+$Z70)))</f>
        <v>100000</v>
      </c>
      <c r="AK70" s="39">
        <f>IF($R70="MTO","",
IF($H70=0,ROUNDUP(((_xlfn.XLOOKUP($A70,'[1]DATOS PBI Artículos'!$A:$A,'[1]DATOS PBI Artículos'!$AO:$AO))/(_xlfn.XLOOKUP($AL$1,[1]CRITERIOS!$S$16:$S$39,[1]CRITERIOS!$Y$16:$Y$39))*$J70+$Z70)/$G70,0)*$G70,
((_xlfn.XLOOKUP($A70,'[1]DATOS PBI Artículos'!$A:$A,'[1]DATOS PBI Artículos'!$AO:$AO))/(_xlfn.XLOOKUP($AL$1,[1]CRITERIOS!$S$16:$S$39,[1]CRITERIOS!$Y$16:$Y$39))*$J70+$Z70)))</f>
        <v>200000</v>
      </c>
    </row>
    <row r="71" spans="1:37" ht="25.8" x14ac:dyDescent="0.5">
      <c r="A71" s="32">
        <v>453526</v>
      </c>
      <c r="B71" s="33">
        <f>_xlfn.XLOOKUP($A71,'[1]DATOS PBI Artículos'!A:A,'[1]DATOS PBI Artículos'!B:B)</f>
        <v>0</v>
      </c>
      <c r="C71" s="33" t="str">
        <f>_xlfn.XLOOKUP($A71,'[1]DATOS PBI Artículos'!A:A,'[1]DATOS PBI Artículos'!C:C)</f>
        <v>UA01</v>
      </c>
      <c r="D71" s="33">
        <f>_xlfn.XLOOKUP(A71,'[1]DATOS PBI Artículos'!A:A,'[1]DATOS PBI Artículos'!T:T)</f>
        <v>4</v>
      </c>
      <c r="E71" s="34">
        <f>IF(_xlfn.XLOOKUP($A71,'[1]DATOS PBI Artículos'!A:A,'[1]DATOS PBI Artículos'!AK:AK)="",_xlfn.XLOOKUP($A71,'[1]DATOS PBI Artículos'!A:A,'[1]DATOS PBI Artículos'!AJ:AJ),_xlfn.XLOOKUP($A71,'[1]DATOS PBI Artículos'!A:A,'[1]DATOS PBI Artículos'!AK:AK))</f>
        <v>200000</v>
      </c>
      <c r="F71" s="35">
        <f>_xlfn.XLOOKUP($A71,'[1]DATOS PBI Artículos'!A:A,'[1]DATOS PBI Artículos'!AP:AP)</f>
        <v>16</v>
      </c>
      <c r="G71" s="34">
        <f>_xlfn.XLOOKUP($A71,'[1]DATOS PBI Artículos'!A:A,'[1]DATOS PBI Artículos'!AR:AR)</f>
        <v>50000</v>
      </c>
      <c r="H71" s="34">
        <f>_xlfn.XLOOKUP($A71,'[1]DATOS PBI Artículos'!A:A,'[1]DATOS PBI Artículos'!AT:AT)</f>
        <v>0</v>
      </c>
      <c r="I71" s="34">
        <f>_xlfn.XLOOKUP($A71,'[1]DATOS PBI Artículos'!A:A,'[1]DATOS PBI Artículos'!AS:AS)</f>
        <v>50000</v>
      </c>
      <c r="J71" s="35">
        <f>IF(COUNTIF([1]CRITERIOS!$F$179:$F$199,$A71)&gt;=1,
 IF(O71&lt;&gt;"",
    (O71/_xlfn.XLOOKUP(CONCATENATE(A71,L71),[1]MÁQUINAS!A:A,[1]MÁQUINAS!D:D))/24,
    (N71/_xlfn.XLOOKUP(CONCATENATE(A71,L71),[1]MÁQUINAS!A:A,[1]MÁQUINAS!D:D))/24),
  _xlfn.XLOOKUP($A71,'[1]DATOS PBI Artículos'!A:A,'[1]DATOS PBI Artículos'!AU:AU))</f>
        <v>1.3333333333333333</v>
      </c>
      <c r="K71" s="36">
        <f>_xlfn.XLOOKUP($A71,'[1]DATOS PBI Artículos'!A:A,'[1]DATOS PBI Artículos'!AV:AV)</f>
        <v>5.1473525326363747</v>
      </c>
      <c r="L71" s="33">
        <f>_xlfn.XLOOKUP(A71,[1]MÁQUINAS!B:B,[1]MÁQUINAS!C:C)</f>
        <v>409</v>
      </c>
      <c r="M71" s="34">
        <f t="array" ref="M71">_xlfn.XLOOKUP(A71,'[1]DATOS PBI Artículos'!A:A,'[1]DATOS PBI Artículos'!AX:$AX)</f>
        <v>79192.311809648643</v>
      </c>
      <c r="N71" s="37">
        <f>IF(I71="DV",
E71,
IF(COUNTIF([1]CRITERIOS!$I$179:$I$199,$A71)&gt;=1,
_xlfn.XLOOKUP($A71,[1]CRITERIOS!$I$179:$I$199,[1]CRITERIOS!$J$179:$J$199),
IF(COUNTIF([1]CRITERIOS!$L$179:$L$199,$A71)&gt;=1,
_xlfn.CEILING.MATH(IF($M71&gt;$E71,
$E71,
IF($M71&lt;$E71/ROUNDDOWN([1]CRITERIOS!$M$16/_xlfn.XLOOKUP($C71,[1]CRITERIOS!$K$25:$K$42,[1]CRITERIOS!$M$25:$M$42),
1),
E71/ROUNDDOWN([1]CRITERIOS!$M$16/_xlfn.XLOOKUP($C71,[1]CRITERIOS!$K$25:$K$42,[1]CRITERIOS!$M$25:$M$42),
1),
$M71)),
_xlfn.XLOOKUP($A71,[1]CRITERIOS!$L$179:$L$200,[1]CRITERIOS!$M$179:$M$200)),
_xlfn.CEILING.MATH(IF($M71&gt;$E71,
$E71,
IF($M71&lt;$E71/ROUNDDOWN([1]CRITERIOS!$M$16/_xlfn.XLOOKUP($C71,[1]CRITERIOS!$K$25:$K$42,[1]CRITERIOS!$M$25:$M$42),
1),
E71/ROUNDDOWN([1]CRITERIOS!$M$16/_xlfn.XLOOKUP($C71,[1]CRITERIOS!$K$25:$K$42,[1]CRITERIOS!$M$25:$M$42),
1),
$M71)),_xlfn.XLOOKUP(A71,'[1]DATOS PBI Artículos'!A:A,'[1]DATOS PBI Artículos'!Z:Z
)))))</f>
        <v>80000</v>
      </c>
      <c r="Q71" s="38">
        <f>IF(AND(O71="",N71=0),
0,
   IF(COUNTIF([1]CRITERIOS!$F$179:$F$199,$A71)&gt;=1,
   1,
   IF(R71="MTO",
      $D71,
      ROUNDUP(
                    IF(($E71-SUMIF('[1]DATOS PBI Artículos'!A:A,A71,'[1]DATOS PBI Artículos'!X:X)+($V71-_xlfn.XLOOKUP(A71,'[1]DATOS PBI Artículos'!A:A,'[1]DATOS PBI Artículos'!W:W)))&lt;0,
                    0,
                    IF(($E71-SUMIF('[1]DATOS PBI Artículos'!A:A,A71,'[1]DATOS PBI Artículos'!X:X)+$V71-_xlfn.XLOOKUP($A71,'[1]DATOS PBI Artículos'!A:A,'[1]DATOS PBI Artículos'!W:W))/IF($O71="",$N71,$O71)&gt;ROUNDUP([1]CRITERIOS!$M$16/(IF(COUNTIF([1]CRITERIOS!$BG$11:$BG$201,L71)&gt;=1,_xlfn.XLOOKUP($C71,[1]CRITERIOS!$K$25:$K$42,[1]CRITERIOS!$M$25:$M$42),_xlfn.XLOOKUP($C71,[1]CRITERIOS!$K$25:$K$42,[1]CRITERIOS!$M$25:$M$42))),0),
                    ROUNDUP([1]CRITERIOS!$M$16/(IF(COUNTIF([1]CRITERIOS!$BG$11:$BG$201,$L71)&gt;=1,_xlfn.XLOOKUP($C71,[1]CRITERIOS!$K$25:$K$42,[1]CRITERIOS!$M$25:$M$42),_xlfn.XLOOKUP($C71,[1]CRITERIOS!$K$25:$K$42,[1]CRITERIOS!$M$25:$M$42))),0),
                    (E71+V71-SUMIF('[1]DATOS PBI Artículos'!A:A,A71,'[1]DATOS PBI Artículos'!X:X)-_xlfn.XLOOKUP(A71,'[1]DATOS PBI Artículos'!A:A,'[1]DATOS PBI Artículos'!W:W))/IF($O71="",$N71,$O71))),0))))</f>
        <v>1</v>
      </c>
      <c r="R71" s="33" t="str">
        <f>IF(U71&lt;&gt;"",U71,IF(F71="DV","MTO",IF(N71=0,"MTO",_xlfn.XLOOKUP(CONCATENATE(S71,T71),[1]CRITERIOS!$K$160:$K$168,[1]CRITERIOS!$N$160:$N$168))))</f>
        <v>MTO</v>
      </c>
      <c r="S71" s="33" t="str">
        <f>IF(G71="DV","MTO",IF(N71=0,"MTO",IF(OR(AND(N71=0,O71=""),IF(O71="",G71/N71,G71/O71)&gt;[1]CRITERIOS!$G$163),"MTO",IF(IF(O71="",G71/N71,G71/O71)&lt;[1]CRITERIOS!$H$161,"MTS","MTOS"))))</f>
        <v>MTOS</v>
      </c>
      <c r="T71" s="33" t="str">
        <f>IF(F71="DV","MTO",IF(OR(AND($N71=0,O71=""),$F71/$J71&gt;[1]CRITERIOS!$G$170,$F71="DV"),"MTO",IF($F71/$J71&lt;[1]CRITERIOS!$H$168,"MTS","MTOS")))</f>
        <v>MTO</v>
      </c>
      <c r="V71" s="34" t="str">
        <f t="shared" si="4"/>
        <v/>
      </c>
      <c r="X71" s="34">
        <f t="shared" si="5"/>
        <v>0</v>
      </c>
      <c r="Y71" s="34">
        <f t="shared" si="6"/>
        <v>0</v>
      </c>
      <c r="Z71" s="34">
        <f>IF($R71="MTO",
0,
($H71+$K71*($E71/[1]CRITERIOS!$M$16))/[1]CRITERIOS!$X$48)</f>
        <v>0</v>
      </c>
      <c r="AA71" s="34" t="e">
        <f>ROUNDUP(($Y71/_xlfn.XLOOKUP($A71,'[1]DATOS PBI Artículos'!$A$4:$A$4,'[1]DATOS PBI Artículos'!$Z$4:$Z$4))/_xlfn.XLOOKUP(_xlfn.XLOOKUP($A71,'[1]DATOS PBI Artículos'!$A$4:$A$4,'[1]DATOS PBI Artículos'!$Y$4:$Y$4),[1]CRITERIOS!$P$79:$P$123,[1]CRITERIOS!$S$79:$S$123,),0)</f>
        <v>#N/A</v>
      </c>
      <c r="AB71" s="33" t="e">
        <f t="array" ref="AB71">IF((E71+V71-_xlfn.XLOOKUP(A71,'[1]DATOS PBI Artículos'!$A$4:$A$4,'[1]DATOS PBI Artículos'!$W$4:$W$4))/N71&gt;ROUNDUP([1]CRITERIOS!$M$16/(IF(COUNTIF([1]CRITERIOS!$BG$11:$BG$201,L71)&gt;=1,_xlfn.XLOOKUP(ARTÍCULOS!L71,[1]CRITERIOS!$BG$11:$BG$201,[1]CRITERIOS!$BJ$11:$BJ$201),_xlfn.XLOOKUP(ARTÍCULOS!C71,[1]CRITERIOS!$K$25:$K$42,[1]CRITERIOS!$M$25:$M$42))),0),ROUNDUP([1]CRITERIOS!$M$16/(IF(COUNTIF([1]CRITERIOS!$BG$11:$BG$201,L71)&gt;=1,_xlfn.XLOOKUP(ARTÍCULOS!L71,[1]CRITERIOS!$BG$11:$BG$201:#REF!,[1]CRITERIOS!$BJ$11:$BJ$201),_xlfn.XLOOKUP(ARTÍCULOS!C71,[1]CRITERIOS!$K$25:$K$42,[1]CRITERIOS!$M$25:$M$42))),0),(E71+V71-_xlfn.XLOOKUP(A71,'[1]DATOS PBI Artículos'!$A$4:$A$4,'[1]DATOS PBI Artículos'!$W$4:$W$4))/N71)</f>
        <v>#VALUE!</v>
      </c>
      <c r="AC71" s="33" t="e">
        <f>IF(N71=0,"",(ROUNDUP((N71/2)/(_xlfn.XLOOKUP(A71,'[1]DATOS PBI Artículos'!$A$4:$A$4,'[1]DATOS PBI Artículos'!$Z$4:$Z$4)*_xlfn.XLOOKUP(_xlfn.XLOOKUP(A71,'[1]DATOS PBI Artículos'!$A$4:$A$4,'[1]DATOS PBI Artículos'!$Y$4:$Y$4),[1]CRITERIOS!$P$79:$P$123,[1]CRITERIOS!$S$79:$S$123)),0)*[1]CRITERIOS!$M$80*([1]CRITERIOS!$M$110/[1]CRITERIOS!$M$86)+(_xlfn.XLOOKUP(A71,'[1]DATOS PBI Artículos'!$A$4:$A$4,'[1]DATOS PBI Artículos'!$AA$4:$AA$4)*([1]CRITERIOS!$M$95+[1]CRITERIOS!$M$98)))/N71)</f>
        <v>#N/A</v>
      </c>
      <c r="AD71" s="33" t="e">
        <f>IF(N71=0,"",(ROUNDUP((N71/2)/(_xlfn.XLOOKUP(A71,'[1]DATOS PBI Artículos'!$A$4:$A$4,'[1]DATOS PBI Artículos'!$Z$4:$Z$4)*_xlfn.XLOOKUP(_xlfn.XLOOKUP(A71,'[1]DATOS PBI Artículos'!$A$4:$A$4,'[1]DATOS PBI Artículos'!$Y$4:$Y$4),[1]CRITERIOS!$P$79:$P$123,[1]CRITERIOS!$S$79:$S$123)),0)*[1]CRITERIOS!$M$80*([1]CRITERIOS!$M$89*[1]CRITERIOS!$M$92)+((_xlfn.XLOOKUP(A71,'[1]DATOS PBI Artículos'!$A$4:$A$4,'[1]DATOS PBI Artículos'!$AA$4:$AA$4)/2)*([1]CRITERIOS!$M$95+[1]CRITERIOS!$M$98)))/N71)</f>
        <v>#N/A</v>
      </c>
      <c r="AE71" s="39" t="str">
        <f>IF($R71="MTO","",
IF($H71=0,ROUNDUP(((_xlfn.XLOOKUP($A71,'[1]DATOS PBI Artículos'!$A:$A,'[1]DATOS PBI Artículos'!$AL:$AL))/(_xlfn.XLOOKUP($AF$1,[1]CRITERIOS!$S$16:$S$39,[1]CRITERIOS!$Y$16:$Y$39))*$J71+$Z71)/$G71,0)*$G71,
((_xlfn.XLOOKUP($A71,'[1]DATOS PBI Artículos'!$A:$A,'[1]DATOS PBI Artículos'!$AL:$AL))/(_xlfn.XLOOKUP($AF$1,[1]CRITERIOS!$S$16:$S$39,[1]CRITERIOS!$Y$16:$Y$39))*$J71+$Z71)))</f>
        <v/>
      </c>
      <c r="AG71" s="39" t="str">
        <f>IF($R71="MTO","",
IF($H71=0,ROUNDUP(((_xlfn.XLOOKUP($A71,'[1]DATOS PBI Artículos'!$A:$A,'[1]DATOS PBI Artículos'!$AM:$AM))/(_xlfn.XLOOKUP($AH$1,[1]CRITERIOS!$S$16:$S$39,[1]CRITERIOS!$Y$16:$Y$39))*$J71+$Z71)/$G71,0)*$G71,
((_xlfn.XLOOKUP($A71,'[1]DATOS PBI Artículos'!$A:$A,'[1]DATOS PBI Artículos'!$AM:$AM))/(_xlfn.XLOOKUP($AH$1,[1]CRITERIOS!$S$16:$S$39,[1]CRITERIOS!$Y$16:$Y$39))*$J71+$Z71)))</f>
        <v/>
      </c>
      <c r="AI71" s="39" t="str">
        <f>IF($R71="MTO","",
IF($H71=0,ROUNDUP(((_xlfn.XLOOKUP($A71,'[1]DATOS PBI Artículos'!$A:$A,'[1]DATOS PBI Artículos'!$AN:$AN))/(_xlfn.XLOOKUP($AJ$1,[1]CRITERIOS!$S$16:$S$39,[1]CRITERIOS!$Y$16:$Y$39))*$J71+$Z71)/$G71,0)*$G71,
((_xlfn.XLOOKUP($A71,'[1]DATOS PBI Artículos'!$A:$A,'[1]DATOS PBI Artículos'!$AN:$AN))/(_xlfn.XLOOKUP($AJ$1,[1]CRITERIOS!$S$16:$S$39,[1]CRITERIOS!$Y$16:$Y$39))*$J71+$Z71)))</f>
        <v/>
      </c>
      <c r="AK71" s="39" t="str">
        <f>IF($R71="MTO","",
IF($H71=0,ROUNDUP(((_xlfn.XLOOKUP($A71,'[1]DATOS PBI Artículos'!$A:$A,'[1]DATOS PBI Artículos'!$AO:$AO))/(_xlfn.XLOOKUP($AL$1,[1]CRITERIOS!$S$16:$S$39,[1]CRITERIOS!$Y$16:$Y$39))*$J71+$Z71)/$G71,0)*$G71,
((_xlfn.XLOOKUP($A71,'[1]DATOS PBI Artículos'!$A:$A,'[1]DATOS PBI Artículos'!$AO:$AO))/(_xlfn.XLOOKUP($AL$1,[1]CRITERIOS!$S$16:$S$39,[1]CRITERIOS!$Y$16:$Y$39))*$J71+$Z71)))</f>
        <v/>
      </c>
    </row>
    <row r="72" spans="1:37" ht="25.8" x14ac:dyDescent="0.5">
      <c r="A72" s="32" t="s">
        <v>61</v>
      </c>
      <c r="B72" s="33">
        <f>_xlfn.XLOOKUP($A72,'[1]DATOS PBI Artículos'!A:A,'[1]DATOS PBI Artículos'!B:B)</f>
        <v>0</v>
      </c>
      <c r="C72" s="33" t="str">
        <f>_xlfn.XLOOKUP($A72,'[1]DATOS PBI Artículos'!A:A,'[1]DATOS PBI Artículos'!C:C)</f>
        <v>UA02</v>
      </c>
      <c r="D72" s="33">
        <f>_xlfn.XLOOKUP(A72,'[1]DATOS PBI Artículos'!A:A,'[1]DATOS PBI Artículos'!T:T)</f>
        <v>3</v>
      </c>
      <c r="E72" s="34">
        <f>IF(_xlfn.XLOOKUP($A72,'[1]DATOS PBI Artículos'!A:A,'[1]DATOS PBI Artículos'!AK:AK)="",_xlfn.XLOOKUP($A72,'[1]DATOS PBI Artículos'!A:A,'[1]DATOS PBI Artículos'!AJ:AJ),_xlfn.XLOOKUP($A72,'[1]DATOS PBI Artículos'!A:A,'[1]DATOS PBI Artículos'!AK:AK))</f>
        <v>192000</v>
      </c>
      <c r="F72" s="35">
        <f>_xlfn.XLOOKUP($A72,'[1]DATOS PBI Artículos'!A:A,'[1]DATOS PBI Artículos'!AP:AP)</f>
        <v>31</v>
      </c>
      <c r="G72" s="34">
        <f>_xlfn.XLOOKUP($A72,'[1]DATOS PBI Artículos'!A:A,'[1]DATOS PBI Artículos'!AR:AR)</f>
        <v>64000</v>
      </c>
      <c r="H72" s="34">
        <f>_xlfn.XLOOKUP($A72,'[1]DATOS PBI Artículos'!A:A,'[1]DATOS PBI Artículos'!AT:AT)</f>
        <v>0</v>
      </c>
      <c r="I72" s="34">
        <f>_xlfn.XLOOKUP($A72,'[1]DATOS PBI Artículos'!A:A,'[1]DATOS PBI Artículos'!AS:AS)</f>
        <v>64000</v>
      </c>
      <c r="J72" s="35">
        <f>IF(COUNTIF([1]CRITERIOS!$F$179:$F$199,$A72)&gt;=1,
 IF(O72&lt;&gt;"",
    (O72/_xlfn.XLOOKUP(CONCATENATE(A72,L72),[1]MÁQUINAS!A:A,[1]MÁQUINAS!D:D))/24,
    (N72/_xlfn.XLOOKUP(CONCATENATE(A72,L72),[1]MÁQUINAS!A:A,[1]MÁQUINAS!D:D))/24),
  _xlfn.XLOOKUP($A72,'[1]DATOS PBI Artículos'!A:A,'[1]DATOS PBI Artículos'!AU:AU))</f>
        <v>26.714285714285715</v>
      </c>
      <c r="K72" s="36">
        <f>_xlfn.XLOOKUP($A72,'[1]DATOS PBI Artículos'!A:A,'[1]DATOS PBI Artículos'!AV:AV)</f>
        <v>4.9569575922564191</v>
      </c>
      <c r="L72" s="33">
        <f>_xlfn.XLOOKUP(A72,[1]MÁQUINAS!B:B,[1]MÁQUINAS!C:C)</f>
        <v>213</v>
      </c>
      <c r="M72" s="34">
        <f t="array" ref="M72">_xlfn.XLOOKUP(A72,'[1]DATOS PBI Artículos'!A:A,'[1]DATOS PBI Artículos'!AX:$AX)</f>
        <v>59864.303235721287</v>
      </c>
      <c r="N72" s="37">
        <f>IF(I72="DV",
E72,
IF(COUNTIF([1]CRITERIOS!$I$179:$I$199,$A72)&gt;=1,
_xlfn.XLOOKUP($A72,[1]CRITERIOS!$I$179:$I$199,[1]CRITERIOS!$J$179:$J$199),
IF(COUNTIF([1]CRITERIOS!$L$179:$L$199,$A72)&gt;=1,
_xlfn.CEILING.MATH(IF($M72&gt;$E72,
$E72,
IF($M72&lt;$E72/ROUNDDOWN([1]CRITERIOS!$M$16/_xlfn.XLOOKUP($C72,[1]CRITERIOS!$K$25:$K$42,[1]CRITERIOS!$M$25:$M$42),
1),
E72/ROUNDDOWN([1]CRITERIOS!$M$16/_xlfn.XLOOKUP($C72,[1]CRITERIOS!$K$25:$K$42,[1]CRITERIOS!$M$25:$M$42),
1),
$M72)),
_xlfn.XLOOKUP($A72,[1]CRITERIOS!$L$179:$L$200,[1]CRITERIOS!$M$179:$M$200)),
_xlfn.CEILING.MATH(IF($M72&gt;$E72,
$E72,
IF($M72&lt;$E72/ROUNDDOWN([1]CRITERIOS!$M$16/_xlfn.XLOOKUP($C72,[1]CRITERIOS!$K$25:$K$42,[1]CRITERIOS!$M$25:$M$42),
1),
E72/ROUNDDOWN([1]CRITERIOS!$M$16/_xlfn.XLOOKUP($C72,[1]CRITERIOS!$K$25:$K$42,[1]CRITERIOS!$M$25:$M$42),
1),
$M72)),_xlfn.XLOOKUP(A72,'[1]DATOS PBI Artículos'!A:A,'[1]DATOS PBI Artículos'!Z:Z
)))))</f>
        <v>64000</v>
      </c>
      <c r="Q72" s="38">
        <f>IF(AND(O72="",N72=0),
0,
   IF(COUNTIF([1]CRITERIOS!$F$179:$F$199,$A72)&gt;=1,
   1,
   IF(R72="MTO",
      $D72,
      ROUNDUP(
                    IF(($E72-SUMIF('[1]DATOS PBI Artículos'!A:A,A72,'[1]DATOS PBI Artículos'!X:X)+($V72-_xlfn.XLOOKUP(A72,'[1]DATOS PBI Artículos'!A:A,'[1]DATOS PBI Artículos'!W:W)))&lt;0,
                    0,
                    IF(($E72-SUMIF('[1]DATOS PBI Artículos'!A:A,A72,'[1]DATOS PBI Artículos'!X:X)+$V72-_xlfn.XLOOKUP($A72,'[1]DATOS PBI Artículos'!A:A,'[1]DATOS PBI Artículos'!W:W))/IF($O72="",$N72,$O72)&gt;ROUNDUP([1]CRITERIOS!$M$16/(IF(COUNTIF([1]CRITERIOS!$BG$11:$BG$201,L72)&gt;=1,_xlfn.XLOOKUP($C72,[1]CRITERIOS!$K$25:$K$42,[1]CRITERIOS!$M$25:$M$42),_xlfn.XLOOKUP($C72,[1]CRITERIOS!$K$25:$K$42,[1]CRITERIOS!$M$25:$M$42))),0),
                    ROUNDUP([1]CRITERIOS!$M$16/(IF(COUNTIF([1]CRITERIOS!$BG$11:$BG$201,$L72)&gt;=1,_xlfn.XLOOKUP($C72,[1]CRITERIOS!$K$25:$K$42,[1]CRITERIOS!$M$25:$M$42),_xlfn.XLOOKUP($C72,[1]CRITERIOS!$K$25:$K$42,[1]CRITERIOS!$M$25:$M$42))),0),
                    (E72+V72-SUMIF('[1]DATOS PBI Artículos'!A:A,A72,'[1]DATOS PBI Artículos'!X:X)-_xlfn.XLOOKUP(A72,'[1]DATOS PBI Artículos'!A:A,'[1]DATOS PBI Artículos'!W:W))/IF($O72="",$N72,$O72))),0))))</f>
        <v>3</v>
      </c>
      <c r="R72" s="33" t="str">
        <f>IF(U72&lt;&gt;"",U72,IF(F72="DV","MTO",IF(N72=0,"MTO",_xlfn.XLOOKUP(CONCATENATE(S72,T72),[1]CRITERIOS!$K$160:$K$168,[1]CRITERIOS!$N$160:$N$168))))</f>
        <v>MTO</v>
      </c>
      <c r="S72" s="33" t="str">
        <f>IF(G72="DV","MTO",IF(N72=0,"MTO",IF(OR(AND(N72=0,O72=""),IF(O72="",G72/N72,G72/O72)&gt;[1]CRITERIOS!$G$163),"MTO",IF(IF(O72="",G72/N72,G72/O72)&lt;[1]CRITERIOS!$H$161,"MTS","MTOS"))))</f>
        <v>MTO</v>
      </c>
      <c r="T72" s="33" t="str">
        <f>IF(F72="DV","MTO",IF(OR(AND($N72=0,O72=""),$F72/$J72&gt;[1]CRITERIOS!$G$170,$F72="DV"),"MTO",IF($F72/$J72&lt;[1]CRITERIOS!$H$168,"MTS","MTOS")))</f>
        <v>MTOS</v>
      </c>
      <c r="V72" s="34" t="str">
        <f t="shared" si="4"/>
        <v/>
      </c>
      <c r="X72" s="34">
        <f t="shared" si="5"/>
        <v>0</v>
      </c>
      <c r="Y72" s="34">
        <f t="shared" si="6"/>
        <v>0</v>
      </c>
      <c r="Z72" s="34">
        <f>IF($R72="MTO",
0,
($H72+$K72*($E72/[1]CRITERIOS!$M$16))/[1]CRITERIOS!$X$48)</f>
        <v>0</v>
      </c>
      <c r="AA72" s="34" t="e">
        <f>ROUNDUP(($Y72/_xlfn.XLOOKUP($A72,'[1]DATOS PBI Artículos'!$A$4:$A$4,'[1]DATOS PBI Artículos'!$Z$4:$Z$4))/_xlfn.XLOOKUP(_xlfn.XLOOKUP($A72,'[1]DATOS PBI Artículos'!$A$4:$A$4,'[1]DATOS PBI Artículos'!$Y$4:$Y$4),[1]CRITERIOS!$P$79:$P$123,[1]CRITERIOS!$S$79:$S$123,),0)</f>
        <v>#N/A</v>
      </c>
      <c r="AB72" s="33" t="e">
        <f t="array" ref="AB72">IF((E72+V72-_xlfn.XLOOKUP(A72,'[1]DATOS PBI Artículos'!$A$4:$A$4,'[1]DATOS PBI Artículos'!$W$4:$W$4))/N72&gt;ROUNDUP([1]CRITERIOS!$M$16/(IF(COUNTIF([1]CRITERIOS!$BG$11:$BG$201,L72)&gt;=1,_xlfn.XLOOKUP(ARTÍCULOS!L72,[1]CRITERIOS!$BG$11:$BG$201,[1]CRITERIOS!$BJ$11:$BJ$201),_xlfn.XLOOKUP(ARTÍCULOS!C72,[1]CRITERIOS!$K$25:$K$42,[1]CRITERIOS!$M$25:$M$42))),0),ROUNDUP([1]CRITERIOS!$M$16/(IF(COUNTIF([1]CRITERIOS!$BG$11:$BG$201,L72)&gt;=1,_xlfn.XLOOKUP(ARTÍCULOS!L72,[1]CRITERIOS!$BG$11:$BG$201:#REF!,[1]CRITERIOS!$BJ$11:$BJ$201),_xlfn.XLOOKUP(ARTÍCULOS!C72,[1]CRITERIOS!$K$25:$K$42,[1]CRITERIOS!$M$25:$M$42))),0),(E72+V72-_xlfn.XLOOKUP(A72,'[1]DATOS PBI Artículos'!$A$4:$A$4,'[1]DATOS PBI Artículos'!$W$4:$W$4))/N72)</f>
        <v>#VALUE!</v>
      </c>
      <c r="AC72" s="33" t="e">
        <f>IF(N72=0,"",(ROUNDUP((N72/2)/(_xlfn.XLOOKUP(A72,'[1]DATOS PBI Artículos'!$A$4:$A$4,'[1]DATOS PBI Artículos'!$Z$4:$Z$4)*_xlfn.XLOOKUP(_xlfn.XLOOKUP(A72,'[1]DATOS PBI Artículos'!$A$4:$A$4,'[1]DATOS PBI Artículos'!$Y$4:$Y$4),[1]CRITERIOS!$P$79:$P$123,[1]CRITERIOS!$S$79:$S$123)),0)*[1]CRITERIOS!$M$80*([1]CRITERIOS!$M$110/[1]CRITERIOS!$M$86)+(_xlfn.XLOOKUP(A72,'[1]DATOS PBI Artículos'!$A$4:$A$4,'[1]DATOS PBI Artículos'!$AA$4:$AA$4)*([1]CRITERIOS!$M$95+[1]CRITERIOS!$M$98)))/N72)</f>
        <v>#N/A</v>
      </c>
      <c r="AD72" s="33" t="e">
        <f>IF(N72=0,"",(ROUNDUP((N72/2)/(_xlfn.XLOOKUP(A72,'[1]DATOS PBI Artículos'!$A$4:$A$4,'[1]DATOS PBI Artículos'!$Z$4:$Z$4)*_xlfn.XLOOKUP(_xlfn.XLOOKUP(A72,'[1]DATOS PBI Artículos'!$A$4:$A$4,'[1]DATOS PBI Artículos'!$Y$4:$Y$4),[1]CRITERIOS!$P$79:$P$123,[1]CRITERIOS!$S$79:$S$123)),0)*[1]CRITERIOS!$M$80*([1]CRITERIOS!$M$89*[1]CRITERIOS!$M$92)+((_xlfn.XLOOKUP(A72,'[1]DATOS PBI Artículos'!$A$4:$A$4,'[1]DATOS PBI Artículos'!$AA$4:$AA$4)/2)*([1]CRITERIOS!$M$95+[1]CRITERIOS!$M$98)))/N72)</f>
        <v>#N/A</v>
      </c>
      <c r="AE72" s="39" t="str">
        <f>IF($R72="MTO","",
IF($H72=0,ROUNDUP(((_xlfn.XLOOKUP($A72,'[1]DATOS PBI Artículos'!$A:$A,'[1]DATOS PBI Artículos'!$AL:$AL))/(_xlfn.XLOOKUP($AF$1,[1]CRITERIOS!$S$16:$S$39,[1]CRITERIOS!$Y$16:$Y$39))*$J72+$Z72)/$G72,0)*$G72,
((_xlfn.XLOOKUP($A72,'[1]DATOS PBI Artículos'!$A:$A,'[1]DATOS PBI Artículos'!$AL:$AL))/(_xlfn.XLOOKUP($AF$1,[1]CRITERIOS!$S$16:$S$39,[1]CRITERIOS!$Y$16:$Y$39))*$J72+$Z72)))</f>
        <v/>
      </c>
      <c r="AG72" s="39" t="str">
        <f>IF($R72="MTO","",
IF($H72=0,ROUNDUP(((_xlfn.XLOOKUP($A72,'[1]DATOS PBI Artículos'!$A:$A,'[1]DATOS PBI Artículos'!$AM:$AM))/(_xlfn.XLOOKUP($AH$1,[1]CRITERIOS!$S$16:$S$39,[1]CRITERIOS!$Y$16:$Y$39))*$J72+$Z72)/$G72,0)*$G72,
((_xlfn.XLOOKUP($A72,'[1]DATOS PBI Artículos'!$A:$A,'[1]DATOS PBI Artículos'!$AM:$AM))/(_xlfn.XLOOKUP($AH$1,[1]CRITERIOS!$S$16:$S$39,[1]CRITERIOS!$Y$16:$Y$39))*$J72+$Z72)))</f>
        <v/>
      </c>
      <c r="AI72" s="39" t="str">
        <f>IF($R72="MTO","",
IF($H72=0,ROUNDUP(((_xlfn.XLOOKUP($A72,'[1]DATOS PBI Artículos'!$A:$A,'[1]DATOS PBI Artículos'!$AN:$AN))/(_xlfn.XLOOKUP($AJ$1,[1]CRITERIOS!$S$16:$S$39,[1]CRITERIOS!$Y$16:$Y$39))*$J72+$Z72)/$G72,0)*$G72,
((_xlfn.XLOOKUP($A72,'[1]DATOS PBI Artículos'!$A:$A,'[1]DATOS PBI Artículos'!$AN:$AN))/(_xlfn.XLOOKUP($AJ$1,[1]CRITERIOS!$S$16:$S$39,[1]CRITERIOS!$Y$16:$Y$39))*$J72+$Z72)))</f>
        <v/>
      </c>
      <c r="AK72" s="39" t="str">
        <f>IF($R72="MTO","",
IF($H72=0,ROUNDUP(((_xlfn.XLOOKUP($A72,'[1]DATOS PBI Artículos'!$A:$A,'[1]DATOS PBI Artículos'!$AO:$AO))/(_xlfn.XLOOKUP($AL$1,[1]CRITERIOS!$S$16:$S$39,[1]CRITERIOS!$Y$16:$Y$39))*$J72+$Z72)/$G72,0)*$G72,
((_xlfn.XLOOKUP($A72,'[1]DATOS PBI Artículos'!$A:$A,'[1]DATOS PBI Artículos'!$AO:$AO))/(_xlfn.XLOOKUP($AL$1,[1]CRITERIOS!$S$16:$S$39,[1]CRITERIOS!$Y$16:$Y$39))*$J72+$Z72)))</f>
        <v/>
      </c>
    </row>
    <row r="73" spans="1:37" ht="25.8" x14ac:dyDescent="0.5">
      <c r="A73" s="32" t="s">
        <v>62</v>
      </c>
      <c r="B73" s="33">
        <f>_xlfn.XLOOKUP($A73,'[1]DATOS PBI Artículos'!A:A,'[1]DATOS PBI Artículos'!B:B)</f>
        <v>0</v>
      </c>
      <c r="C73" s="33" t="str">
        <f>_xlfn.XLOOKUP($A73,'[1]DATOS PBI Artículos'!A:A,'[1]DATOS PBI Artículos'!C:C)</f>
        <v>UA03</v>
      </c>
      <c r="D73" s="33">
        <f>_xlfn.XLOOKUP(A73,'[1]DATOS PBI Artículos'!A:A,'[1]DATOS PBI Artículos'!T:T)</f>
        <v>2</v>
      </c>
      <c r="E73" s="34">
        <f>IF(_xlfn.XLOOKUP($A73,'[1]DATOS PBI Artículos'!A:A,'[1]DATOS PBI Artículos'!AK:AK)="",_xlfn.XLOOKUP($A73,'[1]DATOS PBI Artículos'!A:A,'[1]DATOS PBI Artículos'!AJ:AJ),_xlfn.XLOOKUP($A73,'[1]DATOS PBI Artículos'!A:A,'[1]DATOS PBI Artículos'!AK:AK))</f>
        <v>183770</v>
      </c>
      <c r="F73" s="35">
        <f>_xlfn.XLOOKUP($A73,'[1]DATOS PBI Artículos'!A:A,'[1]DATOS PBI Artículos'!AP:AP)</f>
        <v>35</v>
      </c>
      <c r="G73" s="34">
        <f>_xlfn.XLOOKUP($A73,'[1]DATOS PBI Artículos'!A:A,'[1]DATOS PBI Artículos'!AR:AR)</f>
        <v>91890</v>
      </c>
      <c r="H73" s="34">
        <f>_xlfn.XLOOKUP($A73,'[1]DATOS PBI Artículos'!A:A,'[1]DATOS PBI Artículos'!AT:AT)</f>
        <v>11476.343058657667</v>
      </c>
      <c r="I73" s="34">
        <f>_xlfn.XLOOKUP($A73,'[1]DATOS PBI Artículos'!A:A,'[1]DATOS PBI Artículos'!AS:AS)</f>
        <v>10</v>
      </c>
      <c r="J73" s="35">
        <f>IF(COUNTIF([1]CRITERIOS!$F$179:$F$199,$A73)&gt;=1,
 IF(O73&lt;&gt;"",
    (O73/_xlfn.XLOOKUP(CONCATENATE(A73,L73),[1]MÁQUINAS!A:A,[1]MÁQUINAS!D:D))/24,
    (N73/_xlfn.XLOOKUP(CONCATENATE(A73,L73),[1]MÁQUINAS!A:A,[1]MÁQUINAS!D:D))/24),
  _xlfn.XLOOKUP($A73,'[1]DATOS PBI Artículos'!A:A,'[1]DATOS PBI Artículos'!AU:AU))</f>
        <v>0.59523809523809523</v>
      </c>
      <c r="K73" s="36">
        <f>_xlfn.XLOOKUP($A73,'[1]DATOS PBI Artículos'!A:A,'[1]DATOS PBI Artículos'!AV:AV)</f>
        <v>4.5324228777616433</v>
      </c>
      <c r="L73" s="33">
        <f>_xlfn.XLOOKUP(A73,[1]MÁQUINAS!B:B,[1]MÁQUINAS!C:C)</f>
        <v>124</v>
      </c>
      <c r="M73" s="34">
        <f t="array" ref="M73">_xlfn.XLOOKUP(A73,'[1]DATOS PBI Artículos'!A:A,'[1]DATOS PBI Artículos'!AX:$AX)</f>
        <v>25994.588636897206</v>
      </c>
      <c r="N73" s="37">
        <f>IF(I73="DV",
E73,
IF(COUNTIF([1]CRITERIOS!$I$179:$I$199,$A73)&gt;=1,
_xlfn.XLOOKUP($A73,[1]CRITERIOS!$I$179:$I$199,[1]CRITERIOS!$J$179:$J$199),
IF(COUNTIF([1]CRITERIOS!$L$179:$L$199,$A73)&gt;=1,
_xlfn.CEILING.MATH(IF($M73&gt;$E73,
$E73,
IF($M73&lt;$E73/ROUNDDOWN([1]CRITERIOS!$M$16/_xlfn.XLOOKUP($C73,[1]CRITERIOS!$K$25:$K$42,[1]CRITERIOS!$M$25:$M$42),
1),
E73/ROUNDDOWN([1]CRITERIOS!$M$16/_xlfn.XLOOKUP($C73,[1]CRITERIOS!$K$25:$K$42,[1]CRITERIOS!$M$25:$M$42),
1),
$M73)),
_xlfn.XLOOKUP($A73,[1]CRITERIOS!$L$179:$L$200,[1]CRITERIOS!$M$179:$M$200)),
_xlfn.CEILING.MATH(IF($M73&gt;$E73,
$E73,
IF($M73&lt;$E73/ROUNDDOWN([1]CRITERIOS!$M$16/_xlfn.XLOOKUP($C73,[1]CRITERIOS!$K$25:$K$42,[1]CRITERIOS!$M$25:$M$42),
1),
E73/ROUNDDOWN([1]CRITERIOS!$M$16/_xlfn.XLOOKUP($C73,[1]CRITERIOS!$K$25:$K$42,[1]CRITERIOS!$M$25:$M$42),
1),
$M73)),_xlfn.XLOOKUP(A73,'[1]DATOS PBI Artículos'!A:A,'[1]DATOS PBI Artículos'!Z:Z
)))))</f>
        <v>50000</v>
      </c>
      <c r="Q73" s="38">
        <f>IF(AND(O73="",N73=0),
0,
   IF(COUNTIF([1]CRITERIOS!$F$179:$F$199,$A73)&gt;=1,
   1,
   IF(R73="MTO",
      $D73,
      ROUNDUP(
                    IF(($E73-SUMIF('[1]DATOS PBI Artículos'!A:A,A73,'[1]DATOS PBI Artículos'!X:X)+($V73-_xlfn.XLOOKUP(A73,'[1]DATOS PBI Artículos'!A:A,'[1]DATOS PBI Artículos'!W:W)))&lt;0,
                    0,
                    IF(($E73-SUMIF('[1]DATOS PBI Artículos'!A:A,A73,'[1]DATOS PBI Artículos'!X:X)+$V73-_xlfn.XLOOKUP($A73,'[1]DATOS PBI Artículos'!A:A,'[1]DATOS PBI Artículos'!W:W))/IF($O73="",$N73,$O73)&gt;ROUNDUP([1]CRITERIOS!$M$16/(IF(COUNTIF([1]CRITERIOS!$BG$11:$BG$201,L73)&gt;=1,_xlfn.XLOOKUP($C73,[1]CRITERIOS!$K$25:$K$42,[1]CRITERIOS!$M$25:$M$42),_xlfn.XLOOKUP($C73,[1]CRITERIOS!$K$25:$K$42,[1]CRITERIOS!$M$25:$M$42))),0),
                    ROUNDUP([1]CRITERIOS!$M$16/(IF(COUNTIF([1]CRITERIOS!$BG$11:$BG$201,$L73)&gt;=1,_xlfn.XLOOKUP($C73,[1]CRITERIOS!$K$25:$K$42,[1]CRITERIOS!$M$25:$M$42),_xlfn.XLOOKUP($C73,[1]CRITERIOS!$K$25:$K$42,[1]CRITERIOS!$M$25:$M$42))),0),
                    (E73+V73-SUMIF('[1]DATOS PBI Artículos'!A:A,A73,'[1]DATOS PBI Artículos'!X:X)-_xlfn.XLOOKUP(A73,'[1]DATOS PBI Artículos'!A:A,'[1]DATOS PBI Artículos'!W:W))/IF($O73="",$N73,$O73))),0))))</f>
        <v>1</v>
      </c>
      <c r="R73" s="33" t="str">
        <f>IF(U73&lt;&gt;"",U73,IF(F73="DV","MTO",IF(N73=0,"MTO",_xlfn.XLOOKUP(CONCATENATE(S73,T73),[1]CRITERIOS!$K$160:$K$168,[1]CRITERIOS!$N$160:$N$168))))</f>
        <v>MTO</v>
      </c>
      <c r="S73" s="33" t="str">
        <f>IF(G73="DV","MTO",IF(N73=0,"MTO",IF(OR(AND(N73=0,O73=""),IF(O73="",G73/N73,G73/O73)&gt;[1]CRITERIOS!$G$163),"MTO",IF(IF(O73="",G73/N73,G73/O73)&lt;[1]CRITERIOS!$H$161,"MTS","MTOS"))))</f>
        <v>MTO</v>
      </c>
      <c r="T73" s="33" t="str">
        <f>IF(F73="DV","MTO",IF(OR(AND($N73=0,O73=""),$F73/$J73&gt;[1]CRITERIOS!$G$170,$F73="DV"),"MTO",IF($F73/$J73&lt;[1]CRITERIOS!$H$168,"MTS","MTOS")))</f>
        <v>MTO</v>
      </c>
      <c r="V73" s="34" t="str">
        <f t="shared" si="4"/>
        <v/>
      </c>
      <c r="X73" s="34">
        <f t="shared" si="5"/>
        <v>0</v>
      </c>
      <c r="Y73" s="34">
        <f t="shared" si="6"/>
        <v>0</v>
      </c>
      <c r="Z73" s="34">
        <f>IF($R73="MTO",
0,
($H73+$K73*($E73/[1]CRITERIOS!$M$16))/[1]CRITERIOS!$X$48)</f>
        <v>0</v>
      </c>
      <c r="AA73" s="34" t="e">
        <f>ROUNDUP(($Y73/_xlfn.XLOOKUP($A73,'[1]DATOS PBI Artículos'!$A$4:$A$4,'[1]DATOS PBI Artículos'!$Z$4:$Z$4))/_xlfn.XLOOKUP(_xlfn.XLOOKUP($A73,'[1]DATOS PBI Artículos'!$A$4:$A$4,'[1]DATOS PBI Artículos'!$Y$4:$Y$4),[1]CRITERIOS!$P$79:$P$123,[1]CRITERIOS!$S$79:$S$123,),0)</f>
        <v>#N/A</v>
      </c>
      <c r="AB73" s="33" t="e">
        <f t="array" ref="AB73">IF((E73+V73-_xlfn.XLOOKUP(A73,'[1]DATOS PBI Artículos'!$A$4:$A$4,'[1]DATOS PBI Artículos'!$W$4:$W$4))/N73&gt;ROUNDUP([1]CRITERIOS!$M$16/(IF(COUNTIF([1]CRITERIOS!$BG$11:$BG$201,L73)&gt;=1,_xlfn.XLOOKUP(ARTÍCULOS!L73,[1]CRITERIOS!$BG$11:$BG$201,[1]CRITERIOS!$BJ$11:$BJ$201),_xlfn.XLOOKUP(ARTÍCULOS!C73,[1]CRITERIOS!$K$25:$K$42,[1]CRITERIOS!$M$25:$M$42))),0),ROUNDUP([1]CRITERIOS!$M$16/(IF(COUNTIF([1]CRITERIOS!$BG$11:$BG$201,L73)&gt;=1,_xlfn.XLOOKUP(ARTÍCULOS!L73,[1]CRITERIOS!$BG$11:$BG$201:#REF!,[1]CRITERIOS!$BJ$11:$BJ$201),_xlfn.XLOOKUP(ARTÍCULOS!C73,[1]CRITERIOS!$K$25:$K$42,[1]CRITERIOS!$M$25:$M$42))),0),(E73+V73-_xlfn.XLOOKUP(A73,'[1]DATOS PBI Artículos'!$A$4:$A$4,'[1]DATOS PBI Artículos'!$W$4:$W$4))/N73)</f>
        <v>#VALUE!</v>
      </c>
      <c r="AC73" s="33" t="e">
        <f>IF(N73=0,"",(ROUNDUP((N73/2)/(_xlfn.XLOOKUP(A73,'[1]DATOS PBI Artículos'!$A$4:$A$4,'[1]DATOS PBI Artículos'!$Z$4:$Z$4)*_xlfn.XLOOKUP(_xlfn.XLOOKUP(A73,'[1]DATOS PBI Artículos'!$A$4:$A$4,'[1]DATOS PBI Artículos'!$Y$4:$Y$4),[1]CRITERIOS!$P$79:$P$123,[1]CRITERIOS!$S$79:$S$123)),0)*[1]CRITERIOS!$M$80*([1]CRITERIOS!$M$110/[1]CRITERIOS!$M$86)+(_xlfn.XLOOKUP(A73,'[1]DATOS PBI Artículos'!$A$4:$A$4,'[1]DATOS PBI Artículos'!$AA$4:$AA$4)*([1]CRITERIOS!$M$95+[1]CRITERIOS!$M$98)))/N73)</f>
        <v>#N/A</v>
      </c>
      <c r="AD73" s="33" t="e">
        <f>IF(N73=0,"",(ROUNDUP((N73/2)/(_xlfn.XLOOKUP(A73,'[1]DATOS PBI Artículos'!$A$4:$A$4,'[1]DATOS PBI Artículos'!$Z$4:$Z$4)*_xlfn.XLOOKUP(_xlfn.XLOOKUP(A73,'[1]DATOS PBI Artículos'!$A$4:$A$4,'[1]DATOS PBI Artículos'!$Y$4:$Y$4),[1]CRITERIOS!$P$79:$P$123,[1]CRITERIOS!$S$79:$S$123)),0)*[1]CRITERIOS!$M$80*([1]CRITERIOS!$M$89*[1]CRITERIOS!$M$92)+((_xlfn.XLOOKUP(A73,'[1]DATOS PBI Artículos'!$A$4:$A$4,'[1]DATOS PBI Artículos'!$AA$4:$AA$4)/2)*([1]CRITERIOS!$M$95+[1]CRITERIOS!$M$98)))/N73)</f>
        <v>#N/A</v>
      </c>
      <c r="AE73" s="39" t="str">
        <f>IF($R73="MTO","",
IF($H73=0,ROUNDUP(((_xlfn.XLOOKUP($A73,'[1]DATOS PBI Artículos'!$A:$A,'[1]DATOS PBI Artículos'!$AL:$AL))/(_xlfn.XLOOKUP($AF$1,[1]CRITERIOS!$S$16:$S$39,[1]CRITERIOS!$Y$16:$Y$39))*$J73+$Z73)/$G73,0)*$G73,
((_xlfn.XLOOKUP($A73,'[1]DATOS PBI Artículos'!$A:$A,'[1]DATOS PBI Artículos'!$AL:$AL))/(_xlfn.XLOOKUP($AF$1,[1]CRITERIOS!$S$16:$S$39,[1]CRITERIOS!$Y$16:$Y$39))*$J73+$Z73)))</f>
        <v/>
      </c>
      <c r="AG73" s="39" t="str">
        <f>IF($R73="MTO","",
IF($H73=0,ROUNDUP(((_xlfn.XLOOKUP($A73,'[1]DATOS PBI Artículos'!$A:$A,'[1]DATOS PBI Artículos'!$AM:$AM))/(_xlfn.XLOOKUP($AH$1,[1]CRITERIOS!$S$16:$S$39,[1]CRITERIOS!$Y$16:$Y$39))*$J73+$Z73)/$G73,0)*$G73,
((_xlfn.XLOOKUP($A73,'[1]DATOS PBI Artículos'!$A:$A,'[1]DATOS PBI Artículos'!$AM:$AM))/(_xlfn.XLOOKUP($AH$1,[1]CRITERIOS!$S$16:$S$39,[1]CRITERIOS!$Y$16:$Y$39))*$J73+$Z73)))</f>
        <v/>
      </c>
      <c r="AI73" s="39" t="str">
        <f>IF($R73="MTO","",
IF($H73=0,ROUNDUP(((_xlfn.XLOOKUP($A73,'[1]DATOS PBI Artículos'!$A:$A,'[1]DATOS PBI Artículos'!$AN:$AN))/(_xlfn.XLOOKUP($AJ$1,[1]CRITERIOS!$S$16:$S$39,[1]CRITERIOS!$Y$16:$Y$39))*$J73+$Z73)/$G73,0)*$G73,
((_xlfn.XLOOKUP($A73,'[1]DATOS PBI Artículos'!$A:$A,'[1]DATOS PBI Artículos'!$AN:$AN))/(_xlfn.XLOOKUP($AJ$1,[1]CRITERIOS!$S$16:$S$39,[1]CRITERIOS!$Y$16:$Y$39))*$J73+$Z73)))</f>
        <v/>
      </c>
      <c r="AK73" s="39" t="str">
        <f>IF($R73="MTO","",
IF($H73=0,ROUNDUP(((_xlfn.XLOOKUP($A73,'[1]DATOS PBI Artículos'!$A:$A,'[1]DATOS PBI Artículos'!$AO:$AO))/(_xlfn.XLOOKUP($AL$1,[1]CRITERIOS!$S$16:$S$39,[1]CRITERIOS!$Y$16:$Y$39))*$J73+$Z73)/$G73,0)*$G73,
((_xlfn.XLOOKUP($A73,'[1]DATOS PBI Artículos'!$A:$A,'[1]DATOS PBI Artículos'!$AO:$AO))/(_xlfn.XLOOKUP($AL$1,[1]CRITERIOS!$S$16:$S$39,[1]CRITERIOS!$Y$16:$Y$39))*$J73+$Z73)))</f>
        <v/>
      </c>
    </row>
    <row r="74" spans="1:37" ht="25.8" x14ac:dyDescent="0.5">
      <c r="A74" s="32" t="s">
        <v>63</v>
      </c>
      <c r="B74" s="33">
        <f>_xlfn.XLOOKUP($A74,'[1]DATOS PBI Artículos'!A:A,'[1]DATOS PBI Artículos'!B:B)</f>
        <v>0</v>
      </c>
      <c r="C74" s="33" t="str">
        <f>_xlfn.XLOOKUP($A74,'[1]DATOS PBI Artículos'!A:A,'[1]DATOS PBI Artículos'!C:C)</f>
        <v>UA03</v>
      </c>
      <c r="D74" s="33">
        <f>_xlfn.XLOOKUP(A74,'[1]DATOS PBI Artículos'!A:A,'[1]DATOS PBI Artículos'!T:T)</f>
        <v>5</v>
      </c>
      <c r="E74" s="34">
        <f>IF(_xlfn.XLOOKUP($A74,'[1]DATOS PBI Artículos'!A:A,'[1]DATOS PBI Artículos'!AK:AK)="",_xlfn.XLOOKUP($A74,'[1]DATOS PBI Artículos'!A:A,'[1]DATOS PBI Artículos'!AJ:AJ),_xlfn.XLOOKUP($A74,'[1]DATOS PBI Artículos'!A:A,'[1]DATOS PBI Artículos'!AK:AK))</f>
        <v>181250</v>
      </c>
      <c r="F74" s="35">
        <f>_xlfn.XLOOKUP($A74,'[1]DATOS PBI Artículos'!A:A,'[1]DATOS PBI Artículos'!AP:AP)</f>
        <v>8.5</v>
      </c>
      <c r="G74" s="34">
        <f>_xlfn.XLOOKUP($A74,'[1]DATOS PBI Artículos'!A:A,'[1]DATOS PBI Artículos'!AR:AR)</f>
        <v>36250</v>
      </c>
      <c r="H74" s="34">
        <f>_xlfn.XLOOKUP($A74,'[1]DATOS PBI Artículos'!A:A,'[1]DATOS PBI Artículos'!AT:AT)</f>
        <v>0</v>
      </c>
      <c r="I74" s="34">
        <f>_xlfn.XLOOKUP($A74,'[1]DATOS PBI Artículos'!A:A,'[1]DATOS PBI Artículos'!AS:AS)</f>
        <v>36250</v>
      </c>
      <c r="J74" s="35">
        <f>IF(COUNTIF([1]CRITERIOS!$F$179:$F$199,$A74)&gt;=1,
 IF(O74&lt;&gt;"",
    (O74/_xlfn.XLOOKUP(CONCATENATE(A74,L74),[1]MÁQUINAS!A:A,[1]MÁQUINAS!D:D))/24,
    (N74/_xlfn.XLOOKUP(CONCATENATE(A74,L74),[1]MÁQUINAS!A:A,[1]MÁQUINAS!D:D))/24),
  _xlfn.XLOOKUP($A74,'[1]DATOS PBI Artículos'!A:A,'[1]DATOS PBI Artículos'!AU:AU))</f>
        <v>13.904761904761905</v>
      </c>
      <c r="K74" s="36">
        <f>_xlfn.XLOOKUP($A74,'[1]DATOS PBI Artículos'!A:A,'[1]DATOS PBI Artículos'!AV:AV)</f>
        <v>2.3431765171399679</v>
      </c>
      <c r="L74" s="33">
        <f>_xlfn.XLOOKUP(A74,[1]MÁQUINAS!B:B,[1]MÁQUINAS!C:C)</f>
        <v>136</v>
      </c>
      <c r="M74" s="34">
        <f t="array" ref="M74">_xlfn.XLOOKUP(A74,'[1]DATOS PBI Artículos'!A:A,'[1]DATOS PBI Artículos'!AX:$AX)</f>
        <v>22028.94530061672</v>
      </c>
      <c r="N74" s="37">
        <f>IF(I74="DV",
E74,
IF(COUNTIF([1]CRITERIOS!$I$179:$I$199,$A74)&gt;=1,
_xlfn.XLOOKUP($A74,[1]CRITERIOS!$I$179:$I$199,[1]CRITERIOS!$J$179:$J$199),
IF(COUNTIF([1]CRITERIOS!$L$179:$L$199,$A74)&gt;=1,
_xlfn.CEILING.MATH(IF($M74&gt;$E74,
$E74,
IF($M74&lt;$E74/ROUNDDOWN([1]CRITERIOS!$M$16/_xlfn.XLOOKUP($C74,[1]CRITERIOS!$K$25:$K$42,[1]CRITERIOS!$M$25:$M$42),
1),
E74/ROUNDDOWN([1]CRITERIOS!$M$16/_xlfn.XLOOKUP($C74,[1]CRITERIOS!$K$25:$K$42,[1]CRITERIOS!$M$25:$M$42),
1),
$M74)),
_xlfn.XLOOKUP($A74,[1]CRITERIOS!$L$179:$L$200,[1]CRITERIOS!$M$179:$M$200)),
_xlfn.CEILING.MATH(IF($M74&gt;$E74,
$E74,
IF($M74&lt;$E74/ROUNDDOWN([1]CRITERIOS!$M$16/_xlfn.XLOOKUP($C74,[1]CRITERIOS!$K$25:$K$42,[1]CRITERIOS!$M$25:$M$42),
1),
E74/ROUNDDOWN([1]CRITERIOS!$M$16/_xlfn.XLOOKUP($C74,[1]CRITERIOS!$K$25:$K$42,[1]CRITERIOS!$M$25:$M$42),
1),
$M74)),_xlfn.XLOOKUP(A74,'[1]DATOS PBI Artículos'!A:A,'[1]DATOS PBI Artículos'!Z:Z
)))))</f>
        <v>50000</v>
      </c>
      <c r="Q74" s="38">
        <f>IF(AND(O74="",N74=0),
0,
   IF(COUNTIF([1]CRITERIOS!$F$179:$F$199,$A74)&gt;=1,
   1,
   IF(R74="MTO",
      $D74,
      ROUNDUP(
                    IF(($E74-SUMIF('[1]DATOS PBI Artículos'!A:A,A74,'[1]DATOS PBI Artículos'!X:X)+($V74-_xlfn.XLOOKUP(A74,'[1]DATOS PBI Artículos'!A:A,'[1]DATOS PBI Artículos'!W:W)))&lt;0,
                    0,
                    IF(($E74-SUMIF('[1]DATOS PBI Artículos'!A:A,A74,'[1]DATOS PBI Artículos'!X:X)+$V74-_xlfn.XLOOKUP($A74,'[1]DATOS PBI Artículos'!A:A,'[1]DATOS PBI Artículos'!W:W))/IF($O74="",$N74,$O74)&gt;ROUNDUP([1]CRITERIOS!$M$16/(IF(COUNTIF([1]CRITERIOS!$BG$11:$BG$201,L74)&gt;=1,_xlfn.XLOOKUP($C74,[1]CRITERIOS!$K$25:$K$42,[1]CRITERIOS!$M$25:$M$42),_xlfn.XLOOKUP($C74,[1]CRITERIOS!$K$25:$K$42,[1]CRITERIOS!$M$25:$M$42))),0),
                    ROUNDUP([1]CRITERIOS!$M$16/(IF(COUNTIF([1]CRITERIOS!$BG$11:$BG$201,$L74)&gt;=1,_xlfn.XLOOKUP($C74,[1]CRITERIOS!$K$25:$K$42,[1]CRITERIOS!$M$25:$M$42),_xlfn.XLOOKUP($C74,[1]CRITERIOS!$K$25:$K$42,[1]CRITERIOS!$M$25:$M$42))),0),
                    (E74+V74-SUMIF('[1]DATOS PBI Artículos'!A:A,A74,'[1]DATOS PBI Artículos'!X:X)-_xlfn.XLOOKUP(A74,'[1]DATOS PBI Artículos'!A:A,'[1]DATOS PBI Artículos'!W:W))/IF($O74="",$N74,$O74))),0))))</f>
        <v>2</v>
      </c>
      <c r="R74" s="33" t="str">
        <f>IF(U74&lt;&gt;"",U74,IF(F74="DV","MTO",IF(N74=0,"MTO",_xlfn.XLOOKUP(CONCATENATE(S74,T74),[1]CRITERIOS!$K$160:$K$168,[1]CRITERIOS!$N$160:$N$168))))</f>
        <v>MTS</v>
      </c>
      <c r="S74" s="33" t="str">
        <f>IF(G74="DV","MTO",IF(N74=0,"MTO",IF(OR(AND(N74=0,O74=""),IF(O74="",G74/N74,G74/O74)&gt;[1]CRITERIOS!$G$163),"MTO",IF(IF(O74="",G74/N74,G74/O74)&lt;[1]CRITERIOS!$H$161,"MTS","MTOS"))))</f>
        <v>MTOS</v>
      </c>
      <c r="T74" s="33" t="str">
        <f>IF(F74="DV","MTO",IF(OR(AND($N74=0,O74=""),$F74/$J74&gt;[1]CRITERIOS!$G$170,$F74="DV"),"MTO",IF($F74/$J74&lt;[1]CRITERIOS!$H$168,"MTS","MTOS")))</f>
        <v>MTS</v>
      </c>
      <c r="V74" s="34">
        <f t="shared" si="4"/>
        <v>64018.617040528727</v>
      </c>
      <c r="X74" s="34">
        <f t="shared" si="5"/>
        <v>114018.61704052873</v>
      </c>
      <c r="Y74" s="34">
        <f t="shared" si="6"/>
        <v>29718.897152573547</v>
      </c>
      <c r="Z74" s="34">
        <f>IF($R74="MTO",
0,
($H74+$K74*($E74/[1]CRITERIOS!$M$16))/[1]CRITERIOS!$X$48)</f>
        <v>4718.897152573546</v>
      </c>
      <c r="AA74" s="34" t="e">
        <f>ROUNDUP(($Y74/_xlfn.XLOOKUP($A74,'[1]DATOS PBI Artículos'!$A$4:$A$4,'[1]DATOS PBI Artículos'!$Z$4:$Z$4))/_xlfn.XLOOKUP(_xlfn.XLOOKUP($A74,'[1]DATOS PBI Artículos'!$A$4:$A$4,'[1]DATOS PBI Artículos'!$Y$4:$Y$4),[1]CRITERIOS!$P$79:$P$123,[1]CRITERIOS!$S$79:$S$123,),0)</f>
        <v>#N/A</v>
      </c>
      <c r="AB74" s="33" t="e">
        <f t="array" ref="AB74">IF((E74+V74-_xlfn.XLOOKUP(A74,'[1]DATOS PBI Artículos'!$A$4:$A$4,'[1]DATOS PBI Artículos'!$W$4:$W$4))/N74&gt;ROUNDUP([1]CRITERIOS!$M$16/(IF(COUNTIF([1]CRITERIOS!$BG$11:$BG$201,L74)&gt;=1,_xlfn.XLOOKUP(ARTÍCULOS!L74,[1]CRITERIOS!$BG$11:$BG$201,[1]CRITERIOS!$BJ$11:$BJ$201),_xlfn.XLOOKUP(ARTÍCULOS!C74,[1]CRITERIOS!$K$25:$K$42,[1]CRITERIOS!$M$25:$M$42))),0),ROUNDUP([1]CRITERIOS!$M$16/(IF(COUNTIF([1]CRITERIOS!$BG$11:$BG$201,L74)&gt;=1,_xlfn.XLOOKUP(ARTÍCULOS!L74,[1]CRITERIOS!$BG$11:$BG$201:#REF!,[1]CRITERIOS!$BJ$11:$BJ$201),_xlfn.XLOOKUP(ARTÍCULOS!C74,[1]CRITERIOS!$K$25:$K$42,[1]CRITERIOS!$M$25:$M$42))),0),(E74+V74-_xlfn.XLOOKUP(A74,'[1]DATOS PBI Artículos'!$A$4:$A$4,'[1]DATOS PBI Artículos'!$W$4:$W$4))/N74)</f>
        <v>#N/A</v>
      </c>
      <c r="AC74" s="33" t="e">
        <f>IF(N74=0,"",(ROUNDUP((N74/2)/(_xlfn.XLOOKUP(A74,'[1]DATOS PBI Artículos'!$A$4:$A$4,'[1]DATOS PBI Artículos'!$Z$4:$Z$4)*_xlfn.XLOOKUP(_xlfn.XLOOKUP(A74,'[1]DATOS PBI Artículos'!$A$4:$A$4,'[1]DATOS PBI Artículos'!$Y$4:$Y$4),[1]CRITERIOS!$P$79:$P$123,[1]CRITERIOS!$S$79:$S$123)),0)*[1]CRITERIOS!$M$80*([1]CRITERIOS!$M$110/[1]CRITERIOS!$M$86)+(_xlfn.XLOOKUP(A74,'[1]DATOS PBI Artículos'!$A$4:$A$4,'[1]DATOS PBI Artículos'!$AA$4:$AA$4)*([1]CRITERIOS!$M$95+[1]CRITERIOS!$M$98)))/N74)</f>
        <v>#N/A</v>
      </c>
      <c r="AD74" s="33" t="e">
        <f>IF(N74=0,"",(ROUNDUP((N74/2)/(_xlfn.XLOOKUP(A74,'[1]DATOS PBI Artículos'!$A$4:$A$4,'[1]DATOS PBI Artículos'!$Z$4:$Z$4)*_xlfn.XLOOKUP(_xlfn.XLOOKUP(A74,'[1]DATOS PBI Artículos'!$A$4:$A$4,'[1]DATOS PBI Artículos'!$Y$4:$Y$4),[1]CRITERIOS!$P$79:$P$123,[1]CRITERIOS!$S$79:$S$123)),0)*[1]CRITERIOS!$M$80*([1]CRITERIOS!$M$89*[1]CRITERIOS!$M$92)+((_xlfn.XLOOKUP(A74,'[1]DATOS PBI Artículos'!$A$4:$A$4,'[1]DATOS PBI Artículos'!$AA$4:$AA$4)/2)*([1]CRITERIOS!$M$95+[1]CRITERIOS!$M$98)))/N74)</f>
        <v>#N/A</v>
      </c>
      <c r="AE74" s="39">
        <f>IF($R74="MTO","",
IF($H74=0,ROUNDUP(((_xlfn.XLOOKUP($A74,'[1]DATOS PBI Artículos'!$A:$A,'[1]DATOS PBI Artículos'!$AL:$AL))/(_xlfn.XLOOKUP($AF$1,[1]CRITERIOS!$S$16:$S$39,[1]CRITERIOS!$Y$16:$Y$39))*$J74+$Z74)/$G74,0)*$G74,
((_xlfn.XLOOKUP($A74,'[1]DATOS PBI Artículos'!$A:$A,'[1]DATOS PBI Artículos'!$AL:$AL))/(_xlfn.XLOOKUP($AF$1,[1]CRITERIOS!$S$16:$S$39,[1]CRITERIOS!$Y$16:$Y$39))*$J74+$Z74)))</f>
        <v>72500</v>
      </c>
      <c r="AG74" s="39">
        <f>IF($R74="MTO","",
IF($H74=0,ROUNDUP(((_xlfn.XLOOKUP($A74,'[1]DATOS PBI Artículos'!$A:$A,'[1]DATOS PBI Artículos'!$AM:$AM))/(_xlfn.XLOOKUP($AH$1,[1]CRITERIOS!$S$16:$S$39,[1]CRITERIOS!$Y$16:$Y$39))*$J74+$Z74)/$G74,0)*$G74,
((_xlfn.XLOOKUP($A74,'[1]DATOS PBI Artículos'!$A:$A,'[1]DATOS PBI Artículos'!$AM:$AM))/(_xlfn.XLOOKUP($AH$1,[1]CRITERIOS!$S$16:$S$39,[1]CRITERIOS!$Y$16:$Y$39))*$J74+$Z74)))</f>
        <v>36250</v>
      </c>
      <c r="AI74" s="39">
        <f>IF($R74="MTO","",
IF($H74=0,ROUNDUP(((_xlfn.XLOOKUP($A74,'[1]DATOS PBI Artículos'!$A:$A,'[1]DATOS PBI Artículos'!$AN:$AN))/(_xlfn.XLOOKUP($AJ$1,[1]CRITERIOS!$S$16:$S$39,[1]CRITERIOS!$Y$16:$Y$39))*$J74+$Z74)/$G74,0)*$G74,
((_xlfn.XLOOKUP($A74,'[1]DATOS PBI Artículos'!$A:$A,'[1]DATOS PBI Artículos'!$AN:$AN))/(_xlfn.XLOOKUP($AJ$1,[1]CRITERIOS!$S$16:$S$39,[1]CRITERIOS!$Y$16:$Y$39))*$J74+$Z74)))</f>
        <v>72500</v>
      </c>
      <c r="AK74" s="39">
        <f>IF($R74="MTO","",
IF($H74=0,ROUNDUP(((_xlfn.XLOOKUP($A74,'[1]DATOS PBI Artículos'!$A:$A,'[1]DATOS PBI Artículos'!$AO:$AO))/(_xlfn.XLOOKUP($AL$1,[1]CRITERIOS!$S$16:$S$39,[1]CRITERIOS!$Y$16:$Y$39))*$J74+$Z74)/$G74,0)*$G74,
((_xlfn.XLOOKUP($A74,'[1]DATOS PBI Artículos'!$A:$A,'[1]DATOS PBI Artículos'!$AO:$AO))/(_xlfn.XLOOKUP($AL$1,[1]CRITERIOS!$S$16:$S$39,[1]CRITERIOS!$Y$16:$Y$39))*$J74+$Z74)))</f>
        <v>72500</v>
      </c>
    </row>
    <row r="75" spans="1:37" ht="25.8" x14ac:dyDescent="0.5">
      <c r="A75" s="32" t="s">
        <v>64</v>
      </c>
      <c r="B75" s="33">
        <f>_xlfn.XLOOKUP($A75,'[1]DATOS PBI Artículos'!A:A,'[1]DATOS PBI Artículos'!B:B)</f>
        <v>0</v>
      </c>
      <c r="C75" s="33" t="str">
        <f>_xlfn.XLOOKUP($A75,'[1]DATOS PBI Artículos'!A:A,'[1]DATOS PBI Artículos'!C:C)</f>
        <v>UA01</v>
      </c>
      <c r="D75" s="33">
        <f>_xlfn.XLOOKUP(A75,'[1]DATOS PBI Artículos'!A:A,'[1]DATOS PBI Artículos'!T:T)</f>
        <v>1</v>
      </c>
      <c r="E75" s="34">
        <f>IF(_xlfn.XLOOKUP($A75,'[1]DATOS PBI Artículos'!A:A,'[1]DATOS PBI Artículos'!AK:AK)="",_xlfn.XLOOKUP($A75,'[1]DATOS PBI Artículos'!A:A,'[1]DATOS PBI Artículos'!AJ:AJ),_xlfn.XLOOKUP($A75,'[1]DATOS PBI Artículos'!A:A,'[1]DATOS PBI Artículos'!AK:AK))</f>
        <v>180000</v>
      </c>
      <c r="F75" s="35">
        <f>_xlfn.XLOOKUP($A75,'[1]DATOS PBI Artículos'!A:A,'[1]DATOS PBI Artículos'!AP:AP)</f>
        <v>75</v>
      </c>
      <c r="G75" s="34">
        <f>_xlfn.XLOOKUP($A75,'[1]DATOS PBI Artículos'!A:A,'[1]DATOS PBI Artículos'!AR:AR)</f>
        <v>180000</v>
      </c>
      <c r="H75" s="34">
        <f>_xlfn.XLOOKUP($A75,'[1]DATOS PBI Artículos'!A:A,'[1]DATOS PBI Artículos'!AT:AT)</f>
        <v>0</v>
      </c>
      <c r="I75" s="34">
        <f>_xlfn.XLOOKUP($A75,'[1]DATOS PBI Artículos'!A:A,'[1]DATOS PBI Artículos'!AS:AS)</f>
        <v>180000</v>
      </c>
      <c r="J75" s="35">
        <f>IF(COUNTIF([1]CRITERIOS!$F$179:$F$199,$A75)&gt;=1,
 IF(O75&lt;&gt;"",
    (O75/_xlfn.XLOOKUP(CONCATENATE(A75,L75),[1]MÁQUINAS!A:A,[1]MÁQUINAS!D:D))/24,
    (N75/_xlfn.XLOOKUP(CONCATENATE(A75,L75),[1]MÁQUINAS!A:A,[1]MÁQUINAS!D:D))/24),
  _xlfn.XLOOKUP($A75,'[1]DATOS PBI Artículos'!A:A,'[1]DATOS PBI Artículos'!AU:AU))</f>
        <v>28</v>
      </c>
      <c r="K75" s="36">
        <f>_xlfn.XLOOKUP($A75,'[1]DATOS PBI Artículos'!A:A,'[1]DATOS PBI Artículos'!AV:AV)</f>
        <v>11.005049346146119</v>
      </c>
      <c r="L75" s="33">
        <f>_xlfn.XLOOKUP(A75,[1]MÁQUINAS!B:B,[1]MÁQUINAS!C:C)</f>
        <v>505</v>
      </c>
      <c r="M75" s="34">
        <f t="array" ref="M75">_xlfn.XLOOKUP(A75,'[1]DATOS PBI Artículos'!A:A,'[1]DATOS PBI Artículos'!AX:$AX)</f>
        <v>72168.161579783497</v>
      </c>
      <c r="N75" s="37">
        <f>IF(I75="DV",
E75,
IF(COUNTIF([1]CRITERIOS!$I$179:$I$199,$A75)&gt;=1,
_xlfn.XLOOKUP($A75,[1]CRITERIOS!$I$179:$I$199,[1]CRITERIOS!$J$179:$J$199),
IF(COUNTIF([1]CRITERIOS!$L$179:$L$199,$A75)&gt;=1,
_xlfn.CEILING.MATH(IF($M75&gt;$E75,
$E75,
IF($M75&lt;$E75/ROUNDDOWN([1]CRITERIOS!$M$16/_xlfn.XLOOKUP($C75,[1]CRITERIOS!$K$25:$K$42,[1]CRITERIOS!$M$25:$M$42),
1),
E75/ROUNDDOWN([1]CRITERIOS!$M$16/_xlfn.XLOOKUP($C75,[1]CRITERIOS!$K$25:$K$42,[1]CRITERIOS!$M$25:$M$42),
1),
$M75)),
_xlfn.XLOOKUP($A75,[1]CRITERIOS!$L$179:$L$200,[1]CRITERIOS!$M$179:$M$200)),
_xlfn.CEILING.MATH(IF($M75&gt;$E75,
$E75,
IF($M75&lt;$E75/ROUNDDOWN([1]CRITERIOS!$M$16/_xlfn.XLOOKUP($C75,[1]CRITERIOS!$K$25:$K$42,[1]CRITERIOS!$M$25:$M$42),
1),
E75/ROUNDDOWN([1]CRITERIOS!$M$16/_xlfn.XLOOKUP($C75,[1]CRITERIOS!$K$25:$K$42,[1]CRITERIOS!$M$25:$M$42),
1),
$M75)),_xlfn.XLOOKUP(A75,'[1]DATOS PBI Artículos'!A:A,'[1]DATOS PBI Artículos'!Z:Z
)))))</f>
        <v>74000</v>
      </c>
      <c r="Q75" s="38">
        <f>IF(AND(O75="",N75=0),
0,
   IF(COUNTIF([1]CRITERIOS!$F$179:$F$199,$A75)&gt;=1,
   1,
   IF(R75="MTO",
      $D75,
      ROUNDUP(
                    IF(($E75-SUMIF('[1]DATOS PBI Artículos'!A:A,A75,'[1]DATOS PBI Artículos'!X:X)+($V75-_xlfn.XLOOKUP(A75,'[1]DATOS PBI Artículos'!A:A,'[1]DATOS PBI Artículos'!W:W)))&lt;0,
                    0,
                    IF(($E75-SUMIF('[1]DATOS PBI Artículos'!A:A,A75,'[1]DATOS PBI Artículos'!X:X)+$V75-_xlfn.XLOOKUP($A75,'[1]DATOS PBI Artículos'!A:A,'[1]DATOS PBI Artículos'!W:W))/IF($O75="",$N75,$O75)&gt;ROUNDUP([1]CRITERIOS!$M$16/(IF(COUNTIF([1]CRITERIOS!$BG$11:$BG$201,L75)&gt;=1,_xlfn.XLOOKUP($C75,[1]CRITERIOS!$K$25:$K$42,[1]CRITERIOS!$M$25:$M$42),_xlfn.XLOOKUP($C75,[1]CRITERIOS!$K$25:$K$42,[1]CRITERIOS!$M$25:$M$42))),0),
                    ROUNDUP([1]CRITERIOS!$M$16/(IF(COUNTIF([1]CRITERIOS!$BG$11:$BG$201,$L75)&gt;=1,_xlfn.XLOOKUP($C75,[1]CRITERIOS!$K$25:$K$42,[1]CRITERIOS!$M$25:$M$42),_xlfn.XLOOKUP($C75,[1]CRITERIOS!$K$25:$K$42,[1]CRITERIOS!$M$25:$M$42))),0),
                    (E75+V75-SUMIF('[1]DATOS PBI Artículos'!A:A,A75,'[1]DATOS PBI Artículos'!X:X)-_xlfn.XLOOKUP(A75,'[1]DATOS PBI Artículos'!A:A,'[1]DATOS PBI Artículos'!W:W))/IF($O75="",$N75,$O75))),0))))</f>
        <v>1</v>
      </c>
      <c r="R75" s="33" t="str">
        <f>IF(U75&lt;&gt;"",U75,IF(F75="DV","MTO",IF(N75=0,"MTO",_xlfn.XLOOKUP(CONCATENATE(S75,T75),[1]CRITERIOS!$K$160:$K$168,[1]CRITERIOS!$N$160:$N$168))))</f>
        <v>MTO</v>
      </c>
      <c r="S75" s="33" t="str">
        <f>IF(G75="DV","MTO",IF(N75=0,"MTO",IF(OR(AND(N75=0,O75=""),IF(O75="",G75/N75,G75/O75)&gt;[1]CRITERIOS!$G$163),"MTO",IF(IF(O75="",G75/N75,G75/O75)&lt;[1]CRITERIOS!$H$161,"MTS","MTOS"))))</f>
        <v>MTO</v>
      </c>
      <c r="T75" s="33" t="str">
        <f>IF(F75="DV","MTO",IF(OR(AND($N75=0,O75=""),$F75/$J75&gt;[1]CRITERIOS!$G$170,$F75="DV"),"MTO",IF($F75/$J75&lt;[1]CRITERIOS!$H$168,"MTS","MTOS")))</f>
        <v>MTO</v>
      </c>
      <c r="V75" s="34" t="str">
        <f t="shared" si="4"/>
        <v/>
      </c>
      <c r="X75" s="34">
        <f t="shared" si="5"/>
        <v>0</v>
      </c>
      <c r="Y75" s="34">
        <f t="shared" si="6"/>
        <v>0</v>
      </c>
      <c r="Z75" s="34">
        <f>IF($R75="MTO",
0,
($H75+$K75*($E75/[1]CRITERIOS!$M$16))/[1]CRITERIOS!$X$48)</f>
        <v>0</v>
      </c>
      <c r="AA75" s="34" t="e">
        <f>ROUNDUP(($Y75/_xlfn.XLOOKUP($A75,'[1]DATOS PBI Artículos'!$A$4:$A$4,'[1]DATOS PBI Artículos'!$Z$4:$Z$4))/_xlfn.XLOOKUP(_xlfn.XLOOKUP($A75,'[1]DATOS PBI Artículos'!$A$4:$A$4,'[1]DATOS PBI Artículos'!$Y$4:$Y$4),[1]CRITERIOS!$P$79:$P$123,[1]CRITERIOS!$S$79:$S$123,),0)</f>
        <v>#N/A</v>
      </c>
      <c r="AB75" s="33" t="e">
        <f t="array" ref="AB75">IF((E75+V75-_xlfn.XLOOKUP(A75,'[1]DATOS PBI Artículos'!$A$4:$A$4,'[1]DATOS PBI Artículos'!$W$4:$W$4))/N75&gt;ROUNDUP([1]CRITERIOS!$M$16/(IF(COUNTIF([1]CRITERIOS!$BG$11:$BG$201,L75)&gt;=1,_xlfn.XLOOKUP(ARTÍCULOS!L75,[1]CRITERIOS!$BG$11:$BG$201,[1]CRITERIOS!$BJ$11:$BJ$201),_xlfn.XLOOKUP(ARTÍCULOS!C75,[1]CRITERIOS!$K$25:$K$42,[1]CRITERIOS!$M$25:$M$42))),0),ROUNDUP([1]CRITERIOS!$M$16/(IF(COUNTIF([1]CRITERIOS!$BG$11:$BG$201,L75)&gt;=1,_xlfn.XLOOKUP(ARTÍCULOS!L75,[1]CRITERIOS!$BG$11:$BG$201:#REF!,[1]CRITERIOS!$BJ$11:$BJ$201),_xlfn.XLOOKUP(ARTÍCULOS!C75,[1]CRITERIOS!$K$25:$K$42,[1]CRITERIOS!$M$25:$M$42))),0),(E75+V75-_xlfn.XLOOKUP(A75,'[1]DATOS PBI Artículos'!$A$4:$A$4,'[1]DATOS PBI Artículos'!$W$4:$W$4))/N75)</f>
        <v>#VALUE!</v>
      </c>
      <c r="AC75" s="33" t="e">
        <f>IF(N75=0,"",(ROUNDUP((N75/2)/(_xlfn.XLOOKUP(A75,'[1]DATOS PBI Artículos'!$A$4:$A$4,'[1]DATOS PBI Artículos'!$Z$4:$Z$4)*_xlfn.XLOOKUP(_xlfn.XLOOKUP(A75,'[1]DATOS PBI Artículos'!$A$4:$A$4,'[1]DATOS PBI Artículos'!$Y$4:$Y$4),[1]CRITERIOS!$P$79:$P$123,[1]CRITERIOS!$S$79:$S$123)),0)*[1]CRITERIOS!$M$80*([1]CRITERIOS!$M$110/[1]CRITERIOS!$M$86)+(_xlfn.XLOOKUP(A75,'[1]DATOS PBI Artículos'!$A$4:$A$4,'[1]DATOS PBI Artículos'!$AA$4:$AA$4)*([1]CRITERIOS!$M$95+[1]CRITERIOS!$M$98)))/N75)</f>
        <v>#N/A</v>
      </c>
      <c r="AD75" s="33" t="e">
        <f>IF(N75=0,"",(ROUNDUP((N75/2)/(_xlfn.XLOOKUP(A75,'[1]DATOS PBI Artículos'!$A$4:$A$4,'[1]DATOS PBI Artículos'!$Z$4:$Z$4)*_xlfn.XLOOKUP(_xlfn.XLOOKUP(A75,'[1]DATOS PBI Artículos'!$A$4:$A$4,'[1]DATOS PBI Artículos'!$Y$4:$Y$4),[1]CRITERIOS!$P$79:$P$123,[1]CRITERIOS!$S$79:$S$123)),0)*[1]CRITERIOS!$M$80*([1]CRITERIOS!$M$89*[1]CRITERIOS!$M$92)+((_xlfn.XLOOKUP(A75,'[1]DATOS PBI Artículos'!$A$4:$A$4,'[1]DATOS PBI Artículos'!$AA$4:$AA$4)/2)*([1]CRITERIOS!$M$95+[1]CRITERIOS!$M$98)))/N75)</f>
        <v>#N/A</v>
      </c>
      <c r="AE75" s="39" t="str">
        <f>IF($R75="MTO","",
IF($H75=0,ROUNDUP(((_xlfn.XLOOKUP($A75,'[1]DATOS PBI Artículos'!$A:$A,'[1]DATOS PBI Artículos'!$AL:$AL))/(_xlfn.XLOOKUP($AF$1,[1]CRITERIOS!$S$16:$S$39,[1]CRITERIOS!$Y$16:$Y$39))*$J75+$Z75)/$G75,0)*$G75,
((_xlfn.XLOOKUP($A75,'[1]DATOS PBI Artículos'!$A:$A,'[1]DATOS PBI Artículos'!$AL:$AL))/(_xlfn.XLOOKUP($AF$1,[1]CRITERIOS!$S$16:$S$39,[1]CRITERIOS!$Y$16:$Y$39))*$J75+$Z75)))</f>
        <v/>
      </c>
      <c r="AG75" s="39" t="str">
        <f>IF($R75="MTO","",
IF($H75=0,ROUNDUP(((_xlfn.XLOOKUP($A75,'[1]DATOS PBI Artículos'!$A:$A,'[1]DATOS PBI Artículos'!$AM:$AM))/(_xlfn.XLOOKUP($AH$1,[1]CRITERIOS!$S$16:$S$39,[1]CRITERIOS!$Y$16:$Y$39))*$J75+$Z75)/$G75,0)*$G75,
((_xlfn.XLOOKUP($A75,'[1]DATOS PBI Artículos'!$A:$A,'[1]DATOS PBI Artículos'!$AM:$AM))/(_xlfn.XLOOKUP($AH$1,[1]CRITERIOS!$S$16:$S$39,[1]CRITERIOS!$Y$16:$Y$39))*$J75+$Z75)))</f>
        <v/>
      </c>
      <c r="AI75" s="39" t="str">
        <f>IF($R75="MTO","",
IF($H75=0,ROUNDUP(((_xlfn.XLOOKUP($A75,'[1]DATOS PBI Artículos'!$A:$A,'[1]DATOS PBI Artículos'!$AN:$AN))/(_xlfn.XLOOKUP($AJ$1,[1]CRITERIOS!$S$16:$S$39,[1]CRITERIOS!$Y$16:$Y$39))*$J75+$Z75)/$G75,0)*$G75,
((_xlfn.XLOOKUP($A75,'[1]DATOS PBI Artículos'!$A:$A,'[1]DATOS PBI Artículos'!$AN:$AN))/(_xlfn.XLOOKUP($AJ$1,[1]CRITERIOS!$S$16:$S$39,[1]CRITERIOS!$Y$16:$Y$39))*$J75+$Z75)))</f>
        <v/>
      </c>
      <c r="AK75" s="39" t="str">
        <f>IF($R75="MTO","",
IF($H75=0,ROUNDUP(((_xlfn.XLOOKUP($A75,'[1]DATOS PBI Artículos'!$A:$A,'[1]DATOS PBI Artículos'!$AO:$AO))/(_xlfn.XLOOKUP($AL$1,[1]CRITERIOS!$S$16:$S$39,[1]CRITERIOS!$Y$16:$Y$39))*$J75+$Z75)/$G75,0)*$G75,
((_xlfn.XLOOKUP($A75,'[1]DATOS PBI Artículos'!$A:$A,'[1]DATOS PBI Artículos'!$AO:$AO))/(_xlfn.XLOOKUP($AL$1,[1]CRITERIOS!$S$16:$S$39,[1]CRITERIOS!$Y$16:$Y$39))*$J75+$Z75)))</f>
        <v/>
      </c>
    </row>
    <row r="76" spans="1:37" ht="25.8" x14ac:dyDescent="0.5">
      <c r="A76" s="32" t="s">
        <v>65</v>
      </c>
      <c r="B76" s="33">
        <f>_xlfn.XLOOKUP($A76,'[1]DATOS PBI Artículos'!A:A,'[1]DATOS PBI Artículos'!B:B)</f>
        <v>0</v>
      </c>
      <c r="C76" s="33" t="str">
        <f>_xlfn.XLOOKUP($A76,'[1]DATOS PBI Artículos'!A:A,'[1]DATOS PBI Artículos'!C:C)</f>
        <v>UA03</v>
      </c>
      <c r="D76" s="33">
        <f>_xlfn.XLOOKUP(A76,'[1]DATOS PBI Artículos'!A:A,'[1]DATOS PBI Artículos'!T:T)</f>
        <v>3</v>
      </c>
      <c r="E76" s="34">
        <f>IF(_xlfn.XLOOKUP($A76,'[1]DATOS PBI Artículos'!A:A,'[1]DATOS PBI Artículos'!AK:AK)="",_xlfn.XLOOKUP($A76,'[1]DATOS PBI Artículos'!A:A,'[1]DATOS PBI Artículos'!AJ:AJ),_xlfn.XLOOKUP($A76,'[1]DATOS PBI Artículos'!A:A,'[1]DATOS PBI Artículos'!AK:AK))</f>
        <v>180000</v>
      </c>
      <c r="F76" s="35">
        <f>_xlfn.XLOOKUP($A76,'[1]DATOS PBI Artículos'!A:A,'[1]DATOS PBI Artículos'!AP:AP)</f>
        <v>20.5</v>
      </c>
      <c r="G76" s="34">
        <f>_xlfn.XLOOKUP($A76,'[1]DATOS PBI Artículos'!A:A,'[1]DATOS PBI Artículos'!AR:AR)</f>
        <v>60000</v>
      </c>
      <c r="H76" s="34">
        <f>_xlfn.XLOOKUP($A76,'[1]DATOS PBI Artículos'!A:A,'[1]DATOS PBI Artículos'!AT:AT)</f>
        <v>0</v>
      </c>
      <c r="I76" s="34">
        <f>_xlfn.XLOOKUP($A76,'[1]DATOS PBI Artículos'!A:A,'[1]DATOS PBI Artículos'!AS:AS)</f>
        <v>60000</v>
      </c>
      <c r="J76" s="35">
        <f>IF(COUNTIF([1]CRITERIOS!$F$179:$F$199,$A76)&gt;=1,
 IF(O76&lt;&gt;"",
    (O76/_xlfn.XLOOKUP(CONCATENATE(A76,L76),[1]MÁQUINAS!A:A,[1]MÁQUINAS!D:D))/24,
    (N76/_xlfn.XLOOKUP(CONCATENATE(A76,L76),[1]MÁQUINAS!A:A,[1]MÁQUINAS!D:D))/24),
  _xlfn.XLOOKUP($A76,'[1]DATOS PBI Artículos'!A:A,'[1]DATOS PBI Artículos'!AU:AU))</f>
        <v>12.636363636363637</v>
      </c>
      <c r="K76" s="36">
        <f>_xlfn.XLOOKUP($A76,'[1]DATOS PBI Artículos'!A:A,'[1]DATOS PBI Artículos'!AV:AV)</f>
        <v>0.9244162777371755</v>
      </c>
      <c r="L76" s="33">
        <f>_xlfn.XLOOKUP(A76,[1]MÁQUINAS!B:B,[1]MÁQUINAS!C:C)</f>
        <v>136</v>
      </c>
      <c r="M76" s="34">
        <f t="array" ref="M76">_xlfn.XLOOKUP(A76,'[1]DATOS PBI Artículos'!A:A,'[1]DATOS PBI Artículos'!AX:$AX)</f>
        <v>49877.876805070344</v>
      </c>
      <c r="N76" s="37">
        <f>IF(I76="DV",
E76,
IF(COUNTIF([1]CRITERIOS!$I$179:$I$199,$A76)&gt;=1,
_xlfn.XLOOKUP($A76,[1]CRITERIOS!$I$179:$I$199,[1]CRITERIOS!$J$179:$J$199),
IF(COUNTIF([1]CRITERIOS!$L$179:$L$199,$A76)&gt;=1,
_xlfn.CEILING.MATH(IF($M76&gt;$E76,
$E76,
IF($M76&lt;$E76/ROUNDDOWN([1]CRITERIOS!$M$16/_xlfn.XLOOKUP($C76,[1]CRITERIOS!$K$25:$K$42,[1]CRITERIOS!$M$25:$M$42),
1),
E76/ROUNDDOWN([1]CRITERIOS!$M$16/_xlfn.XLOOKUP($C76,[1]CRITERIOS!$K$25:$K$42,[1]CRITERIOS!$M$25:$M$42),
1),
$M76)),
_xlfn.XLOOKUP($A76,[1]CRITERIOS!$L$179:$L$200,[1]CRITERIOS!$M$179:$M$200)),
_xlfn.CEILING.MATH(IF($M76&gt;$E76,
$E76,
IF($M76&lt;$E76/ROUNDDOWN([1]CRITERIOS!$M$16/_xlfn.XLOOKUP($C76,[1]CRITERIOS!$K$25:$K$42,[1]CRITERIOS!$M$25:$M$42),
1),
E76/ROUNDDOWN([1]CRITERIOS!$M$16/_xlfn.XLOOKUP($C76,[1]CRITERIOS!$K$25:$K$42,[1]CRITERIOS!$M$25:$M$42),
1),
$M76)),_xlfn.XLOOKUP(A76,'[1]DATOS PBI Artículos'!A:A,'[1]DATOS PBI Artículos'!Z:Z
)))))</f>
        <v>50000</v>
      </c>
      <c r="Q76" s="38">
        <f>IF(AND(O76="",N76=0),
0,
   IF(COUNTIF([1]CRITERIOS!$F$179:$F$199,$A76)&gt;=1,
   1,
   IF(R76="MTO",
      $D76,
      ROUNDUP(
                    IF(($E76-SUMIF('[1]DATOS PBI Artículos'!A:A,A76,'[1]DATOS PBI Artículos'!X:X)+($V76-_xlfn.XLOOKUP(A76,'[1]DATOS PBI Artículos'!A:A,'[1]DATOS PBI Artículos'!W:W)))&lt;0,
                    0,
                    IF(($E76-SUMIF('[1]DATOS PBI Artículos'!A:A,A76,'[1]DATOS PBI Artículos'!X:X)+$V76-_xlfn.XLOOKUP($A76,'[1]DATOS PBI Artículos'!A:A,'[1]DATOS PBI Artículos'!W:W))/IF($O76="",$N76,$O76)&gt;ROUNDUP([1]CRITERIOS!$M$16/(IF(COUNTIF([1]CRITERIOS!$BG$11:$BG$201,L76)&gt;=1,_xlfn.XLOOKUP($C76,[1]CRITERIOS!$K$25:$K$42,[1]CRITERIOS!$M$25:$M$42),_xlfn.XLOOKUP($C76,[1]CRITERIOS!$K$25:$K$42,[1]CRITERIOS!$M$25:$M$42))),0),
                    ROUNDUP([1]CRITERIOS!$M$16/(IF(COUNTIF([1]CRITERIOS!$BG$11:$BG$201,$L76)&gt;=1,_xlfn.XLOOKUP($C76,[1]CRITERIOS!$K$25:$K$42,[1]CRITERIOS!$M$25:$M$42),_xlfn.XLOOKUP($C76,[1]CRITERIOS!$K$25:$K$42,[1]CRITERIOS!$M$25:$M$42))),0),
                    (E76+V76-SUMIF('[1]DATOS PBI Artículos'!A:A,A76,'[1]DATOS PBI Artículos'!X:X)-_xlfn.XLOOKUP(A76,'[1]DATOS PBI Artículos'!A:A,'[1]DATOS PBI Artículos'!W:W))/IF($O76="",$N76,$O76))),0))))</f>
        <v>3</v>
      </c>
      <c r="R76" s="33" t="str">
        <f>IF(U76&lt;&gt;"",U76,IF(F76="DV","MTO",IF(N76=0,"MTO",_xlfn.XLOOKUP(CONCATENATE(S76,T76),[1]CRITERIOS!$K$160:$K$168,[1]CRITERIOS!$N$160:$N$168))))</f>
        <v>MTO</v>
      </c>
      <c r="S76" s="33" t="str">
        <f>IF(G76="DV","MTO",IF(N76=0,"MTO",IF(OR(AND(N76=0,O76=""),IF(O76="",G76/N76,G76/O76)&gt;[1]CRITERIOS!$G$163),"MTO",IF(IF(O76="",G76/N76,G76/O76)&lt;[1]CRITERIOS!$H$161,"MTS","MTOS"))))</f>
        <v>MTO</v>
      </c>
      <c r="T76" s="33" t="str">
        <f>IF(F76="DV","MTO",IF(OR(AND($N76=0,O76=""),$F76/$J76&gt;[1]CRITERIOS!$G$170,$F76="DV"),"MTO",IF($F76/$J76&lt;[1]CRITERIOS!$H$168,"MTS","MTOS")))</f>
        <v>MTO</v>
      </c>
      <c r="V76" s="34" t="str">
        <f t="shared" si="4"/>
        <v/>
      </c>
      <c r="X76" s="34">
        <f t="shared" si="5"/>
        <v>0</v>
      </c>
      <c r="Y76" s="34">
        <f t="shared" si="6"/>
        <v>0</v>
      </c>
      <c r="Z76" s="34">
        <f>IF($R76="MTO",
0,
($H76+$K76*($E76/[1]CRITERIOS!$M$16))/[1]CRITERIOS!$X$48)</f>
        <v>0</v>
      </c>
      <c r="AA76" s="34" t="e">
        <f>ROUNDUP(($Y76/_xlfn.XLOOKUP($A76,'[1]DATOS PBI Artículos'!$A$4:$A$4,'[1]DATOS PBI Artículos'!$Z$4:$Z$4))/_xlfn.XLOOKUP(_xlfn.XLOOKUP($A76,'[1]DATOS PBI Artículos'!$A$4:$A$4,'[1]DATOS PBI Artículos'!$Y$4:$Y$4),[1]CRITERIOS!$P$79:$P$123,[1]CRITERIOS!$S$79:$S$123,),0)</f>
        <v>#N/A</v>
      </c>
      <c r="AB76" s="33" t="e">
        <f t="array" ref="AB76">IF((E76+V76-_xlfn.XLOOKUP(A76,'[1]DATOS PBI Artículos'!$A$4:$A$4,'[1]DATOS PBI Artículos'!$W$4:$W$4))/N76&gt;ROUNDUP([1]CRITERIOS!$M$16/(IF(COUNTIF([1]CRITERIOS!$BG$11:$BG$201,L76)&gt;=1,_xlfn.XLOOKUP(ARTÍCULOS!L76,[1]CRITERIOS!$BG$11:$BG$201,[1]CRITERIOS!$BJ$11:$BJ$201),_xlfn.XLOOKUP(ARTÍCULOS!C76,[1]CRITERIOS!$K$25:$K$42,[1]CRITERIOS!$M$25:$M$42))),0),ROUNDUP([1]CRITERIOS!$M$16/(IF(COUNTIF([1]CRITERIOS!$BG$11:$BG$201,L76)&gt;=1,_xlfn.XLOOKUP(ARTÍCULOS!L76,[1]CRITERIOS!$BG$11:$BG$201:#REF!,[1]CRITERIOS!$BJ$11:$BJ$201),_xlfn.XLOOKUP(ARTÍCULOS!C76,[1]CRITERIOS!$K$25:$K$42,[1]CRITERIOS!$M$25:$M$42))),0),(E76+V76-_xlfn.XLOOKUP(A76,'[1]DATOS PBI Artículos'!$A$4:$A$4,'[1]DATOS PBI Artículos'!$W$4:$W$4))/N76)</f>
        <v>#VALUE!</v>
      </c>
      <c r="AC76" s="33" t="e">
        <f>IF(N76=0,"",(ROUNDUP((N76/2)/(_xlfn.XLOOKUP(A76,'[1]DATOS PBI Artículos'!$A$4:$A$4,'[1]DATOS PBI Artículos'!$Z$4:$Z$4)*_xlfn.XLOOKUP(_xlfn.XLOOKUP(A76,'[1]DATOS PBI Artículos'!$A$4:$A$4,'[1]DATOS PBI Artículos'!$Y$4:$Y$4),[1]CRITERIOS!$P$79:$P$123,[1]CRITERIOS!$S$79:$S$123)),0)*[1]CRITERIOS!$M$80*([1]CRITERIOS!$M$110/[1]CRITERIOS!$M$86)+(_xlfn.XLOOKUP(A76,'[1]DATOS PBI Artículos'!$A$4:$A$4,'[1]DATOS PBI Artículos'!$AA$4:$AA$4)*([1]CRITERIOS!$M$95+[1]CRITERIOS!$M$98)))/N76)</f>
        <v>#N/A</v>
      </c>
      <c r="AD76" s="33" t="e">
        <f>IF(N76=0,"",(ROUNDUP((N76/2)/(_xlfn.XLOOKUP(A76,'[1]DATOS PBI Artículos'!$A$4:$A$4,'[1]DATOS PBI Artículos'!$Z$4:$Z$4)*_xlfn.XLOOKUP(_xlfn.XLOOKUP(A76,'[1]DATOS PBI Artículos'!$A$4:$A$4,'[1]DATOS PBI Artículos'!$Y$4:$Y$4),[1]CRITERIOS!$P$79:$P$123,[1]CRITERIOS!$S$79:$S$123)),0)*[1]CRITERIOS!$M$80*([1]CRITERIOS!$M$89*[1]CRITERIOS!$M$92)+((_xlfn.XLOOKUP(A76,'[1]DATOS PBI Artículos'!$A$4:$A$4,'[1]DATOS PBI Artículos'!$AA$4:$AA$4)/2)*([1]CRITERIOS!$M$95+[1]CRITERIOS!$M$98)))/N76)</f>
        <v>#N/A</v>
      </c>
      <c r="AE76" s="39" t="str">
        <f>IF($R76="MTO","",
IF($H76=0,ROUNDUP(((_xlfn.XLOOKUP($A76,'[1]DATOS PBI Artículos'!$A:$A,'[1]DATOS PBI Artículos'!$AL:$AL))/(_xlfn.XLOOKUP($AF$1,[1]CRITERIOS!$S$16:$S$39,[1]CRITERIOS!$Y$16:$Y$39))*$J76+$Z76)/$G76,0)*$G76,
((_xlfn.XLOOKUP($A76,'[1]DATOS PBI Artículos'!$A:$A,'[1]DATOS PBI Artículos'!$AL:$AL))/(_xlfn.XLOOKUP($AF$1,[1]CRITERIOS!$S$16:$S$39,[1]CRITERIOS!$Y$16:$Y$39))*$J76+$Z76)))</f>
        <v/>
      </c>
      <c r="AG76" s="39" t="str">
        <f>IF($R76="MTO","",
IF($H76=0,ROUNDUP(((_xlfn.XLOOKUP($A76,'[1]DATOS PBI Artículos'!$A:$A,'[1]DATOS PBI Artículos'!$AM:$AM))/(_xlfn.XLOOKUP($AH$1,[1]CRITERIOS!$S$16:$S$39,[1]CRITERIOS!$Y$16:$Y$39))*$J76+$Z76)/$G76,0)*$G76,
((_xlfn.XLOOKUP($A76,'[1]DATOS PBI Artículos'!$A:$A,'[1]DATOS PBI Artículos'!$AM:$AM))/(_xlfn.XLOOKUP($AH$1,[1]CRITERIOS!$S$16:$S$39,[1]CRITERIOS!$Y$16:$Y$39))*$J76+$Z76)))</f>
        <v/>
      </c>
      <c r="AI76" s="39" t="str">
        <f>IF($R76="MTO","",
IF($H76=0,ROUNDUP(((_xlfn.XLOOKUP($A76,'[1]DATOS PBI Artículos'!$A:$A,'[1]DATOS PBI Artículos'!$AN:$AN))/(_xlfn.XLOOKUP($AJ$1,[1]CRITERIOS!$S$16:$S$39,[1]CRITERIOS!$Y$16:$Y$39))*$J76+$Z76)/$G76,0)*$G76,
((_xlfn.XLOOKUP($A76,'[1]DATOS PBI Artículos'!$A:$A,'[1]DATOS PBI Artículos'!$AN:$AN))/(_xlfn.XLOOKUP($AJ$1,[1]CRITERIOS!$S$16:$S$39,[1]CRITERIOS!$Y$16:$Y$39))*$J76+$Z76)))</f>
        <v/>
      </c>
      <c r="AK76" s="39" t="str">
        <f>IF($R76="MTO","",
IF($H76=0,ROUNDUP(((_xlfn.XLOOKUP($A76,'[1]DATOS PBI Artículos'!$A:$A,'[1]DATOS PBI Artículos'!$AO:$AO))/(_xlfn.XLOOKUP($AL$1,[1]CRITERIOS!$S$16:$S$39,[1]CRITERIOS!$Y$16:$Y$39))*$J76+$Z76)/$G76,0)*$G76,
((_xlfn.XLOOKUP($A76,'[1]DATOS PBI Artículos'!$A:$A,'[1]DATOS PBI Artículos'!$AO:$AO))/(_xlfn.XLOOKUP($AL$1,[1]CRITERIOS!$S$16:$S$39,[1]CRITERIOS!$Y$16:$Y$39))*$J76+$Z76)))</f>
        <v/>
      </c>
    </row>
    <row r="77" spans="1:37" ht="25.8" x14ac:dyDescent="0.5">
      <c r="A77" s="32">
        <v>453257</v>
      </c>
      <c r="B77" s="33">
        <f>_xlfn.XLOOKUP($A77,'[1]DATOS PBI Artículos'!A:A,'[1]DATOS PBI Artículos'!B:B)</f>
        <v>0</v>
      </c>
      <c r="C77" s="33" t="str">
        <f>_xlfn.XLOOKUP($A77,'[1]DATOS PBI Artículos'!A:A,'[1]DATOS PBI Artículos'!C:C)</f>
        <v>UA01</v>
      </c>
      <c r="D77" s="33">
        <f>_xlfn.XLOOKUP(A77,'[1]DATOS PBI Artículos'!A:A,'[1]DATOS PBI Artículos'!T:T)</f>
        <v>10</v>
      </c>
      <c r="E77" s="34">
        <f>IF(_xlfn.XLOOKUP($A77,'[1]DATOS PBI Artículos'!A:A,'[1]DATOS PBI Artículos'!AK:AK)="",_xlfn.XLOOKUP($A77,'[1]DATOS PBI Artículos'!A:A,'[1]DATOS PBI Artículos'!AJ:AJ),_xlfn.XLOOKUP($A77,'[1]DATOS PBI Artículos'!A:A,'[1]DATOS PBI Artículos'!AK:AK))</f>
        <v>172800</v>
      </c>
      <c r="F77" s="35">
        <f>_xlfn.XLOOKUP($A77,'[1]DATOS PBI Artículos'!A:A,'[1]DATOS PBI Artículos'!AP:AP)</f>
        <v>8.125</v>
      </c>
      <c r="G77" s="34">
        <f>_xlfn.XLOOKUP($A77,'[1]DATOS PBI Artículos'!A:A,'[1]DATOS PBI Artículos'!AR:AR)</f>
        <v>14400</v>
      </c>
      <c r="H77" s="34">
        <f>_xlfn.XLOOKUP($A77,'[1]DATOS PBI Artículos'!A:A,'[1]DATOS PBI Artículos'!AT:AT)</f>
        <v>7200</v>
      </c>
      <c r="I77" s="34">
        <f>_xlfn.XLOOKUP($A77,'[1]DATOS PBI Artículos'!A:A,'[1]DATOS PBI Artículos'!AS:AS)</f>
        <v>14400</v>
      </c>
      <c r="J77" s="35">
        <f>IF(COUNTIF([1]CRITERIOS!$F$179:$F$199,$A77)&gt;=1,
 IF(O77&lt;&gt;"",
    (O77/_xlfn.XLOOKUP(CONCATENATE(A77,L77),[1]MÁQUINAS!A:A,[1]MÁQUINAS!D:D))/24,
    (N77/_xlfn.XLOOKUP(CONCATENATE(A77,L77),[1]MÁQUINAS!A:A,[1]MÁQUINAS!D:D))/24),
  _xlfn.XLOOKUP($A77,'[1]DATOS PBI Artículos'!A:A,'[1]DATOS PBI Artículos'!AU:AU))</f>
        <v>3.25</v>
      </c>
      <c r="K77" s="36">
        <f>_xlfn.XLOOKUP($A77,'[1]DATOS PBI Artículos'!A:A,'[1]DATOS PBI Artículos'!AV:AV)</f>
        <v>2.6252705488283401</v>
      </c>
      <c r="L77" s="33">
        <f>_xlfn.XLOOKUP(A77,[1]MÁQUINAS!B:B,[1]MÁQUINAS!C:C)</f>
        <v>458</v>
      </c>
      <c r="M77" s="34">
        <f t="array" ref="M77">_xlfn.XLOOKUP(A77,'[1]DATOS PBI Artículos'!A:A,'[1]DATOS PBI Artículos'!AX:$AX)</f>
        <v>14563.887166497894</v>
      </c>
      <c r="N77" s="37">
        <f>IF(I77="DV",
E77,
IF(COUNTIF([1]CRITERIOS!$I$179:$I$199,$A77)&gt;=1,
_xlfn.XLOOKUP($A77,[1]CRITERIOS!$I$179:$I$199,[1]CRITERIOS!$J$179:$J$199),
IF(COUNTIF([1]CRITERIOS!$L$179:$L$199,$A77)&gt;=1,
_xlfn.CEILING.MATH(IF($M77&gt;$E77,
$E77,
IF($M77&lt;$E77/ROUNDDOWN([1]CRITERIOS!$M$16/_xlfn.XLOOKUP($C77,[1]CRITERIOS!$K$25:$K$42,[1]CRITERIOS!$M$25:$M$42),
1),
E77/ROUNDDOWN([1]CRITERIOS!$M$16/_xlfn.XLOOKUP($C77,[1]CRITERIOS!$K$25:$K$42,[1]CRITERIOS!$M$25:$M$42),
1),
$M77)),
_xlfn.XLOOKUP($A77,[1]CRITERIOS!$L$179:$L$200,[1]CRITERIOS!$M$179:$M$200)),
_xlfn.CEILING.MATH(IF($M77&gt;$E77,
$E77,
IF($M77&lt;$E77/ROUNDDOWN([1]CRITERIOS!$M$16/_xlfn.XLOOKUP($C77,[1]CRITERIOS!$K$25:$K$42,[1]CRITERIOS!$M$25:$M$42),
1),
E77/ROUNDDOWN([1]CRITERIOS!$M$16/_xlfn.XLOOKUP($C77,[1]CRITERIOS!$K$25:$K$42,[1]CRITERIOS!$M$25:$M$42),
1),
$M77)),_xlfn.XLOOKUP(A77,'[1]DATOS PBI Artículos'!A:A,'[1]DATOS PBI Artículos'!Z:Z
)))))</f>
        <v>46800</v>
      </c>
      <c r="Q77" s="38">
        <f>IF(AND(O77="",N77=0),
0,
   IF(COUNTIF([1]CRITERIOS!$F$179:$F$199,$A77)&gt;=1,
   1,
   IF(R77="MTO",
      $D77,
      ROUNDUP(
                    IF(($E77-SUMIF('[1]DATOS PBI Artículos'!A:A,A77,'[1]DATOS PBI Artículos'!X:X)+($V77-_xlfn.XLOOKUP(A77,'[1]DATOS PBI Artículos'!A:A,'[1]DATOS PBI Artículos'!W:W)))&lt;0,
                    0,
                    IF(($E77-SUMIF('[1]DATOS PBI Artículos'!A:A,A77,'[1]DATOS PBI Artículos'!X:X)+$V77-_xlfn.XLOOKUP($A77,'[1]DATOS PBI Artículos'!A:A,'[1]DATOS PBI Artículos'!W:W))/IF($O77="",$N77,$O77)&gt;ROUNDUP([1]CRITERIOS!$M$16/(IF(COUNTIF([1]CRITERIOS!$BG$11:$BG$201,L77)&gt;=1,_xlfn.XLOOKUP($C77,[1]CRITERIOS!$K$25:$K$42,[1]CRITERIOS!$M$25:$M$42),_xlfn.XLOOKUP($C77,[1]CRITERIOS!$K$25:$K$42,[1]CRITERIOS!$M$25:$M$42))),0),
                    ROUNDUP([1]CRITERIOS!$M$16/(IF(COUNTIF([1]CRITERIOS!$BG$11:$BG$201,$L77)&gt;=1,_xlfn.XLOOKUP($C77,[1]CRITERIOS!$K$25:$K$42,[1]CRITERIOS!$M$25:$M$42),_xlfn.XLOOKUP($C77,[1]CRITERIOS!$K$25:$K$42,[1]CRITERIOS!$M$25:$M$42))),0),
                    (E77+V77-SUMIF('[1]DATOS PBI Artículos'!A:A,A77,'[1]DATOS PBI Artículos'!X:X)-_xlfn.XLOOKUP(A77,'[1]DATOS PBI Artículos'!A:A,'[1]DATOS PBI Artículos'!W:W))/IF($O77="",$N77,$O77))),0))))</f>
        <v>1</v>
      </c>
      <c r="R77" s="33" t="str">
        <f>IF(U77&lt;&gt;"",U77,IF(F77="DV","MTO",IF(N77=0,"MTO",_xlfn.XLOOKUP(CONCATENATE(S77,T77),[1]CRITERIOS!$K$160:$K$168,[1]CRITERIOS!$N$160:$N$168))))</f>
        <v>MTS</v>
      </c>
      <c r="S77" s="33" t="str">
        <f>IF(G77="DV","MTO",IF(N77=0,"MTO",IF(OR(AND(N77=0,O77=""),IF(O77="",G77/N77,G77/O77)&gt;[1]CRITERIOS!$G$163),"MTO",IF(IF(O77="",G77/N77,G77/O77)&lt;[1]CRITERIOS!$H$161,"MTS","MTOS"))))</f>
        <v>MTS</v>
      </c>
      <c r="T77" s="33" t="str">
        <f>IF(F77="DV","MTO",IF(OR(AND($N77=0,O77=""),$F77/$J77&gt;[1]CRITERIOS!$G$170,$F77="DV"),"MTO",IF($F77/$J77&lt;[1]CRITERIOS!$H$168,"MTS","MTOS")))</f>
        <v>MTO</v>
      </c>
      <c r="V77" s="34">
        <f t="shared" si="4"/>
        <v>16800.519453750414</v>
      </c>
      <c r="X77" s="34">
        <f t="shared" si="5"/>
        <v>63600.519453750414</v>
      </c>
      <c r="Y77" s="34">
        <f t="shared" si="6"/>
        <v>34440.519453750414</v>
      </c>
      <c r="Z77" s="34">
        <f>IF($R77="MTO",
0,
($H77+$K77*($E77/[1]CRITERIOS!$M$16))/[1]CRITERIOS!$X$48)</f>
        <v>11040.519453750412</v>
      </c>
      <c r="AA77" s="34" t="e">
        <f>ROUNDUP(($Y77/_xlfn.XLOOKUP($A77,'[1]DATOS PBI Artículos'!$A$4:$A$4,'[1]DATOS PBI Artículos'!$Z$4:$Z$4))/_xlfn.XLOOKUP(_xlfn.XLOOKUP($A77,'[1]DATOS PBI Artículos'!$A$4:$A$4,'[1]DATOS PBI Artículos'!$Y$4:$Y$4),[1]CRITERIOS!$P$79:$P$123,[1]CRITERIOS!$S$79:$S$123,),0)</f>
        <v>#N/A</v>
      </c>
      <c r="AB77" s="33" t="e">
        <f t="array" ref="AB77">IF((E77+V77-_xlfn.XLOOKUP(A77,'[1]DATOS PBI Artículos'!$A$4:$A$4,'[1]DATOS PBI Artículos'!$W$4:$W$4))/N77&gt;ROUNDUP([1]CRITERIOS!$M$16/(IF(COUNTIF([1]CRITERIOS!$BG$11:$BG$201,L77)&gt;=1,_xlfn.XLOOKUP(ARTÍCULOS!L77,[1]CRITERIOS!$BG$11:$BG$201,[1]CRITERIOS!$BJ$11:$BJ$201),_xlfn.XLOOKUP(ARTÍCULOS!C77,[1]CRITERIOS!$K$25:$K$42,[1]CRITERIOS!$M$25:$M$42))),0),ROUNDUP([1]CRITERIOS!$M$16/(IF(COUNTIF([1]CRITERIOS!$BG$11:$BG$201,L77)&gt;=1,_xlfn.XLOOKUP(ARTÍCULOS!L77,[1]CRITERIOS!$BG$11:$BG$201:#REF!,[1]CRITERIOS!$BJ$11:$BJ$201),_xlfn.XLOOKUP(ARTÍCULOS!C77,[1]CRITERIOS!$K$25:$K$42,[1]CRITERIOS!$M$25:$M$42))),0),(E77+V77-_xlfn.XLOOKUP(A77,'[1]DATOS PBI Artículos'!$A$4:$A$4,'[1]DATOS PBI Artículos'!$W$4:$W$4))/N77)</f>
        <v>#N/A</v>
      </c>
      <c r="AC77" s="33" t="e">
        <f>IF(N77=0,"",(ROUNDUP((N77/2)/(_xlfn.XLOOKUP(A77,'[1]DATOS PBI Artículos'!$A$4:$A$4,'[1]DATOS PBI Artículos'!$Z$4:$Z$4)*_xlfn.XLOOKUP(_xlfn.XLOOKUP(A77,'[1]DATOS PBI Artículos'!$A$4:$A$4,'[1]DATOS PBI Artículos'!$Y$4:$Y$4),[1]CRITERIOS!$P$79:$P$123,[1]CRITERIOS!$S$79:$S$123)),0)*[1]CRITERIOS!$M$80*([1]CRITERIOS!$M$110/[1]CRITERIOS!$M$86)+(_xlfn.XLOOKUP(A77,'[1]DATOS PBI Artículos'!$A$4:$A$4,'[1]DATOS PBI Artículos'!$AA$4:$AA$4)*([1]CRITERIOS!$M$95+[1]CRITERIOS!$M$98)))/N77)</f>
        <v>#N/A</v>
      </c>
      <c r="AD77" s="33" t="e">
        <f>IF(N77=0,"",(ROUNDUP((N77/2)/(_xlfn.XLOOKUP(A77,'[1]DATOS PBI Artículos'!$A$4:$A$4,'[1]DATOS PBI Artículos'!$Z$4:$Z$4)*_xlfn.XLOOKUP(_xlfn.XLOOKUP(A77,'[1]DATOS PBI Artículos'!$A$4:$A$4,'[1]DATOS PBI Artículos'!$Y$4:$Y$4),[1]CRITERIOS!$P$79:$P$123,[1]CRITERIOS!$S$79:$S$123)),0)*[1]CRITERIOS!$M$80*([1]CRITERIOS!$M$89*[1]CRITERIOS!$M$92)+((_xlfn.XLOOKUP(A77,'[1]DATOS PBI Artículos'!$A$4:$A$4,'[1]DATOS PBI Artículos'!$AA$4:$AA$4)/2)*([1]CRITERIOS!$M$95+[1]CRITERIOS!$M$98)))/N77)</f>
        <v>#N/A</v>
      </c>
      <c r="AE77" s="39">
        <f>IF($R77="MTO","",
IF($H77=0,ROUNDUP(((_xlfn.XLOOKUP($A77,'[1]DATOS PBI Artículos'!$A:$A,'[1]DATOS PBI Artículos'!$AL:$AL))/(_xlfn.XLOOKUP($AF$1,[1]CRITERIOS!$S$16:$S$39,[1]CRITERIOS!$Y$16:$Y$39))*$J77+$Z77)/$G77,0)*$G77,
((_xlfn.XLOOKUP($A77,'[1]DATOS PBI Artículos'!$A:$A,'[1]DATOS PBI Artículos'!$AL:$AL))/(_xlfn.XLOOKUP($AF$1,[1]CRITERIOS!$S$16:$S$39,[1]CRITERIOS!$Y$16:$Y$39))*$J77+$Z77)))</f>
        <v>19700.900583150411</v>
      </c>
      <c r="AG77" s="39">
        <f>IF($R77="MTO","",
IF($H77=0,ROUNDUP(((_xlfn.XLOOKUP($A77,'[1]DATOS PBI Artículos'!$A:$A,'[1]DATOS PBI Artículos'!$AM:$AM))/(_xlfn.XLOOKUP($AH$1,[1]CRITERIOS!$S$16:$S$39,[1]CRITERIOS!$Y$16:$Y$39))*$J77+$Z77)/$G77,0)*$G77,
((_xlfn.XLOOKUP($A77,'[1]DATOS PBI Artículos'!$A:$A,'[1]DATOS PBI Artículos'!$AM:$AM))/(_xlfn.XLOOKUP($AH$1,[1]CRITERIOS!$S$16:$S$39,[1]CRITERIOS!$Y$16:$Y$39))*$J77+$Z77)))</f>
        <v>17261.439977524326</v>
      </c>
      <c r="AI77" s="39">
        <f>IF($R77="MTO","",
IF($H77=0,ROUNDUP(((_xlfn.XLOOKUP($A77,'[1]DATOS PBI Artículos'!$A:$A,'[1]DATOS PBI Artículos'!$AN:$AN))/(_xlfn.XLOOKUP($AJ$1,[1]CRITERIOS!$S$16:$S$39,[1]CRITERIOS!$Y$16:$Y$39))*$J77+$Z77)/$G77,0)*$G77,
((_xlfn.XLOOKUP($A77,'[1]DATOS PBI Artículos'!$A:$A,'[1]DATOS PBI Artículos'!$AN:$AN))/(_xlfn.XLOOKUP($AJ$1,[1]CRITERIOS!$S$16:$S$39,[1]CRITERIOS!$Y$16:$Y$39))*$J77+$Z77)))</f>
        <v>18491.621942970414</v>
      </c>
      <c r="AK77" s="39">
        <f>IF($R77="MTO","",
IF($H77=0,ROUNDUP(((_xlfn.XLOOKUP($A77,'[1]DATOS PBI Artículos'!$A:$A,'[1]DATOS PBI Artículos'!$AO:$AO))/(_xlfn.XLOOKUP($AL$1,[1]CRITERIOS!$S$16:$S$39,[1]CRITERIOS!$Y$16:$Y$39))*$J77+$Z77)/$G77,0)*$G77,
((_xlfn.XLOOKUP($A77,'[1]DATOS PBI Artículos'!$A:$A,'[1]DATOS PBI Artículos'!$AO:$AO))/(_xlfn.XLOOKUP($AL$1,[1]CRITERIOS!$S$16:$S$39,[1]CRITERIOS!$Y$16:$Y$39))*$J77+$Z77)))</f>
        <v>19155.513585150413</v>
      </c>
    </row>
    <row r="78" spans="1:37" ht="25.8" x14ac:dyDescent="0.5">
      <c r="A78" s="32">
        <v>452466</v>
      </c>
      <c r="B78" s="33">
        <f>_xlfn.XLOOKUP($A78,'[1]DATOS PBI Artículos'!A:A,'[1]DATOS PBI Artículos'!B:B)</f>
        <v>0</v>
      </c>
      <c r="C78" s="33" t="str">
        <f>_xlfn.XLOOKUP($A78,'[1]DATOS PBI Artículos'!A:A,'[1]DATOS PBI Artículos'!C:C)</f>
        <v>UA01</v>
      </c>
      <c r="D78" s="33">
        <f>_xlfn.XLOOKUP(A78,'[1]DATOS PBI Artículos'!A:A,'[1]DATOS PBI Artículos'!T:T)</f>
        <v>3</v>
      </c>
      <c r="E78" s="34">
        <f>IF(_xlfn.XLOOKUP($A78,'[1]DATOS PBI Artículos'!A:A,'[1]DATOS PBI Artículos'!AK:AK)="",_xlfn.XLOOKUP($A78,'[1]DATOS PBI Artículos'!A:A,'[1]DATOS PBI Artículos'!AJ:AJ),_xlfn.XLOOKUP($A78,'[1]DATOS PBI Artículos'!A:A,'[1]DATOS PBI Artículos'!AK:AK))</f>
        <v>151200</v>
      </c>
      <c r="F78" s="35">
        <f>_xlfn.XLOOKUP($A78,'[1]DATOS PBI Artículos'!A:A,'[1]DATOS PBI Artículos'!AP:AP)</f>
        <v>31</v>
      </c>
      <c r="G78" s="34">
        <f>_xlfn.XLOOKUP($A78,'[1]DATOS PBI Artículos'!A:A,'[1]DATOS PBI Artículos'!AR:AR)</f>
        <v>50400</v>
      </c>
      <c r="H78" s="34">
        <f>_xlfn.XLOOKUP($A78,'[1]DATOS PBI Artículos'!A:A,'[1]DATOS PBI Artículos'!AT:AT)</f>
        <v>0</v>
      </c>
      <c r="I78" s="34">
        <f>_xlfn.XLOOKUP($A78,'[1]DATOS PBI Artículos'!A:A,'[1]DATOS PBI Artículos'!AS:AS)</f>
        <v>50400</v>
      </c>
      <c r="J78" s="35">
        <f>IF(COUNTIF([1]CRITERIOS!$F$179:$F$199,$A78)&gt;=1,
 IF(O78&lt;&gt;"",
    (O78/_xlfn.XLOOKUP(CONCATENATE(A78,L78),[1]MÁQUINAS!A:A,[1]MÁQUINAS!D:D))/24,
    (N78/_xlfn.XLOOKUP(CONCATENATE(A78,L78),[1]MÁQUINAS!A:A,[1]MÁQUINAS!D:D))/24),
  _xlfn.XLOOKUP($A78,'[1]DATOS PBI Artículos'!A:A,'[1]DATOS PBI Artículos'!AU:AU))</f>
        <v>18.8</v>
      </c>
      <c r="K78" s="36">
        <f>_xlfn.XLOOKUP($A78,'[1]DATOS PBI Artículos'!A:A,'[1]DATOS PBI Artículos'!AV:AV)</f>
        <v>3.8528488738133042</v>
      </c>
      <c r="L78" s="33">
        <f>_xlfn.XLOOKUP(A78,[1]MÁQUINAS!B:B,[1]MÁQUINAS!C:C)</f>
        <v>406</v>
      </c>
      <c r="M78" s="34">
        <f t="array" ref="M78">_xlfn.XLOOKUP(A78,'[1]DATOS PBI Artículos'!A:A,'[1]DATOS PBI Artículos'!AX:$AX)</f>
        <v>96639.203762701814</v>
      </c>
      <c r="N78" s="37">
        <f>IF(I78="DV",
E78,
IF(COUNTIF([1]CRITERIOS!$I$179:$I$199,$A78)&gt;=1,
_xlfn.XLOOKUP($A78,[1]CRITERIOS!$I$179:$I$199,[1]CRITERIOS!$J$179:$J$199),
IF(COUNTIF([1]CRITERIOS!$L$179:$L$199,$A78)&gt;=1,
_xlfn.CEILING.MATH(IF($M78&gt;$E78,
$E78,
IF($M78&lt;$E78/ROUNDDOWN([1]CRITERIOS!$M$16/_xlfn.XLOOKUP($C78,[1]CRITERIOS!$K$25:$K$42,[1]CRITERIOS!$M$25:$M$42),
1),
E78/ROUNDDOWN([1]CRITERIOS!$M$16/_xlfn.XLOOKUP($C78,[1]CRITERIOS!$K$25:$K$42,[1]CRITERIOS!$M$25:$M$42),
1),
$M78)),
_xlfn.XLOOKUP($A78,[1]CRITERIOS!$L$179:$L$200,[1]CRITERIOS!$M$179:$M$200)),
_xlfn.CEILING.MATH(IF($M78&gt;$E78,
$E78,
IF($M78&lt;$E78/ROUNDDOWN([1]CRITERIOS!$M$16/_xlfn.XLOOKUP($C78,[1]CRITERIOS!$K$25:$K$42,[1]CRITERIOS!$M$25:$M$42),
1),
E78/ROUNDDOWN([1]CRITERIOS!$M$16/_xlfn.XLOOKUP($C78,[1]CRITERIOS!$K$25:$K$42,[1]CRITERIOS!$M$25:$M$42),
1),
$M78)),_xlfn.XLOOKUP(A78,'[1]DATOS PBI Artículos'!A:A,'[1]DATOS PBI Artículos'!Z:Z
)))))</f>
        <v>100800</v>
      </c>
      <c r="Q78" s="38">
        <f>IF(AND(O78="",N78=0),
0,
   IF(COUNTIF([1]CRITERIOS!$F$179:$F$199,$A78)&gt;=1,
   1,
   IF(R78="MTO",
      $D78,
      ROUNDUP(
                    IF(($E78-SUMIF('[1]DATOS PBI Artículos'!A:A,A78,'[1]DATOS PBI Artículos'!X:X)+($V78-_xlfn.XLOOKUP(A78,'[1]DATOS PBI Artículos'!A:A,'[1]DATOS PBI Artículos'!W:W)))&lt;0,
                    0,
                    IF(($E78-SUMIF('[1]DATOS PBI Artículos'!A:A,A78,'[1]DATOS PBI Artículos'!X:X)+$V78-_xlfn.XLOOKUP($A78,'[1]DATOS PBI Artículos'!A:A,'[1]DATOS PBI Artículos'!W:W))/IF($O78="",$N78,$O78)&gt;ROUNDUP([1]CRITERIOS!$M$16/(IF(COUNTIF([1]CRITERIOS!$BG$11:$BG$201,L78)&gt;=1,_xlfn.XLOOKUP($C78,[1]CRITERIOS!$K$25:$K$42,[1]CRITERIOS!$M$25:$M$42),_xlfn.XLOOKUP($C78,[1]CRITERIOS!$K$25:$K$42,[1]CRITERIOS!$M$25:$M$42))),0),
                    ROUNDUP([1]CRITERIOS!$M$16/(IF(COUNTIF([1]CRITERIOS!$BG$11:$BG$201,$L78)&gt;=1,_xlfn.XLOOKUP($C78,[1]CRITERIOS!$K$25:$K$42,[1]CRITERIOS!$M$25:$M$42),_xlfn.XLOOKUP($C78,[1]CRITERIOS!$K$25:$K$42,[1]CRITERIOS!$M$25:$M$42))),0),
                    (E78+V78-SUMIF('[1]DATOS PBI Artículos'!A:A,A78,'[1]DATOS PBI Artículos'!X:X)-_xlfn.XLOOKUP(A78,'[1]DATOS PBI Artículos'!A:A,'[1]DATOS PBI Artículos'!W:W))/IF($O78="",$N78,$O78))),0))))</f>
        <v>3</v>
      </c>
      <c r="R78" s="33" t="str">
        <f>IF(U78&lt;&gt;"",U78,IF(F78="DV","MTO",IF(N78=0,"MTO",_xlfn.XLOOKUP(CONCATENATE(S78,T78),[1]CRITERIOS!$K$160:$K$168,[1]CRITERIOS!$N$160:$N$168))))</f>
        <v>MTO</v>
      </c>
      <c r="S78" s="33" t="str">
        <f>IF(G78="DV","MTO",IF(N78=0,"MTO",IF(OR(AND(N78=0,O78=""),IF(O78="",G78/N78,G78/O78)&gt;[1]CRITERIOS!$G$163),"MTO",IF(IF(O78="",G78/N78,G78/O78)&lt;[1]CRITERIOS!$H$161,"MTS","MTOS"))))</f>
        <v>MTOS</v>
      </c>
      <c r="T78" s="33" t="str">
        <f>IF(F78="DV","MTO",IF(OR(AND($N78=0,O78=""),$F78/$J78&gt;[1]CRITERIOS!$G$170,$F78="DV"),"MTO",IF($F78/$J78&lt;[1]CRITERIOS!$H$168,"MTS","MTOS")))</f>
        <v>MTO</v>
      </c>
      <c r="V78" s="34" t="str">
        <f t="shared" si="4"/>
        <v/>
      </c>
      <c r="X78" s="34">
        <f t="shared" si="5"/>
        <v>0</v>
      </c>
      <c r="Y78" s="34">
        <f t="shared" si="6"/>
        <v>0</v>
      </c>
      <c r="Z78" s="34">
        <f>IF($R78="MTO",
0,
($H78+$K78*($E78/[1]CRITERIOS!$M$16))/[1]CRITERIOS!$X$48)</f>
        <v>0</v>
      </c>
      <c r="AA78" s="34" t="e">
        <f>ROUNDUP(($Y78/_xlfn.XLOOKUP($A78,'[1]DATOS PBI Artículos'!$A$4:$A$4,'[1]DATOS PBI Artículos'!$Z$4:$Z$4))/_xlfn.XLOOKUP(_xlfn.XLOOKUP($A78,'[1]DATOS PBI Artículos'!$A$4:$A$4,'[1]DATOS PBI Artículos'!$Y$4:$Y$4),[1]CRITERIOS!$P$79:$P$123,[1]CRITERIOS!$S$79:$S$123,),0)</f>
        <v>#N/A</v>
      </c>
      <c r="AB78" s="33" t="e">
        <f t="array" ref="AB78">IF((E78+V78-_xlfn.XLOOKUP(A78,'[1]DATOS PBI Artículos'!$A$4:$A$4,'[1]DATOS PBI Artículos'!$W$4:$W$4))/N78&gt;ROUNDUP([1]CRITERIOS!$M$16/(IF(COUNTIF([1]CRITERIOS!$BG$11:$BG$201,L78)&gt;=1,_xlfn.XLOOKUP(ARTÍCULOS!L78,[1]CRITERIOS!$BG$11:$BG$201,[1]CRITERIOS!$BJ$11:$BJ$201),_xlfn.XLOOKUP(ARTÍCULOS!C78,[1]CRITERIOS!$K$25:$K$42,[1]CRITERIOS!$M$25:$M$42))),0),ROUNDUP([1]CRITERIOS!$M$16/(IF(COUNTIF([1]CRITERIOS!$BG$11:$BG$201,L78)&gt;=1,_xlfn.XLOOKUP(ARTÍCULOS!L78,[1]CRITERIOS!$BG$11:$BG$201:#REF!,[1]CRITERIOS!$BJ$11:$BJ$201),_xlfn.XLOOKUP(ARTÍCULOS!C78,[1]CRITERIOS!$K$25:$K$42,[1]CRITERIOS!$M$25:$M$42))),0),(E78+V78-_xlfn.XLOOKUP(A78,'[1]DATOS PBI Artículos'!$A$4:$A$4,'[1]DATOS PBI Artículos'!$W$4:$W$4))/N78)</f>
        <v>#VALUE!</v>
      </c>
      <c r="AC78" s="33" t="e">
        <f>IF(N78=0,"",(ROUNDUP((N78/2)/(_xlfn.XLOOKUP(A78,'[1]DATOS PBI Artículos'!$A$4:$A$4,'[1]DATOS PBI Artículos'!$Z$4:$Z$4)*_xlfn.XLOOKUP(_xlfn.XLOOKUP(A78,'[1]DATOS PBI Artículos'!$A$4:$A$4,'[1]DATOS PBI Artículos'!$Y$4:$Y$4),[1]CRITERIOS!$P$79:$P$123,[1]CRITERIOS!$S$79:$S$123)),0)*[1]CRITERIOS!$M$80*([1]CRITERIOS!$M$110/[1]CRITERIOS!$M$86)+(_xlfn.XLOOKUP(A78,'[1]DATOS PBI Artículos'!$A$4:$A$4,'[1]DATOS PBI Artículos'!$AA$4:$AA$4)*([1]CRITERIOS!$M$95+[1]CRITERIOS!$M$98)))/N78)</f>
        <v>#N/A</v>
      </c>
      <c r="AD78" s="33" t="e">
        <f>IF(N78=0,"",(ROUNDUP((N78/2)/(_xlfn.XLOOKUP(A78,'[1]DATOS PBI Artículos'!$A$4:$A$4,'[1]DATOS PBI Artículos'!$Z$4:$Z$4)*_xlfn.XLOOKUP(_xlfn.XLOOKUP(A78,'[1]DATOS PBI Artículos'!$A$4:$A$4,'[1]DATOS PBI Artículos'!$Y$4:$Y$4),[1]CRITERIOS!$P$79:$P$123,[1]CRITERIOS!$S$79:$S$123)),0)*[1]CRITERIOS!$M$80*([1]CRITERIOS!$M$89*[1]CRITERIOS!$M$92)+((_xlfn.XLOOKUP(A78,'[1]DATOS PBI Artículos'!$A$4:$A$4,'[1]DATOS PBI Artículos'!$AA$4:$AA$4)/2)*([1]CRITERIOS!$M$95+[1]CRITERIOS!$M$98)))/N78)</f>
        <v>#N/A</v>
      </c>
      <c r="AE78" s="39" t="str">
        <f>IF($R78="MTO","",
IF($H78=0,ROUNDUP(((_xlfn.XLOOKUP($A78,'[1]DATOS PBI Artículos'!$A:$A,'[1]DATOS PBI Artículos'!$AL:$AL))/(_xlfn.XLOOKUP($AF$1,[1]CRITERIOS!$S$16:$S$39,[1]CRITERIOS!$Y$16:$Y$39))*$J78+$Z78)/$G78,0)*$G78,
((_xlfn.XLOOKUP($A78,'[1]DATOS PBI Artículos'!$A:$A,'[1]DATOS PBI Artículos'!$AL:$AL))/(_xlfn.XLOOKUP($AF$1,[1]CRITERIOS!$S$16:$S$39,[1]CRITERIOS!$Y$16:$Y$39))*$J78+$Z78)))</f>
        <v/>
      </c>
      <c r="AG78" s="39" t="str">
        <f>IF($R78="MTO","",
IF($H78=0,ROUNDUP(((_xlfn.XLOOKUP($A78,'[1]DATOS PBI Artículos'!$A:$A,'[1]DATOS PBI Artículos'!$AM:$AM))/(_xlfn.XLOOKUP($AH$1,[1]CRITERIOS!$S$16:$S$39,[1]CRITERIOS!$Y$16:$Y$39))*$J78+$Z78)/$G78,0)*$G78,
((_xlfn.XLOOKUP($A78,'[1]DATOS PBI Artículos'!$A:$A,'[1]DATOS PBI Artículos'!$AM:$AM))/(_xlfn.XLOOKUP($AH$1,[1]CRITERIOS!$S$16:$S$39,[1]CRITERIOS!$Y$16:$Y$39))*$J78+$Z78)))</f>
        <v/>
      </c>
      <c r="AI78" s="39" t="str">
        <f>IF($R78="MTO","",
IF($H78=0,ROUNDUP(((_xlfn.XLOOKUP($A78,'[1]DATOS PBI Artículos'!$A:$A,'[1]DATOS PBI Artículos'!$AN:$AN))/(_xlfn.XLOOKUP($AJ$1,[1]CRITERIOS!$S$16:$S$39,[1]CRITERIOS!$Y$16:$Y$39))*$J78+$Z78)/$G78,0)*$G78,
((_xlfn.XLOOKUP($A78,'[1]DATOS PBI Artículos'!$A:$A,'[1]DATOS PBI Artículos'!$AN:$AN))/(_xlfn.XLOOKUP($AJ$1,[1]CRITERIOS!$S$16:$S$39,[1]CRITERIOS!$Y$16:$Y$39))*$J78+$Z78)))</f>
        <v/>
      </c>
      <c r="AK78" s="39" t="str">
        <f>IF($R78="MTO","",
IF($H78=0,ROUNDUP(((_xlfn.XLOOKUP($A78,'[1]DATOS PBI Artículos'!$A:$A,'[1]DATOS PBI Artículos'!$AO:$AO))/(_xlfn.XLOOKUP($AL$1,[1]CRITERIOS!$S$16:$S$39,[1]CRITERIOS!$Y$16:$Y$39))*$J78+$Z78)/$G78,0)*$G78,
((_xlfn.XLOOKUP($A78,'[1]DATOS PBI Artículos'!$A:$A,'[1]DATOS PBI Artículos'!$AO:$AO))/(_xlfn.XLOOKUP($AL$1,[1]CRITERIOS!$S$16:$S$39,[1]CRITERIOS!$Y$16:$Y$39))*$J78+$Z78)))</f>
        <v/>
      </c>
    </row>
    <row r="79" spans="1:37" ht="25.8" x14ac:dyDescent="0.5">
      <c r="A79" s="32" t="s">
        <v>66</v>
      </c>
      <c r="B79" s="33">
        <f>_xlfn.XLOOKUP($A79,'[1]DATOS PBI Artículos'!A:A,'[1]DATOS PBI Artículos'!B:B)</f>
        <v>0</v>
      </c>
      <c r="C79" s="33" t="str">
        <f>_xlfn.XLOOKUP($A79,'[1]DATOS PBI Artículos'!A:A,'[1]DATOS PBI Artículos'!C:C)</f>
        <v>UA03</v>
      </c>
      <c r="D79" s="33">
        <f>_xlfn.XLOOKUP(A79,'[1]DATOS PBI Artículos'!A:A,'[1]DATOS PBI Artículos'!T:T)</f>
        <v>4</v>
      </c>
      <c r="E79" s="34">
        <f>IF(_xlfn.XLOOKUP($A79,'[1]DATOS PBI Artículos'!A:A,'[1]DATOS PBI Artículos'!AK:AK)="",_xlfn.XLOOKUP($A79,'[1]DATOS PBI Artículos'!A:A,'[1]DATOS PBI Artículos'!AJ:AJ),_xlfn.XLOOKUP($A79,'[1]DATOS PBI Artículos'!A:A,'[1]DATOS PBI Artículos'!AK:AK))</f>
        <v>150150</v>
      </c>
      <c r="F79" s="35">
        <f>_xlfn.XLOOKUP($A79,'[1]DATOS PBI Artículos'!A:A,'[1]DATOS PBI Artículos'!AP:AP)</f>
        <v>19.33333333333</v>
      </c>
      <c r="G79" s="34">
        <f>_xlfn.XLOOKUP($A79,'[1]DATOS PBI Artículos'!A:A,'[1]DATOS PBI Artículos'!AR:AR)</f>
        <v>40040</v>
      </c>
      <c r="H79" s="34">
        <f>_xlfn.XLOOKUP($A79,'[1]DATOS PBI Artículos'!A:A,'[1]DATOS PBI Artículos'!AT:AT)</f>
        <v>5005</v>
      </c>
      <c r="I79" s="34">
        <f>_xlfn.XLOOKUP($A79,'[1]DATOS PBI Artículos'!A:A,'[1]DATOS PBI Artículos'!AS:AS)</f>
        <v>10010</v>
      </c>
      <c r="J79" s="35">
        <f>IF(COUNTIF([1]CRITERIOS!$F$179:$F$199,$A79)&gt;=1,
 IF(O79&lt;&gt;"",
    (O79/_xlfn.XLOOKUP(CONCATENATE(A79,L79),[1]MÁQUINAS!A:A,[1]MÁQUINAS!D:D))/24,
    (N79/_xlfn.XLOOKUP(CONCATENATE(A79,L79),[1]MÁQUINAS!A:A,[1]MÁQUINAS!D:D))/24),
  _xlfn.XLOOKUP($A79,'[1]DATOS PBI Artículos'!A:A,'[1]DATOS PBI Artículos'!AU:AU))</f>
        <v>12.2</v>
      </c>
      <c r="K79" s="36">
        <f>_xlfn.XLOOKUP($A79,'[1]DATOS PBI Artículos'!A:A,'[1]DATOS PBI Artículos'!AV:AV)</f>
        <v>0.77459666924148363</v>
      </c>
      <c r="L79" s="33">
        <f>_xlfn.XLOOKUP(A79,[1]MÁQUINAS!B:B,[1]MÁQUINAS!C:C)</f>
        <v>142</v>
      </c>
      <c r="M79" s="34">
        <f t="array" ref="M79">_xlfn.XLOOKUP(A79,'[1]DATOS PBI Artículos'!A:A,'[1]DATOS PBI Artículos'!AX:$AX)</f>
        <v>64238.910927882476</v>
      </c>
      <c r="N79" s="37">
        <f>IF(I79="DV",
E79,
IF(COUNTIF([1]CRITERIOS!$I$179:$I$199,$A79)&gt;=1,
_xlfn.XLOOKUP($A79,[1]CRITERIOS!$I$179:$I$199,[1]CRITERIOS!$J$179:$J$199),
IF(COUNTIF([1]CRITERIOS!$L$179:$L$199,$A79)&gt;=1,
_xlfn.CEILING.MATH(IF($M79&gt;$E79,
$E79,
IF($M79&lt;$E79/ROUNDDOWN([1]CRITERIOS!$M$16/_xlfn.XLOOKUP($C79,[1]CRITERIOS!$K$25:$K$42,[1]CRITERIOS!$M$25:$M$42),
1),
E79/ROUNDDOWN([1]CRITERIOS!$M$16/_xlfn.XLOOKUP($C79,[1]CRITERIOS!$K$25:$K$42,[1]CRITERIOS!$M$25:$M$42),
1),
$M79)),
_xlfn.XLOOKUP($A79,[1]CRITERIOS!$L$179:$L$200,[1]CRITERIOS!$M$179:$M$200)),
_xlfn.CEILING.MATH(IF($M79&gt;$E79,
$E79,
IF($M79&lt;$E79/ROUNDDOWN([1]CRITERIOS!$M$16/_xlfn.XLOOKUP($C79,[1]CRITERIOS!$K$25:$K$42,[1]CRITERIOS!$M$25:$M$42),
1),
E79/ROUNDDOWN([1]CRITERIOS!$M$16/_xlfn.XLOOKUP($C79,[1]CRITERIOS!$K$25:$K$42,[1]CRITERIOS!$M$25:$M$42),
1),
$M79)),_xlfn.XLOOKUP(A79,'[1]DATOS PBI Artículos'!A:A,'[1]DATOS PBI Artículos'!Z:Z
)))))</f>
        <v>70070</v>
      </c>
      <c r="Q79" s="38">
        <f>IF(AND(O79="",N79=0),
0,
   IF(COUNTIF([1]CRITERIOS!$F$179:$F$199,$A79)&gt;=1,
   1,
   IF(R79="MTO",
      $D79,
      ROUNDUP(
                    IF(($E79-SUMIF('[1]DATOS PBI Artículos'!A:A,A79,'[1]DATOS PBI Artículos'!X:X)+($V79-_xlfn.XLOOKUP(A79,'[1]DATOS PBI Artículos'!A:A,'[1]DATOS PBI Artículos'!W:W)))&lt;0,
                    0,
                    IF(($E79-SUMIF('[1]DATOS PBI Artículos'!A:A,A79,'[1]DATOS PBI Artículos'!X:X)+$V79-_xlfn.XLOOKUP($A79,'[1]DATOS PBI Artículos'!A:A,'[1]DATOS PBI Artículos'!W:W))/IF($O79="",$N79,$O79)&gt;ROUNDUP([1]CRITERIOS!$M$16/(IF(COUNTIF([1]CRITERIOS!$BG$11:$BG$201,L79)&gt;=1,_xlfn.XLOOKUP($C79,[1]CRITERIOS!$K$25:$K$42,[1]CRITERIOS!$M$25:$M$42),_xlfn.XLOOKUP($C79,[1]CRITERIOS!$K$25:$K$42,[1]CRITERIOS!$M$25:$M$42))),0),
                    ROUNDUP([1]CRITERIOS!$M$16/(IF(COUNTIF([1]CRITERIOS!$BG$11:$BG$201,$L79)&gt;=1,_xlfn.XLOOKUP($C79,[1]CRITERIOS!$K$25:$K$42,[1]CRITERIOS!$M$25:$M$42),_xlfn.XLOOKUP($C79,[1]CRITERIOS!$K$25:$K$42,[1]CRITERIOS!$M$25:$M$42))),0),
                    (E79+V79-SUMIF('[1]DATOS PBI Artículos'!A:A,A79,'[1]DATOS PBI Artículos'!X:X)-_xlfn.XLOOKUP(A79,'[1]DATOS PBI Artículos'!A:A,'[1]DATOS PBI Artículos'!W:W))/IF($O79="",$N79,$O79))),0))))</f>
        <v>4</v>
      </c>
      <c r="R79" s="33" t="str">
        <f>IF(U79&lt;&gt;"",U79,IF(F79="DV","MTO",IF(N79=0,"MTO",_xlfn.XLOOKUP(CONCATENATE(S79,T79),[1]CRITERIOS!$K$160:$K$168,[1]CRITERIOS!$N$160:$N$168))))</f>
        <v>MTO</v>
      </c>
      <c r="S79" s="33" t="str">
        <f>IF(G79="DV","MTO",IF(N79=0,"MTO",IF(OR(AND(N79=0,O79=""),IF(O79="",G79/N79,G79/O79)&gt;[1]CRITERIOS!$G$163),"MTO",IF(IF(O79="",G79/N79,G79/O79)&lt;[1]CRITERIOS!$H$161,"MTS","MTOS"))))</f>
        <v>MTOS</v>
      </c>
      <c r="T79" s="33" t="str">
        <f>IF(F79="DV","MTO",IF(OR(AND($N79=0,O79=""),$F79/$J79&gt;[1]CRITERIOS!$G$170,$F79="DV"),"MTO",IF($F79/$J79&lt;[1]CRITERIOS!$H$168,"MTS","MTOS")))</f>
        <v>MTO</v>
      </c>
      <c r="V79" s="34" t="str">
        <f t="shared" si="4"/>
        <v/>
      </c>
      <c r="X79" s="34">
        <f t="shared" si="5"/>
        <v>0</v>
      </c>
      <c r="Y79" s="34">
        <f t="shared" si="6"/>
        <v>0</v>
      </c>
      <c r="Z79" s="34">
        <f>IF($R79="MTO",
0,
($H79+$K79*($E79/[1]CRITERIOS!$M$16))/[1]CRITERIOS!$X$48)</f>
        <v>0</v>
      </c>
      <c r="AA79" s="34" t="e">
        <f>ROUNDUP(($Y79/_xlfn.XLOOKUP($A79,'[1]DATOS PBI Artículos'!$A$4:$A$4,'[1]DATOS PBI Artículos'!$Z$4:$Z$4))/_xlfn.XLOOKUP(_xlfn.XLOOKUP($A79,'[1]DATOS PBI Artículos'!$A$4:$A$4,'[1]DATOS PBI Artículos'!$Y$4:$Y$4),[1]CRITERIOS!$P$79:$P$123,[1]CRITERIOS!$S$79:$S$123,),0)</f>
        <v>#N/A</v>
      </c>
      <c r="AB79" s="33" t="e">
        <f t="array" ref="AB79">IF((E79+V79-_xlfn.XLOOKUP(A79,'[1]DATOS PBI Artículos'!$A$4:$A$4,'[1]DATOS PBI Artículos'!$W$4:$W$4))/N79&gt;ROUNDUP([1]CRITERIOS!$M$16/(IF(COUNTIF([1]CRITERIOS!$BG$11:$BG$201,L79)&gt;=1,_xlfn.XLOOKUP(ARTÍCULOS!L79,[1]CRITERIOS!$BG$11:$BG$201,[1]CRITERIOS!$BJ$11:$BJ$201),_xlfn.XLOOKUP(ARTÍCULOS!C79,[1]CRITERIOS!$K$25:$K$42,[1]CRITERIOS!$M$25:$M$42))),0),ROUNDUP([1]CRITERIOS!$M$16/(IF(COUNTIF([1]CRITERIOS!$BG$11:$BG$201,L79)&gt;=1,_xlfn.XLOOKUP(ARTÍCULOS!L79,[1]CRITERIOS!$BG$11:$BG$201:#REF!,[1]CRITERIOS!$BJ$11:$BJ$201),_xlfn.XLOOKUP(ARTÍCULOS!C79,[1]CRITERIOS!$K$25:$K$42,[1]CRITERIOS!$M$25:$M$42))),0),(E79+V79-_xlfn.XLOOKUP(A79,'[1]DATOS PBI Artículos'!$A$4:$A$4,'[1]DATOS PBI Artículos'!$W$4:$W$4))/N79)</f>
        <v>#VALUE!</v>
      </c>
      <c r="AC79" s="33" t="e">
        <f>IF(N79=0,"",(ROUNDUP((N79/2)/(_xlfn.XLOOKUP(A79,'[1]DATOS PBI Artículos'!$A$4:$A$4,'[1]DATOS PBI Artículos'!$Z$4:$Z$4)*_xlfn.XLOOKUP(_xlfn.XLOOKUP(A79,'[1]DATOS PBI Artículos'!$A$4:$A$4,'[1]DATOS PBI Artículos'!$Y$4:$Y$4),[1]CRITERIOS!$P$79:$P$123,[1]CRITERIOS!$S$79:$S$123)),0)*[1]CRITERIOS!$M$80*([1]CRITERIOS!$M$110/[1]CRITERIOS!$M$86)+(_xlfn.XLOOKUP(A79,'[1]DATOS PBI Artículos'!$A$4:$A$4,'[1]DATOS PBI Artículos'!$AA$4:$AA$4)*([1]CRITERIOS!$M$95+[1]CRITERIOS!$M$98)))/N79)</f>
        <v>#N/A</v>
      </c>
      <c r="AD79" s="33" t="e">
        <f>IF(N79=0,"",(ROUNDUP((N79/2)/(_xlfn.XLOOKUP(A79,'[1]DATOS PBI Artículos'!$A$4:$A$4,'[1]DATOS PBI Artículos'!$Z$4:$Z$4)*_xlfn.XLOOKUP(_xlfn.XLOOKUP(A79,'[1]DATOS PBI Artículos'!$A$4:$A$4,'[1]DATOS PBI Artículos'!$Y$4:$Y$4),[1]CRITERIOS!$P$79:$P$123,[1]CRITERIOS!$S$79:$S$123)),0)*[1]CRITERIOS!$M$80*([1]CRITERIOS!$M$89*[1]CRITERIOS!$M$92)+((_xlfn.XLOOKUP(A79,'[1]DATOS PBI Artículos'!$A$4:$A$4,'[1]DATOS PBI Artículos'!$AA$4:$AA$4)/2)*([1]CRITERIOS!$M$95+[1]CRITERIOS!$M$98)))/N79)</f>
        <v>#N/A</v>
      </c>
      <c r="AE79" s="39" t="str">
        <f>IF($R79="MTO","",
IF($H79=0,ROUNDUP(((_xlfn.XLOOKUP($A79,'[1]DATOS PBI Artículos'!$A:$A,'[1]DATOS PBI Artículos'!$AL:$AL))/(_xlfn.XLOOKUP($AF$1,[1]CRITERIOS!$S$16:$S$39,[1]CRITERIOS!$Y$16:$Y$39))*$J79+$Z79)/$G79,0)*$G79,
((_xlfn.XLOOKUP($A79,'[1]DATOS PBI Artículos'!$A:$A,'[1]DATOS PBI Artículos'!$AL:$AL))/(_xlfn.XLOOKUP($AF$1,[1]CRITERIOS!$S$16:$S$39,[1]CRITERIOS!$Y$16:$Y$39))*$J79+$Z79)))</f>
        <v/>
      </c>
      <c r="AG79" s="39" t="str">
        <f>IF($R79="MTO","",
IF($H79=0,ROUNDUP(((_xlfn.XLOOKUP($A79,'[1]DATOS PBI Artículos'!$A:$A,'[1]DATOS PBI Artículos'!$AM:$AM))/(_xlfn.XLOOKUP($AH$1,[1]CRITERIOS!$S$16:$S$39,[1]CRITERIOS!$Y$16:$Y$39))*$J79+$Z79)/$G79,0)*$G79,
((_xlfn.XLOOKUP($A79,'[1]DATOS PBI Artículos'!$A:$A,'[1]DATOS PBI Artículos'!$AM:$AM))/(_xlfn.XLOOKUP($AH$1,[1]CRITERIOS!$S$16:$S$39,[1]CRITERIOS!$Y$16:$Y$39))*$J79+$Z79)))</f>
        <v/>
      </c>
      <c r="AI79" s="39" t="str">
        <f>IF($R79="MTO","",
IF($H79=0,ROUNDUP(((_xlfn.XLOOKUP($A79,'[1]DATOS PBI Artículos'!$A:$A,'[1]DATOS PBI Artículos'!$AN:$AN))/(_xlfn.XLOOKUP($AJ$1,[1]CRITERIOS!$S$16:$S$39,[1]CRITERIOS!$Y$16:$Y$39))*$J79+$Z79)/$G79,0)*$G79,
((_xlfn.XLOOKUP($A79,'[1]DATOS PBI Artículos'!$A:$A,'[1]DATOS PBI Artículos'!$AN:$AN))/(_xlfn.XLOOKUP($AJ$1,[1]CRITERIOS!$S$16:$S$39,[1]CRITERIOS!$Y$16:$Y$39))*$J79+$Z79)))</f>
        <v/>
      </c>
      <c r="AK79" s="39" t="str">
        <f>IF($R79="MTO","",
IF($H79=0,ROUNDUP(((_xlfn.XLOOKUP($A79,'[1]DATOS PBI Artículos'!$A:$A,'[1]DATOS PBI Artículos'!$AO:$AO))/(_xlfn.XLOOKUP($AL$1,[1]CRITERIOS!$S$16:$S$39,[1]CRITERIOS!$Y$16:$Y$39))*$J79+$Z79)/$G79,0)*$G79,
((_xlfn.XLOOKUP($A79,'[1]DATOS PBI Artículos'!$A:$A,'[1]DATOS PBI Artículos'!$AO:$AO))/(_xlfn.XLOOKUP($AL$1,[1]CRITERIOS!$S$16:$S$39,[1]CRITERIOS!$Y$16:$Y$39))*$J79+$Z79)))</f>
        <v/>
      </c>
    </row>
    <row r="80" spans="1:37" ht="25.8" x14ac:dyDescent="0.5">
      <c r="A80" s="32">
        <v>404055</v>
      </c>
      <c r="B80" s="33">
        <f>_xlfn.XLOOKUP($A80,'[1]DATOS PBI Artículos'!A:A,'[1]DATOS PBI Artículos'!B:B)</f>
        <v>0</v>
      </c>
      <c r="C80" s="33" t="str">
        <f>_xlfn.XLOOKUP($A80,'[1]DATOS PBI Artículos'!A:A,'[1]DATOS PBI Artículos'!C:C)</f>
        <v>UA02</v>
      </c>
      <c r="D80" s="33">
        <f>_xlfn.XLOOKUP(A80,'[1]DATOS PBI Artículos'!A:A,'[1]DATOS PBI Artículos'!T:T)</f>
        <v>4</v>
      </c>
      <c r="E80" s="34">
        <f>IF(_xlfn.XLOOKUP($A80,'[1]DATOS PBI Artículos'!A:A,'[1]DATOS PBI Artículos'!AK:AK)="",_xlfn.XLOOKUP($A80,'[1]DATOS PBI Artículos'!A:A,'[1]DATOS PBI Artículos'!AJ:AJ),_xlfn.XLOOKUP($A80,'[1]DATOS PBI Artículos'!A:A,'[1]DATOS PBI Artículos'!AK:AK))</f>
        <v>150000</v>
      </c>
      <c r="F80" s="35">
        <f>_xlfn.XLOOKUP($A80,'[1]DATOS PBI Artículos'!A:A,'[1]DATOS PBI Artículos'!AP:AP)</f>
        <v>6.9</v>
      </c>
      <c r="G80" s="34">
        <f>_xlfn.XLOOKUP($A80,'[1]DATOS PBI Artículos'!A:A,'[1]DATOS PBI Artículos'!AR:AR)</f>
        <v>10000</v>
      </c>
      <c r="H80" s="34">
        <f>_xlfn.XLOOKUP($A80,'[1]DATOS PBI Artículos'!A:A,'[1]DATOS PBI Artículos'!AT:AT)</f>
        <v>0</v>
      </c>
      <c r="I80" s="34">
        <f>_xlfn.XLOOKUP($A80,'[1]DATOS PBI Artículos'!A:A,'[1]DATOS PBI Artículos'!AS:AS)</f>
        <v>10000</v>
      </c>
      <c r="J80" s="35">
        <f>IF(COUNTIF([1]CRITERIOS!$F$179:$F$199,$A80)&gt;=1,
 IF(O80&lt;&gt;"",
    (O80/_xlfn.XLOOKUP(CONCATENATE(A80,L80),[1]MÁQUINAS!A:A,[1]MÁQUINAS!D:D))/24,
    (N80/_xlfn.XLOOKUP(CONCATENATE(A80,L80),[1]MÁQUINAS!A:A,[1]MÁQUINAS!D:D))/24),
  _xlfn.XLOOKUP($A80,'[1]DATOS PBI Artículos'!A:A,'[1]DATOS PBI Artículos'!AU:AU))</f>
        <v>16.777777777777779</v>
      </c>
      <c r="K80" s="36">
        <f>_xlfn.XLOOKUP($A80,'[1]DATOS PBI Artículos'!A:A,'[1]DATOS PBI Artículos'!AV:AV)</f>
        <v>2.333333333333333</v>
      </c>
      <c r="L80" s="33">
        <f>_xlfn.XLOOKUP(A80,[1]MÁQUINAS!B:B,[1]MÁQUINAS!C:C)</f>
        <v>210</v>
      </c>
      <c r="M80" s="34">
        <f t="array" ref="M80">_xlfn.XLOOKUP(A80,'[1]DATOS PBI Artículos'!A:A,'[1]DATOS PBI Artículos'!AX:$AX)</f>
        <v>51176.657250640048</v>
      </c>
      <c r="N80" s="37">
        <f>IF(I80="DV",
E80,
IF(COUNTIF([1]CRITERIOS!$I$179:$I$199,$A80)&gt;=1,
_xlfn.XLOOKUP($A80,[1]CRITERIOS!$I$179:$I$199,[1]CRITERIOS!$J$179:$J$199),
IF(COUNTIF([1]CRITERIOS!$L$179:$L$199,$A80)&gt;=1,
_xlfn.CEILING.MATH(IF($M80&gt;$E80,
$E80,
IF($M80&lt;$E80/ROUNDDOWN([1]CRITERIOS!$M$16/_xlfn.XLOOKUP($C80,[1]CRITERIOS!$K$25:$K$42,[1]CRITERIOS!$M$25:$M$42),
1),
E80/ROUNDDOWN([1]CRITERIOS!$M$16/_xlfn.XLOOKUP($C80,[1]CRITERIOS!$K$25:$K$42,[1]CRITERIOS!$M$25:$M$42),
1),
$M80)),
_xlfn.XLOOKUP($A80,[1]CRITERIOS!$L$179:$L$200,[1]CRITERIOS!$M$179:$M$200)),
_xlfn.CEILING.MATH(IF($M80&gt;$E80,
$E80,
IF($M80&lt;$E80/ROUNDDOWN([1]CRITERIOS!$M$16/_xlfn.XLOOKUP($C80,[1]CRITERIOS!$K$25:$K$42,[1]CRITERIOS!$M$25:$M$42),
1),
E80/ROUNDDOWN([1]CRITERIOS!$M$16/_xlfn.XLOOKUP($C80,[1]CRITERIOS!$K$25:$K$42,[1]CRITERIOS!$M$25:$M$42),
1),
$M80)),_xlfn.XLOOKUP(A80,'[1]DATOS PBI Artículos'!A:A,'[1]DATOS PBI Artículos'!Z:Z
)))))</f>
        <v>60000</v>
      </c>
      <c r="Q80" s="38">
        <f>IF(AND(O80="",N80=0),
0,
   IF(COUNTIF([1]CRITERIOS!$F$179:$F$199,$A80)&gt;=1,
   1,
   IF(R80="MTO",
      $D80,
      ROUNDUP(
                    IF(($E80-SUMIF('[1]DATOS PBI Artículos'!A:A,A80,'[1]DATOS PBI Artículos'!X:X)+($V80-_xlfn.XLOOKUP(A80,'[1]DATOS PBI Artículos'!A:A,'[1]DATOS PBI Artículos'!W:W)))&lt;0,
                    0,
                    IF(($E80-SUMIF('[1]DATOS PBI Artículos'!A:A,A80,'[1]DATOS PBI Artículos'!X:X)+$V80-_xlfn.XLOOKUP($A80,'[1]DATOS PBI Artículos'!A:A,'[1]DATOS PBI Artículos'!W:W))/IF($O80="",$N80,$O80)&gt;ROUNDUP([1]CRITERIOS!$M$16/(IF(COUNTIF([1]CRITERIOS!$BG$11:$BG$201,L80)&gt;=1,_xlfn.XLOOKUP($C80,[1]CRITERIOS!$K$25:$K$42,[1]CRITERIOS!$M$25:$M$42),_xlfn.XLOOKUP($C80,[1]CRITERIOS!$K$25:$K$42,[1]CRITERIOS!$M$25:$M$42))),0),
                    ROUNDUP([1]CRITERIOS!$M$16/(IF(COUNTIF([1]CRITERIOS!$BG$11:$BG$201,$L80)&gt;=1,_xlfn.XLOOKUP($C80,[1]CRITERIOS!$K$25:$K$42,[1]CRITERIOS!$M$25:$M$42),_xlfn.XLOOKUP($C80,[1]CRITERIOS!$K$25:$K$42,[1]CRITERIOS!$M$25:$M$42))),0),
                    (E80+V80-SUMIF('[1]DATOS PBI Artículos'!A:A,A80,'[1]DATOS PBI Artículos'!X:X)-_xlfn.XLOOKUP(A80,'[1]DATOS PBI Artículos'!A:A,'[1]DATOS PBI Artículos'!W:W))/IF($O80="",$N80,$O80))),0))))</f>
        <v>2</v>
      </c>
      <c r="R80" s="33" t="str">
        <f>IF(U80&lt;&gt;"",U80,IF(F80="DV","MTO",IF(N80=0,"MTO",_xlfn.XLOOKUP(CONCATENATE(S80,T80),[1]CRITERIOS!$K$160:$K$168,[1]CRITERIOS!$N$160:$N$168))))</f>
        <v>MTS</v>
      </c>
      <c r="S80" s="33" t="str">
        <f>IF(G80="DV","MTO",IF(N80=0,"MTO",IF(OR(AND(N80=0,O80=""),IF(O80="",G80/N80,G80/O80)&gt;[1]CRITERIOS!$G$163),"MTO",IF(IF(O80="",G80/N80,G80/O80)&lt;[1]CRITERIOS!$H$161,"MTS","MTOS"))))</f>
        <v>MTS</v>
      </c>
      <c r="T80" s="33" t="str">
        <f>IF(F80="DV","MTO",IF(OR(AND($N80=0,O80=""),$F80/$J80&gt;[1]CRITERIOS!$G$170,$F80="DV"),"MTO",IF($F80/$J80&lt;[1]CRITERIOS!$H$168,"MTS","MTOS")))</f>
        <v>MTS</v>
      </c>
      <c r="V80" s="34">
        <f t="shared" si="4"/>
        <v>28204.508856682769</v>
      </c>
      <c r="X80" s="34">
        <f t="shared" si="5"/>
        <v>88204.508856682776</v>
      </c>
      <c r="Y80" s="34">
        <f t="shared" si="6"/>
        <v>33888.888888888891</v>
      </c>
      <c r="Z80" s="34">
        <f>IF($R80="MTO",
0,
($H80+$K80*($E80/[1]CRITERIOS!$M$16))/[1]CRITERIOS!$X$48)</f>
        <v>3888.8888888888887</v>
      </c>
      <c r="AA80" s="34" t="e">
        <f>ROUNDUP(($Y80/_xlfn.XLOOKUP($A80,'[1]DATOS PBI Artículos'!$A$4:$A$4,'[1]DATOS PBI Artículos'!$Z$4:$Z$4))/_xlfn.XLOOKUP(_xlfn.XLOOKUP($A80,'[1]DATOS PBI Artículos'!$A$4:$A$4,'[1]DATOS PBI Artículos'!$Y$4:$Y$4),[1]CRITERIOS!$P$79:$P$123,[1]CRITERIOS!$S$79:$S$123,),0)</f>
        <v>#N/A</v>
      </c>
      <c r="AB80" s="33" t="e">
        <f t="array" ref="AB80">IF((E80+V80-_xlfn.XLOOKUP(A80,'[1]DATOS PBI Artículos'!$A$4:$A$4,'[1]DATOS PBI Artículos'!$W$4:$W$4))/N80&gt;ROUNDUP([1]CRITERIOS!$M$16/(IF(COUNTIF([1]CRITERIOS!$BG$11:$BG$201,L80)&gt;=1,_xlfn.XLOOKUP(ARTÍCULOS!L80,[1]CRITERIOS!$BG$11:$BG$201,[1]CRITERIOS!$BJ$11:$BJ$201),_xlfn.XLOOKUP(ARTÍCULOS!C80,[1]CRITERIOS!$K$25:$K$42,[1]CRITERIOS!$M$25:$M$42))),0),ROUNDUP([1]CRITERIOS!$M$16/(IF(COUNTIF([1]CRITERIOS!$BG$11:$BG$201,L80)&gt;=1,_xlfn.XLOOKUP(ARTÍCULOS!L80,[1]CRITERIOS!$BG$11:$BG$201:#REF!,[1]CRITERIOS!$BJ$11:$BJ$201),_xlfn.XLOOKUP(ARTÍCULOS!C80,[1]CRITERIOS!$K$25:$K$42,[1]CRITERIOS!$M$25:$M$42))),0),(E80+V80-_xlfn.XLOOKUP(A80,'[1]DATOS PBI Artículos'!$A$4:$A$4,'[1]DATOS PBI Artículos'!$W$4:$W$4))/N80)</f>
        <v>#N/A</v>
      </c>
      <c r="AC80" s="33" t="e">
        <f>IF(N80=0,"",(ROUNDUP((N80/2)/(_xlfn.XLOOKUP(A80,'[1]DATOS PBI Artículos'!$A$4:$A$4,'[1]DATOS PBI Artículos'!$Z$4:$Z$4)*_xlfn.XLOOKUP(_xlfn.XLOOKUP(A80,'[1]DATOS PBI Artículos'!$A$4:$A$4,'[1]DATOS PBI Artículos'!$Y$4:$Y$4),[1]CRITERIOS!$P$79:$P$123,[1]CRITERIOS!$S$79:$S$123)),0)*[1]CRITERIOS!$M$80*([1]CRITERIOS!$M$110/[1]CRITERIOS!$M$86)+(_xlfn.XLOOKUP(A80,'[1]DATOS PBI Artículos'!$A$4:$A$4,'[1]DATOS PBI Artículos'!$AA$4:$AA$4)*([1]CRITERIOS!$M$95+[1]CRITERIOS!$M$98)))/N80)</f>
        <v>#N/A</v>
      </c>
      <c r="AD80" s="33" t="e">
        <f>IF(N80=0,"",(ROUNDUP((N80/2)/(_xlfn.XLOOKUP(A80,'[1]DATOS PBI Artículos'!$A$4:$A$4,'[1]DATOS PBI Artículos'!$Z$4:$Z$4)*_xlfn.XLOOKUP(_xlfn.XLOOKUP(A80,'[1]DATOS PBI Artículos'!$A$4:$A$4,'[1]DATOS PBI Artículos'!$Y$4:$Y$4),[1]CRITERIOS!$P$79:$P$123,[1]CRITERIOS!$S$79:$S$123)),0)*[1]CRITERIOS!$M$80*([1]CRITERIOS!$M$89*[1]CRITERIOS!$M$92)+((_xlfn.XLOOKUP(A80,'[1]DATOS PBI Artículos'!$A$4:$A$4,'[1]DATOS PBI Artículos'!$AA$4:$AA$4)/2)*([1]CRITERIOS!$M$95+[1]CRITERIOS!$M$98)))/N80)</f>
        <v>#N/A</v>
      </c>
      <c r="AE80" s="39">
        <f>IF($R80="MTO","",
IF($H80=0,ROUNDUP(((_xlfn.XLOOKUP($A80,'[1]DATOS PBI Artículos'!$A:$A,'[1]DATOS PBI Artículos'!$AL:$AL))/(_xlfn.XLOOKUP($AF$1,[1]CRITERIOS!$S$16:$S$39,[1]CRITERIOS!$Y$16:$Y$39))*$J80+$Z80)/$G80,0)*$G80,
((_xlfn.XLOOKUP($A80,'[1]DATOS PBI Artículos'!$A:$A,'[1]DATOS PBI Artículos'!$AL:$AL))/(_xlfn.XLOOKUP($AF$1,[1]CRITERIOS!$S$16:$S$39,[1]CRITERIOS!$Y$16:$Y$39))*$J80+$Z80)))</f>
        <v>50000</v>
      </c>
      <c r="AG80" s="39">
        <f>IF($R80="MTO","",
IF($H80=0,ROUNDUP(((_xlfn.XLOOKUP($A80,'[1]DATOS PBI Artículos'!$A:$A,'[1]DATOS PBI Artículos'!$AM:$AM))/(_xlfn.XLOOKUP($AH$1,[1]CRITERIOS!$S$16:$S$39,[1]CRITERIOS!$Y$16:$Y$39))*$J80+$Z80)/$G80,0)*$G80,
((_xlfn.XLOOKUP($A80,'[1]DATOS PBI Artículos'!$A:$A,'[1]DATOS PBI Artículos'!$AM:$AM))/(_xlfn.XLOOKUP($AH$1,[1]CRITERIOS!$S$16:$S$39,[1]CRITERIOS!$Y$16:$Y$39))*$J80+$Z80)))</f>
        <v>40000</v>
      </c>
      <c r="AI80" s="39">
        <f>IF($R80="MTO","",
IF($H80=0,ROUNDUP(((_xlfn.XLOOKUP($A80,'[1]DATOS PBI Artículos'!$A:$A,'[1]DATOS PBI Artículos'!$AN:$AN))/(_xlfn.XLOOKUP($AJ$1,[1]CRITERIOS!$S$16:$S$39,[1]CRITERIOS!$Y$16:$Y$39))*$J80+$Z80)/$G80,0)*$G80,
((_xlfn.XLOOKUP($A80,'[1]DATOS PBI Artículos'!$A:$A,'[1]DATOS PBI Artículos'!$AN:$AN))/(_xlfn.XLOOKUP($AJ$1,[1]CRITERIOS!$S$16:$S$39,[1]CRITERIOS!$Y$16:$Y$39))*$J80+$Z80)))</f>
        <v>40000</v>
      </c>
      <c r="AK80" s="39">
        <f>IF($R80="MTO","",
IF($H80=0,ROUNDUP(((_xlfn.XLOOKUP($A80,'[1]DATOS PBI Artículos'!$A:$A,'[1]DATOS PBI Artículos'!$AO:$AO))/(_xlfn.XLOOKUP($AL$1,[1]CRITERIOS!$S$16:$S$39,[1]CRITERIOS!$Y$16:$Y$39))*$J80+$Z80)/$G80,0)*$G80,
((_xlfn.XLOOKUP($A80,'[1]DATOS PBI Artículos'!$A:$A,'[1]DATOS PBI Artículos'!$AO:$AO))/(_xlfn.XLOOKUP($AL$1,[1]CRITERIOS!$S$16:$S$39,[1]CRITERIOS!$Y$16:$Y$39))*$J80+$Z80)))</f>
        <v>50000</v>
      </c>
    </row>
    <row r="81" spans="1:37" ht="25.8" x14ac:dyDescent="0.5">
      <c r="A81" s="32">
        <v>453410</v>
      </c>
      <c r="B81" s="33">
        <f>_xlfn.XLOOKUP($A81,'[1]DATOS PBI Artículos'!A:A,'[1]DATOS PBI Artículos'!B:B)</f>
        <v>0</v>
      </c>
      <c r="C81" s="33" t="str">
        <f>_xlfn.XLOOKUP($A81,'[1]DATOS PBI Artículos'!A:A,'[1]DATOS PBI Artículos'!C:C)</f>
        <v>UA03</v>
      </c>
      <c r="D81" s="33">
        <f>_xlfn.XLOOKUP(A81,'[1]DATOS PBI Artículos'!A:A,'[1]DATOS PBI Artículos'!T:T)</f>
        <v>4</v>
      </c>
      <c r="E81" s="34">
        <f>IF(_xlfn.XLOOKUP($A81,'[1]DATOS PBI Artículos'!A:A,'[1]DATOS PBI Artículos'!AK:AK)="",_xlfn.XLOOKUP($A81,'[1]DATOS PBI Artículos'!A:A,'[1]DATOS PBI Artículos'!AJ:AJ),_xlfn.XLOOKUP($A81,'[1]DATOS PBI Artículos'!A:A,'[1]DATOS PBI Artículos'!AK:AK))</f>
        <v>150000</v>
      </c>
      <c r="F81" s="35">
        <f>_xlfn.XLOOKUP($A81,'[1]DATOS PBI Artículos'!A:A,'[1]DATOS PBI Artículos'!AP:AP)</f>
        <v>22.5</v>
      </c>
      <c r="G81" s="34">
        <f>_xlfn.XLOOKUP($A81,'[1]DATOS PBI Artículos'!A:A,'[1]DATOS PBI Artículos'!AR:AR)</f>
        <v>50000</v>
      </c>
      <c r="H81" s="34">
        <f>_xlfn.XLOOKUP($A81,'[1]DATOS PBI Artículos'!A:A,'[1]DATOS PBI Artículos'!AT:AT)</f>
        <v>0</v>
      </c>
      <c r="I81" s="34">
        <f>_xlfn.XLOOKUP($A81,'[1]DATOS PBI Artículos'!A:A,'[1]DATOS PBI Artículos'!AS:AS)</f>
        <v>50000</v>
      </c>
      <c r="J81" s="35">
        <f>IF(COUNTIF([1]CRITERIOS!$F$179:$F$199,$A81)&gt;=1,
 IF(O81&lt;&gt;"",
    (O81/_xlfn.XLOOKUP(CONCATENATE(A81,L81),[1]MÁQUINAS!A:A,[1]MÁQUINAS!D:D))/24,
    (N81/_xlfn.XLOOKUP(CONCATENATE(A81,L81),[1]MÁQUINAS!A:A,[1]MÁQUINAS!D:D))/24),
  _xlfn.XLOOKUP($A81,'[1]DATOS PBI Artículos'!A:A,'[1]DATOS PBI Artículos'!AU:AU))</f>
        <v>10</v>
      </c>
      <c r="K81" s="36">
        <f>_xlfn.XLOOKUP($A81,'[1]DATOS PBI Artículos'!A:A,'[1]DATOS PBI Artículos'!AV:AV)</f>
        <v>0</v>
      </c>
      <c r="L81" s="33">
        <f>_xlfn.XLOOKUP(A81,[1]MÁQUINAS!B:B,[1]MÁQUINAS!C:C)</f>
        <v>142</v>
      </c>
      <c r="M81" s="34">
        <f t="array" ref="M81">_xlfn.XLOOKUP(A81,'[1]DATOS PBI Artículos'!A:A,'[1]DATOS PBI Artículos'!AX:$AX)</f>
        <v>50886.508594788189</v>
      </c>
      <c r="N81" s="37">
        <f>IF(I81="DV",
E81,
IF(COUNTIF([1]CRITERIOS!$I$179:$I$199,$A81)&gt;=1,
_xlfn.XLOOKUP($A81,[1]CRITERIOS!$I$179:$I$199,[1]CRITERIOS!$J$179:$J$199),
IF(COUNTIF([1]CRITERIOS!$L$179:$L$199,$A81)&gt;=1,
_xlfn.CEILING.MATH(IF($M81&gt;$E81,
$E81,
IF($M81&lt;$E81/ROUNDDOWN([1]CRITERIOS!$M$16/_xlfn.XLOOKUP($C81,[1]CRITERIOS!$K$25:$K$42,[1]CRITERIOS!$M$25:$M$42),
1),
E81/ROUNDDOWN([1]CRITERIOS!$M$16/_xlfn.XLOOKUP($C81,[1]CRITERIOS!$K$25:$K$42,[1]CRITERIOS!$M$25:$M$42),
1),
$M81)),
_xlfn.XLOOKUP($A81,[1]CRITERIOS!$L$179:$L$200,[1]CRITERIOS!$M$179:$M$200)),
_xlfn.CEILING.MATH(IF($M81&gt;$E81,
$E81,
IF($M81&lt;$E81/ROUNDDOWN([1]CRITERIOS!$M$16/_xlfn.XLOOKUP($C81,[1]CRITERIOS!$K$25:$K$42,[1]CRITERIOS!$M$25:$M$42),
1),
E81/ROUNDDOWN([1]CRITERIOS!$M$16/_xlfn.XLOOKUP($C81,[1]CRITERIOS!$K$25:$K$42,[1]CRITERIOS!$M$25:$M$42),
1),
$M81)),_xlfn.XLOOKUP(A81,'[1]DATOS PBI Artículos'!A:A,'[1]DATOS PBI Artículos'!Z:Z
)))))</f>
        <v>60000</v>
      </c>
      <c r="Q81" s="38">
        <f>IF(AND(O81="",N81=0),
0,
   IF(COUNTIF([1]CRITERIOS!$F$179:$F$199,$A81)&gt;=1,
   1,
   IF(R81="MTO",
      $D81,
      ROUNDUP(
                    IF(($E81-SUMIF('[1]DATOS PBI Artículos'!A:A,A81,'[1]DATOS PBI Artículos'!X:X)+($V81-_xlfn.XLOOKUP(A81,'[1]DATOS PBI Artículos'!A:A,'[1]DATOS PBI Artículos'!W:W)))&lt;0,
                    0,
                    IF(($E81-SUMIF('[1]DATOS PBI Artículos'!A:A,A81,'[1]DATOS PBI Artículos'!X:X)+$V81-_xlfn.XLOOKUP($A81,'[1]DATOS PBI Artículos'!A:A,'[1]DATOS PBI Artículos'!W:W))/IF($O81="",$N81,$O81)&gt;ROUNDUP([1]CRITERIOS!$M$16/(IF(COUNTIF([1]CRITERIOS!$BG$11:$BG$201,L81)&gt;=1,_xlfn.XLOOKUP($C81,[1]CRITERIOS!$K$25:$K$42,[1]CRITERIOS!$M$25:$M$42),_xlfn.XLOOKUP($C81,[1]CRITERIOS!$K$25:$K$42,[1]CRITERIOS!$M$25:$M$42))),0),
                    ROUNDUP([1]CRITERIOS!$M$16/(IF(COUNTIF([1]CRITERIOS!$BG$11:$BG$201,$L81)&gt;=1,_xlfn.XLOOKUP($C81,[1]CRITERIOS!$K$25:$K$42,[1]CRITERIOS!$M$25:$M$42),_xlfn.XLOOKUP($C81,[1]CRITERIOS!$K$25:$K$42,[1]CRITERIOS!$M$25:$M$42))),0),
                    (E81+V81-SUMIF('[1]DATOS PBI Artículos'!A:A,A81,'[1]DATOS PBI Artículos'!X:X)-_xlfn.XLOOKUP(A81,'[1]DATOS PBI Artículos'!A:A,'[1]DATOS PBI Artículos'!W:W))/IF($O81="",$N81,$O81))),0))))</f>
        <v>4</v>
      </c>
      <c r="R81" s="33" t="str">
        <f>IF(U81&lt;&gt;"",U81,IF(F81="DV","MTO",IF(N81=0,"MTO",_xlfn.XLOOKUP(CONCATENATE(S81,T81),[1]CRITERIOS!$K$160:$K$168,[1]CRITERIOS!$N$160:$N$168))))</f>
        <v>MTO</v>
      </c>
      <c r="S81" s="33" t="str">
        <f>IF(G81="DV","MTO",IF(N81=0,"MTO",IF(OR(AND(N81=0,O81=""),IF(O81="",G81/N81,G81/O81)&gt;[1]CRITERIOS!$G$163),"MTO",IF(IF(O81="",G81/N81,G81/O81)&lt;[1]CRITERIOS!$H$161,"MTS","MTOS"))))</f>
        <v>MTO</v>
      </c>
      <c r="T81" s="33" t="str">
        <f>IF(F81="DV","MTO",IF(OR(AND($N81=0,O81=""),$F81/$J81&gt;[1]CRITERIOS!$G$170,$F81="DV"),"MTO",IF($F81/$J81&lt;[1]CRITERIOS!$H$168,"MTS","MTOS")))</f>
        <v>MTO</v>
      </c>
      <c r="V81" s="34" t="str">
        <f t="shared" si="4"/>
        <v/>
      </c>
      <c r="X81" s="34">
        <f t="shared" si="5"/>
        <v>0</v>
      </c>
      <c r="Y81" s="34">
        <f t="shared" si="6"/>
        <v>0</v>
      </c>
      <c r="Z81" s="34">
        <f>IF($R81="MTO",
0,
($H81+$K81*($E81/[1]CRITERIOS!$M$16))/[1]CRITERIOS!$X$48)</f>
        <v>0</v>
      </c>
      <c r="AA81" s="34" t="e">
        <f>ROUNDUP(($Y81/_xlfn.XLOOKUP($A81,'[1]DATOS PBI Artículos'!$A$4:$A$4,'[1]DATOS PBI Artículos'!$Z$4:$Z$4))/_xlfn.XLOOKUP(_xlfn.XLOOKUP($A81,'[1]DATOS PBI Artículos'!$A$4:$A$4,'[1]DATOS PBI Artículos'!$Y$4:$Y$4),[1]CRITERIOS!$P$79:$P$123,[1]CRITERIOS!$S$79:$S$123,),0)</f>
        <v>#N/A</v>
      </c>
      <c r="AB81" s="33" t="e">
        <f t="array" ref="AB81">IF((E81+V81-_xlfn.XLOOKUP(A81,'[1]DATOS PBI Artículos'!$A$4:$A$4,'[1]DATOS PBI Artículos'!$W$4:$W$4))/N81&gt;ROUNDUP([1]CRITERIOS!$M$16/(IF(COUNTIF([1]CRITERIOS!$BG$11:$BG$201,L81)&gt;=1,_xlfn.XLOOKUP(ARTÍCULOS!L81,[1]CRITERIOS!$BG$11:$BG$201,[1]CRITERIOS!$BJ$11:$BJ$201),_xlfn.XLOOKUP(ARTÍCULOS!C81,[1]CRITERIOS!$K$25:$K$42,[1]CRITERIOS!$M$25:$M$42))),0),ROUNDUP([1]CRITERIOS!$M$16/(IF(COUNTIF([1]CRITERIOS!$BG$11:$BG$201,L81)&gt;=1,_xlfn.XLOOKUP(ARTÍCULOS!L81,[1]CRITERIOS!$BG$11:$BG$201:#REF!,[1]CRITERIOS!$BJ$11:$BJ$201),_xlfn.XLOOKUP(ARTÍCULOS!C81,[1]CRITERIOS!$K$25:$K$42,[1]CRITERIOS!$M$25:$M$42))),0),(E81+V81-_xlfn.XLOOKUP(A81,'[1]DATOS PBI Artículos'!$A$4:$A$4,'[1]DATOS PBI Artículos'!$W$4:$W$4))/N81)</f>
        <v>#VALUE!</v>
      </c>
      <c r="AC81" s="33" t="e">
        <f>IF(N81=0,"",(ROUNDUP((N81/2)/(_xlfn.XLOOKUP(A81,'[1]DATOS PBI Artículos'!$A$4:$A$4,'[1]DATOS PBI Artículos'!$Z$4:$Z$4)*_xlfn.XLOOKUP(_xlfn.XLOOKUP(A81,'[1]DATOS PBI Artículos'!$A$4:$A$4,'[1]DATOS PBI Artículos'!$Y$4:$Y$4),[1]CRITERIOS!$P$79:$P$123,[1]CRITERIOS!$S$79:$S$123)),0)*[1]CRITERIOS!$M$80*([1]CRITERIOS!$M$110/[1]CRITERIOS!$M$86)+(_xlfn.XLOOKUP(A81,'[1]DATOS PBI Artículos'!$A$4:$A$4,'[1]DATOS PBI Artículos'!$AA$4:$AA$4)*([1]CRITERIOS!$M$95+[1]CRITERIOS!$M$98)))/N81)</f>
        <v>#N/A</v>
      </c>
      <c r="AD81" s="33" t="e">
        <f>IF(N81=0,"",(ROUNDUP((N81/2)/(_xlfn.XLOOKUP(A81,'[1]DATOS PBI Artículos'!$A$4:$A$4,'[1]DATOS PBI Artículos'!$Z$4:$Z$4)*_xlfn.XLOOKUP(_xlfn.XLOOKUP(A81,'[1]DATOS PBI Artículos'!$A$4:$A$4,'[1]DATOS PBI Artículos'!$Y$4:$Y$4),[1]CRITERIOS!$P$79:$P$123,[1]CRITERIOS!$S$79:$S$123)),0)*[1]CRITERIOS!$M$80*([1]CRITERIOS!$M$89*[1]CRITERIOS!$M$92)+((_xlfn.XLOOKUP(A81,'[1]DATOS PBI Artículos'!$A$4:$A$4,'[1]DATOS PBI Artículos'!$AA$4:$AA$4)/2)*([1]CRITERIOS!$M$95+[1]CRITERIOS!$M$98)))/N81)</f>
        <v>#N/A</v>
      </c>
      <c r="AE81" s="39" t="str">
        <f>IF($R81="MTO","",
IF($H81=0,ROUNDUP(((_xlfn.XLOOKUP($A81,'[1]DATOS PBI Artículos'!$A:$A,'[1]DATOS PBI Artículos'!$AL:$AL))/(_xlfn.XLOOKUP($AF$1,[1]CRITERIOS!$S$16:$S$39,[1]CRITERIOS!$Y$16:$Y$39))*$J81+$Z81)/$G81,0)*$G81,
((_xlfn.XLOOKUP($A81,'[1]DATOS PBI Artículos'!$A:$A,'[1]DATOS PBI Artículos'!$AL:$AL))/(_xlfn.XLOOKUP($AF$1,[1]CRITERIOS!$S$16:$S$39,[1]CRITERIOS!$Y$16:$Y$39))*$J81+$Z81)))</f>
        <v/>
      </c>
      <c r="AG81" s="39" t="str">
        <f>IF($R81="MTO","",
IF($H81=0,ROUNDUP(((_xlfn.XLOOKUP($A81,'[1]DATOS PBI Artículos'!$A:$A,'[1]DATOS PBI Artículos'!$AM:$AM))/(_xlfn.XLOOKUP($AH$1,[1]CRITERIOS!$S$16:$S$39,[1]CRITERIOS!$Y$16:$Y$39))*$J81+$Z81)/$G81,0)*$G81,
((_xlfn.XLOOKUP($A81,'[1]DATOS PBI Artículos'!$A:$A,'[1]DATOS PBI Artículos'!$AM:$AM))/(_xlfn.XLOOKUP($AH$1,[1]CRITERIOS!$S$16:$S$39,[1]CRITERIOS!$Y$16:$Y$39))*$J81+$Z81)))</f>
        <v/>
      </c>
      <c r="AI81" s="39" t="str">
        <f>IF($R81="MTO","",
IF($H81=0,ROUNDUP(((_xlfn.XLOOKUP($A81,'[1]DATOS PBI Artículos'!$A:$A,'[1]DATOS PBI Artículos'!$AN:$AN))/(_xlfn.XLOOKUP($AJ$1,[1]CRITERIOS!$S$16:$S$39,[1]CRITERIOS!$Y$16:$Y$39))*$J81+$Z81)/$G81,0)*$G81,
((_xlfn.XLOOKUP($A81,'[1]DATOS PBI Artículos'!$A:$A,'[1]DATOS PBI Artículos'!$AN:$AN))/(_xlfn.XLOOKUP($AJ$1,[1]CRITERIOS!$S$16:$S$39,[1]CRITERIOS!$Y$16:$Y$39))*$J81+$Z81)))</f>
        <v/>
      </c>
      <c r="AK81" s="39" t="str">
        <f>IF($R81="MTO","",
IF($H81=0,ROUNDUP(((_xlfn.XLOOKUP($A81,'[1]DATOS PBI Artículos'!$A:$A,'[1]DATOS PBI Artículos'!$AO:$AO))/(_xlfn.XLOOKUP($AL$1,[1]CRITERIOS!$S$16:$S$39,[1]CRITERIOS!$Y$16:$Y$39))*$J81+$Z81)/$G81,0)*$G81,
((_xlfn.XLOOKUP($A81,'[1]DATOS PBI Artículos'!$A:$A,'[1]DATOS PBI Artículos'!$AO:$AO))/(_xlfn.XLOOKUP($AL$1,[1]CRITERIOS!$S$16:$S$39,[1]CRITERIOS!$Y$16:$Y$39))*$J81+$Z81)))</f>
        <v/>
      </c>
    </row>
    <row r="82" spans="1:37" ht="25.8" x14ac:dyDescent="0.5">
      <c r="A82" s="32">
        <v>451844</v>
      </c>
      <c r="B82" s="33">
        <f>_xlfn.XLOOKUP($A82,'[1]DATOS PBI Artículos'!A:A,'[1]DATOS PBI Artículos'!B:B)</f>
        <v>0</v>
      </c>
      <c r="C82" s="33" t="str">
        <f>_xlfn.XLOOKUP($A82,'[1]DATOS PBI Artículos'!A:A,'[1]DATOS PBI Artículos'!C:C)</f>
        <v>UA02</v>
      </c>
      <c r="D82" s="33">
        <f>_xlfn.XLOOKUP(A82,'[1]DATOS PBI Artículos'!A:A,'[1]DATOS PBI Artículos'!T:T)</f>
        <v>1</v>
      </c>
      <c r="E82" s="34">
        <f>IF(_xlfn.XLOOKUP($A82,'[1]DATOS PBI Artículos'!A:A,'[1]DATOS PBI Artículos'!AK:AK)="",_xlfn.XLOOKUP($A82,'[1]DATOS PBI Artículos'!A:A,'[1]DATOS PBI Artículos'!AJ:AJ),_xlfn.XLOOKUP($A82,'[1]DATOS PBI Artículos'!A:A,'[1]DATOS PBI Artículos'!AK:AK))</f>
        <v>150000</v>
      </c>
      <c r="F82" s="35">
        <f>_xlfn.XLOOKUP($A82,'[1]DATOS PBI Artículos'!A:A,'[1]DATOS PBI Artículos'!AP:AP)</f>
        <v>75</v>
      </c>
      <c r="G82" s="34">
        <f>_xlfn.XLOOKUP($A82,'[1]DATOS PBI Artículos'!A:A,'[1]DATOS PBI Artículos'!AR:AR)</f>
        <v>150000</v>
      </c>
      <c r="H82" s="34">
        <f>_xlfn.XLOOKUP($A82,'[1]DATOS PBI Artículos'!A:A,'[1]DATOS PBI Artículos'!AT:AT)</f>
        <v>0</v>
      </c>
      <c r="I82" s="34">
        <f>_xlfn.XLOOKUP($A82,'[1]DATOS PBI Artículos'!A:A,'[1]DATOS PBI Artículos'!AS:AS)</f>
        <v>150000</v>
      </c>
      <c r="J82" s="35">
        <f>IF(COUNTIF([1]CRITERIOS!$F$179:$F$199,$A82)&gt;=1,
 IF(O82&lt;&gt;"",
    (O82/_xlfn.XLOOKUP(CONCATENATE(A82,L82),[1]MÁQUINAS!A:A,[1]MÁQUINAS!D:D))/24,
    (N82/_xlfn.XLOOKUP(CONCATENATE(A82,L82),[1]MÁQUINAS!A:A,[1]MÁQUINAS!D:D))/24),
  _xlfn.XLOOKUP($A82,'[1]DATOS PBI Artículos'!A:A,'[1]DATOS PBI Artículos'!AU:AU))</f>
        <v>30.25</v>
      </c>
      <c r="K82" s="36">
        <f>_xlfn.XLOOKUP($A82,'[1]DATOS PBI Artículos'!A:A,'[1]DATOS PBI Artículos'!AV:AV)</f>
        <v>9.0323492698928192</v>
      </c>
      <c r="L82" s="33">
        <f>_xlfn.XLOOKUP(A82,[1]MÁQUINAS!B:B,[1]MÁQUINAS!C:C)</f>
        <v>215</v>
      </c>
      <c r="M82" s="34">
        <f t="array" ref="M82">_xlfn.XLOOKUP(A82,'[1]DATOS PBI Artículos'!A:A,'[1]DATOS PBI Artículos'!AX:$AX)</f>
        <v>61658.082242977798</v>
      </c>
      <c r="N82" s="37">
        <f>IF(I82="DV",
E82,
IF(COUNTIF([1]CRITERIOS!$I$179:$I$199,$A82)&gt;=1,
_xlfn.XLOOKUP($A82,[1]CRITERIOS!$I$179:$I$199,[1]CRITERIOS!$J$179:$J$199),
IF(COUNTIF([1]CRITERIOS!$L$179:$L$199,$A82)&gt;=1,
_xlfn.CEILING.MATH(IF($M82&gt;$E82,
$E82,
IF($M82&lt;$E82/ROUNDDOWN([1]CRITERIOS!$M$16/_xlfn.XLOOKUP($C82,[1]CRITERIOS!$K$25:$K$42,[1]CRITERIOS!$M$25:$M$42),
1),
E82/ROUNDDOWN([1]CRITERIOS!$M$16/_xlfn.XLOOKUP($C82,[1]CRITERIOS!$K$25:$K$42,[1]CRITERIOS!$M$25:$M$42),
1),
$M82)),
_xlfn.XLOOKUP($A82,[1]CRITERIOS!$L$179:$L$200,[1]CRITERIOS!$M$179:$M$200)),
_xlfn.CEILING.MATH(IF($M82&gt;$E82,
$E82,
IF($M82&lt;$E82/ROUNDDOWN([1]CRITERIOS!$M$16/_xlfn.XLOOKUP($C82,[1]CRITERIOS!$K$25:$K$42,[1]CRITERIOS!$M$25:$M$42),
1),
E82/ROUNDDOWN([1]CRITERIOS!$M$16/_xlfn.XLOOKUP($C82,[1]CRITERIOS!$K$25:$K$42,[1]CRITERIOS!$M$25:$M$42),
1),
$M82)),_xlfn.XLOOKUP(A82,'[1]DATOS PBI Artículos'!A:A,'[1]DATOS PBI Artículos'!Z:Z
)))))</f>
        <v>100000</v>
      </c>
      <c r="Q82" s="38">
        <f>IF(AND(O82="",N82=0),
0,
   IF(COUNTIF([1]CRITERIOS!$F$179:$F$199,$A82)&gt;=1,
   1,
   IF(R82="MTO",
      $D82,
      ROUNDUP(
                    IF(($E82-SUMIF('[1]DATOS PBI Artículos'!A:A,A82,'[1]DATOS PBI Artículos'!X:X)+($V82-_xlfn.XLOOKUP(A82,'[1]DATOS PBI Artículos'!A:A,'[1]DATOS PBI Artículos'!W:W)))&lt;0,
                    0,
                    IF(($E82-SUMIF('[1]DATOS PBI Artículos'!A:A,A82,'[1]DATOS PBI Artículos'!X:X)+$V82-_xlfn.XLOOKUP($A82,'[1]DATOS PBI Artículos'!A:A,'[1]DATOS PBI Artículos'!W:W))/IF($O82="",$N82,$O82)&gt;ROUNDUP([1]CRITERIOS!$M$16/(IF(COUNTIF([1]CRITERIOS!$BG$11:$BG$201,L82)&gt;=1,_xlfn.XLOOKUP($C82,[1]CRITERIOS!$K$25:$K$42,[1]CRITERIOS!$M$25:$M$42),_xlfn.XLOOKUP($C82,[1]CRITERIOS!$K$25:$K$42,[1]CRITERIOS!$M$25:$M$42))),0),
                    ROUNDUP([1]CRITERIOS!$M$16/(IF(COUNTIF([1]CRITERIOS!$BG$11:$BG$201,$L82)&gt;=1,_xlfn.XLOOKUP($C82,[1]CRITERIOS!$K$25:$K$42,[1]CRITERIOS!$M$25:$M$42),_xlfn.XLOOKUP($C82,[1]CRITERIOS!$K$25:$K$42,[1]CRITERIOS!$M$25:$M$42))),0),
                    (E82+V82-SUMIF('[1]DATOS PBI Artículos'!A:A,A82,'[1]DATOS PBI Artículos'!X:X)-_xlfn.XLOOKUP(A82,'[1]DATOS PBI Artículos'!A:A,'[1]DATOS PBI Artículos'!W:W))/IF($O82="",$N82,$O82))),0))))</f>
        <v>1</v>
      </c>
      <c r="R82" s="33" t="str">
        <f>IF(U82&lt;&gt;"",U82,IF(F82="DV","MTO",IF(N82=0,"MTO",_xlfn.XLOOKUP(CONCATENATE(S82,T82),[1]CRITERIOS!$K$160:$K$168,[1]CRITERIOS!$N$160:$N$168))))</f>
        <v>MTO</v>
      </c>
      <c r="S82" s="33" t="str">
        <f>IF(G82="DV","MTO",IF(N82=0,"MTO",IF(OR(AND(N82=0,O82=""),IF(O82="",G82/N82,G82/O82)&gt;[1]CRITERIOS!$G$163),"MTO",IF(IF(O82="",G82/N82,G82/O82)&lt;[1]CRITERIOS!$H$161,"MTS","MTOS"))))</f>
        <v>MTO</v>
      </c>
      <c r="T82" s="33" t="str">
        <f>IF(F82="DV","MTO",IF(OR(AND($N82=0,O82=""),$F82/$J82&gt;[1]CRITERIOS!$G$170,$F82="DV"),"MTO",IF($F82/$J82&lt;[1]CRITERIOS!$H$168,"MTS","MTOS")))</f>
        <v>MTO</v>
      </c>
      <c r="V82" s="34" t="str">
        <f t="shared" si="4"/>
        <v/>
      </c>
      <c r="X82" s="34">
        <f t="shared" si="5"/>
        <v>0</v>
      </c>
      <c r="Y82" s="34">
        <f t="shared" si="6"/>
        <v>0</v>
      </c>
      <c r="Z82" s="34">
        <f>IF($R82="MTO",
0,
($H82+$K82*($E82/[1]CRITERIOS!$M$16))/[1]CRITERIOS!$X$48)</f>
        <v>0</v>
      </c>
      <c r="AA82" s="34" t="e">
        <f>ROUNDUP(($Y82/_xlfn.XLOOKUP($A82,'[1]DATOS PBI Artículos'!$A$4:$A$4,'[1]DATOS PBI Artículos'!$Z$4:$Z$4))/_xlfn.XLOOKUP(_xlfn.XLOOKUP($A82,'[1]DATOS PBI Artículos'!$A$4:$A$4,'[1]DATOS PBI Artículos'!$Y$4:$Y$4),[1]CRITERIOS!$P$79:$P$123,[1]CRITERIOS!$S$79:$S$123,),0)</f>
        <v>#N/A</v>
      </c>
      <c r="AB82" s="33" t="e">
        <f t="array" ref="AB82">IF((E82+V82-_xlfn.XLOOKUP(A82,'[1]DATOS PBI Artículos'!$A$4:$A$4,'[1]DATOS PBI Artículos'!$W$4:$W$4))/N82&gt;ROUNDUP([1]CRITERIOS!$M$16/(IF(COUNTIF([1]CRITERIOS!$BG$11:$BG$201,L82)&gt;=1,_xlfn.XLOOKUP(ARTÍCULOS!L82,[1]CRITERIOS!$BG$11:$BG$201,[1]CRITERIOS!$BJ$11:$BJ$201),_xlfn.XLOOKUP(ARTÍCULOS!C82,[1]CRITERIOS!$K$25:$K$42,[1]CRITERIOS!$M$25:$M$42))),0),ROUNDUP([1]CRITERIOS!$M$16/(IF(COUNTIF([1]CRITERIOS!$BG$11:$BG$201,L82)&gt;=1,_xlfn.XLOOKUP(ARTÍCULOS!L82,[1]CRITERIOS!$BG$11:$BG$201:#REF!,[1]CRITERIOS!$BJ$11:$BJ$201),_xlfn.XLOOKUP(ARTÍCULOS!C82,[1]CRITERIOS!$K$25:$K$42,[1]CRITERIOS!$M$25:$M$42))),0),(E82+V82-_xlfn.XLOOKUP(A82,'[1]DATOS PBI Artículos'!$A$4:$A$4,'[1]DATOS PBI Artículos'!$W$4:$W$4))/N82)</f>
        <v>#VALUE!</v>
      </c>
      <c r="AC82" s="33" t="e">
        <f>IF(N82=0,"",(ROUNDUP((N82/2)/(_xlfn.XLOOKUP(A82,'[1]DATOS PBI Artículos'!$A$4:$A$4,'[1]DATOS PBI Artículos'!$Z$4:$Z$4)*_xlfn.XLOOKUP(_xlfn.XLOOKUP(A82,'[1]DATOS PBI Artículos'!$A$4:$A$4,'[1]DATOS PBI Artículos'!$Y$4:$Y$4),[1]CRITERIOS!$P$79:$P$123,[1]CRITERIOS!$S$79:$S$123)),0)*[1]CRITERIOS!$M$80*([1]CRITERIOS!$M$110/[1]CRITERIOS!$M$86)+(_xlfn.XLOOKUP(A82,'[1]DATOS PBI Artículos'!$A$4:$A$4,'[1]DATOS PBI Artículos'!$AA$4:$AA$4)*([1]CRITERIOS!$M$95+[1]CRITERIOS!$M$98)))/N82)</f>
        <v>#N/A</v>
      </c>
      <c r="AD82" s="33" t="e">
        <f>IF(N82=0,"",(ROUNDUP((N82/2)/(_xlfn.XLOOKUP(A82,'[1]DATOS PBI Artículos'!$A$4:$A$4,'[1]DATOS PBI Artículos'!$Z$4:$Z$4)*_xlfn.XLOOKUP(_xlfn.XLOOKUP(A82,'[1]DATOS PBI Artículos'!$A$4:$A$4,'[1]DATOS PBI Artículos'!$Y$4:$Y$4),[1]CRITERIOS!$P$79:$P$123,[1]CRITERIOS!$S$79:$S$123)),0)*[1]CRITERIOS!$M$80*([1]CRITERIOS!$M$89*[1]CRITERIOS!$M$92)+((_xlfn.XLOOKUP(A82,'[1]DATOS PBI Artículos'!$A$4:$A$4,'[1]DATOS PBI Artículos'!$AA$4:$AA$4)/2)*([1]CRITERIOS!$M$95+[1]CRITERIOS!$M$98)))/N82)</f>
        <v>#N/A</v>
      </c>
      <c r="AE82" s="39" t="str">
        <f>IF($R82="MTO","",
IF($H82=0,ROUNDUP(((_xlfn.XLOOKUP($A82,'[1]DATOS PBI Artículos'!$A:$A,'[1]DATOS PBI Artículos'!$AL:$AL))/(_xlfn.XLOOKUP($AF$1,[1]CRITERIOS!$S$16:$S$39,[1]CRITERIOS!$Y$16:$Y$39))*$J82+$Z82)/$G82,0)*$G82,
((_xlfn.XLOOKUP($A82,'[1]DATOS PBI Artículos'!$A:$A,'[1]DATOS PBI Artículos'!$AL:$AL))/(_xlfn.XLOOKUP($AF$1,[1]CRITERIOS!$S$16:$S$39,[1]CRITERIOS!$Y$16:$Y$39))*$J82+$Z82)))</f>
        <v/>
      </c>
      <c r="AG82" s="39" t="str">
        <f>IF($R82="MTO","",
IF($H82=0,ROUNDUP(((_xlfn.XLOOKUP($A82,'[1]DATOS PBI Artículos'!$A:$A,'[1]DATOS PBI Artículos'!$AM:$AM))/(_xlfn.XLOOKUP($AH$1,[1]CRITERIOS!$S$16:$S$39,[1]CRITERIOS!$Y$16:$Y$39))*$J82+$Z82)/$G82,0)*$G82,
((_xlfn.XLOOKUP($A82,'[1]DATOS PBI Artículos'!$A:$A,'[1]DATOS PBI Artículos'!$AM:$AM))/(_xlfn.XLOOKUP($AH$1,[1]CRITERIOS!$S$16:$S$39,[1]CRITERIOS!$Y$16:$Y$39))*$J82+$Z82)))</f>
        <v/>
      </c>
      <c r="AI82" s="39" t="str">
        <f>IF($R82="MTO","",
IF($H82=0,ROUNDUP(((_xlfn.XLOOKUP($A82,'[1]DATOS PBI Artículos'!$A:$A,'[1]DATOS PBI Artículos'!$AN:$AN))/(_xlfn.XLOOKUP($AJ$1,[1]CRITERIOS!$S$16:$S$39,[1]CRITERIOS!$Y$16:$Y$39))*$J82+$Z82)/$G82,0)*$G82,
((_xlfn.XLOOKUP($A82,'[1]DATOS PBI Artículos'!$A:$A,'[1]DATOS PBI Artículos'!$AN:$AN))/(_xlfn.XLOOKUP($AJ$1,[1]CRITERIOS!$S$16:$S$39,[1]CRITERIOS!$Y$16:$Y$39))*$J82+$Z82)))</f>
        <v/>
      </c>
      <c r="AK82" s="39" t="str">
        <f>IF($R82="MTO","",
IF($H82=0,ROUNDUP(((_xlfn.XLOOKUP($A82,'[1]DATOS PBI Artículos'!$A:$A,'[1]DATOS PBI Artículos'!$AO:$AO))/(_xlfn.XLOOKUP($AL$1,[1]CRITERIOS!$S$16:$S$39,[1]CRITERIOS!$Y$16:$Y$39))*$J82+$Z82)/$G82,0)*$G82,
((_xlfn.XLOOKUP($A82,'[1]DATOS PBI Artículos'!$A:$A,'[1]DATOS PBI Artículos'!$AO:$AO))/(_xlfn.XLOOKUP($AL$1,[1]CRITERIOS!$S$16:$S$39,[1]CRITERIOS!$Y$16:$Y$39))*$J82+$Z82)))</f>
        <v/>
      </c>
    </row>
    <row r="83" spans="1:37" ht="25.8" x14ac:dyDescent="0.5">
      <c r="A83" s="32">
        <v>407518</v>
      </c>
      <c r="B83" s="33">
        <f>_xlfn.XLOOKUP($A83,'[1]DATOS PBI Artículos'!A:A,'[1]DATOS PBI Artículos'!B:B)</f>
        <v>0</v>
      </c>
      <c r="C83" s="33" t="str">
        <f>_xlfn.XLOOKUP($A83,'[1]DATOS PBI Artículos'!A:A,'[1]DATOS PBI Artículos'!C:C)</f>
        <v>UA03</v>
      </c>
      <c r="D83" s="33">
        <f>_xlfn.XLOOKUP(A83,'[1]DATOS PBI Artículos'!A:A,'[1]DATOS PBI Artículos'!T:T)</f>
        <v>4</v>
      </c>
      <c r="E83" s="34">
        <f>IF(_xlfn.XLOOKUP($A83,'[1]DATOS PBI Artículos'!A:A,'[1]DATOS PBI Artículos'!AK:AK)="",_xlfn.XLOOKUP($A83,'[1]DATOS PBI Artículos'!A:A,'[1]DATOS PBI Artículos'!AJ:AJ),_xlfn.XLOOKUP($A83,'[1]DATOS PBI Artículos'!A:A,'[1]DATOS PBI Artículos'!AK:AK))</f>
        <v>144000</v>
      </c>
      <c r="F83" s="35">
        <f>_xlfn.XLOOKUP($A83,'[1]DATOS PBI Artículos'!A:A,'[1]DATOS PBI Artículos'!AP:AP)</f>
        <v>23</v>
      </c>
      <c r="G83" s="34">
        <f>_xlfn.XLOOKUP($A83,'[1]DATOS PBI Artículos'!A:A,'[1]DATOS PBI Artículos'!AR:AR)</f>
        <v>36000</v>
      </c>
      <c r="H83" s="34">
        <f>_xlfn.XLOOKUP($A83,'[1]DATOS PBI Artículos'!A:A,'[1]DATOS PBI Artículos'!AT:AT)</f>
        <v>0</v>
      </c>
      <c r="I83" s="34">
        <f>_xlfn.XLOOKUP($A83,'[1]DATOS PBI Artículos'!A:A,'[1]DATOS PBI Artículos'!AS:AS)</f>
        <v>36000</v>
      </c>
      <c r="J83" s="35">
        <f>IF(COUNTIF([1]CRITERIOS!$F$179:$F$199,$A83)&gt;=1,
 IF(O83&lt;&gt;"",
    (O83/_xlfn.XLOOKUP(CONCATENATE(A83,L83),[1]MÁQUINAS!A:A,[1]MÁQUINAS!D:D))/24,
    (N83/_xlfn.XLOOKUP(CONCATENATE(A83,L83),[1]MÁQUINAS!A:A,[1]MÁQUINAS!D:D))/24),
  _xlfn.XLOOKUP($A83,'[1]DATOS PBI Artículos'!A:A,'[1]DATOS PBI Artículos'!AU:AU))</f>
        <v>14.083333333333332</v>
      </c>
      <c r="K83" s="36">
        <f>_xlfn.XLOOKUP($A83,'[1]DATOS PBI Artículos'!A:A,'[1]DATOS PBI Artículos'!AV:AV)</f>
        <v>2.4664414311581235</v>
      </c>
      <c r="L83" s="33">
        <f>_xlfn.XLOOKUP(A83,[1]MÁQUINAS!B:B,[1]MÁQUINAS!C:C)</f>
        <v>136</v>
      </c>
      <c r="M83" s="34">
        <f t="array" ref="M83">_xlfn.XLOOKUP(A83,'[1]DATOS PBI Artículos'!A:A,'[1]DATOS PBI Artículos'!AX:$AX)</f>
        <v>66875.322289027346</v>
      </c>
      <c r="N83" s="37">
        <f>IF(I83="DV",
E83,
IF(COUNTIF([1]CRITERIOS!$I$179:$I$199,$A83)&gt;=1,
_xlfn.XLOOKUP($A83,[1]CRITERIOS!$I$179:$I$199,[1]CRITERIOS!$J$179:$J$199),
IF(COUNTIF([1]CRITERIOS!$L$179:$L$199,$A83)&gt;=1,
_xlfn.CEILING.MATH(IF($M83&gt;$E83,
$E83,
IF($M83&lt;$E83/ROUNDDOWN([1]CRITERIOS!$M$16/_xlfn.XLOOKUP($C83,[1]CRITERIOS!$K$25:$K$42,[1]CRITERIOS!$M$25:$M$42),
1),
E83/ROUNDDOWN([1]CRITERIOS!$M$16/_xlfn.XLOOKUP($C83,[1]CRITERIOS!$K$25:$K$42,[1]CRITERIOS!$M$25:$M$42),
1),
$M83)),
_xlfn.XLOOKUP($A83,[1]CRITERIOS!$L$179:$L$200,[1]CRITERIOS!$M$179:$M$200)),
_xlfn.CEILING.MATH(IF($M83&gt;$E83,
$E83,
IF($M83&lt;$E83/ROUNDDOWN([1]CRITERIOS!$M$16/_xlfn.XLOOKUP($C83,[1]CRITERIOS!$K$25:$K$42,[1]CRITERIOS!$M$25:$M$42),
1),
E83/ROUNDDOWN([1]CRITERIOS!$M$16/_xlfn.XLOOKUP($C83,[1]CRITERIOS!$K$25:$K$42,[1]CRITERIOS!$M$25:$M$42),
1),
$M83)),_xlfn.XLOOKUP(A83,'[1]DATOS PBI Artículos'!A:A,'[1]DATOS PBI Artículos'!Z:Z
)))))</f>
        <v>160000</v>
      </c>
      <c r="Q83" s="38">
        <f>IF(AND(O83="",N83=0),
0,
   IF(COUNTIF([1]CRITERIOS!$F$179:$F$199,$A83)&gt;=1,
   1,
   IF(R83="MTO",
      $D83,
      ROUNDUP(
                    IF(($E83-SUMIF('[1]DATOS PBI Artículos'!A:A,A83,'[1]DATOS PBI Artículos'!X:X)+($V83-_xlfn.XLOOKUP(A83,'[1]DATOS PBI Artículos'!A:A,'[1]DATOS PBI Artículos'!W:W)))&lt;0,
                    0,
                    IF(($E83-SUMIF('[1]DATOS PBI Artículos'!A:A,A83,'[1]DATOS PBI Artículos'!X:X)+$V83-_xlfn.XLOOKUP($A83,'[1]DATOS PBI Artículos'!A:A,'[1]DATOS PBI Artículos'!W:W))/IF($O83="",$N83,$O83)&gt;ROUNDUP([1]CRITERIOS!$M$16/(IF(COUNTIF([1]CRITERIOS!$BG$11:$BG$201,L83)&gt;=1,_xlfn.XLOOKUP($C83,[1]CRITERIOS!$K$25:$K$42,[1]CRITERIOS!$M$25:$M$42),_xlfn.XLOOKUP($C83,[1]CRITERIOS!$K$25:$K$42,[1]CRITERIOS!$M$25:$M$42))),0),
                    ROUNDUP([1]CRITERIOS!$M$16/(IF(COUNTIF([1]CRITERIOS!$BG$11:$BG$201,$L83)&gt;=1,_xlfn.XLOOKUP($C83,[1]CRITERIOS!$K$25:$K$42,[1]CRITERIOS!$M$25:$M$42),_xlfn.XLOOKUP($C83,[1]CRITERIOS!$K$25:$K$42,[1]CRITERIOS!$M$25:$M$42))),0),
                    (E83+V83-SUMIF('[1]DATOS PBI Artículos'!A:A,A83,'[1]DATOS PBI Artículos'!X:X)-_xlfn.XLOOKUP(A83,'[1]DATOS PBI Artículos'!A:A,'[1]DATOS PBI Artículos'!W:W))/IF($O83="",$N83,$O83))),0))))</f>
        <v>1</v>
      </c>
      <c r="R83" s="33" t="str">
        <f>IF(U83&lt;&gt;"",U83,IF(F83="DV","MTO",IF(N83=0,"MTO",_xlfn.XLOOKUP(CONCATENATE(S83,T83),[1]CRITERIOS!$K$160:$K$168,[1]CRITERIOS!$N$160:$N$168))))</f>
        <v>MTS</v>
      </c>
      <c r="S83" s="33" t="str">
        <f>IF(G83="DV","MTO",IF(N83=0,"MTO",IF(OR(AND(N83=0,O83=""),IF(O83="",G83/N83,G83/O83)&gt;[1]CRITERIOS!$G$163),"MTO",IF(IF(O83="",G83/N83,G83/O83)&lt;[1]CRITERIOS!$H$161,"MTS","MTOS"))))</f>
        <v>MTS</v>
      </c>
      <c r="T83" s="33" t="str">
        <f>IF(F83="DV","MTO",IF(OR(AND($N83=0,O83=""),$F83/$J83&gt;[1]CRITERIOS!$G$170,$F83="DV"),"MTO",IF($F83/$J83&lt;[1]CRITERIOS!$H$168,"MTS","MTOS")))</f>
        <v>MTO</v>
      </c>
      <c r="V83" s="34">
        <f t="shared" si="4"/>
        <v>25989.784550722561</v>
      </c>
      <c r="X83" s="34">
        <f t="shared" si="5"/>
        <v>185989.78455072257</v>
      </c>
      <c r="Y83" s="34">
        <f t="shared" si="6"/>
        <v>83946.306289853004</v>
      </c>
      <c r="Z83" s="34">
        <f>IF($R83="MTO",
0,
($H83+$K83*($E83/[1]CRITERIOS!$M$16))/[1]CRITERIOS!$X$48)</f>
        <v>3946.3062898529979</v>
      </c>
      <c r="AA83" s="34" t="e">
        <f>ROUNDUP(($Y83/_xlfn.XLOOKUP($A83,'[1]DATOS PBI Artículos'!$A$4:$A$4,'[1]DATOS PBI Artículos'!$Z$4:$Z$4))/_xlfn.XLOOKUP(_xlfn.XLOOKUP($A83,'[1]DATOS PBI Artículos'!$A$4:$A$4,'[1]DATOS PBI Artículos'!$Y$4:$Y$4),[1]CRITERIOS!$P$79:$P$123,[1]CRITERIOS!$S$79:$S$123,),0)</f>
        <v>#N/A</v>
      </c>
      <c r="AB83" s="33" t="e">
        <f t="array" ref="AB83">IF((E83+V83-_xlfn.XLOOKUP(A83,'[1]DATOS PBI Artículos'!$A$4:$A$4,'[1]DATOS PBI Artículos'!$W$4:$W$4))/N83&gt;ROUNDUP([1]CRITERIOS!$M$16/(IF(COUNTIF([1]CRITERIOS!$BG$11:$BG$201,L83)&gt;=1,_xlfn.XLOOKUP(ARTÍCULOS!L83,[1]CRITERIOS!$BG$11:$BG$201,[1]CRITERIOS!$BJ$11:$BJ$201),_xlfn.XLOOKUP(ARTÍCULOS!C83,[1]CRITERIOS!$K$25:$K$42,[1]CRITERIOS!$M$25:$M$42))),0),ROUNDUP([1]CRITERIOS!$M$16/(IF(COUNTIF([1]CRITERIOS!$BG$11:$BG$201,L83)&gt;=1,_xlfn.XLOOKUP(ARTÍCULOS!L83,[1]CRITERIOS!$BG$11:$BG$201:#REF!,[1]CRITERIOS!$BJ$11:$BJ$201),_xlfn.XLOOKUP(ARTÍCULOS!C83,[1]CRITERIOS!$K$25:$K$42,[1]CRITERIOS!$M$25:$M$42))),0),(E83+V83-_xlfn.XLOOKUP(A83,'[1]DATOS PBI Artículos'!$A$4:$A$4,'[1]DATOS PBI Artículos'!$W$4:$W$4))/N83)</f>
        <v>#N/A</v>
      </c>
      <c r="AC83" s="33" t="e">
        <f>IF(N83=0,"",(ROUNDUP((N83/2)/(_xlfn.XLOOKUP(A83,'[1]DATOS PBI Artículos'!$A$4:$A$4,'[1]DATOS PBI Artículos'!$Z$4:$Z$4)*_xlfn.XLOOKUP(_xlfn.XLOOKUP(A83,'[1]DATOS PBI Artículos'!$A$4:$A$4,'[1]DATOS PBI Artículos'!$Y$4:$Y$4),[1]CRITERIOS!$P$79:$P$123,[1]CRITERIOS!$S$79:$S$123)),0)*[1]CRITERIOS!$M$80*([1]CRITERIOS!$M$110/[1]CRITERIOS!$M$86)+(_xlfn.XLOOKUP(A83,'[1]DATOS PBI Artículos'!$A$4:$A$4,'[1]DATOS PBI Artículos'!$AA$4:$AA$4)*([1]CRITERIOS!$M$95+[1]CRITERIOS!$M$98)))/N83)</f>
        <v>#N/A</v>
      </c>
      <c r="AD83" s="33" t="e">
        <f>IF(N83=0,"",(ROUNDUP((N83/2)/(_xlfn.XLOOKUP(A83,'[1]DATOS PBI Artículos'!$A$4:$A$4,'[1]DATOS PBI Artículos'!$Z$4:$Z$4)*_xlfn.XLOOKUP(_xlfn.XLOOKUP(A83,'[1]DATOS PBI Artículos'!$A$4:$A$4,'[1]DATOS PBI Artículos'!$Y$4:$Y$4),[1]CRITERIOS!$P$79:$P$123,[1]CRITERIOS!$S$79:$S$123)),0)*[1]CRITERIOS!$M$80*([1]CRITERIOS!$M$89*[1]CRITERIOS!$M$92)+((_xlfn.XLOOKUP(A83,'[1]DATOS PBI Artículos'!$A$4:$A$4,'[1]DATOS PBI Artículos'!$AA$4:$AA$4)/2)*([1]CRITERIOS!$M$95+[1]CRITERIOS!$M$98)))/N83)</f>
        <v>#N/A</v>
      </c>
      <c r="AE83" s="39">
        <f>IF($R83="MTO","",
IF($H83=0,ROUNDUP(((_xlfn.XLOOKUP($A83,'[1]DATOS PBI Artículos'!$A:$A,'[1]DATOS PBI Artículos'!$AL:$AL))/(_xlfn.XLOOKUP($AF$1,[1]CRITERIOS!$S$16:$S$39,[1]CRITERIOS!$Y$16:$Y$39))*$J83+$Z83)/$G83,0)*$G83,
((_xlfn.XLOOKUP($A83,'[1]DATOS PBI Artículos'!$A:$A,'[1]DATOS PBI Artículos'!$AL:$AL))/(_xlfn.XLOOKUP($AF$1,[1]CRITERIOS!$S$16:$S$39,[1]CRITERIOS!$Y$16:$Y$39))*$J83+$Z83)))</f>
        <v>72000</v>
      </c>
      <c r="AG83" s="39">
        <f>IF($R83="MTO","",
IF($H83=0,ROUNDUP(((_xlfn.XLOOKUP($A83,'[1]DATOS PBI Artículos'!$A:$A,'[1]DATOS PBI Artículos'!$AM:$AM))/(_xlfn.XLOOKUP($AH$1,[1]CRITERIOS!$S$16:$S$39,[1]CRITERIOS!$Y$16:$Y$39))*$J83+$Z83)/$G83,0)*$G83,
((_xlfn.XLOOKUP($A83,'[1]DATOS PBI Artículos'!$A:$A,'[1]DATOS PBI Artículos'!$AM:$AM))/(_xlfn.XLOOKUP($AH$1,[1]CRITERIOS!$S$16:$S$39,[1]CRITERIOS!$Y$16:$Y$39))*$J83+$Z83)))</f>
        <v>36000</v>
      </c>
      <c r="AI83" s="39">
        <f>IF($R83="MTO","",
IF($H83=0,ROUNDUP(((_xlfn.XLOOKUP($A83,'[1]DATOS PBI Artículos'!$A:$A,'[1]DATOS PBI Artículos'!$AN:$AN))/(_xlfn.XLOOKUP($AJ$1,[1]CRITERIOS!$S$16:$S$39,[1]CRITERIOS!$Y$16:$Y$39))*$J83+$Z83)/$G83,0)*$G83,
((_xlfn.XLOOKUP($A83,'[1]DATOS PBI Artículos'!$A:$A,'[1]DATOS PBI Artículos'!$AN:$AN))/(_xlfn.XLOOKUP($AJ$1,[1]CRITERIOS!$S$16:$S$39,[1]CRITERIOS!$Y$16:$Y$39))*$J83+$Z83)))</f>
        <v>36000</v>
      </c>
      <c r="AK83" s="39">
        <f>IF($R83="MTO","",
IF($H83=0,ROUNDUP(((_xlfn.XLOOKUP($A83,'[1]DATOS PBI Artículos'!$A:$A,'[1]DATOS PBI Artículos'!$AO:$AO))/(_xlfn.XLOOKUP($AL$1,[1]CRITERIOS!$S$16:$S$39,[1]CRITERIOS!$Y$16:$Y$39))*$J83+$Z83)/$G83,0)*$G83,
((_xlfn.XLOOKUP($A83,'[1]DATOS PBI Artículos'!$A:$A,'[1]DATOS PBI Artículos'!$AO:$AO))/(_xlfn.XLOOKUP($AL$1,[1]CRITERIOS!$S$16:$S$39,[1]CRITERIOS!$Y$16:$Y$39))*$J83+$Z83)))</f>
        <v>72000</v>
      </c>
    </row>
    <row r="84" spans="1:37" ht="25.8" x14ac:dyDescent="0.5">
      <c r="A84" s="32">
        <v>413240</v>
      </c>
      <c r="B84" s="33">
        <f>_xlfn.XLOOKUP($A84,'[1]DATOS PBI Artículos'!A:A,'[1]DATOS PBI Artículos'!B:B)</f>
        <v>0</v>
      </c>
      <c r="C84" s="33" t="str">
        <f>_xlfn.XLOOKUP($A84,'[1]DATOS PBI Artículos'!A:A,'[1]DATOS PBI Artículos'!C:C)</f>
        <v>UA01</v>
      </c>
      <c r="D84" s="33">
        <f>_xlfn.XLOOKUP(A84,'[1]DATOS PBI Artículos'!A:A,'[1]DATOS PBI Artículos'!T:T)</f>
        <v>7</v>
      </c>
      <c r="E84" s="34">
        <f>IF(_xlfn.XLOOKUP($A84,'[1]DATOS PBI Artículos'!A:A,'[1]DATOS PBI Artículos'!AK:AK)="",_xlfn.XLOOKUP($A84,'[1]DATOS PBI Artículos'!A:A,'[1]DATOS PBI Artículos'!AJ:AJ),_xlfn.XLOOKUP($A84,'[1]DATOS PBI Artículos'!A:A,'[1]DATOS PBI Artículos'!AK:AK))</f>
        <v>144000</v>
      </c>
      <c r="F84" s="35">
        <f>_xlfn.XLOOKUP($A84,'[1]DATOS PBI Artículos'!A:A,'[1]DATOS PBI Artículos'!AP:AP)</f>
        <v>6.6666666666600003</v>
      </c>
      <c r="G84" s="34">
        <f>_xlfn.XLOOKUP($A84,'[1]DATOS PBI Artículos'!A:A,'[1]DATOS PBI Artículos'!AR:AR)</f>
        <v>18000</v>
      </c>
      <c r="H84" s="34">
        <f>_xlfn.XLOOKUP($A84,'[1]DATOS PBI Artículos'!A:A,'[1]DATOS PBI Artículos'!AT:AT)</f>
        <v>6803.3605141660919</v>
      </c>
      <c r="I84" s="34">
        <f>_xlfn.XLOOKUP($A84,'[1]DATOS PBI Artículos'!A:A,'[1]DATOS PBI Artículos'!AS:AS)</f>
        <v>18000</v>
      </c>
      <c r="J84" s="35">
        <f>IF(COUNTIF([1]CRITERIOS!$F$179:$F$199,$A84)&gt;=1,
 IF(O84&lt;&gt;"",
    (O84/_xlfn.XLOOKUP(CONCATENATE(A84,L84),[1]MÁQUINAS!A:A,[1]MÁQUINAS!D:D))/24,
    (N84/_xlfn.XLOOKUP(CONCATENATE(A84,L84),[1]MÁQUINAS!A:A,[1]MÁQUINAS!D:D))/24),
  _xlfn.XLOOKUP($A84,'[1]DATOS PBI Artículos'!A:A,'[1]DATOS PBI Artículos'!AU:AU))</f>
        <v>36.4</v>
      </c>
      <c r="K84" s="36">
        <f>_xlfn.XLOOKUP($A84,'[1]DATOS PBI Artículos'!A:A,'[1]DATOS PBI Artículos'!AV:AV)</f>
        <v>6.0663003552412365</v>
      </c>
      <c r="L84" s="33">
        <f>_xlfn.XLOOKUP(A84,[1]MÁQUINAS!B:B,[1]MÁQUINAS!C:C)</f>
        <v>417</v>
      </c>
      <c r="M84" s="34">
        <f t="array" ref="M84">_xlfn.XLOOKUP(A84,'[1]DATOS PBI Artículos'!A:A,'[1]DATOS PBI Artículos'!AX:$AX)</f>
        <v>61187.652518440489</v>
      </c>
      <c r="N84" s="37">
        <f>IF(I84="DV",
E84,
IF(COUNTIF([1]CRITERIOS!$I$179:$I$199,$A84)&gt;=1,
_xlfn.XLOOKUP($A84,[1]CRITERIOS!$I$179:$I$199,[1]CRITERIOS!$J$179:$J$199),
IF(COUNTIF([1]CRITERIOS!$L$179:$L$199,$A84)&gt;=1,
_xlfn.CEILING.MATH(IF($M84&gt;$E84,
$E84,
IF($M84&lt;$E84/ROUNDDOWN([1]CRITERIOS!$M$16/_xlfn.XLOOKUP($C84,[1]CRITERIOS!$K$25:$K$42,[1]CRITERIOS!$M$25:$M$42),
1),
E84/ROUNDDOWN([1]CRITERIOS!$M$16/_xlfn.XLOOKUP($C84,[1]CRITERIOS!$K$25:$K$42,[1]CRITERIOS!$M$25:$M$42),
1),
$M84)),
_xlfn.XLOOKUP($A84,[1]CRITERIOS!$L$179:$L$200,[1]CRITERIOS!$M$179:$M$200)),
_xlfn.CEILING.MATH(IF($M84&gt;$E84,
$E84,
IF($M84&lt;$E84/ROUNDDOWN([1]CRITERIOS!$M$16/_xlfn.XLOOKUP($C84,[1]CRITERIOS!$K$25:$K$42,[1]CRITERIOS!$M$25:$M$42),
1),
E84/ROUNDDOWN([1]CRITERIOS!$M$16/_xlfn.XLOOKUP($C84,[1]CRITERIOS!$K$25:$K$42,[1]CRITERIOS!$M$25:$M$42),
1),
$M84)),_xlfn.XLOOKUP(A84,'[1]DATOS PBI Artículos'!A:A,'[1]DATOS PBI Artículos'!Z:Z
)))))</f>
        <v>62000</v>
      </c>
      <c r="Q84" s="38">
        <f>IF(AND(O84="",N84=0),
0,
   IF(COUNTIF([1]CRITERIOS!$F$179:$F$199,$A84)&gt;=1,
   1,
   IF(R84="MTO",
      $D84,
      ROUNDUP(
                    IF(($E84-SUMIF('[1]DATOS PBI Artículos'!A:A,A84,'[1]DATOS PBI Artículos'!X:X)+($V84-_xlfn.XLOOKUP(A84,'[1]DATOS PBI Artículos'!A:A,'[1]DATOS PBI Artículos'!W:W)))&lt;0,
                    0,
                    IF(($E84-SUMIF('[1]DATOS PBI Artículos'!A:A,A84,'[1]DATOS PBI Artículos'!X:X)+$V84-_xlfn.XLOOKUP($A84,'[1]DATOS PBI Artículos'!A:A,'[1]DATOS PBI Artículos'!W:W))/IF($O84="",$N84,$O84)&gt;ROUNDUP([1]CRITERIOS!$M$16/(IF(COUNTIF([1]CRITERIOS!$BG$11:$BG$201,L84)&gt;=1,_xlfn.XLOOKUP($C84,[1]CRITERIOS!$K$25:$K$42,[1]CRITERIOS!$M$25:$M$42),_xlfn.XLOOKUP($C84,[1]CRITERIOS!$K$25:$K$42,[1]CRITERIOS!$M$25:$M$42))),0),
                    ROUNDUP([1]CRITERIOS!$M$16/(IF(COUNTIF([1]CRITERIOS!$BG$11:$BG$201,$L84)&gt;=1,_xlfn.XLOOKUP($C84,[1]CRITERIOS!$K$25:$K$42,[1]CRITERIOS!$M$25:$M$42),_xlfn.XLOOKUP($C84,[1]CRITERIOS!$K$25:$K$42,[1]CRITERIOS!$M$25:$M$42))),0),
                    (E84+V84-SUMIF('[1]DATOS PBI Artículos'!A:A,A84,'[1]DATOS PBI Artículos'!X:X)-_xlfn.XLOOKUP(A84,'[1]DATOS PBI Artículos'!A:A,'[1]DATOS PBI Artículos'!W:W))/IF($O84="",$N84,$O84))),0))))</f>
        <v>4</v>
      </c>
      <c r="R84" s="33" t="str">
        <f>IF(U84&lt;&gt;"",U84,IF(F84="DV","MTO",IF(N84=0,"MTO",_xlfn.XLOOKUP(CONCATENATE(S84,T84),[1]CRITERIOS!$K$160:$K$168,[1]CRITERIOS!$N$160:$N$168))))</f>
        <v>MTS</v>
      </c>
      <c r="S84" s="33" t="str">
        <f>IF(G84="DV","MTO",IF(N84=0,"MTO",IF(OR(AND(N84=0,O84=""),IF(O84="",G84/N84,G84/O84)&gt;[1]CRITERIOS!$G$163),"MTO",IF(IF(O84="",G84/N84,G84/O84)&lt;[1]CRITERIOS!$H$161,"MTS","MTOS"))))</f>
        <v>MTS</v>
      </c>
      <c r="T84" s="33" t="str">
        <f>IF(F84="DV","MTO",IF(OR(AND($N84=0,O84=""),$F84/$J84&gt;[1]CRITERIOS!$G$170,$F84="DV"),"MTO",IF($F84/$J84&lt;[1]CRITERIOS!$H$168,"MTS","MTOS")))</f>
        <v>MTS</v>
      </c>
      <c r="V84" s="34">
        <f t="shared" si="4"/>
        <v>113655.54766362265</v>
      </c>
      <c r="X84" s="34">
        <f t="shared" si="5"/>
        <v>175655.54766362265</v>
      </c>
      <c r="Y84" s="34">
        <f t="shared" si="6"/>
        <v>46375.54766352439</v>
      </c>
      <c r="Z84" s="34">
        <f>IF($R84="MTO",
0,
($H84+$K84*($E84/[1]CRITERIOS!$M$16))/[1]CRITERIOS!$X$48)</f>
        <v>15375.547663524389</v>
      </c>
      <c r="AA84" s="34" t="e">
        <f>ROUNDUP(($Y84/_xlfn.XLOOKUP($A84,'[1]DATOS PBI Artículos'!$A$4:$A$4,'[1]DATOS PBI Artículos'!$Z$4:$Z$4))/_xlfn.XLOOKUP(_xlfn.XLOOKUP($A84,'[1]DATOS PBI Artículos'!$A$4:$A$4,'[1]DATOS PBI Artículos'!$Y$4:$Y$4),[1]CRITERIOS!$P$79:$P$123,[1]CRITERIOS!$S$79:$S$123,),0)</f>
        <v>#N/A</v>
      </c>
      <c r="AB84" s="33" t="e">
        <f t="array" ref="AB84">IF((E84+V84-_xlfn.XLOOKUP(A84,'[1]DATOS PBI Artículos'!$A$4:$A$4,'[1]DATOS PBI Artículos'!$W$4:$W$4))/N84&gt;ROUNDUP([1]CRITERIOS!$M$16/(IF(COUNTIF([1]CRITERIOS!$BG$11:$BG$201,L84)&gt;=1,_xlfn.XLOOKUP(ARTÍCULOS!L84,[1]CRITERIOS!$BG$11:$BG$201,[1]CRITERIOS!$BJ$11:$BJ$201),_xlfn.XLOOKUP(ARTÍCULOS!C84,[1]CRITERIOS!$K$25:$K$42,[1]CRITERIOS!$M$25:$M$42))),0),ROUNDUP([1]CRITERIOS!$M$16/(IF(COUNTIF([1]CRITERIOS!$BG$11:$BG$201,L84)&gt;=1,_xlfn.XLOOKUP(ARTÍCULOS!L84,[1]CRITERIOS!$BG$11:$BG$201:#REF!,[1]CRITERIOS!$BJ$11:$BJ$201),_xlfn.XLOOKUP(ARTÍCULOS!C84,[1]CRITERIOS!$K$25:$K$42,[1]CRITERIOS!$M$25:$M$42))),0),(E84+V84-_xlfn.XLOOKUP(A84,'[1]DATOS PBI Artículos'!$A$4:$A$4,'[1]DATOS PBI Artículos'!$W$4:$W$4))/N84)</f>
        <v>#N/A</v>
      </c>
      <c r="AC84" s="33" t="e">
        <f>IF(N84=0,"",(ROUNDUP((N84/2)/(_xlfn.XLOOKUP(A84,'[1]DATOS PBI Artículos'!$A$4:$A$4,'[1]DATOS PBI Artículos'!$Z$4:$Z$4)*_xlfn.XLOOKUP(_xlfn.XLOOKUP(A84,'[1]DATOS PBI Artículos'!$A$4:$A$4,'[1]DATOS PBI Artículos'!$Y$4:$Y$4),[1]CRITERIOS!$P$79:$P$123,[1]CRITERIOS!$S$79:$S$123)),0)*[1]CRITERIOS!$M$80*([1]CRITERIOS!$M$110/[1]CRITERIOS!$M$86)+(_xlfn.XLOOKUP(A84,'[1]DATOS PBI Artículos'!$A$4:$A$4,'[1]DATOS PBI Artículos'!$AA$4:$AA$4)*([1]CRITERIOS!$M$95+[1]CRITERIOS!$M$98)))/N84)</f>
        <v>#N/A</v>
      </c>
      <c r="AD84" s="33" t="e">
        <f>IF(N84=0,"",(ROUNDUP((N84/2)/(_xlfn.XLOOKUP(A84,'[1]DATOS PBI Artículos'!$A$4:$A$4,'[1]DATOS PBI Artículos'!$Z$4:$Z$4)*_xlfn.XLOOKUP(_xlfn.XLOOKUP(A84,'[1]DATOS PBI Artículos'!$A$4:$A$4,'[1]DATOS PBI Artículos'!$Y$4:$Y$4),[1]CRITERIOS!$P$79:$P$123,[1]CRITERIOS!$S$79:$S$123)),0)*[1]CRITERIOS!$M$80*([1]CRITERIOS!$M$89*[1]CRITERIOS!$M$92)+((_xlfn.XLOOKUP(A84,'[1]DATOS PBI Artículos'!$A$4:$A$4,'[1]DATOS PBI Artículos'!$AA$4:$AA$4)/2)*([1]CRITERIOS!$M$95+[1]CRITERIOS!$M$98)))/N84)</f>
        <v>#N/A</v>
      </c>
      <c r="AE84" s="39">
        <f>IF($R84="MTO","",
IF($H84=0,ROUNDUP(((_xlfn.XLOOKUP($A84,'[1]DATOS PBI Artículos'!$A:$A,'[1]DATOS PBI Artículos'!$AL:$AL))/(_xlfn.XLOOKUP($AF$1,[1]CRITERIOS!$S$16:$S$39,[1]CRITERIOS!$Y$16:$Y$39))*$J84+$Z84)/$G84,0)*$G84,
((_xlfn.XLOOKUP($A84,'[1]DATOS PBI Artículos'!$A:$A,'[1]DATOS PBI Artículos'!$AL:$AL))/(_xlfn.XLOOKUP($AF$1,[1]CRITERIOS!$S$16:$S$39,[1]CRITERIOS!$Y$16:$Y$39))*$J84+$Z84)))</f>
        <v>96205.771537924375</v>
      </c>
      <c r="AG84" s="39">
        <f>IF($R84="MTO","",
IF($H84=0,ROUNDUP(((_xlfn.XLOOKUP($A84,'[1]DATOS PBI Artículos'!$A:$A,'[1]DATOS PBI Artículos'!$AM:$AM))/(_xlfn.XLOOKUP($AH$1,[1]CRITERIOS!$S$16:$S$39,[1]CRITERIOS!$Y$16:$Y$39))*$J84+$Z84)/$G84,0)*$G84,
((_xlfn.XLOOKUP($A84,'[1]DATOS PBI Artículos'!$A:$A,'[1]DATOS PBI Artículos'!$AM:$AM))/(_xlfn.XLOOKUP($AH$1,[1]CRITERIOS!$S$16:$S$39,[1]CRITERIOS!$Y$16:$Y$39))*$J84+$Z84)))</f>
        <v>73437.472552080901</v>
      </c>
      <c r="AI84" s="39">
        <f>IF($R84="MTO","",
IF($H84=0,ROUNDUP(((_xlfn.XLOOKUP($A84,'[1]DATOS PBI Artículos'!$A:$A,'[1]DATOS PBI Artículos'!$AN:$AN))/(_xlfn.XLOOKUP($AJ$1,[1]CRITERIOS!$S$16:$S$39,[1]CRITERIOS!$Y$16:$Y$39))*$J84+$Z84)/$G84,0)*$G84,
((_xlfn.XLOOKUP($A84,'[1]DATOS PBI Artículos'!$A:$A,'[1]DATOS PBI Artículos'!$AN:$AN))/(_xlfn.XLOOKUP($AJ$1,[1]CRITERIOS!$S$16:$S$39,[1]CRITERIOS!$Y$16:$Y$39))*$J84+$Z84)))</f>
        <v>84919.170896244366</v>
      </c>
      <c r="AK84" s="39">
        <f>IF($R84="MTO","",
IF($H84=0,ROUNDUP(((_xlfn.XLOOKUP($A84,'[1]DATOS PBI Artículos'!$A:$A,'[1]DATOS PBI Artículos'!$AO:$AO))/(_xlfn.XLOOKUP($AL$1,[1]CRITERIOS!$S$16:$S$39,[1]CRITERIOS!$Y$16:$Y$39))*$J84+$Z84)/$G84,0)*$G84,
((_xlfn.XLOOKUP($A84,'[1]DATOS PBI Artículos'!$A:$A,'[1]DATOS PBI Artículos'!$AO:$AO))/(_xlfn.XLOOKUP($AL$1,[1]CRITERIOS!$S$16:$S$39,[1]CRITERIOS!$Y$16:$Y$39))*$J84+$Z84)))</f>
        <v>91115.492889924368</v>
      </c>
    </row>
    <row r="85" spans="1:37" ht="25.8" x14ac:dyDescent="0.5">
      <c r="A85" s="32">
        <v>452196</v>
      </c>
      <c r="B85" s="33">
        <f>_xlfn.XLOOKUP($A85,'[1]DATOS PBI Artículos'!A:A,'[1]DATOS PBI Artículos'!B:B)</f>
        <v>0</v>
      </c>
      <c r="C85" s="33" t="str">
        <f>_xlfn.XLOOKUP($A85,'[1]DATOS PBI Artículos'!A:A,'[1]DATOS PBI Artículos'!C:C)</f>
        <v>UA02</v>
      </c>
      <c r="D85" s="33">
        <f>_xlfn.XLOOKUP(A85,'[1]DATOS PBI Artículos'!A:A,'[1]DATOS PBI Artículos'!T:T)</f>
        <v>4</v>
      </c>
      <c r="E85" s="34">
        <f>IF(_xlfn.XLOOKUP($A85,'[1]DATOS PBI Artículos'!A:A,'[1]DATOS PBI Artículos'!AK:AK)="",_xlfn.XLOOKUP($A85,'[1]DATOS PBI Artículos'!A:A,'[1]DATOS PBI Artículos'!AJ:AJ),_xlfn.XLOOKUP($A85,'[1]DATOS PBI Artículos'!A:A,'[1]DATOS PBI Artículos'!AK:AK))</f>
        <v>140000</v>
      </c>
      <c r="F85" s="35">
        <f>_xlfn.XLOOKUP($A85,'[1]DATOS PBI Artículos'!A:A,'[1]DATOS PBI Artículos'!AP:AP)</f>
        <v>4.2</v>
      </c>
      <c r="G85" s="34">
        <f>_xlfn.XLOOKUP($A85,'[1]DATOS PBI Artículos'!A:A,'[1]DATOS PBI Artículos'!AR:AR)</f>
        <v>8800</v>
      </c>
      <c r="H85" s="34">
        <f>_xlfn.XLOOKUP($A85,'[1]DATOS PBI Artículos'!A:A,'[1]DATOS PBI Artículos'!AT:AT)</f>
        <v>2233.896621969569</v>
      </c>
      <c r="I85" s="34">
        <f>_xlfn.XLOOKUP($A85,'[1]DATOS PBI Artículos'!A:A,'[1]DATOS PBI Artículos'!AS:AS)</f>
        <v>200</v>
      </c>
      <c r="J85" s="35">
        <f>IF(COUNTIF([1]CRITERIOS!$F$179:$F$199,$A85)&gt;=1,
 IF(O85&lt;&gt;"",
    (O85/_xlfn.XLOOKUP(CONCATENATE(A85,L85),[1]MÁQUINAS!A:A,[1]MÁQUINAS!D:D))/24,
    (N85/_xlfn.XLOOKUP(CONCATENATE(A85,L85),[1]MÁQUINAS!A:A,[1]MÁQUINAS!D:D))/24),
  _xlfn.XLOOKUP($A85,'[1]DATOS PBI Artículos'!A:A,'[1]DATOS PBI Artículos'!AU:AU))</f>
        <v>38.07692307692308</v>
      </c>
      <c r="K85" s="36">
        <f>_xlfn.XLOOKUP($A85,'[1]DATOS PBI Artículos'!A:A,'[1]DATOS PBI Artículos'!AV:AV)</f>
        <v>10.20180979419451</v>
      </c>
      <c r="L85" s="33">
        <f>_xlfn.XLOOKUP(A85,[1]MÁQUINAS!B:B,[1]MÁQUINAS!C:C)</f>
        <v>215</v>
      </c>
      <c r="M85" s="34">
        <f t="array" ref="M85">_xlfn.XLOOKUP(A85,'[1]DATOS PBI Artículos'!A:A,'[1]DATOS PBI Artículos'!AX:$AX)</f>
        <v>35093.900459855104</v>
      </c>
      <c r="N85" s="37">
        <f>IF(I85="DV",
E85,
IF(COUNTIF([1]CRITERIOS!$I$179:$I$199,$A85)&gt;=1,
_xlfn.XLOOKUP($A85,[1]CRITERIOS!$I$179:$I$199,[1]CRITERIOS!$J$179:$J$199),
IF(COUNTIF([1]CRITERIOS!$L$179:$L$199,$A85)&gt;=1,
_xlfn.CEILING.MATH(IF($M85&gt;$E85,
$E85,
IF($M85&lt;$E85/ROUNDDOWN([1]CRITERIOS!$M$16/_xlfn.XLOOKUP($C85,[1]CRITERIOS!$K$25:$K$42,[1]CRITERIOS!$M$25:$M$42),
1),
E85/ROUNDDOWN([1]CRITERIOS!$M$16/_xlfn.XLOOKUP($C85,[1]CRITERIOS!$K$25:$K$42,[1]CRITERIOS!$M$25:$M$42),
1),
$M85)),
_xlfn.XLOOKUP($A85,[1]CRITERIOS!$L$179:$L$200,[1]CRITERIOS!$M$179:$M$200)),
_xlfn.CEILING.MATH(IF($M85&gt;$E85,
$E85,
IF($M85&lt;$E85/ROUNDDOWN([1]CRITERIOS!$M$16/_xlfn.XLOOKUP($C85,[1]CRITERIOS!$K$25:$K$42,[1]CRITERIOS!$M$25:$M$42),
1),
E85/ROUNDDOWN([1]CRITERIOS!$M$16/_xlfn.XLOOKUP($C85,[1]CRITERIOS!$K$25:$K$42,[1]CRITERIOS!$M$25:$M$42),
1),
$M85)),_xlfn.XLOOKUP(A85,'[1]DATOS PBI Artículos'!A:A,'[1]DATOS PBI Artículos'!Z:Z
)))))</f>
        <v>40000</v>
      </c>
      <c r="Q85" s="38">
        <f>IF(AND(O85="",N85=0),
0,
   IF(COUNTIF([1]CRITERIOS!$F$179:$F$199,$A85)&gt;=1,
   1,
   IF(R85="MTO",
      $D85,
      ROUNDUP(
                    IF(($E85-SUMIF('[1]DATOS PBI Artículos'!A:A,A85,'[1]DATOS PBI Artículos'!X:X)+($V85-_xlfn.XLOOKUP(A85,'[1]DATOS PBI Artículos'!A:A,'[1]DATOS PBI Artículos'!W:W)))&lt;0,
                    0,
                    IF(($E85-SUMIF('[1]DATOS PBI Artículos'!A:A,A85,'[1]DATOS PBI Artículos'!X:X)+$V85-_xlfn.XLOOKUP($A85,'[1]DATOS PBI Artículos'!A:A,'[1]DATOS PBI Artículos'!W:W))/IF($O85="",$N85,$O85)&gt;ROUNDUP([1]CRITERIOS!$M$16/(IF(COUNTIF([1]CRITERIOS!$BG$11:$BG$201,L85)&gt;=1,_xlfn.XLOOKUP($C85,[1]CRITERIOS!$K$25:$K$42,[1]CRITERIOS!$M$25:$M$42),_xlfn.XLOOKUP($C85,[1]CRITERIOS!$K$25:$K$42,[1]CRITERIOS!$M$25:$M$42))),0),
                    ROUNDUP([1]CRITERIOS!$M$16/(IF(COUNTIF([1]CRITERIOS!$BG$11:$BG$201,$L85)&gt;=1,_xlfn.XLOOKUP($C85,[1]CRITERIOS!$K$25:$K$42,[1]CRITERIOS!$M$25:$M$42),_xlfn.XLOOKUP($C85,[1]CRITERIOS!$K$25:$K$42,[1]CRITERIOS!$M$25:$M$42))),0),
                    (E85+V85-SUMIF('[1]DATOS PBI Artículos'!A:A,A85,'[1]DATOS PBI Artículos'!X:X)-_xlfn.XLOOKUP(A85,'[1]DATOS PBI Artículos'!A:A,'[1]DATOS PBI Artículos'!W:W))/IF($O85="",$N85,$O85))),0))))</f>
        <v>4</v>
      </c>
      <c r="R85" s="33" t="str">
        <f>IF(U85&lt;&gt;"",U85,IF(F85="DV","MTO",IF(N85=0,"MTO",_xlfn.XLOOKUP(CONCATENATE(S85,T85),[1]CRITERIOS!$K$160:$K$168,[1]CRITERIOS!$N$160:$N$168))))</f>
        <v>MTS</v>
      </c>
      <c r="S85" s="33" t="str">
        <f>IF(G85="DV","MTO",IF(N85=0,"MTO",IF(OR(AND(N85=0,O85=""),IF(O85="",G85/N85,G85/O85)&gt;[1]CRITERIOS!$G$163),"MTO",IF(IF(O85="",G85/N85,G85/O85)&lt;[1]CRITERIOS!$H$161,"MTS","MTOS"))))</f>
        <v>MTS</v>
      </c>
      <c r="T85" s="33" t="str">
        <f>IF(F85="DV","MTO",IF(OR(AND($N85=0,O85=""),$F85/$J85&gt;[1]CRITERIOS!$G$170,$F85="DV"),"MTO",IF($F85/$J85&lt;[1]CRITERIOS!$H$168,"MTS","MTOS")))</f>
        <v>MTS</v>
      </c>
      <c r="V85" s="34">
        <f t="shared" si="4"/>
        <v>97511.282200608097</v>
      </c>
      <c r="X85" s="34">
        <f t="shared" si="5"/>
        <v>137511.28220060811</v>
      </c>
      <c r="Y85" s="34">
        <f t="shared" si="6"/>
        <v>37731.06242038832</v>
      </c>
      <c r="Z85" s="34">
        <f>IF($R85="MTO",
0,
($H85+$K85*($E85/[1]CRITERIOS!$M$16))/[1]CRITERIOS!$X$48)</f>
        <v>17731.062420388324</v>
      </c>
      <c r="AA85" s="34" t="e">
        <f>ROUNDUP(($Y85/_xlfn.XLOOKUP($A85,'[1]DATOS PBI Artículos'!$A$4:$A$4,'[1]DATOS PBI Artículos'!$Z$4:$Z$4))/_xlfn.XLOOKUP(_xlfn.XLOOKUP($A85,'[1]DATOS PBI Artículos'!$A$4:$A$4,'[1]DATOS PBI Artículos'!$Y$4:$Y$4),[1]CRITERIOS!$P$79:$P$123,[1]CRITERIOS!$S$79:$S$123,),0)</f>
        <v>#N/A</v>
      </c>
      <c r="AB85" s="33" t="e">
        <f t="array" ref="AB85">IF((E85+V85-_xlfn.XLOOKUP(A85,'[1]DATOS PBI Artículos'!$A$4:$A$4,'[1]DATOS PBI Artículos'!$W$4:$W$4))/N85&gt;ROUNDUP([1]CRITERIOS!$M$16/(IF(COUNTIF([1]CRITERIOS!$BG$11:$BG$201,L85)&gt;=1,_xlfn.XLOOKUP(ARTÍCULOS!L85,[1]CRITERIOS!$BG$11:$BG$201,[1]CRITERIOS!$BJ$11:$BJ$201),_xlfn.XLOOKUP(ARTÍCULOS!C85,[1]CRITERIOS!$K$25:$K$42,[1]CRITERIOS!$M$25:$M$42))),0),ROUNDUP([1]CRITERIOS!$M$16/(IF(COUNTIF([1]CRITERIOS!$BG$11:$BG$201,L85)&gt;=1,_xlfn.XLOOKUP(ARTÍCULOS!L85,[1]CRITERIOS!$BG$11:$BG$201:#REF!,[1]CRITERIOS!$BJ$11:$BJ$201),_xlfn.XLOOKUP(ARTÍCULOS!C85,[1]CRITERIOS!$K$25:$K$42,[1]CRITERIOS!$M$25:$M$42))),0),(E85+V85-_xlfn.XLOOKUP(A85,'[1]DATOS PBI Artículos'!$A$4:$A$4,'[1]DATOS PBI Artículos'!$W$4:$W$4))/N85)</f>
        <v>#N/A</v>
      </c>
      <c r="AC85" s="33" t="e">
        <f>IF(N85=0,"",(ROUNDUP((N85/2)/(_xlfn.XLOOKUP(A85,'[1]DATOS PBI Artículos'!$A$4:$A$4,'[1]DATOS PBI Artículos'!$Z$4:$Z$4)*_xlfn.XLOOKUP(_xlfn.XLOOKUP(A85,'[1]DATOS PBI Artículos'!$A$4:$A$4,'[1]DATOS PBI Artículos'!$Y$4:$Y$4),[1]CRITERIOS!$P$79:$P$123,[1]CRITERIOS!$S$79:$S$123)),0)*[1]CRITERIOS!$M$80*([1]CRITERIOS!$M$110/[1]CRITERIOS!$M$86)+(_xlfn.XLOOKUP(A85,'[1]DATOS PBI Artículos'!$A$4:$A$4,'[1]DATOS PBI Artículos'!$AA$4:$AA$4)*([1]CRITERIOS!$M$95+[1]CRITERIOS!$M$98)))/N85)</f>
        <v>#N/A</v>
      </c>
      <c r="AD85" s="33" t="e">
        <f>IF(N85=0,"",(ROUNDUP((N85/2)/(_xlfn.XLOOKUP(A85,'[1]DATOS PBI Artículos'!$A$4:$A$4,'[1]DATOS PBI Artículos'!$Z$4:$Z$4)*_xlfn.XLOOKUP(_xlfn.XLOOKUP(A85,'[1]DATOS PBI Artículos'!$A$4:$A$4,'[1]DATOS PBI Artículos'!$Y$4:$Y$4),[1]CRITERIOS!$P$79:$P$123,[1]CRITERIOS!$S$79:$S$123)),0)*[1]CRITERIOS!$M$80*([1]CRITERIOS!$M$89*[1]CRITERIOS!$M$92)+((_xlfn.XLOOKUP(A85,'[1]DATOS PBI Artículos'!$A$4:$A$4,'[1]DATOS PBI Artículos'!$AA$4:$AA$4)/2)*([1]CRITERIOS!$M$95+[1]CRITERIOS!$M$98)))/N85)</f>
        <v>#N/A</v>
      </c>
      <c r="AE85" s="39">
        <f>IF($R85="MTO","",
IF($H85=0,ROUNDUP(((_xlfn.XLOOKUP($A85,'[1]DATOS PBI Artículos'!$A:$A,'[1]DATOS PBI Artículos'!$AL:$AL))/(_xlfn.XLOOKUP($AF$1,[1]CRITERIOS!$S$16:$S$39,[1]CRITERIOS!$Y$16:$Y$39))*$J85+$Z85)/$G85,0)*$G85,
((_xlfn.XLOOKUP($A85,'[1]DATOS PBI Artículos'!$A:$A,'[1]DATOS PBI Artículos'!$AL:$AL))/(_xlfn.XLOOKUP($AF$1,[1]CRITERIOS!$S$16:$S$39,[1]CRITERIOS!$Y$16:$Y$39))*$J85+$Z85)))</f>
        <v>99936.356671349859</v>
      </c>
      <c r="AG85" s="39">
        <f>IF($R85="MTO","",
IF($H85=0,ROUNDUP(((_xlfn.XLOOKUP($A85,'[1]DATOS PBI Artículos'!$A:$A,'[1]DATOS PBI Artículos'!$AM:$AM))/(_xlfn.XLOOKUP($AH$1,[1]CRITERIOS!$S$16:$S$39,[1]CRITERIOS!$Y$16:$Y$39))*$J85+$Z85)/$G85,0)*$G85,
((_xlfn.XLOOKUP($A85,'[1]DATOS PBI Artículos'!$A:$A,'[1]DATOS PBI Artículos'!$AM:$AM))/(_xlfn.XLOOKUP($AH$1,[1]CRITERIOS!$S$16:$S$39,[1]CRITERIOS!$Y$16:$Y$39))*$J85+$Z85)))</f>
        <v>76780.727155421759</v>
      </c>
      <c r="AI85" s="39">
        <f>IF($R85="MTO","",
IF($H85=0,ROUNDUP(((_xlfn.XLOOKUP($A85,'[1]DATOS PBI Artículos'!$A:$A,'[1]DATOS PBI Artículos'!$AN:$AN))/(_xlfn.XLOOKUP($AJ$1,[1]CRITERIOS!$S$16:$S$39,[1]CRITERIOS!$Y$16:$Y$39))*$J85+$Z85)/$G85,0)*$G85,
((_xlfn.XLOOKUP($A85,'[1]DATOS PBI Artículos'!$A:$A,'[1]DATOS PBI Artículos'!$AN:$AN))/(_xlfn.XLOOKUP($AJ$1,[1]CRITERIOS!$S$16:$S$39,[1]CRITERIOS!$Y$16:$Y$39))*$J85+$Z85)))</f>
        <v>88457.750249522942</v>
      </c>
      <c r="AK85" s="39">
        <f>IF($R85="MTO","",
IF($H85=0,ROUNDUP(((_xlfn.XLOOKUP($A85,'[1]DATOS PBI Artículos'!$A:$A,'[1]DATOS PBI Artículos'!$AO:$AO))/(_xlfn.XLOOKUP($AL$1,[1]CRITERIOS!$S$16:$S$39,[1]CRITERIOS!$Y$16:$Y$39))*$J85+$Z85)/$G85,0)*$G85,
((_xlfn.XLOOKUP($A85,'[1]DATOS PBI Artículos'!$A:$A,'[1]DATOS PBI Artículos'!$AO:$AO))/(_xlfn.XLOOKUP($AL$1,[1]CRITERIOS!$S$16:$S$39,[1]CRITERIOS!$Y$16:$Y$39))*$J85+$Z85)))</f>
        <v>94759.483046349866</v>
      </c>
    </row>
    <row r="86" spans="1:37" ht="25.8" x14ac:dyDescent="0.5">
      <c r="A86" s="32">
        <v>452366</v>
      </c>
      <c r="B86" s="33">
        <f>_xlfn.XLOOKUP($A86,'[1]DATOS PBI Artículos'!A:A,'[1]DATOS PBI Artículos'!B:B)</f>
        <v>0</v>
      </c>
      <c r="C86" s="33" t="str">
        <f>_xlfn.XLOOKUP($A86,'[1]DATOS PBI Artículos'!A:A,'[1]DATOS PBI Artículos'!C:C)</f>
        <v>UA02</v>
      </c>
      <c r="D86" s="33">
        <f>_xlfn.XLOOKUP(A86,'[1]DATOS PBI Artículos'!A:A,'[1]DATOS PBI Artículos'!T:T)</f>
        <v>3</v>
      </c>
      <c r="E86" s="34">
        <f>IF(_xlfn.XLOOKUP($A86,'[1]DATOS PBI Artículos'!A:A,'[1]DATOS PBI Artículos'!AK:AK)="",_xlfn.XLOOKUP($A86,'[1]DATOS PBI Artículos'!A:A,'[1]DATOS PBI Artículos'!AJ:AJ),_xlfn.XLOOKUP($A86,'[1]DATOS PBI Artículos'!A:A,'[1]DATOS PBI Artículos'!AK:AK))</f>
        <v>140000</v>
      </c>
      <c r="F86" s="35">
        <f>_xlfn.XLOOKUP($A86,'[1]DATOS PBI Artículos'!A:A,'[1]DATOS PBI Artículos'!AP:AP)</f>
        <v>3.3157894736800002</v>
      </c>
      <c r="G86" s="34">
        <f>_xlfn.XLOOKUP($A86,'[1]DATOS PBI Artículos'!A:A,'[1]DATOS PBI Artículos'!AR:AR)</f>
        <v>10000</v>
      </c>
      <c r="H86" s="34">
        <f>_xlfn.XLOOKUP($A86,'[1]DATOS PBI Artículos'!A:A,'[1]DATOS PBI Artículos'!AT:AT)</f>
        <v>2236.0679774997898</v>
      </c>
      <c r="I86" s="34">
        <f>_xlfn.XLOOKUP($A86,'[1]DATOS PBI Artículos'!A:A,'[1]DATOS PBI Artículos'!AS:AS)</f>
        <v>10000</v>
      </c>
      <c r="J86" s="35">
        <f>IF(COUNTIF([1]CRITERIOS!$F$179:$F$199,$A86)&gt;=1,
 IF(O86&lt;&gt;"",
    (O86/_xlfn.XLOOKUP(CONCATENATE(A86,L86),[1]MÁQUINAS!A:A,[1]MÁQUINAS!D:D))/24,
    (N86/_xlfn.XLOOKUP(CONCATENATE(A86,L86),[1]MÁQUINAS!A:A,[1]MÁQUINAS!D:D))/24),
  _xlfn.XLOOKUP($A86,'[1]DATOS PBI Artículos'!A:A,'[1]DATOS PBI Artículos'!AU:AU))</f>
        <v>17.625</v>
      </c>
      <c r="K86" s="36">
        <f>_xlfn.XLOOKUP($A86,'[1]DATOS PBI Artículos'!A:A,'[1]DATOS PBI Artículos'!AV:AV)</f>
        <v>3.4423828956117011</v>
      </c>
      <c r="L86" s="33">
        <f>_xlfn.XLOOKUP(A86,[1]MÁQUINAS!B:B,[1]MÁQUINAS!C:C)</f>
        <v>210</v>
      </c>
      <c r="M86" s="34">
        <f t="array" ref="M86">_xlfn.XLOOKUP(A86,'[1]DATOS PBI Artículos'!A:A,'[1]DATOS PBI Artículos'!AX:$AX)</f>
        <v>58124.24248798882</v>
      </c>
      <c r="N86" s="37">
        <f>IF(I86="DV",
E86,
IF(COUNTIF([1]CRITERIOS!$I$179:$I$199,$A86)&gt;=1,
_xlfn.XLOOKUP($A86,[1]CRITERIOS!$I$179:$I$199,[1]CRITERIOS!$J$179:$J$199),
IF(COUNTIF([1]CRITERIOS!$L$179:$L$199,$A86)&gt;=1,
_xlfn.CEILING.MATH(IF($M86&gt;$E86,
$E86,
IF($M86&lt;$E86/ROUNDDOWN([1]CRITERIOS!$M$16/_xlfn.XLOOKUP($C86,[1]CRITERIOS!$K$25:$K$42,[1]CRITERIOS!$M$25:$M$42),
1),
E86/ROUNDDOWN([1]CRITERIOS!$M$16/_xlfn.XLOOKUP($C86,[1]CRITERIOS!$K$25:$K$42,[1]CRITERIOS!$M$25:$M$42),
1),
$M86)),
_xlfn.XLOOKUP($A86,[1]CRITERIOS!$L$179:$L$200,[1]CRITERIOS!$M$179:$M$200)),
_xlfn.CEILING.MATH(IF($M86&gt;$E86,
$E86,
IF($M86&lt;$E86/ROUNDDOWN([1]CRITERIOS!$M$16/_xlfn.XLOOKUP($C86,[1]CRITERIOS!$K$25:$K$42,[1]CRITERIOS!$M$25:$M$42),
1),
E86/ROUNDDOWN([1]CRITERIOS!$M$16/_xlfn.XLOOKUP($C86,[1]CRITERIOS!$K$25:$K$42,[1]CRITERIOS!$M$25:$M$42),
1),
$M86)),_xlfn.XLOOKUP(A86,'[1]DATOS PBI Artículos'!A:A,'[1]DATOS PBI Artículos'!Z:Z
)))))</f>
        <v>60000</v>
      </c>
      <c r="Q86" s="38">
        <f>IF(AND(O86="",N86=0),
0,
   IF(COUNTIF([1]CRITERIOS!$F$179:$F$199,$A86)&gt;=1,
   1,
   IF(R86="MTO",
      $D86,
      ROUNDUP(
                    IF(($E86-SUMIF('[1]DATOS PBI Artículos'!A:A,A86,'[1]DATOS PBI Artículos'!X:X)+($V86-_xlfn.XLOOKUP(A86,'[1]DATOS PBI Artículos'!A:A,'[1]DATOS PBI Artículos'!W:W)))&lt;0,
                    0,
                    IF(($E86-SUMIF('[1]DATOS PBI Artículos'!A:A,A86,'[1]DATOS PBI Artículos'!X:X)+$V86-_xlfn.XLOOKUP($A86,'[1]DATOS PBI Artículos'!A:A,'[1]DATOS PBI Artículos'!W:W))/IF($O86="",$N86,$O86)&gt;ROUNDUP([1]CRITERIOS!$M$16/(IF(COUNTIF([1]CRITERIOS!$BG$11:$BG$201,L86)&gt;=1,_xlfn.XLOOKUP($C86,[1]CRITERIOS!$K$25:$K$42,[1]CRITERIOS!$M$25:$M$42),_xlfn.XLOOKUP($C86,[1]CRITERIOS!$K$25:$K$42,[1]CRITERIOS!$M$25:$M$42))),0),
                    ROUNDUP([1]CRITERIOS!$M$16/(IF(COUNTIF([1]CRITERIOS!$BG$11:$BG$201,$L86)&gt;=1,_xlfn.XLOOKUP($C86,[1]CRITERIOS!$K$25:$K$42,[1]CRITERIOS!$M$25:$M$42),_xlfn.XLOOKUP($C86,[1]CRITERIOS!$K$25:$K$42,[1]CRITERIOS!$M$25:$M$42))),0),
                    (E86+V86-SUMIF('[1]DATOS PBI Artículos'!A:A,A86,'[1]DATOS PBI Artículos'!X:X)-_xlfn.XLOOKUP(A86,'[1]DATOS PBI Artículos'!A:A,'[1]DATOS PBI Artículos'!W:W))/IF($O86="",$N86,$O86))),0))))</f>
        <v>2</v>
      </c>
      <c r="R86" s="33" t="str">
        <f>IF(U86&lt;&gt;"",U86,IF(F86="DV","MTO",IF(N86=0,"MTO",_xlfn.XLOOKUP(CONCATENATE(S86,T86),[1]CRITERIOS!$K$160:$K$168,[1]CRITERIOS!$N$160:$N$168))))</f>
        <v>MTS</v>
      </c>
      <c r="S86" s="33" t="str">
        <f>IF(G86="DV","MTO",IF(N86=0,"MTO",IF(OR(AND(N86=0,O86=""),IF(O86="",G86/N86,G86/O86)&gt;[1]CRITERIOS!$G$163),"MTO",IF(IF(O86="",G86/N86,G86/O86)&lt;[1]CRITERIOS!$H$161,"MTS","MTOS"))))</f>
        <v>MTS</v>
      </c>
      <c r="T86" s="33" t="str">
        <f>IF(F86="DV","MTO",IF(OR(AND($N86=0,O86=""),$F86/$J86&gt;[1]CRITERIOS!$G$170,$F86="DV"),"MTO",IF($F86/$J86&lt;[1]CRITERIOS!$H$168,"MTS","MTOS")))</f>
        <v>MTS</v>
      </c>
      <c r="V86" s="34">
        <f t="shared" si="4"/>
        <v>60372.969723697424</v>
      </c>
      <c r="X86" s="34">
        <f t="shared" si="5"/>
        <v>120372.96972369743</v>
      </c>
      <c r="Y86" s="34">
        <f t="shared" si="6"/>
        <v>37218.207818868024</v>
      </c>
      <c r="Z86" s="34">
        <f>IF($R86="MTO",
0,
($H86+$K86*($E86/[1]CRITERIOS!$M$16))/[1]CRITERIOS!$X$48)</f>
        <v>7218.2078188680271</v>
      </c>
      <c r="AA86" s="34" t="e">
        <f>ROUNDUP(($Y86/_xlfn.XLOOKUP($A86,'[1]DATOS PBI Artículos'!$A$4:$A$4,'[1]DATOS PBI Artículos'!$Z$4:$Z$4))/_xlfn.XLOOKUP(_xlfn.XLOOKUP($A86,'[1]DATOS PBI Artículos'!$A$4:$A$4,'[1]DATOS PBI Artículos'!$Y$4:$Y$4),[1]CRITERIOS!$P$79:$P$123,[1]CRITERIOS!$S$79:$S$123,),0)</f>
        <v>#N/A</v>
      </c>
      <c r="AB86" s="33" t="e">
        <f t="array" ref="AB86">IF((E86+V86-_xlfn.XLOOKUP(A86,'[1]DATOS PBI Artículos'!$A$4:$A$4,'[1]DATOS PBI Artículos'!$W$4:$W$4))/N86&gt;ROUNDUP([1]CRITERIOS!$M$16/(IF(COUNTIF([1]CRITERIOS!$BG$11:$BG$201,L86)&gt;=1,_xlfn.XLOOKUP(ARTÍCULOS!L86,[1]CRITERIOS!$BG$11:$BG$201,[1]CRITERIOS!$BJ$11:$BJ$201),_xlfn.XLOOKUP(ARTÍCULOS!C86,[1]CRITERIOS!$K$25:$K$42,[1]CRITERIOS!$M$25:$M$42))),0),ROUNDUP([1]CRITERIOS!$M$16/(IF(COUNTIF([1]CRITERIOS!$BG$11:$BG$201,L86)&gt;=1,_xlfn.XLOOKUP(ARTÍCULOS!L86,[1]CRITERIOS!$BG$11:$BG$201:#REF!,[1]CRITERIOS!$BJ$11:$BJ$201),_xlfn.XLOOKUP(ARTÍCULOS!C86,[1]CRITERIOS!$K$25:$K$42,[1]CRITERIOS!$M$25:$M$42))),0),(E86+V86-_xlfn.XLOOKUP(A86,'[1]DATOS PBI Artículos'!$A$4:$A$4,'[1]DATOS PBI Artículos'!$W$4:$W$4))/N86)</f>
        <v>#N/A</v>
      </c>
      <c r="AC86" s="33" t="e">
        <f>IF(N86=0,"",(ROUNDUP((N86/2)/(_xlfn.XLOOKUP(A86,'[1]DATOS PBI Artículos'!$A$4:$A$4,'[1]DATOS PBI Artículos'!$Z$4:$Z$4)*_xlfn.XLOOKUP(_xlfn.XLOOKUP(A86,'[1]DATOS PBI Artículos'!$A$4:$A$4,'[1]DATOS PBI Artículos'!$Y$4:$Y$4),[1]CRITERIOS!$P$79:$P$123,[1]CRITERIOS!$S$79:$S$123)),0)*[1]CRITERIOS!$M$80*([1]CRITERIOS!$M$110/[1]CRITERIOS!$M$86)+(_xlfn.XLOOKUP(A86,'[1]DATOS PBI Artículos'!$A$4:$A$4,'[1]DATOS PBI Artículos'!$AA$4:$AA$4)*([1]CRITERIOS!$M$95+[1]CRITERIOS!$M$98)))/N86)</f>
        <v>#N/A</v>
      </c>
      <c r="AD86" s="33" t="e">
        <f>IF(N86=0,"",(ROUNDUP((N86/2)/(_xlfn.XLOOKUP(A86,'[1]DATOS PBI Artículos'!$A$4:$A$4,'[1]DATOS PBI Artículos'!$Z$4:$Z$4)*_xlfn.XLOOKUP(_xlfn.XLOOKUP(A86,'[1]DATOS PBI Artículos'!$A$4:$A$4,'[1]DATOS PBI Artículos'!$Y$4:$Y$4),[1]CRITERIOS!$P$79:$P$123,[1]CRITERIOS!$S$79:$S$123)),0)*[1]CRITERIOS!$M$80*([1]CRITERIOS!$M$89*[1]CRITERIOS!$M$92)+((_xlfn.XLOOKUP(A86,'[1]DATOS PBI Artículos'!$A$4:$A$4,'[1]DATOS PBI Artículos'!$AA$4:$AA$4)/2)*([1]CRITERIOS!$M$95+[1]CRITERIOS!$M$98)))/N86)</f>
        <v>#N/A</v>
      </c>
      <c r="AE86" s="39">
        <f>IF($R86="MTO","",
IF($H86=0,ROUNDUP(((_xlfn.XLOOKUP($A86,'[1]DATOS PBI Artículos'!$A:$A,'[1]DATOS PBI Artículos'!$AL:$AL))/(_xlfn.XLOOKUP($AF$1,[1]CRITERIOS!$S$16:$S$39,[1]CRITERIOS!$Y$16:$Y$39))*$J86+$Z86)/$G86,0)*$G86,
((_xlfn.XLOOKUP($A86,'[1]DATOS PBI Artículos'!$A:$A,'[1]DATOS PBI Artículos'!$AL:$AL))/(_xlfn.XLOOKUP($AF$1,[1]CRITERIOS!$S$16:$S$39,[1]CRITERIOS!$Y$16:$Y$39))*$J86+$Z86)))</f>
        <v>45269.294778972187</v>
      </c>
      <c r="AG86" s="39">
        <f>IF($R86="MTO","",
IF($H86=0,ROUNDUP(((_xlfn.XLOOKUP($A86,'[1]DATOS PBI Artículos'!$A:$A,'[1]DATOS PBI Artículos'!$AM:$AM))/(_xlfn.XLOOKUP($AH$1,[1]CRITERIOS!$S$16:$S$39,[1]CRITERIOS!$Y$16:$Y$39))*$J86+$Z86)/$G86,0)*$G86,
((_xlfn.XLOOKUP($A86,'[1]DATOS PBI Artículos'!$A:$A,'[1]DATOS PBI Artículos'!$AM:$AM))/(_xlfn.XLOOKUP($AH$1,[1]CRITERIOS!$S$16:$S$39,[1]CRITERIOS!$Y$16:$Y$39))*$J86+$Z86)))</f>
        <v>34551.04505606911</v>
      </c>
      <c r="AI86" s="39">
        <f>IF($R86="MTO","",
IF($H86=0,ROUNDUP(((_xlfn.XLOOKUP($A86,'[1]DATOS PBI Artículos'!$A:$A,'[1]DATOS PBI Artículos'!$AN:$AN))/(_xlfn.XLOOKUP($AJ$1,[1]CRITERIOS!$S$16:$S$39,[1]CRITERIOS!$Y$16:$Y$39))*$J86+$Z86)/$G86,0)*$G86,
((_xlfn.XLOOKUP($A86,'[1]DATOS PBI Artículos'!$A:$A,'[1]DATOS PBI Artículos'!$AN:$AN))/(_xlfn.XLOOKUP($AJ$1,[1]CRITERIOS!$S$16:$S$39,[1]CRITERIOS!$Y$16:$Y$39))*$J86+$Z86)))</f>
        <v>39956.091351899275</v>
      </c>
      <c r="AK86" s="39">
        <f>IF($R86="MTO","",
IF($H86=0,ROUNDUP(((_xlfn.XLOOKUP($A86,'[1]DATOS PBI Artículos'!$A:$A,'[1]DATOS PBI Artículos'!$AO:$AO))/(_xlfn.XLOOKUP($AL$1,[1]CRITERIOS!$S$16:$S$39,[1]CRITERIOS!$Y$16:$Y$39))*$J86+$Z86)/$G86,0)*$G86,
((_xlfn.XLOOKUP($A86,'[1]DATOS PBI Artículos'!$A:$A,'[1]DATOS PBI Artículos'!$AO:$AO))/(_xlfn.XLOOKUP($AL$1,[1]CRITERIOS!$S$16:$S$39,[1]CRITERIOS!$Y$16:$Y$39))*$J86+$Z86)))</f>
        <v>42873.029790430526</v>
      </c>
    </row>
    <row r="87" spans="1:37" ht="25.8" x14ac:dyDescent="0.5">
      <c r="A87" s="32">
        <v>400296</v>
      </c>
      <c r="B87" s="33">
        <f>_xlfn.XLOOKUP($A87,'[1]DATOS PBI Artículos'!A:A,'[1]DATOS PBI Artículos'!B:B)</f>
        <v>0</v>
      </c>
      <c r="C87" s="33" t="str">
        <f>_xlfn.XLOOKUP($A87,'[1]DATOS PBI Artículos'!A:A,'[1]DATOS PBI Artículos'!C:C)</f>
        <v>UA03</v>
      </c>
      <c r="D87" s="33">
        <f>_xlfn.XLOOKUP(A87,'[1]DATOS PBI Artículos'!A:A,'[1]DATOS PBI Artículos'!T:T)</f>
        <v>8</v>
      </c>
      <c r="E87" s="34">
        <f>IF(_xlfn.XLOOKUP($A87,'[1]DATOS PBI Artículos'!A:A,'[1]DATOS PBI Artículos'!AK:AK)="",_xlfn.XLOOKUP($A87,'[1]DATOS PBI Artículos'!A:A,'[1]DATOS PBI Artículos'!AJ:AJ),_xlfn.XLOOKUP($A87,'[1]DATOS PBI Artículos'!A:A,'[1]DATOS PBI Artículos'!AK:AK))</f>
        <v>136000</v>
      </c>
      <c r="F87" s="35">
        <f>_xlfn.XLOOKUP($A87,'[1]DATOS PBI Artículos'!A:A,'[1]DATOS PBI Artículos'!AP:AP)</f>
        <v>9.5714285714200003</v>
      </c>
      <c r="G87" s="34">
        <f>_xlfn.XLOOKUP($A87,'[1]DATOS PBI Artículos'!A:A,'[1]DATOS PBI Artículos'!AR:AR)</f>
        <v>18000</v>
      </c>
      <c r="H87" s="34">
        <f>_xlfn.XLOOKUP($A87,'[1]DATOS PBI Artículos'!A:A,'[1]DATOS PBI Artículos'!AT:AT)</f>
        <v>1069.0449676496976</v>
      </c>
      <c r="I87" s="34">
        <f>_xlfn.XLOOKUP($A87,'[1]DATOS PBI Artículos'!A:A,'[1]DATOS PBI Artículos'!AS:AS)</f>
        <v>2000</v>
      </c>
      <c r="J87" s="35">
        <f>IF(COUNTIF([1]CRITERIOS!$F$179:$F$199,$A87)&gt;=1,
 IF(O87&lt;&gt;"",
    (O87/_xlfn.XLOOKUP(CONCATENATE(A87,L87),[1]MÁQUINAS!A:A,[1]MÁQUINAS!D:D))/24,
    (N87/_xlfn.XLOOKUP(CONCATENATE(A87,L87),[1]MÁQUINAS!A:A,[1]MÁQUINAS!D:D))/24),
  _xlfn.XLOOKUP($A87,'[1]DATOS PBI Artículos'!A:A,'[1]DATOS PBI Artículos'!AU:AU))</f>
        <v>16.23076923076923</v>
      </c>
      <c r="K87" s="36">
        <f>_xlfn.XLOOKUP($A87,'[1]DATOS PBI Artículos'!A:A,'[1]DATOS PBI Artículos'!AV:AV)</f>
        <v>4.7811059765470958</v>
      </c>
      <c r="L87" s="33">
        <f>_xlfn.XLOOKUP(A87,[1]MÁQUINAS!B:B,[1]MÁQUINAS!C:C)</f>
        <v>142</v>
      </c>
      <c r="M87" s="34">
        <f t="array" ref="M87">_xlfn.XLOOKUP(A87,'[1]DATOS PBI Artículos'!A:A,'[1]DATOS PBI Artículos'!AX:$AX)</f>
        <v>61677.176256336439</v>
      </c>
      <c r="N87" s="37">
        <f>IF(I87="DV",
E87,
IF(COUNTIF([1]CRITERIOS!$I$179:$I$199,$A87)&gt;=1,
_xlfn.XLOOKUP($A87,[1]CRITERIOS!$I$179:$I$199,[1]CRITERIOS!$J$179:$J$199),
IF(COUNTIF([1]CRITERIOS!$L$179:$L$199,$A87)&gt;=1,
_xlfn.CEILING.MATH(IF($M87&gt;$E87,
$E87,
IF($M87&lt;$E87/ROUNDDOWN([1]CRITERIOS!$M$16/_xlfn.XLOOKUP($C87,[1]CRITERIOS!$K$25:$K$42,[1]CRITERIOS!$M$25:$M$42),
1),
E87/ROUNDDOWN([1]CRITERIOS!$M$16/_xlfn.XLOOKUP($C87,[1]CRITERIOS!$K$25:$K$42,[1]CRITERIOS!$M$25:$M$42),
1),
$M87)),
_xlfn.XLOOKUP($A87,[1]CRITERIOS!$L$179:$L$200,[1]CRITERIOS!$M$179:$M$200)),
_xlfn.CEILING.MATH(IF($M87&gt;$E87,
$E87,
IF($M87&lt;$E87/ROUNDDOWN([1]CRITERIOS!$M$16/_xlfn.XLOOKUP($C87,[1]CRITERIOS!$K$25:$K$42,[1]CRITERIOS!$M$25:$M$42),
1),
E87/ROUNDDOWN([1]CRITERIOS!$M$16/_xlfn.XLOOKUP($C87,[1]CRITERIOS!$K$25:$K$42,[1]CRITERIOS!$M$25:$M$42),
1),
$M87)),_xlfn.XLOOKUP(A87,'[1]DATOS PBI Artículos'!A:A,'[1]DATOS PBI Artículos'!Z:Z
)))))</f>
        <v>63000</v>
      </c>
      <c r="Q87" s="38">
        <f>IF(AND(O87="",N87=0),
0,
   IF(COUNTIF([1]CRITERIOS!$F$179:$F$199,$A87)&gt;=1,
   1,
   IF(R87="MTO",
      $D87,
      ROUNDUP(
                    IF(($E87-SUMIF('[1]DATOS PBI Artículos'!A:A,A87,'[1]DATOS PBI Artículos'!X:X)+($V87-_xlfn.XLOOKUP(A87,'[1]DATOS PBI Artículos'!A:A,'[1]DATOS PBI Artículos'!W:W)))&lt;0,
                    0,
                    IF(($E87-SUMIF('[1]DATOS PBI Artículos'!A:A,A87,'[1]DATOS PBI Artículos'!X:X)+$V87-_xlfn.XLOOKUP($A87,'[1]DATOS PBI Artículos'!A:A,'[1]DATOS PBI Artículos'!W:W))/IF($O87="",$N87,$O87)&gt;ROUNDUP([1]CRITERIOS!$M$16/(IF(COUNTIF([1]CRITERIOS!$BG$11:$BG$201,L87)&gt;=1,_xlfn.XLOOKUP($C87,[1]CRITERIOS!$K$25:$K$42,[1]CRITERIOS!$M$25:$M$42),_xlfn.XLOOKUP($C87,[1]CRITERIOS!$K$25:$K$42,[1]CRITERIOS!$M$25:$M$42))),0),
                    ROUNDUP([1]CRITERIOS!$M$16/(IF(COUNTIF([1]CRITERIOS!$BG$11:$BG$201,$L87)&gt;=1,_xlfn.XLOOKUP($C87,[1]CRITERIOS!$K$25:$K$42,[1]CRITERIOS!$M$25:$M$42),_xlfn.XLOOKUP($C87,[1]CRITERIOS!$K$25:$K$42,[1]CRITERIOS!$M$25:$M$42))),0),
                    (E87+V87-SUMIF('[1]DATOS PBI Artículos'!A:A,A87,'[1]DATOS PBI Artículos'!X:X)-_xlfn.XLOOKUP(A87,'[1]DATOS PBI Artículos'!A:A,'[1]DATOS PBI Artículos'!W:W))/IF($O87="",$N87,$O87))),0))))</f>
        <v>3</v>
      </c>
      <c r="R87" s="33" t="str">
        <f>IF(U87&lt;&gt;"",U87,IF(F87="DV","MTO",IF(N87=0,"MTO",_xlfn.XLOOKUP(CONCATENATE(S87,T87),[1]CRITERIOS!$K$160:$K$168,[1]CRITERIOS!$N$160:$N$168))))</f>
        <v>MTS</v>
      </c>
      <c r="S87" s="33" t="str">
        <f>IF(G87="DV","MTO",IF(N87=0,"MTO",IF(OR(AND(N87=0,O87=""),IF(O87="",G87/N87,G87/O87)&gt;[1]CRITERIOS!$G$163),"MTO",IF(IF(O87="",G87/N87,G87/O87)&lt;[1]CRITERIOS!$H$161,"MTS","MTOS"))))</f>
        <v>MTS</v>
      </c>
      <c r="T87" s="33" t="str">
        <f>IF(F87="DV","MTO",IF(OR(AND($N87=0,O87=""),$F87/$J87&gt;[1]CRITERIOS!$G$170,$F87="DV"),"MTO",IF($F87/$J87&lt;[1]CRITERIOS!$H$168,"MTS","MTOS")))</f>
        <v>MTS</v>
      </c>
      <c r="V87" s="34">
        <f t="shared" si="4"/>
        <v>38639.189336289346</v>
      </c>
      <c r="X87" s="34">
        <f t="shared" si="5"/>
        <v>101639.18933628935</v>
      </c>
      <c r="Y87" s="34">
        <f t="shared" si="6"/>
        <v>39615.653170934806</v>
      </c>
      <c r="Z87" s="34">
        <f>IF($R87="MTO",
0,
($H87+$K87*($E87/[1]CRITERIOS!$M$16))/[1]CRITERIOS!$X$48)</f>
        <v>8115.6531709348037</v>
      </c>
      <c r="AA87" s="34" t="e">
        <f>ROUNDUP(($Y87/_xlfn.XLOOKUP($A87,'[1]DATOS PBI Artículos'!$A$4:$A$4,'[1]DATOS PBI Artículos'!$Z$4:$Z$4))/_xlfn.XLOOKUP(_xlfn.XLOOKUP($A87,'[1]DATOS PBI Artículos'!$A$4:$A$4,'[1]DATOS PBI Artículos'!$Y$4:$Y$4),[1]CRITERIOS!$P$79:$P$123,[1]CRITERIOS!$S$79:$S$123,),0)</f>
        <v>#N/A</v>
      </c>
      <c r="AB87" s="33" t="e">
        <f t="array" ref="AB87">IF((E87+V87-_xlfn.XLOOKUP(A87,'[1]DATOS PBI Artículos'!$A$4:$A$4,'[1]DATOS PBI Artículos'!$W$4:$W$4))/N87&gt;ROUNDUP([1]CRITERIOS!$M$16/(IF(COUNTIF([1]CRITERIOS!$BG$11:$BG$201,L87)&gt;=1,_xlfn.XLOOKUP(ARTÍCULOS!L87,[1]CRITERIOS!$BG$11:$BG$201,[1]CRITERIOS!$BJ$11:$BJ$201),_xlfn.XLOOKUP(ARTÍCULOS!C87,[1]CRITERIOS!$K$25:$K$42,[1]CRITERIOS!$M$25:$M$42))),0),ROUNDUP([1]CRITERIOS!$M$16/(IF(COUNTIF([1]CRITERIOS!$BG$11:$BG$201,L87)&gt;=1,_xlfn.XLOOKUP(ARTÍCULOS!L87,[1]CRITERIOS!$BG$11:$BG$201:#REF!,[1]CRITERIOS!$BJ$11:$BJ$201),_xlfn.XLOOKUP(ARTÍCULOS!C87,[1]CRITERIOS!$K$25:$K$42,[1]CRITERIOS!$M$25:$M$42))),0),(E87+V87-_xlfn.XLOOKUP(A87,'[1]DATOS PBI Artículos'!$A$4:$A$4,'[1]DATOS PBI Artículos'!$W$4:$W$4))/N87)</f>
        <v>#N/A</v>
      </c>
      <c r="AC87" s="33" t="e">
        <f>IF(N87=0,"",(ROUNDUP((N87/2)/(_xlfn.XLOOKUP(A87,'[1]DATOS PBI Artículos'!$A$4:$A$4,'[1]DATOS PBI Artículos'!$Z$4:$Z$4)*_xlfn.XLOOKUP(_xlfn.XLOOKUP(A87,'[1]DATOS PBI Artículos'!$A$4:$A$4,'[1]DATOS PBI Artículos'!$Y$4:$Y$4),[1]CRITERIOS!$P$79:$P$123,[1]CRITERIOS!$S$79:$S$123)),0)*[1]CRITERIOS!$M$80*([1]CRITERIOS!$M$110/[1]CRITERIOS!$M$86)+(_xlfn.XLOOKUP(A87,'[1]DATOS PBI Artículos'!$A$4:$A$4,'[1]DATOS PBI Artículos'!$AA$4:$AA$4)*([1]CRITERIOS!$M$95+[1]CRITERIOS!$M$98)))/N87)</f>
        <v>#N/A</v>
      </c>
      <c r="AD87" s="33" t="e">
        <f>IF(N87=0,"",(ROUNDUP((N87/2)/(_xlfn.XLOOKUP(A87,'[1]DATOS PBI Artículos'!$A$4:$A$4,'[1]DATOS PBI Artículos'!$Z$4:$Z$4)*_xlfn.XLOOKUP(_xlfn.XLOOKUP(A87,'[1]DATOS PBI Artículos'!$A$4:$A$4,'[1]DATOS PBI Artículos'!$Y$4:$Y$4),[1]CRITERIOS!$P$79:$P$123,[1]CRITERIOS!$S$79:$S$123)),0)*[1]CRITERIOS!$M$80*([1]CRITERIOS!$M$89*[1]CRITERIOS!$M$92)+((_xlfn.XLOOKUP(A87,'[1]DATOS PBI Artículos'!$A$4:$A$4,'[1]DATOS PBI Artículos'!$AA$4:$AA$4)/2)*([1]CRITERIOS!$M$95+[1]CRITERIOS!$M$98)))/N87)</f>
        <v>#N/A</v>
      </c>
      <c r="AE87" s="39">
        <f>IF($R87="MTO","",
IF($H87=0,ROUNDUP(((_xlfn.XLOOKUP($A87,'[1]DATOS PBI Artículos'!$A:$A,'[1]DATOS PBI Artículos'!$AL:$AL))/(_xlfn.XLOOKUP($AF$1,[1]CRITERIOS!$S$16:$S$39,[1]CRITERIOS!$Y$16:$Y$39))*$J87+$Z87)/$G87,0)*$G87,
((_xlfn.XLOOKUP($A87,'[1]DATOS PBI Artículos'!$A:$A,'[1]DATOS PBI Artículos'!$AL:$AL))/(_xlfn.XLOOKUP($AF$1,[1]CRITERIOS!$S$16:$S$39,[1]CRITERIOS!$Y$16:$Y$39))*$J87+$Z87)))</f>
        <v>45559.512279277551</v>
      </c>
      <c r="AG87" s="39">
        <f>IF($R87="MTO","",
IF($H87=0,ROUNDUP(((_xlfn.XLOOKUP($A87,'[1]DATOS PBI Artículos'!$A:$A,'[1]DATOS PBI Artículos'!$AM:$AM))/(_xlfn.XLOOKUP($AH$1,[1]CRITERIOS!$S$16:$S$39,[1]CRITERIOS!$Y$16:$Y$39))*$J87+$Z87)/$G87,0)*$G87,
((_xlfn.XLOOKUP($A87,'[1]DATOS PBI Artículos'!$A:$A,'[1]DATOS PBI Artículos'!$AM:$AM))/(_xlfn.XLOOKUP($AH$1,[1]CRITERIOS!$S$16:$S$39,[1]CRITERIOS!$Y$16:$Y$39))*$J87+$Z87)))</f>
        <v>35012.306809609719</v>
      </c>
      <c r="AI87" s="39">
        <f>IF($R87="MTO","",
IF($H87=0,ROUNDUP(((_xlfn.XLOOKUP($A87,'[1]DATOS PBI Artículos'!$A:$A,'[1]DATOS PBI Artículos'!$AN:$AN))/(_xlfn.XLOOKUP($AJ$1,[1]CRITERIOS!$S$16:$S$39,[1]CRITERIOS!$Y$16:$Y$39))*$J87+$Z87)/$G87,0)*$G87,
((_xlfn.XLOOKUP($A87,'[1]DATOS PBI Artículos'!$A:$A,'[1]DATOS PBI Artículos'!$AN:$AN))/(_xlfn.XLOOKUP($AJ$1,[1]CRITERIOS!$S$16:$S$39,[1]CRITERIOS!$Y$16:$Y$39))*$J87+$Z87)))</f>
        <v>40331.098154186344</v>
      </c>
      <c r="AK87" s="39">
        <f>IF($R87="MTO","",
IF($H87=0,ROUNDUP(((_xlfn.XLOOKUP($A87,'[1]DATOS PBI Artículos'!$A:$A,'[1]DATOS PBI Artículos'!$AO:$AO))/(_xlfn.XLOOKUP($AL$1,[1]CRITERIOS!$S$16:$S$39,[1]CRITERIOS!$Y$16:$Y$39))*$J87+$Z87)/$G87,0)*$G87,
((_xlfn.XLOOKUP($A87,'[1]DATOS PBI Artículos'!$A:$A,'[1]DATOS PBI Artículos'!$AO:$AO))/(_xlfn.XLOOKUP($AL$1,[1]CRITERIOS!$S$16:$S$39,[1]CRITERIOS!$Y$16:$Y$39))*$J87+$Z87)))</f>
        <v>43201.487429388653</v>
      </c>
    </row>
    <row r="88" spans="1:37" ht="25.8" x14ac:dyDescent="0.5">
      <c r="A88" s="32" t="s">
        <v>67</v>
      </c>
      <c r="B88" s="33">
        <f>_xlfn.XLOOKUP($A88,'[1]DATOS PBI Artículos'!A:A,'[1]DATOS PBI Artículos'!B:B)</f>
        <v>0</v>
      </c>
      <c r="C88" s="33" t="str">
        <f>_xlfn.XLOOKUP($A88,'[1]DATOS PBI Artículos'!A:A,'[1]DATOS PBI Artículos'!C:C)</f>
        <v>UA03</v>
      </c>
      <c r="D88" s="33">
        <f>_xlfn.XLOOKUP(A88,'[1]DATOS PBI Artículos'!A:A,'[1]DATOS PBI Artículos'!T:T)</f>
        <v>3</v>
      </c>
      <c r="E88" s="34">
        <f>IF(_xlfn.XLOOKUP($A88,'[1]DATOS PBI Artículos'!A:A,'[1]DATOS PBI Artículos'!AK:AK)="",_xlfn.XLOOKUP($A88,'[1]DATOS PBI Artículos'!A:A,'[1]DATOS PBI Artículos'!AJ:AJ),_xlfn.XLOOKUP($A88,'[1]DATOS PBI Artículos'!A:A,'[1]DATOS PBI Artículos'!AK:AK))</f>
        <v>121680</v>
      </c>
      <c r="F88" s="35">
        <f>_xlfn.XLOOKUP($A88,'[1]DATOS PBI Artículos'!A:A,'[1]DATOS PBI Artículos'!AP:AP)</f>
        <v>31</v>
      </c>
      <c r="G88" s="34">
        <f>_xlfn.XLOOKUP($A88,'[1]DATOS PBI Artículos'!A:A,'[1]DATOS PBI Artículos'!AR:AR)</f>
        <v>40560</v>
      </c>
      <c r="H88" s="34">
        <f>_xlfn.XLOOKUP($A88,'[1]DATOS PBI Artículos'!A:A,'[1]DATOS PBI Artículos'!AT:AT)</f>
        <v>0</v>
      </c>
      <c r="I88" s="34">
        <f>_xlfn.XLOOKUP($A88,'[1]DATOS PBI Artículos'!A:A,'[1]DATOS PBI Artículos'!AS:AS)</f>
        <v>40560</v>
      </c>
      <c r="J88" s="35">
        <f>IF(COUNTIF([1]CRITERIOS!$F$179:$F$199,$A88)&gt;=1,
 IF(O88&lt;&gt;"",
    (O88/_xlfn.XLOOKUP(CONCATENATE(A88,L88),[1]MÁQUINAS!A:A,[1]MÁQUINAS!D:D))/24,
    (N88/_xlfn.XLOOKUP(CONCATENATE(A88,L88),[1]MÁQUINAS!A:A,[1]MÁQUINAS!D:D))/24),
  _xlfn.XLOOKUP($A88,'[1]DATOS PBI Artículos'!A:A,'[1]DATOS PBI Artículos'!AU:AU))</f>
        <v>14.761904761904763</v>
      </c>
      <c r="K88" s="36">
        <f>_xlfn.XLOOKUP($A88,'[1]DATOS PBI Artículos'!A:A,'[1]DATOS PBI Artículos'!AV:AV)</f>
        <v>2.8089991439080557</v>
      </c>
      <c r="L88" s="33">
        <f>_xlfn.XLOOKUP(A88,[1]MÁQUINAS!B:B,[1]MÁQUINAS!C:C)</f>
        <v>142</v>
      </c>
      <c r="M88" s="34">
        <f t="array" ref="M88">_xlfn.XLOOKUP(A88,'[1]DATOS PBI Artículos'!A:A,'[1]DATOS PBI Artículos'!AX:$AX)</f>
        <v>53341.104411050765</v>
      </c>
      <c r="N88" s="37">
        <f>IF(I88="DV",
E88,
IF(COUNTIF([1]CRITERIOS!$I$179:$I$199,$A88)&gt;=1,
_xlfn.XLOOKUP($A88,[1]CRITERIOS!$I$179:$I$199,[1]CRITERIOS!$J$179:$J$199),
IF(COUNTIF([1]CRITERIOS!$L$179:$L$199,$A88)&gt;=1,
_xlfn.CEILING.MATH(IF($M88&gt;$E88,
$E88,
IF($M88&lt;$E88/ROUNDDOWN([1]CRITERIOS!$M$16/_xlfn.XLOOKUP($C88,[1]CRITERIOS!$K$25:$K$42,[1]CRITERIOS!$M$25:$M$42),
1),
E88/ROUNDDOWN([1]CRITERIOS!$M$16/_xlfn.XLOOKUP($C88,[1]CRITERIOS!$K$25:$K$42,[1]CRITERIOS!$M$25:$M$42),
1),
$M88)),
_xlfn.XLOOKUP($A88,[1]CRITERIOS!$L$179:$L$200,[1]CRITERIOS!$M$179:$M$200)),
_xlfn.CEILING.MATH(IF($M88&gt;$E88,
$E88,
IF($M88&lt;$E88/ROUNDDOWN([1]CRITERIOS!$M$16/_xlfn.XLOOKUP($C88,[1]CRITERIOS!$K$25:$K$42,[1]CRITERIOS!$M$25:$M$42),
1),
E88/ROUNDDOWN([1]CRITERIOS!$M$16/_xlfn.XLOOKUP($C88,[1]CRITERIOS!$K$25:$K$42,[1]CRITERIOS!$M$25:$M$42),
1),
$M88)),_xlfn.XLOOKUP(A88,'[1]DATOS PBI Artículos'!A:A,'[1]DATOS PBI Artículos'!Z:Z
)))))</f>
        <v>55770</v>
      </c>
      <c r="Q88" s="38">
        <f>IF(AND(O88="",N88=0),
0,
   IF(COUNTIF([1]CRITERIOS!$F$179:$F$199,$A88)&gt;=1,
   1,
   IF(R88="MTO",
      $D88,
      ROUNDUP(
                    IF(($E88-SUMIF('[1]DATOS PBI Artículos'!A:A,A88,'[1]DATOS PBI Artículos'!X:X)+($V88-_xlfn.XLOOKUP(A88,'[1]DATOS PBI Artículos'!A:A,'[1]DATOS PBI Artículos'!W:W)))&lt;0,
                    0,
                    IF(($E88-SUMIF('[1]DATOS PBI Artículos'!A:A,A88,'[1]DATOS PBI Artículos'!X:X)+$V88-_xlfn.XLOOKUP($A88,'[1]DATOS PBI Artículos'!A:A,'[1]DATOS PBI Artículos'!W:W))/IF($O88="",$N88,$O88)&gt;ROUNDUP([1]CRITERIOS!$M$16/(IF(COUNTIF([1]CRITERIOS!$BG$11:$BG$201,L88)&gt;=1,_xlfn.XLOOKUP($C88,[1]CRITERIOS!$K$25:$K$42,[1]CRITERIOS!$M$25:$M$42),_xlfn.XLOOKUP($C88,[1]CRITERIOS!$K$25:$K$42,[1]CRITERIOS!$M$25:$M$42))),0),
                    ROUNDUP([1]CRITERIOS!$M$16/(IF(COUNTIF([1]CRITERIOS!$BG$11:$BG$201,$L88)&gt;=1,_xlfn.XLOOKUP($C88,[1]CRITERIOS!$K$25:$K$42,[1]CRITERIOS!$M$25:$M$42),_xlfn.XLOOKUP($C88,[1]CRITERIOS!$K$25:$K$42,[1]CRITERIOS!$M$25:$M$42))),0),
                    (E88+V88-SUMIF('[1]DATOS PBI Artículos'!A:A,A88,'[1]DATOS PBI Artículos'!X:X)-_xlfn.XLOOKUP(A88,'[1]DATOS PBI Artículos'!A:A,'[1]DATOS PBI Artículos'!W:W))/IF($O88="",$N88,$O88))),0))))</f>
        <v>3</v>
      </c>
      <c r="R88" s="33" t="str">
        <f>IF(U88&lt;&gt;"",U88,IF(F88="DV","MTO",IF(N88=0,"MTO",_xlfn.XLOOKUP(CONCATENATE(S88,T88),[1]CRITERIOS!$K$160:$K$168,[1]CRITERIOS!$N$160:$N$168))))</f>
        <v>MTO</v>
      </c>
      <c r="S88" s="33" t="str">
        <f>IF(G88="DV","MTO",IF(N88=0,"MTO",IF(OR(AND(N88=0,O88=""),IF(O88="",G88/N88,G88/O88)&gt;[1]CRITERIOS!$G$163),"MTO",IF(IF(O88="",G88/N88,G88/O88)&lt;[1]CRITERIOS!$H$161,"MTS","MTOS"))))</f>
        <v>MTOS</v>
      </c>
      <c r="T88" s="33" t="str">
        <f>IF(F88="DV","MTO",IF(OR(AND($N88=0,O88=""),$F88/$J88&gt;[1]CRITERIOS!$G$170,$F88="DV"),"MTO",IF($F88/$J88&lt;[1]CRITERIOS!$H$168,"MTS","MTOS")))</f>
        <v>MTO</v>
      </c>
      <c r="V88" s="34" t="str">
        <f t="shared" si="4"/>
        <v/>
      </c>
      <c r="X88" s="34">
        <f t="shared" si="5"/>
        <v>0</v>
      </c>
      <c r="Y88" s="34">
        <f t="shared" si="6"/>
        <v>0</v>
      </c>
      <c r="Z88" s="34">
        <f>IF($R88="MTO",
0,
($H88+$K88*($E88/[1]CRITERIOS!$M$16))/[1]CRITERIOS!$X$48)</f>
        <v>0</v>
      </c>
      <c r="AA88" s="34" t="e">
        <f>ROUNDUP(($Y88/_xlfn.XLOOKUP($A88,'[1]DATOS PBI Artículos'!$A$4:$A$4,'[1]DATOS PBI Artículos'!$Z$4:$Z$4))/_xlfn.XLOOKUP(_xlfn.XLOOKUP($A88,'[1]DATOS PBI Artículos'!$A$4:$A$4,'[1]DATOS PBI Artículos'!$Y$4:$Y$4),[1]CRITERIOS!$P$79:$P$123,[1]CRITERIOS!$S$79:$S$123,),0)</f>
        <v>#N/A</v>
      </c>
      <c r="AB88" s="33" t="e">
        <f t="array" ref="AB88">IF((E88+V88-_xlfn.XLOOKUP(A88,'[1]DATOS PBI Artículos'!$A$4:$A$4,'[1]DATOS PBI Artículos'!$W$4:$W$4))/N88&gt;ROUNDUP([1]CRITERIOS!$M$16/(IF(COUNTIF([1]CRITERIOS!$BG$11:$BG$201,L88)&gt;=1,_xlfn.XLOOKUP(ARTÍCULOS!L88,[1]CRITERIOS!$BG$11:$BG$201,[1]CRITERIOS!$BJ$11:$BJ$201),_xlfn.XLOOKUP(ARTÍCULOS!C88,[1]CRITERIOS!$K$25:$K$42,[1]CRITERIOS!$M$25:$M$42))),0),ROUNDUP([1]CRITERIOS!$M$16/(IF(COUNTIF([1]CRITERIOS!$BG$11:$BG$201,L88)&gt;=1,_xlfn.XLOOKUP(ARTÍCULOS!L88,[1]CRITERIOS!$BG$11:$BG$201:#REF!,[1]CRITERIOS!$BJ$11:$BJ$201),_xlfn.XLOOKUP(ARTÍCULOS!C88,[1]CRITERIOS!$K$25:$K$42,[1]CRITERIOS!$M$25:$M$42))),0),(E88+V88-_xlfn.XLOOKUP(A88,'[1]DATOS PBI Artículos'!$A$4:$A$4,'[1]DATOS PBI Artículos'!$W$4:$W$4))/N88)</f>
        <v>#VALUE!</v>
      </c>
      <c r="AC88" s="33" t="e">
        <f>IF(N88=0,"",(ROUNDUP((N88/2)/(_xlfn.XLOOKUP(A88,'[1]DATOS PBI Artículos'!$A$4:$A$4,'[1]DATOS PBI Artículos'!$Z$4:$Z$4)*_xlfn.XLOOKUP(_xlfn.XLOOKUP(A88,'[1]DATOS PBI Artículos'!$A$4:$A$4,'[1]DATOS PBI Artículos'!$Y$4:$Y$4),[1]CRITERIOS!$P$79:$P$123,[1]CRITERIOS!$S$79:$S$123)),0)*[1]CRITERIOS!$M$80*([1]CRITERIOS!$M$110/[1]CRITERIOS!$M$86)+(_xlfn.XLOOKUP(A88,'[1]DATOS PBI Artículos'!$A$4:$A$4,'[1]DATOS PBI Artículos'!$AA$4:$AA$4)*([1]CRITERIOS!$M$95+[1]CRITERIOS!$M$98)))/N88)</f>
        <v>#N/A</v>
      </c>
      <c r="AD88" s="33" t="e">
        <f>IF(N88=0,"",(ROUNDUP((N88/2)/(_xlfn.XLOOKUP(A88,'[1]DATOS PBI Artículos'!$A$4:$A$4,'[1]DATOS PBI Artículos'!$Z$4:$Z$4)*_xlfn.XLOOKUP(_xlfn.XLOOKUP(A88,'[1]DATOS PBI Artículos'!$A$4:$A$4,'[1]DATOS PBI Artículos'!$Y$4:$Y$4),[1]CRITERIOS!$P$79:$P$123,[1]CRITERIOS!$S$79:$S$123)),0)*[1]CRITERIOS!$M$80*([1]CRITERIOS!$M$89*[1]CRITERIOS!$M$92)+((_xlfn.XLOOKUP(A88,'[1]DATOS PBI Artículos'!$A$4:$A$4,'[1]DATOS PBI Artículos'!$AA$4:$AA$4)/2)*([1]CRITERIOS!$M$95+[1]CRITERIOS!$M$98)))/N88)</f>
        <v>#N/A</v>
      </c>
      <c r="AE88" s="39" t="str">
        <f>IF($R88="MTO","",
IF($H88=0,ROUNDUP(((_xlfn.XLOOKUP($A88,'[1]DATOS PBI Artículos'!$A:$A,'[1]DATOS PBI Artículos'!$AL:$AL))/(_xlfn.XLOOKUP($AF$1,[1]CRITERIOS!$S$16:$S$39,[1]CRITERIOS!$Y$16:$Y$39))*$J88+$Z88)/$G88,0)*$G88,
((_xlfn.XLOOKUP($A88,'[1]DATOS PBI Artículos'!$A:$A,'[1]DATOS PBI Artículos'!$AL:$AL))/(_xlfn.XLOOKUP($AF$1,[1]CRITERIOS!$S$16:$S$39,[1]CRITERIOS!$Y$16:$Y$39))*$J88+$Z88)))</f>
        <v/>
      </c>
      <c r="AG88" s="39" t="str">
        <f>IF($R88="MTO","",
IF($H88=0,ROUNDUP(((_xlfn.XLOOKUP($A88,'[1]DATOS PBI Artículos'!$A:$A,'[1]DATOS PBI Artículos'!$AM:$AM))/(_xlfn.XLOOKUP($AH$1,[1]CRITERIOS!$S$16:$S$39,[1]CRITERIOS!$Y$16:$Y$39))*$J88+$Z88)/$G88,0)*$G88,
((_xlfn.XLOOKUP($A88,'[1]DATOS PBI Artículos'!$A:$A,'[1]DATOS PBI Artículos'!$AM:$AM))/(_xlfn.XLOOKUP($AH$1,[1]CRITERIOS!$S$16:$S$39,[1]CRITERIOS!$Y$16:$Y$39))*$J88+$Z88)))</f>
        <v/>
      </c>
      <c r="AI88" s="39" t="str">
        <f>IF($R88="MTO","",
IF($H88=0,ROUNDUP(((_xlfn.XLOOKUP($A88,'[1]DATOS PBI Artículos'!$A:$A,'[1]DATOS PBI Artículos'!$AN:$AN))/(_xlfn.XLOOKUP($AJ$1,[1]CRITERIOS!$S$16:$S$39,[1]CRITERIOS!$Y$16:$Y$39))*$J88+$Z88)/$G88,0)*$G88,
((_xlfn.XLOOKUP($A88,'[1]DATOS PBI Artículos'!$A:$A,'[1]DATOS PBI Artículos'!$AN:$AN))/(_xlfn.XLOOKUP($AJ$1,[1]CRITERIOS!$S$16:$S$39,[1]CRITERIOS!$Y$16:$Y$39))*$J88+$Z88)))</f>
        <v/>
      </c>
      <c r="AK88" s="39" t="str">
        <f>IF($R88="MTO","",
IF($H88=0,ROUNDUP(((_xlfn.XLOOKUP($A88,'[1]DATOS PBI Artículos'!$A:$A,'[1]DATOS PBI Artículos'!$AO:$AO))/(_xlfn.XLOOKUP($AL$1,[1]CRITERIOS!$S$16:$S$39,[1]CRITERIOS!$Y$16:$Y$39))*$J88+$Z88)/$G88,0)*$G88,
((_xlfn.XLOOKUP($A88,'[1]DATOS PBI Artículos'!$A:$A,'[1]DATOS PBI Artículos'!$AO:$AO))/(_xlfn.XLOOKUP($AL$1,[1]CRITERIOS!$S$16:$S$39,[1]CRITERIOS!$Y$16:$Y$39))*$J88+$Z88)))</f>
        <v/>
      </c>
    </row>
    <row r="89" spans="1:37" ht="25.8" x14ac:dyDescent="0.5">
      <c r="A89" s="32">
        <v>453010</v>
      </c>
      <c r="B89" s="33">
        <f>_xlfn.XLOOKUP($A89,'[1]DATOS PBI Artículos'!A:A,'[1]DATOS PBI Artículos'!B:B)</f>
        <v>0</v>
      </c>
      <c r="C89" s="33" t="str">
        <f>_xlfn.XLOOKUP($A89,'[1]DATOS PBI Artículos'!A:A,'[1]DATOS PBI Artículos'!C:C)</f>
        <v>UA02</v>
      </c>
      <c r="D89" s="33">
        <f>_xlfn.XLOOKUP(A89,'[1]DATOS PBI Artículos'!A:A,'[1]DATOS PBI Artículos'!T:T)</f>
        <v>2</v>
      </c>
      <c r="E89" s="34">
        <f>IF(_xlfn.XLOOKUP($A89,'[1]DATOS PBI Artículos'!A:A,'[1]DATOS PBI Artículos'!AK:AK)="",_xlfn.XLOOKUP($A89,'[1]DATOS PBI Artículos'!A:A,'[1]DATOS PBI Artículos'!AJ:AJ),_xlfn.XLOOKUP($A89,'[1]DATOS PBI Artículos'!A:A,'[1]DATOS PBI Artículos'!AK:AK))</f>
        <v>120000</v>
      </c>
      <c r="F89" s="35">
        <f>_xlfn.XLOOKUP($A89,'[1]DATOS PBI Artículos'!A:A,'[1]DATOS PBI Artículos'!AP:AP)</f>
        <v>32</v>
      </c>
      <c r="G89" s="34">
        <f>_xlfn.XLOOKUP($A89,'[1]DATOS PBI Artículos'!A:A,'[1]DATOS PBI Artículos'!AR:AR)</f>
        <v>60000</v>
      </c>
      <c r="H89" s="34">
        <f>_xlfn.XLOOKUP($A89,'[1]DATOS PBI Artículos'!A:A,'[1]DATOS PBI Artículos'!AT:AT)</f>
        <v>0</v>
      </c>
      <c r="I89" s="34">
        <f>_xlfn.XLOOKUP($A89,'[1]DATOS PBI Artículos'!A:A,'[1]DATOS PBI Artículos'!AS:AS)</f>
        <v>60000</v>
      </c>
      <c r="J89" s="35">
        <f>IF(COUNTIF([1]CRITERIOS!$F$179:$F$199,$A89)&gt;=1,
 IF(O89&lt;&gt;"",
    (O89/_xlfn.XLOOKUP(CONCATENATE(A89,L89),[1]MÁQUINAS!A:A,[1]MÁQUINAS!D:D))/24,
    (N89/_xlfn.XLOOKUP(CONCATENATE(A89,L89),[1]MÁQUINAS!A:A,[1]MÁQUINAS!D:D))/24),
  _xlfn.XLOOKUP($A89,'[1]DATOS PBI Artículos'!A:A,'[1]DATOS PBI Artículos'!AU:AU))</f>
        <v>30</v>
      </c>
      <c r="K89" s="36">
        <f>_xlfn.XLOOKUP($A89,'[1]DATOS PBI Artículos'!A:A,'[1]DATOS PBI Artículos'!AV:AV)</f>
        <v>13.490737563232042</v>
      </c>
      <c r="L89" s="33">
        <f>_xlfn.XLOOKUP(A89,[1]MÁQUINAS!B:B,[1]MÁQUINAS!C:C)</f>
        <v>215</v>
      </c>
      <c r="M89" s="34">
        <f t="array" ref="M89">_xlfn.XLOOKUP(A89,'[1]DATOS PBI Artículos'!A:A,'[1]DATOS PBI Artículos'!AX:$AX)</f>
        <v>46858.102955070943</v>
      </c>
      <c r="N89" s="37">
        <f>IF(I89="DV",
E89,
IF(COUNTIF([1]CRITERIOS!$I$179:$I$199,$A89)&gt;=1,
_xlfn.XLOOKUP($A89,[1]CRITERIOS!$I$179:$I$199,[1]CRITERIOS!$J$179:$J$199),
IF(COUNTIF([1]CRITERIOS!$L$179:$L$199,$A89)&gt;=1,
_xlfn.CEILING.MATH(IF($M89&gt;$E89,
$E89,
IF($M89&lt;$E89/ROUNDDOWN([1]CRITERIOS!$M$16/_xlfn.XLOOKUP($C89,[1]CRITERIOS!$K$25:$K$42,[1]CRITERIOS!$M$25:$M$42),
1),
E89/ROUNDDOWN([1]CRITERIOS!$M$16/_xlfn.XLOOKUP($C89,[1]CRITERIOS!$K$25:$K$42,[1]CRITERIOS!$M$25:$M$42),
1),
$M89)),
_xlfn.XLOOKUP($A89,[1]CRITERIOS!$L$179:$L$200,[1]CRITERIOS!$M$179:$M$200)),
_xlfn.CEILING.MATH(IF($M89&gt;$E89,
$E89,
IF($M89&lt;$E89/ROUNDDOWN([1]CRITERIOS!$M$16/_xlfn.XLOOKUP($C89,[1]CRITERIOS!$K$25:$K$42,[1]CRITERIOS!$M$25:$M$42),
1),
E89/ROUNDDOWN([1]CRITERIOS!$M$16/_xlfn.XLOOKUP($C89,[1]CRITERIOS!$K$25:$K$42,[1]CRITERIOS!$M$25:$M$42),
1),
$M89)),_xlfn.XLOOKUP(A89,'[1]DATOS PBI Artículos'!A:A,'[1]DATOS PBI Artículos'!Z:Z
)))))</f>
        <v>50000</v>
      </c>
      <c r="Q89" s="38">
        <f>IF(AND(O89="",N89=0),
0,
   IF(COUNTIF([1]CRITERIOS!$F$179:$F$199,$A89)&gt;=1,
   1,
   IF(R89="MTO",
      $D89,
      ROUNDUP(
                    IF(($E89-SUMIF('[1]DATOS PBI Artículos'!A:A,A89,'[1]DATOS PBI Artículos'!X:X)+($V89-_xlfn.XLOOKUP(A89,'[1]DATOS PBI Artículos'!A:A,'[1]DATOS PBI Artículos'!W:W)))&lt;0,
                    0,
                    IF(($E89-SUMIF('[1]DATOS PBI Artículos'!A:A,A89,'[1]DATOS PBI Artículos'!X:X)+$V89-_xlfn.XLOOKUP($A89,'[1]DATOS PBI Artículos'!A:A,'[1]DATOS PBI Artículos'!W:W))/IF($O89="",$N89,$O89)&gt;ROUNDUP([1]CRITERIOS!$M$16/(IF(COUNTIF([1]CRITERIOS!$BG$11:$BG$201,L89)&gt;=1,_xlfn.XLOOKUP($C89,[1]CRITERIOS!$K$25:$K$42,[1]CRITERIOS!$M$25:$M$42),_xlfn.XLOOKUP($C89,[1]CRITERIOS!$K$25:$K$42,[1]CRITERIOS!$M$25:$M$42))),0),
                    ROUNDUP([1]CRITERIOS!$M$16/(IF(COUNTIF([1]CRITERIOS!$BG$11:$BG$201,$L89)&gt;=1,_xlfn.XLOOKUP($C89,[1]CRITERIOS!$K$25:$K$42,[1]CRITERIOS!$M$25:$M$42),_xlfn.XLOOKUP($C89,[1]CRITERIOS!$K$25:$K$42,[1]CRITERIOS!$M$25:$M$42))),0),
                    (E89+V89-SUMIF('[1]DATOS PBI Artículos'!A:A,A89,'[1]DATOS PBI Artículos'!X:X)-_xlfn.XLOOKUP(A89,'[1]DATOS PBI Artículos'!A:A,'[1]DATOS PBI Artículos'!W:W))/IF($O89="",$N89,$O89))),0))))</f>
        <v>2</v>
      </c>
      <c r="R89" s="33" t="str">
        <f>IF(U89&lt;&gt;"",U89,IF(F89="DV","MTO",IF(N89=0,"MTO",_xlfn.XLOOKUP(CONCATENATE(S89,T89),[1]CRITERIOS!$K$160:$K$168,[1]CRITERIOS!$N$160:$N$168))))</f>
        <v>MTS</v>
      </c>
      <c r="S89" s="33" t="str">
        <f>IF(G89="DV","MTO",IF(N89=0,"MTO",IF(OR(AND(N89=0,O89=""),IF(O89="",G89/N89,G89/O89)&gt;[1]CRITERIOS!$G$163),"MTO",IF(IF(O89="",G89/N89,G89/O89)&lt;[1]CRITERIOS!$H$161,"MTS","MTOS"))))</f>
        <v>MTO</v>
      </c>
      <c r="T89" s="33" t="str">
        <f>IF(F89="DV","MTO",IF(OR(AND($N89=0,O89=""),$F89/$J89&gt;[1]CRITERIOS!$G$170,$F89="DV"),"MTO",IF($F89/$J89&lt;[1]CRITERIOS!$H$168,"MTS","MTOS")))</f>
        <v>MTS</v>
      </c>
      <c r="V89" s="34">
        <f t="shared" si="4"/>
        <v>74237.650084309396</v>
      </c>
      <c r="X89" s="34">
        <f t="shared" si="5"/>
        <v>124237.6500843094</v>
      </c>
      <c r="Y89" s="34">
        <f t="shared" si="6"/>
        <v>42987.650084309389</v>
      </c>
      <c r="Z89" s="34">
        <f>IF($R89="MTO",
0,
($H89+$K89*($E89/[1]CRITERIOS!$M$16))/[1]CRITERIOS!$X$48)</f>
        <v>17987.650084309389</v>
      </c>
      <c r="AA89" s="34" t="e">
        <f>ROUNDUP(($Y89/_xlfn.XLOOKUP($A89,'[1]DATOS PBI Artículos'!$A$4:$A$4,'[1]DATOS PBI Artículos'!$Z$4:$Z$4))/_xlfn.XLOOKUP(_xlfn.XLOOKUP($A89,'[1]DATOS PBI Artículos'!$A$4:$A$4,'[1]DATOS PBI Artículos'!$Y$4:$Y$4),[1]CRITERIOS!$P$79:$P$123,[1]CRITERIOS!$S$79:$S$123,),0)</f>
        <v>#N/A</v>
      </c>
      <c r="AB89" s="33" t="e">
        <f t="array" ref="AB89">IF((E89+V89-_xlfn.XLOOKUP(A89,'[1]DATOS PBI Artículos'!$A$4:$A$4,'[1]DATOS PBI Artículos'!$W$4:$W$4))/N89&gt;ROUNDUP([1]CRITERIOS!$M$16/(IF(COUNTIF([1]CRITERIOS!$BG$11:$BG$201,L89)&gt;=1,_xlfn.XLOOKUP(ARTÍCULOS!L89,[1]CRITERIOS!$BG$11:$BG$201,[1]CRITERIOS!$BJ$11:$BJ$201),_xlfn.XLOOKUP(ARTÍCULOS!C89,[1]CRITERIOS!$K$25:$K$42,[1]CRITERIOS!$M$25:$M$42))),0),ROUNDUP([1]CRITERIOS!$M$16/(IF(COUNTIF([1]CRITERIOS!$BG$11:$BG$201,L89)&gt;=1,_xlfn.XLOOKUP(ARTÍCULOS!L89,[1]CRITERIOS!$BG$11:$BG$201:#REF!,[1]CRITERIOS!$BJ$11:$BJ$201),_xlfn.XLOOKUP(ARTÍCULOS!C89,[1]CRITERIOS!$K$25:$K$42,[1]CRITERIOS!$M$25:$M$42))),0),(E89+V89-_xlfn.XLOOKUP(A89,'[1]DATOS PBI Artículos'!$A$4:$A$4,'[1]DATOS PBI Artículos'!$W$4:$W$4))/N89)</f>
        <v>#N/A</v>
      </c>
      <c r="AC89" s="33" t="e">
        <f>IF(N89=0,"",(ROUNDUP((N89/2)/(_xlfn.XLOOKUP(A89,'[1]DATOS PBI Artículos'!$A$4:$A$4,'[1]DATOS PBI Artículos'!$Z$4:$Z$4)*_xlfn.XLOOKUP(_xlfn.XLOOKUP(A89,'[1]DATOS PBI Artículos'!$A$4:$A$4,'[1]DATOS PBI Artículos'!$Y$4:$Y$4),[1]CRITERIOS!$P$79:$P$123,[1]CRITERIOS!$S$79:$S$123)),0)*[1]CRITERIOS!$M$80*([1]CRITERIOS!$M$110/[1]CRITERIOS!$M$86)+(_xlfn.XLOOKUP(A89,'[1]DATOS PBI Artículos'!$A$4:$A$4,'[1]DATOS PBI Artículos'!$AA$4:$AA$4)*([1]CRITERIOS!$M$95+[1]CRITERIOS!$M$98)))/N89)</f>
        <v>#N/A</v>
      </c>
      <c r="AD89" s="33" t="e">
        <f>IF(N89=0,"",(ROUNDUP((N89/2)/(_xlfn.XLOOKUP(A89,'[1]DATOS PBI Artículos'!$A$4:$A$4,'[1]DATOS PBI Artículos'!$Z$4:$Z$4)*_xlfn.XLOOKUP(_xlfn.XLOOKUP(A89,'[1]DATOS PBI Artículos'!$A$4:$A$4,'[1]DATOS PBI Artículos'!$Y$4:$Y$4),[1]CRITERIOS!$P$79:$P$123,[1]CRITERIOS!$S$79:$S$123)),0)*[1]CRITERIOS!$M$80*([1]CRITERIOS!$M$89*[1]CRITERIOS!$M$92)+((_xlfn.XLOOKUP(A89,'[1]DATOS PBI Artículos'!$A$4:$A$4,'[1]DATOS PBI Artículos'!$AA$4:$AA$4)/2)*([1]CRITERIOS!$M$95+[1]CRITERIOS!$M$98)))/N89)</f>
        <v>#N/A</v>
      </c>
      <c r="AE89" s="39">
        <f>IF($R89="MTO","",
IF($H89=0,ROUNDUP(((_xlfn.XLOOKUP($A89,'[1]DATOS PBI Artículos'!$A:$A,'[1]DATOS PBI Artículos'!$AL:$AL))/(_xlfn.XLOOKUP($AF$1,[1]CRITERIOS!$S$16:$S$39,[1]CRITERIOS!$Y$16:$Y$39))*$J89+$Z89)/$G89,0)*$G89,
((_xlfn.XLOOKUP($A89,'[1]DATOS PBI Artículos'!$A:$A,'[1]DATOS PBI Artículos'!$AL:$AL))/(_xlfn.XLOOKUP($AF$1,[1]CRITERIOS!$S$16:$S$39,[1]CRITERIOS!$Y$16:$Y$39))*$J89+$Z89)))</f>
        <v>120000</v>
      </c>
      <c r="AG89" s="39">
        <f>IF($R89="MTO","",
IF($H89=0,ROUNDUP(((_xlfn.XLOOKUP($A89,'[1]DATOS PBI Artículos'!$A:$A,'[1]DATOS PBI Artículos'!$AM:$AM))/(_xlfn.XLOOKUP($AH$1,[1]CRITERIOS!$S$16:$S$39,[1]CRITERIOS!$Y$16:$Y$39))*$J89+$Z89)/$G89,0)*$G89,
((_xlfn.XLOOKUP($A89,'[1]DATOS PBI Artículos'!$A:$A,'[1]DATOS PBI Artículos'!$AM:$AM))/(_xlfn.XLOOKUP($AH$1,[1]CRITERIOS!$S$16:$S$39,[1]CRITERIOS!$Y$16:$Y$39))*$J89+$Z89)))</f>
        <v>60000</v>
      </c>
      <c r="AI89" s="39">
        <f>IF($R89="MTO","",
IF($H89=0,ROUNDUP(((_xlfn.XLOOKUP($A89,'[1]DATOS PBI Artículos'!$A:$A,'[1]DATOS PBI Artículos'!$AN:$AN))/(_xlfn.XLOOKUP($AJ$1,[1]CRITERIOS!$S$16:$S$39,[1]CRITERIOS!$Y$16:$Y$39))*$J89+$Z89)/$G89,0)*$G89,
((_xlfn.XLOOKUP($A89,'[1]DATOS PBI Artículos'!$A:$A,'[1]DATOS PBI Artículos'!$AN:$AN))/(_xlfn.XLOOKUP($AJ$1,[1]CRITERIOS!$S$16:$S$39,[1]CRITERIOS!$Y$16:$Y$39))*$J89+$Z89)))</f>
        <v>120000</v>
      </c>
      <c r="AK89" s="39">
        <f>IF($R89="MTO","",
IF($H89=0,ROUNDUP(((_xlfn.XLOOKUP($A89,'[1]DATOS PBI Artículos'!$A:$A,'[1]DATOS PBI Artículos'!$AO:$AO))/(_xlfn.XLOOKUP($AL$1,[1]CRITERIOS!$S$16:$S$39,[1]CRITERIOS!$Y$16:$Y$39))*$J89+$Z89)/$G89,0)*$G89,
((_xlfn.XLOOKUP($A89,'[1]DATOS PBI Artículos'!$A:$A,'[1]DATOS PBI Artículos'!$AO:$AO))/(_xlfn.XLOOKUP($AL$1,[1]CRITERIOS!$S$16:$S$39,[1]CRITERIOS!$Y$16:$Y$39))*$J89+$Z89)))</f>
        <v>120000</v>
      </c>
    </row>
    <row r="90" spans="1:37" ht="25.8" x14ac:dyDescent="0.5">
      <c r="A90" s="32">
        <v>420321</v>
      </c>
      <c r="B90" s="33">
        <f>_xlfn.XLOOKUP($A90,'[1]DATOS PBI Artículos'!A:A,'[1]DATOS PBI Artículos'!B:B)</f>
        <v>0</v>
      </c>
      <c r="C90" s="33" t="str">
        <f>_xlfn.XLOOKUP($A90,'[1]DATOS PBI Artículos'!A:A,'[1]DATOS PBI Artículos'!C:C)</f>
        <v>UA01</v>
      </c>
      <c r="D90" s="33">
        <f>_xlfn.XLOOKUP(A90,'[1]DATOS PBI Artículos'!A:A,'[1]DATOS PBI Artículos'!T:T)</f>
        <v>2</v>
      </c>
      <c r="E90" s="34">
        <f>IF(_xlfn.XLOOKUP($A90,'[1]DATOS PBI Artículos'!A:A,'[1]DATOS PBI Artículos'!AK:AK)="",_xlfn.XLOOKUP($A90,'[1]DATOS PBI Artículos'!A:A,'[1]DATOS PBI Artículos'!AJ:AJ),_xlfn.XLOOKUP($A90,'[1]DATOS PBI Artículos'!A:A,'[1]DATOS PBI Artículos'!AK:AK))</f>
        <v>120000</v>
      </c>
      <c r="F90" s="35">
        <f>_xlfn.XLOOKUP($A90,'[1]DATOS PBI Artículos'!A:A,'[1]DATOS PBI Artículos'!AP:AP)</f>
        <v>35</v>
      </c>
      <c r="G90" s="34">
        <f>_xlfn.XLOOKUP($A90,'[1]DATOS PBI Artículos'!A:A,'[1]DATOS PBI Artículos'!AR:AR)</f>
        <v>60000</v>
      </c>
      <c r="H90" s="34">
        <f>_xlfn.XLOOKUP($A90,'[1]DATOS PBI Artículos'!A:A,'[1]DATOS PBI Artículos'!AT:AT)</f>
        <v>0</v>
      </c>
      <c r="I90" s="34">
        <f>_xlfn.XLOOKUP($A90,'[1]DATOS PBI Artículos'!A:A,'[1]DATOS PBI Artículos'!AS:AS)</f>
        <v>60000</v>
      </c>
      <c r="J90" s="35">
        <f>IF(COUNTIF([1]CRITERIOS!$F$179:$F$199,$A90)&gt;=1,
 IF(O90&lt;&gt;"",
    (O90/_xlfn.XLOOKUP(CONCATENATE(A90,L90),[1]MÁQUINAS!A:A,[1]MÁQUINAS!D:D))/24,
    (N90/_xlfn.XLOOKUP(CONCATENATE(A90,L90),[1]MÁQUINAS!A:A,[1]MÁQUINAS!D:D))/24),
  _xlfn.XLOOKUP($A90,'[1]DATOS PBI Artículos'!A:A,'[1]DATOS PBI Artículos'!AU:AU))</f>
        <v>31</v>
      </c>
      <c r="K90" s="36">
        <f>_xlfn.XLOOKUP($A90,'[1]DATOS PBI Artículos'!A:A,'[1]DATOS PBI Artículos'!AV:AV)</f>
        <v>4.6904157598234297</v>
      </c>
      <c r="L90" s="33">
        <f>_xlfn.XLOOKUP(A90,[1]MÁQUINAS!B:B,[1]MÁQUINAS!C:C)</f>
        <v>505</v>
      </c>
      <c r="M90" s="34">
        <f t="array" ref="M90">_xlfn.XLOOKUP(A90,'[1]DATOS PBI Artículos'!A:A,'[1]DATOS PBI Artículos'!AX:$AX)</f>
        <v>170386.37070498231</v>
      </c>
      <c r="N90" s="37">
        <f>IF(I90="DV",
E90,
IF(COUNTIF([1]CRITERIOS!$I$179:$I$199,$A90)&gt;=1,
_xlfn.XLOOKUP($A90,[1]CRITERIOS!$I$179:$I$199,[1]CRITERIOS!$J$179:$J$199),
IF(COUNTIF([1]CRITERIOS!$L$179:$L$199,$A90)&gt;=1,
_xlfn.CEILING.MATH(IF($M90&gt;$E90,
$E90,
IF($M90&lt;$E90/ROUNDDOWN([1]CRITERIOS!$M$16/_xlfn.XLOOKUP($C90,[1]CRITERIOS!$K$25:$K$42,[1]CRITERIOS!$M$25:$M$42),
1),
E90/ROUNDDOWN([1]CRITERIOS!$M$16/_xlfn.XLOOKUP($C90,[1]CRITERIOS!$K$25:$K$42,[1]CRITERIOS!$M$25:$M$42),
1),
$M90)),
_xlfn.XLOOKUP($A90,[1]CRITERIOS!$L$179:$L$200,[1]CRITERIOS!$M$179:$M$200)),
_xlfn.CEILING.MATH(IF($M90&gt;$E90,
$E90,
IF($M90&lt;$E90/ROUNDDOWN([1]CRITERIOS!$M$16/_xlfn.XLOOKUP($C90,[1]CRITERIOS!$K$25:$K$42,[1]CRITERIOS!$M$25:$M$42),
1),
E90/ROUNDDOWN([1]CRITERIOS!$M$16/_xlfn.XLOOKUP($C90,[1]CRITERIOS!$K$25:$K$42,[1]CRITERIOS!$M$25:$M$42),
1),
$M90)),_xlfn.XLOOKUP(A90,'[1]DATOS PBI Artículos'!A:A,'[1]DATOS PBI Artículos'!Z:Z
)))))</f>
        <v>120000</v>
      </c>
      <c r="Q90" s="38">
        <f>IF(AND(O90="",N90=0),
0,
   IF(COUNTIF([1]CRITERIOS!$F$179:$F$199,$A90)&gt;=1,
   1,
   IF(R90="MTO",
      $D90,
      ROUNDUP(
                    IF(($E90-SUMIF('[1]DATOS PBI Artículos'!A:A,A90,'[1]DATOS PBI Artículos'!X:X)+($V90-_xlfn.XLOOKUP(A90,'[1]DATOS PBI Artículos'!A:A,'[1]DATOS PBI Artículos'!W:W)))&lt;0,
                    0,
                    IF(($E90-SUMIF('[1]DATOS PBI Artículos'!A:A,A90,'[1]DATOS PBI Artículos'!X:X)+$V90-_xlfn.XLOOKUP($A90,'[1]DATOS PBI Artículos'!A:A,'[1]DATOS PBI Artículos'!W:W))/IF($O90="",$N90,$O90)&gt;ROUNDUP([1]CRITERIOS!$M$16/(IF(COUNTIF([1]CRITERIOS!$BG$11:$BG$201,L90)&gt;=1,_xlfn.XLOOKUP($C90,[1]CRITERIOS!$K$25:$K$42,[1]CRITERIOS!$M$25:$M$42),_xlfn.XLOOKUP($C90,[1]CRITERIOS!$K$25:$K$42,[1]CRITERIOS!$M$25:$M$42))),0),
                    ROUNDUP([1]CRITERIOS!$M$16/(IF(COUNTIF([1]CRITERIOS!$BG$11:$BG$201,$L90)&gt;=1,_xlfn.XLOOKUP($C90,[1]CRITERIOS!$K$25:$K$42,[1]CRITERIOS!$M$25:$M$42),_xlfn.XLOOKUP($C90,[1]CRITERIOS!$K$25:$K$42,[1]CRITERIOS!$M$25:$M$42))),0),
                    (E90+V90-SUMIF('[1]DATOS PBI Artículos'!A:A,A90,'[1]DATOS PBI Artículos'!X:X)-_xlfn.XLOOKUP(A90,'[1]DATOS PBI Artículos'!A:A,'[1]DATOS PBI Artículos'!W:W))/IF($O90="",$N90,$O90))),0))))</f>
        <v>2</v>
      </c>
      <c r="R90" s="33" t="str">
        <f>IF(U90&lt;&gt;"",U90,IF(F90="DV","MTO",IF(N90=0,"MTO",_xlfn.XLOOKUP(CONCATENATE(S90,T90),[1]CRITERIOS!$K$160:$K$168,[1]CRITERIOS!$N$160:$N$168))))</f>
        <v>MTS</v>
      </c>
      <c r="S90" s="33" t="str">
        <f>IF(G90="DV","MTO",IF(N90=0,"MTO",IF(OR(AND(N90=0,O90=""),IF(O90="",G90/N90,G90/O90)&gt;[1]CRITERIOS!$G$163),"MTO",IF(IF(O90="",G90/N90,G90/O90)&lt;[1]CRITERIOS!$H$161,"MTS","MTOS"))))</f>
        <v>MTOS</v>
      </c>
      <c r="T90" s="33" t="str">
        <f>IF(F90="DV","MTO",IF(OR(AND($N90=0,O90=""),$F90/$J90&gt;[1]CRITERIOS!$G$170,$F90="DV"),"MTO",IF($F90/$J90&lt;[1]CRITERIOS!$H$168,"MTS","MTOS")))</f>
        <v>MTOS</v>
      </c>
      <c r="V90" s="34">
        <f t="shared" si="4"/>
        <v>59396.744822621709</v>
      </c>
      <c r="X90" s="34">
        <f t="shared" si="5"/>
        <v>179396.74482262169</v>
      </c>
      <c r="Y90" s="34">
        <f t="shared" si="6"/>
        <v>66253.887679764579</v>
      </c>
      <c r="Z90" s="34">
        <f>IF($R90="MTO",
0,
($H90+$K90*($E90/[1]CRITERIOS!$M$16))/[1]CRITERIOS!$X$48)</f>
        <v>6253.8876797645735</v>
      </c>
      <c r="AA90" s="34" t="e">
        <f>ROUNDUP(($Y90/_xlfn.XLOOKUP($A90,'[1]DATOS PBI Artículos'!$A$4:$A$4,'[1]DATOS PBI Artículos'!$Z$4:$Z$4))/_xlfn.XLOOKUP(_xlfn.XLOOKUP($A90,'[1]DATOS PBI Artículos'!$A$4:$A$4,'[1]DATOS PBI Artículos'!$Y$4:$Y$4),[1]CRITERIOS!$P$79:$P$123,[1]CRITERIOS!$S$79:$S$123,),0)</f>
        <v>#N/A</v>
      </c>
      <c r="AB90" s="33" t="e">
        <f t="array" ref="AB90">IF((E90+V90-_xlfn.XLOOKUP(A90,'[1]DATOS PBI Artículos'!$A$4:$A$4,'[1]DATOS PBI Artículos'!$W$4:$W$4))/N90&gt;ROUNDUP([1]CRITERIOS!$M$16/(IF(COUNTIF([1]CRITERIOS!$BG$11:$BG$201,L90)&gt;=1,_xlfn.XLOOKUP(ARTÍCULOS!L90,[1]CRITERIOS!$BG$11:$BG$201,[1]CRITERIOS!$BJ$11:$BJ$201),_xlfn.XLOOKUP(ARTÍCULOS!C90,[1]CRITERIOS!$K$25:$K$42,[1]CRITERIOS!$M$25:$M$42))),0),ROUNDUP([1]CRITERIOS!$M$16/(IF(COUNTIF([1]CRITERIOS!$BG$11:$BG$201,L90)&gt;=1,_xlfn.XLOOKUP(ARTÍCULOS!L90,[1]CRITERIOS!$BG$11:$BG$201:#REF!,[1]CRITERIOS!$BJ$11:$BJ$201),_xlfn.XLOOKUP(ARTÍCULOS!C90,[1]CRITERIOS!$K$25:$K$42,[1]CRITERIOS!$M$25:$M$42))),0),(E90+V90-_xlfn.XLOOKUP(A90,'[1]DATOS PBI Artículos'!$A$4:$A$4,'[1]DATOS PBI Artículos'!$W$4:$W$4))/N90)</f>
        <v>#N/A</v>
      </c>
      <c r="AC90" s="33" t="e">
        <f>IF(N90=0,"",(ROUNDUP((N90/2)/(_xlfn.XLOOKUP(A90,'[1]DATOS PBI Artículos'!$A$4:$A$4,'[1]DATOS PBI Artículos'!$Z$4:$Z$4)*_xlfn.XLOOKUP(_xlfn.XLOOKUP(A90,'[1]DATOS PBI Artículos'!$A$4:$A$4,'[1]DATOS PBI Artículos'!$Y$4:$Y$4),[1]CRITERIOS!$P$79:$P$123,[1]CRITERIOS!$S$79:$S$123)),0)*[1]CRITERIOS!$M$80*([1]CRITERIOS!$M$110/[1]CRITERIOS!$M$86)+(_xlfn.XLOOKUP(A90,'[1]DATOS PBI Artículos'!$A$4:$A$4,'[1]DATOS PBI Artículos'!$AA$4:$AA$4)*([1]CRITERIOS!$M$95+[1]CRITERIOS!$M$98)))/N90)</f>
        <v>#N/A</v>
      </c>
      <c r="AD90" s="33" t="e">
        <f>IF(N90=0,"",(ROUNDUP((N90/2)/(_xlfn.XLOOKUP(A90,'[1]DATOS PBI Artículos'!$A$4:$A$4,'[1]DATOS PBI Artículos'!$Z$4:$Z$4)*_xlfn.XLOOKUP(_xlfn.XLOOKUP(A90,'[1]DATOS PBI Artículos'!$A$4:$A$4,'[1]DATOS PBI Artículos'!$Y$4:$Y$4),[1]CRITERIOS!$P$79:$P$123,[1]CRITERIOS!$S$79:$S$123)),0)*[1]CRITERIOS!$M$80*([1]CRITERIOS!$M$89*[1]CRITERIOS!$M$92)+((_xlfn.XLOOKUP(A90,'[1]DATOS PBI Artículos'!$A$4:$A$4,'[1]DATOS PBI Artículos'!$AA$4:$AA$4)/2)*([1]CRITERIOS!$M$95+[1]CRITERIOS!$M$98)))/N90)</f>
        <v>#N/A</v>
      </c>
      <c r="AE90" s="39">
        <f>IF($R90="MTO","",
IF($H90=0,ROUNDUP(((_xlfn.XLOOKUP($A90,'[1]DATOS PBI Artículos'!$A:$A,'[1]DATOS PBI Artículos'!$AL:$AL))/(_xlfn.XLOOKUP($AF$1,[1]CRITERIOS!$S$16:$S$39,[1]CRITERIOS!$Y$16:$Y$39))*$J90+$Z90)/$G90,0)*$G90,
((_xlfn.XLOOKUP($A90,'[1]DATOS PBI Artículos'!$A:$A,'[1]DATOS PBI Artículos'!$AL:$AL))/(_xlfn.XLOOKUP($AF$1,[1]CRITERIOS!$S$16:$S$39,[1]CRITERIOS!$Y$16:$Y$39))*$J90+$Z90)))</f>
        <v>120000</v>
      </c>
      <c r="AG90" s="39">
        <f>IF($R90="MTO","",
IF($H90=0,ROUNDUP(((_xlfn.XLOOKUP($A90,'[1]DATOS PBI Artículos'!$A:$A,'[1]DATOS PBI Artículos'!$AM:$AM))/(_xlfn.XLOOKUP($AH$1,[1]CRITERIOS!$S$16:$S$39,[1]CRITERIOS!$Y$16:$Y$39))*$J90+$Z90)/$G90,0)*$G90,
((_xlfn.XLOOKUP($A90,'[1]DATOS PBI Artículos'!$A:$A,'[1]DATOS PBI Artículos'!$AM:$AM))/(_xlfn.XLOOKUP($AH$1,[1]CRITERIOS!$S$16:$S$39,[1]CRITERIOS!$Y$16:$Y$39))*$J90+$Z90)))</f>
        <v>60000</v>
      </c>
      <c r="AI90" s="39">
        <f>IF($R90="MTO","",
IF($H90=0,ROUNDUP(((_xlfn.XLOOKUP($A90,'[1]DATOS PBI Artículos'!$A:$A,'[1]DATOS PBI Artículos'!$AN:$AN))/(_xlfn.XLOOKUP($AJ$1,[1]CRITERIOS!$S$16:$S$39,[1]CRITERIOS!$Y$16:$Y$39))*$J90+$Z90)/$G90,0)*$G90,
((_xlfn.XLOOKUP($A90,'[1]DATOS PBI Artículos'!$A:$A,'[1]DATOS PBI Artículos'!$AN:$AN))/(_xlfn.XLOOKUP($AJ$1,[1]CRITERIOS!$S$16:$S$39,[1]CRITERIOS!$Y$16:$Y$39))*$J90+$Z90)))</f>
        <v>60000</v>
      </c>
      <c r="AK90" s="39">
        <f>IF($R90="MTO","",
IF($H90=0,ROUNDUP(((_xlfn.XLOOKUP($A90,'[1]DATOS PBI Artículos'!$A:$A,'[1]DATOS PBI Artículos'!$AO:$AO))/(_xlfn.XLOOKUP($AL$1,[1]CRITERIOS!$S$16:$S$39,[1]CRITERIOS!$Y$16:$Y$39))*$J90+$Z90)/$G90,0)*$G90,
((_xlfn.XLOOKUP($A90,'[1]DATOS PBI Artículos'!$A:$A,'[1]DATOS PBI Artículos'!$AO:$AO))/(_xlfn.XLOOKUP($AL$1,[1]CRITERIOS!$S$16:$S$39,[1]CRITERIOS!$Y$16:$Y$39))*$J90+$Z90)))</f>
        <v>120000</v>
      </c>
    </row>
    <row r="91" spans="1:37" ht="25.8" x14ac:dyDescent="0.5">
      <c r="A91" s="32">
        <v>412607</v>
      </c>
      <c r="B91" s="33">
        <f>_xlfn.XLOOKUP($A91,'[1]DATOS PBI Artículos'!A:A,'[1]DATOS PBI Artículos'!B:B)</f>
        <v>0</v>
      </c>
      <c r="C91" s="33" t="str">
        <f>_xlfn.XLOOKUP($A91,'[1]DATOS PBI Artículos'!A:A,'[1]DATOS PBI Artículos'!C:C)</f>
        <v>UA02</v>
      </c>
      <c r="D91" s="33">
        <f>_xlfn.XLOOKUP(A91,'[1]DATOS PBI Artículos'!A:A,'[1]DATOS PBI Artículos'!T:T)</f>
        <v>2</v>
      </c>
      <c r="E91" s="34">
        <f>IF(_xlfn.XLOOKUP($A91,'[1]DATOS PBI Artículos'!A:A,'[1]DATOS PBI Artículos'!AK:AK)="",_xlfn.XLOOKUP($A91,'[1]DATOS PBI Artículos'!A:A,'[1]DATOS PBI Artículos'!AJ:AJ),_xlfn.XLOOKUP($A91,'[1]DATOS PBI Artículos'!A:A,'[1]DATOS PBI Artículos'!AK:AK))</f>
        <v>120000</v>
      </c>
      <c r="F91" s="35">
        <f>_xlfn.XLOOKUP($A91,'[1]DATOS PBI Artículos'!A:A,'[1]DATOS PBI Artículos'!AP:AP)</f>
        <v>40</v>
      </c>
      <c r="G91" s="34">
        <f>_xlfn.XLOOKUP($A91,'[1]DATOS PBI Artículos'!A:A,'[1]DATOS PBI Artículos'!AR:AR)</f>
        <v>60000</v>
      </c>
      <c r="H91" s="34">
        <f>_xlfn.XLOOKUP($A91,'[1]DATOS PBI Artículos'!A:A,'[1]DATOS PBI Artículos'!AT:AT)</f>
        <v>0</v>
      </c>
      <c r="I91" s="34">
        <f>_xlfn.XLOOKUP($A91,'[1]DATOS PBI Artículos'!A:A,'[1]DATOS PBI Artículos'!AS:AS)</f>
        <v>60000</v>
      </c>
      <c r="J91" s="35">
        <f>IF(COUNTIF([1]CRITERIOS!$F$179:$F$199,$A91)&gt;=1,
 IF(O91&lt;&gt;"",
    (O91/_xlfn.XLOOKUP(CONCATENATE(A91,L91),[1]MÁQUINAS!A:A,[1]MÁQUINAS!D:D))/24,
    (N91/_xlfn.XLOOKUP(CONCATENATE(A91,L91),[1]MÁQUINAS!A:A,[1]MÁQUINAS!D:D))/24),
  _xlfn.XLOOKUP($A91,'[1]DATOS PBI Artículos'!A:A,'[1]DATOS PBI Artículos'!AU:AU))</f>
        <v>25.333333333333336</v>
      </c>
      <c r="K91" s="36">
        <f>_xlfn.XLOOKUP($A91,'[1]DATOS PBI Artículos'!A:A,'[1]DATOS PBI Artículos'!AV:AV)</f>
        <v>10.263202878893768</v>
      </c>
      <c r="L91" s="33">
        <f>_xlfn.XLOOKUP(A91,[1]MÁQUINAS!B:B,[1]MÁQUINAS!C:C)</f>
        <v>213</v>
      </c>
      <c r="M91" s="34">
        <f t="array" ref="M91">_xlfn.XLOOKUP(A91,'[1]DATOS PBI Artículos'!A:A,'[1]DATOS PBI Artículos'!AX:$AX)</f>
        <v>72417.803819424924</v>
      </c>
      <c r="N91" s="37">
        <f>IF(I91="DV",
E91,
IF(COUNTIF([1]CRITERIOS!$I$179:$I$199,$A91)&gt;=1,
_xlfn.XLOOKUP($A91,[1]CRITERIOS!$I$179:$I$199,[1]CRITERIOS!$J$179:$J$199),
IF(COUNTIF([1]CRITERIOS!$L$179:$L$199,$A91)&gt;=1,
_xlfn.CEILING.MATH(IF($M91&gt;$E91,
$E91,
IF($M91&lt;$E91/ROUNDDOWN([1]CRITERIOS!$M$16/_xlfn.XLOOKUP($C91,[1]CRITERIOS!$K$25:$K$42,[1]CRITERIOS!$M$25:$M$42),
1),
E91/ROUNDDOWN([1]CRITERIOS!$M$16/_xlfn.XLOOKUP($C91,[1]CRITERIOS!$K$25:$K$42,[1]CRITERIOS!$M$25:$M$42),
1),
$M91)),
_xlfn.XLOOKUP($A91,[1]CRITERIOS!$L$179:$L$200,[1]CRITERIOS!$M$179:$M$200)),
_xlfn.CEILING.MATH(IF($M91&gt;$E91,
$E91,
IF($M91&lt;$E91/ROUNDDOWN([1]CRITERIOS!$M$16/_xlfn.XLOOKUP($C91,[1]CRITERIOS!$K$25:$K$42,[1]CRITERIOS!$M$25:$M$42),
1),
E91/ROUNDDOWN([1]CRITERIOS!$M$16/_xlfn.XLOOKUP($C91,[1]CRITERIOS!$K$25:$K$42,[1]CRITERIOS!$M$25:$M$42),
1),
$M91)),_xlfn.XLOOKUP(A91,'[1]DATOS PBI Artículos'!A:A,'[1]DATOS PBI Artículos'!Z:Z
)))))</f>
        <v>80000</v>
      </c>
      <c r="Q91" s="38">
        <f>IF(AND(O91="",N91=0),
0,
   IF(COUNTIF([1]CRITERIOS!$F$179:$F$199,$A91)&gt;=1,
   1,
   IF(R91="MTO",
      $D91,
      ROUNDUP(
                    IF(($E91-SUMIF('[1]DATOS PBI Artículos'!A:A,A91,'[1]DATOS PBI Artículos'!X:X)+($V91-_xlfn.XLOOKUP(A91,'[1]DATOS PBI Artículos'!A:A,'[1]DATOS PBI Artículos'!W:W)))&lt;0,
                    0,
                    IF(($E91-SUMIF('[1]DATOS PBI Artículos'!A:A,A91,'[1]DATOS PBI Artículos'!X:X)+$V91-_xlfn.XLOOKUP($A91,'[1]DATOS PBI Artículos'!A:A,'[1]DATOS PBI Artículos'!W:W))/IF($O91="",$N91,$O91)&gt;ROUNDUP([1]CRITERIOS!$M$16/(IF(COUNTIF([1]CRITERIOS!$BG$11:$BG$201,L91)&gt;=1,_xlfn.XLOOKUP($C91,[1]CRITERIOS!$K$25:$K$42,[1]CRITERIOS!$M$25:$M$42),_xlfn.XLOOKUP($C91,[1]CRITERIOS!$K$25:$K$42,[1]CRITERIOS!$M$25:$M$42))),0),
                    ROUNDUP([1]CRITERIOS!$M$16/(IF(COUNTIF([1]CRITERIOS!$BG$11:$BG$201,$L91)&gt;=1,_xlfn.XLOOKUP($C91,[1]CRITERIOS!$K$25:$K$42,[1]CRITERIOS!$M$25:$M$42),_xlfn.XLOOKUP($C91,[1]CRITERIOS!$K$25:$K$42,[1]CRITERIOS!$M$25:$M$42))),0),
                    (E91+V91-SUMIF('[1]DATOS PBI Artículos'!A:A,A91,'[1]DATOS PBI Artículos'!X:X)-_xlfn.XLOOKUP(A91,'[1]DATOS PBI Artículos'!A:A,'[1]DATOS PBI Artículos'!W:W))/IF($O91="",$N91,$O91))),0))))</f>
        <v>2</v>
      </c>
      <c r="R91" s="33" t="str">
        <f>IF(U91&lt;&gt;"",U91,IF(F91="DV","MTO",IF(N91=0,"MTO",_xlfn.XLOOKUP(CONCATENATE(S91,T91),[1]CRITERIOS!$K$160:$K$168,[1]CRITERIOS!$N$160:$N$168))))</f>
        <v>MTO</v>
      </c>
      <c r="S91" s="33" t="str">
        <f>IF(G91="DV","MTO",IF(N91=0,"MTO",IF(OR(AND(N91=0,O91=""),IF(O91="",G91/N91,G91/O91)&gt;[1]CRITERIOS!$G$163),"MTO",IF(IF(O91="",G91/N91,G91/O91)&lt;[1]CRITERIOS!$H$161,"MTS","MTOS"))))</f>
        <v>MTOS</v>
      </c>
      <c r="T91" s="33" t="str">
        <f>IF(F91="DV","MTO",IF(OR(AND($N91=0,O91=""),$F91/$J91&gt;[1]CRITERIOS!$G$170,$F91="DV"),"MTO",IF($F91/$J91&lt;[1]CRITERIOS!$H$168,"MTS","MTOS")))</f>
        <v>MTO</v>
      </c>
      <c r="V91" s="34" t="str">
        <f t="shared" si="4"/>
        <v/>
      </c>
      <c r="X91" s="34">
        <f t="shared" si="5"/>
        <v>0</v>
      </c>
      <c r="Y91" s="34">
        <f t="shared" si="6"/>
        <v>0</v>
      </c>
      <c r="Z91" s="34">
        <f>IF($R91="MTO",
0,
($H91+$K91*($E91/[1]CRITERIOS!$M$16))/[1]CRITERIOS!$X$48)</f>
        <v>0</v>
      </c>
      <c r="AA91" s="34" t="e">
        <f>ROUNDUP(($Y91/_xlfn.XLOOKUP($A91,'[1]DATOS PBI Artículos'!$A$4:$A$4,'[1]DATOS PBI Artículos'!$Z$4:$Z$4))/_xlfn.XLOOKUP(_xlfn.XLOOKUP($A91,'[1]DATOS PBI Artículos'!$A$4:$A$4,'[1]DATOS PBI Artículos'!$Y$4:$Y$4),[1]CRITERIOS!$P$79:$P$123,[1]CRITERIOS!$S$79:$S$123,),0)</f>
        <v>#N/A</v>
      </c>
      <c r="AB91" s="33" t="e">
        <f t="array" ref="AB91">IF((E91+V91-_xlfn.XLOOKUP(A91,'[1]DATOS PBI Artículos'!$A$4:$A$4,'[1]DATOS PBI Artículos'!$W$4:$W$4))/N91&gt;ROUNDUP([1]CRITERIOS!$M$16/(IF(COUNTIF([1]CRITERIOS!$BG$11:$BG$201,L91)&gt;=1,_xlfn.XLOOKUP(ARTÍCULOS!L91,[1]CRITERIOS!$BG$11:$BG$201,[1]CRITERIOS!$BJ$11:$BJ$201),_xlfn.XLOOKUP(ARTÍCULOS!C91,[1]CRITERIOS!$K$25:$K$42,[1]CRITERIOS!$M$25:$M$42))),0),ROUNDUP([1]CRITERIOS!$M$16/(IF(COUNTIF([1]CRITERIOS!$BG$11:$BG$201,L91)&gt;=1,_xlfn.XLOOKUP(ARTÍCULOS!L91,[1]CRITERIOS!$BG$11:$BG$201:#REF!,[1]CRITERIOS!$BJ$11:$BJ$201),_xlfn.XLOOKUP(ARTÍCULOS!C91,[1]CRITERIOS!$K$25:$K$42,[1]CRITERIOS!$M$25:$M$42))),0),(E91+V91-_xlfn.XLOOKUP(A91,'[1]DATOS PBI Artículos'!$A$4:$A$4,'[1]DATOS PBI Artículos'!$W$4:$W$4))/N91)</f>
        <v>#VALUE!</v>
      </c>
      <c r="AC91" s="33" t="e">
        <f>IF(N91=0,"",(ROUNDUP((N91/2)/(_xlfn.XLOOKUP(A91,'[1]DATOS PBI Artículos'!$A$4:$A$4,'[1]DATOS PBI Artículos'!$Z$4:$Z$4)*_xlfn.XLOOKUP(_xlfn.XLOOKUP(A91,'[1]DATOS PBI Artículos'!$A$4:$A$4,'[1]DATOS PBI Artículos'!$Y$4:$Y$4),[1]CRITERIOS!$P$79:$P$123,[1]CRITERIOS!$S$79:$S$123)),0)*[1]CRITERIOS!$M$80*([1]CRITERIOS!$M$110/[1]CRITERIOS!$M$86)+(_xlfn.XLOOKUP(A91,'[1]DATOS PBI Artículos'!$A$4:$A$4,'[1]DATOS PBI Artículos'!$AA$4:$AA$4)*([1]CRITERIOS!$M$95+[1]CRITERIOS!$M$98)))/N91)</f>
        <v>#N/A</v>
      </c>
      <c r="AD91" s="33" t="e">
        <f>IF(N91=0,"",(ROUNDUP((N91/2)/(_xlfn.XLOOKUP(A91,'[1]DATOS PBI Artículos'!$A$4:$A$4,'[1]DATOS PBI Artículos'!$Z$4:$Z$4)*_xlfn.XLOOKUP(_xlfn.XLOOKUP(A91,'[1]DATOS PBI Artículos'!$A$4:$A$4,'[1]DATOS PBI Artículos'!$Y$4:$Y$4),[1]CRITERIOS!$P$79:$P$123,[1]CRITERIOS!$S$79:$S$123)),0)*[1]CRITERIOS!$M$80*([1]CRITERIOS!$M$89*[1]CRITERIOS!$M$92)+((_xlfn.XLOOKUP(A91,'[1]DATOS PBI Artículos'!$A$4:$A$4,'[1]DATOS PBI Artículos'!$AA$4:$AA$4)/2)*([1]CRITERIOS!$M$95+[1]CRITERIOS!$M$98)))/N91)</f>
        <v>#N/A</v>
      </c>
      <c r="AE91" s="39" t="str">
        <f>IF($R91="MTO","",
IF($H91=0,ROUNDUP(((_xlfn.XLOOKUP($A91,'[1]DATOS PBI Artículos'!$A:$A,'[1]DATOS PBI Artículos'!$AL:$AL))/(_xlfn.XLOOKUP($AF$1,[1]CRITERIOS!$S$16:$S$39,[1]CRITERIOS!$Y$16:$Y$39))*$J91+$Z91)/$G91,0)*$G91,
((_xlfn.XLOOKUP($A91,'[1]DATOS PBI Artículos'!$A:$A,'[1]DATOS PBI Artículos'!$AL:$AL))/(_xlfn.XLOOKUP($AF$1,[1]CRITERIOS!$S$16:$S$39,[1]CRITERIOS!$Y$16:$Y$39))*$J91+$Z91)))</f>
        <v/>
      </c>
      <c r="AG91" s="39" t="str">
        <f>IF($R91="MTO","",
IF($H91=0,ROUNDUP(((_xlfn.XLOOKUP($A91,'[1]DATOS PBI Artículos'!$A:$A,'[1]DATOS PBI Artículos'!$AM:$AM))/(_xlfn.XLOOKUP($AH$1,[1]CRITERIOS!$S$16:$S$39,[1]CRITERIOS!$Y$16:$Y$39))*$J91+$Z91)/$G91,0)*$G91,
((_xlfn.XLOOKUP($A91,'[1]DATOS PBI Artículos'!$A:$A,'[1]DATOS PBI Artículos'!$AM:$AM))/(_xlfn.XLOOKUP($AH$1,[1]CRITERIOS!$S$16:$S$39,[1]CRITERIOS!$Y$16:$Y$39))*$J91+$Z91)))</f>
        <v/>
      </c>
      <c r="AI91" s="39" t="str">
        <f>IF($R91="MTO","",
IF($H91=0,ROUNDUP(((_xlfn.XLOOKUP($A91,'[1]DATOS PBI Artículos'!$A:$A,'[1]DATOS PBI Artículos'!$AN:$AN))/(_xlfn.XLOOKUP($AJ$1,[1]CRITERIOS!$S$16:$S$39,[1]CRITERIOS!$Y$16:$Y$39))*$J91+$Z91)/$G91,0)*$G91,
((_xlfn.XLOOKUP($A91,'[1]DATOS PBI Artículos'!$A:$A,'[1]DATOS PBI Artículos'!$AN:$AN))/(_xlfn.XLOOKUP($AJ$1,[1]CRITERIOS!$S$16:$S$39,[1]CRITERIOS!$Y$16:$Y$39))*$J91+$Z91)))</f>
        <v/>
      </c>
      <c r="AK91" s="39" t="str">
        <f>IF($R91="MTO","",
IF($H91=0,ROUNDUP(((_xlfn.XLOOKUP($A91,'[1]DATOS PBI Artículos'!$A:$A,'[1]DATOS PBI Artículos'!$AO:$AO))/(_xlfn.XLOOKUP($AL$1,[1]CRITERIOS!$S$16:$S$39,[1]CRITERIOS!$Y$16:$Y$39))*$J91+$Z91)/$G91,0)*$G91,
((_xlfn.XLOOKUP($A91,'[1]DATOS PBI Artículos'!$A:$A,'[1]DATOS PBI Artículos'!$AO:$AO))/(_xlfn.XLOOKUP($AL$1,[1]CRITERIOS!$S$16:$S$39,[1]CRITERIOS!$Y$16:$Y$39))*$J91+$Z91)))</f>
        <v/>
      </c>
    </row>
    <row r="92" spans="1:37" ht="25.8" x14ac:dyDescent="0.5">
      <c r="A92" s="32" t="s">
        <v>68</v>
      </c>
      <c r="B92" s="33">
        <f>_xlfn.XLOOKUP($A92,'[1]DATOS PBI Artículos'!A:A,'[1]DATOS PBI Artículos'!B:B)</f>
        <v>0</v>
      </c>
      <c r="C92" s="33" t="str">
        <f>_xlfn.XLOOKUP($A92,'[1]DATOS PBI Artículos'!A:A,'[1]DATOS PBI Artículos'!C:C)</f>
        <v>UA01</v>
      </c>
      <c r="D92" s="33">
        <f>_xlfn.XLOOKUP(A92,'[1]DATOS PBI Artículos'!A:A,'[1]DATOS PBI Artículos'!T:T)</f>
        <v>9</v>
      </c>
      <c r="E92" s="34">
        <f>IF(_xlfn.XLOOKUP($A92,'[1]DATOS PBI Artículos'!A:A,'[1]DATOS PBI Artículos'!AK:AK)="",_xlfn.XLOOKUP($A92,'[1]DATOS PBI Artículos'!A:A,'[1]DATOS PBI Artículos'!AJ:AJ),_xlfn.XLOOKUP($A92,'[1]DATOS PBI Artículos'!A:A,'[1]DATOS PBI Artículos'!AK:AK))</f>
        <v>120000</v>
      </c>
      <c r="F92" s="35">
        <f>_xlfn.XLOOKUP($A92,'[1]DATOS PBI Artículos'!A:A,'[1]DATOS PBI Artículos'!AP:AP)</f>
        <v>29.5</v>
      </c>
      <c r="G92" s="34">
        <f>_xlfn.XLOOKUP($A92,'[1]DATOS PBI Artículos'!A:A,'[1]DATOS PBI Artículos'!AR:AR)</f>
        <v>40000</v>
      </c>
      <c r="H92" s="34">
        <f>_xlfn.XLOOKUP($A92,'[1]DATOS PBI Artículos'!A:A,'[1]DATOS PBI Artículos'!AT:AT)</f>
        <v>0</v>
      </c>
      <c r="I92" s="34">
        <f>_xlfn.XLOOKUP($A92,'[1]DATOS PBI Artículos'!A:A,'[1]DATOS PBI Artículos'!AS:AS)</f>
        <v>40000</v>
      </c>
      <c r="J92" s="35">
        <f>IF(COUNTIF([1]CRITERIOS!$F$179:$F$199,$A92)&gt;=1,
 IF(O92&lt;&gt;"",
    (O92/_xlfn.XLOOKUP(CONCATENATE(A92,L92),[1]MÁQUINAS!A:A,[1]MÁQUINAS!D:D))/24,
    (N92/_xlfn.XLOOKUP(CONCATENATE(A92,L92),[1]MÁQUINAS!A:A,[1]MÁQUINAS!D:D))/24),
  _xlfn.XLOOKUP($A92,'[1]DATOS PBI Artículos'!A:A,'[1]DATOS PBI Artículos'!AU:AU))</f>
        <v>32.200000000000003</v>
      </c>
      <c r="K92" s="36">
        <f>_xlfn.XLOOKUP($A92,'[1]DATOS PBI Artículos'!A:A,'[1]DATOS PBI Artículos'!AV:AV)</f>
        <v>11.25610945220417</v>
      </c>
      <c r="L92" s="33">
        <f>_xlfn.XLOOKUP(A92,[1]MÁQUINAS!B:B,[1]MÁQUINAS!C:C)</f>
        <v>401</v>
      </c>
      <c r="M92" s="34">
        <f t="array" ref="M92">_xlfn.XLOOKUP(A92,'[1]DATOS PBI Artículos'!A:A,'[1]DATOS PBI Artículos'!AX:$AX)</f>
        <v>71071.815147533096</v>
      </c>
      <c r="N92" s="37">
        <f>IF(I92="DV",
E92,
IF(COUNTIF([1]CRITERIOS!$I$179:$I$199,$A92)&gt;=1,
_xlfn.XLOOKUP($A92,[1]CRITERIOS!$I$179:$I$199,[1]CRITERIOS!$J$179:$J$199),
IF(COUNTIF([1]CRITERIOS!$L$179:$L$199,$A92)&gt;=1,
_xlfn.CEILING.MATH(IF($M92&gt;$E92,
$E92,
IF($M92&lt;$E92/ROUNDDOWN([1]CRITERIOS!$M$16/_xlfn.XLOOKUP($C92,[1]CRITERIOS!$K$25:$K$42,[1]CRITERIOS!$M$25:$M$42),
1),
E92/ROUNDDOWN([1]CRITERIOS!$M$16/_xlfn.XLOOKUP($C92,[1]CRITERIOS!$K$25:$K$42,[1]CRITERIOS!$M$25:$M$42),
1),
$M92)),
_xlfn.XLOOKUP($A92,[1]CRITERIOS!$L$179:$L$200,[1]CRITERIOS!$M$179:$M$200)),
_xlfn.CEILING.MATH(IF($M92&gt;$E92,
$E92,
IF($M92&lt;$E92/ROUNDDOWN([1]CRITERIOS!$M$16/_xlfn.XLOOKUP($C92,[1]CRITERIOS!$K$25:$K$42,[1]CRITERIOS!$M$25:$M$42),
1),
E92/ROUNDDOWN([1]CRITERIOS!$M$16/_xlfn.XLOOKUP($C92,[1]CRITERIOS!$K$25:$K$42,[1]CRITERIOS!$M$25:$M$42),
1),
$M92)),_xlfn.XLOOKUP(A92,'[1]DATOS PBI Artículos'!A:A,'[1]DATOS PBI Artículos'!Z:Z
)))))</f>
        <v>72000</v>
      </c>
      <c r="Q92" s="38">
        <f>IF(AND(O92="",N92=0),
0,
   IF(COUNTIF([1]CRITERIOS!$F$179:$F$199,$A92)&gt;=1,
   1,
   IF(R92="MTO",
      $D92,
      ROUNDUP(
                    IF(($E92-SUMIF('[1]DATOS PBI Artículos'!A:A,A92,'[1]DATOS PBI Artículos'!X:X)+($V92-_xlfn.XLOOKUP(A92,'[1]DATOS PBI Artículos'!A:A,'[1]DATOS PBI Artículos'!W:W)))&lt;0,
                    0,
                    IF(($E92-SUMIF('[1]DATOS PBI Artículos'!A:A,A92,'[1]DATOS PBI Artículos'!X:X)+$V92-_xlfn.XLOOKUP($A92,'[1]DATOS PBI Artículos'!A:A,'[1]DATOS PBI Artículos'!W:W))/IF($O92="",$N92,$O92)&gt;ROUNDUP([1]CRITERIOS!$M$16/(IF(COUNTIF([1]CRITERIOS!$BG$11:$BG$201,L92)&gt;=1,_xlfn.XLOOKUP($C92,[1]CRITERIOS!$K$25:$K$42,[1]CRITERIOS!$M$25:$M$42),_xlfn.XLOOKUP($C92,[1]CRITERIOS!$K$25:$K$42,[1]CRITERIOS!$M$25:$M$42))),0),
                    ROUNDUP([1]CRITERIOS!$M$16/(IF(COUNTIF([1]CRITERIOS!$BG$11:$BG$201,$L92)&gt;=1,_xlfn.XLOOKUP($C92,[1]CRITERIOS!$K$25:$K$42,[1]CRITERIOS!$M$25:$M$42),_xlfn.XLOOKUP($C92,[1]CRITERIOS!$K$25:$K$42,[1]CRITERIOS!$M$25:$M$42))),0),
                    (E92+V92-SUMIF('[1]DATOS PBI Artículos'!A:A,A92,'[1]DATOS PBI Artículos'!X:X)-_xlfn.XLOOKUP(A92,'[1]DATOS PBI Artículos'!A:A,'[1]DATOS PBI Artículos'!W:W))/IF($O92="",$N92,$O92))),0))))</f>
        <v>3</v>
      </c>
      <c r="R92" s="33" t="str">
        <f>IF(U92&lt;&gt;"",U92,IF(F92="DV","MTO",IF(N92=0,"MTO",_xlfn.XLOOKUP(CONCATENATE(S92,T92),[1]CRITERIOS!$K$160:$K$168,[1]CRITERIOS!$N$160:$N$168))))</f>
        <v>MTS</v>
      </c>
      <c r="S92" s="33" t="str">
        <f>IF(G92="DV","MTO",IF(N92=0,"MTO",IF(OR(AND(N92=0,O92=""),IF(O92="",G92/N92,G92/O92)&gt;[1]CRITERIOS!$G$163),"MTO",IF(IF(O92="",G92/N92,G92/O92)&lt;[1]CRITERIOS!$H$161,"MTS","MTOS"))))</f>
        <v>MTOS</v>
      </c>
      <c r="T92" s="33" t="str">
        <f>IF(F92="DV","MTO",IF(OR(AND($N92=0,O92=""),$F92/$J92&gt;[1]CRITERIOS!$G$170,$F92="DV"),"MTO",IF($F92/$J92&lt;[1]CRITERIOS!$H$168,"MTS","MTOS")))</f>
        <v>MTS</v>
      </c>
      <c r="V92" s="34">
        <f t="shared" ref="V92:V155" si="7">IF(R92="MTO","",
IF($H92=0,(((($J92/$F92)*$G92)+$Z92)/$G92)*$G92,
(($J92/$F92)*$G92)+$Z92))</f>
        <v>58669.162885424768</v>
      </c>
      <c r="X92" s="34">
        <f t="shared" si="5"/>
        <v>130669.16288542477</v>
      </c>
      <c r="Y92" s="34">
        <f t="shared" si="6"/>
        <v>51008.145936272223</v>
      </c>
      <c r="Z92" s="34">
        <f>IF($R92="MTO",
0,
($H92+$K92*($E92/[1]CRITERIOS!$M$16))/[1]CRITERIOS!$X$48)</f>
        <v>15008.145936272225</v>
      </c>
      <c r="AA92" s="34" t="e">
        <f>ROUNDUP(($Y92/_xlfn.XLOOKUP($A92,'[1]DATOS PBI Artículos'!$A$4:$A$4,'[1]DATOS PBI Artículos'!$Z$4:$Z$4))/_xlfn.XLOOKUP(_xlfn.XLOOKUP($A92,'[1]DATOS PBI Artículos'!$A$4:$A$4,'[1]DATOS PBI Artículos'!$Y$4:$Y$4),[1]CRITERIOS!$P$79:$P$123,[1]CRITERIOS!$S$79:$S$123,),0)</f>
        <v>#N/A</v>
      </c>
      <c r="AB92" s="33" t="e">
        <f t="array" ref="AB92">IF((E92+V92-_xlfn.XLOOKUP(A92,'[1]DATOS PBI Artículos'!$A$4:$A$4,'[1]DATOS PBI Artículos'!$W$4:$W$4))/N92&gt;ROUNDUP([1]CRITERIOS!$M$16/(IF(COUNTIF([1]CRITERIOS!$BG$11:$BG$201,L92)&gt;=1,_xlfn.XLOOKUP(ARTÍCULOS!L92,[1]CRITERIOS!$BG$11:$BG$201,[1]CRITERIOS!$BJ$11:$BJ$201),_xlfn.XLOOKUP(ARTÍCULOS!C92,[1]CRITERIOS!$K$25:$K$42,[1]CRITERIOS!$M$25:$M$42))),0),ROUNDUP([1]CRITERIOS!$M$16/(IF(COUNTIF([1]CRITERIOS!$BG$11:$BG$201,L92)&gt;=1,_xlfn.XLOOKUP(ARTÍCULOS!L92,[1]CRITERIOS!$BG$11:$BG$201:#REF!,[1]CRITERIOS!$BJ$11:$BJ$201),_xlfn.XLOOKUP(ARTÍCULOS!C92,[1]CRITERIOS!$K$25:$K$42,[1]CRITERIOS!$M$25:$M$42))),0),(E92+V92-_xlfn.XLOOKUP(A92,'[1]DATOS PBI Artículos'!$A$4:$A$4,'[1]DATOS PBI Artículos'!$W$4:$W$4))/N92)</f>
        <v>#N/A</v>
      </c>
      <c r="AC92" s="33" t="e">
        <f>IF(N92=0,"",(ROUNDUP((N92/2)/(_xlfn.XLOOKUP(A92,'[1]DATOS PBI Artículos'!$A$4:$A$4,'[1]DATOS PBI Artículos'!$Z$4:$Z$4)*_xlfn.XLOOKUP(_xlfn.XLOOKUP(A92,'[1]DATOS PBI Artículos'!$A$4:$A$4,'[1]DATOS PBI Artículos'!$Y$4:$Y$4),[1]CRITERIOS!$P$79:$P$123,[1]CRITERIOS!$S$79:$S$123)),0)*[1]CRITERIOS!$M$80*([1]CRITERIOS!$M$110/[1]CRITERIOS!$M$86)+(_xlfn.XLOOKUP(A92,'[1]DATOS PBI Artículos'!$A$4:$A$4,'[1]DATOS PBI Artículos'!$AA$4:$AA$4)*([1]CRITERIOS!$M$95+[1]CRITERIOS!$M$98)))/N92)</f>
        <v>#N/A</v>
      </c>
      <c r="AD92" s="33" t="e">
        <f>IF(N92=0,"",(ROUNDUP((N92/2)/(_xlfn.XLOOKUP(A92,'[1]DATOS PBI Artículos'!$A$4:$A$4,'[1]DATOS PBI Artículos'!$Z$4:$Z$4)*_xlfn.XLOOKUP(_xlfn.XLOOKUP(A92,'[1]DATOS PBI Artículos'!$A$4:$A$4,'[1]DATOS PBI Artículos'!$Y$4:$Y$4),[1]CRITERIOS!$P$79:$P$123,[1]CRITERIOS!$S$79:$S$123)),0)*[1]CRITERIOS!$M$80*([1]CRITERIOS!$M$89*[1]CRITERIOS!$M$92)+((_xlfn.XLOOKUP(A92,'[1]DATOS PBI Artículos'!$A$4:$A$4,'[1]DATOS PBI Artículos'!$AA$4:$AA$4)/2)*([1]CRITERIOS!$M$95+[1]CRITERIOS!$M$98)))/N92)</f>
        <v>#N/A</v>
      </c>
      <c r="AE92" s="39">
        <f>IF($R92="MTO","",
IF($H92=0,ROUNDUP(((_xlfn.XLOOKUP($A92,'[1]DATOS PBI Artículos'!$A:$A,'[1]DATOS PBI Artículos'!$AL:$AL))/(_xlfn.XLOOKUP($AF$1,[1]CRITERIOS!$S$16:$S$39,[1]CRITERIOS!$Y$16:$Y$39))*$J92+$Z92)/$G92,0)*$G92,
((_xlfn.XLOOKUP($A92,'[1]DATOS PBI Artículos'!$A:$A,'[1]DATOS PBI Artículos'!$AL:$AL))/(_xlfn.XLOOKUP($AF$1,[1]CRITERIOS!$S$16:$S$39,[1]CRITERIOS!$Y$16:$Y$39))*$J92+$Z92)))</f>
        <v>80000</v>
      </c>
      <c r="AG92" s="39">
        <f>IF($R92="MTO","",
IF($H92=0,ROUNDUP(((_xlfn.XLOOKUP($A92,'[1]DATOS PBI Artículos'!$A:$A,'[1]DATOS PBI Artículos'!$AM:$AM))/(_xlfn.XLOOKUP($AH$1,[1]CRITERIOS!$S$16:$S$39,[1]CRITERIOS!$Y$16:$Y$39))*$J92+$Z92)/$G92,0)*$G92,
((_xlfn.XLOOKUP($A92,'[1]DATOS PBI Artículos'!$A:$A,'[1]DATOS PBI Artículos'!$AM:$AM))/(_xlfn.XLOOKUP($AH$1,[1]CRITERIOS!$S$16:$S$39,[1]CRITERIOS!$Y$16:$Y$39))*$J92+$Z92)))</f>
        <v>80000</v>
      </c>
      <c r="AI92" s="39">
        <f>IF($R92="MTO","",
IF($H92=0,ROUNDUP(((_xlfn.XLOOKUP($A92,'[1]DATOS PBI Artículos'!$A:$A,'[1]DATOS PBI Artículos'!$AN:$AN))/(_xlfn.XLOOKUP($AJ$1,[1]CRITERIOS!$S$16:$S$39,[1]CRITERIOS!$Y$16:$Y$39))*$J92+$Z92)/$G92,0)*$G92,
((_xlfn.XLOOKUP($A92,'[1]DATOS PBI Artículos'!$A:$A,'[1]DATOS PBI Artículos'!$AN:$AN))/(_xlfn.XLOOKUP($AJ$1,[1]CRITERIOS!$S$16:$S$39,[1]CRITERIOS!$Y$16:$Y$39))*$J92+$Z92)))</f>
        <v>80000</v>
      </c>
      <c r="AK92" s="39">
        <f>IF($R92="MTO","",
IF($H92=0,ROUNDUP(((_xlfn.XLOOKUP($A92,'[1]DATOS PBI Artículos'!$A:$A,'[1]DATOS PBI Artículos'!$AO:$AO))/(_xlfn.XLOOKUP($AL$1,[1]CRITERIOS!$S$16:$S$39,[1]CRITERIOS!$Y$16:$Y$39))*$J92+$Z92)/$G92,0)*$G92,
((_xlfn.XLOOKUP($A92,'[1]DATOS PBI Artículos'!$A:$A,'[1]DATOS PBI Artículos'!$AO:$AO))/(_xlfn.XLOOKUP($AL$1,[1]CRITERIOS!$S$16:$S$39,[1]CRITERIOS!$Y$16:$Y$39))*$J92+$Z92)))</f>
        <v>80000</v>
      </c>
    </row>
    <row r="93" spans="1:37" ht="25.8" x14ac:dyDescent="0.5">
      <c r="A93" s="32">
        <v>403994</v>
      </c>
      <c r="B93" s="33">
        <f>_xlfn.XLOOKUP($A93,'[1]DATOS PBI Artículos'!A:A,'[1]DATOS PBI Artículos'!B:B)</f>
        <v>0</v>
      </c>
      <c r="C93" s="33" t="str">
        <f>_xlfn.XLOOKUP($A93,'[1]DATOS PBI Artículos'!A:A,'[1]DATOS PBI Artículos'!C:C)</f>
        <v>UA02</v>
      </c>
      <c r="D93" s="33">
        <f>_xlfn.XLOOKUP(A93,'[1]DATOS PBI Artículos'!A:A,'[1]DATOS PBI Artículos'!T:T)</f>
        <v>4</v>
      </c>
      <c r="E93" s="34">
        <f>IF(_xlfn.XLOOKUP($A93,'[1]DATOS PBI Artículos'!A:A,'[1]DATOS PBI Artículos'!AK:AK)="",_xlfn.XLOOKUP($A93,'[1]DATOS PBI Artículos'!A:A,'[1]DATOS PBI Artículos'!AJ:AJ),_xlfn.XLOOKUP($A93,'[1]DATOS PBI Artículos'!A:A,'[1]DATOS PBI Artículos'!AK:AK))</f>
        <v>120000</v>
      </c>
      <c r="F93" s="35">
        <f>_xlfn.XLOOKUP($A93,'[1]DATOS PBI Artículos'!A:A,'[1]DATOS PBI Artículos'!AP:AP)</f>
        <v>5.8</v>
      </c>
      <c r="G93" s="34">
        <f>_xlfn.XLOOKUP($A93,'[1]DATOS PBI Artículos'!A:A,'[1]DATOS PBI Artículos'!AR:AR)</f>
        <v>5000</v>
      </c>
      <c r="H93" s="34">
        <f>_xlfn.XLOOKUP($A93,'[1]DATOS PBI Artículos'!A:A,'[1]DATOS PBI Artículos'!AT:AT)</f>
        <v>0</v>
      </c>
      <c r="I93" s="34">
        <f>_xlfn.XLOOKUP($A93,'[1]DATOS PBI Artículos'!A:A,'[1]DATOS PBI Artículos'!AS:AS)</f>
        <v>5000</v>
      </c>
      <c r="J93" s="35">
        <f>IF(COUNTIF([1]CRITERIOS!$F$179:$F$199,$A93)&gt;=1,
 IF(O93&lt;&gt;"",
    (O93/_xlfn.XLOOKUP(CONCATENATE(A93,L93),[1]MÁQUINAS!A:A,[1]MÁQUINAS!D:D))/24,
    (N93/_xlfn.XLOOKUP(CONCATENATE(A93,L93),[1]MÁQUINAS!A:A,[1]MÁQUINAS!D:D))/24),
  _xlfn.XLOOKUP($A93,'[1]DATOS PBI Artículos'!A:A,'[1]DATOS PBI Artículos'!AU:AU))</f>
        <v>19.076923076923077</v>
      </c>
      <c r="K93" s="36">
        <f>_xlfn.XLOOKUP($A93,'[1]DATOS PBI Artículos'!A:A,'[1]DATOS PBI Artículos'!AV:AV)</f>
        <v>5.057363253408151</v>
      </c>
      <c r="L93" s="33">
        <f>_xlfn.XLOOKUP(A93,[1]MÁQUINAS!B:B,[1]MÁQUINAS!C:C)</f>
        <v>221</v>
      </c>
      <c r="M93" s="34">
        <f t="array" ref="M93">_xlfn.XLOOKUP(A93,'[1]DATOS PBI Artículos'!A:A,'[1]DATOS PBI Artículos'!AX:$AX)</f>
        <v>35822.533088580189</v>
      </c>
      <c r="N93" s="37">
        <f>IF(I93="DV",
E93,
IF(COUNTIF([1]CRITERIOS!$I$179:$I$199,$A93)&gt;=1,
_xlfn.XLOOKUP($A93,[1]CRITERIOS!$I$179:$I$199,[1]CRITERIOS!$J$179:$J$199),
IF(COUNTIF([1]CRITERIOS!$L$179:$L$199,$A93)&gt;=1,
_xlfn.CEILING.MATH(IF($M93&gt;$E93,
$E93,
IF($M93&lt;$E93/ROUNDDOWN([1]CRITERIOS!$M$16/_xlfn.XLOOKUP($C93,[1]CRITERIOS!$K$25:$K$42,[1]CRITERIOS!$M$25:$M$42),
1),
E93/ROUNDDOWN([1]CRITERIOS!$M$16/_xlfn.XLOOKUP($C93,[1]CRITERIOS!$K$25:$K$42,[1]CRITERIOS!$M$25:$M$42),
1),
$M93)),
_xlfn.XLOOKUP($A93,[1]CRITERIOS!$L$179:$L$200,[1]CRITERIOS!$M$179:$M$200)),
_xlfn.CEILING.MATH(IF($M93&gt;$E93,
$E93,
IF($M93&lt;$E93/ROUNDDOWN([1]CRITERIOS!$M$16/_xlfn.XLOOKUP($C93,[1]CRITERIOS!$K$25:$K$42,[1]CRITERIOS!$M$25:$M$42),
1),
E93/ROUNDDOWN([1]CRITERIOS!$M$16/_xlfn.XLOOKUP($C93,[1]CRITERIOS!$K$25:$K$42,[1]CRITERIOS!$M$25:$M$42),
1),
$M93)),_xlfn.XLOOKUP(A93,'[1]DATOS PBI Artículos'!A:A,'[1]DATOS PBI Artículos'!Z:Z
)))))</f>
        <v>40000</v>
      </c>
      <c r="Q93" s="38">
        <f>IF(AND(O93="",N93=0),
0,
   IF(COUNTIF([1]CRITERIOS!$F$179:$F$199,$A93)&gt;=1,
   1,
   IF(R93="MTO",
      $D93,
      ROUNDUP(
                    IF(($E93-SUMIF('[1]DATOS PBI Artículos'!A:A,A93,'[1]DATOS PBI Artículos'!X:X)+($V93-_xlfn.XLOOKUP(A93,'[1]DATOS PBI Artículos'!A:A,'[1]DATOS PBI Artículos'!W:W)))&lt;0,
                    0,
                    IF(($E93-SUMIF('[1]DATOS PBI Artículos'!A:A,A93,'[1]DATOS PBI Artículos'!X:X)+$V93-_xlfn.XLOOKUP($A93,'[1]DATOS PBI Artículos'!A:A,'[1]DATOS PBI Artículos'!W:W))/IF($O93="",$N93,$O93)&gt;ROUNDUP([1]CRITERIOS!$M$16/(IF(COUNTIF([1]CRITERIOS!$BG$11:$BG$201,L93)&gt;=1,_xlfn.XLOOKUP($C93,[1]CRITERIOS!$K$25:$K$42,[1]CRITERIOS!$M$25:$M$42),_xlfn.XLOOKUP($C93,[1]CRITERIOS!$K$25:$K$42,[1]CRITERIOS!$M$25:$M$42))),0),
                    ROUNDUP([1]CRITERIOS!$M$16/(IF(COUNTIF([1]CRITERIOS!$BG$11:$BG$201,$L93)&gt;=1,_xlfn.XLOOKUP($C93,[1]CRITERIOS!$K$25:$K$42,[1]CRITERIOS!$M$25:$M$42),_xlfn.XLOOKUP($C93,[1]CRITERIOS!$K$25:$K$42,[1]CRITERIOS!$M$25:$M$42))),0),
                    (E93+V93-SUMIF('[1]DATOS PBI Artículos'!A:A,A93,'[1]DATOS PBI Artículos'!X:X)-_xlfn.XLOOKUP(A93,'[1]DATOS PBI Artículos'!A:A,'[1]DATOS PBI Artículos'!W:W))/IF($O93="",$N93,$O93))),0))))</f>
        <v>1</v>
      </c>
      <c r="R93" s="33" t="str">
        <f>IF(U93&lt;&gt;"",U93,IF(F93="DV","MTO",IF(N93=0,"MTO",_xlfn.XLOOKUP(CONCATENATE(S93,T93),[1]CRITERIOS!$K$160:$K$168,[1]CRITERIOS!$N$160:$N$168))))</f>
        <v>MTS</v>
      </c>
      <c r="S93" s="33" t="str">
        <f>IF(G93="DV","MTO",IF(N93=0,"MTO",IF(OR(AND(N93=0,O93=""),IF(O93="",G93/N93,G93/O93)&gt;[1]CRITERIOS!$G$163),"MTO",IF(IF(O93="",G93/N93,G93/O93)&lt;[1]CRITERIOS!$H$161,"MTS","MTOS"))))</f>
        <v>MTS</v>
      </c>
      <c r="T93" s="33" t="str">
        <f>IF(F93="DV","MTO",IF(OR(AND($N93=0,O93=""),$F93/$J93&gt;[1]CRITERIOS!$G$170,$F93="DV"),"MTO",IF($F93/$J93&lt;[1]CRITERIOS!$H$168,"MTS","MTOS")))</f>
        <v>MTS</v>
      </c>
      <c r="V93" s="34">
        <f t="shared" si="7"/>
        <v>23188.774346719267</v>
      </c>
      <c r="X93" s="34">
        <f t="shared" si="5"/>
        <v>63188.774346719263</v>
      </c>
      <c r="Y93" s="34">
        <f t="shared" si="6"/>
        <v>26743.151004544201</v>
      </c>
      <c r="Z93" s="34">
        <f>IF($R93="MTO",
0,
($H93+$K93*($E93/[1]CRITERIOS!$M$16))/[1]CRITERIOS!$X$48)</f>
        <v>6743.151004544201</v>
      </c>
      <c r="AA93" s="34" t="e">
        <f>ROUNDUP(($Y93/_xlfn.XLOOKUP($A93,'[1]DATOS PBI Artículos'!$A$4:$A$4,'[1]DATOS PBI Artículos'!$Z$4:$Z$4))/_xlfn.XLOOKUP(_xlfn.XLOOKUP($A93,'[1]DATOS PBI Artículos'!$A$4:$A$4,'[1]DATOS PBI Artículos'!$Y$4:$Y$4),[1]CRITERIOS!$P$79:$P$123,[1]CRITERIOS!$S$79:$S$123,),0)</f>
        <v>#N/A</v>
      </c>
      <c r="AB93" s="33" t="e">
        <f t="array" ref="AB93">IF((E93+V93-_xlfn.XLOOKUP(A93,'[1]DATOS PBI Artículos'!$A$4:$A$4,'[1]DATOS PBI Artículos'!$W$4:$W$4))/N93&gt;ROUNDUP([1]CRITERIOS!$M$16/(IF(COUNTIF([1]CRITERIOS!$BG$11:$BG$201,L93)&gt;=1,_xlfn.XLOOKUP(ARTÍCULOS!L93,[1]CRITERIOS!$BG$11:$BG$201,[1]CRITERIOS!$BJ$11:$BJ$201),_xlfn.XLOOKUP(ARTÍCULOS!C93,[1]CRITERIOS!$K$25:$K$42,[1]CRITERIOS!$M$25:$M$42))),0),ROUNDUP([1]CRITERIOS!$M$16/(IF(COUNTIF([1]CRITERIOS!$BG$11:$BG$201,L93)&gt;=1,_xlfn.XLOOKUP(ARTÍCULOS!L93,[1]CRITERIOS!$BG$11:$BG$201:#REF!,[1]CRITERIOS!$BJ$11:$BJ$201),_xlfn.XLOOKUP(ARTÍCULOS!C93,[1]CRITERIOS!$K$25:$K$42,[1]CRITERIOS!$M$25:$M$42))),0),(E93+V93-_xlfn.XLOOKUP(A93,'[1]DATOS PBI Artículos'!$A$4:$A$4,'[1]DATOS PBI Artículos'!$W$4:$W$4))/N93)</f>
        <v>#N/A</v>
      </c>
      <c r="AC93" s="33" t="e">
        <f>IF(N93=0,"",(ROUNDUP((N93/2)/(_xlfn.XLOOKUP(A93,'[1]DATOS PBI Artículos'!$A$4:$A$4,'[1]DATOS PBI Artículos'!$Z$4:$Z$4)*_xlfn.XLOOKUP(_xlfn.XLOOKUP(A93,'[1]DATOS PBI Artículos'!$A$4:$A$4,'[1]DATOS PBI Artículos'!$Y$4:$Y$4),[1]CRITERIOS!$P$79:$P$123,[1]CRITERIOS!$S$79:$S$123)),0)*[1]CRITERIOS!$M$80*([1]CRITERIOS!$M$110/[1]CRITERIOS!$M$86)+(_xlfn.XLOOKUP(A93,'[1]DATOS PBI Artículos'!$A$4:$A$4,'[1]DATOS PBI Artículos'!$AA$4:$AA$4)*([1]CRITERIOS!$M$95+[1]CRITERIOS!$M$98)))/N93)</f>
        <v>#N/A</v>
      </c>
      <c r="AD93" s="33" t="e">
        <f>IF(N93=0,"",(ROUNDUP((N93/2)/(_xlfn.XLOOKUP(A93,'[1]DATOS PBI Artículos'!$A$4:$A$4,'[1]DATOS PBI Artículos'!$Z$4:$Z$4)*_xlfn.XLOOKUP(_xlfn.XLOOKUP(A93,'[1]DATOS PBI Artículos'!$A$4:$A$4,'[1]DATOS PBI Artículos'!$Y$4:$Y$4),[1]CRITERIOS!$P$79:$P$123,[1]CRITERIOS!$S$79:$S$123)),0)*[1]CRITERIOS!$M$80*([1]CRITERIOS!$M$89*[1]CRITERIOS!$M$92)+((_xlfn.XLOOKUP(A93,'[1]DATOS PBI Artículos'!$A$4:$A$4,'[1]DATOS PBI Artículos'!$AA$4:$AA$4)/2)*([1]CRITERIOS!$M$95+[1]CRITERIOS!$M$98)))/N93)</f>
        <v>#N/A</v>
      </c>
      <c r="AE93" s="39">
        <f>IF($R93="MTO","",
IF($H93=0,ROUNDUP(((_xlfn.XLOOKUP($A93,'[1]DATOS PBI Artículos'!$A:$A,'[1]DATOS PBI Artículos'!$AL:$AL))/(_xlfn.XLOOKUP($AF$1,[1]CRITERIOS!$S$16:$S$39,[1]CRITERIOS!$Y$16:$Y$39))*$J93+$Z93)/$G93,0)*$G93,
((_xlfn.XLOOKUP($A93,'[1]DATOS PBI Artículos'!$A:$A,'[1]DATOS PBI Artículos'!$AL:$AL))/(_xlfn.XLOOKUP($AF$1,[1]CRITERIOS!$S$16:$S$39,[1]CRITERIOS!$Y$16:$Y$39))*$J93+$Z93)))</f>
        <v>45000</v>
      </c>
      <c r="AG93" s="39">
        <f>IF($R93="MTO","",
IF($H93=0,ROUNDUP(((_xlfn.XLOOKUP($A93,'[1]DATOS PBI Artículos'!$A:$A,'[1]DATOS PBI Artículos'!$AM:$AM))/(_xlfn.XLOOKUP($AH$1,[1]CRITERIOS!$S$16:$S$39,[1]CRITERIOS!$Y$16:$Y$39))*$J93+$Z93)/$G93,0)*$G93,
((_xlfn.XLOOKUP($A93,'[1]DATOS PBI Artículos'!$A:$A,'[1]DATOS PBI Artículos'!$AM:$AM))/(_xlfn.XLOOKUP($AH$1,[1]CRITERIOS!$S$16:$S$39,[1]CRITERIOS!$Y$16:$Y$39))*$J93+$Z93)))</f>
        <v>35000</v>
      </c>
      <c r="AI93" s="39">
        <f>IF($R93="MTO","",
IF($H93=0,ROUNDUP(((_xlfn.XLOOKUP($A93,'[1]DATOS PBI Artículos'!$A:$A,'[1]DATOS PBI Artículos'!$AN:$AN))/(_xlfn.XLOOKUP($AJ$1,[1]CRITERIOS!$S$16:$S$39,[1]CRITERIOS!$Y$16:$Y$39))*$J93+$Z93)/$G93,0)*$G93,
((_xlfn.XLOOKUP($A93,'[1]DATOS PBI Artículos'!$A:$A,'[1]DATOS PBI Artículos'!$AN:$AN))/(_xlfn.XLOOKUP($AJ$1,[1]CRITERIOS!$S$16:$S$39,[1]CRITERIOS!$Y$16:$Y$39))*$J93+$Z93)))</f>
        <v>40000</v>
      </c>
      <c r="AK93" s="39">
        <f>IF($R93="MTO","",
IF($H93=0,ROUNDUP(((_xlfn.XLOOKUP($A93,'[1]DATOS PBI Artículos'!$A:$A,'[1]DATOS PBI Artículos'!$AO:$AO))/(_xlfn.XLOOKUP($AL$1,[1]CRITERIOS!$S$16:$S$39,[1]CRITERIOS!$Y$16:$Y$39))*$J93+$Z93)/$G93,0)*$G93,
((_xlfn.XLOOKUP($A93,'[1]DATOS PBI Artículos'!$A:$A,'[1]DATOS PBI Artículos'!$AO:$AO))/(_xlfn.XLOOKUP($AL$1,[1]CRITERIOS!$S$16:$S$39,[1]CRITERIOS!$Y$16:$Y$39))*$J93+$Z93)))</f>
        <v>40000</v>
      </c>
    </row>
    <row r="94" spans="1:37" ht="25.8" x14ac:dyDescent="0.5">
      <c r="A94" s="32" t="s">
        <v>69</v>
      </c>
      <c r="B94" s="33">
        <f>_xlfn.XLOOKUP($A94,'[1]DATOS PBI Artículos'!A:A,'[1]DATOS PBI Artículos'!B:B)</f>
        <v>0</v>
      </c>
      <c r="C94" s="33" t="str">
        <f>_xlfn.XLOOKUP($A94,'[1]DATOS PBI Artículos'!A:A,'[1]DATOS PBI Artículos'!C:C)</f>
        <v>UA03</v>
      </c>
      <c r="D94" s="33">
        <f>_xlfn.XLOOKUP(A94,'[1]DATOS PBI Artículos'!A:A,'[1]DATOS PBI Artículos'!T:T)</f>
        <v>7</v>
      </c>
      <c r="E94" s="34">
        <f>IF(_xlfn.XLOOKUP($A94,'[1]DATOS PBI Artículos'!A:A,'[1]DATOS PBI Artículos'!AK:AK)="",_xlfn.XLOOKUP($A94,'[1]DATOS PBI Artículos'!A:A,'[1]DATOS PBI Artículos'!AJ:AJ),_xlfn.XLOOKUP($A94,'[1]DATOS PBI Artículos'!A:A,'[1]DATOS PBI Artículos'!AK:AK))</f>
        <v>120000</v>
      </c>
      <c r="F94" s="35">
        <f>_xlfn.XLOOKUP($A94,'[1]DATOS PBI Artículos'!A:A,'[1]DATOS PBI Artículos'!AP:AP)</f>
        <v>11.666666666659999</v>
      </c>
      <c r="G94" s="34">
        <f>_xlfn.XLOOKUP($A94,'[1]DATOS PBI Artículos'!A:A,'[1]DATOS PBI Artículos'!AR:AR)</f>
        <v>12000</v>
      </c>
      <c r="H94" s="34">
        <f>_xlfn.XLOOKUP($A94,'[1]DATOS PBI Artículos'!A:A,'[1]DATOS PBI Artículos'!AT:AT)</f>
        <v>6414.269805898186</v>
      </c>
      <c r="I94" s="34">
        <f>_xlfn.XLOOKUP($A94,'[1]DATOS PBI Artículos'!A:A,'[1]DATOS PBI Artículos'!AS:AS)</f>
        <v>12000</v>
      </c>
      <c r="J94" s="35">
        <f>IF(COUNTIF([1]CRITERIOS!$F$179:$F$199,$A94)&gt;=1,
 IF(O94&lt;&gt;"",
    (O94/_xlfn.XLOOKUP(CONCATENATE(A94,L94),[1]MÁQUINAS!A:A,[1]MÁQUINAS!D:D))/24,
    (N94/_xlfn.XLOOKUP(CONCATENATE(A94,L94),[1]MÁQUINAS!A:A,[1]MÁQUINAS!D:D))/24),
  _xlfn.XLOOKUP($A94,'[1]DATOS PBI Artículos'!A:A,'[1]DATOS PBI Artículos'!AU:AU))</f>
        <v>16.90909090909091</v>
      </c>
      <c r="K94" s="36">
        <f>_xlfn.XLOOKUP($A94,'[1]DATOS PBI Artículos'!A:A,'[1]DATOS PBI Artículos'!AV:AV)</f>
        <v>4.8878327601206948</v>
      </c>
      <c r="L94" s="33">
        <f>_xlfn.XLOOKUP(A94,[1]MÁQUINAS!B:B,[1]MÁQUINAS!C:C)</f>
        <v>142</v>
      </c>
      <c r="M94" s="34">
        <f t="array" ref="M94">_xlfn.XLOOKUP(A94,'[1]DATOS PBI Artículos'!A:A,'[1]DATOS PBI Artículos'!AX:$AX)</f>
        <v>56728.854046132517</v>
      </c>
      <c r="N94" s="37">
        <f>IF(I94="DV",
E94,
IF(COUNTIF([1]CRITERIOS!$I$179:$I$199,$A94)&gt;=1,
_xlfn.XLOOKUP($A94,[1]CRITERIOS!$I$179:$I$199,[1]CRITERIOS!$J$179:$J$199),
IF(COUNTIF([1]CRITERIOS!$L$179:$L$199,$A94)&gt;=1,
_xlfn.CEILING.MATH(IF($M94&gt;$E94,
$E94,
IF($M94&lt;$E94/ROUNDDOWN([1]CRITERIOS!$M$16/_xlfn.XLOOKUP($C94,[1]CRITERIOS!$K$25:$K$42,[1]CRITERIOS!$M$25:$M$42),
1),
E94/ROUNDDOWN([1]CRITERIOS!$M$16/_xlfn.XLOOKUP($C94,[1]CRITERIOS!$K$25:$K$42,[1]CRITERIOS!$M$25:$M$42),
1),
$M94)),
_xlfn.XLOOKUP($A94,[1]CRITERIOS!$L$179:$L$200,[1]CRITERIOS!$M$179:$M$200)),
_xlfn.CEILING.MATH(IF($M94&gt;$E94,
$E94,
IF($M94&lt;$E94/ROUNDDOWN([1]CRITERIOS!$M$16/_xlfn.XLOOKUP($C94,[1]CRITERIOS!$K$25:$K$42,[1]CRITERIOS!$M$25:$M$42),
1),
E94/ROUNDDOWN([1]CRITERIOS!$M$16/_xlfn.XLOOKUP($C94,[1]CRITERIOS!$K$25:$K$42,[1]CRITERIOS!$M$25:$M$42),
1),
$M94)),_xlfn.XLOOKUP(A94,'[1]DATOS PBI Artículos'!A:A,'[1]DATOS PBI Artículos'!Z:Z
)))))</f>
        <v>60000</v>
      </c>
      <c r="Q94" s="38">
        <f>IF(AND(O94="",N94=0),
0,
   IF(COUNTIF([1]CRITERIOS!$F$179:$F$199,$A94)&gt;=1,
   1,
   IF(R94="MTO",
      $D94,
      ROUNDUP(
                    IF(($E94-SUMIF('[1]DATOS PBI Artículos'!A:A,A94,'[1]DATOS PBI Artículos'!X:X)+($V94-_xlfn.XLOOKUP(A94,'[1]DATOS PBI Artículos'!A:A,'[1]DATOS PBI Artículos'!W:W)))&lt;0,
                    0,
                    IF(($E94-SUMIF('[1]DATOS PBI Artículos'!A:A,A94,'[1]DATOS PBI Artículos'!X:X)+$V94-_xlfn.XLOOKUP($A94,'[1]DATOS PBI Artículos'!A:A,'[1]DATOS PBI Artículos'!W:W))/IF($O94="",$N94,$O94)&gt;ROUNDUP([1]CRITERIOS!$M$16/(IF(COUNTIF([1]CRITERIOS!$BG$11:$BG$201,L94)&gt;=1,_xlfn.XLOOKUP($C94,[1]CRITERIOS!$K$25:$K$42,[1]CRITERIOS!$M$25:$M$42),_xlfn.XLOOKUP($C94,[1]CRITERIOS!$K$25:$K$42,[1]CRITERIOS!$M$25:$M$42))),0),
                    ROUNDUP([1]CRITERIOS!$M$16/(IF(COUNTIF([1]CRITERIOS!$BG$11:$BG$201,$L94)&gt;=1,_xlfn.XLOOKUP($C94,[1]CRITERIOS!$K$25:$K$42,[1]CRITERIOS!$M$25:$M$42),_xlfn.XLOOKUP($C94,[1]CRITERIOS!$K$25:$K$42,[1]CRITERIOS!$M$25:$M$42))),0),
                    (E94+V94-SUMIF('[1]DATOS PBI Artículos'!A:A,A94,'[1]DATOS PBI Artículos'!X:X)-_xlfn.XLOOKUP(A94,'[1]DATOS PBI Artículos'!A:A,'[1]DATOS PBI Artículos'!W:W))/IF($O94="",$N94,$O94))),0))))</f>
        <v>2</v>
      </c>
      <c r="R94" s="33" t="str">
        <f>IF(U94&lt;&gt;"",U94,IF(F94="DV","MTO",IF(N94=0,"MTO",_xlfn.XLOOKUP(CONCATENATE(S94,T94),[1]CRITERIOS!$K$160:$K$168,[1]CRITERIOS!$N$160:$N$168))))</f>
        <v>MTS</v>
      </c>
      <c r="S94" s="33" t="str">
        <f>IF(G94="DV","MTO",IF(N94=0,"MTO",IF(OR(AND(N94=0,O94=""),IF(O94="",G94/N94,G94/O94)&gt;[1]CRITERIOS!$G$163),"MTO",IF(IF(O94="",G94/N94,G94/O94)&lt;[1]CRITERIOS!$H$161,"MTS","MTOS"))))</f>
        <v>MTS</v>
      </c>
      <c r="T94" s="33" t="str">
        <f>IF(F94="DV","MTO",IF(OR(AND($N94=0,O94=""),$F94/$J94&gt;[1]CRITERIOS!$G$170,$F94="DV"),"MTO",IF($F94/$J94&lt;[1]CRITERIOS!$H$168,"MTS","MTOS")))</f>
        <v>MTS</v>
      </c>
      <c r="V94" s="34">
        <f t="shared" si="7"/>
        <v>29254.542977293811</v>
      </c>
      <c r="X94" s="34">
        <f t="shared" si="5"/>
        <v>89254.542977293808</v>
      </c>
      <c r="Y94" s="34">
        <f t="shared" si="6"/>
        <v>41862.335185076081</v>
      </c>
      <c r="Z94" s="34">
        <f>IF($R94="MTO",
0,
($H94+$K94*($E94/[1]CRITERIOS!$M$16))/[1]CRITERIOS!$X$48)</f>
        <v>11862.335185076081</v>
      </c>
      <c r="AA94" s="34" t="e">
        <f>ROUNDUP(($Y94/_xlfn.XLOOKUP($A94,'[1]DATOS PBI Artículos'!$A$4:$A$4,'[1]DATOS PBI Artículos'!$Z$4:$Z$4))/_xlfn.XLOOKUP(_xlfn.XLOOKUP($A94,'[1]DATOS PBI Artículos'!$A$4:$A$4,'[1]DATOS PBI Artículos'!$Y$4:$Y$4),[1]CRITERIOS!$P$79:$P$123,[1]CRITERIOS!$S$79:$S$123,),0)</f>
        <v>#N/A</v>
      </c>
      <c r="AB94" s="33" t="e">
        <f t="array" ref="AB94">IF((E94+V94-_xlfn.XLOOKUP(A94,'[1]DATOS PBI Artículos'!$A$4:$A$4,'[1]DATOS PBI Artículos'!$W$4:$W$4))/N94&gt;ROUNDUP([1]CRITERIOS!$M$16/(IF(COUNTIF([1]CRITERIOS!$BG$11:$BG$201,L94)&gt;=1,_xlfn.XLOOKUP(ARTÍCULOS!L94,[1]CRITERIOS!$BG$11:$BG$201,[1]CRITERIOS!$BJ$11:$BJ$201),_xlfn.XLOOKUP(ARTÍCULOS!C94,[1]CRITERIOS!$K$25:$K$42,[1]CRITERIOS!$M$25:$M$42))),0),ROUNDUP([1]CRITERIOS!$M$16/(IF(COUNTIF([1]CRITERIOS!$BG$11:$BG$201,L94)&gt;=1,_xlfn.XLOOKUP(ARTÍCULOS!L94,[1]CRITERIOS!$BG$11:$BG$201:#REF!,[1]CRITERIOS!$BJ$11:$BJ$201),_xlfn.XLOOKUP(ARTÍCULOS!C94,[1]CRITERIOS!$K$25:$K$42,[1]CRITERIOS!$M$25:$M$42))),0),(E94+V94-_xlfn.XLOOKUP(A94,'[1]DATOS PBI Artículos'!$A$4:$A$4,'[1]DATOS PBI Artículos'!$W$4:$W$4))/N94)</f>
        <v>#N/A</v>
      </c>
      <c r="AC94" s="33" t="e">
        <f>IF(N94=0,"",(ROUNDUP((N94/2)/(_xlfn.XLOOKUP(A94,'[1]DATOS PBI Artículos'!$A$4:$A$4,'[1]DATOS PBI Artículos'!$Z$4:$Z$4)*_xlfn.XLOOKUP(_xlfn.XLOOKUP(A94,'[1]DATOS PBI Artículos'!$A$4:$A$4,'[1]DATOS PBI Artículos'!$Y$4:$Y$4),[1]CRITERIOS!$P$79:$P$123,[1]CRITERIOS!$S$79:$S$123)),0)*[1]CRITERIOS!$M$80*([1]CRITERIOS!$M$110/[1]CRITERIOS!$M$86)+(_xlfn.XLOOKUP(A94,'[1]DATOS PBI Artículos'!$A$4:$A$4,'[1]DATOS PBI Artículos'!$AA$4:$AA$4)*([1]CRITERIOS!$M$95+[1]CRITERIOS!$M$98)))/N94)</f>
        <v>#N/A</v>
      </c>
      <c r="AD94" s="33" t="e">
        <f>IF(N94=0,"",(ROUNDUP((N94/2)/(_xlfn.XLOOKUP(A94,'[1]DATOS PBI Artículos'!$A$4:$A$4,'[1]DATOS PBI Artículos'!$Z$4:$Z$4)*_xlfn.XLOOKUP(_xlfn.XLOOKUP(A94,'[1]DATOS PBI Artículos'!$A$4:$A$4,'[1]DATOS PBI Artículos'!$Y$4:$Y$4),[1]CRITERIOS!$P$79:$P$123,[1]CRITERIOS!$S$79:$S$123)),0)*[1]CRITERIOS!$M$80*([1]CRITERIOS!$M$89*[1]CRITERIOS!$M$92)+((_xlfn.XLOOKUP(A94,'[1]DATOS PBI Artículos'!$A$4:$A$4,'[1]DATOS PBI Artículos'!$AA$4:$AA$4)/2)*([1]CRITERIOS!$M$95+[1]CRITERIOS!$M$98)))/N94)</f>
        <v>#N/A</v>
      </c>
      <c r="AE94" s="39">
        <f>IF($R94="MTO","",
IF($H94=0,ROUNDUP(((_xlfn.XLOOKUP($A94,'[1]DATOS PBI Artículos'!$A:$A,'[1]DATOS PBI Artículos'!$AL:$AL))/(_xlfn.XLOOKUP($AF$1,[1]CRITERIOS!$S$16:$S$39,[1]CRITERIOS!$Y$16:$Y$39))*$J94+$Z94)/$G94,0)*$G94,
((_xlfn.XLOOKUP($A94,'[1]DATOS PBI Artículos'!$A:$A,'[1]DATOS PBI Artículos'!$AL:$AL))/(_xlfn.XLOOKUP($AF$1,[1]CRITERIOS!$S$16:$S$39,[1]CRITERIOS!$Y$16:$Y$39))*$J94+$Z94)))</f>
        <v>46281.798648076088</v>
      </c>
      <c r="AG94" s="39">
        <f>IF($R94="MTO","",
IF($H94=0,ROUNDUP(((_xlfn.XLOOKUP($A94,'[1]DATOS PBI Artículos'!$A:$A,'[1]DATOS PBI Artículos'!$AM:$AM))/(_xlfn.XLOOKUP($AH$1,[1]CRITERIOS!$S$16:$S$39,[1]CRITERIOS!$Y$16:$Y$39))*$J94+$Z94)/$G94,0)*$G94,
((_xlfn.XLOOKUP($A94,'[1]DATOS PBI Artículos'!$A:$A,'[1]DATOS PBI Artículos'!$AM:$AM))/(_xlfn.XLOOKUP($AH$1,[1]CRITERIOS!$S$16:$S$39,[1]CRITERIOS!$Y$16:$Y$39))*$J94+$Z94)))</f>
        <v>36586.506497510862</v>
      </c>
      <c r="AI94" s="39">
        <v>0</v>
      </c>
      <c r="AK94" s="39">
        <v>0</v>
      </c>
    </row>
    <row r="95" spans="1:37" ht="25.8" x14ac:dyDescent="0.5">
      <c r="A95" s="32">
        <v>453523</v>
      </c>
      <c r="B95" s="33">
        <f>_xlfn.XLOOKUP($A95,'[1]DATOS PBI Artículos'!A:A,'[1]DATOS PBI Artículos'!B:B)</f>
        <v>0</v>
      </c>
      <c r="C95" s="33" t="str">
        <f>_xlfn.XLOOKUP($A95,'[1]DATOS PBI Artículos'!A:A,'[1]DATOS PBI Artículos'!C:C)</f>
        <v>UA01</v>
      </c>
      <c r="D95" s="33">
        <f>_xlfn.XLOOKUP(A95,'[1]DATOS PBI Artículos'!A:A,'[1]DATOS PBI Artículos'!T:T)</f>
        <v>5</v>
      </c>
      <c r="E95" s="34">
        <f>IF(_xlfn.XLOOKUP($A95,'[1]DATOS PBI Artículos'!A:A,'[1]DATOS PBI Artículos'!AK:AK)="",_xlfn.XLOOKUP($A95,'[1]DATOS PBI Artículos'!A:A,'[1]DATOS PBI Artículos'!AJ:AJ),_xlfn.XLOOKUP($A95,'[1]DATOS PBI Artículos'!A:A,'[1]DATOS PBI Artículos'!AK:AK))</f>
        <v>118400</v>
      </c>
      <c r="F95" s="35">
        <f>_xlfn.XLOOKUP($A95,'[1]DATOS PBI Artículos'!A:A,'[1]DATOS PBI Artículos'!AP:AP)</f>
        <v>14</v>
      </c>
      <c r="G95" s="34">
        <f>_xlfn.XLOOKUP($A95,'[1]DATOS PBI Artículos'!A:A,'[1]DATOS PBI Artículos'!AR:AR)</f>
        <v>24000</v>
      </c>
      <c r="H95" s="34">
        <f>_xlfn.XLOOKUP($A95,'[1]DATOS PBI Artículos'!A:A,'[1]DATOS PBI Artículos'!AT:AT)</f>
        <v>8228.7301571992266</v>
      </c>
      <c r="I95" s="34">
        <f>_xlfn.XLOOKUP($A95,'[1]DATOS PBI Artículos'!A:A,'[1]DATOS PBI Artículos'!AS:AS)</f>
        <v>800</v>
      </c>
      <c r="J95" s="35">
        <f>IF(COUNTIF([1]CRITERIOS!$F$179:$F$199,$A95)&gt;=1,
 IF(O95&lt;&gt;"",
    (O95/_xlfn.XLOOKUP(CONCATENATE(A95,L95),[1]MÁQUINAS!A:A,[1]MÁQUINAS!D:D))/24,
    (N95/_xlfn.XLOOKUP(CONCATENATE(A95,L95),[1]MÁQUINAS!A:A,[1]MÁQUINAS!D:D))/24),
  _xlfn.XLOOKUP($A95,'[1]DATOS PBI Artículos'!A:A,'[1]DATOS PBI Artículos'!AU:AU))</f>
        <v>69.666666666666657</v>
      </c>
      <c r="K95" s="36">
        <f>_xlfn.XLOOKUP($A95,'[1]DATOS PBI Artículos'!A:A,'[1]DATOS PBI Artículos'!AV:AV)</f>
        <v>25.794056162870799</v>
      </c>
      <c r="L95" s="33">
        <f>_xlfn.XLOOKUP(A95,[1]MÁQUINAS!B:B,[1]MÁQUINAS!C:C)</f>
        <v>406</v>
      </c>
      <c r="M95" s="34">
        <f t="array" ref="M95">_xlfn.XLOOKUP(A95,'[1]DATOS PBI Artículos'!A:A,'[1]DATOS PBI Artículos'!AX:$AX)</f>
        <v>93731.328036906358</v>
      </c>
      <c r="N95" s="37">
        <f>IF(I95="DV",
E95,
IF(COUNTIF([1]CRITERIOS!$I$179:$I$199,$A95)&gt;=1,
_xlfn.XLOOKUP($A95,[1]CRITERIOS!$I$179:$I$199,[1]CRITERIOS!$J$179:$J$199),
IF(COUNTIF([1]CRITERIOS!$L$179:$L$199,$A95)&gt;=1,
_xlfn.CEILING.MATH(IF($M95&gt;$E95,
$E95,
IF($M95&lt;$E95/ROUNDDOWN([1]CRITERIOS!$M$16/_xlfn.XLOOKUP($C95,[1]CRITERIOS!$K$25:$K$42,[1]CRITERIOS!$M$25:$M$42),
1),
E95/ROUNDDOWN([1]CRITERIOS!$M$16/_xlfn.XLOOKUP($C95,[1]CRITERIOS!$K$25:$K$42,[1]CRITERIOS!$M$25:$M$42),
1),
$M95)),
_xlfn.XLOOKUP($A95,[1]CRITERIOS!$L$179:$L$200,[1]CRITERIOS!$M$179:$M$200)),
_xlfn.CEILING.MATH(IF($M95&gt;$E95,
$E95,
IF($M95&lt;$E95/ROUNDDOWN([1]CRITERIOS!$M$16/_xlfn.XLOOKUP($C95,[1]CRITERIOS!$K$25:$K$42,[1]CRITERIOS!$M$25:$M$42),
1),
E95/ROUNDDOWN([1]CRITERIOS!$M$16/_xlfn.XLOOKUP($C95,[1]CRITERIOS!$K$25:$K$42,[1]CRITERIOS!$M$25:$M$42),
1),
$M95)),_xlfn.XLOOKUP(A95,'[1]DATOS PBI Artículos'!A:A,'[1]DATOS PBI Artículos'!Z:Z
)))))</f>
        <v>96000</v>
      </c>
      <c r="Q95" s="38">
        <f>IF(AND(O95="",N95=0),
0,
   IF(COUNTIF([1]CRITERIOS!$F$179:$F$199,$A95)&gt;=1,
   1,
   IF(R95="MTO",
      $D95,
      ROUNDUP(
                    IF(($E95-SUMIF('[1]DATOS PBI Artículos'!A:A,A95,'[1]DATOS PBI Artículos'!X:X)+($V95-_xlfn.XLOOKUP(A95,'[1]DATOS PBI Artículos'!A:A,'[1]DATOS PBI Artículos'!W:W)))&lt;0,
                    0,
                    IF(($E95-SUMIF('[1]DATOS PBI Artículos'!A:A,A95,'[1]DATOS PBI Artículos'!X:X)+$V95-_xlfn.XLOOKUP($A95,'[1]DATOS PBI Artículos'!A:A,'[1]DATOS PBI Artículos'!W:W))/IF($O95="",$N95,$O95)&gt;ROUNDUP([1]CRITERIOS!$M$16/(IF(COUNTIF([1]CRITERIOS!$BG$11:$BG$201,L95)&gt;=1,_xlfn.XLOOKUP($C95,[1]CRITERIOS!$K$25:$K$42,[1]CRITERIOS!$M$25:$M$42),_xlfn.XLOOKUP($C95,[1]CRITERIOS!$K$25:$K$42,[1]CRITERIOS!$M$25:$M$42))),0),
                    ROUNDUP([1]CRITERIOS!$M$16/(IF(COUNTIF([1]CRITERIOS!$BG$11:$BG$201,$L95)&gt;=1,_xlfn.XLOOKUP($C95,[1]CRITERIOS!$K$25:$K$42,[1]CRITERIOS!$M$25:$M$42),_xlfn.XLOOKUP($C95,[1]CRITERIOS!$K$25:$K$42,[1]CRITERIOS!$M$25:$M$42))),0),
                    (E95+V95-SUMIF('[1]DATOS PBI Artículos'!A:A,A95,'[1]DATOS PBI Artículos'!X:X)-_xlfn.XLOOKUP(A95,'[1]DATOS PBI Artículos'!A:A,'[1]DATOS PBI Artículos'!W:W))/IF($O95="",$N95,$O95))),0))))</f>
        <v>3</v>
      </c>
      <c r="R95" s="33" t="str">
        <f>IF(U95&lt;&gt;"",U95,IF(F95="DV","MTO",IF(N95=0,"MTO",_xlfn.XLOOKUP(CONCATENATE(S95,T95),[1]CRITERIOS!$K$160:$K$168,[1]CRITERIOS!$N$160:$N$168))))</f>
        <v>MTS</v>
      </c>
      <c r="S95" s="33" t="str">
        <f>IF(G95="DV","MTO",IF(N95=0,"MTO",IF(OR(AND(N95=0,O95=""),IF(O95="",G95/N95,G95/O95)&gt;[1]CRITERIOS!$G$163),"MTO",IF(IF(O95="",G95/N95,G95/O95)&lt;[1]CRITERIOS!$H$161,"MTS","MTOS"))))</f>
        <v>MTS</v>
      </c>
      <c r="T95" s="33" t="str">
        <f>IF(F95="DV","MTO",IF(OR(AND($N95=0,O95=""),$F95/$J95&gt;[1]CRITERIOS!$G$170,$F95="DV"),"MTO",IF($F95/$J95&lt;[1]CRITERIOS!$H$168,"MTS","MTOS")))</f>
        <v>MTS</v>
      </c>
      <c r="V95" s="34">
        <f t="shared" si="7"/>
        <v>160219.36044494747</v>
      </c>
      <c r="X95" s="34">
        <f t="shared" si="5"/>
        <v>256219.36044494747</v>
      </c>
      <c r="Y95" s="34">
        <f t="shared" si="6"/>
        <v>88790.78901637606</v>
      </c>
      <c r="Z95" s="34">
        <f>IF($R95="MTO",
0,
($H95+$K95*($E95/[1]CRITERIOS!$M$16))/[1]CRITERIOS!$X$48)</f>
        <v>40790.78901637606</v>
      </c>
      <c r="AA95" s="34" t="e">
        <f>ROUNDUP(($Y95/_xlfn.XLOOKUP($A95,'[1]DATOS PBI Artículos'!$A$4:$A$4,'[1]DATOS PBI Artículos'!$Z$4:$Z$4))/_xlfn.XLOOKUP(_xlfn.XLOOKUP($A95,'[1]DATOS PBI Artículos'!$A$4:$A$4,'[1]DATOS PBI Artículos'!$Y$4:$Y$4),[1]CRITERIOS!$P$79:$P$123,[1]CRITERIOS!$S$79:$S$123,),0)</f>
        <v>#N/A</v>
      </c>
      <c r="AB95" s="33" t="e">
        <f t="array" ref="AB95">IF((E95+V95-_xlfn.XLOOKUP(A95,'[1]DATOS PBI Artículos'!$A$4:$A$4,'[1]DATOS PBI Artículos'!$W$4:$W$4))/N95&gt;ROUNDUP([1]CRITERIOS!$M$16/(IF(COUNTIF([1]CRITERIOS!$BG$11:$BG$201,L95)&gt;=1,_xlfn.XLOOKUP(ARTÍCULOS!L95,[1]CRITERIOS!$BG$11:$BG$201,[1]CRITERIOS!$BJ$11:$BJ$201),_xlfn.XLOOKUP(ARTÍCULOS!C95,[1]CRITERIOS!$K$25:$K$42,[1]CRITERIOS!$M$25:$M$42))),0),ROUNDUP([1]CRITERIOS!$M$16/(IF(COUNTIF([1]CRITERIOS!$BG$11:$BG$201,L95)&gt;=1,_xlfn.XLOOKUP(ARTÍCULOS!L95,[1]CRITERIOS!$BG$11:$BG$201:#REF!,[1]CRITERIOS!$BJ$11:$BJ$201),_xlfn.XLOOKUP(ARTÍCULOS!C95,[1]CRITERIOS!$K$25:$K$42,[1]CRITERIOS!$M$25:$M$42))),0),(E95+V95-_xlfn.XLOOKUP(A95,'[1]DATOS PBI Artículos'!$A$4:$A$4,'[1]DATOS PBI Artículos'!$W$4:$W$4))/N95)</f>
        <v>#N/A</v>
      </c>
      <c r="AC95" s="33" t="e">
        <f>IF(N95=0,"",(ROUNDUP((N95/2)/(_xlfn.XLOOKUP(A95,'[1]DATOS PBI Artículos'!$A$4:$A$4,'[1]DATOS PBI Artículos'!$Z$4:$Z$4)*_xlfn.XLOOKUP(_xlfn.XLOOKUP(A95,'[1]DATOS PBI Artículos'!$A$4:$A$4,'[1]DATOS PBI Artículos'!$Y$4:$Y$4),[1]CRITERIOS!$P$79:$P$123,[1]CRITERIOS!$S$79:$S$123)),0)*[1]CRITERIOS!$M$80*([1]CRITERIOS!$M$110/[1]CRITERIOS!$M$86)+(_xlfn.XLOOKUP(A95,'[1]DATOS PBI Artículos'!$A$4:$A$4,'[1]DATOS PBI Artículos'!$AA$4:$AA$4)*([1]CRITERIOS!$M$95+[1]CRITERIOS!$M$98)))/N95)</f>
        <v>#N/A</v>
      </c>
      <c r="AD95" s="33" t="e">
        <f>IF(N95=0,"",(ROUNDUP((N95/2)/(_xlfn.XLOOKUP(A95,'[1]DATOS PBI Artículos'!$A$4:$A$4,'[1]DATOS PBI Artículos'!$Z$4:$Z$4)*_xlfn.XLOOKUP(_xlfn.XLOOKUP(A95,'[1]DATOS PBI Artículos'!$A$4:$A$4,'[1]DATOS PBI Artículos'!$Y$4:$Y$4),[1]CRITERIOS!$P$79:$P$123,[1]CRITERIOS!$S$79:$S$123)),0)*[1]CRITERIOS!$M$80*([1]CRITERIOS!$M$89*[1]CRITERIOS!$M$92)+((_xlfn.XLOOKUP(A95,'[1]DATOS PBI Artículos'!$A$4:$A$4,'[1]DATOS PBI Artículos'!$AA$4:$AA$4)/2)*([1]CRITERIOS!$M$95+[1]CRITERIOS!$M$98)))/N95)</f>
        <v>#N/A</v>
      </c>
      <c r="AE95" s="39">
        <f>IF($R95="MTO","",
IF($H95=0,ROUNDUP(((_xlfn.XLOOKUP($A95,'[1]DATOS PBI Artículos'!$A:$A,'[1]DATOS PBI Artículos'!$AL:$AL))/(_xlfn.XLOOKUP($AF$1,[1]CRITERIOS!$S$16:$S$39,[1]CRITERIOS!$Y$16:$Y$39))*$J95+$Z95)/$G95,0)*$G95,
((_xlfn.XLOOKUP($A95,'[1]DATOS PBI Artículos'!$A:$A,'[1]DATOS PBI Artículos'!$AL:$AL))/(_xlfn.XLOOKUP($AF$1,[1]CRITERIOS!$S$16:$S$39,[1]CRITERIOS!$Y$16:$Y$39))*$J95+$Z95)))</f>
        <v>167990.65088465755</v>
      </c>
      <c r="AG95" s="39">
        <f>IF($R95="MTO","",
IF($H95=0,ROUNDUP(((_xlfn.XLOOKUP($A95,'[1]DATOS PBI Artículos'!$A:$A,'[1]DATOS PBI Artículos'!$AM:$AM))/(_xlfn.XLOOKUP($AH$1,[1]CRITERIOS!$S$16:$S$39,[1]CRITERIOS!$Y$16:$Y$39))*$J95+$Z95)/$G95,0)*$G95,
((_xlfn.XLOOKUP($A95,'[1]DATOS PBI Artículos'!$A:$A,'[1]DATOS PBI Artículos'!$AM:$AM))/(_xlfn.XLOOKUP($AH$1,[1]CRITERIOS!$S$16:$S$39,[1]CRITERIOS!$Y$16:$Y$39))*$J95+$Z95)))</f>
        <v>132160.92844722822</v>
      </c>
      <c r="AI95" s="39">
        <f>IF($R95="MTO","",
IF($H95=0,ROUNDUP(((_xlfn.XLOOKUP($A95,'[1]DATOS PBI Artículos'!$A:$A,'[1]DATOS PBI Artículos'!$AN:$AN))/(_xlfn.XLOOKUP($AJ$1,[1]CRITERIOS!$S$16:$S$39,[1]CRITERIOS!$Y$16:$Y$39))*$J95+$Z95)/$G95,0)*$G95,
((_xlfn.XLOOKUP($A95,'[1]DATOS PBI Artículos'!$A:$A,'[1]DATOS PBI Artículos'!$AN:$AN))/(_xlfn.XLOOKUP($AJ$1,[1]CRITERIOS!$S$16:$S$39,[1]CRITERIOS!$Y$16:$Y$39))*$J95+$Z95)))</f>
        <v>150229.29908121604</v>
      </c>
      <c r="AK95" s="39">
        <f>IF($R95="MTO","",
IF($H95=0,ROUNDUP(((_xlfn.XLOOKUP($A95,'[1]DATOS PBI Artículos'!$A:$A,'[1]DATOS PBI Artículos'!$AO:$AO))/(_xlfn.XLOOKUP($AL$1,[1]CRITERIOS!$S$16:$S$39,[1]CRITERIOS!$Y$16:$Y$39))*$J95+$Z95)/$G95,0)*$G95,
((_xlfn.XLOOKUP($A95,'[1]DATOS PBI Artículos'!$A:$A,'[1]DATOS PBI Artículos'!$AO:$AO))/(_xlfn.XLOOKUP($AL$1,[1]CRITERIOS!$S$16:$S$39,[1]CRITERIOS!$Y$16:$Y$39))*$J95+$Z95)))</f>
        <v>159980.24698050937</v>
      </c>
    </row>
    <row r="96" spans="1:37" ht="25.8" x14ac:dyDescent="0.5">
      <c r="A96" s="32">
        <v>452128</v>
      </c>
      <c r="B96" s="33">
        <f>_xlfn.XLOOKUP($A96,'[1]DATOS PBI Artículos'!A:A,'[1]DATOS PBI Artículos'!B:B)</f>
        <v>0</v>
      </c>
      <c r="C96" s="33" t="str">
        <f>_xlfn.XLOOKUP($A96,'[1]DATOS PBI Artículos'!A:A,'[1]DATOS PBI Artículos'!C:C)</f>
        <v>UA02</v>
      </c>
      <c r="D96" s="33">
        <f>_xlfn.XLOOKUP(A96,'[1]DATOS PBI Artículos'!A:A,'[1]DATOS PBI Artículos'!T:T)</f>
        <v>2</v>
      </c>
      <c r="E96" s="34">
        <f>IF(_xlfn.XLOOKUP($A96,'[1]DATOS PBI Artículos'!A:A,'[1]DATOS PBI Artículos'!AK:AK)="",_xlfn.XLOOKUP($A96,'[1]DATOS PBI Artículos'!A:A,'[1]DATOS PBI Artículos'!AJ:AJ),_xlfn.XLOOKUP($A96,'[1]DATOS PBI Artículos'!A:A,'[1]DATOS PBI Artículos'!AK:AK))</f>
        <v>115400</v>
      </c>
      <c r="F96" s="35">
        <f>_xlfn.XLOOKUP($A96,'[1]DATOS PBI Artículos'!A:A,'[1]DATOS PBI Artículos'!AP:AP)</f>
        <v>23</v>
      </c>
      <c r="G96" s="34">
        <f>_xlfn.XLOOKUP($A96,'[1]DATOS PBI Artículos'!A:A,'[1]DATOS PBI Artículos'!AR:AR)</f>
        <v>57800</v>
      </c>
      <c r="H96" s="34">
        <f>_xlfn.XLOOKUP($A96,'[1]DATOS PBI Artículos'!A:A,'[1]DATOS PBI Artículos'!AT:AT)</f>
        <v>3252.6911934581185</v>
      </c>
      <c r="I96" s="34">
        <f>_xlfn.XLOOKUP($A96,'[1]DATOS PBI Artículos'!A:A,'[1]DATOS PBI Artículos'!AS:AS)</f>
        <v>200</v>
      </c>
      <c r="J96" s="35">
        <f>IF(COUNTIF([1]CRITERIOS!$F$179:$F$199,$A96)&gt;=1,
 IF(O96&lt;&gt;"",
    (O96/_xlfn.XLOOKUP(CONCATENATE(A96,L96),[1]MÁQUINAS!A:A,[1]MÁQUINAS!D:D))/24,
    (N96/_xlfn.XLOOKUP(CONCATENATE(A96,L96),[1]MÁQUINAS!A:A,[1]MÁQUINAS!D:D))/24),
  _xlfn.XLOOKUP($A96,'[1]DATOS PBI Artículos'!A:A,'[1]DATOS PBI Artículos'!AU:AU))</f>
        <v>34</v>
      </c>
      <c r="K96" s="36">
        <f>_xlfn.XLOOKUP($A96,'[1]DATOS PBI Artículos'!A:A,'[1]DATOS PBI Artículos'!AV:AV)</f>
        <v>9.8994949366116654</v>
      </c>
      <c r="L96" s="33">
        <f>_xlfn.XLOOKUP(A96,[1]MÁQUINAS!B:B,[1]MÁQUINAS!C:C)</f>
        <v>215</v>
      </c>
      <c r="M96" s="34">
        <f t="array" ref="M96">_xlfn.XLOOKUP(A96,'[1]DATOS PBI Artículos'!A:A,'[1]DATOS PBI Artículos'!AX:$AX)</f>
        <v>62210.013009263639</v>
      </c>
      <c r="N96" s="37">
        <f>IF(I96="DV",
E96,
IF(COUNTIF([1]CRITERIOS!$I$179:$I$199,$A96)&gt;=1,
_xlfn.XLOOKUP($A96,[1]CRITERIOS!$I$179:$I$199,[1]CRITERIOS!$J$179:$J$199),
IF(COUNTIF([1]CRITERIOS!$L$179:$L$199,$A96)&gt;=1,
_xlfn.CEILING.MATH(IF($M96&gt;$E96,
$E96,
IF($M96&lt;$E96/ROUNDDOWN([1]CRITERIOS!$M$16/_xlfn.XLOOKUP($C96,[1]CRITERIOS!$K$25:$K$42,[1]CRITERIOS!$M$25:$M$42),
1),
E96/ROUNDDOWN([1]CRITERIOS!$M$16/_xlfn.XLOOKUP($C96,[1]CRITERIOS!$K$25:$K$42,[1]CRITERIOS!$M$25:$M$42),
1),
$M96)),
_xlfn.XLOOKUP($A96,[1]CRITERIOS!$L$179:$L$200,[1]CRITERIOS!$M$179:$M$200)),
_xlfn.CEILING.MATH(IF($M96&gt;$E96,
$E96,
IF($M96&lt;$E96/ROUNDDOWN([1]CRITERIOS!$M$16/_xlfn.XLOOKUP($C96,[1]CRITERIOS!$K$25:$K$42,[1]CRITERIOS!$M$25:$M$42),
1),
E96/ROUNDDOWN([1]CRITERIOS!$M$16/_xlfn.XLOOKUP($C96,[1]CRITERIOS!$K$25:$K$42,[1]CRITERIOS!$M$25:$M$42),
1),
$M96)),_xlfn.XLOOKUP(A96,'[1]DATOS PBI Artículos'!A:A,'[1]DATOS PBI Artículos'!Z:Z
)))))</f>
        <v>90000</v>
      </c>
      <c r="Q96" s="38">
        <f>IF(AND(O96="",N96=0),
0,
   IF(COUNTIF([1]CRITERIOS!$F$179:$F$199,$A96)&gt;=1,
   1,
   IF(R96="MTO",
      $D96,
      ROUNDUP(
                    IF(($E96-SUMIF('[1]DATOS PBI Artículos'!A:A,A96,'[1]DATOS PBI Artículos'!X:X)+($V96-_xlfn.XLOOKUP(A96,'[1]DATOS PBI Artículos'!A:A,'[1]DATOS PBI Artículos'!W:W)))&lt;0,
                    0,
                    IF(($E96-SUMIF('[1]DATOS PBI Artículos'!A:A,A96,'[1]DATOS PBI Artículos'!X:X)+$V96-_xlfn.XLOOKUP($A96,'[1]DATOS PBI Artículos'!A:A,'[1]DATOS PBI Artículos'!W:W))/IF($O96="",$N96,$O96)&gt;ROUNDUP([1]CRITERIOS!$M$16/(IF(COUNTIF([1]CRITERIOS!$BG$11:$BG$201,L96)&gt;=1,_xlfn.XLOOKUP($C96,[1]CRITERIOS!$K$25:$K$42,[1]CRITERIOS!$M$25:$M$42),_xlfn.XLOOKUP($C96,[1]CRITERIOS!$K$25:$K$42,[1]CRITERIOS!$M$25:$M$42))),0),
                    ROUNDUP([1]CRITERIOS!$M$16/(IF(COUNTIF([1]CRITERIOS!$BG$11:$BG$201,$L96)&gt;=1,_xlfn.XLOOKUP($C96,[1]CRITERIOS!$K$25:$K$42,[1]CRITERIOS!$M$25:$M$42),_xlfn.XLOOKUP($C96,[1]CRITERIOS!$K$25:$K$42,[1]CRITERIOS!$M$25:$M$42))),0),
                    (E96+V96-SUMIF('[1]DATOS PBI Artículos'!A:A,A96,'[1]DATOS PBI Artículos'!X:X)-_xlfn.XLOOKUP(A96,'[1]DATOS PBI Artículos'!A:A,'[1]DATOS PBI Artículos'!W:W))/IF($O96="",$N96,$O96))),0))))</f>
        <v>2</v>
      </c>
      <c r="R96" s="33" t="str">
        <f>IF(U96&lt;&gt;"",U96,IF(F96="DV","MTO",IF(N96=0,"MTO",_xlfn.XLOOKUP(CONCATENATE(S96,T96),[1]CRITERIOS!$K$160:$K$168,[1]CRITERIOS!$N$160:$N$168))))</f>
        <v>MTS</v>
      </c>
      <c r="S96" s="33" t="str">
        <f>IF(G96="DV","MTO",IF(N96=0,"MTO",IF(OR(AND(N96=0,O96=""),IF(O96="",G96/N96,G96/O96)&gt;[1]CRITERIOS!$G$163),"MTO",IF(IF(O96="",G96/N96,G96/O96)&lt;[1]CRITERIOS!$H$161,"MTS","MTOS"))))</f>
        <v>MTOS</v>
      </c>
      <c r="T96" s="33" t="str">
        <f>IF(F96="DV","MTO",IF(OR(AND($N96=0,O96=""),$F96/$J96&gt;[1]CRITERIOS!$G$170,$F96="DV"),"MTO",IF($F96/$J96&lt;[1]CRITERIOS!$H$168,"MTS","MTOS")))</f>
        <v>MTS</v>
      </c>
      <c r="V96" s="34">
        <f t="shared" si="7"/>
        <v>100847.40665191783</v>
      </c>
      <c r="X96" s="34">
        <f t="shared" si="5"/>
        <v>190847.40665191785</v>
      </c>
      <c r="Y96" s="34">
        <f t="shared" si="6"/>
        <v>60403.928391048277</v>
      </c>
      <c r="Z96" s="34">
        <f>IF($R96="MTO",
0,
($H96+$K96*($E96/[1]CRITERIOS!$M$16))/[1]CRITERIOS!$X$48)</f>
        <v>15403.928391048279</v>
      </c>
      <c r="AA96" s="34" t="e">
        <f>ROUNDUP(($Y96/_xlfn.XLOOKUP($A96,'[1]DATOS PBI Artículos'!$A$4:$A$4,'[1]DATOS PBI Artículos'!$Z$4:$Z$4))/_xlfn.XLOOKUP(_xlfn.XLOOKUP($A96,'[1]DATOS PBI Artículos'!$A$4:$A$4,'[1]DATOS PBI Artículos'!$Y$4:$Y$4),[1]CRITERIOS!$P$79:$P$123,[1]CRITERIOS!$S$79:$S$123,),0)</f>
        <v>#N/A</v>
      </c>
      <c r="AB96" s="33" t="e">
        <f t="array" ref="AB96">IF((E96+V96-_xlfn.XLOOKUP(A96,'[1]DATOS PBI Artículos'!$A$4:$A$4,'[1]DATOS PBI Artículos'!$W$4:$W$4))/N96&gt;ROUNDUP([1]CRITERIOS!$M$16/(IF(COUNTIF([1]CRITERIOS!$BG$11:$BG$201,L96)&gt;=1,_xlfn.XLOOKUP(ARTÍCULOS!L96,[1]CRITERIOS!$BG$11:$BG$201,[1]CRITERIOS!$BJ$11:$BJ$201),_xlfn.XLOOKUP(ARTÍCULOS!C96,[1]CRITERIOS!$K$25:$K$42,[1]CRITERIOS!$M$25:$M$42))),0),ROUNDUP([1]CRITERIOS!$M$16/(IF(COUNTIF([1]CRITERIOS!$BG$11:$BG$201,L96)&gt;=1,_xlfn.XLOOKUP(ARTÍCULOS!L96,[1]CRITERIOS!$BG$11:$BG$201:#REF!,[1]CRITERIOS!$BJ$11:$BJ$201),_xlfn.XLOOKUP(ARTÍCULOS!C96,[1]CRITERIOS!$K$25:$K$42,[1]CRITERIOS!$M$25:$M$42))),0),(E96+V96-_xlfn.XLOOKUP(A96,'[1]DATOS PBI Artículos'!$A$4:$A$4,'[1]DATOS PBI Artículos'!$W$4:$W$4))/N96)</f>
        <v>#N/A</v>
      </c>
      <c r="AC96" s="33" t="e">
        <f>IF(N96=0,"",(ROUNDUP((N96/2)/(_xlfn.XLOOKUP(A96,'[1]DATOS PBI Artículos'!$A$4:$A$4,'[1]DATOS PBI Artículos'!$Z$4:$Z$4)*_xlfn.XLOOKUP(_xlfn.XLOOKUP(A96,'[1]DATOS PBI Artículos'!$A$4:$A$4,'[1]DATOS PBI Artículos'!$Y$4:$Y$4),[1]CRITERIOS!$P$79:$P$123,[1]CRITERIOS!$S$79:$S$123)),0)*[1]CRITERIOS!$M$80*([1]CRITERIOS!$M$110/[1]CRITERIOS!$M$86)+(_xlfn.XLOOKUP(A96,'[1]DATOS PBI Artículos'!$A$4:$A$4,'[1]DATOS PBI Artículos'!$AA$4:$AA$4)*([1]CRITERIOS!$M$95+[1]CRITERIOS!$M$98)))/N96)</f>
        <v>#N/A</v>
      </c>
      <c r="AD96" s="33" t="e">
        <f>IF(N96=0,"",(ROUNDUP((N96/2)/(_xlfn.XLOOKUP(A96,'[1]DATOS PBI Artículos'!$A$4:$A$4,'[1]DATOS PBI Artículos'!$Z$4:$Z$4)*_xlfn.XLOOKUP(_xlfn.XLOOKUP(A96,'[1]DATOS PBI Artículos'!$A$4:$A$4,'[1]DATOS PBI Artículos'!$Y$4:$Y$4),[1]CRITERIOS!$P$79:$P$123,[1]CRITERIOS!$S$79:$S$123)),0)*[1]CRITERIOS!$M$80*([1]CRITERIOS!$M$89*[1]CRITERIOS!$M$92)+((_xlfn.XLOOKUP(A96,'[1]DATOS PBI Artículos'!$A$4:$A$4,'[1]DATOS PBI Artículos'!$AA$4:$AA$4)/2)*([1]CRITERIOS!$M$95+[1]CRITERIOS!$M$98)))/N96)</f>
        <v>#N/A</v>
      </c>
      <c r="AE96" s="39">
        <f>IF($R96="MTO","",
IF($H96=0,ROUNDUP(((_xlfn.XLOOKUP($A96,'[1]DATOS PBI Artículos'!$A:$A,'[1]DATOS PBI Artículos'!$AL:$AL))/(_xlfn.XLOOKUP($AF$1,[1]CRITERIOS!$S$16:$S$39,[1]CRITERIOS!$Y$16:$Y$39))*$J96+$Z96)/$G96,0)*$G96,
((_xlfn.XLOOKUP($A96,'[1]DATOS PBI Artículos'!$A:$A,'[1]DATOS PBI Artículos'!$AL:$AL))/(_xlfn.XLOOKUP($AF$1,[1]CRITERIOS!$S$16:$S$39,[1]CRITERIOS!$Y$16:$Y$39))*$J96+$Z96)))</f>
        <v>75909.3974069205</v>
      </c>
      <c r="AG96" s="39">
        <f>IF($R96="MTO","",
IF($H96=0,ROUNDUP(((_xlfn.XLOOKUP($A96,'[1]DATOS PBI Artículos'!$A:$A,'[1]DATOS PBI Artículos'!$AM:$AM))/(_xlfn.XLOOKUP($AH$1,[1]CRITERIOS!$S$16:$S$39,[1]CRITERIOS!$Y$16:$Y$39))*$J96+$Z96)/$G96,0)*$G96,
((_xlfn.XLOOKUP($A96,'[1]DATOS PBI Artículos'!$A:$A,'[1]DATOS PBI Artículos'!$AM:$AM))/(_xlfn.XLOOKUP($AH$1,[1]CRITERIOS!$S$16:$S$39,[1]CRITERIOS!$Y$16:$Y$39))*$J96+$Z96)))</f>
        <v>58866.185811061318</v>
      </c>
      <c r="AI96" s="39">
        <f>IF($R96="MTO","",
IF($H96=0,ROUNDUP(((_xlfn.XLOOKUP($A96,'[1]DATOS PBI Artículos'!$A:$A,'[1]DATOS PBI Artículos'!$AN:$AN))/(_xlfn.XLOOKUP($AJ$1,[1]CRITERIOS!$S$16:$S$39,[1]CRITERIOS!$Y$16:$Y$39))*$J96+$Z96)/$G96,0)*$G96,
((_xlfn.XLOOKUP($A96,'[1]DATOS PBI Artículos'!$A:$A,'[1]DATOS PBI Artículos'!$AN:$AN))/(_xlfn.XLOOKUP($AJ$1,[1]CRITERIOS!$S$16:$S$39,[1]CRITERIOS!$Y$16:$Y$39))*$J96+$Z96)))</f>
        <v>67460.811807543272</v>
      </c>
      <c r="AK96" s="39">
        <f>IF($R96="MTO","",
IF($H96=0,ROUNDUP(((_xlfn.XLOOKUP($A96,'[1]DATOS PBI Artículos'!$A:$A,'[1]DATOS PBI Artículos'!$AO:$AO))/(_xlfn.XLOOKUP($AL$1,[1]CRITERIOS!$S$16:$S$39,[1]CRITERIOS!$Y$16:$Y$39))*$J96+$Z96)/$G96,0)*$G96,
((_xlfn.XLOOKUP($A96,'[1]DATOS PBI Artículos'!$A:$A,'[1]DATOS PBI Artículos'!$AO:$AO))/(_xlfn.XLOOKUP($AL$1,[1]CRITERIOS!$S$16:$S$39,[1]CRITERIOS!$Y$16:$Y$39))*$J96+$Z96)))</f>
        <v>72099.069014198278</v>
      </c>
    </row>
    <row r="97" spans="1:37" ht="25.8" x14ac:dyDescent="0.5">
      <c r="A97" s="32">
        <v>453451</v>
      </c>
      <c r="B97" s="33">
        <f>_xlfn.XLOOKUP($A97,'[1]DATOS PBI Artículos'!A:A,'[1]DATOS PBI Artículos'!B:B)</f>
        <v>0</v>
      </c>
      <c r="C97" s="33" t="str">
        <f>_xlfn.XLOOKUP($A97,'[1]DATOS PBI Artículos'!A:A,'[1]DATOS PBI Artículos'!C:C)</f>
        <v>UA03</v>
      </c>
      <c r="D97" s="33">
        <f>_xlfn.XLOOKUP(A97,'[1]DATOS PBI Artículos'!A:A,'[1]DATOS PBI Artículos'!T:T)</f>
        <v>5</v>
      </c>
      <c r="E97" s="34">
        <f>IF(_xlfn.XLOOKUP($A97,'[1]DATOS PBI Artículos'!A:A,'[1]DATOS PBI Artículos'!AK:AK)="",_xlfn.XLOOKUP($A97,'[1]DATOS PBI Artículos'!A:A,'[1]DATOS PBI Artículos'!AJ:AJ),_xlfn.XLOOKUP($A97,'[1]DATOS PBI Artículos'!A:A,'[1]DATOS PBI Artículos'!AK:AK))</f>
        <v>115200</v>
      </c>
      <c r="F97" s="35">
        <f>_xlfn.XLOOKUP($A97,'[1]DATOS PBI Artículos'!A:A,'[1]DATOS PBI Artículos'!AP:AP)</f>
        <v>20.666666666659999</v>
      </c>
      <c r="G97" s="34">
        <f>_xlfn.XLOOKUP($A97,'[1]DATOS PBI Artículos'!A:A,'[1]DATOS PBI Artículos'!AR:AR)</f>
        <v>28800</v>
      </c>
      <c r="H97" s="34">
        <f>_xlfn.XLOOKUP($A97,'[1]DATOS PBI Artículos'!A:A,'[1]DATOS PBI Artículos'!AT:AT)</f>
        <v>0</v>
      </c>
      <c r="I97" s="34">
        <f>_xlfn.XLOOKUP($A97,'[1]DATOS PBI Artículos'!A:A,'[1]DATOS PBI Artículos'!AS:AS)</f>
        <v>28800</v>
      </c>
      <c r="J97" s="35">
        <f>IF(COUNTIF([1]CRITERIOS!$F$179:$F$199,$A97)&gt;=1,
 IF(O97&lt;&gt;"",
    (O97/_xlfn.XLOOKUP(CONCATENATE(A97,L97),[1]MÁQUINAS!A:A,[1]MÁQUINAS!D:D))/24,
    (N97/_xlfn.XLOOKUP(CONCATENATE(A97,L97),[1]MÁQUINAS!A:A,[1]MÁQUINAS!D:D))/24),
  _xlfn.XLOOKUP($A97,'[1]DATOS PBI Artículos'!A:A,'[1]DATOS PBI Artículos'!AU:AU))</f>
        <v>13.923076923076923</v>
      </c>
      <c r="K97" s="36">
        <f>_xlfn.XLOOKUP($A97,'[1]DATOS PBI Artículos'!A:A,'[1]DATOS PBI Artículos'!AV:AV)</f>
        <v>1.2557559782549625</v>
      </c>
      <c r="L97" s="33">
        <f>_xlfn.XLOOKUP(A97,[1]MÁQUINAS!B:B,[1]MÁQUINAS!C:C)</f>
        <v>142</v>
      </c>
      <c r="M97" s="34">
        <f t="array" ref="M97">_xlfn.XLOOKUP(A97,'[1]DATOS PBI Artículos'!A:A,'[1]DATOS PBI Artículos'!AX:$AX)</f>
        <v>36387.616919363354</v>
      </c>
      <c r="N97" s="37">
        <f>IF(I97="DV",
E97,
IF(COUNTIF([1]CRITERIOS!$I$179:$I$199,$A97)&gt;=1,
_xlfn.XLOOKUP($A97,[1]CRITERIOS!$I$179:$I$199,[1]CRITERIOS!$J$179:$J$199),
IF(COUNTIF([1]CRITERIOS!$L$179:$L$199,$A97)&gt;=1,
_xlfn.CEILING.MATH(IF($M97&gt;$E97,
$E97,
IF($M97&lt;$E97/ROUNDDOWN([1]CRITERIOS!$M$16/_xlfn.XLOOKUP($C97,[1]CRITERIOS!$K$25:$K$42,[1]CRITERIOS!$M$25:$M$42),
1),
E97/ROUNDDOWN([1]CRITERIOS!$M$16/_xlfn.XLOOKUP($C97,[1]CRITERIOS!$K$25:$K$42,[1]CRITERIOS!$M$25:$M$42),
1),
$M97)),
_xlfn.XLOOKUP($A97,[1]CRITERIOS!$L$179:$L$200,[1]CRITERIOS!$M$179:$M$200)),
_xlfn.CEILING.MATH(IF($M97&gt;$E97,
$E97,
IF($M97&lt;$E97/ROUNDDOWN([1]CRITERIOS!$M$16/_xlfn.XLOOKUP($C97,[1]CRITERIOS!$K$25:$K$42,[1]CRITERIOS!$M$25:$M$42),
1),
E97/ROUNDDOWN([1]CRITERIOS!$M$16/_xlfn.XLOOKUP($C97,[1]CRITERIOS!$K$25:$K$42,[1]CRITERIOS!$M$25:$M$42),
1),
$M97)),_xlfn.XLOOKUP(A97,'[1]DATOS PBI Artículos'!A:A,'[1]DATOS PBI Artículos'!Z:Z
)))))</f>
        <v>39600</v>
      </c>
      <c r="Q97" s="38">
        <f>IF(AND(O97="",N97=0),
0,
   IF(COUNTIF([1]CRITERIOS!$F$179:$F$199,$A97)&gt;=1,
   1,
   IF(R97="MTO",
      $D97,
      ROUNDUP(
                    IF(($E97-SUMIF('[1]DATOS PBI Artículos'!A:A,A97,'[1]DATOS PBI Artículos'!X:X)+($V97-_xlfn.XLOOKUP(A97,'[1]DATOS PBI Artículos'!A:A,'[1]DATOS PBI Artículos'!W:W)))&lt;0,
                    0,
                    IF(($E97-SUMIF('[1]DATOS PBI Artículos'!A:A,A97,'[1]DATOS PBI Artículos'!X:X)+$V97-_xlfn.XLOOKUP($A97,'[1]DATOS PBI Artículos'!A:A,'[1]DATOS PBI Artículos'!W:W))/IF($O97="",$N97,$O97)&gt;ROUNDUP([1]CRITERIOS!$M$16/(IF(COUNTIF([1]CRITERIOS!$BG$11:$BG$201,L97)&gt;=1,_xlfn.XLOOKUP($C97,[1]CRITERIOS!$K$25:$K$42,[1]CRITERIOS!$M$25:$M$42),_xlfn.XLOOKUP($C97,[1]CRITERIOS!$K$25:$K$42,[1]CRITERIOS!$M$25:$M$42))),0),
                    ROUNDUP([1]CRITERIOS!$M$16/(IF(COUNTIF([1]CRITERIOS!$BG$11:$BG$201,$L97)&gt;=1,_xlfn.XLOOKUP($C97,[1]CRITERIOS!$K$25:$K$42,[1]CRITERIOS!$M$25:$M$42),_xlfn.XLOOKUP($C97,[1]CRITERIOS!$K$25:$K$42,[1]CRITERIOS!$M$25:$M$42))),0),
                    (E97+V97-SUMIF('[1]DATOS PBI Artículos'!A:A,A97,'[1]DATOS PBI Artículos'!X:X)-_xlfn.XLOOKUP(A97,'[1]DATOS PBI Artículos'!A:A,'[1]DATOS PBI Artículos'!W:W))/IF($O97="",$N97,$O97))),0))))</f>
        <v>5</v>
      </c>
      <c r="R97" s="33" t="str">
        <f>IF(U97&lt;&gt;"",U97,IF(F97="DV","MTO",IF(N97=0,"MTO",_xlfn.XLOOKUP(CONCATENATE(S97,T97),[1]CRITERIOS!$K$160:$K$168,[1]CRITERIOS!$N$160:$N$168))))</f>
        <v>MTO</v>
      </c>
      <c r="S97" s="33" t="str">
        <f>IF(G97="DV","MTO",IF(N97=0,"MTO",IF(OR(AND(N97=0,O97=""),IF(O97="",G97/N97,G97/O97)&gt;[1]CRITERIOS!$G$163),"MTO",IF(IF(O97="",G97/N97,G97/O97)&lt;[1]CRITERIOS!$H$161,"MTS","MTOS"))))</f>
        <v>MTOS</v>
      </c>
      <c r="T97" s="33" t="str">
        <f>IF(F97="DV","MTO",IF(OR(AND($N97=0,O97=""),$F97/$J97&gt;[1]CRITERIOS!$G$170,$F97="DV"),"MTO",IF($F97/$J97&lt;[1]CRITERIOS!$H$168,"MTS","MTOS")))</f>
        <v>MTO</v>
      </c>
      <c r="V97" s="34" t="str">
        <f t="shared" si="7"/>
        <v/>
      </c>
      <c r="X97" s="34">
        <f t="shared" si="5"/>
        <v>0</v>
      </c>
      <c r="Y97" s="34">
        <f t="shared" si="6"/>
        <v>0</v>
      </c>
      <c r="Z97" s="34">
        <f>IF($R97="MTO",
0,
($H97+$K97*($E97/[1]CRITERIOS!$M$16))/[1]CRITERIOS!$X$48)</f>
        <v>0</v>
      </c>
      <c r="AA97" s="34" t="e">
        <f>ROUNDUP(($Y97/_xlfn.XLOOKUP($A97,'[1]DATOS PBI Artículos'!$A$4:$A$4,'[1]DATOS PBI Artículos'!$Z$4:$Z$4))/_xlfn.XLOOKUP(_xlfn.XLOOKUP($A97,'[1]DATOS PBI Artículos'!$A$4:$A$4,'[1]DATOS PBI Artículos'!$Y$4:$Y$4),[1]CRITERIOS!$P$79:$P$123,[1]CRITERIOS!$S$79:$S$123,),0)</f>
        <v>#N/A</v>
      </c>
      <c r="AB97" s="33" t="e">
        <f t="array" ref="AB97">IF((E97+V97-_xlfn.XLOOKUP(A97,'[1]DATOS PBI Artículos'!$A$4:$A$4,'[1]DATOS PBI Artículos'!$W$4:$W$4))/N97&gt;ROUNDUP([1]CRITERIOS!$M$16/(IF(COUNTIF([1]CRITERIOS!$BG$11:$BG$201,L97)&gt;=1,_xlfn.XLOOKUP(ARTÍCULOS!L97,[1]CRITERIOS!$BG$11:$BG$201,[1]CRITERIOS!$BJ$11:$BJ$201),_xlfn.XLOOKUP(ARTÍCULOS!C97,[1]CRITERIOS!$K$25:$K$42,[1]CRITERIOS!$M$25:$M$42))),0),ROUNDUP([1]CRITERIOS!$M$16/(IF(COUNTIF([1]CRITERIOS!$BG$11:$BG$201,L97)&gt;=1,_xlfn.XLOOKUP(ARTÍCULOS!L97,[1]CRITERIOS!$BG$11:$BG$201:#REF!,[1]CRITERIOS!$BJ$11:$BJ$201),_xlfn.XLOOKUP(ARTÍCULOS!C97,[1]CRITERIOS!$K$25:$K$42,[1]CRITERIOS!$M$25:$M$42))),0),(E97+V97-_xlfn.XLOOKUP(A97,'[1]DATOS PBI Artículos'!$A$4:$A$4,'[1]DATOS PBI Artículos'!$W$4:$W$4))/N97)</f>
        <v>#VALUE!</v>
      </c>
      <c r="AC97" s="33" t="e">
        <f>IF(N97=0,"",(ROUNDUP((N97/2)/(_xlfn.XLOOKUP(A97,'[1]DATOS PBI Artículos'!$A$4:$A$4,'[1]DATOS PBI Artículos'!$Z$4:$Z$4)*_xlfn.XLOOKUP(_xlfn.XLOOKUP(A97,'[1]DATOS PBI Artículos'!$A$4:$A$4,'[1]DATOS PBI Artículos'!$Y$4:$Y$4),[1]CRITERIOS!$P$79:$P$123,[1]CRITERIOS!$S$79:$S$123)),0)*[1]CRITERIOS!$M$80*([1]CRITERIOS!$M$110/[1]CRITERIOS!$M$86)+(_xlfn.XLOOKUP(A97,'[1]DATOS PBI Artículos'!$A$4:$A$4,'[1]DATOS PBI Artículos'!$AA$4:$AA$4)*([1]CRITERIOS!$M$95+[1]CRITERIOS!$M$98)))/N97)</f>
        <v>#N/A</v>
      </c>
      <c r="AD97" s="33" t="e">
        <f>IF(N97=0,"",(ROUNDUP((N97/2)/(_xlfn.XLOOKUP(A97,'[1]DATOS PBI Artículos'!$A$4:$A$4,'[1]DATOS PBI Artículos'!$Z$4:$Z$4)*_xlfn.XLOOKUP(_xlfn.XLOOKUP(A97,'[1]DATOS PBI Artículos'!$A$4:$A$4,'[1]DATOS PBI Artículos'!$Y$4:$Y$4),[1]CRITERIOS!$P$79:$P$123,[1]CRITERIOS!$S$79:$S$123)),0)*[1]CRITERIOS!$M$80*([1]CRITERIOS!$M$89*[1]CRITERIOS!$M$92)+((_xlfn.XLOOKUP(A97,'[1]DATOS PBI Artículos'!$A$4:$A$4,'[1]DATOS PBI Artículos'!$AA$4:$AA$4)/2)*([1]CRITERIOS!$M$95+[1]CRITERIOS!$M$98)))/N97)</f>
        <v>#N/A</v>
      </c>
      <c r="AE97" s="39" t="str">
        <f>IF($R97="MTO","",
IF($H97=0,ROUNDUP(((_xlfn.XLOOKUP($A97,'[1]DATOS PBI Artículos'!$A:$A,'[1]DATOS PBI Artículos'!$AL:$AL))/(_xlfn.XLOOKUP($AF$1,[1]CRITERIOS!$S$16:$S$39,[1]CRITERIOS!$Y$16:$Y$39))*$J97+$Z97)/$G97,0)*$G97,
((_xlfn.XLOOKUP($A97,'[1]DATOS PBI Artículos'!$A:$A,'[1]DATOS PBI Artículos'!$AL:$AL))/(_xlfn.XLOOKUP($AF$1,[1]CRITERIOS!$S$16:$S$39,[1]CRITERIOS!$Y$16:$Y$39))*$J97+$Z97)))</f>
        <v/>
      </c>
      <c r="AG97" s="39" t="str">
        <f>IF($R97="MTO","",
IF($H97=0,ROUNDUP(((_xlfn.XLOOKUP($A97,'[1]DATOS PBI Artículos'!$A:$A,'[1]DATOS PBI Artículos'!$AM:$AM))/(_xlfn.XLOOKUP($AH$1,[1]CRITERIOS!$S$16:$S$39,[1]CRITERIOS!$Y$16:$Y$39))*$J97+$Z97)/$G97,0)*$G97,
((_xlfn.XLOOKUP($A97,'[1]DATOS PBI Artículos'!$A:$A,'[1]DATOS PBI Artículos'!$AM:$AM))/(_xlfn.XLOOKUP($AH$1,[1]CRITERIOS!$S$16:$S$39,[1]CRITERIOS!$Y$16:$Y$39))*$J97+$Z97)))</f>
        <v/>
      </c>
      <c r="AI97" s="39" t="str">
        <f>IF($R97="MTO","",
IF($H97=0,ROUNDUP(((_xlfn.XLOOKUP($A97,'[1]DATOS PBI Artículos'!$A:$A,'[1]DATOS PBI Artículos'!$AN:$AN))/(_xlfn.XLOOKUP($AJ$1,[1]CRITERIOS!$S$16:$S$39,[1]CRITERIOS!$Y$16:$Y$39))*$J97+$Z97)/$G97,0)*$G97,
((_xlfn.XLOOKUP($A97,'[1]DATOS PBI Artículos'!$A:$A,'[1]DATOS PBI Artículos'!$AN:$AN))/(_xlfn.XLOOKUP($AJ$1,[1]CRITERIOS!$S$16:$S$39,[1]CRITERIOS!$Y$16:$Y$39))*$J97+$Z97)))</f>
        <v/>
      </c>
      <c r="AK97" s="39" t="str">
        <f>IF($R97="MTO","",
IF($H97=0,ROUNDUP(((_xlfn.XLOOKUP($A97,'[1]DATOS PBI Artículos'!$A:$A,'[1]DATOS PBI Artículos'!$AO:$AO))/(_xlfn.XLOOKUP($AL$1,[1]CRITERIOS!$S$16:$S$39,[1]CRITERIOS!$Y$16:$Y$39))*$J97+$Z97)/$G97,0)*$G97,
((_xlfn.XLOOKUP($A97,'[1]DATOS PBI Artículos'!$A:$A,'[1]DATOS PBI Artículos'!$AO:$AO))/(_xlfn.XLOOKUP($AL$1,[1]CRITERIOS!$S$16:$S$39,[1]CRITERIOS!$Y$16:$Y$39))*$J97+$Z97)))</f>
        <v/>
      </c>
    </row>
    <row r="98" spans="1:37" ht="25.8" x14ac:dyDescent="0.5">
      <c r="A98" s="32">
        <v>407076</v>
      </c>
      <c r="B98" s="33">
        <f>_xlfn.XLOOKUP($A98,'[1]DATOS PBI Artículos'!A:A,'[1]DATOS PBI Artículos'!B:B)</f>
        <v>0</v>
      </c>
      <c r="C98" s="33" t="str">
        <f>_xlfn.XLOOKUP($A98,'[1]DATOS PBI Artículos'!A:A,'[1]DATOS PBI Artículos'!C:C)</f>
        <v>UA03</v>
      </c>
      <c r="D98" s="33">
        <f>_xlfn.XLOOKUP(A98,'[1]DATOS PBI Artículos'!A:A,'[1]DATOS PBI Artículos'!T:T)</f>
        <v>1</v>
      </c>
      <c r="E98" s="34">
        <f>IF(_xlfn.XLOOKUP($A98,'[1]DATOS PBI Artículos'!A:A,'[1]DATOS PBI Artículos'!AK:AK)="",_xlfn.XLOOKUP($A98,'[1]DATOS PBI Artículos'!A:A,'[1]DATOS PBI Artículos'!AJ:AJ),_xlfn.XLOOKUP($A98,'[1]DATOS PBI Artículos'!A:A,'[1]DATOS PBI Artículos'!AK:AK))</f>
        <v>114000</v>
      </c>
      <c r="F98" s="35">
        <f>_xlfn.XLOOKUP($A98,'[1]DATOS PBI Artículos'!A:A,'[1]DATOS PBI Artículos'!AP:AP)</f>
        <v>75</v>
      </c>
      <c r="G98" s="34">
        <f>_xlfn.XLOOKUP($A98,'[1]DATOS PBI Artículos'!A:A,'[1]DATOS PBI Artículos'!AR:AR)</f>
        <v>114000</v>
      </c>
      <c r="H98" s="34">
        <f>_xlfn.XLOOKUP($A98,'[1]DATOS PBI Artículos'!A:A,'[1]DATOS PBI Artículos'!AT:AT)</f>
        <v>0</v>
      </c>
      <c r="I98" s="34">
        <f>_xlfn.XLOOKUP($A98,'[1]DATOS PBI Artículos'!A:A,'[1]DATOS PBI Artículos'!AS:AS)</f>
        <v>114000</v>
      </c>
      <c r="J98" s="35">
        <f>IF(COUNTIF([1]CRITERIOS!$F$179:$F$199,$A98)&gt;=1,
 IF(O98&lt;&gt;"",
    (O98/_xlfn.XLOOKUP(CONCATENATE(A98,L98),[1]MÁQUINAS!A:A,[1]MÁQUINAS!D:D))/24,
    (N98/_xlfn.XLOOKUP(CONCATENATE(A98,L98),[1]MÁQUINAS!A:A,[1]MÁQUINAS!D:D))/24),
  _xlfn.XLOOKUP($A98,'[1]DATOS PBI Artículos'!A:A,'[1]DATOS PBI Artículos'!AU:AU))</f>
        <v>14</v>
      </c>
      <c r="K98" s="36">
        <f>_xlfn.XLOOKUP($A98,'[1]DATOS PBI Artículos'!A:A,'[1]DATOS PBI Artículos'!AV:AV)</f>
        <v>1.1547005383792515</v>
      </c>
      <c r="L98" s="33">
        <f>_xlfn.XLOOKUP(A98,[1]MÁQUINAS!B:B,[1]MÁQUINAS!C:C)</f>
        <v>127</v>
      </c>
      <c r="M98" s="34">
        <f t="array" ref="M98">_xlfn.XLOOKUP(A98,'[1]DATOS PBI Artículos'!A:A,'[1]DATOS PBI Artículos'!AX:$AX)</f>
        <v>74218.984845137747</v>
      </c>
      <c r="N98" s="37">
        <f>IF(I98="DV",
E98,
IF(COUNTIF([1]CRITERIOS!$I$179:$I$199,$A98)&gt;=1,
_xlfn.XLOOKUP($A98,[1]CRITERIOS!$I$179:$I$199,[1]CRITERIOS!$J$179:$J$199),
IF(COUNTIF([1]CRITERIOS!$L$179:$L$199,$A98)&gt;=1,
_xlfn.CEILING.MATH(IF($M98&gt;$E98,
$E98,
IF($M98&lt;$E98/ROUNDDOWN([1]CRITERIOS!$M$16/_xlfn.XLOOKUP($C98,[1]CRITERIOS!$K$25:$K$42,[1]CRITERIOS!$M$25:$M$42),
1),
E98/ROUNDDOWN([1]CRITERIOS!$M$16/_xlfn.XLOOKUP($C98,[1]CRITERIOS!$K$25:$K$42,[1]CRITERIOS!$M$25:$M$42),
1),
$M98)),
_xlfn.XLOOKUP($A98,[1]CRITERIOS!$L$179:$L$200,[1]CRITERIOS!$M$179:$M$200)),
_xlfn.CEILING.MATH(IF($M98&gt;$E98,
$E98,
IF($M98&lt;$E98/ROUNDDOWN([1]CRITERIOS!$M$16/_xlfn.XLOOKUP($C98,[1]CRITERIOS!$K$25:$K$42,[1]CRITERIOS!$M$25:$M$42),
1),
E98/ROUNDDOWN([1]CRITERIOS!$M$16/_xlfn.XLOOKUP($C98,[1]CRITERIOS!$K$25:$K$42,[1]CRITERIOS!$M$25:$M$42),
1),
$M98)),_xlfn.XLOOKUP(A98,'[1]DATOS PBI Artículos'!A:A,'[1]DATOS PBI Artículos'!Z:Z
)))))</f>
        <v>80000</v>
      </c>
      <c r="Q98" s="38">
        <f>IF(AND(O98="",N98=0),
0,
   IF(COUNTIF([1]CRITERIOS!$F$179:$F$199,$A98)&gt;=1,
   1,
   IF(R98="MTO",
      $D98,
      ROUNDUP(
                    IF(($E98-SUMIF('[1]DATOS PBI Artículos'!A:A,A98,'[1]DATOS PBI Artículos'!X:X)+($V98-_xlfn.XLOOKUP(A98,'[1]DATOS PBI Artículos'!A:A,'[1]DATOS PBI Artículos'!W:W)))&lt;0,
                    0,
                    IF(($E98-SUMIF('[1]DATOS PBI Artículos'!A:A,A98,'[1]DATOS PBI Artículos'!X:X)+$V98-_xlfn.XLOOKUP($A98,'[1]DATOS PBI Artículos'!A:A,'[1]DATOS PBI Artículos'!W:W))/IF($O98="",$N98,$O98)&gt;ROUNDUP([1]CRITERIOS!$M$16/(IF(COUNTIF([1]CRITERIOS!$BG$11:$BG$201,L98)&gt;=1,_xlfn.XLOOKUP($C98,[1]CRITERIOS!$K$25:$K$42,[1]CRITERIOS!$M$25:$M$42),_xlfn.XLOOKUP($C98,[1]CRITERIOS!$K$25:$K$42,[1]CRITERIOS!$M$25:$M$42))),0),
                    ROUNDUP([1]CRITERIOS!$M$16/(IF(COUNTIF([1]CRITERIOS!$BG$11:$BG$201,$L98)&gt;=1,_xlfn.XLOOKUP($C98,[1]CRITERIOS!$K$25:$K$42,[1]CRITERIOS!$M$25:$M$42),_xlfn.XLOOKUP($C98,[1]CRITERIOS!$K$25:$K$42,[1]CRITERIOS!$M$25:$M$42))),0),
                    (E98+V98-SUMIF('[1]DATOS PBI Artículos'!A:A,A98,'[1]DATOS PBI Artículos'!X:X)-_xlfn.XLOOKUP(A98,'[1]DATOS PBI Artículos'!A:A,'[1]DATOS PBI Artículos'!W:W))/IF($O98="",$N98,$O98))),0))))</f>
        <v>1</v>
      </c>
      <c r="R98" s="33" t="str">
        <f>IF(U98&lt;&gt;"",U98,IF(F98="DV","MTO",IF(N98=0,"MTO",_xlfn.XLOOKUP(CONCATENATE(S98,T98),[1]CRITERIOS!$K$160:$K$168,[1]CRITERIOS!$N$160:$N$168))))</f>
        <v>MTO</v>
      </c>
      <c r="S98" s="33" t="str">
        <f>IF(G98="DV","MTO",IF(N98=0,"MTO",IF(OR(AND(N98=0,O98=""),IF(O98="",G98/N98,G98/O98)&gt;[1]CRITERIOS!$G$163),"MTO",IF(IF(O98="",G98/N98,G98/O98)&lt;[1]CRITERIOS!$H$161,"MTS","MTOS"))))</f>
        <v>MTO</v>
      </c>
      <c r="T98" s="33" t="str">
        <f>IF(F98="DV","MTO",IF(OR(AND($N98=0,O98=""),$F98/$J98&gt;[1]CRITERIOS!$G$170,$F98="DV"),"MTO",IF($F98/$J98&lt;[1]CRITERIOS!$H$168,"MTS","MTOS")))</f>
        <v>MTO</v>
      </c>
      <c r="V98" s="34" t="str">
        <f t="shared" si="7"/>
        <v/>
      </c>
      <c r="X98" s="34">
        <f t="shared" si="5"/>
        <v>0</v>
      </c>
      <c r="Y98" s="34">
        <f t="shared" si="6"/>
        <v>0</v>
      </c>
      <c r="Z98" s="34">
        <f>IF($R98="MTO",
0,
($H98+$K98*($E98/[1]CRITERIOS!$M$16))/[1]CRITERIOS!$X$48)</f>
        <v>0</v>
      </c>
      <c r="AA98" s="34" t="e">
        <f>ROUNDUP(($Y98/_xlfn.XLOOKUP($A98,'[1]DATOS PBI Artículos'!$A$4:$A$4,'[1]DATOS PBI Artículos'!$Z$4:$Z$4))/_xlfn.XLOOKUP(_xlfn.XLOOKUP($A98,'[1]DATOS PBI Artículos'!$A$4:$A$4,'[1]DATOS PBI Artículos'!$Y$4:$Y$4),[1]CRITERIOS!$P$79:$P$123,[1]CRITERIOS!$S$79:$S$123,),0)</f>
        <v>#N/A</v>
      </c>
      <c r="AB98" s="33" t="e">
        <f t="array" ref="AB98">IF((E98+V98-_xlfn.XLOOKUP(A98,'[1]DATOS PBI Artículos'!$A$4:$A$4,'[1]DATOS PBI Artículos'!$W$4:$W$4))/N98&gt;ROUNDUP([1]CRITERIOS!$M$16/(IF(COUNTIF([1]CRITERIOS!$BG$11:$BG$201,L98)&gt;=1,_xlfn.XLOOKUP(ARTÍCULOS!L98,[1]CRITERIOS!$BG$11:$BG$201,[1]CRITERIOS!$BJ$11:$BJ$201),_xlfn.XLOOKUP(ARTÍCULOS!C98,[1]CRITERIOS!$K$25:$K$42,[1]CRITERIOS!$M$25:$M$42))),0),ROUNDUP([1]CRITERIOS!$M$16/(IF(COUNTIF([1]CRITERIOS!$BG$11:$BG$201,L98)&gt;=1,_xlfn.XLOOKUP(ARTÍCULOS!L98,[1]CRITERIOS!$BG$11:$BG$201:#REF!,[1]CRITERIOS!$BJ$11:$BJ$201),_xlfn.XLOOKUP(ARTÍCULOS!C98,[1]CRITERIOS!$K$25:$K$42,[1]CRITERIOS!$M$25:$M$42))),0),(E98+V98-_xlfn.XLOOKUP(A98,'[1]DATOS PBI Artículos'!$A$4:$A$4,'[1]DATOS PBI Artículos'!$W$4:$W$4))/N98)</f>
        <v>#VALUE!</v>
      </c>
      <c r="AC98" s="33" t="e">
        <f>IF(N98=0,"",(ROUNDUP((N98/2)/(_xlfn.XLOOKUP(A98,'[1]DATOS PBI Artículos'!$A$4:$A$4,'[1]DATOS PBI Artículos'!$Z$4:$Z$4)*_xlfn.XLOOKUP(_xlfn.XLOOKUP(A98,'[1]DATOS PBI Artículos'!$A$4:$A$4,'[1]DATOS PBI Artículos'!$Y$4:$Y$4),[1]CRITERIOS!$P$79:$P$123,[1]CRITERIOS!$S$79:$S$123)),0)*[1]CRITERIOS!$M$80*([1]CRITERIOS!$M$110/[1]CRITERIOS!$M$86)+(_xlfn.XLOOKUP(A98,'[1]DATOS PBI Artículos'!$A$4:$A$4,'[1]DATOS PBI Artículos'!$AA$4:$AA$4)*([1]CRITERIOS!$M$95+[1]CRITERIOS!$M$98)))/N98)</f>
        <v>#N/A</v>
      </c>
      <c r="AD98" s="33" t="e">
        <f>IF(N98=0,"",(ROUNDUP((N98/2)/(_xlfn.XLOOKUP(A98,'[1]DATOS PBI Artículos'!$A$4:$A$4,'[1]DATOS PBI Artículos'!$Z$4:$Z$4)*_xlfn.XLOOKUP(_xlfn.XLOOKUP(A98,'[1]DATOS PBI Artículos'!$A$4:$A$4,'[1]DATOS PBI Artículos'!$Y$4:$Y$4),[1]CRITERIOS!$P$79:$P$123,[1]CRITERIOS!$S$79:$S$123)),0)*[1]CRITERIOS!$M$80*([1]CRITERIOS!$M$89*[1]CRITERIOS!$M$92)+((_xlfn.XLOOKUP(A98,'[1]DATOS PBI Artículos'!$A$4:$A$4,'[1]DATOS PBI Artículos'!$AA$4:$AA$4)/2)*([1]CRITERIOS!$M$95+[1]CRITERIOS!$M$98)))/N98)</f>
        <v>#N/A</v>
      </c>
      <c r="AE98" s="39" t="str">
        <f>IF($R98="MTO","",
IF($H98=0,ROUNDUP(((_xlfn.XLOOKUP($A98,'[1]DATOS PBI Artículos'!$A:$A,'[1]DATOS PBI Artículos'!$AL:$AL))/(_xlfn.XLOOKUP($AF$1,[1]CRITERIOS!$S$16:$S$39,[1]CRITERIOS!$Y$16:$Y$39))*$J98+$Z98)/$G98,0)*$G98,
((_xlfn.XLOOKUP($A98,'[1]DATOS PBI Artículos'!$A:$A,'[1]DATOS PBI Artículos'!$AL:$AL))/(_xlfn.XLOOKUP($AF$1,[1]CRITERIOS!$S$16:$S$39,[1]CRITERIOS!$Y$16:$Y$39))*$J98+$Z98)))</f>
        <v/>
      </c>
      <c r="AG98" s="39" t="str">
        <f>IF($R98="MTO","",
IF($H98=0,ROUNDUP(((_xlfn.XLOOKUP($A98,'[1]DATOS PBI Artículos'!$A:$A,'[1]DATOS PBI Artículos'!$AM:$AM))/(_xlfn.XLOOKUP($AH$1,[1]CRITERIOS!$S$16:$S$39,[1]CRITERIOS!$Y$16:$Y$39))*$J98+$Z98)/$G98,0)*$G98,
((_xlfn.XLOOKUP($A98,'[1]DATOS PBI Artículos'!$A:$A,'[1]DATOS PBI Artículos'!$AM:$AM))/(_xlfn.XLOOKUP($AH$1,[1]CRITERIOS!$S$16:$S$39,[1]CRITERIOS!$Y$16:$Y$39))*$J98+$Z98)))</f>
        <v/>
      </c>
      <c r="AI98" s="39" t="str">
        <f>IF($R98="MTO","",
IF($H98=0,ROUNDUP(((_xlfn.XLOOKUP($A98,'[1]DATOS PBI Artículos'!$A:$A,'[1]DATOS PBI Artículos'!$AN:$AN))/(_xlfn.XLOOKUP($AJ$1,[1]CRITERIOS!$S$16:$S$39,[1]CRITERIOS!$Y$16:$Y$39))*$J98+$Z98)/$G98,0)*$G98,
((_xlfn.XLOOKUP($A98,'[1]DATOS PBI Artículos'!$A:$A,'[1]DATOS PBI Artículos'!$AN:$AN))/(_xlfn.XLOOKUP($AJ$1,[1]CRITERIOS!$S$16:$S$39,[1]CRITERIOS!$Y$16:$Y$39))*$J98+$Z98)))</f>
        <v/>
      </c>
      <c r="AK98" s="39" t="str">
        <f>IF($R98="MTO","",
IF($H98=0,ROUNDUP(((_xlfn.XLOOKUP($A98,'[1]DATOS PBI Artículos'!$A:$A,'[1]DATOS PBI Artículos'!$AO:$AO))/(_xlfn.XLOOKUP($AL$1,[1]CRITERIOS!$S$16:$S$39,[1]CRITERIOS!$Y$16:$Y$39))*$J98+$Z98)/$G98,0)*$G98,
((_xlfn.XLOOKUP($A98,'[1]DATOS PBI Artículos'!$A:$A,'[1]DATOS PBI Artículos'!$AO:$AO))/(_xlfn.XLOOKUP($AL$1,[1]CRITERIOS!$S$16:$S$39,[1]CRITERIOS!$Y$16:$Y$39))*$J98+$Z98)))</f>
        <v/>
      </c>
    </row>
    <row r="99" spans="1:37" ht="25.8" x14ac:dyDescent="0.5">
      <c r="A99" s="32">
        <v>453591</v>
      </c>
      <c r="B99" s="33">
        <f>_xlfn.XLOOKUP($A99,'[1]DATOS PBI Artículos'!A:A,'[1]DATOS PBI Artículos'!B:B)</f>
        <v>0</v>
      </c>
      <c r="C99" s="33" t="str">
        <f>_xlfn.XLOOKUP($A99,'[1]DATOS PBI Artículos'!A:A,'[1]DATOS PBI Artículos'!C:C)</f>
        <v>UA02</v>
      </c>
      <c r="D99" s="33">
        <f>_xlfn.XLOOKUP(A99,'[1]DATOS PBI Artículos'!A:A,'[1]DATOS PBI Artículos'!T:T)</f>
        <v>3</v>
      </c>
      <c r="E99" s="34">
        <f>IF(_xlfn.XLOOKUP($A99,'[1]DATOS PBI Artículos'!A:A,'[1]DATOS PBI Artículos'!AK:AK)="",_xlfn.XLOOKUP($A99,'[1]DATOS PBI Artículos'!A:A,'[1]DATOS PBI Artículos'!AJ:AJ),_xlfn.XLOOKUP($A99,'[1]DATOS PBI Artículos'!A:A,'[1]DATOS PBI Artículos'!AK:AK))</f>
        <v>112000</v>
      </c>
      <c r="F99" s="35">
        <f>_xlfn.XLOOKUP($A99,'[1]DATOS PBI Artículos'!A:A,'[1]DATOS PBI Artículos'!AP:AP)</f>
        <v>19.5</v>
      </c>
      <c r="G99" s="34">
        <f>_xlfn.XLOOKUP($A99,'[1]DATOS PBI Artículos'!A:A,'[1]DATOS PBI Artículos'!AR:AR)</f>
        <v>36000</v>
      </c>
      <c r="H99" s="34">
        <f>_xlfn.XLOOKUP($A99,'[1]DATOS PBI Artículos'!A:A,'[1]DATOS PBI Artículos'!AT:AT)</f>
        <v>6110.1009266077799</v>
      </c>
      <c r="I99" s="34">
        <f>_xlfn.XLOOKUP($A99,'[1]DATOS PBI Artículos'!A:A,'[1]DATOS PBI Artículos'!AS:AS)</f>
        <v>4000</v>
      </c>
      <c r="J99" s="35">
        <f>IF(COUNTIF([1]CRITERIOS!$F$179:$F$199,$A99)&gt;=1,
 IF(O99&lt;&gt;"",
    (O99/_xlfn.XLOOKUP(CONCATENATE(A99,L99),[1]MÁQUINAS!A:A,[1]MÁQUINAS!D:D))/24,
    (N99/_xlfn.XLOOKUP(CONCATENATE(A99,L99),[1]MÁQUINAS!A:A,[1]MÁQUINAS!D:D))/24),
  _xlfn.XLOOKUP($A99,'[1]DATOS PBI Artículos'!A:A,'[1]DATOS PBI Artículos'!AU:AU))</f>
        <v>18.18181818181818</v>
      </c>
      <c r="K99" s="36">
        <f>_xlfn.XLOOKUP($A99,'[1]DATOS PBI Artículos'!A:A,'[1]DATOS PBI Artículos'!AV:AV)</f>
        <v>3.5161962919661303</v>
      </c>
      <c r="L99" s="33">
        <f>_xlfn.XLOOKUP(A99,[1]MÁQUINAS!B:B,[1]MÁQUINAS!C:C)</f>
        <v>212</v>
      </c>
      <c r="M99" s="34">
        <f t="array" ref="M99">_xlfn.XLOOKUP(A99,'[1]DATOS PBI Artículos'!A:A,'[1]DATOS PBI Artículos'!AX:$AX)</f>
        <v>38581.05811077141</v>
      </c>
      <c r="N99" s="37">
        <f>IF(I99="DV",
E99,
IF(COUNTIF([1]CRITERIOS!$I$179:$I$199,$A99)&gt;=1,
_xlfn.XLOOKUP($A99,[1]CRITERIOS!$I$179:$I$199,[1]CRITERIOS!$J$179:$J$199),
IF(COUNTIF([1]CRITERIOS!$L$179:$L$199,$A99)&gt;=1,
_xlfn.CEILING.MATH(IF($M99&gt;$E99,
$E99,
IF($M99&lt;$E99/ROUNDDOWN([1]CRITERIOS!$M$16/_xlfn.XLOOKUP($C99,[1]CRITERIOS!$K$25:$K$42,[1]CRITERIOS!$M$25:$M$42),
1),
E99/ROUNDDOWN([1]CRITERIOS!$M$16/_xlfn.XLOOKUP($C99,[1]CRITERIOS!$K$25:$K$42,[1]CRITERIOS!$M$25:$M$42),
1),
$M99)),
_xlfn.XLOOKUP($A99,[1]CRITERIOS!$L$179:$L$200,[1]CRITERIOS!$M$179:$M$200)),
_xlfn.CEILING.MATH(IF($M99&gt;$E99,
$E99,
IF($M99&lt;$E99/ROUNDDOWN([1]CRITERIOS!$M$16/_xlfn.XLOOKUP($C99,[1]CRITERIOS!$K$25:$K$42,[1]CRITERIOS!$M$25:$M$42),
1),
E99/ROUNDDOWN([1]CRITERIOS!$M$16/_xlfn.XLOOKUP($C99,[1]CRITERIOS!$K$25:$K$42,[1]CRITERIOS!$M$25:$M$42),
1),
$M99)),_xlfn.XLOOKUP(A99,'[1]DATOS PBI Artículos'!A:A,'[1]DATOS PBI Artículos'!Z:Z
)))))</f>
        <v>40000</v>
      </c>
      <c r="Q99" s="38">
        <f>IF(AND(O99="",N99=0),
0,
   IF(COUNTIF([1]CRITERIOS!$F$179:$F$199,$A99)&gt;=1,
   1,
   IF(R99="MTO",
      $D99,
      ROUNDUP(
                    IF(($E99-SUMIF('[1]DATOS PBI Artículos'!A:A,A99,'[1]DATOS PBI Artículos'!X:X)+($V99-_xlfn.XLOOKUP(A99,'[1]DATOS PBI Artículos'!A:A,'[1]DATOS PBI Artículos'!W:W)))&lt;0,
                    0,
                    IF(($E99-SUMIF('[1]DATOS PBI Artículos'!A:A,A99,'[1]DATOS PBI Artículos'!X:X)+$V99-_xlfn.XLOOKUP($A99,'[1]DATOS PBI Artículos'!A:A,'[1]DATOS PBI Artículos'!W:W))/IF($O99="",$N99,$O99)&gt;ROUNDUP([1]CRITERIOS!$M$16/(IF(COUNTIF([1]CRITERIOS!$BG$11:$BG$201,L99)&gt;=1,_xlfn.XLOOKUP($C99,[1]CRITERIOS!$K$25:$K$42,[1]CRITERIOS!$M$25:$M$42),_xlfn.XLOOKUP($C99,[1]CRITERIOS!$K$25:$K$42,[1]CRITERIOS!$M$25:$M$42))),0),
                    ROUNDUP([1]CRITERIOS!$M$16/(IF(COUNTIF([1]CRITERIOS!$BG$11:$BG$201,$L99)&gt;=1,_xlfn.XLOOKUP($C99,[1]CRITERIOS!$K$25:$K$42,[1]CRITERIOS!$M$25:$M$42),_xlfn.XLOOKUP($C99,[1]CRITERIOS!$K$25:$K$42,[1]CRITERIOS!$M$25:$M$42))),0),
                    (E99+V99-SUMIF('[1]DATOS PBI Artículos'!A:A,A99,'[1]DATOS PBI Artículos'!X:X)-_xlfn.XLOOKUP(A99,'[1]DATOS PBI Artículos'!A:A,'[1]DATOS PBI Artículos'!W:W))/IF($O99="",$N99,$O99))),0))))</f>
        <v>2</v>
      </c>
      <c r="R99" s="33" t="str">
        <f>IF(U99&lt;&gt;"",U99,IF(F99="DV","MTO",IF(N99=0,"MTO",_xlfn.XLOOKUP(CONCATENATE(S99,T99),[1]CRITERIOS!$K$160:$K$168,[1]CRITERIOS!$N$160:$N$168))))</f>
        <v>MTS</v>
      </c>
      <c r="S99" s="33" t="str">
        <f>IF(G99="DV","MTO",IF(N99=0,"MTO",IF(OR(AND(N99=0,O99=""),IF(O99="",G99/N99,G99/O99)&gt;[1]CRITERIOS!$G$163),"MTO",IF(IF(O99="",G99/N99,G99/O99)&lt;[1]CRITERIOS!$H$161,"MTS","MTOS"))))</f>
        <v>MTO</v>
      </c>
      <c r="T99" s="33" t="str">
        <f>IF(F99="DV","MTO",IF(OR(AND($N99=0,O99=""),$F99/$J99&gt;[1]CRITERIOS!$G$170,$F99="DV"),"MTO",IF($F99/$J99&lt;[1]CRITERIOS!$H$168,"MTS","MTOS")))</f>
        <v>MTS</v>
      </c>
      <c r="V99" s="34">
        <f t="shared" si="7"/>
        <v>43033.89527972012</v>
      </c>
      <c r="X99" s="34">
        <f t="shared" si="5"/>
        <v>83033.89527972012</v>
      </c>
      <c r="Y99" s="34">
        <f t="shared" si="6"/>
        <v>29467.461713286557</v>
      </c>
      <c r="Z99" s="34">
        <f>IF($R99="MTO",
0,
($H99+$K99*($E99/[1]CRITERIOS!$M$16))/[1]CRITERIOS!$X$48)</f>
        <v>9467.4617132865569</v>
      </c>
      <c r="AA99" s="34" t="e">
        <f>ROUNDUP(($Y99/_xlfn.XLOOKUP($A99,'[1]DATOS PBI Artículos'!$A$4:$A$4,'[1]DATOS PBI Artículos'!$Z$4:$Z$4))/_xlfn.XLOOKUP(_xlfn.XLOOKUP($A99,'[1]DATOS PBI Artículos'!$A$4:$A$4,'[1]DATOS PBI Artículos'!$Y$4:$Y$4),[1]CRITERIOS!$P$79:$P$123,[1]CRITERIOS!$S$79:$S$123,),0)</f>
        <v>#N/A</v>
      </c>
      <c r="AB99" s="33" t="e">
        <f t="array" ref="AB99">IF((E99+V99-_xlfn.XLOOKUP(A99,'[1]DATOS PBI Artículos'!$A$4:$A$4,'[1]DATOS PBI Artículos'!$W$4:$W$4))/N99&gt;ROUNDUP([1]CRITERIOS!$M$16/(IF(COUNTIF([1]CRITERIOS!$BG$11:$BG$201,L99)&gt;=1,_xlfn.XLOOKUP(ARTÍCULOS!L99,[1]CRITERIOS!$BG$11:$BG$201,[1]CRITERIOS!$BJ$11:$BJ$201),_xlfn.XLOOKUP(ARTÍCULOS!C99,[1]CRITERIOS!$K$25:$K$42,[1]CRITERIOS!$M$25:$M$42))),0),ROUNDUP([1]CRITERIOS!$M$16/(IF(COUNTIF([1]CRITERIOS!$BG$11:$BG$201,L99)&gt;=1,_xlfn.XLOOKUP(ARTÍCULOS!L99,[1]CRITERIOS!$BG$11:$BG$201:#REF!,[1]CRITERIOS!$BJ$11:$BJ$201),_xlfn.XLOOKUP(ARTÍCULOS!C99,[1]CRITERIOS!$K$25:$K$42,[1]CRITERIOS!$M$25:$M$42))),0),(E99+V99-_xlfn.XLOOKUP(A99,'[1]DATOS PBI Artículos'!$A$4:$A$4,'[1]DATOS PBI Artículos'!$W$4:$W$4))/N99)</f>
        <v>#N/A</v>
      </c>
      <c r="AC99" s="33" t="e">
        <f>IF(N99=0,"",(ROUNDUP((N99/2)/(_xlfn.XLOOKUP(A99,'[1]DATOS PBI Artículos'!$A$4:$A$4,'[1]DATOS PBI Artículos'!$Z$4:$Z$4)*_xlfn.XLOOKUP(_xlfn.XLOOKUP(A99,'[1]DATOS PBI Artículos'!$A$4:$A$4,'[1]DATOS PBI Artículos'!$Y$4:$Y$4),[1]CRITERIOS!$P$79:$P$123,[1]CRITERIOS!$S$79:$S$123)),0)*[1]CRITERIOS!$M$80*([1]CRITERIOS!$M$110/[1]CRITERIOS!$M$86)+(_xlfn.XLOOKUP(A99,'[1]DATOS PBI Artículos'!$A$4:$A$4,'[1]DATOS PBI Artículos'!$AA$4:$AA$4)*([1]CRITERIOS!$M$95+[1]CRITERIOS!$M$98)))/N99)</f>
        <v>#N/A</v>
      </c>
      <c r="AD99" s="33" t="e">
        <f>IF(N99=0,"",(ROUNDUP((N99/2)/(_xlfn.XLOOKUP(A99,'[1]DATOS PBI Artículos'!$A$4:$A$4,'[1]DATOS PBI Artículos'!$Z$4:$Z$4)*_xlfn.XLOOKUP(_xlfn.XLOOKUP(A99,'[1]DATOS PBI Artículos'!$A$4:$A$4,'[1]DATOS PBI Artículos'!$Y$4:$Y$4),[1]CRITERIOS!$P$79:$P$123,[1]CRITERIOS!$S$79:$S$123)),0)*[1]CRITERIOS!$M$80*([1]CRITERIOS!$M$89*[1]CRITERIOS!$M$92)+((_xlfn.XLOOKUP(A99,'[1]DATOS PBI Artículos'!$A$4:$A$4,'[1]DATOS PBI Artículos'!$AA$4:$AA$4)/2)*([1]CRITERIOS!$M$95+[1]CRITERIOS!$M$98)))/N99)</f>
        <v>#N/A</v>
      </c>
      <c r="AE99" s="39">
        <f>IF($R99="MTO","",
IF($H99=0,ROUNDUP(((_xlfn.XLOOKUP($A99,'[1]DATOS PBI Artículos'!$A:$A,'[1]DATOS PBI Artículos'!$AL:$AL))/(_xlfn.XLOOKUP($AF$1,[1]CRITERIOS!$S$16:$S$39,[1]CRITERIOS!$Y$16:$Y$39))*$J99+$Z99)/$G99,0)*$G99,
((_xlfn.XLOOKUP($A99,'[1]DATOS PBI Artículos'!$A:$A,'[1]DATOS PBI Artículos'!$AL:$AL))/(_xlfn.XLOOKUP($AF$1,[1]CRITERIOS!$S$16:$S$39,[1]CRITERIOS!$Y$16:$Y$39))*$J99+$Z99)))</f>
        <v>40870.035091064332</v>
      </c>
      <c r="AG99" s="39">
        <f>IF($R99="MTO","",
IF($H99=0,ROUNDUP(((_xlfn.XLOOKUP($A99,'[1]DATOS PBI Artículos'!$A:$A,'[1]DATOS PBI Artículos'!$AM:$AM))/(_xlfn.XLOOKUP($AH$1,[1]CRITERIOS!$S$16:$S$39,[1]CRITERIOS!$Y$16:$Y$39))*$J99+$Z99)/$G99,0)*$G99,
((_xlfn.XLOOKUP($A99,'[1]DATOS PBI Artículos'!$A:$A,'[1]DATOS PBI Artículos'!$AM:$AM))/(_xlfn.XLOOKUP($AH$1,[1]CRITERIOS!$S$16:$S$39,[1]CRITERIOS!$Y$16:$Y$39))*$J99+$Z99)))</f>
        <v>32024.542089571136</v>
      </c>
      <c r="AI99" s="39">
        <f>IF($R99="MTO","",
IF($H99=0,ROUNDUP(((_xlfn.XLOOKUP($A99,'[1]DATOS PBI Artículos'!$A:$A,'[1]DATOS PBI Artículos'!$AN:$AN))/(_xlfn.XLOOKUP($AJ$1,[1]CRITERIOS!$S$16:$S$39,[1]CRITERIOS!$Y$16:$Y$39))*$J99+$Z99)/$G99,0)*$G99,
((_xlfn.XLOOKUP($A99,'[1]DATOS PBI Artículos'!$A:$A,'[1]DATOS PBI Artículos'!$AN:$AN))/(_xlfn.XLOOKUP($AJ$1,[1]CRITERIOS!$S$16:$S$39,[1]CRITERIOS!$Y$16:$Y$39))*$J99+$Z99)))</f>
        <v>36485.186356922917</v>
      </c>
      <c r="AK99" s="39">
        <f>IF($R99="MTO","",
IF($H99=0,ROUNDUP(((_xlfn.XLOOKUP($A99,'[1]DATOS PBI Artículos'!$A:$A,'[1]DATOS PBI Artículos'!$AO:$AO))/(_xlfn.XLOOKUP($AL$1,[1]CRITERIOS!$S$16:$S$39,[1]CRITERIOS!$Y$16:$Y$39))*$J99+$Z99)/$G99,0)*$G99,
((_xlfn.XLOOKUP($A99,'[1]DATOS PBI Artículos'!$A:$A,'[1]DATOS PBI Artículos'!$AO:$AO))/(_xlfn.XLOOKUP($AL$1,[1]CRITERIOS!$S$16:$S$39,[1]CRITERIOS!$Y$16:$Y$39))*$J99+$Z99)))</f>
        <v>38892.459858741095</v>
      </c>
    </row>
    <row r="100" spans="1:37" ht="25.8" x14ac:dyDescent="0.5">
      <c r="A100" s="32" t="s">
        <v>70</v>
      </c>
      <c r="B100" s="33">
        <f>_xlfn.XLOOKUP($A100,'[1]DATOS PBI Artículos'!A:A,'[1]DATOS PBI Artículos'!B:B)</f>
        <v>0</v>
      </c>
      <c r="C100" s="33" t="str">
        <f>_xlfn.XLOOKUP($A100,'[1]DATOS PBI Artículos'!A:A,'[1]DATOS PBI Artículos'!C:C)</f>
        <v>UA01</v>
      </c>
      <c r="D100" s="33">
        <f>_xlfn.XLOOKUP(A100,'[1]DATOS PBI Artículos'!A:A,'[1]DATOS PBI Artículos'!T:T)</f>
        <v>3</v>
      </c>
      <c r="E100" s="34">
        <f>IF(_xlfn.XLOOKUP($A100,'[1]DATOS PBI Artículos'!A:A,'[1]DATOS PBI Artículos'!AK:AK)="",_xlfn.XLOOKUP($A100,'[1]DATOS PBI Artículos'!A:A,'[1]DATOS PBI Artículos'!AJ:AJ),_xlfn.XLOOKUP($A100,'[1]DATOS PBI Artículos'!A:A,'[1]DATOS PBI Artículos'!AK:AK))</f>
        <v>108000</v>
      </c>
      <c r="F100" s="35">
        <f>_xlfn.XLOOKUP($A100,'[1]DATOS PBI Artículos'!A:A,'[1]DATOS PBI Artículos'!AP:AP)</f>
        <v>31</v>
      </c>
      <c r="G100" s="34">
        <f>_xlfn.XLOOKUP($A100,'[1]DATOS PBI Artículos'!A:A,'[1]DATOS PBI Artículos'!AR:AR)</f>
        <v>36000</v>
      </c>
      <c r="H100" s="34">
        <f>_xlfn.XLOOKUP($A100,'[1]DATOS PBI Artículos'!A:A,'[1]DATOS PBI Artículos'!AT:AT)</f>
        <v>0</v>
      </c>
      <c r="I100" s="34">
        <f>_xlfn.XLOOKUP($A100,'[1]DATOS PBI Artículos'!A:A,'[1]DATOS PBI Artículos'!AS:AS)</f>
        <v>36000</v>
      </c>
      <c r="J100" s="35">
        <f>IF(COUNTIF([1]CRITERIOS!$F$179:$F$199,$A100)&gt;=1,
 IF(O100&lt;&gt;"",
    (O100/_xlfn.XLOOKUP(CONCATENATE(A100,L100),[1]MÁQUINAS!A:A,[1]MÁQUINAS!D:D))/24,
    (N100/_xlfn.XLOOKUP(CONCATENATE(A100,L100),[1]MÁQUINAS!A:A,[1]MÁQUINAS!D:D))/24),
  _xlfn.XLOOKUP($A100,'[1]DATOS PBI Artículos'!A:A,'[1]DATOS PBI Artículos'!AU:AU))</f>
        <v>14.166666666666668</v>
      </c>
      <c r="K100" s="36">
        <f>_xlfn.XLOOKUP($A100,'[1]DATOS PBI Artículos'!A:A,'[1]DATOS PBI Artículos'!AV:AV)</f>
        <v>2.6394443859772205</v>
      </c>
      <c r="L100" s="33">
        <f>_xlfn.XLOOKUP(A100,[1]MÁQUINAS!B:B,[1]MÁQUINAS!C:C)</f>
        <v>500</v>
      </c>
      <c r="M100" s="34">
        <f t="array" ref="M100">_xlfn.XLOOKUP(A100,'[1]DATOS PBI Artículos'!A:A,'[1]DATOS PBI Artículos'!AX:$AX)</f>
        <v>59467.743365766059</v>
      </c>
      <c r="N100" s="37">
        <f>IF(I100="DV",
E100,
IF(COUNTIF([1]CRITERIOS!$I$179:$I$199,$A100)&gt;=1,
_xlfn.XLOOKUP($A100,[1]CRITERIOS!$I$179:$I$199,[1]CRITERIOS!$J$179:$J$199),
IF(COUNTIF([1]CRITERIOS!$L$179:$L$199,$A100)&gt;=1,
_xlfn.CEILING.MATH(IF($M100&gt;$E100,
$E100,
IF($M100&lt;$E100/ROUNDDOWN([1]CRITERIOS!$M$16/_xlfn.XLOOKUP($C100,[1]CRITERIOS!$K$25:$K$42,[1]CRITERIOS!$M$25:$M$42),
1),
E100/ROUNDDOWN([1]CRITERIOS!$M$16/_xlfn.XLOOKUP($C100,[1]CRITERIOS!$K$25:$K$42,[1]CRITERIOS!$M$25:$M$42),
1),
$M100)),
_xlfn.XLOOKUP($A100,[1]CRITERIOS!$L$179:$L$200,[1]CRITERIOS!$M$179:$M$200)),
_xlfn.CEILING.MATH(IF($M100&gt;$E100,
$E100,
IF($M100&lt;$E100/ROUNDDOWN([1]CRITERIOS!$M$16/_xlfn.XLOOKUP($C100,[1]CRITERIOS!$K$25:$K$42,[1]CRITERIOS!$M$25:$M$42),
1),
E100/ROUNDDOWN([1]CRITERIOS!$M$16/_xlfn.XLOOKUP($C100,[1]CRITERIOS!$K$25:$K$42,[1]CRITERIOS!$M$25:$M$42),
1),
$M100)),_xlfn.XLOOKUP(A100,'[1]DATOS PBI Artículos'!A:A,'[1]DATOS PBI Artículos'!Z:Z
)))))</f>
        <v>60000</v>
      </c>
      <c r="Q100" s="38">
        <f>IF(AND(O100="",N100=0),
0,
   IF(COUNTIF([1]CRITERIOS!$F$179:$F$199,$A100)&gt;=1,
   1,
   IF(R100="MTO",
      $D100,
      ROUNDUP(
                    IF(($E100-SUMIF('[1]DATOS PBI Artículos'!A:A,A100,'[1]DATOS PBI Artículos'!X:X)+($V100-_xlfn.XLOOKUP(A100,'[1]DATOS PBI Artículos'!A:A,'[1]DATOS PBI Artículos'!W:W)))&lt;0,
                    0,
                    IF(($E100-SUMIF('[1]DATOS PBI Artículos'!A:A,A100,'[1]DATOS PBI Artículos'!X:X)+$V100-_xlfn.XLOOKUP($A100,'[1]DATOS PBI Artículos'!A:A,'[1]DATOS PBI Artículos'!W:W))/IF($O100="",$N100,$O100)&gt;ROUNDUP([1]CRITERIOS!$M$16/(IF(COUNTIF([1]CRITERIOS!$BG$11:$BG$201,L100)&gt;=1,_xlfn.XLOOKUP($C100,[1]CRITERIOS!$K$25:$K$42,[1]CRITERIOS!$M$25:$M$42),_xlfn.XLOOKUP($C100,[1]CRITERIOS!$K$25:$K$42,[1]CRITERIOS!$M$25:$M$42))),0),
                    ROUNDUP([1]CRITERIOS!$M$16/(IF(COUNTIF([1]CRITERIOS!$BG$11:$BG$201,$L100)&gt;=1,_xlfn.XLOOKUP($C100,[1]CRITERIOS!$K$25:$K$42,[1]CRITERIOS!$M$25:$M$42),_xlfn.XLOOKUP($C100,[1]CRITERIOS!$K$25:$K$42,[1]CRITERIOS!$M$25:$M$42))),0),
                    (E100+V100-SUMIF('[1]DATOS PBI Artículos'!A:A,A100,'[1]DATOS PBI Artículos'!X:X)-_xlfn.XLOOKUP(A100,'[1]DATOS PBI Artículos'!A:A,'[1]DATOS PBI Artículos'!W:W))/IF($O100="",$N100,$O100))),0))))</f>
        <v>3</v>
      </c>
      <c r="R100" s="33" t="str">
        <f>IF(U100&lt;&gt;"",U100,IF(F100="DV","MTO",IF(N100=0,"MTO",_xlfn.XLOOKUP(CONCATENATE(S100,T100),[1]CRITERIOS!$K$160:$K$168,[1]CRITERIOS!$N$160:$N$168))))</f>
        <v>MTO</v>
      </c>
      <c r="S100" s="33" t="str">
        <f>IF(G100="DV","MTO",IF(N100=0,"MTO",IF(OR(AND(N100=0,O100=""),IF(O100="",G100/N100,G100/O100)&gt;[1]CRITERIOS!$G$163),"MTO",IF(IF(O100="",G100/N100,G100/O100)&lt;[1]CRITERIOS!$H$161,"MTS","MTOS"))))</f>
        <v>MTOS</v>
      </c>
      <c r="T100" s="33" t="str">
        <f>IF(F100="DV","MTO",IF(OR(AND($N100=0,O100=""),$F100/$J100&gt;[1]CRITERIOS!$G$170,$F100="DV"),"MTO",IF($F100/$J100&lt;[1]CRITERIOS!$H$168,"MTS","MTOS")))</f>
        <v>MTO</v>
      </c>
      <c r="V100" s="34" t="str">
        <f t="shared" si="7"/>
        <v/>
      </c>
      <c r="X100" s="34">
        <f t="shared" si="5"/>
        <v>0</v>
      </c>
      <c r="Y100" s="34">
        <f t="shared" si="6"/>
        <v>0</v>
      </c>
      <c r="Z100" s="34">
        <f>IF($R100="MTO",
0,
($H100+$K100*($E100/[1]CRITERIOS!$M$16))/[1]CRITERIOS!$X$48)</f>
        <v>0</v>
      </c>
      <c r="AA100" s="34" t="e">
        <f>ROUNDUP(($Y100/_xlfn.XLOOKUP($A100,'[1]DATOS PBI Artículos'!$A$4:$A$4,'[1]DATOS PBI Artículos'!$Z$4:$Z$4))/_xlfn.XLOOKUP(_xlfn.XLOOKUP($A100,'[1]DATOS PBI Artículos'!$A$4:$A$4,'[1]DATOS PBI Artículos'!$Y$4:$Y$4),[1]CRITERIOS!$P$79:$P$123,[1]CRITERIOS!$S$79:$S$123,),0)</f>
        <v>#N/A</v>
      </c>
      <c r="AB100" s="33" t="e">
        <f t="array" ref="AB100">IF((E100+V100-_xlfn.XLOOKUP(A100,'[1]DATOS PBI Artículos'!$A$4:$A$4,'[1]DATOS PBI Artículos'!$W$4:$W$4))/N100&gt;ROUNDUP([1]CRITERIOS!$M$16/(IF(COUNTIF([1]CRITERIOS!$BG$11:$BG$201,L100)&gt;=1,_xlfn.XLOOKUP(ARTÍCULOS!L100,[1]CRITERIOS!$BG$11:$BG$201,[1]CRITERIOS!$BJ$11:$BJ$201),_xlfn.XLOOKUP(ARTÍCULOS!C100,[1]CRITERIOS!$K$25:$K$42,[1]CRITERIOS!$M$25:$M$42))),0),ROUNDUP([1]CRITERIOS!$M$16/(IF(COUNTIF([1]CRITERIOS!$BG$11:$BG$201,L100)&gt;=1,_xlfn.XLOOKUP(ARTÍCULOS!L100,[1]CRITERIOS!$BG$11:$BG$201:#REF!,[1]CRITERIOS!$BJ$11:$BJ$201),_xlfn.XLOOKUP(ARTÍCULOS!C100,[1]CRITERIOS!$K$25:$K$42,[1]CRITERIOS!$M$25:$M$42))),0),(E100+V100-_xlfn.XLOOKUP(A100,'[1]DATOS PBI Artículos'!$A$4:$A$4,'[1]DATOS PBI Artículos'!$W$4:$W$4))/N100)</f>
        <v>#VALUE!</v>
      </c>
      <c r="AC100" s="33" t="e">
        <f>IF(N100=0,"",(ROUNDUP((N100/2)/(_xlfn.XLOOKUP(A100,'[1]DATOS PBI Artículos'!$A$4:$A$4,'[1]DATOS PBI Artículos'!$Z$4:$Z$4)*_xlfn.XLOOKUP(_xlfn.XLOOKUP(A100,'[1]DATOS PBI Artículos'!$A$4:$A$4,'[1]DATOS PBI Artículos'!$Y$4:$Y$4),[1]CRITERIOS!$P$79:$P$123,[1]CRITERIOS!$S$79:$S$123)),0)*[1]CRITERIOS!$M$80*([1]CRITERIOS!$M$110/[1]CRITERIOS!$M$86)+(_xlfn.XLOOKUP(A100,'[1]DATOS PBI Artículos'!$A$4:$A$4,'[1]DATOS PBI Artículos'!$AA$4:$AA$4)*([1]CRITERIOS!$M$95+[1]CRITERIOS!$M$98)))/N100)</f>
        <v>#N/A</v>
      </c>
      <c r="AD100" s="33" t="e">
        <f>IF(N100=0,"",(ROUNDUP((N100/2)/(_xlfn.XLOOKUP(A100,'[1]DATOS PBI Artículos'!$A$4:$A$4,'[1]DATOS PBI Artículos'!$Z$4:$Z$4)*_xlfn.XLOOKUP(_xlfn.XLOOKUP(A100,'[1]DATOS PBI Artículos'!$A$4:$A$4,'[1]DATOS PBI Artículos'!$Y$4:$Y$4),[1]CRITERIOS!$P$79:$P$123,[1]CRITERIOS!$S$79:$S$123)),0)*[1]CRITERIOS!$M$80*([1]CRITERIOS!$M$89*[1]CRITERIOS!$M$92)+((_xlfn.XLOOKUP(A100,'[1]DATOS PBI Artículos'!$A$4:$A$4,'[1]DATOS PBI Artículos'!$AA$4:$AA$4)/2)*([1]CRITERIOS!$M$95+[1]CRITERIOS!$M$98)))/N100)</f>
        <v>#N/A</v>
      </c>
      <c r="AE100" s="39" t="str">
        <f>IF($R100="MTO","",
IF($H100=0,ROUNDUP(((_xlfn.XLOOKUP($A100,'[1]DATOS PBI Artículos'!$A:$A,'[1]DATOS PBI Artículos'!$AL:$AL))/(_xlfn.XLOOKUP($AF$1,[1]CRITERIOS!$S$16:$S$39,[1]CRITERIOS!$Y$16:$Y$39))*$J100+$Z100)/$G100,0)*$G100,
((_xlfn.XLOOKUP($A100,'[1]DATOS PBI Artículos'!$A:$A,'[1]DATOS PBI Artículos'!$AL:$AL))/(_xlfn.XLOOKUP($AF$1,[1]CRITERIOS!$S$16:$S$39,[1]CRITERIOS!$Y$16:$Y$39))*$J100+$Z100)))</f>
        <v/>
      </c>
      <c r="AG100" s="39" t="str">
        <f>IF($R100="MTO","",
IF($H100=0,ROUNDUP(((_xlfn.XLOOKUP($A100,'[1]DATOS PBI Artículos'!$A:$A,'[1]DATOS PBI Artículos'!$AM:$AM))/(_xlfn.XLOOKUP($AH$1,[1]CRITERIOS!$S$16:$S$39,[1]CRITERIOS!$Y$16:$Y$39))*$J100+$Z100)/$G100,0)*$G100,
((_xlfn.XLOOKUP($A100,'[1]DATOS PBI Artículos'!$A:$A,'[1]DATOS PBI Artículos'!$AM:$AM))/(_xlfn.XLOOKUP($AH$1,[1]CRITERIOS!$S$16:$S$39,[1]CRITERIOS!$Y$16:$Y$39))*$J100+$Z100)))</f>
        <v/>
      </c>
      <c r="AI100" s="39" t="str">
        <f>IF($R100="MTO","",
IF($H100=0,ROUNDUP(((_xlfn.XLOOKUP($A100,'[1]DATOS PBI Artículos'!$A:$A,'[1]DATOS PBI Artículos'!$AN:$AN))/(_xlfn.XLOOKUP($AJ$1,[1]CRITERIOS!$S$16:$S$39,[1]CRITERIOS!$Y$16:$Y$39))*$J100+$Z100)/$G100,0)*$G100,
((_xlfn.XLOOKUP($A100,'[1]DATOS PBI Artículos'!$A:$A,'[1]DATOS PBI Artículos'!$AN:$AN))/(_xlfn.XLOOKUP($AJ$1,[1]CRITERIOS!$S$16:$S$39,[1]CRITERIOS!$Y$16:$Y$39))*$J100+$Z100)))</f>
        <v/>
      </c>
      <c r="AK100" s="39" t="str">
        <f>IF($R100="MTO","",
IF($H100=0,ROUNDUP(((_xlfn.XLOOKUP($A100,'[1]DATOS PBI Artículos'!$A:$A,'[1]DATOS PBI Artículos'!$AO:$AO))/(_xlfn.XLOOKUP($AL$1,[1]CRITERIOS!$S$16:$S$39,[1]CRITERIOS!$Y$16:$Y$39))*$J100+$Z100)/$G100,0)*$G100,
((_xlfn.XLOOKUP($A100,'[1]DATOS PBI Artículos'!$A:$A,'[1]DATOS PBI Artículos'!$AO:$AO))/(_xlfn.XLOOKUP($AL$1,[1]CRITERIOS!$S$16:$S$39,[1]CRITERIOS!$Y$16:$Y$39))*$J100+$Z100)))</f>
        <v/>
      </c>
    </row>
    <row r="101" spans="1:37" ht="25.8" x14ac:dyDescent="0.5">
      <c r="A101" s="32" t="s">
        <v>71</v>
      </c>
      <c r="B101" s="33">
        <f>_xlfn.XLOOKUP($A101,'[1]DATOS PBI Artículos'!A:A,'[1]DATOS PBI Artículos'!B:B)</f>
        <v>0</v>
      </c>
      <c r="C101" s="33" t="str">
        <f>_xlfn.XLOOKUP($A101,'[1]DATOS PBI Artículos'!A:A,'[1]DATOS PBI Artículos'!C:C)</f>
        <v>UA03</v>
      </c>
      <c r="D101" s="33">
        <f>_xlfn.XLOOKUP(A101,'[1]DATOS PBI Artículos'!A:A,'[1]DATOS PBI Artículos'!T:T)</f>
        <v>5</v>
      </c>
      <c r="E101" s="34">
        <f>IF(_xlfn.XLOOKUP($A101,'[1]DATOS PBI Artículos'!A:A,'[1]DATOS PBI Artículos'!AK:AK)="",_xlfn.XLOOKUP($A101,'[1]DATOS PBI Artículos'!A:A,'[1]DATOS PBI Artículos'!AJ:AJ),_xlfn.XLOOKUP($A101,'[1]DATOS PBI Artículos'!A:A,'[1]DATOS PBI Artículos'!AK:AK))</f>
        <v>102000</v>
      </c>
      <c r="F101" s="35">
        <f>_xlfn.XLOOKUP($A101,'[1]DATOS PBI Artículos'!A:A,'[1]DATOS PBI Artículos'!AP:AP)</f>
        <v>15.5</v>
      </c>
      <c r="G101" s="34">
        <f>_xlfn.XLOOKUP($A101,'[1]DATOS PBI Artículos'!A:A,'[1]DATOS PBI Artículos'!AR:AR)</f>
        <v>20400</v>
      </c>
      <c r="H101" s="34">
        <f>_xlfn.XLOOKUP($A101,'[1]DATOS PBI Artículos'!A:A,'[1]DATOS PBI Artículos'!AT:AT)</f>
        <v>17666.91823720255</v>
      </c>
      <c r="I101" s="34">
        <f>_xlfn.XLOOKUP($A101,'[1]DATOS PBI Artículos'!A:A,'[1]DATOS PBI Artículos'!AS:AS)</f>
        <v>10200</v>
      </c>
      <c r="J101" s="35">
        <f>IF(COUNTIF([1]CRITERIOS!$F$179:$F$199,$A101)&gt;=1,
 IF(O101&lt;&gt;"",
    (O101/_xlfn.XLOOKUP(CONCATENATE(A101,L101),[1]MÁQUINAS!A:A,[1]MÁQUINAS!D:D))/24,
    (N101/_xlfn.XLOOKUP(CONCATENATE(A101,L101),[1]MÁQUINAS!A:A,[1]MÁQUINAS!D:D))/24),
  _xlfn.XLOOKUP($A101,'[1]DATOS PBI Artículos'!A:A,'[1]DATOS PBI Artículos'!AU:AU))</f>
        <v>13.454545454545455</v>
      </c>
      <c r="K101" s="36">
        <f>_xlfn.XLOOKUP($A101,'[1]DATOS PBI Artículos'!A:A,'[1]DATOS PBI Artículos'!AV:AV)</f>
        <v>1.5075567228888178</v>
      </c>
      <c r="L101" s="33">
        <f>_xlfn.XLOOKUP(A101,[1]MÁQUINAS!B:B,[1]MÁQUINAS!C:C)</f>
        <v>142</v>
      </c>
      <c r="M101" s="34">
        <f t="array" ref="M101">_xlfn.XLOOKUP(A101,'[1]DATOS PBI Artículos'!A:A,'[1]DATOS PBI Artículos'!AX:$AX)</f>
        <v>50837.318697425042</v>
      </c>
      <c r="N101" s="37">
        <f>IF(I101="DV",
E101,
IF(COUNTIF([1]CRITERIOS!$I$179:$I$199,$A101)&gt;=1,
_xlfn.XLOOKUP($A101,[1]CRITERIOS!$I$179:$I$199,[1]CRITERIOS!$J$179:$J$199),
IF(COUNTIF([1]CRITERIOS!$L$179:$L$199,$A101)&gt;=1,
_xlfn.CEILING.MATH(IF($M101&gt;$E101,
$E101,
IF($M101&lt;$E101/ROUNDDOWN([1]CRITERIOS!$M$16/_xlfn.XLOOKUP($C101,[1]CRITERIOS!$K$25:$K$42,[1]CRITERIOS!$M$25:$M$42),
1),
E101/ROUNDDOWN([1]CRITERIOS!$M$16/_xlfn.XLOOKUP($C101,[1]CRITERIOS!$K$25:$K$42,[1]CRITERIOS!$M$25:$M$42),
1),
$M101)),
_xlfn.XLOOKUP($A101,[1]CRITERIOS!$L$179:$L$200,[1]CRITERIOS!$M$179:$M$200)),
_xlfn.CEILING.MATH(IF($M101&gt;$E101,
$E101,
IF($M101&lt;$E101/ROUNDDOWN([1]CRITERIOS!$M$16/_xlfn.XLOOKUP($C101,[1]CRITERIOS!$K$25:$K$42,[1]CRITERIOS!$M$25:$M$42),
1),
E101/ROUNDDOWN([1]CRITERIOS!$M$16/_xlfn.XLOOKUP($C101,[1]CRITERIOS!$K$25:$K$42,[1]CRITERIOS!$M$25:$M$42),
1),
$M101)),_xlfn.XLOOKUP(A101,'[1]DATOS PBI Artículos'!A:A,'[1]DATOS PBI Artículos'!Z:Z
)))))</f>
        <v>51000</v>
      </c>
      <c r="Q101" s="38">
        <f>IF(AND(O101="",N101=0),
0,
   IF(COUNTIF([1]CRITERIOS!$F$179:$F$199,$A101)&gt;=1,
   1,
   IF(R101="MTO",
      $D101,
      ROUNDUP(
                    IF(($E101-SUMIF('[1]DATOS PBI Artículos'!A:A,A101,'[1]DATOS PBI Artículos'!X:X)+($V101-_xlfn.XLOOKUP(A101,'[1]DATOS PBI Artículos'!A:A,'[1]DATOS PBI Artículos'!W:W)))&lt;0,
                    0,
                    IF(($E101-SUMIF('[1]DATOS PBI Artículos'!A:A,A101,'[1]DATOS PBI Artículos'!X:X)+$V101-_xlfn.XLOOKUP($A101,'[1]DATOS PBI Artículos'!A:A,'[1]DATOS PBI Artículos'!W:W))/IF($O101="",$N101,$O101)&gt;ROUNDUP([1]CRITERIOS!$M$16/(IF(COUNTIF([1]CRITERIOS!$BG$11:$BG$201,L101)&gt;=1,_xlfn.XLOOKUP($C101,[1]CRITERIOS!$K$25:$K$42,[1]CRITERIOS!$M$25:$M$42),_xlfn.XLOOKUP($C101,[1]CRITERIOS!$K$25:$K$42,[1]CRITERIOS!$M$25:$M$42))),0),
                    ROUNDUP([1]CRITERIOS!$M$16/(IF(COUNTIF([1]CRITERIOS!$BG$11:$BG$201,$L101)&gt;=1,_xlfn.XLOOKUP($C101,[1]CRITERIOS!$K$25:$K$42,[1]CRITERIOS!$M$25:$M$42),_xlfn.XLOOKUP($C101,[1]CRITERIOS!$K$25:$K$42,[1]CRITERIOS!$M$25:$M$42))),0),
                    (E101+V101-SUMIF('[1]DATOS PBI Artículos'!A:A,A101,'[1]DATOS PBI Artículos'!X:X)-_xlfn.XLOOKUP(A101,'[1]DATOS PBI Artículos'!A:A,'[1]DATOS PBI Artículos'!W:W))/IF($O101="",$N101,$O101))),0))))</f>
        <v>2</v>
      </c>
      <c r="R101" s="33" t="str">
        <f>IF(U101&lt;&gt;"",U101,IF(F101="DV","MTO",IF(N101=0,"MTO",_xlfn.XLOOKUP(CONCATENATE(S101,T101),[1]CRITERIOS!$K$160:$K$168,[1]CRITERIOS!$N$160:$N$168))))</f>
        <v>MTS</v>
      </c>
      <c r="S101" s="33" t="str">
        <f>IF(G101="DV","MTO",IF(N101=0,"MTO",IF(OR(AND(N101=0,O101=""),IF(O101="",G101/N101,G101/O101)&gt;[1]CRITERIOS!$G$163),"MTO",IF(IF(O101="",G101/N101,G101/O101)&lt;[1]CRITERIOS!$H$161,"MTS","MTOS"))))</f>
        <v>MTS</v>
      </c>
      <c r="T101" s="33" t="str">
        <f>IF(F101="DV","MTO",IF(OR(AND($N101=0,O101=""),$F101/$J101&gt;[1]CRITERIOS!$G$170,$F101="DV"),"MTO",IF($F101/$J101&lt;[1]CRITERIOS!$H$168,"MTS","MTOS")))</f>
        <v>MTOS</v>
      </c>
      <c r="V101" s="34">
        <f t="shared" si="7"/>
        <v>34138.914038839168</v>
      </c>
      <c r="X101" s="34">
        <f t="shared" si="5"/>
        <v>85138.914038839168</v>
      </c>
      <c r="Y101" s="34">
        <f t="shared" si="6"/>
        <v>41930.996150276114</v>
      </c>
      <c r="Z101" s="34">
        <f>IF($R101="MTO",
0,
($H101+$K101*($E101/[1]CRITERIOS!$M$16))/[1]CRITERIOS!$X$48)</f>
        <v>16430.996150276118</v>
      </c>
      <c r="AA101" s="34" t="e">
        <f>ROUNDUP(($Y101/_xlfn.XLOOKUP($A101,'[1]DATOS PBI Artículos'!$A$4:$A$4,'[1]DATOS PBI Artículos'!$Z$4:$Z$4))/_xlfn.XLOOKUP(_xlfn.XLOOKUP($A101,'[1]DATOS PBI Artículos'!$A$4:$A$4,'[1]DATOS PBI Artículos'!$Y$4:$Y$4),[1]CRITERIOS!$P$79:$P$123,[1]CRITERIOS!$S$79:$S$123,),0)</f>
        <v>#N/A</v>
      </c>
      <c r="AB101" s="33" t="e">
        <f t="array" ref="AB101">IF((E101+V101-_xlfn.XLOOKUP(A101,'[1]DATOS PBI Artículos'!$A$4:$A$4,'[1]DATOS PBI Artículos'!$W$4:$W$4))/N101&gt;ROUNDUP([1]CRITERIOS!$M$16/(IF(COUNTIF([1]CRITERIOS!$BG$11:$BG$201,L101)&gt;=1,_xlfn.XLOOKUP(ARTÍCULOS!L101,[1]CRITERIOS!$BG$11:$BG$201,[1]CRITERIOS!$BJ$11:$BJ$201),_xlfn.XLOOKUP(ARTÍCULOS!C101,[1]CRITERIOS!$K$25:$K$42,[1]CRITERIOS!$M$25:$M$42))),0),ROUNDUP([1]CRITERIOS!$M$16/(IF(COUNTIF([1]CRITERIOS!$BG$11:$BG$201,L101)&gt;=1,_xlfn.XLOOKUP(ARTÍCULOS!L101,[1]CRITERIOS!$BG$11:$BG$201:#REF!,[1]CRITERIOS!$BJ$11:$BJ$201),_xlfn.XLOOKUP(ARTÍCULOS!C101,[1]CRITERIOS!$K$25:$K$42,[1]CRITERIOS!$M$25:$M$42))),0),(E101+V101-_xlfn.XLOOKUP(A101,'[1]DATOS PBI Artículos'!$A$4:$A$4,'[1]DATOS PBI Artículos'!$W$4:$W$4))/N101)</f>
        <v>#N/A</v>
      </c>
      <c r="AC101" s="33" t="e">
        <f>IF(N101=0,"",(ROUNDUP((N101/2)/(_xlfn.XLOOKUP(A101,'[1]DATOS PBI Artículos'!$A$4:$A$4,'[1]DATOS PBI Artículos'!$Z$4:$Z$4)*_xlfn.XLOOKUP(_xlfn.XLOOKUP(A101,'[1]DATOS PBI Artículos'!$A$4:$A$4,'[1]DATOS PBI Artículos'!$Y$4:$Y$4),[1]CRITERIOS!$P$79:$P$123,[1]CRITERIOS!$S$79:$S$123)),0)*[1]CRITERIOS!$M$80*([1]CRITERIOS!$M$110/[1]CRITERIOS!$M$86)+(_xlfn.XLOOKUP(A101,'[1]DATOS PBI Artículos'!$A$4:$A$4,'[1]DATOS PBI Artículos'!$AA$4:$AA$4)*([1]CRITERIOS!$M$95+[1]CRITERIOS!$M$98)))/N101)</f>
        <v>#N/A</v>
      </c>
      <c r="AD101" s="33" t="e">
        <f>IF(N101=0,"",(ROUNDUP((N101/2)/(_xlfn.XLOOKUP(A101,'[1]DATOS PBI Artículos'!$A$4:$A$4,'[1]DATOS PBI Artículos'!$Z$4:$Z$4)*_xlfn.XLOOKUP(_xlfn.XLOOKUP(A101,'[1]DATOS PBI Artículos'!$A$4:$A$4,'[1]DATOS PBI Artículos'!$Y$4:$Y$4),[1]CRITERIOS!$P$79:$P$123,[1]CRITERIOS!$S$79:$S$123)),0)*[1]CRITERIOS!$M$80*([1]CRITERIOS!$M$89*[1]CRITERIOS!$M$92)+((_xlfn.XLOOKUP(A101,'[1]DATOS PBI Artículos'!$A$4:$A$4,'[1]DATOS PBI Artículos'!$AA$4:$AA$4)/2)*([1]CRITERIOS!$M$95+[1]CRITERIOS!$M$98)))/N101)</f>
        <v>#N/A</v>
      </c>
      <c r="AE101" s="39">
        <f>IF($R101="MTO","",
IF($H101=0,ROUNDUP(((_xlfn.XLOOKUP($A101,'[1]DATOS PBI Artículos'!$A:$A,'[1]DATOS PBI Artículos'!$AL:$AL))/(_xlfn.XLOOKUP($AF$1,[1]CRITERIOS!$S$16:$S$39,[1]CRITERIOS!$Y$16:$Y$39))*$J101+$Z101)/$G101,0)*$G101,
((_xlfn.XLOOKUP($A101,'[1]DATOS PBI Artículos'!$A:$A,'[1]DATOS PBI Artículos'!$AL:$AL))/(_xlfn.XLOOKUP($AF$1,[1]CRITERIOS!$S$16:$S$39,[1]CRITERIOS!$Y$16:$Y$39))*$J101+$Z101)))</f>
        <v>39710.396707509455</v>
      </c>
      <c r="AG101" s="39">
        <f>IF($R101="MTO","",
IF($H101=0,ROUNDUP(((_xlfn.XLOOKUP($A101,'[1]DATOS PBI Artículos'!$A:$A,'[1]DATOS PBI Artículos'!$AM:$AM))/(_xlfn.XLOOKUP($AH$1,[1]CRITERIOS!$S$16:$S$39,[1]CRITERIOS!$Y$16:$Y$39))*$J101+$Z101)/$G101,0)*$G101,
((_xlfn.XLOOKUP($A101,'[1]DATOS PBI Artículos'!$A:$A,'[1]DATOS PBI Artículos'!$AM:$AM))/(_xlfn.XLOOKUP($AH$1,[1]CRITERIOS!$S$16:$S$39,[1]CRITERIOS!$Y$16:$Y$39))*$J101+$Z101)))</f>
        <v>33153.043199223946</v>
      </c>
      <c r="AI101" s="39">
        <f>IF($R101="MTO","",
IF($H101=0,ROUNDUP(((_xlfn.XLOOKUP($A101,'[1]DATOS PBI Artículos'!$A:$A,'[1]DATOS PBI Artículos'!$AN:$AN))/(_xlfn.XLOOKUP($AJ$1,[1]CRITERIOS!$S$16:$S$39,[1]CRITERIOS!$Y$16:$Y$39))*$J101+$Z101)/$G101,0)*$G101,
((_xlfn.XLOOKUP($A101,'[1]DATOS PBI Artículos'!$A:$A,'[1]DATOS PBI Artículos'!$AN:$AN))/(_xlfn.XLOOKUP($AJ$1,[1]CRITERIOS!$S$16:$S$39,[1]CRITERIOS!$Y$16:$Y$39))*$J101+$Z101)))</f>
        <v>36459.814379846117</v>
      </c>
      <c r="AK101" s="39">
        <f>IF($R101="MTO","",
IF($H101=0,ROUNDUP(((_xlfn.XLOOKUP($A101,'[1]DATOS PBI Artículos'!$A:$A,'[1]DATOS PBI Artículos'!$AO:$AO))/(_xlfn.XLOOKUP($AL$1,[1]CRITERIOS!$S$16:$S$39,[1]CRITERIOS!$Y$16:$Y$39))*$J101+$Z101)/$G101,0)*$G101,
((_xlfn.XLOOKUP($A101,'[1]DATOS PBI Artículos'!$A:$A,'[1]DATOS PBI Artículos'!$AO:$AO))/(_xlfn.XLOOKUP($AL$1,[1]CRITERIOS!$S$16:$S$39,[1]CRITERIOS!$Y$16:$Y$39))*$J101+$Z101)))</f>
        <v>38244.37781117612</v>
      </c>
    </row>
    <row r="102" spans="1:37" ht="25.8" x14ac:dyDescent="0.5">
      <c r="A102" s="32">
        <v>421125</v>
      </c>
      <c r="B102" s="33">
        <f>_xlfn.XLOOKUP($A102,'[1]DATOS PBI Artículos'!A:A,'[1]DATOS PBI Artículos'!B:B)</f>
        <v>0</v>
      </c>
      <c r="C102" s="33">
        <f>_xlfn.XLOOKUP($A102,'[1]DATOS PBI Artículos'!A:A,'[1]DATOS PBI Artículos'!C:C)</f>
        <v>0</v>
      </c>
      <c r="D102" s="33">
        <f>_xlfn.XLOOKUP(A102,'[1]DATOS PBI Artículos'!A:A,'[1]DATOS PBI Artículos'!T:T)</f>
        <v>3</v>
      </c>
      <c r="E102" s="34">
        <f>IF(_xlfn.XLOOKUP($A102,'[1]DATOS PBI Artículos'!A:A,'[1]DATOS PBI Artículos'!AK:AK)="",_xlfn.XLOOKUP($A102,'[1]DATOS PBI Artículos'!A:A,'[1]DATOS PBI Artículos'!AJ:AJ),_xlfn.XLOOKUP($A102,'[1]DATOS PBI Artículos'!A:A,'[1]DATOS PBI Artículos'!AK:AK))</f>
        <v>100000</v>
      </c>
      <c r="F102" s="35">
        <f>_xlfn.XLOOKUP($A102,'[1]DATOS PBI Artículos'!A:A,'[1]DATOS PBI Artículos'!AP:AP)</f>
        <v>4</v>
      </c>
      <c r="G102" s="34">
        <f>_xlfn.XLOOKUP($A102,'[1]DATOS PBI Artículos'!A:A,'[1]DATOS PBI Artículos'!AR:AR)</f>
        <v>40000</v>
      </c>
      <c r="H102" s="34">
        <f>_xlfn.XLOOKUP($A102,'[1]DATOS PBI Artículos'!A:A,'[1]DATOS PBI Artículos'!AT:AT)</f>
        <v>23094.01076758503</v>
      </c>
      <c r="I102" s="34">
        <f>_xlfn.XLOOKUP($A102,'[1]DATOS PBI Artículos'!A:A,'[1]DATOS PBI Artículos'!AS:AS)</f>
        <v>20000</v>
      </c>
      <c r="J102" s="35">
        <f>IF(COUNTIF([1]CRITERIOS!$F$179:$F$199,$A102)&gt;=1,
 IF(O102&lt;&gt;"",
    (O102/_xlfn.XLOOKUP(CONCATENATE(A102,L102),[1]MÁQUINAS!A:A,[1]MÁQUINAS!D:D))/24,
    (N102/_xlfn.XLOOKUP(CONCATENATE(A102,L102),[1]MÁQUINAS!A:A,[1]MÁQUINAS!D:D))/24),
  _xlfn.XLOOKUP($A102,'[1]DATOS PBI Artículos'!A:A,'[1]DATOS PBI Artículos'!AU:AU))</f>
        <v>0</v>
      </c>
      <c r="K102" s="36">
        <f>_xlfn.XLOOKUP($A102,'[1]DATOS PBI Artículos'!A:A,'[1]DATOS PBI Artículos'!AV:AV)</f>
        <v>0</v>
      </c>
      <c r="L102" s="33">
        <f>_xlfn.XLOOKUP(A102,[1]MÁQUINAS!B:B,[1]MÁQUINAS!C:C)</f>
        <v>661640</v>
      </c>
      <c r="M102" s="34">
        <f t="array" ref="M102">_xlfn.XLOOKUP(A102,'[1]DATOS PBI Artículos'!A:A,'[1]DATOS PBI Artículos'!AX:$AX)</f>
        <v>0</v>
      </c>
      <c r="N102" s="37" t="e">
        <f>IF(I102="DV",
E102,
IF(COUNTIF([1]CRITERIOS!$I$179:$I$199,$A102)&gt;=1,
_xlfn.XLOOKUP($A102,[1]CRITERIOS!$I$179:$I$199,[1]CRITERIOS!$J$179:$J$199),
IF(COUNTIF([1]CRITERIOS!$L$179:$L$199,$A102)&gt;=1,
_xlfn.CEILING.MATH(IF($M102&gt;$E102,
$E102,
IF($M102&lt;$E102/ROUNDDOWN([1]CRITERIOS!$M$16/_xlfn.XLOOKUP($C102,[1]CRITERIOS!$K$25:$K$42,[1]CRITERIOS!$M$25:$M$42),
1),
E102/ROUNDDOWN([1]CRITERIOS!$M$16/_xlfn.XLOOKUP($C102,[1]CRITERIOS!$K$25:$K$42,[1]CRITERIOS!$M$25:$M$42),
1),
$M102)),
_xlfn.XLOOKUP($A102,[1]CRITERIOS!$L$179:$L$200,[1]CRITERIOS!$M$179:$M$200)),
_xlfn.CEILING.MATH(IF($M102&gt;$E102,
$E102,
IF($M102&lt;$E102/ROUNDDOWN([1]CRITERIOS!$M$16/_xlfn.XLOOKUP($C102,[1]CRITERIOS!$K$25:$K$42,[1]CRITERIOS!$M$25:$M$42),
1),
E102/ROUNDDOWN([1]CRITERIOS!$M$16/_xlfn.XLOOKUP($C102,[1]CRITERIOS!$K$25:$K$42,[1]CRITERIOS!$M$25:$M$42),
1),
$M102)),_xlfn.XLOOKUP(A102,'[1]DATOS PBI Artículos'!A:A,'[1]DATOS PBI Artículos'!Z:Z
)))))</f>
        <v>#N/A</v>
      </c>
      <c r="Q102" s="38" t="e">
        <f>IF(AND(O102="",N102=0),
0,
   IF(COUNTIF([1]CRITERIOS!$F$179:$F$199,$A102)&gt;=1,
   1,
   IF(R102="MTO",
      $D102,
      ROUNDUP(
                    IF(($E102-SUMIF('[1]DATOS PBI Artículos'!A:A,A102,'[1]DATOS PBI Artículos'!X:X)+($V102-_xlfn.XLOOKUP(A102,'[1]DATOS PBI Artículos'!A:A,'[1]DATOS PBI Artículos'!W:W)))&lt;0,
                    0,
                    IF(($E102-SUMIF('[1]DATOS PBI Artículos'!A:A,A102,'[1]DATOS PBI Artículos'!X:X)+$V102-_xlfn.XLOOKUP($A102,'[1]DATOS PBI Artículos'!A:A,'[1]DATOS PBI Artículos'!W:W))/IF($O102="",$N102,$O102)&gt;ROUNDUP([1]CRITERIOS!$M$16/(IF(COUNTIF([1]CRITERIOS!$BG$11:$BG$201,L102)&gt;=1,_xlfn.XLOOKUP($C102,[1]CRITERIOS!$K$25:$K$42,[1]CRITERIOS!$M$25:$M$42),_xlfn.XLOOKUP($C102,[1]CRITERIOS!$K$25:$K$42,[1]CRITERIOS!$M$25:$M$42))),0),
                    ROUNDUP([1]CRITERIOS!$M$16/(IF(COUNTIF([1]CRITERIOS!$BG$11:$BG$201,$L102)&gt;=1,_xlfn.XLOOKUP($C102,[1]CRITERIOS!$K$25:$K$42,[1]CRITERIOS!$M$25:$M$42),_xlfn.XLOOKUP($C102,[1]CRITERIOS!$K$25:$K$42,[1]CRITERIOS!$M$25:$M$42))),0),
                    (E102+V102-SUMIF('[1]DATOS PBI Artículos'!A:A,A102,'[1]DATOS PBI Artículos'!X:X)-_xlfn.XLOOKUP(A102,'[1]DATOS PBI Artículos'!A:A,'[1]DATOS PBI Artículos'!W:W))/IF($O102="",$N102,$O102))),0))))</f>
        <v>#N/A</v>
      </c>
      <c r="R102" s="33" t="e">
        <f>IF(U102&lt;&gt;"",U102,IF(F102="DV","MTO",IF(N102=0,"MTO",_xlfn.XLOOKUP(CONCATENATE(S102,T102),[1]CRITERIOS!$K$160:$K$168,[1]CRITERIOS!$N$160:$N$168))))</f>
        <v>#N/A</v>
      </c>
      <c r="S102" s="33" t="e">
        <f>IF(G102="DV","MTO",IF(N102=0,"MTO",IF(OR(AND(N102=0,O102=""),IF(O102="",G102/N102,G102/O102)&gt;[1]CRITERIOS!$G$163),"MTO",IF(IF(O102="",G102/N102,G102/O102)&lt;[1]CRITERIOS!$H$161,"MTS","MTOS"))))</f>
        <v>#N/A</v>
      </c>
      <c r="T102" s="33" t="e">
        <f>IF(F102="DV","MTO",IF(OR(AND($N102=0,O102=""),$F102/$J102&gt;[1]CRITERIOS!$G$170,$F102="DV"),"MTO",IF($F102/$J102&lt;[1]CRITERIOS!$H$168,"MTS","MTOS")))</f>
        <v>#N/A</v>
      </c>
      <c r="V102" s="34" t="e">
        <f t="shared" si="7"/>
        <v>#N/A</v>
      </c>
      <c r="X102" s="34" t="e">
        <f t="shared" si="5"/>
        <v>#N/A</v>
      </c>
      <c r="Y102" s="34" t="e">
        <f t="shared" si="6"/>
        <v>#N/A</v>
      </c>
      <c r="Z102" s="34" t="e">
        <f>IF($R102="MTO",
0,
($H102+$K102*($E102/[1]CRITERIOS!$M$16))/[1]CRITERIOS!$X$48)</f>
        <v>#N/A</v>
      </c>
      <c r="AA102" s="34" t="e">
        <f>ROUNDUP(($Y102/_xlfn.XLOOKUP($A102,'[1]DATOS PBI Artículos'!$A$4:$A$4,'[1]DATOS PBI Artículos'!$Z$4:$Z$4))/_xlfn.XLOOKUP(_xlfn.XLOOKUP($A102,'[1]DATOS PBI Artículos'!$A$4:$A$4,'[1]DATOS PBI Artículos'!$Y$4:$Y$4),[1]CRITERIOS!$P$79:$P$123,[1]CRITERIOS!$S$79:$S$123,),0)</f>
        <v>#N/A</v>
      </c>
      <c r="AB102" s="33" t="e">
        <f t="array" ref="AB102">IF((E102+V102-_xlfn.XLOOKUP(A102,'[1]DATOS PBI Artículos'!$A$4:$A$4,'[1]DATOS PBI Artículos'!$W$4:$W$4))/N102&gt;ROUNDUP([1]CRITERIOS!$M$16/(IF(COUNTIF([1]CRITERIOS!$BG$11:$BG$201,L102)&gt;=1,_xlfn.XLOOKUP(ARTÍCULOS!L102,[1]CRITERIOS!$BG$11:$BG$201,[1]CRITERIOS!$BJ$11:$BJ$201),_xlfn.XLOOKUP(ARTÍCULOS!C102,[1]CRITERIOS!$K$25:$K$42,[1]CRITERIOS!$M$25:$M$42))),0),ROUNDUP([1]CRITERIOS!$M$16/(IF(COUNTIF([1]CRITERIOS!$BG$11:$BG$201,L102)&gt;=1,_xlfn.XLOOKUP(ARTÍCULOS!L102,[1]CRITERIOS!$BG$11:$BG$201:#REF!,[1]CRITERIOS!$BJ$11:$BJ$201),_xlfn.XLOOKUP(ARTÍCULOS!C102,[1]CRITERIOS!$K$25:$K$42,[1]CRITERIOS!$M$25:$M$42))),0),(E102+V102-_xlfn.XLOOKUP(A102,'[1]DATOS PBI Artículos'!$A$4:$A$4,'[1]DATOS PBI Artículos'!$W$4:$W$4))/N102)</f>
        <v>#N/A</v>
      </c>
      <c r="AC102" s="33" t="e">
        <f>IF(N102=0,"",(ROUNDUP((N102/2)/(_xlfn.XLOOKUP(A102,'[1]DATOS PBI Artículos'!$A$4:$A$4,'[1]DATOS PBI Artículos'!$Z$4:$Z$4)*_xlfn.XLOOKUP(_xlfn.XLOOKUP(A102,'[1]DATOS PBI Artículos'!$A$4:$A$4,'[1]DATOS PBI Artículos'!$Y$4:$Y$4),[1]CRITERIOS!$P$79:$P$123,[1]CRITERIOS!$S$79:$S$123)),0)*[1]CRITERIOS!$M$80*([1]CRITERIOS!$M$110/[1]CRITERIOS!$M$86)+(_xlfn.XLOOKUP(A102,'[1]DATOS PBI Artículos'!$A$4:$A$4,'[1]DATOS PBI Artículos'!$AA$4:$AA$4)*([1]CRITERIOS!$M$95+[1]CRITERIOS!$M$98)))/N102)</f>
        <v>#N/A</v>
      </c>
      <c r="AD102" s="33" t="e">
        <f>IF(N102=0,"",(ROUNDUP((N102/2)/(_xlfn.XLOOKUP(A102,'[1]DATOS PBI Artículos'!$A$4:$A$4,'[1]DATOS PBI Artículos'!$Z$4:$Z$4)*_xlfn.XLOOKUP(_xlfn.XLOOKUP(A102,'[1]DATOS PBI Artículos'!$A$4:$A$4,'[1]DATOS PBI Artículos'!$Y$4:$Y$4),[1]CRITERIOS!$P$79:$P$123,[1]CRITERIOS!$S$79:$S$123)),0)*[1]CRITERIOS!$M$80*([1]CRITERIOS!$M$89*[1]CRITERIOS!$M$92)+((_xlfn.XLOOKUP(A102,'[1]DATOS PBI Artículos'!$A$4:$A$4,'[1]DATOS PBI Artículos'!$AA$4:$AA$4)/2)*([1]CRITERIOS!$M$95+[1]CRITERIOS!$M$98)))/N102)</f>
        <v>#N/A</v>
      </c>
      <c r="AE102" s="39" t="e">
        <f>IF($R102="MTO","",
IF($H102=0,ROUNDUP(((_xlfn.XLOOKUP($A102,'[1]DATOS PBI Artículos'!$A:$A,'[1]DATOS PBI Artículos'!$AL:$AL))/(_xlfn.XLOOKUP($AF$1,[1]CRITERIOS!$S$16:$S$39,[1]CRITERIOS!$Y$16:$Y$39))*$J102+$Z102)/$G102,0)*$G102,
((_xlfn.XLOOKUP($A102,'[1]DATOS PBI Artículos'!$A:$A,'[1]DATOS PBI Artículos'!$AL:$AL))/(_xlfn.XLOOKUP($AF$1,[1]CRITERIOS!$S$16:$S$39,[1]CRITERIOS!$Y$16:$Y$39))*$J102+$Z102)))</f>
        <v>#N/A</v>
      </c>
      <c r="AG102" s="39" t="e">
        <f>IF($R102="MTO","",
IF($H102=0,ROUNDUP(((_xlfn.XLOOKUP($A102,'[1]DATOS PBI Artículos'!$A:$A,'[1]DATOS PBI Artículos'!$AM:$AM))/(_xlfn.XLOOKUP($AH$1,[1]CRITERIOS!$S$16:$S$39,[1]CRITERIOS!$Y$16:$Y$39))*$J102+$Z102)/$G102,0)*$G102,
((_xlfn.XLOOKUP($A102,'[1]DATOS PBI Artículos'!$A:$A,'[1]DATOS PBI Artículos'!$AM:$AM))/(_xlfn.XLOOKUP($AH$1,[1]CRITERIOS!$S$16:$S$39,[1]CRITERIOS!$Y$16:$Y$39))*$J102+$Z102)))</f>
        <v>#N/A</v>
      </c>
      <c r="AI102" s="39" t="e">
        <f>IF($R102="MTO","",
IF($H102=0,ROUNDUP(((_xlfn.XLOOKUP($A102,'[1]DATOS PBI Artículos'!$A:$A,'[1]DATOS PBI Artículos'!$AN:$AN))/(_xlfn.XLOOKUP($AJ$1,[1]CRITERIOS!$S$16:$S$39,[1]CRITERIOS!$Y$16:$Y$39))*$J102+$Z102)/$G102,0)*$G102,
((_xlfn.XLOOKUP($A102,'[1]DATOS PBI Artículos'!$A:$A,'[1]DATOS PBI Artículos'!$AN:$AN))/(_xlfn.XLOOKUP($AJ$1,[1]CRITERIOS!$S$16:$S$39,[1]CRITERIOS!$Y$16:$Y$39))*$J102+$Z102)))</f>
        <v>#N/A</v>
      </c>
      <c r="AK102" s="39" t="e">
        <f>IF($R102="MTO","",
IF($H102=0,ROUNDUP(((_xlfn.XLOOKUP($A102,'[1]DATOS PBI Artículos'!$A:$A,'[1]DATOS PBI Artículos'!$AO:$AO))/(_xlfn.XLOOKUP($AL$1,[1]CRITERIOS!$S$16:$S$39,[1]CRITERIOS!$Y$16:$Y$39))*$J102+$Z102)/$G102,0)*$G102,
((_xlfn.XLOOKUP($A102,'[1]DATOS PBI Artículos'!$A:$A,'[1]DATOS PBI Artículos'!$AO:$AO))/(_xlfn.XLOOKUP($AL$1,[1]CRITERIOS!$S$16:$S$39,[1]CRITERIOS!$Y$16:$Y$39))*$J102+$Z102)))</f>
        <v>#N/A</v>
      </c>
    </row>
    <row r="103" spans="1:37" ht="25.8" x14ac:dyDescent="0.5">
      <c r="A103" s="32">
        <v>451621</v>
      </c>
      <c r="B103" s="33">
        <f>_xlfn.XLOOKUP($A103,'[1]DATOS PBI Artículos'!A:A,'[1]DATOS PBI Artículos'!B:B)</f>
        <v>0</v>
      </c>
      <c r="C103" s="33" t="str">
        <f>_xlfn.XLOOKUP($A103,'[1]DATOS PBI Artículos'!A:A,'[1]DATOS PBI Artículos'!C:C)</f>
        <v>UA03</v>
      </c>
      <c r="D103" s="33">
        <f>_xlfn.XLOOKUP(A103,'[1]DATOS PBI Artículos'!A:A,'[1]DATOS PBI Artículos'!T:T)</f>
        <v>2</v>
      </c>
      <c r="E103" s="34">
        <f>IF(_xlfn.XLOOKUP($A103,'[1]DATOS PBI Artículos'!A:A,'[1]DATOS PBI Artículos'!AK:AK)="",_xlfn.XLOOKUP($A103,'[1]DATOS PBI Artículos'!A:A,'[1]DATOS PBI Artículos'!AJ:AJ),_xlfn.XLOOKUP($A103,'[1]DATOS PBI Artículos'!A:A,'[1]DATOS PBI Artículos'!AK:AK))</f>
        <v>100000</v>
      </c>
      <c r="F103" s="35">
        <f>_xlfn.XLOOKUP($A103,'[1]DATOS PBI Artículos'!A:A,'[1]DATOS PBI Artículos'!AP:AP)</f>
        <v>37</v>
      </c>
      <c r="G103" s="34">
        <f>_xlfn.XLOOKUP($A103,'[1]DATOS PBI Artículos'!A:A,'[1]DATOS PBI Artículos'!AR:AR)</f>
        <v>50000</v>
      </c>
      <c r="H103" s="34">
        <f>_xlfn.XLOOKUP($A103,'[1]DATOS PBI Artículos'!A:A,'[1]DATOS PBI Artículos'!AT:AT)</f>
        <v>0</v>
      </c>
      <c r="I103" s="34">
        <f>_xlfn.XLOOKUP($A103,'[1]DATOS PBI Artículos'!A:A,'[1]DATOS PBI Artículos'!AS:AS)</f>
        <v>50000</v>
      </c>
      <c r="J103" s="35">
        <f>IF(COUNTIF([1]CRITERIOS!$F$179:$F$199,$A103)&gt;=1,
 IF(O103&lt;&gt;"",
    (O103/_xlfn.XLOOKUP(CONCATENATE(A103,L103),[1]MÁQUINAS!A:A,[1]MÁQUINAS!D:D))/24,
    (N103/_xlfn.XLOOKUP(CONCATENATE(A103,L103),[1]MÁQUINAS!A:A,[1]MÁQUINAS!D:D))/24),
  _xlfn.XLOOKUP($A103,'[1]DATOS PBI Artículos'!A:A,'[1]DATOS PBI Artículos'!AU:AU))</f>
        <v>12.333333333333334</v>
      </c>
      <c r="K103" s="36">
        <f>_xlfn.XLOOKUP($A103,'[1]DATOS PBI Artículos'!A:A,'[1]DATOS PBI Artículos'!AV:AV)</f>
        <v>0.77849894416152332</v>
      </c>
      <c r="L103" s="33">
        <f>_xlfn.XLOOKUP(A103,[1]MÁQUINAS!B:B,[1]MÁQUINAS!C:C)</f>
        <v>142</v>
      </c>
      <c r="M103" s="34">
        <f t="array" ref="M103">_xlfn.XLOOKUP(A103,'[1]DATOS PBI Artículos'!A:A,'[1]DATOS PBI Artículos'!AX:$AX)</f>
        <v>40383.777062744412</v>
      </c>
      <c r="N103" s="37">
        <f>IF(I103="DV",
E103,
IF(COUNTIF([1]CRITERIOS!$I$179:$I$199,$A103)&gt;=1,
_xlfn.XLOOKUP($A103,[1]CRITERIOS!$I$179:$I$199,[1]CRITERIOS!$J$179:$J$199),
IF(COUNTIF([1]CRITERIOS!$L$179:$L$199,$A103)&gt;=1,
_xlfn.CEILING.MATH(IF($M103&gt;$E103,
$E103,
IF($M103&lt;$E103/ROUNDDOWN([1]CRITERIOS!$M$16/_xlfn.XLOOKUP($C103,[1]CRITERIOS!$K$25:$K$42,[1]CRITERIOS!$M$25:$M$42),
1),
E103/ROUNDDOWN([1]CRITERIOS!$M$16/_xlfn.XLOOKUP($C103,[1]CRITERIOS!$K$25:$K$42,[1]CRITERIOS!$M$25:$M$42),
1),
$M103)),
_xlfn.XLOOKUP($A103,[1]CRITERIOS!$L$179:$L$200,[1]CRITERIOS!$M$179:$M$200)),
_xlfn.CEILING.MATH(IF($M103&gt;$E103,
$E103,
IF($M103&lt;$E103/ROUNDDOWN([1]CRITERIOS!$M$16/_xlfn.XLOOKUP($C103,[1]CRITERIOS!$K$25:$K$42,[1]CRITERIOS!$M$25:$M$42),
1),
E103/ROUNDDOWN([1]CRITERIOS!$M$16/_xlfn.XLOOKUP($C103,[1]CRITERIOS!$K$25:$K$42,[1]CRITERIOS!$M$25:$M$42),
1),
$M103)),_xlfn.XLOOKUP(A103,'[1]DATOS PBI Artículos'!A:A,'[1]DATOS PBI Artículos'!Z:Z
)))))</f>
        <v>45000</v>
      </c>
      <c r="Q103" s="38">
        <f>IF(AND(O103="",N103=0),
0,
   IF(COUNTIF([1]CRITERIOS!$F$179:$F$199,$A103)&gt;=1,
   1,
   IF(R103="MTO",
      $D103,
      ROUNDUP(
                    IF(($E103-SUMIF('[1]DATOS PBI Artículos'!A:A,A103,'[1]DATOS PBI Artículos'!X:X)+($V103-_xlfn.XLOOKUP(A103,'[1]DATOS PBI Artículos'!A:A,'[1]DATOS PBI Artículos'!W:W)))&lt;0,
                    0,
                    IF(($E103-SUMIF('[1]DATOS PBI Artículos'!A:A,A103,'[1]DATOS PBI Artículos'!X:X)+$V103-_xlfn.XLOOKUP($A103,'[1]DATOS PBI Artículos'!A:A,'[1]DATOS PBI Artículos'!W:W))/IF($O103="",$N103,$O103)&gt;ROUNDUP([1]CRITERIOS!$M$16/(IF(COUNTIF([1]CRITERIOS!$BG$11:$BG$201,L103)&gt;=1,_xlfn.XLOOKUP($C103,[1]CRITERIOS!$K$25:$K$42,[1]CRITERIOS!$M$25:$M$42),_xlfn.XLOOKUP($C103,[1]CRITERIOS!$K$25:$K$42,[1]CRITERIOS!$M$25:$M$42))),0),
                    ROUNDUP([1]CRITERIOS!$M$16/(IF(COUNTIF([1]CRITERIOS!$BG$11:$BG$201,$L103)&gt;=1,_xlfn.XLOOKUP($C103,[1]CRITERIOS!$K$25:$K$42,[1]CRITERIOS!$M$25:$M$42),_xlfn.XLOOKUP($C103,[1]CRITERIOS!$K$25:$K$42,[1]CRITERIOS!$M$25:$M$42))),0),
                    (E103+V103-SUMIF('[1]DATOS PBI Artículos'!A:A,A103,'[1]DATOS PBI Artículos'!X:X)-_xlfn.XLOOKUP(A103,'[1]DATOS PBI Artículos'!A:A,'[1]DATOS PBI Artículos'!W:W))/IF($O103="",$N103,$O103))),0))))</f>
        <v>2</v>
      </c>
      <c r="R103" s="33" t="str">
        <f>IF(U103&lt;&gt;"",U103,IF(F103="DV","MTO",IF(N103=0,"MTO",_xlfn.XLOOKUP(CONCATENATE(S103,T103),[1]CRITERIOS!$K$160:$K$168,[1]CRITERIOS!$N$160:$N$168))))</f>
        <v>MTO</v>
      </c>
      <c r="S103" s="33" t="str">
        <f>IF(G103="DV","MTO",IF(N103=0,"MTO",IF(OR(AND(N103=0,O103=""),IF(O103="",G103/N103,G103/O103)&gt;[1]CRITERIOS!$G$163),"MTO",IF(IF(O103="",G103/N103,G103/O103)&lt;[1]CRITERIOS!$H$161,"MTS","MTOS"))))</f>
        <v>MTO</v>
      </c>
      <c r="T103" s="33" t="str">
        <f>IF(F103="DV","MTO",IF(OR(AND($N103=0,O103=""),$F103/$J103&gt;[1]CRITERIOS!$G$170,$F103="DV"),"MTO",IF($F103/$J103&lt;[1]CRITERIOS!$H$168,"MTS","MTOS")))</f>
        <v>MTO</v>
      </c>
      <c r="V103" s="34" t="str">
        <f t="shared" si="7"/>
        <v/>
      </c>
      <c r="X103" s="34">
        <f t="shared" si="5"/>
        <v>0</v>
      </c>
      <c r="Y103" s="34">
        <f t="shared" si="6"/>
        <v>0</v>
      </c>
      <c r="Z103" s="34">
        <f>IF($R103="MTO",
0,
($H103+$K103*($E103/[1]CRITERIOS!$M$16))/[1]CRITERIOS!$X$48)</f>
        <v>0</v>
      </c>
      <c r="AA103" s="34" t="e">
        <f>ROUNDUP(($Y103/_xlfn.XLOOKUP($A103,'[1]DATOS PBI Artículos'!$A$4:$A$4,'[1]DATOS PBI Artículos'!$Z$4:$Z$4))/_xlfn.XLOOKUP(_xlfn.XLOOKUP($A103,'[1]DATOS PBI Artículos'!$A$4:$A$4,'[1]DATOS PBI Artículos'!$Y$4:$Y$4),[1]CRITERIOS!$P$79:$P$123,[1]CRITERIOS!$S$79:$S$123,),0)</f>
        <v>#N/A</v>
      </c>
      <c r="AB103" s="33" t="e">
        <f t="array" ref="AB103">IF((E103+V103-_xlfn.XLOOKUP(A103,'[1]DATOS PBI Artículos'!$A$4:$A$4,'[1]DATOS PBI Artículos'!$W$4:$W$4))/N103&gt;ROUNDUP([1]CRITERIOS!$M$16/(IF(COUNTIF([1]CRITERIOS!$BG$11:$BG$201,L103)&gt;=1,_xlfn.XLOOKUP(ARTÍCULOS!L103,[1]CRITERIOS!$BG$11:$BG$201,[1]CRITERIOS!$BJ$11:$BJ$201),_xlfn.XLOOKUP(ARTÍCULOS!C103,[1]CRITERIOS!$K$25:$K$42,[1]CRITERIOS!$M$25:$M$42))),0),ROUNDUP([1]CRITERIOS!$M$16/(IF(COUNTIF([1]CRITERIOS!$BG$11:$BG$201,L103)&gt;=1,_xlfn.XLOOKUP(ARTÍCULOS!L103,[1]CRITERIOS!$BG$11:$BG$201:#REF!,[1]CRITERIOS!$BJ$11:$BJ$201),_xlfn.XLOOKUP(ARTÍCULOS!C103,[1]CRITERIOS!$K$25:$K$42,[1]CRITERIOS!$M$25:$M$42))),0),(E103+V103-_xlfn.XLOOKUP(A103,'[1]DATOS PBI Artículos'!$A$4:$A$4,'[1]DATOS PBI Artículos'!$W$4:$W$4))/N103)</f>
        <v>#VALUE!</v>
      </c>
      <c r="AC103" s="33" t="e">
        <f>IF(N103=0,"",(ROUNDUP((N103/2)/(_xlfn.XLOOKUP(A103,'[1]DATOS PBI Artículos'!$A$4:$A$4,'[1]DATOS PBI Artículos'!$Z$4:$Z$4)*_xlfn.XLOOKUP(_xlfn.XLOOKUP(A103,'[1]DATOS PBI Artículos'!$A$4:$A$4,'[1]DATOS PBI Artículos'!$Y$4:$Y$4),[1]CRITERIOS!$P$79:$P$123,[1]CRITERIOS!$S$79:$S$123)),0)*[1]CRITERIOS!$M$80*([1]CRITERIOS!$M$110/[1]CRITERIOS!$M$86)+(_xlfn.XLOOKUP(A103,'[1]DATOS PBI Artículos'!$A$4:$A$4,'[1]DATOS PBI Artículos'!$AA$4:$AA$4)*([1]CRITERIOS!$M$95+[1]CRITERIOS!$M$98)))/N103)</f>
        <v>#N/A</v>
      </c>
      <c r="AD103" s="33" t="e">
        <f>IF(N103=0,"",(ROUNDUP((N103/2)/(_xlfn.XLOOKUP(A103,'[1]DATOS PBI Artículos'!$A$4:$A$4,'[1]DATOS PBI Artículos'!$Z$4:$Z$4)*_xlfn.XLOOKUP(_xlfn.XLOOKUP(A103,'[1]DATOS PBI Artículos'!$A$4:$A$4,'[1]DATOS PBI Artículos'!$Y$4:$Y$4),[1]CRITERIOS!$P$79:$P$123,[1]CRITERIOS!$S$79:$S$123)),0)*[1]CRITERIOS!$M$80*([1]CRITERIOS!$M$89*[1]CRITERIOS!$M$92)+((_xlfn.XLOOKUP(A103,'[1]DATOS PBI Artículos'!$A$4:$A$4,'[1]DATOS PBI Artículos'!$AA$4:$AA$4)/2)*([1]CRITERIOS!$M$95+[1]CRITERIOS!$M$98)))/N103)</f>
        <v>#N/A</v>
      </c>
      <c r="AE103" s="39" t="str">
        <f>IF($R103="MTO","",
IF($H103=0,ROUNDUP(((_xlfn.XLOOKUP($A103,'[1]DATOS PBI Artículos'!$A:$A,'[1]DATOS PBI Artículos'!$AL:$AL))/(_xlfn.XLOOKUP($AF$1,[1]CRITERIOS!$S$16:$S$39,[1]CRITERIOS!$Y$16:$Y$39))*$J103+$Z103)/$G103,0)*$G103,
((_xlfn.XLOOKUP($A103,'[1]DATOS PBI Artículos'!$A:$A,'[1]DATOS PBI Artículos'!$AL:$AL))/(_xlfn.XLOOKUP($AF$1,[1]CRITERIOS!$S$16:$S$39,[1]CRITERIOS!$Y$16:$Y$39))*$J103+$Z103)))</f>
        <v/>
      </c>
      <c r="AG103" s="39" t="str">
        <f>IF($R103="MTO","",
IF($H103=0,ROUNDUP(((_xlfn.XLOOKUP($A103,'[1]DATOS PBI Artículos'!$A:$A,'[1]DATOS PBI Artículos'!$AM:$AM))/(_xlfn.XLOOKUP($AH$1,[1]CRITERIOS!$S$16:$S$39,[1]CRITERIOS!$Y$16:$Y$39))*$J103+$Z103)/$G103,0)*$G103,
((_xlfn.XLOOKUP($A103,'[1]DATOS PBI Artículos'!$A:$A,'[1]DATOS PBI Artículos'!$AM:$AM))/(_xlfn.XLOOKUP($AH$1,[1]CRITERIOS!$S$16:$S$39,[1]CRITERIOS!$Y$16:$Y$39))*$J103+$Z103)))</f>
        <v/>
      </c>
      <c r="AI103" s="39" t="str">
        <f>IF($R103="MTO","",
IF($H103=0,ROUNDUP(((_xlfn.XLOOKUP($A103,'[1]DATOS PBI Artículos'!$A:$A,'[1]DATOS PBI Artículos'!$AN:$AN))/(_xlfn.XLOOKUP($AJ$1,[1]CRITERIOS!$S$16:$S$39,[1]CRITERIOS!$Y$16:$Y$39))*$J103+$Z103)/$G103,0)*$G103,
((_xlfn.XLOOKUP($A103,'[1]DATOS PBI Artículos'!$A:$A,'[1]DATOS PBI Artículos'!$AN:$AN))/(_xlfn.XLOOKUP($AJ$1,[1]CRITERIOS!$S$16:$S$39,[1]CRITERIOS!$Y$16:$Y$39))*$J103+$Z103)))</f>
        <v/>
      </c>
      <c r="AK103" s="39" t="str">
        <f>IF($R103="MTO","",
IF($H103=0,ROUNDUP(((_xlfn.XLOOKUP($A103,'[1]DATOS PBI Artículos'!$A:$A,'[1]DATOS PBI Artículos'!$AO:$AO))/(_xlfn.XLOOKUP($AL$1,[1]CRITERIOS!$S$16:$S$39,[1]CRITERIOS!$Y$16:$Y$39))*$J103+$Z103)/$G103,0)*$G103,
((_xlfn.XLOOKUP($A103,'[1]DATOS PBI Artículos'!$A:$A,'[1]DATOS PBI Artículos'!$AO:$AO))/(_xlfn.XLOOKUP($AL$1,[1]CRITERIOS!$S$16:$S$39,[1]CRITERIOS!$Y$16:$Y$39))*$J103+$Z103)))</f>
        <v/>
      </c>
    </row>
    <row r="104" spans="1:37" ht="25.8" x14ac:dyDescent="0.5">
      <c r="A104" s="32">
        <v>452778</v>
      </c>
      <c r="B104" s="33">
        <f>_xlfn.XLOOKUP($A104,'[1]DATOS PBI Artículos'!A:A,'[1]DATOS PBI Artículos'!B:B)</f>
        <v>0</v>
      </c>
      <c r="C104" s="33" t="str">
        <f>_xlfn.XLOOKUP($A104,'[1]DATOS PBI Artículos'!A:A,'[1]DATOS PBI Artículos'!C:C)</f>
        <v>UA02</v>
      </c>
      <c r="D104" s="33">
        <f>_xlfn.XLOOKUP(A104,'[1]DATOS PBI Artículos'!A:A,'[1]DATOS PBI Artículos'!T:T)</f>
        <v>1</v>
      </c>
      <c r="E104" s="34">
        <f>IF(_xlfn.XLOOKUP($A104,'[1]DATOS PBI Artículos'!A:A,'[1]DATOS PBI Artículos'!AK:AK)="",_xlfn.XLOOKUP($A104,'[1]DATOS PBI Artículos'!A:A,'[1]DATOS PBI Artículos'!AJ:AJ),_xlfn.XLOOKUP($A104,'[1]DATOS PBI Artículos'!A:A,'[1]DATOS PBI Artículos'!AK:AK))</f>
        <v>100000</v>
      </c>
      <c r="F104" s="35">
        <f>_xlfn.XLOOKUP($A104,'[1]DATOS PBI Artículos'!A:A,'[1]DATOS PBI Artículos'!AP:AP)</f>
        <v>75</v>
      </c>
      <c r="G104" s="34">
        <f>_xlfn.XLOOKUP($A104,'[1]DATOS PBI Artículos'!A:A,'[1]DATOS PBI Artículos'!AR:AR)</f>
        <v>100000</v>
      </c>
      <c r="H104" s="34">
        <f>_xlfn.XLOOKUP($A104,'[1]DATOS PBI Artículos'!A:A,'[1]DATOS PBI Artículos'!AT:AT)</f>
        <v>0</v>
      </c>
      <c r="I104" s="34">
        <f>_xlfn.XLOOKUP($A104,'[1]DATOS PBI Artículos'!A:A,'[1]DATOS PBI Artículos'!AS:AS)</f>
        <v>100000</v>
      </c>
      <c r="J104" s="35">
        <f>IF(COUNTIF([1]CRITERIOS!$F$179:$F$199,$A104)&gt;=1,
 IF(O104&lt;&gt;"",
    (O104/_xlfn.XLOOKUP(CONCATENATE(A104,L104),[1]MÁQUINAS!A:A,[1]MÁQUINAS!D:D))/24,
    (N104/_xlfn.XLOOKUP(CONCATENATE(A104,L104),[1]MÁQUINAS!A:A,[1]MÁQUINAS!D:D))/24),
  _xlfn.XLOOKUP($A104,'[1]DATOS PBI Artículos'!A:A,'[1]DATOS PBI Artículos'!AU:AU))</f>
        <v>28.5</v>
      </c>
      <c r="K104" s="36">
        <f>_xlfn.XLOOKUP($A104,'[1]DATOS PBI Artículos'!A:A,'[1]DATOS PBI Artículos'!AV:AV)</f>
        <v>3.5355339059327378</v>
      </c>
      <c r="L104" s="33">
        <f>_xlfn.XLOOKUP(A104,[1]MÁQUINAS!B:B,[1]MÁQUINAS!C:C)</f>
        <v>217</v>
      </c>
      <c r="M104" s="34">
        <f t="array" ref="M104">_xlfn.XLOOKUP(A104,'[1]DATOS PBI Artículos'!A:A,'[1]DATOS PBI Artículos'!AX:$AX)</f>
        <v>66303.697799318659</v>
      </c>
      <c r="N104" s="37">
        <f>IF(I104="DV",
E104,
IF(COUNTIF([1]CRITERIOS!$I$179:$I$199,$A104)&gt;=1,
_xlfn.XLOOKUP($A104,[1]CRITERIOS!$I$179:$I$199,[1]CRITERIOS!$J$179:$J$199),
IF(COUNTIF([1]CRITERIOS!$L$179:$L$199,$A104)&gt;=1,
_xlfn.CEILING.MATH(IF($M104&gt;$E104,
$E104,
IF($M104&lt;$E104/ROUNDDOWN([1]CRITERIOS!$M$16/_xlfn.XLOOKUP($C104,[1]CRITERIOS!$K$25:$K$42,[1]CRITERIOS!$M$25:$M$42),
1),
E104/ROUNDDOWN([1]CRITERIOS!$M$16/_xlfn.XLOOKUP($C104,[1]CRITERIOS!$K$25:$K$42,[1]CRITERIOS!$M$25:$M$42),
1),
$M104)),
_xlfn.XLOOKUP($A104,[1]CRITERIOS!$L$179:$L$200,[1]CRITERIOS!$M$179:$M$200)),
_xlfn.CEILING.MATH(IF($M104&gt;$E104,
$E104,
IF($M104&lt;$E104/ROUNDDOWN([1]CRITERIOS!$M$16/_xlfn.XLOOKUP($C104,[1]CRITERIOS!$K$25:$K$42,[1]CRITERIOS!$M$25:$M$42),
1),
E104/ROUNDDOWN([1]CRITERIOS!$M$16/_xlfn.XLOOKUP($C104,[1]CRITERIOS!$K$25:$K$42,[1]CRITERIOS!$M$25:$M$42),
1),
$M104)),_xlfn.XLOOKUP(A104,'[1]DATOS PBI Artículos'!A:A,'[1]DATOS PBI Artículos'!Z:Z
)))))</f>
        <v>100000</v>
      </c>
      <c r="Q104" s="38">
        <f>IF(AND(O104="",N104=0),
0,
   IF(COUNTIF([1]CRITERIOS!$F$179:$F$199,$A104)&gt;=1,
   1,
   IF(R104="MTO",
      $D104,
      ROUNDUP(
                    IF(($E104-SUMIF('[1]DATOS PBI Artículos'!A:A,A104,'[1]DATOS PBI Artículos'!X:X)+($V104-_xlfn.XLOOKUP(A104,'[1]DATOS PBI Artículos'!A:A,'[1]DATOS PBI Artículos'!W:W)))&lt;0,
                    0,
                    IF(($E104-SUMIF('[1]DATOS PBI Artículos'!A:A,A104,'[1]DATOS PBI Artículos'!X:X)+$V104-_xlfn.XLOOKUP($A104,'[1]DATOS PBI Artículos'!A:A,'[1]DATOS PBI Artículos'!W:W))/IF($O104="",$N104,$O104)&gt;ROUNDUP([1]CRITERIOS!$M$16/(IF(COUNTIF([1]CRITERIOS!$BG$11:$BG$201,L104)&gt;=1,_xlfn.XLOOKUP($C104,[1]CRITERIOS!$K$25:$K$42,[1]CRITERIOS!$M$25:$M$42),_xlfn.XLOOKUP($C104,[1]CRITERIOS!$K$25:$K$42,[1]CRITERIOS!$M$25:$M$42))),0),
                    ROUNDUP([1]CRITERIOS!$M$16/(IF(COUNTIF([1]CRITERIOS!$BG$11:$BG$201,$L104)&gt;=1,_xlfn.XLOOKUP($C104,[1]CRITERIOS!$K$25:$K$42,[1]CRITERIOS!$M$25:$M$42),_xlfn.XLOOKUP($C104,[1]CRITERIOS!$K$25:$K$42,[1]CRITERIOS!$M$25:$M$42))),0),
                    (E104+V104-SUMIF('[1]DATOS PBI Artículos'!A:A,A104,'[1]DATOS PBI Artículos'!X:X)-_xlfn.XLOOKUP(A104,'[1]DATOS PBI Artículos'!A:A,'[1]DATOS PBI Artículos'!W:W))/IF($O104="",$N104,$O104))),0))))</f>
        <v>1</v>
      </c>
      <c r="R104" s="33" t="str">
        <f>IF(U104&lt;&gt;"",U104,IF(F104="DV","MTO",IF(N104=0,"MTO",_xlfn.XLOOKUP(CONCATENATE(S104,T104),[1]CRITERIOS!$K$160:$K$168,[1]CRITERIOS!$N$160:$N$168))))</f>
        <v>MTO</v>
      </c>
      <c r="S104" s="33" t="str">
        <f>IF(G104="DV","MTO",IF(N104=0,"MTO",IF(OR(AND(N104=0,O104=""),IF(O104="",G104/N104,G104/O104)&gt;[1]CRITERIOS!$G$163),"MTO",IF(IF(O104="",G104/N104,G104/O104)&lt;[1]CRITERIOS!$H$161,"MTS","MTOS"))))</f>
        <v>MTO</v>
      </c>
      <c r="T104" s="33" t="str">
        <f>IF(F104="DV","MTO",IF(OR(AND($N104=0,O104=""),$F104/$J104&gt;[1]CRITERIOS!$G$170,$F104="DV"),"MTO",IF($F104/$J104&lt;[1]CRITERIOS!$H$168,"MTS","MTOS")))</f>
        <v>MTO</v>
      </c>
      <c r="V104" s="34" t="str">
        <f t="shared" si="7"/>
        <v/>
      </c>
      <c r="X104" s="34">
        <f t="shared" si="5"/>
        <v>0</v>
      </c>
      <c r="Y104" s="34">
        <f t="shared" si="6"/>
        <v>0</v>
      </c>
      <c r="Z104" s="34">
        <f>IF($R104="MTO",
0,
($H104+$K104*($E104/[1]CRITERIOS!$M$16))/[1]CRITERIOS!$X$48)</f>
        <v>0</v>
      </c>
      <c r="AA104" s="34" t="e">
        <f>ROUNDUP(($Y104/_xlfn.XLOOKUP($A104,'[1]DATOS PBI Artículos'!$A$4:$A$4,'[1]DATOS PBI Artículos'!$Z$4:$Z$4))/_xlfn.XLOOKUP(_xlfn.XLOOKUP($A104,'[1]DATOS PBI Artículos'!$A$4:$A$4,'[1]DATOS PBI Artículos'!$Y$4:$Y$4),[1]CRITERIOS!$P$79:$P$123,[1]CRITERIOS!$S$79:$S$123,),0)</f>
        <v>#N/A</v>
      </c>
      <c r="AB104" s="33" t="e">
        <f t="array" ref="AB104">IF((E104+V104-_xlfn.XLOOKUP(A104,'[1]DATOS PBI Artículos'!$A$4:$A$4,'[1]DATOS PBI Artículos'!$W$4:$W$4))/N104&gt;ROUNDUP([1]CRITERIOS!$M$16/(IF(COUNTIF([1]CRITERIOS!$BG$11:$BG$201,L104)&gt;=1,_xlfn.XLOOKUP(ARTÍCULOS!L104,[1]CRITERIOS!$BG$11:$BG$201,[1]CRITERIOS!$BJ$11:$BJ$201),_xlfn.XLOOKUP(ARTÍCULOS!C104,[1]CRITERIOS!$K$25:$K$42,[1]CRITERIOS!$M$25:$M$42))),0),ROUNDUP([1]CRITERIOS!$M$16/(IF(COUNTIF([1]CRITERIOS!$BG$11:$BG$201,L104)&gt;=1,_xlfn.XLOOKUP(ARTÍCULOS!L104,[1]CRITERIOS!$BG$11:$BG$201:#REF!,[1]CRITERIOS!$BJ$11:$BJ$201),_xlfn.XLOOKUP(ARTÍCULOS!C104,[1]CRITERIOS!$K$25:$K$42,[1]CRITERIOS!$M$25:$M$42))),0),(E104+V104-_xlfn.XLOOKUP(A104,'[1]DATOS PBI Artículos'!$A$4:$A$4,'[1]DATOS PBI Artículos'!$W$4:$W$4))/N104)</f>
        <v>#VALUE!</v>
      </c>
      <c r="AC104" s="33" t="e">
        <f>IF(N104=0,"",(ROUNDUP((N104/2)/(_xlfn.XLOOKUP(A104,'[1]DATOS PBI Artículos'!$A$4:$A$4,'[1]DATOS PBI Artículos'!$Z$4:$Z$4)*_xlfn.XLOOKUP(_xlfn.XLOOKUP(A104,'[1]DATOS PBI Artículos'!$A$4:$A$4,'[1]DATOS PBI Artículos'!$Y$4:$Y$4),[1]CRITERIOS!$P$79:$P$123,[1]CRITERIOS!$S$79:$S$123)),0)*[1]CRITERIOS!$M$80*([1]CRITERIOS!$M$110/[1]CRITERIOS!$M$86)+(_xlfn.XLOOKUP(A104,'[1]DATOS PBI Artículos'!$A$4:$A$4,'[1]DATOS PBI Artículos'!$AA$4:$AA$4)*([1]CRITERIOS!$M$95+[1]CRITERIOS!$M$98)))/N104)</f>
        <v>#N/A</v>
      </c>
      <c r="AD104" s="33" t="e">
        <f>IF(N104=0,"",(ROUNDUP((N104/2)/(_xlfn.XLOOKUP(A104,'[1]DATOS PBI Artículos'!$A$4:$A$4,'[1]DATOS PBI Artículos'!$Z$4:$Z$4)*_xlfn.XLOOKUP(_xlfn.XLOOKUP(A104,'[1]DATOS PBI Artículos'!$A$4:$A$4,'[1]DATOS PBI Artículos'!$Y$4:$Y$4),[1]CRITERIOS!$P$79:$P$123,[1]CRITERIOS!$S$79:$S$123)),0)*[1]CRITERIOS!$M$80*([1]CRITERIOS!$M$89*[1]CRITERIOS!$M$92)+((_xlfn.XLOOKUP(A104,'[1]DATOS PBI Artículos'!$A$4:$A$4,'[1]DATOS PBI Artículos'!$AA$4:$AA$4)/2)*([1]CRITERIOS!$M$95+[1]CRITERIOS!$M$98)))/N104)</f>
        <v>#N/A</v>
      </c>
      <c r="AE104" s="39" t="str">
        <f>IF($R104="MTO","",
IF($H104=0,ROUNDUP(((_xlfn.XLOOKUP($A104,'[1]DATOS PBI Artículos'!$A:$A,'[1]DATOS PBI Artículos'!$AL:$AL))/(_xlfn.XLOOKUP($AF$1,[1]CRITERIOS!$S$16:$S$39,[1]CRITERIOS!$Y$16:$Y$39))*$J104+$Z104)/$G104,0)*$G104,
((_xlfn.XLOOKUP($A104,'[1]DATOS PBI Artículos'!$A:$A,'[1]DATOS PBI Artículos'!$AL:$AL))/(_xlfn.XLOOKUP($AF$1,[1]CRITERIOS!$S$16:$S$39,[1]CRITERIOS!$Y$16:$Y$39))*$J104+$Z104)))</f>
        <v/>
      </c>
      <c r="AG104" s="39" t="str">
        <f>IF($R104="MTO","",
IF($H104=0,ROUNDUP(((_xlfn.XLOOKUP($A104,'[1]DATOS PBI Artículos'!$A:$A,'[1]DATOS PBI Artículos'!$AM:$AM))/(_xlfn.XLOOKUP($AH$1,[1]CRITERIOS!$S$16:$S$39,[1]CRITERIOS!$Y$16:$Y$39))*$J104+$Z104)/$G104,0)*$G104,
((_xlfn.XLOOKUP($A104,'[1]DATOS PBI Artículos'!$A:$A,'[1]DATOS PBI Artículos'!$AM:$AM))/(_xlfn.XLOOKUP($AH$1,[1]CRITERIOS!$S$16:$S$39,[1]CRITERIOS!$Y$16:$Y$39))*$J104+$Z104)))</f>
        <v/>
      </c>
      <c r="AI104" s="39" t="str">
        <f>IF($R104="MTO","",
IF($H104=0,ROUNDUP(((_xlfn.XLOOKUP($A104,'[1]DATOS PBI Artículos'!$A:$A,'[1]DATOS PBI Artículos'!$AN:$AN))/(_xlfn.XLOOKUP($AJ$1,[1]CRITERIOS!$S$16:$S$39,[1]CRITERIOS!$Y$16:$Y$39))*$J104+$Z104)/$G104,0)*$G104,
((_xlfn.XLOOKUP($A104,'[1]DATOS PBI Artículos'!$A:$A,'[1]DATOS PBI Artículos'!$AN:$AN))/(_xlfn.XLOOKUP($AJ$1,[1]CRITERIOS!$S$16:$S$39,[1]CRITERIOS!$Y$16:$Y$39))*$J104+$Z104)))</f>
        <v/>
      </c>
      <c r="AK104" s="39" t="str">
        <f>IF($R104="MTO","",
IF($H104=0,ROUNDUP(((_xlfn.XLOOKUP($A104,'[1]DATOS PBI Artículos'!$A:$A,'[1]DATOS PBI Artículos'!$AO:$AO))/(_xlfn.XLOOKUP($AL$1,[1]CRITERIOS!$S$16:$S$39,[1]CRITERIOS!$Y$16:$Y$39))*$J104+$Z104)/$G104,0)*$G104,
((_xlfn.XLOOKUP($A104,'[1]DATOS PBI Artículos'!$A:$A,'[1]DATOS PBI Artículos'!$AO:$AO))/(_xlfn.XLOOKUP($AL$1,[1]CRITERIOS!$S$16:$S$39,[1]CRITERIOS!$Y$16:$Y$39))*$J104+$Z104)))</f>
        <v/>
      </c>
    </row>
    <row r="105" spans="1:37" ht="25.8" x14ac:dyDescent="0.5">
      <c r="A105" s="32" t="s">
        <v>72</v>
      </c>
      <c r="B105" s="33">
        <f>_xlfn.XLOOKUP($A105,'[1]DATOS PBI Artículos'!A:A,'[1]DATOS PBI Artículos'!B:B)</f>
        <v>0</v>
      </c>
      <c r="C105" s="33" t="str">
        <f>_xlfn.XLOOKUP($A105,'[1]DATOS PBI Artículos'!A:A,'[1]DATOS PBI Artículos'!C:C)</f>
        <v>UA01</v>
      </c>
      <c r="D105" s="33">
        <f>_xlfn.XLOOKUP(A105,'[1]DATOS PBI Artículos'!A:A,'[1]DATOS PBI Artículos'!T:T)</f>
        <v>2</v>
      </c>
      <c r="E105" s="34">
        <f>IF(_xlfn.XLOOKUP($A105,'[1]DATOS PBI Artículos'!A:A,'[1]DATOS PBI Artículos'!AK:AK)="",_xlfn.XLOOKUP($A105,'[1]DATOS PBI Artículos'!A:A,'[1]DATOS PBI Artículos'!AJ:AJ),_xlfn.XLOOKUP($A105,'[1]DATOS PBI Artículos'!A:A,'[1]DATOS PBI Artículos'!AK:AK))</f>
        <v>96000</v>
      </c>
      <c r="F105" s="35">
        <f>_xlfn.XLOOKUP($A105,'[1]DATOS PBI Artículos'!A:A,'[1]DATOS PBI Artículos'!AP:AP)</f>
        <v>40</v>
      </c>
      <c r="G105" s="34">
        <f>_xlfn.XLOOKUP($A105,'[1]DATOS PBI Artículos'!A:A,'[1]DATOS PBI Artículos'!AR:AR)</f>
        <v>48000</v>
      </c>
      <c r="H105" s="34">
        <f>_xlfn.XLOOKUP($A105,'[1]DATOS PBI Artículos'!A:A,'[1]DATOS PBI Artículos'!AT:AT)</f>
        <v>0</v>
      </c>
      <c r="I105" s="34">
        <f>_xlfn.XLOOKUP($A105,'[1]DATOS PBI Artículos'!A:A,'[1]DATOS PBI Artículos'!AS:AS)</f>
        <v>48000</v>
      </c>
      <c r="J105" s="35">
        <f>IF(COUNTIF([1]CRITERIOS!$F$179:$F$199,$A105)&gt;=1,
 IF(O105&lt;&gt;"",
    (O105/_xlfn.XLOOKUP(CONCATENATE(A105,L105),[1]MÁQUINAS!A:A,[1]MÁQUINAS!D:D))/24,
    (N105/_xlfn.XLOOKUP(CONCATENATE(A105,L105),[1]MÁQUINAS!A:A,[1]MÁQUINAS!D:D))/24),
  _xlfn.XLOOKUP($A105,'[1]DATOS PBI Artículos'!A:A,'[1]DATOS PBI Artículos'!AU:AU))</f>
        <v>23</v>
      </c>
      <c r="K105" s="36">
        <f>_xlfn.XLOOKUP($A105,'[1]DATOS PBI Artículos'!A:A,'[1]DATOS PBI Artículos'!AV:AV)</f>
        <v>0</v>
      </c>
      <c r="L105" s="33">
        <f>_xlfn.XLOOKUP(A105,[1]MÁQUINAS!B:B,[1]MÁQUINAS!C:C)</f>
        <v>406</v>
      </c>
      <c r="M105" s="34">
        <f t="array" ref="M105">_xlfn.XLOOKUP(A105,'[1]DATOS PBI Artículos'!A:A,'[1]DATOS PBI Artículos'!AX:$AX)</f>
        <v>58851.346256495373</v>
      </c>
      <c r="N105" s="37">
        <f>IF(I105="DV",
E105,
IF(COUNTIF([1]CRITERIOS!$I$179:$I$199,$A105)&gt;=1,
_xlfn.XLOOKUP($A105,[1]CRITERIOS!$I$179:$I$199,[1]CRITERIOS!$J$179:$J$199),
IF(COUNTIF([1]CRITERIOS!$L$179:$L$199,$A105)&gt;=1,
_xlfn.CEILING.MATH(IF($M105&gt;$E105,
$E105,
IF($M105&lt;$E105/ROUNDDOWN([1]CRITERIOS!$M$16/_xlfn.XLOOKUP($C105,[1]CRITERIOS!$K$25:$K$42,[1]CRITERIOS!$M$25:$M$42),
1),
E105/ROUNDDOWN([1]CRITERIOS!$M$16/_xlfn.XLOOKUP($C105,[1]CRITERIOS!$K$25:$K$42,[1]CRITERIOS!$M$25:$M$42),
1),
$M105)),
_xlfn.XLOOKUP($A105,[1]CRITERIOS!$L$179:$L$200,[1]CRITERIOS!$M$179:$M$200)),
_xlfn.CEILING.MATH(IF($M105&gt;$E105,
$E105,
IF($M105&lt;$E105/ROUNDDOWN([1]CRITERIOS!$M$16/_xlfn.XLOOKUP($C105,[1]CRITERIOS!$K$25:$K$42,[1]CRITERIOS!$M$25:$M$42),
1),
E105/ROUNDDOWN([1]CRITERIOS!$M$16/_xlfn.XLOOKUP($C105,[1]CRITERIOS!$K$25:$K$42,[1]CRITERIOS!$M$25:$M$42),
1),
$M105)),_xlfn.XLOOKUP(A105,'[1]DATOS PBI Artículos'!A:A,'[1]DATOS PBI Artículos'!Z:Z
)))))</f>
        <v>60000</v>
      </c>
      <c r="Q105" s="38">
        <f>IF(AND(O105="",N105=0),
0,
   IF(COUNTIF([1]CRITERIOS!$F$179:$F$199,$A105)&gt;=1,
   1,
   IF(R105="MTO",
      $D105,
      ROUNDUP(
                    IF(($E105-SUMIF('[1]DATOS PBI Artículos'!A:A,A105,'[1]DATOS PBI Artículos'!X:X)+($V105-_xlfn.XLOOKUP(A105,'[1]DATOS PBI Artículos'!A:A,'[1]DATOS PBI Artículos'!W:W)))&lt;0,
                    0,
                    IF(($E105-SUMIF('[1]DATOS PBI Artículos'!A:A,A105,'[1]DATOS PBI Artículos'!X:X)+$V105-_xlfn.XLOOKUP($A105,'[1]DATOS PBI Artículos'!A:A,'[1]DATOS PBI Artículos'!W:W))/IF($O105="",$N105,$O105)&gt;ROUNDUP([1]CRITERIOS!$M$16/(IF(COUNTIF([1]CRITERIOS!$BG$11:$BG$201,L105)&gt;=1,_xlfn.XLOOKUP($C105,[1]CRITERIOS!$K$25:$K$42,[1]CRITERIOS!$M$25:$M$42),_xlfn.XLOOKUP($C105,[1]CRITERIOS!$K$25:$K$42,[1]CRITERIOS!$M$25:$M$42))),0),
                    ROUNDUP([1]CRITERIOS!$M$16/(IF(COUNTIF([1]CRITERIOS!$BG$11:$BG$201,$L105)&gt;=1,_xlfn.XLOOKUP($C105,[1]CRITERIOS!$K$25:$K$42,[1]CRITERIOS!$M$25:$M$42),_xlfn.XLOOKUP($C105,[1]CRITERIOS!$K$25:$K$42,[1]CRITERIOS!$M$25:$M$42))),0),
                    (E105+V105-SUMIF('[1]DATOS PBI Artículos'!A:A,A105,'[1]DATOS PBI Artículos'!X:X)-_xlfn.XLOOKUP(A105,'[1]DATOS PBI Artículos'!A:A,'[1]DATOS PBI Artículos'!W:W))/IF($O105="",$N105,$O105))),0))))</f>
        <v>2</v>
      </c>
      <c r="R105" s="33" t="str">
        <f>IF(U105&lt;&gt;"",U105,IF(F105="DV","MTO",IF(N105=0,"MTO",_xlfn.XLOOKUP(CONCATENATE(S105,T105),[1]CRITERIOS!$K$160:$K$168,[1]CRITERIOS!$N$160:$N$168))))</f>
        <v>MTO</v>
      </c>
      <c r="S105" s="33" t="str">
        <f>IF(G105="DV","MTO",IF(N105=0,"MTO",IF(OR(AND(N105=0,O105=""),IF(O105="",G105/N105,G105/O105)&gt;[1]CRITERIOS!$G$163),"MTO",IF(IF(O105="",G105/N105,G105/O105)&lt;[1]CRITERIOS!$H$161,"MTS","MTOS"))))</f>
        <v>MTO</v>
      </c>
      <c r="T105" s="33" t="str">
        <f>IF(F105="DV","MTO",IF(OR(AND($N105=0,O105=""),$F105/$J105&gt;[1]CRITERIOS!$G$170,$F105="DV"),"MTO",IF($F105/$J105&lt;[1]CRITERIOS!$H$168,"MTS","MTOS")))</f>
        <v>MTO</v>
      </c>
      <c r="V105" s="34" t="str">
        <f t="shared" si="7"/>
        <v/>
      </c>
      <c r="X105" s="34">
        <f t="shared" si="5"/>
        <v>0</v>
      </c>
      <c r="Y105" s="34">
        <f t="shared" si="6"/>
        <v>0</v>
      </c>
      <c r="Z105" s="34">
        <f>IF($R105="MTO",
0,
($H105+$K105*($E105/[1]CRITERIOS!$M$16))/[1]CRITERIOS!$X$48)</f>
        <v>0</v>
      </c>
      <c r="AA105" s="34" t="e">
        <f>ROUNDUP(($Y105/_xlfn.XLOOKUP($A105,'[1]DATOS PBI Artículos'!$A$4:$A$4,'[1]DATOS PBI Artículos'!$Z$4:$Z$4))/_xlfn.XLOOKUP(_xlfn.XLOOKUP($A105,'[1]DATOS PBI Artículos'!$A$4:$A$4,'[1]DATOS PBI Artículos'!$Y$4:$Y$4),[1]CRITERIOS!$P$79:$P$123,[1]CRITERIOS!$S$79:$S$123,),0)</f>
        <v>#N/A</v>
      </c>
      <c r="AB105" s="33" t="e">
        <f t="array" ref="AB105">IF((E105+V105-_xlfn.XLOOKUP(A105,'[1]DATOS PBI Artículos'!$A$4:$A$4,'[1]DATOS PBI Artículos'!$W$4:$W$4))/N105&gt;ROUNDUP([1]CRITERIOS!$M$16/(IF(COUNTIF([1]CRITERIOS!$BG$11:$BG$201,L105)&gt;=1,_xlfn.XLOOKUP(ARTÍCULOS!L105,[1]CRITERIOS!$BG$11:$BG$201,[1]CRITERIOS!$BJ$11:$BJ$201),_xlfn.XLOOKUP(ARTÍCULOS!C105,[1]CRITERIOS!$K$25:$K$42,[1]CRITERIOS!$M$25:$M$42))),0),ROUNDUP([1]CRITERIOS!$M$16/(IF(COUNTIF([1]CRITERIOS!$BG$11:$BG$201,L105)&gt;=1,_xlfn.XLOOKUP(ARTÍCULOS!L105,[1]CRITERIOS!$BG$11:$BG$201:#REF!,[1]CRITERIOS!$BJ$11:$BJ$201),_xlfn.XLOOKUP(ARTÍCULOS!C105,[1]CRITERIOS!$K$25:$K$42,[1]CRITERIOS!$M$25:$M$42))),0),(E105+V105-_xlfn.XLOOKUP(A105,'[1]DATOS PBI Artículos'!$A$4:$A$4,'[1]DATOS PBI Artículos'!$W$4:$W$4))/N105)</f>
        <v>#VALUE!</v>
      </c>
      <c r="AC105" s="33" t="e">
        <f>IF(N105=0,"",(ROUNDUP((N105/2)/(_xlfn.XLOOKUP(A105,'[1]DATOS PBI Artículos'!$A$4:$A$4,'[1]DATOS PBI Artículos'!$Z$4:$Z$4)*_xlfn.XLOOKUP(_xlfn.XLOOKUP(A105,'[1]DATOS PBI Artículos'!$A$4:$A$4,'[1]DATOS PBI Artículos'!$Y$4:$Y$4),[1]CRITERIOS!$P$79:$P$123,[1]CRITERIOS!$S$79:$S$123)),0)*[1]CRITERIOS!$M$80*([1]CRITERIOS!$M$110/[1]CRITERIOS!$M$86)+(_xlfn.XLOOKUP(A105,'[1]DATOS PBI Artículos'!$A$4:$A$4,'[1]DATOS PBI Artículos'!$AA$4:$AA$4)*([1]CRITERIOS!$M$95+[1]CRITERIOS!$M$98)))/N105)</f>
        <v>#N/A</v>
      </c>
      <c r="AD105" s="33" t="e">
        <f>IF(N105=0,"",(ROUNDUP((N105/2)/(_xlfn.XLOOKUP(A105,'[1]DATOS PBI Artículos'!$A$4:$A$4,'[1]DATOS PBI Artículos'!$Z$4:$Z$4)*_xlfn.XLOOKUP(_xlfn.XLOOKUP(A105,'[1]DATOS PBI Artículos'!$A$4:$A$4,'[1]DATOS PBI Artículos'!$Y$4:$Y$4),[1]CRITERIOS!$P$79:$P$123,[1]CRITERIOS!$S$79:$S$123)),0)*[1]CRITERIOS!$M$80*([1]CRITERIOS!$M$89*[1]CRITERIOS!$M$92)+((_xlfn.XLOOKUP(A105,'[1]DATOS PBI Artículos'!$A$4:$A$4,'[1]DATOS PBI Artículos'!$AA$4:$AA$4)/2)*([1]CRITERIOS!$M$95+[1]CRITERIOS!$M$98)))/N105)</f>
        <v>#N/A</v>
      </c>
      <c r="AE105" s="39" t="str">
        <f>IF($R105="MTO","",
IF($H105=0,ROUNDUP(((_xlfn.XLOOKUP($A105,'[1]DATOS PBI Artículos'!$A:$A,'[1]DATOS PBI Artículos'!$AL:$AL))/(_xlfn.XLOOKUP($AF$1,[1]CRITERIOS!$S$16:$S$39,[1]CRITERIOS!$Y$16:$Y$39))*$J105+$Z105)/$G105,0)*$G105,
((_xlfn.XLOOKUP($A105,'[1]DATOS PBI Artículos'!$A:$A,'[1]DATOS PBI Artículos'!$AL:$AL))/(_xlfn.XLOOKUP($AF$1,[1]CRITERIOS!$S$16:$S$39,[1]CRITERIOS!$Y$16:$Y$39))*$J105+$Z105)))</f>
        <v/>
      </c>
      <c r="AG105" s="39" t="str">
        <f>IF($R105="MTO","",
IF($H105=0,ROUNDUP(((_xlfn.XLOOKUP($A105,'[1]DATOS PBI Artículos'!$A:$A,'[1]DATOS PBI Artículos'!$AM:$AM))/(_xlfn.XLOOKUP($AH$1,[1]CRITERIOS!$S$16:$S$39,[1]CRITERIOS!$Y$16:$Y$39))*$J105+$Z105)/$G105,0)*$G105,
((_xlfn.XLOOKUP($A105,'[1]DATOS PBI Artículos'!$A:$A,'[1]DATOS PBI Artículos'!$AM:$AM))/(_xlfn.XLOOKUP($AH$1,[1]CRITERIOS!$S$16:$S$39,[1]CRITERIOS!$Y$16:$Y$39))*$J105+$Z105)))</f>
        <v/>
      </c>
      <c r="AI105" s="39" t="str">
        <f>IF($R105="MTO","",
IF($H105=0,ROUNDUP(((_xlfn.XLOOKUP($A105,'[1]DATOS PBI Artículos'!$A:$A,'[1]DATOS PBI Artículos'!$AN:$AN))/(_xlfn.XLOOKUP($AJ$1,[1]CRITERIOS!$S$16:$S$39,[1]CRITERIOS!$Y$16:$Y$39))*$J105+$Z105)/$G105,0)*$G105,
((_xlfn.XLOOKUP($A105,'[1]DATOS PBI Artículos'!$A:$A,'[1]DATOS PBI Artículos'!$AN:$AN))/(_xlfn.XLOOKUP($AJ$1,[1]CRITERIOS!$S$16:$S$39,[1]CRITERIOS!$Y$16:$Y$39))*$J105+$Z105)))</f>
        <v/>
      </c>
      <c r="AK105" s="39" t="str">
        <f>IF($R105="MTO","",
IF($H105=0,ROUNDUP(((_xlfn.XLOOKUP($A105,'[1]DATOS PBI Artículos'!$A:$A,'[1]DATOS PBI Artículos'!$AO:$AO))/(_xlfn.XLOOKUP($AL$1,[1]CRITERIOS!$S$16:$S$39,[1]CRITERIOS!$Y$16:$Y$39))*$J105+$Z105)/$G105,0)*$G105,
((_xlfn.XLOOKUP($A105,'[1]DATOS PBI Artículos'!$A:$A,'[1]DATOS PBI Artículos'!$AO:$AO))/(_xlfn.XLOOKUP($AL$1,[1]CRITERIOS!$S$16:$S$39,[1]CRITERIOS!$Y$16:$Y$39))*$J105+$Z105)))</f>
        <v/>
      </c>
    </row>
    <row r="106" spans="1:37" ht="25.8" x14ac:dyDescent="0.5">
      <c r="A106" s="32">
        <v>453800</v>
      </c>
      <c r="B106" s="33">
        <f>_xlfn.XLOOKUP($A106,'[1]DATOS PBI Artículos'!A:A,'[1]DATOS PBI Artículos'!B:B)</f>
        <v>0</v>
      </c>
      <c r="C106" s="33" t="str">
        <f>_xlfn.XLOOKUP($A106,'[1]DATOS PBI Artículos'!A:A,'[1]DATOS PBI Artículos'!C:C)</f>
        <v>UA02</v>
      </c>
      <c r="D106" s="33">
        <f>_xlfn.XLOOKUP(A106,'[1]DATOS PBI Artículos'!A:A,'[1]DATOS PBI Artículos'!T:T)</f>
        <v>1</v>
      </c>
      <c r="E106" s="34">
        <f>IF(_xlfn.XLOOKUP($A106,'[1]DATOS PBI Artículos'!A:A,'[1]DATOS PBI Artículos'!AK:AK)="",_xlfn.XLOOKUP($A106,'[1]DATOS PBI Artículos'!A:A,'[1]DATOS PBI Artículos'!AJ:AJ),_xlfn.XLOOKUP($A106,'[1]DATOS PBI Artículos'!A:A,'[1]DATOS PBI Artículos'!AK:AK))</f>
        <v>93800</v>
      </c>
      <c r="F106" s="35">
        <f>_xlfn.XLOOKUP($A106,'[1]DATOS PBI Artículos'!A:A,'[1]DATOS PBI Artículos'!AP:AP)</f>
        <v>75</v>
      </c>
      <c r="G106" s="34">
        <f>_xlfn.XLOOKUP($A106,'[1]DATOS PBI Artículos'!A:A,'[1]DATOS PBI Artículos'!AR:AR)</f>
        <v>93800</v>
      </c>
      <c r="H106" s="34">
        <f>_xlfn.XLOOKUP($A106,'[1]DATOS PBI Artículos'!A:A,'[1]DATOS PBI Artículos'!AT:AT)</f>
        <v>0</v>
      </c>
      <c r="I106" s="34">
        <f>_xlfn.XLOOKUP($A106,'[1]DATOS PBI Artículos'!A:A,'[1]DATOS PBI Artículos'!AS:AS)</f>
        <v>93800</v>
      </c>
      <c r="J106" s="35">
        <f>IF(COUNTIF([1]CRITERIOS!$F$179:$F$199,$A106)&gt;=1,
 IF(O106&lt;&gt;"",
    (O106/_xlfn.XLOOKUP(CONCATENATE(A106,L106),[1]MÁQUINAS!A:A,[1]MÁQUINAS!D:D))/24,
    (N106/_xlfn.XLOOKUP(CONCATENATE(A106,L106),[1]MÁQUINAS!A:A,[1]MÁQUINAS!D:D))/24),
  _xlfn.XLOOKUP($A106,'[1]DATOS PBI Artículos'!A:A,'[1]DATOS PBI Artículos'!AU:AU))</f>
        <v>30</v>
      </c>
      <c r="K106" s="36">
        <f>_xlfn.XLOOKUP($A106,'[1]DATOS PBI Artículos'!A:A,'[1]DATOS PBI Artículos'!AV:AV)</f>
        <v>30.61590000854676</v>
      </c>
      <c r="L106" s="33">
        <f>_xlfn.XLOOKUP(A106,[1]MÁQUINAS!B:B,[1]MÁQUINAS!C:C)</f>
        <v>215</v>
      </c>
      <c r="M106" s="34">
        <f t="array" ref="M106">_xlfn.XLOOKUP(A106,'[1]DATOS PBI Artículos'!A:A,'[1]DATOS PBI Artículos'!AX:$AX)</f>
        <v>72151.673588553007</v>
      </c>
      <c r="N106" s="37">
        <f>IF(I106="DV",
E106,
IF(COUNTIF([1]CRITERIOS!$I$179:$I$199,$A106)&gt;=1,
_xlfn.XLOOKUP($A106,[1]CRITERIOS!$I$179:$I$199,[1]CRITERIOS!$J$179:$J$199),
IF(COUNTIF([1]CRITERIOS!$L$179:$L$199,$A106)&gt;=1,
_xlfn.CEILING.MATH(IF($M106&gt;$E106,
$E106,
IF($M106&lt;$E106/ROUNDDOWN([1]CRITERIOS!$M$16/_xlfn.XLOOKUP($C106,[1]CRITERIOS!$K$25:$K$42,[1]CRITERIOS!$M$25:$M$42),
1),
E106/ROUNDDOWN([1]CRITERIOS!$M$16/_xlfn.XLOOKUP($C106,[1]CRITERIOS!$K$25:$K$42,[1]CRITERIOS!$M$25:$M$42),
1),
$M106)),
_xlfn.XLOOKUP($A106,[1]CRITERIOS!$L$179:$L$200,[1]CRITERIOS!$M$179:$M$200)),
_xlfn.CEILING.MATH(IF($M106&gt;$E106,
$E106,
IF($M106&lt;$E106/ROUNDDOWN([1]CRITERIOS!$M$16/_xlfn.XLOOKUP($C106,[1]CRITERIOS!$K$25:$K$42,[1]CRITERIOS!$M$25:$M$42),
1),
E106/ROUNDDOWN([1]CRITERIOS!$M$16/_xlfn.XLOOKUP($C106,[1]CRITERIOS!$K$25:$K$42,[1]CRITERIOS!$M$25:$M$42),
1),
$M106)),_xlfn.XLOOKUP(A106,'[1]DATOS PBI Artículos'!A:A,'[1]DATOS PBI Artículos'!Z:Z
)))))</f>
        <v>80000</v>
      </c>
      <c r="Q106" s="38">
        <f>IF(AND(O106="",N106=0),
0,
   IF(COUNTIF([1]CRITERIOS!$F$179:$F$199,$A106)&gt;=1,
   1,
   IF(R106="MTO",
      $D106,
      ROUNDUP(
                    IF(($E106-SUMIF('[1]DATOS PBI Artículos'!A:A,A106,'[1]DATOS PBI Artículos'!X:X)+($V106-_xlfn.XLOOKUP(A106,'[1]DATOS PBI Artículos'!A:A,'[1]DATOS PBI Artículos'!W:W)))&lt;0,
                    0,
                    IF(($E106-SUMIF('[1]DATOS PBI Artículos'!A:A,A106,'[1]DATOS PBI Artículos'!X:X)+$V106-_xlfn.XLOOKUP($A106,'[1]DATOS PBI Artículos'!A:A,'[1]DATOS PBI Artículos'!W:W))/IF($O106="",$N106,$O106)&gt;ROUNDUP([1]CRITERIOS!$M$16/(IF(COUNTIF([1]CRITERIOS!$BG$11:$BG$201,L106)&gt;=1,_xlfn.XLOOKUP($C106,[1]CRITERIOS!$K$25:$K$42,[1]CRITERIOS!$M$25:$M$42),_xlfn.XLOOKUP($C106,[1]CRITERIOS!$K$25:$K$42,[1]CRITERIOS!$M$25:$M$42))),0),
                    ROUNDUP([1]CRITERIOS!$M$16/(IF(COUNTIF([1]CRITERIOS!$BG$11:$BG$201,$L106)&gt;=1,_xlfn.XLOOKUP($C106,[1]CRITERIOS!$K$25:$K$42,[1]CRITERIOS!$M$25:$M$42),_xlfn.XLOOKUP($C106,[1]CRITERIOS!$K$25:$K$42,[1]CRITERIOS!$M$25:$M$42))),0),
                    (E106+V106-SUMIF('[1]DATOS PBI Artículos'!A:A,A106,'[1]DATOS PBI Artículos'!X:X)-_xlfn.XLOOKUP(A106,'[1]DATOS PBI Artículos'!A:A,'[1]DATOS PBI Artículos'!W:W))/IF($O106="",$N106,$O106))),0))))</f>
        <v>1</v>
      </c>
      <c r="R106" s="33" t="str">
        <f>IF(U106&lt;&gt;"",U106,IF(F106="DV","MTO",IF(N106=0,"MTO",_xlfn.XLOOKUP(CONCATENATE(S106,T106),[1]CRITERIOS!$K$160:$K$168,[1]CRITERIOS!$N$160:$N$168))))</f>
        <v>MTO</v>
      </c>
      <c r="S106" s="33" t="str">
        <f>IF(G106="DV","MTO",IF(N106=0,"MTO",IF(OR(AND(N106=0,O106=""),IF(O106="",G106/N106,G106/O106)&gt;[1]CRITERIOS!$G$163),"MTO",IF(IF(O106="",G106/N106,G106/O106)&lt;[1]CRITERIOS!$H$161,"MTS","MTOS"))))</f>
        <v>MTO</v>
      </c>
      <c r="T106" s="33" t="str">
        <f>IF(F106="DV","MTO",IF(OR(AND($N106=0,O106=""),$F106/$J106&gt;[1]CRITERIOS!$G$170,$F106="DV"),"MTO",IF($F106/$J106&lt;[1]CRITERIOS!$H$168,"MTS","MTOS")))</f>
        <v>MTO</v>
      </c>
      <c r="V106" s="34" t="str">
        <f t="shared" si="7"/>
        <v/>
      </c>
      <c r="X106" s="34">
        <f t="shared" si="5"/>
        <v>0</v>
      </c>
      <c r="Y106" s="34">
        <f t="shared" si="6"/>
        <v>0</v>
      </c>
      <c r="Z106" s="34">
        <f>IF($R106="MTO",
0,
($H106+$K106*($E106/[1]CRITERIOS!$M$16))/[1]CRITERIOS!$X$48)</f>
        <v>0</v>
      </c>
      <c r="AA106" s="34" t="e">
        <f>ROUNDUP(($Y106/_xlfn.XLOOKUP($A106,'[1]DATOS PBI Artículos'!$A$4:$A$4,'[1]DATOS PBI Artículos'!$Z$4:$Z$4))/_xlfn.XLOOKUP(_xlfn.XLOOKUP($A106,'[1]DATOS PBI Artículos'!$A$4:$A$4,'[1]DATOS PBI Artículos'!$Y$4:$Y$4),[1]CRITERIOS!$P$79:$P$123,[1]CRITERIOS!$S$79:$S$123,),0)</f>
        <v>#N/A</v>
      </c>
      <c r="AB106" s="33" t="e">
        <f t="array" ref="AB106">IF((E106+V106-_xlfn.XLOOKUP(A106,'[1]DATOS PBI Artículos'!$A$4:$A$4,'[1]DATOS PBI Artículos'!$W$4:$W$4))/N106&gt;ROUNDUP([1]CRITERIOS!$M$16/(IF(COUNTIF([1]CRITERIOS!$BG$11:$BG$201,L106)&gt;=1,_xlfn.XLOOKUP(ARTÍCULOS!L106,[1]CRITERIOS!$BG$11:$BG$201,[1]CRITERIOS!$BJ$11:$BJ$201),_xlfn.XLOOKUP(ARTÍCULOS!C106,[1]CRITERIOS!$K$25:$K$42,[1]CRITERIOS!$M$25:$M$42))),0),ROUNDUP([1]CRITERIOS!$M$16/(IF(COUNTIF([1]CRITERIOS!$BG$11:$BG$201,L106)&gt;=1,_xlfn.XLOOKUP(ARTÍCULOS!L106,[1]CRITERIOS!$BG$11:$BG$201:#REF!,[1]CRITERIOS!$BJ$11:$BJ$201),_xlfn.XLOOKUP(ARTÍCULOS!C106,[1]CRITERIOS!$K$25:$K$42,[1]CRITERIOS!$M$25:$M$42))),0),(E106+V106-_xlfn.XLOOKUP(A106,'[1]DATOS PBI Artículos'!$A$4:$A$4,'[1]DATOS PBI Artículos'!$W$4:$W$4))/N106)</f>
        <v>#VALUE!</v>
      </c>
      <c r="AC106" s="33" t="e">
        <f>IF(N106=0,"",(ROUNDUP((N106/2)/(_xlfn.XLOOKUP(A106,'[1]DATOS PBI Artículos'!$A$4:$A$4,'[1]DATOS PBI Artículos'!$Z$4:$Z$4)*_xlfn.XLOOKUP(_xlfn.XLOOKUP(A106,'[1]DATOS PBI Artículos'!$A$4:$A$4,'[1]DATOS PBI Artículos'!$Y$4:$Y$4),[1]CRITERIOS!$P$79:$P$123,[1]CRITERIOS!$S$79:$S$123)),0)*[1]CRITERIOS!$M$80*([1]CRITERIOS!$M$110/[1]CRITERIOS!$M$86)+(_xlfn.XLOOKUP(A106,'[1]DATOS PBI Artículos'!$A$4:$A$4,'[1]DATOS PBI Artículos'!$AA$4:$AA$4)*([1]CRITERIOS!$M$95+[1]CRITERIOS!$M$98)))/N106)</f>
        <v>#N/A</v>
      </c>
      <c r="AD106" s="33" t="e">
        <f>IF(N106=0,"",(ROUNDUP((N106/2)/(_xlfn.XLOOKUP(A106,'[1]DATOS PBI Artículos'!$A$4:$A$4,'[1]DATOS PBI Artículos'!$Z$4:$Z$4)*_xlfn.XLOOKUP(_xlfn.XLOOKUP(A106,'[1]DATOS PBI Artículos'!$A$4:$A$4,'[1]DATOS PBI Artículos'!$Y$4:$Y$4),[1]CRITERIOS!$P$79:$P$123,[1]CRITERIOS!$S$79:$S$123)),0)*[1]CRITERIOS!$M$80*([1]CRITERIOS!$M$89*[1]CRITERIOS!$M$92)+((_xlfn.XLOOKUP(A106,'[1]DATOS PBI Artículos'!$A$4:$A$4,'[1]DATOS PBI Artículos'!$AA$4:$AA$4)/2)*([1]CRITERIOS!$M$95+[1]CRITERIOS!$M$98)))/N106)</f>
        <v>#N/A</v>
      </c>
      <c r="AE106" s="39" t="str">
        <f>IF($R106="MTO","",
IF($H106=0,ROUNDUP(((_xlfn.XLOOKUP($A106,'[1]DATOS PBI Artículos'!$A:$A,'[1]DATOS PBI Artículos'!$AL:$AL))/(_xlfn.XLOOKUP($AF$1,[1]CRITERIOS!$S$16:$S$39,[1]CRITERIOS!$Y$16:$Y$39))*$J106+$Z106)/$G106,0)*$G106,
((_xlfn.XLOOKUP($A106,'[1]DATOS PBI Artículos'!$A:$A,'[1]DATOS PBI Artículos'!$AL:$AL))/(_xlfn.XLOOKUP($AF$1,[1]CRITERIOS!$S$16:$S$39,[1]CRITERIOS!$Y$16:$Y$39))*$J106+$Z106)))</f>
        <v/>
      </c>
      <c r="AG106" s="39" t="str">
        <f>IF($R106="MTO","",
IF($H106=0,ROUNDUP(((_xlfn.XLOOKUP($A106,'[1]DATOS PBI Artículos'!$A:$A,'[1]DATOS PBI Artículos'!$AM:$AM))/(_xlfn.XLOOKUP($AH$1,[1]CRITERIOS!$S$16:$S$39,[1]CRITERIOS!$Y$16:$Y$39))*$J106+$Z106)/$G106,0)*$G106,
((_xlfn.XLOOKUP($A106,'[1]DATOS PBI Artículos'!$A:$A,'[1]DATOS PBI Artículos'!$AM:$AM))/(_xlfn.XLOOKUP($AH$1,[1]CRITERIOS!$S$16:$S$39,[1]CRITERIOS!$Y$16:$Y$39))*$J106+$Z106)))</f>
        <v/>
      </c>
      <c r="AI106" s="39" t="str">
        <f>IF($R106="MTO","",
IF($H106=0,ROUNDUP(((_xlfn.XLOOKUP($A106,'[1]DATOS PBI Artículos'!$A:$A,'[1]DATOS PBI Artículos'!$AN:$AN))/(_xlfn.XLOOKUP($AJ$1,[1]CRITERIOS!$S$16:$S$39,[1]CRITERIOS!$Y$16:$Y$39))*$J106+$Z106)/$G106,0)*$G106,
((_xlfn.XLOOKUP($A106,'[1]DATOS PBI Artículos'!$A:$A,'[1]DATOS PBI Artículos'!$AN:$AN))/(_xlfn.XLOOKUP($AJ$1,[1]CRITERIOS!$S$16:$S$39,[1]CRITERIOS!$Y$16:$Y$39))*$J106+$Z106)))</f>
        <v/>
      </c>
      <c r="AK106" s="39" t="str">
        <f>IF($R106="MTO","",
IF($H106=0,ROUNDUP(((_xlfn.XLOOKUP($A106,'[1]DATOS PBI Artículos'!$A:$A,'[1]DATOS PBI Artículos'!$AO:$AO))/(_xlfn.XLOOKUP($AL$1,[1]CRITERIOS!$S$16:$S$39,[1]CRITERIOS!$Y$16:$Y$39))*$J106+$Z106)/$G106,0)*$G106,
((_xlfn.XLOOKUP($A106,'[1]DATOS PBI Artículos'!$A:$A,'[1]DATOS PBI Artículos'!$AO:$AO))/(_xlfn.XLOOKUP($AL$1,[1]CRITERIOS!$S$16:$S$39,[1]CRITERIOS!$Y$16:$Y$39))*$J106+$Z106)))</f>
        <v/>
      </c>
    </row>
    <row r="107" spans="1:37" ht="25.8" x14ac:dyDescent="0.5">
      <c r="A107" s="32" t="s">
        <v>73</v>
      </c>
      <c r="B107" s="33">
        <f>_xlfn.XLOOKUP($A107,'[1]DATOS PBI Artículos'!A:A,'[1]DATOS PBI Artículos'!B:B)</f>
        <v>0</v>
      </c>
      <c r="C107" s="33" t="str">
        <f>_xlfn.XLOOKUP($A107,'[1]DATOS PBI Artículos'!A:A,'[1]DATOS PBI Artículos'!C:C)</f>
        <v>UA03</v>
      </c>
      <c r="D107" s="33">
        <f>_xlfn.XLOOKUP(A107,'[1]DATOS PBI Artículos'!A:A,'[1]DATOS PBI Artículos'!T:T)</f>
        <v>3</v>
      </c>
      <c r="E107" s="34">
        <f>IF(_xlfn.XLOOKUP($A107,'[1]DATOS PBI Artículos'!A:A,'[1]DATOS PBI Artículos'!AK:AK)="",_xlfn.XLOOKUP($A107,'[1]DATOS PBI Artículos'!A:A,'[1]DATOS PBI Artículos'!AJ:AJ),_xlfn.XLOOKUP($A107,'[1]DATOS PBI Artículos'!A:A,'[1]DATOS PBI Artículos'!AK:AK))</f>
        <v>90720</v>
      </c>
      <c r="F107" s="35">
        <f>_xlfn.XLOOKUP($A107,'[1]DATOS PBI Artículos'!A:A,'[1]DATOS PBI Artículos'!AP:AP)</f>
        <v>28</v>
      </c>
      <c r="G107" s="34">
        <f>_xlfn.XLOOKUP($A107,'[1]DATOS PBI Artículos'!A:A,'[1]DATOS PBI Artículos'!AR:AR)</f>
        <v>30240</v>
      </c>
      <c r="H107" s="34">
        <f>_xlfn.XLOOKUP($A107,'[1]DATOS PBI Artículos'!A:A,'[1]DATOS PBI Artículos'!AT:AT)</f>
        <v>0</v>
      </c>
      <c r="I107" s="34">
        <f>_xlfn.XLOOKUP($A107,'[1]DATOS PBI Artículos'!A:A,'[1]DATOS PBI Artículos'!AS:AS)</f>
        <v>30240</v>
      </c>
      <c r="J107" s="35">
        <f>IF(COUNTIF([1]CRITERIOS!$F$179:$F$199,$A107)&gt;=1,
 IF(O107&lt;&gt;"",
    (O107/_xlfn.XLOOKUP(CONCATENATE(A107,L107),[1]MÁQUINAS!A:A,[1]MÁQUINAS!D:D))/24,
    (N107/_xlfn.XLOOKUP(CONCATENATE(A107,L107),[1]MÁQUINAS!A:A,[1]MÁQUINAS!D:D))/24),
  _xlfn.XLOOKUP($A107,'[1]DATOS PBI Artículos'!A:A,'[1]DATOS PBI Artículos'!AU:AU))</f>
        <v>13</v>
      </c>
      <c r="K107" s="36">
        <f>_xlfn.XLOOKUP($A107,'[1]DATOS PBI Artículos'!A:A,'[1]DATOS PBI Artículos'!AV:AV)</f>
        <v>0</v>
      </c>
      <c r="L107" s="33">
        <f>_xlfn.XLOOKUP(A107,[1]MÁQUINAS!B:B,[1]MÁQUINAS!C:C)</f>
        <v>142</v>
      </c>
      <c r="M107" s="34">
        <f t="array" ref="M107">_xlfn.XLOOKUP(A107,'[1]DATOS PBI Artículos'!A:A,'[1]DATOS PBI Artículos'!AX:$AX)</f>
        <v>48645.137426036803</v>
      </c>
      <c r="N107" s="37">
        <f>IF(I107="DV",
E107,
IF(COUNTIF([1]CRITERIOS!$I$179:$I$199,$A107)&gt;=1,
_xlfn.XLOOKUP($A107,[1]CRITERIOS!$I$179:$I$199,[1]CRITERIOS!$J$179:$J$199),
IF(COUNTIF([1]CRITERIOS!$L$179:$L$199,$A107)&gt;=1,
_xlfn.CEILING.MATH(IF($M107&gt;$E107,
$E107,
IF($M107&lt;$E107/ROUNDDOWN([1]CRITERIOS!$M$16/_xlfn.XLOOKUP($C107,[1]CRITERIOS!$K$25:$K$42,[1]CRITERIOS!$M$25:$M$42),
1),
E107/ROUNDDOWN([1]CRITERIOS!$M$16/_xlfn.XLOOKUP($C107,[1]CRITERIOS!$K$25:$K$42,[1]CRITERIOS!$M$25:$M$42),
1),
$M107)),
_xlfn.XLOOKUP($A107,[1]CRITERIOS!$L$179:$L$200,[1]CRITERIOS!$M$179:$M$200)),
_xlfn.CEILING.MATH(IF($M107&gt;$E107,
$E107,
IF($M107&lt;$E107/ROUNDDOWN([1]CRITERIOS!$M$16/_xlfn.XLOOKUP($C107,[1]CRITERIOS!$K$25:$K$42,[1]CRITERIOS!$M$25:$M$42),
1),
E107/ROUNDDOWN([1]CRITERIOS!$M$16/_xlfn.XLOOKUP($C107,[1]CRITERIOS!$K$25:$K$42,[1]CRITERIOS!$M$25:$M$42),
1),
$M107)),_xlfn.XLOOKUP(A107,'[1]DATOS PBI Artículos'!A:A,'[1]DATOS PBI Artículos'!Z:Z
)))))</f>
        <v>50400</v>
      </c>
      <c r="Q107" s="38">
        <f>IF(AND(O107="",N107=0),
0,
   IF(COUNTIF([1]CRITERIOS!$F$179:$F$199,$A107)&gt;=1,
   1,
   IF(R107="MTO",
      $D107,
      ROUNDUP(
                    IF(($E107-SUMIF('[1]DATOS PBI Artículos'!A:A,A107,'[1]DATOS PBI Artículos'!X:X)+($V107-_xlfn.XLOOKUP(A107,'[1]DATOS PBI Artículos'!A:A,'[1]DATOS PBI Artículos'!W:W)))&lt;0,
                    0,
                    IF(($E107-SUMIF('[1]DATOS PBI Artículos'!A:A,A107,'[1]DATOS PBI Artículos'!X:X)+$V107-_xlfn.XLOOKUP($A107,'[1]DATOS PBI Artículos'!A:A,'[1]DATOS PBI Artículos'!W:W))/IF($O107="",$N107,$O107)&gt;ROUNDUP([1]CRITERIOS!$M$16/(IF(COUNTIF([1]CRITERIOS!$BG$11:$BG$201,L107)&gt;=1,_xlfn.XLOOKUP($C107,[1]CRITERIOS!$K$25:$K$42,[1]CRITERIOS!$M$25:$M$42),_xlfn.XLOOKUP($C107,[1]CRITERIOS!$K$25:$K$42,[1]CRITERIOS!$M$25:$M$42))),0),
                    ROUNDUP([1]CRITERIOS!$M$16/(IF(COUNTIF([1]CRITERIOS!$BG$11:$BG$201,$L107)&gt;=1,_xlfn.XLOOKUP($C107,[1]CRITERIOS!$K$25:$K$42,[1]CRITERIOS!$M$25:$M$42),_xlfn.XLOOKUP($C107,[1]CRITERIOS!$K$25:$K$42,[1]CRITERIOS!$M$25:$M$42))),0),
                    (E107+V107-SUMIF('[1]DATOS PBI Artículos'!A:A,A107,'[1]DATOS PBI Artículos'!X:X)-_xlfn.XLOOKUP(A107,'[1]DATOS PBI Artículos'!A:A,'[1]DATOS PBI Artículos'!W:W))/IF($O107="",$N107,$O107))),0))))</f>
        <v>3</v>
      </c>
      <c r="R107" s="33" t="str">
        <f>IF(U107&lt;&gt;"",U107,IF(F107="DV","MTO",IF(N107=0,"MTO",_xlfn.XLOOKUP(CONCATENATE(S107,T107),[1]CRITERIOS!$K$160:$K$168,[1]CRITERIOS!$N$160:$N$168))))</f>
        <v>MTO</v>
      </c>
      <c r="S107" s="33" t="str">
        <f>IF(G107="DV","MTO",IF(N107=0,"MTO",IF(OR(AND(N107=0,O107=""),IF(O107="",G107/N107,G107/O107)&gt;[1]CRITERIOS!$G$163),"MTO",IF(IF(O107="",G107/N107,G107/O107)&lt;[1]CRITERIOS!$H$161,"MTS","MTOS"))))</f>
        <v>MTOS</v>
      </c>
      <c r="T107" s="33" t="str">
        <f>IF(F107="DV","MTO",IF(OR(AND($N107=0,O107=""),$F107/$J107&gt;[1]CRITERIOS!$G$170,$F107="DV"),"MTO",IF($F107/$J107&lt;[1]CRITERIOS!$H$168,"MTS","MTOS")))</f>
        <v>MTO</v>
      </c>
      <c r="V107" s="34" t="str">
        <f t="shared" si="7"/>
        <v/>
      </c>
      <c r="X107" s="34">
        <f t="shared" si="5"/>
        <v>0</v>
      </c>
      <c r="Y107" s="34">
        <f t="shared" si="6"/>
        <v>0</v>
      </c>
      <c r="Z107" s="34">
        <f>IF($R107="MTO",
0,
($H107+$K107*($E107/[1]CRITERIOS!$M$16))/[1]CRITERIOS!$X$48)</f>
        <v>0</v>
      </c>
      <c r="AA107" s="34" t="e">
        <f>ROUNDUP(($Y107/_xlfn.XLOOKUP($A107,'[1]DATOS PBI Artículos'!$A$4:$A$4,'[1]DATOS PBI Artículos'!$Z$4:$Z$4))/_xlfn.XLOOKUP(_xlfn.XLOOKUP($A107,'[1]DATOS PBI Artículos'!$A$4:$A$4,'[1]DATOS PBI Artículos'!$Y$4:$Y$4),[1]CRITERIOS!$P$79:$P$123,[1]CRITERIOS!$S$79:$S$123,),0)</f>
        <v>#N/A</v>
      </c>
      <c r="AB107" s="33" t="e">
        <f t="array" ref="AB107">IF((E107+V107-_xlfn.XLOOKUP(A107,'[1]DATOS PBI Artículos'!$A$4:$A$4,'[1]DATOS PBI Artículos'!$W$4:$W$4))/N107&gt;ROUNDUP([1]CRITERIOS!$M$16/(IF(COUNTIF([1]CRITERIOS!$BG$11:$BG$201,L107)&gt;=1,_xlfn.XLOOKUP(ARTÍCULOS!L107,[1]CRITERIOS!$BG$11:$BG$201,[1]CRITERIOS!$BJ$11:$BJ$201),_xlfn.XLOOKUP(ARTÍCULOS!C107,[1]CRITERIOS!$K$25:$K$42,[1]CRITERIOS!$M$25:$M$42))),0),ROUNDUP([1]CRITERIOS!$M$16/(IF(COUNTIF([1]CRITERIOS!$BG$11:$BG$201,L107)&gt;=1,_xlfn.XLOOKUP(ARTÍCULOS!L107,[1]CRITERIOS!$BG$11:$BG$201:#REF!,[1]CRITERIOS!$BJ$11:$BJ$201),_xlfn.XLOOKUP(ARTÍCULOS!C107,[1]CRITERIOS!$K$25:$K$42,[1]CRITERIOS!$M$25:$M$42))),0),(E107+V107-_xlfn.XLOOKUP(A107,'[1]DATOS PBI Artículos'!$A$4:$A$4,'[1]DATOS PBI Artículos'!$W$4:$W$4))/N107)</f>
        <v>#VALUE!</v>
      </c>
      <c r="AC107" s="33" t="e">
        <f>IF(N107=0,"",(ROUNDUP((N107/2)/(_xlfn.XLOOKUP(A107,'[1]DATOS PBI Artículos'!$A$4:$A$4,'[1]DATOS PBI Artículos'!$Z$4:$Z$4)*_xlfn.XLOOKUP(_xlfn.XLOOKUP(A107,'[1]DATOS PBI Artículos'!$A$4:$A$4,'[1]DATOS PBI Artículos'!$Y$4:$Y$4),[1]CRITERIOS!$P$79:$P$123,[1]CRITERIOS!$S$79:$S$123)),0)*[1]CRITERIOS!$M$80*([1]CRITERIOS!$M$110/[1]CRITERIOS!$M$86)+(_xlfn.XLOOKUP(A107,'[1]DATOS PBI Artículos'!$A$4:$A$4,'[1]DATOS PBI Artículos'!$AA$4:$AA$4)*([1]CRITERIOS!$M$95+[1]CRITERIOS!$M$98)))/N107)</f>
        <v>#N/A</v>
      </c>
      <c r="AD107" s="33" t="e">
        <f>IF(N107=0,"",(ROUNDUP((N107/2)/(_xlfn.XLOOKUP(A107,'[1]DATOS PBI Artículos'!$A$4:$A$4,'[1]DATOS PBI Artículos'!$Z$4:$Z$4)*_xlfn.XLOOKUP(_xlfn.XLOOKUP(A107,'[1]DATOS PBI Artículos'!$A$4:$A$4,'[1]DATOS PBI Artículos'!$Y$4:$Y$4),[1]CRITERIOS!$P$79:$P$123,[1]CRITERIOS!$S$79:$S$123)),0)*[1]CRITERIOS!$M$80*([1]CRITERIOS!$M$89*[1]CRITERIOS!$M$92)+((_xlfn.XLOOKUP(A107,'[1]DATOS PBI Artículos'!$A$4:$A$4,'[1]DATOS PBI Artículos'!$AA$4:$AA$4)/2)*([1]CRITERIOS!$M$95+[1]CRITERIOS!$M$98)))/N107)</f>
        <v>#N/A</v>
      </c>
      <c r="AE107" s="39" t="str">
        <f>IF($R107="MTO","",
IF($H107=0,ROUNDUP(((_xlfn.XLOOKUP($A107,'[1]DATOS PBI Artículos'!$A:$A,'[1]DATOS PBI Artículos'!$AL:$AL))/(_xlfn.XLOOKUP($AF$1,[1]CRITERIOS!$S$16:$S$39,[1]CRITERIOS!$Y$16:$Y$39))*$J107+$Z107)/$G107,0)*$G107,
((_xlfn.XLOOKUP($A107,'[1]DATOS PBI Artículos'!$A:$A,'[1]DATOS PBI Artículos'!$AL:$AL))/(_xlfn.XLOOKUP($AF$1,[1]CRITERIOS!$S$16:$S$39,[1]CRITERIOS!$Y$16:$Y$39))*$J107+$Z107)))</f>
        <v/>
      </c>
      <c r="AG107" s="39" t="str">
        <f>IF($R107="MTO","",
IF($H107=0,ROUNDUP(((_xlfn.XLOOKUP($A107,'[1]DATOS PBI Artículos'!$A:$A,'[1]DATOS PBI Artículos'!$AM:$AM))/(_xlfn.XLOOKUP($AH$1,[1]CRITERIOS!$S$16:$S$39,[1]CRITERIOS!$Y$16:$Y$39))*$J107+$Z107)/$G107,0)*$G107,
((_xlfn.XLOOKUP($A107,'[1]DATOS PBI Artículos'!$A:$A,'[1]DATOS PBI Artículos'!$AM:$AM))/(_xlfn.XLOOKUP($AH$1,[1]CRITERIOS!$S$16:$S$39,[1]CRITERIOS!$Y$16:$Y$39))*$J107+$Z107)))</f>
        <v/>
      </c>
      <c r="AI107" s="39" t="str">
        <f>IF($R107="MTO","",
IF($H107=0,ROUNDUP(((_xlfn.XLOOKUP($A107,'[1]DATOS PBI Artículos'!$A:$A,'[1]DATOS PBI Artículos'!$AN:$AN))/(_xlfn.XLOOKUP($AJ$1,[1]CRITERIOS!$S$16:$S$39,[1]CRITERIOS!$Y$16:$Y$39))*$J107+$Z107)/$G107,0)*$G107,
((_xlfn.XLOOKUP($A107,'[1]DATOS PBI Artículos'!$A:$A,'[1]DATOS PBI Artículos'!$AN:$AN))/(_xlfn.XLOOKUP($AJ$1,[1]CRITERIOS!$S$16:$S$39,[1]CRITERIOS!$Y$16:$Y$39))*$J107+$Z107)))</f>
        <v/>
      </c>
      <c r="AK107" s="39" t="str">
        <f>IF($R107="MTO","",
IF($H107=0,ROUNDUP(((_xlfn.XLOOKUP($A107,'[1]DATOS PBI Artículos'!$A:$A,'[1]DATOS PBI Artículos'!$AO:$AO))/(_xlfn.XLOOKUP($AL$1,[1]CRITERIOS!$S$16:$S$39,[1]CRITERIOS!$Y$16:$Y$39))*$J107+$Z107)/$G107,0)*$G107,
((_xlfn.XLOOKUP($A107,'[1]DATOS PBI Artículos'!$A:$A,'[1]DATOS PBI Artículos'!$AO:$AO))/(_xlfn.XLOOKUP($AL$1,[1]CRITERIOS!$S$16:$S$39,[1]CRITERIOS!$Y$16:$Y$39))*$J107+$Z107)))</f>
        <v/>
      </c>
    </row>
    <row r="108" spans="1:37" ht="25.8" x14ac:dyDescent="0.5">
      <c r="A108" s="32" t="s">
        <v>74</v>
      </c>
      <c r="B108" s="33">
        <f>_xlfn.XLOOKUP($A108,'[1]DATOS PBI Artículos'!A:A,'[1]DATOS PBI Artículos'!B:B)</f>
        <v>0</v>
      </c>
      <c r="C108" s="33" t="str">
        <f>_xlfn.XLOOKUP($A108,'[1]DATOS PBI Artículos'!A:A,'[1]DATOS PBI Artículos'!C:C)</f>
        <v>UA01</v>
      </c>
      <c r="D108" s="33">
        <f>_xlfn.XLOOKUP(A108,'[1]DATOS PBI Artículos'!A:A,'[1]DATOS PBI Artículos'!T:T)</f>
        <v>7</v>
      </c>
      <c r="E108" s="34">
        <f>IF(_xlfn.XLOOKUP($A108,'[1]DATOS PBI Artículos'!A:A,'[1]DATOS PBI Artículos'!AK:AK)="",_xlfn.XLOOKUP($A108,'[1]DATOS PBI Artículos'!A:A,'[1]DATOS PBI Artículos'!AJ:AJ),_xlfn.XLOOKUP($A108,'[1]DATOS PBI Artículos'!A:A,'[1]DATOS PBI Artículos'!AK:AK))</f>
        <v>90000</v>
      </c>
      <c r="F108" s="35">
        <f>_xlfn.XLOOKUP($A108,'[1]DATOS PBI Artículos'!A:A,'[1]DATOS PBI Artículos'!AP:AP)</f>
        <v>11.4</v>
      </c>
      <c r="G108" s="34">
        <f>_xlfn.XLOOKUP($A108,'[1]DATOS PBI Artículos'!A:A,'[1]DATOS PBI Artículos'!AR:AR)</f>
        <v>15000</v>
      </c>
      <c r="H108" s="34">
        <f>_xlfn.XLOOKUP($A108,'[1]DATOS PBI Artículos'!A:A,'[1]DATOS PBI Artículos'!AT:AT)</f>
        <v>6572.6706900619938</v>
      </c>
      <c r="I108" s="34">
        <f>_xlfn.XLOOKUP($A108,'[1]DATOS PBI Artículos'!A:A,'[1]DATOS PBI Artículos'!AS:AS)</f>
        <v>3000</v>
      </c>
      <c r="J108" s="35">
        <f>IF(COUNTIF([1]CRITERIOS!$F$179:$F$199,$A108)&gt;=1,
 IF(O108&lt;&gt;"",
    (O108/_xlfn.XLOOKUP(CONCATENATE(A108,L108),[1]MÁQUINAS!A:A,[1]MÁQUINAS!D:D))/24,
    (N108/_xlfn.XLOOKUP(CONCATENATE(A108,L108),[1]MÁQUINAS!A:A,[1]MÁQUINAS!D:D))/24),
  _xlfn.XLOOKUP($A108,'[1]DATOS PBI Artículos'!A:A,'[1]DATOS PBI Artículos'!AU:AU))</f>
        <v>17.76923076923077</v>
      </c>
      <c r="K108" s="36">
        <f>_xlfn.XLOOKUP($A108,'[1]DATOS PBI Artículos'!A:A,'[1]DATOS PBI Artículos'!AV:AV)</f>
        <v>4.4750017905740576</v>
      </c>
      <c r="L108" s="33">
        <f>_xlfn.XLOOKUP(A108,[1]MÁQUINAS!B:B,[1]MÁQUINAS!C:C)</f>
        <v>500</v>
      </c>
      <c r="M108" s="34">
        <f t="array" ref="M108">_xlfn.XLOOKUP(A108,'[1]DATOS PBI Artículos'!A:A,'[1]DATOS PBI Artículos'!AX:$AX)</f>
        <v>54798.451963398089</v>
      </c>
      <c r="N108" s="37">
        <f>IF(I108="DV",
E108,
IF(COUNTIF([1]CRITERIOS!$I$179:$I$199,$A108)&gt;=1,
_xlfn.XLOOKUP($A108,[1]CRITERIOS!$I$179:$I$199,[1]CRITERIOS!$J$179:$J$199),
IF(COUNTIF([1]CRITERIOS!$L$179:$L$199,$A108)&gt;=1,
_xlfn.CEILING.MATH(IF($M108&gt;$E108,
$E108,
IF($M108&lt;$E108/ROUNDDOWN([1]CRITERIOS!$M$16/_xlfn.XLOOKUP($C108,[1]CRITERIOS!$K$25:$K$42,[1]CRITERIOS!$M$25:$M$42),
1),
E108/ROUNDDOWN([1]CRITERIOS!$M$16/_xlfn.XLOOKUP($C108,[1]CRITERIOS!$K$25:$K$42,[1]CRITERIOS!$M$25:$M$42),
1),
$M108)),
_xlfn.XLOOKUP($A108,[1]CRITERIOS!$L$179:$L$200,[1]CRITERIOS!$M$179:$M$200)),
_xlfn.CEILING.MATH(IF($M108&gt;$E108,
$E108,
IF($M108&lt;$E108/ROUNDDOWN([1]CRITERIOS!$M$16/_xlfn.XLOOKUP($C108,[1]CRITERIOS!$K$25:$K$42,[1]CRITERIOS!$M$25:$M$42),
1),
E108/ROUNDDOWN([1]CRITERIOS!$M$16/_xlfn.XLOOKUP($C108,[1]CRITERIOS!$K$25:$K$42,[1]CRITERIOS!$M$25:$M$42),
1),
$M108)),_xlfn.XLOOKUP(A108,'[1]DATOS PBI Artículos'!A:A,'[1]DATOS PBI Artículos'!Z:Z
)))))</f>
        <v>57000</v>
      </c>
      <c r="Q108" s="38">
        <f>IF(AND(O108="",N108=0),
0,
   IF(COUNTIF([1]CRITERIOS!$F$179:$F$199,$A108)&gt;=1,
   1,
   IF(R108="MTO",
      $D108,
      ROUNDUP(
                    IF(($E108-SUMIF('[1]DATOS PBI Artículos'!A:A,A108,'[1]DATOS PBI Artículos'!X:X)+($V108-_xlfn.XLOOKUP(A108,'[1]DATOS PBI Artículos'!A:A,'[1]DATOS PBI Artículos'!W:W)))&lt;0,
                    0,
                    IF(($E108-SUMIF('[1]DATOS PBI Artículos'!A:A,A108,'[1]DATOS PBI Artículos'!X:X)+$V108-_xlfn.XLOOKUP($A108,'[1]DATOS PBI Artículos'!A:A,'[1]DATOS PBI Artículos'!W:W))/IF($O108="",$N108,$O108)&gt;ROUNDUP([1]CRITERIOS!$M$16/(IF(COUNTIF([1]CRITERIOS!$BG$11:$BG$201,L108)&gt;=1,_xlfn.XLOOKUP($C108,[1]CRITERIOS!$K$25:$K$42,[1]CRITERIOS!$M$25:$M$42),_xlfn.XLOOKUP($C108,[1]CRITERIOS!$K$25:$K$42,[1]CRITERIOS!$M$25:$M$42))),0),
                    ROUNDUP([1]CRITERIOS!$M$16/(IF(COUNTIF([1]CRITERIOS!$BG$11:$BG$201,$L108)&gt;=1,_xlfn.XLOOKUP($C108,[1]CRITERIOS!$K$25:$K$42,[1]CRITERIOS!$M$25:$M$42),_xlfn.XLOOKUP($C108,[1]CRITERIOS!$K$25:$K$42,[1]CRITERIOS!$M$25:$M$42))),0),
                    (E108+V108-SUMIF('[1]DATOS PBI Artículos'!A:A,A108,'[1]DATOS PBI Artículos'!X:X)-_xlfn.XLOOKUP(A108,'[1]DATOS PBI Artículos'!A:A,'[1]DATOS PBI Artículos'!W:W))/IF($O108="",$N108,$O108))),0))))</f>
        <v>2</v>
      </c>
      <c r="R108" s="33" t="str">
        <f>IF(U108&lt;&gt;"",U108,IF(F108="DV","MTO",IF(N108=0,"MTO",_xlfn.XLOOKUP(CONCATENATE(S108,T108),[1]CRITERIOS!$K$160:$K$168,[1]CRITERIOS!$N$160:$N$168))))</f>
        <v>MTS</v>
      </c>
      <c r="S108" s="33" t="str">
        <f>IF(G108="DV","MTO",IF(N108=0,"MTO",IF(OR(AND(N108=0,O108=""),IF(O108="",G108/N108,G108/O108)&gt;[1]CRITERIOS!$G$163),"MTO",IF(IF(O108="",G108/N108,G108/O108)&lt;[1]CRITERIOS!$H$161,"MTS","MTOS"))))</f>
        <v>MTS</v>
      </c>
      <c r="T108" s="33" t="str">
        <f>IF(F108="DV","MTO",IF(OR(AND($N108=0,O108=""),$F108/$J108&gt;[1]CRITERIOS!$G$170,$F108="DV"),"MTO",IF($F108/$J108&lt;[1]CRITERIOS!$H$168,"MTS","MTOS")))</f>
        <v>MTS</v>
      </c>
      <c r="V108" s="34">
        <f t="shared" si="7"/>
        <v>33332.794167245156</v>
      </c>
      <c r="X108" s="34">
        <f t="shared" si="5"/>
        <v>90332.794167245156</v>
      </c>
      <c r="Y108" s="34">
        <f t="shared" si="6"/>
        <v>38452.227365625717</v>
      </c>
      <c r="Z108" s="34">
        <f>IF($R108="MTO",
0,
($H108+$K108*($E108/[1]CRITERIOS!$M$16))/[1]CRITERIOS!$X$48)</f>
        <v>9952.2273656257203</v>
      </c>
      <c r="AA108" s="34" t="e">
        <f>ROUNDUP(($Y108/_xlfn.XLOOKUP($A108,'[1]DATOS PBI Artículos'!$A$4:$A$4,'[1]DATOS PBI Artículos'!$Z$4:$Z$4))/_xlfn.XLOOKUP(_xlfn.XLOOKUP($A108,'[1]DATOS PBI Artículos'!$A$4:$A$4,'[1]DATOS PBI Artículos'!$Y$4:$Y$4),[1]CRITERIOS!$P$79:$P$123,[1]CRITERIOS!$S$79:$S$123,),0)</f>
        <v>#N/A</v>
      </c>
      <c r="AB108" s="33" t="e">
        <f t="array" ref="AB108">IF((E108+V108-_xlfn.XLOOKUP(A108,'[1]DATOS PBI Artículos'!$A$4:$A$4,'[1]DATOS PBI Artículos'!$W$4:$W$4))/N108&gt;ROUNDUP([1]CRITERIOS!$M$16/(IF(COUNTIF([1]CRITERIOS!$BG$11:$BG$201,L108)&gt;=1,_xlfn.XLOOKUP(ARTÍCULOS!L108,[1]CRITERIOS!$BG$11:$BG$201,[1]CRITERIOS!$BJ$11:$BJ$201),_xlfn.XLOOKUP(ARTÍCULOS!C108,[1]CRITERIOS!$K$25:$K$42,[1]CRITERIOS!$M$25:$M$42))),0),ROUNDUP([1]CRITERIOS!$M$16/(IF(COUNTIF([1]CRITERIOS!$BG$11:$BG$201,L108)&gt;=1,_xlfn.XLOOKUP(ARTÍCULOS!L108,[1]CRITERIOS!$BG$11:$BG$201:#REF!,[1]CRITERIOS!$BJ$11:$BJ$201),_xlfn.XLOOKUP(ARTÍCULOS!C108,[1]CRITERIOS!$K$25:$K$42,[1]CRITERIOS!$M$25:$M$42))),0),(E108+V108-_xlfn.XLOOKUP(A108,'[1]DATOS PBI Artículos'!$A$4:$A$4,'[1]DATOS PBI Artículos'!$W$4:$W$4))/N108)</f>
        <v>#N/A</v>
      </c>
      <c r="AC108" s="33" t="e">
        <f>IF(N108=0,"",(ROUNDUP((N108/2)/(_xlfn.XLOOKUP(A108,'[1]DATOS PBI Artículos'!$A$4:$A$4,'[1]DATOS PBI Artículos'!$Z$4:$Z$4)*_xlfn.XLOOKUP(_xlfn.XLOOKUP(A108,'[1]DATOS PBI Artículos'!$A$4:$A$4,'[1]DATOS PBI Artículos'!$Y$4:$Y$4),[1]CRITERIOS!$P$79:$P$123,[1]CRITERIOS!$S$79:$S$123)),0)*[1]CRITERIOS!$M$80*([1]CRITERIOS!$M$110/[1]CRITERIOS!$M$86)+(_xlfn.XLOOKUP(A108,'[1]DATOS PBI Artículos'!$A$4:$A$4,'[1]DATOS PBI Artículos'!$AA$4:$AA$4)*([1]CRITERIOS!$M$95+[1]CRITERIOS!$M$98)))/N108)</f>
        <v>#N/A</v>
      </c>
      <c r="AD108" s="33" t="e">
        <f>IF(N108=0,"",(ROUNDUP((N108/2)/(_xlfn.XLOOKUP(A108,'[1]DATOS PBI Artículos'!$A$4:$A$4,'[1]DATOS PBI Artículos'!$Z$4:$Z$4)*_xlfn.XLOOKUP(_xlfn.XLOOKUP(A108,'[1]DATOS PBI Artículos'!$A$4:$A$4,'[1]DATOS PBI Artículos'!$Y$4:$Y$4),[1]CRITERIOS!$P$79:$P$123,[1]CRITERIOS!$S$79:$S$123)),0)*[1]CRITERIOS!$M$80*([1]CRITERIOS!$M$89*[1]CRITERIOS!$M$92)+((_xlfn.XLOOKUP(A108,'[1]DATOS PBI Artículos'!$A$4:$A$4,'[1]DATOS PBI Artículos'!$AA$4:$AA$4)/2)*([1]CRITERIOS!$M$95+[1]CRITERIOS!$M$98)))/N108)</f>
        <v>#N/A</v>
      </c>
      <c r="AE108" s="39">
        <f>IF($R108="MTO","",
IF($H108=0,ROUNDUP(((_xlfn.XLOOKUP($A108,'[1]DATOS PBI Artículos'!$A:$A,'[1]DATOS PBI Artículos'!$AL:$AL))/(_xlfn.XLOOKUP($AF$1,[1]CRITERIOS!$S$16:$S$39,[1]CRITERIOS!$Y$16:$Y$39))*$J108+$Z108)/$G108,0)*$G108,
((_xlfn.XLOOKUP($A108,'[1]DATOS PBI Artículos'!$A:$A,'[1]DATOS PBI Artículos'!$AL:$AL))/(_xlfn.XLOOKUP($AF$1,[1]CRITERIOS!$S$16:$S$39,[1]CRITERIOS!$Y$16:$Y$39))*$J108+$Z108)))</f>
        <v>34613.815640914181</v>
      </c>
      <c r="AG108" s="39">
        <f>IF($R108="MTO","",
IF($H108=0,ROUNDUP(((_xlfn.XLOOKUP($A108,'[1]DATOS PBI Artículos'!$A:$A,'[1]DATOS PBI Artículos'!$AM:$AM))/(_xlfn.XLOOKUP($AH$1,[1]CRITERIOS!$S$16:$S$39,[1]CRITERIOS!$Y$16:$Y$39))*$J108+$Z108)/$G108,0)*$G108,
((_xlfn.XLOOKUP($A108,'[1]DATOS PBI Artículos'!$A:$A,'[1]DATOS PBI Artículos'!$AM:$AM))/(_xlfn.XLOOKUP($AH$1,[1]CRITERIOS!$S$16:$S$39,[1]CRITERIOS!$Y$16:$Y$39))*$J108+$Z108)))</f>
        <v>27667.126786135752</v>
      </c>
      <c r="AI108" s="39">
        <f>IF($R108="MTO","",
IF($H108=0,ROUNDUP(((_xlfn.XLOOKUP($A108,'[1]DATOS PBI Artículos'!$A:$A,'[1]DATOS PBI Artículos'!$AN:$AN))/(_xlfn.XLOOKUP($AJ$1,[1]CRITERIOS!$S$16:$S$39,[1]CRITERIOS!$Y$16:$Y$39))*$J108+$Z108)/$G108,0)*$G108,
((_xlfn.XLOOKUP($A108,'[1]DATOS PBI Artículos'!$A:$A,'[1]DATOS PBI Artículos'!$AN:$AN))/(_xlfn.XLOOKUP($AJ$1,[1]CRITERIOS!$S$16:$S$39,[1]CRITERIOS!$Y$16:$Y$39))*$J108+$Z108)))</f>
        <v>31170.233714366099</v>
      </c>
      <c r="AK108" s="39">
        <f>IF($R108="MTO","",
IF($H108=0,ROUNDUP(((_xlfn.XLOOKUP($A108,'[1]DATOS PBI Artículos'!$A:$A,'[1]DATOS PBI Artículos'!$AO:$AO))/(_xlfn.XLOOKUP($AL$1,[1]CRITERIOS!$S$16:$S$39,[1]CRITERIOS!$Y$16:$Y$39))*$J108+$Z108)/$G108,0)*$G108,
((_xlfn.XLOOKUP($A108,'[1]DATOS PBI Artículos'!$A:$A,'[1]DATOS PBI Artículos'!$AO:$AO))/(_xlfn.XLOOKUP($AL$1,[1]CRITERIOS!$S$16:$S$39,[1]CRITERIOS!$Y$16:$Y$39))*$J108+$Z108)))</f>
        <v>33060.753553414179</v>
      </c>
    </row>
    <row r="109" spans="1:37" ht="25.8" x14ac:dyDescent="0.5">
      <c r="A109" s="32">
        <v>452367</v>
      </c>
      <c r="B109" s="33">
        <f>_xlfn.XLOOKUP($A109,'[1]DATOS PBI Artículos'!A:A,'[1]DATOS PBI Artículos'!B:B)</f>
        <v>0</v>
      </c>
      <c r="C109" s="33" t="str">
        <f>_xlfn.XLOOKUP($A109,'[1]DATOS PBI Artículos'!A:A,'[1]DATOS PBI Artículos'!C:C)</f>
        <v>UA02</v>
      </c>
      <c r="D109" s="33">
        <f>_xlfn.XLOOKUP(A109,'[1]DATOS PBI Artículos'!A:A,'[1]DATOS PBI Artículos'!T:T)</f>
        <v>3</v>
      </c>
      <c r="E109" s="34">
        <f>IF(_xlfn.XLOOKUP($A109,'[1]DATOS PBI Artículos'!A:A,'[1]DATOS PBI Artículos'!AK:AK)="",_xlfn.XLOOKUP($A109,'[1]DATOS PBI Artículos'!A:A,'[1]DATOS PBI Artículos'!AJ:AJ),_xlfn.XLOOKUP($A109,'[1]DATOS PBI Artículos'!A:A,'[1]DATOS PBI Artículos'!AK:AK))</f>
        <v>90000</v>
      </c>
      <c r="F109" s="35">
        <f>_xlfn.XLOOKUP($A109,'[1]DATOS PBI Artículos'!A:A,'[1]DATOS PBI Artículos'!AP:AP)</f>
        <v>3.15384615384</v>
      </c>
      <c r="G109" s="34">
        <f>_xlfn.XLOOKUP($A109,'[1]DATOS PBI Artículos'!A:A,'[1]DATOS PBI Artículos'!AR:AR)</f>
        <v>10000</v>
      </c>
      <c r="H109" s="34">
        <f>_xlfn.XLOOKUP($A109,'[1]DATOS PBI Artículos'!A:A,'[1]DATOS PBI Artículos'!AT:AT)</f>
        <v>0</v>
      </c>
      <c r="I109" s="34">
        <f>_xlfn.XLOOKUP($A109,'[1]DATOS PBI Artículos'!A:A,'[1]DATOS PBI Artículos'!AS:AS)</f>
        <v>10000</v>
      </c>
      <c r="J109" s="35">
        <f>IF(COUNTIF([1]CRITERIOS!$F$179:$F$199,$A109)&gt;=1,
 IF(O109&lt;&gt;"",
    (O109/_xlfn.XLOOKUP(CONCATENATE(A109,L109),[1]MÁQUINAS!A:A,[1]MÁQUINAS!D:D))/24,
    (N109/_xlfn.XLOOKUP(CONCATENATE(A109,L109),[1]MÁQUINAS!A:A,[1]MÁQUINAS!D:D))/24),
  _xlfn.XLOOKUP($A109,'[1]DATOS PBI Artículos'!A:A,'[1]DATOS PBI Artículos'!AU:AU))</f>
        <v>19.76923076923077</v>
      </c>
      <c r="K109" s="36">
        <f>_xlfn.XLOOKUP($A109,'[1]DATOS PBI Artículos'!A:A,'[1]DATOS PBI Artículos'!AV:AV)</f>
        <v>5.5999084241596631</v>
      </c>
      <c r="L109" s="33">
        <f>_xlfn.XLOOKUP(A109,[1]MÁQUINAS!B:B,[1]MÁQUINAS!C:C)</f>
        <v>216</v>
      </c>
      <c r="M109" s="34">
        <f t="array" ref="M109">_xlfn.XLOOKUP(A109,'[1]DATOS PBI Artículos'!A:A,'[1]DATOS PBI Artículos'!AX:$AX)</f>
        <v>46588.04627545621</v>
      </c>
      <c r="N109" s="37">
        <f>IF(I109="DV",
E109,
IF(COUNTIF([1]CRITERIOS!$I$179:$I$199,$A109)&gt;=1,
_xlfn.XLOOKUP($A109,[1]CRITERIOS!$I$179:$I$199,[1]CRITERIOS!$J$179:$J$199),
IF(COUNTIF([1]CRITERIOS!$L$179:$L$199,$A109)&gt;=1,
_xlfn.CEILING.MATH(IF($M109&gt;$E109,
$E109,
IF($M109&lt;$E109/ROUNDDOWN([1]CRITERIOS!$M$16/_xlfn.XLOOKUP($C109,[1]CRITERIOS!$K$25:$K$42,[1]CRITERIOS!$M$25:$M$42),
1),
E109/ROUNDDOWN([1]CRITERIOS!$M$16/_xlfn.XLOOKUP($C109,[1]CRITERIOS!$K$25:$K$42,[1]CRITERIOS!$M$25:$M$42),
1),
$M109)),
_xlfn.XLOOKUP($A109,[1]CRITERIOS!$L$179:$L$200,[1]CRITERIOS!$M$179:$M$200)),
_xlfn.CEILING.MATH(IF($M109&gt;$E109,
$E109,
IF($M109&lt;$E109/ROUNDDOWN([1]CRITERIOS!$M$16/_xlfn.XLOOKUP($C109,[1]CRITERIOS!$K$25:$K$42,[1]CRITERIOS!$M$25:$M$42),
1),
E109/ROUNDDOWN([1]CRITERIOS!$M$16/_xlfn.XLOOKUP($C109,[1]CRITERIOS!$K$25:$K$42,[1]CRITERIOS!$M$25:$M$42),
1),
$M109)),_xlfn.XLOOKUP(A109,'[1]DATOS PBI Artículos'!A:A,'[1]DATOS PBI Artículos'!Z:Z
)))))</f>
        <v>50000</v>
      </c>
      <c r="Q109" s="38">
        <f>IF(AND(O109="",N109=0),
0,
   IF(COUNTIF([1]CRITERIOS!$F$179:$F$199,$A109)&gt;=1,
   1,
   IF(R109="MTO",
      $D109,
      ROUNDUP(
                    IF(($E109-SUMIF('[1]DATOS PBI Artículos'!A:A,A109,'[1]DATOS PBI Artículos'!X:X)+($V109-_xlfn.XLOOKUP(A109,'[1]DATOS PBI Artículos'!A:A,'[1]DATOS PBI Artículos'!W:W)))&lt;0,
                    0,
                    IF(($E109-SUMIF('[1]DATOS PBI Artículos'!A:A,A109,'[1]DATOS PBI Artículos'!X:X)+$V109-_xlfn.XLOOKUP($A109,'[1]DATOS PBI Artículos'!A:A,'[1]DATOS PBI Artículos'!W:W))/IF($O109="",$N109,$O109)&gt;ROUNDUP([1]CRITERIOS!$M$16/(IF(COUNTIF([1]CRITERIOS!$BG$11:$BG$201,L109)&gt;=1,_xlfn.XLOOKUP($C109,[1]CRITERIOS!$K$25:$K$42,[1]CRITERIOS!$M$25:$M$42),_xlfn.XLOOKUP($C109,[1]CRITERIOS!$K$25:$K$42,[1]CRITERIOS!$M$25:$M$42))),0),
                    ROUNDUP([1]CRITERIOS!$M$16/(IF(COUNTIF([1]CRITERIOS!$BG$11:$BG$201,$L109)&gt;=1,_xlfn.XLOOKUP($C109,[1]CRITERIOS!$K$25:$K$42,[1]CRITERIOS!$M$25:$M$42),_xlfn.XLOOKUP($C109,[1]CRITERIOS!$K$25:$K$42,[1]CRITERIOS!$M$25:$M$42))),0),
                    (E109+V109-SUMIF('[1]DATOS PBI Artículos'!A:A,A109,'[1]DATOS PBI Artículos'!X:X)-_xlfn.XLOOKUP(A109,'[1]DATOS PBI Artículos'!A:A,'[1]DATOS PBI Artículos'!W:W))/IF($O109="",$N109,$O109))),0))))</f>
        <v>1</v>
      </c>
      <c r="R109" s="33" t="str">
        <f>IF(U109&lt;&gt;"",U109,IF(F109="DV","MTO",IF(N109=0,"MTO",_xlfn.XLOOKUP(CONCATENATE(S109,T109),[1]CRITERIOS!$K$160:$K$168,[1]CRITERIOS!$N$160:$N$168))))</f>
        <v>MTS</v>
      </c>
      <c r="S109" s="33" t="str">
        <f>IF(G109="DV","MTO",IF(N109=0,"MTO",IF(OR(AND(N109=0,O109=""),IF(O109="",G109/N109,G109/O109)&gt;[1]CRITERIOS!$G$163),"MTO",IF(IF(O109="",G109/N109,G109/O109)&lt;[1]CRITERIOS!$H$161,"MTS","MTOS"))))</f>
        <v>MTS</v>
      </c>
      <c r="T109" s="33" t="str">
        <f>IF(F109="DV","MTO",IF(OR(AND($N109=0,O109=""),$F109/$J109&gt;[1]CRITERIOS!$G$170,$F109="DV"),"MTO",IF($F109/$J109&lt;[1]CRITERIOS!$H$168,"MTS","MTOS")))</f>
        <v>MTS</v>
      </c>
      <c r="V109" s="34">
        <f t="shared" si="7"/>
        <v>68282.835253550264</v>
      </c>
      <c r="X109" s="34">
        <f t="shared" si="5"/>
        <v>118282.83525355026</v>
      </c>
      <c r="Y109" s="34">
        <f t="shared" si="6"/>
        <v>30599.908424159665</v>
      </c>
      <c r="Z109" s="34">
        <f>IF($R109="MTO",
0,
($H109+$K109*($E109/[1]CRITERIOS!$M$16))/[1]CRITERIOS!$X$48)</f>
        <v>5599.9084241596629</v>
      </c>
      <c r="AA109" s="34" t="e">
        <f>ROUNDUP(($Y109/_xlfn.XLOOKUP($A109,'[1]DATOS PBI Artículos'!$A$4:$A$4,'[1]DATOS PBI Artículos'!$Z$4:$Z$4))/_xlfn.XLOOKUP(_xlfn.XLOOKUP($A109,'[1]DATOS PBI Artículos'!$A$4:$A$4,'[1]DATOS PBI Artículos'!$Y$4:$Y$4),[1]CRITERIOS!$P$79:$P$123,[1]CRITERIOS!$S$79:$S$123,),0)</f>
        <v>#N/A</v>
      </c>
      <c r="AB109" s="33" t="e">
        <f t="array" ref="AB109">IF((E109+V109-_xlfn.XLOOKUP(A109,'[1]DATOS PBI Artículos'!$A$4:$A$4,'[1]DATOS PBI Artículos'!$W$4:$W$4))/N109&gt;ROUNDUP([1]CRITERIOS!$M$16/(IF(COUNTIF([1]CRITERIOS!$BG$11:$BG$201,L109)&gt;=1,_xlfn.XLOOKUP(ARTÍCULOS!L109,[1]CRITERIOS!$BG$11:$BG$201,[1]CRITERIOS!$BJ$11:$BJ$201),_xlfn.XLOOKUP(ARTÍCULOS!C109,[1]CRITERIOS!$K$25:$K$42,[1]CRITERIOS!$M$25:$M$42))),0),ROUNDUP([1]CRITERIOS!$M$16/(IF(COUNTIF([1]CRITERIOS!$BG$11:$BG$201,L109)&gt;=1,_xlfn.XLOOKUP(ARTÍCULOS!L109,[1]CRITERIOS!$BG$11:$BG$201:#REF!,[1]CRITERIOS!$BJ$11:$BJ$201),_xlfn.XLOOKUP(ARTÍCULOS!C109,[1]CRITERIOS!$K$25:$K$42,[1]CRITERIOS!$M$25:$M$42))),0),(E109+V109-_xlfn.XLOOKUP(A109,'[1]DATOS PBI Artículos'!$A$4:$A$4,'[1]DATOS PBI Artículos'!$W$4:$W$4))/N109)</f>
        <v>#N/A</v>
      </c>
      <c r="AC109" s="33" t="e">
        <f>IF(N109=0,"",(ROUNDUP((N109/2)/(_xlfn.XLOOKUP(A109,'[1]DATOS PBI Artículos'!$A$4:$A$4,'[1]DATOS PBI Artículos'!$Z$4:$Z$4)*_xlfn.XLOOKUP(_xlfn.XLOOKUP(A109,'[1]DATOS PBI Artículos'!$A$4:$A$4,'[1]DATOS PBI Artículos'!$Y$4:$Y$4),[1]CRITERIOS!$P$79:$P$123,[1]CRITERIOS!$S$79:$S$123)),0)*[1]CRITERIOS!$M$80*([1]CRITERIOS!$M$110/[1]CRITERIOS!$M$86)+(_xlfn.XLOOKUP(A109,'[1]DATOS PBI Artículos'!$A$4:$A$4,'[1]DATOS PBI Artículos'!$AA$4:$AA$4)*([1]CRITERIOS!$M$95+[1]CRITERIOS!$M$98)))/N109)</f>
        <v>#N/A</v>
      </c>
      <c r="AD109" s="33" t="e">
        <f>IF(N109=0,"",(ROUNDUP((N109/2)/(_xlfn.XLOOKUP(A109,'[1]DATOS PBI Artículos'!$A$4:$A$4,'[1]DATOS PBI Artículos'!$Z$4:$Z$4)*_xlfn.XLOOKUP(_xlfn.XLOOKUP(A109,'[1]DATOS PBI Artículos'!$A$4:$A$4,'[1]DATOS PBI Artículos'!$Y$4:$Y$4),[1]CRITERIOS!$P$79:$P$123,[1]CRITERIOS!$S$79:$S$123)),0)*[1]CRITERIOS!$M$80*([1]CRITERIOS!$M$89*[1]CRITERIOS!$M$92)+((_xlfn.XLOOKUP(A109,'[1]DATOS PBI Artículos'!$A$4:$A$4,'[1]DATOS PBI Artículos'!$AA$4:$AA$4)/2)*([1]CRITERIOS!$M$95+[1]CRITERIOS!$M$98)))/N109)</f>
        <v>#N/A</v>
      </c>
      <c r="AE109" s="39">
        <f>IF($R109="MTO","",
IF($H109=0,ROUNDUP(((_xlfn.XLOOKUP($A109,'[1]DATOS PBI Artículos'!$A:$A,'[1]DATOS PBI Artículos'!$AL:$AL))/(_xlfn.XLOOKUP($AF$1,[1]CRITERIOS!$S$16:$S$39,[1]CRITERIOS!$Y$16:$Y$39))*$J109+$Z109)/$G109,0)*$G109,
((_xlfn.XLOOKUP($A109,'[1]DATOS PBI Artículos'!$A:$A,'[1]DATOS PBI Artículos'!$AL:$AL))/(_xlfn.XLOOKUP($AF$1,[1]CRITERIOS!$S$16:$S$39,[1]CRITERIOS!$Y$16:$Y$39))*$J109+$Z109)))</f>
        <v>40000</v>
      </c>
      <c r="AG109" s="39">
        <f>IF($R109="MTO","",
IF($H109=0,ROUNDUP(((_xlfn.XLOOKUP($A109,'[1]DATOS PBI Artículos'!$A:$A,'[1]DATOS PBI Artículos'!$AM:$AM))/(_xlfn.XLOOKUP($AH$1,[1]CRITERIOS!$S$16:$S$39,[1]CRITERIOS!$Y$16:$Y$39))*$J109+$Z109)/$G109,0)*$G109,
((_xlfn.XLOOKUP($A109,'[1]DATOS PBI Artículos'!$A:$A,'[1]DATOS PBI Artículos'!$AM:$AM))/(_xlfn.XLOOKUP($AH$1,[1]CRITERIOS!$S$16:$S$39,[1]CRITERIOS!$Y$16:$Y$39))*$J109+$Z109)))</f>
        <v>30000</v>
      </c>
      <c r="AI109" s="39">
        <f>IF($R109="MTO","",
IF($H109=0,ROUNDUP(((_xlfn.XLOOKUP($A109,'[1]DATOS PBI Artículos'!$A:$A,'[1]DATOS PBI Artículos'!$AN:$AN))/(_xlfn.XLOOKUP($AJ$1,[1]CRITERIOS!$S$16:$S$39,[1]CRITERIOS!$Y$16:$Y$39))*$J109+$Z109)/$G109,0)*$G109,
((_xlfn.XLOOKUP($A109,'[1]DATOS PBI Artículos'!$A:$A,'[1]DATOS PBI Artículos'!$AN:$AN))/(_xlfn.XLOOKUP($AJ$1,[1]CRITERIOS!$S$16:$S$39,[1]CRITERIOS!$Y$16:$Y$39))*$J109+$Z109)))</f>
        <v>30000</v>
      </c>
      <c r="AK109" s="39">
        <f>IF($R109="MTO","",
IF($H109=0,ROUNDUP(((_xlfn.XLOOKUP($A109,'[1]DATOS PBI Artículos'!$A:$A,'[1]DATOS PBI Artículos'!$AO:$AO))/(_xlfn.XLOOKUP($AL$1,[1]CRITERIOS!$S$16:$S$39,[1]CRITERIOS!$Y$16:$Y$39))*$J109+$Z109)/$G109,0)*$G109,
((_xlfn.XLOOKUP($A109,'[1]DATOS PBI Artículos'!$A:$A,'[1]DATOS PBI Artículos'!$AO:$AO))/(_xlfn.XLOOKUP($AL$1,[1]CRITERIOS!$S$16:$S$39,[1]CRITERIOS!$Y$16:$Y$39))*$J109+$Z109)))</f>
        <v>40000</v>
      </c>
    </row>
    <row r="110" spans="1:37" ht="25.8" x14ac:dyDescent="0.5">
      <c r="A110" s="32">
        <v>422459</v>
      </c>
      <c r="B110" s="33">
        <f>_xlfn.XLOOKUP($A110,'[1]DATOS PBI Artículos'!A:A,'[1]DATOS PBI Artículos'!B:B)</f>
        <v>0</v>
      </c>
      <c r="C110" s="33" t="str">
        <f>_xlfn.XLOOKUP($A110,'[1]DATOS PBI Artículos'!A:A,'[1]DATOS PBI Artículos'!C:C)</f>
        <v>UA01</v>
      </c>
      <c r="D110" s="33">
        <f>_xlfn.XLOOKUP(A110,'[1]DATOS PBI Artículos'!A:A,'[1]DATOS PBI Artículos'!T:T)</f>
        <v>2</v>
      </c>
      <c r="E110" s="34">
        <f>IF(_xlfn.XLOOKUP($A110,'[1]DATOS PBI Artículos'!A:A,'[1]DATOS PBI Artículos'!AK:AK)="",_xlfn.XLOOKUP($A110,'[1]DATOS PBI Artículos'!A:A,'[1]DATOS PBI Artículos'!AJ:AJ),_xlfn.XLOOKUP($A110,'[1]DATOS PBI Artículos'!A:A,'[1]DATOS PBI Artículos'!AK:AK))</f>
        <v>86000</v>
      </c>
      <c r="F110" s="35">
        <f>_xlfn.XLOOKUP($A110,'[1]DATOS PBI Artículos'!A:A,'[1]DATOS PBI Artículos'!AP:AP)</f>
        <v>3</v>
      </c>
      <c r="G110" s="34">
        <f>_xlfn.XLOOKUP($A110,'[1]DATOS PBI Artículos'!A:A,'[1]DATOS PBI Artículos'!AR:AR)</f>
        <v>44000</v>
      </c>
      <c r="H110" s="34">
        <f>_xlfn.XLOOKUP($A110,'[1]DATOS PBI Artículos'!A:A,'[1]DATOS PBI Artículos'!AT:AT)</f>
        <v>52325.901807804519</v>
      </c>
      <c r="I110" s="34">
        <f>_xlfn.XLOOKUP($A110,'[1]DATOS PBI Artículos'!A:A,'[1]DATOS PBI Artículos'!AS:AS)</f>
        <v>2000</v>
      </c>
      <c r="J110" s="35">
        <f>IF(COUNTIF([1]CRITERIOS!$F$179:$F$199,$A110)&gt;=1,
 IF(O110&lt;&gt;"",
    (O110/_xlfn.XLOOKUP(CONCATENATE(A110,L110),[1]MÁQUINAS!A:A,[1]MÁQUINAS!D:D))/24,
    (N110/_xlfn.XLOOKUP(CONCATENATE(A110,L110),[1]MÁQUINAS!A:A,[1]MÁQUINAS!D:D))/24),
  _xlfn.XLOOKUP($A110,'[1]DATOS PBI Artículos'!A:A,'[1]DATOS PBI Artículos'!AU:AU))</f>
        <v>10</v>
      </c>
      <c r="K110" s="36">
        <f>_xlfn.XLOOKUP($A110,'[1]DATOS PBI Artículos'!A:A,'[1]DATOS PBI Artículos'!AV:AV)</f>
        <v>0</v>
      </c>
      <c r="L110" s="33">
        <f>_xlfn.XLOOKUP(A110,[1]MÁQUINAS!B:B,[1]MÁQUINAS!C:C)</f>
        <v>500</v>
      </c>
      <c r="M110" s="34">
        <f t="array" ref="M110">_xlfn.XLOOKUP(A110,'[1]DATOS PBI Artículos'!A:A,'[1]DATOS PBI Artículos'!AX:$AX)</f>
        <v>54519.111596746799</v>
      </c>
      <c r="N110" s="37">
        <f>IF(I110="DV",
E110,
IF(COUNTIF([1]CRITERIOS!$I$179:$I$199,$A110)&gt;=1,
_xlfn.XLOOKUP($A110,[1]CRITERIOS!$I$179:$I$199,[1]CRITERIOS!$J$179:$J$199),
IF(COUNTIF([1]CRITERIOS!$L$179:$L$199,$A110)&gt;=1,
_xlfn.CEILING.MATH(IF($M110&gt;$E110,
$E110,
IF($M110&lt;$E110/ROUNDDOWN([1]CRITERIOS!$M$16/_xlfn.XLOOKUP($C110,[1]CRITERIOS!$K$25:$K$42,[1]CRITERIOS!$M$25:$M$42),
1),
E110/ROUNDDOWN([1]CRITERIOS!$M$16/_xlfn.XLOOKUP($C110,[1]CRITERIOS!$K$25:$K$42,[1]CRITERIOS!$M$25:$M$42),
1),
$M110)),
_xlfn.XLOOKUP($A110,[1]CRITERIOS!$L$179:$L$200,[1]CRITERIOS!$M$179:$M$200)),
_xlfn.CEILING.MATH(IF($M110&gt;$E110,
$E110,
IF($M110&lt;$E110/ROUNDDOWN([1]CRITERIOS!$M$16/_xlfn.XLOOKUP($C110,[1]CRITERIOS!$K$25:$K$42,[1]CRITERIOS!$M$25:$M$42),
1),
E110/ROUNDDOWN([1]CRITERIOS!$M$16/_xlfn.XLOOKUP($C110,[1]CRITERIOS!$K$25:$K$42,[1]CRITERIOS!$M$25:$M$42),
1),
$M110)),_xlfn.XLOOKUP(A110,'[1]DATOS PBI Artículos'!A:A,'[1]DATOS PBI Artículos'!Z:Z
)))))</f>
        <v>60000</v>
      </c>
      <c r="Q110" s="38">
        <f>IF(AND(O110="",N110=0),
0,
   IF(COUNTIF([1]CRITERIOS!$F$179:$F$199,$A110)&gt;=1,
   1,
   IF(R110="MTO",
      $D110,
      ROUNDUP(
                    IF(($E110-SUMIF('[1]DATOS PBI Artículos'!A:A,A110,'[1]DATOS PBI Artículos'!X:X)+($V110-_xlfn.XLOOKUP(A110,'[1]DATOS PBI Artículos'!A:A,'[1]DATOS PBI Artículos'!W:W)))&lt;0,
                    0,
                    IF(($E110-SUMIF('[1]DATOS PBI Artículos'!A:A,A110,'[1]DATOS PBI Artículos'!X:X)+$V110-_xlfn.XLOOKUP($A110,'[1]DATOS PBI Artículos'!A:A,'[1]DATOS PBI Artículos'!W:W))/IF($O110="",$N110,$O110)&gt;ROUNDUP([1]CRITERIOS!$M$16/(IF(COUNTIF([1]CRITERIOS!$BG$11:$BG$201,L110)&gt;=1,_xlfn.XLOOKUP($C110,[1]CRITERIOS!$K$25:$K$42,[1]CRITERIOS!$M$25:$M$42),_xlfn.XLOOKUP($C110,[1]CRITERIOS!$K$25:$K$42,[1]CRITERIOS!$M$25:$M$42))),0),
                    ROUNDUP([1]CRITERIOS!$M$16/(IF(COUNTIF([1]CRITERIOS!$BG$11:$BG$201,$L110)&gt;=1,_xlfn.XLOOKUP($C110,[1]CRITERIOS!$K$25:$K$42,[1]CRITERIOS!$M$25:$M$42),_xlfn.XLOOKUP($C110,[1]CRITERIOS!$K$25:$K$42,[1]CRITERIOS!$M$25:$M$42))),0),
                    (E110+V110-SUMIF('[1]DATOS PBI Artículos'!A:A,A110,'[1]DATOS PBI Artículos'!X:X)-_xlfn.XLOOKUP(A110,'[1]DATOS PBI Artículos'!A:A,'[1]DATOS PBI Artículos'!W:W))/IF($O110="",$N110,$O110))),0))))</f>
        <v>4</v>
      </c>
      <c r="R110" s="33" t="str">
        <f>IF(U110&lt;&gt;"",U110,IF(F110="DV","MTO",IF(N110=0,"MTO",_xlfn.XLOOKUP(CONCATENATE(S110,T110),[1]CRITERIOS!$K$160:$K$168,[1]CRITERIOS!$N$160:$N$168))))</f>
        <v>MTS</v>
      </c>
      <c r="S110" s="33" t="str">
        <f>IF(G110="DV","MTO",IF(N110=0,"MTO",IF(OR(AND(N110=0,O110=""),IF(O110="",G110/N110,G110/O110)&gt;[1]CRITERIOS!$G$163),"MTO",IF(IF(O110="",G110/N110,G110/O110)&lt;[1]CRITERIOS!$H$161,"MTS","MTOS"))))</f>
        <v>MTOS</v>
      </c>
      <c r="T110" s="33" t="str">
        <f>IF(F110="DV","MTO",IF(OR(AND($N110=0,O110=""),$F110/$J110&gt;[1]CRITERIOS!$G$170,$F110="DV"),"MTO",IF($F110/$J110&lt;[1]CRITERIOS!$H$168,"MTS","MTOS")))</f>
        <v>MTS</v>
      </c>
      <c r="V110" s="34">
        <f t="shared" si="7"/>
        <v>190271.58483983713</v>
      </c>
      <c r="X110" s="34">
        <f t="shared" si="5"/>
        <v>250271.58483983713</v>
      </c>
      <c r="Y110" s="34">
        <f t="shared" si="6"/>
        <v>73604.918173170445</v>
      </c>
      <c r="Z110" s="34">
        <f>IF($R110="MTO",
0,
($H110+$K110*($E110/[1]CRITERIOS!$M$16))/[1]CRITERIOS!$X$48)</f>
        <v>43604.918173170438</v>
      </c>
      <c r="AA110" s="34" t="e">
        <f>ROUNDUP(($Y110/_xlfn.XLOOKUP($A110,'[1]DATOS PBI Artículos'!$A$4:$A$4,'[1]DATOS PBI Artículos'!$Z$4:$Z$4))/_xlfn.XLOOKUP(_xlfn.XLOOKUP($A110,'[1]DATOS PBI Artículos'!$A$4:$A$4,'[1]DATOS PBI Artículos'!$Y$4:$Y$4),[1]CRITERIOS!$P$79:$P$123,[1]CRITERIOS!$S$79:$S$123,),0)</f>
        <v>#N/A</v>
      </c>
      <c r="AB110" s="33" t="e">
        <f t="array" ref="AB110">IF((E110+V110-_xlfn.XLOOKUP(A110,'[1]DATOS PBI Artículos'!$A$4:$A$4,'[1]DATOS PBI Artículos'!$W$4:$W$4))/N110&gt;ROUNDUP([1]CRITERIOS!$M$16/(IF(COUNTIF([1]CRITERIOS!$BG$11:$BG$201,L110)&gt;=1,_xlfn.XLOOKUP(ARTÍCULOS!L110,[1]CRITERIOS!$BG$11:$BG$201,[1]CRITERIOS!$BJ$11:$BJ$201),_xlfn.XLOOKUP(ARTÍCULOS!C110,[1]CRITERIOS!$K$25:$K$42,[1]CRITERIOS!$M$25:$M$42))),0),ROUNDUP([1]CRITERIOS!$M$16/(IF(COUNTIF([1]CRITERIOS!$BG$11:$BG$201,L110)&gt;=1,_xlfn.XLOOKUP(ARTÍCULOS!L110,[1]CRITERIOS!$BG$11:$BG$201:#REF!,[1]CRITERIOS!$BJ$11:$BJ$201),_xlfn.XLOOKUP(ARTÍCULOS!C110,[1]CRITERIOS!$K$25:$K$42,[1]CRITERIOS!$M$25:$M$42))),0),(E110+V110-_xlfn.XLOOKUP(A110,'[1]DATOS PBI Artículos'!$A$4:$A$4,'[1]DATOS PBI Artículos'!$W$4:$W$4))/N110)</f>
        <v>#N/A</v>
      </c>
      <c r="AC110" s="33" t="e">
        <f>IF(N110=0,"",(ROUNDUP((N110/2)/(_xlfn.XLOOKUP(A110,'[1]DATOS PBI Artículos'!$A$4:$A$4,'[1]DATOS PBI Artículos'!$Z$4:$Z$4)*_xlfn.XLOOKUP(_xlfn.XLOOKUP(A110,'[1]DATOS PBI Artículos'!$A$4:$A$4,'[1]DATOS PBI Artículos'!$Y$4:$Y$4),[1]CRITERIOS!$P$79:$P$123,[1]CRITERIOS!$S$79:$S$123)),0)*[1]CRITERIOS!$M$80*([1]CRITERIOS!$M$110/[1]CRITERIOS!$M$86)+(_xlfn.XLOOKUP(A110,'[1]DATOS PBI Artículos'!$A$4:$A$4,'[1]DATOS PBI Artículos'!$AA$4:$AA$4)*([1]CRITERIOS!$M$95+[1]CRITERIOS!$M$98)))/N110)</f>
        <v>#N/A</v>
      </c>
      <c r="AD110" s="33" t="e">
        <f>IF(N110=0,"",(ROUNDUP((N110/2)/(_xlfn.XLOOKUP(A110,'[1]DATOS PBI Artículos'!$A$4:$A$4,'[1]DATOS PBI Artículos'!$Z$4:$Z$4)*_xlfn.XLOOKUP(_xlfn.XLOOKUP(A110,'[1]DATOS PBI Artículos'!$A$4:$A$4,'[1]DATOS PBI Artículos'!$Y$4:$Y$4),[1]CRITERIOS!$P$79:$P$123,[1]CRITERIOS!$S$79:$S$123)),0)*[1]CRITERIOS!$M$80*([1]CRITERIOS!$M$89*[1]CRITERIOS!$M$92)+((_xlfn.XLOOKUP(A110,'[1]DATOS PBI Artículos'!$A$4:$A$4,'[1]DATOS PBI Artículos'!$AA$4:$AA$4)/2)*([1]CRITERIOS!$M$95+[1]CRITERIOS!$M$98)))/N110)</f>
        <v>#N/A</v>
      </c>
      <c r="AE110" s="39">
        <f>IF($R110="MTO","",
IF($H110=0,ROUNDUP(((_xlfn.XLOOKUP($A110,'[1]DATOS PBI Artículos'!$A:$A,'[1]DATOS PBI Artículos'!$AL:$AL))/(_xlfn.XLOOKUP($AF$1,[1]CRITERIOS!$S$16:$S$39,[1]CRITERIOS!$Y$16:$Y$39))*$J110+$Z110)/$G110,0)*$G110,
((_xlfn.XLOOKUP($A110,'[1]DATOS PBI Artículos'!$A:$A,'[1]DATOS PBI Artículos'!$AL:$AL))/(_xlfn.XLOOKUP($AF$1,[1]CRITERIOS!$S$16:$S$39,[1]CRITERIOS!$Y$16:$Y$39))*$J110+$Z110)))</f>
        <v>56866.897822892657</v>
      </c>
      <c r="AG110" s="39">
        <f>IF($R110="MTO","",
IF($H110=0,ROUNDUP(((_xlfn.XLOOKUP($A110,'[1]DATOS PBI Artículos'!$A:$A,'[1]DATOS PBI Artículos'!$AM:$AM))/(_xlfn.XLOOKUP($AH$1,[1]CRITERIOS!$S$16:$S$39,[1]CRITERIOS!$Y$16:$Y$39))*$J110+$Z110)/$G110,0)*$G110,
((_xlfn.XLOOKUP($A110,'[1]DATOS PBI Artículos'!$A:$A,'[1]DATOS PBI Artículos'!$AM:$AM))/(_xlfn.XLOOKUP($AH$1,[1]CRITERIOS!$S$16:$S$39,[1]CRITERIOS!$Y$16:$Y$39))*$J110+$Z110)))</f>
        <v>53131.256582083479</v>
      </c>
      <c r="AI110" s="39">
        <f>IF($R110="MTO","",
IF($H110=0,ROUNDUP(((_xlfn.XLOOKUP($A110,'[1]DATOS PBI Artículos'!$A:$A,'[1]DATOS PBI Artículos'!$AN:$AN))/(_xlfn.XLOOKUP($AJ$1,[1]CRITERIOS!$S$16:$S$39,[1]CRITERIOS!$Y$16:$Y$39))*$J110+$Z110)/$G110,0)*$G110,
((_xlfn.XLOOKUP($A110,'[1]DATOS PBI Artículos'!$A:$A,'[1]DATOS PBI Artículos'!$AN:$AN))/(_xlfn.XLOOKUP($AJ$1,[1]CRITERIOS!$S$16:$S$39,[1]CRITERIOS!$Y$16:$Y$39))*$J110+$Z110)))</f>
        <v>55015.082241420438</v>
      </c>
      <c r="AK110" s="39">
        <f>IF($R110="MTO","",
IF($H110=0,ROUNDUP(((_xlfn.XLOOKUP($A110,'[1]DATOS PBI Artículos'!$A:$A,'[1]DATOS PBI Artículos'!$AO:$AO))/(_xlfn.XLOOKUP($AL$1,[1]CRITERIOS!$S$16:$S$39,[1]CRITERIOS!$Y$16:$Y$39))*$J110+$Z110)/$G110,0)*$G110,
((_xlfn.XLOOKUP($A110,'[1]DATOS PBI Artículos'!$A:$A,'[1]DATOS PBI Artículos'!$AO:$AO))/(_xlfn.XLOOKUP($AL$1,[1]CRITERIOS!$S$16:$S$39,[1]CRITERIOS!$Y$16:$Y$39))*$J110+$Z110)))</f>
        <v>56031.72542567044</v>
      </c>
    </row>
    <row r="111" spans="1:37" ht="25.8" x14ac:dyDescent="0.5">
      <c r="A111" s="32" t="s">
        <v>75</v>
      </c>
      <c r="B111" s="33">
        <f>_xlfn.XLOOKUP($A111,'[1]DATOS PBI Artículos'!A:A,'[1]DATOS PBI Artículos'!B:B)</f>
        <v>0</v>
      </c>
      <c r="C111" s="33" t="str">
        <f>_xlfn.XLOOKUP($A111,'[1]DATOS PBI Artículos'!A:A,'[1]DATOS PBI Artículos'!C:C)</f>
        <v>UA01</v>
      </c>
      <c r="D111" s="33">
        <f>_xlfn.XLOOKUP(A111,'[1]DATOS PBI Artículos'!A:A,'[1]DATOS PBI Artículos'!T:T)</f>
        <v>4</v>
      </c>
      <c r="E111" s="34">
        <f>IF(_xlfn.XLOOKUP($A111,'[1]DATOS PBI Artículos'!A:A,'[1]DATOS PBI Artículos'!AK:AK)="",_xlfn.XLOOKUP($A111,'[1]DATOS PBI Artículos'!A:A,'[1]DATOS PBI Artículos'!AJ:AJ),_xlfn.XLOOKUP($A111,'[1]DATOS PBI Artículos'!A:A,'[1]DATOS PBI Artículos'!AK:AK))</f>
        <v>83200</v>
      </c>
      <c r="F111" s="35">
        <f>_xlfn.XLOOKUP($A111,'[1]DATOS PBI Artículos'!A:A,'[1]DATOS PBI Artículos'!AP:AP)</f>
        <v>20</v>
      </c>
      <c r="G111" s="34">
        <f>_xlfn.XLOOKUP($A111,'[1]DATOS PBI Artículos'!A:A,'[1]DATOS PBI Artículos'!AR:AR)</f>
        <v>20800</v>
      </c>
      <c r="H111" s="34">
        <f>_xlfn.XLOOKUP($A111,'[1]DATOS PBI Artículos'!A:A,'[1]DATOS PBI Artículos'!AT:AT)</f>
        <v>0</v>
      </c>
      <c r="I111" s="34">
        <f>_xlfn.XLOOKUP($A111,'[1]DATOS PBI Artículos'!A:A,'[1]DATOS PBI Artículos'!AS:AS)</f>
        <v>20800</v>
      </c>
      <c r="J111" s="35">
        <f>IF(COUNTIF([1]CRITERIOS!$F$179:$F$199,$A111)&gt;=1,
 IF(O111&lt;&gt;"",
    (O111/_xlfn.XLOOKUP(CONCATENATE(A111,L111),[1]MÁQUINAS!A:A,[1]MÁQUINAS!D:D))/24,
    (N111/_xlfn.XLOOKUP(CONCATENATE(A111,L111),[1]MÁQUINAS!A:A,[1]MÁQUINAS!D:D))/24),
  _xlfn.XLOOKUP($A111,'[1]DATOS PBI Artículos'!A:A,'[1]DATOS PBI Artículos'!AU:AU))</f>
        <v>22.8</v>
      </c>
      <c r="K111" s="36">
        <f>_xlfn.XLOOKUP($A111,'[1]DATOS PBI Artículos'!A:A,'[1]DATOS PBI Artículos'!AV:AV)</f>
        <v>5.2630789467763055</v>
      </c>
      <c r="L111" s="33">
        <f>_xlfn.XLOOKUP(A111,[1]MÁQUINAS!B:B,[1]MÁQUINAS!C:C)</f>
        <v>406</v>
      </c>
      <c r="M111" s="34">
        <f t="array" ref="M111">_xlfn.XLOOKUP(A111,'[1]DATOS PBI Artículos'!A:A,'[1]DATOS PBI Artículos'!AX:$AX)</f>
        <v>81117.603829652464</v>
      </c>
      <c r="N111" s="37">
        <f>IF(I111="DV",
E111,
IF(COUNTIF([1]CRITERIOS!$I$179:$I$199,$A111)&gt;=1,
_xlfn.XLOOKUP($A111,[1]CRITERIOS!$I$179:$I$199,[1]CRITERIOS!$J$179:$J$199),
IF(COUNTIF([1]CRITERIOS!$L$179:$L$199,$A111)&gt;=1,
_xlfn.CEILING.MATH(IF($M111&gt;$E111,
$E111,
IF($M111&lt;$E111/ROUNDDOWN([1]CRITERIOS!$M$16/_xlfn.XLOOKUP($C111,[1]CRITERIOS!$K$25:$K$42,[1]CRITERIOS!$M$25:$M$42),
1),
E111/ROUNDDOWN([1]CRITERIOS!$M$16/_xlfn.XLOOKUP($C111,[1]CRITERIOS!$K$25:$K$42,[1]CRITERIOS!$M$25:$M$42),
1),
$M111)),
_xlfn.XLOOKUP($A111,[1]CRITERIOS!$L$179:$L$200,[1]CRITERIOS!$M$179:$M$200)),
_xlfn.CEILING.MATH(IF($M111&gt;$E111,
$E111,
IF($M111&lt;$E111/ROUNDDOWN([1]CRITERIOS!$M$16/_xlfn.XLOOKUP($C111,[1]CRITERIOS!$K$25:$K$42,[1]CRITERIOS!$M$25:$M$42),
1),
E111/ROUNDDOWN([1]CRITERIOS!$M$16/_xlfn.XLOOKUP($C111,[1]CRITERIOS!$K$25:$K$42,[1]CRITERIOS!$M$25:$M$42),
1),
$M111)),_xlfn.XLOOKUP(A111,'[1]DATOS PBI Artículos'!A:A,'[1]DATOS PBI Artículos'!Z:Z
)))))</f>
        <v>83200</v>
      </c>
      <c r="Q111" s="38">
        <f>IF(AND(O111="",N111=0),
0,
   IF(COUNTIF([1]CRITERIOS!$F$179:$F$199,$A111)&gt;=1,
   1,
   IF(R111="MTO",
      $D111,
      ROUNDUP(
                    IF(($E111-SUMIF('[1]DATOS PBI Artículos'!A:A,A111,'[1]DATOS PBI Artículos'!X:X)+($V111-_xlfn.XLOOKUP(A111,'[1]DATOS PBI Artículos'!A:A,'[1]DATOS PBI Artículos'!W:W)))&lt;0,
                    0,
                    IF(($E111-SUMIF('[1]DATOS PBI Artículos'!A:A,A111,'[1]DATOS PBI Artículos'!X:X)+$V111-_xlfn.XLOOKUP($A111,'[1]DATOS PBI Artículos'!A:A,'[1]DATOS PBI Artículos'!W:W))/IF($O111="",$N111,$O111)&gt;ROUNDUP([1]CRITERIOS!$M$16/(IF(COUNTIF([1]CRITERIOS!$BG$11:$BG$201,L111)&gt;=1,_xlfn.XLOOKUP($C111,[1]CRITERIOS!$K$25:$K$42,[1]CRITERIOS!$M$25:$M$42),_xlfn.XLOOKUP($C111,[1]CRITERIOS!$K$25:$K$42,[1]CRITERIOS!$M$25:$M$42))),0),
                    ROUNDUP([1]CRITERIOS!$M$16/(IF(COUNTIF([1]CRITERIOS!$BG$11:$BG$201,$L111)&gt;=1,_xlfn.XLOOKUP($C111,[1]CRITERIOS!$K$25:$K$42,[1]CRITERIOS!$M$25:$M$42),_xlfn.XLOOKUP($C111,[1]CRITERIOS!$K$25:$K$42,[1]CRITERIOS!$M$25:$M$42))),0),
                    (E111+V111-SUMIF('[1]DATOS PBI Artículos'!A:A,A111,'[1]DATOS PBI Artículos'!X:X)-_xlfn.XLOOKUP(A111,'[1]DATOS PBI Artículos'!A:A,'[1]DATOS PBI Artículos'!W:W))/IF($O111="",$N111,$O111))),0))))</f>
        <v>1</v>
      </c>
      <c r="R111" s="33" t="str">
        <f>IF(U111&lt;&gt;"",U111,IF(F111="DV","MTO",IF(N111=0,"MTO",_xlfn.XLOOKUP(CONCATENATE(S111,T111),[1]CRITERIOS!$K$160:$K$168,[1]CRITERIOS!$N$160:$N$168))))</f>
        <v>MTS</v>
      </c>
      <c r="S111" s="33" t="str">
        <f>IF(G111="DV","MTO",IF(N111=0,"MTO",IF(OR(AND(N111=0,O111=""),IF(O111="",G111/N111,G111/O111)&gt;[1]CRITERIOS!$G$163),"MTO",IF(IF(O111="",G111/N111,G111/O111)&lt;[1]CRITERIOS!$H$161,"MTS","MTOS"))))</f>
        <v>MTS</v>
      </c>
      <c r="T111" s="33" t="str">
        <f>IF(F111="DV","MTO",IF(OR(AND($N111=0,O111=""),$F111/$J111&gt;[1]CRITERIOS!$G$170,$F111="DV"),"MTO",IF($F111/$J111&lt;[1]CRITERIOS!$H$168,"MTS","MTOS")))</f>
        <v>MTS</v>
      </c>
      <c r="V111" s="34">
        <f t="shared" si="7"/>
        <v>28577.424093019872</v>
      </c>
      <c r="X111" s="34">
        <f t="shared" si="5"/>
        <v>111777.42409301987</v>
      </c>
      <c r="Y111" s="34">
        <f t="shared" si="6"/>
        <v>46465.424093019872</v>
      </c>
      <c r="Z111" s="34">
        <f>IF($R111="MTO",
0,
($H111+$K111*($E111/[1]CRITERIOS!$M$16))/[1]CRITERIOS!$X$48)</f>
        <v>4865.424093019873</v>
      </c>
      <c r="AA111" s="34" t="e">
        <f>ROUNDUP(($Y111/_xlfn.XLOOKUP($A111,'[1]DATOS PBI Artículos'!$A$4:$A$4,'[1]DATOS PBI Artículos'!$Z$4:$Z$4))/_xlfn.XLOOKUP(_xlfn.XLOOKUP($A111,'[1]DATOS PBI Artículos'!$A$4:$A$4,'[1]DATOS PBI Artículos'!$Y$4:$Y$4),[1]CRITERIOS!$P$79:$P$123,[1]CRITERIOS!$S$79:$S$123,),0)</f>
        <v>#N/A</v>
      </c>
      <c r="AB111" s="33" t="e">
        <f t="array" ref="AB111">IF((E111+V111-_xlfn.XLOOKUP(A111,'[1]DATOS PBI Artículos'!$A$4:$A$4,'[1]DATOS PBI Artículos'!$W$4:$W$4))/N111&gt;ROUNDUP([1]CRITERIOS!$M$16/(IF(COUNTIF([1]CRITERIOS!$BG$11:$BG$201,L111)&gt;=1,_xlfn.XLOOKUP(ARTÍCULOS!L111,[1]CRITERIOS!$BG$11:$BG$201,[1]CRITERIOS!$BJ$11:$BJ$201),_xlfn.XLOOKUP(ARTÍCULOS!C111,[1]CRITERIOS!$K$25:$K$42,[1]CRITERIOS!$M$25:$M$42))),0),ROUNDUP([1]CRITERIOS!$M$16/(IF(COUNTIF([1]CRITERIOS!$BG$11:$BG$201,L111)&gt;=1,_xlfn.XLOOKUP(ARTÍCULOS!L111,[1]CRITERIOS!$BG$11:$BG$201:#REF!,[1]CRITERIOS!$BJ$11:$BJ$201),_xlfn.XLOOKUP(ARTÍCULOS!C111,[1]CRITERIOS!$K$25:$K$42,[1]CRITERIOS!$M$25:$M$42))),0),(E111+V111-_xlfn.XLOOKUP(A111,'[1]DATOS PBI Artículos'!$A$4:$A$4,'[1]DATOS PBI Artículos'!$W$4:$W$4))/N111)</f>
        <v>#N/A</v>
      </c>
      <c r="AC111" s="33" t="e">
        <f>IF(N111=0,"",(ROUNDUP((N111/2)/(_xlfn.XLOOKUP(A111,'[1]DATOS PBI Artículos'!$A$4:$A$4,'[1]DATOS PBI Artículos'!$Z$4:$Z$4)*_xlfn.XLOOKUP(_xlfn.XLOOKUP(A111,'[1]DATOS PBI Artículos'!$A$4:$A$4,'[1]DATOS PBI Artículos'!$Y$4:$Y$4),[1]CRITERIOS!$P$79:$P$123,[1]CRITERIOS!$S$79:$S$123)),0)*[1]CRITERIOS!$M$80*([1]CRITERIOS!$M$110/[1]CRITERIOS!$M$86)+(_xlfn.XLOOKUP(A111,'[1]DATOS PBI Artículos'!$A$4:$A$4,'[1]DATOS PBI Artículos'!$AA$4:$AA$4)*([1]CRITERIOS!$M$95+[1]CRITERIOS!$M$98)))/N111)</f>
        <v>#N/A</v>
      </c>
      <c r="AD111" s="33" t="e">
        <f>IF(N111=0,"",(ROUNDUP((N111/2)/(_xlfn.XLOOKUP(A111,'[1]DATOS PBI Artículos'!$A$4:$A$4,'[1]DATOS PBI Artículos'!$Z$4:$Z$4)*_xlfn.XLOOKUP(_xlfn.XLOOKUP(A111,'[1]DATOS PBI Artículos'!$A$4:$A$4,'[1]DATOS PBI Artículos'!$Y$4:$Y$4),[1]CRITERIOS!$P$79:$P$123,[1]CRITERIOS!$S$79:$S$123)),0)*[1]CRITERIOS!$M$80*([1]CRITERIOS!$M$89*[1]CRITERIOS!$M$92)+((_xlfn.XLOOKUP(A111,'[1]DATOS PBI Artículos'!$A$4:$A$4,'[1]DATOS PBI Artículos'!$AA$4:$AA$4)/2)*([1]CRITERIOS!$M$95+[1]CRITERIOS!$M$98)))/N111)</f>
        <v>#N/A</v>
      </c>
      <c r="AE111" s="39">
        <f>IF($R111="MTO","",
IF($H111=0,ROUNDUP(((_xlfn.XLOOKUP($A111,'[1]DATOS PBI Artículos'!$A:$A,'[1]DATOS PBI Artículos'!$AL:$AL))/(_xlfn.XLOOKUP($AF$1,[1]CRITERIOS!$S$16:$S$39,[1]CRITERIOS!$Y$16:$Y$39))*$J111+$Z111)/$G111,0)*$G111,
((_xlfn.XLOOKUP($A111,'[1]DATOS PBI Artículos'!$A:$A,'[1]DATOS PBI Artículos'!$AL:$AL))/(_xlfn.XLOOKUP($AF$1,[1]CRITERIOS!$S$16:$S$39,[1]CRITERIOS!$Y$16:$Y$39))*$J111+$Z111)))</f>
        <v>41600</v>
      </c>
      <c r="AG111" s="39">
        <f>IF($R111="MTO","",
IF($H111=0,ROUNDUP(((_xlfn.XLOOKUP($A111,'[1]DATOS PBI Artículos'!$A:$A,'[1]DATOS PBI Artículos'!$AM:$AM))/(_xlfn.XLOOKUP($AH$1,[1]CRITERIOS!$S$16:$S$39,[1]CRITERIOS!$Y$16:$Y$39))*$J111+$Z111)/$G111,0)*$G111,
((_xlfn.XLOOKUP($A111,'[1]DATOS PBI Artículos'!$A:$A,'[1]DATOS PBI Artículos'!$AM:$AM))/(_xlfn.XLOOKUP($AH$1,[1]CRITERIOS!$S$16:$S$39,[1]CRITERIOS!$Y$16:$Y$39))*$J111+$Z111)))</f>
        <v>41600</v>
      </c>
      <c r="AI111" s="39">
        <f>IF($R111="MTO","",
IF($H111=0,ROUNDUP(((_xlfn.XLOOKUP($A111,'[1]DATOS PBI Artículos'!$A:$A,'[1]DATOS PBI Artículos'!$AN:$AN))/(_xlfn.XLOOKUP($AJ$1,[1]CRITERIOS!$S$16:$S$39,[1]CRITERIOS!$Y$16:$Y$39))*$J111+$Z111)/$G111,0)*$G111,
((_xlfn.XLOOKUP($A111,'[1]DATOS PBI Artículos'!$A:$A,'[1]DATOS PBI Artículos'!$AN:$AN))/(_xlfn.XLOOKUP($AJ$1,[1]CRITERIOS!$S$16:$S$39,[1]CRITERIOS!$Y$16:$Y$39))*$J111+$Z111)))</f>
        <v>41600</v>
      </c>
      <c r="AK111" s="39">
        <f>IF($R111="MTO","",
IF($H111=0,ROUNDUP(((_xlfn.XLOOKUP($A111,'[1]DATOS PBI Artículos'!$A:$A,'[1]DATOS PBI Artículos'!$AO:$AO))/(_xlfn.XLOOKUP($AL$1,[1]CRITERIOS!$S$16:$S$39,[1]CRITERIOS!$Y$16:$Y$39))*$J111+$Z111)/$G111,0)*$G111,
((_xlfn.XLOOKUP($A111,'[1]DATOS PBI Artículos'!$A:$A,'[1]DATOS PBI Artículos'!$AO:$AO))/(_xlfn.XLOOKUP($AL$1,[1]CRITERIOS!$S$16:$S$39,[1]CRITERIOS!$Y$16:$Y$39))*$J111+$Z111)))</f>
        <v>41600</v>
      </c>
    </row>
    <row r="112" spans="1:37" ht="25.8" x14ac:dyDescent="0.5">
      <c r="A112" s="32">
        <v>400298</v>
      </c>
      <c r="B112" s="33">
        <f>_xlfn.XLOOKUP($A112,'[1]DATOS PBI Artículos'!A:A,'[1]DATOS PBI Artículos'!B:B)</f>
        <v>0</v>
      </c>
      <c r="C112" s="33" t="str">
        <f>_xlfn.XLOOKUP($A112,'[1]DATOS PBI Artículos'!A:A,'[1]DATOS PBI Artículos'!C:C)</f>
        <v>UA03</v>
      </c>
      <c r="D112" s="33">
        <f>_xlfn.XLOOKUP(A112,'[1]DATOS PBI Artículos'!A:A,'[1]DATOS PBI Artículos'!T:T)</f>
        <v>4</v>
      </c>
      <c r="E112" s="34">
        <f>IF(_xlfn.XLOOKUP($A112,'[1]DATOS PBI Artículos'!A:A,'[1]DATOS PBI Artículos'!AK:AK)="",_xlfn.XLOOKUP($A112,'[1]DATOS PBI Artículos'!A:A,'[1]DATOS PBI Artículos'!AJ:AJ),_xlfn.XLOOKUP($A112,'[1]DATOS PBI Artículos'!A:A,'[1]DATOS PBI Artículos'!AK:AK))</f>
        <v>81600</v>
      </c>
      <c r="F112" s="35">
        <f>_xlfn.XLOOKUP($A112,'[1]DATOS PBI Artículos'!A:A,'[1]DATOS PBI Artículos'!AP:AP)</f>
        <v>21.33333333333</v>
      </c>
      <c r="G112" s="34">
        <f>_xlfn.XLOOKUP($A112,'[1]DATOS PBI Artículos'!A:A,'[1]DATOS PBI Artículos'!AR:AR)</f>
        <v>20400</v>
      </c>
      <c r="H112" s="34">
        <f>_xlfn.XLOOKUP($A112,'[1]DATOS PBI Artículos'!A:A,'[1]DATOS PBI Artículos'!AT:AT)</f>
        <v>0</v>
      </c>
      <c r="I112" s="34">
        <f>_xlfn.XLOOKUP($A112,'[1]DATOS PBI Artículos'!A:A,'[1]DATOS PBI Artículos'!AS:AS)</f>
        <v>20400</v>
      </c>
      <c r="J112" s="35">
        <f>IF(COUNTIF([1]CRITERIOS!$F$179:$F$199,$A112)&gt;=1,
 IF(O112&lt;&gt;"",
    (O112/_xlfn.XLOOKUP(CONCATENATE(A112,L112),[1]MÁQUINAS!A:A,[1]MÁQUINAS!D:D))/24,
    (N112/_xlfn.XLOOKUP(CONCATENATE(A112,L112),[1]MÁQUINAS!A:A,[1]MÁQUINAS!D:D))/24),
  _xlfn.XLOOKUP($A112,'[1]DATOS PBI Artículos'!A:A,'[1]DATOS PBI Artículos'!AU:AU))</f>
        <v>15</v>
      </c>
      <c r="K112" s="36">
        <f>_xlfn.XLOOKUP($A112,'[1]DATOS PBI Artículos'!A:A,'[1]DATOS PBI Artículos'!AV:AV)</f>
        <v>2.598076211353316</v>
      </c>
      <c r="L112" s="33">
        <f>_xlfn.XLOOKUP(A112,[1]MÁQUINAS!B:B,[1]MÁQUINAS!C:C)</f>
        <v>142</v>
      </c>
      <c r="M112" s="34">
        <f t="array" ref="M112">_xlfn.XLOOKUP(A112,'[1]DATOS PBI Artículos'!A:A,'[1]DATOS PBI Artículos'!AX:$AX)</f>
        <v>46423.451443923324</v>
      </c>
      <c r="N112" s="37">
        <f>IF(I112="DV",
E112,
IF(COUNTIF([1]CRITERIOS!$I$179:$I$199,$A112)&gt;=1,
_xlfn.XLOOKUP($A112,[1]CRITERIOS!$I$179:$I$199,[1]CRITERIOS!$J$179:$J$199),
IF(COUNTIF([1]CRITERIOS!$L$179:$L$199,$A112)&gt;=1,
_xlfn.CEILING.MATH(IF($M112&gt;$E112,
$E112,
IF($M112&lt;$E112/ROUNDDOWN([1]CRITERIOS!$M$16/_xlfn.XLOOKUP($C112,[1]CRITERIOS!$K$25:$K$42,[1]CRITERIOS!$M$25:$M$42),
1),
E112/ROUNDDOWN([1]CRITERIOS!$M$16/_xlfn.XLOOKUP($C112,[1]CRITERIOS!$K$25:$K$42,[1]CRITERIOS!$M$25:$M$42),
1),
$M112)),
_xlfn.XLOOKUP($A112,[1]CRITERIOS!$L$179:$L$200,[1]CRITERIOS!$M$179:$M$200)),
_xlfn.CEILING.MATH(IF($M112&gt;$E112,
$E112,
IF($M112&lt;$E112/ROUNDDOWN([1]CRITERIOS!$M$16/_xlfn.XLOOKUP($C112,[1]CRITERIOS!$K$25:$K$42,[1]CRITERIOS!$M$25:$M$42),
1),
E112/ROUNDDOWN([1]CRITERIOS!$M$16/_xlfn.XLOOKUP($C112,[1]CRITERIOS!$K$25:$K$42,[1]CRITERIOS!$M$25:$M$42),
1),
$M112)),_xlfn.XLOOKUP(A112,'[1]DATOS PBI Artículos'!A:A,'[1]DATOS PBI Artículos'!Z:Z
)))))</f>
        <v>51000</v>
      </c>
      <c r="Q112" s="38">
        <f>IF(AND(O112="",N112=0),
0,
   IF(COUNTIF([1]CRITERIOS!$F$179:$F$199,$A112)&gt;=1,
   1,
   IF(R112="MTO",
      $D112,
      ROUNDUP(
                    IF(($E112-SUMIF('[1]DATOS PBI Artículos'!A:A,A112,'[1]DATOS PBI Artículos'!X:X)+($V112-_xlfn.XLOOKUP(A112,'[1]DATOS PBI Artículos'!A:A,'[1]DATOS PBI Artículos'!W:W)))&lt;0,
                    0,
                    IF(($E112-SUMIF('[1]DATOS PBI Artículos'!A:A,A112,'[1]DATOS PBI Artículos'!X:X)+$V112-_xlfn.XLOOKUP($A112,'[1]DATOS PBI Artículos'!A:A,'[1]DATOS PBI Artículos'!W:W))/IF($O112="",$N112,$O112)&gt;ROUNDUP([1]CRITERIOS!$M$16/(IF(COUNTIF([1]CRITERIOS!$BG$11:$BG$201,L112)&gt;=1,_xlfn.XLOOKUP($C112,[1]CRITERIOS!$K$25:$K$42,[1]CRITERIOS!$M$25:$M$42),_xlfn.XLOOKUP($C112,[1]CRITERIOS!$K$25:$K$42,[1]CRITERIOS!$M$25:$M$42))),0),
                    ROUNDUP([1]CRITERIOS!$M$16/(IF(COUNTIF([1]CRITERIOS!$BG$11:$BG$201,$L112)&gt;=1,_xlfn.XLOOKUP($C112,[1]CRITERIOS!$K$25:$K$42,[1]CRITERIOS!$M$25:$M$42),_xlfn.XLOOKUP($C112,[1]CRITERIOS!$K$25:$K$42,[1]CRITERIOS!$M$25:$M$42))),0),
                    (E112+V112-SUMIF('[1]DATOS PBI Artículos'!A:A,A112,'[1]DATOS PBI Artículos'!X:X)-_xlfn.XLOOKUP(A112,'[1]DATOS PBI Artículos'!A:A,'[1]DATOS PBI Artículos'!W:W))/IF($O112="",$N112,$O112))),0))))</f>
        <v>2</v>
      </c>
      <c r="R112" s="33" t="str">
        <f>IF(U112&lt;&gt;"",U112,IF(F112="DV","MTO",IF(N112=0,"MTO",_xlfn.XLOOKUP(CONCATENATE(S112,T112),[1]CRITERIOS!$K$160:$K$168,[1]CRITERIOS!$N$160:$N$168))))</f>
        <v>MTS</v>
      </c>
      <c r="S112" s="33" t="str">
        <f>IF(G112="DV","MTO",IF(N112=0,"MTO",IF(OR(AND(N112=0,O112=""),IF(O112="",G112/N112,G112/O112)&gt;[1]CRITERIOS!$G$163),"MTO",IF(IF(O112="",G112/N112,G112/O112)&lt;[1]CRITERIOS!$H$161,"MTS","MTOS"))))</f>
        <v>MTS</v>
      </c>
      <c r="T112" s="33" t="str">
        <f>IF(F112="DV","MTO",IF(OR(AND($N112=0,O112=""),$F112/$J112&gt;[1]CRITERIOS!$G$170,$F112="DV"),"MTO",IF($F112/$J112&lt;[1]CRITERIOS!$H$168,"MTS","MTOS")))</f>
        <v>MTO</v>
      </c>
      <c r="V112" s="34">
        <f t="shared" si="7"/>
        <v>16699.339098295917</v>
      </c>
      <c r="X112" s="34">
        <f t="shared" si="5"/>
        <v>67699.339098295924</v>
      </c>
      <c r="Y112" s="34">
        <f t="shared" si="6"/>
        <v>27855.589098293673</v>
      </c>
      <c r="Z112" s="34">
        <f>IF($R112="MTO",
0,
($H112+$K112*($E112/[1]CRITERIOS!$M$16))/[1]CRITERIOS!$X$48)</f>
        <v>2355.5890982936735</v>
      </c>
      <c r="AA112" s="34" t="e">
        <f>ROUNDUP(($Y112/_xlfn.XLOOKUP($A112,'[1]DATOS PBI Artículos'!$A$4:$A$4,'[1]DATOS PBI Artículos'!$Z$4:$Z$4))/_xlfn.XLOOKUP(_xlfn.XLOOKUP($A112,'[1]DATOS PBI Artículos'!$A$4:$A$4,'[1]DATOS PBI Artículos'!$Y$4:$Y$4),[1]CRITERIOS!$P$79:$P$123,[1]CRITERIOS!$S$79:$S$123,),0)</f>
        <v>#N/A</v>
      </c>
      <c r="AB112" s="33" t="e">
        <f t="array" ref="AB112">IF((E112+V112-_xlfn.XLOOKUP(A112,'[1]DATOS PBI Artículos'!$A$4:$A$4,'[1]DATOS PBI Artículos'!$W$4:$W$4))/N112&gt;ROUNDUP([1]CRITERIOS!$M$16/(IF(COUNTIF([1]CRITERIOS!$BG$11:$BG$201,L112)&gt;=1,_xlfn.XLOOKUP(ARTÍCULOS!L112,[1]CRITERIOS!$BG$11:$BG$201,[1]CRITERIOS!$BJ$11:$BJ$201),_xlfn.XLOOKUP(ARTÍCULOS!C112,[1]CRITERIOS!$K$25:$K$42,[1]CRITERIOS!$M$25:$M$42))),0),ROUNDUP([1]CRITERIOS!$M$16/(IF(COUNTIF([1]CRITERIOS!$BG$11:$BG$201,L112)&gt;=1,_xlfn.XLOOKUP(ARTÍCULOS!L112,[1]CRITERIOS!$BG$11:$BG$201:#REF!,[1]CRITERIOS!$BJ$11:$BJ$201),_xlfn.XLOOKUP(ARTÍCULOS!C112,[1]CRITERIOS!$K$25:$K$42,[1]CRITERIOS!$M$25:$M$42))),0),(E112+V112-_xlfn.XLOOKUP(A112,'[1]DATOS PBI Artículos'!$A$4:$A$4,'[1]DATOS PBI Artículos'!$W$4:$W$4))/N112)</f>
        <v>#N/A</v>
      </c>
      <c r="AC112" s="33" t="e">
        <f>IF(N112=0,"",(ROUNDUP((N112/2)/(_xlfn.XLOOKUP(A112,'[1]DATOS PBI Artículos'!$A$4:$A$4,'[1]DATOS PBI Artículos'!$Z$4:$Z$4)*_xlfn.XLOOKUP(_xlfn.XLOOKUP(A112,'[1]DATOS PBI Artículos'!$A$4:$A$4,'[1]DATOS PBI Artículos'!$Y$4:$Y$4),[1]CRITERIOS!$P$79:$P$123,[1]CRITERIOS!$S$79:$S$123)),0)*[1]CRITERIOS!$M$80*([1]CRITERIOS!$M$110/[1]CRITERIOS!$M$86)+(_xlfn.XLOOKUP(A112,'[1]DATOS PBI Artículos'!$A$4:$A$4,'[1]DATOS PBI Artículos'!$AA$4:$AA$4)*([1]CRITERIOS!$M$95+[1]CRITERIOS!$M$98)))/N112)</f>
        <v>#N/A</v>
      </c>
      <c r="AD112" s="33" t="e">
        <f>IF(N112=0,"",(ROUNDUP((N112/2)/(_xlfn.XLOOKUP(A112,'[1]DATOS PBI Artículos'!$A$4:$A$4,'[1]DATOS PBI Artículos'!$Z$4:$Z$4)*_xlfn.XLOOKUP(_xlfn.XLOOKUP(A112,'[1]DATOS PBI Artículos'!$A$4:$A$4,'[1]DATOS PBI Artículos'!$Y$4:$Y$4),[1]CRITERIOS!$P$79:$P$123,[1]CRITERIOS!$S$79:$S$123)),0)*[1]CRITERIOS!$M$80*([1]CRITERIOS!$M$89*[1]CRITERIOS!$M$92)+((_xlfn.XLOOKUP(A112,'[1]DATOS PBI Artículos'!$A$4:$A$4,'[1]DATOS PBI Artículos'!$AA$4:$AA$4)/2)*([1]CRITERIOS!$M$95+[1]CRITERIOS!$M$98)))/N112)</f>
        <v>#N/A</v>
      </c>
      <c r="AE112" s="39">
        <f>IF($R112="MTO","",
IF($H112=0,ROUNDUP(((_xlfn.XLOOKUP($A112,'[1]DATOS PBI Artículos'!$A:$A,'[1]DATOS PBI Artículos'!$AL:$AL))/(_xlfn.XLOOKUP($AF$1,[1]CRITERIOS!$S$16:$S$39,[1]CRITERIOS!$Y$16:$Y$39))*$J112+$Z112)/$G112,0)*$G112,
((_xlfn.XLOOKUP($A112,'[1]DATOS PBI Artículos'!$A:$A,'[1]DATOS PBI Artículos'!$AL:$AL))/(_xlfn.XLOOKUP($AF$1,[1]CRITERIOS!$S$16:$S$39,[1]CRITERIOS!$Y$16:$Y$39))*$J112+$Z112)))</f>
        <v>40800</v>
      </c>
      <c r="AG112" s="39">
        <f>IF($R112="MTO","",
IF($H112=0,ROUNDUP(((_xlfn.XLOOKUP($A112,'[1]DATOS PBI Artículos'!$A:$A,'[1]DATOS PBI Artículos'!$AM:$AM))/(_xlfn.XLOOKUP($AH$1,[1]CRITERIOS!$S$16:$S$39,[1]CRITERIOS!$Y$16:$Y$39))*$J112+$Z112)/$G112,0)*$G112,
((_xlfn.XLOOKUP($A112,'[1]DATOS PBI Artículos'!$A:$A,'[1]DATOS PBI Artículos'!$AM:$AM))/(_xlfn.XLOOKUP($AH$1,[1]CRITERIOS!$S$16:$S$39,[1]CRITERIOS!$Y$16:$Y$39))*$J112+$Z112)))</f>
        <v>20400</v>
      </c>
      <c r="AI112" s="39">
        <f>IF($R112="MTO","",
IF($H112=0,ROUNDUP(((_xlfn.XLOOKUP($A112,'[1]DATOS PBI Artículos'!$A:$A,'[1]DATOS PBI Artículos'!$AN:$AN))/(_xlfn.XLOOKUP($AJ$1,[1]CRITERIOS!$S$16:$S$39,[1]CRITERIOS!$Y$16:$Y$39))*$J112+$Z112)/$G112,0)*$G112,
((_xlfn.XLOOKUP($A112,'[1]DATOS PBI Artículos'!$A:$A,'[1]DATOS PBI Artículos'!$AN:$AN))/(_xlfn.XLOOKUP($AJ$1,[1]CRITERIOS!$S$16:$S$39,[1]CRITERIOS!$Y$16:$Y$39))*$J112+$Z112)))</f>
        <v>20400</v>
      </c>
      <c r="AK112" s="39">
        <f>IF($R112="MTO","",
IF($H112=0,ROUNDUP(((_xlfn.XLOOKUP($A112,'[1]DATOS PBI Artículos'!$A:$A,'[1]DATOS PBI Artículos'!$AO:$AO))/(_xlfn.XLOOKUP($AL$1,[1]CRITERIOS!$S$16:$S$39,[1]CRITERIOS!$Y$16:$Y$39))*$J112+$Z112)/$G112,0)*$G112,
((_xlfn.XLOOKUP($A112,'[1]DATOS PBI Artículos'!$A:$A,'[1]DATOS PBI Artículos'!$AO:$AO))/(_xlfn.XLOOKUP($AL$1,[1]CRITERIOS!$S$16:$S$39,[1]CRITERIOS!$Y$16:$Y$39))*$J112+$Z112)))</f>
        <v>40800</v>
      </c>
    </row>
    <row r="113" spans="1:37" ht="25.8" x14ac:dyDescent="0.5">
      <c r="A113" s="32">
        <v>453367</v>
      </c>
      <c r="B113" s="33">
        <f>_xlfn.XLOOKUP($A113,'[1]DATOS PBI Artículos'!A:A,'[1]DATOS PBI Artículos'!B:B)</f>
        <v>0</v>
      </c>
      <c r="C113" s="33" t="str">
        <f>_xlfn.XLOOKUP($A113,'[1]DATOS PBI Artículos'!A:A,'[1]DATOS PBI Artículos'!C:C)</f>
        <v>UA02</v>
      </c>
      <c r="D113" s="33">
        <f>_xlfn.XLOOKUP(A113,'[1]DATOS PBI Artículos'!A:A,'[1]DATOS PBI Artículos'!T:T)</f>
        <v>3</v>
      </c>
      <c r="E113" s="34">
        <f>IF(_xlfn.XLOOKUP($A113,'[1]DATOS PBI Artículos'!A:A,'[1]DATOS PBI Artículos'!AK:AK)="",_xlfn.XLOOKUP($A113,'[1]DATOS PBI Artículos'!A:A,'[1]DATOS PBI Artículos'!AJ:AJ),_xlfn.XLOOKUP($A113,'[1]DATOS PBI Artículos'!A:A,'[1]DATOS PBI Artículos'!AK:AK))</f>
        <v>81000</v>
      </c>
      <c r="F113" s="35">
        <f>_xlfn.XLOOKUP($A113,'[1]DATOS PBI Artículos'!A:A,'[1]DATOS PBI Artículos'!AP:AP)</f>
        <v>24.5</v>
      </c>
      <c r="G113" s="34">
        <f>_xlfn.XLOOKUP($A113,'[1]DATOS PBI Artículos'!A:A,'[1]DATOS PBI Artículos'!AR:AR)</f>
        <v>27000</v>
      </c>
      <c r="H113" s="34">
        <f>_xlfn.XLOOKUP($A113,'[1]DATOS PBI Artículos'!A:A,'[1]DATOS PBI Artículos'!AT:AT)</f>
        <v>0</v>
      </c>
      <c r="I113" s="34">
        <f>_xlfn.XLOOKUP($A113,'[1]DATOS PBI Artículos'!A:A,'[1]DATOS PBI Artículos'!AS:AS)</f>
        <v>27000</v>
      </c>
      <c r="J113" s="35">
        <f>IF(COUNTIF([1]CRITERIOS!$F$179:$F$199,$A113)&gt;=1,
 IF(O113&lt;&gt;"",
    (O113/_xlfn.XLOOKUP(CONCATENATE(A113,L113),[1]MÁQUINAS!A:A,[1]MÁQUINAS!D:D))/24,
    (N113/_xlfn.XLOOKUP(CONCATENATE(A113,L113),[1]MÁQUINAS!A:A,[1]MÁQUINAS!D:D))/24),
  _xlfn.XLOOKUP($A113,'[1]DATOS PBI Artículos'!A:A,'[1]DATOS PBI Artículos'!AU:AU))</f>
        <v>10</v>
      </c>
      <c r="K113" s="36">
        <f>_xlfn.XLOOKUP($A113,'[1]DATOS PBI Artículos'!A:A,'[1]DATOS PBI Artículos'!AV:AV)</f>
        <v>0</v>
      </c>
      <c r="L113" s="33">
        <f>_xlfn.XLOOKUP(A113,[1]MÁQUINAS!B:B,[1]MÁQUINAS!C:C)</f>
        <v>213</v>
      </c>
      <c r="M113" s="34">
        <f t="array" ref="M113">_xlfn.XLOOKUP(A113,'[1]DATOS PBI Artículos'!A:A,'[1]DATOS PBI Artículos'!AX:$AX)</f>
        <v>40888.04259671305</v>
      </c>
      <c r="N113" s="37">
        <f>IF(I113="DV",
E113,
IF(COUNTIF([1]CRITERIOS!$I$179:$I$199,$A113)&gt;=1,
_xlfn.XLOOKUP($A113,[1]CRITERIOS!$I$179:$I$199,[1]CRITERIOS!$J$179:$J$199),
IF(COUNTIF([1]CRITERIOS!$L$179:$L$199,$A113)&gt;=1,
_xlfn.CEILING.MATH(IF($M113&gt;$E113,
$E113,
IF($M113&lt;$E113/ROUNDDOWN([1]CRITERIOS!$M$16/_xlfn.XLOOKUP($C113,[1]CRITERIOS!$K$25:$K$42,[1]CRITERIOS!$M$25:$M$42),
1),
E113/ROUNDDOWN([1]CRITERIOS!$M$16/_xlfn.XLOOKUP($C113,[1]CRITERIOS!$K$25:$K$42,[1]CRITERIOS!$M$25:$M$42),
1),
$M113)),
_xlfn.XLOOKUP($A113,[1]CRITERIOS!$L$179:$L$200,[1]CRITERIOS!$M$179:$M$200)),
_xlfn.CEILING.MATH(IF($M113&gt;$E113,
$E113,
IF($M113&lt;$E113/ROUNDDOWN([1]CRITERIOS!$M$16/_xlfn.XLOOKUP($C113,[1]CRITERIOS!$K$25:$K$42,[1]CRITERIOS!$M$25:$M$42),
1),
E113/ROUNDDOWN([1]CRITERIOS!$M$16/_xlfn.XLOOKUP($C113,[1]CRITERIOS!$K$25:$K$42,[1]CRITERIOS!$M$25:$M$42),
1),
$M113)),_xlfn.XLOOKUP(A113,'[1]DATOS PBI Artículos'!A:A,'[1]DATOS PBI Artículos'!Z:Z
)))))</f>
        <v>45000</v>
      </c>
      <c r="Q113" s="38">
        <f>IF(AND(O113="",N113=0),
0,
   IF(COUNTIF([1]CRITERIOS!$F$179:$F$199,$A113)&gt;=1,
   1,
   IF(R113="MTO",
      $D113,
      ROUNDUP(
                    IF(($E113-SUMIF('[1]DATOS PBI Artículos'!A:A,A113,'[1]DATOS PBI Artículos'!X:X)+($V113-_xlfn.XLOOKUP(A113,'[1]DATOS PBI Artículos'!A:A,'[1]DATOS PBI Artículos'!W:W)))&lt;0,
                    0,
                    IF(($E113-SUMIF('[1]DATOS PBI Artículos'!A:A,A113,'[1]DATOS PBI Artículos'!X:X)+$V113-_xlfn.XLOOKUP($A113,'[1]DATOS PBI Artículos'!A:A,'[1]DATOS PBI Artículos'!W:W))/IF($O113="",$N113,$O113)&gt;ROUNDUP([1]CRITERIOS!$M$16/(IF(COUNTIF([1]CRITERIOS!$BG$11:$BG$201,L113)&gt;=1,_xlfn.XLOOKUP($C113,[1]CRITERIOS!$K$25:$K$42,[1]CRITERIOS!$M$25:$M$42),_xlfn.XLOOKUP($C113,[1]CRITERIOS!$K$25:$K$42,[1]CRITERIOS!$M$25:$M$42))),0),
                    ROUNDUP([1]CRITERIOS!$M$16/(IF(COUNTIF([1]CRITERIOS!$BG$11:$BG$201,$L113)&gt;=1,_xlfn.XLOOKUP($C113,[1]CRITERIOS!$K$25:$K$42,[1]CRITERIOS!$M$25:$M$42),_xlfn.XLOOKUP($C113,[1]CRITERIOS!$K$25:$K$42,[1]CRITERIOS!$M$25:$M$42))),0),
                    (E113+V113-SUMIF('[1]DATOS PBI Artículos'!A:A,A113,'[1]DATOS PBI Artículos'!X:X)-_xlfn.XLOOKUP(A113,'[1]DATOS PBI Artículos'!A:A,'[1]DATOS PBI Artículos'!W:W))/IF($O113="",$N113,$O113))),0))))</f>
        <v>3</v>
      </c>
      <c r="R113" s="33" t="str">
        <f>IF(U113&lt;&gt;"",U113,IF(F113="DV","MTO",IF(N113=0,"MTO",_xlfn.XLOOKUP(CONCATENATE(S113,T113),[1]CRITERIOS!$K$160:$K$168,[1]CRITERIOS!$N$160:$N$168))))</f>
        <v>MTO</v>
      </c>
      <c r="S113" s="33" t="str">
        <f>IF(G113="DV","MTO",IF(N113=0,"MTO",IF(OR(AND(N113=0,O113=""),IF(O113="",G113/N113,G113/O113)&gt;[1]CRITERIOS!$G$163),"MTO",IF(IF(O113="",G113/N113,G113/O113)&lt;[1]CRITERIOS!$H$161,"MTS","MTOS"))))</f>
        <v>MTOS</v>
      </c>
      <c r="T113" s="33" t="str">
        <f>IF(F113="DV","MTO",IF(OR(AND($N113=0,O113=""),$F113/$J113&gt;[1]CRITERIOS!$G$170,$F113="DV"),"MTO",IF($F113/$J113&lt;[1]CRITERIOS!$H$168,"MTS","MTOS")))</f>
        <v>MTO</v>
      </c>
      <c r="V113" s="34" t="str">
        <f t="shared" si="7"/>
        <v/>
      </c>
      <c r="X113" s="34">
        <f t="shared" si="5"/>
        <v>0</v>
      </c>
      <c r="Y113" s="34">
        <f t="shared" si="6"/>
        <v>0</v>
      </c>
      <c r="Z113" s="34">
        <f>IF($R113="MTO",
0,
($H113+$K113*($E113/[1]CRITERIOS!$M$16))/[1]CRITERIOS!$X$48)</f>
        <v>0</v>
      </c>
      <c r="AA113" s="34" t="e">
        <f>ROUNDUP(($Y113/_xlfn.XLOOKUP($A113,'[1]DATOS PBI Artículos'!$A$4:$A$4,'[1]DATOS PBI Artículos'!$Z$4:$Z$4))/_xlfn.XLOOKUP(_xlfn.XLOOKUP($A113,'[1]DATOS PBI Artículos'!$A$4:$A$4,'[1]DATOS PBI Artículos'!$Y$4:$Y$4),[1]CRITERIOS!$P$79:$P$123,[1]CRITERIOS!$S$79:$S$123,),0)</f>
        <v>#N/A</v>
      </c>
      <c r="AB113" s="33" t="e">
        <f t="array" ref="AB113">IF((E113+V113-_xlfn.XLOOKUP(A113,'[1]DATOS PBI Artículos'!$A$4:$A$4,'[1]DATOS PBI Artículos'!$W$4:$W$4))/N113&gt;ROUNDUP([1]CRITERIOS!$M$16/(IF(COUNTIF([1]CRITERIOS!$BG$11:$BG$201,L113)&gt;=1,_xlfn.XLOOKUP(ARTÍCULOS!L113,[1]CRITERIOS!$BG$11:$BG$201,[1]CRITERIOS!$BJ$11:$BJ$201),_xlfn.XLOOKUP(ARTÍCULOS!C113,[1]CRITERIOS!$K$25:$K$42,[1]CRITERIOS!$M$25:$M$42))),0),ROUNDUP([1]CRITERIOS!$M$16/(IF(COUNTIF([1]CRITERIOS!$BG$11:$BG$201,L113)&gt;=1,_xlfn.XLOOKUP(ARTÍCULOS!L113,[1]CRITERIOS!$BG$11:$BG$201:#REF!,[1]CRITERIOS!$BJ$11:$BJ$201),_xlfn.XLOOKUP(ARTÍCULOS!C113,[1]CRITERIOS!$K$25:$K$42,[1]CRITERIOS!$M$25:$M$42))),0),(E113+V113-_xlfn.XLOOKUP(A113,'[1]DATOS PBI Artículos'!$A$4:$A$4,'[1]DATOS PBI Artículos'!$W$4:$W$4))/N113)</f>
        <v>#VALUE!</v>
      </c>
      <c r="AC113" s="33" t="e">
        <f>IF(N113=0,"",(ROUNDUP((N113/2)/(_xlfn.XLOOKUP(A113,'[1]DATOS PBI Artículos'!$A$4:$A$4,'[1]DATOS PBI Artículos'!$Z$4:$Z$4)*_xlfn.XLOOKUP(_xlfn.XLOOKUP(A113,'[1]DATOS PBI Artículos'!$A$4:$A$4,'[1]DATOS PBI Artículos'!$Y$4:$Y$4),[1]CRITERIOS!$P$79:$P$123,[1]CRITERIOS!$S$79:$S$123)),0)*[1]CRITERIOS!$M$80*([1]CRITERIOS!$M$110/[1]CRITERIOS!$M$86)+(_xlfn.XLOOKUP(A113,'[1]DATOS PBI Artículos'!$A$4:$A$4,'[1]DATOS PBI Artículos'!$AA$4:$AA$4)*([1]CRITERIOS!$M$95+[1]CRITERIOS!$M$98)))/N113)</f>
        <v>#N/A</v>
      </c>
      <c r="AD113" s="33" t="e">
        <f>IF(N113=0,"",(ROUNDUP((N113/2)/(_xlfn.XLOOKUP(A113,'[1]DATOS PBI Artículos'!$A$4:$A$4,'[1]DATOS PBI Artículos'!$Z$4:$Z$4)*_xlfn.XLOOKUP(_xlfn.XLOOKUP(A113,'[1]DATOS PBI Artículos'!$A$4:$A$4,'[1]DATOS PBI Artículos'!$Y$4:$Y$4),[1]CRITERIOS!$P$79:$P$123,[1]CRITERIOS!$S$79:$S$123)),0)*[1]CRITERIOS!$M$80*([1]CRITERIOS!$M$89*[1]CRITERIOS!$M$92)+((_xlfn.XLOOKUP(A113,'[1]DATOS PBI Artículos'!$A$4:$A$4,'[1]DATOS PBI Artículos'!$AA$4:$AA$4)/2)*([1]CRITERIOS!$M$95+[1]CRITERIOS!$M$98)))/N113)</f>
        <v>#N/A</v>
      </c>
      <c r="AE113" s="39" t="str">
        <f>IF($R113="MTO","",
IF($H113=0,ROUNDUP(((_xlfn.XLOOKUP($A113,'[1]DATOS PBI Artículos'!$A:$A,'[1]DATOS PBI Artículos'!$AL:$AL))/(_xlfn.XLOOKUP($AF$1,[1]CRITERIOS!$S$16:$S$39,[1]CRITERIOS!$Y$16:$Y$39))*$J113+$Z113)/$G113,0)*$G113,
((_xlfn.XLOOKUP($A113,'[1]DATOS PBI Artículos'!$A:$A,'[1]DATOS PBI Artículos'!$AL:$AL))/(_xlfn.XLOOKUP($AF$1,[1]CRITERIOS!$S$16:$S$39,[1]CRITERIOS!$Y$16:$Y$39))*$J113+$Z113)))</f>
        <v/>
      </c>
      <c r="AG113" s="39" t="str">
        <f>IF($R113="MTO","",
IF($H113=0,ROUNDUP(((_xlfn.XLOOKUP($A113,'[1]DATOS PBI Artículos'!$A:$A,'[1]DATOS PBI Artículos'!$AM:$AM))/(_xlfn.XLOOKUP($AH$1,[1]CRITERIOS!$S$16:$S$39,[1]CRITERIOS!$Y$16:$Y$39))*$J113+$Z113)/$G113,0)*$G113,
((_xlfn.XLOOKUP($A113,'[1]DATOS PBI Artículos'!$A:$A,'[1]DATOS PBI Artículos'!$AM:$AM))/(_xlfn.XLOOKUP($AH$1,[1]CRITERIOS!$S$16:$S$39,[1]CRITERIOS!$Y$16:$Y$39))*$J113+$Z113)))</f>
        <v/>
      </c>
      <c r="AI113" s="39" t="str">
        <f>IF($R113="MTO","",
IF($H113=0,ROUNDUP(((_xlfn.XLOOKUP($A113,'[1]DATOS PBI Artículos'!$A:$A,'[1]DATOS PBI Artículos'!$AN:$AN))/(_xlfn.XLOOKUP($AJ$1,[1]CRITERIOS!$S$16:$S$39,[1]CRITERIOS!$Y$16:$Y$39))*$J113+$Z113)/$G113,0)*$G113,
((_xlfn.XLOOKUP($A113,'[1]DATOS PBI Artículos'!$A:$A,'[1]DATOS PBI Artículos'!$AN:$AN))/(_xlfn.XLOOKUP($AJ$1,[1]CRITERIOS!$S$16:$S$39,[1]CRITERIOS!$Y$16:$Y$39))*$J113+$Z113)))</f>
        <v/>
      </c>
      <c r="AK113" s="39" t="str">
        <f>IF($R113="MTO","",
IF($H113=0,ROUNDUP(((_xlfn.XLOOKUP($A113,'[1]DATOS PBI Artículos'!$A:$A,'[1]DATOS PBI Artículos'!$AO:$AO))/(_xlfn.XLOOKUP($AL$1,[1]CRITERIOS!$S$16:$S$39,[1]CRITERIOS!$Y$16:$Y$39))*$J113+$Z113)/$G113,0)*$G113,
((_xlfn.XLOOKUP($A113,'[1]DATOS PBI Artículos'!$A:$A,'[1]DATOS PBI Artículos'!$AO:$AO))/(_xlfn.XLOOKUP($AL$1,[1]CRITERIOS!$S$16:$S$39,[1]CRITERIOS!$Y$16:$Y$39))*$J113+$Z113)))</f>
        <v/>
      </c>
    </row>
    <row r="114" spans="1:37" ht="25.8" x14ac:dyDescent="0.5">
      <c r="A114" s="32">
        <v>422185</v>
      </c>
      <c r="B114" s="33">
        <f>_xlfn.XLOOKUP($A114,'[1]DATOS PBI Artículos'!A:A,'[1]DATOS PBI Artículos'!B:B)</f>
        <v>0</v>
      </c>
      <c r="C114" s="33" t="str">
        <f>_xlfn.XLOOKUP($A114,'[1]DATOS PBI Artículos'!A:A,'[1]DATOS PBI Artículos'!C:C)</f>
        <v>UA01</v>
      </c>
      <c r="D114" s="33">
        <f>_xlfn.XLOOKUP(A114,'[1]DATOS PBI Artículos'!A:A,'[1]DATOS PBI Artículos'!T:T)</f>
        <v>7</v>
      </c>
      <c r="E114" s="34">
        <f>IF(_xlfn.XLOOKUP($A114,'[1]DATOS PBI Artículos'!A:A,'[1]DATOS PBI Artículos'!AK:AK)="",_xlfn.XLOOKUP($A114,'[1]DATOS PBI Artículos'!A:A,'[1]DATOS PBI Artículos'!AJ:AJ),_xlfn.XLOOKUP($A114,'[1]DATOS PBI Artículos'!A:A,'[1]DATOS PBI Artículos'!AK:AK))</f>
        <v>80000</v>
      </c>
      <c r="F114" s="35">
        <f>_xlfn.XLOOKUP($A114,'[1]DATOS PBI Artículos'!A:A,'[1]DATOS PBI Artículos'!AP:AP)</f>
        <v>12.8</v>
      </c>
      <c r="G114" s="34">
        <f>_xlfn.XLOOKUP($A114,'[1]DATOS PBI Artículos'!A:A,'[1]DATOS PBI Artículos'!AR:AR)</f>
        <v>10000</v>
      </c>
      <c r="H114" s="34">
        <f>_xlfn.XLOOKUP($A114,'[1]DATOS PBI Artículos'!A:A,'[1]DATOS PBI Artículos'!AT:AT)</f>
        <v>5163.9777949432237</v>
      </c>
      <c r="I114" s="34">
        <f>_xlfn.XLOOKUP($A114,'[1]DATOS PBI Artículos'!A:A,'[1]DATOS PBI Artículos'!AS:AS)</f>
        <v>10000</v>
      </c>
      <c r="J114" s="35">
        <f>IF(COUNTIF([1]CRITERIOS!$F$179:$F$199,$A114)&gt;=1,
 IF(O114&lt;&gt;"",
    (O114/_xlfn.XLOOKUP(CONCATENATE(A114,L114),[1]MÁQUINAS!A:A,[1]MÁQUINAS!D:D))/24,
    (N114/_xlfn.XLOOKUP(CONCATENATE(A114,L114),[1]MÁQUINAS!A:A,[1]MÁQUINAS!D:D))/24),
  _xlfn.XLOOKUP($A114,'[1]DATOS PBI Artículos'!A:A,'[1]DATOS PBI Artículos'!AU:AU))</f>
        <v>55.666666666666664</v>
      </c>
      <c r="K114" s="36">
        <f>_xlfn.XLOOKUP($A114,'[1]DATOS PBI Artículos'!A:A,'[1]DATOS PBI Artículos'!AV:AV)</f>
        <v>20.372992503051972</v>
      </c>
      <c r="L114" s="33">
        <f>_xlfn.XLOOKUP(A114,[1]MÁQUINAS!B:B,[1]MÁQUINAS!C:C)</f>
        <v>550</v>
      </c>
      <c r="M114" s="34">
        <f t="array" ref="M114">_xlfn.XLOOKUP(A114,'[1]DATOS PBI Artículos'!A:A,'[1]DATOS PBI Artículos'!AX:$AX)</f>
        <v>18767.479961105531</v>
      </c>
      <c r="N114" s="37">
        <f>IF(I114="DV",
E114,
IF(COUNTIF([1]CRITERIOS!$I$179:$I$199,$A114)&gt;=1,
_xlfn.XLOOKUP($A114,[1]CRITERIOS!$I$179:$I$199,[1]CRITERIOS!$J$179:$J$199),
IF(COUNTIF([1]CRITERIOS!$L$179:$L$199,$A114)&gt;=1,
_xlfn.CEILING.MATH(IF($M114&gt;$E114,
$E114,
IF($M114&lt;$E114/ROUNDDOWN([1]CRITERIOS!$M$16/_xlfn.XLOOKUP($C114,[1]CRITERIOS!$K$25:$K$42,[1]CRITERIOS!$M$25:$M$42),
1),
E114/ROUNDDOWN([1]CRITERIOS!$M$16/_xlfn.XLOOKUP($C114,[1]CRITERIOS!$K$25:$K$42,[1]CRITERIOS!$M$25:$M$42),
1),
$M114)),
_xlfn.XLOOKUP($A114,[1]CRITERIOS!$L$179:$L$200,[1]CRITERIOS!$M$179:$M$200)),
_xlfn.CEILING.MATH(IF($M114&gt;$E114,
$E114,
IF($M114&lt;$E114/ROUNDDOWN([1]CRITERIOS!$M$16/_xlfn.XLOOKUP($C114,[1]CRITERIOS!$K$25:$K$42,[1]CRITERIOS!$M$25:$M$42),
1),
E114/ROUNDDOWN([1]CRITERIOS!$M$16/_xlfn.XLOOKUP($C114,[1]CRITERIOS!$K$25:$K$42,[1]CRITERIOS!$M$25:$M$42),
1),
$M114)),_xlfn.XLOOKUP(A114,'[1]DATOS PBI Artículos'!A:A,'[1]DATOS PBI Artículos'!Z:Z
)))))</f>
        <v>21750</v>
      </c>
      <c r="Q114" s="38">
        <f>IF(AND(O114="",N114=0),
0,
   IF(COUNTIF([1]CRITERIOS!$F$179:$F$199,$A114)&gt;=1,
   1,
   IF(R114="MTO",
      $D114,
      ROUNDUP(
                    IF(($E114-SUMIF('[1]DATOS PBI Artículos'!A:A,A114,'[1]DATOS PBI Artículos'!X:X)+($V114-_xlfn.XLOOKUP(A114,'[1]DATOS PBI Artículos'!A:A,'[1]DATOS PBI Artículos'!W:W)))&lt;0,
                    0,
                    IF(($E114-SUMIF('[1]DATOS PBI Artículos'!A:A,A114,'[1]DATOS PBI Artículos'!X:X)+$V114-_xlfn.XLOOKUP($A114,'[1]DATOS PBI Artículos'!A:A,'[1]DATOS PBI Artículos'!W:W))/IF($O114="",$N114,$O114)&gt;ROUNDUP([1]CRITERIOS!$M$16/(IF(COUNTIF([1]CRITERIOS!$BG$11:$BG$201,L114)&gt;=1,_xlfn.XLOOKUP($C114,[1]CRITERIOS!$K$25:$K$42,[1]CRITERIOS!$M$25:$M$42),_xlfn.XLOOKUP($C114,[1]CRITERIOS!$K$25:$K$42,[1]CRITERIOS!$M$25:$M$42))),0),
                    ROUNDUP([1]CRITERIOS!$M$16/(IF(COUNTIF([1]CRITERIOS!$BG$11:$BG$201,$L114)&gt;=1,_xlfn.XLOOKUP($C114,[1]CRITERIOS!$K$25:$K$42,[1]CRITERIOS!$M$25:$M$42),_xlfn.XLOOKUP($C114,[1]CRITERIOS!$K$25:$K$42,[1]CRITERIOS!$M$25:$M$42))),0),
                    (E114+V114-SUMIF('[1]DATOS PBI Artículos'!A:A,A114,'[1]DATOS PBI Artículos'!X:X)-_xlfn.XLOOKUP(A114,'[1]DATOS PBI Artículos'!A:A,'[1]DATOS PBI Artículos'!W:W))/IF($O114="",$N114,$O114))),0))))</f>
        <v>4</v>
      </c>
      <c r="R114" s="33" t="str">
        <f>IF(U114&lt;&gt;"",U114,IF(F114="DV","MTO",IF(N114=0,"MTO",_xlfn.XLOOKUP(CONCATENATE(S114,T114),[1]CRITERIOS!$K$160:$K$168,[1]CRITERIOS!$N$160:$N$168))))</f>
        <v>MTS</v>
      </c>
      <c r="S114" s="33" t="str">
        <f>IF(G114="DV","MTO",IF(N114=0,"MTO",IF(OR(AND(N114=0,O114=""),IF(O114="",G114/N114,G114/O114)&gt;[1]CRITERIOS!$G$163),"MTO",IF(IF(O114="",G114/N114,G114/O114)&lt;[1]CRITERIOS!$H$161,"MTS","MTOS"))))</f>
        <v>MTS</v>
      </c>
      <c r="T114" s="33" t="str">
        <f>IF(F114="DV","MTO",IF(OR(AND($N114=0,O114=""),$F114/$J114&gt;[1]CRITERIOS!$G$170,$F114="DV"),"MTO",IF($F114/$J114&lt;[1]CRITERIOS!$H$168,"MTS","MTOS")))</f>
        <v>MTS</v>
      </c>
      <c r="V114" s="34">
        <f t="shared" si="7"/>
        <v>65902.224831832209</v>
      </c>
      <c r="X114" s="34">
        <f t="shared" si="5"/>
        <v>87652.224831832209</v>
      </c>
      <c r="Y114" s="34">
        <f t="shared" si="6"/>
        <v>33287.641498498881</v>
      </c>
      <c r="Z114" s="34">
        <f>IF($R114="MTO",
0,
($H114+$K114*($E114/[1]CRITERIOS!$M$16))/[1]CRITERIOS!$X$48)</f>
        <v>22412.641498498884</v>
      </c>
      <c r="AA114" s="34" t="e">
        <f>ROUNDUP(($Y114/_xlfn.XLOOKUP($A114,'[1]DATOS PBI Artículos'!$A$4:$A$4,'[1]DATOS PBI Artículos'!$Z$4:$Z$4))/_xlfn.XLOOKUP(_xlfn.XLOOKUP($A114,'[1]DATOS PBI Artículos'!$A$4:$A$4,'[1]DATOS PBI Artículos'!$Y$4:$Y$4),[1]CRITERIOS!$P$79:$P$123,[1]CRITERIOS!$S$79:$S$123,),0)</f>
        <v>#N/A</v>
      </c>
      <c r="AB114" s="33" t="e">
        <f t="array" ref="AB114">IF((E114+V114-_xlfn.XLOOKUP(A114,'[1]DATOS PBI Artículos'!$A$4:$A$4,'[1]DATOS PBI Artículos'!$W$4:$W$4))/N114&gt;ROUNDUP([1]CRITERIOS!$M$16/(IF(COUNTIF([1]CRITERIOS!$BG$11:$BG$201,L114)&gt;=1,_xlfn.XLOOKUP(ARTÍCULOS!L114,[1]CRITERIOS!$BG$11:$BG$201,[1]CRITERIOS!$BJ$11:$BJ$201),_xlfn.XLOOKUP(ARTÍCULOS!C114,[1]CRITERIOS!$K$25:$K$42,[1]CRITERIOS!$M$25:$M$42))),0),ROUNDUP([1]CRITERIOS!$M$16/(IF(COUNTIF([1]CRITERIOS!$BG$11:$BG$201,L114)&gt;=1,_xlfn.XLOOKUP(ARTÍCULOS!L114,[1]CRITERIOS!$BG$11:$BG$201:#REF!,[1]CRITERIOS!$BJ$11:$BJ$201),_xlfn.XLOOKUP(ARTÍCULOS!C114,[1]CRITERIOS!$K$25:$K$42,[1]CRITERIOS!$M$25:$M$42))),0),(E114+V114-_xlfn.XLOOKUP(A114,'[1]DATOS PBI Artículos'!$A$4:$A$4,'[1]DATOS PBI Artículos'!$W$4:$W$4))/N114)</f>
        <v>#N/A</v>
      </c>
      <c r="AC114" s="33" t="e">
        <f>IF(N114=0,"",(ROUNDUP((N114/2)/(_xlfn.XLOOKUP(A114,'[1]DATOS PBI Artículos'!$A$4:$A$4,'[1]DATOS PBI Artículos'!$Z$4:$Z$4)*_xlfn.XLOOKUP(_xlfn.XLOOKUP(A114,'[1]DATOS PBI Artículos'!$A$4:$A$4,'[1]DATOS PBI Artículos'!$Y$4:$Y$4),[1]CRITERIOS!$P$79:$P$123,[1]CRITERIOS!$S$79:$S$123)),0)*[1]CRITERIOS!$M$80*([1]CRITERIOS!$M$110/[1]CRITERIOS!$M$86)+(_xlfn.XLOOKUP(A114,'[1]DATOS PBI Artículos'!$A$4:$A$4,'[1]DATOS PBI Artículos'!$AA$4:$AA$4)*([1]CRITERIOS!$M$95+[1]CRITERIOS!$M$98)))/N114)</f>
        <v>#N/A</v>
      </c>
      <c r="AD114" s="33" t="e">
        <f>IF(N114=0,"",(ROUNDUP((N114/2)/(_xlfn.XLOOKUP(A114,'[1]DATOS PBI Artículos'!$A$4:$A$4,'[1]DATOS PBI Artículos'!$Z$4:$Z$4)*_xlfn.XLOOKUP(_xlfn.XLOOKUP(A114,'[1]DATOS PBI Artículos'!$A$4:$A$4,'[1]DATOS PBI Artículos'!$Y$4:$Y$4),[1]CRITERIOS!$P$79:$P$123,[1]CRITERIOS!$S$79:$S$123)),0)*[1]CRITERIOS!$M$80*([1]CRITERIOS!$M$89*[1]CRITERIOS!$M$92)+((_xlfn.XLOOKUP(A114,'[1]DATOS PBI Artículos'!$A$4:$A$4,'[1]DATOS PBI Artículos'!$AA$4:$AA$4)/2)*([1]CRITERIOS!$M$95+[1]CRITERIOS!$M$98)))/N114)</f>
        <v>#N/A</v>
      </c>
      <c r="AE114" s="39">
        <f>IF($R114="MTO","",
IF($H114=0,ROUNDUP(((_xlfn.XLOOKUP($A114,'[1]DATOS PBI Artículos'!$A:$A,'[1]DATOS PBI Artículos'!$AL:$AL))/(_xlfn.XLOOKUP($AF$1,[1]CRITERIOS!$S$16:$S$39,[1]CRITERIOS!$Y$16:$Y$39))*$J114+$Z114)/$G114,0)*$G114,
((_xlfn.XLOOKUP($A114,'[1]DATOS PBI Artículos'!$A:$A,'[1]DATOS PBI Artículos'!$AL:$AL))/(_xlfn.XLOOKUP($AF$1,[1]CRITERIOS!$S$16:$S$39,[1]CRITERIOS!$Y$16:$Y$39))*$J114+$Z114)))</f>
        <v>91087.078754424816</v>
      </c>
      <c r="AG114" s="39">
        <f>IF($R114="MTO","",
IF($H114=0,ROUNDUP(((_xlfn.XLOOKUP($A114,'[1]DATOS PBI Artículos'!$A:$A,'[1]DATOS PBI Artículos'!$AM:$AM))/(_xlfn.XLOOKUP($AH$1,[1]CRITERIOS!$S$16:$S$39,[1]CRITERIOS!$Y$16:$Y$39))*$J114+$Z114)/$G114,0)*$G114,
((_xlfn.XLOOKUP($A114,'[1]DATOS PBI Artículos'!$A:$A,'[1]DATOS PBI Artículos'!$AM:$AM))/(_xlfn.XLOOKUP($AH$1,[1]CRITERIOS!$S$16:$S$39,[1]CRITERIOS!$Y$16:$Y$39))*$J114+$Z114)))</f>
        <v>71742.827988064106</v>
      </c>
      <c r="AI114" s="39">
        <f>IF($R114="MTO","",
IF($H114=0,ROUNDUP(((_xlfn.XLOOKUP($A114,'[1]DATOS PBI Artículos'!$A:$A,'[1]DATOS PBI Artículos'!$AN:$AN))/(_xlfn.XLOOKUP($AJ$1,[1]CRITERIOS!$S$16:$S$39,[1]CRITERIOS!$Y$16:$Y$39))*$J114+$Z114)/$G114,0)*$G114,
((_xlfn.XLOOKUP($A114,'[1]DATOS PBI Artículos'!$A:$A,'[1]DATOS PBI Artículos'!$AN:$AN))/(_xlfn.XLOOKUP($AJ$1,[1]CRITERIOS!$S$16:$S$39,[1]CRITERIOS!$Y$16:$Y$39))*$J114+$Z114)))</f>
        <v>81497.832177498873</v>
      </c>
      <c r="AK114" s="39">
        <f>IF($R114="MTO","",
IF($H114=0,ROUNDUP(((_xlfn.XLOOKUP($A114,'[1]DATOS PBI Artículos'!$A:$A,'[1]DATOS PBI Artículos'!$AO:$AO))/(_xlfn.XLOOKUP($AL$1,[1]CRITERIOS!$S$16:$S$39,[1]CRITERIOS!$Y$16:$Y$39))*$J114+$Z114)/$G114,0)*$G114,
((_xlfn.XLOOKUP($A114,'[1]DATOS PBI Artículos'!$A:$A,'[1]DATOS PBI Artículos'!$AO:$AO))/(_xlfn.XLOOKUP($AL$1,[1]CRITERIOS!$S$16:$S$39,[1]CRITERIOS!$Y$16:$Y$39))*$J114+$Z114)))</f>
        <v>86762.310061832206</v>
      </c>
    </row>
    <row r="115" spans="1:37" ht="25.8" x14ac:dyDescent="0.5">
      <c r="A115" s="32">
        <v>404053</v>
      </c>
      <c r="B115" s="33">
        <f>_xlfn.XLOOKUP($A115,'[1]DATOS PBI Artículos'!A:A,'[1]DATOS PBI Artículos'!B:B)</f>
        <v>0</v>
      </c>
      <c r="C115" s="33" t="str">
        <f>_xlfn.XLOOKUP($A115,'[1]DATOS PBI Artículos'!A:A,'[1]DATOS PBI Artículos'!C:C)</f>
        <v>UA02</v>
      </c>
      <c r="D115" s="33">
        <f>_xlfn.XLOOKUP(A115,'[1]DATOS PBI Artículos'!A:A,'[1]DATOS PBI Artículos'!T:T)</f>
        <v>4</v>
      </c>
      <c r="E115" s="34">
        <f>IF(_xlfn.XLOOKUP($A115,'[1]DATOS PBI Artículos'!A:A,'[1]DATOS PBI Artículos'!AK:AK)="",_xlfn.XLOOKUP($A115,'[1]DATOS PBI Artículos'!A:A,'[1]DATOS PBI Artículos'!AJ:AJ),_xlfn.XLOOKUP($A115,'[1]DATOS PBI Artículos'!A:A,'[1]DATOS PBI Artículos'!AK:AK))</f>
        <v>80000</v>
      </c>
      <c r="F115" s="35">
        <f>_xlfn.XLOOKUP($A115,'[1]DATOS PBI Artículos'!A:A,'[1]DATOS PBI Artículos'!AP:AP)</f>
        <v>8.375</v>
      </c>
      <c r="G115" s="34">
        <f>_xlfn.XLOOKUP($A115,'[1]DATOS PBI Artículos'!A:A,'[1]DATOS PBI Artículos'!AR:AR)</f>
        <v>10000</v>
      </c>
      <c r="H115" s="34">
        <f>_xlfn.XLOOKUP($A115,'[1]DATOS PBI Artículos'!A:A,'[1]DATOS PBI Artículos'!AT:AT)</f>
        <v>0</v>
      </c>
      <c r="I115" s="34">
        <f>_xlfn.XLOOKUP($A115,'[1]DATOS PBI Artículos'!A:A,'[1]DATOS PBI Artículos'!AS:AS)</f>
        <v>10000</v>
      </c>
      <c r="J115" s="35">
        <f>IF(COUNTIF([1]CRITERIOS!$F$179:$F$199,$A115)&gt;=1,
 IF(O115&lt;&gt;"",
    (O115/_xlfn.XLOOKUP(CONCATENATE(A115,L115),[1]MÁQUINAS!A:A,[1]MÁQUINAS!D:D))/24,
    (N115/_xlfn.XLOOKUP(CONCATENATE(A115,L115),[1]MÁQUINAS!A:A,[1]MÁQUINAS!D:D))/24),
  _xlfn.XLOOKUP($A115,'[1]DATOS PBI Artículos'!A:A,'[1]DATOS PBI Artículos'!AU:AU))</f>
        <v>24.2</v>
      </c>
      <c r="K115" s="36">
        <f>_xlfn.XLOOKUP($A115,'[1]DATOS PBI Artículos'!A:A,'[1]DATOS PBI Artículos'!AV:AV)</f>
        <v>10.733126291998991</v>
      </c>
      <c r="L115" s="33">
        <f>_xlfn.XLOOKUP(A115,[1]MÁQUINAS!B:B,[1]MÁQUINAS!C:C)</f>
        <v>216</v>
      </c>
      <c r="M115" s="34">
        <f t="array" ref="M115">_xlfn.XLOOKUP(A115,'[1]DATOS PBI Artículos'!A:A,'[1]DATOS PBI Artículos'!AX:$AX)</f>
        <v>44926.89590803974</v>
      </c>
      <c r="N115" s="37">
        <f>IF(I115="DV",
E115,
IF(COUNTIF([1]CRITERIOS!$I$179:$I$199,$A115)&gt;=1,
_xlfn.XLOOKUP($A115,[1]CRITERIOS!$I$179:$I$199,[1]CRITERIOS!$J$179:$J$199),
IF(COUNTIF([1]CRITERIOS!$L$179:$L$199,$A115)&gt;=1,
_xlfn.CEILING.MATH(IF($M115&gt;$E115,
$E115,
IF($M115&lt;$E115/ROUNDDOWN([1]CRITERIOS!$M$16/_xlfn.XLOOKUP($C115,[1]CRITERIOS!$K$25:$K$42,[1]CRITERIOS!$M$25:$M$42),
1),
E115/ROUNDDOWN([1]CRITERIOS!$M$16/_xlfn.XLOOKUP($C115,[1]CRITERIOS!$K$25:$K$42,[1]CRITERIOS!$M$25:$M$42),
1),
$M115)),
_xlfn.XLOOKUP($A115,[1]CRITERIOS!$L$179:$L$200,[1]CRITERIOS!$M$179:$M$200)),
_xlfn.CEILING.MATH(IF($M115&gt;$E115,
$E115,
IF($M115&lt;$E115/ROUNDDOWN([1]CRITERIOS!$M$16/_xlfn.XLOOKUP($C115,[1]CRITERIOS!$K$25:$K$42,[1]CRITERIOS!$M$25:$M$42),
1),
E115/ROUNDDOWN([1]CRITERIOS!$M$16/_xlfn.XLOOKUP($C115,[1]CRITERIOS!$K$25:$K$42,[1]CRITERIOS!$M$25:$M$42),
1),
$M115)),_xlfn.XLOOKUP(A115,'[1]DATOS PBI Artículos'!A:A,'[1]DATOS PBI Artículos'!Z:Z
)))))</f>
        <v>50000</v>
      </c>
      <c r="Q115" s="38">
        <f>IF(AND(O115="",N115=0),
0,
   IF(COUNTIF([1]CRITERIOS!$F$179:$F$199,$A115)&gt;=1,
   1,
   IF(R115="MTO",
      $D115,
      ROUNDUP(
                    IF(($E115-SUMIF('[1]DATOS PBI Artículos'!A:A,A115,'[1]DATOS PBI Artículos'!X:X)+($V115-_xlfn.XLOOKUP(A115,'[1]DATOS PBI Artículos'!A:A,'[1]DATOS PBI Artículos'!W:W)))&lt;0,
                    0,
                    IF(($E115-SUMIF('[1]DATOS PBI Artículos'!A:A,A115,'[1]DATOS PBI Artículos'!X:X)+$V115-_xlfn.XLOOKUP($A115,'[1]DATOS PBI Artículos'!A:A,'[1]DATOS PBI Artículos'!W:W))/IF($O115="",$N115,$O115)&gt;ROUNDUP([1]CRITERIOS!$M$16/(IF(COUNTIF([1]CRITERIOS!$BG$11:$BG$201,L115)&gt;=1,_xlfn.XLOOKUP($C115,[1]CRITERIOS!$K$25:$K$42,[1]CRITERIOS!$M$25:$M$42),_xlfn.XLOOKUP($C115,[1]CRITERIOS!$K$25:$K$42,[1]CRITERIOS!$M$25:$M$42))),0),
                    ROUNDUP([1]CRITERIOS!$M$16/(IF(COUNTIF([1]CRITERIOS!$BG$11:$BG$201,$L115)&gt;=1,_xlfn.XLOOKUP($C115,[1]CRITERIOS!$K$25:$K$42,[1]CRITERIOS!$M$25:$M$42),_xlfn.XLOOKUP($C115,[1]CRITERIOS!$K$25:$K$42,[1]CRITERIOS!$M$25:$M$42))),0),
                    (E115+V115-SUMIF('[1]DATOS PBI Artículos'!A:A,A115,'[1]DATOS PBI Artículos'!X:X)-_xlfn.XLOOKUP(A115,'[1]DATOS PBI Artículos'!A:A,'[1]DATOS PBI Artículos'!W:W))/IF($O115="",$N115,$O115))),0))))</f>
        <v>2</v>
      </c>
      <c r="R115" s="33" t="str">
        <f>IF(U115&lt;&gt;"",U115,IF(F115="DV","MTO",IF(N115=0,"MTO",_xlfn.XLOOKUP(CONCATENATE(S115,T115),[1]CRITERIOS!$K$160:$K$168,[1]CRITERIOS!$N$160:$N$168))))</f>
        <v>MTS</v>
      </c>
      <c r="S115" s="33" t="str">
        <f>IF(G115="DV","MTO",IF(N115=0,"MTO",IF(OR(AND(N115=0,O115=""),IF(O115="",G115/N115,G115/O115)&gt;[1]CRITERIOS!$G$163),"MTO",IF(IF(O115="",G115/N115,G115/O115)&lt;[1]CRITERIOS!$H$161,"MTS","MTOS"))))</f>
        <v>MTS</v>
      </c>
      <c r="T115" s="33" t="str">
        <f>IF(F115="DV","MTO",IF(OR(AND($N115=0,O115=""),$F115/$J115&gt;[1]CRITERIOS!$G$170,$F115="DV"),"MTO",IF($F115/$J115&lt;[1]CRITERIOS!$H$168,"MTS","MTOS")))</f>
        <v>MTS</v>
      </c>
      <c r="V115" s="34">
        <f t="shared" si="7"/>
        <v>38436.079092058804</v>
      </c>
      <c r="X115" s="34">
        <f t="shared" si="5"/>
        <v>88436.079092058804</v>
      </c>
      <c r="Y115" s="34">
        <f t="shared" si="6"/>
        <v>34540.5567039991</v>
      </c>
      <c r="Z115" s="34">
        <f>IF($R115="MTO",
0,
($H115+$K115*($E115/[1]CRITERIOS!$M$16))/[1]CRITERIOS!$X$48)</f>
        <v>9540.5567039991038</v>
      </c>
      <c r="AA115" s="34" t="e">
        <f>ROUNDUP(($Y115/_xlfn.XLOOKUP($A115,'[1]DATOS PBI Artículos'!$A$4:$A$4,'[1]DATOS PBI Artículos'!$Z$4:$Z$4))/_xlfn.XLOOKUP(_xlfn.XLOOKUP($A115,'[1]DATOS PBI Artículos'!$A$4:$A$4,'[1]DATOS PBI Artículos'!$Y$4:$Y$4),[1]CRITERIOS!$P$79:$P$123,[1]CRITERIOS!$S$79:$S$123,),0)</f>
        <v>#N/A</v>
      </c>
      <c r="AB115" s="33" t="e">
        <f t="array" ref="AB115">IF((E115+V115-_xlfn.XLOOKUP(A115,'[1]DATOS PBI Artículos'!$A$4:$A$4,'[1]DATOS PBI Artículos'!$W$4:$W$4))/N115&gt;ROUNDUP([1]CRITERIOS!$M$16/(IF(COUNTIF([1]CRITERIOS!$BG$11:$BG$201,L115)&gt;=1,_xlfn.XLOOKUP(ARTÍCULOS!L115,[1]CRITERIOS!$BG$11:$BG$201,[1]CRITERIOS!$BJ$11:$BJ$201),_xlfn.XLOOKUP(ARTÍCULOS!C115,[1]CRITERIOS!$K$25:$K$42,[1]CRITERIOS!$M$25:$M$42))),0),ROUNDUP([1]CRITERIOS!$M$16/(IF(COUNTIF([1]CRITERIOS!$BG$11:$BG$201,L115)&gt;=1,_xlfn.XLOOKUP(ARTÍCULOS!L115,[1]CRITERIOS!$BG$11:$BG$201:#REF!,[1]CRITERIOS!$BJ$11:$BJ$201),_xlfn.XLOOKUP(ARTÍCULOS!C115,[1]CRITERIOS!$K$25:$K$42,[1]CRITERIOS!$M$25:$M$42))),0),(E115+V115-_xlfn.XLOOKUP(A115,'[1]DATOS PBI Artículos'!$A$4:$A$4,'[1]DATOS PBI Artículos'!$W$4:$W$4))/N115)</f>
        <v>#N/A</v>
      </c>
      <c r="AC115" s="33" t="e">
        <f>IF(N115=0,"",(ROUNDUP((N115/2)/(_xlfn.XLOOKUP(A115,'[1]DATOS PBI Artículos'!$A$4:$A$4,'[1]DATOS PBI Artículos'!$Z$4:$Z$4)*_xlfn.XLOOKUP(_xlfn.XLOOKUP(A115,'[1]DATOS PBI Artículos'!$A$4:$A$4,'[1]DATOS PBI Artículos'!$Y$4:$Y$4),[1]CRITERIOS!$P$79:$P$123,[1]CRITERIOS!$S$79:$S$123)),0)*[1]CRITERIOS!$M$80*([1]CRITERIOS!$M$110/[1]CRITERIOS!$M$86)+(_xlfn.XLOOKUP(A115,'[1]DATOS PBI Artículos'!$A$4:$A$4,'[1]DATOS PBI Artículos'!$AA$4:$AA$4)*([1]CRITERIOS!$M$95+[1]CRITERIOS!$M$98)))/N115)</f>
        <v>#N/A</v>
      </c>
      <c r="AD115" s="33" t="e">
        <f>IF(N115=0,"",(ROUNDUP((N115/2)/(_xlfn.XLOOKUP(A115,'[1]DATOS PBI Artículos'!$A$4:$A$4,'[1]DATOS PBI Artículos'!$Z$4:$Z$4)*_xlfn.XLOOKUP(_xlfn.XLOOKUP(A115,'[1]DATOS PBI Artículos'!$A$4:$A$4,'[1]DATOS PBI Artículos'!$Y$4:$Y$4),[1]CRITERIOS!$P$79:$P$123,[1]CRITERIOS!$S$79:$S$123)),0)*[1]CRITERIOS!$M$80*([1]CRITERIOS!$M$89*[1]CRITERIOS!$M$92)+((_xlfn.XLOOKUP(A115,'[1]DATOS PBI Artículos'!$A$4:$A$4,'[1]DATOS PBI Artículos'!$AA$4:$AA$4)/2)*([1]CRITERIOS!$M$95+[1]CRITERIOS!$M$98)))/N115)</f>
        <v>#N/A</v>
      </c>
      <c r="AE115" s="39">
        <f>IF($R115="MTO","",
IF($H115=0,ROUNDUP(((_xlfn.XLOOKUP($A115,'[1]DATOS PBI Artículos'!$A:$A,'[1]DATOS PBI Artículos'!$AL:$AL))/(_xlfn.XLOOKUP($AF$1,[1]CRITERIOS!$S$16:$S$39,[1]CRITERIOS!$Y$16:$Y$39))*$J115+$Z115)/$G115,0)*$G115,
((_xlfn.XLOOKUP($A115,'[1]DATOS PBI Artículos'!$A:$A,'[1]DATOS PBI Artículos'!$AL:$AL))/(_xlfn.XLOOKUP($AF$1,[1]CRITERIOS!$S$16:$S$39,[1]CRITERIOS!$Y$16:$Y$39))*$J115+$Z115)))</f>
        <v>40000</v>
      </c>
      <c r="AG115" s="39">
        <f>IF($R115="MTO","",
IF($H115=0,ROUNDUP(((_xlfn.XLOOKUP($A115,'[1]DATOS PBI Artículos'!$A:$A,'[1]DATOS PBI Artículos'!$AM:$AM))/(_xlfn.XLOOKUP($AH$1,[1]CRITERIOS!$S$16:$S$39,[1]CRITERIOS!$Y$16:$Y$39))*$J115+$Z115)/$G115,0)*$G115,
((_xlfn.XLOOKUP($A115,'[1]DATOS PBI Artículos'!$A:$A,'[1]DATOS PBI Artículos'!$AM:$AM))/(_xlfn.XLOOKUP($AH$1,[1]CRITERIOS!$S$16:$S$39,[1]CRITERIOS!$Y$16:$Y$39))*$J115+$Z115)))</f>
        <v>40000</v>
      </c>
      <c r="AI115" s="39">
        <f>IF($R115="MTO","",
IF($H115=0,ROUNDUP(((_xlfn.XLOOKUP($A115,'[1]DATOS PBI Artículos'!$A:$A,'[1]DATOS PBI Artículos'!$AN:$AN))/(_xlfn.XLOOKUP($AJ$1,[1]CRITERIOS!$S$16:$S$39,[1]CRITERIOS!$Y$16:$Y$39))*$J115+$Z115)/$G115,0)*$G115,
((_xlfn.XLOOKUP($A115,'[1]DATOS PBI Artículos'!$A:$A,'[1]DATOS PBI Artículos'!$AN:$AN))/(_xlfn.XLOOKUP($AJ$1,[1]CRITERIOS!$S$16:$S$39,[1]CRITERIOS!$Y$16:$Y$39))*$J115+$Z115)))</f>
        <v>40000</v>
      </c>
      <c r="AK115" s="39">
        <f>IF($R115="MTO","",
IF($H115=0,ROUNDUP(((_xlfn.XLOOKUP($A115,'[1]DATOS PBI Artículos'!$A:$A,'[1]DATOS PBI Artículos'!$AO:$AO))/(_xlfn.XLOOKUP($AL$1,[1]CRITERIOS!$S$16:$S$39,[1]CRITERIOS!$Y$16:$Y$39))*$J115+$Z115)/$G115,0)*$G115,
((_xlfn.XLOOKUP($A115,'[1]DATOS PBI Artículos'!$A:$A,'[1]DATOS PBI Artículos'!$AO:$AO))/(_xlfn.XLOOKUP($AL$1,[1]CRITERIOS!$S$16:$S$39,[1]CRITERIOS!$Y$16:$Y$39))*$J115+$Z115)))</f>
        <v>40000</v>
      </c>
    </row>
    <row r="116" spans="1:37" ht="25.8" x14ac:dyDescent="0.5">
      <c r="A116" s="32">
        <v>403085</v>
      </c>
      <c r="B116" s="33">
        <f>_xlfn.XLOOKUP($A116,'[1]DATOS PBI Artículos'!A:A,'[1]DATOS PBI Artículos'!B:B)</f>
        <v>0</v>
      </c>
      <c r="C116" s="33" t="str">
        <f>_xlfn.XLOOKUP($A116,'[1]DATOS PBI Artículos'!A:A,'[1]DATOS PBI Artículos'!C:C)</f>
        <v>UA02</v>
      </c>
      <c r="D116" s="33">
        <f>_xlfn.XLOOKUP(A116,'[1]DATOS PBI Artículos'!A:A,'[1]DATOS PBI Artículos'!T:T)</f>
        <v>4</v>
      </c>
      <c r="E116" s="34">
        <f>IF(_xlfn.XLOOKUP($A116,'[1]DATOS PBI Artículos'!A:A,'[1]DATOS PBI Artículos'!AK:AK)="",_xlfn.XLOOKUP($A116,'[1]DATOS PBI Artículos'!A:A,'[1]DATOS PBI Artículos'!AJ:AJ),_xlfn.XLOOKUP($A116,'[1]DATOS PBI Artículos'!A:A,'[1]DATOS PBI Artículos'!AK:AK))</f>
        <v>80000</v>
      </c>
      <c r="F116" s="35">
        <f>_xlfn.XLOOKUP($A116,'[1]DATOS PBI Artículos'!A:A,'[1]DATOS PBI Artículos'!AP:AP)</f>
        <v>6.5</v>
      </c>
      <c r="G116" s="34">
        <f>_xlfn.XLOOKUP($A116,'[1]DATOS PBI Artículos'!A:A,'[1]DATOS PBI Artículos'!AR:AR)</f>
        <v>20000</v>
      </c>
      <c r="H116" s="34">
        <f>_xlfn.XLOOKUP($A116,'[1]DATOS PBI Artículos'!A:A,'[1]DATOS PBI Artículos'!AT:AT)</f>
        <v>0</v>
      </c>
      <c r="I116" s="34">
        <f>_xlfn.XLOOKUP($A116,'[1]DATOS PBI Artículos'!A:A,'[1]DATOS PBI Artículos'!AS:AS)</f>
        <v>20000</v>
      </c>
      <c r="J116" s="35">
        <f>IF(COUNTIF([1]CRITERIOS!$F$179:$F$199,$A116)&gt;=1,
 IF(O116&lt;&gt;"",
    (O116/_xlfn.XLOOKUP(CONCATENATE(A116,L116),[1]MÁQUINAS!A:A,[1]MÁQUINAS!D:D))/24,
    (N116/_xlfn.XLOOKUP(CONCATENATE(A116,L116),[1]MÁQUINAS!A:A,[1]MÁQUINAS!D:D))/24),
  _xlfn.XLOOKUP($A116,'[1]DATOS PBI Artículos'!A:A,'[1]DATOS PBI Artículos'!AU:AU))</f>
        <v>18.375</v>
      </c>
      <c r="K116" s="36">
        <f>_xlfn.XLOOKUP($A116,'[1]DATOS PBI Artículos'!A:A,'[1]DATOS PBI Artículos'!AV:AV)</f>
        <v>3.5025500914129899</v>
      </c>
      <c r="L116" s="33">
        <f>_xlfn.XLOOKUP(A116,[1]MÁQUINAS!B:B,[1]MÁQUINAS!C:C)</f>
        <v>214</v>
      </c>
      <c r="M116" s="34">
        <f t="array" ref="M116">_xlfn.XLOOKUP(A116,'[1]DATOS PBI Artículos'!A:A,'[1]DATOS PBI Artículos'!AX:$AX)</f>
        <v>58931.269096690543</v>
      </c>
      <c r="N116" s="37">
        <f>IF(I116="DV",
E116,
IF(COUNTIF([1]CRITERIOS!$I$179:$I$199,$A116)&gt;=1,
_xlfn.XLOOKUP($A116,[1]CRITERIOS!$I$179:$I$199,[1]CRITERIOS!$J$179:$J$199),
IF(COUNTIF([1]CRITERIOS!$L$179:$L$199,$A116)&gt;=1,
_xlfn.CEILING.MATH(IF($M116&gt;$E116,
$E116,
IF($M116&lt;$E116/ROUNDDOWN([1]CRITERIOS!$M$16/_xlfn.XLOOKUP($C116,[1]CRITERIOS!$K$25:$K$42,[1]CRITERIOS!$M$25:$M$42),
1),
E116/ROUNDDOWN([1]CRITERIOS!$M$16/_xlfn.XLOOKUP($C116,[1]CRITERIOS!$K$25:$K$42,[1]CRITERIOS!$M$25:$M$42),
1),
$M116)),
_xlfn.XLOOKUP($A116,[1]CRITERIOS!$L$179:$L$200,[1]CRITERIOS!$M$179:$M$200)),
_xlfn.CEILING.MATH(IF($M116&gt;$E116,
$E116,
IF($M116&lt;$E116/ROUNDDOWN([1]CRITERIOS!$M$16/_xlfn.XLOOKUP($C116,[1]CRITERIOS!$K$25:$K$42,[1]CRITERIOS!$M$25:$M$42),
1),
E116/ROUNDDOWN([1]CRITERIOS!$M$16/_xlfn.XLOOKUP($C116,[1]CRITERIOS!$K$25:$K$42,[1]CRITERIOS!$M$25:$M$42),
1),
$M116)),_xlfn.XLOOKUP(A116,'[1]DATOS PBI Artículos'!A:A,'[1]DATOS PBI Artículos'!Z:Z
)))))</f>
        <v>60000</v>
      </c>
      <c r="Q116" s="38">
        <f>IF(AND(O116="",N116=0),
0,
   IF(COUNTIF([1]CRITERIOS!$F$179:$F$199,$A116)&gt;=1,
   1,
   IF(R116="MTO",
      $D116,
      ROUNDUP(
                    IF(($E116-SUMIF('[1]DATOS PBI Artículos'!A:A,A116,'[1]DATOS PBI Artículos'!X:X)+($V116-_xlfn.XLOOKUP(A116,'[1]DATOS PBI Artículos'!A:A,'[1]DATOS PBI Artículos'!W:W)))&lt;0,
                    0,
                    IF(($E116-SUMIF('[1]DATOS PBI Artículos'!A:A,A116,'[1]DATOS PBI Artículos'!X:X)+$V116-_xlfn.XLOOKUP($A116,'[1]DATOS PBI Artículos'!A:A,'[1]DATOS PBI Artículos'!W:W))/IF($O116="",$N116,$O116)&gt;ROUNDUP([1]CRITERIOS!$M$16/(IF(COUNTIF([1]CRITERIOS!$BG$11:$BG$201,L116)&gt;=1,_xlfn.XLOOKUP($C116,[1]CRITERIOS!$K$25:$K$42,[1]CRITERIOS!$M$25:$M$42),_xlfn.XLOOKUP($C116,[1]CRITERIOS!$K$25:$K$42,[1]CRITERIOS!$M$25:$M$42))),0),
                    ROUNDUP([1]CRITERIOS!$M$16/(IF(COUNTIF([1]CRITERIOS!$BG$11:$BG$201,$L116)&gt;=1,_xlfn.XLOOKUP($C116,[1]CRITERIOS!$K$25:$K$42,[1]CRITERIOS!$M$25:$M$42),_xlfn.XLOOKUP($C116,[1]CRITERIOS!$K$25:$K$42,[1]CRITERIOS!$M$25:$M$42))),0),
                    (E116+V116-SUMIF('[1]DATOS PBI Artículos'!A:A,A116,'[1]DATOS PBI Artículos'!X:X)-_xlfn.XLOOKUP(A116,'[1]DATOS PBI Artículos'!A:A,'[1]DATOS PBI Artículos'!W:W))/IF($O116="",$N116,$O116))),0))))</f>
        <v>1</v>
      </c>
      <c r="R116" s="33" t="str">
        <f>IF(U116&lt;&gt;"",U116,IF(F116="DV","MTO",IF(N116=0,"MTO",_xlfn.XLOOKUP(CONCATENATE(S116,T116),[1]CRITERIOS!$K$160:$K$168,[1]CRITERIOS!$N$160:$N$168))))</f>
        <v>MTS</v>
      </c>
      <c r="S116" s="33" t="str">
        <f>IF(G116="DV","MTO",IF(N116=0,"MTO",IF(OR(AND(N116=0,O116=""),IF(O116="",G116/N116,G116/O116)&gt;[1]CRITERIOS!$G$163),"MTO",IF(IF(O116="",G116/N116,G116/O116)&lt;[1]CRITERIOS!$H$161,"MTS","MTOS"))))</f>
        <v>MTS</v>
      </c>
      <c r="T116" s="33" t="str">
        <f>IF(F116="DV","MTO",IF(OR(AND($N116=0,O116=""),$F116/$J116&gt;[1]CRITERIOS!$G$170,$F116="DV"),"MTO",IF($F116/$J116&lt;[1]CRITERIOS!$H$168,"MTS","MTOS")))</f>
        <v>MTS</v>
      </c>
      <c r="V116" s="34">
        <f t="shared" si="7"/>
        <v>59651.8393974953</v>
      </c>
      <c r="X116" s="34">
        <f t="shared" si="5"/>
        <v>119651.83939749529</v>
      </c>
      <c r="Y116" s="34">
        <f t="shared" si="6"/>
        <v>33113.377859033768</v>
      </c>
      <c r="Z116" s="34">
        <f>IF($R116="MTO",
0,
($H116+$K116*($E116/[1]CRITERIOS!$M$16))/[1]CRITERIOS!$X$48)</f>
        <v>3113.3778590337688</v>
      </c>
      <c r="AA116" s="34" t="e">
        <f>ROUNDUP(($Y116/_xlfn.XLOOKUP($A116,'[1]DATOS PBI Artículos'!$A$4:$A$4,'[1]DATOS PBI Artículos'!$Z$4:$Z$4))/_xlfn.XLOOKUP(_xlfn.XLOOKUP($A116,'[1]DATOS PBI Artículos'!$A$4:$A$4,'[1]DATOS PBI Artículos'!$Y$4:$Y$4),[1]CRITERIOS!$P$79:$P$123,[1]CRITERIOS!$S$79:$S$123,),0)</f>
        <v>#N/A</v>
      </c>
      <c r="AB116" s="33" t="e">
        <f t="array" ref="AB116">IF((E116+V116-_xlfn.XLOOKUP(A116,'[1]DATOS PBI Artículos'!$A$4:$A$4,'[1]DATOS PBI Artículos'!$W$4:$W$4))/N116&gt;ROUNDUP([1]CRITERIOS!$M$16/(IF(COUNTIF([1]CRITERIOS!$BG$11:$BG$201,L116)&gt;=1,_xlfn.XLOOKUP(ARTÍCULOS!L116,[1]CRITERIOS!$BG$11:$BG$201,[1]CRITERIOS!$BJ$11:$BJ$201),_xlfn.XLOOKUP(ARTÍCULOS!C116,[1]CRITERIOS!$K$25:$K$42,[1]CRITERIOS!$M$25:$M$42))),0),ROUNDUP([1]CRITERIOS!$M$16/(IF(COUNTIF([1]CRITERIOS!$BG$11:$BG$201,L116)&gt;=1,_xlfn.XLOOKUP(ARTÍCULOS!L116,[1]CRITERIOS!$BG$11:$BG$201:#REF!,[1]CRITERIOS!$BJ$11:$BJ$201),_xlfn.XLOOKUP(ARTÍCULOS!C116,[1]CRITERIOS!$K$25:$K$42,[1]CRITERIOS!$M$25:$M$42))),0),(E116+V116-_xlfn.XLOOKUP(A116,'[1]DATOS PBI Artículos'!$A$4:$A$4,'[1]DATOS PBI Artículos'!$W$4:$W$4))/N116)</f>
        <v>#N/A</v>
      </c>
      <c r="AC116" s="33" t="e">
        <f>IF(N116=0,"",(ROUNDUP((N116/2)/(_xlfn.XLOOKUP(A116,'[1]DATOS PBI Artículos'!$A$4:$A$4,'[1]DATOS PBI Artículos'!$Z$4:$Z$4)*_xlfn.XLOOKUP(_xlfn.XLOOKUP(A116,'[1]DATOS PBI Artículos'!$A$4:$A$4,'[1]DATOS PBI Artículos'!$Y$4:$Y$4),[1]CRITERIOS!$P$79:$P$123,[1]CRITERIOS!$S$79:$S$123)),0)*[1]CRITERIOS!$M$80*([1]CRITERIOS!$M$110/[1]CRITERIOS!$M$86)+(_xlfn.XLOOKUP(A116,'[1]DATOS PBI Artículos'!$A$4:$A$4,'[1]DATOS PBI Artículos'!$AA$4:$AA$4)*([1]CRITERIOS!$M$95+[1]CRITERIOS!$M$98)))/N116)</f>
        <v>#N/A</v>
      </c>
      <c r="AD116" s="33" t="e">
        <f>IF(N116=0,"",(ROUNDUP((N116/2)/(_xlfn.XLOOKUP(A116,'[1]DATOS PBI Artículos'!$A$4:$A$4,'[1]DATOS PBI Artículos'!$Z$4:$Z$4)*_xlfn.XLOOKUP(_xlfn.XLOOKUP(A116,'[1]DATOS PBI Artículos'!$A$4:$A$4,'[1]DATOS PBI Artículos'!$Y$4:$Y$4),[1]CRITERIOS!$P$79:$P$123,[1]CRITERIOS!$S$79:$S$123)),0)*[1]CRITERIOS!$M$80*([1]CRITERIOS!$M$89*[1]CRITERIOS!$M$92)+((_xlfn.XLOOKUP(A116,'[1]DATOS PBI Artículos'!$A$4:$A$4,'[1]DATOS PBI Artículos'!$AA$4:$AA$4)/2)*([1]CRITERIOS!$M$95+[1]CRITERIOS!$M$98)))/N116)</f>
        <v>#N/A</v>
      </c>
      <c r="AE116" s="39">
        <f>IF($R116="MTO","",
IF($H116=0,ROUNDUP(((_xlfn.XLOOKUP($A116,'[1]DATOS PBI Artículos'!$A:$A,'[1]DATOS PBI Artículos'!$AL:$AL))/(_xlfn.XLOOKUP($AF$1,[1]CRITERIOS!$S$16:$S$39,[1]CRITERIOS!$Y$16:$Y$39))*$J116+$Z116)/$G116,0)*$G116,
((_xlfn.XLOOKUP($A116,'[1]DATOS PBI Artículos'!$A:$A,'[1]DATOS PBI Artículos'!$AL:$AL))/(_xlfn.XLOOKUP($AF$1,[1]CRITERIOS!$S$16:$S$39,[1]CRITERIOS!$Y$16:$Y$39))*$J116+$Z116)))</f>
        <v>40000</v>
      </c>
      <c r="AG116" s="39">
        <f>IF($R116="MTO","",
IF($H116=0,ROUNDUP(((_xlfn.XLOOKUP($A116,'[1]DATOS PBI Artículos'!$A:$A,'[1]DATOS PBI Artículos'!$AM:$AM))/(_xlfn.XLOOKUP($AH$1,[1]CRITERIOS!$S$16:$S$39,[1]CRITERIOS!$Y$16:$Y$39))*$J116+$Z116)/$G116,0)*$G116,
((_xlfn.XLOOKUP($A116,'[1]DATOS PBI Artículos'!$A:$A,'[1]DATOS PBI Artículos'!$AM:$AM))/(_xlfn.XLOOKUP($AH$1,[1]CRITERIOS!$S$16:$S$39,[1]CRITERIOS!$Y$16:$Y$39))*$J116+$Z116)))</f>
        <v>20000</v>
      </c>
      <c r="AI116" s="39">
        <f>IF($R116="MTO","",
IF($H116=0,ROUNDUP(((_xlfn.XLOOKUP($A116,'[1]DATOS PBI Artículos'!$A:$A,'[1]DATOS PBI Artículos'!$AN:$AN))/(_xlfn.XLOOKUP($AJ$1,[1]CRITERIOS!$S$16:$S$39,[1]CRITERIOS!$Y$16:$Y$39))*$J116+$Z116)/$G116,0)*$G116,
((_xlfn.XLOOKUP($A116,'[1]DATOS PBI Artículos'!$A:$A,'[1]DATOS PBI Artículos'!$AN:$AN))/(_xlfn.XLOOKUP($AJ$1,[1]CRITERIOS!$S$16:$S$39,[1]CRITERIOS!$Y$16:$Y$39))*$J116+$Z116)))</f>
        <v>40000</v>
      </c>
      <c r="AK116" s="39">
        <f>IF($R116="MTO","",
IF($H116=0,ROUNDUP(((_xlfn.XLOOKUP($A116,'[1]DATOS PBI Artículos'!$A:$A,'[1]DATOS PBI Artículos'!$AO:$AO))/(_xlfn.XLOOKUP($AL$1,[1]CRITERIOS!$S$16:$S$39,[1]CRITERIOS!$Y$16:$Y$39))*$J116+$Z116)/$G116,0)*$G116,
((_xlfn.XLOOKUP($A116,'[1]DATOS PBI Artículos'!$A:$A,'[1]DATOS PBI Artículos'!$AO:$AO))/(_xlfn.XLOOKUP($AL$1,[1]CRITERIOS!$S$16:$S$39,[1]CRITERIOS!$Y$16:$Y$39))*$J116+$Z116)))</f>
        <v>40000</v>
      </c>
    </row>
    <row r="117" spans="1:37" ht="25.8" x14ac:dyDescent="0.5">
      <c r="A117" s="32" t="s">
        <v>76</v>
      </c>
      <c r="B117" s="33">
        <f>_xlfn.XLOOKUP($A117,'[1]DATOS PBI Artículos'!A:A,'[1]DATOS PBI Artículos'!B:B)</f>
        <v>0</v>
      </c>
      <c r="C117" s="33" t="str">
        <f>_xlfn.XLOOKUP($A117,'[1]DATOS PBI Artículos'!A:A,'[1]DATOS PBI Artículos'!C:C)</f>
        <v>UA01</v>
      </c>
      <c r="D117" s="33">
        <f>_xlfn.XLOOKUP(A117,'[1]DATOS PBI Artículos'!A:A,'[1]DATOS PBI Artículos'!T:T)</f>
        <v>7</v>
      </c>
      <c r="E117" s="34">
        <f>IF(_xlfn.XLOOKUP($A117,'[1]DATOS PBI Artículos'!A:A,'[1]DATOS PBI Artículos'!AK:AK)="",_xlfn.XLOOKUP($A117,'[1]DATOS PBI Artículos'!A:A,'[1]DATOS PBI Artículos'!AJ:AJ),_xlfn.XLOOKUP($A117,'[1]DATOS PBI Artículos'!A:A,'[1]DATOS PBI Artículos'!AK:AK))</f>
        <v>72000</v>
      </c>
      <c r="F117" s="35">
        <f>_xlfn.XLOOKUP($A117,'[1]DATOS PBI Artículos'!A:A,'[1]DATOS PBI Artículos'!AP:AP)</f>
        <v>9.5</v>
      </c>
      <c r="G117" s="34">
        <f>_xlfn.XLOOKUP($A117,'[1]DATOS PBI Artículos'!A:A,'[1]DATOS PBI Artículos'!AR:AR)</f>
        <v>12000</v>
      </c>
      <c r="H117" s="34">
        <f>_xlfn.XLOOKUP($A117,'[1]DATOS PBI Artículos'!A:A,'[1]DATOS PBI Artículos'!AT:AT)</f>
        <v>2927.7002188456004</v>
      </c>
      <c r="I117" s="34">
        <f>_xlfn.XLOOKUP($A117,'[1]DATOS PBI Artículos'!A:A,'[1]DATOS PBI Artículos'!AS:AS)</f>
        <v>6000</v>
      </c>
      <c r="J117" s="35">
        <f>IF(COUNTIF([1]CRITERIOS!$F$179:$F$199,$A117)&gt;=1,
 IF(O117&lt;&gt;"",
    (O117/_xlfn.XLOOKUP(CONCATENATE(A117,L117),[1]MÁQUINAS!A:A,[1]MÁQUINAS!D:D))/24,
    (N117/_xlfn.XLOOKUP(CONCATENATE(A117,L117),[1]MÁQUINAS!A:A,[1]MÁQUINAS!D:D))/24),
  _xlfn.XLOOKUP($A117,'[1]DATOS PBI Artículos'!A:A,'[1]DATOS PBI Artículos'!AU:AU))</f>
        <v>13</v>
      </c>
      <c r="K117" s="36">
        <f>_xlfn.XLOOKUP($A117,'[1]DATOS PBI Artículos'!A:A,'[1]DATOS PBI Artículos'!AV:AV)</f>
        <v>1.4142135623730951</v>
      </c>
      <c r="L117" s="33">
        <f>_xlfn.XLOOKUP(A117,[1]MÁQUINAS!B:B,[1]MÁQUINAS!C:C)</f>
        <v>417</v>
      </c>
      <c r="M117" s="34">
        <f t="array" ref="M117">_xlfn.XLOOKUP(A117,'[1]DATOS PBI Artículos'!A:A,'[1]DATOS PBI Artículos'!AX:$AX)</f>
        <v>52874.191678061055</v>
      </c>
      <c r="N117" s="37">
        <f>IF(I117="DV",
E117,
IF(COUNTIF([1]CRITERIOS!$I$179:$I$199,$A117)&gt;=1,
_xlfn.XLOOKUP($A117,[1]CRITERIOS!$I$179:$I$199,[1]CRITERIOS!$J$179:$J$199),
IF(COUNTIF([1]CRITERIOS!$L$179:$L$199,$A117)&gt;=1,
_xlfn.CEILING.MATH(IF($M117&gt;$E117,
$E117,
IF($M117&lt;$E117/ROUNDDOWN([1]CRITERIOS!$M$16/_xlfn.XLOOKUP($C117,[1]CRITERIOS!$K$25:$K$42,[1]CRITERIOS!$M$25:$M$42),
1),
E117/ROUNDDOWN([1]CRITERIOS!$M$16/_xlfn.XLOOKUP($C117,[1]CRITERIOS!$K$25:$K$42,[1]CRITERIOS!$M$25:$M$42),
1),
$M117)),
_xlfn.XLOOKUP($A117,[1]CRITERIOS!$L$179:$L$200,[1]CRITERIOS!$M$179:$M$200)),
_xlfn.CEILING.MATH(IF($M117&gt;$E117,
$E117,
IF($M117&lt;$E117/ROUNDDOWN([1]CRITERIOS!$M$16/_xlfn.XLOOKUP($C117,[1]CRITERIOS!$K$25:$K$42,[1]CRITERIOS!$M$25:$M$42),
1),
E117/ROUNDDOWN([1]CRITERIOS!$M$16/_xlfn.XLOOKUP($C117,[1]CRITERIOS!$K$25:$K$42,[1]CRITERIOS!$M$25:$M$42),
1),
$M117)),_xlfn.XLOOKUP(A117,'[1]DATOS PBI Artículos'!A:A,'[1]DATOS PBI Artículos'!Z:Z
)))))</f>
        <v>54000</v>
      </c>
      <c r="Q117" s="38">
        <f>IF(AND(O117="",N117=0),
0,
   IF(COUNTIF([1]CRITERIOS!$F$179:$F$199,$A117)&gt;=1,
   1,
   IF(R117="MTO",
      $D117,
      ROUNDUP(
                    IF(($E117-SUMIF('[1]DATOS PBI Artículos'!A:A,A117,'[1]DATOS PBI Artículos'!X:X)+($V117-_xlfn.XLOOKUP(A117,'[1]DATOS PBI Artículos'!A:A,'[1]DATOS PBI Artículos'!W:W)))&lt;0,
                    0,
                    IF(($E117-SUMIF('[1]DATOS PBI Artículos'!A:A,A117,'[1]DATOS PBI Artículos'!X:X)+$V117-_xlfn.XLOOKUP($A117,'[1]DATOS PBI Artículos'!A:A,'[1]DATOS PBI Artículos'!W:W))/IF($O117="",$N117,$O117)&gt;ROUNDUP([1]CRITERIOS!$M$16/(IF(COUNTIF([1]CRITERIOS!$BG$11:$BG$201,L117)&gt;=1,_xlfn.XLOOKUP($C117,[1]CRITERIOS!$K$25:$K$42,[1]CRITERIOS!$M$25:$M$42),_xlfn.XLOOKUP($C117,[1]CRITERIOS!$K$25:$K$42,[1]CRITERIOS!$M$25:$M$42))),0),
                    ROUNDUP([1]CRITERIOS!$M$16/(IF(COUNTIF([1]CRITERIOS!$BG$11:$BG$201,$L117)&gt;=1,_xlfn.XLOOKUP($C117,[1]CRITERIOS!$K$25:$K$42,[1]CRITERIOS!$M$25:$M$42),_xlfn.XLOOKUP($C117,[1]CRITERIOS!$K$25:$K$42,[1]CRITERIOS!$M$25:$M$42))),0),
                    (E117+V117-SUMIF('[1]DATOS PBI Artículos'!A:A,A117,'[1]DATOS PBI Artículos'!X:X)-_xlfn.XLOOKUP(A117,'[1]DATOS PBI Artículos'!A:A,'[1]DATOS PBI Artículos'!W:W))/IF($O117="",$N117,$O117))),0))))</f>
        <v>0</v>
      </c>
      <c r="R117" s="33" t="str">
        <f>IF(U117&lt;&gt;"",U117,IF(F117="DV","MTO",IF(N117=0,"MTO",_xlfn.XLOOKUP(CONCATENATE(S117,T117),[1]CRITERIOS!$K$160:$K$168,[1]CRITERIOS!$N$160:$N$168))))</f>
        <v>MTS</v>
      </c>
      <c r="S117" s="33" t="str">
        <f>IF(G117="DV","MTO",IF(N117=0,"MTO",IF(OR(AND(N117=0,O117=""),IF(O117="",G117/N117,G117/O117)&gt;[1]CRITERIOS!$G$163),"MTO",IF(IF(O117="",G117/N117,G117/O117)&lt;[1]CRITERIOS!$H$161,"MTS","MTOS"))))</f>
        <v>MTS</v>
      </c>
      <c r="T117" s="33" t="str">
        <f>IF(F117="DV","MTO",IF(OR(AND($N117=0,O117=""),$F117/$J117&gt;[1]CRITERIOS!$G$170,$F117="DV"),"MTO",IF($F117/$J117&lt;[1]CRITERIOS!$H$168,"MTS","MTOS")))</f>
        <v>MTS</v>
      </c>
      <c r="V117" s="34">
        <f t="shared" si="7"/>
        <v>19992.173663848756</v>
      </c>
      <c r="X117" s="34">
        <f t="shared" si="5"/>
        <v>73992.173663848749</v>
      </c>
      <c r="Y117" s="34">
        <f t="shared" si="6"/>
        <v>30571.12103226981</v>
      </c>
      <c r="Z117" s="34">
        <f>IF($R117="MTO",
0,
($H117+$K117*($E117/[1]CRITERIOS!$M$16))/[1]CRITERIOS!$X$48)</f>
        <v>3571.1210322698103</v>
      </c>
      <c r="AA117" s="34" t="e">
        <f>ROUNDUP(($Y117/_xlfn.XLOOKUP($A117,'[1]DATOS PBI Artículos'!$A$4:$A$4,'[1]DATOS PBI Artículos'!$Z$4:$Z$4))/_xlfn.XLOOKUP(_xlfn.XLOOKUP($A117,'[1]DATOS PBI Artículos'!$A$4:$A$4,'[1]DATOS PBI Artículos'!$Y$4:$Y$4),[1]CRITERIOS!$P$79:$P$123,[1]CRITERIOS!$S$79:$S$123,),0)</f>
        <v>#N/A</v>
      </c>
      <c r="AB117" s="33" t="e">
        <f t="array" ref="AB117">IF((E117+V117-_xlfn.XLOOKUP(A117,'[1]DATOS PBI Artículos'!$A$4:$A$4,'[1]DATOS PBI Artículos'!$W$4:$W$4))/N117&gt;ROUNDUP([1]CRITERIOS!$M$16/(IF(COUNTIF([1]CRITERIOS!$BG$11:$BG$201,L117)&gt;=1,_xlfn.XLOOKUP(ARTÍCULOS!L117,[1]CRITERIOS!$BG$11:$BG$201,[1]CRITERIOS!$BJ$11:$BJ$201),_xlfn.XLOOKUP(ARTÍCULOS!C117,[1]CRITERIOS!$K$25:$K$42,[1]CRITERIOS!$M$25:$M$42))),0),ROUNDUP([1]CRITERIOS!$M$16/(IF(COUNTIF([1]CRITERIOS!$BG$11:$BG$201,L117)&gt;=1,_xlfn.XLOOKUP(ARTÍCULOS!L117,[1]CRITERIOS!$BG$11:$BG$201:#REF!,[1]CRITERIOS!$BJ$11:$BJ$201),_xlfn.XLOOKUP(ARTÍCULOS!C117,[1]CRITERIOS!$K$25:$K$42,[1]CRITERIOS!$M$25:$M$42))),0),(E117+V117-_xlfn.XLOOKUP(A117,'[1]DATOS PBI Artículos'!$A$4:$A$4,'[1]DATOS PBI Artículos'!$W$4:$W$4))/N117)</f>
        <v>#N/A</v>
      </c>
      <c r="AC117" s="33" t="e">
        <f>IF(N117=0,"",(ROUNDUP((N117/2)/(_xlfn.XLOOKUP(A117,'[1]DATOS PBI Artículos'!$A$4:$A$4,'[1]DATOS PBI Artículos'!$Z$4:$Z$4)*_xlfn.XLOOKUP(_xlfn.XLOOKUP(A117,'[1]DATOS PBI Artículos'!$A$4:$A$4,'[1]DATOS PBI Artículos'!$Y$4:$Y$4),[1]CRITERIOS!$P$79:$P$123,[1]CRITERIOS!$S$79:$S$123)),0)*[1]CRITERIOS!$M$80*([1]CRITERIOS!$M$110/[1]CRITERIOS!$M$86)+(_xlfn.XLOOKUP(A117,'[1]DATOS PBI Artículos'!$A$4:$A$4,'[1]DATOS PBI Artículos'!$AA$4:$AA$4)*([1]CRITERIOS!$M$95+[1]CRITERIOS!$M$98)))/N117)</f>
        <v>#N/A</v>
      </c>
      <c r="AD117" s="33" t="e">
        <f>IF(N117=0,"",(ROUNDUP((N117/2)/(_xlfn.XLOOKUP(A117,'[1]DATOS PBI Artículos'!$A$4:$A$4,'[1]DATOS PBI Artículos'!$Z$4:$Z$4)*_xlfn.XLOOKUP(_xlfn.XLOOKUP(A117,'[1]DATOS PBI Artículos'!$A$4:$A$4,'[1]DATOS PBI Artículos'!$Y$4:$Y$4),[1]CRITERIOS!$P$79:$P$123,[1]CRITERIOS!$S$79:$S$123)),0)*[1]CRITERIOS!$M$80*([1]CRITERIOS!$M$89*[1]CRITERIOS!$M$92)+((_xlfn.XLOOKUP(A117,'[1]DATOS PBI Artículos'!$A$4:$A$4,'[1]DATOS PBI Artículos'!$AA$4:$AA$4)/2)*([1]CRITERIOS!$M$95+[1]CRITERIOS!$M$98)))/N117)</f>
        <v>#N/A</v>
      </c>
      <c r="AE117" s="39">
        <f>IF($R117="MTO","",
IF($H117=0,ROUNDUP(((_xlfn.XLOOKUP($A117,'[1]DATOS PBI Artículos'!$A:$A,'[1]DATOS PBI Artículos'!$AL:$AL))/(_xlfn.XLOOKUP($AF$1,[1]CRITERIOS!$S$16:$S$39,[1]CRITERIOS!$Y$16:$Y$39))*$J117+$Z117)/$G117,0)*$G117,
((_xlfn.XLOOKUP($A117,'[1]DATOS PBI Artículos'!$A:$A,'[1]DATOS PBI Artículos'!$AL:$AL))/(_xlfn.XLOOKUP($AF$1,[1]CRITERIOS!$S$16:$S$39,[1]CRITERIOS!$Y$16:$Y$39))*$J117+$Z117)))</f>
        <v>18005.089581269811</v>
      </c>
      <c r="AG117" s="39">
        <f>IF($R117="MTO","",
IF($H117=0,ROUNDUP(((_xlfn.XLOOKUP($A117,'[1]DATOS PBI Artículos'!$A:$A,'[1]DATOS PBI Artículos'!$AM:$AM))/(_xlfn.XLOOKUP($AH$1,[1]CRITERIOS!$S$16:$S$39,[1]CRITERIOS!$Y$16:$Y$39))*$J117+$Z117)/$G117,0)*$G117,
((_xlfn.XLOOKUP($A117,'[1]DATOS PBI Artículos'!$A:$A,'[1]DATOS PBI Artículos'!$AM:$AM))/(_xlfn.XLOOKUP($AH$1,[1]CRITERIOS!$S$16:$S$39,[1]CRITERIOS!$Y$16:$Y$39))*$J117+$Z117)))</f>
        <v>13939.321905226332</v>
      </c>
      <c r="AI117" s="39">
        <f>IF($R117="MTO","",
IF($H117=0,ROUNDUP(((_xlfn.XLOOKUP($A117,'[1]DATOS PBI Artículos'!$A:$A,'[1]DATOS PBI Artículos'!$AN:$AN))/(_xlfn.XLOOKUP($AJ$1,[1]CRITERIOS!$S$16:$S$39,[1]CRITERIOS!$Y$16:$Y$39))*$J117+$Z117)/$G117,0)*$G117,
((_xlfn.XLOOKUP($A117,'[1]DATOS PBI Artículos'!$A:$A,'[1]DATOS PBI Artículos'!$AN:$AN))/(_xlfn.XLOOKUP($AJ$1,[1]CRITERIOS!$S$16:$S$39,[1]CRITERIOS!$Y$16:$Y$39))*$J117+$Z117)))</f>
        <v>15989.625180969808</v>
      </c>
      <c r="AK117" s="39">
        <f>IF($R117="MTO","",
IF($H117=0,ROUNDUP(((_xlfn.XLOOKUP($A117,'[1]DATOS PBI Artículos'!$A:$A,'[1]DATOS PBI Artículos'!$AO:$AO))/(_xlfn.XLOOKUP($AL$1,[1]CRITERIOS!$S$16:$S$39,[1]CRITERIOS!$Y$16:$Y$39))*$J117+$Z117)/$G117,0)*$G117,
((_xlfn.XLOOKUP($A117,'[1]DATOS PBI Artículos'!$A:$A,'[1]DATOS PBI Artículos'!$AO:$AO))/(_xlfn.XLOOKUP($AL$1,[1]CRITERIOS!$S$16:$S$39,[1]CRITERIOS!$Y$16:$Y$39))*$J117+$Z117)))</f>
        <v>17096.111251269809</v>
      </c>
    </row>
    <row r="118" spans="1:37" ht="25.8" x14ac:dyDescent="0.5">
      <c r="A118" s="32">
        <v>422470</v>
      </c>
      <c r="B118" s="33">
        <f>_xlfn.XLOOKUP($A118,'[1]DATOS PBI Artículos'!A:A,'[1]DATOS PBI Artículos'!B:B)</f>
        <v>0</v>
      </c>
      <c r="C118" s="33" t="str">
        <f>_xlfn.XLOOKUP($A118,'[1]DATOS PBI Artículos'!A:A,'[1]DATOS PBI Artículos'!C:C)</f>
        <v>UA01</v>
      </c>
      <c r="D118" s="33">
        <f>_xlfn.XLOOKUP(A118,'[1]DATOS PBI Artículos'!A:A,'[1]DATOS PBI Artículos'!T:T)</f>
        <v>3</v>
      </c>
      <c r="E118" s="34">
        <f>IF(_xlfn.XLOOKUP($A118,'[1]DATOS PBI Artículos'!A:A,'[1]DATOS PBI Artículos'!AK:AK)="",_xlfn.XLOOKUP($A118,'[1]DATOS PBI Artículos'!A:A,'[1]DATOS PBI Artículos'!AJ:AJ),_xlfn.XLOOKUP($A118,'[1]DATOS PBI Artículos'!A:A,'[1]DATOS PBI Artículos'!AK:AK))</f>
        <v>72000</v>
      </c>
      <c r="F118" s="35">
        <f>_xlfn.XLOOKUP($A118,'[1]DATOS PBI Artículos'!A:A,'[1]DATOS PBI Artículos'!AP:AP)</f>
        <v>31</v>
      </c>
      <c r="G118" s="34">
        <f>_xlfn.XLOOKUP($A118,'[1]DATOS PBI Artículos'!A:A,'[1]DATOS PBI Artículos'!AR:AR)</f>
        <v>24000</v>
      </c>
      <c r="H118" s="34">
        <f>_xlfn.XLOOKUP($A118,'[1]DATOS PBI Artículos'!A:A,'[1]DATOS PBI Artículos'!AT:AT)</f>
        <v>0</v>
      </c>
      <c r="I118" s="34">
        <f>_xlfn.XLOOKUP($A118,'[1]DATOS PBI Artículos'!A:A,'[1]DATOS PBI Artículos'!AS:AS)</f>
        <v>24000</v>
      </c>
      <c r="J118" s="35">
        <f>IF(COUNTIF([1]CRITERIOS!$F$179:$F$199,$A118)&gt;=1,
 IF(O118&lt;&gt;"",
    (O118/_xlfn.XLOOKUP(CONCATENATE(A118,L118),[1]MÁQUINAS!A:A,[1]MÁQUINAS!D:D))/24,
    (N118/_xlfn.XLOOKUP(CONCATENATE(A118,L118),[1]MÁQUINAS!A:A,[1]MÁQUINAS!D:D))/24),
  _xlfn.XLOOKUP($A118,'[1]DATOS PBI Artículos'!A:A,'[1]DATOS PBI Artículos'!AU:AU))</f>
        <v>15</v>
      </c>
      <c r="K118" s="36">
        <f>_xlfn.XLOOKUP($A118,'[1]DATOS PBI Artículos'!A:A,'[1]DATOS PBI Artículos'!AV:AV)</f>
        <v>3.437758254761643</v>
      </c>
      <c r="L118" s="33">
        <f>_xlfn.XLOOKUP(A118,[1]MÁQUINAS!B:B,[1]MÁQUINAS!C:C)</f>
        <v>550</v>
      </c>
      <c r="M118" s="34">
        <f t="array" ref="M118">_xlfn.XLOOKUP(A118,'[1]DATOS PBI Artículos'!A:A,'[1]DATOS PBI Artículos'!AX:$AX)</f>
        <v>47815.34845429485</v>
      </c>
      <c r="N118" s="37">
        <f>IF(I118="DV",
E118,
IF(COUNTIF([1]CRITERIOS!$I$179:$I$199,$A118)&gt;=1,
_xlfn.XLOOKUP($A118,[1]CRITERIOS!$I$179:$I$199,[1]CRITERIOS!$J$179:$J$199),
IF(COUNTIF([1]CRITERIOS!$L$179:$L$199,$A118)&gt;=1,
_xlfn.CEILING.MATH(IF($M118&gt;$E118,
$E118,
IF($M118&lt;$E118/ROUNDDOWN([1]CRITERIOS!$M$16/_xlfn.XLOOKUP($C118,[1]CRITERIOS!$K$25:$K$42,[1]CRITERIOS!$M$25:$M$42),
1),
E118/ROUNDDOWN([1]CRITERIOS!$M$16/_xlfn.XLOOKUP($C118,[1]CRITERIOS!$K$25:$K$42,[1]CRITERIOS!$M$25:$M$42),
1),
$M118)),
_xlfn.XLOOKUP($A118,[1]CRITERIOS!$L$179:$L$200,[1]CRITERIOS!$M$179:$M$200)),
_xlfn.CEILING.MATH(IF($M118&gt;$E118,
$E118,
IF($M118&lt;$E118/ROUNDDOWN([1]CRITERIOS!$M$16/_xlfn.XLOOKUP($C118,[1]CRITERIOS!$K$25:$K$42,[1]CRITERIOS!$M$25:$M$42),
1),
E118/ROUNDDOWN([1]CRITERIOS!$M$16/_xlfn.XLOOKUP($C118,[1]CRITERIOS!$K$25:$K$42,[1]CRITERIOS!$M$25:$M$42),
1),
$M118)),_xlfn.XLOOKUP(A118,'[1]DATOS PBI Artículos'!A:A,'[1]DATOS PBI Artículos'!Z:Z
)))))</f>
        <v>48000</v>
      </c>
      <c r="Q118" s="38">
        <f>IF(AND(O118="",N118=0),
0,
   IF(COUNTIF([1]CRITERIOS!$F$179:$F$199,$A118)&gt;=1,
   1,
   IF(R118="MTO",
      $D118,
      ROUNDUP(
                    IF(($E118-SUMIF('[1]DATOS PBI Artículos'!A:A,A118,'[1]DATOS PBI Artículos'!X:X)+($V118-_xlfn.XLOOKUP(A118,'[1]DATOS PBI Artículos'!A:A,'[1]DATOS PBI Artículos'!W:W)))&lt;0,
                    0,
                    IF(($E118-SUMIF('[1]DATOS PBI Artículos'!A:A,A118,'[1]DATOS PBI Artículos'!X:X)+$V118-_xlfn.XLOOKUP($A118,'[1]DATOS PBI Artículos'!A:A,'[1]DATOS PBI Artículos'!W:W))/IF($O118="",$N118,$O118)&gt;ROUNDUP([1]CRITERIOS!$M$16/(IF(COUNTIF([1]CRITERIOS!$BG$11:$BG$201,L118)&gt;=1,_xlfn.XLOOKUP($C118,[1]CRITERIOS!$K$25:$K$42,[1]CRITERIOS!$M$25:$M$42),_xlfn.XLOOKUP($C118,[1]CRITERIOS!$K$25:$K$42,[1]CRITERIOS!$M$25:$M$42))),0),
                    ROUNDUP([1]CRITERIOS!$M$16/(IF(COUNTIF([1]CRITERIOS!$BG$11:$BG$201,$L118)&gt;=1,_xlfn.XLOOKUP($C118,[1]CRITERIOS!$K$25:$K$42,[1]CRITERIOS!$M$25:$M$42),_xlfn.XLOOKUP($C118,[1]CRITERIOS!$K$25:$K$42,[1]CRITERIOS!$M$25:$M$42))),0),
                    (E118+V118-SUMIF('[1]DATOS PBI Artículos'!A:A,A118,'[1]DATOS PBI Artículos'!X:X)-_xlfn.XLOOKUP(A118,'[1]DATOS PBI Artículos'!A:A,'[1]DATOS PBI Artículos'!W:W))/IF($O118="",$N118,$O118))),0))))</f>
        <v>3</v>
      </c>
      <c r="R118" s="33" t="str">
        <f>IF(U118&lt;&gt;"",U118,IF(F118="DV","MTO",IF(N118=0,"MTO",_xlfn.XLOOKUP(CONCATENATE(S118,T118),[1]CRITERIOS!$K$160:$K$168,[1]CRITERIOS!$N$160:$N$168))))</f>
        <v>MTO</v>
      </c>
      <c r="S118" s="33" t="str">
        <f>IF(G118="DV","MTO",IF(N118=0,"MTO",IF(OR(AND(N118=0,O118=""),IF(O118="",G118/N118,G118/O118)&gt;[1]CRITERIOS!$G$163),"MTO",IF(IF(O118="",G118/N118,G118/O118)&lt;[1]CRITERIOS!$H$161,"MTS","MTOS"))))</f>
        <v>MTOS</v>
      </c>
      <c r="T118" s="33" t="str">
        <f>IF(F118="DV","MTO",IF(OR(AND($N118=0,O118=""),$F118/$J118&gt;[1]CRITERIOS!$G$170,$F118="DV"),"MTO",IF($F118/$J118&lt;[1]CRITERIOS!$H$168,"MTS","MTOS")))</f>
        <v>MTO</v>
      </c>
      <c r="V118" s="34" t="str">
        <f t="shared" si="7"/>
        <v/>
      </c>
      <c r="X118" s="34">
        <f t="shared" si="5"/>
        <v>0</v>
      </c>
      <c r="Y118" s="34">
        <f t="shared" si="6"/>
        <v>0</v>
      </c>
      <c r="Z118" s="34">
        <f>IF($R118="MTO",
0,
($H118+$K118*($E118/[1]CRITERIOS!$M$16))/[1]CRITERIOS!$X$48)</f>
        <v>0</v>
      </c>
      <c r="AA118" s="34" t="e">
        <f>ROUNDUP(($Y118/_xlfn.XLOOKUP($A118,'[1]DATOS PBI Artículos'!$A$4:$A$4,'[1]DATOS PBI Artículos'!$Z$4:$Z$4))/_xlfn.XLOOKUP(_xlfn.XLOOKUP($A118,'[1]DATOS PBI Artículos'!$A$4:$A$4,'[1]DATOS PBI Artículos'!$Y$4:$Y$4),[1]CRITERIOS!$P$79:$P$123,[1]CRITERIOS!$S$79:$S$123,),0)</f>
        <v>#N/A</v>
      </c>
      <c r="AB118" s="33" t="e">
        <f t="array" ref="AB118">IF((E118+V118-_xlfn.XLOOKUP(A118,'[1]DATOS PBI Artículos'!$A$4:$A$4,'[1]DATOS PBI Artículos'!$W$4:$W$4))/N118&gt;ROUNDUP([1]CRITERIOS!$M$16/(IF(COUNTIF([1]CRITERIOS!$BG$11:$BG$201,L118)&gt;=1,_xlfn.XLOOKUP(ARTÍCULOS!L118,[1]CRITERIOS!$BG$11:$BG$201,[1]CRITERIOS!$BJ$11:$BJ$201),_xlfn.XLOOKUP(ARTÍCULOS!C118,[1]CRITERIOS!$K$25:$K$42,[1]CRITERIOS!$M$25:$M$42))),0),ROUNDUP([1]CRITERIOS!$M$16/(IF(COUNTIF([1]CRITERIOS!$BG$11:$BG$201,L118)&gt;=1,_xlfn.XLOOKUP(ARTÍCULOS!L118,[1]CRITERIOS!$BG$11:$BG$201:#REF!,[1]CRITERIOS!$BJ$11:$BJ$201),_xlfn.XLOOKUP(ARTÍCULOS!C118,[1]CRITERIOS!$K$25:$K$42,[1]CRITERIOS!$M$25:$M$42))),0),(E118+V118-_xlfn.XLOOKUP(A118,'[1]DATOS PBI Artículos'!$A$4:$A$4,'[1]DATOS PBI Artículos'!$W$4:$W$4))/N118)</f>
        <v>#VALUE!</v>
      </c>
      <c r="AC118" s="33" t="e">
        <f>IF(N118=0,"",(ROUNDUP((N118/2)/(_xlfn.XLOOKUP(A118,'[1]DATOS PBI Artículos'!$A$4:$A$4,'[1]DATOS PBI Artículos'!$Z$4:$Z$4)*_xlfn.XLOOKUP(_xlfn.XLOOKUP(A118,'[1]DATOS PBI Artículos'!$A$4:$A$4,'[1]DATOS PBI Artículos'!$Y$4:$Y$4),[1]CRITERIOS!$P$79:$P$123,[1]CRITERIOS!$S$79:$S$123)),0)*[1]CRITERIOS!$M$80*([1]CRITERIOS!$M$110/[1]CRITERIOS!$M$86)+(_xlfn.XLOOKUP(A118,'[1]DATOS PBI Artículos'!$A$4:$A$4,'[1]DATOS PBI Artículos'!$AA$4:$AA$4)*([1]CRITERIOS!$M$95+[1]CRITERIOS!$M$98)))/N118)</f>
        <v>#N/A</v>
      </c>
      <c r="AD118" s="33" t="e">
        <f>IF(N118=0,"",(ROUNDUP((N118/2)/(_xlfn.XLOOKUP(A118,'[1]DATOS PBI Artículos'!$A$4:$A$4,'[1]DATOS PBI Artículos'!$Z$4:$Z$4)*_xlfn.XLOOKUP(_xlfn.XLOOKUP(A118,'[1]DATOS PBI Artículos'!$A$4:$A$4,'[1]DATOS PBI Artículos'!$Y$4:$Y$4),[1]CRITERIOS!$P$79:$P$123,[1]CRITERIOS!$S$79:$S$123)),0)*[1]CRITERIOS!$M$80*([1]CRITERIOS!$M$89*[1]CRITERIOS!$M$92)+((_xlfn.XLOOKUP(A118,'[1]DATOS PBI Artículos'!$A$4:$A$4,'[1]DATOS PBI Artículos'!$AA$4:$AA$4)/2)*([1]CRITERIOS!$M$95+[1]CRITERIOS!$M$98)))/N118)</f>
        <v>#N/A</v>
      </c>
      <c r="AE118" s="39" t="str">
        <f>IF($R118="MTO","",
IF($H118=0,ROUNDUP(((_xlfn.XLOOKUP($A118,'[1]DATOS PBI Artículos'!$A:$A,'[1]DATOS PBI Artículos'!$AL:$AL))/(_xlfn.XLOOKUP($AF$1,[1]CRITERIOS!$S$16:$S$39,[1]CRITERIOS!$Y$16:$Y$39))*$J118+$Z118)/$G118,0)*$G118,
((_xlfn.XLOOKUP($A118,'[1]DATOS PBI Artículos'!$A:$A,'[1]DATOS PBI Artículos'!$AL:$AL))/(_xlfn.XLOOKUP($AF$1,[1]CRITERIOS!$S$16:$S$39,[1]CRITERIOS!$Y$16:$Y$39))*$J118+$Z118)))</f>
        <v/>
      </c>
      <c r="AG118" s="39" t="str">
        <f>IF($R118="MTO","",
IF($H118=0,ROUNDUP(((_xlfn.XLOOKUP($A118,'[1]DATOS PBI Artículos'!$A:$A,'[1]DATOS PBI Artículos'!$AM:$AM))/(_xlfn.XLOOKUP($AH$1,[1]CRITERIOS!$S$16:$S$39,[1]CRITERIOS!$Y$16:$Y$39))*$J118+$Z118)/$G118,0)*$G118,
((_xlfn.XLOOKUP($A118,'[1]DATOS PBI Artículos'!$A:$A,'[1]DATOS PBI Artículos'!$AM:$AM))/(_xlfn.XLOOKUP($AH$1,[1]CRITERIOS!$S$16:$S$39,[1]CRITERIOS!$Y$16:$Y$39))*$J118+$Z118)))</f>
        <v/>
      </c>
      <c r="AI118" s="39" t="str">
        <f>IF($R118="MTO","",
IF($H118=0,ROUNDUP(((_xlfn.XLOOKUP($A118,'[1]DATOS PBI Artículos'!$A:$A,'[1]DATOS PBI Artículos'!$AN:$AN))/(_xlfn.XLOOKUP($AJ$1,[1]CRITERIOS!$S$16:$S$39,[1]CRITERIOS!$Y$16:$Y$39))*$J118+$Z118)/$G118,0)*$G118,
((_xlfn.XLOOKUP($A118,'[1]DATOS PBI Artículos'!$A:$A,'[1]DATOS PBI Artículos'!$AN:$AN))/(_xlfn.XLOOKUP($AJ$1,[1]CRITERIOS!$S$16:$S$39,[1]CRITERIOS!$Y$16:$Y$39))*$J118+$Z118)))</f>
        <v/>
      </c>
      <c r="AK118" s="39" t="str">
        <f>IF($R118="MTO","",
IF($H118=0,ROUNDUP(((_xlfn.XLOOKUP($A118,'[1]DATOS PBI Artículos'!$A:$A,'[1]DATOS PBI Artículos'!$AO:$AO))/(_xlfn.XLOOKUP($AL$1,[1]CRITERIOS!$S$16:$S$39,[1]CRITERIOS!$Y$16:$Y$39))*$J118+$Z118)/$G118,0)*$G118,
((_xlfn.XLOOKUP($A118,'[1]DATOS PBI Artículos'!$A:$A,'[1]DATOS PBI Artículos'!$AO:$AO))/(_xlfn.XLOOKUP($AL$1,[1]CRITERIOS!$S$16:$S$39,[1]CRITERIOS!$Y$16:$Y$39))*$J118+$Z118)))</f>
        <v/>
      </c>
    </row>
    <row r="119" spans="1:37" ht="25.8" x14ac:dyDescent="0.5">
      <c r="A119" s="32">
        <v>453363</v>
      </c>
      <c r="B119" s="33">
        <f>_xlfn.XLOOKUP($A119,'[1]DATOS PBI Artículos'!A:A,'[1]DATOS PBI Artículos'!B:B)</f>
        <v>0</v>
      </c>
      <c r="C119" s="33" t="str">
        <f>_xlfn.XLOOKUP($A119,'[1]DATOS PBI Artículos'!A:A,'[1]DATOS PBI Artículos'!C:C)</f>
        <v>UA01</v>
      </c>
      <c r="D119" s="33">
        <f>_xlfn.XLOOKUP(A119,'[1]DATOS PBI Artículos'!A:A,'[1]DATOS PBI Artículos'!T:T)</f>
        <v>2</v>
      </c>
      <c r="E119" s="34">
        <f>IF(_xlfn.XLOOKUP($A119,'[1]DATOS PBI Artículos'!A:A,'[1]DATOS PBI Artículos'!AK:AK)="",_xlfn.XLOOKUP($A119,'[1]DATOS PBI Artículos'!A:A,'[1]DATOS PBI Artículos'!AJ:AJ),_xlfn.XLOOKUP($A119,'[1]DATOS PBI Artículos'!A:A,'[1]DATOS PBI Artículos'!AK:AK))</f>
        <v>72000</v>
      </c>
      <c r="F119" s="35">
        <f>_xlfn.XLOOKUP($A119,'[1]DATOS PBI Artículos'!A:A,'[1]DATOS PBI Artículos'!AP:AP)</f>
        <v>53</v>
      </c>
      <c r="G119" s="34">
        <f>_xlfn.XLOOKUP($A119,'[1]DATOS PBI Artículos'!A:A,'[1]DATOS PBI Artículos'!AR:AR)</f>
        <v>36000</v>
      </c>
      <c r="H119" s="34">
        <f>_xlfn.XLOOKUP($A119,'[1]DATOS PBI Artículos'!A:A,'[1]DATOS PBI Artículos'!AT:AT)</f>
        <v>0</v>
      </c>
      <c r="I119" s="34">
        <f>_xlfn.XLOOKUP($A119,'[1]DATOS PBI Artículos'!A:A,'[1]DATOS PBI Artículos'!AS:AS)</f>
        <v>36000</v>
      </c>
      <c r="J119" s="35">
        <f>IF(COUNTIF([1]CRITERIOS!$F$179:$F$199,$A119)&gt;=1,
 IF(O119&lt;&gt;"",
    (O119/_xlfn.XLOOKUP(CONCATENATE(A119,L119),[1]MÁQUINAS!A:A,[1]MÁQUINAS!D:D))/24,
    (N119/_xlfn.XLOOKUP(CONCATENATE(A119,L119),[1]MÁQUINAS!A:A,[1]MÁQUINAS!D:D))/24),
  _xlfn.XLOOKUP($A119,'[1]DATOS PBI Artículos'!A:A,'[1]DATOS PBI Artículos'!AU:AU))</f>
        <v>17.333333333333332</v>
      </c>
      <c r="K119" s="36">
        <f>_xlfn.XLOOKUP($A119,'[1]DATOS PBI Artículos'!A:A,'[1]DATOS PBI Artículos'!AV:AV)</f>
        <v>2.8867513459481282</v>
      </c>
      <c r="L119" s="33">
        <f>_xlfn.XLOOKUP(A119,[1]MÁQUINAS!B:B,[1]MÁQUINAS!C:C)</f>
        <v>407</v>
      </c>
      <c r="M119" s="34">
        <f t="array" ref="M119">_xlfn.XLOOKUP(A119,'[1]DATOS PBI Artículos'!A:A,'[1]DATOS PBI Artículos'!AX:$AX)</f>
        <v>56541.738504375906</v>
      </c>
      <c r="N119" s="37">
        <f>IF(I119="DV",
E119,
IF(COUNTIF([1]CRITERIOS!$I$179:$I$199,$A119)&gt;=1,
_xlfn.XLOOKUP($A119,[1]CRITERIOS!$I$179:$I$199,[1]CRITERIOS!$J$179:$J$199),
IF(COUNTIF([1]CRITERIOS!$L$179:$L$199,$A119)&gt;=1,
_xlfn.CEILING.MATH(IF($M119&gt;$E119,
$E119,
IF($M119&lt;$E119/ROUNDDOWN([1]CRITERIOS!$M$16/_xlfn.XLOOKUP($C119,[1]CRITERIOS!$K$25:$K$42,[1]CRITERIOS!$M$25:$M$42),
1),
E119/ROUNDDOWN([1]CRITERIOS!$M$16/_xlfn.XLOOKUP($C119,[1]CRITERIOS!$K$25:$K$42,[1]CRITERIOS!$M$25:$M$42),
1),
$M119)),
_xlfn.XLOOKUP($A119,[1]CRITERIOS!$L$179:$L$200,[1]CRITERIOS!$M$179:$M$200)),
_xlfn.CEILING.MATH(IF($M119&gt;$E119,
$E119,
IF($M119&lt;$E119/ROUNDDOWN([1]CRITERIOS!$M$16/_xlfn.XLOOKUP($C119,[1]CRITERIOS!$K$25:$K$42,[1]CRITERIOS!$M$25:$M$42),
1),
E119/ROUNDDOWN([1]CRITERIOS!$M$16/_xlfn.XLOOKUP($C119,[1]CRITERIOS!$K$25:$K$42,[1]CRITERIOS!$M$25:$M$42),
1),
$M119)),_xlfn.XLOOKUP(A119,'[1]DATOS PBI Artículos'!A:A,'[1]DATOS PBI Artículos'!Z:Z
)))))</f>
        <v>60000</v>
      </c>
      <c r="Q119" s="38">
        <f>IF(AND(O119="",N119=0),
0,
   IF(COUNTIF([1]CRITERIOS!$F$179:$F$199,$A119)&gt;=1,
   1,
   IF(R119="MTO",
      $D119,
      ROUNDUP(
                    IF(($E119-SUMIF('[1]DATOS PBI Artículos'!A:A,A119,'[1]DATOS PBI Artículos'!X:X)+($V119-_xlfn.XLOOKUP(A119,'[1]DATOS PBI Artículos'!A:A,'[1]DATOS PBI Artículos'!W:W)))&lt;0,
                    0,
                    IF(($E119-SUMIF('[1]DATOS PBI Artículos'!A:A,A119,'[1]DATOS PBI Artículos'!X:X)+$V119-_xlfn.XLOOKUP($A119,'[1]DATOS PBI Artículos'!A:A,'[1]DATOS PBI Artículos'!W:W))/IF($O119="",$N119,$O119)&gt;ROUNDUP([1]CRITERIOS!$M$16/(IF(COUNTIF([1]CRITERIOS!$BG$11:$BG$201,L119)&gt;=1,_xlfn.XLOOKUP($C119,[1]CRITERIOS!$K$25:$K$42,[1]CRITERIOS!$M$25:$M$42),_xlfn.XLOOKUP($C119,[1]CRITERIOS!$K$25:$K$42,[1]CRITERIOS!$M$25:$M$42))),0),
                    ROUNDUP([1]CRITERIOS!$M$16/(IF(COUNTIF([1]CRITERIOS!$BG$11:$BG$201,$L119)&gt;=1,_xlfn.XLOOKUP($C119,[1]CRITERIOS!$K$25:$K$42,[1]CRITERIOS!$M$25:$M$42),_xlfn.XLOOKUP($C119,[1]CRITERIOS!$K$25:$K$42,[1]CRITERIOS!$M$25:$M$42))),0),
                    (E119+V119-SUMIF('[1]DATOS PBI Artículos'!A:A,A119,'[1]DATOS PBI Artículos'!X:X)-_xlfn.XLOOKUP(A119,'[1]DATOS PBI Artículos'!A:A,'[1]DATOS PBI Artículos'!W:W))/IF($O119="",$N119,$O119))),0))))</f>
        <v>2</v>
      </c>
      <c r="R119" s="33" t="str">
        <f>IF(U119&lt;&gt;"",U119,IF(F119="DV","MTO",IF(N119=0,"MTO",_xlfn.XLOOKUP(CONCATENATE(S119,T119),[1]CRITERIOS!$K$160:$K$168,[1]CRITERIOS!$N$160:$N$168))))</f>
        <v>MTO</v>
      </c>
      <c r="S119" s="33" t="str">
        <f>IF(G119="DV","MTO",IF(N119=0,"MTO",IF(OR(AND(N119=0,O119=""),IF(O119="",G119/N119,G119/O119)&gt;[1]CRITERIOS!$G$163),"MTO",IF(IF(O119="",G119/N119,G119/O119)&lt;[1]CRITERIOS!$H$161,"MTS","MTOS"))))</f>
        <v>MTOS</v>
      </c>
      <c r="T119" s="33" t="str">
        <f>IF(F119="DV","MTO",IF(OR(AND($N119=0,O119=""),$F119/$J119&gt;[1]CRITERIOS!$G$170,$F119="DV"),"MTO",IF($F119/$J119&lt;[1]CRITERIOS!$H$168,"MTS","MTOS")))</f>
        <v>MTO</v>
      </c>
      <c r="V119" s="34" t="str">
        <f t="shared" si="7"/>
        <v/>
      </c>
      <c r="X119" s="34">
        <f t="shared" si="5"/>
        <v>0</v>
      </c>
      <c r="Y119" s="34">
        <f t="shared" si="6"/>
        <v>0</v>
      </c>
      <c r="Z119" s="34">
        <f>IF($R119="MTO",
0,
($H119+$K119*($E119/[1]CRITERIOS!$M$16))/[1]CRITERIOS!$X$48)</f>
        <v>0</v>
      </c>
      <c r="AA119" s="34" t="e">
        <f>ROUNDUP(($Y119/_xlfn.XLOOKUP($A119,'[1]DATOS PBI Artículos'!$A$4:$A$4,'[1]DATOS PBI Artículos'!$Z$4:$Z$4))/_xlfn.XLOOKUP(_xlfn.XLOOKUP($A119,'[1]DATOS PBI Artículos'!$A$4:$A$4,'[1]DATOS PBI Artículos'!$Y$4:$Y$4),[1]CRITERIOS!$P$79:$P$123,[1]CRITERIOS!$S$79:$S$123,),0)</f>
        <v>#N/A</v>
      </c>
      <c r="AB119" s="33" t="e">
        <f t="array" ref="AB119">IF((E119+V119-_xlfn.XLOOKUP(A119,'[1]DATOS PBI Artículos'!$A$4:$A$4,'[1]DATOS PBI Artículos'!$W$4:$W$4))/N119&gt;ROUNDUP([1]CRITERIOS!$M$16/(IF(COUNTIF([1]CRITERIOS!$BG$11:$BG$201,L119)&gt;=1,_xlfn.XLOOKUP(ARTÍCULOS!L119,[1]CRITERIOS!$BG$11:$BG$201,[1]CRITERIOS!$BJ$11:$BJ$201),_xlfn.XLOOKUP(ARTÍCULOS!C119,[1]CRITERIOS!$K$25:$K$42,[1]CRITERIOS!$M$25:$M$42))),0),ROUNDUP([1]CRITERIOS!$M$16/(IF(COUNTIF([1]CRITERIOS!$BG$11:$BG$201,L119)&gt;=1,_xlfn.XLOOKUP(ARTÍCULOS!L119,[1]CRITERIOS!$BG$11:$BG$201:#REF!,[1]CRITERIOS!$BJ$11:$BJ$201),_xlfn.XLOOKUP(ARTÍCULOS!C119,[1]CRITERIOS!$K$25:$K$42,[1]CRITERIOS!$M$25:$M$42))),0),(E119+V119-_xlfn.XLOOKUP(A119,'[1]DATOS PBI Artículos'!$A$4:$A$4,'[1]DATOS PBI Artículos'!$W$4:$W$4))/N119)</f>
        <v>#VALUE!</v>
      </c>
      <c r="AC119" s="33" t="e">
        <f>IF(N119=0,"",(ROUNDUP((N119/2)/(_xlfn.XLOOKUP(A119,'[1]DATOS PBI Artículos'!$A$4:$A$4,'[1]DATOS PBI Artículos'!$Z$4:$Z$4)*_xlfn.XLOOKUP(_xlfn.XLOOKUP(A119,'[1]DATOS PBI Artículos'!$A$4:$A$4,'[1]DATOS PBI Artículos'!$Y$4:$Y$4),[1]CRITERIOS!$P$79:$P$123,[1]CRITERIOS!$S$79:$S$123)),0)*[1]CRITERIOS!$M$80*([1]CRITERIOS!$M$110/[1]CRITERIOS!$M$86)+(_xlfn.XLOOKUP(A119,'[1]DATOS PBI Artículos'!$A$4:$A$4,'[1]DATOS PBI Artículos'!$AA$4:$AA$4)*([1]CRITERIOS!$M$95+[1]CRITERIOS!$M$98)))/N119)</f>
        <v>#N/A</v>
      </c>
      <c r="AD119" s="33" t="e">
        <f>IF(N119=0,"",(ROUNDUP((N119/2)/(_xlfn.XLOOKUP(A119,'[1]DATOS PBI Artículos'!$A$4:$A$4,'[1]DATOS PBI Artículos'!$Z$4:$Z$4)*_xlfn.XLOOKUP(_xlfn.XLOOKUP(A119,'[1]DATOS PBI Artículos'!$A$4:$A$4,'[1]DATOS PBI Artículos'!$Y$4:$Y$4),[1]CRITERIOS!$P$79:$P$123,[1]CRITERIOS!$S$79:$S$123)),0)*[1]CRITERIOS!$M$80*([1]CRITERIOS!$M$89*[1]CRITERIOS!$M$92)+((_xlfn.XLOOKUP(A119,'[1]DATOS PBI Artículos'!$A$4:$A$4,'[1]DATOS PBI Artículos'!$AA$4:$AA$4)/2)*([1]CRITERIOS!$M$95+[1]CRITERIOS!$M$98)))/N119)</f>
        <v>#N/A</v>
      </c>
      <c r="AE119" s="39" t="str">
        <f>IF($R119="MTO","",
IF($H119=0,ROUNDUP(((_xlfn.XLOOKUP($A119,'[1]DATOS PBI Artículos'!$A:$A,'[1]DATOS PBI Artículos'!$AL:$AL))/(_xlfn.XLOOKUP($AF$1,[1]CRITERIOS!$S$16:$S$39,[1]CRITERIOS!$Y$16:$Y$39))*$J119+$Z119)/$G119,0)*$G119,
((_xlfn.XLOOKUP($A119,'[1]DATOS PBI Artículos'!$A:$A,'[1]DATOS PBI Artículos'!$AL:$AL))/(_xlfn.XLOOKUP($AF$1,[1]CRITERIOS!$S$16:$S$39,[1]CRITERIOS!$Y$16:$Y$39))*$J119+$Z119)))</f>
        <v/>
      </c>
      <c r="AG119" s="39" t="str">
        <f>IF($R119="MTO","",
IF($H119=0,ROUNDUP(((_xlfn.XLOOKUP($A119,'[1]DATOS PBI Artículos'!$A:$A,'[1]DATOS PBI Artículos'!$AM:$AM))/(_xlfn.XLOOKUP($AH$1,[1]CRITERIOS!$S$16:$S$39,[1]CRITERIOS!$Y$16:$Y$39))*$J119+$Z119)/$G119,0)*$G119,
((_xlfn.XLOOKUP($A119,'[1]DATOS PBI Artículos'!$A:$A,'[1]DATOS PBI Artículos'!$AM:$AM))/(_xlfn.XLOOKUP($AH$1,[1]CRITERIOS!$S$16:$S$39,[1]CRITERIOS!$Y$16:$Y$39))*$J119+$Z119)))</f>
        <v/>
      </c>
      <c r="AI119" s="39" t="str">
        <f>IF($R119="MTO","",
IF($H119=0,ROUNDUP(((_xlfn.XLOOKUP($A119,'[1]DATOS PBI Artículos'!$A:$A,'[1]DATOS PBI Artículos'!$AN:$AN))/(_xlfn.XLOOKUP($AJ$1,[1]CRITERIOS!$S$16:$S$39,[1]CRITERIOS!$Y$16:$Y$39))*$J119+$Z119)/$G119,0)*$G119,
((_xlfn.XLOOKUP($A119,'[1]DATOS PBI Artículos'!$A:$A,'[1]DATOS PBI Artículos'!$AN:$AN))/(_xlfn.XLOOKUP($AJ$1,[1]CRITERIOS!$S$16:$S$39,[1]CRITERIOS!$Y$16:$Y$39))*$J119+$Z119)))</f>
        <v/>
      </c>
      <c r="AK119" s="39" t="str">
        <f>IF($R119="MTO","",
IF($H119=0,ROUNDUP(((_xlfn.XLOOKUP($A119,'[1]DATOS PBI Artículos'!$A:$A,'[1]DATOS PBI Artículos'!$AO:$AO))/(_xlfn.XLOOKUP($AL$1,[1]CRITERIOS!$S$16:$S$39,[1]CRITERIOS!$Y$16:$Y$39))*$J119+$Z119)/$G119,0)*$G119,
((_xlfn.XLOOKUP($A119,'[1]DATOS PBI Artículos'!$A:$A,'[1]DATOS PBI Artículos'!$AO:$AO))/(_xlfn.XLOOKUP($AL$1,[1]CRITERIOS!$S$16:$S$39,[1]CRITERIOS!$Y$16:$Y$39))*$J119+$Z119)))</f>
        <v/>
      </c>
    </row>
    <row r="120" spans="1:37" ht="25.8" x14ac:dyDescent="0.5">
      <c r="A120" s="32" t="s">
        <v>77</v>
      </c>
      <c r="B120" s="33">
        <f>_xlfn.XLOOKUP($A120,'[1]DATOS PBI Artículos'!A:A,'[1]DATOS PBI Artículos'!B:B)</f>
        <v>0</v>
      </c>
      <c r="C120" s="33" t="str">
        <f>_xlfn.XLOOKUP($A120,'[1]DATOS PBI Artículos'!A:A,'[1]DATOS PBI Artículos'!C:C)</f>
        <v>UA01</v>
      </c>
      <c r="D120" s="33">
        <f>_xlfn.XLOOKUP(A120,'[1]DATOS PBI Artículos'!A:A,'[1]DATOS PBI Artículos'!T:T)</f>
        <v>2</v>
      </c>
      <c r="E120" s="34">
        <f>IF(_xlfn.XLOOKUP($A120,'[1]DATOS PBI Artículos'!A:A,'[1]DATOS PBI Artículos'!AK:AK)="",_xlfn.XLOOKUP($A120,'[1]DATOS PBI Artículos'!A:A,'[1]DATOS PBI Artículos'!AJ:AJ),_xlfn.XLOOKUP($A120,'[1]DATOS PBI Artículos'!A:A,'[1]DATOS PBI Artículos'!AK:AK))</f>
        <v>70400</v>
      </c>
      <c r="F120" s="35">
        <f>_xlfn.XLOOKUP($A120,'[1]DATOS PBI Artículos'!A:A,'[1]DATOS PBI Artículos'!AP:AP)</f>
        <v>23</v>
      </c>
      <c r="G120" s="34">
        <f>_xlfn.XLOOKUP($A120,'[1]DATOS PBI Artículos'!A:A,'[1]DATOS PBI Artículos'!AR:AR)</f>
        <v>38400</v>
      </c>
      <c r="H120" s="34">
        <f>_xlfn.XLOOKUP($A120,'[1]DATOS PBI Artículos'!A:A,'[1]DATOS PBI Artículos'!AT:AT)</f>
        <v>31678.38379715733</v>
      </c>
      <c r="I120" s="34">
        <f>_xlfn.XLOOKUP($A120,'[1]DATOS PBI Artículos'!A:A,'[1]DATOS PBI Artículos'!AS:AS)</f>
        <v>6400</v>
      </c>
      <c r="J120" s="35">
        <f>IF(COUNTIF([1]CRITERIOS!$F$179:$F$199,$A120)&gt;=1,
 IF(O120&lt;&gt;"",
    (O120/_xlfn.XLOOKUP(CONCATENATE(A120,L120),[1]MÁQUINAS!A:A,[1]MÁQUINAS!D:D))/24,
    (N120/_xlfn.XLOOKUP(CONCATENATE(A120,L120),[1]MÁQUINAS!A:A,[1]MÁQUINAS!D:D))/24),
  _xlfn.XLOOKUP($A120,'[1]DATOS PBI Artículos'!A:A,'[1]DATOS PBI Artículos'!AU:AU))</f>
        <v>10</v>
      </c>
      <c r="K120" s="36">
        <f>_xlfn.XLOOKUP($A120,'[1]DATOS PBI Artículos'!A:A,'[1]DATOS PBI Artículos'!AV:AV)</f>
        <v>0</v>
      </c>
      <c r="L120" s="33">
        <f>_xlfn.XLOOKUP(A120,[1]MÁQUINAS!B:B,[1]MÁQUINAS!C:C)</f>
        <v>506</v>
      </c>
      <c r="M120" s="34">
        <f t="array" ref="M120">_xlfn.XLOOKUP(A120,'[1]DATOS PBI Artículos'!A:A,'[1]DATOS PBI Artículos'!AX:$AX)</f>
        <v>27653.78421297716</v>
      </c>
      <c r="N120" s="37">
        <f>IF(I120="DV",
E120,
IF(COUNTIF([1]CRITERIOS!$I$179:$I$199,$A120)&gt;=1,
_xlfn.XLOOKUP($A120,[1]CRITERIOS!$I$179:$I$199,[1]CRITERIOS!$J$179:$J$199),
IF(COUNTIF([1]CRITERIOS!$L$179:$L$199,$A120)&gt;=1,
_xlfn.CEILING.MATH(IF($M120&gt;$E120,
$E120,
IF($M120&lt;$E120/ROUNDDOWN([1]CRITERIOS!$M$16/_xlfn.XLOOKUP($C120,[1]CRITERIOS!$K$25:$K$42,[1]CRITERIOS!$M$25:$M$42),
1),
E120/ROUNDDOWN([1]CRITERIOS!$M$16/_xlfn.XLOOKUP($C120,[1]CRITERIOS!$K$25:$K$42,[1]CRITERIOS!$M$25:$M$42),
1),
$M120)),
_xlfn.XLOOKUP($A120,[1]CRITERIOS!$L$179:$L$200,[1]CRITERIOS!$M$179:$M$200)),
_xlfn.CEILING.MATH(IF($M120&gt;$E120,
$E120,
IF($M120&lt;$E120/ROUNDDOWN([1]CRITERIOS!$M$16/_xlfn.XLOOKUP($C120,[1]CRITERIOS!$K$25:$K$42,[1]CRITERIOS!$M$25:$M$42),
1),
E120/ROUNDDOWN([1]CRITERIOS!$M$16/_xlfn.XLOOKUP($C120,[1]CRITERIOS!$K$25:$K$42,[1]CRITERIOS!$M$25:$M$42),
1),
$M120)),_xlfn.XLOOKUP(A120,'[1]DATOS PBI Artículos'!A:A,'[1]DATOS PBI Artículos'!Z:Z
)))))</f>
        <v>28800</v>
      </c>
      <c r="Q120" s="38">
        <f>IF(AND(O120="",N120=0),
0,
   IF(COUNTIF([1]CRITERIOS!$F$179:$F$199,$A120)&gt;=1,
   1,
   IF(R120="MTO",
      $D120,
      ROUNDUP(
                    IF(($E120-SUMIF('[1]DATOS PBI Artículos'!A:A,A120,'[1]DATOS PBI Artículos'!X:X)+($V120-_xlfn.XLOOKUP(A120,'[1]DATOS PBI Artículos'!A:A,'[1]DATOS PBI Artículos'!W:W)))&lt;0,
                    0,
                    IF(($E120-SUMIF('[1]DATOS PBI Artículos'!A:A,A120,'[1]DATOS PBI Artículos'!X:X)+$V120-_xlfn.XLOOKUP($A120,'[1]DATOS PBI Artículos'!A:A,'[1]DATOS PBI Artículos'!W:W))/IF($O120="",$N120,$O120)&gt;ROUNDUP([1]CRITERIOS!$M$16/(IF(COUNTIF([1]CRITERIOS!$BG$11:$BG$201,L120)&gt;=1,_xlfn.XLOOKUP($C120,[1]CRITERIOS!$K$25:$K$42,[1]CRITERIOS!$M$25:$M$42),_xlfn.XLOOKUP($C120,[1]CRITERIOS!$K$25:$K$42,[1]CRITERIOS!$M$25:$M$42))),0),
                    ROUNDUP([1]CRITERIOS!$M$16/(IF(COUNTIF([1]CRITERIOS!$BG$11:$BG$201,$L120)&gt;=1,_xlfn.XLOOKUP($C120,[1]CRITERIOS!$K$25:$K$42,[1]CRITERIOS!$M$25:$M$42),_xlfn.XLOOKUP($C120,[1]CRITERIOS!$K$25:$K$42,[1]CRITERIOS!$M$25:$M$42))),0),
                    (E120+V120-SUMIF('[1]DATOS PBI Artículos'!A:A,A120,'[1]DATOS PBI Artículos'!X:X)-_xlfn.XLOOKUP(A120,'[1]DATOS PBI Artículos'!A:A,'[1]DATOS PBI Artículos'!W:W))/IF($O120="",$N120,$O120))),0))))</f>
        <v>2</v>
      </c>
      <c r="R120" s="33" t="str">
        <f>IF(U120&lt;&gt;"",U120,IF(F120="DV","MTO",IF(N120=0,"MTO",_xlfn.XLOOKUP(CONCATENATE(S120,T120),[1]CRITERIOS!$K$160:$K$168,[1]CRITERIOS!$N$160:$N$168))))</f>
        <v>MTO</v>
      </c>
      <c r="S120" s="33" t="str">
        <f>IF(G120="DV","MTO",IF(N120=0,"MTO",IF(OR(AND(N120=0,O120=""),IF(O120="",G120/N120,G120/O120)&gt;[1]CRITERIOS!$G$163),"MTO",IF(IF(O120="",G120/N120,G120/O120)&lt;[1]CRITERIOS!$H$161,"MTS","MTOS"))))</f>
        <v>MTO</v>
      </c>
      <c r="T120" s="33" t="str">
        <f>IF(F120="DV","MTO",IF(OR(AND($N120=0,O120=""),$F120/$J120&gt;[1]CRITERIOS!$G$170,$F120="DV"),"MTO",IF($F120/$J120&lt;[1]CRITERIOS!$H$168,"MTS","MTOS")))</f>
        <v>MTO</v>
      </c>
      <c r="V120" s="34" t="str">
        <f t="shared" si="7"/>
        <v/>
      </c>
      <c r="X120" s="34">
        <f t="shared" si="5"/>
        <v>0</v>
      </c>
      <c r="Y120" s="34">
        <f t="shared" si="6"/>
        <v>0</v>
      </c>
      <c r="Z120" s="34">
        <f>IF($R120="MTO",
0,
($H120+$K120*($E120/[1]CRITERIOS!$M$16))/[1]CRITERIOS!$X$48)</f>
        <v>0</v>
      </c>
      <c r="AA120" s="34" t="e">
        <f>ROUNDUP(($Y120/_xlfn.XLOOKUP($A120,'[1]DATOS PBI Artículos'!$A$4:$A$4,'[1]DATOS PBI Artículos'!$Z$4:$Z$4))/_xlfn.XLOOKUP(_xlfn.XLOOKUP($A120,'[1]DATOS PBI Artículos'!$A$4:$A$4,'[1]DATOS PBI Artículos'!$Y$4:$Y$4),[1]CRITERIOS!$P$79:$P$123,[1]CRITERIOS!$S$79:$S$123,),0)</f>
        <v>#N/A</v>
      </c>
      <c r="AB120" s="33" t="e">
        <f t="array" ref="AB120">IF((E120+V120-_xlfn.XLOOKUP(A120,'[1]DATOS PBI Artículos'!$A$4:$A$4,'[1]DATOS PBI Artículos'!$W$4:$W$4))/N120&gt;ROUNDUP([1]CRITERIOS!$M$16/(IF(COUNTIF([1]CRITERIOS!$BG$11:$BG$201,L120)&gt;=1,_xlfn.XLOOKUP(ARTÍCULOS!L120,[1]CRITERIOS!$BG$11:$BG$201,[1]CRITERIOS!$BJ$11:$BJ$201),_xlfn.XLOOKUP(ARTÍCULOS!C120,[1]CRITERIOS!$K$25:$K$42,[1]CRITERIOS!$M$25:$M$42))),0),ROUNDUP([1]CRITERIOS!$M$16/(IF(COUNTIF([1]CRITERIOS!$BG$11:$BG$201,L120)&gt;=1,_xlfn.XLOOKUP(ARTÍCULOS!L120,[1]CRITERIOS!$BG$11:$BG$201:#REF!,[1]CRITERIOS!$BJ$11:$BJ$201),_xlfn.XLOOKUP(ARTÍCULOS!C120,[1]CRITERIOS!$K$25:$K$42,[1]CRITERIOS!$M$25:$M$42))),0),(E120+V120-_xlfn.XLOOKUP(A120,'[1]DATOS PBI Artículos'!$A$4:$A$4,'[1]DATOS PBI Artículos'!$W$4:$W$4))/N120)</f>
        <v>#VALUE!</v>
      </c>
      <c r="AC120" s="33" t="e">
        <f>IF(N120=0,"",(ROUNDUP((N120/2)/(_xlfn.XLOOKUP(A120,'[1]DATOS PBI Artículos'!$A$4:$A$4,'[1]DATOS PBI Artículos'!$Z$4:$Z$4)*_xlfn.XLOOKUP(_xlfn.XLOOKUP(A120,'[1]DATOS PBI Artículos'!$A$4:$A$4,'[1]DATOS PBI Artículos'!$Y$4:$Y$4),[1]CRITERIOS!$P$79:$P$123,[1]CRITERIOS!$S$79:$S$123)),0)*[1]CRITERIOS!$M$80*([1]CRITERIOS!$M$110/[1]CRITERIOS!$M$86)+(_xlfn.XLOOKUP(A120,'[1]DATOS PBI Artículos'!$A$4:$A$4,'[1]DATOS PBI Artículos'!$AA$4:$AA$4)*([1]CRITERIOS!$M$95+[1]CRITERIOS!$M$98)))/N120)</f>
        <v>#N/A</v>
      </c>
      <c r="AD120" s="33" t="e">
        <f>IF(N120=0,"",(ROUNDUP((N120/2)/(_xlfn.XLOOKUP(A120,'[1]DATOS PBI Artículos'!$A$4:$A$4,'[1]DATOS PBI Artículos'!$Z$4:$Z$4)*_xlfn.XLOOKUP(_xlfn.XLOOKUP(A120,'[1]DATOS PBI Artículos'!$A$4:$A$4,'[1]DATOS PBI Artículos'!$Y$4:$Y$4),[1]CRITERIOS!$P$79:$P$123,[1]CRITERIOS!$S$79:$S$123)),0)*[1]CRITERIOS!$M$80*([1]CRITERIOS!$M$89*[1]CRITERIOS!$M$92)+((_xlfn.XLOOKUP(A120,'[1]DATOS PBI Artículos'!$A$4:$A$4,'[1]DATOS PBI Artículos'!$AA$4:$AA$4)/2)*([1]CRITERIOS!$M$95+[1]CRITERIOS!$M$98)))/N120)</f>
        <v>#N/A</v>
      </c>
      <c r="AE120" s="39" t="str">
        <f>IF($R120="MTO","",
IF($H120=0,ROUNDUP(((_xlfn.XLOOKUP($A120,'[1]DATOS PBI Artículos'!$A:$A,'[1]DATOS PBI Artículos'!$AL:$AL))/(_xlfn.XLOOKUP($AF$1,[1]CRITERIOS!$S$16:$S$39,[1]CRITERIOS!$Y$16:$Y$39))*$J120+$Z120)/$G120,0)*$G120,
((_xlfn.XLOOKUP($A120,'[1]DATOS PBI Artículos'!$A:$A,'[1]DATOS PBI Artículos'!$AL:$AL))/(_xlfn.XLOOKUP($AF$1,[1]CRITERIOS!$S$16:$S$39,[1]CRITERIOS!$Y$16:$Y$39))*$J120+$Z120)))</f>
        <v/>
      </c>
      <c r="AG120" s="39" t="str">
        <f>IF($R120="MTO","",
IF($H120=0,ROUNDUP(((_xlfn.XLOOKUP($A120,'[1]DATOS PBI Artículos'!$A:$A,'[1]DATOS PBI Artículos'!$AM:$AM))/(_xlfn.XLOOKUP($AH$1,[1]CRITERIOS!$S$16:$S$39,[1]CRITERIOS!$Y$16:$Y$39))*$J120+$Z120)/$G120,0)*$G120,
((_xlfn.XLOOKUP($A120,'[1]DATOS PBI Artículos'!$A:$A,'[1]DATOS PBI Artículos'!$AM:$AM))/(_xlfn.XLOOKUP($AH$1,[1]CRITERIOS!$S$16:$S$39,[1]CRITERIOS!$Y$16:$Y$39))*$J120+$Z120)))</f>
        <v/>
      </c>
      <c r="AI120" s="39" t="str">
        <f>IF($R120="MTO","",
IF($H120=0,ROUNDUP(((_xlfn.XLOOKUP($A120,'[1]DATOS PBI Artículos'!$A:$A,'[1]DATOS PBI Artículos'!$AN:$AN))/(_xlfn.XLOOKUP($AJ$1,[1]CRITERIOS!$S$16:$S$39,[1]CRITERIOS!$Y$16:$Y$39))*$J120+$Z120)/$G120,0)*$G120,
((_xlfn.XLOOKUP($A120,'[1]DATOS PBI Artículos'!$A:$A,'[1]DATOS PBI Artículos'!$AN:$AN))/(_xlfn.XLOOKUP($AJ$1,[1]CRITERIOS!$S$16:$S$39,[1]CRITERIOS!$Y$16:$Y$39))*$J120+$Z120)))</f>
        <v/>
      </c>
      <c r="AK120" s="39" t="str">
        <f>IF($R120="MTO","",
IF($H120=0,ROUNDUP(((_xlfn.XLOOKUP($A120,'[1]DATOS PBI Artículos'!$A:$A,'[1]DATOS PBI Artículos'!$AO:$AO))/(_xlfn.XLOOKUP($AL$1,[1]CRITERIOS!$S$16:$S$39,[1]CRITERIOS!$Y$16:$Y$39))*$J120+$Z120)/$G120,0)*$G120,
((_xlfn.XLOOKUP($A120,'[1]DATOS PBI Artículos'!$A:$A,'[1]DATOS PBI Artículos'!$AO:$AO))/(_xlfn.XLOOKUP($AL$1,[1]CRITERIOS!$S$16:$S$39,[1]CRITERIOS!$Y$16:$Y$39))*$J120+$Z120)))</f>
        <v/>
      </c>
    </row>
    <row r="121" spans="1:37" ht="25.8" x14ac:dyDescent="0.5">
      <c r="A121" s="32" t="s">
        <v>78</v>
      </c>
      <c r="B121" s="33">
        <f>_xlfn.XLOOKUP($A121,'[1]DATOS PBI Artículos'!A:A,'[1]DATOS PBI Artículos'!B:B)</f>
        <v>0</v>
      </c>
      <c r="C121" s="33" t="str">
        <f>_xlfn.XLOOKUP($A121,'[1]DATOS PBI Artículos'!A:A,'[1]DATOS PBI Artículos'!C:C)</f>
        <v>UA03</v>
      </c>
      <c r="D121" s="33">
        <f>_xlfn.XLOOKUP(A121,'[1]DATOS PBI Artículos'!A:A,'[1]DATOS PBI Artículos'!T:T)</f>
        <v>15</v>
      </c>
      <c r="E121" s="34">
        <f>IF(_xlfn.XLOOKUP($A121,'[1]DATOS PBI Artículos'!A:A,'[1]DATOS PBI Artículos'!AK:AK)="",_xlfn.XLOOKUP($A121,'[1]DATOS PBI Artículos'!A:A,'[1]DATOS PBI Artículos'!AJ:AJ),_xlfn.XLOOKUP($A121,'[1]DATOS PBI Artículos'!A:A,'[1]DATOS PBI Artículos'!AK:AK))</f>
        <v>70000</v>
      </c>
      <c r="F121" s="35">
        <f>_xlfn.XLOOKUP($A121,'[1]DATOS PBI Artículos'!A:A,'[1]DATOS PBI Artículos'!AP:AP)</f>
        <v>4.7857142857100001</v>
      </c>
      <c r="G121" s="34">
        <f>_xlfn.XLOOKUP($A121,'[1]DATOS PBI Artículos'!A:A,'[1]DATOS PBI Artículos'!AR:AR)</f>
        <v>3500</v>
      </c>
      <c r="H121" s="34">
        <f>_xlfn.XLOOKUP($A121,'[1]DATOS PBI Artículos'!A:A,'[1]DATOS PBI Artículos'!AT:AT)</f>
        <v>1707.8251276599326</v>
      </c>
      <c r="I121" s="34">
        <f>_xlfn.XLOOKUP($A121,'[1]DATOS PBI Artículos'!A:A,'[1]DATOS PBI Artículos'!AS:AS)</f>
        <v>3500</v>
      </c>
      <c r="J121" s="35">
        <f>IF(COUNTIF([1]CRITERIOS!$F$179:$F$199,$A121)&gt;=1,
 IF(O121&lt;&gt;"",
    (O121/_xlfn.XLOOKUP(CONCATENATE(A121,L121),[1]MÁQUINAS!A:A,[1]MÁQUINAS!D:D))/24,
    (N121/_xlfn.XLOOKUP(CONCATENATE(A121,L121),[1]MÁQUINAS!A:A,[1]MÁQUINAS!D:D))/24),
  _xlfn.XLOOKUP($A121,'[1]DATOS PBI Artículos'!A:A,'[1]DATOS PBI Artículos'!AU:AU))</f>
        <v>15.5</v>
      </c>
      <c r="K121" s="36">
        <f>_xlfn.XLOOKUP($A121,'[1]DATOS PBI Artículos'!A:A,'[1]DATOS PBI Artículos'!AV:AV)</f>
        <v>4.9497474683058327</v>
      </c>
      <c r="L121" s="33">
        <f>_xlfn.XLOOKUP(A121,[1]MÁQUINAS!B:B,[1]MÁQUINAS!C:C)</f>
        <v>142</v>
      </c>
      <c r="M121" s="34">
        <f t="array" ref="M121">_xlfn.XLOOKUP(A121,'[1]DATOS PBI Artículos'!A:A,'[1]DATOS PBI Artículos'!AX:$AX)</f>
        <v>21623.683467353905</v>
      </c>
      <c r="N121" s="37">
        <f>IF(I121="DV",
E121,
IF(COUNTIF([1]CRITERIOS!$I$179:$I$199,$A121)&gt;=1,
_xlfn.XLOOKUP($A121,[1]CRITERIOS!$I$179:$I$199,[1]CRITERIOS!$J$179:$J$199),
IF(COUNTIF([1]CRITERIOS!$L$179:$L$199,$A121)&gt;=1,
_xlfn.CEILING.MATH(IF($M121&gt;$E121,
$E121,
IF($M121&lt;$E121/ROUNDDOWN([1]CRITERIOS!$M$16/_xlfn.XLOOKUP($C121,[1]CRITERIOS!$K$25:$K$42,[1]CRITERIOS!$M$25:$M$42),
1),
E121/ROUNDDOWN([1]CRITERIOS!$M$16/_xlfn.XLOOKUP($C121,[1]CRITERIOS!$K$25:$K$42,[1]CRITERIOS!$M$25:$M$42),
1),
$M121)),
_xlfn.XLOOKUP($A121,[1]CRITERIOS!$L$179:$L$200,[1]CRITERIOS!$M$179:$M$200)),
_xlfn.CEILING.MATH(IF($M121&gt;$E121,
$E121,
IF($M121&lt;$E121/ROUNDDOWN([1]CRITERIOS!$M$16/_xlfn.XLOOKUP($C121,[1]CRITERIOS!$K$25:$K$42,[1]CRITERIOS!$M$25:$M$42),
1),
E121/ROUNDDOWN([1]CRITERIOS!$M$16/_xlfn.XLOOKUP($C121,[1]CRITERIOS!$K$25:$K$42,[1]CRITERIOS!$M$25:$M$42),
1),
$M121)),_xlfn.XLOOKUP(A121,'[1]DATOS PBI Artículos'!A:A,'[1]DATOS PBI Artículos'!Z:Z
)))))</f>
        <v>24500</v>
      </c>
      <c r="Q121" s="38">
        <f>IF(AND(O121="",N121=0),
0,
   IF(COUNTIF([1]CRITERIOS!$F$179:$F$199,$A121)&gt;=1,
   1,
   IF(R121="MTO",
      $D121,
      ROUNDUP(
                    IF(($E121-SUMIF('[1]DATOS PBI Artículos'!A:A,A121,'[1]DATOS PBI Artículos'!X:X)+($V121-_xlfn.XLOOKUP(A121,'[1]DATOS PBI Artículos'!A:A,'[1]DATOS PBI Artículos'!W:W)))&lt;0,
                    0,
                    IF(($E121-SUMIF('[1]DATOS PBI Artículos'!A:A,A121,'[1]DATOS PBI Artículos'!X:X)+$V121-_xlfn.XLOOKUP($A121,'[1]DATOS PBI Artículos'!A:A,'[1]DATOS PBI Artículos'!W:W))/IF($O121="",$N121,$O121)&gt;ROUNDUP([1]CRITERIOS!$M$16/(IF(COUNTIF([1]CRITERIOS!$BG$11:$BG$201,L121)&gt;=1,_xlfn.XLOOKUP($C121,[1]CRITERIOS!$K$25:$K$42,[1]CRITERIOS!$M$25:$M$42),_xlfn.XLOOKUP($C121,[1]CRITERIOS!$K$25:$K$42,[1]CRITERIOS!$M$25:$M$42))),0),
                    ROUNDUP([1]CRITERIOS!$M$16/(IF(COUNTIF([1]CRITERIOS!$BG$11:$BG$201,$L121)&gt;=1,_xlfn.XLOOKUP($C121,[1]CRITERIOS!$K$25:$K$42,[1]CRITERIOS!$M$25:$M$42),_xlfn.XLOOKUP($C121,[1]CRITERIOS!$K$25:$K$42,[1]CRITERIOS!$M$25:$M$42))),0),
                    (E121+V121-SUMIF('[1]DATOS PBI Artículos'!A:A,A121,'[1]DATOS PBI Artículos'!X:X)-_xlfn.XLOOKUP(A121,'[1]DATOS PBI Artículos'!A:A,'[1]DATOS PBI Artículos'!W:W))/IF($O121="",$N121,$O121))),0))))</f>
        <v>4</v>
      </c>
      <c r="R121" s="33" t="str">
        <f>IF(U121&lt;&gt;"",U121,IF(F121="DV","MTO",IF(N121=0,"MTO",_xlfn.XLOOKUP(CONCATENATE(S121,T121),[1]CRITERIOS!$K$160:$K$168,[1]CRITERIOS!$N$160:$N$168))))</f>
        <v>MTS</v>
      </c>
      <c r="S121" s="33" t="str">
        <f>IF(G121="DV","MTO",IF(N121=0,"MTO",IF(OR(AND(N121=0,O121=""),IF(O121="",G121/N121,G121/O121)&gt;[1]CRITERIOS!$G$163),"MTO",IF(IF(O121="",G121/N121,G121/O121)&lt;[1]CRITERIOS!$H$161,"MTS","MTOS"))))</f>
        <v>MTS</v>
      </c>
      <c r="T121" s="33" t="str">
        <f>IF(F121="DV","MTO",IF(OR(AND($N121=0,O121=""),$F121/$J121&gt;[1]CRITERIOS!$G$170,$F121="DV"),"MTO",IF($F121/$J121&lt;[1]CRITERIOS!$H$168,"MTS","MTOS")))</f>
        <v>MTS</v>
      </c>
      <c r="V121" s="34">
        <f t="shared" si="7"/>
        <v>16608.812088375907</v>
      </c>
      <c r="X121" s="34">
        <f t="shared" si="5"/>
        <v>41108.812088375911</v>
      </c>
      <c r="Y121" s="34">
        <f t="shared" si="6"/>
        <v>17522.991192843368</v>
      </c>
      <c r="Z121" s="34">
        <f>IF($R121="MTO",
0,
($H121+$K121*($E121/[1]CRITERIOS!$M$16))/[1]CRITERIOS!$X$48)</f>
        <v>5272.9911928433694</v>
      </c>
      <c r="AA121" s="34" t="e">
        <f>ROUNDUP(($Y121/_xlfn.XLOOKUP($A121,'[1]DATOS PBI Artículos'!$A$4:$A$4,'[1]DATOS PBI Artículos'!$Z$4:$Z$4))/_xlfn.XLOOKUP(_xlfn.XLOOKUP($A121,'[1]DATOS PBI Artículos'!$A$4:$A$4,'[1]DATOS PBI Artículos'!$Y$4:$Y$4),[1]CRITERIOS!$P$79:$P$123,[1]CRITERIOS!$S$79:$S$123,),0)</f>
        <v>#N/A</v>
      </c>
      <c r="AB121" s="33" t="e">
        <f t="array" ref="AB121">IF((E121+V121-_xlfn.XLOOKUP(A121,'[1]DATOS PBI Artículos'!$A$4:$A$4,'[1]DATOS PBI Artículos'!$W$4:$W$4))/N121&gt;ROUNDUP([1]CRITERIOS!$M$16/(IF(COUNTIF([1]CRITERIOS!$BG$11:$BG$201,L121)&gt;=1,_xlfn.XLOOKUP(ARTÍCULOS!L121,[1]CRITERIOS!$BG$11:$BG$201,[1]CRITERIOS!$BJ$11:$BJ$201),_xlfn.XLOOKUP(ARTÍCULOS!C121,[1]CRITERIOS!$K$25:$K$42,[1]CRITERIOS!$M$25:$M$42))),0),ROUNDUP([1]CRITERIOS!$M$16/(IF(COUNTIF([1]CRITERIOS!$BG$11:$BG$201,L121)&gt;=1,_xlfn.XLOOKUP(ARTÍCULOS!L121,[1]CRITERIOS!$BG$11:$BG$201:#REF!,[1]CRITERIOS!$BJ$11:$BJ$201),_xlfn.XLOOKUP(ARTÍCULOS!C121,[1]CRITERIOS!$K$25:$K$42,[1]CRITERIOS!$M$25:$M$42))),0),(E121+V121-_xlfn.XLOOKUP(A121,'[1]DATOS PBI Artículos'!$A$4:$A$4,'[1]DATOS PBI Artículos'!$W$4:$W$4))/N121)</f>
        <v>#N/A</v>
      </c>
      <c r="AC121" s="33" t="e">
        <f>IF(N121=0,"",(ROUNDUP((N121/2)/(_xlfn.XLOOKUP(A121,'[1]DATOS PBI Artículos'!$A$4:$A$4,'[1]DATOS PBI Artículos'!$Z$4:$Z$4)*_xlfn.XLOOKUP(_xlfn.XLOOKUP(A121,'[1]DATOS PBI Artículos'!$A$4:$A$4,'[1]DATOS PBI Artículos'!$Y$4:$Y$4),[1]CRITERIOS!$P$79:$P$123,[1]CRITERIOS!$S$79:$S$123)),0)*[1]CRITERIOS!$M$80*([1]CRITERIOS!$M$110/[1]CRITERIOS!$M$86)+(_xlfn.XLOOKUP(A121,'[1]DATOS PBI Artículos'!$A$4:$A$4,'[1]DATOS PBI Artículos'!$AA$4:$AA$4)*([1]CRITERIOS!$M$95+[1]CRITERIOS!$M$98)))/N121)</f>
        <v>#N/A</v>
      </c>
      <c r="AD121" s="33" t="e">
        <f>IF(N121=0,"",(ROUNDUP((N121/2)/(_xlfn.XLOOKUP(A121,'[1]DATOS PBI Artículos'!$A$4:$A$4,'[1]DATOS PBI Artículos'!$Z$4:$Z$4)*_xlfn.XLOOKUP(_xlfn.XLOOKUP(A121,'[1]DATOS PBI Artículos'!$A$4:$A$4,'[1]DATOS PBI Artículos'!$Y$4:$Y$4),[1]CRITERIOS!$P$79:$P$123,[1]CRITERIOS!$S$79:$S$123)),0)*[1]CRITERIOS!$M$80*([1]CRITERIOS!$M$89*[1]CRITERIOS!$M$92)+((_xlfn.XLOOKUP(A121,'[1]DATOS PBI Artículos'!$A$4:$A$4,'[1]DATOS PBI Artículos'!$AA$4:$AA$4)/2)*([1]CRITERIOS!$M$95+[1]CRITERIOS!$M$98)))/N121)</f>
        <v>#N/A</v>
      </c>
      <c r="AE121" s="39">
        <f>IF($R121="MTO","",
IF($H121=0,ROUNDUP(((_xlfn.XLOOKUP($A121,'[1]DATOS PBI Artículos'!$A:$A,'[1]DATOS PBI Artículos'!$AL:$AL))/(_xlfn.XLOOKUP($AF$1,[1]CRITERIOS!$S$16:$S$39,[1]CRITERIOS!$Y$16:$Y$39))*$J121+$Z121)/$G121,0)*$G121,
((_xlfn.XLOOKUP($A121,'[1]DATOS PBI Artículos'!$A:$A,'[1]DATOS PBI Artículos'!$AL:$AL))/(_xlfn.XLOOKUP($AF$1,[1]CRITERIOS!$S$16:$S$39,[1]CRITERIOS!$Y$16:$Y$39))*$J121+$Z121)))</f>
        <v>23677.843183475314</v>
      </c>
      <c r="AG121" s="39">
        <f>IF($R121="MTO","",
IF($H121=0,ROUNDUP(((_xlfn.XLOOKUP($A121,'[1]DATOS PBI Artículos'!$A:$A,'[1]DATOS PBI Artículos'!$AM:$AM))/(_xlfn.XLOOKUP($AH$1,[1]CRITERIOS!$S$16:$S$39,[1]CRITERIOS!$Y$16:$Y$39))*$J121+$Z121)/$G121,0)*$G121,
((_xlfn.XLOOKUP($A121,'[1]DATOS PBI Artículos'!$A:$A,'[1]DATOS PBI Artículos'!$AM:$AM))/(_xlfn.XLOOKUP($AH$1,[1]CRITERIOS!$S$16:$S$39,[1]CRITERIOS!$Y$16:$Y$39))*$J121+$Z121)))</f>
        <v>18493.555019631414</v>
      </c>
      <c r="AI121" s="39">
        <f>IF($R121="MTO","",
IF($H121=0,ROUNDUP(((_xlfn.XLOOKUP($A121,'[1]DATOS PBI Artículos'!$A:$A,'[1]DATOS PBI Artículos'!$AN:$AN))/(_xlfn.XLOOKUP($AJ$1,[1]CRITERIOS!$S$16:$S$39,[1]CRITERIOS!$Y$16:$Y$39))*$J121+$Z121)/$G121,0)*$G121,
((_xlfn.XLOOKUP($A121,'[1]DATOS PBI Artículos'!$A:$A,'[1]DATOS PBI Artículos'!$AN:$AN))/(_xlfn.XLOOKUP($AJ$1,[1]CRITERIOS!$S$16:$S$39,[1]CRITERIOS!$Y$16:$Y$39))*$J121+$Z121)))</f>
        <v>21107.910745699621</v>
      </c>
      <c r="AK121" s="39">
        <f>IF($R121="MTO","",
IF($H121=0,ROUNDUP(((_xlfn.XLOOKUP($A121,'[1]DATOS PBI Artículos'!$A:$A,'[1]DATOS PBI Artículos'!$AO:$AO))/(_xlfn.XLOOKUP($AL$1,[1]CRITERIOS!$S$16:$S$39,[1]CRITERIOS!$Y$16:$Y$39))*$J121+$Z121)/$G121,0)*$G121,
((_xlfn.XLOOKUP($A121,'[1]DATOS PBI Artículos'!$A:$A,'[1]DATOS PBI Artículos'!$AO:$AO))/(_xlfn.XLOOKUP($AL$1,[1]CRITERIOS!$S$16:$S$39,[1]CRITERIOS!$Y$16:$Y$39))*$J121+$Z121)))</f>
        <v>22518.798699655872</v>
      </c>
    </row>
    <row r="122" spans="1:37" ht="25.8" x14ac:dyDescent="0.5">
      <c r="A122" s="32">
        <v>453590</v>
      </c>
      <c r="B122" s="33">
        <f>_xlfn.XLOOKUP($A122,'[1]DATOS PBI Artículos'!A:A,'[1]DATOS PBI Artículos'!B:B)</f>
        <v>0</v>
      </c>
      <c r="C122" s="33" t="str">
        <f>_xlfn.XLOOKUP($A122,'[1]DATOS PBI Artículos'!A:A,'[1]DATOS PBI Artículos'!C:C)</f>
        <v>UA02</v>
      </c>
      <c r="D122" s="33">
        <f>_xlfn.XLOOKUP(A122,'[1]DATOS PBI Artículos'!A:A,'[1]DATOS PBI Artículos'!T:T)</f>
        <v>2</v>
      </c>
      <c r="E122" s="34">
        <f>IF(_xlfn.XLOOKUP($A122,'[1]DATOS PBI Artículos'!A:A,'[1]DATOS PBI Artículos'!AK:AK)="",_xlfn.XLOOKUP($A122,'[1]DATOS PBI Artículos'!A:A,'[1]DATOS PBI Artículos'!AJ:AJ),_xlfn.XLOOKUP($A122,'[1]DATOS PBI Artículos'!A:A,'[1]DATOS PBI Artículos'!AK:AK))</f>
        <v>69300</v>
      </c>
      <c r="F122" s="35">
        <f>_xlfn.XLOOKUP($A122,'[1]DATOS PBI Artículos'!A:A,'[1]DATOS PBI Artículos'!AP:AP)</f>
        <v>11</v>
      </c>
      <c r="G122" s="34">
        <f>_xlfn.XLOOKUP($A122,'[1]DATOS PBI Artículos'!A:A,'[1]DATOS PBI Artículos'!AR:AR)</f>
        <v>34800</v>
      </c>
      <c r="H122" s="34">
        <f>_xlfn.XLOOKUP($A122,'[1]DATOS PBI Artículos'!A:A,'[1]DATOS PBI Artículos'!AT:AT)</f>
        <v>6576.0930650348919</v>
      </c>
      <c r="I122" s="34">
        <f>_xlfn.XLOOKUP($A122,'[1]DATOS PBI Artículos'!A:A,'[1]DATOS PBI Artículos'!AS:AS)</f>
        <v>300</v>
      </c>
      <c r="J122" s="35">
        <f>IF(COUNTIF([1]CRITERIOS!$F$179:$F$199,$A122)&gt;=1,
 IF(O122&lt;&gt;"",
    (O122/_xlfn.XLOOKUP(CONCATENATE(A122,L122),[1]MÁQUINAS!A:A,[1]MÁQUINAS!D:D))/24,
    (N122/_xlfn.XLOOKUP(CONCATENATE(A122,L122),[1]MÁQUINAS!A:A,[1]MÁQUINAS!D:D))/24),
  _xlfn.XLOOKUP($A122,'[1]DATOS PBI Artículos'!A:A,'[1]DATOS PBI Artículos'!AU:AU))</f>
        <v>21.111111111111111</v>
      </c>
      <c r="K122" s="36">
        <f>_xlfn.XLOOKUP($A122,'[1]DATOS PBI Artículos'!A:A,'[1]DATOS PBI Artículos'!AV:AV)</f>
        <v>6.8637534273246672</v>
      </c>
      <c r="L122" s="33">
        <f>_xlfn.XLOOKUP(A122,[1]MÁQUINAS!B:B,[1]MÁQUINAS!C:C)</f>
        <v>212</v>
      </c>
      <c r="M122" s="34">
        <f t="array" ref="M122">_xlfn.XLOOKUP(A122,'[1]DATOS PBI Artículos'!A:A,'[1]DATOS PBI Artículos'!AX:$AX)</f>
        <v>32994.657702390054</v>
      </c>
      <c r="N122" s="37">
        <f>IF(I122="DV",
E122,
IF(COUNTIF([1]CRITERIOS!$I$179:$I$199,$A122)&gt;=1,
_xlfn.XLOOKUP($A122,[1]CRITERIOS!$I$179:$I$199,[1]CRITERIOS!$J$179:$J$199),
IF(COUNTIF([1]CRITERIOS!$L$179:$L$199,$A122)&gt;=1,
_xlfn.CEILING.MATH(IF($M122&gt;$E122,
$E122,
IF($M122&lt;$E122/ROUNDDOWN([1]CRITERIOS!$M$16/_xlfn.XLOOKUP($C122,[1]CRITERIOS!$K$25:$K$42,[1]CRITERIOS!$M$25:$M$42),
1),
E122/ROUNDDOWN([1]CRITERIOS!$M$16/_xlfn.XLOOKUP($C122,[1]CRITERIOS!$K$25:$K$42,[1]CRITERIOS!$M$25:$M$42),
1),
$M122)),
_xlfn.XLOOKUP($A122,[1]CRITERIOS!$L$179:$L$200,[1]CRITERIOS!$M$179:$M$200)),
_xlfn.CEILING.MATH(IF($M122&gt;$E122,
$E122,
IF($M122&lt;$E122/ROUNDDOWN([1]CRITERIOS!$M$16/_xlfn.XLOOKUP($C122,[1]CRITERIOS!$K$25:$K$42,[1]CRITERIOS!$M$25:$M$42),
1),
E122/ROUNDDOWN([1]CRITERIOS!$M$16/_xlfn.XLOOKUP($C122,[1]CRITERIOS!$K$25:$K$42,[1]CRITERIOS!$M$25:$M$42),
1),
$M122)),_xlfn.XLOOKUP(A122,'[1]DATOS PBI Artículos'!A:A,'[1]DATOS PBI Artículos'!Z:Z
)))))</f>
        <v>35000</v>
      </c>
      <c r="Q122" s="38">
        <f>IF(AND(O122="",N122=0),
0,
   IF(COUNTIF([1]CRITERIOS!$F$179:$F$199,$A122)&gt;=1,
   1,
   IF(R122="MTO",
      $D122,
      ROUNDUP(
                    IF(($E122-SUMIF('[1]DATOS PBI Artículos'!A:A,A122,'[1]DATOS PBI Artículos'!X:X)+($V122-_xlfn.XLOOKUP(A122,'[1]DATOS PBI Artículos'!A:A,'[1]DATOS PBI Artículos'!W:W)))&lt;0,
                    0,
                    IF(($E122-SUMIF('[1]DATOS PBI Artículos'!A:A,A122,'[1]DATOS PBI Artículos'!X:X)+$V122-_xlfn.XLOOKUP($A122,'[1]DATOS PBI Artículos'!A:A,'[1]DATOS PBI Artículos'!W:W))/IF($O122="",$N122,$O122)&gt;ROUNDUP([1]CRITERIOS!$M$16/(IF(COUNTIF([1]CRITERIOS!$BG$11:$BG$201,L122)&gt;=1,_xlfn.XLOOKUP($C122,[1]CRITERIOS!$K$25:$K$42,[1]CRITERIOS!$M$25:$M$42),_xlfn.XLOOKUP($C122,[1]CRITERIOS!$K$25:$K$42,[1]CRITERIOS!$M$25:$M$42))),0),
                    ROUNDUP([1]CRITERIOS!$M$16/(IF(COUNTIF([1]CRITERIOS!$BG$11:$BG$201,$L122)&gt;=1,_xlfn.XLOOKUP($C122,[1]CRITERIOS!$K$25:$K$42,[1]CRITERIOS!$M$25:$M$42),_xlfn.XLOOKUP($C122,[1]CRITERIOS!$K$25:$K$42,[1]CRITERIOS!$M$25:$M$42))),0),
                    (E122+V122-SUMIF('[1]DATOS PBI Artículos'!A:A,A122,'[1]DATOS PBI Artículos'!X:X)-_xlfn.XLOOKUP(A122,'[1]DATOS PBI Artículos'!A:A,'[1]DATOS PBI Artículos'!W:W))/IF($O122="",$N122,$O122))),0))))</f>
        <v>3</v>
      </c>
      <c r="R122" s="33" t="str">
        <f>IF(U122&lt;&gt;"",U122,IF(F122="DV","MTO",IF(N122=0,"MTO",_xlfn.XLOOKUP(CONCATENATE(S122,T122),[1]CRITERIOS!$K$160:$K$168,[1]CRITERIOS!$N$160:$N$168))))</f>
        <v>MTS</v>
      </c>
      <c r="S122" s="33" t="str">
        <f>IF(G122="DV","MTO",IF(N122=0,"MTO",IF(OR(AND(N122=0,O122=""),IF(O122="",G122/N122,G122/O122)&gt;[1]CRITERIOS!$G$163),"MTO",IF(IF(O122="",G122/N122,G122/O122)&lt;[1]CRITERIOS!$H$161,"MTS","MTOS"))))</f>
        <v>MTO</v>
      </c>
      <c r="T122" s="33" t="str">
        <f>IF(F122="DV","MTO",IF(OR(AND($N122=0,O122=""),$F122/$J122&gt;[1]CRITERIOS!$G$170,$F122="DV"),"MTO",IF($F122/$J122&lt;[1]CRITERIOS!$H$168,"MTS","MTOS")))</f>
        <v>MTS</v>
      </c>
      <c r="V122" s="34">
        <f t="shared" si="7"/>
        <v>77553.046481114521</v>
      </c>
      <c r="X122" s="34">
        <f t="shared" si="5"/>
        <v>112553.04648111452</v>
      </c>
      <c r="Y122" s="34">
        <f t="shared" si="6"/>
        <v>28265.167693235737</v>
      </c>
      <c r="Z122" s="34">
        <f>IF($R122="MTO",
0,
($H122+$K122*($E122/[1]CRITERIOS!$M$16))/[1]CRITERIOS!$X$48)</f>
        <v>10765.167693235739</v>
      </c>
      <c r="AA122" s="34" t="e">
        <f>ROUNDUP(($Y122/_xlfn.XLOOKUP($A122,'[1]DATOS PBI Artículos'!$A$4:$A$4,'[1]DATOS PBI Artículos'!$Z$4:$Z$4))/_xlfn.XLOOKUP(_xlfn.XLOOKUP($A122,'[1]DATOS PBI Artículos'!$A$4:$A$4,'[1]DATOS PBI Artículos'!$Y$4:$Y$4),[1]CRITERIOS!$P$79:$P$123,[1]CRITERIOS!$S$79:$S$123,),0)</f>
        <v>#N/A</v>
      </c>
      <c r="AB122" s="33" t="e">
        <f t="array" ref="AB122">IF((E122+V122-_xlfn.XLOOKUP(A122,'[1]DATOS PBI Artículos'!$A$4:$A$4,'[1]DATOS PBI Artículos'!$W$4:$W$4))/N122&gt;ROUNDUP([1]CRITERIOS!$M$16/(IF(COUNTIF([1]CRITERIOS!$BG$11:$BG$201,L122)&gt;=1,_xlfn.XLOOKUP(ARTÍCULOS!L122,[1]CRITERIOS!$BG$11:$BG$201,[1]CRITERIOS!$BJ$11:$BJ$201),_xlfn.XLOOKUP(ARTÍCULOS!C122,[1]CRITERIOS!$K$25:$K$42,[1]CRITERIOS!$M$25:$M$42))),0),ROUNDUP([1]CRITERIOS!$M$16/(IF(COUNTIF([1]CRITERIOS!$BG$11:$BG$201,L122)&gt;=1,_xlfn.XLOOKUP(ARTÍCULOS!L122,[1]CRITERIOS!$BG$11:$BG$201:#REF!,[1]CRITERIOS!$BJ$11:$BJ$201),_xlfn.XLOOKUP(ARTÍCULOS!C122,[1]CRITERIOS!$K$25:$K$42,[1]CRITERIOS!$M$25:$M$42))),0),(E122+V122-_xlfn.XLOOKUP(A122,'[1]DATOS PBI Artículos'!$A$4:$A$4,'[1]DATOS PBI Artículos'!$W$4:$W$4))/N122)</f>
        <v>#N/A</v>
      </c>
      <c r="AC122" s="33" t="e">
        <f>IF(N122=0,"",(ROUNDUP((N122/2)/(_xlfn.XLOOKUP(A122,'[1]DATOS PBI Artículos'!$A$4:$A$4,'[1]DATOS PBI Artículos'!$Z$4:$Z$4)*_xlfn.XLOOKUP(_xlfn.XLOOKUP(A122,'[1]DATOS PBI Artículos'!$A$4:$A$4,'[1]DATOS PBI Artículos'!$Y$4:$Y$4),[1]CRITERIOS!$P$79:$P$123,[1]CRITERIOS!$S$79:$S$123)),0)*[1]CRITERIOS!$M$80*([1]CRITERIOS!$M$110/[1]CRITERIOS!$M$86)+(_xlfn.XLOOKUP(A122,'[1]DATOS PBI Artículos'!$A$4:$A$4,'[1]DATOS PBI Artículos'!$AA$4:$AA$4)*([1]CRITERIOS!$M$95+[1]CRITERIOS!$M$98)))/N122)</f>
        <v>#N/A</v>
      </c>
      <c r="AD122" s="33" t="e">
        <f>IF(N122=0,"",(ROUNDUP((N122/2)/(_xlfn.XLOOKUP(A122,'[1]DATOS PBI Artículos'!$A$4:$A$4,'[1]DATOS PBI Artículos'!$Z$4:$Z$4)*_xlfn.XLOOKUP(_xlfn.XLOOKUP(A122,'[1]DATOS PBI Artículos'!$A$4:$A$4,'[1]DATOS PBI Artículos'!$Y$4:$Y$4),[1]CRITERIOS!$P$79:$P$123,[1]CRITERIOS!$S$79:$S$123)),0)*[1]CRITERIOS!$M$80*([1]CRITERIOS!$M$89*[1]CRITERIOS!$M$92)+((_xlfn.XLOOKUP(A122,'[1]DATOS PBI Artículos'!$A$4:$A$4,'[1]DATOS PBI Artículos'!$AA$4:$AA$4)/2)*([1]CRITERIOS!$M$95+[1]CRITERIOS!$M$98)))/N122)</f>
        <v>#N/A</v>
      </c>
      <c r="AE122" s="39">
        <f>IF($R122="MTO","",
IF($H122=0,ROUNDUP(((_xlfn.XLOOKUP($A122,'[1]DATOS PBI Artículos'!$A:$A,'[1]DATOS PBI Artículos'!$AL:$AL))/(_xlfn.XLOOKUP($AF$1,[1]CRITERIOS!$S$16:$S$39,[1]CRITERIOS!$Y$16:$Y$39))*$J122+$Z122)/$G122,0)*$G122,
((_xlfn.XLOOKUP($A122,'[1]DATOS PBI Artículos'!$A:$A,'[1]DATOS PBI Artículos'!$AL:$AL))/(_xlfn.XLOOKUP($AF$1,[1]CRITERIOS!$S$16:$S$39,[1]CRITERIOS!$Y$16:$Y$39))*$J122+$Z122)))</f>
        <v>33325.954004332962</v>
      </c>
      <c r="AG122" s="39">
        <f>IF($R122="MTO","",
IF($H122=0,ROUNDUP(((_xlfn.XLOOKUP($A122,'[1]DATOS PBI Artículos'!$A:$A,'[1]DATOS PBI Artículos'!$AM:$AM))/(_xlfn.XLOOKUP($AH$1,[1]CRITERIOS!$S$16:$S$39,[1]CRITERIOS!$Y$16:$Y$39))*$J122+$Z122)/$G122,0)*$G122,
((_xlfn.XLOOKUP($A122,'[1]DATOS PBI Artículos'!$A:$A,'[1]DATOS PBI Artículos'!$AM:$AM))/(_xlfn.XLOOKUP($AH$1,[1]CRITERIOS!$S$16:$S$39,[1]CRITERIOS!$Y$16:$Y$39))*$J122+$Z122)))</f>
        <v>26971.020126072694</v>
      </c>
      <c r="AI122" s="39">
        <f>IF($R122="MTO","",
IF($H122=0,ROUNDUP(((_xlfn.XLOOKUP($A122,'[1]DATOS PBI Artículos'!$A:$A,'[1]DATOS PBI Artículos'!$AN:$AN))/(_xlfn.XLOOKUP($AJ$1,[1]CRITERIOS!$S$16:$S$39,[1]CRITERIOS!$Y$16:$Y$39))*$J122+$Z122)/$G122,0)*$G122,
((_xlfn.XLOOKUP($A122,'[1]DATOS PBI Artículos'!$A:$A,'[1]DATOS PBI Artículos'!$AN:$AN))/(_xlfn.XLOOKUP($AJ$1,[1]CRITERIOS!$S$16:$S$39,[1]CRITERIOS!$Y$16:$Y$39))*$J122+$Z122)))</f>
        <v>30175.714241898233</v>
      </c>
      <c r="AK122" s="39">
        <f>IF($R122="MTO","",
IF($H122=0,ROUNDUP(((_xlfn.XLOOKUP($A122,'[1]DATOS PBI Artículos'!$A:$A,'[1]DATOS PBI Artículos'!$AO:$AO))/(_xlfn.XLOOKUP($AL$1,[1]CRITERIOS!$S$16:$S$39,[1]CRITERIOS!$Y$16:$Y$39))*$J122+$Z122)/$G122,0)*$G122,
((_xlfn.XLOOKUP($A122,'[1]DATOS PBI Artículos'!$A:$A,'[1]DATOS PBI Artículos'!$AO:$AO))/(_xlfn.XLOOKUP($AL$1,[1]CRITERIOS!$S$16:$S$39,[1]CRITERIOS!$Y$16:$Y$39))*$J122+$Z122)))</f>
        <v>31905.189798360734</v>
      </c>
    </row>
    <row r="123" spans="1:37" ht="25.8" x14ac:dyDescent="0.5">
      <c r="A123" s="32">
        <v>422136</v>
      </c>
      <c r="B123" s="33">
        <f>_xlfn.XLOOKUP($A123,'[1]DATOS PBI Artículos'!A:A,'[1]DATOS PBI Artículos'!B:B)</f>
        <v>0</v>
      </c>
      <c r="C123" s="33" t="str">
        <f>_xlfn.XLOOKUP($A123,'[1]DATOS PBI Artículos'!A:A,'[1]DATOS PBI Artículos'!C:C)</f>
        <v>UA01</v>
      </c>
      <c r="D123" s="33">
        <f>_xlfn.XLOOKUP(A123,'[1]DATOS PBI Artículos'!A:A,'[1]DATOS PBI Artículos'!T:T)</f>
        <v>15</v>
      </c>
      <c r="E123" s="34">
        <f>IF(_xlfn.XLOOKUP($A123,'[1]DATOS PBI Artículos'!A:A,'[1]DATOS PBI Artículos'!AK:AK)="",_xlfn.XLOOKUP($A123,'[1]DATOS PBI Artículos'!A:A,'[1]DATOS PBI Artículos'!AJ:AJ),_xlfn.XLOOKUP($A123,'[1]DATOS PBI Artículos'!A:A,'[1]DATOS PBI Artículos'!AK:AK))</f>
        <v>68400</v>
      </c>
      <c r="F123" s="35">
        <f>_xlfn.XLOOKUP($A123,'[1]DATOS PBI Artículos'!A:A,'[1]DATOS PBI Artículos'!AP:AP)</f>
        <v>5.0714285714200003</v>
      </c>
      <c r="G123" s="34">
        <f>_xlfn.XLOOKUP($A123,'[1]DATOS PBI Artículos'!A:A,'[1]DATOS PBI Artículos'!AR:AR)</f>
        <v>3600</v>
      </c>
      <c r="H123" s="34">
        <f>_xlfn.XLOOKUP($A123,'[1]DATOS PBI Artículos'!A:A,'[1]DATOS PBI Artículos'!AT:AT)</f>
        <v>2137.0206229367891</v>
      </c>
      <c r="I123" s="34">
        <f>_xlfn.XLOOKUP($A123,'[1]DATOS PBI Artículos'!A:A,'[1]DATOS PBI Artículos'!AS:AS)</f>
        <v>3600</v>
      </c>
      <c r="J123" s="35">
        <f>IF(COUNTIF([1]CRITERIOS!$F$179:$F$199,$A123)&gt;=1,
 IF(O123&lt;&gt;"",
    (O123/_xlfn.XLOOKUP(CONCATENATE(A123,L123),[1]MÁQUINAS!A:A,[1]MÁQUINAS!D:D))/24,
    (N123/_xlfn.XLOOKUP(CONCATENATE(A123,L123),[1]MÁQUINAS!A:A,[1]MÁQUINAS!D:D))/24),
  _xlfn.XLOOKUP($A123,'[1]DATOS PBI Artículos'!A:A,'[1]DATOS PBI Artículos'!AU:AU))</f>
        <v>29.428571428571427</v>
      </c>
      <c r="K123" s="36">
        <f>_xlfn.XLOOKUP($A123,'[1]DATOS PBI Artículos'!A:A,'[1]DATOS PBI Artículos'!AV:AV)</f>
        <v>6.8033605141660907</v>
      </c>
      <c r="L123" s="33">
        <f>_xlfn.XLOOKUP(A123,[1]MÁQUINAS!B:B,[1]MÁQUINAS!C:C)</f>
        <v>505</v>
      </c>
      <c r="M123" s="34">
        <f t="array" ref="M123">_xlfn.XLOOKUP(A123,'[1]DATOS PBI Artículos'!A:A,'[1]DATOS PBI Artículos'!AX:$AX)</f>
        <v>49962.880279530618</v>
      </c>
      <c r="N123" s="37">
        <f>IF(I123="DV",
E123,
IF(COUNTIF([1]CRITERIOS!$I$179:$I$199,$A123)&gt;=1,
_xlfn.XLOOKUP($A123,[1]CRITERIOS!$I$179:$I$199,[1]CRITERIOS!$J$179:$J$199),
IF(COUNTIF([1]CRITERIOS!$L$179:$L$199,$A123)&gt;=1,
_xlfn.CEILING.MATH(IF($M123&gt;$E123,
$E123,
IF($M123&lt;$E123/ROUNDDOWN([1]CRITERIOS!$M$16/_xlfn.XLOOKUP($C123,[1]CRITERIOS!$K$25:$K$42,[1]CRITERIOS!$M$25:$M$42),
1),
E123/ROUNDDOWN([1]CRITERIOS!$M$16/_xlfn.XLOOKUP($C123,[1]CRITERIOS!$K$25:$K$42,[1]CRITERIOS!$M$25:$M$42),
1),
$M123)),
_xlfn.XLOOKUP($A123,[1]CRITERIOS!$L$179:$L$200,[1]CRITERIOS!$M$179:$M$200)),
_xlfn.CEILING.MATH(IF($M123&gt;$E123,
$E123,
IF($M123&lt;$E123/ROUNDDOWN([1]CRITERIOS!$M$16/_xlfn.XLOOKUP($C123,[1]CRITERIOS!$K$25:$K$42,[1]CRITERIOS!$M$25:$M$42),
1),
E123/ROUNDDOWN([1]CRITERIOS!$M$16/_xlfn.XLOOKUP($C123,[1]CRITERIOS!$K$25:$K$42,[1]CRITERIOS!$M$25:$M$42),
1),
$M123)),_xlfn.XLOOKUP(A123,'[1]DATOS PBI Artículos'!A:A,'[1]DATOS PBI Artículos'!Z:Z
)))))</f>
        <v>50400</v>
      </c>
      <c r="Q123" s="38">
        <f>IF(AND(O123="",N123=0),
0,
   IF(COUNTIF([1]CRITERIOS!$F$179:$F$199,$A123)&gt;=1,
   1,
   IF(R123="MTO",
      $D123,
      ROUNDUP(
                    IF(($E123-SUMIF('[1]DATOS PBI Artículos'!A:A,A123,'[1]DATOS PBI Artículos'!X:X)+($V123-_xlfn.XLOOKUP(A123,'[1]DATOS PBI Artículos'!A:A,'[1]DATOS PBI Artículos'!W:W)))&lt;0,
                    0,
                    IF(($E123-SUMIF('[1]DATOS PBI Artículos'!A:A,A123,'[1]DATOS PBI Artículos'!X:X)+$V123-_xlfn.XLOOKUP($A123,'[1]DATOS PBI Artículos'!A:A,'[1]DATOS PBI Artículos'!W:W))/IF($O123="",$N123,$O123)&gt;ROUNDUP([1]CRITERIOS!$M$16/(IF(COUNTIF([1]CRITERIOS!$BG$11:$BG$201,L123)&gt;=1,_xlfn.XLOOKUP($C123,[1]CRITERIOS!$K$25:$K$42,[1]CRITERIOS!$M$25:$M$42),_xlfn.XLOOKUP($C123,[1]CRITERIOS!$K$25:$K$42,[1]CRITERIOS!$M$25:$M$42))),0),
                    ROUNDUP([1]CRITERIOS!$M$16/(IF(COUNTIF([1]CRITERIOS!$BG$11:$BG$201,$L123)&gt;=1,_xlfn.XLOOKUP($C123,[1]CRITERIOS!$K$25:$K$42,[1]CRITERIOS!$M$25:$M$42),_xlfn.XLOOKUP($C123,[1]CRITERIOS!$K$25:$K$42,[1]CRITERIOS!$M$25:$M$42))),0),
                    (E123+V123-SUMIF('[1]DATOS PBI Artículos'!A:A,A123,'[1]DATOS PBI Artículos'!X:X)-_xlfn.XLOOKUP(A123,'[1]DATOS PBI Artículos'!A:A,'[1]DATOS PBI Artículos'!W:W))/IF($O123="",$N123,$O123))),0))))</f>
        <v>0</v>
      </c>
      <c r="R123" s="33" t="str">
        <f>IF(U123&lt;&gt;"",U123,IF(F123="DV","MTO",IF(N123=0,"MTO",_xlfn.XLOOKUP(CONCATENATE(S123,T123),[1]CRITERIOS!$K$160:$K$168,[1]CRITERIOS!$N$160:$N$168))))</f>
        <v>MTS</v>
      </c>
      <c r="S123" s="33" t="str">
        <f>IF(G123="DV","MTO",IF(N123=0,"MTO",IF(OR(AND(N123=0,O123=""),IF(O123="",G123/N123,G123/O123)&gt;[1]CRITERIOS!$G$163),"MTO",IF(IF(O123="",G123/N123,G123/O123)&lt;[1]CRITERIOS!$H$161,"MTS","MTOS"))))</f>
        <v>MTS</v>
      </c>
      <c r="T123" s="33" t="str">
        <f>IF(F123="DV","MTO",IF(OR(AND($N123=0,O123=""),$F123/$J123&gt;[1]CRITERIOS!$G$170,$F123="DV"),"MTO",IF($F123/$J123&lt;[1]CRITERIOS!$H$168,"MTS","MTOS")))</f>
        <v>MTS</v>
      </c>
      <c r="V123" s="34">
        <f t="shared" si="7"/>
        <v>27841.545354985945</v>
      </c>
      <c r="X123" s="34">
        <f t="shared" si="5"/>
        <v>78241.545354985952</v>
      </c>
      <c r="Y123" s="34">
        <f t="shared" si="6"/>
        <v>32151.40450988022</v>
      </c>
      <c r="Z123" s="34">
        <f>IF($R123="MTO",
0,
($H123+$K123*($E123/[1]CRITERIOS!$M$16))/[1]CRITERIOS!$X$48)</f>
        <v>6951.4045098802208</v>
      </c>
      <c r="AA123" s="34" t="e">
        <f>ROUNDUP(($Y123/_xlfn.XLOOKUP($A123,'[1]DATOS PBI Artículos'!$A$4:$A$4,'[1]DATOS PBI Artículos'!$Z$4:$Z$4))/_xlfn.XLOOKUP(_xlfn.XLOOKUP($A123,'[1]DATOS PBI Artículos'!$A$4:$A$4,'[1]DATOS PBI Artículos'!$Y$4:$Y$4),[1]CRITERIOS!$P$79:$P$123,[1]CRITERIOS!$S$79:$S$123,),0)</f>
        <v>#N/A</v>
      </c>
      <c r="AB123" s="33" t="e">
        <f t="array" ref="AB123">IF((E123+V123-_xlfn.XLOOKUP(A123,'[1]DATOS PBI Artículos'!$A$4:$A$4,'[1]DATOS PBI Artículos'!$W$4:$W$4))/N123&gt;ROUNDUP([1]CRITERIOS!$M$16/(IF(COUNTIF([1]CRITERIOS!$BG$11:$BG$201,L123)&gt;=1,_xlfn.XLOOKUP(ARTÍCULOS!L123,[1]CRITERIOS!$BG$11:$BG$201,[1]CRITERIOS!$BJ$11:$BJ$201),_xlfn.XLOOKUP(ARTÍCULOS!C123,[1]CRITERIOS!$K$25:$K$42,[1]CRITERIOS!$M$25:$M$42))),0),ROUNDUP([1]CRITERIOS!$M$16/(IF(COUNTIF([1]CRITERIOS!$BG$11:$BG$201,L123)&gt;=1,_xlfn.XLOOKUP(ARTÍCULOS!L123,[1]CRITERIOS!$BG$11:$BG$201:#REF!,[1]CRITERIOS!$BJ$11:$BJ$201),_xlfn.XLOOKUP(ARTÍCULOS!C123,[1]CRITERIOS!$K$25:$K$42,[1]CRITERIOS!$M$25:$M$42))),0),(E123+V123-_xlfn.XLOOKUP(A123,'[1]DATOS PBI Artículos'!$A$4:$A$4,'[1]DATOS PBI Artículos'!$W$4:$W$4))/N123)</f>
        <v>#N/A</v>
      </c>
      <c r="AC123" s="33" t="e">
        <f>IF(N123=0,"",(ROUNDUP((N123/2)/(_xlfn.XLOOKUP(A123,'[1]DATOS PBI Artículos'!$A$4:$A$4,'[1]DATOS PBI Artículos'!$Z$4:$Z$4)*_xlfn.XLOOKUP(_xlfn.XLOOKUP(A123,'[1]DATOS PBI Artículos'!$A$4:$A$4,'[1]DATOS PBI Artículos'!$Y$4:$Y$4),[1]CRITERIOS!$P$79:$P$123,[1]CRITERIOS!$S$79:$S$123)),0)*[1]CRITERIOS!$M$80*([1]CRITERIOS!$M$110/[1]CRITERIOS!$M$86)+(_xlfn.XLOOKUP(A123,'[1]DATOS PBI Artículos'!$A$4:$A$4,'[1]DATOS PBI Artículos'!$AA$4:$AA$4)*([1]CRITERIOS!$M$95+[1]CRITERIOS!$M$98)))/N123)</f>
        <v>#N/A</v>
      </c>
      <c r="AD123" s="33" t="e">
        <f>IF(N123=0,"",(ROUNDUP((N123/2)/(_xlfn.XLOOKUP(A123,'[1]DATOS PBI Artículos'!$A$4:$A$4,'[1]DATOS PBI Artículos'!$Z$4:$Z$4)*_xlfn.XLOOKUP(_xlfn.XLOOKUP(A123,'[1]DATOS PBI Artículos'!$A$4:$A$4,'[1]DATOS PBI Artículos'!$Y$4:$Y$4),[1]CRITERIOS!$P$79:$P$123,[1]CRITERIOS!$S$79:$S$123)),0)*[1]CRITERIOS!$M$80*([1]CRITERIOS!$M$89*[1]CRITERIOS!$M$92)+((_xlfn.XLOOKUP(A123,'[1]DATOS PBI Artículos'!$A$4:$A$4,'[1]DATOS PBI Artículos'!$AA$4:$AA$4)/2)*([1]CRITERIOS!$M$95+[1]CRITERIOS!$M$98)))/N123)</f>
        <v>#N/A</v>
      </c>
      <c r="AE123" s="39">
        <f>IF($R123="MTO","",
IF($H123=0,ROUNDUP(((_xlfn.XLOOKUP($A123,'[1]DATOS PBI Artículos'!$A:$A,'[1]DATOS PBI Artículos'!$AL:$AL))/(_xlfn.XLOOKUP($AF$1,[1]CRITERIOS!$S$16:$S$39,[1]CRITERIOS!$Y$16:$Y$39))*$J123+$Z123)/$G123,0)*$G123,
((_xlfn.XLOOKUP($A123,'[1]DATOS PBI Artículos'!$A:$A,'[1]DATOS PBI Artículos'!$AL:$AL))/(_xlfn.XLOOKUP($AF$1,[1]CRITERIOS!$S$16:$S$39,[1]CRITERIOS!$Y$16:$Y$39))*$J123+$Z123)))</f>
        <v>37992.367642180223</v>
      </c>
      <c r="AG123" s="39">
        <f>IF($R123="MTO","",
IF($H123=0,ROUNDUP(((_xlfn.XLOOKUP($A123,'[1]DATOS PBI Artículos'!$A:$A,'[1]DATOS PBI Artículos'!$AM:$AM))/(_xlfn.XLOOKUP($AH$1,[1]CRITERIOS!$S$16:$S$39,[1]CRITERIOS!$Y$16:$Y$39))*$J123+$Z123)/$G123,0)*$G123,
((_xlfn.XLOOKUP($A123,'[1]DATOS PBI Artículos'!$A:$A,'[1]DATOS PBI Artículos'!$AM:$AM))/(_xlfn.XLOOKUP($AH$1,[1]CRITERIOS!$S$16:$S$39,[1]CRITERIOS!$Y$16:$Y$39))*$J123+$Z123)))</f>
        <v>29248.7332004032</v>
      </c>
      <c r="AI123" s="39">
        <f>IF($R123="MTO","",
IF($H123=0,ROUNDUP(((_xlfn.XLOOKUP($A123,'[1]DATOS PBI Artículos'!$A:$A,'[1]DATOS PBI Artículos'!$AN:$AN))/(_xlfn.XLOOKUP($AJ$1,[1]CRITERIOS!$S$16:$S$39,[1]CRITERIOS!$Y$16:$Y$39))*$J123+$Z123)/$G123,0)*$G123,
((_xlfn.XLOOKUP($A123,'[1]DATOS PBI Artículos'!$A:$A,'[1]DATOS PBI Artículos'!$AN:$AN))/(_xlfn.XLOOKUP($AJ$1,[1]CRITERIOS!$S$16:$S$39,[1]CRITERIOS!$Y$16:$Y$39))*$J123+$Z123)))</f>
        <v>33658.011783513073</v>
      </c>
      <c r="AK123" s="39">
        <f>IF($R123="MTO","",
IF($H123=0,ROUNDUP(((_xlfn.XLOOKUP($A123,'[1]DATOS PBI Artículos'!$A:$A,'[1]DATOS PBI Artículos'!$AO:$AO))/(_xlfn.XLOOKUP($AL$1,[1]CRITERIOS!$S$16:$S$39,[1]CRITERIOS!$Y$16:$Y$39))*$J123+$Z123)/$G123,0)*$G123,
((_xlfn.XLOOKUP($A123,'[1]DATOS PBI Artículos'!$A:$A,'[1]DATOS PBI Artículos'!$AO:$AO))/(_xlfn.XLOOKUP($AL$1,[1]CRITERIOS!$S$16:$S$39,[1]CRITERIOS!$Y$16:$Y$39))*$J123+$Z123)))</f>
        <v>36037.56479403736</v>
      </c>
    </row>
    <row r="124" spans="1:37" ht="25.8" x14ac:dyDescent="0.5">
      <c r="A124" s="32">
        <v>453195</v>
      </c>
      <c r="B124" s="33">
        <f>_xlfn.XLOOKUP($A124,'[1]DATOS PBI Artículos'!A:A,'[1]DATOS PBI Artículos'!B:B)</f>
        <v>0</v>
      </c>
      <c r="C124" s="33" t="str">
        <f>_xlfn.XLOOKUP($A124,'[1]DATOS PBI Artículos'!A:A,'[1]DATOS PBI Artículos'!C:C)</f>
        <v>UA01</v>
      </c>
      <c r="D124" s="33">
        <f>_xlfn.XLOOKUP(A124,'[1]DATOS PBI Artículos'!A:A,'[1]DATOS PBI Artículos'!T:T)</f>
        <v>4</v>
      </c>
      <c r="E124" s="34">
        <f>IF(_xlfn.XLOOKUP($A124,'[1]DATOS PBI Artículos'!A:A,'[1]DATOS PBI Artículos'!AK:AK)="",_xlfn.XLOOKUP($A124,'[1]DATOS PBI Artículos'!A:A,'[1]DATOS PBI Artículos'!AJ:AJ),_xlfn.XLOOKUP($A124,'[1]DATOS PBI Artículos'!A:A,'[1]DATOS PBI Artículos'!AK:AK))</f>
        <v>64000</v>
      </c>
      <c r="F124" s="35">
        <f>_xlfn.XLOOKUP($A124,'[1]DATOS PBI Artículos'!A:A,'[1]DATOS PBI Artículos'!AP:AP)</f>
        <v>14.666666666659999</v>
      </c>
      <c r="G124" s="34">
        <f>_xlfn.XLOOKUP($A124,'[1]DATOS PBI Artículos'!A:A,'[1]DATOS PBI Artículos'!AR:AR)</f>
        <v>16000</v>
      </c>
      <c r="H124" s="34">
        <f>_xlfn.XLOOKUP($A124,'[1]DATOS PBI Artículos'!A:A,'[1]DATOS PBI Artículos'!AT:AT)</f>
        <v>4618.8021535170055</v>
      </c>
      <c r="I124" s="34">
        <f>_xlfn.XLOOKUP($A124,'[1]DATOS PBI Artículos'!A:A,'[1]DATOS PBI Artículos'!AS:AS)</f>
        <v>4000</v>
      </c>
      <c r="J124" s="35">
        <f>IF(COUNTIF([1]CRITERIOS!$F$179:$F$199,$A124)&gt;=1,
 IF(O124&lt;&gt;"",
    (O124/_xlfn.XLOOKUP(CONCATENATE(A124,L124),[1]MÁQUINAS!A:A,[1]MÁQUINAS!D:D))/24,
    (N124/_xlfn.XLOOKUP(CONCATENATE(A124,L124),[1]MÁQUINAS!A:A,[1]MÁQUINAS!D:D))/24),
  _xlfn.XLOOKUP($A124,'[1]DATOS PBI Artículos'!A:A,'[1]DATOS PBI Artículos'!AU:AU))</f>
        <v>60.722222222222221</v>
      </c>
      <c r="K124" s="36">
        <f>_xlfn.XLOOKUP($A124,'[1]DATOS PBI Artículos'!A:A,'[1]DATOS PBI Artículos'!AV:AV)</f>
        <v>19.2867084849387</v>
      </c>
      <c r="L124" s="33">
        <f>_xlfn.XLOOKUP(A124,[1]MÁQUINAS!B:B,[1]MÁQUINAS!C:C)</f>
        <v>522</v>
      </c>
      <c r="M124" s="34">
        <f t="array" ref="M124">_xlfn.XLOOKUP(A124,'[1]DATOS PBI Artículos'!A:A,'[1]DATOS PBI Artículos'!AX:$AX)</f>
        <v>100204.55272659863</v>
      </c>
      <c r="N124" s="37">
        <f>IF(I124="DV",
E124,
IF(COUNTIF([1]CRITERIOS!$I$179:$I$199,$A124)&gt;=1,
_xlfn.XLOOKUP($A124,[1]CRITERIOS!$I$179:$I$199,[1]CRITERIOS!$J$179:$J$199),
IF(COUNTIF([1]CRITERIOS!$L$179:$L$199,$A124)&gt;=1,
_xlfn.CEILING.MATH(IF($M124&gt;$E124,
$E124,
IF($M124&lt;$E124/ROUNDDOWN([1]CRITERIOS!$M$16/_xlfn.XLOOKUP($C124,[1]CRITERIOS!$K$25:$K$42,[1]CRITERIOS!$M$25:$M$42),
1),
E124/ROUNDDOWN([1]CRITERIOS!$M$16/_xlfn.XLOOKUP($C124,[1]CRITERIOS!$K$25:$K$42,[1]CRITERIOS!$M$25:$M$42),
1),
$M124)),
_xlfn.XLOOKUP($A124,[1]CRITERIOS!$L$179:$L$200,[1]CRITERIOS!$M$179:$M$200)),
_xlfn.CEILING.MATH(IF($M124&gt;$E124,
$E124,
IF($M124&lt;$E124/ROUNDDOWN([1]CRITERIOS!$M$16/_xlfn.XLOOKUP($C124,[1]CRITERIOS!$K$25:$K$42,[1]CRITERIOS!$M$25:$M$42),
1),
E124/ROUNDDOWN([1]CRITERIOS!$M$16/_xlfn.XLOOKUP($C124,[1]CRITERIOS!$K$25:$K$42,[1]CRITERIOS!$M$25:$M$42),
1),
$M124)),_xlfn.XLOOKUP(A124,'[1]DATOS PBI Artículos'!A:A,'[1]DATOS PBI Artículos'!Z:Z
)))))</f>
        <v>64000</v>
      </c>
      <c r="Q124" s="38">
        <f>IF(AND(O124="",N124=0),
0,
   IF(COUNTIF([1]CRITERIOS!$F$179:$F$199,$A124)&gt;=1,
   1,
   IF(R124="MTO",
      $D124,
      ROUNDUP(
                    IF(($E124-SUMIF('[1]DATOS PBI Artículos'!A:A,A124,'[1]DATOS PBI Artículos'!X:X)+($V124-_xlfn.XLOOKUP(A124,'[1]DATOS PBI Artículos'!A:A,'[1]DATOS PBI Artículos'!W:W)))&lt;0,
                    0,
                    IF(($E124-SUMIF('[1]DATOS PBI Artículos'!A:A,A124,'[1]DATOS PBI Artículos'!X:X)+$V124-_xlfn.XLOOKUP($A124,'[1]DATOS PBI Artículos'!A:A,'[1]DATOS PBI Artículos'!W:W))/IF($O124="",$N124,$O124)&gt;ROUNDUP([1]CRITERIOS!$M$16/(IF(COUNTIF([1]CRITERIOS!$BG$11:$BG$201,L124)&gt;=1,_xlfn.XLOOKUP($C124,[1]CRITERIOS!$K$25:$K$42,[1]CRITERIOS!$M$25:$M$42),_xlfn.XLOOKUP($C124,[1]CRITERIOS!$K$25:$K$42,[1]CRITERIOS!$M$25:$M$42))),0),
                    ROUNDUP([1]CRITERIOS!$M$16/(IF(COUNTIF([1]CRITERIOS!$BG$11:$BG$201,$L124)&gt;=1,_xlfn.XLOOKUP($C124,[1]CRITERIOS!$K$25:$K$42,[1]CRITERIOS!$M$25:$M$42),_xlfn.XLOOKUP($C124,[1]CRITERIOS!$K$25:$K$42,[1]CRITERIOS!$M$25:$M$42))),0),
                    (E124+V124-SUMIF('[1]DATOS PBI Artículos'!A:A,A124,'[1]DATOS PBI Artículos'!X:X)-_xlfn.XLOOKUP(A124,'[1]DATOS PBI Artículos'!A:A,'[1]DATOS PBI Artículos'!W:W))/IF($O124="",$N124,$O124))),0))))</f>
        <v>2</v>
      </c>
      <c r="R124" s="33" t="str">
        <f>IF(U124&lt;&gt;"",U124,IF(F124="DV","MTO",IF(N124=0,"MTO",_xlfn.XLOOKUP(CONCATENATE(S124,T124),[1]CRITERIOS!$K$160:$K$168,[1]CRITERIOS!$N$160:$N$168))))</f>
        <v>MTS</v>
      </c>
      <c r="S124" s="33" t="str">
        <f>IF(G124="DV","MTO",IF(N124=0,"MTO",IF(OR(AND(N124=0,O124=""),IF(O124="",G124/N124,G124/O124)&gt;[1]CRITERIOS!$G$163),"MTO",IF(IF(O124="",G124/N124,G124/O124)&lt;[1]CRITERIOS!$H$161,"MTS","MTOS"))))</f>
        <v>MTS</v>
      </c>
      <c r="T124" s="33" t="str">
        <f>IF(F124="DV","MTO",IF(OR(AND($N124=0,O124=""),$F124/$J124&gt;[1]CRITERIOS!$G$170,$F124="DV"),"MTO",IF($F124/$J124&lt;[1]CRITERIOS!$H$168,"MTS","MTOS")))</f>
        <v>MTS</v>
      </c>
      <c r="V124" s="34">
        <f t="shared" si="7"/>
        <v>83806.41873745271</v>
      </c>
      <c r="X124" s="34">
        <f t="shared" si="5"/>
        <v>147806.41873745271</v>
      </c>
      <c r="Y124" s="34">
        <f t="shared" si="6"/>
        <v>49563.994494998362</v>
      </c>
      <c r="Z124" s="34">
        <f>IF($R124="MTO",
0,
($H124+$K124*($E124/[1]CRITERIOS!$M$16))/[1]CRITERIOS!$X$48)</f>
        <v>17563.994494998358</v>
      </c>
      <c r="AA124" s="34" t="e">
        <f>ROUNDUP(($Y124/_xlfn.XLOOKUP($A124,'[1]DATOS PBI Artículos'!$A$4:$A$4,'[1]DATOS PBI Artículos'!$Z$4:$Z$4))/_xlfn.XLOOKUP(_xlfn.XLOOKUP($A124,'[1]DATOS PBI Artículos'!$A$4:$A$4,'[1]DATOS PBI Artículos'!$Y$4:$Y$4),[1]CRITERIOS!$P$79:$P$123,[1]CRITERIOS!$S$79:$S$123,),0)</f>
        <v>#N/A</v>
      </c>
      <c r="AB124" s="33" t="e">
        <f t="array" ref="AB124">IF((E124+V124-_xlfn.XLOOKUP(A124,'[1]DATOS PBI Artículos'!$A$4:$A$4,'[1]DATOS PBI Artículos'!$W$4:$W$4))/N124&gt;ROUNDUP([1]CRITERIOS!$M$16/(IF(COUNTIF([1]CRITERIOS!$BG$11:$BG$201,L124)&gt;=1,_xlfn.XLOOKUP(ARTÍCULOS!L124,[1]CRITERIOS!$BG$11:$BG$201,[1]CRITERIOS!$BJ$11:$BJ$201),_xlfn.XLOOKUP(ARTÍCULOS!C124,[1]CRITERIOS!$K$25:$K$42,[1]CRITERIOS!$M$25:$M$42))),0),ROUNDUP([1]CRITERIOS!$M$16/(IF(COUNTIF([1]CRITERIOS!$BG$11:$BG$201,L124)&gt;=1,_xlfn.XLOOKUP(ARTÍCULOS!L124,[1]CRITERIOS!$BG$11:$BG$201:#REF!,[1]CRITERIOS!$BJ$11:$BJ$201),_xlfn.XLOOKUP(ARTÍCULOS!C124,[1]CRITERIOS!$K$25:$K$42,[1]CRITERIOS!$M$25:$M$42))),0),(E124+V124-_xlfn.XLOOKUP(A124,'[1]DATOS PBI Artículos'!$A$4:$A$4,'[1]DATOS PBI Artículos'!$W$4:$W$4))/N124)</f>
        <v>#N/A</v>
      </c>
      <c r="AC124" s="33" t="e">
        <f>IF(N124=0,"",(ROUNDUP((N124/2)/(_xlfn.XLOOKUP(A124,'[1]DATOS PBI Artículos'!$A$4:$A$4,'[1]DATOS PBI Artículos'!$Z$4:$Z$4)*_xlfn.XLOOKUP(_xlfn.XLOOKUP(A124,'[1]DATOS PBI Artículos'!$A$4:$A$4,'[1]DATOS PBI Artículos'!$Y$4:$Y$4),[1]CRITERIOS!$P$79:$P$123,[1]CRITERIOS!$S$79:$S$123)),0)*[1]CRITERIOS!$M$80*([1]CRITERIOS!$M$110/[1]CRITERIOS!$M$86)+(_xlfn.XLOOKUP(A124,'[1]DATOS PBI Artículos'!$A$4:$A$4,'[1]DATOS PBI Artículos'!$AA$4:$AA$4)*([1]CRITERIOS!$M$95+[1]CRITERIOS!$M$98)))/N124)</f>
        <v>#N/A</v>
      </c>
      <c r="AD124" s="33" t="e">
        <f>IF(N124=0,"",(ROUNDUP((N124/2)/(_xlfn.XLOOKUP(A124,'[1]DATOS PBI Artículos'!$A$4:$A$4,'[1]DATOS PBI Artículos'!$Z$4:$Z$4)*_xlfn.XLOOKUP(_xlfn.XLOOKUP(A124,'[1]DATOS PBI Artículos'!$A$4:$A$4,'[1]DATOS PBI Artículos'!$Y$4:$Y$4),[1]CRITERIOS!$P$79:$P$123,[1]CRITERIOS!$S$79:$S$123)),0)*[1]CRITERIOS!$M$80*([1]CRITERIOS!$M$89*[1]CRITERIOS!$M$92)+((_xlfn.XLOOKUP(A124,'[1]DATOS PBI Artículos'!$A$4:$A$4,'[1]DATOS PBI Artículos'!$AA$4:$AA$4)/2)*([1]CRITERIOS!$M$95+[1]CRITERIOS!$M$98)))/N124)</f>
        <v>#N/A</v>
      </c>
      <c r="AE124" s="39">
        <f>IF($R124="MTO","",
IF($H124=0,ROUNDUP(((_xlfn.XLOOKUP($A124,'[1]DATOS PBI Artículos'!$A:$A,'[1]DATOS PBI Artículos'!$AL:$AL))/(_xlfn.XLOOKUP($AF$1,[1]CRITERIOS!$S$16:$S$39,[1]CRITERIOS!$Y$16:$Y$39))*$J124+$Z124)/$G124,0)*$G124,
((_xlfn.XLOOKUP($A124,'[1]DATOS PBI Artículos'!$A:$A,'[1]DATOS PBI Artículos'!$AL:$AL))/(_xlfn.XLOOKUP($AF$1,[1]CRITERIOS!$S$16:$S$39,[1]CRITERIOS!$Y$16:$Y$39))*$J124+$Z124)))</f>
        <v>77493.064291986011</v>
      </c>
      <c r="AG124" s="39">
        <f>IF($R124="MTO","",
IF($H124=0,ROUNDUP(((_xlfn.XLOOKUP($A124,'[1]DATOS PBI Artículos'!$A:$A,'[1]DATOS PBI Artículos'!$AM:$AM))/(_xlfn.XLOOKUP($AH$1,[1]CRITERIOS!$S$16:$S$39,[1]CRITERIOS!$Y$16:$Y$39))*$J124+$Z124)/$G124,0)*$G124,
((_xlfn.XLOOKUP($A124,'[1]DATOS PBI Artículos'!$A:$A,'[1]DATOS PBI Artículos'!$AM:$AM))/(_xlfn.XLOOKUP($AH$1,[1]CRITERIOS!$S$16:$S$39,[1]CRITERIOS!$Y$16:$Y$39))*$J124+$Z124)))</f>
        <v>60612.213124215748</v>
      </c>
      <c r="AI124" s="39">
        <f>IF($R124="MTO","",
IF($H124=0,ROUNDUP(((_xlfn.XLOOKUP($A124,'[1]DATOS PBI Artículos'!$A:$A,'[1]DATOS PBI Artículos'!$AN:$AN))/(_xlfn.XLOOKUP($AJ$1,[1]CRITERIOS!$S$16:$S$39,[1]CRITERIOS!$Y$16:$Y$39))*$J124+$Z124)/$G124,0)*$G124,
((_xlfn.XLOOKUP($A124,'[1]DATOS PBI Artículos'!$A:$A,'[1]DATOS PBI Artículos'!$AN:$AN))/(_xlfn.XLOOKUP($AJ$1,[1]CRITERIOS!$S$16:$S$39,[1]CRITERIOS!$Y$16:$Y$39))*$J124+$Z124)))</f>
        <v>69124.963287131672</v>
      </c>
      <c r="AK124" s="39">
        <f>IF($R124="MTO","",
IF($H124=0,ROUNDUP(((_xlfn.XLOOKUP($A124,'[1]DATOS PBI Artículos'!$A:$A,'[1]DATOS PBI Artículos'!$AO:$AO))/(_xlfn.XLOOKUP($AL$1,[1]CRITERIOS!$S$16:$S$39,[1]CRITERIOS!$Y$16:$Y$39))*$J124+$Z124)/$G124,0)*$G124,
((_xlfn.XLOOKUP($A124,'[1]DATOS PBI Artículos'!$A:$A,'[1]DATOS PBI Artículos'!$AO:$AO))/(_xlfn.XLOOKUP($AL$1,[1]CRITERIOS!$S$16:$S$39,[1]CRITERIOS!$Y$16:$Y$39))*$J124+$Z124)))</f>
        <v>73719.034606553905</v>
      </c>
    </row>
    <row r="125" spans="1:37" ht="25.8" x14ac:dyDescent="0.5">
      <c r="A125" s="32">
        <v>422262</v>
      </c>
      <c r="B125" s="33">
        <f>_xlfn.XLOOKUP($A125,'[1]DATOS PBI Artículos'!A:A,'[1]DATOS PBI Artículos'!B:B)</f>
        <v>0</v>
      </c>
      <c r="C125" s="33" t="str">
        <f>_xlfn.XLOOKUP($A125,'[1]DATOS PBI Artículos'!A:A,'[1]DATOS PBI Artículos'!C:C)</f>
        <v>UA01</v>
      </c>
      <c r="D125" s="33">
        <f>_xlfn.XLOOKUP(A125,'[1]DATOS PBI Artículos'!A:A,'[1]DATOS PBI Artículos'!T:T)</f>
        <v>2</v>
      </c>
      <c r="E125" s="34">
        <f>IF(_xlfn.XLOOKUP($A125,'[1]DATOS PBI Artículos'!A:A,'[1]DATOS PBI Artículos'!AK:AK)="",_xlfn.XLOOKUP($A125,'[1]DATOS PBI Artículos'!A:A,'[1]DATOS PBI Artículos'!AJ:AJ),_xlfn.XLOOKUP($A125,'[1]DATOS PBI Artículos'!A:A,'[1]DATOS PBI Artículos'!AK:AK))</f>
        <v>64000</v>
      </c>
      <c r="F125" s="35">
        <f>_xlfn.XLOOKUP($A125,'[1]DATOS PBI Artículos'!A:A,'[1]DATOS PBI Artículos'!AP:AP)</f>
        <v>24</v>
      </c>
      <c r="G125" s="34">
        <f>_xlfn.XLOOKUP($A125,'[1]DATOS PBI Artículos'!A:A,'[1]DATOS PBI Artículos'!AR:AR)</f>
        <v>32000</v>
      </c>
      <c r="H125" s="34">
        <f>_xlfn.XLOOKUP($A125,'[1]DATOS PBI Artículos'!A:A,'[1]DATOS PBI Artículos'!AT:AT)</f>
        <v>0</v>
      </c>
      <c r="I125" s="34">
        <f>_xlfn.XLOOKUP($A125,'[1]DATOS PBI Artículos'!A:A,'[1]DATOS PBI Artículos'!AS:AS)</f>
        <v>32000</v>
      </c>
      <c r="J125" s="35">
        <f>IF(COUNTIF([1]CRITERIOS!$F$179:$F$199,$A125)&gt;=1,
 IF(O125&lt;&gt;"",
    (O125/_xlfn.XLOOKUP(CONCATENATE(A125,L125),[1]MÁQUINAS!A:A,[1]MÁQUINAS!D:D))/24,
    (N125/_xlfn.XLOOKUP(CONCATENATE(A125,L125),[1]MÁQUINAS!A:A,[1]MÁQUINAS!D:D))/24),
  _xlfn.XLOOKUP($A125,'[1]DATOS PBI Artículos'!A:A,'[1]DATOS PBI Artículos'!AU:AU))</f>
        <v>16.75</v>
      </c>
      <c r="K125" s="36">
        <f>_xlfn.XLOOKUP($A125,'[1]DATOS PBI Artículos'!A:A,'[1]DATOS PBI Artículos'!AV:AV)</f>
        <v>4.9916597106239795</v>
      </c>
      <c r="L125" s="33">
        <f>_xlfn.XLOOKUP(A125,[1]MÁQUINAS!B:B,[1]MÁQUINAS!C:C)</f>
        <v>500</v>
      </c>
      <c r="M125" s="34">
        <f t="array" ref="M125">_xlfn.XLOOKUP(A125,'[1]DATOS PBI Artículos'!A:A,'[1]DATOS PBI Artículos'!AX:$AX)</f>
        <v>50235.279595948959</v>
      </c>
      <c r="N125" s="37">
        <f>IF(I125="DV",
E125,
IF(COUNTIF([1]CRITERIOS!$I$179:$I$199,$A125)&gt;=1,
_xlfn.XLOOKUP($A125,[1]CRITERIOS!$I$179:$I$199,[1]CRITERIOS!$J$179:$J$199),
IF(COUNTIF([1]CRITERIOS!$L$179:$L$199,$A125)&gt;=1,
_xlfn.CEILING.MATH(IF($M125&gt;$E125,
$E125,
IF($M125&lt;$E125/ROUNDDOWN([1]CRITERIOS!$M$16/_xlfn.XLOOKUP($C125,[1]CRITERIOS!$K$25:$K$42,[1]CRITERIOS!$M$25:$M$42),
1),
E125/ROUNDDOWN([1]CRITERIOS!$M$16/_xlfn.XLOOKUP($C125,[1]CRITERIOS!$K$25:$K$42,[1]CRITERIOS!$M$25:$M$42),
1),
$M125)),
_xlfn.XLOOKUP($A125,[1]CRITERIOS!$L$179:$L$200,[1]CRITERIOS!$M$179:$M$200)),
_xlfn.CEILING.MATH(IF($M125&gt;$E125,
$E125,
IF($M125&lt;$E125/ROUNDDOWN([1]CRITERIOS!$M$16/_xlfn.XLOOKUP($C125,[1]CRITERIOS!$K$25:$K$42,[1]CRITERIOS!$M$25:$M$42),
1),
E125/ROUNDDOWN([1]CRITERIOS!$M$16/_xlfn.XLOOKUP($C125,[1]CRITERIOS!$K$25:$K$42,[1]CRITERIOS!$M$25:$M$42),
1),
$M125)),_xlfn.XLOOKUP(A125,'[1]DATOS PBI Artículos'!A:A,'[1]DATOS PBI Artículos'!Z:Z
)))))</f>
        <v>52000</v>
      </c>
      <c r="Q125" s="38">
        <f>IF(AND(O125="",N125=0),
0,
   IF(COUNTIF([1]CRITERIOS!$F$179:$F$199,$A125)&gt;=1,
   1,
   IF(R125="MTO",
      $D125,
      ROUNDUP(
                    IF(($E125-SUMIF('[1]DATOS PBI Artículos'!A:A,A125,'[1]DATOS PBI Artículos'!X:X)+($V125-_xlfn.XLOOKUP(A125,'[1]DATOS PBI Artículos'!A:A,'[1]DATOS PBI Artículos'!W:W)))&lt;0,
                    0,
                    IF(($E125-SUMIF('[1]DATOS PBI Artículos'!A:A,A125,'[1]DATOS PBI Artículos'!X:X)+$V125-_xlfn.XLOOKUP($A125,'[1]DATOS PBI Artículos'!A:A,'[1]DATOS PBI Artículos'!W:W))/IF($O125="",$N125,$O125)&gt;ROUNDUP([1]CRITERIOS!$M$16/(IF(COUNTIF([1]CRITERIOS!$BG$11:$BG$201,L125)&gt;=1,_xlfn.XLOOKUP($C125,[1]CRITERIOS!$K$25:$K$42,[1]CRITERIOS!$M$25:$M$42),_xlfn.XLOOKUP($C125,[1]CRITERIOS!$K$25:$K$42,[1]CRITERIOS!$M$25:$M$42))),0),
                    ROUNDUP([1]CRITERIOS!$M$16/(IF(COUNTIF([1]CRITERIOS!$BG$11:$BG$201,$L125)&gt;=1,_xlfn.XLOOKUP($C125,[1]CRITERIOS!$K$25:$K$42,[1]CRITERIOS!$M$25:$M$42),_xlfn.XLOOKUP($C125,[1]CRITERIOS!$K$25:$K$42,[1]CRITERIOS!$M$25:$M$42))),0),
                    (E125+V125-SUMIF('[1]DATOS PBI Artículos'!A:A,A125,'[1]DATOS PBI Artículos'!X:X)-_xlfn.XLOOKUP(A125,'[1]DATOS PBI Artículos'!A:A,'[1]DATOS PBI Artículos'!W:W))/IF($O125="",$N125,$O125))),0))))</f>
        <v>2</v>
      </c>
      <c r="R125" s="33" t="str">
        <f>IF(U125&lt;&gt;"",U125,IF(F125="DV","MTO",IF(N125=0,"MTO",_xlfn.XLOOKUP(CONCATENATE(S125,T125),[1]CRITERIOS!$K$160:$K$168,[1]CRITERIOS!$N$160:$N$168))))</f>
        <v>MTO</v>
      </c>
      <c r="S125" s="33" t="str">
        <f>IF(G125="DV","MTO",IF(N125=0,"MTO",IF(OR(AND(N125=0,O125=""),IF(O125="",G125/N125,G125/O125)&gt;[1]CRITERIOS!$G$163),"MTO",IF(IF(O125="",G125/N125,G125/O125)&lt;[1]CRITERIOS!$H$161,"MTS","MTOS"))))</f>
        <v>MTOS</v>
      </c>
      <c r="T125" s="33" t="str">
        <f>IF(F125="DV","MTO",IF(OR(AND($N125=0,O125=""),$F125/$J125&gt;[1]CRITERIOS!$G$170,$F125="DV"),"MTO",IF($F125/$J125&lt;[1]CRITERIOS!$H$168,"MTS","MTOS")))</f>
        <v>MTO</v>
      </c>
      <c r="V125" s="34" t="str">
        <f t="shared" si="7"/>
        <v/>
      </c>
      <c r="X125" s="34">
        <f t="shared" si="5"/>
        <v>0</v>
      </c>
      <c r="Y125" s="34">
        <f t="shared" si="6"/>
        <v>0</v>
      </c>
      <c r="Z125" s="34">
        <f>IF($R125="MTO",
0,
($H125+$K125*($E125/[1]CRITERIOS!$M$16))/[1]CRITERIOS!$X$48)</f>
        <v>0</v>
      </c>
      <c r="AA125" s="34" t="e">
        <f>ROUNDUP(($Y125/_xlfn.XLOOKUP($A125,'[1]DATOS PBI Artículos'!$A$4:$A$4,'[1]DATOS PBI Artículos'!$Z$4:$Z$4))/_xlfn.XLOOKUP(_xlfn.XLOOKUP($A125,'[1]DATOS PBI Artículos'!$A$4:$A$4,'[1]DATOS PBI Artículos'!$Y$4:$Y$4),[1]CRITERIOS!$P$79:$P$123,[1]CRITERIOS!$S$79:$S$123,),0)</f>
        <v>#N/A</v>
      </c>
      <c r="AB125" s="33" t="e">
        <f t="array" ref="AB125">IF((E125+V125-_xlfn.XLOOKUP(A125,'[1]DATOS PBI Artículos'!$A$4:$A$4,'[1]DATOS PBI Artículos'!$W$4:$W$4))/N125&gt;ROUNDUP([1]CRITERIOS!$M$16/(IF(COUNTIF([1]CRITERIOS!$BG$11:$BG$201,L125)&gt;=1,_xlfn.XLOOKUP(ARTÍCULOS!L125,[1]CRITERIOS!$BG$11:$BG$201,[1]CRITERIOS!$BJ$11:$BJ$201),_xlfn.XLOOKUP(ARTÍCULOS!C125,[1]CRITERIOS!$K$25:$K$42,[1]CRITERIOS!$M$25:$M$42))),0),ROUNDUP([1]CRITERIOS!$M$16/(IF(COUNTIF([1]CRITERIOS!$BG$11:$BG$201,L125)&gt;=1,_xlfn.XLOOKUP(ARTÍCULOS!L125,[1]CRITERIOS!$BG$11:$BG$201:#REF!,[1]CRITERIOS!$BJ$11:$BJ$201),_xlfn.XLOOKUP(ARTÍCULOS!C125,[1]CRITERIOS!$K$25:$K$42,[1]CRITERIOS!$M$25:$M$42))),0),(E125+V125-_xlfn.XLOOKUP(A125,'[1]DATOS PBI Artículos'!$A$4:$A$4,'[1]DATOS PBI Artículos'!$W$4:$W$4))/N125)</f>
        <v>#VALUE!</v>
      </c>
      <c r="AC125" s="33" t="e">
        <f>IF(N125=0,"",(ROUNDUP((N125/2)/(_xlfn.XLOOKUP(A125,'[1]DATOS PBI Artículos'!$A$4:$A$4,'[1]DATOS PBI Artículos'!$Z$4:$Z$4)*_xlfn.XLOOKUP(_xlfn.XLOOKUP(A125,'[1]DATOS PBI Artículos'!$A$4:$A$4,'[1]DATOS PBI Artículos'!$Y$4:$Y$4),[1]CRITERIOS!$P$79:$P$123,[1]CRITERIOS!$S$79:$S$123)),0)*[1]CRITERIOS!$M$80*([1]CRITERIOS!$M$110/[1]CRITERIOS!$M$86)+(_xlfn.XLOOKUP(A125,'[1]DATOS PBI Artículos'!$A$4:$A$4,'[1]DATOS PBI Artículos'!$AA$4:$AA$4)*([1]CRITERIOS!$M$95+[1]CRITERIOS!$M$98)))/N125)</f>
        <v>#N/A</v>
      </c>
      <c r="AD125" s="33" t="e">
        <f>IF(N125=0,"",(ROUNDUP((N125/2)/(_xlfn.XLOOKUP(A125,'[1]DATOS PBI Artículos'!$A$4:$A$4,'[1]DATOS PBI Artículos'!$Z$4:$Z$4)*_xlfn.XLOOKUP(_xlfn.XLOOKUP(A125,'[1]DATOS PBI Artículos'!$A$4:$A$4,'[1]DATOS PBI Artículos'!$Y$4:$Y$4),[1]CRITERIOS!$P$79:$P$123,[1]CRITERIOS!$S$79:$S$123)),0)*[1]CRITERIOS!$M$80*([1]CRITERIOS!$M$89*[1]CRITERIOS!$M$92)+((_xlfn.XLOOKUP(A125,'[1]DATOS PBI Artículos'!$A$4:$A$4,'[1]DATOS PBI Artículos'!$AA$4:$AA$4)/2)*([1]CRITERIOS!$M$95+[1]CRITERIOS!$M$98)))/N125)</f>
        <v>#N/A</v>
      </c>
      <c r="AE125" s="39" t="str">
        <f>IF($R125="MTO","",
IF($H125=0,ROUNDUP(((_xlfn.XLOOKUP($A125,'[1]DATOS PBI Artículos'!$A:$A,'[1]DATOS PBI Artículos'!$AL:$AL))/(_xlfn.XLOOKUP($AF$1,[1]CRITERIOS!$S$16:$S$39,[1]CRITERIOS!$Y$16:$Y$39))*$J125+$Z125)/$G125,0)*$G125,
((_xlfn.XLOOKUP($A125,'[1]DATOS PBI Artículos'!$A:$A,'[1]DATOS PBI Artículos'!$AL:$AL))/(_xlfn.XLOOKUP($AF$1,[1]CRITERIOS!$S$16:$S$39,[1]CRITERIOS!$Y$16:$Y$39))*$J125+$Z125)))</f>
        <v/>
      </c>
      <c r="AG125" s="39" t="str">
        <f>IF($R125="MTO","",
IF($H125=0,ROUNDUP(((_xlfn.XLOOKUP($A125,'[1]DATOS PBI Artículos'!$A:$A,'[1]DATOS PBI Artículos'!$AM:$AM))/(_xlfn.XLOOKUP($AH$1,[1]CRITERIOS!$S$16:$S$39,[1]CRITERIOS!$Y$16:$Y$39))*$J125+$Z125)/$G125,0)*$G125,
((_xlfn.XLOOKUP($A125,'[1]DATOS PBI Artículos'!$A:$A,'[1]DATOS PBI Artículos'!$AM:$AM))/(_xlfn.XLOOKUP($AH$1,[1]CRITERIOS!$S$16:$S$39,[1]CRITERIOS!$Y$16:$Y$39))*$J125+$Z125)))</f>
        <v/>
      </c>
      <c r="AI125" s="39" t="str">
        <f>IF($R125="MTO","",
IF($H125=0,ROUNDUP(((_xlfn.XLOOKUP($A125,'[1]DATOS PBI Artículos'!$A:$A,'[1]DATOS PBI Artículos'!$AN:$AN))/(_xlfn.XLOOKUP($AJ$1,[1]CRITERIOS!$S$16:$S$39,[1]CRITERIOS!$Y$16:$Y$39))*$J125+$Z125)/$G125,0)*$G125,
((_xlfn.XLOOKUP($A125,'[1]DATOS PBI Artículos'!$A:$A,'[1]DATOS PBI Artículos'!$AN:$AN))/(_xlfn.XLOOKUP($AJ$1,[1]CRITERIOS!$S$16:$S$39,[1]CRITERIOS!$Y$16:$Y$39))*$J125+$Z125)))</f>
        <v/>
      </c>
      <c r="AK125" s="39" t="str">
        <f>IF($R125="MTO","",
IF($H125=0,ROUNDUP(((_xlfn.XLOOKUP($A125,'[1]DATOS PBI Artículos'!$A:$A,'[1]DATOS PBI Artículos'!$AO:$AO))/(_xlfn.XLOOKUP($AL$1,[1]CRITERIOS!$S$16:$S$39,[1]CRITERIOS!$Y$16:$Y$39))*$J125+$Z125)/$G125,0)*$G125,
((_xlfn.XLOOKUP($A125,'[1]DATOS PBI Artículos'!$A:$A,'[1]DATOS PBI Artículos'!$AO:$AO))/(_xlfn.XLOOKUP($AL$1,[1]CRITERIOS!$S$16:$S$39,[1]CRITERIOS!$Y$16:$Y$39))*$J125+$Z125)))</f>
        <v/>
      </c>
    </row>
    <row r="126" spans="1:37" ht="25.8" x14ac:dyDescent="0.5">
      <c r="A126" s="32">
        <v>452761</v>
      </c>
      <c r="B126" s="33">
        <f>_xlfn.XLOOKUP($A126,'[1]DATOS PBI Artículos'!A:A,'[1]DATOS PBI Artículos'!B:B)</f>
        <v>0</v>
      </c>
      <c r="C126" s="33" t="str">
        <f>_xlfn.XLOOKUP($A126,'[1]DATOS PBI Artículos'!A:A,'[1]DATOS PBI Artículos'!C:C)</f>
        <v>UA02</v>
      </c>
      <c r="D126" s="33">
        <f>_xlfn.XLOOKUP(A126,'[1]DATOS PBI Artículos'!A:A,'[1]DATOS PBI Artículos'!T:T)</f>
        <v>2</v>
      </c>
      <c r="E126" s="34">
        <f>IF(_xlfn.XLOOKUP($A126,'[1]DATOS PBI Artículos'!A:A,'[1]DATOS PBI Artículos'!AK:AK)="",_xlfn.XLOOKUP($A126,'[1]DATOS PBI Artículos'!A:A,'[1]DATOS PBI Artículos'!AJ:AJ),_xlfn.XLOOKUP($A126,'[1]DATOS PBI Artículos'!A:A,'[1]DATOS PBI Artículos'!AK:AK))</f>
        <v>60000</v>
      </c>
      <c r="F126" s="35">
        <f>_xlfn.XLOOKUP($A126,'[1]DATOS PBI Artículos'!A:A,'[1]DATOS PBI Artículos'!AP:AP)</f>
        <v>37</v>
      </c>
      <c r="G126" s="34">
        <f>_xlfn.XLOOKUP($A126,'[1]DATOS PBI Artículos'!A:A,'[1]DATOS PBI Artículos'!AR:AR)</f>
        <v>30000</v>
      </c>
      <c r="H126" s="34">
        <f>_xlfn.XLOOKUP($A126,'[1]DATOS PBI Artículos'!A:A,'[1]DATOS PBI Artículos'!AT:AT)</f>
        <v>0</v>
      </c>
      <c r="I126" s="34">
        <f>_xlfn.XLOOKUP($A126,'[1]DATOS PBI Artículos'!A:A,'[1]DATOS PBI Artículos'!AS:AS)</f>
        <v>30000</v>
      </c>
      <c r="J126" s="35">
        <f>IF(COUNTIF([1]CRITERIOS!$F$179:$F$199,$A126)&gt;=1,
 IF(O126&lt;&gt;"",
    (O126/_xlfn.XLOOKUP(CONCATENATE(A126,L126),[1]MÁQUINAS!A:A,[1]MÁQUINAS!D:D))/24,
    (N126/_xlfn.XLOOKUP(CONCATENATE(A126,L126),[1]MÁQUINAS!A:A,[1]MÁQUINAS!D:D))/24),
  _xlfn.XLOOKUP($A126,'[1]DATOS PBI Artículos'!A:A,'[1]DATOS PBI Artículos'!AU:AU))</f>
        <v>25</v>
      </c>
      <c r="K126" s="36">
        <f>_xlfn.XLOOKUP($A126,'[1]DATOS PBI Artículos'!A:A,'[1]DATOS PBI Artículos'!AV:AV)</f>
        <v>3.2403703492039302</v>
      </c>
      <c r="L126" s="33">
        <f>_xlfn.XLOOKUP(A126,[1]MÁQUINAS!B:B,[1]MÁQUINAS!C:C)</f>
        <v>214</v>
      </c>
      <c r="M126" s="34">
        <f t="array" ref="M126">_xlfn.XLOOKUP(A126,'[1]DATOS PBI Artículos'!A:A,'[1]DATOS PBI Artículos'!AX:$AX)</f>
        <v>34719.65718354367</v>
      </c>
      <c r="N126" s="37">
        <f>IF(I126="DV",
E126,
IF(COUNTIF([1]CRITERIOS!$I$179:$I$199,$A126)&gt;=1,
_xlfn.XLOOKUP($A126,[1]CRITERIOS!$I$179:$I$199,[1]CRITERIOS!$J$179:$J$199),
IF(COUNTIF([1]CRITERIOS!$L$179:$L$199,$A126)&gt;=1,
_xlfn.CEILING.MATH(IF($M126&gt;$E126,
$E126,
IF($M126&lt;$E126/ROUNDDOWN([1]CRITERIOS!$M$16/_xlfn.XLOOKUP($C126,[1]CRITERIOS!$K$25:$K$42,[1]CRITERIOS!$M$25:$M$42),
1),
E126/ROUNDDOWN([1]CRITERIOS!$M$16/_xlfn.XLOOKUP($C126,[1]CRITERIOS!$K$25:$K$42,[1]CRITERIOS!$M$25:$M$42),
1),
$M126)),
_xlfn.XLOOKUP($A126,[1]CRITERIOS!$L$179:$L$200,[1]CRITERIOS!$M$179:$M$200)),
_xlfn.CEILING.MATH(IF($M126&gt;$E126,
$E126,
IF($M126&lt;$E126/ROUNDDOWN([1]CRITERIOS!$M$16/_xlfn.XLOOKUP($C126,[1]CRITERIOS!$K$25:$K$42,[1]CRITERIOS!$M$25:$M$42),
1),
E126/ROUNDDOWN([1]CRITERIOS!$M$16/_xlfn.XLOOKUP($C126,[1]CRITERIOS!$K$25:$K$42,[1]CRITERIOS!$M$25:$M$42),
1),
$M126)),_xlfn.XLOOKUP(A126,'[1]DATOS PBI Artículos'!A:A,'[1]DATOS PBI Artículos'!Z:Z
)))))</f>
        <v>40000</v>
      </c>
      <c r="Q126" s="38">
        <f>IF(AND(O126="",N126=0),
0,
   IF(COUNTIF([1]CRITERIOS!$F$179:$F$199,$A126)&gt;=1,
   1,
   IF(R126="MTO",
      $D126,
      ROUNDUP(
                    IF(($E126-SUMIF('[1]DATOS PBI Artículos'!A:A,A126,'[1]DATOS PBI Artículos'!X:X)+($V126-_xlfn.XLOOKUP(A126,'[1]DATOS PBI Artículos'!A:A,'[1]DATOS PBI Artículos'!W:W)))&lt;0,
                    0,
                    IF(($E126-SUMIF('[1]DATOS PBI Artículos'!A:A,A126,'[1]DATOS PBI Artículos'!X:X)+$V126-_xlfn.XLOOKUP($A126,'[1]DATOS PBI Artículos'!A:A,'[1]DATOS PBI Artículos'!W:W))/IF($O126="",$N126,$O126)&gt;ROUNDUP([1]CRITERIOS!$M$16/(IF(COUNTIF([1]CRITERIOS!$BG$11:$BG$201,L126)&gt;=1,_xlfn.XLOOKUP($C126,[1]CRITERIOS!$K$25:$K$42,[1]CRITERIOS!$M$25:$M$42),_xlfn.XLOOKUP($C126,[1]CRITERIOS!$K$25:$K$42,[1]CRITERIOS!$M$25:$M$42))),0),
                    ROUNDUP([1]CRITERIOS!$M$16/(IF(COUNTIF([1]CRITERIOS!$BG$11:$BG$201,$L126)&gt;=1,_xlfn.XLOOKUP($C126,[1]CRITERIOS!$K$25:$K$42,[1]CRITERIOS!$M$25:$M$42),_xlfn.XLOOKUP($C126,[1]CRITERIOS!$K$25:$K$42,[1]CRITERIOS!$M$25:$M$42))),0),
                    (E126+V126-SUMIF('[1]DATOS PBI Artículos'!A:A,A126,'[1]DATOS PBI Artículos'!X:X)-_xlfn.XLOOKUP(A126,'[1]DATOS PBI Artículos'!A:A,'[1]DATOS PBI Artículos'!W:W))/IF($O126="",$N126,$O126))),0))))</f>
        <v>2</v>
      </c>
      <c r="R126" s="33" t="str">
        <f>IF(U126&lt;&gt;"",U126,IF(F126="DV","MTO",IF(N126=0,"MTO",_xlfn.XLOOKUP(CONCATENATE(S126,T126),[1]CRITERIOS!$K$160:$K$168,[1]CRITERIOS!$N$160:$N$168))))</f>
        <v>MTO</v>
      </c>
      <c r="S126" s="33" t="str">
        <f>IF(G126="DV","MTO",IF(N126=0,"MTO",IF(OR(AND(N126=0,O126=""),IF(O126="",G126/N126,G126/O126)&gt;[1]CRITERIOS!$G$163),"MTO",IF(IF(O126="",G126/N126,G126/O126)&lt;[1]CRITERIOS!$H$161,"MTS","MTOS"))))</f>
        <v>MTOS</v>
      </c>
      <c r="T126" s="33" t="str">
        <f>IF(F126="DV","MTO",IF(OR(AND($N126=0,O126=""),$F126/$J126&gt;[1]CRITERIOS!$G$170,$F126="DV"),"MTO",IF($F126/$J126&lt;[1]CRITERIOS!$H$168,"MTS","MTOS")))</f>
        <v>MTO</v>
      </c>
      <c r="V126" s="34" t="str">
        <f t="shared" si="7"/>
        <v/>
      </c>
      <c r="X126" s="34">
        <f t="shared" si="5"/>
        <v>0</v>
      </c>
      <c r="Y126" s="34">
        <f t="shared" si="6"/>
        <v>0</v>
      </c>
      <c r="Z126" s="34">
        <f>IF($R126="MTO",
0,
($H126+$K126*($E126/[1]CRITERIOS!$M$16))/[1]CRITERIOS!$X$48)</f>
        <v>0</v>
      </c>
      <c r="AA126" s="34" t="e">
        <f>ROUNDUP(($Y126/_xlfn.XLOOKUP($A126,'[1]DATOS PBI Artículos'!$A$4:$A$4,'[1]DATOS PBI Artículos'!$Z$4:$Z$4))/_xlfn.XLOOKUP(_xlfn.XLOOKUP($A126,'[1]DATOS PBI Artículos'!$A$4:$A$4,'[1]DATOS PBI Artículos'!$Y$4:$Y$4),[1]CRITERIOS!$P$79:$P$123,[1]CRITERIOS!$S$79:$S$123,),0)</f>
        <v>#N/A</v>
      </c>
      <c r="AB126" s="33" t="e">
        <f t="array" ref="AB126">IF((E126+V126-_xlfn.XLOOKUP(A126,'[1]DATOS PBI Artículos'!$A$4:$A$4,'[1]DATOS PBI Artículos'!$W$4:$W$4))/N126&gt;ROUNDUP([1]CRITERIOS!$M$16/(IF(COUNTIF([1]CRITERIOS!$BG$11:$BG$201,L126)&gt;=1,_xlfn.XLOOKUP(ARTÍCULOS!L126,[1]CRITERIOS!$BG$11:$BG$201,[1]CRITERIOS!$BJ$11:$BJ$201),_xlfn.XLOOKUP(ARTÍCULOS!C126,[1]CRITERIOS!$K$25:$K$42,[1]CRITERIOS!$M$25:$M$42))),0),ROUNDUP([1]CRITERIOS!$M$16/(IF(COUNTIF([1]CRITERIOS!$BG$11:$BG$201,L126)&gt;=1,_xlfn.XLOOKUP(ARTÍCULOS!L126,[1]CRITERIOS!$BG$11:$BG$201:#REF!,[1]CRITERIOS!$BJ$11:$BJ$201),_xlfn.XLOOKUP(ARTÍCULOS!C126,[1]CRITERIOS!$K$25:$K$42,[1]CRITERIOS!$M$25:$M$42))),0),(E126+V126-_xlfn.XLOOKUP(A126,'[1]DATOS PBI Artículos'!$A$4:$A$4,'[1]DATOS PBI Artículos'!$W$4:$W$4))/N126)</f>
        <v>#VALUE!</v>
      </c>
      <c r="AC126" s="33" t="e">
        <f>IF(N126=0,"",(ROUNDUP((N126/2)/(_xlfn.XLOOKUP(A126,'[1]DATOS PBI Artículos'!$A$4:$A$4,'[1]DATOS PBI Artículos'!$Z$4:$Z$4)*_xlfn.XLOOKUP(_xlfn.XLOOKUP(A126,'[1]DATOS PBI Artículos'!$A$4:$A$4,'[1]DATOS PBI Artículos'!$Y$4:$Y$4),[1]CRITERIOS!$P$79:$P$123,[1]CRITERIOS!$S$79:$S$123)),0)*[1]CRITERIOS!$M$80*([1]CRITERIOS!$M$110/[1]CRITERIOS!$M$86)+(_xlfn.XLOOKUP(A126,'[1]DATOS PBI Artículos'!$A$4:$A$4,'[1]DATOS PBI Artículos'!$AA$4:$AA$4)*([1]CRITERIOS!$M$95+[1]CRITERIOS!$M$98)))/N126)</f>
        <v>#N/A</v>
      </c>
      <c r="AD126" s="33" t="e">
        <f>IF(N126=0,"",(ROUNDUP((N126/2)/(_xlfn.XLOOKUP(A126,'[1]DATOS PBI Artículos'!$A$4:$A$4,'[1]DATOS PBI Artículos'!$Z$4:$Z$4)*_xlfn.XLOOKUP(_xlfn.XLOOKUP(A126,'[1]DATOS PBI Artículos'!$A$4:$A$4,'[1]DATOS PBI Artículos'!$Y$4:$Y$4),[1]CRITERIOS!$P$79:$P$123,[1]CRITERIOS!$S$79:$S$123)),0)*[1]CRITERIOS!$M$80*([1]CRITERIOS!$M$89*[1]CRITERIOS!$M$92)+((_xlfn.XLOOKUP(A126,'[1]DATOS PBI Artículos'!$A$4:$A$4,'[1]DATOS PBI Artículos'!$AA$4:$AA$4)/2)*([1]CRITERIOS!$M$95+[1]CRITERIOS!$M$98)))/N126)</f>
        <v>#N/A</v>
      </c>
      <c r="AE126" s="39" t="str">
        <f>IF($R126="MTO","",
IF($H126=0,ROUNDUP(((_xlfn.XLOOKUP($A126,'[1]DATOS PBI Artículos'!$A:$A,'[1]DATOS PBI Artículos'!$AL:$AL))/(_xlfn.XLOOKUP($AF$1,[1]CRITERIOS!$S$16:$S$39,[1]CRITERIOS!$Y$16:$Y$39))*$J126+$Z126)/$G126,0)*$G126,
((_xlfn.XLOOKUP($A126,'[1]DATOS PBI Artículos'!$A:$A,'[1]DATOS PBI Artículos'!$AL:$AL))/(_xlfn.XLOOKUP($AF$1,[1]CRITERIOS!$S$16:$S$39,[1]CRITERIOS!$Y$16:$Y$39))*$J126+$Z126)))</f>
        <v/>
      </c>
      <c r="AG126" s="39" t="str">
        <f>IF($R126="MTO","",
IF($H126=0,ROUNDUP(((_xlfn.XLOOKUP($A126,'[1]DATOS PBI Artículos'!$A:$A,'[1]DATOS PBI Artículos'!$AM:$AM))/(_xlfn.XLOOKUP($AH$1,[1]CRITERIOS!$S$16:$S$39,[1]CRITERIOS!$Y$16:$Y$39))*$J126+$Z126)/$G126,0)*$G126,
((_xlfn.XLOOKUP($A126,'[1]DATOS PBI Artículos'!$A:$A,'[1]DATOS PBI Artículos'!$AM:$AM))/(_xlfn.XLOOKUP($AH$1,[1]CRITERIOS!$S$16:$S$39,[1]CRITERIOS!$Y$16:$Y$39))*$J126+$Z126)))</f>
        <v/>
      </c>
      <c r="AI126" s="39" t="str">
        <f>IF($R126="MTO","",
IF($H126=0,ROUNDUP(((_xlfn.XLOOKUP($A126,'[1]DATOS PBI Artículos'!$A:$A,'[1]DATOS PBI Artículos'!$AN:$AN))/(_xlfn.XLOOKUP($AJ$1,[1]CRITERIOS!$S$16:$S$39,[1]CRITERIOS!$Y$16:$Y$39))*$J126+$Z126)/$G126,0)*$G126,
((_xlfn.XLOOKUP($A126,'[1]DATOS PBI Artículos'!$A:$A,'[1]DATOS PBI Artículos'!$AN:$AN))/(_xlfn.XLOOKUP($AJ$1,[1]CRITERIOS!$S$16:$S$39,[1]CRITERIOS!$Y$16:$Y$39))*$J126+$Z126)))</f>
        <v/>
      </c>
      <c r="AK126" s="39" t="str">
        <f>IF($R126="MTO","",
IF($H126=0,ROUNDUP(((_xlfn.XLOOKUP($A126,'[1]DATOS PBI Artículos'!$A:$A,'[1]DATOS PBI Artículos'!$AO:$AO))/(_xlfn.XLOOKUP($AL$1,[1]CRITERIOS!$S$16:$S$39,[1]CRITERIOS!$Y$16:$Y$39))*$J126+$Z126)/$G126,0)*$G126,
((_xlfn.XLOOKUP($A126,'[1]DATOS PBI Artículos'!$A:$A,'[1]DATOS PBI Artículos'!$AO:$AO))/(_xlfn.XLOOKUP($AL$1,[1]CRITERIOS!$S$16:$S$39,[1]CRITERIOS!$Y$16:$Y$39))*$J126+$Z126)))</f>
        <v/>
      </c>
    </row>
    <row r="127" spans="1:37" ht="25.8" x14ac:dyDescent="0.5">
      <c r="A127" s="32">
        <v>420324</v>
      </c>
      <c r="B127" s="33">
        <f>_xlfn.XLOOKUP($A127,'[1]DATOS PBI Artículos'!A:A,'[1]DATOS PBI Artículos'!B:B)</f>
        <v>0</v>
      </c>
      <c r="C127" s="33" t="str">
        <f>_xlfn.XLOOKUP($A127,'[1]DATOS PBI Artículos'!A:A,'[1]DATOS PBI Artículos'!C:C)</f>
        <v>UA01</v>
      </c>
      <c r="D127" s="33">
        <f>_xlfn.XLOOKUP(A127,'[1]DATOS PBI Artículos'!A:A,'[1]DATOS PBI Artículos'!T:T)</f>
        <v>1</v>
      </c>
      <c r="E127" s="34">
        <f>IF(_xlfn.XLOOKUP($A127,'[1]DATOS PBI Artículos'!A:A,'[1]DATOS PBI Artículos'!AK:AK)="",_xlfn.XLOOKUP($A127,'[1]DATOS PBI Artículos'!A:A,'[1]DATOS PBI Artículos'!AJ:AJ),_xlfn.XLOOKUP($A127,'[1]DATOS PBI Artículos'!A:A,'[1]DATOS PBI Artículos'!AK:AK))</f>
        <v>60000</v>
      </c>
      <c r="F127" s="35">
        <f>_xlfn.XLOOKUP($A127,'[1]DATOS PBI Artículos'!A:A,'[1]DATOS PBI Artículos'!AP:AP)</f>
        <v>75</v>
      </c>
      <c r="G127" s="34">
        <f>_xlfn.XLOOKUP($A127,'[1]DATOS PBI Artículos'!A:A,'[1]DATOS PBI Artículos'!AR:AR)</f>
        <v>60000</v>
      </c>
      <c r="H127" s="34">
        <f>_xlfn.XLOOKUP($A127,'[1]DATOS PBI Artículos'!A:A,'[1]DATOS PBI Artículos'!AT:AT)</f>
        <v>0</v>
      </c>
      <c r="I127" s="34">
        <f>_xlfn.XLOOKUP($A127,'[1]DATOS PBI Artículos'!A:A,'[1]DATOS PBI Artículos'!AS:AS)</f>
        <v>60000</v>
      </c>
      <c r="J127" s="35">
        <f>IF(COUNTIF([1]CRITERIOS!$F$179:$F$199,$A127)&gt;=1,
 IF(O127&lt;&gt;"",
    (O127/_xlfn.XLOOKUP(CONCATENATE(A127,L127),[1]MÁQUINAS!A:A,[1]MÁQUINAS!D:D))/24,
    (N127/_xlfn.XLOOKUP(CONCATENATE(A127,L127),[1]MÁQUINAS!A:A,[1]MÁQUINAS!D:D))/24),
  _xlfn.XLOOKUP($A127,'[1]DATOS PBI Artículos'!A:A,'[1]DATOS PBI Artículos'!AU:AU))</f>
        <v>49.333333333333336</v>
      </c>
      <c r="K127" s="36">
        <f>_xlfn.XLOOKUP($A127,'[1]DATOS PBI Artículos'!A:A,'[1]DATOS PBI Artículos'!AV:AV)</f>
        <v>10.969655114602896</v>
      </c>
      <c r="L127" s="33">
        <f>_xlfn.XLOOKUP(A127,[1]MÁQUINAS!B:B,[1]MÁQUINAS!C:C)</f>
        <v>504</v>
      </c>
      <c r="M127" s="34">
        <f t="array" ref="M127">_xlfn.XLOOKUP(A127,'[1]DATOS PBI Artículos'!A:A,'[1]DATOS PBI Artículos'!AX:$AX)</f>
        <v>88666.726787463922</v>
      </c>
      <c r="N127" s="37">
        <f>IF(I127="DV",
E127,
IF(COUNTIF([1]CRITERIOS!$I$179:$I$199,$A127)&gt;=1,
_xlfn.XLOOKUP($A127,[1]CRITERIOS!$I$179:$I$199,[1]CRITERIOS!$J$179:$J$199),
IF(COUNTIF([1]CRITERIOS!$L$179:$L$199,$A127)&gt;=1,
_xlfn.CEILING.MATH(IF($M127&gt;$E127,
$E127,
IF($M127&lt;$E127/ROUNDDOWN([1]CRITERIOS!$M$16/_xlfn.XLOOKUP($C127,[1]CRITERIOS!$K$25:$K$42,[1]CRITERIOS!$M$25:$M$42),
1),
E127/ROUNDDOWN([1]CRITERIOS!$M$16/_xlfn.XLOOKUP($C127,[1]CRITERIOS!$K$25:$K$42,[1]CRITERIOS!$M$25:$M$42),
1),
$M127)),
_xlfn.XLOOKUP($A127,[1]CRITERIOS!$L$179:$L$200,[1]CRITERIOS!$M$179:$M$200)),
_xlfn.CEILING.MATH(IF($M127&gt;$E127,
$E127,
IF($M127&lt;$E127/ROUNDDOWN([1]CRITERIOS!$M$16/_xlfn.XLOOKUP($C127,[1]CRITERIOS!$K$25:$K$42,[1]CRITERIOS!$M$25:$M$42),
1),
E127/ROUNDDOWN([1]CRITERIOS!$M$16/_xlfn.XLOOKUP($C127,[1]CRITERIOS!$K$25:$K$42,[1]CRITERIOS!$M$25:$M$42),
1),
$M127)),_xlfn.XLOOKUP(A127,'[1]DATOS PBI Artículos'!A:A,'[1]DATOS PBI Artículos'!Z:Z
)))))</f>
        <v>60000</v>
      </c>
      <c r="Q127" s="38">
        <f>IF(AND(O127="",N127=0),
0,
   IF(COUNTIF([1]CRITERIOS!$F$179:$F$199,$A127)&gt;=1,
   1,
   IF(R127="MTO",
      $D127,
      ROUNDUP(
                    IF(($E127-SUMIF('[1]DATOS PBI Artículos'!A:A,A127,'[1]DATOS PBI Artículos'!X:X)+($V127-_xlfn.XLOOKUP(A127,'[1]DATOS PBI Artículos'!A:A,'[1]DATOS PBI Artículos'!W:W)))&lt;0,
                    0,
                    IF(($E127-SUMIF('[1]DATOS PBI Artículos'!A:A,A127,'[1]DATOS PBI Artículos'!X:X)+$V127-_xlfn.XLOOKUP($A127,'[1]DATOS PBI Artículos'!A:A,'[1]DATOS PBI Artículos'!W:W))/IF($O127="",$N127,$O127)&gt;ROUNDUP([1]CRITERIOS!$M$16/(IF(COUNTIF([1]CRITERIOS!$BG$11:$BG$201,L127)&gt;=1,_xlfn.XLOOKUP($C127,[1]CRITERIOS!$K$25:$K$42,[1]CRITERIOS!$M$25:$M$42),_xlfn.XLOOKUP($C127,[1]CRITERIOS!$K$25:$K$42,[1]CRITERIOS!$M$25:$M$42))),0),
                    ROUNDUP([1]CRITERIOS!$M$16/(IF(COUNTIF([1]CRITERIOS!$BG$11:$BG$201,$L127)&gt;=1,_xlfn.XLOOKUP($C127,[1]CRITERIOS!$K$25:$K$42,[1]CRITERIOS!$M$25:$M$42),_xlfn.XLOOKUP($C127,[1]CRITERIOS!$K$25:$K$42,[1]CRITERIOS!$M$25:$M$42))),0),
                    (E127+V127-SUMIF('[1]DATOS PBI Artículos'!A:A,A127,'[1]DATOS PBI Artículos'!X:X)-_xlfn.XLOOKUP(A127,'[1]DATOS PBI Artículos'!A:A,'[1]DATOS PBI Artículos'!W:W))/IF($O127="",$N127,$O127))),0))))</f>
        <v>1</v>
      </c>
      <c r="R127" s="33" t="str">
        <f>IF(U127&lt;&gt;"",U127,IF(F127="DV","MTO",IF(N127=0,"MTO",_xlfn.XLOOKUP(CONCATENATE(S127,T127),[1]CRITERIOS!$K$160:$K$168,[1]CRITERIOS!$N$160:$N$168))))</f>
        <v>MTO</v>
      </c>
      <c r="S127" s="33" t="str">
        <f>IF(G127="DV","MTO",IF(N127=0,"MTO",IF(OR(AND(N127=0,O127=""),IF(O127="",G127/N127,G127/O127)&gt;[1]CRITERIOS!$G$163),"MTO",IF(IF(O127="",G127/N127,G127/O127)&lt;[1]CRITERIOS!$H$161,"MTS","MTOS"))))</f>
        <v>MTO</v>
      </c>
      <c r="T127" s="33" t="str">
        <f>IF(F127="DV","MTO",IF(OR(AND($N127=0,O127=""),$F127/$J127&gt;[1]CRITERIOS!$G$170,$F127="DV"),"MTO",IF($F127/$J127&lt;[1]CRITERIOS!$H$168,"MTS","MTOS")))</f>
        <v>MTO</v>
      </c>
      <c r="V127" s="34" t="str">
        <f t="shared" si="7"/>
        <v/>
      </c>
      <c r="X127" s="34">
        <f t="shared" si="5"/>
        <v>0</v>
      </c>
      <c r="Y127" s="34">
        <f t="shared" si="6"/>
        <v>0</v>
      </c>
      <c r="Z127" s="34">
        <f>IF($R127="MTO",
0,
($H127+$K127*($E127/[1]CRITERIOS!$M$16))/[1]CRITERIOS!$X$48)</f>
        <v>0</v>
      </c>
      <c r="AA127" s="34" t="e">
        <f>ROUNDUP(($Y127/_xlfn.XLOOKUP($A127,'[1]DATOS PBI Artículos'!$A$4:$A$4,'[1]DATOS PBI Artículos'!$Z$4:$Z$4))/_xlfn.XLOOKUP(_xlfn.XLOOKUP($A127,'[1]DATOS PBI Artículos'!$A$4:$A$4,'[1]DATOS PBI Artículos'!$Y$4:$Y$4),[1]CRITERIOS!$P$79:$P$123,[1]CRITERIOS!$S$79:$S$123,),0)</f>
        <v>#N/A</v>
      </c>
      <c r="AB127" s="33" t="e">
        <f t="array" ref="AB127">IF((E127+V127-_xlfn.XLOOKUP(A127,'[1]DATOS PBI Artículos'!$A$4:$A$4,'[1]DATOS PBI Artículos'!$W$4:$W$4))/N127&gt;ROUNDUP([1]CRITERIOS!$M$16/(IF(COUNTIF([1]CRITERIOS!$BG$11:$BG$201,L127)&gt;=1,_xlfn.XLOOKUP(ARTÍCULOS!L127,[1]CRITERIOS!$BG$11:$BG$201,[1]CRITERIOS!$BJ$11:$BJ$201),_xlfn.XLOOKUP(ARTÍCULOS!C127,[1]CRITERIOS!$K$25:$K$42,[1]CRITERIOS!$M$25:$M$42))),0),ROUNDUP([1]CRITERIOS!$M$16/(IF(COUNTIF([1]CRITERIOS!$BG$11:$BG$201,L127)&gt;=1,_xlfn.XLOOKUP(ARTÍCULOS!L127,[1]CRITERIOS!$BG$11:$BG$201:#REF!,[1]CRITERIOS!$BJ$11:$BJ$201),_xlfn.XLOOKUP(ARTÍCULOS!C127,[1]CRITERIOS!$K$25:$K$42,[1]CRITERIOS!$M$25:$M$42))),0),(E127+V127-_xlfn.XLOOKUP(A127,'[1]DATOS PBI Artículos'!$A$4:$A$4,'[1]DATOS PBI Artículos'!$W$4:$W$4))/N127)</f>
        <v>#VALUE!</v>
      </c>
      <c r="AC127" s="33" t="e">
        <f>IF(N127=0,"",(ROUNDUP((N127/2)/(_xlfn.XLOOKUP(A127,'[1]DATOS PBI Artículos'!$A$4:$A$4,'[1]DATOS PBI Artículos'!$Z$4:$Z$4)*_xlfn.XLOOKUP(_xlfn.XLOOKUP(A127,'[1]DATOS PBI Artículos'!$A$4:$A$4,'[1]DATOS PBI Artículos'!$Y$4:$Y$4),[1]CRITERIOS!$P$79:$P$123,[1]CRITERIOS!$S$79:$S$123)),0)*[1]CRITERIOS!$M$80*([1]CRITERIOS!$M$110/[1]CRITERIOS!$M$86)+(_xlfn.XLOOKUP(A127,'[1]DATOS PBI Artículos'!$A$4:$A$4,'[1]DATOS PBI Artículos'!$AA$4:$AA$4)*([1]CRITERIOS!$M$95+[1]CRITERIOS!$M$98)))/N127)</f>
        <v>#N/A</v>
      </c>
      <c r="AD127" s="33" t="e">
        <f>IF(N127=0,"",(ROUNDUP((N127/2)/(_xlfn.XLOOKUP(A127,'[1]DATOS PBI Artículos'!$A$4:$A$4,'[1]DATOS PBI Artículos'!$Z$4:$Z$4)*_xlfn.XLOOKUP(_xlfn.XLOOKUP(A127,'[1]DATOS PBI Artículos'!$A$4:$A$4,'[1]DATOS PBI Artículos'!$Y$4:$Y$4),[1]CRITERIOS!$P$79:$P$123,[1]CRITERIOS!$S$79:$S$123)),0)*[1]CRITERIOS!$M$80*([1]CRITERIOS!$M$89*[1]CRITERIOS!$M$92)+((_xlfn.XLOOKUP(A127,'[1]DATOS PBI Artículos'!$A$4:$A$4,'[1]DATOS PBI Artículos'!$AA$4:$AA$4)/2)*([1]CRITERIOS!$M$95+[1]CRITERIOS!$M$98)))/N127)</f>
        <v>#N/A</v>
      </c>
      <c r="AE127" s="39" t="str">
        <f>IF($R127="MTO","",
IF($H127=0,ROUNDUP(((_xlfn.XLOOKUP($A127,'[1]DATOS PBI Artículos'!$A:$A,'[1]DATOS PBI Artículos'!$AL:$AL))/(_xlfn.XLOOKUP($AF$1,[1]CRITERIOS!$S$16:$S$39,[1]CRITERIOS!$Y$16:$Y$39))*$J127+$Z127)/$G127,0)*$G127,
((_xlfn.XLOOKUP($A127,'[1]DATOS PBI Artículos'!$A:$A,'[1]DATOS PBI Artículos'!$AL:$AL))/(_xlfn.XLOOKUP($AF$1,[1]CRITERIOS!$S$16:$S$39,[1]CRITERIOS!$Y$16:$Y$39))*$J127+$Z127)))</f>
        <v/>
      </c>
      <c r="AG127" s="39" t="str">
        <f>IF($R127="MTO","",
IF($H127=0,ROUNDUP(((_xlfn.XLOOKUP($A127,'[1]DATOS PBI Artículos'!$A:$A,'[1]DATOS PBI Artículos'!$AM:$AM))/(_xlfn.XLOOKUP($AH$1,[1]CRITERIOS!$S$16:$S$39,[1]CRITERIOS!$Y$16:$Y$39))*$J127+$Z127)/$G127,0)*$G127,
((_xlfn.XLOOKUP($A127,'[1]DATOS PBI Artículos'!$A:$A,'[1]DATOS PBI Artículos'!$AM:$AM))/(_xlfn.XLOOKUP($AH$1,[1]CRITERIOS!$S$16:$S$39,[1]CRITERIOS!$Y$16:$Y$39))*$J127+$Z127)))</f>
        <v/>
      </c>
      <c r="AI127" s="39" t="str">
        <f>IF($R127="MTO","",
IF($H127=0,ROUNDUP(((_xlfn.XLOOKUP($A127,'[1]DATOS PBI Artículos'!$A:$A,'[1]DATOS PBI Artículos'!$AN:$AN))/(_xlfn.XLOOKUP($AJ$1,[1]CRITERIOS!$S$16:$S$39,[1]CRITERIOS!$Y$16:$Y$39))*$J127+$Z127)/$G127,0)*$G127,
((_xlfn.XLOOKUP($A127,'[1]DATOS PBI Artículos'!$A:$A,'[1]DATOS PBI Artículos'!$AN:$AN))/(_xlfn.XLOOKUP($AJ$1,[1]CRITERIOS!$S$16:$S$39,[1]CRITERIOS!$Y$16:$Y$39))*$J127+$Z127)))</f>
        <v/>
      </c>
      <c r="AK127" s="39" t="str">
        <f>IF($R127="MTO","",
IF($H127=0,ROUNDUP(((_xlfn.XLOOKUP($A127,'[1]DATOS PBI Artículos'!$A:$A,'[1]DATOS PBI Artículos'!$AO:$AO))/(_xlfn.XLOOKUP($AL$1,[1]CRITERIOS!$S$16:$S$39,[1]CRITERIOS!$Y$16:$Y$39))*$J127+$Z127)/$G127,0)*$G127,
((_xlfn.XLOOKUP($A127,'[1]DATOS PBI Artículos'!$A:$A,'[1]DATOS PBI Artículos'!$AO:$AO))/(_xlfn.XLOOKUP($AL$1,[1]CRITERIOS!$S$16:$S$39,[1]CRITERIOS!$Y$16:$Y$39))*$J127+$Z127)))</f>
        <v/>
      </c>
    </row>
    <row r="128" spans="1:37" ht="25.8" x14ac:dyDescent="0.5">
      <c r="A128" s="32">
        <v>453516</v>
      </c>
      <c r="B128" s="33">
        <f>_xlfn.XLOOKUP($A128,'[1]DATOS PBI Artículos'!A:A,'[1]DATOS PBI Artículos'!B:B)</f>
        <v>0</v>
      </c>
      <c r="C128" s="33" t="str">
        <f>_xlfn.XLOOKUP($A128,'[1]DATOS PBI Artículos'!A:A,'[1]DATOS PBI Artículos'!C:C)</f>
        <v>UA03</v>
      </c>
      <c r="D128" s="33">
        <f>_xlfn.XLOOKUP(A128,'[1]DATOS PBI Artículos'!A:A,'[1]DATOS PBI Artículos'!T:T)</f>
        <v>4</v>
      </c>
      <c r="E128" s="34">
        <f>IF(_xlfn.XLOOKUP($A128,'[1]DATOS PBI Artículos'!A:A,'[1]DATOS PBI Artículos'!AK:AK)="",_xlfn.XLOOKUP($A128,'[1]DATOS PBI Artículos'!A:A,'[1]DATOS PBI Artículos'!AJ:AJ),_xlfn.XLOOKUP($A128,'[1]DATOS PBI Artículos'!A:A,'[1]DATOS PBI Artículos'!AK:AK))</f>
        <v>60000</v>
      </c>
      <c r="F128" s="35">
        <f>_xlfn.XLOOKUP($A128,'[1]DATOS PBI Artículos'!A:A,'[1]DATOS PBI Artículos'!AP:AP)</f>
        <v>18</v>
      </c>
      <c r="G128" s="34">
        <f>_xlfn.XLOOKUP($A128,'[1]DATOS PBI Artículos'!A:A,'[1]DATOS PBI Artículos'!AR:AR)</f>
        <v>12000</v>
      </c>
      <c r="H128" s="34">
        <f>_xlfn.XLOOKUP($A128,'[1]DATOS PBI Artículos'!A:A,'[1]DATOS PBI Artículos'!AT:AT)</f>
        <v>6000</v>
      </c>
      <c r="I128" s="34">
        <f>_xlfn.XLOOKUP($A128,'[1]DATOS PBI Artículos'!A:A,'[1]DATOS PBI Artículos'!AS:AS)</f>
        <v>12000</v>
      </c>
      <c r="J128" s="35">
        <f>IF(COUNTIF([1]CRITERIOS!$F$179:$F$199,$A128)&gt;=1,
 IF(O128&lt;&gt;"",
    (O128/_xlfn.XLOOKUP(CONCATENATE(A128,L128),[1]MÁQUINAS!A:A,[1]MÁQUINAS!D:D))/24,
    (N128/_xlfn.XLOOKUP(CONCATENATE(A128,L128),[1]MÁQUINAS!A:A,[1]MÁQUINAS!D:D))/24),
  _xlfn.XLOOKUP($A128,'[1]DATOS PBI Artículos'!A:A,'[1]DATOS PBI Artículos'!AU:AU))</f>
        <v>14.333333333333332</v>
      </c>
      <c r="K128" s="36">
        <f>_xlfn.XLOOKUP($A128,'[1]DATOS PBI Artículos'!A:A,'[1]DATOS PBI Artículos'!AV:AV)</f>
        <v>0.57735026918962473</v>
      </c>
      <c r="L128" s="33">
        <f>_xlfn.XLOOKUP(A128,[1]MÁQUINAS!B:B,[1]MÁQUINAS!C:C)</f>
        <v>142</v>
      </c>
      <c r="M128" s="34">
        <f t="array" ref="M128">_xlfn.XLOOKUP(A128,'[1]DATOS PBI Artículos'!A:A,'[1]DATOS PBI Artículos'!AX:$AX)</f>
        <v>26662.029326681142</v>
      </c>
      <c r="N128" s="37">
        <f>IF(I128="DV",
E128,
IF(COUNTIF([1]CRITERIOS!$I$179:$I$199,$A128)&gt;=1,
_xlfn.XLOOKUP($A128,[1]CRITERIOS!$I$179:$I$199,[1]CRITERIOS!$J$179:$J$199),
IF(COUNTIF([1]CRITERIOS!$L$179:$L$199,$A128)&gt;=1,
_xlfn.CEILING.MATH(IF($M128&gt;$E128,
$E128,
IF($M128&lt;$E128/ROUNDDOWN([1]CRITERIOS!$M$16/_xlfn.XLOOKUP($C128,[1]CRITERIOS!$K$25:$K$42,[1]CRITERIOS!$M$25:$M$42),
1),
E128/ROUNDDOWN([1]CRITERIOS!$M$16/_xlfn.XLOOKUP($C128,[1]CRITERIOS!$K$25:$K$42,[1]CRITERIOS!$M$25:$M$42),
1),
$M128)),
_xlfn.XLOOKUP($A128,[1]CRITERIOS!$L$179:$L$200,[1]CRITERIOS!$M$179:$M$200)),
_xlfn.CEILING.MATH(IF($M128&gt;$E128,
$E128,
IF($M128&lt;$E128/ROUNDDOWN([1]CRITERIOS!$M$16/_xlfn.XLOOKUP($C128,[1]CRITERIOS!$K$25:$K$42,[1]CRITERIOS!$M$25:$M$42),
1),
E128/ROUNDDOWN([1]CRITERIOS!$M$16/_xlfn.XLOOKUP($C128,[1]CRITERIOS!$K$25:$K$42,[1]CRITERIOS!$M$25:$M$42),
1),
$M128)),_xlfn.XLOOKUP(A128,'[1]DATOS PBI Artículos'!A:A,'[1]DATOS PBI Artículos'!Z:Z
)))))</f>
        <v>30000</v>
      </c>
      <c r="Q128" s="38">
        <f>IF(AND(O128="",N128=0),
0,
   IF(COUNTIF([1]CRITERIOS!$F$179:$F$199,$A128)&gt;=1,
   1,
   IF(R128="MTO",
      $D128,
      ROUNDUP(
                    IF(($E128-SUMIF('[1]DATOS PBI Artículos'!A:A,A128,'[1]DATOS PBI Artículos'!X:X)+($V128-_xlfn.XLOOKUP(A128,'[1]DATOS PBI Artículos'!A:A,'[1]DATOS PBI Artículos'!W:W)))&lt;0,
                    0,
                    IF(($E128-SUMIF('[1]DATOS PBI Artículos'!A:A,A128,'[1]DATOS PBI Artículos'!X:X)+$V128-_xlfn.XLOOKUP($A128,'[1]DATOS PBI Artículos'!A:A,'[1]DATOS PBI Artículos'!W:W))/IF($O128="",$N128,$O128)&gt;ROUNDUP([1]CRITERIOS!$M$16/(IF(COUNTIF([1]CRITERIOS!$BG$11:$BG$201,L128)&gt;=1,_xlfn.XLOOKUP($C128,[1]CRITERIOS!$K$25:$K$42,[1]CRITERIOS!$M$25:$M$42),_xlfn.XLOOKUP($C128,[1]CRITERIOS!$K$25:$K$42,[1]CRITERIOS!$M$25:$M$42))),0),
                    ROUNDUP([1]CRITERIOS!$M$16/(IF(COUNTIF([1]CRITERIOS!$BG$11:$BG$201,$L128)&gt;=1,_xlfn.XLOOKUP($C128,[1]CRITERIOS!$K$25:$K$42,[1]CRITERIOS!$M$25:$M$42),_xlfn.XLOOKUP($C128,[1]CRITERIOS!$K$25:$K$42,[1]CRITERIOS!$M$25:$M$42))),0),
                    (E128+V128-SUMIF('[1]DATOS PBI Artículos'!A:A,A128,'[1]DATOS PBI Artículos'!X:X)-_xlfn.XLOOKUP(A128,'[1]DATOS PBI Artículos'!A:A,'[1]DATOS PBI Artículos'!W:W))/IF($O128="",$N128,$O128))),0))))</f>
        <v>1</v>
      </c>
      <c r="R128" s="33" t="str">
        <f>IF(U128&lt;&gt;"",U128,IF(F128="DV","MTO",IF(N128=0,"MTO",_xlfn.XLOOKUP(CONCATENATE(S128,T128),[1]CRITERIOS!$K$160:$K$168,[1]CRITERIOS!$N$160:$N$168))))</f>
        <v>MTS</v>
      </c>
      <c r="S128" s="33" t="str">
        <f>IF(G128="DV","MTO",IF(N128=0,"MTO",IF(OR(AND(N128=0,O128=""),IF(O128="",G128/N128,G128/O128)&gt;[1]CRITERIOS!$G$163),"MTO",IF(IF(O128="",G128/N128,G128/O128)&lt;[1]CRITERIOS!$H$161,"MTS","MTOS"))))</f>
        <v>MTS</v>
      </c>
      <c r="T128" s="33" t="str">
        <f>IF(F128="DV","MTO",IF(OR(AND($N128=0,O128=""),$F128/$J128&gt;[1]CRITERIOS!$G$170,$F128="DV"),"MTO",IF($F128/$J128&lt;[1]CRITERIOS!$H$168,"MTS","MTOS")))</f>
        <v>MTO</v>
      </c>
      <c r="V128" s="34">
        <f t="shared" si="7"/>
        <v>14940.455735015305</v>
      </c>
      <c r="X128" s="34">
        <f t="shared" si="5"/>
        <v>44940.455735015305</v>
      </c>
      <c r="Y128" s="34">
        <f t="shared" si="6"/>
        <v>20384.90017945975</v>
      </c>
      <c r="Z128" s="34">
        <f>IF($R128="MTO",
0,
($H128+$K128*($E128/[1]CRITERIOS!$M$16))/[1]CRITERIOS!$X$48)</f>
        <v>5384.9001794597498</v>
      </c>
      <c r="AA128" s="34" t="e">
        <f>ROUNDUP(($Y128/_xlfn.XLOOKUP($A128,'[1]DATOS PBI Artículos'!$A$4:$A$4,'[1]DATOS PBI Artículos'!$Z$4:$Z$4))/_xlfn.XLOOKUP(_xlfn.XLOOKUP($A128,'[1]DATOS PBI Artículos'!$A$4:$A$4,'[1]DATOS PBI Artículos'!$Y$4:$Y$4),[1]CRITERIOS!$P$79:$P$123,[1]CRITERIOS!$S$79:$S$123,),0)</f>
        <v>#N/A</v>
      </c>
      <c r="AB128" s="33" t="e">
        <f t="array" ref="AB128">IF((E128+V128-_xlfn.XLOOKUP(A128,'[1]DATOS PBI Artículos'!$A$4:$A$4,'[1]DATOS PBI Artículos'!$W$4:$W$4))/N128&gt;ROUNDUP([1]CRITERIOS!$M$16/(IF(COUNTIF([1]CRITERIOS!$BG$11:$BG$201,L128)&gt;=1,_xlfn.XLOOKUP(ARTÍCULOS!L128,[1]CRITERIOS!$BG$11:$BG$201,[1]CRITERIOS!$BJ$11:$BJ$201),_xlfn.XLOOKUP(ARTÍCULOS!C128,[1]CRITERIOS!$K$25:$K$42,[1]CRITERIOS!$M$25:$M$42))),0),ROUNDUP([1]CRITERIOS!$M$16/(IF(COUNTIF([1]CRITERIOS!$BG$11:$BG$201,L128)&gt;=1,_xlfn.XLOOKUP(ARTÍCULOS!L128,[1]CRITERIOS!$BG$11:$BG$201:#REF!,[1]CRITERIOS!$BJ$11:$BJ$201),_xlfn.XLOOKUP(ARTÍCULOS!C128,[1]CRITERIOS!$K$25:$K$42,[1]CRITERIOS!$M$25:$M$42))),0),(E128+V128-_xlfn.XLOOKUP(A128,'[1]DATOS PBI Artículos'!$A$4:$A$4,'[1]DATOS PBI Artículos'!$W$4:$W$4))/N128)</f>
        <v>#N/A</v>
      </c>
      <c r="AC128" s="33" t="e">
        <f>IF(N128=0,"",(ROUNDUP((N128/2)/(_xlfn.XLOOKUP(A128,'[1]DATOS PBI Artículos'!$A$4:$A$4,'[1]DATOS PBI Artículos'!$Z$4:$Z$4)*_xlfn.XLOOKUP(_xlfn.XLOOKUP(A128,'[1]DATOS PBI Artículos'!$A$4:$A$4,'[1]DATOS PBI Artículos'!$Y$4:$Y$4),[1]CRITERIOS!$P$79:$P$123,[1]CRITERIOS!$S$79:$S$123)),0)*[1]CRITERIOS!$M$80*([1]CRITERIOS!$M$110/[1]CRITERIOS!$M$86)+(_xlfn.XLOOKUP(A128,'[1]DATOS PBI Artículos'!$A$4:$A$4,'[1]DATOS PBI Artículos'!$AA$4:$AA$4)*([1]CRITERIOS!$M$95+[1]CRITERIOS!$M$98)))/N128)</f>
        <v>#N/A</v>
      </c>
      <c r="AD128" s="33" t="e">
        <f>IF(N128=0,"",(ROUNDUP((N128/2)/(_xlfn.XLOOKUP(A128,'[1]DATOS PBI Artículos'!$A$4:$A$4,'[1]DATOS PBI Artículos'!$Z$4:$Z$4)*_xlfn.XLOOKUP(_xlfn.XLOOKUP(A128,'[1]DATOS PBI Artículos'!$A$4:$A$4,'[1]DATOS PBI Artículos'!$Y$4:$Y$4),[1]CRITERIOS!$P$79:$P$123,[1]CRITERIOS!$S$79:$S$123)),0)*[1]CRITERIOS!$M$80*([1]CRITERIOS!$M$89*[1]CRITERIOS!$M$92)+((_xlfn.XLOOKUP(A128,'[1]DATOS PBI Artículos'!$A$4:$A$4,'[1]DATOS PBI Artículos'!$AA$4:$AA$4)/2)*([1]CRITERIOS!$M$95+[1]CRITERIOS!$M$98)))/N128)</f>
        <v>#N/A</v>
      </c>
      <c r="AE128" s="39">
        <f>IF($R128="MTO","",
IF($H128=0,ROUNDUP(((_xlfn.XLOOKUP($A128,'[1]DATOS PBI Artículos'!$A:$A,'[1]DATOS PBI Artículos'!$AL:$AL))/(_xlfn.XLOOKUP($AF$1,[1]CRITERIOS!$S$16:$S$39,[1]CRITERIOS!$Y$16:$Y$39))*$J128+$Z128)/$G128,0)*$G128,
((_xlfn.XLOOKUP($A128,'[1]DATOS PBI Artículos'!$A:$A,'[1]DATOS PBI Artículos'!$AL:$AL))/(_xlfn.XLOOKUP($AF$1,[1]CRITERIOS!$S$16:$S$39,[1]CRITERIOS!$Y$16:$Y$39))*$J128+$Z128)))</f>
        <v>19973.077794154196</v>
      </c>
      <c r="AG128" s="39">
        <f>IF($R128="MTO","",
IF($H128=0,ROUNDUP(((_xlfn.XLOOKUP($A128,'[1]DATOS PBI Artículos'!$A:$A,'[1]DATOS PBI Artículos'!$AM:$AM))/(_xlfn.XLOOKUP($AH$1,[1]CRITERIOS!$S$16:$S$39,[1]CRITERIOS!$Y$16:$Y$39))*$J128+$Z128)/$G128,0)*$G128,
((_xlfn.XLOOKUP($A128,'[1]DATOS PBI Artículos'!$A:$A,'[1]DATOS PBI Artículos'!$AM:$AM))/(_xlfn.XLOOKUP($AH$1,[1]CRITERIOS!$S$16:$S$39,[1]CRITERIOS!$Y$16:$Y$39))*$J128+$Z128)))</f>
        <v>15863.872429264096</v>
      </c>
      <c r="AI128" s="39">
        <f>IF($R128="MTO","",
IF($H128=0,ROUNDUP(((_xlfn.XLOOKUP($A128,'[1]DATOS PBI Artículos'!$A:$A,'[1]DATOS PBI Artículos'!$AN:$AN))/(_xlfn.XLOOKUP($AJ$1,[1]CRITERIOS!$S$16:$S$39,[1]CRITERIOS!$Y$16:$Y$39))*$J128+$Z128)/$G128,0)*$G128,
((_xlfn.XLOOKUP($A128,'[1]DATOS PBI Artículos'!$A:$A,'[1]DATOS PBI Artículos'!$AN:$AN))/(_xlfn.XLOOKUP($AJ$1,[1]CRITERIOS!$S$16:$S$39,[1]CRITERIOS!$Y$16:$Y$39))*$J128+$Z128)))</f>
        <v>17936.080654534751</v>
      </c>
      <c r="AK128" s="39">
        <f>IF($R128="MTO","",
IF($H128=0,ROUNDUP(((_xlfn.XLOOKUP($A128,'[1]DATOS PBI Artículos'!$A:$A,'[1]DATOS PBI Artículos'!$AO:$AO))/(_xlfn.XLOOKUP($AL$1,[1]CRITERIOS!$S$16:$S$39,[1]CRITERIOS!$Y$16:$Y$39))*$J128+$Z128)/$G128,0)*$G128,
((_xlfn.XLOOKUP($A128,'[1]DATOS PBI Artículos'!$A:$A,'[1]DATOS PBI Artículos'!$AO:$AO))/(_xlfn.XLOOKUP($AL$1,[1]CRITERIOS!$S$16:$S$39,[1]CRITERIOS!$Y$16:$Y$39))*$J128+$Z128)))</f>
        <v>19054.388157209749</v>
      </c>
    </row>
    <row r="129" spans="1:37" ht="25.8" x14ac:dyDescent="0.5">
      <c r="A129" s="32" t="s">
        <v>79</v>
      </c>
      <c r="B129" s="33">
        <f>_xlfn.XLOOKUP($A129,'[1]DATOS PBI Artículos'!A:A,'[1]DATOS PBI Artículos'!B:B)</f>
        <v>0</v>
      </c>
      <c r="C129" s="33" t="str">
        <f>_xlfn.XLOOKUP($A129,'[1]DATOS PBI Artículos'!A:A,'[1]DATOS PBI Artículos'!C:C)</f>
        <v>UA01</v>
      </c>
      <c r="D129" s="33">
        <f>_xlfn.XLOOKUP(A129,'[1]DATOS PBI Artículos'!A:A,'[1]DATOS PBI Artículos'!T:T)</f>
        <v>2</v>
      </c>
      <c r="E129" s="34">
        <f>IF(_xlfn.XLOOKUP($A129,'[1]DATOS PBI Artículos'!A:A,'[1]DATOS PBI Artículos'!AK:AK)="",_xlfn.XLOOKUP($A129,'[1]DATOS PBI Artículos'!A:A,'[1]DATOS PBI Artículos'!AJ:AJ),_xlfn.XLOOKUP($A129,'[1]DATOS PBI Artículos'!A:A,'[1]DATOS PBI Artículos'!AK:AK))</f>
        <v>60000</v>
      </c>
      <c r="F129" s="35">
        <f>_xlfn.XLOOKUP($A129,'[1]DATOS PBI Artículos'!A:A,'[1]DATOS PBI Artículos'!AP:AP)</f>
        <v>20</v>
      </c>
      <c r="G129" s="34">
        <f>_xlfn.XLOOKUP($A129,'[1]DATOS PBI Artículos'!A:A,'[1]DATOS PBI Artículos'!AR:AR)</f>
        <v>30000</v>
      </c>
      <c r="H129" s="34">
        <f>_xlfn.XLOOKUP($A129,'[1]DATOS PBI Artículos'!A:A,'[1]DATOS PBI Artículos'!AT:AT)</f>
        <v>0</v>
      </c>
      <c r="I129" s="34">
        <f>_xlfn.XLOOKUP($A129,'[1]DATOS PBI Artículos'!A:A,'[1]DATOS PBI Artículos'!AS:AS)</f>
        <v>30000</v>
      </c>
      <c r="J129" s="35">
        <f>IF(COUNTIF([1]CRITERIOS!$F$179:$F$199,$A129)&gt;=1,
 IF(O129&lt;&gt;"",
    (O129/_xlfn.XLOOKUP(CONCATENATE(A129,L129),[1]MÁQUINAS!A:A,[1]MÁQUINAS!D:D))/24,
    (N129/_xlfn.XLOOKUP(CONCATENATE(A129,L129),[1]MÁQUINAS!A:A,[1]MÁQUINAS!D:D))/24),
  _xlfn.XLOOKUP($A129,'[1]DATOS PBI Artículos'!A:A,'[1]DATOS PBI Artículos'!AU:AU))</f>
        <v>11</v>
      </c>
      <c r="K129" s="36">
        <f>_xlfn.XLOOKUP($A129,'[1]DATOS PBI Artículos'!A:A,'[1]DATOS PBI Artículos'!AV:AV)</f>
        <v>0</v>
      </c>
      <c r="L129" s="33">
        <f>_xlfn.XLOOKUP(A129,[1]MÁQUINAS!B:B,[1]MÁQUINAS!C:C)</f>
        <v>452</v>
      </c>
      <c r="M129" s="34">
        <f t="array" ref="M129">_xlfn.XLOOKUP(A129,'[1]DATOS PBI Artículos'!A:A,'[1]DATOS PBI Artículos'!AX:$AX)</f>
        <v>33232.408897372276</v>
      </c>
      <c r="N129" s="37">
        <f>IF(I129="DV",
E129,
IF(COUNTIF([1]CRITERIOS!$I$179:$I$199,$A129)&gt;=1,
_xlfn.XLOOKUP($A129,[1]CRITERIOS!$I$179:$I$199,[1]CRITERIOS!$J$179:$J$199),
IF(COUNTIF([1]CRITERIOS!$L$179:$L$199,$A129)&gt;=1,
_xlfn.CEILING.MATH(IF($M129&gt;$E129,
$E129,
IF($M129&lt;$E129/ROUNDDOWN([1]CRITERIOS!$M$16/_xlfn.XLOOKUP($C129,[1]CRITERIOS!$K$25:$K$42,[1]CRITERIOS!$M$25:$M$42),
1),
E129/ROUNDDOWN([1]CRITERIOS!$M$16/_xlfn.XLOOKUP($C129,[1]CRITERIOS!$K$25:$K$42,[1]CRITERIOS!$M$25:$M$42),
1),
$M129)),
_xlfn.XLOOKUP($A129,[1]CRITERIOS!$L$179:$L$200,[1]CRITERIOS!$M$179:$M$200)),
_xlfn.CEILING.MATH(IF($M129&gt;$E129,
$E129,
IF($M129&lt;$E129/ROUNDDOWN([1]CRITERIOS!$M$16/_xlfn.XLOOKUP($C129,[1]CRITERIOS!$K$25:$K$42,[1]CRITERIOS!$M$25:$M$42),
1),
E129/ROUNDDOWN([1]CRITERIOS!$M$16/_xlfn.XLOOKUP($C129,[1]CRITERIOS!$K$25:$K$42,[1]CRITERIOS!$M$25:$M$42),
1),
$M129)),_xlfn.XLOOKUP(A129,'[1]DATOS PBI Artículos'!A:A,'[1]DATOS PBI Artículos'!Z:Z
)))))</f>
        <v>34500</v>
      </c>
      <c r="Q129" s="38">
        <f>IF(AND(O129="",N129=0),
0,
   IF(COUNTIF([1]CRITERIOS!$F$179:$F$199,$A129)&gt;=1,
   1,
   IF(R129="MTO",
      $D129,
      ROUNDUP(
                    IF(($E129-SUMIF('[1]DATOS PBI Artículos'!A:A,A129,'[1]DATOS PBI Artículos'!X:X)+($V129-_xlfn.XLOOKUP(A129,'[1]DATOS PBI Artículos'!A:A,'[1]DATOS PBI Artículos'!W:W)))&lt;0,
                    0,
                    IF(($E129-SUMIF('[1]DATOS PBI Artículos'!A:A,A129,'[1]DATOS PBI Artículos'!X:X)+$V129-_xlfn.XLOOKUP($A129,'[1]DATOS PBI Artículos'!A:A,'[1]DATOS PBI Artículos'!W:W))/IF($O129="",$N129,$O129)&gt;ROUNDUP([1]CRITERIOS!$M$16/(IF(COUNTIF([1]CRITERIOS!$BG$11:$BG$201,L129)&gt;=1,_xlfn.XLOOKUP($C129,[1]CRITERIOS!$K$25:$K$42,[1]CRITERIOS!$M$25:$M$42),_xlfn.XLOOKUP($C129,[1]CRITERIOS!$K$25:$K$42,[1]CRITERIOS!$M$25:$M$42))),0),
                    ROUNDUP([1]CRITERIOS!$M$16/(IF(COUNTIF([1]CRITERIOS!$BG$11:$BG$201,$L129)&gt;=1,_xlfn.XLOOKUP($C129,[1]CRITERIOS!$K$25:$K$42,[1]CRITERIOS!$M$25:$M$42),_xlfn.XLOOKUP($C129,[1]CRITERIOS!$K$25:$K$42,[1]CRITERIOS!$M$25:$M$42))),0),
                    (E129+V129-SUMIF('[1]DATOS PBI Artículos'!A:A,A129,'[1]DATOS PBI Artículos'!X:X)-_xlfn.XLOOKUP(A129,'[1]DATOS PBI Artículos'!A:A,'[1]DATOS PBI Artículos'!W:W))/IF($O129="",$N129,$O129))),0))))</f>
        <v>2</v>
      </c>
      <c r="R129" s="33" t="str">
        <f>IF(U129&lt;&gt;"",U129,IF(F129="DV","MTO",IF(N129=0,"MTO",_xlfn.XLOOKUP(CONCATENATE(S129,T129),[1]CRITERIOS!$K$160:$K$168,[1]CRITERIOS!$N$160:$N$168))))</f>
        <v>MTO</v>
      </c>
      <c r="S129" s="33" t="str">
        <f>IF(G129="DV","MTO",IF(N129=0,"MTO",IF(OR(AND(N129=0,O129=""),IF(O129="",G129/N129,G129/O129)&gt;[1]CRITERIOS!$G$163),"MTO",IF(IF(O129="",G129/N129,G129/O129)&lt;[1]CRITERIOS!$H$161,"MTS","MTOS"))))</f>
        <v>MTO</v>
      </c>
      <c r="T129" s="33" t="str">
        <f>IF(F129="DV","MTO",IF(OR(AND($N129=0,O129=""),$F129/$J129&gt;[1]CRITERIOS!$G$170,$F129="DV"),"MTO",IF($F129/$J129&lt;[1]CRITERIOS!$H$168,"MTS","MTOS")))</f>
        <v>MTO</v>
      </c>
      <c r="V129" s="34" t="str">
        <f t="shared" si="7"/>
        <v/>
      </c>
      <c r="X129" s="34">
        <f t="shared" si="5"/>
        <v>0</v>
      </c>
      <c r="Y129" s="34">
        <f t="shared" si="6"/>
        <v>0</v>
      </c>
      <c r="Z129" s="34">
        <f>IF($R129="MTO",
0,
($H129+$K129*($E129/[1]CRITERIOS!$M$16))/[1]CRITERIOS!$X$48)</f>
        <v>0</v>
      </c>
      <c r="AA129" s="34" t="e">
        <f>ROUNDUP(($Y129/_xlfn.XLOOKUP($A129,'[1]DATOS PBI Artículos'!$A$4:$A$4,'[1]DATOS PBI Artículos'!$Z$4:$Z$4))/_xlfn.XLOOKUP(_xlfn.XLOOKUP($A129,'[1]DATOS PBI Artículos'!$A$4:$A$4,'[1]DATOS PBI Artículos'!$Y$4:$Y$4),[1]CRITERIOS!$P$79:$P$123,[1]CRITERIOS!$S$79:$S$123,),0)</f>
        <v>#N/A</v>
      </c>
      <c r="AB129" s="33" t="e">
        <f t="array" ref="AB129">IF((E129+V129-_xlfn.XLOOKUP(A129,'[1]DATOS PBI Artículos'!$A$4:$A$4,'[1]DATOS PBI Artículos'!$W$4:$W$4))/N129&gt;ROUNDUP([1]CRITERIOS!$M$16/(IF(COUNTIF([1]CRITERIOS!$BG$11:$BG$201,L129)&gt;=1,_xlfn.XLOOKUP(ARTÍCULOS!L129,[1]CRITERIOS!$BG$11:$BG$201,[1]CRITERIOS!$BJ$11:$BJ$201),_xlfn.XLOOKUP(ARTÍCULOS!C129,[1]CRITERIOS!$K$25:$K$42,[1]CRITERIOS!$M$25:$M$42))),0),ROUNDUP([1]CRITERIOS!$M$16/(IF(COUNTIF([1]CRITERIOS!$BG$11:$BG$201,L129)&gt;=1,_xlfn.XLOOKUP(ARTÍCULOS!L129,[1]CRITERIOS!$BG$11:$BG$201:#REF!,[1]CRITERIOS!$BJ$11:$BJ$201),_xlfn.XLOOKUP(ARTÍCULOS!C129,[1]CRITERIOS!$K$25:$K$42,[1]CRITERIOS!$M$25:$M$42))),0),(E129+V129-_xlfn.XLOOKUP(A129,'[1]DATOS PBI Artículos'!$A$4:$A$4,'[1]DATOS PBI Artículos'!$W$4:$W$4))/N129)</f>
        <v>#VALUE!</v>
      </c>
      <c r="AC129" s="33" t="e">
        <f>IF(N129=0,"",(ROUNDUP((N129/2)/(_xlfn.XLOOKUP(A129,'[1]DATOS PBI Artículos'!$A$4:$A$4,'[1]DATOS PBI Artículos'!$Z$4:$Z$4)*_xlfn.XLOOKUP(_xlfn.XLOOKUP(A129,'[1]DATOS PBI Artículos'!$A$4:$A$4,'[1]DATOS PBI Artículos'!$Y$4:$Y$4),[1]CRITERIOS!$P$79:$P$123,[1]CRITERIOS!$S$79:$S$123)),0)*[1]CRITERIOS!$M$80*([1]CRITERIOS!$M$110/[1]CRITERIOS!$M$86)+(_xlfn.XLOOKUP(A129,'[1]DATOS PBI Artículos'!$A$4:$A$4,'[1]DATOS PBI Artículos'!$AA$4:$AA$4)*([1]CRITERIOS!$M$95+[1]CRITERIOS!$M$98)))/N129)</f>
        <v>#N/A</v>
      </c>
      <c r="AD129" s="33" t="e">
        <f>IF(N129=0,"",(ROUNDUP((N129/2)/(_xlfn.XLOOKUP(A129,'[1]DATOS PBI Artículos'!$A$4:$A$4,'[1]DATOS PBI Artículos'!$Z$4:$Z$4)*_xlfn.XLOOKUP(_xlfn.XLOOKUP(A129,'[1]DATOS PBI Artículos'!$A$4:$A$4,'[1]DATOS PBI Artículos'!$Y$4:$Y$4),[1]CRITERIOS!$P$79:$P$123,[1]CRITERIOS!$S$79:$S$123)),0)*[1]CRITERIOS!$M$80*([1]CRITERIOS!$M$89*[1]CRITERIOS!$M$92)+((_xlfn.XLOOKUP(A129,'[1]DATOS PBI Artículos'!$A$4:$A$4,'[1]DATOS PBI Artículos'!$AA$4:$AA$4)/2)*([1]CRITERIOS!$M$95+[1]CRITERIOS!$M$98)))/N129)</f>
        <v>#N/A</v>
      </c>
      <c r="AE129" s="39" t="str">
        <f>IF($R129="MTO","",
IF($H129=0,ROUNDUP(((_xlfn.XLOOKUP($A129,'[1]DATOS PBI Artículos'!$A:$A,'[1]DATOS PBI Artículos'!$AL:$AL))/(_xlfn.XLOOKUP($AF$1,[1]CRITERIOS!$S$16:$S$39,[1]CRITERIOS!$Y$16:$Y$39))*$J129+$Z129)/$G129,0)*$G129,
((_xlfn.XLOOKUP($A129,'[1]DATOS PBI Artículos'!$A:$A,'[1]DATOS PBI Artículos'!$AL:$AL))/(_xlfn.XLOOKUP($AF$1,[1]CRITERIOS!$S$16:$S$39,[1]CRITERIOS!$Y$16:$Y$39))*$J129+$Z129)))</f>
        <v/>
      </c>
      <c r="AG129" s="39" t="str">
        <f>IF($R129="MTO","",
IF($H129=0,ROUNDUP(((_xlfn.XLOOKUP($A129,'[1]DATOS PBI Artículos'!$A:$A,'[1]DATOS PBI Artículos'!$AM:$AM))/(_xlfn.XLOOKUP($AH$1,[1]CRITERIOS!$S$16:$S$39,[1]CRITERIOS!$Y$16:$Y$39))*$J129+$Z129)/$G129,0)*$G129,
((_xlfn.XLOOKUP($A129,'[1]DATOS PBI Artículos'!$A:$A,'[1]DATOS PBI Artículos'!$AM:$AM))/(_xlfn.XLOOKUP($AH$1,[1]CRITERIOS!$S$16:$S$39,[1]CRITERIOS!$Y$16:$Y$39))*$J129+$Z129)))</f>
        <v/>
      </c>
      <c r="AI129" s="39" t="str">
        <f>IF($R129="MTO","",
IF($H129=0,ROUNDUP(((_xlfn.XLOOKUP($A129,'[1]DATOS PBI Artículos'!$A:$A,'[1]DATOS PBI Artículos'!$AN:$AN))/(_xlfn.XLOOKUP($AJ$1,[1]CRITERIOS!$S$16:$S$39,[1]CRITERIOS!$Y$16:$Y$39))*$J129+$Z129)/$G129,0)*$G129,
((_xlfn.XLOOKUP($A129,'[1]DATOS PBI Artículos'!$A:$A,'[1]DATOS PBI Artículos'!$AN:$AN))/(_xlfn.XLOOKUP($AJ$1,[1]CRITERIOS!$S$16:$S$39,[1]CRITERIOS!$Y$16:$Y$39))*$J129+$Z129)))</f>
        <v/>
      </c>
      <c r="AK129" s="39" t="str">
        <f>IF($R129="MTO","",
IF($H129=0,ROUNDUP(((_xlfn.XLOOKUP($A129,'[1]DATOS PBI Artículos'!$A:$A,'[1]DATOS PBI Artículos'!$AO:$AO))/(_xlfn.XLOOKUP($AL$1,[1]CRITERIOS!$S$16:$S$39,[1]CRITERIOS!$Y$16:$Y$39))*$J129+$Z129)/$G129,0)*$G129,
((_xlfn.XLOOKUP($A129,'[1]DATOS PBI Artículos'!$A:$A,'[1]DATOS PBI Artículos'!$AO:$AO))/(_xlfn.XLOOKUP($AL$1,[1]CRITERIOS!$S$16:$S$39,[1]CRITERIOS!$Y$16:$Y$39))*$J129+$Z129)))</f>
        <v/>
      </c>
    </row>
    <row r="130" spans="1:37" ht="25.8" x14ac:dyDescent="0.5">
      <c r="A130" s="32">
        <v>452971</v>
      </c>
      <c r="B130" s="33">
        <f>_xlfn.XLOOKUP($A130,'[1]DATOS PBI Artículos'!A:A,'[1]DATOS PBI Artículos'!B:B)</f>
        <v>0</v>
      </c>
      <c r="C130" s="33" t="str">
        <f>_xlfn.XLOOKUP($A130,'[1]DATOS PBI Artículos'!A:A,'[1]DATOS PBI Artículos'!C:C)</f>
        <v>UA02</v>
      </c>
      <c r="D130" s="33">
        <f>_xlfn.XLOOKUP(A130,'[1]DATOS PBI Artículos'!A:A,'[1]DATOS PBI Artículos'!T:T)</f>
        <v>3</v>
      </c>
      <c r="E130" s="34">
        <f>IF(_xlfn.XLOOKUP($A130,'[1]DATOS PBI Artículos'!A:A,'[1]DATOS PBI Artículos'!AK:AK)="",_xlfn.XLOOKUP($A130,'[1]DATOS PBI Artículos'!A:A,'[1]DATOS PBI Artículos'!AJ:AJ),_xlfn.XLOOKUP($A130,'[1]DATOS PBI Artículos'!A:A,'[1]DATOS PBI Artículos'!AK:AK))</f>
        <v>60000</v>
      </c>
      <c r="F130" s="35">
        <f>_xlfn.XLOOKUP($A130,'[1]DATOS PBI Artículos'!A:A,'[1]DATOS PBI Artículos'!AP:AP)</f>
        <v>10.6</v>
      </c>
      <c r="G130" s="34">
        <f>_xlfn.XLOOKUP($A130,'[1]DATOS PBI Artículos'!A:A,'[1]DATOS PBI Artículos'!AR:AR)</f>
        <v>10000</v>
      </c>
      <c r="H130" s="34">
        <f>_xlfn.XLOOKUP($A130,'[1]DATOS PBI Artículos'!A:A,'[1]DATOS PBI Artículos'!AT:AT)</f>
        <v>0</v>
      </c>
      <c r="I130" s="34">
        <f>_xlfn.XLOOKUP($A130,'[1]DATOS PBI Artículos'!A:A,'[1]DATOS PBI Artículos'!AS:AS)</f>
        <v>10000</v>
      </c>
      <c r="J130" s="35">
        <f>IF(COUNTIF([1]CRITERIOS!$F$179:$F$199,$A130)&gt;=1,
 IF(O130&lt;&gt;"",
    (O130/_xlfn.XLOOKUP(CONCATENATE(A130,L130),[1]MÁQUINAS!A:A,[1]MÁQUINAS!D:D))/24,
    (N130/_xlfn.XLOOKUP(CONCATENATE(A130,L130),[1]MÁQUINAS!A:A,[1]MÁQUINAS!D:D))/24),
  _xlfn.XLOOKUP($A130,'[1]DATOS PBI Artículos'!A:A,'[1]DATOS PBI Artículos'!AU:AU))</f>
        <v>24.625</v>
      </c>
      <c r="K130" s="36">
        <f>_xlfn.XLOOKUP($A130,'[1]DATOS PBI Artículos'!A:A,'[1]DATOS PBI Artículos'!AV:AV)</f>
        <v>5.7305571905605932</v>
      </c>
      <c r="L130" s="33">
        <f>_xlfn.XLOOKUP(A130,[1]MÁQUINAS!B:B,[1]MÁQUINAS!C:C)</f>
        <v>216</v>
      </c>
      <c r="M130" s="34">
        <f t="array" ref="M130">_xlfn.XLOOKUP(A130,'[1]DATOS PBI Artículos'!A:A,'[1]DATOS PBI Artículos'!AX:$AX)</f>
        <v>37548.928127203355</v>
      </c>
      <c r="N130" s="37">
        <f>IF(I130="DV",
E130,
IF(COUNTIF([1]CRITERIOS!$I$179:$I$199,$A130)&gt;=1,
_xlfn.XLOOKUP($A130,[1]CRITERIOS!$I$179:$I$199,[1]CRITERIOS!$J$179:$J$199),
IF(COUNTIF([1]CRITERIOS!$L$179:$L$199,$A130)&gt;=1,
_xlfn.CEILING.MATH(IF($M130&gt;$E130,
$E130,
IF($M130&lt;$E130/ROUNDDOWN([1]CRITERIOS!$M$16/_xlfn.XLOOKUP($C130,[1]CRITERIOS!$K$25:$K$42,[1]CRITERIOS!$M$25:$M$42),
1),
E130/ROUNDDOWN([1]CRITERIOS!$M$16/_xlfn.XLOOKUP($C130,[1]CRITERIOS!$K$25:$K$42,[1]CRITERIOS!$M$25:$M$42),
1),
$M130)),
_xlfn.XLOOKUP($A130,[1]CRITERIOS!$L$179:$L$200,[1]CRITERIOS!$M$179:$M$200)),
_xlfn.CEILING.MATH(IF($M130&gt;$E130,
$E130,
IF($M130&lt;$E130/ROUNDDOWN([1]CRITERIOS!$M$16/_xlfn.XLOOKUP($C130,[1]CRITERIOS!$K$25:$K$42,[1]CRITERIOS!$M$25:$M$42),
1),
E130/ROUNDDOWN([1]CRITERIOS!$M$16/_xlfn.XLOOKUP($C130,[1]CRITERIOS!$K$25:$K$42,[1]CRITERIOS!$M$25:$M$42),
1),
$M130)),_xlfn.XLOOKUP(A130,'[1]DATOS PBI Artículos'!A:A,'[1]DATOS PBI Artículos'!Z:Z
)))))</f>
        <v>40000</v>
      </c>
      <c r="Q130" s="38">
        <f>IF(AND(O130="",N130=0),
0,
   IF(COUNTIF([1]CRITERIOS!$F$179:$F$199,$A130)&gt;=1,
   1,
   IF(R130="MTO",
      $D130,
      ROUNDUP(
                    IF(($E130-SUMIF('[1]DATOS PBI Artículos'!A:A,A130,'[1]DATOS PBI Artículos'!X:X)+($V130-_xlfn.XLOOKUP(A130,'[1]DATOS PBI Artículos'!A:A,'[1]DATOS PBI Artículos'!W:W)))&lt;0,
                    0,
                    IF(($E130-SUMIF('[1]DATOS PBI Artículos'!A:A,A130,'[1]DATOS PBI Artículos'!X:X)+$V130-_xlfn.XLOOKUP($A130,'[1]DATOS PBI Artículos'!A:A,'[1]DATOS PBI Artículos'!W:W))/IF($O130="",$N130,$O130)&gt;ROUNDUP([1]CRITERIOS!$M$16/(IF(COUNTIF([1]CRITERIOS!$BG$11:$BG$201,L130)&gt;=1,_xlfn.XLOOKUP($C130,[1]CRITERIOS!$K$25:$K$42,[1]CRITERIOS!$M$25:$M$42),_xlfn.XLOOKUP($C130,[1]CRITERIOS!$K$25:$K$42,[1]CRITERIOS!$M$25:$M$42))),0),
                    ROUNDUP([1]CRITERIOS!$M$16/(IF(COUNTIF([1]CRITERIOS!$BG$11:$BG$201,$L130)&gt;=1,_xlfn.XLOOKUP($C130,[1]CRITERIOS!$K$25:$K$42,[1]CRITERIOS!$M$25:$M$42),_xlfn.XLOOKUP($C130,[1]CRITERIOS!$K$25:$K$42,[1]CRITERIOS!$M$25:$M$42))),0),
                    (E130+V130-SUMIF('[1]DATOS PBI Artículos'!A:A,A130,'[1]DATOS PBI Artículos'!X:X)-_xlfn.XLOOKUP(A130,'[1]DATOS PBI Artículos'!A:A,'[1]DATOS PBI Artículos'!W:W))/IF($O130="",$N130,$O130))),0))))</f>
        <v>1</v>
      </c>
      <c r="R130" s="33" t="str">
        <f>IF(U130&lt;&gt;"",U130,IF(F130="DV","MTO",IF(N130=0,"MTO",_xlfn.XLOOKUP(CONCATENATE(S130,T130),[1]CRITERIOS!$K$160:$K$168,[1]CRITERIOS!$N$160:$N$168))))</f>
        <v>MTS</v>
      </c>
      <c r="S130" s="33" t="str">
        <f>IF(G130="DV","MTO",IF(N130=0,"MTO",IF(OR(AND(N130=0,O130=""),IF(O130="",G130/N130,G130/O130)&gt;[1]CRITERIOS!$G$163),"MTO",IF(IF(O130="",G130/N130,G130/O130)&lt;[1]CRITERIOS!$H$161,"MTS","MTOS"))))</f>
        <v>MTS</v>
      </c>
      <c r="T130" s="33" t="str">
        <f>IF(F130="DV","MTO",IF(OR(AND($N130=0,O130=""),$F130/$J130&gt;[1]CRITERIOS!$G$170,$F130="DV"),"MTO",IF($F130/$J130&lt;[1]CRITERIOS!$H$168,"MTS","MTOS")))</f>
        <v>MTS</v>
      </c>
      <c r="V130" s="34">
        <f t="shared" si="7"/>
        <v>27051.503535845426</v>
      </c>
      <c r="X130" s="34">
        <f t="shared" si="5"/>
        <v>67051.503535845433</v>
      </c>
      <c r="Y130" s="34">
        <f t="shared" si="6"/>
        <v>23820.371460373728</v>
      </c>
      <c r="Z130" s="34">
        <f>IF($R130="MTO",
0,
($H130+$K130*($E130/[1]CRITERIOS!$M$16))/[1]CRITERIOS!$X$48)</f>
        <v>3820.3714603737285</v>
      </c>
      <c r="AA130" s="34" t="e">
        <f>ROUNDUP(($Y130/_xlfn.XLOOKUP($A130,'[1]DATOS PBI Artículos'!$A$4:$A$4,'[1]DATOS PBI Artículos'!$Z$4:$Z$4))/_xlfn.XLOOKUP(_xlfn.XLOOKUP($A130,'[1]DATOS PBI Artículos'!$A$4:$A$4,'[1]DATOS PBI Artículos'!$Y$4:$Y$4),[1]CRITERIOS!$P$79:$P$123,[1]CRITERIOS!$S$79:$S$123,),0)</f>
        <v>#N/A</v>
      </c>
      <c r="AB130" s="33" t="e">
        <f t="array" ref="AB130">IF((E130+V130-_xlfn.XLOOKUP(A130,'[1]DATOS PBI Artículos'!$A$4:$A$4,'[1]DATOS PBI Artículos'!$W$4:$W$4))/N130&gt;ROUNDUP([1]CRITERIOS!$M$16/(IF(COUNTIF([1]CRITERIOS!$BG$11:$BG$201,L130)&gt;=1,_xlfn.XLOOKUP(ARTÍCULOS!L130,[1]CRITERIOS!$BG$11:$BG$201,[1]CRITERIOS!$BJ$11:$BJ$201),_xlfn.XLOOKUP(ARTÍCULOS!C130,[1]CRITERIOS!$K$25:$K$42,[1]CRITERIOS!$M$25:$M$42))),0),ROUNDUP([1]CRITERIOS!$M$16/(IF(COUNTIF([1]CRITERIOS!$BG$11:$BG$201,L130)&gt;=1,_xlfn.XLOOKUP(ARTÍCULOS!L130,[1]CRITERIOS!$BG$11:$BG$201:#REF!,[1]CRITERIOS!$BJ$11:$BJ$201),_xlfn.XLOOKUP(ARTÍCULOS!C130,[1]CRITERIOS!$K$25:$K$42,[1]CRITERIOS!$M$25:$M$42))),0),(E130+V130-_xlfn.XLOOKUP(A130,'[1]DATOS PBI Artículos'!$A$4:$A$4,'[1]DATOS PBI Artículos'!$W$4:$W$4))/N130)</f>
        <v>#N/A</v>
      </c>
      <c r="AC130" s="33" t="e">
        <f>IF(N130=0,"",(ROUNDUP((N130/2)/(_xlfn.XLOOKUP(A130,'[1]DATOS PBI Artículos'!$A$4:$A$4,'[1]DATOS PBI Artículos'!$Z$4:$Z$4)*_xlfn.XLOOKUP(_xlfn.XLOOKUP(A130,'[1]DATOS PBI Artículos'!$A$4:$A$4,'[1]DATOS PBI Artículos'!$Y$4:$Y$4),[1]CRITERIOS!$P$79:$P$123,[1]CRITERIOS!$S$79:$S$123)),0)*[1]CRITERIOS!$M$80*([1]CRITERIOS!$M$110/[1]CRITERIOS!$M$86)+(_xlfn.XLOOKUP(A130,'[1]DATOS PBI Artículos'!$A$4:$A$4,'[1]DATOS PBI Artículos'!$AA$4:$AA$4)*([1]CRITERIOS!$M$95+[1]CRITERIOS!$M$98)))/N130)</f>
        <v>#N/A</v>
      </c>
      <c r="AD130" s="33" t="e">
        <f>IF(N130=0,"",(ROUNDUP((N130/2)/(_xlfn.XLOOKUP(A130,'[1]DATOS PBI Artículos'!$A$4:$A$4,'[1]DATOS PBI Artículos'!$Z$4:$Z$4)*_xlfn.XLOOKUP(_xlfn.XLOOKUP(A130,'[1]DATOS PBI Artículos'!$A$4:$A$4,'[1]DATOS PBI Artículos'!$Y$4:$Y$4),[1]CRITERIOS!$P$79:$P$123,[1]CRITERIOS!$S$79:$S$123)),0)*[1]CRITERIOS!$M$80*([1]CRITERIOS!$M$89*[1]CRITERIOS!$M$92)+((_xlfn.XLOOKUP(A130,'[1]DATOS PBI Artículos'!$A$4:$A$4,'[1]DATOS PBI Artículos'!$AA$4:$AA$4)/2)*([1]CRITERIOS!$M$95+[1]CRITERIOS!$M$98)))/N130)</f>
        <v>#N/A</v>
      </c>
      <c r="AE130" s="39">
        <f>IF($R130="MTO","",
IF($H130=0,ROUNDUP(((_xlfn.XLOOKUP($A130,'[1]DATOS PBI Artículos'!$A:$A,'[1]DATOS PBI Artículos'!$AL:$AL))/(_xlfn.XLOOKUP($AF$1,[1]CRITERIOS!$S$16:$S$39,[1]CRITERIOS!$Y$16:$Y$39))*$J130+$Z130)/$G130,0)*$G130,
((_xlfn.XLOOKUP($A130,'[1]DATOS PBI Artículos'!$A:$A,'[1]DATOS PBI Artículos'!$AL:$AL))/(_xlfn.XLOOKUP($AF$1,[1]CRITERIOS!$S$16:$S$39,[1]CRITERIOS!$Y$16:$Y$39))*$J130+$Z130)))</f>
        <v>30000</v>
      </c>
      <c r="AG130" s="39">
        <f>IF($R130="MTO","",
IF($H130=0,ROUNDUP(((_xlfn.XLOOKUP($A130,'[1]DATOS PBI Artículos'!$A:$A,'[1]DATOS PBI Artículos'!$AM:$AM))/(_xlfn.XLOOKUP($AH$1,[1]CRITERIOS!$S$16:$S$39,[1]CRITERIOS!$Y$16:$Y$39))*$J130+$Z130)/$G130,0)*$G130,
((_xlfn.XLOOKUP($A130,'[1]DATOS PBI Artículos'!$A:$A,'[1]DATOS PBI Artículos'!$AM:$AM))/(_xlfn.XLOOKUP($AH$1,[1]CRITERIOS!$S$16:$S$39,[1]CRITERIOS!$Y$16:$Y$39))*$J130+$Z130)))</f>
        <v>30000</v>
      </c>
      <c r="AI130" s="39">
        <f>IF($R130="MTO","",
IF($H130=0,ROUNDUP(((_xlfn.XLOOKUP($A130,'[1]DATOS PBI Artículos'!$A:$A,'[1]DATOS PBI Artículos'!$AN:$AN))/(_xlfn.XLOOKUP($AJ$1,[1]CRITERIOS!$S$16:$S$39,[1]CRITERIOS!$Y$16:$Y$39))*$J130+$Z130)/$G130,0)*$G130,
((_xlfn.XLOOKUP($A130,'[1]DATOS PBI Artículos'!$A:$A,'[1]DATOS PBI Artículos'!$AN:$AN))/(_xlfn.XLOOKUP($AJ$1,[1]CRITERIOS!$S$16:$S$39,[1]CRITERIOS!$Y$16:$Y$39))*$J130+$Z130)))</f>
        <v>30000</v>
      </c>
      <c r="AK130" s="39">
        <f>IF($R130="MTO","",
IF($H130=0,ROUNDUP(((_xlfn.XLOOKUP($A130,'[1]DATOS PBI Artículos'!$A:$A,'[1]DATOS PBI Artículos'!$AO:$AO))/(_xlfn.XLOOKUP($AL$1,[1]CRITERIOS!$S$16:$S$39,[1]CRITERIOS!$Y$16:$Y$39))*$J130+$Z130)/$G130,0)*$G130,
((_xlfn.XLOOKUP($A130,'[1]DATOS PBI Artículos'!$A:$A,'[1]DATOS PBI Artículos'!$AO:$AO))/(_xlfn.XLOOKUP($AL$1,[1]CRITERIOS!$S$16:$S$39,[1]CRITERIOS!$Y$16:$Y$39))*$J130+$Z130)))</f>
        <v>30000</v>
      </c>
    </row>
    <row r="131" spans="1:37" ht="25.8" x14ac:dyDescent="0.5">
      <c r="A131" s="32" t="s">
        <v>80</v>
      </c>
      <c r="B131" s="33">
        <f>_xlfn.XLOOKUP($A131,'[1]DATOS PBI Artículos'!A:A,'[1]DATOS PBI Artículos'!B:B)</f>
        <v>0</v>
      </c>
      <c r="C131" s="33" t="str">
        <f>_xlfn.XLOOKUP($A131,'[1]DATOS PBI Artículos'!A:A,'[1]DATOS PBI Artículos'!C:C)</f>
        <v>UA05</v>
      </c>
      <c r="D131" s="33">
        <f>_xlfn.XLOOKUP(A131,'[1]DATOS PBI Artículos'!A:A,'[1]DATOS PBI Artículos'!T:T)</f>
        <v>1</v>
      </c>
      <c r="E131" s="34">
        <f>IF(_xlfn.XLOOKUP($A131,'[1]DATOS PBI Artículos'!A:A,'[1]DATOS PBI Artículos'!AK:AK)="",_xlfn.XLOOKUP($A131,'[1]DATOS PBI Artículos'!A:A,'[1]DATOS PBI Artículos'!AJ:AJ),_xlfn.XLOOKUP($A131,'[1]DATOS PBI Artículos'!A:A,'[1]DATOS PBI Artículos'!AK:AK))</f>
        <v>60000</v>
      </c>
      <c r="F131" s="35">
        <f>_xlfn.XLOOKUP($A131,'[1]DATOS PBI Artículos'!A:A,'[1]DATOS PBI Artículos'!AP:AP)</f>
        <v>75</v>
      </c>
      <c r="G131" s="34">
        <f>_xlfn.XLOOKUP($A131,'[1]DATOS PBI Artículos'!A:A,'[1]DATOS PBI Artículos'!AR:AR)</f>
        <v>60000</v>
      </c>
      <c r="H131" s="34">
        <f>_xlfn.XLOOKUP($A131,'[1]DATOS PBI Artículos'!A:A,'[1]DATOS PBI Artículos'!AT:AT)</f>
        <v>0</v>
      </c>
      <c r="I131" s="34">
        <f>_xlfn.XLOOKUP($A131,'[1]DATOS PBI Artículos'!A:A,'[1]DATOS PBI Artículos'!AS:AS)</f>
        <v>60000</v>
      </c>
      <c r="J131" s="35">
        <f>IF(COUNTIF([1]CRITERIOS!$F$179:$F$199,$A131)&gt;=1,
 IF(O131&lt;&gt;"",
    (O131/_xlfn.XLOOKUP(CONCATENATE(A131,L131),[1]MÁQUINAS!A:A,[1]MÁQUINAS!D:D))/24,
    (N131/_xlfn.XLOOKUP(CONCATENATE(A131,L131),[1]MÁQUINAS!A:A,[1]MÁQUINAS!D:D))/24),
  _xlfn.XLOOKUP($A131,'[1]DATOS PBI Artículos'!A:A,'[1]DATOS PBI Artículos'!AU:AU))</f>
        <v>2</v>
      </c>
      <c r="K131" s="36">
        <f>_xlfn.XLOOKUP($A131,'[1]DATOS PBI Artículos'!A:A,'[1]DATOS PBI Artículos'!AV:AV)</f>
        <v>0.57735026918962573</v>
      </c>
      <c r="L131" s="33">
        <f>_xlfn.XLOOKUP(A131,[1]MÁQUINAS!B:B,[1]MÁQUINAS!C:C)</f>
        <v>799</v>
      </c>
      <c r="M131" s="34">
        <f t="array" ref="M131">_xlfn.XLOOKUP(A131,'[1]DATOS PBI Artículos'!A:A,'[1]DATOS PBI Artículos'!AX:$AX)</f>
        <v>0</v>
      </c>
      <c r="N131" s="37">
        <f>IF(I131="DV",
E131,
IF(COUNTIF([1]CRITERIOS!$I$179:$I$199,$A131)&gt;=1,
_xlfn.XLOOKUP($A131,[1]CRITERIOS!$I$179:$I$199,[1]CRITERIOS!$J$179:$J$199),
IF(COUNTIF([1]CRITERIOS!$L$179:$L$199,$A131)&gt;=1,
_xlfn.CEILING.MATH(IF($M131&gt;$E131,
$E131,
IF($M131&lt;$E131/ROUNDDOWN([1]CRITERIOS!$M$16/_xlfn.XLOOKUP($C131,[1]CRITERIOS!$K$25:$K$42,[1]CRITERIOS!$M$25:$M$42),
1),
E131/ROUNDDOWN([1]CRITERIOS!$M$16/_xlfn.XLOOKUP($C131,[1]CRITERIOS!$K$25:$K$42,[1]CRITERIOS!$M$25:$M$42),
1),
$M131)),
_xlfn.XLOOKUP($A131,[1]CRITERIOS!$L$179:$L$200,[1]CRITERIOS!$M$179:$M$200)),
_xlfn.CEILING.MATH(IF($M131&gt;$E131,
$E131,
IF($M131&lt;$E131/ROUNDDOWN([1]CRITERIOS!$M$16/_xlfn.XLOOKUP($C131,[1]CRITERIOS!$K$25:$K$42,[1]CRITERIOS!$M$25:$M$42),
1),
E131/ROUNDDOWN([1]CRITERIOS!$M$16/_xlfn.XLOOKUP($C131,[1]CRITERIOS!$K$25:$K$42,[1]CRITERIOS!$M$25:$M$42),
1),
$M131)),_xlfn.XLOOKUP(A131,'[1]DATOS PBI Artículos'!A:A,'[1]DATOS PBI Artículos'!Z:Z
)))))</f>
        <v>10000</v>
      </c>
      <c r="Q131" s="38">
        <f>IF(AND(O131="",N131=0),
0,
   IF(COUNTIF([1]CRITERIOS!$F$179:$F$199,$A131)&gt;=1,
   1,
   IF(R131="MTO",
      $D131,
      ROUNDUP(
                    IF(($E131-SUMIF('[1]DATOS PBI Artículos'!A:A,A131,'[1]DATOS PBI Artículos'!X:X)+($V131-_xlfn.XLOOKUP(A131,'[1]DATOS PBI Artículos'!A:A,'[1]DATOS PBI Artículos'!W:W)))&lt;0,
                    0,
                    IF(($E131-SUMIF('[1]DATOS PBI Artículos'!A:A,A131,'[1]DATOS PBI Artículos'!X:X)+$V131-_xlfn.XLOOKUP($A131,'[1]DATOS PBI Artículos'!A:A,'[1]DATOS PBI Artículos'!W:W))/IF($O131="",$N131,$O131)&gt;ROUNDUP([1]CRITERIOS!$M$16/(IF(COUNTIF([1]CRITERIOS!$BG$11:$BG$201,L131)&gt;=1,_xlfn.XLOOKUP($C131,[1]CRITERIOS!$K$25:$K$42,[1]CRITERIOS!$M$25:$M$42),_xlfn.XLOOKUP($C131,[1]CRITERIOS!$K$25:$K$42,[1]CRITERIOS!$M$25:$M$42))),0),
                    ROUNDUP([1]CRITERIOS!$M$16/(IF(COUNTIF([1]CRITERIOS!$BG$11:$BG$201,$L131)&gt;=1,_xlfn.XLOOKUP($C131,[1]CRITERIOS!$K$25:$K$42,[1]CRITERIOS!$M$25:$M$42),_xlfn.XLOOKUP($C131,[1]CRITERIOS!$K$25:$K$42,[1]CRITERIOS!$M$25:$M$42))),0),
                    (E131+V131-SUMIF('[1]DATOS PBI Artículos'!A:A,A131,'[1]DATOS PBI Artículos'!X:X)-_xlfn.XLOOKUP(A131,'[1]DATOS PBI Artículos'!A:A,'[1]DATOS PBI Artículos'!W:W))/IF($O131="",$N131,$O131))),0))))</f>
        <v>1</v>
      </c>
      <c r="R131" s="33" t="str">
        <f>IF(U131&lt;&gt;"",U131,IF(F131="DV","MTO",IF(N131=0,"MTO",_xlfn.XLOOKUP(CONCATENATE(S131,T131),[1]CRITERIOS!$K$160:$K$168,[1]CRITERIOS!$N$160:$N$168))))</f>
        <v>MTO</v>
      </c>
      <c r="S131" s="33" t="str">
        <f>IF(G131="DV","MTO",IF(N131=0,"MTO",IF(OR(AND(N131=0,O131=""),IF(O131="",G131/N131,G131/O131)&gt;[1]CRITERIOS!$G$163),"MTO",IF(IF(O131="",G131/N131,G131/O131)&lt;[1]CRITERIOS!$H$161,"MTS","MTOS"))))</f>
        <v>MTO</v>
      </c>
      <c r="T131" s="33" t="str">
        <f>IF(F131="DV","MTO",IF(OR(AND($N131=0,O131=""),$F131/$J131&gt;[1]CRITERIOS!$G$170,$F131="DV"),"MTO",IF($F131/$J131&lt;[1]CRITERIOS!$H$168,"MTS","MTOS")))</f>
        <v>MTO</v>
      </c>
      <c r="V131" s="34" t="str">
        <f t="shared" si="7"/>
        <v/>
      </c>
      <c r="X131" s="34">
        <f t="shared" ref="X131:X194" si="8">IF(R131="MTO",0,V131+N131)</f>
        <v>0</v>
      </c>
      <c r="Y131" s="34">
        <f t="shared" ref="Y131:Y194" si="9">IF(R131="MTO",0,Z131+(N131/2))</f>
        <v>0</v>
      </c>
      <c r="Z131" s="34">
        <f>IF($R131="MTO",
0,
($H131+$K131*($E131/[1]CRITERIOS!$M$16))/[1]CRITERIOS!$X$48)</f>
        <v>0</v>
      </c>
      <c r="AA131" s="34" t="e">
        <f>ROUNDUP(($Y131/_xlfn.XLOOKUP($A131,'[1]DATOS PBI Artículos'!$A$4:$A$4,'[1]DATOS PBI Artículos'!$Z$4:$Z$4))/_xlfn.XLOOKUP(_xlfn.XLOOKUP($A131,'[1]DATOS PBI Artículos'!$A$4:$A$4,'[1]DATOS PBI Artículos'!$Y$4:$Y$4),[1]CRITERIOS!$P$79:$P$123,[1]CRITERIOS!$S$79:$S$123,),0)</f>
        <v>#N/A</v>
      </c>
      <c r="AB131" s="33" t="e">
        <f t="array" ref="AB131">IF((E131+V131-_xlfn.XLOOKUP(A131,'[1]DATOS PBI Artículos'!$A$4:$A$4,'[1]DATOS PBI Artículos'!$W$4:$W$4))/N131&gt;ROUNDUP([1]CRITERIOS!$M$16/(IF(COUNTIF([1]CRITERIOS!$BG$11:$BG$201,L131)&gt;=1,_xlfn.XLOOKUP(ARTÍCULOS!L131,[1]CRITERIOS!$BG$11:$BG$201,[1]CRITERIOS!$BJ$11:$BJ$201),_xlfn.XLOOKUP(ARTÍCULOS!C131,[1]CRITERIOS!$K$25:$K$42,[1]CRITERIOS!$M$25:$M$42))),0),ROUNDUP([1]CRITERIOS!$M$16/(IF(COUNTIF([1]CRITERIOS!$BG$11:$BG$201,L131)&gt;=1,_xlfn.XLOOKUP(ARTÍCULOS!L131,[1]CRITERIOS!$BG$11:$BG$201:#REF!,[1]CRITERIOS!$BJ$11:$BJ$201),_xlfn.XLOOKUP(ARTÍCULOS!C131,[1]CRITERIOS!$K$25:$K$42,[1]CRITERIOS!$M$25:$M$42))),0),(E131+V131-_xlfn.XLOOKUP(A131,'[1]DATOS PBI Artículos'!$A$4:$A$4,'[1]DATOS PBI Artículos'!$W$4:$W$4))/N131)</f>
        <v>#VALUE!</v>
      </c>
      <c r="AC131" s="33" t="e">
        <f>IF(N131=0,"",(ROUNDUP((N131/2)/(_xlfn.XLOOKUP(A131,'[1]DATOS PBI Artículos'!$A$4:$A$4,'[1]DATOS PBI Artículos'!$Z$4:$Z$4)*_xlfn.XLOOKUP(_xlfn.XLOOKUP(A131,'[1]DATOS PBI Artículos'!$A$4:$A$4,'[1]DATOS PBI Artículos'!$Y$4:$Y$4),[1]CRITERIOS!$P$79:$P$123,[1]CRITERIOS!$S$79:$S$123)),0)*[1]CRITERIOS!$M$80*([1]CRITERIOS!$M$110/[1]CRITERIOS!$M$86)+(_xlfn.XLOOKUP(A131,'[1]DATOS PBI Artículos'!$A$4:$A$4,'[1]DATOS PBI Artículos'!$AA$4:$AA$4)*([1]CRITERIOS!$M$95+[1]CRITERIOS!$M$98)))/N131)</f>
        <v>#N/A</v>
      </c>
      <c r="AD131" s="33" t="e">
        <f>IF(N131=0,"",(ROUNDUP((N131/2)/(_xlfn.XLOOKUP(A131,'[1]DATOS PBI Artículos'!$A$4:$A$4,'[1]DATOS PBI Artículos'!$Z$4:$Z$4)*_xlfn.XLOOKUP(_xlfn.XLOOKUP(A131,'[1]DATOS PBI Artículos'!$A$4:$A$4,'[1]DATOS PBI Artículos'!$Y$4:$Y$4),[1]CRITERIOS!$P$79:$P$123,[1]CRITERIOS!$S$79:$S$123)),0)*[1]CRITERIOS!$M$80*([1]CRITERIOS!$M$89*[1]CRITERIOS!$M$92)+((_xlfn.XLOOKUP(A131,'[1]DATOS PBI Artículos'!$A$4:$A$4,'[1]DATOS PBI Artículos'!$AA$4:$AA$4)/2)*([1]CRITERIOS!$M$95+[1]CRITERIOS!$M$98)))/N131)</f>
        <v>#N/A</v>
      </c>
      <c r="AE131" s="39" t="str">
        <f>IF($R131="MTO","",
IF($H131=0,ROUNDUP(((_xlfn.XLOOKUP($A131,'[1]DATOS PBI Artículos'!$A:$A,'[1]DATOS PBI Artículos'!$AL:$AL))/(_xlfn.XLOOKUP($AF$1,[1]CRITERIOS!$S$16:$S$39,[1]CRITERIOS!$Y$16:$Y$39))*$J131+$Z131)/$G131,0)*$G131,
((_xlfn.XLOOKUP($A131,'[1]DATOS PBI Artículos'!$A:$A,'[1]DATOS PBI Artículos'!$AL:$AL))/(_xlfn.XLOOKUP($AF$1,[1]CRITERIOS!$S$16:$S$39,[1]CRITERIOS!$Y$16:$Y$39))*$J131+$Z131)))</f>
        <v/>
      </c>
      <c r="AG131" s="39" t="str">
        <f>IF($R131="MTO","",
IF($H131=0,ROUNDUP(((_xlfn.XLOOKUP($A131,'[1]DATOS PBI Artículos'!$A:$A,'[1]DATOS PBI Artículos'!$AM:$AM))/(_xlfn.XLOOKUP($AH$1,[1]CRITERIOS!$S$16:$S$39,[1]CRITERIOS!$Y$16:$Y$39))*$J131+$Z131)/$G131,0)*$G131,
((_xlfn.XLOOKUP($A131,'[1]DATOS PBI Artículos'!$A:$A,'[1]DATOS PBI Artículos'!$AM:$AM))/(_xlfn.XLOOKUP($AH$1,[1]CRITERIOS!$S$16:$S$39,[1]CRITERIOS!$Y$16:$Y$39))*$J131+$Z131)))</f>
        <v/>
      </c>
      <c r="AI131" s="39" t="str">
        <f>IF($R131="MTO","",
IF($H131=0,ROUNDUP(((_xlfn.XLOOKUP($A131,'[1]DATOS PBI Artículos'!$A:$A,'[1]DATOS PBI Artículos'!$AN:$AN))/(_xlfn.XLOOKUP($AJ$1,[1]CRITERIOS!$S$16:$S$39,[1]CRITERIOS!$Y$16:$Y$39))*$J131+$Z131)/$G131,0)*$G131,
((_xlfn.XLOOKUP($A131,'[1]DATOS PBI Artículos'!$A:$A,'[1]DATOS PBI Artículos'!$AN:$AN))/(_xlfn.XLOOKUP($AJ$1,[1]CRITERIOS!$S$16:$S$39,[1]CRITERIOS!$Y$16:$Y$39))*$J131+$Z131)))</f>
        <v/>
      </c>
      <c r="AK131" s="39" t="str">
        <f>IF($R131="MTO","",
IF($H131=0,ROUNDUP(((_xlfn.XLOOKUP($A131,'[1]DATOS PBI Artículos'!$A:$A,'[1]DATOS PBI Artículos'!$AO:$AO))/(_xlfn.XLOOKUP($AL$1,[1]CRITERIOS!$S$16:$S$39,[1]CRITERIOS!$Y$16:$Y$39))*$J131+$Z131)/$G131,0)*$G131,
((_xlfn.XLOOKUP($A131,'[1]DATOS PBI Artículos'!$A:$A,'[1]DATOS PBI Artículos'!$AO:$AO))/(_xlfn.XLOOKUP($AL$1,[1]CRITERIOS!$S$16:$S$39,[1]CRITERIOS!$Y$16:$Y$39))*$J131+$Z131)))</f>
        <v/>
      </c>
    </row>
    <row r="132" spans="1:37" ht="25.8" x14ac:dyDescent="0.5">
      <c r="A132" s="32">
        <v>404015</v>
      </c>
      <c r="B132" s="33">
        <f>_xlfn.XLOOKUP($A132,'[1]DATOS PBI Artículos'!A:A,'[1]DATOS PBI Artículos'!B:B)</f>
        <v>0</v>
      </c>
      <c r="C132" s="33" t="str">
        <f>_xlfn.XLOOKUP($A132,'[1]DATOS PBI Artículos'!A:A,'[1]DATOS PBI Artículos'!C:C)</f>
        <v>UA02</v>
      </c>
      <c r="D132" s="33">
        <f>_xlfn.XLOOKUP(A132,'[1]DATOS PBI Artículos'!A:A,'[1]DATOS PBI Artículos'!T:T)</f>
        <v>4</v>
      </c>
      <c r="E132" s="34">
        <f>IF(_xlfn.XLOOKUP($A132,'[1]DATOS PBI Artículos'!A:A,'[1]DATOS PBI Artículos'!AK:AK)="",_xlfn.XLOOKUP($A132,'[1]DATOS PBI Artículos'!A:A,'[1]DATOS PBI Artículos'!AJ:AJ),_xlfn.XLOOKUP($A132,'[1]DATOS PBI Artículos'!A:A,'[1]DATOS PBI Artículos'!AK:AK))</f>
        <v>55000</v>
      </c>
      <c r="F132" s="35">
        <f>_xlfn.XLOOKUP($A132,'[1]DATOS PBI Artículos'!A:A,'[1]DATOS PBI Artículos'!AP:AP)</f>
        <v>13.5</v>
      </c>
      <c r="G132" s="34">
        <f>_xlfn.XLOOKUP($A132,'[1]DATOS PBI Artículos'!A:A,'[1]DATOS PBI Artículos'!AR:AR)</f>
        <v>5000</v>
      </c>
      <c r="H132" s="34">
        <f>_xlfn.XLOOKUP($A132,'[1]DATOS PBI Artículos'!A:A,'[1]DATOS PBI Artículos'!AT:AT)</f>
        <v>0</v>
      </c>
      <c r="I132" s="34">
        <f>_xlfn.XLOOKUP($A132,'[1]DATOS PBI Artículos'!A:A,'[1]DATOS PBI Artículos'!AS:AS)</f>
        <v>5000</v>
      </c>
      <c r="J132" s="35">
        <f>IF(COUNTIF([1]CRITERIOS!$F$179:$F$199,$A132)&gt;=1,
 IF(O132&lt;&gt;"",
    (O132/_xlfn.XLOOKUP(CONCATENATE(A132,L132),[1]MÁQUINAS!A:A,[1]MÁQUINAS!D:D))/24,
    (N132/_xlfn.XLOOKUP(CONCATENATE(A132,L132),[1]MÁQUINAS!A:A,[1]MÁQUINAS!D:D))/24),
  _xlfn.XLOOKUP($A132,'[1]DATOS PBI Artículos'!A:A,'[1]DATOS PBI Artículos'!AU:AU))</f>
        <v>25</v>
      </c>
      <c r="K132" s="36">
        <f>_xlfn.XLOOKUP($A132,'[1]DATOS PBI Artículos'!A:A,'[1]DATOS PBI Artículos'!AV:AV)</f>
        <v>13.50061726983869</v>
      </c>
      <c r="L132" s="33">
        <f>_xlfn.XLOOKUP(A132,[1]MÁQUINAS!B:B,[1]MÁQUINAS!C:C)</f>
        <v>221</v>
      </c>
      <c r="M132" s="34">
        <f t="array" ref="M132">_xlfn.XLOOKUP(A132,'[1]DATOS PBI Artículos'!A:A,'[1]DATOS PBI Artículos'!AX:$AX)</f>
        <v>20427.207376074548</v>
      </c>
      <c r="N132" s="37">
        <f>IF(I132="DV",
E132,
IF(COUNTIF([1]CRITERIOS!$I$179:$I$199,$A132)&gt;=1,
_xlfn.XLOOKUP($A132,[1]CRITERIOS!$I$179:$I$199,[1]CRITERIOS!$J$179:$J$199),
IF(COUNTIF([1]CRITERIOS!$L$179:$L$199,$A132)&gt;=1,
_xlfn.CEILING.MATH(IF($M132&gt;$E132,
$E132,
IF($M132&lt;$E132/ROUNDDOWN([1]CRITERIOS!$M$16/_xlfn.XLOOKUP($C132,[1]CRITERIOS!$K$25:$K$42,[1]CRITERIOS!$M$25:$M$42),
1),
E132/ROUNDDOWN([1]CRITERIOS!$M$16/_xlfn.XLOOKUP($C132,[1]CRITERIOS!$K$25:$K$42,[1]CRITERIOS!$M$25:$M$42),
1),
$M132)),
_xlfn.XLOOKUP($A132,[1]CRITERIOS!$L$179:$L$200,[1]CRITERIOS!$M$179:$M$200)),
_xlfn.CEILING.MATH(IF($M132&gt;$E132,
$E132,
IF($M132&lt;$E132/ROUNDDOWN([1]CRITERIOS!$M$16/_xlfn.XLOOKUP($C132,[1]CRITERIOS!$K$25:$K$42,[1]CRITERIOS!$M$25:$M$42),
1),
E132/ROUNDDOWN([1]CRITERIOS!$M$16/_xlfn.XLOOKUP($C132,[1]CRITERIOS!$K$25:$K$42,[1]CRITERIOS!$M$25:$M$42),
1),
$M132)),_xlfn.XLOOKUP(A132,'[1]DATOS PBI Artículos'!A:A,'[1]DATOS PBI Artículos'!Z:Z
)))))</f>
        <v>25000</v>
      </c>
      <c r="Q132" s="38">
        <f>IF(AND(O132="",N132=0),
0,
   IF(COUNTIF([1]CRITERIOS!$F$179:$F$199,$A132)&gt;=1,
   1,
   IF(R132="MTO",
      $D132,
      ROUNDUP(
                    IF(($E132-SUMIF('[1]DATOS PBI Artículos'!A:A,A132,'[1]DATOS PBI Artículos'!X:X)+($V132-_xlfn.XLOOKUP(A132,'[1]DATOS PBI Artículos'!A:A,'[1]DATOS PBI Artículos'!W:W)))&lt;0,
                    0,
                    IF(($E132-SUMIF('[1]DATOS PBI Artículos'!A:A,A132,'[1]DATOS PBI Artículos'!X:X)+$V132-_xlfn.XLOOKUP($A132,'[1]DATOS PBI Artículos'!A:A,'[1]DATOS PBI Artículos'!W:W))/IF($O132="",$N132,$O132)&gt;ROUNDUP([1]CRITERIOS!$M$16/(IF(COUNTIF([1]CRITERIOS!$BG$11:$BG$201,L132)&gt;=1,_xlfn.XLOOKUP($C132,[1]CRITERIOS!$K$25:$K$42,[1]CRITERIOS!$M$25:$M$42),_xlfn.XLOOKUP($C132,[1]CRITERIOS!$K$25:$K$42,[1]CRITERIOS!$M$25:$M$42))),0),
                    ROUNDUP([1]CRITERIOS!$M$16/(IF(COUNTIF([1]CRITERIOS!$BG$11:$BG$201,$L132)&gt;=1,_xlfn.XLOOKUP($C132,[1]CRITERIOS!$K$25:$K$42,[1]CRITERIOS!$M$25:$M$42),_xlfn.XLOOKUP($C132,[1]CRITERIOS!$K$25:$K$42,[1]CRITERIOS!$M$25:$M$42))),0),
                    (E132+V132-SUMIF('[1]DATOS PBI Artículos'!A:A,A132,'[1]DATOS PBI Artículos'!X:X)-_xlfn.XLOOKUP(A132,'[1]DATOS PBI Artículos'!A:A,'[1]DATOS PBI Artículos'!W:W))/IF($O132="",$N132,$O132))),0))))</f>
        <v>1</v>
      </c>
      <c r="R132" s="33" t="str">
        <f>IF(U132&lt;&gt;"",U132,IF(F132="DV","MTO",IF(N132=0,"MTO",_xlfn.XLOOKUP(CONCATENATE(S132,T132),[1]CRITERIOS!$K$160:$K$168,[1]CRITERIOS!$N$160:$N$168))))</f>
        <v>MTS</v>
      </c>
      <c r="S132" s="33" t="str">
        <f>IF(G132="DV","MTO",IF(N132=0,"MTO",IF(OR(AND(N132=0,O132=""),IF(O132="",G132/N132,G132/O132)&gt;[1]CRITERIOS!$G$163),"MTO",IF(IF(O132="",G132/N132,G132/O132)&lt;[1]CRITERIOS!$H$161,"MTS","MTOS"))))</f>
        <v>MTS</v>
      </c>
      <c r="T132" s="33" t="str">
        <f>IF(F132="DV","MTO",IF(OR(AND($N132=0,O132=""),$F132/$J132&gt;[1]CRITERIOS!$G$170,$F132="DV"),"MTO",IF($F132/$J132&lt;[1]CRITERIOS!$H$168,"MTS","MTOS")))</f>
        <v>MTS</v>
      </c>
      <c r="V132" s="34">
        <f t="shared" si="7"/>
        <v>17509.636479716239</v>
      </c>
      <c r="X132" s="34">
        <f t="shared" si="8"/>
        <v>42509.636479716239</v>
      </c>
      <c r="Y132" s="34">
        <f t="shared" si="9"/>
        <v>20750.377220456976</v>
      </c>
      <c r="Z132" s="34">
        <f>IF($R132="MTO",
0,
($H132+$K132*($E132/[1]CRITERIOS!$M$16))/[1]CRITERIOS!$X$48)</f>
        <v>8250.3772204569777</v>
      </c>
      <c r="AA132" s="34" t="e">
        <f>ROUNDUP(($Y132/_xlfn.XLOOKUP($A132,'[1]DATOS PBI Artículos'!$A$4:$A$4,'[1]DATOS PBI Artículos'!$Z$4:$Z$4))/_xlfn.XLOOKUP(_xlfn.XLOOKUP($A132,'[1]DATOS PBI Artículos'!$A$4:$A$4,'[1]DATOS PBI Artículos'!$Y$4:$Y$4),[1]CRITERIOS!$P$79:$P$123,[1]CRITERIOS!$S$79:$S$123,),0)</f>
        <v>#N/A</v>
      </c>
      <c r="AB132" s="33" t="e">
        <f t="array" ref="AB132">IF((E132+V132-_xlfn.XLOOKUP(A132,'[1]DATOS PBI Artículos'!$A$4:$A$4,'[1]DATOS PBI Artículos'!$W$4:$W$4))/N132&gt;ROUNDUP([1]CRITERIOS!$M$16/(IF(COUNTIF([1]CRITERIOS!$BG$11:$BG$201,L132)&gt;=1,_xlfn.XLOOKUP(ARTÍCULOS!L132,[1]CRITERIOS!$BG$11:$BG$201,[1]CRITERIOS!$BJ$11:$BJ$201),_xlfn.XLOOKUP(ARTÍCULOS!C132,[1]CRITERIOS!$K$25:$K$42,[1]CRITERIOS!$M$25:$M$42))),0),ROUNDUP([1]CRITERIOS!$M$16/(IF(COUNTIF([1]CRITERIOS!$BG$11:$BG$201,L132)&gt;=1,_xlfn.XLOOKUP(ARTÍCULOS!L132,[1]CRITERIOS!$BG$11:$BG$201:#REF!,[1]CRITERIOS!$BJ$11:$BJ$201),_xlfn.XLOOKUP(ARTÍCULOS!C132,[1]CRITERIOS!$K$25:$K$42,[1]CRITERIOS!$M$25:$M$42))),0),(E132+V132-_xlfn.XLOOKUP(A132,'[1]DATOS PBI Artículos'!$A$4:$A$4,'[1]DATOS PBI Artículos'!$W$4:$W$4))/N132)</f>
        <v>#N/A</v>
      </c>
      <c r="AC132" s="33" t="e">
        <f>IF(N132=0,"",(ROUNDUP((N132/2)/(_xlfn.XLOOKUP(A132,'[1]DATOS PBI Artículos'!$A$4:$A$4,'[1]DATOS PBI Artículos'!$Z$4:$Z$4)*_xlfn.XLOOKUP(_xlfn.XLOOKUP(A132,'[1]DATOS PBI Artículos'!$A$4:$A$4,'[1]DATOS PBI Artículos'!$Y$4:$Y$4),[1]CRITERIOS!$P$79:$P$123,[1]CRITERIOS!$S$79:$S$123)),0)*[1]CRITERIOS!$M$80*([1]CRITERIOS!$M$110/[1]CRITERIOS!$M$86)+(_xlfn.XLOOKUP(A132,'[1]DATOS PBI Artículos'!$A$4:$A$4,'[1]DATOS PBI Artículos'!$AA$4:$AA$4)*([1]CRITERIOS!$M$95+[1]CRITERIOS!$M$98)))/N132)</f>
        <v>#N/A</v>
      </c>
      <c r="AD132" s="33" t="e">
        <f>IF(N132=0,"",(ROUNDUP((N132/2)/(_xlfn.XLOOKUP(A132,'[1]DATOS PBI Artículos'!$A$4:$A$4,'[1]DATOS PBI Artículos'!$Z$4:$Z$4)*_xlfn.XLOOKUP(_xlfn.XLOOKUP(A132,'[1]DATOS PBI Artículos'!$A$4:$A$4,'[1]DATOS PBI Artículos'!$Y$4:$Y$4),[1]CRITERIOS!$P$79:$P$123,[1]CRITERIOS!$S$79:$S$123)),0)*[1]CRITERIOS!$M$80*([1]CRITERIOS!$M$89*[1]CRITERIOS!$M$92)+((_xlfn.XLOOKUP(A132,'[1]DATOS PBI Artículos'!$A$4:$A$4,'[1]DATOS PBI Artículos'!$AA$4:$AA$4)/2)*([1]CRITERIOS!$M$95+[1]CRITERIOS!$M$98)))/N132)</f>
        <v>#N/A</v>
      </c>
      <c r="AE132" s="39">
        <f>IF($R132="MTO","",
IF($H132=0,ROUNDUP(((_xlfn.XLOOKUP($A132,'[1]DATOS PBI Artículos'!$A:$A,'[1]DATOS PBI Artículos'!$AL:$AL))/(_xlfn.XLOOKUP($AF$1,[1]CRITERIOS!$S$16:$S$39,[1]CRITERIOS!$Y$16:$Y$39))*$J132+$Z132)/$G132,0)*$G132,
((_xlfn.XLOOKUP($A132,'[1]DATOS PBI Artículos'!$A:$A,'[1]DATOS PBI Artículos'!$AL:$AL))/(_xlfn.XLOOKUP($AF$1,[1]CRITERIOS!$S$16:$S$39,[1]CRITERIOS!$Y$16:$Y$39))*$J132+$Z132)))</f>
        <v>30000</v>
      </c>
      <c r="AG132" s="39">
        <f>IF($R132="MTO","",
IF($H132=0,ROUNDUP(((_xlfn.XLOOKUP($A132,'[1]DATOS PBI Artículos'!$A:$A,'[1]DATOS PBI Artículos'!$AM:$AM))/(_xlfn.XLOOKUP($AH$1,[1]CRITERIOS!$S$16:$S$39,[1]CRITERIOS!$Y$16:$Y$39))*$J132+$Z132)/$G132,0)*$G132,
((_xlfn.XLOOKUP($A132,'[1]DATOS PBI Artículos'!$A:$A,'[1]DATOS PBI Artículos'!$AM:$AM))/(_xlfn.XLOOKUP($AH$1,[1]CRITERIOS!$S$16:$S$39,[1]CRITERIOS!$Y$16:$Y$39))*$J132+$Z132)))</f>
        <v>25000</v>
      </c>
      <c r="AI132" s="39">
        <f>IF($R132="MTO","",
IF($H132=0,ROUNDUP(((_xlfn.XLOOKUP($A132,'[1]DATOS PBI Artículos'!$A:$A,'[1]DATOS PBI Artículos'!$AN:$AN))/(_xlfn.XLOOKUP($AJ$1,[1]CRITERIOS!$S$16:$S$39,[1]CRITERIOS!$Y$16:$Y$39))*$J132+$Z132)/$G132,0)*$G132,
((_xlfn.XLOOKUP($A132,'[1]DATOS PBI Artículos'!$A:$A,'[1]DATOS PBI Artículos'!$AN:$AN))/(_xlfn.XLOOKUP($AJ$1,[1]CRITERIOS!$S$16:$S$39,[1]CRITERIOS!$Y$16:$Y$39))*$J132+$Z132)))</f>
        <v>30000</v>
      </c>
      <c r="AK132" s="39">
        <f>IF($R132="MTO","",
IF($H132=0,ROUNDUP(((_xlfn.XLOOKUP($A132,'[1]DATOS PBI Artículos'!$A:$A,'[1]DATOS PBI Artículos'!$AO:$AO))/(_xlfn.XLOOKUP($AL$1,[1]CRITERIOS!$S$16:$S$39,[1]CRITERIOS!$Y$16:$Y$39))*$J132+$Z132)/$G132,0)*$G132,
((_xlfn.XLOOKUP($A132,'[1]DATOS PBI Artículos'!$A:$A,'[1]DATOS PBI Artículos'!$AO:$AO))/(_xlfn.XLOOKUP($AL$1,[1]CRITERIOS!$S$16:$S$39,[1]CRITERIOS!$Y$16:$Y$39))*$J132+$Z132)))</f>
        <v>30000</v>
      </c>
    </row>
    <row r="133" spans="1:37" ht="25.8" x14ac:dyDescent="0.5">
      <c r="A133" s="32">
        <v>453805</v>
      </c>
      <c r="B133" s="33">
        <f>_xlfn.XLOOKUP($A133,'[1]DATOS PBI Artículos'!A:A,'[1]DATOS PBI Artículos'!B:B)</f>
        <v>0</v>
      </c>
      <c r="C133" s="33" t="str">
        <f>_xlfn.XLOOKUP($A133,'[1]DATOS PBI Artículos'!A:A,'[1]DATOS PBI Artículos'!C:C)</f>
        <v>UA03</v>
      </c>
      <c r="D133" s="33">
        <f>_xlfn.XLOOKUP(A133,'[1]DATOS PBI Artículos'!A:A,'[1]DATOS PBI Artículos'!T:T)</f>
        <v>1</v>
      </c>
      <c r="E133" s="34">
        <f>IF(_xlfn.XLOOKUP($A133,'[1]DATOS PBI Artículos'!A:A,'[1]DATOS PBI Artículos'!AK:AK)="",_xlfn.XLOOKUP($A133,'[1]DATOS PBI Artículos'!A:A,'[1]DATOS PBI Artículos'!AJ:AJ),_xlfn.XLOOKUP($A133,'[1]DATOS PBI Artículos'!A:A,'[1]DATOS PBI Artículos'!AK:AK))</f>
        <v>50000</v>
      </c>
      <c r="F133" s="35">
        <f>_xlfn.XLOOKUP($A133,'[1]DATOS PBI Artículos'!A:A,'[1]DATOS PBI Artículos'!AP:AP)</f>
        <v>75</v>
      </c>
      <c r="G133" s="34">
        <f>_xlfn.XLOOKUP($A133,'[1]DATOS PBI Artículos'!A:A,'[1]DATOS PBI Artículos'!AR:AR)</f>
        <v>50000</v>
      </c>
      <c r="H133" s="34">
        <f>_xlfn.XLOOKUP($A133,'[1]DATOS PBI Artículos'!A:A,'[1]DATOS PBI Artículos'!AT:AT)</f>
        <v>0</v>
      </c>
      <c r="I133" s="34">
        <f>_xlfn.XLOOKUP($A133,'[1]DATOS PBI Artículos'!A:A,'[1]DATOS PBI Artículos'!AS:AS)</f>
        <v>50000</v>
      </c>
      <c r="J133" s="35">
        <f>IF(COUNTIF([1]CRITERIOS!$F$179:$F$199,$A133)&gt;=1,
 IF(O133&lt;&gt;"",
    (O133/_xlfn.XLOOKUP(CONCATENATE(A133,L133),[1]MÁQUINAS!A:A,[1]MÁQUINAS!D:D))/24,
    (N133/_xlfn.XLOOKUP(CONCATENATE(A133,L133),[1]MÁQUINAS!A:A,[1]MÁQUINAS!D:D))/24),
  _xlfn.XLOOKUP($A133,'[1]DATOS PBI Artículos'!A:A,'[1]DATOS PBI Artículos'!AU:AU))</f>
        <v>13</v>
      </c>
      <c r="K133" s="36">
        <f>_xlfn.XLOOKUP($A133,'[1]DATOS PBI Artículos'!A:A,'[1]DATOS PBI Artículos'!AV:AV)</f>
        <v>0</v>
      </c>
      <c r="L133" s="33">
        <f>_xlfn.XLOOKUP(A133,[1]MÁQUINAS!B:B,[1]MÁQUINAS!C:C)</f>
        <v>142</v>
      </c>
      <c r="M133" s="34">
        <f t="array" ref="M133">_xlfn.XLOOKUP(A133,'[1]DATOS PBI Artículos'!A:A,'[1]DATOS PBI Artículos'!AX:$AX)</f>
        <v>21386.594437293341</v>
      </c>
      <c r="N133" s="37">
        <f>IF(I133="DV",
E133,
IF(COUNTIF([1]CRITERIOS!$I$179:$I$199,$A133)&gt;=1,
_xlfn.XLOOKUP($A133,[1]CRITERIOS!$I$179:$I$199,[1]CRITERIOS!$J$179:$J$199),
IF(COUNTIF([1]CRITERIOS!$L$179:$L$199,$A133)&gt;=1,
_xlfn.CEILING.MATH(IF($M133&gt;$E133,
$E133,
IF($M133&lt;$E133/ROUNDDOWN([1]CRITERIOS!$M$16/_xlfn.XLOOKUP($C133,[1]CRITERIOS!$K$25:$K$42,[1]CRITERIOS!$M$25:$M$42),
1),
E133/ROUNDDOWN([1]CRITERIOS!$M$16/_xlfn.XLOOKUP($C133,[1]CRITERIOS!$K$25:$K$42,[1]CRITERIOS!$M$25:$M$42),
1),
$M133)),
_xlfn.XLOOKUP($A133,[1]CRITERIOS!$L$179:$L$200,[1]CRITERIOS!$M$179:$M$200)),
_xlfn.CEILING.MATH(IF($M133&gt;$E133,
$E133,
IF($M133&lt;$E133/ROUNDDOWN([1]CRITERIOS!$M$16/_xlfn.XLOOKUP($C133,[1]CRITERIOS!$K$25:$K$42,[1]CRITERIOS!$M$25:$M$42),
1),
E133/ROUNDDOWN([1]CRITERIOS!$M$16/_xlfn.XLOOKUP($C133,[1]CRITERIOS!$K$25:$K$42,[1]CRITERIOS!$M$25:$M$42),
1),
$M133)),_xlfn.XLOOKUP(A133,'[1]DATOS PBI Artículos'!A:A,'[1]DATOS PBI Artículos'!Z:Z
)))))</f>
        <v>23800</v>
      </c>
      <c r="Q133" s="38">
        <f>IF(AND(O133="",N133=0),
0,
   IF(COUNTIF([1]CRITERIOS!$F$179:$F$199,$A133)&gt;=1,
   1,
   IF(R133="MTO",
      $D133,
      ROUNDUP(
                    IF(($E133-SUMIF('[1]DATOS PBI Artículos'!A:A,A133,'[1]DATOS PBI Artículos'!X:X)+($V133-_xlfn.XLOOKUP(A133,'[1]DATOS PBI Artículos'!A:A,'[1]DATOS PBI Artículos'!W:W)))&lt;0,
                    0,
                    IF(($E133-SUMIF('[1]DATOS PBI Artículos'!A:A,A133,'[1]DATOS PBI Artículos'!X:X)+$V133-_xlfn.XLOOKUP($A133,'[1]DATOS PBI Artículos'!A:A,'[1]DATOS PBI Artículos'!W:W))/IF($O133="",$N133,$O133)&gt;ROUNDUP([1]CRITERIOS!$M$16/(IF(COUNTIF([1]CRITERIOS!$BG$11:$BG$201,L133)&gt;=1,_xlfn.XLOOKUP($C133,[1]CRITERIOS!$K$25:$K$42,[1]CRITERIOS!$M$25:$M$42),_xlfn.XLOOKUP($C133,[1]CRITERIOS!$K$25:$K$42,[1]CRITERIOS!$M$25:$M$42))),0),
                    ROUNDUP([1]CRITERIOS!$M$16/(IF(COUNTIF([1]CRITERIOS!$BG$11:$BG$201,$L133)&gt;=1,_xlfn.XLOOKUP($C133,[1]CRITERIOS!$K$25:$K$42,[1]CRITERIOS!$M$25:$M$42),_xlfn.XLOOKUP($C133,[1]CRITERIOS!$K$25:$K$42,[1]CRITERIOS!$M$25:$M$42))),0),
                    (E133+V133-SUMIF('[1]DATOS PBI Artículos'!A:A,A133,'[1]DATOS PBI Artículos'!X:X)-_xlfn.XLOOKUP(A133,'[1]DATOS PBI Artículos'!A:A,'[1]DATOS PBI Artículos'!W:W))/IF($O133="",$N133,$O133))),0))))</f>
        <v>1</v>
      </c>
      <c r="R133" s="33" t="str">
        <f>IF(U133&lt;&gt;"",U133,IF(F133="DV","MTO",IF(N133=0,"MTO",_xlfn.XLOOKUP(CONCATENATE(S133,T133),[1]CRITERIOS!$K$160:$K$168,[1]CRITERIOS!$N$160:$N$168))))</f>
        <v>MTO</v>
      </c>
      <c r="S133" s="33" t="str">
        <f>IF(G133="DV","MTO",IF(N133=0,"MTO",IF(OR(AND(N133=0,O133=""),IF(O133="",G133/N133,G133/O133)&gt;[1]CRITERIOS!$G$163),"MTO",IF(IF(O133="",G133/N133,G133/O133)&lt;[1]CRITERIOS!$H$161,"MTS","MTOS"))))</f>
        <v>MTO</v>
      </c>
      <c r="T133" s="33" t="str">
        <f>IF(F133="DV","MTO",IF(OR(AND($N133=0,O133=""),$F133/$J133&gt;[1]CRITERIOS!$G$170,$F133="DV"),"MTO",IF($F133/$J133&lt;[1]CRITERIOS!$H$168,"MTS","MTOS")))</f>
        <v>MTO</v>
      </c>
      <c r="V133" s="34" t="str">
        <f t="shared" si="7"/>
        <v/>
      </c>
      <c r="X133" s="34">
        <f t="shared" si="8"/>
        <v>0</v>
      </c>
      <c r="Y133" s="34">
        <f t="shared" si="9"/>
        <v>0</v>
      </c>
      <c r="Z133" s="34">
        <f>IF($R133="MTO",
0,
($H133+$K133*($E133/[1]CRITERIOS!$M$16))/[1]CRITERIOS!$X$48)</f>
        <v>0</v>
      </c>
      <c r="AA133" s="34" t="e">
        <f>ROUNDUP(($Y133/_xlfn.XLOOKUP($A133,'[1]DATOS PBI Artículos'!$A$4:$A$4,'[1]DATOS PBI Artículos'!$Z$4:$Z$4))/_xlfn.XLOOKUP(_xlfn.XLOOKUP($A133,'[1]DATOS PBI Artículos'!$A$4:$A$4,'[1]DATOS PBI Artículos'!$Y$4:$Y$4),[1]CRITERIOS!$P$79:$P$123,[1]CRITERIOS!$S$79:$S$123,),0)</f>
        <v>#N/A</v>
      </c>
      <c r="AB133" s="33" t="e">
        <f t="array" ref="AB133">IF((E133+V133-_xlfn.XLOOKUP(A133,'[1]DATOS PBI Artículos'!$A$4:$A$4,'[1]DATOS PBI Artículos'!$W$4:$W$4))/N133&gt;ROUNDUP([1]CRITERIOS!$M$16/(IF(COUNTIF([1]CRITERIOS!$BG$11:$BG$201,L133)&gt;=1,_xlfn.XLOOKUP(ARTÍCULOS!L133,[1]CRITERIOS!$BG$11:$BG$201,[1]CRITERIOS!$BJ$11:$BJ$201),_xlfn.XLOOKUP(ARTÍCULOS!C133,[1]CRITERIOS!$K$25:$K$42,[1]CRITERIOS!$M$25:$M$42))),0),ROUNDUP([1]CRITERIOS!$M$16/(IF(COUNTIF([1]CRITERIOS!$BG$11:$BG$201,L133)&gt;=1,_xlfn.XLOOKUP(ARTÍCULOS!L133,[1]CRITERIOS!$BG$11:$BG$201:#REF!,[1]CRITERIOS!$BJ$11:$BJ$201),_xlfn.XLOOKUP(ARTÍCULOS!C133,[1]CRITERIOS!$K$25:$K$42,[1]CRITERIOS!$M$25:$M$42))),0),(E133+V133-_xlfn.XLOOKUP(A133,'[1]DATOS PBI Artículos'!$A$4:$A$4,'[1]DATOS PBI Artículos'!$W$4:$W$4))/N133)</f>
        <v>#VALUE!</v>
      </c>
      <c r="AC133" s="33" t="e">
        <f>IF(N133=0,"",(ROUNDUP((N133/2)/(_xlfn.XLOOKUP(A133,'[1]DATOS PBI Artículos'!$A$4:$A$4,'[1]DATOS PBI Artículos'!$Z$4:$Z$4)*_xlfn.XLOOKUP(_xlfn.XLOOKUP(A133,'[1]DATOS PBI Artículos'!$A$4:$A$4,'[1]DATOS PBI Artículos'!$Y$4:$Y$4),[1]CRITERIOS!$P$79:$P$123,[1]CRITERIOS!$S$79:$S$123)),0)*[1]CRITERIOS!$M$80*([1]CRITERIOS!$M$110/[1]CRITERIOS!$M$86)+(_xlfn.XLOOKUP(A133,'[1]DATOS PBI Artículos'!$A$4:$A$4,'[1]DATOS PBI Artículos'!$AA$4:$AA$4)*([1]CRITERIOS!$M$95+[1]CRITERIOS!$M$98)))/N133)</f>
        <v>#N/A</v>
      </c>
      <c r="AD133" s="33" t="e">
        <f>IF(N133=0,"",(ROUNDUP((N133/2)/(_xlfn.XLOOKUP(A133,'[1]DATOS PBI Artículos'!$A$4:$A$4,'[1]DATOS PBI Artículos'!$Z$4:$Z$4)*_xlfn.XLOOKUP(_xlfn.XLOOKUP(A133,'[1]DATOS PBI Artículos'!$A$4:$A$4,'[1]DATOS PBI Artículos'!$Y$4:$Y$4),[1]CRITERIOS!$P$79:$P$123,[1]CRITERIOS!$S$79:$S$123)),0)*[1]CRITERIOS!$M$80*([1]CRITERIOS!$M$89*[1]CRITERIOS!$M$92)+((_xlfn.XLOOKUP(A133,'[1]DATOS PBI Artículos'!$A$4:$A$4,'[1]DATOS PBI Artículos'!$AA$4:$AA$4)/2)*([1]CRITERIOS!$M$95+[1]CRITERIOS!$M$98)))/N133)</f>
        <v>#N/A</v>
      </c>
      <c r="AE133" s="39" t="str">
        <f>IF($R133="MTO","",
IF($H133=0,ROUNDUP(((_xlfn.XLOOKUP($A133,'[1]DATOS PBI Artículos'!$A:$A,'[1]DATOS PBI Artículos'!$AL:$AL))/(_xlfn.XLOOKUP($AF$1,[1]CRITERIOS!$S$16:$S$39,[1]CRITERIOS!$Y$16:$Y$39))*$J133+$Z133)/$G133,0)*$G133,
((_xlfn.XLOOKUP($A133,'[1]DATOS PBI Artículos'!$A:$A,'[1]DATOS PBI Artículos'!$AL:$AL))/(_xlfn.XLOOKUP($AF$1,[1]CRITERIOS!$S$16:$S$39,[1]CRITERIOS!$Y$16:$Y$39))*$J133+$Z133)))</f>
        <v/>
      </c>
      <c r="AG133" s="39" t="str">
        <f>IF($R133="MTO","",
IF($H133=0,ROUNDUP(((_xlfn.XLOOKUP($A133,'[1]DATOS PBI Artículos'!$A:$A,'[1]DATOS PBI Artículos'!$AM:$AM))/(_xlfn.XLOOKUP($AH$1,[1]CRITERIOS!$S$16:$S$39,[1]CRITERIOS!$Y$16:$Y$39))*$J133+$Z133)/$G133,0)*$G133,
((_xlfn.XLOOKUP($A133,'[1]DATOS PBI Artículos'!$A:$A,'[1]DATOS PBI Artículos'!$AM:$AM))/(_xlfn.XLOOKUP($AH$1,[1]CRITERIOS!$S$16:$S$39,[1]CRITERIOS!$Y$16:$Y$39))*$J133+$Z133)))</f>
        <v/>
      </c>
      <c r="AI133" s="39" t="str">
        <f>IF($R133="MTO","",
IF($H133=0,ROUNDUP(((_xlfn.XLOOKUP($A133,'[1]DATOS PBI Artículos'!$A:$A,'[1]DATOS PBI Artículos'!$AN:$AN))/(_xlfn.XLOOKUP($AJ$1,[1]CRITERIOS!$S$16:$S$39,[1]CRITERIOS!$Y$16:$Y$39))*$J133+$Z133)/$G133,0)*$G133,
((_xlfn.XLOOKUP($A133,'[1]DATOS PBI Artículos'!$A:$A,'[1]DATOS PBI Artículos'!$AN:$AN))/(_xlfn.XLOOKUP($AJ$1,[1]CRITERIOS!$S$16:$S$39,[1]CRITERIOS!$Y$16:$Y$39))*$J133+$Z133)))</f>
        <v/>
      </c>
      <c r="AK133" s="39" t="str">
        <f>IF($R133="MTO","",
IF($H133=0,ROUNDUP(((_xlfn.XLOOKUP($A133,'[1]DATOS PBI Artículos'!$A:$A,'[1]DATOS PBI Artículos'!$AO:$AO))/(_xlfn.XLOOKUP($AL$1,[1]CRITERIOS!$S$16:$S$39,[1]CRITERIOS!$Y$16:$Y$39))*$J133+$Z133)/$G133,0)*$G133,
((_xlfn.XLOOKUP($A133,'[1]DATOS PBI Artículos'!$A:$A,'[1]DATOS PBI Artículos'!$AO:$AO))/(_xlfn.XLOOKUP($AL$1,[1]CRITERIOS!$S$16:$S$39,[1]CRITERIOS!$Y$16:$Y$39))*$J133+$Z133)))</f>
        <v/>
      </c>
    </row>
    <row r="134" spans="1:37" ht="25.8" x14ac:dyDescent="0.5">
      <c r="A134" s="32">
        <v>452952</v>
      </c>
      <c r="B134" s="33">
        <f>_xlfn.XLOOKUP($A134,'[1]DATOS PBI Artículos'!A:A,'[1]DATOS PBI Artículos'!B:B)</f>
        <v>0</v>
      </c>
      <c r="C134" s="33" t="str">
        <f>_xlfn.XLOOKUP($A134,'[1]DATOS PBI Artículos'!A:A,'[1]DATOS PBI Artículos'!C:C)</f>
        <v>UA02</v>
      </c>
      <c r="D134" s="33">
        <f>_xlfn.XLOOKUP(A134,'[1]DATOS PBI Artículos'!A:A,'[1]DATOS PBI Artículos'!T:T)</f>
        <v>1</v>
      </c>
      <c r="E134" s="34">
        <f>IF(_xlfn.XLOOKUP($A134,'[1]DATOS PBI Artículos'!A:A,'[1]DATOS PBI Artículos'!AK:AK)="",_xlfn.XLOOKUP($A134,'[1]DATOS PBI Artículos'!A:A,'[1]DATOS PBI Artículos'!AJ:AJ),_xlfn.XLOOKUP($A134,'[1]DATOS PBI Artículos'!A:A,'[1]DATOS PBI Artículos'!AK:AK))</f>
        <v>50000</v>
      </c>
      <c r="F134" s="35">
        <f>_xlfn.XLOOKUP($A134,'[1]DATOS PBI Artículos'!A:A,'[1]DATOS PBI Artículos'!AP:AP)</f>
        <v>75</v>
      </c>
      <c r="G134" s="34">
        <f>_xlfn.XLOOKUP($A134,'[1]DATOS PBI Artículos'!A:A,'[1]DATOS PBI Artículos'!AR:AR)</f>
        <v>50000</v>
      </c>
      <c r="H134" s="34">
        <f>_xlfn.XLOOKUP($A134,'[1]DATOS PBI Artículos'!A:A,'[1]DATOS PBI Artículos'!AT:AT)</f>
        <v>0</v>
      </c>
      <c r="I134" s="34">
        <f>_xlfn.XLOOKUP($A134,'[1]DATOS PBI Artículos'!A:A,'[1]DATOS PBI Artículos'!AS:AS)</f>
        <v>50000</v>
      </c>
      <c r="J134" s="35">
        <f>IF(COUNTIF([1]CRITERIOS!$F$179:$F$199,$A134)&gt;=1,
 IF(O134&lt;&gt;"",
    (O134/_xlfn.XLOOKUP(CONCATENATE(A134,L134),[1]MÁQUINAS!A:A,[1]MÁQUINAS!D:D))/24,
    (N134/_xlfn.XLOOKUP(CONCATENATE(A134,L134),[1]MÁQUINAS!A:A,[1]MÁQUINAS!D:D))/24),
  _xlfn.XLOOKUP($A134,'[1]DATOS PBI Artículos'!A:A,'[1]DATOS PBI Artículos'!AU:AU))</f>
        <v>22</v>
      </c>
      <c r="K134" s="36">
        <f>_xlfn.XLOOKUP($A134,'[1]DATOS PBI Artículos'!A:A,'[1]DATOS PBI Artículos'!AV:AV)</f>
        <v>91.923881554251182</v>
      </c>
      <c r="L134" s="33">
        <f>_xlfn.XLOOKUP(A134,[1]MÁQUINAS!B:B,[1]MÁQUINAS!C:C)</f>
        <v>215</v>
      </c>
      <c r="M134" s="34">
        <f t="array" ref="M134">_xlfn.XLOOKUP(A134,'[1]DATOS PBI Artículos'!A:A,'[1]DATOS PBI Artículos'!AX:$AX)</f>
        <v>0</v>
      </c>
      <c r="N134" s="37">
        <f>IF(I134="DV",
E134,
IF(COUNTIF([1]CRITERIOS!$I$179:$I$199,$A134)&gt;=1,
_xlfn.XLOOKUP($A134,[1]CRITERIOS!$I$179:$I$199,[1]CRITERIOS!$J$179:$J$199),
IF(COUNTIF([1]CRITERIOS!$L$179:$L$199,$A134)&gt;=1,
_xlfn.CEILING.MATH(IF($M134&gt;$E134,
$E134,
IF($M134&lt;$E134/ROUNDDOWN([1]CRITERIOS!$M$16/_xlfn.XLOOKUP($C134,[1]CRITERIOS!$K$25:$K$42,[1]CRITERIOS!$M$25:$M$42),
1),
E134/ROUNDDOWN([1]CRITERIOS!$M$16/_xlfn.XLOOKUP($C134,[1]CRITERIOS!$K$25:$K$42,[1]CRITERIOS!$M$25:$M$42),
1),
$M134)),
_xlfn.XLOOKUP($A134,[1]CRITERIOS!$L$179:$L$200,[1]CRITERIOS!$M$179:$M$200)),
_xlfn.CEILING.MATH(IF($M134&gt;$E134,
$E134,
IF($M134&lt;$E134/ROUNDDOWN([1]CRITERIOS!$M$16/_xlfn.XLOOKUP($C134,[1]CRITERIOS!$K$25:$K$42,[1]CRITERIOS!$M$25:$M$42),
1),
E134/ROUNDDOWN([1]CRITERIOS!$M$16/_xlfn.XLOOKUP($C134,[1]CRITERIOS!$K$25:$K$42,[1]CRITERIOS!$M$25:$M$42),
1),
$M134)),_xlfn.XLOOKUP(A134,'[1]DATOS PBI Artículos'!A:A,'[1]DATOS PBI Artículos'!Z:Z
)))))</f>
        <v>50000</v>
      </c>
      <c r="Q134" s="38">
        <f>IF(AND(O134="",N134=0),
0,
   IF(COUNTIF([1]CRITERIOS!$F$179:$F$199,$A134)&gt;=1,
   1,
   IF(R134="MTO",
      $D134,
      ROUNDUP(
                    IF(($E134-SUMIF('[1]DATOS PBI Artículos'!A:A,A134,'[1]DATOS PBI Artículos'!X:X)+($V134-_xlfn.XLOOKUP(A134,'[1]DATOS PBI Artículos'!A:A,'[1]DATOS PBI Artículos'!W:W)))&lt;0,
                    0,
                    IF(($E134-SUMIF('[1]DATOS PBI Artículos'!A:A,A134,'[1]DATOS PBI Artículos'!X:X)+$V134-_xlfn.XLOOKUP($A134,'[1]DATOS PBI Artículos'!A:A,'[1]DATOS PBI Artículos'!W:W))/IF($O134="",$N134,$O134)&gt;ROUNDUP([1]CRITERIOS!$M$16/(IF(COUNTIF([1]CRITERIOS!$BG$11:$BG$201,L134)&gt;=1,_xlfn.XLOOKUP($C134,[1]CRITERIOS!$K$25:$K$42,[1]CRITERIOS!$M$25:$M$42),_xlfn.XLOOKUP($C134,[1]CRITERIOS!$K$25:$K$42,[1]CRITERIOS!$M$25:$M$42))),0),
                    ROUNDUP([1]CRITERIOS!$M$16/(IF(COUNTIF([1]CRITERIOS!$BG$11:$BG$201,$L134)&gt;=1,_xlfn.XLOOKUP($C134,[1]CRITERIOS!$K$25:$K$42,[1]CRITERIOS!$M$25:$M$42),_xlfn.XLOOKUP($C134,[1]CRITERIOS!$K$25:$K$42,[1]CRITERIOS!$M$25:$M$42))),0),
                    (E134+V134-SUMIF('[1]DATOS PBI Artículos'!A:A,A134,'[1]DATOS PBI Artículos'!X:X)-_xlfn.XLOOKUP(A134,'[1]DATOS PBI Artículos'!A:A,'[1]DATOS PBI Artículos'!W:W))/IF($O134="",$N134,$O134))),0))))</f>
        <v>1</v>
      </c>
      <c r="R134" s="33" t="str">
        <f>IF(U134&lt;&gt;"",U134,IF(F134="DV","MTO",IF(N134=0,"MTO",_xlfn.XLOOKUP(CONCATENATE(S134,T134),[1]CRITERIOS!$K$160:$K$168,[1]CRITERIOS!$N$160:$N$168))))</f>
        <v>MTO</v>
      </c>
      <c r="S134" s="33" t="str">
        <f>IF(G134="DV","MTO",IF(N134=0,"MTO",IF(OR(AND(N134=0,O134=""),IF(O134="",G134/N134,G134/O134)&gt;[1]CRITERIOS!$G$163),"MTO",IF(IF(O134="",G134/N134,G134/O134)&lt;[1]CRITERIOS!$H$161,"MTS","MTOS"))))</f>
        <v>MTO</v>
      </c>
      <c r="T134" s="33" t="str">
        <f>IF(F134="DV","MTO",IF(OR(AND($N134=0,O134=""),$F134/$J134&gt;[1]CRITERIOS!$G$170,$F134="DV"),"MTO",IF($F134/$J134&lt;[1]CRITERIOS!$H$168,"MTS","MTOS")))</f>
        <v>MTO</v>
      </c>
      <c r="V134" s="34" t="str">
        <f t="shared" si="7"/>
        <v/>
      </c>
      <c r="X134" s="34">
        <f t="shared" si="8"/>
        <v>0</v>
      </c>
      <c r="Y134" s="34">
        <f t="shared" si="9"/>
        <v>0</v>
      </c>
      <c r="Z134" s="34">
        <f>IF($R134="MTO",
0,
($H134+$K134*($E134/[1]CRITERIOS!$M$16))/[1]CRITERIOS!$X$48)</f>
        <v>0</v>
      </c>
      <c r="AA134" s="34" t="e">
        <f>ROUNDUP(($Y134/_xlfn.XLOOKUP($A134,'[1]DATOS PBI Artículos'!$A$4:$A$4,'[1]DATOS PBI Artículos'!$Z$4:$Z$4))/_xlfn.XLOOKUP(_xlfn.XLOOKUP($A134,'[1]DATOS PBI Artículos'!$A$4:$A$4,'[1]DATOS PBI Artículos'!$Y$4:$Y$4),[1]CRITERIOS!$P$79:$P$123,[1]CRITERIOS!$S$79:$S$123,),0)</f>
        <v>#N/A</v>
      </c>
      <c r="AB134" s="33" t="e">
        <f t="array" ref="AB134">IF((E134+V134-_xlfn.XLOOKUP(A134,'[1]DATOS PBI Artículos'!$A$4:$A$4,'[1]DATOS PBI Artículos'!$W$4:$W$4))/N134&gt;ROUNDUP([1]CRITERIOS!$M$16/(IF(COUNTIF([1]CRITERIOS!$BG$11:$BG$201,L134)&gt;=1,_xlfn.XLOOKUP(ARTÍCULOS!L134,[1]CRITERIOS!$BG$11:$BG$201,[1]CRITERIOS!$BJ$11:$BJ$201),_xlfn.XLOOKUP(ARTÍCULOS!C134,[1]CRITERIOS!$K$25:$K$42,[1]CRITERIOS!$M$25:$M$42))),0),ROUNDUP([1]CRITERIOS!$M$16/(IF(COUNTIF([1]CRITERIOS!$BG$11:$BG$201,L134)&gt;=1,_xlfn.XLOOKUP(ARTÍCULOS!L134,[1]CRITERIOS!$BG$11:$BG$201:#REF!,[1]CRITERIOS!$BJ$11:$BJ$201),_xlfn.XLOOKUP(ARTÍCULOS!C134,[1]CRITERIOS!$K$25:$K$42,[1]CRITERIOS!$M$25:$M$42))),0),(E134+V134-_xlfn.XLOOKUP(A134,'[1]DATOS PBI Artículos'!$A$4:$A$4,'[1]DATOS PBI Artículos'!$W$4:$W$4))/N134)</f>
        <v>#VALUE!</v>
      </c>
      <c r="AC134" s="33" t="e">
        <f>IF(N134=0,"",(ROUNDUP((N134/2)/(_xlfn.XLOOKUP(A134,'[1]DATOS PBI Artículos'!$A$4:$A$4,'[1]DATOS PBI Artículos'!$Z$4:$Z$4)*_xlfn.XLOOKUP(_xlfn.XLOOKUP(A134,'[1]DATOS PBI Artículos'!$A$4:$A$4,'[1]DATOS PBI Artículos'!$Y$4:$Y$4),[1]CRITERIOS!$P$79:$P$123,[1]CRITERIOS!$S$79:$S$123)),0)*[1]CRITERIOS!$M$80*([1]CRITERIOS!$M$110/[1]CRITERIOS!$M$86)+(_xlfn.XLOOKUP(A134,'[1]DATOS PBI Artículos'!$A$4:$A$4,'[1]DATOS PBI Artículos'!$AA$4:$AA$4)*([1]CRITERIOS!$M$95+[1]CRITERIOS!$M$98)))/N134)</f>
        <v>#N/A</v>
      </c>
      <c r="AD134" s="33" t="e">
        <f>IF(N134=0,"",(ROUNDUP((N134/2)/(_xlfn.XLOOKUP(A134,'[1]DATOS PBI Artículos'!$A$4:$A$4,'[1]DATOS PBI Artículos'!$Z$4:$Z$4)*_xlfn.XLOOKUP(_xlfn.XLOOKUP(A134,'[1]DATOS PBI Artículos'!$A$4:$A$4,'[1]DATOS PBI Artículos'!$Y$4:$Y$4),[1]CRITERIOS!$P$79:$P$123,[1]CRITERIOS!$S$79:$S$123)),0)*[1]CRITERIOS!$M$80*([1]CRITERIOS!$M$89*[1]CRITERIOS!$M$92)+((_xlfn.XLOOKUP(A134,'[1]DATOS PBI Artículos'!$A$4:$A$4,'[1]DATOS PBI Artículos'!$AA$4:$AA$4)/2)*([1]CRITERIOS!$M$95+[1]CRITERIOS!$M$98)))/N134)</f>
        <v>#N/A</v>
      </c>
      <c r="AE134" s="39" t="str">
        <f>IF($R134="MTO","",
IF($H134=0,ROUNDUP(((_xlfn.XLOOKUP($A134,'[1]DATOS PBI Artículos'!$A:$A,'[1]DATOS PBI Artículos'!$AL:$AL))/(_xlfn.XLOOKUP($AF$1,[1]CRITERIOS!$S$16:$S$39,[1]CRITERIOS!$Y$16:$Y$39))*$J134+$Z134)/$G134,0)*$G134,
((_xlfn.XLOOKUP($A134,'[1]DATOS PBI Artículos'!$A:$A,'[1]DATOS PBI Artículos'!$AL:$AL))/(_xlfn.XLOOKUP($AF$1,[1]CRITERIOS!$S$16:$S$39,[1]CRITERIOS!$Y$16:$Y$39))*$J134+$Z134)))</f>
        <v/>
      </c>
      <c r="AG134" s="39" t="str">
        <f>IF($R134="MTO","",
IF($H134=0,ROUNDUP(((_xlfn.XLOOKUP($A134,'[1]DATOS PBI Artículos'!$A:$A,'[1]DATOS PBI Artículos'!$AM:$AM))/(_xlfn.XLOOKUP($AH$1,[1]CRITERIOS!$S$16:$S$39,[1]CRITERIOS!$Y$16:$Y$39))*$J134+$Z134)/$G134,0)*$G134,
((_xlfn.XLOOKUP($A134,'[1]DATOS PBI Artículos'!$A:$A,'[1]DATOS PBI Artículos'!$AM:$AM))/(_xlfn.XLOOKUP($AH$1,[1]CRITERIOS!$S$16:$S$39,[1]CRITERIOS!$Y$16:$Y$39))*$J134+$Z134)))</f>
        <v/>
      </c>
      <c r="AI134" s="39" t="str">
        <f>IF($R134="MTO","",
IF($H134=0,ROUNDUP(((_xlfn.XLOOKUP($A134,'[1]DATOS PBI Artículos'!$A:$A,'[1]DATOS PBI Artículos'!$AN:$AN))/(_xlfn.XLOOKUP($AJ$1,[1]CRITERIOS!$S$16:$S$39,[1]CRITERIOS!$Y$16:$Y$39))*$J134+$Z134)/$G134,0)*$G134,
((_xlfn.XLOOKUP($A134,'[1]DATOS PBI Artículos'!$A:$A,'[1]DATOS PBI Artículos'!$AN:$AN))/(_xlfn.XLOOKUP($AJ$1,[1]CRITERIOS!$S$16:$S$39,[1]CRITERIOS!$Y$16:$Y$39))*$J134+$Z134)))</f>
        <v/>
      </c>
      <c r="AK134" s="39" t="str">
        <f>IF($R134="MTO","",
IF($H134=0,ROUNDUP(((_xlfn.XLOOKUP($A134,'[1]DATOS PBI Artículos'!$A:$A,'[1]DATOS PBI Artículos'!$AO:$AO))/(_xlfn.XLOOKUP($AL$1,[1]CRITERIOS!$S$16:$S$39,[1]CRITERIOS!$Y$16:$Y$39))*$J134+$Z134)/$G134,0)*$G134,
((_xlfn.XLOOKUP($A134,'[1]DATOS PBI Artículos'!$A:$A,'[1]DATOS PBI Artículos'!$AO:$AO))/(_xlfn.XLOOKUP($AL$1,[1]CRITERIOS!$S$16:$S$39,[1]CRITERIOS!$Y$16:$Y$39))*$J134+$Z134)))</f>
        <v/>
      </c>
    </row>
    <row r="135" spans="1:37" ht="25.8" x14ac:dyDescent="0.5">
      <c r="A135" s="32">
        <v>403996</v>
      </c>
      <c r="B135" s="33">
        <f>_xlfn.XLOOKUP($A135,'[1]DATOS PBI Artículos'!A:A,'[1]DATOS PBI Artículos'!B:B)</f>
        <v>0</v>
      </c>
      <c r="C135" s="33" t="str">
        <f>_xlfn.XLOOKUP($A135,'[1]DATOS PBI Artículos'!A:A,'[1]DATOS PBI Artículos'!C:C)</f>
        <v>UA02</v>
      </c>
      <c r="D135" s="33">
        <f>_xlfn.XLOOKUP(A135,'[1]DATOS PBI Artículos'!A:A,'[1]DATOS PBI Artículos'!T:T)</f>
        <v>4</v>
      </c>
      <c r="E135" s="34">
        <f>IF(_xlfn.XLOOKUP($A135,'[1]DATOS PBI Artículos'!A:A,'[1]DATOS PBI Artículos'!AK:AK)="",_xlfn.XLOOKUP($A135,'[1]DATOS PBI Artículos'!A:A,'[1]DATOS PBI Artículos'!AJ:AJ),_xlfn.XLOOKUP($A135,'[1]DATOS PBI Artículos'!A:A,'[1]DATOS PBI Artículos'!AK:AK))</f>
        <v>48000</v>
      </c>
      <c r="F135" s="35">
        <f>_xlfn.XLOOKUP($A135,'[1]DATOS PBI Artículos'!A:A,'[1]DATOS PBI Artículos'!AP:AP)</f>
        <v>6.5</v>
      </c>
      <c r="G135" s="34">
        <f>_xlfn.XLOOKUP($A135,'[1]DATOS PBI Artículos'!A:A,'[1]DATOS PBI Artículos'!AR:AR)</f>
        <v>4000</v>
      </c>
      <c r="H135" s="34">
        <f>_xlfn.XLOOKUP($A135,'[1]DATOS PBI Artículos'!A:A,'[1]DATOS PBI Artículos'!AT:AT)</f>
        <v>0</v>
      </c>
      <c r="I135" s="34">
        <f>_xlfn.XLOOKUP($A135,'[1]DATOS PBI Artículos'!A:A,'[1]DATOS PBI Artículos'!AS:AS)</f>
        <v>4000</v>
      </c>
      <c r="J135" s="35">
        <f>IF(COUNTIF([1]CRITERIOS!$F$179:$F$199,$A135)&gt;=1,
 IF(O135&lt;&gt;"",
    (O135/_xlfn.XLOOKUP(CONCATENATE(A135,L135),[1]MÁQUINAS!A:A,[1]MÁQUINAS!D:D))/24,
    (N135/_xlfn.XLOOKUP(CONCATENATE(A135,L135),[1]MÁQUINAS!A:A,[1]MÁQUINAS!D:D))/24),
  _xlfn.XLOOKUP($A135,'[1]DATOS PBI Artículos'!A:A,'[1]DATOS PBI Artículos'!AU:AU))</f>
        <v>20.399999999999999</v>
      </c>
      <c r="K135" s="36">
        <f>_xlfn.XLOOKUP($A135,'[1]DATOS PBI Artículos'!A:A,'[1]DATOS PBI Artículos'!AV:AV)</f>
        <v>4.9035134795822124</v>
      </c>
      <c r="L135" s="33">
        <f>_xlfn.XLOOKUP(A135,[1]MÁQUINAS!B:B,[1]MÁQUINAS!C:C)</f>
        <v>221</v>
      </c>
      <c r="M135" s="34">
        <f t="array" ref="M135">_xlfn.XLOOKUP(A135,'[1]DATOS PBI Artículos'!A:A,'[1]DATOS PBI Artículos'!AX:$AX)</f>
        <v>20714.051486499218</v>
      </c>
      <c r="N135" s="37">
        <f>IF(I135="DV",
E135,
IF(COUNTIF([1]CRITERIOS!$I$179:$I$199,$A135)&gt;=1,
_xlfn.XLOOKUP($A135,[1]CRITERIOS!$I$179:$I$199,[1]CRITERIOS!$J$179:$J$199),
IF(COUNTIF([1]CRITERIOS!$L$179:$L$199,$A135)&gt;=1,
_xlfn.CEILING.MATH(IF($M135&gt;$E135,
$E135,
IF($M135&lt;$E135/ROUNDDOWN([1]CRITERIOS!$M$16/_xlfn.XLOOKUP($C135,[1]CRITERIOS!$K$25:$K$42,[1]CRITERIOS!$M$25:$M$42),
1),
E135/ROUNDDOWN([1]CRITERIOS!$M$16/_xlfn.XLOOKUP($C135,[1]CRITERIOS!$K$25:$K$42,[1]CRITERIOS!$M$25:$M$42),
1),
$M135)),
_xlfn.XLOOKUP($A135,[1]CRITERIOS!$L$179:$L$200,[1]CRITERIOS!$M$179:$M$200)),
_xlfn.CEILING.MATH(IF($M135&gt;$E135,
$E135,
IF($M135&lt;$E135/ROUNDDOWN([1]CRITERIOS!$M$16/_xlfn.XLOOKUP($C135,[1]CRITERIOS!$K$25:$K$42,[1]CRITERIOS!$M$25:$M$42),
1),
E135/ROUNDDOWN([1]CRITERIOS!$M$16/_xlfn.XLOOKUP($C135,[1]CRITERIOS!$K$25:$K$42,[1]CRITERIOS!$M$25:$M$42),
1),
$M135)),_xlfn.XLOOKUP(A135,'[1]DATOS PBI Artículos'!A:A,'[1]DATOS PBI Artículos'!Z:Z
)))))</f>
        <v>24000</v>
      </c>
      <c r="Q135" s="38">
        <f>IF(AND(O135="",N135=0),
0,
   IF(COUNTIF([1]CRITERIOS!$F$179:$F$199,$A135)&gt;=1,
   1,
   IF(R135="MTO",
      $D135,
      ROUNDUP(
                    IF(($E135-SUMIF('[1]DATOS PBI Artículos'!A:A,A135,'[1]DATOS PBI Artículos'!X:X)+($V135-_xlfn.XLOOKUP(A135,'[1]DATOS PBI Artículos'!A:A,'[1]DATOS PBI Artículos'!W:W)))&lt;0,
                    0,
                    IF(($E135-SUMIF('[1]DATOS PBI Artículos'!A:A,A135,'[1]DATOS PBI Artículos'!X:X)+$V135-_xlfn.XLOOKUP($A135,'[1]DATOS PBI Artículos'!A:A,'[1]DATOS PBI Artículos'!W:W))/IF($O135="",$N135,$O135)&gt;ROUNDUP([1]CRITERIOS!$M$16/(IF(COUNTIF([1]CRITERIOS!$BG$11:$BG$201,L135)&gt;=1,_xlfn.XLOOKUP($C135,[1]CRITERIOS!$K$25:$K$42,[1]CRITERIOS!$M$25:$M$42),_xlfn.XLOOKUP($C135,[1]CRITERIOS!$K$25:$K$42,[1]CRITERIOS!$M$25:$M$42))),0),
                    ROUNDUP([1]CRITERIOS!$M$16/(IF(COUNTIF([1]CRITERIOS!$BG$11:$BG$201,$L135)&gt;=1,_xlfn.XLOOKUP($C135,[1]CRITERIOS!$K$25:$K$42,[1]CRITERIOS!$M$25:$M$42),_xlfn.XLOOKUP($C135,[1]CRITERIOS!$K$25:$K$42,[1]CRITERIOS!$M$25:$M$42))),0),
                    (E135+V135-SUMIF('[1]DATOS PBI Artículos'!A:A,A135,'[1]DATOS PBI Artículos'!X:X)-_xlfn.XLOOKUP(A135,'[1]DATOS PBI Artículos'!A:A,'[1]DATOS PBI Artículos'!W:W))/IF($O135="",$N135,$O135))),0))))</f>
        <v>1</v>
      </c>
      <c r="R135" s="33" t="str">
        <f>IF(U135&lt;&gt;"",U135,IF(F135="DV","MTO",IF(N135=0,"MTO",_xlfn.XLOOKUP(CONCATENATE(S135,T135),[1]CRITERIOS!$K$160:$K$168,[1]CRITERIOS!$N$160:$N$168))))</f>
        <v>MTS</v>
      </c>
      <c r="S135" s="33" t="str">
        <f>IF(G135="DV","MTO",IF(N135=0,"MTO",IF(OR(AND(N135=0,O135=""),IF(O135="",G135/N135,G135/O135)&gt;[1]CRITERIOS!$G$163),"MTO",IF(IF(O135="",G135/N135,G135/O135)&lt;[1]CRITERIOS!$H$161,"MTS","MTOS"))))</f>
        <v>MTS</v>
      </c>
      <c r="T135" s="33" t="str">
        <f>IF(F135="DV","MTO",IF(OR(AND($N135=0,O135=""),$F135/$J135&gt;[1]CRITERIOS!$G$170,$F135="DV"),"MTO",IF($F135/$J135&lt;[1]CRITERIOS!$H$168,"MTS","MTOS")))</f>
        <v>MTS</v>
      </c>
      <c r="V135" s="34">
        <f t="shared" si="7"/>
        <v>15169.053342956668</v>
      </c>
      <c r="X135" s="34">
        <f t="shared" si="8"/>
        <v>39169.053342956671</v>
      </c>
      <c r="Y135" s="34">
        <f t="shared" si="9"/>
        <v>14615.207189110513</v>
      </c>
      <c r="Z135" s="34">
        <f>IF($R135="MTO",
0,
($H135+$K135*($E135/[1]CRITERIOS!$M$16))/[1]CRITERIOS!$X$48)</f>
        <v>2615.2071891105134</v>
      </c>
      <c r="AA135" s="34" t="e">
        <f>ROUNDUP(($Y135/_xlfn.XLOOKUP($A135,'[1]DATOS PBI Artículos'!$A$4:$A$4,'[1]DATOS PBI Artículos'!$Z$4:$Z$4))/_xlfn.XLOOKUP(_xlfn.XLOOKUP($A135,'[1]DATOS PBI Artículos'!$A$4:$A$4,'[1]DATOS PBI Artículos'!$Y$4:$Y$4),[1]CRITERIOS!$P$79:$P$123,[1]CRITERIOS!$S$79:$S$123,),0)</f>
        <v>#N/A</v>
      </c>
      <c r="AB135" s="33" t="e">
        <f t="array" ref="AB135">IF((E135+V135-_xlfn.XLOOKUP(A135,'[1]DATOS PBI Artículos'!$A$4:$A$4,'[1]DATOS PBI Artículos'!$W$4:$W$4))/N135&gt;ROUNDUP([1]CRITERIOS!$M$16/(IF(COUNTIF([1]CRITERIOS!$BG$11:$BG$201,L135)&gt;=1,_xlfn.XLOOKUP(ARTÍCULOS!L135,[1]CRITERIOS!$BG$11:$BG$201,[1]CRITERIOS!$BJ$11:$BJ$201),_xlfn.XLOOKUP(ARTÍCULOS!C135,[1]CRITERIOS!$K$25:$K$42,[1]CRITERIOS!$M$25:$M$42))),0),ROUNDUP([1]CRITERIOS!$M$16/(IF(COUNTIF([1]CRITERIOS!$BG$11:$BG$201,L135)&gt;=1,_xlfn.XLOOKUP(ARTÍCULOS!L135,[1]CRITERIOS!$BG$11:$BG$201:#REF!,[1]CRITERIOS!$BJ$11:$BJ$201),_xlfn.XLOOKUP(ARTÍCULOS!C135,[1]CRITERIOS!$K$25:$K$42,[1]CRITERIOS!$M$25:$M$42))),0),(E135+V135-_xlfn.XLOOKUP(A135,'[1]DATOS PBI Artículos'!$A$4:$A$4,'[1]DATOS PBI Artículos'!$W$4:$W$4))/N135)</f>
        <v>#N/A</v>
      </c>
      <c r="AC135" s="33" t="e">
        <f>IF(N135=0,"",(ROUNDUP((N135/2)/(_xlfn.XLOOKUP(A135,'[1]DATOS PBI Artículos'!$A$4:$A$4,'[1]DATOS PBI Artículos'!$Z$4:$Z$4)*_xlfn.XLOOKUP(_xlfn.XLOOKUP(A135,'[1]DATOS PBI Artículos'!$A$4:$A$4,'[1]DATOS PBI Artículos'!$Y$4:$Y$4),[1]CRITERIOS!$P$79:$P$123,[1]CRITERIOS!$S$79:$S$123)),0)*[1]CRITERIOS!$M$80*([1]CRITERIOS!$M$110/[1]CRITERIOS!$M$86)+(_xlfn.XLOOKUP(A135,'[1]DATOS PBI Artículos'!$A$4:$A$4,'[1]DATOS PBI Artículos'!$AA$4:$AA$4)*([1]CRITERIOS!$M$95+[1]CRITERIOS!$M$98)))/N135)</f>
        <v>#N/A</v>
      </c>
      <c r="AD135" s="33" t="e">
        <f>IF(N135=0,"",(ROUNDUP((N135/2)/(_xlfn.XLOOKUP(A135,'[1]DATOS PBI Artículos'!$A$4:$A$4,'[1]DATOS PBI Artículos'!$Z$4:$Z$4)*_xlfn.XLOOKUP(_xlfn.XLOOKUP(A135,'[1]DATOS PBI Artículos'!$A$4:$A$4,'[1]DATOS PBI Artículos'!$Y$4:$Y$4),[1]CRITERIOS!$P$79:$P$123,[1]CRITERIOS!$S$79:$S$123)),0)*[1]CRITERIOS!$M$80*([1]CRITERIOS!$M$89*[1]CRITERIOS!$M$92)+((_xlfn.XLOOKUP(A135,'[1]DATOS PBI Artículos'!$A$4:$A$4,'[1]DATOS PBI Artículos'!$AA$4:$AA$4)/2)*([1]CRITERIOS!$M$95+[1]CRITERIOS!$M$98)))/N135)</f>
        <v>#N/A</v>
      </c>
      <c r="AE135" s="39">
        <f>IF($R135="MTO","",
IF($H135=0,ROUNDUP(((_xlfn.XLOOKUP($A135,'[1]DATOS PBI Artículos'!$A:$A,'[1]DATOS PBI Artículos'!$AL:$AL))/(_xlfn.XLOOKUP($AF$1,[1]CRITERIOS!$S$16:$S$39,[1]CRITERIOS!$Y$16:$Y$39))*$J135+$Z135)/$G135,0)*$G135,
((_xlfn.XLOOKUP($A135,'[1]DATOS PBI Artículos'!$A:$A,'[1]DATOS PBI Artículos'!$AL:$AL))/(_xlfn.XLOOKUP($AF$1,[1]CRITERIOS!$S$16:$S$39,[1]CRITERIOS!$Y$16:$Y$39))*$J135+$Z135)))</f>
        <v>20000</v>
      </c>
      <c r="AG135" s="39">
        <f>IF($R135="MTO","",
IF($H135=0,ROUNDUP(((_xlfn.XLOOKUP($A135,'[1]DATOS PBI Artículos'!$A:$A,'[1]DATOS PBI Artículos'!$AM:$AM))/(_xlfn.XLOOKUP($AH$1,[1]CRITERIOS!$S$16:$S$39,[1]CRITERIOS!$Y$16:$Y$39))*$J135+$Z135)/$G135,0)*$G135,
((_xlfn.XLOOKUP($A135,'[1]DATOS PBI Artículos'!$A:$A,'[1]DATOS PBI Artículos'!$AM:$AM))/(_xlfn.XLOOKUP($AH$1,[1]CRITERIOS!$S$16:$S$39,[1]CRITERIOS!$Y$16:$Y$39))*$J135+$Z135)))</f>
        <v>16000</v>
      </c>
      <c r="AI135" s="39">
        <f>IF($R135="MTO","",
IF($H135=0,ROUNDUP(((_xlfn.XLOOKUP($A135,'[1]DATOS PBI Artículos'!$A:$A,'[1]DATOS PBI Artículos'!$AN:$AN))/(_xlfn.XLOOKUP($AJ$1,[1]CRITERIOS!$S$16:$S$39,[1]CRITERIOS!$Y$16:$Y$39))*$J135+$Z135)/$G135,0)*$G135,
((_xlfn.XLOOKUP($A135,'[1]DATOS PBI Artículos'!$A:$A,'[1]DATOS PBI Artículos'!$AN:$AN))/(_xlfn.XLOOKUP($AJ$1,[1]CRITERIOS!$S$16:$S$39,[1]CRITERIOS!$Y$16:$Y$39))*$J135+$Z135)))</f>
        <v>16000</v>
      </c>
      <c r="AK135" s="39">
        <f>IF($R135="MTO","",
IF($H135=0,ROUNDUP(((_xlfn.XLOOKUP($A135,'[1]DATOS PBI Artículos'!$A:$A,'[1]DATOS PBI Artículos'!$AO:$AO))/(_xlfn.XLOOKUP($AL$1,[1]CRITERIOS!$S$16:$S$39,[1]CRITERIOS!$Y$16:$Y$39))*$J135+$Z135)/$G135,0)*$G135,
((_xlfn.XLOOKUP($A135,'[1]DATOS PBI Artículos'!$A:$A,'[1]DATOS PBI Artículos'!$AO:$AO))/(_xlfn.XLOOKUP($AL$1,[1]CRITERIOS!$S$16:$S$39,[1]CRITERIOS!$Y$16:$Y$39))*$J135+$Z135)))</f>
        <v>20000</v>
      </c>
    </row>
    <row r="136" spans="1:37" ht="25.8" x14ac:dyDescent="0.5">
      <c r="A136" s="32">
        <v>453333</v>
      </c>
      <c r="B136" s="33">
        <f>_xlfn.XLOOKUP($A136,'[1]DATOS PBI Artículos'!A:A,'[1]DATOS PBI Artículos'!B:B)</f>
        <v>0</v>
      </c>
      <c r="C136" s="33" t="str">
        <f>_xlfn.XLOOKUP($A136,'[1]DATOS PBI Artículos'!A:A,'[1]DATOS PBI Artículos'!C:C)</f>
        <v>UA01</v>
      </c>
      <c r="D136" s="33">
        <f>_xlfn.XLOOKUP(A136,'[1]DATOS PBI Artículos'!A:A,'[1]DATOS PBI Artículos'!T:T)</f>
        <v>6</v>
      </c>
      <c r="E136" s="34">
        <f>IF(_xlfn.XLOOKUP($A136,'[1]DATOS PBI Artículos'!A:A,'[1]DATOS PBI Artículos'!AK:AK)="",_xlfn.XLOOKUP($A136,'[1]DATOS PBI Artículos'!A:A,'[1]DATOS PBI Artículos'!AJ:AJ),_xlfn.XLOOKUP($A136,'[1]DATOS PBI Artículos'!A:A,'[1]DATOS PBI Artículos'!AK:AK))</f>
        <v>45500</v>
      </c>
      <c r="F136" s="35">
        <f>_xlfn.XLOOKUP($A136,'[1]DATOS PBI Artículos'!A:A,'[1]DATOS PBI Artículos'!AP:AP)</f>
        <v>14</v>
      </c>
      <c r="G136" s="34">
        <f>_xlfn.XLOOKUP($A136,'[1]DATOS PBI Artículos'!A:A,'[1]DATOS PBI Artículos'!AR:AR)</f>
        <v>6500</v>
      </c>
      <c r="H136" s="34">
        <f>_xlfn.XLOOKUP($A136,'[1]DATOS PBI Artículos'!A:A,'[1]DATOS PBI Artículos'!AT:AT)</f>
        <v>2653.6138880151088</v>
      </c>
      <c r="I136" s="34">
        <f>_xlfn.XLOOKUP($A136,'[1]DATOS PBI Artículos'!A:A,'[1]DATOS PBI Artículos'!AS:AS)</f>
        <v>6500</v>
      </c>
      <c r="J136" s="35">
        <f>IF(COUNTIF([1]CRITERIOS!$F$179:$F$199,$A136)&gt;=1,
 IF(O136&lt;&gt;"",
    (O136/_xlfn.XLOOKUP(CONCATENATE(A136,L136),[1]MÁQUINAS!A:A,[1]MÁQUINAS!D:D))/24,
    (N136/_xlfn.XLOOKUP(CONCATENATE(A136,L136),[1]MÁQUINAS!A:A,[1]MÁQUINAS!D:D))/24),
  _xlfn.XLOOKUP($A136,'[1]DATOS PBI Artículos'!A:A,'[1]DATOS PBI Artículos'!AU:AU))</f>
        <v>19.666666666666664</v>
      </c>
      <c r="K136" s="36">
        <f>_xlfn.XLOOKUP($A136,'[1]DATOS PBI Artículos'!A:A,'[1]DATOS PBI Artículos'!AV:AV)</f>
        <v>2.5166114784235849</v>
      </c>
      <c r="L136" s="33">
        <f>_xlfn.XLOOKUP(A136,[1]MÁQUINAS!B:B,[1]MÁQUINAS!C:C)</f>
        <v>406</v>
      </c>
      <c r="M136" s="34">
        <f t="array" ref="M136">_xlfn.XLOOKUP(A136,'[1]DATOS PBI Artículos'!A:A,'[1]DATOS PBI Artículos'!AX:$AX)</f>
        <v>44788.691459627371</v>
      </c>
      <c r="N136" s="37">
        <f>IF(I136="DV",
E136,
IF(COUNTIF([1]CRITERIOS!$I$179:$I$199,$A136)&gt;=1,
_xlfn.XLOOKUP($A136,[1]CRITERIOS!$I$179:$I$199,[1]CRITERIOS!$J$179:$J$199),
IF(COUNTIF([1]CRITERIOS!$L$179:$L$199,$A136)&gt;=1,
_xlfn.CEILING.MATH(IF($M136&gt;$E136,
$E136,
IF($M136&lt;$E136/ROUNDDOWN([1]CRITERIOS!$M$16/_xlfn.XLOOKUP($C136,[1]CRITERIOS!$K$25:$K$42,[1]CRITERIOS!$M$25:$M$42),
1),
E136/ROUNDDOWN([1]CRITERIOS!$M$16/_xlfn.XLOOKUP($C136,[1]CRITERIOS!$K$25:$K$42,[1]CRITERIOS!$M$25:$M$42),
1),
$M136)),
_xlfn.XLOOKUP($A136,[1]CRITERIOS!$L$179:$L$200,[1]CRITERIOS!$M$179:$M$200)),
_xlfn.CEILING.MATH(IF($M136&gt;$E136,
$E136,
IF($M136&lt;$E136/ROUNDDOWN([1]CRITERIOS!$M$16/_xlfn.XLOOKUP($C136,[1]CRITERIOS!$K$25:$K$42,[1]CRITERIOS!$M$25:$M$42),
1),
E136/ROUNDDOWN([1]CRITERIOS!$M$16/_xlfn.XLOOKUP($C136,[1]CRITERIOS!$K$25:$K$42,[1]CRITERIOS!$M$25:$M$42),
1),
$M136)),_xlfn.XLOOKUP(A136,'[1]DATOS PBI Artículos'!A:A,'[1]DATOS PBI Artículos'!Z:Z
)))))</f>
        <v>45500</v>
      </c>
      <c r="Q136" s="38">
        <f>IF(AND(O136="",N136=0),
0,
   IF(COUNTIF([1]CRITERIOS!$F$179:$F$199,$A136)&gt;=1,
   1,
   IF(R136="MTO",
      $D136,
      ROUNDUP(
                    IF(($E136-SUMIF('[1]DATOS PBI Artículos'!A:A,A136,'[1]DATOS PBI Artículos'!X:X)+($V136-_xlfn.XLOOKUP(A136,'[1]DATOS PBI Artículos'!A:A,'[1]DATOS PBI Artículos'!W:W)))&lt;0,
                    0,
                    IF(($E136-SUMIF('[1]DATOS PBI Artículos'!A:A,A136,'[1]DATOS PBI Artículos'!X:X)+$V136-_xlfn.XLOOKUP($A136,'[1]DATOS PBI Artículos'!A:A,'[1]DATOS PBI Artículos'!W:W))/IF($O136="",$N136,$O136)&gt;ROUNDUP([1]CRITERIOS!$M$16/(IF(COUNTIF([1]CRITERIOS!$BG$11:$BG$201,L136)&gt;=1,_xlfn.XLOOKUP($C136,[1]CRITERIOS!$K$25:$K$42,[1]CRITERIOS!$M$25:$M$42),_xlfn.XLOOKUP($C136,[1]CRITERIOS!$K$25:$K$42,[1]CRITERIOS!$M$25:$M$42))),0),
                    ROUNDUP([1]CRITERIOS!$M$16/(IF(COUNTIF([1]CRITERIOS!$BG$11:$BG$201,$L136)&gt;=1,_xlfn.XLOOKUP($C136,[1]CRITERIOS!$K$25:$K$42,[1]CRITERIOS!$M$25:$M$42),_xlfn.XLOOKUP($C136,[1]CRITERIOS!$K$25:$K$42,[1]CRITERIOS!$M$25:$M$42))),0),
                    (E136+V136-SUMIF('[1]DATOS PBI Artículos'!A:A,A136,'[1]DATOS PBI Artículos'!X:X)-_xlfn.XLOOKUP(A136,'[1]DATOS PBI Artículos'!A:A,'[1]DATOS PBI Artículos'!W:W))/IF($O136="",$N136,$O136))),0))))</f>
        <v>1</v>
      </c>
      <c r="R136" s="33" t="str">
        <f>IF(U136&lt;&gt;"",U136,IF(F136="DV","MTO",IF(N136=0,"MTO",_xlfn.XLOOKUP(CONCATENATE(S136,T136),[1]CRITERIOS!$K$160:$K$168,[1]CRITERIOS!$N$160:$N$168))))</f>
        <v>MTS</v>
      </c>
      <c r="S136" s="33" t="str">
        <f>IF(G136="DV","MTO",IF(N136=0,"MTO",IF(OR(AND(N136=0,O136=""),IF(O136="",G136/N136,G136/O136)&gt;[1]CRITERIOS!$G$163),"MTO",IF(IF(O136="",G136/N136,G136/O136)&lt;[1]CRITERIOS!$H$161,"MTS","MTOS"))))</f>
        <v>MTS</v>
      </c>
      <c r="T136" s="33" t="str">
        <f>IF(F136="DV","MTO",IF(OR(AND($N136=0,O136=""),$F136/$J136&gt;[1]CRITERIOS!$G$170,$F136="DV"),"MTO",IF($F136/$J136&lt;[1]CRITERIOS!$H$168,"MTS","MTOS")))</f>
        <v>MTS</v>
      </c>
      <c r="V136" s="34">
        <f t="shared" si="7"/>
        <v>12614.584201723561</v>
      </c>
      <c r="X136" s="34">
        <f t="shared" si="8"/>
        <v>58114.584201723563</v>
      </c>
      <c r="Y136" s="34">
        <f t="shared" si="9"/>
        <v>26233.631820771181</v>
      </c>
      <c r="Z136" s="34">
        <f>IF($R136="MTO",
0,
($H136+$K136*($E136/[1]CRITERIOS!$M$16))/[1]CRITERIOS!$X$48)</f>
        <v>3483.6318207711811</v>
      </c>
      <c r="AA136" s="34" t="e">
        <f>ROUNDUP(($Y136/_xlfn.XLOOKUP($A136,'[1]DATOS PBI Artículos'!$A$4:$A$4,'[1]DATOS PBI Artículos'!$Z$4:$Z$4))/_xlfn.XLOOKUP(_xlfn.XLOOKUP($A136,'[1]DATOS PBI Artículos'!$A$4:$A$4,'[1]DATOS PBI Artículos'!$Y$4:$Y$4),[1]CRITERIOS!$P$79:$P$123,[1]CRITERIOS!$S$79:$S$123,),0)</f>
        <v>#N/A</v>
      </c>
      <c r="AB136" s="33" t="e">
        <f t="array" ref="AB136">IF((E136+V136-_xlfn.XLOOKUP(A136,'[1]DATOS PBI Artículos'!$A$4:$A$4,'[1]DATOS PBI Artículos'!$W$4:$W$4))/N136&gt;ROUNDUP([1]CRITERIOS!$M$16/(IF(COUNTIF([1]CRITERIOS!$BG$11:$BG$201,L136)&gt;=1,_xlfn.XLOOKUP(ARTÍCULOS!L136,[1]CRITERIOS!$BG$11:$BG$201,[1]CRITERIOS!$BJ$11:$BJ$201),_xlfn.XLOOKUP(ARTÍCULOS!C136,[1]CRITERIOS!$K$25:$K$42,[1]CRITERIOS!$M$25:$M$42))),0),ROUNDUP([1]CRITERIOS!$M$16/(IF(COUNTIF([1]CRITERIOS!$BG$11:$BG$201,L136)&gt;=1,_xlfn.XLOOKUP(ARTÍCULOS!L136,[1]CRITERIOS!$BG$11:$BG$201:#REF!,[1]CRITERIOS!$BJ$11:$BJ$201),_xlfn.XLOOKUP(ARTÍCULOS!C136,[1]CRITERIOS!$K$25:$K$42,[1]CRITERIOS!$M$25:$M$42))),0),(E136+V136-_xlfn.XLOOKUP(A136,'[1]DATOS PBI Artículos'!$A$4:$A$4,'[1]DATOS PBI Artículos'!$W$4:$W$4))/N136)</f>
        <v>#N/A</v>
      </c>
      <c r="AC136" s="33" t="e">
        <f>IF(N136=0,"",(ROUNDUP((N136/2)/(_xlfn.XLOOKUP(A136,'[1]DATOS PBI Artículos'!$A$4:$A$4,'[1]DATOS PBI Artículos'!$Z$4:$Z$4)*_xlfn.XLOOKUP(_xlfn.XLOOKUP(A136,'[1]DATOS PBI Artículos'!$A$4:$A$4,'[1]DATOS PBI Artículos'!$Y$4:$Y$4),[1]CRITERIOS!$P$79:$P$123,[1]CRITERIOS!$S$79:$S$123)),0)*[1]CRITERIOS!$M$80*([1]CRITERIOS!$M$110/[1]CRITERIOS!$M$86)+(_xlfn.XLOOKUP(A136,'[1]DATOS PBI Artículos'!$A$4:$A$4,'[1]DATOS PBI Artículos'!$AA$4:$AA$4)*([1]CRITERIOS!$M$95+[1]CRITERIOS!$M$98)))/N136)</f>
        <v>#N/A</v>
      </c>
      <c r="AD136" s="33" t="e">
        <f>IF(N136=0,"",(ROUNDUP((N136/2)/(_xlfn.XLOOKUP(A136,'[1]DATOS PBI Artículos'!$A$4:$A$4,'[1]DATOS PBI Artículos'!$Z$4:$Z$4)*_xlfn.XLOOKUP(_xlfn.XLOOKUP(A136,'[1]DATOS PBI Artículos'!$A$4:$A$4,'[1]DATOS PBI Artículos'!$Y$4:$Y$4),[1]CRITERIOS!$P$79:$P$123,[1]CRITERIOS!$S$79:$S$123)),0)*[1]CRITERIOS!$M$80*([1]CRITERIOS!$M$89*[1]CRITERIOS!$M$92)+((_xlfn.XLOOKUP(A136,'[1]DATOS PBI Artículos'!$A$4:$A$4,'[1]DATOS PBI Artículos'!$AA$4:$AA$4)/2)*([1]CRITERIOS!$M$95+[1]CRITERIOS!$M$98)))/N136)</f>
        <v>#N/A</v>
      </c>
      <c r="AE136" s="39">
        <f>IF($R136="MTO","",
IF($H136=0,ROUNDUP(((_xlfn.XLOOKUP($A136,'[1]DATOS PBI Artículos'!$A:$A,'[1]DATOS PBI Artículos'!$AL:$AL))/(_xlfn.XLOOKUP($AF$1,[1]CRITERIOS!$S$16:$S$39,[1]CRITERIOS!$Y$16:$Y$39))*$J136+$Z136)/$G136,0)*$G136,
((_xlfn.XLOOKUP($A136,'[1]DATOS PBI Artículos'!$A:$A,'[1]DATOS PBI Artículos'!$AL:$AL))/(_xlfn.XLOOKUP($AF$1,[1]CRITERIOS!$S$16:$S$39,[1]CRITERIOS!$Y$16:$Y$39))*$J136+$Z136)))</f>
        <v>17282.773049329051</v>
      </c>
      <c r="AG136" s="39">
        <f>IF($R136="MTO","",
IF($H136=0,ROUNDUP(((_xlfn.XLOOKUP($A136,'[1]DATOS PBI Artículos'!$A:$A,'[1]DATOS PBI Artículos'!$AM:$AM))/(_xlfn.XLOOKUP($AH$1,[1]CRITERIOS!$S$16:$S$39,[1]CRITERIOS!$Y$16:$Y$39))*$J136+$Z136)/$G136,0)*$G136,
((_xlfn.XLOOKUP($A136,'[1]DATOS PBI Artículos'!$A:$A,'[1]DATOS PBI Artículos'!$AM:$AM))/(_xlfn.XLOOKUP($AH$1,[1]CRITERIOS!$S$16:$S$39,[1]CRITERIOS!$Y$16:$Y$39))*$J136+$Z136)))</f>
        <v>13395.823859037484</v>
      </c>
      <c r="AI136" s="39">
        <f>IF($R136="MTO","",
IF($H136=0,ROUNDUP(((_xlfn.XLOOKUP($A136,'[1]DATOS PBI Artículos'!$A:$A,'[1]DATOS PBI Artículos'!$AN:$AN))/(_xlfn.XLOOKUP($AJ$1,[1]CRITERIOS!$S$16:$S$39,[1]CRITERIOS!$Y$16:$Y$39))*$J136+$Z136)/$G136,0)*$G136,
((_xlfn.XLOOKUP($A136,'[1]DATOS PBI Artículos'!$A:$A,'[1]DATOS PBI Artículos'!$AN:$AN))/(_xlfn.XLOOKUP($AJ$1,[1]CRITERIOS!$S$16:$S$39,[1]CRITERIOS!$Y$16:$Y$39))*$J136+$Z136)))</f>
        <v>15355.951759227428</v>
      </c>
      <c r="AK136" s="39">
        <f>IF($R136="MTO","",
IF($H136=0,ROUNDUP(((_xlfn.XLOOKUP($A136,'[1]DATOS PBI Artículos'!$A:$A,'[1]DATOS PBI Artículos'!$AO:$AO))/(_xlfn.XLOOKUP($AL$1,[1]CRITERIOS!$S$16:$S$39,[1]CRITERIOS!$Y$16:$Y$39))*$J136+$Z136)/$G136,0)*$G136,
((_xlfn.XLOOKUP($A136,'[1]DATOS PBI Artículos'!$A:$A,'[1]DATOS PBI Artículos'!$AO:$AO))/(_xlfn.XLOOKUP($AL$1,[1]CRITERIOS!$S$16:$S$39,[1]CRITERIOS!$Y$16:$Y$39))*$J136+$Z136)))</f>
        <v>16413.772932917011</v>
      </c>
    </row>
    <row r="137" spans="1:37" ht="25.8" x14ac:dyDescent="0.5">
      <c r="A137" s="32" t="s">
        <v>81</v>
      </c>
      <c r="B137" s="33">
        <f>_xlfn.XLOOKUP($A137,'[1]DATOS PBI Artículos'!A:A,'[1]DATOS PBI Artículos'!B:B)</f>
        <v>0</v>
      </c>
      <c r="C137" s="33" t="str">
        <f>_xlfn.XLOOKUP($A137,'[1]DATOS PBI Artículos'!A:A,'[1]DATOS PBI Artículos'!C:C)</f>
        <v>UA01</v>
      </c>
      <c r="D137" s="33">
        <f>_xlfn.XLOOKUP(A137,'[1]DATOS PBI Artículos'!A:A,'[1]DATOS PBI Artículos'!T:T)</f>
        <v>2</v>
      </c>
      <c r="E137" s="34">
        <f>IF(_xlfn.XLOOKUP($A137,'[1]DATOS PBI Artículos'!A:A,'[1]DATOS PBI Artículos'!AK:AK)="",_xlfn.XLOOKUP($A137,'[1]DATOS PBI Artículos'!A:A,'[1]DATOS PBI Artículos'!AJ:AJ),_xlfn.XLOOKUP($A137,'[1]DATOS PBI Artículos'!A:A,'[1]DATOS PBI Artículos'!AK:AK))</f>
        <v>43000</v>
      </c>
      <c r="F137" s="35">
        <f>_xlfn.XLOOKUP($A137,'[1]DATOS PBI Artículos'!A:A,'[1]DATOS PBI Artículos'!AP:AP)</f>
        <v>75</v>
      </c>
      <c r="G137" s="34">
        <f>_xlfn.XLOOKUP($A137,'[1]DATOS PBI Artículos'!A:A,'[1]DATOS PBI Artículos'!AR:AR)</f>
        <v>22000</v>
      </c>
      <c r="H137" s="34">
        <f>_xlfn.XLOOKUP($A137,'[1]DATOS PBI Artículos'!A:A,'[1]DATOS PBI Artículos'!AT:AT)</f>
        <v>4949.7474683058326</v>
      </c>
      <c r="I137" s="34">
        <f>_xlfn.XLOOKUP($A137,'[1]DATOS PBI Artículos'!A:A,'[1]DATOS PBI Artículos'!AS:AS)</f>
        <v>1000</v>
      </c>
      <c r="J137" s="35">
        <f>IF(COUNTIF([1]CRITERIOS!$F$179:$F$199,$A137)&gt;=1,
 IF(O137&lt;&gt;"",
    (O137/_xlfn.XLOOKUP(CONCATENATE(A137,L137),[1]MÁQUINAS!A:A,[1]MÁQUINAS!D:D))/24,
    (N137/_xlfn.XLOOKUP(CONCATENATE(A137,L137),[1]MÁQUINAS!A:A,[1]MÁQUINAS!D:D))/24),
  _xlfn.XLOOKUP($A137,'[1]DATOS PBI Artículos'!A:A,'[1]DATOS PBI Artículos'!AU:AU))</f>
        <v>38</v>
      </c>
      <c r="K137" s="36">
        <f>_xlfn.XLOOKUP($A137,'[1]DATOS PBI Artículos'!A:A,'[1]DATOS PBI Artículos'!AV:AV)</f>
        <v>9.8994949366116654</v>
      </c>
      <c r="L137" s="33">
        <f>_xlfn.XLOOKUP(A137,[1]MÁQUINAS!B:B,[1]MÁQUINAS!C:C)</f>
        <v>502</v>
      </c>
      <c r="M137" s="34">
        <f t="array" ref="M137">_xlfn.XLOOKUP(A137,'[1]DATOS PBI Artículos'!A:A,'[1]DATOS PBI Artículos'!AX:$AX)</f>
        <v>38776.367352635185</v>
      </c>
      <c r="N137" s="37">
        <f>IF(I137="DV",
E137,
IF(COUNTIF([1]CRITERIOS!$I$179:$I$199,$A137)&gt;=1,
_xlfn.XLOOKUP($A137,[1]CRITERIOS!$I$179:$I$199,[1]CRITERIOS!$J$179:$J$199),
IF(COUNTIF([1]CRITERIOS!$L$179:$L$199,$A137)&gt;=1,
_xlfn.CEILING.MATH(IF($M137&gt;$E137,
$E137,
IF($M137&lt;$E137/ROUNDDOWN([1]CRITERIOS!$M$16/_xlfn.XLOOKUP($C137,[1]CRITERIOS!$K$25:$K$42,[1]CRITERIOS!$M$25:$M$42),
1),
E137/ROUNDDOWN([1]CRITERIOS!$M$16/_xlfn.XLOOKUP($C137,[1]CRITERIOS!$K$25:$K$42,[1]CRITERIOS!$M$25:$M$42),
1),
$M137)),
_xlfn.XLOOKUP($A137,[1]CRITERIOS!$L$179:$L$200,[1]CRITERIOS!$M$179:$M$200)),
_xlfn.CEILING.MATH(IF($M137&gt;$E137,
$E137,
IF($M137&lt;$E137/ROUNDDOWN([1]CRITERIOS!$M$16/_xlfn.XLOOKUP($C137,[1]CRITERIOS!$K$25:$K$42,[1]CRITERIOS!$M$25:$M$42),
1),
E137/ROUNDDOWN([1]CRITERIOS!$M$16/_xlfn.XLOOKUP($C137,[1]CRITERIOS!$K$25:$K$42,[1]CRITERIOS!$M$25:$M$42),
1),
$M137)),_xlfn.XLOOKUP(A137,'[1]DATOS PBI Artículos'!A:A,'[1]DATOS PBI Artículos'!Z:Z
)))))</f>
        <v>40000</v>
      </c>
      <c r="Q137" s="38">
        <f>IF(AND(O137="",N137=0),
0,
   IF(COUNTIF([1]CRITERIOS!$F$179:$F$199,$A137)&gt;=1,
   1,
   IF(R137="MTO",
      $D137,
      ROUNDUP(
                    IF(($E137-SUMIF('[1]DATOS PBI Artículos'!A:A,A137,'[1]DATOS PBI Artículos'!X:X)+($V137-_xlfn.XLOOKUP(A137,'[1]DATOS PBI Artículos'!A:A,'[1]DATOS PBI Artículos'!W:W)))&lt;0,
                    0,
                    IF(($E137-SUMIF('[1]DATOS PBI Artículos'!A:A,A137,'[1]DATOS PBI Artículos'!X:X)+$V137-_xlfn.XLOOKUP($A137,'[1]DATOS PBI Artículos'!A:A,'[1]DATOS PBI Artículos'!W:W))/IF($O137="",$N137,$O137)&gt;ROUNDUP([1]CRITERIOS!$M$16/(IF(COUNTIF([1]CRITERIOS!$BG$11:$BG$201,L137)&gt;=1,_xlfn.XLOOKUP($C137,[1]CRITERIOS!$K$25:$K$42,[1]CRITERIOS!$M$25:$M$42),_xlfn.XLOOKUP($C137,[1]CRITERIOS!$K$25:$K$42,[1]CRITERIOS!$M$25:$M$42))),0),
                    ROUNDUP([1]CRITERIOS!$M$16/(IF(COUNTIF([1]CRITERIOS!$BG$11:$BG$201,$L137)&gt;=1,_xlfn.XLOOKUP($C137,[1]CRITERIOS!$K$25:$K$42,[1]CRITERIOS!$M$25:$M$42),_xlfn.XLOOKUP($C137,[1]CRITERIOS!$K$25:$K$42,[1]CRITERIOS!$M$25:$M$42))),0),
                    (E137+V137-SUMIF('[1]DATOS PBI Artículos'!A:A,A137,'[1]DATOS PBI Artículos'!X:X)-_xlfn.XLOOKUP(A137,'[1]DATOS PBI Artículos'!A:A,'[1]DATOS PBI Artículos'!W:W))/IF($O137="",$N137,$O137))),0))))</f>
        <v>2</v>
      </c>
      <c r="R137" s="33" t="str">
        <f>IF(U137&lt;&gt;"",U137,IF(F137="DV","MTO",IF(N137=0,"MTO",_xlfn.XLOOKUP(CONCATENATE(S137,T137),[1]CRITERIOS!$K$160:$K$168,[1]CRITERIOS!$N$160:$N$168))))</f>
        <v>MTO</v>
      </c>
      <c r="S137" s="33" t="str">
        <f>IF(G137="DV","MTO",IF(N137=0,"MTO",IF(OR(AND(N137=0,O137=""),IF(O137="",G137/N137,G137/O137)&gt;[1]CRITERIOS!$G$163),"MTO",IF(IF(O137="",G137/N137,G137/O137)&lt;[1]CRITERIOS!$H$161,"MTS","MTOS"))))</f>
        <v>MTOS</v>
      </c>
      <c r="T137" s="33" t="str">
        <f>IF(F137="DV","MTO",IF(OR(AND($N137=0,O137=""),$F137/$J137&gt;[1]CRITERIOS!$G$170,$F137="DV"),"MTO",IF($F137/$J137&lt;[1]CRITERIOS!$H$168,"MTS","MTOS")))</f>
        <v>MTO</v>
      </c>
      <c r="V137" s="34" t="str">
        <f t="shared" si="7"/>
        <v/>
      </c>
      <c r="X137" s="34">
        <f t="shared" si="8"/>
        <v>0</v>
      </c>
      <c r="Y137" s="34">
        <f t="shared" si="9"/>
        <v>0</v>
      </c>
      <c r="Z137" s="34">
        <f>IF($R137="MTO",
0,
($H137+$K137*($E137/[1]CRITERIOS!$M$16))/[1]CRITERIOS!$X$48)</f>
        <v>0</v>
      </c>
      <c r="AA137" s="34" t="e">
        <f>ROUNDUP(($Y137/_xlfn.XLOOKUP($A137,'[1]DATOS PBI Artículos'!$A$4:$A$4,'[1]DATOS PBI Artículos'!$Z$4:$Z$4))/_xlfn.XLOOKUP(_xlfn.XLOOKUP($A137,'[1]DATOS PBI Artículos'!$A$4:$A$4,'[1]DATOS PBI Artículos'!$Y$4:$Y$4),[1]CRITERIOS!$P$79:$P$123,[1]CRITERIOS!$S$79:$S$123,),0)</f>
        <v>#N/A</v>
      </c>
      <c r="AB137" s="33" t="e">
        <f t="array" ref="AB137">IF((E137+V137-_xlfn.XLOOKUP(A137,'[1]DATOS PBI Artículos'!$A$4:$A$4,'[1]DATOS PBI Artículos'!$W$4:$W$4))/N137&gt;ROUNDUP([1]CRITERIOS!$M$16/(IF(COUNTIF([1]CRITERIOS!$BG$11:$BG$201,L137)&gt;=1,_xlfn.XLOOKUP(ARTÍCULOS!L137,[1]CRITERIOS!$BG$11:$BG$201,[1]CRITERIOS!$BJ$11:$BJ$201),_xlfn.XLOOKUP(ARTÍCULOS!C137,[1]CRITERIOS!$K$25:$K$42,[1]CRITERIOS!$M$25:$M$42))),0),ROUNDUP([1]CRITERIOS!$M$16/(IF(COUNTIF([1]CRITERIOS!$BG$11:$BG$201,L137)&gt;=1,_xlfn.XLOOKUP(ARTÍCULOS!L137,[1]CRITERIOS!$BG$11:$BG$201:#REF!,[1]CRITERIOS!$BJ$11:$BJ$201),_xlfn.XLOOKUP(ARTÍCULOS!C137,[1]CRITERIOS!$K$25:$K$42,[1]CRITERIOS!$M$25:$M$42))),0),(E137+V137-_xlfn.XLOOKUP(A137,'[1]DATOS PBI Artículos'!$A$4:$A$4,'[1]DATOS PBI Artículos'!$W$4:$W$4))/N137)</f>
        <v>#VALUE!</v>
      </c>
      <c r="AC137" s="33" t="e">
        <f>IF(N137=0,"",(ROUNDUP((N137/2)/(_xlfn.XLOOKUP(A137,'[1]DATOS PBI Artículos'!$A$4:$A$4,'[1]DATOS PBI Artículos'!$Z$4:$Z$4)*_xlfn.XLOOKUP(_xlfn.XLOOKUP(A137,'[1]DATOS PBI Artículos'!$A$4:$A$4,'[1]DATOS PBI Artículos'!$Y$4:$Y$4),[1]CRITERIOS!$P$79:$P$123,[1]CRITERIOS!$S$79:$S$123)),0)*[1]CRITERIOS!$M$80*([1]CRITERIOS!$M$110/[1]CRITERIOS!$M$86)+(_xlfn.XLOOKUP(A137,'[1]DATOS PBI Artículos'!$A$4:$A$4,'[1]DATOS PBI Artículos'!$AA$4:$AA$4)*([1]CRITERIOS!$M$95+[1]CRITERIOS!$M$98)))/N137)</f>
        <v>#N/A</v>
      </c>
      <c r="AD137" s="33" t="e">
        <f>IF(N137=0,"",(ROUNDUP((N137/2)/(_xlfn.XLOOKUP(A137,'[1]DATOS PBI Artículos'!$A$4:$A$4,'[1]DATOS PBI Artículos'!$Z$4:$Z$4)*_xlfn.XLOOKUP(_xlfn.XLOOKUP(A137,'[1]DATOS PBI Artículos'!$A$4:$A$4,'[1]DATOS PBI Artículos'!$Y$4:$Y$4),[1]CRITERIOS!$P$79:$P$123,[1]CRITERIOS!$S$79:$S$123)),0)*[1]CRITERIOS!$M$80*([1]CRITERIOS!$M$89*[1]CRITERIOS!$M$92)+((_xlfn.XLOOKUP(A137,'[1]DATOS PBI Artículos'!$A$4:$A$4,'[1]DATOS PBI Artículos'!$AA$4:$AA$4)/2)*([1]CRITERIOS!$M$95+[1]CRITERIOS!$M$98)))/N137)</f>
        <v>#N/A</v>
      </c>
      <c r="AE137" s="39" t="str">
        <f>IF($R137="MTO","",
IF($H137=0,ROUNDUP(((_xlfn.XLOOKUP($A137,'[1]DATOS PBI Artículos'!$A:$A,'[1]DATOS PBI Artículos'!$AL:$AL))/(_xlfn.XLOOKUP($AF$1,[1]CRITERIOS!$S$16:$S$39,[1]CRITERIOS!$Y$16:$Y$39))*$J137+$Z137)/$G137,0)*$G137,
((_xlfn.XLOOKUP($A137,'[1]DATOS PBI Artículos'!$A:$A,'[1]DATOS PBI Artículos'!$AL:$AL))/(_xlfn.XLOOKUP($AF$1,[1]CRITERIOS!$S$16:$S$39,[1]CRITERIOS!$Y$16:$Y$39))*$J137+$Z137)))</f>
        <v/>
      </c>
      <c r="AG137" s="39" t="str">
        <f>IF($R137="MTO","",
IF($H137=0,ROUNDUP(((_xlfn.XLOOKUP($A137,'[1]DATOS PBI Artículos'!$A:$A,'[1]DATOS PBI Artículos'!$AM:$AM))/(_xlfn.XLOOKUP($AH$1,[1]CRITERIOS!$S$16:$S$39,[1]CRITERIOS!$Y$16:$Y$39))*$J137+$Z137)/$G137,0)*$G137,
((_xlfn.XLOOKUP($A137,'[1]DATOS PBI Artículos'!$A:$A,'[1]DATOS PBI Artículos'!$AM:$AM))/(_xlfn.XLOOKUP($AH$1,[1]CRITERIOS!$S$16:$S$39,[1]CRITERIOS!$Y$16:$Y$39))*$J137+$Z137)))</f>
        <v/>
      </c>
      <c r="AI137" s="39" t="str">
        <f>IF($R137="MTO","",
IF($H137=0,ROUNDUP(((_xlfn.XLOOKUP($A137,'[1]DATOS PBI Artículos'!$A:$A,'[1]DATOS PBI Artículos'!$AN:$AN))/(_xlfn.XLOOKUP($AJ$1,[1]CRITERIOS!$S$16:$S$39,[1]CRITERIOS!$Y$16:$Y$39))*$J137+$Z137)/$G137,0)*$G137,
((_xlfn.XLOOKUP($A137,'[1]DATOS PBI Artículos'!$A:$A,'[1]DATOS PBI Artículos'!$AN:$AN))/(_xlfn.XLOOKUP($AJ$1,[1]CRITERIOS!$S$16:$S$39,[1]CRITERIOS!$Y$16:$Y$39))*$J137+$Z137)))</f>
        <v/>
      </c>
      <c r="AK137" s="39" t="str">
        <f>IF($R137="MTO","",
IF($H137=0,ROUNDUP(((_xlfn.XLOOKUP($A137,'[1]DATOS PBI Artículos'!$A:$A,'[1]DATOS PBI Artículos'!$AO:$AO))/(_xlfn.XLOOKUP($AL$1,[1]CRITERIOS!$S$16:$S$39,[1]CRITERIOS!$Y$16:$Y$39))*$J137+$Z137)/$G137,0)*$G137,
((_xlfn.XLOOKUP($A137,'[1]DATOS PBI Artículos'!$A:$A,'[1]DATOS PBI Artículos'!$AO:$AO))/(_xlfn.XLOOKUP($AL$1,[1]CRITERIOS!$S$16:$S$39,[1]CRITERIOS!$Y$16:$Y$39))*$J137+$Z137)))</f>
        <v/>
      </c>
    </row>
    <row r="138" spans="1:37" ht="25.8" x14ac:dyDescent="0.5">
      <c r="A138" s="32">
        <v>453713</v>
      </c>
      <c r="B138" s="33">
        <f>_xlfn.XLOOKUP($A138,'[1]DATOS PBI Artículos'!A:A,'[1]DATOS PBI Artículos'!B:B)</f>
        <v>0</v>
      </c>
      <c r="C138" s="33" t="str">
        <f>_xlfn.XLOOKUP($A138,'[1]DATOS PBI Artículos'!A:A,'[1]DATOS PBI Artículos'!C:C)</f>
        <v>UA03</v>
      </c>
      <c r="D138" s="33">
        <f>_xlfn.XLOOKUP(A138,'[1]DATOS PBI Artículos'!A:A,'[1]DATOS PBI Artículos'!T:T)</f>
        <v>18</v>
      </c>
      <c r="E138" s="34">
        <f>IF(_xlfn.XLOOKUP($A138,'[1]DATOS PBI Artículos'!A:A,'[1]DATOS PBI Artículos'!AK:AK)="",_xlfn.XLOOKUP($A138,'[1]DATOS PBI Artículos'!A:A,'[1]DATOS PBI Artículos'!AJ:AJ),_xlfn.XLOOKUP($A138,'[1]DATOS PBI Artículos'!A:A,'[1]DATOS PBI Artículos'!AK:AK))</f>
        <v>42000</v>
      </c>
      <c r="F138" s="35">
        <f>_xlfn.XLOOKUP($A138,'[1]DATOS PBI Artículos'!A:A,'[1]DATOS PBI Artículos'!AP:AP)</f>
        <v>4.7333333333300001</v>
      </c>
      <c r="G138" s="34">
        <f>_xlfn.XLOOKUP($A138,'[1]DATOS PBI Artículos'!A:A,'[1]DATOS PBI Artículos'!AR:AR)</f>
        <v>2400</v>
      </c>
      <c r="H138" s="34">
        <f>_xlfn.XLOOKUP($A138,'[1]DATOS PBI Artículos'!A:A,'[1]DATOS PBI Artículos'!AT:AT)</f>
        <v>1330.4134695650071</v>
      </c>
      <c r="I138" s="34">
        <f>_xlfn.XLOOKUP($A138,'[1]DATOS PBI Artículos'!A:A,'[1]DATOS PBI Artículos'!AS:AS)</f>
        <v>600</v>
      </c>
      <c r="J138" s="35">
        <f>IF(COUNTIF([1]CRITERIOS!$F$179:$F$199,$A138)&gt;=1,
 IF(O138&lt;&gt;"",
    (O138/_xlfn.XLOOKUP(CONCATENATE(A138,L138),[1]MÁQUINAS!A:A,[1]MÁQUINAS!D:D))/24,
    (N138/_xlfn.XLOOKUP(CONCATENATE(A138,L138),[1]MÁQUINAS!A:A,[1]MÁQUINAS!D:D))/24),
  _xlfn.XLOOKUP($A138,'[1]DATOS PBI Artículos'!A:A,'[1]DATOS PBI Artículos'!AU:AU))</f>
        <v>68.833333333333343</v>
      </c>
      <c r="K138" s="36">
        <f>_xlfn.XLOOKUP($A138,'[1]DATOS PBI Artículos'!A:A,'[1]DATOS PBI Artículos'!AV:AV)</f>
        <v>42.447222131332296</v>
      </c>
      <c r="L138" s="33">
        <f>_xlfn.XLOOKUP(A138,[1]MÁQUINAS!B:B,[1]MÁQUINAS!C:C)</f>
        <v>122</v>
      </c>
      <c r="M138" s="34">
        <f t="array" ref="M138">_xlfn.XLOOKUP(A138,'[1]DATOS PBI Artículos'!A:A,'[1]DATOS PBI Artículos'!AX:$AX)</f>
        <v>11555.921748436675</v>
      </c>
      <c r="N138" s="37">
        <f>IF(I138="DV",
E138,
IF(COUNTIF([1]CRITERIOS!$I$179:$I$199,$A138)&gt;=1,
_xlfn.XLOOKUP($A138,[1]CRITERIOS!$I$179:$I$199,[1]CRITERIOS!$J$179:$J$199),
IF(COUNTIF([1]CRITERIOS!$L$179:$L$199,$A138)&gt;=1,
_xlfn.CEILING.MATH(IF($M138&gt;$E138,
$E138,
IF($M138&lt;$E138/ROUNDDOWN([1]CRITERIOS!$M$16/_xlfn.XLOOKUP($C138,[1]CRITERIOS!$K$25:$K$42,[1]CRITERIOS!$M$25:$M$42),
1),
E138/ROUNDDOWN([1]CRITERIOS!$M$16/_xlfn.XLOOKUP($C138,[1]CRITERIOS!$K$25:$K$42,[1]CRITERIOS!$M$25:$M$42),
1),
$M138)),
_xlfn.XLOOKUP($A138,[1]CRITERIOS!$L$179:$L$200,[1]CRITERIOS!$M$179:$M$200)),
_xlfn.CEILING.MATH(IF($M138&gt;$E138,
$E138,
IF($M138&lt;$E138/ROUNDDOWN([1]CRITERIOS!$M$16/_xlfn.XLOOKUP($C138,[1]CRITERIOS!$K$25:$K$42,[1]CRITERIOS!$M$25:$M$42),
1),
E138/ROUNDDOWN([1]CRITERIOS!$M$16/_xlfn.XLOOKUP($C138,[1]CRITERIOS!$K$25:$K$42,[1]CRITERIOS!$M$25:$M$42),
1),
$M138)),_xlfn.XLOOKUP(A138,'[1]DATOS PBI Artículos'!A:A,'[1]DATOS PBI Artículos'!Z:Z
)))))</f>
        <v>12000</v>
      </c>
      <c r="Q138" s="38">
        <f>IF(AND(O138="",N138=0),
0,
   IF(COUNTIF([1]CRITERIOS!$F$179:$F$199,$A138)&gt;=1,
   1,
   IF(R138="MTO",
      $D138,
      ROUNDUP(
                    IF(($E138-SUMIF('[1]DATOS PBI Artículos'!A:A,A138,'[1]DATOS PBI Artículos'!X:X)+($V138-_xlfn.XLOOKUP(A138,'[1]DATOS PBI Artículos'!A:A,'[1]DATOS PBI Artículos'!W:W)))&lt;0,
                    0,
                    IF(($E138-SUMIF('[1]DATOS PBI Artículos'!A:A,A138,'[1]DATOS PBI Artículos'!X:X)+$V138-_xlfn.XLOOKUP($A138,'[1]DATOS PBI Artículos'!A:A,'[1]DATOS PBI Artículos'!W:W))/IF($O138="",$N138,$O138)&gt;ROUNDUP([1]CRITERIOS!$M$16/(IF(COUNTIF([1]CRITERIOS!$BG$11:$BG$201,L138)&gt;=1,_xlfn.XLOOKUP($C138,[1]CRITERIOS!$K$25:$K$42,[1]CRITERIOS!$M$25:$M$42),_xlfn.XLOOKUP($C138,[1]CRITERIOS!$K$25:$K$42,[1]CRITERIOS!$M$25:$M$42))),0),
                    ROUNDUP([1]CRITERIOS!$M$16/(IF(COUNTIF([1]CRITERIOS!$BG$11:$BG$201,$L138)&gt;=1,_xlfn.XLOOKUP($C138,[1]CRITERIOS!$K$25:$K$42,[1]CRITERIOS!$M$25:$M$42),_xlfn.XLOOKUP($C138,[1]CRITERIOS!$K$25:$K$42,[1]CRITERIOS!$M$25:$M$42))),0),
                    (E138+V138-SUMIF('[1]DATOS PBI Artículos'!A:A,A138,'[1]DATOS PBI Artículos'!X:X)-_xlfn.XLOOKUP(A138,'[1]DATOS PBI Artículos'!A:A,'[1]DATOS PBI Artículos'!W:W))/IF($O138="",$N138,$O138))),0))))</f>
        <v>4</v>
      </c>
      <c r="R138" s="33" t="str">
        <f>IF(U138&lt;&gt;"",U138,IF(F138="DV","MTO",IF(N138=0,"MTO",_xlfn.XLOOKUP(CONCATENATE(S138,T138),[1]CRITERIOS!$K$160:$K$168,[1]CRITERIOS!$N$160:$N$168))))</f>
        <v>MTS</v>
      </c>
      <c r="S138" s="33" t="str">
        <f>IF(G138="DV","MTO",IF(N138=0,"MTO",IF(OR(AND(N138=0,O138=""),IF(O138="",G138/N138,G138/O138)&gt;[1]CRITERIOS!$G$163),"MTO",IF(IF(O138="",G138/N138,G138/O138)&lt;[1]CRITERIOS!$H$161,"MTS","MTOS"))))</f>
        <v>MTS</v>
      </c>
      <c r="T138" s="33" t="str">
        <f>IF(F138="DV","MTO",IF(OR(AND($N138=0,O138=""),$F138/$J138&gt;[1]CRITERIOS!$G$170,$F138="DV"),"MTO",IF($F138/$J138&lt;[1]CRITERIOS!$H$168,"MTS","MTOS")))</f>
        <v>MTS</v>
      </c>
      <c r="V138" s="34">
        <f t="shared" si="7"/>
        <v>55818.790003321381</v>
      </c>
      <c r="X138" s="34">
        <f t="shared" si="8"/>
        <v>67818.790003321381</v>
      </c>
      <c r="Y138" s="34">
        <f t="shared" si="9"/>
        <v>26917.381552592578</v>
      </c>
      <c r="Z138" s="34">
        <f>IF($R138="MTO",
0,
($H138+$K138*($E138/[1]CRITERIOS!$M$16))/[1]CRITERIOS!$X$48)</f>
        <v>20917.381552592578</v>
      </c>
      <c r="AA138" s="34" t="e">
        <f>ROUNDUP(($Y138/_xlfn.XLOOKUP($A138,'[1]DATOS PBI Artículos'!$A$4:$A$4,'[1]DATOS PBI Artículos'!$Z$4:$Z$4))/_xlfn.XLOOKUP(_xlfn.XLOOKUP($A138,'[1]DATOS PBI Artículos'!$A$4:$A$4,'[1]DATOS PBI Artículos'!$Y$4:$Y$4),[1]CRITERIOS!$P$79:$P$123,[1]CRITERIOS!$S$79:$S$123,),0)</f>
        <v>#N/A</v>
      </c>
      <c r="AB138" s="33" t="e">
        <f t="array" ref="AB138">IF((E138+V138-_xlfn.XLOOKUP(A138,'[1]DATOS PBI Artículos'!$A$4:$A$4,'[1]DATOS PBI Artículos'!$W$4:$W$4))/N138&gt;ROUNDUP([1]CRITERIOS!$M$16/(IF(COUNTIF([1]CRITERIOS!$BG$11:$BG$201,L138)&gt;=1,_xlfn.XLOOKUP(ARTÍCULOS!L138,[1]CRITERIOS!$BG$11:$BG$201,[1]CRITERIOS!$BJ$11:$BJ$201),_xlfn.XLOOKUP(ARTÍCULOS!C138,[1]CRITERIOS!$K$25:$K$42,[1]CRITERIOS!$M$25:$M$42))),0),ROUNDUP([1]CRITERIOS!$M$16/(IF(COUNTIF([1]CRITERIOS!$BG$11:$BG$201,L138)&gt;=1,_xlfn.XLOOKUP(ARTÍCULOS!L138,[1]CRITERIOS!$BG$11:$BG$201:#REF!,[1]CRITERIOS!$BJ$11:$BJ$201),_xlfn.XLOOKUP(ARTÍCULOS!C138,[1]CRITERIOS!$K$25:$K$42,[1]CRITERIOS!$M$25:$M$42))),0),(E138+V138-_xlfn.XLOOKUP(A138,'[1]DATOS PBI Artículos'!$A$4:$A$4,'[1]DATOS PBI Artículos'!$W$4:$W$4))/N138)</f>
        <v>#N/A</v>
      </c>
      <c r="AC138" s="33" t="e">
        <f>IF(N138=0,"",(ROUNDUP((N138/2)/(_xlfn.XLOOKUP(A138,'[1]DATOS PBI Artículos'!$A$4:$A$4,'[1]DATOS PBI Artículos'!$Z$4:$Z$4)*_xlfn.XLOOKUP(_xlfn.XLOOKUP(A138,'[1]DATOS PBI Artículos'!$A$4:$A$4,'[1]DATOS PBI Artículos'!$Y$4:$Y$4),[1]CRITERIOS!$P$79:$P$123,[1]CRITERIOS!$S$79:$S$123)),0)*[1]CRITERIOS!$M$80*([1]CRITERIOS!$M$110/[1]CRITERIOS!$M$86)+(_xlfn.XLOOKUP(A138,'[1]DATOS PBI Artículos'!$A$4:$A$4,'[1]DATOS PBI Artículos'!$AA$4:$AA$4)*([1]CRITERIOS!$M$95+[1]CRITERIOS!$M$98)))/N138)</f>
        <v>#N/A</v>
      </c>
      <c r="AD138" s="33" t="e">
        <f>IF(N138=0,"",(ROUNDUP((N138/2)/(_xlfn.XLOOKUP(A138,'[1]DATOS PBI Artículos'!$A$4:$A$4,'[1]DATOS PBI Artículos'!$Z$4:$Z$4)*_xlfn.XLOOKUP(_xlfn.XLOOKUP(A138,'[1]DATOS PBI Artículos'!$A$4:$A$4,'[1]DATOS PBI Artículos'!$Y$4:$Y$4),[1]CRITERIOS!$P$79:$P$123,[1]CRITERIOS!$S$79:$S$123)),0)*[1]CRITERIOS!$M$80*([1]CRITERIOS!$M$89*[1]CRITERIOS!$M$92)+((_xlfn.XLOOKUP(A138,'[1]DATOS PBI Artículos'!$A$4:$A$4,'[1]DATOS PBI Artículos'!$AA$4:$AA$4)/2)*([1]CRITERIOS!$M$95+[1]CRITERIOS!$M$98)))/N138)</f>
        <v>#N/A</v>
      </c>
      <c r="AE138" s="39">
        <f>IF($R138="MTO","",
IF($H138=0,ROUNDUP(((_xlfn.XLOOKUP($A138,'[1]DATOS PBI Artículos'!$A:$A,'[1]DATOS PBI Artículos'!$AL:$AL))/(_xlfn.XLOOKUP($AF$1,[1]CRITERIOS!$S$16:$S$39,[1]CRITERIOS!$Y$16:$Y$39))*$J138+$Z138)/$G138,0)*$G138,
((_xlfn.XLOOKUP($A138,'[1]DATOS PBI Artículos'!$A:$A,'[1]DATOS PBI Artículos'!$AL:$AL))/(_xlfn.XLOOKUP($AF$1,[1]CRITERIOS!$S$16:$S$39,[1]CRITERIOS!$Y$16:$Y$39))*$J138+$Z138)))</f>
        <v>69957.406534082867</v>
      </c>
      <c r="AG138" s="39">
        <f>IF($R138="MTO","",
IF($H138=0,ROUNDUP(((_xlfn.XLOOKUP($A138,'[1]DATOS PBI Artículos'!$A:$A,'[1]DATOS PBI Artículos'!$AM:$AM))/(_xlfn.XLOOKUP($AH$1,[1]CRITERIOS!$S$16:$S$39,[1]CRITERIOS!$Y$16:$Y$39))*$J138+$Z138)/$G138,0)*$G138,
((_xlfn.XLOOKUP($A138,'[1]DATOS PBI Artículos'!$A:$A,'[1]DATOS PBI Artículos'!$AM:$AM))/(_xlfn.XLOOKUP($AH$1,[1]CRITERIOS!$S$16:$S$39,[1]CRITERIOS!$Y$16:$Y$39))*$J138+$Z138)))</f>
        <v>56143.787103969749</v>
      </c>
      <c r="AI138" s="39">
        <f>IF($R138="MTO","",
IF($H138=0,ROUNDUP(((_xlfn.XLOOKUP($A138,'[1]DATOS PBI Artículos'!$A:$A,'[1]DATOS PBI Artículos'!$AN:$AN))/(_xlfn.XLOOKUP($AJ$1,[1]CRITERIOS!$S$16:$S$39,[1]CRITERIOS!$Y$16:$Y$39))*$J138+$Z138)/$G138,0)*$G138,
((_xlfn.XLOOKUP($A138,'[1]DATOS PBI Artículos'!$A:$A,'[1]DATOS PBI Artículos'!$AN:$AN))/(_xlfn.XLOOKUP($AJ$1,[1]CRITERIOS!$S$16:$S$39,[1]CRITERIOS!$Y$16:$Y$39))*$J138+$Z138)))</f>
        <v>63109.780103106328</v>
      </c>
      <c r="AK138" s="39">
        <f>IF($R138="MTO","",
IF($H138=0,ROUNDUP(((_xlfn.XLOOKUP($A138,'[1]DATOS PBI Artículos'!$A:$A,'[1]DATOS PBI Artículos'!$AO:$AO))/(_xlfn.XLOOKUP($AL$1,[1]CRITERIOS!$S$16:$S$39,[1]CRITERIOS!$Y$16:$Y$39))*$J138+$Z138)/$G138,0)*$G138,
((_xlfn.XLOOKUP($A138,'[1]DATOS PBI Artículos'!$A:$A,'[1]DATOS PBI Artículos'!$AO:$AO))/(_xlfn.XLOOKUP($AL$1,[1]CRITERIOS!$S$16:$S$39,[1]CRITERIOS!$Y$16:$Y$39))*$J138+$Z138)))</f>
        <v>66869.11381268008</v>
      </c>
    </row>
    <row r="139" spans="1:37" ht="25.8" x14ac:dyDescent="0.5">
      <c r="A139" s="32">
        <v>452579</v>
      </c>
      <c r="B139" s="33">
        <f>_xlfn.XLOOKUP($A139,'[1]DATOS PBI Artículos'!A:A,'[1]DATOS PBI Artículos'!B:B)</f>
        <v>0</v>
      </c>
      <c r="C139" s="33" t="str">
        <f>_xlfn.XLOOKUP($A139,'[1]DATOS PBI Artículos'!A:A,'[1]DATOS PBI Artículos'!C:C)</f>
        <v>UA03</v>
      </c>
      <c r="D139" s="33">
        <f>_xlfn.XLOOKUP(A139,'[1]DATOS PBI Artículos'!A:A,'[1]DATOS PBI Artículos'!T:T)</f>
        <v>3</v>
      </c>
      <c r="E139" s="34">
        <f>IF(_xlfn.XLOOKUP($A139,'[1]DATOS PBI Artículos'!A:A,'[1]DATOS PBI Artículos'!AK:AK)="",_xlfn.XLOOKUP($A139,'[1]DATOS PBI Artículos'!A:A,'[1]DATOS PBI Artículos'!AJ:AJ),_xlfn.XLOOKUP($A139,'[1]DATOS PBI Artículos'!A:A,'[1]DATOS PBI Artículos'!AK:AK))</f>
        <v>42000</v>
      </c>
      <c r="F139" s="35">
        <f>_xlfn.XLOOKUP($A139,'[1]DATOS PBI Artículos'!A:A,'[1]DATOS PBI Artículos'!AP:AP)</f>
        <v>11.5</v>
      </c>
      <c r="G139" s="34">
        <f>_xlfn.XLOOKUP($A139,'[1]DATOS PBI Artículos'!A:A,'[1]DATOS PBI Artículos'!AR:AR)</f>
        <v>14000</v>
      </c>
      <c r="H139" s="34">
        <f>_xlfn.XLOOKUP($A139,'[1]DATOS PBI Artículos'!A:A,'[1]DATOS PBI Artículos'!AT:AT)</f>
        <v>10392.304845413264</v>
      </c>
      <c r="I139" s="34">
        <f>_xlfn.XLOOKUP($A139,'[1]DATOS PBI Artículos'!A:A,'[1]DATOS PBI Artículos'!AS:AS)</f>
        <v>2000</v>
      </c>
      <c r="J139" s="35">
        <f>IF(COUNTIF([1]CRITERIOS!$F$179:$F$199,$A139)&gt;=1,
 IF(O139&lt;&gt;"",
    (O139/_xlfn.XLOOKUP(CONCATENATE(A139,L139),[1]MÁQUINAS!A:A,[1]MÁQUINAS!D:D))/24,
    (N139/_xlfn.XLOOKUP(CONCATENATE(A139,L139),[1]MÁQUINAS!A:A,[1]MÁQUINAS!D:D))/24),
  _xlfn.XLOOKUP($A139,'[1]DATOS PBI Artículos'!A:A,'[1]DATOS PBI Artículos'!AU:AU))</f>
        <v>13</v>
      </c>
      <c r="K139" s="36">
        <f>_xlfn.XLOOKUP($A139,'[1]DATOS PBI Artículos'!A:A,'[1]DATOS PBI Artículos'!AV:AV)</f>
        <v>0.89442719099991586</v>
      </c>
      <c r="L139" s="33">
        <f>_xlfn.XLOOKUP(A139,[1]MÁQUINAS!B:B,[1]MÁQUINAS!C:C)</f>
        <v>136</v>
      </c>
      <c r="M139" s="34">
        <f t="array" ref="M139">_xlfn.XLOOKUP(A139,'[1]DATOS PBI Artículos'!A:A,'[1]DATOS PBI Artículos'!AX:$AX)</f>
        <v>23927.008984974247</v>
      </c>
      <c r="N139" s="37">
        <f>IF(I139="DV",
E139,
IF(COUNTIF([1]CRITERIOS!$I$179:$I$199,$A139)&gt;=1,
_xlfn.XLOOKUP($A139,[1]CRITERIOS!$I$179:$I$199,[1]CRITERIOS!$J$179:$J$199),
IF(COUNTIF([1]CRITERIOS!$L$179:$L$199,$A139)&gt;=1,
_xlfn.CEILING.MATH(IF($M139&gt;$E139,
$E139,
IF($M139&lt;$E139/ROUNDDOWN([1]CRITERIOS!$M$16/_xlfn.XLOOKUP($C139,[1]CRITERIOS!$K$25:$K$42,[1]CRITERIOS!$M$25:$M$42),
1),
E139/ROUNDDOWN([1]CRITERIOS!$M$16/_xlfn.XLOOKUP($C139,[1]CRITERIOS!$K$25:$K$42,[1]CRITERIOS!$M$25:$M$42),
1),
$M139)),
_xlfn.XLOOKUP($A139,[1]CRITERIOS!$L$179:$L$200,[1]CRITERIOS!$M$179:$M$200)),
_xlfn.CEILING.MATH(IF($M139&gt;$E139,
$E139,
IF($M139&lt;$E139/ROUNDDOWN([1]CRITERIOS!$M$16/_xlfn.XLOOKUP($C139,[1]CRITERIOS!$K$25:$K$42,[1]CRITERIOS!$M$25:$M$42),
1),
E139/ROUNDDOWN([1]CRITERIOS!$M$16/_xlfn.XLOOKUP($C139,[1]CRITERIOS!$K$25:$K$42,[1]CRITERIOS!$M$25:$M$42),
1),
$M139)),_xlfn.XLOOKUP(A139,'[1]DATOS PBI Artículos'!A:A,'[1]DATOS PBI Artículos'!Z:Z
)))))</f>
        <v>24000</v>
      </c>
      <c r="Q139" s="38">
        <f>IF(AND(O139="",N139=0),
0,
   IF(COUNTIF([1]CRITERIOS!$F$179:$F$199,$A139)&gt;=1,
   1,
   IF(R139="MTO",
      $D139,
      ROUNDUP(
                    IF(($E139-SUMIF('[1]DATOS PBI Artículos'!A:A,A139,'[1]DATOS PBI Artículos'!X:X)+($V139-_xlfn.XLOOKUP(A139,'[1]DATOS PBI Artículos'!A:A,'[1]DATOS PBI Artículos'!W:W)))&lt;0,
                    0,
                    IF(($E139-SUMIF('[1]DATOS PBI Artículos'!A:A,A139,'[1]DATOS PBI Artículos'!X:X)+$V139-_xlfn.XLOOKUP($A139,'[1]DATOS PBI Artículos'!A:A,'[1]DATOS PBI Artículos'!W:W))/IF($O139="",$N139,$O139)&gt;ROUNDUP([1]CRITERIOS!$M$16/(IF(COUNTIF([1]CRITERIOS!$BG$11:$BG$201,L139)&gt;=1,_xlfn.XLOOKUP($C139,[1]CRITERIOS!$K$25:$K$42,[1]CRITERIOS!$M$25:$M$42),_xlfn.XLOOKUP($C139,[1]CRITERIOS!$K$25:$K$42,[1]CRITERIOS!$M$25:$M$42))),0),
                    ROUNDUP([1]CRITERIOS!$M$16/(IF(COUNTIF([1]CRITERIOS!$BG$11:$BG$201,$L139)&gt;=1,_xlfn.XLOOKUP($C139,[1]CRITERIOS!$K$25:$K$42,[1]CRITERIOS!$M$25:$M$42),_xlfn.XLOOKUP($C139,[1]CRITERIOS!$K$25:$K$42,[1]CRITERIOS!$M$25:$M$42))),0),
                    (E139+V139-SUMIF('[1]DATOS PBI Artículos'!A:A,A139,'[1]DATOS PBI Artículos'!X:X)-_xlfn.XLOOKUP(A139,'[1]DATOS PBI Artículos'!A:A,'[1]DATOS PBI Artículos'!W:W))/IF($O139="",$N139,$O139))),0))))</f>
        <v>0</v>
      </c>
      <c r="R139" s="33" t="str">
        <f>IF(U139&lt;&gt;"",U139,IF(F139="DV","MTO",IF(N139=0,"MTO",_xlfn.XLOOKUP(CONCATENATE(S139,T139),[1]CRITERIOS!$K$160:$K$168,[1]CRITERIOS!$N$160:$N$168))))</f>
        <v>MTS</v>
      </c>
      <c r="S139" s="33" t="str">
        <f>IF(G139="DV","MTO",IF(N139=0,"MTO",IF(OR(AND(N139=0,O139=""),IF(O139="",G139/N139,G139/O139)&gt;[1]CRITERIOS!$G$163),"MTO",IF(IF(O139="",G139/N139,G139/O139)&lt;[1]CRITERIOS!$H$161,"MTS","MTOS"))))</f>
        <v>MTOS</v>
      </c>
      <c r="T139" s="33" t="str">
        <f>IF(F139="DV","MTO",IF(OR(AND($N139=0,O139=""),$F139/$J139&gt;[1]CRITERIOS!$G$170,$F139="DV"),"MTO",IF($F139/$J139&lt;[1]CRITERIOS!$H$168,"MTS","MTOS")))</f>
        <v>MTS</v>
      </c>
      <c r="V139" s="34">
        <f t="shared" si="7"/>
        <v>24903.740350166088</v>
      </c>
      <c r="X139" s="34">
        <f t="shared" si="8"/>
        <v>48903.740350166088</v>
      </c>
      <c r="Y139" s="34">
        <f t="shared" si="9"/>
        <v>21077.653393644348</v>
      </c>
      <c r="Z139" s="34">
        <f>IF($R139="MTO",
0,
($H139+$K139*($E139/[1]CRITERIOS!$M$16))/[1]CRITERIOS!$X$48)</f>
        <v>9077.6533936443484</v>
      </c>
      <c r="AA139" s="34" t="e">
        <f>ROUNDUP(($Y139/_xlfn.XLOOKUP($A139,'[1]DATOS PBI Artículos'!$A$4:$A$4,'[1]DATOS PBI Artículos'!$Z$4:$Z$4))/_xlfn.XLOOKUP(_xlfn.XLOOKUP($A139,'[1]DATOS PBI Artículos'!$A$4:$A$4,'[1]DATOS PBI Artículos'!$Y$4:$Y$4),[1]CRITERIOS!$P$79:$P$123,[1]CRITERIOS!$S$79:$S$123,),0)</f>
        <v>#N/A</v>
      </c>
      <c r="AB139" s="33" t="e">
        <f t="array" ref="AB139">IF((E139+V139-_xlfn.XLOOKUP(A139,'[1]DATOS PBI Artículos'!$A$4:$A$4,'[1]DATOS PBI Artículos'!$W$4:$W$4))/N139&gt;ROUNDUP([1]CRITERIOS!$M$16/(IF(COUNTIF([1]CRITERIOS!$BG$11:$BG$201,L139)&gt;=1,_xlfn.XLOOKUP(ARTÍCULOS!L139,[1]CRITERIOS!$BG$11:$BG$201,[1]CRITERIOS!$BJ$11:$BJ$201),_xlfn.XLOOKUP(ARTÍCULOS!C139,[1]CRITERIOS!$K$25:$K$42,[1]CRITERIOS!$M$25:$M$42))),0),ROUNDUP([1]CRITERIOS!$M$16/(IF(COUNTIF([1]CRITERIOS!$BG$11:$BG$201,L139)&gt;=1,_xlfn.XLOOKUP(ARTÍCULOS!L139,[1]CRITERIOS!$BG$11:$BG$201:#REF!,[1]CRITERIOS!$BJ$11:$BJ$201),_xlfn.XLOOKUP(ARTÍCULOS!C139,[1]CRITERIOS!$K$25:$K$42,[1]CRITERIOS!$M$25:$M$42))),0),(E139+V139-_xlfn.XLOOKUP(A139,'[1]DATOS PBI Artículos'!$A$4:$A$4,'[1]DATOS PBI Artículos'!$W$4:$W$4))/N139)</f>
        <v>#N/A</v>
      </c>
      <c r="AC139" s="33" t="e">
        <f>IF(N139=0,"",(ROUNDUP((N139/2)/(_xlfn.XLOOKUP(A139,'[1]DATOS PBI Artículos'!$A$4:$A$4,'[1]DATOS PBI Artículos'!$Z$4:$Z$4)*_xlfn.XLOOKUP(_xlfn.XLOOKUP(A139,'[1]DATOS PBI Artículos'!$A$4:$A$4,'[1]DATOS PBI Artículos'!$Y$4:$Y$4),[1]CRITERIOS!$P$79:$P$123,[1]CRITERIOS!$S$79:$S$123)),0)*[1]CRITERIOS!$M$80*([1]CRITERIOS!$M$110/[1]CRITERIOS!$M$86)+(_xlfn.XLOOKUP(A139,'[1]DATOS PBI Artículos'!$A$4:$A$4,'[1]DATOS PBI Artículos'!$AA$4:$AA$4)*([1]CRITERIOS!$M$95+[1]CRITERIOS!$M$98)))/N139)</f>
        <v>#N/A</v>
      </c>
      <c r="AD139" s="33" t="e">
        <f>IF(N139=0,"",(ROUNDUP((N139/2)/(_xlfn.XLOOKUP(A139,'[1]DATOS PBI Artículos'!$A$4:$A$4,'[1]DATOS PBI Artículos'!$Z$4:$Z$4)*_xlfn.XLOOKUP(_xlfn.XLOOKUP(A139,'[1]DATOS PBI Artículos'!$A$4:$A$4,'[1]DATOS PBI Artículos'!$Y$4:$Y$4),[1]CRITERIOS!$P$79:$P$123,[1]CRITERIOS!$S$79:$S$123)),0)*[1]CRITERIOS!$M$80*([1]CRITERIOS!$M$89*[1]CRITERIOS!$M$92)+((_xlfn.XLOOKUP(A139,'[1]DATOS PBI Artículos'!$A$4:$A$4,'[1]DATOS PBI Artículos'!$AA$4:$AA$4)/2)*([1]CRITERIOS!$M$95+[1]CRITERIOS!$M$98)))/N139)</f>
        <v>#N/A</v>
      </c>
      <c r="AE139" s="39">
        <f>IF($R139="MTO","",
IF($H139=0,ROUNDUP(((_xlfn.XLOOKUP($A139,'[1]DATOS PBI Artículos'!$A:$A,'[1]DATOS PBI Artículos'!$AL:$AL))/(_xlfn.XLOOKUP($AF$1,[1]CRITERIOS!$S$16:$S$39,[1]CRITERIOS!$Y$16:$Y$39))*$J139+$Z139)/$G139,0)*$G139,
((_xlfn.XLOOKUP($A139,'[1]DATOS PBI Artículos'!$A:$A,'[1]DATOS PBI Artículos'!$AL:$AL))/(_xlfn.XLOOKUP($AF$1,[1]CRITERIOS!$S$16:$S$39,[1]CRITERIOS!$Y$16:$Y$39))*$J139+$Z139)))</f>
        <v>18339.449879252683</v>
      </c>
      <c r="AG139" s="39">
        <f>IF($R139="MTO","",
IF($H139=0,ROUNDUP(((_xlfn.XLOOKUP($A139,'[1]DATOS PBI Artículos'!$A:$A,'[1]DATOS PBI Artículos'!$AM:$AM))/(_xlfn.XLOOKUP($AH$1,[1]CRITERIOS!$S$16:$S$39,[1]CRITERIOS!$Y$16:$Y$39))*$J139+$Z139)/$G139,0)*$G139,
((_xlfn.XLOOKUP($A139,'[1]DATOS PBI Artículos'!$A:$A,'[1]DATOS PBI Artículos'!$AM:$AM))/(_xlfn.XLOOKUP($AH$1,[1]CRITERIOS!$S$16:$S$39,[1]CRITERIOS!$Y$16:$Y$39))*$J139+$Z139)))</f>
        <v>15730.582287124784</v>
      </c>
      <c r="AI139" s="39">
        <f>IF($R139="MTO","",
IF($H139=0,ROUNDUP(((_xlfn.XLOOKUP($A139,'[1]DATOS PBI Artículos'!$A:$A,'[1]DATOS PBI Artículos'!$AN:$AN))/(_xlfn.XLOOKUP($AJ$1,[1]CRITERIOS!$S$16:$S$39,[1]CRITERIOS!$Y$16:$Y$39))*$J139+$Z139)/$G139,0)*$G139,
((_xlfn.XLOOKUP($A139,'[1]DATOS PBI Artículos'!$A:$A,'[1]DATOS PBI Artículos'!$AN:$AN))/(_xlfn.XLOOKUP($AJ$1,[1]CRITERIOS!$S$16:$S$39,[1]CRITERIOS!$Y$16:$Y$39))*$J139+$Z139)))</f>
        <v>17046.193555726848</v>
      </c>
      <c r="AK139" s="39">
        <f>IF($R139="MTO","",
IF($H139=0,ROUNDUP(((_xlfn.XLOOKUP($A139,'[1]DATOS PBI Artículos'!$A:$A,'[1]DATOS PBI Artículos'!$AO:$AO))/(_xlfn.XLOOKUP($AL$1,[1]CRITERIOS!$S$16:$S$39,[1]CRITERIOS!$Y$16:$Y$39))*$J139+$Z139)/$G139,0)*$G139,
((_xlfn.XLOOKUP($A139,'[1]DATOS PBI Artículos'!$A:$A,'[1]DATOS PBI Artículos'!$AO:$AO))/(_xlfn.XLOOKUP($AL$1,[1]CRITERIOS!$S$16:$S$39,[1]CRITERIOS!$Y$16:$Y$39))*$J139+$Z139)))</f>
        <v>17756.188784169346</v>
      </c>
    </row>
    <row r="140" spans="1:37" ht="25.8" x14ac:dyDescent="0.5">
      <c r="A140" s="32">
        <v>411933</v>
      </c>
      <c r="B140" s="33">
        <f>_xlfn.XLOOKUP($A140,'[1]DATOS PBI Artículos'!A:A,'[1]DATOS PBI Artículos'!B:B)</f>
        <v>0</v>
      </c>
      <c r="C140" s="33" t="str">
        <f>_xlfn.XLOOKUP($A140,'[1]DATOS PBI Artículos'!A:A,'[1]DATOS PBI Artículos'!C:C)</f>
        <v>UA03</v>
      </c>
      <c r="D140" s="33">
        <f>_xlfn.XLOOKUP(A140,'[1]DATOS PBI Artículos'!A:A,'[1]DATOS PBI Artículos'!T:T)</f>
        <v>2</v>
      </c>
      <c r="E140" s="34">
        <f>IF(_xlfn.XLOOKUP($A140,'[1]DATOS PBI Artículos'!A:A,'[1]DATOS PBI Artículos'!AK:AK)="",_xlfn.XLOOKUP($A140,'[1]DATOS PBI Artículos'!A:A,'[1]DATOS PBI Artículos'!AJ:AJ),_xlfn.XLOOKUP($A140,'[1]DATOS PBI Artículos'!A:A,'[1]DATOS PBI Artículos'!AK:AK))</f>
        <v>42000</v>
      </c>
      <c r="F140" s="35">
        <f>_xlfn.XLOOKUP($A140,'[1]DATOS PBI Artículos'!A:A,'[1]DATOS PBI Artículos'!AP:AP)</f>
        <v>40</v>
      </c>
      <c r="G140" s="34">
        <f>_xlfn.XLOOKUP($A140,'[1]DATOS PBI Artículos'!A:A,'[1]DATOS PBI Artículos'!AR:AR)</f>
        <v>21000</v>
      </c>
      <c r="H140" s="34">
        <f>_xlfn.XLOOKUP($A140,'[1]DATOS PBI Artículos'!A:A,'[1]DATOS PBI Artículos'!AT:AT)</f>
        <v>0</v>
      </c>
      <c r="I140" s="34">
        <f>_xlfn.XLOOKUP($A140,'[1]DATOS PBI Artículos'!A:A,'[1]DATOS PBI Artículos'!AS:AS)</f>
        <v>21000</v>
      </c>
      <c r="J140" s="35">
        <f>IF(COUNTIF([1]CRITERIOS!$F$179:$F$199,$A140)&gt;=1,
 IF(O140&lt;&gt;"",
    (O140/_xlfn.XLOOKUP(CONCATENATE(A140,L140),[1]MÁQUINAS!A:A,[1]MÁQUINAS!D:D))/24,
    (N140/_xlfn.XLOOKUP(CONCATENATE(A140,L140),[1]MÁQUINAS!A:A,[1]MÁQUINAS!D:D))/24),
  _xlfn.XLOOKUP($A140,'[1]DATOS PBI Artículos'!A:A,'[1]DATOS PBI Artículos'!AU:AU))</f>
        <v>10</v>
      </c>
      <c r="K140" s="36">
        <f>_xlfn.XLOOKUP($A140,'[1]DATOS PBI Artículos'!A:A,'[1]DATOS PBI Artículos'!AV:AV)</f>
        <v>0</v>
      </c>
      <c r="L140" s="33">
        <f>_xlfn.XLOOKUP(A140,[1]MÁQUINAS!B:B,[1]MÁQUINAS!C:C)</f>
        <v>142</v>
      </c>
      <c r="M140" s="34">
        <f t="array" ref="M140">_xlfn.XLOOKUP(A140,'[1]DATOS PBI Artículos'!A:A,'[1]DATOS PBI Artículos'!AX:$AX)</f>
        <v>36234.052444223205</v>
      </c>
      <c r="N140" s="37">
        <f>IF(I140="DV",
E140,
IF(COUNTIF([1]CRITERIOS!$I$179:$I$199,$A140)&gt;=1,
_xlfn.XLOOKUP($A140,[1]CRITERIOS!$I$179:$I$199,[1]CRITERIOS!$J$179:$J$199),
IF(COUNTIF([1]CRITERIOS!$L$179:$L$199,$A140)&gt;=1,
_xlfn.CEILING.MATH(IF($M140&gt;$E140,
$E140,
IF($M140&lt;$E140/ROUNDDOWN([1]CRITERIOS!$M$16/_xlfn.XLOOKUP($C140,[1]CRITERIOS!$K$25:$K$42,[1]CRITERIOS!$M$25:$M$42),
1),
E140/ROUNDDOWN([1]CRITERIOS!$M$16/_xlfn.XLOOKUP($C140,[1]CRITERIOS!$K$25:$K$42,[1]CRITERIOS!$M$25:$M$42),
1),
$M140)),
_xlfn.XLOOKUP($A140,[1]CRITERIOS!$L$179:$L$200,[1]CRITERIOS!$M$179:$M$200)),
_xlfn.CEILING.MATH(IF($M140&gt;$E140,
$E140,
IF($M140&lt;$E140/ROUNDDOWN([1]CRITERIOS!$M$16/_xlfn.XLOOKUP($C140,[1]CRITERIOS!$K$25:$K$42,[1]CRITERIOS!$M$25:$M$42),
1),
E140/ROUNDDOWN([1]CRITERIOS!$M$16/_xlfn.XLOOKUP($C140,[1]CRITERIOS!$K$25:$K$42,[1]CRITERIOS!$M$25:$M$42),
1),
$M140)),_xlfn.XLOOKUP(A140,'[1]DATOS PBI Artículos'!A:A,'[1]DATOS PBI Artículos'!Z:Z
)))))</f>
        <v>42000</v>
      </c>
      <c r="Q140" s="38">
        <f>IF(AND(O140="",N140=0),
0,
   IF(COUNTIF([1]CRITERIOS!$F$179:$F$199,$A140)&gt;=1,
   1,
   IF(R140="MTO",
      $D140,
      ROUNDUP(
                    IF(($E140-SUMIF('[1]DATOS PBI Artículos'!A:A,A140,'[1]DATOS PBI Artículos'!X:X)+($V140-_xlfn.XLOOKUP(A140,'[1]DATOS PBI Artículos'!A:A,'[1]DATOS PBI Artículos'!W:W)))&lt;0,
                    0,
                    IF(($E140-SUMIF('[1]DATOS PBI Artículos'!A:A,A140,'[1]DATOS PBI Artículos'!X:X)+$V140-_xlfn.XLOOKUP($A140,'[1]DATOS PBI Artículos'!A:A,'[1]DATOS PBI Artículos'!W:W))/IF($O140="",$N140,$O140)&gt;ROUNDUP([1]CRITERIOS!$M$16/(IF(COUNTIF([1]CRITERIOS!$BG$11:$BG$201,L140)&gt;=1,_xlfn.XLOOKUP($C140,[1]CRITERIOS!$K$25:$K$42,[1]CRITERIOS!$M$25:$M$42),_xlfn.XLOOKUP($C140,[1]CRITERIOS!$K$25:$K$42,[1]CRITERIOS!$M$25:$M$42))),0),
                    ROUNDUP([1]CRITERIOS!$M$16/(IF(COUNTIF([1]CRITERIOS!$BG$11:$BG$201,$L140)&gt;=1,_xlfn.XLOOKUP($C140,[1]CRITERIOS!$K$25:$K$42,[1]CRITERIOS!$M$25:$M$42),_xlfn.XLOOKUP($C140,[1]CRITERIOS!$K$25:$K$42,[1]CRITERIOS!$M$25:$M$42))),0),
                    (E140+V140-SUMIF('[1]DATOS PBI Artículos'!A:A,A140,'[1]DATOS PBI Artículos'!X:X)-_xlfn.XLOOKUP(A140,'[1]DATOS PBI Artículos'!A:A,'[1]DATOS PBI Artículos'!W:W))/IF($O140="",$N140,$O140))),0))))</f>
        <v>2</v>
      </c>
      <c r="R140" s="33" t="str">
        <f>IF(U140&lt;&gt;"",U140,IF(F140="DV","MTO",IF(N140=0,"MTO",_xlfn.XLOOKUP(CONCATENATE(S140,T140),[1]CRITERIOS!$K$160:$K$168,[1]CRITERIOS!$N$160:$N$168))))</f>
        <v>MTO</v>
      </c>
      <c r="S140" s="33" t="str">
        <f>IF(G140="DV","MTO",IF(N140=0,"MTO",IF(OR(AND(N140=0,O140=""),IF(O140="",G140/N140,G140/O140)&gt;[1]CRITERIOS!$G$163),"MTO",IF(IF(O140="",G140/N140,G140/O140)&lt;[1]CRITERIOS!$H$161,"MTS","MTOS"))))</f>
        <v>MTOS</v>
      </c>
      <c r="T140" s="33" t="str">
        <f>IF(F140="DV","MTO",IF(OR(AND($N140=0,O140=""),$F140/$J140&gt;[1]CRITERIOS!$G$170,$F140="DV"),"MTO",IF($F140/$J140&lt;[1]CRITERIOS!$H$168,"MTS","MTOS")))</f>
        <v>MTO</v>
      </c>
      <c r="V140" s="34" t="str">
        <f t="shared" si="7"/>
        <v/>
      </c>
      <c r="X140" s="34">
        <f t="shared" si="8"/>
        <v>0</v>
      </c>
      <c r="Y140" s="34">
        <f t="shared" si="9"/>
        <v>0</v>
      </c>
      <c r="Z140" s="34">
        <f>IF($R140="MTO",
0,
($H140+$K140*($E140/[1]CRITERIOS!$M$16))/[1]CRITERIOS!$X$48)</f>
        <v>0</v>
      </c>
      <c r="AA140" s="34" t="e">
        <f>ROUNDUP(($Y140/_xlfn.XLOOKUP($A140,'[1]DATOS PBI Artículos'!$A$4:$A$4,'[1]DATOS PBI Artículos'!$Z$4:$Z$4))/_xlfn.XLOOKUP(_xlfn.XLOOKUP($A140,'[1]DATOS PBI Artículos'!$A$4:$A$4,'[1]DATOS PBI Artículos'!$Y$4:$Y$4),[1]CRITERIOS!$P$79:$P$123,[1]CRITERIOS!$S$79:$S$123,),0)</f>
        <v>#N/A</v>
      </c>
      <c r="AB140" s="33" t="e">
        <f t="array" ref="AB140">IF((E140+V140-_xlfn.XLOOKUP(A140,'[1]DATOS PBI Artículos'!$A$4:$A$4,'[1]DATOS PBI Artículos'!$W$4:$W$4))/N140&gt;ROUNDUP([1]CRITERIOS!$M$16/(IF(COUNTIF([1]CRITERIOS!$BG$11:$BG$201,L140)&gt;=1,_xlfn.XLOOKUP(ARTÍCULOS!L140,[1]CRITERIOS!$BG$11:$BG$201,[1]CRITERIOS!$BJ$11:$BJ$201),_xlfn.XLOOKUP(ARTÍCULOS!C140,[1]CRITERIOS!$K$25:$K$42,[1]CRITERIOS!$M$25:$M$42))),0),ROUNDUP([1]CRITERIOS!$M$16/(IF(COUNTIF([1]CRITERIOS!$BG$11:$BG$201,L140)&gt;=1,_xlfn.XLOOKUP(ARTÍCULOS!L140,[1]CRITERIOS!$BG$11:$BG$201:#REF!,[1]CRITERIOS!$BJ$11:$BJ$201),_xlfn.XLOOKUP(ARTÍCULOS!C140,[1]CRITERIOS!$K$25:$K$42,[1]CRITERIOS!$M$25:$M$42))),0),(E140+V140-_xlfn.XLOOKUP(A140,'[1]DATOS PBI Artículos'!$A$4:$A$4,'[1]DATOS PBI Artículos'!$W$4:$W$4))/N140)</f>
        <v>#VALUE!</v>
      </c>
      <c r="AC140" s="33" t="e">
        <f>IF(N140=0,"",(ROUNDUP((N140/2)/(_xlfn.XLOOKUP(A140,'[1]DATOS PBI Artículos'!$A$4:$A$4,'[1]DATOS PBI Artículos'!$Z$4:$Z$4)*_xlfn.XLOOKUP(_xlfn.XLOOKUP(A140,'[1]DATOS PBI Artículos'!$A$4:$A$4,'[1]DATOS PBI Artículos'!$Y$4:$Y$4),[1]CRITERIOS!$P$79:$P$123,[1]CRITERIOS!$S$79:$S$123)),0)*[1]CRITERIOS!$M$80*([1]CRITERIOS!$M$110/[1]CRITERIOS!$M$86)+(_xlfn.XLOOKUP(A140,'[1]DATOS PBI Artículos'!$A$4:$A$4,'[1]DATOS PBI Artículos'!$AA$4:$AA$4)*([1]CRITERIOS!$M$95+[1]CRITERIOS!$M$98)))/N140)</f>
        <v>#N/A</v>
      </c>
      <c r="AD140" s="33" t="e">
        <f>IF(N140=0,"",(ROUNDUP((N140/2)/(_xlfn.XLOOKUP(A140,'[1]DATOS PBI Artículos'!$A$4:$A$4,'[1]DATOS PBI Artículos'!$Z$4:$Z$4)*_xlfn.XLOOKUP(_xlfn.XLOOKUP(A140,'[1]DATOS PBI Artículos'!$A$4:$A$4,'[1]DATOS PBI Artículos'!$Y$4:$Y$4),[1]CRITERIOS!$P$79:$P$123,[1]CRITERIOS!$S$79:$S$123)),0)*[1]CRITERIOS!$M$80*([1]CRITERIOS!$M$89*[1]CRITERIOS!$M$92)+((_xlfn.XLOOKUP(A140,'[1]DATOS PBI Artículos'!$A$4:$A$4,'[1]DATOS PBI Artículos'!$AA$4:$AA$4)/2)*([1]CRITERIOS!$M$95+[1]CRITERIOS!$M$98)))/N140)</f>
        <v>#N/A</v>
      </c>
      <c r="AE140" s="39" t="str">
        <f>IF($R140="MTO","",
IF($H140=0,ROUNDUP(((_xlfn.XLOOKUP($A140,'[1]DATOS PBI Artículos'!$A:$A,'[1]DATOS PBI Artículos'!$AL:$AL))/(_xlfn.XLOOKUP($AF$1,[1]CRITERIOS!$S$16:$S$39,[1]CRITERIOS!$Y$16:$Y$39))*$J140+$Z140)/$G140,0)*$G140,
((_xlfn.XLOOKUP($A140,'[1]DATOS PBI Artículos'!$A:$A,'[1]DATOS PBI Artículos'!$AL:$AL))/(_xlfn.XLOOKUP($AF$1,[1]CRITERIOS!$S$16:$S$39,[1]CRITERIOS!$Y$16:$Y$39))*$J140+$Z140)))</f>
        <v/>
      </c>
      <c r="AG140" s="39" t="str">
        <f>IF($R140="MTO","",
IF($H140=0,ROUNDUP(((_xlfn.XLOOKUP($A140,'[1]DATOS PBI Artículos'!$A:$A,'[1]DATOS PBI Artículos'!$AM:$AM))/(_xlfn.XLOOKUP($AH$1,[1]CRITERIOS!$S$16:$S$39,[1]CRITERIOS!$Y$16:$Y$39))*$J140+$Z140)/$G140,0)*$G140,
((_xlfn.XLOOKUP($A140,'[1]DATOS PBI Artículos'!$A:$A,'[1]DATOS PBI Artículos'!$AM:$AM))/(_xlfn.XLOOKUP($AH$1,[1]CRITERIOS!$S$16:$S$39,[1]CRITERIOS!$Y$16:$Y$39))*$J140+$Z140)))</f>
        <v/>
      </c>
      <c r="AI140" s="39" t="str">
        <f>IF($R140="MTO","",
IF($H140=0,ROUNDUP(((_xlfn.XLOOKUP($A140,'[1]DATOS PBI Artículos'!$A:$A,'[1]DATOS PBI Artículos'!$AN:$AN))/(_xlfn.XLOOKUP($AJ$1,[1]CRITERIOS!$S$16:$S$39,[1]CRITERIOS!$Y$16:$Y$39))*$J140+$Z140)/$G140,0)*$G140,
((_xlfn.XLOOKUP($A140,'[1]DATOS PBI Artículos'!$A:$A,'[1]DATOS PBI Artículos'!$AN:$AN))/(_xlfn.XLOOKUP($AJ$1,[1]CRITERIOS!$S$16:$S$39,[1]CRITERIOS!$Y$16:$Y$39))*$J140+$Z140)))</f>
        <v/>
      </c>
      <c r="AK140" s="39" t="str">
        <f>IF($R140="MTO","",
IF($H140=0,ROUNDUP(((_xlfn.XLOOKUP($A140,'[1]DATOS PBI Artículos'!$A:$A,'[1]DATOS PBI Artículos'!$AO:$AO))/(_xlfn.XLOOKUP($AL$1,[1]CRITERIOS!$S$16:$S$39,[1]CRITERIOS!$Y$16:$Y$39))*$J140+$Z140)/$G140,0)*$G140,
((_xlfn.XLOOKUP($A140,'[1]DATOS PBI Artículos'!$A:$A,'[1]DATOS PBI Artículos'!$AO:$AO))/(_xlfn.XLOOKUP($AL$1,[1]CRITERIOS!$S$16:$S$39,[1]CRITERIOS!$Y$16:$Y$39))*$J140+$Z140)))</f>
        <v/>
      </c>
    </row>
    <row r="141" spans="1:37" ht="25.8" x14ac:dyDescent="0.5">
      <c r="A141" s="32">
        <v>453055</v>
      </c>
      <c r="B141" s="33">
        <f>_xlfn.XLOOKUP($A141,'[1]DATOS PBI Artículos'!A:A,'[1]DATOS PBI Artículos'!B:B)</f>
        <v>0</v>
      </c>
      <c r="C141" s="33" t="str">
        <f>_xlfn.XLOOKUP($A141,'[1]DATOS PBI Artículos'!A:A,'[1]DATOS PBI Artículos'!C:C)</f>
        <v>UA01</v>
      </c>
      <c r="D141" s="33">
        <f>_xlfn.XLOOKUP(A141,'[1]DATOS PBI Artículos'!A:A,'[1]DATOS PBI Artículos'!T:T)</f>
        <v>2</v>
      </c>
      <c r="E141" s="34">
        <f>IF(_xlfn.XLOOKUP($A141,'[1]DATOS PBI Artículos'!A:A,'[1]DATOS PBI Artículos'!AK:AK)="",_xlfn.XLOOKUP($A141,'[1]DATOS PBI Artículos'!A:A,'[1]DATOS PBI Artículos'!AJ:AJ),_xlfn.XLOOKUP($A141,'[1]DATOS PBI Artículos'!A:A,'[1]DATOS PBI Artículos'!AK:AK))</f>
        <v>40000</v>
      </c>
      <c r="F141" s="35">
        <f>_xlfn.XLOOKUP($A141,'[1]DATOS PBI Artículos'!A:A,'[1]DATOS PBI Artículos'!AP:AP)</f>
        <v>53</v>
      </c>
      <c r="G141" s="34">
        <f>_xlfn.XLOOKUP($A141,'[1]DATOS PBI Artículos'!A:A,'[1]DATOS PBI Artículos'!AR:AR)</f>
        <v>20000</v>
      </c>
      <c r="H141" s="34">
        <f>_xlfn.XLOOKUP($A141,'[1]DATOS PBI Artículos'!A:A,'[1]DATOS PBI Artículos'!AT:AT)</f>
        <v>0</v>
      </c>
      <c r="I141" s="34">
        <f>_xlfn.XLOOKUP($A141,'[1]DATOS PBI Artículos'!A:A,'[1]DATOS PBI Artículos'!AS:AS)</f>
        <v>20000</v>
      </c>
      <c r="J141" s="35">
        <f>IF(COUNTIF([1]CRITERIOS!$F$179:$F$199,$A141)&gt;=1,
 IF(O141&lt;&gt;"",
    (O141/_xlfn.XLOOKUP(CONCATENATE(A141,L141),[1]MÁQUINAS!A:A,[1]MÁQUINAS!D:D))/24,
    (N141/_xlfn.XLOOKUP(CONCATENATE(A141,L141),[1]MÁQUINAS!A:A,[1]MÁQUINAS!D:D))/24),
  _xlfn.XLOOKUP($A141,'[1]DATOS PBI Artículos'!A:A,'[1]DATOS PBI Artículos'!AU:AU))</f>
        <v>20.5</v>
      </c>
      <c r="K141" s="36">
        <f>_xlfn.XLOOKUP($A141,'[1]DATOS PBI Artículos'!A:A,'[1]DATOS PBI Artículos'!AV:AV)</f>
        <v>10.606601717798213</v>
      </c>
      <c r="L141" s="33">
        <f>_xlfn.XLOOKUP(A141,[1]MÁQUINAS!B:B,[1]MÁQUINAS!C:C)</f>
        <v>406</v>
      </c>
      <c r="M141" s="34">
        <f t="array" ref="M141">_xlfn.XLOOKUP(A141,'[1]DATOS PBI Artículos'!A:A,'[1]DATOS PBI Artículos'!AX:$AX)</f>
        <v>16189.738671353445</v>
      </c>
      <c r="N141" s="37">
        <f>IF(I141="DV",
E141,
IF(COUNTIF([1]CRITERIOS!$I$179:$I$199,$A141)&gt;=1,
_xlfn.XLOOKUP($A141,[1]CRITERIOS!$I$179:$I$199,[1]CRITERIOS!$J$179:$J$199),
IF(COUNTIF([1]CRITERIOS!$L$179:$L$199,$A141)&gt;=1,
_xlfn.CEILING.MATH(IF($M141&gt;$E141,
$E141,
IF($M141&lt;$E141/ROUNDDOWN([1]CRITERIOS!$M$16/_xlfn.XLOOKUP($C141,[1]CRITERIOS!$K$25:$K$42,[1]CRITERIOS!$M$25:$M$42),
1),
E141/ROUNDDOWN([1]CRITERIOS!$M$16/_xlfn.XLOOKUP($C141,[1]CRITERIOS!$K$25:$K$42,[1]CRITERIOS!$M$25:$M$42),
1),
$M141)),
_xlfn.XLOOKUP($A141,[1]CRITERIOS!$L$179:$L$200,[1]CRITERIOS!$M$179:$M$200)),
_xlfn.CEILING.MATH(IF($M141&gt;$E141,
$E141,
IF($M141&lt;$E141/ROUNDDOWN([1]CRITERIOS!$M$16/_xlfn.XLOOKUP($C141,[1]CRITERIOS!$K$25:$K$42,[1]CRITERIOS!$M$25:$M$42),
1),
E141/ROUNDDOWN([1]CRITERIOS!$M$16/_xlfn.XLOOKUP($C141,[1]CRITERIOS!$K$25:$K$42,[1]CRITERIOS!$M$25:$M$42),
1),
$M141)),_xlfn.XLOOKUP(A141,'[1]DATOS PBI Artículos'!A:A,'[1]DATOS PBI Artículos'!Z:Z
)))))</f>
        <v>20000</v>
      </c>
      <c r="Q141" s="38">
        <f>IF(AND(O141="",N141=0),
0,
   IF(COUNTIF([1]CRITERIOS!$F$179:$F$199,$A141)&gt;=1,
   1,
   IF(R141="MTO",
      $D141,
      ROUNDUP(
                    IF(($E141-SUMIF('[1]DATOS PBI Artículos'!A:A,A141,'[1]DATOS PBI Artículos'!X:X)+($V141-_xlfn.XLOOKUP(A141,'[1]DATOS PBI Artículos'!A:A,'[1]DATOS PBI Artículos'!W:W)))&lt;0,
                    0,
                    IF(($E141-SUMIF('[1]DATOS PBI Artículos'!A:A,A141,'[1]DATOS PBI Artículos'!X:X)+$V141-_xlfn.XLOOKUP($A141,'[1]DATOS PBI Artículos'!A:A,'[1]DATOS PBI Artículos'!W:W))/IF($O141="",$N141,$O141)&gt;ROUNDUP([1]CRITERIOS!$M$16/(IF(COUNTIF([1]CRITERIOS!$BG$11:$BG$201,L141)&gt;=1,_xlfn.XLOOKUP($C141,[1]CRITERIOS!$K$25:$K$42,[1]CRITERIOS!$M$25:$M$42),_xlfn.XLOOKUP($C141,[1]CRITERIOS!$K$25:$K$42,[1]CRITERIOS!$M$25:$M$42))),0),
                    ROUNDUP([1]CRITERIOS!$M$16/(IF(COUNTIF([1]CRITERIOS!$BG$11:$BG$201,$L141)&gt;=1,_xlfn.XLOOKUP($C141,[1]CRITERIOS!$K$25:$K$42,[1]CRITERIOS!$M$25:$M$42),_xlfn.XLOOKUP($C141,[1]CRITERIOS!$K$25:$K$42,[1]CRITERIOS!$M$25:$M$42))),0),
                    (E141+V141-SUMIF('[1]DATOS PBI Artículos'!A:A,A141,'[1]DATOS PBI Artículos'!X:X)-_xlfn.XLOOKUP(A141,'[1]DATOS PBI Artículos'!A:A,'[1]DATOS PBI Artículos'!W:W))/IF($O141="",$N141,$O141))),0))))</f>
        <v>2</v>
      </c>
      <c r="R141" s="33" t="str">
        <f>IF(U141&lt;&gt;"",U141,IF(F141="DV","MTO",IF(N141=0,"MTO",_xlfn.XLOOKUP(CONCATENATE(S141,T141),[1]CRITERIOS!$K$160:$K$168,[1]CRITERIOS!$N$160:$N$168))))</f>
        <v>MTO</v>
      </c>
      <c r="S141" s="33" t="str">
        <f>IF(G141="DV","MTO",IF(N141=0,"MTO",IF(OR(AND(N141=0,O141=""),IF(O141="",G141/N141,G141/O141)&gt;[1]CRITERIOS!$G$163),"MTO",IF(IF(O141="",G141/N141,G141/O141)&lt;[1]CRITERIOS!$H$161,"MTS","MTOS"))))</f>
        <v>MTO</v>
      </c>
      <c r="T141" s="33" t="str">
        <f>IF(F141="DV","MTO",IF(OR(AND($N141=0,O141=""),$F141/$J141&gt;[1]CRITERIOS!$G$170,$F141="DV"),"MTO",IF($F141/$J141&lt;[1]CRITERIOS!$H$168,"MTS","MTOS")))</f>
        <v>MTO</v>
      </c>
      <c r="V141" s="34" t="str">
        <f t="shared" si="7"/>
        <v/>
      </c>
      <c r="X141" s="34">
        <f t="shared" si="8"/>
        <v>0</v>
      </c>
      <c r="Y141" s="34">
        <f t="shared" si="9"/>
        <v>0</v>
      </c>
      <c r="Z141" s="34">
        <f>IF($R141="MTO",
0,
($H141+$K141*($E141/[1]CRITERIOS!$M$16))/[1]CRITERIOS!$X$48)</f>
        <v>0</v>
      </c>
      <c r="AA141" s="34" t="e">
        <f>ROUNDUP(($Y141/_xlfn.XLOOKUP($A141,'[1]DATOS PBI Artículos'!$A$4:$A$4,'[1]DATOS PBI Artículos'!$Z$4:$Z$4))/_xlfn.XLOOKUP(_xlfn.XLOOKUP($A141,'[1]DATOS PBI Artículos'!$A$4:$A$4,'[1]DATOS PBI Artículos'!$Y$4:$Y$4),[1]CRITERIOS!$P$79:$P$123,[1]CRITERIOS!$S$79:$S$123,),0)</f>
        <v>#N/A</v>
      </c>
      <c r="AB141" s="33" t="e">
        <f t="array" ref="AB141">IF((E141+V141-_xlfn.XLOOKUP(A141,'[1]DATOS PBI Artículos'!$A$4:$A$4,'[1]DATOS PBI Artículos'!$W$4:$W$4))/N141&gt;ROUNDUP([1]CRITERIOS!$M$16/(IF(COUNTIF([1]CRITERIOS!$BG$11:$BG$201,L141)&gt;=1,_xlfn.XLOOKUP(ARTÍCULOS!L141,[1]CRITERIOS!$BG$11:$BG$201,[1]CRITERIOS!$BJ$11:$BJ$201),_xlfn.XLOOKUP(ARTÍCULOS!C141,[1]CRITERIOS!$K$25:$K$42,[1]CRITERIOS!$M$25:$M$42))),0),ROUNDUP([1]CRITERIOS!$M$16/(IF(COUNTIF([1]CRITERIOS!$BG$11:$BG$201,L141)&gt;=1,_xlfn.XLOOKUP(ARTÍCULOS!L141,[1]CRITERIOS!$BG$11:$BG$201:#REF!,[1]CRITERIOS!$BJ$11:$BJ$201),_xlfn.XLOOKUP(ARTÍCULOS!C141,[1]CRITERIOS!$K$25:$K$42,[1]CRITERIOS!$M$25:$M$42))),0),(E141+V141-_xlfn.XLOOKUP(A141,'[1]DATOS PBI Artículos'!$A$4:$A$4,'[1]DATOS PBI Artículos'!$W$4:$W$4))/N141)</f>
        <v>#VALUE!</v>
      </c>
      <c r="AC141" s="33" t="e">
        <f>IF(N141=0,"",(ROUNDUP((N141/2)/(_xlfn.XLOOKUP(A141,'[1]DATOS PBI Artículos'!$A$4:$A$4,'[1]DATOS PBI Artículos'!$Z$4:$Z$4)*_xlfn.XLOOKUP(_xlfn.XLOOKUP(A141,'[1]DATOS PBI Artículos'!$A$4:$A$4,'[1]DATOS PBI Artículos'!$Y$4:$Y$4),[1]CRITERIOS!$P$79:$P$123,[1]CRITERIOS!$S$79:$S$123)),0)*[1]CRITERIOS!$M$80*([1]CRITERIOS!$M$110/[1]CRITERIOS!$M$86)+(_xlfn.XLOOKUP(A141,'[1]DATOS PBI Artículos'!$A$4:$A$4,'[1]DATOS PBI Artículos'!$AA$4:$AA$4)*([1]CRITERIOS!$M$95+[1]CRITERIOS!$M$98)))/N141)</f>
        <v>#N/A</v>
      </c>
      <c r="AD141" s="33" t="e">
        <f>IF(N141=0,"",(ROUNDUP((N141/2)/(_xlfn.XLOOKUP(A141,'[1]DATOS PBI Artículos'!$A$4:$A$4,'[1]DATOS PBI Artículos'!$Z$4:$Z$4)*_xlfn.XLOOKUP(_xlfn.XLOOKUP(A141,'[1]DATOS PBI Artículos'!$A$4:$A$4,'[1]DATOS PBI Artículos'!$Y$4:$Y$4),[1]CRITERIOS!$P$79:$P$123,[1]CRITERIOS!$S$79:$S$123)),0)*[1]CRITERIOS!$M$80*([1]CRITERIOS!$M$89*[1]CRITERIOS!$M$92)+((_xlfn.XLOOKUP(A141,'[1]DATOS PBI Artículos'!$A$4:$A$4,'[1]DATOS PBI Artículos'!$AA$4:$AA$4)/2)*([1]CRITERIOS!$M$95+[1]CRITERIOS!$M$98)))/N141)</f>
        <v>#N/A</v>
      </c>
      <c r="AE141" s="39" t="str">
        <f>IF($R141="MTO","",
IF($H141=0,ROUNDUP(((_xlfn.XLOOKUP($A141,'[1]DATOS PBI Artículos'!$A:$A,'[1]DATOS PBI Artículos'!$AL:$AL))/(_xlfn.XLOOKUP($AF$1,[1]CRITERIOS!$S$16:$S$39,[1]CRITERIOS!$Y$16:$Y$39))*$J141+$Z141)/$G141,0)*$G141,
((_xlfn.XLOOKUP($A141,'[1]DATOS PBI Artículos'!$A:$A,'[1]DATOS PBI Artículos'!$AL:$AL))/(_xlfn.XLOOKUP($AF$1,[1]CRITERIOS!$S$16:$S$39,[1]CRITERIOS!$Y$16:$Y$39))*$J141+$Z141)))</f>
        <v/>
      </c>
      <c r="AG141" s="39" t="str">
        <f>IF($R141="MTO","",
IF($H141=0,ROUNDUP(((_xlfn.XLOOKUP($A141,'[1]DATOS PBI Artículos'!$A:$A,'[1]DATOS PBI Artículos'!$AM:$AM))/(_xlfn.XLOOKUP($AH$1,[1]CRITERIOS!$S$16:$S$39,[1]CRITERIOS!$Y$16:$Y$39))*$J141+$Z141)/$G141,0)*$G141,
((_xlfn.XLOOKUP($A141,'[1]DATOS PBI Artículos'!$A:$A,'[1]DATOS PBI Artículos'!$AM:$AM))/(_xlfn.XLOOKUP($AH$1,[1]CRITERIOS!$S$16:$S$39,[1]CRITERIOS!$Y$16:$Y$39))*$J141+$Z141)))</f>
        <v/>
      </c>
      <c r="AI141" s="39" t="str">
        <f>IF($R141="MTO","",
IF($H141=0,ROUNDUP(((_xlfn.XLOOKUP($A141,'[1]DATOS PBI Artículos'!$A:$A,'[1]DATOS PBI Artículos'!$AN:$AN))/(_xlfn.XLOOKUP($AJ$1,[1]CRITERIOS!$S$16:$S$39,[1]CRITERIOS!$Y$16:$Y$39))*$J141+$Z141)/$G141,0)*$G141,
((_xlfn.XLOOKUP($A141,'[1]DATOS PBI Artículos'!$A:$A,'[1]DATOS PBI Artículos'!$AN:$AN))/(_xlfn.XLOOKUP($AJ$1,[1]CRITERIOS!$S$16:$S$39,[1]CRITERIOS!$Y$16:$Y$39))*$J141+$Z141)))</f>
        <v/>
      </c>
      <c r="AK141" s="39" t="str">
        <f>IF($R141="MTO","",
IF($H141=0,ROUNDUP(((_xlfn.XLOOKUP($A141,'[1]DATOS PBI Artículos'!$A:$A,'[1]DATOS PBI Artículos'!$AO:$AO))/(_xlfn.XLOOKUP($AL$1,[1]CRITERIOS!$S$16:$S$39,[1]CRITERIOS!$Y$16:$Y$39))*$J141+$Z141)/$G141,0)*$G141,
((_xlfn.XLOOKUP($A141,'[1]DATOS PBI Artículos'!$A:$A,'[1]DATOS PBI Artículos'!$AO:$AO))/(_xlfn.XLOOKUP($AL$1,[1]CRITERIOS!$S$16:$S$39,[1]CRITERIOS!$Y$16:$Y$39))*$J141+$Z141)))</f>
        <v/>
      </c>
    </row>
    <row r="142" spans="1:37" ht="25.8" x14ac:dyDescent="0.5">
      <c r="A142" s="32">
        <v>404006</v>
      </c>
      <c r="B142" s="33">
        <f>_xlfn.XLOOKUP($A142,'[1]DATOS PBI Artículos'!A:A,'[1]DATOS PBI Artículos'!B:B)</f>
        <v>0</v>
      </c>
      <c r="C142" s="33" t="str">
        <f>_xlfn.XLOOKUP($A142,'[1]DATOS PBI Artículos'!A:A,'[1]DATOS PBI Artículos'!C:C)</f>
        <v>UA02</v>
      </c>
      <c r="D142" s="33">
        <f>_xlfn.XLOOKUP(A142,'[1]DATOS PBI Artículos'!A:A,'[1]DATOS PBI Artículos'!T:T)</f>
        <v>4</v>
      </c>
      <c r="E142" s="34">
        <f>IF(_xlfn.XLOOKUP($A142,'[1]DATOS PBI Artículos'!A:A,'[1]DATOS PBI Artículos'!AK:AK)="",_xlfn.XLOOKUP($A142,'[1]DATOS PBI Artículos'!A:A,'[1]DATOS PBI Artículos'!AJ:AJ),_xlfn.XLOOKUP($A142,'[1]DATOS PBI Artículos'!A:A,'[1]DATOS PBI Artículos'!AK:AK))</f>
        <v>40000</v>
      </c>
      <c r="F142" s="35">
        <f>_xlfn.XLOOKUP($A142,'[1]DATOS PBI Artículos'!A:A,'[1]DATOS PBI Artículos'!AP:AP)</f>
        <v>7.5</v>
      </c>
      <c r="G142" s="34">
        <f>_xlfn.XLOOKUP($A142,'[1]DATOS PBI Artículos'!A:A,'[1]DATOS PBI Artículos'!AR:AR)</f>
        <v>5000</v>
      </c>
      <c r="H142" s="34">
        <f>_xlfn.XLOOKUP($A142,'[1]DATOS PBI Artículos'!A:A,'[1]DATOS PBI Artículos'!AT:AT)</f>
        <v>0</v>
      </c>
      <c r="I142" s="34">
        <f>_xlfn.XLOOKUP($A142,'[1]DATOS PBI Artículos'!A:A,'[1]DATOS PBI Artículos'!AS:AS)</f>
        <v>5000</v>
      </c>
      <c r="J142" s="35">
        <f>IF(COUNTIF([1]CRITERIOS!$F$179:$F$199,$A142)&gt;=1,
 IF(O142&lt;&gt;"",
    (O142/_xlfn.XLOOKUP(CONCATENATE(A142,L142),[1]MÁQUINAS!A:A,[1]MÁQUINAS!D:D))/24,
    (N142/_xlfn.XLOOKUP(CONCATENATE(A142,L142),[1]MÁQUINAS!A:A,[1]MÁQUINAS!D:D))/24),
  _xlfn.XLOOKUP($A142,'[1]DATOS PBI Artículos'!A:A,'[1]DATOS PBI Artículos'!AU:AU))</f>
        <v>22.875</v>
      </c>
      <c r="K142" s="36">
        <f>_xlfn.XLOOKUP($A142,'[1]DATOS PBI Artículos'!A:A,'[1]DATOS PBI Artículos'!AV:AV)</f>
        <v>11.556538038208995</v>
      </c>
      <c r="L142" s="33">
        <f>_xlfn.XLOOKUP(A142,[1]MÁQUINAS!B:B,[1]MÁQUINAS!C:C)</f>
        <v>221</v>
      </c>
      <c r="M142" s="34">
        <f t="array" ref="M142">_xlfn.XLOOKUP(A142,'[1]DATOS PBI Artículos'!A:A,'[1]DATOS PBI Artículos'!AX:$AX)</f>
        <v>18064.338749446786</v>
      </c>
      <c r="N142" s="37">
        <f>IF(I142="DV",
E142,
IF(COUNTIF([1]CRITERIOS!$I$179:$I$199,$A142)&gt;=1,
_xlfn.XLOOKUP($A142,[1]CRITERIOS!$I$179:$I$199,[1]CRITERIOS!$J$179:$J$199),
IF(COUNTIF([1]CRITERIOS!$L$179:$L$199,$A142)&gt;=1,
_xlfn.CEILING.MATH(IF($M142&gt;$E142,
$E142,
IF($M142&lt;$E142/ROUNDDOWN([1]CRITERIOS!$M$16/_xlfn.XLOOKUP($C142,[1]CRITERIOS!$K$25:$K$42,[1]CRITERIOS!$M$25:$M$42),
1),
E142/ROUNDDOWN([1]CRITERIOS!$M$16/_xlfn.XLOOKUP($C142,[1]CRITERIOS!$K$25:$K$42,[1]CRITERIOS!$M$25:$M$42),
1),
$M142)),
_xlfn.XLOOKUP($A142,[1]CRITERIOS!$L$179:$L$200,[1]CRITERIOS!$M$179:$M$200)),
_xlfn.CEILING.MATH(IF($M142&gt;$E142,
$E142,
IF($M142&lt;$E142/ROUNDDOWN([1]CRITERIOS!$M$16/_xlfn.XLOOKUP($C142,[1]CRITERIOS!$K$25:$K$42,[1]CRITERIOS!$M$25:$M$42),
1),
E142/ROUNDDOWN([1]CRITERIOS!$M$16/_xlfn.XLOOKUP($C142,[1]CRITERIOS!$K$25:$K$42,[1]CRITERIOS!$M$25:$M$42),
1),
$M142)),_xlfn.XLOOKUP(A142,'[1]DATOS PBI Artículos'!A:A,'[1]DATOS PBI Artículos'!Z:Z
)))))</f>
        <v>20000</v>
      </c>
      <c r="Q142" s="38">
        <f>IF(AND(O142="",N142=0),
0,
   IF(COUNTIF([1]CRITERIOS!$F$179:$F$199,$A142)&gt;=1,
   1,
   IF(R142="MTO",
      $D142,
      ROUNDUP(
                    IF(($E142-SUMIF('[1]DATOS PBI Artículos'!A:A,A142,'[1]DATOS PBI Artículos'!X:X)+($V142-_xlfn.XLOOKUP(A142,'[1]DATOS PBI Artículos'!A:A,'[1]DATOS PBI Artículos'!W:W)))&lt;0,
                    0,
                    IF(($E142-SUMIF('[1]DATOS PBI Artículos'!A:A,A142,'[1]DATOS PBI Artículos'!X:X)+$V142-_xlfn.XLOOKUP($A142,'[1]DATOS PBI Artículos'!A:A,'[1]DATOS PBI Artículos'!W:W))/IF($O142="",$N142,$O142)&gt;ROUNDUP([1]CRITERIOS!$M$16/(IF(COUNTIF([1]CRITERIOS!$BG$11:$BG$201,L142)&gt;=1,_xlfn.XLOOKUP($C142,[1]CRITERIOS!$K$25:$K$42,[1]CRITERIOS!$M$25:$M$42),_xlfn.XLOOKUP($C142,[1]CRITERIOS!$K$25:$K$42,[1]CRITERIOS!$M$25:$M$42))),0),
                    ROUNDUP([1]CRITERIOS!$M$16/(IF(COUNTIF([1]CRITERIOS!$BG$11:$BG$201,$L142)&gt;=1,_xlfn.XLOOKUP($C142,[1]CRITERIOS!$K$25:$K$42,[1]CRITERIOS!$M$25:$M$42),_xlfn.XLOOKUP($C142,[1]CRITERIOS!$K$25:$K$42,[1]CRITERIOS!$M$25:$M$42))),0),
                    (E142+V142-SUMIF('[1]DATOS PBI Artículos'!A:A,A142,'[1]DATOS PBI Artículos'!X:X)-_xlfn.XLOOKUP(A142,'[1]DATOS PBI Artículos'!A:A,'[1]DATOS PBI Artículos'!W:W))/IF($O142="",$N142,$O142))),0))))</f>
        <v>2</v>
      </c>
      <c r="R142" s="33" t="str">
        <f>IF(U142&lt;&gt;"",U142,IF(F142="DV","MTO",IF(N142=0,"MTO",_xlfn.XLOOKUP(CONCATENATE(S142,T142),[1]CRITERIOS!$K$160:$K$168,[1]CRITERIOS!$N$160:$N$168))))</f>
        <v>MTS</v>
      </c>
      <c r="S142" s="33" t="str">
        <f>IF(G142="DV","MTO",IF(N142=0,"MTO",IF(OR(AND(N142=0,O142=""),IF(O142="",G142/N142,G142/O142)&gt;[1]CRITERIOS!$G$163),"MTO",IF(IF(O142="",G142/N142,G142/O142)&lt;[1]CRITERIOS!$H$161,"MTS","MTOS"))))</f>
        <v>MTS</v>
      </c>
      <c r="T142" s="33" t="str">
        <f>IF(F142="DV","MTO",IF(OR(AND($N142=0,O142=""),$F142/$J142&gt;[1]CRITERIOS!$G$170,$F142="DV"),"MTO",IF($F142/$J142&lt;[1]CRITERIOS!$H$168,"MTS","MTOS")))</f>
        <v>MTS</v>
      </c>
      <c r="V142" s="34">
        <f t="shared" si="7"/>
        <v>20386.239128092886</v>
      </c>
      <c r="X142" s="34">
        <f t="shared" si="8"/>
        <v>40386.239128092886</v>
      </c>
      <c r="Y142" s="34">
        <f t="shared" si="9"/>
        <v>15136.239128092888</v>
      </c>
      <c r="Z142" s="34">
        <f>IF($R142="MTO",
0,
($H142+$K142*($E142/[1]CRITERIOS!$M$16))/[1]CRITERIOS!$X$48)</f>
        <v>5136.2391280928878</v>
      </c>
      <c r="AA142" s="34" t="e">
        <f>ROUNDUP(($Y142/_xlfn.XLOOKUP($A142,'[1]DATOS PBI Artículos'!$A$4:$A$4,'[1]DATOS PBI Artículos'!$Z$4:$Z$4))/_xlfn.XLOOKUP(_xlfn.XLOOKUP($A142,'[1]DATOS PBI Artículos'!$A$4:$A$4,'[1]DATOS PBI Artículos'!$Y$4:$Y$4),[1]CRITERIOS!$P$79:$P$123,[1]CRITERIOS!$S$79:$S$123,),0)</f>
        <v>#N/A</v>
      </c>
      <c r="AB142" s="33" t="e">
        <f t="array" ref="AB142">IF((E142+V142-_xlfn.XLOOKUP(A142,'[1]DATOS PBI Artículos'!$A$4:$A$4,'[1]DATOS PBI Artículos'!$W$4:$W$4))/N142&gt;ROUNDUP([1]CRITERIOS!$M$16/(IF(COUNTIF([1]CRITERIOS!$BG$11:$BG$201,L142)&gt;=1,_xlfn.XLOOKUP(ARTÍCULOS!L142,[1]CRITERIOS!$BG$11:$BG$201,[1]CRITERIOS!$BJ$11:$BJ$201),_xlfn.XLOOKUP(ARTÍCULOS!C142,[1]CRITERIOS!$K$25:$K$42,[1]CRITERIOS!$M$25:$M$42))),0),ROUNDUP([1]CRITERIOS!$M$16/(IF(COUNTIF([1]CRITERIOS!$BG$11:$BG$201,L142)&gt;=1,_xlfn.XLOOKUP(ARTÍCULOS!L142,[1]CRITERIOS!$BG$11:$BG$201:#REF!,[1]CRITERIOS!$BJ$11:$BJ$201),_xlfn.XLOOKUP(ARTÍCULOS!C142,[1]CRITERIOS!$K$25:$K$42,[1]CRITERIOS!$M$25:$M$42))),0),(E142+V142-_xlfn.XLOOKUP(A142,'[1]DATOS PBI Artículos'!$A$4:$A$4,'[1]DATOS PBI Artículos'!$W$4:$W$4))/N142)</f>
        <v>#N/A</v>
      </c>
      <c r="AC142" s="33" t="e">
        <f>IF(N142=0,"",(ROUNDUP((N142/2)/(_xlfn.XLOOKUP(A142,'[1]DATOS PBI Artículos'!$A$4:$A$4,'[1]DATOS PBI Artículos'!$Z$4:$Z$4)*_xlfn.XLOOKUP(_xlfn.XLOOKUP(A142,'[1]DATOS PBI Artículos'!$A$4:$A$4,'[1]DATOS PBI Artículos'!$Y$4:$Y$4),[1]CRITERIOS!$P$79:$P$123,[1]CRITERIOS!$S$79:$S$123)),0)*[1]CRITERIOS!$M$80*([1]CRITERIOS!$M$110/[1]CRITERIOS!$M$86)+(_xlfn.XLOOKUP(A142,'[1]DATOS PBI Artículos'!$A$4:$A$4,'[1]DATOS PBI Artículos'!$AA$4:$AA$4)*([1]CRITERIOS!$M$95+[1]CRITERIOS!$M$98)))/N142)</f>
        <v>#N/A</v>
      </c>
      <c r="AD142" s="33" t="e">
        <f>IF(N142=0,"",(ROUNDUP((N142/2)/(_xlfn.XLOOKUP(A142,'[1]DATOS PBI Artículos'!$A$4:$A$4,'[1]DATOS PBI Artículos'!$Z$4:$Z$4)*_xlfn.XLOOKUP(_xlfn.XLOOKUP(A142,'[1]DATOS PBI Artículos'!$A$4:$A$4,'[1]DATOS PBI Artículos'!$Y$4:$Y$4),[1]CRITERIOS!$P$79:$P$123,[1]CRITERIOS!$S$79:$S$123)),0)*[1]CRITERIOS!$M$80*([1]CRITERIOS!$M$89*[1]CRITERIOS!$M$92)+((_xlfn.XLOOKUP(A142,'[1]DATOS PBI Artículos'!$A$4:$A$4,'[1]DATOS PBI Artículos'!$AA$4:$AA$4)/2)*([1]CRITERIOS!$M$95+[1]CRITERIOS!$M$98)))/N142)</f>
        <v>#N/A</v>
      </c>
      <c r="AE142" s="39">
        <f>IF($R142="MTO","",
IF($H142=0,ROUNDUP(((_xlfn.XLOOKUP($A142,'[1]DATOS PBI Artículos'!$A:$A,'[1]DATOS PBI Artículos'!$AL:$AL))/(_xlfn.XLOOKUP($AF$1,[1]CRITERIOS!$S$16:$S$39,[1]CRITERIOS!$Y$16:$Y$39))*$J142+$Z142)/$G142,0)*$G142,
((_xlfn.XLOOKUP($A142,'[1]DATOS PBI Artículos'!$A:$A,'[1]DATOS PBI Artículos'!$AL:$AL))/(_xlfn.XLOOKUP($AF$1,[1]CRITERIOS!$S$16:$S$39,[1]CRITERIOS!$Y$16:$Y$39))*$J142+$Z142)))</f>
        <v>20000</v>
      </c>
      <c r="AG142" s="39">
        <f>IF($R142="MTO","",
IF($H142=0,ROUNDUP(((_xlfn.XLOOKUP($A142,'[1]DATOS PBI Artículos'!$A:$A,'[1]DATOS PBI Artículos'!$AM:$AM))/(_xlfn.XLOOKUP($AH$1,[1]CRITERIOS!$S$16:$S$39,[1]CRITERIOS!$Y$16:$Y$39))*$J142+$Z142)/$G142,0)*$G142,
((_xlfn.XLOOKUP($A142,'[1]DATOS PBI Artículos'!$A:$A,'[1]DATOS PBI Artículos'!$AM:$AM))/(_xlfn.XLOOKUP($AH$1,[1]CRITERIOS!$S$16:$S$39,[1]CRITERIOS!$Y$16:$Y$39))*$J142+$Z142)))</f>
        <v>20000</v>
      </c>
      <c r="AI142" s="39">
        <f>IF($R142="MTO","",
IF($H142=0,ROUNDUP(((_xlfn.XLOOKUP($A142,'[1]DATOS PBI Artículos'!$A:$A,'[1]DATOS PBI Artículos'!$AN:$AN))/(_xlfn.XLOOKUP($AJ$1,[1]CRITERIOS!$S$16:$S$39,[1]CRITERIOS!$Y$16:$Y$39))*$J142+$Z142)/$G142,0)*$G142,
((_xlfn.XLOOKUP($A142,'[1]DATOS PBI Artículos'!$A:$A,'[1]DATOS PBI Artículos'!$AN:$AN))/(_xlfn.XLOOKUP($AJ$1,[1]CRITERIOS!$S$16:$S$39,[1]CRITERIOS!$Y$16:$Y$39))*$J142+$Z142)))</f>
        <v>20000</v>
      </c>
      <c r="AK142" s="39">
        <f>IF($R142="MTO","",
IF($H142=0,ROUNDUP(((_xlfn.XLOOKUP($A142,'[1]DATOS PBI Artículos'!$A:$A,'[1]DATOS PBI Artículos'!$AO:$AO))/(_xlfn.XLOOKUP($AL$1,[1]CRITERIOS!$S$16:$S$39,[1]CRITERIOS!$Y$16:$Y$39))*$J142+$Z142)/$G142,0)*$G142,
((_xlfn.XLOOKUP($A142,'[1]DATOS PBI Artículos'!$A:$A,'[1]DATOS PBI Artículos'!$AO:$AO))/(_xlfn.XLOOKUP($AL$1,[1]CRITERIOS!$S$16:$S$39,[1]CRITERIOS!$Y$16:$Y$39))*$J142+$Z142)))</f>
        <v>20000</v>
      </c>
    </row>
    <row r="143" spans="1:37" ht="25.8" x14ac:dyDescent="0.5">
      <c r="A143" s="32" t="s">
        <v>82</v>
      </c>
      <c r="B143" s="33">
        <f>_xlfn.XLOOKUP($A143,'[1]DATOS PBI Artículos'!A:A,'[1]DATOS PBI Artículos'!B:B)</f>
        <v>0</v>
      </c>
      <c r="C143" s="33" t="str">
        <f>_xlfn.XLOOKUP($A143,'[1]DATOS PBI Artículos'!A:A,'[1]DATOS PBI Artículos'!C:C)</f>
        <v>UA02</v>
      </c>
      <c r="D143" s="33">
        <f>_xlfn.XLOOKUP(A143,'[1]DATOS PBI Artículos'!A:A,'[1]DATOS PBI Artículos'!T:T)</f>
        <v>4</v>
      </c>
      <c r="E143" s="34">
        <f>IF(_xlfn.XLOOKUP($A143,'[1]DATOS PBI Artículos'!A:A,'[1]DATOS PBI Artículos'!AK:AK)="",_xlfn.XLOOKUP($A143,'[1]DATOS PBI Artículos'!A:A,'[1]DATOS PBI Artículos'!AJ:AJ),_xlfn.XLOOKUP($A143,'[1]DATOS PBI Artículos'!A:A,'[1]DATOS PBI Artículos'!AK:AK))</f>
        <v>40000</v>
      </c>
      <c r="F143" s="35">
        <f>_xlfn.XLOOKUP($A143,'[1]DATOS PBI Artículos'!A:A,'[1]DATOS PBI Artículos'!AP:AP)</f>
        <v>12</v>
      </c>
      <c r="G143" s="34">
        <f>_xlfn.XLOOKUP($A143,'[1]DATOS PBI Artículos'!A:A,'[1]DATOS PBI Artículos'!AR:AR)</f>
        <v>5000</v>
      </c>
      <c r="H143" s="34">
        <f>_xlfn.XLOOKUP($A143,'[1]DATOS PBI Artículos'!A:A,'[1]DATOS PBI Artículos'!AT:AT)</f>
        <v>0</v>
      </c>
      <c r="I143" s="34">
        <f>_xlfn.XLOOKUP($A143,'[1]DATOS PBI Artículos'!A:A,'[1]DATOS PBI Artículos'!AS:AS)</f>
        <v>5000</v>
      </c>
      <c r="J143" s="35">
        <f>IF(COUNTIF([1]CRITERIOS!$F$179:$F$199,$A143)&gt;=1,
 IF(O143&lt;&gt;"",
    (O143/_xlfn.XLOOKUP(CONCATENATE(A143,L143),[1]MÁQUINAS!A:A,[1]MÁQUINAS!D:D))/24,
    (N143/_xlfn.XLOOKUP(CONCATENATE(A143,L143),[1]MÁQUINAS!A:A,[1]MÁQUINAS!D:D))/24),
  _xlfn.XLOOKUP($A143,'[1]DATOS PBI Artículos'!A:A,'[1]DATOS PBI Artículos'!AU:AU))</f>
        <v>22.5</v>
      </c>
      <c r="K143" s="36">
        <f>_xlfn.XLOOKUP($A143,'[1]DATOS PBI Artículos'!A:A,'[1]DATOS PBI Artículos'!AV:AV)</f>
        <v>3.415650255319866</v>
      </c>
      <c r="L143" s="33">
        <f>_xlfn.XLOOKUP(A143,[1]MÁQUINAS!B:B,[1]MÁQUINAS!C:C)</f>
        <v>221</v>
      </c>
      <c r="M143" s="34">
        <f t="array" ref="M143">_xlfn.XLOOKUP(A143,'[1]DATOS PBI Artículos'!A:A,'[1]DATOS PBI Artículos'!AX:$AX)</f>
        <v>19446.224245643694</v>
      </c>
      <c r="N143" s="37">
        <f>IF(I143="DV",
E143,
IF(COUNTIF([1]CRITERIOS!$I$179:$I$199,$A143)&gt;=1,
_xlfn.XLOOKUP($A143,[1]CRITERIOS!$I$179:$I$199,[1]CRITERIOS!$J$179:$J$199),
IF(COUNTIF([1]CRITERIOS!$L$179:$L$199,$A143)&gt;=1,
_xlfn.CEILING.MATH(IF($M143&gt;$E143,
$E143,
IF($M143&lt;$E143/ROUNDDOWN([1]CRITERIOS!$M$16/_xlfn.XLOOKUP($C143,[1]CRITERIOS!$K$25:$K$42,[1]CRITERIOS!$M$25:$M$42),
1),
E143/ROUNDDOWN([1]CRITERIOS!$M$16/_xlfn.XLOOKUP($C143,[1]CRITERIOS!$K$25:$K$42,[1]CRITERIOS!$M$25:$M$42),
1),
$M143)),
_xlfn.XLOOKUP($A143,[1]CRITERIOS!$L$179:$L$200,[1]CRITERIOS!$M$179:$M$200)),
_xlfn.CEILING.MATH(IF($M143&gt;$E143,
$E143,
IF($M143&lt;$E143/ROUNDDOWN([1]CRITERIOS!$M$16/_xlfn.XLOOKUP($C143,[1]CRITERIOS!$K$25:$K$42,[1]CRITERIOS!$M$25:$M$42),
1),
E143/ROUNDDOWN([1]CRITERIOS!$M$16/_xlfn.XLOOKUP($C143,[1]CRITERIOS!$K$25:$K$42,[1]CRITERIOS!$M$25:$M$42),
1),
$M143)),_xlfn.XLOOKUP(A143,'[1]DATOS PBI Artículos'!A:A,'[1]DATOS PBI Artículos'!Z:Z
)))))</f>
        <v>20000</v>
      </c>
      <c r="Q143" s="38">
        <f>IF(AND(O143="",N143=0),
0,
   IF(COUNTIF([1]CRITERIOS!$F$179:$F$199,$A143)&gt;=1,
   1,
   IF(R143="MTO",
      $D143,
      ROUNDUP(
                    IF(($E143-SUMIF('[1]DATOS PBI Artículos'!A:A,A143,'[1]DATOS PBI Artículos'!X:X)+($V143-_xlfn.XLOOKUP(A143,'[1]DATOS PBI Artículos'!A:A,'[1]DATOS PBI Artículos'!W:W)))&lt;0,
                    0,
                    IF(($E143-SUMIF('[1]DATOS PBI Artículos'!A:A,A143,'[1]DATOS PBI Artículos'!X:X)+$V143-_xlfn.XLOOKUP($A143,'[1]DATOS PBI Artículos'!A:A,'[1]DATOS PBI Artículos'!W:W))/IF($O143="",$N143,$O143)&gt;ROUNDUP([1]CRITERIOS!$M$16/(IF(COUNTIF([1]CRITERIOS!$BG$11:$BG$201,L143)&gt;=1,_xlfn.XLOOKUP($C143,[1]CRITERIOS!$K$25:$K$42,[1]CRITERIOS!$M$25:$M$42),_xlfn.XLOOKUP($C143,[1]CRITERIOS!$K$25:$K$42,[1]CRITERIOS!$M$25:$M$42))),0),
                    ROUNDUP([1]CRITERIOS!$M$16/(IF(COUNTIF([1]CRITERIOS!$BG$11:$BG$201,$L143)&gt;=1,_xlfn.XLOOKUP($C143,[1]CRITERIOS!$K$25:$K$42,[1]CRITERIOS!$M$25:$M$42),_xlfn.XLOOKUP($C143,[1]CRITERIOS!$K$25:$K$42,[1]CRITERIOS!$M$25:$M$42))),0),
                    (E143+V143-SUMIF('[1]DATOS PBI Artículos'!A:A,A143,'[1]DATOS PBI Artículos'!X:X)-_xlfn.XLOOKUP(A143,'[1]DATOS PBI Artículos'!A:A,'[1]DATOS PBI Artículos'!W:W))/IF($O143="",$N143,$O143))),0))))</f>
        <v>0</v>
      </c>
      <c r="R143" s="33" t="str">
        <f>IF(U143&lt;&gt;"",U143,IF(F143="DV","MTO",IF(N143=0,"MTO",_xlfn.XLOOKUP(CONCATENATE(S143,T143),[1]CRITERIOS!$K$160:$K$168,[1]CRITERIOS!$N$160:$N$168))))</f>
        <v>MTS</v>
      </c>
      <c r="S143" s="33" t="str">
        <f>IF(G143="DV","MTO",IF(N143=0,"MTO",IF(OR(AND(N143=0,O143=""),IF(O143="",G143/N143,G143/O143)&gt;[1]CRITERIOS!$G$163),"MTO",IF(IF(O143="",G143/N143,G143/O143)&lt;[1]CRITERIOS!$H$161,"MTS","MTOS"))))</f>
        <v>MTS</v>
      </c>
      <c r="T143" s="33" t="str">
        <f>IF(F143="DV","MTO",IF(OR(AND($N143=0,O143=""),$F143/$J143&gt;[1]CRITERIOS!$G$170,$F143="DV"),"MTO",IF($F143/$J143&lt;[1]CRITERIOS!$H$168,"MTS","MTOS")))</f>
        <v>MTS</v>
      </c>
      <c r="V143" s="34">
        <f t="shared" si="7"/>
        <v>10893.066780142162</v>
      </c>
      <c r="X143" s="34">
        <f t="shared" si="8"/>
        <v>30893.066780142162</v>
      </c>
      <c r="Y143" s="34">
        <f t="shared" si="9"/>
        <v>11518.066780142162</v>
      </c>
      <c r="Z143" s="34">
        <f>IF($R143="MTO",
0,
($H143+$K143*($E143/[1]CRITERIOS!$M$16))/[1]CRITERIOS!$X$48)</f>
        <v>1518.0667801421628</v>
      </c>
      <c r="AA143" s="34" t="e">
        <f>ROUNDUP(($Y143/_xlfn.XLOOKUP($A143,'[1]DATOS PBI Artículos'!$A$4:$A$4,'[1]DATOS PBI Artículos'!$Z$4:$Z$4))/_xlfn.XLOOKUP(_xlfn.XLOOKUP($A143,'[1]DATOS PBI Artículos'!$A$4:$A$4,'[1]DATOS PBI Artículos'!$Y$4:$Y$4),[1]CRITERIOS!$P$79:$P$123,[1]CRITERIOS!$S$79:$S$123,),0)</f>
        <v>#N/A</v>
      </c>
      <c r="AB143" s="33" t="e">
        <f t="array" ref="AB143">IF((E143+V143-_xlfn.XLOOKUP(A143,'[1]DATOS PBI Artículos'!$A$4:$A$4,'[1]DATOS PBI Artículos'!$W$4:$W$4))/N143&gt;ROUNDUP([1]CRITERIOS!$M$16/(IF(COUNTIF([1]CRITERIOS!$BG$11:$BG$201,L143)&gt;=1,_xlfn.XLOOKUP(ARTÍCULOS!L143,[1]CRITERIOS!$BG$11:$BG$201,[1]CRITERIOS!$BJ$11:$BJ$201),_xlfn.XLOOKUP(ARTÍCULOS!C143,[1]CRITERIOS!$K$25:$K$42,[1]CRITERIOS!$M$25:$M$42))),0),ROUNDUP([1]CRITERIOS!$M$16/(IF(COUNTIF([1]CRITERIOS!$BG$11:$BG$201,L143)&gt;=1,_xlfn.XLOOKUP(ARTÍCULOS!L143,[1]CRITERIOS!$BG$11:$BG$201:#REF!,[1]CRITERIOS!$BJ$11:$BJ$201),_xlfn.XLOOKUP(ARTÍCULOS!C143,[1]CRITERIOS!$K$25:$K$42,[1]CRITERIOS!$M$25:$M$42))),0),(E143+V143-_xlfn.XLOOKUP(A143,'[1]DATOS PBI Artículos'!$A$4:$A$4,'[1]DATOS PBI Artículos'!$W$4:$W$4))/N143)</f>
        <v>#N/A</v>
      </c>
      <c r="AC143" s="33" t="e">
        <f>IF(N143=0,"",(ROUNDUP((N143/2)/(_xlfn.XLOOKUP(A143,'[1]DATOS PBI Artículos'!$A$4:$A$4,'[1]DATOS PBI Artículos'!$Z$4:$Z$4)*_xlfn.XLOOKUP(_xlfn.XLOOKUP(A143,'[1]DATOS PBI Artículos'!$A$4:$A$4,'[1]DATOS PBI Artículos'!$Y$4:$Y$4),[1]CRITERIOS!$P$79:$P$123,[1]CRITERIOS!$S$79:$S$123)),0)*[1]CRITERIOS!$M$80*([1]CRITERIOS!$M$110/[1]CRITERIOS!$M$86)+(_xlfn.XLOOKUP(A143,'[1]DATOS PBI Artículos'!$A$4:$A$4,'[1]DATOS PBI Artículos'!$AA$4:$AA$4)*([1]CRITERIOS!$M$95+[1]CRITERIOS!$M$98)))/N143)</f>
        <v>#N/A</v>
      </c>
      <c r="AD143" s="33" t="e">
        <f>IF(N143=0,"",(ROUNDUP((N143/2)/(_xlfn.XLOOKUP(A143,'[1]DATOS PBI Artículos'!$A$4:$A$4,'[1]DATOS PBI Artículos'!$Z$4:$Z$4)*_xlfn.XLOOKUP(_xlfn.XLOOKUP(A143,'[1]DATOS PBI Artículos'!$A$4:$A$4,'[1]DATOS PBI Artículos'!$Y$4:$Y$4),[1]CRITERIOS!$P$79:$P$123,[1]CRITERIOS!$S$79:$S$123)),0)*[1]CRITERIOS!$M$80*([1]CRITERIOS!$M$89*[1]CRITERIOS!$M$92)+((_xlfn.XLOOKUP(A143,'[1]DATOS PBI Artículos'!$A$4:$A$4,'[1]DATOS PBI Artículos'!$AA$4:$AA$4)/2)*([1]CRITERIOS!$M$95+[1]CRITERIOS!$M$98)))/N143)</f>
        <v>#N/A</v>
      </c>
      <c r="AE143" s="39">
        <f>IF($R143="MTO","",
IF($H143=0,ROUNDUP(((_xlfn.XLOOKUP($A143,'[1]DATOS PBI Artículos'!$A:$A,'[1]DATOS PBI Artículos'!$AL:$AL))/(_xlfn.XLOOKUP($AF$1,[1]CRITERIOS!$S$16:$S$39,[1]CRITERIOS!$Y$16:$Y$39))*$J143+$Z143)/$G143,0)*$G143,
((_xlfn.XLOOKUP($A143,'[1]DATOS PBI Artículos'!$A:$A,'[1]DATOS PBI Artículos'!$AL:$AL))/(_xlfn.XLOOKUP($AF$1,[1]CRITERIOS!$S$16:$S$39,[1]CRITERIOS!$Y$16:$Y$39))*$J143+$Z143)))</f>
        <v>20000</v>
      </c>
      <c r="AG143" s="39">
        <f>IF($R143="MTO","",
IF($H143=0,ROUNDUP(((_xlfn.XLOOKUP($A143,'[1]DATOS PBI Artículos'!$A:$A,'[1]DATOS PBI Artículos'!$AM:$AM))/(_xlfn.XLOOKUP($AH$1,[1]CRITERIOS!$S$16:$S$39,[1]CRITERIOS!$Y$16:$Y$39))*$J143+$Z143)/$G143,0)*$G143,
((_xlfn.XLOOKUP($A143,'[1]DATOS PBI Artículos'!$A:$A,'[1]DATOS PBI Artículos'!$AM:$AM))/(_xlfn.XLOOKUP($AH$1,[1]CRITERIOS!$S$16:$S$39,[1]CRITERIOS!$Y$16:$Y$39))*$J143+$Z143)))</f>
        <v>15000</v>
      </c>
      <c r="AI143" s="39">
        <f>IF($R143="MTO","",
IF($H143=0,ROUNDUP(((_xlfn.XLOOKUP($A143,'[1]DATOS PBI Artículos'!$A:$A,'[1]DATOS PBI Artículos'!$AN:$AN))/(_xlfn.XLOOKUP($AJ$1,[1]CRITERIOS!$S$16:$S$39,[1]CRITERIOS!$Y$16:$Y$39))*$J143+$Z143)/$G143,0)*$G143,
((_xlfn.XLOOKUP($A143,'[1]DATOS PBI Artículos'!$A:$A,'[1]DATOS PBI Artículos'!$AN:$AN))/(_xlfn.XLOOKUP($AJ$1,[1]CRITERIOS!$S$16:$S$39,[1]CRITERIOS!$Y$16:$Y$39))*$J143+$Z143)))</f>
        <v>15000</v>
      </c>
      <c r="AK143" s="39">
        <f>IF($R143="MTO","",
IF($H143=0,ROUNDUP(((_xlfn.XLOOKUP($A143,'[1]DATOS PBI Artículos'!$A:$A,'[1]DATOS PBI Artículos'!$AO:$AO))/(_xlfn.XLOOKUP($AL$1,[1]CRITERIOS!$S$16:$S$39,[1]CRITERIOS!$Y$16:$Y$39))*$J143+$Z143)/$G143,0)*$G143,
((_xlfn.XLOOKUP($A143,'[1]DATOS PBI Artículos'!$A:$A,'[1]DATOS PBI Artículos'!$AO:$AO))/(_xlfn.XLOOKUP($AL$1,[1]CRITERIOS!$S$16:$S$39,[1]CRITERIOS!$Y$16:$Y$39))*$J143+$Z143)))</f>
        <v>15000</v>
      </c>
    </row>
    <row r="144" spans="1:37" ht="25.8" x14ac:dyDescent="0.5">
      <c r="A144" s="32">
        <v>452973</v>
      </c>
      <c r="B144" s="33">
        <f>_xlfn.XLOOKUP($A144,'[1]DATOS PBI Artículos'!A:A,'[1]DATOS PBI Artículos'!B:B)</f>
        <v>0</v>
      </c>
      <c r="C144" s="33" t="str">
        <f>_xlfn.XLOOKUP($A144,'[1]DATOS PBI Artículos'!A:A,'[1]DATOS PBI Artículos'!C:C)</f>
        <v>UA02</v>
      </c>
      <c r="D144" s="33">
        <f>_xlfn.XLOOKUP(A144,'[1]DATOS PBI Artículos'!A:A,'[1]DATOS PBI Artículos'!T:T)</f>
        <v>4</v>
      </c>
      <c r="E144" s="34">
        <f>IF(_xlfn.XLOOKUP($A144,'[1]DATOS PBI Artículos'!A:A,'[1]DATOS PBI Artículos'!AK:AK)="",_xlfn.XLOOKUP($A144,'[1]DATOS PBI Artículos'!A:A,'[1]DATOS PBI Artículos'!AJ:AJ),_xlfn.XLOOKUP($A144,'[1]DATOS PBI Artículos'!A:A,'[1]DATOS PBI Artículos'!AK:AK))</f>
        <v>40000</v>
      </c>
      <c r="F144" s="35">
        <f>_xlfn.XLOOKUP($A144,'[1]DATOS PBI Artículos'!A:A,'[1]DATOS PBI Artículos'!AP:AP)</f>
        <v>3</v>
      </c>
      <c r="G144" s="34">
        <f>_xlfn.XLOOKUP($A144,'[1]DATOS PBI Artículos'!A:A,'[1]DATOS PBI Artículos'!AR:AR)</f>
        <v>10000</v>
      </c>
      <c r="H144" s="34">
        <f>_xlfn.XLOOKUP($A144,'[1]DATOS PBI Artículos'!A:A,'[1]DATOS PBI Artículos'!AT:AT)</f>
        <v>0</v>
      </c>
      <c r="I144" s="34">
        <f>_xlfn.XLOOKUP($A144,'[1]DATOS PBI Artículos'!A:A,'[1]DATOS PBI Artículos'!AS:AS)</f>
        <v>10000</v>
      </c>
      <c r="J144" s="35">
        <f>IF(COUNTIF([1]CRITERIOS!$F$179:$F$199,$A144)&gt;=1,
 IF(O144&lt;&gt;"",
    (O144/_xlfn.XLOOKUP(CONCATENATE(A144,L144),[1]MÁQUINAS!A:A,[1]MÁQUINAS!D:D))/24,
    (N144/_xlfn.XLOOKUP(CONCATENATE(A144,L144),[1]MÁQUINAS!A:A,[1]MÁQUINAS!D:D))/24),
  _xlfn.XLOOKUP($A144,'[1]DATOS PBI Artículos'!A:A,'[1]DATOS PBI Artículos'!AU:AU))</f>
        <v>24.6</v>
      </c>
      <c r="K144" s="36">
        <f>_xlfn.XLOOKUP($A144,'[1]DATOS PBI Artículos'!A:A,'[1]DATOS PBI Artículos'!AV:AV)</f>
        <v>11.036303729057117</v>
      </c>
      <c r="L144" s="33">
        <f>_xlfn.XLOOKUP(A144,[1]MÁQUINAS!B:B,[1]MÁQUINAS!C:C)</f>
        <v>216</v>
      </c>
      <c r="M144" s="34">
        <f t="array" ref="M144">_xlfn.XLOOKUP(A144,'[1]DATOS PBI Artículos'!A:A,'[1]DATOS PBI Artículos'!AX:$AX)</f>
        <v>31187.144284694587</v>
      </c>
      <c r="N144" s="37">
        <f>IF(I144="DV",
E144,
IF(COUNTIF([1]CRITERIOS!$I$179:$I$199,$A144)&gt;=1,
_xlfn.XLOOKUP($A144,[1]CRITERIOS!$I$179:$I$199,[1]CRITERIOS!$J$179:$J$199),
IF(COUNTIF([1]CRITERIOS!$L$179:$L$199,$A144)&gt;=1,
_xlfn.CEILING.MATH(IF($M144&gt;$E144,
$E144,
IF($M144&lt;$E144/ROUNDDOWN([1]CRITERIOS!$M$16/_xlfn.XLOOKUP($C144,[1]CRITERIOS!$K$25:$K$42,[1]CRITERIOS!$M$25:$M$42),
1),
E144/ROUNDDOWN([1]CRITERIOS!$M$16/_xlfn.XLOOKUP($C144,[1]CRITERIOS!$K$25:$K$42,[1]CRITERIOS!$M$25:$M$42),
1),
$M144)),
_xlfn.XLOOKUP($A144,[1]CRITERIOS!$L$179:$L$200,[1]CRITERIOS!$M$179:$M$200)),
_xlfn.CEILING.MATH(IF($M144&gt;$E144,
$E144,
IF($M144&lt;$E144/ROUNDDOWN([1]CRITERIOS!$M$16/_xlfn.XLOOKUP($C144,[1]CRITERIOS!$K$25:$K$42,[1]CRITERIOS!$M$25:$M$42),
1),
E144/ROUNDDOWN([1]CRITERIOS!$M$16/_xlfn.XLOOKUP($C144,[1]CRITERIOS!$K$25:$K$42,[1]CRITERIOS!$M$25:$M$42),
1),
$M144)),_xlfn.XLOOKUP(A144,'[1]DATOS PBI Artículos'!A:A,'[1]DATOS PBI Artículos'!Z:Z
)))))</f>
        <v>40000</v>
      </c>
      <c r="Q144" s="38">
        <f>IF(AND(O144="",N144=0),
0,
   IF(COUNTIF([1]CRITERIOS!$F$179:$F$199,$A144)&gt;=1,
   1,
   IF(R144="MTO",
      $D144,
      ROUNDUP(
                    IF(($E144-SUMIF('[1]DATOS PBI Artículos'!A:A,A144,'[1]DATOS PBI Artículos'!X:X)+($V144-_xlfn.XLOOKUP(A144,'[1]DATOS PBI Artículos'!A:A,'[1]DATOS PBI Artículos'!W:W)))&lt;0,
                    0,
                    IF(($E144-SUMIF('[1]DATOS PBI Artículos'!A:A,A144,'[1]DATOS PBI Artículos'!X:X)+$V144-_xlfn.XLOOKUP($A144,'[1]DATOS PBI Artículos'!A:A,'[1]DATOS PBI Artículos'!W:W))/IF($O144="",$N144,$O144)&gt;ROUNDUP([1]CRITERIOS!$M$16/(IF(COUNTIF([1]CRITERIOS!$BG$11:$BG$201,L144)&gt;=1,_xlfn.XLOOKUP($C144,[1]CRITERIOS!$K$25:$K$42,[1]CRITERIOS!$M$25:$M$42),_xlfn.XLOOKUP($C144,[1]CRITERIOS!$K$25:$K$42,[1]CRITERIOS!$M$25:$M$42))),0),
                    ROUNDUP([1]CRITERIOS!$M$16/(IF(COUNTIF([1]CRITERIOS!$BG$11:$BG$201,$L144)&gt;=1,_xlfn.XLOOKUP($C144,[1]CRITERIOS!$K$25:$K$42,[1]CRITERIOS!$M$25:$M$42),_xlfn.XLOOKUP($C144,[1]CRITERIOS!$K$25:$K$42,[1]CRITERIOS!$M$25:$M$42))),0),
                    (E144+V144-SUMIF('[1]DATOS PBI Artículos'!A:A,A144,'[1]DATOS PBI Artículos'!X:X)-_xlfn.XLOOKUP(A144,'[1]DATOS PBI Artículos'!A:A,'[1]DATOS PBI Artículos'!W:W))/IF($O144="",$N144,$O144))),0))))</f>
        <v>2</v>
      </c>
      <c r="R144" s="33" t="str">
        <f>IF(U144&lt;&gt;"",U144,IF(F144="DV","MTO",IF(N144=0,"MTO",_xlfn.XLOOKUP(CONCATENATE(S144,T144),[1]CRITERIOS!$K$160:$K$168,[1]CRITERIOS!$N$160:$N$168))))</f>
        <v>MTS</v>
      </c>
      <c r="S144" s="33" t="str">
        <f>IF(G144="DV","MTO",IF(N144=0,"MTO",IF(OR(AND(N144=0,O144=""),IF(O144="",G144/N144,G144/O144)&gt;[1]CRITERIOS!$G$163),"MTO",IF(IF(O144="",G144/N144,G144/O144)&lt;[1]CRITERIOS!$H$161,"MTS","MTOS"))))</f>
        <v>MTS</v>
      </c>
      <c r="T144" s="33" t="str">
        <f>IF(F144="DV","MTO",IF(OR(AND($N144=0,O144=""),$F144/$J144&gt;[1]CRITERIOS!$G$170,$F144="DV"),"MTO",IF($F144/$J144&lt;[1]CRITERIOS!$H$168,"MTS","MTOS")))</f>
        <v>MTS</v>
      </c>
      <c r="V144" s="34">
        <f t="shared" si="7"/>
        <v>86905.023879580956</v>
      </c>
      <c r="X144" s="34">
        <f t="shared" si="8"/>
        <v>126905.02387958096</v>
      </c>
      <c r="Y144" s="34">
        <f t="shared" si="9"/>
        <v>24905.023879580942</v>
      </c>
      <c r="Z144" s="34">
        <f>IF($R144="MTO",
0,
($H144+$K144*($E144/[1]CRITERIOS!$M$16))/[1]CRITERIOS!$X$48)</f>
        <v>4905.0238795809419</v>
      </c>
      <c r="AA144" s="34" t="e">
        <f>ROUNDUP(($Y144/_xlfn.XLOOKUP($A144,'[1]DATOS PBI Artículos'!$A$4:$A$4,'[1]DATOS PBI Artículos'!$Z$4:$Z$4))/_xlfn.XLOOKUP(_xlfn.XLOOKUP($A144,'[1]DATOS PBI Artículos'!$A$4:$A$4,'[1]DATOS PBI Artículos'!$Y$4:$Y$4),[1]CRITERIOS!$P$79:$P$123,[1]CRITERIOS!$S$79:$S$123,),0)</f>
        <v>#N/A</v>
      </c>
      <c r="AB144" s="33" t="e">
        <f t="array" ref="AB144">IF((E144+V144-_xlfn.XLOOKUP(A144,'[1]DATOS PBI Artículos'!$A$4:$A$4,'[1]DATOS PBI Artículos'!$W$4:$W$4))/N144&gt;ROUNDUP([1]CRITERIOS!$M$16/(IF(COUNTIF([1]CRITERIOS!$BG$11:$BG$201,L144)&gt;=1,_xlfn.XLOOKUP(ARTÍCULOS!L144,[1]CRITERIOS!$BG$11:$BG$201,[1]CRITERIOS!$BJ$11:$BJ$201),_xlfn.XLOOKUP(ARTÍCULOS!C144,[1]CRITERIOS!$K$25:$K$42,[1]CRITERIOS!$M$25:$M$42))),0),ROUNDUP([1]CRITERIOS!$M$16/(IF(COUNTIF([1]CRITERIOS!$BG$11:$BG$201,L144)&gt;=1,_xlfn.XLOOKUP(ARTÍCULOS!L144,[1]CRITERIOS!$BG$11:$BG$201:#REF!,[1]CRITERIOS!$BJ$11:$BJ$201),_xlfn.XLOOKUP(ARTÍCULOS!C144,[1]CRITERIOS!$K$25:$K$42,[1]CRITERIOS!$M$25:$M$42))),0),(E144+V144-_xlfn.XLOOKUP(A144,'[1]DATOS PBI Artículos'!$A$4:$A$4,'[1]DATOS PBI Artículos'!$W$4:$W$4))/N144)</f>
        <v>#N/A</v>
      </c>
      <c r="AC144" s="33" t="e">
        <f>IF(N144=0,"",(ROUNDUP((N144/2)/(_xlfn.XLOOKUP(A144,'[1]DATOS PBI Artículos'!$A$4:$A$4,'[1]DATOS PBI Artículos'!$Z$4:$Z$4)*_xlfn.XLOOKUP(_xlfn.XLOOKUP(A144,'[1]DATOS PBI Artículos'!$A$4:$A$4,'[1]DATOS PBI Artículos'!$Y$4:$Y$4),[1]CRITERIOS!$P$79:$P$123,[1]CRITERIOS!$S$79:$S$123)),0)*[1]CRITERIOS!$M$80*([1]CRITERIOS!$M$110/[1]CRITERIOS!$M$86)+(_xlfn.XLOOKUP(A144,'[1]DATOS PBI Artículos'!$A$4:$A$4,'[1]DATOS PBI Artículos'!$AA$4:$AA$4)*([1]CRITERIOS!$M$95+[1]CRITERIOS!$M$98)))/N144)</f>
        <v>#N/A</v>
      </c>
      <c r="AD144" s="33" t="e">
        <f>IF(N144=0,"",(ROUNDUP((N144/2)/(_xlfn.XLOOKUP(A144,'[1]DATOS PBI Artículos'!$A$4:$A$4,'[1]DATOS PBI Artículos'!$Z$4:$Z$4)*_xlfn.XLOOKUP(_xlfn.XLOOKUP(A144,'[1]DATOS PBI Artículos'!$A$4:$A$4,'[1]DATOS PBI Artículos'!$Y$4:$Y$4),[1]CRITERIOS!$P$79:$P$123,[1]CRITERIOS!$S$79:$S$123)),0)*[1]CRITERIOS!$M$80*([1]CRITERIOS!$M$89*[1]CRITERIOS!$M$92)+((_xlfn.XLOOKUP(A144,'[1]DATOS PBI Artículos'!$A$4:$A$4,'[1]DATOS PBI Artículos'!$AA$4:$AA$4)/2)*([1]CRITERIOS!$M$95+[1]CRITERIOS!$M$98)))/N144)</f>
        <v>#N/A</v>
      </c>
      <c r="AE144" s="39">
        <f>IF($R144="MTO","",
IF($H144=0,ROUNDUP(((_xlfn.XLOOKUP($A144,'[1]DATOS PBI Artículos'!$A:$A,'[1]DATOS PBI Artículos'!$AL:$AL))/(_xlfn.XLOOKUP($AF$1,[1]CRITERIOS!$S$16:$S$39,[1]CRITERIOS!$Y$16:$Y$39))*$J144+$Z144)/$G144,0)*$G144,
((_xlfn.XLOOKUP($A144,'[1]DATOS PBI Artículos'!$A:$A,'[1]DATOS PBI Artículos'!$AL:$AL))/(_xlfn.XLOOKUP($AF$1,[1]CRITERIOS!$S$16:$S$39,[1]CRITERIOS!$Y$16:$Y$39))*$J144+$Z144)))</f>
        <v>30000</v>
      </c>
      <c r="AG144" s="39">
        <f>IF($R144="MTO","",
IF($H144=0,ROUNDUP(((_xlfn.XLOOKUP($A144,'[1]DATOS PBI Artículos'!$A:$A,'[1]DATOS PBI Artículos'!$AM:$AM))/(_xlfn.XLOOKUP($AH$1,[1]CRITERIOS!$S$16:$S$39,[1]CRITERIOS!$Y$16:$Y$39))*$J144+$Z144)/$G144,0)*$G144,
((_xlfn.XLOOKUP($A144,'[1]DATOS PBI Artículos'!$A:$A,'[1]DATOS PBI Artículos'!$AM:$AM))/(_xlfn.XLOOKUP($AH$1,[1]CRITERIOS!$S$16:$S$39,[1]CRITERIOS!$Y$16:$Y$39))*$J144+$Z144)))</f>
        <v>20000</v>
      </c>
      <c r="AI144" s="39">
        <f>IF($R144="MTO","",
IF($H144=0,ROUNDUP(((_xlfn.XLOOKUP($A144,'[1]DATOS PBI Artículos'!$A:$A,'[1]DATOS PBI Artículos'!$AN:$AN))/(_xlfn.XLOOKUP($AJ$1,[1]CRITERIOS!$S$16:$S$39,[1]CRITERIOS!$Y$16:$Y$39))*$J144+$Z144)/$G144,0)*$G144,
((_xlfn.XLOOKUP($A144,'[1]DATOS PBI Artículos'!$A:$A,'[1]DATOS PBI Artículos'!$AN:$AN))/(_xlfn.XLOOKUP($AJ$1,[1]CRITERIOS!$S$16:$S$39,[1]CRITERIOS!$Y$16:$Y$39))*$J144+$Z144)))</f>
        <v>20000</v>
      </c>
      <c r="AK144" s="39">
        <f>IF($R144="MTO","",
IF($H144=0,ROUNDUP(((_xlfn.XLOOKUP($A144,'[1]DATOS PBI Artículos'!$A:$A,'[1]DATOS PBI Artículos'!$AO:$AO))/(_xlfn.XLOOKUP($AL$1,[1]CRITERIOS!$S$16:$S$39,[1]CRITERIOS!$Y$16:$Y$39))*$J144+$Z144)/$G144,0)*$G144,
((_xlfn.XLOOKUP($A144,'[1]DATOS PBI Artículos'!$A:$A,'[1]DATOS PBI Artículos'!$AO:$AO))/(_xlfn.XLOOKUP($AL$1,[1]CRITERIOS!$S$16:$S$39,[1]CRITERIOS!$Y$16:$Y$39))*$J144+$Z144)))</f>
        <v>20000</v>
      </c>
    </row>
    <row r="145" spans="1:37" ht="25.8" x14ac:dyDescent="0.5">
      <c r="A145" s="32" t="s">
        <v>83</v>
      </c>
      <c r="B145" s="33">
        <f>_xlfn.XLOOKUP($A145,'[1]DATOS PBI Artículos'!A:A,'[1]DATOS PBI Artículos'!B:B)</f>
        <v>0</v>
      </c>
      <c r="C145" s="33" t="str">
        <f>_xlfn.XLOOKUP($A145,'[1]DATOS PBI Artículos'!A:A,'[1]DATOS PBI Artículos'!C:C)</f>
        <v>UA02</v>
      </c>
      <c r="D145" s="33">
        <f>_xlfn.XLOOKUP(A145,'[1]DATOS PBI Artículos'!A:A,'[1]DATOS PBI Artículos'!T:T)</f>
        <v>4</v>
      </c>
      <c r="E145" s="34">
        <f>IF(_xlfn.XLOOKUP($A145,'[1]DATOS PBI Artículos'!A:A,'[1]DATOS PBI Artículos'!AK:AK)="",_xlfn.XLOOKUP($A145,'[1]DATOS PBI Artículos'!A:A,'[1]DATOS PBI Artículos'!AJ:AJ),_xlfn.XLOOKUP($A145,'[1]DATOS PBI Artículos'!A:A,'[1]DATOS PBI Artículos'!AK:AK))</f>
        <v>40000</v>
      </c>
      <c r="F145" s="35">
        <f>_xlfn.XLOOKUP($A145,'[1]DATOS PBI Artículos'!A:A,'[1]DATOS PBI Artículos'!AP:AP)</f>
        <v>18.33333333333</v>
      </c>
      <c r="G145" s="34">
        <f>_xlfn.XLOOKUP($A145,'[1]DATOS PBI Artículos'!A:A,'[1]DATOS PBI Artículos'!AR:AR)</f>
        <v>10000</v>
      </c>
      <c r="H145" s="34">
        <f>_xlfn.XLOOKUP($A145,'[1]DATOS PBI Artículos'!A:A,'[1]DATOS PBI Artículos'!AT:AT)</f>
        <v>0</v>
      </c>
      <c r="I145" s="34">
        <f>_xlfn.XLOOKUP($A145,'[1]DATOS PBI Artículos'!A:A,'[1]DATOS PBI Artículos'!AS:AS)</f>
        <v>10000</v>
      </c>
      <c r="J145" s="35">
        <f>IF(COUNTIF([1]CRITERIOS!$F$179:$F$199,$A145)&gt;=1,
 IF(O145&lt;&gt;"",
    (O145/_xlfn.XLOOKUP(CONCATENATE(A145,L145),[1]MÁQUINAS!A:A,[1]MÁQUINAS!D:D))/24,
    (N145/_xlfn.XLOOKUP(CONCATENATE(A145,L145),[1]MÁQUINAS!A:A,[1]MÁQUINAS!D:D))/24),
  _xlfn.XLOOKUP($A145,'[1]DATOS PBI Artículos'!A:A,'[1]DATOS PBI Artículos'!AU:AU))</f>
        <v>25</v>
      </c>
      <c r="K145" s="36">
        <f>_xlfn.XLOOKUP($A145,'[1]DATOS PBI Artículos'!A:A,'[1]DATOS PBI Artículos'!AV:AV)</f>
        <v>22.534418119845029</v>
      </c>
      <c r="L145" s="33">
        <f>_xlfn.XLOOKUP(A145,[1]MÁQUINAS!B:B,[1]MÁQUINAS!C:C)</f>
        <v>211</v>
      </c>
      <c r="M145" s="34">
        <f t="array" ref="M145">_xlfn.XLOOKUP(A145,'[1]DATOS PBI Artículos'!A:A,'[1]DATOS PBI Artículos'!AX:$AX)</f>
        <v>30954.101178041452</v>
      </c>
      <c r="N145" s="37">
        <f>IF(I145="DV",
E145,
IF(COUNTIF([1]CRITERIOS!$I$179:$I$199,$A145)&gt;=1,
_xlfn.XLOOKUP($A145,[1]CRITERIOS!$I$179:$I$199,[1]CRITERIOS!$J$179:$J$199),
IF(COUNTIF([1]CRITERIOS!$L$179:$L$199,$A145)&gt;=1,
_xlfn.CEILING.MATH(IF($M145&gt;$E145,
$E145,
IF($M145&lt;$E145/ROUNDDOWN([1]CRITERIOS!$M$16/_xlfn.XLOOKUP($C145,[1]CRITERIOS!$K$25:$K$42,[1]CRITERIOS!$M$25:$M$42),
1),
E145/ROUNDDOWN([1]CRITERIOS!$M$16/_xlfn.XLOOKUP($C145,[1]CRITERIOS!$K$25:$K$42,[1]CRITERIOS!$M$25:$M$42),
1),
$M145)),
_xlfn.XLOOKUP($A145,[1]CRITERIOS!$L$179:$L$200,[1]CRITERIOS!$M$179:$M$200)),
_xlfn.CEILING.MATH(IF($M145&gt;$E145,
$E145,
IF($M145&lt;$E145/ROUNDDOWN([1]CRITERIOS!$M$16/_xlfn.XLOOKUP($C145,[1]CRITERIOS!$K$25:$K$42,[1]CRITERIOS!$M$25:$M$42),
1),
E145/ROUNDDOWN([1]CRITERIOS!$M$16/_xlfn.XLOOKUP($C145,[1]CRITERIOS!$K$25:$K$42,[1]CRITERIOS!$M$25:$M$42),
1),
$M145)),_xlfn.XLOOKUP(A145,'[1]DATOS PBI Artículos'!A:A,'[1]DATOS PBI Artículos'!Z:Z
)))))</f>
        <v>40000</v>
      </c>
      <c r="Q145" s="38">
        <f>IF(AND(O145="",N145=0),
0,
   IF(COUNTIF([1]CRITERIOS!$F$179:$F$199,$A145)&gt;=1,
   1,
   IF(R145="MTO",
      $D145,
      ROUNDUP(
                    IF(($E145-SUMIF('[1]DATOS PBI Artículos'!A:A,A145,'[1]DATOS PBI Artículos'!X:X)+($V145-_xlfn.XLOOKUP(A145,'[1]DATOS PBI Artículos'!A:A,'[1]DATOS PBI Artículos'!W:W)))&lt;0,
                    0,
                    IF(($E145-SUMIF('[1]DATOS PBI Artículos'!A:A,A145,'[1]DATOS PBI Artículos'!X:X)+$V145-_xlfn.XLOOKUP($A145,'[1]DATOS PBI Artículos'!A:A,'[1]DATOS PBI Artículos'!W:W))/IF($O145="",$N145,$O145)&gt;ROUNDUP([1]CRITERIOS!$M$16/(IF(COUNTIF([1]CRITERIOS!$BG$11:$BG$201,L145)&gt;=1,_xlfn.XLOOKUP($C145,[1]CRITERIOS!$K$25:$K$42,[1]CRITERIOS!$M$25:$M$42),_xlfn.XLOOKUP($C145,[1]CRITERIOS!$K$25:$K$42,[1]CRITERIOS!$M$25:$M$42))),0),
                    ROUNDUP([1]CRITERIOS!$M$16/(IF(COUNTIF([1]CRITERIOS!$BG$11:$BG$201,$L145)&gt;=1,_xlfn.XLOOKUP($C145,[1]CRITERIOS!$K$25:$K$42,[1]CRITERIOS!$M$25:$M$42),_xlfn.XLOOKUP($C145,[1]CRITERIOS!$K$25:$K$42,[1]CRITERIOS!$M$25:$M$42))),0),
                    (E145+V145-SUMIF('[1]DATOS PBI Artículos'!A:A,A145,'[1]DATOS PBI Artículos'!X:X)-_xlfn.XLOOKUP(A145,'[1]DATOS PBI Artículos'!A:A,'[1]DATOS PBI Artículos'!W:W))/IF($O145="",$N145,$O145))),0))))</f>
        <v>2</v>
      </c>
      <c r="R145" s="33" t="str">
        <f>IF(U145&lt;&gt;"",U145,IF(F145="DV","MTO",IF(N145=0,"MTO",_xlfn.XLOOKUP(CONCATENATE(S145,T145),[1]CRITERIOS!$K$160:$K$168,[1]CRITERIOS!$N$160:$N$168))))</f>
        <v>MTS</v>
      </c>
      <c r="S145" s="33" t="str">
        <f>IF(G145="DV","MTO",IF(N145=0,"MTO",IF(OR(AND(N145=0,O145=""),IF(O145="",G145/N145,G145/O145)&gt;[1]CRITERIOS!$G$163),"MTO",IF(IF(O145="",G145/N145,G145/O145)&lt;[1]CRITERIOS!$H$161,"MTS","MTOS"))))</f>
        <v>MTS</v>
      </c>
      <c r="T145" s="33" t="str">
        <f>IF(F145="DV","MTO",IF(OR(AND($N145=0,O145=""),$F145/$J145&gt;[1]CRITERIOS!$G$170,$F145="DV"),"MTO",IF($F145/$J145&lt;[1]CRITERIOS!$H$168,"MTS","MTOS")))</f>
        <v>MTS</v>
      </c>
      <c r="V145" s="34">
        <f t="shared" si="7"/>
        <v>23651.660578519462</v>
      </c>
      <c r="X145" s="34">
        <f t="shared" si="8"/>
        <v>63651.660578519462</v>
      </c>
      <c r="Y145" s="34">
        <f t="shared" si="9"/>
        <v>30015.296942153349</v>
      </c>
      <c r="Z145" s="34">
        <f>IF($R145="MTO",
0,
($H145+$K145*($E145/[1]CRITERIOS!$M$16))/[1]CRITERIOS!$X$48)</f>
        <v>10015.296942153347</v>
      </c>
      <c r="AA145" s="34" t="e">
        <f>ROUNDUP(($Y145/_xlfn.XLOOKUP($A145,'[1]DATOS PBI Artículos'!$A$4:$A$4,'[1]DATOS PBI Artículos'!$Z$4:$Z$4))/_xlfn.XLOOKUP(_xlfn.XLOOKUP($A145,'[1]DATOS PBI Artículos'!$A$4:$A$4,'[1]DATOS PBI Artículos'!$Y$4:$Y$4),[1]CRITERIOS!$P$79:$P$123,[1]CRITERIOS!$S$79:$S$123,),0)</f>
        <v>#N/A</v>
      </c>
      <c r="AB145" s="33" t="e">
        <f t="array" ref="AB145">IF((E145+V145-_xlfn.XLOOKUP(A145,'[1]DATOS PBI Artículos'!$A$4:$A$4,'[1]DATOS PBI Artículos'!$W$4:$W$4))/N145&gt;ROUNDUP([1]CRITERIOS!$M$16/(IF(COUNTIF([1]CRITERIOS!$BG$11:$BG$201,L145)&gt;=1,_xlfn.XLOOKUP(ARTÍCULOS!L145,[1]CRITERIOS!$BG$11:$BG$201,[1]CRITERIOS!$BJ$11:$BJ$201),_xlfn.XLOOKUP(ARTÍCULOS!C145,[1]CRITERIOS!$K$25:$K$42,[1]CRITERIOS!$M$25:$M$42))),0),ROUNDUP([1]CRITERIOS!$M$16/(IF(COUNTIF([1]CRITERIOS!$BG$11:$BG$201,L145)&gt;=1,_xlfn.XLOOKUP(ARTÍCULOS!L145,[1]CRITERIOS!$BG$11:$BG$201:#REF!,[1]CRITERIOS!$BJ$11:$BJ$201),_xlfn.XLOOKUP(ARTÍCULOS!C145,[1]CRITERIOS!$K$25:$K$42,[1]CRITERIOS!$M$25:$M$42))),0),(E145+V145-_xlfn.XLOOKUP(A145,'[1]DATOS PBI Artículos'!$A$4:$A$4,'[1]DATOS PBI Artículos'!$W$4:$W$4))/N145)</f>
        <v>#N/A</v>
      </c>
      <c r="AC145" s="33" t="e">
        <f>IF(N145=0,"",(ROUNDUP((N145/2)/(_xlfn.XLOOKUP(A145,'[1]DATOS PBI Artículos'!$A$4:$A$4,'[1]DATOS PBI Artículos'!$Z$4:$Z$4)*_xlfn.XLOOKUP(_xlfn.XLOOKUP(A145,'[1]DATOS PBI Artículos'!$A$4:$A$4,'[1]DATOS PBI Artículos'!$Y$4:$Y$4),[1]CRITERIOS!$P$79:$P$123,[1]CRITERIOS!$S$79:$S$123)),0)*[1]CRITERIOS!$M$80*([1]CRITERIOS!$M$110/[1]CRITERIOS!$M$86)+(_xlfn.XLOOKUP(A145,'[1]DATOS PBI Artículos'!$A$4:$A$4,'[1]DATOS PBI Artículos'!$AA$4:$AA$4)*([1]CRITERIOS!$M$95+[1]CRITERIOS!$M$98)))/N145)</f>
        <v>#N/A</v>
      </c>
      <c r="AD145" s="33" t="e">
        <f>IF(N145=0,"",(ROUNDUP((N145/2)/(_xlfn.XLOOKUP(A145,'[1]DATOS PBI Artículos'!$A$4:$A$4,'[1]DATOS PBI Artículos'!$Z$4:$Z$4)*_xlfn.XLOOKUP(_xlfn.XLOOKUP(A145,'[1]DATOS PBI Artículos'!$A$4:$A$4,'[1]DATOS PBI Artículos'!$Y$4:$Y$4),[1]CRITERIOS!$P$79:$P$123,[1]CRITERIOS!$S$79:$S$123)),0)*[1]CRITERIOS!$M$80*([1]CRITERIOS!$M$89*[1]CRITERIOS!$M$92)+((_xlfn.XLOOKUP(A145,'[1]DATOS PBI Artículos'!$A$4:$A$4,'[1]DATOS PBI Artículos'!$AA$4:$AA$4)/2)*([1]CRITERIOS!$M$95+[1]CRITERIOS!$M$98)))/N145)</f>
        <v>#N/A</v>
      </c>
      <c r="AE145" s="39">
        <f>IF($R145="MTO","",
IF($H145=0,ROUNDUP(((_xlfn.XLOOKUP($A145,'[1]DATOS PBI Artículos'!$A:$A,'[1]DATOS PBI Artículos'!$AL:$AL))/(_xlfn.XLOOKUP($AF$1,[1]CRITERIOS!$S$16:$S$39,[1]CRITERIOS!$Y$16:$Y$39))*$J145+$Z145)/$G145,0)*$G145,
((_xlfn.XLOOKUP($A145,'[1]DATOS PBI Artículos'!$A:$A,'[1]DATOS PBI Artículos'!$AL:$AL))/(_xlfn.XLOOKUP($AF$1,[1]CRITERIOS!$S$16:$S$39,[1]CRITERIOS!$Y$16:$Y$39))*$J145+$Z145)))</f>
        <v>30000</v>
      </c>
      <c r="AG145" s="39">
        <f>IF($R145="MTO","",
IF($H145=0,ROUNDUP(((_xlfn.XLOOKUP($A145,'[1]DATOS PBI Artículos'!$A:$A,'[1]DATOS PBI Artículos'!$AM:$AM))/(_xlfn.XLOOKUP($AH$1,[1]CRITERIOS!$S$16:$S$39,[1]CRITERIOS!$Y$16:$Y$39))*$J145+$Z145)/$G145,0)*$G145,
((_xlfn.XLOOKUP($A145,'[1]DATOS PBI Artículos'!$A:$A,'[1]DATOS PBI Artículos'!$AM:$AM))/(_xlfn.XLOOKUP($AH$1,[1]CRITERIOS!$S$16:$S$39,[1]CRITERIOS!$Y$16:$Y$39))*$J145+$Z145)))</f>
        <v>30000</v>
      </c>
      <c r="AI145" s="39">
        <f>IF($R145="MTO","",
IF($H145=0,ROUNDUP(((_xlfn.XLOOKUP($A145,'[1]DATOS PBI Artículos'!$A:$A,'[1]DATOS PBI Artículos'!$AN:$AN))/(_xlfn.XLOOKUP($AJ$1,[1]CRITERIOS!$S$16:$S$39,[1]CRITERIOS!$Y$16:$Y$39))*$J145+$Z145)/$G145,0)*$G145,
((_xlfn.XLOOKUP($A145,'[1]DATOS PBI Artículos'!$A:$A,'[1]DATOS PBI Artículos'!$AN:$AN))/(_xlfn.XLOOKUP($AJ$1,[1]CRITERIOS!$S$16:$S$39,[1]CRITERIOS!$Y$16:$Y$39))*$J145+$Z145)))</f>
        <v>30000</v>
      </c>
      <c r="AK145" s="39">
        <f>IF($R145="MTO","",
IF($H145=0,ROUNDUP(((_xlfn.XLOOKUP($A145,'[1]DATOS PBI Artículos'!$A:$A,'[1]DATOS PBI Artículos'!$AO:$AO))/(_xlfn.XLOOKUP($AL$1,[1]CRITERIOS!$S$16:$S$39,[1]CRITERIOS!$Y$16:$Y$39))*$J145+$Z145)/$G145,0)*$G145,
((_xlfn.XLOOKUP($A145,'[1]DATOS PBI Artículos'!$A:$A,'[1]DATOS PBI Artículos'!$AO:$AO))/(_xlfn.XLOOKUP($AL$1,[1]CRITERIOS!$S$16:$S$39,[1]CRITERIOS!$Y$16:$Y$39))*$J145+$Z145)))</f>
        <v>30000</v>
      </c>
    </row>
    <row r="146" spans="1:37" ht="25.8" x14ac:dyDescent="0.5">
      <c r="A146" s="32">
        <v>421019</v>
      </c>
      <c r="B146" s="33">
        <f>_xlfn.XLOOKUP($A146,'[1]DATOS PBI Artículos'!A:A,'[1]DATOS PBI Artículos'!B:B)</f>
        <v>0</v>
      </c>
      <c r="C146" s="33" t="str">
        <f>_xlfn.XLOOKUP($A146,'[1]DATOS PBI Artículos'!A:A,'[1]DATOS PBI Artículos'!C:C)</f>
        <v>UA01</v>
      </c>
      <c r="D146" s="33">
        <f>_xlfn.XLOOKUP(A146,'[1]DATOS PBI Artículos'!A:A,'[1]DATOS PBI Artículos'!T:T)</f>
        <v>3</v>
      </c>
      <c r="E146" s="34">
        <f>IF(_xlfn.XLOOKUP($A146,'[1]DATOS PBI Artículos'!A:A,'[1]DATOS PBI Artículos'!AK:AK)="",_xlfn.XLOOKUP($A146,'[1]DATOS PBI Artículos'!A:A,'[1]DATOS PBI Artículos'!AJ:AJ),_xlfn.XLOOKUP($A146,'[1]DATOS PBI Artículos'!A:A,'[1]DATOS PBI Artículos'!AK:AK))</f>
        <v>40000</v>
      </c>
      <c r="F146" s="35">
        <f>_xlfn.XLOOKUP($A146,'[1]DATOS PBI Artículos'!A:A,'[1]DATOS PBI Artículos'!AP:AP)</f>
        <v>13</v>
      </c>
      <c r="G146" s="34">
        <f>_xlfn.XLOOKUP($A146,'[1]DATOS PBI Artículos'!A:A,'[1]DATOS PBI Artículos'!AR:AR)</f>
        <v>14000</v>
      </c>
      <c r="H146" s="34">
        <f>_xlfn.XLOOKUP($A146,'[1]DATOS PBI Artículos'!A:A,'[1]DATOS PBI Artículos'!AT:AT)</f>
        <v>1154.7005383792559</v>
      </c>
      <c r="I146" s="34">
        <f>_xlfn.XLOOKUP($A146,'[1]DATOS PBI Artículos'!A:A,'[1]DATOS PBI Artículos'!AS:AS)</f>
        <v>2000</v>
      </c>
      <c r="J146" s="35">
        <f>IF(COUNTIF([1]CRITERIOS!$F$179:$F$199,$A146)&gt;=1,
 IF(O146&lt;&gt;"",
    (O146/_xlfn.XLOOKUP(CONCATENATE(A146,L146),[1]MÁQUINAS!A:A,[1]MÁQUINAS!D:D))/24,
    (N146/_xlfn.XLOOKUP(CONCATENATE(A146,L146),[1]MÁQUINAS!A:A,[1]MÁQUINAS!D:D))/24),
  _xlfn.XLOOKUP($A146,'[1]DATOS PBI Artículos'!A:A,'[1]DATOS PBI Artículos'!AU:AU))</f>
        <v>39</v>
      </c>
      <c r="K146" s="36">
        <f>_xlfn.XLOOKUP($A146,'[1]DATOS PBI Artículos'!A:A,'[1]DATOS PBI Artículos'!AV:AV)</f>
        <v>11.313708498984761</v>
      </c>
      <c r="L146" s="33">
        <f>_xlfn.XLOOKUP(A146,[1]MÁQUINAS!B:B,[1]MÁQUINAS!C:C)</f>
        <v>505</v>
      </c>
      <c r="M146" s="34">
        <f t="array" ref="M146">_xlfn.XLOOKUP(A146,'[1]DATOS PBI Artículos'!A:A,'[1]DATOS PBI Artículos'!AX:$AX)</f>
        <v>77220.347905265342</v>
      </c>
      <c r="N146" s="37">
        <f>IF(I146="DV",
E146,
IF(COUNTIF([1]CRITERIOS!$I$179:$I$199,$A146)&gt;=1,
_xlfn.XLOOKUP($A146,[1]CRITERIOS!$I$179:$I$199,[1]CRITERIOS!$J$179:$J$199),
IF(COUNTIF([1]CRITERIOS!$L$179:$L$199,$A146)&gt;=1,
_xlfn.CEILING.MATH(IF($M146&gt;$E146,
$E146,
IF($M146&lt;$E146/ROUNDDOWN([1]CRITERIOS!$M$16/_xlfn.XLOOKUP($C146,[1]CRITERIOS!$K$25:$K$42,[1]CRITERIOS!$M$25:$M$42),
1),
E146/ROUNDDOWN([1]CRITERIOS!$M$16/_xlfn.XLOOKUP($C146,[1]CRITERIOS!$K$25:$K$42,[1]CRITERIOS!$M$25:$M$42),
1),
$M146)),
_xlfn.XLOOKUP($A146,[1]CRITERIOS!$L$179:$L$200,[1]CRITERIOS!$M$179:$M$200)),
_xlfn.CEILING.MATH(IF($M146&gt;$E146,
$E146,
IF($M146&lt;$E146/ROUNDDOWN([1]CRITERIOS!$M$16/_xlfn.XLOOKUP($C146,[1]CRITERIOS!$K$25:$K$42,[1]CRITERIOS!$M$25:$M$42),
1),
E146/ROUNDDOWN([1]CRITERIOS!$M$16/_xlfn.XLOOKUP($C146,[1]CRITERIOS!$K$25:$K$42,[1]CRITERIOS!$M$25:$M$42),
1),
$M146)),_xlfn.XLOOKUP(A146,'[1]DATOS PBI Artículos'!A:A,'[1]DATOS PBI Artículos'!Z:Z
)))))</f>
        <v>48000</v>
      </c>
      <c r="Q146" s="38">
        <f>IF(AND(O146="",N146=0),
0,
   IF(COUNTIF([1]CRITERIOS!$F$179:$F$199,$A146)&gt;=1,
   1,
   IF(R146="MTO",
      $D146,
      ROUNDUP(
                    IF(($E146-SUMIF('[1]DATOS PBI Artículos'!A:A,A146,'[1]DATOS PBI Artículos'!X:X)+($V146-_xlfn.XLOOKUP(A146,'[1]DATOS PBI Artículos'!A:A,'[1]DATOS PBI Artículos'!W:W)))&lt;0,
                    0,
                    IF(($E146-SUMIF('[1]DATOS PBI Artículos'!A:A,A146,'[1]DATOS PBI Artículos'!X:X)+$V146-_xlfn.XLOOKUP($A146,'[1]DATOS PBI Artículos'!A:A,'[1]DATOS PBI Artículos'!W:W))/IF($O146="",$N146,$O146)&gt;ROUNDUP([1]CRITERIOS!$M$16/(IF(COUNTIF([1]CRITERIOS!$BG$11:$BG$201,L146)&gt;=1,_xlfn.XLOOKUP($C146,[1]CRITERIOS!$K$25:$K$42,[1]CRITERIOS!$M$25:$M$42),_xlfn.XLOOKUP($C146,[1]CRITERIOS!$K$25:$K$42,[1]CRITERIOS!$M$25:$M$42))),0),
                    ROUNDUP([1]CRITERIOS!$M$16/(IF(COUNTIF([1]CRITERIOS!$BG$11:$BG$201,$L146)&gt;=1,_xlfn.XLOOKUP($C146,[1]CRITERIOS!$K$25:$K$42,[1]CRITERIOS!$M$25:$M$42),_xlfn.XLOOKUP($C146,[1]CRITERIOS!$K$25:$K$42,[1]CRITERIOS!$M$25:$M$42))),0),
                    (E146+V146-SUMIF('[1]DATOS PBI Artículos'!A:A,A146,'[1]DATOS PBI Artículos'!X:X)-_xlfn.XLOOKUP(A146,'[1]DATOS PBI Artículos'!A:A,'[1]DATOS PBI Artículos'!W:W))/IF($O146="",$N146,$O146))),0))))</f>
        <v>0</v>
      </c>
      <c r="R146" s="33" t="str">
        <f>IF(U146&lt;&gt;"",U146,IF(F146="DV","MTO",IF(N146=0,"MTO",_xlfn.XLOOKUP(CONCATENATE(S146,T146),[1]CRITERIOS!$K$160:$K$168,[1]CRITERIOS!$N$160:$N$168))))</f>
        <v>MTS</v>
      </c>
      <c r="S146" s="33" t="str">
        <f>IF(G146="DV","MTO",IF(N146=0,"MTO",IF(OR(AND(N146=0,O146=""),IF(O146="",G146/N146,G146/O146)&gt;[1]CRITERIOS!$G$163),"MTO",IF(IF(O146="",G146/N146,G146/O146)&lt;[1]CRITERIOS!$H$161,"MTS","MTOS"))))</f>
        <v>MTS</v>
      </c>
      <c r="T146" s="33" t="str">
        <f>IF(F146="DV","MTO",IF(OR(AND($N146=0,O146=""),$F146/$J146&gt;[1]CRITERIOS!$G$170,$F146="DV"),"MTO",IF($F146/$J146&lt;[1]CRITERIOS!$H$168,"MTS","MTOS")))</f>
        <v>MTS</v>
      </c>
      <c r="V146" s="34">
        <f t="shared" si="7"/>
        <v>47990.56533708705</v>
      </c>
      <c r="X146" s="34">
        <f t="shared" si="8"/>
        <v>95990.565337087057</v>
      </c>
      <c r="Y146" s="34">
        <f t="shared" si="9"/>
        <v>29990.565337087053</v>
      </c>
      <c r="Z146" s="34">
        <f>IF($R146="MTO",
0,
($H146+$K146*($E146/[1]CRITERIOS!$M$16))/[1]CRITERIOS!$X$48)</f>
        <v>5990.5653370870523</v>
      </c>
      <c r="AA146" s="34" t="e">
        <f>ROUNDUP(($Y146/_xlfn.XLOOKUP($A146,'[1]DATOS PBI Artículos'!$A$4:$A$4,'[1]DATOS PBI Artículos'!$Z$4:$Z$4))/_xlfn.XLOOKUP(_xlfn.XLOOKUP($A146,'[1]DATOS PBI Artículos'!$A$4:$A$4,'[1]DATOS PBI Artículos'!$Y$4:$Y$4),[1]CRITERIOS!$P$79:$P$123,[1]CRITERIOS!$S$79:$S$123,),0)</f>
        <v>#N/A</v>
      </c>
      <c r="AB146" s="33" t="e">
        <f t="array" ref="AB146">IF((E146+V146-_xlfn.XLOOKUP(A146,'[1]DATOS PBI Artículos'!$A$4:$A$4,'[1]DATOS PBI Artículos'!$W$4:$W$4))/N146&gt;ROUNDUP([1]CRITERIOS!$M$16/(IF(COUNTIF([1]CRITERIOS!$BG$11:$BG$201,L146)&gt;=1,_xlfn.XLOOKUP(ARTÍCULOS!L146,[1]CRITERIOS!$BG$11:$BG$201,[1]CRITERIOS!$BJ$11:$BJ$201),_xlfn.XLOOKUP(ARTÍCULOS!C146,[1]CRITERIOS!$K$25:$K$42,[1]CRITERIOS!$M$25:$M$42))),0),ROUNDUP([1]CRITERIOS!$M$16/(IF(COUNTIF([1]CRITERIOS!$BG$11:$BG$201,L146)&gt;=1,_xlfn.XLOOKUP(ARTÍCULOS!L146,[1]CRITERIOS!$BG$11:$BG$201:#REF!,[1]CRITERIOS!$BJ$11:$BJ$201),_xlfn.XLOOKUP(ARTÍCULOS!C146,[1]CRITERIOS!$K$25:$K$42,[1]CRITERIOS!$M$25:$M$42))),0),(E146+V146-_xlfn.XLOOKUP(A146,'[1]DATOS PBI Artículos'!$A$4:$A$4,'[1]DATOS PBI Artículos'!$W$4:$W$4))/N146)</f>
        <v>#N/A</v>
      </c>
      <c r="AC146" s="33" t="e">
        <f>IF(N146=0,"",(ROUNDUP((N146/2)/(_xlfn.XLOOKUP(A146,'[1]DATOS PBI Artículos'!$A$4:$A$4,'[1]DATOS PBI Artículos'!$Z$4:$Z$4)*_xlfn.XLOOKUP(_xlfn.XLOOKUP(A146,'[1]DATOS PBI Artículos'!$A$4:$A$4,'[1]DATOS PBI Artículos'!$Y$4:$Y$4),[1]CRITERIOS!$P$79:$P$123,[1]CRITERIOS!$S$79:$S$123)),0)*[1]CRITERIOS!$M$80*([1]CRITERIOS!$M$110/[1]CRITERIOS!$M$86)+(_xlfn.XLOOKUP(A146,'[1]DATOS PBI Artículos'!$A$4:$A$4,'[1]DATOS PBI Artículos'!$AA$4:$AA$4)*([1]CRITERIOS!$M$95+[1]CRITERIOS!$M$98)))/N146)</f>
        <v>#N/A</v>
      </c>
      <c r="AD146" s="33" t="e">
        <f>IF(N146=0,"",(ROUNDUP((N146/2)/(_xlfn.XLOOKUP(A146,'[1]DATOS PBI Artículos'!$A$4:$A$4,'[1]DATOS PBI Artículos'!$Z$4:$Z$4)*_xlfn.XLOOKUP(_xlfn.XLOOKUP(A146,'[1]DATOS PBI Artículos'!$A$4:$A$4,'[1]DATOS PBI Artículos'!$Y$4:$Y$4),[1]CRITERIOS!$P$79:$P$123,[1]CRITERIOS!$S$79:$S$123)),0)*[1]CRITERIOS!$M$80*([1]CRITERIOS!$M$89*[1]CRITERIOS!$M$92)+((_xlfn.XLOOKUP(A146,'[1]DATOS PBI Artículos'!$A$4:$A$4,'[1]DATOS PBI Artículos'!$AA$4:$AA$4)/2)*([1]CRITERIOS!$M$95+[1]CRITERIOS!$M$98)))/N146)</f>
        <v>#N/A</v>
      </c>
      <c r="AE146" s="39">
        <f>IF($R146="MTO","",
IF($H146=0,ROUNDUP(((_xlfn.XLOOKUP($A146,'[1]DATOS PBI Artículos'!$A:$A,'[1]DATOS PBI Artículos'!$AL:$AL))/(_xlfn.XLOOKUP($AF$1,[1]CRITERIOS!$S$16:$S$39,[1]CRITERIOS!$Y$16:$Y$39))*$J146+$Z146)/$G146,0)*$G146,
((_xlfn.XLOOKUP($A146,'[1]DATOS PBI Artículos'!$A:$A,'[1]DATOS PBI Artículos'!$AL:$AL))/(_xlfn.XLOOKUP($AF$1,[1]CRITERIOS!$S$16:$S$39,[1]CRITERIOS!$Y$16:$Y$39))*$J146+$Z146)))</f>
        <v>30047.179585420388</v>
      </c>
      <c r="AG146" s="39">
        <f>IF($R146="MTO","",
IF($H146=0,ROUNDUP(((_xlfn.XLOOKUP($A146,'[1]DATOS PBI Artículos'!$A:$A,'[1]DATOS PBI Artículos'!$AM:$AM))/(_xlfn.XLOOKUP($AH$1,[1]CRITERIOS!$S$16:$S$39,[1]CRITERIOS!$Y$16:$Y$39))*$J146+$Z146)/$G146,0)*$G146,
((_xlfn.XLOOKUP($A146,'[1]DATOS PBI Artículos'!$A:$A,'[1]DATOS PBI Artículos'!$AM:$AM))/(_xlfn.XLOOKUP($AH$1,[1]CRITERIOS!$S$16:$S$39,[1]CRITERIOS!$Y$16:$Y$39))*$J146+$Z146)))</f>
        <v>23270.900125347922</v>
      </c>
      <c r="AI146" s="39">
        <f>IF($R146="MTO","",
IF($H146=0,ROUNDUP(((_xlfn.XLOOKUP($A146,'[1]DATOS PBI Artículos'!$A:$A,'[1]DATOS PBI Artículos'!$AN:$AN))/(_xlfn.XLOOKUP($AJ$1,[1]CRITERIOS!$S$16:$S$39,[1]CRITERIOS!$Y$16:$Y$39))*$J146+$Z146)/$G146,0)*$G146,
((_xlfn.XLOOKUP($A146,'[1]DATOS PBI Artículos'!$A:$A,'[1]DATOS PBI Artículos'!$AN:$AN))/(_xlfn.XLOOKUP($AJ$1,[1]CRITERIOS!$S$16:$S$39,[1]CRITERIOS!$Y$16:$Y$39))*$J146+$Z146)))</f>
        <v>26688.072251587048</v>
      </c>
      <c r="AK146" s="39">
        <f>IF($R146="MTO","",
IF($H146=0,ROUNDUP(((_xlfn.XLOOKUP($A146,'[1]DATOS PBI Artículos'!$A:$A,'[1]DATOS PBI Artículos'!$AO:$AO))/(_xlfn.XLOOKUP($AL$1,[1]CRITERIOS!$S$16:$S$39,[1]CRITERIOS!$Y$16:$Y$39))*$J146+$Z146)/$G146,0)*$G146,
((_xlfn.XLOOKUP($A146,'[1]DATOS PBI Artículos'!$A:$A,'[1]DATOS PBI Artículos'!$AO:$AO))/(_xlfn.XLOOKUP($AL$1,[1]CRITERIOS!$S$16:$S$39,[1]CRITERIOS!$Y$16:$Y$39))*$J146+$Z146)))</f>
        <v>28532.215702087051</v>
      </c>
    </row>
    <row r="147" spans="1:37" ht="25.8" x14ac:dyDescent="0.5">
      <c r="A147" s="32" t="s">
        <v>84</v>
      </c>
      <c r="B147" s="33">
        <f>_xlfn.XLOOKUP($A147,'[1]DATOS PBI Artículos'!A:A,'[1]DATOS PBI Artículos'!B:B)</f>
        <v>0</v>
      </c>
      <c r="C147" s="33" t="str">
        <f>_xlfn.XLOOKUP($A147,'[1]DATOS PBI Artículos'!A:A,'[1]DATOS PBI Artículos'!C:C)</f>
        <v>UA03</v>
      </c>
      <c r="D147" s="33">
        <f>_xlfn.XLOOKUP(A147,'[1]DATOS PBI Artículos'!A:A,'[1]DATOS PBI Artículos'!T:T)</f>
        <v>2</v>
      </c>
      <c r="E147" s="34">
        <f>IF(_xlfn.XLOOKUP($A147,'[1]DATOS PBI Artículos'!A:A,'[1]DATOS PBI Artículos'!AK:AK)="",_xlfn.XLOOKUP($A147,'[1]DATOS PBI Artículos'!A:A,'[1]DATOS PBI Artículos'!AJ:AJ),_xlfn.XLOOKUP($A147,'[1]DATOS PBI Artículos'!A:A,'[1]DATOS PBI Artículos'!AK:AK))</f>
        <v>40000</v>
      </c>
      <c r="F147" s="35">
        <f>_xlfn.XLOOKUP($A147,'[1]DATOS PBI Artículos'!A:A,'[1]DATOS PBI Artículos'!AP:AP)</f>
        <v>27</v>
      </c>
      <c r="G147" s="34">
        <f>_xlfn.XLOOKUP($A147,'[1]DATOS PBI Artículos'!A:A,'[1]DATOS PBI Artículos'!AR:AR)</f>
        <v>20000</v>
      </c>
      <c r="H147" s="34">
        <f>_xlfn.XLOOKUP($A147,'[1]DATOS PBI Artículos'!A:A,'[1]DATOS PBI Artículos'!AT:AT)</f>
        <v>0</v>
      </c>
      <c r="I147" s="34">
        <f>_xlfn.XLOOKUP($A147,'[1]DATOS PBI Artículos'!A:A,'[1]DATOS PBI Artículos'!AS:AS)</f>
        <v>20000</v>
      </c>
      <c r="J147" s="35">
        <f>IF(COUNTIF([1]CRITERIOS!$F$179:$F$199,$A147)&gt;=1,
 IF(O147&lt;&gt;"",
    (O147/_xlfn.XLOOKUP(CONCATENATE(A147,L147),[1]MÁQUINAS!A:A,[1]MÁQUINAS!D:D))/24,
    (N147/_xlfn.XLOOKUP(CONCATENATE(A147,L147),[1]MÁQUINAS!A:A,[1]MÁQUINAS!D:D))/24),
  _xlfn.XLOOKUP($A147,'[1]DATOS PBI Artículos'!A:A,'[1]DATOS PBI Artículos'!AU:AU))</f>
        <v>14.857142857142858</v>
      </c>
      <c r="K147" s="36">
        <f>_xlfn.XLOOKUP($A147,'[1]DATOS PBI Artículos'!A:A,'[1]DATOS PBI Artículos'!AV:AV)</f>
        <v>2.0354009783964297</v>
      </c>
      <c r="L147" s="33">
        <f>_xlfn.XLOOKUP(A147,[1]MÁQUINAS!B:B,[1]MÁQUINAS!C:C)</f>
        <v>142</v>
      </c>
      <c r="M147" s="34">
        <f t="array" ref="M147">_xlfn.XLOOKUP(A147,'[1]DATOS PBI Artículos'!A:A,'[1]DATOS PBI Artículos'!AX:$AX)</f>
        <v>22269.383086752558</v>
      </c>
      <c r="N147" s="37">
        <f>IF(I147="DV",
E147,
IF(COUNTIF([1]CRITERIOS!$I$179:$I$199,$A147)&gt;=1,
_xlfn.XLOOKUP($A147,[1]CRITERIOS!$I$179:$I$199,[1]CRITERIOS!$J$179:$J$199),
IF(COUNTIF([1]CRITERIOS!$L$179:$L$199,$A147)&gt;=1,
_xlfn.CEILING.MATH(IF($M147&gt;$E147,
$E147,
IF($M147&lt;$E147/ROUNDDOWN([1]CRITERIOS!$M$16/_xlfn.XLOOKUP($C147,[1]CRITERIOS!$K$25:$K$42,[1]CRITERIOS!$M$25:$M$42),
1),
E147/ROUNDDOWN([1]CRITERIOS!$M$16/_xlfn.XLOOKUP($C147,[1]CRITERIOS!$K$25:$K$42,[1]CRITERIOS!$M$25:$M$42),
1),
$M147)),
_xlfn.XLOOKUP($A147,[1]CRITERIOS!$L$179:$L$200,[1]CRITERIOS!$M$179:$M$200)),
_xlfn.CEILING.MATH(IF($M147&gt;$E147,
$E147,
IF($M147&lt;$E147/ROUNDDOWN([1]CRITERIOS!$M$16/_xlfn.XLOOKUP($C147,[1]CRITERIOS!$K$25:$K$42,[1]CRITERIOS!$M$25:$M$42),
1),
E147/ROUNDDOWN([1]CRITERIOS!$M$16/_xlfn.XLOOKUP($C147,[1]CRITERIOS!$K$25:$K$42,[1]CRITERIOS!$M$25:$M$42),
1),
$M147)),_xlfn.XLOOKUP(A147,'[1]DATOS PBI Artículos'!A:A,'[1]DATOS PBI Artículos'!Z:Z
)))))</f>
        <v>24000</v>
      </c>
      <c r="Q147" s="38">
        <f>IF(AND(O147="",N147=0),
0,
   IF(COUNTIF([1]CRITERIOS!$F$179:$F$199,$A147)&gt;=1,
   1,
   IF(R147="MTO",
      $D147,
      ROUNDUP(
                    IF(($E147-SUMIF('[1]DATOS PBI Artículos'!A:A,A147,'[1]DATOS PBI Artículos'!X:X)+($V147-_xlfn.XLOOKUP(A147,'[1]DATOS PBI Artículos'!A:A,'[1]DATOS PBI Artículos'!W:W)))&lt;0,
                    0,
                    IF(($E147-SUMIF('[1]DATOS PBI Artículos'!A:A,A147,'[1]DATOS PBI Artículos'!X:X)+$V147-_xlfn.XLOOKUP($A147,'[1]DATOS PBI Artículos'!A:A,'[1]DATOS PBI Artículos'!W:W))/IF($O147="",$N147,$O147)&gt;ROUNDUP([1]CRITERIOS!$M$16/(IF(COUNTIF([1]CRITERIOS!$BG$11:$BG$201,L147)&gt;=1,_xlfn.XLOOKUP($C147,[1]CRITERIOS!$K$25:$K$42,[1]CRITERIOS!$M$25:$M$42),_xlfn.XLOOKUP($C147,[1]CRITERIOS!$K$25:$K$42,[1]CRITERIOS!$M$25:$M$42))),0),
                    ROUNDUP([1]CRITERIOS!$M$16/(IF(COUNTIF([1]CRITERIOS!$BG$11:$BG$201,$L147)&gt;=1,_xlfn.XLOOKUP($C147,[1]CRITERIOS!$K$25:$K$42,[1]CRITERIOS!$M$25:$M$42),_xlfn.XLOOKUP($C147,[1]CRITERIOS!$K$25:$K$42,[1]CRITERIOS!$M$25:$M$42))),0),
                    (E147+V147-SUMIF('[1]DATOS PBI Artículos'!A:A,A147,'[1]DATOS PBI Artículos'!X:X)-_xlfn.XLOOKUP(A147,'[1]DATOS PBI Artículos'!A:A,'[1]DATOS PBI Artículos'!W:W))/IF($O147="",$N147,$O147))),0))))</f>
        <v>2</v>
      </c>
      <c r="R147" s="33" t="str">
        <f>IF(U147&lt;&gt;"",U147,IF(F147="DV","MTO",IF(N147=0,"MTO",_xlfn.XLOOKUP(CONCATENATE(S147,T147),[1]CRITERIOS!$K$160:$K$168,[1]CRITERIOS!$N$160:$N$168))))</f>
        <v>MTO</v>
      </c>
      <c r="S147" s="33" t="str">
        <f>IF(G147="DV","MTO",IF(N147=0,"MTO",IF(OR(AND(N147=0,O147=""),IF(O147="",G147/N147,G147/O147)&gt;[1]CRITERIOS!$G$163),"MTO",IF(IF(O147="",G147/N147,G147/O147)&lt;[1]CRITERIOS!$H$161,"MTS","MTOS"))))</f>
        <v>MTO</v>
      </c>
      <c r="T147" s="33" t="str">
        <f>IF(F147="DV","MTO",IF(OR(AND($N147=0,O147=""),$F147/$J147&gt;[1]CRITERIOS!$G$170,$F147="DV"),"MTO",IF($F147/$J147&lt;[1]CRITERIOS!$H$168,"MTS","MTOS")))</f>
        <v>MTO</v>
      </c>
      <c r="V147" s="34" t="str">
        <f t="shared" si="7"/>
        <v/>
      </c>
      <c r="X147" s="34">
        <f t="shared" si="8"/>
        <v>0</v>
      </c>
      <c r="Y147" s="34">
        <f t="shared" si="9"/>
        <v>0</v>
      </c>
      <c r="Z147" s="34">
        <f>IF($R147="MTO",
0,
($H147+$K147*($E147/[1]CRITERIOS!$M$16))/[1]CRITERIOS!$X$48)</f>
        <v>0</v>
      </c>
      <c r="AA147" s="34" t="e">
        <f>ROUNDUP(($Y147/_xlfn.XLOOKUP($A147,'[1]DATOS PBI Artículos'!$A$4:$A$4,'[1]DATOS PBI Artículos'!$Z$4:$Z$4))/_xlfn.XLOOKUP(_xlfn.XLOOKUP($A147,'[1]DATOS PBI Artículos'!$A$4:$A$4,'[1]DATOS PBI Artículos'!$Y$4:$Y$4),[1]CRITERIOS!$P$79:$P$123,[1]CRITERIOS!$S$79:$S$123,),0)</f>
        <v>#N/A</v>
      </c>
      <c r="AB147" s="33" t="e">
        <f t="array" ref="AB147">IF((E147+V147-_xlfn.XLOOKUP(A147,'[1]DATOS PBI Artículos'!$A$4:$A$4,'[1]DATOS PBI Artículos'!$W$4:$W$4))/N147&gt;ROUNDUP([1]CRITERIOS!$M$16/(IF(COUNTIF([1]CRITERIOS!$BG$11:$BG$201,L147)&gt;=1,_xlfn.XLOOKUP(ARTÍCULOS!L147,[1]CRITERIOS!$BG$11:$BG$201,[1]CRITERIOS!$BJ$11:$BJ$201),_xlfn.XLOOKUP(ARTÍCULOS!C147,[1]CRITERIOS!$K$25:$K$42,[1]CRITERIOS!$M$25:$M$42))),0),ROUNDUP([1]CRITERIOS!$M$16/(IF(COUNTIF([1]CRITERIOS!$BG$11:$BG$201,L147)&gt;=1,_xlfn.XLOOKUP(ARTÍCULOS!L147,[1]CRITERIOS!$BG$11:$BG$201:#REF!,[1]CRITERIOS!$BJ$11:$BJ$201),_xlfn.XLOOKUP(ARTÍCULOS!C147,[1]CRITERIOS!$K$25:$K$42,[1]CRITERIOS!$M$25:$M$42))),0),(E147+V147-_xlfn.XLOOKUP(A147,'[1]DATOS PBI Artículos'!$A$4:$A$4,'[1]DATOS PBI Artículos'!$W$4:$W$4))/N147)</f>
        <v>#VALUE!</v>
      </c>
      <c r="AC147" s="33" t="e">
        <f>IF(N147=0,"",(ROUNDUP((N147/2)/(_xlfn.XLOOKUP(A147,'[1]DATOS PBI Artículos'!$A$4:$A$4,'[1]DATOS PBI Artículos'!$Z$4:$Z$4)*_xlfn.XLOOKUP(_xlfn.XLOOKUP(A147,'[1]DATOS PBI Artículos'!$A$4:$A$4,'[1]DATOS PBI Artículos'!$Y$4:$Y$4),[1]CRITERIOS!$P$79:$P$123,[1]CRITERIOS!$S$79:$S$123)),0)*[1]CRITERIOS!$M$80*([1]CRITERIOS!$M$110/[1]CRITERIOS!$M$86)+(_xlfn.XLOOKUP(A147,'[1]DATOS PBI Artículos'!$A$4:$A$4,'[1]DATOS PBI Artículos'!$AA$4:$AA$4)*([1]CRITERIOS!$M$95+[1]CRITERIOS!$M$98)))/N147)</f>
        <v>#N/A</v>
      </c>
      <c r="AD147" s="33" t="e">
        <f>IF(N147=0,"",(ROUNDUP((N147/2)/(_xlfn.XLOOKUP(A147,'[1]DATOS PBI Artículos'!$A$4:$A$4,'[1]DATOS PBI Artículos'!$Z$4:$Z$4)*_xlfn.XLOOKUP(_xlfn.XLOOKUP(A147,'[1]DATOS PBI Artículos'!$A$4:$A$4,'[1]DATOS PBI Artículos'!$Y$4:$Y$4),[1]CRITERIOS!$P$79:$P$123,[1]CRITERIOS!$S$79:$S$123)),0)*[1]CRITERIOS!$M$80*([1]CRITERIOS!$M$89*[1]CRITERIOS!$M$92)+((_xlfn.XLOOKUP(A147,'[1]DATOS PBI Artículos'!$A$4:$A$4,'[1]DATOS PBI Artículos'!$AA$4:$AA$4)/2)*([1]CRITERIOS!$M$95+[1]CRITERIOS!$M$98)))/N147)</f>
        <v>#N/A</v>
      </c>
      <c r="AE147" s="39" t="str">
        <f>IF($R147="MTO","",
IF($H147=0,ROUNDUP(((_xlfn.XLOOKUP($A147,'[1]DATOS PBI Artículos'!$A:$A,'[1]DATOS PBI Artículos'!$AL:$AL))/(_xlfn.XLOOKUP($AF$1,[1]CRITERIOS!$S$16:$S$39,[1]CRITERIOS!$Y$16:$Y$39))*$J147+$Z147)/$G147,0)*$G147,
((_xlfn.XLOOKUP($A147,'[1]DATOS PBI Artículos'!$A:$A,'[1]DATOS PBI Artículos'!$AL:$AL))/(_xlfn.XLOOKUP($AF$1,[1]CRITERIOS!$S$16:$S$39,[1]CRITERIOS!$Y$16:$Y$39))*$J147+$Z147)))</f>
        <v/>
      </c>
      <c r="AG147" s="39" t="str">
        <f>IF($R147="MTO","",
IF($H147=0,ROUNDUP(((_xlfn.XLOOKUP($A147,'[1]DATOS PBI Artículos'!$A:$A,'[1]DATOS PBI Artículos'!$AM:$AM))/(_xlfn.XLOOKUP($AH$1,[1]CRITERIOS!$S$16:$S$39,[1]CRITERIOS!$Y$16:$Y$39))*$J147+$Z147)/$G147,0)*$G147,
((_xlfn.XLOOKUP($A147,'[1]DATOS PBI Artículos'!$A:$A,'[1]DATOS PBI Artículos'!$AM:$AM))/(_xlfn.XLOOKUP($AH$1,[1]CRITERIOS!$S$16:$S$39,[1]CRITERIOS!$Y$16:$Y$39))*$J147+$Z147)))</f>
        <v/>
      </c>
      <c r="AI147" s="39" t="str">
        <f>IF($R147="MTO","",
IF($H147=0,ROUNDUP(((_xlfn.XLOOKUP($A147,'[1]DATOS PBI Artículos'!$A:$A,'[1]DATOS PBI Artículos'!$AN:$AN))/(_xlfn.XLOOKUP($AJ$1,[1]CRITERIOS!$S$16:$S$39,[1]CRITERIOS!$Y$16:$Y$39))*$J147+$Z147)/$G147,0)*$G147,
((_xlfn.XLOOKUP($A147,'[1]DATOS PBI Artículos'!$A:$A,'[1]DATOS PBI Artículos'!$AN:$AN))/(_xlfn.XLOOKUP($AJ$1,[1]CRITERIOS!$S$16:$S$39,[1]CRITERIOS!$Y$16:$Y$39))*$J147+$Z147)))</f>
        <v/>
      </c>
      <c r="AK147" s="39" t="str">
        <f>IF($R147="MTO","",
IF($H147=0,ROUNDUP(((_xlfn.XLOOKUP($A147,'[1]DATOS PBI Artículos'!$A:$A,'[1]DATOS PBI Artículos'!$AO:$AO))/(_xlfn.XLOOKUP($AL$1,[1]CRITERIOS!$S$16:$S$39,[1]CRITERIOS!$Y$16:$Y$39))*$J147+$Z147)/$G147,0)*$G147,
((_xlfn.XLOOKUP($A147,'[1]DATOS PBI Artículos'!$A:$A,'[1]DATOS PBI Artículos'!$AO:$AO))/(_xlfn.XLOOKUP($AL$1,[1]CRITERIOS!$S$16:$S$39,[1]CRITERIOS!$Y$16:$Y$39))*$J147+$Z147)))</f>
        <v/>
      </c>
    </row>
    <row r="148" spans="1:37" ht="25.8" x14ac:dyDescent="0.5">
      <c r="A148" s="32">
        <v>407612</v>
      </c>
      <c r="B148" s="33">
        <f>_xlfn.XLOOKUP($A148,'[1]DATOS PBI Artículos'!A:A,'[1]DATOS PBI Artículos'!B:B)</f>
        <v>0</v>
      </c>
      <c r="C148" s="33" t="str">
        <f>_xlfn.XLOOKUP($A148,'[1]DATOS PBI Artículos'!A:A,'[1]DATOS PBI Artículos'!C:C)</f>
        <v>UA03</v>
      </c>
      <c r="D148" s="33">
        <f>_xlfn.XLOOKUP(A148,'[1]DATOS PBI Artículos'!A:A,'[1]DATOS PBI Artículos'!T:T)</f>
        <v>1</v>
      </c>
      <c r="E148" s="34">
        <f>IF(_xlfn.XLOOKUP($A148,'[1]DATOS PBI Artículos'!A:A,'[1]DATOS PBI Artículos'!AK:AK)="",_xlfn.XLOOKUP($A148,'[1]DATOS PBI Artículos'!A:A,'[1]DATOS PBI Artículos'!AJ:AJ),_xlfn.XLOOKUP($A148,'[1]DATOS PBI Artículos'!A:A,'[1]DATOS PBI Artículos'!AK:AK))</f>
        <v>40000</v>
      </c>
      <c r="F148" s="35">
        <f>_xlfn.XLOOKUP($A148,'[1]DATOS PBI Artículos'!A:A,'[1]DATOS PBI Artículos'!AP:AP)</f>
        <v>75</v>
      </c>
      <c r="G148" s="34">
        <f>_xlfn.XLOOKUP($A148,'[1]DATOS PBI Artículos'!A:A,'[1]DATOS PBI Artículos'!AR:AR)</f>
        <v>40000</v>
      </c>
      <c r="H148" s="34">
        <f>_xlfn.XLOOKUP($A148,'[1]DATOS PBI Artículos'!A:A,'[1]DATOS PBI Artículos'!AT:AT)</f>
        <v>0</v>
      </c>
      <c r="I148" s="34">
        <f>_xlfn.XLOOKUP($A148,'[1]DATOS PBI Artículos'!A:A,'[1]DATOS PBI Artículos'!AS:AS)</f>
        <v>40000</v>
      </c>
      <c r="J148" s="35">
        <f>IF(COUNTIF([1]CRITERIOS!$F$179:$F$199,$A148)&gt;=1,
 IF(O148&lt;&gt;"",
    (O148/_xlfn.XLOOKUP(CONCATENATE(A148,L148),[1]MÁQUINAS!A:A,[1]MÁQUINAS!D:D))/24,
    (N148/_xlfn.XLOOKUP(CONCATENATE(A148,L148),[1]MÁQUINAS!A:A,[1]MÁQUINAS!D:D))/24),
  _xlfn.XLOOKUP($A148,'[1]DATOS PBI Artículos'!A:A,'[1]DATOS PBI Artículos'!AU:AU))</f>
        <v>15.75</v>
      </c>
      <c r="K148" s="36">
        <f>_xlfn.XLOOKUP($A148,'[1]DATOS PBI Artículos'!A:A,'[1]DATOS PBI Artículos'!AV:AV)</f>
        <v>5.1881274720911268</v>
      </c>
      <c r="L148" s="33">
        <f>_xlfn.XLOOKUP(A148,[1]MÁQUINAS!B:B,[1]MÁQUINAS!C:C)</f>
        <v>122</v>
      </c>
      <c r="M148" s="34">
        <f t="array" ref="M148">_xlfn.XLOOKUP(A148,'[1]DATOS PBI Artículos'!A:A,'[1]DATOS PBI Artículos'!AX:$AX)</f>
        <v>28238.299012824664</v>
      </c>
      <c r="N148" s="37">
        <f>IF(I148="DV",
E148,
IF(COUNTIF([1]CRITERIOS!$I$179:$I$199,$A148)&gt;=1,
_xlfn.XLOOKUP($A148,[1]CRITERIOS!$I$179:$I$199,[1]CRITERIOS!$J$179:$J$199),
IF(COUNTIF([1]CRITERIOS!$L$179:$L$199,$A148)&gt;=1,
_xlfn.CEILING.MATH(IF($M148&gt;$E148,
$E148,
IF($M148&lt;$E148/ROUNDDOWN([1]CRITERIOS!$M$16/_xlfn.XLOOKUP($C148,[1]CRITERIOS!$K$25:$K$42,[1]CRITERIOS!$M$25:$M$42),
1),
E148/ROUNDDOWN([1]CRITERIOS!$M$16/_xlfn.XLOOKUP($C148,[1]CRITERIOS!$K$25:$K$42,[1]CRITERIOS!$M$25:$M$42),
1),
$M148)),
_xlfn.XLOOKUP($A148,[1]CRITERIOS!$L$179:$L$200,[1]CRITERIOS!$M$179:$M$200)),
_xlfn.CEILING.MATH(IF($M148&gt;$E148,
$E148,
IF($M148&lt;$E148/ROUNDDOWN([1]CRITERIOS!$M$16/_xlfn.XLOOKUP($C148,[1]CRITERIOS!$K$25:$K$42,[1]CRITERIOS!$M$25:$M$42),
1),
E148/ROUNDDOWN([1]CRITERIOS!$M$16/_xlfn.XLOOKUP($C148,[1]CRITERIOS!$K$25:$K$42,[1]CRITERIOS!$M$25:$M$42),
1),
$M148)),_xlfn.XLOOKUP(A148,'[1]DATOS PBI Artículos'!A:A,'[1]DATOS PBI Artículos'!Z:Z
)))))</f>
        <v>30000</v>
      </c>
      <c r="Q148" s="38">
        <f>IF(AND(O148="",N148=0),
0,
   IF(COUNTIF([1]CRITERIOS!$F$179:$F$199,$A148)&gt;=1,
   1,
   IF(R148="MTO",
      $D148,
      ROUNDUP(
                    IF(($E148-SUMIF('[1]DATOS PBI Artículos'!A:A,A148,'[1]DATOS PBI Artículos'!X:X)+($V148-_xlfn.XLOOKUP(A148,'[1]DATOS PBI Artículos'!A:A,'[1]DATOS PBI Artículos'!W:W)))&lt;0,
                    0,
                    IF(($E148-SUMIF('[1]DATOS PBI Artículos'!A:A,A148,'[1]DATOS PBI Artículos'!X:X)+$V148-_xlfn.XLOOKUP($A148,'[1]DATOS PBI Artículos'!A:A,'[1]DATOS PBI Artículos'!W:W))/IF($O148="",$N148,$O148)&gt;ROUNDUP([1]CRITERIOS!$M$16/(IF(COUNTIF([1]CRITERIOS!$BG$11:$BG$201,L148)&gt;=1,_xlfn.XLOOKUP($C148,[1]CRITERIOS!$K$25:$K$42,[1]CRITERIOS!$M$25:$M$42),_xlfn.XLOOKUP($C148,[1]CRITERIOS!$K$25:$K$42,[1]CRITERIOS!$M$25:$M$42))),0),
                    ROUNDUP([1]CRITERIOS!$M$16/(IF(COUNTIF([1]CRITERIOS!$BG$11:$BG$201,$L148)&gt;=1,_xlfn.XLOOKUP($C148,[1]CRITERIOS!$K$25:$K$42,[1]CRITERIOS!$M$25:$M$42),_xlfn.XLOOKUP($C148,[1]CRITERIOS!$K$25:$K$42,[1]CRITERIOS!$M$25:$M$42))),0),
                    (E148+V148-SUMIF('[1]DATOS PBI Artículos'!A:A,A148,'[1]DATOS PBI Artículos'!X:X)-_xlfn.XLOOKUP(A148,'[1]DATOS PBI Artículos'!A:A,'[1]DATOS PBI Artículos'!W:W))/IF($O148="",$N148,$O148))),0))))</f>
        <v>1</v>
      </c>
      <c r="R148" s="33" t="str">
        <f>IF(U148&lt;&gt;"",U148,IF(F148="DV","MTO",IF(N148=0,"MTO",_xlfn.XLOOKUP(CONCATENATE(S148,T148),[1]CRITERIOS!$K$160:$K$168,[1]CRITERIOS!$N$160:$N$168))))</f>
        <v>MTO</v>
      </c>
      <c r="S148" s="33" t="str">
        <f>IF(G148="DV","MTO",IF(N148=0,"MTO",IF(OR(AND(N148=0,O148=""),IF(O148="",G148/N148,G148/O148)&gt;[1]CRITERIOS!$G$163),"MTO",IF(IF(O148="",G148/N148,G148/O148)&lt;[1]CRITERIOS!$H$161,"MTS","MTOS"))))</f>
        <v>MTO</v>
      </c>
      <c r="T148" s="33" t="str">
        <f>IF(F148="DV","MTO",IF(OR(AND($N148=0,O148=""),$F148/$J148&gt;[1]CRITERIOS!$G$170,$F148="DV"),"MTO",IF($F148/$J148&lt;[1]CRITERIOS!$H$168,"MTS","MTOS")))</f>
        <v>MTO</v>
      </c>
      <c r="V148" s="34" t="str">
        <f t="shared" si="7"/>
        <v/>
      </c>
      <c r="X148" s="34">
        <f t="shared" si="8"/>
        <v>0</v>
      </c>
      <c r="Y148" s="34">
        <f t="shared" si="9"/>
        <v>0</v>
      </c>
      <c r="Z148" s="34">
        <f>IF($R148="MTO",
0,
($H148+$K148*($E148/[1]CRITERIOS!$M$16))/[1]CRITERIOS!$X$48)</f>
        <v>0</v>
      </c>
      <c r="AA148" s="34" t="e">
        <f>ROUNDUP(($Y148/_xlfn.XLOOKUP($A148,'[1]DATOS PBI Artículos'!$A$4:$A$4,'[1]DATOS PBI Artículos'!$Z$4:$Z$4))/_xlfn.XLOOKUP(_xlfn.XLOOKUP($A148,'[1]DATOS PBI Artículos'!$A$4:$A$4,'[1]DATOS PBI Artículos'!$Y$4:$Y$4),[1]CRITERIOS!$P$79:$P$123,[1]CRITERIOS!$S$79:$S$123,),0)</f>
        <v>#N/A</v>
      </c>
      <c r="AB148" s="33" t="e">
        <f t="array" ref="AB148">IF((E148+V148-_xlfn.XLOOKUP(A148,'[1]DATOS PBI Artículos'!$A$4:$A$4,'[1]DATOS PBI Artículos'!$W$4:$W$4))/N148&gt;ROUNDUP([1]CRITERIOS!$M$16/(IF(COUNTIF([1]CRITERIOS!$BG$11:$BG$201,L148)&gt;=1,_xlfn.XLOOKUP(ARTÍCULOS!L148,[1]CRITERIOS!$BG$11:$BG$201,[1]CRITERIOS!$BJ$11:$BJ$201),_xlfn.XLOOKUP(ARTÍCULOS!C148,[1]CRITERIOS!$K$25:$K$42,[1]CRITERIOS!$M$25:$M$42))),0),ROUNDUP([1]CRITERIOS!$M$16/(IF(COUNTIF([1]CRITERIOS!$BG$11:$BG$201,L148)&gt;=1,_xlfn.XLOOKUP(ARTÍCULOS!L148,[1]CRITERIOS!$BG$11:$BG$201:#REF!,[1]CRITERIOS!$BJ$11:$BJ$201),_xlfn.XLOOKUP(ARTÍCULOS!C148,[1]CRITERIOS!$K$25:$K$42,[1]CRITERIOS!$M$25:$M$42))),0),(E148+V148-_xlfn.XLOOKUP(A148,'[1]DATOS PBI Artículos'!$A$4:$A$4,'[1]DATOS PBI Artículos'!$W$4:$W$4))/N148)</f>
        <v>#VALUE!</v>
      </c>
      <c r="AC148" s="33" t="e">
        <f>IF(N148=0,"",(ROUNDUP((N148/2)/(_xlfn.XLOOKUP(A148,'[1]DATOS PBI Artículos'!$A$4:$A$4,'[1]DATOS PBI Artículos'!$Z$4:$Z$4)*_xlfn.XLOOKUP(_xlfn.XLOOKUP(A148,'[1]DATOS PBI Artículos'!$A$4:$A$4,'[1]DATOS PBI Artículos'!$Y$4:$Y$4),[1]CRITERIOS!$P$79:$P$123,[1]CRITERIOS!$S$79:$S$123)),0)*[1]CRITERIOS!$M$80*([1]CRITERIOS!$M$110/[1]CRITERIOS!$M$86)+(_xlfn.XLOOKUP(A148,'[1]DATOS PBI Artículos'!$A$4:$A$4,'[1]DATOS PBI Artículos'!$AA$4:$AA$4)*([1]CRITERIOS!$M$95+[1]CRITERIOS!$M$98)))/N148)</f>
        <v>#N/A</v>
      </c>
      <c r="AD148" s="33" t="e">
        <f>IF(N148=0,"",(ROUNDUP((N148/2)/(_xlfn.XLOOKUP(A148,'[1]DATOS PBI Artículos'!$A$4:$A$4,'[1]DATOS PBI Artículos'!$Z$4:$Z$4)*_xlfn.XLOOKUP(_xlfn.XLOOKUP(A148,'[1]DATOS PBI Artículos'!$A$4:$A$4,'[1]DATOS PBI Artículos'!$Y$4:$Y$4),[1]CRITERIOS!$P$79:$P$123,[1]CRITERIOS!$S$79:$S$123)),0)*[1]CRITERIOS!$M$80*([1]CRITERIOS!$M$89*[1]CRITERIOS!$M$92)+((_xlfn.XLOOKUP(A148,'[1]DATOS PBI Artículos'!$A$4:$A$4,'[1]DATOS PBI Artículos'!$AA$4:$AA$4)/2)*([1]CRITERIOS!$M$95+[1]CRITERIOS!$M$98)))/N148)</f>
        <v>#N/A</v>
      </c>
      <c r="AE148" s="39" t="str">
        <f>IF($R148="MTO","",
IF($H148=0,ROUNDUP(((_xlfn.XLOOKUP($A148,'[1]DATOS PBI Artículos'!$A:$A,'[1]DATOS PBI Artículos'!$AL:$AL))/(_xlfn.XLOOKUP($AF$1,[1]CRITERIOS!$S$16:$S$39,[1]CRITERIOS!$Y$16:$Y$39))*$J148+$Z148)/$G148,0)*$G148,
((_xlfn.XLOOKUP($A148,'[1]DATOS PBI Artículos'!$A:$A,'[1]DATOS PBI Artículos'!$AL:$AL))/(_xlfn.XLOOKUP($AF$1,[1]CRITERIOS!$S$16:$S$39,[1]CRITERIOS!$Y$16:$Y$39))*$J148+$Z148)))</f>
        <v/>
      </c>
      <c r="AG148" s="39" t="str">
        <f>IF($R148="MTO","",
IF($H148=0,ROUNDUP(((_xlfn.XLOOKUP($A148,'[1]DATOS PBI Artículos'!$A:$A,'[1]DATOS PBI Artículos'!$AM:$AM))/(_xlfn.XLOOKUP($AH$1,[1]CRITERIOS!$S$16:$S$39,[1]CRITERIOS!$Y$16:$Y$39))*$J148+$Z148)/$G148,0)*$G148,
((_xlfn.XLOOKUP($A148,'[1]DATOS PBI Artículos'!$A:$A,'[1]DATOS PBI Artículos'!$AM:$AM))/(_xlfn.XLOOKUP($AH$1,[1]CRITERIOS!$S$16:$S$39,[1]CRITERIOS!$Y$16:$Y$39))*$J148+$Z148)))</f>
        <v/>
      </c>
      <c r="AI148" s="39" t="str">
        <f>IF($R148="MTO","",
IF($H148=0,ROUNDUP(((_xlfn.XLOOKUP($A148,'[1]DATOS PBI Artículos'!$A:$A,'[1]DATOS PBI Artículos'!$AN:$AN))/(_xlfn.XLOOKUP($AJ$1,[1]CRITERIOS!$S$16:$S$39,[1]CRITERIOS!$Y$16:$Y$39))*$J148+$Z148)/$G148,0)*$G148,
((_xlfn.XLOOKUP($A148,'[1]DATOS PBI Artículos'!$A:$A,'[1]DATOS PBI Artículos'!$AN:$AN))/(_xlfn.XLOOKUP($AJ$1,[1]CRITERIOS!$S$16:$S$39,[1]CRITERIOS!$Y$16:$Y$39))*$J148+$Z148)))</f>
        <v/>
      </c>
      <c r="AK148" s="39" t="str">
        <f>IF($R148="MTO","",
IF($H148=0,ROUNDUP(((_xlfn.XLOOKUP($A148,'[1]DATOS PBI Artículos'!$A:$A,'[1]DATOS PBI Artículos'!$AO:$AO))/(_xlfn.XLOOKUP($AL$1,[1]CRITERIOS!$S$16:$S$39,[1]CRITERIOS!$Y$16:$Y$39))*$J148+$Z148)/$G148,0)*$G148,
((_xlfn.XLOOKUP($A148,'[1]DATOS PBI Artículos'!$A:$A,'[1]DATOS PBI Artículos'!$AO:$AO))/(_xlfn.XLOOKUP($AL$1,[1]CRITERIOS!$S$16:$S$39,[1]CRITERIOS!$Y$16:$Y$39))*$J148+$Z148)))</f>
        <v/>
      </c>
    </row>
    <row r="149" spans="1:37" ht="25.8" x14ac:dyDescent="0.5">
      <c r="A149" s="32">
        <v>452802</v>
      </c>
      <c r="B149" s="33">
        <f>_xlfn.XLOOKUP($A149,'[1]DATOS PBI Artículos'!A:A,'[1]DATOS PBI Artículos'!B:B)</f>
        <v>0</v>
      </c>
      <c r="C149" s="33" t="str">
        <f>_xlfn.XLOOKUP($A149,'[1]DATOS PBI Artículos'!A:A,'[1]DATOS PBI Artículos'!C:C)</f>
        <v>UA05</v>
      </c>
      <c r="D149" s="33">
        <f>_xlfn.XLOOKUP(A149,'[1]DATOS PBI Artículos'!A:A,'[1]DATOS PBI Artículos'!T:T)</f>
        <v>3</v>
      </c>
      <c r="E149" s="34">
        <f>IF(_xlfn.XLOOKUP($A149,'[1]DATOS PBI Artículos'!A:A,'[1]DATOS PBI Artículos'!AK:AK)="",_xlfn.XLOOKUP($A149,'[1]DATOS PBI Artículos'!A:A,'[1]DATOS PBI Artículos'!AJ:AJ),_xlfn.XLOOKUP($A149,'[1]DATOS PBI Artículos'!A:A,'[1]DATOS PBI Artículos'!AK:AK))</f>
        <v>39000</v>
      </c>
      <c r="F149" s="35">
        <f>_xlfn.XLOOKUP($A149,'[1]DATOS PBI Artículos'!A:A,'[1]DATOS PBI Artículos'!AP:AP)</f>
        <v>21.5</v>
      </c>
      <c r="G149" s="34">
        <f>_xlfn.XLOOKUP($A149,'[1]DATOS PBI Artículos'!A:A,'[1]DATOS PBI Artículos'!AR:AR)</f>
        <v>13000</v>
      </c>
      <c r="H149" s="34">
        <f>_xlfn.XLOOKUP($A149,'[1]DATOS PBI Artículos'!A:A,'[1]DATOS PBI Artículos'!AT:AT)</f>
        <v>0</v>
      </c>
      <c r="I149" s="34">
        <f>_xlfn.XLOOKUP($A149,'[1]DATOS PBI Artículos'!A:A,'[1]DATOS PBI Artículos'!AS:AS)</f>
        <v>13000</v>
      </c>
      <c r="J149" s="35">
        <f>IF(COUNTIF([1]CRITERIOS!$F$179:$F$199,$A149)&gt;=1,
 IF(O149&lt;&gt;"",
    (O149/_xlfn.XLOOKUP(CONCATENATE(A149,L149),[1]MÁQUINAS!A:A,[1]MÁQUINAS!D:D))/24,
    (N149/_xlfn.XLOOKUP(CONCATENATE(A149,L149),[1]MÁQUINAS!A:A,[1]MÁQUINAS!D:D))/24),
  _xlfn.XLOOKUP($A149,'[1]DATOS PBI Artículos'!A:A,'[1]DATOS PBI Artículos'!AU:AU))</f>
        <v>1.5666666666666667</v>
      </c>
      <c r="K149" s="36">
        <f>_xlfn.XLOOKUP($A149,'[1]DATOS PBI Artículos'!A:A,'[1]DATOS PBI Artículos'!AV:AV)</f>
        <v>0.25819888974716115</v>
      </c>
      <c r="L149" s="33">
        <f>_xlfn.XLOOKUP(A149,[1]MÁQUINAS!B:B,[1]MÁQUINAS!C:C)</f>
        <v>799</v>
      </c>
      <c r="M149" s="34" t="e">
        <f t="array" ref="M149">_xlfn.XLOOKUP(A149,'[1]DATOS PBI Artículos'!A:A,'[1]DATOS PBI Artículos'!AX:$AX)</f>
        <v>#DIV/0!</v>
      </c>
      <c r="N149" s="37" t="e">
        <f>IF(I149="DV",
E149,
IF(COUNTIF([1]CRITERIOS!$I$179:$I$199,$A149)&gt;=1,
_xlfn.XLOOKUP($A149,[1]CRITERIOS!$I$179:$I$199,[1]CRITERIOS!$J$179:$J$199),
IF(COUNTIF([1]CRITERIOS!$L$179:$L$199,$A149)&gt;=1,
_xlfn.CEILING.MATH(IF($M149&gt;$E149,
$E149,
IF($M149&lt;$E149/ROUNDDOWN([1]CRITERIOS!$M$16/_xlfn.XLOOKUP($C149,[1]CRITERIOS!$K$25:$K$42,[1]CRITERIOS!$M$25:$M$42),
1),
E149/ROUNDDOWN([1]CRITERIOS!$M$16/_xlfn.XLOOKUP($C149,[1]CRITERIOS!$K$25:$K$42,[1]CRITERIOS!$M$25:$M$42),
1),
$M149)),
_xlfn.XLOOKUP($A149,[1]CRITERIOS!$L$179:$L$200,[1]CRITERIOS!$M$179:$M$200)),
_xlfn.CEILING.MATH(IF($M149&gt;$E149,
$E149,
IF($M149&lt;$E149/ROUNDDOWN([1]CRITERIOS!$M$16/_xlfn.XLOOKUP($C149,[1]CRITERIOS!$K$25:$K$42,[1]CRITERIOS!$M$25:$M$42),
1),
E149/ROUNDDOWN([1]CRITERIOS!$M$16/_xlfn.XLOOKUP($C149,[1]CRITERIOS!$K$25:$K$42,[1]CRITERIOS!$M$25:$M$42),
1),
$M149)),_xlfn.XLOOKUP(A149,'[1]DATOS PBI Artículos'!A:A,'[1]DATOS PBI Artículos'!Z:Z
)))))</f>
        <v>#DIV/0!</v>
      </c>
      <c r="Q149" s="38" t="e">
        <f>IF(AND(O149="",N149=0),
0,
   IF(COUNTIF([1]CRITERIOS!$F$179:$F$199,$A149)&gt;=1,
   1,
   IF(R149="MTO",
      $D149,
      ROUNDUP(
                    IF(($E149-SUMIF('[1]DATOS PBI Artículos'!A:A,A149,'[1]DATOS PBI Artículos'!X:X)+($V149-_xlfn.XLOOKUP(A149,'[1]DATOS PBI Artículos'!A:A,'[1]DATOS PBI Artículos'!W:W)))&lt;0,
                    0,
                    IF(($E149-SUMIF('[1]DATOS PBI Artículos'!A:A,A149,'[1]DATOS PBI Artículos'!X:X)+$V149-_xlfn.XLOOKUP($A149,'[1]DATOS PBI Artículos'!A:A,'[1]DATOS PBI Artículos'!W:W))/IF($O149="",$N149,$O149)&gt;ROUNDUP([1]CRITERIOS!$M$16/(IF(COUNTIF([1]CRITERIOS!$BG$11:$BG$201,L149)&gt;=1,_xlfn.XLOOKUP($C149,[1]CRITERIOS!$K$25:$K$42,[1]CRITERIOS!$M$25:$M$42),_xlfn.XLOOKUP($C149,[1]CRITERIOS!$K$25:$K$42,[1]CRITERIOS!$M$25:$M$42))),0),
                    ROUNDUP([1]CRITERIOS!$M$16/(IF(COUNTIF([1]CRITERIOS!$BG$11:$BG$201,$L149)&gt;=1,_xlfn.XLOOKUP($C149,[1]CRITERIOS!$K$25:$K$42,[1]CRITERIOS!$M$25:$M$42),_xlfn.XLOOKUP($C149,[1]CRITERIOS!$K$25:$K$42,[1]CRITERIOS!$M$25:$M$42))),0),
                    (E149+V149-SUMIF('[1]DATOS PBI Artículos'!A:A,A149,'[1]DATOS PBI Artículos'!X:X)-_xlfn.XLOOKUP(A149,'[1]DATOS PBI Artículos'!A:A,'[1]DATOS PBI Artículos'!W:W))/IF($O149="",$N149,$O149))),0))))</f>
        <v>#DIV/0!</v>
      </c>
      <c r="R149" s="33" t="e">
        <f>IF(U149&lt;&gt;"",U149,IF(F149="DV","MTO",IF(N149=0,"MTO",_xlfn.XLOOKUP(CONCATENATE(S149,T149),[1]CRITERIOS!$K$160:$K$168,[1]CRITERIOS!$N$160:$N$168))))</f>
        <v>#DIV/0!</v>
      </c>
      <c r="S149" s="33" t="e">
        <f>IF(G149="DV","MTO",IF(N149=0,"MTO",IF(OR(AND(N149=0,O149=""),IF(O149="",G149/N149,G149/O149)&gt;[1]CRITERIOS!$G$163),"MTO",IF(IF(O149="",G149/N149,G149/O149)&lt;[1]CRITERIOS!$H$161,"MTS","MTOS"))))</f>
        <v>#DIV/0!</v>
      </c>
      <c r="T149" s="33" t="e">
        <f>IF(F149="DV","MTO",IF(OR(AND($N149=0,O149=""),$F149/$J149&gt;[1]CRITERIOS!$G$170,$F149="DV"),"MTO",IF($F149/$J149&lt;[1]CRITERIOS!$H$168,"MTS","MTOS")))</f>
        <v>#DIV/0!</v>
      </c>
      <c r="V149" s="34" t="e">
        <f t="shared" si="7"/>
        <v>#DIV/0!</v>
      </c>
      <c r="X149" s="34" t="e">
        <f t="shared" si="8"/>
        <v>#DIV/0!</v>
      </c>
      <c r="Y149" s="34" t="e">
        <f t="shared" si="9"/>
        <v>#DIV/0!</v>
      </c>
      <c r="Z149" s="34" t="e">
        <f>IF($R149="MTO",
0,
($H149+$K149*($E149/[1]CRITERIOS!$M$16))/[1]CRITERIOS!$X$48)</f>
        <v>#DIV/0!</v>
      </c>
      <c r="AA149" s="34" t="e">
        <f>ROUNDUP(($Y149/_xlfn.XLOOKUP($A149,'[1]DATOS PBI Artículos'!$A$4:$A$4,'[1]DATOS PBI Artículos'!$Z$4:$Z$4))/_xlfn.XLOOKUP(_xlfn.XLOOKUP($A149,'[1]DATOS PBI Artículos'!$A$4:$A$4,'[1]DATOS PBI Artículos'!$Y$4:$Y$4),[1]CRITERIOS!$P$79:$P$123,[1]CRITERIOS!$S$79:$S$123,),0)</f>
        <v>#DIV/0!</v>
      </c>
      <c r="AB149" s="33" t="e">
        <f t="array" ref="AB149">IF((E149+V149-_xlfn.XLOOKUP(A149,'[1]DATOS PBI Artículos'!$A$4:$A$4,'[1]DATOS PBI Artículos'!$W$4:$W$4))/N149&gt;ROUNDUP([1]CRITERIOS!$M$16/(IF(COUNTIF([1]CRITERIOS!$BG$11:$BG$201,L149)&gt;=1,_xlfn.XLOOKUP(ARTÍCULOS!L149,[1]CRITERIOS!$BG$11:$BG$201,[1]CRITERIOS!$BJ$11:$BJ$201),_xlfn.XLOOKUP(ARTÍCULOS!C149,[1]CRITERIOS!$K$25:$K$42,[1]CRITERIOS!$M$25:$M$42))),0),ROUNDUP([1]CRITERIOS!$M$16/(IF(COUNTIF([1]CRITERIOS!$BG$11:$BG$201,L149)&gt;=1,_xlfn.XLOOKUP(ARTÍCULOS!L149,[1]CRITERIOS!$BG$11:$BG$201:#REF!,[1]CRITERIOS!$BJ$11:$BJ$201),_xlfn.XLOOKUP(ARTÍCULOS!C149,[1]CRITERIOS!$K$25:$K$42,[1]CRITERIOS!$M$25:$M$42))),0),(E149+V149-_xlfn.XLOOKUP(A149,'[1]DATOS PBI Artículos'!$A$4:$A$4,'[1]DATOS PBI Artículos'!$W$4:$W$4))/N149)</f>
        <v>#DIV/0!</v>
      </c>
      <c r="AC149" s="33" t="e">
        <f>IF(N149=0,"",(ROUNDUP((N149/2)/(_xlfn.XLOOKUP(A149,'[1]DATOS PBI Artículos'!$A$4:$A$4,'[1]DATOS PBI Artículos'!$Z$4:$Z$4)*_xlfn.XLOOKUP(_xlfn.XLOOKUP(A149,'[1]DATOS PBI Artículos'!$A$4:$A$4,'[1]DATOS PBI Artículos'!$Y$4:$Y$4),[1]CRITERIOS!$P$79:$P$123,[1]CRITERIOS!$S$79:$S$123)),0)*[1]CRITERIOS!$M$80*([1]CRITERIOS!$M$110/[1]CRITERIOS!$M$86)+(_xlfn.XLOOKUP(A149,'[1]DATOS PBI Artículos'!$A$4:$A$4,'[1]DATOS PBI Artículos'!$AA$4:$AA$4)*([1]CRITERIOS!$M$95+[1]CRITERIOS!$M$98)))/N149)</f>
        <v>#DIV/0!</v>
      </c>
      <c r="AD149" s="33" t="e">
        <f>IF(N149=0,"",(ROUNDUP((N149/2)/(_xlfn.XLOOKUP(A149,'[1]DATOS PBI Artículos'!$A$4:$A$4,'[1]DATOS PBI Artículos'!$Z$4:$Z$4)*_xlfn.XLOOKUP(_xlfn.XLOOKUP(A149,'[1]DATOS PBI Artículos'!$A$4:$A$4,'[1]DATOS PBI Artículos'!$Y$4:$Y$4),[1]CRITERIOS!$P$79:$P$123,[1]CRITERIOS!$S$79:$S$123)),0)*[1]CRITERIOS!$M$80*([1]CRITERIOS!$M$89*[1]CRITERIOS!$M$92)+((_xlfn.XLOOKUP(A149,'[1]DATOS PBI Artículos'!$A$4:$A$4,'[1]DATOS PBI Artículos'!$AA$4:$AA$4)/2)*([1]CRITERIOS!$M$95+[1]CRITERIOS!$M$98)))/N149)</f>
        <v>#DIV/0!</v>
      </c>
      <c r="AE149" s="39" t="e">
        <f>IF($R149="MTO","",
IF($H149=0,ROUNDUP(((_xlfn.XLOOKUP($A149,'[1]DATOS PBI Artículos'!$A:$A,'[1]DATOS PBI Artículos'!$AL:$AL))/(_xlfn.XLOOKUP($AF$1,[1]CRITERIOS!$S$16:$S$39,[1]CRITERIOS!$Y$16:$Y$39))*$J149+$Z149)/$G149,0)*$G149,
((_xlfn.XLOOKUP($A149,'[1]DATOS PBI Artículos'!$A:$A,'[1]DATOS PBI Artículos'!$AL:$AL))/(_xlfn.XLOOKUP($AF$1,[1]CRITERIOS!$S$16:$S$39,[1]CRITERIOS!$Y$16:$Y$39))*$J149+$Z149)))</f>
        <v>#DIV/0!</v>
      </c>
      <c r="AG149" s="39" t="e">
        <f>IF($R149="MTO","",
IF($H149=0,ROUNDUP(((_xlfn.XLOOKUP($A149,'[1]DATOS PBI Artículos'!$A:$A,'[1]DATOS PBI Artículos'!$AM:$AM))/(_xlfn.XLOOKUP($AH$1,[1]CRITERIOS!$S$16:$S$39,[1]CRITERIOS!$Y$16:$Y$39))*$J149+$Z149)/$G149,0)*$G149,
((_xlfn.XLOOKUP($A149,'[1]DATOS PBI Artículos'!$A:$A,'[1]DATOS PBI Artículos'!$AM:$AM))/(_xlfn.XLOOKUP($AH$1,[1]CRITERIOS!$S$16:$S$39,[1]CRITERIOS!$Y$16:$Y$39))*$J149+$Z149)))</f>
        <v>#DIV/0!</v>
      </c>
      <c r="AI149" s="39" t="e">
        <f>IF($R149="MTO","",
IF($H149=0,ROUNDUP(((_xlfn.XLOOKUP($A149,'[1]DATOS PBI Artículos'!$A:$A,'[1]DATOS PBI Artículos'!$AN:$AN))/(_xlfn.XLOOKUP($AJ$1,[1]CRITERIOS!$S$16:$S$39,[1]CRITERIOS!$Y$16:$Y$39))*$J149+$Z149)/$G149,0)*$G149,
((_xlfn.XLOOKUP($A149,'[1]DATOS PBI Artículos'!$A:$A,'[1]DATOS PBI Artículos'!$AN:$AN))/(_xlfn.XLOOKUP($AJ$1,[1]CRITERIOS!$S$16:$S$39,[1]CRITERIOS!$Y$16:$Y$39))*$J149+$Z149)))</f>
        <v>#DIV/0!</v>
      </c>
      <c r="AK149" s="39" t="e">
        <f>IF($R149="MTO","",
IF($H149=0,ROUNDUP(((_xlfn.XLOOKUP($A149,'[1]DATOS PBI Artículos'!$A:$A,'[1]DATOS PBI Artículos'!$AO:$AO))/(_xlfn.XLOOKUP($AL$1,[1]CRITERIOS!$S$16:$S$39,[1]CRITERIOS!$Y$16:$Y$39))*$J149+$Z149)/$G149,0)*$G149,
((_xlfn.XLOOKUP($A149,'[1]DATOS PBI Artículos'!$A:$A,'[1]DATOS PBI Artículos'!$AO:$AO))/(_xlfn.XLOOKUP($AL$1,[1]CRITERIOS!$S$16:$S$39,[1]CRITERIOS!$Y$16:$Y$39))*$J149+$Z149)))</f>
        <v>#DIV/0!</v>
      </c>
    </row>
    <row r="150" spans="1:37" ht="25.8" x14ac:dyDescent="0.5">
      <c r="A150" s="32">
        <v>412524</v>
      </c>
      <c r="B150" s="33">
        <f>_xlfn.XLOOKUP($A150,'[1]DATOS PBI Artículos'!A:A,'[1]DATOS PBI Artículos'!B:B)</f>
        <v>0</v>
      </c>
      <c r="C150" s="33" t="str">
        <f>_xlfn.XLOOKUP($A150,'[1]DATOS PBI Artículos'!A:A,'[1]DATOS PBI Artículos'!C:C)</f>
        <v>UA01</v>
      </c>
      <c r="D150" s="33">
        <f>_xlfn.XLOOKUP(A150,'[1]DATOS PBI Artículos'!A:A,'[1]DATOS PBI Artículos'!T:T)</f>
        <v>2</v>
      </c>
      <c r="E150" s="34">
        <f>IF(_xlfn.XLOOKUP($A150,'[1]DATOS PBI Artículos'!A:A,'[1]DATOS PBI Artículos'!AK:AK)="",_xlfn.XLOOKUP($A150,'[1]DATOS PBI Artículos'!A:A,'[1]DATOS PBI Artículos'!AJ:AJ),_xlfn.XLOOKUP($A150,'[1]DATOS PBI Artículos'!A:A,'[1]DATOS PBI Artículos'!AK:AK))</f>
        <v>36000</v>
      </c>
      <c r="F150" s="35">
        <f>_xlfn.XLOOKUP($A150,'[1]DATOS PBI Artículos'!A:A,'[1]DATOS PBI Artículos'!AP:AP)</f>
        <v>75</v>
      </c>
      <c r="G150" s="34">
        <f>_xlfn.XLOOKUP($A150,'[1]DATOS PBI Artículos'!A:A,'[1]DATOS PBI Artículos'!AR:AR)</f>
        <v>36000</v>
      </c>
      <c r="H150" s="34">
        <f>_xlfn.XLOOKUP($A150,'[1]DATOS PBI Artículos'!A:A,'[1]DATOS PBI Artículos'!AT:AT)</f>
        <v>0</v>
      </c>
      <c r="I150" s="34">
        <f>_xlfn.XLOOKUP($A150,'[1]DATOS PBI Artículos'!A:A,'[1]DATOS PBI Artículos'!AS:AS)</f>
        <v>36000</v>
      </c>
      <c r="J150" s="35">
        <f>IF(COUNTIF([1]CRITERIOS!$F$179:$F$199,$A150)&gt;=1,
 IF(O150&lt;&gt;"",
    (O150/_xlfn.XLOOKUP(CONCATENATE(A150,L150),[1]MÁQUINAS!A:A,[1]MÁQUINAS!D:D))/24,
    (N150/_xlfn.XLOOKUP(CONCATENATE(A150,L150),[1]MÁQUINAS!A:A,[1]MÁQUINAS!D:D))/24),
  _xlfn.XLOOKUP($A150,'[1]DATOS PBI Artículos'!A:A,'[1]DATOS PBI Artículos'!AU:AU))</f>
        <v>41</v>
      </c>
      <c r="K150" s="36">
        <f>_xlfn.XLOOKUP($A150,'[1]DATOS PBI Artículos'!A:A,'[1]DATOS PBI Artículos'!AV:AV)</f>
        <v>0</v>
      </c>
      <c r="L150" s="33">
        <f>_xlfn.XLOOKUP(A150,[1]MÁQUINAS!B:B,[1]MÁQUINAS!C:C)</f>
        <v>401</v>
      </c>
      <c r="M150" s="34">
        <f t="array" ref="M150">_xlfn.XLOOKUP(A150,'[1]DATOS PBI Artículos'!A:A,'[1]DATOS PBI Artículos'!AX:$AX)</f>
        <v>89335.500989754655</v>
      </c>
      <c r="N150" s="37">
        <f>IF(I150="DV",
E150,
IF(COUNTIF([1]CRITERIOS!$I$179:$I$199,$A150)&gt;=1,
_xlfn.XLOOKUP($A150,[1]CRITERIOS!$I$179:$I$199,[1]CRITERIOS!$J$179:$J$199),
IF(COUNTIF([1]CRITERIOS!$L$179:$L$199,$A150)&gt;=1,
_xlfn.CEILING.MATH(IF($M150&gt;$E150,
$E150,
IF($M150&lt;$E150/ROUNDDOWN([1]CRITERIOS!$M$16/_xlfn.XLOOKUP($C150,[1]CRITERIOS!$K$25:$K$42,[1]CRITERIOS!$M$25:$M$42),
1),
E150/ROUNDDOWN([1]CRITERIOS!$M$16/_xlfn.XLOOKUP($C150,[1]CRITERIOS!$K$25:$K$42,[1]CRITERIOS!$M$25:$M$42),
1),
$M150)),
_xlfn.XLOOKUP($A150,[1]CRITERIOS!$L$179:$L$200,[1]CRITERIOS!$M$179:$M$200)),
_xlfn.CEILING.MATH(IF($M150&gt;$E150,
$E150,
IF($M150&lt;$E150/ROUNDDOWN([1]CRITERIOS!$M$16/_xlfn.XLOOKUP($C150,[1]CRITERIOS!$K$25:$K$42,[1]CRITERIOS!$M$25:$M$42),
1),
E150/ROUNDDOWN([1]CRITERIOS!$M$16/_xlfn.XLOOKUP($C150,[1]CRITERIOS!$K$25:$K$42,[1]CRITERIOS!$M$25:$M$42),
1),
$M150)),_xlfn.XLOOKUP(A150,'[1]DATOS PBI Artículos'!A:A,'[1]DATOS PBI Artículos'!Z:Z
)))))</f>
        <v>36000</v>
      </c>
      <c r="Q150" s="38">
        <f>IF(AND(O150="",N150=0),
0,
   IF(COUNTIF([1]CRITERIOS!$F$179:$F$199,$A150)&gt;=1,
   1,
   IF(R150="MTO",
      $D150,
      ROUNDUP(
                    IF(($E150-SUMIF('[1]DATOS PBI Artículos'!A:A,A150,'[1]DATOS PBI Artículos'!X:X)+($V150-_xlfn.XLOOKUP(A150,'[1]DATOS PBI Artículos'!A:A,'[1]DATOS PBI Artículos'!W:W)))&lt;0,
                    0,
                    IF(($E150-SUMIF('[1]DATOS PBI Artículos'!A:A,A150,'[1]DATOS PBI Artículos'!X:X)+$V150-_xlfn.XLOOKUP($A150,'[1]DATOS PBI Artículos'!A:A,'[1]DATOS PBI Artículos'!W:W))/IF($O150="",$N150,$O150)&gt;ROUNDUP([1]CRITERIOS!$M$16/(IF(COUNTIF([1]CRITERIOS!$BG$11:$BG$201,L150)&gt;=1,_xlfn.XLOOKUP($C150,[1]CRITERIOS!$K$25:$K$42,[1]CRITERIOS!$M$25:$M$42),_xlfn.XLOOKUP($C150,[1]CRITERIOS!$K$25:$K$42,[1]CRITERIOS!$M$25:$M$42))),0),
                    ROUNDUP([1]CRITERIOS!$M$16/(IF(COUNTIF([1]CRITERIOS!$BG$11:$BG$201,$L150)&gt;=1,_xlfn.XLOOKUP($C150,[1]CRITERIOS!$K$25:$K$42,[1]CRITERIOS!$M$25:$M$42),_xlfn.XLOOKUP($C150,[1]CRITERIOS!$K$25:$K$42,[1]CRITERIOS!$M$25:$M$42))),0),
                    (E150+V150-SUMIF('[1]DATOS PBI Artículos'!A:A,A150,'[1]DATOS PBI Artículos'!X:X)-_xlfn.XLOOKUP(A150,'[1]DATOS PBI Artículos'!A:A,'[1]DATOS PBI Artículos'!W:W))/IF($O150="",$N150,$O150))),0))))</f>
        <v>2</v>
      </c>
      <c r="R150" s="33" t="str">
        <f>IF(U150&lt;&gt;"",U150,IF(F150="DV","MTO",IF(N150=0,"MTO",_xlfn.XLOOKUP(CONCATENATE(S150,T150),[1]CRITERIOS!$K$160:$K$168,[1]CRITERIOS!$N$160:$N$168))))</f>
        <v>MTO</v>
      </c>
      <c r="S150" s="33" t="str">
        <f>IF(G150="DV","MTO",IF(N150=0,"MTO",IF(OR(AND(N150=0,O150=""),IF(O150="",G150/N150,G150/O150)&gt;[1]CRITERIOS!$G$163),"MTO",IF(IF(O150="",G150/N150,G150/O150)&lt;[1]CRITERIOS!$H$161,"MTS","MTOS"))))</f>
        <v>MTO</v>
      </c>
      <c r="T150" s="33" t="str">
        <f>IF(F150="DV","MTO",IF(OR(AND($N150=0,O150=""),$F150/$J150&gt;[1]CRITERIOS!$G$170,$F150="DV"),"MTO",IF($F150/$J150&lt;[1]CRITERIOS!$H$168,"MTS","MTOS")))</f>
        <v>MTO</v>
      </c>
      <c r="V150" s="34" t="str">
        <f t="shared" si="7"/>
        <v/>
      </c>
      <c r="X150" s="34">
        <f t="shared" si="8"/>
        <v>0</v>
      </c>
      <c r="Y150" s="34">
        <f t="shared" si="9"/>
        <v>0</v>
      </c>
      <c r="Z150" s="34">
        <f>IF($R150="MTO",
0,
($H150+$K150*($E150/[1]CRITERIOS!$M$16))/[1]CRITERIOS!$X$48)</f>
        <v>0</v>
      </c>
      <c r="AA150" s="34" t="e">
        <f>ROUNDUP(($Y150/_xlfn.XLOOKUP($A150,'[1]DATOS PBI Artículos'!$A$4:$A$4,'[1]DATOS PBI Artículos'!$Z$4:$Z$4))/_xlfn.XLOOKUP(_xlfn.XLOOKUP($A150,'[1]DATOS PBI Artículos'!$A$4:$A$4,'[1]DATOS PBI Artículos'!$Y$4:$Y$4),[1]CRITERIOS!$P$79:$P$123,[1]CRITERIOS!$S$79:$S$123,),0)</f>
        <v>#N/A</v>
      </c>
      <c r="AB150" s="33" t="e">
        <f t="array" ref="AB150">IF((E150+V150-_xlfn.XLOOKUP(A150,'[1]DATOS PBI Artículos'!$A$4:$A$4,'[1]DATOS PBI Artículos'!$W$4:$W$4))/N150&gt;ROUNDUP([1]CRITERIOS!$M$16/(IF(COUNTIF([1]CRITERIOS!$BG$11:$BG$201,L150)&gt;=1,_xlfn.XLOOKUP(ARTÍCULOS!L150,[1]CRITERIOS!$BG$11:$BG$201,[1]CRITERIOS!$BJ$11:$BJ$201),_xlfn.XLOOKUP(ARTÍCULOS!C150,[1]CRITERIOS!$K$25:$K$42,[1]CRITERIOS!$M$25:$M$42))),0),ROUNDUP([1]CRITERIOS!$M$16/(IF(COUNTIF([1]CRITERIOS!$BG$11:$BG$201,L150)&gt;=1,_xlfn.XLOOKUP(ARTÍCULOS!L150,[1]CRITERIOS!$BG$11:$BG$201:#REF!,[1]CRITERIOS!$BJ$11:$BJ$201),_xlfn.XLOOKUP(ARTÍCULOS!C150,[1]CRITERIOS!$K$25:$K$42,[1]CRITERIOS!$M$25:$M$42))),0),(E150+V150-_xlfn.XLOOKUP(A150,'[1]DATOS PBI Artículos'!$A$4:$A$4,'[1]DATOS PBI Artículos'!$W$4:$W$4))/N150)</f>
        <v>#VALUE!</v>
      </c>
      <c r="AC150" s="33" t="e">
        <f>IF(N150=0,"",(ROUNDUP((N150/2)/(_xlfn.XLOOKUP(A150,'[1]DATOS PBI Artículos'!$A$4:$A$4,'[1]DATOS PBI Artículos'!$Z$4:$Z$4)*_xlfn.XLOOKUP(_xlfn.XLOOKUP(A150,'[1]DATOS PBI Artículos'!$A$4:$A$4,'[1]DATOS PBI Artículos'!$Y$4:$Y$4),[1]CRITERIOS!$P$79:$P$123,[1]CRITERIOS!$S$79:$S$123)),0)*[1]CRITERIOS!$M$80*([1]CRITERIOS!$M$110/[1]CRITERIOS!$M$86)+(_xlfn.XLOOKUP(A150,'[1]DATOS PBI Artículos'!$A$4:$A$4,'[1]DATOS PBI Artículos'!$AA$4:$AA$4)*([1]CRITERIOS!$M$95+[1]CRITERIOS!$M$98)))/N150)</f>
        <v>#N/A</v>
      </c>
      <c r="AD150" s="33" t="e">
        <f>IF(N150=0,"",(ROUNDUP((N150/2)/(_xlfn.XLOOKUP(A150,'[1]DATOS PBI Artículos'!$A$4:$A$4,'[1]DATOS PBI Artículos'!$Z$4:$Z$4)*_xlfn.XLOOKUP(_xlfn.XLOOKUP(A150,'[1]DATOS PBI Artículos'!$A$4:$A$4,'[1]DATOS PBI Artículos'!$Y$4:$Y$4),[1]CRITERIOS!$P$79:$P$123,[1]CRITERIOS!$S$79:$S$123)),0)*[1]CRITERIOS!$M$80*([1]CRITERIOS!$M$89*[1]CRITERIOS!$M$92)+((_xlfn.XLOOKUP(A150,'[1]DATOS PBI Artículos'!$A$4:$A$4,'[1]DATOS PBI Artículos'!$AA$4:$AA$4)/2)*([1]CRITERIOS!$M$95+[1]CRITERIOS!$M$98)))/N150)</f>
        <v>#N/A</v>
      </c>
      <c r="AE150" s="39" t="str">
        <f>IF($R150="MTO","",
IF($H150=0,ROUNDUP(((_xlfn.XLOOKUP($A150,'[1]DATOS PBI Artículos'!$A:$A,'[1]DATOS PBI Artículos'!$AL:$AL))/(_xlfn.XLOOKUP($AF$1,[1]CRITERIOS!$S$16:$S$39,[1]CRITERIOS!$Y$16:$Y$39))*$J150+$Z150)/$G150,0)*$G150,
((_xlfn.XLOOKUP($A150,'[1]DATOS PBI Artículos'!$A:$A,'[1]DATOS PBI Artículos'!$AL:$AL))/(_xlfn.XLOOKUP($AF$1,[1]CRITERIOS!$S$16:$S$39,[1]CRITERIOS!$Y$16:$Y$39))*$J150+$Z150)))</f>
        <v/>
      </c>
      <c r="AG150" s="39" t="str">
        <f>IF($R150="MTO","",
IF($H150=0,ROUNDUP(((_xlfn.XLOOKUP($A150,'[1]DATOS PBI Artículos'!$A:$A,'[1]DATOS PBI Artículos'!$AM:$AM))/(_xlfn.XLOOKUP($AH$1,[1]CRITERIOS!$S$16:$S$39,[1]CRITERIOS!$Y$16:$Y$39))*$J150+$Z150)/$G150,0)*$G150,
((_xlfn.XLOOKUP($A150,'[1]DATOS PBI Artículos'!$A:$A,'[1]DATOS PBI Artículos'!$AM:$AM))/(_xlfn.XLOOKUP($AH$1,[1]CRITERIOS!$S$16:$S$39,[1]CRITERIOS!$Y$16:$Y$39))*$J150+$Z150)))</f>
        <v/>
      </c>
      <c r="AI150" s="39" t="str">
        <f>IF($R150="MTO","",
IF($H150=0,ROUNDUP(((_xlfn.XLOOKUP($A150,'[1]DATOS PBI Artículos'!$A:$A,'[1]DATOS PBI Artículos'!$AN:$AN))/(_xlfn.XLOOKUP($AJ$1,[1]CRITERIOS!$S$16:$S$39,[1]CRITERIOS!$Y$16:$Y$39))*$J150+$Z150)/$G150,0)*$G150,
((_xlfn.XLOOKUP($A150,'[1]DATOS PBI Artículos'!$A:$A,'[1]DATOS PBI Artículos'!$AN:$AN))/(_xlfn.XLOOKUP($AJ$1,[1]CRITERIOS!$S$16:$S$39,[1]CRITERIOS!$Y$16:$Y$39))*$J150+$Z150)))</f>
        <v/>
      </c>
      <c r="AK150" s="39" t="str">
        <f>IF($R150="MTO","",
IF($H150=0,ROUNDUP(((_xlfn.XLOOKUP($A150,'[1]DATOS PBI Artículos'!$A:$A,'[1]DATOS PBI Artículos'!$AO:$AO))/(_xlfn.XLOOKUP($AL$1,[1]CRITERIOS!$S$16:$S$39,[1]CRITERIOS!$Y$16:$Y$39))*$J150+$Z150)/$G150,0)*$G150,
((_xlfn.XLOOKUP($A150,'[1]DATOS PBI Artículos'!$A:$A,'[1]DATOS PBI Artículos'!$AO:$AO))/(_xlfn.XLOOKUP($AL$1,[1]CRITERIOS!$S$16:$S$39,[1]CRITERIOS!$Y$16:$Y$39))*$J150+$Z150)))</f>
        <v/>
      </c>
    </row>
    <row r="151" spans="1:37" ht="25.8" x14ac:dyDescent="0.5">
      <c r="A151" s="32">
        <v>453719</v>
      </c>
      <c r="B151" s="33">
        <f>_xlfn.XLOOKUP($A151,'[1]DATOS PBI Artículos'!A:A,'[1]DATOS PBI Artículos'!B:B)</f>
        <v>0</v>
      </c>
      <c r="C151" s="33" t="str">
        <f>_xlfn.XLOOKUP($A151,'[1]DATOS PBI Artículos'!A:A,'[1]DATOS PBI Artículos'!C:C)</f>
        <v>UA01</v>
      </c>
      <c r="D151" s="33">
        <f>_xlfn.XLOOKUP(A151,'[1]DATOS PBI Artículos'!A:A,'[1]DATOS PBI Artículos'!T:T)</f>
        <v>7</v>
      </c>
      <c r="E151" s="34">
        <f>IF(_xlfn.XLOOKUP($A151,'[1]DATOS PBI Artículos'!A:A,'[1]DATOS PBI Artículos'!AK:AK)="",_xlfn.XLOOKUP($A151,'[1]DATOS PBI Artículos'!A:A,'[1]DATOS PBI Artículos'!AJ:AJ),_xlfn.XLOOKUP($A151,'[1]DATOS PBI Artículos'!A:A,'[1]DATOS PBI Artículos'!AK:AK))</f>
        <v>35200</v>
      </c>
      <c r="F151" s="35">
        <f>_xlfn.XLOOKUP($A151,'[1]DATOS PBI Artículos'!A:A,'[1]DATOS PBI Artículos'!AP:AP)</f>
        <v>10.33333333333</v>
      </c>
      <c r="G151" s="34">
        <f>_xlfn.XLOOKUP($A151,'[1]DATOS PBI Artículos'!A:A,'[1]DATOS PBI Artículos'!AR:AR)</f>
        <v>4400</v>
      </c>
      <c r="H151" s="34">
        <f>_xlfn.XLOOKUP($A151,'[1]DATOS PBI Artículos'!A:A,'[1]DATOS PBI Artículos'!AT:AT)</f>
        <v>1663.0436812405992</v>
      </c>
      <c r="I151" s="34">
        <f>_xlfn.XLOOKUP($A151,'[1]DATOS PBI Artículos'!A:A,'[1]DATOS PBI Artículos'!AS:AS)</f>
        <v>4400</v>
      </c>
      <c r="J151" s="35">
        <f>IF(COUNTIF([1]CRITERIOS!$F$179:$F$199,$A151)&gt;=1,
 IF(O151&lt;&gt;"",
    (O151/_xlfn.XLOOKUP(CONCATENATE(A151,L151),[1]MÁQUINAS!A:A,[1]MÁQUINAS!D:D))/24,
    (N151/_xlfn.XLOOKUP(CONCATENATE(A151,L151),[1]MÁQUINAS!A:A,[1]MÁQUINAS!D:D))/24),
  _xlfn.XLOOKUP($A151,'[1]DATOS PBI Artículos'!A:A,'[1]DATOS PBI Artículos'!AU:AU))</f>
        <v>20.75</v>
      </c>
      <c r="K151" s="36">
        <f>_xlfn.XLOOKUP($A151,'[1]DATOS PBI Artículos'!A:A,'[1]DATOS PBI Artículos'!AV:AV)</f>
        <v>4.4253060157839181</v>
      </c>
      <c r="L151" s="33">
        <f>_xlfn.XLOOKUP(A151,[1]MÁQUINAS!B:B,[1]MÁQUINAS!C:C)</f>
        <v>406</v>
      </c>
      <c r="M151" s="34">
        <f t="array" ref="M151">_xlfn.XLOOKUP(A151,'[1]DATOS PBI Artículos'!A:A,'[1]DATOS PBI Artículos'!AX:$AX)</f>
        <v>27830.949949972266</v>
      </c>
      <c r="N151" s="37">
        <f>IF(I151="DV",
E151,
IF(COUNTIF([1]CRITERIOS!$I$179:$I$199,$A151)&gt;=1,
_xlfn.XLOOKUP($A151,[1]CRITERIOS!$I$179:$I$199,[1]CRITERIOS!$J$179:$J$199),
IF(COUNTIF([1]CRITERIOS!$L$179:$L$199,$A151)&gt;=1,
_xlfn.CEILING.MATH(IF($M151&gt;$E151,
$E151,
IF($M151&lt;$E151/ROUNDDOWN([1]CRITERIOS!$M$16/_xlfn.XLOOKUP($C151,[1]CRITERIOS!$K$25:$K$42,[1]CRITERIOS!$M$25:$M$42),
1),
E151/ROUNDDOWN([1]CRITERIOS!$M$16/_xlfn.XLOOKUP($C151,[1]CRITERIOS!$K$25:$K$42,[1]CRITERIOS!$M$25:$M$42),
1),
$M151)),
_xlfn.XLOOKUP($A151,[1]CRITERIOS!$L$179:$L$200,[1]CRITERIOS!$M$179:$M$200)),
_xlfn.CEILING.MATH(IF($M151&gt;$E151,
$E151,
IF($M151&lt;$E151/ROUNDDOWN([1]CRITERIOS!$M$16/_xlfn.XLOOKUP($C151,[1]CRITERIOS!$K$25:$K$42,[1]CRITERIOS!$M$25:$M$42),
1),
E151/ROUNDDOWN([1]CRITERIOS!$M$16/_xlfn.XLOOKUP($C151,[1]CRITERIOS!$K$25:$K$42,[1]CRITERIOS!$M$25:$M$42),
1),
$M151)),_xlfn.XLOOKUP(A151,'[1]DATOS PBI Artículos'!A:A,'[1]DATOS PBI Artículos'!Z:Z
)))))</f>
        <v>30800</v>
      </c>
      <c r="Q151" s="38">
        <f>IF(AND(O151="",N151=0),
0,
   IF(COUNTIF([1]CRITERIOS!$F$179:$F$199,$A151)&gt;=1,
   1,
   IF(R151="MTO",
      $D151,
      ROUNDUP(
                    IF(($E151-SUMIF('[1]DATOS PBI Artículos'!A:A,A151,'[1]DATOS PBI Artículos'!X:X)+($V151-_xlfn.XLOOKUP(A151,'[1]DATOS PBI Artículos'!A:A,'[1]DATOS PBI Artículos'!W:W)))&lt;0,
                    0,
                    IF(($E151-SUMIF('[1]DATOS PBI Artículos'!A:A,A151,'[1]DATOS PBI Artículos'!X:X)+$V151-_xlfn.XLOOKUP($A151,'[1]DATOS PBI Artículos'!A:A,'[1]DATOS PBI Artículos'!W:W))/IF($O151="",$N151,$O151)&gt;ROUNDUP([1]CRITERIOS!$M$16/(IF(COUNTIF([1]CRITERIOS!$BG$11:$BG$201,L151)&gt;=1,_xlfn.XLOOKUP($C151,[1]CRITERIOS!$K$25:$K$42,[1]CRITERIOS!$M$25:$M$42),_xlfn.XLOOKUP($C151,[1]CRITERIOS!$K$25:$K$42,[1]CRITERIOS!$M$25:$M$42))),0),
                    ROUNDUP([1]CRITERIOS!$M$16/(IF(COUNTIF([1]CRITERIOS!$BG$11:$BG$201,$L151)&gt;=1,_xlfn.XLOOKUP($C151,[1]CRITERIOS!$K$25:$K$42,[1]CRITERIOS!$M$25:$M$42),_xlfn.XLOOKUP($C151,[1]CRITERIOS!$K$25:$K$42,[1]CRITERIOS!$M$25:$M$42))),0),
                    (E151+V151-SUMIF('[1]DATOS PBI Artículos'!A:A,A151,'[1]DATOS PBI Artículos'!X:X)-_xlfn.XLOOKUP(A151,'[1]DATOS PBI Artículos'!A:A,'[1]DATOS PBI Artículos'!W:W))/IF($O151="",$N151,$O151))),0))))</f>
        <v>2</v>
      </c>
      <c r="R151" s="33" t="str">
        <f>IF(U151&lt;&gt;"",U151,IF(F151="DV","MTO",IF(N151=0,"MTO",_xlfn.XLOOKUP(CONCATENATE(S151,T151),[1]CRITERIOS!$K$160:$K$168,[1]CRITERIOS!$N$160:$N$168))))</f>
        <v>MTS</v>
      </c>
      <c r="S151" s="33" t="str">
        <f>IF(G151="DV","MTO",IF(N151=0,"MTO",IF(OR(AND(N151=0,O151=""),IF(O151="",G151/N151,G151/O151)&gt;[1]CRITERIOS!$G$163),"MTO",IF(IF(O151="",G151/N151,G151/O151)&lt;[1]CRITERIOS!$H$161,"MTS","MTOS"))))</f>
        <v>MTS</v>
      </c>
      <c r="T151" s="33" t="str">
        <f>IF(F151="DV","MTO",IF(OR(AND($N151=0,O151=""),$F151/$J151&gt;[1]CRITERIOS!$G$170,$F151="DV"),"MTO",IF($F151/$J151&lt;[1]CRITERIOS!$H$168,"MTS","MTOS")))</f>
        <v>MTS</v>
      </c>
      <c r="V151" s="34">
        <f t="shared" si="7"/>
        <v>11952.13995817769</v>
      </c>
      <c r="X151" s="34">
        <f t="shared" si="8"/>
        <v>42752.139958177693</v>
      </c>
      <c r="Y151" s="34">
        <f t="shared" si="9"/>
        <v>18516.656087207099</v>
      </c>
      <c r="Z151" s="34">
        <f>IF($R151="MTO",
0,
($H151+$K151*($E151/[1]CRITERIOS!$M$16))/[1]CRITERIOS!$X$48)</f>
        <v>3116.6560872070986</v>
      </c>
      <c r="AA151" s="34" t="e">
        <f>ROUNDUP(($Y151/_xlfn.XLOOKUP($A151,'[1]DATOS PBI Artículos'!$A$4:$A$4,'[1]DATOS PBI Artículos'!$Z$4:$Z$4))/_xlfn.XLOOKUP(_xlfn.XLOOKUP($A151,'[1]DATOS PBI Artículos'!$A$4:$A$4,'[1]DATOS PBI Artículos'!$Y$4:$Y$4),[1]CRITERIOS!$P$79:$P$123,[1]CRITERIOS!$S$79:$S$123,),0)</f>
        <v>#N/A</v>
      </c>
      <c r="AB151" s="33" t="e">
        <f t="array" ref="AB151">IF((E151+V151-_xlfn.XLOOKUP(A151,'[1]DATOS PBI Artículos'!$A$4:$A$4,'[1]DATOS PBI Artículos'!$W$4:$W$4))/N151&gt;ROUNDUP([1]CRITERIOS!$M$16/(IF(COUNTIF([1]CRITERIOS!$BG$11:$BG$201,L151)&gt;=1,_xlfn.XLOOKUP(ARTÍCULOS!L151,[1]CRITERIOS!$BG$11:$BG$201,[1]CRITERIOS!$BJ$11:$BJ$201),_xlfn.XLOOKUP(ARTÍCULOS!C151,[1]CRITERIOS!$K$25:$K$42,[1]CRITERIOS!$M$25:$M$42))),0),ROUNDUP([1]CRITERIOS!$M$16/(IF(COUNTIF([1]CRITERIOS!$BG$11:$BG$201,L151)&gt;=1,_xlfn.XLOOKUP(ARTÍCULOS!L151,[1]CRITERIOS!$BG$11:$BG$201:#REF!,[1]CRITERIOS!$BJ$11:$BJ$201),_xlfn.XLOOKUP(ARTÍCULOS!C151,[1]CRITERIOS!$K$25:$K$42,[1]CRITERIOS!$M$25:$M$42))),0),(E151+V151-_xlfn.XLOOKUP(A151,'[1]DATOS PBI Artículos'!$A$4:$A$4,'[1]DATOS PBI Artículos'!$W$4:$W$4))/N151)</f>
        <v>#N/A</v>
      </c>
      <c r="AC151" s="33" t="e">
        <f>IF(N151=0,"",(ROUNDUP((N151/2)/(_xlfn.XLOOKUP(A151,'[1]DATOS PBI Artículos'!$A$4:$A$4,'[1]DATOS PBI Artículos'!$Z$4:$Z$4)*_xlfn.XLOOKUP(_xlfn.XLOOKUP(A151,'[1]DATOS PBI Artículos'!$A$4:$A$4,'[1]DATOS PBI Artículos'!$Y$4:$Y$4),[1]CRITERIOS!$P$79:$P$123,[1]CRITERIOS!$S$79:$S$123)),0)*[1]CRITERIOS!$M$80*([1]CRITERIOS!$M$110/[1]CRITERIOS!$M$86)+(_xlfn.XLOOKUP(A151,'[1]DATOS PBI Artículos'!$A$4:$A$4,'[1]DATOS PBI Artículos'!$AA$4:$AA$4)*([1]CRITERIOS!$M$95+[1]CRITERIOS!$M$98)))/N151)</f>
        <v>#N/A</v>
      </c>
      <c r="AD151" s="33" t="e">
        <f>IF(N151=0,"",(ROUNDUP((N151/2)/(_xlfn.XLOOKUP(A151,'[1]DATOS PBI Artículos'!$A$4:$A$4,'[1]DATOS PBI Artículos'!$Z$4:$Z$4)*_xlfn.XLOOKUP(_xlfn.XLOOKUP(A151,'[1]DATOS PBI Artículos'!$A$4:$A$4,'[1]DATOS PBI Artículos'!$Y$4:$Y$4),[1]CRITERIOS!$P$79:$P$123,[1]CRITERIOS!$S$79:$S$123)),0)*[1]CRITERIOS!$M$80*([1]CRITERIOS!$M$89*[1]CRITERIOS!$M$92)+((_xlfn.XLOOKUP(A151,'[1]DATOS PBI Artículos'!$A$4:$A$4,'[1]DATOS PBI Artículos'!$AA$4:$AA$4)/2)*([1]CRITERIOS!$M$95+[1]CRITERIOS!$M$98)))/N151)</f>
        <v>#N/A</v>
      </c>
      <c r="AE151" s="39">
        <f>IF($R151="MTO","",
IF($H151=0,ROUNDUP(((_xlfn.XLOOKUP($A151,'[1]DATOS PBI Artículos'!$A:$A,'[1]DATOS PBI Artículos'!$AL:$AL))/(_xlfn.XLOOKUP($AF$1,[1]CRITERIOS!$S$16:$S$39,[1]CRITERIOS!$Y$16:$Y$39))*$J151+$Z151)/$G151,0)*$G151,
((_xlfn.XLOOKUP($A151,'[1]DATOS PBI Artículos'!$A:$A,'[1]DATOS PBI Artículos'!$AL:$AL))/(_xlfn.XLOOKUP($AF$1,[1]CRITERIOS!$S$16:$S$39,[1]CRITERIOS!$Y$16:$Y$39))*$J151+$Z151)))</f>
        <v>14380.086245529321</v>
      </c>
      <c r="AG151" s="39">
        <f>IF($R151="MTO","",
IF($H151=0,ROUNDUP(((_xlfn.XLOOKUP($A151,'[1]DATOS PBI Artículos'!$A:$A,'[1]DATOS PBI Artículos'!$AM:$AM))/(_xlfn.XLOOKUP($AH$1,[1]CRITERIOS!$S$16:$S$39,[1]CRITERIOS!$Y$16:$Y$39))*$J151+$Z151)/$G151,0)*$G151,
((_xlfn.XLOOKUP($A151,'[1]DATOS PBI Artículos'!$A:$A,'[1]DATOS PBI Artículos'!$AM:$AM))/(_xlfn.XLOOKUP($AH$1,[1]CRITERIOS!$S$16:$S$39,[1]CRITERIOS!$Y$16:$Y$39))*$J151+$Z151)))</f>
        <v>11207.397452172316</v>
      </c>
      <c r="AI151" s="39">
        <f>IF($R151="MTO","",
IF($H151=0,ROUNDUP(((_xlfn.XLOOKUP($A151,'[1]DATOS PBI Artículos'!$A:$A,'[1]DATOS PBI Artículos'!$AN:$AN))/(_xlfn.XLOOKUP($AJ$1,[1]CRITERIOS!$S$16:$S$39,[1]CRITERIOS!$Y$16:$Y$39))*$J151+$Z151)/$G151,0)*$G151,
((_xlfn.XLOOKUP($A151,'[1]DATOS PBI Artículos'!$A:$A,'[1]DATOS PBI Artículos'!$AN:$AN))/(_xlfn.XLOOKUP($AJ$1,[1]CRITERIOS!$S$16:$S$39,[1]CRITERIOS!$Y$16:$Y$39))*$J151+$Z151)))</f>
        <v>12807.334965637097</v>
      </c>
      <c r="AK151" s="39">
        <f>IF($R151="MTO","",
IF($H151=0,ROUNDUP(((_xlfn.XLOOKUP($A151,'[1]DATOS PBI Artículos'!$A:$A,'[1]DATOS PBI Artículos'!$AO:$AO))/(_xlfn.XLOOKUP($AL$1,[1]CRITERIOS!$S$16:$S$39,[1]CRITERIOS!$Y$16:$Y$39))*$J151+$Z151)/$G151,0)*$G151,
((_xlfn.XLOOKUP($A151,'[1]DATOS PBI Artículos'!$A:$A,'[1]DATOS PBI Artículos'!$AO:$AO))/(_xlfn.XLOOKUP($AL$1,[1]CRITERIOS!$S$16:$S$39,[1]CRITERIOS!$Y$16:$Y$39))*$J151+$Z151)))</f>
        <v>13670.772386307099</v>
      </c>
    </row>
    <row r="152" spans="1:37" ht="25.8" x14ac:dyDescent="0.5">
      <c r="A152" s="32">
        <v>451002</v>
      </c>
      <c r="B152" s="33">
        <f>_xlfn.XLOOKUP($A152,'[1]DATOS PBI Artículos'!A:A,'[1]DATOS PBI Artículos'!B:B)</f>
        <v>0</v>
      </c>
      <c r="C152" s="33" t="str">
        <f>_xlfn.XLOOKUP($A152,'[1]DATOS PBI Artículos'!A:A,'[1]DATOS PBI Artículos'!C:C)</f>
        <v>UA03</v>
      </c>
      <c r="D152" s="33">
        <f>_xlfn.XLOOKUP(A152,'[1]DATOS PBI Artículos'!A:A,'[1]DATOS PBI Artículos'!T:T)</f>
        <v>1</v>
      </c>
      <c r="E152" s="34">
        <f>IF(_xlfn.XLOOKUP($A152,'[1]DATOS PBI Artículos'!A:A,'[1]DATOS PBI Artículos'!AK:AK)="",_xlfn.XLOOKUP($A152,'[1]DATOS PBI Artículos'!A:A,'[1]DATOS PBI Artículos'!AJ:AJ),_xlfn.XLOOKUP($A152,'[1]DATOS PBI Artículos'!A:A,'[1]DATOS PBI Artículos'!AK:AK))</f>
        <v>33440</v>
      </c>
      <c r="F152" s="35">
        <f>_xlfn.XLOOKUP($A152,'[1]DATOS PBI Artículos'!A:A,'[1]DATOS PBI Artículos'!AP:AP)</f>
        <v>75</v>
      </c>
      <c r="G152" s="34">
        <f>_xlfn.XLOOKUP($A152,'[1]DATOS PBI Artículos'!A:A,'[1]DATOS PBI Artículos'!AR:AR)</f>
        <v>33440</v>
      </c>
      <c r="H152" s="34">
        <f>_xlfn.XLOOKUP($A152,'[1]DATOS PBI Artículos'!A:A,'[1]DATOS PBI Artículos'!AT:AT)</f>
        <v>0</v>
      </c>
      <c r="I152" s="34">
        <f>_xlfn.XLOOKUP($A152,'[1]DATOS PBI Artículos'!A:A,'[1]DATOS PBI Artículos'!AS:AS)</f>
        <v>33440</v>
      </c>
      <c r="J152" s="35">
        <f>IF(COUNTIF([1]CRITERIOS!$F$179:$F$199,$A152)&gt;=1,
 IF(O152&lt;&gt;"",
    (O152/_xlfn.XLOOKUP(CONCATENATE(A152,L152),[1]MÁQUINAS!A:A,[1]MÁQUINAS!D:D))/24,
    (N152/_xlfn.XLOOKUP(CONCATENATE(A152,L152),[1]MÁQUINAS!A:A,[1]MÁQUINAS!D:D))/24),
  _xlfn.XLOOKUP($A152,'[1]DATOS PBI Artículos'!A:A,'[1]DATOS PBI Artículos'!AU:AU))</f>
        <v>15.666666666666668</v>
      </c>
      <c r="K152" s="36">
        <f>_xlfn.XLOOKUP($A152,'[1]DATOS PBI Artículos'!A:A,'[1]DATOS PBI Artículos'!AV:AV)</f>
        <v>4.9261208538429777</v>
      </c>
      <c r="L152" s="33">
        <f>_xlfn.XLOOKUP(A152,[1]MÁQUINAS!B:B,[1]MÁQUINAS!C:C)</f>
        <v>127</v>
      </c>
      <c r="M152" s="34">
        <f t="array" ref="M152">_xlfn.XLOOKUP(A152,'[1]DATOS PBI Artículos'!A:A,'[1]DATOS PBI Artículos'!AX:$AX)</f>
        <v>7289.0615167863934</v>
      </c>
      <c r="N152" s="37">
        <f>IF(I152="DV",
E152,
IF(COUNTIF([1]CRITERIOS!$I$179:$I$199,$A152)&gt;=1,
_xlfn.XLOOKUP($A152,[1]CRITERIOS!$I$179:$I$199,[1]CRITERIOS!$J$179:$J$199),
IF(COUNTIF([1]CRITERIOS!$L$179:$L$199,$A152)&gt;=1,
_xlfn.CEILING.MATH(IF($M152&gt;$E152,
$E152,
IF($M152&lt;$E152/ROUNDDOWN([1]CRITERIOS!$M$16/_xlfn.XLOOKUP($C152,[1]CRITERIOS!$K$25:$K$42,[1]CRITERIOS!$M$25:$M$42),
1),
E152/ROUNDDOWN([1]CRITERIOS!$M$16/_xlfn.XLOOKUP($C152,[1]CRITERIOS!$K$25:$K$42,[1]CRITERIOS!$M$25:$M$42),
1),
$M152)),
_xlfn.XLOOKUP($A152,[1]CRITERIOS!$L$179:$L$200,[1]CRITERIOS!$M$179:$M$200)),
_xlfn.CEILING.MATH(IF($M152&gt;$E152,
$E152,
IF($M152&lt;$E152/ROUNDDOWN([1]CRITERIOS!$M$16/_xlfn.XLOOKUP($C152,[1]CRITERIOS!$K$25:$K$42,[1]CRITERIOS!$M$25:$M$42),
1),
E152/ROUNDDOWN([1]CRITERIOS!$M$16/_xlfn.XLOOKUP($C152,[1]CRITERIOS!$K$25:$K$42,[1]CRITERIOS!$M$25:$M$42),
1),
$M152)),_xlfn.XLOOKUP(A152,'[1]DATOS PBI Artículos'!A:A,'[1]DATOS PBI Artículos'!Z:Z
)))))</f>
        <v>9196</v>
      </c>
      <c r="Q152" s="38">
        <f>IF(AND(O152="",N152=0),
0,
   IF(COUNTIF([1]CRITERIOS!$F$179:$F$199,$A152)&gt;=1,
   1,
   IF(R152="MTO",
      $D152,
      ROUNDUP(
                    IF(($E152-SUMIF('[1]DATOS PBI Artículos'!A:A,A152,'[1]DATOS PBI Artículos'!X:X)+($V152-_xlfn.XLOOKUP(A152,'[1]DATOS PBI Artículos'!A:A,'[1]DATOS PBI Artículos'!W:W)))&lt;0,
                    0,
                    IF(($E152-SUMIF('[1]DATOS PBI Artículos'!A:A,A152,'[1]DATOS PBI Artículos'!X:X)+$V152-_xlfn.XLOOKUP($A152,'[1]DATOS PBI Artículos'!A:A,'[1]DATOS PBI Artículos'!W:W))/IF($O152="",$N152,$O152)&gt;ROUNDUP([1]CRITERIOS!$M$16/(IF(COUNTIF([1]CRITERIOS!$BG$11:$BG$201,L152)&gt;=1,_xlfn.XLOOKUP($C152,[1]CRITERIOS!$K$25:$K$42,[1]CRITERIOS!$M$25:$M$42),_xlfn.XLOOKUP($C152,[1]CRITERIOS!$K$25:$K$42,[1]CRITERIOS!$M$25:$M$42))),0),
                    ROUNDUP([1]CRITERIOS!$M$16/(IF(COUNTIF([1]CRITERIOS!$BG$11:$BG$201,$L152)&gt;=1,_xlfn.XLOOKUP($C152,[1]CRITERIOS!$K$25:$K$42,[1]CRITERIOS!$M$25:$M$42),_xlfn.XLOOKUP($C152,[1]CRITERIOS!$K$25:$K$42,[1]CRITERIOS!$M$25:$M$42))),0),
                    (E152+V152-SUMIF('[1]DATOS PBI Artículos'!A:A,A152,'[1]DATOS PBI Artículos'!X:X)-_xlfn.XLOOKUP(A152,'[1]DATOS PBI Artículos'!A:A,'[1]DATOS PBI Artículos'!W:W))/IF($O152="",$N152,$O152))),0))))</f>
        <v>1</v>
      </c>
      <c r="R152" s="33" t="str">
        <f>IF(U152&lt;&gt;"",U152,IF(F152="DV","MTO",IF(N152=0,"MTO",_xlfn.XLOOKUP(CONCATENATE(S152,T152),[1]CRITERIOS!$K$160:$K$168,[1]CRITERIOS!$N$160:$N$168))))</f>
        <v>MTO</v>
      </c>
      <c r="S152" s="33" t="str">
        <f>IF(G152="DV","MTO",IF(N152=0,"MTO",IF(OR(AND(N152=0,O152=""),IF(O152="",G152/N152,G152/O152)&gt;[1]CRITERIOS!$G$163),"MTO",IF(IF(O152="",G152/N152,G152/O152)&lt;[1]CRITERIOS!$H$161,"MTS","MTOS"))))</f>
        <v>MTO</v>
      </c>
      <c r="T152" s="33" t="str">
        <f>IF(F152="DV","MTO",IF(OR(AND($N152=0,O152=""),$F152/$J152&gt;[1]CRITERIOS!$G$170,$F152="DV"),"MTO",IF($F152/$J152&lt;[1]CRITERIOS!$H$168,"MTS","MTOS")))</f>
        <v>MTO</v>
      </c>
      <c r="V152" s="34" t="str">
        <f>IF(R152="MTO","",
IF($H152=0,(((($J152/$F152)*$G152)+$Z152)/$G152)*$G152,
(($J152/$F152)*$G152)+$Z152))</f>
        <v/>
      </c>
      <c r="X152" s="34">
        <f t="shared" si="8"/>
        <v>0</v>
      </c>
      <c r="Y152" s="34">
        <f t="shared" si="9"/>
        <v>0</v>
      </c>
      <c r="Z152" s="34">
        <f>IF($R152="MTO",
0,
($H152+$K152*($E152/[1]CRITERIOS!$M$16))/[1]CRITERIOS!$X$48)</f>
        <v>0</v>
      </c>
      <c r="AA152" s="34" t="e">
        <f>ROUNDUP(($Y152/_xlfn.XLOOKUP($A152,'[1]DATOS PBI Artículos'!$A$4:$A$4,'[1]DATOS PBI Artículos'!$Z$4:$Z$4))/_xlfn.XLOOKUP(_xlfn.XLOOKUP($A152,'[1]DATOS PBI Artículos'!$A$4:$A$4,'[1]DATOS PBI Artículos'!$Y$4:$Y$4),[1]CRITERIOS!$P$79:$P$123,[1]CRITERIOS!$S$79:$S$123,),0)</f>
        <v>#N/A</v>
      </c>
      <c r="AB152" s="33" t="e">
        <f t="array" ref="AB152">IF((E152+V152-_xlfn.XLOOKUP(A152,'[1]DATOS PBI Artículos'!$A$4:$A$4,'[1]DATOS PBI Artículos'!$W$4:$W$4))/N152&gt;ROUNDUP([1]CRITERIOS!$M$16/(IF(COUNTIF([1]CRITERIOS!$BG$11:$BG$201,L152)&gt;=1,_xlfn.XLOOKUP(ARTÍCULOS!L152,[1]CRITERIOS!$BG$11:$BG$201,[1]CRITERIOS!$BJ$11:$BJ$201),_xlfn.XLOOKUP(ARTÍCULOS!C152,[1]CRITERIOS!$K$25:$K$42,[1]CRITERIOS!$M$25:$M$42))),0),ROUNDUP([1]CRITERIOS!$M$16/(IF(COUNTIF([1]CRITERIOS!$BG$11:$BG$201,L152)&gt;=1,_xlfn.XLOOKUP(ARTÍCULOS!L152,[1]CRITERIOS!$BG$11:$BG$201:#REF!,[1]CRITERIOS!$BJ$11:$BJ$201),_xlfn.XLOOKUP(ARTÍCULOS!C152,[1]CRITERIOS!$K$25:$K$42,[1]CRITERIOS!$M$25:$M$42))),0),(E152+V152-_xlfn.XLOOKUP(A152,'[1]DATOS PBI Artículos'!$A$4:$A$4,'[1]DATOS PBI Artículos'!$W$4:$W$4))/N152)</f>
        <v>#VALUE!</v>
      </c>
      <c r="AC152" s="33" t="e">
        <f>IF(N152=0,"",(ROUNDUP((N152/2)/(_xlfn.XLOOKUP(A152,'[1]DATOS PBI Artículos'!$A$4:$A$4,'[1]DATOS PBI Artículos'!$Z$4:$Z$4)*_xlfn.XLOOKUP(_xlfn.XLOOKUP(A152,'[1]DATOS PBI Artículos'!$A$4:$A$4,'[1]DATOS PBI Artículos'!$Y$4:$Y$4),[1]CRITERIOS!$P$79:$P$123,[1]CRITERIOS!$S$79:$S$123)),0)*[1]CRITERIOS!$M$80*([1]CRITERIOS!$M$110/[1]CRITERIOS!$M$86)+(_xlfn.XLOOKUP(A152,'[1]DATOS PBI Artículos'!$A$4:$A$4,'[1]DATOS PBI Artículos'!$AA$4:$AA$4)*([1]CRITERIOS!$M$95+[1]CRITERIOS!$M$98)))/N152)</f>
        <v>#N/A</v>
      </c>
      <c r="AD152" s="33" t="e">
        <f>IF(N152=0,"",(ROUNDUP((N152/2)/(_xlfn.XLOOKUP(A152,'[1]DATOS PBI Artículos'!$A$4:$A$4,'[1]DATOS PBI Artículos'!$Z$4:$Z$4)*_xlfn.XLOOKUP(_xlfn.XLOOKUP(A152,'[1]DATOS PBI Artículos'!$A$4:$A$4,'[1]DATOS PBI Artículos'!$Y$4:$Y$4),[1]CRITERIOS!$P$79:$P$123,[1]CRITERIOS!$S$79:$S$123)),0)*[1]CRITERIOS!$M$80*([1]CRITERIOS!$M$89*[1]CRITERIOS!$M$92)+((_xlfn.XLOOKUP(A152,'[1]DATOS PBI Artículos'!$A$4:$A$4,'[1]DATOS PBI Artículos'!$AA$4:$AA$4)/2)*([1]CRITERIOS!$M$95+[1]CRITERIOS!$M$98)))/N152)</f>
        <v>#N/A</v>
      </c>
      <c r="AE152" s="39" t="str">
        <f>IF($R152="MTO","",
IF($H152=0,ROUNDUP(((_xlfn.XLOOKUP($A152,'[1]DATOS PBI Artículos'!$A:$A,'[1]DATOS PBI Artículos'!$AL:$AL))/(_xlfn.XLOOKUP($AF$1,[1]CRITERIOS!$S$16:$S$39,[1]CRITERIOS!$Y$16:$Y$39))*$J152+$Z152)/$G152,0)*$G152,
((_xlfn.XLOOKUP($A152,'[1]DATOS PBI Artículos'!$A:$A,'[1]DATOS PBI Artículos'!$AL:$AL))/(_xlfn.XLOOKUP($AF$1,[1]CRITERIOS!$S$16:$S$39,[1]CRITERIOS!$Y$16:$Y$39))*$J152+$Z152)))</f>
        <v/>
      </c>
      <c r="AG152" s="39" t="str">
        <f>IF($R152="MTO","",
IF($H152=0,ROUNDUP(((_xlfn.XLOOKUP($A152,'[1]DATOS PBI Artículos'!$A:$A,'[1]DATOS PBI Artículos'!$AM:$AM))/(_xlfn.XLOOKUP($AH$1,[1]CRITERIOS!$S$16:$S$39,[1]CRITERIOS!$Y$16:$Y$39))*$J152+$Z152)/$G152,0)*$G152,
((_xlfn.XLOOKUP($A152,'[1]DATOS PBI Artículos'!$A:$A,'[1]DATOS PBI Artículos'!$AM:$AM))/(_xlfn.XLOOKUP($AH$1,[1]CRITERIOS!$S$16:$S$39,[1]CRITERIOS!$Y$16:$Y$39))*$J152+$Z152)))</f>
        <v/>
      </c>
      <c r="AI152" s="39" t="str">
        <f>IF($R152="MTO","",
IF($H152=0,ROUNDUP(((_xlfn.XLOOKUP($A152,'[1]DATOS PBI Artículos'!$A:$A,'[1]DATOS PBI Artículos'!$AN:$AN))/(_xlfn.XLOOKUP($AJ$1,[1]CRITERIOS!$S$16:$S$39,[1]CRITERIOS!$Y$16:$Y$39))*$J152+$Z152)/$G152,0)*$G152,
((_xlfn.XLOOKUP($A152,'[1]DATOS PBI Artículos'!$A:$A,'[1]DATOS PBI Artículos'!$AN:$AN))/(_xlfn.XLOOKUP($AJ$1,[1]CRITERIOS!$S$16:$S$39,[1]CRITERIOS!$Y$16:$Y$39))*$J152+$Z152)))</f>
        <v/>
      </c>
      <c r="AK152" s="39" t="str">
        <f>IF($R152="MTO","",
IF($H152=0,ROUNDUP(((_xlfn.XLOOKUP($A152,'[1]DATOS PBI Artículos'!$A:$A,'[1]DATOS PBI Artículos'!$AO:$AO))/(_xlfn.XLOOKUP($AL$1,[1]CRITERIOS!$S$16:$S$39,[1]CRITERIOS!$Y$16:$Y$39))*$J152+$Z152)/$G152,0)*$G152,
((_xlfn.XLOOKUP($A152,'[1]DATOS PBI Artículos'!$A:$A,'[1]DATOS PBI Artículos'!$AO:$AO))/(_xlfn.XLOOKUP($AL$1,[1]CRITERIOS!$S$16:$S$39,[1]CRITERIOS!$Y$16:$Y$39))*$J152+$Z152)))</f>
        <v/>
      </c>
    </row>
    <row r="153" spans="1:37" ht="25.8" x14ac:dyDescent="0.5">
      <c r="A153" s="32">
        <v>400299</v>
      </c>
      <c r="B153" s="33">
        <f>_xlfn.XLOOKUP($A153,'[1]DATOS PBI Artículos'!A:A,'[1]DATOS PBI Artículos'!B:B)</f>
        <v>0</v>
      </c>
      <c r="C153" s="33" t="str">
        <f>_xlfn.XLOOKUP($A153,'[1]DATOS PBI Artículos'!A:A,'[1]DATOS PBI Artículos'!C:C)</f>
        <v>UA03</v>
      </c>
      <c r="D153" s="33">
        <f>_xlfn.XLOOKUP(A153,'[1]DATOS PBI Artículos'!A:A,'[1]DATOS PBI Artículos'!T:T)</f>
        <v>3</v>
      </c>
      <c r="E153" s="34">
        <f>IF(_xlfn.XLOOKUP($A153,'[1]DATOS PBI Artículos'!A:A,'[1]DATOS PBI Artículos'!AK:AK)="",_xlfn.XLOOKUP($A153,'[1]DATOS PBI Artículos'!A:A,'[1]DATOS PBI Artículos'!AJ:AJ),_xlfn.XLOOKUP($A153,'[1]DATOS PBI Artículos'!A:A,'[1]DATOS PBI Artículos'!AK:AK))</f>
        <v>32400</v>
      </c>
      <c r="F153" s="35">
        <f>_xlfn.XLOOKUP($A153,'[1]DATOS PBI Artículos'!A:A,'[1]DATOS PBI Artículos'!AP:AP)</f>
        <v>11.5</v>
      </c>
      <c r="G153" s="34">
        <f>_xlfn.XLOOKUP($A153,'[1]DATOS PBI Artículos'!A:A,'[1]DATOS PBI Artículos'!AR:AR)</f>
        <v>10800</v>
      </c>
      <c r="H153" s="34">
        <f>_xlfn.XLOOKUP($A153,'[1]DATOS PBI Artículos'!A:A,'[1]DATOS PBI Artículos'!AT:AT)</f>
        <v>0</v>
      </c>
      <c r="I153" s="34">
        <f>_xlfn.XLOOKUP($A153,'[1]DATOS PBI Artículos'!A:A,'[1]DATOS PBI Artículos'!AS:AS)</f>
        <v>10800</v>
      </c>
      <c r="J153" s="35">
        <f>IF(COUNTIF([1]CRITERIOS!$F$179:$F$199,$A153)&gt;=1,
 IF(O153&lt;&gt;"",
    (O153/_xlfn.XLOOKUP(CONCATENATE(A153,L153),[1]MÁQUINAS!A:A,[1]MÁQUINAS!D:D))/24,
    (N153/_xlfn.XLOOKUP(CONCATENATE(A153,L153),[1]MÁQUINAS!A:A,[1]MÁQUINAS!D:D))/24),
  _xlfn.XLOOKUP($A153,'[1]DATOS PBI Artículos'!A:A,'[1]DATOS PBI Artículos'!AU:AU))</f>
        <v>13.285714285714285</v>
      </c>
      <c r="K153" s="36">
        <f>_xlfn.XLOOKUP($A153,'[1]DATOS PBI Artículos'!A:A,'[1]DATOS PBI Artículos'!AV:AV)</f>
        <v>0.95118973121134198</v>
      </c>
      <c r="L153" s="33">
        <f>_xlfn.XLOOKUP(A153,[1]MÁQUINAS!B:B,[1]MÁQUINAS!C:C)</f>
        <v>142</v>
      </c>
      <c r="M153" s="34">
        <f t="array" ref="M153">_xlfn.XLOOKUP(A153,'[1]DATOS PBI Artículos'!A:A,'[1]DATOS PBI Artículos'!AX:$AX)</f>
        <v>32279.060553401679</v>
      </c>
      <c r="N153" s="37">
        <f>IF(I153="DV",
E153,
IF(COUNTIF([1]CRITERIOS!$I$179:$I$199,$A153)&gt;=1,
_xlfn.XLOOKUP($A153,[1]CRITERIOS!$I$179:$I$199,[1]CRITERIOS!$J$179:$J$199),
IF(COUNTIF([1]CRITERIOS!$L$179:$L$199,$A153)&gt;=1,
_xlfn.CEILING.MATH(IF($M153&gt;$E153,
$E153,
IF($M153&lt;$E153/ROUNDDOWN([1]CRITERIOS!$M$16/_xlfn.XLOOKUP($C153,[1]CRITERIOS!$K$25:$K$42,[1]CRITERIOS!$M$25:$M$42),
1),
E153/ROUNDDOWN([1]CRITERIOS!$M$16/_xlfn.XLOOKUP($C153,[1]CRITERIOS!$K$25:$K$42,[1]CRITERIOS!$M$25:$M$42),
1),
$M153)),
_xlfn.XLOOKUP($A153,[1]CRITERIOS!$L$179:$L$200,[1]CRITERIOS!$M$179:$M$200)),
_xlfn.CEILING.MATH(IF($M153&gt;$E153,
$E153,
IF($M153&lt;$E153/ROUNDDOWN([1]CRITERIOS!$M$16/_xlfn.XLOOKUP($C153,[1]CRITERIOS!$K$25:$K$42,[1]CRITERIOS!$M$25:$M$42),
1),
E153/ROUNDDOWN([1]CRITERIOS!$M$16/_xlfn.XLOOKUP($C153,[1]CRITERIOS!$K$25:$K$42,[1]CRITERIOS!$M$25:$M$42),
1),
$M153)),_xlfn.XLOOKUP(A153,'[1]DATOS PBI Artículos'!A:A,'[1]DATOS PBI Artículos'!Z:Z
)))))</f>
        <v>32400</v>
      </c>
      <c r="Q153" s="38">
        <f>IF(AND(O153="",N153=0),
0,
   IF(COUNTIF([1]CRITERIOS!$F$179:$F$199,$A153)&gt;=1,
   1,
   IF(R153="MTO",
      $D153,
      ROUNDUP(
                    IF(($E153-SUMIF('[1]DATOS PBI Artículos'!A:A,A153,'[1]DATOS PBI Artículos'!X:X)+($V153-_xlfn.XLOOKUP(A153,'[1]DATOS PBI Artículos'!A:A,'[1]DATOS PBI Artículos'!W:W)))&lt;0,
                    0,
                    IF(($E153-SUMIF('[1]DATOS PBI Artículos'!A:A,A153,'[1]DATOS PBI Artículos'!X:X)+$V153-_xlfn.XLOOKUP($A153,'[1]DATOS PBI Artículos'!A:A,'[1]DATOS PBI Artículos'!W:W))/IF($O153="",$N153,$O153)&gt;ROUNDUP([1]CRITERIOS!$M$16/(IF(COUNTIF([1]CRITERIOS!$BG$11:$BG$201,L153)&gt;=1,_xlfn.XLOOKUP($C153,[1]CRITERIOS!$K$25:$K$42,[1]CRITERIOS!$M$25:$M$42),_xlfn.XLOOKUP($C153,[1]CRITERIOS!$K$25:$K$42,[1]CRITERIOS!$M$25:$M$42))),0),
                    ROUNDUP([1]CRITERIOS!$M$16/(IF(COUNTIF([1]CRITERIOS!$BG$11:$BG$201,$L153)&gt;=1,_xlfn.XLOOKUP($C153,[1]CRITERIOS!$K$25:$K$42,[1]CRITERIOS!$M$25:$M$42),_xlfn.XLOOKUP($C153,[1]CRITERIOS!$K$25:$K$42,[1]CRITERIOS!$M$25:$M$42))),0),
                    (E153+V153-SUMIF('[1]DATOS PBI Artículos'!A:A,A153,'[1]DATOS PBI Artículos'!X:X)-_xlfn.XLOOKUP(A153,'[1]DATOS PBI Artículos'!A:A,'[1]DATOS PBI Artículos'!W:W))/IF($O153="",$N153,$O153))),0))))</f>
        <v>1</v>
      </c>
      <c r="R153" s="33" t="str">
        <f>IF(U153&lt;&gt;"",U153,IF(F153="DV","MTO",IF(N153=0,"MTO",_xlfn.XLOOKUP(CONCATENATE(S153,T153),[1]CRITERIOS!$K$160:$K$168,[1]CRITERIOS!$N$160:$N$168))))</f>
        <v>MTS</v>
      </c>
      <c r="S153" s="33" t="str">
        <f>IF(G153="DV","MTO",IF(N153=0,"MTO",IF(OR(AND(N153=0,O153=""),IF(O153="",G153/N153,G153/O153)&gt;[1]CRITERIOS!$G$163),"MTO",IF(IF(O153="",G153/N153,G153/O153)&lt;[1]CRITERIOS!$H$161,"MTS","MTOS"))))</f>
        <v>MTS</v>
      </c>
      <c r="T153" s="33" t="str">
        <f>IF(F153="DV","MTO",IF(OR(AND($N153=0,O153=""),$F153/$J153&gt;[1]CRITERIOS!$G$170,$F153="DV"),"MTO",IF($F153/$J153&lt;[1]CRITERIOS!$H$168,"MTS","MTOS")))</f>
        <v>MTS</v>
      </c>
      <c r="V153" s="34">
        <f t="shared" ref="V153:V216" si="10">IF(R153="MTO","",
IF($H153=0,(((($J153/$F153)*$G153)+$Z153)/$G153)*$G153,
(($J153/$F153)*$G153)+$Z153))</f>
        <v>12819.446936776456</v>
      </c>
      <c r="X153" s="34">
        <f t="shared" si="8"/>
        <v>45219.446936776454</v>
      </c>
      <c r="Y153" s="34">
        <f t="shared" si="9"/>
        <v>16542.428303236084</v>
      </c>
      <c r="Z153" s="34">
        <f>IF($R153="MTO",
0,
($H153+$K153*($E153/[1]CRITERIOS!$M$16))/[1]CRITERIOS!$X$48)</f>
        <v>342.42830323608314</v>
      </c>
      <c r="AA153" s="34" t="e">
        <f>ROUNDUP(($Y153/_xlfn.XLOOKUP($A153,'[1]DATOS PBI Artículos'!$A$4:$A$4,'[1]DATOS PBI Artículos'!$Z$4:$Z$4))/_xlfn.XLOOKUP(_xlfn.XLOOKUP($A153,'[1]DATOS PBI Artículos'!$A$4:$A$4,'[1]DATOS PBI Artículos'!$Y$4:$Y$4),[1]CRITERIOS!$P$79:$P$123,[1]CRITERIOS!$S$79:$S$123,),0)</f>
        <v>#N/A</v>
      </c>
      <c r="AB153" s="33" t="e">
        <f t="array" ref="AB153">IF((E153+V153-_xlfn.XLOOKUP(A153,'[1]DATOS PBI Artículos'!$A$4:$A$4,'[1]DATOS PBI Artículos'!$W$4:$W$4))/N153&gt;ROUNDUP([1]CRITERIOS!$M$16/(IF(COUNTIF([1]CRITERIOS!$BG$11:$BG$201,L153)&gt;=1,_xlfn.XLOOKUP(ARTÍCULOS!L153,[1]CRITERIOS!$BG$11:$BG$201,[1]CRITERIOS!$BJ$11:$BJ$201),_xlfn.XLOOKUP(ARTÍCULOS!C153,[1]CRITERIOS!$K$25:$K$42,[1]CRITERIOS!$M$25:$M$42))),0),ROUNDUP([1]CRITERIOS!$M$16/(IF(COUNTIF([1]CRITERIOS!$BG$11:$BG$201,L153)&gt;=1,_xlfn.XLOOKUP(ARTÍCULOS!L153,[1]CRITERIOS!$BG$11:$BG$201:#REF!,[1]CRITERIOS!$BJ$11:$BJ$201),_xlfn.XLOOKUP(ARTÍCULOS!C153,[1]CRITERIOS!$K$25:$K$42,[1]CRITERIOS!$M$25:$M$42))),0),(E153+V153-_xlfn.XLOOKUP(A153,'[1]DATOS PBI Artículos'!$A$4:$A$4,'[1]DATOS PBI Artículos'!$W$4:$W$4))/N153)</f>
        <v>#N/A</v>
      </c>
      <c r="AC153" s="33" t="e">
        <f>IF(N153=0,"",(ROUNDUP((N153/2)/(_xlfn.XLOOKUP(A153,'[1]DATOS PBI Artículos'!$A$4:$A$4,'[1]DATOS PBI Artículos'!$Z$4:$Z$4)*_xlfn.XLOOKUP(_xlfn.XLOOKUP(A153,'[1]DATOS PBI Artículos'!$A$4:$A$4,'[1]DATOS PBI Artículos'!$Y$4:$Y$4),[1]CRITERIOS!$P$79:$P$123,[1]CRITERIOS!$S$79:$S$123)),0)*[1]CRITERIOS!$M$80*([1]CRITERIOS!$M$110/[1]CRITERIOS!$M$86)+(_xlfn.XLOOKUP(A153,'[1]DATOS PBI Artículos'!$A$4:$A$4,'[1]DATOS PBI Artículos'!$AA$4:$AA$4)*([1]CRITERIOS!$M$95+[1]CRITERIOS!$M$98)))/N153)</f>
        <v>#N/A</v>
      </c>
      <c r="AD153" s="33" t="e">
        <f>IF(N153=0,"",(ROUNDUP((N153/2)/(_xlfn.XLOOKUP(A153,'[1]DATOS PBI Artículos'!$A$4:$A$4,'[1]DATOS PBI Artículos'!$Z$4:$Z$4)*_xlfn.XLOOKUP(_xlfn.XLOOKUP(A153,'[1]DATOS PBI Artículos'!$A$4:$A$4,'[1]DATOS PBI Artículos'!$Y$4:$Y$4),[1]CRITERIOS!$P$79:$P$123,[1]CRITERIOS!$S$79:$S$123)),0)*[1]CRITERIOS!$M$80*([1]CRITERIOS!$M$89*[1]CRITERIOS!$M$92)+((_xlfn.XLOOKUP(A153,'[1]DATOS PBI Artículos'!$A$4:$A$4,'[1]DATOS PBI Artículos'!$AA$4:$AA$4)/2)*([1]CRITERIOS!$M$95+[1]CRITERIOS!$M$98)))/N153)</f>
        <v>#N/A</v>
      </c>
      <c r="AE153" s="39">
        <f>IF($R153="MTO","",
IF($H153=0,ROUNDUP(((_xlfn.XLOOKUP($A153,'[1]DATOS PBI Artículos'!$A:$A,'[1]DATOS PBI Artículos'!$AL:$AL))/(_xlfn.XLOOKUP($AF$1,[1]CRITERIOS!$S$16:$S$39,[1]CRITERIOS!$Y$16:$Y$39))*$J153+$Z153)/$G153,0)*$G153,
((_xlfn.XLOOKUP($A153,'[1]DATOS PBI Artículos'!$A:$A,'[1]DATOS PBI Artículos'!$AL:$AL))/(_xlfn.XLOOKUP($AF$1,[1]CRITERIOS!$S$16:$S$39,[1]CRITERIOS!$Y$16:$Y$39))*$J153+$Z153)))</f>
        <v>10800</v>
      </c>
      <c r="AG153" s="39">
        <f>IF($R153="MTO","",
IF($H153=0,ROUNDUP(((_xlfn.XLOOKUP($A153,'[1]DATOS PBI Artículos'!$A:$A,'[1]DATOS PBI Artículos'!$AM:$AM))/(_xlfn.XLOOKUP($AH$1,[1]CRITERIOS!$S$16:$S$39,[1]CRITERIOS!$Y$16:$Y$39))*$J153+$Z153)/$G153,0)*$G153,
((_xlfn.XLOOKUP($A153,'[1]DATOS PBI Artículos'!$A:$A,'[1]DATOS PBI Artículos'!$AM:$AM))/(_xlfn.XLOOKUP($AH$1,[1]CRITERIOS!$S$16:$S$39,[1]CRITERIOS!$Y$16:$Y$39))*$J153+$Z153)))</f>
        <v>10800</v>
      </c>
      <c r="AI153" s="39">
        <f>IF($R153="MTO","",
IF($H153=0,ROUNDUP(((_xlfn.XLOOKUP($A153,'[1]DATOS PBI Artículos'!$A:$A,'[1]DATOS PBI Artículos'!$AN:$AN))/(_xlfn.XLOOKUP($AJ$1,[1]CRITERIOS!$S$16:$S$39,[1]CRITERIOS!$Y$16:$Y$39))*$J153+$Z153)/$G153,0)*$G153,
((_xlfn.XLOOKUP($A153,'[1]DATOS PBI Artículos'!$A:$A,'[1]DATOS PBI Artículos'!$AN:$AN))/(_xlfn.XLOOKUP($AJ$1,[1]CRITERIOS!$S$16:$S$39,[1]CRITERIOS!$Y$16:$Y$39))*$J153+$Z153)))</f>
        <v>10800</v>
      </c>
      <c r="AK153" s="39">
        <f>IF($R153="MTO","",
IF($H153=0,ROUNDUP(((_xlfn.XLOOKUP($A153,'[1]DATOS PBI Artículos'!$A:$A,'[1]DATOS PBI Artículos'!$AO:$AO))/(_xlfn.XLOOKUP($AL$1,[1]CRITERIOS!$S$16:$S$39,[1]CRITERIOS!$Y$16:$Y$39))*$J153+$Z153)/$G153,0)*$G153,
((_xlfn.XLOOKUP($A153,'[1]DATOS PBI Artículos'!$A:$A,'[1]DATOS PBI Artículos'!$AO:$AO))/(_xlfn.XLOOKUP($AL$1,[1]CRITERIOS!$S$16:$S$39,[1]CRITERIOS!$Y$16:$Y$39))*$J153+$Z153)))</f>
        <v>10800</v>
      </c>
    </row>
    <row r="154" spans="1:37" ht="25.8" x14ac:dyDescent="0.5">
      <c r="A154" s="32" t="s">
        <v>85</v>
      </c>
      <c r="B154" s="33">
        <f>_xlfn.XLOOKUP($A154,'[1]DATOS PBI Artículos'!A:A,'[1]DATOS PBI Artículos'!B:B)</f>
        <v>0</v>
      </c>
      <c r="C154" s="33" t="str">
        <f>_xlfn.XLOOKUP($A154,'[1]DATOS PBI Artículos'!A:A,'[1]DATOS PBI Artículos'!C:C)</f>
        <v>UA01</v>
      </c>
      <c r="D154" s="33">
        <f>_xlfn.XLOOKUP(A154,'[1]DATOS PBI Artículos'!A:A,'[1]DATOS PBI Artículos'!T:T)</f>
        <v>2</v>
      </c>
      <c r="E154" s="34">
        <f>IF(_xlfn.XLOOKUP($A154,'[1]DATOS PBI Artículos'!A:A,'[1]DATOS PBI Artículos'!AK:AK)="",_xlfn.XLOOKUP($A154,'[1]DATOS PBI Artículos'!A:A,'[1]DATOS PBI Artículos'!AJ:AJ),_xlfn.XLOOKUP($A154,'[1]DATOS PBI Artículos'!A:A,'[1]DATOS PBI Artículos'!AK:AK))</f>
        <v>32000</v>
      </c>
      <c r="F154" s="35">
        <f>_xlfn.XLOOKUP($A154,'[1]DATOS PBI Artículos'!A:A,'[1]DATOS PBI Artículos'!AP:AP)</f>
        <v>47</v>
      </c>
      <c r="G154" s="34">
        <f>_xlfn.XLOOKUP($A154,'[1]DATOS PBI Artículos'!A:A,'[1]DATOS PBI Artículos'!AR:AR)</f>
        <v>16000</v>
      </c>
      <c r="H154" s="34">
        <f>_xlfn.XLOOKUP($A154,'[1]DATOS PBI Artículos'!A:A,'[1]DATOS PBI Artículos'!AT:AT)</f>
        <v>0</v>
      </c>
      <c r="I154" s="34">
        <f>_xlfn.XLOOKUP($A154,'[1]DATOS PBI Artículos'!A:A,'[1]DATOS PBI Artículos'!AS:AS)</f>
        <v>16000</v>
      </c>
      <c r="J154" s="35">
        <f>IF(COUNTIF([1]CRITERIOS!$F$179:$F$199,$A154)&gt;=1,
 IF(O154&lt;&gt;"",
    (O154/_xlfn.XLOOKUP(CONCATENATE(A154,L154),[1]MÁQUINAS!A:A,[1]MÁQUINAS!D:D))/24,
    (N154/_xlfn.XLOOKUP(CONCATENATE(A154,L154),[1]MÁQUINAS!A:A,[1]MÁQUINAS!D:D))/24),
  _xlfn.XLOOKUP($A154,'[1]DATOS PBI Artículos'!A:A,'[1]DATOS PBI Artículos'!AU:AU))</f>
        <v>11</v>
      </c>
      <c r="K154" s="36">
        <f>_xlfn.XLOOKUP($A154,'[1]DATOS PBI Artículos'!A:A,'[1]DATOS PBI Artículos'!AV:AV)</f>
        <v>0</v>
      </c>
      <c r="L154" s="33">
        <f>_xlfn.XLOOKUP(A154,[1]MÁQUINAS!B:B,[1]MÁQUINAS!C:C)</f>
        <v>550</v>
      </c>
      <c r="M154" s="34">
        <f t="array" ref="M154">_xlfn.XLOOKUP(A154,'[1]DATOS PBI Artículos'!A:A,'[1]DATOS PBI Artículos'!AX:$AX)</f>
        <v>12259.45158025702</v>
      </c>
      <c r="N154" s="37">
        <f>IF(I154="DV",
E154,
IF(COUNTIF([1]CRITERIOS!$I$179:$I$199,$A154)&gt;=1,
_xlfn.XLOOKUP($A154,[1]CRITERIOS!$I$179:$I$199,[1]CRITERIOS!$J$179:$J$199),
IF(COUNTIF([1]CRITERIOS!$L$179:$L$199,$A154)&gt;=1,
_xlfn.CEILING.MATH(IF($M154&gt;$E154,
$E154,
IF($M154&lt;$E154/ROUNDDOWN([1]CRITERIOS!$M$16/_xlfn.XLOOKUP($C154,[1]CRITERIOS!$K$25:$K$42,[1]CRITERIOS!$M$25:$M$42),
1),
E154/ROUNDDOWN([1]CRITERIOS!$M$16/_xlfn.XLOOKUP($C154,[1]CRITERIOS!$K$25:$K$42,[1]CRITERIOS!$M$25:$M$42),
1),
$M154)),
_xlfn.XLOOKUP($A154,[1]CRITERIOS!$L$179:$L$200,[1]CRITERIOS!$M$179:$M$200)),
_xlfn.CEILING.MATH(IF($M154&gt;$E154,
$E154,
IF($M154&lt;$E154/ROUNDDOWN([1]CRITERIOS!$M$16/_xlfn.XLOOKUP($C154,[1]CRITERIOS!$K$25:$K$42,[1]CRITERIOS!$M$25:$M$42),
1),
E154/ROUNDDOWN([1]CRITERIOS!$M$16/_xlfn.XLOOKUP($C154,[1]CRITERIOS!$K$25:$K$42,[1]CRITERIOS!$M$25:$M$42),
1),
$M154)),_xlfn.XLOOKUP(A154,'[1]DATOS PBI Artículos'!A:A,'[1]DATOS PBI Artículos'!Z:Z
)))))</f>
        <v>16000</v>
      </c>
      <c r="Q154" s="38">
        <f>IF(AND(O154="",N154=0),
0,
   IF(COUNTIF([1]CRITERIOS!$F$179:$F$199,$A154)&gt;=1,
   1,
   IF(R154="MTO",
      $D154,
      ROUNDUP(
                    IF(($E154-SUMIF('[1]DATOS PBI Artículos'!A:A,A154,'[1]DATOS PBI Artículos'!X:X)+($V154-_xlfn.XLOOKUP(A154,'[1]DATOS PBI Artículos'!A:A,'[1]DATOS PBI Artículos'!W:W)))&lt;0,
                    0,
                    IF(($E154-SUMIF('[1]DATOS PBI Artículos'!A:A,A154,'[1]DATOS PBI Artículos'!X:X)+$V154-_xlfn.XLOOKUP($A154,'[1]DATOS PBI Artículos'!A:A,'[1]DATOS PBI Artículos'!W:W))/IF($O154="",$N154,$O154)&gt;ROUNDUP([1]CRITERIOS!$M$16/(IF(COUNTIF([1]CRITERIOS!$BG$11:$BG$201,L154)&gt;=1,_xlfn.XLOOKUP($C154,[1]CRITERIOS!$K$25:$K$42,[1]CRITERIOS!$M$25:$M$42),_xlfn.XLOOKUP($C154,[1]CRITERIOS!$K$25:$K$42,[1]CRITERIOS!$M$25:$M$42))),0),
                    ROUNDUP([1]CRITERIOS!$M$16/(IF(COUNTIF([1]CRITERIOS!$BG$11:$BG$201,$L154)&gt;=1,_xlfn.XLOOKUP($C154,[1]CRITERIOS!$K$25:$K$42,[1]CRITERIOS!$M$25:$M$42),_xlfn.XLOOKUP($C154,[1]CRITERIOS!$K$25:$K$42,[1]CRITERIOS!$M$25:$M$42))),0),
                    (E154+V154-SUMIF('[1]DATOS PBI Artículos'!A:A,A154,'[1]DATOS PBI Artículos'!X:X)-_xlfn.XLOOKUP(A154,'[1]DATOS PBI Artículos'!A:A,'[1]DATOS PBI Artículos'!W:W))/IF($O154="",$N154,$O154))),0))))</f>
        <v>2</v>
      </c>
      <c r="R154" s="33" t="str">
        <f>IF(U154&lt;&gt;"",U154,IF(F154="DV","MTO",IF(N154=0,"MTO",_xlfn.XLOOKUP(CONCATENATE(S154,T154),[1]CRITERIOS!$K$160:$K$168,[1]CRITERIOS!$N$160:$N$168))))</f>
        <v>MTO</v>
      </c>
      <c r="S154" s="33" t="str">
        <f>IF(G154="DV","MTO",IF(N154=0,"MTO",IF(OR(AND(N154=0,O154=""),IF(O154="",G154/N154,G154/O154)&gt;[1]CRITERIOS!$G$163),"MTO",IF(IF(O154="",G154/N154,G154/O154)&lt;[1]CRITERIOS!$H$161,"MTS","MTOS"))))</f>
        <v>MTO</v>
      </c>
      <c r="T154" s="33" t="str">
        <f>IF(F154="DV","MTO",IF(OR(AND($N154=0,O154=""),$F154/$J154&gt;[1]CRITERIOS!$G$170,$F154="DV"),"MTO",IF($F154/$J154&lt;[1]CRITERIOS!$H$168,"MTS","MTOS")))</f>
        <v>MTO</v>
      </c>
      <c r="V154" s="34" t="str">
        <f t="shared" si="10"/>
        <v/>
      </c>
      <c r="X154" s="34">
        <f t="shared" si="8"/>
        <v>0</v>
      </c>
      <c r="Y154" s="34">
        <f t="shared" si="9"/>
        <v>0</v>
      </c>
      <c r="Z154" s="34">
        <f>IF($R154="MTO",
0,
($H154+$K154*($E154/[1]CRITERIOS!$M$16))/[1]CRITERIOS!$X$48)</f>
        <v>0</v>
      </c>
      <c r="AA154" s="34" t="e">
        <f>ROUNDUP(($Y154/_xlfn.XLOOKUP($A154,'[1]DATOS PBI Artículos'!$A$4:$A$4,'[1]DATOS PBI Artículos'!$Z$4:$Z$4))/_xlfn.XLOOKUP(_xlfn.XLOOKUP($A154,'[1]DATOS PBI Artículos'!$A$4:$A$4,'[1]DATOS PBI Artículos'!$Y$4:$Y$4),[1]CRITERIOS!$P$79:$P$123,[1]CRITERIOS!$S$79:$S$123,),0)</f>
        <v>#N/A</v>
      </c>
      <c r="AB154" s="33" t="e">
        <f t="array" ref="AB154">IF((E154+V154-_xlfn.XLOOKUP(A154,'[1]DATOS PBI Artículos'!$A$4:$A$4,'[1]DATOS PBI Artículos'!$W$4:$W$4))/N154&gt;ROUNDUP([1]CRITERIOS!$M$16/(IF(COUNTIF([1]CRITERIOS!$BG$11:$BG$201,L154)&gt;=1,_xlfn.XLOOKUP(ARTÍCULOS!L154,[1]CRITERIOS!$BG$11:$BG$201,[1]CRITERIOS!$BJ$11:$BJ$201),_xlfn.XLOOKUP(ARTÍCULOS!C154,[1]CRITERIOS!$K$25:$K$42,[1]CRITERIOS!$M$25:$M$42))),0),ROUNDUP([1]CRITERIOS!$M$16/(IF(COUNTIF([1]CRITERIOS!$BG$11:$BG$201,L154)&gt;=1,_xlfn.XLOOKUP(ARTÍCULOS!L154,[1]CRITERIOS!$BG$11:$BG$201:#REF!,[1]CRITERIOS!$BJ$11:$BJ$201),_xlfn.XLOOKUP(ARTÍCULOS!C154,[1]CRITERIOS!$K$25:$K$42,[1]CRITERIOS!$M$25:$M$42))),0),(E154+V154-_xlfn.XLOOKUP(A154,'[1]DATOS PBI Artículos'!$A$4:$A$4,'[1]DATOS PBI Artículos'!$W$4:$W$4))/N154)</f>
        <v>#VALUE!</v>
      </c>
      <c r="AC154" s="33" t="e">
        <f>IF(N154=0,"",(ROUNDUP((N154/2)/(_xlfn.XLOOKUP(A154,'[1]DATOS PBI Artículos'!$A$4:$A$4,'[1]DATOS PBI Artículos'!$Z$4:$Z$4)*_xlfn.XLOOKUP(_xlfn.XLOOKUP(A154,'[1]DATOS PBI Artículos'!$A$4:$A$4,'[1]DATOS PBI Artículos'!$Y$4:$Y$4),[1]CRITERIOS!$P$79:$P$123,[1]CRITERIOS!$S$79:$S$123)),0)*[1]CRITERIOS!$M$80*([1]CRITERIOS!$M$110/[1]CRITERIOS!$M$86)+(_xlfn.XLOOKUP(A154,'[1]DATOS PBI Artículos'!$A$4:$A$4,'[1]DATOS PBI Artículos'!$AA$4:$AA$4)*([1]CRITERIOS!$M$95+[1]CRITERIOS!$M$98)))/N154)</f>
        <v>#N/A</v>
      </c>
      <c r="AD154" s="33" t="e">
        <f>IF(N154=0,"",(ROUNDUP((N154/2)/(_xlfn.XLOOKUP(A154,'[1]DATOS PBI Artículos'!$A$4:$A$4,'[1]DATOS PBI Artículos'!$Z$4:$Z$4)*_xlfn.XLOOKUP(_xlfn.XLOOKUP(A154,'[1]DATOS PBI Artículos'!$A$4:$A$4,'[1]DATOS PBI Artículos'!$Y$4:$Y$4),[1]CRITERIOS!$P$79:$P$123,[1]CRITERIOS!$S$79:$S$123)),0)*[1]CRITERIOS!$M$80*([1]CRITERIOS!$M$89*[1]CRITERIOS!$M$92)+((_xlfn.XLOOKUP(A154,'[1]DATOS PBI Artículos'!$A$4:$A$4,'[1]DATOS PBI Artículos'!$AA$4:$AA$4)/2)*([1]CRITERIOS!$M$95+[1]CRITERIOS!$M$98)))/N154)</f>
        <v>#N/A</v>
      </c>
      <c r="AE154" s="39" t="str">
        <f>IF($R154="MTO","",
IF($H154=0,ROUNDUP(((_xlfn.XLOOKUP($A154,'[1]DATOS PBI Artículos'!$A:$A,'[1]DATOS PBI Artículos'!$AL:$AL))/(_xlfn.XLOOKUP($AF$1,[1]CRITERIOS!$S$16:$S$39,[1]CRITERIOS!$Y$16:$Y$39))*$J154+$Z154)/$G154,0)*$G154,
((_xlfn.XLOOKUP($A154,'[1]DATOS PBI Artículos'!$A:$A,'[1]DATOS PBI Artículos'!$AL:$AL))/(_xlfn.XLOOKUP($AF$1,[1]CRITERIOS!$S$16:$S$39,[1]CRITERIOS!$Y$16:$Y$39))*$J154+$Z154)))</f>
        <v/>
      </c>
      <c r="AG154" s="39" t="str">
        <f>IF($R154="MTO","",
IF($H154=0,ROUNDUP(((_xlfn.XLOOKUP($A154,'[1]DATOS PBI Artículos'!$A:$A,'[1]DATOS PBI Artículos'!$AM:$AM))/(_xlfn.XLOOKUP($AH$1,[1]CRITERIOS!$S$16:$S$39,[1]CRITERIOS!$Y$16:$Y$39))*$J154+$Z154)/$G154,0)*$G154,
((_xlfn.XLOOKUP($A154,'[1]DATOS PBI Artículos'!$A:$A,'[1]DATOS PBI Artículos'!$AM:$AM))/(_xlfn.XLOOKUP($AH$1,[1]CRITERIOS!$S$16:$S$39,[1]CRITERIOS!$Y$16:$Y$39))*$J154+$Z154)))</f>
        <v/>
      </c>
      <c r="AI154" s="39" t="str">
        <f>IF($R154="MTO","",
IF($H154=0,ROUNDUP(((_xlfn.XLOOKUP($A154,'[1]DATOS PBI Artículos'!$A:$A,'[1]DATOS PBI Artículos'!$AN:$AN))/(_xlfn.XLOOKUP($AJ$1,[1]CRITERIOS!$S$16:$S$39,[1]CRITERIOS!$Y$16:$Y$39))*$J154+$Z154)/$G154,0)*$G154,
((_xlfn.XLOOKUP($A154,'[1]DATOS PBI Artículos'!$A:$A,'[1]DATOS PBI Artículos'!$AN:$AN))/(_xlfn.XLOOKUP($AJ$1,[1]CRITERIOS!$S$16:$S$39,[1]CRITERIOS!$Y$16:$Y$39))*$J154+$Z154)))</f>
        <v/>
      </c>
      <c r="AK154" s="39" t="str">
        <f>IF($R154="MTO","",
IF($H154=0,ROUNDUP(((_xlfn.XLOOKUP($A154,'[1]DATOS PBI Artículos'!$A:$A,'[1]DATOS PBI Artículos'!$AO:$AO))/(_xlfn.XLOOKUP($AL$1,[1]CRITERIOS!$S$16:$S$39,[1]CRITERIOS!$Y$16:$Y$39))*$J154+$Z154)/$G154,0)*$G154,
((_xlfn.XLOOKUP($A154,'[1]DATOS PBI Artículos'!$A:$A,'[1]DATOS PBI Artículos'!$AO:$AO))/(_xlfn.XLOOKUP($AL$1,[1]CRITERIOS!$S$16:$S$39,[1]CRITERIOS!$Y$16:$Y$39))*$J154+$Z154)))</f>
        <v/>
      </c>
    </row>
    <row r="155" spans="1:37" ht="25.8" x14ac:dyDescent="0.5">
      <c r="A155" s="32">
        <v>453449</v>
      </c>
      <c r="B155" s="33">
        <f>_xlfn.XLOOKUP($A155,'[1]DATOS PBI Artículos'!A:A,'[1]DATOS PBI Artículos'!B:B)</f>
        <v>0</v>
      </c>
      <c r="C155" s="33" t="str">
        <f>_xlfn.XLOOKUP($A155,'[1]DATOS PBI Artículos'!A:A,'[1]DATOS PBI Artículos'!C:C)</f>
        <v>UA01</v>
      </c>
      <c r="D155" s="33">
        <f>_xlfn.XLOOKUP(A155,'[1]DATOS PBI Artículos'!A:A,'[1]DATOS PBI Artículos'!T:T)</f>
        <v>4</v>
      </c>
      <c r="E155" s="34">
        <f>IF(_xlfn.XLOOKUP($A155,'[1]DATOS PBI Artículos'!A:A,'[1]DATOS PBI Artículos'!AK:AK)="",_xlfn.XLOOKUP($A155,'[1]DATOS PBI Artículos'!A:A,'[1]DATOS PBI Artículos'!AJ:AJ),_xlfn.XLOOKUP($A155,'[1]DATOS PBI Artículos'!A:A,'[1]DATOS PBI Artículos'!AK:AK))</f>
        <v>31200</v>
      </c>
      <c r="F155" s="35">
        <f>_xlfn.XLOOKUP($A155,'[1]DATOS PBI Artículos'!A:A,'[1]DATOS PBI Artículos'!AP:AP)</f>
        <v>20</v>
      </c>
      <c r="G155" s="34">
        <f>_xlfn.XLOOKUP($A155,'[1]DATOS PBI Artículos'!A:A,'[1]DATOS PBI Artículos'!AR:AR)</f>
        <v>7800</v>
      </c>
      <c r="H155" s="34">
        <f>_xlfn.XLOOKUP($A155,'[1]DATOS PBI Artículos'!A:A,'[1]DATOS PBI Artículos'!AT:AT)</f>
        <v>0</v>
      </c>
      <c r="I155" s="34">
        <f>_xlfn.XLOOKUP($A155,'[1]DATOS PBI Artículos'!A:A,'[1]DATOS PBI Artículos'!AS:AS)</f>
        <v>7800</v>
      </c>
      <c r="J155" s="35">
        <f>IF(COUNTIF([1]CRITERIOS!$F$179:$F$199,$A155)&gt;=1,
 IF(O155&lt;&gt;"",
    (O155/_xlfn.XLOOKUP(CONCATENATE(A155,L155),[1]MÁQUINAS!A:A,[1]MÁQUINAS!D:D))/24,
    (N155/_xlfn.XLOOKUP(CONCATENATE(A155,L155),[1]MÁQUINAS!A:A,[1]MÁQUINAS!D:D))/24),
  _xlfn.XLOOKUP($A155,'[1]DATOS PBI Artículos'!A:A,'[1]DATOS PBI Artículos'!AU:AU))</f>
        <v>24</v>
      </c>
      <c r="K155" s="36">
        <f>_xlfn.XLOOKUP($A155,'[1]DATOS PBI Artículos'!A:A,'[1]DATOS PBI Artículos'!AV:AV)</f>
        <v>8.4852813742385695</v>
      </c>
      <c r="L155" s="33">
        <f>_xlfn.XLOOKUP(A155,[1]MÁQUINAS!B:B,[1]MÁQUINAS!C:C)</f>
        <v>406</v>
      </c>
      <c r="M155" s="34">
        <f t="array" ref="M155">_xlfn.XLOOKUP(A155,'[1]DATOS PBI Artículos'!A:A,'[1]DATOS PBI Artículos'!AX:$AX)</f>
        <v>35759.39038503453</v>
      </c>
      <c r="N155" s="37">
        <f>IF(I155="DV",
E155,
IF(COUNTIF([1]CRITERIOS!$I$179:$I$199,$A155)&gt;=1,
_xlfn.XLOOKUP($A155,[1]CRITERIOS!$I$179:$I$199,[1]CRITERIOS!$J$179:$J$199),
IF(COUNTIF([1]CRITERIOS!$L$179:$L$199,$A155)&gt;=1,
_xlfn.CEILING.MATH(IF($M155&gt;$E155,
$E155,
IF($M155&lt;$E155/ROUNDDOWN([1]CRITERIOS!$M$16/_xlfn.XLOOKUP($C155,[1]CRITERIOS!$K$25:$K$42,[1]CRITERIOS!$M$25:$M$42),
1),
E155/ROUNDDOWN([1]CRITERIOS!$M$16/_xlfn.XLOOKUP($C155,[1]CRITERIOS!$K$25:$K$42,[1]CRITERIOS!$M$25:$M$42),
1),
$M155)),
_xlfn.XLOOKUP($A155,[1]CRITERIOS!$L$179:$L$200,[1]CRITERIOS!$M$179:$M$200)),
_xlfn.CEILING.MATH(IF($M155&gt;$E155,
$E155,
IF($M155&lt;$E155/ROUNDDOWN([1]CRITERIOS!$M$16/_xlfn.XLOOKUP($C155,[1]CRITERIOS!$K$25:$K$42,[1]CRITERIOS!$M$25:$M$42),
1),
E155/ROUNDDOWN([1]CRITERIOS!$M$16/_xlfn.XLOOKUP($C155,[1]CRITERIOS!$K$25:$K$42,[1]CRITERIOS!$M$25:$M$42),
1),
$M155)),_xlfn.XLOOKUP(A155,'[1]DATOS PBI Artículos'!A:A,'[1]DATOS PBI Artículos'!Z:Z
)))))</f>
        <v>31200</v>
      </c>
      <c r="Q155" s="38">
        <f>IF(AND(O155="",N155=0),
0,
   IF(COUNTIF([1]CRITERIOS!$F$179:$F$199,$A155)&gt;=1,
   1,
   IF(R155="MTO",
      $D155,
      ROUNDUP(
                    IF(($E155-SUMIF('[1]DATOS PBI Artículos'!A:A,A155,'[1]DATOS PBI Artículos'!X:X)+($V155-_xlfn.XLOOKUP(A155,'[1]DATOS PBI Artículos'!A:A,'[1]DATOS PBI Artículos'!W:W)))&lt;0,
                    0,
                    IF(($E155-SUMIF('[1]DATOS PBI Artículos'!A:A,A155,'[1]DATOS PBI Artículos'!X:X)+$V155-_xlfn.XLOOKUP($A155,'[1]DATOS PBI Artículos'!A:A,'[1]DATOS PBI Artículos'!W:W))/IF($O155="",$N155,$O155)&gt;ROUNDUP([1]CRITERIOS!$M$16/(IF(COUNTIF([1]CRITERIOS!$BG$11:$BG$201,L155)&gt;=1,_xlfn.XLOOKUP($C155,[1]CRITERIOS!$K$25:$K$42,[1]CRITERIOS!$M$25:$M$42),_xlfn.XLOOKUP($C155,[1]CRITERIOS!$K$25:$K$42,[1]CRITERIOS!$M$25:$M$42))),0),
                    ROUNDUP([1]CRITERIOS!$M$16/(IF(COUNTIF([1]CRITERIOS!$BG$11:$BG$201,$L155)&gt;=1,_xlfn.XLOOKUP($C155,[1]CRITERIOS!$K$25:$K$42,[1]CRITERIOS!$M$25:$M$42),_xlfn.XLOOKUP($C155,[1]CRITERIOS!$K$25:$K$42,[1]CRITERIOS!$M$25:$M$42))),0),
                    (E155+V155-SUMIF('[1]DATOS PBI Artículos'!A:A,A155,'[1]DATOS PBI Artículos'!X:X)-_xlfn.XLOOKUP(A155,'[1]DATOS PBI Artículos'!A:A,'[1]DATOS PBI Artículos'!W:W))/IF($O155="",$N155,$O155))),0))))</f>
        <v>2</v>
      </c>
      <c r="R155" s="33" t="str">
        <f>IF(U155&lt;&gt;"",U155,IF(F155="DV","MTO",IF(N155=0,"MTO",_xlfn.XLOOKUP(CONCATENATE(S155,T155),[1]CRITERIOS!$K$160:$K$168,[1]CRITERIOS!$N$160:$N$168))))</f>
        <v>MTS</v>
      </c>
      <c r="S155" s="33" t="str">
        <f>IF(G155="DV","MTO",IF(N155=0,"MTO",IF(OR(AND(N155=0,O155=""),IF(O155="",G155/N155,G155/O155)&gt;[1]CRITERIOS!$G$163),"MTO",IF(IF(O155="",G155/N155,G155/O155)&lt;[1]CRITERIOS!$H$161,"MTS","MTOS"))))</f>
        <v>MTS</v>
      </c>
      <c r="T155" s="33" t="str">
        <f>IF(F155="DV","MTO",IF(OR(AND($N155=0,O155=""),$F155/$J155&gt;[1]CRITERIOS!$G$170,$F155="DV"),"MTO",IF($F155/$J155&lt;[1]CRITERIOS!$H$168,"MTS","MTOS")))</f>
        <v>MTS</v>
      </c>
      <c r="V155" s="34">
        <f t="shared" si="10"/>
        <v>12301.564209736038</v>
      </c>
      <c r="X155" s="34">
        <f t="shared" si="8"/>
        <v>43501.56420973604</v>
      </c>
      <c r="Y155" s="34">
        <f t="shared" si="9"/>
        <v>18541.56420973604</v>
      </c>
      <c r="Z155" s="34">
        <f>IF($R155="MTO",
0,
($H155+$K155*($E155/[1]CRITERIOS!$M$16))/[1]CRITERIOS!$X$48)</f>
        <v>2941.5642097360378</v>
      </c>
      <c r="AA155" s="34" t="e">
        <f>ROUNDUP(($Y155/_xlfn.XLOOKUP($A155,'[1]DATOS PBI Artículos'!$A$4:$A$4,'[1]DATOS PBI Artículos'!$Z$4:$Z$4))/_xlfn.XLOOKUP(_xlfn.XLOOKUP($A155,'[1]DATOS PBI Artículos'!$A$4:$A$4,'[1]DATOS PBI Artículos'!$Y$4:$Y$4),[1]CRITERIOS!$P$79:$P$123,[1]CRITERIOS!$S$79:$S$123,),0)</f>
        <v>#N/A</v>
      </c>
      <c r="AB155" s="33" t="e">
        <f t="array" ref="AB155">IF((E155+V155-_xlfn.XLOOKUP(A155,'[1]DATOS PBI Artículos'!$A$4:$A$4,'[1]DATOS PBI Artículos'!$W$4:$W$4))/N155&gt;ROUNDUP([1]CRITERIOS!$M$16/(IF(COUNTIF([1]CRITERIOS!$BG$11:$BG$201,L155)&gt;=1,_xlfn.XLOOKUP(ARTÍCULOS!L155,[1]CRITERIOS!$BG$11:$BG$201,[1]CRITERIOS!$BJ$11:$BJ$201),_xlfn.XLOOKUP(ARTÍCULOS!C155,[1]CRITERIOS!$K$25:$K$42,[1]CRITERIOS!$M$25:$M$42))),0),ROUNDUP([1]CRITERIOS!$M$16/(IF(COUNTIF([1]CRITERIOS!$BG$11:$BG$201,L155)&gt;=1,_xlfn.XLOOKUP(ARTÍCULOS!L155,[1]CRITERIOS!$BG$11:$BG$201:#REF!,[1]CRITERIOS!$BJ$11:$BJ$201),_xlfn.XLOOKUP(ARTÍCULOS!C155,[1]CRITERIOS!$K$25:$K$42,[1]CRITERIOS!$M$25:$M$42))),0),(E155+V155-_xlfn.XLOOKUP(A155,'[1]DATOS PBI Artículos'!$A$4:$A$4,'[1]DATOS PBI Artículos'!$W$4:$W$4))/N155)</f>
        <v>#N/A</v>
      </c>
      <c r="AC155" s="33" t="e">
        <f>IF(N155=0,"",(ROUNDUP((N155/2)/(_xlfn.XLOOKUP(A155,'[1]DATOS PBI Artículos'!$A$4:$A$4,'[1]DATOS PBI Artículos'!$Z$4:$Z$4)*_xlfn.XLOOKUP(_xlfn.XLOOKUP(A155,'[1]DATOS PBI Artículos'!$A$4:$A$4,'[1]DATOS PBI Artículos'!$Y$4:$Y$4),[1]CRITERIOS!$P$79:$P$123,[1]CRITERIOS!$S$79:$S$123)),0)*[1]CRITERIOS!$M$80*([1]CRITERIOS!$M$110/[1]CRITERIOS!$M$86)+(_xlfn.XLOOKUP(A155,'[1]DATOS PBI Artículos'!$A$4:$A$4,'[1]DATOS PBI Artículos'!$AA$4:$AA$4)*([1]CRITERIOS!$M$95+[1]CRITERIOS!$M$98)))/N155)</f>
        <v>#N/A</v>
      </c>
      <c r="AD155" s="33" t="e">
        <f>IF(N155=0,"",(ROUNDUP((N155/2)/(_xlfn.XLOOKUP(A155,'[1]DATOS PBI Artículos'!$A$4:$A$4,'[1]DATOS PBI Artículos'!$Z$4:$Z$4)*_xlfn.XLOOKUP(_xlfn.XLOOKUP(A155,'[1]DATOS PBI Artículos'!$A$4:$A$4,'[1]DATOS PBI Artículos'!$Y$4:$Y$4),[1]CRITERIOS!$P$79:$P$123,[1]CRITERIOS!$S$79:$S$123)),0)*[1]CRITERIOS!$M$80*([1]CRITERIOS!$M$89*[1]CRITERIOS!$M$92)+((_xlfn.XLOOKUP(A155,'[1]DATOS PBI Artículos'!$A$4:$A$4,'[1]DATOS PBI Artículos'!$AA$4:$AA$4)/2)*([1]CRITERIOS!$M$95+[1]CRITERIOS!$M$98)))/N155)</f>
        <v>#N/A</v>
      </c>
      <c r="AE155" s="39">
        <f>IF($R155="MTO","",
IF($H155=0,ROUNDUP(((_xlfn.XLOOKUP($A155,'[1]DATOS PBI Artículos'!$A:$A,'[1]DATOS PBI Artículos'!$AL:$AL))/(_xlfn.XLOOKUP($AF$1,[1]CRITERIOS!$S$16:$S$39,[1]CRITERIOS!$Y$16:$Y$39))*$J155+$Z155)/$G155,0)*$G155,
((_xlfn.XLOOKUP($A155,'[1]DATOS PBI Artículos'!$A:$A,'[1]DATOS PBI Artículos'!$AL:$AL))/(_xlfn.XLOOKUP($AF$1,[1]CRITERIOS!$S$16:$S$39,[1]CRITERIOS!$Y$16:$Y$39))*$J155+$Z155)))</f>
        <v>15600</v>
      </c>
      <c r="AG155" s="39">
        <f>IF($R155="MTO","",
IF($H155=0,ROUNDUP(((_xlfn.XLOOKUP($A155,'[1]DATOS PBI Artículos'!$A:$A,'[1]DATOS PBI Artículos'!$AM:$AM))/(_xlfn.XLOOKUP($AH$1,[1]CRITERIOS!$S$16:$S$39,[1]CRITERIOS!$Y$16:$Y$39))*$J155+$Z155)/$G155,0)*$G155,
((_xlfn.XLOOKUP($A155,'[1]DATOS PBI Artículos'!$A:$A,'[1]DATOS PBI Artículos'!$AM:$AM))/(_xlfn.XLOOKUP($AH$1,[1]CRITERIOS!$S$16:$S$39,[1]CRITERIOS!$Y$16:$Y$39))*$J155+$Z155)))</f>
        <v>15600</v>
      </c>
      <c r="AI155" s="39">
        <f>IF($R155="MTO","",
IF($H155=0,ROUNDUP(((_xlfn.XLOOKUP($A155,'[1]DATOS PBI Artículos'!$A:$A,'[1]DATOS PBI Artículos'!$AN:$AN))/(_xlfn.XLOOKUP($AJ$1,[1]CRITERIOS!$S$16:$S$39,[1]CRITERIOS!$Y$16:$Y$39))*$J155+$Z155)/$G155,0)*$G155,
((_xlfn.XLOOKUP($A155,'[1]DATOS PBI Artículos'!$A:$A,'[1]DATOS PBI Artículos'!$AN:$AN))/(_xlfn.XLOOKUP($AJ$1,[1]CRITERIOS!$S$16:$S$39,[1]CRITERIOS!$Y$16:$Y$39))*$J155+$Z155)))</f>
        <v>15600</v>
      </c>
      <c r="AK155" s="39">
        <f>IF($R155="MTO","",
IF($H155=0,ROUNDUP(((_xlfn.XLOOKUP($A155,'[1]DATOS PBI Artículos'!$A:$A,'[1]DATOS PBI Artículos'!$AO:$AO))/(_xlfn.XLOOKUP($AL$1,[1]CRITERIOS!$S$16:$S$39,[1]CRITERIOS!$Y$16:$Y$39))*$J155+$Z155)/$G155,0)*$G155,
((_xlfn.XLOOKUP($A155,'[1]DATOS PBI Artículos'!$A:$A,'[1]DATOS PBI Artículos'!$AO:$AO))/(_xlfn.XLOOKUP($AL$1,[1]CRITERIOS!$S$16:$S$39,[1]CRITERIOS!$Y$16:$Y$39))*$J155+$Z155)))</f>
        <v>15600</v>
      </c>
    </row>
    <row r="156" spans="1:37" ht="25.8" x14ac:dyDescent="0.5">
      <c r="A156" s="32">
        <v>400213</v>
      </c>
      <c r="B156" s="33">
        <f>_xlfn.XLOOKUP($A156,'[1]DATOS PBI Artículos'!A:A,'[1]DATOS PBI Artículos'!B:B)</f>
        <v>0</v>
      </c>
      <c r="C156" s="33" t="str">
        <f>_xlfn.XLOOKUP($A156,'[1]DATOS PBI Artículos'!A:A,'[1]DATOS PBI Artículos'!C:C)</f>
        <v>UA03</v>
      </c>
      <c r="D156" s="33">
        <f>_xlfn.XLOOKUP(A156,'[1]DATOS PBI Artículos'!A:A,'[1]DATOS PBI Artículos'!T:T)</f>
        <v>1</v>
      </c>
      <c r="E156" s="34">
        <f>IF(_xlfn.XLOOKUP($A156,'[1]DATOS PBI Artículos'!A:A,'[1]DATOS PBI Artículos'!AK:AK)="",_xlfn.XLOOKUP($A156,'[1]DATOS PBI Artículos'!A:A,'[1]DATOS PBI Artículos'!AJ:AJ),_xlfn.XLOOKUP($A156,'[1]DATOS PBI Artículos'!A:A,'[1]DATOS PBI Artículos'!AK:AK))</f>
        <v>30240</v>
      </c>
      <c r="F156" s="35">
        <f>_xlfn.XLOOKUP($A156,'[1]DATOS PBI Artículos'!A:A,'[1]DATOS PBI Artículos'!AP:AP)</f>
        <v>75</v>
      </c>
      <c r="G156" s="34">
        <f>_xlfn.XLOOKUP($A156,'[1]DATOS PBI Artículos'!A:A,'[1]DATOS PBI Artículos'!AR:AR)</f>
        <v>30240</v>
      </c>
      <c r="H156" s="34">
        <f>_xlfn.XLOOKUP($A156,'[1]DATOS PBI Artículos'!A:A,'[1]DATOS PBI Artículos'!AT:AT)</f>
        <v>0</v>
      </c>
      <c r="I156" s="34">
        <f>_xlfn.XLOOKUP($A156,'[1]DATOS PBI Artículos'!A:A,'[1]DATOS PBI Artículos'!AS:AS)</f>
        <v>30240</v>
      </c>
      <c r="J156" s="35">
        <f>IF(COUNTIF([1]CRITERIOS!$F$179:$F$199,$A156)&gt;=1,
 IF(O156&lt;&gt;"",
    (O156/_xlfn.XLOOKUP(CONCATENATE(A156,L156),[1]MÁQUINAS!A:A,[1]MÁQUINAS!D:D))/24,
    (N156/_xlfn.XLOOKUP(CONCATENATE(A156,L156),[1]MÁQUINAS!A:A,[1]MÁQUINAS!D:D))/24),
  _xlfn.XLOOKUP($A156,'[1]DATOS PBI Artículos'!A:A,'[1]DATOS PBI Artículos'!AU:AU))</f>
        <v>12.428571428571429</v>
      </c>
      <c r="K156" s="36">
        <f>_xlfn.XLOOKUP($A156,'[1]DATOS PBI Artículos'!A:A,'[1]DATOS PBI Artículos'!AV:AV)</f>
        <v>0.5345224838248489</v>
      </c>
      <c r="L156" s="33">
        <f>_xlfn.XLOOKUP(A156,[1]MÁQUINAS!B:B,[1]MÁQUINAS!C:C)</f>
        <v>142</v>
      </c>
      <c r="M156" s="34">
        <f t="array" ref="M156">_xlfn.XLOOKUP(A156,'[1]DATOS PBI Artículos'!A:A,'[1]DATOS PBI Artículos'!AX:$AX)</f>
        <v>22656.716339286781</v>
      </c>
      <c r="N156" s="37">
        <f>IF(I156="DV",
E156,
IF(COUNTIF([1]CRITERIOS!$I$179:$I$199,$A156)&gt;=1,
_xlfn.XLOOKUP($A156,[1]CRITERIOS!$I$179:$I$199,[1]CRITERIOS!$J$179:$J$199),
IF(COUNTIF([1]CRITERIOS!$L$179:$L$199,$A156)&gt;=1,
_xlfn.CEILING.MATH(IF($M156&gt;$E156,
$E156,
IF($M156&lt;$E156/ROUNDDOWN([1]CRITERIOS!$M$16/_xlfn.XLOOKUP($C156,[1]CRITERIOS!$K$25:$K$42,[1]CRITERIOS!$M$25:$M$42),
1),
E156/ROUNDDOWN([1]CRITERIOS!$M$16/_xlfn.XLOOKUP($C156,[1]CRITERIOS!$K$25:$K$42,[1]CRITERIOS!$M$25:$M$42),
1),
$M156)),
_xlfn.XLOOKUP($A156,[1]CRITERIOS!$L$179:$L$200,[1]CRITERIOS!$M$179:$M$200)),
_xlfn.CEILING.MATH(IF($M156&gt;$E156,
$E156,
IF($M156&lt;$E156/ROUNDDOWN([1]CRITERIOS!$M$16/_xlfn.XLOOKUP($C156,[1]CRITERIOS!$K$25:$K$42,[1]CRITERIOS!$M$25:$M$42),
1),
E156/ROUNDDOWN([1]CRITERIOS!$M$16/_xlfn.XLOOKUP($C156,[1]CRITERIOS!$K$25:$K$42,[1]CRITERIOS!$M$25:$M$42),
1),
$M156)),_xlfn.XLOOKUP(A156,'[1]DATOS PBI Artículos'!A:A,'[1]DATOS PBI Artículos'!Z:Z
)))))</f>
        <v>25200</v>
      </c>
      <c r="Q156" s="38">
        <f>IF(AND(O156="",N156=0),
0,
   IF(COUNTIF([1]CRITERIOS!$F$179:$F$199,$A156)&gt;=1,
   1,
   IF(R156="MTO",
      $D156,
      ROUNDUP(
                    IF(($E156-SUMIF('[1]DATOS PBI Artículos'!A:A,A156,'[1]DATOS PBI Artículos'!X:X)+($V156-_xlfn.XLOOKUP(A156,'[1]DATOS PBI Artículos'!A:A,'[1]DATOS PBI Artículos'!W:W)))&lt;0,
                    0,
                    IF(($E156-SUMIF('[1]DATOS PBI Artículos'!A:A,A156,'[1]DATOS PBI Artículos'!X:X)+$V156-_xlfn.XLOOKUP($A156,'[1]DATOS PBI Artículos'!A:A,'[1]DATOS PBI Artículos'!W:W))/IF($O156="",$N156,$O156)&gt;ROUNDUP([1]CRITERIOS!$M$16/(IF(COUNTIF([1]CRITERIOS!$BG$11:$BG$201,L156)&gt;=1,_xlfn.XLOOKUP($C156,[1]CRITERIOS!$K$25:$K$42,[1]CRITERIOS!$M$25:$M$42),_xlfn.XLOOKUP($C156,[1]CRITERIOS!$K$25:$K$42,[1]CRITERIOS!$M$25:$M$42))),0),
                    ROUNDUP([1]CRITERIOS!$M$16/(IF(COUNTIF([1]CRITERIOS!$BG$11:$BG$201,$L156)&gt;=1,_xlfn.XLOOKUP($C156,[1]CRITERIOS!$K$25:$K$42,[1]CRITERIOS!$M$25:$M$42),_xlfn.XLOOKUP($C156,[1]CRITERIOS!$K$25:$K$42,[1]CRITERIOS!$M$25:$M$42))),0),
                    (E156+V156-SUMIF('[1]DATOS PBI Artículos'!A:A,A156,'[1]DATOS PBI Artículos'!X:X)-_xlfn.XLOOKUP(A156,'[1]DATOS PBI Artículos'!A:A,'[1]DATOS PBI Artículos'!W:W))/IF($O156="",$N156,$O156))),0))))</f>
        <v>1</v>
      </c>
      <c r="R156" s="33" t="str">
        <f>IF(U156&lt;&gt;"",U156,IF(F156="DV","MTO",IF(N156=0,"MTO",_xlfn.XLOOKUP(CONCATENATE(S156,T156),[1]CRITERIOS!$K$160:$K$168,[1]CRITERIOS!$N$160:$N$168))))</f>
        <v>MTO</v>
      </c>
      <c r="S156" s="33" t="str">
        <f>IF(G156="DV","MTO",IF(N156=0,"MTO",IF(OR(AND(N156=0,O156=""),IF(O156="",G156/N156,G156/O156)&gt;[1]CRITERIOS!$G$163),"MTO",IF(IF(O156="",G156/N156,G156/O156)&lt;[1]CRITERIOS!$H$161,"MTS","MTOS"))))</f>
        <v>MTO</v>
      </c>
      <c r="T156" s="33" t="str">
        <f>IF(F156="DV","MTO",IF(OR(AND($N156=0,O156=""),$F156/$J156&gt;[1]CRITERIOS!$G$170,$F156="DV"),"MTO",IF($F156/$J156&lt;[1]CRITERIOS!$H$168,"MTS","MTOS")))</f>
        <v>MTO</v>
      </c>
      <c r="V156" s="34" t="str">
        <f t="shared" si="10"/>
        <v/>
      </c>
      <c r="X156" s="34">
        <f t="shared" si="8"/>
        <v>0</v>
      </c>
      <c r="Y156" s="34">
        <f t="shared" si="9"/>
        <v>0</v>
      </c>
      <c r="Z156" s="34">
        <f>IF($R156="MTO",
0,
($H156+$K156*($E156/[1]CRITERIOS!$M$16))/[1]CRITERIOS!$X$48)</f>
        <v>0</v>
      </c>
      <c r="AA156" s="34" t="e">
        <f>ROUNDUP(($Y156/_xlfn.XLOOKUP($A156,'[1]DATOS PBI Artículos'!$A$4:$A$4,'[1]DATOS PBI Artículos'!$Z$4:$Z$4))/_xlfn.XLOOKUP(_xlfn.XLOOKUP($A156,'[1]DATOS PBI Artículos'!$A$4:$A$4,'[1]DATOS PBI Artículos'!$Y$4:$Y$4),[1]CRITERIOS!$P$79:$P$123,[1]CRITERIOS!$S$79:$S$123,),0)</f>
        <v>#N/A</v>
      </c>
      <c r="AB156" s="33" t="e">
        <f t="array" ref="AB156">IF((E156+V156-_xlfn.XLOOKUP(A156,'[1]DATOS PBI Artículos'!$A$4:$A$4,'[1]DATOS PBI Artículos'!$W$4:$W$4))/N156&gt;ROUNDUP([1]CRITERIOS!$M$16/(IF(COUNTIF([1]CRITERIOS!$BG$11:$BG$201,L156)&gt;=1,_xlfn.XLOOKUP(ARTÍCULOS!L156,[1]CRITERIOS!$BG$11:$BG$201,[1]CRITERIOS!$BJ$11:$BJ$201),_xlfn.XLOOKUP(ARTÍCULOS!C156,[1]CRITERIOS!$K$25:$K$42,[1]CRITERIOS!$M$25:$M$42))),0),ROUNDUP([1]CRITERIOS!$M$16/(IF(COUNTIF([1]CRITERIOS!$BG$11:$BG$201,L156)&gt;=1,_xlfn.XLOOKUP(ARTÍCULOS!L156,[1]CRITERIOS!$BG$11:$BG$201:#REF!,[1]CRITERIOS!$BJ$11:$BJ$201),_xlfn.XLOOKUP(ARTÍCULOS!C156,[1]CRITERIOS!$K$25:$K$42,[1]CRITERIOS!$M$25:$M$42))),0),(E156+V156-_xlfn.XLOOKUP(A156,'[1]DATOS PBI Artículos'!$A$4:$A$4,'[1]DATOS PBI Artículos'!$W$4:$W$4))/N156)</f>
        <v>#VALUE!</v>
      </c>
      <c r="AC156" s="33" t="e">
        <f>IF(N156=0,"",(ROUNDUP((N156/2)/(_xlfn.XLOOKUP(A156,'[1]DATOS PBI Artículos'!$A$4:$A$4,'[1]DATOS PBI Artículos'!$Z$4:$Z$4)*_xlfn.XLOOKUP(_xlfn.XLOOKUP(A156,'[1]DATOS PBI Artículos'!$A$4:$A$4,'[1]DATOS PBI Artículos'!$Y$4:$Y$4),[1]CRITERIOS!$P$79:$P$123,[1]CRITERIOS!$S$79:$S$123)),0)*[1]CRITERIOS!$M$80*([1]CRITERIOS!$M$110/[1]CRITERIOS!$M$86)+(_xlfn.XLOOKUP(A156,'[1]DATOS PBI Artículos'!$A$4:$A$4,'[1]DATOS PBI Artículos'!$AA$4:$AA$4)*([1]CRITERIOS!$M$95+[1]CRITERIOS!$M$98)))/N156)</f>
        <v>#N/A</v>
      </c>
      <c r="AD156" s="33" t="e">
        <f>IF(N156=0,"",(ROUNDUP((N156/2)/(_xlfn.XLOOKUP(A156,'[1]DATOS PBI Artículos'!$A$4:$A$4,'[1]DATOS PBI Artículos'!$Z$4:$Z$4)*_xlfn.XLOOKUP(_xlfn.XLOOKUP(A156,'[1]DATOS PBI Artículos'!$A$4:$A$4,'[1]DATOS PBI Artículos'!$Y$4:$Y$4),[1]CRITERIOS!$P$79:$P$123,[1]CRITERIOS!$S$79:$S$123)),0)*[1]CRITERIOS!$M$80*([1]CRITERIOS!$M$89*[1]CRITERIOS!$M$92)+((_xlfn.XLOOKUP(A156,'[1]DATOS PBI Artículos'!$A$4:$A$4,'[1]DATOS PBI Artículos'!$AA$4:$AA$4)/2)*([1]CRITERIOS!$M$95+[1]CRITERIOS!$M$98)))/N156)</f>
        <v>#N/A</v>
      </c>
      <c r="AE156" s="39" t="str">
        <f>IF($R156="MTO","",
IF($H156=0,ROUNDUP(((_xlfn.XLOOKUP($A156,'[1]DATOS PBI Artículos'!$A:$A,'[1]DATOS PBI Artículos'!$AL:$AL))/(_xlfn.XLOOKUP($AF$1,[1]CRITERIOS!$S$16:$S$39,[1]CRITERIOS!$Y$16:$Y$39))*$J156+$Z156)/$G156,0)*$G156,
((_xlfn.XLOOKUP($A156,'[1]DATOS PBI Artículos'!$A:$A,'[1]DATOS PBI Artículos'!$AL:$AL))/(_xlfn.XLOOKUP($AF$1,[1]CRITERIOS!$S$16:$S$39,[1]CRITERIOS!$Y$16:$Y$39))*$J156+$Z156)))</f>
        <v/>
      </c>
      <c r="AG156" s="39" t="str">
        <f>IF($R156="MTO","",
IF($H156=0,ROUNDUP(((_xlfn.XLOOKUP($A156,'[1]DATOS PBI Artículos'!$A:$A,'[1]DATOS PBI Artículos'!$AM:$AM))/(_xlfn.XLOOKUP($AH$1,[1]CRITERIOS!$S$16:$S$39,[1]CRITERIOS!$Y$16:$Y$39))*$J156+$Z156)/$G156,0)*$G156,
((_xlfn.XLOOKUP($A156,'[1]DATOS PBI Artículos'!$A:$A,'[1]DATOS PBI Artículos'!$AM:$AM))/(_xlfn.XLOOKUP($AH$1,[1]CRITERIOS!$S$16:$S$39,[1]CRITERIOS!$Y$16:$Y$39))*$J156+$Z156)))</f>
        <v/>
      </c>
      <c r="AI156" s="39" t="str">
        <f>IF($R156="MTO","",
IF($H156=0,ROUNDUP(((_xlfn.XLOOKUP($A156,'[1]DATOS PBI Artículos'!$A:$A,'[1]DATOS PBI Artículos'!$AN:$AN))/(_xlfn.XLOOKUP($AJ$1,[1]CRITERIOS!$S$16:$S$39,[1]CRITERIOS!$Y$16:$Y$39))*$J156+$Z156)/$G156,0)*$G156,
((_xlfn.XLOOKUP($A156,'[1]DATOS PBI Artículos'!$A:$A,'[1]DATOS PBI Artículos'!$AN:$AN))/(_xlfn.XLOOKUP($AJ$1,[1]CRITERIOS!$S$16:$S$39,[1]CRITERIOS!$Y$16:$Y$39))*$J156+$Z156)))</f>
        <v/>
      </c>
      <c r="AK156" s="39" t="str">
        <f>IF($R156="MTO","",
IF($H156=0,ROUNDUP(((_xlfn.XLOOKUP($A156,'[1]DATOS PBI Artículos'!$A:$A,'[1]DATOS PBI Artículos'!$AO:$AO))/(_xlfn.XLOOKUP($AL$1,[1]CRITERIOS!$S$16:$S$39,[1]CRITERIOS!$Y$16:$Y$39))*$J156+$Z156)/$G156,0)*$G156,
((_xlfn.XLOOKUP($A156,'[1]DATOS PBI Artículos'!$A:$A,'[1]DATOS PBI Artículos'!$AO:$AO))/(_xlfn.XLOOKUP($AL$1,[1]CRITERIOS!$S$16:$S$39,[1]CRITERIOS!$Y$16:$Y$39))*$J156+$Z156)))</f>
        <v/>
      </c>
    </row>
    <row r="157" spans="1:37" ht="25.8" x14ac:dyDescent="0.5">
      <c r="A157" s="32">
        <v>450636</v>
      </c>
      <c r="B157" s="33">
        <f>_xlfn.XLOOKUP($A157,'[1]DATOS PBI Artículos'!A:A,'[1]DATOS PBI Artículos'!B:B)</f>
        <v>0</v>
      </c>
      <c r="C157" s="33" t="str">
        <f>_xlfn.XLOOKUP($A157,'[1]DATOS PBI Artículos'!A:A,'[1]DATOS PBI Artículos'!C:C)</f>
        <v>UA03</v>
      </c>
      <c r="D157" s="33">
        <f>_xlfn.XLOOKUP(A157,'[1]DATOS PBI Artículos'!A:A,'[1]DATOS PBI Artículos'!T:T)</f>
        <v>3</v>
      </c>
      <c r="E157" s="34">
        <f>IF(_xlfn.XLOOKUP($A157,'[1]DATOS PBI Artículos'!A:A,'[1]DATOS PBI Artículos'!AK:AK)="",_xlfn.XLOOKUP($A157,'[1]DATOS PBI Artículos'!A:A,'[1]DATOS PBI Artículos'!AJ:AJ),_xlfn.XLOOKUP($A157,'[1]DATOS PBI Artículos'!A:A,'[1]DATOS PBI Artículos'!AK:AK))</f>
        <v>30000</v>
      </c>
      <c r="F157" s="35">
        <f>_xlfn.XLOOKUP($A157,'[1]DATOS PBI Artículos'!A:A,'[1]DATOS PBI Artículos'!AP:AP)</f>
        <v>4.5</v>
      </c>
      <c r="G157" s="34">
        <f>_xlfn.XLOOKUP($A157,'[1]DATOS PBI Artículos'!A:A,'[1]DATOS PBI Artículos'!AR:AR)</f>
        <v>10000</v>
      </c>
      <c r="H157" s="34">
        <f>_xlfn.XLOOKUP($A157,'[1]DATOS PBI Artículos'!A:A,'[1]DATOS PBI Artículos'!AT:AT)</f>
        <v>5000</v>
      </c>
      <c r="I157" s="34">
        <f>_xlfn.XLOOKUP($A157,'[1]DATOS PBI Artículos'!A:A,'[1]DATOS PBI Artículos'!AS:AS)</f>
        <v>5000</v>
      </c>
      <c r="J157" s="35">
        <f>IF(COUNTIF([1]CRITERIOS!$F$179:$F$199,$A157)&gt;=1,
 IF(O157&lt;&gt;"",
    (O157/_xlfn.XLOOKUP(CONCATENATE(A157,L157),[1]MÁQUINAS!A:A,[1]MÁQUINAS!D:D))/24,
    (N157/_xlfn.XLOOKUP(CONCATENATE(A157,L157),[1]MÁQUINAS!A:A,[1]MÁQUINAS!D:D))/24),
  _xlfn.XLOOKUP($A157,'[1]DATOS PBI Artículos'!A:A,'[1]DATOS PBI Artículos'!AU:AU))</f>
        <v>18</v>
      </c>
      <c r="K157" s="36">
        <f>_xlfn.XLOOKUP($A157,'[1]DATOS PBI Artículos'!A:A,'[1]DATOS PBI Artículos'!AV:AV)</f>
        <v>0</v>
      </c>
      <c r="L157" s="33">
        <f>_xlfn.XLOOKUP(A157,[1]MÁQUINAS!B:B,[1]MÁQUINAS!C:C)</f>
        <v>142</v>
      </c>
      <c r="M157" s="34">
        <f t="array" ref="M157">_xlfn.XLOOKUP(A157,'[1]DATOS PBI Artículos'!A:A,'[1]DATOS PBI Artículos'!AX:$AX)</f>
        <v>28022.060082849363</v>
      </c>
      <c r="N157" s="37">
        <f>IF(I157="DV",
E157,
IF(COUNTIF([1]CRITERIOS!$I$179:$I$199,$A157)&gt;=1,
_xlfn.XLOOKUP($A157,[1]CRITERIOS!$I$179:$I$199,[1]CRITERIOS!$J$179:$J$199),
IF(COUNTIF([1]CRITERIOS!$L$179:$L$199,$A157)&gt;=1,
_xlfn.CEILING.MATH(IF($M157&gt;$E157,
$E157,
IF($M157&lt;$E157/ROUNDDOWN([1]CRITERIOS!$M$16/_xlfn.XLOOKUP($C157,[1]CRITERIOS!$K$25:$K$42,[1]CRITERIOS!$M$25:$M$42),
1),
E157/ROUNDDOWN([1]CRITERIOS!$M$16/_xlfn.XLOOKUP($C157,[1]CRITERIOS!$K$25:$K$42,[1]CRITERIOS!$M$25:$M$42),
1),
$M157)),
_xlfn.XLOOKUP($A157,[1]CRITERIOS!$L$179:$L$200,[1]CRITERIOS!$M$179:$M$200)),
_xlfn.CEILING.MATH(IF($M157&gt;$E157,
$E157,
IF($M157&lt;$E157/ROUNDDOWN([1]CRITERIOS!$M$16/_xlfn.XLOOKUP($C157,[1]CRITERIOS!$K$25:$K$42,[1]CRITERIOS!$M$25:$M$42),
1),
E157/ROUNDDOWN([1]CRITERIOS!$M$16/_xlfn.XLOOKUP($C157,[1]CRITERIOS!$K$25:$K$42,[1]CRITERIOS!$M$25:$M$42),
1),
$M157)),_xlfn.XLOOKUP(A157,'[1]DATOS PBI Artículos'!A:A,'[1]DATOS PBI Artículos'!Z:Z
)))))</f>
        <v>30000</v>
      </c>
      <c r="Q157" s="38">
        <f>IF(AND(O157="",N157=0),
0,
   IF(COUNTIF([1]CRITERIOS!$F$179:$F$199,$A157)&gt;=1,
   1,
   IF(R157="MTO",
      $D157,
      ROUNDUP(
                    IF(($E157-SUMIF('[1]DATOS PBI Artículos'!A:A,A157,'[1]DATOS PBI Artículos'!X:X)+($V157-_xlfn.XLOOKUP(A157,'[1]DATOS PBI Artículos'!A:A,'[1]DATOS PBI Artículos'!W:W)))&lt;0,
                    0,
                    IF(($E157-SUMIF('[1]DATOS PBI Artículos'!A:A,A157,'[1]DATOS PBI Artículos'!X:X)+$V157-_xlfn.XLOOKUP($A157,'[1]DATOS PBI Artículos'!A:A,'[1]DATOS PBI Artículos'!W:W))/IF($O157="",$N157,$O157)&gt;ROUNDUP([1]CRITERIOS!$M$16/(IF(COUNTIF([1]CRITERIOS!$BG$11:$BG$201,L157)&gt;=1,_xlfn.XLOOKUP($C157,[1]CRITERIOS!$K$25:$K$42,[1]CRITERIOS!$M$25:$M$42),_xlfn.XLOOKUP($C157,[1]CRITERIOS!$K$25:$K$42,[1]CRITERIOS!$M$25:$M$42))),0),
                    ROUNDUP([1]CRITERIOS!$M$16/(IF(COUNTIF([1]CRITERIOS!$BG$11:$BG$201,$L157)&gt;=1,_xlfn.XLOOKUP($C157,[1]CRITERIOS!$K$25:$K$42,[1]CRITERIOS!$M$25:$M$42),_xlfn.XLOOKUP($C157,[1]CRITERIOS!$K$25:$K$42,[1]CRITERIOS!$M$25:$M$42))),0),
                    (E157+V157-SUMIF('[1]DATOS PBI Artículos'!A:A,A157,'[1]DATOS PBI Artículos'!X:X)-_xlfn.XLOOKUP(A157,'[1]DATOS PBI Artículos'!A:A,'[1]DATOS PBI Artículos'!W:W))/IF($O157="",$N157,$O157))),0))))</f>
        <v>2</v>
      </c>
      <c r="R157" s="33" t="str">
        <f>IF(U157&lt;&gt;"",U157,IF(F157="DV","MTO",IF(N157=0,"MTO",_xlfn.XLOOKUP(CONCATENATE(S157,T157),[1]CRITERIOS!$K$160:$K$168,[1]CRITERIOS!$N$160:$N$168))))</f>
        <v>MTS</v>
      </c>
      <c r="S157" s="33" t="str">
        <f>IF(G157="DV","MTO",IF(N157=0,"MTO",IF(OR(AND(N157=0,O157=""),IF(O157="",G157/N157,G157/O157)&gt;[1]CRITERIOS!$G$163),"MTO",IF(IF(O157="",G157/N157,G157/O157)&lt;[1]CRITERIOS!$H$161,"MTS","MTOS"))))</f>
        <v>MTS</v>
      </c>
      <c r="T157" s="33" t="str">
        <f>IF(F157="DV","MTO",IF(OR(AND($N157=0,O157=""),$F157/$J157&gt;[1]CRITERIOS!$G$170,$F157="DV"),"MTO",IF($F157/$J157&lt;[1]CRITERIOS!$H$168,"MTS","MTOS")))</f>
        <v>MTS</v>
      </c>
      <c r="V157" s="34">
        <f t="shared" si="10"/>
        <v>44166.666666666664</v>
      </c>
      <c r="X157" s="34">
        <f t="shared" si="8"/>
        <v>74166.666666666657</v>
      </c>
      <c r="Y157" s="34">
        <f t="shared" si="9"/>
        <v>19166.666666666668</v>
      </c>
      <c r="Z157" s="34">
        <f>IF($R157="MTO",
0,
($H157+$K157*($E157/[1]CRITERIOS!$M$16))/[1]CRITERIOS!$X$48)</f>
        <v>4166.666666666667</v>
      </c>
      <c r="AA157" s="34" t="e">
        <f>ROUNDUP(($Y157/_xlfn.XLOOKUP($A157,'[1]DATOS PBI Artículos'!$A$4:$A$4,'[1]DATOS PBI Artículos'!$Z$4:$Z$4))/_xlfn.XLOOKUP(_xlfn.XLOOKUP($A157,'[1]DATOS PBI Artículos'!$A$4:$A$4,'[1]DATOS PBI Artículos'!$Y$4:$Y$4),[1]CRITERIOS!$P$79:$P$123,[1]CRITERIOS!$S$79:$S$123,),0)</f>
        <v>#N/A</v>
      </c>
      <c r="AB157" s="33" t="e">
        <f t="array" ref="AB157">IF((E157+V157-_xlfn.XLOOKUP(A157,'[1]DATOS PBI Artículos'!$A$4:$A$4,'[1]DATOS PBI Artículos'!$W$4:$W$4))/N157&gt;ROUNDUP([1]CRITERIOS!$M$16/(IF(COUNTIF([1]CRITERIOS!$BG$11:$BG$201,L157)&gt;=1,_xlfn.XLOOKUP(ARTÍCULOS!L157,[1]CRITERIOS!$BG$11:$BG$201,[1]CRITERIOS!$BJ$11:$BJ$201),_xlfn.XLOOKUP(ARTÍCULOS!C157,[1]CRITERIOS!$K$25:$K$42,[1]CRITERIOS!$M$25:$M$42))),0),ROUNDUP([1]CRITERIOS!$M$16/(IF(COUNTIF([1]CRITERIOS!$BG$11:$BG$201,L157)&gt;=1,_xlfn.XLOOKUP(ARTÍCULOS!L157,[1]CRITERIOS!$BG$11:$BG$201:#REF!,[1]CRITERIOS!$BJ$11:$BJ$201),_xlfn.XLOOKUP(ARTÍCULOS!C157,[1]CRITERIOS!$K$25:$K$42,[1]CRITERIOS!$M$25:$M$42))),0),(E157+V157-_xlfn.XLOOKUP(A157,'[1]DATOS PBI Artículos'!$A$4:$A$4,'[1]DATOS PBI Artículos'!$W$4:$W$4))/N157)</f>
        <v>#N/A</v>
      </c>
      <c r="AC157" s="33" t="e">
        <f>IF(N157=0,"",(ROUNDUP((N157/2)/(_xlfn.XLOOKUP(A157,'[1]DATOS PBI Artículos'!$A$4:$A$4,'[1]DATOS PBI Artículos'!$Z$4:$Z$4)*_xlfn.XLOOKUP(_xlfn.XLOOKUP(A157,'[1]DATOS PBI Artículos'!$A$4:$A$4,'[1]DATOS PBI Artículos'!$Y$4:$Y$4),[1]CRITERIOS!$P$79:$P$123,[1]CRITERIOS!$S$79:$S$123)),0)*[1]CRITERIOS!$M$80*([1]CRITERIOS!$M$110/[1]CRITERIOS!$M$86)+(_xlfn.XLOOKUP(A157,'[1]DATOS PBI Artículos'!$A$4:$A$4,'[1]DATOS PBI Artículos'!$AA$4:$AA$4)*([1]CRITERIOS!$M$95+[1]CRITERIOS!$M$98)))/N157)</f>
        <v>#N/A</v>
      </c>
      <c r="AD157" s="33" t="e">
        <f>IF(N157=0,"",(ROUNDUP((N157/2)/(_xlfn.XLOOKUP(A157,'[1]DATOS PBI Artículos'!$A$4:$A$4,'[1]DATOS PBI Artículos'!$Z$4:$Z$4)*_xlfn.XLOOKUP(_xlfn.XLOOKUP(A157,'[1]DATOS PBI Artículos'!$A$4:$A$4,'[1]DATOS PBI Artículos'!$Y$4:$Y$4),[1]CRITERIOS!$P$79:$P$123,[1]CRITERIOS!$S$79:$S$123)),0)*[1]CRITERIOS!$M$80*([1]CRITERIOS!$M$89*[1]CRITERIOS!$M$92)+((_xlfn.XLOOKUP(A157,'[1]DATOS PBI Artículos'!$A$4:$A$4,'[1]DATOS PBI Artículos'!$AA$4:$AA$4)/2)*([1]CRITERIOS!$M$95+[1]CRITERIOS!$M$98)))/N157)</f>
        <v>#N/A</v>
      </c>
      <c r="AE157" s="39">
        <f>IF($R157="MTO","",
IF($H157=0,ROUNDUP(((_xlfn.XLOOKUP($A157,'[1]DATOS PBI Artículos'!$A:$A,'[1]DATOS PBI Artículos'!$AL:$AL))/(_xlfn.XLOOKUP($AF$1,[1]CRITERIOS!$S$16:$S$39,[1]CRITERIOS!$Y$16:$Y$39))*$J157+$Z157)/$G157,0)*$G157,
((_xlfn.XLOOKUP($A157,'[1]DATOS PBI Artículos'!$A:$A,'[1]DATOS PBI Artículos'!$AL:$AL))/(_xlfn.XLOOKUP($AF$1,[1]CRITERIOS!$S$16:$S$39,[1]CRITERIOS!$Y$16:$Y$39))*$J157+$Z157)))</f>
        <v>13326.685168916669</v>
      </c>
      <c r="AG157" s="39">
        <f>IF($R157="MTO","",
IF($H157=0,ROUNDUP(((_xlfn.XLOOKUP($A157,'[1]DATOS PBI Artículos'!$A:$A,'[1]DATOS PBI Artículos'!$AM:$AM))/(_xlfn.XLOOKUP($AH$1,[1]CRITERIOS!$S$16:$S$39,[1]CRITERIOS!$Y$16:$Y$39))*$J157+$Z157)/$G157,0)*$G157,
((_xlfn.XLOOKUP($A157,'[1]DATOS PBI Artículos'!$A:$A,'[1]DATOS PBI Artículos'!$AM:$AM))/(_xlfn.XLOOKUP($AH$1,[1]CRITERIOS!$S$16:$S$39,[1]CRITERIOS!$Y$16:$Y$39))*$J157+$Z157)))</f>
        <v>10746.486451427536</v>
      </c>
      <c r="AI157" s="39">
        <f>IF($R157="MTO","",
IF($H157=0,ROUNDUP(((_xlfn.XLOOKUP($A157,'[1]DATOS PBI Artículos'!$A:$A,'[1]DATOS PBI Artículos'!$AN:$AN))/(_xlfn.XLOOKUP($AJ$1,[1]CRITERIOS!$S$16:$S$39,[1]CRITERIOS!$Y$16:$Y$39))*$J157+$Z157)/$G157,0)*$G157,
((_xlfn.XLOOKUP($A157,'[1]DATOS PBI Artículos'!$A:$A,'[1]DATOS PBI Artículos'!$AN:$AN))/(_xlfn.XLOOKUP($AJ$1,[1]CRITERIOS!$S$16:$S$39,[1]CRITERIOS!$Y$16:$Y$39))*$J157+$Z157)))</f>
        <v>12047.640453341668</v>
      </c>
      <c r="AK157" s="39">
        <f>IF($R157="MTO","",
IF($H157=0,ROUNDUP(((_xlfn.XLOOKUP($A157,'[1]DATOS PBI Artículos'!$A:$A,'[1]DATOS PBI Artículos'!$AO:$AO))/(_xlfn.XLOOKUP($AL$1,[1]CRITERIOS!$S$16:$S$39,[1]CRITERIOS!$Y$16:$Y$39))*$J157+$Z157)/$G157,0)*$G157,
((_xlfn.XLOOKUP($A157,'[1]DATOS PBI Artículos'!$A:$A,'[1]DATOS PBI Artículos'!$AO:$AO))/(_xlfn.XLOOKUP($AL$1,[1]CRITERIOS!$S$16:$S$39,[1]CRITERIOS!$Y$16:$Y$39))*$J157+$Z157)))</f>
        <v>12749.833536416667</v>
      </c>
    </row>
    <row r="158" spans="1:37" ht="25.8" x14ac:dyDescent="0.5">
      <c r="A158" s="32" t="s">
        <v>86</v>
      </c>
      <c r="B158" s="33">
        <f>_xlfn.XLOOKUP($A158,'[1]DATOS PBI Artículos'!A:A,'[1]DATOS PBI Artículos'!B:B)</f>
        <v>0</v>
      </c>
      <c r="C158" s="33" t="str">
        <f>_xlfn.XLOOKUP($A158,'[1]DATOS PBI Artículos'!A:A,'[1]DATOS PBI Artículos'!C:C)</f>
        <v>UA02</v>
      </c>
      <c r="D158" s="33">
        <f>_xlfn.XLOOKUP(A158,'[1]DATOS PBI Artículos'!A:A,'[1]DATOS PBI Artículos'!T:T)</f>
        <v>1</v>
      </c>
      <c r="E158" s="34">
        <f>IF(_xlfn.XLOOKUP($A158,'[1]DATOS PBI Artículos'!A:A,'[1]DATOS PBI Artículos'!AK:AK)="",_xlfn.XLOOKUP($A158,'[1]DATOS PBI Artículos'!A:A,'[1]DATOS PBI Artículos'!AJ:AJ),_xlfn.XLOOKUP($A158,'[1]DATOS PBI Artículos'!A:A,'[1]DATOS PBI Artículos'!AK:AK))</f>
        <v>30000</v>
      </c>
      <c r="F158" s="35">
        <f>_xlfn.XLOOKUP($A158,'[1]DATOS PBI Artículos'!A:A,'[1]DATOS PBI Artículos'!AP:AP)</f>
        <v>75</v>
      </c>
      <c r="G158" s="34">
        <f>_xlfn.XLOOKUP($A158,'[1]DATOS PBI Artículos'!A:A,'[1]DATOS PBI Artículos'!AR:AR)</f>
        <v>30000</v>
      </c>
      <c r="H158" s="34">
        <f>_xlfn.XLOOKUP($A158,'[1]DATOS PBI Artículos'!A:A,'[1]DATOS PBI Artículos'!AT:AT)</f>
        <v>0</v>
      </c>
      <c r="I158" s="34">
        <f>_xlfn.XLOOKUP($A158,'[1]DATOS PBI Artículos'!A:A,'[1]DATOS PBI Artículos'!AS:AS)</f>
        <v>30000</v>
      </c>
      <c r="J158" s="35">
        <f>IF(COUNTIF([1]CRITERIOS!$F$179:$F$199,$A158)&gt;=1,
 IF(O158&lt;&gt;"",
    (O158/_xlfn.XLOOKUP(CONCATENATE(A158,L158),[1]MÁQUINAS!A:A,[1]MÁQUINAS!D:D))/24,
    (N158/_xlfn.XLOOKUP(CONCATENATE(A158,L158),[1]MÁQUINAS!A:A,[1]MÁQUINAS!D:D))/24),
  _xlfn.XLOOKUP($A158,'[1]DATOS PBI Artículos'!A:A,'[1]DATOS PBI Artículos'!AU:AU))</f>
        <v>18</v>
      </c>
      <c r="K158" s="36">
        <f>_xlfn.XLOOKUP($A158,'[1]DATOS PBI Artículos'!A:A,'[1]DATOS PBI Artículos'!AV:AV)</f>
        <v>4.0824829046386304</v>
      </c>
      <c r="L158" s="33">
        <f>_xlfn.XLOOKUP(A158,[1]MÁQUINAS!B:B,[1]MÁQUINAS!C:C)</f>
        <v>207</v>
      </c>
      <c r="M158" s="34">
        <f t="array" ref="M158">_xlfn.XLOOKUP(A158,'[1]DATOS PBI Artículos'!A:A,'[1]DATOS PBI Artículos'!AX:$AX)</f>
        <v>28697.918762279307</v>
      </c>
      <c r="N158" s="37">
        <f>IF(I158="DV",
E158,
IF(COUNTIF([1]CRITERIOS!$I$179:$I$199,$A158)&gt;=1,
_xlfn.XLOOKUP($A158,[1]CRITERIOS!$I$179:$I$199,[1]CRITERIOS!$J$179:$J$199),
IF(COUNTIF([1]CRITERIOS!$L$179:$L$199,$A158)&gt;=1,
_xlfn.CEILING.MATH(IF($M158&gt;$E158,
$E158,
IF($M158&lt;$E158/ROUNDDOWN([1]CRITERIOS!$M$16/_xlfn.XLOOKUP($C158,[1]CRITERIOS!$K$25:$K$42,[1]CRITERIOS!$M$25:$M$42),
1),
E158/ROUNDDOWN([1]CRITERIOS!$M$16/_xlfn.XLOOKUP($C158,[1]CRITERIOS!$K$25:$K$42,[1]CRITERIOS!$M$25:$M$42),
1),
$M158)),
_xlfn.XLOOKUP($A158,[1]CRITERIOS!$L$179:$L$200,[1]CRITERIOS!$M$179:$M$200)),
_xlfn.CEILING.MATH(IF($M158&gt;$E158,
$E158,
IF($M158&lt;$E158/ROUNDDOWN([1]CRITERIOS!$M$16/_xlfn.XLOOKUP($C158,[1]CRITERIOS!$K$25:$K$42,[1]CRITERIOS!$M$25:$M$42),
1),
E158/ROUNDDOWN([1]CRITERIOS!$M$16/_xlfn.XLOOKUP($C158,[1]CRITERIOS!$K$25:$K$42,[1]CRITERIOS!$M$25:$M$42),
1),
$M158)),_xlfn.XLOOKUP(A158,'[1]DATOS PBI Artículos'!A:A,'[1]DATOS PBI Artículos'!Z:Z
)))))</f>
        <v>30000</v>
      </c>
      <c r="Q158" s="38">
        <f>IF(AND(O158="",N158=0),
0,
   IF(COUNTIF([1]CRITERIOS!$F$179:$F$199,$A158)&gt;=1,
   1,
   IF(R158="MTO",
      $D158,
      ROUNDUP(
                    IF(($E158-SUMIF('[1]DATOS PBI Artículos'!A:A,A158,'[1]DATOS PBI Artículos'!X:X)+($V158-_xlfn.XLOOKUP(A158,'[1]DATOS PBI Artículos'!A:A,'[1]DATOS PBI Artículos'!W:W)))&lt;0,
                    0,
                    IF(($E158-SUMIF('[1]DATOS PBI Artículos'!A:A,A158,'[1]DATOS PBI Artículos'!X:X)+$V158-_xlfn.XLOOKUP($A158,'[1]DATOS PBI Artículos'!A:A,'[1]DATOS PBI Artículos'!W:W))/IF($O158="",$N158,$O158)&gt;ROUNDUP([1]CRITERIOS!$M$16/(IF(COUNTIF([1]CRITERIOS!$BG$11:$BG$201,L158)&gt;=1,_xlfn.XLOOKUP($C158,[1]CRITERIOS!$K$25:$K$42,[1]CRITERIOS!$M$25:$M$42),_xlfn.XLOOKUP($C158,[1]CRITERIOS!$K$25:$K$42,[1]CRITERIOS!$M$25:$M$42))),0),
                    ROUNDUP([1]CRITERIOS!$M$16/(IF(COUNTIF([1]CRITERIOS!$BG$11:$BG$201,$L158)&gt;=1,_xlfn.XLOOKUP($C158,[1]CRITERIOS!$K$25:$K$42,[1]CRITERIOS!$M$25:$M$42),_xlfn.XLOOKUP($C158,[1]CRITERIOS!$K$25:$K$42,[1]CRITERIOS!$M$25:$M$42))),0),
                    (E158+V158-SUMIF('[1]DATOS PBI Artículos'!A:A,A158,'[1]DATOS PBI Artículos'!X:X)-_xlfn.XLOOKUP(A158,'[1]DATOS PBI Artículos'!A:A,'[1]DATOS PBI Artículos'!W:W))/IF($O158="",$N158,$O158))),0))))</f>
        <v>1</v>
      </c>
      <c r="R158" s="33" t="str">
        <f>IF(U158&lt;&gt;"",U158,IF(F158="DV","MTO",IF(N158=0,"MTO",_xlfn.XLOOKUP(CONCATENATE(S158,T158),[1]CRITERIOS!$K$160:$K$168,[1]CRITERIOS!$N$160:$N$168))))</f>
        <v>MTO</v>
      </c>
      <c r="S158" s="33" t="str">
        <f>IF(G158="DV","MTO",IF(N158=0,"MTO",IF(OR(AND(N158=0,O158=""),IF(O158="",G158/N158,G158/O158)&gt;[1]CRITERIOS!$G$163),"MTO",IF(IF(O158="",G158/N158,G158/O158)&lt;[1]CRITERIOS!$H$161,"MTS","MTOS"))))</f>
        <v>MTO</v>
      </c>
      <c r="T158" s="33" t="str">
        <f>IF(F158="DV","MTO",IF(OR(AND($N158=0,O158=""),$F158/$J158&gt;[1]CRITERIOS!$G$170,$F158="DV"),"MTO",IF($F158/$J158&lt;[1]CRITERIOS!$H$168,"MTS","MTOS")))</f>
        <v>MTO</v>
      </c>
      <c r="V158" s="34" t="str">
        <f t="shared" si="10"/>
        <v/>
      </c>
      <c r="X158" s="34">
        <f t="shared" si="8"/>
        <v>0</v>
      </c>
      <c r="Y158" s="34">
        <f t="shared" si="9"/>
        <v>0</v>
      </c>
      <c r="Z158" s="34">
        <f>IF($R158="MTO",
0,
($H158+$K158*($E158/[1]CRITERIOS!$M$16))/[1]CRITERIOS!$X$48)</f>
        <v>0</v>
      </c>
      <c r="AA158" s="34" t="e">
        <f>ROUNDUP(($Y158/_xlfn.XLOOKUP($A158,'[1]DATOS PBI Artículos'!$A$4:$A$4,'[1]DATOS PBI Artículos'!$Z$4:$Z$4))/_xlfn.XLOOKUP(_xlfn.XLOOKUP($A158,'[1]DATOS PBI Artículos'!$A$4:$A$4,'[1]DATOS PBI Artículos'!$Y$4:$Y$4),[1]CRITERIOS!$P$79:$P$123,[1]CRITERIOS!$S$79:$S$123,),0)</f>
        <v>#N/A</v>
      </c>
      <c r="AB158" s="33" t="e">
        <f t="array" ref="AB158">IF((E158+V158-_xlfn.XLOOKUP(A158,'[1]DATOS PBI Artículos'!$A$4:$A$4,'[1]DATOS PBI Artículos'!$W$4:$W$4))/N158&gt;ROUNDUP([1]CRITERIOS!$M$16/(IF(COUNTIF([1]CRITERIOS!$BG$11:$BG$201,L158)&gt;=1,_xlfn.XLOOKUP(ARTÍCULOS!L158,[1]CRITERIOS!$BG$11:$BG$201,[1]CRITERIOS!$BJ$11:$BJ$201),_xlfn.XLOOKUP(ARTÍCULOS!C158,[1]CRITERIOS!$K$25:$K$42,[1]CRITERIOS!$M$25:$M$42))),0),ROUNDUP([1]CRITERIOS!$M$16/(IF(COUNTIF([1]CRITERIOS!$BG$11:$BG$201,L158)&gt;=1,_xlfn.XLOOKUP(ARTÍCULOS!L158,[1]CRITERIOS!$BG$11:$BG$201:#REF!,[1]CRITERIOS!$BJ$11:$BJ$201),_xlfn.XLOOKUP(ARTÍCULOS!C158,[1]CRITERIOS!$K$25:$K$42,[1]CRITERIOS!$M$25:$M$42))),0),(E158+V158-_xlfn.XLOOKUP(A158,'[1]DATOS PBI Artículos'!$A$4:$A$4,'[1]DATOS PBI Artículos'!$W$4:$W$4))/N158)</f>
        <v>#VALUE!</v>
      </c>
      <c r="AC158" s="33" t="e">
        <f>IF(N158=0,"",(ROUNDUP((N158/2)/(_xlfn.XLOOKUP(A158,'[1]DATOS PBI Artículos'!$A$4:$A$4,'[1]DATOS PBI Artículos'!$Z$4:$Z$4)*_xlfn.XLOOKUP(_xlfn.XLOOKUP(A158,'[1]DATOS PBI Artículos'!$A$4:$A$4,'[1]DATOS PBI Artículos'!$Y$4:$Y$4),[1]CRITERIOS!$P$79:$P$123,[1]CRITERIOS!$S$79:$S$123)),0)*[1]CRITERIOS!$M$80*([1]CRITERIOS!$M$110/[1]CRITERIOS!$M$86)+(_xlfn.XLOOKUP(A158,'[1]DATOS PBI Artículos'!$A$4:$A$4,'[1]DATOS PBI Artículos'!$AA$4:$AA$4)*([1]CRITERIOS!$M$95+[1]CRITERIOS!$M$98)))/N158)</f>
        <v>#N/A</v>
      </c>
      <c r="AD158" s="33" t="e">
        <f>IF(N158=0,"",(ROUNDUP((N158/2)/(_xlfn.XLOOKUP(A158,'[1]DATOS PBI Artículos'!$A$4:$A$4,'[1]DATOS PBI Artículos'!$Z$4:$Z$4)*_xlfn.XLOOKUP(_xlfn.XLOOKUP(A158,'[1]DATOS PBI Artículos'!$A$4:$A$4,'[1]DATOS PBI Artículos'!$Y$4:$Y$4),[1]CRITERIOS!$P$79:$P$123,[1]CRITERIOS!$S$79:$S$123)),0)*[1]CRITERIOS!$M$80*([1]CRITERIOS!$M$89*[1]CRITERIOS!$M$92)+((_xlfn.XLOOKUP(A158,'[1]DATOS PBI Artículos'!$A$4:$A$4,'[1]DATOS PBI Artículos'!$AA$4:$AA$4)/2)*([1]CRITERIOS!$M$95+[1]CRITERIOS!$M$98)))/N158)</f>
        <v>#N/A</v>
      </c>
      <c r="AE158" s="39" t="str">
        <f>IF($R158="MTO","",
IF($H158=0,ROUNDUP(((_xlfn.XLOOKUP($A158,'[1]DATOS PBI Artículos'!$A:$A,'[1]DATOS PBI Artículos'!$AL:$AL))/(_xlfn.XLOOKUP($AF$1,[1]CRITERIOS!$S$16:$S$39,[1]CRITERIOS!$Y$16:$Y$39))*$J158+$Z158)/$G158,0)*$G158,
((_xlfn.XLOOKUP($A158,'[1]DATOS PBI Artículos'!$A:$A,'[1]DATOS PBI Artículos'!$AL:$AL))/(_xlfn.XLOOKUP($AF$1,[1]CRITERIOS!$S$16:$S$39,[1]CRITERIOS!$Y$16:$Y$39))*$J158+$Z158)))</f>
        <v/>
      </c>
      <c r="AG158" s="39" t="str">
        <f>IF($R158="MTO","",
IF($H158=0,ROUNDUP(((_xlfn.XLOOKUP($A158,'[1]DATOS PBI Artículos'!$A:$A,'[1]DATOS PBI Artículos'!$AM:$AM))/(_xlfn.XLOOKUP($AH$1,[1]CRITERIOS!$S$16:$S$39,[1]CRITERIOS!$Y$16:$Y$39))*$J158+$Z158)/$G158,0)*$G158,
((_xlfn.XLOOKUP($A158,'[1]DATOS PBI Artículos'!$A:$A,'[1]DATOS PBI Artículos'!$AM:$AM))/(_xlfn.XLOOKUP($AH$1,[1]CRITERIOS!$S$16:$S$39,[1]CRITERIOS!$Y$16:$Y$39))*$J158+$Z158)))</f>
        <v/>
      </c>
      <c r="AI158" s="39" t="str">
        <f>IF($R158="MTO","",
IF($H158=0,ROUNDUP(((_xlfn.XLOOKUP($A158,'[1]DATOS PBI Artículos'!$A:$A,'[1]DATOS PBI Artículos'!$AN:$AN))/(_xlfn.XLOOKUP($AJ$1,[1]CRITERIOS!$S$16:$S$39,[1]CRITERIOS!$Y$16:$Y$39))*$J158+$Z158)/$G158,0)*$G158,
((_xlfn.XLOOKUP($A158,'[1]DATOS PBI Artículos'!$A:$A,'[1]DATOS PBI Artículos'!$AN:$AN))/(_xlfn.XLOOKUP($AJ$1,[1]CRITERIOS!$S$16:$S$39,[1]CRITERIOS!$Y$16:$Y$39))*$J158+$Z158)))</f>
        <v/>
      </c>
      <c r="AK158" s="39" t="str">
        <f>IF($R158="MTO","",
IF($H158=0,ROUNDUP(((_xlfn.XLOOKUP($A158,'[1]DATOS PBI Artículos'!$A:$A,'[1]DATOS PBI Artículos'!$AO:$AO))/(_xlfn.XLOOKUP($AL$1,[1]CRITERIOS!$S$16:$S$39,[1]CRITERIOS!$Y$16:$Y$39))*$J158+$Z158)/$G158,0)*$G158,
((_xlfn.XLOOKUP($A158,'[1]DATOS PBI Artículos'!$A:$A,'[1]DATOS PBI Artículos'!$AO:$AO))/(_xlfn.XLOOKUP($AL$1,[1]CRITERIOS!$S$16:$S$39,[1]CRITERIOS!$Y$16:$Y$39))*$J158+$Z158)))</f>
        <v/>
      </c>
    </row>
    <row r="159" spans="1:37" ht="25.8" x14ac:dyDescent="0.5">
      <c r="A159" s="32">
        <v>421686</v>
      </c>
      <c r="B159" s="33">
        <f>_xlfn.XLOOKUP($A159,'[1]DATOS PBI Artículos'!A:A,'[1]DATOS PBI Artículos'!B:B)</f>
        <v>0</v>
      </c>
      <c r="C159" s="33" t="str">
        <f>_xlfn.XLOOKUP($A159,'[1]DATOS PBI Artículos'!A:A,'[1]DATOS PBI Artículos'!C:C)</f>
        <v>UA01</v>
      </c>
      <c r="D159" s="33">
        <f>_xlfn.XLOOKUP(A159,'[1]DATOS PBI Artículos'!A:A,'[1]DATOS PBI Artículos'!T:T)</f>
        <v>1</v>
      </c>
      <c r="E159" s="34">
        <f>IF(_xlfn.XLOOKUP($A159,'[1]DATOS PBI Artículos'!A:A,'[1]DATOS PBI Artículos'!AK:AK)="",_xlfn.XLOOKUP($A159,'[1]DATOS PBI Artículos'!A:A,'[1]DATOS PBI Artículos'!AJ:AJ),_xlfn.XLOOKUP($A159,'[1]DATOS PBI Artículos'!A:A,'[1]DATOS PBI Artículos'!AK:AK))</f>
        <v>30000</v>
      </c>
      <c r="F159" s="35">
        <f>_xlfn.XLOOKUP($A159,'[1]DATOS PBI Artículos'!A:A,'[1]DATOS PBI Artículos'!AP:AP)</f>
        <v>75</v>
      </c>
      <c r="G159" s="34">
        <f>_xlfn.XLOOKUP($A159,'[1]DATOS PBI Artículos'!A:A,'[1]DATOS PBI Artículos'!AR:AR)</f>
        <v>30000</v>
      </c>
      <c r="H159" s="34">
        <f>_xlfn.XLOOKUP($A159,'[1]DATOS PBI Artículos'!A:A,'[1]DATOS PBI Artículos'!AT:AT)</f>
        <v>0</v>
      </c>
      <c r="I159" s="34">
        <f>_xlfn.XLOOKUP($A159,'[1]DATOS PBI Artículos'!A:A,'[1]DATOS PBI Artículos'!AS:AS)</f>
        <v>30000</v>
      </c>
      <c r="J159" s="35">
        <f>IF(COUNTIF([1]CRITERIOS!$F$179:$F$199,$A159)&gt;=1,
 IF(O159&lt;&gt;"",
    (O159/_xlfn.XLOOKUP(CONCATENATE(A159,L159),[1]MÁQUINAS!A:A,[1]MÁQUINAS!D:D))/24,
    (N159/_xlfn.XLOOKUP(CONCATENATE(A159,L159),[1]MÁQUINAS!A:A,[1]MÁQUINAS!D:D))/24),
  _xlfn.XLOOKUP($A159,'[1]DATOS PBI Artículos'!A:A,'[1]DATOS PBI Artículos'!AU:AU))</f>
        <v>32.666666666666671</v>
      </c>
      <c r="K159" s="36">
        <f>_xlfn.XLOOKUP($A159,'[1]DATOS PBI Artículos'!A:A,'[1]DATOS PBI Artículos'!AV:AV)</f>
        <v>9.4516312525052193</v>
      </c>
      <c r="L159" s="33">
        <f>_xlfn.XLOOKUP(A159,[1]MÁQUINAS!B:B,[1]MÁQUINAS!C:C)</f>
        <v>501</v>
      </c>
      <c r="M159" s="34">
        <f t="array" ref="M159">_xlfn.XLOOKUP(A159,'[1]DATOS PBI Artículos'!A:A,'[1]DATOS PBI Artículos'!AX:$AX)</f>
        <v>35916.848768885386</v>
      </c>
      <c r="N159" s="37">
        <f>IF(I159="DV",
E159,
IF(COUNTIF([1]CRITERIOS!$I$179:$I$199,$A159)&gt;=1,
_xlfn.XLOOKUP($A159,[1]CRITERIOS!$I$179:$I$199,[1]CRITERIOS!$J$179:$J$199),
IF(COUNTIF([1]CRITERIOS!$L$179:$L$199,$A159)&gt;=1,
_xlfn.CEILING.MATH(IF($M159&gt;$E159,
$E159,
IF($M159&lt;$E159/ROUNDDOWN([1]CRITERIOS!$M$16/_xlfn.XLOOKUP($C159,[1]CRITERIOS!$K$25:$K$42,[1]CRITERIOS!$M$25:$M$42),
1),
E159/ROUNDDOWN([1]CRITERIOS!$M$16/_xlfn.XLOOKUP($C159,[1]CRITERIOS!$K$25:$K$42,[1]CRITERIOS!$M$25:$M$42),
1),
$M159)),
_xlfn.XLOOKUP($A159,[1]CRITERIOS!$L$179:$L$200,[1]CRITERIOS!$M$179:$M$200)),
_xlfn.CEILING.MATH(IF($M159&gt;$E159,
$E159,
IF($M159&lt;$E159/ROUNDDOWN([1]CRITERIOS!$M$16/_xlfn.XLOOKUP($C159,[1]CRITERIOS!$K$25:$K$42,[1]CRITERIOS!$M$25:$M$42),
1),
E159/ROUNDDOWN([1]CRITERIOS!$M$16/_xlfn.XLOOKUP($C159,[1]CRITERIOS!$K$25:$K$42,[1]CRITERIOS!$M$25:$M$42),
1),
$M159)),_xlfn.XLOOKUP(A159,'[1]DATOS PBI Artículos'!A:A,'[1]DATOS PBI Artículos'!Z:Z
)))))</f>
        <v>30000</v>
      </c>
      <c r="Q159" s="38">
        <f>IF(AND(O159="",N159=0),
0,
   IF(COUNTIF([1]CRITERIOS!$F$179:$F$199,$A159)&gt;=1,
   1,
   IF(R159="MTO",
      $D159,
      ROUNDUP(
                    IF(($E159-SUMIF('[1]DATOS PBI Artículos'!A:A,A159,'[1]DATOS PBI Artículos'!X:X)+($V159-_xlfn.XLOOKUP(A159,'[1]DATOS PBI Artículos'!A:A,'[1]DATOS PBI Artículos'!W:W)))&lt;0,
                    0,
                    IF(($E159-SUMIF('[1]DATOS PBI Artículos'!A:A,A159,'[1]DATOS PBI Artículos'!X:X)+$V159-_xlfn.XLOOKUP($A159,'[1]DATOS PBI Artículos'!A:A,'[1]DATOS PBI Artículos'!W:W))/IF($O159="",$N159,$O159)&gt;ROUNDUP([1]CRITERIOS!$M$16/(IF(COUNTIF([1]CRITERIOS!$BG$11:$BG$201,L159)&gt;=1,_xlfn.XLOOKUP($C159,[1]CRITERIOS!$K$25:$K$42,[1]CRITERIOS!$M$25:$M$42),_xlfn.XLOOKUP($C159,[1]CRITERIOS!$K$25:$K$42,[1]CRITERIOS!$M$25:$M$42))),0),
                    ROUNDUP([1]CRITERIOS!$M$16/(IF(COUNTIF([1]CRITERIOS!$BG$11:$BG$201,$L159)&gt;=1,_xlfn.XLOOKUP($C159,[1]CRITERIOS!$K$25:$K$42,[1]CRITERIOS!$M$25:$M$42),_xlfn.XLOOKUP($C159,[1]CRITERIOS!$K$25:$K$42,[1]CRITERIOS!$M$25:$M$42))),0),
                    (E159+V159-SUMIF('[1]DATOS PBI Artículos'!A:A,A159,'[1]DATOS PBI Artículos'!X:X)-_xlfn.XLOOKUP(A159,'[1]DATOS PBI Artículos'!A:A,'[1]DATOS PBI Artículos'!W:W))/IF($O159="",$N159,$O159))),0))))</f>
        <v>1</v>
      </c>
      <c r="R159" s="33" t="str">
        <f>IF(U159&lt;&gt;"",U159,IF(F159="DV","MTO",IF(N159=0,"MTO",_xlfn.XLOOKUP(CONCATENATE(S159,T159),[1]CRITERIOS!$K$160:$K$168,[1]CRITERIOS!$N$160:$N$168))))</f>
        <v>MTO</v>
      </c>
      <c r="S159" s="33" t="str">
        <f>IF(G159="DV","MTO",IF(N159=0,"MTO",IF(OR(AND(N159=0,O159=""),IF(O159="",G159/N159,G159/O159)&gt;[1]CRITERIOS!$G$163),"MTO",IF(IF(O159="",G159/N159,G159/O159)&lt;[1]CRITERIOS!$H$161,"MTS","MTOS"))))</f>
        <v>MTO</v>
      </c>
      <c r="T159" s="33" t="str">
        <f>IF(F159="DV","MTO",IF(OR(AND($N159=0,O159=""),$F159/$J159&gt;[1]CRITERIOS!$G$170,$F159="DV"),"MTO",IF($F159/$J159&lt;[1]CRITERIOS!$H$168,"MTS","MTOS")))</f>
        <v>MTO</v>
      </c>
      <c r="V159" s="34" t="str">
        <f t="shared" si="10"/>
        <v/>
      </c>
      <c r="X159" s="34">
        <f t="shared" si="8"/>
        <v>0</v>
      </c>
      <c r="Y159" s="34">
        <f t="shared" si="9"/>
        <v>0</v>
      </c>
      <c r="Z159" s="34">
        <f>IF($R159="MTO",
0,
($H159+$K159*($E159/[1]CRITERIOS!$M$16))/[1]CRITERIOS!$X$48)</f>
        <v>0</v>
      </c>
      <c r="AA159" s="34" t="e">
        <f>ROUNDUP(($Y159/_xlfn.XLOOKUP($A159,'[1]DATOS PBI Artículos'!$A$4:$A$4,'[1]DATOS PBI Artículos'!$Z$4:$Z$4))/_xlfn.XLOOKUP(_xlfn.XLOOKUP($A159,'[1]DATOS PBI Artículos'!$A$4:$A$4,'[1]DATOS PBI Artículos'!$Y$4:$Y$4),[1]CRITERIOS!$P$79:$P$123,[1]CRITERIOS!$S$79:$S$123,),0)</f>
        <v>#N/A</v>
      </c>
      <c r="AB159" s="33" t="e">
        <f t="array" ref="AB159">IF((E159+V159-_xlfn.XLOOKUP(A159,'[1]DATOS PBI Artículos'!$A$4:$A$4,'[1]DATOS PBI Artículos'!$W$4:$W$4))/N159&gt;ROUNDUP([1]CRITERIOS!$M$16/(IF(COUNTIF([1]CRITERIOS!$BG$11:$BG$201,L159)&gt;=1,_xlfn.XLOOKUP(ARTÍCULOS!L159,[1]CRITERIOS!$BG$11:$BG$201,[1]CRITERIOS!$BJ$11:$BJ$201),_xlfn.XLOOKUP(ARTÍCULOS!C159,[1]CRITERIOS!$K$25:$K$42,[1]CRITERIOS!$M$25:$M$42))),0),ROUNDUP([1]CRITERIOS!$M$16/(IF(COUNTIF([1]CRITERIOS!$BG$11:$BG$201,L159)&gt;=1,_xlfn.XLOOKUP(ARTÍCULOS!L159,[1]CRITERIOS!$BG$11:$BG$201:#REF!,[1]CRITERIOS!$BJ$11:$BJ$201),_xlfn.XLOOKUP(ARTÍCULOS!C159,[1]CRITERIOS!$K$25:$K$42,[1]CRITERIOS!$M$25:$M$42))),0),(E159+V159-_xlfn.XLOOKUP(A159,'[1]DATOS PBI Artículos'!$A$4:$A$4,'[1]DATOS PBI Artículos'!$W$4:$W$4))/N159)</f>
        <v>#VALUE!</v>
      </c>
      <c r="AC159" s="33" t="e">
        <f>IF(N159=0,"",(ROUNDUP((N159/2)/(_xlfn.XLOOKUP(A159,'[1]DATOS PBI Artículos'!$A$4:$A$4,'[1]DATOS PBI Artículos'!$Z$4:$Z$4)*_xlfn.XLOOKUP(_xlfn.XLOOKUP(A159,'[1]DATOS PBI Artículos'!$A$4:$A$4,'[1]DATOS PBI Artículos'!$Y$4:$Y$4),[1]CRITERIOS!$P$79:$P$123,[1]CRITERIOS!$S$79:$S$123)),0)*[1]CRITERIOS!$M$80*([1]CRITERIOS!$M$110/[1]CRITERIOS!$M$86)+(_xlfn.XLOOKUP(A159,'[1]DATOS PBI Artículos'!$A$4:$A$4,'[1]DATOS PBI Artículos'!$AA$4:$AA$4)*([1]CRITERIOS!$M$95+[1]CRITERIOS!$M$98)))/N159)</f>
        <v>#N/A</v>
      </c>
      <c r="AD159" s="33" t="e">
        <f>IF(N159=0,"",(ROUNDUP((N159/2)/(_xlfn.XLOOKUP(A159,'[1]DATOS PBI Artículos'!$A$4:$A$4,'[1]DATOS PBI Artículos'!$Z$4:$Z$4)*_xlfn.XLOOKUP(_xlfn.XLOOKUP(A159,'[1]DATOS PBI Artículos'!$A$4:$A$4,'[1]DATOS PBI Artículos'!$Y$4:$Y$4),[1]CRITERIOS!$P$79:$P$123,[1]CRITERIOS!$S$79:$S$123)),0)*[1]CRITERIOS!$M$80*([1]CRITERIOS!$M$89*[1]CRITERIOS!$M$92)+((_xlfn.XLOOKUP(A159,'[1]DATOS PBI Artículos'!$A$4:$A$4,'[1]DATOS PBI Artículos'!$AA$4:$AA$4)/2)*([1]CRITERIOS!$M$95+[1]CRITERIOS!$M$98)))/N159)</f>
        <v>#N/A</v>
      </c>
      <c r="AE159" s="39" t="str">
        <f>IF($R159="MTO","",
IF($H159=0,ROUNDUP(((_xlfn.XLOOKUP($A159,'[1]DATOS PBI Artículos'!$A:$A,'[1]DATOS PBI Artículos'!$AL:$AL))/(_xlfn.XLOOKUP($AF$1,[1]CRITERIOS!$S$16:$S$39,[1]CRITERIOS!$Y$16:$Y$39))*$J159+$Z159)/$G159,0)*$G159,
((_xlfn.XLOOKUP($A159,'[1]DATOS PBI Artículos'!$A:$A,'[1]DATOS PBI Artículos'!$AL:$AL))/(_xlfn.XLOOKUP($AF$1,[1]CRITERIOS!$S$16:$S$39,[1]CRITERIOS!$Y$16:$Y$39))*$J159+$Z159)))</f>
        <v/>
      </c>
      <c r="AG159" s="39" t="str">
        <f>IF($R159="MTO","",
IF($H159=0,ROUNDUP(((_xlfn.XLOOKUP($A159,'[1]DATOS PBI Artículos'!$A:$A,'[1]DATOS PBI Artículos'!$AM:$AM))/(_xlfn.XLOOKUP($AH$1,[1]CRITERIOS!$S$16:$S$39,[1]CRITERIOS!$Y$16:$Y$39))*$J159+$Z159)/$G159,0)*$G159,
((_xlfn.XLOOKUP($A159,'[1]DATOS PBI Artículos'!$A:$A,'[1]DATOS PBI Artículos'!$AM:$AM))/(_xlfn.XLOOKUP($AH$1,[1]CRITERIOS!$S$16:$S$39,[1]CRITERIOS!$Y$16:$Y$39))*$J159+$Z159)))</f>
        <v/>
      </c>
      <c r="AI159" s="39" t="str">
        <f>IF($R159="MTO","",
IF($H159=0,ROUNDUP(((_xlfn.XLOOKUP($A159,'[1]DATOS PBI Artículos'!$A:$A,'[1]DATOS PBI Artículos'!$AN:$AN))/(_xlfn.XLOOKUP($AJ$1,[1]CRITERIOS!$S$16:$S$39,[1]CRITERIOS!$Y$16:$Y$39))*$J159+$Z159)/$G159,0)*$G159,
((_xlfn.XLOOKUP($A159,'[1]DATOS PBI Artículos'!$A:$A,'[1]DATOS PBI Artículos'!$AN:$AN))/(_xlfn.XLOOKUP($AJ$1,[1]CRITERIOS!$S$16:$S$39,[1]CRITERIOS!$Y$16:$Y$39))*$J159+$Z159)))</f>
        <v/>
      </c>
      <c r="AK159" s="39" t="str">
        <f>IF($R159="MTO","",
IF($H159=0,ROUNDUP(((_xlfn.XLOOKUP($A159,'[1]DATOS PBI Artículos'!$A:$A,'[1]DATOS PBI Artículos'!$AO:$AO))/(_xlfn.XLOOKUP($AL$1,[1]CRITERIOS!$S$16:$S$39,[1]CRITERIOS!$Y$16:$Y$39))*$J159+$Z159)/$G159,0)*$G159,
((_xlfn.XLOOKUP($A159,'[1]DATOS PBI Artículos'!$A:$A,'[1]DATOS PBI Artículos'!$AO:$AO))/(_xlfn.XLOOKUP($AL$1,[1]CRITERIOS!$S$16:$S$39,[1]CRITERIOS!$Y$16:$Y$39))*$J159+$Z159)))</f>
        <v/>
      </c>
    </row>
    <row r="160" spans="1:37" ht="25.8" x14ac:dyDescent="0.5">
      <c r="A160" s="32">
        <v>453641</v>
      </c>
      <c r="B160" s="33">
        <f>_xlfn.XLOOKUP($A160,'[1]DATOS PBI Artículos'!A:A,'[1]DATOS PBI Artículos'!B:B)</f>
        <v>0</v>
      </c>
      <c r="C160" s="33" t="str">
        <f>_xlfn.XLOOKUP($A160,'[1]DATOS PBI Artículos'!A:A,'[1]DATOS PBI Artículos'!C:C)</f>
        <v>UA03</v>
      </c>
      <c r="D160" s="33">
        <f>_xlfn.XLOOKUP(A160,'[1]DATOS PBI Artículos'!A:A,'[1]DATOS PBI Artículos'!T:T)</f>
        <v>2</v>
      </c>
      <c r="E160" s="34">
        <f>IF(_xlfn.XLOOKUP($A160,'[1]DATOS PBI Artículos'!A:A,'[1]DATOS PBI Artículos'!AK:AK)="",_xlfn.XLOOKUP($A160,'[1]DATOS PBI Artículos'!A:A,'[1]DATOS PBI Artículos'!AJ:AJ),_xlfn.XLOOKUP($A160,'[1]DATOS PBI Artículos'!A:A,'[1]DATOS PBI Artículos'!AK:AK))</f>
        <v>30000</v>
      </c>
      <c r="F160" s="35">
        <f>_xlfn.XLOOKUP($A160,'[1]DATOS PBI Artículos'!A:A,'[1]DATOS PBI Artículos'!AP:AP)</f>
        <v>50</v>
      </c>
      <c r="G160" s="34">
        <f>_xlfn.XLOOKUP($A160,'[1]DATOS PBI Artículos'!A:A,'[1]DATOS PBI Artículos'!AR:AR)</f>
        <v>15000</v>
      </c>
      <c r="H160" s="34">
        <f>_xlfn.XLOOKUP($A160,'[1]DATOS PBI Artículos'!A:A,'[1]DATOS PBI Artículos'!AT:AT)</f>
        <v>0</v>
      </c>
      <c r="I160" s="34">
        <f>_xlfn.XLOOKUP($A160,'[1]DATOS PBI Artículos'!A:A,'[1]DATOS PBI Artículos'!AS:AS)</f>
        <v>15000</v>
      </c>
      <c r="J160" s="35">
        <f>IF(COUNTIF([1]CRITERIOS!$F$179:$F$199,$A160)&gt;=1,
 IF(O160&lt;&gt;"",
    (O160/_xlfn.XLOOKUP(CONCATENATE(A160,L160),[1]MÁQUINAS!A:A,[1]MÁQUINAS!D:D))/24,
    (N160/_xlfn.XLOOKUP(CONCATENATE(A160,L160),[1]MÁQUINAS!A:A,[1]MÁQUINAS!D:D))/24),
  _xlfn.XLOOKUP($A160,'[1]DATOS PBI Artículos'!A:A,'[1]DATOS PBI Artículos'!AU:AU))</f>
        <v>16.333333333333332</v>
      </c>
      <c r="K160" s="36">
        <f>_xlfn.XLOOKUP($A160,'[1]DATOS PBI Artículos'!A:A,'[1]DATOS PBI Artículos'!AV:AV)</f>
        <v>5.5075705472861021</v>
      </c>
      <c r="L160" s="33">
        <f>_xlfn.XLOOKUP(A160,[1]MÁQUINAS!B:B,[1]MÁQUINAS!C:C)</f>
        <v>142</v>
      </c>
      <c r="M160" s="34">
        <f t="array" ref="M160">_xlfn.XLOOKUP(A160,'[1]DATOS PBI Artículos'!A:A,'[1]DATOS PBI Artículos'!AX:$AX)</f>
        <v>15469.315984915844</v>
      </c>
      <c r="N160" s="37">
        <f>IF(I160="DV",
E160,
IF(COUNTIF([1]CRITERIOS!$I$179:$I$199,$A160)&gt;=1,
_xlfn.XLOOKUP($A160,[1]CRITERIOS!$I$179:$I$199,[1]CRITERIOS!$J$179:$J$199),
IF(COUNTIF([1]CRITERIOS!$L$179:$L$199,$A160)&gt;=1,
_xlfn.CEILING.MATH(IF($M160&gt;$E160,
$E160,
IF($M160&lt;$E160/ROUNDDOWN([1]CRITERIOS!$M$16/_xlfn.XLOOKUP($C160,[1]CRITERIOS!$K$25:$K$42,[1]CRITERIOS!$M$25:$M$42),
1),
E160/ROUNDDOWN([1]CRITERIOS!$M$16/_xlfn.XLOOKUP($C160,[1]CRITERIOS!$K$25:$K$42,[1]CRITERIOS!$M$25:$M$42),
1),
$M160)),
_xlfn.XLOOKUP($A160,[1]CRITERIOS!$L$179:$L$200,[1]CRITERIOS!$M$179:$M$200)),
_xlfn.CEILING.MATH(IF($M160&gt;$E160,
$E160,
IF($M160&lt;$E160/ROUNDDOWN([1]CRITERIOS!$M$16/_xlfn.XLOOKUP($C160,[1]CRITERIOS!$K$25:$K$42,[1]CRITERIOS!$M$25:$M$42),
1),
E160/ROUNDDOWN([1]CRITERIOS!$M$16/_xlfn.XLOOKUP($C160,[1]CRITERIOS!$K$25:$K$42,[1]CRITERIOS!$M$25:$M$42),
1),
$M160)),_xlfn.XLOOKUP(A160,'[1]DATOS PBI Artículos'!A:A,'[1]DATOS PBI Artículos'!Z:Z
)))))</f>
        <v>18000</v>
      </c>
      <c r="Q160" s="38">
        <f>IF(AND(O160="",N160=0),
0,
   IF(COUNTIF([1]CRITERIOS!$F$179:$F$199,$A160)&gt;=1,
   1,
   IF(R160="MTO",
      $D160,
      ROUNDUP(
                    IF(($E160-SUMIF('[1]DATOS PBI Artículos'!A:A,A160,'[1]DATOS PBI Artículos'!X:X)+($V160-_xlfn.XLOOKUP(A160,'[1]DATOS PBI Artículos'!A:A,'[1]DATOS PBI Artículos'!W:W)))&lt;0,
                    0,
                    IF(($E160-SUMIF('[1]DATOS PBI Artículos'!A:A,A160,'[1]DATOS PBI Artículos'!X:X)+$V160-_xlfn.XLOOKUP($A160,'[1]DATOS PBI Artículos'!A:A,'[1]DATOS PBI Artículos'!W:W))/IF($O160="",$N160,$O160)&gt;ROUNDUP([1]CRITERIOS!$M$16/(IF(COUNTIF([1]CRITERIOS!$BG$11:$BG$201,L160)&gt;=1,_xlfn.XLOOKUP($C160,[1]CRITERIOS!$K$25:$K$42,[1]CRITERIOS!$M$25:$M$42),_xlfn.XLOOKUP($C160,[1]CRITERIOS!$K$25:$K$42,[1]CRITERIOS!$M$25:$M$42))),0),
                    ROUNDUP([1]CRITERIOS!$M$16/(IF(COUNTIF([1]CRITERIOS!$BG$11:$BG$201,$L160)&gt;=1,_xlfn.XLOOKUP($C160,[1]CRITERIOS!$K$25:$K$42,[1]CRITERIOS!$M$25:$M$42),_xlfn.XLOOKUP($C160,[1]CRITERIOS!$K$25:$K$42,[1]CRITERIOS!$M$25:$M$42))),0),
                    (E160+V160-SUMIF('[1]DATOS PBI Artículos'!A:A,A160,'[1]DATOS PBI Artículos'!X:X)-_xlfn.XLOOKUP(A160,'[1]DATOS PBI Artículos'!A:A,'[1]DATOS PBI Artículos'!W:W))/IF($O160="",$N160,$O160))),0))))</f>
        <v>2</v>
      </c>
      <c r="R160" s="33" t="str">
        <f>IF(U160&lt;&gt;"",U160,IF(F160="DV","MTO",IF(N160=0,"MTO",_xlfn.XLOOKUP(CONCATENATE(S160,T160),[1]CRITERIOS!$K$160:$K$168,[1]CRITERIOS!$N$160:$N$168))))</f>
        <v>MTO</v>
      </c>
      <c r="S160" s="33" t="str">
        <f>IF(G160="DV","MTO",IF(N160=0,"MTO",IF(OR(AND(N160=0,O160=""),IF(O160="",G160/N160,G160/O160)&gt;[1]CRITERIOS!$G$163),"MTO",IF(IF(O160="",G160/N160,G160/O160)&lt;[1]CRITERIOS!$H$161,"MTS","MTOS"))))</f>
        <v>MTO</v>
      </c>
      <c r="T160" s="33" t="str">
        <f>IF(F160="DV","MTO",IF(OR(AND($N160=0,O160=""),$F160/$J160&gt;[1]CRITERIOS!$G$170,$F160="DV"),"MTO",IF($F160/$J160&lt;[1]CRITERIOS!$H$168,"MTS","MTOS")))</f>
        <v>MTO</v>
      </c>
      <c r="V160" s="34" t="str">
        <f t="shared" si="10"/>
        <v/>
      </c>
      <c r="X160" s="34">
        <f t="shared" si="8"/>
        <v>0</v>
      </c>
      <c r="Y160" s="34">
        <f t="shared" si="9"/>
        <v>0</v>
      </c>
      <c r="Z160" s="34">
        <f>IF($R160="MTO",
0,
($H160+$K160*($E160/[1]CRITERIOS!$M$16))/[1]CRITERIOS!$X$48)</f>
        <v>0</v>
      </c>
      <c r="AA160" s="34" t="e">
        <f>ROUNDUP(($Y160/_xlfn.XLOOKUP($A160,'[1]DATOS PBI Artículos'!$A$4:$A$4,'[1]DATOS PBI Artículos'!$Z$4:$Z$4))/_xlfn.XLOOKUP(_xlfn.XLOOKUP($A160,'[1]DATOS PBI Artículos'!$A$4:$A$4,'[1]DATOS PBI Artículos'!$Y$4:$Y$4),[1]CRITERIOS!$P$79:$P$123,[1]CRITERIOS!$S$79:$S$123,),0)</f>
        <v>#N/A</v>
      </c>
      <c r="AB160" s="33" t="e">
        <f t="array" ref="AB160">IF((E160+V160-_xlfn.XLOOKUP(A160,'[1]DATOS PBI Artículos'!$A$4:$A$4,'[1]DATOS PBI Artículos'!$W$4:$W$4))/N160&gt;ROUNDUP([1]CRITERIOS!$M$16/(IF(COUNTIF([1]CRITERIOS!$BG$11:$BG$201,L160)&gt;=1,_xlfn.XLOOKUP(ARTÍCULOS!L160,[1]CRITERIOS!$BG$11:$BG$201,[1]CRITERIOS!$BJ$11:$BJ$201),_xlfn.XLOOKUP(ARTÍCULOS!C160,[1]CRITERIOS!$K$25:$K$42,[1]CRITERIOS!$M$25:$M$42))),0),ROUNDUP([1]CRITERIOS!$M$16/(IF(COUNTIF([1]CRITERIOS!$BG$11:$BG$201,L160)&gt;=1,_xlfn.XLOOKUP(ARTÍCULOS!L160,[1]CRITERIOS!$BG$11:$BG$201:#REF!,[1]CRITERIOS!$BJ$11:$BJ$201),_xlfn.XLOOKUP(ARTÍCULOS!C160,[1]CRITERIOS!$K$25:$K$42,[1]CRITERIOS!$M$25:$M$42))),0),(E160+V160-_xlfn.XLOOKUP(A160,'[1]DATOS PBI Artículos'!$A$4:$A$4,'[1]DATOS PBI Artículos'!$W$4:$W$4))/N160)</f>
        <v>#VALUE!</v>
      </c>
      <c r="AC160" s="33" t="e">
        <f>IF(N160=0,"",(ROUNDUP((N160/2)/(_xlfn.XLOOKUP(A160,'[1]DATOS PBI Artículos'!$A$4:$A$4,'[1]DATOS PBI Artículos'!$Z$4:$Z$4)*_xlfn.XLOOKUP(_xlfn.XLOOKUP(A160,'[1]DATOS PBI Artículos'!$A$4:$A$4,'[1]DATOS PBI Artículos'!$Y$4:$Y$4),[1]CRITERIOS!$P$79:$P$123,[1]CRITERIOS!$S$79:$S$123)),0)*[1]CRITERIOS!$M$80*([1]CRITERIOS!$M$110/[1]CRITERIOS!$M$86)+(_xlfn.XLOOKUP(A160,'[1]DATOS PBI Artículos'!$A$4:$A$4,'[1]DATOS PBI Artículos'!$AA$4:$AA$4)*([1]CRITERIOS!$M$95+[1]CRITERIOS!$M$98)))/N160)</f>
        <v>#N/A</v>
      </c>
      <c r="AD160" s="33" t="e">
        <f>IF(N160=0,"",(ROUNDUP((N160/2)/(_xlfn.XLOOKUP(A160,'[1]DATOS PBI Artículos'!$A$4:$A$4,'[1]DATOS PBI Artículos'!$Z$4:$Z$4)*_xlfn.XLOOKUP(_xlfn.XLOOKUP(A160,'[1]DATOS PBI Artículos'!$A$4:$A$4,'[1]DATOS PBI Artículos'!$Y$4:$Y$4),[1]CRITERIOS!$P$79:$P$123,[1]CRITERIOS!$S$79:$S$123)),0)*[1]CRITERIOS!$M$80*([1]CRITERIOS!$M$89*[1]CRITERIOS!$M$92)+((_xlfn.XLOOKUP(A160,'[1]DATOS PBI Artículos'!$A$4:$A$4,'[1]DATOS PBI Artículos'!$AA$4:$AA$4)/2)*([1]CRITERIOS!$M$95+[1]CRITERIOS!$M$98)))/N160)</f>
        <v>#N/A</v>
      </c>
      <c r="AE160" s="39" t="str">
        <f>IF($R160="MTO","",
IF($H160=0,ROUNDUP(((_xlfn.XLOOKUP($A160,'[1]DATOS PBI Artículos'!$A:$A,'[1]DATOS PBI Artículos'!$AL:$AL))/(_xlfn.XLOOKUP($AF$1,[1]CRITERIOS!$S$16:$S$39,[1]CRITERIOS!$Y$16:$Y$39))*$J160+$Z160)/$G160,0)*$G160,
((_xlfn.XLOOKUP($A160,'[1]DATOS PBI Artículos'!$A:$A,'[1]DATOS PBI Artículos'!$AL:$AL))/(_xlfn.XLOOKUP($AF$1,[1]CRITERIOS!$S$16:$S$39,[1]CRITERIOS!$Y$16:$Y$39))*$J160+$Z160)))</f>
        <v/>
      </c>
      <c r="AG160" s="39" t="str">
        <f>IF($R160="MTO","",
IF($H160=0,ROUNDUP(((_xlfn.XLOOKUP($A160,'[1]DATOS PBI Artículos'!$A:$A,'[1]DATOS PBI Artículos'!$AM:$AM))/(_xlfn.XLOOKUP($AH$1,[1]CRITERIOS!$S$16:$S$39,[1]CRITERIOS!$Y$16:$Y$39))*$J160+$Z160)/$G160,0)*$G160,
((_xlfn.XLOOKUP($A160,'[1]DATOS PBI Artículos'!$A:$A,'[1]DATOS PBI Artículos'!$AM:$AM))/(_xlfn.XLOOKUP($AH$1,[1]CRITERIOS!$S$16:$S$39,[1]CRITERIOS!$Y$16:$Y$39))*$J160+$Z160)))</f>
        <v/>
      </c>
      <c r="AI160" s="39" t="str">
        <f>IF($R160="MTO","",
IF($H160=0,ROUNDUP(((_xlfn.XLOOKUP($A160,'[1]DATOS PBI Artículos'!$A:$A,'[1]DATOS PBI Artículos'!$AN:$AN))/(_xlfn.XLOOKUP($AJ$1,[1]CRITERIOS!$S$16:$S$39,[1]CRITERIOS!$Y$16:$Y$39))*$J160+$Z160)/$G160,0)*$G160,
((_xlfn.XLOOKUP($A160,'[1]DATOS PBI Artículos'!$A:$A,'[1]DATOS PBI Artículos'!$AN:$AN))/(_xlfn.XLOOKUP($AJ$1,[1]CRITERIOS!$S$16:$S$39,[1]CRITERIOS!$Y$16:$Y$39))*$J160+$Z160)))</f>
        <v/>
      </c>
      <c r="AK160" s="39" t="str">
        <f>IF($R160="MTO","",
IF($H160=0,ROUNDUP(((_xlfn.XLOOKUP($A160,'[1]DATOS PBI Artículos'!$A:$A,'[1]DATOS PBI Artículos'!$AO:$AO))/(_xlfn.XLOOKUP($AL$1,[1]CRITERIOS!$S$16:$S$39,[1]CRITERIOS!$Y$16:$Y$39))*$J160+$Z160)/$G160,0)*$G160,
((_xlfn.XLOOKUP($A160,'[1]DATOS PBI Artículos'!$A:$A,'[1]DATOS PBI Artículos'!$AO:$AO))/(_xlfn.XLOOKUP($AL$1,[1]CRITERIOS!$S$16:$S$39,[1]CRITERIOS!$Y$16:$Y$39))*$J160+$Z160)))</f>
        <v/>
      </c>
    </row>
    <row r="161" spans="1:37" ht="25.8" x14ac:dyDescent="0.5">
      <c r="A161" s="32">
        <v>450072</v>
      </c>
      <c r="B161" s="33">
        <f>_xlfn.XLOOKUP($A161,'[1]DATOS PBI Artículos'!A:A,'[1]DATOS PBI Artículos'!B:B)</f>
        <v>0</v>
      </c>
      <c r="C161" s="33" t="str">
        <f>_xlfn.XLOOKUP($A161,'[1]DATOS PBI Artículos'!A:A,'[1]DATOS PBI Artículos'!C:C)</f>
        <v>UA01</v>
      </c>
      <c r="D161" s="33">
        <f>_xlfn.XLOOKUP(A161,'[1]DATOS PBI Artículos'!A:A,'[1]DATOS PBI Artículos'!T:T)</f>
        <v>1</v>
      </c>
      <c r="E161" s="34">
        <f>IF(_xlfn.XLOOKUP($A161,'[1]DATOS PBI Artículos'!A:A,'[1]DATOS PBI Artículos'!AK:AK)="",_xlfn.XLOOKUP($A161,'[1]DATOS PBI Artículos'!A:A,'[1]DATOS PBI Artículos'!AJ:AJ),_xlfn.XLOOKUP($A161,'[1]DATOS PBI Artículos'!A:A,'[1]DATOS PBI Artículos'!AK:AK))</f>
        <v>30000</v>
      </c>
      <c r="F161" s="35">
        <f>_xlfn.XLOOKUP($A161,'[1]DATOS PBI Artículos'!A:A,'[1]DATOS PBI Artículos'!AP:AP)</f>
        <v>75</v>
      </c>
      <c r="G161" s="34">
        <f>_xlfn.XLOOKUP($A161,'[1]DATOS PBI Artículos'!A:A,'[1]DATOS PBI Artículos'!AR:AR)</f>
        <v>30000</v>
      </c>
      <c r="H161" s="34">
        <f>_xlfn.XLOOKUP($A161,'[1]DATOS PBI Artículos'!A:A,'[1]DATOS PBI Artículos'!AT:AT)</f>
        <v>0</v>
      </c>
      <c r="I161" s="34">
        <f>_xlfn.XLOOKUP($A161,'[1]DATOS PBI Artículos'!A:A,'[1]DATOS PBI Artículos'!AS:AS)</f>
        <v>30000</v>
      </c>
      <c r="J161" s="35">
        <f>IF(COUNTIF([1]CRITERIOS!$F$179:$F$199,$A161)&gt;=1,
 IF(O161&lt;&gt;"",
    (O161/_xlfn.XLOOKUP(CONCATENATE(A161,L161),[1]MÁQUINAS!A:A,[1]MÁQUINAS!D:D))/24,
    (N161/_xlfn.XLOOKUP(CONCATENATE(A161,L161),[1]MÁQUINAS!A:A,[1]MÁQUINAS!D:D))/24),
  _xlfn.XLOOKUP($A161,'[1]DATOS PBI Artículos'!A:A,'[1]DATOS PBI Artículos'!AU:AU))</f>
        <v>31</v>
      </c>
      <c r="K161" s="36">
        <f>_xlfn.XLOOKUP($A161,'[1]DATOS PBI Artículos'!A:A,'[1]DATOS PBI Artículos'!AV:AV)</f>
        <v>14.191546779685433</v>
      </c>
      <c r="L161" s="33">
        <f>_xlfn.XLOOKUP(A161,[1]MÁQUINAS!B:B,[1]MÁQUINAS!C:C)</f>
        <v>452</v>
      </c>
      <c r="M161" s="34">
        <f t="array" ref="M161">_xlfn.XLOOKUP(A161,'[1]DATOS PBI Artículos'!A:A,'[1]DATOS PBI Artículos'!AX:$AX)</f>
        <v>23498.86168649609</v>
      </c>
      <c r="N161" s="37">
        <f>IF(I161="DV",
E161,
IF(COUNTIF([1]CRITERIOS!$I$179:$I$199,$A161)&gt;=1,
_xlfn.XLOOKUP($A161,[1]CRITERIOS!$I$179:$I$199,[1]CRITERIOS!$J$179:$J$199),
IF(COUNTIF([1]CRITERIOS!$L$179:$L$199,$A161)&gt;=1,
_xlfn.CEILING.MATH(IF($M161&gt;$E161,
$E161,
IF($M161&lt;$E161/ROUNDDOWN([1]CRITERIOS!$M$16/_xlfn.XLOOKUP($C161,[1]CRITERIOS!$K$25:$K$42,[1]CRITERIOS!$M$25:$M$42),
1),
E161/ROUNDDOWN([1]CRITERIOS!$M$16/_xlfn.XLOOKUP($C161,[1]CRITERIOS!$K$25:$K$42,[1]CRITERIOS!$M$25:$M$42),
1),
$M161)),
_xlfn.XLOOKUP($A161,[1]CRITERIOS!$L$179:$L$200,[1]CRITERIOS!$M$179:$M$200)),
_xlfn.CEILING.MATH(IF($M161&gt;$E161,
$E161,
IF($M161&lt;$E161/ROUNDDOWN([1]CRITERIOS!$M$16/_xlfn.XLOOKUP($C161,[1]CRITERIOS!$K$25:$K$42,[1]CRITERIOS!$M$25:$M$42),
1),
E161/ROUNDDOWN([1]CRITERIOS!$M$16/_xlfn.XLOOKUP($C161,[1]CRITERIOS!$K$25:$K$42,[1]CRITERIOS!$M$25:$M$42),
1),
$M161)),_xlfn.XLOOKUP(A161,'[1]DATOS PBI Artículos'!A:A,'[1]DATOS PBI Artículos'!Z:Z
)))))</f>
        <v>24000</v>
      </c>
      <c r="Q161" s="38">
        <f>IF(AND(O161="",N161=0),
0,
   IF(COUNTIF([1]CRITERIOS!$F$179:$F$199,$A161)&gt;=1,
   1,
   IF(R161="MTO",
      $D161,
      ROUNDUP(
                    IF(($E161-SUMIF('[1]DATOS PBI Artículos'!A:A,A161,'[1]DATOS PBI Artículos'!X:X)+($V161-_xlfn.XLOOKUP(A161,'[1]DATOS PBI Artículos'!A:A,'[1]DATOS PBI Artículos'!W:W)))&lt;0,
                    0,
                    IF(($E161-SUMIF('[1]DATOS PBI Artículos'!A:A,A161,'[1]DATOS PBI Artículos'!X:X)+$V161-_xlfn.XLOOKUP($A161,'[1]DATOS PBI Artículos'!A:A,'[1]DATOS PBI Artículos'!W:W))/IF($O161="",$N161,$O161)&gt;ROUNDUP([1]CRITERIOS!$M$16/(IF(COUNTIF([1]CRITERIOS!$BG$11:$BG$201,L161)&gt;=1,_xlfn.XLOOKUP($C161,[1]CRITERIOS!$K$25:$K$42,[1]CRITERIOS!$M$25:$M$42),_xlfn.XLOOKUP($C161,[1]CRITERIOS!$K$25:$K$42,[1]CRITERIOS!$M$25:$M$42))),0),
                    ROUNDUP([1]CRITERIOS!$M$16/(IF(COUNTIF([1]CRITERIOS!$BG$11:$BG$201,$L161)&gt;=1,_xlfn.XLOOKUP($C161,[1]CRITERIOS!$K$25:$K$42,[1]CRITERIOS!$M$25:$M$42),_xlfn.XLOOKUP($C161,[1]CRITERIOS!$K$25:$K$42,[1]CRITERIOS!$M$25:$M$42))),0),
                    (E161+V161-SUMIF('[1]DATOS PBI Artículos'!A:A,A161,'[1]DATOS PBI Artículos'!X:X)-_xlfn.XLOOKUP(A161,'[1]DATOS PBI Artículos'!A:A,'[1]DATOS PBI Artículos'!W:W))/IF($O161="",$N161,$O161))),0))))</f>
        <v>1</v>
      </c>
      <c r="R161" s="33" t="str">
        <f>IF(U161&lt;&gt;"",U161,IF(F161="DV","MTO",IF(N161=0,"MTO",_xlfn.XLOOKUP(CONCATENATE(S161,T161),[1]CRITERIOS!$K$160:$K$168,[1]CRITERIOS!$N$160:$N$168))))</f>
        <v>MTO</v>
      </c>
      <c r="S161" s="33" t="str">
        <f>IF(G161="DV","MTO",IF(N161=0,"MTO",IF(OR(AND(N161=0,O161=""),IF(O161="",G161/N161,G161/O161)&gt;[1]CRITERIOS!$G$163),"MTO",IF(IF(O161="",G161/N161,G161/O161)&lt;[1]CRITERIOS!$H$161,"MTS","MTOS"))))</f>
        <v>MTO</v>
      </c>
      <c r="T161" s="33" t="str">
        <f>IF(F161="DV","MTO",IF(OR(AND($N161=0,O161=""),$F161/$J161&gt;[1]CRITERIOS!$G$170,$F161="DV"),"MTO",IF($F161/$J161&lt;[1]CRITERIOS!$H$168,"MTS","MTOS")))</f>
        <v>MTO</v>
      </c>
      <c r="V161" s="34" t="str">
        <f t="shared" si="10"/>
        <v/>
      </c>
      <c r="X161" s="34">
        <f t="shared" si="8"/>
        <v>0</v>
      </c>
      <c r="Y161" s="34">
        <f t="shared" si="9"/>
        <v>0</v>
      </c>
      <c r="Z161" s="34">
        <f>IF($R161="MTO",
0,
($H161+$K161*($E161/[1]CRITERIOS!$M$16))/[1]CRITERIOS!$X$48)</f>
        <v>0</v>
      </c>
      <c r="AA161" s="34" t="e">
        <f>ROUNDUP(($Y161/_xlfn.XLOOKUP($A161,'[1]DATOS PBI Artículos'!$A$4:$A$4,'[1]DATOS PBI Artículos'!$Z$4:$Z$4))/_xlfn.XLOOKUP(_xlfn.XLOOKUP($A161,'[1]DATOS PBI Artículos'!$A$4:$A$4,'[1]DATOS PBI Artículos'!$Y$4:$Y$4),[1]CRITERIOS!$P$79:$P$123,[1]CRITERIOS!$S$79:$S$123,),0)</f>
        <v>#N/A</v>
      </c>
      <c r="AB161" s="33" t="e">
        <f t="array" ref="AB161">IF((E161+V161-_xlfn.XLOOKUP(A161,'[1]DATOS PBI Artículos'!$A$4:$A$4,'[1]DATOS PBI Artículos'!$W$4:$W$4))/N161&gt;ROUNDUP([1]CRITERIOS!$M$16/(IF(COUNTIF([1]CRITERIOS!$BG$11:$BG$201,L161)&gt;=1,_xlfn.XLOOKUP(ARTÍCULOS!L161,[1]CRITERIOS!$BG$11:$BG$201,[1]CRITERIOS!$BJ$11:$BJ$201),_xlfn.XLOOKUP(ARTÍCULOS!C161,[1]CRITERIOS!$K$25:$K$42,[1]CRITERIOS!$M$25:$M$42))),0),ROUNDUP([1]CRITERIOS!$M$16/(IF(COUNTIF([1]CRITERIOS!$BG$11:$BG$201,L161)&gt;=1,_xlfn.XLOOKUP(ARTÍCULOS!L161,[1]CRITERIOS!$BG$11:$BG$201:#REF!,[1]CRITERIOS!$BJ$11:$BJ$201),_xlfn.XLOOKUP(ARTÍCULOS!C161,[1]CRITERIOS!$K$25:$K$42,[1]CRITERIOS!$M$25:$M$42))),0),(E161+V161-_xlfn.XLOOKUP(A161,'[1]DATOS PBI Artículos'!$A$4:$A$4,'[1]DATOS PBI Artículos'!$W$4:$W$4))/N161)</f>
        <v>#VALUE!</v>
      </c>
      <c r="AC161" s="33" t="e">
        <f>IF(N161=0,"",(ROUNDUP((N161/2)/(_xlfn.XLOOKUP(A161,'[1]DATOS PBI Artículos'!$A$4:$A$4,'[1]DATOS PBI Artículos'!$Z$4:$Z$4)*_xlfn.XLOOKUP(_xlfn.XLOOKUP(A161,'[1]DATOS PBI Artículos'!$A$4:$A$4,'[1]DATOS PBI Artículos'!$Y$4:$Y$4),[1]CRITERIOS!$P$79:$P$123,[1]CRITERIOS!$S$79:$S$123)),0)*[1]CRITERIOS!$M$80*([1]CRITERIOS!$M$110/[1]CRITERIOS!$M$86)+(_xlfn.XLOOKUP(A161,'[1]DATOS PBI Artículos'!$A$4:$A$4,'[1]DATOS PBI Artículos'!$AA$4:$AA$4)*([1]CRITERIOS!$M$95+[1]CRITERIOS!$M$98)))/N161)</f>
        <v>#N/A</v>
      </c>
      <c r="AD161" s="33" t="e">
        <f>IF(N161=0,"",(ROUNDUP((N161/2)/(_xlfn.XLOOKUP(A161,'[1]DATOS PBI Artículos'!$A$4:$A$4,'[1]DATOS PBI Artículos'!$Z$4:$Z$4)*_xlfn.XLOOKUP(_xlfn.XLOOKUP(A161,'[1]DATOS PBI Artículos'!$A$4:$A$4,'[1]DATOS PBI Artículos'!$Y$4:$Y$4),[1]CRITERIOS!$P$79:$P$123,[1]CRITERIOS!$S$79:$S$123)),0)*[1]CRITERIOS!$M$80*([1]CRITERIOS!$M$89*[1]CRITERIOS!$M$92)+((_xlfn.XLOOKUP(A161,'[1]DATOS PBI Artículos'!$A$4:$A$4,'[1]DATOS PBI Artículos'!$AA$4:$AA$4)/2)*([1]CRITERIOS!$M$95+[1]CRITERIOS!$M$98)))/N161)</f>
        <v>#N/A</v>
      </c>
      <c r="AE161" s="39" t="str">
        <f>IF($R161="MTO","",
IF($H161=0,ROUNDUP(((_xlfn.XLOOKUP($A161,'[1]DATOS PBI Artículos'!$A:$A,'[1]DATOS PBI Artículos'!$AL:$AL))/(_xlfn.XLOOKUP($AF$1,[1]CRITERIOS!$S$16:$S$39,[1]CRITERIOS!$Y$16:$Y$39))*$J161+$Z161)/$G161,0)*$G161,
((_xlfn.XLOOKUP($A161,'[1]DATOS PBI Artículos'!$A:$A,'[1]DATOS PBI Artículos'!$AL:$AL))/(_xlfn.XLOOKUP($AF$1,[1]CRITERIOS!$S$16:$S$39,[1]CRITERIOS!$Y$16:$Y$39))*$J161+$Z161)))</f>
        <v/>
      </c>
      <c r="AG161" s="39" t="str">
        <f>IF($R161="MTO","",
IF($H161=0,ROUNDUP(((_xlfn.XLOOKUP($A161,'[1]DATOS PBI Artículos'!$A:$A,'[1]DATOS PBI Artículos'!$AM:$AM))/(_xlfn.XLOOKUP($AH$1,[1]CRITERIOS!$S$16:$S$39,[1]CRITERIOS!$Y$16:$Y$39))*$J161+$Z161)/$G161,0)*$G161,
((_xlfn.XLOOKUP($A161,'[1]DATOS PBI Artículos'!$A:$A,'[1]DATOS PBI Artículos'!$AM:$AM))/(_xlfn.XLOOKUP($AH$1,[1]CRITERIOS!$S$16:$S$39,[1]CRITERIOS!$Y$16:$Y$39))*$J161+$Z161)))</f>
        <v/>
      </c>
      <c r="AI161" s="39" t="str">
        <f>IF($R161="MTO","",
IF($H161=0,ROUNDUP(((_xlfn.XLOOKUP($A161,'[1]DATOS PBI Artículos'!$A:$A,'[1]DATOS PBI Artículos'!$AN:$AN))/(_xlfn.XLOOKUP($AJ$1,[1]CRITERIOS!$S$16:$S$39,[1]CRITERIOS!$Y$16:$Y$39))*$J161+$Z161)/$G161,0)*$G161,
((_xlfn.XLOOKUP($A161,'[1]DATOS PBI Artículos'!$A:$A,'[1]DATOS PBI Artículos'!$AN:$AN))/(_xlfn.XLOOKUP($AJ$1,[1]CRITERIOS!$S$16:$S$39,[1]CRITERIOS!$Y$16:$Y$39))*$J161+$Z161)))</f>
        <v/>
      </c>
      <c r="AK161" s="39" t="str">
        <f>IF($R161="MTO","",
IF($H161=0,ROUNDUP(((_xlfn.XLOOKUP($A161,'[1]DATOS PBI Artículos'!$A:$A,'[1]DATOS PBI Artículos'!$AO:$AO))/(_xlfn.XLOOKUP($AL$1,[1]CRITERIOS!$S$16:$S$39,[1]CRITERIOS!$Y$16:$Y$39))*$J161+$Z161)/$G161,0)*$G161,
((_xlfn.XLOOKUP($A161,'[1]DATOS PBI Artículos'!$A:$A,'[1]DATOS PBI Artículos'!$AO:$AO))/(_xlfn.XLOOKUP($AL$1,[1]CRITERIOS!$S$16:$S$39,[1]CRITERIOS!$Y$16:$Y$39))*$J161+$Z161)))</f>
        <v/>
      </c>
    </row>
    <row r="162" spans="1:37" ht="25.8" x14ac:dyDescent="0.5">
      <c r="A162" s="32" t="s">
        <v>87</v>
      </c>
      <c r="B162" s="33">
        <f>_xlfn.XLOOKUP($A162,'[1]DATOS PBI Artículos'!A:A,'[1]DATOS PBI Artículos'!B:B)</f>
        <v>0</v>
      </c>
      <c r="C162" s="33" t="str">
        <f>_xlfn.XLOOKUP($A162,'[1]DATOS PBI Artículos'!A:A,'[1]DATOS PBI Artículos'!C:C)</f>
        <v>UA05</v>
      </c>
      <c r="D162" s="33">
        <f>_xlfn.XLOOKUP(A162,'[1]DATOS PBI Artículos'!A:A,'[1]DATOS PBI Artículos'!T:T)</f>
        <v>3</v>
      </c>
      <c r="E162" s="34">
        <f>IF(_xlfn.XLOOKUP($A162,'[1]DATOS PBI Artículos'!A:A,'[1]DATOS PBI Artículos'!AK:AK)="",_xlfn.XLOOKUP($A162,'[1]DATOS PBI Artículos'!A:A,'[1]DATOS PBI Artículos'!AJ:AJ),_xlfn.XLOOKUP($A162,'[1]DATOS PBI Artículos'!A:A,'[1]DATOS PBI Artículos'!AK:AK))</f>
        <v>30000</v>
      </c>
      <c r="F162" s="35">
        <f>_xlfn.XLOOKUP($A162,'[1]DATOS PBI Artículos'!A:A,'[1]DATOS PBI Artículos'!AP:AP)</f>
        <v>21.5</v>
      </c>
      <c r="G162" s="34">
        <f>_xlfn.XLOOKUP($A162,'[1]DATOS PBI Artículos'!A:A,'[1]DATOS PBI Artículos'!AR:AR)</f>
        <v>10000</v>
      </c>
      <c r="H162" s="34">
        <f>_xlfn.XLOOKUP($A162,'[1]DATOS PBI Artículos'!A:A,'[1]DATOS PBI Artículos'!AT:AT)</f>
        <v>0</v>
      </c>
      <c r="I162" s="34">
        <f>_xlfn.XLOOKUP($A162,'[1]DATOS PBI Artículos'!A:A,'[1]DATOS PBI Artículos'!AS:AS)</f>
        <v>10000</v>
      </c>
      <c r="J162" s="35">
        <f>IF(COUNTIF([1]CRITERIOS!$F$179:$F$199,$A162)&gt;=1,
 IF(O162&lt;&gt;"",
    (O162/_xlfn.XLOOKUP(CONCATENATE(A162,L162),[1]MÁQUINAS!A:A,[1]MÁQUINAS!D:D))/24,
    (N162/_xlfn.XLOOKUP(CONCATENATE(A162,L162),[1]MÁQUINAS!A:A,[1]MÁQUINAS!D:D))/24),
  _xlfn.XLOOKUP($A162,'[1]DATOS PBI Artículos'!A:A,'[1]DATOS PBI Artículos'!AU:AU))</f>
        <v>1.625</v>
      </c>
      <c r="K162" s="36">
        <f>_xlfn.XLOOKUP($A162,'[1]DATOS PBI Artículos'!A:A,'[1]DATOS PBI Artículos'!AV:AV)</f>
        <v>0.35355339059327379</v>
      </c>
      <c r="L162" s="33">
        <f>_xlfn.XLOOKUP(A162,[1]MÁQUINAS!B:B,[1]MÁQUINAS!C:C)</f>
        <v>799</v>
      </c>
      <c r="M162" s="34" t="e">
        <f t="array" ref="M162">_xlfn.XLOOKUP(A162,'[1]DATOS PBI Artículos'!A:A,'[1]DATOS PBI Artículos'!AX:$AX)</f>
        <v>#DIV/0!</v>
      </c>
      <c r="N162" s="37" t="e">
        <f>IF(I162="DV",
E162,
IF(COUNTIF([1]CRITERIOS!$I$179:$I$199,$A162)&gt;=1,
_xlfn.XLOOKUP($A162,[1]CRITERIOS!$I$179:$I$199,[1]CRITERIOS!$J$179:$J$199),
IF(COUNTIF([1]CRITERIOS!$L$179:$L$199,$A162)&gt;=1,
_xlfn.CEILING.MATH(IF($M162&gt;$E162,
$E162,
IF($M162&lt;$E162/ROUNDDOWN([1]CRITERIOS!$M$16/_xlfn.XLOOKUP($C162,[1]CRITERIOS!$K$25:$K$42,[1]CRITERIOS!$M$25:$M$42),
1),
E162/ROUNDDOWN([1]CRITERIOS!$M$16/_xlfn.XLOOKUP($C162,[1]CRITERIOS!$K$25:$K$42,[1]CRITERIOS!$M$25:$M$42),
1),
$M162)),
_xlfn.XLOOKUP($A162,[1]CRITERIOS!$L$179:$L$200,[1]CRITERIOS!$M$179:$M$200)),
_xlfn.CEILING.MATH(IF($M162&gt;$E162,
$E162,
IF($M162&lt;$E162/ROUNDDOWN([1]CRITERIOS!$M$16/_xlfn.XLOOKUP($C162,[1]CRITERIOS!$K$25:$K$42,[1]CRITERIOS!$M$25:$M$42),
1),
E162/ROUNDDOWN([1]CRITERIOS!$M$16/_xlfn.XLOOKUP($C162,[1]CRITERIOS!$K$25:$K$42,[1]CRITERIOS!$M$25:$M$42),
1),
$M162)),_xlfn.XLOOKUP(A162,'[1]DATOS PBI Artículos'!A:A,'[1]DATOS PBI Artículos'!Z:Z
)))))</f>
        <v>#DIV/0!</v>
      </c>
      <c r="Q162" s="38" t="e">
        <f>IF(AND(O162="",N162=0),
0,
   IF(COUNTIF([1]CRITERIOS!$F$179:$F$199,$A162)&gt;=1,
   1,
   IF(R162="MTO",
      $D162,
      ROUNDUP(
                    IF(($E162-SUMIF('[1]DATOS PBI Artículos'!A:A,A162,'[1]DATOS PBI Artículos'!X:X)+($V162-_xlfn.XLOOKUP(A162,'[1]DATOS PBI Artículos'!A:A,'[1]DATOS PBI Artículos'!W:W)))&lt;0,
                    0,
                    IF(($E162-SUMIF('[1]DATOS PBI Artículos'!A:A,A162,'[1]DATOS PBI Artículos'!X:X)+$V162-_xlfn.XLOOKUP($A162,'[1]DATOS PBI Artículos'!A:A,'[1]DATOS PBI Artículos'!W:W))/IF($O162="",$N162,$O162)&gt;ROUNDUP([1]CRITERIOS!$M$16/(IF(COUNTIF([1]CRITERIOS!$BG$11:$BG$201,L162)&gt;=1,_xlfn.XLOOKUP($C162,[1]CRITERIOS!$K$25:$K$42,[1]CRITERIOS!$M$25:$M$42),_xlfn.XLOOKUP($C162,[1]CRITERIOS!$K$25:$K$42,[1]CRITERIOS!$M$25:$M$42))),0),
                    ROUNDUP([1]CRITERIOS!$M$16/(IF(COUNTIF([1]CRITERIOS!$BG$11:$BG$201,$L162)&gt;=1,_xlfn.XLOOKUP($C162,[1]CRITERIOS!$K$25:$K$42,[1]CRITERIOS!$M$25:$M$42),_xlfn.XLOOKUP($C162,[1]CRITERIOS!$K$25:$K$42,[1]CRITERIOS!$M$25:$M$42))),0),
                    (E162+V162-SUMIF('[1]DATOS PBI Artículos'!A:A,A162,'[1]DATOS PBI Artículos'!X:X)-_xlfn.XLOOKUP(A162,'[1]DATOS PBI Artículos'!A:A,'[1]DATOS PBI Artículos'!W:W))/IF($O162="",$N162,$O162))),0))))</f>
        <v>#DIV/0!</v>
      </c>
      <c r="R162" s="33" t="e">
        <f>IF(U162&lt;&gt;"",U162,IF(F162="DV","MTO",IF(N162=0,"MTO",_xlfn.XLOOKUP(CONCATENATE(S162,T162),[1]CRITERIOS!$K$160:$K$168,[1]CRITERIOS!$N$160:$N$168))))</f>
        <v>#DIV/0!</v>
      </c>
      <c r="S162" s="33" t="e">
        <f>IF(G162="DV","MTO",IF(N162=0,"MTO",IF(OR(AND(N162=0,O162=""),IF(O162="",G162/N162,G162/O162)&gt;[1]CRITERIOS!$G$163),"MTO",IF(IF(O162="",G162/N162,G162/O162)&lt;[1]CRITERIOS!$H$161,"MTS","MTOS"))))</f>
        <v>#DIV/0!</v>
      </c>
      <c r="T162" s="33" t="e">
        <f>IF(F162="DV","MTO",IF(OR(AND($N162=0,O162=""),$F162/$J162&gt;[1]CRITERIOS!$G$170,$F162="DV"),"MTO",IF($F162/$J162&lt;[1]CRITERIOS!$H$168,"MTS","MTOS")))</f>
        <v>#DIV/0!</v>
      </c>
      <c r="V162" s="34" t="e">
        <f t="shared" si="10"/>
        <v>#DIV/0!</v>
      </c>
      <c r="X162" s="34" t="e">
        <f t="shared" si="8"/>
        <v>#DIV/0!</v>
      </c>
      <c r="Y162" s="34" t="e">
        <f t="shared" si="9"/>
        <v>#DIV/0!</v>
      </c>
      <c r="Z162" s="34" t="e">
        <f>IF($R162="MTO",
0,
($H162+$K162*($E162/[1]CRITERIOS!$M$16))/[1]CRITERIOS!$X$48)</f>
        <v>#DIV/0!</v>
      </c>
      <c r="AA162" s="34" t="e">
        <f>ROUNDUP(($Y162/_xlfn.XLOOKUP($A162,'[1]DATOS PBI Artículos'!$A$4:$A$4,'[1]DATOS PBI Artículos'!$Z$4:$Z$4))/_xlfn.XLOOKUP(_xlfn.XLOOKUP($A162,'[1]DATOS PBI Artículos'!$A$4:$A$4,'[1]DATOS PBI Artículos'!$Y$4:$Y$4),[1]CRITERIOS!$P$79:$P$123,[1]CRITERIOS!$S$79:$S$123,),0)</f>
        <v>#DIV/0!</v>
      </c>
      <c r="AB162" s="33" t="e">
        <f t="array" ref="AB162">IF((E162+V162-_xlfn.XLOOKUP(A162,'[1]DATOS PBI Artículos'!$A$4:$A$4,'[1]DATOS PBI Artículos'!$W$4:$W$4))/N162&gt;ROUNDUP([1]CRITERIOS!$M$16/(IF(COUNTIF([1]CRITERIOS!$BG$11:$BG$201,L162)&gt;=1,_xlfn.XLOOKUP(ARTÍCULOS!L162,[1]CRITERIOS!$BG$11:$BG$201,[1]CRITERIOS!$BJ$11:$BJ$201),_xlfn.XLOOKUP(ARTÍCULOS!C162,[1]CRITERIOS!$K$25:$K$42,[1]CRITERIOS!$M$25:$M$42))),0),ROUNDUP([1]CRITERIOS!$M$16/(IF(COUNTIF([1]CRITERIOS!$BG$11:$BG$201,L162)&gt;=1,_xlfn.XLOOKUP(ARTÍCULOS!L162,[1]CRITERIOS!$BG$11:$BG$201:#REF!,[1]CRITERIOS!$BJ$11:$BJ$201),_xlfn.XLOOKUP(ARTÍCULOS!C162,[1]CRITERIOS!$K$25:$K$42,[1]CRITERIOS!$M$25:$M$42))),0),(E162+V162-_xlfn.XLOOKUP(A162,'[1]DATOS PBI Artículos'!$A$4:$A$4,'[1]DATOS PBI Artículos'!$W$4:$W$4))/N162)</f>
        <v>#DIV/0!</v>
      </c>
      <c r="AC162" s="33" t="e">
        <f>IF(N162=0,"",(ROUNDUP((N162/2)/(_xlfn.XLOOKUP(A162,'[1]DATOS PBI Artículos'!$A$4:$A$4,'[1]DATOS PBI Artículos'!$Z$4:$Z$4)*_xlfn.XLOOKUP(_xlfn.XLOOKUP(A162,'[1]DATOS PBI Artículos'!$A$4:$A$4,'[1]DATOS PBI Artículos'!$Y$4:$Y$4),[1]CRITERIOS!$P$79:$P$123,[1]CRITERIOS!$S$79:$S$123)),0)*[1]CRITERIOS!$M$80*([1]CRITERIOS!$M$110/[1]CRITERIOS!$M$86)+(_xlfn.XLOOKUP(A162,'[1]DATOS PBI Artículos'!$A$4:$A$4,'[1]DATOS PBI Artículos'!$AA$4:$AA$4)*([1]CRITERIOS!$M$95+[1]CRITERIOS!$M$98)))/N162)</f>
        <v>#DIV/0!</v>
      </c>
      <c r="AD162" s="33" t="e">
        <f>IF(N162=0,"",(ROUNDUP((N162/2)/(_xlfn.XLOOKUP(A162,'[1]DATOS PBI Artículos'!$A$4:$A$4,'[1]DATOS PBI Artículos'!$Z$4:$Z$4)*_xlfn.XLOOKUP(_xlfn.XLOOKUP(A162,'[1]DATOS PBI Artículos'!$A$4:$A$4,'[1]DATOS PBI Artículos'!$Y$4:$Y$4),[1]CRITERIOS!$P$79:$P$123,[1]CRITERIOS!$S$79:$S$123)),0)*[1]CRITERIOS!$M$80*([1]CRITERIOS!$M$89*[1]CRITERIOS!$M$92)+((_xlfn.XLOOKUP(A162,'[1]DATOS PBI Artículos'!$A$4:$A$4,'[1]DATOS PBI Artículos'!$AA$4:$AA$4)/2)*([1]CRITERIOS!$M$95+[1]CRITERIOS!$M$98)))/N162)</f>
        <v>#DIV/0!</v>
      </c>
      <c r="AE162" s="39" t="e">
        <f>IF($R162="MTO","",
IF($H162=0,ROUNDUP(((_xlfn.XLOOKUP($A162,'[1]DATOS PBI Artículos'!$A:$A,'[1]DATOS PBI Artículos'!$AL:$AL))/(_xlfn.XLOOKUP($AF$1,[1]CRITERIOS!$S$16:$S$39,[1]CRITERIOS!$Y$16:$Y$39))*$J162+$Z162)/$G162,0)*$G162,
((_xlfn.XLOOKUP($A162,'[1]DATOS PBI Artículos'!$A:$A,'[1]DATOS PBI Artículos'!$AL:$AL))/(_xlfn.XLOOKUP($AF$1,[1]CRITERIOS!$S$16:$S$39,[1]CRITERIOS!$Y$16:$Y$39))*$J162+$Z162)))</f>
        <v>#DIV/0!</v>
      </c>
      <c r="AG162" s="39" t="e">
        <f>IF($R162="MTO","",
IF($H162=0,ROUNDUP(((_xlfn.XLOOKUP($A162,'[1]DATOS PBI Artículos'!$A:$A,'[1]DATOS PBI Artículos'!$AM:$AM))/(_xlfn.XLOOKUP($AH$1,[1]CRITERIOS!$S$16:$S$39,[1]CRITERIOS!$Y$16:$Y$39))*$J162+$Z162)/$G162,0)*$G162,
((_xlfn.XLOOKUP($A162,'[1]DATOS PBI Artículos'!$A:$A,'[1]DATOS PBI Artículos'!$AM:$AM))/(_xlfn.XLOOKUP($AH$1,[1]CRITERIOS!$S$16:$S$39,[1]CRITERIOS!$Y$16:$Y$39))*$J162+$Z162)))</f>
        <v>#DIV/0!</v>
      </c>
      <c r="AI162" s="39" t="e">
        <f>IF($R162="MTO","",
IF($H162=0,ROUNDUP(((_xlfn.XLOOKUP($A162,'[1]DATOS PBI Artículos'!$A:$A,'[1]DATOS PBI Artículos'!$AN:$AN))/(_xlfn.XLOOKUP($AJ$1,[1]CRITERIOS!$S$16:$S$39,[1]CRITERIOS!$Y$16:$Y$39))*$J162+$Z162)/$G162,0)*$G162,
((_xlfn.XLOOKUP($A162,'[1]DATOS PBI Artículos'!$A:$A,'[1]DATOS PBI Artículos'!$AN:$AN))/(_xlfn.XLOOKUP($AJ$1,[1]CRITERIOS!$S$16:$S$39,[1]CRITERIOS!$Y$16:$Y$39))*$J162+$Z162)))</f>
        <v>#DIV/0!</v>
      </c>
      <c r="AK162" s="39" t="e">
        <f>IF($R162="MTO","",
IF($H162=0,ROUNDUP(((_xlfn.XLOOKUP($A162,'[1]DATOS PBI Artículos'!$A:$A,'[1]DATOS PBI Artículos'!$AO:$AO))/(_xlfn.XLOOKUP($AL$1,[1]CRITERIOS!$S$16:$S$39,[1]CRITERIOS!$Y$16:$Y$39))*$J162+$Z162)/$G162,0)*$G162,
((_xlfn.XLOOKUP($A162,'[1]DATOS PBI Artículos'!$A:$A,'[1]DATOS PBI Artículos'!$AO:$AO))/(_xlfn.XLOOKUP($AL$1,[1]CRITERIOS!$S$16:$S$39,[1]CRITERIOS!$Y$16:$Y$39))*$J162+$Z162)))</f>
        <v>#DIV/0!</v>
      </c>
    </row>
    <row r="163" spans="1:37" ht="25.8" x14ac:dyDescent="0.5">
      <c r="A163" s="32" t="s">
        <v>88</v>
      </c>
      <c r="B163" s="33">
        <f>_xlfn.XLOOKUP($A163,'[1]DATOS PBI Artículos'!A:A,'[1]DATOS PBI Artículos'!B:B)</f>
        <v>0</v>
      </c>
      <c r="C163" s="33" t="str">
        <f>_xlfn.XLOOKUP($A163,'[1]DATOS PBI Artículos'!A:A,'[1]DATOS PBI Artículos'!C:C)</f>
        <v>UA01</v>
      </c>
      <c r="D163" s="33">
        <f>_xlfn.XLOOKUP(A163,'[1]DATOS PBI Artículos'!A:A,'[1]DATOS PBI Artículos'!T:T)</f>
        <v>2</v>
      </c>
      <c r="E163" s="34">
        <f>IF(_xlfn.XLOOKUP($A163,'[1]DATOS PBI Artículos'!A:A,'[1]DATOS PBI Artículos'!AK:AK)="",_xlfn.XLOOKUP($A163,'[1]DATOS PBI Artículos'!A:A,'[1]DATOS PBI Artículos'!AJ:AJ),_xlfn.XLOOKUP($A163,'[1]DATOS PBI Artículos'!A:A,'[1]DATOS PBI Artículos'!AK:AK))</f>
        <v>30000</v>
      </c>
      <c r="F163" s="35">
        <f>_xlfn.XLOOKUP($A163,'[1]DATOS PBI Artículos'!A:A,'[1]DATOS PBI Artículos'!AP:AP)</f>
        <v>44</v>
      </c>
      <c r="G163" s="34">
        <f>_xlfn.XLOOKUP($A163,'[1]DATOS PBI Artículos'!A:A,'[1]DATOS PBI Artículos'!AR:AR)</f>
        <v>15000</v>
      </c>
      <c r="H163" s="34">
        <f>_xlfn.XLOOKUP($A163,'[1]DATOS PBI Artículos'!A:A,'[1]DATOS PBI Artículos'!AT:AT)</f>
        <v>0</v>
      </c>
      <c r="I163" s="34">
        <f>_xlfn.XLOOKUP($A163,'[1]DATOS PBI Artículos'!A:A,'[1]DATOS PBI Artículos'!AS:AS)</f>
        <v>15000</v>
      </c>
      <c r="J163" s="35">
        <f>IF(COUNTIF([1]CRITERIOS!$F$179:$F$199,$A163)&gt;=1,
 IF(O163&lt;&gt;"",
    (O163/_xlfn.XLOOKUP(CONCATENATE(A163,L163),[1]MÁQUINAS!A:A,[1]MÁQUINAS!D:D))/24,
    (N163/_xlfn.XLOOKUP(CONCATENATE(A163,L163),[1]MÁQUINAS!A:A,[1]MÁQUINAS!D:D))/24),
  _xlfn.XLOOKUP($A163,'[1]DATOS PBI Artículos'!A:A,'[1]DATOS PBI Artículos'!AU:AU))</f>
        <v>23.2</v>
      </c>
      <c r="K163" s="36">
        <f>_xlfn.XLOOKUP($A163,'[1]DATOS PBI Artículos'!A:A,'[1]DATOS PBI Artículos'!AV:AV)</f>
        <v>3.4205262752974122</v>
      </c>
      <c r="L163" s="33">
        <f>_xlfn.XLOOKUP(A163,[1]MÁQUINAS!B:B,[1]MÁQUINAS!C:C)</f>
        <v>406</v>
      </c>
      <c r="M163" s="34">
        <f t="array" ref="M163">_xlfn.XLOOKUP(A163,'[1]DATOS PBI Artículos'!A:A,'[1]DATOS PBI Artículos'!AX:$AX)</f>
        <v>24052.80381315872</v>
      </c>
      <c r="N163" s="37">
        <f>IF(I163="DV",
E163,
IF(COUNTIF([1]CRITERIOS!$I$179:$I$199,$A163)&gt;=1,
_xlfn.XLOOKUP($A163,[1]CRITERIOS!$I$179:$I$199,[1]CRITERIOS!$J$179:$J$199),
IF(COUNTIF([1]CRITERIOS!$L$179:$L$199,$A163)&gt;=1,
_xlfn.CEILING.MATH(IF($M163&gt;$E163,
$E163,
IF($M163&lt;$E163/ROUNDDOWN([1]CRITERIOS!$M$16/_xlfn.XLOOKUP($C163,[1]CRITERIOS!$K$25:$K$42,[1]CRITERIOS!$M$25:$M$42),
1),
E163/ROUNDDOWN([1]CRITERIOS!$M$16/_xlfn.XLOOKUP($C163,[1]CRITERIOS!$K$25:$K$42,[1]CRITERIOS!$M$25:$M$42),
1),
$M163)),
_xlfn.XLOOKUP($A163,[1]CRITERIOS!$L$179:$L$200,[1]CRITERIOS!$M$179:$M$200)),
_xlfn.CEILING.MATH(IF($M163&gt;$E163,
$E163,
IF($M163&lt;$E163/ROUNDDOWN([1]CRITERIOS!$M$16/_xlfn.XLOOKUP($C163,[1]CRITERIOS!$K$25:$K$42,[1]CRITERIOS!$M$25:$M$42),
1),
E163/ROUNDDOWN([1]CRITERIOS!$M$16/_xlfn.XLOOKUP($C163,[1]CRITERIOS!$K$25:$K$42,[1]CRITERIOS!$M$25:$M$42),
1),
$M163)),_xlfn.XLOOKUP(A163,'[1]DATOS PBI Artículos'!A:A,'[1]DATOS PBI Artículos'!Z:Z
)))))</f>
        <v>25000</v>
      </c>
      <c r="Q163" s="38">
        <f>IF(AND(O163="",N163=0),
0,
   IF(COUNTIF([1]CRITERIOS!$F$179:$F$199,$A163)&gt;=1,
   1,
   IF(R163="MTO",
      $D163,
      ROUNDUP(
                    IF(($E163-SUMIF('[1]DATOS PBI Artículos'!A:A,A163,'[1]DATOS PBI Artículos'!X:X)+($V163-_xlfn.XLOOKUP(A163,'[1]DATOS PBI Artículos'!A:A,'[1]DATOS PBI Artículos'!W:W)))&lt;0,
                    0,
                    IF(($E163-SUMIF('[1]DATOS PBI Artículos'!A:A,A163,'[1]DATOS PBI Artículos'!X:X)+$V163-_xlfn.XLOOKUP($A163,'[1]DATOS PBI Artículos'!A:A,'[1]DATOS PBI Artículos'!W:W))/IF($O163="",$N163,$O163)&gt;ROUNDUP([1]CRITERIOS!$M$16/(IF(COUNTIF([1]CRITERIOS!$BG$11:$BG$201,L163)&gt;=1,_xlfn.XLOOKUP($C163,[1]CRITERIOS!$K$25:$K$42,[1]CRITERIOS!$M$25:$M$42),_xlfn.XLOOKUP($C163,[1]CRITERIOS!$K$25:$K$42,[1]CRITERIOS!$M$25:$M$42))),0),
                    ROUNDUP([1]CRITERIOS!$M$16/(IF(COUNTIF([1]CRITERIOS!$BG$11:$BG$201,$L163)&gt;=1,_xlfn.XLOOKUP($C163,[1]CRITERIOS!$K$25:$K$42,[1]CRITERIOS!$M$25:$M$42),_xlfn.XLOOKUP($C163,[1]CRITERIOS!$K$25:$K$42,[1]CRITERIOS!$M$25:$M$42))),0),
                    (E163+V163-SUMIF('[1]DATOS PBI Artículos'!A:A,A163,'[1]DATOS PBI Artículos'!X:X)-_xlfn.XLOOKUP(A163,'[1]DATOS PBI Artículos'!A:A,'[1]DATOS PBI Artículos'!W:W))/IF($O163="",$N163,$O163))),0))))</f>
        <v>2</v>
      </c>
      <c r="R163" s="33" t="str">
        <f>IF(U163&lt;&gt;"",U163,IF(F163="DV","MTO",IF(N163=0,"MTO",_xlfn.XLOOKUP(CONCATENATE(S163,T163),[1]CRITERIOS!$K$160:$K$168,[1]CRITERIOS!$N$160:$N$168))))</f>
        <v>MTO</v>
      </c>
      <c r="S163" s="33" t="str">
        <f>IF(G163="DV","MTO",IF(N163=0,"MTO",IF(OR(AND(N163=0,O163=""),IF(O163="",G163/N163,G163/O163)&gt;[1]CRITERIOS!$G$163),"MTO",IF(IF(O163="",G163/N163,G163/O163)&lt;[1]CRITERIOS!$H$161,"MTS","MTOS"))))</f>
        <v>MTOS</v>
      </c>
      <c r="T163" s="33" t="str">
        <f>IF(F163="DV","MTO",IF(OR(AND($N163=0,O163=""),$F163/$J163&gt;[1]CRITERIOS!$G$170,$F163="DV"),"MTO",IF($F163/$J163&lt;[1]CRITERIOS!$H$168,"MTS","MTOS")))</f>
        <v>MTO</v>
      </c>
      <c r="V163" s="34" t="str">
        <f t="shared" si="10"/>
        <v/>
      </c>
      <c r="X163" s="34">
        <f t="shared" si="8"/>
        <v>0</v>
      </c>
      <c r="Y163" s="34">
        <f t="shared" si="9"/>
        <v>0</v>
      </c>
      <c r="Z163" s="34">
        <f>IF($R163="MTO",
0,
($H163+$K163*($E163/[1]CRITERIOS!$M$16))/[1]CRITERIOS!$X$48)</f>
        <v>0</v>
      </c>
      <c r="AA163" s="34" t="e">
        <f>ROUNDUP(($Y163/_xlfn.XLOOKUP($A163,'[1]DATOS PBI Artículos'!$A$4:$A$4,'[1]DATOS PBI Artículos'!$Z$4:$Z$4))/_xlfn.XLOOKUP(_xlfn.XLOOKUP($A163,'[1]DATOS PBI Artículos'!$A$4:$A$4,'[1]DATOS PBI Artículos'!$Y$4:$Y$4),[1]CRITERIOS!$P$79:$P$123,[1]CRITERIOS!$S$79:$S$123,),0)</f>
        <v>#N/A</v>
      </c>
      <c r="AB163" s="33" t="e">
        <f t="array" ref="AB163">IF((E163+V163-_xlfn.XLOOKUP(A163,'[1]DATOS PBI Artículos'!$A$4:$A$4,'[1]DATOS PBI Artículos'!$W$4:$W$4))/N163&gt;ROUNDUP([1]CRITERIOS!$M$16/(IF(COUNTIF([1]CRITERIOS!$BG$11:$BG$201,L163)&gt;=1,_xlfn.XLOOKUP(ARTÍCULOS!L163,[1]CRITERIOS!$BG$11:$BG$201,[1]CRITERIOS!$BJ$11:$BJ$201),_xlfn.XLOOKUP(ARTÍCULOS!C163,[1]CRITERIOS!$K$25:$K$42,[1]CRITERIOS!$M$25:$M$42))),0),ROUNDUP([1]CRITERIOS!$M$16/(IF(COUNTIF([1]CRITERIOS!$BG$11:$BG$201,L163)&gt;=1,_xlfn.XLOOKUP(ARTÍCULOS!L163,[1]CRITERIOS!$BG$11:$BG$201:#REF!,[1]CRITERIOS!$BJ$11:$BJ$201),_xlfn.XLOOKUP(ARTÍCULOS!C163,[1]CRITERIOS!$K$25:$K$42,[1]CRITERIOS!$M$25:$M$42))),0),(E163+V163-_xlfn.XLOOKUP(A163,'[1]DATOS PBI Artículos'!$A$4:$A$4,'[1]DATOS PBI Artículos'!$W$4:$W$4))/N163)</f>
        <v>#VALUE!</v>
      </c>
      <c r="AC163" s="33" t="e">
        <f>IF(N163=0,"",(ROUNDUP((N163/2)/(_xlfn.XLOOKUP(A163,'[1]DATOS PBI Artículos'!$A$4:$A$4,'[1]DATOS PBI Artículos'!$Z$4:$Z$4)*_xlfn.XLOOKUP(_xlfn.XLOOKUP(A163,'[1]DATOS PBI Artículos'!$A$4:$A$4,'[1]DATOS PBI Artículos'!$Y$4:$Y$4),[1]CRITERIOS!$P$79:$P$123,[1]CRITERIOS!$S$79:$S$123)),0)*[1]CRITERIOS!$M$80*([1]CRITERIOS!$M$110/[1]CRITERIOS!$M$86)+(_xlfn.XLOOKUP(A163,'[1]DATOS PBI Artículos'!$A$4:$A$4,'[1]DATOS PBI Artículos'!$AA$4:$AA$4)*([1]CRITERIOS!$M$95+[1]CRITERIOS!$M$98)))/N163)</f>
        <v>#N/A</v>
      </c>
      <c r="AD163" s="33" t="e">
        <f>IF(N163=0,"",(ROUNDUP((N163/2)/(_xlfn.XLOOKUP(A163,'[1]DATOS PBI Artículos'!$A$4:$A$4,'[1]DATOS PBI Artículos'!$Z$4:$Z$4)*_xlfn.XLOOKUP(_xlfn.XLOOKUP(A163,'[1]DATOS PBI Artículos'!$A$4:$A$4,'[1]DATOS PBI Artículos'!$Y$4:$Y$4),[1]CRITERIOS!$P$79:$P$123,[1]CRITERIOS!$S$79:$S$123)),0)*[1]CRITERIOS!$M$80*([1]CRITERIOS!$M$89*[1]CRITERIOS!$M$92)+((_xlfn.XLOOKUP(A163,'[1]DATOS PBI Artículos'!$A$4:$A$4,'[1]DATOS PBI Artículos'!$AA$4:$AA$4)/2)*([1]CRITERIOS!$M$95+[1]CRITERIOS!$M$98)))/N163)</f>
        <v>#N/A</v>
      </c>
      <c r="AE163" s="39" t="str">
        <f>IF($R163="MTO","",
IF($H163=0,ROUNDUP(((_xlfn.XLOOKUP($A163,'[1]DATOS PBI Artículos'!$A:$A,'[1]DATOS PBI Artículos'!$AL:$AL))/(_xlfn.XLOOKUP($AF$1,[1]CRITERIOS!$S$16:$S$39,[1]CRITERIOS!$Y$16:$Y$39))*$J163+$Z163)/$G163,0)*$G163,
((_xlfn.XLOOKUP($A163,'[1]DATOS PBI Artículos'!$A:$A,'[1]DATOS PBI Artículos'!$AL:$AL))/(_xlfn.XLOOKUP($AF$1,[1]CRITERIOS!$S$16:$S$39,[1]CRITERIOS!$Y$16:$Y$39))*$J163+$Z163)))</f>
        <v/>
      </c>
      <c r="AG163" s="39" t="str">
        <f>IF($R163="MTO","",
IF($H163=0,ROUNDUP(((_xlfn.XLOOKUP($A163,'[1]DATOS PBI Artículos'!$A:$A,'[1]DATOS PBI Artículos'!$AM:$AM))/(_xlfn.XLOOKUP($AH$1,[1]CRITERIOS!$S$16:$S$39,[1]CRITERIOS!$Y$16:$Y$39))*$J163+$Z163)/$G163,0)*$G163,
((_xlfn.XLOOKUP($A163,'[1]DATOS PBI Artículos'!$A:$A,'[1]DATOS PBI Artículos'!$AM:$AM))/(_xlfn.XLOOKUP($AH$1,[1]CRITERIOS!$S$16:$S$39,[1]CRITERIOS!$Y$16:$Y$39))*$J163+$Z163)))</f>
        <v/>
      </c>
      <c r="AI163" s="39" t="str">
        <f>IF($R163="MTO","",
IF($H163=0,ROUNDUP(((_xlfn.XLOOKUP($A163,'[1]DATOS PBI Artículos'!$A:$A,'[1]DATOS PBI Artículos'!$AN:$AN))/(_xlfn.XLOOKUP($AJ$1,[1]CRITERIOS!$S$16:$S$39,[1]CRITERIOS!$Y$16:$Y$39))*$J163+$Z163)/$G163,0)*$G163,
((_xlfn.XLOOKUP($A163,'[1]DATOS PBI Artículos'!$A:$A,'[1]DATOS PBI Artículos'!$AN:$AN))/(_xlfn.XLOOKUP($AJ$1,[1]CRITERIOS!$S$16:$S$39,[1]CRITERIOS!$Y$16:$Y$39))*$J163+$Z163)))</f>
        <v/>
      </c>
      <c r="AK163" s="39" t="str">
        <f>IF($R163="MTO","",
IF($H163=0,ROUNDUP(((_xlfn.XLOOKUP($A163,'[1]DATOS PBI Artículos'!$A:$A,'[1]DATOS PBI Artículos'!$AO:$AO))/(_xlfn.XLOOKUP($AL$1,[1]CRITERIOS!$S$16:$S$39,[1]CRITERIOS!$Y$16:$Y$39))*$J163+$Z163)/$G163,0)*$G163,
((_xlfn.XLOOKUP($A163,'[1]DATOS PBI Artículos'!$A:$A,'[1]DATOS PBI Artículos'!$AO:$AO))/(_xlfn.XLOOKUP($AL$1,[1]CRITERIOS!$S$16:$S$39,[1]CRITERIOS!$Y$16:$Y$39))*$J163+$Z163)))</f>
        <v/>
      </c>
    </row>
    <row r="164" spans="1:37" ht="25.8" x14ac:dyDescent="0.5">
      <c r="A164" s="32" t="s">
        <v>89</v>
      </c>
      <c r="B164" s="33">
        <f>_xlfn.XLOOKUP($A164,'[1]DATOS PBI Artículos'!A:A,'[1]DATOS PBI Artículos'!B:B)</f>
        <v>0</v>
      </c>
      <c r="C164" s="33" t="str">
        <f>_xlfn.XLOOKUP($A164,'[1]DATOS PBI Artículos'!A:A,'[1]DATOS PBI Artículos'!C:C)</f>
        <v>UA01</v>
      </c>
      <c r="D164" s="33">
        <f>_xlfn.XLOOKUP(A164,'[1]DATOS PBI Artículos'!A:A,'[1]DATOS PBI Artículos'!T:T)</f>
        <v>2</v>
      </c>
      <c r="E164" s="34">
        <f>IF(_xlfn.XLOOKUP($A164,'[1]DATOS PBI Artículos'!A:A,'[1]DATOS PBI Artículos'!AK:AK)="",_xlfn.XLOOKUP($A164,'[1]DATOS PBI Artículos'!A:A,'[1]DATOS PBI Artículos'!AJ:AJ),_xlfn.XLOOKUP($A164,'[1]DATOS PBI Artículos'!A:A,'[1]DATOS PBI Artículos'!AK:AK))</f>
        <v>30000</v>
      </c>
      <c r="F164" s="35">
        <f>_xlfn.XLOOKUP($A164,'[1]DATOS PBI Artículos'!A:A,'[1]DATOS PBI Artículos'!AP:AP)</f>
        <v>38</v>
      </c>
      <c r="G164" s="34">
        <f>_xlfn.XLOOKUP($A164,'[1]DATOS PBI Artículos'!A:A,'[1]DATOS PBI Artículos'!AR:AR)</f>
        <v>15000</v>
      </c>
      <c r="H164" s="34">
        <f>_xlfn.XLOOKUP($A164,'[1]DATOS PBI Artículos'!A:A,'[1]DATOS PBI Artículos'!AT:AT)</f>
        <v>0</v>
      </c>
      <c r="I164" s="34">
        <f>_xlfn.XLOOKUP($A164,'[1]DATOS PBI Artículos'!A:A,'[1]DATOS PBI Artículos'!AS:AS)</f>
        <v>15000</v>
      </c>
      <c r="J164" s="35">
        <f>IF(COUNTIF([1]CRITERIOS!$F$179:$F$199,$A164)&gt;=1,
 IF(O164&lt;&gt;"",
    (O164/_xlfn.XLOOKUP(CONCATENATE(A164,L164),[1]MÁQUINAS!A:A,[1]MÁQUINAS!D:D))/24,
    (N164/_xlfn.XLOOKUP(CONCATENATE(A164,L164),[1]MÁQUINAS!A:A,[1]MÁQUINAS!D:D))/24),
  _xlfn.XLOOKUP($A164,'[1]DATOS PBI Artículos'!A:A,'[1]DATOS PBI Artículos'!AU:AU))</f>
        <v>11</v>
      </c>
      <c r="K164" s="36">
        <f>_xlfn.XLOOKUP($A164,'[1]DATOS PBI Artículos'!A:A,'[1]DATOS PBI Artículos'!AV:AV)</f>
        <v>0</v>
      </c>
      <c r="L164" s="33">
        <f>_xlfn.XLOOKUP(A164,[1]MÁQUINAS!B:B,[1]MÁQUINAS!C:C)</f>
        <v>406</v>
      </c>
      <c r="M164" s="34">
        <f t="array" ref="M164">_xlfn.XLOOKUP(A164,'[1]DATOS PBI Artículos'!A:A,'[1]DATOS PBI Artículos'!AX:$AX)</f>
        <v>32646.761032852035</v>
      </c>
      <c r="N164" s="37">
        <f>IF(I164="DV",
E164,
IF(COUNTIF([1]CRITERIOS!$I$179:$I$199,$A164)&gt;=1,
_xlfn.XLOOKUP($A164,[1]CRITERIOS!$I$179:$I$199,[1]CRITERIOS!$J$179:$J$199),
IF(COUNTIF([1]CRITERIOS!$L$179:$L$199,$A164)&gt;=1,
_xlfn.CEILING.MATH(IF($M164&gt;$E164,
$E164,
IF($M164&lt;$E164/ROUNDDOWN([1]CRITERIOS!$M$16/_xlfn.XLOOKUP($C164,[1]CRITERIOS!$K$25:$K$42,[1]CRITERIOS!$M$25:$M$42),
1),
E164/ROUNDDOWN([1]CRITERIOS!$M$16/_xlfn.XLOOKUP($C164,[1]CRITERIOS!$K$25:$K$42,[1]CRITERIOS!$M$25:$M$42),
1),
$M164)),
_xlfn.XLOOKUP($A164,[1]CRITERIOS!$L$179:$L$200,[1]CRITERIOS!$M$179:$M$200)),
_xlfn.CEILING.MATH(IF($M164&gt;$E164,
$E164,
IF($M164&lt;$E164/ROUNDDOWN([1]CRITERIOS!$M$16/_xlfn.XLOOKUP($C164,[1]CRITERIOS!$K$25:$K$42,[1]CRITERIOS!$M$25:$M$42),
1),
E164/ROUNDDOWN([1]CRITERIOS!$M$16/_xlfn.XLOOKUP($C164,[1]CRITERIOS!$K$25:$K$42,[1]CRITERIOS!$M$25:$M$42),
1),
$M164)),_xlfn.XLOOKUP(A164,'[1]DATOS PBI Artículos'!A:A,'[1]DATOS PBI Artículos'!Z:Z
)))))</f>
        <v>30000</v>
      </c>
      <c r="Q164" s="38">
        <f>IF(AND(O164="",N164=0),
0,
   IF(COUNTIF([1]CRITERIOS!$F$179:$F$199,$A164)&gt;=1,
   1,
   IF(R164="MTO",
      $D164,
      ROUNDUP(
                    IF(($E164-SUMIF('[1]DATOS PBI Artículos'!A:A,A164,'[1]DATOS PBI Artículos'!X:X)+($V164-_xlfn.XLOOKUP(A164,'[1]DATOS PBI Artículos'!A:A,'[1]DATOS PBI Artículos'!W:W)))&lt;0,
                    0,
                    IF(($E164-SUMIF('[1]DATOS PBI Artículos'!A:A,A164,'[1]DATOS PBI Artículos'!X:X)+$V164-_xlfn.XLOOKUP($A164,'[1]DATOS PBI Artículos'!A:A,'[1]DATOS PBI Artículos'!W:W))/IF($O164="",$N164,$O164)&gt;ROUNDUP([1]CRITERIOS!$M$16/(IF(COUNTIF([1]CRITERIOS!$BG$11:$BG$201,L164)&gt;=1,_xlfn.XLOOKUP($C164,[1]CRITERIOS!$K$25:$K$42,[1]CRITERIOS!$M$25:$M$42),_xlfn.XLOOKUP($C164,[1]CRITERIOS!$K$25:$K$42,[1]CRITERIOS!$M$25:$M$42))),0),
                    ROUNDUP([1]CRITERIOS!$M$16/(IF(COUNTIF([1]CRITERIOS!$BG$11:$BG$201,$L164)&gt;=1,_xlfn.XLOOKUP($C164,[1]CRITERIOS!$K$25:$K$42,[1]CRITERIOS!$M$25:$M$42),_xlfn.XLOOKUP($C164,[1]CRITERIOS!$K$25:$K$42,[1]CRITERIOS!$M$25:$M$42))),0),
                    (E164+V164-SUMIF('[1]DATOS PBI Artículos'!A:A,A164,'[1]DATOS PBI Artículos'!X:X)-_xlfn.XLOOKUP(A164,'[1]DATOS PBI Artículos'!A:A,'[1]DATOS PBI Artículos'!W:W))/IF($O164="",$N164,$O164))),0))))</f>
        <v>2</v>
      </c>
      <c r="R164" s="33" t="str">
        <f>IF(U164&lt;&gt;"",U164,IF(F164="DV","MTO",IF(N164=0,"MTO",_xlfn.XLOOKUP(CONCATENATE(S164,T164),[1]CRITERIOS!$K$160:$K$168,[1]CRITERIOS!$N$160:$N$168))))</f>
        <v>MTO</v>
      </c>
      <c r="S164" s="33" t="str">
        <f>IF(G164="DV","MTO",IF(N164=0,"MTO",IF(OR(AND(N164=0,O164=""),IF(O164="",G164/N164,G164/O164)&gt;[1]CRITERIOS!$G$163),"MTO",IF(IF(O164="",G164/N164,G164/O164)&lt;[1]CRITERIOS!$H$161,"MTS","MTOS"))))</f>
        <v>MTOS</v>
      </c>
      <c r="T164" s="33" t="str">
        <f>IF(F164="DV","MTO",IF(OR(AND($N164=0,O164=""),$F164/$J164&gt;[1]CRITERIOS!$G$170,$F164="DV"),"MTO",IF($F164/$J164&lt;[1]CRITERIOS!$H$168,"MTS","MTOS")))</f>
        <v>MTO</v>
      </c>
      <c r="V164" s="34" t="str">
        <f t="shared" si="10"/>
        <v/>
      </c>
      <c r="X164" s="34">
        <f t="shared" si="8"/>
        <v>0</v>
      </c>
      <c r="Y164" s="34">
        <f t="shared" si="9"/>
        <v>0</v>
      </c>
      <c r="Z164" s="34">
        <f>IF($R164="MTO",
0,
($H164+$K164*($E164/[1]CRITERIOS!$M$16))/[1]CRITERIOS!$X$48)</f>
        <v>0</v>
      </c>
      <c r="AA164" s="34" t="e">
        <f>ROUNDUP(($Y164/_xlfn.XLOOKUP($A164,'[1]DATOS PBI Artículos'!$A$4:$A$4,'[1]DATOS PBI Artículos'!$Z$4:$Z$4))/_xlfn.XLOOKUP(_xlfn.XLOOKUP($A164,'[1]DATOS PBI Artículos'!$A$4:$A$4,'[1]DATOS PBI Artículos'!$Y$4:$Y$4),[1]CRITERIOS!$P$79:$P$123,[1]CRITERIOS!$S$79:$S$123,),0)</f>
        <v>#N/A</v>
      </c>
      <c r="AB164" s="33" t="e">
        <f t="array" ref="AB164">IF((E164+V164-_xlfn.XLOOKUP(A164,'[1]DATOS PBI Artículos'!$A$4:$A$4,'[1]DATOS PBI Artículos'!$W$4:$W$4))/N164&gt;ROUNDUP([1]CRITERIOS!$M$16/(IF(COUNTIF([1]CRITERIOS!$BG$11:$BG$201,L164)&gt;=1,_xlfn.XLOOKUP(ARTÍCULOS!L164,[1]CRITERIOS!$BG$11:$BG$201,[1]CRITERIOS!$BJ$11:$BJ$201),_xlfn.XLOOKUP(ARTÍCULOS!C164,[1]CRITERIOS!$K$25:$K$42,[1]CRITERIOS!$M$25:$M$42))),0),ROUNDUP([1]CRITERIOS!$M$16/(IF(COUNTIF([1]CRITERIOS!$BG$11:$BG$201,L164)&gt;=1,_xlfn.XLOOKUP(ARTÍCULOS!L164,[1]CRITERIOS!$BG$11:$BG$201:#REF!,[1]CRITERIOS!$BJ$11:$BJ$201),_xlfn.XLOOKUP(ARTÍCULOS!C164,[1]CRITERIOS!$K$25:$K$42,[1]CRITERIOS!$M$25:$M$42))),0),(E164+V164-_xlfn.XLOOKUP(A164,'[1]DATOS PBI Artículos'!$A$4:$A$4,'[1]DATOS PBI Artículos'!$W$4:$W$4))/N164)</f>
        <v>#VALUE!</v>
      </c>
      <c r="AC164" s="33" t="e">
        <f>IF(N164=0,"",(ROUNDUP((N164/2)/(_xlfn.XLOOKUP(A164,'[1]DATOS PBI Artículos'!$A$4:$A$4,'[1]DATOS PBI Artículos'!$Z$4:$Z$4)*_xlfn.XLOOKUP(_xlfn.XLOOKUP(A164,'[1]DATOS PBI Artículos'!$A$4:$A$4,'[1]DATOS PBI Artículos'!$Y$4:$Y$4),[1]CRITERIOS!$P$79:$P$123,[1]CRITERIOS!$S$79:$S$123)),0)*[1]CRITERIOS!$M$80*([1]CRITERIOS!$M$110/[1]CRITERIOS!$M$86)+(_xlfn.XLOOKUP(A164,'[1]DATOS PBI Artículos'!$A$4:$A$4,'[1]DATOS PBI Artículos'!$AA$4:$AA$4)*([1]CRITERIOS!$M$95+[1]CRITERIOS!$M$98)))/N164)</f>
        <v>#N/A</v>
      </c>
      <c r="AD164" s="33" t="e">
        <f>IF(N164=0,"",(ROUNDUP((N164/2)/(_xlfn.XLOOKUP(A164,'[1]DATOS PBI Artículos'!$A$4:$A$4,'[1]DATOS PBI Artículos'!$Z$4:$Z$4)*_xlfn.XLOOKUP(_xlfn.XLOOKUP(A164,'[1]DATOS PBI Artículos'!$A$4:$A$4,'[1]DATOS PBI Artículos'!$Y$4:$Y$4),[1]CRITERIOS!$P$79:$P$123,[1]CRITERIOS!$S$79:$S$123)),0)*[1]CRITERIOS!$M$80*([1]CRITERIOS!$M$89*[1]CRITERIOS!$M$92)+((_xlfn.XLOOKUP(A164,'[1]DATOS PBI Artículos'!$A$4:$A$4,'[1]DATOS PBI Artículos'!$AA$4:$AA$4)/2)*([1]CRITERIOS!$M$95+[1]CRITERIOS!$M$98)))/N164)</f>
        <v>#N/A</v>
      </c>
      <c r="AE164" s="39" t="str">
        <f>IF($R164="MTO","",
IF($H164=0,ROUNDUP(((_xlfn.XLOOKUP($A164,'[1]DATOS PBI Artículos'!$A:$A,'[1]DATOS PBI Artículos'!$AL:$AL))/(_xlfn.XLOOKUP($AF$1,[1]CRITERIOS!$S$16:$S$39,[1]CRITERIOS!$Y$16:$Y$39))*$J164+$Z164)/$G164,0)*$G164,
((_xlfn.XLOOKUP($A164,'[1]DATOS PBI Artículos'!$A:$A,'[1]DATOS PBI Artículos'!$AL:$AL))/(_xlfn.XLOOKUP($AF$1,[1]CRITERIOS!$S$16:$S$39,[1]CRITERIOS!$Y$16:$Y$39))*$J164+$Z164)))</f>
        <v/>
      </c>
      <c r="AG164" s="39" t="str">
        <f>IF($R164="MTO","",
IF($H164=0,ROUNDUP(((_xlfn.XLOOKUP($A164,'[1]DATOS PBI Artículos'!$A:$A,'[1]DATOS PBI Artículos'!$AM:$AM))/(_xlfn.XLOOKUP($AH$1,[1]CRITERIOS!$S$16:$S$39,[1]CRITERIOS!$Y$16:$Y$39))*$J164+$Z164)/$G164,0)*$G164,
((_xlfn.XLOOKUP($A164,'[1]DATOS PBI Artículos'!$A:$A,'[1]DATOS PBI Artículos'!$AM:$AM))/(_xlfn.XLOOKUP($AH$1,[1]CRITERIOS!$S$16:$S$39,[1]CRITERIOS!$Y$16:$Y$39))*$J164+$Z164)))</f>
        <v/>
      </c>
      <c r="AI164" s="39" t="str">
        <f>IF($R164="MTO","",
IF($H164=0,ROUNDUP(((_xlfn.XLOOKUP($A164,'[1]DATOS PBI Artículos'!$A:$A,'[1]DATOS PBI Artículos'!$AN:$AN))/(_xlfn.XLOOKUP($AJ$1,[1]CRITERIOS!$S$16:$S$39,[1]CRITERIOS!$Y$16:$Y$39))*$J164+$Z164)/$G164,0)*$G164,
((_xlfn.XLOOKUP($A164,'[1]DATOS PBI Artículos'!$A:$A,'[1]DATOS PBI Artículos'!$AN:$AN))/(_xlfn.XLOOKUP($AJ$1,[1]CRITERIOS!$S$16:$S$39,[1]CRITERIOS!$Y$16:$Y$39))*$J164+$Z164)))</f>
        <v/>
      </c>
      <c r="AK164" s="39" t="str">
        <f>IF($R164="MTO","",
IF($H164=0,ROUNDUP(((_xlfn.XLOOKUP($A164,'[1]DATOS PBI Artículos'!$A:$A,'[1]DATOS PBI Artículos'!$AO:$AO))/(_xlfn.XLOOKUP($AL$1,[1]CRITERIOS!$S$16:$S$39,[1]CRITERIOS!$Y$16:$Y$39))*$J164+$Z164)/$G164,0)*$G164,
((_xlfn.XLOOKUP($A164,'[1]DATOS PBI Artículos'!$A:$A,'[1]DATOS PBI Artículos'!$AO:$AO))/(_xlfn.XLOOKUP($AL$1,[1]CRITERIOS!$S$16:$S$39,[1]CRITERIOS!$Y$16:$Y$39))*$J164+$Z164)))</f>
        <v/>
      </c>
    </row>
    <row r="165" spans="1:37" ht="25.8" x14ac:dyDescent="0.5">
      <c r="A165" s="32" t="s">
        <v>90</v>
      </c>
      <c r="B165" s="33">
        <f>_xlfn.XLOOKUP($A165,'[1]DATOS PBI Artículos'!A:A,'[1]DATOS PBI Artículos'!B:B)</f>
        <v>0</v>
      </c>
      <c r="C165" s="33" t="str">
        <f>_xlfn.XLOOKUP($A165,'[1]DATOS PBI Artículos'!A:A,'[1]DATOS PBI Artículos'!C:C)</f>
        <v>UA01</v>
      </c>
      <c r="D165" s="33">
        <f>_xlfn.XLOOKUP(A165,'[1]DATOS PBI Artículos'!A:A,'[1]DATOS PBI Artículos'!T:T)</f>
        <v>6</v>
      </c>
      <c r="E165" s="34">
        <f>IF(_xlfn.XLOOKUP($A165,'[1]DATOS PBI Artículos'!A:A,'[1]DATOS PBI Artículos'!AK:AK)="",_xlfn.XLOOKUP($A165,'[1]DATOS PBI Artículos'!A:A,'[1]DATOS PBI Artículos'!AJ:AJ),_xlfn.XLOOKUP($A165,'[1]DATOS PBI Artículos'!A:A,'[1]DATOS PBI Artículos'!AK:AK))</f>
        <v>30000</v>
      </c>
      <c r="F165" s="35">
        <f>_xlfn.XLOOKUP($A165,'[1]DATOS PBI Artículos'!A:A,'[1]DATOS PBI Artículos'!AP:AP)</f>
        <v>17.25</v>
      </c>
      <c r="G165" s="34">
        <f>_xlfn.XLOOKUP($A165,'[1]DATOS PBI Artículos'!A:A,'[1]DATOS PBI Artículos'!AR:AR)</f>
        <v>6000</v>
      </c>
      <c r="H165" s="34">
        <f>_xlfn.XLOOKUP($A165,'[1]DATOS PBI Artículos'!A:A,'[1]DATOS PBI Artículos'!AT:AT)</f>
        <v>0</v>
      </c>
      <c r="I165" s="34">
        <f>_xlfn.XLOOKUP($A165,'[1]DATOS PBI Artículos'!A:A,'[1]DATOS PBI Artículos'!AS:AS)</f>
        <v>6000</v>
      </c>
      <c r="J165" s="35">
        <f>IF(COUNTIF([1]CRITERIOS!$F$179:$F$199,$A165)&gt;=1,
 IF(O165&lt;&gt;"",
    (O165/_xlfn.XLOOKUP(CONCATENATE(A165,L165),[1]MÁQUINAS!A:A,[1]MÁQUINAS!D:D))/24,
    (N165/_xlfn.XLOOKUP(CONCATENATE(A165,L165),[1]MÁQUINAS!A:A,[1]MÁQUINAS!D:D))/24),
  _xlfn.XLOOKUP($A165,'[1]DATOS PBI Artículos'!A:A,'[1]DATOS PBI Artículos'!AU:AU))</f>
        <v>18</v>
      </c>
      <c r="K165" s="36">
        <f>_xlfn.XLOOKUP($A165,'[1]DATOS PBI Artículos'!A:A,'[1]DATOS PBI Artículos'!AV:AV)</f>
        <v>4.5825756949558398</v>
      </c>
      <c r="L165" s="33">
        <f>_xlfn.XLOOKUP(A165,[1]MÁQUINAS!B:B,[1]MÁQUINAS!C:C)</f>
        <v>406</v>
      </c>
      <c r="M165" s="34">
        <f t="array" ref="M165">_xlfn.XLOOKUP(A165,'[1]DATOS PBI Artículos'!A:A,'[1]DATOS PBI Artículos'!AX:$AX)</f>
        <v>39992.704308640961</v>
      </c>
      <c r="N165" s="37">
        <f>IF(I165="DV",
E165,
IF(COUNTIF([1]CRITERIOS!$I$179:$I$199,$A165)&gt;=1,
_xlfn.XLOOKUP($A165,[1]CRITERIOS!$I$179:$I$199,[1]CRITERIOS!$J$179:$J$199),
IF(COUNTIF([1]CRITERIOS!$L$179:$L$199,$A165)&gt;=1,
_xlfn.CEILING.MATH(IF($M165&gt;$E165,
$E165,
IF($M165&lt;$E165/ROUNDDOWN([1]CRITERIOS!$M$16/_xlfn.XLOOKUP($C165,[1]CRITERIOS!$K$25:$K$42,[1]CRITERIOS!$M$25:$M$42),
1),
E165/ROUNDDOWN([1]CRITERIOS!$M$16/_xlfn.XLOOKUP($C165,[1]CRITERIOS!$K$25:$K$42,[1]CRITERIOS!$M$25:$M$42),
1),
$M165)),
_xlfn.XLOOKUP($A165,[1]CRITERIOS!$L$179:$L$200,[1]CRITERIOS!$M$179:$M$200)),
_xlfn.CEILING.MATH(IF($M165&gt;$E165,
$E165,
IF($M165&lt;$E165/ROUNDDOWN([1]CRITERIOS!$M$16/_xlfn.XLOOKUP($C165,[1]CRITERIOS!$K$25:$K$42,[1]CRITERIOS!$M$25:$M$42),
1),
E165/ROUNDDOWN([1]CRITERIOS!$M$16/_xlfn.XLOOKUP($C165,[1]CRITERIOS!$K$25:$K$42,[1]CRITERIOS!$M$25:$M$42),
1),
$M165)),_xlfn.XLOOKUP(A165,'[1]DATOS PBI Artículos'!A:A,'[1]DATOS PBI Artículos'!Z:Z
)))))</f>
        <v>30000</v>
      </c>
      <c r="Q165" s="38">
        <f>IF(AND(O165="",N165=0),
0,
   IF(COUNTIF([1]CRITERIOS!$F$179:$F$199,$A165)&gt;=1,
   1,
   IF(R165="MTO",
      $D165,
      ROUNDUP(
                    IF(($E165-SUMIF('[1]DATOS PBI Artículos'!A:A,A165,'[1]DATOS PBI Artículos'!X:X)+($V165-_xlfn.XLOOKUP(A165,'[1]DATOS PBI Artículos'!A:A,'[1]DATOS PBI Artículos'!W:W)))&lt;0,
                    0,
                    IF(($E165-SUMIF('[1]DATOS PBI Artículos'!A:A,A165,'[1]DATOS PBI Artículos'!X:X)+$V165-_xlfn.XLOOKUP($A165,'[1]DATOS PBI Artículos'!A:A,'[1]DATOS PBI Artículos'!W:W))/IF($O165="",$N165,$O165)&gt;ROUNDUP([1]CRITERIOS!$M$16/(IF(COUNTIF([1]CRITERIOS!$BG$11:$BG$201,L165)&gt;=1,_xlfn.XLOOKUP($C165,[1]CRITERIOS!$K$25:$K$42,[1]CRITERIOS!$M$25:$M$42),_xlfn.XLOOKUP($C165,[1]CRITERIOS!$K$25:$K$42,[1]CRITERIOS!$M$25:$M$42))),0),
                    ROUNDUP([1]CRITERIOS!$M$16/(IF(COUNTIF([1]CRITERIOS!$BG$11:$BG$201,$L165)&gt;=1,_xlfn.XLOOKUP($C165,[1]CRITERIOS!$K$25:$K$42,[1]CRITERIOS!$M$25:$M$42),_xlfn.XLOOKUP($C165,[1]CRITERIOS!$K$25:$K$42,[1]CRITERIOS!$M$25:$M$42))),0),
                    (E165+V165-SUMIF('[1]DATOS PBI Artículos'!A:A,A165,'[1]DATOS PBI Artículos'!X:X)-_xlfn.XLOOKUP(A165,'[1]DATOS PBI Artículos'!A:A,'[1]DATOS PBI Artículos'!W:W))/IF($O165="",$N165,$O165))),0))))</f>
        <v>1</v>
      </c>
      <c r="R165" s="33" t="str">
        <f>IF(U165&lt;&gt;"",U165,IF(F165="DV","MTO",IF(N165=0,"MTO",_xlfn.XLOOKUP(CONCATENATE(S165,T165),[1]CRITERIOS!$K$160:$K$168,[1]CRITERIOS!$N$160:$N$168))))</f>
        <v>MTS</v>
      </c>
      <c r="S165" s="33" t="str">
        <f>IF(G165="DV","MTO",IF(N165=0,"MTO",IF(OR(AND(N165=0,O165=""),IF(O165="",G165/N165,G165/O165)&gt;[1]CRITERIOS!$G$163),"MTO",IF(IF(O165="",G165/N165,G165/O165)&lt;[1]CRITERIOS!$H$161,"MTS","MTOS"))))</f>
        <v>MTS</v>
      </c>
      <c r="T165" s="33" t="str">
        <f>IF(F165="DV","MTO",IF(OR(AND($N165=0,O165=""),$F165/$J165&gt;[1]CRITERIOS!$G$170,$F165="DV"),"MTO",IF($F165/$J165&lt;[1]CRITERIOS!$H$168,"MTS","MTOS")))</f>
        <v>MTS</v>
      </c>
      <c r="V165" s="34">
        <f t="shared" si="10"/>
        <v>7788.3947968693383</v>
      </c>
      <c r="X165" s="34">
        <f t="shared" si="8"/>
        <v>37788.394796869339</v>
      </c>
      <c r="Y165" s="34">
        <f t="shared" si="9"/>
        <v>16527.525231651947</v>
      </c>
      <c r="Z165" s="34">
        <f>IF($R165="MTO",
0,
($H165+$K165*($E165/[1]CRITERIOS!$M$16))/[1]CRITERIOS!$X$48)</f>
        <v>1527.5252316519468</v>
      </c>
      <c r="AA165" s="34" t="e">
        <f>ROUNDUP(($Y165/_xlfn.XLOOKUP($A165,'[1]DATOS PBI Artículos'!$A$4:$A$4,'[1]DATOS PBI Artículos'!$Z$4:$Z$4))/_xlfn.XLOOKUP(_xlfn.XLOOKUP($A165,'[1]DATOS PBI Artículos'!$A$4:$A$4,'[1]DATOS PBI Artículos'!$Y$4:$Y$4),[1]CRITERIOS!$P$79:$P$123,[1]CRITERIOS!$S$79:$S$123,),0)</f>
        <v>#N/A</v>
      </c>
      <c r="AB165" s="33" t="e">
        <f t="array" ref="AB165">IF((E165+V165-_xlfn.XLOOKUP(A165,'[1]DATOS PBI Artículos'!$A$4:$A$4,'[1]DATOS PBI Artículos'!$W$4:$W$4))/N165&gt;ROUNDUP([1]CRITERIOS!$M$16/(IF(COUNTIF([1]CRITERIOS!$BG$11:$BG$201,L165)&gt;=1,_xlfn.XLOOKUP(ARTÍCULOS!L165,[1]CRITERIOS!$BG$11:$BG$201,[1]CRITERIOS!$BJ$11:$BJ$201),_xlfn.XLOOKUP(ARTÍCULOS!C165,[1]CRITERIOS!$K$25:$K$42,[1]CRITERIOS!$M$25:$M$42))),0),ROUNDUP([1]CRITERIOS!$M$16/(IF(COUNTIF([1]CRITERIOS!$BG$11:$BG$201,L165)&gt;=1,_xlfn.XLOOKUP(ARTÍCULOS!L165,[1]CRITERIOS!$BG$11:$BG$201:#REF!,[1]CRITERIOS!$BJ$11:$BJ$201),_xlfn.XLOOKUP(ARTÍCULOS!C165,[1]CRITERIOS!$K$25:$K$42,[1]CRITERIOS!$M$25:$M$42))),0),(E165+V165-_xlfn.XLOOKUP(A165,'[1]DATOS PBI Artículos'!$A$4:$A$4,'[1]DATOS PBI Artículos'!$W$4:$W$4))/N165)</f>
        <v>#N/A</v>
      </c>
      <c r="AC165" s="33" t="e">
        <f>IF(N165=0,"",(ROUNDUP((N165/2)/(_xlfn.XLOOKUP(A165,'[1]DATOS PBI Artículos'!$A$4:$A$4,'[1]DATOS PBI Artículos'!$Z$4:$Z$4)*_xlfn.XLOOKUP(_xlfn.XLOOKUP(A165,'[1]DATOS PBI Artículos'!$A$4:$A$4,'[1]DATOS PBI Artículos'!$Y$4:$Y$4),[1]CRITERIOS!$P$79:$P$123,[1]CRITERIOS!$S$79:$S$123)),0)*[1]CRITERIOS!$M$80*([1]CRITERIOS!$M$110/[1]CRITERIOS!$M$86)+(_xlfn.XLOOKUP(A165,'[1]DATOS PBI Artículos'!$A$4:$A$4,'[1]DATOS PBI Artículos'!$AA$4:$AA$4)*([1]CRITERIOS!$M$95+[1]CRITERIOS!$M$98)))/N165)</f>
        <v>#N/A</v>
      </c>
      <c r="AD165" s="33" t="e">
        <f>IF(N165=0,"",(ROUNDUP((N165/2)/(_xlfn.XLOOKUP(A165,'[1]DATOS PBI Artículos'!$A$4:$A$4,'[1]DATOS PBI Artículos'!$Z$4:$Z$4)*_xlfn.XLOOKUP(_xlfn.XLOOKUP(A165,'[1]DATOS PBI Artículos'!$A$4:$A$4,'[1]DATOS PBI Artículos'!$Y$4:$Y$4),[1]CRITERIOS!$P$79:$P$123,[1]CRITERIOS!$S$79:$S$123)),0)*[1]CRITERIOS!$M$80*([1]CRITERIOS!$M$89*[1]CRITERIOS!$M$92)+((_xlfn.XLOOKUP(A165,'[1]DATOS PBI Artículos'!$A$4:$A$4,'[1]DATOS PBI Artículos'!$AA$4:$AA$4)/2)*([1]CRITERIOS!$M$95+[1]CRITERIOS!$M$98)))/N165)</f>
        <v>#N/A</v>
      </c>
      <c r="AE165" s="39">
        <f>IF($R165="MTO","",
IF($H165=0,ROUNDUP(((_xlfn.XLOOKUP($A165,'[1]DATOS PBI Artículos'!$A:$A,'[1]DATOS PBI Artículos'!$AL:$AL))/(_xlfn.XLOOKUP($AF$1,[1]CRITERIOS!$S$16:$S$39,[1]CRITERIOS!$Y$16:$Y$39))*$J165+$Z165)/$G165,0)*$G165,
((_xlfn.XLOOKUP($A165,'[1]DATOS PBI Artículos'!$A:$A,'[1]DATOS PBI Artículos'!$AL:$AL))/(_xlfn.XLOOKUP($AF$1,[1]CRITERIOS!$S$16:$S$39,[1]CRITERIOS!$Y$16:$Y$39))*$J165+$Z165)))</f>
        <v>12000</v>
      </c>
      <c r="AG165" s="39">
        <f>IF($R165="MTO","",
IF($H165=0,ROUNDUP(((_xlfn.XLOOKUP($A165,'[1]DATOS PBI Artículos'!$A:$A,'[1]DATOS PBI Artículos'!$AM:$AM))/(_xlfn.XLOOKUP($AH$1,[1]CRITERIOS!$S$16:$S$39,[1]CRITERIOS!$Y$16:$Y$39))*$J165+$Z165)/$G165,0)*$G165,
((_xlfn.XLOOKUP($A165,'[1]DATOS PBI Artículos'!$A:$A,'[1]DATOS PBI Artículos'!$AM:$AM))/(_xlfn.XLOOKUP($AH$1,[1]CRITERIOS!$S$16:$S$39,[1]CRITERIOS!$Y$16:$Y$39))*$J165+$Z165)))</f>
        <v>12000</v>
      </c>
      <c r="AI165" s="39">
        <f>IF($R165="MTO","",
IF($H165=0,ROUNDUP(((_xlfn.XLOOKUP($A165,'[1]DATOS PBI Artículos'!$A:$A,'[1]DATOS PBI Artículos'!$AN:$AN))/(_xlfn.XLOOKUP($AJ$1,[1]CRITERIOS!$S$16:$S$39,[1]CRITERIOS!$Y$16:$Y$39))*$J165+$Z165)/$G165,0)*$G165,
((_xlfn.XLOOKUP($A165,'[1]DATOS PBI Artículos'!$A:$A,'[1]DATOS PBI Artículos'!$AN:$AN))/(_xlfn.XLOOKUP($AJ$1,[1]CRITERIOS!$S$16:$S$39,[1]CRITERIOS!$Y$16:$Y$39))*$J165+$Z165)))</f>
        <v>12000</v>
      </c>
      <c r="AK165" s="39">
        <f>IF($R165="MTO","",
IF($H165=0,ROUNDUP(((_xlfn.XLOOKUP($A165,'[1]DATOS PBI Artículos'!$A:$A,'[1]DATOS PBI Artículos'!$AO:$AO))/(_xlfn.XLOOKUP($AL$1,[1]CRITERIOS!$S$16:$S$39,[1]CRITERIOS!$Y$16:$Y$39))*$J165+$Z165)/$G165,0)*$G165,
((_xlfn.XLOOKUP($A165,'[1]DATOS PBI Artículos'!$A:$A,'[1]DATOS PBI Artículos'!$AO:$AO))/(_xlfn.XLOOKUP($AL$1,[1]CRITERIOS!$S$16:$S$39,[1]CRITERIOS!$Y$16:$Y$39))*$J165+$Z165)))</f>
        <v>12000</v>
      </c>
    </row>
    <row r="166" spans="1:37" ht="25.8" x14ac:dyDescent="0.5">
      <c r="A166" s="32">
        <v>453690</v>
      </c>
      <c r="B166" s="33">
        <f>_xlfn.XLOOKUP($A166,'[1]DATOS PBI Artículos'!A:A,'[1]DATOS PBI Artículos'!B:B)</f>
        <v>0</v>
      </c>
      <c r="C166" s="33" t="str">
        <f>_xlfn.XLOOKUP($A166,'[1]DATOS PBI Artículos'!A:A,'[1]DATOS PBI Artículos'!C:C)</f>
        <v>UA02</v>
      </c>
      <c r="D166" s="33">
        <f>_xlfn.XLOOKUP(A166,'[1]DATOS PBI Artículos'!A:A,'[1]DATOS PBI Artículos'!T:T)</f>
        <v>3</v>
      </c>
      <c r="E166" s="34">
        <f>IF(_xlfn.XLOOKUP($A166,'[1]DATOS PBI Artículos'!A:A,'[1]DATOS PBI Artículos'!AK:AK)="",_xlfn.XLOOKUP($A166,'[1]DATOS PBI Artículos'!A:A,'[1]DATOS PBI Artículos'!AJ:AJ),_xlfn.XLOOKUP($A166,'[1]DATOS PBI Artículos'!A:A,'[1]DATOS PBI Artículos'!AK:AK))</f>
        <v>30000</v>
      </c>
      <c r="F166" s="35">
        <f>_xlfn.XLOOKUP($A166,'[1]DATOS PBI Artículos'!A:A,'[1]DATOS PBI Artículos'!AP:AP)</f>
        <v>7.7142857142799999</v>
      </c>
      <c r="G166" s="34">
        <f>_xlfn.XLOOKUP($A166,'[1]DATOS PBI Artículos'!A:A,'[1]DATOS PBI Artículos'!AR:AR)</f>
        <v>10000</v>
      </c>
      <c r="H166" s="34">
        <f>_xlfn.XLOOKUP($A166,'[1]DATOS PBI Artículos'!A:A,'[1]DATOS PBI Artículos'!AT:AT)</f>
        <v>0</v>
      </c>
      <c r="I166" s="34">
        <f>_xlfn.XLOOKUP($A166,'[1]DATOS PBI Artículos'!A:A,'[1]DATOS PBI Artículos'!AS:AS)</f>
        <v>10000</v>
      </c>
      <c r="J166" s="35">
        <f>IF(COUNTIF([1]CRITERIOS!$F$179:$F$199,$A166)&gt;=1,
 IF(O166&lt;&gt;"",
    (O166/_xlfn.XLOOKUP(CONCATENATE(A166,L166),[1]MÁQUINAS!A:A,[1]MÁQUINAS!D:D))/24,
    (N166/_xlfn.XLOOKUP(CONCATENATE(A166,L166),[1]MÁQUINAS!A:A,[1]MÁQUINAS!D:D))/24),
  _xlfn.XLOOKUP($A166,'[1]DATOS PBI Artículos'!A:A,'[1]DATOS PBI Artículos'!AU:AU))</f>
        <v>14.25</v>
      </c>
      <c r="K166" s="36">
        <f>_xlfn.XLOOKUP($A166,'[1]DATOS PBI Artículos'!A:A,'[1]DATOS PBI Artículos'!AV:AV)</f>
        <v>0.9574271077563381</v>
      </c>
      <c r="L166" s="33">
        <f>_xlfn.XLOOKUP(A166,[1]MÁQUINAS!B:B,[1]MÁQUINAS!C:C)</f>
        <v>212</v>
      </c>
      <c r="M166" s="34">
        <f t="array" ref="M166">_xlfn.XLOOKUP(A166,'[1]DATOS PBI Artículos'!A:A,'[1]DATOS PBI Artículos'!AX:$AX)</f>
        <v>25363.915328821899</v>
      </c>
      <c r="N166" s="37">
        <f>IF(I166="DV",
E166,
IF(COUNTIF([1]CRITERIOS!$I$179:$I$199,$A166)&gt;=1,
_xlfn.XLOOKUP($A166,[1]CRITERIOS!$I$179:$I$199,[1]CRITERIOS!$J$179:$J$199),
IF(COUNTIF([1]CRITERIOS!$L$179:$L$199,$A166)&gt;=1,
_xlfn.CEILING.MATH(IF($M166&gt;$E166,
$E166,
IF($M166&lt;$E166/ROUNDDOWN([1]CRITERIOS!$M$16/_xlfn.XLOOKUP($C166,[1]CRITERIOS!$K$25:$K$42,[1]CRITERIOS!$M$25:$M$42),
1),
E166/ROUNDDOWN([1]CRITERIOS!$M$16/_xlfn.XLOOKUP($C166,[1]CRITERIOS!$K$25:$K$42,[1]CRITERIOS!$M$25:$M$42),
1),
$M166)),
_xlfn.XLOOKUP($A166,[1]CRITERIOS!$L$179:$L$200,[1]CRITERIOS!$M$179:$M$200)),
_xlfn.CEILING.MATH(IF($M166&gt;$E166,
$E166,
IF($M166&lt;$E166/ROUNDDOWN([1]CRITERIOS!$M$16/_xlfn.XLOOKUP($C166,[1]CRITERIOS!$K$25:$K$42,[1]CRITERIOS!$M$25:$M$42),
1),
E166/ROUNDDOWN([1]CRITERIOS!$M$16/_xlfn.XLOOKUP($C166,[1]CRITERIOS!$K$25:$K$42,[1]CRITERIOS!$M$25:$M$42),
1),
$M166)),_xlfn.XLOOKUP(A166,'[1]DATOS PBI Artículos'!A:A,'[1]DATOS PBI Artículos'!Z:Z
)))))</f>
        <v>30000</v>
      </c>
      <c r="Q166" s="38">
        <f>IF(AND(O166="",N166=0),
0,
   IF(COUNTIF([1]CRITERIOS!$F$179:$F$199,$A166)&gt;=1,
   1,
   IF(R166="MTO",
      $D166,
      ROUNDUP(
                    IF(($E166-SUMIF('[1]DATOS PBI Artículos'!A:A,A166,'[1]DATOS PBI Artículos'!X:X)+($V166-_xlfn.XLOOKUP(A166,'[1]DATOS PBI Artículos'!A:A,'[1]DATOS PBI Artículos'!W:W)))&lt;0,
                    0,
                    IF(($E166-SUMIF('[1]DATOS PBI Artículos'!A:A,A166,'[1]DATOS PBI Artículos'!X:X)+$V166-_xlfn.XLOOKUP($A166,'[1]DATOS PBI Artículos'!A:A,'[1]DATOS PBI Artículos'!W:W))/IF($O166="",$N166,$O166)&gt;ROUNDUP([1]CRITERIOS!$M$16/(IF(COUNTIF([1]CRITERIOS!$BG$11:$BG$201,L166)&gt;=1,_xlfn.XLOOKUP($C166,[1]CRITERIOS!$K$25:$K$42,[1]CRITERIOS!$M$25:$M$42),_xlfn.XLOOKUP($C166,[1]CRITERIOS!$K$25:$K$42,[1]CRITERIOS!$M$25:$M$42))),0),
                    ROUNDUP([1]CRITERIOS!$M$16/(IF(COUNTIF([1]CRITERIOS!$BG$11:$BG$201,$L166)&gt;=1,_xlfn.XLOOKUP($C166,[1]CRITERIOS!$K$25:$K$42,[1]CRITERIOS!$M$25:$M$42),_xlfn.XLOOKUP($C166,[1]CRITERIOS!$K$25:$K$42,[1]CRITERIOS!$M$25:$M$42))),0),
                    (E166+V166-SUMIF('[1]DATOS PBI Artículos'!A:A,A166,'[1]DATOS PBI Artículos'!X:X)-_xlfn.XLOOKUP(A166,'[1]DATOS PBI Artículos'!A:A,'[1]DATOS PBI Artículos'!W:W))/IF($O166="",$N166,$O166))),0))))</f>
        <v>1</v>
      </c>
      <c r="R166" s="33" t="str">
        <f>IF(U166&lt;&gt;"",U166,IF(F166="DV","MTO",IF(N166=0,"MTO",_xlfn.XLOOKUP(CONCATENATE(S166,T166),[1]CRITERIOS!$K$160:$K$168,[1]CRITERIOS!$N$160:$N$168))))</f>
        <v>MTS</v>
      </c>
      <c r="S166" s="33" t="str">
        <f>IF(G166="DV","MTO",IF(N166=0,"MTO",IF(OR(AND(N166=0,O166=""),IF(O166="",G166/N166,G166/O166)&gt;[1]CRITERIOS!$G$163),"MTO",IF(IF(O166="",G166/N166,G166/O166)&lt;[1]CRITERIOS!$H$161,"MTS","MTOS"))))</f>
        <v>MTS</v>
      </c>
      <c r="T166" s="33" t="str">
        <f>IF(F166="DV","MTO",IF(OR(AND($N166=0,O166=""),$F166/$J166&gt;[1]CRITERIOS!$G$170,$F166="DV"),"MTO",IF($F166/$J166&lt;[1]CRITERIOS!$H$168,"MTS","MTOS")))</f>
        <v>MTS</v>
      </c>
      <c r="V166" s="34">
        <f t="shared" si="10"/>
        <v>18791.364591488018</v>
      </c>
      <c r="X166" s="34">
        <f t="shared" si="8"/>
        <v>48791.364591488018</v>
      </c>
      <c r="Y166" s="34">
        <f t="shared" si="9"/>
        <v>15319.142369252113</v>
      </c>
      <c r="Z166" s="34">
        <f>IF($R166="MTO",
0,
($H166+$K166*($E166/[1]CRITERIOS!$M$16))/[1]CRITERIOS!$X$48)</f>
        <v>319.1423692521127</v>
      </c>
      <c r="AA166" s="34" t="e">
        <f>ROUNDUP(($Y166/_xlfn.XLOOKUP($A166,'[1]DATOS PBI Artículos'!$A$4:$A$4,'[1]DATOS PBI Artículos'!$Z$4:$Z$4))/_xlfn.XLOOKUP(_xlfn.XLOOKUP($A166,'[1]DATOS PBI Artículos'!$A$4:$A$4,'[1]DATOS PBI Artículos'!$Y$4:$Y$4),[1]CRITERIOS!$P$79:$P$123,[1]CRITERIOS!$S$79:$S$123,),0)</f>
        <v>#N/A</v>
      </c>
      <c r="AB166" s="33" t="e">
        <f t="array" ref="AB166">IF((E166+V166-_xlfn.XLOOKUP(A166,'[1]DATOS PBI Artículos'!$A$4:$A$4,'[1]DATOS PBI Artículos'!$W$4:$W$4))/N166&gt;ROUNDUP([1]CRITERIOS!$M$16/(IF(COUNTIF([1]CRITERIOS!$BG$11:$BG$201,L166)&gt;=1,_xlfn.XLOOKUP(ARTÍCULOS!L166,[1]CRITERIOS!$BG$11:$BG$201,[1]CRITERIOS!$BJ$11:$BJ$201),_xlfn.XLOOKUP(ARTÍCULOS!C166,[1]CRITERIOS!$K$25:$K$42,[1]CRITERIOS!$M$25:$M$42))),0),ROUNDUP([1]CRITERIOS!$M$16/(IF(COUNTIF([1]CRITERIOS!$BG$11:$BG$201,L166)&gt;=1,_xlfn.XLOOKUP(ARTÍCULOS!L166,[1]CRITERIOS!$BG$11:$BG$201:#REF!,[1]CRITERIOS!$BJ$11:$BJ$201),_xlfn.XLOOKUP(ARTÍCULOS!C166,[1]CRITERIOS!$K$25:$K$42,[1]CRITERIOS!$M$25:$M$42))),0),(E166+V166-_xlfn.XLOOKUP(A166,'[1]DATOS PBI Artículos'!$A$4:$A$4,'[1]DATOS PBI Artículos'!$W$4:$W$4))/N166)</f>
        <v>#N/A</v>
      </c>
      <c r="AC166" s="33" t="e">
        <f>IF(N166=0,"",(ROUNDUP((N166/2)/(_xlfn.XLOOKUP(A166,'[1]DATOS PBI Artículos'!$A$4:$A$4,'[1]DATOS PBI Artículos'!$Z$4:$Z$4)*_xlfn.XLOOKUP(_xlfn.XLOOKUP(A166,'[1]DATOS PBI Artículos'!$A$4:$A$4,'[1]DATOS PBI Artículos'!$Y$4:$Y$4),[1]CRITERIOS!$P$79:$P$123,[1]CRITERIOS!$S$79:$S$123)),0)*[1]CRITERIOS!$M$80*([1]CRITERIOS!$M$110/[1]CRITERIOS!$M$86)+(_xlfn.XLOOKUP(A166,'[1]DATOS PBI Artículos'!$A$4:$A$4,'[1]DATOS PBI Artículos'!$AA$4:$AA$4)*([1]CRITERIOS!$M$95+[1]CRITERIOS!$M$98)))/N166)</f>
        <v>#N/A</v>
      </c>
      <c r="AD166" s="33" t="e">
        <f>IF(N166=0,"",(ROUNDUP((N166/2)/(_xlfn.XLOOKUP(A166,'[1]DATOS PBI Artículos'!$A$4:$A$4,'[1]DATOS PBI Artículos'!$Z$4:$Z$4)*_xlfn.XLOOKUP(_xlfn.XLOOKUP(A166,'[1]DATOS PBI Artículos'!$A$4:$A$4,'[1]DATOS PBI Artículos'!$Y$4:$Y$4),[1]CRITERIOS!$P$79:$P$123,[1]CRITERIOS!$S$79:$S$123)),0)*[1]CRITERIOS!$M$80*([1]CRITERIOS!$M$89*[1]CRITERIOS!$M$92)+((_xlfn.XLOOKUP(A166,'[1]DATOS PBI Artículos'!$A$4:$A$4,'[1]DATOS PBI Artículos'!$AA$4:$AA$4)/2)*([1]CRITERIOS!$M$95+[1]CRITERIOS!$M$98)))/N166)</f>
        <v>#N/A</v>
      </c>
      <c r="AE166" s="39">
        <f>IF($R166="MTO","",
IF($H166=0,ROUNDUP(((_xlfn.XLOOKUP($A166,'[1]DATOS PBI Artículos'!$A:$A,'[1]DATOS PBI Artículos'!$AL:$AL))/(_xlfn.XLOOKUP($AF$1,[1]CRITERIOS!$S$16:$S$39,[1]CRITERIOS!$Y$16:$Y$39))*$J166+$Z166)/$G166,0)*$G166,
((_xlfn.XLOOKUP($A166,'[1]DATOS PBI Artículos'!$A:$A,'[1]DATOS PBI Artículos'!$AL:$AL))/(_xlfn.XLOOKUP($AF$1,[1]CRITERIOS!$S$16:$S$39,[1]CRITERIOS!$Y$16:$Y$39))*$J166+$Z166)))</f>
        <v>10000</v>
      </c>
      <c r="AG166" s="39">
        <f>IF($R166="MTO","",
IF($H166=0,ROUNDUP(((_xlfn.XLOOKUP($A166,'[1]DATOS PBI Artículos'!$A:$A,'[1]DATOS PBI Artículos'!$AM:$AM))/(_xlfn.XLOOKUP($AH$1,[1]CRITERIOS!$S$16:$S$39,[1]CRITERIOS!$Y$16:$Y$39))*$J166+$Z166)/$G166,0)*$G166,
((_xlfn.XLOOKUP($A166,'[1]DATOS PBI Artículos'!$A:$A,'[1]DATOS PBI Artículos'!$AM:$AM))/(_xlfn.XLOOKUP($AH$1,[1]CRITERIOS!$S$16:$S$39,[1]CRITERIOS!$Y$16:$Y$39))*$J166+$Z166)))</f>
        <v>10000</v>
      </c>
      <c r="AI166" s="39">
        <f>IF($R166="MTO","",
IF($H166=0,ROUNDUP(((_xlfn.XLOOKUP($A166,'[1]DATOS PBI Artículos'!$A:$A,'[1]DATOS PBI Artículos'!$AN:$AN))/(_xlfn.XLOOKUP($AJ$1,[1]CRITERIOS!$S$16:$S$39,[1]CRITERIOS!$Y$16:$Y$39))*$J166+$Z166)/$G166,0)*$G166,
((_xlfn.XLOOKUP($A166,'[1]DATOS PBI Artículos'!$A:$A,'[1]DATOS PBI Artículos'!$AN:$AN))/(_xlfn.XLOOKUP($AJ$1,[1]CRITERIOS!$S$16:$S$39,[1]CRITERIOS!$Y$16:$Y$39))*$J166+$Z166)))</f>
        <v>10000</v>
      </c>
      <c r="AK166" s="39">
        <f>IF($R166="MTO","",
IF($H166=0,ROUNDUP(((_xlfn.XLOOKUP($A166,'[1]DATOS PBI Artículos'!$A:$A,'[1]DATOS PBI Artículos'!$AO:$AO))/(_xlfn.XLOOKUP($AL$1,[1]CRITERIOS!$S$16:$S$39,[1]CRITERIOS!$Y$16:$Y$39))*$J166+$Z166)/$G166,0)*$G166,
((_xlfn.XLOOKUP($A166,'[1]DATOS PBI Artículos'!$A:$A,'[1]DATOS PBI Artículos'!$AO:$AO))/(_xlfn.XLOOKUP($AL$1,[1]CRITERIOS!$S$16:$S$39,[1]CRITERIOS!$Y$16:$Y$39))*$J166+$Z166)))</f>
        <v>10000</v>
      </c>
    </row>
    <row r="167" spans="1:37" ht="25.8" x14ac:dyDescent="0.5">
      <c r="A167" s="32">
        <v>452777</v>
      </c>
      <c r="B167" s="33">
        <f>_xlfn.XLOOKUP($A167,'[1]DATOS PBI Artículos'!A:A,'[1]DATOS PBI Artículos'!B:B)</f>
        <v>0</v>
      </c>
      <c r="C167" s="33" t="str">
        <f>_xlfn.XLOOKUP($A167,'[1]DATOS PBI Artículos'!A:A,'[1]DATOS PBI Artículos'!C:C)</f>
        <v>UA02</v>
      </c>
      <c r="D167" s="33">
        <f>_xlfn.XLOOKUP(A167,'[1]DATOS PBI Artículos'!A:A,'[1]DATOS PBI Artículos'!T:T)</f>
        <v>3</v>
      </c>
      <c r="E167" s="34">
        <f>IF(_xlfn.XLOOKUP($A167,'[1]DATOS PBI Artículos'!A:A,'[1]DATOS PBI Artículos'!AK:AK)="",_xlfn.XLOOKUP($A167,'[1]DATOS PBI Artículos'!A:A,'[1]DATOS PBI Artículos'!AJ:AJ),_xlfn.XLOOKUP($A167,'[1]DATOS PBI Artículos'!A:A,'[1]DATOS PBI Artículos'!AK:AK))</f>
        <v>30000</v>
      </c>
      <c r="F167" s="35">
        <f>_xlfn.XLOOKUP($A167,'[1]DATOS PBI Artículos'!A:A,'[1]DATOS PBI Artículos'!AP:AP)</f>
        <v>11</v>
      </c>
      <c r="G167" s="34">
        <f>_xlfn.XLOOKUP($A167,'[1]DATOS PBI Artículos'!A:A,'[1]DATOS PBI Artículos'!AR:AR)</f>
        <v>10000</v>
      </c>
      <c r="H167" s="34">
        <f>_xlfn.XLOOKUP($A167,'[1]DATOS PBI Artículos'!A:A,'[1]DATOS PBI Artículos'!AT:AT)</f>
        <v>0</v>
      </c>
      <c r="I167" s="34">
        <f>_xlfn.XLOOKUP($A167,'[1]DATOS PBI Artículos'!A:A,'[1]DATOS PBI Artículos'!AS:AS)</f>
        <v>10000</v>
      </c>
      <c r="J167" s="35">
        <f>IF(COUNTIF([1]CRITERIOS!$F$179:$F$199,$A167)&gt;=1,
 IF(O167&lt;&gt;"",
    (O167/_xlfn.XLOOKUP(CONCATENATE(A167,L167),[1]MÁQUINAS!A:A,[1]MÁQUINAS!D:D))/24,
    (N167/_xlfn.XLOOKUP(CONCATENATE(A167,L167),[1]MÁQUINAS!A:A,[1]MÁQUINAS!D:D))/24),
  _xlfn.XLOOKUP($A167,'[1]DATOS PBI Artículos'!A:A,'[1]DATOS PBI Artículos'!AU:AU))</f>
        <v>38.08</v>
      </c>
      <c r="K167" s="36">
        <f>_xlfn.XLOOKUP($A167,'[1]DATOS PBI Artículos'!A:A,'[1]DATOS PBI Artículos'!AV:AV)</f>
        <v>30.489654763854702</v>
      </c>
      <c r="L167" s="33">
        <f>_xlfn.XLOOKUP(A167,[1]MÁQUINAS!B:B,[1]MÁQUINAS!C:C)</f>
        <v>215</v>
      </c>
      <c r="M167" s="34">
        <f t="array" ref="M167">_xlfn.XLOOKUP(A167,'[1]DATOS PBI Artículos'!A:A,'[1]DATOS PBI Artículos'!AX:$AX)</f>
        <v>15752.873063642097</v>
      </c>
      <c r="N167" s="37">
        <f>IF(I167="DV",
E167,
IF(COUNTIF([1]CRITERIOS!$I$179:$I$199,$A167)&gt;=1,
_xlfn.XLOOKUP($A167,[1]CRITERIOS!$I$179:$I$199,[1]CRITERIOS!$J$179:$J$199),
IF(COUNTIF([1]CRITERIOS!$L$179:$L$199,$A167)&gt;=1,
_xlfn.CEILING.MATH(IF($M167&gt;$E167,
$E167,
IF($M167&lt;$E167/ROUNDDOWN([1]CRITERIOS!$M$16/_xlfn.XLOOKUP($C167,[1]CRITERIOS!$K$25:$K$42,[1]CRITERIOS!$M$25:$M$42),
1),
E167/ROUNDDOWN([1]CRITERIOS!$M$16/_xlfn.XLOOKUP($C167,[1]CRITERIOS!$K$25:$K$42,[1]CRITERIOS!$M$25:$M$42),
1),
$M167)),
_xlfn.XLOOKUP($A167,[1]CRITERIOS!$L$179:$L$200,[1]CRITERIOS!$M$179:$M$200)),
_xlfn.CEILING.MATH(IF($M167&gt;$E167,
$E167,
IF($M167&lt;$E167/ROUNDDOWN([1]CRITERIOS!$M$16/_xlfn.XLOOKUP($C167,[1]CRITERIOS!$K$25:$K$42,[1]CRITERIOS!$M$25:$M$42),
1),
E167/ROUNDDOWN([1]CRITERIOS!$M$16/_xlfn.XLOOKUP($C167,[1]CRITERIOS!$K$25:$K$42,[1]CRITERIOS!$M$25:$M$42),
1),
$M167)),_xlfn.XLOOKUP(A167,'[1]DATOS PBI Artículos'!A:A,'[1]DATOS PBI Artículos'!Z:Z
)))))</f>
        <v>20000</v>
      </c>
      <c r="Q167" s="38">
        <f>IF(AND(O167="",N167=0),
0,
   IF(COUNTIF([1]CRITERIOS!$F$179:$F$199,$A167)&gt;=1,
   1,
   IF(R167="MTO",
      $D167,
      ROUNDUP(
                    IF(($E167-SUMIF('[1]DATOS PBI Artículos'!A:A,A167,'[1]DATOS PBI Artículos'!X:X)+($V167-_xlfn.XLOOKUP(A167,'[1]DATOS PBI Artículos'!A:A,'[1]DATOS PBI Artículos'!W:W)))&lt;0,
                    0,
                    IF(($E167-SUMIF('[1]DATOS PBI Artículos'!A:A,A167,'[1]DATOS PBI Artículos'!X:X)+$V167-_xlfn.XLOOKUP($A167,'[1]DATOS PBI Artículos'!A:A,'[1]DATOS PBI Artículos'!W:W))/IF($O167="",$N167,$O167)&gt;ROUNDUP([1]CRITERIOS!$M$16/(IF(COUNTIF([1]CRITERIOS!$BG$11:$BG$201,L167)&gt;=1,_xlfn.XLOOKUP($C167,[1]CRITERIOS!$K$25:$K$42,[1]CRITERIOS!$M$25:$M$42),_xlfn.XLOOKUP($C167,[1]CRITERIOS!$K$25:$K$42,[1]CRITERIOS!$M$25:$M$42))),0),
                    ROUNDUP([1]CRITERIOS!$M$16/(IF(COUNTIF([1]CRITERIOS!$BG$11:$BG$201,$L167)&gt;=1,_xlfn.XLOOKUP($C167,[1]CRITERIOS!$K$25:$K$42,[1]CRITERIOS!$M$25:$M$42),_xlfn.XLOOKUP($C167,[1]CRITERIOS!$K$25:$K$42,[1]CRITERIOS!$M$25:$M$42))),0),
                    (E167+V167-SUMIF('[1]DATOS PBI Artículos'!A:A,A167,'[1]DATOS PBI Artículos'!X:X)-_xlfn.XLOOKUP(A167,'[1]DATOS PBI Artículos'!A:A,'[1]DATOS PBI Artículos'!W:W))/IF($O167="",$N167,$O167))),0))))</f>
        <v>2</v>
      </c>
      <c r="R167" s="33" t="str">
        <f>IF(U167&lt;&gt;"",U167,IF(F167="DV","MTO",IF(N167=0,"MTO",_xlfn.XLOOKUP(CONCATENATE(S167,T167),[1]CRITERIOS!$K$160:$K$168,[1]CRITERIOS!$N$160:$N$168))))</f>
        <v>MTS</v>
      </c>
      <c r="S167" s="33" t="str">
        <f>IF(G167="DV","MTO",IF(N167=0,"MTO",IF(OR(AND(N167=0,O167=""),IF(O167="",G167/N167,G167/O167)&gt;[1]CRITERIOS!$G$163),"MTO",IF(IF(O167="",G167/N167,G167/O167)&lt;[1]CRITERIOS!$H$161,"MTS","MTOS"))))</f>
        <v>MTOS</v>
      </c>
      <c r="T167" s="33" t="str">
        <f>IF(F167="DV","MTO",IF(OR(AND($N167=0,O167=""),$F167/$J167&gt;[1]CRITERIOS!$G$170,$F167="DV"),"MTO",IF($F167/$J167&lt;[1]CRITERIOS!$H$168,"MTS","MTOS")))</f>
        <v>MTS</v>
      </c>
      <c r="V167" s="34">
        <f t="shared" si="10"/>
        <v>44781.400072800054</v>
      </c>
      <c r="X167" s="34">
        <f t="shared" si="8"/>
        <v>64781.400072800054</v>
      </c>
      <c r="Y167" s="34">
        <f t="shared" si="9"/>
        <v>20163.218254618234</v>
      </c>
      <c r="Z167" s="34">
        <f>IF($R167="MTO",
0,
($H167+$K167*($E167/[1]CRITERIOS!$M$16))/[1]CRITERIOS!$X$48)</f>
        <v>10163.218254618234</v>
      </c>
      <c r="AA167" s="34" t="e">
        <f>ROUNDUP(($Y167/_xlfn.XLOOKUP($A167,'[1]DATOS PBI Artículos'!$A$4:$A$4,'[1]DATOS PBI Artículos'!$Z$4:$Z$4))/_xlfn.XLOOKUP(_xlfn.XLOOKUP($A167,'[1]DATOS PBI Artículos'!$A$4:$A$4,'[1]DATOS PBI Artículos'!$Y$4:$Y$4),[1]CRITERIOS!$P$79:$P$123,[1]CRITERIOS!$S$79:$S$123,),0)</f>
        <v>#N/A</v>
      </c>
      <c r="AB167" s="33" t="e">
        <f t="array" ref="AB167">IF((E167+V167-_xlfn.XLOOKUP(A167,'[1]DATOS PBI Artículos'!$A$4:$A$4,'[1]DATOS PBI Artículos'!$W$4:$W$4))/N167&gt;ROUNDUP([1]CRITERIOS!$M$16/(IF(COUNTIF([1]CRITERIOS!$BG$11:$BG$201,L167)&gt;=1,_xlfn.XLOOKUP(ARTÍCULOS!L167,[1]CRITERIOS!$BG$11:$BG$201,[1]CRITERIOS!$BJ$11:$BJ$201),_xlfn.XLOOKUP(ARTÍCULOS!C167,[1]CRITERIOS!$K$25:$K$42,[1]CRITERIOS!$M$25:$M$42))),0),ROUNDUP([1]CRITERIOS!$M$16/(IF(COUNTIF([1]CRITERIOS!$BG$11:$BG$201,L167)&gt;=1,_xlfn.XLOOKUP(ARTÍCULOS!L167,[1]CRITERIOS!$BG$11:$BG$201:#REF!,[1]CRITERIOS!$BJ$11:$BJ$201),_xlfn.XLOOKUP(ARTÍCULOS!C167,[1]CRITERIOS!$K$25:$K$42,[1]CRITERIOS!$M$25:$M$42))),0),(E167+V167-_xlfn.XLOOKUP(A167,'[1]DATOS PBI Artículos'!$A$4:$A$4,'[1]DATOS PBI Artículos'!$W$4:$W$4))/N167)</f>
        <v>#N/A</v>
      </c>
      <c r="AC167" s="33" t="e">
        <f>IF(N167=0,"",(ROUNDUP((N167/2)/(_xlfn.XLOOKUP(A167,'[1]DATOS PBI Artículos'!$A$4:$A$4,'[1]DATOS PBI Artículos'!$Z$4:$Z$4)*_xlfn.XLOOKUP(_xlfn.XLOOKUP(A167,'[1]DATOS PBI Artículos'!$A$4:$A$4,'[1]DATOS PBI Artículos'!$Y$4:$Y$4),[1]CRITERIOS!$P$79:$P$123,[1]CRITERIOS!$S$79:$S$123)),0)*[1]CRITERIOS!$M$80*([1]CRITERIOS!$M$110/[1]CRITERIOS!$M$86)+(_xlfn.XLOOKUP(A167,'[1]DATOS PBI Artículos'!$A$4:$A$4,'[1]DATOS PBI Artículos'!$AA$4:$AA$4)*([1]CRITERIOS!$M$95+[1]CRITERIOS!$M$98)))/N167)</f>
        <v>#N/A</v>
      </c>
      <c r="AD167" s="33" t="e">
        <f>IF(N167=0,"",(ROUNDUP((N167/2)/(_xlfn.XLOOKUP(A167,'[1]DATOS PBI Artículos'!$A$4:$A$4,'[1]DATOS PBI Artículos'!$Z$4:$Z$4)*_xlfn.XLOOKUP(_xlfn.XLOOKUP(A167,'[1]DATOS PBI Artículos'!$A$4:$A$4,'[1]DATOS PBI Artículos'!$Y$4:$Y$4),[1]CRITERIOS!$P$79:$P$123,[1]CRITERIOS!$S$79:$S$123)),0)*[1]CRITERIOS!$M$80*([1]CRITERIOS!$M$89*[1]CRITERIOS!$M$92)+((_xlfn.XLOOKUP(A167,'[1]DATOS PBI Artículos'!$A$4:$A$4,'[1]DATOS PBI Artículos'!$AA$4:$AA$4)/2)*([1]CRITERIOS!$M$95+[1]CRITERIOS!$M$98)))/N167)</f>
        <v>#N/A</v>
      </c>
      <c r="AE167" s="39">
        <f>IF($R167="MTO","",
IF($H167=0,ROUNDUP(((_xlfn.XLOOKUP($A167,'[1]DATOS PBI Artículos'!$A:$A,'[1]DATOS PBI Artículos'!$AL:$AL))/(_xlfn.XLOOKUP($AF$1,[1]CRITERIOS!$S$16:$S$39,[1]CRITERIOS!$Y$16:$Y$39))*$J167+$Z167)/$G167,0)*$G167,
((_xlfn.XLOOKUP($A167,'[1]DATOS PBI Artículos'!$A:$A,'[1]DATOS PBI Artículos'!$AL:$AL))/(_xlfn.XLOOKUP($AF$1,[1]CRITERIOS!$S$16:$S$39,[1]CRITERIOS!$Y$16:$Y$39))*$J167+$Z167)))</f>
        <v>30000</v>
      </c>
      <c r="AG167" s="39">
        <f>IF($R167="MTO","",
IF($H167=0,ROUNDUP(((_xlfn.XLOOKUP($A167,'[1]DATOS PBI Artículos'!$A:$A,'[1]DATOS PBI Artículos'!$AM:$AM))/(_xlfn.XLOOKUP($AH$1,[1]CRITERIOS!$S$16:$S$39,[1]CRITERIOS!$Y$16:$Y$39))*$J167+$Z167)/$G167,0)*$G167,
((_xlfn.XLOOKUP($A167,'[1]DATOS PBI Artículos'!$A:$A,'[1]DATOS PBI Artículos'!$AM:$AM))/(_xlfn.XLOOKUP($AH$1,[1]CRITERIOS!$S$16:$S$39,[1]CRITERIOS!$Y$16:$Y$39))*$J167+$Z167)))</f>
        <v>30000</v>
      </c>
      <c r="AI167" s="39">
        <f>IF($R167="MTO","",
IF($H167=0,ROUNDUP(((_xlfn.XLOOKUP($A167,'[1]DATOS PBI Artículos'!$A:$A,'[1]DATOS PBI Artículos'!$AN:$AN))/(_xlfn.XLOOKUP($AJ$1,[1]CRITERIOS!$S$16:$S$39,[1]CRITERIOS!$Y$16:$Y$39))*$J167+$Z167)/$G167,0)*$G167,
((_xlfn.XLOOKUP($A167,'[1]DATOS PBI Artículos'!$A:$A,'[1]DATOS PBI Artículos'!$AN:$AN))/(_xlfn.XLOOKUP($AJ$1,[1]CRITERIOS!$S$16:$S$39,[1]CRITERIOS!$Y$16:$Y$39))*$J167+$Z167)))</f>
        <v>30000</v>
      </c>
      <c r="AK167" s="39">
        <f>IF($R167="MTO","",
IF($H167=0,ROUNDUP(((_xlfn.XLOOKUP($A167,'[1]DATOS PBI Artículos'!$A:$A,'[1]DATOS PBI Artículos'!$AO:$AO))/(_xlfn.XLOOKUP($AL$1,[1]CRITERIOS!$S$16:$S$39,[1]CRITERIOS!$Y$16:$Y$39))*$J167+$Z167)/$G167,0)*$G167,
((_xlfn.XLOOKUP($A167,'[1]DATOS PBI Artículos'!$A:$A,'[1]DATOS PBI Artículos'!$AO:$AO))/(_xlfn.XLOOKUP($AL$1,[1]CRITERIOS!$S$16:$S$39,[1]CRITERIOS!$Y$16:$Y$39))*$J167+$Z167)))</f>
        <v>30000</v>
      </c>
    </row>
    <row r="168" spans="1:37" ht="25.8" x14ac:dyDescent="0.5">
      <c r="A168" s="32">
        <v>421016</v>
      </c>
      <c r="B168" s="33">
        <f>_xlfn.XLOOKUP($A168,'[1]DATOS PBI Artículos'!A:A,'[1]DATOS PBI Artículos'!B:B)</f>
        <v>0</v>
      </c>
      <c r="C168" s="33" t="str">
        <f>_xlfn.XLOOKUP($A168,'[1]DATOS PBI Artículos'!A:A,'[1]DATOS PBI Artículos'!C:C)</f>
        <v>UA01</v>
      </c>
      <c r="D168" s="33">
        <f>_xlfn.XLOOKUP(A168,'[1]DATOS PBI Artículos'!A:A,'[1]DATOS PBI Artículos'!T:T)</f>
        <v>1</v>
      </c>
      <c r="E168" s="34">
        <f>IF(_xlfn.XLOOKUP($A168,'[1]DATOS PBI Artículos'!A:A,'[1]DATOS PBI Artículos'!AK:AK)="",_xlfn.XLOOKUP($A168,'[1]DATOS PBI Artículos'!A:A,'[1]DATOS PBI Artículos'!AJ:AJ),_xlfn.XLOOKUP($A168,'[1]DATOS PBI Artículos'!A:A,'[1]DATOS PBI Artículos'!AK:AK))</f>
        <v>30000</v>
      </c>
      <c r="F168" s="35">
        <f>_xlfn.XLOOKUP($A168,'[1]DATOS PBI Artículos'!A:A,'[1]DATOS PBI Artículos'!AP:AP)</f>
        <v>75</v>
      </c>
      <c r="G168" s="34">
        <f>_xlfn.XLOOKUP($A168,'[1]DATOS PBI Artículos'!A:A,'[1]DATOS PBI Artículos'!AR:AR)</f>
        <v>30000</v>
      </c>
      <c r="H168" s="34">
        <f>_xlfn.XLOOKUP($A168,'[1]DATOS PBI Artículos'!A:A,'[1]DATOS PBI Artículos'!AT:AT)</f>
        <v>0</v>
      </c>
      <c r="I168" s="34">
        <f>_xlfn.XLOOKUP($A168,'[1]DATOS PBI Artículos'!A:A,'[1]DATOS PBI Artículos'!AS:AS)</f>
        <v>30000</v>
      </c>
      <c r="J168" s="35">
        <f>IF(COUNTIF([1]CRITERIOS!$F$179:$F$199,$A168)&gt;=1,
 IF(O168&lt;&gt;"",
    (O168/_xlfn.XLOOKUP(CONCATENATE(A168,L168),[1]MÁQUINAS!A:A,[1]MÁQUINAS!D:D))/24,
    (N168/_xlfn.XLOOKUP(CONCATENATE(A168,L168),[1]MÁQUINAS!A:A,[1]MÁQUINAS!D:D))/24),
  _xlfn.XLOOKUP($A168,'[1]DATOS PBI Artículos'!A:A,'[1]DATOS PBI Artículos'!AU:AU))</f>
        <v>33</v>
      </c>
      <c r="K168" s="36">
        <f>_xlfn.XLOOKUP($A168,'[1]DATOS PBI Artículos'!A:A,'[1]DATOS PBI Artículos'!AV:AV)</f>
        <v>5.6568542494923806</v>
      </c>
      <c r="L168" s="33">
        <f>_xlfn.XLOOKUP(A168,[1]MÁQUINAS!B:B,[1]MÁQUINAS!C:C)</f>
        <v>504</v>
      </c>
      <c r="M168" s="34">
        <f t="array" ref="M168">_xlfn.XLOOKUP(A168,'[1]DATOS PBI Artículos'!A:A,'[1]DATOS PBI Artículos'!AX:$AX)</f>
        <v>53981.512839851013</v>
      </c>
      <c r="N168" s="37">
        <f>IF(I168="DV",
E168,
IF(COUNTIF([1]CRITERIOS!$I$179:$I$199,$A168)&gt;=1,
_xlfn.XLOOKUP($A168,[1]CRITERIOS!$I$179:$I$199,[1]CRITERIOS!$J$179:$J$199),
IF(COUNTIF([1]CRITERIOS!$L$179:$L$199,$A168)&gt;=1,
_xlfn.CEILING.MATH(IF($M168&gt;$E168,
$E168,
IF($M168&lt;$E168/ROUNDDOWN([1]CRITERIOS!$M$16/_xlfn.XLOOKUP($C168,[1]CRITERIOS!$K$25:$K$42,[1]CRITERIOS!$M$25:$M$42),
1),
E168/ROUNDDOWN([1]CRITERIOS!$M$16/_xlfn.XLOOKUP($C168,[1]CRITERIOS!$K$25:$K$42,[1]CRITERIOS!$M$25:$M$42),
1),
$M168)),
_xlfn.XLOOKUP($A168,[1]CRITERIOS!$L$179:$L$200,[1]CRITERIOS!$M$179:$M$200)),
_xlfn.CEILING.MATH(IF($M168&gt;$E168,
$E168,
IF($M168&lt;$E168/ROUNDDOWN([1]CRITERIOS!$M$16/_xlfn.XLOOKUP($C168,[1]CRITERIOS!$K$25:$K$42,[1]CRITERIOS!$M$25:$M$42),
1),
E168/ROUNDDOWN([1]CRITERIOS!$M$16/_xlfn.XLOOKUP($C168,[1]CRITERIOS!$K$25:$K$42,[1]CRITERIOS!$M$25:$M$42),
1),
$M168)),_xlfn.XLOOKUP(A168,'[1]DATOS PBI Artículos'!A:A,'[1]DATOS PBI Artículos'!Z:Z
)))))</f>
        <v>30000</v>
      </c>
      <c r="Q168" s="38">
        <f>IF(AND(O168="",N168=0),
0,
   IF(COUNTIF([1]CRITERIOS!$F$179:$F$199,$A168)&gt;=1,
   1,
   IF(R168="MTO",
      $D168,
      ROUNDUP(
                    IF(($E168-SUMIF('[1]DATOS PBI Artículos'!A:A,A168,'[1]DATOS PBI Artículos'!X:X)+($V168-_xlfn.XLOOKUP(A168,'[1]DATOS PBI Artículos'!A:A,'[1]DATOS PBI Artículos'!W:W)))&lt;0,
                    0,
                    IF(($E168-SUMIF('[1]DATOS PBI Artículos'!A:A,A168,'[1]DATOS PBI Artículos'!X:X)+$V168-_xlfn.XLOOKUP($A168,'[1]DATOS PBI Artículos'!A:A,'[1]DATOS PBI Artículos'!W:W))/IF($O168="",$N168,$O168)&gt;ROUNDUP([1]CRITERIOS!$M$16/(IF(COUNTIF([1]CRITERIOS!$BG$11:$BG$201,L168)&gt;=1,_xlfn.XLOOKUP($C168,[1]CRITERIOS!$K$25:$K$42,[1]CRITERIOS!$M$25:$M$42),_xlfn.XLOOKUP($C168,[1]CRITERIOS!$K$25:$K$42,[1]CRITERIOS!$M$25:$M$42))),0),
                    ROUNDUP([1]CRITERIOS!$M$16/(IF(COUNTIF([1]CRITERIOS!$BG$11:$BG$201,$L168)&gt;=1,_xlfn.XLOOKUP($C168,[1]CRITERIOS!$K$25:$K$42,[1]CRITERIOS!$M$25:$M$42),_xlfn.XLOOKUP($C168,[1]CRITERIOS!$K$25:$K$42,[1]CRITERIOS!$M$25:$M$42))),0),
                    (E168+V168-SUMIF('[1]DATOS PBI Artículos'!A:A,A168,'[1]DATOS PBI Artículos'!X:X)-_xlfn.XLOOKUP(A168,'[1]DATOS PBI Artículos'!A:A,'[1]DATOS PBI Artículos'!W:W))/IF($O168="",$N168,$O168))),0))))</f>
        <v>1</v>
      </c>
      <c r="R168" s="33" t="str">
        <f>IF(U168&lt;&gt;"",U168,IF(F168="DV","MTO",IF(N168=0,"MTO",_xlfn.XLOOKUP(CONCATENATE(S168,T168),[1]CRITERIOS!$K$160:$K$168,[1]CRITERIOS!$N$160:$N$168))))</f>
        <v>MTO</v>
      </c>
      <c r="S168" s="33" t="str">
        <f>IF(G168="DV","MTO",IF(N168=0,"MTO",IF(OR(AND(N168=0,O168=""),IF(O168="",G168/N168,G168/O168)&gt;[1]CRITERIOS!$G$163),"MTO",IF(IF(O168="",G168/N168,G168/O168)&lt;[1]CRITERIOS!$H$161,"MTS","MTOS"))))</f>
        <v>MTO</v>
      </c>
      <c r="T168" s="33" t="str">
        <f>IF(F168="DV","MTO",IF(OR(AND($N168=0,O168=""),$F168/$J168&gt;[1]CRITERIOS!$G$170,$F168="DV"),"MTO",IF($F168/$J168&lt;[1]CRITERIOS!$H$168,"MTS","MTOS")))</f>
        <v>MTO</v>
      </c>
      <c r="V168" s="34" t="str">
        <f t="shared" si="10"/>
        <v/>
      </c>
      <c r="X168" s="34">
        <f t="shared" si="8"/>
        <v>0</v>
      </c>
      <c r="Y168" s="34">
        <f t="shared" si="9"/>
        <v>0</v>
      </c>
      <c r="Z168" s="34">
        <f>IF($R168="MTO",
0,
($H168+$K168*($E168/[1]CRITERIOS!$M$16))/[1]CRITERIOS!$X$48)</f>
        <v>0</v>
      </c>
      <c r="AA168" s="34" t="e">
        <f>ROUNDUP(($Y168/_xlfn.XLOOKUP($A168,'[1]DATOS PBI Artículos'!$A$4:$A$4,'[1]DATOS PBI Artículos'!$Z$4:$Z$4))/_xlfn.XLOOKUP(_xlfn.XLOOKUP($A168,'[1]DATOS PBI Artículos'!$A$4:$A$4,'[1]DATOS PBI Artículos'!$Y$4:$Y$4),[1]CRITERIOS!$P$79:$P$123,[1]CRITERIOS!$S$79:$S$123,),0)</f>
        <v>#N/A</v>
      </c>
      <c r="AB168" s="33" t="e">
        <f t="array" ref="AB168">IF((E168+V168-_xlfn.XLOOKUP(A168,'[1]DATOS PBI Artículos'!$A$4:$A$4,'[1]DATOS PBI Artículos'!$W$4:$W$4))/N168&gt;ROUNDUP([1]CRITERIOS!$M$16/(IF(COUNTIF([1]CRITERIOS!$BG$11:$BG$201,L168)&gt;=1,_xlfn.XLOOKUP(ARTÍCULOS!L168,[1]CRITERIOS!$BG$11:$BG$201,[1]CRITERIOS!$BJ$11:$BJ$201),_xlfn.XLOOKUP(ARTÍCULOS!C168,[1]CRITERIOS!$K$25:$K$42,[1]CRITERIOS!$M$25:$M$42))),0),ROUNDUP([1]CRITERIOS!$M$16/(IF(COUNTIF([1]CRITERIOS!$BG$11:$BG$201,L168)&gt;=1,_xlfn.XLOOKUP(ARTÍCULOS!L168,[1]CRITERIOS!$BG$11:$BG$201:#REF!,[1]CRITERIOS!$BJ$11:$BJ$201),_xlfn.XLOOKUP(ARTÍCULOS!C168,[1]CRITERIOS!$K$25:$K$42,[1]CRITERIOS!$M$25:$M$42))),0),(E168+V168-_xlfn.XLOOKUP(A168,'[1]DATOS PBI Artículos'!$A$4:$A$4,'[1]DATOS PBI Artículos'!$W$4:$W$4))/N168)</f>
        <v>#VALUE!</v>
      </c>
      <c r="AC168" s="33" t="e">
        <f>IF(N168=0,"",(ROUNDUP((N168/2)/(_xlfn.XLOOKUP(A168,'[1]DATOS PBI Artículos'!$A$4:$A$4,'[1]DATOS PBI Artículos'!$Z$4:$Z$4)*_xlfn.XLOOKUP(_xlfn.XLOOKUP(A168,'[1]DATOS PBI Artículos'!$A$4:$A$4,'[1]DATOS PBI Artículos'!$Y$4:$Y$4),[1]CRITERIOS!$P$79:$P$123,[1]CRITERIOS!$S$79:$S$123)),0)*[1]CRITERIOS!$M$80*([1]CRITERIOS!$M$110/[1]CRITERIOS!$M$86)+(_xlfn.XLOOKUP(A168,'[1]DATOS PBI Artículos'!$A$4:$A$4,'[1]DATOS PBI Artículos'!$AA$4:$AA$4)*([1]CRITERIOS!$M$95+[1]CRITERIOS!$M$98)))/N168)</f>
        <v>#N/A</v>
      </c>
      <c r="AD168" s="33" t="e">
        <f>IF(N168=0,"",(ROUNDUP((N168/2)/(_xlfn.XLOOKUP(A168,'[1]DATOS PBI Artículos'!$A$4:$A$4,'[1]DATOS PBI Artículos'!$Z$4:$Z$4)*_xlfn.XLOOKUP(_xlfn.XLOOKUP(A168,'[1]DATOS PBI Artículos'!$A$4:$A$4,'[1]DATOS PBI Artículos'!$Y$4:$Y$4),[1]CRITERIOS!$P$79:$P$123,[1]CRITERIOS!$S$79:$S$123)),0)*[1]CRITERIOS!$M$80*([1]CRITERIOS!$M$89*[1]CRITERIOS!$M$92)+((_xlfn.XLOOKUP(A168,'[1]DATOS PBI Artículos'!$A$4:$A$4,'[1]DATOS PBI Artículos'!$AA$4:$AA$4)/2)*([1]CRITERIOS!$M$95+[1]CRITERIOS!$M$98)))/N168)</f>
        <v>#N/A</v>
      </c>
      <c r="AE168" s="39" t="str">
        <f>IF($R168="MTO","",
IF($H168=0,ROUNDUP(((_xlfn.XLOOKUP($A168,'[1]DATOS PBI Artículos'!$A:$A,'[1]DATOS PBI Artículos'!$AL:$AL))/(_xlfn.XLOOKUP($AF$1,[1]CRITERIOS!$S$16:$S$39,[1]CRITERIOS!$Y$16:$Y$39))*$J168+$Z168)/$G168,0)*$G168,
((_xlfn.XLOOKUP($A168,'[1]DATOS PBI Artículos'!$A:$A,'[1]DATOS PBI Artículos'!$AL:$AL))/(_xlfn.XLOOKUP($AF$1,[1]CRITERIOS!$S$16:$S$39,[1]CRITERIOS!$Y$16:$Y$39))*$J168+$Z168)))</f>
        <v/>
      </c>
      <c r="AG168" s="39" t="str">
        <f>IF($R168="MTO","",
IF($H168=0,ROUNDUP(((_xlfn.XLOOKUP($A168,'[1]DATOS PBI Artículos'!$A:$A,'[1]DATOS PBI Artículos'!$AM:$AM))/(_xlfn.XLOOKUP($AH$1,[1]CRITERIOS!$S$16:$S$39,[1]CRITERIOS!$Y$16:$Y$39))*$J168+$Z168)/$G168,0)*$G168,
((_xlfn.XLOOKUP($A168,'[1]DATOS PBI Artículos'!$A:$A,'[1]DATOS PBI Artículos'!$AM:$AM))/(_xlfn.XLOOKUP($AH$1,[1]CRITERIOS!$S$16:$S$39,[1]CRITERIOS!$Y$16:$Y$39))*$J168+$Z168)))</f>
        <v/>
      </c>
      <c r="AI168" s="39" t="str">
        <f>IF($R168="MTO","",
IF($H168=0,ROUNDUP(((_xlfn.XLOOKUP($A168,'[1]DATOS PBI Artículos'!$A:$A,'[1]DATOS PBI Artículos'!$AN:$AN))/(_xlfn.XLOOKUP($AJ$1,[1]CRITERIOS!$S$16:$S$39,[1]CRITERIOS!$Y$16:$Y$39))*$J168+$Z168)/$G168,0)*$G168,
((_xlfn.XLOOKUP($A168,'[1]DATOS PBI Artículos'!$A:$A,'[1]DATOS PBI Artículos'!$AN:$AN))/(_xlfn.XLOOKUP($AJ$1,[1]CRITERIOS!$S$16:$S$39,[1]CRITERIOS!$Y$16:$Y$39))*$J168+$Z168)))</f>
        <v/>
      </c>
      <c r="AK168" s="39" t="str">
        <f>IF($R168="MTO","",
IF($H168=0,ROUNDUP(((_xlfn.XLOOKUP($A168,'[1]DATOS PBI Artículos'!$A:$A,'[1]DATOS PBI Artículos'!$AO:$AO))/(_xlfn.XLOOKUP($AL$1,[1]CRITERIOS!$S$16:$S$39,[1]CRITERIOS!$Y$16:$Y$39))*$J168+$Z168)/$G168,0)*$G168,
((_xlfn.XLOOKUP($A168,'[1]DATOS PBI Artículos'!$A:$A,'[1]DATOS PBI Artículos'!$AO:$AO))/(_xlfn.XLOOKUP($AL$1,[1]CRITERIOS!$S$16:$S$39,[1]CRITERIOS!$Y$16:$Y$39))*$J168+$Z168)))</f>
        <v/>
      </c>
    </row>
    <row r="169" spans="1:37" ht="25.8" x14ac:dyDescent="0.5">
      <c r="A169" s="32">
        <v>453659</v>
      </c>
      <c r="B169" s="33">
        <f>_xlfn.XLOOKUP($A169,'[1]DATOS PBI Artículos'!A:A,'[1]DATOS PBI Artículos'!B:B)</f>
        <v>0</v>
      </c>
      <c r="C169" s="33" t="str">
        <f>_xlfn.XLOOKUP($A169,'[1]DATOS PBI Artículos'!A:A,'[1]DATOS PBI Artículos'!C:C)</f>
        <v>UA02</v>
      </c>
      <c r="D169" s="33">
        <f>_xlfn.XLOOKUP(A169,'[1]DATOS PBI Artículos'!A:A,'[1]DATOS PBI Artículos'!T:T)</f>
        <v>2</v>
      </c>
      <c r="E169" s="34">
        <f>IF(_xlfn.XLOOKUP($A169,'[1]DATOS PBI Artículos'!A:A,'[1]DATOS PBI Artículos'!AK:AK)="",_xlfn.XLOOKUP($A169,'[1]DATOS PBI Artículos'!A:A,'[1]DATOS PBI Artículos'!AJ:AJ),_xlfn.XLOOKUP($A169,'[1]DATOS PBI Artículos'!A:A,'[1]DATOS PBI Artículos'!AK:AK))</f>
        <v>30000</v>
      </c>
      <c r="F169" s="35">
        <f>_xlfn.XLOOKUP($A169,'[1]DATOS PBI Artículos'!A:A,'[1]DATOS PBI Artículos'!AP:AP)</f>
        <v>19</v>
      </c>
      <c r="G169" s="34">
        <f>_xlfn.XLOOKUP($A169,'[1]DATOS PBI Artículos'!A:A,'[1]DATOS PBI Artículos'!AR:AR)</f>
        <v>15000</v>
      </c>
      <c r="H169" s="34">
        <f>_xlfn.XLOOKUP($A169,'[1]DATOS PBI Artículos'!A:A,'[1]DATOS PBI Artículos'!AT:AT)</f>
        <v>0</v>
      </c>
      <c r="I169" s="34">
        <f>_xlfn.XLOOKUP($A169,'[1]DATOS PBI Artículos'!A:A,'[1]DATOS PBI Artículos'!AS:AS)</f>
        <v>15000</v>
      </c>
      <c r="J169" s="35">
        <f>IF(COUNTIF([1]CRITERIOS!$F$179:$F$199,$A169)&gt;=1,
 IF(O169&lt;&gt;"",
    (O169/_xlfn.XLOOKUP(CONCATENATE(A169,L169),[1]MÁQUINAS!A:A,[1]MÁQUINAS!D:D))/24,
    (N169/_xlfn.XLOOKUP(CONCATENATE(A169,L169),[1]MÁQUINAS!A:A,[1]MÁQUINAS!D:D))/24),
  _xlfn.XLOOKUP($A169,'[1]DATOS PBI Artículos'!A:A,'[1]DATOS PBI Artículos'!AU:AU))</f>
        <v>24.2</v>
      </c>
      <c r="K169" s="36">
        <f>_xlfn.XLOOKUP($A169,'[1]DATOS PBI Artículos'!A:A,'[1]DATOS PBI Artículos'!AV:AV)</f>
        <v>10.009995004993758</v>
      </c>
      <c r="L169" s="33">
        <f>_xlfn.XLOOKUP(A169,[1]MÁQUINAS!B:B,[1]MÁQUINAS!C:C)</f>
        <v>210</v>
      </c>
      <c r="M169" s="34">
        <f t="array" ref="M169">_xlfn.XLOOKUP(A169,'[1]DATOS PBI Artículos'!A:A,'[1]DATOS PBI Artículos'!AX:$AX)</f>
        <v>20544.713818887663</v>
      </c>
      <c r="N169" s="37">
        <f>IF(I169="DV",
E169,
IF(COUNTIF([1]CRITERIOS!$I$179:$I$199,$A169)&gt;=1,
_xlfn.XLOOKUP($A169,[1]CRITERIOS!$I$179:$I$199,[1]CRITERIOS!$J$179:$J$199),
IF(COUNTIF([1]CRITERIOS!$L$179:$L$199,$A169)&gt;=1,
_xlfn.CEILING.MATH(IF($M169&gt;$E169,
$E169,
IF($M169&lt;$E169/ROUNDDOWN([1]CRITERIOS!$M$16/_xlfn.XLOOKUP($C169,[1]CRITERIOS!$K$25:$K$42,[1]CRITERIOS!$M$25:$M$42),
1),
E169/ROUNDDOWN([1]CRITERIOS!$M$16/_xlfn.XLOOKUP($C169,[1]CRITERIOS!$K$25:$K$42,[1]CRITERIOS!$M$25:$M$42),
1),
$M169)),
_xlfn.XLOOKUP($A169,[1]CRITERIOS!$L$179:$L$200,[1]CRITERIOS!$M$179:$M$200)),
_xlfn.CEILING.MATH(IF($M169&gt;$E169,
$E169,
IF($M169&lt;$E169/ROUNDDOWN([1]CRITERIOS!$M$16/_xlfn.XLOOKUP($C169,[1]CRITERIOS!$K$25:$K$42,[1]CRITERIOS!$M$25:$M$42),
1),
E169/ROUNDDOWN([1]CRITERIOS!$M$16/_xlfn.XLOOKUP($C169,[1]CRITERIOS!$K$25:$K$42,[1]CRITERIOS!$M$25:$M$42),
1),
$M169)),_xlfn.XLOOKUP(A169,'[1]DATOS PBI Artículos'!A:A,'[1]DATOS PBI Artículos'!Z:Z
)))))</f>
        <v>25000</v>
      </c>
      <c r="Q169" s="38">
        <f>IF(AND(O169="",N169=0),
0,
   IF(COUNTIF([1]CRITERIOS!$F$179:$F$199,$A169)&gt;=1,
   1,
   IF(R169="MTO",
      $D169,
      ROUNDUP(
                    IF(($E169-SUMIF('[1]DATOS PBI Artículos'!A:A,A169,'[1]DATOS PBI Artículos'!X:X)+($V169-_xlfn.XLOOKUP(A169,'[1]DATOS PBI Artículos'!A:A,'[1]DATOS PBI Artículos'!W:W)))&lt;0,
                    0,
                    IF(($E169-SUMIF('[1]DATOS PBI Artículos'!A:A,A169,'[1]DATOS PBI Artículos'!X:X)+$V169-_xlfn.XLOOKUP($A169,'[1]DATOS PBI Artículos'!A:A,'[1]DATOS PBI Artículos'!W:W))/IF($O169="",$N169,$O169)&gt;ROUNDUP([1]CRITERIOS!$M$16/(IF(COUNTIF([1]CRITERIOS!$BG$11:$BG$201,L169)&gt;=1,_xlfn.XLOOKUP($C169,[1]CRITERIOS!$K$25:$K$42,[1]CRITERIOS!$M$25:$M$42),_xlfn.XLOOKUP($C169,[1]CRITERIOS!$K$25:$K$42,[1]CRITERIOS!$M$25:$M$42))),0),
                    ROUNDUP([1]CRITERIOS!$M$16/(IF(COUNTIF([1]CRITERIOS!$BG$11:$BG$201,$L169)&gt;=1,_xlfn.XLOOKUP($C169,[1]CRITERIOS!$K$25:$K$42,[1]CRITERIOS!$M$25:$M$42),_xlfn.XLOOKUP($C169,[1]CRITERIOS!$K$25:$K$42,[1]CRITERIOS!$M$25:$M$42))),0),
                    (E169+V169-SUMIF('[1]DATOS PBI Artículos'!A:A,A169,'[1]DATOS PBI Artículos'!X:X)-_xlfn.XLOOKUP(A169,'[1]DATOS PBI Artículos'!A:A,'[1]DATOS PBI Artículos'!W:W))/IF($O169="",$N169,$O169))),0))))</f>
        <v>0</v>
      </c>
      <c r="R169" s="33" t="str">
        <f>IF(U169&lt;&gt;"",U169,IF(F169="DV","MTO",IF(N169=0,"MTO",_xlfn.XLOOKUP(CONCATENATE(S169,T169),[1]CRITERIOS!$K$160:$K$168,[1]CRITERIOS!$N$160:$N$168))))</f>
        <v>MTS</v>
      </c>
      <c r="S169" s="33" t="str">
        <f>IF(G169="DV","MTO",IF(N169=0,"MTO",IF(OR(AND(N169=0,O169=""),IF(O169="",G169/N169,G169/O169)&gt;[1]CRITERIOS!$G$163),"MTO",IF(IF(O169="",G169/N169,G169/O169)&lt;[1]CRITERIOS!$H$161,"MTS","MTOS"))))</f>
        <v>MTOS</v>
      </c>
      <c r="T169" s="33" t="str">
        <f>IF(F169="DV","MTO",IF(OR(AND($N169=0,O169=""),$F169/$J169&gt;[1]CRITERIOS!$G$170,$F169="DV"),"MTO",IF($F169/$J169&lt;[1]CRITERIOS!$H$168,"MTS","MTOS")))</f>
        <v>MTS</v>
      </c>
      <c r="V169" s="34">
        <f t="shared" si="10"/>
        <v>22441.928159559324</v>
      </c>
      <c r="X169" s="34">
        <f t="shared" si="8"/>
        <v>47441.92815955932</v>
      </c>
      <c r="Y169" s="34">
        <f t="shared" si="9"/>
        <v>15836.665001664587</v>
      </c>
      <c r="Z169" s="34">
        <f>IF($R169="MTO",
0,
($H169+$K169*($E169/[1]CRITERIOS!$M$16))/[1]CRITERIOS!$X$48)</f>
        <v>3336.6650016645863</v>
      </c>
      <c r="AA169" s="34" t="e">
        <f>ROUNDUP(($Y169/_xlfn.XLOOKUP($A169,'[1]DATOS PBI Artículos'!$A$4:$A$4,'[1]DATOS PBI Artículos'!$Z$4:$Z$4))/_xlfn.XLOOKUP(_xlfn.XLOOKUP($A169,'[1]DATOS PBI Artículos'!$A$4:$A$4,'[1]DATOS PBI Artículos'!$Y$4:$Y$4),[1]CRITERIOS!$P$79:$P$123,[1]CRITERIOS!$S$79:$S$123,),0)</f>
        <v>#N/A</v>
      </c>
      <c r="AB169" s="33" t="e">
        <f t="array" ref="AB169">IF((E169+V169-_xlfn.XLOOKUP(A169,'[1]DATOS PBI Artículos'!$A$4:$A$4,'[1]DATOS PBI Artículos'!$W$4:$W$4))/N169&gt;ROUNDUP([1]CRITERIOS!$M$16/(IF(COUNTIF([1]CRITERIOS!$BG$11:$BG$201,L169)&gt;=1,_xlfn.XLOOKUP(ARTÍCULOS!L169,[1]CRITERIOS!$BG$11:$BG$201,[1]CRITERIOS!$BJ$11:$BJ$201),_xlfn.XLOOKUP(ARTÍCULOS!C169,[1]CRITERIOS!$K$25:$K$42,[1]CRITERIOS!$M$25:$M$42))),0),ROUNDUP([1]CRITERIOS!$M$16/(IF(COUNTIF([1]CRITERIOS!$BG$11:$BG$201,L169)&gt;=1,_xlfn.XLOOKUP(ARTÍCULOS!L169,[1]CRITERIOS!$BG$11:$BG$201:#REF!,[1]CRITERIOS!$BJ$11:$BJ$201),_xlfn.XLOOKUP(ARTÍCULOS!C169,[1]CRITERIOS!$K$25:$K$42,[1]CRITERIOS!$M$25:$M$42))),0),(E169+V169-_xlfn.XLOOKUP(A169,'[1]DATOS PBI Artículos'!$A$4:$A$4,'[1]DATOS PBI Artículos'!$W$4:$W$4))/N169)</f>
        <v>#N/A</v>
      </c>
      <c r="AC169" s="33" t="e">
        <f>IF(N169=0,"",(ROUNDUP((N169/2)/(_xlfn.XLOOKUP(A169,'[1]DATOS PBI Artículos'!$A$4:$A$4,'[1]DATOS PBI Artículos'!$Z$4:$Z$4)*_xlfn.XLOOKUP(_xlfn.XLOOKUP(A169,'[1]DATOS PBI Artículos'!$A$4:$A$4,'[1]DATOS PBI Artículos'!$Y$4:$Y$4),[1]CRITERIOS!$P$79:$P$123,[1]CRITERIOS!$S$79:$S$123)),0)*[1]CRITERIOS!$M$80*([1]CRITERIOS!$M$110/[1]CRITERIOS!$M$86)+(_xlfn.XLOOKUP(A169,'[1]DATOS PBI Artículos'!$A$4:$A$4,'[1]DATOS PBI Artículos'!$AA$4:$AA$4)*([1]CRITERIOS!$M$95+[1]CRITERIOS!$M$98)))/N169)</f>
        <v>#N/A</v>
      </c>
      <c r="AD169" s="33" t="e">
        <f>IF(N169=0,"",(ROUNDUP((N169/2)/(_xlfn.XLOOKUP(A169,'[1]DATOS PBI Artículos'!$A$4:$A$4,'[1]DATOS PBI Artículos'!$Z$4:$Z$4)*_xlfn.XLOOKUP(_xlfn.XLOOKUP(A169,'[1]DATOS PBI Artículos'!$A$4:$A$4,'[1]DATOS PBI Artículos'!$Y$4:$Y$4),[1]CRITERIOS!$P$79:$P$123,[1]CRITERIOS!$S$79:$S$123)),0)*[1]CRITERIOS!$M$80*([1]CRITERIOS!$M$89*[1]CRITERIOS!$M$92)+((_xlfn.XLOOKUP(A169,'[1]DATOS PBI Artículos'!$A$4:$A$4,'[1]DATOS PBI Artículos'!$AA$4:$AA$4)/2)*([1]CRITERIOS!$M$95+[1]CRITERIOS!$M$98)))/N169)</f>
        <v>#N/A</v>
      </c>
      <c r="AE169" s="39">
        <f>IF($R169="MTO","",
IF($H169=0,ROUNDUP(((_xlfn.XLOOKUP($A169,'[1]DATOS PBI Artículos'!$A:$A,'[1]DATOS PBI Artículos'!$AL:$AL))/(_xlfn.XLOOKUP($AF$1,[1]CRITERIOS!$S$16:$S$39,[1]CRITERIOS!$Y$16:$Y$39))*$J169+$Z169)/$G169,0)*$G169,
((_xlfn.XLOOKUP($A169,'[1]DATOS PBI Artículos'!$A:$A,'[1]DATOS PBI Artículos'!$AL:$AL))/(_xlfn.XLOOKUP($AF$1,[1]CRITERIOS!$S$16:$S$39,[1]CRITERIOS!$Y$16:$Y$39))*$J169+$Z169)))</f>
        <v>15000</v>
      </c>
      <c r="AG169" s="39">
        <f>IF($R169="MTO","",
IF($H169=0,ROUNDUP(((_xlfn.XLOOKUP($A169,'[1]DATOS PBI Artículos'!$A:$A,'[1]DATOS PBI Artículos'!$AM:$AM))/(_xlfn.XLOOKUP($AH$1,[1]CRITERIOS!$S$16:$S$39,[1]CRITERIOS!$Y$16:$Y$39))*$J169+$Z169)/$G169,0)*$G169,
((_xlfn.XLOOKUP($A169,'[1]DATOS PBI Artículos'!$A:$A,'[1]DATOS PBI Artículos'!$AM:$AM))/(_xlfn.XLOOKUP($AH$1,[1]CRITERIOS!$S$16:$S$39,[1]CRITERIOS!$Y$16:$Y$39))*$J169+$Z169)))</f>
        <v>15000</v>
      </c>
      <c r="AI169" s="39">
        <f>IF($R169="MTO","",
IF($H169=0,ROUNDUP(((_xlfn.XLOOKUP($A169,'[1]DATOS PBI Artículos'!$A:$A,'[1]DATOS PBI Artículos'!$AN:$AN))/(_xlfn.XLOOKUP($AJ$1,[1]CRITERIOS!$S$16:$S$39,[1]CRITERIOS!$Y$16:$Y$39))*$J169+$Z169)/$G169,0)*$G169,
((_xlfn.XLOOKUP($A169,'[1]DATOS PBI Artículos'!$A:$A,'[1]DATOS PBI Artículos'!$AN:$AN))/(_xlfn.XLOOKUP($AJ$1,[1]CRITERIOS!$S$16:$S$39,[1]CRITERIOS!$Y$16:$Y$39))*$J169+$Z169)))</f>
        <v>15000</v>
      </c>
      <c r="AK169" s="39">
        <f>IF($R169="MTO","",
IF($H169=0,ROUNDUP(((_xlfn.XLOOKUP($A169,'[1]DATOS PBI Artículos'!$A:$A,'[1]DATOS PBI Artículos'!$AO:$AO))/(_xlfn.XLOOKUP($AL$1,[1]CRITERIOS!$S$16:$S$39,[1]CRITERIOS!$Y$16:$Y$39))*$J169+$Z169)/$G169,0)*$G169,
((_xlfn.XLOOKUP($A169,'[1]DATOS PBI Artículos'!$A:$A,'[1]DATOS PBI Artículos'!$AO:$AO))/(_xlfn.XLOOKUP($AL$1,[1]CRITERIOS!$S$16:$S$39,[1]CRITERIOS!$Y$16:$Y$39))*$J169+$Z169)))</f>
        <v>15000</v>
      </c>
    </row>
    <row r="170" spans="1:37" ht="25.8" x14ac:dyDescent="0.5">
      <c r="A170" s="32">
        <v>453584</v>
      </c>
      <c r="B170" s="33">
        <f>_xlfn.XLOOKUP($A170,'[1]DATOS PBI Artículos'!A:A,'[1]DATOS PBI Artículos'!B:B)</f>
        <v>0</v>
      </c>
      <c r="C170" s="33" t="str">
        <f>_xlfn.XLOOKUP($A170,'[1]DATOS PBI Artículos'!A:A,'[1]DATOS PBI Artículos'!C:C)</f>
        <v>UA02</v>
      </c>
      <c r="D170" s="33">
        <f>_xlfn.XLOOKUP(A170,'[1]DATOS PBI Artículos'!A:A,'[1]DATOS PBI Artículos'!T:T)</f>
        <v>2</v>
      </c>
      <c r="E170" s="34">
        <f>IF(_xlfn.XLOOKUP($A170,'[1]DATOS PBI Artículos'!A:A,'[1]DATOS PBI Artículos'!AK:AK)="",_xlfn.XLOOKUP($A170,'[1]DATOS PBI Artículos'!A:A,'[1]DATOS PBI Artículos'!AJ:AJ),_xlfn.XLOOKUP($A170,'[1]DATOS PBI Artículos'!A:A,'[1]DATOS PBI Artículos'!AK:AK))</f>
        <v>30000</v>
      </c>
      <c r="F170" s="35">
        <f>_xlfn.XLOOKUP($A170,'[1]DATOS PBI Artículos'!A:A,'[1]DATOS PBI Artículos'!AP:AP)</f>
        <v>19</v>
      </c>
      <c r="G170" s="34">
        <f>_xlfn.XLOOKUP($A170,'[1]DATOS PBI Artículos'!A:A,'[1]DATOS PBI Artículos'!AR:AR)</f>
        <v>15000</v>
      </c>
      <c r="H170" s="34">
        <f>_xlfn.XLOOKUP($A170,'[1]DATOS PBI Artículos'!A:A,'[1]DATOS PBI Artículos'!AT:AT)</f>
        <v>0</v>
      </c>
      <c r="I170" s="34">
        <f>_xlfn.XLOOKUP($A170,'[1]DATOS PBI Artículos'!A:A,'[1]DATOS PBI Artículos'!AS:AS)</f>
        <v>15000</v>
      </c>
      <c r="J170" s="35">
        <f>IF(COUNTIF([1]CRITERIOS!$F$179:$F$199,$A170)&gt;=1,
 IF(O170&lt;&gt;"",
    (O170/_xlfn.XLOOKUP(CONCATENATE(A170,L170),[1]MÁQUINAS!A:A,[1]MÁQUINAS!D:D))/24,
    (N170/_xlfn.XLOOKUP(CONCATENATE(A170,L170),[1]MÁQUINAS!A:A,[1]MÁQUINAS!D:D))/24),
  _xlfn.XLOOKUP($A170,'[1]DATOS PBI Artículos'!A:A,'[1]DATOS PBI Artículos'!AU:AU))</f>
        <v>25.5</v>
      </c>
      <c r="K170" s="36">
        <f>_xlfn.XLOOKUP($A170,'[1]DATOS PBI Artículos'!A:A,'[1]DATOS PBI Artículos'!AV:AV)</f>
        <v>8.9628864398325021</v>
      </c>
      <c r="L170" s="33">
        <f>_xlfn.XLOOKUP(A170,[1]MÁQUINAS!B:B,[1]MÁQUINAS!C:C)</f>
        <v>212</v>
      </c>
      <c r="M170" s="34">
        <f t="array" ref="M170">_xlfn.XLOOKUP(A170,'[1]DATOS PBI Artículos'!A:A,'[1]DATOS PBI Artículos'!AX:$AX)</f>
        <v>18190.99942349796</v>
      </c>
      <c r="N170" s="37">
        <f>IF(I170="DV",
E170,
IF(COUNTIF([1]CRITERIOS!$I$179:$I$199,$A170)&gt;=1,
_xlfn.XLOOKUP($A170,[1]CRITERIOS!$I$179:$I$199,[1]CRITERIOS!$J$179:$J$199),
IF(COUNTIF([1]CRITERIOS!$L$179:$L$199,$A170)&gt;=1,
_xlfn.CEILING.MATH(IF($M170&gt;$E170,
$E170,
IF($M170&lt;$E170/ROUNDDOWN([1]CRITERIOS!$M$16/_xlfn.XLOOKUP($C170,[1]CRITERIOS!$K$25:$K$42,[1]CRITERIOS!$M$25:$M$42),
1),
E170/ROUNDDOWN([1]CRITERIOS!$M$16/_xlfn.XLOOKUP($C170,[1]CRITERIOS!$K$25:$K$42,[1]CRITERIOS!$M$25:$M$42),
1),
$M170)),
_xlfn.XLOOKUP($A170,[1]CRITERIOS!$L$179:$L$200,[1]CRITERIOS!$M$179:$M$200)),
_xlfn.CEILING.MATH(IF($M170&gt;$E170,
$E170,
IF($M170&lt;$E170/ROUNDDOWN([1]CRITERIOS!$M$16/_xlfn.XLOOKUP($C170,[1]CRITERIOS!$K$25:$K$42,[1]CRITERIOS!$M$25:$M$42),
1),
E170/ROUNDDOWN([1]CRITERIOS!$M$16/_xlfn.XLOOKUP($C170,[1]CRITERIOS!$K$25:$K$42,[1]CRITERIOS!$M$25:$M$42),
1),
$M170)),_xlfn.XLOOKUP(A170,'[1]DATOS PBI Artículos'!A:A,'[1]DATOS PBI Artículos'!Z:Z
)))))</f>
        <v>20000</v>
      </c>
      <c r="Q170" s="38">
        <f>IF(AND(O170="",N170=0),
0,
   IF(COUNTIF([1]CRITERIOS!$F$179:$F$199,$A170)&gt;=1,
   1,
   IF(R170="MTO",
      $D170,
      ROUNDUP(
                    IF(($E170-SUMIF('[1]DATOS PBI Artículos'!A:A,A170,'[1]DATOS PBI Artículos'!X:X)+($V170-_xlfn.XLOOKUP(A170,'[1]DATOS PBI Artículos'!A:A,'[1]DATOS PBI Artículos'!W:W)))&lt;0,
                    0,
                    IF(($E170-SUMIF('[1]DATOS PBI Artículos'!A:A,A170,'[1]DATOS PBI Artículos'!X:X)+$V170-_xlfn.XLOOKUP($A170,'[1]DATOS PBI Artículos'!A:A,'[1]DATOS PBI Artículos'!W:W))/IF($O170="",$N170,$O170)&gt;ROUNDUP([1]CRITERIOS!$M$16/(IF(COUNTIF([1]CRITERIOS!$BG$11:$BG$201,L170)&gt;=1,_xlfn.XLOOKUP($C170,[1]CRITERIOS!$K$25:$K$42,[1]CRITERIOS!$M$25:$M$42),_xlfn.XLOOKUP($C170,[1]CRITERIOS!$K$25:$K$42,[1]CRITERIOS!$M$25:$M$42))),0),
                    ROUNDUP([1]CRITERIOS!$M$16/(IF(COUNTIF([1]CRITERIOS!$BG$11:$BG$201,$L170)&gt;=1,_xlfn.XLOOKUP($C170,[1]CRITERIOS!$K$25:$K$42,[1]CRITERIOS!$M$25:$M$42),_xlfn.XLOOKUP($C170,[1]CRITERIOS!$K$25:$K$42,[1]CRITERIOS!$M$25:$M$42))),0),
                    (E170+V170-SUMIF('[1]DATOS PBI Artículos'!A:A,A170,'[1]DATOS PBI Artículos'!X:X)-_xlfn.XLOOKUP(A170,'[1]DATOS PBI Artículos'!A:A,'[1]DATOS PBI Artículos'!W:W))/IF($O170="",$N170,$O170))),0))))</f>
        <v>0</v>
      </c>
      <c r="R170" s="33" t="str">
        <f>IF(U170&lt;&gt;"",U170,IF(F170="DV","MTO",IF(N170=0,"MTO",_xlfn.XLOOKUP(CONCATENATE(S170,T170),[1]CRITERIOS!$K$160:$K$168,[1]CRITERIOS!$N$160:$N$168))))</f>
        <v>MTS</v>
      </c>
      <c r="S170" s="33" t="str">
        <f>IF(G170="DV","MTO",IF(N170=0,"MTO",IF(OR(AND(N170=0,O170=""),IF(O170="",G170/N170,G170/O170)&gt;[1]CRITERIOS!$G$163),"MTO",IF(IF(O170="",G170/N170,G170/O170)&lt;[1]CRITERIOS!$H$161,"MTS","MTOS"))))</f>
        <v>MTOS</v>
      </c>
      <c r="T170" s="33" t="str">
        <f>IF(F170="DV","MTO",IF(OR(AND($N170=0,O170=""),$F170/$J170&gt;[1]CRITERIOS!$G$170,$F170="DV"),"MTO",IF($F170/$J170&lt;[1]CRITERIOS!$H$168,"MTS","MTOS")))</f>
        <v>MTS</v>
      </c>
      <c r="V170" s="34">
        <f t="shared" si="10"/>
        <v>23119.207760645921</v>
      </c>
      <c r="X170" s="34">
        <f t="shared" si="8"/>
        <v>43119.207760645921</v>
      </c>
      <c r="Y170" s="34">
        <f t="shared" si="9"/>
        <v>12987.628813277501</v>
      </c>
      <c r="Z170" s="34">
        <f>IF($R170="MTO",
0,
($H170+$K170*($E170/[1]CRITERIOS!$M$16))/[1]CRITERIOS!$X$48)</f>
        <v>2987.6288132775012</v>
      </c>
      <c r="AA170" s="34" t="e">
        <f>ROUNDUP(($Y170/_xlfn.XLOOKUP($A170,'[1]DATOS PBI Artículos'!$A$4:$A$4,'[1]DATOS PBI Artículos'!$Z$4:$Z$4))/_xlfn.XLOOKUP(_xlfn.XLOOKUP($A170,'[1]DATOS PBI Artículos'!$A$4:$A$4,'[1]DATOS PBI Artículos'!$Y$4:$Y$4),[1]CRITERIOS!$P$79:$P$123,[1]CRITERIOS!$S$79:$S$123,),0)</f>
        <v>#N/A</v>
      </c>
      <c r="AB170" s="33" t="e">
        <f t="array" ref="AB170">IF((E170+V170-_xlfn.XLOOKUP(A170,'[1]DATOS PBI Artículos'!$A$4:$A$4,'[1]DATOS PBI Artículos'!$W$4:$W$4))/N170&gt;ROUNDUP([1]CRITERIOS!$M$16/(IF(COUNTIF([1]CRITERIOS!$BG$11:$BG$201,L170)&gt;=1,_xlfn.XLOOKUP(ARTÍCULOS!L170,[1]CRITERIOS!$BG$11:$BG$201,[1]CRITERIOS!$BJ$11:$BJ$201),_xlfn.XLOOKUP(ARTÍCULOS!C170,[1]CRITERIOS!$K$25:$K$42,[1]CRITERIOS!$M$25:$M$42))),0),ROUNDUP([1]CRITERIOS!$M$16/(IF(COUNTIF([1]CRITERIOS!$BG$11:$BG$201,L170)&gt;=1,_xlfn.XLOOKUP(ARTÍCULOS!L170,[1]CRITERIOS!$BG$11:$BG$201:#REF!,[1]CRITERIOS!$BJ$11:$BJ$201),_xlfn.XLOOKUP(ARTÍCULOS!C170,[1]CRITERIOS!$K$25:$K$42,[1]CRITERIOS!$M$25:$M$42))),0),(E170+V170-_xlfn.XLOOKUP(A170,'[1]DATOS PBI Artículos'!$A$4:$A$4,'[1]DATOS PBI Artículos'!$W$4:$W$4))/N170)</f>
        <v>#N/A</v>
      </c>
      <c r="AC170" s="33" t="e">
        <f>IF(N170=0,"",(ROUNDUP((N170/2)/(_xlfn.XLOOKUP(A170,'[1]DATOS PBI Artículos'!$A$4:$A$4,'[1]DATOS PBI Artículos'!$Z$4:$Z$4)*_xlfn.XLOOKUP(_xlfn.XLOOKUP(A170,'[1]DATOS PBI Artículos'!$A$4:$A$4,'[1]DATOS PBI Artículos'!$Y$4:$Y$4),[1]CRITERIOS!$P$79:$P$123,[1]CRITERIOS!$S$79:$S$123)),0)*[1]CRITERIOS!$M$80*([1]CRITERIOS!$M$110/[1]CRITERIOS!$M$86)+(_xlfn.XLOOKUP(A170,'[1]DATOS PBI Artículos'!$A$4:$A$4,'[1]DATOS PBI Artículos'!$AA$4:$AA$4)*([1]CRITERIOS!$M$95+[1]CRITERIOS!$M$98)))/N170)</f>
        <v>#N/A</v>
      </c>
      <c r="AD170" s="33" t="e">
        <f>IF(N170=0,"",(ROUNDUP((N170/2)/(_xlfn.XLOOKUP(A170,'[1]DATOS PBI Artículos'!$A$4:$A$4,'[1]DATOS PBI Artículos'!$Z$4:$Z$4)*_xlfn.XLOOKUP(_xlfn.XLOOKUP(A170,'[1]DATOS PBI Artículos'!$A$4:$A$4,'[1]DATOS PBI Artículos'!$Y$4:$Y$4),[1]CRITERIOS!$P$79:$P$123,[1]CRITERIOS!$S$79:$S$123)),0)*[1]CRITERIOS!$M$80*([1]CRITERIOS!$M$89*[1]CRITERIOS!$M$92)+((_xlfn.XLOOKUP(A170,'[1]DATOS PBI Artículos'!$A$4:$A$4,'[1]DATOS PBI Artículos'!$AA$4:$AA$4)/2)*([1]CRITERIOS!$M$95+[1]CRITERIOS!$M$98)))/N170)</f>
        <v>#N/A</v>
      </c>
      <c r="AE170" s="39">
        <f>IF($R170="MTO","",
IF($H170=0,ROUNDUP(((_xlfn.XLOOKUP($A170,'[1]DATOS PBI Artículos'!$A:$A,'[1]DATOS PBI Artículos'!$AL:$AL))/(_xlfn.XLOOKUP($AF$1,[1]CRITERIOS!$S$16:$S$39,[1]CRITERIOS!$Y$16:$Y$39))*$J170+$Z170)/$G170,0)*$G170,
((_xlfn.XLOOKUP($A170,'[1]DATOS PBI Artículos'!$A:$A,'[1]DATOS PBI Artículos'!$AL:$AL))/(_xlfn.XLOOKUP($AF$1,[1]CRITERIOS!$S$16:$S$39,[1]CRITERIOS!$Y$16:$Y$39))*$J170+$Z170)))</f>
        <v>15000</v>
      </c>
      <c r="AG170" s="39">
        <f>IF($R170="MTO","",
IF($H170=0,ROUNDUP(((_xlfn.XLOOKUP($A170,'[1]DATOS PBI Artículos'!$A:$A,'[1]DATOS PBI Artículos'!$AM:$AM))/(_xlfn.XLOOKUP($AH$1,[1]CRITERIOS!$S$16:$S$39,[1]CRITERIOS!$Y$16:$Y$39))*$J170+$Z170)/$G170,0)*$G170,
((_xlfn.XLOOKUP($A170,'[1]DATOS PBI Artículos'!$A:$A,'[1]DATOS PBI Artículos'!$AM:$AM))/(_xlfn.XLOOKUP($AH$1,[1]CRITERIOS!$S$16:$S$39,[1]CRITERIOS!$Y$16:$Y$39))*$J170+$Z170)))</f>
        <v>15000</v>
      </c>
      <c r="AI170" s="39">
        <f>IF($R170="MTO","",
IF($H170=0,ROUNDUP(((_xlfn.XLOOKUP($A170,'[1]DATOS PBI Artículos'!$A:$A,'[1]DATOS PBI Artículos'!$AN:$AN))/(_xlfn.XLOOKUP($AJ$1,[1]CRITERIOS!$S$16:$S$39,[1]CRITERIOS!$Y$16:$Y$39))*$J170+$Z170)/$G170,0)*$G170,
((_xlfn.XLOOKUP($A170,'[1]DATOS PBI Artículos'!$A:$A,'[1]DATOS PBI Artículos'!$AN:$AN))/(_xlfn.XLOOKUP($AJ$1,[1]CRITERIOS!$S$16:$S$39,[1]CRITERIOS!$Y$16:$Y$39))*$J170+$Z170)))</f>
        <v>15000</v>
      </c>
      <c r="AK170" s="39">
        <f>IF($R170="MTO","",
IF($H170=0,ROUNDUP(((_xlfn.XLOOKUP($A170,'[1]DATOS PBI Artículos'!$A:$A,'[1]DATOS PBI Artículos'!$AO:$AO))/(_xlfn.XLOOKUP($AL$1,[1]CRITERIOS!$S$16:$S$39,[1]CRITERIOS!$Y$16:$Y$39))*$J170+$Z170)/$G170,0)*$G170,
((_xlfn.XLOOKUP($A170,'[1]DATOS PBI Artículos'!$A:$A,'[1]DATOS PBI Artículos'!$AO:$AO))/(_xlfn.XLOOKUP($AL$1,[1]CRITERIOS!$S$16:$S$39,[1]CRITERIOS!$Y$16:$Y$39))*$J170+$Z170)))</f>
        <v>15000</v>
      </c>
    </row>
    <row r="171" spans="1:37" ht="25.8" x14ac:dyDescent="0.5">
      <c r="A171" s="32">
        <v>407605</v>
      </c>
      <c r="B171" s="33">
        <f>_xlfn.XLOOKUP($A171,'[1]DATOS PBI Artículos'!A:A,'[1]DATOS PBI Artículos'!B:B)</f>
        <v>0</v>
      </c>
      <c r="C171" s="33" t="str">
        <f>_xlfn.XLOOKUP($A171,'[1]DATOS PBI Artículos'!A:A,'[1]DATOS PBI Artículos'!C:C)</f>
        <v>UA03</v>
      </c>
      <c r="D171" s="33">
        <f>_xlfn.XLOOKUP(A171,'[1]DATOS PBI Artículos'!A:A,'[1]DATOS PBI Artículos'!T:T)</f>
        <v>1</v>
      </c>
      <c r="E171" s="34">
        <f>IF(_xlfn.XLOOKUP($A171,'[1]DATOS PBI Artículos'!A:A,'[1]DATOS PBI Artículos'!AK:AK)="",_xlfn.XLOOKUP($A171,'[1]DATOS PBI Artículos'!A:A,'[1]DATOS PBI Artículos'!AJ:AJ),_xlfn.XLOOKUP($A171,'[1]DATOS PBI Artículos'!A:A,'[1]DATOS PBI Artículos'!AK:AK))</f>
        <v>29490</v>
      </c>
      <c r="F171" s="35">
        <f>_xlfn.XLOOKUP($A171,'[1]DATOS PBI Artículos'!A:A,'[1]DATOS PBI Artículos'!AP:AP)</f>
        <v>75</v>
      </c>
      <c r="G171" s="34">
        <f>_xlfn.XLOOKUP($A171,'[1]DATOS PBI Artículos'!A:A,'[1]DATOS PBI Artículos'!AR:AR)</f>
        <v>29490</v>
      </c>
      <c r="H171" s="34">
        <f>_xlfn.XLOOKUP($A171,'[1]DATOS PBI Artículos'!A:A,'[1]DATOS PBI Artículos'!AT:AT)</f>
        <v>0</v>
      </c>
      <c r="I171" s="34">
        <f>_xlfn.XLOOKUP($A171,'[1]DATOS PBI Artículos'!A:A,'[1]DATOS PBI Artículos'!AS:AS)</f>
        <v>29490</v>
      </c>
      <c r="J171" s="35">
        <f>IF(COUNTIF([1]CRITERIOS!$F$179:$F$199,$A171)&gt;=1,
 IF(O171&lt;&gt;"",
    (O171/_xlfn.XLOOKUP(CONCATENATE(A171,L171),[1]MÁQUINAS!A:A,[1]MÁQUINAS!D:D))/24,
    (N171/_xlfn.XLOOKUP(CONCATENATE(A171,L171),[1]MÁQUINAS!A:A,[1]MÁQUINAS!D:D))/24),
  _xlfn.XLOOKUP($A171,'[1]DATOS PBI Artículos'!A:A,'[1]DATOS PBI Artículos'!AU:AU))</f>
        <v>12</v>
      </c>
      <c r="K171" s="36">
        <f>_xlfn.XLOOKUP($A171,'[1]DATOS PBI Artículos'!A:A,'[1]DATOS PBI Artículos'!AV:AV)</f>
        <v>0</v>
      </c>
      <c r="L171" s="33">
        <f>_xlfn.XLOOKUP(A171,[1]MÁQUINAS!B:B,[1]MÁQUINAS!C:C)</f>
        <v>122</v>
      </c>
      <c r="M171" s="34">
        <f t="array" ref="M171">_xlfn.XLOOKUP(A171,'[1]DATOS PBI Artículos'!A:A,'[1]DATOS PBI Artículos'!AX:$AX)</f>
        <v>20829.195755767945</v>
      </c>
      <c r="N171" s="37">
        <f>IF(I171="DV",
E171,
IF(COUNTIF([1]CRITERIOS!$I$179:$I$199,$A171)&gt;=1,
_xlfn.XLOOKUP($A171,[1]CRITERIOS!$I$179:$I$199,[1]CRITERIOS!$J$179:$J$199),
IF(COUNTIF([1]CRITERIOS!$L$179:$L$199,$A171)&gt;=1,
_xlfn.CEILING.MATH(IF($M171&gt;$E171,
$E171,
IF($M171&lt;$E171/ROUNDDOWN([1]CRITERIOS!$M$16/_xlfn.XLOOKUP($C171,[1]CRITERIOS!$K$25:$K$42,[1]CRITERIOS!$M$25:$M$42),
1),
E171/ROUNDDOWN([1]CRITERIOS!$M$16/_xlfn.XLOOKUP($C171,[1]CRITERIOS!$K$25:$K$42,[1]CRITERIOS!$M$25:$M$42),
1),
$M171)),
_xlfn.XLOOKUP($A171,[1]CRITERIOS!$L$179:$L$200,[1]CRITERIOS!$M$179:$M$200)),
_xlfn.CEILING.MATH(IF($M171&gt;$E171,
$E171,
IF($M171&lt;$E171/ROUNDDOWN([1]CRITERIOS!$M$16/_xlfn.XLOOKUP($C171,[1]CRITERIOS!$K$25:$K$42,[1]CRITERIOS!$M$25:$M$42),
1),
E171/ROUNDDOWN([1]CRITERIOS!$M$16/_xlfn.XLOOKUP($C171,[1]CRITERIOS!$K$25:$K$42,[1]CRITERIOS!$M$25:$M$42),
1),
$M171)),_xlfn.XLOOKUP(A171,'[1]DATOS PBI Artículos'!A:A,'[1]DATOS PBI Artículos'!Z:Z
)))))</f>
        <v>24000</v>
      </c>
      <c r="Q171" s="38">
        <f>IF(AND(O171="",N171=0),
0,
   IF(COUNTIF([1]CRITERIOS!$F$179:$F$199,$A171)&gt;=1,
   1,
   IF(R171="MTO",
      $D171,
      ROUNDUP(
                    IF(($E171-SUMIF('[1]DATOS PBI Artículos'!A:A,A171,'[1]DATOS PBI Artículos'!X:X)+($V171-_xlfn.XLOOKUP(A171,'[1]DATOS PBI Artículos'!A:A,'[1]DATOS PBI Artículos'!W:W)))&lt;0,
                    0,
                    IF(($E171-SUMIF('[1]DATOS PBI Artículos'!A:A,A171,'[1]DATOS PBI Artículos'!X:X)+$V171-_xlfn.XLOOKUP($A171,'[1]DATOS PBI Artículos'!A:A,'[1]DATOS PBI Artículos'!W:W))/IF($O171="",$N171,$O171)&gt;ROUNDUP([1]CRITERIOS!$M$16/(IF(COUNTIF([1]CRITERIOS!$BG$11:$BG$201,L171)&gt;=1,_xlfn.XLOOKUP($C171,[1]CRITERIOS!$K$25:$K$42,[1]CRITERIOS!$M$25:$M$42),_xlfn.XLOOKUP($C171,[1]CRITERIOS!$K$25:$K$42,[1]CRITERIOS!$M$25:$M$42))),0),
                    ROUNDUP([1]CRITERIOS!$M$16/(IF(COUNTIF([1]CRITERIOS!$BG$11:$BG$201,$L171)&gt;=1,_xlfn.XLOOKUP($C171,[1]CRITERIOS!$K$25:$K$42,[1]CRITERIOS!$M$25:$M$42),_xlfn.XLOOKUP($C171,[1]CRITERIOS!$K$25:$K$42,[1]CRITERIOS!$M$25:$M$42))),0),
                    (E171+V171-SUMIF('[1]DATOS PBI Artículos'!A:A,A171,'[1]DATOS PBI Artículos'!X:X)-_xlfn.XLOOKUP(A171,'[1]DATOS PBI Artículos'!A:A,'[1]DATOS PBI Artículos'!W:W))/IF($O171="",$N171,$O171))),0))))</f>
        <v>1</v>
      </c>
      <c r="R171" s="33" t="str">
        <f>IF(U171&lt;&gt;"",U171,IF(F171="DV","MTO",IF(N171=0,"MTO",_xlfn.XLOOKUP(CONCATENATE(S171,T171),[1]CRITERIOS!$K$160:$K$168,[1]CRITERIOS!$N$160:$N$168))))</f>
        <v>MTO</v>
      </c>
      <c r="S171" s="33" t="str">
        <f>IF(G171="DV","MTO",IF(N171=0,"MTO",IF(OR(AND(N171=0,O171=""),IF(O171="",G171/N171,G171/O171)&gt;[1]CRITERIOS!$G$163),"MTO",IF(IF(O171="",G171/N171,G171/O171)&lt;[1]CRITERIOS!$H$161,"MTS","MTOS"))))</f>
        <v>MTO</v>
      </c>
      <c r="T171" s="33" t="str">
        <f>IF(F171="DV","MTO",IF(OR(AND($N171=0,O171=""),$F171/$J171&gt;[1]CRITERIOS!$G$170,$F171="DV"),"MTO",IF($F171/$J171&lt;[1]CRITERIOS!$H$168,"MTS","MTOS")))</f>
        <v>MTO</v>
      </c>
      <c r="V171" s="34" t="str">
        <f t="shared" si="10"/>
        <v/>
      </c>
      <c r="X171" s="34">
        <f t="shared" si="8"/>
        <v>0</v>
      </c>
      <c r="Y171" s="34">
        <f t="shared" si="9"/>
        <v>0</v>
      </c>
      <c r="Z171" s="34">
        <f>IF($R171="MTO",
0,
($H171+$K171*($E171/[1]CRITERIOS!$M$16))/[1]CRITERIOS!$X$48)</f>
        <v>0</v>
      </c>
      <c r="AA171" s="34" t="e">
        <f>ROUNDUP(($Y171/_xlfn.XLOOKUP($A171,'[1]DATOS PBI Artículos'!$A$4:$A$4,'[1]DATOS PBI Artículos'!$Z$4:$Z$4))/_xlfn.XLOOKUP(_xlfn.XLOOKUP($A171,'[1]DATOS PBI Artículos'!$A$4:$A$4,'[1]DATOS PBI Artículos'!$Y$4:$Y$4),[1]CRITERIOS!$P$79:$P$123,[1]CRITERIOS!$S$79:$S$123,),0)</f>
        <v>#N/A</v>
      </c>
      <c r="AB171" s="33" t="e">
        <f t="array" ref="AB171">IF((E171+V171-_xlfn.XLOOKUP(A171,'[1]DATOS PBI Artículos'!$A$4:$A$4,'[1]DATOS PBI Artículos'!$W$4:$W$4))/N171&gt;ROUNDUP([1]CRITERIOS!$M$16/(IF(COUNTIF([1]CRITERIOS!$BG$11:$BG$201,L171)&gt;=1,_xlfn.XLOOKUP(ARTÍCULOS!L171,[1]CRITERIOS!$BG$11:$BG$201,[1]CRITERIOS!$BJ$11:$BJ$201),_xlfn.XLOOKUP(ARTÍCULOS!C171,[1]CRITERIOS!$K$25:$K$42,[1]CRITERIOS!$M$25:$M$42))),0),ROUNDUP([1]CRITERIOS!$M$16/(IF(COUNTIF([1]CRITERIOS!$BG$11:$BG$201,L171)&gt;=1,_xlfn.XLOOKUP(ARTÍCULOS!L171,[1]CRITERIOS!$BG$11:$BG$201:#REF!,[1]CRITERIOS!$BJ$11:$BJ$201),_xlfn.XLOOKUP(ARTÍCULOS!C171,[1]CRITERIOS!$K$25:$K$42,[1]CRITERIOS!$M$25:$M$42))),0),(E171+V171-_xlfn.XLOOKUP(A171,'[1]DATOS PBI Artículos'!$A$4:$A$4,'[1]DATOS PBI Artículos'!$W$4:$W$4))/N171)</f>
        <v>#VALUE!</v>
      </c>
      <c r="AC171" s="33" t="e">
        <f>IF(N171=0,"",(ROUNDUP((N171/2)/(_xlfn.XLOOKUP(A171,'[1]DATOS PBI Artículos'!$A$4:$A$4,'[1]DATOS PBI Artículos'!$Z$4:$Z$4)*_xlfn.XLOOKUP(_xlfn.XLOOKUP(A171,'[1]DATOS PBI Artículos'!$A$4:$A$4,'[1]DATOS PBI Artículos'!$Y$4:$Y$4),[1]CRITERIOS!$P$79:$P$123,[1]CRITERIOS!$S$79:$S$123)),0)*[1]CRITERIOS!$M$80*([1]CRITERIOS!$M$110/[1]CRITERIOS!$M$86)+(_xlfn.XLOOKUP(A171,'[1]DATOS PBI Artículos'!$A$4:$A$4,'[1]DATOS PBI Artículos'!$AA$4:$AA$4)*([1]CRITERIOS!$M$95+[1]CRITERIOS!$M$98)))/N171)</f>
        <v>#N/A</v>
      </c>
      <c r="AD171" s="33" t="e">
        <f>IF(N171=0,"",(ROUNDUP((N171/2)/(_xlfn.XLOOKUP(A171,'[1]DATOS PBI Artículos'!$A$4:$A$4,'[1]DATOS PBI Artículos'!$Z$4:$Z$4)*_xlfn.XLOOKUP(_xlfn.XLOOKUP(A171,'[1]DATOS PBI Artículos'!$A$4:$A$4,'[1]DATOS PBI Artículos'!$Y$4:$Y$4),[1]CRITERIOS!$P$79:$P$123,[1]CRITERIOS!$S$79:$S$123)),0)*[1]CRITERIOS!$M$80*([1]CRITERIOS!$M$89*[1]CRITERIOS!$M$92)+((_xlfn.XLOOKUP(A171,'[1]DATOS PBI Artículos'!$A$4:$A$4,'[1]DATOS PBI Artículos'!$AA$4:$AA$4)/2)*([1]CRITERIOS!$M$95+[1]CRITERIOS!$M$98)))/N171)</f>
        <v>#N/A</v>
      </c>
      <c r="AE171" s="39" t="str">
        <f>IF($R171="MTO","",
IF($H171=0,ROUNDUP(((_xlfn.XLOOKUP($A171,'[1]DATOS PBI Artículos'!$A:$A,'[1]DATOS PBI Artículos'!$AL:$AL))/(_xlfn.XLOOKUP($AF$1,[1]CRITERIOS!$S$16:$S$39,[1]CRITERIOS!$Y$16:$Y$39))*$J171+$Z171)/$G171,0)*$G171,
((_xlfn.XLOOKUP($A171,'[1]DATOS PBI Artículos'!$A:$A,'[1]DATOS PBI Artículos'!$AL:$AL))/(_xlfn.XLOOKUP($AF$1,[1]CRITERIOS!$S$16:$S$39,[1]CRITERIOS!$Y$16:$Y$39))*$J171+$Z171)))</f>
        <v/>
      </c>
      <c r="AG171" s="39" t="str">
        <f>IF($R171="MTO","",
IF($H171=0,ROUNDUP(((_xlfn.XLOOKUP($A171,'[1]DATOS PBI Artículos'!$A:$A,'[1]DATOS PBI Artículos'!$AM:$AM))/(_xlfn.XLOOKUP($AH$1,[1]CRITERIOS!$S$16:$S$39,[1]CRITERIOS!$Y$16:$Y$39))*$J171+$Z171)/$G171,0)*$G171,
((_xlfn.XLOOKUP($A171,'[1]DATOS PBI Artículos'!$A:$A,'[1]DATOS PBI Artículos'!$AM:$AM))/(_xlfn.XLOOKUP($AH$1,[1]CRITERIOS!$S$16:$S$39,[1]CRITERIOS!$Y$16:$Y$39))*$J171+$Z171)))</f>
        <v/>
      </c>
      <c r="AI171" s="39" t="str">
        <f>IF($R171="MTO","",
IF($H171=0,ROUNDUP(((_xlfn.XLOOKUP($A171,'[1]DATOS PBI Artículos'!$A:$A,'[1]DATOS PBI Artículos'!$AN:$AN))/(_xlfn.XLOOKUP($AJ$1,[1]CRITERIOS!$S$16:$S$39,[1]CRITERIOS!$Y$16:$Y$39))*$J171+$Z171)/$G171,0)*$G171,
((_xlfn.XLOOKUP($A171,'[1]DATOS PBI Artículos'!$A:$A,'[1]DATOS PBI Artículos'!$AN:$AN))/(_xlfn.XLOOKUP($AJ$1,[1]CRITERIOS!$S$16:$S$39,[1]CRITERIOS!$Y$16:$Y$39))*$J171+$Z171)))</f>
        <v/>
      </c>
      <c r="AK171" s="39" t="str">
        <f>IF($R171="MTO","",
IF($H171=0,ROUNDUP(((_xlfn.XLOOKUP($A171,'[1]DATOS PBI Artículos'!$A:$A,'[1]DATOS PBI Artículos'!$AO:$AO))/(_xlfn.XLOOKUP($AL$1,[1]CRITERIOS!$S$16:$S$39,[1]CRITERIOS!$Y$16:$Y$39))*$J171+$Z171)/$G171,0)*$G171,
((_xlfn.XLOOKUP($A171,'[1]DATOS PBI Artículos'!$A:$A,'[1]DATOS PBI Artículos'!$AO:$AO))/(_xlfn.XLOOKUP($AL$1,[1]CRITERIOS!$S$16:$S$39,[1]CRITERIOS!$Y$16:$Y$39))*$J171+$Z171)))</f>
        <v/>
      </c>
    </row>
    <row r="172" spans="1:37" ht="25.8" x14ac:dyDescent="0.5">
      <c r="A172" s="32">
        <v>453215</v>
      </c>
      <c r="B172" s="33">
        <f>_xlfn.XLOOKUP($A172,'[1]DATOS PBI Artículos'!A:A,'[1]DATOS PBI Artículos'!B:B)</f>
        <v>0</v>
      </c>
      <c r="C172" s="33" t="str">
        <f>_xlfn.XLOOKUP($A172,'[1]DATOS PBI Artículos'!A:A,'[1]DATOS PBI Artículos'!C:C)</f>
        <v>UA01</v>
      </c>
      <c r="D172" s="33">
        <f>_xlfn.XLOOKUP(A172,'[1]DATOS PBI Artículos'!A:A,'[1]DATOS PBI Artículos'!T:T)</f>
        <v>1</v>
      </c>
      <c r="E172" s="34">
        <f>IF(_xlfn.XLOOKUP($A172,'[1]DATOS PBI Artículos'!A:A,'[1]DATOS PBI Artículos'!AK:AK)="",_xlfn.XLOOKUP($A172,'[1]DATOS PBI Artículos'!A:A,'[1]DATOS PBI Artículos'!AJ:AJ),_xlfn.XLOOKUP($A172,'[1]DATOS PBI Artículos'!A:A,'[1]DATOS PBI Artículos'!AK:AK))</f>
        <v>28800</v>
      </c>
      <c r="F172" s="35">
        <f>_xlfn.XLOOKUP($A172,'[1]DATOS PBI Artículos'!A:A,'[1]DATOS PBI Artículos'!AP:AP)</f>
        <v>75</v>
      </c>
      <c r="G172" s="34">
        <f>_xlfn.XLOOKUP($A172,'[1]DATOS PBI Artículos'!A:A,'[1]DATOS PBI Artículos'!AR:AR)</f>
        <v>28800</v>
      </c>
      <c r="H172" s="34">
        <f>_xlfn.XLOOKUP($A172,'[1]DATOS PBI Artículos'!A:A,'[1]DATOS PBI Artículos'!AT:AT)</f>
        <v>0</v>
      </c>
      <c r="I172" s="34">
        <f>_xlfn.XLOOKUP($A172,'[1]DATOS PBI Artículos'!A:A,'[1]DATOS PBI Artículos'!AS:AS)</f>
        <v>28800</v>
      </c>
      <c r="J172" s="35">
        <f>IF(COUNTIF([1]CRITERIOS!$F$179:$F$199,$A172)&gt;=1,
 IF(O172&lt;&gt;"",
    (O172/_xlfn.XLOOKUP(CONCATENATE(A172,L172),[1]MÁQUINAS!A:A,[1]MÁQUINAS!D:D))/24,
    (N172/_xlfn.XLOOKUP(CONCATENATE(A172,L172),[1]MÁQUINAS!A:A,[1]MÁQUINAS!D:D))/24),
  _xlfn.XLOOKUP($A172,'[1]DATOS PBI Artículos'!A:A,'[1]DATOS PBI Artículos'!AU:AU))</f>
        <v>18</v>
      </c>
      <c r="K172" s="36">
        <f>_xlfn.XLOOKUP($A172,'[1]DATOS PBI Artículos'!A:A,'[1]DATOS PBI Artículos'!AV:AV)</f>
        <v>0</v>
      </c>
      <c r="L172" s="33">
        <f>_xlfn.XLOOKUP(A172,[1]MÁQUINAS!B:B,[1]MÁQUINAS!C:C)</f>
        <v>406</v>
      </c>
      <c r="M172" s="34">
        <f t="array" ref="M172">_xlfn.XLOOKUP(A172,'[1]DATOS PBI Artículos'!A:A,'[1]DATOS PBI Artículos'!AX:$AX)</f>
        <v>13885.363624824213</v>
      </c>
      <c r="N172" s="37">
        <f>IF(I172="DV",
E172,
IF(COUNTIF([1]CRITERIOS!$I$179:$I$199,$A172)&gt;=1,
_xlfn.XLOOKUP($A172,[1]CRITERIOS!$I$179:$I$199,[1]CRITERIOS!$J$179:$J$199),
IF(COUNTIF([1]CRITERIOS!$L$179:$L$199,$A172)&gt;=1,
_xlfn.CEILING.MATH(IF($M172&gt;$E172,
$E172,
IF($M172&lt;$E172/ROUNDDOWN([1]CRITERIOS!$M$16/_xlfn.XLOOKUP($C172,[1]CRITERIOS!$K$25:$K$42,[1]CRITERIOS!$M$25:$M$42),
1),
E172/ROUNDDOWN([1]CRITERIOS!$M$16/_xlfn.XLOOKUP($C172,[1]CRITERIOS!$K$25:$K$42,[1]CRITERIOS!$M$25:$M$42),
1),
$M172)),
_xlfn.XLOOKUP($A172,[1]CRITERIOS!$L$179:$L$200,[1]CRITERIOS!$M$179:$M$200)),
_xlfn.CEILING.MATH(IF($M172&gt;$E172,
$E172,
IF($M172&lt;$E172/ROUNDDOWN([1]CRITERIOS!$M$16/_xlfn.XLOOKUP($C172,[1]CRITERIOS!$K$25:$K$42,[1]CRITERIOS!$M$25:$M$42),
1),
E172/ROUNDDOWN([1]CRITERIOS!$M$16/_xlfn.XLOOKUP($C172,[1]CRITERIOS!$K$25:$K$42,[1]CRITERIOS!$M$25:$M$42),
1),
$M172)),_xlfn.XLOOKUP(A172,'[1]DATOS PBI Artículos'!A:A,'[1]DATOS PBI Artículos'!Z:Z
)))))</f>
        <v>14400</v>
      </c>
      <c r="Q172" s="38">
        <f>IF(AND(O172="",N172=0),
0,
   IF(COUNTIF([1]CRITERIOS!$F$179:$F$199,$A172)&gt;=1,
   1,
   IF(R172="MTO",
      $D172,
      ROUNDUP(
                    IF(($E172-SUMIF('[1]DATOS PBI Artículos'!A:A,A172,'[1]DATOS PBI Artículos'!X:X)+($V172-_xlfn.XLOOKUP(A172,'[1]DATOS PBI Artículos'!A:A,'[1]DATOS PBI Artículos'!W:W)))&lt;0,
                    0,
                    IF(($E172-SUMIF('[1]DATOS PBI Artículos'!A:A,A172,'[1]DATOS PBI Artículos'!X:X)+$V172-_xlfn.XLOOKUP($A172,'[1]DATOS PBI Artículos'!A:A,'[1]DATOS PBI Artículos'!W:W))/IF($O172="",$N172,$O172)&gt;ROUNDUP([1]CRITERIOS!$M$16/(IF(COUNTIF([1]CRITERIOS!$BG$11:$BG$201,L172)&gt;=1,_xlfn.XLOOKUP($C172,[1]CRITERIOS!$K$25:$K$42,[1]CRITERIOS!$M$25:$M$42),_xlfn.XLOOKUP($C172,[1]CRITERIOS!$K$25:$K$42,[1]CRITERIOS!$M$25:$M$42))),0),
                    ROUNDUP([1]CRITERIOS!$M$16/(IF(COUNTIF([1]CRITERIOS!$BG$11:$BG$201,$L172)&gt;=1,_xlfn.XLOOKUP($C172,[1]CRITERIOS!$K$25:$K$42,[1]CRITERIOS!$M$25:$M$42),_xlfn.XLOOKUP($C172,[1]CRITERIOS!$K$25:$K$42,[1]CRITERIOS!$M$25:$M$42))),0),
                    (E172+V172-SUMIF('[1]DATOS PBI Artículos'!A:A,A172,'[1]DATOS PBI Artículos'!X:X)-_xlfn.XLOOKUP(A172,'[1]DATOS PBI Artículos'!A:A,'[1]DATOS PBI Artículos'!W:W))/IF($O172="",$N172,$O172))),0))))</f>
        <v>1</v>
      </c>
      <c r="R172" s="33" t="str">
        <f>IF(U172&lt;&gt;"",U172,IF(F172="DV","MTO",IF(N172=0,"MTO",_xlfn.XLOOKUP(CONCATENATE(S172,T172),[1]CRITERIOS!$K$160:$K$168,[1]CRITERIOS!$N$160:$N$168))))</f>
        <v>MTO</v>
      </c>
      <c r="S172" s="33" t="str">
        <f>IF(G172="DV","MTO",IF(N172=0,"MTO",IF(OR(AND(N172=0,O172=""),IF(O172="",G172/N172,G172/O172)&gt;[1]CRITERIOS!$G$163),"MTO",IF(IF(O172="",G172/N172,G172/O172)&lt;[1]CRITERIOS!$H$161,"MTS","MTOS"))))</f>
        <v>MTO</v>
      </c>
      <c r="T172" s="33" t="str">
        <f>IF(F172="DV","MTO",IF(OR(AND($N172=0,O172=""),$F172/$J172&gt;[1]CRITERIOS!$G$170,$F172="DV"),"MTO",IF($F172/$J172&lt;[1]CRITERIOS!$H$168,"MTS","MTOS")))</f>
        <v>MTO</v>
      </c>
      <c r="V172" s="34" t="str">
        <f t="shared" si="10"/>
        <v/>
      </c>
      <c r="X172" s="34">
        <f t="shared" si="8"/>
        <v>0</v>
      </c>
      <c r="Y172" s="34">
        <f t="shared" si="9"/>
        <v>0</v>
      </c>
      <c r="Z172" s="34">
        <f>IF($R172="MTO",
0,
($H172+$K172*($E172/[1]CRITERIOS!$M$16))/[1]CRITERIOS!$X$48)</f>
        <v>0</v>
      </c>
      <c r="AA172" s="34" t="e">
        <f>ROUNDUP(($Y172/_xlfn.XLOOKUP($A172,'[1]DATOS PBI Artículos'!$A$4:$A$4,'[1]DATOS PBI Artículos'!$Z$4:$Z$4))/_xlfn.XLOOKUP(_xlfn.XLOOKUP($A172,'[1]DATOS PBI Artículos'!$A$4:$A$4,'[1]DATOS PBI Artículos'!$Y$4:$Y$4),[1]CRITERIOS!$P$79:$P$123,[1]CRITERIOS!$S$79:$S$123,),0)</f>
        <v>#N/A</v>
      </c>
      <c r="AB172" s="33" t="e">
        <f t="array" ref="AB172">IF((E172+V172-_xlfn.XLOOKUP(A172,'[1]DATOS PBI Artículos'!$A$4:$A$4,'[1]DATOS PBI Artículos'!$W$4:$W$4))/N172&gt;ROUNDUP([1]CRITERIOS!$M$16/(IF(COUNTIF([1]CRITERIOS!$BG$11:$BG$201,L172)&gt;=1,_xlfn.XLOOKUP(ARTÍCULOS!L172,[1]CRITERIOS!$BG$11:$BG$201,[1]CRITERIOS!$BJ$11:$BJ$201),_xlfn.XLOOKUP(ARTÍCULOS!C172,[1]CRITERIOS!$K$25:$K$42,[1]CRITERIOS!$M$25:$M$42))),0),ROUNDUP([1]CRITERIOS!$M$16/(IF(COUNTIF([1]CRITERIOS!$BG$11:$BG$201,L172)&gt;=1,_xlfn.XLOOKUP(ARTÍCULOS!L172,[1]CRITERIOS!$BG$11:$BG$201:#REF!,[1]CRITERIOS!$BJ$11:$BJ$201),_xlfn.XLOOKUP(ARTÍCULOS!C172,[1]CRITERIOS!$K$25:$K$42,[1]CRITERIOS!$M$25:$M$42))),0),(E172+V172-_xlfn.XLOOKUP(A172,'[1]DATOS PBI Artículos'!$A$4:$A$4,'[1]DATOS PBI Artículos'!$W$4:$W$4))/N172)</f>
        <v>#VALUE!</v>
      </c>
      <c r="AC172" s="33" t="e">
        <f>IF(N172=0,"",(ROUNDUP((N172/2)/(_xlfn.XLOOKUP(A172,'[1]DATOS PBI Artículos'!$A$4:$A$4,'[1]DATOS PBI Artículos'!$Z$4:$Z$4)*_xlfn.XLOOKUP(_xlfn.XLOOKUP(A172,'[1]DATOS PBI Artículos'!$A$4:$A$4,'[1]DATOS PBI Artículos'!$Y$4:$Y$4),[1]CRITERIOS!$P$79:$P$123,[1]CRITERIOS!$S$79:$S$123)),0)*[1]CRITERIOS!$M$80*([1]CRITERIOS!$M$110/[1]CRITERIOS!$M$86)+(_xlfn.XLOOKUP(A172,'[1]DATOS PBI Artículos'!$A$4:$A$4,'[1]DATOS PBI Artículos'!$AA$4:$AA$4)*([1]CRITERIOS!$M$95+[1]CRITERIOS!$M$98)))/N172)</f>
        <v>#N/A</v>
      </c>
      <c r="AD172" s="33" t="e">
        <f>IF(N172=0,"",(ROUNDUP((N172/2)/(_xlfn.XLOOKUP(A172,'[1]DATOS PBI Artículos'!$A$4:$A$4,'[1]DATOS PBI Artículos'!$Z$4:$Z$4)*_xlfn.XLOOKUP(_xlfn.XLOOKUP(A172,'[1]DATOS PBI Artículos'!$A$4:$A$4,'[1]DATOS PBI Artículos'!$Y$4:$Y$4),[1]CRITERIOS!$P$79:$P$123,[1]CRITERIOS!$S$79:$S$123)),0)*[1]CRITERIOS!$M$80*([1]CRITERIOS!$M$89*[1]CRITERIOS!$M$92)+((_xlfn.XLOOKUP(A172,'[1]DATOS PBI Artículos'!$A$4:$A$4,'[1]DATOS PBI Artículos'!$AA$4:$AA$4)/2)*([1]CRITERIOS!$M$95+[1]CRITERIOS!$M$98)))/N172)</f>
        <v>#N/A</v>
      </c>
      <c r="AE172" s="39" t="str">
        <f>IF($R172="MTO","",
IF($H172=0,ROUNDUP(((_xlfn.XLOOKUP($A172,'[1]DATOS PBI Artículos'!$A:$A,'[1]DATOS PBI Artículos'!$AL:$AL))/(_xlfn.XLOOKUP($AF$1,[1]CRITERIOS!$S$16:$S$39,[1]CRITERIOS!$Y$16:$Y$39))*$J172+$Z172)/$G172,0)*$G172,
((_xlfn.XLOOKUP($A172,'[1]DATOS PBI Artículos'!$A:$A,'[1]DATOS PBI Artículos'!$AL:$AL))/(_xlfn.XLOOKUP($AF$1,[1]CRITERIOS!$S$16:$S$39,[1]CRITERIOS!$Y$16:$Y$39))*$J172+$Z172)))</f>
        <v/>
      </c>
      <c r="AG172" s="39" t="str">
        <f>IF($R172="MTO","",
IF($H172=0,ROUNDUP(((_xlfn.XLOOKUP($A172,'[1]DATOS PBI Artículos'!$A:$A,'[1]DATOS PBI Artículos'!$AM:$AM))/(_xlfn.XLOOKUP($AH$1,[1]CRITERIOS!$S$16:$S$39,[1]CRITERIOS!$Y$16:$Y$39))*$J172+$Z172)/$G172,0)*$G172,
((_xlfn.XLOOKUP($A172,'[1]DATOS PBI Artículos'!$A:$A,'[1]DATOS PBI Artículos'!$AM:$AM))/(_xlfn.XLOOKUP($AH$1,[1]CRITERIOS!$S$16:$S$39,[1]CRITERIOS!$Y$16:$Y$39))*$J172+$Z172)))</f>
        <v/>
      </c>
      <c r="AI172" s="39" t="str">
        <f>IF($R172="MTO","",
IF($H172=0,ROUNDUP(((_xlfn.XLOOKUP($A172,'[1]DATOS PBI Artículos'!$A:$A,'[1]DATOS PBI Artículos'!$AN:$AN))/(_xlfn.XLOOKUP($AJ$1,[1]CRITERIOS!$S$16:$S$39,[1]CRITERIOS!$Y$16:$Y$39))*$J172+$Z172)/$G172,0)*$G172,
((_xlfn.XLOOKUP($A172,'[1]DATOS PBI Artículos'!$A:$A,'[1]DATOS PBI Artículos'!$AN:$AN))/(_xlfn.XLOOKUP($AJ$1,[1]CRITERIOS!$S$16:$S$39,[1]CRITERIOS!$Y$16:$Y$39))*$J172+$Z172)))</f>
        <v/>
      </c>
      <c r="AK172" s="39" t="str">
        <f>IF($R172="MTO","",
IF($H172=0,ROUNDUP(((_xlfn.XLOOKUP($A172,'[1]DATOS PBI Artículos'!$A:$A,'[1]DATOS PBI Artículos'!$AO:$AO))/(_xlfn.XLOOKUP($AL$1,[1]CRITERIOS!$S$16:$S$39,[1]CRITERIOS!$Y$16:$Y$39))*$J172+$Z172)/$G172,0)*$G172,
((_xlfn.XLOOKUP($A172,'[1]DATOS PBI Artículos'!$A:$A,'[1]DATOS PBI Artículos'!$AO:$AO))/(_xlfn.XLOOKUP($AL$1,[1]CRITERIOS!$S$16:$S$39,[1]CRITERIOS!$Y$16:$Y$39))*$J172+$Z172)))</f>
        <v/>
      </c>
    </row>
    <row r="173" spans="1:37" ht="25.8" x14ac:dyDescent="0.5">
      <c r="A173" s="32">
        <v>422480</v>
      </c>
      <c r="B173" s="33">
        <f>_xlfn.XLOOKUP($A173,'[1]DATOS PBI Artículos'!A:A,'[1]DATOS PBI Artículos'!B:B)</f>
        <v>0</v>
      </c>
      <c r="C173" s="33" t="str">
        <f>_xlfn.XLOOKUP($A173,'[1]DATOS PBI Artículos'!A:A,'[1]DATOS PBI Artículos'!C:C)</f>
        <v>UA01</v>
      </c>
      <c r="D173" s="33">
        <f>_xlfn.XLOOKUP(A173,'[1]DATOS PBI Artículos'!A:A,'[1]DATOS PBI Artículos'!T:T)</f>
        <v>16</v>
      </c>
      <c r="E173" s="34">
        <f>IF(_xlfn.XLOOKUP($A173,'[1]DATOS PBI Artículos'!A:A,'[1]DATOS PBI Artículos'!AK:AK)="",_xlfn.XLOOKUP($A173,'[1]DATOS PBI Artículos'!A:A,'[1]DATOS PBI Artículos'!AJ:AJ),_xlfn.XLOOKUP($A173,'[1]DATOS PBI Artículos'!A:A,'[1]DATOS PBI Artículos'!AK:AK))</f>
        <v>27500</v>
      </c>
      <c r="F173" s="35">
        <f>_xlfn.XLOOKUP($A173,'[1]DATOS PBI Artículos'!A:A,'[1]DATOS PBI Artículos'!AP:AP)</f>
        <v>5.9090909090899997</v>
      </c>
      <c r="G173" s="34">
        <f>_xlfn.XLOOKUP($A173,'[1]DATOS PBI Artículos'!A:A,'[1]DATOS PBI Artículos'!AR:AR)</f>
        <v>2500</v>
      </c>
      <c r="H173" s="34">
        <f>_xlfn.XLOOKUP($A173,'[1]DATOS PBI Artículos'!A:A,'[1]DATOS PBI Artículos'!AT:AT)</f>
        <v>810.67685898696379</v>
      </c>
      <c r="I173" s="34">
        <f>_xlfn.XLOOKUP($A173,'[1]DATOS PBI Artículos'!A:A,'[1]DATOS PBI Artículos'!AS:AS)</f>
        <v>500</v>
      </c>
      <c r="J173" s="35">
        <f>IF(COUNTIF([1]CRITERIOS!$F$179:$F$199,$A173)&gt;=1,
 IF(O173&lt;&gt;"",
    (O173/_xlfn.XLOOKUP(CONCATENATE(A173,L173),[1]MÁQUINAS!A:A,[1]MÁQUINAS!D:D))/24,
    (N173/_xlfn.XLOOKUP(CONCATENATE(A173,L173),[1]MÁQUINAS!A:A,[1]MÁQUINAS!D:D))/24),
  _xlfn.XLOOKUP($A173,'[1]DATOS PBI Artículos'!A:A,'[1]DATOS PBI Artículos'!AU:AU))</f>
        <v>19.5</v>
      </c>
      <c r="K173" s="36">
        <f>_xlfn.XLOOKUP($A173,'[1]DATOS PBI Artículos'!A:A,'[1]DATOS PBI Artículos'!AV:AV)</f>
        <v>6.8862945501611348</v>
      </c>
      <c r="L173" s="33">
        <f>_xlfn.XLOOKUP(A173,[1]MÁQUINAS!B:B,[1]MÁQUINAS!C:C)</f>
        <v>500</v>
      </c>
      <c r="M173" s="34">
        <f t="array" ref="M173">_xlfn.XLOOKUP(A173,'[1]DATOS PBI Artículos'!A:A,'[1]DATOS PBI Artículos'!AX:$AX)</f>
        <v>9108.3466134453392</v>
      </c>
      <c r="N173" s="37">
        <f>IF(I173="DV",
E173,
IF(COUNTIF([1]CRITERIOS!$I$179:$I$199,$A173)&gt;=1,
_xlfn.XLOOKUP($A173,[1]CRITERIOS!$I$179:$I$199,[1]CRITERIOS!$J$179:$J$199),
IF(COUNTIF([1]CRITERIOS!$L$179:$L$199,$A173)&gt;=1,
_xlfn.CEILING.MATH(IF($M173&gt;$E173,
$E173,
IF($M173&lt;$E173/ROUNDDOWN([1]CRITERIOS!$M$16/_xlfn.XLOOKUP($C173,[1]CRITERIOS!$K$25:$K$42,[1]CRITERIOS!$M$25:$M$42),
1),
E173/ROUNDDOWN([1]CRITERIOS!$M$16/_xlfn.XLOOKUP($C173,[1]CRITERIOS!$K$25:$K$42,[1]CRITERIOS!$M$25:$M$42),
1),
$M173)),
_xlfn.XLOOKUP($A173,[1]CRITERIOS!$L$179:$L$200,[1]CRITERIOS!$M$179:$M$200)),
_xlfn.CEILING.MATH(IF($M173&gt;$E173,
$E173,
IF($M173&lt;$E173/ROUNDDOWN([1]CRITERIOS!$M$16/_xlfn.XLOOKUP($C173,[1]CRITERIOS!$K$25:$K$42,[1]CRITERIOS!$M$25:$M$42),
1),
E173/ROUNDDOWN([1]CRITERIOS!$M$16/_xlfn.XLOOKUP($C173,[1]CRITERIOS!$K$25:$K$42,[1]CRITERIOS!$M$25:$M$42),
1),
$M173)),_xlfn.XLOOKUP(A173,'[1]DATOS PBI Artículos'!A:A,'[1]DATOS PBI Artículos'!Z:Z
)))))</f>
        <v>9500</v>
      </c>
      <c r="Q173" s="38">
        <f>IF(AND(O173="",N173=0),
0,
   IF(COUNTIF([1]CRITERIOS!$F$179:$F$199,$A173)&gt;=1,
   1,
   IF(R173="MTO",
      $D173,
      ROUNDUP(
                    IF(($E173-SUMIF('[1]DATOS PBI Artículos'!A:A,A173,'[1]DATOS PBI Artículos'!X:X)+($V173-_xlfn.XLOOKUP(A173,'[1]DATOS PBI Artículos'!A:A,'[1]DATOS PBI Artículos'!W:W)))&lt;0,
                    0,
                    IF(($E173-SUMIF('[1]DATOS PBI Artículos'!A:A,A173,'[1]DATOS PBI Artículos'!X:X)+$V173-_xlfn.XLOOKUP($A173,'[1]DATOS PBI Artículos'!A:A,'[1]DATOS PBI Artículos'!W:W))/IF($O173="",$N173,$O173)&gt;ROUNDUP([1]CRITERIOS!$M$16/(IF(COUNTIF([1]CRITERIOS!$BG$11:$BG$201,L173)&gt;=1,_xlfn.XLOOKUP($C173,[1]CRITERIOS!$K$25:$K$42,[1]CRITERIOS!$M$25:$M$42),_xlfn.XLOOKUP($C173,[1]CRITERIOS!$K$25:$K$42,[1]CRITERIOS!$M$25:$M$42))),0),
                    ROUNDUP([1]CRITERIOS!$M$16/(IF(COUNTIF([1]CRITERIOS!$BG$11:$BG$201,$L173)&gt;=1,_xlfn.XLOOKUP($C173,[1]CRITERIOS!$K$25:$K$42,[1]CRITERIOS!$M$25:$M$42),_xlfn.XLOOKUP($C173,[1]CRITERIOS!$K$25:$K$42,[1]CRITERIOS!$M$25:$M$42))),0),
                    (E173+V173-SUMIF('[1]DATOS PBI Artículos'!A:A,A173,'[1]DATOS PBI Artículos'!X:X)-_xlfn.XLOOKUP(A173,'[1]DATOS PBI Artículos'!A:A,'[1]DATOS PBI Artículos'!W:W))/IF($O173="",$N173,$O173))),0))))</f>
        <v>2</v>
      </c>
      <c r="R173" s="33" t="str">
        <f>IF(U173&lt;&gt;"",U173,IF(F173="DV","MTO",IF(N173=0,"MTO",_xlfn.XLOOKUP(CONCATENATE(S173,T173),[1]CRITERIOS!$K$160:$K$168,[1]CRITERIOS!$N$160:$N$168))))</f>
        <v>MTS</v>
      </c>
      <c r="S173" s="33" t="str">
        <f>IF(G173="DV","MTO",IF(N173=0,"MTO",IF(OR(AND(N173=0,O173=""),IF(O173="",G173/N173,G173/O173)&gt;[1]CRITERIOS!$G$163),"MTO",IF(IF(O173="",G173/N173,G173/O173)&lt;[1]CRITERIOS!$H$161,"MTS","MTOS"))))</f>
        <v>MTS</v>
      </c>
      <c r="T173" s="33" t="str">
        <f>IF(F173="DV","MTO",IF(OR(AND($N173=0,O173=""),$F173/$J173&gt;[1]CRITERIOS!$G$170,$F173="DV"),"MTO",IF($F173/$J173&lt;[1]CRITERIOS!$H$168,"MTS","MTOS")))</f>
        <v>MTS</v>
      </c>
      <c r="V173" s="34">
        <f t="shared" si="10"/>
        <v>11029.709606150753</v>
      </c>
      <c r="X173" s="34">
        <f t="shared" si="8"/>
        <v>20529.709606150755</v>
      </c>
      <c r="Y173" s="34">
        <f t="shared" si="9"/>
        <v>7529.7096061494831</v>
      </c>
      <c r="Z173" s="34">
        <f>IF($R173="MTO",
0,
($H173+$K173*($E173/[1]CRITERIOS!$M$16))/[1]CRITERIOS!$X$48)</f>
        <v>2779.7096061494835</v>
      </c>
      <c r="AA173" s="34" t="e">
        <f>ROUNDUP(($Y173/_xlfn.XLOOKUP($A173,'[1]DATOS PBI Artículos'!$A$4:$A$4,'[1]DATOS PBI Artículos'!$Z$4:$Z$4))/_xlfn.XLOOKUP(_xlfn.XLOOKUP($A173,'[1]DATOS PBI Artículos'!$A$4:$A$4,'[1]DATOS PBI Artículos'!$Y$4:$Y$4),[1]CRITERIOS!$P$79:$P$123,[1]CRITERIOS!$S$79:$S$123,),0)</f>
        <v>#N/A</v>
      </c>
      <c r="AB173" s="33" t="e">
        <f t="array" ref="AB173">IF((E173+V173-_xlfn.XLOOKUP(A173,'[1]DATOS PBI Artículos'!$A$4:$A$4,'[1]DATOS PBI Artículos'!$W$4:$W$4))/N173&gt;ROUNDUP([1]CRITERIOS!$M$16/(IF(COUNTIF([1]CRITERIOS!$BG$11:$BG$201,L173)&gt;=1,_xlfn.XLOOKUP(ARTÍCULOS!L173,[1]CRITERIOS!$BG$11:$BG$201,[1]CRITERIOS!$BJ$11:$BJ$201),_xlfn.XLOOKUP(ARTÍCULOS!C173,[1]CRITERIOS!$K$25:$K$42,[1]CRITERIOS!$M$25:$M$42))),0),ROUNDUP([1]CRITERIOS!$M$16/(IF(COUNTIF([1]CRITERIOS!$BG$11:$BG$201,L173)&gt;=1,_xlfn.XLOOKUP(ARTÍCULOS!L173,[1]CRITERIOS!$BG$11:$BG$201:#REF!,[1]CRITERIOS!$BJ$11:$BJ$201),_xlfn.XLOOKUP(ARTÍCULOS!C173,[1]CRITERIOS!$K$25:$K$42,[1]CRITERIOS!$M$25:$M$42))),0),(E173+V173-_xlfn.XLOOKUP(A173,'[1]DATOS PBI Artículos'!$A$4:$A$4,'[1]DATOS PBI Artículos'!$W$4:$W$4))/N173)</f>
        <v>#N/A</v>
      </c>
      <c r="AC173" s="33" t="e">
        <f>IF(N173=0,"",(ROUNDUP((N173/2)/(_xlfn.XLOOKUP(A173,'[1]DATOS PBI Artículos'!$A$4:$A$4,'[1]DATOS PBI Artículos'!$Z$4:$Z$4)*_xlfn.XLOOKUP(_xlfn.XLOOKUP(A173,'[1]DATOS PBI Artículos'!$A$4:$A$4,'[1]DATOS PBI Artículos'!$Y$4:$Y$4),[1]CRITERIOS!$P$79:$P$123,[1]CRITERIOS!$S$79:$S$123)),0)*[1]CRITERIOS!$M$80*([1]CRITERIOS!$M$110/[1]CRITERIOS!$M$86)+(_xlfn.XLOOKUP(A173,'[1]DATOS PBI Artículos'!$A$4:$A$4,'[1]DATOS PBI Artículos'!$AA$4:$AA$4)*([1]CRITERIOS!$M$95+[1]CRITERIOS!$M$98)))/N173)</f>
        <v>#N/A</v>
      </c>
      <c r="AD173" s="33" t="e">
        <f>IF(N173=0,"",(ROUNDUP((N173/2)/(_xlfn.XLOOKUP(A173,'[1]DATOS PBI Artículos'!$A$4:$A$4,'[1]DATOS PBI Artículos'!$Z$4:$Z$4)*_xlfn.XLOOKUP(_xlfn.XLOOKUP(A173,'[1]DATOS PBI Artículos'!$A$4:$A$4,'[1]DATOS PBI Artículos'!$Y$4:$Y$4),[1]CRITERIOS!$P$79:$P$123,[1]CRITERIOS!$S$79:$S$123)),0)*[1]CRITERIOS!$M$80*([1]CRITERIOS!$M$89*[1]CRITERIOS!$M$92)+((_xlfn.XLOOKUP(A173,'[1]DATOS PBI Artículos'!$A$4:$A$4,'[1]DATOS PBI Artículos'!$AA$4:$AA$4)/2)*([1]CRITERIOS!$M$95+[1]CRITERIOS!$M$98)))/N173)</f>
        <v>#N/A</v>
      </c>
      <c r="AE173" s="39">
        <f>IF($R173="MTO","",
IF($H173=0,ROUNDUP(((_xlfn.XLOOKUP($A173,'[1]DATOS PBI Artículos'!$A:$A,'[1]DATOS PBI Artículos'!$AL:$AL))/(_xlfn.XLOOKUP($AF$1,[1]CRITERIOS!$S$16:$S$39,[1]CRITERIOS!$Y$16:$Y$39))*$J173+$Z173)/$G173,0)*$G173,
((_xlfn.XLOOKUP($A173,'[1]DATOS PBI Artículos'!$A:$A,'[1]DATOS PBI Artículos'!$AL:$AL))/(_xlfn.XLOOKUP($AF$1,[1]CRITERIOS!$S$16:$S$39,[1]CRITERIOS!$Y$16:$Y$39))*$J173+$Z173)))</f>
        <v>11049.170754014067</v>
      </c>
      <c r="AG173" s="39">
        <f>IF($R173="MTO","",
IF($H173=0,ROUNDUP(((_xlfn.XLOOKUP($A173,'[1]DATOS PBI Artículos'!$A:$A,'[1]DATOS PBI Artículos'!$AM:$AM))/(_xlfn.XLOOKUP($AH$1,[1]CRITERIOS!$S$16:$S$39,[1]CRITERIOS!$Y$16:$Y$39))*$J173+$Z173)/$G173,0)*$G173,
((_xlfn.XLOOKUP($A173,'[1]DATOS PBI Artículos'!$A:$A,'[1]DATOS PBI Artículos'!$AM:$AM))/(_xlfn.XLOOKUP($AH$1,[1]CRITERIOS!$S$16:$S$39,[1]CRITERIOS!$Y$16:$Y$39))*$J173+$Z173)))</f>
        <v>8719.8246896141573</v>
      </c>
      <c r="AI173" s="39">
        <f>IF($R173="MTO","",
IF($H173=0,ROUNDUP(((_xlfn.XLOOKUP($A173,'[1]DATOS PBI Artículos'!$A:$A,'[1]DATOS PBI Artículos'!$AN:$AN))/(_xlfn.XLOOKUP($AJ$1,[1]CRITERIOS!$S$16:$S$39,[1]CRITERIOS!$Y$16:$Y$39))*$J173+$Z173)/$G173,0)*$G173,
((_xlfn.XLOOKUP($A173,'[1]DATOS PBI Artículos'!$A:$A,'[1]DATOS PBI Artículos'!$AN:$AN))/(_xlfn.XLOOKUP($AJ$1,[1]CRITERIOS!$S$16:$S$39,[1]CRITERIOS!$Y$16:$Y$39))*$J173+$Z173)))</f>
        <v>9894.4776080088577</v>
      </c>
      <c r="AK173" s="39">
        <f>IF($R173="MTO","",
IF($H173=0,ROUNDUP(((_xlfn.XLOOKUP($A173,'[1]DATOS PBI Artículos'!$A:$A,'[1]DATOS PBI Artículos'!$AO:$AO))/(_xlfn.XLOOKUP($AL$1,[1]CRITERIOS!$S$16:$S$39,[1]CRITERIOS!$Y$16:$Y$39))*$J173+$Z173)/$G173,0)*$G173,
((_xlfn.XLOOKUP($A173,'[1]DATOS PBI Artículos'!$A:$A,'[1]DATOS PBI Artículos'!$AO:$AO))/(_xlfn.XLOOKUP($AL$1,[1]CRITERIOS!$S$16:$S$39,[1]CRITERIOS!$Y$16:$Y$39))*$J173+$Z173)))</f>
        <v>10528.401919118232</v>
      </c>
    </row>
    <row r="174" spans="1:37" ht="25.8" x14ac:dyDescent="0.5">
      <c r="A174" s="32">
        <v>451558</v>
      </c>
      <c r="B174" s="33">
        <f>_xlfn.XLOOKUP($A174,'[1]DATOS PBI Artículos'!A:A,'[1]DATOS PBI Artículos'!B:B)</f>
        <v>0</v>
      </c>
      <c r="C174" s="33" t="str">
        <f>_xlfn.XLOOKUP($A174,'[1]DATOS PBI Artículos'!A:A,'[1]DATOS PBI Artículos'!C:C)</f>
        <v>UA01</v>
      </c>
      <c r="D174" s="33">
        <f>_xlfn.XLOOKUP(A174,'[1]DATOS PBI Artículos'!A:A,'[1]DATOS PBI Artículos'!T:T)</f>
        <v>1</v>
      </c>
      <c r="E174" s="34">
        <f>IF(_xlfn.XLOOKUP($A174,'[1]DATOS PBI Artículos'!A:A,'[1]DATOS PBI Artículos'!AK:AK)="",_xlfn.XLOOKUP($A174,'[1]DATOS PBI Artículos'!A:A,'[1]DATOS PBI Artículos'!AJ:AJ),_xlfn.XLOOKUP($A174,'[1]DATOS PBI Artículos'!A:A,'[1]DATOS PBI Artículos'!AK:AK))</f>
        <v>25500</v>
      </c>
      <c r="F174" s="35">
        <f>_xlfn.XLOOKUP($A174,'[1]DATOS PBI Artículos'!A:A,'[1]DATOS PBI Artículos'!AP:AP)</f>
        <v>75</v>
      </c>
      <c r="G174" s="34">
        <f>_xlfn.XLOOKUP($A174,'[1]DATOS PBI Artículos'!A:A,'[1]DATOS PBI Artículos'!AR:AR)</f>
        <v>25500</v>
      </c>
      <c r="H174" s="34">
        <f>_xlfn.XLOOKUP($A174,'[1]DATOS PBI Artículos'!A:A,'[1]DATOS PBI Artículos'!AT:AT)</f>
        <v>0</v>
      </c>
      <c r="I174" s="34">
        <f>_xlfn.XLOOKUP($A174,'[1]DATOS PBI Artículos'!A:A,'[1]DATOS PBI Artículos'!AS:AS)</f>
        <v>25500</v>
      </c>
      <c r="J174" s="35">
        <f>IF(COUNTIF([1]CRITERIOS!$F$179:$F$199,$A174)&gt;=1,
 IF(O174&lt;&gt;"",
    (O174/_xlfn.XLOOKUP(CONCATENATE(A174,L174),[1]MÁQUINAS!A:A,[1]MÁQUINAS!D:D))/24,
    (N174/_xlfn.XLOOKUP(CONCATENATE(A174,L174),[1]MÁQUINAS!A:A,[1]MÁQUINAS!D:D))/24),
  _xlfn.XLOOKUP($A174,'[1]DATOS PBI Artículos'!A:A,'[1]DATOS PBI Artículos'!AU:AU))</f>
        <v>13.5</v>
      </c>
      <c r="K174" s="36">
        <f>_xlfn.XLOOKUP($A174,'[1]DATOS PBI Artículos'!A:A,'[1]DATOS PBI Artículos'!AV:AV)</f>
        <v>2.1213203435596424</v>
      </c>
      <c r="L174" s="33">
        <f>_xlfn.XLOOKUP(A174,[1]MÁQUINAS!B:B,[1]MÁQUINAS!C:C)</f>
        <v>504</v>
      </c>
      <c r="M174" s="34">
        <f t="array" ref="M174">_xlfn.XLOOKUP(A174,'[1]DATOS PBI Artículos'!A:A,'[1]DATOS PBI Artículos'!AX:$AX)</f>
        <v>30582.117782779482</v>
      </c>
      <c r="N174" s="37">
        <f>IF(I174="DV",
E174,
IF(COUNTIF([1]CRITERIOS!$I$179:$I$199,$A174)&gt;=1,
_xlfn.XLOOKUP($A174,[1]CRITERIOS!$I$179:$I$199,[1]CRITERIOS!$J$179:$J$199),
IF(COUNTIF([1]CRITERIOS!$L$179:$L$199,$A174)&gt;=1,
_xlfn.CEILING.MATH(IF($M174&gt;$E174,
$E174,
IF($M174&lt;$E174/ROUNDDOWN([1]CRITERIOS!$M$16/_xlfn.XLOOKUP($C174,[1]CRITERIOS!$K$25:$K$42,[1]CRITERIOS!$M$25:$M$42),
1),
E174/ROUNDDOWN([1]CRITERIOS!$M$16/_xlfn.XLOOKUP($C174,[1]CRITERIOS!$K$25:$K$42,[1]CRITERIOS!$M$25:$M$42),
1),
$M174)),
_xlfn.XLOOKUP($A174,[1]CRITERIOS!$L$179:$L$200,[1]CRITERIOS!$M$179:$M$200)),
_xlfn.CEILING.MATH(IF($M174&gt;$E174,
$E174,
IF($M174&lt;$E174/ROUNDDOWN([1]CRITERIOS!$M$16/_xlfn.XLOOKUP($C174,[1]CRITERIOS!$K$25:$K$42,[1]CRITERIOS!$M$25:$M$42),
1),
E174/ROUNDDOWN([1]CRITERIOS!$M$16/_xlfn.XLOOKUP($C174,[1]CRITERIOS!$K$25:$K$42,[1]CRITERIOS!$M$25:$M$42),
1),
$M174)),_xlfn.XLOOKUP(A174,'[1]DATOS PBI Artículos'!A:A,'[1]DATOS PBI Artículos'!Z:Z
)))))</f>
        <v>25500</v>
      </c>
      <c r="Q174" s="38">
        <f>IF(AND(O174="",N174=0),
0,
   IF(COUNTIF([1]CRITERIOS!$F$179:$F$199,$A174)&gt;=1,
   1,
   IF(R174="MTO",
      $D174,
      ROUNDUP(
                    IF(($E174-SUMIF('[1]DATOS PBI Artículos'!A:A,A174,'[1]DATOS PBI Artículos'!X:X)+($V174-_xlfn.XLOOKUP(A174,'[1]DATOS PBI Artículos'!A:A,'[1]DATOS PBI Artículos'!W:W)))&lt;0,
                    0,
                    IF(($E174-SUMIF('[1]DATOS PBI Artículos'!A:A,A174,'[1]DATOS PBI Artículos'!X:X)+$V174-_xlfn.XLOOKUP($A174,'[1]DATOS PBI Artículos'!A:A,'[1]DATOS PBI Artículos'!W:W))/IF($O174="",$N174,$O174)&gt;ROUNDUP([1]CRITERIOS!$M$16/(IF(COUNTIF([1]CRITERIOS!$BG$11:$BG$201,L174)&gt;=1,_xlfn.XLOOKUP($C174,[1]CRITERIOS!$K$25:$K$42,[1]CRITERIOS!$M$25:$M$42),_xlfn.XLOOKUP($C174,[1]CRITERIOS!$K$25:$K$42,[1]CRITERIOS!$M$25:$M$42))),0),
                    ROUNDUP([1]CRITERIOS!$M$16/(IF(COUNTIF([1]CRITERIOS!$BG$11:$BG$201,$L174)&gt;=1,_xlfn.XLOOKUP($C174,[1]CRITERIOS!$K$25:$K$42,[1]CRITERIOS!$M$25:$M$42),_xlfn.XLOOKUP($C174,[1]CRITERIOS!$K$25:$K$42,[1]CRITERIOS!$M$25:$M$42))),0),
                    (E174+V174-SUMIF('[1]DATOS PBI Artículos'!A:A,A174,'[1]DATOS PBI Artículos'!X:X)-_xlfn.XLOOKUP(A174,'[1]DATOS PBI Artículos'!A:A,'[1]DATOS PBI Artículos'!W:W))/IF($O174="",$N174,$O174))),0))))</f>
        <v>1</v>
      </c>
      <c r="R174" s="33" t="str">
        <f>IF(U174&lt;&gt;"",U174,IF(F174="DV","MTO",IF(N174=0,"MTO",_xlfn.XLOOKUP(CONCATENATE(S174,T174),[1]CRITERIOS!$K$160:$K$168,[1]CRITERIOS!$N$160:$N$168))))</f>
        <v>MTO</v>
      </c>
      <c r="S174" s="33" t="str">
        <f>IF(G174="DV","MTO",IF(N174=0,"MTO",IF(OR(AND(N174=0,O174=""),IF(O174="",G174/N174,G174/O174)&gt;[1]CRITERIOS!$G$163),"MTO",IF(IF(O174="",G174/N174,G174/O174)&lt;[1]CRITERIOS!$H$161,"MTS","MTOS"))))</f>
        <v>MTO</v>
      </c>
      <c r="T174" s="33" t="str">
        <f>IF(F174="DV","MTO",IF(OR(AND($N174=0,O174=""),$F174/$J174&gt;[1]CRITERIOS!$G$170,$F174="DV"),"MTO",IF($F174/$J174&lt;[1]CRITERIOS!$H$168,"MTS","MTOS")))</f>
        <v>MTO</v>
      </c>
      <c r="V174" s="34" t="str">
        <f t="shared" si="10"/>
        <v/>
      </c>
      <c r="X174" s="34">
        <f t="shared" si="8"/>
        <v>0</v>
      </c>
      <c r="Y174" s="34">
        <f t="shared" si="9"/>
        <v>0</v>
      </c>
      <c r="Z174" s="34">
        <f>IF($R174="MTO",
0,
($H174+$K174*($E174/[1]CRITERIOS!$M$16))/[1]CRITERIOS!$X$48)</f>
        <v>0</v>
      </c>
      <c r="AA174" s="34" t="e">
        <f>ROUNDUP(($Y174/_xlfn.XLOOKUP($A174,'[1]DATOS PBI Artículos'!$A$4:$A$4,'[1]DATOS PBI Artículos'!$Z$4:$Z$4))/_xlfn.XLOOKUP(_xlfn.XLOOKUP($A174,'[1]DATOS PBI Artículos'!$A$4:$A$4,'[1]DATOS PBI Artículos'!$Y$4:$Y$4),[1]CRITERIOS!$P$79:$P$123,[1]CRITERIOS!$S$79:$S$123,),0)</f>
        <v>#N/A</v>
      </c>
      <c r="AB174" s="33" t="e">
        <f t="array" ref="AB174">IF((E174+V174-_xlfn.XLOOKUP(A174,'[1]DATOS PBI Artículos'!$A$4:$A$4,'[1]DATOS PBI Artículos'!$W$4:$W$4))/N174&gt;ROUNDUP([1]CRITERIOS!$M$16/(IF(COUNTIF([1]CRITERIOS!$BG$11:$BG$201,L174)&gt;=1,_xlfn.XLOOKUP(ARTÍCULOS!L174,[1]CRITERIOS!$BG$11:$BG$201,[1]CRITERIOS!$BJ$11:$BJ$201),_xlfn.XLOOKUP(ARTÍCULOS!C174,[1]CRITERIOS!$K$25:$K$42,[1]CRITERIOS!$M$25:$M$42))),0),ROUNDUP([1]CRITERIOS!$M$16/(IF(COUNTIF([1]CRITERIOS!$BG$11:$BG$201,L174)&gt;=1,_xlfn.XLOOKUP(ARTÍCULOS!L174,[1]CRITERIOS!$BG$11:$BG$201:#REF!,[1]CRITERIOS!$BJ$11:$BJ$201),_xlfn.XLOOKUP(ARTÍCULOS!C174,[1]CRITERIOS!$K$25:$K$42,[1]CRITERIOS!$M$25:$M$42))),0),(E174+V174-_xlfn.XLOOKUP(A174,'[1]DATOS PBI Artículos'!$A$4:$A$4,'[1]DATOS PBI Artículos'!$W$4:$W$4))/N174)</f>
        <v>#VALUE!</v>
      </c>
      <c r="AC174" s="33" t="e">
        <f>IF(N174=0,"",(ROUNDUP((N174/2)/(_xlfn.XLOOKUP(A174,'[1]DATOS PBI Artículos'!$A$4:$A$4,'[1]DATOS PBI Artículos'!$Z$4:$Z$4)*_xlfn.XLOOKUP(_xlfn.XLOOKUP(A174,'[1]DATOS PBI Artículos'!$A$4:$A$4,'[1]DATOS PBI Artículos'!$Y$4:$Y$4),[1]CRITERIOS!$P$79:$P$123,[1]CRITERIOS!$S$79:$S$123)),0)*[1]CRITERIOS!$M$80*([1]CRITERIOS!$M$110/[1]CRITERIOS!$M$86)+(_xlfn.XLOOKUP(A174,'[1]DATOS PBI Artículos'!$A$4:$A$4,'[1]DATOS PBI Artículos'!$AA$4:$AA$4)*([1]CRITERIOS!$M$95+[1]CRITERIOS!$M$98)))/N174)</f>
        <v>#N/A</v>
      </c>
      <c r="AD174" s="33" t="e">
        <f>IF(N174=0,"",(ROUNDUP((N174/2)/(_xlfn.XLOOKUP(A174,'[1]DATOS PBI Artículos'!$A$4:$A$4,'[1]DATOS PBI Artículos'!$Z$4:$Z$4)*_xlfn.XLOOKUP(_xlfn.XLOOKUP(A174,'[1]DATOS PBI Artículos'!$A$4:$A$4,'[1]DATOS PBI Artículos'!$Y$4:$Y$4),[1]CRITERIOS!$P$79:$P$123,[1]CRITERIOS!$S$79:$S$123)),0)*[1]CRITERIOS!$M$80*([1]CRITERIOS!$M$89*[1]CRITERIOS!$M$92)+((_xlfn.XLOOKUP(A174,'[1]DATOS PBI Artículos'!$A$4:$A$4,'[1]DATOS PBI Artículos'!$AA$4:$AA$4)/2)*([1]CRITERIOS!$M$95+[1]CRITERIOS!$M$98)))/N174)</f>
        <v>#N/A</v>
      </c>
      <c r="AE174" s="39" t="str">
        <f>IF($R174="MTO","",
IF($H174=0,ROUNDUP(((_xlfn.XLOOKUP($A174,'[1]DATOS PBI Artículos'!$A:$A,'[1]DATOS PBI Artículos'!$AL:$AL))/(_xlfn.XLOOKUP($AF$1,[1]CRITERIOS!$S$16:$S$39,[1]CRITERIOS!$Y$16:$Y$39))*$J174+$Z174)/$G174,0)*$G174,
((_xlfn.XLOOKUP($A174,'[1]DATOS PBI Artículos'!$A:$A,'[1]DATOS PBI Artículos'!$AL:$AL))/(_xlfn.XLOOKUP($AF$1,[1]CRITERIOS!$S$16:$S$39,[1]CRITERIOS!$Y$16:$Y$39))*$J174+$Z174)))</f>
        <v/>
      </c>
      <c r="AG174" s="39" t="str">
        <f>IF($R174="MTO","",
IF($H174=0,ROUNDUP(((_xlfn.XLOOKUP($A174,'[1]DATOS PBI Artículos'!$A:$A,'[1]DATOS PBI Artículos'!$AM:$AM))/(_xlfn.XLOOKUP($AH$1,[1]CRITERIOS!$S$16:$S$39,[1]CRITERIOS!$Y$16:$Y$39))*$J174+$Z174)/$G174,0)*$G174,
((_xlfn.XLOOKUP($A174,'[1]DATOS PBI Artículos'!$A:$A,'[1]DATOS PBI Artículos'!$AM:$AM))/(_xlfn.XLOOKUP($AH$1,[1]CRITERIOS!$S$16:$S$39,[1]CRITERIOS!$Y$16:$Y$39))*$J174+$Z174)))</f>
        <v/>
      </c>
      <c r="AI174" s="39" t="str">
        <f>IF($R174="MTO","",
IF($H174=0,ROUNDUP(((_xlfn.XLOOKUP($A174,'[1]DATOS PBI Artículos'!$A:$A,'[1]DATOS PBI Artículos'!$AN:$AN))/(_xlfn.XLOOKUP($AJ$1,[1]CRITERIOS!$S$16:$S$39,[1]CRITERIOS!$Y$16:$Y$39))*$J174+$Z174)/$G174,0)*$G174,
((_xlfn.XLOOKUP($A174,'[1]DATOS PBI Artículos'!$A:$A,'[1]DATOS PBI Artículos'!$AN:$AN))/(_xlfn.XLOOKUP($AJ$1,[1]CRITERIOS!$S$16:$S$39,[1]CRITERIOS!$Y$16:$Y$39))*$J174+$Z174)))</f>
        <v/>
      </c>
      <c r="AK174" s="39" t="str">
        <f>IF($R174="MTO","",
IF($H174=0,ROUNDUP(((_xlfn.XLOOKUP($A174,'[1]DATOS PBI Artículos'!$A:$A,'[1]DATOS PBI Artículos'!$AO:$AO))/(_xlfn.XLOOKUP($AL$1,[1]CRITERIOS!$S$16:$S$39,[1]CRITERIOS!$Y$16:$Y$39))*$J174+$Z174)/$G174,0)*$G174,
((_xlfn.XLOOKUP($A174,'[1]DATOS PBI Artículos'!$A:$A,'[1]DATOS PBI Artículos'!$AO:$AO))/(_xlfn.XLOOKUP($AL$1,[1]CRITERIOS!$S$16:$S$39,[1]CRITERIOS!$Y$16:$Y$39))*$J174+$Z174)))</f>
        <v/>
      </c>
    </row>
    <row r="175" spans="1:37" ht="25.8" x14ac:dyDescent="0.5">
      <c r="A175" s="32" t="s">
        <v>91</v>
      </c>
      <c r="B175" s="33">
        <f>_xlfn.XLOOKUP($A175,'[1]DATOS PBI Artículos'!A:A,'[1]DATOS PBI Artículos'!B:B)</f>
        <v>0</v>
      </c>
      <c r="C175" s="33" t="str">
        <f>_xlfn.XLOOKUP($A175,'[1]DATOS PBI Artículos'!A:A,'[1]DATOS PBI Artículos'!C:C)</f>
        <v>UA01</v>
      </c>
      <c r="D175" s="33">
        <f>_xlfn.XLOOKUP(A175,'[1]DATOS PBI Artículos'!A:A,'[1]DATOS PBI Artículos'!T:T)</f>
        <v>1</v>
      </c>
      <c r="E175" s="34">
        <f>IF(_xlfn.XLOOKUP($A175,'[1]DATOS PBI Artículos'!A:A,'[1]DATOS PBI Artículos'!AK:AK)="",_xlfn.XLOOKUP($A175,'[1]DATOS PBI Artículos'!A:A,'[1]DATOS PBI Artículos'!AJ:AJ),_xlfn.XLOOKUP($A175,'[1]DATOS PBI Artículos'!A:A,'[1]DATOS PBI Artículos'!AK:AK))</f>
        <v>25000</v>
      </c>
      <c r="F175" s="35">
        <f>_xlfn.XLOOKUP($A175,'[1]DATOS PBI Artículos'!A:A,'[1]DATOS PBI Artículos'!AP:AP)</f>
        <v>75</v>
      </c>
      <c r="G175" s="34">
        <f>_xlfn.XLOOKUP($A175,'[1]DATOS PBI Artículos'!A:A,'[1]DATOS PBI Artículos'!AR:AR)</f>
        <v>25000</v>
      </c>
      <c r="H175" s="34">
        <f>_xlfn.XLOOKUP($A175,'[1]DATOS PBI Artículos'!A:A,'[1]DATOS PBI Artículos'!AT:AT)</f>
        <v>0</v>
      </c>
      <c r="I175" s="34">
        <f>_xlfn.XLOOKUP($A175,'[1]DATOS PBI Artículos'!A:A,'[1]DATOS PBI Artículos'!AS:AS)</f>
        <v>25000</v>
      </c>
      <c r="J175" s="35">
        <f>IF(COUNTIF([1]CRITERIOS!$F$179:$F$199,$A175)&gt;=1,
 IF(O175&lt;&gt;"",
    (O175/_xlfn.XLOOKUP(CONCATENATE(A175,L175),[1]MÁQUINAS!A:A,[1]MÁQUINAS!D:D))/24,
    (N175/_xlfn.XLOOKUP(CONCATENATE(A175,L175),[1]MÁQUINAS!A:A,[1]MÁQUINAS!D:D))/24),
  _xlfn.XLOOKUP($A175,'[1]DATOS PBI Artículos'!A:A,'[1]DATOS PBI Artículos'!AU:AU))</f>
        <v>13.333333333333334</v>
      </c>
      <c r="K175" s="36">
        <f>_xlfn.XLOOKUP($A175,'[1]DATOS PBI Artículos'!A:A,'[1]DATOS PBI Artículos'!AV:AV)</f>
        <v>1.5275252316519463</v>
      </c>
      <c r="L175" s="33">
        <f>_xlfn.XLOOKUP(A175,[1]MÁQUINAS!B:B,[1]MÁQUINAS!C:C)</f>
        <v>406</v>
      </c>
      <c r="M175" s="34">
        <f t="array" ref="M175">_xlfn.XLOOKUP(A175,'[1]DATOS PBI Artículos'!A:A,'[1]DATOS PBI Artículos'!AX:$AX)</f>
        <v>41079.208044965737</v>
      </c>
      <c r="N175" s="37">
        <f>IF(I175="DV",
E175,
IF(COUNTIF([1]CRITERIOS!$I$179:$I$199,$A175)&gt;=1,
_xlfn.XLOOKUP($A175,[1]CRITERIOS!$I$179:$I$199,[1]CRITERIOS!$J$179:$J$199),
IF(COUNTIF([1]CRITERIOS!$L$179:$L$199,$A175)&gt;=1,
_xlfn.CEILING.MATH(IF($M175&gt;$E175,
$E175,
IF($M175&lt;$E175/ROUNDDOWN([1]CRITERIOS!$M$16/_xlfn.XLOOKUP($C175,[1]CRITERIOS!$K$25:$K$42,[1]CRITERIOS!$M$25:$M$42),
1),
E175/ROUNDDOWN([1]CRITERIOS!$M$16/_xlfn.XLOOKUP($C175,[1]CRITERIOS!$K$25:$K$42,[1]CRITERIOS!$M$25:$M$42),
1),
$M175)),
_xlfn.XLOOKUP($A175,[1]CRITERIOS!$L$179:$L$200,[1]CRITERIOS!$M$179:$M$200)),
_xlfn.CEILING.MATH(IF($M175&gt;$E175,
$E175,
IF($M175&lt;$E175/ROUNDDOWN([1]CRITERIOS!$M$16/_xlfn.XLOOKUP($C175,[1]CRITERIOS!$K$25:$K$42,[1]CRITERIOS!$M$25:$M$42),
1),
E175/ROUNDDOWN([1]CRITERIOS!$M$16/_xlfn.XLOOKUP($C175,[1]CRITERIOS!$K$25:$K$42,[1]CRITERIOS!$M$25:$M$42),
1),
$M175)),_xlfn.XLOOKUP(A175,'[1]DATOS PBI Artículos'!A:A,'[1]DATOS PBI Artículos'!Z:Z
)))))</f>
        <v>25000</v>
      </c>
      <c r="Q175" s="38">
        <f>IF(AND(O175="",N175=0),
0,
   IF(COUNTIF([1]CRITERIOS!$F$179:$F$199,$A175)&gt;=1,
   1,
   IF(R175="MTO",
      $D175,
      ROUNDUP(
                    IF(($E175-SUMIF('[1]DATOS PBI Artículos'!A:A,A175,'[1]DATOS PBI Artículos'!X:X)+($V175-_xlfn.XLOOKUP(A175,'[1]DATOS PBI Artículos'!A:A,'[1]DATOS PBI Artículos'!W:W)))&lt;0,
                    0,
                    IF(($E175-SUMIF('[1]DATOS PBI Artículos'!A:A,A175,'[1]DATOS PBI Artículos'!X:X)+$V175-_xlfn.XLOOKUP($A175,'[1]DATOS PBI Artículos'!A:A,'[1]DATOS PBI Artículos'!W:W))/IF($O175="",$N175,$O175)&gt;ROUNDUP([1]CRITERIOS!$M$16/(IF(COUNTIF([1]CRITERIOS!$BG$11:$BG$201,L175)&gt;=1,_xlfn.XLOOKUP($C175,[1]CRITERIOS!$K$25:$K$42,[1]CRITERIOS!$M$25:$M$42),_xlfn.XLOOKUP($C175,[1]CRITERIOS!$K$25:$K$42,[1]CRITERIOS!$M$25:$M$42))),0),
                    ROUNDUP([1]CRITERIOS!$M$16/(IF(COUNTIF([1]CRITERIOS!$BG$11:$BG$201,$L175)&gt;=1,_xlfn.XLOOKUP($C175,[1]CRITERIOS!$K$25:$K$42,[1]CRITERIOS!$M$25:$M$42),_xlfn.XLOOKUP($C175,[1]CRITERIOS!$K$25:$K$42,[1]CRITERIOS!$M$25:$M$42))),0),
                    (E175+V175-SUMIF('[1]DATOS PBI Artículos'!A:A,A175,'[1]DATOS PBI Artículos'!X:X)-_xlfn.XLOOKUP(A175,'[1]DATOS PBI Artículos'!A:A,'[1]DATOS PBI Artículos'!W:W))/IF($O175="",$N175,$O175))),0))))</f>
        <v>1</v>
      </c>
      <c r="R175" s="33" t="str">
        <f>IF(U175&lt;&gt;"",U175,IF(F175="DV","MTO",IF(N175=0,"MTO",_xlfn.XLOOKUP(CONCATENATE(S175,T175),[1]CRITERIOS!$K$160:$K$168,[1]CRITERIOS!$N$160:$N$168))))</f>
        <v>MTO</v>
      </c>
      <c r="S175" s="33" t="str">
        <f>IF(G175="DV","MTO",IF(N175=0,"MTO",IF(OR(AND(N175=0,O175=""),IF(O175="",G175/N175,G175/O175)&gt;[1]CRITERIOS!$G$163),"MTO",IF(IF(O175="",G175/N175,G175/O175)&lt;[1]CRITERIOS!$H$161,"MTS","MTOS"))))</f>
        <v>MTO</v>
      </c>
      <c r="T175" s="33" t="str">
        <f>IF(F175="DV","MTO",IF(OR(AND($N175=0,O175=""),$F175/$J175&gt;[1]CRITERIOS!$G$170,$F175="DV"),"MTO",IF($F175/$J175&lt;[1]CRITERIOS!$H$168,"MTS","MTOS")))</f>
        <v>MTO</v>
      </c>
      <c r="V175" s="34" t="str">
        <f t="shared" si="10"/>
        <v/>
      </c>
      <c r="X175" s="34">
        <f t="shared" si="8"/>
        <v>0</v>
      </c>
      <c r="Y175" s="34">
        <f t="shared" si="9"/>
        <v>0</v>
      </c>
      <c r="Z175" s="34">
        <f>IF($R175="MTO",
0,
($H175+$K175*($E175/[1]CRITERIOS!$M$16))/[1]CRITERIOS!$X$48)</f>
        <v>0</v>
      </c>
      <c r="AA175" s="34" t="e">
        <f>ROUNDUP(($Y175/_xlfn.XLOOKUP($A175,'[1]DATOS PBI Artículos'!$A$4:$A$4,'[1]DATOS PBI Artículos'!$Z$4:$Z$4))/_xlfn.XLOOKUP(_xlfn.XLOOKUP($A175,'[1]DATOS PBI Artículos'!$A$4:$A$4,'[1]DATOS PBI Artículos'!$Y$4:$Y$4),[1]CRITERIOS!$P$79:$P$123,[1]CRITERIOS!$S$79:$S$123,),0)</f>
        <v>#N/A</v>
      </c>
      <c r="AB175" s="33" t="e">
        <f t="array" ref="AB175">IF((E175+V175-_xlfn.XLOOKUP(A175,'[1]DATOS PBI Artículos'!$A$4:$A$4,'[1]DATOS PBI Artículos'!$W$4:$W$4))/N175&gt;ROUNDUP([1]CRITERIOS!$M$16/(IF(COUNTIF([1]CRITERIOS!$BG$11:$BG$201,L175)&gt;=1,_xlfn.XLOOKUP(ARTÍCULOS!L175,[1]CRITERIOS!$BG$11:$BG$201,[1]CRITERIOS!$BJ$11:$BJ$201),_xlfn.XLOOKUP(ARTÍCULOS!C175,[1]CRITERIOS!$K$25:$K$42,[1]CRITERIOS!$M$25:$M$42))),0),ROUNDUP([1]CRITERIOS!$M$16/(IF(COUNTIF([1]CRITERIOS!$BG$11:$BG$201,L175)&gt;=1,_xlfn.XLOOKUP(ARTÍCULOS!L175,[1]CRITERIOS!$BG$11:$BG$201:#REF!,[1]CRITERIOS!$BJ$11:$BJ$201),_xlfn.XLOOKUP(ARTÍCULOS!C175,[1]CRITERIOS!$K$25:$K$42,[1]CRITERIOS!$M$25:$M$42))),0),(E175+V175-_xlfn.XLOOKUP(A175,'[1]DATOS PBI Artículos'!$A$4:$A$4,'[1]DATOS PBI Artículos'!$W$4:$W$4))/N175)</f>
        <v>#VALUE!</v>
      </c>
      <c r="AC175" s="33" t="e">
        <f>IF(N175=0,"",(ROUNDUP((N175/2)/(_xlfn.XLOOKUP(A175,'[1]DATOS PBI Artículos'!$A$4:$A$4,'[1]DATOS PBI Artículos'!$Z$4:$Z$4)*_xlfn.XLOOKUP(_xlfn.XLOOKUP(A175,'[1]DATOS PBI Artículos'!$A$4:$A$4,'[1]DATOS PBI Artículos'!$Y$4:$Y$4),[1]CRITERIOS!$P$79:$P$123,[1]CRITERIOS!$S$79:$S$123)),0)*[1]CRITERIOS!$M$80*([1]CRITERIOS!$M$110/[1]CRITERIOS!$M$86)+(_xlfn.XLOOKUP(A175,'[1]DATOS PBI Artículos'!$A$4:$A$4,'[1]DATOS PBI Artículos'!$AA$4:$AA$4)*([1]CRITERIOS!$M$95+[1]CRITERIOS!$M$98)))/N175)</f>
        <v>#N/A</v>
      </c>
      <c r="AD175" s="33" t="e">
        <f>IF(N175=0,"",(ROUNDUP((N175/2)/(_xlfn.XLOOKUP(A175,'[1]DATOS PBI Artículos'!$A$4:$A$4,'[1]DATOS PBI Artículos'!$Z$4:$Z$4)*_xlfn.XLOOKUP(_xlfn.XLOOKUP(A175,'[1]DATOS PBI Artículos'!$A$4:$A$4,'[1]DATOS PBI Artículos'!$Y$4:$Y$4),[1]CRITERIOS!$P$79:$P$123,[1]CRITERIOS!$S$79:$S$123)),0)*[1]CRITERIOS!$M$80*([1]CRITERIOS!$M$89*[1]CRITERIOS!$M$92)+((_xlfn.XLOOKUP(A175,'[1]DATOS PBI Artículos'!$A$4:$A$4,'[1]DATOS PBI Artículos'!$AA$4:$AA$4)/2)*([1]CRITERIOS!$M$95+[1]CRITERIOS!$M$98)))/N175)</f>
        <v>#N/A</v>
      </c>
      <c r="AE175" s="39" t="str">
        <f>IF($R175="MTO","",
IF($H175=0,ROUNDUP(((_xlfn.XLOOKUP($A175,'[1]DATOS PBI Artículos'!$A:$A,'[1]DATOS PBI Artículos'!$AL:$AL))/(_xlfn.XLOOKUP($AF$1,[1]CRITERIOS!$S$16:$S$39,[1]CRITERIOS!$Y$16:$Y$39))*$J175+$Z175)/$G175,0)*$G175,
((_xlfn.XLOOKUP($A175,'[1]DATOS PBI Artículos'!$A:$A,'[1]DATOS PBI Artículos'!$AL:$AL))/(_xlfn.XLOOKUP($AF$1,[1]CRITERIOS!$S$16:$S$39,[1]CRITERIOS!$Y$16:$Y$39))*$J175+$Z175)))</f>
        <v/>
      </c>
      <c r="AG175" s="39" t="str">
        <f>IF($R175="MTO","",
IF($H175=0,ROUNDUP(((_xlfn.XLOOKUP($A175,'[1]DATOS PBI Artículos'!$A:$A,'[1]DATOS PBI Artículos'!$AM:$AM))/(_xlfn.XLOOKUP($AH$1,[1]CRITERIOS!$S$16:$S$39,[1]CRITERIOS!$Y$16:$Y$39))*$J175+$Z175)/$G175,0)*$G175,
((_xlfn.XLOOKUP($A175,'[1]DATOS PBI Artículos'!$A:$A,'[1]DATOS PBI Artículos'!$AM:$AM))/(_xlfn.XLOOKUP($AH$1,[1]CRITERIOS!$S$16:$S$39,[1]CRITERIOS!$Y$16:$Y$39))*$J175+$Z175)))</f>
        <v/>
      </c>
      <c r="AI175" s="39" t="str">
        <f>IF($R175="MTO","",
IF($H175=0,ROUNDUP(((_xlfn.XLOOKUP($A175,'[1]DATOS PBI Artículos'!$A:$A,'[1]DATOS PBI Artículos'!$AN:$AN))/(_xlfn.XLOOKUP($AJ$1,[1]CRITERIOS!$S$16:$S$39,[1]CRITERIOS!$Y$16:$Y$39))*$J175+$Z175)/$G175,0)*$G175,
((_xlfn.XLOOKUP($A175,'[1]DATOS PBI Artículos'!$A:$A,'[1]DATOS PBI Artículos'!$AN:$AN))/(_xlfn.XLOOKUP($AJ$1,[1]CRITERIOS!$S$16:$S$39,[1]CRITERIOS!$Y$16:$Y$39))*$J175+$Z175)))</f>
        <v/>
      </c>
      <c r="AK175" s="39" t="str">
        <f>IF($R175="MTO","",
IF($H175=0,ROUNDUP(((_xlfn.XLOOKUP($A175,'[1]DATOS PBI Artículos'!$A:$A,'[1]DATOS PBI Artículos'!$AO:$AO))/(_xlfn.XLOOKUP($AL$1,[1]CRITERIOS!$S$16:$S$39,[1]CRITERIOS!$Y$16:$Y$39))*$J175+$Z175)/$G175,0)*$G175,
((_xlfn.XLOOKUP($A175,'[1]DATOS PBI Artículos'!$A:$A,'[1]DATOS PBI Artículos'!$AO:$AO))/(_xlfn.XLOOKUP($AL$1,[1]CRITERIOS!$S$16:$S$39,[1]CRITERIOS!$Y$16:$Y$39))*$J175+$Z175)))</f>
        <v/>
      </c>
    </row>
    <row r="176" spans="1:37" ht="25.8" x14ac:dyDescent="0.5">
      <c r="A176" s="32" t="s">
        <v>92</v>
      </c>
      <c r="B176" s="33">
        <f>_xlfn.XLOOKUP($A176,'[1]DATOS PBI Artículos'!A:A,'[1]DATOS PBI Artículos'!B:B)</f>
        <v>0</v>
      </c>
      <c r="C176" s="33" t="str">
        <f>_xlfn.XLOOKUP($A176,'[1]DATOS PBI Artículos'!A:A,'[1]DATOS PBI Artículos'!C:C)</f>
        <v>UA03</v>
      </c>
      <c r="D176" s="33">
        <f>_xlfn.XLOOKUP(A176,'[1]DATOS PBI Artículos'!A:A,'[1]DATOS PBI Artículos'!T:T)</f>
        <v>1</v>
      </c>
      <c r="E176" s="34">
        <f>IF(_xlfn.XLOOKUP($A176,'[1]DATOS PBI Artículos'!A:A,'[1]DATOS PBI Artículos'!AK:AK)="",_xlfn.XLOOKUP($A176,'[1]DATOS PBI Artículos'!A:A,'[1]DATOS PBI Artículos'!AJ:AJ),_xlfn.XLOOKUP($A176,'[1]DATOS PBI Artículos'!A:A,'[1]DATOS PBI Artículos'!AK:AK))</f>
        <v>24000</v>
      </c>
      <c r="F176" s="35">
        <f>_xlfn.XLOOKUP($A176,'[1]DATOS PBI Artículos'!A:A,'[1]DATOS PBI Artículos'!AP:AP)</f>
        <v>75</v>
      </c>
      <c r="G176" s="34">
        <f>_xlfn.XLOOKUP($A176,'[1]DATOS PBI Artículos'!A:A,'[1]DATOS PBI Artículos'!AR:AR)</f>
        <v>24000</v>
      </c>
      <c r="H176" s="34">
        <f>_xlfn.XLOOKUP($A176,'[1]DATOS PBI Artículos'!A:A,'[1]DATOS PBI Artículos'!AT:AT)</f>
        <v>0</v>
      </c>
      <c r="I176" s="34">
        <f>_xlfn.XLOOKUP($A176,'[1]DATOS PBI Artículos'!A:A,'[1]DATOS PBI Artículos'!AS:AS)</f>
        <v>24000</v>
      </c>
      <c r="J176" s="35">
        <f>IF(COUNTIF([1]CRITERIOS!$F$179:$F$199,$A176)&gt;=1,
 IF(O176&lt;&gt;"",
    (O176/_xlfn.XLOOKUP(CONCATENATE(A176,L176),[1]MÁQUINAS!A:A,[1]MÁQUINAS!D:D))/24,
    (N176/_xlfn.XLOOKUP(CONCATENATE(A176,L176),[1]MÁQUINAS!A:A,[1]MÁQUINAS!D:D))/24),
  _xlfn.XLOOKUP($A176,'[1]DATOS PBI Artículos'!A:A,'[1]DATOS PBI Artículos'!AU:AU))</f>
        <v>25</v>
      </c>
      <c r="K176" s="36">
        <f>_xlfn.XLOOKUP($A176,'[1]DATOS PBI Artículos'!A:A,'[1]DATOS PBI Artículos'!AV:AV)</f>
        <v>0</v>
      </c>
      <c r="L176" s="33">
        <f>_xlfn.XLOOKUP(A176,[1]MÁQUINAS!B:B,[1]MÁQUINAS!C:C)</f>
        <v>142</v>
      </c>
      <c r="M176" s="34">
        <f t="array" ref="M176">_xlfn.XLOOKUP(A176,'[1]DATOS PBI Artículos'!A:A,'[1]DATOS PBI Artículos'!AX:$AX)</f>
        <v>19271.947368065077</v>
      </c>
      <c r="N176" s="37">
        <f>IF(I176="DV",
E176,
IF(COUNTIF([1]CRITERIOS!$I$179:$I$199,$A176)&gt;=1,
_xlfn.XLOOKUP($A176,[1]CRITERIOS!$I$179:$I$199,[1]CRITERIOS!$J$179:$J$199),
IF(COUNTIF([1]CRITERIOS!$L$179:$L$199,$A176)&gt;=1,
_xlfn.CEILING.MATH(IF($M176&gt;$E176,
$E176,
IF($M176&lt;$E176/ROUNDDOWN([1]CRITERIOS!$M$16/_xlfn.XLOOKUP($C176,[1]CRITERIOS!$K$25:$K$42,[1]CRITERIOS!$M$25:$M$42),
1),
E176/ROUNDDOWN([1]CRITERIOS!$M$16/_xlfn.XLOOKUP($C176,[1]CRITERIOS!$K$25:$K$42,[1]CRITERIOS!$M$25:$M$42),
1),
$M176)),
_xlfn.XLOOKUP($A176,[1]CRITERIOS!$L$179:$L$200,[1]CRITERIOS!$M$179:$M$200)),
_xlfn.CEILING.MATH(IF($M176&gt;$E176,
$E176,
IF($M176&lt;$E176/ROUNDDOWN([1]CRITERIOS!$M$16/_xlfn.XLOOKUP($C176,[1]CRITERIOS!$K$25:$K$42,[1]CRITERIOS!$M$25:$M$42),
1),
E176/ROUNDDOWN([1]CRITERIOS!$M$16/_xlfn.XLOOKUP($C176,[1]CRITERIOS!$K$25:$K$42,[1]CRITERIOS!$M$25:$M$42),
1),
$M176)),_xlfn.XLOOKUP(A176,'[1]DATOS PBI Artículos'!A:A,'[1]DATOS PBI Artículos'!Z:Z
)))))</f>
        <v>24000</v>
      </c>
      <c r="Q176" s="38">
        <f>IF(AND(O176="",N176=0),
0,
   IF(COUNTIF([1]CRITERIOS!$F$179:$F$199,$A176)&gt;=1,
   1,
   IF(R176="MTO",
      $D176,
      ROUNDUP(
                    IF(($E176-SUMIF('[1]DATOS PBI Artículos'!A:A,A176,'[1]DATOS PBI Artículos'!X:X)+($V176-_xlfn.XLOOKUP(A176,'[1]DATOS PBI Artículos'!A:A,'[1]DATOS PBI Artículos'!W:W)))&lt;0,
                    0,
                    IF(($E176-SUMIF('[1]DATOS PBI Artículos'!A:A,A176,'[1]DATOS PBI Artículos'!X:X)+$V176-_xlfn.XLOOKUP($A176,'[1]DATOS PBI Artículos'!A:A,'[1]DATOS PBI Artículos'!W:W))/IF($O176="",$N176,$O176)&gt;ROUNDUP([1]CRITERIOS!$M$16/(IF(COUNTIF([1]CRITERIOS!$BG$11:$BG$201,L176)&gt;=1,_xlfn.XLOOKUP($C176,[1]CRITERIOS!$K$25:$K$42,[1]CRITERIOS!$M$25:$M$42),_xlfn.XLOOKUP($C176,[1]CRITERIOS!$K$25:$K$42,[1]CRITERIOS!$M$25:$M$42))),0),
                    ROUNDUP([1]CRITERIOS!$M$16/(IF(COUNTIF([1]CRITERIOS!$BG$11:$BG$201,$L176)&gt;=1,_xlfn.XLOOKUP($C176,[1]CRITERIOS!$K$25:$K$42,[1]CRITERIOS!$M$25:$M$42),_xlfn.XLOOKUP($C176,[1]CRITERIOS!$K$25:$K$42,[1]CRITERIOS!$M$25:$M$42))),0),
                    (E176+V176-SUMIF('[1]DATOS PBI Artículos'!A:A,A176,'[1]DATOS PBI Artículos'!X:X)-_xlfn.XLOOKUP(A176,'[1]DATOS PBI Artículos'!A:A,'[1]DATOS PBI Artículos'!W:W))/IF($O176="",$N176,$O176))),0))))</f>
        <v>1</v>
      </c>
      <c r="R176" s="33" t="str">
        <f>IF(U176&lt;&gt;"",U176,IF(F176="DV","MTO",IF(N176=0,"MTO",_xlfn.XLOOKUP(CONCATENATE(S176,T176),[1]CRITERIOS!$K$160:$K$168,[1]CRITERIOS!$N$160:$N$168))))</f>
        <v>MTO</v>
      </c>
      <c r="S176" s="33" t="str">
        <f>IF(G176="DV","MTO",IF(N176=0,"MTO",IF(OR(AND(N176=0,O176=""),IF(O176="",G176/N176,G176/O176)&gt;[1]CRITERIOS!$G$163),"MTO",IF(IF(O176="",G176/N176,G176/O176)&lt;[1]CRITERIOS!$H$161,"MTS","MTOS"))))</f>
        <v>MTO</v>
      </c>
      <c r="T176" s="33" t="str">
        <f>IF(F176="DV","MTO",IF(OR(AND($N176=0,O176=""),$F176/$J176&gt;[1]CRITERIOS!$G$170,$F176="DV"),"MTO",IF($F176/$J176&lt;[1]CRITERIOS!$H$168,"MTS","MTOS")))</f>
        <v>MTO</v>
      </c>
      <c r="V176" s="34" t="str">
        <f t="shared" si="10"/>
        <v/>
      </c>
      <c r="X176" s="34">
        <f t="shared" si="8"/>
        <v>0</v>
      </c>
      <c r="Y176" s="34">
        <f t="shared" si="9"/>
        <v>0</v>
      </c>
      <c r="Z176" s="34">
        <f>IF($R176="MTO",
0,
($H176+$K176*($E176/[1]CRITERIOS!$M$16))/[1]CRITERIOS!$X$48)</f>
        <v>0</v>
      </c>
      <c r="AA176" s="34" t="e">
        <f>ROUNDUP(($Y176/_xlfn.XLOOKUP($A176,'[1]DATOS PBI Artículos'!$A$4:$A$4,'[1]DATOS PBI Artículos'!$Z$4:$Z$4))/_xlfn.XLOOKUP(_xlfn.XLOOKUP($A176,'[1]DATOS PBI Artículos'!$A$4:$A$4,'[1]DATOS PBI Artículos'!$Y$4:$Y$4),[1]CRITERIOS!$P$79:$P$123,[1]CRITERIOS!$S$79:$S$123,),0)</f>
        <v>#N/A</v>
      </c>
      <c r="AB176" s="33" t="e">
        <f t="array" ref="AB176">IF((E176+V176-_xlfn.XLOOKUP(A176,'[1]DATOS PBI Artículos'!$A$4:$A$4,'[1]DATOS PBI Artículos'!$W$4:$W$4))/N176&gt;ROUNDUP([1]CRITERIOS!$M$16/(IF(COUNTIF([1]CRITERIOS!$BG$11:$BG$201,L176)&gt;=1,_xlfn.XLOOKUP(ARTÍCULOS!L176,[1]CRITERIOS!$BG$11:$BG$201,[1]CRITERIOS!$BJ$11:$BJ$201),_xlfn.XLOOKUP(ARTÍCULOS!C176,[1]CRITERIOS!$K$25:$K$42,[1]CRITERIOS!$M$25:$M$42))),0),ROUNDUP([1]CRITERIOS!$M$16/(IF(COUNTIF([1]CRITERIOS!$BG$11:$BG$201,L176)&gt;=1,_xlfn.XLOOKUP(ARTÍCULOS!L176,[1]CRITERIOS!$BG$11:$BG$201:#REF!,[1]CRITERIOS!$BJ$11:$BJ$201),_xlfn.XLOOKUP(ARTÍCULOS!C176,[1]CRITERIOS!$K$25:$K$42,[1]CRITERIOS!$M$25:$M$42))),0),(E176+V176-_xlfn.XLOOKUP(A176,'[1]DATOS PBI Artículos'!$A$4:$A$4,'[1]DATOS PBI Artículos'!$W$4:$W$4))/N176)</f>
        <v>#VALUE!</v>
      </c>
      <c r="AC176" s="33" t="e">
        <f>IF(N176=0,"",(ROUNDUP((N176/2)/(_xlfn.XLOOKUP(A176,'[1]DATOS PBI Artículos'!$A$4:$A$4,'[1]DATOS PBI Artículos'!$Z$4:$Z$4)*_xlfn.XLOOKUP(_xlfn.XLOOKUP(A176,'[1]DATOS PBI Artículos'!$A$4:$A$4,'[1]DATOS PBI Artículos'!$Y$4:$Y$4),[1]CRITERIOS!$P$79:$P$123,[1]CRITERIOS!$S$79:$S$123)),0)*[1]CRITERIOS!$M$80*([1]CRITERIOS!$M$110/[1]CRITERIOS!$M$86)+(_xlfn.XLOOKUP(A176,'[1]DATOS PBI Artículos'!$A$4:$A$4,'[1]DATOS PBI Artículos'!$AA$4:$AA$4)*([1]CRITERIOS!$M$95+[1]CRITERIOS!$M$98)))/N176)</f>
        <v>#N/A</v>
      </c>
      <c r="AD176" s="33" t="e">
        <f>IF(N176=0,"",(ROUNDUP((N176/2)/(_xlfn.XLOOKUP(A176,'[1]DATOS PBI Artículos'!$A$4:$A$4,'[1]DATOS PBI Artículos'!$Z$4:$Z$4)*_xlfn.XLOOKUP(_xlfn.XLOOKUP(A176,'[1]DATOS PBI Artículos'!$A$4:$A$4,'[1]DATOS PBI Artículos'!$Y$4:$Y$4),[1]CRITERIOS!$P$79:$P$123,[1]CRITERIOS!$S$79:$S$123)),0)*[1]CRITERIOS!$M$80*([1]CRITERIOS!$M$89*[1]CRITERIOS!$M$92)+((_xlfn.XLOOKUP(A176,'[1]DATOS PBI Artículos'!$A$4:$A$4,'[1]DATOS PBI Artículos'!$AA$4:$AA$4)/2)*([1]CRITERIOS!$M$95+[1]CRITERIOS!$M$98)))/N176)</f>
        <v>#N/A</v>
      </c>
      <c r="AE176" s="39" t="str">
        <f>IF($R176="MTO","",
IF($H176=0,ROUNDUP(((_xlfn.XLOOKUP($A176,'[1]DATOS PBI Artículos'!$A:$A,'[1]DATOS PBI Artículos'!$AL:$AL))/(_xlfn.XLOOKUP($AF$1,[1]CRITERIOS!$S$16:$S$39,[1]CRITERIOS!$Y$16:$Y$39))*$J176+$Z176)/$G176,0)*$G176,
((_xlfn.XLOOKUP($A176,'[1]DATOS PBI Artículos'!$A:$A,'[1]DATOS PBI Artículos'!$AL:$AL))/(_xlfn.XLOOKUP($AF$1,[1]CRITERIOS!$S$16:$S$39,[1]CRITERIOS!$Y$16:$Y$39))*$J176+$Z176)))</f>
        <v/>
      </c>
      <c r="AG176" s="39" t="str">
        <f>IF($R176="MTO","",
IF($H176=0,ROUNDUP(((_xlfn.XLOOKUP($A176,'[1]DATOS PBI Artículos'!$A:$A,'[1]DATOS PBI Artículos'!$AM:$AM))/(_xlfn.XLOOKUP($AH$1,[1]CRITERIOS!$S$16:$S$39,[1]CRITERIOS!$Y$16:$Y$39))*$J176+$Z176)/$G176,0)*$G176,
((_xlfn.XLOOKUP($A176,'[1]DATOS PBI Artículos'!$A:$A,'[1]DATOS PBI Artículos'!$AM:$AM))/(_xlfn.XLOOKUP($AH$1,[1]CRITERIOS!$S$16:$S$39,[1]CRITERIOS!$Y$16:$Y$39))*$J176+$Z176)))</f>
        <v/>
      </c>
      <c r="AI176" s="39" t="str">
        <f>IF($R176="MTO","",
IF($H176=0,ROUNDUP(((_xlfn.XLOOKUP($A176,'[1]DATOS PBI Artículos'!$A:$A,'[1]DATOS PBI Artículos'!$AN:$AN))/(_xlfn.XLOOKUP($AJ$1,[1]CRITERIOS!$S$16:$S$39,[1]CRITERIOS!$Y$16:$Y$39))*$J176+$Z176)/$G176,0)*$G176,
((_xlfn.XLOOKUP($A176,'[1]DATOS PBI Artículos'!$A:$A,'[1]DATOS PBI Artículos'!$AN:$AN))/(_xlfn.XLOOKUP($AJ$1,[1]CRITERIOS!$S$16:$S$39,[1]CRITERIOS!$Y$16:$Y$39))*$J176+$Z176)))</f>
        <v/>
      </c>
      <c r="AK176" s="39" t="str">
        <f>IF($R176="MTO","",
IF($H176=0,ROUNDUP(((_xlfn.XLOOKUP($A176,'[1]DATOS PBI Artículos'!$A:$A,'[1]DATOS PBI Artículos'!$AO:$AO))/(_xlfn.XLOOKUP($AL$1,[1]CRITERIOS!$S$16:$S$39,[1]CRITERIOS!$Y$16:$Y$39))*$J176+$Z176)/$G176,0)*$G176,
((_xlfn.XLOOKUP($A176,'[1]DATOS PBI Artículos'!$A:$A,'[1]DATOS PBI Artículos'!$AO:$AO))/(_xlfn.XLOOKUP($AL$1,[1]CRITERIOS!$S$16:$S$39,[1]CRITERIOS!$Y$16:$Y$39))*$J176+$Z176)))</f>
        <v/>
      </c>
    </row>
    <row r="177" spans="1:37" ht="25.8" x14ac:dyDescent="0.5">
      <c r="A177" s="32">
        <v>452965</v>
      </c>
      <c r="B177" s="33">
        <f>_xlfn.XLOOKUP($A177,'[1]DATOS PBI Artículos'!A:A,'[1]DATOS PBI Artículos'!B:B)</f>
        <v>0</v>
      </c>
      <c r="C177" s="33" t="str">
        <f>_xlfn.XLOOKUP($A177,'[1]DATOS PBI Artículos'!A:A,'[1]DATOS PBI Artículos'!C:C)</f>
        <v>UA02</v>
      </c>
      <c r="D177" s="33">
        <f>_xlfn.XLOOKUP(A177,'[1]DATOS PBI Artículos'!A:A,'[1]DATOS PBI Artículos'!T:T)</f>
        <v>4</v>
      </c>
      <c r="E177" s="34">
        <f>IF(_xlfn.XLOOKUP($A177,'[1]DATOS PBI Artículos'!A:A,'[1]DATOS PBI Artículos'!AK:AK)="",_xlfn.XLOOKUP($A177,'[1]DATOS PBI Artículos'!A:A,'[1]DATOS PBI Artículos'!AJ:AJ),_xlfn.XLOOKUP($A177,'[1]DATOS PBI Artículos'!A:A,'[1]DATOS PBI Artículos'!AK:AK))</f>
        <v>24000</v>
      </c>
      <c r="F177" s="35">
        <f>_xlfn.XLOOKUP($A177,'[1]DATOS PBI Artículos'!A:A,'[1]DATOS PBI Artículos'!AP:AP)</f>
        <v>9</v>
      </c>
      <c r="G177" s="34">
        <f>_xlfn.XLOOKUP($A177,'[1]DATOS PBI Artículos'!A:A,'[1]DATOS PBI Artículos'!AR:AR)</f>
        <v>3000</v>
      </c>
      <c r="H177" s="34">
        <f>_xlfn.XLOOKUP($A177,'[1]DATOS PBI Artículos'!A:A,'[1]DATOS PBI Artículos'!AT:AT)</f>
        <v>0</v>
      </c>
      <c r="I177" s="34">
        <f>_xlfn.XLOOKUP($A177,'[1]DATOS PBI Artículos'!A:A,'[1]DATOS PBI Artículos'!AS:AS)</f>
        <v>3000</v>
      </c>
      <c r="J177" s="35">
        <f>IF(COUNTIF([1]CRITERIOS!$F$179:$F$199,$A177)&gt;=1,
 IF(O177&lt;&gt;"",
    (O177/_xlfn.XLOOKUP(CONCATENATE(A177,L177),[1]MÁQUINAS!A:A,[1]MÁQUINAS!D:D))/24,
    (N177/_xlfn.XLOOKUP(CONCATENATE(A177,L177),[1]MÁQUINAS!A:A,[1]MÁQUINAS!D:D))/24),
  _xlfn.XLOOKUP($A177,'[1]DATOS PBI Artículos'!A:A,'[1]DATOS PBI Artículos'!AU:AU))</f>
        <v>25</v>
      </c>
      <c r="K177" s="36">
        <f>_xlfn.XLOOKUP($A177,'[1]DATOS PBI Artículos'!A:A,'[1]DATOS PBI Artículos'!AV:AV)</f>
        <v>11.467344941179714</v>
      </c>
      <c r="L177" s="33">
        <f>_xlfn.XLOOKUP(A177,[1]MÁQUINAS!B:B,[1]MÁQUINAS!C:C)</f>
        <v>212</v>
      </c>
      <c r="M177" s="34">
        <f t="array" ref="M177">_xlfn.XLOOKUP(A177,'[1]DATOS PBI Artículos'!A:A,'[1]DATOS PBI Artículos'!AX:$AX)</f>
        <v>13984.202177458226</v>
      </c>
      <c r="N177" s="37">
        <f>IF(I177="DV",
E177,
IF(COUNTIF([1]CRITERIOS!$I$179:$I$199,$A177)&gt;=1,
_xlfn.XLOOKUP($A177,[1]CRITERIOS!$I$179:$I$199,[1]CRITERIOS!$J$179:$J$199),
IF(COUNTIF([1]CRITERIOS!$L$179:$L$199,$A177)&gt;=1,
_xlfn.CEILING.MATH(IF($M177&gt;$E177,
$E177,
IF($M177&lt;$E177/ROUNDDOWN([1]CRITERIOS!$M$16/_xlfn.XLOOKUP($C177,[1]CRITERIOS!$K$25:$K$42,[1]CRITERIOS!$M$25:$M$42),
1),
E177/ROUNDDOWN([1]CRITERIOS!$M$16/_xlfn.XLOOKUP($C177,[1]CRITERIOS!$K$25:$K$42,[1]CRITERIOS!$M$25:$M$42),
1),
$M177)),
_xlfn.XLOOKUP($A177,[1]CRITERIOS!$L$179:$L$200,[1]CRITERIOS!$M$179:$M$200)),
_xlfn.CEILING.MATH(IF($M177&gt;$E177,
$E177,
IF($M177&lt;$E177/ROUNDDOWN([1]CRITERIOS!$M$16/_xlfn.XLOOKUP($C177,[1]CRITERIOS!$K$25:$K$42,[1]CRITERIOS!$M$25:$M$42),
1),
E177/ROUNDDOWN([1]CRITERIOS!$M$16/_xlfn.XLOOKUP($C177,[1]CRITERIOS!$K$25:$K$42,[1]CRITERIOS!$M$25:$M$42),
1),
$M177)),_xlfn.XLOOKUP(A177,'[1]DATOS PBI Artículos'!A:A,'[1]DATOS PBI Artículos'!Z:Z
)))))</f>
        <v>15000</v>
      </c>
      <c r="Q177" s="38">
        <f>IF(AND(O177="",N177=0),
0,
   IF(COUNTIF([1]CRITERIOS!$F$179:$F$199,$A177)&gt;=1,
   1,
   IF(R177="MTO",
      $D177,
      ROUNDUP(
                    IF(($E177-SUMIF('[1]DATOS PBI Artículos'!A:A,A177,'[1]DATOS PBI Artículos'!X:X)+($V177-_xlfn.XLOOKUP(A177,'[1]DATOS PBI Artículos'!A:A,'[1]DATOS PBI Artículos'!W:W)))&lt;0,
                    0,
                    IF(($E177-SUMIF('[1]DATOS PBI Artículos'!A:A,A177,'[1]DATOS PBI Artículos'!X:X)+$V177-_xlfn.XLOOKUP($A177,'[1]DATOS PBI Artículos'!A:A,'[1]DATOS PBI Artículos'!W:W))/IF($O177="",$N177,$O177)&gt;ROUNDUP([1]CRITERIOS!$M$16/(IF(COUNTIF([1]CRITERIOS!$BG$11:$BG$201,L177)&gt;=1,_xlfn.XLOOKUP($C177,[1]CRITERIOS!$K$25:$K$42,[1]CRITERIOS!$M$25:$M$42),_xlfn.XLOOKUP($C177,[1]CRITERIOS!$K$25:$K$42,[1]CRITERIOS!$M$25:$M$42))),0),
                    ROUNDUP([1]CRITERIOS!$M$16/(IF(COUNTIF([1]CRITERIOS!$BG$11:$BG$201,$L177)&gt;=1,_xlfn.XLOOKUP($C177,[1]CRITERIOS!$K$25:$K$42,[1]CRITERIOS!$M$25:$M$42),_xlfn.XLOOKUP($C177,[1]CRITERIOS!$K$25:$K$42,[1]CRITERIOS!$M$25:$M$42))),0),
                    (E177+V177-SUMIF('[1]DATOS PBI Artículos'!A:A,A177,'[1]DATOS PBI Artículos'!X:X)-_xlfn.XLOOKUP(A177,'[1]DATOS PBI Artículos'!A:A,'[1]DATOS PBI Artículos'!W:W))/IF($O177="",$N177,$O177))),0))))</f>
        <v>2</v>
      </c>
      <c r="R177" s="33" t="str">
        <f>IF(U177&lt;&gt;"",U177,IF(F177="DV","MTO",IF(N177=0,"MTO",_xlfn.XLOOKUP(CONCATENATE(S177,T177),[1]CRITERIOS!$K$160:$K$168,[1]CRITERIOS!$N$160:$N$168))))</f>
        <v>MTS</v>
      </c>
      <c r="S177" s="33" t="str">
        <f>IF(G177="DV","MTO",IF(N177=0,"MTO",IF(OR(AND(N177=0,O177=""),IF(O177="",G177/N177,G177/O177)&gt;[1]CRITERIOS!$G$163),"MTO",IF(IF(O177="",G177/N177,G177/O177)&lt;[1]CRITERIOS!$H$161,"MTS","MTOS"))))</f>
        <v>MTS</v>
      </c>
      <c r="T177" s="33" t="str">
        <f>IF(F177="DV","MTO",IF(OR(AND($N177=0,O177=""),$F177/$J177&gt;[1]CRITERIOS!$G$170,$F177="DV"),"MTO",IF($F177/$J177&lt;[1]CRITERIOS!$H$168,"MTS","MTOS")))</f>
        <v>MTS</v>
      </c>
      <c r="V177" s="34">
        <f t="shared" si="10"/>
        <v>11391.291984314592</v>
      </c>
      <c r="X177" s="34">
        <f t="shared" si="8"/>
        <v>26391.291984314594</v>
      </c>
      <c r="Y177" s="34">
        <f t="shared" si="9"/>
        <v>10557.958650981258</v>
      </c>
      <c r="Z177" s="34">
        <f>IF($R177="MTO",
0,
($H177+$K177*($E177/[1]CRITERIOS!$M$16))/[1]CRITERIOS!$X$48)</f>
        <v>3057.9586509812575</v>
      </c>
      <c r="AA177" s="34" t="e">
        <f>ROUNDUP(($Y177/_xlfn.XLOOKUP($A177,'[1]DATOS PBI Artículos'!$A$4:$A$4,'[1]DATOS PBI Artículos'!$Z$4:$Z$4))/_xlfn.XLOOKUP(_xlfn.XLOOKUP($A177,'[1]DATOS PBI Artículos'!$A$4:$A$4,'[1]DATOS PBI Artículos'!$Y$4:$Y$4),[1]CRITERIOS!$P$79:$P$123,[1]CRITERIOS!$S$79:$S$123,),0)</f>
        <v>#N/A</v>
      </c>
      <c r="AB177" s="33" t="e">
        <f t="array" ref="AB177">IF((E177+V177-_xlfn.XLOOKUP(A177,'[1]DATOS PBI Artículos'!$A$4:$A$4,'[1]DATOS PBI Artículos'!$W$4:$W$4))/N177&gt;ROUNDUP([1]CRITERIOS!$M$16/(IF(COUNTIF([1]CRITERIOS!$BG$11:$BG$201,L177)&gt;=1,_xlfn.XLOOKUP(ARTÍCULOS!L177,[1]CRITERIOS!$BG$11:$BG$201,[1]CRITERIOS!$BJ$11:$BJ$201),_xlfn.XLOOKUP(ARTÍCULOS!C177,[1]CRITERIOS!$K$25:$K$42,[1]CRITERIOS!$M$25:$M$42))),0),ROUNDUP([1]CRITERIOS!$M$16/(IF(COUNTIF([1]CRITERIOS!$BG$11:$BG$201,L177)&gt;=1,_xlfn.XLOOKUP(ARTÍCULOS!L177,[1]CRITERIOS!$BG$11:$BG$201:#REF!,[1]CRITERIOS!$BJ$11:$BJ$201),_xlfn.XLOOKUP(ARTÍCULOS!C177,[1]CRITERIOS!$K$25:$K$42,[1]CRITERIOS!$M$25:$M$42))),0),(E177+V177-_xlfn.XLOOKUP(A177,'[1]DATOS PBI Artículos'!$A$4:$A$4,'[1]DATOS PBI Artículos'!$W$4:$W$4))/N177)</f>
        <v>#N/A</v>
      </c>
      <c r="AC177" s="33" t="e">
        <f>IF(N177=0,"",(ROUNDUP((N177/2)/(_xlfn.XLOOKUP(A177,'[1]DATOS PBI Artículos'!$A$4:$A$4,'[1]DATOS PBI Artículos'!$Z$4:$Z$4)*_xlfn.XLOOKUP(_xlfn.XLOOKUP(A177,'[1]DATOS PBI Artículos'!$A$4:$A$4,'[1]DATOS PBI Artículos'!$Y$4:$Y$4),[1]CRITERIOS!$P$79:$P$123,[1]CRITERIOS!$S$79:$S$123)),0)*[1]CRITERIOS!$M$80*([1]CRITERIOS!$M$110/[1]CRITERIOS!$M$86)+(_xlfn.XLOOKUP(A177,'[1]DATOS PBI Artículos'!$A$4:$A$4,'[1]DATOS PBI Artículos'!$AA$4:$AA$4)*([1]CRITERIOS!$M$95+[1]CRITERIOS!$M$98)))/N177)</f>
        <v>#N/A</v>
      </c>
      <c r="AD177" s="33" t="e">
        <f>IF(N177=0,"",(ROUNDUP((N177/2)/(_xlfn.XLOOKUP(A177,'[1]DATOS PBI Artículos'!$A$4:$A$4,'[1]DATOS PBI Artículos'!$Z$4:$Z$4)*_xlfn.XLOOKUP(_xlfn.XLOOKUP(A177,'[1]DATOS PBI Artículos'!$A$4:$A$4,'[1]DATOS PBI Artículos'!$Y$4:$Y$4),[1]CRITERIOS!$P$79:$P$123,[1]CRITERIOS!$S$79:$S$123)),0)*[1]CRITERIOS!$M$80*([1]CRITERIOS!$M$89*[1]CRITERIOS!$M$92)+((_xlfn.XLOOKUP(A177,'[1]DATOS PBI Artículos'!$A$4:$A$4,'[1]DATOS PBI Artículos'!$AA$4:$AA$4)/2)*([1]CRITERIOS!$M$95+[1]CRITERIOS!$M$98)))/N177)</f>
        <v>#N/A</v>
      </c>
      <c r="AE177" s="39">
        <f>IF($R177="MTO","",
IF($H177=0,ROUNDUP(((_xlfn.XLOOKUP($A177,'[1]DATOS PBI Artículos'!$A:$A,'[1]DATOS PBI Artículos'!$AL:$AL))/(_xlfn.XLOOKUP($AF$1,[1]CRITERIOS!$S$16:$S$39,[1]CRITERIOS!$Y$16:$Y$39))*$J177+$Z177)/$G177,0)*$G177,
((_xlfn.XLOOKUP($A177,'[1]DATOS PBI Artículos'!$A:$A,'[1]DATOS PBI Artículos'!$AL:$AL))/(_xlfn.XLOOKUP($AF$1,[1]CRITERIOS!$S$16:$S$39,[1]CRITERIOS!$Y$16:$Y$39))*$J177+$Z177)))</f>
        <v>15000</v>
      </c>
      <c r="AG177" s="39">
        <f>IF($R177="MTO","",
IF($H177=0,ROUNDUP(((_xlfn.XLOOKUP($A177,'[1]DATOS PBI Artículos'!$A:$A,'[1]DATOS PBI Artículos'!$AM:$AM))/(_xlfn.XLOOKUP($AH$1,[1]CRITERIOS!$S$16:$S$39,[1]CRITERIOS!$Y$16:$Y$39))*$J177+$Z177)/$G177,0)*$G177,
((_xlfn.XLOOKUP($A177,'[1]DATOS PBI Artículos'!$A:$A,'[1]DATOS PBI Artículos'!$AM:$AM))/(_xlfn.XLOOKUP($AH$1,[1]CRITERIOS!$S$16:$S$39,[1]CRITERIOS!$Y$16:$Y$39))*$J177+$Z177)))</f>
        <v>12000</v>
      </c>
      <c r="AI177" s="39">
        <f>IF($R177="MTO","",
IF($H177=0,ROUNDUP(((_xlfn.XLOOKUP($A177,'[1]DATOS PBI Artículos'!$A:$A,'[1]DATOS PBI Artículos'!$AN:$AN))/(_xlfn.XLOOKUP($AJ$1,[1]CRITERIOS!$S$16:$S$39,[1]CRITERIOS!$Y$16:$Y$39))*$J177+$Z177)/$G177,0)*$G177,
((_xlfn.XLOOKUP($A177,'[1]DATOS PBI Artículos'!$A:$A,'[1]DATOS PBI Artículos'!$AN:$AN))/(_xlfn.XLOOKUP($AJ$1,[1]CRITERIOS!$S$16:$S$39,[1]CRITERIOS!$Y$16:$Y$39))*$J177+$Z177)))</f>
        <v>12000</v>
      </c>
      <c r="AK177" s="39">
        <f>IF($R177="MTO","",
IF($H177=0,ROUNDUP(((_xlfn.XLOOKUP($A177,'[1]DATOS PBI Artículos'!$A:$A,'[1]DATOS PBI Artículos'!$AO:$AO))/(_xlfn.XLOOKUP($AL$1,[1]CRITERIOS!$S$16:$S$39,[1]CRITERIOS!$Y$16:$Y$39))*$J177+$Z177)/$G177,0)*$G177,
((_xlfn.XLOOKUP($A177,'[1]DATOS PBI Artículos'!$A:$A,'[1]DATOS PBI Artículos'!$AO:$AO))/(_xlfn.XLOOKUP($AL$1,[1]CRITERIOS!$S$16:$S$39,[1]CRITERIOS!$Y$16:$Y$39))*$J177+$Z177)))</f>
        <v>12000</v>
      </c>
    </row>
    <row r="178" spans="1:37" ht="25.8" x14ac:dyDescent="0.5">
      <c r="A178" s="32" t="s">
        <v>93</v>
      </c>
      <c r="B178" s="33">
        <f>_xlfn.XLOOKUP($A178,'[1]DATOS PBI Artículos'!A:A,'[1]DATOS PBI Artículos'!B:B)</f>
        <v>0</v>
      </c>
      <c r="C178" s="33" t="str">
        <f>_xlfn.XLOOKUP($A178,'[1]DATOS PBI Artículos'!A:A,'[1]DATOS PBI Artículos'!C:C)</f>
        <v>UA03</v>
      </c>
      <c r="D178" s="33">
        <f>_xlfn.XLOOKUP(A178,'[1]DATOS PBI Artículos'!A:A,'[1]DATOS PBI Artículos'!T:T)</f>
        <v>4</v>
      </c>
      <c r="E178" s="34">
        <f>IF(_xlfn.XLOOKUP($A178,'[1]DATOS PBI Artículos'!A:A,'[1]DATOS PBI Artículos'!AK:AK)="",_xlfn.XLOOKUP($A178,'[1]DATOS PBI Artículos'!A:A,'[1]DATOS PBI Artículos'!AJ:AJ),_xlfn.XLOOKUP($A178,'[1]DATOS PBI Artículos'!A:A,'[1]DATOS PBI Artículos'!AK:AK))</f>
        <v>24000</v>
      </c>
      <c r="F178" s="35">
        <f>_xlfn.XLOOKUP($A178,'[1]DATOS PBI Artículos'!A:A,'[1]DATOS PBI Artículos'!AP:AP)</f>
        <v>13.33333333333</v>
      </c>
      <c r="G178" s="34">
        <f>_xlfn.XLOOKUP($A178,'[1]DATOS PBI Artículos'!A:A,'[1]DATOS PBI Artículos'!AR:AR)</f>
        <v>8000</v>
      </c>
      <c r="H178" s="34">
        <f>_xlfn.XLOOKUP($A178,'[1]DATOS PBI Artículos'!A:A,'[1]DATOS PBI Artículos'!AT:AT)</f>
        <v>4000</v>
      </c>
      <c r="I178" s="34">
        <f>_xlfn.XLOOKUP($A178,'[1]DATOS PBI Artículos'!A:A,'[1]DATOS PBI Artículos'!AS:AS)</f>
        <v>4000</v>
      </c>
      <c r="J178" s="35">
        <f>IF(COUNTIF([1]CRITERIOS!$F$179:$F$199,$A178)&gt;=1,
 IF(O178&lt;&gt;"",
    (O178/_xlfn.XLOOKUP(CONCATENATE(A178,L178),[1]MÁQUINAS!A:A,[1]MÁQUINAS!D:D))/24,
    (N178/_xlfn.XLOOKUP(CONCATENATE(A178,L178),[1]MÁQUINAS!A:A,[1]MÁQUINAS!D:D))/24),
  _xlfn.XLOOKUP($A178,'[1]DATOS PBI Artículos'!A:A,'[1]DATOS PBI Artículos'!AU:AU))</f>
        <v>12.833333333333334</v>
      </c>
      <c r="K178" s="36">
        <f>_xlfn.XLOOKUP($A178,'[1]DATOS PBI Artículos'!A:A,'[1]DATOS PBI Artículos'!AV:AV)</f>
        <v>0.75277265270908122</v>
      </c>
      <c r="L178" s="33">
        <f>_xlfn.XLOOKUP(A178,[1]MÁQUINAS!B:B,[1]MÁQUINAS!C:C)</f>
        <v>142</v>
      </c>
      <c r="M178" s="34">
        <f t="array" ref="M178">_xlfn.XLOOKUP(A178,'[1]DATOS PBI Artículos'!A:A,'[1]DATOS PBI Artículos'!AX:$AX)</f>
        <v>12996.931768515748</v>
      </c>
      <c r="N178" s="37">
        <f>IF(I178="DV",
E178,
IF(COUNTIF([1]CRITERIOS!$I$179:$I$199,$A178)&gt;=1,
_xlfn.XLOOKUP($A178,[1]CRITERIOS!$I$179:$I$199,[1]CRITERIOS!$J$179:$J$199),
IF(COUNTIF([1]CRITERIOS!$L$179:$L$199,$A178)&gt;=1,
_xlfn.CEILING.MATH(IF($M178&gt;$E178,
$E178,
IF($M178&lt;$E178/ROUNDDOWN([1]CRITERIOS!$M$16/_xlfn.XLOOKUP($C178,[1]CRITERIOS!$K$25:$K$42,[1]CRITERIOS!$M$25:$M$42),
1),
E178/ROUNDDOWN([1]CRITERIOS!$M$16/_xlfn.XLOOKUP($C178,[1]CRITERIOS!$K$25:$K$42,[1]CRITERIOS!$M$25:$M$42),
1),
$M178)),
_xlfn.XLOOKUP($A178,[1]CRITERIOS!$L$179:$L$200,[1]CRITERIOS!$M$179:$M$200)),
_xlfn.CEILING.MATH(IF($M178&gt;$E178,
$E178,
IF($M178&lt;$E178/ROUNDDOWN([1]CRITERIOS!$M$16/_xlfn.XLOOKUP($C178,[1]CRITERIOS!$K$25:$K$42,[1]CRITERIOS!$M$25:$M$42),
1),
E178/ROUNDDOWN([1]CRITERIOS!$M$16/_xlfn.XLOOKUP($C178,[1]CRITERIOS!$K$25:$K$42,[1]CRITERIOS!$M$25:$M$42),
1),
$M178)),_xlfn.XLOOKUP(A178,'[1]DATOS PBI Artículos'!A:A,'[1]DATOS PBI Artículos'!Z:Z
)))))</f>
        <v>16000</v>
      </c>
      <c r="Q178" s="38">
        <f>IF(AND(O178="",N178=0),
0,
   IF(COUNTIF([1]CRITERIOS!$F$179:$F$199,$A178)&gt;=1,
   1,
   IF(R178="MTO",
      $D178,
      ROUNDUP(
                    IF(($E178-SUMIF('[1]DATOS PBI Artículos'!A:A,A178,'[1]DATOS PBI Artículos'!X:X)+($V178-_xlfn.XLOOKUP(A178,'[1]DATOS PBI Artículos'!A:A,'[1]DATOS PBI Artículos'!W:W)))&lt;0,
                    0,
                    IF(($E178-SUMIF('[1]DATOS PBI Artículos'!A:A,A178,'[1]DATOS PBI Artículos'!X:X)+$V178-_xlfn.XLOOKUP($A178,'[1]DATOS PBI Artículos'!A:A,'[1]DATOS PBI Artículos'!W:W))/IF($O178="",$N178,$O178)&gt;ROUNDUP([1]CRITERIOS!$M$16/(IF(COUNTIF([1]CRITERIOS!$BG$11:$BG$201,L178)&gt;=1,_xlfn.XLOOKUP($C178,[1]CRITERIOS!$K$25:$K$42,[1]CRITERIOS!$M$25:$M$42),_xlfn.XLOOKUP($C178,[1]CRITERIOS!$K$25:$K$42,[1]CRITERIOS!$M$25:$M$42))),0),
                    ROUNDUP([1]CRITERIOS!$M$16/(IF(COUNTIF([1]CRITERIOS!$BG$11:$BG$201,$L178)&gt;=1,_xlfn.XLOOKUP($C178,[1]CRITERIOS!$K$25:$K$42,[1]CRITERIOS!$M$25:$M$42),_xlfn.XLOOKUP($C178,[1]CRITERIOS!$K$25:$K$42,[1]CRITERIOS!$M$25:$M$42))),0),
                    (E178+V178-SUMIF('[1]DATOS PBI Artículos'!A:A,A178,'[1]DATOS PBI Artículos'!X:X)-_xlfn.XLOOKUP(A178,'[1]DATOS PBI Artículos'!A:A,'[1]DATOS PBI Artículos'!W:W))/IF($O178="",$N178,$O178))),0))))</f>
        <v>1</v>
      </c>
      <c r="R178" s="33" t="str">
        <f>IF(U178&lt;&gt;"",U178,IF(F178="DV","MTO",IF(N178=0,"MTO",_xlfn.XLOOKUP(CONCATENATE(S178,T178),[1]CRITERIOS!$K$160:$K$168,[1]CRITERIOS!$N$160:$N$168))))</f>
        <v>MTS</v>
      </c>
      <c r="S178" s="33" t="str">
        <f>IF(G178="DV","MTO",IF(N178=0,"MTO",IF(OR(AND(N178=0,O178=""),IF(O178="",G178/N178,G178/O178)&gt;[1]CRITERIOS!$G$163),"MTO",IF(IF(O178="",G178/N178,G178/O178)&lt;[1]CRITERIOS!$H$161,"MTS","MTOS"))))</f>
        <v>MTOS</v>
      </c>
      <c r="T178" s="33" t="str">
        <f>IF(F178="DV","MTO",IF(OR(AND($N178=0,O178=""),$F178/$J178&gt;[1]CRITERIOS!$G$170,$F178="DV"),"MTO",IF($F178/$J178&lt;[1]CRITERIOS!$H$168,"MTS","MTOS")))</f>
        <v>MTS</v>
      </c>
      <c r="V178" s="34">
        <f t="shared" si="10"/>
        <v>11234.072707391013</v>
      </c>
      <c r="X178" s="34">
        <f t="shared" si="8"/>
        <v>27234.072707391013</v>
      </c>
      <c r="Y178" s="34">
        <f t="shared" si="9"/>
        <v>11534.072707389088</v>
      </c>
      <c r="Z178" s="34">
        <f>IF($R178="MTO",
0,
($H178+$K178*($E178/[1]CRITERIOS!$M$16))/[1]CRITERIOS!$X$48)</f>
        <v>3534.0727073890885</v>
      </c>
      <c r="AA178" s="34" t="e">
        <f>ROUNDUP(($Y178/_xlfn.XLOOKUP($A178,'[1]DATOS PBI Artículos'!$A$4:$A$4,'[1]DATOS PBI Artículos'!$Z$4:$Z$4))/_xlfn.XLOOKUP(_xlfn.XLOOKUP($A178,'[1]DATOS PBI Artículos'!$A$4:$A$4,'[1]DATOS PBI Artículos'!$Y$4:$Y$4),[1]CRITERIOS!$P$79:$P$123,[1]CRITERIOS!$S$79:$S$123,),0)</f>
        <v>#N/A</v>
      </c>
      <c r="AB178" s="33" t="e">
        <f t="array" ref="AB178">IF((E178+V178-_xlfn.XLOOKUP(A178,'[1]DATOS PBI Artículos'!$A$4:$A$4,'[1]DATOS PBI Artículos'!$W$4:$W$4))/N178&gt;ROUNDUP([1]CRITERIOS!$M$16/(IF(COUNTIF([1]CRITERIOS!$BG$11:$BG$201,L178)&gt;=1,_xlfn.XLOOKUP(ARTÍCULOS!L178,[1]CRITERIOS!$BG$11:$BG$201,[1]CRITERIOS!$BJ$11:$BJ$201),_xlfn.XLOOKUP(ARTÍCULOS!C178,[1]CRITERIOS!$K$25:$K$42,[1]CRITERIOS!$M$25:$M$42))),0),ROUNDUP([1]CRITERIOS!$M$16/(IF(COUNTIF([1]CRITERIOS!$BG$11:$BG$201,L178)&gt;=1,_xlfn.XLOOKUP(ARTÍCULOS!L178,[1]CRITERIOS!$BG$11:$BG$201:#REF!,[1]CRITERIOS!$BJ$11:$BJ$201),_xlfn.XLOOKUP(ARTÍCULOS!C178,[1]CRITERIOS!$K$25:$K$42,[1]CRITERIOS!$M$25:$M$42))),0),(E178+V178-_xlfn.XLOOKUP(A178,'[1]DATOS PBI Artículos'!$A$4:$A$4,'[1]DATOS PBI Artículos'!$W$4:$W$4))/N178)</f>
        <v>#N/A</v>
      </c>
      <c r="AC178" s="33" t="e">
        <f>IF(N178=0,"",(ROUNDUP((N178/2)/(_xlfn.XLOOKUP(A178,'[1]DATOS PBI Artículos'!$A$4:$A$4,'[1]DATOS PBI Artículos'!$Z$4:$Z$4)*_xlfn.XLOOKUP(_xlfn.XLOOKUP(A178,'[1]DATOS PBI Artículos'!$A$4:$A$4,'[1]DATOS PBI Artículos'!$Y$4:$Y$4),[1]CRITERIOS!$P$79:$P$123,[1]CRITERIOS!$S$79:$S$123)),0)*[1]CRITERIOS!$M$80*([1]CRITERIOS!$M$110/[1]CRITERIOS!$M$86)+(_xlfn.XLOOKUP(A178,'[1]DATOS PBI Artículos'!$A$4:$A$4,'[1]DATOS PBI Artículos'!$AA$4:$AA$4)*([1]CRITERIOS!$M$95+[1]CRITERIOS!$M$98)))/N178)</f>
        <v>#N/A</v>
      </c>
      <c r="AD178" s="33" t="e">
        <f>IF(N178=0,"",(ROUNDUP((N178/2)/(_xlfn.XLOOKUP(A178,'[1]DATOS PBI Artículos'!$A$4:$A$4,'[1]DATOS PBI Artículos'!$Z$4:$Z$4)*_xlfn.XLOOKUP(_xlfn.XLOOKUP(A178,'[1]DATOS PBI Artículos'!$A$4:$A$4,'[1]DATOS PBI Artículos'!$Y$4:$Y$4),[1]CRITERIOS!$P$79:$P$123,[1]CRITERIOS!$S$79:$S$123)),0)*[1]CRITERIOS!$M$80*([1]CRITERIOS!$M$89*[1]CRITERIOS!$M$92)+((_xlfn.XLOOKUP(A178,'[1]DATOS PBI Artículos'!$A$4:$A$4,'[1]DATOS PBI Artículos'!$AA$4:$AA$4)/2)*([1]CRITERIOS!$M$95+[1]CRITERIOS!$M$98)))/N178)</f>
        <v>#N/A</v>
      </c>
      <c r="AE178" s="39">
        <f>IF($R178="MTO","",
IF($H178=0,ROUNDUP(((_xlfn.XLOOKUP($A178,'[1]DATOS PBI Artículos'!$A:$A,'[1]DATOS PBI Artículos'!$AL:$AL))/(_xlfn.XLOOKUP($AF$1,[1]CRITERIOS!$S$16:$S$39,[1]CRITERIOS!$Y$16:$Y$39))*$J178+$Z178)/$G178,0)*$G178,
((_xlfn.XLOOKUP($A178,'[1]DATOS PBI Artículos'!$A:$A,'[1]DATOS PBI Artículos'!$AL:$AL))/(_xlfn.XLOOKUP($AF$1,[1]CRITERIOS!$S$16:$S$39,[1]CRITERIOS!$Y$16:$Y$39))*$J178+$Z178)))</f>
        <v>8758.6758531168671</v>
      </c>
      <c r="AG178" s="39">
        <f>IF($R178="MTO","",
IF($H178=0,ROUNDUP(((_xlfn.XLOOKUP($A178,'[1]DATOS PBI Artículos'!$A:$A,'[1]DATOS PBI Artículos'!$AM:$AM))/(_xlfn.XLOOKUP($AH$1,[1]CRITERIOS!$S$16:$S$39,[1]CRITERIOS!$Y$16:$Y$39))*$J178+$Z178)/$G178,0)*$G178,
((_xlfn.XLOOKUP($A178,'[1]DATOS PBI Artículos'!$A:$A,'[1]DATOS PBI Artículos'!$AM:$AM))/(_xlfn.XLOOKUP($AH$1,[1]CRITERIOS!$S$16:$S$39,[1]CRITERIOS!$Y$16:$Y$39))*$J178+$Z178)))</f>
        <v>7287.006954993436</v>
      </c>
      <c r="AI178" s="39">
        <f>IF($R178="MTO","",
IF($H178=0,ROUNDUP(((_xlfn.XLOOKUP($A178,'[1]DATOS PBI Artículos'!$A:$A,'[1]DATOS PBI Artículos'!$AN:$AN))/(_xlfn.XLOOKUP($AJ$1,[1]CRITERIOS!$S$16:$S$39,[1]CRITERIOS!$Y$16:$Y$39))*$J178+$Z178)/$G178,0)*$G178,
((_xlfn.XLOOKUP($A178,'[1]DATOS PBI Artículos'!$A:$A,'[1]DATOS PBI Artículos'!$AN:$AN))/(_xlfn.XLOOKUP($AJ$1,[1]CRITERIOS!$S$16:$S$39,[1]CRITERIOS!$Y$16:$Y$39))*$J178+$Z178)))</f>
        <v>8029.1466449740892</v>
      </c>
      <c r="AK178" s="39">
        <f>IF($R178="MTO","",
IF($H178=0,ROUNDUP(((_xlfn.XLOOKUP($A178,'[1]DATOS PBI Artículos'!$A:$A,'[1]DATOS PBI Artículos'!$AO:$AO))/(_xlfn.XLOOKUP($AL$1,[1]CRITERIOS!$S$16:$S$39,[1]CRITERIOS!$Y$16:$Y$39))*$J178+$Z178)/$G178,0)*$G178,
((_xlfn.XLOOKUP($A178,'[1]DATOS PBI Artículos'!$A:$A,'[1]DATOS PBI Artículos'!$AO:$AO))/(_xlfn.XLOOKUP($AL$1,[1]CRITERIOS!$S$16:$S$39,[1]CRITERIOS!$Y$16:$Y$39))*$J178+$Z178)))</f>
        <v>8429.6567738390895</v>
      </c>
    </row>
    <row r="179" spans="1:37" ht="25.8" x14ac:dyDescent="0.5">
      <c r="A179" s="32">
        <v>453396</v>
      </c>
      <c r="B179" s="33">
        <f>_xlfn.XLOOKUP($A179,'[1]DATOS PBI Artículos'!A:A,'[1]DATOS PBI Artículos'!B:B)</f>
        <v>0</v>
      </c>
      <c r="C179" s="33" t="str">
        <f>_xlfn.XLOOKUP($A179,'[1]DATOS PBI Artículos'!A:A,'[1]DATOS PBI Artículos'!C:C)</f>
        <v>UA03</v>
      </c>
      <c r="D179" s="33">
        <f>_xlfn.XLOOKUP(A179,'[1]DATOS PBI Artículos'!A:A,'[1]DATOS PBI Artículos'!T:T)</f>
        <v>7</v>
      </c>
      <c r="E179" s="34">
        <f>IF(_xlfn.XLOOKUP($A179,'[1]DATOS PBI Artículos'!A:A,'[1]DATOS PBI Artículos'!AK:AK)="",_xlfn.XLOOKUP($A179,'[1]DATOS PBI Artículos'!A:A,'[1]DATOS PBI Artículos'!AJ:AJ),_xlfn.XLOOKUP($A179,'[1]DATOS PBI Artículos'!A:A,'[1]DATOS PBI Artículos'!AK:AK))</f>
        <v>24000</v>
      </c>
      <c r="F179" s="35">
        <f>_xlfn.XLOOKUP($A179,'[1]DATOS PBI Artículos'!A:A,'[1]DATOS PBI Artículos'!AP:AP)</f>
        <v>13.2</v>
      </c>
      <c r="G179" s="34">
        <f>_xlfn.XLOOKUP($A179,'[1]DATOS PBI Artículos'!A:A,'[1]DATOS PBI Artículos'!AR:AR)</f>
        <v>4000</v>
      </c>
      <c r="H179" s="34">
        <f>_xlfn.XLOOKUP($A179,'[1]DATOS PBI Artículos'!A:A,'[1]DATOS PBI Artículos'!AT:AT)</f>
        <v>0</v>
      </c>
      <c r="I179" s="34">
        <f>_xlfn.XLOOKUP($A179,'[1]DATOS PBI Artículos'!A:A,'[1]DATOS PBI Artículos'!AS:AS)</f>
        <v>4000</v>
      </c>
      <c r="J179" s="35">
        <f>IF(COUNTIF([1]CRITERIOS!$F$179:$F$199,$A179)&gt;=1,
 IF(O179&lt;&gt;"",
    (O179/_xlfn.XLOOKUP(CONCATENATE(A179,L179),[1]MÁQUINAS!A:A,[1]MÁQUINAS!D:D))/24,
    (N179/_xlfn.XLOOKUP(CONCATENATE(A179,L179),[1]MÁQUINAS!A:A,[1]MÁQUINAS!D:D))/24),
  _xlfn.XLOOKUP($A179,'[1]DATOS PBI Artículos'!A:A,'[1]DATOS PBI Artículos'!AU:AU))</f>
        <v>15.4</v>
      </c>
      <c r="K179" s="36">
        <f>_xlfn.XLOOKUP($A179,'[1]DATOS PBI Artículos'!A:A,'[1]DATOS PBI Artículos'!AV:AV)</f>
        <v>2.5099800796022262</v>
      </c>
      <c r="L179" s="33">
        <f>_xlfn.XLOOKUP(A179,[1]MÁQUINAS!B:B,[1]MÁQUINAS!C:C)</f>
        <v>142</v>
      </c>
      <c r="M179" s="34">
        <f t="array" ref="M179">_xlfn.XLOOKUP(A179,'[1]DATOS PBI Artículos'!A:A,'[1]DATOS PBI Artículos'!AX:$AX)</f>
        <v>11095.552190549328</v>
      </c>
      <c r="N179" s="37">
        <f>IF(I179="DV",
E179,
IF(COUNTIF([1]CRITERIOS!$I$179:$I$199,$A179)&gt;=1,
_xlfn.XLOOKUP($A179,[1]CRITERIOS!$I$179:$I$199,[1]CRITERIOS!$J$179:$J$199),
IF(COUNTIF([1]CRITERIOS!$L$179:$L$199,$A179)&gt;=1,
_xlfn.CEILING.MATH(IF($M179&gt;$E179,
$E179,
IF($M179&lt;$E179/ROUNDDOWN([1]CRITERIOS!$M$16/_xlfn.XLOOKUP($C179,[1]CRITERIOS!$K$25:$K$42,[1]CRITERIOS!$M$25:$M$42),
1),
E179/ROUNDDOWN([1]CRITERIOS!$M$16/_xlfn.XLOOKUP($C179,[1]CRITERIOS!$K$25:$K$42,[1]CRITERIOS!$M$25:$M$42),
1),
$M179)),
_xlfn.XLOOKUP($A179,[1]CRITERIOS!$L$179:$L$200,[1]CRITERIOS!$M$179:$M$200)),
_xlfn.CEILING.MATH(IF($M179&gt;$E179,
$E179,
IF($M179&lt;$E179/ROUNDDOWN([1]CRITERIOS!$M$16/_xlfn.XLOOKUP($C179,[1]CRITERIOS!$K$25:$K$42,[1]CRITERIOS!$M$25:$M$42),
1),
E179/ROUNDDOWN([1]CRITERIOS!$M$16/_xlfn.XLOOKUP($C179,[1]CRITERIOS!$K$25:$K$42,[1]CRITERIOS!$M$25:$M$42),
1),
$M179)),_xlfn.XLOOKUP(A179,'[1]DATOS PBI Artículos'!A:A,'[1]DATOS PBI Artículos'!Z:Z
)))))</f>
        <v>12000</v>
      </c>
      <c r="Q179" s="38">
        <f>IF(AND(O179="",N179=0),
0,
   IF(COUNTIF([1]CRITERIOS!$F$179:$F$199,$A179)&gt;=1,
   1,
   IF(R179="MTO",
      $D179,
      ROUNDUP(
                    IF(($E179-SUMIF('[1]DATOS PBI Artículos'!A:A,A179,'[1]DATOS PBI Artículos'!X:X)+($V179-_xlfn.XLOOKUP(A179,'[1]DATOS PBI Artículos'!A:A,'[1]DATOS PBI Artículos'!W:W)))&lt;0,
                    0,
                    IF(($E179-SUMIF('[1]DATOS PBI Artículos'!A:A,A179,'[1]DATOS PBI Artículos'!X:X)+$V179-_xlfn.XLOOKUP($A179,'[1]DATOS PBI Artículos'!A:A,'[1]DATOS PBI Artículos'!W:W))/IF($O179="",$N179,$O179)&gt;ROUNDUP([1]CRITERIOS!$M$16/(IF(COUNTIF([1]CRITERIOS!$BG$11:$BG$201,L179)&gt;=1,_xlfn.XLOOKUP($C179,[1]CRITERIOS!$K$25:$K$42,[1]CRITERIOS!$M$25:$M$42),_xlfn.XLOOKUP($C179,[1]CRITERIOS!$K$25:$K$42,[1]CRITERIOS!$M$25:$M$42))),0),
                    ROUNDUP([1]CRITERIOS!$M$16/(IF(COUNTIF([1]CRITERIOS!$BG$11:$BG$201,$L179)&gt;=1,_xlfn.XLOOKUP($C179,[1]CRITERIOS!$K$25:$K$42,[1]CRITERIOS!$M$25:$M$42),_xlfn.XLOOKUP($C179,[1]CRITERIOS!$K$25:$K$42,[1]CRITERIOS!$M$25:$M$42))),0),
                    (E179+V179-SUMIF('[1]DATOS PBI Artículos'!A:A,A179,'[1]DATOS PBI Artículos'!X:X)-_xlfn.XLOOKUP(A179,'[1]DATOS PBI Artículos'!A:A,'[1]DATOS PBI Artículos'!W:W))/IF($O179="",$N179,$O179))),0))))</f>
        <v>1</v>
      </c>
      <c r="R179" s="33" t="str">
        <f>IF(U179&lt;&gt;"",U179,IF(F179="DV","MTO",IF(N179=0,"MTO",_xlfn.XLOOKUP(CONCATENATE(S179,T179),[1]CRITERIOS!$K$160:$K$168,[1]CRITERIOS!$N$160:$N$168))))</f>
        <v>MTS</v>
      </c>
      <c r="S179" s="33" t="str">
        <f>IF(G179="DV","MTO",IF(N179=0,"MTO",IF(OR(AND(N179=0,O179=""),IF(O179="",G179/N179,G179/O179)&gt;[1]CRITERIOS!$G$163),"MTO",IF(IF(O179="",G179/N179,G179/O179)&lt;[1]CRITERIOS!$H$161,"MTS","MTOS"))))</f>
        <v>MTS</v>
      </c>
      <c r="T179" s="33" t="str">
        <f>IF(F179="DV","MTO",IF(OR(AND($N179=0,O179=""),$F179/$J179&gt;[1]CRITERIOS!$G$170,$F179="DV"),"MTO",IF($F179/$J179&lt;[1]CRITERIOS!$H$168,"MTS","MTOS")))</f>
        <v>MTS</v>
      </c>
      <c r="V179" s="34">
        <f t="shared" si="10"/>
        <v>5335.9946878939272</v>
      </c>
      <c r="X179" s="34">
        <f t="shared" si="8"/>
        <v>17335.994687893926</v>
      </c>
      <c r="Y179" s="34">
        <f t="shared" si="9"/>
        <v>6669.3280212272603</v>
      </c>
      <c r="Z179" s="34">
        <f>IF($R179="MTO",
0,
($H179+$K179*($E179/[1]CRITERIOS!$M$16))/[1]CRITERIOS!$X$48)</f>
        <v>669.32802122726036</v>
      </c>
      <c r="AA179" s="34" t="e">
        <f>ROUNDUP(($Y179/_xlfn.XLOOKUP($A179,'[1]DATOS PBI Artículos'!$A$4:$A$4,'[1]DATOS PBI Artículos'!$Z$4:$Z$4))/_xlfn.XLOOKUP(_xlfn.XLOOKUP($A179,'[1]DATOS PBI Artículos'!$A$4:$A$4,'[1]DATOS PBI Artículos'!$Y$4:$Y$4),[1]CRITERIOS!$P$79:$P$123,[1]CRITERIOS!$S$79:$S$123,),0)</f>
        <v>#N/A</v>
      </c>
      <c r="AB179" s="33" t="e">
        <f t="array" ref="AB179">IF((E179+V179-_xlfn.XLOOKUP(A179,'[1]DATOS PBI Artículos'!$A$4:$A$4,'[1]DATOS PBI Artículos'!$W$4:$W$4))/N179&gt;ROUNDUP([1]CRITERIOS!$M$16/(IF(COUNTIF([1]CRITERIOS!$BG$11:$BG$201,L179)&gt;=1,_xlfn.XLOOKUP(ARTÍCULOS!L179,[1]CRITERIOS!$BG$11:$BG$201,[1]CRITERIOS!$BJ$11:$BJ$201),_xlfn.XLOOKUP(ARTÍCULOS!C179,[1]CRITERIOS!$K$25:$K$42,[1]CRITERIOS!$M$25:$M$42))),0),ROUNDUP([1]CRITERIOS!$M$16/(IF(COUNTIF([1]CRITERIOS!$BG$11:$BG$201,L179)&gt;=1,_xlfn.XLOOKUP(ARTÍCULOS!L179,[1]CRITERIOS!$BG$11:$BG$201:#REF!,[1]CRITERIOS!$BJ$11:$BJ$201),_xlfn.XLOOKUP(ARTÍCULOS!C179,[1]CRITERIOS!$K$25:$K$42,[1]CRITERIOS!$M$25:$M$42))),0),(E179+V179-_xlfn.XLOOKUP(A179,'[1]DATOS PBI Artículos'!$A$4:$A$4,'[1]DATOS PBI Artículos'!$W$4:$W$4))/N179)</f>
        <v>#N/A</v>
      </c>
      <c r="AC179" s="33" t="e">
        <f>IF(N179=0,"",(ROUNDUP((N179/2)/(_xlfn.XLOOKUP(A179,'[1]DATOS PBI Artículos'!$A$4:$A$4,'[1]DATOS PBI Artículos'!$Z$4:$Z$4)*_xlfn.XLOOKUP(_xlfn.XLOOKUP(A179,'[1]DATOS PBI Artículos'!$A$4:$A$4,'[1]DATOS PBI Artículos'!$Y$4:$Y$4),[1]CRITERIOS!$P$79:$P$123,[1]CRITERIOS!$S$79:$S$123)),0)*[1]CRITERIOS!$M$80*([1]CRITERIOS!$M$110/[1]CRITERIOS!$M$86)+(_xlfn.XLOOKUP(A179,'[1]DATOS PBI Artículos'!$A$4:$A$4,'[1]DATOS PBI Artículos'!$AA$4:$AA$4)*([1]CRITERIOS!$M$95+[1]CRITERIOS!$M$98)))/N179)</f>
        <v>#N/A</v>
      </c>
      <c r="AD179" s="33" t="e">
        <f>IF(N179=0,"",(ROUNDUP((N179/2)/(_xlfn.XLOOKUP(A179,'[1]DATOS PBI Artículos'!$A$4:$A$4,'[1]DATOS PBI Artículos'!$Z$4:$Z$4)*_xlfn.XLOOKUP(_xlfn.XLOOKUP(A179,'[1]DATOS PBI Artículos'!$A$4:$A$4,'[1]DATOS PBI Artículos'!$Y$4:$Y$4),[1]CRITERIOS!$P$79:$P$123,[1]CRITERIOS!$S$79:$S$123)),0)*[1]CRITERIOS!$M$80*([1]CRITERIOS!$M$89*[1]CRITERIOS!$M$92)+((_xlfn.XLOOKUP(A179,'[1]DATOS PBI Artículos'!$A$4:$A$4,'[1]DATOS PBI Artículos'!$AA$4:$AA$4)/2)*([1]CRITERIOS!$M$95+[1]CRITERIOS!$M$98)))/N179)</f>
        <v>#N/A</v>
      </c>
      <c r="AE179" s="39">
        <f>IF($R179="MTO","",
IF($H179=0,ROUNDUP(((_xlfn.XLOOKUP($A179,'[1]DATOS PBI Artículos'!$A:$A,'[1]DATOS PBI Artículos'!$AL:$AL))/(_xlfn.XLOOKUP($AF$1,[1]CRITERIOS!$S$16:$S$39,[1]CRITERIOS!$Y$16:$Y$39))*$J179+$Z179)/$G179,0)*$G179,
((_xlfn.XLOOKUP($A179,'[1]DATOS PBI Artículos'!$A:$A,'[1]DATOS PBI Artículos'!$AL:$AL))/(_xlfn.XLOOKUP($AF$1,[1]CRITERIOS!$S$16:$S$39,[1]CRITERIOS!$Y$16:$Y$39))*$J179+$Z179)))</f>
        <v>8000</v>
      </c>
      <c r="AG179" s="39">
        <f>IF($R179="MTO","",
IF($H179=0,ROUNDUP(((_xlfn.XLOOKUP($A179,'[1]DATOS PBI Artículos'!$A:$A,'[1]DATOS PBI Artículos'!$AM:$AM))/(_xlfn.XLOOKUP($AH$1,[1]CRITERIOS!$S$16:$S$39,[1]CRITERIOS!$Y$16:$Y$39))*$J179+$Z179)/$G179,0)*$G179,
((_xlfn.XLOOKUP($A179,'[1]DATOS PBI Artículos'!$A:$A,'[1]DATOS PBI Artículos'!$AM:$AM))/(_xlfn.XLOOKUP($AH$1,[1]CRITERIOS!$S$16:$S$39,[1]CRITERIOS!$Y$16:$Y$39))*$J179+$Z179)))</f>
        <v>8000</v>
      </c>
      <c r="AI179" s="39">
        <f>IF($R179="MTO","",
IF($H179=0,ROUNDUP(((_xlfn.XLOOKUP($A179,'[1]DATOS PBI Artículos'!$A:$A,'[1]DATOS PBI Artículos'!$AN:$AN))/(_xlfn.XLOOKUP($AJ$1,[1]CRITERIOS!$S$16:$S$39,[1]CRITERIOS!$Y$16:$Y$39))*$J179+$Z179)/$G179,0)*$G179,
((_xlfn.XLOOKUP($A179,'[1]DATOS PBI Artículos'!$A:$A,'[1]DATOS PBI Artículos'!$AN:$AN))/(_xlfn.XLOOKUP($AJ$1,[1]CRITERIOS!$S$16:$S$39,[1]CRITERIOS!$Y$16:$Y$39))*$J179+$Z179)))</f>
        <v>8000</v>
      </c>
      <c r="AK179" s="39">
        <f>IF($R179="MTO","",
IF($H179=0,ROUNDUP(((_xlfn.XLOOKUP($A179,'[1]DATOS PBI Artículos'!$A:$A,'[1]DATOS PBI Artículos'!$AO:$AO))/(_xlfn.XLOOKUP($AL$1,[1]CRITERIOS!$S$16:$S$39,[1]CRITERIOS!$Y$16:$Y$39))*$J179+$Z179)/$G179,0)*$G179,
((_xlfn.XLOOKUP($A179,'[1]DATOS PBI Artículos'!$A:$A,'[1]DATOS PBI Artículos'!$AO:$AO))/(_xlfn.XLOOKUP($AL$1,[1]CRITERIOS!$S$16:$S$39,[1]CRITERIOS!$Y$16:$Y$39))*$J179+$Z179)))</f>
        <v>8000</v>
      </c>
    </row>
    <row r="180" spans="1:37" ht="25.8" x14ac:dyDescent="0.5">
      <c r="A180" s="32" t="s">
        <v>94</v>
      </c>
      <c r="B180" s="33">
        <f>_xlfn.XLOOKUP($A180,'[1]DATOS PBI Artículos'!A:A,'[1]DATOS PBI Artículos'!B:B)</f>
        <v>0</v>
      </c>
      <c r="C180" s="33" t="str">
        <f>_xlfn.XLOOKUP($A180,'[1]DATOS PBI Artículos'!A:A,'[1]DATOS PBI Artículos'!C:C)</f>
        <v>UA03</v>
      </c>
      <c r="D180" s="33">
        <f>_xlfn.XLOOKUP(A180,'[1]DATOS PBI Artículos'!A:A,'[1]DATOS PBI Artículos'!T:T)</f>
        <v>2</v>
      </c>
      <c r="E180" s="34">
        <f>IF(_xlfn.XLOOKUP($A180,'[1]DATOS PBI Artículos'!A:A,'[1]DATOS PBI Artículos'!AK:AK)="",_xlfn.XLOOKUP($A180,'[1]DATOS PBI Artículos'!A:A,'[1]DATOS PBI Artículos'!AJ:AJ),_xlfn.XLOOKUP($A180,'[1]DATOS PBI Artículos'!A:A,'[1]DATOS PBI Artículos'!AK:AK))</f>
        <v>24000</v>
      </c>
      <c r="F180" s="35">
        <f>_xlfn.XLOOKUP($A180,'[1]DATOS PBI Artículos'!A:A,'[1]DATOS PBI Artículos'!AP:AP)</f>
        <v>10</v>
      </c>
      <c r="G180" s="34">
        <f>_xlfn.XLOOKUP($A180,'[1]DATOS PBI Artículos'!A:A,'[1]DATOS PBI Artículos'!AR:AR)</f>
        <v>12000</v>
      </c>
      <c r="H180" s="34">
        <f>_xlfn.XLOOKUP($A180,'[1]DATOS PBI Artículos'!A:A,'[1]DATOS PBI Artículos'!AT:AT)</f>
        <v>0</v>
      </c>
      <c r="I180" s="34">
        <f>_xlfn.XLOOKUP($A180,'[1]DATOS PBI Artículos'!A:A,'[1]DATOS PBI Artículos'!AS:AS)</f>
        <v>12000</v>
      </c>
      <c r="J180" s="35">
        <f>IF(COUNTIF([1]CRITERIOS!$F$179:$F$199,$A180)&gt;=1,
 IF(O180&lt;&gt;"",
    (O180/_xlfn.XLOOKUP(CONCATENATE(A180,L180),[1]MÁQUINAS!A:A,[1]MÁQUINAS!D:D))/24,
    (N180/_xlfn.XLOOKUP(CONCATENATE(A180,L180),[1]MÁQUINAS!A:A,[1]MÁQUINAS!D:D))/24),
  _xlfn.XLOOKUP($A180,'[1]DATOS PBI Artículos'!A:A,'[1]DATOS PBI Artículos'!AU:AU))</f>
        <v>14</v>
      </c>
      <c r="K180" s="36">
        <f>_xlfn.XLOOKUP($A180,'[1]DATOS PBI Artículos'!A:A,'[1]DATOS PBI Artículos'!AV:AV)</f>
        <v>2.6457513110645907</v>
      </c>
      <c r="L180" s="33">
        <f>_xlfn.XLOOKUP(A180,[1]MÁQUINAS!B:B,[1]MÁQUINAS!C:C)</f>
        <v>142</v>
      </c>
      <c r="M180" s="34">
        <f t="array" ref="M180">_xlfn.XLOOKUP(A180,'[1]DATOS PBI Artículos'!A:A,'[1]DATOS PBI Artículos'!AX:$AX)</f>
        <v>17410.673565826932</v>
      </c>
      <c r="N180" s="37">
        <f>IF(I180="DV",
E180,
IF(COUNTIF([1]CRITERIOS!$I$179:$I$199,$A180)&gt;=1,
_xlfn.XLOOKUP($A180,[1]CRITERIOS!$I$179:$I$199,[1]CRITERIOS!$J$179:$J$199),
IF(COUNTIF([1]CRITERIOS!$L$179:$L$199,$A180)&gt;=1,
_xlfn.CEILING.MATH(IF($M180&gt;$E180,
$E180,
IF($M180&lt;$E180/ROUNDDOWN([1]CRITERIOS!$M$16/_xlfn.XLOOKUP($C180,[1]CRITERIOS!$K$25:$K$42,[1]CRITERIOS!$M$25:$M$42),
1),
E180/ROUNDDOWN([1]CRITERIOS!$M$16/_xlfn.XLOOKUP($C180,[1]CRITERIOS!$K$25:$K$42,[1]CRITERIOS!$M$25:$M$42),
1),
$M180)),
_xlfn.XLOOKUP($A180,[1]CRITERIOS!$L$179:$L$200,[1]CRITERIOS!$M$179:$M$200)),
_xlfn.CEILING.MATH(IF($M180&gt;$E180,
$E180,
IF($M180&lt;$E180/ROUNDDOWN([1]CRITERIOS!$M$16/_xlfn.XLOOKUP($C180,[1]CRITERIOS!$K$25:$K$42,[1]CRITERIOS!$M$25:$M$42),
1),
E180/ROUNDDOWN([1]CRITERIOS!$M$16/_xlfn.XLOOKUP($C180,[1]CRITERIOS!$K$25:$K$42,[1]CRITERIOS!$M$25:$M$42),
1),
$M180)),_xlfn.XLOOKUP(A180,'[1]DATOS PBI Artículos'!A:A,'[1]DATOS PBI Artículos'!Z:Z
)))))</f>
        <v>20000</v>
      </c>
      <c r="Q180" s="38">
        <f>IF(AND(O180="",N180=0),
0,
   IF(COUNTIF([1]CRITERIOS!$F$179:$F$199,$A180)&gt;=1,
   1,
   IF(R180="MTO",
      $D180,
      ROUNDUP(
                    IF(($E180-SUMIF('[1]DATOS PBI Artículos'!A:A,A180,'[1]DATOS PBI Artículos'!X:X)+($V180-_xlfn.XLOOKUP(A180,'[1]DATOS PBI Artículos'!A:A,'[1]DATOS PBI Artículos'!W:W)))&lt;0,
                    0,
                    IF(($E180-SUMIF('[1]DATOS PBI Artículos'!A:A,A180,'[1]DATOS PBI Artículos'!X:X)+$V180-_xlfn.XLOOKUP($A180,'[1]DATOS PBI Artículos'!A:A,'[1]DATOS PBI Artículos'!W:W))/IF($O180="",$N180,$O180)&gt;ROUNDUP([1]CRITERIOS!$M$16/(IF(COUNTIF([1]CRITERIOS!$BG$11:$BG$201,L180)&gt;=1,_xlfn.XLOOKUP($C180,[1]CRITERIOS!$K$25:$K$42,[1]CRITERIOS!$M$25:$M$42),_xlfn.XLOOKUP($C180,[1]CRITERIOS!$K$25:$K$42,[1]CRITERIOS!$M$25:$M$42))),0),
                    ROUNDUP([1]CRITERIOS!$M$16/(IF(COUNTIF([1]CRITERIOS!$BG$11:$BG$201,$L180)&gt;=1,_xlfn.XLOOKUP($C180,[1]CRITERIOS!$K$25:$K$42,[1]CRITERIOS!$M$25:$M$42),_xlfn.XLOOKUP($C180,[1]CRITERIOS!$K$25:$K$42,[1]CRITERIOS!$M$25:$M$42))),0),
                    (E180+V180-SUMIF('[1]DATOS PBI Artículos'!A:A,A180,'[1]DATOS PBI Artículos'!X:X)-_xlfn.XLOOKUP(A180,'[1]DATOS PBI Artículos'!A:A,'[1]DATOS PBI Artículos'!W:W))/IF($O180="",$N180,$O180))),0))))</f>
        <v>2</v>
      </c>
      <c r="R180" s="33" t="str">
        <f>IF(U180&lt;&gt;"",U180,IF(F180="DV","MTO",IF(N180=0,"MTO",_xlfn.XLOOKUP(CONCATENATE(S180,T180),[1]CRITERIOS!$K$160:$K$168,[1]CRITERIOS!$N$160:$N$168))))</f>
        <v>MTS</v>
      </c>
      <c r="S180" s="33" t="str">
        <f>IF(G180="DV","MTO",IF(N180=0,"MTO",IF(OR(AND(N180=0,O180=""),IF(O180="",G180/N180,G180/O180)&gt;[1]CRITERIOS!$G$163),"MTO",IF(IF(O180="",G180/N180,G180/O180)&lt;[1]CRITERIOS!$H$161,"MTS","MTOS"))))</f>
        <v>MTOS</v>
      </c>
      <c r="T180" s="33" t="str">
        <f>IF(F180="DV","MTO",IF(OR(AND($N180=0,O180=""),$F180/$J180&gt;[1]CRITERIOS!$G$170,$F180="DV"),"MTO",IF($F180/$J180&lt;[1]CRITERIOS!$H$168,"MTS","MTOS")))</f>
        <v>MTS</v>
      </c>
      <c r="V180" s="34">
        <f t="shared" si="10"/>
        <v>17505.533682950558</v>
      </c>
      <c r="X180" s="34">
        <f t="shared" si="8"/>
        <v>37505.533682950554</v>
      </c>
      <c r="Y180" s="34">
        <f t="shared" si="9"/>
        <v>10705.533682950558</v>
      </c>
      <c r="Z180" s="34">
        <f>IF($R180="MTO",
0,
($H180+$K180*($E180/[1]CRITERIOS!$M$16))/[1]CRITERIOS!$X$48)</f>
        <v>705.53368295055748</v>
      </c>
      <c r="AA180" s="34" t="e">
        <f>ROUNDUP(($Y180/_xlfn.XLOOKUP($A180,'[1]DATOS PBI Artículos'!$A$4:$A$4,'[1]DATOS PBI Artículos'!$Z$4:$Z$4))/_xlfn.XLOOKUP(_xlfn.XLOOKUP($A180,'[1]DATOS PBI Artículos'!$A$4:$A$4,'[1]DATOS PBI Artículos'!$Y$4:$Y$4),[1]CRITERIOS!$P$79:$P$123,[1]CRITERIOS!$S$79:$S$123,),0)</f>
        <v>#N/A</v>
      </c>
      <c r="AB180" s="33" t="e">
        <f t="array" ref="AB180">IF((E180+V180-_xlfn.XLOOKUP(A180,'[1]DATOS PBI Artículos'!$A$4:$A$4,'[1]DATOS PBI Artículos'!$W$4:$W$4))/N180&gt;ROUNDUP([1]CRITERIOS!$M$16/(IF(COUNTIF([1]CRITERIOS!$BG$11:$BG$201,L180)&gt;=1,_xlfn.XLOOKUP(ARTÍCULOS!L180,[1]CRITERIOS!$BG$11:$BG$201,[1]CRITERIOS!$BJ$11:$BJ$201),_xlfn.XLOOKUP(ARTÍCULOS!C180,[1]CRITERIOS!$K$25:$K$42,[1]CRITERIOS!$M$25:$M$42))),0),ROUNDUP([1]CRITERIOS!$M$16/(IF(COUNTIF([1]CRITERIOS!$BG$11:$BG$201,L180)&gt;=1,_xlfn.XLOOKUP(ARTÍCULOS!L180,[1]CRITERIOS!$BG$11:$BG$201:#REF!,[1]CRITERIOS!$BJ$11:$BJ$201),_xlfn.XLOOKUP(ARTÍCULOS!C180,[1]CRITERIOS!$K$25:$K$42,[1]CRITERIOS!$M$25:$M$42))),0),(E180+V180-_xlfn.XLOOKUP(A180,'[1]DATOS PBI Artículos'!$A$4:$A$4,'[1]DATOS PBI Artículos'!$W$4:$W$4))/N180)</f>
        <v>#N/A</v>
      </c>
      <c r="AC180" s="33" t="e">
        <f>IF(N180=0,"",(ROUNDUP((N180/2)/(_xlfn.XLOOKUP(A180,'[1]DATOS PBI Artículos'!$A$4:$A$4,'[1]DATOS PBI Artículos'!$Z$4:$Z$4)*_xlfn.XLOOKUP(_xlfn.XLOOKUP(A180,'[1]DATOS PBI Artículos'!$A$4:$A$4,'[1]DATOS PBI Artículos'!$Y$4:$Y$4),[1]CRITERIOS!$P$79:$P$123,[1]CRITERIOS!$S$79:$S$123)),0)*[1]CRITERIOS!$M$80*([1]CRITERIOS!$M$110/[1]CRITERIOS!$M$86)+(_xlfn.XLOOKUP(A180,'[1]DATOS PBI Artículos'!$A$4:$A$4,'[1]DATOS PBI Artículos'!$AA$4:$AA$4)*([1]CRITERIOS!$M$95+[1]CRITERIOS!$M$98)))/N180)</f>
        <v>#N/A</v>
      </c>
      <c r="AD180" s="33" t="e">
        <f>IF(N180=0,"",(ROUNDUP((N180/2)/(_xlfn.XLOOKUP(A180,'[1]DATOS PBI Artículos'!$A$4:$A$4,'[1]DATOS PBI Artículos'!$Z$4:$Z$4)*_xlfn.XLOOKUP(_xlfn.XLOOKUP(A180,'[1]DATOS PBI Artículos'!$A$4:$A$4,'[1]DATOS PBI Artículos'!$Y$4:$Y$4),[1]CRITERIOS!$P$79:$P$123,[1]CRITERIOS!$S$79:$S$123)),0)*[1]CRITERIOS!$M$80*([1]CRITERIOS!$M$89*[1]CRITERIOS!$M$92)+((_xlfn.XLOOKUP(A180,'[1]DATOS PBI Artículos'!$A$4:$A$4,'[1]DATOS PBI Artículos'!$AA$4:$AA$4)/2)*([1]CRITERIOS!$M$95+[1]CRITERIOS!$M$98)))/N180)</f>
        <v>#N/A</v>
      </c>
      <c r="AE180" s="39">
        <f>IF($R180="MTO","",
IF($H180=0,ROUNDUP(((_xlfn.XLOOKUP($A180,'[1]DATOS PBI Artículos'!$A:$A,'[1]DATOS PBI Artículos'!$AL:$AL))/(_xlfn.XLOOKUP($AF$1,[1]CRITERIOS!$S$16:$S$39,[1]CRITERIOS!$Y$16:$Y$39))*$J180+$Z180)/$G180,0)*$G180,
((_xlfn.XLOOKUP($A180,'[1]DATOS PBI Artículos'!$A:$A,'[1]DATOS PBI Artículos'!$AL:$AL))/(_xlfn.XLOOKUP($AF$1,[1]CRITERIOS!$S$16:$S$39,[1]CRITERIOS!$Y$16:$Y$39))*$J180+$Z180)))</f>
        <v>12000</v>
      </c>
      <c r="AG180" s="39">
        <f>IF($R180="MTO","",
IF($H180=0,ROUNDUP(((_xlfn.XLOOKUP($A180,'[1]DATOS PBI Artículos'!$A:$A,'[1]DATOS PBI Artículos'!$AM:$AM))/(_xlfn.XLOOKUP($AH$1,[1]CRITERIOS!$S$16:$S$39,[1]CRITERIOS!$Y$16:$Y$39))*$J180+$Z180)/$G180,0)*$G180,
((_xlfn.XLOOKUP($A180,'[1]DATOS PBI Artículos'!$A:$A,'[1]DATOS PBI Artículos'!$AM:$AM))/(_xlfn.XLOOKUP($AH$1,[1]CRITERIOS!$S$16:$S$39,[1]CRITERIOS!$Y$16:$Y$39))*$J180+$Z180)))</f>
        <v>12000</v>
      </c>
      <c r="AI180" s="39">
        <f>IF($R180="MTO","",
IF($H180=0,ROUNDUP(((_xlfn.XLOOKUP($A180,'[1]DATOS PBI Artículos'!$A:$A,'[1]DATOS PBI Artículos'!$AN:$AN))/(_xlfn.XLOOKUP($AJ$1,[1]CRITERIOS!$S$16:$S$39,[1]CRITERIOS!$Y$16:$Y$39))*$J180+$Z180)/$G180,0)*$G180,
((_xlfn.XLOOKUP($A180,'[1]DATOS PBI Artículos'!$A:$A,'[1]DATOS PBI Artículos'!$AN:$AN))/(_xlfn.XLOOKUP($AJ$1,[1]CRITERIOS!$S$16:$S$39,[1]CRITERIOS!$Y$16:$Y$39))*$J180+$Z180)))</f>
        <v>12000</v>
      </c>
      <c r="AK180" s="39">
        <f>IF($R180="MTO","",
IF($H180=0,ROUNDUP(((_xlfn.XLOOKUP($A180,'[1]DATOS PBI Artículos'!$A:$A,'[1]DATOS PBI Artículos'!$AO:$AO))/(_xlfn.XLOOKUP($AL$1,[1]CRITERIOS!$S$16:$S$39,[1]CRITERIOS!$Y$16:$Y$39))*$J180+$Z180)/$G180,0)*$G180,
((_xlfn.XLOOKUP($A180,'[1]DATOS PBI Artículos'!$A:$A,'[1]DATOS PBI Artículos'!$AO:$AO))/(_xlfn.XLOOKUP($AL$1,[1]CRITERIOS!$S$16:$S$39,[1]CRITERIOS!$Y$16:$Y$39))*$J180+$Z180)))</f>
        <v>12000</v>
      </c>
    </row>
    <row r="181" spans="1:37" ht="25.8" x14ac:dyDescent="0.5">
      <c r="A181" s="32" t="s">
        <v>95</v>
      </c>
      <c r="B181" s="33">
        <f>_xlfn.XLOOKUP($A181,'[1]DATOS PBI Artículos'!A:A,'[1]DATOS PBI Artículos'!B:B)</f>
        <v>0</v>
      </c>
      <c r="C181" s="33" t="str">
        <f>_xlfn.XLOOKUP($A181,'[1]DATOS PBI Artículos'!A:A,'[1]DATOS PBI Artículos'!C:C)</f>
        <v>UA01</v>
      </c>
      <c r="D181" s="33">
        <f>_xlfn.XLOOKUP(A181,'[1]DATOS PBI Artículos'!A:A,'[1]DATOS PBI Artículos'!T:T)</f>
        <v>1</v>
      </c>
      <c r="E181" s="34">
        <f>IF(_xlfn.XLOOKUP($A181,'[1]DATOS PBI Artículos'!A:A,'[1]DATOS PBI Artículos'!AK:AK)="",_xlfn.XLOOKUP($A181,'[1]DATOS PBI Artículos'!A:A,'[1]DATOS PBI Artículos'!AJ:AJ),_xlfn.XLOOKUP($A181,'[1]DATOS PBI Artículos'!A:A,'[1]DATOS PBI Artículos'!AK:AK))</f>
        <v>24000</v>
      </c>
      <c r="F181" s="35">
        <f>_xlfn.XLOOKUP($A181,'[1]DATOS PBI Artículos'!A:A,'[1]DATOS PBI Artículos'!AP:AP)</f>
        <v>75</v>
      </c>
      <c r="G181" s="34">
        <f>_xlfn.XLOOKUP($A181,'[1]DATOS PBI Artículos'!A:A,'[1]DATOS PBI Artículos'!AR:AR)</f>
        <v>24000</v>
      </c>
      <c r="H181" s="34">
        <f>_xlfn.XLOOKUP($A181,'[1]DATOS PBI Artículos'!A:A,'[1]DATOS PBI Artículos'!AT:AT)</f>
        <v>0</v>
      </c>
      <c r="I181" s="34">
        <f>_xlfn.XLOOKUP($A181,'[1]DATOS PBI Artículos'!A:A,'[1]DATOS PBI Artículos'!AS:AS)</f>
        <v>24000</v>
      </c>
      <c r="J181" s="35">
        <f>IF(COUNTIF([1]CRITERIOS!$F$179:$F$199,$A181)&gt;=1,
 IF(O181&lt;&gt;"",
    (O181/_xlfn.XLOOKUP(CONCATENATE(A181,L181),[1]MÁQUINAS!A:A,[1]MÁQUINAS!D:D))/24,
    (N181/_xlfn.XLOOKUP(CONCATENATE(A181,L181),[1]MÁQUINAS!A:A,[1]MÁQUINAS!D:D))/24),
  _xlfn.XLOOKUP($A181,'[1]DATOS PBI Artículos'!A:A,'[1]DATOS PBI Artículos'!AU:AU))</f>
        <v>24.333333333333336</v>
      </c>
      <c r="K181" s="36">
        <f>_xlfn.XLOOKUP($A181,'[1]DATOS PBI Artículos'!A:A,'[1]DATOS PBI Artículos'!AV:AV)</f>
        <v>6.4291005073286351</v>
      </c>
      <c r="L181" s="33">
        <f>_xlfn.XLOOKUP(A181,[1]MÁQUINAS!B:B,[1]MÁQUINAS!C:C)</f>
        <v>406</v>
      </c>
      <c r="M181" s="34">
        <f t="array" ref="M181">_xlfn.XLOOKUP(A181,'[1]DATOS PBI Artículos'!A:A,'[1]DATOS PBI Artículos'!AX:$AX)</f>
        <v>33283.925348991106</v>
      </c>
      <c r="N181" s="37">
        <f>IF(I181="DV",
E181,
IF(COUNTIF([1]CRITERIOS!$I$179:$I$199,$A181)&gt;=1,
_xlfn.XLOOKUP($A181,[1]CRITERIOS!$I$179:$I$199,[1]CRITERIOS!$J$179:$J$199),
IF(COUNTIF([1]CRITERIOS!$L$179:$L$199,$A181)&gt;=1,
_xlfn.CEILING.MATH(IF($M181&gt;$E181,
$E181,
IF($M181&lt;$E181/ROUNDDOWN([1]CRITERIOS!$M$16/_xlfn.XLOOKUP($C181,[1]CRITERIOS!$K$25:$K$42,[1]CRITERIOS!$M$25:$M$42),
1),
E181/ROUNDDOWN([1]CRITERIOS!$M$16/_xlfn.XLOOKUP($C181,[1]CRITERIOS!$K$25:$K$42,[1]CRITERIOS!$M$25:$M$42),
1),
$M181)),
_xlfn.XLOOKUP($A181,[1]CRITERIOS!$L$179:$L$200,[1]CRITERIOS!$M$179:$M$200)),
_xlfn.CEILING.MATH(IF($M181&gt;$E181,
$E181,
IF($M181&lt;$E181/ROUNDDOWN([1]CRITERIOS!$M$16/_xlfn.XLOOKUP($C181,[1]CRITERIOS!$K$25:$K$42,[1]CRITERIOS!$M$25:$M$42),
1),
E181/ROUNDDOWN([1]CRITERIOS!$M$16/_xlfn.XLOOKUP($C181,[1]CRITERIOS!$K$25:$K$42,[1]CRITERIOS!$M$25:$M$42),
1),
$M181)),_xlfn.XLOOKUP(A181,'[1]DATOS PBI Artículos'!A:A,'[1]DATOS PBI Artículos'!Z:Z
)))))</f>
        <v>24000</v>
      </c>
      <c r="Q181" s="38">
        <f>IF(AND(O181="",N181=0),
0,
   IF(COUNTIF([1]CRITERIOS!$F$179:$F$199,$A181)&gt;=1,
   1,
   IF(R181="MTO",
      $D181,
      ROUNDUP(
                    IF(($E181-SUMIF('[1]DATOS PBI Artículos'!A:A,A181,'[1]DATOS PBI Artículos'!X:X)+($V181-_xlfn.XLOOKUP(A181,'[1]DATOS PBI Artículos'!A:A,'[1]DATOS PBI Artículos'!W:W)))&lt;0,
                    0,
                    IF(($E181-SUMIF('[1]DATOS PBI Artículos'!A:A,A181,'[1]DATOS PBI Artículos'!X:X)+$V181-_xlfn.XLOOKUP($A181,'[1]DATOS PBI Artículos'!A:A,'[1]DATOS PBI Artículos'!W:W))/IF($O181="",$N181,$O181)&gt;ROUNDUP([1]CRITERIOS!$M$16/(IF(COUNTIF([1]CRITERIOS!$BG$11:$BG$201,L181)&gt;=1,_xlfn.XLOOKUP($C181,[1]CRITERIOS!$K$25:$K$42,[1]CRITERIOS!$M$25:$M$42),_xlfn.XLOOKUP($C181,[1]CRITERIOS!$K$25:$K$42,[1]CRITERIOS!$M$25:$M$42))),0),
                    ROUNDUP([1]CRITERIOS!$M$16/(IF(COUNTIF([1]CRITERIOS!$BG$11:$BG$201,$L181)&gt;=1,_xlfn.XLOOKUP($C181,[1]CRITERIOS!$K$25:$K$42,[1]CRITERIOS!$M$25:$M$42),_xlfn.XLOOKUP($C181,[1]CRITERIOS!$K$25:$K$42,[1]CRITERIOS!$M$25:$M$42))),0),
                    (E181+V181-SUMIF('[1]DATOS PBI Artículos'!A:A,A181,'[1]DATOS PBI Artículos'!X:X)-_xlfn.XLOOKUP(A181,'[1]DATOS PBI Artículos'!A:A,'[1]DATOS PBI Artículos'!W:W))/IF($O181="",$N181,$O181))),0))))</f>
        <v>1</v>
      </c>
      <c r="R181" s="33" t="str">
        <f>IF(U181&lt;&gt;"",U181,IF(F181="DV","MTO",IF(N181=0,"MTO",_xlfn.XLOOKUP(CONCATENATE(S181,T181),[1]CRITERIOS!$K$160:$K$168,[1]CRITERIOS!$N$160:$N$168))))</f>
        <v>MTO</v>
      </c>
      <c r="S181" s="33" t="str">
        <f>IF(G181="DV","MTO",IF(N181=0,"MTO",IF(OR(AND(N181=0,O181=""),IF(O181="",G181/N181,G181/O181)&gt;[1]CRITERIOS!$G$163),"MTO",IF(IF(O181="",G181/N181,G181/O181)&lt;[1]CRITERIOS!$H$161,"MTS","MTOS"))))</f>
        <v>MTO</v>
      </c>
      <c r="T181" s="33" t="str">
        <f>IF(F181="DV","MTO",IF(OR(AND($N181=0,O181=""),$F181/$J181&gt;[1]CRITERIOS!$G$170,$F181="DV"),"MTO",IF($F181/$J181&lt;[1]CRITERIOS!$H$168,"MTS","MTOS")))</f>
        <v>MTO</v>
      </c>
      <c r="V181" s="34" t="str">
        <f t="shared" si="10"/>
        <v/>
      </c>
      <c r="X181" s="34">
        <f t="shared" si="8"/>
        <v>0</v>
      </c>
      <c r="Y181" s="34">
        <f t="shared" si="9"/>
        <v>0</v>
      </c>
      <c r="Z181" s="34">
        <f>IF($R181="MTO",
0,
($H181+$K181*($E181/[1]CRITERIOS!$M$16))/[1]CRITERIOS!$X$48)</f>
        <v>0</v>
      </c>
      <c r="AA181" s="34" t="e">
        <f>ROUNDUP(($Y181/_xlfn.XLOOKUP($A181,'[1]DATOS PBI Artículos'!$A$4:$A$4,'[1]DATOS PBI Artículos'!$Z$4:$Z$4))/_xlfn.XLOOKUP(_xlfn.XLOOKUP($A181,'[1]DATOS PBI Artículos'!$A$4:$A$4,'[1]DATOS PBI Artículos'!$Y$4:$Y$4),[1]CRITERIOS!$P$79:$P$123,[1]CRITERIOS!$S$79:$S$123,),0)</f>
        <v>#N/A</v>
      </c>
      <c r="AB181" s="33" t="e">
        <f t="array" ref="AB181">IF((E181+V181-_xlfn.XLOOKUP(A181,'[1]DATOS PBI Artículos'!$A$4:$A$4,'[1]DATOS PBI Artículos'!$W$4:$W$4))/N181&gt;ROUNDUP([1]CRITERIOS!$M$16/(IF(COUNTIF([1]CRITERIOS!$BG$11:$BG$201,L181)&gt;=1,_xlfn.XLOOKUP(ARTÍCULOS!L181,[1]CRITERIOS!$BG$11:$BG$201,[1]CRITERIOS!$BJ$11:$BJ$201),_xlfn.XLOOKUP(ARTÍCULOS!C181,[1]CRITERIOS!$K$25:$K$42,[1]CRITERIOS!$M$25:$M$42))),0),ROUNDUP([1]CRITERIOS!$M$16/(IF(COUNTIF([1]CRITERIOS!$BG$11:$BG$201,L181)&gt;=1,_xlfn.XLOOKUP(ARTÍCULOS!L181,[1]CRITERIOS!$BG$11:$BG$201:#REF!,[1]CRITERIOS!$BJ$11:$BJ$201),_xlfn.XLOOKUP(ARTÍCULOS!C181,[1]CRITERIOS!$K$25:$K$42,[1]CRITERIOS!$M$25:$M$42))),0),(E181+V181-_xlfn.XLOOKUP(A181,'[1]DATOS PBI Artículos'!$A$4:$A$4,'[1]DATOS PBI Artículos'!$W$4:$W$4))/N181)</f>
        <v>#VALUE!</v>
      </c>
      <c r="AC181" s="33" t="e">
        <f>IF(N181=0,"",(ROUNDUP((N181/2)/(_xlfn.XLOOKUP(A181,'[1]DATOS PBI Artículos'!$A$4:$A$4,'[1]DATOS PBI Artículos'!$Z$4:$Z$4)*_xlfn.XLOOKUP(_xlfn.XLOOKUP(A181,'[1]DATOS PBI Artículos'!$A$4:$A$4,'[1]DATOS PBI Artículos'!$Y$4:$Y$4),[1]CRITERIOS!$P$79:$P$123,[1]CRITERIOS!$S$79:$S$123)),0)*[1]CRITERIOS!$M$80*([1]CRITERIOS!$M$110/[1]CRITERIOS!$M$86)+(_xlfn.XLOOKUP(A181,'[1]DATOS PBI Artículos'!$A$4:$A$4,'[1]DATOS PBI Artículos'!$AA$4:$AA$4)*([1]CRITERIOS!$M$95+[1]CRITERIOS!$M$98)))/N181)</f>
        <v>#N/A</v>
      </c>
      <c r="AD181" s="33" t="e">
        <f>IF(N181=0,"",(ROUNDUP((N181/2)/(_xlfn.XLOOKUP(A181,'[1]DATOS PBI Artículos'!$A$4:$A$4,'[1]DATOS PBI Artículos'!$Z$4:$Z$4)*_xlfn.XLOOKUP(_xlfn.XLOOKUP(A181,'[1]DATOS PBI Artículos'!$A$4:$A$4,'[1]DATOS PBI Artículos'!$Y$4:$Y$4),[1]CRITERIOS!$P$79:$P$123,[1]CRITERIOS!$S$79:$S$123)),0)*[1]CRITERIOS!$M$80*([1]CRITERIOS!$M$89*[1]CRITERIOS!$M$92)+((_xlfn.XLOOKUP(A181,'[1]DATOS PBI Artículos'!$A$4:$A$4,'[1]DATOS PBI Artículos'!$AA$4:$AA$4)/2)*([1]CRITERIOS!$M$95+[1]CRITERIOS!$M$98)))/N181)</f>
        <v>#N/A</v>
      </c>
      <c r="AE181" s="39" t="str">
        <f>IF($R181="MTO","",
IF($H181=0,ROUNDUP(((_xlfn.XLOOKUP($A181,'[1]DATOS PBI Artículos'!$A:$A,'[1]DATOS PBI Artículos'!$AL:$AL))/(_xlfn.XLOOKUP($AF$1,[1]CRITERIOS!$S$16:$S$39,[1]CRITERIOS!$Y$16:$Y$39))*$J181+$Z181)/$G181,0)*$G181,
((_xlfn.XLOOKUP($A181,'[1]DATOS PBI Artículos'!$A:$A,'[1]DATOS PBI Artículos'!$AL:$AL))/(_xlfn.XLOOKUP($AF$1,[1]CRITERIOS!$S$16:$S$39,[1]CRITERIOS!$Y$16:$Y$39))*$J181+$Z181)))</f>
        <v/>
      </c>
      <c r="AG181" s="39" t="str">
        <f>IF($R181="MTO","",
IF($H181=0,ROUNDUP(((_xlfn.XLOOKUP($A181,'[1]DATOS PBI Artículos'!$A:$A,'[1]DATOS PBI Artículos'!$AM:$AM))/(_xlfn.XLOOKUP($AH$1,[1]CRITERIOS!$S$16:$S$39,[1]CRITERIOS!$Y$16:$Y$39))*$J181+$Z181)/$G181,0)*$G181,
((_xlfn.XLOOKUP($A181,'[1]DATOS PBI Artículos'!$A:$A,'[1]DATOS PBI Artículos'!$AM:$AM))/(_xlfn.XLOOKUP($AH$1,[1]CRITERIOS!$S$16:$S$39,[1]CRITERIOS!$Y$16:$Y$39))*$J181+$Z181)))</f>
        <v/>
      </c>
      <c r="AI181" s="39" t="str">
        <f>IF($R181="MTO","",
IF($H181=0,ROUNDUP(((_xlfn.XLOOKUP($A181,'[1]DATOS PBI Artículos'!$A:$A,'[1]DATOS PBI Artículos'!$AN:$AN))/(_xlfn.XLOOKUP($AJ$1,[1]CRITERIOS!$S$16:$S$39,[1]CRITERIOS!$Y$16:$Y$39))*$J181+$Z181)/$G181,0)*$G181,
((_xlfn.XLOOKUP($A181,'[1]DATOS PBI Artículos'!$A:$A,'[1]DATOS PBI Artículos'!$AN:$AN))/(_xlfn.XLOOKUP($AJ$1,[1]CRITERIOS!$S$16:$S$39,[1]CRITERIOS!$Y$16:$Y$39))*$J181+$Z181)))</f>
        <v/>
      </c>
      <c r="AK181" s="39" t="str">
        <f>IF($R181="MTO","",
IF($H181=0,ROUNDUP(((_xlfn.XLOOKUP($A181,'[1]DATOS PBI Artículos'!$A:$A,'[1]DATOS PBI Artículos'!$AO:$AO))/(_xlfn.XLOOKUP($AL$1,[1]CRITERIOS!$S$16:$S$39,[1]CRITERIOS!$Y$16:$Y$39))*$J181+$Z181)/$G181,0)*$G181,
((_xlfn.XLOOKUP($A181,'[1]DATOS PBI Artículos'!$A:$A,'[1]DATOS PBI Artículos'!$AO:$AO))/(_xlfn.XLOOKUP($AL$1,[1]CRITERIOS!$S$16:$S$39,[1]CRITERIOS!$Y$16:$Y$39))*$J181+$Z181)))</f>
        <v/>
      </c>
    </row>
    <row r="182" spans="1:37" ht="25.8" x14ac:dyDescent="0.5">
      <c r="A182" s="32" t="s">
        <v>96</v>
      </c>
      <c r="B182" s="33">
        <f>_xlfn.XLOOKUP($A182,'[1]DATOS PBI Artículos'!A:A,'[1]DATOS PBI Artículos'!B:B)</f>
        <v>0</v>
      </c>
      <c r="C182" s="33" t="str">
        <f>_xlfn.XLOOKUP($A182,'[1]DATOS PBI Artículos'!A:A,'[1]DATOS PBI Artículos'!C:C)</f>
        <v>UA01</v>
      </c>
      <c r="D182" s="33">
        <f>_xlfn.XLOOKUP(A182,'[1]DATOS PBI Artículos'!A:A,'[1]DATOS PBI Artículos'!T:T)</f>
        <v>1</v>
      </c>
      <c r="E182" s="34">
        <f>IF(_xlfn.XLOOKUP($A182,'[1]DATOS PBI Artículos'!A:A,'[1]DATOS PBI Artículos'!AK:AK)="",_xlfn.XLOOKUP($A182,'[1]DATOS PBI Artículos'!A:A,'[1]DATOS PBI Artículos'!AJ:AJ),_xlfn.XLOOKUP($A182,'[1]DATOS PBI Artículos'!A:A,'[1]DATOS PBI Artículos'!AK:AK))</f>
        <v>22000</v>
      </c>
      <c r="F182" s="35">
        <f>_xlfn.XLOOKUP($A182,'[1]DATOS PBI Artículos'!A:A,'[1]DATOS PBI Artículos'!AP:AP)</f>
        <v>75</v>
      </c>
      <c r="G182" s="34">
        <f>_xlfn.XLOOKUP($A182,'[1]DATOS PBI Artículos'!A:A,'[1]DATOS PBI Artículos'!AR:AR)</f>
        <v>22000</v>
      </c>
      <c r="H182" s="34">
        <f>_xlfn.XLOOKUP($A182,'[1]DATOS PBI Artículos'!A:A,'[1]DATOS PBI Artículos'!AT:AT)</f>
        <v>0</v>
      </c>
      <c r="I182" s="34">
        <f>_xlfn.XLOOKUP($A182,'[1]DATOS PBI Artículos'!A:A,'[1]DATOS PBI Artículos'!AS:AS)</f>
        <v>22000</v>
      </c>
      <c r="J182" s="35">
        <f>IF(COUNTIF([1]CRITERIOS!$F$179:$F$199,$A182)&gt;=1,
 IF(O182&lt;&gt;"",
    (O182/_xlfn.XLOOKUP(CONCATENATE(A182,L182),[1]MÁQUINAS!A:A,[1]MÁQUINAS!D:D))/24,
    (N182/_xlfn.XLOOKUP(CONCATENATE(A182,L182),[1]MÁQUINAS!A:A,[1]MÁQUINAS!D:D))/24),
  _xlfn.XLOOKUP($A182,'[1]DATOS PBI Artículos'!A:A,'[1]DATOS PBI Artículos'!AU:AU))</f>
        <v>13</v>
      </c>
      <c r="K182" s="36">
        <f>_xlfn.XLOOKUP($A182,'[1]DATOS PBI Artículos'!A:A,'[1]DATOS PBI Artículos'!AV:AV)</f>
        <v>2.8284271247461903</v>
      </c>
      <c r="L182" s="33">
        <f>_xlfn.XLOOKUP(A182,[1]MÁQUINAS!B:B,[1]MÁQUINAS!C:C)</f>
        <v>406</v>
      </c>
      <c r="M182" s="34">
        <f t="array" ref="M182">_xlfn.XLOOKUP(A182,'[1]DATOS PBI Artículos'!A:A,'[1]DATOS PBI Artículos'!AX:$AX)</f>
        <v>28715.80339409089</v>
      </c>
      <c r="N182" s="37">
        <f>IF(I182="DV",
E182,
IF(COUNTIF([1]CRITERIOS!$I$179:$I$199,$A182)&gt;=1,
_xlfn.XLOOKUP($A182,[1]CRITERIOS!$I$179:$I$199,[1]CRITERIOS!$J$179:$J$199),
IF(COUNTIF([1]CRITERIOS!$L$179:$L$199,$A182)&gt;=1,
_xlfn.CEILING.MATH(IF($M182&gt;$E182,
$E182,
IF($M182&lt;$E182/ROUNDDOWN([1]CRITERIOS!$M$16/_xlfn.XLOOKUP($C182,[1]CRITERIOS!$K$25:$K$42,[1]CRITERIOS!$M$25:$M$42),
1),
E182/ROUNDDOWN([1]CRITERIOS!$M$16/_xlfn.XLOOKUP($C182,[1]CRITERIOS!$K$25:$K$42,[1]CRITERIOS!$M$25:$M$42),
1),
$M182)),
_xlfn.XLOOKUP($A182,[1]CRITERIOS!$L$179:$L$200,[1]CRITERIOS!$M$179:$M$200)),
_xlfn.CEILING.MATH(IF($M182&gt;$E182,
$E182,
IF($M182&lt;$E182/ROUNDDOWN([1]CRITERIOS!$M$16/_xlfn.XLOOKUP($C182,[1]CRITERIOS!$K$25:$K$42,[1]CRITERIOS!$M$25:$M$42),
1),
E182/ROUNDDOWN([1]CRITERIOS!$M$16/_xlfn.XLOOKUP($C182,[1]CRITERIOS!$K$25:$K$42,[1]CRITERIOS!$M$25:$M$42),
1),
$M182)),_xlfn.XLOOKUP(A182,'[1]DATOS PBI Artículos'!A:A,'[1]DATOS PBI Artículos'!Z:Z
)))))</f>
        <v>22000</v>
      </c>
      <c r="Q182" s="38">
        <f>IF(AND(O182="",N182=0),
0,
   IF(COUNTIF([1]CRITERIOS!$F$179:$F$199,$A182)&gt;=1,
   1,
   IF(R182="MTO",
      $D182,
      ROUNDUP(
                    IF(($E182-SUMIF('[1]DATOS PBI Artículos'!A:A,A182,'[1]DATOS PBI Artículos'!X:X)+($V182-_xlfn.XLOOKUP(A182,'[1]DATOS PBI Artículos'!A:A,'[1]DATOS PBI Artículos'!W:W)))&lt;0,
                    0,
                    IF(($E182-SUMIF('[1]DATOS PBI Artículos'!A:A,A182,'[1]DATOS PBI Artículos'!X:X)+$V182-_xlfn.XLOOKUP($A182,'[1]DATOS PBI Artículos'!A:A,'[1]DATOS PBI Artículos'!W:W))/IF($O182="",$N182,$O182)&gt;ROUNDUP([1]CRITERIOS!$M$16/(IF(COUNTIF([1]CRITERIOS!$BG$11:$BG$201,L182)&gt;=1,_xlfn.XLOOKUP($C182,[1]CRITERIOS!$K$25:$K$42,[1]CRITERIOS!$M$25:$M$42),_xlfn.XLOOKUP($C182,[1]CRITERIOS!$K$25:$K$42,[1]CRITERIOS!$M$25:$M$42))),0),
                    ROUNDUP([1]CRITERIOS!$M$16/(IF(COUNTIF([1]CRITERIOS!$BG$11:$BG$201,$L182)&gt;=1,_xlfn.XLOOKUP($C182,[1]CRITERIOS!$K$25:$K$42,[1]CRITERIOS!$M$25:$M$42),_xlfn.XLOOKUP($C182,[1]CRITERIOS!$K$25:$K$42,[1]CRITERIOS!$M$25:$M$42))),0),
                    (E182+V182-SUMIF('[1]DATOS PBI Artículos'!A:A,A182,'[1]DATOS PBI Artículos'!X:X)-_xlfn.XLOOKUP(A182,'[1]DATOS PBI Artículos'!A:A,'[1]DATOS PBI Artículos'!W:W))/IF($O182="",$N182,$O182))),0))))</f>
        <v>1</v>
      </c>
      <c r="R182" s="33" t="str">
        <f>IF(U182&lt;&gt;"",U182,IF(F182="DV","MTO",IF(N182=0,"MTO",_xlfn.XLOOKUP(CONCATENATE(S182,T182),[1]CRITERIOS!$K$160:$K$168,[1]CRITERIOS!$N$160:$N$168))))</f>
        <v>MTO</v>
      </c>
      <c r="S182" s="33" t="str">
        <f>IF(G182="DV","MTO",IF(N182=0,"MTO",IF(OR(AND(N182=0,O182=""),IF(O182="",G182/N182,G182/O182)&gt;[1]CRITERIOS!$G$163),"MTO",IF(IF(O182="",G182/N182,G182/O182)&lt;[1]CRITERIOS!$H$161,"MTS","MTOS"))))</f>
        <v>MTO</v>
      </c>
      <c r="T182" s="33" t="str">
        <f>IF(F182="DV","MTO",IF(OR(AND($N182=0,O182=""),$F182/$J182&gt;[1]CRITERIOS!$G$170,$F182="DV"),"MTO",IF($F182/$J182&lt;[1]CRITERIOS!$H$168,"MTS","MTOS")))</f>
        <v>MTO</v>
      </c>
      <c r="V182" s="34" t="str">
        <f t="shared" si="10"/>
        <v/>
      </c>
      <c r="X182" s="34">
        <f t="shared" si="8"/>
        <v>0</v>
      </c>
      <c r="Y182" s="34">
        <f t="shared" si="9"/>
        <v>0</v>
      </c>
      <c r="Z182" s="34">
        <f>IF($R182="MTO",
0,
($H182+$K182*($E182/[1]CRITERIOS!$M$16))/[1]CRITERIOS!$X$48)</f>
        <v>0</v>
      </c>
      <c r="AA182" s="34" t="e">
        <f>ROUNDUP(($Y182/_xlfn.XLOOKUP($A182,'[1]DATOS PBI Artículos'!$A$4:$A$4,'[1]DATOS PBI Artículos'!$Z$4:$Z$4))/_xlfn.XLOOKUP(_xlfn.XLOOKUP($A182,'[1]DATOS PBI Artículos'!$A$4:$A$4,'[1]DATOS PBI Artículos'!$Y$4:$Y$4),[1]CRITERIOS!$P$79:$P$123,[1]CRITERIOS!$S$79:$S$123,),0)</f>
        <v>#N/A</v>
      </c>
      <c r="AB182" s="33" t="e">
        <f t="array" ref="AB182">IF((E182+V182-_xlfn.XLOOKUP(A182,'[1]DATOS PBI Artículos'!$A$4:$A$4,'[1]DATOS PBI Artículos'!$W$4:$W$4))/N182&gt;ROUNDUP([1]CRITERIOS!$M$16/(IF(COUNTIF([1]CRITERIOS!$BG$11:$BG$201,L182)&gt;=1,_xlfn.XLOOKUP(ARTÍCULOS!L182,[1]CRITERIOS!$BG$11:$BG$201,[1]CRITERIOS!$BJ$11:$BJ$201),_xlfn.XLOOKUP(ARTÍCULOS!C182,[1]CRITERIOS!$K$25:$K$42,[1]CRITERIOS!$M$25:$M$42))),0),ROUNDUP([1]CRITERIOS!$M$16/(IF(COUNTIF([1]CRITERIOS!$BG$11:$BG$201,L182)&gt;=1,_xlfn.XLOOKUP(ARTÍCULOS!L182,[1]CRITERIOS!$BG$11:$BG$201:#REF!,[1]CRITERIOS!$BJ$11:$BJ$201),_xlfn.XLOOKUP(ARTÍCULOS!C182,[1]CRITERIOS!$K$25:$K$42,[1]CRITERIOS!$M$25:$M$42))),0),(E182+V182-_xlfn.XLOOKUP(A182,'[1]DATOS PBI Artículos'!$A$4:$A$4,'[1]DATOS PBI Artículos'!$W$4:$W$4))/N182)</f>
        <v>#VALUE!</v>
      </c>
      <c r="AC182" s="33" t="e">
        <f>IF(N182=0,"",(ROUNDUP((N182/2)/(_xlfn.XLOOKUP(A182,'[1]DATOS PBI Artículos'!$A$4:$A$4,'[1]DATOS PBI Artículos'!$Z$4:$Z$4)*_xlfn.XLOOKUP(_xlfn.XLOOKUP(A182,'[1]DATOS PBI Artículos'!$A$4:$A$4,'[1]DATOS PBI Artículos'!$Y$4:$Y$4),[1]CRITERIOS!$P$79:$P$123,[1]CRITERIOS!$S$79:$S$123)),0)*[1]CRITERIOS!$M$80*([1]CRITERIOS!$M$110/[1]CRITERIOS!$M$86)+(_xlfn.XLOOKUP(A182,'[1]DATOS PBI Artículos'!$A$4:$A$4,'[1]DATOS PBI Artículos'!$AA$4:$AA$4)*([1]CRITERIOS!$M$95+[1]CRITERIOS!$M$98)))/N182)</f>
        <v>#N/A</v>
      </c>
      <c r="AD182" s="33" t="e">
        <f>IF(N182=0,"",(ROUNDUP((N182/2)/(_xlfn.XLOOKUP(A182,'[1]DATOS PBI Artículos'!$A$4:$A$4,'[1]DATOS PBI Artículos'!$Z$4:$Z$4)*_xlfn.XLOOKUP(_xlfn.XLOOKUP(A182,'[1]DATOS PBI Artículos'!$A$4:$A$4,'[1]DATOS PBI Artículos'!$Y$4:$Y$4),[1]CRITERIOS!$P$79:$P$123,[1]CRITERIOS!$S$79:$S$123)),0)*[1]CRITERIOS!$M$80*([1]CRITERIOS!$M$89*[1]CRITERIOS!$M$92)+((_xlfn.XLOOKUP(A182,'[1]DATOS PBI Artículos'!$A$4:$A$4,'[1]DATOS PBI Artículos'!$AA$4:$AA$4)/2)*([1]CRITERIOS!$M$95+[1]CRITERIOS!$M$98)))/N182)</f>
        <v>#N/A</v>
      </c>
      <c r="AE182" s="39" t="str">
        <f>IF($R182="MTO","",
IF($H182=0,ROUNDUP(((_xlfn.XLOOKUP($A182,'[1]DATOS PBI Artículos'!$A:$A,'[1]DATOS PBI Artículos'!$AL:$AL))/(_xlfn.XLOOKUP($AF$1,[1]CRITERIOS!$S$16:$S$39,[1]CRITERIOS!$Y$16:$Y$39))*$J182+$Z182)/$G182,0)*$G182,
((_xlfn.XLOOKUP($A182,'[1]DATOS PBI Artículos'!$A:$A,'[1]DATOS PBI Artículos'!$AL:$AL))/(_xlfn.XLOOKUP($AF$1,[1]CRITERIOS!$S$16:$S$39,[1]CRITERIOS!$Y$16:$Y$39))*$J182+$Z182)))</f>
        <v/>
      </c>
      <c r="AG182" s="39" t="str">
        <f>IF($R182="MTO","",
IF($H182=0,ROUNDUP(((_xlfn.XLOOKUP($A182,'[1]DATOS PBI Artículos'!$A:$A,'[1]DATOS PBI Artículos'!$AM:$AM))/(_xlfn.XLOOKUP($AH$1,[1]CRITERIOS!$S$16:$S$39,[1]CRITERIOS!$Y$16:$Y$39))*$J182+$Z182)/$G182,0)*$G182,
((_xlfn.XLOOKUP($A182,'[1]DATOS PBI Artículos'!$A:$A,'[1]DATOS PBI Artículos'!$AM:$AM))/(_xlfn.XLOOKUP($AH$1,[1]CRITERIOS!$S$16:$S$39,[1]CRITERIOS!$Y$16:$Y$39))*$J182+$Z182)))</f>
        <v/>
      </c>
      <c r="AI182" s="39" t="str">
        <f>IF($R182="MTO","",
IF($H182=0,ROUNDUP(((_xlfn.XLOOKUP($A182,'[1]DATOS PBI Artículos'!$A:$A,'[1]DATOS PBI Artículos'!$AN:$AN))/(_xlfn.XLOOKUP($AJ$1,[1]CRITERIOS!$S$16:$S$39,[1]CRITERIOS!$Y$16:$Y$39))*$J182+$Z182)/$G182,0)*$G182,
((_xlfn.XLOOKUP($A182,'[1]DATOS PBI Artículos'!$A:$A,'[1]DATOS PBI Artículos'!$AN:$AN))/(_xlfn.XLOOKUP($AJ$1,[1]CRITERIOS!$S$16:$S$39,[1]CRITERIOS!$Y$16:$Y$39))*$J182+$Z182)))</f>
        <v/>
      </c>
      <c r="AK182" s="39" t="str">
        <f>IF($R182="MTO","",
IF($H182=0,ROUNDUP(((_xlfn.XLOOKUP($A182,'[1]DATOS PBI Artículos'!$A:$A,'[1]DATOS PBI Artículos'!$AO:$AO))/(_xlfn.XLOOKUP($AL$1,[1]CRITERIOS!$S$16:$S$39,[1]CRITERIOS!$Y$16:$Y$39))*$J182+$Z182)/$G182,0)*$G182,
((_xlfn.XLOOKUP($A182,'[1]DATOS PBI Artículos'!$A:$A,'[1]DATOS PBI Artículos'!$AO:$AO))/(_xlfn.XLOOKUP($AL$1,[1]CRITERIOS!$S$16:$S$39,[1]CRITERIOS!$Y$16:$Y$39))*$J182+$Z182)))</f>
        <v/>
      </c>
    </row>
    <row r="183" spans="1:37" ht="25.8" x14ac:dyDescent="0.5">
      <c r="A183" s="32">
        <v>400256</v>
      </c>
      <c r="B183" s="33">
        <f>_xlfn.XLOOKUP($A183,'[1]DATOS PBI Artículos'!A:A,'[1]DATOS PBI Artículos'!B:B)</f>
        <v>0</v>
      </c>
      <c r="C183" s="33" t="str">
        <f>_xlfn.XLOOKUP($A183,'[1]DATOS PBI Artículos'!A:A,'[1]DATOS PBI Artículos'!C:C)</f>
        <v>UA03</v>
      </c>
      <c r="D183" s="33">
        <f>_xlfn.XLOOKUP(A183,'[1]DATOS PBI Artículos'!A:A,'[1]DATOS PBI Artículos'!T:T)</f>
        <v>1</v>
      </c>
      <c r="E183" s="34">
        <f>IF(_xlfn.XLOOKUP($A183,'[1]DATOS PBI Artículos'!A:A,'[1]DATOS PBI Artículos'!AK:AK)="",_xlfn.XLOOKUP($A183,'[1]DATOS PBI Artículos'!A:A,'[1]DATOS PBI Artículos'!AJ:AJ),_xlfn.XLOOKUP($A183,'[1]DATOS PBI Artículos'!A:A,'[1]DATOS PBI Artículos'!AK:AK))</f>
        <v>20000</v>
      </c>
      <c r="F183" s="35">
        <f>_xlfn.XLOOKUP($A183,'[1]DATOS PBI Artículos'!A:A,'[1]DATOS PBI Artículos'!AP:AP)</f>
        <v>75</v>
      </c>
      <c r="G183" s="34">
        <f>_xlfn.XLOOKUP($A183,'[1]DATOS PBI Artículos'!A:A,'[1]DATOS PBI Artículos'!AR:AR)</f>
        <v>20000</v>
      </c>
      <c r="H183" s="34">
        <f>_xlfn.XLOOKUP($A183,'[1]DATOS PBI Artículos'!A:A,'[1]DATOS PBI Artículos'!AT:AT)</f>
        <v>0</v>
      </c>
      <c r="I183" s="34">
        <f>_xlfn.XLOOKUP($A183,'[1]DATOS PBI Artículos'!A:A,'[1]DATOS PBI Artículos'!AS:AS)</f>
        <v>20000</v>
      </c>
      <c r="J183" s="35">
        <f>IF(COUNTIF([1]CRITERIOS!$F$179:$F$199,$A183)&gt;=1,
 IF(O183&lt;&gt;"",
    (O183/_xlfn.XLOOKUP(CONCATENATE(A183,L183),[1]MÁQUINAS!A:A,[1]MÁQUINAS!D:D))/24,
    (N183/_xlfn.XLOOKUP(CONCATENATE(A183,L183),[1]MÁQUINAS!A:A,[1]MÁQUINAS!D:D))/24),
  _xlfn.XLOOKUP($A183,'[1]DATOS PBI Artículos'!A:A,'[1]DATOS PBI Artículos'!AU:AU))</f>
        <v>14</v>
      </c>
      <c r="K183" s="36">
        <f>_xlfn.XLOOKUP($A183,'[1]DATOS PBI Artículos'!A:A,'[1]DATOS PBI Artículos'!AV:AV)</f>
        <v>0</v>
      </c>
      <c r="L183" s="33">
        <f>_xlfn.XLOOKUP(A183,[1]MÁQUINAS!B:B,[1]MÁQUINAS!C:C)</f>
        <v>142</v>
      </c>
      <c r="M183" s="34">
        <f t="array" ref="M183">_xlfn.XLOOKUP(A183,'[1]DATOS PBI Artículos'!A:A,'[1]DATOS PBI Artículos'!AX:$AX)</f>
        <v>8286.1072920746046</v>
      </c>
      <c r="N183" s="37">
        <f>IF(I183="DV",
E183,
IF(COUNTIF([1]CRITERIOS!$I$179:$I$199,$A183)&gt;=1,
_xlfn.XLOOKUP($A183,[1]CRITERIOS!$I$179:$I$199,[1]CRITERIOS!$J$179:$J$199),
IF(COUNTIF([1]CRITERIOS!$L$179:$L$199,$A183)&gt;=1,
_xlfn.CEILING.MATH(IF($M183&gt;$E183,
$E183,
IF($M183&lt;$E183/ROUNDDOWN([1]CRITERIOS!$M$16/_xlfn.XLOOKUP($C183,[1]CRITERIOS!$K$25:$K$42,[1]CRITERIOS!$M$25:$M$42),
1),
E183/ROUNDDOWN([1]CRITERIOS!$M$16/_xlfn.XLOOKUP($C183,[1]CRITERIOS!$K$25:$K$42,[1]CRITERIOS!$M$25:$M$42),
1),
$M183)),
_xlfn.XLOOKUP($A183,[1]CRITERIOS!$L$179:$L$200,[1]CRITERIOS!$M$179:$M$200)),
_xlfn.CEILING.MATH(IF($M183&gt;$E183,
$E183,
IF($M183&lt;$E183/ROUNDDOWN([1]CRITERIOS!$M$16/_xlfn.XLOOKUP($C183,[1]CRITERIOS!$K$25:$K$42,[1]CRITERIOS!$M$25:$M$42),
1),
E183/ROUNDDOWN([1]CRITERIOS!$M$16/_xlfn.XLOOKUP($C183,[1]CRITERIOS!$K$25:$K$42,[1]CRITERIOS!$M$25:$M$42),
1),
$M183)),_xlfn.XLOOKUP(A183,'[1]DATOS PBI Artículos'!A:A,'[1]DATOS PBI Artículos'!Z:Z
)))))</f>
        <v>20000</v>
      </c>
      <c r="Q183" s="38">
        <f>IF(AND(O183="",N183=0),
0,
   IF(COUNTIF([1]CRITERIOS!$F$179:$F$199,$A183)&gt;=1,
   1,
   IF(R183="MTO",
      $D183,
      ROUNDUP(
                    IF(($E183-SUMIF('[1]DATOS PBI Artículos'!A:A,A183,'[1]DATOS PBI Artículos'!X:X)+($V183-_xlfn.XLOOKUP(A183,'[1]DATOS PBI Artículos'!A:A,'[1]DATOS PBI Artículos'!W:W)))&lt;0,
                    0,
                    IF(($E183-SUMIF('[1]DATOS PBI Artículos'!A:A,A183,'[1]DATOS PBI Artículos'!X:X)+$V183-_xlfn.XLOOKUP($A183,'[1]DATOS PBI Artículos'!A:A,'[1]DATOS PBI Artículos'!W:W))/IF($O183="",$N183,$O183)&gt;ROUNDUP([1]CRITERIOS!$M$16/(IF(COUNTIF([1]CRITERIOS!$BG$11:$BG$201,L183)&gt;=1,_xlfn.XLOOKUP($C183,[1]CRITERIOS!$K$25:$K$42,[1]CRITERIOS!$M$25:$M$42),_xlfn.XLOOKUP($C183,[1]CRITERIOS!$K$25:$K$42,[1]CRITERIOS!$M$25:$M$42))),0),
                    ROUNDUP([1]CRITERIOS!$M$16/(IF(COUNTIF([1]CRITERIOS!$BG$11:$BG$201,$L183)&gt;=1,_xlfn.XLOOKUP($C183,[1]CRITERIOS!$K$25:$K$42,[1]CRITERIOS!$M$25:$M$42),_xlfn.XLOOKUP($C183,[1]CRITERIOS!$K$25:$K$42,[1]CRITERIOS!$M$25:$M$42))),0),
                    (E183+V183-SUMIF('[1]DATOS PBI Artículos'!A:A,A183,'[1]DATOS PBI Artículos'!X:X)-_xlfn.XLOOKUP(A183,'[1]DATOS PBI Artículos'!A:A,'[1]DATOS PBI Artículos'!W:W))/IF($O183="",$N183,$O183))),0))))</f>
        <v>1</v>
      </c>
      <c r="R183" s="33" t="str">
        <f>IF(U183&lt;&gt;"",U183,IF(F183="DV","MTO",IF(N183=0,"MTO",_xlfn.XLOOKUP(CONCATENATE(S183,T183),[1]CRITERIOS!$K$160:$K$168,[1]CRITERIOS!$N$160:$N$168))))</f>
        <v>MTO</v>
      </c>
      <c r="S183" s="33" t="str">
        <f>IF(G183="DV","MTO",IF(N183=0,"MTO",IF(OR(AND(N183=0,O183=""),IF(O183="",G183/N183,G183/O183)&gt;[1]CRITERIOS!$G$163),"MTO",IF(IF(O183="",G183/N183,G183/O183)&lt;[1]CRITERIOS!$H$161,"MTS","MTOS"))))</f>
        <v>MTO</v>
      </c>
      <c r="T183" s="33" t="str">
        <f>IF(F183="DV","MTO",IF(OR(AND($N183=0,O183=""),$F183/$J183&gt;[1]CRITERIOS!$G$170,$F183="DV"),"MTO",IF($F183/$J183&lt;[1]CRITERIOS!$H$168,"MTS","MTOS")))</f>
        <v>MTO</v>
      </c>
      <c r="V183" s="34" t="str">
        <f t="shared" si="10"/>
        <v/>
      </c>
      <c r="X183" s="34">
        <f t="shared" si="8"/>
        <v>0</v>
      </c>
      <c r="Y183" s="34">
        <f t="shared" si="9"/>
        <v>0</v>
      </c>
      <c r="Z183" s="34">
        <f>IF($R183="MTO",
0,
($H183+$K183*($E183/[1]CRITERIOS!$M$16))/[1]CRITERIOS!$X$48)</f>
        <v>0</v>
      </c>
      <c r="AA183" s="34" t="e">
        <f>ROUNDUP(($Y183/_xlfn.XLOOKUP($A183,'[1]DATOS PBI Artículos'!$A$4:$A$4,'[1]DATOS PBI Artículos'!$Z$4:$Z$4))/_xlfn.XLOOKUP(_xlfn.XLOOKUP($A183,'[1]DATOS PBI Artículos'!$A$4:$A$4,'[1]DATOS PBI Artículos'!$Y$4:$Y$4),[1]CRITERIOS!$P$79:$P$123,[1]CRITERIOS!$S$79:$S$123,),0)</f>
        <v>#N/A</v>
      </c>
      <c r="AB183" s="33" t="e">
        <f t="array" ref="AB183">IF((E183+V183-_xlfn.XLOOKUP(A183,'[1]DATOS PBI Artículos'!$A$4:$A$4,'[1]DATOS PBI Artículos'!$W$4:$W$4))/N183&gt;ROUNDUP([1]CRITERIOS!$M$16/(IF(COUNTIF([1]CRITERIOS!$BG$11:$BG$201,L183)&gt;=1,_xlfn.XLOOKUP(ARTÍCULOS!L183,[1]CRITERIOS!$BG$11:$BG$201,[1]CRITERIOS!$BJ$11:$BJ$201),_xlfn.XLOOKUP(ARTÍCULOS!C183,[1]CRITERIOS!$K$25:$K$42,[1]CRITERIOS!$M$25:$M$42))),0),ROUNDUP([1]CRITERIOS!$M$16/(IF(COUNTIF([1]CRITERIOS!$BG$11:$BG$201,L183)&gt;=1,_xlfn.XLOOKUP(ARTÍCULOS!L183,[1]CRITERIOS!$BG$11:$BG$201:#REF!,[1]CRITERIOS!$BJ$11:$BJ$201),_xlfn.XLOOKUP(ARTÍCULOS!C183,[1]CRITERIOS!$K$25:$K$42,[1]CRITERIOS!$M$25:$M$42))),0),(E183+V183-_xlfn.XLOOKUP(A183,'[1]DATOS PBI Artículos'!$A$4:$A$4,'[1]DATOS PBI Artículos'!$W$4:$W$4))/N183)</f>
        <v>#VALUE!</v>
      </c>
      <c r="AC183" s="33" t="e">
        <f>IF(N183=0,"",(ROUNDUP((N183/2)/(_xlfn.XLOOKUP(A183,'[1]DATOS PBI Artículos'!$A$4:$A$4,'[1]DATOS PBI Artículos'!$Z$4:$Z$4)*_xlfn.XLOOKUP(_xlfn.XLOOKUP(A183,'[1]DATOS PBI Artículos'!$A$4:$A$4,'[1]DATOS PBI Artículos'!$Y$4:$Y$4),[1]CRITERIOS!$P$79:$P$123,[1]CRITERIOS!$S$79:$S$123)),0)*[1]CRITERIOS!$M$80*([1]CRITERIOS!$M$110/[1]CRITERIOS!$M$86)+(_xlfn.XLOOKUP(A183,'[1]DATOS PBI Artículos'!$A$4:$A$4,'[1]DATOS PBI Artículos'!$AA$4:$AA$4)*([1]CRITERIOS!$M$95+[1]CRITERIOS!$M$98)))/N183)</f>
        <v>#N/A</v>
      </c>
      <c r="AD183" s="33" t="e">
        <f>IF(N183=0,"",(ROUNDUP((N183/2)/(_xlfn.XLOOKUP(A183,'[1]DATOS PBI Artículos'!$A$4:$A$4,'[1]DATOS PBI Artículos'!$Z$4:$Z$4)*_xlfn.XLOOKUP(_xlfn.XLOOKUP(A183,'[1]DATOS PBI Artículos'!$A$4:$A$4,'[1]DATOS PBI Artículos'!$Y$4:$Y$4),[1]CRITERIOS!$P$79:$P$123,[1]CRITERIOS!$S$79:$S$123)),0)*[1]CRITERIOS!$M$80*([1]CRITERIOS!$M$89*[1]CRITERIOS!$M$92)+((_xlfn.XLOOKUP(A183,'[1]DATOS PBI Artículos'!$A$4:$A$4,'[1]DATOS PBI Artículos'!$AA$4:$AA$4)/2)*([1]CRITERIOS!$M$95+[1]CRITERIOS!$M$98)))/N183)</f>
        <v>#N/A</v>
      </c>
      <c r="AE183" s="39" t="str">
        <f>IF($R183="MTO","",
IF($H183=0,ROUNDUP(((_xlfn.XLOOKUP($A183,'[1]DATOS PBI Artículos'!$A:$A,'[1]DATOS PBI Artículos'!$AL:$AL))/(_xlfn.XLOOKUP($AF$1,[1]CRITERIOS!$S$16:$S$39,[1]CRITERIOS!$Y$16:$Y$39))*$J183+$Z183)/$G183,0)*$G183,
((_xlfn.XLOOKUP($A183,'[1]DATOS PBI Artículos'!$A:$A,'[1]DATOS PBI Artículos'!$AL:$AL))/(_xlfn.XLOOKUP($AF$1,[1]CRITERIOS!$S$16:$S$39,[1]CRITERIOS!$Y$16:$Y$39))*$J183+$Z183)))</f>
        <v/>
      </c>
      <c r="AG183" s="39" t="str">
        <f>IF($R183="MTO","",
IF($H183=0,ROUNDUP(((_xlfn.XLOOKUP($A183,'[1]DATOS PBI Artículos'!$A:$A,'[1]DATOS PBI Artículos'!$AM:$AM))/(_xlfn.XLOOKUP($AH$1,[1]CRITERIOS!$S$16:$S$39,[1]CRITERIOS!$Y$16:$Y$39))*$J183+$Z183)/$G183,0)*$G183,
((_xlfn.XLOOKUP($A183,'[1]DATOS PBI Artículos'!$A:$A,'[1]DATOS PBI Artículos'!$AM:$AM))/(_xlfn.XLOOKUP($AH$1,[1]CRITERIOS!$S$16:$S$39,[1]CRITERIOS!$Y$16:$Y$39))*$J183+$Z183)))</f>
        <v/>
      </c>
      <c r="AI183" s="39" t="str">
        <f>IF($R183="MTO","",
IF($H183=0,ROUNDUP(((_xlfn.XLOOKUP($A183,'[1]DATOS PBI Artículos'!$A:$A,'[1]DATOS PBI Artículos'!$AN:$AN))/(_xlfn.XLOOKUP($AJ$1,[1]CRITERIOS!$S$16:$S$39,[1]CRITERIOS!$Y$16:$Y$39))*$J183+$Z183)/$G183,0)*$G183,
((_xlfn.XLOOKUP($A183,'[1]DATOS PBI Artículos'!$A:$A,'[1]DATOS PBI Artículos'!$AN:$AN))/(_xlfn.XLOOKUP($AJ$1,[1]CRITERIOS!$S$16:$S$39,[1]CRITERIOS!$Y$16:$Y$39))*$J183+$Z183)))</f>
        <v/>
      </c>
      <c r="AK183" s="39" t="str">
        <f>IF($R183="MTO","",
IF($H183=0,ROUNDUP(((_xlfn.XLOOKUP($A183,'[1]DATOS PBI Artículos'!$A:$A,'[1]DATOS PBI Artículos'!$AO:$AO))/(_xlfn.XLOOKUP($AL$1,[1]CRITERIOS!$S$16:$S$39,[1]CRITERIOS!$Y$16:$Y$39))*$J183+$Z183)/$G183,0)*$G183,
((_xlfn.XLOOKUP($A183,'[1]DATOS PBI Artículos'!$A:$A,'[1]DATOS PBI Artículos'!$AO:$AO))/(_xlfn.XLOOKUP($AL$1,[1]CRITERIOS!$S$16:$S$39,[1]CRITERIOS!$Y$16:$Y$39))*$J183+$Z183)))</f>
        <v/>
      </c>
    </row>
    <row r="184" spans="1:37" ht="25.8" x14ac:dyDescent="0.5">
      <c r="A184" s="32">
        <v>453759</v>
      </c>
      <c r="B184" s="33">
        <f>_xlfn.XLOOKUP($A184,'[1]DATOS PBI Artículos'!A:A,'[1]DATOS PBI Artículos'!B:B)</f>
        <v>0</v>
      </c>
      <c r="C184" s="33" t="str">
        <f>_xlfn.XLOOKUP($A184,'[1]DATOS PBI Artículos'!A:A,'[1]DATOS PBI Artículos'!C:C)</f>
        <v>UA01</v>
      </c>
      <c r="D184" s="33">
        <f>_xlfn.XLOOKUP(A184,'[1]DATOS PBI Artículos'!A:A,'[1]DATOS PBI Artículos'!T:T)</f>
        <v>1</v>
      </c>
      <c r="E184" s="34">
        <f>IF(_xlfn.XLOOKUP($A184,'[1]DATOS PBI Artículos'!A:A,'[1]DATOS PBI Artículos'!AK:AK)="",_xlfn.XLOOKUP($A184,'[1]DATOS PBI Artículos'!A:A,'[1]DATOS PBI Artículos'!AJ:AJ),_xlfn.XLOOKUP($A184,'[1]DATOS PBI Artículos'!A:A,'[1]DATOS PBI Artículos'!AK:AK))</f>
        <v>20000</v>
      </c>
      <c r="F184" s="35">
        <f>_xlfn.XLOOKUP($A184,'[1]DATOS PBI Artículos'!A:A,'[1]DATOS PBI Artículos'!AP:AP)</f>
        <v>75</v>
      </c>
      <c r="G184" s="34">
        <f>_xlfn.XLOOKUP($A184,'[1]DATOS PBI Artículos'!A:A,'[1]DATOS PBI Artículos'!AR:AR)</f>
        <v>20000</v>
      </c>
      <c r="H184" s="34">
        <f>_xlfn.XLOOKUP($A184,'[1]DATOS PBI Artículos'!A:A,'[1]DATOS PBI Artículos'!AT:AT)</f>
        <v>0</v>
      </c>
      <c r="I184" s="34">
        <f>_xlfn.XLOOKUP($A184,'[1]DATOS PBI Artículos'!A:A,'[1]DATOS PBI Artículos'!AS:AS)</f>
        <v>20000</v>
      </c>
      <c r="J184" s="35">
        <f>IF(COUNTIF([1]CRITERIOS!$F$179:$F$199,$A184)&gt;=1,
 IF(O184&lt;&gt;"",
    (O184/_xlfn.XLOOKUP(CONCATENATE(A184,L184),[1]MÁQUINAS!A:A,[1]MÁQUINAS!D:D))/24,
    (N184/_xlfn.XLOOKUP(CONCATENATE(A184,L184),[1]MÁQUINAS!A:A,[1]MÁQUINAS!D:D))/24),
  _xlfn.XLOOKUP($A184,'[1]DATOS PBI Artículos'!A:A,'[1]DATOS PBI Artículos'!AU:AU))</f>
        <v>12</v>
      </c>
      <c r="K184" s="36">
        <f>_xlfn.XLOOKUP($A184,'[1]DATOS PBI Artículos'!A:A,'[1]DATOS PBI Artículos'!AV:AV)</f>
        <v>0</v>
      </c>
      <c r="L184" s="33">
        <f>_xlfn.XLOOKUP(A184,[1]MÁQUINAS!B:B,[1]MÁQUINAS!C:C)</f>
        <v>406</v>
      </c>
      <c r="M184" s="34">
        <f t="array" ref="M184">_xlfn.XLOOKUP(A184,'[1]DATOS PBI Artículos'!A:A,'[1]DATOS PBI Artículos'!AX:$AX)</f>
        <v>23530.636198441844</v>
      </c>
      <c r="N184" s="37">
        <f>IF(I184="DV",
E184,
IF(COUNTIF([1]CRITERIOS!$I$179:$I$199,$A184)&gt;=1,
_xlfn.XLOOKUP($A184,[1]CRITERIOS!$I$179:$I$199,[1]CRITERIOS!$J$179:$J$199),
IF(COUNTIF([1]CRITERIOS!$L$179:$L$199,$A184)&gt;=1,
_xlfn.CEILING.MATH(IF($M184&gt;$E184,
$E184,
IF($M184&lt;$E184/ROUNDDOWN([1]CRITERIOS!$M$16/_xlfn.XLOOKUP($C184,[1]CRITERIOS!$K$25:$K$42,[1]CRITERIOS!$M$25:$M$42),
1),
E184/ROUNDDOWN([1]CRITERIOS!$M$16/_xlfn.XLOOKUP($C184,[1]CRITERIOS!$K$25:$K$42,[1]CRITERIOS!$M$25:$M$42),
1),
$M184)),
_xlfn.XLOOKUP($A184,[1]CRITERIOS!$L$179:$L$200,[1]CRITERIOS!$M$179:$M$200)),
_xlfn.CEILING.MATH(IF($M184&gt;$E184,
$E184,
IF($M184&lt;$E184/ROUNDDOWN([1]CRITERIOS!$M$16/_xlfn.XLOOKUP($C184,[1]CRITERIOS!$K$25:$K$42,[1]CRITERIOS!$M$25:$M$42),
1),
E184/ROUNDDOWN([1]CRITERIOS!$M$16/_xlfn.XLOOKUP($C184,[1]CRITERIOS!$K$25:$K$42,[1]CRITERIOS!$M$25:$M$42),
1),
$M184)),_xlfn.XLOOKUP(A184,'[1]DATOS PBI Artículos'!A:A,'[1]DATOS PBI Artículos'!Z:Z
)))))</f>
        <v>20000</v>
      </c>
      <c r="Q184" s="38">
        <f>IF(AND(O184="",N184=0),
0,
   IF(COUNTIF([1]CRITERIOS!$F$179:$F$199,$A184)&gt;=1,
   1,
   IF(R184="MTO",
      $D184,
      ROUNDUP(
                    IF(($E184-SUMIF('[1]DATOS PBI Artículos'!A:A,A184,'[1]DATOS PBI Artículos'!X:X)+($V184-_xlfn.XLOOKUP(A184,'[1]DATOS PBI Artículos'!A:A,'[1]DATOS PBI Artículos'!W:W)))&lt;0,
                    0,
                    IF(($E184-SUMIF('[1]DATOS PBI Artículos'!A:A,A184,'[1]DATOS PBI Artículos'!X:X)+$V184-_xlfn.XLOOKUP($A184,'[1]DATOS PBI Artículos'!A:A,'[1]DATOS PBI Artículos'!W:W))/IF($O184="",$N184,$O184)&gt;ROUNDUP([1]CRITERIOS!$M$16/(IF(COUNTIF([1]CRITERIOS!$BG$11:$BG$201,L184)&gt;=1,_xlfn.XLOOKUP($C184,[1]CRITERIOS!$K$25:$K$42,[1]CRITERIOS!$M$25:$M$42),_xlfn.XLOOKUP($C184,[1]CRITERIOS!$K$25:$K$42,[1]CRITERIOS!$M$25:$M$42))),0),
                    ROUNDUP([1]CRITERIOS!$M$16/(IF(COUNTIF([1]CRITERIOS!$BG$11:$BG$201,$L184)&gt;=1,_xlfn.XLOOKUP($C184,[1]CRITERIOS!$K$25:$K$42,[1]CRITERIOS!$M$25:$M$42),_xlfn.XLOOKUP($C184,[1]CRITERIOS!$K$25:$K$42,[1]CRITERIOS!$M$25:$M$42))),0),
                    (E184+V184-SUMIF('[1]DATOS PBI Artículos'!A:A,A184,'[1]DATOS PBI Artículos'!X:X)-_xlfn.XLOOKUP(A184,'[1]DATOS PBI Artículos'!A:A,'[1]DATOS PBI Artículos'!W:W))/IF($O184="",$N184,$O184))),0))))</f>
        <v>1</v>
      </c>
      <c r="R184" s="33" t="str">
        <f>IF(U184&lt;&gt;"",U184,IF(F184="DV","MTO",IF(N184=0,"MTO",_xlfn.XLOOKUP(CONCATENATE(S184,T184),[1]CRITERIOS!$K$160:$K$168,[1]CRITERIOS!$N$160:$N$168))))</f>
        <v>MTO</v>
      </c>
      <c r="S184" s="33" t="str">
        <f>IF(G184="DV","MTO",IF(N184=0,"MTO",IF(OR(AND(N184=0,O184=""),IF(O184="",G184/N184,G184/O184)&gt;[1]CRITERIOS!$G$163),"MTO",IF(IF(O184="",G184/N184,G184/O184)&lt;[1]CRITERIOS!$H$161,"MTS","MTOS"))))</f>
        <v>MTO</v>
      </c>
      <c r="T184" s="33" t="str">
        <f>IF(F184="DV","MTO",IF(OR(AND($N184=0,O184=""),$F184/$J184&gt;[1]CRITERIOS!$G$170,$F184="DV"),"MTO",IF($F184/$J184&lt;[1]CRITERIOS!$H$168,"MTS","MTOS")))</f>
        <v>MTO</v>
      </c>
      <c r="V184" s="34" t="str">
        <f t="shared" si="10"/>
        <v/>
      </c>
      <c r="X184" s="34">
        <f t="shared" si="8"/>
        <v>0</v>
      </c>
      <c r="Y184" s="34">
        <f t="shared" si="9"/>
        <v>0</v>
      </c>
      <c r="Z184" s="34">
        <f>IF($R184="MTO",
0,
($H184+$K184*($E184/[1]CRITERIOS!$M$16))/[1]CRITERIOS!$X$48)</f>
        <v>0</v>
      </c>
      <c r="AA184" s="34" t="e">
        <f>ROUNDUP(($Y184/_xlfn.XLOOKUP($A184,'[1]DATOS PBI Artículos'!$A$4:$A$4,'[1]DATOS PBI Artículos'!$Z$4:$Z$4))/_xlfn.XLOOKUP(_xlfn.XLOOKUP($A184,'[1]DATOS PBI Artículos'!$A$4:$A$4,'[1]DATOS PBI Artículos'!$Y$4:$Y$4),[1]CRITERIOS!$P$79:$P$123,[1]CRITERIOS!$S$79:$S$123,),0)</f>
        <v>#N/A</v>
      </c>
      <c r="AB184" s="33" t="e">
        <f t="array" ref="AB184">IF((E184+V184-_xlfn.XLOOKUP(A184,'[1]DATOS PBI Artículos'!$A$4:$A$4,'[1]DATOS PBI Artículos'!$W$4:$W$4))/N184&gt;ROUNDUP([1]CRITERIOS!$M$16/(IF(COUNTIF([1]CRITERIOS!$BG$11:$BG$201,L184)&gt;=1,_xlfn.XLOOKUP(ARTÍCULOS!L184,[1]CRITERIOS!$BG$11:$BG$201,[1]CRITERIOS!$BJ$11:$BJ$201),_xlfn.XLOOKUP(ARTÍCULOS!C184,[1]CRITERIOS!$K$25:$K$42,[1]CRITERIOS!$M$25:$M$42))),0),ROUNDUP([1]CRITERIOS!$M$16/(IF(COUNTIF([1]CRITERIOS!$BG$11:$BG$201,L184)&gt;=1,_xlfn.XLOOKUP(ARTÍCULOS!L184,[1]CRITERIOS!$BG$11:$BG$201:#REF!,[1]CRITERIOS!$BJ$11:$BJ$201),_xlfn.XLOOKUP(ARTÍCULOS!C184,[1]CRITERIOS!$K$25:$K$42,[1]CRITERIOS!$M$25:$M$42))),0),(E184+V184-_xlfn.XLOOKUP(A184,'[1]DATOS PBI Artículos'!$A$4:$A$4,'[1]DATOS PBI Artículos'!$W$4:$W$4))/N184)</f>
        <v>#VALUE!</v>
      </c>
      <c r="AC184" s="33" t="e">
        <f>IF(N184=0,"",(ROUNDUP((N184/2)/(_xlfn.XLOOKUP(A184,'[1]DATOS PBI Artículos'!$A$4:$A$4,'[1]DATOS PBI Artículos'!$Z$4:$Z$4)*_xlfn.XLOOKUP(_xlfn.XLOOKUP(A184,'[1]DATOS PBI Artículos'!$A$4:$A$4,'[1]DATOS PBI Artículos'!$Y$4:$Y$4),[1]CRITERIOS!$P$79:$P$123,[1]CRITERIOS!$S$79:$S$123)),0)*[1]CRITERIOS!$M$80*([1]CRITERIOS!$M$110/[1]CRITERIOS!$M$86)+(_xlfn.XLOOKUP(A184,'[1]DATOS PBI Artículos'!$A$4:$A$4,'[1]DATOS PBI Artículos'!$AA$4:$AA$4)*([1]CRITERIOS!$M$95+[1]CRITERIOS!$M$98)))/N184)</f>
        <v>#N/A</v>
      </c>
      <c r="AD184" s="33" t="e">
        <f>IF(N184=0,"",(ROUNDUP((N184/2)/(_xlfn.XLOOKUP(A184,'[1]DATOS PBI Artículos'!$A$4:$A$4,'[1]DATOS PBI Artículos'!$Z$4:$Z$4)*_xlfn.XLOOKUP(_xlfn.XLOOKUP(A184,'[1]DATOS PBI Artículos'!$A$4:$A$4,'[1]DATOS PBI Artículos'!$Y$4:$Y$4),[1]CRITERIOS!$P$79:$P$123,[1]CRITERIOS!$S$79:$S$123)),0)*[1]CRITERIOS!$M$80*([1]CRITERIOS!$M$89*[1]CRITERIOS!$M$92)+((_xlfn.XLOOKUP(A184,'[1]DATOS PBI Artículos'!$A$4:$A$4,'[1]DATOS PBI Artículos'!$AA$4:$AA$4)/2)*([1]CRITERIOS!$M$95+[1]CRITERIOS!$M$98)))/N184)</f>
        <v>#N/A</v>
      </c>
      <c r="AE184" s="39" t="str">
        <f>IF($R184="MTO","",
IF($H184=0,ROUNDUP(((_xlfn.XLOOKUP($A184,'[1]DATOS PBI Artículos'!$A:$A,'[1]DATOS PBI Artículos'!$AL:$AL))/(_xlfn.XLOOKUP($AF$1,[1]CRITERIOS!$S$16:$S$39,[1]CRITERIOS!$Y$16:$Y$39))*$J184+$Z184)/$G184,0)*$G184,
((_xlfn.XLOOKUP($A184,'[1]DATOS PBI Artículos'!$A:$A,'[1]DATOS PBI Artículos'!$AL:$AL))/(_xlfn.XLOOKUP($AF$1,[1]CRITERIOS!$S$16:$S$39,[1]CRITERIOS!$Y$16:$Y$39))*$J184+$Z184)))</f>
        <v/>
      </c>
      <c r="AG184" s="39" t="str">
        <f>IF($R184="MTO","",
IF($H184=0,ROUNDUP(((_xlfn.XLOOKUP($A184,'[1]DATOS PBI Artículos'!$A:$A,'[1]DATOS PBI Artículos'!$AM:$AM))/(_xlfn.XLOOKUP($AH$1,[1]CRITERIOS!$S$16:$S$39,[1]CRITERIOS!$Y$16:$Y$39))*$J184+$Z184)/$G184,0)*$G184,
((_xlfn.XLOOKUP($A184,'[1]DATOS PBI Artículos'!$A:$A,'[1]DATOS PBI Artículos'!$AM:$AM))/(_xlfn.XLOOKUP($AH$1,[1]CRITERIOS!$S$16:$S$39,[1]CRITERIOS!$Y$16:$Y$39))*$J184+$Z184)))</f>
        <v/>
      </c>
      <c r="AI184" s="39" t="str">
        <f>IF($R184="MTO","",
IF($H184=0,ROUNDUP(((_xlfn.XLOOKUP($A184,'[1]DATOS PBI Artículos'!$A:$A,'[1]DATOS PBI Artículos'!$AN:$AN))/(_xlfn.XLOOKUP($AJ$1,[1]CRITERIOS!$S$16:$S$39,[1]CRITERIOS!$Y$16:$Y$39))*$J184+$Z184)/$G184,0)*$G184,
((_xlfn.XLOOKUP($A184,'[1]DATOS PBI Artículos'!$A:$A,'[1]DATOS PBI Artículos'!$AN:$AN))/(_xlfn.XLOOKUP($AJ$1,[1]CRITERIOS!$S$16:$S$39,[1]CRITERIOS!$Y$16:$Y$39))*$J184+$Z184)))</f>
        <v/>
      </c>
      <c r="AK184" s="39" t="str">
        <f>IF($R184="MTO","",
IF($H184=0,ROUNDUP(((_xlfn.XLOOKUP($A184,'[1]DATOS PBI Artículos'!$A:$A,'[1]DATOS PBI Artículos'!$AO:$AO))/(_xlfn.XLOOKUP($AL$1,[1]CRITERIOS!$S$16:$S$39,[1]CRITERIOS!$Y$16:$Y$39))*$J184+$Z184)/$G184,0)*$G184,
((_xlfn.XLOOKUP($A184,'[1]DATOS PBI Artículos'!$A:$A,'[1]DATOS PBI Artículos'!$AO:$AO))/(_xlfn.XLOOKUP($AL$1,[1]CRITERIOS!$S$16:$S$39,[1]CRITERIOS!$Y$16:$Y$39))*$J184+$Z184)))</f>
        <v/>
      </c>
    </row>
    <row r="185" spans="1:37" ht="25.8" x14ac:dyDescent="0.5">
      <c r="A185" s="32">
        <v>422443</v>
      </c>
      <c r="B185" s="33">
        <f>_xlfn.XLOOKUP($A185,'[1]DATOS PBI Artículos'!A:A,'[1]DATOS PBI Artículos'!B:B)</f>
        <v>0</v>
      </c>
      <c r="C185" s="33" t="str">
        <f>_xlfn.XLOOKUP($A185,'[1]DATOS PBI Artículos'!A:A,'[1]DATOS PBI Artículos'!C:C)</f>
        <v>UA01</v>
      </c>
      <c r="D185" s="33">
        <f>_xlfn.XLOOKUP(A185,'[1]DATOS PBI Artículos'!A:A,'[1]DATOS PBI Artículos'!T:T)</f>
        <v>1</v>
      </c>
      <c r="E185" s="34">
        <f>IF(_xlfn.XLOOKUP($A185,'[1]DATOS PBI Artículos'!A:A,'[1]DATOS PBI Artículos'!AK:AK)="",_xlfn.XLOOKUP($A185,'[1]DATOS PBI Artículos'!A:A,'[1]DATOS PBI Artículos'!AJ:AJ),_xlfn.XLOOKUP($A185,'[1]DATOS PBI Artículos'!A:A,'[1]DATOS PBI Artículos'!AK:AK))</f>
        <v>20000</v>
      </c>
      <c r="F185" s="35">
        <f>_xlfn.XLOOKUP($A185,'[1]DATOS PBI Artículos'!A:A,'[1]DATOS PBI Artículos'!AP:AP)</f>
        <v>75</v>
      </c>
      <c r="G185" s="34">
        <f>_xlfn.XLOOKUP($A185,'[1]DATOS PBI Artículos'!A:A,'[1]DATOS PBI Artículos'!AR:AR)</f>
        <v>20000</v>
      </c>
      <c r="H185" s="34">
        <f>_xlfn.XLOOKUP($A185,'[1]DATOS PBI Artículos'!A:A,'[1]DATOS PBI Artículos'!AT:AT)</f>
        <v>0</v>
      </c>
      <c r="I185" s="34">
        <f>_xlfn.XLOOKUP($A185,'[1]DATOS PBI Artículos'!A:A,'[1]DATOS PBI Artículos'!AS:AS)</f>
        <v>20000</v>
      </c>
      <c r="J185" s="35">
        <f>IF(COUNTIF([1]CRITERIOS!$F$179:$F$199,$A185)&gt;=1,
 IF(O185&lt;&gt;"",
    (O185/_xlfn.XLOOKUP(CONCATENATE(A185,L185),[1]MÁQUINAS!A:A,[1]MÁQUINAS!D:D))/24,
    (N185/_xlfn.XLOOKUP(CONCATENATE(A185,L185),[1]MÁQUINAS!A:A,[1]MÁQUINAS!D:D))/24),
  _xlfn.XLOOKUP($A185,'[1]DATOS PBI Artículos'!A:A,'[1]DATOS PBI Artículos'!AU:AU))</f>
        <v>10</v>
      </c>
      <c r="K185" s="36">
        <f>_xlfn.XLOOKUP($A185,'[1]DATOS PBI Artículos'!A:A,'[1]DATOS PBI Artículos'!AV:AV)</f>
        <v>0</v>
      </c>
      <c r="L185" s="33">
        <f>_xlfn.XLOOKUP(A185,[1]MÁQUINAS!B:B,[1]MÁQUINAS!C:C)</f>
        <v>523</v>
      </c>
      <c r="M185" s="34">
        <f t="array" ref="M185">_xlfn.XLOOKUP(A185,'[1]DATOS PBI Artículos'!A:A,'[1]DATOS PBI Artículos'!AX:$AX)</f>
        <v>20113.977256459391</v>
      </c>
      <c r="N185" s="37">
        <f>IF(I185="DV",
E185,
IF(COUNTIF([1]CRITERIOS!$I$179:$I$199,$A185)&gt;=1,
_xlfn.XLOOKUP($A185,[1]CRITERIOS!$I$179:$I$199,[1]CRITERIOS!$J$179:$J$199),
IF(COUNTIF([1]CRITERIOS!$L$179:$L$199,$A185)&gt;=1,
_xlfn.CEILING.MATH(IF($M185&gt;$E185,
$E185,
IF($M185&lt;$E185/ROUNDDOWN([1]CRITERIOS!$M$16/_xlfn.XLOOKUP($C185,[1]CRITERIOS!$K$25:$K$42,[1]CRITERIOS!$M$25:$M$42),
1),
E185/ROUNDDOWN([1]CRITERIOS!$M$16/_xlfn.XLOOKUP($C185,[1]CRITERIOS!$K$25:$K$42,[1]CRITERIOS!$M$25:$M$42),
1),
$M185)),
_xlfn.XLOOKUP($A185,[1]CRITERIOS!$L$179:$L$200,[1]CRITERIOS!$M$179:$M$200)),
_xlfn.CEILING.MATH(IF($M185&gt;$E185,
$E185,
IF($M185&lt;$E185/ROUNDDOWN([1]CRITERIOS!$M$16/_xlfn.XLOOKUP($C185,[1]CRITERIOS!$K$25:$K$42,[1]CRITERIOS!$M$25:$M$42),
1),
E185/ROUNDDOWN([1]CRITERIOS!$M$16/_xlfn.XLOOKUP($C185,[1]CRITERIOS!$K$25:$K$42,[1]CRITERIOS!$M$25:$M$42),
1),
$M185)),_xlfn.XLOOKUP(A185,'[1]DATOS PBI Artículos'!A:A,'[1]DATOS PBI Artículos'!Z:Z
)))))</f>
        <v>20000</v>
      </c>
      <c r="Q185" s="38">
        <f>IF(AND(O185="",N185=0),
0,
   IF(COUNTIF([1]CRITERIOS!$F$179:$F$199,$A185)&gt;=1,
   1,
   IF(R185="MTO",
      $D185,
      ROUNDUP(
                    IF(($E185-SUMIF('[1]DATOS PBI Artículos'!A:A,A185,'[1]DATOS PBI Artículos'!X:X)+($V185-_xlfn.XLOOKUP(A185,'[1]DATOS PBI Artículos'!A:A,'[1]DATOS PBI Artículos'!W:W)))&lt;0,
                    0,
                    IF(($E185-SUMIF('[1]DATOS PBI Artículos'!A:A,A185,'[1]DATOS PBI Artículos'!X:X)+$V185-_xlfn.XLOOKUP($A185,'[1]DATOS PBI Artículos'!A:A,'[1]DATOS PBI Artículos'!W:W))/IF($O185="",$N185,$O185)&gt;ROUNDUP([1]CRITERIOS!$M$16/(IF(COUNTIF([1]CRITERIOS!$BG$11:$BG$201,L185)&gt;=1,_xlfn.XLOOKUP($C185,[1]CRITERIOS!$K$25:$K$42,[1]CRITERIOS!$M$25:$M$42),_xlfn.XLOOKUP($C185,[1]CRITERIOS!$K$25:$K$42,[1]CRITERIOS!$M$25:$M$42))),0),
                    ROUNDUP([1]CRITERIOS!$M$16/(IF(COUNTIF([1]CRITERIOS!$BG$11:$BG$201,$L185)&gt;=1,_xlfn.XLOOKUP($C185,[1]CRITERIOS!$K$25:$K$42,[1]CRITERIOS!$M$25:$M$42),_xlfn.XLOOKUP($C185,[1]CRITERIOS!$K$25:$K$42,[1]CRITERIOS!$M$25:$M$42))),0),
                    (E185+V185-SUMIF('[1]DATOS PBI Artículos'!A:A,A185,'[1]DATOS PBI Artículos'!X:X)-_xlfn.XLOOKUP(A185,'[1]DATOS PBI Artículos'!A:A,'[1]DATOS PBI Artículos'!W:W))/IF($O185="",$N185,$O185))),0))))</f>
        <v>1</v>
      </c>
      <c r="R185" s="33" t="str">
        <f>IF(U185&lt;&gt;"",U185,IF(F185="DV","MTO",IF(N185=0,"MTO",_xlfn.XLOOKUP(CONCATENATE(S185,T185),[1]CRITERIOS!$K$160:$K$168,[1]CRITERIOS!$N$160:$N$168))))</f>
        <v>MTO</v>
      </c>
      <c r="S185" s="33" t="str">
        <f>IF(G185="DV","MTO",IF(N185=0,"MTO",IF(OR(AND(N185=0,O185=""),IF(O185="",G185/N185,G185/O185)&gt;[1]CRITERIOS!$G$163),"MTO",IF(IF(O185="",G185/N185,G185/O185)&lt;[1]CRITERIOS!$H$161,"MTS","MTOS"))))</f>
        <v>MTO</v>
      </c>
      <c r="T185" s="33" t="str">
        <f>IF(F185="DV","MTO",IF(OR(AND($N185=0,O185=""),$F185/$J185&gt;[1]CRITERIOS!$G$170,$F185="DV"),"MTO",IF($F185/$J185&lt;[1]CRITERIOS!$H$168,"MTS","MTOS")))</f>
        <v>MTO</v>
      </c>
      <c r="V185" s="34" t="str">
        <f t="shared" si="10"/>
        <v/>
      </c>
      <c r="X185" s="34">
        <f t="shared" si="8"/>
        <v>0</v>
      </c>
      <c r="Y185" s="34">
        <f t="shared" si="9"/>
        <v>0</v>
      </c>
      <c r="Z185" s="34">
        <f>IF($R185="MTO",
0,
($H185+$K185*($E185/[1]CRITERIOS!$M$16))/[1]CRITERIOS!$X$48)</f>
        <v>0</v>
      </c>
      <c r="AA185" s="34" t="e">
        <f>ROUNDUP(($Y185/_xlfn.XLOOKUP($A185,'[1]DATOS PBI Artículos'!$A$4:$A$4,'[1]DATOS PBI Artículos'!$Z$4:$Z$4))/_xlfn.XLOOKUP(_xlfn.XLOOKUP($A185,'[1]DATOS PBI Artículos'!$A$4:$A$4,'[1]DATOS PBI Artículos'!$Y$4:$Y$4),[1]CRITERIOS!$P$79:$P$123,[1]CRITERIOS!$S$79:$S$123,),0)</f>
        <v>#N/A</v>
      </c>
      <c r="AB185" s="33" t="e">
        <f t="array" ref="AB185">IF((E185+V185-_xlfn.XLOOKUP(A185,'[1]DATOS PBI Artículos'!$A$4:$A$4,'[1]DATOS PBI Artículos'!$W$4:$W$4))/N185&gt;ROUNDUP([1]CRITERIOS!$M$16/(IF(COUNTIF([1]CRITERIOS!$BG$11:$BG$201,L185)&gt;=1,_xlfn.XLOOKUP(ARTÍCULOS!L185,[1]CRITERIOS!$BG$11:$BG$201,[1]CRITERIOS!$BJ$11:$BJ$201),_xlfn.XLOOKUP(ARTÍCULOS!C185,[1]CRITERIOS!$K$25:$K$42,[1]CRITERIOS!$M$25:$M$42))),0),ROUNDUP([1]CRITERIOS!$M$16/(IF(COUNTIF([1]CRITERIOS!$BG$11:$BG$201,L185)&gt;=1,_xlfn.XLOOKUP(ARTÍCULOS!L185,[1]CRITERIOS!$BG$11:$BG$201:#REF!,[1]CRITERIOS!$BJ$11:$BJ$201),_xlfn.XLOOKUP(ARTÍCULOS!C185,[1]CRITERIOS!$K$25:$K$42,[1]CRITERIOS!$M$25:$M$42))),0),(E185+V185-_xlfn.XLOOKUP(A185,'[1]DATOS PBI Artículos'!$A$4:$A$4,'[1]DATOS PBI Artículos'!$W$4:$W$4))/N185)</f>
        <v>#VALUE!</v>
      </c>
      <c r="AC185" s="33" t="e">
        <f>IF(N185=0,"",(ROUNDUP((N185/2)/(_xlfn.XLOOKUP(A185,'[1]DATOS PBI Artículos'!$A$4:$A$4,'[1]DATOS PBI Artículos'!$Z$4:$Z$4)*_xlfn.XLOOKUP(_xlfn.XLOOKUP(A185,'[1]DATOS PBI Artículos'!$A$4:$A$4,'[1]DATOS PBI Artículos'!$Y$4:$Y$4),[1]CRITERIOS!$P$79:$P$123,[1]CRITERIOS!$S$79:$S$123)),0)*[1]CRITERIOS!$M$80*([1]CRITERIOS!$M$110/[1]CRITERIOS!$M$86)+(_xlfn.XLOOKUP(A185,'[1]DATOS PBI Artículos'!$A$4:$A$4,'[1]DATOS PBI Artículos'!$AA$4:$AA$4)*([1]CRITERIOS!$M$95+[1]CRITERIOS!$M$98)))/N185)</f>
        <v>#N/A</v>
      </c>
      <c r="AD185" s="33" t="e">
        <f>IF(N185=0,"",(ROUNDUP((N185/2)/(_xlfn.XLOOKUP(A185,'[1]DATOS PBI Artículos'!$A$4:$A$4,'[1]DATOS PBI Artículos'!$Z$4:$Z$4)*_xlfn.XLOOKUP(_xlfn.XLOOKUP(A185,'[1]DATOS PBI Artículos'!$A$4:$A$4,'[1]DATOS PBI Artículos'!$Y$4:$Y$4),[1]CRITERIOS!$P$79:$P$123,[1]CRITERIOS!$S$79:$S$123)),0)*[1]CRITERIOS!$M$80*([1]CRITERIOS!$M$89*[1]CRITERIOS!$M$92)+((_xlfn.XLOOKUP(A185,'[1]DATOS PBI Artículos'!$A$4:$A$4,'[1]DATOS PBI Artículos'!$AA$4:$AA$4)/2)*([1]CRITERIOS!$M$95+[1]CRITERIOS!$M$98)))/N185)</f>
        <v>#N/A</v>
      </c>
      <c r="AE185" s="39" t="str">
        <f>IF($R185="MTO","",
IF($H185=0,ROUNDUP(((_xlfn.XLOOKUP($A185,'[1]DATOS PBI Artículos'!$A:$A,'[1]DATOS PBI Artículos'!$AL:$AL))/(_xlfn.XLOOKUP($AF$1,[1]CRITERIOS!$S$16:$S$39,[1]CRITERIOS!$Y$16:$Y$39))*$J185+$Z185)/$G185,0)*$G185,
((_xlfn.XLOOKUP($A185,'[1]DATOS PBI Artículos'!$A:$A,'[1]DATOS PBI Artículos'!$AL:$AL))/(_xlfn.XLOOKUP($AF$1,[1]CRITERIOS!$S$16:$S$39,[1]CRITERIOS!$Y$16:$Y$39))*$J185+$Z185)))</f>
        <v/>
      </c>
      <c r="AG185" s="39" t="str">
        <f>IF($R185="MTO","",
IF($H185=0,ROUNDUP(((_xlfn.XLOOKUP($A185,'[1]DATOS PBI Artículos'!$A:$A,'[1]DATOS PBI Artículos'!$AM:$AM))/(_xlfn.XLOOKUP($AH$1,[1]CRITERIOS!$S$16:$S$39,[1]CRITERIOS!$Y$16:$Y$39))*$J185+$Z185)/$G185,0)*$G185,
((_xlfn.XLOOKUP($A185,'[1]DATOS PBI Artículos'!$A:$A,'[1]DATOS PBI Artículos'!$AM:$AM))/(_xlfn.XLOOKUP($AH$1,[1]CRITERIOS!$S$16:$S$39,[1]CRITERIOS!$Y$16:$Y$39))*$J185+$Z185)))</f>
        <v/>
      </c>
      <c r="AI185" s="39" t="str">
        <f>IF($R185="MTO","",
IF($H185=0,ROUNDUP(((_xlfn.XLOOKUP($A185,'[1]DATOS PBI Artículos'!$A:$A,'[1]DATOS PBI Artículos'!$AN:$AN))/(_xlfn.XLOOKUP($AJ$1,[1]CRITERIOS!$S$16:$S$39,[1]CRITERIOS!$Y$16:$Y$39))*$J185+$Z185)/$G185,0)*$G185,
((_xlfn.XLOOKUP($A185,'[1]DATOS PBI Artículos'!$A:$A,'[1]DATOS PBI Artículos'!$AN:$AN))/(_xlfn.XLOOKUP($AJ$1,[1]CRITERIOS!$S$16:$S$39,[1]CRITERIOS!$Y$16:$Y$39))*$J185+$Z185)))</f>
        <v/>
      </c>
      <c r="AK185" s="39" t="str">
        <f>IF($R185="MTO","",
IF($H185=0,ROUNDUP(((_xlfn.XLOOKUP($A185,'[1]DATOS PBI Artículos'!$A:$A,'[1]DATOS PBI Artículos'!$AO:$AO))/(_xlfn.XLOOKUP($AL$1,[1]CRITERIOS!$S$16:$S$39,[1]CRITERIOS!$Y$16:$Y$39))*$J185+$Z185)/$G185,0)*$G185,
((_xlfn.XLOOKUP($A185,'[1]DATOS PBI Artículos'!$A:$A,'[1]DATOS PBI Artículos'!$AO:$AO))/(_xlfn.XLOOKUP($AL$1,[1]CRITERIOS!$S$16:$S$39,[1]CRITERIOS!$Y$16:$Y$39))*$J185+$Z185)))</f>
        <v/>
      </c>
    </row>
    <row r="186" spans="1:37" ht="25.8" x14ac:dyDescent="0.5">
      <c r="A186" s="32" t="s">
        <v>97</v>
      </c>
      <c r="B186" s="33">
        <f>_xlfn.XLOOKUP($A186,'[1]DATOS PBI Artículos'!A:A,'[1]DATOS PBI Artículos'!B:B)</f>
        <v>0</v>
      </c>
      <c r="C186" s="33" t="str">
        <f>_xlfn.XLOOKUP($A186,'[1]DATOS PBI Artículos'!A:A,'[1]DATOS PBI Artículos'!C:C)</f>
        <v>UA01</v>
      </c>
      <c r="D186" s="33">
        <f>_xlfn.XLOOKUP(A186,'[1]DATOS PBI Artículos'!A:A,'[1]DATOS PBI Artículos'!T:T)</f>
        <v>1</v>
      </c>
      <c r="E186" s="34">
        <f>IF(_xlfn.XLOOKUP($A186,'[1]DATOS PBI Artículos'!A:A,'[1]DATOS PBI Artículos'!AK:AK)="",_xlfn.XLOOKUP($A186,'[1]DATOS PBI Artículos'!A:A,'[1]DATOS PBI Artículos'!AJ:AJ),_xlfn.XLOOKUP($A186,'[1]DATOS PBI Artículos'!A:A,'[1]DATOS PBI Artículos'!AK:AK))</f>
        <v>20000</v>
      </c>
      <c r="F186" s="35">
        <f>_xlfn.XLOOKUP($A186,'[1]DATOS PBI Artículos'!A:A,'[1]DATOS PBI Artículos'!AP:AP)</f>
        <v>75</v>
      </c>
      <c r="G186" s="34">
        <f>_xlfn.XLOOKUP($A186,'[1]DATOS PBI Artículos'!A:A,'[1]DATOS PBI Artículos'!AR:AR)</f>
        <v>20000</v>
      </c>
      <c r="H186" s="34">
        <f>_xlfn.XLOOKUP($A186,'[1]DATOS PBI Artículos'!A:A,'[1]DATOS PBI Artículos'!AT:AT)</f>
        <v>0</v>
      </c>
      <c r="I186" s="34">
        <f>_xlfn.XLOOKUP($A186,'[1]DATOS PBI Artículos'!A:A,'[1]DATOS PBI Artículos'!AS:AS)</f>
        <v>20000</v>
      </c>
      <c r="J186" s="35">
        <f>IF(COUNTIF([1]CRITERIOS!$F$179:$F$199,$A186)&gt;=1,
 IF(O186&lt;&gt;"",
    (O186/_xlfn.XLOOKUP(CONCATENATE(A186,L186),[1]MÁQUINAS!A:A,[1]MÁQUINAS!D:D))/24,
    (N186/_xlfn.XLOOKUP(CONCATENATE(A186,L186),[1]MÁQUINAS!A:A,[1]MÁQUINAS!D:D))/24),
  _xlfn.XLOOKUP($A186,'[1]DATOS PBI Artículos'!A:A,'[1]DATOS PBI Artículos'!AU:AU))</f>
        <v>10</v>
      </c>
      <c r="K186" s="36">
        <f>_xlfn.XLOOKUP($A186,'[1]DATOS PBI Artículos'!A:A,'[1]DATOS PBI Artículos'!AV:AV)</f>
        <v>0</v>
      </c>
      <c r="L186" s="33">
        <f>_xlfn.XLOOKUP(A186,[1]MÁQUINAS!B:B,[1]MÁQUINAS!C:C)</f>
        <v>504</v>
      </c>
      <c r="M186" s="34">
        <f t="array" ref="M186">_xlfn.XLOOKUP(A186,'[1]DATOS PBI Artículos'!A:A,'[1]DATOS PBI Artículos'!AX:$AX)</f>
        <v>16551.982101626083</v>
      </c>
      <c r="N186" s="37">
        <f>IF(I186="DV",
E186,
IF(COUNTIF([1]CRITERIOS!$I$179:$I$199,$A186)&gt;=1,
_xlfn.XLOOKUP($A186,[1]CRITERIOS!$I$179:$I$199,[1]CRITERIOS!$J$179:$J$199),
IF(COUNTIF([1]CRITERIOS!$L$179:$L$199,$A186)&gt;=1,
_xlfn.CEILING.MATH(IF($M186&gt;$E186,
$E186,
IF($M186&lt;$E186/ROUNDDOWN([1]CRITERIOS!$M$16/_xlfn.XLOOKUP($C186,[1]CRITERIOS!$K$25:$K$42,[1]CRITERIOS!$M$25:$M$42),
1),
E186/ROUNDDOWN([1]CRITERIOS!$M$16/_xlfn.XLOOKUP($C186,[1]CRITERIOS!$K$25:$K$42,[1]CRITERIOS!$M$25:$M$42),
1),
$M186)),
_xlfn.XLOOKUP($A186,[1]CRITERIOS!$L$179:$L$200,[1]CRITERIOS!$M$179:$M$200)),
_xlfn.CEILING.MATH(IF($M186&gt;$E186,
$E186,
IF($M186&lt;$E186/ROUNDDOWN([1]CRITERIOS!$M$16/_xlfn.XLOOKUP($C186,[1]CRITERIOS!$K$25:$K$42,[1]CRITERIOS!$M$25:$M$42),
1),
E186/ROUNDDOWN([1]CRITERIOS!$M$16/_xlfn.XLOOKUP($C186,[1]CRITERIOS!$K$25:$K$42,[1]CRITERIOS!$M$25:$M$42),
1),
$M186)),_xlfn.XLOOKUP(A186,'[1]DATOS PBI Artículos'!A:A,'[1]DATOS PBI Artículos'!Z:Z
)))))</f>
        <v>17500</v>
      </c>
      <c r="Q186" s="38">
        <f>IF(AND(O186="",N186=0),
0,
   IF(COUNTIF([1]CRITERIOS!$F$179:$F$199,$A186)&gt;=1,
   1,
   IF(R186="MTO",
      $D186,
      ROUNDUP(
                    IF(($E186-SUMIF('[1]DATOS PBI Artículos'!A:A,A186,'[1]DATOS PBI Artículos'!X:X)+($V186-_xlfn.XLOOKUP(A186,'[1]DATOS PBI Artículos'!A:A,'[1]DATOS PBI Artículos'!W:W)))&lt;0,
                    0,
                    IF(($E186-SUMIF('[1]DATOS PBI Artículos'!A:A,A186,'[1]DATOS PBI Artículos'!X:X)+$V186-_xlfn.XLOOKUP($A186,'[1]DATOS PBI Artículos'!A:A,'[1]DATOS PBI Artículos'!W:W))/IF($O186="",$N186,$O186)&gt;ROUNDUP([1]CRITERIOS!$M$16/(IF(COUNTIF([1]CRITERIOS!$BG$11:$BG$201,L186)&gt;=1,_xlfn.XLOOKUP($C186,[1]CRITERIOS!$K$25:$K$42,[1]CRITERIOS!$M$25:$M$42),_xlfn.XLOOKUP($C186,[1]CRITERIOS!$K$25:$K$42,[1]CRITERIOS!$M$25:$M$42))),0),
                    ROUNDUP([1]CRITERIOS!$M$16/(IF(COUNTIF([1]CRITERIOS!$BG$11:$BG$201,$L186)&gt;=1,_xlfn.XLOOKUP($C186,[1]CRITERIOS!$K$25:$K$42,[1]CRITERIOS!$M$25:$M$42),_xlfn.XLOOKUP($C186,[1]CRITERIOS!$K$25:$K$42,[1]CRITERIOS!$M$25:$M$42))),0),
                    (E186+V186-SUMIF('[1]DATOS PBI Artículos'!A:A,A186,'[1]DATOS PBI Artículos'!X:X)-_xlfn.XLOOKUP(A186,'[1]DATOS PBI Artículos'!A:A,'[1]DATOS PBI Artículos'!W:W))/IF($O186="",$N186,$O186))),0))))</f>
        <v>1</v>
      </c>
      <c r="R186" s="33" t="str">
        <f>IF(U186&lt;&gt;"",U186,IF(F186="DV","MTO",IF(N186=0,"MTO",_xlfn.XLOOKUP(CONCATENATE(S186,T186),[1]CRITERIOS!$K$160:$K$168,[1]CRITERIOS!$N$160:$N$168))))</f>
        <v>MTO</v>
      </c>
      <c r="S186" s="33" t="str">
        <f>IF(G186="DV","MTO",IF(N186=0,"MTO",IF(OR(AND(N186=0,O186=""),IF(O186="",G186/N186,G186/O186)&gt;[1]CRITERIOS!$G$163),"MTO",IF(IF(O186="",G186/N186,G186/O186)&lt;[1]CRITERIOS!$H$161,"MTS","MTOS"))))</f>
        <v>MTO</v>
      </c>
      <c r="T186" s="33" t="str">
        <f>IF(F186="DV","MTO",IF(OR(AND($N186=0,O186=""),$F186/$J186&gt;[1]CRITERIOS!$G$170,$F186="DV"),"MTO",IF($F186/$J186&lt;[1]CRITERIOS!$H$168,"MTS","MTOS")))</f>
        <v>MTO</v>
      </c>
      <c r="V186" s="34" t="str">
        <f t="shared" si="10"/>
        <v/>
      </c>
      <c r="X186" s="34">
        <f t="shared" si="8"/>
        <v>0</v>
      </c>
      <c r="Y186" s="34">
        <f t="shared" si="9"/>
        <v>0</v>
      </c>
      <c r="Z186" s="34">
        <f>IF($R186="MTO",
0,
($H186+$K186*($E186/[1]CRITERIOS!$M$16))/[1]CRITERIOS!$X$48)</f>
        <v>0</v>
      </c>
      <c r="AA186" s="34" t="e">
        <f>ROUNDUP(($Y186/_xlfn.XLOOKUP($A186,'[1]DATOS PBI Artículos'!$A$4:$A$4,'[1]DATOS PBI Artículos'!$Z$4:$Z$4))/_xlfn.XLOOKUP(_xlfn.XLOOKUP($A186,'[1]DATOS PBI Artículos'!$A$4:$A$4,'[1]DATOS PBI Artículos'!$Y$4:$Y$4),[1]CRITERIOS!$P$79:$P$123,[1]CRITERIOS!$S$79:$S$123,),0)</f>
        <v>#N/A</v>
      </c>
      <c r="AB186" s="33" t="e">
        <f t="array" ref="AB186">IF((E186+V186-_xlfn.XLOOKUP(A186,'[1]DATOS PBI Artículos'!$A$4:$A$4,'[1]DATOS PBI Artículos'!$W$4:$W$4))/N186&gt;ROUNDUP([1]CRITERIOS!$M$16/(IF(COUNTIF([1]CRITERIOS!$BG$11:$BG$201,L186)&gt;=1,_xlfn.XLOOKUP(ARTÍCULOS!L186,[1]CRITERIOS!$BG$11:$BG$201,[1]CRITERIOS!$BJ$11:$BJ$201),_xlfn.XLOOKUP(ARTÍCULOS!C186,[1]CRITERIOS!$K$25:$K$42,[1]CRITERIOS!$M$25:$M$42))),0),ROUNDUP([1]CRITERIOS!$M$16/(IF(COUNTIF([1]CRITERIOS!$BG$11:$BG$201,L186)&gt;=1,_xlfn.XLOOKUP(ARTÍCULOS!L186,[1]CRITERIOS!$BG$11:$BG$201:#REF!,[1]CRITERIOS!$BJ$11:$BJ$201),_xlfn.XLOOKUP(ARTÍCULOS!C186,[1]CRITERIOS!$K$25:$K$42,[1]CRITERIOS!$M$25:$M$42))),0),(E186+V186-_xlfn.XLOOKUP(A186,'[1]DATOS PBI Artículos'!$A$4:$A$4,'[1]DATOS PBI Artículos'!$W$4:$W$4))/N186)</f>
        <v>#VALUE!</v>
      </c>
      <c r="AC186" s="33" t="e">
        <f>IF(N186=0,"",(ROUNDUP((N186/2)/(_xlfn.XLOOKUP(A186,'[1]DATOS PBI Artículos'!$A$4:$A$4,'[1]DATOS PBI Artículos'!$Z$4:$Z$4)*_xlfn.XLOOKUP(_xlfn.XLOOKUP(A186,'[1]DATOS PBI Artículos'!$A$4:$A$4,'[1]DATOS PBI Artículos'!$Y$4:$Y$4),[1]CRITERIOS!$P$79:$P$123,[1]CRITERIOS!$S$79:$S$123)),0)*[1]CRITERIOS!$M$80*([1]CRITERIOS!$M$110/[1]CRITERIOS!$M$86)+(_xlfn.XLOOKUP(A186,'[1]DATOS PBI Artículos'!$A$4:$A$4,'[1]DATOS PBI Artículos'!$AA$4:$AA$4)*([1]CRITERIOS!$M$95+[1]CRITERIOS!$M$98)))/N186)</f>
        <v>#N/A</v>
      </c>
      <c r="AD186" s="33" t="e">
        <f>IF(N186=0,"",(ROUNDUP((N186/2)/(_xlfn.XLOOKUP(A186,'[1]DATOS PBI Artículos'!$A$4:$A$4,'[1]DATOS PBI Artículos'!$Z$4:$Z$4)*_xlfn.XLOOKUP(_xlfn.XLOOKUP(A186,'[1]DATOS PBI Artículos'!$A$4:$A$4,'[1]DATOS PBI Artículos'!$Y$4:$Y$4),[1]CRITERIOS!$P$79:$P$123,[1]CRITERIOS!$S$79:$S$123)),0)*[1]CRITERIOS!$M$80*([1]CRITERIOS!$M$89*[1]CRITERIOS!$M$92)+((_xlfn.XLOOKUP(A186,'[1]DATOS PBI Artículos'!$A$4:$A$4,'[1]DATOS PBI Artículos'!$AA$4:$AA$4)/2)*([1]CRITERIOS!$M$95+[1]CRITERIOS!$M$98)))/N186)</f>
        <v>#N/A</v>
      </c>
      <c r="AE186" s="39" t="str">
        <f>IF($R186="MTO","",
IF($H186=0,ROUNDUP(((_xlfn.XLOOKUP($A186,'[1]DATOS PBI Artículos'!$A:$A,'[1]DATOS PBI Artículos'!$AL:$AL))/(_xlfn.XLOOKUP($AF$1,[1]CRITERIOS!$S$16:$S$39,[1]CRITERIOS!$Y$16:$Y$39))*$J186+$Z186)/$G186,0)*$G186,
((_xlfn.XLOOKUP($A186,'[1]DATOS PBI Artículos'!$A:$A,'[1]DATOS PBI Artículos'!$AL:$AL))/(_xlfn.XLOOKUP($AF$1,[1]CRITERIOS!$S$16:$S$39,[1]CRITERIOS!$Y$16:$Y$39))*$J186+$Z186)))</f>
        <v/>
      </c>
      <c r="AG186" s="39" t="str">
        <f>IF($R186="MTO","",
IF($H186=0,ROUNDUP(((_xlfn.XLOOKUP($A186,'[1]DATOS PBI Artículos'!$A:$A,'[1]DATOS PBI Artículos'!$AM:$AM))/(_xlfn.XLOOKUP($AH$1,[1]CRITERIOS!$S$16:$S$39,[1]CRITERIOS!$Y$16:$Y$39))*$J186+$Z186)/$G186,0)*$G186,
((_xlfn.XLOOKUP($A186,'[1]DATOS PBI Artículos'!$A:$A,'[1]DATOS PBI Artículos'!$AM:$AM))/(_xlfn.XLOOKUP($AH$1,[1]CRITERIOS!$S$16:$S$39,[1]CRITERIOS!$Y$16:$Y$39))*$J186+$Z186)))</f>
        <v/>
      </c>
      <c r="AI186" s="39" t="str">
        <f>IF($R186="MTO","",
IF($H186=0,ROUNDUP(((_xlfn.XLOOKUP($A186,'[1]DATOS PBI Artículos'!$A:$A,'[1]DATOS PBI Artículos'!$AN:$AN))/(_xlfn.XLOOKUP($AJ$1,[1]CRITERIOS!$S$16:$S$39,[1]CRITERIOS!$Y$16:$Y$39))*$J186+$Z186)/$G186,0)*$G186,
((_xlfn.XLOOKUP($A186,'[1]DATOS PBI Artículos'!$A:$A,'[1]DATOS PBI Artículos'!$AN:$AN))/(_xlfn.XLOOKUP($AJ$1,[1]CRITERIOS!$S$16:$S$39,[1]CRITERIOS!$Y$16:$Y$39))*$J186+$Z186)))</f>
        <v/>
      </c>
      <c r="AK186" s="39" t="str">
        <f>IF($R186="MTO","",
IF($H186=0,ROUNDUP(((_xlfn.XLOOKUP($A186,'[1]DATOS PBI Artículos'!$A:$A,'[1]DATOS PBI Artículos'!$AO:$AO))/(_xlfn.XLOOKUP($AL$1,[1]CRITERIOS!$S$16:$S$39,[1]CRITERIOS!$Y$16:$Y$39))*$J186+$Z186)/$G186,0)*$G186,
((_xlfn.XLOOKUP($A186,'[1]DATOS PBI Artículos'!$A:$A,'[1]DATOS PBI Artículos'!$AO:$AO))/(_xlfn.XLOOKUP($AL$1,[1]CRITERIOS!$S$16:$S$39,[1]CRITERIOS!$Y$16:$Y$39))*$J186+$Z186)))</f>
        <v/>
      </c>
    </row>
    <row r="187" spans="1:37" ht="25.8" x14ac:dyDescent="0.5">
      <c r="A187" s="32">
        <v>453479</v>
      </c>
      <c r="B187" s="33">
        <f>_xlfn.XLOOKUP($A187,'[1]DATOS PBI Artículos'!A:A,'[1]DATOS PBI Artículos'!B:B)</f>
        <v>0</v>
      </c>
      <c r="C187" s="33" t="str">
        <f>_xlfn.XLOOKUP($A187,'[1]DATOS PBI Artículos'!A:A,'[1]DATOS PBI Artículos'!C:C)</f>
        <v>UA01</v>
      </c>
      <c r="D187" s="33">
        <f>_xlfn.XLOOKUP(A187,'[1]DATOS PBI Artículos'!A:A,'[1]DATOS PBI Artículos'!T:T)</f>
        <v>1</v>
      </c>
      <c r="E187" s="34">
        <f>IF(_xlfn.XLOOKUP($A187,'[1]DATOS PBI Artículos'!A:A,'[1]DATOS PBI Artículos'!AK:AK)="",_xlfn.XLOOKUP($A187,'[1]DATOS PBI Artículos'!A:A,'[1]DATOS PBI Artículos'!AJ:AJ),_xlfn.XLOOKUP($A187,'[1]DATOS PBI Artículos'!A:A,'[1]DATOS PBI Artículos'!AK:AK))</f>
        <v>20000</v>
      </c>
      <c r="F187" s="35">
        <f>_xlfn.XLOOKUP($A187,'[1]DATOS PBI Artículos'!A:A,'[1]DATOS PBI Artículos'!AP:AP)</f>
        <v>75</v>
      </c>
      <c r="G187" s="34">
        <f>_xlfn.XLOOKUP($A187,'[1]DATOS PBI Artículos'!A:A,'[1]DATOS PBI Artículos'!AR:AR)</f>
        <v>20000</v>
      </c>
      <c r="H187" s="34">
        <f>_xlfn.XLOOKUP($A187,'[1]DATOS PBI Artículos'!A:A,'[1]DATOS PBI Artículos'!AT:AT)</f>
        <v>0</v>
      </c>
      <c r="I187" s="34">
        <f>_xlfn.XLOOKUP($A187,'[1]DATOS PBI Artículos'!A:A,'[1]DATOS PBI Artículos'!AS:AS)</f>
        <v>20000</v>
      </c>
      <c r="J187" s="35">
        <f>IF(COUNTIF([1]CRITERIOS!$F$179:$F$199,$A187)&gt;=1,
 IF(O187&lt;&gt;"",
    (O187/_xlfn.XLOOKUP(CONCATENATE(A187,L187),[1]MÁQUINAS!A:A,[1]MÁQUINAS!D:D))/24,
    (N187/_xlfn.XLOOKUP(CONCATENATE(A187,L187),[1]MÁQUINAS!A:A,[1]MÁQUINAS!D:D))/24),
  _xlfn.XLOOKUP($A187,'[1]DATOS PBI Artículos'!A:A,'[1]DATOS PBI Artículos'!AU:AU))</f>
        <v>16</v>
      </c>
      <c r="K187" s="36">
        <f>_xlfn.XLOOKUP($A187,'[1]DATOS PBI Artículos'!A:A,'[1]DATOS PBI Artículos'!AV:AV)</f>
        <v>1.4142135623730951</v>
      </c>
      <c r="L187" s="33">
        <f>_xlfn.XLOOKUP(A187,[1]MÁQUINAS!B:B,[1]MÁQUINAS!C:C)</f>
        <v>407</v>
      </c>
      <c r="M187" s="34">
        <f t="array" ref="M187">_xlfn.XLOOKUP(A187,'[1]DATOS PBI Artículos'!A:A,'[1]DATOS PBI Artículos'!AX:$AX)</f>
        <v>30505.641539162203</v>
      </c>
      <c r="N187" s="37">
        <f>IF(I187="DV",
E187,
IF(COUNTIF([1]CRITERIOS!$I$179:$I$199,$A187)&gt;=1,
_xlfn.XLOOKUP($A187,[1]CRITERIOS!$I$179:$I$199,[1]CRITERIOS!$J$179:$J$199),
IF(COUNTIF([1]CRITERIOS!$L$179:$L$199,$A187)&gt;=1,
_xlfn.CEILING.MATH(IF($M187&gt;$E187,
$E187,
IF($M187&lt;$E187/ROUNDDOWN([1]CRITERIOS!$M$16/_xlfn.XLOOKUP($C187,[1]CRITERIOS!$K$25:$K$42,[1]CRITERIOS!$M$25:$M$42),
1),
E187/ROUNDDOWN([1]CRITERIOS!$M$16/_xlfn.XLOOKUP($C187,[1]CRITERIOS!$K$25:$K$42,[1]CRITERIOS!$M$25:$M$42),
1),
$M187)),
_xlfn.XLOOKUP($A187,[1]CRITERIOS!$L$179:$L$200,[1]CRITERIOS!$M$179:$M$200)),
_xlfn.CEILING.MATH(IF($M187&gt;$E187,
$E187,
IF($M187&lt;$E187/ROUNDDOWN([1]CRITERIOS!$M$16/_xlfn.XLOOKUP($C187,[1]CRITERIOS!$K$25:$K$42,[1]CRITERIOS!$M$25:$M$42),
1),
E187/ROUNDDOWN([1]CRITERIOS!$M$16/_xlfn.XLOOKUP($C187,[1]CRITERIOS!$K$25:$K$42,[1]CRITERIOS!$M$25:$M$42),
1),
$M187)),_xlfn.XLOOKUP(A187,'[1]DATOS PBI Artículos'!A:A,'[1]DATOS PBI Artículos'!Z:Z
)))))</f>
        <v>20000</v>
      </c>
      <c r="Q187" s="38">
        <f>IF(AND(O187="",N187=0),
0,
   IF(COUNTIF([1]CRITERIOS!$F$179:$F$199,$A187)&gt;=1,
   1,
   IF(R187="MTO",
      $D187,
      ROUNDUP(
                    IF(($E187-SUMIF('[1]DATOS PBI Artículos'!A:A,A187,'[1]DATOS PBI Artículos'!X:X)+($V187-_xlfn.XLOOKUP(A187,'[1]DATOS PBI Artículos'!A:A,'[1]DATOS PBI Artículos'!W:W)))&lt;0,
                    0,
                    IF(($E187-SUMIF('[1]DATOS PBI Artículos'!A:A,A187,'[1]DATOS PBI Artículos'!X:X)+$V187-_xlfn.XLOOKUP($A187,'[1]DATOS PBI Artículos'!A:A,'[1]DATOS PBI Artículos'!W:W))/IF($O187="",$N187,$O187)&gt;ROUNDUP([1]CRITERIOS!$M$16/(IF(COUNTIF([1]CRITERIOS!$BG$11:$BG$201,L187)&gt;=1,_xlfn.XLOOKUP($C187,[1]CRITERIOS!$K$25:$K$42,[1]CRITERIOS!$M$25:$M$42),_xlfn.XLOOKUP($C187,[1]CRITERIOS!$K$25:$K$42,[1]CRITERIOS!$M$25:$M$42))),0),
                    ROUNDUP([1]CRITERIOS!$M$16/(IF(COUNTIF([1]CRITERIOS!$BG$11:$BG$201,$L187)&gt;=1,_xlfn.XLOOKUP($C187,[1]CRITERIOS!$K$25:$K$42,[1]CRITERIOS!$M$25:$M$42),_xlfn.XLOOKUP($C187,[1]CRITERIOS!$K$25:$K$42,[1]CRITERIOS!$M$25:$M$42))),0),
                    (E187+V187-SUMIF('[1]DATOS PBI Artículos'!A:A,A187,'[1]DATOS PBI Artículos'!X:X)-_xlfn.XLOOKUP(A187,'[1]DATOS PBI Artículos'!A:A,'[1]DATOS PBI Artículos'!W:W))/IF($O187="",$N187,$O187))),0))))</f>
        <v>1</v>
      </c>
      <c r="R187" s="33" t="str">
        <f>IF(U187&lt;&gt;"",U187,IF(F187="DV","MTO",IF(N187=0,"MTO",_xlfn.XLOOKUP(CONCATENATE(S187,T187),[1]CRITERIOS!$K$160:$K$168,[1]CRITERIOS!$N$160:$N$168))))</f>
        <v>MTO</v>
      </c>
      <c r="S187" s="33" t="str">
        <f>IF(G187="DV","MTO",IF(N187=0,"MTO",IF(OR(AND(N187=0,O187=""),IF(O187="",G187/N187,G187/O187)&gt;[1]CRITERIOS!$G$163),"MTO",IF(IF(O187="",G187/N187,G187/O187)&lt;[1]CRITERIOS!$H$161,"MTS","MTOS"))))</f>
        <v>MTO</v>
      </c>
      <c r="T187" s="33" t="str">
        <f>IF(F187="DV","MTO",IF(OR(AND($N187=0,O187=""),$F187/$J187&gt;[1]CRITERIOS!$G$170,$F187="DV"),"MTO",IF($F187/$J187&lt;[1]CRITERIOS!$H$168,"MTS","MTOS")))</f>
        <v>MTO</v>
      </c>
      <c r="V187" s="34" t="str">
        <f t="shared" si="10"/>
        <v/>
      </c>
      <c r="X187" s="34">
        <f t="shared" si="8"/>
        <v>0</v>
      </c>
      <c r="Y187" s="34">
        <f t="shared" si="9"/>
        <v>0</v>
      </c>
      <c r="Z187" s="34">
        <f>IF($R187="MTO",
0,
($H187+$K187*($E187/[1]CRITERIOS!$M$16))/[1]CRITERIOS!$X$48)</f>
        <v>0</v>
      </c>
      <c r="AA187" s="34" t="e">
        <f>ROUNDUP(($Y187/_xlfn.XLOOKUP($A187,'[1]DATOS PBI Artículos'!$A$4:$A$4,'[1]DATOS PBI Artículos'!$Z$4:$Z$4))/_xlfn.XLOOKUP(_xlfn.XLOOKUP($A187,'[1]DATOS PBI Artículos'!$A$4:$A$4,'[1]DATOS PBI Artículos'!$Y$4:$Y$4),[1]CRITERIOS!$P$79:$P$123,[1]CRITERIOS!$S$79:$S$123,),0)</f>
        <v>#N/A</v>
      </c>
      <c r="AB187" s="33" t="e">
        <f t="array" ref="AB187">IF((E187+V187-_xlfn.XLOOKUP(A187,'[1]DATOS PBI Artículos'!$A$4:$A$4,'[1]DATOS PBI Artículos'!$W$4:$W$4))/N187&gt;ROUNDUP([1]CRITERIOS!$M$16/(IF(COUNTIF([1]CRITERIOS!$BG$11:$BG$201,L187)&gt;=1,_xlfn.XLOOKUP(ARTÍCULOS!L187,[1]CRITERIOS!$BG$11:$BG$201,[1]CRITERIOS!$BJ$11:$BJ$201),_xlfn.XLOOKUP(ARTÍCULOS!C187,[1]CRITERIOS!$K$25:$K$42,[1]CRITERIOS!$M$25:$M$42))),0),ROUNDUP([1]CRITERIOS!$M$16/(IF(COUNTIF([1]CRITERIOS!$BG$11:$BG$201,L187)&gt;=1,_xlfn.XLOOKUP(ARTÍCULOS!L187,[1]CRITERIOS!$BG$11:$BG$201:#REF!,[1]CRITERIOS!$BJ$11:$BJ$201),_xlfn.XLOOKUP(ARTÍCULOS!C187,[1]CRITERIOS!$K$25:$K$42,[1]CRITERIOS!$M$25:$M$42))),0),(E187+V187-_xlfn.XLOOKUP(A187,'[1]DATOS PBI Artículos'!$A$4:$A$4,'[1]DATOS PBI Artículos'!$W$4:$W$4))/N187)</f>
        <v>#VALUE!</v>
      </c>
      <c r="AC187" s="33" t="e">
        <f>IF(N187=0,"",(ROUNDUP((N187/2)/(_xlfn.XLOOKUP(A187,'[1]DATOS PBI Artículos'!$A$4:$A$4,'[1]DATOS PBI Artículos'!$Z$4:$Z$4)*_xlfn.XLOOKUP(_xlfn.XLOOKUP(A187,'[1]DATOS PBI Artículos'!$A$4:$A$4,'[1]DATOS PBI Artículos'!$Y$4:$Y$4),[1]CRITERIOS!$P$79:$P$123,[1]CRITERIOS!$S$79:$S$123)),0)*[1]CRITERIOS!$M$80*([1]CRITERIOS!$M$110/[1]CRITERIOS!$M$86)+(_xlfn.XLOOKUP(A187,'[1]DATOS PBI Artículos'!$A$4:$A$4,'[1]DATOS PBI Artículos'!$AA$4:$AA$4)*([1]CRITERIOS!$M$95+[1]CRITERIOS!$M$98)))/N187)</f>
        <v>#N/A</v>
      </c>
      <c r="AD187" s="33" t="e">
        <f>IF(N187=0,"",(ROUNDUP((N187/2)/(_xlfn.XLOOKUP(A187,'[1]DATOS PBI Artículos'!$A$4:$A$4,'[1]DATOS PBI Artículos'!$Z$4:$Z$4)*_xlfn.XLOOKUP(_xlfn.XLOOKUP(A187,'[1]DATOS PBI Artículos'!$A$4:$A$4,'[1]DATOS PBI Artículos'!$Y$4:$Y$4),[1]CRITERIOS!$P$79:$P$123,[1]CRITERIOS!$S$79:$S$123)),0)*[1]CRITERIOS!$M$80*([1]CRITERIOS!$M$89*[1]CRITERIOS!$M$92)+((_xlfn.XLOOKUP(A187,'[1]DATOS PBI Artículos'!$A$4:$A$4,'[1]DATOS PBI Artículos'!$AA$4:$AA$4)/2)*([1]CRITERIOS!$M$95+[1]CRITERIOS!$M$98)))/N187)</f>
        <v>#N/A</v>
      </c>
      <c r="AE187" s="39" t="str">
        <f>IF($R187="MTO","",
IF($H187=0,ROUNDUP(((_xlfn.XLOOKUP($A187,'[1]DATOS PBI Artículos'!$A:$A,'[1]DATOS PBI Artículos'!$AL:$AL))/(_xlfn.XLOOKUP($AF$1,[1]CRITERIOS!$S$16:$S$39,[1]CRITERIOS!$Y$16:$Y$39))*$J187+$Z187)/$G187,0)*$G187,
((_xlfn.XLOOKUP($A187,'[1]DATOS PBI Artículos'!$A:$A,'[1]DATOS PBI Artículos'!$AL:$AL))/(_xlfn.XLOOKUP($AF$1,[1]CRITERIOS!$S$16:$S$39,[1]CRITERIOS!$Y$16:$Y$39))*$J187+$Z187)))</f>
        <v/>
      </c>
      <c r="AG187" s="39" t="str">
        <f>IF($R187="MTO","",
IF($H187=0,ROUNDUP(((_xlfn.XLOOKUP($A187,'[1]DATOS PBI Artículos'!$A:$A,'[1]DATOS PBI Artículos'!$AM:$AM))/(_xlfn.XLOOKUP($AH$1,[1]CRITERIOS!$S$16:$S$39,[1]CRITERIOS!$Y$16:$Y$39))*$J187+$Z187)/$G187,0)*$G187,
((_xlfn.XLOOKUP($A187,'[1]DATOS PBI Artículos'!$A:$A,'[1]DATOS PBI Artículos'!$AM:$AM))/(_xlfn.XLOOKUP($AH$1,[1]CRITERIOS!$S$16:$S$39,[1]CRITERIOS!$Y$16:$Y$39))*$J187+$Z187)))</f>
        <v/>
      </c>
      <c r="AI187" s="39" t="str">
        <f>IF($R187="MTO","",
IF($H187=0,ROUNDUP(((_xlfn.XLOOKUP($A187,'[1]DATOS PBI Artículos'!$A:$A,'[1]DATOS PBI Artículos'!$AN:$AN))/(_xlfn.XLOOKUP($AJ$1,[1]CRITERIOS!$S$16:$S$39,[1]CRITERIOS!$Y$16:$Y$39))*$J187+$Z187)/$G187,0)*$G187,
((_xlfn.XLOOKUP($A187,'[1]DATOS PBI Artículos'!$A:$A,'[1]DATOS PBI Artículos'!$AN:$AN))/(_xlfn.XLOOKUP($AJ$1,[1]CRITERIOS!$S$16:$S$39,[1]CRITERIOS!$Y$16:$Y$39))*$J187+$Z187)))</f>
        <v/>
      </c>
      <c r="AK187" s="39" t="str">
        <f>IF($R187="MTO","",
IF($H187=0,ROUNDUP(((_xlfn.XLOOKUP($A187,'[1]DATOS PBI Artículos'!$A:$A,'[1]DATOS PBI Artículos'!$AO:$AO))/(_xlfn.XLOOKUP($AL$1,[1]CRITERIOS!$S$16:$S$39,[1]CRITERIOS!$Y$16:$Y$39))*$J187+$Z187)/$G187,0)*$G187,
((_xlfn.XLOOKUP($A187,'[1]DATOS PBI Artículos'!$A:$A,'[1]DATOS PBI Artículos'!$AO:$AO))/(_xlfn.XLOOKUP($AL$1,[1]CRITERIOS!$S$16:$S$39,[1]CRITERIOS!$Y$16:$Y$39))*$J187+$Z187)))</f>
        <v/>
      </c>
    </row>
    <row r="188" spans="1:37" ht="25.8" x14ac:dyDescent="0.5">
      <c r="A188" s="32">
        <v>404018</v>
      </c>
      <c r="B188" s="33">
        <f>_xlfn.XLOOKUP($A188,'[1]DATOS PBI Artículos'!A:A,'[1]DATOS PBI Artículos'!B:B)</f>
        <v>0</v>
      </c>
      <c r="C188" s="33" t="str">
        <f>_xlfn.XLOOKUP($A188,'[1]DATOS PBI Artículos'!A:A,'[1]DATOS PBI Artículos'!C:C)</f>
        <v>UA02</v>
      </c>
      <c r="D188" s="33">
        <f>_xlfn.XLOOKUP(A188,'[1]DATOS PBI Artículos'!A:A,'[1]DATOS PBI Artículos'!T:T)</f>
        <v>4</v>
      </c>
      <c r="E188" s="34">
        <f>IF(_xlfn.XLOOKUP($A188,'[1]DATOS PBI Artículos'!A:A,'[1]DATOS PBI Artículos'!AK:AK)="",_xlfn.XLOOKUP($A188,'[1]DATOS PBI Artículos'!A:A,'[1]DATOS PBI Artículos'!AJ:AJ),_xlfn.XLOOKUP($A188,'[1]DATOS PBI Artículos'!A:A,'[1]DATOS PBI Artículos'!AK:AK))</f>
        <v>20000</v>
      </c>
      <c r="F188" s="35">
        <f>_xlfn.XLOOKUP($A188,'[1]DATOS PBI Artículos'!A:A,'[1]DATOS PBI Artículos'!AP:AP)</f>
        <v>6.6666666666600003</v>
      </c>
      <c r="G188" s="34">
        <f>_xlfn.XLOOKUP($A188,'[1]DATOS PBI Artículos'!A:A,'[1]DATOS PBI Artículos'!AR:AR)</f>
        <v>4000</v>
      </c>
      <c r="H188" s="34">
        <f>_xlfn.XLOOKUP($A188,'[1]DATOS PBI Artículos'!A:A,'[1]DATOS PBI Artículos'!AT:AT)</f>
        <v>0</v>
      </c>
      <c r="I188" s="34">
        <f>_xlfn.XLOOKUP($A188,'[1]DATOS PBI Artículos'!A:A,'[1]DATOS PBI Artículos'!AS:AS)</f>
        <v>4000</v>
      </c>
      <c r="J188" s="35">
        <f>IF(COUNTIF([1]CRITERIOS!$F$179:$F$199,$A188)&gt;=1,
 IF(O188&lt;&gt;"",
    (O188/_xlfn.XLOOKUP(CONCATENATE(A188,L188),[1]MÁQUINAS!A:A,[1]MÁQUINAS!D:D))/24,
    (N188/_xlfn.XLOOKUP(CONCATENATE(A188,L188),[1]MÁQUINAS!A:A,[1]MÁQUINAS!D:D))/24),
  _xlfn.XLOOKUP($A188,'[1]DATOS PBI Artículos'!A:A,'[1]DATOS PBI Artículos'!AU:AU))</f>
        <v>21</v>
      </c>
      <c r="K188" s="36">
        <f>_xlfn.XLOOKUP($A188,'[1]DATOS PBI Artículos'!A:A,'[1]DATOS PBI Artículos'!AV:AV)</f>
        <v>5.8594652770823155</v>
      </c>
      <c r="L188" s="33">
        <f>_xlfn.XLOOKUP(A188,[1]MÁQUINAS!B:B,[1]MÁQUINAS!C:C)</f>
        <v>212</v>
      </c>
      <c r="M188" s="34">
        <f t="array" ref="M188">_xlfn.XLOOKUP(A188,'[1]DATOS PBI Artículos'!A:A,'[1]DATOS PBI Artículos'!AX:$AX)</f>
        <v>14242.963157832753</v>
      </c>
      <c r="N188" s="37">
        <f>IF(I188="DV",
E188,
IF(COUNTIF([1]CRITERIOS!$I$179:$I$199,$A188)&gt;=1,
_xlfn.XLOOKUP($A188,[1]CRITERIOS!$I$179:$I$199,[1]CRITERIOS!$J$179:$J$199),
IF(COUNTIF([1]CRITERIOS!$L$179:$L$199,$A188)&gt;=1,
_xlfn.CEILING.MATH(IF($M188&gt;$E188,
$E188,
IF($M188&lt;$E188/ROUNDDOWN([1]CRITERIOS!$M$16/_xlfn.XLOOKUP($C188,[1]CRITERIOS!$K$25:$K$42,[1]CRITERIOS!$M$25:$M$42),
1),
E188/ROUNDDOWN([1]CRITERIOS!$M$16/_xlfn.XLOOKUP($C188,[1]CRITERIOS!$K$25:$K$42,[1]CRITERIOS!$M$25:$M$42),
1),
$M188)),
_xlfn.XLOOKUP($A188,[1]CRITERIOS!$L$179:$L$200,[1]CRITERIOS!$M$179:$M$200)),
_xlfn.CEILING.MATH(IF($M188&gt;$E188,
$E188,
IF($M188&lt;$E188/ROUNDDOWN([1]CRITERIOS!$M$16/_xlfn.XLOOKUP($C188,[1]CRITERIOS!$K$25:$K$42,[1]CRITERIOS!$M$25:$M$42),
1),
E188/ROUNDDOWN([1]CRITERIOS!$M$16/_xlfn.XLOOKUP($C188,[1]CRITERIOS!$K$25:$K$42,[1]CRITERIOS!$M$25:$M$42),
1),
$M188)),_xlfn.XLOOKUP(A188,'[1]DATOS PBI Artículos'!A:A,'[1]DATOS PBI Artículos'!Z:Z
)))))</f>
        <v>16000</v>
      </c>
      <c r="Q188" s="38">
        <f>IF(AND(O188="",N188=0),
0,
   IF(COUNTIF([1]CRITERIOS!$F$179:$F$199,$A188)&gt;=1,
   1,
   IF(R188="MTO",
      $D188,
      ROUNDUP(
                    IF(($E188-SUMIF('[1]DATOS PBI Artículos'!A:A,A188,'[1]DATOS PBI Artículos'!X:X)+($V188-_xlfn.XLOOKUP(A188,'[1]DATOS PBI Artículos'!A:A,'[1]DATOS PBI Artículos'!W:W)))&lt;0,
                    0,
                    IF(($E188-SUMIF('[1]DATOS PBI Artículos'!A:A,A188,'[1]DATOS PBI Artículos'!X:X)+$V188-_xlfn.XLOOKUP($A188,'[1]DATOS PBI Artículos'!A:A,'[1]DATOS PBI Artículos'!W:W))/IF($O188="",$N188,$O188)&gt;ROUNDUP([1]CRITERIOS!$M$16/(IF(COUNTIF([1]CRITERIOS!$BG$11:$BG$201,L188)&gt;=1,_xlfn.XLOOKUP($C188,[1]CRITERIOS!$K$25:$K$42,[1]CRITERIOS!$M$25:$M$42),_xlfn.XLOOKUP($C188,[1]CRITERIOS!$K$25:$K$42,[1]CRITERIOS!$M$25:$M$42))),0),
                    ROUNDUP([1]CRITERIOS!$M$16/(IF(COUNTIF([1]CRITERIOS!$BG$11:$BG$201,$L188)&gt;=1,_xlfn.XLOOKUP($C188,[1]CRITERIOS!$K$25:$K$42,[1]CRITERIOS!$M$25:$M$42),_xlfn.XLOOKUP($C188,[1]CRITERIOS!$K$25:$K$42,[1]CRITERIOS!$M$25:$M$42))),0),
                    (E188+V188-SUMIF('[1]DATOS PBI Artículos'!A:A,A188,'[1]DATOS PBI Artículos'!X:X)-_xlfn.XLOOKUP(A188,'[1]DATOS PBI Artículos'!A:A,'[1]DATOS PBI Artículos'!W:W))/IF($O188="",$N188,$O188))),0))))</f>
        <v>1</v>
      </c>
      <c r="R188" s="33" t="str">
        <f>IF(U188&lt;&gt;"",U188,IF(F188="DV","MTO",IF(N188=0,"MTO",_xlfn.XLOOKUP(CONCATENATE(S188,T188),[1]CRITERIOS!$K$160:$K$168,[1]CRITERIOS!$N$160:$N$168))))</f>
        <v>MTS</v>
      </c>
      <c r="S188" s="33" t="str">
        <f>IF(G188="DV","MTO",IF(N188=0,"MTO",IF(OR(AND(N188=0,O188=""),IF(O188="",G188/N188,G188/O188)&gt;[1]CRITERIOS!$G$163),"MTO",IF(IF(O188="",G188/N188,G188/O188)&lt;[1]CRITERIOS!$H$161,"MTS","MTOS"))))</f>
        <v>MTS</v>
      </c>
      <c r="T188" s="33" t="str">
        <f>IF(F188="DV","MTO",IF(OR(AND($N188=0,O188=""),$F188/$J188&gt;[1]CRITERIOS!$G$170,$F188="DV"),"MTO",IF($F188/$J188&lt;[1]CRITERIOS!$H$168,"MTS","MTOS")))</f>
        <v>MTS</v>
      </c>
      <c r="V188" s="34">
        <f t="shared" si="10"/>
        <v>13902.103394919781</v>
      </c>
      <c r="X188" s="34">
        <f t="shared" si="8"/>
        <v>29902.103394919781</v>
      </c>
      <c r="Y188" s="34">
        <f t="shared" si="9"/>
        <v>9302.1033949071807</v>
      </c>
      <c r="Z188" s="34">
        <f>IF($R188="MTO",
0,
($H188+$K188*($E188/[1]CRITERIOS!$M$16))/[1]CRITERIOS!$X$48)</f>
        <v>1302.1033949071814</v>
      </c>
      <c r="AA188" s="34" t="e">
        <f>ROUNDUP(($Y188/_xlfn.XLOOKUP($A188,'[1]DATOS PBI Artículos'!$A$4:$A$4,'[1]DATOS PBI Artículos'!$Z$4:$Z$4))/_xlfn.XLOOKUP(_xlfn.XLOOKUP($A188,'[1]DATOS PBI Artículos'!$A$4:$A$4,'[1]DATOS PBI Artículos'!$Y$4:$Y$4),[1]CRITERIOS!$P$79:$P$123,[1]CRITERIOS!$S$79:$S$123,),0)</f>
        <v>#N/A</v>
      </c>
      <c r="AB188" s="33" t="e">
        <f t="array" ref="AB188">IF((E188+V188-_xlfn.XLOOKUP(A188,'[1]DATOS PBI Artículos'!$A$4:$A$4,'[1]DATOS PBI Artículos'!$W$4:$W$4))/N188&gt;ROUNDUP([1]CRITERIOS!$M$16/(IF(COUNTIF([1]CRITERIOS!$BG$11:$BG$201,L188)&gt;=1,_xlfn.XLOOKUP(ARTÍCULOS!L188,[1]CRITERIOS!$BG$11:$BG$201,[1]CRITERIOS!$BJ$11:$BJ$201),_xlfn.XLOOKUP(ARTÍCULOS!C188,[1]CRITERIOS!$K$25:$K$42,[1]CRITERIOS!$M$25:$M$42))),0),ROUNDUP([1]CRITERIOS!$M$16/(IF(COUNTIF([1]CRITERIOS!$BG$11:$BG$201,L188)&gt;=1,_xlfn.XLOOKUP(ARTÍCULOS!L188,[1]CRITERIOS!$BG$11:$BG$201:#REF!,[1]CRITERIOS!$BJ$11:$BJ$201),_xlfn.XLOOKUP(ARTÍCULOS!C188,[1]CRITERIOS!$K$25:$K$42,[1]CRITERIOS!$M$25:$M$42))),0),(E188+V188-_xlfn.XLOOKUP(A188,'[1]DATOS PBI Artículos'!$A$4:$A$4,'[1]DATOS PBI Artículos'!$W$4:$W$4))/N188)</f>
        <v>#N/A</v>
      </c>
      <c r="AC188" s="33" t="e">
        <f>IF(N188=0,"",(ROUNDUP((N188/2)/(_xlfn.XLOOKUP(A188,'[1]DATOS PBI Artículos'!$A$4:$A$4,'[1]DATOS PBI Artículos'!$Z$4:$Z$4)*_xlfn.XLOOKUP(_xlfn.XLOOKUP(A188,'[1]DATOS PBI Artículos'!$A$4:$A$4,'[1]DATOS PBI Artículos'!$Y$4:$Y$4),[1]CRITERIOS!$P$79:$P$123,[1]CRITERIOS!$S$79:$S$123)),0)*[1]CRITERIOS!$M$80*([1]CRITERIOS!$M$110/[1]CRITERIOS!$M$86)+(_xlfn.XLOOKUP(A188,'[1]DATOS PBI Artículos'!$A$4:$A$4,'[1]DATOS PBI Artículos'!$AA$4:$AA$4)*([1]CRITERIOS!$M$95+[1]CRITERIOS!$M$98)))/N188)</f>
        <v>#N/A</v>
      </c>
      <c r="AD188" s="33" t="e">
        <f>IF(N188=0,"",(ROUNDUP((N188/2)/(_xlfn.XLOOKUP(A188,'[1]DATOS PBI Artículos'!$A$4:$A$4,'[1]DATOS PBI Artículos'!$Z$4:$Z$4)*_xlfn.XLOOKUP(_xlfn.XLOOKUP(A188,'[1]DATOS PBI Artículos'!$A$4:$A$4,'[1]DATOS PBI Artículos'!$Y$4:$Y$4),[1]CRITERIOS!$P$79:$P$123,[1]CRITERIOS!$S$79:$S$123)),0)*[1]CRITERIOS!$M$80*([1]CRITERIOS!$M$89*[1]CRITERIOS!$M$92)+((_xlfn.XLOOKUP(A188,'[1]DATOS PBI Artículos'!$A$4:$A$4,'[1]DATOS PBI Artículos'!$AA$4:$AA$4)/2)*([1]CRITERIOS!$M$95+[1]CRITERIOS!$M$98)))/N188)</f>
        <v>#N/A</v>
      </c>
      <c r="AE188" s="39">
        <f>IF($R188="MTO","",
IF($H188=0,ROUNDUP(((_xlfn.XLOOKUP($A188,'[1]DATOS PBI Artículos'!$A:$A,'[1]DATOS PBI Artículos'!$AL:$AL))/(_xlfn.XLOOKUP($AF$1,[1]CRITERIOS!$S$16:$S$39,[1]CRITERIOS!$Y$16:$Y$39))*$J188+$Z188)/$G188,0)*$G188,
((_xlfn.XLOOKUP($A188,'[1]DATOS PBI Artículos'!$A:$A,'[1]DATOS PBI Artículos'!$AL:$AL))/(_xlfn.XLOOKUP($AF$1,[1]CRITERIOS!$S$16:$S$39,[1]CRITERIOS!$Y$16:$Y$39))*$J188+$Z188)))</f>
        <v>8000</v>
      </c>
      <c r="AG188" s="39">
        <f>IF($R188="MTO","",
IF($H188=0,ROUNDUP(((_xlfn.XLOOKUP($A188,'[1]DATOS PBI Artículos'!$A:$A,'[1]DATOS PBI Artículos'!$AM:$AM))/(_xlfn.XLOOKUP($AH$1,[1]CRITERIOS!$S$16:$S$39,[1]CRITERIOS!$Y$16:$Y$39))*$J188+$Z188)/$G188,0)*$G188,
((_xlfn.XLOOKUP($A188,'[1]DATOS PBI Artículos'!$A:$A,'[1]DATOS PBI Artículos'!$AM:$AM))/(_xlfn.XLOOKUP($AH$1,[1]CRITERIOS!$S$16:$S$39,[1]CRITERIOS!$Y$16:$Y$39))*$J188+$Z188)))</f>
        <v>8000</v>
      </c>
      <c r="AI188" s="39">
        <f>IF($R188="MTO","",
IF($H188=0,ROUNDUP(((_xlfn.XLOOKUP($A188,'[1]DATOS PBI Artículos'!$A:$A,'[1]DATOS PBI Artículos'!$AN:$AN))/(_xlfn.XLOOKUP($AJ$1,[1]CRITERIOS!$S$16:$S$39,[1]CRITERIOS!$Y$16:$Y$39))*$J188+$Z188)/$G188,0)*$G188,
((_xlfn.XLOOKUP($A188,'[1]DATOS PBI Artículos'!$A:$A,'[1]DATOS PBI Artículos'!$AN:$AN))/(_xlfn.XLOOKUP($AJ$1,[1]CRITERIOS!$S$16:$S$39,[1]CRITERIOS!$Y$16:$Y$39))*$J188+$Z188)))</f>
        <v>8000</v>
      </c>
      <c r="AK188" s="39">
        <f>IF($R188="MTO","",
IF($H188=0,ROUNDUP(((_xlfn.XLOOKUP($A188,'[1]DATOS PBI Artículos'!$A:$A,'[1]DATOS PBI Artículos'!$AO:$AO))/(_xlfn.XLOOKUP($AL$1,[1]CRITERIOS!$S$16:$S$39,[1]CRITERIOS!$Y$16:$Y$39))*$J188+$Z188)/$G188,0)*$G188,
((_xlfn.XLOOKUP($A188,'[1]DATOS PBI Artículos'!$A:$A,'[1]DATOS PBI Artículos'!$AO:$AO))/(_xlfn.XLOOKUP($AL$1,[1]CRITERIOS!$S$16:$S$39,[1]CRITERIOS!$Y$16:$Y$39))*$J188+$Z188)))</f>
        <v>8000</v>
      </c>
    </row>
    <row r="189" spans="1:37" ht="25.8" x14ac:dyDescent="0.5">
      <c r="A189" s="32">
        <v>451792</v>
      </c>
      <c r="B189" s="33">
        <f>_xlfn.XLOOKUP($A189,'[1]DATOS PBI Artículos'!A:A,'[1]DATOS PBI Artículos'!B:B)</f>
        <v>0</v>
      </c>
      <c r="C189" s="33" t="str">
        <f>_xlfn.XLOOKUP($A189,'[1]DATOS PBI Artículos'!A:A,'[1]DATOS PBI Artículos'!C:C)</f>
        <v>UA02</v>
      </c>
      <c r="D189" s="33">
        <f>_xlfn.XLOOKUP(A189,'[1]DATOS PBI Artículos'!A:A,'[1]DATOS PBI Artículos'!T:T)</f>
        <v>2</v>
      </c>
      <c r="E189" s="34">
        <f>IF(_xlfn.XLOOKUP($A189,'[1]DATOS PBI Artículos'!A:A,'[1]DATOS PBI Artículos'!AK:AK)="",_xlfn.XLOOKUP($A189,'[1]DATOS PBI Artículos'!A:A,'[1]DATOS PBI Artículos'!AJ:AJ),_xlfn.XLOOKUP($A189,'[1]DATOS PBI Artículos'!A:A,'[1]DATOS PBI Artículos'!AK:AK))</f>
        <v>20000</v>
      </c>
      <c r="F189" s="35">
        <f>_xlfn.XLOOKUP($A189,'[1]DATOS PBI Artículos'!A:A,'[1]DATOS PBI Artículos'!AP:AP)</f>
        <v>2.5</v>
      </c>
      <c r="G189" s="34">
        <f>_xlfn.XLOOKUP($A189,'[1]DATOS PBI Artículos'!A:A,'[1]DATOS PBI Artículos'!AR:AR)</f>
        <v>10000</v>
      </c>
      <c r="H189" s="34">
        <f>_xlfn.XLOOKUP($A189,'[1]DATOS PBI Artículos'!A:A,'[1]DATOS PBI Artículos'!AT:AT)</f>
        <v>0</v>
      </c>
      <c r="I189" s="34">
        <f>_xlfn.XLOOKUP($A189,'[1]DATOS PBI Artículos'!A:A,'[1]DATOS PBI Artículos'!AS:AS)</f>
        <v>10000</v>
      </c>
      <c r="J189" s="35">
        <f>IF(COUNTIF([1]CRITERIOS!$F$179:$F$199,$A189)&gt;=1,
 IF(O189&lt;&gt;"",
    (O189/_xlfn.XLOOKUP(CONCATENATE(A189,L189),[1]MÁQUINAS!A:A,[1]MÁQUINAS!D:D))/24,
    (N189/_xlfn.XLOOKUP(CONCATENATE(A189,L189),[1]MÁQUINAS!A:A,[1]MÁQUINAS!D:D))/24),
  _xlfn.XLOOKUP($A189,'[1]DATOS PBI Artículos'!A:A,'[1]DATOS PBI Artículos'!AU:AU))</f>
        <v>16</v>
      </c>
      <c r="K189" s="36">
        <f>_xlfn.XLOOKUP($A189,'[1]DATOS PBI Artículos'!A:A,'[1]DATOS PBI Artículos'!AV:AV)</f>
        <v>1</v>
      </c>
      <c r="L189" s="33">
        <f>_xlfn.XLOOKUP(A189,[1]MÁQUINAS!B:B,[1]MÁQUINAS!C:C)</f>
        <v>216</v>
      </c>
      <c r="M189" s="34">
        <f t="array" ref="M189">_xlfn.XLOOKUP(A189,'[1]DATOS PBI Artículos'!A:A,'[1]DATOS PBI Artículos'!AX:$AX)</f>
        <v>23236.457287464738</v>
      </c>
      <c r="N189" s="37">
        <f>IF(I189="DV",
E189,
IF(COUNTIF([1]CRITERIOS!$I$179:$I$199,$A189)&gt;=1,
_xlfn.XLOOKUP($A189,[1]CRITERIOS!$I$179:$I$199,[1]CRITERIOS!$J$179:$J$199),
IF(COUNTIF([1]CRITERIOS!$L$179:$L$199,$A189)&gt;=1,
_xlfn.CEILING.MATH(IF($M189&gt;$E189,
$E189,
IF($M189&lt;$E189/ROUNDDOWN([1]CRITERIOS!$M$16/_xlfn.XLOOKUP($C189,[1]CRITERIOS!$K$25:$K$42,[1]CRITERIOS!$M$25:$M$42),
1),
E189/ROUNDDOWN([1]CRITERIOS!$M$16/_xlfn.XLOOKUP($C189,[1]CRITERIOS!$K$25:$K$42,[1]CRITERIOS!$M$25:$M$42),
1),
$M189)),
_xlfn.XLOOKUP($A189,[1]CRITERIOS!$L$179:$L$200,[1]CRITERIOS!$M$179:$M$200)),
_xlfn.CEILING.MATH(IF($M189&gt;$E189,
$E189,
IF($M189&lt;$E189/ROUNDDOWN([1]CRITERIOS!$M$16/_xlfn.XLOOKUP($C189,[1]CRITERIOS!$K$25:$K$42,[1]CRITERIOS!$M$25:$M$42),
1),
E189/ROUNDDOWN([1]CRITERIOS!$M$16/_xlfn.XLOOKUP($C189,[1]CRITERIOS!$K$25:$K$42,[1]CRITERIOS!$M$25:$M$42),
1),
$M189)),_xlfn.XLOOKUP(A189,'[1]DATOS PBI Artículos'!A:A,'[1]DATOS PBI Artículos'!Z:Z
)))))</f>
        <v>20000</v>
      </c>
      <c r="Q189" s="38">
        <f>IF(AND(O189="",N189=0),
0,
   IF(COUNTIF([1]CRITERIOS!$F$179:$F$199,$A189)&gt;=1,
   1,
   IF(R189="MTO",
      $D189,
      ROUNDUP(
                    IF(($E189-SUMIF('[1]DATOS PBI Artículos'!A:A,A189,'[1]DATOS PBI Artículos'!X:X)+($V189-_xlfn.XLOOKUP(A189,'[1]DATOS PBI Artículos'!A:A,'[1]DATOS PBI Artículos'!W:W)))&lt;0,
                    0,
                    IF(($E189-SUMIF('[1]DATOS PBI Artículos'!A:A,A189,'[1]DATOS PBI Artículos'!X:X)+$V189-_xlfn.XLOOKUP($A189,'[1]DATOS PBI Artículos'!A:A,'[1]DATOS PBI Artículos'!W:W))/IF($O189="",$N189,$O189)&gt;ROUNDUP([1]CRITERIOS!$M$16/(IF(COUNTIF([1]CRITERIOS!$BG$11:$BG$201,L189)&gt;=1,_xlfn.XLOOKUP($C189,[1]CRITERIOS!$K$25:$K$42,[1]CRITERIOS!$M$25:$M$42),_xlfn.XLOOKUP($C189,[1]CRITERIOS!$K$25:$K$42,[1]CRITERIOS!$M$25:$M$42))),0),
                    ROUNDUP([1]CRITERIOS!$M$16/(IF(COUNTIF([1]CRITERIOS!$BG$11:$BG$201,$L189)&gt;=1,_xlfn.XLOOKUP($C189,[1]CRITERIOS!$K$25:$K$42,[1]CRITERIOS!$M$25:$M$42),_xlfn.XLOOKUP($C189,[1]CRITERIOS!$K$25:$K$42,[1]CRITERIOS!$M$25:$M$42))),0),
                    (E189+V189-SUMIF('[1]DATOS PBI Artículos'!A:A,A189,'[1]DATOS PBI Artículos'!X:X)-_xlfn.XLOOKUP(A189,'[1]DATOS PBI Artículos'!A:A,'[1]DATOS PBI Artículos'!W:W))/IF($O189="",$N189,$O189))),0))))</f>
        <v>2</v>
      </c>
      <c r="R189" s="33" t="str">
        <f>IF(U189&lt;&gt;"",U189,IF(F189="DV","MTO",IF(N189=0,"MTO",_xlfn.XLOOKUP(CONCATENATE(S189,T189),[1]CRITERIOS!$K$160:$K$168,[1]CRITERIOS!$N$160:$N$168))))</f>
        <v>MTS</v>
      </c>
      <c r="S189" s="33" t="str">
        <f>IF(G189="DV","MTO",IF(N189=0,"MTO",IF(OR(AND(N189=0,O189=""),IF(O189="",G189/N189,G189/O189)&gt;[1]CRITERIOS!$G$163),"MTO",IF(IF(O189="",G189/N189,G189/O189)&lt;[1]CRITERIOS!$H$161,"MTS","MTOS"))))</f>
        <v>MTOS</v>
      </c>
      <c r="T189" s="33" t="str">
        <f>IF(F189="DV","MTO",IF(OR(AND($N189=0,O189=""),$F189/$J189&gt;[1]CRITERIOS!$G$170,$F189="DV"),"MTO",IF($F189/$J189&lt;[1]CRITERIOS!$H$168,"MTS","MTOS")))</f>
        <v>MTS</v>
      </c>
      <c r="V189" s="34">
        <f t="shared" si="10"/>
        <v>64222.222222222219</v>
      </c>
      <c r="X189" s="34">
        <f t="shared" si="8"/>
        <v>84222.222222222219</v>
      </c>
      <c r="Y189" s="34">
        <f t="shared" si="9"/>
        <v>10222.222222222223</v>
      </c>
      <c r="Z189" s="34">
        <f>IF($R189="MTO",
0,
($H189+$K189*($E189/[1]CRITERIOS!$M$16))/[1]CRITERIOS!$X$48)</f>
        <v>222.22222222222226</v>
      </c>
      <c r="AA189" s="34" t="e">
        <f>ROUNDUP(($Y189/_xlfn.XLOOKUP($A189,'[1]DATOS PBI Artículos'!$A$4:$A$4,'[1]DATOS PBI Artículos'!$Z$4:$Z$4))/_xlfn.XLOOKUP(_xlfn.XLOOKUP($A189,'[1]DATOS PBI Artículos'!$A$4:$A$4,'[1]DATOS PBI Artículos'!$Y$4:$Y$4),[1]CRITERIOS!$P$79:$P$123,[1]CRITERIOS!$S$79:$S$123,),0)</f>
        <v>#N/A</v>
      </c>
      <c r="AB189" s="33" t="e">
        <f t="array" ref="AB189">IF((E189+V189-_xlfn.XLOOKUP(A189,'[1]DATOS PBI Artículos'!$A$4:$A$4,'[1]DATOS PBI Artículos'!$W$4:$W$4))/N189&gt;ROUNDUP([1]CRITERIOS!$M$16/(IF(COUNTIF([1]CRITERIOS!$BG$11:$BG$201,L189)&gt;=1,_xlfn.XLOOKUP(ARTÍCULOS!L189,[1]CRITERIOS!$BG$11:$BG$201,[1]CRITERIOS!$BJ$11:$BJ$201),_xlfn.XLOOKUP(ARTÍCULOS!C189,[1]CRITERIOS!$K$25:$K$42,[1]CRITERIOS!$M$25:$M$42))),0),ROUNDUP([1]CRITERIOS!$M$16/(IF(COUNTIF([1]CRITERIOS!$BG$11:$BG$201,L189)&gt;=1,_xlfn.XLOOKUP(ARTÍCULOS!L189,[1]CRITERIOS!$BG$11:$BG$201:#REF!,[1]CRITERIOS!$BJ$11:$BJ$201),_xlfn.XLOOKUP(ARTÍCULOS!C189,[1]CRITERIOS!$K$25:$K$42,[1]CRITERIOS!$M$25:$M$42))),0),(E189+V189-_xlfn.XLOOKUP(A189,'[1]DATOS PBI Artículos'!$A$4:$A$4,'[1]DATOS PBI Artículos'!$W$4:$W$4))/N189)</f>
        <v>#N/A</v>
      </c>
      <c r="AC189" s="33" t="e">
        <f>IF(N189=0,"",(ROUNDUP((N189/2)/(_xlfn.XLOOKUP(A189,'[1]DATOS PBI Artículos'!$A$4:$A$4,'[1]DATOS PBI Artículos'!$Z$4:$Z$4)*_xlfn.XLOOKUP(_xlfn.XLOOKUP(A189,'[1]DATOS PBI Artículos'!$A$4:$A$4,'[1]DATOS PBI Artículos'!$Y$4:$Y$4),[1]CRITERIOS!$P$79:$P$123,[1]CRITERIOS!$S$79:$S$123)),0)*[1]CRITERIOS!$M$80*([1]CRITERIOS!$M$110/[1]CRITERIOS!$M$86)+(_xlfn.XLOOKUP(A189,'[1]DATOS PBI Artículos'!$A$4:$A$4,'[1]DATOS PBI Artículos'!$AA$4:$AA$4)*([1]CRITERIOS!$M$95+[1]CRITERIOS!$M$98)))/N189)</f>
        <v>#N/A</v>
      </c>
      <c r="AD189" s="33" t="e">
        <f>IF(N189=0,"",(ROUNDUP((N189/2)/(_xlfn.XLOOKUP(A189,'[1]DATOS PBI Artículos'!$A$4:$A$4,'[1]DATOS PBI Artículos'!$Z$4:$Z$4)*_xlfn.XLOOKUP(_xlfn.XLOOKUP(A189,'[1]DATOS PBI Artículos'!$A$4:$A$4,'[1]DATOS PBI Artículos'!$Y$4:$Y$4),[1]CRITERIOS!$P$79:$P$123,[1]CRITERIOS!$S$79:$S$123)),0)*[1]CRITERIOS!$M$80*([1]CRITERIOS!$M$89*[1]CRITERIOS!$M$92)+((_xlfn.XLOOKUP(A189,'[1]DATOS PBI Artículos'!$A$4:$A$4,'[1]DATOS PBI Artículos'!$AA$4:$AA$4)/2)*([1]CRITERIOS!$M$95+[1]CRITERIOS!$M$98)))/N189)</f>
        <v>#N/A</v>
      </c>
      <c r="AE189" s="39">
        <f>IF($R189="MTO","",
IF($H189=0,ROUNDUP(((_xlfn.XLOOKUP($A189,'[1]DATOS PBI Artículos'!$A:$A,'[1]DATOS PBI Artículos'!$AL:$AL))/(_xlfn.XLOOKUP($AF$1,[1]CRITERIOS!$S$16:$S$39,[1]CRITERIOS!$Y$16:$Y$39))*$J189+$Z189)/$G189,0)*$G189,
((_xlfn.XLOOKUP($A189,'[1]DATOS PBI Artículos'!$A:$A,'[1]DATOS PBI Artículos'!$AL:$AL))/(_xlfn.XLOOKUP($AF$1,[1]CRITERIOS!$S$16:$S$39,[1]CRITERIOS!$Y$16:$Y$39))*$J189+$Z189)))</f>
        <v>10000</v>
      </c>
      <c r="AG189" s="39">
        <f>IF($R189="MTO","",
IF($H189=0,ROUNDUP(((_xlfn.XLOOKUP($A189,'[1]DATOS PBI Artículos'!$A:$A,'[1]DATOS PBI Artículos'!$AM:$AM))/(_xlfn.XLOOKUP($AH$1,[1]CRITERIOS!$S$16:$S$39,[1]CRITERIOS!$Y$16:$Y$39))*$J189+$Z189)/$G189,0)*$G189,
((_xlfn.XLOOKUP($A189,'[1]DATOS PBI Artículos'!$A:$A,'[1]DATOS PBI Artículos'!$AM:$AM))/(_xlfn.XLOOKUP($AH$1,[1]CRITERIOS!$S$16:$S$39,[1]CRITERIOS!$Y$16:$Y$39))*$J189+$Z189)))</f>
        <v>10000</v>
      </c>
      <c r="AI189" s="39">
        <f>IF($R189="MTO","",
IF($H189=0,ROUNDUP(((_xlfn.XLOOKUP($A189,'[1]DATOS PBI Artículos'!$A:$A,'[1]DATOS PBI Artículos'!$AN:$AN))/(_xlfn.XLOOKUP($AJ$1,[1]CRITERIOS!$S$16:$S$39,[1]CRITERIOS!$Y$16:$Y$39))*$J189+$Z189)/$G189,0)*$G189,
((_xlfn.XLOOKUP($A189,'[1]DATOS PBI Artículos'!$A:$A,'[1]DATOS PBI Artículos'!$AN:$AN))/(_xlfn.XLOOKUP($AJ$1,[1]CRITERIOS!$S$16:$S$39,[1]CRITERIOS!$Y$16:$Y$39))*$J189+$Z189)))</f>
        <v>10000</v>
      </c>
      <c r="AK189" s="39">
        <f>IF($R189="MTO","",
IF($H189=0,ROUNDUP(((_xlfn.XLOOKUP($A189,'[1]DATOS PBI Artículos'!$A:$A,'[1]DATOS PBI Artículos'!$AO:$AO))/(_xlfn.XLOOKUP($AL$1,[1]CRITERIOS!$S$16:$S$39,[1]CRITERIOS!$Y$16:$Y$39))*$J189+$Z189)/$G189,0)*$G189,
((_xlfn.XLOOKUP($A189,'[1]DATOS PBI Artículos'!$A:$A,'[1]DATOS PBI Artículos'!$AO:$AO))/(_xlfn.XLOOKUP($AL$1,[1]CRITERIOS!$S$16:$S$39,[1]CRITERIOS!$Y$16:$Y$39))*$J189+$Z189)))</f>
        <v>10000</v>
      </c>
    </row>
    <row r="190" spans="1:37" ht="25.8" x14ac:dyDescent="0.5">
      <c r="A190" s="32">
        <v>453419</v>
      </c>
      <c r="B190" s="33">
        <f>_xlfn.XLOOKUP($A190,'[1]DATOS PBI Artículos'!A:A,'[1]DATOS PBI Artículos'!B:B)</f>
        <v>0</v>
      </c>
      <c r="C190" s="33" t="str">
        <f>_xlfn.XLOOKUP($A190,'[1]DATOS PBI Artículos'!A:A,'[1]DATOS PBI Artículos'!C:C)</f>
        <v>UA03</v>
      </c>
      <c r="D190" s="33">
        <f>_xlfn.XLOOKUP(A190,'[1]DATOS PBI Artículos'!A:A,'[1]DATOS PBI Artículos'!T:T)</f>
        <v>3</v>
      </c>
      <c r="E190" s="34">
        <f>IF(_xlfn.XLOOKUP($A190,'[1]DATOS PBI Artículos'!A:A,'[1]DATOS PBI Artículos'!AK:AK)="",_xlfn.XLOOKUP($A190,'[1]DATOS PBI Artículos'!A:A,'[1]DATOS PBI Artículos'!AJ:AJ),_xlfn.XLOOKUP($A190,'[1]DATOS PBI Artículos'!A:A,'[1]DATOS PBI Artículos'!AK:AK))</f>
        <v>19200</v>
      </c>
      <c r="F190" s="35">
        <f>_xlfn.XLOOKUP($A190,'[1]DATOS PBI Artículos'!A:A,'[1]DATOS PBI Artículos'!AP:AP)</f>
        <v>35</v>
      </c>
      <c r="G190" s="34">
        <f>_xlfn.XLOOKUP($A190,'[1]DATOS PBI Artículos'!A:A,'[1]DATOS PBI Artículos'!AR:AR)</f>
        <v>9600</v>
      </c>
      <c r="H190" s="34">
        <f>_xlfn.XLOOKUP($A190,'[1]DATOS PBI Artículos'!A:A,'[1]DATOS PBI Artículos'!AT:AT)</f>
        <v>0</v>
      </c>
      <c r="I190" s="34">
        <f>_xlfn.XLOOKUP($A190,'[1]DATOS PBI Artículos'!A:A,'[1]DATOS PBI Artículos'!AS:AS)</f>
        <v>9600</v>
      </c>
      <c r="J190" s="35">
        <f>IF(COUNTIF([1]CRITERIOS!$F$179:$F$199,$A190)&gt;=1,
 IF(O190&lt;&gt;"",
    (O190/_xlfn.XLOOKUP(CONCATENATE(A190,L190),[1]MÁQUINAS!A:A,[1]MÁQUINAS!D:D))/24,
    (N190/_xlfn.XLOOKUP(CONCATENATE(A190,L190),[1]MÁQUINAS!A:A,[1]MÁQUINAS!D:D))/24),
  _xlfn.XLOOKUP($A190,'[1]DATOS PBI Artículos'!A:A,'[1]DATOS PBI Artículos'!AU:AU))</f>
        <v>20.25</v>
      </c>
      <c r="K190" s="36">
        <f>_xlfn.XLOOKUP($A190,'[1]DATOS PBI Artículos'!A:A,'[1]DATOS PBI Artículos'!AV:AV)</f>
        <v>4.5734742446707477</v>
      </c>
      <c r="L190" s="33">
        <f>_xlfn.XLOOKUP(A190,[1]MÁQUINAS!B:B,[1]MÁQUINAS!C:C)</f>
        <v>136</v>
      </c>
      <c r="M190" s="34">
        <f t="array" ref="M190">_xlfn.XLOOKUP(A190,'[1]DATOS PBI Artículos'!A:A,'[1]DATOS PBI Artículos'!AX:$AX)</f>
        <v>6764.1365435644375</v>
      </c>
      <c r="N190" s="37">
        <f>IF(I190="DV",
E190,
IF(COUNTIF([1]CRITERIOS!$I$179:$I$199,$A190)&gt;=1,
_xlfn.XLOOKUP($A190,[1]CRITERIOS!$I$179:$I$199,[1]CRITERIOS!$J$179:$J$199),
IF(COUNTIF([1]CRITERIOS!$L$179:$L$199,$A190)&gt;=1,
_xlfn.CEILING.MATH(IF($M190&gt;$E190,
$E190,
IF($M190&lt;$E190/ROUNDDOWN([1]CRITERIOS!$M$16/_xlfn.XLOOKUP($C190,[1]CRITERIOS!$K$25:$K$42,[1]CRITERIOS!$M$25:$M$42),
1),
E190/ROUNDDOWN([1]CRITERIOS!$M$16/_xlfn.XLOOKUP($C190,[1]CRITERIOS!$K$25:$K$42,[1]CRITERIOS!$M$25:$M$42),
1),
$M190)),
_xlfn.XLOOKUP($A190,[1]CRITERIOS!$L$179:$L$200,[1]CRITERIOS!$M$179:$M$200)),
_xlfn.CEILING.MATH(IF($M190&gt;$E190,
$E190,
IF($M190&lt;$E190/ROUNDDOWN([1]CRITERIOS!$M$16/_xlfn.XLOOKUP($C190,[1]CRITERIOS!$K$25:$K$42,[1]CRITERIOS!$M$25:$M$42),
1),
E190/ROUNDDOWN([1]CRITERIOS!$M$16/_xlfn.XLOOKUP($C190,[1]CRITERIOS!$K$25:$K$42,[1]CRITERIOS!$M$25:$M$42),
1),
$M190)),_xlfn.XLOOKUP(A190,'[1]DATOS PBI Artículos'!A:A,'[1]DATOS PBI Artículos'!Z:Z
)))))</f>
        <v>7200</v>
      </c>
      <c r="Q190" s="38">
        <f>IF(AND(O190="",N190=0),
0,
   IF(COUNTIF([1]CRITERIOS!$F$179:$F$199,$A190)&gt;=1,
   1,
   IF(R190="MTO",
      $D190,
      ROUNDUP(
                    IF(($E190-SUMIF('[1]DATOS PBI Artículos'!A:A,A190,'[1]DATOS PBI Artículos'!X:X)+($V190-_xlfn.XLOOKUP(A190,'[1]DATOS PBI Artículos'!A:A,'[1]DATOS PBI Artículos'!W:W)))&lt;0,
                    0,
                    IF(($E190-SUMIF('[1]DATOS PBI Artículos'!A:A,A190,'[1]DATOS PBI Artículos'!X:X)+$V190-_xlfn.XLOOKUP($A190,'[1]DATOS PBI Artículos'!A:A,'[1]DATOS PBI Artículos'!W:W))/IF($O190="",$N190,$O190)&gt;ROUNDUP([1]CRITERIOS!$M$16/(IF(COUNTIF([1]CRITERIOS!$BG$11:$BG$201,L190)&gt;=1,_xlfn.XLOOKUP($C190,[1]CRITERIOS!$K$25:$K$42,[1]CRITERIOS!$M$25:$M$42),_xlfn.XLOOKUP($C190,[1]CRITERIOS!$K$25:$K$42,[1]CRITERIOS!$M$25:$M$42))),0),
                    ROUNDUP([1]CRITERIOS!$M$16/(IF(COUNTIF([1]CRITERIOS!$BG$11:$BG$201,$L190)&gt;=1,_xlfn.XLOOKUP($C190,[1]CRITERIOS!$K$25:$K$42,[1]CRITERIOS!$M$25:$M$42),_xlfn.XLOOKUP($C190,[1]CRITERIOS!$K$25:$K$42,[1]CRITERIOS!$M$25:$M$42))),0),
                    (E190+V190-SUMIF('[1]DATOS PBI Artículos'!A:A,A190,'[1]DATOS PBI Artículos'!X:X)-_xlfn.XLOOKUP(A190,'[1]DATOS PBI Artículos'!A:A,'[1]DATOS PBI Artículos'!W:W))/IF($O190="",$N190,$O190))),0))))</f>
        <v>3</v>
      </c>
      <c r="R190" s="33" t="str">
        <f>IF(U190&lt;&gt;"",U190,IF(F190="DV","MTO",IF(N190=0,"MTO",_xlfn.XLOOKUP(CONCATENATE(S190,T190),[1]CRITERIOS!$K$160:$K$168,[1]CRITERIOS!$N$160:$N$168))))</f>
        <v>MTO</v>
      </c>
      <c r="S190" s="33" t="str">
        <f>IF(G190="DV","MTO",IF(N190=0,"MTO",IF(OR(AND(N190=0,O190=""),IF(O190="",G190/N190,G190/O190)&gt;[1]CRITERIOS!$G$163),"MTO",IF(IF(O190="",G190/N190,G190/O190)&lt;[1]CRITERIOS!$H$161,"MTS","MTOS"))))</f>
        <v>MTO</v>
      </c>
      <c r="T190" s="33" t="str">
        <f>IF(F190="DV","MTO",IF(OR(AND($N190=0,O190=""),$F190/$J190&gt;[1]CRITERIOS!$G$170,$F190="DV"),"MTO",IF($F190/$J190&lt;[1]CRITERIOS!$H$168,"MTS","MTOS")))</f>
        <v>MTO</v>
      </c>
      <c r="V190" s="34" t="str">
        <f t="shared" si="10"/>
        <v/>
      </c>
      <c r="X190" s="34">
        <f t="shared" si="8"/>
        <v>0</v>
      </c>
      <c r="Y190" s="34">
        <f t="shared" si="9"/>
        <v>0</v>
      </c>
      <c r="Z190" s="34">
        <f>IF($R190="MTO",
0,
($H190+$K190*($E190/[1]CRITERIOS!$M$16))/[1]CRITERIOS!$X$48)</f>
        <v>0</v>
      </c>
      <c r="AA190" s="34" t="e">
        <f>ROUNDUP(($Y190/_xlfn.XLOOKUP($A190,'[1]DATOS PBI Artículos'!$A$4:$A$4,'[1]DATOS PBI Artículos'!$Z$4:$Z$4))/_xlfn.XLOOKUP(_xlfn.XLOOKUP($A190,'[1]DATOS PBI Artículos'!$A$4:$A$4,'[1]DATOS PBI Artículos'!$Y$4:$Y$4),[1]CRITERIOS!$P$79:$P$123,[1]CRITERIOS!$S$79:$S$123,),0)</f>
        <v>#N/A</v>
      </c>
      <c r="AB190" s="33" t="e">
        <f t="array" ref="AB190">IF((E190+V190-_xlfn.XLOOKUP(A190,'[1]DATOS PBI Artículos'!$A$4:$A$4,'[1]DATOS PBI Artículos'!$W$4:$W$4))/N190&gt;ROUNDUP([1]CRITERIOS!$M$16/(IF(COUNTIF([1]CRITERIOS!$BG$11:$BG$201,L190)&gt;=1,_xlfn.XLOOKUP(ARTÍCULOS!L190,[1]CRITERIOS!$BG$11:$BG$201,[1]CRITERIOS!$BJ$11:$BJ$201),_xlfn.XLOOKUP(ARTÍCULOS!C190,[1]CRITERIOS!$K$25:$K$42,[1]CRITERIOS!$M$25:$M$42))),0),ROUNDUP([1]CRITERIOS!$M$16/(IF(COUNTIF([1]CRITERIOS!$BG$11:$BG$201,L190)&gt;=1,_xlfn.XLOOKUP(ARTÍCULOS!L190,[1]CRITERIOS!$BG$11:$BG$201:#REF!,[1]CRITERIOS!$BJ$11:$BJ$201),_xlfn.XLOOKUP(ARTÍCULOS!C190,[1]CRITERIOS!$K$25:$K$42,[1]CRITERIOS!$M$25:$M$42))),0),(E190+V190-_xlfn.XLOOKUP(A190,'[1]DATOS PBI Artículos'!$A$4:$A$4,'[1]DATOS PBI Artículos'!$W$4:$W$4))/N190)</f>
        <v>#VALUE!</v>
      </c>
      <c r="AC190" s="33" t="e">
        <f>IF(N190=0,"",(ROUNDUP((N190/2)/(_xlfn.XLOOKUP(A190,'[1]DATOS PBI Artículos'!$A$4:$A$4,'[1]DATOS PBI Artículos'!$Z$4:$Z$4)*_xlfn.XLOOKUP(_xlfn.XLOOKUP(A190,'[1]DATOS PBI Artículos'!$A$4:$A$4,'[1]DATOS PBI Artículos'!$Y$4:$Y$4),[1]CRITERIOS!$P$79:$P$123,[1]CRITERIOS!$S$79:$S$123)),0)*[1]CRITERIOS!$M$80*([1]CRITERIOS!$M$110/[1]CRITERIOS!$M$86)+(_xlfn.XLOOKUP(A190,'[1]DATOS PBI Artículos'!$A$4:$A$4,'[1]DATOS PBI Artículos'!$AA$4:$AA$4)*([1]CRITERIOS!$M$95+[1]CRITERIOS!$M$98)))/N190)</f>
        <v>#N/A</v>
      </c>
      <c r="AD190" s="33" t="e">
        <f>IF(N190=0,"",(ROUNDUP((N190/2)/(_xlfn.XLOOKUP(A190,'[1]DATOS PBI Artículos'!$A$4:$A$4,'[1]DATOS PBI Artículos'!$Z$4:$Z$4)*_xlfn.XLOOKUP(_xlfn.XLOOKUP(A190,'[1]DATOS PBI Artículos'!$A$4:$A$4,'[1]DATOS PBI Artículos'!$Y$4:$Y$4),[1]CRITERIOS!$P$79:$P$123,[1]CRITERIOS!$S$79:$S$123)),0)*[1]CRITERIOS!$M$80*([1]CRITERIOS!$M$89*[1]CRITERIOS!$M$92)+((_xlfn.XLOOKUP(A190,'[1]DATOS PBI Artículos'!$A$4:$A$4,'[1]DATOS PBI Artículos'!$AA$4:$AA$4)/2)*([1]CRITERIOS!$M$95+[1]CRITERIOS!$M$98)))/N190)</f>
        <v>#N/A</v>
      </c>
      <c r="AE190" s="39" t="str">
        <f>IF($R190="MTO","",
IF($H190=0,ROUNDUP(((_xlfn.XLOOKUP($A190,'[1]DATOS PBI Artículos'!$A:$A,'[1]DATOS PBI Artículos'!$AL:$AL))/(_xlfn.XLOOKUP($AF$1,[1]CRITERIOS!$S$16:$S$39,[1]CRITERIOS!$Y$16:$Y$39))*$J190+$Z190)/$G190,0)*$G190,
((_xlfn.XLOOKUP($A190,'[1]DATOS PBI Artículos'!$A:$A,'[1]DATOS PBI Artículos'!$AL:$AL))/(_xlfn.XLOOKUP($AF$1,[1]CRITERIOS!$S$16:$S$39,[1]CRITERIOS!$Y$16:$Y$39))*$J190+$Z190)))</f>
        <v/>
      </c>
      <c r="AG190" s="39" t="str">
        <f>IF($R190="MTO","",
IF($H190=0,ROUNDUP(((_xlfn.XLOOKUP($A190,'[1]DATOS PBI Artículos'!$A:$A,'[1]DATOS PBI Artículos'!$AM:$AM))/(_xlfn.XLOOKUP($AH$1,[1]CRITERIOS!$S$16:$S$39,[1]CRITERIOS!$Y$16:$Y$39))*$J190+$Z190)/$G190,0)*$G190,
((_xlfn.XLOOKUP($A190,'[1]DATOS PBI Artículos'!$A:$A,'[1]DATOS PBI Artículos'!$AM:$AM))/(_xlfn.XLOOKUP($AH$1,[1]CRITERIOS!$S$16:$S$39,[1]CRITERIOS!$Y$16:$Y$39))*$J190+$Z190)))</f>
        <v/>
      </c>
      <c r="AI190" s="39" t="str">
        <f>IF($R190="MTO","",
IF($H190=0,ROUNDUP(((_xlfn.XLOOKUP($A190,'[1]DATOS PBI Artículos'!$A:$A,'[1]DATOS PBI Artículos'!$AN:$AN))/(_xlfn.XLOOKUP($AJ$1,[1]CRITERIOS!$S$16:$S$39,[1]CRITERIOS!$Y$16:$Y$39))*$J190+$Z190)/$G190,0)*$G190,
((_xlfn.XLOOKUP($A190,'[1]DATOS PBI Artículos'!$A:$A,'[1]DATOS PBI Artículos'!$AN:$AN))/(_xlfn.XLOOKUP($AJ$1,[1]CRITERIOS!$S$16:$S$39,[1]CRITERIOS!$Y$16:$Y$39))*$J190+$Z190)))</f>
        <v/>
      </c>
      <c r="AK190" s="39" t="str">
        <f>IF($R190="MTO","",
IF($H190=0,ROUNDUP(((_xlfn.XLOOKUP($A190,'[1]DATOS PBI Artículos'!$A:$A,'[1]DATOS PBI Artículos'!$AO:$AO))/(_xlfn.XLOOKUP($AL$1,[1]CRITERIOS!$S$16:$S$39,[1]CRITERIOS!$Y$16:$Y$39))*$J190+$Z190)/$G190,0)*$G190,
((_xlfn.XLOOKUP($A190,'[1]DATOS PBI Artículos'!$A:$A,'[1]DATOS PBI Artículos'!$AO:$AO))/(_xlfn.XLOOKUP($AL$1,[1]CRITERIOS!$S$16:$S$39,[1]CRITERIOS!$Y$16:$Y$39))*$J190+$Z190)))</f>
        <v/>
      </c>
    </row>
    <row r="191" spans="1:37" ht="25.8" x14ac:dyDescent="0.5">
      <c r="A191" s="32">
        <v>450179</v>
      </c>
      <c r="B191" s="33">
        <f>_xlfn.XLOOKUP($A191,'[1]DATOS PBI Artículos'!A:A,'[1]DATOS PBI Artículos'!B:B)</f>
        <v>0</v>
      </c>
      <c r="C191" s="33" t="str">
        <f>_xlfn.XLOOKUP($A191,'[1]DATOS PBI Artículos'!A:A,'[1]DATOS PBI Artículos'!C:C)</f>
        <v>UA03</v>
      </c>
      <c r="D191" s="33">
        <f>_xlfn.XLOOKUP(A191,'[1]DATOS PBI Artículos'!A:A,'[1]DATOS PBI Artículos'!T:T)</f>
        <v>1</v>
      </c>
      <c r="E191" s="34">
        <f>IF(_xlfn.XLOOKUP($A191,'[1]DATOS PBI Artículos'!A:A,'[1]DATOS PBI Artículos'!AK:AK)="",_xlfn.XLOOKUP($A191,'[1]DATOS PBI Artículos'!A:A,'[1]DATOS PBI Artículos'!AJ:AJ),_xlfn.XLOOKUP($A191,'[1]DATOS PBI Artículos'!A:A,'[1]DATOS PBI Artículos'!AK:AK))</f>
        <v>18000</v>
      </c>
      <c r="F191" s="35">
        <f>_xlfn.XLOOKUP($A191,'[1]DATOS PBI Artículos'!A:A,'[1]DATOS PBI Artículos'!AP:AP)</f>
        <v>75</v>
      </c>
      <c r="G191" s="34">
        <f>_xlfn.XLOOKUP($A191,'[1]DATOS PBI Artículos'!A:A,'[1]DATOS PBI Artículos'!AR:AR)</f>
        <v>18000</v>
      </c>
      <c r="H191" s="34">
        <f>_xlfn.XLOOKUP($A191,'[1]DATOS PBI Artículos'!A:A,'[1]DATOS PBI Artículos'!AT:AT)</f>
        <v>0</v>
      </c>
      <c r="I191" s="34">
        <f>_xlfn.XLOOKUP($A191,'[1]DATOS PBI Artículos'!A:A,'[1]DATOS PBI Artículos'!AS:AS)</f>
        <v>18000</v>
      </c>
      <c r="J191" s="35">
        <f>IF(COUNTIF([1]CRITERIOS!$F$179:$F$199,$A191)&gt;=1,
 IF(O191&lt;&gt;"",
    (O191/_xlfn.XLOOKUP(CONCATENATE(A191,L191),[1]MÁQUINAS!A:A,[1]MÁQUINAS!D:D))/24,
    (N191/_xlfn.XLOOKUP(CONCATENATE(A191,L191),[1]MÁQUINAS!A:A,[1]MÁQUINAS!D:D))/24),
  _xlfn.XLOOKUP($A191,'[1]DATOS PBI Artículos'!A:A,'[1]DATOS PBI Artículos'!AU:AU))</f>
        <v>11.5</v>
      </c>
      <c r="K191" s="36">
        <f>_xlfn.XLOOKUP($A191,'[1]DATOS PBI Artículos'!A:A,'[1]DATOS PBI Artículos'!AV:AV)</f>
        <v>0.70710678118654757</v>
      </c>
      <c r="L191" s="33">
        <f>_xlfn.XLOOKUP(A191,[1]MÁQUINAS!B:B,[1]MÁQUINAS!C:C)</f>
        <v>122</v>
      </c>
      <c r="M191" s="34">
        <f t="array" ref="M191">_xlfn.XLOOKUP(A191,'[1]DATOS PBI Artículos'!A:A,'[1]DATOS PBI Artículos'!AX:$AX)</f>
        <v>18238.555929012855</v>
      </c>
      <c r="N191" s="37">
        <f>IF(I191="DV",
E191,
IF(COUNTIF([1]CRITERIOS!$I$179:$I$199,$A191)&gt;=1,
_xlfn.XLOOKUP($A191,[1]CRITERIOS!$I$179:$I$199,[1]CRITERIOS!$J$179:$J$199),
IF(COUNTIF([1]CRITERIOS!$L$179:$L$199,$A191)&gt;=1,
_xlfn.CEILING.MATH(IF($M191&gt;$E191,
$E191,
IF($M191&lt;$E191/ROUNDDOWN([1]CRITERIOS!$M$16/_xlfn.XLOOKUP($C191,[1]CRITERIOS!$K$25:$K$42,[1]CRITERIOS!$M$25:$M$42),
1),
E191/ROUNDDOWN([1]CRITERIOS!$M$16/_xlfn.XLOOKUP($C191,[1]CRITERIOS!$K$25:$K$42,[1]CRITERIOS!$M$25:$M$42),
1),
$M191)),
_xlfn.XLOOKUP($A191,[1]CRITERIOS!$L$179:$L$200,[1]CRITERIOS!$M$179:$M$200)),
_xlfn.CEILING.MATH(IF($M191&gt;$E191,
$E191,
IF($M191&lt;$E191/ROUNDDOWN([1]CRITERIOS!$M$16/_xlfn.XLOOKUP($C191,[1]CRITERIOS!$K$25:$K$42,[1]CRITERIOS!$M$25:$M$42),
1),
E191/ROUNDDOWN([1]CRITERIOS!$M$16/_xlfn.XLOOKUP($C191,[1]CRITERIOS!$K$25:$K$42,[1]CRITERIOS!$M$25:$M$42),
1),
$M191)),_xlfn.XLOOKUP(A191,'[1]DATOS PBI Artículos'!A:A,'[1]DATOS PBI Artículos'!Z:Z
)))))</f>
        <v>18000</v>
      </c>
      <c r="Q191" s="38">
        <f>IF(AND(O191="",N191=0),
0,
   IF(COUNTIF([1]CRITERIOS!$F$179:$F$199,$A191)&gt;=1,
   1,
   IF(R191="MTO",
      $D191,
      ROUNDUP(
                    IF(($E191-SUMIF('[1]DATOS PBI Artículos'!A:A,A191,'[1]DATOS PBI Artículos'!X:X)+($V191-_xlfn.XLOOKUP(A191,'[1]DATOS PBI Artículos'!A:A,'[1]DATOS PBI Artículos'!W:W)))&lt;0,
                    0,
                    IF(($E191-SUMIF('[1]DATOS PBI Artículos'!A:A,A191,'[1]DATOS PBI Artículos'!X:X)+$V191-_xlfn.XLOOKUP($A191,'[1]DATOS PBI Artículos'!A:A,'[1]DATOS PBI Artículos'!W:W))/IF($O191="",$N191,$O191)&gt;ROUNDUP([1]CRITERIOS!$M$16/(IF(COUNTIF([1]CRITERIOS!$BG$11:$BG$201,L191)&gt;=1,_xlfn.XLOOKUP($C191,[1]CRITERIOS!$K$25:$K$42,[1]CRITERIOS!$M$25:$M$42),_xlfn.XLOOKUP($C191,[1]CRITERIOS!$K$25:$K$42,[1]CRITERIOS!$M$25:$M$42))),0),
                    ROUNDUP([1]CRITERIOS!$M$16/(IF(COUNTIF([1]CRITERIOS!$BG$11:$BG$201,$L191)&gt;=1,_xlfn.XLOOKUP($C191,[1]CRITERIOS!$K$25:$K$42,[1]CRITERIOS!$M$25:$M$42),_xlfn.XLOOKUP($C191,[1]CRITERIOS!$K$25:$K$42,[1]CRITERIOS!$M$25:$M$42))),0),
                    (E191+V191-SUMIF('[1]DATOS PBI Artículos'!A:A,A191,'[1]DATOS PBI Artículos'!X:X)-_xlfn.XLOOKUP(A191,'[1]DATOS PBI Artículos'!A:A,'[1]DATOS PBI Artículos'!W:W))/IF($O191="",$N191,$O191))),0))))</f>
        <v>1</v>
      </c>
      <c r="R191" s="33" t="str">
        <f>IF(U191&lt;&gt;"",U191,IF(F191="DV","MTO",IF(N191=0,"MTO",_xlfn.XLOOKUP(CONCATENATE(S191,T191),[1]CRITERIOS!$K$160:$K$168,[1]CRITERIOS!$N$160:$N$168))))</f>
        <v>MTO</v>
      </c>
      <c r="S191" s="33" t="str">
        <f>IF(G191="DV","MTO",IF(N191=0,"MTO",IF(OR(AND(N191=0,O191=""),IF(O191="",G191/N191,G191/O191)&gt;[1]CRITERIOS!$G$163),"MTO",IF(IF(O191="",G191/N191,G191/O191)&lt;[1]CRITERIOS!$H$161,"MTS","MTOS"))))</f>
        <v>MTO</v>
      </c>
      <c r="T191" s="33" t="str">
        <f>IF(F191="DV","MTO",IF(OR(AND($N191=0,O191=""),$F191/$J191&gt;[1]CRITERIOS!$G$170,$F191="DV"),"MTO",IF($F191/$J191&lt;[1]CRITERIOS!$H$168,"MTS","MTOS")))</f>
        <v>MTO</v>
      </c>
      <c r="V191" s="34" t="str">
        <f t="shared" si="10"/>
        <v/>
      </c>
      <c r="X191" s="34">
        <f t="shared" si="8"/>
        <v>0</v>
      </c>
      <c r="Y191" s="34">
        <f t="shared" si="9"/>
        <v>0</v>
      </c>
      <c r="Z191" s="34">
        <f>IF($R191="MTO",
0,
($H191+$K191*($E191/[1]CRITERIOS!$M$16))/[1]CRITERIOS!$X$48)</f>
        <v>0</v>
      </c>
      <c r="AA191" s="34" t="e">
        <f>ROUNDUP(($Y191/_xlfn.XLOOKUP($A191,'[1]DATOS PBI Artículos'!$A$4:$A$4,'[1]DATOS PBI Artículos'!$Z$4:$Z$4))/_xlfn.XLOOKUP(_xlfn.XLOOKUP($A191,'[1]DATOS PBI Artículos'!$A$4:$A$4,'[1]DATOS PBI Artículos'!$Y$4:$Y$4),[1]CRITERIOS!$P$79:$P$123,[1]CRITERIOS!$S$79:$S$123,),0)</f>
        <v>#N/A</v>
      </c>
      <c r="AB191" s="33" t="e">
        <f t="array" ref="AB191">IF((E191+V191-_xlfn.XLOOKUP(A191,'[1]DATOS PBI Artículos'!$A$4:$A$4,'[1]DATOS PBI Artículos'!$W$4:$W$4))/N191&gt;ROUNDUP([1]CRITERIOS!$M$16/(IF(COUNTIF([1]CRITERIOS!$BG$11:$BG$201,L191)&gt;=1,_xlfn.XLOOKUP(ARTÍCULOS!L191,[1]CRITERIOS!$BG$11:$BG$201,[1]CRITERIOS!$BJ$11:$BJ$201),_xlfn.XLOOKUP(ARTÍCULOS!C191,[1]CRITERIOS!$K$25:$K$42,[1]CRITERIOS!$M$25:$M$42))),0),ROUNDUP([1]CRITERIOS!$M$16/(IF(COUNTIF([1]CRITERIOS!$BG$11:$BG$201,L191)&gt;=1,_xlfn.XLOOKUP(ARTÍCULOS!L191,[1]CRITERIOS!$BG$11:$BG$201:#REF!,[1]CRITERIOS!$BJ$11:$BJ$201),_xlfn.XLOOKUP(ARTÍCULOS!C191,[1]CRITERIOS!$K$25:$K$42,[1]CRITERIOS!$M$25:$M$42))),0),(E191+V191-_xlfn.XLOOKUP(A191,'[1]DATOS PBI Artículos'!$A$4:$A$4,'[1]DATOS PBI Artículos'!$W$4:$W$4))/N191)</f>
        <v>#VALUE!</v>
      </c>
      <c r="AC191" s="33" t="e">
        <f>IF(N191=0,"",(ROUNDUP((N191/2)/(_xlfn.XLOOKUP(A191,'[1]DATOS PBI Artículos'!$A$4:$A$4,'[1]DATOS PBI Artículos'!$Z$4:$Z$4)*_xlfn.XLOOKUP(_xlfn.XLOOKUP(A191,'[1]DATOS PBI Artículos'!$A$4:$A$4,'[1]DATOS PBI Artículos'!$Y$4:$Y$4),[1]CRITERIOS!$P$79:$P$123,[1]CRITERIOS!$S$79:$S$123)),0)*[1]CRITERIOS!$M$80*([1]CRITERIOS!$M$110/[1]CRITERIOS!$M$86)+(_xlfn.XLOOKUP(A191,'[1]DATOS PBI Artículos'!$A$4:$A$4,'[1]DATOS PBI Artículos'!$AA$4:$AA$4)*([1]CRITERIOS!$M$95+[1]CRITERIOS!$M$98)))/N191)</f>
        <v>#N/A</v>
      </c>
      <c r="AD191" s="33" t="e">
        <f>IF(N191=0,"",(ROUNDUP((N191/2)/(_xlfn.XLOOKUP(A191,'[1]DATOS PBI Artículos'!$A$4:$A$4,'[1]DATOS PBI Artículos'!$Z$4:$Z$4)*_xlfn.XLOOKUP(_xlfn.XLOOKUP(A191,'[1]DATOS PBI Artículos'!$A$4:$A$4,'[1]DATOS PBI Artículos'!$Y$4:$Y$4),[1]CRITERIOS!$P$79:$P$123,[1]CRITERIOS!$S$79:$S$123)),0)*[1]CRITERIOS!$M$80*([1]CRITERIOS!$M$89*[1]CRITERIOS!$M$92)+((_xlfn.XLOOKUP(A191,'[1]DATOS PBI Artículos'!$A$4:$A$4,'[1]DATOS PBI Artículos'!$AA$4:$AA$4)/2)*([1]CRITERIOS!$M$95+[1]CRITERIOS!$M$98)))/N191)</f>
        <v>#N/A</v>
      </c>
      <c r="AE191" s="39" t="str">
        <f>IF($R191="MTO","",
IF($H191=0,ROUNDUP(((_xlfn.XLOOKUP($A191,'[1]DATOS PBI Artículos'!$A:$A,'[1]DATOS PBI Artículos'!$AL:$AL))/(_xlfn.XLOOKUP($AF$1,[1]CRITERIOS!$S$16:$S$39,[1]CRITERIOS!$Y$16:$Y$39))*$J191+$Z191)/$G191,0)*$G191,
((_xlfn.XLOOKUP($A191,'[1]DATOS PBI Artículos'!$A:$A,'[1]DATOS PBI Artículos'!$AL:$AL))/(_xlfn.XLOOKUP($AF$1,[1]CRITERIOS!$S$16:$S$39,[1]CRITERIOS!$Y$16:$Y$39))*$J191+$Z191)))</f>
        <v/>
      </c>
      <c r="AG191" s="39" t="str">
        <f>IF($R191="MTO","",
IF($H191=0,ROUNDUP(((_xlfn.XLOOKUP($A191,'[1]DATOS PBI Artículos'!$A:$A,'[1]DATOS PBI Artículos'!$AM:$AM))/(_xlfn.XLOOKUP($AH$1,[1]CRITERIOS!$S$16:$S$39,[1]CRITERIOS!$Y$16:$Y$39))*$J191+$Z191)/$G191,0)*$G191,
((_xlfn.XLOOKUP($A191,'[1]DATOS PBI Artículos'!$A:$A,'[1]DATOS PBI Artículos'!$AM:$AM))/(_xlfn.XLOOKUP($AH$1,[1]CRITERIOS!$S$16:$S$39,[1]CRITERIOS!$Y$16:$Y$39))*$J191+$Z191)))</f>
        <v/>
      </c>
      <c r="AI191" s="39" t="str">
        <f>IF($R191="MTO","",
IF($H191=0,ROUNDUP(((_xlfn.XLOOKUP($A191,'[1]DATOS PBI Artículos'!$A:$A,'[1]DATOS PBI Artículos'!$AN:$AN))/(_xlfn.XLOOKUP($AJ$1,[1]CRITERIOS!$S$16:$S$39,[1]CRITERIOS!$Y$16:$Y$39))*$J191+$Z191)/$G191,0)*$G191,
((_xlfn.XLOOKUP($A191,'[1]DATOS PBI Artículos'!$A:$A,'[1]DATOS PBI Artículos'!$AN:$AN))/(_xlfn.XLOOKUP($AJ$1,[1]CRITERIOS!$S$16:$S$39,[1]CRITERIOS!$Y$16:$Y$39))*$J191+$Z191)))</f>
        <v/>
      </c>
      <c r="AK191" s="39" t="str">
        <f>IF($R191="MTO","",
IF($H191=0,ROUNDUP(((_xlfn.XLOOKUP($A191,'[1]DATOS PBI Artículos'!$A:$A,'[1]DATOS PBI Artículos'!$AO:$AO))/(_xlfn.XLOOKUP($AL$1,[1]CRITERIOS!$S$16:$S$39,[1]CRITERIOS!$Y$16:$Y$39))*$J191+$Z191)/$G191,0)*$G191,
((_xlfn.XLOOKUP($A191,'[1]DATOS PBI Artículos'!$A:$A,'[1]DATOS PBI Artículos'!$AO:$AO))/(_xlfn.XLOOKUP($AL$1,[1]CRITERIOS!$S$16:$S$39,[1]CRITERIOS!$Y$16:$Y$39))*$J191+$Z191)))</f>
        <v/>
      </c>
    </row>
    <row r="192" spans="1:37" ht="25.8" x14ac:dyDescent="0.5">
      <c r="A192" s="32">
        <v>452240</v>
      </c>
      <c r="B192" s="33">
        <f>_xlfn.XLOOKUP($A192,'[1]DATOS PBI Artículos'!A:A,'[1]DATOS PBI Artículos'!B:B)</f>
        <v>0</v>
      </c>
      <c r="C192" s="33" t="str">
        <f>_xlfn.XLOOKUP($A192,'[1]DATOS PBI Artículos'!A:A,'[1]DATOS PBI Artículos'!C:C)</f>
        <v>UA02</v>
      </c>
      <c r="D192" s="33">
        <f>_xlfn.XLOOKUP(A192,'[1]DATOS PBI Artículos'!A:A,'[1]DATOS PBI Artículos'!T:T)</f>
        <v>1</v>
      </c>
      <c r="E192" s="34">
        <f>IF(_xlfn.XLOOKUP($A192,'[1]DATOS PBI Artículos'!A:A,'[1]DATOS PBI Artículos'!AK:AK)="",_xlfn.XLOOKUP($A192,'[1]DATOS PBI Artículos'!A:A,'[1]DATOS PBI Artículos'!AJ:AJ),_xlfn.XLOOKUP($A192,'[1]DATOS PBI Artículos'!A:A,'[1]DATOS PBI Artículos'!AK:AK))</f>
        <v>17400</v>
      </c>
      <c r="F192" s="35">
        <f>_xlfn.XLOOKUP($A192,'[1]DATOS PBI Artículos'!A:A,'[1]DATOS PBI Artículos'!AP:AP)</f>
        <v>75</v>
      </c>
      <c r="G192" s="34">
        <f>_xlfn.XLOOKUP($A192,'[1]DATOS PBI Artículos'!A:A,'[1]DATOS PBI Artículos'!AR:AR)</f>
        <v>17400</v>
      </c>
      <c r="H192" s="34">
        <f>_xlfn.XLOOKUP($A192,'[1]DATOS PBI Artículos'!A:A,'[1]DATOS PBI Artículos'!AT:AT)</f>
        <v>0</v>
      </c>
      <c r="I192" s="34">
        <f>_xlfn.XLOOKUP($A192,'[1]DATOS PBI Artículos'!A:A,'[1]DATOS PBI Artículos'!AS:AS)</f>
        <v>17400</v>
      </c>
      <c r="J192" s="35">
        <f>IF(COUNTIF([1]CRITERIOS!$F$179:$F$199,$A192)&gt;=1,
 IF(O192&lt;&gt;"",
    (O192/_xlfn.XLOOKUP(CONCATENATE(A192,L192),[1]MÁQUINAS!A:A,[1]MÁQUINAS!D:D))/24,
    (N192/_xlfn.XLOOKUP(CONCATENATE(A192,L192),[1]MÁQUINAS!A:A,[1]MÁQUINAS!D:D))/24),
  _xlfn.XLOOKUP($A192,'[1]DATOS PBI Artículos'!A:A,'[1]DATOS PBI Artículos'!AU:AU))</f>
        <v>13.5</v>
      </c>
      <c r="K192" s="36">
        <f>_xlfn.XLOOKUP($A192,'[1]DATOS PBI Artículos'!A:A,'[1]DATOS PBI Artículos'!AV:AV)</f>
        <v>0.70710678118654757</v>
      </c>
      <c r="L192" s="33">
        <f>_xlfn.XLOOKUP(A192,[1]MÁQUINAS!B:B,[1]MÁQUINAS!C:C)</f>
        <v>211</v>
      </c>
      <c r="M192" s="34">
        <f t="array" ref="M192">_xlfn.XLOOKUP(A192,'[1]DATOS PBI Artículos'!A:A,'[1]DATOS PBI Artículos'!AX:$AX)</f>
        <v>12592.31561540795</v>
      </c>
      <c r="N192" s="37">
        <f>IF(I192="DV",
E192,
IF(COUNTIF([1]CRITERIOS!$I$179:$I$199,$A192)&gt;=1,
_xlfn.XLOOKUP($A192,[1]CRITERIOS!$I$179:$I$199,[1]CRITERIOS!$J$179:$J$199),
IF(COUNTIF([1]CRITERIOS!$L$179:$L$199,$A192)&gt;=1,
_xlfn.CEILING.MATH(IF($M192&gt;$E192,
$E192,
IF($M192&lt;$E192/ROUNDDOWN([1]CRITERIOS!$M$16/_xlfn.XLOOKUP($C192,[1]CRITERIOS!$K$25:$K$42,[1]CRITERIOS!$M$25:$M$42),
1),
E192/ROUNDDOWN([1]CRITERIOS!$M$16/_xlfn.XLOOKUP($C192,[1]CRITERIOS!$K$25:$K$42,[1]CRITERIOS!$M$25:$M$42),
1),
$M192)),
_xlfn.XLOOKUP($A192,[1]CRITERIOS!$L$179:$L$200,[1]CRITERIOS!$M$179:$M$200)),
_xlfn.CEILING.MATH(IF($M192&gt;$E192,
$E192,
IF($M192&lt;$E192/ROUNDDOWN([1]CRITERIOS!$M$16/_xlfn.XLOOKUP($C192,[1]CRITERIOS!$K$25:$K$42,[1]CRITERIOS!$M$25:$M$42),
1),
E192/ROUNDDOWN([1]CRITERIOS!$M$16/_xlfn.XLOOKUP($C192,[1]CRITERIOS!$K$25:$K$42,[1]CRITERIOS!$M$25:$M$42),
1),
$M192)),_xlfn.XLOOKUP(A192,'[1]DATOS PBI Artículos'!A:A,'[1]DATOS PBI Artículos'!Z:Z
)))))</f>
        <v>15000</v>
      </c>
      <c r="Q192" s="38">
        <f>IF(AND(O192="",N192=0),
0,
   IF(COUNTIF([1]CRITERIOS!$F$179:$F$199,$A192)&gt;=1,
   1,
   IF(R192="MTO",
      $D192,
      ROUNDUP(
                    IF(($E192-SUMIF('[1]DATOS PBI Artículos'!A:A,A192,'[1]DATOS PBI Artículos'!X:X)+($V192-_xlfn.XLOOKUP(A192,'[1]DATOS PBI Artículos'!A:A,'[1]DATOS PBI Artículos'!W:W)))&lt;0,
                    0,
                    IF(($E192-SUMIF('[1]DATOS PBI Artículos'!A:A,A192,'[1]DATOS PBI Artículos'!X:X)+$V192-_xlfn.XLOOKUP($A192,'[1]DATOS PBI Artículos'!A:A,'[1]DATOS PBI Artículos'!W:W))/IF($O192="",$N192,$O192)&gt;ROUNDUP([1]CRITERIOS!$M$16/(IF(COUNTIF([1]CRITERIOS!$BG$11:$BG$201,L192)&gt;=1,_xlfn.XLOOKUP($C192,[1]CRITERIOS!$K$25:$K$42,[1]CRITERIOS!$M$25:$M$42),_xlfn.XLOOKUP($C192,[1]CRITERIOS!$K$25:$K$42,[1]CRITERIOS!$M$25:$M$42))),0),
                    ROUNDUP([1]CRITERIOS!$M$16/(IF(COUNTIF([1]CRITERIOS!$BG$11:$BG$201,$L192)&gt;=1,_xlfn.XLOOKUP($C192,[1]CRITERIOS!$K$25:$K$42,[1]CRITERIOS!$M$25:$M$42),_xlfn.XLOOKUP($C192,[1]CRITERIOS!$K$25:$K$42,[1]CRITERIOS!$M$25:$M$42))),0),
                    (E192+V192-SUMIF('[1]DATOS PBI Artículos'!A:A,A192,'[1]DATOS PBI Artículos'!X:X)-_xlfn.XLOOKUP(A192,'[1]DATOS PBI Artículos'!A:A,'[1]DATOS PBI Artículos'!W:W))/IF($O192="",$N192,$O192))),0))))</f>
        <v>1</v>
      </c>
      <c r="R192" s="33" t="str">
        <f>IF(U192&lt;&gt;"",U192,IF(F192="DV","MTO",IF(N192=0,"MTO",_xlfn.XLOOKUP(CONCATENATE(S192,T192),[1]CRITERIOS!$K$160:$K$168,[1]CRITERIOS!$N$160:$N$168))))</f>
        <v>MTO</v>
      </c>
      <c r="S192" s="33" t="str">
        <f>IF(G192="DV","MTO",IF(N192=0,"MTO",IF(OR(AND(N192=0,O192=""),IF(O192="",G192/N192,G192/O192)&gt;[1]CRITERIOS!$G$163),"MTO",IF(IF(O192="",G192/N192,G192/O192)&lt;[1]CRITERIOS!$H$161,"MTS","MTOS"))))</f>
        <v>MTO</v>
      </c>
      <c r="T192" s="33" t="str">
        <f>IF(F192="DV","MTO",IF(OR(AND($N192=0,O192=""),$F192/$J192&gt;[1]CRITERIOS!$G$170,$F192="DV"),"MTO",IF($F192/$J192&lt;[1]CRITERIOS!$H$168,"MTS","MTOS")))</f>
        <v>MTO</v>
      </c>
      <c r="V192" s="34" t="str">
        <f t="shared" si="10"/>
        <v/>
      </c>
      <c r="X192" s="34">
        <f t="shared" si="8"/>
        <v>0</v>
      </c>
      <c r="Y192" s="34">
        <f t="shared" si="9"/>
        <v>0</v>
      </c>
      <c r="Z192" s="34">
        <f>IF($R192="MTO",
0,
($H192+$K192*($E192/[1]CRITERIOS!$M$16))/[1]CRITERIOS!$X$48)</f>
        <v>0</v>
      </c>
      <c r="AA192" s="34" t="e">
        <f>ROUNDUP(($Y192/_xlfn.XLOOKUP($A192,'[1]DATOS PBI Artículos'!$A$4:$A$4,'[1]DATOS PBI Artículos'!$Z$4:$Z$4))/_xlfn.XLOOKUP(_xlfn.XLOOKUP($A192,'[1]DATOS PBI Artículos'!$A$4:$A$4,'[1]DATOS PBI Artículos'!$Y$4:$Y$4),[1]CRITERIOS!$P$79:$P$123,[1]CRITERIOS!$S$79:$S$123,),0)</f>
        <v>#N/A</v>
      </c>
      <c r="AB192" s="33" t="e">
        <f t="array" ref="AB192">IF((E192+V192-_xlfn.XLOOKUP(A192,'[1]DATOS PBI Artículos'!$A$4:$A$4,'[1]DATOS PBI Artículos'!$W$4:$W$4))/N192&gt;ROUNDUP([1]CRITERIOS!$M$16/(IF(COUNTIF([1]CRITERIOS!$BG$11:$BG$201,L192)&gt;=1,_xlfn.XLOOKUP(ARTÍCULOS!L192,[1]CRITERIOS!$BG$11:$BG$201,[1]CRITERIOS!$BJ$11:$BJ$201),_xlfn.XLOOKUP(ARTÍCULOS!C192,[1]CRITERIOS!$K$25:$K$42,[1]CRITERIOS!$M$25:$M$42))),0),ROUNDUP([1]CRITERIOS!$M$16/(IF(COUNTIF([1]CRITERIOS!$BG$11:$BG$201,L192)&gt;=1,_xlfn.XLOOKUP(ARTÍCULOS!L192,[1]CRITERIOS!$BG$11:$BG$201:#REF!,[1]CRITERIOS!$BJ$11:$BJ$201),_xlfn.XLOOKUP(ARTÍCULOS!C192,[1]CRITERIOS!$K$25:$K$42,[1]CRITERIOS!$M$25:$M$42))),0),(E192+V192-_xlfn.XLOOKUP(A192,'[1]DATOS PBI Artículos'!$A$4:$A$4,'[1]DATOS PBI Artículos'!$W$4:$W$4))/N192)</f>
        <v>#VALUE!</v>
      </c>
      <c r="AC192" s="33" t="e">
        <f>IF(N192=0,"",(ROUNDUP((N192/2)/(_xlfn.XLOOKUP(A192,'[1]DATOS PBI Artículos'!$A$4:$A$4,'[1]DATOS PBI Artículos'!$Z$4:$Z$4)*_xlfn.XLOOKUP(_xlfn.XLOOKUP(A192,'[1]DATOS PBI Artículos'!$A$4:$A$4,'[1]DATOS PBI Artículos'!$Y$4:$Y$4),[1]CRITERIOS!$P$79:$P$123,[1]CRITERIOS!$S$79:$S$123)),0)*[1]CRITERIOS!$M$80*([1]CRITERIOS!$M$110/[1]CRITERIOS!$M$86)+(_xlfn.XLOOKUP(A192,'[1]DATOS PBI Artículos'!$A$4:$A$4,'[1]DATOS PBI Artículos'!$AA$4:$AA$4)*([1]CRITERIOS!$M$95+[1]CRITERIOS!$M$98)))/N192)</f>
        <v>#N/A</v>
      </c>
      <c r="AD192" s="33" t="e">
        <f>IF(N192=0,"",(ROUNDUP((N192/2)/(_xlfn.XLOOKUP(A192,'[1]DATOS PBI Artículos'!$A$4:$A$4,'[1]DATOS PBI Artículos'!$Z$4:$Z$4)*_xlfn.XLOOKUP(_xlfn.XLOOKUP(A192,'[1]DATOS PBI Artículos'!$A$4:$A$4,'[1]DATOS PBI Artículos'!$Y$4:$Y$4),[1]CRITERIOS!$P$79:$P$123,[1]CRITERIOS!$S$79:$S$123)),0)*[1]CRITERIOS!$M$80*([1]CRITERIOS!$M$89*[1]CRITERIOS!$M$92)+((_xlfn.XLOOKUP(A192,'[1]DATOS PBI Artículos'!$A$4:$A$4,'[1]DATOS PBI Artículos'!$AA$4:$AA$4)/2)*([1]CRITERIOS!$M$95+[1]CRITERIOS!$M$98)))/N192)</f>
        <v>#N/A</v>
      </c>
      <c r="AE192" s="39" t="str">
        <f>IF($R192="MTO","",
IF($H192=0,ROUNDUP(((_xlfn.XLOOKUP($A192,'[1]DATOS PBI Artículos'!$A:$A,'[1]DATOS PBI Artículos'!$AL:$AL))/(_xlfn.XLOOKUP($AF$1,[1]CRITERIOS!$S$16:$S$39,[1]CRITERIOS!$Y$16:$Y$39))*$J192+$Z192)/$G192,0)*$G192,
((_xlfn.XLOOKUP($A192,'[1]DATOS PBI Artículos'!$A:$A,'[1]DATOS PBI Artículos'!$AL:$AL))/(_xlfn.XLOOKUP($AF$1,[1]CRITERIOS!$S$16:$S$39,[1]CRITERIOS!$Y$16:$Y$39))*$J192+$Z192)))</f>
        <v/>
      </c>
      <c r="AG192" s="39" t="str">
        <f>IF($R192="MTO","",
IF($H192=0,ROUNDUP(((_xlfn.XLOOKUP($A192,'[1]DATOS PBI Artículos'!$A:$A,'[1]DATOS PBI Artículos'!$AM:$AM))/(_xlfn.XLOOKUP($AH$1,[1]CRITERIOS!$S$16:$S$39,[1]CRITERIOS!$Y$16:$Y$39))*$J192+$Z192)/$G192,0)*$G192,
((_xlfn.XLOOKUP($A192,'[1]DATOS PBI Artículos'!$A:$A,'[1]DATOS PBI Artículos'!$AM:$AM))/(_xlfn.XLOOKUP($AH$1,[1]CRITERIOS!$S$16:$S$39,[1]CRITERIOS!$Y$16:$Y$39))*$J192+$Z192)))</f>
        <v/>
      </c>
      <c r="AI192" s="39" t="str">
        <f>IF($R192="MTO","",
IF($H192=0,ROUNDUP(((_xlfn.XLOOKUP($A192,'[1]DATOS PBI Artículos'!$A:$A,'[1]DATOS PBI Artículos'!$AN:$AN))/(_xlfn.XLOOKUP($AJ$1,[1]CRITERIOS!$S$16:$S$39,[1]CRITERIOS!$Y$16:$Y$39))*$J192+$Z192)/$G192,0)*$G192,
((_xlfn.XLOOKUP($A192,'[1]DATOS PBI Artículos'!$A:$A,'[1]DATOS PBI Artículos'!$AN:$AN))/(_xlfn.XLOOKUP($AJ$1,[1]CRITERIOS!$S$16:$S$39,[1]CRITERIOS!$Y$16:$Y$39))*$J192+$Z192)))</f>
        <v/>
      </c>
      <c r="AK192" s="39" t="str">
        <f>IF($R192="MTO","",
IF($H192=0,ROUNDUP(((_xlfn.XLOOKUP($A192,'[1]DATOS PBI Artículos'!$A:$A,'[1]DATOS PBI Artículos'!$AO:$AO))/(_xlfn.XLOOKUP($AL$1,[1]CRITERIOS!$S$16:$S$39,[1]CRITERIOS!$Y$16:$Y$39))*$J192+$Z192)/$G192,0)*$G192,
((_xlfn.XLOOKUP($A192,'[1]DATOS PBI Artículos'!$A:$A,'[1]DATOS PBI Artículos'!$AO:$AO))/(_xlfn.XLOOKUP($AL$1,[1]CRITERIOS!$S$16:$S$39,[1]CRITERIOS!$Y$16:$Y$39))*$J192+$Z192)))</f>
        <v/>
      </c>
    </row>
    <row r="193" spans="1:37" ht="25.8" x14ac:dyDescent="0.5">
      <c r="A193" s="32">
        <v>450348</v>
      </c>
      <c r="B193" s="33">
        <f>_xlfn.XLOOKUP($A193,'[1]DATOS PBI Artículos'!A:A,'[1]DATOS PBI Artículos'!B:B)</f>
        <v>0</v>
      </c>
      <c r="C193" s="33" t="str">
        <f>_xlfn.XLOOKUP($A193,'[1]DATOS PBI Artículos'!A:A,'[1]DATOS PBI Artículos'!C:C)</f>
        <v>UA03</v>
      </c>
      <c r="D193" s="33">
        <f>_xlfn.XLOOKUP(A193,'[1]DATOS PBI Artículos'!A:A,'[1]DATOS PBI Artículos'!T:T)</f>
        <v>15</v>
      </c>
      <c r="E193" s="34">
        <f>IF(_xlfn.XLOOKUP($A193,'[1]DATOS PBI Artículos'!A:A,'[1]DATOS PBI Artículos'!AK:AK)="",_xlfn.XLOOKUP($A193,'[1]DATOS PBI Artículos'!A:A,'[1]DATOS PBI Artículos'!AJ:AJ),_xlfn.XLOOKUP($A193,'[1]DATOS PBI Artículos'!A:A,'[1]DATOS PBI Artículos'!AK:AK))</f>
        <v>16200</v>
      </c>
      <c r="F193" s="35">
        <f>_xlfn.XLOOKUP($A193,'[1]DATOS PBI Artículos'!A:A,'[1]DATOS PBI Artículos'!AP:AP)</f>
        <v>4.6923076923</v>
      </c>
      <c r="G193" s="34">
        <f>_xlfn.XLOOKUP($A193,'[1]DATOS PBI Artículos'!A:A,'[1]DATOS PBI Artículos'!AR:AR)</f>
        <v>1200</v>
      </c>
      <c r="H193" s="34">
        <f>_xlfn.XLOOKUP($A193,'[1]DATOS PBI Artículos'!A:A,'[1]DATOS PBI Artículos'!AT:AT)</f>
        <v>954.91786655614089</v>
      </c>
      <c r="I193" s="34">
        <f>_xlfn.XLOOKUP($A193,'[1]DATOS PBI Artículos'!A:A,'[1]DATOS PBI Artículos'!AS:AS)</f>
        <v>600</v>
      </c>
      <c r="J193" s="35">
        <f>IF(COUNTIF([1]CRITERIOS!$F$179:$F$199,$A193)&gt;=1,
 IF(O193&lt;&gt;"",
    (O193/_xlfn.XLOOKUP(CONCATENATE(A193,L193),[1]MÁQUINAS!A:A,[1]MÁQUINAS!D:D))/24,
    (N193/_xlfn.XLOOKUP(CONCATENATE(A193,L193),[1]MÁQUINAS!A:A,[1]MÁQUINAS!D:D))/24),
  _xlfn.XLOOKUP($A193,'[1]DATOS PBI Artículos'!A:A,'[1]DATOS PBI Artículos'!AU:AU))</f>
        <v>12.75</v>
      </c>
      <c r="K193" s="36">
        <f>_xlfn.XLOOKUP($A193,'[1]DATOS PBI Artículos'!A:A,'[1]DATOS PBI Artículos'!AV:AV)</f>
        <v>2.1876275473019362</v>
      </c>
      <c r="L193" s="33">
        <f>_xlfn.XLOOKUP(A193,[1]MÁQUINAS!B:B,[1]MÁQUINAS!C:C)</f>
        <v>122</v>
      </c>
      <c r="M193" s="34">
        <f t="array" ref="M193">_xlfn.XLOOKUP(A193,'[1]DATOS PBI Artículos'!A:A,'[1]DATOS PBI Artículos'!AX:$AX)</f>
        <v>6542.4782432593856</v>
      </c>
      <c r="N193" s="37">
        <f>IF(I193="DV",
E193,
IF(COUNTIF([1]CRITERIOS!$I$179:$I$199,$A193)&gt;=1,
_xlfn.XLOOKUP($A193,[1]CRITERIOS!$I$179:$I$199,[1]CRITERIOS!$J$179:$J$199),
IF(COUNTIF([1]CRITERIOS!$L$179:$L$199,$A193)&gt;=1,
_xlfn.CEILING.MATH(IF($M193&gt;$E193,
$E193,
IF($M193&lt;$E193/ROUNDDOWN([1]CRITERIOS!$M$16/_xlfn.XLOOKUP($C193,[1]CRITERIOS!$K$25:$K$42,[1]CRITERIOS!$M$25:$M$42),
1),
E193/ROUNDDOWN([1]CRITERIOS!$M$16/_xlfn.XLOOKUP($C193,[1]CRITERIOS!$K$25:$K$42,[1]CRITERIOS!$M$25:$M$42),
1),
$M193)),
_xlfn.XLOOKUP($A193,[1]CRITERIOS!$L$179:$L$200,[1]CRITERIOS!$M$179:$M$200)),
_xlfn.CEILING.MATH(IF($M193&gt;$E193,
$E193,
IF($M193&lt;$E193/ROUNDDOWN([1]CRITERIOS!$M$16/_xlfn.XLOOKUP($C193,[1]CRITERIOS!$K$25:$K$42,[1]CRITERIOS!$M$25:$M$42),
1),
E193/ROUNDDOWN([1]CRITERIOS!$M$16/_xlfn.XLOOKUP($C193,[1]CRITERIOS!$K$25:$K$42,[1]CRITERIOS!$M$25:$M$42),
1),
$M193)),_xlfn.XLOOKUP(A193,'[1]DATOS PBI Artículos'!A:A,'[1]DATOS PBI Artículos'!Z:Z
)))))</f>
        <v>6600</v>
      </c>
      <c r="Q193" s="38">
        <f>IF(AND(O193="",N193=0),
0,
   IF(COUNTIF([1]CRITERIOS!$F$179:$F$199,$A193)&gt;=1,
   1,
   IF(R193="MTO",
      $D193,
      ROUNDUP(
                    IF(($E193-SUMIF('[1]DATOS PBI Artículos'!A:A,A193,'[1]DATOS PBI Artículos'!X:X)+($V193-_xlfn.XLOOKUP(A193,'[1]DATOS PBI Artículos'!A:A,'[1]DATOS PBI Artículos'!W:W)))&lt;0,
                    0,
                    IF(($E193-SUMIF('[1]DATOS PBI Artículos'!A:A,A193,'[1]DATOS PBI Artículos'!X:X)+$V193-_xlfn.XLOOKUP($A193,'[1]DATOS PBI Artículos'!A:A,'[1]DATOS PBI Artículos'!W:W))/IF($O193="",$N193,$O193)&gt;ROUNDUP([1]CRITERIOS!$M$16/(IF(COUNTIF([1]CRITERIOS!$BG$11:$BG$201,L193)&gt;=1,_xlfn.XLOOKUP($C193,[1]CRITERIOS!$K$25:$K$42,[1]CRITERIOS!$M$25:$M$42),_xlfn.XLOOKUP($C193,[1]CRITERIOS!$K$25:$K$42,[1]CRITERIOS!$M$25:$M$42))),0),
                    ROUNDUP([1]CRITERIOS!$M$16/(IF(COUNTIF([1]CRITERIOS!$BG$11:$BG$201,$L193)&gt;=1,_xlfn.XLOOKUP($C193,[1]CRITERIOS!$K$25:$K$42,[1]CRITERIOS!$M$25:$M$42),_xlfn.XLOOKUP($C193,[1]CRITERIOS!$K$25:$K$42,[1]CRITERIOS!$M$25:$M$42))),0),
                    (E193+V193-SUMIF('[1]DATOS PBI Artículos'!A:A,A193,'[1]DATOS PBI Artículos'!X:X)-_xlfn.XLOOKUP(A193,'[1]DATOS PBI Artículos'!A:A,'[1]DATOS PBI Artículos'!W:W))/IF($O193="",$N193,$O193))),0))))</f>
        <v>1</v>
      </c>
      <c r="R193" s="33" t="str">
        <f>IF(U193&lt;&gt;"",U193,IF(F193="DV","MTO",IF(N193=0,"MTO",_xlfn.XLOOKUP(CONCATENATE(S193,T193),[1]CRITERIOS!$K$160:$K$168,[1]CRITERIOS!$N$160:$N$168))))</f>
        <v>MTS</v>
      </c>
      <c r="S193" s="33" t="str">
        <f>IF(G193="DV","MTO",IF(N193=0,"MTO",IF(OR(AND(N193=0,O193=""),IF(O193="",G193/N193,G193/O193)&gt;[1]CRITERIOS!$G$163),"MTO",IF(IF(O193="",G193/N193,G193/O193)&lt;[1]CRITERIOS!$H$161,"MTS","MTOS"))))</f>
        <v>MTS</v>
      </c>
      <c r="T193" s="33" t="str">
        <f>IF(F193="DV","MTO",IF(OR(AND($N193=0,O193=""),$F193/$J193&gt;[1]CRITERIOS!$G$170,$F193="DV"),"MTO",IF($F193/$J193&lt;[1]CRITERIOS!$H$168,"MTS","MTOS")))</f>
        <v>MTS</v>
      </c>
      <c r="V193" s="34">
        <f t="shared" si="10"/>
        <v>4450.1935850213958</v>
      </c>
      <c r="X193" s="34">
        <f t="shared" si="8"/>
        <v>11050.193585021396</v>
      </c>
      <c r="Y193" s="34">
        <f t="shared" si="9"/>
        <v>4489.5378473111323</v>
      </c>
      <c r="Z193" s="34">
        <f>IF($R193="MTO",
0,
($H193+$K193*($E193/[1]CRITERIOS!$M$16))/[1]CRITERIOS!$X$48)</f>
        <v>1189.5378473111325</v>
      </c>
      <c r="AA193" s="34" t="e">
        <f>ROUNDUP(($Y193/_xlfn.XLOOKUP($A193,'[1]DATOS PBI Artículos'!$A$4:$A$4,'[1]DATOS PBI Artículos'!$Z$4:$Z$4))/_xlfn.XLOOKUP(_xlfn.XLOOKUP($A193,'[1]DATOS PBI Artículos'!$A$4:$A$4,'[1]DATOS PBI Artículos'!$Y$4:$Y$4),[1]CRITERIOS!$P$79:$P$123,[1]CRITERIOS!$S$79:$S$123,),0)</f>
        <v>#N/A</v>
      </c>
      <c r="AB193" s="33" t="e">
        <f t="array" ref="AB193">IF((E193+V193-_xlfn.XLOOKUP(A193,'[1]DATOS PBI Artículos'!$A$4:$A$4,'[1]DATOS PBI Artículos'!$W$4:$W$4))/N193&gt;ROUNDUP([1]CRITERIOS!$M$16/(IF(COUNTIF([1]CRITERIOS!$BG$11:$BG$201,L193)&gt;=1,_xlfn.XLOOKUP(ARTÍCULOS!L193,[1]CRITERIOS!$BG$11:$BG$201,[1]CRITERIOS!$BJ$11:$BJ$201),_xlfn.XLOOKUP(ARTÍCULOS!C193,[1]CRITERIOS!$K$25:$K$42,[1]CRITERIOS!$M$25:$M$42))),0),ROUNDUP([1]CRITERIOS!$M$16/(IF(COUNTIF([1]CRITERIOS!$BG$11:$BG$201,L193)&gt;=1,_xlfn.XLOOKUP(ARTÍCULOS!L193,[1]CRITERIOS!$BG$11:$BG$201:#REF!,[1]CRITERIOS!$BJ$11:$BJ$201),_xlfn.XLOOKUP(ARTÍCULOS!C193,[1]CRITERIOS!$K$25:$K$42,[1]CRITERIOS!$M$25:$M$42))),0),(E193+V193-_xlfn.XLOOKUP(A193,'[1]DATOS PBI Artículos'!$A$4:$A$4,'[1]DATOS PBI Artículos'!$W$4:$W$4))/N193)</f>
        <v>#N/A</v>
      </c>
      <c r="AC193" s="33" t="e">
        <f>IF(N193=0,"",(ROUNDUP((N193/2)/(_xlfn.XLOOKUP(A193,'[1]DATOS PBI Artículos'!$A$4:$A$4,'[1]DATOS PBI Artículos'!$Z$4:$Z$4)*_xlfn.XLOOKUP(_xlfn.XLOOKUP(A193,'[1]DATOS PBI Artículos'!$A$4:$A$4,'[1]DATOS PBI Artículos'!$Y$4:$Y$4),[1]CRITERIOS!$P$79:$P$123,[1]CRITERIOS!$S$79:$S$123)),0)*[1]CRITERIOS!$M$80*([1]CRITERIOS!$M$110/[1]CRITERIOS!$M$86)+(_xlfn.XLOOKUP(A193,'[1]DATOS PBI Artículos'!$A$4:$A$4,'[1]DATOS PBI Artículos'!$AA$4:$AA$4)*([1]CRITERIOS!$M$95+[1]CRITERIOS!$M$98)))/N193)</f>
        <v>#N/A</v>
      </c>
      <c r="AD193" s="33" t="e">
        <f>IF(N193=0,"",(ROUNDUP((N193/2)/(_xlfn.XLOOKUP(A193,'[1]DATOS PBI Artículos'!$A$4:$A$4,'[1]DATOS PBI Artículos'!$Z$4:$Z$4)*_xlfn.XLOOKUP(_xlfn.XLOOKUP(A193,'[1]DATOS PBI Artículos'!$A$4:$A$4,'[1]DATOS PBI Artículos'!$Y$4:$Y$4),[1]CRITERIOS!$P$79:$P$123,[1]CRITERIOS!$S$79:$S$123)),0)*[1]CRITERIOS!$M$80*([1]CRITERIOS!$M$89*[1]CRITERIOS!$M$92)+((_xlfn.XLOOKUP(A193,'[1]DATOS PBI Artículos'!$A$4:$A$4,'[1]DATOS PBI Artículos'!$AA$4:$AA$4)/2)*([1]CRITERIOS!$M$95+[1]CRITERIOS!$M$98)))/N193)</f>
        <v>#N/A</v>
      </c>
      <c r="AE193" s="39">
        <f>IF($R193="MTO","",
IF($H193=0,ROUNDUP(((_xlfn.XLOOKUP($A193,'[1]DATOS PBI Artículos'!$A:$A,'[1]DATOS PBI Artículos'!$AL:$AL))/(_xlfn.XLOOKUP($AF$1,[1]CRITERIOS!$S$16:$S$39,[1]CRITERIOS!$Y$16:$Y$39))*$J193+$Z193)/$G193,0)*$G193,
((_xlfn.XLOOKUP($A193,'[1]DATOS PBI Artículos'!$A:$A,'[1]DATOS PBI Artículos'!$AL:$AL))/(_xlfn.XLOOKUP($AF$1,[1]CRITERIOS!$S$16:$S$39,[1]CRITERIOS!$Y$16:$Y$39))*$J193+$Z193)))</f>
        <v>4693.2449244217578</v>
      </c>
      <c r="AG193" s="39">
        <f>IF($R193="MTO","",
IF($H193=0,ROUNDUP(((_xlfn.XLOOKUP($A193,'[1]DATOS PBI Artículos'!$A:$A,'[1]DATOS PBI Artículos'!$AM:$AM))/(_xlfn.XLOOKUP($AH$1,[1]CRITERIOS!$S$16:$S$39,[1]CRITERIOS!$Y$16:$Y$39))*$J193+$Z193)/$G193,0)*$G193,
((_xlfn.XLOOKUP($A193,'[1]DATOS PBI Artículos'!$A:$A,'[1]DATOS PBI Artículos'!$AM:$AM))/(_xlfn.XLOOKUP($AH$1,[1]CRITERIOS!$S$16:$S$39,[1]CRITERIOS!$Y$16:$Y$39))*$J193+$Z193)))</f>
        <v>3706.3189149821646</v>
      </c>
      <c r="AI193" s="39">
        <f>IF($R193="MTO","",
IF($H193=0,ROUNDUP(((_xlfn.XLOOKUP($A193,'[1]DATOS PBI Artículos'!$A:$A,'[1]DATOS PBI Artículos'!$AN:$AN))/(_xlfn.XLOOKUP($AJ$1,[1]CRITERIOS!$S$16:$S$39,[1]CRITERIOS!$Y$16:$Y$39))*$J193+$Z193)/$G193,0)*$G193,
((_xlfn.XLOOKUP($A193,'[1]DATOS PBI Artículos'!$A:$A,'[1]DATOS PBI Artículos'!$AN:$AN))/(_xlfn.XLOOKUP($AJ$1,[1]CRITERIOS!$S$16:$S$39,[1]CRITERIOS!$Y$16:$Y$39))*$J193+$Z193)))</f>
        <v>4204.0103207143202</v>
      </c>
      <c r="AK193" s="39">
        <f>IF($R193="MTO","",
IF($H193=0,ROUNDUP(((_xlfn.XLOOKUP($A193,'[1]DATOS PBI Artículos'!$A:$A,'[1]DATOS PBI Artículos'!$AO:$AO))/(_xlfn.XLOOKUP($AL$1,[1]CRITERIOS!$S$16:$S$39,[1]CRITERIOS!$Y$16:$Y$39))*$J193+$Z193)/$G193,0)*$G193,
((_xlfn.XLOOKUP($A193,'[1]DATOS PBI Artículos'!$A:$A,'[1]DATOS PBI Artículos'!$AO:$AO))/(_xlfn.XLOOKUP($AL$1,[1]CRITERIOS!$S$16:$S$39,[1]CRITERIOS!$Y$16:$Y$39))*$J193+$Z193)))</f>
        <v>4472.599174990507</v>
      </c>
    </row>
    <row r="194" spans="1:37" ht="25.8" x14ac:dyDescent="0.5">
      <c r="A194" s="32">
        <v>411490</v>
      </c>
      <c r="B194" s="33">
        <f>_xlfn.XLOOKUP($A194,'[1]DATOS PBI Artículos'!A:A,'[1]DATOS PBI Artículos'!B:B)</f>
        <v>0</v>
      </c>
      <c r="C194" s="33" t="str">
        <f>_xlfn.XLOOKUP($A194,'[1]DATOS PBI Artículos'!A:A,'[1]DATOS PBI Artículos'!C:C)</f>
        <v>UA01</v>
      </c>
      <c r="D194" s="33">
        <f>_xlfn.XLOOKUP(A194,'[1]DATOS PBI Artículos'!A:A,'[1]DATOS PBI Artículos'!T:T)</f>
        <v>4</v>
      </c>
      <c r="E194" s="34">
        <f>IF(_xlfn.XLOOKUP($A194,'[1]DATOS PBI Artículos'!A:A,'[1]DATOS PBI Artículos'!AK:AK)="",_xlfn.XLOOKUP($A194,'[1]DATOS PBI Artículos'!A:A,'[1]DATOS PBI Artículos'!AJ:AJ),_xlfn.XLOOKUP($A194,'[1]DATOS PBI Artículos'!A:A,'[1]DATOS PBI Artículos'!AK:AK))</f>
        <v>16000</v>
      </c>
      <c r="F194" s="35">
        <f>_xlfn.XLOOKUP($A194,'[1]DATOS PBI Artículos'!A:A,'[1]DATOS PBI Artículos'!AP:AP)</f>
        <v>20</v>
      </c>
      <c r="G194" s="34">
        <f>_xlfn.XLOOKUP($A194,'[1]DATOS PBI Artículos'!A:A,'[1]DATOS PBI Artículos'!AR:AR)</f>
        <v>4000</v>
      </c>
      <c r="H194" s="34">
        <f>_xlfn.XLOOKUP($A194,'[1]DATOS PBI Artículos'!A:A,'[1]DATOS PBI Artículos'!AT:AT)</f>
        <v>2000</v>
      </c>
      <c r="I194" s="34">
        <f>_xlfn.XLOOKUP($A194,'[1]DATOS PBI Artículos'!A:A,'[1]DATOS PBI Artículos'!AS:AS)</f>
        <v>1000</v>
      </c>
      <c r="J194" s="35">
        <f>IF(COUNTIF([1]CRITERIOS!$F$179:$F$199,$A194)&gt;=1,
 IF(O194&lt;&gt;"",
    (O194/_xlfn.XLOOKUP(CONCATENATE(A194,L194),[1]MÁQUINAS!A:A,[1]MÁQUINAS!D:D))/24,
    (N194/_xlfn.XLOOKUP(CONCATENATE(A194,L194),[1]MÁQUINAS!A:A,[1]MÁQUINAS!D:D))/24),
  _xlfn.XLOOKUP($A194,'[1]DATOS PBI Artículos'!A:A,'[1]DATOS PBI Artículos'!AU:AU))</f>
        <v>1.3333333333333333</v>
      </c>
      <c r="K194" s="36">
        <f>_xlfn.XLOOKUP($A194,'[1]DATOS PBI Artículos'!A:A,'[1]DATOS PBI Artículos'!AV:AV)</f>
        <v>12.727922061357855</v>
      </c>
      <c r="L194" s="33">
        <f>_xlfn.XLOOKUP(A194,[1]MÁQUINAS!B:B,[1]MÁQUINAS!C:C)</f>
        <v>454</v>
      </c>
      <c r="M194" s="34">
        <f t="array" ref="M194">_xlfn.XLOOKUP(A194,'[1]DATOS PBI Artículos'!A:A,'[1]DATOS PBI Artículos'!AX:$AX)</f>
        <v>29908.340904780252</v>
      </c>
      <c r="N194" s="37">
        <f>IF(I194="DV",
E194,
IF(COUNTIF([1]CRITERIOS!$I$179:$I$199,$A194)&gt;=1,
_xlfn.XLOOKUP($A194,[1]CRITERIOS!$I$179:$I$199,[1]CRITERIOS!$J$179:$J$199),
IF(COUNTIF([1]CRITERIOS!$L$179:$L$199,$A194)&gt;=1,
_xlfn.CEILING.MATH(IF($M194&gt;$E194,
$E194,
IF($M194&lt;$E194/ROUNDDOWN([1]CRITERIOS!$M$16/_xlfn.XLOOKUP($C194,[1]CRITERIOS!$K$25:$K$42,[1]CRITERIOS!$M$25:$M$42),
1),
E194/ROUNDDOWN([1]CRITERIOS!$M$16/_xlfn.XLOOKUP($C194,[1]CRITERIOS!$K$25:$K$42,[1]CRITERIOS!$M$25:$M$42),
1),
$M194)),
_xlfn.XLOOKUP($A194,[1]CRITERIOS!$L$179:$L$200,[1]CRITERIOS!$M$179:$M$200)),
_xlfn.CEILING.MATH(IF($M194&gt;$E194,
$E194,
IF($M194&lt;$E194/ROUNDDOWN([1]CRITERIOS!$M$16/_xlfn.XLOOKUP($C194,[1]CRITERIOS!$K$25:$K$42,[1]CRITERIOS!$M$25:$M$42),
1),
E194/ROUNDDOWN([1]CRITERIOS!$M$16/_xlfn.XLOOKUP($C194,[1]CRITERIOS!$K$25:$K$42,[1]CRITERIOS!$M$25:$M$42),
1),
$M194)),_xlfn.XLOOKUP(A194,'[1]DATOS PBI Artículos'!A:A,'[1]DATOS PBI Artículos'!Z:Z
)))))</f>
        <v>16000</v>
      </c>
      <c r="Q194" s="38">
        <f>IF(AND(O194="",N194=0),
0,
   IF(COUNTIF([1]CRITERIOS!$F$179:$F$199,$A194)&gt;=1,
   1,
   IF(R194="MTO",
      $D194,
      ROUNDUP(
                    IF(($E194-SUMIF('[1]DATOS PBI Artículos'!A:A,A194,'[1]DATOS PBI Artículos'!X:X)+($V194-_xlfn.XLOOKUP(A194,'[1]DATOS PBI Artículos'!A:A,'[1]DATOS PBI Artículos'!W:W)))&lt;0,
                    0,
                    IF(($E194-SUMIF('[1]DATOS PBI Artículos'!A:A,A194,'[1]DATOS PBI Artículos'!X:X)+$V194-_xlfn.XLOOKUP($A194,'[1]DATOS PBI Artículos'!A:A,'[1]DATOS PBI Artículos'!W:W))/IF($O194="",$N194,$O194)&gt;ROUNDUP([1]CRITERIOS!$M$16/(IF(COUNTIF([1]CRITERIOS!$BG$11:$BG$201,L194)&gt;=1,_xlfn.XLOOKUP($C194,[1]CRITERIOS!$K$25:$K$42,[1]CRITERIOS!$M$25:$M$42),_xlfn.XLOOKUP($C194,[1]CRITERIOS!$K$25:$K$42,[1]CRITERIOS!$M$25:$M$42))),0),
                    ROUNDUP([1]CRITERIOS!$M$16/(IF(COUNTIF([1]CRITERIOS!$BG$11:$BG$201,$L194)&gt;=1,_xlfn.XLOOKUP($C194,[1]CRITERIOS!$K$25:$K$42,[1]CRITERIOS!$M$25:$M$42),_xlfn.XLOOKUP($C194,[1]CRITERIOS!$K$25:$K$42,[1]CRITERIOS!$M$25:$M$42))),0),
                    (E194+V194-SUMIF('[1]DATOS PBI Artículos'!A:A,A194,'[1]DATOS PBI Artículos'!X:X)-_xlfn.XLOOKUP(A194,'[1]DATOS PBI Artículos'!A:A,'[1]DATOS PBI Artículos'!W:W))/IF($O194="",$N194,$O194))),0))))</f>
        <v>1</v>
      </c>
      <c r="R194" s="33" t="str">
        <f>IF(U194&lt;&gt;"",U194,IF(F194="DV","MTO",IF(N194=0,"MTO",_xlfn.XLOOKUP(CONCATENATE(S194,T194),[1]CRITERIOS!$K$160:$K$168,[1]CRITERIOS!$N$160:$N$168))))</f>
        <v>MTS</v>
      </c>
      <c r="S194" s="33" t="str">
        <f>IF(G194="DV","MTO",IF(N194=0,"MTO",IF(OR(AND(N194=0,O194=""),IF(O194="",G194/N194,G194/O194)&gt;[1]CRITERIOS!$G$163),"MTO",IF(IF(O194="",G194/N194,G194/O194)&lt;[1]CRITERIOS!$H$161,"MTS","MTOS"))))</f>
        <v>MTS</v>
      </c>
      <c r="T194" s="33" t="str">
        <f>IF(F194="DV","MTO",IF(OR(AND($N194=0,O194=""),$F194/$J194&gt;[1]CRITERIOS!$G$170,$F194="DV"),"MTO",IF($F194/$J194&lt;[1]CRITERIOS!$H$168,"MTS","MTOS")))</f>
        <v>MTO</v>
      </c>
      <c r="V194" s="34">
        <f t="shared" si="10"/>
        <v>4196.0750331302861</v>
      </c>
      <c r="X194" s="34">
        <f t="shared" si="8"/>
        <v>20196.075033130284</v>
      </c>
      <c r="Y194" s="34">
        <f t="shared" si="9"/>
        <v>11929.40836646362</v>
      </c>
      <c r="Z194" s="34">
        <f>IF($R194="MTO",
0,
($H194+$K194*($E194/[1]CRITERIOS!$M$16))/[1]CRITERIOS!$X$48)</f>
        <v>3929.4083664636191</v>
      </c>
      <c r="AA194" s="34" t="e">
        <f>ROUNDUP(($Y194/_xlfn.XLOOKUP($A194,'[1]DATOS PBI Artículos'!$A$4:$A$4,'[1]DATOS PBI Artículos'!$Z$4:$Z$4))/_xlfn.XLOOKUP(_xlfn.XLOOKUP($A194,'[1]DATOS PBI Artículos'!$A$4:$A$4,'[1]DATOS PBI Artículos'!$Y$4:$Y$4),[1]CRITERIOS!$P$79:$P$123,[1]CRITERIOS!$S$79:$S$123,),0)</f>
        <v>#N/A</v>
      </c>
      <c r="AB194" s="33" t="e">
        <f t="array" ref="AB194">IF((E194+V194-_xlfn.XLOOKUP(A194,'[1]DATOS PBI Artículos'!$A$4:$A$4,'[1]DATOS PBI Artículos'!$W$4:$W$4))/N194&gt;ROUNDUP([1]CRITERIOS!$M$16/(IF(COUNTIF([1]CRITERIOS!$BG$11:$BG$201,L194)&gt;=1,_xlfn.XLOOKUP(ARTÍCULOS!L194,[1]CRITERIOS!$BG$11:$BG$201,[1]CRITERIOS!$BJ$11:$BJ$201),_xlfn.XLOOKUP(ARTÍCULOS!C194,[1]CRITERIOS!$K$25:$K$42,[1]CRITERIOS!$M$25:$M$42))),0),ROUNDUP([1]CRITERIOS!$M$16/(IF(COUNTIF([1]CRITERIOS!$BG$11:$BG$201,L194)&gt;=1,_xlfn.XLOOKUP(ARTÍCULOS!L194,[1]CRITERIOS!$BG$11:$BG$201:#REF!,[1]CRITERIOS!$BJ$11:$BJ$201),_xlfn.XLOOKUP(ARTÍCULOS!C194,[1]CRITERIOS!$K$25:$K$42,[1]CRITERIOS!$M$25:$M$42))),0),(E194+V194-_xlfn.XLOOKUP(A194,'[1]DATOS PBI Artículos'!$A$4:$A$4,'[1]DATOS PBI Artículos'!$W$4:$W$4))/N194)</f>
        <v>#N/A</v>
      </c>
      <c r="AC194" s="33" t="e">
        <f>IF(N194=0,"",(ROUNDUP((N194/2)/(_xlfn.XLOOKUP(A194,'[1]DATOS PBI Artículos'!$A$4:$A$4,'[1]DATOS PBI Artículos'!$Z$4:$Z$4)*_xlfn.XLOOKUP(_xlfn.XLOOKUP(A194,'[1]DATOS PBI Artículos'!$A$4:$A$4,'[1]DATOS PBI Artículos'!$Y$4:$Y$4),[1]CRITERIOS!$P$79:$P$123,[1]CRITERIOS!$S$79:$S$123)),0)*[1]CRITERIOS!$M$80*([1]CRITERIOS!$M$110/[1]CRITERIOS!$M$86)+(_xlfn.XLOOKUP(A194,'[1]DATOS PBI Artículos'!$A$4:$A$4,'[1]DATOS PBI Artículos'!$AA$4:$AA$4)*([1]CRITERIOS!$M$95+[1]CRITERIOS!$M$98)))/N194)</f>
        <v>#N/A</v>
      </c>
      <c r="AD194" s="33" t="e">
        <f>IF(N194=0,"",(ROUNDUP((N194/2)/(_xlfn.XLOOKUP(A194,'[1]DATOS PBI Artículos'!$A$4:$A$4,'[1]DATOS PBI Artículos'!$Z$4:$Z$4)*_xlfn.XLOOKUP(_xlfn.XLOOKUP(A194,'[1]DATOS PBI Artículos'!$A$4:$A$4,'[1]DATOS PBI Artículos'!$Y$4:$Y$4),[1]CRITERIOS!$P$79:$P$123,[1]CRITERIOS!$S$79:$S$123)),0)*[1]CRITERIOS!$M$80*([1]CRITERIOS!$M$89*[1]CRITERIOS!$M$92)+((_xlfn.XLOOKUP(A194,'[1]DATOS PBI Artículos'!$A$4:$A$4,'[1]DATOS PBI Artículos'!$AA$4:$AA$4)/2)*([1]CRITERIOS!$M$95+[1]CRITERIOS!$M$98)))/N194)</f>
        <v>#N/A</v>
      </c>
      <c r="AE194" s="39">
        <f>IF($R194="MTO","",
IF($H194=0,ROUNDUP(((_xlfn.XLOOKUP($A194,'[1]DATOS PBI Artículos'!$A:$A,'[1]DATOS PBI Artículos'!$AL:$AL))/(_xlfn.XLOOKUP($AF$1,[1]CRITERIOS!$S$16:$S$39,[1]CRITERIOS!$Y$16:$Y$39))*$J194+$Z194)/$G194,0)*$G194,
((_xlfn.XLOOKUP($A194,'[1]DATOS PBI Artículos'!$A:$A,'[1]DATOS PBI Artículos'!$AL:$AL))/(_xlfn.XLOOKUP($AF$1,[1]CRITERIOS!$S$16:$S$39,[1]CRITERIOS!$Y$16:$Y$39))*$J194+$Z194)))</f>
        <v>4258.3877066117675</v>
      </c>
      <c r="AG194" s="39">
        <f>IF($R194="MTO","",
IF($H194=0,ROUNDUP(((_xlfn.XLOOKUP($A194,'[1]DATOS PBI Artículos'!$A:$A,'[1]DATOS PBI Artículos'!$AM:$AM))/(_xlfn.XLOOKUP($AH$1,[1]CRITERIOS!$S$16:$S$39,[1]CRITERIOS!$Y$16:$Y$39))*$J194+$Z194)/$G194,0)*$G194,
((_xlfn.XLOOKUP($A194,'[1]DATOS PBI Artículos'!$A:$A,'[1]DATOS PBI Artículos'!$AM:$AM))/(_xlfn.XLOOKUP($AH$1,[1]CRITERIOS!$S$16:$S$39,[1]CRITERIOS!$Y$16:$Y$39))*$J194+$Z194)))</f>
        <v>4165.7206370723152</v>
      </c>
      <c r="AI194" s="39">
        <f>IF($R194="MTO","",
IF($H194=0,ROUNDUP(((_xlfn.XLOOKUP($A194,'[1]DATOS PBI Artículos'!$A:$A,'[1]DATOS PBI Artículos'!$AN:$AN))/(_xlfn.XLOOKUP($AJ$1,[1]CRITERIOS!$S$16:$S$39,[1]CRITERIOS!$Y$16:$Y$39))*$J194+$Z194)/$G194,0)*$G194,
((_xlfn.XLOOKUP($A194,'[1]DATOS PBI Artículos'!$A:$A,'[1]DATOS PBI Artículos'!$AN:$AN))/(_xlfn.XLOOKUP($AJ$1,[1]CRITERIOS!$S$16:$S$39,[1]CRITERIOS!$Y$16:$Y$39))*$J194+$Z194)))</f>
        <v>4212.4511960636191</v>
      </c>
      <c r="AK194" s="39">
        <f>IF($R194="MTO","",
IF($H194=0,ROUNDUP(((_xlfn.XLOOKUP($A194,'[1]DATOS PBI Artículos'!$A:$A,'[1]DATOS PBI Artículos'!$AO:$AO))/(_xlfn.XLOOKUP($AL$1,[1]CRITERIOS!$S$16:$S$39,[1]CRITERIOS!$Y$16:$Y$39))*$J194+$Z194)/$G194,0)*$G194,
((_xlfn.XLOOKUP($A194,'[1]DATOS PBI Artículos'!$A:$A,'[1]DATOS PBI Artículos'!$AO:$AO))/(_xlfn.XLOOKUP($AL$1,[1]CRITERIOS!$S$16:$S$39,[1]CRITERIOS!$Y$16:$Y$39))*$J194+$Z194)))</f>
        <v>4237.6702517969525</v>
      </c>
    </row>
    <row r="195" spans="1:37" ht="25.8" x14ac:dyDescent="0.5">
      <c r="A195" s="32" t="s">
        <v>98</v>
      </c>
      <c r="B195" s="33">
        <f>_xlfn.XLOOKUP($A195,'[1]DATOS PBI Artículos'!A:A,'[1]DATOS PBI Artículos'!B:B)</f>
        <v>0</v>
      </c>
      <c r="C195" s="33" t="str">
        <f>_xlfn.XLOOKUP($A195,'[1]DATOS PBI Artículos'!A:A,'[1]DATOS PBI Artículos'!C:C)</f>
        <v>UA01</v>
      </c>
      <c r="D195" s="33">
        <f>_xlfn.XLOOKUP(A195,'[1]DATOS PBI Artículos'!A:A,'[1]DATOS PBI Artículos'!T:T)</f>
        <v>1</v>
      </c>
      <c r="E195" s="34">
        <f>IF(_xlfn.XLOOKUP($A195,'[1]DATOS PBI Artículos'!A:A,'[1]DATOS PBI Artículos'!AK:AK)="",_xlfn.XLOOKUP($A195,'[1]DATOS PBI Artículos'!A:A,'[1]DATOS PBI Artículos'!AJ:AJ),_xlfn.XLOOKUP($A195,'[1]DATOS PBI Artículos'!A:A,'[1]DATOS PBI Artículos'!AK:AK))</f>
        <v>16000</v>
      </c>
      <c r="F195" s="35">
        <f>_xlfn.XLOOKUP($A195,'[1]DATOS PBI Artículos'!A:A,'[1]DATOS PBI Artículos'!AP:AP)</f>
        <v>75</v>
      </c>
      <c r="G195" s="34">
        <f>_xlfn.XLOOKUP($A195,'[1]DATOS PBI Artículos'!A:A,'[1]DATOS PBI Artículos'!AR:AR)</f>
        <v>16000</v>
      </c>
      <c r="H195" s="34">
        <f>_xlfn.XLOOKUP($A195,'[1]DATOS PBI Artículos'!A:A,'[1]DATOS PBI Artículos'!AT:AT)</f>
        <v>0</v>
      </c>
      <c r="I195" s="34">
        <f>_xlfn.XLOOKUP($A195,'[1]DATOS PBI Artículos'!A:A,'[1]DATOS PBI Artículos'!AS:AS)</f>
        <v>16000</v>
      </c>
      <c r="J195" s="35">
        <f>IF(COUNTIF([1]CRITERIOS!$F$179:$F$199,$A195)&gt;=1,
 IF(O195&lt;&gt;"",
    (O195/_xlfn.XLOOKUP(CONCATENATE(A195,L195),[1]MÁQUINAS!A:A,[1]MÁQUINAS!D:D))/24,
    (N195/_xlfn.XLOOKUP(CONCATENATE(A195,L195),[1]MÁQUINAS!A:A,[1]MÁQUINAS!D:D))/24),
  _xlfn.XLOOKUP($A195,'[1]DATOS PBI Artículos'!A:A,'[1]DATOS PBI Artículos'!AU:AU))</f>
        <v>12</v>
      </c>
      <c r="K195" s="36">
        <f>_xlfn.XLOOKUP($A195,'[1]DATOS PBI Artículos'!A:A,'[1]DATOS PBI Artículos'!AV:AV)</f>
        <v>0</v>
      </c>
      <c r="L195" s="33">
        <f>_xlfn.XLOOKUP(A195,[1]MÁQUINAS!B:B,[1]MÁQUINAS!C:C)</f>
        <v>406</v>
      </c>
      <c r="M195" s="34">
        <f t="array" ref="M195">_xlfn.XLOOKUP(A195,'[1]DATOS PBI Artículos'!A:A,'[1]DATOS PBI Artículos'!AX:$AX)</f>
        <v>29847.562289456586</v>
      </c>
      <c r="N195" s="37">
        <f>IF(I195="DV",
E195,
IF(COUNTIF([1]CRITERIOS!$I$179:$I$199,$A195)&gt;=1,
_xlfn.XLOOKUP($A195,[1]CRITERIOS!$I$179:$I$199,[1]CRITERIOS!$J$179:$J$199),
IF(COUNTIF([1]CRITERIOS!$L$179:$L$199,$A195)&gt;=1,
_xlfn.CEILING.MATH(IF($M195&gt;$E195,
$E195,
IF($M195&lt;$E195/ROUNDDOWN([1]CRITERIOS!$M$16/_xlfn.XLOOKUP($C195,[1]CRITERIOS!$K$25:$K$42,[1]CRITERIOS!$M$25:$M$42),
1),
E195/ROUNDDOWN([1]CRITERIOS!$M$16/_xlfn.XLOOKUP($C195,[1]CRITERIOS!$K$25:$K$42,[1]CRITERIOS!$M$25:$M$42),
1),
$M195)),
_xlfn.XLOOKUP($A195,[1]CRITERIOS!$L$179:$L$200,[1]CRITERIOS!$M$179:$M$200)),
_xlfn.CEILING.MATH(IF($M195&gt;$E195,
$E195,
IF($M195&lt;$E195/ROUNDDOWN([1]CRITERIOS!$M$16/_xlfn.XLOOKUP($C195,[1]CRITERIOS!$K$25:$K$42,[1]CRITERIOS!$M$25:$M$42),
1),
E195/ROUNDDOWN([1]CRITERIOS!$M$16/_xlfn.XLOOKUP($C195,[1]CRITERIOS!$K$25:$K$42,[1]CRITERIOS!$M$25:$M$42),
1),
$M195)),_xlfn.XLOOKUP(A195,'[1]DATOS PBI Artículos'!A:A,'[1]DATOS PBI Artículos'!Z:Z
)))))</f>
        <v>16000</v>
      </c>
      <c r="Q195" s="38">
        <f>IF(AND(O195="",N195=0),
0,
   IF(COUNTIF([1]CRITERIOS!$F$179:$F$199,$A195)&gt;=1,
   1,
   IF(R195="MTO",
      $D195,
      ROUNDUP(
                    IF(($E195-SUMIF('[1]DATOS PBI Artículos'!A:A,A195,'[1]DATOS PBI Artículos'!X:X)+($V195-_xlfn.XLOOKUP(A195,'[1]DATOS PBI Artículos'!A:A,'[1]DATOS PBI Artículos'!W:W)))&lt;0,
                    0,
                    IF(($E195-SUMIF('[1]DATOS PBI Artículos'!A:A,A195,'[1]DATOS PBI Artículos'!X:X)+$V195-_xlfn.XLOOKUP($A195,'[1]DATOS PBI Artículos'!A:A,'[1]DATOS PBI Artículos'!W:W))/IF($O195="",$N195,$O195)&gt;ROUNDUP([1]CRITERIOS!$M$16/(IF(COUNTIF([1]CRITERIOS!$BG$11:$BG$201,L195)&gt;=1,_xlfn.XLOOKUP($C195,[1]CRITERIOS!$K$25:$K$42,[1]CRITERIOS!$M$25:$M$42),_xlfn.XLOOKUP($C195,[1]CRITERIOS!$K$25:$K$42,[1]CRITERIOS!$M$25:$M$42))),0),
                    ROUNDUP([1]CRITERIOS!$M$16/(IF(COUNTIF([1]CRITERIOS!$BG$11:$BG$201,$L195)&gt;=1,_xlfn.XLOOKUP($C195,[1]CRITERIOS!$K$25:$K$42,[1]CRITERIOS!$M$25:$M$42),_xlfn.XLOOKUP($C195,[1]CRITERIOS!$K$25:$K$42,[1]CRITERIOS!$M$25:$M$42))),0),
                    (E195+V195-SUMIF('[1]DATOS PBI Artículos'!A:A,A195,'[1]DATOS PBI Artículos'!X:X)-_xlfn.XLOOKUP(A195,'[1]DATOS PBI Artículos'!A:A,'[1]DATOS PBI Artículos'!W:W))/IF($O195="",$N195,$O195))),0))))</f>
        <v>1</v>
      </c>
      <c r="R195" s="33" t="str">
        <f>IF(U195&lt;&gt;"",U195,IF(F195="DV","MTO",IF(N195=0,"MTO",_xlfn.XLOOKUP(CONCATENATE(S195,T195),[1]CRITERIOS!$K$160:$K$168,[1]CRITERIOS!$N$160:$N$168))))</f>
        <v>MTO</v>
      </c>
      <c r="S195" s="33" t="str">
        <f>IF(G195="DV","MTO",IF(N195=0,"MTO",IF(OR(AND(N195=0,O195=""),IF(O195="",G195/N195,G195/O195)&gt;[1]CRITERIOS!$G$163),"MTO",IF(IF(O195="",G195/N195,G195/O195)&lt;[1]CRITERIOS!$H$161,"MTS","MTOS"))))</f>
        <v>MTO</v>
      </c>
      <c r="T195" s="33" t="str">
        <f>IF(F195="DV","MTO",IF(OR(AND($N195=0,O195=""),$F195/$J195&gt;[1]CRITERIOS!$G$170,$F195="DV"),"MTO",IF($F195/$J195&lt;[1]CRITERIOS!$H$168,"MTS","MTOS")))</f>
        <v>MTO</v>
      </c>
      <c r="V195" s="34" t="str">
        <f t="shared" si="10"/>
        <v/>
      </c>
      <c r="X195" s="34">
        <f t="shared" ref="X195:X258" si="11">IF(R195="MTO",0,V195+N195)</f>
        <v>0</v>
      </c>
      <c r="Y195" s="34">
        <f t="shared" ref="Y195:Y258" si="12">IF(R195="MTO",0,Z195+(N195/2))</f>
        <v>0</v>
      </c>
      <c r="Z195" s="34">
        <f>IF($R195="MTO",
0,
($H195+$K195*($E195/[1]CRITERIOS!$M$16))/[1]CRITERIOS!$X$48)</f>
        <v>0</v>
      </c>
      <c r="AA195" s="34" t="e">
        <f>ROUNDUP(($Y195/_xlfn.XLOOKUP($A195,'[1]DATOS PBI Artículos'!$A$4:$A$4,'[1]DATOS PBI Artículos'!$Z$4:$Z$4))/_xlfn.XLOOKUP(_xlfn.XLOOKUP($A195,'[1]DATOS PBI Artículos'!$A$4:$A$4,'[1]DATOS PBI Artículos'!$Y$4:$Y$4),[1]CRITERIOS!$P$79:$P$123,[1]CRITERIOS!$S$79:$S$123,),0)</f>
        <v>#N/A</v>
      </c>
      <c r="AB195" s="33" t="e">
        <f t="array" ref="AB195">IF((E195+V195-_xlfn.XLOOKUP(A195,'[1]DATOS PBI Artículos'!$A$4:$A$4,'[1]DATOS PBI Artículos'!$W$4:$W$4))/N195&gt;ROUNDUP([1]CRITERIOS!$M$16/(IF(COUNTIF([1]CRITERIOS!$BG$11:$BG$201,L195)&gt;=1,_xlfn.XLOOKUP(ARTÍCULOS!L195,[1]CRITERIOS!$BG$11:$BG$201,[1]CRITERIOS!$BJ$11:$BJ$201),_xlfn.XLOOKUP(ARTÍCULOS!C195,[1]CRITERIOS!$K$25:$K$42,[1]CRITERIOS!$M$25:$M$42))),0),ROUNDUP([1]CRITERIOS!$M$16/(IF(COUNTIF([1]CRITERIOS!$BG$11:$BG$201,L195)&gt;=1,_xlfn.XLOOKUP(ARTÍCULOS!L195,[1]CRITERIOS!$BG$11:$BG$201:#REF!,[1]CRITERIOS!$BJ$11:$BJ$201),_xlfn.XLOOKUP(ARTÍCULOS!C195,[1]CRITERIOS!$K$25:$K$42,[1]CRITERIOS!$M$25:$M$42))),0),(E195+V195-_xlfn.XLOOKUP(A195,'[1]DATOS PBI Artículos'!$A$4:$A$4,'[1]DATOS PBI Artículos'!$W$4:$W$4))/N195)</f>
        <v>#VALUE!</v>
      </c>
      <c r="AC195" s="33" t="e">
        <f>IF(N195=0,"",(ROUNDUP((N195/2)/(_xlfn.XLOOKUP(A195,'[1]DATOS PBI Artículos'!$A$4:$A$4,'[1]DATOS PBI Artículos'!$Z$4:$Z$4)*_xlfn.XLOOKUP(_xlfn.XLOOKUP(A195,'[1]DATOS PBI Artículos'!$A$4:$A$4,'[1]DATOS PBI Artículos'!$Y$4:$Y$4),[1]CRITERIOS!$P$79:$P$123,[1]CRITERIOS!$S$79:$S$123)),0)*[1]CRITERIOS!$M$80*([1]CRITERIOS!$M$110/[1]CRITERIOS!$M$86)+(_xlfn.XLOOKUP(A195,'[1]DATOS PBI Artículos'!$A$4:$A$4,'[1]DATOS PBI Artículos'!$AA$4:$AA$4)*([1]CRITERIOS!$M$95+[1]CRITERIOS!$M$98)))/N195)</f>
        <v>#N/A</v>
      </c>
      <c r="AD195" s="33" t="e">
        <f>IF(N195=0,"",(ROUNDUP((N195/2)/(_xlfn.XLOOKUP(A195,'[1]DATOS PBI Artículos'!$A$4:$A$4,'[1]DATOS PBI Artículos'!$Z$4:$Z$4)*_xlfn.XLOOKUP(_xlfn.XLOOKUP(A195,'[1]DATOS PBI Artículos'!$A$4:$A$4,'[1]DATOS PBI Artículos'!$Y$4:$Y$4),[1]CRITERIOS!$P$79:$P$123,[1]CRITERIOS!$S$79:$S$123)),0)*[1]CRITERIOS!$M$80*([1]CRITERIOS!$M$89*[1]CRITERIOS!$M$92)+((_xlfn.XLOOKUP(A195,'[1]DATOS PBI Artículos'!$A$4:$A$4,'[1]DATOS PBI Artículos'!$AA$4:$AA$4)/2)*([1]CRITERIOS!$M$95+[1]CRITERIOS!$M$98)))/N195)</f>
        <v>#N/A</v>
      </c>
      <c r="AE195" s="39" t="str">
        <f>IF($R195="MTO","",
IF($H195=0,ROUNDUP(((_xlfn.XLOOKUP($A195,'[1]DATOS PBI Artículos'!$A:$A,'[1]DATOS PBI Artículos'!$AL:$AL))/(_xlfn.XLOOKUP($AF$1,[1]CRITERIOS!$S$16:$S$39,[1]CRITERIOS!$Y$16:$Y$39))*$J195+$Z195)/$G195,0)*$G195,
((_xlfn.XLOOKUP($A195,'[1]DATOS PBI Artículos'!$A:$A,'[1]DATOS PBI Artículos'!$AL:$AL))/(_xlfn.XLOOKUP($AF$1,[1]CRITERIOS!$S$16:$S$39,[1]CRITERIOS!$Y$16:$Y$39))*$J195+$Z195)))</f>
        <v/>
      </c>
      <c r="AG195" s="39" t="str">
        <f>IF($R195="MTO","",
IF($H195=0,ROUNDUP(((_xlfn.XLOOKUP($A195,'[1]DATOS PBI Artículos'!$A:$A,'[1]DATOS PBI Artículos'!$AM:$AM))/(_xlfn.XLOOKUP($AH$1,[1]CRITERIOS!$S$16:$S$39,[1]CRITERIOS!$Y$16:$Y$39))*$J195+$Z195)/$G195,0)*$G195,
((_xlfn.XLOOKUP($A195,'[1]DATOS PBI Artículos'!$A:$A,'[1]DATOS PBI Artículos'!$AM:$AM))/(_xlfn.XLOOKUP($AH$1,[1]CRITERIOS!$S$16:$S$39,[1]CRITERIOS!$Y$16:$Y$39))*$J195+$Z195)))</f>
        <v/>
      </c>
      <c r="AI195" s="39" t="str">
        <f>IF($R195="MTO","",
IF($H195=0,ROUNDUP(((_xlfn.XLOOKUP($A195,'[1]DATOS PBI Artículos'!$A:$A,'[1]DATOS PBI Artículos'!$AN:$AN))/(_xlfn.XLOOKUP($AJ$1,[1]CRITERIOS!$S$16:$S$39,[1]CRITERIOS!$Y$16:$Y$39))*$J195+$Z195)/$G195,0)*$G195,
((_xlfn.XLOOKUP($A195,'[1]DATOS PBI Artículos'!$A:$A,'[1]DATOS PBI Artículos'!$AN:$AN))/(_xlfn.XLOOKUP($AJ$1,[1]CRITERIOS!$S$16:$S$39,[1]CRITERIOS!$Y$16:$Y$39))*$J195+$Z195)))</f>
        <v/>
      </c>
      <c r="AK195" s="39" t="str">
        <f>IF($R195="MTO","",
IF($H195=0,ROUNDUP(((_xlfn.XLOOKUP($A195,'[1]DATOS PBI Artículos'!$A:$A,'[1]DATOS PBI Artículos'!$AO:$AO))/(_xlfn.XLOOKUP($AL$1,[1]CRITERIOS!$S$16:$S$39,[1]CRITERIOS!$Y$16:$Y$39))*$J195+$Z195)/$G195,0)*$G195,
((_xlfn.XLOOKUP($A195,'[1]DATOS PBI Artículos'!$A:$A,'[1]DATOS PBI Artículos'!$AO:$AO))/(_xlfn.XLOOKUP($AL$1,[1]CRITERIOS!$S$16:$S$39,[1]CRITERIOS!$Y$16:$Y$39))*$J195+$Z195)))</f>
        <v/>
      </c>
    </row>
    <row r="196" spans="1:37" ht="25.8" x14ac:dyDescent="0.5">
      <c r="A196" s="32" t="s">
        <v>99</v>
      </c>
      <c r="B196" s="33">
        <f>_xlfn.XLOOKUP($A196,'[1]DATOS PBI Artículos'!A:A,'[1]DATOS PBI Artículos'!B:B)</f>
        <v>0</v>
      </c>
      <c r="C196" s="33" t="str">
        <f>_xlfn.XLOOKUP($A196,'[1]DATOS PBI Artículos'!A:A,'[1]DATOS PBI Artículos'!C:C)</f>
        <v>UA03</v>
      </c>
      <c r="D196" s="33">
        <f>_xlfn.XLOOKUP(A196,'[1]DATOS PBI Artículos'!A:A,'[1]DATOS PBI Artículos'!T:T)</f>
        <v>1</v>
      </c>
      <c r="E196" s="34">
        <f>IF(_xlfn.XLOOKUP($A196,'[1]DATOS PBI Artículos'!A:A,'[1]DATOS PBI Artículos'!AK:AK)="",_xlfn.XLOOKUP($A196,'[1]DATOS PBI Artículos'!A:A,'[1]DATOS PBI Artículos'!AJ:AJ),_xlfn.XLOOKUP($A196,'[1]DATOS PBI Artículos'!A:A,'[1]DATOS PBI Artículos'!AK:AK))</f>
        <v>15120</v>
      </c>
      <c r="F196" s="35">
        <f>_xlfn.XLOOKUP($A196,'[1]DATOS PBI Artículos'!A:A,'[1]DATOS PBI Artículos'!AP:AP)</f>
        <v>75</v>
      </c>
      <c r="G196" s="34">
        <f>_xlfn.XLOOKUP($A196,'[1]DATOS PBI Artículos'!A:A,'[1]DATOS PBI Artículos'!AR:AR)</f>
        <v>15120</v>
      </c>
      <c r="H196" s="34">
        <f>_xlfn.XLOOKUP($A196,'[1]DATOS PBI Artículos'!A:A,'[1]DATOS PBI Artículos'!AT:AT)</f>
        <v>0</v>
      </c>
      <c r="I196" s="34">
        <f>_xlfn.XLOOKUP($A196,'[1]DATOS PBI Artículos'!A:A,'[1]DATOS PBI Artículos'!AS:AS)</f>
        <v>15120</v>
      </c>
      <c r="J196" s="35">
        <f>IF(COUNTIF([1]CRITERIOS!$F$179:$F$199,$A196)&gt;=1,
 IF(O196&lt;&gt;"",
    (O196/_xlfn.XLOOKUP(CONCATENATE(A196,L196),[1]MÁQUINAS!A:A,[1]MÁQUINAS!D:D))/24,
    (N196/_xlfn.XLOOKUP(CONCATENATE(A196,L196),[1]MÁQUINAS!A:A,[1]MÁQUINAS!D:D))/24),
  _xlfn.XLOOKUP($A196,'[1]DATOS PBI Artículos'!A:A,'[1]DATOS PBI Artículos'!AU:AU))</f>
        <v>13</v>
      </c>
      <c r="K196" s="36">
        <f>_xlfn.XLOOKUP($A196,'[1]DATOS PBI Artículos'!A:A,'[1]DATOS PBI Artículos'!AV:AV)</f>
        <v>0</v>
      </c>
      <c r="L196" s="33">
        <f>_xlfn.XLOOKUP(A196,[1]MÁQUINAS!B:B,[1]MÁQUINAS!C:C)</f>
        <v>124</v>
      </c>
      <c r="M196" s="34">
        <f t="array" ref="M196">_xlfn.XLOOKUP(A196,'[1]DATOS PBI Artículos'!A:A,'[1]DATOS PBI Artículos'!AX:$AX)</f>
        <v>10173.877437590141</v>
      </c>
      <c r="N196" s="37">
        <f>IF(I196="DV",
E196,
IF(COUNTIF([1]CRITERIOS!$I$179:$I$199,$A196)&gt;=1,
_xlfn.XLOOKUP($A196,[1]CRITERIOS!$I$179:$I$199,[1]CRITERIOS!$J$179:$J$199),
IF(COUNTIF([1]CRITERIOS!$L$179:$L$199,$A196)&gt;=1,
_xlfn.CEILING.MATH(IF($M196&gt;$E196,
$E196,
IF($M196&lt;$E196/ROUNDDOWN([1]CRITERIOS!$M$16/_xlfn.XLOOKUP($C196,[1]CRITERIOS!$K$25:$K$42,[1]CRITERIOS!$M$25:$M$42),
1),
E196/ROUNDDOWN([1]CRITERIOS!$M$16/_xlfn.XLOOKUP($C196,[1]CRITERIOS!$K$25:$K$42,[1]CRITERIOS!$M$25:$M$42),
1),
$M196)),
_xlfn.XLOOKUP($A196,[1]CRITERIOS!$L$179:$L$200,[1]CRITERIOS!$M$179:$M$200)),
_xlfn.CEILING.MATH(IF($M196&gt;$E196,
$E196,
IF($M196&lt;$E196/ROUNDDOWN([1]CRITERIOS!$M$16/_xlfn.XLOOKUP($C196,[1]CRITERIOS!$K$25:$K$42,[1]CRITERIOS!$M$25:$M$42),
1),
E196/ROUNDDOWN([1]CRITERIOS!$M$16/_xlfn.XLOOKUP($C196,[1]CRITERIOS!$K$25:$K$42,[1]CRITERIOS!$M$25:$M$42),
1),
$M196)),_xlfn.XLOOKUP(A196,'[1]DATOS PBI Artículos'!A:A,'[1]DATOS PBI Artículos'!Z:Z
)))))</f>
        <v>15120</v>
      </c>
      <c r="Q196" s="38">
        <f>IF(AND(O196="",N196=0),
0,
   IF(COUNTIF([1]CRITERIOS!$F$179:$F$199,$A196)&gt;=1,
   1,
   IF(R196="MTO",
      $D196,
      ROUNDUP(
                    IF(($E196-SUMIF('[1]DATOS PBI Artículos'!A:A,A196,'[1]DATOS PBI Artículos'!X:X)+($V196-_xlfn.XLOOKUP(A196,'[1]DATOS PBI Artículos'!A:A,'[1]DATOS PBI Artículos'!W:W)))&lt;0,
                    0,
                    IF(($E196-SUMIF('[1]DATOS PBI Artículos'!A:A,A196,'[1]DATOS PBI Artículos'!X:X)+$V196-_xlfn.XLOOKUP($A196,'[1]DATOS PBI Artículos'!A:A,'[1]DATOS PBI Artículos'!W:W))/IF($O196="",$N196,$O196)&gt;ROUNDUP([1]CRITERIOS!$M$16/(IF(COUNTIF([1]CRITERIOS!$BG$11:$BG$201,L196)&gt;=1,_xlfn.XLOOKUP($C196,[1]CRITERIOS!$K$25:$K$42,[1]CRITERIOS!$M$25:$M$42),_xlfn.XLOOKUP($C196,[1]CRITERIOS!$K$25:$K$42,[1]CRITERIOS!$M$25:$M$42))),0),
                    ROUNDUP([1]CRITERIOS!$M$16/(IF(COUNTIF([1]CRITERIOS!$BG$11:$BG$201,$L196)&gt;=1,_xlfn.XLOOKUP($C196,[1]CRITERIOS!$K$25:$K$42,[1]CRITERIOS!$M$25:$M$42),_xlfn.XLOOKUP($C196,[1]CRITERIOS!$K$25:$K$42,[1]CRITERIOS!$M$25:$M$42))),0),
                    (E196+V196-SUMIF('[1]DATOS PBI Artículos'!A:A,A196,'[1]DATOS PBI Artículos'!X:X)-_xlfn.XLOOKUP(A196,'[1]DATOS PBI Artículos'!A:A,'[1]DATOS PBI Artículos'!W:W))/IF($O196="",$N196,$O196))),0))))</f>
        <v>1</v>
      </c>
      <c r="R196" s="33" t="str">
        <f>IF(U196&lt;&gt;"",U196,IF(F196="DV","MTO",IF(N196=0,"MTO",_xlfn.XLOOKUP(CONCATENATE(S196,T196),[1]CRITERIOS!$K$160:$K$168,[1]CRITERIOS!$N$160:$N$168))))</f>
        <v>MTO</v>
      </c>
      <c r="S196" s="33" t="str">
        <f>IF(G196="DV","MTO",IF(N196=0,"MTO",IF(OR(AND(N196=0,O196=""),IF(O196="",G196/N196,G196/O196)&gt;[1]CRITERIOS!$G$163),"MTO",IF(IF(O196="",G196/N196,G196/O196)&lt;[1]CRITERIOS!$H$161,"MTS","MTOS"))))</f>
        <v>MTO</v>
      </c>
      <c r="T196" s="33" t="str">
        <f>IF(F196="DV","MTO",IF(OR(AND($N196=0,O196=""),$F196/$J196&gt;[1]CRITERIOS!$G$170,$F196="DV"),"MTO",IF($F196/$J196&lt;[1]CRITERIOS!$H$168,"MTS","MTOS")))</f>
        <v>MTO</v>
      </c>
      <c r="V196" s="34" t="str">
        <f t="shared" si="10"/>
        <v/>
      </c>
      <c r="X196" s="34">
        <f t="shared" si="11"/>
        <v>0</v>
      </c>
      <c r="Y196" s="34">
        <f t="shared" si="12"/>
        <v>0</v>
      </c>
      <c r="Z196" s="34">
        <f>IF($R196="MTO",
0,
($H196+$K196*($E196/[1]CRITERIOS!$M$16))/[1]CRITERIOS!$X$48)</f>
        <v>0</v>
      </c>
      <c r="AA196" s="34" t="e">
        <f>ROUNDUP(($Y196/_xlfn.XLOOKUP($A196,'[1]DATOS PBI Artículos'!$A$4:$A$4,'[1]DATOS PBI Artículos'!$Z$4:$Z$4))/_xlfn.XLOOKUP(_xlfn.XLOOKUP($A196,'[1]DATOS PBI Artículos'!$A$4:$A$4,'[1]DATOS PBI Artículos'!$Y$4:$Y$4),[1]CRITERIOS!$P$79:$P$123,[1]CRITERIOS!$S$79:$S$123,),0)</f>
        <v>#N/A</v>
      </c>
      <c r="AB196" s="33" t="e">
        <f t="array" ref="AB196">IF((E196+V196-_xlfn.XLOOKUP(A196,'[1]DATOS PBI Artículos'!$A$4:$A$4,'[1]DATOS PBI Artículos'!$W$4:$W$4))/N196&gt;ROUNDUP([1]CRITERIOS!$M$16/(IF(COUNTIF([1]CRITERIOS!$BG$11:$BG$201,L196)&gt;=1,_xlfn.XLOOKUP(ARTÍCULOS!L196,[1]CRITERIOS!$BG$11:$BG$201,[1]CRITERIOS!$BJ$11:$BJ$201),_xlfn.XLOOKUP(ARTÍCULOS!C196,[1]CRITERIOS!$K$25:$K$42,[1]CRITERIOS!$M$25:$M$42))),0),ROUNDUP([1]CRITERIOS!$M$16/(IF(COUNTIF([1]CRITERIOS!$BG$11:$BG$201,L196)&gt;=1,_xlfn.XLOOKUP(ARTÍCULOS!L196,[1]CRITERIOS!$BG$11:$BG$201:#REF!,[1]CRITERIOS!$BJ$11:$BJ$201),_xlfn.XLOOKUP(ARTÍCULOS!C196,[1]CRITERIOS!$K$25:$K$42,[1]CRITERIOS!$M$25:$M$42))),0),(E196+V196-_xlfn.XLOOKUP(A196,'[1]DATOS PBI Artículos'!$A$4:$A$4,'[1]DATOS PBI Artículos'!$W$4:$W$4))/N196)</f>
        <v>#VALUE!</v>
      </c>
      <c r="AC196" s="33" t="e">
        <f>IF(N196=0,"",(ROUNDUP((N196/2)/(_xlfn.XLOOKUP(A196,'[1]DATOS PBI Artículos'!$A$4:$A$4,'[1]DATOS PBI Artículos'!$Z$4:$Z$4)*_xlfn.XLOOKUP(_xlfn.XLOOKUP(A196,'[1]DATOS PBI Artículos'!$A$4:$A$4,'[1]DATOS PBI Artículos'!$Y$4:$Y$4),[1]CRITERIOS!$P$79:$P$123,[1]CRITERIOS!$S$79:$S$123)),0)*[1]CRITERIOS!$M$80*([1]CRITERIOS!$M$110/[1]CRITERIOS!$M$86)+(_xlfn.XLOOKUP(A196,'[1]DATOS PBI Artículos'!$A$4:$A$4,'[1]DATOS PBI Artículos'!$AA$4:$AA$4)*([1]CRITERIOS!$M$95+[1]CRITERIOS!$M$98)))/N196)</f>
        <v>#N/A</v>
      </c>
      <c r="AD196" s="33" t="e">
        <f>IF(N196=0,"",(ROUNDUP((N196/2)/(_xlfn.XLOOKUP(A196,'[1]DATOS PBI Artículos'!$A$4:$A$4,'[1]DATOS PBI Artículos'!$Z$4:$Z$4)*_xlfn.XLOOKUP(_xlfn.XLOOKUP(A196,'[1]DATOS PBI Artículos'!$A$4:$A$4,'[1]DATOS PBI Artículos'!$Y$4:$Y$4),[1]CRITERIOS!$P$79:$P$123,[1]CRITERIOS!$S$79:$S$123)),0)*[1]CRITERIOS!$M$80*([1]CRITERIOS!$M$89*[1]CRITERIOS!$M$92)+((_xlfn.XLOOKUP(A196,'[1]DATOS PBI Artículos'!$A$4:$A$4,'[1]DATOS PBI Artículos'!$AA$4:$AA$4)/2)*([1]CRITERIOS!$M$95+[1]CRITERIOS!$M$98)))/N196)</f>
        <v>#N/A</v>
      </c>
      <c r="AE196" s="39" t="str">
        <f>IF($R196="MTO","",
IF($H196=0,ROUNDUP(((_xlfn.XLOOKUP($A196,'[1]DATOS PBI Artículos'!$A:$A,'[1]DATOS PBI Artículos'!$AL:$AL))/(_xlfn.XLOOKUP($AF$1,[1]CRITERIOS!$S$16:$S$39,[1]CRITERIOS!$Y$16:$Y$39))*$J196+$Z196)/$G196,0)*$G196,
((_xlfn.XLOOKUP($A196,'[1]DATOS PBI Artículos'!$A:$A,'[1]DATOS PBI Artículos'!$AL:$AL))/(_xlfn.XLOOKUP($AF$1,[1]CRITERIOS!$S$16:$S$39,[1]CRITERIOS!$Y$16:$Y$39))*$J196+$Z196)))</f>
        <v/>
      </c>
      <c r="AG196" s="39" t="str">
        <f>IF($R196="MTO","",
IF($H196=0,ROUNDUP(((_xlfn.XLOOKUP($A196,'[1]DATOS PBI Artículos'!$A:$A,'[1]DATOS PBI Artículos'!$AM:$AM))/(_xlfn.XLOOKUP($AH$1,[1]CRITERIOS!$S$16:$S$39,[1]CRITERIOS!$Y$16:$Y$39))*$J196+$Z196)/$G196,0)*$G196,
((_xlfn.XLOOKUP($A196,'[1]DATOS PBI Artículos'!$A:$A,'[1]DATOS PBI Artículos'!$AM:$AM))/(_xlfn.XLOOKUP($AH$1,[1]CRITERIOS!$S$16:$S$39,[1]CRITERIOS!$Y$16:$Y$39))*$J196+$Z196)))</f>
        <v/>
      </c>
      <c r="AI196" s="39" t="str">
        <f>IF($R196="MTO","",
IF($H196=0,ROUNDUP(((_xlfn.XLOOKUP($A196,'[1]DATOS PBI Artículos'!$A:$A,'[1]DATOS PBI Artículos'!$AN:$AN))/(_xlfn.XLOOKUP($AJ$1,[1]CRITERIOS!$S$16:$S$39,[1]CRITERIOS!$Y$16:$Y$39))*$J196+$Z196)/$G196,0)*$G196,
((_xlfn.XLOOKUP($A196,'[1]DATOS PBI Artículos'!$A:$A,'[1]DATOS PBI Artículos'!$AN:$AN))/(_xlfn.XLOOKUP($AJ$1,[1]CRITERIOS!$S$16:$S$39,[1]CRITERIOS!$Y$16:$Y$39))*$J196+$Z196)))</f>
        <v/>
      </c>
      <c r="AK196" s="39" t="str">
        <f>IF($R196="MTO","",
IF($H196=0,ROUNDUP(((_xlfn.XLOOKUP($A196,'[1]DATOS PBI Artículos'!$A:$A,'[1]DATOS PBI Artículos'!$AO:$AO))/(_xlfn.XLOOKUP($AL$1,[1]CRITERIOS!$S$16:$S$39,[1]CRITERIOS!$Y$16:$Y$39))*$J196+$Z196)/$G196,0)*$G196,
((_xlfn.XLOOKUP($A196,'[1]DATOS PBI Artículos'!$A:$A,'[1]DATOS PBI Artículos'!$AO:$AO))/(_xlfn.XLOOKUP($AL$1,[1]CRITERIOS!$S$16:$S$39,[1]CRITERIOS!$Y$16:$Y$39))*$J196+$Z196)))</f>
        <v/>
      </c>
    </row>
    <row r="197" spans="1:37" ht="25.8" x14ac:dyDescent="0.5">
      <c r="A197" s="32" t="s">
        <v>100</v>
      </c>
      <c r="B197" s="33">
        <f>_xlfn.XLOOKUP($A197,'[1]DATOS PBI Artículos'!A:A,'[1]DATOS PBI Artículos'!B:B)</f>
        <v>0</v>
      </c>
      <c r="C197" s="33" t="str">
        <f>_xlfn.XLOOKUP($A197,'[1]DATOS PBI Artículos'!A:A,'[1]DATOS PBI Artículos'!C:C)</f>
        <v>UA01</v>
      </c>
      <c r="D197" s="33">
        <f>_xlfn.XLOOKUP(A197,'[1]DATOS PBI Artículos'!A:A,'[1]DATOS PBI Artículos'!T:T)</f>
        <v>1</v>
      </c>
      <c r="E197" s="34">
        <f>IF(_xlfn.XLOOKUP($A197,'[1]DATOS PBI Artículos'!A:A,'[1]DATOS PBI Artículos'!AK:AK)="",_xlfn.XLOOKUP($A197,'[1]DATOS PBI Artículos'!A:A,'[1]DATOS PBI Artículos'!AJ:AJ),_xlfn.XLOOKUP($A197,'[1]DATOS PBI Artículos'!A:A,'[1]DATOS PBI Artículos'!AK:AK))</f>
        <v>15000</v>
      </c>
      <c r="F197" s="35">
        <f>_xlfn.XLOOKUP($A197,'[1]DATOS PBI Artículos'!A:A,'[1]DATOS PBI Artículos'!AP:AP)</f>
        <v>75</v>
      </c>
      <c r="G197" s="34">
        <f>_xlfn.XLOOKUP($A197,'[1]DATOS PBI Artículos'!A:A,'[1]DATOS PBI Artículos'!AR:AR)</f>
        <v>15000</v>
      </c>
      <c r="H197" s="34">
        <f>_xlfn.XLOOKUP($A197,'[1]DATOS PBI Artículos'!A:A,'[1]DATOS PBI Artículos'!AT:AT)</f>
        <v>0</v>
      </c>
      <c r="I197" s="34">
        <f>_xlfn.XLOOKUP($A197,'[1]DATOS PBI Artículos'!A:A,'[1]DATOS PBI Artículos'!AS:AS)</f>
        <v>15000</v>
      </c>
      <c r="J197" s="35">
        <f>IF(COUNTIF([1]CRITERIOS!$F$179:$F$199,$A197)&gt;=1,
 IF(O197&lt;&gt;"",
    (O197/_xlfn.XLOOKUP(CONCATENATE(A197,L197),[1]MÁQUINAS!A:A,[1]MÁQUINAS!D:D))/24,
    (N197/_xlfn.XLOOKUP(CONCATENATE(A197,L197),[1]MÁQUINAS!A:A,[1]MÁQUINAS!D:D))/24),
  _xlfn.XLOOKUP($A197,'[1]DATOS PBI Artículos'!A:A,'[1]DATOS PBI Artículos'!AU:AU))</f>
        <v>10</v>
      </c>
      <c r="K197" s="36">
        <f>_xlfn.XLOOKUP($A197,'[1]DATOS PBI Artículos'!A:A,'[1]DATOS PBI Artículos'!AV:AV)</f>
        <v>0</v>
      </c>
      <c r="L197" s="33">
        <f>_xlfn.XLOOKUP(A197,[1]MÁQUINAS!B:B,[1]MÁQUINAS!C:C)</f>
        <v>407</v>
      </c>
      <c r="M197" s="34">
        <f t="array" ref="M197">_xlfn.XLOOKUP(A197,'[1]DATOS PBI Artículos'!A:A,'[1]DATOS PBI Artículos'!AX:$AX)</f>
        <v>19256.843722825921</v>
      </c>
      <c r="N197" s="37">
        <f>IF(I197="DV",
E197,
IF(COUNTIF([1]CRITERIOS!$I$179:$I$199,$A197)&gt;=1,
_xlfn.XLOOKUP($A197,[1]CRITERIOS!$I$179:$I$199,[1]CRITERIOS!$J$179:$J$199),
IF(COUNTIF([1]CRITERIOS!$L$179:$L$199,$A197)&gt;=1,
_xlfn.CEILING.MATH(IF($M197&gt;$E197,
$E197,
IF($M197&lt;$E197/ROUNDDOWN([1]CRITERIOS!$M$16/_xlfn.XLOOKUP($C197,[1]CRITERIOS!$K$25:$K$42,[1]CRITERIOS!$M$25:$M$42),
1),
E197/ROUNDDOWN([1]CRITERIOS!$M$16/_xlfn.XLOOKUP($C197,[1]CRITERIOS!$K$25:$K$42,[1]CRITERIOS!$M$25:$M$42),
1),
$M197)),
_xlfn.XLOOKUP($A197,[1]CRITERIOS!$L$179:$L$200,[1]CRITERIOS!$M$179:$M$200)),
_xlfn.CEILING.MATH(IF($M197&gt;$E197,
$E197,
IF($M197&lt;$E197/ROUNDDOWN([1]CRITERIOS!$M$16/_xlfn.XLOOKUP($C197,[1]CRITERIOS!$K$25:$K$42,[1]CRITERIOS!$M$25:$M$42),
1),
E197/ROUNDDOWN([1]CRITERIOS!$M$16/_xlfn.XLOOKUP($C197,[1]CRITERIOS!$K$25:$K$42,[1]CRITERIOS!$M$25:$M$42),
1),
$M197)),_xlfn.XLOOKUP(A197,'[1]DATOS PBI Artículos'!A:A,'[1]DATOS PBI Artículos'!Z:Z
)))))</f>
        <v>15000</v>
      </c>
      <c r="Q197" s="38">
        <f>IF(AND(O197="",N197=0),
0,
   IF(COUNTIF([1]CRITERIOS!$F$179:$F$199,$A197)&gt;=1,
   1,
   IF(R197="MTO",
      $D197,
      ROUNDUP(
                    IF(($E197-SUMIF('[1]DATOS PBI Artículos'!A:A,A197,'[1]DATOS PBI Artículos'!X:X)+($V197-_xlfn.XLOOKUP(A197,'[1]DATOS PBI Artículos'!A:A,'[1]DATOS PBI Artículos'!W:W)))&lt;0,
                    0,
                    IF(($E197-SUMIF('[1]DATOS PBI Artículos'!A:A,A197,'[1]DATOS PBI Artículos'!X:X)+$V197-_xlfn.XLOOKUP($A197,'[1]DATOS PBI Artículos'!A:A,'[1]DATOS PBI Artículos'!W:W))/IF($O197="",$N197,$O197)&gt;ROUNDUP([1]CRITERIOS!$M$16/(IF(COUNTIF([1]CRITERIOS!$BG$11:$BG$201,L197)&gt;=1,_xlfn.XLOOKUP($C197,[1]CRITERIOS!$K$25:$K$42,[1]CRITERIOS!$M$25:$M$42),_xlfn.XLOOKUP($C197,[1]CRITERIOS!$K$25:$K$42,[1]CRITERIOS!$M$25:$M$42))),0),
                    ROUNDUP([1]CRITERIOS!$M$16/(IF(COUNTIF([1]CRITERIOS!$BG$11:$BG$201,$L197)&gt;=1,_xlfn.XLOOKUP($C197,[1]CRITERIOS!$K$25:$K$42,[1]CRITERIOS!$M$25:$M$42),_xlfn.XLOOKUP($C197,[1]CRITERIOS!$K$25:$K$42,[1]CRITERIOS!$M$25:$M$42))),0),
                    (E197+V197-SUMIF('[1]DATOS PBI Artículos'!A:A,A197,'[1]DATOS PBI Artículos'!X:X)-_xlfn.XLOOKUP(A197,'[1]DATOS PBI Artículos'!A:A,'[1]DATOS PBI Artículos'!W:W))/IF($O197="",$N197,$O197))),0))))</f>
        <v>1</v>
      </c>
      <c r="R197" s="33" t="str">
        <f>IF(U197&lt;&gt;"",U197,IF(F197="DV","MTO",IF(N197=0,"MTO",_xlfn.XLOOKUP(CONCATENATE(S197,T197),[1]CRITERIOS!$K$160:$K$168,[1]CRITERIOS!$N$160:$N$168))))</f>
        <v>MTO</v>
      </c>
      <c r="S197" s="33" t="str">
        <f>IF(G197="DV","MTO",IF(N197=0,"MTO",IF(OR(AND(N197=0,O197=""),IF(O197="",G197/N197,G197/O197)&gt;[1]CRITERIOS!$G$163),"MTO",IF(IF(O197="",G197/N197,G197/O197)&lt;[1]CRITERIOS!$H$161,"MTS","MTOS"))))</f>
        <v>MTO</v>
      </c>
      <c r="T197" s="33" t="str">
        <f>IF(F197="DV","MTO",IF(OR(AND($N197=0,O197=""),$F197/$J197&gt;[1]CRITERIOS!$G$170,$F197="DV"),"MTO",IF($F197/$J197&lt;[1]CRITERIOS!$H$168,"MTS","MTOS")))</f>
        <v>MTO</v>
      </c>
      <c r="V197" s="34" t="str">
        <f t="shared" si="10"/>
        <v/>
      </c>
      <c r="X197" s="34">
        <f t="shared" si="11"/>
        <v>0</v>
      </c>
      <c r="Y197" s="34">
        <f t="shared" si="12"/>
        <v>0</v>
      </c>
      <c r="Z197" s="34">
        <f>IF($R197="MTO",
0,
($H197+$K197*($E197/[1]CRITERIOS!$M$16))/[1]CRITERIOS!$X$48)</f>
        <v>0</v>
      </c>
      <c r="AA197" s="34" t="e">
        <f>ROUNDUP(($Y197/_xlfn.XLOOKUP($A197,'[1]DATOS PBI Artículos'!$A$4:$A$4,'[1]DATOS PBI Artículos'!$Z$4:$Z$4))/_xlfn.XLOOKUP(_xlfn.XLOOKUP($A197,'[1]DATOS PBI Artículos'!$A$4:$A$4,'[1]DATOS PBI Artículos'!$Y$4:$Y$4),[1]CRITERIOS!$P$79:$P$123,[1]CRITERIOS!$S$79:$S$123,),0)</f>
        <v>#N/A</v>
      </c>
      <c r="AB197" s="33" t="e">
        <f t="array" ref="AB197">IF((E197+V197-_xlfn.XLOOKUP(A197,'[1]DATOS PBI Artículos'!$A$4:$A$4,'[1]DATOS PBI Artículos'!$W$4:$W$4))/N197&gt;ROUNDUP([1]CRITERIOS!$M$16/(IF(COUNTIF([1]CRITERIOS!$BG$11:$BG$201,L197)&gt;=1,_xlfn.XLOOKUP(ARTÍCULOS!L197,[1]CRITERIOS!$BG$11:$BG$201,[1]CRITERIOS!$BJ$11:$BJ$201),_xlfn.XLOOKUP(ARTÍCULOS!C197,[1]CRITERIOS!$K$25:$K$42,[1]CRITERIOS!$M$25:$M$42))),0),ROUNDUP([1]CRITERIOS!$M$16/(IF(COUNTIF([1]CRITERIOS!$BG$11:$BG$201,L197)&gt;=1,_xlfn.XLOOKUP(ARTÍCULOS!L197,[1]CRITERIOS!$BG$11:$BG$201:#REF!,[1]CRITERIOS!$BJ$11:$BJ$201),_xlfn.XLOOKUP(ARTÍCULOS!C197,[1]CRITERIOS!$K$25:$K$42,[1]CRITERIOS!$M$25:$M$42))),0),(E197+V197-_xlfn.XLOOKUP(A197,'[1]DATOS PBI Artículos'!$A$4:$A$4,'[1]DATOS PBI Artículos'!$W$4:$W$4))/N197)</f>
        <v>#VALUE!</v>
      </c>
      <c r="AC197" s="33" t="e">
        <f>IF(N197=0,"",(ROUNDUP((N197/2)/(_xlfn.XLOOKUP(A197,'[1]DATOS PBI Artículos'!$A$4:$A$4,'[1]DATOS PBI Artículos'!$Z$4:$Z$4)*_xlfn.XLOOKUP(_xlfn.XLOOKUP(A197,'[1]DATOS PBI Artículos'!$A$4:$A$4,'[1]DATOS PBI Artículos'!$Y$4:$Y$4),[1]CRITERIOS!$P$79:$P$123,[1]CRITERIOS!$S$79:$S$123)),0)*[1]CRITERIOS!$M$80*([1]CRITERIOS!$M$110/[1]CRITERIOS!$M$86)+(_xlfn.XLOOKUP(A197,'[1]DATOS PBI Artículos'!$A$4:$A$4,'[1]DATOS PBI Artículos'!$AA$4:$AA$4)*([1]CRITERIOS!$M$95+[1]CRITERIOS!$M$98)))/N197)</f>
        <v>#N/A</v>
      </c>
      <c r="AD197" s="33" t="e">
        <f>IF(N197=0,"",(ROUNDUP((N197/2)/(_xlfn.XLOOKUP(A197,'[1]DATOS PBI Artículos'!$A$4:$A$4,'[1]DATOS PBI Artículos'!$Z$4:$Z$4)*_xlfn.XLOOKUP(_xlfn.XLOOKUP(A197,'[1]DATOS PBI Artículos'!$A$4:$A$4,'[1]DATOS PBI Artículos'!$Y$4:$Y$4),[1]CRITERIOS!$P$79:$P$123,[1]CRITERIOS!$S$79:$S$123)),0)*[1]CRITERIOS!$M$80*([1]CRITERIOS!$M$89*[1]CRITERIOS!$M$92)+((_xlfn.XLOOKUP(A197,'[1]DATOS PBI Artículos'!$A$4:$A$4,'[1]DATOS PBI Artículos'!$AA$4:$AA$4)/2)*([1]CRITERIOS!$M$95+[1]CRITERIOS!$M$98)))/N197)</f>
        <v>#N/A</v>
      </c>
      <c r="AE197" s="39" t="str">
        <f>IF($R197="MTO","",
IF($H197=0,ROUNDUP(((_xlfn.XLOOKUP($A197,'[1]DATOS PBI Artículos'!$A:$A,'[1]DATOS PBI Artículos'!$AL:$AL))/(_xlfn.XLOOKUP($AF$1,[1]CRITERIOS!$S$16:$S$39,[1]CRITERIOS!$Y$16:$Y$39))*$J197+$Z197)/$G197,0)*$G197,
((_xlfn.XLOOKUP($A197,'[1]DATOS PBI Artículos'!$A:$A,'[1]DATOS PBI Artículos'!$AL:$AL))/(_xlfn.XLOOKUP($AF$1,[1]CRITERIOS!$S$16:$S$39,[1]CRITERIOS!$Y$16:$Y$39))*$J197+$Z197)))</f>
        <v/>
      </c>
      <c r="AG197" s="39" t="str">
        <f>IF($R197="MTO","",
IF($H197=0,ROUNDUP(((_xlfn.XLOOKUP($A197,'[1]DATOS PBI Artículos'!$A:$A,'[1]DATOS PBI Artículos'!$AM:$AM))/(_xlfn.XLOOKUP($AH$1,[1]CRITERIOS!$S$16:$S$39,[1]CRITERIOS!$Y$16:$Y$39))*$J197+$Z197)/$G197,0)*$G197,
((_xlfn.XLOOKUP($A197,'[1]DATOS PBI Artículos'!$A:$A,'[1]DATOS PBI Artículos'!$AM:$AM))/(_xlfn.XLOOKUP($AH$1,[1]CRITERIOS!$S$16:$S$39,[1]CRITERIOS!$Y$16:$Y$39))*$J197+$Z197)))</f>
        <v/>
      </c>
      <c r="AI197" s="39" t="str">
        <f>IF($R197="MTO","",
IF($H197=0,ROUNDUP(((_xlfn.XLOOKUP($A197,'[1]DATOS PBI Artículos'!$A:$A,'[1]DATOS PBI Artículos'!$AN:$AN))/(_xlfn.XLOOKUP($AJ$1,[1]CRITERIOS!$S$16:$S$39,[1]CRITERIOS!$Y$16:$Y$39))*$J197+$Z197)/$G197,0)*$G197,
((_xlfn.XLOOKUP($A197,'[1]DATOS PBI Artículos'!$A:$A,'[1]DATOS PBI Artículos'!$AN:$AN))/(_xlfn.XLOOKUP($AJ$1,[1]CRITERIOS!$S$16:$S$39,[1]CRITERIOS!$Y$16:$Y$39))*$J197+$Z197)))</f>
        <v/>
      </c>
      <c r="AK197" s="39" t="str">
        <f>IF($R197="MTO","",
IF($H197=0,ROUNDUP(((_xlfn.XLOOKUP($A197,'[1]DATOS PBI Artículos'!$A:$A,'[1]DATOS PBI Artículos'!$AO:$AO))/(_xlfn.XLOOKUP($AL$1,[1]CRITERIOS!$S$16:$S$39,[1]CRITERIOS!$Y$16:$Y$39))*$J197+$Z197)/$G197,0)*$G197,
((_xlfn.XLOOKUP($A197,'[1]DATOS PBI Artículos'!$A:$A,'[1]DATOS PBI Artículos'!$AO:$AO))/(_xlfn.XLOOKUP($AL$1,[1]CRITERIOS!$S$16:$S$39,[1]CRITERIOS!$Y$16:$Y$39))*$J197+$Z197)))</f>
        <v/>
      </c>
    </row>
    <row r="198" spans="1:37" ht="25.8" x14ac:dyDescent="0.5">
      <c r="A198" s="32" t="s">
        <v>101</v>
      </c>
      <c r="B198" s="33">
        <f>_xlfn.XLOOKUP($A198,'[1]DATOS PBI Artículos'!A:A,'[1]DATOS PBI Artículos'!B:B)</f>
        <v>0</v>
      </c>
      <c r="C198" s="33" t="str">
        <f>_xlfn.XLOOKUP($A198,'[1]DATOS PBI Artículos'!A:A,'[1]DATOS PBI Artículos'!C:C)</f>
        <v>UA02</v>
      </c>
      <c r="D198" s="33">
        <f>_xlfn.XLOOKUP(A198,'[1]DATOS PBI Artículos'!A:A,'[1]DATOS PBI Artículos'!T:T)</f>
        <v>2</v>
      </c>
      <c r="E198" s="34">
        <f>IF(_xlfn.XLOOKUP($A198,'[1]DATOS PBI Artículos'!A:A,'[1]DATOS PBI Artículos'!AK:AK)="",_xlfn.XLOOKUP($A198,'[1]DATOS PBI Artículos'!A:A,'[1]DATOS PBI Artículos'!AJ:AJ),_xlfn.XLOOKUP($A198,'[1]DATOS PBI Artículos'!A:A,'[1]DATOS PBI Artículos'!AK:AK))</f>
        <v>15000</v>
      </c>
      <c r="F198" s="35">
        <f>_xlfn.XLOOKUP($A198,'[1]DATOS PBI Artículos'!A:A,'[1]DATOS PBI Artículos'!AP:AP)</f>
        <v>33</v>
      </c>
      <c r="G198" s="34">
        <f>_xlfn.XLOOKUP($A198,'[1]DATOS PBI Artículos'!A:A,'[1]DATOS PBI Artículos'!AR:AR)</f>
        <v>5000</v>
      </c>
      <c r="H198" s="34">
        <f>_xlfn.XLOOKUP($A198,'[1]DATOS PBI Artículos'!A:A,'[1]DATOS PBI Artículos'!AT:AT)</f>
        <v>0</v>
      </c>
      <c r="I198" s="34">
        <f>_xlfn.XLOOKUP($A198,'[1]DATOS PBI Artículos'!A:A,'[1]DATOS PBI Artículos'!AS:AS)</f>
        <v>5000</v>
      </c>
      <c r="J198" s="35">
        <f>IF(COUNTIF([1]CRITERIOS!$F$179:$F$199,$A198)&gt;=1,
 IF(O198&lt;&gt;"",
    (O198/_xlfn.XLOOKUP(CONCATENATE(A198,L198),[1]MÁQUINAS!A:A,[1]MÁQUINAS!D:D))/24,
    (N198/_xlfn.XLOOKUP(CONCATENATE(A198,L198),[1]MÁQUINAS!A:A,[1]MÁQUINAS!D:D))/24),
  _xlfn.XLOOKUP($A198,'[1]DATOS PBI Artículos'!A:A,'[1]DATOS PBI Artículos'!AU:AU))</f>
        <v>21.857142857142858</v>
      </c>
      <c r="K198" s="36">
        <f>_xlfn.XLOOKUP($A198,'[1]DATOS PBI Artículos'!A:A,'[1]DATOS PBI Artículos'!AV:AV)</f>
        <v>8.0711125096145917</v>
      </c>
      <c r="L198" s="33">
        <f>_xlfn.XLOOKUP(A198,[1]MÁQUINAS!B:B,[1]MÁQUINAS!C:C)</f>
        <v>221</v>
      </c>
      <c r="M198" s="34">
        <f t="array" ref="M198">_xlfn.XLOOKUP(A198,'[1]DATOS PBI Artículos'!A:A,'[1]DATOS PBI Artículos'!AX:$AX)</f>
        <v>6931.6017502813229</v>
      </c>
      <c r="N198" s="37">
        <f>IF(I198="DV",
E198,
IF(COUNTIF([1]CRITERIOS!$I$179:$I$199,$A198)&gt;=1,
_xlfn.XLOOKUP($A198,[1]CRITERIOS!$I$179:$I$199,[1]CRITERIOS!$J$179:$J$199),
IF(COUNTIF([1]CRITERIOS!$L$179:$L$199,$A198)&gt;=1,
_xlfn.CEILING.MATH(IF($M198&gt;$E198,
$E198,
IF($M198&lt;$E198/ROUNDDOWN([1]CRITERIOS!$M$16/_xlfn.XLOOKUP($C198,[1]CRITERIOS!$K$25:$K$42,[1]CRITERIOS!$M$25:$M$42),
1),
E198/ROUNDDOWN([1]CRITERIOS!$M$16/_xlfn.XLOOKUP($C198,[1]CRITERIOS!$K$25:$K$42,[1]CRITERIOS!$M$25:$M$42),
1),
$M198)),
_xlfn.XLOOKUP($A198,[1]CRITERIOS!$L$179:$L$200,[1]CRITERIOS!$M$179:$M$200)),
_xlfn.CEILING.MATH(IF($M198&gt;$E198,
$E198,
IF($M198&lt;$E198/ROUNDDOWN([1]CRITERIOS!$M$16/_xlfn.XLOOKUP($C198,[1]CRITERIOS!$K$25:$K$42,[1]CRITERIOS!$M$25:$M$42),
1),
E198/ROUNDDOWN([1]CRITERIOS!$M$16/_xlfn.XLOOKUP($C198,[1]CRITERIOS!$K$25:$K$42,[1]CRITERIOS!$M$25:$M$42),
1),
$M198)),_xlfn.XLOOKUP(A198,'[1]DATOS PBI Artículos'!A:A,'[1]DATOS PBI Artículos'!Z:Z
)))))</f>
        <v>10000</v>
      </c>
      <c r="Q198" s="38">
        <f>IF(AND(O198="",N198=0),
0,
   IF(COUNTIF([1]CRITERIOS!$F$179:$F$199,$A198)&gt;=1,
   1,
   IF(R198="MTO",
      $D198,
      ROUNDUP(
                    IF(($E198-SUMIF('[1]DATOS PBI Artículos'!A:A,A198,'[1]DATOS PBI Artículos'!X:X)+($V198-_xlfn.XLOOKUP(A198,'[1]DATOS PBI Artículos'!A:A,'[1]DATOS PBI Artículos'!W:W)))&lt;0,
                    0,
                    IF(($E198-SUMIF('[1]DATOS PBI Artículos'!A:A,A198,'[1]DATOS PBI Artículos'!X:X)+$V198-_xlfn.XLOOKUP($A198,'[1]DATOS PBI Artículos'!A:A,'[1]DATOS PBI Artículos'!W:W))/IF($O198="",$N198,$O198)&gt;ROUNDUP([1]CRITERIOS!$M$16/(IF(COUNTIF([1]CRITERIOS!$BG$11:$BG$201,L198)&gt;=1,_xlfn.XLOOKUP($C198,[1]CRITERIOS!$K$25:$K$42,[1]CRITERIOS!$M$25:$M$42),_xlfn.XLOOKUP($C198,[1]CRITERIOS!$K$25:$K$42,[1]CRITERIOS!$M$25:$M$42))),0),
                    ROUNDUP([1]CRITERIOS!$M$16/(IF(COUNTIF([1]CRITERIOS!$BG$11:$BG$201,$L198)&gt;=1,_xlfn.XLOOKUP($C198,[1]CRITERIOS!$K$25:$K$42,[1]CRITERIOS!$M$25:$M$42),_xlfn.XLOOKUP($C198,[1]CRITERIOS!$K$25:$K$42,[1]CRITERIOS!$M$25:$M$42))),0),
                    (E198+V198-SUMIF('[1]DATOS PBI Artículos'!A:A,A198,'[1]DATOS PBI Artículos'!X:X)-_xlfn.XLOOKUP(A198,'[1]DATOS PBI Artículos'!A:A,'[1]DATOS PBI Artículos'!W:W))/IF($O198="",$N198,$O198))),0))))</f>
        <v>2</v>
      </c>
      <c r="R198" s="33" t="str">
        <f>IF(U198&lt;&gt;"",U198,IF(F198="DV","MTO",IF(N198=0,"MTO",_xlfn.XLOOKUP(CONCATENATE(S198,T198),[1]CRITERIOS!$K$160:$K$168,[1]CRITERIOS!$N$160:$N$168))))</f>
        <v>MTO</v>
      </c>
      <c r="S198" s="33" t="str">
        <f>IF(G198="DV","MTO",IF(N198=0,"MTO",IF(OR(AND(N198=0,O198=""),IF(O198="",G198/N198,G198/O198)&gt;[1]CRITERIOS!$G$163),"MTO",IF(IF(O198="",G198/N198,G198/O198)&lt;[1]CRITERIOS!$H$161,"MTS","MTOS"))))</f>
        <v>MTOS</v>
      </c>
      <c r="T198" s="33" t="str">
        <f>IF(F198="DV","MTO",IF(OR(AND($N198=0,O198=""),$F198/$J198&gt;[1]CRITERIOS!$G$170,$F198="DV"),"MTO",IF($F198/$J198&lt;[1]CRITERIOS!$H$168,"MTS","MTOS")))</f>
        <v>MTO</v>
      </c>
      <c r="V198" s="34" t="str">
        <f t="shared" si="10"/>
        <v/>
      </c>
      <c r="X198" s="34">
        <f t="shared" si="11"/>
        <v>0</v>
      </c>
      <c r="Y198" s="34">
        <f t="shared" si="12"/>
        <v>0</v>
      </c>
      <c r="Z198" s="34">
        <f>IF($R198="MTO",
0,
($H198+$K198*($E198/[1]CRITERIOS!$M$16))/[1]CRITERIOS!$X$48)</f>
        <v>0</v>
      </c>
      <c r="AA198" s="34" t="e">
        <f>ROUNDUP(($Y198/_xlfn.XLOOKUP($A198,'[1]DATOS PBI Artículos'!$A$4:$A$4,'[1]DATOS PBI Artículos'!$Z$4:$Z$4))/_xlfn.XLOOKUP(_xlfn.XLOOKUP($A198,'[1]DATOS PBI Artículos'!$A$4:$A$4,'[1]DATOS PBI Artículos'!$Y$4:$Y$4),[1]CRITERIOS!$P$79:$P$123,[1]CRITERIOS!$S$79:$S$123,),0)</f>
        <v>#N/A</v>
      </c>
      <c r="AB198" s="33" t="e">
        <f t="array" ref="AB198">IF((E198+V198-_xlfn.XLOOKUP(A198,'[1]DATOS PBI Artículos'!$A$4:$A$4,'[1]DATOS PBI Artículos'!$W$4:$W$4))/N198&gt;ROUNDUP([1]CRITERIOS!$M$16/(IF(COUNTIF([1]CRITERIOS!$BG$11:$BG$201,L198)&gt;=1,_xlfn.XLOOKUP(ARTÍCULOS!L198,[1]CRITERIOS!$BG$11:$BG$201,[1]CRITERIOS!$BJ$11:$BJ$201),_xlfn.XLOOKUP(ARTÍCULOS!C198,[1]CRITERIOS!$K$25:$K$42,[1]CRITERIOS!$M$25:$M$42))),0),ROUNDUP([1]CRITERIOS!$M$16/(IF(COUNTIF([1]CRITERIOS!$BG$11:$BG$201,L198)&gt;=1,_xlfn.XLOOKUP(ARTÍCULOS!L198,[1]CRITERIOS!$BG$11:$BG$201:#REF!,[1]CRITERIOS!$BJ$11:$BJ$201),_xlfn.XLOOKUP(ARTÍCULOS!C198,[1]CRITERIOS!$K$25:$K$42,[1]CRITERIOS!$M$25:$M$42))),0),(E198+V198-_xlfn.XLOOKUP(A198,'[1]DATOS PBI Artículos'!$A$4:$A$4,'[1]DATOS PBI Artículos'!$W$4:$W$4))/N198)</f>
        <v>#VALUE!</v>
      </c>
      <c r="AC198" s="33" t="e">
        <f>IF(N198=0,"",(ROUNDUP((N198/2)/(_xlfn.XLOOKUP(A198,'[1]DATOS PBI Artículos'!$A$4:$A$4,'[1]DATOS PBI Artículos'!$Z$4:$Z$4)*_xlfn.XLOOKUP(_xlfn.XLOOKUP(A198,'[1]DATOS PBI Artículos'!$A$4:$A$4,'[1]DATOS PBI Artículos'!$Y$4:$Y$4),[1]CRITERIOS!$P$79:$P$123,[1]CRITERIOS!$S$79:$S$123)),0)*[1]CRITERIOS!$M$80*([1]CRITERIOS!$M$110/[1]CRITERIOS!$M$86)+(_xlfn.XLOOKUP(A198,'[1]DATOS PBI Artículos'!$A$4:$A$4,'[1]DATOS PBI Artículos'!$AA$4:$AA$4)*([1]CRITERIOS!$M$95+[1]CRITERIOS!$M$98)))/N198)</f>
        <v>#N/A</v>
      </c>
      <c r="AD198" s="33" t="e">
        <f>IF(N198=0,"",(ROUNDUP((N198/2)/(_xlfn.XLOOKUP(A198,'[1]DATOS PBI Artículos'!$A$4:$A$4,'[1]DATOS PBI Artículos'!$Z$4:$Z$4)*_xlfn.XLOOKUP(_xlfn.XLOOKUP(A198,'[1]DATOS PBI Artículos'!$A$4:$A$4,'[1]DATOS PBI Artículos'!$Y$4:$Y$4),[1]CRITERIOS!$P$79:$P$123,[1]CRITERIOS!$S$79:$S$123)),0)*[1]CRITERIOS!$M$80*([1]CRITERIOS!$M$89*[1]CRITERIOS!$M$92)+((_xlfn.XLOOKUP(A198,'[1]DATOS PBI Artículos'!$A$4:$A$4,'[1]DATOS PBI Artículos'!$AA$4:$AA$4)/2)*([1]CRITERIOS!$M$95+[1]CRITERIOS!$M$98)))/N198)</f>
        <v>#N/A</v>
      </c>
      <c r="AE198" s="39" t="str">
        <f>IF($R198="MTO","",
IF($H198=0,ROUNDUP(((_xlfn.XLOOKUP($A198,'[1]DATOS PBI Artículos'!$A:$A,'[1]DATOS PBI Artículos'!$AL:$AL))/(_xlfn.XLOOKUP($AF$1,[1]CRITERIOS!$S$16:$S$39,[1]CRITERIOS!$Y$16:$Y$39))*$J198+$Z198)/$G198,0)*$G198,
((_xlfn.XLOOKUP($A198,'[1]DATOS PBI Artículos'!$A:$A,'[1]DATOS PBI Artículos'!$AL:$AL))/(_xlfn.XLOOKUP($AF$1,[1]CRITERIOS!$S$16:$S$39,[1]CRITERIOS!$Y$16:$Y$39))*$J198+$Z198)))</f>
        <v/>
      </c>
      <c r="AG198" s="39" t="str">
        <f>IF($R198="MTO","",
IF($H198=0,ROUNDUP(((_xlfn.XLOOKUP($A198,'[1]DATOS PBI Artículos'!$A:$A,'[1]DATOS PBI Artículos'!$AM:$AM))/(_xlfn.XLOOKUP($AH$1,[1]CRITERIOS!$S$16:$S$39,[1]CRITERIOS!$Y$16:$Y$39))*$J198+$Z198)/$G198,0)*$G198,
((_xlfn.XLOOKUP($A198,'[1]DATOS PBI Artículos'!$A:$A,'[1]DATOS PBI Artículos'!$AM:$AM))/(_xlfn.XLOOKUP($AH$1,[1]CRITERIOS!$S$16:$S$39,[1]CRITERIOS!$Y$16:$Y$39))*$J198+$Z198)))</f>
        <v/>
      </c>
      <c r="AI198" s="39" t="str">
        <f>IF($R198="MTO","",
IF($H198=0,ROUNDUP(((_xlfn.XLOOKUP($A198,'[1]DATOS PBI Artículos'!$A:$A,'[1]DATOS PBI Artículos'!$AN:$AN))/(_xlfn.XLOOKUP($AJ$1,[1]CRITERIOS!$S$16:$S$39,[1]CRITERIOS!$Y$16:$Y$39))*$J198+$Z198)/$G198,0)*$G198,
((_xlfn.XLOOKUP($A198,'[1]DATOS PBI Artículos'!$A:$A,'[1]DATOS PBI Artículos'!$AN:$AN))/(_xlfn.XLOOKUP($AJ$1,[1]CRITERIOS!$S$16:$S$39,[1]CRITERIOS!$Y$16:$Y$39))*$J198+$Z198)))</f>
        <v/>
      </c>
      <c r="AK198" s="39" t="str">
        <f>IF($R198="MTO","",
IF($H198=0,ROUNDUP(((_xlfn.XLOOKUP($A198,'[1]DATOS PBI Artículos'!$A:$A,'[1]DATOS PBI Artículos'!$AO:$AO))/(_xlfn.XLOOKUP($AL$1,[1]CRITERIOS!$S$16:$S$39,[1]CRITERIOS!$Y$16:$Y$39))*$J198+$Z198)/$G198,0)*$G198,
((_xlfn.XLOOKUP($A198,'[1]DATOS PBI Artículos'!$A:$A,'[1]DATOS PBI Artículos'!$AO:$AO))/(_xlfn.XLOOKUP($AL$1,[1]CRITERIOS!$S$16:$S$39,[1]CRITERIOS!$Y$16:$Y$39))*$J198+$Z198)))</f>
        <v/>
      </c>
    </row>
    <row r="199" spans="1:37" ht="25.8" x14ac:dyDescent="0.5">
      <c r="A199" s="32">
        <v>421100</v>
      </c>
      <c r="B199" s="33">
        <f>_xlfn.XLOOKUP($A199,'[1]DATOS PBI Artículos'!A:A,'[1]DATOS PBI Artículos'!B:B)</f>
        <v>0</v>
      </c>
      <c r="C199" s="33" t="str">
        <f>_xlfn.XLOOKUP($A199,'[1]DATOS PBI Artículos'!A:A,'[1]DATOS PBI Artículos'!C:C)</f>
        <v>UA01</v>
      </c>
      <c r="D199" s="33">
        <f>_xlfn.XLOOKUP(A199,'[1]DATOS PBI Artículos'!A:A,'[1]DATOS PBI Artículos'!T:T)</f>
        <v>1</v>
      </c>
      <c r="E199" s="34">
        <f>IF(_xlfn.XLOOKUP($A199,'[1]DATOS PBI Artículos'!A:A,'[1]DATOS PBI Artículos'!AK:AK)="",_xlfn.XLOOKUP($A199,'[1]DATOS PBI Artículos'!A:A,'[1]DATOS PBI Artículos'!AJ:AJ),_xlfn.XLOOKUP($A199,'[1]DATOS PBI Artículos'!A:A,'[1]DATOS PBI Artículos'!AK:AK))</f>
        <v>15000</v>
      </c>
      <c r="F199" s="35">
        <f>_xlfn.XLOOKUP($A199,'[1]DATOS PBI Artículos'!A:A,'[1]DATOS PBI Artículos'!AP:AP)</f>
        <v>75</v>
      </c>
      <c r="G199" s="34">
        <f>_xlfn.XLOOKUP($A199,'[1]DATOS PBI Artículos'!A:A,'[1]DATOS PBI Artículos'!AR:AR)</f>
        <v>15000</v>
      </c>
      <c r="H199" s="34">
        <f>_xlfn.XLOOKUP($A199,'[1]DATOS PBI Artículos'!A:A,'[1]DATOS PBI Artículos'!AT:AT)</f>
        <v>0</v>
      </c>
      <c r="I199" s="34">
        <f>_xlfn.XLOOKUP($A199,'[1]DATOS PBI Artículos'!A:A,'[1]DATOS PBI Artículos'!AS:AS)</f>
        <v>15000</v>
      </c>
      <c r="J199" s="35">
        <f>IF(COUNTIF([1]CRITERIOS!$F$179:$F$199,$A199)&gt;=1,
 IF(O199&lt;&gt;"",
    (O199/_xlfn.XLOOKUP(CONCATENATE(A199,L199),[1]MÁQUINAS!A:A,[1]MÁQUINAS!D:D))/24,
    (N199/_xlfn.XLOOKUP(CONCATENATE(A199,L199),[1]MÁQUINAS!A:A,[1]MÁQUINAS!D:D))/24),
  _xlfn.XLOOKUP($A199,'[1]DATOS PBI Artículos'!A:A,'[1]DATOS PBI Artículos'!AU:AU))</f>
        <v>10</v>
      </c>
      <c r="K199" s="36">
        <f>_xlfn.XLOOKUP($A199,'[1]DATOS PBI Artículos'!A:A,'[1]DATOS PBI Artículos'!AV:AV)</f>
        <v>0</v>
      </c>
      <c r="L199" s="33">
        <f>_xlfn.XLOOKUP(A199,[1]MÁQUINAS!B:B,[1]MÁQUINAS!C:C)</f>
        <v>406</v>
      </c>
      <c r="M199" s="34">
        <f t="array" ref="M199">_xlfn.XLOOKUP(A199,'[1]DATOS PBI Artículos'!A:A,'[1]DATOS PBI Artículos'!AX:$AX)</f>
        <v>21146.319760990114</v>
      </c>
      <c r="N199" s="37">
        <f>IF(I199="DV",
E199,
IF(COUNTIF([1]CRITERIOS!$I$179:$I$199,$A199)&gt;=1,
_xlfn.XLOOKUP($A199,[1]CRITERIOS!$I$179:$I$199,[1]CRITERIOS!$J$179:$J$199),
IF(COUNTIF([1]CRITERIOS!$L$179:$L$199,$A199)&gt;=1,
_xlfn.CEILING.MATH(IF($M199&gt;$E199,
$E199,
IF($M199&lt;$E199/ROUNDDOWN([1]CRITERIOS!$M$16/_xlfn.XLOOKUP($C199,[1]CRITERIOS!$K$25:$K$42,[1]CRITERIOS!$M$25:$M$42),
1),
E199/ROUNDDOWN([1]CRITERIOS!$M$16/_xlfn.XLOOKUP($C199,[1]CRITERIOS!$K$25:$K$42,[1]CRITERIOS!$M$25:$M$42),
1),
$M199)),
_xlfn.XLOOKUP($A199,[1]CRITERIOS!$L$179:$L$200,[1]CRITERIOS!$M$179:$M$200)),
_xlfn.CEILING.MATH(IF($M199&gt;$E199,
$E199,
IF($M199&lt;$E199/ROUNDDOWN([1]CRITERIOS!$M$16/_xlfn.XLOOKUP($C199,[1]CRITERIOS!$K$25:$K$42,[1]CRITERIOS!$M$25:$M$42),
1),
E199/ROUNDDOWN([1]CRITERIOS!$M$16/_xlfn.XLOOKUP($C199,[1]CRITERIOS!$K$25:$K$42,[1]CRITERIOS!$M$25:$M$42),
1),
$M199)),_xlfn.XLOOKUP(A199,'[1]DATOS PBI Artículos'!A:A,'[1]DATOS PBI Artículos'!Z:Z
)))))</f>
        <v>15000</v>
      </c>
      <c r="Q199" s="38">
        <f>IF(AND(O199="",N199=0),
0,
   IF(COUNTIF([1]CRITERIOS!$F$179:$F$199,$A199)&gt;=1,
   1,
   IF(R199="MTO",
      $D199,
      ROUNDUP(
                    IF(($E199-SUMIF('[1]DATOS PBI Artículos'!A:A,A199,'[1]DATOS PBI Artículos'!X:X)+($V199-_xlfn.XLOOKUP(A199,'[1]DATOS PBI Artículos'!A:A,'[1]DATOS PBI Artículos'!W:W)))&lt;0,
                    0,
                    IF(($E199-SUMIF('[1]DATOS PBI Artículos'!A:A,A199,'[1]DATOS PBI Artículos'!X:X)+$V199-_xlfn.XLOOKUP($A199,'[1]DATOS PBI Artículos'!A:A,'[1]DATOS PBI Artículos'!W:W))/IF($O199="",$N199,$O199)&gt;ROUNDUP([1]CRITERIOS!$M$16/(IF(COUNTIF([1]CRITERIOS!$BG$11:$BG$201,L199)&gt;=1,_xlfn.XLOOKUP($C199,[1]CRITERIOS!$K$25:$K$42,[1]CRITERIOS!$M$25:$M$42),_xlfn.XLOOKUP($C199,[1]CRITERIOS!$K$25:$K$42,[1]CRITERIOS!$M$25:$M$42))),0),
                    ROUNDUP([1]CRITERIOS!$M$16/(IF(COUNTIF([1]CRITERIOS!$BG$11:$BG$201,$L199)&gt;=1,_xlfn.XLOOKUP($C199,[1]CRITERIOS!$K$25:$K$42,[1]CRITERIOS!$M$25:$M$42),_xlfn.XLOOKUP($C199,[1]CRITERIOS!$K$25:$K$42,[1]CRITERIOS!$M$25:$M$42))),0),
                    (E199+V199-SUMIF('[1]DATOS PBI Artículos'!A:A,A199,'[1]DATOS PBI Artículos'!X:X)-_xlfn.XLOOKUP(A199,'[1]DATOS PBI Artículos'!A:A,'[1]DATOS PBI Artículos'!W:W))/IF($O199="",$N199,$O199))),0))))</f>
        <v>1</v>
      </c>
      <c r="R199" s="33" t="str">
        <f>IF(U199&lt;&gt;"",U199,IF(F199="DV","MTO",IF(N199=0,"MTO",_xlfn.XLOOKUP(CONCATENATE(S199,T199),[1]CRITERIOS!$K$160:$K$168,[1]CRITERIOS!$N$160:$N$168))))</f>
        <v>MTO</v>
      </c>
      <c r="S199" s="33" t="str">
        <f>IF(G199="DV","MTO",IF(N199=0,"MTO",IF(OR(AND(N199=0,O199=""),IF(O199="",G199/N199,G199/O199)&gt;[1]CRITERIOS!$G$163),"MTO",IF(IF(O199="",G199/N199,G199/O199)&lt;[1]CRITERIOS!$H$161,"MTS","MTOS"))))</f>
        <v>MTO</v>
      </c>
      <c r="T199" s="33" t="str">
        <f>IF(F199="DV","MTO",IF(OR(AND($N199=0,O199=""),$F199/$J199&gt;[1]CRITERIOS!$G$170,$F199="DV"),"MTO",IF($F199/$J199&lt;[1]CRITERIOS!$H$168,"MTS","MTOS")))</f>
        <v>MTO</v>
      </c>
      <c r="V199" s="34" t="str">
        <f t="shared" si="10"/>
        <v/>
      </c>
      <c r="X199" s="34">
        <f t="shared" si="11"/>
        <v>0</v>
      </c>
      <c r="Y199" s="34">
        <f t="shared" si="12"/>
        <v>0</v>
      </c>
      <c r="Z199" s="34">
        <f>IF($R199="MTO",
0,
($H199+$K199*($E199/[1]CRITERIOS!$M$16))/[1]CRITERIOS!$X$48)</f>
        <v>0</v>
      </c>
      <c r="AA199" s="34" t="e">
        <f>ROUNDUP(($Y199/_xlfn.XLOOKUP($A199,'[1]DATOS PBI Artículos'!$A$4:$A$4,'[1]DATOS PBI Artículos'!$Z$4:$Z$4))/_xlfn.XLOOKUP(_xlfn.XLOOKUP($A199,'[1]DATOS PBI Artículos'!$A$4:$A$4,'[1]DATOS PBI Artículos'!$Y$4:$Y$4),[1]CRITERIOS!$P$79:$P$123,[1]CRITERIOS!$S$79:$S$123,),0)</f>
        <v>#N/A</v>
      </c>
      <c r="AB199" s="33" t="e">
        <f t="array" ref="AB199">IF((E199+V199-_xlfn.XLOOKUP(A199,'[1]DATOS PBI Artículos'!$A$4:$A$4,'[1]DATOS PBI Artículos'!$W$4:$W$4))/N199&gt;ROUNDUP([1]CRITERIOS!$M$16/(IF(COUNTIF([1]CRITERIOS!$BG$11:$BG$201,L199)&gt;=1,_xlfn.XLOOKUP(ARTÍCULOS!L199,[1]CRITERIOS!$BG$11:$BG$201,[1]CRITERIOS!$BJ$11:$BJ$201),_xlfn.XLOOKUP(ARTÍCULOS!C199,[1]CRITERIOS!$K$25:$K$42,[1]CRITERIOS!$M$25:$M$42))),0),ROUNDUP([1]CRITERIOS!$M$16/(IF(COUNTIF([1]CRITERIOS!$BG$11:$BG$201,L199)&gt;=1,_xlfn.XLOOKUP(ARTÍCULOS!L199,[1]CRITERIOS!$BG$11:$BG$201:#REF!,[1]CRITERIOS!$BJ$11:$BJ$201),_xlfn.XLOOKUP(ARTÍCULOS!C199,[1]CRITERIOS!$K$25:$K$42,[1]CRITERIOS!$M$25:$M$42))),0),(E199+V199-_xlfn.XLOOKUP(A199,'[1]DATOS PBI Artículos'!$A$4:$A$4,'[1]DATOS PBI Artículos'!$W$4:$W$4))/N199)</f>
        <v>#VALUE!</v>
      </c>
      <c r="AC199" s="33" t="e">
        <f>IF(N199=0,"",(ROUNDUP((N199/2)/(_xlfn.XLOOKUP(A199,'[1]DATOS PBI Artículos'!$A$4:$A$4,'[1]DATOS PBI Artículos'!$Z$4:$Z$4)*_xlfn.XLOOKUP(_xlfn.XLOOKUP(A199,'[1]DATOS PBI Artículos'!$A$4:$A$4,'[1]DATOS PBI Artículos'!$Y$4:$Y$4),[1]CRITERIOS!$P$79:$P$123,[1]CRITERIOS!$S$79:$S$123)),0)*[1]CRITERIOS!$M$80*([1]CRITERIOS!$M$110/[1]CRITERIOS!$M$86)+(_xlfn.XLOOKUP(A199,'[1]DATOS PBI Artículos'!$A$4:$A$4,'[1]DATOS PBI Artículos'!$AA$4:$AA$4)*([1]CRITERIOS!$M$95+[1]CRITERIOS!$M$98)))/N199)</f>
        <v>#N/A</v>
      </c>
      <c r="AD199" s="33" t="e">
        <f>IF(N199=0,"",(ROUNDUP((N199/2)/(_xlfn.XLOOKUP(A199,'[1]DATOS PBI Artículos'!$A$4:$A$4,'[1]DATOS PBI Artículos'!$Z$4:$Z$4)*_xlfn.XLOOKUP(_xlfn.XLOOKUP(A199,'[1]DATOS PBI Artículos'!$A$4:$A$4,'[1]DATOS PBI Artículos'!$Y$4:$Y$4),[1]CRITERIOS!$P$79:$P$123,[1]CRITERIOS!$S$79:$S$123)),0)*[1]CRITERIOS!$M$80*([1]CRITERIOS!$M$89*[1]CRITERIOS!$M$92)+((_xlfn.XLOOKUP(A199,'[1]DATOS PBI Artículos'!$A$4:$A$4,'[1]DATOS PBI Artículos'!$AA$4:$AA$4)/2)*([1]CRITERIOS!$M$95+[1]CRITERIOS!$M$98)))/N199)</f>
        <v>#N/A</v>
      </c>
      <c r="AE199" s="39" t="str">
        <f>IF($R199="MTO","",
IF($H199=0,ROUNDUP(((_xlfn.XLOOKUP($A199,'[1]DATOS PBI Artículos'!$A:$A,'[1]DATOS PBI Artículos'!$AL:$AL))/(_xlfn.XLOOKUP($AF$1,[1]CRITERIOS!$S$16:$S$39,[1]CRITERIOS!$Y$16:$Y$39))*$J199+$Z199)/$G199,0)*$G199,
((_xlfn.XLOOKUP($A199,'[1]DATOS PBI Artículos'!$A:$A,'[1]DATOS PBI Artículos'!$AL:$AL))/(_xlfn.XLOOKUP($AF$1,[1]CRITERIOS!$S$16:$S$39,[1]CRITERIOS!$Y$16:$Y$39))*$J199+$Z199)))</f>
        <v/>
      </c>
      <c r="AG199" s="39" t="str">
        <f>IF($R199="MTO","",
IF($H199=0,ROUNDUP(((_xlfn.XLOOKUP($A199,'[1]DATOS PBI Artículos'!$A:$A,'[1]DATOS PBI Artículos'!$AM:$AM))/(_xlfn.XLOOKUP($AH$1,[1]CRITERIOS!$S$16:$S$39,[1]CRITERIOS!$Y$16:$Y$39))*$J199+$Z199)/$G199,0)*$G199,
((_xlfn.XLOOKUP($A199,'[1]DATOS PBI Artículos'!$A:$A,'[1]DATOS PBI Artículos'!$AM:$AM))/(_xlfn.XLOOKUP($AH$1,[1]CRITERIOS!$S$16:$S$39,[1]CRITERIOS!$Y$16:$Y$39))*$J199+$Z199)))</f>
        <v/>
      </c>
      <c r="AI199" s="39" t="str">
        <f>IF($R199="MTO","",
IF($H199=0,ROUNDUP(((_xlfn.XLOOKUP($A199,'[1]DATOS PBI Artículos'!$A:$A,'[1]DATOS PBI Artículos'!$AN:$AN))/(_xlfn.XLOOKUP($AJ$1,[1]CRITERIOS!$S$16:$S$39,[1]CRITERIOS!$Y$16:$Y$39))*$J199+$Z199)/$G199,0)*$G199,
((_xlfn.XLOOKUP($A199,'[1]DATOS PBI Artículos'!$A:$A,'[1]DATOS PBI Artículos'!$AN:$AN))/(_xlfn.XLOOKUP($AJ$1,[1]CRITERIOS!$S$16:$S$39,[1]CRITERIOS!$Y$16:$Y$39))*$J199+$Z199)))</f>
        <v/>
      </c>
      <c r="AK199" s="39" t="str">
        <f>IF($R199="MTO","",
IF($H199=0,ROUNDUP(((_xlfn.XLOOKUP($A199,'[1]DATOS PBI Artículos'!$A:$A,'[1]DATOS PBI Artículos'!$AO:$AO))/(_xlfn.XLOOKUP($AL$1,[1]CRITERIOS!$S$16:$S$39,[1]CRITERIOS!$Y$16:$Y$39))*$J199+$Z199)/$G199,0)*$G199,
((_xlfn.XLOOKUP($A199,'[1]DATOS PBI Artículos'!$A:$A,'[1]DATOS PBI Artículos'!$AO:$AO))/(_xlfn.XLOOKUP($AL$1,[1]CRITERIOS!$S$16:$S$39,[1]CRITERIOS!$Y$16:$Y$39))*$J199+$Z199)))</f>
        <v/>
      </c>
    </row>
    <row r="200" spans="1:37" ht="25.8" x14ac:dyDescent="0.5">
      <c r="A200" s="32">
        <v>407611</v>
      </c>
      <c r="B200" s="33">
        <f>_xlfn.XLOOKUP($A200,'[1]DATOS PBI Artículos'!A:A,'[1]DATOS PBI Artículos'!B:B)</f>
        <v>0</v>
      </c>
      <c r="C200" s="33" t="str">
        <f>_xlfn.XLOOKUP($A200,'[1]DATOS PBI Artículos'!A:A,'[1]DATOS PBI Artículos'!C:C)</f>
        <v>UA03</v>
      </c>
      <c r="D200" s="33">
        <f>_xlfn.XLOOKUP(A200,'[1]DATOS PBI Artículos'!A:A,'[1]DATOS PBI Artículos'!T:T)</f>
        <v>1</v>
      </c>
      <c r="E200" s="34">
        <f>IF(_xlfn.XLOOKUP($A200,'[1]DATOS PBI Artículos'!A:A,'[1]DATOS PBI Artículos'!AK:AK)="",_xlfn.XLOOKUP($A200,'[1]DATOS PBI Artículos'!A:A,'[1]DATOS PBI Artículos'!AJ:AJ),_xlfn.XLOOKUP($A200,'[1]DATOS PBI Artículos'!A:A,'[1]DATOS PBI Artículos'!AK:AK))</f>
        <v>13865</v>
      </c>
      <c r="F200" s="35">
        <f>_xlfn.XLOOKUP($A200,'[1]DATOS PBI Artículos'!A:A,'[1]DATOS PBI Artículos'!AP:AP)</f>
        <v>75</v>
      </c>
      <c r="G200" s="34">
        <f>_xlfn.XLOOKUP($A200,'[1]DATOS PBI Artículos'!A:A,'[1]DATOS PBI Artículos'!AR:AR)</f>
        <v>13865</v>
      </c>
      <c r="H200" s="34">
        <f>_xlfn.XLOOKUP($A200,'[1]DATOS PBI Artículos'!A:A,'[1]DATOS PBI Artículos'!AT:AT)</f>
        <v>0</v>
      </c>
      <c r="I200" s="34">
        <f>_xlfn.XLOOKUP($A200,'[1]DATOS PBI Artículos'!A:A,'[1]DATOS PBI Artículos'!AS:AS)</f>
        <v>13865</v>
      </c>
      <c r="J200" s="35">
        <f>IF(COUNTIF([1]CRITERIOS!$F$179:$F$199,$A200)&gt;=1,
 IF(O200&lt;&gt;"",
    (O200/_xlfn.XLOOKUP(CONCATENATE(A200,L200),[1]MÁQUINAS!A:A,[1]MÁQUINAS!D:D))/24,
    (N200/_xlfn.XLOOKUP(CONCATENATE(A200,L200),[1]MÁQUINAS!A:A,[1]MÁQUINAS!D:D))/24),
  _xlfn.XLOOKUP($A200,'[1]DATOS PBI Artículos'!A:A,'[1]DATOS PBI Artículos'!AU:AU))</f>
        <v>16</v>
      </c>
      <c r="K200" s="36">
        <f>_xlfn.XLOOKUP($A200,'[1]DATOS PBI Artículos'!A:A,'[1]DATOS PBI Artículos'!AV:AV)</f>
        <v>4.2426406871192848</v>
      </c>
      <c r="L200" s="33">
        <f>_xlfn.XLOOKUP(A200,[1]MÁQUINAS!B:B,[1]MÁQUINAS!C:C)</f>
        <v>139</v>
      </c>
      <c r="M200" s="34">
        <f t="array" ref="M200">_xlfn.XLOOKUP(A200,'[1]DATOS PBI Artículos'!A:A,'[1]DATOS PBI Artículos'!AX:$AX)</f>
        <v>11398.524539718792</v>
      </c>
      <c r="N200" s="37">
        <f>IF(I200="DV",
E200,
IF(COUNTIF([1]CRITERIOS!$I$179:$I$199,$A200)&gt;=1,
_xlfn.XLOOKUP($A200,[1]CRITERIOS!$I$179:$I$199,[1]CRITERIOS!$J$179:$J$199),
IF(COUNTIF([1]CRITERIOS!$L$179:$L$199,$A200)&gt;=1,
_xlfn.CEILING.MATH(IF($M200&gt;$E200,
$E200,
IF($M200&lt;$E200/ROUNDDOWN([1]CRITERIOS!$M$16/_xlfn.XLOOKUP($C200,[1]CRITERIOS!$K$25:$K$42,[1]CRITERIOS!$M$25:$M$42),
1),
E200/ROUNDDOWN([1]CRITERIOS!$M$16/_xlfn.XLOOKUP($C200,[1]CRITERIOS!$K$25:$K$42,[1]CRITERIOS!$M$25:$M$42),
1),
$M200)),
_xlfn.XLOOKUP($A200,[1]CRITERIOS!$L$179:$L$200,[1]CRITERIOS!$M$179:$M$200)),
_xlfn.CEILING.MATH(IF($M200&gt;$E200,
$E200,
IF($M200&lt;$E200/ROUNDDOWN([1]CRITERIOS!$M$16/_xlfn.XLOOKUP($C200,[1]CRITERIOS!$K$25:$K$42,[1]CRITERIOS!$M$25:$M$42),
1),
E200/ROUNDDOWN([1]CRITERIOS!$M$16/_xlfn.XLOOKUP($C200,[1]CRITERIOS!$K$25:$K$42,[1]CRITERIOS!$M$25:$M$42),
1),
$M200)),_xlfn.XLOOKUP(A200,'[1]DATOS PBI Artículos'!A:A,'[1]DATOS PBI Artículos'!Z:Z
)))))</f>
        <v>12000</v>
      </c>
      <c r="Q200" s="38">
        <f>IF(AND(O200="",N200=0),
0,
   IF(COUNTIF([1]CRITERIOS!$F$179:$F$199,$A200)&gt;=1,
   1,
   IF(R200="MTO",
      $D200,
      ROUNDUP(
                    IF(($E200-SUMIF('[1]DATOS PBI Artículos'!A:A,A200,'[1]DATOS PBI Artículos'!X:X)+($V200-_xlfn.XLOOKUP(A200,'[1]DATOS PBI Artículos'!A:A,'[1]DATOS PBI Artículos'!W:W)))&lt;0,
                    0,
                    IF(($E200-SUMIF('[1]DATOS PBI Artículos'!A:A,A200,'[1]DATOS PBI Artículos'!X:X)+$V200-_xlfn.XLOOKUP($A200,'[1]DATOS PBI Artículos'!A:A,'[1]DATOS PBI Artículos'!W:W))/IF($O200="",$N200,$O200)&gt;ROUNDUP([1]CRITERIOS!$M$16/(IF(COUNTIF([1]CRITERIOS!$BG$11:$BG$201,L200)&gt;=1,_xlfn.XLOOKUP($C200,[1]CRITERIOS!$K$25:$K$42,[1]CRITERIOS!$M$25:$M$42),_xlfn.XLOOKUP($C200,[1]CRITERIOS!$K$25:$K$42,[1]CRITERIOS!$M$25:$M$42))),0),
                    ROUNDUP([1]CRITERIOS!$M$16/(IF(COUNTIF([1]CRITERIOS!$BG$11:$BG$201,$L200)&gt;=1,_xlfn.XLOOKUP($C200,[1]CRITERIOS!$K$25:$K$42,[1]CRITERIOS!$M$25:$M$42),_xlfn.XLOOKUP($C200,[1]CRITERIOS!$K$25:$K$42,[1]CRITERIOS!$M$25:$M$42))),0),
                    (E200+V200-SUMIF('[1]DATOS PBI Artículos'!A:A,A200,'[1]DATOS PBI Artículos'!X:X)-_xlfn.XLOOKUP(A200,'[1]DATOS PBI Artículos'!A:A,'[1]DATOS PBI Artículos'!W:W))/IF($O200="",$N200,$O200))),0))))</f>
        <v>1</v>
      </c>
      <c r="R200" s="33" t="str">
        <f>IF(U200&lt;&gt;"",U200,IF(F200="DV","MTO",IF(N200=0,"MTO",_xlfn.XLOOKUP(CONCATENATE(S200,T200),[1]CRITERIOS!$K$160:$K$168,[1]CRITERIOS!$N$160:$N$168))))</f>
        <v>MTO</v>
      </c>
      <c r="S200" s="33" t="str">
        <f>IF(G200="DV","MTO",IF(N200=0,"MTO",IF(OR(AND(N200=0,O200=""),IF(O200="",G200/N200,G200/O200)&gt;[1]CRITERIOS!$G$163),"MTO",IF(IF(O200="",G200/N200,G200/O200)&lt;[1]CRITERIOS!$H$161,"MTS","MTOS"))))</f>
        <v>MTO</v>
      </c>
      <c r="T200" s="33" t="str">
        <f>IF(F200="DV","MTO",IF(OR(AND($N200=0,O200=""),$F200/$J200&gt;[1]CRITERIOS!$G$170,$F200="DV"),"MTO",IF($F200/$J200&lt;[1]CRITERIOS!$H$168,"MTS","MTOS")))</f>
        <v>MTO</v>
      </c>
      <c r="V200" s="34" t="str">
        <f t="shared" si="10"/>
        <v/>
      </c>
      <c r="X200" s="34">
        <f t="shared" si="11"/>
        <v>0</v>
      </c>
      <c r="Y200" s="34">
        <f t="shared" si="12"/>
        <v>0</v>
      </c>
      <c r="Z200" s="34">
        <f>IF($R200="MTO",
0,
($H200+$K200*($E200/[1]CRITERIOS!$M$16))/[1]CRITERIOS!$X$48)</f>
        <v>0</v>
      </c>
      <c r="AA200" s="34" t="e">
        <f>ROUNDUP(($Y200/_xlfn.XLOOKUP($A200,'[1]DATOS PBI Artículos'!$A$4:$A$4,'[1]DATOS PBI Artículos'!$Z$4:$Z$4))/_xlfn.XLOOKUP(_xlfn.XLOOKUP($A200,'[1]DATOS PBI Artículos'!$A$4:$A$4,'[1]DATOS PBI Artículos'!$Y$4:$Y$4),[1]CRITERIOS!$P$79:$P$123,[1]CRITERIOS!$S$79:$S$123,),0)</f>
        <v>#N/A</v>
      </c>
      <c r="AB200" s="33" t="e">
        <f t="array" ref="AB200">IF((E200+V200-_xlfn.XLOOKUP(A200,'[1]DATOS PBI Artículos'!$A$4:$A$4,'[1]DATOS PBI Artículos'!$W$4:$W$4))/N200&gt;ROUNDUP([1]CRITERIOS!$M$16/(IF(COUNTIF([1]CRITERIOS!$BG$11:$BG$201,L200)&gt;=1,_xlfn.XLOOKUP(ARTÍCULOS!L200,[1]CRITERIOS!$BG$11:$BG$201,[1]CRITERIOS!$BJ$11:$BJ$201),_xlfn.XLOOKUP(ARTÍCULOS!C200,[1]CRITERIOS!$K$25:$K$42,[1]CRITERIOS!$M$25:$M$42))),0),ROUNDUP([1]CRITERIOS!$M$16/(IF(COUNTIF([1]CRITERIOS!$BG$11:$BG$201,L200)&gt;=1,_xlfn.XLOOKUP(ARTÍCULOS!L200,[1]CRITERIOS!$BG$11:$BG$201:#REF!,[1]CRITERIOS!$BJ$11:$BJ$201),_xlfn.XLOOKUP(ARTÍCULOS!C200,[1]CRITERIOS!$K$25:$K$42,[1]CRITERIOS!$M$25:$M$42))),0),(E200+V200-_xlfn.XLOOKUP(A200,'[1]DATOS PBI Artículos'!$A$4:$A$4,'[1]DATOS PBI Artículos'!$W$4:$W$4))/N200)</f>
        <v>#VALUE!</v>
      </c>
      <c r="AC200" s="33" t="e">
        <f>IF(N200=0,"",(ROUNDUP((N200/2)/(_xlfn.XLOOKUP(A200,'[1]DATOS PBI Artículos'!$A$4:$A$4,'[1]DATOS PBI Artículos'!$Z$4:$Z$4)*_xlfn.XLOOKUP(_xlfn.XLOOKUP(A200,'[1]DATOS PBI Artículos'!$A$4:$A$4,'[1]DATOS PBI Artículos'!$Y$4:$Y$4),[1]CRITERIOS!$P$79:$P$123,[1]CRITERIOS!$S$79:$S$123)),0)*[1]CRITERIOS!$M$80*([1]CRITERIOS!$M$110/[1]CRITERIOS!$M$86)+(_xlfn.XLOOKUP(A200,'[1]DATOS PBI Artículos'!$A$4:$A$4,'[1]DATOS PBI Artículos'!$AA$4:$AA$4)*([1]CRITERIOS!$M$95+[1]CRITERIOS!$M$98)))/N200)</f>
        <v>#N/A</v>
      </c>
      <c r="AD200" s="33" t="e">
        <f>IF(N200=0,"",(ROUNDUP((N200/2)/(_xlfn.XLOOKUP(A200,'[1]DATOS PBI Artículos'!$A$4:$A$4,'[1]DATOS PBI Artículos'!$Z$4:$Z$4)*_xlfn.XLOOKUP(_xlfn.XLOOKUP(A200,'[1]DATOS PBI Artículos'!$A$4:$A$4,'[1]DATOS PBI Artículos'!$Y$4:$Y$4),[1]CRITERIOS!$P$79:$P$123,[1]CRITERIOS!$S$79:$S$123)),0)*[1]CRITERIOS!$M$80*([1]CRITERIOS!$M$89*[1]CRITERIOS!$M$92)+((_xlfn.XLOOKUP(A200,'[1]DATOS PBI Artículos'!$A$4:$A$4,'[1]DATOS PBI Artículos'!$AA$4:$AA$4)/2)*([1]CRITERIOS!$M$95+[1]CRITERIOS!$M$98)))/N200)</f>
        <v>#N/A</v>
      </c>
      <c r="AE200" s="39" t="str">
        <f>IF($R200="MTO","",
IF($H200=0,ROUNDUP(((_xlfn.XLOOKUP($A200,'[1]DATOS PBI Artículos'!$A:$A,'[1]DATOS PBI Artículos'!$AL:$AL))/(_xlfn.XLOOKUP($AF$1,[1]CRITERIOS!$S$16:$S$39,[1]CRITERIOS!$Y$16:$Y$39))*$J200+$Z200)/$G200,0)*$G200,
((_xlfn.XLOOKUP($A200,'[1]DATOS PBI Artículos'!$A:$A,'[1]DATOS PBI Artículos'!$AL:$AL))/(_xlfn.XLOOKUP($AF$1,[1]CRITERIOS!$S$16:$S$39,[1]CRITERIOS!$Y$16:$Y$39))*$J200+$Z200)))</f>
        <v/>
      </c>
      <c r="AG200" s="39" t="str">
        <f>IF($R200="MTO","",
IF($H200=0,ROUNDUP(((_xlfn.XLOOKUP($A200,'[1]DATOS PBI Artículos'!$A:$A,'[1]DATOS PBI Artículos'!$AM:$AM))/(_xlfn.XLOOKUP($AH$1,[1]CRITERIOS!$S$16:$S$39,[1]CRITERIOS!$Y$16:$Y$39))*$J200+$Z200)/$G200,0)*$G200,
((_xlfn.XLOOKUP($A200,'[1]DATOS PBI Artículos'!$A:$A,'[1]DATOS PBI Artículos'!$AM:$AM))/(_xlfn.XLOOKUP($AH$1,[1]CRITERIOS!$S$16:$S$39,[1]CRITERIOS!$Y$16:$Y$39))*$J200+$Z200)))</f>
        <v/>
      </c>
      <c r="AI200" s="39" t="str">
        <f>IF($R200="MTO","",
IF($H200=0,ROUNDUP(((_xlfn.XLOOKUP($A200,'[1]DATOS PBI Artículos'!$A:$A,'[1]DATOS PBI Artículos'!$AN:$AN))/(_xlfn.XLOOKUP($AJ$1,[1]CRITERIOS!$S$16:$S$39,[1]CRITERIOS!$Y$16:$Y$39))*$J200+$Z200)/$G200,0)*$G200,
((_xlfn.XLOOKUP($A200,'[1]DATOS PBI Artículos'!$A:$A,'[1]DATOS PBI Artículos'!$AN:$AN))/(_xlfn.XLOOKUP($AJ$1,[1]CRITERIOS!$S$16:$S$39,[1]CRITERIOS!$Y$16:$Y$39))*$J200+$Z200)))</f>
        <v/>
      </c>
      <c r="AK200" s="39" t="str">
        <f>IF($R200="MTO","",
IF($H200=0,ROUNDUP(((_xlfn.XLOOKUP($A200,'[1]DATOS PBI Artículos'!$A:$A,'[1]DATOS PBI Artículos'!$AO:$AO))/(_xlfn.XLOOKUP($AL$1,[1]CRITERIOS!$S$16:$S$39,[1]CRITERIOS!$Y$16:$Y$39))*$J200+$Z200)/$G200,0)*$G200,
((_xlfn.XLOOKUP($A200,'[1]DATOS PBI Artículos'!$A:$A,'[1]DATOS PBI Artículos'!$AO:$AO))/(_xlfn.XLOOKUP($AL$1,[1]CRITERIOS!$S$16:$S$39,[1]CRITERIOS!$Y$16:$Y$39))*$J200+$Z200)))</f>
        <v/>
      </c>
    </row>
    <row r="201" spans="1:37" ht="25.8" x14ac:dyDescent="0.5">
      <c r="A201" s="32">
        <v>422444</v>
      </c>
      <c r="B201" s="33">
        <f>_xlfn.XLOOKUP($A201,'[1]DATOS PBI Artículos'!A:A,'[1]DATOS PBI Artículos'!B:B)</f>
        <v>0</v>
      </c>
      <c r="C201" s="33" t="str">
        <f>_xlfn.XLOOKUP($A201,'[1]DATOS PBI Artículos'!A:A,'[1]DATOS PBI Artículos'!C:C)</f>
        <v>UA01</v>
      </c>
      <c r="D201" s="33">
        <f>_xlfn.XLOOKUP(A201,'[1]DATOS PBI Artículos'!A:A,'[1]DATOS PBI Artículos'!T:T)</f>
        <v>1</v>
      </c>
      <c r="E201" s="34">
        <f>IF(_xlfn.XLOOKUP($A201,'[1]DATOS PBI Artículos'!A:A,'[1]DATOS PBI Artículos'!AK:AK)="",_xlfn.XLOOKUP($A201,'[1]DATOS PBI Artículos'!A:A,'[1]DATOS PBI Artículos'!AJ:AJ),_xlfn.XLOOKUP($A201,'[1]DATOS PBI Artículos'!A:A,'[1]DATOS PBI Artículos'!AK:AK))</f>
        <v>12000</v>
      </c>
      <c r="F201" s="35">
        <f>_xlfn.XLOOKUP($A201,'[1]DATOS PBI Artículos'!A:A,'[1]DATOS PBI Artículos'!AP:AP)</f>
        <v>75</v>
      </c>
      <c r="G201" s="34">
        <f>_xlfn.XLOOKUP($A201,'[1]DATOS PBI Artículos'!A:A,'[1]DATOS PBI Artículos'!AR:AR)</f>
        <v>12000</v>
      </c>
      <c r="H201" s="34">
        <f>_xlfn.XLOOKUP($A201,'[1]DATOS PBI Artículos'!A:A,'[1]DATOS PBI Artículos'!AT:AT)</f>
        <v>0</v>
      </c>
      <c r="I201" s="34">
        <f>_xlfn.XLOOKUP($A201,'[1]DATOS PBI Artículos'!A:A,'[1]DATOS PBI Artículos'!AS:AS)</f>
        <v>12000</v>
      </c>
      <c r="J201" s="35">
        <f>IF(COUNTIF([1]CRITERIOS!$F$179:$F$199,$A201)&gt;=1,
 IF(O201&lt;&gt;"",
    (O201/_xlfn.XLOOKUP(CONCATENATE(A201,L201),[1]MÁQUINAS!A:A,[1]MÁQUINAS!D:D))/24,
    (N201/_xlfn.XLOOKUP(CONCATENATE(A201,L201),[1]MÁQUINAS!A:A,[1]MÁQUINAS!D:D))/24),
  _xlfn.XLOOKUP($A201,'[1]DATOS PBI Artículos'!A:A,'[1]DATOS PBI Artículos'!AU:AU))</f>
        <v>10</v>
      </c>
      <c r="K201" s="36">
        <f>_xlfn.XLOOKUP($A201,'[1]DATOS PBI Artículos'!A:A,'[1]DATOS PBI Artículos'!AV:AV)</f>
        <v>0</v>
      </c>
      <c r="L201" s="33">
        <f>_xlfn.XLOOKUP(A201,[1]MÁQUINAS!B:B,[1]MÁQUINAS!C:C)</f>
        <v>523</v>
      </c>
      <c r="M201" s="34">
        <f t="array" ref="M201">_xlfn.XLOOKUP(A201,'[1]DATOS PBI Artículos'!A:A,'[1]DATOS PBI Artículos'!AX:$AX)</f>
        <v>15580.219788052395</v>
      </c>
      <c r="N201" s="37">
        <f>IF(I201="DV",
E201,
IF(COUNTIF([1]CRITERIOS!$I$179:$I$199,$A201)&gt;=1,
_xlfn.XLOOKUP($A201,[1]CRITERIOS!$I$179:$I$199,[1]CRITERIOS!$J$179:$J$199),
IF(COUNTIF([1]CRITERIOS!$L$179:$L$199,$A201)&gt;=1,
_xlfn.CEILING.MATH(IF($M201&gt;$E201,
$E201,
IF($M201&lt;$E201/ROUNDDOWN([1]CRITERIOS!$M$16/_xlfn.XLOOKUP($C201,[1]CRITERIOS!$K$25:$K$42,[1]CRITERIOS!$M$25:$M$42),
1),
E201/ROUNDDOWN([1]CRITERIOS!$M$16/_xlfn.XLOOKUP($C201,[1]CRITERIOS!$K$25:$K$42,[1]CRITERIOS!$M$25:$M$42),
1),
$M201)),
_xlfn.XLOOKUP($A201,[1]CRITERIOS!$L$179:$L$200,[1]CRITERIOS!$M$179:$M$200)),
_xlfn.CEILING.MATH(IF($M201&gt;$E201,
$E201,
IF($M201&lt;$E201/ROUNDDOWN([1]CRITERIOS!$M$16/_xlfn.XLOOKUP($C201,[1]CRITERIOS!$K$25:$K$42,[1]CRITERIOS!$M$25:$M$42),
1),
E201/ROUNDDOWN([1]CRITERIOS!$M$16/_xlfn.XLOOKUP($C201,[1]CRITERIOS!$K$25:$K$42,[1]CRITERIOS!$M$25:$M$42),
1),
$M201)),_xlfn.XLOOKUP(A201,'[1]DATOS PBI Artículos'!A:A,'[1]DATOS PBI Artículos'!Z:Z
)))))</f>
        <v>12000</v>
      </c>
      <c r="Q201" s="38">
        <f>IF(AND(O201="",N201=0),
0,
   IF(COUNTIF([1]CRITERIOS!$F$179:$F$199,$A201)&gt;=1,
   1,
   IF(R201="MTO",
      $D201,
      ROUNDUP(
                    IF(($E201-SUMIF('[1]DATOS PBI Artículos'!A:A,A201,'[1]DATOS PBI Artículos'!X:X)+($V201-_xlfn.XLOOKUP(A201,'[1]DATOS PBI Artículos'!A:A,'[1]DATOS PBI Artículos'!W:W)))&lt;0,
                    0,
                    IF(($E201-SUMIF('[1]DATOS PBI Artículos'!A:A,A201,'[1]DATOS PBI Artículos'!X:X)+$V201-_xlfn.XLOOKUP($A201,'[1]DATOS PBI Artículos'!A:A,'[1]DATOS PBI Artículos'!W:W))/IF($O201="",$N201,$O201)&gt;ROUNDUP([1]CRITERIOS!$M$16/(IF(COUNTIF([1]CRITERIOS!$BG$11:$BG$201,L201)&gt;=1,_xlfn.XLOOKUP($C201,[1]CRITERIOS!$K$25:$K$42,[1]CRITERIOS!$M$25:$M$42),_xlfn.XLOOKUP($C201,[1]CRITERIOS!$K$25:$K$42,[1]CRITERIOS!$M$25:$M$42))),0),
                    ROUNDUP([1]CRITERIOS!$M$16/(IF(COUNTIF([1]CRITERIOS!$BG$11:$BG$201,$L201)&gt;=1,_xlfn.XLOOKUP($C201,[1]CRITERIOS!$K$25:$K$42,[1]CRITERIOS!$M$25:$M$42),_xlfn.XLOOKUP($C201,[1]CRITERIOS!$K$25:$K$42,[1]CRITERIOS!$M$25:$M$42))),0),
                    (E201+V201-SUMIF('[1]DATOS PBI Artículos'!A:A,A201,'[1]DATOS PBI Artículos'!X:X)-_xlfn.XLOOKUP(A201,'[1]DATOS PBI Artículos'!A:A,'[1]DATOS PBI Artículos'!W:W))/IF($O201="",$N201,$O201))),0))))</f>
        <v>1</v>
      </c>
      <c r="R201" s="33" t="str">
        <f>IF(U201&lt;&gt;"",U201,IF(F201="DV","MTO",IF(N201=0,"MTO",_xlfn.XLOOKUP(CONCATENATE(S201,T201),[1]CRITERIOS!$K$160:$K$168,[1]CRITERIOS!$N$160:$N$168))))</f>
        <v>MTO</v>
      </c>
      <c r="S201" s="33" t="str">
        <f>IF(G201="DV","MTO",IF(N201=0,"MTO",IF(OR(AND(N201=0,O201=""),IF(O201="",G201/N201,G201/O201)&gt;[1]CRITERIOS!$G$163),"MTO",IF(IF(O201="",G201/N201,G201/O201)&lt;[1]CRITERIOS!$H$161,"MTS","MTOS"))))</f>
        <v>MTO</v>
      </c>
      <c r="T201" s="33" t="str">
        <f>IF(F201="DV","MTO",IF(OR(AND($N201=0,O201=""),$F201/$J201&gt;[1]CRITERIOS!$G$170,$F201="DV"),"MTO",IF($F201/$J201&lt;[1]CRITERIOS!$H$168,"MTS","MTOS")))</f>
        <v>MTO</v>
      </c>
      <c r="V201" s="34" t="str">
        <f t="shared" si="10"/>
        <v/>
      </c>
      <c r="X201" s="34">
        <f t="shared" si="11"/>
        <v>0</v>
      </c>
      <c r="Y201" s="34">
        <f t="shared" si="12"/>
        <v>0</v>
      </c>
      <c r="Z201" s="34">
        <f>IF($R201="MTO",
0,
($H201+$K201*($E201/[1]CRITERIOS!$M$16))/[1]CRITERIOS!$X$48)</f>
        <v>0</v>
      </c>
      <c r="AA201" s="34" t="e">
        <f>ROUNDUP(($Y201/_xlfn.XLOOKUP($A201,'[1]DATOS PBI Artículos'!$A$4:$A$4,'[1]DATOS PBI Artículos'!$Z$4:$Z$4))/_xlfn.XLOOKUP(_xlfn.XLOOKUP($A201,'[1]DATOS PBI Artículos'!$A$4:$A$4,'[1]DATOS PBI Artículos'!$Y$4:$Y$4),[1]CRITERIOS!$P$79:$P$123,[1]CRITERIOS!$S$79:$S$123,),0)</f>
        <v>#N/A</v>
      </c>
      <c r="AB201" s="33" t="e">
        <f t="array" ref="AB201">IF((E201+V201-_xlfn.XLOOKUP(A201,'[1]DATOS PBI Artículos'!$A$4:$A$4,'[1]DATOS PBI Artículos'!$W$4:$W$4))/N201&gt;ROUNDUP([1]CRITERIOS!$M$16/(IF(COUNTIF([1]CRITERIOS!$BG$11:$BG$201,L201)&gt;=1,_xlfn.XLOOKUP(ARTÍCULOS!L201,[1]CRITERIOS!$BG$11:$BG$201,[1]CRITERIOS!$BJ$11:$BJ$201),_xlfn.XLOOKUP(ARTÍCULOS!C201,[1]CRITERIOS!$K$25:$K$42,[1]CRITERIOS!$M$25:$M$42))),0),ROUNDUP([1]CRITERIOS!$M$16/(IF(COUNTIF([1]CRITERIOS!$BG$11:$BG$201,L201)&gt;=1,_xlfn.XLOOKUP(ARTÍCULOS!L201,[1]CRITERIOS!$BG$11:$BG$201:#REF!,[1]CRITERIOS!$BJ$11:$BJ$201),_xlfn.XLOOKUP(ARTÍCULOS!C201,[1]CRITERIOS!$K$25:$K$42,[1]CRITERIOS!$M$25:$M$42))),0),(E201+V201-_xlfn.XLOOKUP(A201,'[1]DATOS PBI Artículos'!$A$4:$A$4,'[1]DATOS PBI Artículos'!$W$4:$W$4))/N201)</f>
        <v>#VALUE!</v>
      </c>
      <c r="AC201" s="33" t="e">
        <f>IF(N201=0,"",(ROUNDUP((N201/2)/(_xlfn.XLOOKUP(A201,'[1]DATOS PBI Artículos'!$A$4:$A$4,'[1]DATOS PBI Artículos'!$Z$4:$Z$4)*_xlfn.XLOOKUP(_xlfn.XLOOKUP(A201,'[1]DATOS PBI Artículos'!$A$4:$A$4,'[1]DATOS PBI Artículos'!$Y$4:$Y$4),[1]CRITERIOS!$P$79:$P$123,[1]CRITERIOS!$S$79:$S$123)),0)*[1]CRITERIOS!$M$80*([1]CRITERIOS!$M$110/[1]CRITERIOS!$M$86)+(_xlfn.XLOOKUP(A201,'[1]DATOS PBI Artículos'!$A$4:$A$4,'[1]DATOS PBI Artículos'!$AA$4:$AA$4)*([1]CRITERIOS!$M$95+[1]CRITERIOS!$M$98)))/N201)</f>
        <v>#N/A</v>
      </c>
      <c r="AD201" s="33" t="e">
        <f>IF(N201=0,"",(ROUNDUP((N201/2)/(_xlfn.XLOOKUP(A201,'[1]DATOS PBI Artículos'!$A$4:$A$4,'[1]DATOS PBI Artículos'!$Z$4:$Z$4)*_xlfn.XLOOKUP(_xlfn.XLOOKUP(A201,'[1]DATOS PBI Artículos'!$A$4:$A$4,'[1]DATOS PBI Artículos'!$Y$4:$Y$4),[1]CRITERIOS!$P$79:$P$123,[1]CRITERIOS!$S$79:$S$123)),0)*[1]CRITERIOS!$M$80*([1]CRITERIOS!$M$89*[1]CRITERIOS!$M$92)+((_xlfn.XLOOKUP(A201,'[1]DATOS PBI Artículos'!$A$4:$A$4,'[1]DATOS PBI Artículos'!$AA$4:$AA$4)/2)*([1]CRITERIOS!$M$95+[1]CRITERIOS!$M$98)))/N201)</f>
        <v>#N/A</v>
      </c>
      <c r="AE201" s="39" t="str">
        <f>IF($R201="MTO","",
IF($H201=0,ROUNDUP(((_xlfn.XLOOKUP($A201,'[1]DATOS PBI Artículos'!$A:$A,'[1]DATOS PBI Artículos'!$AL:$AL))/(_xlfn.XLOOKUP($AF$1,[1]CRITERIOS!$S$16:$S$39,[1]CRITERIOS!$Y$16:$Y$39))*$J201+$Z201)/$G201,0)*$G201,
((_xlfn.XLOOKUP($A201,'[1]DATOS PBI Artículos'!$A:$A,'[1]DATOS PBI Artículos'!$AL:$AL))/(_xlfn.XLOOKUP($AF$1,[1]CRITERIOS!$S$16:$S$39,[1]CRITERIOS!$Y$16:$Y$39))*$J201+$Z201)))</f>
        <v/>
      </c>
      <c r="AG201" s="39" t="str">
        <f>IF($R201="MTO","",
IF($H201=0,ROUNDUP(((_xlfn.XLOOKUP($A201,'[1]DATOS PBI Artículos'!$A:$A,'[1]DATOS PBI Artículos'!$AM:$AM))/(_xlfn.XLOOKUP($AH$1,[1]CRITERIOS!$S$16:$S$39,[1]CRITERIOS!$Y$16:$Y$39))*$J201+$Z201)/$G201,0)*$G201,
((_xlfn.XLOOKUP($A201,'[1]DATOS PBI Artículos'!$A:$A,'[1]DATOS PBI Artículos'!$AM:$AM))/(_xlfn.XLOOKUP($AH$1,[1]CRITERIOS!$S$16:$S$39,[1]CRITERIOS!$Y$16:$Y$39))*$J201+$Z201)))</f>
        <v/>
      </c>
      <c r="AI201" s="39" t="str">
        <f>IF($R201="MTO","",
IF($H201=0,ROUNDUP(((_xlfn.XLOOKUP($A201,'[1]DATOS PBI Artículos'!$A:$A,'[1]DATOS PBI Artículos'!$AN:$AN))/(_xlfn.XLOOKUP($AJ$1,[1]CRITERIOS!$S$16:$S$39,[1]CRITERIOS!$Y$16:$Y$39))*$J201+$Z201)/$G201,0)*$G201,
((_xlfn.XLOOKUP($A201,'[1]DATOS PBI Artículos'!$A:$A,'[1]DATOS PBI Artículos'!$AN:$AN))/(_xlfn.XLOOKUP($AJ$1,[1]CRITERIOS!$S$16:$S$39,[1]CRITERIOS!$Y$16:$Y$39))*$J201+$Z201)))</f>
        <v/>
      </c>
      <c r="AK201" s="39" t="str">
        <f>IF($R201="MTO","",
IF($H201=0,ROUNDUP(((_xlfn.XLOOKUP($A201,'[1]DATOS PBI Artículos'!$A:$A,'[1]DATOS PBI Artículos'!$AO:$AO))/(_xlfn.XLOOKUP($AL$1,[1]CRITERIOS!$S$16:$S$39,[1]CRITERIOS!$Y$16:$Y$39))*$J201+$Z201)/$G201,0)*$G201,
((_xlfn.XLOOKUP($A201,'[1]DATOS PBI Artículos'!$A:$A,'[1]DATOS PBI Artículos'!$AO:$AO))/(_xlfn.XLOOKUP($AL$1,[1]CRITERIOS!$S$16:$S$39,[1]CRITERIOS!$Y$16:$Y$39))*$J201+$Z201)))</f>
        <v/>
      </c>
    </row>
    <row r="202" spans="1:37" ht="25.8" x14ac:dyDescent="0.5">
      <c r="A202" s="32">
        <v>451892</v>
      </c>
      <c r="B202" s="33">
        <f>_xlfn.XLOOKUP($A202,'[1]DATOS PBI Artículos'!A:A,'[1]DATOS PBI Artículos'!B:B)</f>
        <v>0</v>
      </c>
      <c r="C202" s="33" t="str">
        <f>_xlfn.XLOOKUP($A202,'[1]DATOS PBI Artículos'!A:A,'[1]DATOS PBI Artículos'!C:C)</f>
        <v>UA02</v>
      </c>
      <c r="D202" s="33">
        <f>_xlfn.XLOOKUP(A202,'[1]DATOS PBI Artículos'!A:A,'[1]DATOS PBI Artículos'!T:T)</f>
        <v>4</v>
      </c>
      <c r="E202" s="34">
        <f>IF(_xlfn.XLOOKUP($A202,'[1]DATOS PBI Artículos'!A:A,'[1]DATOS PBI Artículos'!AK:AK)="",_xlfn.XLOOKUP($A202,'[1]DATOS PBI Artículos'!A:A,'[1]DATOS PBI Artículos'!AJ:AJ),_xlfn.XLOOKUP($A202,'[1]DATOS PBI Artículos'!A:A,'[1]DATOS PBI Artículos'!AK:AK))</f>
        <v>12000</v>
      </c>
      <c r="F202" s="35">
        <f>_xlfn.XLOOKUP($A202,'[1]DATOS PBI Artículos'!A:A,'[1]DATOS PBI Artículos'!AP:AP)</f>
        <v>2.5</v>
      </c>
      <c r="G202" s="34">
        <f>_xlfn.XLOOKUP($A202,'[1]DATOS PBI Artículos'!A:A,'[1]DATOS PBI Artículos'!AR:AR)</f>
        <v>3000</v>
      </c>
      <c r="H202" s="34">
        <f>_xlfn.XLOOKUP($A202,'[1]DATOS PBI Artículos'!A:A,'[1]DATOS PBI Artículos'!AT:AT)</f>
        <v>0</v>
      </c>
      <c r="I202" s="34">
        <f>_xlfn.XLOOKUP($A202,'[1]DATOS PBI Artículos'!A:A,'[1]DATOS PBI Artículos'!AS:AS)</f>
        <v>3000</v>
      </c>
      <c r="J202" s="35">
        <f>IF(COUNTIF([1]CRITERIOS!$F$179:$F$199,$A202)&gt;=1,
 IF(O202&lt;&gt;"",
    (O202/_xlfn.XLOOKUP(CONCATENATE(A202,L202),[1]MÁQUINAS!A:A,[1]MÁQUINAS!D:D))/24,
    (N202/_xlfn.XLOOKUP(CONCATENATE(A202,L202),[1]MÁQUINAS!A:A,[1]MÁQUINAS!D:D))/24),
  _xlfn.XLOOKUP($A202,'[1]DATOS PBI Artículos'!A:A,'[1]DATOS PBI Artículos'!AU:AU))</f>
        <v>28.6</v>
      </c>
      <c r="K202" s="36">
        <f>_xlfn.XLOOKUP($A202,'[1]DATOS PBI Artículos'!A:A,'[1]DATOS PBI Artículos'!AV:AV)</f>
        <v>17.111399708965951</v>
      </c>
      <c r="L202" s="33">
        <f>_xlfn.XLOOKUP(A202,[1]MÁQUINAS!B:B,[1]MÁQUINAS!C:C)</f>
        <v>212</v>
      </c>
      <c r="M202" s="34">
        <f t="array" ref="M202">_xlfn.XLOOKUP(A202,'[1]DATOS PBI Artículos'!A:A,'[1]DATOS PBI Artículos'!AX:$AX)</f>
        <v>10255.705476057652</v>
      </c>
      <c r="N202" s="37">
        <f>IF(I202="DV",
E202,
IF(COUNTIF([1]CRITERIOS!$I$179:$I$199,$A202)&gt;=1,
_xlfn.XLOOKUP($A202,[1]CRITERIOS!$I$179:$I$199,[1]CRITERIOS!$J$179:$J$199),
IF(COUNTIF([1]CRITERIOS!$L$179:$L$199,$A202)&gt;=1,
_xlfn.CEILING.MATH(IF($M202&gt;$E202,
$E202,
IF($M202&lt;$E202/ROUNDDOWN([1]CRITERIOS!$M$16/_xlfn.XLOOKUP($C202,[1]CRITERIOS!$K$25:$K$42,[1]CRITERIOS!$M$25:$M$42),
1),
E202/ROUNDDOWN([1]CRITERIOS!$M$16/_xlfn.XLOOKUP($C202,[1]CRITERIOS!$K$25:$K$42,[1]CRITERIOS!$M$25:$M$42),
1),
$M202)),
_xlfn.XLOOKUP($A202,[1]CRITERIOS!$L$179:$L$200,[1]CRITERIOS!$M$179:$M$200)),
_xlfn.CEILING.MATH(IF($M202&gt;$E202,
$E202,
IF($M202&lt;$E202/ROUNDDOWN([1]CRITERIOS!$M$16/_xlfn.XLOOKUP($C202,[1]CRITERIOS!$K$25:$K$42,[1]CRITERIOS!$M$25:$M$42),
1),
E202/ROUNDDOWN([1]CRITERIOS!$M$16/_xlfn.XLOOKUP($C202,[1]CRITERIOS!$K$25:$K$42,[1]CRITERIOS!$M$25:$M$42),
1),
$M202)),_xlfn.XLOOKUP(A202,'[1]DATOS PBI Artículos'!A:A,'[1]DATOS PBI Artículos'!Z:Z
)))))</f>
        <v>12000</v>
      </c>
      <c r="Q202" s="38">
        <f>IF(AND(O202="",N202=0),
0,
   IF(COUNTIF([1]CRITERIOS!$F$179:$F$199,$A202)&gt;=1,
   1,
   IF(R202="MTO",
      $D202,
      ROUNDUP(
                    IF(($E202-SUMIF('[1]DATOS PBI Artículos'!A:A,A202,'[1]DATOS PBI Artículos'!X:X)+($V202-_xlfn.XLOOKUP(A202,'[1]DATOS PBI Artículos'!A:A,'[1]DATOS PBI Artículos'!W:W)))&lt;0,
                    0,
                    IF(($E202-SUMIF('[1]DATOS PBI Artículos'!A:A,A202,'[1]DATOS PBI Artículos'!X:X)+$V202-_xlfn.XLOOKUP($A202,'[1]DATOS PBI Artículos'!A:A,'[1]DATOS PBI Artículos'!W:W))/IF($O202="",$N202,$O202)&gt;ROUNDUP([1]CRITERIOS!$M$16/(IF(COUNTIF([1]CRITERIOS!$BG$11:$BG$201,L202)&gt;=1,_xlfn.XLOOKUP($C202,[1]CRITERIOS!$K$25:$K$42,[1]CRITERIOS!$M$25:$M$42),_xlfn.XLOOKUP($C202,[1]CRITERIOS!$K$25:$K$42,[1]CRITERIOS!$M$25:$M$42))),0),
                    ROUNDUP([1]CRITERIOS!$M$16/(IF(COUNTIF([1]CRITERIOS!$BG$11:$BG$201,$L202)&gt;=1,_xlfn.XLOOKUP($C202,[1]CRITERIOS!$K$25:$K$42,[1]CRITERIOS!$M$25:$M$42),_xlfn.XLOOKUP($C202,[1]CRITERIOS!$K$25:$K$42,[1]CRITERIOS!$M$25:$M$42))),0),
                    (E202+V202-SUMIF('[1]DATOS PBI Artículos'!A:A,A202,'[1]DATOS PBI Artículos'!X:X)-_xlfn.XLOOKUP(A202,'[1]DATOS PBI Artículos'!A:A,'[1]DATOS PBI Artículos'!W:W))/IF($O202="",$N202,$O202))),0))))</f>
        <v>3</v>
      </c>
      <c r="R202" s="33" t="str">
        <f>IF(U202&lt;&gt;"",U202,IF(F202="DV","MTO",IF(N202=0,"MTO",_xlfn.XLOOKUP(CONCATENATE(S202,T202),[1]CRITERIOS!$K$160:$K$168,[1]CRITERIOS!$N$160:$N$168))))</f>
        <v>MTS</v>
      </c>
      <c r="S202" s="33" t="str">
        <f>IF(G202="DV","MTO",IF(N202=0,"MTO",IF(OR(AND(N202=0,O202=""),IF(O202="",G202/N202,G202/O202)&gt;[1]CRITERIOS!$G$163),"MTO",IF(IF(O202="",G202/N202,G202/O202)&lt;[1]CRITERIOS!$H$161,"MTS","MTOS"))))</f>
        <v>MTS</v>
      </c>
      <c r="T202" s="33" t="str">
        <f>IF(F202="DV","MTO",IF(OR(AND($N202=0,O202=""),$F202/$J202&gt;[1]CRITERIOS!$G$170,$F202="DV"),"MTO",IF($F202/$J202&lt;[1]CRITERIOS!$H$168,"MTS","MTOS")))</f>
        <v>MTS</v>
      </c>
      <c r="V202" s="34">
        <f t="shared" si="10"/>
        <v>36601.519961195467</v>
      </c>
      <c r="X202" s="34">
        <f t="shared" si="11"/>
        <v>48601.519961195467</v>
      </c>
      <c r="Y202" s="34">
        <f t="shared" si="12"/>
        <v>8281.5199611954595</v>
      </c>
      <c r="Z202" s="34">
        <f>IF($R202="MTO",
0,
($H202+$K202*($E202/[1]CRITERIOS!$M$16))/[1]CRITERIOS!$X$48)</f>
        <v>2281.5199611954604</v>
      </c>
      <c r="AA202" s="34" t="e">
        <f>ROUNDUP(($Y202/_xlfn.XLOOKUP($A202,'[1]DATOS PBI Artículos'!$A$4:$A$4,'[1]DATOS PBI Artículos'!$Z$4:$Z$4))/_xlfn.XLOOKUP(_xlfn.XLOOKUP($A202,'[1]DATOS PBI Artículos'!$A$4:$A$4,'[1]DATOS PBI Artículos'!$Y$4:$Y$4),[1]CRITERIOS!$P$79:$P$123,[1]CRITERIOS!$S$79:$S$123,),0)</f>
        <v>#N/A</v>
      </c>
      <c r="AB202" s="33" t="e">
        <f t="array" ref="AB202">IF((E202+V202-_xlfn.XLOOKUP(A202,'[1]DATOS PBI Artículos'!$A$4:$A$4,'[1]DATOS PBI Artículos'!$W$4:$W$4))/N202&gt;ROUNDUP([1]CRITERIOS!$M$16/(IF(COUNTIF([1]CRITERIOS!$BG$11:$BG$201,L202)&gt;=1,_xlfn.XLOOKUP(ARTÍCULOS!L202,[1]CRITERIOS!$BG$11:$BG$201,[1]CRITERIOS!$BJ$11:$BJ$201),_xlfn.XLOOKUP(ARTÍCULOS!C202,[1]CRITERIOS!$K$25:$K$42,[1]CRITERIOS!$M$25:$M$42))),0),ROUNDUP([1]CRITERIOS!$M$16/(IF(COUNTIF([1]CRITERIOS!$BG$11:$BG$201,L202)&gt;=1,_xlfn.XLOOKUP(ARTÍCULOS!L202,[1]CRITERIOS!$BG$11:$BG$201:#REF!,[1]CRITERIOS!$BJ$11:$BJ$201),_xlfn.XLOOKUP(ARTÍCULOS!C202,[1]CRITERIOS!$K$25:$K$42,[1]CRITERIOS!$M$25:$M$42))),0),(E202+V202-_xlfn.XLOOKUP(A202,'[1]DATOS PBI Artículos'!$A$4:$A$4,'[1]DATOS PBI Artículos'!$W$4:$W$4))/N202)</f>
        <v>#N/A</v>
      </c>
      <c r="AC202" s="33" t="e">
        <f>IF(N202=0,"",(ROUNDUP((N202/2)/(_xlfn.XLOOKUP(A202,'[1]DATOS PBI Artículos'!$A$4:$A$4,'[1]DATOS PBI Artículos'!$Z$4:$Z$4)*_xlfn.XLOOKUP(_xlfn.XLOOKUP(A202,'[1]DATOS PBI Artículos'!$A$4:$A$4,'[1]DATOS PBI Artículos'!$Y$4:$Y$4),[1]CRITERIOS!$P$79:$P$123,[1]CRITERIOS!$S$79:$S$123)),0)*[1]CRITERIOS!$M$80*([1]CRITERIOS!$M$110/[1]CRITERIOS!$M$86)+(_xlfn.XLOOKUP(A202,'[1]DATOS PBI Artículos'!$A$4:$A$4,'[1]DATOS PBI Artículos'!$AA$4:$AA$4)*([1]CRITERIOS!$M$95+[1]CRITERIOS!$M$98)))/N202)</f>
        <v>#N/A</v>
      </c>
      <c r="AD202" s="33" t="e">
        <f>IF(N202=0,"",(ROUNDUP((N202/2)/(_xlfn.XLOOKUP(A202,'[1]DATOS PBI Artículos'!$A$4:$A$4,'[1]DATOS PBI Artículos'!$Z$4:$Z$4)*_xlfn.XLOOKUP(_xlfn.XLOOKUP(A202,'[1]DATOS PBI Artículos'!$A$4:$A$4,'[1]DATOS PBI Artículos'!$Y$4:$Y$4),[1]CRITERIOS!$P$79:$P$123,[1]CRITERIOS!$S$79:$S$123)),0)*[1]CRITERIOS!$M$80*([1]CRITERIOS!$M$89*[1]CRITERIOS!$M$92)+((_xlfn.XLOOKUP(A202,'[1]DATOS PBI Artículos'!$A$4:$A$4,'[1]DATOS PBI Artículos'!$AA$4:$AA$4)/2)*([1]CRITERIOS!$M$95+[1]CRITERIOS!$M$98)))/N202)</f>
        <v>#N/A</v>
      </c>
      <c r="AE202" s="39">
        <f>IF($R202="MTO","",
IF($H202=0,ROUNDUP(((_xlfn.XLOOKUP($A202,'[1]DATOS PBI Artículos'!$A:$A,'[1]DATOS PBI Artículos'!$AL:$AL))/(_xlfn.XLOOKUP($AF$1,[1]CRITERIOS!$S$16:$S$39,[1]CRITERIOS!$Y$16:$Y$39))*$J202+$Z202)/$G202,0)*$G202,
((_xlfn.XLOOKUP($A202,'[1]DATOS PBI Artículos'!$A:$A,'[1]DATOS PBI Artículos'!$AL:$AL))/(_xlfn.XLOOKUP($AF$1,[1]CRITERIOS!$S$16:$S$39,[1]CRITERIOS!$Y$16:$Y$39))*$J202+$Z202)))</f>
        <v>9000</v>
      </c>
      <c r="AG202" s="39">
        <f>IF($R202="MTO","",
IF($H202=0,ROUNDUP(((_xlfn.XLOOKUP($A202,'[1]DATOS PBI Artículos'!$A:$A,'[1]DATOS PBI Artículos'!$AM:$AM))/(_xlfn.XLOOKUP($AH$1,[1]CRITERIOS!$S$16:$S$39,[1]CRITERIOS!$Y$16:$Y$39))*$J202+$Z202)/$G202,0)*$G202,
((_xlfn.XLOOKUP($A202,'[1]DATOS PBI Artículos'!$A:$A,'[1]DATOS PBI Artículos'!$AM:$AM))/(_xlfn.XLOOKUP($AH$1,[1]CRITERIOS!$S$16:$S$39,[1]CRITERIOS!$Y$16:$Y$39))*$J202+$Z202)))</f>
        <v>9000</v>
      </c>
      <c r="AI202" s="39">
        <f>IF($R202="MTO","",
IF($H202=0,ROUNDUP(((_xlfn.XLOOKUP($A202,'[1]DATOS PBI Artículos'!$A:$A,'[1]DATOS PBI Artículos'!$AN:$AN))/(_xlfn.XLOOKUP($AJ$1,[1]CRITERIOS!$S$16:$S$39,[1]CRITERIOS!$Y$16:$Y$39))*$J202+$Z202)/$G202,0)*$G202,
((_xlfn.XLOOKUP($A202,'[1]DATOS PBI Artículos'!$A:$A,'[1]DATOS PBI Artículos'!$AN:$AN))/(_xlfn.XLOOKUP($AJ$1,[1]CRITERIOS!$S$16:$S$39,[1]CRITERIOS!$Y$16:$Y$39))*$J202+$Z202)))</f>
        <v>9000</v>
      </c>
      <c r="AK202" s="39">
        <f>IF($R202="MTO","",
IF($H202=0,ROUNDUP(((_xlfn.XLOOKUP($A202,'[1]DATOS PBI Artículos'!$A:$A,'[1]DATOS PBI Artículos'!$AO:$AO))/(_xlfn.XLOOKUP($AL$1,[1]CRITERIOS!$S$16:$S$39,[1]CRITERIOS!$Y$16:$Y$39))*$J202+$Z202)/$G202,0)*$G202,
((_xlfn.XLOOKUP($A202,'[1]DATOS PBI Artículos'!$A:$A,'[1]DATOS PBI Artículos'!$AO:$AO))/(_xlfn.XLOOKUP($AL$1,[1]CRITERIOS!$S$16:$S$39,[1]CRITERIOS!$Y$16:$Y$39))*$J202+$Z202)))</f>
        <v>9000</v>
      </c>
    </row>
    <row r="203" spans="1:37" ht="25.8" x14ac:dyDescent="0.5">
      <c r="A203" s="32" t="s">
        <v>102</v>
      </c>
      <c r="B203" s="33">
        <f>_xlfn.XLOOKUP($A203,'[1]DATOS PBI Artículos'!A:A,'[1]DATOS PBI Artículos'!B:B)</f>
        <v>0</v>
      </c>
      <c r="C203" s="33" t="str">
        <f>_xlfn.XLOOKUP($A203,'[1]DATOS PBI Artículos'!A:A,'[1]DATOS PBI Artículos'!C:C)</f>
        <v>UA05</v>
      </c>
      <c r="D203" s="33">
        <f>_xlfn.XLOOKUP(A203,'[1]DATOS PBI Artículos'!A:A,'[1]DATOS PBI Artículos'!T:T)</f>
        <v>4</v>
      </c>
      <c r="E203" s="34">
        <f>IF(_xlfn.XLOOKUP($A203,'[1]DATOS PBI Artículos'!A:A,'[1]DATOS PBI Artículos'!AK:AK)="",_xlfn.XLOOKUP($A203,'[1]DATOS PBI Artículos'!A:A,'[1]DATOS PBI Artículos'!AJ:AJ),_xlfn.XLOOKUP($A203,'[1]DATOS PBI Artículos'!A:A,'[1]DATOS PBI Artículos'!AK:AK))</f>
        <v>12000</v>
      </c>
      <c r="F203" s="35">
        <f>_xlfn.XLOOKUP($A203,'[1]DATOS PBI Artículos'!A:A,'[1]DATOS PBI Artículos'!AP:AP)</f>
        <v>17.666666666659999</v>
      </c>
      <c r="G203" s="34">
        <f>_xlfn.XLOOKUP($A203,'[1]DATOS PBI Artículos'!A:A,'[1]DATOS PBI Artículos'!AR:AR)</f>
        <v>3000</v>
      </c>
      <c r="H203" s="34">
        <f>_xlfn.XLOOKUP($A203,'[1]DATOS PBI Artículos'!A:A,'[1]DATOS PBI Artículos'!AT:AT)</f>
        <v>0</v>
      </c>
      <c r="I203" s="34">
        <f>_xlfn.XLOOKUP($A203,'[1]DATOS PBI Artículos'!A:A,'[1]DATOS PBI Artículos'!AS:AS)</f>
        <v>3000</v>
      </c>
      <c r="J203" s="35">
        <f>IF(COUNTIF([1]CRITERIOS!$F$179:$F$199,$A203)&gt;=1,
 IF(O203&lt;&gt;"",
    (O203/_xlfn.XLOOKUP(CONCATENATE(A203,L203),[1]MÁQUINAS!A:A,[1]MÁQUINAS!D:D))/24,
    (N203/_xlfn.XLOOKUP(CONCATENATE(A203,L203),[1]MÁQUINAS!A:A,[1]MÁQUINAS!D:D))/24),
  _xlfn.XLOOKUP($A203,'[1]DATOS PBI Artículos'!A:A,'[1]DATOS PBI Artículos'!AU:AU))</f>
        <v>1.5</v>
      </c>
      <c r="K203" s="36">
        <f>_xlfn.XLOOKUP($A203,'[1]DATOS PBI Artículos'!A:A,'[1]DATOS PBI Artículos'!AV:AV)</f>
        <v>0</v>
      </c>
      <c r="L203" s="33">
        <f>_xlfn.XLOOKUP(A203,[1]MÁQUINAS!B:B,[1]MÁQUINAS!C:C)</f>
        <v>799</v>
      </c>
      <c r="M203" s="34">
        <f t="array" ref="M203">_xlfn.XLOOKUP(A203,'[1]DATOS PBI Artículos'!A:A,'[1]DATOS PBI Artículos'!AX:$AX)</f>
        <v>0</v>
      </c>
      <c r="N203" s="37">
        <f>IF(I203="DV",
E203,
IF(COUNTIF([1]CRITERIOS!$I$179:$I$199,$A203)&gt;=1,
_xlfn.XLOOKUP($A203,[1]CRITERIOS!$I$179:$I$199,[1]CRITERIOS!$J$179:$J$199),
IF(COUNTIF([1]CRITERIOS!$L$179:$L$199,$A203)&gt;=1,
_xlfn.CEILING.MATH(IF($M203&gt;$E203,
$E203,
IF($M203&lt;$E203/ROUNDDOWN([1]CRITERIOS!$M$16/_xlfn.XLOOKUP($C203,[1]CRITERIOS!$K$25:$K$42,[1]CRITERIOS!$M$25:$M$42),
1),
E203/ROUNDDOWN([1]CRITERIOS!$M$16/_xlfn.XLOOKUP($C203,[1]CRITERIOS!$K$25:$K$42,[1]CRITERIOS!$M$25:$M$42),
1),
$M203)),
_xlfn.XLOOKUP($A203,[1]CRITERIOS!$L$179:$L$200,[1]CRITERIOS!$M$179:$M$200)),
_xlfn.CEILING.MATH(IF($M203&gt;$E203,
$E203,
IF($M203&lt;$E203/ROUNDDOWN([1]CRITERIOS!$M$16/_xlfn.XLOOKUP($C203,[1]CRITERIOS!$K$25:$K$42,[1]CRITERIOS!$M$25:$M$42),
1),
E203/ROUNDDOWN([1]CRITERIOS!$M$16/_xlfn.XLOOKUP($C203,[1]CRITERIOS!$K$25:$K$42,[1]CRITERIOS!$M$25:$M$42),
1),
$M203)),_xlfn.XLOOKUP(A203,'[1]DATOS PBI Artículos'!A:A,'[1]DATOS PBI Artículos'!Z:Z
)))))</f>
        <v>3000</v>
      </c>
      <c r="Q203" s="38">
        <f>IF(AND(O203="",N203=0),
0,
   IF(COUNTIF([1]CRITERIOS!$F$179:$F$199,$A203)&gt;=1,
   1,
   IF(R203="MTO",
      $D203,
      ROUNDUP(
                    IF(($E203-SUMIF('[1]DATOS PBI Artículos'!A:A,A203,'[1]DATOS PBI Artículos'!X:X)+($V203-_xlfn.XLOOKUP(A203,'[1]DATOS PBI Artículos'!A:A,'[1]DATOS PBI Artículos'!W:W)))&lt;0,
                    0,
                    IF(($E203-SUMIF('[1]DATOS PBI Artículos'!A:A,A203,'[1]DATOS PBI Artículos'!X:X)+$V203-_xlfn.XLOOKUP($A203,'[1]DATOS PBI Artículos'!A:A,'[1]DATOS PBI Artículos'!W:W))/IF($O203="",$N203,$O203)&gt;ROUNDUP([1]CRITERIOS!$M$16/(IF(COUNTIF([1]CRITERIOS!$BG$11:$BG$201,L203)&gt;=1,_xlfn.XLOOKUP($C203,[1]CRITERIOS!$K$25:$K$42,[1]CRITERIOS!$M$25:$M$42),_xlfn.XLOOKUP($C203,[1]CRITERIOS!$K$25:$K$42,[1]CRITERIOS!$M$25:$M$42))),0),
                    ROUNDUP([1]CRITERIOS!$M$16/(IF(COUNTIF([1]CRITERIOS!$BG$11:$BG$201,$L203)&gt;=1,_xlfn.XLOOKUP($C203,[1]CRITERIOS!$K$25:$K$42,[1]CRITERIOS!$M$25:$M$42),_xlfn.XLOOKUP($C203,[1]CRITERIOS!$K$25:$K$42,[1]CRITERIOS!$M$25:$M$42))),0),
                    (E203+V203-SUMIF('[1]DATOS PBI Artículos'!A:A,A203,'[1]DATOS PBI Artículos'!X:X)-_xlfn.XLOOKUP(A203,'[1]DATOS PBI Artículos'!A:A,'[1]DATOS PBI Artículos'!W:W))/IF($O203="",$N203,$O203))),0))))</f>
        <v>4</v>
      </c>
      <c r="R203" s="33" t="str">
        <f>IF(U203&lt;&gt;"",U203,IF(F203="DV","MTO",IF(N203=0,"MTO",_xlfn.XLOOKUP(CONCATENATE(S203,T203),[1]CRITERIOS!$K$160:$K$168,[1]CRITERIOS!$N$160:$N$168))))</f>
        <v>MTO</v>
      </c>
      <c r="S203" s="33" t="str">
        <f>IF(G203="DV","MTO",IF(N203=0,"MTO",IF(OR(AND(N203=0,O203=""),IF(O203="",G203/N203,G203/O203)&gt;[1]CRITERIOS!$G$163),"MTO",IF(IF(O203="",G203/N203,G203/O203)&lt;[1]CRITERIOS!$H$161,"MTS","MTOS"))))</f>
        <v>MTO</v>
      </c>
      <c r="T203" s="33" t="str">
        <f>IF(F203="DV","MTO",IF(OR(AND($N203=0,O203=""),$F203/$J203&gt;[1]CRITERIOS!$G$170,$F203="DV"),"MTO",IF($F203/$J203&lt;[1]CRITERIOS!$H$168,"MTS","MTOS")))</f>
        <v>MTO</v>
      </c>
      <c r="V203" s="34" t="str">
        <f t="shared" si="10"/>
        <v/>
      </c>
      <c r="X203" s="34">
        <f t="shared" si="11"/>
        <v>0</v>
      </c>
      <c r="Y203" s="34">
        <f t="shared" si="12"/>
        <v>0</v>
      </c>
      <c r="Z203" s="34">
        <f>IF($R203="MTO",
0,
($H203+$K203*($E203/[1]CRITERIOS!$M$16))/[1]CRITERIOS!$X$48)</f>
        <v>0</v>
      </c>
      <c r="AA203" s="34" t="e">
        <f>ROUNDUP(($Y203/_xlfn.XLOOKUP($A203,'[1]DATOS PBI Artículos'!$A$4:$A$4,'[1]DATOS PBI Artículos'!$Z$4:$Z$4))/_xlfn.XLOOKUP(_xlfn.XLOOKUP($A203,'[1]DATOS PBI Artículos'!$A$4:$A$4,'[1]DATOS PBI Artículos'!$Y$4:$Y$4),[1]CRITERIOS!$P$79:$P$123,[1]CRITERIOS!$S$79:$S$123,),0)</f>
        <v>#N/A</v>
      </c>
      <c r="AB203" s="33" t="e">
        <f t="array" ref="AB203">IF((E203+V203-_xlfn.XLOOKUP(A203,'[1]DATOS PBI Artículos'!$A$4:$A$4,'[1]DATOS PBI Artículos'!$W$4:$W$4))/N203&gt;ROUNDUP([1]CRITERIOS!$M$16/(IF(COUNTIF([1]CRITERIOS!$BG$11:$BG$201,L203)&gt;=1,_xlfn.XLOOKUP(ARTÍCULOS!L203,[1]CRITERIOS!$BG$11:$BG$201,[1]CRITERIOS!$BJ$11:$BJ$201),_xlfn.XLOOKUP(ARTÍCULOS!C203,[1]CRITERIOS!$K$25:$K$42,[1]CRITERIOS!$M$25:$M$42))),0),ROUNDUP([1]CRITERIOS!$M$16/(IF(COUNTIF([1]CRITERIOS!$BG$11:$BG$201,L203)&gt;=1,_xlfn.XLOOKUP(ARTÍCULOS!L203,[1]CRITERIOS!$BG$11:$BG$201:#REF!,[1]CRITERIOS!$BJ$11:$BJ$201),_xlfn.XLOOKUP(ARTÍCULOS!C203,[1]CRITERIOS!$K$25:$K$42,[1]CRITERIOS!$M$25:$M$42))),0),(E203+V203-_xlfn.XLOOKUP(A203,'[1]DATOS PBI Artículos'!$A$4:$A$4,'[1]DATOS PBI Artículos'!$W$4:$W$4))/N203)</f>
        <v>#VALUE!</v>
      </c>
      <c r="AC203" s="33" t="e">
        <f>IF(N203=0,"",(ROUNDUP((N203/2)/(_xlfn.XLOOKUP(A203,'[1]DATOS PBI Artículos'!$A$4:$A$4,'[1]DATOS PBI Artículos'!$Z$4:$Z$4)*_xlfn.XLOOKUP(_xlfn.XLOOKUP(A203,'[1]DATOS PBI Artículos'!$A$4:$A$4,'[1]DATOS PBI Artículos'!$Y$4:$Y$4),[1]CRITERIOS!$P$79:$P$123,[1]CRITERIOS!$S$79:$S$123)),0)*[1]CRITERIOS!$M$80*([1]CRITERIOS!$M$110/[1]CRITERIOS!$M$86)+(_xlfn.XLOOKUP(A203,'[1]DATOS PBI Artículos'!$A$4:$A$4,'[1]DATOS PBI Artículos'!$AA$4:$AA$4)*([1]CRITERIOS!$M$95+[1]CRITERIOS!$M$98)))/N203)</f>
        <v>#N/A</v>
      </c>
      <c r="AD203" s="33" t="e">
        <f>IF(N203=0,"",(ROUNDUP((N203/2)/(_xlfn.XLOOKUP(A203,'[1]DATOS PBI Artículos'!$A$4:$A$4,'[1]DATOS PBI Artículos'!$Z$4:$Z$4)*_xlfn.XLOOKUP(_xlfn.XLOOKUP(A203,'[1]DATOS PBI Artículos'!$A$4:$A$4,'[1]DATOS PBI Artículos'!$Y$4:$Y$4),[1]CRITERIOS!$P$79:$P$123,[1]CRITERIOS!$S$79:$S$123)),0)*[1]CRITERIOS!$M$80*([1]CRITERIOS!$M$89*[1]CRITERIOS!$M$92)+((_xlfn.XLOOKUP(A203,'[1]DATOS PBI Artículos'!$A$4:$A$4,'[1]DATOS PBI Artículos'!$AA$4:$AA$4)/2)*([1]CRITERIOS!$M$95+[1]CRITERIOS!$M$98)))/N203)</f>
        <v>#N/A</v>
      </c>
      <c r="AE203" s="39" t="str">
        <f>IF($R203="MTO","",
IF($H203=0,ROUNDUP(((_xlfn.XLOOKUP($A203,'[1]DATOS PBI Artículos'!$A:$A,'[1]DATOS PBI Artículos'!$AL:$AL))/(_xlfn.XLOOKUP($AF$1,[1]CRITERIOS!$S$16:$S$39,[1]CRITERIOS!$Y$16:$Y$39))*$J203+$Z203)/$G203,0)*$G203,
((_xlfn.XLOOKUP($A203,'[1]DATOS PBI Artículos'!$A:$A,'[1]DATOS PBI Artículos'!$AL:$AL))/(_xlfn.XLOOKUP($AF$1,[1]CRITERIOS!$S$16:$S$39,[1]CRITERIOS!$Y$16:$Y$39))*$J203+$Z203)))</f>
        <v/>
      </c>
      <c r="AG203" s="39" t="str">
        <f>IF($R203="MTO","",
IF($H203=0,ROUNDUP(((_xlfn.XLOOKUP($A203,'[1]DATOS PBI Artículos'!$A:$A,'[1]DATOS PBI Artículos'!$AM:$AM))/(_xlfn.XLOOKUP($AH$1,[1]CRITERIOS!$S$16:$S$39,[1]CRITERIOS!$Y$16:$Y$39))*$J203+$Z203)/$G203,0)*$G203,
((_xlfn.XLOOKUP($A203,'[1]DATOS PBI Artículos'!$A:$A,'[1]DATOS PBI Artículos'!$AM:$AM))/(_xlfn.XLOOKUP($AH$1,[1]CRITERIOS!$S$16:$S$39,[1]CRITERIOS!$Y$16:$Y$39))*$J203+$Z203)))</f>
        <v/>
      </c>
      <c r="AI203" s="39" t="str">
        <f>IF($R203="MTO","",
IF($H203=0,ROUNDUP(((_xlfn.XLOOKUP($A203,'[1]DATOS PBI Artículos'!$A:$A,'[1]DATOS PBI Artículos'!$AN:$AN))/(_xlfn.XLOOKUP($AJ$1,[1]CRITERIOS!$S$16:$S$39,[1]CRITERIOS!$Y$16:$Y$39))*$J203+$Z203)/$G203,0)*$G203,
((_xlfn.XLOOKUP($A203,'[1]DATOS PBI Artículos'!$A:$A,'[1]DATOS PBI Artículos'!$AN:$AN))/(_xlfn.XLOOKUP($AJ$1,[1]CRITERIOS!$S$16:$S$39,[1]CRITERIOS!$Y$16:$Y$39))*$J203+$Z203)))</f>
        <v/>
      </c>
      <c r="AK203" s="39" t="str">
        <f>IF($R203="MTO","",
IF($H203=0,ROUNDUP(((_xlfn.XLOOKUP($A203,'[1]DATOS PBI Artículos'!$A:$A,'[1]DATOS PBI Artículos'!$AO:$AO))/(_xlfn.XLOOKUP($AL$1,[1]CRITERIOS!$S$16:$S$39,[1]CRITERIOS!$Y$16:$Y$39))*$J203+$Z203)/$G203,0)*$G203,
((_xlfn.XLOOKUP($A203,'[1]DATOS PBI Artículos'!$A:$A,'[1]DATOS PBI Artículos'!$AO:$AO))/(_xlfn.XLOOKUP($AL$1,[1]CRITERIOS!$S$16:$S$39,[1]CRITERIOS!$Y$16:$Y$39))*$J203+$Z203)))</f>
        <v/>
      </c>
    </row>
    <row r="204" spans="1:37" ht="25.8" x14ac:dyDescent="0.5">
      <c r="A204" s="32">
        <v>400304</v>
      </c>
      <c r="B204" s="33">
        <f>_xlfn.XLOOKUP($A204,'[1]DATOS PBI Artículos'!A:A,'[1]DATOS PBI Artículos'!B:B)</f>
        <v>0</v>
      </c>
      <c r="C204" s="33" t="str">
        <f>_xlfn.XLOOKUP($A204,'[1]DATOS PBI Artículos'!A:A,'[1]DATOS PBI Artículos'!C:C)</f>
        <v>UA03</v>
      </c>
      <c r="D204" s="33">
        <f>_xlfn.XLOOKUP(A204,'[1]DATOS PBI Artículos'!A:A,'[1]DATOS PBI Artículos'!T:T)</f>
        <v>1</v>
      </c>
      <c r="E204" s="34">
        <f>IF(_xlfn.XLOOKUP($A204,'[1]DATOS PBI Artículos'!A:A,'[1]DATOS PBI Artículos'!AK:AK)="",_xlfn.XLOOKUP($A204,'[1]DATOS PBI Artículos'!A:A,'[1]DATOS PBI Artículos'!AJ:AJ),_xlfn.XLOOKUP($A204,'[1]DATOS PBI Artículos'!A:A,'[1]DATOS PBI Artículos'!AK:AK))</f>
        <v>10800</v>
      </c>
      <c r="F204" s="35">
        <f>_xlfn.XLOOKUP($A204,'[1]DATOS PBI Artículos'!A:A,'[1]DATOS PBI Artículos'!AP:AP)</f>
        <v>75</v>
      </c>
      <c r="G204" s="34">
        <f>_xlfn.XLOOKUP($A204,'[1]DATOS PBI Artículos'!A:A,'[1]DATOS PBI Artículos'!AR:AR)</f>
        <v>10800</v>
      </c>
      <c r="H204" s="34">
        <f>_xlfn.XLOOKUP($A204,'[1]DATOS PBI Artículos'!A:A,'[1]DATOS PBI Artículos'!AT:AT)</f>
        <v>0</v>
      </c>
      <c r="I204" s="34">
        <f>_xlfn.XLOOKUP($A204,'[1]DATOS PBI Artículos'!A:A,'[1]DATOS PBI Artículos'!AS:AS)</f>
        <v>10800</v>
      </c>
      <c r="J204" s="35">
        <f>IF(COUNTIF([1]CRITERIOS!$F$179:$F$199,$A204)&gt;=1,
 IF(O204&lt;&gt;"",
    (O204/_xlfn.XLOOKUP(CONCATENATE(A204,L204),[1]MÁQUINAS!A:A,[1]MÁQUINAS!D:D))/24,
    (N204/_xlfn.XLOOKUP(CONCATENATE(A204,L204),[1]MÁQUINAS!A:A,[1]MÁQUINAS!D:D))/24),
  _xlfn.XLOOKUP($A204,'[1]DATOS PBI Artículos'!A:A,'[1]DATOS PBI Artículos'!AU:AU))</f>
        <v>18.333333333333336</v>
      </c>
      <c r="K204" s="36">
        <f>_xlfn.XLOOKUP($A204,'[1]DATOS PBI Artículos'!A:A,'[1]DATOS PBI Artículos'!AV:AV)</f>
        <v>5.9553897157672777</v>
      </c>
      <c r="L204" s="33">
        <f>_xlfn.XLOOKUP(A204,[1]MÁQUINAS!B:B,[1]MÁQUINAS!C:C)</f>
        <v>142</v>
      </c>
      <c r="M204" s="34">
        <f t="array" ref="M204">_xlfn.XLOOKUP(A204,'[1]DATOS PBI Artículos'!A:A,'[1]DATOS PBI Artículos'!AX:$AX)</f>
        <v>18944.205781544661</v>
      </c>
      <c r="N204" s="37">
        <f>IF(I204="DV",
E204,
IF(COUNTIF([1]CRITERIOS!$I$179:$I$199,$A204)&gt;=1,
_xlfn.XLOOKUP($A204,[1]CRITERIOS!$I$179:$I$199,[1]CRITERIOS!$J$179:$J$199),
IF(COUNTIF([1]CRITERIOS!$L$179:$L$199,$A204)&gt;=1,
_xlfn.CEILING.MATH(IF($M204&gt;$E204,
$E204,
IF($M204&lt;$E204/ROUNDDOWN([1]CRITERIOS!$M$16/_xlfn.XLOOKUP($C204,[1]CRITERIOS!$K$25:$K$42,[1]CRITERIOS!$M$25:$M$42),
1),
E204/ROUNDDOWN([1]CRITERIOS!$M$16/_xlfn.XLOOKUP($C204,[1]CRITERIOS!$K$25:$K$42,[1]CRITERIOS!$M$25:$M$42),
1),
$M204)),
_xlfn.XLOOKUP($A204,[1]CRITERIOS!$L$179:$L$200,[1]CRITERIOS!$M$179:$M$200)),
_xlfn.CEILING.MATH(IF($M204&gt;$E204,
$E204,
IF($M204&lt;$E204/ROUNDDOWN([1]CRITERIOS!$M$16/_xlfn.XLOOKUP($C204,[1]CRITERIOS!$K$25:$K$42,[1]CRITERIOS!$M$25:$M$42),
1),
E204/ROUNDDOWN([1]CRITERIOS!$M$16/_xlfn.XLOOKUP($C204,[1]CRITERIOS!$K$25:$K$42,[1]CRITERIOS!$M$25:$M$42),
1),
$M204)),_xlfn.XLOOKUP(A204,'[1]DATOS PBI Artículos'!A:A,'[1]DATOS PBI Artículos'!Z:Z
)))))</f>
        <v>10800</v>
      </c>
      <c r="Q204" s="38">
        <f>IF(AND(O204="",N204=0),
0,
   IF(COUNTIF([1]CRITERIOS!$F$179:$F$199,$A204)&gt;=1,
   1,
   IF(R204="MTO",
      $D204,
      ROUNDUP(
                    IF(($E204-SUMIF('[1]DATOS PBI Artículos'!A:A,A204,'[1]DATOS PBI Artículos'!X:X)+($V204-_xlfn.XLOOKUP(A204,'[1]DATOS PBI Artículos'!A:A,'[1]DATOS PBI Artículos'!W:W)))&lt;0,
                    0,
                    IF(($E204-SUMIF('[1]DATOS PBI Artículos'!A:A,A204,'[1]DATOS PBI Artículos'!X:X)+$V204-_xlfn.XLOOKUP($A204,'[1]DATOS PBI Artículos'!A:A,'[1]DATOS PBI Artículos'!W:W))/IF($O204="",$N204,$O204)&gt;ROUNDUP([1]CRITERIOS!$M$16/(IF(COUNTIF([1]CRITERIOS!$BG$11:$BG$201,L204)&gt;=1,_xlfn.XLOOKUP($C204,[1]CRITERIOS!$K$25:$K$42,[1]CRITERIOS!$M$25:$M$42),_xlfn.XLOOKUP($C204,[1]CRITERIOS!$K$25:$K$42,[1]CRITERIOS!$M$25:$M$42))),0),
                    ROUNDUP([1]CRITERIOS!$M$16/(IF(COUNTIF([1]CRITERIOS!$BG$11:$BG$201,$L204)&gt;=1,_xlfn.XLOOKUP($C204,[1]CRITERIOS!$K$25:$K$42,[1]CRITERIOS!$M$25:$M$42),_xlfn.XLOOKUP($C204,[1]CRITERIOS!$K$25:$K$42,[1]CRITERIOS!$M$25:$M$42))),0),
                    (E204+V204-SUMIF('[1]DATOS PBI Artículos'!A:A,A204,'[1]DATOS PBI Artículos'!X:X)-_xlfn.XLOOKUP(A204,'[1]DATOS PBI Artículos'!A:A,'[1]DATOS PBI Artículos'!W:W))/IF($O204="",$N204,$O204))),0))))</f>
        <v>1</v>
      </c>
      <c r="R204" s="33" t="str">
        <f>IF(U204&lt;&gt;"",U204,IF(F204="DV","MTO",IF(N204=0,"MTO",_xlfn.XLOOKUP(CONCATENATE(S204,T204),[1]CRITERIOS!$K$160:$K$168,[1]CRITERIOS!$N$160:$N$168))))</f>
        <v>MTO</v>
      </c>
      <c r="S204" s="33" t="str">
        <f>IF(G204="DV","MTO",IF(N204=0,"MTO",IF(OR(AND(N204=0,O204=""),IF(O204="",G204/N204,G204/O204)&gt;[1]CRITERIOS!$G$163),"MTO",IF(IF(O204="",G204/N204,G204/O204)&lt;[1]CRITERIOS!$H$161,"MTS","MTOS"))))</f>
        <v>MTO</v>
      </c>
      <c r="T204" s="33" t="str">
        <f>IF(F204="DV","MTO",IF(OR(AND($N204=0,O204=""),$F204/$J204&gt;[1]CRITERIOS!$G$170,$F204="DV"),"MTO",IF($F204/$J204&lt;[1]CRITERIOS!$H$168,"MTS","MTOS")))</f>
        <v>MTO</v>
      </c>
      <c r="V204" s="34" t="str">
        <f t="shared" si="10"/>
        <v/>
      </c>
      <c r="X204" s="34">
        <f t="shared" si="11"/>
        <v>0</v>
      </c>
      <c r="Y204" s="34">
        <f t="shared" si="12"/>
        <v>0</v>
      </c>
      <c r="Z204" s="34">
        <f>IF($R204="MTO",
0,
($H204+$K204*($E204/[1]CRITERIOS!$M$16))/[1]CRITERIOS!$X$48)</f>
        <v>0</v>
      </c>
      <c r="AA204" s="34" t="e">
        <f>ROUNDUP(($Y204/_xlfn.XLOOKUP($A204,'[1]DATOS PBI Artículos'!$A$4:$A$4,'[1]DATOS PBI Artículos'!$Z$4:$Z$4))/_xlfn.XLOOKUP(_xlfn.XLOOKUP($A204,'[1]DATOS PBI Artículos'!$A$4:$A$4,'[1]DATOS PBI Artículos'!$Y$4:$Y$4),[1]CRITERIOS!$P$79:$P$123,[1]CRITERIOS!$S$79:$S$123,),0)</f>
        <v>#N/A</v>
      </c>
      <c r="AB204" s="33" t="e">
        <f t="array" ref="AB204">IF((E204+V204-_xlfn.XLOOKUP(A204,'[1]DATOS PBI Artículos'!$A$4:$A$4,'[1]DATOS PBI Artículos'!$W$4:$W$4))/N204&gt;ROUNDUP([1]CRITERIOS!$M$16/(IF(COUNTIF([1]CRITERIOS!$BG$11:$BG$201,L204)&gt;=1,_xlfn.XLOOKUP(ARTÍCULOS!L204,[1]CRITERIOS!$BG$11:$BG$201,[1]CRITERIOS!$BJ$11:$BJ$201),_xlfn.XLOOKUP(ARTÍCULOS!C204,[1]CRITERIOS!$K$25:$K$42,[1]CRITERIOS!$M$25:$M$42))),0),ROUNDUP([1]CRITERIOS!$M$16/(IF(COUNTIF([1]CRITERIOS!$BG$11:$BG$201,L204)&gt;=1,_xlfn.XLOOKUP(ARTÍCULOS!L204,[1]CRITERIOS!$BG$11:$BG$201:#REF!,[1]CRITERIOS!$BJ$11:$BJ$201),_xlfn.XLOOKUP(ARTÍCULOS!C204,[1]CRITERIOS!$K$25:$K$42,[1]CRITERIOS!$M$25:$M$42))),0),(E204+V204-_xlfn.XLOOKUP(A204,'[1]DATOS PBI Artículos'!$A$4:$A$4,'[1]DATOS PBI Artículos'!$W$4:$W$4))/N204)</f>
        <v>#VALUE!</v>
      </c>
      <c r="AC204" s="33" t="e">
        <f>IF(N204=0,"",(ROUNDUP((N204/2)/(_xlfn.XLOOKUP(A204,'[1]DATOS PBI Artículos'!$A$4:$A$4,'[1]DATOS PBI Artículos'!$Z$4:$Z$4)*_xlfn.XLOOKUP(_xlfn.XLOOKUP(A204,'[1]DATOS PBI Artículos'!$A$4:$A$4,'[1]DATOS PBI Artículos'!$Y$4:$Y$4),[1]CRITERIOS!$P$79:$P$123,[1]CRITERIOS!$S$79:$S$123)),0)*[1]CRITERIOS!$M$80*([1]CRITERIOS!$M$110/[1]CRITERIOS!$M$86)+(_xlfn.XLOOKUP(A204,'[1]DATOS PBI Artículos'!$A$4:$A$4,'[1]DATOS PBI Artículos'!$AA$4:$AA$4)*([1]CRITERIOS!$M$95+[1]CRITERIOS!$M$98)))/N204)</f>
        <v>#N/A</v>
      </c>
      <c r="AD204" s="33" t="e">
        <f>IF(N204=0,"",(ROUNDUP((N204/2)/(_xlfn.XLOOKUP(A204,'[1]DATOS PBI Artículos'!$A$4:$A$4,'[1]DATOS PBI Artículos'!$Z$4:$Z$4)*_xlfn.XLOOKUP(_xlfn.XLOOKUP(A204,'[1]DATOS PBI Artículos'!$A$4:$A$4,'[1]DATOS PBI Artículos'!$Y$4:$Y$4),[1]CRITERIOS!$P$79:$P$123,[1]CRITERIOS!$S$79:$S$123)),0)*[1]CRITERIOS!$M$80*([1]CRITERIOS!$M$89*[1]CRITERIOS!$M$92)+((_xlfn.XLOOKUP(A204,'[1]DATOS PBI Artículos'!$A$4:$A$4,'[1]DATOS PBI Artículos'!$AA$4:$AA$4)/2)*([1]CRITERIOS!$M$95+[1]CRITERIOS!$M$98)))/N204)</f>
        <v>#N/A</v>
      </c>
      <c r="AE204" s="39" t="str">
        <f>IF($R204="MTO","",
IF($H204=0,ROUNDUP(((_xlfn.XLOOKUP($A204,'[1]DATOS PBI Artículos'!$A:$A,'[1]DATOS PBI Artículos'!$AL:$AL))/(_xlfn.XLOOKUP($AF$1,[1]CRITERIOS!$S$16:$S$39,[1]CRITERIOS!$Y$16:$Y$39))*$J204+$Z204)/$G204,0)*$G204,
((_xlfn.XLOOKUP($A204,'[1]DATOS PBI Artículos'!$A:$A,'[1]DATOS PBI Artículos'!$AL:$AL))/(_xlfn.XLOOKUP($AF$1,[1]CRITERIOS!$S$16:$S$39,[1]CRITERIOS!$Y$16:$Y$39))*$J204+$Z204)))</f>
        <v/>
      </c>
      <c r="AG204" s="39" t="str">
        <f>IF($R204="MTO","",
IF($H204=0,ROUNDUP(((_xlfn.XLOOKUP($A204,'[1]DATOS PBI Artículos'!$A:$A,'[1]DATOS PBI Artículos'!$AM:$AM))/(_xlfn.XLOOKUP($AH$1,[1]CRITERIOS!$S$16:$S$39,[1]CRITERIOS!$Y$16:$Y$39))*$J204+$Z204)/$G204,0)*$G204,
((_xlfn.XLOOKUP($A204,'[1]DATOS PBI Artículos'!$A:$A,'[1]DATOS PBI Artículos'!$AM:$AM))/(_xlfn.XLOOKUP($AH$1,[1]CRITERIOS!$S$16:$S$39,[1]CRITERIOS!$Y$16:$Y$39))*$J204+$Z204)))</f>
        <v/>
      </c>
      <c r="AI204" s="39" t="str">
        <f>IF($R204="MTO","",
IF($H204=0,ROUNDUP(((_xlfn.XLOOKUP($A204,'[1]DATOS PBI Artículos'!$A:$A,'[1]DATOS PBI Artículos'!$AN:$AN))/(_xlfn.XLOOKUP($AJ$1,[1]CRITERIOS!$S$16:$S$39,[1]CRITERIOS!$Y$16:$Y$39))*$J204+$Z204)/$G204,0)*$G204,
((_xlfn.XLOOKUP($A204,'[1]DATOS PBI Artículos'!$A:$A,'[1]DATOS PBI Artículos'!$AN:$AN))/(_xlfn.XLOOKUP($AJ$1,[1]CRITERIOS!$S$16:$S$39,[1]CRITERIOS!$Y$16:$Y$39))*$J204+$Z204)))</f>
        <v/>
      </c>
      <c r="AK204" s="39" t="str">
        <f>IF($R204="MTO","",
IF($H204=0,ROUNDUP(((_xlfn.XLOOKUP($A204,'[1]DATOS PBI Artículos'!$A:$A,'[1]DATOS PBI Artículos'!$AO:$AO))/(_xlfn.XLOOKUP($AL$1,[1]CRITERIOS!$S$16:$S$39,[1]CRITERIOS!$Y$16:$Y$39))*$J204+$Z204)/$G204,0)*$G204,
((_xlfn.XLOOKUP($A204,'[1]DATOS PBI Artículos'!$A:$A,'[1]DATOS PBI Artículos'!$AO:$AO))/(_xlfn.XLOOKUP($AL$1,[1]CRITERIOS!$S$16:$S$39,[1]CRITERIOS!$Y$16:$Y$39))*$J204+$Z204)))</f>
        <v/>
      </c>
    </row>
    <row r="205" spans="1:37" ht="25.8" x14ac:dyDescent="0.5">
      <c r="A205" s="32">
        <v>407102</v>
      </c>
      <c r="B205" s="33">
        <f>_xlfn.XLOOKUP($A205,'[1]DATOS PBI Artículos'!A:A,'[1]DATOS PBI Artículos'!B:B)</f>
        <v>0</v>
      </c>
      <c r="C205" s="33" t="str">
        <f>_xlfn.XLOOKUP($A205,'[1]DATOS PBI Artículos'!A:A,'[1]DATOS PBI Artículos'!C:C)</f>
        <v>UA01</v>
      </c>
      <c r="D205" s="33">
        <f>_xlfn.XLOOKUP(A205,'[1]DATOS PBI Artículos'!A:A,'[1]DATOS PBI Artículos'!T:T)</f>
        <v>1</v>
      </c>
      <c r="E205" s="34">
        <f>IF(_xlfn.XLOOKUP($A205,'[1]DATOS PBI Artículos'!A:A,'[1]DATOS PBI Artículos'!AK:AK)="",_xlfn.XLOOKUP($A205,'[1]DATOS PBI Artículos'!A:A,'[1]DATOS PBI Artículos'!AJ:AJ),_xlfn.XLOOKUP($A205,'[1]DATOS PBI Artículos'!A:A,'[1]DATOS PBI Artículos'!AK:AK))</f>
        <v>10500</v>
      </c>
      <c r="F205" s="35">
        <f>_xlfn.XLOOKUP($A205,'[1]DATOS PBI Artículos'!A:A,'[1]DATOS PBI Artículos'!AP:AP)</f>
        <v>75</v>
      </c>
      <c r="G205" s="34">
        <f>_xlfn.XLOOKUP($A205,'[1]DATOS PBI Artículos'!A:A,'[1]DATOS PBI Artículos'!AR:AR)</f>
        <v>10500</v>
      </c>
      <c r="H205" s="34">
        <f>_xlfn.XLOOKUP($A205,'[1]DATOS PBI Artículos'!A:A,'[1]DATOS PBI Artículos'!AT:AT)</f>
        <v>0</v>
      </c>
      <c r="I205" s="34">
        <f>_xlfn.XLOOKUP($A205,'[1]DATOS PBI Artículos'!A:A,'[1]DATOS PBI Artículos'!AS:AS)</f>
        <v>10500</v>
      </c>
      <c r="J205" s="35">
        <f>IF(COUNTIF([1]CRITERIOS!$F$179:$F$199,$A205)&gt;=1,
 IF(O205&lt;&gt;"",
    (O205/_xlfn.XLOOKUP(CONCATENATE(A205,L205),[1]MÁQUINAS!A:A,[1]MÁQUINAS!D:D))/24,
    (N205/_xlfn.XLOOKUP(CONCATENATE(A205,L205),[1]MÁQUINAS!A:A,[1]MÁQUINAS!D:D))/24),
  _xlfn.XLOOKUP($A205,'[1]DATOS PBI Artículos'!A:A,'[1]DATOS PBI Artículos'!AU:AU))</f>
        <v>14</v>
      </c>
      <c r="K205" s="36">
        <f>_xlfn.XLOOKUP($A205,'[1]DATOS PBI Artículos'!A:A,'[1]DATOS PBI Artículos'!AV:AV)</f>
        <v>1.8257418583505538</v>
      </c>
      <c r="L205" s="33">
        <f>_xlfn.XLOOKUP(A205,[1]MÁQUINAS!B:B,[1]MÁQUINAS!C:C)</f>
        <v>406</v>
      </c>
      <c r="M205" s="34">
        <f t="array" ref="M205">_xlfn.XLOOKUP(A205,'[1]DATOS PBI Artículos'!A:A,'[1]DATOS PBI Artículos'!AX:$AX)</f>
        <v>25899.707696853908</v>
      </c>
      <c r="N205" s="37">
        <f>IF(I205="DV",
E205,
IF(COUNTIF([1]CRITERIOS!$I$179:$I$199,$A205)&gt;=1,
_xlfn.XLOOKUP($A205,[1]CRITERIOS!$I$179:$I$199,[1]CRITERIOS!$J$179:$J$199),
IF(COUNTIF([1]CRITERIOS!$L$179:$L$199,$A205)&gt;=1,
_xlfn.CEILING.MATH(IF($M205&gt;$E205,
$E205,
IF($M205&lt;$E205/ROUNDDOWN([1]CRITERIOS!$M$16/_xlfn.XLOOKUP($C205,[1]CRITERIOS!$K$25:$K$42,[1]CRITERIOS!$M$25:$M$42),
1),
E205/ROUNDDOWN([1]CRITERIOS!$M$16/_xlfn.XLOOKUP($C205,[1]CRITERIOS!$K$25:$K$42,[1]CRITERIOS!$M$25:$M$42),
1),
$M205)),
_xlfn.XLOOKUP($A205,[1]CRITERIOS!$L$179:$L$200,[1]CRITERIOS!$M$179:$M$200)),
_xlfn.CEILING.MATH(IF($M205&gt;$E205,
$E205,
IF($M205&lt;$E205/ROUNDDOWN([1]CRITERIOS!$M$16/_xlfn.XLOOKUP($C205,[1]CRITERIOS!$K$25:$K$42,[1]CRITERIOS!$M$25:$M$42),
1),
E205/ROUNDDOWN([1]CRITERIOS!$M$16/_xlfn.XLOOKUP($C205,[1]CRITERIOS!$K$25:$K$42,[1]CRITERIOS!$M$25:$M$42),
1),
$M205)),_xlfn.XLOOKUP(A205,'[1]DATOS PBI Artículos'!A:A,'[1]DATOS PBI Artículos'!Z:Z
)))))</f>
        <v>10500</v>
      </c>
      <c r="Q205" s="38">
        <f>IF(AND(O205="",N205=0),
0,
   IF(COUNTIF([1]CRITERIOS!$F$179:$F$199,$A205)&gt;=1,
   1,
   IF(R205="MTO",
      $D205,
      ROUNDUP(
                    IF(($E205-SUMIF('[1]DATOS PBI Artículos'!A:A,A205,'[1]DATOS PBI Artículos'!X:X)+($V205-_xlfn.XLOOKUP(A205,'[1]DATOS PBI Artículos'!A:A,'[1]DATOS PBI Artículos'!W:W)))&lt;0,
                    0,
                    IF(($E205-SUMIF('[1]DATOS PBI Artículos'!A:A,A205,'[1]DATOS PBI Artículos'!X:X)+$V205-_xlfn.XLOOKUP($A205,'[1]DATOS PBI Artículos'!A:A,'[1]DATOS PBI Artículos'!W:W))/IF($O205="",$N205,$O205)&gt;ROUNDUP([1]CRITERIOS!$M$16/(IF(COUNTIF([1]CRITERIOS!$BG$11:$BG$201,L205)&gt;=1,_xlfn.XLOOKUP($C205,[1]CRITERIOS!$K$25:$K$42,[1]CRITERIOS!$M$25:$M$42),_xlfn.XLOOKUP($C205,[1]CRITERIOS!$K$25:$K$42,[1]CRITERIOS!$M$25:$M$42))),0),
                    ROUNDUP([1]CRITERIOS!$M$16/(IF(COUNTIF([1]CRITERIOS!$BG$11:$BG$201,$L205)&gt;=1,_xlfn.XLOOKUP($C205,[1]CRITERIOS!$K$25:$K$42,[1]CRITERIOS!$M$25:$M$42),_xlfn.XLOOKUP($C205,[1]CRITERIOS!$K$25:$K$42,[1]CRITERIOS!$M$25:$M$42))),0),
                    (E205+V205-SUMIF('[1]DATOS PBI Artículos'!A:A,A205,'[1]DATOS PBI Artículos'!X:X)-_xlfn.XLOOKUP(A205,'[1]DATOS PBI Artículos'!A:A,'[1]DATOS PBI Artículos'!W:W))/IF($O205="",$N205,$O205))),0))))</f>
        <v>1</v>
      </c>
      <c r="R205" s="33" t="str">
        <f>IF(U205&lt;&gt;"",U205,IF(F205="DV","MTO",IF(N205=0,"MTO",_xlfn.XLOOKUP(CONCATENATE(S205,T205),[1]CRITERIOS!$K$160:$K$168,[1]CRITERIOS!$N$160:$N$168))))</f>
        <v>MTO</v>
      </c>
      <c r="S205" s="33" t="str">
        <f>IF(G205="DV","MTO",IF(N205=0,"MTO",IF(OR(AND(N205=0,O205=""),IF(O205="",G205/N205,G205/O205)&gt;[1]CRITERIOS!$G$163),"MTO",IF(IF(O205="",G205/N205,G205/O205)&lt;[1]CRITERIOS!$H$161,"MTS","MTOS"))))</f>
        <v>MTO</v>
      </c>
      <c r="T205" s="33" t="str">
        <f>IF(F205="DV","MTO",IF(OR(AND($N205=0,O205=""),$F205/$J205&gt;[1]CRITERIOS!$G$170,$F205="DV"),"MTO",IF($F205/$J205&lt;[1]CRITERIOS!$H$168,"MTS","MTOS")))</f>
        <v>MTO</v>
      </c>
      <c r="V205" s="34" t="str">
        <f t="shared" si="10"/>
        <v/>
      </c>
      <c r="X205" s="34">
        <f t="shared" si="11"/>
        <v>0</v>
      </c>
      <c r="Y205" s="34">
        <f t="shared" si="12"/>
        <v>0</v>
      </c>
      <c r="Z205" s="34">
        <f>IF($R205="MTO",
0,
($H205+$K205*($E205/[1]CRITERIOS!$M$16))/[1]CRITERIOS!$X$48)</f>
        <v>0</v>
      </c>
      <c r="AA205" s="34" t="e">
        <f>ROUNDUP(($Y205/_xlfn.XLOOKUP($A205,'[1]DATOS PBI Artículos'!$A$4:$A$4,'[1]DATOS PBI Artículos'!$Z$4:$Z$4))/_xlfn.XLOOKUP(_xlfn.XLOOKUP($A205,'[1]DATOS PBI Artículos'!$A$4:$A$4,'[1]DATOS PBI Artículos'!$Y$4:$Y$4),[1]CRITERIOS!$P$79:$P$123,[1]CRITERIOS!$S$79:$S$123,),0)</f>
        <v>#N/A</v>
      </c>
      <c r="AB205" s="33" t="e">
        <f t="array" ref="AB205">IF((E205+V205-_xlfn.XLOOKUP(A205,'[1]DATOS PBI Artículos'!$A$4:$A$4,'[1]DATOS PBI Artículos'!$W$4:$W$4))/N205&gt;ROUNDUP([1]CRITERIOS!$M$16/(IF(COUNTIF([1]CRITERIOS!$BG$11:$BG$201,L205)&gt;=1,_xlfn.XLOOKUP(ARTÍCULOS!L205,[1]CRITERIOS!$BG$11:$BG$201,[1]CRITERIOS!$BJ$11:$BJ$201),_xlfn.XLOOKUP(ARTÍCULOS!C205,[1]CRITERIOS!$K$25:$K$42,[1]CRITERIOS!$M$25:$M$42))),0),ROUNDUP([1]CRITERIOS!$M$16/(IF(COUNTIF([1]CRITERIOS!$BG$11:$BG$201,L205)&gt;=1,_xlfn.XLOOKUP(ARTÍCULOS!L205,[1]CRITERIOS!$BG$11:$BG$201:#REF!,[1]CRITERIOS!$BJ$11:$BJ$201),_xlfn.XLOOKUP(ARTÍCULOS!C205,[1]CRITERIOS!$K$25:$K$42,[1]CRITERIOS!$M$25:$M$42))),0),(E205+V205-_xlfn.XLOOKUP(A205,'[1]DATOS PBI Artículos'!$A$4:$A$4,'[1]DATOS PBI Artículos'!$W$4:$W$4))/N205)</f>
        <v>#VALUE!</v>
      </c>
      <c r="AC205" s="33" t="e">
        <f>IF(N205=0,"",(ROUNDUP((N205/2)/(_xlfn.XLOOKUP(A205,'[1]DATOS PBI Artículos'!$A$4:$A$4,'[1]DATOS PBI Artículos'!$Z$4:$Z$4)*_xlfn.XLOOKUP(_xlfn.XLOOKUP(A205,'[1]DATOS PBI Artículos'!$A$4:$A$4,'[1]DATOS PBI Artículos'!$Y$4:$Y$4),[1]CRITERIOS!$P$79:$P$123,[1]CRITERIOS!$S$79:$S$123)),0)*[1]CRITERIOS!$M$80*([1]CRITERIOS!$M$110/[1]CRITERIOS!$M$86)+(_xlfn.XLOOKUP(A205,'[1]DATOS PBI Artículos'!$A$4:$A$4,'[1]DATOS PBI Artículos'!$AA$4:$AA$4)*([1]CRITERIOS!$M$95+[1]CRITERIOS!$M$98)))/N205)</f>
        <v>#N/A</v>
      </c>
      <c r="AD205" s="33" t="e">
        <f>IF(N205=0,"",(ROUNDUP((N205/2)/(_xlfn.XLOOKUP(A205,'[1]DATOS PBI Artículos'!$A$4:$A$4,'[1]DATOS PBI Artículos'!$Z$4:$Z$4)*_xlfn.XLOOKUP(_xlfn.XLOOKUP(A205,'[1]DATOS PBI Artículos'!$A$4:$A$4,'[1]DATOS PBI Artículos'!$Y$4:$Y$4),[1]CRITERIOS!$P$79:$P$123,[1]CRITERIOS!$S$79:$S$123)),0)*[1]CRITERIOS!$M$80*([1]CRITERIOS!$M$89*[1]CRITERIOS!$M$92)+((_xlfn.XLOOKUP(A205,'[1]DATOS PBI Artículos'!$A$4:$A$4,'[1]DATOS PBI Artículos'!$AA$4:$AA$4)/2)*([1]CRITERIOS!$M$95+[1]CRITERIOS!$M$98)))/N205)</f>
        <v>#N/A</v>
      </c>
      <c r="AE205" s="39" t="str">
        <f>IF($R205="MTO","",
IF($H205=0,ROUNDUP(((_xlfn.XLOOKUP($A205,'[1]DATOS PBI Artículos'!$A:$A,'[1]DATOS PBI Artículos'!$AL:$AL))/(_xlfn.XLOOKUP($AF$1,[1]CRITERIOS!$S$16:$S$39,[1]CRITERIOS!$Y$16:$Y$39))*$J205+$Z205)/$G205,0)*$G205,
((_xlfn.XLOOKUP($A205,'[1]DATOS PBI Artículos'!$A:$A,'[1]DATOS PBI Artículos'!$AL:$AL))/(_xlfn.XLOOKUP($AF$1,[1]CRITERIOS!$S$16:$S$39,[1]CRITERIOS!$Y$16:$Y$39))*$J205+$Z205)))</f>
        <v/>
      </c>
      <c r="AG205" s="39" t="str">
        <f>IF($R205="MTO","",
IF($H205=0,ROUNDUP(((_xlfn.XLOOKUP($A205,'[1]DATOS PBI Artículos'!$A:$A,'[1]DATOS PBI Artículos'!$AM:$AM))/(_xlfn.XLOOKUP($AH$1,[1]CRITERIOS!$S$16:$S$39,[1]CRITERIOS!$Y$16:$Y$39))*$J205+$Z205)/$G205,0)*$G205,
((_xlfn.XLOOKUP($A205,'[1]DATOS PBI Artículos'!$A:$A,'[1]DATOS PBI Artículos'!$AM:$AM))/(_xlfn.XLOOKUP($AH$1,[1]CRITERIOS!$S$16:$S$39,[1]CRITERIOS!$Y$16:$Y$39))*$J205+$Z205)))</f>
        <v/>
      </c>
      <c r="AI205" s="39" t="str">
        <f>IF($R205="MTO","",
IF($H205=0,ROUNDUP(((_xlfn.XLOOKUP($A205,'[1]DATOS PBI Artículos'!$A:$A,'[1]DATOS PBI Artículos'!$AN:$AN))/(_xlfn.XLOOKUP($AJ$1,[1]CRITERIOS!$S$16:$S$39,[1]CRITERIOS!$Y$16:$Y$39))*$J205+$Z205)/$G205,0)*$G205,
((_xlfn.XLOOKUP($A205,'[1]DATOS PBI Artículos'!$A:$A,'[1]DATOS PBI Artículos'!$AN:$AN))/(_xlfn.XLOOKUP($AJ$1,[1]CRITERIOS!$S$16:$S$39,[1]CRITERIOS!$Y$16:$Y$39))*$J205+$Z205)))</f>
        <v/>
      </c>
      <c r="AK205" s="39" t="str">
        <f>IF($R205="MTO","",
IF($H205=0,ROUNDUP(((_xlfn.XLOOKUP($A205,'[1]DATOS PBI Artículos'!$A:$A,'[1]DATOS PBI Artículos'!$AO:$AO))/(_xlfn.XLOOKUP($AL$1,[1]CRITERIOS!$S$16:$S$39,[1]CRITERIOS!$Y$16:$Y$39))*$J205+$Z205)/$G205,0)*$G205,
((_xlfn.XLOOKUP($A205,'[1]DATOS PBI Artículos'!$A:$A,'[1]DATOS PBI Artículos'!$AO:$AO))/(_xlfn.XLOOKUP($AL$1,[1]CRITERIOS!$S$16:$S$39,[1]CRITERIOS!$Y$16:$Y$39))*$J205+$Z205)))</f>
        <v/>
      </c>
    </row>
    <row r="206" spans="1:37" ht="25.8" x14ac:dyDescent="0.5">
      <c r="A206" s="32">
        <v>400303</v>
      </c>
      <c r="B206" s="33">
        <f>_xlfn.XLOOKUP($A206,'[1]DATOS PBI Artículos'!A:A,'[1]DATOS PBI Artículos'!B:B)</f>
        <v>0</v>
      </c>
      <c r="C206" s="33" t="str">
        <f>_xlfn.XLOOKUP($A206,'[1]DATOS PBI Artículos'!A:A,'[1]DATOS PBI Artículos'!C:C)</f>
        <v>UA03</v>
      </c>
      <c r="D206" s="33">
        <f>_xlfn.XLOOKUP(A206,'[1]DATOS PBI Artículos'!A:A,'[1]DATOS PBI Artículos'!T:T)</f>
        <v>2</v>
      </c>
      <c r="E206" s="34">
        <f>IF(_xlfn.XLOOKUP($A206,'[1]DATOS PBI Artículos'!A:A,'[1]DATOS PBI Artículos'!AK:AK)="",_xlfn.XLOOKUP($A206,'[1]DATOS PBI Artículos'!A:A,'[1]DATOS PBI Artículos'!AJ:AJ),_xlfn.XLOOKUP($A206,'[1]DATOS PBI Artículos'!A:A,'[1]DATOS PBI Artículos'!AK:AK))</f>
        <v>10080</v>
      </c>
      <c r="F206" s="35">
        <f>_xlfn.XLOOKUP($A206,'[1]DATOS PBI Artículos'!A:A,'[1]DATOS PBI Artículos'!AP:AP)</f>
        <v>13</v>
      </c>
      <c r="G206" s="34">
        <f>_xlfn.XLOOKUP($A206,'[1]DATOS PBI Artículos'!A:A,'[1]DATOS PBI Artículos'!AR:AR)</f>
        <v>5040</v>
      </c>
      <c r="H206" s="34">
        <f>_xlfn.XLOOKUP($A206,'[1]DATOS PBI Artículos'!A:A,'[1]DATOS PBI Artículos'!AT:AT)</f>
        <v>0</v>
      </c>
      <c r="I206" s="34">
        <f>_xlfn.XLOOKUP($A206,'[1]DATOS PBI Artículos'!A:A,'[1]DATOS PBI Artículos'!AS:AS)</f>
        <v>5040</v>
      </c>
      <c r="J206" s="35">
        <f>IF(COUNTIF([1]CRITERIOS!$F$179:$F$199,$A206)&gt;=1,
 IF(O206&lt;&gt;"",
    (O206/_xlfn.XLOOKUP(CONCATENATE(A206,L206),[1]MÁQUINAS!A:A,[1]MÁQUINAS!D:D))/24,
    (N206/_xlfn.XLOOKUP(CONCATENATE(A206,L206),[1]MÁQUINAS!A:A,[1]MÁQUINAS!D:D))/24),
  _xlfn.XLOOKUP($A206,'[1]DATOS PBI Artículos'!A:A,'[1]DATOS PBI Artículos'!AU:AU))</f>
        <v>12.666666666666666</v>
      </c>
      <c r="K206" s="36">
        <f>_xlfn.XLOOKUP($A206,'[1]DATOS PBI Artículos'!A:A,'[1]DATOS PBI Artículos'!AV:AV)</f>
        <v>1.1547005383792517</v>
      </c>
      <c r="L206" s="33">
        <f>_xlfn.XLOOKUP(A206,[1]MÁQUINAS!B:B,[1]MÁQUINAS!C:C)</f>
        <v>142</v>
      </c>
      <c r="M206" s="34">
        <f t="array" ref="M206">_xlfn.XLOOKUP(A206,'[1]DATOS PBI Artículos'!A:A,'[1]DATOS PBI Artículos'!AX:$AX)</f>
        <v>9716.6839451668475</v>
      </c>
      <c r="N206" s="37">
        <f>IF(I206="DV",
E206,
IF(COUNTIF([1]CRITERIOS!$I$179:$I$199,$A206)&gt;=1,
_xlfn.XLOOKUP($A206,[1]CRITERIOS!$I$179:$I$199,[1]CRITERIOS!$J$179:$J$199),
IF(COUNTIF([1]CRITERIOS!$L$179:$L$199,$A206)&gt;=1,
_xlfn.CEILING.MATH(IF($M206&gt;$E206,
$E206,
IF($M206&lt;$E206/ROUNDDOWN([1]CRITERIOS!$M$16/_xlfn.XLOOKUP($C206,[1]CRITERIOS!$K$25:$K$42,[1]CRITERIOS!$M$25:$M$42),
1),
E206/ROUNDDOWN([1]CRITERIOS!$M$16/_xlfn.XLOOKUP($C206,[1]CRITERIOS!$K$25:$K$42,[1]CRITERIOS!$M$25:$M$42),
1),
$M206)),
_xlfn.XLOOKUP($A206,[1]CRITERIOS!$L$179:$L$200,[1]CRITERIOS!$M$179:$M$200)),
_xlfn.CEILING.MATH(IF($M206&gt;$E206,
$E206,
IF($M206&lt;$E206/ROUNDDOWN([1]CRITERIOS!$M$16/_xlfn.XLOOKUP($C206,[1]CRITERIOS!$K$25:$K$42,[1]CRITERIOS!$M$25:$M$42),
1),
E206/ROUNDDOWN([1]CRITERIOS!$M$16/_xlfn.XLOOKUP($C206,[1]CRITERIOS!$K$25:$K$42,[1]CRITERIOS!$M$25:$M$42),
1),
$M206)),_xlfn.XLOOKUP(A206,'[1]DATOS PBI Artículos'!A:A,'[1]DATOS PBI Artículos'!Z:Z
)))))</f>
        <v>10080</v>
      </c>
      <c r="Q206" s="38">
        <f>IF(AND(O206="",N206=0),
0,
   IF(COUNTIF([1]CRITERIOS!$F$179:$F$199,$A206)&gt;=1,
   1,
   IF(R206="MTO",
      $D206,
      ROUNDUP(
                    IF(($E206-SUMIF('[1]DATOS PBI Artículos'!A:A,A206,'[1]DATOS PBI Artículos'!X:X)+($V206-_xlfn.XLOOKUP(A206,'[1]DATOS PBI Artículos'!A:A,'[1]DATOS PBI Artículos'!W:W)))&lt;0,
                    0,
                    IF(($E206-SUMIF('[1]DATOS PBI Artículos'!A:A,A206,'[1]DATOS PBI Artículos'!X:X)+$V206-_xlfn.XLOOKUP($A206,'[1]DATOS PBI Artículos'!A:A,'[1]DATOS PBI Artículos'!W:W))/IF($O206="",$N206,$O206)&gt;ROUNDUP([1]CRITERIOS!$M$16/(IF(COUNTIF([1]CRITERIOS!$BG$11:$BG$201,L206)&gt;=1,_xlfn.XLOOKUP($C206,[1]CRITERIOS!$K$25:$K$42,[1]CRITERIOS!$M$25:$M$42),_xlfn.XLOOKUP($C206,[1]CRITERIOS!$K$25:$K$42,[1]CRITERIOS!$M$25:$M$42))),0),
                    ROUNDUP([1]CRITERIOS!$M$16/(IF(COUNTIF([1]CRITERIOS!$BG$11:$BG$201,$L206)&gt;=1,_xlfn.XLOOKUP($C206,[1]CRITERIOS!$K$25:$K$42,[1]CRITERIOS!$M$25:$M$42),_xlfn.XLOOKUP($C206,[1]CRITERIOS!$K$25:$K$42,[1]CRITERIOS!$M$25:$M$42))),0),
                    (E206+V206-SUMIF('[1]DATOS PBI Artículos'!A:A,A206,'[1]DATOS PBI Artículos'!X:X)-_xlfn.XLOOKUP(A206,'[1]DATOS PBI Artículos'!A:A,'[1]DATOS PBI Artículos'!W:W))/IF($O206="",$N206,$O206))),0))))</f>
        <v>1</v>
      </c>
      <c r="R206" s="33" t="str">
        <f>IF(U206&lt;&gt;"",U206,IF(F206="DV","MTO",IF(N206=0,"MTO",_xlfn.XLOOKUP(CONCATENATE(S206,T206),[1]CRITERIOS!$K$160:$K$168,[1]CRITERIOS!$N$160:$N$168))))</f>
        <v>MTS</v>
      </c>
      <c r="S206" s="33" t="str">
        <f>IF(G206="DV","MTO",IF(N206=0,"MTO",IF(OR(AND(N206=0,O206=""),IF(O206="",G206/N206,G206/O206)&gt;[1]CRITERIOS!$G$163),"MTO",IF(IF(O206="",G206/N206,G206/O206)&lt;[1]CRITERIOS!$H$161,"MTS","MTOS"))))</f>
        <v>MTOS</v>
      </c>
      <c r="T206" s="33" t="str">
        <f>IF(F206="DV","MTO",IF(OR(AND($N206=0,O206=""),$F206/$J206&gt;[1]CRITERIOS!$G$170,$F206="DV"),"MTO",IF($F206/$J206&lt;[1]CRITERIOS!$H$168,"MTS","MTOS")))</f>
        <v>MTS</v>
      </c>
      <c r="V206" s="34">
        <f t="shared" si="10"/>
        <v>5040.095691067706</v>
      </c>
      <c r="X206" s="34">
        <f t="shared" si="11"/>
        <v>15120.095691067705</v>
      </c>
      <c r="Y206" s="34">
        <f t="shared" si="12"/>
        <v>5169.3264602984764</v>
      </c>
      <c r="Z206" s="34">
        <f>IF($R206="MTO",
0,
($H206+$K206*($E206/[1]CRITERIOS!$M$16))/[1]CRITERIOS!$X$48)</f>
        <v>129.32646029847621</v>
      </c>
      <c r="AA206" s="34" t="e">
        <f>ROUNDUP(($Y206/_xlfn.XLOOKUP($A206,'[1]DATOS PBI Artículos'!$A$4:$A$4,'[1]DATOS PBI Artículos'!$Z$4:$Z$4))/_xlfn.XLOOKUP(_xlfn.XLOOKUP($A206,'[1]DATOS PBI Artículos'!$A$4:$A$4,'[1]DATOS PBI Artículos'!$Y$4:$Y$4),[1]CRITERIOS!$P$79:$P$123,[1]CRITERIOS!$S$79:$S$123,),0)</f>
        <v>#N/A</v>
      </c>
      <c r="AB206" s="33" t="e">
        <f t="array" ref="AB206">IF((E206+V206-_xlfn.XLOOKUP(A206,'[1]DATOS PBI Artículos'!$A$4:$A$4,'[1]DATOS PBI Artículos'!$W$4:$W$4))/N206&gt;ROUNDUP([1]CRITERIOS!$M$16/(IF(COUNTIF([1]CRITERIOS!$BG$11:$BG$201,L206)&gt;=1,_xlfn.XLOOKUP(ARTÍCULOS!L206,[1]CRITERIOS!$BG$11:$BG$201,[1]CRITERIOS!$BJ$11:$BJ$201),_xlfn.XLOOKUP(ARTÍCULOS!C206,[1]CRITERIOS!$K$25:$K$42,[1]CRITERIOS!$M$25:$M$42))),0),ROUNDUP([1]CRITERIOS!$M$16/(IF(COUNTIF([1]CRITERIOS!$BG$11:$BG$201,L206)&gt;=1,_xlfn.XLOOKUP(ARTÍCULOS!L206,[1]CRITERIOS!$BG$11:$BG$201:#REF!,[1]CRITERIOS!$BJ$11:$BJ$201),_xlfn.XLOOKUP(ARTÍCULOS!C206,[1]CRITERIOS!$K$25:$K$42,[1]CRITERIOS!$M$25:$M$42))),0),(E206+V206-_xlfn.XLOOKUP(A206,'[1]DATOS PBI Artículos'!$A$4:$A$4,'[1]DATOS PBI Artículos'!$W$4:$W$4))/N206)</f>
        <v>#N/A</v>
      </c>
      <c r="AC206" s="33" t="e">
        <f>IF(N206=0,"",(ROUNDUP((N206/2)/(_xlfn.XLOOKUP(A206,'[1]DATOS PBI Artículos'!$A$4:$A$4,'[1]DATOS PBI Artículos'!$Z$4:$Z$4)*_xlfn.XLOOKUP(_xlfn.XLOOKUP(A206,'[1]DATOS PBI Artículos'!$A$4:$A$4,'[1]DATOS PBI Artículos'!$Y$4:$Y$4),[1]CRITERIOS!$P$79:$P$123,[1]CRITERIOS!$S$79:$S$123)),0)*[1]CRITERIOS!$M$80*([1]CRITERIOS!$M$110/[1]CRITERIOS!$M$86)+(_xlfn.XLOOKUP(A206,'[1]DATOS PBI Artículos'!$A$4:$A$4,'[1]DATOS PBI Artículos'!$AA$4:$AA$4)*([1]CRITERIOS!$M$95+[1]CRITERIOS!$M$98)))/N206)</f>
        <v>#N/A</v>
      </c>
      <c r="AD206" s="33" t="e">
        <f>IF(N206=0,"",(ROUNDUP((N206/2)/(_xlfn.XLOOKUP(A206,'[1]DATOS PBI Artículos'!$A$4:$A$4,'[1]DATOS PBI Artículos'!$Z$4:$Z$4)*_xlfn.XLOOKUP(_xlfn.XLOOKUP(A206,'[1]DATOS PBI Artículos'!$A$4:$A$4,'[1]DATOS PBI Artículos'!$Y$4:$Y$4),[1]CRITERIOS!$P$79:$P$123,[1]CRITERIOS!$S$79:$S$123)),0)*[1]CRITERIOS!$M$80*([1]CRITERIOS!$M$89*[1]CRITERIOS!$M$92)+((_xlfn.XLOOKUP(A206,'[1]DATOS PBI Artículos'!$A$4:$A$4,'[1]DATOS PBI Artículos'!$AA$4:$AA$4)/2)*([1]CRITERIOS!$M$95+[1]CRITERIOS!$M$98)))/N206)</f>
        <v>#N/A</v>
      </c>
      <c r="AE206" s="39">
        <f>IF($R206="MTO","",
IF($H206=0,ROUNDUP(((_xlfn.XLOOKUP($A206,'[1]DATOS PBI Artículos'!$A:$A,'[1]DATOS PBI Artículos'!$AL:$AL))/(_xlfn.XLOOKUP($AF$1,[1]CRITERIOS!$S$16:$S$39,[1]CRITERIOS!$Y$16:$Y$39))*$J206+$Z206)/$G206,0)*$G206,
((_xlfn.XLOOKUP($A206,'[1]DATOS PBI Artículos'!$A:$A,'[1]DATOS PBI Artículos'!$AL:$AL))/(_xlfn.XLOOKUP($AF$1,[1]CRITERIOS!$S$16:$S$39,[1]CRITERIOS!$Y$16:$Y$39))*$J206+$Z206)))</f>
        <v>5040</v>
      </c>
      <c r="AG206" s="39">
        <f>IF($R206="MTO","",
IF($H206=0,ROUNDUP(((_xlfn.XLOOKUP($A206,'[1]DATOS PBI Artículos'!$A:$A,'[1]DATOS PBI Artículos'!$AM:$AM))/(_xlfn.XLOOKUP($AH$1,[1]CRITERIOS!$S$16:$S$39,[1]CRITERIOS!$Y$16:$Y$39))*$J206+$Z206)/$G206,0)*$G206,
((_xlfn.XLOOKUP($A206,'[1]DATOS PBI Artículos'!$A:$A,'[1]DATOS PBI Artículos'!$AM:$AM))/(_xlfn.XLOOKUP($AH$1,[1]CRITERIOS!$S$16:$S$39,[1]CRITERIOS!$Y$16:$Y$39))*$J206+$Z206)))</f>
        <v>5040</v>
      </c>
      <c r="AI206" s="39">
        <f>IF($R206="MTO","",
IF($H206=0,ROUNDUP(((_xlfn.XLOOKUP($A206,'[1]DATOS PBI Artículos'!$A:$A,'[1]DATOS PBI Artículos'!$AN:$AN))/(_xlfn.XLOOKUP($AJ$1,[1]CRITERIOS!$S$16:$S$39,[1]CRITERIOS!$Y$16:$Y$39))*$J206+$Z206)/$G206,0)*$G206,
((_xlfn.XLOOKUP($A206,'[1]DATOS PBI Artículos'!$A:$A,'[1]DATOS PBI Artículos'!$AN:$AN))/(_xlfn.XLOOKUP($AJ$1,[1]CRITERIOS!$S$16:$S$39,[1]CRITERIOS!$Y$16:$Y$39))*$J206+$Z206)))</f>
        <v>5040</v>
      </c>
      <c r="AK206" s="39">
        <f>IF($R206="MTO","",
IF($H206=0,ROUNDUP(((_xlfn.XLOOKUP($A206,'[1]DATOS PBI Artículos'!$A:$A,'[1]DATOS PBI Artículos'!$AO:$AO))/(_xlfn.XLOOKUP($AL$1,[1]CRITERIOS!$S$16:$S$39,[1]CRITERIOS!$Y$16:$Y$39))*$J206+$Z206)/$G206,0)*$G206,
((_xlfn.XLOOKUP($A206,'[1]DATOS PBI Artículos'!$A:$A,'[1]DATOS PBI Artículos'!$AO:$AO))/(_xlfn.XLOOKUP($AL$1,[1]CRITERIOS!$S$16:$S$39,[1]CRITERIOS!$Y$16:$Y$39))*$J206+$Z206)))</f>
        <v>5040</v>
      </c>
    </row>
    <row r="207" spans="1:37" ht="25.8" x14ac:dyDescent="0.5">
      <c r="A207" s="32">
        <v>410997</v>
      </c>
      <c r="B207" s="33">
        <f>_xlfn.XLOOKUP($A207,'[1]DATOS PBI Artículos'!A:A,'[1]DATOS PBI Artículos'!B:B)</f>
        <v>0</v>
      </c>
      <c r="C207" s="33" t="str">
        <f>_xlfn.XLOOKUP($A207,'[1]DATOS PBI Artículos'!A:A,'[1]DATOS PBI Artículos'!C:C)</f>
        <v>UA01</v>
      </c>
      <c r="D207" s="33">
        <f>_xlfn.XLOOKUP(A207,'[1]DATOS PBI Artículos'!A:A,'[1]DATOS PBI Artículos'!T:T)</f>
        <v>1</v>
      </c>
      <c r="E207" s="34">
        <f>IF(_xlfn.XLOOKUP($A207,'[1]DATOS PBI Artículos'!A:A,'[1]DATOS PBI Artículos'!AK:AK)="",_xlfn.XLOOKUP($A207,'[1]DATOS PBI Artículos'!A:A,'[1]DATOS PBI Artículos'!AJ:AJ),_xlfn.XLOOKUP($A207,'[1]DATOS PBI Artículos'!A:A,'[1]DATOS PBI Artículos'!AK:AK))</f>
        <v>10000</v>
      </c>
      <c r="F207" s="35">
        <f>_xlfn.XLOOKUP($A207,'[1]DATOS PBI Artículos'!A:A,'[1]DATOS PBI Artículos'!AP:AP)</f>
        <v>75</v>
      </c>
      <c r="G207" s="34">
        <f>_xlfn.XLOOKUP($A207,'[1]DATOS PBI Artículos'!A:A,'[1]DATOS PBI Artículos'!AR:AR)</f>
        <v>10000</v>
      </c>
      <c r="H207" s="34">
        <f>_xlfn.XLOOKUP($A207,'[1]DATOS PBI Artículos'!A:A,'[1]DATOS PBI Artículos'!AT:AT)</f>
        <v>0</v>
      </c>
      <c r="I207" s="34">
        <f>_xlfn.XLOOKUP($A207,'[1]DATOS PBI Artículos'!A:A,'[1]DATOS PBI Artículos'!AS:AS)</f>
        <v>10000</v>
      </c>
      <c r="J207" s="35">
        <f>IF(COUNTIF([1]CRITERIOS!$F$179:$F$199,$A207)&gt;=1,
 IF(O207&lt;&gt;"",
    (O207/_xlfn.XLOOKUP(CONCATENATE(A207,L207),[1]MÁQUINAS!A:A,[1]MÁQUINAS!D:D))/24,
    (N207/_xlfn.XLOOKUP(CONCATENATE(A207,L207),[1]MÁQUINAS!A:A,[1]MÁQUINAS!D:D))/24),
  _xlfn.XLOOKUP($A207,'[1]DATOS PBI Artículos'!A:A,'[1]DATOS PBI Artículos'!AU:AU))</f>
        <v>36</v>
      </c>
      <c r="K207" s="36">
        <f>_xlfn.XLOOKUP($A207,'[1]DATOS PBI Artículos'!A:A,'[1]DATOS PBI Artículos'!AV:AV)</f>
        <v>0</v>
      </c>
      <c r="L207" s="33">
        <f>_xlfn.XLOOKUP(A207,[1]MÁQUINAS!B:B,[1]MÁQUINAS!C:C)</f>
        <v>401</v>
      </c>
      <c r="M207" s="34">
        <f t="array" ref="M207">_xlfn.XLOOKUP(A207,'[1]DATOS PBI Artículos'!A:A,'[1]DATOS PBI Artículos'!AX:$AX)</f>
        <v>23421.737136919885</v>
      </c>
      <c r="N207" s="37">
        <f>IF(I207="DV",
E207,
IF(COUNTIF([1]CRITERIOS!$I$179:$I$199,$A207)&gt;=1,
_xlfn.XLOOKUP($A207,[1]CRITERIOS!$I$179:$I$199,[1]CRITERIOS!$J$179:$J$199),
IF(COUNTIF([1]CRITERIOS!$L$179:$L$199,$A207)&gt;=1,
_xlfn.CEILING.MATH(IF($M207&gt;$E207,
$E207,
IF($M207&lt;$E207/ROUNDDOWN([1]CRITERIOS!$M$16/_xlfn.XLOOKUP($C207,[1]CRITERIOS!$K$25:$K$42,[1]CRITERIOS!$M$25:$M$42),
1),
E207/ROUNDDOWN([1]CRITERIOS!$M$16/_xlfn.XLOOKUP($C207,[1]CRITERIOS!$K$25:$K$42,[1]CRITERIOS!$M$25:$M$42),
1),
$M207)),
_xlfn.XLOOKUP($A207,[1]CRITERIOS!$L$179:$L$200,[1]CRITERIOS!$M$179:$M$200)),
_xlfn.CEILING.MATH(IF($M207&gt;$E207,
$E207,
IF($M207&lt;$E207/ROUNDDOWN([1]CRITERIOS!$M$16/_xlfn.XLOOKUP($C207,[1]CRITERIOS!$K$25:$K$42,[1]CRITERIOS!$M$25:$M$42),
1),
E207/ROUNDDOWN([1]CRITERIOS!$M$16/_xlfn.XLOOKUP($C207,[1]CRITERIOS!$K$25:$K$42,[1]CRITERIOS!$M$25:$M$42),
1),
$M207)),_xlfn.XLOOKUP(A207,'[1]DATOS PBI Artículos'!A:A,'[1]DATOS PBI Artículos'!Z:Z
)))))</f>
        <v>10000</v>
      </c>
      <c r="Q207" s="38">
        <f>IF(AND(O207="",N207=0),
0,
   IF(COUNTIF([1]CRITERIOS!$F$179:$F$199,$A207)&gt;=1,
   1,
   IF(R207="MTO",
      $D207,
      ROUNDUP(
                    IF(($E207-SUMIF('[1]DATOS PBI Artículos'!A:A,A207,'[1]DATOS PBI Artículos'!X:X)+($V207-_xlfn.XLOOKUP(A207,'[1]DATOS PBI Artículos'!A:A,'[1]DATOS PBI Artículos'!W:W)))&lt;0,
                    0,
                    IF(($E207-SUMIF('[1]DATOS PBI Artículos'!A:A,A207,'[1]DATOS PBI Artículos'!X:X)+$V207-_xlfn.XLOOKUP($A207,'[1]DATOS PBI Artículos'!A:A,'[1]DATOS PBI Artículos'!W:W))/IF($O207="",$N207,$O207)&gt;ROUNDUP([1]CRITERIOS!$M$16/(IF(COUNTIF([1]CRITERIOS!$BG$11:$BG$201,L207)&gt;=1,_xlfn.XLOOKUP($C207,[1]CRITERIOS!$K$25:$K$42,[1]CRITERIOS!$M$25:$M$42),_xlfn.XLOOKUP($C207,[1]CRITERIOS!$K$25:$K$42,[1]CRITERIOS!$M$25:$M$42))),0),
                    ROUNDUP([1]CRITERIOS!$M$16/(IF(COUNTIF([1]CRITERIOS!$BG$11:$BG$201,$L207)&gt;=1,_xlfn.XLOOKUP($C207,[1]CRITERIOS!$K$25:$K$42,[1]CRITERIOS!$M$25:$M$42),_xlfn.XLOOKUP($C207,[1]CRITERIOS!$K$25:$K$42,[1]CRITERIOS!$M$25:$M$42))),0),
                    (E207+V207-SUMIF('[1]DATOS PBI Artículos'!A:A,A207,'[1]DATOS PBI Artículos'!X:X)-_xlfn.XLOOKUP(A207,'[1]DATOS PBI Artículos'!A:A,'[1]DATOS PBI Artículos'!W:W))/IF($O207="",$N207,$O207))),0))))</f>
        <v>1</v>
      </c>
      <c r="R207" s="33" t="str">
        <f>IF(U207&lt;&gt;"",U207,IF(F207="DV","MTO",IF(N207=0,"MTO",_xlfn.XLOOKUP(CONCATENATE(S207,T207),[1]CRITERIOS!$K$160:$K$168,[1]CRITERIOS!$N$160:$N$168))))</f>
        <v>MTO</v>
      </c>
      <c r="S207" s="33" t="str">
        <f>IF(G207="DV","MTO",IF(N207=0,"MTO",IF(OR(AND(N207=0,O207=""),IF(O207="",G207/N207,G207/O207)&gt;[1]CRITERIOS!$G$163),"MTO",IF(IF(O207="",G207/N207,G207/O207)&lt;[1]CRITERIOS!$H$161,"MTS","MTOS"))))</f>
        <v>MTO</v>
      </c>
      <c r="T207" s="33" t="str">
        <f>IF(F207="DV","MTO",IF(OR(AND($N207=0,O207=""),$F207/$J207&gt;[1]CRITERIOS!$G$170,$F207="DV"),"MTO",IF($F207/$J207&lt;[1]CRITERIOS!$H$168,"MTS","MTOS")))</f>
        <v>MTO</v>
      </c>
      <c r="V207" s="34" t="str">
        <f t="shared" si="10"/>
        <v/>
      </c>
      <c r="X207" s="34">
        <f t="shared" si="11"/>
        <v>0</v>
      </c>
      <c r="Y207" s="34">
        <f t="shared" si="12"/>
        <v>0</v>
      </c>
      <c r="Z207" s="34">
        <f>IF($R207="MTO",
0,
($H207+$K207*($E207/[1]CRITERIOS!$M$16))/[1]CRITERIOS!$X$48)</f>
        <v>0</v>
      </c>
      <c r="AA207" s="34" t="e">
        <f>ROUNDUP(($Y207/_xlfn.XLOOKUP($A207,'[1]DATOS PBI Artículos'!$A$4:$A$4,'[1]DATOS PBI Artículos'!$Z$4:$Z$4))/_xlfn.XLOOKUP(_xlfn.XLOOKUP($A207,'[1]DATOS PBI Artículos'!$A$4:$A$4,'[1]DATOS PBI Artículos'!$Y$4:$Y$4),[1]CRITERIOS!$P$79:$P$123,[1]CRITERIOS!$S$79:$S$123,),0)</f>
        <v>#N/A</v>
      </c>
      <c r="AB207" s="33" t="e">
        <f t="array" ref="AB207">IF((E207+V207-_xlfn.XLOOKUP(A207,'[1]DATOS PBI Artículos'!$A$4:$A$4,'[1]DATOS PBI Artículos'!$W$4:$W$4))/N207&gt;ROUNDUP([1]CRITERIOS!$M$16/(IF(COUNTIF([1]CRITERIOS!$BG$11:$BG$201,L207)&gt;=1,_xlfn.XLOOKUP(ARTÍCULOS!L207,[1]CRITERIOS!$BG$11:$BG$201,[1]CRITERIOS!$BJ$11:$BJ$201),_xlfn.XLOOKUP(ARTÍCULOS!C207,[1]CRITERIOS!$K$25:$K$42,[1]CRITERIOS!$M$25:$M$42))),0),ROUNDUP([1]CRITERIOS!$M$16/(IF(COUNTIF([1]CRITERIOS!$BG$11:$BG$201,L207)&gt;=1,_xlfn.XLOOKUP(ARTÍCULOS!L207,[1]CRITERIOS!$BG$11:$BG$201:#REF!,[1]CRITERIOS!$BJ$11:$BJ$201),_xlfn.XLOOKUP(ARTÍCULOS!C207,[1]CRITERIOS!$K$25:$K$42,[1]CRITERIOS!$M$25:$M$42))),0),(E207+V207-_xlfn.XLOOKUP(A207,'[1]DATOS PBI Artículos'!$A$4:$A$4,'[1]DATOS PBI Artículos'!$W$4:$W$4))/N207)</f>
        <v>#VALUE!</v>
      </c>
      <c r="AC207" s="33" t="e">
        <f>IF(N207=0,"",(ROUNDUP((N207/2)/(_xlfn.XLOOKUP(A207,'[1]DATOS PBI Artículos'!$A$4:$A$4,'[1]DATOS PBI Artículos'!$Z$4:$Z$4)*_xlfn.XLOOKUP(_xlfn.XLOOKUP(A207,'[1]DATOS PBI Artículos'!$A$4:$A$4,'[1]DATOS PBI Artículos'!$Y$4:$Y$4),[1]CRITERIOS!$P$79:$P$123,[1]CRITERIOS!$S$79:$S$123)),0)*[1]CRITERIOS!$M$80*([1]CRITERIOS!$M$110/[1]CRITERIOS!$M$86)+(_xlfn.XLOOKUP(A207,'[1]DATOS PBI Artículos'!$A$4:$A$4,'[1]DATOS PBI Artículos'!$AA$4:$AA$4)*([1]CRITERIOS!$M$95+[1]CRITERIOS!$M$98)))/N207)</f>
        <v>#N/A</v>
      </c>
      <c r="AD207" s="33" t="e">
        <f>IF(N207=0,"",(ROUNDUP((N207/2)/(_xlfn.XLOOKUP(A207,'[1]DATOS PBI Artículos'!$A$4:$A$4,'[1]DATOS PBI Artículos'!$Z$4:$Z$4)*_xlfn.XLOOKUP(_xlfn.XLOOKUP(A207,'[1]DATOS PBI Artículos'!$A$4:$A$4,'[1]DATOS PBI Artículos'!$Y$4:$Y$4),[1]CRITERIOS!$P$79:$P$123,[1]CRITERIOS!$S$79:$S$123)),0)*[1]CRITERIOS!$M$80*([1]CRITERIOS!$M$89*[1]CRITERIOS!$M$92)+((_xlfn.XLOOKUP(A207,'[1]DATOS PBI Artículos'!$A$4:$A$4,'[1]DATOS PBI Artículos'!$AA$4:$AA$4)/2)*([1]CRITERIOS!$M$95+[1]CRITERIOS!$M$98)))/N207)</f>
        <v>#N/A</v>
      </c>
      <c r="AE207" s="39" t="str">
        <f>IF($R207="MTO","",
IF($H207=0,ROUNDUP(((_xlfn.XLOOKUP($A207,'[1]DATOS PBI Artículos'!$A:$A,'[1]DATOS PBI Artículos'!$AL:$AL))/(_xlfn.XLOOKUP($AF$1,[1]CRITERIOS!$S$16:$S$39,[1]CRITERIOS!$Y$16:$Y$39))*$J207+$Z207)/$G207,0)*$G207,
((_xlfn.XLOOKUP($A207,'[1]DATOS PBI Artículos'!$A:$A,'[1]DATOS PBI Artículos'!$AL:$AL))/(_xlfn.XLOOKUP($AF$1,[1]CRITERIOS!$S$16:$S$39,[1]CRITERIOS!$Y$16:$Y$39))*$J207+$Z207)))</f>
        <v/>
      </c>
      <c r="AG207" s="39" t="str">
        <f>IF($R207="MTO","",
IF($H207=0,ROUNDUP(((_xlfn.XLOOKUP($A207,'[1]DATOS PBI Artículos'!$A:$A,'[1]DATOS PBI Artículos'!$AM:$AM))/(_xlfn.XLOOKUP($AH$1,[1]CRITERIOS!$S$16:$S$39,[1]CRITERIOS!$Y$16:$Y$39))*$J207+$Z207)/$G207,0)*$G207,
((_xlfn.XLOOKUP($A207,'[1]DATOS PBI Artículos'!$A:$A,'[1]DATOS PBI Artículos'!$AM:$AM))/(_xlfn.XLOOKUP($AH$1,[1]CRITERIOS!$S$16:$S$39,[1]CRITERIOS!$Y$16:$Y$39))*$J207+$Z207)))</f>
        <v/>
      </c>
      <c r="AI207" s="39" t="str">
        <f>IF($R207="MTO","",
IF($H207=0,ROUNDUP(((_xlfn.XLOOKUP($A207,'[1]DATOS PBI Artículos'!$A:$A,'[1]DATOS PBI Artículos'!$AN:$AN))/(_xlfn.XLOOKUP($AJ$1,[1]CRITERIOS!$S$16:$S$39,[1]CRITERIOS!$Y$16:$Y$39))*$J207+$Z207)/$G207,0)*$G207,
((_xlfn.XLOOKUP($A207,'[1]DATOS PBI Artículos'!$A:$A,'[1]DATOS PBI Artículos'!$AN:$AN))/(_xlfn.XLOOKUP($AJ$1,[1]CRITERIOS!$S$16:$S$39,[1]CRITERIOS!$Y$16:$Y$39))*$J207+$Z207)))</f>
        <v/>
      </c>
      <c r="AK207" s="39" t="str">
        <f>IF($R207="MTO","",
IF($H207=0,ROUNDUP(((_xlfn.XLOOKUP($A207,'[1]DATOS PBI Artículos'!$A:$A,'[1]DATOS PBI Artículos'!$AO:$AO))/(_xlfn.XLOOKUP($AL$1,[1]CRITERIOS!$S$16:$S$39,[1]CRITERIOS!$Y$16:$Y$39))*$J207+$Z207)/$G207,0)*$G207,
((_xlfn.XLOOKUP($A207,'[1]DATOS PBI Artículos'!$A:$A,'[1]DATOS PBI Artículos'!$AO:$AO))/(_xlfn.XLOOKUP($AL$1,[1]CRITERIOS!$S$16:$S$39,[1]CRITERIOS!$Y$16:$Y$39))*$J207+$Z207)))</f>
        <v/>
      </c>
    </row>
    <row r="208" spans="1:37" ht="25.8" x14ac:dyDescent="0.5">
      <c r="A208" s="32">
        <v>413115</v>
      </c>
      <c r="B208" s="33">
        <f>_xlfn.XLOOKUP($A208,'[1]DATOS PBI Artículos'!A:A,'[1]DATOS PBI Artículos'!B:B)</f>
        <v>0</v>
      </c>
      <c r="C208" s="33" t="str">
        <f>_xlfn.XLOOKUP($A208,'[1]DATOS PBI Artículos'!A:A,'[1]DATOS PBI Artículos'!C:C)</f>
        <v>UA03</v>
      </c>
      <c r="D208" s="33">
        <f>_xlfn.XLOOKUP(A208,'[1]DATOS PBI Artículos'!A:A,'[1]DATOS PBI Artículos'!T:T)</f>
        <v>1</v>
      </c>
      <c r="E208" s="34">
        <f>IF(_xlfn.XLOOKUP($A208,'[1]DATOS PBI Artículos'!A:A,'[1]DATOS PBI Artículos'!AK:AK)="",_xlfn.XLOOKUP($A208,'[1]DATOS PBI Artículos'!A:A,'[1]DATOS PBI Artículos'!AJ:AJ),_xlfn.XLOOKUP($A208,'[1]DATOS PBI Artículos'!A:A,'[1]DATOS PBI Artículos'!AK:AK))</f>
        <v>10000</v>
      </c>
      <c r="F208" s="35">
        <f>_xlfn.XLOOKUP($A208,'[1]DATOS PBI Artículos'!A:A,'[1]DATOS PBI Artículos'!AP:AP)</f>
        <v>75</v>
      </c>
      <c r="G208" s="34">
        <f>_xlfn.XLOOKUP($A208,'[1]DATOS PBI Artículos'!A:A,'[1]DATOS PBI Artículos'!AR:AR)</f>
        <v>10000</v>
      </c>
      <c r="H208" s="34">
        <f>_xlfn.XLOOKUP($A208,'[1]DATOS PBI Artículos'!A:A,'[1]DATOS PBI Artículos'!AT:AT)</f>
        <v>0</v>
      </c>
      <c r="I208" s="34">
        <f>_xlfn.XLOOKUP($A208,'[1]DATOS PBI Artículos'!A:A,'[1]DATOS PBI Artículos'!AS:AS)</f>
        <v>10000</v>
      </c>
      <c r="J208" s="35">
        <f>IF(COUNTIF([1]CRITERIOS!$F$179:$F$199,$A208)&gt;=1,
 IF(O208&lt;&gt;"",
    (O208/_xlfn.XLOOKUP(CONCATENATE(A208,L208),[1]MÁQUINAS!A:A,[1]MÁQUINAS!D:D))/24,
    (N208/_xlfn.XLOOKUP(CONCATENATE(A208,L208),[1]MÁQUINAS!A:A,[1]MÁQUINAS!D:D))/24),
  _xlfn.XLOOKUP($A208,'[1]DATOS PBI Artículos'!A:A,'[1]DATOS PBI Artículos'!AU:AU))</f>
        <v>12.571428571428571</v>
      </c>
      <c r="K208" s="36">
        <f>_xlfn.XLOOKUP($A208,'[1]DATOS PBI Artículos'!A:A,'[1]DATOS PBI Artículos'!AV:AV)</f>
        <v>0.97590007294853331</v>
      </c>
      <c r="L208" s="33">
        <f>_xlfn.XLOOKUP(A208,[1]MÁQUINAS!B:B,[1]MÁQUINAS!C:C)</f>
        <v>142</v>
      </c>
      <c r="M208" s="34">
        <f t="array" ref="M208">_xlfn.XLOOKUP(A208,'[1]DATOS PBI Artículos'!A:A,'[1]DATOS PBI Artículos'!AX:$AX)</f>
        <v>12233.54581716684</v>
      </c>
      <c r="N208" s="37">
        <f>IF(I208="DV",
E208,
IF(COUNTIF([1]CRITERIOS!$I$179:$I$199,$A208)&gt;=1,
_xlfn.XLOOKUP($A208,[1]CRITERIOS!$I$179:$I$199,[1]CRITERIOS!$J$179:$J$199),
IF(COUNTIF([1]CRITERIOS!$L$179:$L$199,$A208)&gt;=1,
_xlfn.CEILING.MATH(IF($M208&gt;$E208,
$E208,
IF($M208&lt;$E208/ROUNDDOWN([1]CRITERIOS!$M$16/_xlfn.XLOOKUP($C208,[1]CRITERIOS!$K$25:$K$42,[1]CRITERIOS!$M$25:$M$42),
1),
E208/ROUNDDOWN([1]CRITERIOS!$M$16/_xlfn.XLOOKUP($C208,[1]CRITERIOS!$K$25:$K$42,[1]CRITERIOS!$M$25:$M$42),
1),
$M208)),
_xlfn.XLOOKUP($A208,[1]CRITERIOS!$L$179:$L$200,[1]CRITERIOS!$M$179:$M$200)),
_xlfn.CEILING.MATH(IF($M208&gt;$E208,
$E208,
IF($M208&lt;$E208/ROUNDDOWN([1]CRITERIOS!$M$16/_xlfn.XLOOKUP($C208,[1]CRITERIOS!$K$25:$K$42,[1]CRITERIOS!$M$25:$M$42),
1),
E208/ROUNDDOWN([1]CRITERIOS!$M$16/_xlfn.XLOOKUP($C208,[1]CRITERIOS!$K$25:$K$42,[1]CRITERIOS!$M$25:$M$42),
1),
$M208)),_xlfn.XLOOKUP(A208,'[1]DATOS PBI Artículos'!A:A,'[1]DATOS PBI Artículos'!Z:Z
)))))</f>
        <v>10000</v>
      </c>
      <c r="Q208" s="38">
        <f>IF(AND(O208="",N208=0),
0,
   IF(COUNTIF([1]CRITERIOS!$F$179:$F$199,$A208)&gt;=1,
   1,
   IF(R208="MTO",
      $D208,
      ROUNDUP(
                    IF(($E208-SUMIF('[1]DATOS PBI Artículos'!A:A,A208,'[1]DATOS PBI Artículos'!X:X)+($V208-_xlfn.XLOOKUP(A208,'[1]DATOS PBI Artículos'!A:A,'[1]DATOS PBI Artículos'!W:W)))&lt;0,
                    0,
                    IF(($E208-SUMIF('[1]DATOS PBI Artículos'!A:A,A208,'[1]DATOS PBI Artículos'!X:X)+$V208-_xlfn.XLOOKUP($A208,'[1]DATOS PBI Artículos'!A:A,'[1]DATOS PBI Artículos'!W:W))/IF($O208="",$N208,$O208)&gt;ROUNDUP([1]CRITERIOS!$M$16/(IF(COUNTIF([1]CRITERIOS!$BG$11:$BG$201,L208)&gt;=1,_xlfn.XLOOKUP($C208,[1]CRITERIOS!$K$25:$K$42,[1]CRITERIOS!$M$25:$M$42),_xlfn.XLOOKUP($C208,[1]CRITERIOS!$K$25:$K$42,[1]CRITERIOS!$M$25:$M$42))),0),
                    ROUNDUP([1]CRITERIOS!$M$16/(IF(COUNTIF([1]CRITERIOS!$BG$11:$BG$201,$L208)&gt;=1,_xlfn.XLOOKUP($C208,[1]CRITERIOS!$K$25:$K$42,[1]CRITERIOS!$M$25:$M$42),_xlfn.XLOOKUP($C208,[1]CRITERIOS!$K$25:$K$42,[1]CRITERIOS!$M$25:$M$42))),0),
                    (E208+V208-SUMIF('[1]DATOS PBI Artículos'!A:A,A208,'[1]DATOS PBI Artículos'!X:X)-_xlfn.XLOOKUP(A208,'[1]DATOS PBI Artículos'!A:A,'[1]DATOS PBI Artículos'!W:W))/IF($O208="",$N208,$O208))),0))))</f>
        <v>1</v>
      </c>
      <c r="R208" s="33" t="str">
        <f>IF(U208&lt;&gt;"",U208,IF(F208="DV","MTO",IF(N208=0,"MTO",_xlfn.XLOOKUP(CONCATENATE(S208,T208),[1]CRITERIOS!$K$160:$K$168,[1]CRITERIOS!$N$160:$N$168))))</f>
        <v>MTO</v>
      </c>
      <c r="S208" s="33" t="str">
        <f>IF(G208="DV","MTO",IF(N208=0,"MTO",IF(OR(AND(N208=0,O208=""),IF(O208="",G208/N208,G208/O208)&gt;[1]CRITERIOS!$G$163),"MTO",IF(IF(O208="",G208/N208,G208/O208)&lt;[1]CRITERIOS!$H$161,"MTS","MTOS"))))</f>
        <v>MTO</v>
      </c>
      <c r="T208" s="33" t="str">
        <f>IF(F208="DV","MTO",IF(OR(AND($N208=0,O208=""),$F208/$J208&gt;[1]CRITERIOS!$G$170,$F208="DV"),"MTO",IF($F208/$J208&lt;[1]CRITERIOS!$H$168,"MTS","MTOS")))</f>
        <v>MTO</v>
      </c>
      <c r="V208" s="34" t="str">
        <f t="shared" si="10"/>
        <v/>
      </c>
      <c r="X208" s="34">
        <f t="shared" si="11"/>
        <v>0</v>
      </c>
      <c r="Y208" s="34">
        <f t="shared" si="12"/>
        <v>0</v>
      </c>
      <c r="Z208" s="34">
        <f>IF($R208="MTO",
0,
($H208+$K208*($E208/[1]CRITERIOS!$M$16))/[1]CRITERIOS!$X$48)</f>
        <v>0</v>
      </c>
      <c r="AA208" s="34" t="e">
        <f>ROUNDUP(($Y208/_xlfn.XLOOKUP($A208,'[1]DATOS PBI Artículos'!$A$4:$A$4,'[1]DATOS PBI Artículos'!$Z$4:$Z$4))/_xlfn.XLOOKUP(_xlfn.XLOOKUP($A208,'[1]DATOS PBI Artículos'!$A$4:$A$4,'[1]DATOS PBI Artículos'!$Y$4:$Y$4),[1]CRITERIOS!$P$79:$P$123,[1]CRITERIOS!$S$79:$S$123,),0)</f>
        <v>#N/A</v>
      </c>
      <c r="AB208" s="33" t="e">
        <f t="array" ref="AB208">IF((E208+V208-_xlfn.XLOOKUP(A208,'[1]DATOS PBI Artículos'!$A$4:$A$4,'[1]DATOS PBI Artículos'!$W$4:$W$4))/N208&gt;ROUNDUP([1]CRITERIOS!$M$16/(IF(COUNTIF([1]CRITERIOS!$BG$11:$BG$201,L208)&gt;=1,_xlfn.XLOOKUP(ARTÍCULOS!L208,[1]CRITERIOS!$BG$11:$BG$201,[1]CRITERIOS!$BJ$11:$BJ$201),_xlfn.XLOOKUP(ARTÍCULOS!C208,[1]CRITERIOS!$K$25:$K$42,[1]CRITERIOS!$M$25:$M$42))),0),ROUNDUP([1]CRITERIOS!$M$16/(IF(COUNTIF([1]CRITERIOS!$BG$11:$BG$201,L208)&gt;=1,_xlfn.XLOOKUP(ARTÍCULOS!L208,[1]CRITERIOS!$BG$11:$BG$201:#REF!,[1]CRITERIOS!$BJ$11:$BJ$201),_xlfn.XLOOKUP(ARTÍCULOS!C208,[1]CRITERIOS!$K$25:$K$42,[1]CRITERIOS!$M$25:$M$42))),0),(E208+V208-_xlfn.XLOOKUP(A208,'[1]DATOS PBI Artículos'!$A$4:$A$4,'[1]DATOS PBI Artículos'!$W$4:$W$4))/N208)</f>
        <v>#VALUE!</v>
      </c>
      <c r="AC208" s="33" t="e">
        <f>IF(N208=0,"",(ROUNDUP((N208/2)/(_xlfn.XLOOKUP(A208,'[1]DATOS PBI Artículos'!$A$4:$A$4,'[1]DATOS PBI Artículos'!$Z$4:$Z$4)*_xlfn.XLOOKUP(_xlfn.XLOOKUP(A208,'[1]DATOS PBI Artículos'!$A$4:$A$4,'[1]DATOS PBI Artículos'!$Y$4:$Y$4),[1]CRITERIOS!$P$79:$P$123,[1]CRITERIOS!$S$79:$S$123)),0)*[1]CRITERIOS!$M$80*([1]CRITERIOS!$M$110/[1]CRITERIOS!$M$86)+(_xlfn.XLOOKUP(A208,'[1]DATOS PBI Artículos'!$A$4:$A$4,'[1]DATOS PBI Artículos'!$AA$4:$AA$4)*([1]CRITERIOS!$M$95+[1]CRITERIOS!$M$98)))/N208)</f>
        <v>#N/A</v>
      </c>
      <c r="AD208" s="33" t="e">
        <f>IF(N208=0,"",(ROUNDUP((N208/2)/(_xlfn.XLOOKUP(A208,'[1]DATOS PBI Artículos'!$A$4:$A$4,'[1]DATOS PBI Artículos'!$Z$4:$Z$4)*_xlfn.XLOOKUP(_xlfn.XLOOKUP(A208,'[1]DATOS PBI Artículos'!$A$4:$A$4,'[1]DATOS PBI Artículos'!$Y$4:$Y$4),[1]CRITERIOS!$P$79:$P$123,[1]CRITERIOS!$S$79:$S$123)),0)*[1]CRITERIOS!$M$80*([1]CRITERIOS!$M$89*[1]CRITERIOS!$M$92)+((_xlfn.XLOOKUP(A208,'[1]DATOS PBI Artículos'!$A$4:$A$4,'[1]DATOS PBI Artículos'!$AA$4:$AA$4)/2)*([1]CRITERIOS!$M$95+[1]CRITERIOS!$M$98)))/N208)</f>
        <v>#N/A</v>
      </c>
      <c r="AE208" s="39" t="str">
        <f>IF($R208="MTO","",
IF($H208=0,ROUNDUP(((_xlfn.XLOOKUP($A208,'[1]DATOS PBI Artículos'!$A:$A,'[1]DATOS PBI Artículos'!$AL:$AL))/(_xlfn.XLOOKUP($AF$1,[1]CRITERIOS!$S$16:$S$39,[1]CRITERIOS!$Y$16:$Y$39))*$J208+$Z208)/$G208,0)*$G208,
((_xlfn.XLOOKUP($A208,'[1]DATOS PBI Artículos'!$A:$A,'[1]DATOS PBI Artículos'!$AL:$AL))/(_xlfn.XLOOKUP($AF$1,[1]CRITERIOS!$S$16:$S$39,[1]CRITERIOS!$Y$16:$Y$39))*$J208+$Z208)))</f>
        <v/>
      </c>
      <c r="AG208" s="39" t="str">
        <f>IF($R208="MTO","",
IF($H208=0,ROUNDUP(((_xlfn.XLOOKUP($A208,'[1]DATOS PBI Artículos'!$A:$A,'[1]DATOS PBI Artículos'!$AM:$AM))/(_xlfn.XLOOKUP($AH$1,[1]CRITERIOS!$S$16:$S$39,[1]CRITERIOS!$Y$16:$Y$39))*$J208+$Z208)/$G208,0)*$G208,
((_xlfn.XLOOKUP($A208,'[1]DATOS PBI Artículos'!$A:$A,'[1]DATOS PBI Artículos'!$AM:$AM))/(_xlfn.XLOOKUP($AH$1,[1]CRITERIOS!$S$16:$S$39,[1]CRITERIOS!$Y$16:$Y$39))*$J208+$Z208)))</f>
        <v/>
      </c>
      <c r="AI208" s="39" t="str">
        <f>IF($R208="MTO","",
IF($H208=0,ROUNDUP(((_xlfn.XLOOKUP($A208,'[1]DATOS PBI Artículos'!$A:$A,'[1]DATOS PBI Artículos'!$AN:$AN))/(_xlfn.XLOOKUP($AJ$1,[1]CRITERIOS!$S$16:$S$39,[1]CRITERIOS!$Y$16:$Y$39))*$J208+$Z208)/$G208,0)*$G208,
((_xlfn.XLOOKUP($A208,'[1]DATOS PBI Artículos'!$A:$A,'[1]DATOS PBI Artículos'!$AN:$AN))/(_xlfn.XLOOKUP($AJ$1,[1]CRITERIOS!$S$16:$S$39,[1]CRITERIOS!$Y$16:$Y$39))*$J208+$Z208)))</f>
        <v/>
      </c>
      <c r="AK208" s="39" t="str">
        <f>IF($R208="MTO","",
IF($H208=0,ROUNDUP(((_xlfn.XLOOKUP($A208,'[1]DATOS PBI Artículos'!$A:$A,'[1]DATOS PBI Artículos'!$AO:$AO))/(_xlfn.XLOOKUP($AL$1,[1]CRITERIOS!$S$16:$S$39,[1]CRITERIOS!$Y$16:$Y$39))*$J208+$Z208)/$G208,0)*$G208,
((_xlfn.XLOOKUP($A208,'[1]DATOS PBI Artículos'!$A:$A,'[1]DATOS PBI Artículos'!$AO:$AO))/(_xlfn.XLOOKUP($AL$1,[1]CRITERIOS!$S$16:$S$39,[1]CRITERIOS!$Y$16:$Y$39))*$J208+$Z208)))</f>
        <v/>
      </c>
    </row>
    <row r="209" spans="1:37" ht="25.8" x14ac:dyDescent="0.5">
      <c r="A209" s="32" t="s">
        <v>103</v>
      </c>
      <c r="B209" s="33">
        <f>_xlfn.XLOOKUP($A209,'[1]DATOS PBI Artículos'!A:A,'[1]DATOS PBI Artículos'!B:B)</f>
        <v>0</v>
      </c>
      <c r="C209" s="33" t="str">
        <f>_xlfn.XLOOKUP($A209,'[1]DATOS PBI Artículos'!A:A,'[1]DATOS PBI Artículos'!C:C)</f>
        <v>UA02</v>
      </c>
      <c r="D209" s="33">
        <f>_xlfn.XLOOKUP(A209,'[1]DATOS PBI Artículos'!A:A,'[1]DATOS PBI Artículos'!T:T)</f>
        <v>2</v>
      </c>
      <c r="E209" s="34">
        <f>IF(_xlfn.XLOOKUP($A209,'[1]DATOS PBI Artículos'!A:A,'[1]DATOS PBI Artículos'!AK:AK)="",_xlfn.XLOOKUP($A209,'[1]DATOS PBI Artículos'!A:A,'[1]DATOS PBI Artículos'!AJ:AJ),_xlfn.XLOOKUP($A209,'[1]DATOS PBI Artículos'!A:A,'[1]DATOS PBI Artículos'!AK:AK))</f>
        <v>10000</v>
      </c>
      <c r="F209" s="40">
        <v>4</v>
      </c>
      <c r="G209" s="34">
        <f>_xlfn.XLOOKUP($A209,'[1]DATOS PBI Artículos'!A:A,'[1]DATOS PBI Artículos'!AR:AR)</f>
        <v>5000</v>
      </c>
      <c r="H209" s="34">
        <f>_xlfn.XLOOKUP($A209,'[1]DATOS PBI Artículos'!A:A,'[1]DATOS PBI Artículos'!AT:AT)</f>
        <v>0</v>
      </c>
      <c r="I209" s="34">
        <f>_xlfn.XLOOKUP($A209,'[1]DATOS PBI Artículos'!A:A,'[1]DATOS PBI Artículos'!AS:AS)</f>
        <v>5000</v>
      </c>
      <c r="J209" s="35">
        <f>IF(COUNTIF([1]CRITERIOS!$F$179:$F$199,$A209)&gt;=1,
 IF(O209&lt;&gt;"",
    (O209/_xlfn.XLOOKUP(CONCATENATE(A209,L209),[1]MÁQUINAS!A:A,[1]MÁQUINAS!D:D))/24,
    (N209/_xlfn.XLOOKUP(CONCATENATE(A209,L209),[1]MÁQUINAS!A:A,[1]MÁQUINAS!D:D))/24),
  _xlfn.XLOOKUP($A209,'[1]DATOS PBI Artículos'!A:A,'[1]DATOS PBI Artículos'!AU:AU))</f>
        <v>22.5</v>
      </c>
      <c r="K209" s="36">
        <f>_xlfn.XLOOKUP($A209,'[1]DATOS PBI Artículos'!A:A,'[1]DATOS PBI Artículos'!AV:AV)</f>
        <v>12.785408349625234</v>
      </c>
      <c r="L209" s="33">
        <f>_xlfn.XLOOKUP(A209,[1]MÁQUINAS!B:B,[1]MÁQUINAS!C:C)</f>
        <v>216</v>
      </c>
      <c r="M209" s="34">
        <f t="array" ref="M209">_xlfn.XLOOKUP(A209,'[1]DATOS PBI Artículos'!A:A,'[1]DATOS PBI Artículos'!AX:$AX)</f>
        <v>11583.793240054752</v>
      </c>
      <c r="N209" s="37">
        <f>IF(I209="DV",
E209,
IF(COUNTIF([1]CRITERIOS!$I$179:$I$199,$A209)&gt;=1,
_xlfn.XLOOKUP($A209,[1]CRITERIOS!$I$179:$I$199,[1]CRITERIOS!$J$179:$J$199),
IF(COUNTIF([1]CRITERIOS!$L$179:$L$199,$A209)&gt;=1,
_xlfn.CEILING.MATH(IF($M209&gt;$E209,
$E209,
IF($M209&lt;$E209/ROUNDDOWN([1]CRITERIOS!$M$16/_xlfn.XLOOKUP($C209,[1]CRITERIOS!$K$25:$K$42,[1]CRITERIOS!$M$25:$M$42),
1),
E209/ROUNDDOWN([1]CRITERIOS!$M$16/_xlfn.XLOOKUP($C209,[1]CRITERIOS!$K$25:$K$42,[1]CRITERIOS!$M$25:$M$42),
1),
$M209)),
_xlfn.XLOOKUP($A209,[1]CRITERIOS!$L$179:$L$200,[1]CRITERIOS!$M$179:$M$200)),
_xlfn.CEILING.MATH(IF($M209&gt;$E209,
$E209,
IF($M209&lt;$E209/ROUNDDOWN([1]CRITERIOS!$M$16/_xlfn.XLOOKUP($C209,[1]CRITERIOS!$K$25:$K$42,[1]CRITERIOS!$M$25:$M$42),
1),
E209/ROUNDDOWN([1]CRITERIOS!$M$16/_xlfn.XLOOKUP($C209,[1]CRITERIOS!$K$25:$K$42,[1]CRITERIOS!$M$25:$M$42),
1),
$M209)),_xlfn.XLOOKUP(A209,'[1]DATOS PBI Artículos'!A:A,'[1]DATOS PBI Artículos'!Z:Z
)))))</f>
        <v>10000</v>
      </c>
      <c r="Q209" s="38">
        <f>IF(AND(O209="",N209=0),
0,
   IF(COUNTIF([1]CRITERIOS!$F$179:$F$199,$A209)&gt;=1,
   1,
   IF(R209="MTO",
      $D209,
      ROUNDUP(
                    IF(($E209-SUMIF('[1]DATOS PBI Artículos'!A:A,A209,'[1]DATOS PBI Artículos'!X:X)+($V209-_xlfn.XLOOKUP(A209,'[1]DATOS PBI Artículos'!A:A,'[1]DATOS PBI Artículos'!W:W)))&lt;0,
                    0,
                    IF(($E209-SUMIF('[1]DATOS PBI Artículos'!A:A,A209,'[1]DATOS PBI Artículos'!X:X)+$V209-_xlfn.XLOOKUP($A209,'[1]DATOS PBI Artículos'!A:A,'[1]DATOS PBI Artículos'!W:W))/IF($O209="",$N209,$O209)&gt;ROUNDUP([1]CRITERIOS!$M$16/(IF(COUNTIF([1]CRITERIOS!$BG$11:$BG$201,L209)&gt;=1,_xlfn.XLOOKUP($C209,[1]CRITERIOS!$K$25:$K$42,[1]CRITERIOS!$M$25:$M$42),_xlfn.XLOOKUP($C209,[1]CRITERIOS!$K$25:$K$42,[1]CRITERIOS!$M$25:$M$42))),0),
                    ROUNDUP([1]CRITERIOS!$M$16/(IF(COUNTIF([1]CRITERIOS!$BG$11:$BG$201,$L209)&gt;=1,_xlfn.XLOOKUP($C209,[1]CRITERIOS!$K$25:$K$42,[1]CRITERIOS!$M$25:$M$42),_xlfn.XLOOKUP($C209,[1]CRITERIOS!$K$25:$K$42,[1]CRITERIOS!$M$25:$M$42))),0),
                    (E209+V209-SUMIF('[1]DATOS PBI Artículos'!A:A,A209,'[1]DATOS PBI Artículos'!X:X)-_xlfn.XLOOKUP(A209,'[1]DATOS PBI Artículos'!A:A,'[1]DATOS PBI Artículos'!W:W))/IF($O209="",$N209,$O209))),0))))</f>
        <v>4</v>
      </c>
      <c r="R209" s="33" t="str">
        <f>IF(U209&lt;&gt;"",U209,IF(F209="DV","MTO",IF(N209=0,"MTO",_xlfn.XLOOKUP(CONCATENATE(S209,T209),[1]CRITERIOS!$K$160:$K$168,[1]CRITERIOS!$N$160:$N$168))))</f>
        <v>MTS</v>
      </c>
      <c r="S209" s="33" t="str">
        <f>IF(G209="DV","MTO",IF(N209=0,"MTO",IF(OR(AND(N209=0,O209=""),IF(O209="",G209/N209,G209/O209)&gt;[1]CRITERIOS!$G$163),"MTO",IF(IF(O209="",G209/N209,G209/O209)&lt;[1]CRITERIOS!$H$161,"MTS","MTOS"))))</f>
        <v>MTOS</v>
      </c>
      <c r="T209" s="33" t="str">
        <f>IF(F209="DV","MTO",IF(OR(AND($N209=0,O209=""),$F209/$J209&gt;[1]CRITERIOS!$G$170,$F209="DV"),"MTO",IF($F209/$J209&lt;[1]CRITERIOS!$H$168,"MTS","MTOS")))</f>
        <v>MTS</v>
      </c>
      <c r="V209" s="34">
        <f t="shared" si="10"/>
        <v>29545.600927736134</v>
      </c>
      <c r="X209" s="34">
        <f t="shared" si="11"/>
        <v>39545.60092773613</v>
      </c>
      <c r="Y209" s="34">
        <f t="shared" si="12"/>
        <v>6420.6009277361372</v>
      </c>
      <c r="Z209" s="34">
        <f>IF($R209="MTO",
0,
($H209+$K209*($E209/[1]CRITERIOS!$M$16))/[1]CRITERIOS!$X$48)</f>
        <v>1420.6009277361372</v>
      </c>
      <c r="AA209" s="34" t="e">
        <f>ROUNDUP(($Y209/_xlfn.XLOOKUP($A209,'[1]DATOS PBI Artículos'!$A$4:$A$4,'[1]DATOS PBI Artículos'!$Z$4:$Z$4))/_xlfn.XLOOKUP(_xlfn.XLOOKUP($A209,'[1]DATOS PBI Artículos'!$A$4:$A$4,'[1]DATOS PBI Artículos'!$Y$4:$Y$4),[1]CRITERIOS!$P$79:$P$123,[1]CRITERIOS!$S$79:$S$123,),0)</f>
        <v>#N/A</v>
      </c>
      <c r="AB209" s="33" t="e">
        <f t="array" ref="AB209">IF((E209+V209-_xlfn.XLOOKUP(A209,'[1]DATOS PBI Artículos'!$A$4:$A$4,'[1]DATOS PBI Artículos'!$W$4:$W$4))/N209&gt;ROUNDUP([1]CRITERIOS!$M$16/(IF(COUNTIF([1]CRITERIOS!$BG$11:$BG$201,L209)&gt;=1,_xlfn.XLOOKUP(ARTÍCULOS!L209,[1]CRITERIOS!$BG$11:$BG$201,[1]CRITERIOS!$BJ$11:$BJ$201),_xlfn.XLOOKUP(ARTÍCULOS!C209,[1]CRITERIOS!$K$25:$K$42,[1]CRITERIOS!$M$25:$M$42))),0),ROUNDUP([1]CRITERIOS!$M$16/(IF(COUNTIF([1]CRITERIOS!$BG$11:$BG$201,L209)&gt;=1,_xlfn.XLOOKUP(ARTÍCULOS!L209,[1]CRITERIOS!$BG$11:$BG$201:#REF!,[1]CRITERIOS!$BJ$11:$BJ$201),_xlfn.XLOOKUP(ARTÍCULOS!C209,[1]CRITERIOS!$K$25:$K$42,[1]CRITERIOS!$M$25:$M$42))),0),(E209+V209-_xlfn.XLOOKUP(A209,'[1]DATOS PBI Artículos'!$A$4:$A$4,'[1]DATOS PBI Artículos'!$W$4:$W$4))/N209)</f>
        <v>#N/A</v>
      </c>
      <c r="AC209" s="33" t="e">
        <f>IF(N209=0,"",(ROUNDUP((N209/2)/(_xlfn.XLOOKUP(A209,'[1]DATOS PBI Artículos'!$A$4:$A$4,'[1]DATOS PBI Artículos'!$Z$4:$Z$4)*_xlfn.XLOOKUP(_xlfn.XLOOKUP(A209,'[1]DATOS PBI Artículos'!$A$4:$A$4,'[1]DATOS PBI Artículos'!$Y$4:$Y$4),[1]CRITERIOS!$P$79:$P$123,[1]CRITERIOS!$S$79:$S$123)),0)*[1]CRITERIOS!$M$80*([1]CRITERIOS!$M$110/[1]CRITERIOS!$M$86)+(_xlfn.XLOOKUP(A209,'[1]DATOS PBI Artículos'!$A$4:$A$4,'[1]DATOS PBI Artículos'!$AA$4:$AA$4)*([1]CRITERIOS!$M$95+[1]CRITERIOS!$M$98)))/N209)</f>
        <v>#N/A</v>
      </c>
      <c r="AD209" s="33" t="e">
        <f>IF(N209=0,"",(ROUNDUP((N209/2)/(_xlfn.XLOOKUP(A209,'[1]DATOS PBI Artículos'!$A$4:$A$4,'[1]DATOS PBI Artículos'!$Z$4:$Z$4)*_xlfn.XLOOKUP(_xlfn.XLOOKUP(A209,'[1]DATOS PBI Artículos'!$A$4:$A$4,'[1]DATOS PBI Artículos'!$Y$4:$Y$4),[1]CRITERIOS!$P$79:$P$123,[1]CRITERIOS!$S$79:$S$123)),0)*[1]CRITERIOS!$M$80*([1]CRITERIOS!$M$89*[1]CRITERIOS!$M$92)+((_xlfn.XLOOKUP(A209,'[1]DATOS PBI Artículos'!$A$4:$A$4,'[1]DATOS PBI Artículos'!$AA$4:$AA$4)/2)*([1]CRITERIOS!$M$95+[1]CRITERIOS!$M$98)))/N209)</f>
        <v>#N/A</v>
      </c>
      <c r="AE209" s="39">
        <f>IF($R209="MTO","",
IF($H209=0,ROUNDUP(((_xlfn.XLOOKUP($A209,'[1]DATOS PBI Artículos'!$A:$A,'[1]DATOS PBI Artículos'!$AL:$AL))/(_xlfn.XLOOKUP($AF$1,[1]CRITERIOS!$S$16:$S$39,[1]CRITERIOS!$Y$16:$Y$39))*$J209+$Z209)/$G209,0)*$G209,
((_xlfn.XLOOKUP($A209,'[1]DATOS PBI Artículos'!$A:$A,'[1]DATOS PBI Artículos'!$AL:$AL))/(_xlfn.XLOOKUP($AF$1,[1]CRITERIOS!$S$16:$S$39,[1]CRITERIOS!$Y$16:$Y$39))*$J209+$Z209)))</f>
        <v>5000</v>
      </c>
      <c r="AG209" s="39">
        <f>IF($R209="MTO","",
IF($H209=0,ROUNDUP(((_xlfn.XLOOKUP($A209,'[1]DATOS PBI Artículos'!$A:$A,'[1]DATOS PBI Artículos'!$AM:$AM))/(_xlfn.XLOOKUP($AH$1,[1]CRITERIOS!$S$16:$S$39,[1]CRITERIOS!$Y$16:$Y$39))*$J209+$Z209)/$G209,0)*$G209,
((_xlfn.XLOOKUP($A209,'[1]DATOS PBI Artículos'!$A:$A,'[1]DATOS PBI Artículos'!$AM:$AM))/(_xlfn.XLOOKUP($AH$1,[1]CRITERIOS!$S$16:$S$39,[1]CRITERIOS!$Y$16:$Y$39))*$J209+$Z209)))</f>
        <v>5000</v>
      </c>
      <c r="AI209" s="39">
        <f>IF($R209="MTO","",
IF($H209=0,ROUNDUP(((_xlfn.XLOOKUP($A209,'[1]DATOS PBI Artículos'!$A:$A,'[1]DATOS PBI Artículos'!$AN:$AN))/(_xlfn.XLOOKUP($AJ$1,[1]CRITERIOS!$S$16:$S$39,[1]CRITERIOS!$Y$16:$Y$39))*$J209+$Z209)/$G209,0)*$G209,
((_xlfn.XLOOKUP($A209,'[1]DATOS PBI Artículos'!$A:$A,'[1]DATOS PBI Artículos'!$AN:$AN))/(_xlfn.XLOOKUP($AJ$1,[1]CRITERIOS!$S$16:$S$39,[1]CRITERIOS!$Y$16:$Y$39))*$J209+$Z209)))</f>
        <v>5000</v>
      </c>
      <c r="AK209" s="39">
        <f>IF($R209="MTO","",
IF($H209=0,ROUNDUP(((_xlfn.XLOOKUP($A209,'[1]DATOS PBI Artículos'!$A:$A,'[1]DATOS PBI Artículos'!$AO:$AO))/(_xlfn.XLOOKUP($AL$1,[1]CRITERIOS!$S$16:$S$39,[1]CRITERIOS!$Y$16:$Y$39))*$J209+$Z209)/$G209,0)*$G209,
((_xlfn.XLOOKUP($A209,'[1]DATOS PBI Artículos'!$A:$A,'[1]DATOS PBI Artículos'!$AO:$AO))/(_xlfn.XLOOKUP($AL$1,[1]CRITERIOS!$S$16:$S$39,[1]CRITERIOS!$Y$16:$Y$39))*$J209+$Z209)))</f>
        <v>5000</v>
      </c>
    </row>
    <row r="210" spans="1:37" ht="25.8" x14ac:dyDescent="0.5">
      <c r="A210" s="32">
        <v>453037</v>
      </c>
      <c r="B210" s="33">
        <f>_xlfn.XLOOKUP($A210,'[1]DATOS PBI Artículos'!A:A,'[1]DATOS PBI Artículos'!B:B)</f>
        <v>0</v>
      </c>
      <c r="C210" s="33" t="str">
        <f>_xlfn.XLOOKUP($A210,'[1]DATOS PBI Artículos'!A:A,'[1]DATOS PBI Artículos'!C:C)</f>
        <v>UA02</v>
      </c>
      <c r="D210" s="33">
        <f>_xlfn.XLOOKUP(A210,'[1]DATOS PBI Artículos'!A:A,'[1]DATOS PBI Artículos'!T:T)</f>
        <v>1</v>
      </c>
      <c r="E210" s="34">
        <f>IF(_xlfn.XLOOKUP($A210,'[1]DATOS PBI Artículos'!A:A,'[1]DATOS PBI Artículos'!AK:AK)="",_xlfn.XLOOKUP($A210,'[1]DATOS PBI Artículos'!A:A,'[1]DATOS PBI Artículos'!AJ:AJ),_xlfn.XLOOKUP($A210,'[1]DATOS PBI Artículos'!A:A,'[1]DATOS PBI Artículos'!AK:AK))</f>
        <v>10000</v>
      </c>
      <c r="F210" s="35">
        <f>_xlfn.XLOOKUP($A210,'[1]DATOS PBI Artículos'!A:A,'[1]DATOS PBI Artículos'!AP:AP)</f>
        <v>4.5999999999999996</v>
      </c>
      <c r="G210" s="34">
        <f>_xlfn.XLOOKUP($A210,'[1]DATOS PBI Artículos'!A:A,'[1]DATOS PBI Artículos'!AR:AR)</f>
        <v>5000</v>
      </c>
      <c r="H210" s="34">
        <f>_xlfn.XLOOKUP($A210,'[1]DATOS PBI Artículos'!A:A,'[1]DATOS PBI Artículos'!AT:AT)</f>
        <v>0</v>
      </c>
      <c r="I210" s="34">
        <f>_xlfn.XLOOKUP($A210,'[1]DATOS PBI Artículos'!A:A,'[1]DATOS PBI Artículos'!AS:AS)</f>
        <v>5000</v>
      </c>
      <c r="J210" s="35">
        <f>IF(COUNTIF([1]CRITERIOS!$F$179:$F$199,$A210)&gt;=1,
 IF(O210&lt;&gt;"",
    (O210/_xlfn.XLOOKUP(CONCATENATE(A210,L210),[1]MÁQUINAS!A:A,[1]MÁQUINAS!D:D))/24,
    (N210/_xlfn.XLOOKUP(CONCATENATE(A210,L210),[1]MÁQUINAS!A:A,[1]MÁQUINAS!D:D))/24),
  _xlfn.XLOOKUP($A210,'[1]DATOS PBI Artículos'!A:A,'[1]DATOS PBI Artículos'!AU:AU))</f>
        <v>27.944444444444443</v>
      </c>
      <c r="K210" s="36">
        <f>_xlfn.XLOOKUP($A210,'[1]DATOS PBI Artículos'!A:A,'[1]DATOS PBI Artículos'!AV:AV)</f>
        <v>13.492796432006063</v>
      </c>
      <c r="L210" s="33">
        <f>_xlfn.XLOOKUP(A210,[1]MÁQUINAS!B:B,[1]MÁQUINAS!C:C)</f>
        <v>216</v>
      </c>
      <c r="M210" s="34">
        <f t="array" ref="M210">_xlfn.XLOOKUP(A210,'[1]DATOS PBI Artículos'!A:A,'[1]DATOS PBI Artículos'!AX:$AX)</f>
        <v>9816.9131299120108</v>
      </c>
      <c r="N210" s="37">
        <f>IF(I210="DV",
E210,
IF(COUNTIF([1]CRITERIOS!$I$179:$I$199,$A210)&gt;=1,
_xlfn.XLOOKUP($A210,[1]CRITERIOS!$I$179:$I$199,[1]CRITERIOS!$J$179:$J$199),
IF(COUNTIF([1]CRITERIOS!$L$179:$L$199,$A210)&gt;=1,
_xlfn.CEILING.MATH(IF($M210&gt;$E210,
$E210,
IF($M210&lt;$E210/ROUNDDOWN([1]CRITERIOS!$M$16/_xlfn.XLOOKUP($C210,[1]CRITERIOS!$K$25:$K$42,[1]CRITERIOS!$M$25:$M$42),
1),
E210/ROUNDDOWN([1]CRITERIOS!$M$16/_xlfn.XLOOKUP($C210,[1]CRITERIOS!$K$25:$K$42,[1]CRITERIOS!$M$25:$M$42),
1),
$M210)),
_xlfn.XLOOKUP($A210,[1]CRITERIOS!$L$179:$L$200,[1]CRITERIOS!$M$179:$M$200)),
_xlfn.CEILING.MATH(IF($M210&gt;$E210,
$E210,
IF($M210&lt;$E210/ROUNDDOWN([1]CRITERIOS!$M$16/_xlfn.XLOOKUP($C210,[1]CRITERIOS!$K$25:$K$42,[1]CRITERIOS!$M$25:$M$42),
1),
E210/ROUNDDOWN([1]CRITERIOS!$M$16/_xlfn.XLOOKUP($C210,[1]CRITERIOS!$K$25:$K$42,[1]CRITERIOS!$M$25:$M$42),
1),
$M210)),_xlfn.XLOOKUP(A210,'[1]DATOS PBI Artículos'!A:A,'[1]DATOS PBI Artículos'!Z:Z
)))))</f>
        <v>10000</v>
      </c>
      <c r="Q210" s="38">
        <f>IF(AND(O210="",N210=0),
0,
   IF(COUNTIF([1]CRITERIOS!$F$179:$F$199,$A210)&gt;=1,
   1,
   IF(R210="MTO",
      $D210,
      ROUNDUP(
                    IF(($E210-SUMIF('[1]DATOS PBI Artículos'!A:A,A210,'[1]DATOS PBI Artículos'!X:X)+($V210-_xlfn.XLOOKUP(A210,'[1]DATOS PBI Artículos'!A:A,'[1]DATOS PBI Artículos'!W:W)))&lt;0,
                    0,
                    IF(($E210-SUMIF('[1]DATOS PBI Artículos'!A:A,A210,'[1]DATOS PBI Artículos'!X:X)+$V210-_xlfn.XLOOKUP($A210,'[1]DATOS PBI Artículos'!A:A,'[1]DATOS PBI Artículos'!W:W))/IF($O210="",$N210,$O210)&gt;ROUNDUP([1]CRITERIOS!$M$16/(IF(COUNTIF([1]CRITERIOS!$BG$11:$BG$201,L210)&gt;=1,_xlfn.XLOOKUP($C210,[1]CRITERIOS!$K$25:$K$42,[1]CRITERIOS!$M$25:$M$42),_xlfn.XLOOKUP($C210,[1]CRITERIOS!$K$25:$K$42,[1]CRITERIOS!$M$25:$M$42))),0),
                    ROUNDUP([1]CRITERIOS!$M$16/(IF(COUNTIF([1]CRITERIOS!$BG$11:$BG$201,$L210)&gt;=1,_xlfn.XLOOKUP($C210,[1]CRITERIOS!$K$25:$K$42,[1]CRITERIOS!$M$25:$M$42),_xlfn.XLOOKUP($C210,[1]CRITERIOS!$K$25:$K$42,[1]CRITERIOS!$M$25:$M$42))),0),
                    (E210+V210-SUMIF('[1]DATOS PBI Artículos'!A:A,A210,'[1]DATOS PBI Artículos'!X:X)-_xlfn.XLOOKUP(A210,'[1]DATOS PBI Artículos'!A:A,'[1]DATOS PBI Artículos'!W:W))/IF($O210="",$N210,$O210))),0))))</f>
        <v>0</v>
      </c>
      <c r="R210" s="33" t="str">
        <f>IF(U210&lt;&gt;"",U210,IF(F210="DV","MTO",IF(N210=0,"MTO",_xlfn.XLOOKUP(CONCATENATE(S210,T210),[1]CRITERIOS!$K$160:$K$168,[1]CRITERIOS!$N$160:$N$168))))</f>
        <v>MTS</v>
      </c>
      <c r="S210" s="33" t="str">
        <f>IF(G210="DV","MTO",IF(N210=0,"MTO",IF(OR(AND(N210=0,O210=""),IF(O210="",G210/N210,G210/O210)&gt;[1]CRITERIOS!$G$163),"MTO",IF(IF(O210="",G210/N210,G210/O210)&lt;[1]CRITERIOS!$H$161,"MTS","MTOS"))))</f>
        <v>MTOS</v>
      </c>
      <c r="T210" s="33" t="str">
        <f>IF(F210="DV","MTO",IF(OR(AND($N210=0,O210=""),$F210/$J210&gt;[1]CRITERIOS!$G$170,$F210="DV"),"MTO",IF($F210/$J210&lt;[1]CRITERIOS!$H$168,"MTS","MTOS")))</f>
        <v>MTS</v>
      </c>
      <c r="V210" s="34">
        <f t="shared" si="10"/>
        <v>31873.595738821929</v>
      </c>
      <c r="X210" s="34">
        <f t="shared" si="11"/>
        <v>41873.595738821925</v>
      </c>
      <c r="Y210" s="34">
        <f t="shared" si="12"/>
        <v>6499.1996035562297</v>
      </c>
      <c r="Z210" s="34">
        <f>IF($R210="MTO",
0,
($H210+$K210*($E210/[1]CRITERIOS!$M$16))/[1]CRITERIOS!$X$48)</f>
        <v>1499.1996035562292</v>
      </c>
      <c r="AA210" s="34" t="e">
        <f>ROUNDUP(($Y210/_xlfn.XLOOKUP($A210,'[1]DATOS PBI Artículos'!$A$4:$A$4,'[1]DATOS PBI Artículos'!$Z$4:$Z$4))/_xlfn.XLOOKUP(_xlfn.XLOOKUP($A210,'[1]DATOS PBI Artículos'!$A$4:$A$4,'[1]DATOS PBI Artículos'!$Y$4:$Y$4),[1]CRITERIOS!$P$79:$P$123,[1]CRITERIOS!$S$79:$S$123,),0)</f>
        <v>#N/A</v>
      </c>
      <c r="AB210" s="33" t="e">
        <f t="array" ref="AB210">IF((E210+V210-_xlfn.XLOOKUP(A210,'[1]DATOS PBI Artículos'!$A$4:$A$4,'[1]DATOS PBI Artículos'!$W$4:$W$4))/N210&gt;ROUNDUP([1]CRITERIOS!$M$16/(IF(COUNTIF([1]CRITERIOS!$BG$11:$BG$201,L210)&gt;=1,_xlfn.XLOOKUP(ARTÍCULOS!L210,[1]CRITERIOS!$BG$11:$BG$201,[1]CRITERIOS!$BJ$11:$BJ$201),_xlfn.XLOOKUP(ARTÍCULOS!C210,[1]CRITERIOS!$K$25:$K$42,[1]CRITERIOS!$M$25:$M$42))),0),ROUNDUP([1]CRITERIOS!$M$16/(IF(COUNTIF([1]CRITERIOS!$BG$11:$BG$201,L210)&gt;=1,_xlfn.XLOOKUP(ARTÍCULOS!L210,[1]CRITERIOS!$BG$11:$BG$201:#REF!,[1]CRITERIOS!$BJ$11:$BJ$201),_xlfn.XLOOKUP(ARTÍCULOS!C210,[1]CRITERIOS!$K$25:$K$42,[1]CRITERIOS!$M$25:$M$42))),0),(E210+V210-_xlfn.XLOOKUP(A210,'[1]DATOS PBI Artículos'!$A$4:$A$4,'[1]DATOS PBI Artículos'!$W$4:$W$4))/N210)</f>
        <v>#N/A</v>
      </c>
      <c r="AC210" s="33" t="e">
        <f>IF(N210=0,"",(ROUNDUP((N210/2)/(_xlfn.XLOOKUP(A210,'[1]DATOS PBI Artículos'!$A$4:$A$4,'[1]DATOS PBI Artículos'!$Z$4:$Z$4)*_xlfn.XLOOKUP(_xlfn.XLOOKUP(A210,'[1]DATOS PBI Artículos'!$A$4:$A$4,'[1]DATOS PBI Artículos'!$Y$4:$Y$4),[1]CRITERIOS!$P$79:$P$123,[1]CRITERIOS!$S$79:$S$123)),0)*[1]CRITERIOS!$M$80*([1]CRITERIOS!$M$110/[1]CRITERIOS!$M$86)+(_xlfn.XLOOKUP(A210,'[1]DATOS PBI Artículos'!$A$4:$A$4,'[1]DATOS PBI Artículos'!$AA$4:$AA$4)*([1]CRITERIOS!$M$95+[1]CRITERIOS!$M$98)))/N210)</f>
        <v>#N/A</v>
      </c>
      <c r="AD210" s="33" t="e">
        <f>IF(N210=0,"",(ROUNDUP((N210/2)/(_xlfn.XLOOKUP(A210,'[1]DATOS PBI Artículos'!$A$4:$A$4,'[1]DATOS PBI Artículos'!$Z$4:$Z$4)*_xlfn.XLOOKUP(_xlfn.XLOOKUP(A210,'[1]DATOS PBI Artículos'!$A$4:$A$4,'[1]DATOS PBI Artículos'!$Y$4:$Y$4),[1]CRITERIOS!$P$79:$P$123,[1]CRITERIOS!$S$79:$S$123)),0)*[1]CRITERIOS!$M$80*([1]CRITERIOS!$M$89*[1]CRITERIOS!$M$92)+((_xlfn.XLOOKUP(A210,'[1]DATOS PBI Artículos'!$A$4:$A$4,'[1]DATOS PBI Artículos'!$AA$4:$AA$4)/2)*([1]CRITERIOS!$M$95+[1]CRITERIOS!$M$98)))/N210)</f>
        <v>#N/A</v>
      </c>
      <c r="AE210" s="39">
        <f>IF($R210="MTO","",
IF($H210=0,ROUNDUP(((_xlfn.XLOOKUP($A210,'[1]DATOS PBI Artículos'!$A:$A,'[1]DATOS PBI Artículos'!$AL:$AL))/(_xlfn.XLOOKUP($AF$1,[1]CRITERIOS!$S$16:$S$39,[1]CRITERIOS!$Y$16:$Y$39))*$J210+$Z210)/$G210,0)*$G210,
((_xlfn.XLOOKUP($A210,'[1]DATOS PBI Artículos'!$A:$A,'[1]DATOS PBI Artículos'!$AL:$AL))/(_xlfn.XLOOKUP($AF$1,[1]CRITERIOS!$S$16:$S$39,[1]CRITERIOS!$Y$16:$Y$39))*$J210+$Z210)))</f>
        <v>10000</v>
      </c>
      <c r="AG210" s="39">
        <f>IF($R210="MTO","",
IF($H210=0,ROUNDUP(((_xlfn.XLOOKUP($A210,'[1]DATOS PBI Artículos'!$A:$A,'[1]DATOS PBI Artículos'!$AM:$AM))/(_xlfn.XLOOKUP($AH$1,[1]CRITERIOS!$S$16:$S$39,[1]CRITERIOS!$Y$16:$Y$39))*$J210+$Z210)/$G210,0)*$G210,
((_xlfn.XLOOKUP($A210,'[1]DATOS PBI Artículos'!$A:$A,'[1]DATOS PBI Artículos'!$AM:$AM))/(_xlfn.XLOOKUP($AH$1,[1]CRITERIOS!$S$16:$S$39,[1]CRITERIOS!$Y$16:$Y$39))*$J210+$Z210)))</f>
        <v>5000</v>
      </c>
      <c r="AI210" s="39">
        <f>IF($R210="MTO","",
IF($H210=0,ROUNDUP(((_xlfn.XLOOKUP($A210,'[1]DATOS PBI Artículos'!$A:$A,'[1]DATOS PBI Artículos'!$AN:$AN))/(_xlfn.XLOOKUP($AJ$1,[1]CRITERIOS!$S$16:$S$39,[1]CRITERIOS!$Y$16:$Y$39))*$J210+$Z210)/$G210,0)*$G210,
((_xlfn.XLOOKUP($A210,'[1]DATOS PBI Artículos'!$A:$A,'[1]DATOS PBI Artículos'!$AN:$AN))/(_xlfn.XLOOKUP($AJ$1,[1]CRITERIOS!$S$16:$S$39,[1]CRITERIOS!$Y$16:$Y$39))*$J210+$Z210)))</f>
        <v>10000</v>
      </c>
      <c r="AK210" s="39">
        <f>IF($R210="MTO","",
IF($H210=0,ROUNDUP(((_xlfn.XLOOKUP($A210,'[1]DATOS PBI Artículos'!$A:$A,'[1]DATOS PBI Artículos'!$AO:$AO))/(_xlfn.XLOOKUP($AL$1,[1]CRITERIOS!$S$16:$S$39,[1]CRITERIOS!$Y$16:$Y$39))*$J210+$Z210)/$G210,0)*$G210,
((_xlfn.XLOOKUP($A210,'[1]DATOS PBI Artículos'!$A:$A,'[1]DATOS PBI Artículos'!$AO:$AO))/(_xlfn.XLOOKUP($AL$1,[1]CRITERIOS!$S$16:$S$39,[1]CRITERIOS!$Y$16:$Y$39))*$J210+$Z210)))</f>
        <v>10000</v>
      </c>
    </row>
    <row r="211" spans="1:37" ht="25.8" x14ac:dyDescent="0.5">
      <c r="A211" s="32">
        <v>453409</v>
      </c>
      <c r="B211" s="33">
        <f>_xlfn.XLOOKUP($A211,'[1]DATOS PBI Artículos'!A:A,'[1]DATOS PBI Artículos'!B:B)</f>
        <v>0</v>
      </c>
      <c r="C211" s="33" t="str">
        <f>_xlfn.XLOOKUP($A211,'[1]DATOS PBI Artículos'!A:A,'[1]DATOS PBI Artículos'!C:C)</f>
        <v>UA02</v>
      </c>
      <c r="D211" s="33">
        <f>_xlfn.XLOOKUP(A211,'[1]DATOS PBI Artículos'!A:A,'[1]DATOS PBI Artículos'!T:T)</f>
        <v>1</v>
      </c>
      <c r="E211" s="34">
        <f>IF(_xlfn.XLOOKUP($A211,'[1]DATOS PBI Artículos'!A:A,'[1]DATOS PBI Artículos'!AK:AK)="",_xlfn.XLOOKUP($A211,'[1]DATOS PBI Artículos'!A:A,'[1]DATOS PBI Artículos'!AJ:AJ),_xlfn.XLOOKUP($A211,'[1]DATOS PBI Artículos'!A:A,'[1]DATOS PBI Artículos'!AK:AK))</f>
        <v>10000</v>
      </c>
      <c r="F211" s="35">
        <f>_xlfn.XLOOKUP($A211,'[1]DATOS PBI Artículos'!A:A,'[1]DATOS PBI Artículos'!AP:AP)</f>
        <v>5.3</v>
      </c>
      <c r="G211" s="34">
        <f>_xlfn.XLOOKUP($A211,'[1]DATOS PBI Artículos'!A:A,'[1]DATOS PBI Artículos'!AR:AR)</f>
        <v>5000</v>
      </c>
      <c r="H211" s="34">
        <f>_xlfn.XLOOKUP($A211,'[1]DATOS PBI Artículos'!A:A,'[1]DATOS PBI Artículos'!AT:AT)</f>
        <v>0</v>
      </c>
      <c r="I211" s="34">
        <f>_xlfn.XLOOKUP($A211,'[1]DATOS PBI Artículos'!A:A,'[1]DATOS PBI Artículos'!AS:AS)</f>
        <v>5000</v>
      </c>
      <c r="J211" s="35">
        <f>IF(COUNTIF([1]CRITERIOS!$F$179:$F$199,$A211)&gt;=1,
 IF(O211&lt;&gt;"",
    (O211/_xlfn.XLOOKUP(CONCATENATE(A211,L211),[1]MÁQUINAS!A:A,[1]MÁQUINAS!D:D))/24,
    (N211/_xlfn.XLOOKUP(CONCATENATE(A211,L211),[1]MÁQUINAS!A:A,[1]MÁQUINAS!D:D))/24),
  _xlfn.XLOOKUP($A211,'[1]DATOS PBI Artículos'!A:A,'[1]DATOS PBI Artículos'!AU:AU))</f>
        <v>18.142857142857142</v>
      </c>
      <c r="K211" s="36">
        <f>_xlfn.XLOOKUP($A211,'[1]DATOS PBI Artículos'!A:A,'[1]DATOS PBI Artículos'!AV:AV)</f>
        <v>5.2098807225172763</v>
      </c>
      <c r="L211" s="33">
        <f>_xlfn.XLOOKUP(A211,[1]MÁQUINAS!B:B,[1]MÁQUINAS!C:C)</f>
        <v>216</v>
      </c>
      <c r="M211" s="34">
        <f t="array" ref="M211">_xlfn.XLOOKUP(A211,'[1]DATOS PBI Artículos'!A:A,'[1]DATOS PBI Artículos'!AX:$AX)</f>
        <v>12130.842216419645</v>
      </c>
      <c r="N211" s="37">
        <f>IF(I211="DV",
E211,
IF(COUNTIF([1]CRITERIOS!$I$179:$I$199,$A211)&gt;=1,
_xlfn.XLOOKUP($A211,[1]CRITERIOS!$I$179:$I$199,[1]CRITERIOS!$J$179:$J$199),
IF(COUNTIF([1]CRITERIOS!$L$179:$L$199,$A211)&gt;=1,
_xlfn.CEILING.MATH(IF($M211&gt;$E211,
$E211,
IF($M211&lt;$E211/ROUNDDOWN([1]CRITERIOS!$M$16/_xlfn.XLOOKUP($C211,[1]CRITERIOS!$K$25:$K$42,[1]CRITERIOS!$M$25:$M$42),
1),
E211/ROUNDDOWN([1]CRITERIOS!$M$16/_xlfn.XLOOKUP($C211,[1]CRITERIOS!$K$25:$K$42,[1]CRITERIOS!$M$25:$M$42),
1),
$M211)),
_xlfn.XLOOKUP($A211,[1]CRITERIOS!$L$179:$L$200,[1]CRITERIOS!$M$179:$M$200)),
_xlfn.CEILING.MATH(IF($M211&gt;$E211,
$E211,
IF($M211&lt;$E211/ROUNDDOWN([1]CRITERIOS!$M$16/_xlfn.XLOOKUP($C211,[1]CRITERIOS!$K$25:$K$42,[1]CRITERIOS!$M$25:$M$42),
1),
E211/ROUNDDOWN([1]CRITERIOS!$M$16/_xlfn.XLOOKUP($C211,[1]CRITERIOS!$K$25:$K$42,[1]CRITERIOS!$M$25:$M$42),
1),
$M211)),_xlfn.XLOOKUP(A211,'[1]DATOS PBI Artículos'!A:A,'[1]DATOS PBI Artículos'!Z:Z
)))))</f>
        <v>10000</v>
      </c>
      <c r="Q211" s="38">
        <f>IF(AND(O211="",N211=0),
0,
   IF(COUNTIF([1]CRITERIOS!$F$179:$F$199,$A211)&gt;=1,
   1,
   IF(R211="MTO",
      $D211,
      ROUNDUP(
                    IF(($E211-SUMIF('[1]DATOS PBI Artículos'!A:A,A211,'[1]DATOS PBI Artículos'!X:X)+($V211-_xlfn.XLOOKUP(A211,'[1]DATOS PBI Artículos'!A:A,'[1]DATOS PBI Artículos'!W:W)))&lt;0,
                    0,
                    IF(($E211-SUMIF('[1]DATOS PBI Artículos'!A:A,A211,'[1]DATOS PBI Artículos'!X:X)+$V211-_xlfn.XLOOKUP($A211,'[1]DATOS PBI Artículos'!A:A,'[1]DATOS PBI Artículos'!W:W))/IF($O211="",$N211,$O211)&gt;ROUNDUP([1]CRITERIOS!$M$16/(IF(COUNTIF([1]CRITERIOS!$BG$11:$BG$201,L211)&gt;=1,_xlfn.XLOOKUP($C211,[1]CRITERIOS!$K$25:$K$42,[1]CRITERIOS!$M$25:$M$42),_xlfn.XLOOKUP($C211,[1]CRITERIOS!$K$25:$K$42,[1]CRITERIOS!$M$25:$M$42))),0),
                    ROUNDUP([1]CRITERIOS!$M$16/(IF(COUNTIF([1]CRITERIOS!$BG$11:$BG$201,$L211)&gt;=1,_xlfn.XLOOKUP($C211,[1]CRITERIOS!$K$25:$K$42,[1]CRITERIOS!$M$25:$M$42),_xlfn.XLOOKUP($C211,[1]CRITERIOS!$K$25:$K$42,[1]CRITERIOS!$M$25:$M$42))),0),
                    (E211+V211-SUMIF('[1]DATOS PBI Artículos'!A:A,A211,'[1]DATOS PBI Artículos'!X:X)-_xlfn.XLOOKUP(A211,'[1]DATOS PBI Artículos'!A:A,'[1]DATOS PBI Artículos'!W:W))/IF($O211="",$N211,$O211))),0))))</f>
        <v>0</v>
      </c>
      <c r="R211" s="33" t="str">
        <f>IF(U211&lt;&gt;"",U211,IF(F211="DV","MTO",IF(N211=0,"MTO",_xlfn.XLOOKUP(CONCATENATE(S211,T211),[1]CRITERIOS!$K$160:$K$168,[1]CRITERIOS!$N$160:$N$168))))</f>
        <v>MTS</v>
      </c>
      <c r="S211" s="33" t="str">
        <f>IF(G211="DV","MTO",IF(N211=0,"MTO",IF(OR(AND(N211=0,O211=""),IF(O211="",G211/N211,G211/O211)&gt;[1]CRITERIOS!$G$163),"MTO",IF(IF(O211="",G211/N211,G211/O211)&lt;[1]CRITERIOS!$H$161,"MTS","MTOS"))))</f>
        <v>MTOS</v>
      </c>
      <c r="T211" s="33" t="str">
        <f>IF(F211="DV","MTO",IF(OR(AND($N211=0,O211=""),$F211/$J211&gt;[1]CRITERIOS!$G$170,$F211="DV"),"MTO",IF($F211/$J211&lt;[1]CRITERIOS!$H$168,"MTS","MTOS")))</f>
        <v>MTS</v>
      </c>
      <c r="V211" s="34">
        <f t="shared" si="10"/>
        <v>17694.778600794823</v>
      </c>
      <c r="X211" s="34">
        <f t="shared" si="11"/>
        <v>27694.778600794823</v>
      </c>
      <c r="Y211" s="34">
        <f t="shared" si="12"/>
        <v>5578.875635835253</v>
      </c>
      <c r="Z211" s="34">
        <f>IF($R211="MTO",
0,
($H211+$K211*($E211/[1]CRITERIOS!$M$16))/[1]CRITERIOS!$X$48)</f>
        <v>578.87563583525298</v>
      </c>
      <c r="AA211" s="34" t="e">
        <f>ROUNDUP(($Y211/_xlfn.XLOOKUP($A211,'[1]DATOS PBI Artículos'!$A$4:$A$4,'[1]DATOS PBI Artículos'!$Z$4:$Z$4))/_xlfn.XLOOKUP(_xlfn.XLOOKUP($A211,'[1]DATOS PBI Artículos'!$A$4:$A$4,'[1]DATOS PBI Artículos'!$Y$4:$Y$4),[1]CRITERIOS!$P$79:$P$123,[1]CRITERIOS!$S$79:$S$123,),0)</f>
        <v>#N/A</v>
      </c>
      <c r="AB211" s="33" t="e">
        <f t="array" ref="AB211">IF((E211+V211-_xlfn.XLOOKUP(A211,'[1]DATOS PBI Artículos'!$A$4:$A$4,'[1]DATOS PBI Artículos'!$W$4:$W$4))/N211&gt;ROUNDUP([1]CRITERIOS!$M$16/(IF(COUNTIF([1]CRITERIOS!$BG$11:$BG$201,L211)&gt;=1,_xlfn.XLOOKUP(ARTÍCULOS!L211,[1]CRITERIOS!$BG$11:$BG$201,[1]CRITERIOS!$BJ$11:$BJ$201),_xlfn.XLOOKUP(ARTÍCULOS!C211,[1]CRITERIOS!$K$25:$K$42,[1]CRITERIOS!$M$25:$M$42))),0),ROUNDUP([1]CRITERIOS!$M$16/(IF(COUNTIF([1]CRITERIOS!$BG$11:$BG$201,L211)&gt;=1,_xlfn.XLOOKUP(ARTÍCULOS!L211,[1]CRITERIOS!$BG$11:$BG$201:#REF!,[1]CRITERIOS!$BJ$11:$BJ$201),_xlfn.XLOOKUP(ARTÍCULOS!C211,[1]CRITERIOS!$K$25:$K$42,[1]CRITERIOS!$M$25:$M$42))),0),(E211+V211-_xlfn.XLOOKUP(A211,'[1]DATOS PBI Artículos'!$A$4:$A$4,'[1]DATOS PBI Artículos'!$W$4:$W$4))/N211)</f>
        <v>#N/A</v>
      </c>
      <c r="AC211" s="33" t="e">
        <f>IF(N211=0,"",(ROUNDUP((N211/2)/(_xlfn.XLOOKUP(A211,'[1]DATOS PBI Artículos'!$A$4:$A$4,'[1]DATOS PBI Artículos'!$Z$4:$Z$4)*_xlfn.XLOOKUP(_xlfn.XLOOKUP(A211,'[1]DATOS PBI Artículos'!$A$4:$A$4,'[1]DATOS PBI Artículos'!$Y$4:$Y$4),[1]CRITERIOS!$P$79:$P$123,[1]CRITERIOS!$S$79:$S$123)),0)*[1]CRITERIOS!$M$80*([1]CRITERIOS!$M$110/[1]CRITERIOS!$M$86)+(_xlfn.XLOOKUP(A211,'[1]DATOS PBI Artículos'!$A$4:$A$4,'[1]DATOS PBI Artículos'!$AA$4:$AA$4)*([1]CRITERIOS!$M$95+[1]CRITERIOS!$M$98)))/N211)</f>
        <v>#N/A</v>
      </c>
      <c r="AD211" s="33" t="e">
        <f>IF(N211=0,"",(ROUNDUP((N211/2)/(_xlfn.XLOOKUP(A211,'[1]DATOS PBI Artículos'!$A$4:$A$4,'[1]DATOS PBI Artículos'!$Z$4:$Z$4)*_xlfn.XLOOKUP(_xlfn.XLOOKUP(A211,'[1]DATOS PBI Artículos'!$A$4:$A$4,'[1]DATOS PBI Artículos'!$Y$4:$Y$4),[1]CRITERIOS!$P$79:$P$123,[1]CRITERIOS!$S$79:$S$123)),0)*[1]CRITERIOS!$M$80*([1]CRITERIOS!$M$89*[1]CRITERIOS!$M$92)+((_xlfn.XLOOKUP(A211,'[1]DATOS PBI Artículos'!$A$4:$A$4,'[1]DATOS PBI Artículos'!$AA$4:$AA$4)/2)*([1]CRITERIOS!$M$95+[1]CRITERIOS!$M$98)))/N211)</f>
        <v>#N/A</v>
      </c>
      <c r="AE211" s="39">
        <f>IF($R211="MTO","",
IF($H211=0,ROUNDUP(((_xlfn.XLOOKUP($A211,'[1]DATOS PBI Artículos'!$A:$A,'[1]DATOS PBI Artículos'!$AL:$AL))/(_xlfn.XLOOKUP($AF$1,[1]CRITERIOS!$S$16:$S$39,[1]CRITERIOS!$Y$16:$Y$39))*$J211+$Z211)/$G211,0)*$G211,
((_xlfn.XLOOKUP($A211,'[1]DATOS PBI Artículos'!$A:$A,'[1]DATOS PBI Artículos'!$AL:$AL))/(_xlfn.XLOOKUP($AF$1,[1]CRITERIOS!$S$16:$S$39,[1]CRITERIOS!$Y$16:$Y$39))*$J211+$Z211)))</f>
        <v>5000</v>
      </c>
      <c r="AG211" s="39">
        <f>IF($R211="MTO","",
IF($H211=0,ROUNDUP(((_xlfn.XLOOKUP($A211,'[1]DATOS PBI Artículos'!$A:$A,'[1]DATOS PBI Artículos'!$AM:$AM))/(_xlfn.XLOOKUP($AH$1,[1]CRITERIOS!$S$16:$S$39,[1]CRITERIOS!$Y$16:$Y$39))*$J211+$Z211)/$G211,0)*$G211,
((_xlfn.XLOOKUP($A211,'[1]DATOS PBI Artículos'!$A:$A,'[1]DATOS PBI Artículos'!$AM:$AM))/(_xlfn.XLOOKUP($AH$1,[1]CRITERIOS!$S$16:$S$39,[1]CRITERIOS!$Y$16:$Y$39))*$J211+$Z211)))</f>
        <v>5000</v>
      </c>
      <c r="AI211" s="39">
        <f>IF($R211="MTO","",
IF($H211=0,ROUNDUP(((_xlfn.XLOOKUP($A211,'[1]DATOS PBI Artículos'!$A:$A,'[1]DATOS PBI Artículos'!$AN:$AN))/(_xlfn.XLOOKUP($AJ$1,[1]CRITERIOS!$S$16:$S$39,[1]CRITERIOS!$Y$16:$Y$39))*$J211+$Z211)/$G211,0)*$G211,
((_xlfn.XLOOKUP($A211,'[1]DATOS PBI Artículos'!$A:$A,'[1]DATOS PBI Artículos'!$AN:$AN))/(_xlfn.XLOOKUP($AJ$1,[1]CRITERIOS!$S$16:$S$39,[1]CRITERIOS!$Y$16:$Y$39))*$J211+$Z211)))</f>
        <v>5000</v>
      </c>
      <c r="AK211" s="39">
        <f>IF($R211="MTO","",
IF($H211=0,ROUNDUP(((_xlfn.XLOOKUP($A211,'[1]DATOS PBI Artículos'!$A:$A,'[1]DATOS PBI Artículos'!$AO:$AO))/(_xlfn.XLOOKUP($AL$1,[1]CRITERIOS!$S$16:$S$39,[1]CRITERIOS!$Y$16:$Y$39))*$J211+$Z211)/$G211,0)*$G211,
((_xlfn.XLOOKUP($A211,'[1]DATOS PBI Artículos'!$A:$A,'[1]DATOS PBI Artículos'!$AO:$AO))/(_xlfn.XLOOKUP($AL$1,[1]CRITERIOS!$S$16:$S$39,[1]CRITERIOS!$Y$16:$Y$39))*$J211+$Z211)))</f>
        <v>5000</v>
      </c>
    </row>
    <row r="212" spans="1:37" ht="25.8" x14ac:dyDescent="0.5">
      <c r="A212" s="32">
        <v>404041</v>
      </c>
      <c r="B212" s="33">
        <f>_xlfn.XLOOKUP($A212,'[1]DATOS PBI Artículos'!A:A,'[1]DATOS PBI Artículos'!B:B)</f>
        <v>0</v>
      </c>
      <c r="C212" s="33" t="str">
        <f>_xlfn.XLOOKUP($A212,'[1]DATOS PBI Artículos'!A:A,'[1]DATOS PBI Artículos'!C:C)</f>
        <v>UA02</v>
      </c>
      <c r="D212" s="33">
        <f>_xlfn.XLOOKUP(A212,'[1]DATOS PBI Artículos'!A:A,'[1]DATOS PBI Artículos'!T:T)</f>
        <v>1</v>
      </c>
      <c r="E212" s="34">
        <f>IF(_xlfn.XLOOKUP($A212,'[1]DATOS PBI Artículos'!A:A,'[1]DATOS PBI Artículos'!AK:AK)="",_xlfn.XLOOKUP($A212,'[1]DATOS PBI Artículos'!A:A,'[1]DATOS PBI Artículos'!AJ:AJ),_xlfn.XLOOKUP($A212,'[1]DATOS PBI Artículos'!A:A,'[1]DATOS PBI Artículos'!AK:AK))</f>
        <v>10000</v>
      </c>
      <c r="F212" s="35">
        <f>_xlfn.XLOOKUP($A212,'[1]DATOS PBI Artículos'!A:A,'[1]DATOS PBI Artículos'!AP:AP)</f>
        <v>75</v>
      </c>
      <c r="G212" s="34">
        <f>_xlfn.XLOOKUP($A212,'[1]DATOS PBI Artículos'!A:A,'[1]DATOS PBI Artículos'!AR:AR)</f>
        <v>10000</v>
      </c>
      <c r="H212" s="34">
        <f>_xlfn.XLOOKUP($A212,'[1]DATOS PBI Artículos'!A:A,'[1]DATOS PBI Artículos'!AT:AT)</f>
        <v>0</v>
      </c>
      <c r="I212" s="34">
        <f>_xlfn.XLOOKUP($A212,'[1]DATOS PBI Artículos'!A:A,'[1]DATOS PBI Artículos'!AS:AS)</f>
        <v>10000</v>
      </c>
      <c r="J212" s="35">
        <f>IF(COUNTIF([1]CRITERIOS!$F$179:$F$199,$A212)&gt;=1,
 IF(O212&lt;&gt;"",
    (O212/_xlfn.XLOOKUP(CONCATENATE(A212,L212),[1]MÁQUINAS!A:A,[1]MÁQUINAS!D:D))/24,
    (N212/_xlfn.XLOOKUP(CONCATENATE(A212,L212),[1]MÁQUINAS!A:A,[1]MÁQUINAS!D:D))/24),
  _xlfn.XLOOKUP($A212,'[1]DATOS PBI Artículos'!A:A,'[1]DATOS PBI Artículos'!AU:AU))</f>
        <v>21</v>
      </c>
      <c r="K212" s="36">
        <f>_xlfn.XLOOKUP($A212,'[1]DATOS PBI Artículos'!A:A,'[1]DATOS PBI Artículos'!AV:AV)</f>
        <v>0</v>
      </c>
      <c r="L212" s="33">
        <f>_xlfn.XLOOKUP(A212,[1]MÁQUINAS!B:B,[1]MÁQUINAS!C:C)</f>
        <v>210</v>
      </c>
      <c r="M212" s="34">
        <f t="array" ref="M212">_xlfn.XLOOKUP(A212,'[1]DATOS PBI Artículos'!A:A,'[1]DATOS PBI Artículos'!AX:$AX)</f>
        <v>20714.88018692104</v>
      </c>
      <c r="N212" s="37">
        <f>IF(I212="DV",
E212,
IF(COUNTIF([1]CRITERIOS!$I$179:$I$199,$A212)&gt;=1,
_xlfn.XLOOKUP($A212,[1]CRITERIOS!$I$179:$I$199,[1]CRITERIOS!$J$179:$J$199),
IF(COUNTIF([1]CRITERIOS!$L$179:$L$199,$A212)&gt;=1,
_xlfn.CEILING.MATH(IF($M212&gt;$E212,
$E212,
IF($M212&lt;$E212/ROUNDDOWN([1]CRITERIOS!$M$16/_xlfn.XLOOKUP($C212,[1]CRITERIOS!$K$25:$K$42,[1]CRITERIOS!$M$25:$M$42),
1),
E212/ROUNDDOWN([1]CRITERIOS!$M$16/_xlfn.XLOOKUP($C212,[1]CRITERIOS!$K$25:$K$42,[1]CRITERIOS!$M$25:$M$42),
1),
$M212)),
_xlfn.XLOOKUP($A212,[1]CRITERIOS!$L$179:$L$200,[1]CRITERIOS!$M$179:$M$200)),
_xlfn.CEILING.MATH(IF($M212&gt;$E212,
$E212,
IF($M212&lt;$E212/ROUNDDOWN([1]CRITERIOS!$M$16/_xlfn.XLOOKUP($C212,[1]CRITERIOS!$K$25:$K$42,[1]CRITERIOS!$M$25:$M$42),
1),
E212/ROUNDDOWN([1]CRITERIOS!$M$16/_xlfn.XLOOKUP($C212,[1]CRITERIOS!$K$25:$K$42,[1]CRITERIOS!$M$25:$M$42),
1),
$M212)),_xlfn.XLOOKUP(A212,'[1]DATOS PBI Artículos'!A:A,'[1]DATOS PBI Artículos'!Z:Z
)))))</f>
        <v>10000</v>
      </c>
      <c r="Q212" s="38">
        <f>IF(AND(O212="",N212=0),
0,
   IF(COUNTIF([1]CRITERIOS!$F$179:$F$199,$A212)&gt;=1,
   1,
   IF(R212="MTO",
      $D212,
      ROUNDUP(
                    IF(($E212-SUMIF('[1]DATOS PBI Artículos'!A:A,A212,'[1]DATOS PBI Artículos'!X:X)+($V212-_xlfn.XLOOKUP(A212,'[1]DATOS PBI Artículos'!A:A,'[1]DATOS PBI Artículos'!W:W)))&lt;0,
                    0,
                    IF(($E212-SUMIF('[1]DATOS PBI Artículos'!A:A,A212,'[1]DATOS PBI Artículos'!X:X)+$V212-_xlfn.XLOOKUP($A212,'[1]DATOS PBI Artículos'!A:A,'[1]DATOS PBI Artículos'!W:W))/IF($O212="",$N212,$O212)&gt;ROUNDUP([1]CRITERIOS!$M$16/(IF(COUNTIF([1]CRITERIOS!$BG$11:$BG$201,L212)&gt;=1,_xlfn.XLOOKUP($C212,[1]CRITERIOS!$K$25:$K$42,[1]CRITERIOS!$M$25:$M$42),_xlfn.XLOOKUP($C212,[1]CRITERIOS!$K$25:$K$42,[1]CRITERIOS!$M$25:$M$42))),0),
                    ROUNDUP([1]CRITERIOS!$M$16/(IF(COUNTIF([1]CRITERIOS!$BG$11:$BG$201,$L212)&gt;=1,_xlfn.XLOOKUP($C212,[1]CRITERIOS!$K$25:$K$42,[1]CRITERIOS!$M$25:$M$42),_xlfn.XLOOKUP($C212,[1]CRITERIOS!$K$25:$K$42,[1]CRITERIOS!$M$25:$M$42))),0),
                    (E212+V212-SUMIF('[1]DATOS PBI Artículos'!A:A,A212,'[1]DATOS PBI Artículos'!X:X)-_xlfn.XLOOKUP(A212,'[1]DATOS PBI Artículos'!A:A,'[1]DATOS PBI Artículos'!W:W))/IF($O212="",$N212,$O212))),0))))</f>
        <v>1</v>
      </c>
      <c r="R212" s="33" t="str">
        <f>IF(U212&lt;&gt;"",U212,IF(F212="DV","MTO",IF(N212=0,"MTO",_xlfn.XLOOKUP(CONCATENATE(S212,T212),[1]CRITERIOS!$K$160:$K$168,[1]CRITERIOS!$N$160:$N$168))))</f>
        <v>MTO</v>
      </c>
      <c r="S212" s="33" t="str">
        <f>IF(G212="DV","MTO",IF(N212=0,"MTO",IF(OR(AND(N212=0,O212=""),IF(O212="",G212/N212,G212/O212)&gt;[1]CRITERIOS!$G$163),"MTO",IF(IF(O212="",G212/N212,G212/O212)&lt;[1]CRITERIOS!$H$161,"MTS","MTOS"))))</f>
        <v>MTO</v>
      </c>
      <c r="T212" s="33" t="str">
        <f>IF(F212="DV","MTO",IF(OR(AND($N212=0,O212=""),$F212/$J212&gt;[1]CRITERIOS!$G$170,$F212="DV"),"MTO",IF($F212/$J212&lt;[1]CRITERIOS!$H$168,"MTS","MTOS")))</f>
        <v>MTO</v>
      </c>
      <c r="V212" s="34" t="str">
        <f t="shared" si="10"/>
        <v/>
      </c>
      <c r="X212" s="34">
        <f t="shared" si="11"/>
        <v>0</v>
      </c>
      <c r="Y212" s="34">
        <f t="shared" si="12"/>
        <v>0</v>
      </c>
      <c r="Z212" s="34">
        <f>IF($R212="MTO",
0,
($H212+$K212*($E212/[1]CRITERIOS!$M$16))/[1]CRITERIOS!$X$48)</f>
        <v>0</v>
      </c>
      <c r="AA212" s="34" t="e">
        <f>ROUNDUP(($Y212/_xlfn.XLOOKUP($A212,'[1]DATOS PBI Artículos'!$A$4:$A$4,'[1]DATOS PBI Artículos'!$Z$4:$Z$4))/_xlfn.XLOOKUP(_xlfn.XLOOKUP($A212,'[1]DATOS PBI Artículos'!$A$4:$A$4,'[1]DATOS PBI Artículos'!$Y$4:$Y$4),[1]CRITERIOS!$P$79:$P$123,[1]CRITERIOS!$S$79:$S$123,),0)</f>
        <v>#N/A</v>
      </c>
      <c r="AB212" s="33" t="e">
        <f t="array" ref="AB212">IF((E212+V212-_xlfn.XLOOKUP(A212,'[1]DATOS PBI Artículos'!$A$4:$A$4,'[1]DATOS PBI Artículos'!$W$4:$W$4))/N212&gt;ROUNDUP([1]CRITERIOS!$M$16/(IF(COUNTIF([1]CRITERIOS!$BG$11:$BG$201,L212)&gt;=1,_xlfn.XLOOKUP(ARTÍCULOS!L212,[1]CRITERIOS!$BG$11:$BG$201,[1]CRITERIOS!$BJ$11:$BJ$201),_xlfn.XLOOKUP(ARTÍCULOS!C212,[1]CRITERIOS!$K$25:$K$42,[1]CRITERIOS!$M$25:$M$42))),0),ROUNDUP([1]CRITERIOS!$M$16/(IF(COUNTIF([1]CRITERIOS!$BG$11:$BG$201,L212)&gt;=1,_xlfn.XLOOKUP(ARTÍCULOS!L212,[1]CRITERIOS!$BG$11:$BG$201:#REF!,[1]CRITERIOS!$BJ$11:$BJ$201),_xlfn.XLOOKUP(ARTÍCULOS!C212,[1]CRITERIOS!$K$25:$K$42,[1]CRITERIOS!$M$25:$M$42))),0),(E212+V212-_xlfn.XLOOKUP(A212,'[1]DATOS PBI Artículos'!$A$4:$A$4,'[1]DATOS PBI Artículos'!$W$4:$W$4))/N212)</f>
        <v>#VALUE!</v>
      </c>
      <c r="AC212" s="33" t="e">
        <f>IF(N212=0,"",(ROUNDUP((N212/2)/(_xlfn.XLOOKUP(A212,'[1]DATOS PBI Artículos'!$A$4:$A$4,'[1]DATOS PBI Artículos'!$Z$4:$Z$4)*_xlfn.XLOOKUP(_xlfn.XLOOKUP(A212,'[1]DATOS PBI Artículos'!$A$4:$A$4,'[1]DATOS PBI Artículos'!$Y$4:$Y$4),[1]CRITERIOS!$P$79:$P$123,[1]CRITERIOS!$S$79:$S$123)),0)*[1]CRITERIOS!$M$80*([1]CRITERIOS!$M$110/[1]CRITERIOS!$M$86)+(_xlfn.XLOOKUP(A212,'[1]DATOS PBI Artículos'!$A$4:$A$4,'[1]DATOS PBI Artículos'!$AA$4:$AA$4)*([1]CRITERIOS!$M$95+[1]CRITERIOS!$M$98)))/N212)</f>
        <v>#N/A</v>
      </c>
      <c r="AD212" s="33" t="e">
        <f>IF(N212=0,"",(ROUNDUP((N212/2)/(_xlfn.XLOOKUP(A212,'[1]DATOS PBI Artículos'!$A$4:$A$4,'[1]DATOS PBI Artículos'!$Z$4:$Z$4)*_xlfn.XLOOKUP(_xlfn.XLOOKUP(A212,'[1]DATOS PBI Artículos'!$A$4:$A$4,'[1]DATOS PBI Artículos'!$Y$4:$Y$4),[1]CRITERIOS!$P$79:$P$123,[1]CRITERIOS!$S$79:$S$123)),0)*[1]CRITERIOS!$M$80*([1]CRITERIOS!$M$89*[1]CRITERIOS!$M$92)+((_xlfn.XLOOKUP(A212,'[1]DATOS PBI Artículos'!$A$4:$A$4,'[1]DATOS PBI Artículos'!$AA$4:$AA$4)/2)*([1]CRITERIOS!$M$95+[1]CRITERIOS!$M$98)))/N212)</f>
        <v>#N/A</v>
      </c>
      <c r="AE212" s="39" t="str">
        <f>IF($R212="MTO","",
IF($H212=0,ROUNDUP(((_xlfn.XLOOKUP($A212,'[1]DATOS PBI Artículos'!$A:$A,'[1]DATOS PBI Artículos'!$AL:$AL))/(_xlfn.XLOOKUP($AF$1,[1]CRITERIOS!$S$16:$S$39,[1]CRITERIOS!$Y$16:$Y$39))*$J212+$Z212)/$G212,0)*$G212,
((_xlfn.XLOOKUP($A212,'[1]DATOS PBI Artículos'!$A:$A,'[1]DATOS PBI Artículos'!$AL:$AL))/(_xlfn.XLOOKUP($AF$1,[1]CRITERIOS!$S$16:$S$39,[1]CRITERIOS!$Y$16:$Y$39))*$J212+$Z212)))</f>
        <v/>
      </c>
      <c r="AG212" s="39" t="str">
        <f>IF($R212="MTO","",
IF($H212=0,ROUNDUP(((_xlfn.XLOOKUP($A212,'[1]DATOS PBI Artículos'!$A:$A,'[1]DATOS PBI Artículos'!$AM:$AM))/(_xlfn.XLOOKUP($AH$1,[1]CRITERIOS!$S$16:$S$39,[1]CRITERIOS!$Y$16:$Y$39))*$J212+$Z212)/$G212,0)*$G212,
((_xlfn.XLOOKUP($A212,'[1]DATOS PBI Artículos'!$A:$A,'[1]DATOS PBI Artículos'!$AM:$AM))/(_xlfn.XLOOKUP($AH$1,[1]CRITERIOS!$S$16:$S$39,[1]CRITERIOS!$Y$16:$Y$39))*$J212+$Z212)))</f>
        <v/>
      </c>
      <c r="AI212" s="39" t="str">
        <f>IF($R212="MTO","",
IF($H212=0,ROUNDUP(((_xlfn.XLOOKUP($A212,'[1]DATOS PBI Artículos'!$A:$A,'[1]DATOS PBI Artículos'!$AN:$AN))/(_xlfn.XLOOKUP($AJ$1,[1]CRITERIOS!$S$16:$S$39,[1]CRITERIOS!$Y$16:$Y$39))*$J212+$Z212)/$G212,0)*$G212,
((_xlfn.XLOOKUP($A212,'[1]DATOS PBI Artículos'!$A:$A,'[1]DATOS PBI Artículos'!$AN:$AN))/(_xlfn.XLOOKUP($AJ$1,[1]CRITERIOS!$S$16:$S$39,[1]CRITERIOS!$Y$16:$Y$39))*$J212+$Z212)))</f>
        <v/>
      </c>
      <c r="AK212" s="39" t="str">
        <f>IF($R212="MTO","",
IF($H212=0,ROUNDUP(((_xlfn.XLOOKUP($A212,'[1]DATOS PBI Artículos'!$A:$A,'[1]DATOS PBI Artículos'!$AO:$AO))/(_xlfn.XLOOKUP($AL$1,[1]CRITERIOS!$S$16:$S$39,[1]CRITERIOS!$Y$16:$Y$39))*$J212+$Z212)/$G212,0)*$G212,
((_xlfn.XLOOKUP($A212,'[1]DATOS PBI Artículos'!$A:$A,'[1]DATOS PBI Artículos'!$AO:$AO))/(_xlfn.XLOOKUP($AL$1,[1]CRITERIOS!$S$16:$S$39,[1]CRITERIOS!$Y$16:$Y$39))*$J212+$Z212)))</f>
        <v/>
      </c>
    </row>
    <row r="213" spans="1:37" ht="25.8" x14ac:dyDescent="0.5">
      <c r="A213" s="32" t="s">
        <v>104</v>
      </c>
      <c r="B213" s="33">
        <f>_xlfn.XLOOKUP($A213,'[1]DATOS PBI Artículos'!A:A,'[1]DATOS PBI Artículos'!B:B)</f>
        <v>0</v>
      </c>
      <c r="C213" s="33" t="str">
        <f>_xlfn.XLOOKUP($A213,'[1]DATOS PBI Artículos'!A:A,'[1]DATOS PBI Artículos'!C:C)</f>
        <v>UA01</v>
      </c>
      <c r="D213" s="33">
        <f>_xlfn.XLOOKUP(A213,'[1]DATOS PBI Artículos'!A:A,'[1]DATOS PBI Artículos'!T:T)</f>
        <v>1</v>
      </c>
      <c r="E213" s="34">
        <f>IF(_xlfn.XLOOKUP($A213,'[1]DATOS PBI Artículos'!A:A,'[1]DATOS PBI Artículos'!AK:AK)="",_xlfn.XLOOKUP($A213,'[1]DATOS PBI Artículos'!A:A,'[1]DATOS PBI Artículos'!AJ:AJ),_xlfn.XLOOKUP($A213,'[1]DATOS PBI Artículos'!A:A,'[1]DATOS PBI Artículos'!AK:AK))</f>
        <v>9000</v>
      </c>
      <c r="F213" s="35">
        <f>_xlfn.XLOOKUP($A213,'[1]DATOS PBI Artículos'!A:A,'[1]DATOS PBI Artículos'!AP:AP)</f>
        <v>75</v>
      </c>
      <c r="G213" s="34">
        <f>_xlfn.XLOOKUP($A213,'[1]DATOS PBI Artículos'!A:A,'[1]DATOS PBI Artículos'!AR:AR)</f>
        <v>9000</v>
      </c>
      <c r="H213" s="34">
        <f>_xlfn.XLOOKUP($A213,'[1]DATOS PBI Artículos'!A:A,'[1]DATOS PBI Artículos'!AT:AT)</f>
        <v>0</v>
      </c>
      <c r="I213" s="34">
        <f>_xlfn.XLOOKUP($A213,'[1]DATOS PBI Artículos'!A:A,'[1]DATOS PBI Artículos'!AS:AS)</f>
        <v>9000</v>
      </c>
      <c r="J213" s="35">
        <f>IF(COUNTIF([1]CRITERIOS!$F$179:$F$199,$A213)&gt;=1,
 IF(O213&lt;&gt;"",
    (O213/_xlfn.XLOOKUP(CONCATENATE(A213,L213),[1]MÁQUINAS!A:A,[1]MÁQUINAS!D:D))/24,
    (N213/_xlfn.XLOOKUP(CONCATENATE(A213,L213),[1]MÁQUINAS!A:A,[1]MÁQUINAS!D:D))/24),
  _xlfn.XLOOKUP($A213,'[1]DATOS PBI Artículos'!A:A,'[1]DATOS PBI Artículos'!AU:AU))</f>
        <v>10</v>
      </c>
      <c r="K213" s="36">
        <f>_xlfn.XLOOKUP($A213,'[1]DATOS PBI Artículos'!A:A,'[1]DATOS PBI Artículos'!AV:AV)</f>
        <v>0</v>
      </c>
      <c r="L213" s="33">
        <f>_xlfn.XLOOKUP(A213,[1]MÁQUINAS!B:B,[1]MÁQUINAS!C:C)</f>
        <v>550</v>
      </c>
      <c r="M213" s="34">
        <f t="array" ref="M213">_xlfn.XLOOKUP(A213,'[1]DATOS PBI Artículos'!A:A,'[1]DATOS PBI Artículos'!AX:$AX)</f>
        <v>5696.8487987200797</v>
      </c>
      <c r="N213" s="37">
        <f>IF(I213="DV",
E213,
IF(COUNTIF([1]CRITERIOS!$I$179:$I$199,$A213)&gt;=1,
_xlfn.XLOOKUP($A213,[1]CRITERIOS!$I$179:$I$199,[1]CRITERIOS!$J$179:$J$199),
IF(COUNTIF([1]CRITERIOS!$L$179:$L$199,$A213)&gt;=1,
_xlfn.CEILING.MATH(IF($M213&gt;$E213,
$E213,
IF($M213&lt;$E213/ROUNDDOWN([1]CRITERIOS!$M$16/_xlfn.XLOOKUP($C213,[1]CRITERIOS!$K$25:$K$42,[1]CRITERIOS!$M$25:$M$42),
1),
E213/ROUNDDOWN([1]CRITERIOS!$M$16/_xlfn.XLOOKUP($C213,[1]CRITERIOS!$K$25:$K$42,[1]CRITERIOS!$M$25:$M$42),
1),
$M213)),
_xlfn.XLOOKUP($A213,[1]CRITERIOS!$L$179:$L$200,[1]CRITERIOS!$M$179:$M$200)),
_xlfn.CEILING.MATH(IF($M213&gt;$E213,
$E213,
IF($M213&lt;$E213/ROUNDDOWN([1]CRITERIOS!$M$16/_xlfn.XLOOKUP($C213,[1]CRITERIOS!$K$25:$K$42,[1]CRITERIOS!$M$25:$M$42),
1),
E213/ROUNDDOWN([1]CRITERIOS!$M$16/_xlfn.XLOOKUP($C213,[1]CRITERIOS!$K$25:$K$42,[1]CRITERIOS!$M$25:$M$42),
1),
$M213)),_xlfn.XLOOKUP(A213,'[1]DATOS PBI Artículos'!A:A,'[1]DATOS PBI Artículos'!Z:Z
)))))</f>
        <v>5750</v>
      </c>
      <c r="Q213" s="38">
        <f>IF(AND(O213="",N213=0),
0,
   IF(COUNTIF([1]CRITERIOS!$F$179:$F$199,$A213)&gt;=1,
   1,
   IF(R213="MTO",
      $D213,
      ROUNDUP(
                    IF(($E213-SUMIF('[1]DATOS PBI Artículos'!A:A,A213,'[1]DATOS PBI Artículos'!X:X)+($V213-_xlfn.XLOOKUP(A213,'[1]DATOS PBI Artículos'!A:A,'[1]DATOS PBI Artículos'!W:W)))&lt;0,
                    0,
                    IF(($E213-SUMIF('[1]DATOS PBI Artículos'!A:A,A213,'[1]DATOS PBI Artículos'!X:X)+$V213-_xlfn.XLOOKUP($A213,'[1]DATOS PBI Artículos'!A:A,'[1]DATOS PBI Artículos'!W:W))/IF($O213="",$N213,$O213)&gt;ROUNDUP([1]CRITERIOS!$M$16/(IF(COUNTIF([1]CRITERIOS!$BG$11:$BG$201,L213)&gt;=1,_xlfn.XLOOKUP($C213,[1]CRITERIOS!$K$25:$K$42,[1]CRITERIOS!$M$25:$M$42),_xlfn.XLOOKUP($C213,[1]CRITERIOS!$K$25:$K$42,[1]CRITERIOS!$M$25:$M$42))),0),
                    ROUNDUP([1]CRITERIOS!$M$16/(IF(COUNTIF([1]CRITERIOS!$BG$11:$BG$201,$L213)&gt;=1,_xlfn.XLOOKUP($C213,[1]CRITERIOS!$K$25:$K$42,[1]CRITERIOS!$M$25:$M$42),_xlfn.XLOOKUP($C213,[1]CRITERIOS!$K$25:$K$42,[1]CRITERIOS!$M$25:$M$42))),0),
                    (E213+V213-SUMIF('[1]DATOS PBI Artículos'!A:A,A213,'[1]DATOS PBI Artículos'!X:X)-_xlfn.XLOOKUP(A213,'[1]DATOS PBI Artículos'!A:A,'[1]DATOS PBI Artículos'!W:W))/IF($O213="",$N213,$O213))),0))))</f>
        <v>1</v>
      </c>
      <c r="R213" s="33" t="str">
        <f>IF(U213&lt;&gt;"",U213,IF(F213="DV","MTO",IF(N213=0,"MTO",_xlfn.XLOOKUP(CONCATENATE(S213,T213),[1]CRITERIOS!$K$160:$K$168,[1]CRITERIOS!$N$160:$N$168))))</f>
        <v>MTO</v>
      </c>
      <c r="S213" s="33" t="str">
        <f>IF(G213="DV","MTO",IF(N213=0,"MTO",IF(OR(AND(N213=0,O213=""),IF(O213="",G213/N213,G213/O213)&gt;[1]CRITERIOS!$G$163),"MTO",IF(IF(O213="",G213/N213,G213/O213)&lt;[1]CRITERIOS!$H$161,"MTS","MTOS"))))</f>
        <v>MTO</v>
      </c>
      <c r="T213" s="33" t="str">
        <f>IF(F213="DV","MTO",IF(OR(AND($N213=0,O213=""),$F213/$J213&gt;[1]CRITERIOS!$G$170,$F213="DV"),"MTO",IF($F213/$J213&lt;[1]CRITERIOS!$H$168,"MTS","MTOS")))</f>
        <v>MTO</v>
      </c>
      <c r="V213" s="34" t="str">
        <f t="shared" si="10"/>
        <v/>
      </c>
      <c r="X213" s="34">
        <f t="shared" si="11"/>
        <v>0</v>
      </c>
      <c r="Y213" s="34">
        <f t="shared" si="12"/>
        <v>0</v>
      </c>
      <c r="Z213" s="34">
        <f>IF($R213="MTO",
0,
($H213+$K213*($E213/[1]CRITERIOS!$M$16))/[1]CRITERIOS!$X$48)</f>
        <v>0</v>
      </c>
      <c r="AA213" s="34" t="e">
        <f>ROUNDUP(($Y213/_xlfn.XLOOKUP($A213,'[1]DATOS PBI Artículos'!$A$4:$A$4,'[1]DATOS PBI Artículos'!$Z$4:$Z$4))/_xlfn.XLOOKUP(_xlfn.XLOOKUP($A213,'[1]DATOS PBI Artículos'!$A$4:$A$4,'[1]DATOS PBI Artículos'!$Y$4:$Y$4),[1]CRITERIOS!$P$79:$P$123,[1]CRITERIOS!$S$79:$S$123,),0)</f>
        <v>#N/A</v>
      </c>
      <c r="AB213" s="33" t="e">
        <f t="array" ref="AB213">IF((E213+V213-_xlfn.XLOOKUP(A213,'[1]DATOS PBI Artículos'!$A$4:$A$4,'[1]DATOS PBI Artículos'!$W$4:$W$4))/N213&gt;ROUNDUP([1]CRITERIOS!$M$16/(IF(COUNTIF([1]CRITERIOS!$BG$11:$BG$201,L213)&gt;=1,_xlfn.XLOOKUP(ARTÍCULOS!L213,[1]CRITERIOS!$BG$11:$BG$201,[1]CRITERIOS!$BJ$11:$BJ$201),_xlfn.XLOOKUP(ARTÍCULOS!C213,[1]CRITERIOS!$K$25:$K$42,[1]CRITERIOS!$M$25:$M$42))),0),ROUNDUP([1]CRITERIOS!$M$16/(IF(COUNTIF([1]CRITERIOS!$BG$11:$BG$201,L213)&gt;=1,_xlfn.XLOOKUP(ARTÍCULOS!L213,[1]CRITERIOS!$BG$11:$BG$201:#REF!,[1]CRITERIOS!$BJ$11:$BJ$201),_xlfn.XLOOKUP(ARTÍCULOS!C213,[1]CRITERIOS!$K$25:$K$42,[1]CRITERIOS!$M$25:$M$42))),0),(E213+V213-_xlfn.XLOOKUP(A213,'[1]DATOS PBI Artículos'!$A$4:$A$4,'[1]DATOS PBI Artículos'!$W$4:$W$4))/N213)</f>
        <v>#VALUE!</v>
      </c>
      <c r="AC213" s="33" t="e">
        <f>IF(N213=0,"",(ROUNDUP((N213/2)/(_xlfn.XLOOKUP(A213,'[1]DATOS PBI Artículos'!$A$4:$A$4,'[1]DATOS PBI Artículos'!$Z$4:$Z$4)*_xlfn.XLOOKUP(_xlfn.XLOOKUP(A213,'[1]DATOS PBI Artículos'!$A$4:$A$4,'[1]DATOS PBI Artículos'!$Y$4:$Y$4),[1]CRITERIOS!$P$79:$P$123,[1]CRITERIOS!$S$79:$S$123)),0)*[1]CRITERIOS!$M$80*([1]CRITERIOS!$M$110/[1]CRITERIOS!$M$86)+(_xlfn.XLOOKUP(A213,'[1]DATOS PBI Artículos'!$A$4:$A$4,'[1]DATOS PBI Artículos'!$AA$4:$AA$4)*([1]CRITERIOS!$M$95+[1]CRITERIOS!$M$98)))/N213)</f>
        <v>#N/A</v>
      </c>
      <c r="AD213" s="33" t="e">
        <f>IF(N213=0,"",(ROUNDUP((N213/2)/(_xlfn.XLOOKUP(A213,'[1]DATOS PBI Artículos'!$A$4:$A$4,'[1]DATOS PBI Artículos'!$Z$4:$Z$4)*_xlfn.XLOOKUP(_xlfn.XLOOKUP(A213,'[1]DATOS PBI Artículos'!$A$4:$A$4,'[1]DATOS PBI Artículos'!$Y$4:$Y$4),[1]CRITERIOS!$P$79:$P$123,[1]CRITERIOS!$S$79:$S$123)),0)*[1]CRITERIOS!$M$80*([1]CRITERIOS!$M$89*[1]CRITERIOS!$M$92)+((_xlfn.XLOOKUP(A213,'[1]DATOS PBI Artículos'!$A$4:$A$4,'[1]DATOS PBI Artículos'!$AA$4:$AA$4)/2)*([1]CRITERIOS!$M$95+[1]CRITERIOS!$M$98)))/N213)</f>
        <v>#N/A</v>
      </c>
      <c r="AE213" s="39" t="str">
        <f>IF($R213="MTO","",
IF($H213=0,ROUNDUP(((_xlfn.XLOOKUP($A213,'[1]DATOS PBI Artículos'!$A:$A,'[1]DATOS PBI Artículos'!$AL:$AL))/(_xlfn.XLOOKUP($AF$1,[1]CRITERIOS!$S$16:$S$39,[1]CRITERIOS!$Y$16:$Y$39))*$J213+$Z213)/$G213,0)*$G213,
((_xlfn.XLOOKUP($A213,'[1]DATOS PBI Artículos'!$A:$A,'[1]DATOS PBI Artículos'!$AL:$AL))/(_xlfn.XLOOKUP($AF$1,[1]CRITERIOS!$S$16:$S$39,[1]CRITERIOS!$Y$16:$Y$39))*$J213+$Z213)))</f>
        <v/>
      </c>
      <c r="AG213" s="39" t="str">
        <f>IF($R213="MTO","",
IF($H213=0,ROUNDUP(((_xlfn.XLOOKUP($A213,'[1]DATOS PBI Artículos'!$A:$A,'[1]DATOS PBI Artículos'!$AM:$AM))/(_xlfn.XLOOKUP($AH$1,[1]CRITERIOS!$S$16:$S$39,[1]CRITERIOS!$Y$16:$Y$39))*$J213+$Z213)/$G213,0)*$G213,
((_xlfn.XLOOKUP($A213,'[1]DATOS PBI Artículos'!$A:$A,'[1]DATOS PBI Artículos'!$AM:$AM))/(_xlfn.XLOOKUP($AH$1,[1]CRITERIOS!$S$16:$S$39,[1]CRITERIOS!$Y$16:$Y$39))*$J213+$Z213)))</f>
        <v/>
      </c>
      <c r="AI213" s="39" t="str">
        <f>IF($R213="MTO","",
IF($H213=0,ROUNDUP(((_xlfn.XLOOKUP($A213,'[1]DATOS PBI Artículos'!$A:$A,'[1]DATOS PBI Artículos'!$AN:$AN))/(_xlfn.XLOOKUP($AJ$1,[1]CRITERIOS!$S$16:$S$39,[1]CRITERIOS!$Y$16:$Y$39))*$J213+$Z213)/$G213,0)*$G213,
((_xlfn.XLOOKUP($A213,'[1]DATOS PBI Artículos'!$A:$A,'[1]DATOS PBI Artículos'!$AN:$AN))/(_xlfn.XLOOKUP($AJ$1,[1]CRITERIOS!$S$16:$S$39,[1]CRITERIOS!$Y$16:$Y$39))*$J213+$Z213)))</f>
        <v/>
      </c>
      <c r="AK213" s="39" t="str">
        <f>IF($R213="MTO","",
IF($H213=0,ROUNDUP(((_xlfn.XLOOKUP($A213,'[1]DATOS PBI Artículos'!$A:$A,'[1]DATOS PBI Artículos'!$AO:$AO))/(_xlfn.XLOOKUP($AL$1,[1]CRITERIOS!$S$16:$S$39,[1]CRITERIOS!$Y$16:$Y$39))*$J213+$Z213)/$G213,0)*$G213,
((_xlfn.XLOOKUP($A213,'[1]DATOS PBI Artículos'!$A:$A,'[1]DATOS PBI Artículos'!$AO:$AO))/(_xlfn.XLOOKUP($AL$1,[1]CRITERIOS!$S$16:$S$39,[1]CRITERIOS!$Y$16:$Y$39))*$J213+$Z213)))</f>
        <v/>
      </c>
    </row>
    <row r="214" spans="1:37" ht="25.8" x14ac:dyDescent="0.5">
      <c r="A214" s="32">
        <v>408644</v>
      </c>
      <c r="B214" s="33">
        <f>_xlfn.XLOOKUP($A214,'[1]DATOS PBI Artículos'!A:A,'[1]DATOS PBI Artículos'!B:B)</f>
        <v>0</v>
      </c>
      <c r="C214" s="33" t="str">
        <f>_xlfn.XLOOKUP($A214,'[1]DATOS PBI Artículos'!A:A,'[1]DATOS PBI Artículos'!C:C)</f>
        <v>UA03</v>
      </c>
      <c r="D214" s="33">
        <f>_xlfn.XLOOKUP(A214,'[1]DATOS PBI Artículos'!A:A,'[1]DATOS PBI Artículos'!T:T)</f>
        <v>1</v>
      </c>
      <c r="E214" s="34">
        <f>IF(_xlfn.XLOOKUP($A214,'[1]DATOS PBI Artículos'!A:A,'[1]DATOS PBI Artículos'!AK:AK)="",_xlfn.XLOOKUP($A214,'[1]DATOS PBI Artículos'!A:A,'[1]DATOS PBI Artículos'!AJ:AJ),_xlfn.XLOOKUP($A214,'[1]DATOS PBI Artículos'!A:A,'[1]DATOS PBI Artículos'!AK:AK))</f>
        <v>8440</v>
      </c>
      <c r="F214" s="35">
        <f>_xlfn.XLOOKUP($A214,'[1]DATOS PBI Artículos'!A:A,'[1]DATOS PBI Artículos'!AP:AP)</f>
        <v>75</v>
      </c>
      <c r="G214" s="34">
        <f>_xlfn.XLOOKUP($A214,'[1]DATOS PBI Artículos'!A:A,'[1]DATOS PBI Artículos'!AR:AR)</f>
        <v>8440</v>
      </c>
      <c r="H214" s="34">
        <f>_xlfn.XLOOKUP($A214,'[1]DATOS PBI Artículos'!A:A,'[1]DATOS PBI Artículos'!AT:AT)</f>
        <v>0</v>
      </c>
      <c r="I214" s="34">
        <f>_xlfn.XLOOKUP($A214,'[1]DATOS PBI Artículos'!A:A,'[1]DATOS PBI Artículos'!AS:AS)</f>
        <v>8440</v>
      </c>
      <c r="J214" s="35">
        <f>IF(COUNTIF([1]CRITERIOS!$F$179:$F$199,$A214)&gt;=1,
 IF(O214&lt;&gt;"",
    (O214/_xlfn.XLOOKUP(CONCATENATE(A214,L214),[1]MÁQUINAS!A:A,[1]MÁQUINAS!D:D))/24,
    (N214/_xlfn.XLOOKUP(CONCATENATE(A214,L214),[1]MÁQUINAS!A:A,[1]MÁQUINAS!D:D))/24),
  _xlfn.XLOOKUP($A214,'[1]DATOS PBI Artículos'!A:A,'[1]DATOS PBI Artículos'!AU:AU))</f>
        <v>13</v>
      </c>
      <c r="K214" s="36">
        <f>_xlfn.XLOOKUP($A214,'[1]DATOS PBI Artículos'!A:A,'[1]DATOS PBI Artículos'!AV:AV)</f>
        <v>0</v>
      </c>
      <c r="L214" s="33">
        <f>_xlfn.XLOOKUP(A214,[1]MÁQUINAS!B:B,[1]MÁQUINAS!C:C)</f>
        <v>122</v>
      </c>
      <c r="M214" s="34">
        <f t="array" ref="M214">_xlfn.XLOOKUP(A214,'[1]DATOS PBI Artículos'!A:A,'[1]DATOS PBI Artículos'!AX:$AX)</f>
        <v>14407.464090491831</v>
      </c>
      <c r="N214" s="37">
        <f>IF(I214="DV",
E214,
IF(COUNTIF([1]CRITERIOS!$I$179:$I$199,$A214)&gt;=1,
_xlfn.XLOOKUP($A214,[1]CRITERIOS!$I$179:$I$199,[1]CRITERIOS!$J$179:$J$199),
IF(COUNTIF([1]CRITERIOS!$L$179:$L$199,$A214)&gt;=1,
_xlfn.CEILING.MATH(IF($M214&gt;$E214,
$E214,
IF($M214&lt;$E214/ROUNDDOWN([1]CRITERIOS!$M$16/_xlfn.XLOOKUP($C214,[1]CRITERIOS!$K$25:$K$42,[1]CRITERIOS!$M$25:$M$42),
1),
E214/ROUNDDOWN([1]CRITERIOS!$M$16/_xlfn.XLOOKUP($C214,[1]CRITERIOS!$K$25:$K$42,[1]CRITERIOS!$M$25:$M$42),
1),
$M214)),
_xlfn.XLOOKUP($A214,[1]CRITERIOS!$L$179:$L$200,[1]CRITERIOS!$M$179:$M$200)),
_xlfn.CEILING.MATH(IF($M214&gt;$E214,
$E214,
IF($M214&lt;$E214/ROUNDDOWN([1]CRITERIOS!$M$16/_xlfn.XLOOKUP($C214,[1]CRITERIOS!$K$25:$K$42,[1]CRITERIOS!$M$25:$M$42),
1),
E214/ROUNDDOWN([1]CRITERIOS!$M$16/_xlfn.XLOOKUP($C214,[1]CRITERIOS!$K$25:$K$42,[1]CRITERIOS!$M$25:$M$42),
1),
$M214)),_xlfn.XLOOKUP(A214,'[1]DATOS PBI Artículos'!A:A,'[1]DATOS PBI Artículos'!Z:Z
)))))</f>
        <v>10000</v>
      </c>
      <c r="Q214" s="38">
        <f>IF(AND(O214="",N214=0),
0,
   IF(COUNTIF([1]CRITERIOS!$F$179:$F$199,$A214)&gt;=1,
   1,
   IF(R214="MTO",
      $D214,
      ROUNDUP(
                    IF(($E214-SUMIF('[1]DATOS PBI Artículos'!A:A,A214,'[1]DATOS PBI Artículos'!X:X)+($V214-_xlfn.XLOOKUP(A214,'[1]DATOS PBI Artículos'!A:A,'[1]DATOS PBI Artículos'!W:W)))&lt;0,
                    0,
                    IF(($E214-SUMIF('[1]DATOS PBI Artículos'!A:A,A214,'[1]DATOS PBI Artículos'!X:X)+$V214-_xlfn.XLOOKUP($A214,'[1]DATOS PBI Artículos'!A:A,'[1]DATOS PBI Artículos'!W:W))/IF($O214="",$N214,$O214)&gt;ROUNDUP([1]CRITERIOS!$M$16/(IF(COUNTIF([1]CRITERIOS!$BG$11:$BG$201,L214)&gt;=1,_xlfn.XLOOKUP($C214,[1]CRITERIOS!$K$25:$K$42,[1]CRITERIOS!$M$25:$M$42),_xlfn.XLOOKUP($C214,[1]CRITERIOS!$K$25:$K$42,[1]CRITERIOS!$M$25:$M$42))),0),
                    ROUNDUP([1]CRITERIOS!$M$16/(IF(COUNTIF([1]CRITERIOS!$BG$11:$BG$201,$L214)&gt;=1,_xlfn.XLOOKUP($C214,[1]CRITERIOS!$K$25:$K$42,[1]CRITERIOS!$M$25:$M$42),_xlfn.XLOOKUP($C214,[1]CRITERIOS!$K$25:$K$42,[1]CRITERIOS!$M$25:$M$42))),0),
                    (E214+V214-SUMIF('[1]DATOS PBI Artículos'!A:A,A214,'[1]DATOS PBI Artículos'!X:X)-_xlfn.XLOOKUP(A214,'[1]DATOS PBI Artículos'!A:A,'[1]DATOS PBI Artículos'!W:W))/IF($O214="",$N214,$O214))),0))))</f>
        <v>1</v>
      </c>
      <c r="R214" s="33" t="str">
        <f>IF(U214&lt;&gt;"",U214,IF(F214="DV","MTO",IF(N214=0,"MTO",_xlfn.XLOOKUP(CONCATENATE(S214,T214),[1]CRITERIOS!$K$160:$K$168,[1]CRITERIOS!$N$160:$N$168))))</f>
        <v>MTO</v>
      </c>
      <c r="S214" s="33" t="str">
        <f>IF(G214="DV","MTO",IF(N214=0,"MTO",IF(OR(AND(N214=0,O214=""),IF(O214="",G214/N214,G214/O214)&gt;[1]CRITERIOS!$G$163),"MTO",IF(IF(O214="",G214/N214,G214/O214)&lt;[1]CRITERIOS!$H$161,"MTS","MTOS"))))</f>
        <v>MTO</v>
      </c>
      <c r="T214" s="33" t="str">
        <f>IF(F214="DV","MTO",IF(OR(AND($N214=0,O214=""),$F214/$J214&gt;[1]CRITERIOS!$G$170,$F214="DV"),"MTO",IF($F214/$J214&lt;[1]CRITERIOS!$H$168,"MTS","MTOS")))</f>
        <v>MTO</v>
      </c>
      <c r="V214" s="34" t="str">
        <f t="shared" si="10"/>
        <v/>
      </c>
      <c r="X214" s="34">
        <f t="shared" si="11"/>
        <v>0</v>
      </c>
      <c r="Y214" s="34">
        <f t="shared" si="12"/>
        <v>0</v>
      </c>
      <c r="Z214" s="34">
        <f>IF($R214="MTO",
0,
($H214+$K214*($E214/[1]CRITERIOS!$M$16))/[1]CRITERIOS!$X$48)</f>
        <v>0</v>
      </c>
      <c r="AA214" s="34" t="e">
        <f>ROUNDUP(($Y214/_xlfn.XLOOKUP($A214,'[1]DATOS PBI Artículos'!$A$4:$A$4,'[1]DATOS PBI Artículos'!$Z$4:$Z$4))/_xlfn.XLOOKUP(_xlfn.XLOOKUP($A214,'[1]DATOS PBI Artículos'!$A$4:$A$4,'[1]DATOS PBI Artículos'!$Y$4:$Y$4),[1]CRITERIOS!$P$79:$P$123,[1]CRITERIOS!$S$79:$S$123,),0)</f>
        <v>#N/A</v>
      </c>
      <c r="AB214" s="33" t="e">
        <f t="array" ref="AB214">IF((E214+V214-_xlfn.XLOOKUP(A214,'[1]DATOS PBI Artículos'!$A$4:$A$4,'[1]DATOS PBI Artículos'!$W$4:$W$4))/N214&gt;ROUNDUP([1]CRITERIOS!$M$16/(IF(COUNTIF([1]CRITERIOS!$BG$11:$BG$201,L214)&gt;=1,_xlfn.XLOOKUP(ARTÍCULOS!L214,[1]CRITERIOS!$BG$11:$BG$201,[1]CRITERIOS!$BJ$11:$BJ$201),_xlfn.XLOOKUP(ARTÍCULOS!C214,[1]CRITERIOS!$K$25:$K$42,[1]CRITERIOS!$M$25:$M$42))),0),ROUNDUP([1]CRITERIOS!$M$16/(IF(COUNTIF([1]CRITERIOS!$BG$11:$BG$201,L214)&gt;=1,_xlfn.XLOOKUP(ARTÍCULOS!L214,[1]CRITERIOS!$BG$11:$BG$201:#REF!,[1]CRITERIOS!$BJ$11:$BJ$201),_xlfn.XLOOKUP(ARTÍCULOS!C214,[1]CRITERIOS!$K$25:$K$42,[1]CRITERIOS!$M$25:$M$42))),0),(E214+V214-_xlfn.XLOOKUP(A214,'[1]DATOS PBI Artículos'!$A$4:$A$4,'[1]DATOS PBI Artículos'!$W$4:$W$4))/N214)</f>
        <v>#VALUE!</v>
      </c>
      <c r="AC214" s="33" t="e">
        <f>IF(N214=0,"",(ROUNDUP((N214/2)/(_xlfn.XLOOKUP(A214,'[1]DATOS PBI Artículos'!$A$4:$A$4,'[1]DATOS PBI Artículos'!$Z$4:$Z$4)*_xlfn.XLOOKUP(_xlfn.XLOOKUP(A214,'[1]DATOS PBI Artículos'!$A$4:$A$4,'[1]DATOS PBI Artículos'!$Y$4:$Y$4),[1]CRITERIOS!$P$79:$P$123,[1]CRITERIOS!$S$79:$S$123)),0)*[1]CRITERIOS!$M$80*([1]CRITERIOS!$M$110/[1]CRITERIOS!$M$86)+(_xlfn.XLOOKUP(A214,'[1]DATOS PBI Artículos'!$A$4:$A$4,'[1]DATOS PBI Artículos'!$AA$4:$AA$4)*([1]CRITERIOS!$M$95+[1]CRITERIOS!$M$98)))/N214)</f>
        <v>#N/A</v>
      </c>
      <c r="AD214" s="33" t="e">
        <f>IF(N214=0,"",(ROUNDUP((N214/2)/(_xlfn.XLOOKUP(A214,'[1]DATOS PBI Artículos'!$A$4:$A$4,'[1]DATOS PBI Artículos'!$Z$4:$Z$4)*_xlfn.XLOOKUP(_xlfn.XLOOKUP(A214,'[1]DATOS PBI Artículos'!$A$4:$A$4,'[1]DATOS PBI Artículos'!$Y$4:$Y$4),[1]CRITERIOS!$P$79:$P$123,[1]CRITERIOS!$S$79:$S$123)),0)*[1]CRITERIOS!$M$80*([1]CRITERIOS!$M$89*[1]CRITERIOS!$M$92)+((_xlfn.XLOOKUP(A214,'[1]DATOS PBI Artículos'!$A$4:$A$4,'[1]DATOS PBI Artículos'!$AA$4:$AA$4)/2)*([1]CRITERIOS!$M$95+[1]CRITERIOS!$M$98)))/N214)</f>
        <v>#N/A</v>
      </c>
      <c r="AE214" s="39" t="str">
        <f>IF($R214="MTO","",
IF($H214=0,ROUNDUP(((_xlfn.XLOOKUP($A214,'[1]DATOS PBI Artículos'!$A:$A,'[1]DATOS PBI Artículos'!$AL:$AL))/(_xlfn.XLOOKUP($AF$1,[1]CRITERIOS!$S$16:$S$39,[1]CRITERIOS!$Y$16:$Y$39))*$J214+$Z214)/$G214,0)*$G214,
((_xlfn.XLOOKUP($A214,'[1]DATOS PBI Artículos'!$A:$A,'[1]DATOS PBI Artículos'!$AL:$AL))/(_xlfn.XLOOKUP($AF$1,[1]CRITERIOS!$S$16:$S$39,[1]CRITERIOS!$Y$16:$Y$39))*$J214+$Z214)))</f>
        <v/>
      </c>
      <c r="AG214" s="39" t="str">
        <f>IF($R214="MTO","",
IF($H214=0,ROUNDUP(((_xlfn.XLOOKUP($A214,'[1]DATOS PBI Artículos'!$A:$A,'[1]DATOS PBI Artículos'!$AM:$AM))/(_xlfn.XLOOKUP($AH$1,[1]CRITERIOS!$S$16:$S$39,[1]CRITERIOS!$Y$16:$Y$39))*$J214+$Z214)/$G214,0)*$G214,
((_xlfn.XLOOKUP($A214,'[1]DATOS PBI Artículos'!$A:$A,'[1]DATOS PBI Artículos'!$AM:$AM))/(_xlfn.XLOOKUP($AH$1,[1]CRITERIOS!$S$16:$S$39,[1]CRITERIOS!$Y$16:$Y$39))*$J214+$Z214)))</f>
        <v/>
      </c>
      <c r="AI214" s="39" t="str">
        <f>IF($R214="MTO","",
IF($H214=0,ROUNDUP(((_xlfn.XLOOKUP($A214,'[1]DATOS PBI Artículos'!$A:$A,'[1]DATOS PBI Artículos'!$AN:$AN))/(_xlfn.XLOOKUP($AJ$1,[1]CRITERIOS!$S$16:$S$39,[1]CRITERIOS!$Y$16:$Y$39))*$J214+$Z214)/$G214,0)*$G214,
((_xlfn.XLOOKUP($A214,'[1]DATOS PBI Artículos'!$A:$A,'[1]DATOS PBI Artículos'!$AN:$AN))/(_xlfn.XLOOKUP($AJ$1,[1]CRITERIOS!$S$16:$S$39,[1]CRITERIOS!$Y$16:$Y$39))*$J214+$Z214)))</f>
        <v/>
      </c>
      <c r="AK214" s="39" t="str">
        <f>IF($R214="MTO","",
IF($H214=0,ROUNDUP(((_xlfn.XLOOKUP($A214,'[1]DATOS PBI Artículos'!$A:$A,'[1]DATOS PBI Artículos'!$AO:$AO))/(_xlfn.XLOOKUP($AL$1,[1]CRITERIOS!$S$16:$S$39,[1]CRITERIOS!$Y$16:$Y$39))*$J214+$Z214)/$G214,0)*$G214,
((_xlfn.XLOOKUP($A214,'[1]DATOS PBI Artículos'!$A:$A,'[1]DATOS PBI Artículos'!$AO:$AO))/(_xlfn.XLOOKUP($AL$1,[1]CRITERIOS!$S$16:$S$39,[1]CRITERIOS!$Y$16:$Y$39))*$J214+$Z214)))</f>
        <v/>
      </c>
    </row>
    <row r="215" spans="1:37" ht="25.8" x14ac:dyDescent="0.5">
      <c r="A215" s="32">
        <v>451707</v>
      </c>
      <c r="B215" s="33">
        <f>_xlfn.XLOOKUP($A215,'[1]DATOS PBI Artículos'!A:A,'[1]DATOS PBI Artículos'!B:B)</f>
        <v>0</v>
      </c>
      <c r="C215" s="33" t="str">
        <f>_xlfn.XLOOKUP($A215,'[1]DATOS PBI Artículos'!A:A,'[1]DATOS PBI Artículos'!C:C)</f>
        <v>UA02</v>
      </c>
      <c r="D215" s="33">
        <f>_xlfn.XLOOKUP(A215,'[1]DATOS PBI Artículos'!A:A,'[1]DATOS PBI Artículos'!T:T)</f>
        <v>4</v>
      </c>
      <c r="E215" s="34">
        <f>IF(_xlfn.XLOOKUP($A215,'[1]DATOS PBI Artículos'!A:A,'[1]DATOS PBI Artículos'!AK:AK)="",_xlfn.XLOOKUP($A215,'[1]DATOS PBI Artículos'!A:A,'[1]DATOS PBI Artículos'!AJ:AJ),_xlfn.XLOOKUP($A215,'[1]DATOS PBI Artículos'!A:A,'[1]DATOS PBI Artículos'!AK:AK))</f>
        <v>8000</v>
      </c>
      <c r="F215" s="35">
        <f>_xlfn.XLOOKUP($A215,'[1]DATOS PBI Artículos'!A:A,'[1]DATOS PBI Artículos'!AP:AP)</f>
        <v>6.6666666666600003</v>
      </c>
      <c r="G215" s="34">
        <f>_xlfn.XLOOKUP($A215,'[1]DATOS PBI Artículos'!A:A,'[1]DATOS PBI Artículos'!AR:AR)</f>
        <v>2000</v>
      </c>
      <c r="H215" s="34">
        <f>_xlfn.XLOOKUP($A215,'[1]DATOS PBI Artículos'!A:A,'[1]DATOS PBI Artículos'!AT:AT)</f>
        <v>0</v>
      </c>
      <c r="I215" s="34">
        <f>_xlfn.XLOOKUP($A215,'[1]DATOS PBI Artículos'!A:A,'[1]DATOS PBI Artículos'!AS:AS)</f>
        <v>2000</v>
      </c>
      <c r="J215" s="35">
        <f>IF(COUNTIF([1]CRITERIOS!$F$179:$F$199,$A215)&gt;=1,
 IF(O215&lt;&gt;"",
    (O215/_xlfn.XLOOKUP(CONCATENATE(A215,L215),[1]MÁQUINAS!A:A,[1]MÁQUINAS!D:D))/24,
    (N215/_xlfn.XLOOKUP(CONCATENATE(A215,L215),[1]MÁQUINAS!A:A,[1]MÁQUINAS!D:D))/24),
  _xlfn.XLOOKUP($A215,'[1]DATOS PBI Artículos'!A:A,'[1]DATOS PBI Artículos'!AU:AU))</f>
        <v>22.4</v>
      </c>
      <c r="K215" s="36">
        <f>_xlfn.XLOOKUP($A215,'[1]DATOS PBI Artículos'!A:A,'[1]DATOS PBI Artículos'!AV:AV)</f>
        <v>11.193748255164577</v>
      </c>
      <c r="L215" s="33">
        <f>_xlfn.XLOOKUP(A215,[1]MÁQUINAS!B:B,[1]MÁQUINAS!C:C)</f>
        <v>221</v>
      </c>
      <c r="M215" s="34">
        <f t="array" ref="M215">_xlfn.XLOOKUP(A215,'[1]DATOS PBI Artículos'!A:A,'[1]DATOS PBI Artículos'!AX:$AX)</f>
        <v>6054.88977584442</v>
      </c>
      <c r="N215" s="37">
        <f>IF(I215="DV",
E215,
IF(COUNTIF([1]CRITERIOS!$I$179:$I$199,$A215)&gt;=1,
_xlfn.XLOOKUP($A215,[1]CRITERIOS!$I$179:$I$199,[1]CRITERIOS!$J$179:$J$199),
IF(COUNTIF([1]CRITERIOS!$L$179:$L$199,$A215)&gt;=1,
_xlfn.CEILING.MATH(IF($M215&gt;$E215,
$E215,
IF($M215&lt;$E215/ROUNDDOWN([1]CRITERIOS!$M$16/_xlfn.XLOOKUP($C215,[1]CRITERIOS!$K$25:$K$42,[1]CRITERIOS!$M$25:$M$42),
1),
E215/ROUNDDOWN([1]CRITERIOS!$M$16/_xlfn.XLOOKUP($C215,[1]CRITERIOS!$K$25:$K$42,[1]CRITERIOS!$M$25:$M$42),
1),
$M215)),
_xlfn.XLOOKUP($A215,[1]CRITERIOS!$L$179:$L$200,[1]CRITERIOS!$M$179:$M$200)),
_xlfn.CEILING.MATH(IF($M215&gt;$E215,
$E215,
IF($M215&lt;$E215/ROUNDDOWN([1]CRITERIOS!$M$16/_xlfn.XLOOKUP($C215,[1]CRITERIOS!$K$25:$K$42,[1]CRITERIOS!$M$25:$M$42),
1),
E215/ROUNDDOWN([1]CRITERIOS!$M$16/_xlfn.XLOOKUP($C215,[1]CRITERIOS!$K$25:$K$42,[1]CRITERIOS!$M$25:$M$42),
1),
$M215)),_xlfn.XLOOKUP(A215,'[1]DATOS PBI Artículos'!A:A,'[1]DATOS PBI Artículos'!Z:Z
)))))</f>
        <v>8000</v>
      </c>
      <c r="Q215" s="38">
        <f>IF(AND(O215="",N215=0),
0,
   IF(COUNTIF([1]CRITERIOS!$F$179:$F$199,$A215)&gt;=1,
   1,
   IF(R215="MTO",
      $D215,
      ROUNDUP(
                    IF(($E215-SUMIF('[1]DATOS PBI Artículos'!A:A,A215,'[1]DATOS PBI Artículos'!X:X)+($V215-_xlfn.XLOOKUP(A215,'[1]DATOS PBI Artículos'!A:A,'[1]DATOS PBI Artículos'!W:W)))&lt;0,
                    0,
                    IF(($E215-SUMIF('[1]DATOS PBI Artículos'!A:A,A215,'[1]DATOS PBI Artículos'!X:X)+$V215-_xlfn.XLOOKUP($A215,'[1]DATOS PBI Artículos'!A:A,'[1]DATOS PBI Artículos'!W:W))/IF($O215="",$N215,$O215)&gt;ROUNDUP([1]CRITERIOS!$M$16/(IF(COUNTIF([1]CRITERIOS!$BG$11:$BG$201,L215)&gt;=1,_xlfn.XLOOKUP($C215,[1]CRITERIOS!$K$25:$K$42,[1]CRITERIOS!$M$25:$M$42),_xlfn.XLOOKUP($C215,[1]CRITERIOS!$K$25:$K$42,[1]CRITERIOS!$M$25:$M$42))),0),
                    ROUNDUP([1]CRITERIOS!$M$16/(IF(COUNTIF([1]CRITERIOS!$BG$11:$BG$201,$L215)&gt;=1,_xlfn.XLOOKUP($C215,[1]CRITERIOS!$K$25:$K$42,[1]CRITERIOS!$M$25:$M$42),_xlfn.XLOOKUP($C215,[1]CRITERIOS!$K$25:$K$42,[1]CRITERIOS!$M$25:$M$42))),0),
                    (E215+V215-SUMIF('[1]DATOS PBI Artículos'!A:A,A215,'[1]DATOS PBI Artículos'!X:X)-_xlfn.XLOOKUP(A215,'[1]DATOS PBI Artículos'!A:A,'[1]DATOS PBI Artículos'!W:W))/IF($O215="",$N215,$O215))),0))))</f>
        <v>1</v>
      </c>
      <c r="R215" s="33" t="str">
        <f>IF(U215&lt;&gt;"",U215,IF(F215="DV","MTO",IF(N215=0,"MTO",_xlfn.XLOOKUP(CONCATENATE(S215,T215),[1]CRITERIOS!$K$160:$K$168,[1]CRITERIOS!$N$160:$N$168))))</f>
        <v>MTS</v>
      </c>
      <c r="S215" s="33" t="str">
        <f>IF(G215="DV","MTO",IF(N215=0,"MTO",IF(OR(AND(N215=0,O215=""),IF(O215="",G215/N215,G215/O215)&gt;[1]CRITERIOS!$G$163),"MTO",IF(IF(O215="",G215/N215,G215/O215)&lt;[1]CRITERIOS!$H$161,"MTS","MTOS"))))</f>
        <v>MTS</v>
      </c>
      <c r="T215" s="33" t="str">
        <f>IF(F215="DV","MTO",IF(OR(AND($N215=0,O215=""),$F215/$J215&gt;[1]CRITERIOS!$G$170,$F215="DV"),"MTO",IF($F215/$J215&lt;[1]CRITERIOS!$H$168,"MTS","MTOS")))</f>
        <v>MTS</v>
      </c>
      <c r="V215" s="34">
        <f t="shared" si="10"/>
        <v>7714.9998449102377</v>
      </c>
      <c r="X215" s="34">
        <f t="shared" si="11"/>
        <v>15714.999844910239</v>
      </c>
      <c r="Y215" s="34">
        <f t="shared" si="12"/>
        <v>4994.9998449035184</v>
      </c>
      <c r="Z215" s="34">
        <f>IF($R215="MTO",
0,
($H215+$K215*($E215/[1]CRITERIOS!$M$16))/[1]CRITERIOS!$X$48)</f>
        <v>994.99984490351801</v>
      </c>
      <c r="AA215" s="34" t="e">
        <f>ROUNDUP(($Y215/_xlfn.XLOOKUP($A215,'[1]DATOS PBI Artículos'!$A$4:$A$4,'[1]DATOS PBI Artículos'!$Z$4:$Z$4))/_xlfn.XLOOKUP(_xlfn.XLOOKUP($A215,'[1]DATOS PBI Artículos'!$A$4:$A$4,'[1]DATOS PBI Artículos'!$Y$4:$Y$4),[1]CRITERIOS!$P$79:$P$123,[1]CRITERIOS!$S$79:$S$123,),0)</f>
        <v>#N/A</v>
      </c>
      <c r="AB215" s="33" t="e">
        <f t="array" ref="AB215">IF((E215+V215-_xlfn.XLOOKUP(A215,'[1]DATOS PBI Artículos'!$A$4:$A$4,'[1]DATOS PBI Artículos'!$W$4:$W$4))/N215&gt;ROUNDUP([1]CRITERIOS!$M$16/(IF(COUNTIF([1]CRITERIOS!$BG$11:$BG$201,L215)&gt;=1,_xlfn.XLOOKUP(ARTÍCULOS!L215,[1]CRITERIOS!$BG$11:$BG$201,[1]CRITERIOS!$BJ$11:$BJ$201),_xlfn.XLOOKUP(ARTÍCULOS!C215,[1]CRITERIOS!$K$25:$K$42,[1]CRITERIOS!$M$25:$M$42))),0),ROUNDUP([1]CRITERIOS!$M$16/(IF(COUNTIF([1]CRITERIOS!$BG$11:$BG$201,L215)&gt;=1,_xlfn.XLOOKUP(ARTÍCULOS!L215,[1]CRITERIOS!$BG$11:$BG$201:#REF!,[1]CRITERIOS!$BJ$11:$BJ$201),_xlfn.XLOOKUP(ARTÍCULOS!C215,[1]CRITERIOS!$K$25:$K$42,[1]CRITERIOS!$M$25:$M$42))),0),(E215+V215-_xlfn.XLOOKUP(A215,'[1]DATOS PBI Artículos'!$A$4:$A$4,'[1]DATOS PBI Artículos'!$W$4:$W$4))/N215)</f>
        <v>#N/A</v>
      </c>
      <c r="AC215" s="33" t="e">
        <f>IF(N215=0,"",(ROUNDUP((N215/2)/(_xlfn.XLOOKUP(A215,'[1]DATOS PBI Artículos'!$A$4:$A$4,'[1]DATOS PBI Artículos'!$Z$4:$Z$4)*_xlfn.XLOOKUP(_xlfn.XLOOKUP(A215,'[1]DATOS PBI Artículos'!$A$4:$A$4,'[1]DATOS PBI Artículos'!$Y$4:$Y$4),[1]CRITERIOS!$P$79:$P$123,[1]CRITERIOS!$S$79:$S$123)),0)*[1]CRITERIOS!$M$80*([1]CRITERIOS!$M$110/[1]CRITERIOS!$M$86)+(_xlfn.XLOOKUP(A215,'[1]DATOS PBI Artículos'!$A$4:$A$4,'[1]DATOS PBI Artículos'!$AA$4:$AA$4)*([1]CRITERIOS!$M$95+[1]CRITERIOS!$M$98)))/N215)</f>
        <v>#N/A</v>
      </c>
      <c r="AD215" s="33" t="e">
        <f>IF(N215=0,"",(ROUNDUP((N215/2)/(_xlfn.XLOOKUP(A215,'[1]DATOS PBI Artículos'!$A$4:$A$4,'[1]DATOS PBI Artículos'!$Z$4:$Z$4)*_xlfn.XLOOKUP(_xlfn.XLOOKUP(A215,'[1]DATOS PBI Artículos'!$A$4:$A$4,'[1]DATOS PBI Artículos'!$Y$4:$Y$4),[1]CRITERIOS!$P$79:$P$123,[1]CRITERIOS!$S$79:$S$123)),0)*[1]CRITERIOS!$M$80*([1]CRITERIOS!$M$89*[1]CRITERIOS!$M$92)+((_xlfn.XLOOKUP(A215,'[1]DATOS PBI Artículos'!$A$4:$A$4,'[1]DATOS PBI Artículos'!$AA$4:$AA$4)/2)*([1]CRITERIOS!$M$95+[1]CRITERIOS!$M$98)))/N215)</f>
        <v>#N/A</v>
      </c>
      <c r="AE215" s="39">
        <f>IF($R215="MTO","",
IF($H215=0,ROUNDUP(((_xlfn.XLOOKUP($A215,'[1]DATOS PBI Artículos'!$A:$A,'[1]DATOS PBI Artículos'!$AL:$AL))/(_xlfn.XLOOKUP($AF$1,[1]CRITERIOS!$S$16:$S$39,[1]CRITERIOS!$Y$16:$Y$39))*$J215+$Z215)/$G215,0)*$G215,
((_xlfn.XLOOKUP($A215,'[1]DATOS PBI Artículos'!$A:$A,'[1]DATOS PBI Artículos'!$AL:$AL))/(_xlfn.XLOOKUP($AF$1,[1]CRITERIOS!$S$16:$S$39,[1]CRITERIOS!$Y$16:$Y$39))*$J215+$Z215)))</f>
        <v>4000</v>
      </c>
      <c r="AG215" s="39">
        <f>IF($R215="MTO","",
IF($H215=0,ROUNDUP(((_xlfn.XLOOKUP($A215,'[1]DATOS PBI Artículos'!$A:$A,'[1]DATOS PBI Artículos'!$AM:$AM))/(_xlfn.XLOOKUP($AH$1,[1]CRITERIOS!$S$16:$S$39,[1]CRITERIOS!$Y$16:$Y$39))*$J215+$Z215)/$G215,0)*$G215,
((_xlfn.XLOOKUP($A215,'[1]DATOS PBI Artículos'!$A:$A,'[1]DATOS PBI Artículos'!$AM:$AM))/(_xlfn.XLOOKUP($AH$1,[1]CRITERIOS!$S$16:$S$39,[1]CRITERIOS!$Y$16:$Y$39))*$J215+$Z215)))</f>
        <v>4000</v>
      </c>
      <c r="AI215" s="39">
        <f>IF($R215="MTO","",
IF($H215=0,ROUNDUP(((_xlfn.XLOOKUP($A215,'[1]DATOS PBI Artículos'!$A:$A,'[1]DATOS PBI Artículos'!$AN:$AN))/(_xlfn.XLOOKUP($AJ$1,[1]CRITERIOS!$S$16:$S$39,[1]CRITERIOS!$Y$16:$Y$39))*$J215+$Z215)/$G215,0)*$G215,
((_xlfn.XLOOKUP($A215,'[1]DATOS PBI Artículos'!$A:$A,'[1]DATOS PBI Artículos'!$AN:$AN))/(_xlfn.XLOOKUP($AJ$1,[1]CRITERIOS!$S$16:$S$39,[1]CRITERIOS!$Y$16:$Y$39))*$J215+$Z215)))</f>
        <v>4000</v>
      </c>
      <c r="AK215" s="39">
        <f>IF($R215="MTO","",
IF($H215=0,ROUNDUP(((_xlfn.XLOOKUP($A215,'[1]DATOS PBI Artículos'!$A:$A,'[1]DATOS PBI Artículos'!$AO:$AO))/(_xlfn.XLOOKUP($AL$1,[1]CRITERIOS!$S$16:$S$39,[1]CRITERIOS!$Y$16:$Y$39))*$J215+$Z215)/$G215,0)*$G215,
((_xlfn.XLOOKUP($A215,'[1]DATOS PBI Artículos'!$A:$A,'[1]DATOS PBI Artículos'!$AO:$AO))/(_xlfn.XLOOKUP($AL$1,[1]CRITERIOS!$S$16:$S$39,[1]CRITERIOS!$Y$16:$Y$39))*$J215+$Z215)))</f>
        <v>4000</v>
      </c>
    </row>
    <row r="216" spans="1:37" ht="25.8" x14ac:dyDescent="0.5">
      <c r="A216" s="32" t="s">
        <v>105</v>
      </c>
      <c r="B216" s="33">
        <f>_xlfn.XLOOKUP($A216,'[1]DATOS PBI Artículos'!A:A,'[1]DATOS PBI Artículos'!B:B)</f>
        <v>0</v>
      </c>
      <c r="C216" s="33" t="str">
        <f>_xlfn.XLOOKUP($A216,'[1]DATOS PBI Artículos'!A:A,'[1]DATOS PBI Artículos'!C:C)</f>
        <v>UA01</v>
      </c>
      <c r="D216" s="33">
        <f>_xlfn.XLOOKUP(A216,'[1]DATOS PBI Artículos'!A:A,'[1]DATOS PBI Artículos'!T:T)</f>
        <v>2</v>
      </c>
      <c r="E216" s="34">
        <f>IF(_xlfn.XLOOKUP($A216,'[1]DATOS PBI Artículos'!A:A,'[1]DATOS PBI Artículos'!AK:AK)="",_xlfn.XLOOKUP($A216,'[1]DATOS PBI Artículos'!A:A,'[1]DATOS PBI Artículos'!AJ:AJ),_xlfn.XLOOKUP($A216,'[1]DATOS PBI Artículos'!A:A,'[1]DATOS PBI Artículos'!AK:AK))</f>
        <v>7040</v>
      </c>
      <c r="F216" s="35">
        <f>_xlfn.XLOOKUP($A216,'[1]DATOS PBI Artículos'!A:A,'[1]DATOS PBI Artículos'!AP:AP)</f>
        <v>42</v>
      </c>
      <c r="G216" s="34">
        <f>_xlfn.XLOOKUP($A216,'[1]DATOS PBI Artículos'!A:A,'[1]DATOS PBI Artículos'!AR:AR)</f>
        <v>3520</v>
      </c>
      <c r="H216" s="34">
        <f>_xlfn.XLOOKUP($A216,'[1]DATOS PBI Artículos'!A:A,'[1]DATOS PBI Artículos'!AT:AT)</f>
        <v>0</v>
      </c>
      <c r="I216" s="34">
        <f>_xlfn.XLOOKUP($A216,'[1]DATOS PBI Artículos'!A:A,'[1]DATOS PBI Artículos'!AS:AS)</f>
        <v>3520</v>
      </c>
      <c r="J216" s="35">
        <f>IF(COUNTIF([1]CRITERIOS!$F$179:$F$199,$A216)&gt;=1,
 IF(O216&lt;&gt;"",
    (O216/_xlfn.XLOOKUP(CONCATENATE(A216,L216),[1]MÁQUINAS!A:A,[1]MÁQUINAS!D:D))/24,
    (N216/_xlfn.XLOOKUP(CONCATENATE(A216,L216),[1]MÁQUINAS!A:A,[1]MÁQUINAS!D:D))/24),
  _xlfn.XLOOKUP($A216,'[1]DATOS PBI Artículos'!A:A,'[1]DATOS PBI Artículos'!AU:AU))</f>
        <v>15</v>
      </c>
      <c r="K216" s="36">
        <f>_xlfn.XLOOKUP($A216,'[1]DATOS PBI Artículos'!A:A,'[1]DATOS PBI Artículos'!AV:AV)</f>
        <v>0</v>
      </c>
      <c r="L216" s="33">
        <f>_xlfn.XLOOKUP(A216,[1]MÁQUINAS!B:B,[1]MÁQUINAS!C:C)</f>
        <v>405</v>
      </c>
      <c r="M216" s="34">
        <f t="array" ref="M216">_xlfn.XLOOKUP(A216,'[1]DATOS PBI Artículos'!A:A,'[1]DATOS PBI Artículos'!AX:$AX)</f>
        <v>11439.323071907918</v>
      </c>
      <c r="N216" s="37">
        <f>IF(I216="DV",
E216,
IF(COUNTIF([1]CRITERIOS!$I$179:$I$199,$A216)&gt;=1,
_xlfn.XLOOKUP($A216,[1]CRITERIOS!$I$179:$I$199,[1]CRITERIOS!$J$179:$J$199),
IF(COUNTIF([1]CRITERIOS!$L$179:$L$199,$A216)&gt;=1,
_xlfn.CEILING.MATH(IF($M216&gt;$E216,
$E216,
IF($M216&lt;$E216/ROUNDDOWN([1]CRITERIOS!$M$16/_xlfn.XLOOKUP($C216,[1]CRITERIOS!$K$25:$K$42,[1]CRITERIOS!$M$25:$M$42),
1),
E216/ROUNDDOWN([1]CRITERIOS!$M$16/_xlfn.XLOOKUP($C216,[1]CRITERIOS!$K$25:$K$42,[1]CRITERIOS!$M$25:$M$42),
1),
$M216)),
_xlfn.XLOOKUP($A216,[1]CRITERIOS!$L$179:$L$200,[1]CRITERIOS!$M$179:$M$200)),
_xlfn.CEILING.MATH(IF($M216&gt;$E216,
$E216,
IF($M216&lt;$E216/ROUNDDOWN([1]CRITERIOS!$M$16/_xlfn.XLOOKUP($C216,[1]CRITERIOS!$K$25:$K$42,[1]CRITERIOS!$M$25:$M$42),
1),
E216/ROUNDDOWN([1]CRITERIOS!$M$16/_xlfn.XLOOKUP($C216,[1]CRITERIOS!$K$25:$K$42,[1]CRITERIOS!$M$25:$M$42),
1),
$M216)),_xlfn.XLOOKUP(A216,'[1]DATOS PBI Artículos'!A:A,'[1]DATOS PBI Artículos'!Z:Z
)))))</f>
        <v>7040</v>
      </c>
      <c r="Q216" s="38">
        <f>IF(AND(O216="",N216=0),
0,
   IF(COUNTIF([1]CRITERIOS!$F$179:$F$199,$A216)&gt;=1,
   1,
   IF(R216="MTO",
      $D216,
      ROUNDUP(
                    IF(($E216-SUMIF('[1]DATOS PBI Artículos'!A:A,A216,'[1]DATOS PBI Artículos'!X:X)+($V216-_xlfn.XLOOKUP(A216,'[1]DATOS PBI Artículos'!A:A,'[1]DATOS PBI Artículos'!W:W)))&lt;0,
                    0,
                    IF(($E216-SUMIF('[1]DATOS PBI Artículos'!A:A,A216,'[1]DATOS PBI Artículos'!X:X)+$V216-_xlfn.XLOOKUP($A216,'[1]DATOS PBI Artículos'!A:A,'[1]DATOS PBI Artículos'!W:W))/IF($O216="",$N216,$O216)&gt;ROUNDUP([1]CRITERIOS!$M$16/(IF(COUNTIF([1]CRITERIOS!$BG$11:$BG$201,L216)&gt;=1,_xlfn.XLOOKUP($C216,[1]CRITERIOS!$K$25:$K$42,[1]CRITERIOS!$M$25:$M$42),_xlfn.XLOOKUP($C216,[1]CRITERIOS!$K$25:$K$42,[1]CRITERIOS!$M$25:$M$42))),0),
                    ROUNDUP([1]CRITERIOS!$M$16/(IF(COUNTIF([1]CRITERIOS!$BG$11:$BG$201,$L216)&gt;=1,_xlfn.XLOOKUP($C216,[1]CRITERIOS!$K$25:$K$42,[1]CRITERIOS!$M$25:$M$42),_xlfn.XLOOKUP($C216,[1]CRITERIOS!$K$25:$K$42,[1]CRITERIOS!$M$25:$M$42))),0),
                    (E216+V216-SUMIF('[1]DATOS PBI Artículos'!A:A,A216,'[1]DATOS PBI Artículos'!X:X)-_xlfn.XLOOKUP(A216,'[1]DATOS PBI Artículos'!A:A,'[1]DATOS PBI Artículos'!W:W))/IF($O216="",$N216,$O216))),0))))</f>
        <v>2</v>
      </c>
      <c r="R216" s="33" t="str">
        <f>IF(U216&lt;&gt;"",U216,IF(F216="DV","MTO",IF(N216=0,"MTO",_xlfn.XLOOKUP(CONCATENATE(S216,T216),[1]CRITERIOS!$K$160:$K$168,[1]CRITERIOS!$N$160:$N$168))))</f>
        <v>MTO</v>
      </c>
      <c r="S216" s="33" t="str">
        <f>IF(G216="DV","MTO",IF(N216=0,"MTO",IF(OR(AND(N216=0,O216=""),IF(O216="",G216/N216,G216/O216)&gt;[1]CRITERIOS!$G$163),"MTO",IF(IF(O216="",G216/N216,G216/O216)&lt;[1]CRITERIOS!$H$161,"MTS","MTOS"))))</f>
        <v>MTOS</v>
      </c>
      <c r="T216" s="33" t="str">
        <f>IF(F216="DV","MTO",IF(OR(AND($N216=0,O216=""),$F216/$J216&gt;[1]CRITERIOS!$G$170,$F216="DV"),"MTO",IF($F216/$J216&lt;[1]CRITERIOS!$H$168,"MTS","MTOS")))</f>
        <v>MTO</v>
      </c>
      <c r="V216" s="34" t="str">
        <f t="shared" si="10"/>
        <v/>
      </c>
      <c r="X216" s="34">
        <f t="shared" si="11"/>
        <v>0</v>
      </c>
      <c r="Y216" s="34">
        <f t="shared" si="12"/>
        <v>0</v>
      </c>
      <c r="Z216" s="34">
        <f>IF($R216="MTO",
0,
($H216+$K216*($E216/[1]CRITERIOS!$M$16))/[1]CRITERIOS!$X$48)</f>
        <v>0</v>
      </c>
      <c r="AA216" s="34" t="e">
        <f>ROUNDUP(($Y216/_xlfn.XLOOKUP($A216,'[1]DATOS PBI Artículos'!$A$4:$A$4,'[1]DATOS PBI Artículos'!$Z$4:$Z$4))/_xlfn.XLOOKUP(_xlfn.XLOOKUP($A216,'[1]DATOS PBI Artículos'!$A$4:$A$4,'[1]DATOS PBI Artículos'!$Y$4:$Y$4),[1]CRITERIOS!$P$79:$P$123,[1]CRITERIOS!$S$79:$S$123,),0)</f>
        <v>#N/A</v>
      </c>
      <c r="AB216" s="33" t="e">
        <f t="array" ref="AB216">IF((E216+V216-_xlfn.XLOOKUP(A216,'[1]DATOS PBI Artículos'!$A$4:$A$4,'[1]DATOS PBI Artículos'!$W$4:$W$4))/N216&gt;ROUNDUP([1]CRITERIOS!$M$16/(IF(COUNTIF([1]CRITERIOS!$BG$11:$BG$201,L216)&gt;=1,_xlfn.XLOOKUP(ARTÍCULOS!L216,[1]CRITERIOS!$BG$11:$BG$201,[1]CRITERIOS!$BJ$11:$BJ$201),_xlfn.XLOOKUP(ARTÍCULOS!C216,[1]CRITERIOS!$K$25:$K$42,[1]CRITERIOS!$M$25:$M$42))),0),ROUNDUP([1]CRITERIOS!$M$16/(IF(COUNTIF([1]CRITERIOS!$BG$11:$BG$201,L216)&gt;=1,_xlfn.XLOOKUP(ARTÍCULOS!L216,[1]CRITERIOS!$BG$11:$BG$201:#REF!,[1]CRITERIOS!$BJ$11:$BJ$201),_xlfn.XLOOKUP(ARTÍCULOS!C216,[1]CRITERIOS!$K$25:$K$42,[1]CRITERIOS!$M$25:$M$42))),0),(E216+V216-_xlfn.XLOOKUP(A216,'[1]DATOS PBI Artículos'!$A$4:$A$4,'[1]DATOS PBI Artículos'!$W$4:$W$4))/N216)</f>
        <v>#VALUE!</v>
      </c>
      <c r="AC216" s="33" t="e">
        <f>IF(N216=0,"",(ROUNDUP((N216/2)/(_xlfn.XLOOKUP(A216,'[1]DATOS PBI Artículos'!$A$4:$A$4,'[1]DATOS PBI Artículos'!$Z$4:$Z$4)*_xlfn.XLOOKUP(_xlfn.XLOOKUP(A216,'[1]DATOS PBI Artículos'!$A$4:$A$4,'[1]DATOS PBI Artículos'!$Y$4:$Y$4),[1]CRITERIOS!$P$79:$P$123,[1]CRITERIOS!$S$79:$S$123)),0)*[1]CRITERIOS!$M$80*([1]CRITERIOS!$M$110/[1]CRITERIOS!$M$86)+(_xlfn.XLOOKUP(A216,'[1]DATOS PBI Artículos'!$A$4:$A$4,'[1]DATOS PBI Artículos'!$AA$4:$AA$4)*([1]CRITERIOS!$M$95+[1]CRITERIOS!$M$98)))/N216)</f>
        <v>#N/A</v>
      </c>
      <c r="AD216" s="33" t="e">
        <f>IF(N216=0,"",(ROUNDUP((N216/2)/(_xlfn.XLOOKUP(A216,'[1]DATOS PBI Artículos'!$A$4:$A$4,'[1]DATOS PBI Artículos'!$Z$4:$Z$4)*_xlfn.XLOOKUP(_xlfn.XLOOKUP(A216,'[1]DATOS PBI Artículos'!$A$4:$A$4,'[1]DATOS PBI Artículos'!$Y$4:$Y$4),[1]CRITERIOS!$P$79:$P$123,[1]CRITERIOS!$S$79:$S$123)),0)*[1]CRITERIOS!$M$80*([1]CRITERIOS!$M$89*[1]CRITERIOS!$M$92)+((_xlfn.XLOOKUP(A216,'[1]DATOS PBI Artículos'!$A$4:$A$4,'[1]DATOS PBI Artículos'!$AA$4:$AA$4)/2)*([1]CRITERIOS!$M$95+[1]CRITERIOS!$M$98)))/N216)</f>
        <v>#N/A</v>
      </c>
      <c r="AE216" s="39" t="str">
        <f>IF($R216="MTO","",
IF($H216=0,ROUNDUP(((_xlfn.XLOOKUP($A216,'[1]DATOS PBI Artículos'!$A:$A,'[1]DATOS PBI Artículos'!$AL:$AL))/(_xlfn.XLOOKUP($AF$1,[1]CRITERIOS!$S$16:$S$39,[1]CRITERIOS!$Y$16:$Y$39))*$J216+$Z216)/$G216,0)*$G216,
((_xlfn.XLOOKUP($A216,'[1]DATOS PBI Artículos'!$A:$A,'[1]DATOS PBI Artículos'!$AL:$AL))/(_xlfn.XLOOKUP($AF$1,[1]CRITERIOS!$S$16:$S$39,[1]CRITERIOS!$Y$16:$Y$39))*$J216+$Z216)))</f>
        <v/>
      </c>
      <c r="AG216" s="39" t="str">
        <f>IF($R216="MTO","",
IF($H216=0,ROUNDUP(((_xlfn.XLOOKUP($A216,'[1]DATOS PBI Artículos'!$A:$A,'[1]DATOS PBI Artículos'!$AM:$AM))/(_xlfn.XLOOKUP($AH$1,[1]CRITERIOS!$S$16:$S$39,[1]CRITERIOS!$Y$16:$Y$39))*$J216+$Z216)/$G216,0)*$G216,
((_xlfn.XLOOKUP($A216,'[1]DATOS PBI Artículos'!$A:$A,'[1]DATOS PBI Artículos'!$AM:$AM))/(_xlfn.XLOOKUP($AH$1,[1]CRITERIOS!$S$16:$S$39,[1]CRITERIOS!$Y$16:$Y$39))*$J216+$Z216)))</f>
        <v/>
      </c>
      <c r="AI216" s="39" t="str">
        <f>IF($R216="MTO","",
IF($H216=0,ROUNDUP(((_xlfn.XLOOKUP($A216,'[1]DATOS PBI Artículos'!$A:$A,'[1]DATOS PBI Artículos'!$AN:$AN))/(_xlfn.XLOOKUP($AJ$1,[1]CRITERIOS!$S$16:$S$39,[1]CRITERIOS!$Y$16:$Y$39))*$J216+$Z216)/$G216,0)*$G216,
((_xlfn.XLOOKUP($A216,'[1]DATOS PBI Artículos'!$A:$A,'[1]DATOS PBI Artículos'!$AN:$AN))/(_xlfn.XLOOKUP($AJ$1,[1]CRITERIOS!$S$16:$S$39,[1]CRITERIOS!$Y$16:$Y$39))*$J216+$Z216)))</f>
        <v/>
      </c>
      <c r="AK216" s="39" t="str">
        <f>IF($R216="MTO","",
IF($H216=0,ROUNDUP(((_xlfn.XLOOKUP($A216,'[1]DATOS PBI Artículos'!$A:$A,'[1]DATOS PBI Artículos'!$AO:$AO))/(_xlfn.XLOOKUP($AL$1,[1]CRITERIOS!$S$16:$S$39,[1]CRITERIOS!$Y$16:$Y$39))*$J216+$Z216)/$G216,0)*$G216,
((_xlfn.XLOOKUP($A216,'[1]DATOS PBI Artículos'!$A:$A,'[1]DATOS PBI Artículos'!$AO:$AO))/(_xlfn.XLOOKUP($AL$1,[1]CRITERIOS!$S$16:$S$39,[1]CRITERIOS!$Y$16:$Y$39))*$J216+$Z216)))</f>
        <v/>
      </c>
    </row>
    <row r="217" spans="1:37" ht="25.8" x14ac:dyDescent="0.5">
      <c r="A217" s="32" t="s">
        <v>106</v>
      </c>
      <c r="B217" s="33">
        <f>_xlfn.XLOOKUP($A217,'[1]DATOS PBI Artículos'!A:A,'[1]DATOS PBI Artículos'!B:B)</f>
        <v>0</v>
      </c>
      <c r="C217" s="33" t="str">
        <f>_xlfn.XLOOKUP($A217,'[1]DATOS PBI Artículos'!A:A,'[1]DATOS PBI Artículos'!C:C)</f>
        <v>UA01</v>
      </c>
      <c r="D217" s="33">
        <f>_xlfn.XLOOKUP(A217,'[1]DATOS PBI Artículos'!A:A,'[1]DATOS PBI Artículos'!T:T)</f>
        <v>4</v>
      </c>
      <c r="E217" s="34">
        <f>IF(_xlfn.XLOOKUP($A217,'[1]DATOS PBI Artículos'!A:A,'[1]DATOS PBI Artículos'!AK:AK)="",_xlfn.XLOOKUP($A217,'[1]DATOS PBI Artículos'!A:A,'[1]DATOS PBI Artículos'!AJ:AJ),_xlfn.XLOOKUP($A217,'[1]DATOS PBI Artículos'!A:A,'[1]DATOS PBI Artículos'!AK:AK))</f>
        <v>7000</v>
      </c>
      <c r="F217" s="35">
        <f>_xlfn.XLOOKUP($A217,'[1]DATOS PBI Artículos'!A:A,'[1]DATOS PBI Artículos'!AP:AP)</f>
        <v>16</v>
      </c>
      <c r="G217" s="34">
        <f>_xlfn.XLOOKUP($A217,'[1]DATOS PBI Artículos'!A:A,'[1]DATOS PBI Artículos'!AR:AR)</f>
        <v>2000</v>
      </c>
      <c r="H217" s="34">
        <f>_xlfn.XLOOKUP($A217,'[1]DATOS PBI Artículos'!A:A,'[1]DATOS PBI Artículos'!AT:AT)</f>
        <v>500</v>
      </c>
      <c r="I217" s="34">
        <f>_xlfn.XLOOKUP($A217,'[1]DATOS PBI Artículos'!A:A,'[1]DATOS PBI Artículos'!AS:AS)</f>
        <v>1000</v>
      </c>
      <c r="J217" s="35">
        <f>IF(COUNTIF([1]CRITERIOS!$F$179:$F$199,$A217)&gt;=1,
 IF(O217&lt;&gt;"",
    (O217/_xlfn.XLOOKUP(CONCATENATE(A217,L217),[1]MÁQUINAS!A:A,[1]MÁQUINAS!D:D))/24,
    (N217/_xlfn.XLOOKUP(CONCATENATE(A217,L217),[1]MÁQUINAS!A:A,[1]MÁQUINAS!D:D))/24),
  _xlfn.XLOOKUP($A217,'[1]DATOS PBI Artículos'!A:A,'[1]DATOS PBI Artículos'!AU:AU))</f>
        <v>15.5</v>
      </c>
      <c r="K217" s="36">
        <f>_xlfn.XLOOKUP($A217,'[1]DATOS PBI Artículos'!A:A,'[1]DATOS PBI Artículos'!AV:AV)</f>
        <v>2.1213203435596424</v>
      </c>
      <c r="L217" s="33">
        <f>_xlfn.XLOOKUP(A217,[1]MÁQUINAS!B:B,[1]MÁQUINAS!C:C)</f>
        <v>417</v>
      </c>
      <c r="M217" s="34">
        <f t="array" ref="M217">_xlfn.XLOOKUP(A217,'[1]DATOS PBI Artículos'!A:A,'[1]DATOS PBI Artículos'!AX:$AX)</f>
        <v>8446.787461032829</v>
      </c>
      <c r="N217" s="37">
        <f>IF(I217="DV",
E217,
IF(COUNTIF([1]CRITERIOS!$I$179:$I$199,$A217)&gt;=1,
_xlfn.XLOOKUP($A217,[1]CRITERIOS!$I$179:$I$199,[1]CRITERIOS!$J$179:$J$199),
IF(COUNTIF([1]CRITERIOS!$L$179:$L$199,$A217)&gt;=1,
_xlfn.CEILING.MATH(IF($M217&gt;$E217,
$E217,
IF($M217&lt;$E217/ROUNDDOWN([1]CRITERIOS!$M$16/_xlfn.XLOOKUP($C217,[1]CRITERIOS!$K$25:$K$42,[1]CRITERIOS!$M$25:$M$42),
1),
E217/ROUNDDOWN([1]CRITERIOS!$M$16/_xlfn.XLOOKUP($C217,[1]CRITERIOS!$K$25:$K$42,[1]CRITERIOS!$M$25:$M$42),
1),
$M217)),
_xlfn.XLOOKUP($A217,[1]CRITERIOS!$L$179:$L$200,[1]CRITERIOS!$M$179:$M$200)),
_xlfn.CEILING.MATH(IF($M217&gt;$E217,
$E217,
IF($M217&lt;$E217/ROUNDDOWN([1]CRITERIOS!$M$16/_xlfn.XLOOKUP($C217,[1]CRITERIOS!$K$25:$K$42,[1]CRITERIOS!$M$25:$M$42),
1),
E217/ROUNDDOWN([1]CRITERIOS!$M$16/_xlfn.XLOOKUP($C217,[1]CRITERIOS!$K$25:$K$42,[1]CRITERIOS!$M$25:$M$42),
1),
$M217)),_xlfn.XLOOKUP(A217,'[1]DATOS PBI Artículos'!A:A,'[1]DATOS PBI Artículos'!Z:Z
)))))</f>
        <v>8000</v>
      </c>
      <c r="Q217" s="38">
        <f>IF(AND(O217="",N217=0),
0,
   IF(COUNTIF([1]CRITERIOS!$F$179:$F$199,$A217)&gt;=1,
   1,
   IF(R217="MTO",
      $D217,
      ROUNDUP(
                    IF(($E217-SUMIF('[1]DATOS PBI Artículos'!A:A,A217,'[1]DATOS PBI Artículos'!X:X)+($V217-_xlfn.XLOOKUP(A217,'[1]DATOS PBI Artículos'!A:A,'[1]DATOS PBI Artículos'!W:W)))&lt;0,
                    0,
                    IF(($E217-SUMIF('[1]DATOS PBI Artículos'!A:A,A217,'[1]DATOS PBI Artículos'!X:X)+$V217-_xlfn.XLOOKUP($A217,'[1]DATOS PBI Artículos'!A:A,'[1]DATOS PBI Artículos'!W:W))/IF($O217="",$N217,$O217)&gt;ROUNDUP([1]CRITERIOS!$M$16/(IF(COUNTIF([1]CRITERIOS!$BG$11:$BG$201,L217)&gt;=1,_xlfn.XLOOKUP($C217,[1]CRITERIOS!$K$25:$K$42,[1]CRITERIOS!$M$25:$M$42),_xlfn.XLOOKUP($C217,[1]CRITERIOS!$K$25:$K$42,[1]CRITERIOS!$M$25:$M$42))),0),
                    ROUNDUP([1]CRITERIOS!$M$16/(IF(COUNTIF([1]CRITERIOS!$BG$11:$BG$201,$L217)&gt;=1,_xlfn.XLOOKUP($C217,[1]CRITERIOS!$K$25:$K$42,[1]CRITERIOS!$M$25:$M$42),_xlfn.XLOOKUP($C217,[1]CRITERIOS!$K$25:$K$42,[1]CRITERIOS!$M$25:$M$42))),0),
                    (E217+V217-SUMIF('[1]DATOS PBI Artículos'!A:A,A217,'[1]DATOS PBI Artículos'!X:X)-_xlfn.XLOOKUP(A217,'[1]DATOS PBI Artículos'!A:A,'[1]DATOS PBI Artículos'!W:W))/IF($O217="",$N217,$O217))),0))))</f>
        <v>0</v>
      </c>
      <c r="R217" s="33" t="str">
        <f>IF(U217&lt;&gt;"",U217,IF(F217="DV","MTO",IF(N217=0,"MTO",_xlfn.XLOOKUP(CONCATENATE(S217,T217),[1]CRITERIOS!$K$160:$K$168,[1]CRITERIOS!$N$160:$N$168))))</f>
        <v>MTS</v>
      </c>
      <c r="S217" s="33" t="str">
        <f>IF(G217="DV","MTO",IF(N217=0,"MTO",IF(OR(AND(N217=0,O217=""),IF(O217="",G217/N217,G217/O217)&gt;[1]CRITERIOS!$G$163),"MTO",IF(IF(O217="",G217/N217,G217/O217)&lt;[1]CRITERIOS!$H$161,"MTS","MTOS"))))</f>
        <v>MTS</v>
      </c>
      <c r="T217" s="33" t="str">
        <f>IF(F217="DV","MTO",IF(OR(AND($N217=0,O217=""),$F217/$J217&gt;[1]CRITERIOS!$G$170,$F217="DV"),"MTO",IF($F217/$J217&lt;[1]CRITERIOS!$H$168,"MTS","MTOS")))</f>
        <v>MTS</v>
      </c>
      <c r="V217" s="34">
        <f t="shared" ref="V217:V280" si="13">IF(R217="MTO","",
IF($H217=0,(((($J217/$F217)*$G217)+$Z217)/$G217)*$G217,
(($J217/$F217)*$G217)+$Z217))</f>
        <v>2519.1582489435277</v>
      </c>
      <c r="X217" s="34">
        <f t="shared" si="11"/>
        <v>10519.158248943528</v>
      </c>
      <c r="Y217" s="34">
        <f t="shared" si="12"/>
        <v>4581.6582489435277</v>
      </c>
      <c r="Z217" s="34">
        <f>IF($R217="MTO",
0,
($H217+$K217*($E217/[1]CRITERIOS!$M$16))/[1]CRITERIOS!$X$48)</f>
        <v>581.65824894352784</v>
      </c>
      <c r="AA217" s="34" t="e">
        <f>ROUNDUP(($Y217/_xlfn.XLOOKUP($A217,'[1]DATOS PBI Artículos'!$A$4:$A$4,'[1]DATOS PBI Artículos'!$Z$4:$Z$4))/_xlfn.XLOOKUP(_xlfn.XLOOKUP($A217,'[1]DATOS PBI Artículos'!$A$4:$A$4,'[1]DATOS PBI Artículos'!$Y$4:$Y$4),[1]CRITERIOS!$P$79:$P$123,[1]CRITERIOS!$S$79:$S$123,),0)</f>
        <v>#N/A</v>
      </c>
      <c r="AB217" s="33" t="e">
        <f t="array" ref="AB217">IF((E217+V217-_xlfn.XLOOKUP(A217,'[1]DATOS PBI Artículos'!$A$4:$A$4,'[1]DATOS PBI Artículos'!$W$4:$W$4))/N217&gt;ROUNDUP([1]CRITERIOS!$M$16/(IF(COUNTIF([1]CRITERIOS!$BG$11:$BG$201,L217)&gt;=1,_xlfn.XLOOKUP(ARTÍCULOS!L217,[1]CRITERIOS!$BG$11:$BG$201,[1]CRITERIOS!$BJ$11:$BJ$201),_xlfn.XLOOKUP(ARTÍCULOS!C217,[1]CRITERIOS!$K$25:$K$42,[1]CRITERIOS!$M$25:$M$42))),0),ROUNDUP([1]CRITERIOS!$M$16/(IF(COUNTIF([1]CRITERIOS!$BG$11:$BG$201,L217)&gt;=1,_xlfn.XLOOKUP(ARTÍCULOS!L217,[1]CRITERIOS!$BG$11:$BG$201:#REF!,[1]CRITERIOS!$BJ$11:$BJ$201),_xlfn.XLOOKUP(ARTÍCULOS!C217,[1]CRITERIOS!$K$25:$K$42,[1]CRITERIOS!$M$25:$M$42))),0),(E217+V217-_xlfn.XLOOKUP(A217,'[1]DATOS PBI Artículos'!$A$4:$A$4,'[1]DATOS PBI Artículos'!$W$4:$W$4))/N217)</f>
        <v>#N/A</v>
      </c>
      <c r="AC217" s="33" t="e">
        <f>IF(N217=0,"",(ROUNDUP((N217/2)/(_xlfn.XLOOKUP(A217,'[1]DATOS PBI Artículos'!$A$4:$A$4,'[1]DATOS PBI Artículos'!$Z$4:$Z$4)*_xlfn.XLOOKUP(_xlfn.XLOOKUP(A217,'[1]DATOS PBI Artículos'!$A$4:$A$4,'[1]DATOS PBI Artículos'!$Y$4:$Y$4),[1]CRITERIOS!$P$79:$P$123,[1]CRITERIOS!$S$79:$S$123)),0)*[1]CRITERIOS!$M$80*([1]CRITERIOS!$M$110/[1]CRITERIOS!$M$86)+(_xlfn.XLOOKUP(A217,'[1]DATOS PBI Artículos'!$A$4:$A$4,'[1]DATOS PBI Artículos'!$AA$4:$AA$4)*([1]CRITERIOS!$M$95+[1]CRITERIOS!$M$98)))/N217)</f>
        <v>#N/A</v>
      </c>
      <c r="AD217" s="33" t="e">
        <f>IF(N217=0,"",(ROUNDUP((N217/2)/(_xlfn.XLOOKUP(A217,'[1]DATOS PBI Artículos'!$A$4:$A$4,'[1]DATOS PBI Artículos'!$Z$4:$Z$4)*_xlfn.XLOOKUP(_xlfn.XLOOKUP(A217,'[1]DATOS PBI Artículos'!$A$4:$A$4,'[1]DATOS PBI Artículos'!$Y$4:$Y$4),[1]CRITERIOS!$P$79:$P$123,[1]CRITERIOS!$S$79:$S$123)),0)*[1]CRITERIOS!$M$80*([1]CRITERIOS!$M$89*[1]CRITERIOS!$M$92)+((_xlfn.XLOOKUP(A217,'[1]DATOS PBI Artículos'!$A$4:$A$4,'[1]DATOS PBI Artículos'!$AA$4:$AA$4)/2)*([1]CRITERIOS!$M$95+[1]CRITERIOS!$M$98)))/N217)</f>
        <v>#N/A</v>
      </c>
      <c r="AE217" s="39">
        <f>IF($R217="MTO","",
IF($H217=0,ROUNDUP(((_xlfn.XLOOKUP($A217,'[1]DATOS PBI Artículos'!$A:$A,'[1]DATOS PBI Artículos'!$AL:$AL))/(_xlfn.XLOOKUP($AF$1,[1]CRITERIOS!$S$16:$S$39,[1]CRITERIOS!$Y$16:$Y$39))*$J217+$Z217)/$G217,0)*$G217,
((_xlfn.XLOOKUP($A217,'[1]DATOS PBI Artículos'!$A:$A,'[1]DATOS PBI Artículos'!$AL:$AL))/(_xlfn.XLOOKUP($AF$1,[1]CRITERIOS!$S$16:$S$39,[1]CRITERIOS!$Y$16:$Y$39))*$J217+$Z217)))</f>
        <v>2254.8266117282501</v>
      </c>
      <c r="AG217" s="39">
        <f>IF($R217="MTO","",
IF($H217=0,ROUNDUP(((_xlfn.XLOOKUP($A217,'[1]DATOS PBI Artículos'!$A:$A,'[1]DATOS PBI Artículos'!$AM:$AM))/(_xlfn.XLOOKUP($AH$1,[1]CRITERIOS!$S$16:$S$39,[1]CRITERIOS!$Y$16:$Y$39))*$J217+$Z217)/$G217,0)*$G217,
((_xlfn.XLOOKUP($A217,'[1]DATOS PBI Artículos'!$A:$A,'[1]DATOS PBI Artículos'!$AM:$AM))/(_xlfn.XLOOKUP($AH$1,[1]CRITERIOS!$S$16:$S$39,[1]CRITERIOS!$Y$16:$Y$39))*$J217+$Z217)))</f>
        <v>1783.5276877424408</v>
      </c>
      <c r="AI217" s="39">
        <f>IF($R217="MTO","",
IF($H217=0,ROUNDUP(((_xlfn.XLOOKUP($A217,'[1]DATOS PBI Artículos'!$A:$A,'[1]DATOS PBI Artículos'!$AN:$AN))/(_xlfn.XLOOKUP($AJ$1,[1]CRITERIOS!$S$16:$S$39,[1]CRITERIOS!$Y$16:$Y$39))*$J217+$Z217)/$G217,0)*$G217,
((_xlfn.XLOOKUP($A217,'[1]DATOS PBI Artículos'!$A:$A,'[1]DATOS PBI Artículos'!$AN:$AN))/(_xlfn.XLOOKUP($AJ$1,[1]CRITERIOS!$S$16:$S$39,[1]CRITERIOS!$Y$16:$Y$39))*$J217+$Z217)))</f>
        <v>2021.1963901122776</v>
      </c>
      <c r="AK217" s="39">
        <f>IF($R217="MTO","",
IF($H217=0,ROUNDUP(((_xlfn.XLOOKUP($A217,'[1]DATOS PBI Artículos'!$A:$A,'[1]DATOS PBI Artículos'!$AO:$AO))/(_xlfn.XLOOKUP($AL$1,[1]CRITERIOS!$S$16:$S$39,[1]CRITERIOS!$Y$16:$Y$39))*$J217+$Z217)/$G217,0)*$G217,
((_xlfn.XLOOKUP($A217,'[1]DATOS PBI Artículos'!$A:$A,'[1]DATOS PBI Artículos'!$AO:$AO))/(_xlfn.XLOOKUP($AL$1,[1]CRITERIOS!$S$16:$S$39,[1]CRITERIOS!$Y$16:$Y$39))*$J217+$Z217)))</f>
        <v>2149.4589313810275</v>
      </c>
    </row>
    <row r="218" spans="1:37" ht="25.8" x14ac:dyDescent="0.5">
      <c r="A218" s="32">
        <v>422481</v>
      </c>
      <c r="B218" s="33">
        <f>_xlfn.XLOOKUP($A218,'[1]DATOS PBI Artículos'!A:A,'[1]DATOS PBI Artículos'!B:B)</f>
        <v>0</v>
      </c>
      <c r="C218" s="33" t="str">
        <f>_xlfn.XLOOKUP($A218,'[1]DATOS PBI Artículos'!A:A,'[1]DATOS PBI Artículos'!C:C)</f>
        <v>UA01</v>
      </c>
      <c r="D218" s="33">
        <f>_xlfn.XLOOKUP(A218,'[1]DATOS PBI Artículos'!A:A,'[1]DATOS PBI Artículos'!T:T)</f>
        <v>6</v>
      </c>
      <c r="E218" s="34">
        <f>IF(_xlfn.XLOOKUP($A218,'[1]DATOS PBI Artículos'!A:A,'[1]DATOS PBI Artículos'!AK:AK)="",_xlfn.XLOOKUP($A218,'[1]DATOS PBI Artículos'!A:A,'[1]DATOS PBI Artículos'!AJ:AJ),_xlfn.XLOOKUP($A218,'[1]DATOS PBI Artículos'!A:A,'[1]DATOS PBI Artículos'!AK:AK))</f>
        <v>6000</v>
      </c>
      <c r="F218" s="35">
        <f>_xlfn.XLOOKUP($A218,'[1]DATOS PBI Artículos'!A:A,'[1]DATOS PBI Artículos'!AP:AP)</f>
        <v>11.6</v>
      </c>
      <c r="G218" s="34">
        <f>_xlfn.XLOOKUP($A218,'[1]DATOS PBI Artículos'!A:A,'[1]DATOS PBI Artículos'!AR:AR)</f>
        <v>1000</v>
      </c>
      <c r="H218" s="34">
        <f>_xlfn.XLOOKUP($A218,'[1]DATOS PBI Artículos'!A:A,'[1]DATOS PBI Artículos'!AT:AT)</f>
        <v>0</v>
      </c>
      <c r="I218" s="34">
        <f>_xlfn.XLOOKUP($A218,'[1]DATOS PBI Artículos'!A:A,'[1]DATOS PBI Artículos'!AS:AS)</f>
        <v>1000</v>
      </c>
      <c r="J218" s="35">
        <f>IF(COUNTIF([1]CRITERIOS!$F$179:$F$199,$A218)&gt;=1,
 IF(O218&lt;&gt;"",
    (O218/_xlfn.XLOOKUP(CONCATENATE(A218,L218),[1]MÁQUINAS!A:A,[1]MÁQUINAS!D:D))/24,
    (N218/_xlfn.XLOOKUP(CONCATENATE(A218,L218),[1]MÁQUINAS!A:A,[1]MÁQUINAS!D:D))/24),
  _xlfn.XLOOKUP($A218,'[1]DATOS PBI Artículos'!A:A,'[1]DATOS PBI Artículos'!AU:AU))</f>
        <v>15.727272727272727</v>
      </c>
      <c r="K218" s="36">
        <f>_xlfn.XLOOKUP($A218,'[1]DATOS PBI Artículos'!A:A,'[1]DATOS PBI Artículos'!AV:AV)</f>
        <v>3.1965890912317492</v>
      </c>
      <c r="L218" s="33">
        <f>_xlfn.XLOOKUP(A218,[1]MÁQUINAS!B:B,[1]MÁQUINAS!C:C)</f>
        <v>500</v>
      </c>
      <c r="M218" s="34">
        <f t="array" ref="M218">_xlfn.XLOOKUP(A218,'[1]DATOS PBI Artículos'!A:A,'[1]DATOS PBI Artículos'!AX:$AX)</f>
        <v>4819.5764548365032</v>
      </c>
      <c r="N218" s="37">
        <f>IF(I218="DV",
E218,
IF(COUNTIF([1]CRITERIOS!$I$179:$I$199,$A218)&gt;=1,
_xlfn.XLOOKUP($A218,[1]CRITERIOS!$I$179:$I$199,[1]CRITERIOS!$J$179:$J$199),
IF(COUNTIF([1]CRITERIOS!$L$179:$L$199,$A218)&gt;=1,
_xlfn.CEILING.MATH(IF($M218&gt;$E218,
$E218,
IF($M218&lt;$E218/ROUNDDOWN([1]CRITERIOS!$M$16/_xlfn.XLOOKUP($C218,[1]CRITERIOS!$K$25:$K$42,[1]CRITERIOS!$M$25:$M$42),
1),
E218/ROUNDDOWN([1]CRITERIOS!$M$16/_xlfn.XLOOKUP($C218,[1]CRITERIOS!$K$25:$K$42,[1]CRITERIOS!$M$25:$M$42),
1),
$M218)),
_xlfn.XLOOKUP($A218,[1]CRITERIOS!$L$179:$L$200,[1]CRITERIOS!$M$179:$M$200)),
_xlfn.CEILING.MATH(IF($M218&gt;$E218,
$E218,
IF($M218&lt;$E218/ROUNDDOWN([1]CRITERIOS!$M$16/_xlfn.XLOOKUP($C218,[1]CRITERIOS!$K$25:$K$42,[1]CRITERIOS!$M$25:$M$42),
1),
E218/ROUNDDOWN([1]CRITERIOS!$M$16/_xlfn.XLOOKUP($C218,[1]CRITERIOS!$K$25:$K$42,[1]CRITERIOS!$M$25:$M$42),
1),
$M218)),_xlfn.XLOOKUP(A218,'[1]DATOS PBI Artículos'!A:A,'[1]DATOS PBI Artículos'!Z:Z
)))))</f>
        <v>5000</v>
      </c>
      <c r="Q218" s="38">
        <f>IF(AND(O218="",N218=0),
0,
   IF(COUNTIF([1]CRITERIOS!$F$179:$F$199,$A218)&gt;=1,
   1,
   IF(R218="MTO",
      $D218,
      ROUNDUP(
                    IF(($E218-SUMIF('[1]DATOS PBI Artículos'!A:A,A218,'[1]DATOS PBI Artículos'!X:X)+($V218-_xlfn.XLOOKUP(A218,'[1]DATOS PBI Artículos'!A:A,'[1]DATOS PBI Artículos'!W:W)))&lt;0,
                    0,
                    IF(($E218-SUMIF('[1]DATOS PBI Artículos'!A:A,A218,'[1]DATOS PBI Artículos'!X:X)+$V218-_xlfn.XLOOKUP($A218,'[1]DATOS PBI Artículos'!A:A,'[1]DATOS PBI Artículos'!W:W))/IF($O218="",$N218,$O218)&gt;ROUNDUP([1]CRITERIOS!$M$16/(IF(COUNTIF([1]CRITERIOS!$BG$11:$BG$201,L218)&gt;=1,_xlfn.XLOOKUP($C218,[1]CRITERIOS!$K$25:$K$42,[1]CRITERIOS!$M$25:$M$42),_xlfn.XLOOKUP($C218,[1]CRITERIOS!$K$25:$K$42,[1]CRITERIOS!$M$25:$M$42))),0),
                    ROUNDUP([1]CRITERIOS!$M$16/(IF(COUNTIF([1]CRITERIOS!$BG$11:$BG$201,$L218)&gt;=1,_xlfn.XLOOKUP($C218,[1]CRITERIOS!$K$25:$K$42,[1]CRITERIOS!$M$25:$M$42),_xlfn.XLOOKUP($C218,[1]CRITERIOS!$K$25:$K$42,[1]CRITERIOS!$M$25:$M$42))),0),
                    (E218+V218-SUMIF('[1]DATOS PBI Artículos'!A:A,A218,'[1]DATOS PBI Artículos'!X:X)-_xlfn.XLOOKUP(A218,'[1]DATOS PBI Artículos'!A:A,'[1]DATOS PBI Artículos'!W:W))/IF($O218="",$N218,$O218))),0))))</f>
        <v>1</v>
      </c>
      <c r="R218" s="33" t="str">
        <f>IF(U218&lt;&gt;"",U218,IF(F218="DV","MTO",IF(N218=0,"MTO",_xlfn.XLOOKUP(CONCATENATE(S218,T218),[1]CRITERIOS!$K$160:$K$168,[1]CRITERIOS!$N$160:$N$168))))</f>
        <v>MTS</v>
      </c>
      <c r="S218" s="33" t="str">
        <f>IF(G218="DV","MTO",IF(N218=0,"MTO",IF(OR(AND(N218=0,O218=""),IF(O218="",G218/N218,G218/O218)&gt;[1]CRITERIOS!$G$163),"MTO",IF(IF(O218="",G218/N218,G218/O218)&lt;[1]CRITERIOS!$H$161,"MTS","MTOS"))))</f>
        <v>MTS</v>
      </c>
      <c r="T218" s="33" t="str">
        <f>IF(F218="DV","MTO",IF(OR(AND($N218=0,O218=""),$F218/$J218&gt;[1]CRITERIOS!$G$170,$F218="DV"),"MTO",IF($F218/$J218&lt;[1]CRITERIOS!$H$168,"MTS","MTOS")))</f>
        <v>MTS</v>
      </c>
      <c r="V218" s="34">
        <f t="shared" si="13"/>
        <v>1568.9053124562022</v>
      </c>
      <c r="X218" s="34">
        <f t="shared" si="11"/>
        <v>6568.9053124562024</v>
      </c>
      <c r="Y218" s="34">
        <f t="shared" si="12"/>
        <v>2713.1059394154499</v>
      </c>
      <c r="Z218" s="34">
        <f>IF($R218="MTO",
0,
($H218+$K218*($E218/[1]CRITERIOS!$M$16))/[1]CRITERIOS!$X$48)</f>
        <v>213.10593941544994</v>
      </c>
      <c r="AA218" s="34" t="e">
        <f>ROUNDUP(($Y218/_xlfn.XLOOKUP($A218,'[1]DATOS PBI Artículos'!$A$4:$A$4,'[1]DATOS PBI Artículos'!$Z$4:$Z$4))/_xlfn.XLOOKUP(_xlfn.XLOOKUP($A218,'[1]DATOS PBI Artículos'!$A$4:$A$4,'[1]DATOS PBI Artículos'!$Y$4:$Y$4),[1]CRITERIOS!$P$79:$P$123,[1]CRITERIOS!$S$79:$S$123,),0)</f>
        <v>#N/A</v>
      </c>
      <c r="AB218" s="33" t="e">
        <f t="array" ref="AB218">IF((E218+V218-_xlfn.XLOOKUP(A218,'[1]DATOS PBI Artículos'!$A$4:$A$4,'[1]DATOS PBI Artículos'!$W$4:$W$4))/N218&gt;ROUNDUP([1]CRITERIOS!$M$16/(IF(COUNTIF([1]CRITERIOS!$BG$11:$BG$201,L218)&gt;=1,_xlfn.XLOOKUP(ARTÍCULOS!L218,[1]CRITERIOS!$BG$11:$BG$201,[1]CRITERIOS!$BJ$11:$BJ$201),_xlfn.XLOOKUP(ARTÍCULOS!C218,[1]CRITERIOS!$K$25:$K$42,[1]CRITERIOS!$M$25:$M$42))),0),ROUNDUP([1]CRITERIOS!$M$16/(IF(COUNTIF([1]CRITERIOS!$BG$11:$BG$201,L218)&gt;=1,_xlfn.XLOOKUP(ARTÍCULOS!L218,[1]CRITERIOS!$BG$11:$BG$201:#REF!,[1]CRITERIOS!$BJ$11:$BJ$201),_xlfn.XLOOKUP(ARTÍCULOS!C218,[1]CRITERIOS!$K$25:$K$42,[1]CRITERIOS!$M$25:$M$42))),0),(E218+V218-_xlfn.XLOOKUP(A218,'[1]DATOS PBI Artículos'!$A$4:$A$4,'[1]DATOS PBI Artículos'!$W$4:$W$4))/N218)</f>
        <v>#N/A</v>
      </c>
      <c r="AC218" s="33" t="e">
        <f>IF(N218=0,"",(ROUNDUP((N218/2)/(_xlfn.XLOOKUP(A218,'[1]DATOS PBI Artículos'!$A$4:$A$4,'[1]DATOS PBI Artículos'!$Z$4:$Z$4)*_xlfn.XLOOKUP(_xlfn.XLOOKUP(A218,'[1]DATOS PBI Artículos'!$A$4:$A$4,'[1]DATOS PBI Artículos'!$Y$4:$Y$4),[1]CRITERIOS!$P$79:$P$123,[1]CRITERIOS!$S$79:$S$123)),0)*[1]CRITERIOS!$M$80*([1]CRITERIOS!$M$110/[1]CRITERIOS!$M$86)+(_xlfn.XLOOKUP(A218,'[1]DATOS PBI Artículos'!$A$4:$A$4,'[1]DATOS PBI Artículos'!$AA$4:$AA$4)*([1]CRITERIOS!$M$95+[1]CRITERIOS!$M$98)))/N218)</f>
        <v>#N/A</v>
      </c>
      <c r="AD218" s="33" t="e">
        <f>IF(N218=0,"",(ROUNDUP((N218/2)/(_xlfn.XLOOKUP(A218,'[1]DATOS PBI Artículos'!$A$4:$A$4,'[1]DATOS PBI Artículos'!$Z$4:$Z$4)*_xlfn.XLOOKUP(_xlfn.XLOOKUP(A218,'[1]DATOS PBI Artículos'!$A$4:$A$4,'[1]DATOS PBI Artículos'!$Y$4:$Y$4),[1]CRITERIOS!$P$79:$P$123,[1]CRITERIOS!$S$79:$S$123)),0)*[1]CRITERIOS!$M$80*([1]CRITERIOS!$M$89*[1]CRITERIOS!$M$92)+((_xlfn.XLOOKUP(A218,'[1]DATOS PBI Artículos'!$A$4:$A$4,'[1]DATOS PBI Artículos'!$AA$4:$AA$4)/2)*([1]CRITERIOS!$M$95+[1]CRITERIOS!$M$98)))/N218)</f>
        <v>#N/A</v>
      </c>
      <c r="AE218" s="39">
        <f>IF($R218="MTO","",
IF($H218=0,ROUNDUP(((_xlfn.XLOOKUP($A218,'[1]DATOS PBI Artículos'!$A:$A,'[1]DATOS PBI Artículos'!$AL:$AL))/(_xlfn.XLOOKUP($AF$1,[1]CRITERIOS!$S$16:$S$39,[1]CRITERIOS!$Y$16:$Y$39))*$J218+$Z218)/$G218,0)*$G218,
((_xlfn.XLOOKUP($A218,'[1]DATOS PBI Artículos'!$A:$A,'[1]DATOS PBI Artículos'!$AL:$AL))/(_xlfn.XLOOKUP($AF$1,[1]CRITERIOS!$S$16:$S$39,[1]CRITERIOS!$Y$16:$Y$39))*$J218+$Z218)))</f>
        <v>2000</v>
      </c>
      <c r="AG218" s="39">
        <f>IF($R218="MTO","",
IF($H218=0,ROUNDUP(((_xlfn.XLOOKUP($A218,'[1]DATOS PBI Artículos'!$A:$A,'[1]DATOS PBI Artículos'!$AM:$AM))/(_xlfn.XLOOKUP($AH$1,[1]CRITERIOS!$S$16:$S$39,[1]CRITERIOS!$Y$16:$Y$39))*$J218+$Z218)/$G218,0)*$G218,
((_xlfn.XLOOKUP($A218,'[1]DATOS PBI Artículos'!$A:$A,'[1]DATOS PBI Artículos'!$AM:$AM))/(_xlfn.XLOOKUP($AH$1,[1]CRITERIOS!$S$16:$S$39,[1]CRITERIOS!$Y$16:$Y$39))*$J218+$Z218)))</f>
        <v>2000</v>
      </c>
      <c r="AI218" s="39">
        <f>IF($R218="MTO","",
IF($H218=0,ROUNDUP(((_xlfn.XLOOKUP($A218,'[1]DATOS PBI Artículos'!$A:$A,'[1]DATOS PBI Artículos'!$AN:$AN))/(_xlfn.XLOOKUP($AJ$1,[1]CRITERIOS!$S$16:$S$39,[1]CRITERIOS!$Y$16:$Y$39))*$J218+$Z218)/$G218,0)*$G218,
((_xlfn.XLOOKUP($A218,'[1]DATOS PBI Artículos'!$A:$A,'[1]DATOS PBI Artículos'!$AN:$AN))/(_xlfn.XLOOKUP($AJ$1,[1]CRITERIOS!$S$16:$S$39,[1]CRITERIOS!$Y$16:$Y$39))*$J218+$Z218)))</f>
        <v>2000</v>
      </c>
      <c r="AK218" s="39">
        <f>IF($R218="MTO","",
IF($H218=0,ROUNDUP(((_xlfn.XLOOKUP($A218,'[1]DATOS PBI Artículos'!$A:$A,'[1]DATOS PBI Artículos'!$AO:$AO))/(_xlfn.XLOOKUP($AL$1,[1]CRITERIOS!$S$16:$S$39,[1]CRITERIOS!$Y$16:$Y$39))*$J218+$Z218)/$G218,0)*$G218,
((_xlfn.XLOOKUP($A218,'[1]DATOS PBI Artículos'!$A:$A,'[1]DATOS PBI Artículos'!$AO:$AO))/(_xlfn.XLOOKUP($AL$1,[1]CRITERIOS!$S$16:$S$39,[1]CRITERIOS!$Y$16:$Y$39))*$J218+$Z218)))</f>
        <v>2000</v>
      </c>
    </row>
    <row r="219" spans="1:37" ht="25.8" x14ac:dyDescent="0.5">
      <c r="A219" s="32" t="s">
        <v>107</v>
      </c>
      <c r="B219" s="33">
        <f>_xlfn.XLOOKUP($A219,'[1]DATOS PBI Artículos'!A:A,'[1]DATOS PBI Artículos'!B:B)</f>
        <v>0</v>
      </c>
      <c r="C219" s="33" t="str">
        <f>_xlfn.XLOOKUP($A219,'[1]DATOS PBI Artículos'!A:A,'[1]DATOS PBI Artículos'!C:C)</f>
        <v>UA03</v>
      </c>
      <c r="D219" s="33">
        <f>_xlfn.XLOOKUP(A219,'[1]DATOS PBI Artículos'!A:A,'[1]DATOS PBI Artículos'!T:T)</f>
        <v>1</v>
      </c>
      <c r="E219" s="34">
        <f>IF(_xlfn.XLOOKUP($A219,'[1]DATOS PBI Artículos'!A:A,'[1]DATOS PBI Artículos'!AK:AK)="",_xlfn.XLOOKUP($A219,'[1]DATOS PBI Artículos'!A:A,'[1]DATOS PBI Artículos'!AJ:AJ),_xlfn.XLOOKUP($A219,'[1]DATOS PBI Artículos'!A:A,'[1]DATOS PBI Artículos'!AK:AK))</f>
        <v>6000</v>
      </c>
      <c r="F219" s="35">
        <f>_xlfn.XLOOKUP($A219,'[1]DATOS PBI Artículos'!A:A,'[1]DATOS PBI Artículos'!AP:AP)</f>
        <v>75</v>
      </c>
      <c r="G219" s="34">
        <f>_xlfn.XLOOKUP($A219,'[1]DATOS PBI Artículos'!A:A,'[1]DATOS PBI Artículos'!AR:AR)</f>
        <v>6000</v>
      </c>
      <c r="H219" s="34">
        <f>_xlfn.XLOOKUP($A219,'[1]DATOS PBI Artículos'!A:A,'[1]DATOS PBI Artículos'!AT:AT)</f>
        <v>0</v>
      </c>
      <c r="I219" s="34">
        <f>_xlfn.XLOOKUP($A219,'[1]DATOS PBI Artículos'!A:A,'[1]DATOS PBI Artículos'!AS:AS)</f>
        <v>6000</v>
      </c>
      <c r="J219" s="35">
        <f>IF(COUNTIF([1]CRITERIOS!$F$179:$F$199,$A219)&gt;=1,
 IF(O219&lt;&gt;"",
    (O219/_xlfn.XLOOKUP(CONCATENATE(A219,L219),[1]MÁQUINAS!A:A,[1]MÁQUINAS!D:D))/24,
    (N219/_xlfn.XLOOKUP(CONCATENATE(A219,L219),[1]MÁQUINAS!A:A,[1]MÁQUINAS!D:D))/24),
  _xlfn.XLOOKUP($A219,'[1]DATOS PBI Artículos'!A:A,'[1]DATOS PBI Artículos'!AU:AU))</f>
        <v>12.75</v>
      </c>
      <c r="K219" s="36">
        <f>_xlfn.XLOOKUP($A219,'[1]DATOS PBI Artículos'!A:A,'[1]DATOS PBI Artículos'!AV:AV)</f>
        <v>1.2583057392117916</v>
      </c>
      <c r="L219" s="33">
        <f>_xlfn.XLOOKUP(A219,[1]MÁQUINAS!B:B,[1]MÁQUINAS!C:C)</f>
        <v>142</v>
      </c>
      <c r="M219" s="34">
        <f t="array" ref="M219">_xlfn.XLOOKUP(A219,'[1]DATOS PBI Artículos'!A:A,'[1]DATOS PBI Artículos'!AX:$AX)</f>
        <v>6960.6554842059104</v>
      </c>
      <c r="N219" s="37">
        <f>IF(I219="DV",
E219,
IF(COUNTIF([1]CRITERIOS!$I$179:$I$199,$A219)&gt;=1,
_xlfn.XLOOKUP($A219,[1]CRITERIOS!$I$179:$I$199,[1]CRITERIOS!$J$179:$J$199),
IF(COUNTIF([1]CRITERIOS!$L$179:$L$199,$A219)&gt;=1,
_xlfn.CEILING.MATH(IF($M219&gt;$E219,
$E219,
IF($M219&lt;$E219/ROUNDDOWN([1]CRITERIOS!$M$16/_xlfn.XLOOKUP($C219,[1]CRITERIOS!$K$25:$K$42,[1]CRITERIOS!$M$25:$M$42),
1),
E219/ROUNDDOWN([1]CRITERIOS!$M$16/_xlfn.XLOOKUP($C219,[1]CRITERIOS!$K$25:$K$42,[1]CRITERIOS!$M$25:$M$42),
1),
$M219)),
_xlfn.XLOOKUP($A219,[1]CRITERIOS!$L$179:$L$200,[1]CRITERIOS!$M$179:$M$200)),
_xlfn.CEILING.MATH(IF($M219&gt;$E219,
$E219,
IF($M219&lt;$E219/ROUNDDOWN([1]CRITERIOS!$M$16/_xlfn.XLOOKUP($C219,[1]CRITERIOS!$K$25:$K$42,[1]CRITERIOS!$M$25:$M$42),
1),
E219/ROUNDDOWN([1]CRITERIOS!$M$16/_xlfn.XLOOKUP($C219,[1]CRITERIOS!$K$25:$K$42,[1]CRITERIOS!$M$25:$M$42),
1),
$M219)),_xlfn.XLOOKUP(A219,'[1]DATOS PBI Artículos'!A:A,'[1]DATOS PBI Artículos'!Z:Z
)))))</f>
        <v>6000</v>
      </c>
      <c r="Q219" s="38">
        <f>IF(AND(O219="",N219=0),
0,
   IF(COUNTIF([1]CRITERIOS!$F$179:$F$199,$A219)&gt;=1,
   1,
   IF(R219="MTO",
      $D219,
      ROUNDUP(
                    IF(($E219-SUMIF('[1]DATOS PBI Artículos'!A:A,A219,'[1]DATOS PBI Artículos'!X:X)+($V219-_xlfn.XLOOKUP(A219,'[1]DATOS PBI Artículos'!A:A,'[1]DATOS PBI Artículos'!W:W)))&lt;0,
                    0,
                    IF(($E219-SUMIF('[1]DATOS PBI Artículos'!A:A,A219,'[1]DATOS PBI Artículos'!X:X)+$V219-_xlfn.XLOOKUP($A219,'[1]DATOS PBI Artículos'!A:A,'[1]DATOS PBI Artículos'!W:W))/IF($O219="",$N219,$O219)&gt;ROUNDUP([1]CRITERIOS!$M$16/(IF(COUNTIF([1]CRITERIOS!$BG$11:$BG$201,L219)&gt;=1,_xlfn.XLOOKUP($C219,[1]CRITERIOS!$K$25:$K$42,[1]CRITERIOS!$M$25:$M$42),_xlfn.XLOOKUP($C219,[1]CRITERIOS!$K$25:$K$42,[1]CRITERIOS!$M$25:$M$42))),0),
                    ROUNDUP([1]CRITERIOS!$M$16/(IF(COUNTIF([1]CRITERIOS!$BG$11:$BG$201,$L219)&gt;=1,_xlfn.XLOOKUP($C219,[1]CRITERIOS!$K$25:$K$42,[1]CRITERIOS!$M$25:$M$42),_xlfn.XLOOKUP($C219,[1]CRITERIOS!$K$25:$K$42,[1]CRITERIOS!$M$25:$M$42))),0),
                    (E219+V219-SUMIF('[1]DATOS PBI Artículos'!A:A,A219,'[1]DATOS PBI Artículos'!X:X)-_xlfn.XLOOKUP(A219,'[1]DATOS PBI Artículos'!A:A,'[1]DATOS PBI Artículos'!W:W))/IF($O219="",$N219,$O219))),0))))</f>
        <v>1</v>
      </c>
      <c r="R219" s="33" t="str">
        <f>IF(U219&lt;&gt;"",U219,IF(F219="DV","MTO",IF(N219=0,"MTO",_xlfn.XLOOKUP(CONCATENATE(S219,T219),[1]CRITERIOS!$K$160:$K$168,[1]CRITERIOS!$N$160:$N$168))))</f>
        <v>MTO</v>
      </c>
      <c r="S219" s="33" t="str">
        <f>IF(G219="DV","MTO",IF(N219=0,"MTO",IF(OR(AND(N219=0,O219=""),IF(O219="",G219/N219,G219/O219)&gt;[1]CRITERIOS!$G$163),"MTO",IF(IF(O219="",G219/N219,G219/O219)&lt;[1]CRITERIOS!$H$161,"MTS","MTOS"))))</f>
        <v>MTO</v>
      </c>
      <c r="T219" s="33" t="str">
        <f>IF(F219="DV","MTO",IF(OR(AND($N219=0,O219=""),$F219/$J219&gt;[1]CRITERIOS!$G$170,$F219="DV"),"MTO",IF($F219/$J219&lt;[1]CRITERIOS!$H$168,"MTS","MTOS")))</f>
        <v>MTO</v>
      </c>
      <c r="V219" s="34" t="str">
        <f t="shared" si="13"/>
        <v/>
      </c>
      <c r="X219" s="34">
        <f t="shared" si="11"/>
        <v>0</v>
      </c>
      <c r="Y219" s="34">
        <f t="shared" si="12"/>
        <v>0</v>
      </c>
      <c r="Z219" s="34">
        <f>IF($R219="MTO",
0,
($H219+$K219*($E219/[1]CRITERIOS!$M$16))/[1]CRITERIOS!$X$48)</f>
        <v>0</v>
      </c>
      <c r="AA219" s="34" t="e">
        <f>ROUNDUP(($Y219/_xlfn.XLOOKUP($A219,'[1]DATOS PBI Artículos'!$A$4:$A$4,'[1]DATOS PBI Artículos'!$Z$4:$Z$4))/_xlfn.XLOOKUP(_xlfn.XLOOKUP($A219,'[1]DATOS PBI Artículos'!$A$4:$A$4,'[1]DATOS PBI Artículos'!$Y$4:$Y$4),[1]CRITERIOS!$P$79:$P$123,[1]CRITERIOS!$S$79:$S$123,),0)</f>
        <v>#N/A</v>
      </c>
      <c r="AB219" s="33" t="e">
        <f t="array" ref="AB219">IF((E219+V219-_xlfn.XLOOKUP(A219,'[1]DATOS PBI Artículos'!$A$4:$A$4,'[1]DATOS PBI Artículos'!$W$4:$W$4))/N219&gt;ROUNDUP([1]CRITERIOS!$M$16/(IF(COUNTIF([1]CRITERIOS!$BG$11:$BG$201,L219)&gt;=1,_xlfn.XLOOKUP(ARTÍCULOS!L219,[1]CRITERIOS!$BG$11:$BG$201,[1]CRITERIOS!$BJ$11:$BJ$201),_xlfn.XLOOKUP(ARTÍCULOS!C219,[1]CRITERIOS!$K$25:$K$42,[1]CRITERIOS!$M$25:$M$42))),0),ROUNDUP([1]CRITERIOS!$M$16/(IF(COUNTIF([1]CRITERIOS!$BG$11:$BG$201,L219)&gt;=1,_xlfn.XLOOKUP(ARTÍCULOS!L219,[1]CRITERIOS!$BG$11:$BG$201:#REF!,[1]CRITERIOS!$BJ$11:$BJ$201),_xlfn.XLOOKUP(ARTÍCULOS!C219,[1]CRITERIOS!$K$25:$K$42,[1]CRITERIOS!$M$25:$M$42))),0),(E219+V219-_xlfn.XLOOKUP(A219,'[1]DATOS PBI Artículos'!$A$4:$A$4,'[1]DATOS PBI Artículos'!$W$4:$W$4))/N219)</f>
        <v>#VALUE!</v>
      </c>
      <c r="AC219" s="33" t="e">
        <f>IF(N219=0,"",(ROUNDUP((N219/2)/(_xlfn.XLOOKUP(A219,'[1]DATOS PBI Artículos'!$A$4:$A$4,'[1]DATOS PBI Artículos'!$Z$4:$Z$4)*_xlfn.XLOOKUP(_xlfn.XLOOKUP(A219,'[1]DATOS PBI Artículos'!$A$4:$A$4,'[1]DATOS PBI Artículos'!$Y$4:$Y$4),[1]CRITERIOS!$P$79:$P$123,[1]CRITERIOS!$S$79:$S$123)),0)*[1]CRITERIOS!$M$80*([1]CRITERIOS!$M$110/[1]CRITERIOS!$M$86)+(_xlfn.XLOOKUP(A219,'[1]DATOS PBI Artículos'!$A$4:$A$4,'[1]DATOS PBI Artículos'!$AA$4:$AA$4)*([1]CRITERIOS!$M$95+[1]CRITERIOS!$M$98)))/N219)</f>
        <v>#N/A</v>
      </c>
      <c r="AD219" s="33" t="e">
        <f>IF(N219=0,"",(ROUNDUP((N219/2)/(_xlfn.XLOOKUP(A219,'[1]DATOS PBI Artículos'!$A$4:$A$4,'[1]DATOS PBI Artículos'!$Z$4:$Z$4)*_xlfn.XLOOKUP(_xlfn.XLOOKUP(A219,'[1]DATOS PBI Artículos'!$A$4:$A$4,'[1]DATOS PBI Artículos'!$Y$4:$Y$4),[1]CRITERIOS!$P$79:$P$123,[1]CRITERIOS!$S$79:$S$123)),0)*[1]CRITERIOS!$M$80*([1]CRITERIOS!$M$89*[1]CRITERIOS!$M$92)+((_xlfn.XLOOKUP(A219,'[1]DATOS PBI Artículos'!$A$4:$A$4,'[1]DATOS PBI Artículos'!$AA$4:$AA$4)/2)*([1]CRITERIOS!$M$95+[1]CRITERIOS!$M$98)))/N219)</f>
        <v>#N/A</v>
      </c>
      <c r="AE219" s="39" t="str">
        <f>IF($R219="MTO","",
IF($H219=0,ROUNDUP(((_xlfn.XLOOKUP($A219,'[1]DATOS PBI Artículos'!$A:$A,'[1]DATOS PBI Artículos'!$AL:$AL))/(_xlfn.XLOOKUP($AF$1,[1]CRITERIOS!$S$16:$S$39,[1]CRITERIOS!$Y$16:$Y$39))*$J219+$Z219)/$G219,0)*$G219,
((_xlfn.XLOOKUP($A219,'[1]DATOS PBI Artículos'!$A:$A,'[1]DATOS PBI Artículos'!$AL:$AL))/(_xlfn.XLOOKUP($AF$1,[1]CRITERIOS!$S$16:$S$39,[1]CRITERIOS!$Y$16:$Y$39))*$J219+$Z219)))</f>
        <v/>
      </c>
      <c r="AG219" s="39" t="str">
        <f>IF($R219="MTO","",
IF($H219=0,ROUNDUP(((_xlfn.XLOOKUP($A219,'[1]DATOS PBI Artículos'!$A:$A,'[1]DATOS PBI Artículos'!$AM:$AM))/(_xlfn.XLOOKUP($AH$1,[1]CRITERIOS!$S$16:$S$39,[1]CRITERIOS!$Y$16:$Y$39))*$J219+$Z219)/$G219,0)*$G219,
((_xlfn.XLOOKUP($A219,'[1]DATOS PBI Artículos'!$A:$A,'[1]DATOS PBI Artículos'!$AM:$AM))/(_xlfn.XLOOKUP($AH$1,[1]CRITERIOS!$S$16:$S$39,[1]CRITERIOS!$Y$16:$Y$39))*$J219+$Z219)))</f>
        <v/>
      </c>
      <c r="AI219" s="39" t="str">
        <f>IF($R219="MTO","",
IF($H219=0,ROUNDUP(((_xlfn.XLOOKUP($A219,'[1]DATOS PBI Artículos'!$A:$A,'[1]DATOS PBI Artículos'!$AN:$AN))/(_xlfn.XLOOKUP($AJ$1,[1]CRITERIOS!$S$16:$S$39,[1]CRITERIOS!$Y$16:$Y$39))*$J219+$Z219)/$G219,0)*$G219,
((_xlfn.XLOOKUP($A219,'[1]DATOS PBI Artículos'!$A:$A,'[1]DATOS PBI Artículos'!$AN:$AN))/(_xlfn.XLOOKUP($AJ$1,[1]CRITERIOS!$S$16:$S$39,[1]CRITERIOS!$Y$16:$Y$39))*$J219+$Z219)))</f>
        <v/>
      </c>
      <c r="AK219" s="39" t="str">
        <f>IF($R219="MTO","",
IF($H219=0,ROUNDUP(((_xlfn.XLOOKUP($A219,'[1]DATOS PBI Artículos'!$A:$A,'[1]DATOS PBI Artículos'!$AO:$AO))/(_xlfn.XLOOKUP($AL$1,[1]CRITERIOS!$S$16:$S$39,[1]CRITERIOS!$Y$16:$Y$39))*$J219+$Z219)/$G219,0)*$G219,
((_xlfn.XLOOKUP($A219,'[1]DATOS PBI Artículos'!$A:$A,'[1]DATOS PBI Artículos'!$AO:$AO))/(_xlfn.XLOOKUP($AL$1,[1]CRITERIOS!$S$16:$S$39,[1]CRITERIOS!$Y$16:$Y$39))*$J219+$Z219)))</f>
        <v/>
      </c>
    </row>
    <row r="220" spans="1:37" ht="25.8" x14ac:dyDescent="0.5">
      <c r="A220" s="32">
        <v>403584</v>
      </c>
      <c r="B220" s="33">
        <f>_xlfn.XLOOKUP($A220,'[1]DATOS PBI Artículos'!A:A,'[1]DATOS PBI Artículos'!B:B)</f>
        <v>0</v>
      </c>
      <c r="C220" s="33" t="str">
        <f>_xlfn.XLOOKUP($A220,'[1]DATOS PBI Artículos'!A:A,'[1]DATOS PBI Artículos'!C:C)</f>
        <v>UA02</v>
      </c>
      <c r="D220" s="33">
        <f>_xlfn.XLOOKUP(A220,'[1]DATOS PBI Artículos'!A:A,'[1]DATOS PBI Artículos'!T:T)</f>
        <v>4</v>
      </c>
      <c r="E220" s="34">
        <f>IF(_xlfn.XLOOKUP($A220,'[1]DATOS PBI Artículos'!A:A,'[1]DATOS PBI Artículos'!AK:AK)="",_xlfn.XLOOKUP($A220,'[1]DATOS PBI Artículos'!A:A,'[1]DATOS PBI Artículos'!AJ:AJ),_xlfn.XLOOKUP($A220,'[1]DATOS PBI Artículos'!A:A,'[1]DATOS PBI Artículos'!AK:AK))</f>
        <v>6000</v>
      </c>
      <c r="F220" s="35">
        <f>_xlfn.XLOOKUP($A220,'[1]DATOS PBI Artículos'!A:A,'[1]DATOS PBI Artículos'!AP:AP)</f>
        <v>8</v>
      </c>
      <c r="G220" s="34">
        <f>_xlfn.XLOOKUP($A220,'[1]DATOS PBI Artículos'!A:A,'[1]DATOS PBI Artículos'!AR:AR)</f>
        <v>1500</v>
      </c>
      <c r="H220" s="34">
        <f>_xlfn.XLOOKUP($A220,'[1]DATOS PBI Artículos'!A:A,'[1]DATOS PBI Artículos'!AT:AT)</f>
        <v>0</v>
      </c>
      <c r="I220" s="34">
        <f>_xlfn.XLOOKUP($A220,'[1]DATOS PBI Artículos'!A:A,'[1]DATOS PBI Artículos'!AS:AS)</f>
        <v>1500</v>
      </c>
      <c r="J220" s="35">
        <f>IF(COUNTIF([1]CRITERIOS!$F$179:$F$199,$A220)&gt;=1,
 IF(O220&lt;&gt;"",
    (O220/_xlfn.XLOOKUP(CONCATENATE(A220,L220),[1]MÁQUINAS!A:A,[1]MÁQUINAS!D:D))/24,
    (N220/_xlfn.XLOOKUP(CONCATENATE(A220,L220),[1]MÁQUINAS!A:A,[1]MÁQUINAS!D:D))/24),
  _xlfn.XLOOKUP($A220,'[1]DATOS PBI Artículos'!A:A,'[1]DATOS PBI Artículos'!AU:AU))</f>
        <v>24.333333333333336</v>
      </c>
      <c r="K220" s="36">
        <f>_xlfn.XLOOKUP($A220,'[1]DATOS PBI Artículos'!A:A,'[1]DATOS PBI Artículos'!AV:AV)</f>
        <v>0.5773502691896093</v>
      </c>
      <c r="L220" s="33">
        <f>_xlfn.XLOOKUP(A220,[1]MÁQUINAS!B:B,[1]MÁQUINAS!C:C)</f>
        <v>213</v>
      </c>
      <c r="M220" s="34">
        <f t="array" ref="M220">_xlfn.XLOOKUP(A220,'[1]DATOS PBI Artículos'!A:A,'[1]DATOS PBI Artículos'!AX:$AX)</f>
        <v>5594.5033788600413</v>
      </c>
      <c r="N220" s="37">
        <f>IF(I220="DV",
E220,
IF(COUNTIF([1]CRITERIOS!$I$179:$I$199,$A220)&gt;=1,
_xlfn.XLOOKUP($A220,[1]CRITERIOS!$I$179:$I$199,[1]CRITERIOS!$J$179:$J$199),
IF(COUNTIF([1]CRITERIOS!$L$179:$L$199,$A220)&gt;=1,
_xlfn.CEILING.MATH(IF($M220&gt;$E220,
$E220,
IF($M220&lt;$E220/ROUNDDOWN([1]CRITERIOS!$M$16/_xlfn.XLOOKUP($C220,[1]CRITERIOS!$K$25:$K$42,[1]CRITERIOS!$M$25:$M$42),
1),
E220/ROUNDDOWN([1]CRITERIOS!$M$16/_xlfn.XLOOKUP($C220,[1]CRITERIOS!$K$25:$K$42,[1]CRITERIOS!$M$25:$M$42),
1),
$M220)),
_xlfn.XLOOKUP($A220,[1]CRITERIOS!$L$179:$L$200,[1]CRITERIOS!$M$179:$M$200)),
_xlfn.CEILING.MATH(IF($M220&gt;$E220,
$E220,
IF($M220&lt;$E220/ROUNDDOWN([1]CRITERIOS!$M$16/_xlfn.XLOOKUP($C220,[1]CRITERIOS!$K$25:$K$42,[1]CRITERIOS!$M$25:$M$42),
1),
E220/ROUNDDOWN([1]CRITERIOS!$M$16/_xlfn.XLOOKUP($C220,[1]CRITERIOS!$K$25:$K$42,[1]CRITERIOS!$M$25:$M$42),
1),
$M220)),_xlfn.XLOOKUP(A220,'[1]DATOS PBI Artículos'!A:A,'[1]DATOS PBI Artículos'!Z:Z
)))))</f>
        <v>6000</v>
      </c>
      <c r="Q220" s="38">
        <f>IF(AND(O220="",N220=0),
0,
   IF(COUNTIF([1]CRITERIOS!$F$179:$F$199,$A220)&gt;=1,
   1,
   IF(R220="MTO",
      $D220,
      ROUNDUP(
                    IF(($E220-SUMIF('[1]DATOS PBI Artículos'!A:A,A220,'[1]DATOS PBI Artículos'!X:X)+($V220-_xlfn.XLOOKUP(A220,'[1]DATOS PBI Artículos'!A:A,'[1]DATOS PBI Artículos'!W:W)))&lt;0,
                    0,
                    IF(($E220-SUMIF('[1]DATOS PBI Artículos'!A:A,A220,'[1]DATOS PBI Artículos'!X:X)+$V220-_xlfn.XLOOKUP($A220,'[1]DATOS PBI Artículos'!A:A,'[1]DATOS PBI Artículos'!W:W))/IF($O220="",$N220,$O220)&gt;ROUNDUP([1]CRITERIOS!$M$16/(IF(COUNTIF([1]CRITERIOS!$BG$11:$BG$201,L220)&gt;=1,_xlfn.XLOOKUP($C220,[1]CRITERIOS!$K$25:$K$42,[1]CRITERIOS!$M$25:$M$42),_xlfn.XLOOKUP($C220,[1]CRITERIOS!$K$25:$K$42,[1]CRITERIOS!$M$25:$M$42))),0),
                    ROUNDUP([1]CRITERIOS!$M$16/(IF(COUNTIF([1]CRITERIOS!$BG$11:$BG$201,$L220)&gt;=1,_xlfn.XLOOKUP($C220,[1]CRITERIOS!$K$25:$K$42,[1]CRITERIOS!$M$25:$M$42),_xlfn.XLOOKUP($C220,[1]CRITERIOS!$K$25:$K$42,[1]CRITERIOS!$M$25:$M$42))),0),
                    (E220+V220-SUMIF('[1]DATOS PBI Artículos'!A:A,A220,'[1]DATOS PBI Artículos'!X:X)-_xlfn.XLOOKUP(A220,'[1]DATOS PBI Artículos'!A:A,'[1]DATOS PBI Artículos'!W:W))/IF($O220="",$N220,$O220))),0))))</f>
        <v>1</v>
      </c>
      <c r="R220" s="33" t="str">
        <f>IF(U220&lt;&gt;"",U220,IF(F220="DV","MTO",IF(N220=0,"MTO",_xlfn.XLOOKUP(CONCATENATE(S220,T220),[1]CRITERIOS!$K$160:$K$168,[1]CRITERIOS!$N$160:$N$168))))</f>
        <v>MTS</v>
      </c>
      <c r="S220" s="33" t="str">
        <f>IF(G220="DV","MTO",IF(N220=0,"MTO",IF(OR(AND(N220=0,O220=""),IF(O220="",G220/N220,G220/O220)&gt;[1]CRITERIOS!$G$163),"MTO",IF(IF(O220="",G220/N220,G220/O220)&lt;[1]CRITERIOS!$H$161,"MTS","MTOS"))))</f>
        <v>MTS</v>
      </c>
      <c r="T220" s="33" t="str">
        <f>IF(F220="DV","MTO",IF(OR(AND($N220=0,O220=""),$F220/$J220&gt;[1]CRITERIOS!$G$170,$F220="DV"),"MTO",IF($F220/$J220&lt;[1]CRITERIOS!$H$168,"MTS","MTOS")))</f>
        <v>MTS</v>
      </c>
      <c r="V220" s="34">
        <f t="shared" si="13"/>
        <v>4600.9900179459737</v>
      </c>
      <c r="X220" s="34">
        <f t="shared" si="11"/>
        <v>10600.990017945973</v>
      </c>
      <c r="Y220" s="34">
        <f t="shared" si="12"/>
        <v>3038.4900179459742</v>
      </c>
      <c r="Z220" s="34">
        <f>IF($R220="MTO",
0,
($H220+$K220*($E220/[1]CRITERIOS!$M$16))/[1]CRITERIOS!$X$48)</f>
        <v>38.490017945973953</v>
      </c>
      <c r="AA220" s="34" t="e">
        <f>ROUNDUP(($Y220/_xlfn.XLOOKUP($A220,'[1]DATOS PBI Artículos'!$A$4:$A$4,'[1]DATOS PBI Artículos'!$Z$4:$Z$4))/_xlfn.XLOOKUP(_xlfn.XLOOKUP($A220,'[1]DATOS PBI Artículos'!$A$4:$A$4,'[1]DATOS PBI Artículos'!$Y$4:$Y$4),[1]CRITERIOS!$P$79:$P$123,[1]CRITERIOS!$S$79:$S$123,),0)</f>
        <v>#N/A</v>
      </c>
      <c r="AB220" s="33" t="e">
        <f t="array" ref="AB220">IF((E220+V220-_xlfn.XLOOKUP(A220,'[1]DATOS PBI Artículos'!$A$4:$A$4,'[1]DATOS PBI Artículos'!$W$4:$W$4))/N220&gt;ROUNDUP([1]CRITERIOS!$M$16/(IF(COUNTIF([1]CRITERIOS!$BG$11:$BG$201,L220)&gt;=1,_xlfn.XLOOKUP(ARTÍCULOS!L220,[1]CRITERIOS!$BG$11:$BG$201,[1]CRITERIOS!$BJ$11:$BJ$201),_xlfn.XLOOKUP(ARTÍCULOS!C220,[1]CRITERIOS!$K$25:$K$42,[1]CRITERIOS!$M$25:$M$42))),0),ROUNDUP([1]CRITERIOS!$M$16/(IF(COUNTIF([1]CRITERIOS!$BG$11:$BG$201,L220)&gt;=1,_xlfn.XLOOKUP(ARTÍCULOS!L220,[1]CRITERIOS!$BG$11:$BG$201:#REF!,[1]CRITERIOS!$BJ$11:$BJ$201),_xlfn.XLOOKUP(ARTÍCULOS!C220,[1]CRITERIOS!$K$25:$K$42,[1]CRITERIOS!$M$25:$M$42))),0),(E220+V220-_xlfn.XLOOKUP(A220,'[1]DATOS PBI Artículos'!$A$4:$A$4,'[1]DATOS PBI Artículos'!$W$4:$W$4))/N220)</f>
        <v>#N/A</v>
      </c>
      <c r="AC220" s="33" t="e">
        <f>IF(N220=0,"",(ROUNDUP((N220/2)/(_xlfn.XLOOKUP(A220,'[1]DATOS PBI Artículos'!$A$4:$A$4,'[1]DATOS PBI Artículos'!$Z$4:$Z$4)*_xlfn.XLOOKUP(_xlfn.XLOOKUP(A220,'[1]DATOS PBI Artículos'!$A$4:$A$4,'[1]DATOS PBI Artículos'!$Y$4:$Y$4),[1]CRITERIOS!$P$79:$P$123,[1]CRITERIOS!$S$79:$S$123)),0)*[1]CRITERIOS!$M$80*([1]CRITERIOS!$M$110/[1]CRITERIOS!$M$86)+(_xlfn.XLOOKUP(A220,'[1]DATOS PBI Artículos'!$A$4:$A$4,'[1]DATOS PBI Artículos'!$AA$4:$AA$4)*([1]CRITERIOS!$M$95+[1]CRITERIOS!$M$98)))/N220)</f>
        <v>#N/A</v>
      </c>
      <c r="AD220" s="33" t="e">
        <f>IF(N220=0,"",(ROUNDUP((N220/2)/(_xlfn.XLOOKUP(A220,'[1]DATOS PBI Artículos'!$A$4:$A$4,'[1]DATOS PBI Artículos'!$Z$4:$Z$4)*_xlfn.XLOOKUP(_xlfn.XLOOKUP(A220,'[1]DATOS PBI Artículos'!$A$4:$A$4,'[1]DATOS PBI Artículos'!$Y$4:$Y$4),[1]CRITERIOS!$P$79:$P$123,[1]CRITERIOS!$S$79:$S$123)),0)*[1]CRITERIOS!$M$80*([1]CRITERIOS!$M$89*[1]CRITERIOS!$M$92)+((_xlfn.XLOOKUP(A220,'[1]DATOS PBI Artículos'!$A$4:$A$4,'[1]DATOS PBI Artículos'!$AA$4:$AA$4)/2)*([1]CRITERIOS!$M$95+[1]CRITERIOS!$M$98)))/N220)</f>
        <v>#N/A</v>
      </c>
      <c r="AE220" s="39">
        <f>IF($R220="MTO","",
IF($H220=0,ROUNDUP(((_xlfn.XLOOKUP($A220,'[1]DATOS PBI Artículos'!$A:$A,'[1]DATOS PBI Artículos'!$AL:$AL))/(_xlfn.XLOOKUP($AF$1,[1]CRITERIOS!$S$16:$S$39,[1]CRITERIOS!$Y$16:$Y$39))*$J220+$Z220)/$G220,0)*$G220,
((_xlfn.XLOOKUP($A220,'[1]DATOS PBI Artículos'!$A:$A,'[1]DATOS PBI Artículos'!$AL:$AL))/(_xlfn.XLOOKUP($AF$1,[1]CRITERIOS!$S$16:$S$39,[1]CRITERIOS!$Y$16:$Y$39))*$J220+$Z220)))</f>
        <v>3000</v>
      </c>
      <c r="AG220" s="39">
        <f>IF($R220="MTO","",
IF($H220=0,ROUNDUP(((_xlfn.XLOOKUP($A220,'[1]DATOS PBI Artículos'!$A:$A,'[1]DATOS PBI Artículos'!$AM:$AM))/(_xlfn.XLOOKUP($AH$1,[1]CRITERIOS!$S$16:$S$39,[1]CRITERIOS!$Y$16:$Y$39))*$J220+$Z220)/$G220,0)*$G220,
((_xlfn.XLOOKUP($A220,'[1]DATOS PBI Artículos'!$A:$A,'[1]DATOS PBI Artículos'!$AM:$AM))/(_xlfn.XLOOKUP($AH$1,[1]CRITERIOS!$S$16:$S$39,[1]CRITERIOS!$Y$16:$Y$39))*$J220+$Z220)))</f>
        <v>3000</v>
      </c>
      <c r="AI220" s="39">
        <f>IF($R220="MTO","",
IF($H220=0,ROUNDUP(((_xlfn.XLOOKUP($A220,'[1]DATOS PBI Artículos'!$A:$A,'[1]DATOS PBI Artículos'!$AN:$AN))/(_xlfn.XLOOKUP($AJ$1,[1]CRITERIOS!$S$16:$S$39,[1]CRITERIOS!$Y$16:$Y$39))*$J220+$Z220)/$G220,0)*$G220,
((_xlfn.XLOOKUP($A220,'[1]DATOS PBI Artículos'!$A:$A,'[1]DATOS PBI Artículos'!$AN:$AN))/(_xlfn.XLOOKUP($AJ$1,[1]CRITERIOS!$S$16:$S$39,[1]CRITERIOS!$Y$16:$Y$39))*$J220+$Z220)))</f>
        <v>3000</v>
      </c>
      <c r="AK220" s="39">
        <f>IF($R220="MTO","",
IF($H220=0,ROUNDUP(((_xlfn.XLOOKUP($A220,'[1]DATOS PBI Artículos'!$A:$A,'[1]DATOS PBI Artículos'!$AO:$AO))/(_xlfn.XLOOKUP($AL$1,[1]CRITERIOS!$S$16:$S$39,[1]CRITERIOS!$Y$16:$Y$39))*$J220+$Z220)/$G220,0)*$G220,
((_xlfn.XLOOKUP($A220,'[1]DATOS PBI Artículos'!$A:$A,'[1]DATOS PBI Artículos'!$AO:$AO))/(_xlfn.XLOOKUP($AL$1,[1]CRITERIOS!$S$16:$S$39,[1]CRITERIOS!$Y$16:$Y$39))*$J220+$Z220)))</f>
        <v>3000</v>
      </c>
    </row>
    <row r="221" spans="1:37" ht="25.8" x14ac:dyDescent="0.5">
      <c r="A221" s="32" t="s">
        <v>108</v>
      </c>
      <c r="B221" s="33">
        <f>_xlfn.XLOOKUP($A221,'[1]DATOS PBI Artículos'!A:A,'[1]DATOS PBI Artículos'!B:B)</f>
        <v>0</v>
      </c>
      <c r="C221" s="33" t="str">
        <f>_xlfn.XLOOKUP($A221,'[1]DATOS PBI Artículos'!A:A,'[1]DATOS PBI Artículos'!C:C)</f>
        <v>UA01</v>
      </c>
      <c r="D221" s="33">
        <f>_xlfn.XLOOKUP(A221,'[1]DATOS PBI Artículos'!A:A,'[1]DATOS PBI Artículos'!T:T)</f>
        <v>1</v>
      </c>
      <c r="E221" s="34">
        <f>IF(_xlfn.XLOOKUP($A221,'[1]DATOS PBI Artículos'!A:A,'[1]DATOS PBI Artículos'!AK:AK)="",_xlfn.XLOOKUP($A221,'[1]DATOS PBI Artículos'!A:A,'[1]DATOS PBI Artículos'!AJ:AJ),_xlfn.XLOOKUP($A221,'[1]DATOS PBI Artículos'!A:A,'[1]DATOS PBI Artículos'!AK:AK))</f>
        <v>6000</v>
      </c>
      <c r="F221" s="35">
        <f>_xlfn.XLOOKUP($A221,'[1]DATOS PBI Artículos'!A:A,'[1]DATOS PBI Artículos'!AP:AP)</f>
        <v>75</v>
      </c>
      <c r="G221" s="34">
        <f>_xlfn.XLOOKUP($A221,'[1]DATOS PBI Artículos'!A:A,'[1]DATOS PBI Artículos'!AR:AR)</f>
        <v>6000</v>
      </c>
      <c r="H221" s="34">
        <f>_xlfn.XLOOKUP($A221,'[1]DATOS PBI Artículos'!A:A,'[1]DATOS PBI Artículos'!AT:AT)</f>
        <v>0</v>
      </c>
      <c r="I221" s="34">
        <f>_xlfn.XLOOKUP($A221,'[1]DATOS PBI Artículos'!A:A,'[1]DATOS PBI Artículos'!AS:AS)</f>
        <v>6000</v>
      </c>
      <c r="J221" s="35">
        <f>IF(COUNTIF([1]CRITERIOS!$F$179:$F$199,$A221)&gt;=1,
 IF(O221&lt;&gt;"",
    (O221/_xlfn.XLOOKUP(CONCATENATE(A221,L221),[1]MÁQUINAS!A:A,[1]MÁQUINAS!D:D))/24,
    (N221/_xlfn.XLOOKUP(CONCATENATE(A221,L221),[1]MÁQUINAS!A:A,[1]MÁQUINAS!D:D))/24),
  _xlfn.XLOOKUP($A221,'[1]DATOS PBI Artículos'!A:A,'[1]DATOS PBI Artículos'!AU:AU))</f>
        <v>18</v>
      </c>
      <c r="K221" s="36">
        <f>_xlfn.XLOOKUP($A221,'[1]DATOS PBI Artículos'!A:A,'[1]DATOS PBI Artículos'!AV:AV)</f>
        <v>0</v>
      </c>
      <c r="L221" s="33">
        <f>_xlfn.XLOOKUP(A221,[1]MÁQUINAS!B:B,[1]MÁQUINAS!C:C)</f>
        <v>406</v>
      </c>
      <c r="M221" s="34">
        <f t="array" ref="M221">_xlfn.XLOOKUP(A221,'[1]DATOS PBI Artículos'!A:A,'[1]DATOS PBI Artículos'!AX:$AX)</f>
        <v>13042.831656555998</v>
      </c>
      <c r="N221" s="37">
        <f>IF(I221="DV",
E221,
IF(COUNTIF([1]CRITERIOS!$I$179:$I$199,$A221)&gt;=1,
_xlfn.XLOOKUP($A221,[1]CRITERIOS!$I$179:$I$199,[1]CRITERIOS!$J$179:$J$199),
IF(COUNTIF([1]CRITERIOS!$L$179:$L$199,$A221)&gt;=1,
_xlfn.CEILING.MATH(IF($M221&gt;$E221,
$E221,
IF($M221&lt;$E221/ROUNDDOWN([1]CRITERIOS!$M$16/_xlfn.XLOOKUP($C221,[1]CRITERIOS!$K$25:$K$42,[1]CRITERIOS!$M$25:$M$42),
1),
E221/ROUNDDOWN([1]CRITERIOS!$M$16/_xlfn.XLOOKUP($C221,[1]CRITERIOS!$K$25:$K$42,[1]CRITERIOS!$M$25:$M$42),
1),
$M221)),
_xlfn.XLOOKUP($A221,[1]CRITERIOS!$L$179:$L$200,[1]CRITERIOS!$M$179:$M$200)),
_xlfn.CEILING.MATH(IF($M221&gt;$E221,
$E221,
IF($M221&lt;$E221/ROUNDDOWN([1]CRITERIOS!$M$16/_xlfn.XLOOKUP($C221,[1]CRITERIOS!$K$25:$K$42,[1]CRITERIOS!$M$25:$M$42),
1),
E221/ROUNDDOWN([1]CRITERIOS!$M$16/_xlfn.XLOOKUP($C221,[1]CRITERIOS!$K$25:$K$42,[1]CRITERIOS!$M$25:$M$42),
1),
$M221)),_xlfn.XLOOKUP(A221,'[1]DATOS PBI Artículos'!A:A,'[1]DATOS PBI Artículos'!Z:Z
)))))</f>
        <v>6000</v>
      </c>
      <c r="Q221" s="38">
        <f>IF(AND(O221="",N221=0),
0,
   IF(COUNTIF([1]CRITERIOS!$F$179:$F$199,$A221)&gt;=1,
   1,
   IF(R221="MTO",
      $D221,
      ROUNDUP(
                    IF(($E221-SUMIF('[1]DATOS PBI Artículos'!A:A,A221,'[1]DATOS PBI Artículos'!X:X)+($V221-_xlfn.XLOOKUP(A221,'[1]DATOS PBI Artículos'!A:A,'[1]DATOS PBI Artículos'!W:W)))&lt;0,
                    0,
                    IF(($E221-SUMIF('[1]DATOS PBI Artículos'!A:A,A221,'[1]DATOS PBI Artículos'!X:X)+$V221-_xlfn.XLOOKUP($A221,'[1]DATOS PBI Artículos'!A:A,'[1]DATOS PBI Artículos'!W:W))/IF($O221="",$N221,$O221)&gt;ROUNDUP([1]CRITERIOS!$M$16/(IF(COUNTIF([1]CRITERIOS!$BG$11:$BG$201,L221)&gt;=1,_xlfn.XLOOKUP($C221,[1]CRITERIOS!$K$25:$K$42,[1]CRITERIOS!$M$25:$M$42),_xlfn.XLOOKUP($C221,[1]CRITERIOS!$K$25:$K$42,[1]CRITERIOS!$M$25:$M$42))),0),
                    ROUNDUP([1]CRITERIOS!$M$16/(IF(COUNTIF([1]CRITERIOS!$BG$11:$BG$201,$L221)&gt;=1,_xlfn.XLOOKUP($C221,[1]CRITERIOS!$K$25:$K$42,[1]CRITERIOS!$M$25:$M$42),_xlfn.XLOOKUP($C221,[1]CRITERIOS!$K$25:$K$42,[1]CRITERIOS!$M$25:$M$42))),0),
                    (E221+V221-SUMIF('[1]DATOS PBI Artículos'!A:A,A221,'[1]DATOS PBI Artículos'!X:X)-_xlfn.XLOOKUP(A221,'[1]DATOS PBI Artículos'!A:A,'[1]DATOS PBI Artículos'!W:W))/IF($O221="",$N221,$O221))),0))))</f>
        <v>1</v>
      </c>
      <c r="R221" s="33" t="str">
        <f>IF(U221&lt;&gt;"",U221,IF(F221="DV","MTO",IF(N221=0,"MTO",_xlfn.XLOOKUP(CONCATENATE(S221,T221),[1]CRITERIOS!$K$160:$K$168,[1]CRITERIOS!$N$160:$N$168))))</f>
        <v>MTO</v>
      </c>
      <c r="S221" s="33" t="str">
        <f>IF(G221="DV","MTO",IF(N221=0,"MTO",IF(OR(AND(N221=0,O221=""),IF(O221="",G221/N221,G221/O221)&gt;[1]CRITERIOS!$G$163),"MTO",IF(IF(O221="",G221/N221,G221/O221)&lt;[1]CRITERIOS!$H$161,"MTS","MTOS"))))</f>
        <v>MTO</v>
      </c>
      <c r="T221" s="33" t="str">
        <f>IF(F221="DV","MTO",IF(OR(AND($N221=0,O221=""),$F221/$J221&gt;[1]CRITERIOS!$G$170,$F221="DV"),"MTO",IF($F221/$J221&lt;[1]CRITERIOS!$H$168,"MTS","MTOS")))</f>
        <v>MTO</v>
      </c>
      <c r="V221" s="34" t="str">
        <f t="shared" si="13"/>
        <v/>
      </c>
      <c r="X221" s="34">
        <f t="shared" si="11"/>
        <v>0</v>
      </c>
      <c r="Y221" s="34">
        <f t="shared" si="12"/>
        <v>0</v>
      </c>
      <c r="Z221" s="34">
        <f>IF($R221="MTO",
0,
($H221+$K221*($E221/[1]CRITERIOS!$M$16))/[1]CRITERIOS!$X$48)</f>
        <v>0</v>
      </c>
      <c r="AA221" s="34" t="e">
        <f>ROUNDUP(($Y221/_xlfn.XLOOKUP($A221,'[1]DATOS PBI Artículos'!$A$4:$A$4,'[1]DATOS PBI Artículos'!$Z$4:$Z$4))/_xlfn.XLOOKUP(_xlfn.XLOOKUP($A221,'[1]DATOS PBI Artículos'!$A$4:$A$4,'[1]DATOS PBI Artículos'!$Y$4:$Y$4),[1]CRITERIOS!$P$79:$P$123,[1]CRITERIOS!$S$79:$S$123,),0)</f>
        <v>#N/A</v>
      </c>
      <c r="AB221" s="33" t="e">
        <f t="array" ref="AB221">IF((E221+V221-_xlfn.XLOOKUP(A221,'[1]DATOS PBI Artículos'!$A$4:$A$4,'[1]DATOS PBI Artículos'!$W$4:$W$4))/N221&gt;ROUNDUP([1]CRITERIOS!$M$16/(IF(COUNTIF([1]CRITERIOS!$BG$11:$BG$201,L221)&gt;=1,_xlfn.XLOOKUP(ARTÍCULOS!L221,[1]CRITERIOS!$BG$11:$BG$201,[1]CRITERIOS!$BJ$11:$BJ$201),_xlfn.XLOOKUP(ARTÍCULOS!C221,[1]CRITERIOS!$K$25:$K$42,[1]CRITERIOS!$M$25:$M$42))),0),ROUNDUP([1]CRITERIOS!$M$16/(IF(COUNTIF([1]CRITERIOS!$BG$11:$BG$201,L221)&gt;=1,_xlfn.XLOOKUP(ARTÍCULOS!L221,[1]CRITERIOS!$BG$11:$BG$201:#REF!,[1]CRITERIOS!$BJ$11:$BJ$201),_xlfn.XLOOKUP(ARTÍCULOS!C221,[1]CRITERIOS!$K$25:$K$42,[1]CRITERIOS!$M$25:$M$42))),0),(E221+V221-_xlfn.XLOOKUP(A221,'[1]DATOS PBI Artículos'!$A$4:$A$4,'[1]DATOS PBI Artículos'!$W$4:$W$4))/N221)</f>
        <v>#VALUE!</v>
      </c>
      <c r="AC221" s="33" t="e">
        <f>IF(N221=0,"",(ROUNDUP((N221/2)/(_xlfn.XLOOKUP(A221,'[1]DATOS PBI Artículos'!$A$4:$A$4,'[1]DATOS PBI Artículos'!$Z$4:$Z$4)*_xlfn.XLOOKUP(_xlfn.XLOOKUP(A221,'[1]DATOS PBI Artículos'!$A$4:$A$4,'[1]DATOS PBI Artículos'!$Y$4:$Y$4),[1]CRITERIOS!$P$79:$P$123,[1]CRITERIOS!$S$79:$S$123)),0)*[1]CRITERIOS!$M$80*([1]CRITERIOS!$M$110/[1]CRITERIOS!$M$86)+(_xlfn.XLOOKUP(A221,'[1]DATOS PBI Artículos'!$A$4:$A$4,'[1]DATOS PBI Artículos'!$AA$4:$AA$4)*([1]CRITERIOS!$M$95+[1]CRITERIOS!$M$98)))/N221)</f>
        <v>#N/A</v>
      </c>
      <c r="AD221" s="33" t="e">
        <f>IF(N221=0,"",(ROUNDUP((N221/2)/(_xlfn.XLOOKUP(A221,'[1]DATOS PBI Artículos'!$A$4:$A$4,'[1]DATOS PBI Artículos'!$Z$4:$Z$4)*_xlfn.XLOOKUP(_xlfn.XLOOKUP(A221,'[1]DATOS PBI Artículos'!$A$4:$A$4,'[1]DATOS PBI Artículos'!$Y$4:$Y$4),[1]CRITERIOS!$P$79:$P$123,[1]CRITERIOS!$S$79:$S$123)),0)*[1]CRITERIOS!$M$80*([1]CRITERIOS!$M$89*[1]CRITERIOS!$M$92)+((_xlfn.XLOOKUP(A221,'[1]DATOS PBI Artículos'!$A$4:$A$4,'[1]DATOS PBI Artículos'!$AA$4:$AA$4)/2)*([1]CRITERIOS!$M$95+[1]CRITERIOS!$M$98)))/N221)</f>
        <v>#N/A</v>
      </c>
      <c r="AE221" s="39" t="str">
        <f>IF($R221="MTO","",
IF($H221=0,ROUNDUP(((_xlfn.XLOOKUP($A221,'[1]DATOS PBI Artículos'!$A:$A,'[1]DATOS PBI Artículos'!$AL:$AL))/(_xlfn.XLOOKUP($AF$1,[1]CRITERIOS!$S$16:$S$39,[1]CRITERIOS!$Y$16:$Y$39))*$J221+$Z221)/$G221,0)*$G221,
((_xlfn.XLOOKUP($A221,'[1]DATOS PBI Artículos'!$A:$A,'[1]DATOS PBI Artículos'!$AL:$AL))/(_xlfn.XLOOKUP($AF$1,[1]CRITERIOS!$S$16:$S$39,[1]CRITERIOS!$Y$16:$Y$39))*$J221+$Z221)))</f>
        <v/>
      </c>
      <c r="AG221" s="39" t="str">
        <f>IF($R221="MTO","",
IF($H221=0,ROUNDUP(((_xlfn.XLOOKUP($A221,'[1]DATOS PBI Artículos'!$A:$A,'[1]DATOS PBI Artículos'!$AM:$AM))/(_xlfn.XLOOKUP($AH$1,[1]CRITERIOS!$S$16:$S$39,[1]CRITERIOS!$Y$16:$Y$39))*$J221+$Z221)/$G221,0)*$G221,
((_xlfn.XLOOKUP($A221,'[1]DATOS PBI Artículos'!$A:$A,'[1]DATOS PBI Artículos'!$AM:$AM))/(_xlfn.XLOOKUP($AH$1,[1]CRITERIOS!$S$16:$S$39,[1]CRITERIOS!$Y$16:$Y$39))*$J221+$Z221)))</f>
        <v/>
      </c>
      <c r="AI221" s="39" t="str">
        <f>IF($R221="MTO","",
IF($H221=0,ROUNDUP(((_xlfn.XLOOKUP($A221,'[1]DATOS PBI Artículos'!$A:$A,'[1]DATOS PBI Artículos'!$AN:$AN))/(_xlfn.XLOOKUP($AJ$1,[1]CRITERIOS!$S$16:$S$39,[1]CRITERIOS!$Y$16:$Y$39))*$J221+$Z221)/$G221,0)*$G221,
((_xlfn.XLOOKUP($A221,'[1]DATOS PBI Artículos'!$A:$A,'[1]DATOS PBI Artículos'!$AN:$AN))/(_xlfn.XLOOKUP($AJ$1,[1]CRITERIOS!$S$16:$S$39,[1]CRITERIOS!$Y$16:$Y$39))*$J221+$Z221)))</f>
        <v/>
      </c>
      <c r="AK221" s="39" t="str">
        <f>IF($R221="MTO","",
IF($H221=0,ROUNDUP(((_xlfn.XLOOKUP($A221,'[1]DATOS PBI Artículos'!$A:$A,'[1]DATOS PBI Artículos'!$AO:$AO))/(_xlfn.XLOOKUP($AL$1,[1]CRITERIOS!$S$16:$S$39,[1]CRITERIOS!$Y$16:$Y$39))*$J221+$Z221)/$G221,0)*$G221,
((_xlfn.XLOOKUP($A221,'[1]DATOS PBI Artículos'!$A:$A,'[1]DATOS PBI Artículos'!$AO:$AO))/(_xlfn.XLOOKUP($AL$1,[1]CRITERIOS!$S$16:$S$39,[1]CRITERIOS!$Y$16:$Y$39))*$J221+$Z221)))</f>
        <v/>
      </c>
    </row>
    <row r="222" spans="1:37" ht="25.8" x14ac:dyDescent="0.5">
      <c r="A222" s="32">
        <v>451400</v>
      </c>
      <c r="B222" s="33">
        <f>_xlfn.XLOOKUP($A222,'[1]DATOS PBI Artículos'!A:A,'[1]DATOS PBI Artículos'!B:B)</f>
        <v>0</v>
      </c>
      <c r="C222" s="33" t="str">
        <f>_xlfn.XLOOKUP($A222,'[1]DATOS PBI Artículos'!A:A,'[1]DATOS PBI Artículos'!C:C)</f>
        <v>UA03</v>
      </c>
      <c r="D222" s="33">
        <f>_xlfn.XLOOKUP(A222,'[1]DATOS PBI Artículos'!A:A,'[1]DATOS PBI Artículos'!T:T)</f>
        <v>1</v>
      </c>
      <c r="E222" s="34">
        <f>IF(_xlfn.XLOOKUP($A222,'[1]DATOS PBI Artículos'!A:A,'[1]DATOS PBI Artículos'!AK:AK)="",_xlfn.XLOOKUP($A222,'[1]DATOS PBI Artículos'!A:A,'[1]DATOS PBI Artículos'!AJ:AJ),_xlfn.XLOOKUP($A222,'[1]DATOS PBI Artículos'!A:A,'[1]DATOS PBI Artículos'!AK:AK))</f>
        <v>5990</v>
      </c>
      <c r="F222" s="35">
        <f>_xlfn.XLOOKUP($A222,'[1]DATOS PBI Artículos'!A:A,'[1]DATOS PBI Artículos'!AP:AP)</f>
        <v>75</v>
      </c>
      <c r="G222" s="34">
        <f>_xlfn.XLOOKUP($A222,'[1]DATOS PBI Artículos'!A:A,'[1]DATOS PBI Artículos'!AR:AR)</f>
        <v>5990</v>
      </c>
      <c r="H222" s="34">
        <f>_xlfn.XLOOKUP($A222,'[1]DATOS PBI Artículos'!A:A,'[1]DATOS PBI Artículos'!AT:AT)</f>
        <v>0</v>
      </c>
      <c r="I222" s="34">
        <f>_xlfn.XLOOKUP($A222,'[1]DATOS PBI Artículos'!A:A,'[1]DATOS PBI Artículos'!AS:AS)</f>
        <v>5990</v>
      </c>
      <c r="J222" s="35">
        <f>IF(COUNTIF([1]CRITERIOS!$F$179:$F$199,$A222)&gt;=1,
 IF(O222&lt;&gt;"",
    (O222/_xlfn.XLOOKUP(CONCATENATE(A222,L222),[1]MÁQUINAS!A:A,[1]MÁQUINAS!D:D))/24,
    (N222/_xlfn.XLOOKUP(CONCATENATE(A222,L222),[1]MÁQUINAS!A:A,[1]MÁQUINAS!D:D))/24),
  _xlfn.XLOOKUP($A222,'[1]DATOS PBI Artículos'!A:A,'[1]DATOS PBI Artículos'!AU:AU))</f>
        <v>11</v>
      </c>
      <c r="K222" s="36">
        <f>_xlfn.XLOOKUP($A222,'[1]DATOS PBI Artículos'!A:A,'[1]DATOS PBI Artículos'!AV:AV)</f>
        <v>0</v>
      </c>
      <c r="L222" s="33">
        <f>_xlfn.XLOOKUP(A222,[1]MÁQUINAS!B:B,[1]MÁQUINAS!C:C)</f>
        <v>136</v>
      </c>
      <c r="M222" s="34">
        <f t="array" ref="M222">_xlfn.XLOOKUP(A222,'[1]DATOS PBI Artículos'!A:A,'[1]DATOS PBI Artículos'!AX:$AX)</f>
        <v>4332.1542320953222</v>
      </c>
      <c r="N222" s="37">
        <f>IF(I222="DV",
E222,
IF(COUNTIF([1]CRITERIOS!$I$179:$I$199,$A222)&gt;=1,
_xlfn.XLOOKUP($A222,[1]CRITERIOS!$I$179:$I$199,[1]CRITERIOS!$J$179:$J$199),
IF(COUNTIF([1]CRITERIOS!$L$179:$L$199,$A222)&gt;=1,
_xlfn.CEILING.MATH(IF($M222&gt;$E222,
$E222,
IF($M222&lt;$E222/ROUNDDOWN([1]CRITERIOS!$M$16/_xlfn.XLOOKUP($C222,[1]CRITERIOS!$K$25:$K$42,[1]CRITERIOS!$M$25:$M$42),
1),
E222/ROUNDDOWN([1]CRITERIOS!$M$16/_xlfn.XLOOKUP($C222,[1]CRITERIOS!$K$25:$K$42,[1]CRITERIOS!$M$25:$M$42),
1),
$M222)),
_xlfn.XLOOKUP($A222,[1]CRITERIOS!$L$179:$L$200,[1]CRITERIOS!$M$179:$M$200)),
_xlfn.CEILING.MATH(IF($M222&gt;$E222,
$E222,
IF($M222&lt;$E222/ROUNDDOWN([1]CRITERIOS!$M$16/_xlfn.XLOOKUP($C222,[1]CRITERIOS!$K$25:$K$42,[1]CRITERIOS!$M$25:$M$42),
1),
E222/ROUNDDOWN([1]CRITERIOS!$M$16/_xlfn.XLOOKUP($C222,[1]CRITERIOS!$K$25:$K$42,[1]CRITERIOS!$M$25:$M$42),
1),
$M222)),_xlfn.XLOOKUP(A222,'[1]DATOS PBI Artículos'!A:A,'[1]DATOS PBI Artículos'!Z:Z
)))))</f>
        <v>4500</v>
      </c>
      <c r="Q222" s="38">
        <f>IF(AND(O222="",N222=0),
0,
   IF(COUNTIF([1]CRITERIOS!$F$179:$F$199,$A222)&gt;=1,
   1,
   IF(R222="MTO",
      $D222,
      ROUNDUP(
                    IF(($E222-SUMIF('[1]DATOS PBI Artículos'!A:A,A222,'[1]DATOS PBI Artículos'!X:X)+($V222-_xlfn.XLOOKUP(A222,'[1]DATOS PBI Artículos'!A:A,'[1]DATOS PBI Artículos'!W:W)))&lt;0,
                    0,
                    IF(($E222-SUMIF('[1]DATOS PBI Artículos'!A:A,A222,'[1]DATOS PBI Artículos'!X:X)+$V222-_xlfn.XLOOKUP($A222,'[1]DATOS PBI Artículos'!A:A,'[1]DATOS PBI Artículos'!W:W))/IF($O222="",$N222,$O222)&gt;ROUNDUP([1]CRITERIOS!$M$16/(IF(COUNTIF([1]CRITERIOS!$BG$11:$BG$201,L222)&gt;=1,_xlfn.XLOOKUP($C222,[1]CRITERIOS!$K$25:$K$42,[1]CRITERIOS!$M$25:$M$42),_xlfn.XLOOKUP($C222,[1]CRITERIOS!$K$25:$K$42,[1]CRITERIOS!$M$25:$M$42))),0),
                    ROUNDUP([1]CRITERIOS!$M$16/(IF(COUNTIF([1]CRITERIOS!$BG$11:$BG$201,$L222)&gt;=1,_xlfn.XLOOKUP($C222,[1]CRITERIOS!$K$25:$K$42,[1]CRITERIOS!$M$25:$M$42),_xlfn.XLOOKUP($C222,[1]CRITERIOS!$K$25:$K$42,[1]CRITERIOS!$M$25:$M$42))),0),
                    (E222+V222-SUMIF('[1]DATOS PBI Artículos'!A:A,A222,'[1]DATOS PBI Artículos'!X:X)-_xlfn.XLOOKUP(A222,'[1]DATOS PBI Artículos'!A:A,'[1]DATOS PBI Artículos'!W:W))/IF($O222="",$N222,$O222))),0))))</f>
        <v>1</v>
      </c>
      <c r="R222" s="33" t="str">
        <f>IF(U222&lt;&gt;"",U222,IF(F222="DV","MTO",IF(N222=0,"MTO",_xlfn.XLOOKUP(CONCATENATE(S222,T222),[1]CRITERIOS!$K$160:$K$168,[1]CRITERIOS!$N$160:$N$168))))</f>
        <v>MTO</v>
      </c>
      <c r="S222" s="33" t="str">
        <f>IF(G222="DV","MTO",IF(N222=0,"MTO",IF(OR(AND(N222=0,O222=""),IF(O222="",G222/N222,G222/O222)&gt;[1]CRITERIOS!$G$163),"MTO",IF(IF(O222="",G222/N222,G222/O222)&lt;[1]CRITERIOS!$H$161,"MTS","MTOS"))))</f>
        <v>MTO</v>
      </c>
      <c r="T222" s="33" t="str">
        <f>IF(F222="DV","MTO",IF(OR(AND($N222=0,O222=""),$F222/$J222&gt;[1]CRITERIOS!$G$170,$F222="DV"),"MTO",IF($F222/$J222&lt;[1]CRITERIOS!$H$168,"MTS","MTOS")))</f>
        <v>MTO</v>
      </c>
      <c r="V222" s="34" t="str">
        <f t="shared" si="13"/>
        <v/>
      </c>
      <c r="X222" s="34">
        <f t="shared" si="11"/>
        <v>0</v>
      </c>
      <c r="Y222" s="34">
        <f t="shared" si="12"/>
        <v>0</v>
      </c>
      <c r="Z222" s="34">
        <f>IF($R222="MTO",
0,
($H222+$K222*($E222/[1]CRITERIOS!$M$16))/[1]CRITERIOS!$X$48)</f>
        <v>0</v>
      </c>
      <c r="AA222" s="34" t="e">
        <f>ROUNDUP(($Y222/_xlfn.XLOOKUP($A222,'[1]DATOS PBI Artículos'!$A$4:$A$4,'[1]DATOS PBI Artículos'!$Z$4:$Z$4))/_xlfn.XLOOKUP(_xlfn.XLOOKUP($A222,'[1]DATOS PBI Artículos'!$A$4:$A$4,'[1]DATOS PBI Artículos'!$Y$4:$Y$4),[1]CRITERIOS!$P$79:$P$123,[1]CRITERIOS!$S$79:$S$123,),0)</f>
        <v>#N/A</v>
      </c>
      <c r="AB222" s="33" t="e">
        <f t="array" ref="AB222">IF((E222+V222-_xlfn.XLOOKUP(A222,'[1]DATOS PBI Artículos'!$A$4:$A$4,'[1]DATOS PBI Artículos'!$W$4:$W$4))/N222&gt;ROUNDUP([1]CRITERIOS!$M$16/(IF(COUNTIF([1]CRITERIOS!$BG$11:$BG$201,L222)&gt;=1,_xlfn.XLOOKUP(ARTÍCULOS!L222,[1]CRITERIOS!$BG$11:$BG$201,[1]CRITERIOS!$BJ$11:$BJ$201),_xlfn.XLOOKUP(ARTÍCULOS!C222,[1]CRITERIOS!$K$25:$K$42,[1]CRITERIOS!$M$25:$M$42))),0),ROUNDUP([1]CRITERIOS!$M$16/(IF(COUNTIF([1]CRITERIOS!$BG$11:$BG$201,L222)&gt;=1,_xlfn.XLOOKUP(ARTÍCULOS!L222,[1]CRITERIOS!$BG$11:$BG$201:#REF!,[1]CRITERIOS!$BJ$11:$BJ$201),_xlfn.XLOOKUP(ARTÍCULOS!C222,[1]CRITERIOS!$K$25:$K$42,[1]CRITERIOS!$M$25:$M$42))),0),(E222+V222-_xlfn.XLOOKUP(A222,'[1]DATOS PBI Artículos'!$A$4:$A$4,'[1]DATOS PBI Artículos'!$W$4:$W$4))/N222)</f>
        <v>#VALUE!</v>
      </c>
      <c r="AC222" s="33" t="e">
        <f>IF(N222=0,"",(ROUNDUP((N222/2)/(_xlfn.XLOOKUP(A222,'[1]DATOS PBI Artículos'!$A$4:$A$4,'[1]DATOS PBI Artículos'!$Z$4:$Z$4)*_xlfn.XLOOKUP(_xlfn.XLOOKUP(A222,'[1]DATOS PBI Artículos'!$A$4:$A$4,'[1]DATOS PBI Artículos'!$Y$4:$Y$4),[1]CRITERIOS!$P$79:$P$123,[1]CRITERIOS!$S$79:$S$123)),0)*[1]CRITERIOS!$M$80*([1]CRITERIOS!$M$110/[1]CRITERIOS!$M$86)+(_xlfn.XLOOKUP(A222,'[1]DATOS PBI Artículos'!$A$4:$A$4,'[1]DATOS PBI Artículos'!$AA$4:$AA$4)*([1]CRITERIOS!$M$95+[1]CRITERIOS!$M$98)))/N222)</f>
        <v>#N/A</v>
      </c>
      <c r="AD222" s="33" t="e">
        <f>IF(N222=0,"",(ROUNDUP((N222/2)/(_xlfn.XLOOKUP(A222,'[1]DATOS PBI Artículos'!$A$4:$A$4,'[1]DATOS PBI Artículos'!$Z$4:$Z$4)*_xlfn.XLOOKUP(_xlfn.XLOOKUP(A222,'[1]DATOS PBI Artículos'!$A$4:$A$4,'[1]DATOS PBI Artículos'!$Y$4:$Y$4),[1]CRITERIOS!$P$79:$P$123,[1]CRITERIOS!$S$79:$S$123)),0)*[1]CRITERIOS!$M$80*([1]CRITERIOS!$M$89*[1]CRITERIOS!$M$92)+((_xlfn.XLOOKUP(A222,'[1]DATOS PBI Artículos'!$A$4:$A$4,'[1]DATOS PBI Artículos'!$AA$4:$AA$4)/2)*([1]CRITERIOS!$M$95+[1]CRITERIOS!$M$98)))/N222)</f>
        <v>#N/A</v>
      </c>
      <c r="AE222" s="39" t="str">
        <f>IF($R222="MTO","",
IF($H222=0,ROUNDUP(((_xlfn.XLOOKUP($A222,'[1]DATOS PBI Artículos'!$A:$A,'[1]DATOS PBI Artículos'!$AL:$AL))/(_xlfn.XLOOKUP($AF$1,[1]CRITERIOS!$S$16:$S$39,[1]CRITERIOS!$Y$16:$Y$39))*$J222+$Z222)/$G222,0)*$G222,
((_xlfn.XLOOKUP($A222,'[1]DATOS PBI Artículos'!$A:$A,'[1]DATOS PBI Artículos'!$AL:$AL))/(_xlfn.XLOOKUP($AF$1,[1]CRITERIOS!$S$16:$S$39,[1]CRITERIOS!$Y$16:$Y$39))*$J222+$Z222)))</f>
        <v/>
      </c>
      <c r="AG222" s="39" t="str">
        <f>IF($R222="MTO","",
IF($H222=0,ROUNDUP(((_xlfn.XLOOKUP($A222,'[1]DATOS PBI Artículos'!$A:$A,'[1]DATOS PBI Artículos'!$AM:$AM))/(_xlfn.XLOOKUP($AH$1,[1]CRITERIOS!$S$16:$S$39,[1]CRITERIOS!$Y$16:$Y$39))*$J222+$Z222)/$G222,0)*$G222,
((_xlfn.XLOOKUP($A222,'[1]DATOS PBI Artículos'!$A:$A,'[1]DATOS PBI Artículos'!$AM:$AM))/(_xlfn.XLOOKUP($AH$1,[1]CRITERIOS!$S$16:$S$39,[1]CRITERIOS!$Y$16:$Y$39))*$J222+$Z222)))</f>
        <v/>
      </c>
      <c r="AI222" s="39" t="str">
        <f>IF($R222="MTO","",
IF($H222=0,ROUNDUP(((_xlfn.XLOOKUP($A222,'[1]DATOS PBI Artículos'!$A:$A,'[1]DATOS PBI Artículos'!$AN:$AN))/(_xlfn.XLOOKUP($AJ$1,[1]CRITERIOS!$S$16:$S$39,[1]CRITERIOS!$Y$16:$Y$39))*$J222+$Z222)/$G222,0)*$G222,
((_xlfn.XLOOKUP($A222,'[1]DATOS PBI Artículos'!$A:$A,'[1]DATOS PBI Artículos'!$AN:$AN))/(_xlfn.XLOOKUP($AJ$1,[1]CRITERIOS!$S$16:$S$39,[1]CRITERIOS!$Y$16:$Y$39))*$J222+$Z222)))</f>
        <v/>
      </c>
      <c r="AK222" s="39" t="str">
        <f>IF($R222="MTO","",
IF($H222=0,ROUNDUP(((_xlfn.XLOOKUP($A222,'[1]DATOS PBI Artículos'!$A:$A,'[1]DATOS PBI Artículos'!$AO:$AO))/(_xlfn.XLOOKUP($AL$1,[1]CRITERIOS!$S$16:$S$39,[1]CRITERIOS!$Y$16:$Y$39))*$J222+$Z222)/$G222,0)*$G222,
((_xlfn.XLOOKUP($A222,'[1]DATOS PBI Artículos'!$A:$A,'[1]DATOS PBI Artículos'!$AO:$AO))/(_xlfn.XLOOKUP($AL$1,[1]CRITERIOS!$S$16:$S$39,[1]CRITERIOS!$Y$16:$Y$39))*$J222+$Z222)))</f>
        <v/>
      </c>
    </row>
    <row r="223" spans="1:37" ht="25.8" x14ac:dyDescent="0.5">
      <c r="A223" s="32">
        <v>451401</v>
      </c>
      <c r="B223" s="33">
        <f>_xlfn.XLOOKUP($A223,'[1]DATOS PBI Artículos'!A:A,'[1]DATOS PBI Artículos'!B:B)</f>
        <v>0</v>
      </c>
      <c r="C223" s="33" t="str">
        <f>_xlfn.XLOOKUP($A223,'[1]DATOS PBI Artículos'!A:A,'[1]DATOS PBI Artículos'!C:C)</f>
        <v>UA03</v>
      </c>
      <c r="D223" s="33">
        <f>_xlfn.XLOOKUP(A223,'[1]DATOS PBI Artículos'!A:A,'[1]DATOS PBI Artículos'!T:T)</f>
        <v>1</v>
      </c>
      <c r="E223" s="34">
        <f>IF(_xlfn.XLOOKUP($A223,'[1]DATOS PBI Artículos'!A:A,'[1]DATOS PBI Artículos'!AK:AK)="",_xlfn.XLOOKUP($A223,'[1]DATOS PBI Artículos'!A:A,'[1]DATOS PBI Artículos'!AJ:AJ),_xlfn.XLOOKUP($A223,'[1]DATOS PBI Artículos'!A:A,'[1]DATOS PBI Artículos'!AK:AK))</f>
        <v>5000</v>
      </c>
      <c r="F223" s="35">
        <f>_xlfn.XLOOKUP($A223,'[1]DATOS PBI Artículos'!A:A,'[1]DATOS PBI Artículos'!AP:AP)</f>
        <v>75</v>
      </c>
      <c r="G223" s="34">
        <f>_xlfn.XLOOKUP($A223,'[1]DATOS PBI Artículos'!A:A,'[1]DATOS PBI Artículos'!AR:AR)</f>
        <v>5000</v>
      </c>
      <c r="H223" s="34">
        <f>_xlfn.XLOOKUP($A223,'[1]DATOS PBI Artículos'!A:A,'[1]DATOS PBI Artículos'!AT:AT)</f>
        <v>0</v>
      </c>
      <c r="I223" s="34">
        <f>_xlfn.XLOOKUP($A223,'[1]DATOS PBI Artículos'!A:A,'[1]DATOS PBI Artículos'!AS:AS)</f>
        <v>5000</v>
      </c>
      <c r="J223" s="35">
        <f>IF(COUNTIF([1]CRITERIOS!$F$179:$F$199,$A223)&gt;=1,
 IF(O223&lt;&gt;"",
    (O223/_xlfn.XLOOKUP(CONCATENATE(A223,L223),[1]MÁQUINAS!A:A,[1]MÁQUINAS!D:D))/24,
    (N223/_xlfn.XLOOKUP(CONCATENATE(A223,L223),[1]MÁQUINAS!A:A,[1]MÁQUINAS!D:D))/24),
  _xlfn.XLOOKUP($A223,'[1]DATOS PBI Artículos'!A:A,'[1]DATOS PBI Artículos'!AU:AU))</f>
        <v>11</v>
      </c>
      <c r="K223" s="36">
        <f>_xlfn.XLOOKUP($A223,'[1]DATOS PBI Artículos'!A:A,'[1]DATOS PBI Artículos'!AV:AV)</f>
        <v>0</v>
      </c>
      <c r="L223" s="33">
        <f>_xlfn.XLOOKUP(A223,[1]MÁQUINAS!B:B,[1]MÁQUINAS!C:C)</f>
        <v>136</v>
      </c>
      <c r="M223" s="34">
        <f t="array" ref="M223">_xlfn.XLOOKUP(A223,'[1]DATOS PBI Artículos'!A:A,'[1]DATOS PBI Artículos'!AX:$AX)</f>
        <v>2765.8508469214203</v>
      </c>
      <c r="N223" s="37">
        <f>IF(I223="DV",
E223,
IF(COUNTIF([1]CRITERIOS!$I$179:$I$199,$A223)&gt;=1,
_xlfn.XLOOKUP($A223,[1]CRITERIOS!$I$179:$I$199,[1]CRITERIOS!$J$179:$J$199),
IF(COUNTIF([1]CRITERIOS!$L$179:$L$199,$A223)&gt;=1,
_xlfn.CEILING.MATH(IF($M223&gt;$E223,
$E223,
IF($M223&lt;$E223/ROUNDDOWN([1]CRITERIOS!$M$16/_xlfn.XLOOKUP($C223,[1]CRITERIOS!$K$25:$K$42,[1]CRITERIOS!$M$25:$M$42),
1),
E223/ROUNDDOWN([1]CRITERIOS!$M$16/_xlfn.XLOOKUP($C223,[1]CRITERIOS!$K$25:$K$42,[1]CRITERIOS!$M$25:$M$42),
1),
$M223)),
_xlfn.XLOOKUP($A223,[1]CRITERIOS!$L$179:$L$200,[1]CRITERIOS!$M$179:$M$200)),
_xlfn.CEILING.MATH(IF($M223&gt;$E223,
$E223,
IF($M223&lt;$E223/ROUNDDOWN([1]CRITERIOS!$M$16/_xlfn.XLOOKUP($C223,[1]CRITERIOS!$K$25:$K$42,[1]CRITERIOS!$M$25:$M$42),
1),
E223/ROUNDDOWN([1]CRITERIOS!$M$16/_xlfn.XLOOKUP($C223,[1]CRITERIOS!$K$25:$K$42,[1]CRITERIOS!$M$25:$M$42),
1),
$M223)),_xlfn.XLOOKUP(A223,'[1]DATOS PBI Artículos'!A:A,'[1]DATOS PBI Artículos'!Z:Z
)))))</f>
        <v>3000</v>
      </c>
      <c r="Q223" s="38">
        <f>IF(AND(O223="",N223=0),
0,
   IF(COUNTIF([1]CRITERIOS!$F$179:$F$199,$A223)&gt;=1,
   1,
   IF(R223="MTO",
      $D223,
      ROUNDUP(
                    IF(($E223-SUMIF('[1]DATOS PBI Artículos'!A:A,A223,'[1]DATOS PBI Artículos'!X:X)+($V223-_xlfn.XLOOKUP(A223,'[1]DATOS PBI Artículos'!A:A,'[1]DATOS PBI Artículos'!W:W)))&lt;0,
                    0,
                    IF(($E223-SUMIF('[1]DATOS PBI Artículos'!A:A,A223,'[1]DATOS PBI Artículos'!X:X)+$V223-_xlfn.XLOOKUP($A223,'[1]DATOS PBI Artículos'!A:A,'[1]DATOS PBI Artículos'!W:W))/IF($O223="",$N223,$O223)&gt;ROUNDUP([1]CRITERIOS!$M$16/(IF(COUNTIF([1]CRITERIOS!$BG$11:$BG$201,L223)&gt;=1,_xlfn.XLOOKUP($C223,[1]CRITERIOS!$K$25:$K$42,[1]CRITERIOS!$M$25:$M$42),_xlfn.XLOOKUP($C223,[1]CRITERIOS!$K$25:$K$42,[1]CRITERIOS!$M$25:$M$42))),0),
                    ROUNDUP([1]CRITERIOS!$M$16/(IF(COUNTIF([1]CRITERIOS!$BG$11:$BG$201,$L223)&gt;=1,_xlfn.XLOOKUP($C223,[1]CRITERIOS!$K$25:$K$42,[1]CRITERIOS!$M$25:$M$42),_xlfn.XLOOKUP($C223,[1]CRITERIOS!$K$25:$K$42,[1]CRITERIOS!$M$25:$M$42))),0),
                    (E223+V223-SUMIF('[1]DATOS PBI Artículos'!A:A,A223,'[1]DATOS PBI Artículos'!X:X)-_xlfn.XLOOKUP(A223,'[1]DATOS PBI Artículos'!A:A,'[1]DATOS PBI Artículos'!W:W))/IF($O223="",$N223,$O223))),0))))</f>
        <v>1</v>
      </c>
      <c r="R223" s="33" t="str">
        <f>IF(U223&lt;&gt;"",U223,IF(F223="DV","MTO",IF(N223=0,"MTO",_xlfn.XLOOKUP(CONCATENATE(S223,T223),[1]CRITERIOS!$K$160:$K$168,[1]CRITERIOS!$N$160:$N$168))))</f>
        <v>MTO</v>
      </c>
      <c r="S223" s="33" t="str">
        <f>IF(G223="DV","MTO",IF(N223=0,"MTO",IF(OR(AND(N223=0,O223=""),IF(O223="",G223/N223,G223/O223)&gt;[1]CRITERIOS!$G$163),"MTO",IF(IF(O223="",G223/N223,G223/O223)&lt;[1]CRITERIOS!$H$161,"MTS","MTOS"))))</f>
        <v>MTO</v>
      </c>
      <c r="T223" s="33" t="str">
        <f>IF(F223="DV","MTO",IF(OR(AND($N223=0,O223=""),$F223/$J223&gt;[1]CRITERIOS!$G$170,$F223="DV"),"MTO",IF($F223/$J223&lt;[1]CRITERIOS!$H$168,"MTS","MTOS")))</f>
        <v>MTO</v>
      </c>
      <c r="V223" s="34" t="str">
        <f t="shared" si="13"/>
        <v/>
      </c>
      <c r="X223" s="34">
        <f t="shared" si="11"/>
        <v>0</v>
      </c>
      <c r="Y223" s="34">
        <f t="shared" si="12"/>
        <v>0</v>
      </c>
      <c r="Z223" s="34">
        <f>IF($R223="MTO",
0,
($H223+$K223*($E223/[1]CRITERIOS!$M$16))/[1]CRITERIOS!$X$48)</f>
        <v>0</v>
      </c>
      <c r="AA223" s="34" t="e">
        <f>ROUNDUP(($Y223/_xlfn.XLOOKUP($A223,'[1]DATOS PBI Artículos'!$A$4:$A$4,'[1]DATOS PBI Artículos'!$Z$4:$Z$4))/_xlfn.XLOOKUP(_xlfn.XLOOKUP($A223,'[1]DATOS PBI Artículos'!$A$4:$A$4,'[1]DATOS PBI Artículos'!$Y$4:$Y$4),[1]CRITERIOS!$P$79:$P$123,[1]CRITERIOS!$S$79:$S$123,),0)</f>
        <v>#N/A</v>
      </c>
      <c r="AB223" s="33" t="e">
        <f t="array" ref="AB223">IF((E223+V223-_xlfn.XLOOKUP(A223,'[1]DATOS PBI Artículos'!$A$4:$A$4,'[1]DATOS PBI Artículos'!$W$4:$W$4))/N223&gt;ROUNDUP([1]CRITERIOS!$M$16/(IF(COUNTIF([1]CRITERIOS!$BG$11:$BG$201,L223)&gt;=1,_xlfn.XLOOKUP(ARTÍCULOS!L223,[1]CRITERIOS!$BG$11:$BG$201,[1]CRITERIOS!$BJ$11:$BJ$201),_xlfn.XLOOKUP(ARTÍCULOS!C223,[1]CRITERIOS!$K$25:$K$42,[1]CRITERIOS!$M$25:$M$42))),0),ROUNDUP([1]CRITERIOS!$M$16/(IF(COUNTIF([1]CRITERIOS!$BG$11:$BG$201,L223)&gt;=1,_xlfn.XLOOKUP(ARTÍCULOS!L223,[1]CRITERIOS!$BG$11:$BG$201:#REF!,[1]CRITERIOS!$BJ$11:$BJ$201),_xlfn.XLOOKUP(ARTÍCULOS!C223,[1]CRITERIOS!$K$25:$K$42,[1]CRITERIOS!$M$25:$M$42))),0),(E223+V223-_xlfn.XLOOKUP(A223,'[1]DATOS PBI Artículos'!$A$4:$A$4,'[1]DATOS PBI Artículos'!$W$4:$W$4))/N223)</f>
        <v>#VALUE!</v>
      </c>
      <c r="AC223" s="33" t="e">
        <f>IF(N223=0,"",(ROUNDUP((N223/2)/(_xlfn.XLOOKUP(A223,'[1]DATOS PBI Artículos'!$A$4:$A$4,'[1]DATOS PBI Artículos'!$Z$4:$Z$4)*_xlfn.XLOOKUP(_xlfn.XLOOKUP(A223,'[1]DATOS PBI Artículos'!$A$4:$A$4,'[1]DATOS PBI Artículos'!$Y$4:$Y$4),[1]CRITERIOS!$P$79:$P$123,[1]CRITERIOS!$S$79:$S$123)),0)*[1]CRITERIOS!$M$80*([1]CRITERIOS!$M$110/[1]CRITERIOS!$M$86)+(_xlfn.XLOOKUP(A223,'[1]DATOS PBI Artículos'!$A$4:$A$4,'[1]DATOS PBI Artículos'!$AA$4:$AA$4)*([1]CRITERIOS!$M$95+[1]CRITERIOS!$M$98)))/N223)</f>
        <v>#N/A</v>
      </c>
      <c r="AD223" s="33" t="e">
        <f>IF(N223=0,"",(ROUNDUP((N223/2)/(_xlfn.XLOOKUP(A223,'[1]DATOS PBI Artículos'!$A$4:$A$4,'[1]DATOS PBI Artículos'!$Z$4:$Z$4)*_xlfn.XLOOKUP(_xlfn.XLOOKUP(A223,'[1]DATOS PBI Artículos'!$A$4:$A$4,'[1]DATOS PBI Artículos'!$Y$4:$Y$4),[1]CRITERIOS!$P$79:$P$123,[1]CRITERIOS!$S$79:$S$123)),0)*[1]CRITERIOS!$M$80*([1]CRITERIOS!$M$89*[1]CRITERIOS!$M$92)+((_xlfn.XLOOKUP(A223,'[1]DATOS PBI Artículos'!$A$4:$A$4,'[1]DATOS PBI Artículos'!$AA$4:$AA$4)/2)*([1]CRITERIOS!$M$95+[1]CRITERIOS!$M$98)))/N223)</f>
        <v>#N/A</v>
      </c>
      <c r="AE223" s="39" t="str">
        <f>IF($R223="MTO","",
IF($H223=0,ROUNDUP(((_xlfn.XLOOKUP($A223,'[1]DATOS PBI Artículos'!$A:$A,'[1]DATOS PBI Artículos'!$AL:$AL))/(_xlfn.XLOOKUP($AF$1,[1]CRITERIOS!$S$16:$S$39,[1]CRITERIOS!$Y$16:$Y$39))*$J223+$Z223)/$G223,0)*$G223,
((_xlfn.XLOOKUP($A223,'[1]DATOS PBI Artículos'!$A:$A,'[1]DATOS PBI Artículos'!$AL:$AL))/(_xlfn.XLOOKUP($AF$1,[1]CRITERIOS!$S$16:$S$39,[1]CRITERIOS!$Y$16:$Y$39))*$J223+$Z223)))</f>
        <v/>
      </c>
      <c r="AG223" s="39" t="str">
        <f>IF($R223="MTO","",
IF($H223=0,ROUNDUP(((_xlfn.XLOOKUP($A223,'[1]DATOS PBI Artículos'!$A:$A,'[1]DATOS PBI Artículos'!$AM:$AM))/(_xlfn.XLOOKUP($AH$1,[1]CRITERIOS!$S$16:$S$39,[1]CRITERIOS!$Y$16:$Y$39))*$J223+$Z223)/$G223,0)*$G223,
((_xlfn.XLOOKUP($A223,'[1]DATOS PBI Artículos'!$A:$A,'[1]DATOS PBI Artículos'!$AM:$AM))/(_xlfn.XLOOKUP($AH$1,[1]CRITERIOS!$S$16:$S$39,[1]CRITERIOS!$Y$16:$Y$39))*$J223+$Z223)))</f>
        <v/>
      </c>
      <c r="AI223" s="39" t="str">
        <f>IF($R223="MTO","",
IF($H223=0,ROUNDUP(((_xlfn.XLOOKUP($A223,'[1]DATOS PBI Artículos'!$A:$A,'[1]DATOS PBI Artículos'!$AN:$AN))/(_xlfn.XLOOKUP($AJ$1,[1]CRITERIOS!$S$16:$S$39,[1]CRITERIOS!$Y$16:$Y$39))*$J223+$Z223)/$G223,0)*$G223,
((_xlfn.XLOOKUP($A223,'[1]DATOS PBI Artículos'!$A:$A,'[1]DATOS PBI Artículos'!$AN:$AN))/(_xlfn.XLOOKUP($AJ$1,[1]CRITERIOS!$S$16:$S$39,[1]CRITERIOS!$Y$16:$Y$39))*$J223+$Z223)))</f>
        <v/>
      </c>
      <c r="AK223" s="39" t="str">
        <f>IF($R223="MTO","",
IF($H223=0,ROUNDUP(((_xlfn.XLOOKUP($A223,'[1]DATOS PBI Artículos'!$A:$A,'[1]DATOS PBI Artículos'!$AO:$AO))/(_xlfn.XLOOKUP($AL$1,[1]CRITERIOS!$S$16:$S$39,[1]CRITERIOS!$Y$16:$Y$39))*$J223+$Z223)/$G223,0)*$G223,
((_xlfn.XLOOKUP($A223,'[1]DATOS PBI Artículos'!$A:$A,'[1]DATOS PBI Artículos'!$AO:$AO))/(_xlfn.XLOOKUP($AL$1,[1]CRITERIOS!$S$16:$S$39,[1]CRITERIOS!$Y$16:$Y$39))*$J223+$Z223)))</f>
        <v/>
      </c>
    </row>
    <row r="224" spans="1:37" ht="25.8" x14ac:dyDescent="0.5">
      <c r="A224" s="32">
        <v>421103</v>
      </c>
      <c r="B224" s="33">
        <f>_xlfn.XLOOKUP($A224,'[1]DATOS PBI Artículos'!A:A,'[1]DATOS PBI Artículos'!B:B)</f>
        <v>0</v>
      </c>
      <c r="C224" s="33" t="str">
        <f>_xlfn.XLOOKUP($A224,'[1]DATOS PBI Artículos'!A:A,'[1]DATOS PBI Artículos'!C:C)</f>
        <v>UA01</v>
      </c>
      <c r="D224" s="33">
        <f>_xlfn.XLOOKUP(A224,'[1]DATOS PBI Artículos'!A:A,'[1]DATOS PBI Artículos'!T:T)</f>
        <v>1</v>
      </c>
      <c r="E224" s="34">
        <f>IF(_xlfn.XLOOKUP($A224,'[1]DATOS PBI Artículos'!A:A,'[1]DATOS PBI Artículos'!AK:AK)="",_xlfn.XLOOKUP($A224,'[1]DATOS PBI Artículos'!A:A,'[1]DATOS PBI Artículos'!AJ:AJ),_xlfn.XLOOKUP($A224,'[1]DATOS PBI Artículos'!A:A,'[1]DATOS PBI Artículos'!AK:AK))</f>
        <v>5000</v>
      </c>
      <c r="F224" s="35">
        <f>_xlfn.XLOOKUP($A224,'[1]DATOS PBI Artículos'!A:A,'[1]DATOS PBI Artículos'!AP:AP)</f>
        <v>75</v>
      </c>
      <c r="G224" s="34">
        <f>_xlfn.XLOOKUP($A224,'[1]DATOS PBI Artículos'!A:A,'[1]DATOS PBI Artículos'!AR:AR)</f>
        <v>5000</v>
      </c>
      <c r="H224" s="34">
        <f>_xlfn.XLOOKUP($A224,'[1]DATOS PBI Artículos'!A:A,'[1]DATOS PBI Artículos'!AT:AT)</f>
        <v>0</v>
      </c>
      <c r="I224" s="34">
        <f>_xlfn.XLOOKUP($A224,'[1]DATOS PBI Artículos'!A:A,'[1]DATOS PBI Artículos'!AS:AS)</f>
        <v>5000</v>
      </c>
      <c r="J224" s="35">
        <f>IF(COUNTIF([1]CRITERIOS!$F$179:$F$199,$A224)&gt;=1,
 IF(O224&lt;&gt;"",
    (O224/_xlfn.XLOOKUP(CONCATENATE(A224,L224),[1]MÁQUINAS!A:A,[1]MÁQUINAS!D:D))/24,
    (N224/_xlfn.XLOOKUP(CONCATENATE(A224,L224),[1]MÁQUINAS!A:A,[1]MÁQUINAS!D:D))/24),
  _xlfn.XLOOKUP($A224,'[1]DATOS PBI Artículos'!A:A,'[1]DATOS PBI Artículos'!AU:AU))</f>
        <v>12</v>
      </c>
      <c r="K224" s="36">
        <f>_xlfn.XLOOKUP($A224,'[1]DATOS PBI Artículos'!A:A,'[1]DATOS PBI Artículos'!AV:AV)</f>
        <v>0</v>
      </c>
      <c r="L224" s="33">
        <f>_xlfn.XLOOKUP(A224,[1]MÁQUINAS!B:B,[1]MÁQUINAS!C:C)</f>
        <v>406</v>
      </c>
      <c r="M224" s="34">
        <f t="array" ref="M224">_xlfn.XLOOKUP(A224,'[1]DATOS PBI Artículos'!A:A,'[1]DATOS PBI Artículos'!AX:$AX)</f>
        <v>10087.756700178648</v>
      </c>
      <c r="N224" s="37">
        <f>IF(I224="DV",
E224,
IF(COUNTIF([1]CRITERIOS!$I$179:$I$199,$A224)&gt;=1,
_xlfn.XLOOKUP($A224,[1]CRITERIOS!$I$179:$I$199,[1]CRITERIOS!$J$179:$J$199),
IF(COUNTIF([1]CRITERIOS!$L$179:$L$199,$A224)&gt;=1,
_xlfn.CEILING.MATH(IF($M224&gt;$E224,
$E224,
IF($M224&lt;$E224/ROUNDDOWN([1]CRITERIOS!$M$16/_xlfn.XLOOKUP($C224,[1]CRITERIOS!$K$25:$K$42,[1]CRITERIOS!$M$25:$M$42),
1),
E224/ROUNDDOWN([1]CRITERIOS!$M$16/_xlfn.XLOOKUP($C224,[1]CRITERIOS!$K$25:$K$42,[1]CRITERIOS!$M$25:$M$42),
1),
$M224)),
_xlfn.XLOOKUP($A224,[1]CRITERIOS!$L$179:$L$200,[1]CRITERIOS!$M$179:$M$200)),
_xlfn.CEILING.MATH(IF($M224&gt;$E224,
$E224,
IF($M224&lt;$E224/ROUNDDOWN([1]CRITERIOS!$M$16/_xlfn.XLOOKUP($C224,[1]CRITERIOS!$K$25:$K$42,[1]CRITERIOS!$M$25:$M$42),
1),
E224/ROUNDDOWN([1]CRITERIOS!$M$16/_xlfn.XLOOKUP($C224,[1]CRITERIOS!$K$25:$K$42,[1]CRITERIOS!$M$25:$M$42),
1),
$M224)),_xlfn.XLOOKUP(A224,'[1]DATOS PBI Artículos'!A:A,'[1]DATOS PBI Artículos'!Z:Z
)))))</f>
        <v>5000</v>
      </c>
      <c r="Q224" s="38">
        <f>IF(AND(O224="",N224=0),
0,
   IF(COUNTIF([1]CRITERIOS!$F$179:$F$199,$A224)&gt;=1,
   1,
   IF(R224="MTO",
      $D224,
      ROUNDUP(
                    IF(($E224-SUMIF('[1]DATOS PBI Artículos'!A:A,A224,'[1]DATOS PBI Artículos'!X:X)+($V224-_xlfn.XLOOKUP(A224,'[1]DATOS PBI Artículos'!A:A,'[1]DATOS PBI Artículos'!W:W)))&lt;0,
                    0,
                    IF(($E224-SUMIF('[1]DATOS PBI Artículos'!A:A,A224,'[1]DATOS PBI Artículos'!X:X)+$V224-_xlfn.XLOOKUP($A224,'[1]DATOS PBI Artículos'!A:A,'[1]DATOS PBI Artículos'!W:W))/IF($O224="",$N224,$O224)&gt;ROUNDUP([1]CRITERIOS!$M$16/(IF(COUNTIF([1]CRITERIOS!$BG$11:$BG$201,L224)&gt;=1,_xlfn.XLOOKUP($C224,[1]CRITERIOS!$K$25:$K$42,[1]CRITERIOS!$M$25:$M$42),_xlfn.XLOOKUP($C224,[1]CRITERIOS!$K$25:$K$42,[1]CRITERIOS!$M$25:$M$42))),0),
                    ROUNDUP([1]CRITERIOS!$M$16/(IF(COUNTIF([1]CRITERIOS!$BG$11:$BG$201,$L224)&gt;=1,_xlfn.XLOOKUP($C224,[1]CRITERIOS!$K$25:$K$42,[1]CRITERIOS!$M$25:$M$42),_xlfn.XLOOKUP($C224,[1]CRITERIOS!$K$25:$K$42,[1]CRITERIOS!$M$25:$M$42))),0),
                    (E224+V224-SUMIF('[1]DATOS PBI Artículos'!A:A,A224,'[1]DATOS PBI Artículos'!X:X)-_xlfn.XLOOKUP(A224,'[1]DATOS PBI Artículos'!A:A,'[1]DATOS PBI Artículos'!W:W))/IF($O224="",$N224,$O224))),0))))</f>
        <v>1</v>
      </c>
      <c r="R224" s="33" t="str">
        <f>IF(U224&lt;&gt;"",U224,IF(F224="DV","MTO",IF(N224=0,"MTO",_xlfn.XLOOKUP(CONCATENATE(S224,T224),[1]CRITERIOS!$K$160:$K$168,[1]CRITERIOS!$N$160:$N$168))))</f>
        <v>MTO</v>
      </c>
      <c r="S224" s="33" t="str">
        <f>IF(G224="DV","MTO",IF(N224=0,"MTO",IF(OR(AND(N224=0,O224=""),IF(O224="",G224/N224,G224/O224)&gt;[1]CRITERIOS!$G$163),"MTO",IF(IF(O224="",G224/N224,G224/O224)&lt;[1]CRITERIOS!$H$161,"MTS","MTOS"))))</f>
        <v>MTO</v>
      </c>
      <c r="T224" s="33" t="str">
        <f>IF(F224="DV","MTO",IF(OR(AND($N224=0,O224=""),$F224/$J224&gt;[1]CRITERIOS!$G$170,$F224="DV"),"MTO",IF($F224/$J224&lt;[1]CRITERIOS!$H$168,"MTS","MTOS")))</f>
        <v>MTO</v>
      </c>
      <c r="V224" s="34" t="str">
        <f t="shared" si="13"/>
        <v/>
      </c>
      <c r="X224" s="34">
        <f t="shared" si="11"/>
        <v>0</v>
      </c>
      <c r="Y224" s="34">
        <f t="shared" si="12"/>
        <v>0</v>
      </c>
      <c r="Z224" s="34">
        <f>IF($R224="MTO",
0,
($H224+$K224*($E224/[1]CRITERIOS!$M$16))/[1]CRITERIOS!$X$48)</f>
        <v>0</v>
      </c>
      <c r="AA224" s="34" t="e">
        <f>ROUNDUP(($Y224/_xlfn.XLOOKUP($A224,'[1]DATOS PBI Artículos'!$A$4:$A$4,'[1]DATOS PBI Artículos'!$Z$4:$Z$4))/_xlfn.XLOOKUP(_xlfn.XLOOKUP($A224,'[1]DATOS PBI Artículos'!$A$4:$A$4,'[1]DATOS PBI Artículos'!$Y$4:$Y$4),[1]CRITERIOS!$P$79:$P$123,[1]CRITERIOS!$S$79:$S$123,),0)</f>
        <v>#N/A</v>
      </c>
      <c r="AB224" s="33" t="e">
        <f t="array" ref="AB224">IF((E224+V224-_xlfn.XLOOKUP(A224,'[1]DATOS PBI Artículos'!$A$4:$A$4,'[1]DATOS PBI Artículos'!$W$4:$W$4))/N224&gt;ROUNDUP([1]CRITERIOS!$M$16/(IF(COUNTIF([1]CRITERIOS!$BG$11:$BG$201,L224)&gt;=1,_xlfn.XLOOKUP(ARTÍCULOS!L224,[1]CRITERIOS!$BG$11:$BG$201,[1]CRITERIOS!$BJ$11:$BJ$201),_xlfn.XLOOKUP(ARTÍCULOS!C224,[1]CRITERIOS!$K$25:$K$42,[1]CRITERIOS!$M$25:$M$42))),0),ROUNDUP([1]CRITERIOS!$M$16/(IF(COUNTIF([1]CRITERIOS!$BG$11:$BG$201,L224)&gt;=1,_xlfn.XLOOKUP(ARTÍCULOS!L224,[1]CRITERIOS!$BG$11:$BG$201:#REF!,[1]CRITERIOS!$BJ$11:$BJ$201),_xlfn.XLOOKUP(ARTÍCULOS!C224,[1]CRITERIOS!$K$25:$K$42,[1]CRITERIOS!$M$25:$M$42))),0),(E224+V224-_xlfn.XLOOKUP(A224,'[1]DATOS PBI Artículos'!$A$4:$A$4,'[1]DATOS PBI Artículos'!$W$4:$W$4))/N224)</f>
        <v>#VALUE!</v>
      </c>
      <c r="AC224" s="33" t="e">
        <f>IF(N224=0,"",(ROUNDUP((N224/2)/(_xlfn.XLOOKUP(A224,'[1]DATOS PBI Artículos'!$A$4:$A$4,'[1]DATOS PBI Artículos'!$Z$4:$Z$4)*_xlfn.XLOOKUP(_xlfn.XLOOKUP(A224,'[1]DATOS PBI Artículos'!$A$4:$A$4,'[1]DATOS PBI Artículos'!$Y$4:$Y$4),[1]CRITERIOS!$P$79:$P$123,[1]CRITERIOS!$S$79:$S$123)),0)*[1]CRITERIOS!$M$80*([1]CRITERIOS!$M$110/[1]CRITERIOS!$M$86)+(_xlfn.XLOOKUP(A224,'[1]DATOS PBI Artículos'!$A$4:$A$4,'[1]DATOS PBI Artículos'!$AA$4:$AA$4)*([1]CRITERIOS!$M$95+[1]CRITERIOS!$M$98)))/N224)</f>
        <v>#N/A</v>
      </c>
      <c r="AD224" s="33" t="e">
        <f>IF(N224=0,"",(ROUNDUP((N224/2)/(_xlfn.XLOOKUP(A224,'[1]DATOS PBI Artículos'!$A$4:$A$4,'[1]DATOS PBI Artículos'!$Z$4:$Z$4)*_xlfn.XLOOKUP(_xlfn.XLOOKUP(A224,'[1]DATOS PBI Artículos'!$A$4:$A$4,'[1]DATOS PBI Artículos'!$Y$4:$Y$4),[1]CRITERIOS!$P$79:$P$123,[1]CRITERIOS!$S$79:$S$123)),0)*[1]CRITERIOS!$M$80*([1]CRITERIOS!$M$89*[1]CRITERIOS!$M$92)+((_xlfn.XLOOKUP(A224,'[1]DATOS PBI Artículos'!$A$4:$A$4,'[1]DATOS PBI Artículos'!$AA$4:$AA$4)/2)*([1]CRITERIOS!$M$95+[1]CRITERIOS!$M$98)))/N224)</f>
        <v>#N/A</v>
      </c>
      <c r="AE224" s="39" t="str">
        <f>IF($R224="MTO","",
IF($H224=0,ROUNDUP(((_xlfn.XLOOKUP($A224,'[1]DATOS PBI Artículos'!$A:$A,'[1]DATOS PBI Artículos'!$AL:$AL))/(_xlfn.XLOOKUP($AF$1,[1]CRITERIOS!$S$16:$S$39,[1]CRITERIOS!$Y$16:$Y$39))*$J224+$Z224)/$G224,0)*$G224,
((_xlfn.XLOOKUP($A224,'[1]DATOS PBI Artículos'!$A:$A,'[1]DATOS PBI Artículos'!$AL:$AL))/(_xlfn.XLOOKUP($AF$1,[1]CRITERIOS!$S$16:$S$39,[1]CRITERIOS!$Y$16:$Y$39))*$J224+$Z224)))</f>
        <v/>
      </c>
      <c r="AG224" s="39" t="str">
        <f>IF($R224="MTO","",
IF($H224=0,ROUNDUP(((_xlfn.XLOOKUP($A224,'[1]DATOS PBI Artículos'!$A:$A,'[1]DATOS PBI Artículos'!$AM:$AM))/(_xlfn.XLOOKUP($AH$1,[1]CRITERIOS!$S$16:$S$39,[1]CRITERIOS!$Y$16:$Y$39))*$J224+$Z224)/$G224,0)*$G224,
((_xlfn.XLOOKUP($A224,'[1]DATOS PBI Artículos'!$A:$A,'[1]DATOS PBI Artículos'!$AM:$AM))/(_xlfn.XLOOKUP($AH$1,[1]CRITERIOS!$S$16:$S$39,[1]CRITERIOS!$Y$16:$Y$39))*$J224+$Z224)))</f>
        <v/>
      </c>
      <c r="AI224" s="39" t="str">
        <f>IF($R224="MTO","",
IF($H224=0,ROUNDUP(((_xlfn.XLOOKUP($A224,'[1]DATOS PBI Artículos'!$A:$A,'[1]DATOS PBI Artículos'!$AN:$AN))/(_xlfn.XLOOKUP($AJ$1,[1]CRITERIOS!$S$16:$S$39,[1]CRITERIOS!$Y$16:$Y$39))*$J224+$Z224)/$G224,0)*$G224,
((_xlfn.XLOOKUP($A224,'[1]DATOS PBI Artículos'!$A:$A,'[1]DATOS PBI Artículos'!$AN:$AN))/(_xlfn.XLOOKUP($AJ$1,[1]CRITERIOS!$S$16:$S$39,[1]CRITERIOS!$Y$16:$Y$39))*$J224+$Z224)))</f>
        <v/>
      </c>
      <c r="AK224" s="39" t="str">
        <f>IF($R224="MTO","",
IF($H224=0,ROUNDUP(((_xlfn.XLOOKUP($A224,'[1]DATOS PBI Artículos'!$A:$A,'[1]DATOS PBI Artículos'!$AO:$AO))/(_xlfn.XLOOKUP($AL$1,[1]CRITERIOS!$S$16:$S$39,[1]CRITERIOS!$Y$16:$Y$39))*$J224+$Z224)/$G224,0)*$G224,
((_xlfn.XLOOKUP($A224,'[1]DATOS PBI Artículos'!$A:$A,'[1]DATOS PBI Artículos'!$AO:$AO))/(_xlfn.XLOOKUP($AL$1,[1]CRITERIOS!$S$16:$S$39,[1]CRITERIOS!$Y$16:$Y$39))*$J224+$Z224)))</f>
        <v/>
      </c>
    </row>
    <row r="225" spans="1:37" ht="25.8" x14ac:dyDescent="0.5">
      <c r="A225" s="32">
        <v>450647</v>
      </c>
      <c r="B225" s="33">
        <f>_xlfn.XLOOKUP($A225,'[1]DATOS PBI Artículos'!A:A,'[1]DATOS PBI Artículos'!B:B)</f>
        <v>0</v>
      </c>
      <c r="C225" s="33" t="str">
        <f>_xlfn.XLOOKUP($A225,'[1]DATOS PBI Artículos'!A:A,'[1]DATOS PBI Artículos'!C:C)</f>
        <v>UA03</v>
      </c>
      <c r="D225" s="33">
        <f>_xlfn.XLOOKUP(A225,'[1]DATOS PBI Artículos'!A:A,'[1]DATOS PBI Artículos'!T:T)</f>
        <v>1</v>
      </c>
      <c r="E225" s="34">
        <f>IF(_xlfn.XLOOKUP($A225,'[1]DATOS PBI Artículos'!A:A,'[1]DATOS PBI Artículos'!AK:AK)="",_xlfn.XLOOKUP($A225,'[1]DATOS PBI Artículos'!A:A,'[1]DATOS PBI Artículos'!AJ:AJ),_xlfn.XLOOKUP($A225,'[1]DATOS PBI Artículos'!A:A,'[1]DATOS PBI Artículos'!AK:AK))</f>
        <v>5000</v>
      </c>
      <c r="F225" s="35">
        <f>_xlfn.XLOOKUP($A225,'[1]DATOS PBI Artículos'!A:A,'[1]DATOS PBI Artículos'!AP:AP)</f>
        <v>75</v>
      </c>
      <c r="G225" s="34">
        <f>_xlfn.XLOOKUP($A225,'[1]DATOS PBI Artículos'!A:A,'[1]DATOS PBI Artículos'!AR:AR)</f>
        <v>5000</v>
      </c>
      <c r="H225" s="34">
        <f>_xlfn.XLOOKUP($A225,'[1]DATOS PBI Artículos'!A:A,'[1]DATOS PBI Artículos'!AT:AT)</f>
        <v>0</v>
      </c>
      <c r="I225" s="34">
        <f>_xlfn.XLOOKUP($A225,'[1]DATOS PBI Artículos'!A:A,'[1]DATOS PBI Artículos'!AS:AS)</f>
        <v>5000</v>
      </c>
      <c r="J225" s="35">
        <f>IF(COUNTIF([1]CRITERIOS!$F$179:$F$199,$A225)&gt;=1,
 IF(O225&lt;&gt;"",
    (O225/_xlfn.XLOOKUP(CONCATENATE(A225,L225),[1]MÁQUINAS!A:A,[1]MÁQUINAS!D:D))/24,
    (N225/_xlfn.XLOOKUP(CONCATENATE(A225,L225),[1]MÁQUINAS!A:A,[1]MÁQUINAS!D:D))/24),
  _xlfn.XLOOKUP($A225,'[1]DATOS PBI Artículos'!A:A,'[1]DATOS PBI Artículos'!AU:AU))</f>
        <v>13</v>
      </c>
      <c r="K225" s="36">
        <f>_xlfn.XLOOKUP($A225,'[1]DATOS PBI Artículos'!A:A,'[1]DATOS PBI Artículos'!AV:AV)</f>
        <v>0</v>
      </c>
      <c r="L225" s="33">
        <f>_xlfn.XLOOKUP(A225,[1]MÁQUINAS!B:B,[1]MÁQUINAS!C:C)</f>
        <v>142</v>
      </c>
      <c r="M225" s="34">
        <f t="array" ref="M225">_xlfn.XLOOKUP(A225,'[1]DATOS PBI Artículos'!A:A,'[1]DATOS PBI Artículos'!AX:$AX)</f>
        <v>9649.5597880946461</v>
      </c>
      <c r="N225" s="37">
        <f>IF(I225="DV",
E225,
IF(COUNTIF([1]CRITERIOS!$I$179:$I$199,$A225)&gt;=1,
_xlfn.XLOOKUP($A225,[1]CRITERIOS!$I$179:$I$199,[1]CRITERIOS!$J$179:$J$199),
IF(COUNTIF([1]CRITERIOS!$L$179:$L$199,$A225)&gt;=1,
_xlfn.CEILING.MATH(IF($M225&gt;$E225,
$E225,
IF($M225&lt;$E225/ROUNDDOWN([1]CRITERIOS!$M$16/_xlfn.XLOOKUP($C225,[1]CRITERIOS!$K$25:$K$42,[1]CRITERIOS!$M$25:$M$42),
1),
E225/ROUNDDOWN([1]CRITERIOS!$M$16/_xlfn.XLOOKUP($C225,[1]CRITERIOS!$K$25:$K$42,[1]CRITERIOS!$M$25:$M$42),
1),
$M225)),
_xlfn.XLOOKUP($A225,[1]CRITERIOS!$L$179:$L$200,[1]CRITERIOS!$M$179:$M$200)),
_xlfn.CEILING.MATH(IF($M225&gt;$E225,
$E225,
IF($M225&lt;$E225/ROUNDDOWN([1]CRITERIOS!$M$16/_xlfn.XLOOKUP($C225,[1]CRITERIOS!$K$25:$K$42,[1]CRITERIOS!$M$25:$M$42),
1),
E225/ROUNDDOWN([1]CRITERIOS!$M$16/_xlfn.XLOOKUP($C225,[1]CRITERIOS!$K$25:$K$42,[1]CRITERIOS!$M$25:$M$42),
1),
$M225)),_xlfn.XLOOKUP(A225,'[1]DATOS PBI Artículos'!A:A,'[1]DATOS PBI Artículos'!Z:Z
)))))</f>
        <v>10000</v>
      </c>
      <c r="Q225" s="38">
        <f>IF(AND(O225="",N225=0),
0,
   IF(COUNTIF([1]CRITERIOS!$F$179:$F$199,$A225)&gt;=1,
   1,
   IF(R225="MTO",
      $D225,
      ROUNDUP(
                    IF(($E225-SUMIF('[1]DATOS PBI Artículos'!A:A,A225,'[1]DATOS PBI Artículos'!X:X)+($V225-_xlfn.XLOOKUP(A225,'[1]DATOS PBI Artículos'!A:A,'[1]DATOS PBI Artículos'!W:W)))&lt;0,
                    0,
                    IF(($E225-SUMIF('[1]DATOS PBI Artículos'!A:A,A225,'[1]DATOS PBI Artículos'!X:X)+$V225-_xlfn.XLOOKUP($A225,'[1]DATOS PBI Artículos'!A:A,'[1]DATOS PBI Artículos'!W:W))/IF($O225="",$N225,$O225)&gt;ROUNDUP([1]CRITERIOS!$M$16/(IF(COUNTIF([1]CRITERIOS!$BG$11:$BG$201,L225)&gt;=1,_xlfn.XLOOKUP($C225,[1]CRITERIOS!$K$25:$K$42,[1]CRITERIOS!$M$25:$M$42),_xlfn.XLOOKUP($C225,[1]CRITERIOS!$K$25:$K$42,[1]CRITERIOS!$M$25:$M$42))),0),
                    ROUNDUP([1]CRITERIOS!$M$16/(IF(COUNTIF([1]CRITERIOS!$BG$11:$BG$201,$L225)&gt;=1,_xlfn.XLOOKUP($C225,[1]CRITERIOS!$K$25:$K$42,[1]CRITERIOS!$M$25:$M$42),_xlfn.XLOOKUP($C225,[1]CRITERIOS!$K$25:$K$42,[1]CRITERIOS!$M$25:$M$42))),0),
                    (E225+V225-SUMIF('[1]DATOS PBI Artículos'!A:A,A225,'[1]DATOS PBI Artículos'!X:X)-_xlfn.XLOOKUP(A225,'[1]DATOS PBI Artículos'!A:A,'[1]DATOS PBI Artículos'!W:W))/IF($O225="",$N225,$O225))),0))))</f>
        <v>1</v>
      </c>
      <c r="R225" s="33" t="str">
        <f>IF(U225&lt;&gt;"",U225,IF(F225="DV","MTO",IF(N225=0,"MTO",_xlfn.XLOOKUP(CONCATENATE(S225,T225),[1]CRITERIOS!$K$160:$K$168,[1]CRITERIOS!$N$160:$N$168))))</f>
        <v>MTO</v>
      </c>
      <c r="S225" s="33" t="str">
        <f>IF(G225="DV","MTO",IF(N225=0,"MTO",IF(OR(AND(N225=0,O225=""),IF(O225="",G225/N225,G225/O225)&gt;[1]CRITERIOS!$G$163),"MTO",IF(IF(O225="",G225/N225,G225/O225)&lt;[1]CRITERIOS!$H$161,"MTS","MTOS"))))</f>
        <v>MTOS</v>
      </c>
      <c r="T225" s="33" t="str">
        <f>IF(F225="DV","MTO",IF(OR(AND($N225=0,O225=""),$F225/$J225&gt;[1]CRITERIOS!$G$170,$F225="DV"),"MTO",IF($F225/$J225&lt;[1]CRITERIOS!$H$168,"MTS","MTOS")))</f>
        <v>MTO</v>
      </c>
      <c r="V225" s="34" t="str">
        <f t="shared" si="13"/>
        <v/>
      </c>
      <c r="X225" s="34">
        <f t="shared" si="11"/>
        <v>0</v>
      </c>
      <c r="Y225" s="34">
        <f t="shared" si="12"/>
        <v>0</v>
      </c>
      <c r="Z225" s="34">
        <f>IF($R225="MTO",
0,
($H225+$K225*($E225/[1]CRITERIOS!$M$16))/[1]CRITERIOS!$X$48)</f>
        <v>0</v>
      </c>
      <c r="AA225" s="34" t="e">
        <f>ROUNDUP(($Y225/_xlfn.XLOOKUP($A225,'[1]DATOS PBI Artículos'!$A$4:$A$4,'[1]DATOS PBI Artículos'!$Z$4:$Z$4))/_xlfn.XLOOKUP(_xlfn.XLOOKUP($A225,'[1]DATOS PBI Artículos'!$A$4:$A$4,'[1]DATOS PBI Artículos'!$Y$4:$Y$4),[1]CRITERIOS!$P$79:$P$123,[1]CRITERIOS!$S$79:$S$123,),0)</f>
        <v>#N/A</v>
      </c>
      <c r="AB225" s="33" t="e">
        <f t="array" ref="AB225">IF((E225+V225-_xlfn.XLOOKUP(A225,'[1]DATOS PBI Artículos'!$A$4:$A$4,'[1]DATOS PBI Artículos'!$W$4:$W$4))/N225&gt;ROUNDUP([1]CRITERIOS!$M$16/(IF(COUNTIF([1]CRITERIOS!$BG$11:$BG$201,L225)&gt;=1,_xlfn.XLOOKUP(ARTÍCULOS!L225,[1]CRITERIOS!$BG$11:$BG$201,[1]CRITERIOS!$BJ$11:$BJ$201),_xlfn.XLOOKUP(ARTÍCULOS!C225,[1]CRITERIOS!$K$25:$K$42,[1]CRITERIOS!$M$25:$M$42))),0),ROUNDUP([1]CRITERIOS!$M$16/(IF(COUNTIF([1]CRITERIOS!$BG$11:$BG$201,L225)&gt;=1,_xlfn.XLOOKUP(ARTÍCULOS!L225,[1]CRITERIOS!$BG$11:$BG$201:#REF!,[1]CRITERIOS!$BJ$11:$BJ$201),_xlfn.XLOOKUP(ARTÍCULOS!C225,[1]CRITERIOS!$K$25:$K$42,[1]CRITERIOS!$M$25:$M$42))),0),(E225+V225-_xlfn.XLOOKUP(A225,'[1]DATOS PBI Artículos'!$A$4:$A$4,'[1]DATOS PBI Artículos'!$W$4:$W$4))/N225)</f>
        <v>#VALUE!</v>
      </c>
      <c r="AC225" s="33" t="e">
        <f>IF(N225=0,"",(ROUNDUP((N225/2)/(_xlfn.XLOOKUP(A225,'[1]DATOS PBI Artículos'!$A$4:$A$4,'[1]DATOS PBI Artículos'!$Z$4:$Z$4)*_xlfn.XLOOKUP(_xlfn.XLOOKUP(A225,'[1]DATOS PBI Artículos'!$A$4:$A$4,'[1]DATOS PBI Artículos'!$Y$4:$Y$4),[1]CRITERIOS!$P$79:$P$123,[1]CRITERIOS!$S$79:$S$123)),0)*[1]CRITERIOS!$M$80*([1]CRITERIOS!$M$110/[1]CRITERIOS!$M$86)+(_xlfn.XLOOKUP(A225,'[1]DATOS PBI Artículos'!$A$4:$A$4,'[1]DATOS PBI Artículos'!$AA$4:$AA$4)*([1]CRITERIOS!$M$95+[1]CRITERIOS!$M$98)))/N225)</f>
        <v>#N/A</v>
      </c>
      <c r="AD225" s="33" t="e">
        <f>IF(N225=0,"",(ROUNDUP((N225/2)/(_xlfn.XLOOKUP(A225,'[1]DATOS PBI Artículos'!$A$4:$A$4,'[1]DATOS PBI Artículos'!$Z$4:$Z$4)*_xlfn.XLOOKUP(_xlfn.XLOOKUP(A225,'[1]DATOS PBI Artículos'!$A$4:$A$4,'[1]DATOS PBI Artículos'!$Y$4:$Y$4),[1]CRITERIOS!$P$79:$P$123,[1]CRITERIOS!$S$79:$S$123)),0)*[1]CRITERIOS!$M$80*([1]CRITERIOS!$M$89*[1]CRITERIOS!$M$92)+((_xlfn.XLOOKUP(A225,'[1]DATOS PBI Artículos'!$A$4:$A$4,'[1]DATOS PBI Artículos'!$AA$4:$AA$4)/2)*([1]CRITERIOS!$M$95+[1]CRITERIOS!$M$98)))/N225)</f>
        <v>#N/A</v>
      </c>
      <c r="AE225" s="39" t="str">
        <f>IF($R225="MTO","",
IF($H225=0,ROUNDUP(((_xlfn.XLOOKUP($A225,'[1]DATOS PBI Artículos'!$A:$A,'[1]DATOS PBI Artículos'!$AL:$AL))/(_xlfn.XLOOKUP($AF$1,[1]CRITERIOS!$S$16:$S$39,[1]CRITERIOS!$Y$16:$Y$39))*$J225+$Z225)/$G225,0)*$G225,
((_xlfn.XLOOKUP($A225,'[1]DATOS PBI Artículos'!$A:$A,'[1]DATOS PBI Artículos'!$AL:$AL))/(_xlfn.XLOOKUP($AF$1,[1]CRITERIOS!$S$16:$S$39,[1]CRITERIOS!$Y$16:$Y$39))*$J225+$Z225)))</f>
        <v/>
      </c>
      <c r="AG225" s="39" t="str">
        <f>IF($R225="MTO","",
IF($H225=0,ROUNDUP(((_xlfn.XLOOKUP($A225,'[1]DATOS PBI Artículos'!$A:$A,'[1]DATOS PBI Artículos'!$AM:$AM))/(_xlfn.XLOOKUP($AH$1,[1]CRITERIOS!$S$16:$S$39,[1]CRITERIOS!$Y$16:$Y$39))*$J225+$Z225)/$G225,0)*$G225,
((_xlfn.XLOOKUP($A225,'[1]DATOS PBI Artículos'!$A:$A,'[1]DATOS PBI Artículos'!$AM:$AM))/(_xlfn.XLOOKUP($AH$1,[1]CRITERIOS!$S$16:$S$39,[1]CRITERIOS!$Y$16:$Y$39))*$J225+$Z225)))</f>
        <v/>
      </c>
      <c r="AI225" s="39" t="str">
        <f>IF($R225="MTO","",
IF($H225=0,ROUNDUP(((_xlfn.XLOOKUP($A225,'[1]DATOS PBI Artículos'!$A:$A,'[1]DATOS PBI Artículos'!$AN:$AN))/(_xlfn.XLOOKUP($AJ$1,[1]CRITERIOS!$S$16:$S$39,[1]CRITERIOS!$Y$16:$Y$39))*$J225+$Z225)/$G225,0)*$G225,
((_xlfn.XLOOKUP($A225,'[1]DATOS PBI Artículos'!$A:$A,'[1]DATOS PBI Artículos'!$AN:$AN))/(_xlfn.XLOOKUP($AJ$1,[1]CRITERIOS!$S$16:$S$39,[1]CRITERIOS!$Y$16:$Y$39))*$J225+$Z225)))</f>
        <v/>
      </c>
      <c r="AK225" s="39" t="str">
        <f>IF($R225="MTO","",
IF($H225=0,ROUNDUP(((_xlfn.XLOOKUP($A225,'[1]DATOS PBI Artículos'!$A:$A,'[1]DATOS PBI Artículos'!$AO:$AO))/(_xlfn.XLOOKUP($AL$1,[1]CRITERIOS!$S$16:$S$39,[1]CRITERIOS!$Y$16:$Y$39))*$J225+$Z225)/$G225,0)*$G225,
((_xlfn.XLOOKUP($A225,'[1]DATOS PBI Artículos'!$A:$A,'[1]DATOS PBI Artículos'!$AO:$AO))/(_xlfn.XLOOKUP($AL$1,[1]CRITERIOS!$S$16:$S$39,[1]CRITERIOS!$Y$16:$Y$39))*$J225+$Z225)))</f>
        <v/>
      </c>
    </row>
    <row r="226" spans="1:37" ht="25.8" x14ac:dyDescent="0.5">
      <c r="A226" s="32">
        <v>452629</v>
      </c>
      <c r="B226" s="33">
        <f>_xlfn.XLOOKUP($A226,'[1]DATOS PBI Artículos'!A:A,'[1]DATOS PBI Artículos'!B:B)</f>
        <v>0</v>
      </c>
      <c r="C226" s="33" t="str">
        <f>_xlfn.XLOOKUP($A226,'[1]DATOS PBI Artículos'!A:A,'[1]DATOS PBI Artículos'!C:C)</f>
        <v>UA03</v>
      </c>
      <c r="D226" s="33">
        <f>_xlfn.XLOOKUP(A226,'[1]DATOS PBI Artículos'!A:A,'[1]DATOS PBI Artículos'!T:T)</f>
        <v>1</v>
      </c>
      <c r="E226" s="34">
        <f>IF(_xlfn.XLOOKUP($A226,'[1]DATOS PBI Artículos'!A:A,'[1]DATOS PBI Artículos'!AK:AK)="",_xlfn.XLOOKUP($A226,'[1]DATOS PBI Artículos'!A:A,'[1]DATOS PBI Artículos'!AJ:AJ),_xlfn.XLOOKUP($A226,'[1]DATOS PBI Artículos'!A:A,'[1]DATOS PBI Artículos'!AK:AK))</f>
        <v>5000</v>
      </c>
      <c r="F226" s="35">
        <f>_xlfn.XLOOKUP($A226,'[1]DATOS PBI Artículos'!A:A,'[1]DATOS PBI Artículos'!AP:AP)</f>
        <v>75</v>
      </c>
      <c r="G226" s="34">
        <f>_xlfn.XLOOKUP($A226,'[1]DATOS PBI Artículos'!A:A,'[1]DATOS PBI Artículos'!AR:AR)</f>
        <v>5000</v>
      </c>
      <c r="H226" s="34">
        <f>_xlfn.XLOOKUP($A226,'[1]DATOS PBI Artículos'!A:A,'[1]DATOS PBI Artículos'!AT:AT)</f>
        <v>0</v>
      </c>
      <c r="I226" s="34">
        <f>_xlfn.XLOOKUP($A226,'[1]DATOS PBI Artículos'!A:A,'[1]DATOS PBI Artículos'!AS:AS)</f>
        <v>5000</v>
      </c>
      <c r="J226" s="35">
        <f>IF(COUNTIF([1]CRITERIOS!$F$179:$F$199,$A226)&gt;=1,
 IF(O226&lt;&gt;"",
    (O226/_xlfn.XLOOKUP(CONCATENATE(A226,L226),[1]MÁQUINAS!A:A,[1]MÁQUINAS!D:D))/24,
    (N226/_xlfn.XLOOKUP(CONCATENATE(A226,L226),[1]MÁQUINAS!A:A,[1]MÁQUINAS!D:D))/24),
  _xlfn.XLOOKUP($A226,'[1]DATOS PBI Artículos'!A:A,'[1]DATOS PBI Artículos'!AU:AU))</f>
        <v>31</v>
      </c>
      <c r="K226" s="36">
        <f>_xlfn.XLOOKUP($A226,'[1]DATOS PBI Artículos'!A:A,'[1]DATOS PBI Artículos'!AV:AV)</f>
        <v>0</v>
      </c>
      <c r="L226" s="33">
        <f>_xlfn.XLOOKUP(A226,[1]MÁQUINAS!B:B,[1]MÁQUINAS!C:C)</f>
        <v>142</v>
      </c>
      <c r="M226" s="34">
        <f t="array" ref="M226">_xlfn.XLOOKUP(A226,'[1]DATOS PBI Artículos'!A:A,'[1]DATOS PBI Artículos'!AX:$AX)</f>
        <v>6673.2059265690059</v>
      </c>
      <c r="N226" s="37">
        <f>IF(I226="DV",
E226,
IF(COUNTIF([1]CRITERIOS!$I$179:$I$199,$A226)&gt;=1,
_xlfn.XLOOKUP($A226,[1]CRITERIOS!$I$179:$I$199,[1]CRITERIOS!$J$179:$J$199),
IF(COUNTIF([1]CRITERIOS!$L$179:$L$199,$A226)&gt;=1,
_xlfn.CEILING.MATH(IF($M226&gt;$E226,
$E226,
IF($M226&lt;$E226/ROUNDDOWN([1]CRITERIOS!$M$16/_xlfn.XLOOKUP($C226,[1]CRITERIOS!$K$25:$K$42,[1]CRITERIOS!$M$25:$M$42),
1),
E226/ROUNDDOWN([1]CRITERIOS!$M$16/_xlfn.XLOOKUP($C226,[1]CRITERIOS!$K$25:$K$42,[1]CRITERIOS!$M$25:$M$42),
1),
$M226)),
_xlfn.XLOOKUP($A226,[1]CRITERIOS!$L$179:$L$200,[1]CRITERIOS!$M$179:$M$200)),
_xlfn.CEILING.MATH(IF($M226&gt;$E226,
$E226,
IF($M226&lt;$E226/ROUNDDOWN([1]CRITERIOS!$M$16/_xlfn.XLOOKUP($C226,[1]CRITERIOS!$K$25:$K$42,[1]CRITERIOS!$M$25:$M$42),
1),
E226/ROUNDDOWN([1]CRITERIOS!$M$16/_xlfn.XLOOKUP($C226,[1]CRITERIOS!$K$25:$K$42,[1]CRITERIOS!$M$25:$M$42),
1),
$M226)),_xlfn.XLOOKUP(A226,'[1]DATOS PBI Artículos'!A:A,'[1]DATOS PBI Artículos'!Z:Z
)))))</f>
        <v>5000</v>
      </c>
      <c r="Q226" s="38">
        <f>IF(AND(O226="",N226=0),
0,
   IF(COUNTIF([1]CRITERIOS!$F$179:$F$199,$A226)&gt;=1,
   1,
   IF(R226="MTO",
      $D226,
      ROUNDUP(
                    IF(($E226-SUMIF('[1]DATOS PBI Artículos'!A:A,A226,'[1]DATOS PBI Artículos'!X:X)+($V226-_xlfn.XLOOKUP(A226,'[1]DATOS PBI Artículos'!A:A,'[1]DATOS PBI Artículos'!W:W)))&lt;0,
                    0,
                    IF(($E226-SUMIF('[1]DATOS PBI Artículos'!A:A,A226,'[1]DATOS PBI Artículos'!X:X)+$V226-_xlfn.XLOOKUP($A226,'[1]DATOS PBI Artículos'!A:A,'[1]DATOS PBI Artículos'!W:W))/IF($O226="",$N226,$O226)&gt;ROUNDUP([1]CRITERIOS!$M$16/(IF(COUNTIF([1]CRITERIOS!$BG$11:$BG$201,L226)&gt;=1,_xlfn.XLOOKUP($C226,[1]CRITERIOS!$K$25:$K$42,[1]CRITERIOS!$M$25:$M$42),_xlfn.XLOOKUP($C226,[1]CRITERIOS!$K$25:$K$42,[1]CRITERIOS!$M$25:$M$42))),0),
                    ROUNDUP([1]CRITERIOS!$M$16/(IF(COUNTIF([1]CRITERIOS!$BG$11:$BG$201,$L226)&gt;=1,_xlfn.XLOOKUP($C226,[1]CRITERIOS!$K$25:$K$42,[1]CRITERIOS!$M$25:$M$42),_xlfn.XLOOKUP($C226,[1]CRITERIOS!$K$25:$K$42,[1]CRITERIOS!$M$25:$M$42))),0),
                    (E226+V226-SUMIF('[1]DATOS PBI Artículos'!A:A,A226,'[1]DATOS PBI Artículos'!X:X)-_xlfn.XLOOKUP(A226,'[1]DATOS PBI Artículos'!A:A,'[1]DATOS PBI Artículos'!W:W))/IF($O226="",$N226,$O226))),0))))</f>
        <v>1</v>
      </c>
      <c r="R226" s="33" t="str">
        <f>IF(U226&lt;&gt;"",U226,IF(F226="DV","MTO",IF(N226=0,"MTO",_xlfn.XLOOKUP(CONCATENATE(S226,T226),[1]CRITERIOS!$K$160:$K$168,[1]CRITERIOS!$N$160:$N$168))))</f>
        <v>MTO</v>
      </c>
      <c r="S226" s="33" t="str">
        <f>IF(G226="DV","MTO",IF(N226=0,"MTO",IF(OR(AND(N226=0,O226=""),IF(O226="",G226/N226,G226/O226)&gt;[1]CRITERIOS!$G$163),"MTO",IF(IF(O226="",G226/N226,G226/O226)&lt;[1]CRITERIOS!$H$161,"MTS","MTOS"))))</f>
        <v>MTO</v>
      </c>
      <c r="T226" s="33" t="str">
        <f>IF(F226="DV","MTO",IF(OR(AND($N226=0,O226=""),$F226/$J226&gt;[1]CRITERIOS!$G$170,$F226="DV"),"MTO",IF($F226/$J226&lt;[1]CRITERIOS!$H$168,"MTS","MTOS")))</f>
        <v>MTO</v>
      </c>
      <c r="V226" s="34" t="str">
        <f t="shared" si="13"/>
        <v/>
      </c>
      <c r="X226" s="34">
        <f t="shared" si="11"/>
        <v>0</v>
      </c>
      <c r="Y226" s="34">
        <f t="shared" si="12"/>
        <v>0</v>
      </c>
      <c r="Z226" s="34">
        <f>IF($R226="MTO",
0,
($H226+$K226*($E226/[1]CRITERIOS!$M$16))/[1]CRITERIOS!$X$48)</f>
        <v>0</v>
      </c>
      <c r="AA226" s="34" t="e">
        <f>ROUNDUP(($Y226/_xlfn.XLOOKUP($A226,'[1]DATOS PBI Artículos'!$A$4:$A$4,'[1]DATOS PBI Artículos'!$Z$4:$Z$4))/_xlfn.XLOOKUP(_xlfn.XLOOKUP($A226,'[1]DATOS PBI Artículos'!$A$4:$A$4,'[1]DATOS PBI Artículos'!$Y$4:$Y$4),[1]CRITERIOS!$P$79:$P$123,[1]CRITERIOS!$S$79:$S$123,),0)</f>
        <v>#N/A</v>
      </c>
      <c r="AB226" s="33" t="e">
        <f t="array" ref="AB226">IF((E226+V226-_xlfn.XLOOKUP(A226,'[1]DATOS PBI Artículos'!$A$4:$A$4,'[1]DATOS PBI Artículos'!$W$4:$W$4))/N226&gt;ROUNDUP([1]CRITERIOS!$M$16/(IF(COUNTIF([1]CRITERIOS!$BG$11:$BG$201,L226)&gt;=1,_xlfn.XLOOKUP(ARTÍCULOS!L226,[1]CRITERIOS!$BG$11:$BG$201,[1]CRITERIOS!$BJ$11:$BJ$201),_xlfn.XLOOKUP(ARTÍCULOS!C226,[1]CRITERIOS!$K$25:$K$42,[1]CRITERIOS!$M$25:$M$42))),0),ROUNDUP([1]CRITERIOS!$M$16/(IF(COUNTIF([1]CRITERIOS!$BG$11:$BG$201,L226)&gt;=1,_xlfn.XLOOKUP(ARTÍCULOS!L226,[1]CRITERIOS!$BG$11:$BG$201:#REF!,[1]CRITERIOS!$BJ$11:$BJ$201),_xlfn.XLOOKUP(ARTÍCULOS!C226,[1]CRITERIOS!$K$25:$K$42,[1]CRITERIOS!$M$25:$M$42))),0),(E226+V226-_xlfn.XLOOKUP(A226,'[1]DATOS PBI Artículos'!$A$4:$A$4,'[1]DATOS PBI Artículos'!$W$4:$W$4))/N226)</f>
        <v>#VALUE!</v>
      </c>
      <c r="AC226" s="33" t="e">
        <f>IF(N226=0,"",(ROUNDUP((N226/2)/(_xlfn.XLOOKUP(A226,'[1]DATOS PBI Artículos'!$A$4:$A$4,'[1]DATOS PBI Artículos'!$Z$4:$Z$4)*_xlfn.XLOOKUP(_xlfn.XLOOKUP(A226,'[1]DATOS PBI Artículos'!$A$4:$A$4,'[1]DATOS PBI Artículos'!$Y$4:$Y$4),[1]CRITERIOS!$P$79:$P$123,[1]CRITERIOS!$S$79:$S$123)),0)*[1]CRITERIOS!$M$80*([1]CRITERIOS!$M$110/[1]CRITERIOS!$M$86)+(_xlfn.XLOOKUP(A226,'[1]DATOS PBI Artículos'!$A$4:$A$4,'[1]DATOS PBI Artículos'!$AA$4:$AA$4)*([1]CRITERIOS!$M$95+[1]CRITERIOS!$M$98)))/N226)</f>
        <v>#N/A</v>
      </c>
      <c r="AD226" s="33" t="e">
        <f>IF(N226=0,"",(ROUNDUP((N226/2)/(_xlfn.XLOOKUP(A226,'[1]DATOS PBI Artículos'!$A$4:$A$4,'[1]DATOS PBI Artículos'!$Z$4:$Z$4)*_xlfn.XLOOKUP(_xlfn.XLOOKUP(A226,'[1]DATOS PBI Artículos'!$A$4:$A$4,'[1]DATOS PBI Artículos'!$Y$4:$Y$4),[1]CRITERIOS!$P$79:$P$123,[1]CRITERIOS!$S$79:$S$123)),0)*[1]CRITERIOS!$M$80*([1]CRITERIOS!$M$89*[1]CRITERIOS!$M$92)+((_xlfn.XLOOKUP(A226,'[1]DATOS PBI Artículos'!$A$4:$A$4,'[1]DATOS PBI Artículos'!$AA$4:$AA$4)/2)*([1]CRITERIOS!$M$95+[1]CRITERIOS!$M$98)))/N226)</f>
        <v>#N/A</v>
      </c>
      <c r="AE226" s="39" t="str">
        <f>IF($R226="MTO","",
IF($H226=0,ROUNDUP(((_xlfn.XLOOKUP($A226,'[1]DATOS PBI Artículos'!$A:$A,'[1]DATOS PBI Artículos'!$AL:$AL))/(_xlfn.XLOOKUP($AF$1,[1]CRITERIOS!$S$16:$S$39,[1]CRITERIOS!$Y$16:$Y$39))*$J226+$Z226)/$G226,0)*$G226,
((_xlfn.XLOOKUP($A226,'[1]DATOS PBI Artículos'!$A:$A,'[1]DATOS PBI Artículos'!$AL:$AL))/(_xlfn.XLOOKUP($AF$1,[1]CRITERIOS!$S$16:$S$39,[1]CRITERIOS!$Y$16:$Y$39))*$J226+$Z226)))</f>
        <v/>
      </c>
      <c r="AG226" s="39" t="str">
        <f>IF($R226="MTO","",
IF($H226=0,ROUNDUP(((_xlfn.XLOOKUP($A226,'[1]DATOS PBI Artículos'!$A:$A,'[1]DATOS PBI Artículos'!$AM:$AM))/(_xlfn.XLOOKUP($AH$1,[1]CRITERIOS!$S$16:$S$39,[1]CRITERIOS!$Y$16:$Y$39))*$J226+$Z226)/$G226,0)*$G226,
((_xlfn.XLOOKUP($A226,'[1]DATOS PBI Artículos'!$A:$A,'[1]DATOS PBI Artículos'!$AM:$AM))/(_xlfn.XLOOKUP($AH$1,[1]CRITERIOS!$S$16:$S$39,[1]CRITERIOS!$Y$16:$Y$39))*$J226+$Z226)))</f>
        <v/>
      </c>
      <c r="AI226" s="39" t="str">
        <f>IF($R226="MTO","",
IF($H226=0,ROUNDUP(((_xlfn.XLOOKUP($A226,'[1]DATOS PBI Artículos'!$A:$A,'[1]DATOS PBI Artículos'!$AN:$AN))/(_xlfn.XLOOKUP($AJ$1,[1]CRITERIOS!$S$16:$S$39,[1]CRITERIOS!$Y$16:$Y$39))*$J226+$Z226)/$G226,0)*$G226,
((_xlfn.XLOOKUP($A226,'[1]DATOS PBI Artículos'!$A:$A,'[1]DATOS PBI Artículos'!$AN:$AN))/(_xlfn.XLOOKUP($AJ$1,[1]CRITERIOS!$S$16:$S$39,[1]CRITERIOS!$Y$16:$Y$39))*$J226+$Z226)))</f>
        <v/>
      </c>
      <c r="AK226" s="39" t="str">
        <f>IF($R226="MTO","",
IF($H226=0,ROUNDUP(((_xlfn.XLOOKUP($A226,'[1]DATOS PBI Artículos'!$A:$A,'[1]DATOS PBI Artículos'!$AO:$AO))/(_xlfn.XLOOKUP($AL$1,[1]CRITERIOS!$S$16:$S$39,[1]CRITERIOS!$Y$16:$Y$39))*$J226+$Z226)/$G226,0)*$G226,
((_xlfn.XLOOKUP($A226,'[1]DATOS PBI Artículos'!$A:$A,'[1]DATOS PBI Artículos'!$AO:$AO))/(_xlfn.XLOOKUP($AL$1,[1]CRITERIOS!$S$16:$S$39,[1]CRITERIOS!$Y$16:$Y$39))*$J226+$Z226)))</f>
        <v/>
      </c>
    </row>
    <row r="227" spans="1:37" ht="25.8" x14ac:dyDescent="0.5">
      <c r="A227" s="32">
        <v>400292</v>
      </c>
      <c r="B227" s="33">
        <f>_xlfn.XLOOKUP($A227,'[1]DATOS PBI Artículos'!A:A,'[1]DATOS PBI Artículos'!B:B)</f>
        <v>0</v>
      </c>
      <c r="C227" s="33" t="str">
        <f>_xlfn.XLOOKUP($A227,'[1]DATOS PBI Artículos'!A:A,'[1]DATOS PBI Artículos'!C:C)</f>
        <v>UA03</v>
      </c>
      <c r="D227" s="33">
        <f>_xlfn.XLOOKUP(A227,'[1]DATOS PBI Artículos'!A:A,'[1]DATOS PBI Artículos'!T:T)</f>
        <v>1</v>
      </c>
      <c r="E227" s="34">
        <f>IF(_xlfn.XLOOKUP($A227,'[1]DATOS PBI Artículos'!A:A,'[1]DATOS PBI Artículos'!AK:AK)="",_xlfn.XLOOKUP($A227,'[1]DATOS PBI Artículos'!A:A,'[1]DATOS PBI Artículos'!AJ:AJ),_xlfn.XLOOKUP($A227,'[1]DATOS PBI Artículos'!A:A,'[1]DATOS PBI Artículos'!AK:AK))</f>
        <v>5000</v>
      </c>
      <c r="F227" s="35">
        <f>_xlfn.XLOOKUP($A227,'[1]DATOS PBI Artículos'!A:A,'[1]DATOS PBI Artículos'!AP:AP)</f>
        <v>75</v>
      </c>
      <c r="G227" s="34">
        <f>_xlfn.XLOOKUP($A227,'[1]DATOS PBI Artículos'!A:A,'[1]DATOS PBI Artículos'!AR:AR)</f>
        <v>5000</v>
      </c>
      <c r="H227" s="34">
        <f>_xlfn.XLOOKUP($A227,'[1]DATOS PBI Artículos'!A:A,'[1]DATOS PBI Artículos'!AT:AT)</f>
        <v>0</v>
      </c>
      <c r="I227" s="34">
        <f>_xlfn.XLOOKUP($A227,'[1]DATOS PBI Artículos'!A:A,'[1]DATOS PBI Artículos'!AS:AS)</f>
        <v>5000</v>
      </c>
      <c r="J227" s="35">
        <f>IF(COUNTIF([1]CRITERIOS!$F$179:$F$199,$A227)&gt;=1,
 IF(O227&lt;&gt;"",
    (O227/_xlfn.XLOOKUP(CONCATENATE(A227,L227),[1]MÁQUINAS!A:A,[1]MÁQUINAS!D:D))/24,
    (N227/_xlfn.XLOOKUP(CONCATENATE(A227,L227),[1]MÁQUINAS!A:A,[1]MÁQUINAS!D:D))/24),
  _xlfn.XLOOKUP($A227,'[1]DATOS PBI Artículos'!A:A,'[1]DATOS PBI Artículos'!AU:AU))</f>
        <v>13.333333333333334</v>
      </c>
      <c r="K227" s="36">
        <f>_xlfn.XLOOKUP($A227,'[1]DATOS PBI Artículos'!A:A,'[1]DATOS PBI Artículos'!AV:AV)</f>
        <v>1.154700538379251</v>
      </c>
      <c r="L227" s="33">
        <f>_xlfn.XLOOKUP(A227,[1]MÁQUINAS!B:B,[1]MÁQUINAS!C:C)</f>
        <v>142</v>
      </c>
      <c r="M227" s="34">
        <f t="array" ref="M227">_xlfn.XLOOKUP(A227,'[1]DATOS PBI Artículos'!A:A,'[1]DATOS PBI Artículos'!AX:$AX)</f>
        <v>9201.1696068174624</v>
      </c>
      <c r="N227" s="37">
        <f>IF(I227="DV",
E227,
IF(COUNTIF([1]CRITERIOS!$I$179:$I$199,$A227)&gt;=1,
_xlfn.XLOOKUP($A227,[1]CRITERIOS!$I$179:$I$199,[1]CRITERIOS!$J$179:$J$199),
IF(COUNTIF([1]CRITERIOS!$L$179:$L$199,$A227)&gt;=1,
_xlfn.CEILING.MATH(IF($M227&gt;$E227,
$E227,
IF($M227&lt;$E227/ROUNDDOWN([1]CRITERIOS!$M$16/_xlfn.XLOOKUP($C227,[1]CRITERIOS!$K$25:$K$42,[1]CRITERIOS!$M$25:$M$42),
1),
E227/ROUNDDOWN([1]CRITERIOS!$M$16/_xlfn.XLOOKUP($C227,[1]CRITERIOS!$K$25:$K$42,[1]CRITERIOS!$M$25:$M$42),
1),
$M227)),
_xlfn.XLOOKUP($A227,[1]CRITERIOS!$L$179:$L$200,[1]CRITERIOS!$M$179:$M$200)),
_xlfn.CEILING.MATH(IF($M227&gt;$E227,
$E227,
IF($M227&lt;$E227/ROUNDDOWN([1]CRITERIOS!$M$16/_xlfn.XLOOKUP($C227,[1]CRITERIOS!$K$25:$K$42,[1]CRITERIOS!$M$25:$M$42),
1),
E227/ROUNDDOWN([1]CRITERIOS!$M$16/_xlfn.XLOOKUP($C227,[1]CRITERIOS!$K$25:$K$42,[1]CRITERIOS!$M$25:$M$42),
1),
$M227)),_xlfn.XLOOKUP(A227,'[1]DATOS PBI Artículos'!A:A,'[1]DATOS PBI Artículos'!Z:Z
)))))</f>
        <v>5000</v>
      </c>
      <c r="Q227" s="38">
        <f>IF(AND(O227="",N227=0),
0,
   IF(COUNTIF([1]CRITERIOS!$F$179:$F$199,$A227)&gt;=1,
   1,
   IF(R227="MTO",
      $D227,
      ROUNDUP(
                    IF(($E227-SUMIF('[1]DATOS PBI Artículos'!A:A,A227,'[1]DATOS PBI Artículos'!X:X)+($V227-_xlfn.XLOOKUP(A227,'[1]DATOS PBI Artículos'!A:A,'[1]DATOS PBI Artículos'!W:W)))&lt;0,
                    0,
                    IF(($E227-SUMIF('[1]DATOS PBI Artículos'!A:A,A227,'[1]DATOS PBI Artículos'!X:X)+$V227-_xlfn.XLOOKUP($A227,'[1]DATOS PBI Artículos'!A:A,'[1]DATOS PBI Artículos'!W:W))/IF($O227="",$N227,$O227)&gt;ROUNDUP([1]CRITERIOS!$M$16/(IF(COUNTIF([1]CRITERIOS!$BG$11:$BG$201,L227)&gt;=1,_xlfn.XLOOKUP($C227,[1]CRITERIOS!$K$25:$K$42,[1]CRITERIOS!$M$25:$M$42),_xlfn.XLOOKUP($C227,[1]CRITERIOS!$K$25:$K$42,[1]CRITERIOS!$M$25:$M$42))),0),
                    ROUNDUP([1]CRITERIOS!$M$16/(IF(COUNTIF([1]CRITERIOS!$BG$11:$BG$201,$L227)&gt;=1,_xlfn.XLOOKUP($C227,[1]CRITERIOS!$K$25:$K$42,[1]CRITERIOS!$M$25:$M$42),_xlfn.XLOOKUP($C227,[1]CRITERIOS!$K$25:$K$42,[1]CRITERIOS!$M$25:$M$42))),0),
                    (E227+V227-SUMIF('[1]DATOS PBI Artículos'!A:A,A227,'[1]DATOS PBI Artículos'!X:X)-_xlfn.XLOOKUP(A227,'[1]DATOS PBI Artículos'!A:A,'[1]DATOS PBI Artículos'!W:W))/IF($O227="",$N227,$O227))),0))))</f>
        <v>1</v>
      </c>
      <c r="R227" s="33" t="str">
        <f>IF(U227&lt;&gt;"",U227,IF(F227="DV","MTO",IF(N227=0,"MTO",_xlfn.XLOOKUP(CONCATENATE(S227,T227),[1]CRITERIOS!$K$160:$K$168,[1]CRITERIOS!$N$160:$N$168))))</f>
        <v>MTO</v>
      </c>
      <c r="S227" s="33" t="str">
        <f>IF(G227="DV","MTO",IF(N227=0,"MTO",IF(OR(AND(N227=0,O227=""),IF(O227="",G227/N227,G227/O227)&gt;[1]CRITERIOS!$G$163),"MTO",IF(IF(O227="",G227/N227,G227/O227)&lt;[1]CRITERIOS!$H$161,"MTS","MTOS"))))</f>
        <v>MTO</v>
      </c>
      <c r="T227" s="33" t="str">
        <f>IF(F227="DV","MTO",IF(OR(AND($N227=0,O227=""),$F227/$J227&gt;[1]CRITERIOS!$G$170,$F227="DV"),"MTO",IF($F227/$J227&lt;[1]CRITERIOS!$H$168,"MTS","MTOS")))</f>
        <v>MTO</v>
      </c>
      <c r="V227" s="34" t="str">
        <f t="shared" si="13"/>
        <v/>
      </c>
      <c r="X227" s="34">
        <f t="shared" si="11"/>
        <v>0</v>
      </c>
      <c r="Y227" s="34">
        <f t="shared" si="12"/>
        <v>0</v>
      </c>
      <c r="Z227" s="34">
        <f>IF($R227="MTO",
0,
($H227+$K227*($E227/[1]CRITERIOS!$M$16))/[1]CRITERIOS!$X$48)</f>
        <v>0</v>
      </c>
      <c r="AA227" s="34" t="e">
        <f>ROUNDUP(($Y227/_xlfn.XLOOKUP($A227,'[1]DATOS PBI Artículos'!$A$4:$A$4,'[1]DATOS PBI Artículos'!$Z$4:$Z$4))/_xlfn.XLOOKUP(_xlfn.XLOOKUP($A227,'[1]DATOS PBI Artículos'!$A$4:$A$4,'[1]DATOS PBI Artículos'!$Y$4:$Y$4),[1]CRITERIOS!$P$79:$P$123,[1]CRITERIOS!$S$79:$S$123,),0)</f>
        <v>#N/A</v>
      </c>
      <c r="AB227" s="33" t="e">
        <f t="array" ref="AB227">IF((E227+V227-_xlfn.XLOOKUP(A227,'[1]DATOS PBI Artículos'!$A$4:$A$4,'[1]DATOS PBI Artículos'!$W$4:$W$4))/N227&gt;ROUNDUP([1]CRITERIOS!$M$16/(IF(COUNTIF([1]CRITERIOS!$BG$11:$BG$201,L227)&gt;=1,_xlfn.XLOOKUP(ARTÍCULOS!L227,[1]CRITERIOS!$BG$11:$BG$201,[1]CRITERIOS!$BJ$11:$BJ$201),_xlfn.XLOOKUP(ARTÍCULOS!C227,[1]CRITERIOS!$K$25:$K$42,[1]CRITERIOS!$M$25:$M$42))),0),ROUNDUP([1]CRITERIOS!$M$16/(IF(COUNTIF([1]CRITERIOS!$BG$11:$BG$201,L227)&gt;=1,_xlfn.XLOOKUP(ARTÍCULOS!L227,[1]CRITERIOS!$BG$11:$BG$201:#REF!,[1]CRITERIOS!$BJ$11:$BJ$201),_xlfn.XLOOKUP(ARTÍCULOS!C227,[1]CRITERIOS!$K$25:$K$42,[1]CRITERIOS!$M$25:$M$42))),0),(E227+V227-_xlfn.XLOOKUP(A227,'[1]DATOS PBI Artículos'!$A$4:$A$4,'[1]DATOS PBI Artículos'!$W$4:$W$4))/N227)</f>
        <v>#VALUE!</v>
      </c>
      <c r="AC227" s="33" t="e">
        <f>IF(N227=0,"",(ROUNDUP((N227/2)/(_xlfn.XLOOKUP(A227,'[1]DATOS PBI Artículos'!$A$4:$A$4,'[1]DATOS PBI Artículos'!$Z$4:$Z$4)*_xlfn.XLOOKUP(_xlfn.XLOOKUP(A227,'[1]DATOS PBI Artículos'!$A$4:$A$4,'[1]DATOS PBI Artículos'!$Y$4:$Y$4),[1]CRITERIOS!$P$79:$P$123,[1]CRITERIOS!$S$79:$S$123)),0)*[1]CRITERIOS!$M$80*([1]CRITERIOS!$M$110/[1]CRITERIOS!$M$86)+(_xlfn.XLOOKUP(A227,'[1]DATOS PBI Artículos'!$A$4:$A$4,'[1]DATOS PBI Artículos'!$AA$4:$AA$4)*([1]CRITERIOS!$M$95+[1]CRITERIOS!$M$98)))/N227)</f>
        <v>#N/A</v>
      </c>
      <c r="AD227" s="33" t="e">
        <f>IF(N227=0,"",(ROUNDUP((N227/2)/(_xlfn.XLOOKUP(A227,'[1]DATOS PBI Artículos'!$A$4:$A$4,'[1]DATOS PBI Artículos'!$Z$4:$Z$4)*_xlfn.XLOOKUP(_xlfn.XLOOKUP(A227,'[1]DATOS PBI Artículos'!$A$4:$A$4,'[1]DATOS PBI Artículos'!$Y$4:$Y$4),[1]CRITERIOS!$P$79:$P$123,[1]CRITERIOS!$S$79:$S$123)),0)*[1]CRITERIOS!$M$80*([1]CRITERIOS!$M$89*[1]CRITERIOS!$M$92)+((_xlfn.XLOOKUP(A227,'[1]DATOS PBI Artículos'!$A$4:$A$4,'[1]DATOS PBI Artículos'!$AA$4:$AA$4)/2)*([1]CRITERIOS!$M$95+[1]CRITERIOS!$M$98)))/N227)</f>
        <v>#N/A</v>
      </c>
      <c r="AE227" s="39" t="str">
        <f>IF($R227="MTO","",
IF($H227=0,ROUNDUP(((_xlfn.XLOOKUP($A227,'[1]DATOS PBI Artículos'!$A:$A,'[1]DATOS PBI Artículos'!$AL:$AL))/(_xlfn.XLOOKUP($AF$1,[1]CRITERIOS!$S$16:$S$39,[1]CRITERIOS!$Y$16:$Y$39))*$J227+$Z227)/$G227,0)*$G227,
((_xlfn.XLOOKUP($A227,'[1]DATOS PBI Artículos'!$A:$A,'[1]DATOS PBI Artículos'!$AL:$AL))/(_xlfn.XLOOKUP($AF$1,[1]CRITERIOS!$S$16:$S$39,[1]CRITERIOS!$Y$16:$Y$39))*$J227+$Z227)))</f>
        <v/>
      </c>
      <c r="AG227" s="39" t="str">
        <f>IF($R227="MTO","",
IF($H227=0,ROUNDUP(((_xlfn.XLOOKUP($A227,'[1]DATOS PBI Artículos'!$A:$A,'[1]DATOS PBI Artículos'!$AM:$AM))/(_xlfn.XLOOKUP($AH$1,[1]CRITERIOS!$S$16:$S$39,[1]CRITERIOS!$Y$16:$Y$39))*$J227+$Z227)/$G227,0)*$G227,
((_xlfn.XLOOKUP($A227,'[1]DATOS PBI Artículos'!$A:$A,'[1]DATOS PBI Artículos'!$AM:$AM))/(_xlfn.XLOOKUP($AH$1,[1]CRITERIOS!$S$16:$S$39,[1]CRITERIOS!$Y$16:$Y$39))*$J227+$Z227)))</f>
        <v/>
      </c>
      <c r="AI227" s="39" t="str">
        <f>IF($R227="MTO","",
IF($H227=0,ROUNDUP(((_xlfn.XLOOKUP($A227,'[1]DATOS PBI Artículos'!$A:$A,'[1]DATOS PBI Artículos'!$AN:$AN))/(_xlfn.XLOOKUP($AJ$1,[1]CRITERIOS!$S$16:$S$39,[1]CRITERIOS!$Y$16:$Y$39))*$J227+$Z227)/$G227,0)*$G227,
((_xlfn.XLOOKUP($A227,'[1]DATOS PBI Artículos'!$A:$A,'[1]DATOS PBI Artículos'!$AN:$AN))/(_xlfn.XLOOKUP($AJ$1,[1]CRITERIOS!$S$16:$S$39,[1]CRITERIOS!$Y$16:$Y$39))*$J227+$Z227)))</f>
        <v/>
      </c>
      <c r="AK227" s="39" t="str">
        <f>IF($R227="MTO","",
IF($H227=0,ROUNDUP(((_xlfn.XLOOKUP($A227,'[1]DATOS PBI Artículos'!$A:$A,'[1]DATOS PBI Artículos'!$AO:$AO))/(_xlfn.XLOOKUP($AL$1,[1]CRITERIOS!$S$16:$S$39,[1]CRITERIOS!$Y$16:$Y$39))*$J227+$Z227)/$G227,0)*$G227,
((_xlfn.XLOOKUP($A227,'[1]DATOS PBI Artículos'!$A:$A,'[1]DATOS PBI Artículos'!$AO:$AO))/(_xlfn.XLOOKUP($AL$1,[1]CRITERIOS!$S$16:$S$39,[1]CRITERIOS!$Y$16:$Y$39))*$J227+$Z227)))</f>
        <v/>
      </c>
    </row>
    <row r="228" spans="1:37" ht="25.8" x14ac:dyDescent="0.5">
      <c r="A228" s="32">
        <v>452526</v>
      </c>
      <c r="B228" s="33">
        <f>_xlfn.XLOOKUP($A228,'[1]DATOS PBI Artículos'!A:A,'[1]DATOS PBI Artículos'!B:B)</f>
        <v>0</v>
      </c>
      <c r="C228" s="33" t="str">
        <f>_xlfn.XLOOKUP($A228,'[1]DATOS PBI Artículos'!A:A,'[1]DATOS PBI Artículos'!C:C)</f>
        <v>UA03</v>
      </c>
      <c r="D228" s="33">
        <f>_xlfn.XLOOKUP(A228,'[1]DATOS PBI Artículos'!A:A,'[1]DATOS PBI Artículos'!T:T)</f>
        <v>1</v>
      </c>
      <c r="E228" s="34">
        <f>IF(_xlfn.XLOOKUP($A228,'[1]DATOS PBI Artículos'!A:A,'[1]DATOS PBI Artículos'!AK:AK)="",_xlfn.XLOOKUP($A228,'[1]DATOS PBI Artículos'!A:A,'[1]DATOS PBI Artículos'!AJ:AJ),_xlfn.XLOOKUP($A228,'[1]DATOS PBI Artículos'!A:A,'[1]DATOS PBI Artículos'!AK:AK))</f>
        <v>5000</v>
      </c>
      <c r="F228" s="35">
        <f>_xlfn.XLOOKUP($A228,'[1]DATOS PBI Artículos'!A:A,'[1]DATOS PBI Artículos'!AP:AP)</f>
        <v>75</v>
      </c>
      <c r="G228" s="34">
        <f>_xlfn.XLOOKUP($A228,'[1]DATOS PBI Artículos'!A:A,'[1]DATOS PBI Artículos'!AR:AR)</f>
        <v>5000</v>
      </c>
      <c r="H228" s="34">
        <f>_xlfn.XLOOKUP($A228,'[1]DATOS PBI Artículos'!A:A,'[1]DATOS PBI Artículos'!AT:AT)</f>
        <v>0</v>
      </c>
      <c r="I228" s="34">
        <f>_xlfn.XLOOKUP($A228,'[1]DATOS PBI Artículos'!A:A,'[1]DATOS PBI Artículos'!AS:AS)</f>
        <v>5000</v>
      </c>
      <c r="J228" s="35">
        <f>IF(COUNTIF([1]CRITERIOS!$F$179:$F$199,$A228)&gt;=1,
 IF(O228&lt;&gt;"",
    (O228/_xlfn.XLOOKUP(CONCATENATE(A228,L228),[1]MÁQUINAS!A:A,[1]MÁQUINAS!D:D))/24,
    (N228/_xlfn.XLOOKUP(CONCATENATE(A228,L228),[1]MÁQUINAS!A:A,[1]MÁQUINAS!D:D))/24),
  _xlfn.XLOOKUP($A228,'[1]DATOS PBI Artículos'!A:A,'[1]DATOS PBI Artículos'!AU:AU))</f>
        <v>11.666666666666666</v>
      </c>
      <c r="K228" s="36">
        <f>_xlfn.XLOOKUP($A228,'[1]DATOS PBI Artículos'!A:A,'[1]DATOS PBI Artículos'!AV:AV)</f>
        <v>0.57735026918962551</v>
      </c>
      <c r="L228" s="33">
        <f>_xlfn.XLOOKUP(A228,[1]MÁQUINAS!B:B,[1]MÁQUINAS!C:C)</f>
        <v>142</v>
      </c>
      <c r="M228" s="34">
        <f t="array" ref="M228">_xlfn.XLOOKUP(A228,'[1]DATOS PBI Artículos'!A:A,'[1]DATOS PBI Artículos'!AX:$AX)</f>
        <v>6656.3875561697196</v>
      </c>
      <c r="N228" s="37">
        <f>IF(I228="DV",
E228,
IF(COUNTIF([1]CRITERIOS!$I$179:$I$199,$A228)&gt;=1,
_xlfn.XLOOKUP($A228,[1]CRITERIOS!$I$179:$I$199,[1]CRITERIOS!$J$179:$J$199),
IF(COUNTIF([1]CRITERIOS!$L$179:$L$199,$A228)&gt;=1,
_xlfn.CEILING.MATH(IF($M228&gt;$E228,
$E228,
IF($M228&lt;$E228/ROUNDDOWN([1]CRITERIOS!$M$16/_xlfn.XLOOKUP($C228,[1]CRITERIOS!$K$25:$K$42,[1]CRITERIOS!$M$25:$M$42),
1),
E228/ROUNDDOWN([1]CRITERIOS!$M$16/_xlfn.XLOOKUP($C228,[1]CRITERIOS!$K$25:$K$42,[1]CRITERIOS!$M$25:$M$42),
1),
$M228)),
_xlfn.XLOOKUP($A228,[1]CRITERIOS!$L$179:$L$200,[1]CRITERIOS!$M$179:$M$200)),
_xlfn.CEILING.MATH(IF($M228&gt;$E228,
$E228,
IF($M228&lt;$E228/ROUNDDOWN([1]CRITERIOS!$M$16/_xlfn.XLOOKUP($C228,[1]CRITERIOS!$K$25:$K$42,[1]CRITERIOS!$M$25:$M$42),
1),
E228/ROUNDDOWN([1]CRITERIOS!$M$16/_xlfn.XLOOKUP($C228,[1]CRITERIOS!$K$25:$K$42,[1]CRITERIOS!$M$25:$M$42),
1),
$M228)),_xlfn.XLOOKUP(A228,'[1]DATOS PBI Artículos'!A:A,'[1]DATOS PBI Artículos'!Z:Z
)))))</f>
        <v>5000</v>
      </c>
      <c r="Q228" s="38">
        <f>IF(AND(O228="",N228=0),
0,
   IF(COUNTIF([1]CRITERIOS!$F$179:$F$199,$A228)&gt;=1,
   1,
   IF(R228="MTO",
      $D228,
      ROUNDUP(
                    IF(($E228-SUMIF('[1]DATOS PBI Artículos'!A:A,A228,'[1]DATOS PBI Artículos'!X:X)+($V228-_xlfn.XLOOKUP(A228,'[1]DATOS PBI Artículos'!A:A,'[1]DATOS PBI Artículos'!W:W)))&lt;0,
                    0,
                    IF(($E228-SUMIF('[1]DATOS PBI Artículos'!A:A,A228,'[1]DATOS PBI Artículos'!X:X)+$V228-_xlfn.XLOOKUP($A228,'[1]DATOS PBI Artículos'!A:A,'[1]DATOS PBI Artículos'!W:W))/IF($O228="",$N228,$O228)&gt;ROUNDUP([1]CRITERIOS!$M$16/(IF(COUNTIF([1]CRITERIOS!$BG$11:$BG$201,L228)&gt;=1,_xlfn.XLOOKUP($C228,[1]CRITERIOS!$K$25:$K$42,[1]CRITERIOS!$M$25:$M$42),_xlfn.XLOOKUP($C228,[1]CRITERIOS!$K$25:$K$42,[1]CRITERIOS!$M$25:$M$42))),0),
                    ROUNDUP([1]CRITERIOS!$M$16/(IF(COUNTIF([1]CRITERIOS!$BG$11:$BG$201,$L228)&gt;=1,_xlfn.XLOOKUP($C228,[1]CRITERIOS!$K$25:$K$42,[1]CRITERIOS!$M$25:$M$42),_xlfn.XLOOKUP($C228,[1]CRITERIOS!$K$25:$K$42,[1]CRITERIOS!$M$25:$M$42))),0),
                    (E228+V228-SUMIF('[1]DATOS PBI Artículos'!A:A,A228,'[1]DATOS PBI Artículos'!X:X)-_xlfn.XLOOKUP(A228,'[1]DATOS PBI Artículos'!A:A,'[1]DATOS PBI Artículos'!W:W))/IF($O228="",$N228,$O228))),0))))</f>
        <v>1</v>
      </c>
      <c r="R228" s="33" t="str">
        <f>IF(U228&lt;&gt;"",U228,IF(F228="DV","MTO",IF(N228=0,"MTO",_xlfn.XLOOKUP(CONCATENATE(S228,T228),[1]CRITERIOS!$K$160:$K$168,[1]CRITERIOS!$N$160:$N$168))))</f>
        <v>MTO</v>
      </c>
      <c r="S228" s="33" t="str">
        <f>IF(G228="DV","MTO",IF(N228=0,"MTO",IF(OR(AND(N228=0,O228=""),IF(O228="",G228/N228,G228/O228)&gt;[1]CRITERIOS!$G$163),"MTO",IF(IF(O228="",G228/N228,G228/O228)&lt;[1]CRITERIOS!$H$161,"MTS","MTOS"))))</f>
        <v>MTO</v>
      </c>
      <c r="T228" s="33" t="str">
        <f>IF(F228="DV","MTO",IF(OR(AND($N228=0,O228=""),$F228/$J228&gt;[1]CRITERIOS!$G$170,$F228="DV"),"MTO",IF($F228/$J228&lt;[1]CRITERIOS!$H$168,"MTS","MTOS")))</f>
        <v>MTO</v>
      </c>
      <c r="V228" s="34" t="str">
        <f t="shared" si="13"/>
        <v/>
      </c>
      <c r="X228" s="34">
        <f t="shared" si="11"/>
        <v>0</v>
      </c>
      <c r="Y228" s="34">
        <f t="shared" si="12"/>
        <v>0</v>
      </c>
      <c r="Z228" s="34">
        <f>IF($R228="MTO",
0,
($H228+$K228*($E228/[1]CRITERIOS!$M$16))/[1]CRITERIOS!$X$48)</f>
        <v>0</v>
      </c>
      <c r="AA228" s="34" t="e">
        <f>ROUNDUP(($Y228/_xlfn.XLOOKUP($A228,'[1]DATOS PBI Artículos'!$A$4:$A$4,'[1]DATOS PBI Artículos'!$Z$4:$Z$4))/_xlfn.XLOOKUP(_xlfn.XLOOKUP($A228,'[1]DATOS PBI Artículos'!$A$4:$A$4,'[1]DATOS PBI Artículos'!$Y$4:$Y$4),[1]CRITERIOS!$P$79:$P$123,[1]CRITERIOS!$S$79:$S$123,),0)</f>
        <v>#N/A</v>
      </c>
      <c r="AB228" s="33" t="e">
        <f t="array" ref="AB228">IF((E228+V228-_xlfn.XLOOKUP(A228,'[1]DATOS PBI Artículos'!$A$4:$A$4,'[1]DATOS PBI Artículos'!$W$4:$W$4))/N228&gt;ROUNDUP([1]CRITERIOS!$M$16/(IF(COUNTIF([1]CRITERIOS!$BG$11:$BG$201,L228)&gt;=1,_xlfn.XLOOKUP(ARTÍCULOS!L228,[1]CRITERIOS!$BG$11:$BG$201,[1]CRITERIOS!$BJ$11:$BJ$201),_xlfn.XLOOKUP(ARTÍCULOS!C228,[1]CRITERIOS!$K$25:$K$42,[1]CRITERIOS!$M$25:$M$42))),0),ROUNDUP([1]CRITERIOS!$M$16/(IF(COUNTIF([1]CRITERIOS!$BG$11:$BG$201,L228)&gt;=1,_xlfn.XLOOKUP(ARTÍCULOS!L228,[1]CRITERIOS!$BG$11:$BG$201:#REF!,[1]CRITERIOS!$BJ$11:$BJ$201),_xlfn.XLOOKUP(ARTÍCULOS!C228,[1]CRITERIOS!$K$25:$K$42,[1]CRITERIOS!$M$25:$M$42))),0),(E228+V228-_xlfn.XLOOKUP(A228,'[1]DATOS PBI Artículos'!$A$4:$A$4,'[1]DATOS PBI Artículos'!$W$4:$W$4))/N228)</f>
        <v>#VALUE!</v>
      </c>
      <c r="AC228" s="33" t="e">
        <f>IF(N228=0,"",(ROUNDUP((N228/2)/(_xlfn.XLOOKUP(A228,'[1]DATOS PBI Artículos'!$A$4:$A$4,'[1]DATOS PBI Artículos'!$Z$4:$Z$4)*_xlfn.XLOOKUP(_xlfn.XLOOKUP(A228,'[1]DATOS PBI Artículos'!$A$4:$A$4,'[1]DATOS PBI Artículos'!$Y$4:$Y$4),[1]CRITERIOS!$P$79:$P$123,[1]CRITERIOS!$S$79:$S$123)),0)*[1]CRITERIOS!$M$80*([1]CRITERIOS!$M$110/[1]CRITERIOS!$M$86)+(_xlfn.XLOOKUP(A228,'[1]DATOS PBI Artículos'!$A$4:$A$4,'[1]DATOS PBI Artículos'!$AA$4:$AA$4)*([1]CRITERIOS!$M$95+[1]CRITERIOS!$M$98)))/N228)</f>
        <v>#N/A</v>
      </c>
      <c r="AD228" s="33" t="e">
        <f>IF(N228=0,"",(ROUNDUP((N228/2)/(_xlfn.XLOOKUP(A228,'[1]DATOS PBI Artículos'!$A$4:$A$4,'[1]DATOS PBI Artículos'!$Z$4:$Z$4)*_xlfn.XLOOKUP(_xlfn.XLOOKUP(A228,'[1]DATOS PBI Artículos'!$A$4:$A$4,'[1]DATOS PBI Artículos'!$Y$4:$Y$4),[1]CRITERIOS!$P$79:$P$123,[1]CRITERIOS!$S$79:$S$123)),0)*[1]CRITERIOS!$M$80*([1]CRITERIOS!$M$89*[1]CRITERIOS!$M$92)+((_xlfn.XLOOKUP(A228,'[1]DATOS PBI Artículos'!$A$4:$A$4,'[1]DATOS PBI Artículos'!$AA$4:$AA$4)/2)*([1]CRITERIOS!$M$95+[1]CRITERIOS!$M$98)))/N228)</f>
        <v>#N/A</v>
      </c>
      <c r="AE228" s="39" t="str">
        <f>IF($R228="MTO","",
IF($H228=0,ROUNDUP(((_xlfn.XLOOKUP($A228,'[1]DATOS PBI Artículos'!$A:$A,'[1]DATOS PBI Artículos'!$AL:$AL))/(_xlfn.XLOOKUP($AF$1,[1]CRITERIOS!$S$16:$S$39,[1]CRITERIOS!$Y$16:$Y$39))*$J228+$Z228)/$G228,0)*$G228,
((_xlfn.XLOOKUP($A228,'[1]DATOS PBI Artículos'!$A:$A,'[1]DATOS PBI Artículos'!$AL:$AL))/(_xlfn.XLOOKUP($AF$1,[1]CRITERIOS!$S$16:$S$39,[1]CRITERIOS!$Y$16:$Y$39))*$J228+$Z228)))</f>
        <v/>
      </c>
      <c r="AG228" s="39" t="str">
        <f>IF($R228="MTO","",
IF($H228=0,ROUNDUP(((_xlfn.XLOOKUP($A228,'[1]DATOS PBI Artículos'!$A:$A,'[1]DATOS PBI Artículos'!$AM:$AM))/(_xlfn.XLOOKUP($AH$1,[1]CRITERIOS!$S$16:$S$39,[1]CRITERIOS!$Y$16:$Y$39))*$J228+$Z228)/$G228,0)*$G228,
((_xlfn.XLOOKUP($A228,'[1]DATOS PBI Artículos'!$A:$A,'[1]DATOS PBI Artículos'!$AM:$AM))/(_xlfn.XLOOKUP($AH$1,[1]CRITERIOS!$S$16:$S$39,[1]CRITERIOS!$Y$16:$Y$39))*$J228+$Z228)))</f>
        <v/>
      </c>
      <c r="AI228" s="39" t="str">
        <f>IF($R228="MTO","",
IF($H228=0,ROUNDUP(((_xlfn.XLOOKUP($A228,'[1]DATOS PBI Artículos'!$A:$A,'[1]DATOS PBI Artículos'!$AN:$AN))/(_xlfn.XLOOKUP($AJ$1,[1]CRITERIOS!$S$16:$S$39,[1]CRITERIOS!$Y$16:$Y$39))*$J228+$Z228)/$G228,0)*$G228,
((_xlfn.XLOOKUP($A228,'[1]DATOS PBI Artículos'!$A:$A,'[1]DATOS PBI Artículos'!$AN:$AN))/(_xlfn.XLOOKUP($AJ$1,[1]CRITERIOS!$S$16:$S$39,[1]CRITERIOS!$Y$16:$Y$39))*$J228+$Z228)))</f>
        <v/>
      </c>
      <c r="AK228" s="39" t="str">
        <f>IF($R228="MTO","",
IF($H228=0,ROUNDUP(((_xlfn.XLOOKUP($A228,'[1]DATOS PBI Artículos'!$A:$A,'[1]DATOS PBI Artículos'!$AO:$AO))/(_xlfn.XLOOKUP($AL$1,[1]CRITERIOS!$S$16:$S$39,[1]CRITERIOS!$Y$16:$Y$39))*$J228+$Z228)/$G228,0)*$G228,
((_xlfn.XLOOKUP($A228,'[1]DATOS PBI Artículos'!$A:$A,'[1]DATOS PBI Artículos'!$AO:$AO))/(_xlfn.XLOOKUP($AL$1,[1]CRITERIOS!$S$16:$S$39,[1]CRITERIOS!$Y$16:$Y$39))*$J228+$Z228)))</f>
        <v/>
      </c>
    </row>
    <row r="229" spans="1:37" ht="25.8" x14ac:dyDescent="0.5">
      <c r="A229" s="32" t="s">
        <v>109</v>
      </c>
      <c r="B229" s="33">
        <f>_xlfn.XLOOKUP($A229,'[1]DATOS PBI Artículos'!A:A,'[1]DATOS PBI Artículos'!B:B)</f>
        <v>0</v>
      </c>
      <c r="C229" s="33" t="str">
        <f>_xlfn.XLOOKUP($A229,'[1]DATOS PBI Artículos'!A:A,'[1]DATOS PBI Artículos'!C:C)</f>
        <v>UA01</v>
      </c>
      <c r="D229" s="33">
        <f>_xlfn.XLOOKUP(A229,'[1]DATOS PBI Artículos'!A:A,'[1]DATOS PBI Artículos'!T:T)</f>
        <v>1</v>
      </c>
      <c r="E229" s="34">
        <f>IF(_xlfn.XLOOKUP($A229,'[1]DATOS PBI Artículos'!A:A,'[1]DATOS PBI Artículos'!AK:AK)="",_xlfn.XLOOKUP($A229,'[1]DATOS PBI Artículos'!A:A,'[1]DATOS PBI Artículos'!AJ:AJ),_xlfn.XLOOKUP($A229,'[1]DATOS PBI Artículos'!A:A,'[1]DATOS PBI Artículos'!AK:AK))</f>
        <v>4000</v>
      </c>
      <c r="F229" s="35">
        <f>_xlfn.XLOOKUP($A229,'[1]DATOS PBI Artículos'!A:A,'[1]DATOS PBI Artículos'!AP:AP)</f>
        <v>75</v>
      </c>
      <c r="G229" s="34">
        <f>_xlfn.XLOOKUP($A229,'[1]DATOS PBI Artículos'!A:A,'[1]DATOS PBI Artículos'!AR:AR)</f>
        <v>4000</v>
      </c>
      <c r="H229" s="34">
        <f>_xlfn.XLOOKUP($A229,'[1]DATOS PBI Artículos'!A:A,'[1]DATOS PBI Artículos'!AT:AT)</f>
        <v>0</v>
      </c>
      <c r="I229" s="34">
        <f>_xlfn.XLOOKUP($A229,'[1]DATOS PBI Artículos'!A:A,'[1]DATOS PBI Artículos'!AS:AS)</f>
        <v>4000</v>
      </c>
      <c r="J229" s="35">
        <f>IF(COUNTIF([1]CRITERIOS!$F$179:$F$199,$A229)&gt;=1,
 IF(O229&lt;&gt;"",
    (O229/_xlfn.XLOOKUP(CONCATENATE(A229,L229),[1]MÁQUINAS!A:A,[1]MÁQUINAS!D:D))/24,
    (N229/_xlfn.XLOOKUP(CONCATENATE(A229,L229),[1]MÁQUINAS!A:A,[1]MÁQUINAS!D:D))/24),
  _xlfn.XLOOKUP($A229,'[1]DATOS PBI Artículos'!A:A,'[1]DATOS PBI Artículos'!AU:AU))</f>
        <v>13</v>
      </c>
      <c r="K229" s="36">
        <f>_xlfn.XLOOKUP($A229,'[1]DATOS PBI Artículos'!A:A,'[1]DATOS PBI Artículos'!AV:AV)</f>
        <v>0</v>
      </c>
      <c r="L229" s="33">
        <f>_xlfn.XLOOKUP(A229,[1]MÁQUINAS!B:B,[1]MÁQUINAS!C:C)</f>
        <v>406</v>
      </c>
      <c r="M229" s="34">
        <f t="array" ref="M229">_xlfn.XLOOKUP(A229,'[1]DATOS PBI Artículos'!A:A,'[1]DATOS PBI Artículos'!AX:$AX)</f>
        <v>11369.968423987499</v>
      </c>
      <c r="N229" s="37">
        <f>IF(I229="DV",
E229,
IF(COUNTIF([1]CRITERIOS!$I$179:$I$199,$A229)&gt;=1,
_xlfn.XLOOKUP($A229,[1]CRITERIOS!$I$179:$I$199,[1]CRITERIOS!$J$179:$J$199),
IF(COUNTIF([1]CRITERIOS!$L$179:$L$199,$A229)&gt;=1,
_xlfn.CEILING.MATH(IF($M229&gt;$E229,
$E229,
IF($M229&lt;$E229/ROUNDDOWN([1]CRITERIOS!$M$16/_xlfn.XLOOKUP($C229,[1]CRITERIOS!$K$25:$K$42,[1]CRITERIOS!$M$25:$M$42),
1),
E229/ROUNDDOWN([1]CRITERIOS!$M$16/_xlfn.XLOOKUP($C229,[1]CRITERIOS!$K$25:$K$42,[1]CRITERIOS!$M$25:$M$42),
1),
$M229)),
_xlfn.XLOOKUP($A229,[1]CRITERIOS!$L$179:$L$200,[1]CRITERIOS!$M$179:$M$200)),
_xlfn.CEILING.MATH(IF($M229&gt;$E229,
$E229,
IF($M229&lt;$E229/ROUNDDOWN([1]CRITERIOS!$M$16/_xlfn.XLOOKUP($C229,[1]CRITERIOS!$K$25:$K$42,[1]CRITERIOS!$M$25:$M$42),
1),
E229/ROUNDDOWN([1]CRITERIOS!$M$16/_xlfn.XLOOKUP($C229,[1]CRITERIOS!$K$25:$K$42,[1]CRITERIOS!$M$25:$M$42),
1),
$M229)),_xlfn.XLOOKUP(A229,'[1]DATOS PBI Artículos'!A:A,'[1]DATOS PBI Artículos'!Z:Z
)))))</f>
        <v>4000</v>
      </c>
      <c r="Q229" s="38">
        <f>IF(AND(O229="",N229=0),
0,
   IF(COUNTIF([1]CRITERIOS!$F$179:$F$199,$A229)&gt;=1,
   1,
   IF(R229="MTO",
      $D229,
      ROUNDUP(
                    IF(($E229-SUMIF('[1]DATOS PBI Artículos'!A:A,A229,'[1]DATOS PBI Artículos'!X:X)+($V229-_xlfn.XLOOKUP(A229,'[1]DATOS PBI Artículos'!A:A,'[1]DATOS PBI Artículos'!W:W)))&lt;0,
                    0,
                    IF(($E229-SUMIF('[1]DATOS PBI Artículos'!A:A,A229,'[1]DATOS PBI Artículos'!X:X)+$V229-_xlfn.XLOOKUP($A229,'[1]DATOS PBI Artículos'!A:A,'[1]DATOS PBI Artículos'!W:W))/IF($O229="",$N229,$O229)&gt;ROUNDUP([1]CRITERIOS!$M$16/(IF(COUNTIF([1]CRITERIOS!$BG$11:$BG$201,L229)&gt;=1,_xlfn.XLOOKUP($C229,[1]CRITERIOS!$K$25:$K$42,[1]CRITERIOS!$M$25:$M$42),_xlfn.XLOOKUP($C229,[1]CRITERIOS!$K$25:$K$42,[1]CRITERIOS!$M$25:$M$42))),0),
                    ROUNDUP([1]CRITERIOS!$M$16/(IF(COUNTIF([1]CRITERIOS!$BG$11:$BG$201,$L229)&gt;=1,_xlfn.XLOOKUP($C229,[1]CRITERIOS!$K$25:$K$42,[1]CRITERIOS!$M$25:$M$42),_xlfn.XLOOKUP($C229,[1]CRITERIOS!$K$25:$K$42,[1]CRITERIOS!$M$25:$M$42))),0),
                    (E229+V229-SUMIF('[1]DATOS PBI Artículos'!A:A,A229,'[1]DATOS PBI Artículos'!X:X)-_xlfn.XLOOKUP(A229,'[1]DATOS PBI Artículos'!A:A,'[1]DATOS PBI Artículos'!W:W))/IF($O229="",$N229,$O229))),0))))</f>
        <v>1</v>
      </c>
      <c r="R229" s="33" t="str">
        <f>IF(U229&lt;&gt;"",U229,IF(F229="DV","MTO",IF(N229=0,"MTO",_xlfn.XLOOKUP(CONCATENATE(S229,T229),[1]CRITERIOS!$K$160:$K$168,[1]CRITERIOS!$N$160:$N$168))))</f>
        <v>MTO</v>
      </c>
      <c r="S229" s="33" t="str">
        <f>IF(G229="DV","MTO",IF(N229=0,"MTO",IF(OR(AND(N229=0,O229=""),IF(O229="",G229/N229,G229/O229)&gt;[1]CRITERIOS!$G$163),"MTO",IF(IF(O229="",G229/N229,G229/O229)&lt;[1]CRITERIOS!$H$161,"MTS","MTOS"))))</f>
        <v>MTO</v>
      </c>
      <c r="T229" s="33" t="str">
        <f>IF(F229="DV","MTO",IF(OR(AND($N229=0,O229=""),$F229/$J229&gt;[1]CRITERIOS!$G$170,$F229="DV"),"MTO",IF($F229/$J229&lt;[1]CRITERIOS!$H$168,"MTS","MTOS")))</f>
        <v>MTO</v>
      </c>
      <c r="V229" s="34" t="str">
        <f t="shared" si="13"/>
        <v/>
      </c>
      <c r="X229" s="34">
        <f t="shared" si="11"/>
        <v>0</v>
      </c>
      <c r="Y229" s="34">
        <f t="shared" si="12"/>
        <v>0</v>
      </c>
      <c r="Z229" s="34">
        <f>IF($R229="MTO",
0,
($H229+$K229*($E229/[1]CRITERIOS!$M$16))/[1]CRITERIOS!$X$48)</f>
        <v>0</v>
      </c>
      <c r="AA229" s="34" t="e">
        <f>ROUNDUP(($Y229/_xlfn.XLOOKUP($A229,'[1]DATOS PBI Artículos'!$A$4:$A$4,'[1]DATOS PBI Artículos'!$Z$4:$Z$4))/_xlfn.XLOOKUP(_xlfn.XLOOKUP($A229,'[1]DATOS PBI Artículos'!$A$4:$A$4,'[1]DATOS PBI Artículos'!$Y$4:$Y$4),[1]CRITERIOS!$P$79:$P$123,[1]CRITERIOS!$S$79:$S$123,),0)</f>
        <v>#N/A</v>
      </c>
      <c r="AB229" s="33" t="e">
        <f t="array" ref="AB229">IF((E229+V229-_xlfn.XLOOKUP(A229,'[1]DATOS PBI Artículos'!$A$4:$A$4,'[1]DATOS PBI Artículos'!$W$4:$W$4))/N229&gt;ROUNDUP([1]CRITERIOS!$M$16/(IF(COUNTIF([1]CRITERIOS!$BG$11:$BG$201,L229)&gt;=1,_xlfn.XLOOKUP(ARTÍCULOS!L229,[1]CRITERIOS!$BG$11:$BG$201,[1]CRITERIOS!$BJ$11:$BJ$201),_xlfn.XLOOKUP(ARTÍCULOS!C229,[1]CRITERIOS!$K$25:$K$42,[1]CRITERIOS!$M$25:$M$42))),0),ROUNDUP([1]CRITERIOS!$M$16/(IF(COUNTIF([1]CRITERIOS!$BG$11:$BG$201,L229)&gt;=1,_xlfn.XLOOKUP(ARTÍCULOS!L229,[1]CRITERIOS!$BG$11:$BG$201:#REF!,[1]CRITERIOS!$BJ$11:$BJ$201),_xlfn.XLOOKUP(ARTÍCULOS!C229,[1]CRITERIOS!$K$25:$K$42,[1]CRITERIOS!$M$25:$M$42))),0),(E229+V229-_xlfn.XLOOKUP(A229,'[1]DATOS PBI Artículos'!$A$4:$A$4,'[1]DATOS PBI Artículos'!$W$4:$W$4))/N229)</f>
        <v>#VALUE!</v>
      </c>
      <c r="AC229" s="33" t="e">
        <f>IF(N229=0,"",(ROUNDUP((N229/2)/(_xlfn.XLOOKUP(A229,'[1]DATOS PBI Artículos'!$A$4:$A$4,'[1]DATOS PBI Artículos'!$Z$4:$Z$4)*_xlfn.XLOOKUP(_xlfn.XLOOKUP(A229,'[1]DATOS PBI Artículos'!$A$4:$A$4,'[1]DATOS PBI Artículos'!$Y$4:$Y$4),[1]CRITERIOS!$P$79:$P$123,[1]CRITERIOS!$S$79:$S$123)),0)*[1]CRITERIOS!$M$80*([1]CRITERIOS!$M$110/[1]CRITERIOS!$M$86)+(_xlfn.XLOOKUP(A229,'[1]DATOS PBI Artículos'!$A$4:$A$4,'[1]DATOS PBI Artículos'!$AA$4:$AA$4)*([1]CRITERIOS!$M$95+[1]CRITERIOS!$M$98)))/N229)</f>
        <v>#N/A</v>
      </c>
      <c r="AD229" s="33" t="e">
        <f>IF(N229=0,"",(ROUNDUP((N229/2)/(_xlfn.XLOOKUP(A229,'[1]DATOS PBI Artículos'!$A$4:$A$4,'[1]DATOS PBI Artículos'!$Z$4:$Z$4)*_xlfn.XLOOKUP(_xlfn.XLOOKUP(A229,'[1]DATOS PBI Artículos'!$A$4:$A$4,'[1]DATOS PBI Artículos'!$Y$4:$Y$4),[1]CRITERIOS!$P$79:$P$123,[1]CRITERIOS!$S$79:$S$123)),0)*[1]CRITERIOS!$M$80*([1]CRITERIOS!$M$89*[1]CRITERIOS!$M$92)+((_xlfn.XLOOKUP(A229,'[1]DATOS PBI Artículos'!$A$4:$A$4,'[1]DATOS PBI Artículos'!$AA$4:$AA$4)/2)*([1]CRITERIOS!$M$95+[1]CRITERIOS!$M$98)))/N229)</f>
        <v>#N/A</v>
      </c>
      <c r="AE229" s="39" t="str">
        <f>IF($R229="MTO","",
IF($H229=0,ROUNDUP(((_xlfn.XLOOKUP($A229,'[1]DATOS PBI Artículos'!$A:$A,'[1]DATOS PBI Artículos'!$AL:$AL))/(_xlfn.XLOOKUP($AF$1,[1]CRITERIOS!$S$16:$S$39,[1]CRITERIOS!$Y$16:$Y$39))*$J229+$Z229)/$G229,0)*$G229,
((_xlfn.XLOOKUP($A229,'[1]DATOS PBI Artículos'!$A:$A,'[1]DATOS PBI Artículos'!$AL:$AL))/(_xlfn.XLOOKUP($AF$1,[1]CRITERIOS!$S$16:$S$39,[1]CRITERIOS!$Y$16:$Y$39))*$J229+$Z229)))</f>
        <v/>
      </c>
      <c r="AG229" s="39" t="str">
        <f>IF($R229="MTO","",
IF($H229=0,ROUNDUP(((_xlfn.XLOOKUP($A229,'[1]DATOS PBI Artículos'!$A:$A,'[1]DATOS PBI Artículos'!$AM:$AM))/(_xlfn.XLOOKUP($AH$1,[1]CRITERIOS!$S$16:$S$39,[1]CRITERIOS!$Y$16:$Y$39))*$J229+$Z229)/$G229,0)*$G229,
((_xlfn.XLOOKUP($A229,'[1]DATOS PBI Artículos'!$A:$A,'[1]DATOS PBI Artículos'!$AM:$AM))/(_xlfn.XLOOKUP($AH$1,[1]CRITERIOS!$S$16:$S$39,[1]CRITERIOS!$Y$16:$Y$39))*$J229+$Z229)))</f>
        <v/>
      </c>
      <c r="AI229" s="39" t="str">
        <f>IF($R229="MTO","",
IF($H229=0,ROUNDUP(((_xlfn.XLOOKUP($A229,'[1]DATOS PBI Artículos'!$A:$A,'[1]DATOS PBI Artículos'!$AN:$AN))/(_xlfn.XLOOKUP($AJ$1,[1]CRITERIOS!$S$16:$S$39,[1]CRITERIOS!$Y$16:$Y$39))*$J229+$Z229)/$G229,0)*$G229,
((_xlfn.XLOOKUP($A229,'[1]DATOS PBI Artículos'!$A:$A,'[1]DATOS PBI Artículos'!$AN:$AN))/(_xlfn.XLOOKUP($AJ$1,[1]CRITERIOS!$S$16:$S$39,[1]CRITERIOS!$Y$16:$Y$39))*$J229+$Z229)))</f>
        <v/>
      </c>
      <c r="AK229" s="39" t="str">
        <f>IF($R229="MTO","",
IF($H229=0,ROUNDUP(((_xlfn.XLOOKUP($A229,'[1]DATOS PBI Artículos'!$A:$A,'[1]DATOS PBI Artículos'!$AO:$AO))/(_xlfn.XLOOKUP($AL$1,[1]CRITERIOS!$S$16:$S$39,[1]CRITERIOS!$Y$16:$Y$39))*$J229+$Z229)/$G229,0)*$G229,
((_xlfn.XLOOKUP($A229,'[1]DATOS PBI Artículos'!$A:$A,'[1]DATOS PBI Artículos'!$AO:$AO))/(_xlfn.XLOOKUP($AL$1,[1]CRITERIOS!$S$16:$S$39,[1]CRITERIOS!$Y$16:$Y$39))*$J229+$Z229)))</f>
        <v/>
      </c>
    </row>
    <row r="230" spans="1:37" ht="25.8" x14ac:dyDescent="0.5">
      <c r="A230" s="32" t="s">
        <v>110</v>
      </c>
      <c r="B230" s="33">
        <f>_xlfn.XLOOKUP($A230,'[1]DATOS PBI Artículos'!A:A,'[1]DATOS PBI Artículos'!B:B)</f>
        <v>0</v>
      </c>
      <c r="C230" s="33" t="str">
        <f>_xlfn.XLOOKUP($A230,'[1]DATOS PBI Artículos'!A:A,'[1]DATOS PBI Artículos'!C:C)</f>
        <v>UA03</v>
      </c>
      <c r="D230" s="33">
        <f>_xlfn.XLOOKUP(A230,'[1]DATOS PBI Artículos'!A:A,'[1]DATOS PBI Artículos'!T:T)</f>
        <v>1</v>
      </c>
      <c r="E230" s="34">
        <f>IF(_xlfn.XLOOKUP($A230,'[1]DATOS PBI Artículos'!A:A,'[1]DATOS PBI Artículos'!AK:AK)="",_xlfn.XLOOKUP($A230,'[1]DATOS PBI Artículos'!A:A,'[1]DATOS PBI Artículos'!AJ:AJ),_xlfn.XLOOKUP($A230,'[1]DATOS PBI Artículos'!A:A,'[1]DATOS PBI Artículos'!AK:AK))</f>
        <v>4000</v>
      </c>
      <c r="F230" s="35">
        <f>_xlfn.XLOOKUP($A230,'[1]DATOS PBI Artículos'!A:A,'[1]DATOS PBI Artículos'!AP:AP)</f>
        <v>75</v>
      </c>
      <c r="G230" s="34">
        <f>_xlfn.XLOOKUP($A230,'[1]DATOS PBI Artículos'!A:A,'[1]DATOS PBI Artículos'!AR:AR)</f>
        <v>4000</v>
      </c>
      <c r="H230" s="34">
        <f>_xlfn.XLOOKUP($A230,'[1]DATOS PBI Artículos'!A:A,'[1]DATOS PBI Artículos'!AT:AT)</f>
        <v>0</v>
      </c>
      <c r="I230" s="34">
        <f>_xlfn.XLOOKUP($A230,'[1]DATOS PBI Artículos'!A:A,'[1]DATOS PBI Artículos'!AS:AS)</f>
        <v>4000</v>
      </c>
      <c r="J230" s="35">
        <f>IF(COUNTIF([1]CRITERIOS!$F$179:$F$199,$A230)&gt;=1,
 IF(O230&lt;&gt;"",
    (O230/_xlfn.XLOOKUP(CONCATENATE(A230,L230),[1]MÁQUINAS!A:A,[1]MÁQUINAS!D:D))/24,
    (N230/_xlfn.XLOOKUP(CONCATENATE(A230,L230),[1]MÁQUINAS!A:A,[1]MÁQUINAS!D:D))/24),
  _xlfn.XLOOKUP($A230,'[1]DATOS PBI Artículos'!A:A,'[1]DATOS PBI Artículos'!AU:AU))</f>
        <v>13</v>
      </c>
      <c r="K230" s="36">
        <f>_xlfn.XLOOKUP($A230,'[1]DATOS PBI Artículos'!A:A,'[1]DATOS PBI Artículos'!AV:AV)</f>
        <v>0.89442719099991586</v>
      </c>
      <c r="L230" s="33">
        <f>_xlfn.XLOOKUP(A230,[1]MÁQUINAS!B:B,[1]MÁQUINAS!C:C)</f>
        <v>142</v>
      </c>
      <c r="M230" s="34">
        <f t="array" ref="M230">_xlfn.XLOOKUP(A230,'[1]DATOS PBI Artículos'!A:A,'[1]DATOS PBI Artículos'!AX:$AX)</f>
        <v>7143.5455708989857</v>
      </c>
      <c r="N230" s="37">
        <f>IF(I230="DV",
E230,
IF(COUNTIF([1]CRITERIOS!$I$179:$I$199,$A230)&gt;=1,
_xlfn.XLOOKUP($A230,[1]CRITERIOS!$I$179:$I$199,[1]CRITERIOS!$J$179:$J$199),
IF(COUNTIF([1]CRITERIOS!$L$179:$L$199,$A230)&gt;=1,
_xlfn.CEILING.MATH(IF($M230&gt;$E230,
$E230,
IF($M230&lt;$E230/ROUNDDOWN([1]CRITERIOS!$M$16/_xlfn.XLOOKUP($C230,[1]CRITERIOS!$K$25:$K$42,[1]CRITERIOS!$M$25:$M$42),
1),
E230/ROUNDDOWN([1]CRITERIOS!$M$16/_xlfn.XLOOKUP($C230,[1]CRITERIOS!$K$25:$K$42,[1]CRITERIOS!$M$25:$M$42),
1),
$M230)),
_xlfn.XLOOKUP($A230,[1]CRITERIOS!$L$179:$L$200,[1]CRITERIOS!$M$179:$M$200)),
_xlfn.CEILING.MATH(IF($M230&gt;$E230,
$E230,
IF($M230&lt;$E230/ROUNDDOWN([1]CRITERIOS!$M$16/_xlfn.XLOOKUP($C230,[1]CRITERIOS!$K$25:$K$42,[1]CRITERIOS!$M$25:$M$42),
1),
E230/ROUNDDOWN([1]CRITERIOS!$M$16/_xlfn.XLOOKUP($C230,[1]CRITERIOS!$K$25:$K$42,[1]CRITERIOS!$M$25:$M$42),
1),
$M230)),_xlfn.XLOOKUP(A230,'[1]DATOS PBI Artículos'!A:A,'[1]DATOS PBI Artículos'!Z:Z
)))))</f>
        <v>4000</v>
      </c>
      <c r="Q230" s="38">
        <f>IF(AND(O230="",N230=0),
0,
   IF(COUNTIF([1]CRITERIOS!$F$179:$F$199,$A230)&gt;=1,
   1,
   IF(R230="MTO",
      $D230,
      ROUNDUP(
                    IF(($E230-SUMIF('[1]DATOS PBI Artículos'!A:A,A230,'[1]DATOS PBI Artículos'!X:X)+($V230-_xlfn.XLOOKUP(A230,'[1]DATOS PBI Artículos'!A:A,'[1]DATOS PBI Artículos'!W:W)))&lt;0,
                    0,
                    IF(($E230-SUMIF('[1]DATOS PBI Artículos'!A:A,A230,'[1]DATOS PBI Artículos'!X:X)+$V230-_xlfn.XLOOKUP($A230,'[1]DATOS PBI Artículos'!A:A,'[1]DATOS PBI Artículos'!W:W))/IF($O230="",$N230,$O230)&gt;ROUNDUP([1]CRITERIOS!$M$16/(IF(COUNTIF([1]CRITERIOS!$BG$11:$BG$201,L230)&gt;=1,_xlfn.XLOOKUP($C230,[1]CRITERIOS!$K$25:$K$42,[1]CRITERIOS!$M$25:$M$42),_xlfn.XLOOKUP($C230,[1]CRITERIOS!$K$25:$K$42,[1]CRITERIOS!$M$25:$M$42))),0),
                    ROUNDUP([1]CRITERIOS!$M$16/(IF(COUNTIF([1]CRITERIOS!$BG$11:$BG$201,$L230)&gt;=1,_xlfn.XLOOKUP($C230,[1]CRITERIOS!$K$25:$K$42,[1]CRITERIOS!$M$25:$M$42),_xlfn.XLOOKUP($C230,[1]CRITERIOS!$K$25:$K$42,[1]CRITERIOS!$M$25:$M$42))),0),
                    (E230+V230-SUMIF('[1]DATOS PBI Artículos'!A:A,A230,'[1]DATOS PBI Artículos'!X:X)-_xlfn.XLOOKUP(A230,'[1]DATOS PBI Artículos'!A:A,'[1]DATOS PBI Artículos'!W:W))/IF($O230="",$N230,$O230))),0))))</f>
        <v>1</v>
      </c>
      <c r="R230" s="33" t="str">
        <f>IF(U230&lt;&gt;"",U230,IF(F230="DV","MTO",IF(N230=0,"MTO",_xlfn.XLOOKUP(CONCATENATE(S230,T230),[1]CRITERIOS!$K$160:$K$168,[1]CRITERIOS!$N$160:$N$168))))</f>
        <v>MTO</v>
      </c>
      <c r="S230" s="33" t="str">
        <f>IF(G230="DV","MTO",IF(N230=0,"MTO",IF(OR(AND(N230=0,O230=""),IF(O230="",G230/N230,G230/O230)&gt;[1]CRITERIOS!$G$163),"MTO",IF(IF(O230="",G230/N230,G230/O230)&lt;[1]CRITERIOS!$H$161,"MTS","MTOS"))))</f>
        <v>MTO</v>
      </c>
      <c r="T230" s="33" t="str">
        <f>IF(F230="DV","MTO",IF(OR(AND($N230=0,O230=""),$F230/$J230&gt;[1]CRITERIOS!$G$170,$F230="DV"),"MTO",IF($F230/$J230&lt;[1]CRITERIOS!$H$168,"MTS","MTOS")))</f>
        <v>MTO</v>
      </c>
      <c r="V230" s="34" t="str">
        <f t="shared" si="13"/>
        <v/>
      </c>
      <c r="X230" s="34">
        <f t="shared" si="11"/>
        <v>0</v>
      </c>
      <c r="Y230" s="34">
        <f t="shared" si="12"/>
        <v>0</v>
      </c>
      <c r="Z230" s="34">
        <f>IF($R230="MTO",
0,
($H230+$K230*($E230/[1]CRITERIOS!$M$16))/[1]CRITERIOS!$X$48)</f>
        <v>0</v>
      </c>
      <c r="AA230" s="34" t="e">
        <f>ROUNDUP(($Y230/_xlfn.XLOOKUP($A230,'[1]DATOS PBI Artículos'!$A$4:$A$4,'[1]DATOS PBI Artículos'!$Z$4:$Z$4))/_xlfn.XLOOKUP(_xlfn.XLOOKUP($A230,'[1]DATOS PBI Artículos'!$A$4:$A$4,'[1]DATOS PBI Artículos'!$Y$4:$Y$4),[1]CRITERIOS!$P$79:$P$123,[1]CRITERIOS!$S$79:$S$123,),0)</f>
        <v>#N/A</v>
      </c>
      <c r="AB230" s="33" t="e">
        <f t="array" ref="AB230">IF((E230+V230-_xlfn.XLOOKUP(A230,'[1]DATOS PBI Artículos'!$A$4:$A$4,'[1]DATOS PBI Artículos'!$W$4:$W$4))/N230&gt;ROUNDUP([1]CRITERIOS!$M$16/(IF(COUNTIF([1]CRITERIOS!$BG$11:$BG$201,L230)&gt;=1,_xlfn.XLOOKUP(ARTÍCULOS!L230,[1]CRITERIOS!$BG$11:$BG$201,[1]CRITERIOS!$BJ$11:$BJ$201),_xlfn.XLOOKUP(ARTÍCULOS!C230,[1]CRITERIOS!$K$25:$K$42,[1]CRITERIOS!$M$25:$M$42))),0),ROUNDUP([1]CRITERIOS!$M$16/(IF(COUNTIF([1]CRITERIOS!$BG$11:$BG$201,L230)&gt;=1,_xlfn.XLOOKUP(ARTÍCULOS!L230,[1]CRITERIOS!$BG$11:$BG$201:#REF!,[1]CRITERIOS!$BJ$11:$BJ$201),_xlfn.XLOOKUP(ARTÍCULOS!C230,[1]CRITERIOS!$K$25:$K$42,[1]CRITERIOS!$M$25:$M$42))),0),(E230+V230-_xlfn.XLOOKUP(A230,'[1]DATOS PBI Artículos'!$A$4:$A$4,'[1]DATOS PBI Artículos'!$W$4:$W$4))/N230)</f>
        <v>#VALUE!</v>
      </c>
      <c r="AC230" s="33" t="e">
        <f>IF(N230=0,"",(ROUNDUP((N230/2)/(_xlfn.XLOOKUP(A230,'[1]DATOS PBI Artículos'!$A$4:$A$4,'[1]DATOS PBI Artículos'!$Z$4:$Z$4)*_xlfn.XLOOKUP(_xlfn.XLOOKUP(A230,'[1]DATOS PBI Artículos'!$A$4:$A$4,'[1]DATOS PBI Artículos'!$Y$4:$Y$4),[1]CRITERIOS!$P$79:$P$123,[1]CRITERIOS!$S$79:$S$123)),0)*[1]CRITERIOS!$M$80*([1]CRITERIOS!$M$110/[1]CRITERIOS!$M$86)+(_xlfn.XLOOKUP(A230,'[1]DATOS PBI Artículos'!$A$4:$A$4,'[1]DATOS PBI Artículos'!$AA$4:$AA$4)*([1]CRITERIOS!$M$95+[1]CRITERIOS!$M$98)))/N230)</f>
        <v>#N/A</v>
      </c>
      <c r="AD230" s="33" t="e">
        <f>IF(N230=0,"",(ROUNDUP((N230/2)/(_xlfn.XLOOKUP(A230,'[1]DATOS PBI Artículos'!$A$4:$A$4,'[1]DATOS PBI Artículos'!$Z$4:$Z$4)*_xlfn.XLOOKUP(_xlfn.XLOOKUP(A230,'[1]DATOS PBI Artículos'!$A$4:$A$4,'[1]DATOS PBI Artículos'!$Y$4:$Y$4),[1]CRITERIOS!$P$79:$P$123,[1]CRITERIOS!$S$79:$S$123)),0)*[1]CRITERIOS!$M$80*([1]CRITERIOS!$M$89*[1]CRITERIOS!$M$92)+((_xlfn.XLOOKUP(A230,'[1]DATOS PBI Artículos'!$A$4:$A$4,'[1]DATOS PBI Artículos'!$AA$4:$AA$4)/2)*([1]CRITERIOS!$M$95+[1]CRITERIOS!$M$98)))/N230)</f>
        <v>#N/A</v>
      </c>
      <c r="AE230" s="39" t="str">
        <f>IF($R230="MTO","",
IF($H230=0,ROUNDUP(((_xlfn.XLOOKUP($A230,'[1]DATOS PBI Artículos'!$A:$A,'[1]DATOS PBI Artículos'!$AL:$AL))/(_xlfn.XLOOKUP($AF$1,[1]CRITERIOS!$S$16:$S$39,[1]CRITERIOS!$Y$16:$Y$39))*$J230+$Z230)/$G230,0)*$G230,
((_xlfn.XLOOKUP($A230,'[1]DATOS PBI Artículos'!$A:$A,'[1]DATOS PBI Artículos'!$AL:$AL))/(_xlfn.XLOOKUP($AF$1,[1]CRITERIOS!$S$16:$S$39,[1]CRITERIOS!$Y$16:$Y$39))*$J230+$Z230)))</f>
        <v/>
      </c>
      <c r="AG230" s="39" t="str">
        <f>IF($R230="MTO","",
IF($H230=0,ROUNDUP(((_xlfn.XLOOKUP($A230,'[1]DATOS PBI Artículos'!$A:$A,'[1]DATOS PBI Artículos'!$AM:$AM))/(_xlfn.XLOOKUP($AH$1,[1]CRITERIOS!$S$16:$S$39,[1]CRITERIOS!$Y$16:$Y$39))*$J230+$Z230)/$G230,0)*$G230,
((_xlfn.XLOOKUP($A230,'[1]DATOS PBI Artículos'!$A:$A,'[1]DATOS PBI Artículos'!$AM:$AM))/(_xlfn.XLOOKUP($AH$1,[1]CRITERIOS!$S$16:$S$39,[1]CRITERIOS!$Y$16:$Y$39))*$J230+$Z230)))</f>
        <v/>
      </c>
      <c r="AI230" s="39" t="str">
        <f>IF($R230="MTO","",
IF($H230=0,ROUNDUP(((_xlfn.XLOOKUP($A230,'[1]DATOS PBI Artículos'!$A:$A,'[1]DATOS PBI Artículos'!$AN:$AN))/(_xlfn.XLOOKUP($AJ$1,[1]CRITERIOS!$S$16:$S$39,[1]CRITERIOS!$Y$16:$Y$39))*$J230+$Z230)/$G230,0)*$G230,
((_xlfn.XLOOKUP($A230,'[1]DATOS PBI Artículos'!$A:$A,'[1]DATOS PBI Artículos'!$AN:$AN))/(_xlfn.XLOOKUP($AJ$1,[1]CRITERIOS!$S$16:$S$39,[1]CRITERIOS!$Y$16:$Y$39))*$J230+$Z230)))</f>
        <v/>
      </c>
      <c r="AK230" s="39" t="str">
        <f>IF($R230="MTO","",
IF($H230=0,ROUNDUP(((_xlfn.XLOOKUP($A230,'[1]DATOS PBI Artículos'!$A:$A,'[1]DATOS PBI Artículos'!$AO:$AO))/(_xlfn.XLOOKUP($AL$1,[1]CRITERIOS!$S$16:$S$39,[1]CRITERIOS!$Y$16:$Y$39))*$J230+$Z230)/$G230,0)*$G230,
((_xlfn.XLOOKUP($A230,'[1]DATOS PBI Artículos'!$A:$A,'[1]DATOS PBI Artículos'!$AO:$AO))/(_xlfn.XLOOKUP($AL$1,[1]CRITERIOS!$S$16:$S$39,[1]CRITERIOS!$Y$16:$Y$39))*$J230+$Z230)))</f>
        <v/>
      </c>
    </row>
    <row r="231" spans="1:37" ht="25.8" x14ac:dyDescent="0.5">
      <c r="A231" s="32" t="s">
        <v>111</v>
      </c>
      <c r="B231" s="33">
        <f>_xlfn.XLOOKUP($A231,'[1]DATOS PBI Artículos'!A:A,'[1]DATOS PBI Artículos'!B:B)</f>
        <v>0</v>
      </c>
      <c r="C231" s="33" t="str">
        <f>_xlfn.XLOOKUP($A231,'[1]DATOS PBI Artículos'!A:A,'[1]DATOS PBI Artículos'!C:C)</f>
        <v>UA03</v>
      </c>
      <c r="D231" s="33">
        <f>_xlfn.XLOOKUP(A231,'[1]DATOS PBI Artículos'!A:A,'[1]DATOS PBI Artículos'!T:T)</f>
        <v>1</v>
      </c>
      <c r="E231" s="34">
        <f>IF(_xlfn.XLOOKUP($A231,'[1]DATOS PBI Artículos'!A:A,'[1]DATOS PBI Artículos'!AK:AK)="",_xlfn.XLOOKUP($A231,'[1]DATOS PBI Artículos'!A:A,'[1]DATOS PBI Artículos'!AJ:AJ),_xlfn.XLOOKUP($A231,'[1]DATOS PBI Artículos'!A:A,'[1]DATOS PBI Artículos'!AK:AK))</f>
        <v>3000</v>
      </c>
      <c r="F231" s="35">
        <f>_xlfn.XLOOKUP($A231,'[1]DATOS PBI Artículos'!A:A,'[1]DATOS PBI Artículos'!AP:AP)</f>
        <v>75</v>
      </c>
      <c r="G231" s="34">
        <f>_xlfn.XLOOKUP($A231,'[1]DATOS PBI Artículos'!A:A,'[1]DATOS PBI Artículos'!AR:AR)</f>
        <v>3000</v>
      </c>
      <c r="H231" s="34">
        <f>_xlfn.XLOOKUP($A231,'[1]DATOS PBI Artículos'!A:A,'[1]DATOS PBI Artículos'!AT:AT)</f>
        <v>0</v>
      </c>
      <c r="I231" s="34">
        <f>_xlfn.XLOOKUP($A231,'[1]DATOS PBI Artículos'!A:A,'[1]DATOS PBI Artículos'!AS:AS)</f>
        <v>3000</v>
      </c>
      <c r="J231" s="35">
        <f>IF(COUNTIF([1]CRITERIOS!$F$179:$F$199,$A231)&gt;=1,
 IF(O231&lt;&gt;"",
    (O231/_xlfn.XLOOKUP(CONCATENATE(A231,L231),[1]MÁQUINAS!A:A,[1]MÁQUINAS!D:D))/24,
    (N231/_xlfn.XLOOKUP(CONCATENATE(A231,L231),[1]MÁQUINAS!A:A,[1]MÁQUINAS!D:D))/24),
  _xlfn.XLOOKUP($A231,'[1]DATOS PBI Artículos'!A:A,'[1]DATOS PBI Artículos'!AU:AU))</f>
        <v>13.5</v>
      </c>
      <c r="K231" s="36">
        <f>_xlfn.XLOOKUP($A231,'[1]DATOS PBI Artículos'!A:A,'[1]DATOS PBI Artículos'!AV:AV)</f>
        <v>2.1213203435596424</v>
      </c>
      <c r="L231" s="33">
        <f>_xlfn.XLOOKUP(A231,[1]MÁQUINAS!B:B,[1]MÁQUINAS!C:C)</f>
        <v>136</v>
      </c>
      <c r="M231" s="34">
        <f t="array" ref="M231">_xlfn.XLOOKUP(A231,'[1]DATOS PBI Artículos'!A:A,'[1]DATOS PBI Artículos'!AX:$AX)</f>
        <v>4630.0663915708019</v>
      </c>
      <c r="N231" s="37">
        <f>IF(I231="DV",
E231,
IF(COUNTIF([1]CRITERIOS!$I$179:$I$199,$A231)&gt;=1,
_xlfn.XLOOKUP($A231,[1]CRITERIOS!$I$179:$I$199,[1]CRITERIOS!$J$179:$J$199),
IF(COUNTIF([1]CRITERIOS!$L$179:$L$199,$A231)&gt;=1,
_xlfn.CEILING.MATH(IF($M231&gt;$E231,
$E231,
IF($M231&lt;$E231/ROUNDDOWN([1]CRITERIOS!$M$16/_xlfn.XLOOKUP($C231,[1]CRITERIOS!$K$25:$K$42,[1]CRITERIOS!$M$25:$M$42),
1),
E231/ROUNDDOWN([1]CRITERIOS!$M$16/_xlfn.XLOOKUP($C231,[1]CRITERIOS!$K$25:$K$42,[1]CRITERIOS!$M$25:$M$42),
1),
$M231)),
_xlfn.XLOOKUP($A231,[1]CRITERIOS!$L$179:$L$200,[1]CRITERIOS!$M$179:$M$200)),
_xlfn.CEILING.MATH(IF($M231&gt;$E231,
$E231,
IF($M231&lt;$E231/ROUNDDOWN([1]CRITERIOS!$M$16/_xlfn.XLOOKUP($C231,[1]CRITERIOS!$K$25:$K$42,[1]CRITERIOS!$M$25:$M$42),
1),
E231/ROUNDDOWN([1]CRITERIOS!$M$16/_xlfn.XLOOKUP($C231,[1]CRITERIOS!$K$25:$K$42,[1]CRITERIOS!$M$25:$M$42),
1),
$M231)),_xlfn.XLOOKUP(A231,'[1]DATOS PBI Artículos'!A:A,'[1]DATOS PBI Artículos'!Z:Z
)))))</f>
        <v>3000</v>
      </c>
      <c r="Q231" s="38">
        <f>IF(AND(O231="",N231=0),
0,
   IF(COUNTIF([1]CRITERIOS!$F$179:$F$199,$A231)&gt;=1,
   1,
   IF(R231="MTO",
      $D231,
      ROUNDUP(
                    IF(($E231-SUMIF('[1]DATOS PBI Artículos'!A:A,A231,'[1]DATOS PBI Artículos'!X:X)+($V231-_xlfn.XLOOKUP(A231,'[1]DATOS PBI Artículos'!A:A,'[1]DATOS PBI Artículos'!W:W)))&lt;0,
                    0,
                    IF(($E231-SUMIF('[1]DATOS PBI Artículos'!A:A,A231,'[1]DATOS PBI Artículos'!X:X)+$V231-_xlfn.XLOOKUP($A231,'[1]DATOS PBI Artículos'!A:A,'[1]DATOS PBI Artículos'!W:W))/IF($O231="",$N231,$O231)&gt;ROUNDUP([1]CRITERIOS!$M$16/(IF(COUNTIF([1]CRITERIOS!$BG$11:$BG$201,L231)&gt;=1,_xlfn.XLOOKUP($C231,[1]CRITERIOS!$K$25:$K$42,[1]CRITERIOS!$M$25:$M$42),_xlfn.XLOOKUP($C231,[1]CRITERIOS!$K$25:$K$42,[1]CRITERIOS!$M$25:$M$42))),0),
                    ROUNDUP([1]CRITERIOS!$M$16/(IF(COUNTIF([1]CRITERIOS!$BG$11:$BG$201,$L231)&gt;=1,_xlfn.XLOOKUP($C231,[1]CRITERIOS!$K$25:$K$42,[1]CRITERIOS!$M$25:$M$42),_xlfn.XLOOKUP($C231,[1]CRITERIOS!$K$25:$K$42,[1]CRITERIOS!$M$25:$M$42))),0),
                    (E231+V231-SUMIF('[1]DATOS PBI Artículos'!A:A,A231,'[1]DATOS PBI Artículos'!X:X)-_xlfn.XLOOKUP(A231,'[1]DATOS PBI Artículos'!A:A,'[1]DATOS PBI Artículos'!W:W))/IF($O231="",$N231,$O231))),0))))</f>
        <v>1</v>
      </c>
      <c r="R231" s="33" t="str">
        <f>IF(U231&lt;&gt;"",U231,IF(F231="DV","MTO",IF(N231=0,"MTO",_xlfn.XLOOKUP(CONCATENATE(S231,T231),[1]CRITERIOS!$K$160:$K$168,[1]CRITERIOS!$N$160:$N$168))))</f>
        <v>MTO</v>
      </c>
      <c r="S231" s="33" t="str">
        <f>IF(G231="DV","MTO",IF(N231=0,"MTO",IF(OR(AND(N231=0,O231=""),IF(O231="",G231/N231,G231/O231)&gt;[1]CRITERIOS!$G$163),"MTO",IF(IF(O231="",G231/N231,G231/O231)&lt;[1]CRITERIOS!$H$161,"MTS","MTOS"))))</f>
        <v>MTO</v>
      </c>
      <c r="T231" s="33" t="str">
        <f>IF(F231="DV","MTO",IF(OR(AND($N231=0,O231=""),$F231/$J231&gt;[1]CRITERIOS!$G$170,$F231="DV"),"MTO",IF($F231/$J231&lt;[1]CRITERIOS!$H$168,"MTS","MTOS")))</f>
        <v>MTO</v>
      </c>
      <c r="V231" s="34" t="str">
        <f t="shared" si="13"/>
        <v/>
      </c>
      <c r="X231" s="34">
        <f t="shared" si="11"/>
        <v>0</v>
      </c>
      <c r="Y231" s="34">
        <f t="shared" si="12"/>
        <v>0</v>
      </c>
      <c r="Z231" s="34">
        <f>IF($R231="MTO",
0,
($H231+$K231*($E231/[1]CRITERIOS!$M$16))/[1]CRITERIOS!$X$48)</f>
        <v>0</v>
      </c>
      <c r="AA231" s="34" t="e">
        <f>ROUNDUP(($Y231/_xlfn.XLOOKUP($A231,'[1]DATOS PBI Artículos'!$A$4:$A$4,'[1]DATOS PBI Artículos'!$Z$4:$Z$4))/_xlfn.XLOOKUP(_xlfn.XLOOKUP($A231,'[1]DATOS PBI Artículos'!$A$4:$A$4,'[1]DATOS PBI Artículos'!$Y$4:$Y$4),[1]CRITERIOS!$P$79:$P$123,[1]CRITERIOS!$S$79:$S$123,),0)</f>
        <v>#N/A</v>
      </c>
      <c r="AB231" s="33" t="e">
        <f t="array" ref="AB231">IF((E231+V231-_xlfn.XLOOKUP(A231,'[1]DATOS PBI Artículos'!$A$4:$A$4,'[1]DATOS PBI Artículos'!$W$4:$W$4))/N231&gt;ROUNDUP([1]CRITERIOS!$M$16/(IF(COUNTIF([1]CRITERIOS!$BG$11:$BG$201,L231)&gt;=1,_xlfn.XLOOKUP(ARTÍCULOS!L231,[1]CRITERIOS!$BG$11:$BG$201,[1]CRITERIOS!$BJ$11:$BJ$201),_xlfn.XLOOKUP(ARTÍCULOS!C231,[1]CRITERIOS!$K$25:$K$42,[1]CRITERIOS!$M$25:$M$42))),0),ROUNDUP([1]CRITERIOS!$M$16/(IF(COUNTIF([1]CRITERIOS!$BG$11:$BG$201,L231)&gt;=1,_xlfn.XLOOKUP(ARTÍCULOS!L231,[1]CRITERIOS!$BG$11:$BG$201:#REF!,[1]CRITERIOS!$BJ$11:$BJ$201),_xlfn.XLOOKUP(ARTÍCULOS!C231,[1]CRITERIOS!$K$25:$K$42,[1]CRITERIOS!$M$25:$M$42))),0),(E231+V231-_xlfn.XLOOKUP(A231,'[1]DATOS PBI Artículos'!$A$4:$A$4,'[1]DATOS PBI Artículos'!$W$4:$W$4))/N231)</f>
        <v>#VALUE!</v>
      </c>
      <c r="AC231" s="33" t="e">
        <f>IF(N231=0,"",(ROUNDUP((N231/2)/(_xlfn.XLOOKUP(A231,'[1]DATOS PBI Artículos'!$A$4:$A$4,'[1]DATOS PBI Artículos'!$Z$4:$Z$4)*_xlfn.XLOOKUP(_xlfn.XLOOKUP(A231,'[1]DATOS PBI Artículos'!$A$4:$A$4,'[1]DATOS PBI Artículos'!$Y$4:$Y$4),[1]CRITERIOS!$P$79:$P$123,[1]CRITERIOS!$S$79:$S$123)),0)*[1]CRITERIOS!$M$80*([1]CRITERIOS!$M$110/[1]CRITERIOS!$M$86)+(_xlfn.XLOOKUP(A231,'[1]DATOS PBI Artículos'!$A$4:$A$4,'[1]DATOS PBI Artículos'!$AA$4:$AA$4)*([1]CRITERIOS!$M$95+[1]CRITERIOS!$M$98)))/N231)</f>
        <v>#N/A</v>
      </c>
      <c r="AD231" s="33" t="e">
        <f>IF(N231=0,"",(ROUNDUP((N231/2)/(_xlfn.XLOOKUP(A231,'[1]DATOS PBI Artículos'!$A$4:$A$4,'[1]DATOS PBI Artículos'!$Z$4:$Z$4)*_xlfn.XLOOKUP(_xlfn.XLOOKUP(A231,'[1]DATOS PBI Artículos'!$A$4:$A$4,'[1]DATOS PBI Artículos'!$Y$4:$Y$4),[1]CRITERIOS!$P$79:$P$123,[1]CRITERIOS!$S$79:$S$123)),0)*[1]CRITERIOS!$M$80*([1]CRITERIOS!$M$89*[1]CRITERIOS!$M$92)+((_xlfn.XLOOKUP(A231,'[1]DATOS PBI Artículos'!$A$4:$A$4,'[1]DATOS PBI Artículos'!$AA$4:$AA$4)/2)*([1]CRITERIOS!$M$95+[1]CRITERIOS!$M$98)))/N231)</f>
        <v>#N/A</v>
      </c>
      <c r="AE231" s="39" t="str">
        <f>IF($R231="MTO","",
IF($H231=0,ROUNDUP(((_xlfn.XLOOKUP($A231,'[1]DATOS PBI Artículos'!$A:$A,'[1]DATOS PBI Artículos'!$AL:$AL))/(_xlfn.XLOOKUP($AF$1,[1]CRITERIOS!$S$16:$S$39,[1]CRITERIOS!$Y$16:$Y$39))*$J231+$Z231)/$G231,0)*$G231,
((_xlfn.XLOOKUP($A231,'[1]DATOS PBI Artículos'!$A:$A,'[1]DATOS PBI Artículos'!$AL:$AL))/(_xlfn.XLOOKUP($AF$1,[1]CRITERIOS!$S$16:$S$39,[1]CRITERIOS!$Y$16:$Y$39))*$J231+$Z231)))</f>
        <v/>
      </c>
      <c r="AG231" s="39" t="str">
        <f>IF($R231="MTO","",
IF($H231=0,ROUNDUP(((_xlfn.XLOOKUP($A231,'[1]DATOS PBI Artículos'!$A:$A,'[1]DATOS PBI Artículos'!$AM:$AM))/(_xlfn.XLOOKUP($AH$1,[1]CRITERIOS!$S$16:$S$39,[1]CRITERIOS!$Y$16:$Y$39))*$J231+$Z231)/$G231,0)*$G231,
((_xlfn.XLOOKUP($A231,'[1]DATOS PBI Artículos'!$A:$A,'[1]DATOS PBI Artículos'!$AM:$AM))/(_xlfn.XLOOKUP($AH$1,[1]CRITERIOS!$S$16:$S$39,[1]CRITERIOS!$Y$16:$Y$39))*$J231+$Z231)))</f>
        <v/>
      </c>
      <c r="AI231" s="39" t="str">
        <f>IF($R231="MTO","",
IF($H231=0,ROUNDUP(((_xlfn.XLOOKUP($A231,'[1]DATOS PBI Artículos'!$A:$A,'[1]DATOS PBI Artículos'!$AN:$AN))/(_xlfn.XLOOKUP($AJ$1,[1]CRITERIOS!$S$16:$S$39,[1]CRITERIOS!$Y$16:$Y$39))*$J231+$Z231)/$G231,0)*$G231,
((_xlfn.XLOOKUP($A231,'[1]DATOS PBI Artículos'!$A:$A,'[1]DATOS PBI Artículos'!$AN:$AN))/(_xlfn.XLOOKUP($AJ$1,[1]CRITERIOS!$S$16:$S$39,[1]CRITERIOS!$Y$16:$Y$39))*$J231+$Z231)))</f>
        <v/>
      </c>
      <c r="AK231" s="39" t="str">
        <f>IF($R231="MTO","",
IF($H231=0,ROUNDUP(((_xlfn.XLOOKUP($A231,'[1]DATOS PBI Artículos'!$A:$A,'[1]DATOS PBI Artículos'!$AO:$AO))/(_xlfn.XLOOKUP($AL$1,[1]CRITERIOS!$S$16:$S$39,[1]CRITERIOS!$Y$16:$Y$39))*$J231+$Z231)/$G231,0)*$G231,
((_xlfn.XLOOKUP($A231,'[1]DATOS PBI Artículos'!$A:$A,'[1]DATOS PBI Artículos'!$AO:$AO))/(_xlfn.XLOOKUP($AL$1,[1]CRITERIOS!$S$16:$S$39,[1]CRITERIOS!$Y$16:$Y$39))*$J231+$Z231)))</f>
        <v/>
      </c>
    </row>
    <row r="232" spans="1:37" ht="25.8" x14ac:dyDescent="0.5">
      <c r="A232" s="32" t="s">
        <v>112</v>
      </c>
      <c r="B232" s="33">
        <f>_xlfn.XLOOKUP($A232,'[1]DATOS PBI Artículos'!A:A,'[1]DATOS PBI Artículos'!B:B)</f>
        <v>0</v>
      </c>
      <c r="C232" s="33" t="str">
        <f>_xlfn.XLOOKUP($A232,'[1]DATOS PBI Artículos'!A:A,'[1]DATOS PBI Artículos'!C:C)</f>
        <v>UA05</v>
      </c>
      <c r="D232" s="33">
        <f>_xlfn.XLOOKUP(A232,'[1]DATOS PBI Artículos'!A:A,'[1]DATOS PBI Artículos'!T:T)</f>
        <v>1</v>
      </c>
      <c r="E232" s="34">
        <f>IF(_xlfn.XLOOKUP($A232,'[1]DATOS PBI Artículos'!A:A,'[1]DATOS PBI Artículos'!AK:AK)="",_xlfn.XLOOKUP($A232,'[1]DATOS PBI Artículos'!A:A,'[1]DATOS PBI Artículos'!AJ:AJ),_xlfn.XLOOKUP($A232,'[1]DATOS PBI Artículos'!A:A,'[1]DATOS PBI Artículos'!AK:AK))</f>
        <v>2500</v>
      </c>
      <c r="F232" s="35">
        <f>_xlfn.XLOOKUP($A232,'[1]DATOS PBI Artículos'!A:A,'[1]DATOS PBI Artículos'!AP:AP)</f>
        <v>75</v>
      </c>
      <c r="G232" s="34">
        <f>_xlfn.XLOOKUP($A232,'[1]DATOS PBI Artículos'!A:A,'[1]DATOS PBI Artículos'!AR:AR)</f>
        <v>2500</v>
      </c>
      <c r="H232" s="34">
        <f>_xlfn.XLOOKUP($A232,'[1]DATOS PBI Artículos'!A:A,'[1]DATOS PBI Artículos'!AT:AT)</f>
        <v>0</v>
      </c>
      <c r="I232" s="34">
        <f>_xlfn.XLOOKUP($A232,'[1]DATOS PBI Artículos'!A:A,'[1]DATOS PBI Artículos'!AS:AS)</f>
        <v>2500</v>
      </c>
      <c r="J232" s="35">
        <f>IF(COUNTIF([1]CRITERIOS!$F$179:$F$199,$A232)&gt;=1,
 IF(O232&lt;&gt;"",
    (O232/_xlfn.XLOOKUP(CONCATENATE(A232,L232),[1]MÁQUINAS!A:A,[1]MÁQUINAS!D:D))/24,
    (N232/_xlfn.XLOOKUP(CONCATENATE(A232,L232),[1]MÁQUINAS!A:A,[1]MÁQUINAS!D:D))/24),
  _xlfn.XLOOKUP($A232,'[1]DATOS PBI Artículos'!A:A,'[1]DATOS PBI Artículos'!AU:AU))</f>
        <v>0.5</v>
      </c>
      <c r="K232" s="36">
        <f>_xlfn.XLOOKUP($A232,'[1]DATOS PBI Artículos'!A:A,'[1]DATOS PBI Artículos'!AV:AV)</f>
        <v>0</v>
      </c>
      <c r="L232" s="33">
        <f>_xlfn.XLOOKUP(A232,[1]MÁQUINAS!B:B,[1]MÁQUINAS!C:C)</f>
        <v>799</v>
      </c>
      <c r="M232" s="34" t="e">
        <f t="array" ref="M232">_xlfn.XLOOKUP(A232,'[1]DATOS PBI Artículos'!A:A,'[1]DATOS PBI Artículos'!AX:$AX)</f>
        <v>#VALUE!</v>
      </c>
      <c r="N232" s="37" t="e">
        <f>IF(I232="DV",
E232,
IF(COUNTIF([1]CRITERIOS!$I$179:$I$199,$A232)&gt;=1,
_xlfn.XLOOKUP($A232,[1]CRITERIOS!$I$179:$I$199,[1]CRITERIOS!$J$179:$J$199),
IF(COUNTIF([1]CRITERIOS!$L$179:$L$199,$A232)&gt;=1,
_xlfn.CEILING.MATH(IF($M232&gt;$E232,
$E232,
IF($M232&lt;$E232/ROUNDDOWN([1]CRITERIOS!$M$16/_xlfn.XLOOKUP($C232,[1]CRITERIOS!$K$25:$K$42,[1]CRITERIOS!$M$25:$M$42),
1),
E232/ROUNDDOWN([1]CRITERIOS!$M$16/_xlfn.XLOOKUP($C232,[1]CRITERIOS!$K$25:$K$42,[1]CRITERIOS!$M$25:$M$42),
1),
$M232)),
_xlfn.XLOOKUP($A232,[1]CRITERIOS!$L$179:$L$200,[1]CRITERIOS!$M$179:$M$200)),
_xlfn.CEILING.MATH(IF($M232&gt;$E232,
$E232,
IF($M232&lt;$E232/ROUNDDOWN([1]CRITERIOS!$M$16/_xlfn.XLOOKUP($C232,[1]CRITERIOS!$K$25:$K$42,[1]CRITERIOS!$M$25:$M$42),
1),
E232/ROUNDDOWN([1]CRITERIOS!$M$16/_xlfn.XLOOKUP($C232,[1]CRITERIOS!$K$25:$K$42,[1]CRITERIOS!$M$25:$M$42),
1),
$M232)),_xlfn.XLOOKUP(A232,'[1]DATOS PBI Artículos'!A:A,'[1]DATOS PBI Artículos'!Z:Z
)))))</f>
        <v>#VALUE!</v>
      </c>
      <c r="Q232" s="38" t="e">
        <f>IF(AND(O232="",N232=0),
0,
   IF(COUNTIF([1]CRITERIOS!$F$179:$F$199,$A232)&gt;=1,
   1,
   IF(R232="MTO",
      $D232,
      ROUNDUP(
                    IF(($E232-SUMIF('[1]DATOS PBI Artículos'!A:A,A232,'[1]DATOS PBI Artículos'!X:X)+($V232-_xlfn.XLOOKUP(A232,'[1]DATOS PBI Artículos'!A:A,'[1]DATOS PBI Artículos'!W:W)))&lt;0,
                    0,
                    IF(($E232-SUMIF('[1]DATOS PBI Artículos'!A:A,A232,'[1]DATOS PBI Artículos'!X:X)+$V232-_xlfn.XLOOKUP($A232,'[1]DATOS PBI Artículos'!A:A,'[1]DATOS PBI Artículos'!W:W))/IF($O232="",$N232,$O232)&gt;ROUNDUP([1]CRITERIOS!$M$16/(IF(COUNTIF([1]CRITERIOS!$BG$11:$BG$201,L232)&gt;=1,_xlfn.XLOOKUP($C232,[1]CRITERIOS!$K$25:$K$42,[1]CRITERIOS!$M$25:$M$42),_xlfn.XLOOKUP($C232,[1]CRITERIOS!$K$25:$K$42,[1]CRITERIOS!$M$25:$M$42))),0),
                    ROUNDUP([1]CRITERIOS!$M$16/(IF(COUNTIF([1]CRITERIOS!$BG$11:$BG$201,$L232)&gt;=1,_xlfn.XLOOKUP($C232,[1]CRITERIOS!$K$25:$K$42,[1]CRITERIOS!$M$25:$M$42),_xlfn.XLOOKUP($C232,[1]CRITERIOS!$K$25:$K$42,[1]CRITERIOS!$M$25:$M$42))),0),
                    (E232+V232-SUMIF('[1]DATOS PBI Artículos'!A:A,A232,'[1]DATOS PBI Artículos'!X:X)-_xlfn.XLOOKUP(A232,'[1]DATOS PBI Artículos'!A:A,'[1]DATOS PBI Artículos'!W:W))/IF($O232="",$N232,$O232))),0))))</f>
        <v>#VALUE!</v>
      </c>
      <c r="R232" s="33" t="e">
        <f>IF(U232&lt;&gt;"",U232,IF(F232="DV","MTO",IF(N232=0,"MTO",_xlfn.XLOOKUP(CONCATENATE(S232,T232),[1]CRITERIOS!$K$160:$K$168,[1]CRITERIOS!$N$160:$N$168))))</f>
        <v>#VALUE!</v>
      </c>
      <c r="S232" s="33" t="e">
        <f>IF(G232="DV","MTO",IF(N232=0,"MTO",IF(OR(AND(N232=0,O232=""),IF(O232="",G232/N232,G232/O232)&gt;[1]CRITERIOS!$G$163),"MTO",IF(IF(O232="",G232/N232,G232/O232)&lt;[1]CRITERIOS!$H$161,"MTS","MTOS"))))</f>
        <v>#VALUE!</v>
      </c>
      <c r="T232" s="33" t="e">
        <f>IF(F232="DV","MTO",IF(OR(AND($N232=0,O232=""),$F232/$J232&gt;[1]CRITERIOS!$G$170,$F232="DV"),"MTO",IF($F232/$J232&lt;[1]CRITERIOS!$H$168,"MTS","MTOS")))</f>
        <v>#VALUE!</v>
      </c>
      <c r="V232" s="34" t="e">
        <f t="shared" si="13"/>
        <v>#VALUE!</v>
      </c>
      <c r="X232" s="34" t="e">
        <f t="shared" si="11"/>
        <v>#VALUE!</v>
      </c>
      <c r="Y232" s="34" t="e">
        <f t="shared" si="12"/>
        <v>#VALUE!</v>
      </c>
      <c r="Z232" s="34" t="e">
        <f>IF($R232="MTO",
0,
($H232+$K232*($E232/[1]CRITERIOS!$M$16))/[1]CRITERIOS!$X$48)</f>
        <v>#VALUE!</v>
      </c>
      <c r="AA232" s="34" t="e">
        <f>ROUNDUP(($Y232/_xlfn.XLOOKUP($A232,'[1]DATOS PBI Artículos'!$A$4:$A$4,'[1]DATOS PBI Artículos'!$Z$4:$Z$4))/_xlfn.XLOOKUP(_xlfn.XLOOKUP($A232,'[1]DATOS PBI Artículos'!$A$4:$A$4,'[1]DATOS PBI Artículos'!$Y$4:$Y$4),[1]CRITERIOS!$P$79:$P$123,[1]CRITERIOS!$S$79:$S$123,),0)</f>
        <v>#VALUE!</v>
      </c>
      <c r="AB232" s="33" t="e">
        <f t="array" ref="AB232">IF((E232+V232-_xlfn.XLOOKUP(A232,'[1]DATOS PBI Artículos'!$A$4:$A$4,'[1]DATOS PBI Artículos'!$W$4:$W$4))/N232&gt;ROUNDUP([1]CRITERIOS!$M$16/(IF(COUNTIF([1]CRITERIOS!$BG$11:$BG$201,L232)&gt;=1,_xlfn.XLOOKUP(ARTÍCULOS!L232,[1]CRITERIOS!$BG$11:$BG$201,[1]CRITERIOS!$BJ$11:$BJ$201),_xlfn.XLOOKUP(ARTÍCULOS!C232,[1]CRITERIOS!$K$25:$K$42,[1]CRITERIOS!$M$25:$M$42))),0),ROUNDUP([1]CRITERIOS!$M$16/(IF(COUNTIF([1]CRITERIOS!$BG$11:$BG$201,L232)&gt;=1,_xlfn.XLOOKUP(ARTÍCULOS!L232,[1]CRITERIOS!$BG$11:$BG$201:#REF!,[1]CRITERIOS!$BJ$11:$BJ$201),_xlfn.XLOOKUP(ARTÍCULOS!C232,[1]CRITERIOS!$K$25:$K$42,[1]CRITERIOS!$M$25:$M$42))),0),(E232+V232-_xlfn.XLOOKUP(A232,'[1]DATOS PBI Artículos'!$A$4:$A$4,'[1]DATOS PBI Artículos'!$W$4:$W$4))/N232)</f>
        <v>#VALUE!</v>
      </c>
      <c r="AC232" s="33" t="e">
        <f>IF(N232=0,"",(ROUNDUP((N232/2)/(_xlfn.XLOOKUP(A232,'[1]DATOS PBI Artículos'!$A$4:$A$4,'[1]DATOS PBI Artículos'!$Z$4:$Z$4)*_xlfn.XLOOKUP(_xlfn.XLOOKUP(A232,'[1]DATOS PBI Artículos'!$A$4:$A$4,'[1]DATOS PBI Artículos'!$Y$4:$Y$4),[1]CRITERIOS!$P$79:$P$123,[1]CRITERIOS!$S$79:$S$123)),0)*[1]CRITERIOS!$M$80*([1]CRITERIOS!$M$110/[1]CRITERIOS!$M$86)+(_xlfn.XLOOKUP(A232,'[1]DATOS PBI Artículos'!$A$4:$A$4,'[1]DATOS PBI Artículos'!$AA$4:$AA$4)*([1]CRITERIOS!$M$95+[1]CRITERIOS!$M$98)))/N232)</f>
        <v>#VALUE!</v>
      </c>
      <c r="AD232" s="33" t="e">
        <f>IF(N232=0,"",(ROUNDUP((N232/2)/(_xlfn.XLOOKUP(A232,'[1]DATOS PBI Artículos'!$A$4:$A$4,'[1]DATOS PBI Artículos'!$Z$4:$Z$4)*_xlfn.XLOOKUP(_xlfn.XLOOKUP(A232,'[1]DATOS PBI Artículos'!$A$4:$A$4,'[1]DATOS PBI Artículos'!$Y$4:$Y$4),[1]CRITERIOS!$P$79:$P$123,[1]CRITERIOS!$S$79:$S$123)),0)*[1]CRITERIOS!$M$80*([1]CRITERIOS!$M$89*[1]CRITERIOS!$M$92)+((_xlfn.XLOOKUP(A232,'[1]DATOS PBI Artículos'!$A$4:$A$4,'[1]DATOS PBI Artículos'!$AA$4:$AA$4)/2)*([1]CRITERIOS!$M$95+[1]CRITERIOS!$M$98)))/N232)</f>
        <v>#VALUE!</v>
      </c>
      <c r="AE232" s="39" t="e">
        <f>IF($R232="MTO","",
IF($H232=0,ROUNDUP(((_xlfn.XLOOKUP($A232,'[1]DATOS PBI Artículos'!$A:$A,'[1]DATOS PBI Artículos'!$AL:$AL))/(_xlfn.XLOOKUP($AF$1,[1]CRITERIOS!$S$16:$S$39,[1]CRITERIOS!$Y$16:$Y$39))*$J232+$Z232)/$G232,0)*$G232,
((_xlfn.XLOOKUP($A232,'[1]DATOS PBI Artículos'!$A:$A,'[1]DATOS PBI Artículos'!$AL:$AL))/(_xlfn.XLOOKUP($AF$1,[1]CRITERIOS!$S$16:$S$39,[1]CRITERIOS!$Y$16:$Y$39))*$J232+$Z232)))</f>
        <v>#VALUE!</v>
      </c>
      <c r="AG232" s="39" t="e">
        <f>IF($R232="MTO","",
IF($H232=0,ROUNDUP(((_xlfn.XLOOKUP($A232,'[1]DATOS PBI Artículos'!$A:$A,'[1]DATOS PBI Artículos'!$AM:$AM))/(_xlfn.XLOOKUP($AH$1,[1]CRITERIOS!$S$16:$S$39,[1]CRITERIOS!$Y$16:$Y$39))*$J232+$Z232)/$G232,0)*$G232,
((_xlfn.XLOOKUP($A232,'[1]DATOS PBI Artículos'!$A:$A,'[1]DATOS PBI Artículos'!$AM:$AM))/(_xlfn.XLOOKUP($AH$1,[1]CRITERIOS!$S$16:$S$39,[1]CRITERIOS!$Y$16:$Y$39))*$J232+$Z232)))</f>
        <v>#VALUE!</v>
      </c>
      <c r="AI232" s="39" t="e">
        <f>IF($R232="MTO","",
IF($H232=0,ROUNDUP(((_xlfn.XLOOKUP($A232,'[1]DATOS PBI Artículos'!$A:$A,'[1]DATOS PBI Artículos'!$AN:$AN))/(_xlfn.XLOOKUP($AJ$1,[1]CRITERIOS!$S$16:$S$39,[1]CRITERIOS!$Y$16:$Y$39))*$J232+$Z232)/$G232,0)*$G232,
((_xlfn.XLOOKUP($A232,'[1]DATOS PBI Artículos'!$A:$A,'[1]DATOS PBI Artículos'!$AN:$AN))/(_xlfn.XLOOKUP($AJ$1,[1]CRITERIOS!$S$16:$S$39,[1]CRITERIOS!$Y$16:$Y$39))*$J232+$Z232)))</f>
        <v>#VALUE!</v>
      </c>
      <c r="AK232" s="39" t="e">
        <f>IF($R232="MTO","",
IF($H232=0,ROUNDUP(((_xlfn.XLOOKUP($A232,'[1]DATOS PBI Artículos'!$A:$A,'[1]DATOS PBI Artículos'!$AO:$AO))/(_xlfn.XLOOKUP($AL$1,[1]CRITERIOS!$S$16:$S$39,[1]CRITERIOS!$Y$16:$Y$39))*$J232+$Z232)/$G232,0)*$G232,
((_xlfn.XLOOKUP($A232,'[1]DATOS PBI Artículos'!$A:$A,'[1]DATOS PBI Artículos'!$AO:$AO))/(_xlfn.XLOOKUP($AL$1,[1]CRITERIOS!$S$16:$S$39,[1]CRITERIOS!$Y$16:$Y$39))*$J232+$Z232)))</f>
        <v>#VALUE!</v>
      </c>
    </row>
    <row r="233" spans="1:37" ht="25.8" x14ac:dyDescent="0.5">
      <c r="A233" s="32">
        <v>453914</v>
      </c>
      <c r="B233" s="33">
        <f>_xlfn.XLOOKUP($A233,'[1]DATOS PBI Artículos'!A:A,'[1]DATOS PBI Artículos'!B:B)</f>
        <v>0</v>
      </c>
      <c r="C233" s="33" t="str">
        <f>_xlfn.XLOOKUP($A233,'[1]DATOS PBI Artículos'!A:A,'[1]DATOS PBI Artículos'!C:C)</f>
        <v>UA02</v>
      </c>
      <c r="D233" s="33">
        <f>_xlfn.XLOOKUP(A233,'[1]DATOS PBI Artículos'!A:A,'[1]DATOS PBI Artículos'!T:T)</f>
        <v>1</v>
      </c>
      <c r="E233" s="34">
        <f>IF(_xlfn.XLOOKUP($A233,'[1]DATOS PBI Artículos'!A:A,'[1]DATOS PBI Artículos'!AK:AK)="",_xlfn.XLOOKUP($A233,'[1]DATOS PBI Artículos'!A:A,'[1]DATOS PBI Artículos'!AJ:AJ),_xlfn.XLOOKUP($A233,'[1]DATOS PBI Artículos'!A:A,'[1]DATOS PBI Artículos'!AK:AK))</f>
        <v>2400</v>
      </c>
      <c r="F233" s="35">
        <f>_xlfn.XLOOKUP($A233,'[1]DATOS PBI Artículos'!A:A,'[1]DATOS PBI Artículos'!AP:AP)</f>
        <v>75</v>
      </c>
      <c r="G233" s="34">
        <f>_xlfn.XLOOKUP($A233,'[1]DATOS PBI Artículos'!A:A,'[1]DATOS PBI Artículos'!AR:AR)</f>
        <v>2400</v>
      </c>
      <c r="H233" s="34">
        <f>_xlfn.XLOOKUP($A233,'[1]DATOS PBI Artículos'!A:A,'[1]DATOS PBI Artículos'!AT:AT)</f>
        <v>0</v>
      </c>
      <c r="I233" s="34">
        <f>_xlfn.XLOOKUP($A233,'[1]DATOS PBI Artículos'!A:A,'[1]DATOS PBI Artículos'!AS:AS)</f>
        <v>2400</v>
      </c>
      <c r="J233" s="35">
        <f>IF(COUNTIF([1]CRITERIOS!$F$179:$F$199,$A233)&gt;=1,
 IF(O233&lt;&gt;"",
    (O233/_xlfn.XLOOKUP(CONCATENATE(A233,L233),[1]MÁQUINAS!A:A,[1]MÁQUINAS!D:D))/24,
    (N233/_xlfn.XLOOKUP(CONCATENATE(A233,L233),[1]MÁQUINAS!A:A,[1]MÁQUINAS!D:D))/24),
  _xlfn.XLOOKUP($A233,'[1]DATOS PBI Artículos'!A:A,'[1]DATOS PBI Artículos'!AU:AU))</f>
        <v>10</v>
      </c>
      <c r="K233" s="36">
        <f>_xlfn.XLOOKUP($A233,'[1]DATOS PBI Artículos'!A:A,'[1]DATOS PBI Artículos'!AV:AV)</f>
        <v>0</v>
      </c>
      <c r="L233" s="33">
        <f>_xlfn.XLOOKUP(A233,[1]MÁQUINAS!B:B,[1]MÁQUINAS!C:C)</f>
        <v>221</v>
      </c>
      <c r="M233" s="34">
        <f t="array" ref="M233">_xlfn.XLOOKUP(A233,'[1]DATOS PBI Artículos'!A:A,'[1]DATOS PBI Artículos'!AX:$AX)</f>
        <v>5757.0390477066821</v>
      </c>
      <c r="N233" s="37">
        <f>IF(I233="DV",
E233,
IF(COUNTIF([1]CRITERIOS!$I$179:$I$199,$A233)&gt;=1,
_xlfn.XLOOKUP($A233,[1]CRITERIOS!$I$179:$I$199,[1]CRITERIOS!$J$179:$J$199),
IF(COUNTIF([1]CRITERIOS!$L$179:$L$199,$A233)&gt;=1,
_xlfn.CEILING.MATH(IF($M233&gt;$E233,
$E233,
IF($M233&lt;$E233/ROUNDDOWN([1]CRITERIOS!$M$16/_xlfn.XLOOKUP($C233,[1]CRITERIOS!$K$25:$K$42,[1]CRITERIOS!$M$25:$M$42),
1),
E233/ROUNDDOWN([1]CRITERIOS!$M$16/_xlfn.XLOOKUP($C233,[1]CRITERIOS!$K$25:$K$42,[1]CRITERIOS!$M$25:$M$42),
1),
$M233)),
_xlfn.XLOOKUP($A233,[1]CRITERIOS!$L$179:$L$200,[1]CRITERIOS!$M$179:$M$200)),
_xlfn.CEILING.MATH(IF($M233&gt;$E233,
$E233,
IF($M233&lt;$E233/ROUNDDOWN([1]CRITERIOS!$M$16/_xlfn.XLOOKUP($C233,[1]CRITERIOS!$K$25:$K$42,[1]CRITERIOS!$M$25:$M$42),
1),
E233/ROUNDDOWN([1]CRITERIOS!$M$16/_xlfn.XLOOKUP($C233,[1]CRITERIOS!$K$25:$K$42,[1]CRITERIOS!$M$25:$M$42),
1),
$M233)),_xlfn.XLOOKUP(A233,'[1]DATOS PBI Artículos'!A:A,'[1]DATOS PBI Artículos'!Z:Z
)))))</f>
        <v>5000</v>
      </c>
      <c r="Q233" s="38">
        <f>IF(AND(O233="",N233=0),
0,
   IF(COUNTIF([1]CRITERIOS!$F$179:$F$199,$A233)&gt;=1,
   1,
   IF(R233="MTO",
      $D233,
      ROUNDUP(
                    IF(($E233-SUMIF('[1]DATOS PBI Artículos'!A:A,A233,'[1]DATOS PBI Artículos'!X:X)+($V233-_xlfn.XLOOKUP(A233,'[1]DATOS PBI Artículos'!A:A,'[1]DATOS PBI Artículos'!W:W)))&lt;0,
                    0,
                    IF(($E233-SUMIF('[1]DATOS PBI Artículos'!A:A,A233,'[1]DATOS PBI Artículos'!X:X)+$V233-_xlfn.XLOOKUP($A233,'[1]DATOS PBI Artículos'!A:A,'[1]DATOS PBI Artículos'!W:W))/IF($O233="",$N233,$O233)&gt;ROUNDUP([1]CRITERIOS!$M$16/(IF(COUNTIF([1]CRITERIOS!$BG$11:$BG$201,L233)&gt;=1,_xlfn.XLOOKUP($C233,[1]CRITERIOS!$K$25:$K$42,[1]CRITERIOS!$M$25:$M$42),_xlfn.XLOOKUP($C233,[1]CRITERIOS!$K$25:$K$42,[1]CRITERIOS!$M$25:$M$42))),0),
                    ROUNDUP([1]CRITERIOS!$M$16/(IF(COUNTIF([1]CRITERIOS!$BG$11:$BG$201,$L233)&gt;=1,_xlfn.XLOOKUP($C233,[1]CRITERIOS!$K$25:$K$42,[1]CRITERIOS!$M$25:$M$42),_xlfn.XLOOKUP($C233,[1]CRITERIOS!$K$25:$K$42,[1]CRITERIOS!$M$25:$M$42))),0),
                    (E233+V233-SUMIF('[1]DATOS PBI Artículos'!A:A,A233,'[1]DATOS PBI Artículos'!X:X)-_xlfn.XLOOKUP(A233,'[1]DATOS PBI Artículos'!A:A,'[1]DATOS PBI Artículos'!W:W))/IF($O233="",$N233,$O233))),0))))</f>
        <v>0</v>
      </c>
      <c r="R233" s="33" t="str">
        <f>IF(U233&lt;&gt;"",U233,IF(F233="DV","MTO",IF(N233=0,"MTO",_xlfn.XLOOKUP(CONCATENATE(S233,T233),[1]CRITERIOS!$K$160:$K$168,[1]CRITERIOS!$N$160:$N$168))))</f>
        <v>MTS</v>
      </c>
      <c r="S233" s="33" t="str">
        <f>IF(G233="DV","MTO",IF(N233=0,"MTO",IF(OR(AND(N233=0,O233=""),IF(O233="",G233/N233,G233/O233)&gt;[1]CRITERIOS!$G$163),"MTO",IF(IF(O233="",G233/N233,G233/O233)&lt;[1]CRITERIOS!$H$161,"MTS","MTOS"))))</f>
        <v>MTS</v>
      </c>
      <c r="T233" s="33" t="str">
        <f>IF(F233="DV","MTO",IF(OR(AND($N233=0,O233=""),$F233/$J233&gt;[1]CRITERIOS!$G$170,$F233="DV"),"MTO",IF($F233/$J233&lt;[1]CRITERIOS!$H$168,"MTS","MTOS")))</f>
        <v>MTO</v>
      </c>
      <c r="V233" s="34">
        <f t="shared" si="13"/>
        <v>320</v>
      </c>
      <c r="X233" s="34">
        <f t="shared" si="11"/>
        <v>5320</v>
      </c>
      <c r="Y233" s="34">
        <f t="shared" si="12"/>
        <v>2500</v>
      </c>
      <c r="Z233" s="34">
        <f>IF($R233="MTO",
0,
($H233+$K233*($E233/[1]CRITERIOS!$M$16))/[1]CRITERIOS!$X$48)</f>
        <v>0</v>
      </c>
      <c r="AA233" s="34" t="e">
        <f>ROUNDUP(($Y233/_xlfn.XLOOKUP($A233,'[1]DATOS PBI Artículos'!$A$4:$A$4,'[1]DATOS PBI Artículos'!$Z$4:$Z$4))/_xlfn.XLOOKUP(_xlfn.XLOOKUP($A233,'[1]DATOS PBI Artículos'!$A$4:$A$4,'[1]DATOS PBI Artículos'!$Y$4:$Y$4),[1]CRITERIOS!$P$79:$P$123,[1]CRITERIOS!$S$79:$S$123,),0)</f>
        <v>#N/A</v>
      </c>
      <c r="AB233" s="33" t="e">
        <f t="array" ref="AB233">IF((E233+V233-_xlfn.XLOOKUP(A233,'[1]DATOS PBI Artículos'!$A$4:$A$4,'[1]DATOS PBI Artículos'!$W$4:$W$4))/N233&gt;ROUNDUP([1]CRITERIOS!$M$16/(IF(COUNTIF([1]CRITERIOS!$BG$11:$BG$201,L233)&gt;=1,_xlfn.XLOOKUP(ARTÍCULOS!L233,[1]CRITERIOS!$BG$11:$BG$201,[1]CRITERIOS!$BJ$11:$BJ$201),_xlfn.XLOOKUP(ARTÍCULOS!C233,[1]CRITERIOS!$K$25:$K$42,[1]CRITERIOS!$M$25:$M$42))),0),ROUNDUP([1]CRITERIOS!$M$16/(IF(COUNTIF([1]CRITERIOS!$BG$11:$BG$201,L233)&gt;=1,_xlfn.XLOOKUP(ARTÍCULOS!L233,[1]CRITERIOS!$BG$11:$BG$201:#REF!,[1]CRITERIOS!$BJ$11:$BJ$201),_xlfn.XLOOKUP(ARTÍCULOS!C233,[1]CRITERIOS!$K$25:$K$42,[1]CRITERIOS!$M$25:$M$42))),0),(E233+V233-_xlfn.XLOOKUP(A233,'[1]DATOS PBI Artículos'!$A$4:$A$4,'[1]DATOS PBI Artículos'!$W$4:$W$4))/N233)</f>
        <v>#N/A</v>
      </c>
      <c r="AC233" s="33" t="e">
        <f>IF(N233=0,"",(ROUNDUP((N233/2)/(_xlfn.XLOOKUP(A233,'[1]DATOS PBI Artículos'!$A$4:$A$4,'[1]DATOS PBI Artículos'!$Z$4:$Z$4)*_xlfn.XLOOKUP(_xlfn.XLOOKUP(A233,'[1]DATOS PBI Artículos'!$A$4:$A$4,'[1]DATOS PBI Artículos'!$Y$4:$Y$4),[1]CRITERIOS!$P$79:$P$123,[1]CRITERIOS!$S$79:$S$123)),0)*[1]CRITERIOS!$M$80*([1]CRITERIOS!$M$110/[1]CRITERIOS!$M$86)+(_xlfn.XLOOKUP(A233,'[1]DATOS PBI Artículos'!$A$4:$A$4,'[1]DATOS PBI Artículos'!$AA$4:$AA$4)*([1]CRITERIOS!$M$95+[1]CRITERIOS!$M$98)))/N233)</f>
        <v>#N/A</v>
      </c>
      <c r="AD233" s="33" t="e">
        <f>IF(N233=0,"",(ROUNDUP((N233/2)/(_xlfn.XLOOKUP(A233,'[1]DATOS PBI Artículos'!$A$4:$A$4,'[1]DATOS PBI Artículos'!$Z$4:$Z$4)*_xlfn.XLOOKUP(_xlfn.XLOOKUP(A233,'[1]DATOS PBI Artículos'!$A$4:$A$4,'[1]DATOS PBI Artículos'!$Y$4:$Y$4),[1]CRITERIOS!$P$79:$P$123,[1]CRITERIOS!$S$79:$S$123)),0)*[1]CRITERIOS!$M$80*([1]CRITERIOS!$M$89*[1]CRITERIOS!$M$92)+((_xlfn.XLOOKUP(A233,'[1]DATOS PBI Artículos'!$A$4:$A$4,'[1]DATOS PBI Artículos'!$AA$4:$AA$4)/2)*([1]CRITERIOS!$M$95+[1]CRITERIOS!$M$98)))/N233)</f>
        <v>#N/A</v>
      </c>
      <c r="AE233" s="39">
        <f>IF($R233="MTO","",
IF($H233=0,ROUNDUP(((_xlfn.XLOOKUP($A233,'[1]DATOS PBI Artículos'!$A:$A,'[1]DATOS PBI Artículos'!$AL:$AL))/(_xlfn.XLOOKUP($AF$1,[1]CRITERIOS!$S$16:$S$39,[1]CRITERIOS!$Y$16:$Y$39))*$J233+$Z233)/$G233,0)*$G233,
((_xlfn.XLOOKUP($A233,'[1]DATOS PBI Artículos'!$A:$A,'[1]DATOS PBI Artículos'!$AL:$AL))/(_xlfn.XLOOKUP($AF$1,[1]CRITERIOS!$S$16:$S$39,[1]CRITERIOS!$Y$16:$Y$39))*$J233+$Z233)))</f>
        <v>2400</v>
      </c>
      <c r="AG233" s="39">
        <f>IF($R233="MTO","",
IF($H233=0,ROUNDUP(((_xlfn.XLOOKUP($A233,'[1]DATOS PBI Artículos'!$A:$A,'[1]DATOS PBI Artículos'!$AM:$AM))/(_xlfn.XLOOKUP($AH$1,[1]CRITERIOS!$S$16:$S$39,[1]CRITERIOS!$Y$16:$Y$39))*$J233+$Z233)/$G233,0)*$G233,
((_xlfn.XLOOKUP($A233,'[1]DATOS PBI Artículos'!$A:$A,'[1]DATOS PBI Artículos'!$AM:$AM))/(_xlfn.XLOOKUP($AH$1,[1]CRITERIOS!$S$16:$S$39,[1]CRITERIOS!$Y$16:$Y$39))*$J233+$Z233)))</f>
        <v>2400</v>
      </c>
      <c r="AI233" s="39">
        <f>IF($R233="MTO","",
IF($H233=0,ROUNDUP(((_xlfn.XLOOKUP($A233,'[1]DATOS PBI Artículos'!$A:$A,'[1]DATOS PBI Artículos'!$AN:$AN))/(_xlfn.XLOOKUP($AJ$1,[1]CRITERIOS!$S$16:$S$39,[1]CRITERIOS!$Y$16:$Y$39))*$J233+$Z233)/$G233,0)*$G233,
((_xlfn.XLOOKUP($A233,'[1]DATOS PBI Artículos'!$A:$A,'[1]DATOS PBI Artículos'!$AN:$AN))/(_xlfn.XLOOKUP($AJ$1,[1]CRITERIOS!$S$16:$S$39,[1]CRITERIOS!$Y$16:$Y$39))*$J233+$Z233)))</f>
        <v>2400</v>
      </c>
      <c r="AK233" s="39">
        <f>IF($R233="MTO","",
IF($H233=0,ROUNDUP(((_xlfn.XLOOKUP($A233,'[1]DATOS PBI Artículos'!$A:$A,'[1]DATOS PBI Artículos'!$AO:$AO))/(_xlfn.XLOOKUP($AL$1,[1]CRITERIOS!$S$16:$S$39,[1]CRITERIOS!$Y$16:$Y$39))*$J233+$Z233)/$G233,0)*$G233,
((_xlfn.XLOOKUP($A233,'[1]DATOS PBI Artículos'!$A:$A,'[1]DATOS PBI Artículos'!$AO:$AO))/(_xlfn.XLOOKUP($AL$1,[1]CRITERIOS!$S$16:$S$39,[1]CRITERIOS!$Y$16:$Y$39))*$J233+$Z233)))</f>
        <v>2400</v>
      </c>
    </row>
    <row r="234" spans="1:37" ht="25.8" x14ac:dyDescent="0.5">
      <c r="A234" s="32">
        <v>453666</v>
      </c>
      <c r="B234" s="33">
        <f>_xlfn.XLOOKUP($A234,'[1]DATOS PBI Artículos'!A:A,'[1]DATOS PBI Artículos'!B:B)</f>
        <v>0</v>
      </c>
      <c r="C234" s="33" t="str">
        <f>_xlfn.XLOOKUP($A234,'[1]DATOS PBI Artículos'!A:A,'[1]DATOS PBI Artículos'!C:C)</f>
        <v>UA01</v>
      </c>
      <c r="D234" s="33">
        <f>_xlfn.XLOOKUP(A234,'[1]DATOS PBI Artículos'!A:A,'[1]DATOS PBI Artículos'!T:T)</f>
        <v>1</v>
      </c>
      <c r="E234" s="34">
        <f>IF(_xlfn.XLOOKUP($A234,'[1]DATOS PBI Artículos'!A:A,'[1]DATOS PBI Artículos'!AK:AK)="",_xlfn.XLOOKUP($A234,'[1]DATOS PBI Artículos'!A:A,'[1]DATOS PBI Artículos'!AJ:AJ),_xlfn.XLOOKUP($A234,'[1]DATOS PBI Artículos'!A:A,'[1]DATOS PBI Artículos'!AK:AK))</f>
        <v>2000</v>
      </c>
      <c r="F234" s="35">
        <f>_xlfn.XLOOKUP($A234,'[1]DATOS PBI Artículos'!A:A,'[1]DATOS PBI Artículos'!AP:AP)</f>
        <v>75</v>
      </c>
      <c r="G234" s="34">
        <f>_xlfn.XLOOKUP($A234,'[1]DATOS PBI Artículos'!A:A,'[1]DATOS PBI Artículos'!AR:AR)</f>
        <v>2000</v>
      </c>
      <c r="H234" s="34">
        <f>_xlfn.XLOOKUP($A234,'[1]DATOS PBI Artículos'!A:A,'[1]DATOS PBI Artículos'!AT:AT)</f>
        <v>0</v>
      </c>
      <c r="I234" s="34">
        <f>_xlfn.XLOOKUP($A234,'[1]DATOS PBI Artículos'!A:A,'[1]DATOS PBI Artículos'!AS:AS)</f>
        <v>2000</v>
      </c>
      <c r="J234" s="35">
        <f>IF(COUNTIF([1]CRITERIOS!$F$179:$F$199,$A234)&gt;=1,
 IF(O234&lt;&gt;"",
    (O234/_xlfn.XLOOKUP(CONCATENATE(A234,L234),[1]MÁQUINAS!A:A,[1]MÁQUINAS!D:D))/24,
    (N234/_xlfn.XLOOKUP(CONCATENATE(A234,L234),[1]MÁQUINAS!A:A,[1]MÁQUINAS!D:D))/24),
  _xlfn.XLOOKUP($A234,'[1]DATOS PBI Artículos'!A:A,'[1]DATOS PBI Artículos'!AU:AU))</f>
        <v>17</v>
      </c>
      <c r="K234" s="36">
        <f>_xlfn.XLOOKUP($A234,'[1]DATOS PBI Artículos'!A:A,'[1]DATOS PBI Artículos'!AV:AV)</f>
        <v>0</v>
      </c>
      <c r="L234" s="33">
        <f>_xlfn.XLOOKUP(A234,[1]MÁQUINAS!B:B,[1]MÁQUINAS!C:C)</f>
        <v>407</v>
      </c>
      <c r="M234" s="34">
        <f t="array" ref="M234">_xlfn.XLOOKUP(A234,'[1]DATOS PBI Artículos'!A:A,'[1]DATOS PBI Artículos'!AX:$AX)</f>
        <v>7162.1481418287949</v>
      </c>
      <c r="N234" s="37">
        <f>IF(I234="DV",
E234,
IF(COUNTIF([1]CRITERIOS!$I$179:$I$199,$A234)&gt;=1,
_xlfn.XLOOKUP($A234,[1]CRITERIOS!$I$179:$I$199,[1]CRITERIOS!$J$179:$J$199),
IF(COUNTIF([1]CRITERIOS!$L$179:$L$199,$A234)&gt;=1,
_xlfn.CEILING.MATH(IF($M234&gt;$E234,
$E234,
IF($M234&lt;$E234/ROUNDDOWN([1]CRITERIOS!$M$16/_xlfn.XLOOKUP($C234,[1]CRITERIOS!$K$25:$K$42,[1]CRITERIOS!$M$25:$M$42),
1),
E234/ROUNDDOWN([1]CRITERIOS!$M$16/_xlfn.XLOOKUP($C234,[1]CRITERIOS!$K$25:$K$42,[1]CRITERIOS!$M$25:$M$42),
1),
$M234)),
_xlfn.XLOOKUP($A234,[1]CRITERIOS!$L$179:$L$200,[1]CRITERIOS!$M$179:$M$200)),
_xlfn.CEILING.MATH(IF($M234&gt;$E234,
$E234,
IF($M234&lt;$E234/ROUNDDOWN([1]CRITERIOS!$M$16/_xlfn.XLOOKUP($C234,[1]CRITERIOS!$K$25:$K$42,[1]CRITERIOS!$M$25:$M$42),
1),
E234/ROUNDDOWN([1]CRITERIOS!$M$16/_xlfn.XLOOKUP($C234,[1]CRITERIOS!$K$25:$K$42,[1]CRITERIOS!$M$25:$M$42),
1),
$M234)),_xlfn.XLOOKUP(A234,'[1]DATOS PBI Artículos'!A:A,'[1]DATOS PBI Artículos'!Z:Z
)))))</f>
        <v>5000</v>
      </c>
      <c r="Q234" s="38">
        <f>IF(AND(O234="",N234=0),
0,
   IF(COUNTIF([1]CRITERIOS!$F$179:$F$199,$A234)&gt;=1,
   1,
   IF(R234="MTO",
      $D234,
      ROUNDUP(
                    IF(($E234-SUMIF('[1]DATOS PBI Artículos'!A:A,A234,'[1]DATOS PBI Artículos'!X:X)+($V234-_xlfn.XLOOKUP(A234,'[1]DATOS PBI Artículos'!A:A,'[1]DATOS PBI Artículos'!W:W)))&lt;0,
                    0,
                    IF(($E234-SUMIF('[1]DATOS PBI Artículos'!A:A,A234,'[1]DATOS PBI Artículos'!X:X)+$V234-_xlfn.XLOOKUP($A234,'[1]DATOS PBI Artículos'!A:A,'[1]DATOS PBI Artículos'!W:W))/IF($O234="",$N234,$O234)&gt;ROUNDUP([1]CRITERIOS!$M$16/(IF(COUNTIF([1]CRITERIOS!$BG$11:$BG$201,L234)&gt;=1,_xlfn.XLOOKUP($C234,[1]CRITERIOS!$K$25:$K$42,[1]CRITERIOS!$M$25:$M$42),_xlfn.XLOOKUP($C234,[1]CRITERIOS!$K$25:$K$42,[1]CRITERIOS!$M$25:$M$42))),0),
                    ROUNDUP([1]CRITERIOS!$M$16/(IF(COUNTIF([1]CRITERIOS!$BG$11:$BG$201,$L234)&gt;=1,_xlfn.XLOOKUP($C234,[1]CRITERIOS!$K$25:$K$42,[1]CRITERIOS!$M$25:$M$42),_xlfn.XLOOKUP($C234,[1]CRITERIOS!$K$25:$K$42,[1]CRITERIOS!$M$25:$M$42))),0),
                    (E234+V234-SUMIF('[1]DATOS PBI Artículos'!A:A,A234,'[1]DATOS PBI Artículos'!X:X)-_xlfn.XLOOKUP(A234,'[1]DATOS PBI Artículos'!A:A,'[1]DATOS PBI Artículos'!W:W))/IF($O234="",$N234,$O234))),0))))</f>
        <v>1</v>
      </c>
      <c r="R234" s="33" t="str">
        <f>IF(U234&lt;&gt;"",U234,IF(F234="DV","MTO",IF(N234=0,"MTO",_xlfn.XLOOKUP(CONCATENATE(S234,T234),[1]CRITERIOS!$K$160:$K$168,[1]CRITERIOS!$N$160:$N$168))))</f>
        <v>MTS</v>
      </c>
      <c r="S234" s="33" t="str">
        <f>IF(G234="DV","MTO",IF(N234=0,"MTO",IF(OR(AND(N234=0,O234=""),IF(O234="",G234/N234,G234/O234)&gt;[1]CRITERIOS!$G$163),"MTO",IF(IF(O234="",G234/N234,G234/O234)&lt;[1]CRITERIOS!$H$161,"MTS","MTOS"))))</f>
        <v>MTS</v>
      </c>
      <c r="T234" s="33" t="str">
        <f>IF(F234="DV","MTO",IF(OR(AND($N234=0,O234=""),$F234/$J234&gt;[1]CRITERIOS!$G$170,$F234="DV"),"MTO",IF($F234/$J234&lt;[1]CRITERIOS!$H$168,"MTS","MTOS")))</f>
        <v>MTO</v>
      </c>
      <c r="V234" s="34">
        <f t="shared" si="13"/>
        <v>453.33333333333331</v>
      </c>
      <c r="X234" s="34">
        <f t="shared" si="11"/>
        <v>5453.333333333333</v>
      </c>
      <c r="Y234" s="34">
        <f t="shared" si="12"/>
        <v>2500</v>
      </c>
      <c r="Z234" s="34">
        <f>IF($R234="MTO",
0,
($H234+$K234*($E234/[1]CRITERIOS!$M$16))/[1]CRITERIOS!$X$48)</f>
        <v>0</v>
      </c>
      <c r="AA234" s="34" t="e">
        <f>ROUNDUP(($Y234/_xlfn.XLOOKUP($A234,'[1]DATOS PBI Artículos'!$A$4:$A$4,'[1]DATOS PBI Artículos'!$Z$4:$Z$4))/_xlfn.XLOOKUP(_xlfn.XLOOKUP($A234,'[1]DATOS PBI Artículos'!$A$4:$A$4,'[1]DATOS PBI Artículos'!$Y$4:$Y$4),[1]CRITERIOS!$P$79:$P$123,[1]CRITERIOS!$S$79:$S$123,),0)</f>
        <v>#N/A</v>
      </c>
      <c r="AB234" s="33" t="e">
        <f t="array" ref="AB234">IF((E234+V234-_xlfn.XLOOKUP(A234,'[1]DATOS PBI Artículos'!$A$4:$A$4,'[1]DATOS PBI Artículos'!$W$4:$W$4))/N234&gt;ROUNDUP([1]CRITERIOS!$M$16/(IF(COUNTIF([1]CRITERIOS!$BG$11:$BG$201,L234)&gt;=1,_xlfn.XLOOKUP(ARTÍCULOS!L234,[1]CRITERIOS!$BG$11:$BG$201,[1]CRITERIOS!$BJ$11:$BJ$201),_xlfn.XLOOKUP(ARTÍCULOS!C234,[1]CRITERIOS!$K$25:$K$42,[1]CRITERIOS!$M$25:$M$42))),0),ROUNDUP([1]CRITERIOS!$M$16/(IF(COUNTIF([1]CRITERIOS!$BG$11:$BG$201,L234)&gt;=1,_xlfn.XLOOKUP(ARTÍCULOS!L234,[1]CRITERIOS!$BG$11:$BG$201:#REF!,[1]CRITERIOS!$BJ$11:$BJ$201),_xlfn.XLOOKUP(ARTÍCULOS!C234,[1]CRITERIOS!$K$25:$K$42,[1]CRITERIOS!$M$25:$M$42))),0),(E234+V234-_xlfn.XLOOKUP(A234,'[1]DATOS PBI Artículos'!$A$4:$A$4,'[1]DATOS PBI Artículos'!$W$4:$W$4))/N234)</f>
        <v>#N/A</v>
      </c>
      <c r="AC234" s="33" t="e">
        <f>IF(N234=0,"",(ROUNDUP((N234/2)/(_xlfn.XLOOKUP(A234,'[1]DATOS PBI Artículos'!$A$4:$A$4,'[1]DATOS PBI Artículos'!$Z$4:$Z$4)*_xlfn.XLOOKUP(_xlfn.XLOOKUP(A234,'[1]DATOS PBI Artículos'!$A$4:$A$4,'[1]DATOS PBI Artículos'!$Y$4:$Y$4),[1]CRITERIOS!$P$79:$P$123,[1]CRITERIOS!$S$79:$S$123)),0)*[1]CRITERIOS!$M$80*([1]CRITERIOS!$M$110/[1]CRITERIOS!$M$86)+(_xlfn.XLOOKUP(A234,'[1]DATOS PBI Artículos'!$A$4:$A$4,'[1]DATOS PBI Artículos'!$AA$4:$AA$4)*([1]CRITERIOS!$M$95+[1]CRITERIOS!$M$98)))/N234)</f>
        <v>#N/A</v>
      </c>
      <c r="AD234" s="33" t="e">
        <f>IF(N234=0,"",(ROUNDUP((N234/2)/(_xlfn.XLOOKUP(A234,'[1]DATOS PBI Artículos'!$A$4:$A$4,'[1]DATOS PBI Artículos'!$Z$4:$Z$4)*_xlfn.XLOOKUP(_xlfn.XLOOKUP(A234,'[1]DATOS PBI Artículos'!$A$4:$A$4,'[1]DATOS PBI Artículos'!$Y$4:$Y$4),[1]CRITERIOS!$P$79:$P$123,[1]CRITERIOS!$S$79:$S$123)),0)*[1]CRITERIOS!$M$80*([1]CRITERIOS!$M$89*[1]CRITERIOS!$M$92)+((_xlfn.XLOOKUP(A234,'[1]DATOS PBI Artículos'!$A$4:$A$4,'[1]DATOS PBI Artículos'!$AA$4:$AA$4)/2)*([1]CRITERIOS!$M$95+[1]CRITERIOS!$M$98)))/N234)</f>
        <v>#N/A</v>
      </c>
      <c r="AE234" s="39">
        <f>IF($R234="MTO","",
IF($H234=0,ROUNDUP(((_xlfn.XLOOKUP($A234,'[1]DATOS PBI Artículos'!$A:$A,'[1]DATOS PBI Artículos'!$AL:$AL))/(_xlfn.XLOOKUP($AF$1,[1]CRITERIOS!$S$16:$S$39,[1]CRITERIOS!$Y$16:$Y$39))*$J234+$Z234)/$G234,0)*$G234,
((_xlfn.XLOOKUP($A234,'[1]DATOS PBI Artículos'!$A:$A,'[1]DATOS PBI Artículos'!$AL:$AL))/(_xlfn.XLOOKUP($AF$1,[1]CRITERIOS!$S$16:$S$39,[1]CRITERIOS!$Y$16:$Y$39))*$J234+$Z234)))</f>
        <v>2000</v>
      </c>
      <c r="AG234" s="39">
        <f>IF($R234="MTO","",
IF($H234=0,ROUNDUP(((_xlfn.XLOOKUP($A234,'[1]DATOS PBI Artículos'!$A:$A,'[1]DATOS PBI Artículos'!$AM:$AM))/(_xlfn.XLOOKUP($AH$1,[1]CRITERIOS!$S$16:$S$39,[1]CRITERIOS!$Y$16:$Y$39))*$J234+$Z234)/$G234,0)*$G234,
((_xlfn.XLOOKUP($A234,'[1]DATOS PBI Artículos'!$A:$A,'[1]DATOS PBI Artículos'!$AM:$AM))/(_xlfn.XLOOKUP($AH$1,[1]CRITERIOS!$S$16:$S$39,[1]CRITERIOS!$Y$16:$Y$39))*$J234+$Z234)))</f>
        <v>2000</v>
      </c>
      <c r="AI234" s="39">
        <f>IF($R234="MTO","",
IF($H234=0,ROUNDUP(((_xlfn.XLOOKUP($A234,'[1]DATOS PBI Artículos'!$A:$A,'[1]DATOS PBI Artículos'!$AN:$AN))/(_xlfn.XLOOKUP($AJ$1,[1]CRITERIOS!$S$16:$S$39,[1]CRITERIOS!$Y$16:$Y$39))*$J234+$Z234)/$G234,0)*$G234,
((_xlfn.XLOOKUP($A234,'[1]DATOS PBI Artículos'!$A:$A,'[1]DATOS PBI Artículos'!$AN:$AN))/(_xlfn.XLOOKUP($AJ$1,[1]CRITERIOS!$S$16:$S$39,[1]CRITERIOS!$Y$16:$Y$39))*$J234+$Z234)))</f>
        <v>2000</v>
      </c>
      <c r="AK234" s="39">
        <f>IF($R234="MTO","",
IF($H234=0,ROUNDUP(((_xlfn.XLOOKUP($A234,'[1]DATOS PBI Artículos'!$A:$A,'[1]DATOS PBI Artículos'!$AO:$AO))/(_xlfn.XLOOKUP($AL$1,[1]CRITERIOS!$S$16:$S$39,[1]CRITERIOS!$Y$16:$Y$39))*$J234+$Z234)/$G234,0)*$G234,
((_xlfn.XLOOKUP($A234,'[1]DATOS PBI Artículos'!$A:$A,'[1]DATOS PBI Artículos'!$AO:$AO))/(_xlfn.XLOOKUP($AL$1,[1]CRITERIOS!$S$16:$S$39,[1]CRITERIOS!$Y$16:$Y$39))*$J234+$Z234)))</f>
        <v>2000</v>
      </c>
    </row>
    <row r="235" spans="1:37" ht="25.8" x14ac:dyDescent="0.5">
      <c r="A235" s="32">
        <v>407593</v>
      </c>
      <c r="B235" s="33">
        <f>_xlfn.XLOOKUP($A235,'[1]DATOS PBI Artículos'!A:A,'[1]DATOS PBI Artículos'!B:B)</f>
        <v>0</v>
      </c>
      <c r="C235" s="33">
        <f>_xlfn.XLOOKUP($A235,'[1]DATOS PBI Artículos'!A:A,'[1]DATOS PBI Artículos'!C:C)</f>
        <v>0</v>
      </c>
      <c r="D235" s="33">
        <f>_xlfn.XLOOKUP(A235,'[1]DATOS PBI Artículos'!A:A,'[1]DATOS PBI Artículos'!T:T)</f>
        <v>1</v>
      </c>
      <c r="E235" s="34">
        <f>IF(_xlfn.XLOOKUP($A235,'[1]DATOS PBI Artículos'!A:A,'[1]DATOS PBI Artículos'!AK:AK)="",_xlfn.XLOOKUP($A235,'[1]DATOS PBI Artículos'!A:A,'[1]DATOS PBI Artículos'!AJ:AJ),_xlfn.XLOOKUP($A235,'[1]DATOS PBI Artículos'!A:A,'[1]DATOS PBI Artículos'!AK:AK))</f>
        <v>800</v>
      </c>
      <c r="F235" s="35">
        <f>_xlfn.XLOOKUP($A235,'[1]DATOS PBI Artículos'!A:A,'[1]DATOS PBI Artículos'!AP:AP)</f>
        <v>75</v>
      </c>
      <c r="G235" s="34">
        <f>_xlfn.XLOOKUP($A235,'[1]DATOS PBI Artículos'!A:A,'[1]DATOS PBI Artículos'!AR:AR)</f>
        <v>800</v>
      </c>
      <c r="H235" s="34">
        <f>_xlfn.XLOOKUP($A235,'[1]DATOS PBI Artículos'!A:A,'[1]DATOS PBI Artículos'!AT:AT)</f>
        <v>0</v>
      </c>
      <c r="I235" s="34">
        <f>_xlfn.XLOOKUP($A235,'[1]DATOS PBI Artículos'!A:A,'[1]DATOS PBI Artículos'!AS:AS)</f>
        <v>800</v>
      </c>
      <c r="J235" s="35">
        <f>IF(COUNTIF([1]CRITERIOS!$F$179:$F$199,$A235)&gt;=1,
 IF(O235&lt;&gt;"",
    (O235/_xlfn.XLOOKUP(CONCATENATE(A235,L235),[1]MÁQUINAS!A:A,[1]MÁQUINAS!D:D))/24,
    (N235/_xlfn.XLOOKUP(CONCATENATE(A235,L235),[1]MÁQUINAS!A:A,[1]MÁQUINAS!D:D))/24),
  _xlfn.XLOOKUP($A235,'[1]DATOS PBI Artículos'!A:A,'[1]DATOS PBI Artículos'!AU:AU))</f>
        <v>22</v>
      </c>
      <c r="K235" s="36">
        <f>_xlfn.XLOOKUP($A235,'[1]DATOS PBI Artículos'!A:A,'[1]DATOS PBI Artículos'!AV:AV)</f>
        <v>0</v>
      </c>
      <c r="L235" s="33">
        <f>_xlfn.XLOOKUP(A235,[1]MÁQUINAS!B:B,[1]MÁQUINAS!C:C)</f>
        <v>140</v>
      </c>
      <c r="M235" s="34" t="e">
        <f t="array" ref="M235">_xlfn.XLOOKUP(A235,'[1]DATOS PBI Artículos'!A:A,'[1]DATOS PBI Artículos'!AX:$AX)</f>
        <v>#N/A</v>
      </c>
      <c r="N235" s="37" t="e">
        <f>IF(I235="DV",
E235,
IF(COUNTIF([1]CRITERIOS!$I$179:$I$199,$A235)&gt;=1,
_xlfn.XLOOKUP($A235,[1]CRITERIOS!$I$179:$I$199,[1]CRITERIOS!$J$179:$J$199),
IF(COUNTIF([1]CRITERIOS!$L$179:$L$199,$A235)&gt;=1,
_xlfn.CEILING.MATH(IF($M235&gt;$E235,
$E235,
IF($M235&lt;$E235/ROUNDDOWN([1]CRITERIOS!$M$16/_xlfn.XLOOKUP($C235,[1]CRITERIOS!$K$25:$K$42,[1]CRITERIOS!$M$25:$M$42),
1),
E235/ROUNDDOWN([1]CRITERIOS!$M$16/_xlfn.XLOOKUP($C235,[1]CRITERIOS!$K$25:$K$42,[1]CRITERIOS!$M$25:$M$42),
1),
$M235)),
_xlfn.XLOOKUP($A235,[1]CRITERIOS!$L$179:$L$200,[1]CRITERIOS!$M$179:$M$200)),
_xlfn.CEILING.MATH(IF($M235&gt;$E235,
$E235,
IF($M235&lt;$E235/ROUNDDOWN([1]CRITERIOS!$M$16/_xlfn.XLOOKUP($C235,[1]CRITERIOS!$K$25:$K$42,[1]CRITERIOS!$M$25:$M$42),
1),
E235/ROUNDDOWN([1]CRITERIOS!$M$16/_xlfn.XLOOKUP($C235,[1]CRITERIOS!$K$25:$K$42,[1]CRITERIOS!$M$25:$M$42),
1),
$M235)),_xlfn.XLOOKUP(A235,'[1]DATOS PBI Artículos'!A:A,'[1]DATOS PBI Artículos'!Z:Z
)))))</f>
        <v>#N/A</v>
      </c>
      <c r="Q235" s="38" t="e">
        <f>IF(AND(O235="",N235=0),
0,
   IF(COUNTIF([1]CRITERIOS!$F$179:$F$199,$A235)&gt;=1,
   1,
   IF(R235="MTO",
      $D235,
      ROUNDUP(
                    IF(($E235-SUMIF('[1]DATOS PBI Artículos'!A:A,A235,'[1]DATOS PBI Artículos'!X:X)+($V235-_xlfn.XLOOKUP(A235,'[1]DATOS PBI Artículos'!A:A,'[1]DATOS PBI Artículos'!W:W)))&lt;0,
                    0,
                    IF(($E235-SUMIF('[1]DATOS PBI Artículos'!A:A,A235,'[1]DATOS PBI Artículos'!X:X)+$V235-_xlfn.XLOOKUP($A235,'[1]DATOS PBI Artículos'!A:A,'[1]DATOS PBI Artículos'!W:W))/IF($O235="",$N235,$O235)&gt;ROUNDUP([1]CRITERIOS!$M$16/(IF(COUNTIF([1]CRITERIOS!$BG$11:$BG$201,L235)&gt;=1,_xlfn.XLOOKUP($C235,[1]CRITERIOS!$K$25:$K$42,[1]CRITERIOS!$M$25:$M$42),_xlfn.XLOOKUP($C235,[1]CRITERIOS!$K$25:$K$42,[1]CRITERIOS!$M$25:$M$42))),0),
                    ROUNDUP([1]CRITERIOS!$M$16/(IF(COUNTIF([1]CRITERIOS!$BG$11:$BG$201,$L235)&gt;=1,_xlfn.XLOOKUP($C235,[1]CRITERIOS!$K$25:$K$42,[1]CRITERIOS!$M$25:$M$42),_xlfn.XLOOKUP($C235,[1]CRITERIOS!$K$25:$K$42,[1]CRITERIOS!$M$25:$M$42))),0),
                    (E235+V235-SUMIF('[1]DATOS PBI Artículos'!A:A,A235,'[1]DATOS PBI Artículos'!X:X)-_xlfn.XLOOKUP(A235,'[1]DATOS PBI Artículos'!A:A,'[1]DATOS PBI Artículos'!W:W))/IF($O235="",$N235,$O235))),0))))</f>
        <v>#N/A</v>
      </c>
      <c r="R235" s="33" t="e">
        <f>IF(U235&lt;&gt;"",U235,IF(F235="DV","MTO",IF(N235=0,"MTO",_xlfn.XLOOKUP(CONCATENATE(S235,T235),[1]CRITERIOS!$K$160:$K$168,[1]CRITERIOS!$N$160:$N$168))))</f>
        <v>#N/A</v>
      </c>
      <c r="S235" s="33" t="e">
        <f>IF(G235="DV","MTO",IF(N235=0,"MTO",IF(OR(AND(N235=0,O235=""),IF(O235="",G235/N235,G235/O235)&gt;[1]CRITERIOS!$G$163),"MTO",IF(IF(O235="",G235/N235,G235/O235)&lt;[1]CRITERIOS!$H$161,"MTS","MTOS"))))</f>
        <v>#N/A</v>
      </c>
      <c r="T235" s="33" t="e">
        <f>IF(F235="DV","MTO",IF(OR(AND($N235=0,O235=""),$F235/$J235&gt;[1]CRITERIOS!$G$170,$F235="DV"),"MTO",IF($F235/$J235&lt;[1]CRITERIOS!$H$168,"MTS","MTOS")))</f>
        <v>#N/A</v>
      </c>
      <c r="V235" s="34" t="e">
        <f t="shared" si="13"/>
        <v>#N/A</v>
      </c>
      <c r="X235" s="34" t="e">
        <f t="shared" si="11"/>
        <v>#N/A</v>
      </c>
      <c r="Y235" s="34" t="e">
        <f t="shared" si="12"/>
        <v>#N/A</v>
      </c>
      <c r="Z235" s="34" t="e">
        <f>IF($R235="MTO",
0,
($H235+$K235*($E235/[1]CRITERIOS!$M$16))/[1]CRITERIOS!$X$48)</f>
        <v>#N/A</v>
      </c>
      <c r="AA235" s="34" t="e">
        <f>ROUNDUP(($Y235/_xlfn.XLOOKUP($A235,'[1]DATOS PBI Artículos'!$A$4:$A$4,'[1]DATOS PBI Artículos'!$Z$4:$Z$4))/_xlfn.XLOOKUP(_xlfn.XLOOKUP($A235,'[1]DATOS PBI Artículos'!$A$4:$A$4,'[1]DATOS PBI Artículos'!$Y$4:$Y$4),[1]CRITERIOS!$P$79:$P$123,[1]CRITERIOS!$S$79:$S$123,),0)</f>
        <v>#N/A</v>
      </c>
      <c r="AB235" s="33" t="e">
        <f t="array" ref="AB235">IF((E235+V235-_xlfn.XLOOKUP(A235,'[1]DATOS PBI Artículos'!$A$4:$A$4,'[1]DATOS PBI Artículos'!$W$4:$W$4))/N235&gt;ROUNDUP([1]CRITERIOS!$M$16/(IF(COUNTIF([1]CRITERIOS!$BG$11:$BG$201,L235)&gt;=1,_xlfn.XLOOKUP(ARTÍCULOS!L235,[1]CRITERIOS!$BG$11:$BG$201,[1]CRITERIOS!$BJ$11:$BJ$201),_xlfn.XLOOKUP(ARTÍCULOS!C235,[1]CRITERIOS!$K$25:$K$42,[1]CRITERIOS!$M$25:$M$42))),0),ROUNDUP([1]CRITERIOS!$M$16/(IF(COUNTIF([1]CRITERIOS!$BG$11:$BG$201,L235)&gt;=1,_xlfn.XLOOKUP(ARTÍCULOS!L235,[1]CRITERIOS!$BG$11:$BG$201:#REF!,[1]CRITERIOS!$BJ$11:$BJ$201),_xlfn.XLOOKUP(ARTÍCULOS!C235,[1]CRITERIOS!$K$25:$K$42,[1]CRITERIOS!$M$25:$M$42))),0),(E235+V235-_xlfn.XLOOKUP(A235,'[1]DATOS PBI Artículos'!$A$4:$A$4,'[1]DATOS PBI Artículos'!$W$4:$W$4))/N235)</f>
        <v>#N/A</v>
      </c>
      <c r="AC235" s="33" t="e">
        <f>IF(N235=0,"",(ROUNDUP((N235/2)/(_xlfn.XLOOKUP(A235,'[1]DATOS PBI Artículos'!$A$4:$A$4,'[1]DATOS PBI Artículos'!$Z$4:$Z$4)*_xlfn.XLOOKUP(_xlfn.XLOOKUP(A235,'[1]DATOS PBI Artículos'!$A$4:$A$4,'[1]DATOS PBI Artículos'!$Y$4:$Y$4),[1]CRITERIOS!$P$79:$P$123,[1]CRITERIOS!$S$79:$S$123)),0)*[1]CRITERIOS!$M$80*([1]CRITERIOS!$M$110/[1]CRITERIOS!$M$86)+(_xlfn.XLOOKUP(A235,'[1]DATOS PBI Artículos'!$A$4:$A$4,'[1]DATOS PBI Artículos'!$AA$4:$AA$4)*([1]CRITERIOS!$M$95+[1]CRITERIOS!$M$98)))/N235)</f>
        <v>#N/A</v>
      </c>
      <c r="AD235" s="33" t="e">
        <f>IF(N235=0,"",(ROUNDUP((N235/2)/(_xlfn.XLOOKUP(A235,'[1]DATOS PBI Artículos'!$A$4:$A$4,'[1]DATOS PBI Artículos'!$Z$4:$Z$4)*_xlfn.XLOOKUP(_xlfn.XLOOKUP(A235,'[1]DATOS PBI Artículos'!$A$4:$A$4,'[1]DATOS PBI Artículos'!$Y$4:$Y$4),[1]CRITERIOS!$P$79:$P$123,[1]CRITERIOS!$S$79:$S$123)),0)*[1]CRITERIOS!$M$80*([1]CRITERIOS!$M$89*[1]CRITERIOS!$M$92)+((_xlfn.XLOOKUP(A235,'[1]DATOS PBI Artículos'!$A$4:$A$4,'[1]DATOS PBI Artículos'!$AA$4:$AA$4)/2)*([1]CRITERIOS!$M$95+[1]CRITERIOS!$M$98)))/N235)</f>
        <v>#N/A</v>
      </c>
      <c r="AE235" s="39" t="e">
        <f>IF($R235="MTO","",
IF($H235=0,ROUNDUP(((_xlfn.XLOOKUP($A235,'[1]DATOS PBI Artículos'!$A:$A,'[1]DATOS PBI Artículos'!$AL:$AL))/(_xlfn.XLOOKUP($AF$1,[1]CRITERIOS!$S$16:$S$39,[1]CRITERIOS!$Y$16:$Y$39))*$J235+$Z235)/$G235,0)*$G235,
((_xlfn.XLOOKUP($A235,'[1]DATOS PBI Artículos'!$A:$A,'[1]DATOS PBI Artículos'!$AL:$AL))/(_xlfn.XLOOKUP($AF$1,[1]CRITERIOS!$S$16:$S$39,[1]CRITERIOS!$Y$16:$Y$39))*$J235+$Z235)))</f>
        <v>#N/A</v>
      </c>
      <c r="AG235" s="39" t="e">
        <f>IF($R235="MTO","",
IF($H235=0,ROUNDUP(((_xlfn.XLOOKUP($A235,'[1]DATOS PBI Artículos'!$A:$A,'[1]DATOS PBI Artículos'!$AM:$AM))/(_xlfn.XLOOKUP($AH$1,[1]CRITERIOS!$S$16:$S$39,[1]CRITERIOS!$Y$16:$Y$39))*$J235+$Z235)/$G235,0)*$G235,
((_xlfn.XLOOKUP($A235,'[1]DATOS PBI Artículos'!$A:$A,'[1]DATOS PBI Artículos'!$AM:$AM))/(_xlfn.XLOOKUP($AH$1,[1]CRITERIOS!$S$16:$S$39,[1]CRITERIOS!$Y$16:$Y$39))*$J235+$Z235)))</f>
        <v>#N/A</v>
      </c>
      <c r="AI235" s="39" t="e">
        <f>IF($R235="MTO","",
IF($H235=0,ROUNDUP(((_xlfn.XLOOKUP($A235,'[1]DATOS PBI Artículos'!$A:$A,'[1]DATOS PBI Artículos'!$AN:$AN))/(_xlfn.XLOOKUP($AJ$1,[1]CRITERIOS!$S$16:$S$39,[1]CRITERIOS!$Y$16:$Y$39))*$J235+$Z235)/$G235,0)*$G235,
((_xlfn.XLOOKUP($A235,'[1]DATOS PBI Artículos'!$A:$A,'[1]DATOS PBI Artículos'!$AN:$AN))/(_xlfn.XLOOKUP($AJ$1,[1]CRITERIOS!$S$16:$S$39,[1]CRITERIOS!$Y$16:$Y$39))*$J235+$Z235)))</f>
        <v>#N/A</v>
      </c>
      <c r="AK235" s="39" t="e">
        <f>IF($R235="MTO","",
IF($H235=0,ROUNDUP(((_xlfn.XLOOKUP($A235,'[1]DATOS PBI Artículos'!$A:$A,'[1]DATOS PBI Artículos'!$AO:$AO))/(_xlfn.XLOOKUP($AL$1,[1]CRITERIOS!$S$16:$S$39,[1]CRITERIOS!$Y$16:$Y$39))*$J235+$Z235)/$G235,0)*$G235,
((_xlfn.XLOOKUP($A235,'[1]DATOS PBI Artículos'!$A:$A,'[1]DATOS PBI Artículos'!$AO:$AO))/(_xlfn.XLOOKUP($AL$1,[1]CRITERIOS!$S$16:$S$39,[1]CRITERIOS!$Y$16:$Y$39))*$J235+$Z235)))</f>
        <v>#N/A</v>
      </c>
    </row>
    <row r="236" spans="1:37" ht="25.8" x14ac:dyDescent="0.5">
      <c r="A236" s="32">
        <v>402698</v>
      </c>
      <c r="B236" s="33">
        <f>_xlfn.XLOOKUP($A236,'[1]DATOS PBI Artículos'!A:A,'[1]DATOS PBI Artículos'!B:B)</f>
        <v>0</v>
      </c>
      <c r="C236" s="33" t="str">
        <f>_xlfn.XLOOKUP($A236,'[1]DATOS PBI Artículos'!A:A,'[1]DATOS PBI Artículos'!C:C)</f>
        <v>UA03</v>
      </c>
      <c r="D236" s="33">
        <f>_xlfn.XLOOKUP(A236,'[1]DATOS PBI Artículos'!A:A,'[1]DATOS PBI Artículos'!T:T)</f>
        <v>1</v>
      </c>
      <c r="E236" s="34">
        <f>IF(_xlfn.XLOOKUP($A236,'[1]DATOS PBI Artículos'!A:A,'[1]DATOS PBI Artículos'!AK:AK)="",_xlfn.XLOOKUP($A236,'[1]DATOS PBI Artículos'!A:A,'[1]DATOS PBI Artículos'!AJ:AJ),_xlfn.XLOOKUP($A236,'[1]DATOS PBI Artículos'!A:A,'[1]DATOS PBI Artículos'!AK:AK))</f>
        <v>5</v>
      </c>
      <c r="F236" s="35">
        <f>_xlfn.XLOOKUP($A236,'[1]DATOS PBI Artículos'!A:A,'[1]DATOS PBI Artículos'!AP:AP)</f>
        <v>75</v>
      </c>
      <c r="G236" s="34">
        <f>_xlfn.XLOOKUP($A236,'[1]DATOS PBI Artículos'!A:A,'[1]DATOS PBI Artículos'!AR:AR)</f>
        <v>5</v>
      </c>
      <c r="H236" s="34">
        <f>_xlfn.XLOOKUP($A236,'[1]DATOS PBI Artículos'!A:A,'[1]DATOS PBI Artículos'!AT:AT)</f>
        <v>0</v>
      </c>
      <c r="I236" s="34">
        <f>_xlfn.XLOOKUP($A236,'[1]DATOS PBI Artículos'!A:A,'[1]DATOS PBI Artículos'!AS:AS)</f>
        <v>5</v>
      </c>
      <c r="J236" s="35">
        <f>IF(COUNTIF([1]CRITERIOS!$F$179:$F$199,$A236)&gt;=1,
 IF(O236&lt;&gt;"",
    (O236/_xlfn.XLOOKUP(CONCATENATE(A236,L236),[1]MÁQUINAS!A:A,[1]MÁQUINAS!D:D))/24,
    (N236/_xlfn.XLOOKUP(CONCATENATE(A236,L236),[1]MÁQUINAS!A:A,[1]MÁQUINAS!D:D))/24),
  _xlfn.XLOOKUP($A236,'[1]DATOS PBI Artículos'!A:A,'[1]DATOS PBI Artículos'!AU:AU))</f>
        <v>10</v>
      </c>
      <c r="K236" s="36">
        <f>_xlfn.XLOOKUP($A236,'[1]DATOS PBI Artículos'!A:A,'[1]DATOS PBI Artículos'!AV:AV)</f>
        <v>0</v>
      </c>
      <c r="L236" s="33">
        <f>_xlfn.XLOOKUP(A236,[1]MÁQUINAS!B:B,[1]MÁQUINAS!C:C)</f>
        <v>122</v>
      </c>
      <c r="M236" s="34">
        <f t="array" ref="M236">_xlfn.XLOOKUP(A236,'[1]DATOS PBI Artículos'!A:A,'[1]DATOS PBI Artículos'!AX:$AX)</f>
        <v>197.38444348015338</v>
      </c>
      <c r="N236" s="37">
        <f>IF(I236="DV",
E236,
IF(COUNTIF([1]CRITERIOS!$I$179:$I$199,$A236)&gt;=1,
_xlfn.XLOOKUP($A236,[1]CRITERIOS!$I$179:$I$199,[1]CRITERIOS!$J$179:$J$199),
IF(COUNTIF([1]CRITERIOS!$L$179:$L$199,$A236)&gt;=1,
_xlfn.CEILING.MATH(IF($M236&gt;$E236,
$E236,
IF($M236&lt;$E236/ROUNDDOWN([1]CRITERIOS!$M$16/_xlfn.XLOOKUP($C236,[1]CRITERIOS!$K$25:$K$42,[1]CRITERIOS!$M$25:$M$42),
1),
E236/ROUNDDOWN([1]CRITERIOS!$M$16/_xlfn.XLOOKUP($C236,[1]CRITERIOS!$K$25:$K$42,[1]CRITERIOS!$M$25:$M$42),
1),
$M236)),
_xlfn.XLOOKUP($A236,[1]CRITERIOS!$L$179:$L$200,[1]CRITERIOS!$M$179:$M$200)),
_xlfn.CEILING.MATH(IF($M236&gt;$E236,
$E236,
IF($M236&lt;$E236/ROUNDDOWN([1]CRITERIOS!$M$16/_xlfn.XLOOKUP($C236,[1]CRITERIOS!$K$25:$K$42,[1]CRITERIOS!$M$25:$M$42),
1),
E236/ROUNDDOWN([1]CRITERIOS!$M$16/_xlfn.XLOOKUP($C236,[1]CRITERIOS!$K$25:$K$42,[1]CRITERIOS!$M$25:$M$42),
1),
$M236)),_xlfn.XLOOKUP(A236,'[1]DATOS PBI Artículos'!A:A,'[1]DATOS PBI Artículos'!Z:Z
)))))</f>
        <v>2000</v>
      </c>
      <c r="Q236" s="38">
        <f>IF(AND(O236="",N236=0),
0,
   IF(COUNTIF([1]CRITERIOS!$F$179:$F$199,$A236)&gt;=1,
   1,
   IF(R236="MTO",
      $D236,
      ROUNDUP(
                    IF(($E236-SUMIF('[1]DATOS PBI Artículos'!A:A,A236,'[1]DATOS PBI Artículos'!X:X)+($V236-_xlfn.XLOOKUP(A236,'[1]DATOS PBI Artículos'!A:A,'[1]DATOS PBI Artículos'!W:W)))&lt;0,
                    0,
                    IF(($E236-SUMIF('[1]DATOS PBI Artículos'!A:A,A236,'[1]DATOS PBI Artículos'!X:X)+$V236-_xlfn.XLOOKUP($A236,'[1]DATOS PBI Artículos'!A:A,'[1]DATOS PBI Artículos'!W:W))/IF($O236="",$N236,$O236)&gt;ROUNDUP([1]CRITERIOS!$M$16/(IF(COUNTIF([1]CRITERIOS!$BG$11:$BG$201,L236)&gt;=1,_xlfn.XLOOKUP($C236,[1]CRITERIOS!$K$25:$K$42,[1]CRITERIOS!$M$25:$M$42),_xlfn.XLOOKUP($C236,[1]CRITERIOS!$K$25:$K$42,[1]CRITERIOS!$M$25:$M$42))),0),
                    ROUNDUP([1]CRITERIOS!$M$16/(IF(COUNTIF([1]CRITERIOS!$BG$11:$BG$201,$L236)&gt;=1,_xlfn.XLOOKUP($C236,[1]CRITERIOS!$K$25:$K$42,[1]CRITERIOS!$M$25:$M$42),_xlfn.XLOOKUP($C236,[1]CRITERIOS!$K$25:$K$42,[1]CRITERIOS!$M$25:$M$42))),0),
                    (E236+V236-SUMIF('[1]DATOS PBI Artículos'!A:A,A236,'[1]DATOS PBI Artículos'!X:X)-_xlfn.XLOOKUP(A236,'[1]DATOS PBI Artículos'!A:A,'[1]DATOS PBI Artículos'!W:W))/IF($O236="",$N236,$O236))),0))))</f>
        <v>1</v>
      </c>
      <c r="R236" s="33" t="str">
        <f>IF(U236&lt;&gt;"",U236,IF(F236="DV","MTO",IF(N236=0,"MTO",_xlfn.XLOOKUP(CONCATENATE(S236,T236),[1]CRITERIOS!$K$160:$K$168,[1]CRITERIOS!$N$160:$N$168))))</f>
        <v>MTS</v>
      </c>
      <c r="S236" s="33" t="str">
        <f>IF(G236="DV","MTO",IF(N236=0,"MTO",IF(OR(AND(N236=0,O236=""),IF(O236="",G236/N236,G236/O236)&gt;[1]CRITERIOS!$G$163),"MTO",IF(IF(O236="",G236/N236,G236/O236)&lt;[1]CRITERIOS!$H$161,"MTS","MTOS"))))</f>
        <v>MTS</v>
      </c>
      <c r="T236" s="33" t="str">
        <f>IF(F236="DV","MTO",IF(OR(AND($N236=0,O236=""),$F236/$J236&gt;[1]CRITERIOS!$G$170,$F236="DV"),"MTO",IF($F236/$J236&lt;[1]CRITERIOS!$H$168,"MTS","MTOS")))</f>
        <v>MTO</v>
      </c>
      <c r="V236" s="34">
        <f t="shared" si="13"/>
        <v>0.66666666666666663</v>
      </c>
      <c r="X236" s="34">
        <f t="shared" si="11"/>
        <v>2000.6666666666667</v>
      </c>
      <c r="Y236" s="34">
        <f t="shared" si="12"/>
        <v>1000</v>
      </c>
      <c r="Z236" s="34">
        <f>IF($R236="MTO",
0,
($H236+$K236*($E236/[1]CRITERIOS!$M$16))/[1]CRITERIOS!$X$48)</f>
        <v>0</v>
      </c>
      <c r="AA236" s="34" t="e">
        <f>ROUNDUP(($Y236/_xlfn.XLOOKUP($A236,'[1]DATOS PBI Artículos'!$A$4:$A$4,'[1]DATOS PBI Artículos'!$Z$4:$Z$4))/_xlfn.XLOOKUP(_xlfn.XLOOKUP($A236,'[1]DATOS PBI Artículos'!$A$4:$A$4,'[1]DATOS PBI Artículos'!$Y$4:$Y$4),[1]CRITERIOS!$P$79:$P$123,[1]CRITERIOS!$S$79:$S$123,),0)</f>
        <v>#N/A</v>
      </c>
      <c r="AB236" s="33" t="e">
        <f t="array" ref="AB236">IF((E236+V236-_xlfn.XLOOKUP(A236,'[1]DATOS PBI Artículos'!$A$4:$A$4,'[1]DATOS PBI Artículos'!$W$4:$W$4))/N236&gt;ROUNDUP([1]CRITERIOS!$M$16/(IF(COUNTIF([1]CRITERIOS!$BG$11:$BG$201,L236)&gt;=1,_xlfn.XLOOKUP(ARTÍCULOS!L236,[1]CRITERIOS!$BG$11:$BG$201,[1]CRITERIOS!$BJ$11:$BJ$201),_xlfn.XLOOKUP(ARTÍCULOS!C236,[1]CRITERIOS!$K$25:$K$42,[1]CRITERIOS!$M$25:$M$42))),0),ROUNDUP([1]CRITERIOS!$M$16/(IF(COUNTIF([1]CRITERIOS!$BG$11:$BG$201,L236)&gt;=1,_xlfn.XLOOKUP(ARTÍCULOS!L236,[1]CRITERIOS!$BG$11:$BG$201:#REF!,[1]CRITERIOS!$BJ$11:$BJ$201),_xlfn.XLOOKUP(ARTÍCULOS!C236,[1]CRITERIOS!$K$25:$K$42,[1]CRITERIOS!$M$25:$M$42))),0),(E236+V236-_xlfn.XLOOKUP(A236,'[1]DATOS PBI Artículos'!$A$4:$A$4,'[1]DATOS PBI Artículos'!$W$4:$W$4))/N236)</f>
        <v>#N/A</v>
      </c>
      <c r="AC236" s="33" t="e">
        <f>IF(N236=0,"",(ROUNDUP((N236/2)/(_xlfn.XLOOKUP(A236,'[1]DATOS PBI Artículos'!$A$4:$A$4,'[1]DATOS PBI Artículos'!$Z$4:$Z$4)*_xlfn.XLOOKUP(_xlfn.XLOOKUP(A236,'[1]DATOS PBI Artículos'!$A$4:$A$4,'[1]DATOS PBI Artículos'!$Y$4:$Y$4),[1]CRITERIOS!$P$79:$P$123,[1]CRITERIOS!$S$79:$S$123)),0)*[1]CRITERIOS!$M$80*([1]CRITERIOS!$M$110/[1]CRITERIOS!$M$86)+(_xlfn.XLOOKUP(A236,'[1]DATOS PBI Artículos'!$A$4:$A$4,'[1]DATOS PBI Artículos'!$AA$4:$AA$4)*([1]CRITERIOS!$M$95+[1]CRITERIOS!$M$98)))/N236)</f>
        <v>#N/A</v>
      </c>
      <c r="AD236" s="33" t="e">
        <f>IF(N236=0,"",(ROUNDUP((N236/2)/(_xlfn.XLOOKUP(A236,'[1]DATOS PBI Artículos'!$A$4:$A$4,'[1]DATOS PBI Artículos'!$Z$4:$Z$4)*_xlfn.XLOOKUP(_xlfn.XLOOKUP(A236,'[1]DATOS PBI Artículos'!$A$4:$A$4,'[1]DATOS PBI Artículos'!$Y$4:$Y$4),[1]CRITERIOS!$P$79:$P$123,[1]CRITERIOS!$S$79:$S$123)),0)*[1]CRITERIOS!$M$80*([1]CRITERIOS!$M$89*[1]CRITERIOS!$M$92)+((_xlfn.XLOOKUP(A236,'[1]DATOS PBI Artículos'!$A$4:$A$4,'[1]DATOS PBI Artículos'!$AA$4:$AA$4)/2)*([1]CRITERIOS!$M$95+[1]CRITERIOS!$M$98)))/N236)</f>
        <v>#N/A</v>
      </c>
      <c r="AE236" s="39">
        <f>IF($R236="MTO","",
IF($H236=0,ROUNDUP(((_xlfn.XLOOKUP($A236,'[1]DATOS PBI Artículos'!$A:$A,'[1]DATOS PBI Artículos'!$AL:$AL))/(_xlfn.XLOOKUP($AF$1,[1]CRITERIOS!$S$16:$S$39,[1]CRITERIOS!$Y$16:$Y$39))*$J236+$Z236)/$G236,0)*$G236,
((_xlfn.XLOOKUP($A236,'[1]DATOS PBI Artículos'!$A:$A,'[1]DATOS PBI Artículos'!$AL:$AL))/(_xlfn.XLOOKUP($AF$1,[1]CRITERIOS!$S$16:$S$39,[1]CRITERIOS!$Y$16:$Y$39))*$J236+$Z236)))</f>
        <v>5</v>
      </c>
      <c r="AG236" s="39">
        <f>IF($R236="MTO","",
IF($H236=0,ROUNDUP(((_xlfn.XLOOKUP($A236,'[1]DATOS PBI Artículos'!$A:$A,'[1]DATOS PBI Artículos'!$AM:$AM))/(_xlfn.XLOOKUP($AH$1,[1]CRITERIOS!$S$16:$S$39,[1]CRITERIOS!$Y$16:$Y$39))*$J236+$Z236)/$G236,0)*$G236,
((_xlfn.XLOOKUP($A236,'[1]DATOS PBI Artículos'!$A:$A,'[1]DATOS PBI Artículos'!$AM:$AM))/(_xlfn.XLOOKUP($AH$1,[1]CRITERIOS!$S$16:$S$39,[1]CRITERIOS!$Y$16:$Y$39))*$J236+$Z236)))</f>
        <v>5</v>
      </c>
      <c r="AI236" s="39">
        <f>IF($R236="MTO","",
IF($H236=0,ROUNDUP(((_xlfn.XLOOKUP($A236,'[1]DATOS PBI Artículos'!$A:$A,'[1]DATOS PBI Artículos'!$AN:$AN))/(_xlfn.XLOOKUP($AJ$1,[1]CRITERIOS!$S$16:$S$39,[1]CRITERIOS!$Y$16:$Y$39))*$J236+$Z236)/$G236,0)*$G236,
((_xlfn.XLOOKUP($A236,'[1]DATOS PBI Artículos'!$A:$A,'[1]DATOS PBI Artículos'!$AN:$AN))/(_xlfn.XLOOKUP($AJ$1,[1]CRITERIOS!$S$16:$S$39,[1]CRITERIOS!$Y$16:$Y$39))*$J236+$Z236)))</f>
        <v>5</v>
      </c>
      <c r="AK236" s="39">
        <f>IF($R236="MTO","",
IF($H236=0,ROUNDUP(((_xlfn.XLOOKUP($A236,'[1]DATOS PBI Artículos'!$A:$A,'[1]DATOS PBI Artículos'!$AO:$AO))/(_xlfn.XLOOKUP($AL$1,[1]CRITERIOS!$S$16:$S$39,[1]CRITERIOS!$Y$16:$Y$39))*$J236+$Z236)/$G236,0)*$G236,
((_xlfn.XLOOKUP($A236,'[1]DATOS PBI Artículos'!$A:$A,'[1]DATOS PBI Artículos'!$AO:$AO))/(_xlfn.XLOOKUP($AL$1,[1]CRITERIOS!$S$16:$S$39,[1]CRITERIOS!$Y$16:$Y$39))*$J236+$Z236)))</f>
        <v>5</v>
      </c>
    </row>
    <row r="237" spans="1:37" ht="25.8" hidden="1" x14ac:dyDescent="0.4">
      <c r="A237" s="41"/>
      <c r="B237" s="33">
        <f>_xlfn.XLOOKUP($A237,'[1]DATOS PBI Artículos'!A:A,'[1]DATOS PBI Artículos'!B:B)</f>
        <v>0</v>
      </c>
      <c r="C237" s="33">
        <f>_xlfn.XLOOKUP($A237,'[1]DATOS PBI Artículos'!A:A,'[1]DATOS PBI Artículos'!C:C)</f>
        <v>0</v>
      </c>
      <c r="D237" s="33">
        <f>_xlfn.XLOOKUP(A237,'[1]DATOS PBI Artículos'!A:A,'[1]DATOS PBI Artículos'!T:T)</f>
        <v>0</v>
      </c>
      <c r="E237" s="34">
        <f>IF(_xlfn.XLOOKUP($A237,'[1]DATOS PBI Artículos'!A:A,'[1]DATOS PBI Artículos'!AK:AK)="",_xlfn.XLOOKUP($A237,'[1]DATOS PBI Artículos'!A:A,'[1]DATOS PBI Artículos'!AJ:AJ),_xlfn.XLOOKUP($A237,'[1]DATOS PBI Artículos'!A:A,'[1]DATOS PBI Artículos'!AK:AK))</f>
        <v>0</v>
      </c>
      <c r="F237" s="35">
        <f>_xlfn.XLOOKUP($A237,'[1]DATOS PBI Artículos'!A:A,'[1]DATOS PBI Artículos'!AP:AP)</f>
        <v>0</v>
      </c>
      <c r="G237" s="34">
        <f>_xlfn.XLOOKUP($A237,'[1]DATOS PBI Artículos'!A:A,'[1]DATOS PBI Artículos'!AR:AR)</f>
        <v>0</v>
      </c>
      <c r="H237" s="34">
        <f>_xlfn.XLOOKUP($A237,'[1]DATOS PBI Artículos'!A:A,'[1]DATOS PBI Artículos'!AT:AT)</f>
        <v>0</v>
      </c>
      <c r="I237" s="34">
        <f>_xlfn.XLOOKUP($A237,'[1]DATOS PBI Artículos'!A:A,'[1]DATOS PBI Artículos'!AS:AS)</f>
        <v>0</v>
      </c>
      <c r="J237" s="35">
        <f>IF(COUNTIF([1]CRITERIOS!$F$179:$F$199,$A237)&gt;=1,
 IF(O237&lt;&gt;"",
    (O237/_xlfn.XLOOKUP(CONCATENATE(A237,L237),[1]MÁQUINAS!A:A,[1]MÁQUINAS!D:D))/24,
    (N237/_xlfn.XLOOKUP(CONCATENATE(A237,L237),[1]MÁQUINAS!A:A,[1]MÁQUINAS!D:D))/24),
  _xlfn.XLOOKUP($A237,'[1]DATOS PBI Artículos'!A:A,'[1]DATOS PBI Artículos'!AU:AU))</f>
        <v>0</v>
      </c>
      <c r="K237" s="36">
        <f>_xlfn.XLOOKUP($A237,'[1]DATOS PBI Artículos'!A:A,'[1]DATOS PBI Artículos'!AV:AV)</f>
        <v>0</v>
      </c>
      <c r="L237" s="33">
        <f>_xlfn.XLOOKUP(A237,[1]MÁQUINAS!B:B,[1]MÁQUINAS!C:C)</f>
        <v>0</v>
      </c>
      <c r="M237" s="34">
        <f t="array" ref="M237">_xlfn.XLOOKUP(A237,'[1]DATOS PBI Artículos'!A:A,'[1]DATOS PBI Artículos'!AX:$AX)</f>
        <v>0</v>
      </c>
      <c r="N237" s="37" t="e">
        <f>IF(I237="DV",
E237,
IF(COUNTIF([1]CRITERIOS!$I$179:$I$199,$A237)&gt;=1,
_xlfn.XLOOKUP($A237,[1]CRITERIOS!$I$179:$I$199,[1]CRITERIOS!$J$179:$J$199),
IF(COUNTIF([1]CRITERIOS!$L$179:$L$199,$A237)&gt;=1,
_xlfn.CEILING.MATH(IF($M237&gt;$E237,
$E237,
IF($M237&lt;$E237/ROUNDDOWN([1]CRITERIOS!$M$16/_xlfn.XLOOKUP($C237,[1]CRITERIOS!$K$25:$K$42,[1]CRITERIOS!$M$25:$M$42),
1),
E237/ROUNDDOWN([1]CRITERIOS!$M$16/_xlfn.XLOOKUP($C237,[1]CRITERIOS!$K$25:$K$42,[1]CRITERIOS!$M$25:$M$42),
1),
$M237)),
_xlfn.XLOOKUP($A237,[1]CRITERIOS!$L$179:$L$200,[1]CRITERIOS!$M$179:$M$200)),
_xlfn.CEILING.MATH(IF($M237&gt;$E237,
$E237,
IF($M237&lt;$E237/ROUNDDOWN([1]CRITERIOS!$M$16/_xlfn.XLOOKUP($C237,[1]CRITERIOS!$K$25:$K$42,[1]CRITERIOS!$M$25:$M$42),
1),
E237/ROUNDDOWN([1]CRITERIOS!$M$16/_xlfn.XLOOKUP($C237,[1]CRITERIOS!$K$25:$K$42,[1]CRITERIOS!$M$25:$M$42),
1),
$M237)),_xlfn.XLOOKUP(A237,'[1]DATOS PBI Artículos'!A:A,'[1]DATOS PBI Artículos'!Z:Z
)))))</f>
        <v>#N/A</v>
      </c>
      <c r="Q237" s="38" t="e">
        <f>IF(AND(O237="",N237=0),
0,
   IF(COUNTIF([1]CRITERIOS!$F$179:$F$199,$A237)&gt;=1,
   1,
   IF(R237="MTO",
      $D237,
      ROUNDUP(
                    IF(($E237-SUMIF('[1]DATOS PBI Artículos'!A:A,A237,'[1]DATOS PBI Artículos'!X:X)+($V237-_xlfn.XLOOKUP(A237,'[1]DATOS PBI Artículos'!A:A,'[1]DATOS PBI Artículos'!W:W)))&lt;0,
                    0,
                    IF(($E237-SUMIF('[1]DATOS PBI Artículos'!A:A,A237,'[1]DATOS PBI Artículos'!X:X)+$V237-_xlfn.XLOOKUP($A237,'[1]DATOS PBI Artículos'!A:A,'[1]DATOS PBI Artículos'!W:W))/IF($O237="",$N237,$O237)&gt;ROUNDUP([1]CRITERIOS!$M$16/(IF(COUNTIF([1]CRITERIOS!$BG$11:$BG$201,L237)&gt;=1,_xlfn.XLOOKUP($C237,[1]CRITERIOS!$K$25:$K$42,[1]CRITERIOS!$M$25:$M$42),_xlfn.XLOOKUP($C237,[1]CRITERIOS!$K$25:$K$42,[1]CRITERIOS!$M$25:$M$42))),0),
                    ROUNDUP([1]CRITERIOS!$M$16/(IF(COUNTIF([1]CRITERIOS!$BG$11:$BG$201,$L237)&gt;=1,_xlfn.XLOOKUP($C237,[1]CRITERIOS!$K$25:$K$42,[1]CRITERIOS!$M$25:$M$42),_xlfn.XLOOKUP($C237,[1]CRITERIOS!$K$25:$K$42,[1]CRITERIOS!$M$25:$M$42))),0),
                    (E237+V237-SUMIF('[1]DATOS PBI Artículos'!A:A,A237,'[1]DATOS PBI Artículos'!X:X)-_xlfn.XLOOKUP(A237,'[1]DATOS PBI Artículos'!A:A,'[1]DATOS PBI Artículos'!W:W))/IF($O237="",$N237,$O237))),0))))</f>
        <v>#N/A</v>
      </c>
      <c r="R237" s="33" t="e">
        <f>IF(U237&lt;&gt;"",U237,IF(F237="DV","MTO",IF(N237=0,"MTO",_xlfn.XLOOKUP(CONCATENATE(S237,T237),[1]CRITERIOS!$K$160:$K$168,[1]CRITERIOS!$N$160:$N$168))))</f>
        <v>#N/A</v>
      </c>
      <c r="S237" s="33" t="e">
        <f>IF(G237="DV","MTO",IF(N237=0,"MTO",IF(OR(AND(N237=0,O237=""),IF(O237="",G237/N237,G237/O237)&gt;[1]CRITERIOS!$G$163),"MTO",IF(IF(O237="",G237/N237,G237/O237)&lt;[1]CRITERIOS!$H$161,"MTS","MTOS"))))</f>
        <v>#N/A</v>
      </c>
      <c r="T237" s="33" t="e">
        <f>IF(F237="DV","MTO",IF(OR(AND($N237=0,O237=""),$F237/$J237&gt;[1]CRITERIOS!$G$170,$F237="DV"),"MTO",IF($F237/$J237&lt;[1]CRITERIOS!$H$168,"MTS","MTOS")))</f>
        <v>#N/A</v>
      </c>
      <c r="V237" s="34" t="e">
        <f t="shared" si="13"/>
        <v>#N/A</v>
      </c>
      <c r="X237" s="34" t="e">
        <f t="shared" si="11"/>
        <v>#N/A</v>
      </c>
      <c r="Y237" s="34" t="e">
        <f t="shared" si="12"/>
        <v>#N/A</v>
      </c>
      <c r="Z237" s="34" t="e">
        <f>IF($R237="MTO",
0,
($H237+$K237*($E237/[1]CRITERIOS!$M$16))/[1]CRITERIOS!$X$48)</f>
        <v>#N/A</v>
      </c>
      <c r="AA237" s="34" t="e">
        <f>ROUNDUP(($Y237/_xlfn.XLOOKUP($A237,'[1]DATOS PBI Artículos'!$A$4:$A$4,'[1]DATOS PBI Artículos'!$Z$4:$Z$4))/_xlfn.XLOOKUP(_xlfn.XLOOKUP($A237,'[1]DATOS PBI Artículos'!$A$4:$A$4,'[1]DATOS PBI Artículos'!$Y$4:$Y$4),[1]CRITERIOS!$P$79:$P$123,[1]CRITERIOS!$S$79:$S$123,),0)</f>
        <v>#N/A</v>
      </c>
      <c r="AB237" s="33" t="e">
        <f t="array" ref="AB237">IF((E237+V237-_xlfn.XLOOKUP(A237,'[1]DATOS PBI Artículos'!$A$4:$A$4,'[1]DATOS PBI Artículos'!$W$4:$W$4))/N237&gt;ROUNDUP([1]CRITERIOS!$M$16/(IF(COUNTIF([1]CRITERIOS!$BG$11:$BG$201,L237)&gt;=1,_xlfn.XLOOKUP(ARTÍCULOS!L237,[1]CRITERIOS!$BG$11:$BG$201,[1]CRITERIOS!$BJ$11:$BJ$201),_xlfn.XLOOKUP(ARTÍCULOS!C237,[1]CRITERIOS!$K$25:$K$42,[1]CRITERIOS!$M$25:$M$42))),0),ROUNDUP([1]CRITERIOS!$M$16/(IF(COUNTIF([1]CRITERIOS!$BG$11:$BG$201,L237)&gt;=1,_xlfn.XLOOKUP(ARTÍCULOS!L237,[1]CRITERIOS!$BG$11:$BG$201:#REF!,[1]CRITERIOS!$BJ$11:$BJ$201),_xlfn.XLOOKUP(ARTÍCULOS!C237,[1]CRITERIOS!$K$25:$K$42,[1]CRITERIOS!$M$25:$M$42))),0),(E237+V237-_xlfn.XLOOKUP(A237,'[1]DATOS PBI Artículos'!$A$4:$A$4,'[1]DATOS PBI Artículos'!$W$4:$W$4))/N237)</f>
        <v>#N/A</v>
      </c>
      <c r="AC237" s="33" t="e">
        <f>IF(N237=0,"",(ROUNDUP((N237/2)/(_xlfn.XLOOKUP(A237,'[1]DATOS PBI Artículos'!$A$4:$A$4,'[1]DATOS PBI Artículos'!$Z$4:$Z$4)*_xlfn.XLOOKUP(_xlfn.XLOOKUP(A237,'[1]DATOS PBI Artículos'!$A$4:$A$4,'[1]DATOS PBI Artículos'!$Y$4:$Y$4),[1]CRITERIOS!$P$79:$P$123,[1]CRITERIOS!$S$79:$S$123)),0)*[1]CRITERIOS!$M$80*([1]CRITERIOS!$M$110/[1]CRITERIOS!$M$86)+(_xlfn.XLOOKUP(A237,'[1]DATOS PBI Artículos'!$A$4:$A$4,'[1]DATOS PBI Artículos'!$AA$4:$AA$4)*([1]CRITERIOS!$M$95+[1]CRITERIOS!$M$98)))/N237)</f>
        <v>#N/A</v>
      </c>
      <c r="AD237" s="33" t="e">
        <f>IF(N237=0,"",(ROUNDUP((N237/2)/(_xlfn.XLOOKUP(A237,'[1]DATOS PBI Artículos'!$A$4:$A$4,'[1]DATOS PBI Artículos'!$Z$4:$Z$4)*_xlfn.XLOOKUP(_xlfn.XLOOKUP(A237,'[1]DATOS PBI Artículos'!$A$4:$A$4,'[1]DATOS PBI Artículos'!$Y$4:$Y$4),[1]CRITERIOS!$P$79:$P$123,[1]CRITERIOS!$S$79:$S$123)),0)*[1]CRITERIOS!$M$80*([1]CRITERIOS!$M$89*[1]CRITERIOS!$M$92)+((_xlfn.XLOOKUP(A237,'[1]DATOS PBI Artículos'!$A$4:$A$4,'[1]DATOS PBI Artículos'!$AA$4:$AA$4)/2)*([1]CRITERIOS!$M$95+[1]CRITERIOS!$M$98)))/N237)</f>
        <v>#N/A</v>
      </c>
      <c r="AE237" s="39" t="e">
        <f>IF($R237="MTO","",
IF($H237=0,ROUNDUP(((_xlfn.XLOOKUP($A237,'[1]DATOS PBI Artículos'!$A:$A,'[1]DATOS PBI Artículos'!$AL:$AL))/(_xlfn.XLOOKUP($AF$1,[1]CRITERIOS!$S$16:$S$39,[1]CRITERIOS!$Y$16:$Y$39))*$J237+$Z237)/$G237,0)*$G237,
((_xlfn.XLOOKUP($A237,'[1]DATOS PBI Artículos'!$A:$A,'[1]DATOS PBI Artículos'!$AL:$AL))/(_xlfn.XLOOKUP($AF$1,[1]CRITERIOS!$S$16:$S$39,[1]CRITERIOS!$Y$16:$Y$39))*$J237+$Z237)))</f>
        <v>#N/A</v>
      </c>
      <c r="AG237" s="39" t="e">
        <f>IF($R237="MTO","",
IF($H237=0,ROUNDUP(((_xlfn.XLOOKUP($A237,'[1]DATOS PBI Artículos'!$A:$A,'[1]DATOS PBI Artículos'!$AM:$AM))/(_xlfn.XLOOKUP($AH$1,[1]CRITERIOS!$S$16:$S$39,[1]CRITERIOS!$Y$16:$Y$39))*$J237+$Z237)/$G237,0)*$G237,
((_xlfn.XLOOKUP($A237,'[1]DATOS PBI Artículos'!$A:$A,'[1]DATOS PBI Artículos'!$AM:$AM))/(_xlfn.XLOOKUP($AH$1,[1]CRITERIOS!$S$16:$S$39,[1]CRITERIOS!$Y$16:$Y$39))*$J237+$Z237)))</f>
        <v>#N/A</v>
      </c>
      <c r="AI237" s="39" t="e">
        <f>IF($R237="MTO","",
IF($H237=0,ROUNDUP(((_xlfn.XLOOKUP($A237,'[1]DATOS PBI Artículos'!$A:$A,'[1]DATOS PBI Artículos'!$AN:$AN))/(_xlfn.XLOOKUP($AJ$1,[1]CRITERIOS!$S$16:$S$39,[1]CRITERIOS!$Y$16:$Y$39))*$J237+$Z237)/$G237,0)*$G237,
((_xlfn.XLOOKUP($A237,'[1]DATOS PBI Artículos'!$A:$A,'[1]DATOS PBI Artículos'!$AN:$AN))/(_xlfn.XLOOKUP($AJ$1,[1]CRITERIOS!$S$16:$S$39,[1]CRITERIOS!$Y$16:$Y$39))*$J237+$Z237)))</f>
        <v>#N/A</v>
      </c>
      <c r="AK237" s="39" t="e">
        <f>IF($R237="MTO","",
IF($H237=0,ROUNDUP(((_xlfn.XLOOKUP($A237,'[1]DATOS PBI Artículos'!$A:$A,'[1]DATOS PBI Artículos'!$AO:$AO))/(_xlfn.XLOOKUP($AL$1,[1]CRITERIOS!$S$16:$S$39,[1]CRITERIOS!$Y$16:$Y$39))*$J237+$Z237)/$G237,0)*$G237,
((_xlfn.XLOOKUP($A237,'[1]DATOS PBI Artículos'!$A:$A,'[1]DATOS PBI Artículos'!$AO:$AO))/(_xlfn.XLOOKUP($AL$1,[1]CRITERIOS!$S$16:$S$39,[1]CRITERIOS!$Y$16:$Y$39))*$J237+$Z237)))</f>
        <v>#N/A</v>
      </c>
    </row>
    <row r="238" spans="1:37" ht="25.8" hidden="1" x14ac:dyDescent="0.4">
      <c r="A238" s="41"/>
      <c r="B238" s="33">
        <f>_xlfn.XLOOKUP($A238,'[1]DATOS PBI Artículos'!A:A,'[1]DATOS PBI Artículos'!B:B)</f>
        <v>0</v>
      </c>
      <c r="C238" s="33">
        <f>_xlfn.XLOOKUP($A238,'[1]DATOS PBI Artículos'!A:A,'[1]DATOS PBI Artículos'!C:C)</f>
        <v>0</v>
      </c>
      <c r="D238" s="33">
        <f>_xlfn.XLOOKUP(A238,'[1]DATOS PBI Artículos'!A:A,'[1]DATOS PBI Artículos'!T:T)</f>
        <v>0</v>
      </c>
      <c r="E238" s="34">
        <f>IF(_xlfn.XLOOKUP($A238,'[1]DATOS PBI Artículos'!A:A,'[1]DATOS PBI Artículos'!AK:AK)="",_xlfn.XLOOKUP($A238,'[1]DATOS PBI Artículos'!A:A,'[1]DATOS PBI Artículos'!AJ:AJ),_xlfn.XLOOKUP($A238,'[1]DATOS PBI Artículos'!A:A,'[1]DATOS PBI Artículos'!AK:AK))</f>
        <v>0</v>
      </c>
      <c r="F238" s="35">
        <f>_xlfn.XLOOKUP($A238,'[1]DATOS PBI Artículos'!A:A,'[1]DATOS PBI Artículos'!AP:AP)</f>
        <v>0</v>
      </c>
      <c r="G238" s="34">
        <f>_xlfn.XLOOKUP($A238,'[1]DATOS PBI Artículos'!A:A,'[1]DATOS PBI Artículos'!AR:AR)</f>
        <v>0</v>
      </c>
      <c r="H238" s="34">
        <f>_xlfn.XLOOKUP($A238,'[1]DATOS PBI Artículos'!A:A,'[1]DATOS PBI Artículos'!AT:AT)</f>
        <v>0</v>
      </c>
      <c r="I238" s="34">
        <f>_xlfn.XLOOKUP($A238,'[1]DATOS PBI Artículos'!A:A,'[1]DATOS PBI Artículos'!AS:AS)</f>
        <v>0</v>
      </c>
      <c r="J238" s="35">
        <f>IF(COUNTIF([1]CRITERIOS!$F$179:$F$199,$A238)&gt;=1,
 IF(O238&lt;&gt;"",
    (O238/_xlfn.XLOOKUP(CONCATENATE(A238,L238),[1]MÁQUINAS!A:A,[1]MÁQUINAS!D:D))/24,
    (N238/_xlfn.XLOOKUP(CONCATENATE(A238,L238),[1]MÁQUINAS!A:A,[1]MÁQUINAS!D:D))/24),
  _xlfn.XLOOKUP($A238,'[1]DATOS PBI Artículos'!A:A,'[1]DATOS PBI Artículos'!AU:AU))</f>
        <v>0</v>
      </c>
      <c r="K238" s="36">
        <f>_xlfn.XLOOKUP($A238,'[1]DATOS PBI Artículos'!A:A,'[1]DATOS PBI Artículos'!AV:AV)</f>
        <v>0</v>
      </c>
      <c r="L238" s="33">
        <f>_xlfn.XLOOKUP(A238,[1]MÁQUINAS!B:B,[1]MÁQUINAS!C:C)</f>
        <v>0</v>
      </c>
      <c r="M238" s="34">
        <f t="array" ref="M238">_xlfn.XLOOKUP(A238,'[1]DATOS PBI Artículos'!A:A,'[1]DATOS PBI Artículos'!AX:$AX)</f>
        <v>0</v>
      </c>
      <c r="N238" s="37" t="e">
        <f>IF(I238="DV",
E238,
IF(COUNTIF([1]CRITERIOS!$I$179:$I$199,$A238)&gt;=1,
_xlfn.XLOOKUP($A238,[1]CRITERIOS!$I$179:$I$199,[1]CRITERIOS!$J$179:$J$199),
IF(COUNTIF([1]CRITERIOS!$L$179:$L$199,$A238)&gt;=1,
_xlfn.CEILING.MATH(IF($M238&gt;$E238,
$E238,
IF($M238&lt;$E238/ROUNDDOWN([1]CRITERIOS!$M$16/_xlfn.XLOOKUP($C238,[1]CRITERIOS!$K$25:$K$42,[1]CRITERIOS!$M$25:$M$42),
1),
E238/ROUNDDOWN([1]CRITERIOS!$M$16/_xlfn.XLOOKUP($C238,[1]CRITERIOS!$K$25:$K$42,[1]CRITERIOS!$M$25:$M$42),
1),
$M238)),
_xlfn.XLOOKUP($A238,[1]CRITERIOS!$L$179:$L$200,[1]CRITERIOS!$M$179:$M$200)),
_xlfn.CEILING.MATH(IF($M238&gt;$E238,
$E238,
IF($M238&lt;$E238/ROUNDDOWN([1]CRITERIOS!$M$16/_xlfn.XLOOKUP($C238,[1]CRITERIOS!$K$25:$K$42,[1]CRITERIOS!$M$25:$M$42),
1),
E238/ROUNDDOWN([1]CRITERIOS!$M$16/_xlfn.XLOOKUP($C238,[1]CRITERIOS!$K$25:$K$42,[1]CRITERIOS!$M$25:$M$42),
1),
$M238)),_xlfn.XLOOKUP(A238,'[1]DATOS PBI Artículos'!A:A,'[1]DATOS PBI Artículos'!Z:Z
)))))</f>
        <v>#N/A</v>
      </c>
      <c r="Q238" s="38" t="e">
        <f>IF(AND(O238="",N238=0),
0,
   IF(COUNTIF([1]CRITERIOS!$F$179:$F$199,$A238)&gt;=1,
   1,
   IF(R238="MTO",
      $D238,
      ROUNDUP(
                    IF(($E238-SUMIF('[1]DATOS PBI Artículos'!A:A,A238,'[1]DATOS PBI Artículos'!X:X)+($V238-_xlfn.XLOOKUP(A238,'[1]DATOS PBI Artículos'!A:A,'[1]DATOS PBI Artículos'!W:W)))&lt;0,
                    0,
                    IF(($E238-SUMIF('[1]DATOS PBI Artículos'!A:A,A238,'[1]DATOS PBI Artículos'!X:X)+$V238-_xlfn.XLOOKUP($A238,'[1]DATOS PBI Artículos'!A:A,'[1]DATOS PBI Artículos'!W:W))/IF($O238="",$N238,$O238)&gt;ROUNDUP([1]CRITERIOS!$M$16/(IF(COUNTIF([1]CRITERIOS!$BG$11:$BG$201,L238)&gt;=1,_xlfn.XLOOKUP($C238,[1]CRITERIOS!$K$25:$K$42,[1]CRITERIOS!$M$25:$M$42),_xlfn.XLOOKUP($C238,[1]CRITERIOS!$K$25:$K$42,[1]CRITERIOS!$M$25:$M$42))),0),
                    ROUNDUP([1]CRITERIOS!$M$16/(IF(COUNTIF([1]CRITERIOS!$BG$11:$BG$201,$L238)&gt;=1,_xlfn.XLOOKUP($C238,[1]CRITERIOS!$K$25:$K$42,[1]CRITERIOS!$M$25:$M$42),_xlfn.XLOOKUP($C238,[1]CRITERIOS!$K$25:$K$42,[1]CRITERIOS!$M$25:$M$42))),0),
                    (E238+V238-SUMIF('[1]DATOS PBI Artículos'!A:A,A238,'[1]DATOS PBI Artículos'!X:X)-_xlfn.XLOOKUP(A238,'[1]DATOS PBI Artículos'!A:A,'[1]DATOS PBI Artículos'!W:W))/IF($O238="",$N238,$O238))),0))))</f>
        <v>#N/A</v>
      </c>
      <c r="R238" s="33" t="e">
        <f>IF(U238&lt;&gt;"",U238,IF(F238="DV","MTO",IF(N238=0,"MTO",_xlfn.XLOOKUP(CONCATENATE(S238,T238),[1]CRITERIOS!$K$160:$K$168,[1]CRITERIOS!$N$160:$N$168))))</f>
        <v>#N/A</v>
      </c>
      <c r="S238" s="33" t="e">
        <f>IF(G238="DV","MTO",IF(N238=0,"MTO",IF(OR(AND(N238=0,O238=""),IF(O238="",G238/N238,G238/O238)&gt;[1]CRITERIOS!$G$163),"MTO",IF(IF(O238="",G238/N238,G238/O238)&lt;[1]CRITERIOS!$H$161,"MTS","MTOS"))))</f>
        <v>#N/A</v>
      </c>
      <c r="T238" s="33" t="e">
        <f>IF(F238="DV","MTO",IF(OR(AND($N238=0,O238=""),$F238/$J238&gt;[1]CRITERIOS!$G$170,$F238="DV"),"MTO",IF($F238/$J238&lt;[1]CRITERIOS!$H$168,"MTS","MTOS")))</f>
        <v>#N/A</v>
      </c>
      <c r="V238" s="34" t="e">
        <f t="shared" si="13"/>
        <v>#N/A</v>
      </c>
      <c r="X238" s="34" t="e">
        <f t="shared" si="11"/>
        <v>#N/A</v>
      </c>
      <c r="Y238" s="34" t="e">
        <f t="shared" si="12"/>
        <v>#N/A</v>
      </c>
      <c r="Z238" s="34" t="e">
        <f>IF($R238="MTO",
0,
($H238+$K238*($E238/[1]CRITERIOS!$M$16))/[1]CRITERIOS!$X$48)</f>
        <v>#N/A</v>
      </c>
      <c r="AA238" s="34" t="e">
        <f>ROUNDUP(($Y238/_xlfn.XLOOKUP($A238,'[1]DATOS PBI Artículos'!$A$4:$A$4,'[1]DATOS PBI Artículos'!$Z$4:$Z$4))/_xlfn.XLOOKUP(_xlfn.XLOOKUP($A238,'[1]DATOS PBI Artículos'!$A$4:$A$4,'[1]DATOS PBI Artículos'!$Y$4:$Y$4),[1]CRITERIOS!$P$79:$P$123,[1]CRITERIOS!$S$79:$S$123,),0)</f>
        <v>#N/A</v>
      </c>
      <c r="AB238" s="33" t="e">
        <f t="array" ref="AB238">IF((E238+V238-_xlfn.XLOOKUP(A238,'[1]DATOS PBI Artículos'!$A$4:$A$4,'[1]DATOS PBI Artículos'!$W$4:$W$4))/N238&gt;ROUNDUP([1]CRITERIOS!$M$16/(IF(COUNTIF([1]CRITERIOS!$BG$11:$BG$201,L238)&gt;=1,_xlfn.XLOOKUP(ARTÍCULOS!L238,[1]CRITERIOS!$BG$11:$BG$201,[1]CRITERIOS!$BJ$11:$BJ$201),_xlfn.XLOOKUP(ARTÍCULOS!C238,[1]CRITERIOS!$K$25:$K$42,[1]CRITERIOS!$M$25:$M$42))),0),ROUNDUP([1]CRITERIOS!$M$16/(IF(COUNTIF([1]CRITERIOS!$BG$11:$BG$201,L238)&gt;=1,_xlfn.XLOOKUP(ARTÍCULOS!L238,[1]CRITERIOS!$BG$11:$BG$201:#REF!,[1]CRITERIOS!$BJ$11:$BJ$201),_xlfn.XLOOKUP(ARTÍCULOS!C238,[1]CRITERIOS!$K$25:$K$42,[1]CRITERIOS!$M$25:$M$42))),0),(E238+V238-_xlfn.XLOOKUP(A238,'[1]DATOS PBI Artículos'!$A$4:$A$4,'[1]DATOS PBI Artículos'!$W$4:$W$4))/N238)</f>
        <v>#N/A</v>
      </c>
      <c r="AC238" s="33" t="e">
        <f>IF(N238=0,"",(ROUNDUP((N238/2)/(_xlfn.XLOOKUP(A238,'[1]DATOS PBI Artículos'!$A$4:$A$4,'[1]DATOS PBI Artículos'!$Z$4:$Z$4)*_xlfn.XLOOKUP(_xlfn.XLOOKUP(A238,'[1]DATOS PBI Artículos'!$A$4:$A$4,'[1]DATOS PBI Artículos'!$Y$4:$Y$4),[1]CRITERIOS!$P$79:$P$123,[1]CRITERIOS!$S$79:$S$123)),0)*[1]CRITERIOS!$M$80*([1]CRITERIOS!$M$110/[1]CRITERIOS!$M$86)+(_xlfn.XLOOKUP(A238,'[1]DATOS PBI Artículos'!$A$4:$A$4,'[1]DATOS PBI Artículos'!$AA$4:$AA$4)*([1]CRITERIOS!$M$95+[1]CRITERIOS!$M$98)))/N238)</f>
        <v>#N/A</v>
      </c>
      <c r="AD238" s="33" t="e">
        <f>IF(N238=0,"",(ROUNDUP((N238/2)/(_xlfn.XLOOKUP(A238,'[1]DATOS PBI Artículos'!$A$4:$A$4,'[1]DATOS PBI Artículos'!$Z$4:$Z$4)*_xlfn.XLOOKUP(_xlfn.XLOOKUP(A238,'[1]DATOS PBI Artículos'!$A$4:$A$4,'[1]DATOS PBI Artículos'!$Y$4:$Y$4),[1]CRITERIOS!$P$79:$P$123,[1]CRITERIOS!$S$79:$S$123)),0)*[1]CRITERIOS!$M$80*([1]CRITERIOS!$M$89*[1]CRITERIOS!$M$92)+((_xlfn.XLOOKUP(A238,'[1]DATOS PBI Artículos'!$A$4:$A$4,'[1]DATOS PBI Artículos'!$AA$4:$AA$4)/2)*([1]CRITERIOS!$M$95+[1]CRITERIOS!$M$98)))/N238)</f>
        <v>#N/A</v>
      </c>
      <c r="AE238" s="39" t="e">
        <f>IF($R238="MTO","",
IF($H238=0,ROUNDUP(((_xlfn.XLOOKUP($A238,'[1]DATOS PBI Artículos'!$A:$A,'[1]DATOS PBI Artículos'!$AL:$AL))/(_xlfn.XLOOKUP($AF$1,[1]CRITERIOS!$S$16:$S$39,[1]CRITERIOS!$Y$16:$Y$39))*$J238+$Z238)/$G238,0)*$G238,
((_xlfn.XLOOKUP($A238,'[1]DATOS PBI Artículos'!$A:$A,'[1]DATOS PBI Artículos'!$AL:$AL))/(_xlfn.XLOOKUP($AF$1,[1]CRITERIOS!$S$16:$S$39,[1]CRITERIOS!$Y$16:$Y$39))*$J238+$Z238)))</f>
        <v>#N/A</v>
      </c>
      <c r="AG238" s="39" t="e">
        <f>IF($R238="MTO","",
IF($H238=0,ROUNDUP(((_xlfn.XLOOKUP($A238,'[1]DATOS PBI Artículos'!$A:$A,'[1]DATOS PBI Artículos'!$AM:$AM))/(_xlfn.XLOOKUP($AH$1,[1]CRITERIOS!$S$16:$S$39,[1]CRITERIOS!$Y$16:$Y$39))*$J238+$Z238)/$G238,0)*$G238,
((_xlfn.XLOOKUP($A238,'[1]DATOS PBI Artículos'!$A:$A,'[1]DATOS PBI Artículos'!$AM:$AM))/(_xlfn.XLOOKUP($AH$1,[1]CRITERIOS!$S$16:$S$39,[1]CRITERIOS!$Y$16:$Y$39))*$J238+$Z238)))</f>
        <v>#N/A</v>
      </c>
      <c r="AI238" s="39" t="e">
        <f>IF($R238="MTO","",
IF($H238=0,ROUNDUP(((_xlfn.XLOOKUP($A238,'[1]DATOS PBI Artículos'!$A:$A,'[1]DATOS PBI Artículos'!$AN:$AN))/(_xlfn.XLOOKUP($AJ$1,[1]CRITERIOS!$S$16:$S$39,[1]CRITERIOS!$Y$16:$Y$39))*$J238+$Z238)/$G238,0)*$G238,
((_xlfn.XLOOKUP($A238,'[1]DATOS PBI Artículos'!$A:$A,'[1]DATOS PBI Artículos'!$AN:$AN))/(_xlfn.XLOOKUP($AJ$1,[1]CRITERIOS!$S$16:$S$39,[1]CRITERIOS!$Y$16:$Y$39))*$J238+$Z238)))</f>
        <v>#N/A</v>
      </c>
      <c r="AK238" s="39" t="e">
        <f>IF($R238="MTO","",
IF($H238=0,ROUNDUP(((_xlfn.XLOOKUP($A238,'[1]DATOS PBI Artículos'!$A:$A,'[1]DATOS PBI Artículos'!$AO:$AO))/(_xlfn.XLOOKUP($AL$1,[1]CRITERIOS!$S$16:$S$39,[1]CRITERIOS!$Y$16:$Y$39))*$J238+$Z238)/$G238,0)*$G238,
((_xlfn.XLOOKUP($A238,'[1]DATOS PBI Artículos'!$A:$A,'[1]DATOS PBI Artículos'!$AO:$AO))/(_xlfn.XLOOKUP($AL$1,[1]CRITERIOS!$S$16:$S$39,[1]CRITERIOS!$Y$16:$Y$39))*$J238+$Z238)))</f>
        <v>#N/A</v>
      </c>
    </row>
    <row r="239" spans="1:37" ht="25.8" hidden="1" x14ac:dyDescent="0.4">
      <c r="A239" s="41"/>
      <c r="B239" s="33">
        <f>_xlfn.XLOOKUP($A239,'[1]DATOS PBI Artículos'!A:A,'[1]DATOS PBI Artículos'!B:B)</f>
        <v>0</v>
      </c>
      <c r="C239" s="33">
        <f>_xlfn.XLOOKUP($A239,'[1]DATOS PBI Artículos'!A:A,'[1]DATOS PBI Artículos'!C:C)</f>
        <v>0</v>
      </c>
      <c r="D239" s="33">
        <f>_xlfn.XLOOKUP(A239,'[1]DATOS PBI Artículos'!A:A,'[1]DATOS PBI Artículos'!T:T)</f>
        <v>0</v>
      </c>
      <c r="E239" s="34">
        <f>IF(_xlfn.XLOOKUP($A239,'[1]DATOS PBI Artículos'!A:A,'[1]DATOS PBI Artículos'!AK:AK)="",_xlfn.XLOOKUP($A239,'[1]DATOS PBI Artículos'!A:A,'[1]DATOS PBI Artículos'!AJ:AJ),_xlfn.XLOOKUP($A239,'[1]DATOS PBI Artículos'!A:A,'[1]DATOS PBI Artículos'!AK:AK))</f>
        <v>0</v>
      </c>
      <c r="F239" s="35">
        <f>_xlfn.XLOOKUP($A239,'[1]DATOS PBI Artículos'!A:A,'[1]DATOS PBI Artículos'!AP:AP)</f>
        <v>0</v>
      </c>
      <c r="G239" s="34">
        <f>_xlfn.XLOOKUP($A239,'[1]DATOS PBI Artículos'!A:A,'[1]DATOS PBI Artículos'!AR:AR)</f>
        <v>0</v>
      </c>
      <c r="H239" s="34">
        <f>_xlfn.XLOOKUP($A239,'[1]DATOS PBI Artículos'!A:A,'[1]DATOS PBI Artículos'!AT:AT)</f>
        <v>0</v>
      </c>
      <c r="I239" s="34">
        <f>_xlfn.XLOOKUP($A239,'[1]DATOS PBI Artículos'!A:A,'[1]DATOS PBI Artículos'!AS:AS)</f>
        <v>0</v>
      </c>
      <c r="J239" s="35">
        <f>IF(COUNTIF([1]CRITERIOS!$F$179:$F$199,$A239)&gt;=1,
 IF(O239&lt;&gt;"",
    (O239/_xlfn.XLOOKUP(CONCATENATE(A239,L239),[1]MÁQUINAS!A:A,[1]MÁQUINAS!D:D))/24,
    (N239/_xlfn.XLOOKUP(CONCATENATE(A239,L239),[1]MÁQUINAS!A:A,[1]MÁQUINAS!D:D))/24),
  _xlfn.XLOOKUP($A239,'[1]DATOS PBI Artículos'!A:A,'[1]DATOS PBI Artículos'!AU:AU))</f>
        <v>0</v>
      </c>
      <c r="K239" s="36">
        <f>_xlfn.XLOOKUP($A239,'[1]DATOS PBI Artículos'!A:A,'[1]DATOS PBI Artículos'!AV:AV)</f>
        <v>0</v>
      </c>
      <c r="L239" s="33">
        <f>_xlfn.XLOOKUP(A239,[1]MÁQUINAS!B:B,[1]MÁQUINAS!C:C)</f>
        <v>0</v>
      </c>
      <c r="M239" s="34">
        <f t="array" ref="M239">_xlfn.XLOOKUP(A239,'[1]DATOS PBI Artículos'!A:A,'[1]DATOS PBI Artículos'!AX:$AX)</f>
        <v>0</v>
      </c>
      <c r="N239" s="37" t="e">
        <f>IF(I239="DV",
E239,
IF(COUNTIF([1]CRITERIOS!$I$179:$I$199,$A239)&gt;=1,
_xlfn.XLOOKUP($A239,[1]CRITERIOS!$I$179:$I$199,[1]CRITERIOS!$J$179:$J$199),
IF(COUNTIF([1]CRITERIOS!$L$179:$L$199,$A239)&gt;=1,
_xlfn.CEILING.MATH(IF($M239&gt;$E239,
$E239,
IF($M239&lt;$E239/ROUNDDOWN([1]CRITERIOS!$M$16/_xlfn.XLOOKUP($C239,[1]CRITERIOS!$K$25:$K$42,[1]CRITERIOS!$M$25:$M$42),
1),
E239/ROUNDDOWN([1]CRITERIOS!$M$16/_xlfn.XLOOKUP($C239,[1]CRITERIOS!$K$25:$K$42,[1]CRITERIOS!$M$25:$M$42),
1),
$M239)),
_xlfn.XLOOKUP($A239,[1]CRITERIOS!$L$179:$L$200,[1]CRITERIOS!$M$179:$M$200)),
_xlfn.CEILING.MATH(IF($M239&gt;$E239,
$E239,
IF($M239&lt;$E239/ROUNDDOWN([1]CRITERIOS!$M$16/_xlfn.XLOOKUP($C239,[1]CRITERIOS!$K$25:$K$42,[1]CRITERIOS!$M$25:$M$42),
1),
E239/ROUNDDOWN([1]CRITERIOS!$M$16/_xlfn.XLOOKUP($C239,[1]CRITERIOS!$K$25:$K$42,[1]CRITERIOS!$M$25:$M$42),
1),
$M239)),_xlfn.XLOOKUP(A239,'[1]DATOS PBI Artículos'!A:A,'[1]DATOS PBI Artículos'!Z:Z
)))))</f>
        <v>#N/A</v>
      </c>
      <c r="Q239" s="38" t="e">
        <f>IF(AND(O239="",N239=0),
0,
   IF(COUNTIF([1]CRITERIOS!$F$179:$F$199,$A239)&gt;=1,
   1,
   IF(R239="MTO",
      $D239,
      ROUNDUP(
                    IF(($E239-SUMIF('[1]DATOS PBI Artículos'!A:A,A239,'[1]DATOS PBI Artículos'!X:X)+($V239-_xlfn.XLOOKUP(A239,'[1]DATOS PBI Artículos'!A:A,'[1]DATOS PBI Artículos'!W:W)))&lt;0,
                    0,
                    IF(($E239-SUMIF('[1]DATOS PBI Artículos'!A:A,A239,'[1]DATOS PBI Artículos'!X:X)+$V239-_xlfn.XLOOKUP($A239,'[1]DATOS PBI Artículos'!A:A,'[1]DATOS PBI Artículos'!W:W))/IF($O239="",$N239,$O239)&gt;ROUNDUP([1]CRITERIOS!$M$16/(IF(COUNTIF([1]CRITERIOS!$BG$11:$BG$201,L239)&gt;=1,_xlfn.XLOOKUP($C239,[1]CRITERIOS!$K$25:$K$42,[1]CRITERIOS!$M$25:$M$42),_xlfn.XLOOKUP($C239,[1]CRITERIOS!$K$25:$K$42,[1]CRITERIOS!$M$25:$M$42))),0),
                    ROUNDUP([1]CRITERIOS!$M$16/(IF(COUNTIF([1]CRITERIOS!$BG$11:$BG$201,$L239)&gt;=1,_xlfn.XLOOKUP($C239,[1]CRITERIOS!$K$25:$K$42,[1]CRITERIOS!$M$25:$M$42),_xlfn.XLOOKUP($C239,[1]CRITERIOS!$K$25:$K$42,[1]CRITERIOS!$M$25:$M$42))),0),
                    (E239+V239-SUMIF('[1]DATOS PBI Artículos'!A:A,A239,'[1]DATOS PBI Artículos'!X:X)-_xlfn.XLOOKUP(A239,'[1]DATOS PBI Artículos'!A:A,'[1]DATOS PBI Artículos'!W:W))/IF($O239="",$N239,$O239))),0))))</f>
        <v>#N/A</v>
      </c>
      <c r="R239" s="33" t="e">
        <f>IF(U239&lt;&gt;"",U239,IF(F239="DV","MTO",IF(N239=0,"MTO",_xlfn.XLOOKUP(CONCATENATE(S239,T239),[1]CRITERIOS!$K$160:$K$168,[1]CRITERIOS!$N$160:$N$168))))</f>
        <v>#N/A</v>
      </c>
      <c r="S239" s="33" t="e">
        <f>IF(G239="DV","MTO",IF(N239=0,"MTO",IF(OR(AND(N239=0,O239=""),IF(O239="",G239/N239,G239/O239)&gt;[1]CRITERIOS!$G$163),"MTO",IF(IF(O239="",G239/N239,G239/O239)&lt;[1]CRITERIOS!$H$161,"MTS","MTOS"))))</f>
        <v>#N/A</v>
      </c>
      <c r="T239" s="33" t="e">
        <f>IF(F239="DV","MTO",IF(OR(AND($N239=0,O239=""),$F239/$J239&gt;[1]CRITERIOS!$G$170,$F239="DV"),"MTO",IF($F239/$J239&lt;[1]CRITERIOS!$H$168,"MTS","MTOS")))</f>
        <v>#N/A</v>
      </c>
      <c r="V239" s="34" t="e">
        <f t="shared" si="13"/>
        <v>#N/A</v>
      </c>
      <c r="X239" s="34" t="e">
        <f t="shared" si="11"/>
        <v>#N/A</v>
      </c>
      <c r="Y239" s="34" t="e">
        <f t="shared" si="12"/>
        <v>#N/A</v>
      </c>
      <c r="Z239" s="34" t="e">
        <f>IF($R239="MTO",
0,
($H239+$K239*($E239/[1]CRITERIOS!$M$16))/[1]CRITERIOS!$X$48)</f>
        <v>#N/A</v>
      </c>
      <c r="AA239" s="34" t="e">
        <f>ROUNDUP(($Y239/_xlfn.XLOOKUP($A239,'[1]DATOS PBI Artículos'!$A$4:$A$4,'[1]DATOS PBI Artículos'!$Z$4:$Z$4))/_xlfn.XLOOKUP(_xlfn.XLOOKUP($A239,'[1]DATOS PBI Artículos'!$A$4:$A$4,'[1]DATOS PBI Artículos'!$Y$4:$Y$4),[1]CRITERIOS!$P$79:$P$123,[1]CRITERIOS!$S$79:$S$123,),0)</f>
        <v>#N/A</v>
      </c>
      <c r="AB239" s="33" t="e">
        <f t="array" ref="AB239">IF((E239+V239-_xlfn.XLOOKUP(A239,'[1]DATOS PBI Artículos'!$A$4:$A$4,'[1]DATOS PBI Artículos'!$W$4:$W$4))/N239&gt;ROUNDUP([1]CRITERIOS!$M$16/(IF(COUNTIF([1]CRITERIOS!$BG$11:$BG$201,L239)&gt;=1,_xlfn.XLOOKUP(ARTÍCULOS!L239,[1]CRITERIOS!$BG$11:$BG$201,[1]CRITERIOS!$BJ$11:$BJ$201),_xlfn.XLOOKUP(ARTÍCULOS!C239,[1]CRITERIOS!$K$25:$K$42,[1]CRITERIOS!$M$25:$M$42))),0),ROUNDUP([1]CRITERIOS!$M$16/(IF(COUNTIF([1]CRITERIOS!$BG$11:$BG$201,L239)&gt;=1,_xlfn.XLOOKUP(ARTÍCULOS!L239,[1]CRITERIOS!$BG$11:$BG$201:#REF!,[1]CRITERIOS!$BJ$11:$BJ$201),_xlfn.XLOOKUP(ARTÍCULOS!C239,[1]CRITERIOS!$K$25:$K$42,[1]CRITERIOS!$M$25:$M$42))),0),(E239+V239-_xlfn.XLOOKUP(A239,'[1]DATOS PBI Artículos'!$A$4:$A$4,'[1]DATOS PBI Artículos'!$W$4:$W$4))/N239)</f>
        <v>#N/A</v>
      </c>
      <c r="AC239" s="33" t="e">
        <f>IF(N239=0,"",(ROUNDUP((N239/2)/(_xlfn.XLOOKUP(A239,'[1]DATOS PBI Artículos'!$A$4:$A$4,'[1]DATOS PBI Artículos'!$Z$4:$Z$4)*_xlfn.XLOOKUP(_xlfn.XLOOKUP(A239,'[1]DATOS PBI Artículos'!$A$4:$A$4,'[1]DATOS PBI Artículos'!$Y$4:$Y$4),[1]CRITERIOS!$P$79:$P$123,[1]CRITERIOS!$S$79:$S$123)),0)*[1]CRITERIOS!$M$80*([1]CRITERIOS!$M$110/[1]CRITERIOS!$M$86)+(_xlfn.XLOOKUP(A239,'[1]DATOS PBI Artículos'!$A$4:$A$4,'[1]DATOS PBI Artículos'!$AA$4:$AA$4)*([1]CRITERIOS!$M$95+[1]CRITERIOS!$M$98)))/N239)</f>
        <v>#N/A</v>
      </c>
      <c r="AD239" s="33" t="e">
        <f>IF(N239=0,"",(ROUNDUP((N239/2)/(_xlfn.XLOOKUP(A239,'[1]DATOS PBI Artículos'!$A$4:$A$4,'[1]DATOS PBI Artículos'!$Z$4:$Z$4)*_xlfn.XLOOKUP(_xlfn.XLOOKUP(A239,'[1]DATOS PBI Artículos'!$A$4:$A$4,'[1]DATOS PBI Artículos'!$Y$4:$Y$4),[1]CRITERIOS!$P$79:$P$123,[1]CRITERIOS!$S$79:$S$123)),0)*[1]CRITERIOS!$M$80*([1]CRITERIOS!$M$89*[1]CRITERIOS!$M$92)+((_xlfn.XLOOKUP(A239,'[1]DATOS PBI Artículos'!$A$4:$A$4,'[1]DATOS PBI Artículos'!$AA$4:$AA$4)/2)*([1]CRITERIOS!$M$95+[1]CRITERIOS!$M$98)))/N239)</f>
        <v>#N/A</v>
      </c>
      <c r="AE239" s="39" t="e">
        <f>IF($R239="MTO","",
IF($H239=0,ROUNDUP(((_xlfn.XLOOKUP($A239,'[1]DATOS PBI Artículos'!$A:$A,'[1]DATOS PBI Artículos'!$AL:$AL))/(_xlfn.XLOOKUP($AF$1,[1]CRITERIOS!$S$16:$S$39,[1]CRITERIOS!$Y$16:$Y$39))*$J239+$Z239)/$G239,0)*$G239,
((_xlfn.XLOOKUP($A239,'[1]DATOS PBI Artículos'!$A:$A,'[1]DATOS PBI Artículos'!$AL:$AL))/(_xlfn.XLOOKUP($AF$1,[1]CRITERIOS!$S$16:$S$39,[1]CRITERIOS!$Y$16:$Y$39))*$J239+$Z239)))</f>
        <v>#N/A</v>
      </c>
      <c r="AG239" s="39" t="e">
        <f>IF($R239="MTO","",
IF($H239=0,ROUNDUP(((_xlfn.XLOOKUP($A239,'[1]DATOS PBI Artículos'!$A:$A,'[1]DATOS PBI Artículos'!$AM:$AM))/(_xlfn.XLOOKUP($AH$1,[1]CRITERIOS!$S$16:$S$39,[1]CRITERIOS!$Y$16:$Y$39))*$J239+$Z239)/$G239,0)*$G239,
((_xlfn.XLOOKUP($A239,'[1]DATOS PBI Artículos'!$A:$A,'[1]DATOS PBI Artículos'!$AM:$AM))/(_xlfn.XLOOKUP($AH$1,[1]CRITERIOS!$S$16:$S$39,[1]CRITERIOS!$Y$16:$Y$39))*$J239+$Z239)))</f>
        <v>#N/A</v>
      </c>
      <c r="AI239" s="39" t="e">
        <f>IF($R239="MTO","",
IF($H239=0,ROUNDUP(((_xlfn.XLOOKUP($A239,'[1]DATOS PBI Artículos'!$A:$A,'[1]DATOS PBI Artículos'!$AN:$AN))/(_xlfn.XLOOKUP($AJ$1,[1]CRITERIOS!$S$16:$S$39,[1]CRITERIOS!$Y$16:$Y$39))*$J239+$Z239)/$G239,0)*$G239,
((_xlfn.XLOOKUP($A239,'[1]DATOS PBI Artículos'!$A:$A,'[1]DATOS PBI Artículos'!$AN:$AN))/(_xlfn.XLOOKUP($AJ$1,[1]CRITERIOS!$S$16:$S$39,[1]CRITERIOS!$Y$16:$Y$39))*$J239+$Z239)))</f>
        <v>#N/A</v>
      </c>
      <c r="AK239" s="39" t="e">
        <f>IF($R239="MTO","",
IF($H239=0,ROUNDUP(((_xlfn.XLOOKUP($A239,'[1]DATOS PBI Artículos'!$A:$A,'[1]DATOS PBI Artículos'!$AO:$AO))/(_xlfn.XLOOKUP($AL$1,[1]CRITERIOS!$S$16:$S$39,[1]CRITERIOS!$Y$16:$Y$39))*$J239+$Z239)/$G239,0)*$G239,
((_xlfn.XLOOKUP($A239,'[1]DATOS PBI Artículos'!$A:$A,'[1]DATOS PBI Artículos'!$AO:$AO))/(_xlfn.XLOOKUP($AL$1,[1]CRITERIOS!$S$16:$S$39,[1]CRITERIOS!$Y$16:$Y$39))*$J239+$Z239)))</f>
        <v>#N/A</v>
      </c>
    </row>
    <row r="240" spans="1:37" ht="25.8" hidden="1" x14ac:dyDescent="0.4">
      <c r="A240" s="41"/>
      <c r="B240" s="33">
        <f>_xlfn.XLOOKUP($A240,'[1]DATOS PBI Artículos'!A:A,'[1]DATOS PBI Artículos'!B:B)</f>
        <v>0</v>
      </c>
      <c r="C240" s="33">
        <f>_xlfn.XLOOKUP($A240,'[1]DATOS PBI Artículos'!A:A,'[1]DATOS PBI Artículos'!C:C)</f>
        <v>0</v>
      </c>
      <c r="D240" s="33">
        <f>_xlfn.XLOOKUP(A240,'[1]DATOS PBI Artículos'!A:A,'[1]DATOS PBI Artículos'!T:T)</f>
        <v>0</v>
      </c>
      <c r="E240" s="34">
        <f>IF(_xlfn.XLOOKUP($A240,'[1]DATOS PBI Artículos'!A:A,'[1]DATOS PBI Artículos'!AK:AK)="",_xlfn.XLOOKUP($A240,'[1]DATOS PBI Artículos'!A:A,'[1]DATOS PBI Artículos'!AJ:AJ),_xlfn.XLOOKUP($A240,'[1]DATOS PBI Artículos'!A:A,'[1]DATOS PBI Artículos'!AK:AK))</f>
        <v>0</v>
      </c>
      <c r="F240" s="35">
        <f>_xlfn.XLOOKUP($A240,'[1]DATOS PBI Artículos'!A:A,'[1]DATOS PBI Artículos'!AP:AP)</f>
        <v>0</v>
      </c>
      <c r="G240" s="34">
        <f>_xlfn.XLOOKUP($A240,'[1]DATOS PBI Artículos'!A:A,'[1]DATOS PBI Artículos'!AR:AR)</f>
        <v>0</v>
      </c>
      <c r="H240" s="34">
        <f>_xlfn.XLOOKUP($A240,'[1]DATOS PBI Artículos'!A:A,'[1]DATOS PBI Artículos'!AT:AT)</f>
        <v>0</v>
      </c>
      <c r="I240" s="34">
        <f>_xlfn.XLOOKUP($A240,'[1]DATOS PBI Artículos'!A:A,'[1]DATOS PBI Artículos'!AS:AS)</f>
        <v>0</v>
      </c>
      <c r="J240" s="35">
        <f>IF(COUNTIF([1]CRITERIOS!$F$179:$F$199,$A240)&gt;=1,
 IF(O240&lt;&gt;"",
    (O240/_xlfn.XLOOKUP(CONCATENATE(A240,L240),[1]MÁQUINAS!A:A,[1]MÁQUINAS!D:D))/24,
    (N240/_xlfn.XLOOKUP(CONCATENATE(A240,L240),[1]MÁQUINAS!A:A,[1]MÁQUINAS!D:D))/24),
  _xlfn.XLOOKUP($A240,'[1]DATOS PBI Artículos'!A:A,'[1]DATOS PBI Artículos'!AU:AU))</f>
        <v>0</v>
      </c>
      <c r="K240" s="36">
        <f>_xlfn.XLOOKUP($A240,'[1]DATOS PBI Artículos'!A:A,'[1]DATOS PBI Artículos'!AV:AV)</f>
        <v>0</v>
      </c>
      <c r="L240" s="33">
        <f>_xlfn.XLOOKUP(A240,[1]MÁQUINAS!B:B,[1]MÁQUINAS!C:C)</f>
        <v>0</v>
      </c>
      <c r="M240" s="34">
        <f t="array" ref="M240">_xlfn.XLOOKUP(A240,'[1]DATOS PBI Artículos'!A:A,'[1]DATOS PBI Artículos'!AX:$AX)</f>
        <v>0</v>
      </c>
      <c r="N240" s="37" t="e">
        <f>IF(I240="DV",
E240,
IF(COUNTIF([1]CRITERIOS!$I$179:$I$199,$A240)&gt;=1,
_xlfn.XLOOKUP($A240,[1]CRITERIOS!$I$179:$I$199,[1]CRITERIOS!$J$179:$J$199),
IF(COUNTIF([1]CRITERIOS!$L$179:$L$199,$A240)&gt;=1,
_xlfn.CEILING.MATH(IF($M240&gt;$E240,
$E240,
IF($M240&lt;$E240/ROUNDDOWN([1]CRITERIOS!$M$16/_xlfn.XLOOKUP($C240,[1]CRITERIOS!$K$25:$K$42,[1]CRITERIOS!$M$25:$M$42),
1),
E240/ROUNDDOWN([1]CRITERIOS!$M$16/_xlfn.XLOOKUP($C240,[1]CRITERIOS!$K$25:$K$42,[1]CRITERIOS!$M$25:$M$42),
1),
$M240)),
_xlfn.XLOOKUP($A240,[1]CRITERIOS!$L$179:$L$200,[1]CRITERIOS!$M$179:$M$200)),
_xlfn.CEILING.MATH(IF($M240&gt;$E240,
$E240,
IF($M240&lt;$E240/ROUNDDOWN([1]CRITERIOS!$M$16/_xlfn.XLOOKUP($C240,[1]CRITERIOS!$K$25:$K$42,[1]CRITERIOS!$M$25:$M$42),
1),
E240/ROUNDDOWN([1]CRITERIOS!$M$16/_xlfn.XLOOKUP($C240,[1]CRITERIOS!$K$25:$K$42,[1]CRITERIOS!$M$25:$M$42),
1),
$M240)),_xlfn.XLOOKUP(A240,'[1]DATOS PBI Artículos'!A:A,'[1]DATOS PBI Artículos'!Z:Z
)))))</f>
        <v>#N/A</v>
      </c>
      <c r="Q240" s="38" t="e">
        <f>IF(AND(O240="",N240=0),
0,
   IF(COUNTIF([1]CRITERIOS!$F$179:$F$199,$A240)&gt;=1,
   1,
   IF(R240="MTO",
      $D240,
      ROUNDUP(
                    IF(($E240-SUMIF('[1]DATOS PBI Artículos'!A:A,A240,'[1]DATOS PBI Artículos'!X:X)+($V240-_xlfn.XLOOKUP(A240,'[1]DATOS PBI Artículos'!A:A,'[1]DATOS PBI Artículos'!W:W)))&lt;0,
                    0,
                    IF(($E240-SUMIF('[1]DATOS PBI Artículos'!A:A,A240,'[1]DATOS PBI Artículos'!X:X)+$V240-_xlfn.XLOOKUP($A240,'[1]DATOS PBI Artículos'!A:A,'[1]DATOS PBI Artículos'!W:W))/IF($O240="",$N240,$O240)&gt;ROUNDUP([1]CRITERIOS!$M$16/(IF(COUNTIF([1]CRITERIOS!$BG$11:$BG$201,L240)&gt;=1,_xlfn.XLOOKUP($C240,[1]CRITERIOS!$K$25:$K$42,[1]CRITERIOS!$M$25:$M$42),_xlfn.XLOOKUP($C240,[1]CRITERIOS!$K$25:$K$42,[1]CRITERIOS!$M$25:$M$42))),0),
                    ROUNDUP([1]CRITERIOS!$M$16/(IF(COUNTIF([1]CRITERIOS!$BG$11:$BG$201,$L240)&gt;=1,_xlfn.XLOOKUP($C240,[1]CRITERIOS!$K$25:$K$42,[1]CRITERIOS!$M$25:$M$42),_xlfn.XLOOKUP($C240,[1]CRITERIOS!$K$25:$K$42,[1]CRITERIOS!$M$25:$M$42))),0),
                    (E240+V240-SUMIF('[1]DATOS PBI Artículos'!A:A,A240,'[1]DATOS PBI Artículos'!X:X)-_xlfn.XLOOKUP(A240,'[1]DATOS PBI Artículos'!A:A,'[1]DATOS PBI Artículos'!W:W))/IF($O240="",$N240,$O240))),0))))</f>
        <v>#N/A</v>
      </c>
      <c r="R240" s="33" t="e">
        <f>IF(U240&lt;&gt;"",U240,IF(F240="DV","MTO",IF(N240=0,"MTO",_xlfn.XLOOKUP(CONCATENATE(S240,T240),[1]CRITERIOS!$K$160:$K$168,[1]CRITERIOS!$N$160:$N$168))))</f>
        <v>#N/A</v>
      </c>
      <c r="S240" s="33" t="e">
        <f>IF(G240="DV","MTO",IF(N240=0,"MTO",IF(OR(AND(N240=0,O240=""),IF(O240="",G240/N240,G240/O240)&gt;[1]CRITERIOS!$G$163),"MTO",IF(IF(O240="",G240/N240,G240/O240)&lt;[1]CRITERIOS!$H$161,"MTS","MTOS"))))</f>
        <v>#N/A</v>
      </c>
      <c r="T240" s="33" t="e">
        <f>IF(F240="DV","MTO",IF(OR(AND($N240=0,O240=""),$F240/$J240&gt;[1]CRITERIOS!$G$170,$F240="DV"),"MTO",IF($F240/$J240&lt;[1]CRITERIOS!$H$168,"MTS","MTOS")))</f>
        <v>#N/A</v>
      </c>
      <c r="V240" s="34" t="e">
        <f t="shared" si="13"/>
        <v>#N/A</v>
      </c>
      <c r="X240" s="34" t="e">
        <f t="shared" si="11"/>
        <v>#N/A</v>
      </c>
      <c r="Y240" s="34" t="e">
        <f t="shared" si="12"/>
        <v>#N/A</v>
      </c>
      <c r="Z240" s="34" t="e">
        <f>IF($R240="MTO",
0,
($H240+$K240*($E240/[1]CRITERIOS!$M$16))/[1]CRITERIOS!$X$48)</f>
        <v>#N/A</v>
      </c>
      <c r="AA240" s="34" t="e">
        <f>ROUNDUP(($Y240/_xlfn.XLOOKUP($A240,'[1]DATOS PBI Artículos'!$A$4:$A$4,'[1]DATOS PBI Artículos'!$Z$4:$Z$4))/_xlfn.XLOOKUP(_xlfn.XLOOKUP($A240,'[1]DATOS PBI Artículos'!$A$4:$A$4,'[1]DATOS PBI Artículos'!$Y$4:$Y$4),[1]CRITERIOS!$P$79:$P$123,[1]CRITERIOS!$S$79:$S$123,),0)</f>
        <v>#N/A</v>
      </c>
      <c r="AB240" s="33" t="e">
        <f t="array" ref="AB240">IF((E240+V240-_xlfn.XLOOKUP(A240,'[1]DATOS PBI Artículos'!$A$4:$A$4,'[1]DATOS PBI Artículos'!$W$4:$W$4))/N240&gt;ROUNDUP([1]CRITERIOS!$M$16/(IF(COUNTIF([1]CRITERIOS!$BG$11:$BG$201,L240)&gt;=1,_xlfn.XLOOKUP(ARTÍCULOS!L240,[1]CRITERIOS!$BG$11:$BG$201,[1]CRITERIOS!$BJ$11:$BJ$201),_xlfn.XLOOKUP(ARTÍCULOS!C240,[1]CRITERIOS!$K$25:$K$42,[1]CRITERIOS!$M$25:$M$42))),0),ROUNDUP([1]CRITERIOS!$M$16/(IF(COUNTIF([1]CRITERIOS!$BG$11:$BG$201,L240)&gt;=1,_xlfn.XLOOKUP(ARTÍCULOS!L240,[1]CRITERIOS!$BG$11:$BG$201:#REF!,[1]CRITERIOS!$BJ$11:$BJ$201),_xlfn.XLOOKUP(ARTÍCULOS!C240,[1]CRITERIOS!$K$25:$K$42,[1]CRITERIOS!$M$25:$M$42))),0),(E240+V240-_xlfn.XLOOKUP(A240,'[1]DATOS PBI Artículos'!$A$4:$A$4,'[1]DATOS PBI Artículos'!$W$4:$W$4))/N240)</f>
        <v>#N/A</v>
      </c>
      <c r="AC240" s="33" t="e">
        <f>IF(N240=0,"",(ROUNDUP((N240/2)/(_xlfn.XLOOKUP(A240,'[1]DATOS PBI Artículos'!$A$4:$A$4,'[1]DATOS PBI Artículos'!$Z$4:$Z$4)*_xlfn.XLOOKUP(_xlfn.XLOOKUP(A240,'[1]DATOS PBI Artículos'!$A$4:$A$4,'[1]DATOS PBI Artículos'!$Y$4:$Y$4),[1]CRITERIOS!$P$79:$P$123,[1]CRITERIOS!$S$79:$S$123)),0)*[1]CRITERIOS!$M$80*([1]CRITERIOS!$M$110/[1]CRITERIOS!$M$86)+(_xlfn.XLOOKUP(A240,'[1]DATOS PBI Artículos'!$A$4:$A$4,'[1]DATOS PBI Artículos'!$AA$4:$AA$4)*([1]CRITERIOS!$M$95+[1]CRITERIOS!$M$98)))/N240)</f>
        <v>#N/A</v>
      </c>
      <c r="AD240" s="33" t="e">
        <f>IF(N240=0,"",(ROUNDUP((N240/2)/(_xlfn.XLOOKUP(A240,'[1]DATOS PBI Artículos'!$A$4:$A$4,'[1]DATOS PBI Artículos'!$Z$4:$Z$4)*_xlfn.XLOOKUP(_xlfn.XLOOKUP(A240,'[1]DATOS PBI Artículos'!$A$4:$A$4,'[1]DATOS PBI Artículos'!$Y$4:$Y$4),[1]CRITERIOS!$P$79:$P$123,[1]CRITERIOS!$S$79:$S$123)),0)*[1]CRITERIOS!$M$80*([1]CRITERIOS!$M$89*[1]CRITERIOS!$M$92)+((_xlfn.XLOOKUP(A240,'[1]DATOS PBI Artículos'!$A$4:$A$4,'[1]DATOS PBI Artículos'!$AA$4:$AA$4)/2)*([1]CRITERIOS!$M$95+[1]CRITERIOS!$M$98)))/N240)</f>
        <v>#N/A</v>
      </c>
      <c r="AE240" s="39" t="e">
        <f>IF($R240="MTO","",
IF($H240=0,ROUNDUP(((_xlfn.XLOOKUP($A240,'[1]DATOS PBI Artículos'!$A:$A,'[1]DATOS PBI Artículos'!$AL:$AL))/(_xlfn.XLOOKUP($AF$1,[1]CRITERIOS!$S$16:$S$39,[1]CRITERIOS!$Y$16:$Y$39))*$J240+$Z240)/$G240,0)*$G240,
((_xlfn.XLOOKUP($A240,'[1]DATOS PBI Artículos'!$A:$A,'[1]DATOS PBI Artículos'!$AL:$AL))/(_xlfn.XLOOKUP($AF$1,[1]CRITERIOS!$S$16:$S$39,[1]CRITERIOS!$Y$16:$Y$39))*$J240+$Z240)))</f>
        <v>#N/A</v>
      </c>
      <c r="AG240" s="39" t="e">
        <f>IF($R240="MTO","",
IF($H240=0,ROUNDUP(((_xlfn.XLOOKUP($A240,'[1]DATOS PBI Artículos'!$A:$A,'[1]DATOS PBI Artículos'!$AM:$AM))/(_xlfn.XLOOKUP($AH$1,[1]CRITERIOS!$S$16:$S$39,[1]CRITERIOS!$Y$16:$Y$39))*$J240+$Z240)/$G240,0)*$G240,
((_xlfn.XLOOKUP($A240,'[1]DATOS PBI Artículos'!$A:$A,'[1]DATOS PBI Artículos'!$AM:$AM))/(_xlfn.XLOOKUP($AH$1,[1]CRITERIOS!$S$16:$S$39,[1]CRITERIOS!$Y$16:$Y$39))*$J240+$Z240)))</f>
        <v>#N/A</v>
      </c>
      <c r="AI240" s="39" t="e">
        <f>IF($R240="MTO","",
IF($H240=0,ROUNDUP(((_xlfn.XLOOKUP($A240,'[1]DATOS PBI Artículos'!$A:$A,'[1]DATOS PBI Artículos'!$AN:$AN))/(_xlfn.XLOOKUP($AJ$1,[1]CRITERIOS!$S$16:$S$39,[1]CRITERIOS!$Y$16:$Y$39))*$J240+$Z240)/$G240,0)*$G240,
((_xlfn.XLOOKUP($A240,'[1]DATOS PBI Artículos'!$A:$A,'[1]DATOS PBI Artículos'!$AN:$AN))/(_xlfn.XLOOKUP($AJ$1,[1]CRITERIOS!$S$16:$S$39,[1]CRITERIOS!$Y$16:$Y$39))*$J240+$Z240)))</f>
        <v>#N/A</v>
      </c>
      <c r="AK240" s="39" t="e">
        <f>IF($R240="MTO","",
IF($H240=0,ROUNDUP(((_xlfn.XLOOKUP($A240,'[1]DATOS PBI Artículos'!$A:$A,'[1]DATOS PBI Artículos'!$AO:$AO))/(_xlfn.XLOOKUP($AL$1,[1]CRITERIOS!$S$16:$S$39,[1]CRITERIOS!$Y$16:$Y$39))*$J240+$Z240)/$G240,0)*$G240,
((_xlfn.XLOOKUP($A240,'[1]DATOS PBI Artículos'!$A:$A,'[1]DATOS PBI Artículos'!$AO:$AO))/(_xlfn.XLOOKUP($AL$1,[1]CRITERIOS!$S$16:$S$39,[1]CRITERIOS!$Y$16:$Y$39))*$J240+$Z240)))</f>
        <v>#N/A</v>
      </c>
    </row>
    <row r="241" spans="1:37" ht="25.8" hidden="1" x14ac:dyDescent="0.4">
      <c r="A241" s="41"/>
      <c r="B241" s="33">
        <f>_xlfn.XLOOKUP($A241,'[1]DATOS PBI Artículos'!A:A,'[1]DATOS PBI Artículos'!B:B)</f>
        <v>0</v>
      </c>
      <c r="C241" s="33">
        <f>_xlfn.XLOOKUP($A241,'[1]DATOS PBI Artículos'!A:A,'[1]DATOS PBI Artículos'!C:C)</f>
        <v>0</v>
      </c>
      <c r="D241" s="33">
        <f>_xlfn.XLOOKUP(A241,'[1]DATOS PBI Artículos'!A:A,'[1]DATOS PBI Artículos'!T:T)</f>
        <v>0</v>
      </c>
      <c r="E241" s="34">
        <f>IF(_xlfn.XLOOKUP($A241,'[1]DATOS PBI Artículos'!A:A,'[1]DATOS PBI Artículos'!AK:AK)="",_xlfn.XLOOKUP($A241,'[1]DATOS PBI Artículos'!A:A,'[1]DATOS PBI Artículos'!AJ:AJ),_xlfn.XLOOKUP($A241,'[1]DATOS PBI Artículos'!A:A,'[1]DATOS PBI Artículos'!AK:AK))</f>
        <v>0</v>
      </c>
      <c r="F241" s="35">
        <f>_xlfn.XLOOKUP($A241,'[1]DATOS PBI Artículos'!A:A,'[1]DATOS PBI Artículos'!AP:AP)</f>
        <v>0</v>
      </c>
      <c r="G241" s="34">
        <f>_xlfn.XLOOKUP($A241,'[1]DATOS PBI Artículos'!A:A,'[1]DATOS PBI Artículos'!AR:AR)</f>
        <v>0</v>
      </c>
      <c r="H241" s="34">
        <f>_xlfn.XLOOKUP($A241,'[1]DATOS PBI Artículos'!A:A,'[1]DATOS PBI Artículos'!AT:AT)</f>
        <v>0</v>
      </c>
      <c r="I241" s="34">
        <f>_xlfn.XLOOKUP($A241,'[1]DATOS PBI Artículos'!A:A,'[1]DATOS PBI Artículos'!AS:AS)</f>
        <v>0</v>
      </c>
      <c r="J241" s="35">
        <f>IF(COUNTIF([1]CRITERIOS!$F$179:$F$199,$A241)&gt;=1,
 IF(O241&lt;&gt;"",
    (O241/_xlfn.XLOOKUP(CONCATENATE(A241,L241),[1]MÁQUINAS!A:A,[1]MÁQUINAS!D:D))/24,
    (N241/_xlfn.XLOOKUP(CONCATENATE(A241,L241),[1]MÁQUINAS!A:A,[1]MÁQUINAS!D:D))/24),
  _xlfn.XLOOKUP($A241,'[1]DATOS PBI Artículos'!A:A,'[1]DATOS PBI Artículos'!AU:AU))</f>
        <v>0</v>
      </c>
      <c r="K241" s="36">
        <f>_xlfn.XLOOKUP($A241,'[1]DATOS PBI Artículos'!A:A,'[1]DATOS PBI Artículos'!AV:AV)</f>
        <v>0</v>
      </c>
      <c r="L241" s="33">
        <f>_xlfn.XLOOKUP(A241,[1]MÁQUINAS!B:B,[1]MÁQUINAS!C:C)</f>
        <v>0</v>
      </c>
      <c r="M241" s="34">
        <f t="array" ref="M241">_xlfn.XLOOKUP(A241,'[1]DATOS PBI Artículos'!A:A,'[1]DATOS PBI Artículos'!AX:$AX)</f>
        <v>0</v>
      </c>
      <c r="N241" s="37" t="e">
        <f>IF(I241="DV",
E241,
IF(COUNTIF([1]CRITERIOS!$I$179:$I$199,$A241)&gt;=1,
_xlfn.XLOOKUP($A241,[1]CRITERIOS!$I$179:$I$199,[1]CRITERIOS!$J$179:$J$199),
IF(COUNTIF([1]CRITERIOS!$L$179:$L$199,$A241)&gt;=1,
_xlfn.CEILING.MATH(IF($M241&gt;$E241,
$E241,
IF($M241&lt;$E241/ROUNDDOWN([1]CRITERIOS!$M$16/_xlfn.XLOOKUP($C241,[1]CRITERIOS!$K$25:$K$42,[1]CRITERIOS!$M$25:$M$42),
1),
E241/ROUNDDOWN([1]CRITERIOS!$M$16/_xlfn.XLOOKUP($C241,[1]CRITERIOS!$K$25:$K$42,[1]CRITERIOS!$M$25:$M$42),
1),
$M241)),
_xlfn.XLOOKUP($A241,[1]CRITERIOS!$L$179:$L$200,[1]CRITERIOS!$M$179:$M$200)),
_xlfn.CEILING.MATH(IF($M241&gt;$E241,
$E241,
IF($M241&lt;$E241/ROUNDDOWN([1]CRITERIOS!$M$16/_xlfn.XLOOKUP($C241,[1]CRITERIOS!$K$25:$K$42,[1]CRITERIOS!$M$25:$M$42),
1),
E241/ROUNDDOWN([1]CRITERIOS!$M$16/_xlfn.XLOOKUP($C241,[1]CRITERIOS!$K$25:$K$42,[1]CRITERIOS!$M$25:$M$42),
1),
$M241)),_xlfn.XLOOKUP(A241,'[1]DATOS PBI Artículos'!A:A,'[1]DATOS PBI Artículos'!Z:Z
)))))</f>
        <v>#N/A</v>
      </c>
      <c r="Q241" s="38" t="e">
        <f>IF(AND(O241="",N241=0),
0,
   IF(COUNTIF([1]CRITERIOS!$F$179:$F$199,$A241)&gt;=1,
   1,
   IF(R241="MTO",
      $D241,
      ROUNDUP(
                    IF(($E241-SUMIF('[1]DATOS PBI Artículos'!A:A,A241,'[1]DATOS PBI Artículos'!X:X)+($V241-_xlfn.XLOOKUP(A241,'[1]DATOS PBI Artículos'!A:A,'[1]DATOS PBI Artículos'!W:W)))&lt;0,
                    0,
                    IF(($E241-SUMIF('[1]DATOS PBI Artículos'!A:A,A241,'[1]DATOS PBI Artículos'!X:X)+$V241-_xlfn.XLOOKUP($A241,'[1]DATOS PBI Artículos'!A:A,'[1]DATOS PBI Artículos'!W:W))/IF($O241="",$N241,$O241)&gt;ROUNDUP([1]CRITERIOS!$M$16/(IF(COUNTIF([1]CRITERIOS!$BG$11:$BG$201,L241)&gt;=1,_xlfn.XLOOKUP($C241,[1]CRITERIOS!$K$25:$K$42,[1]CRITERIOS!$M$25:$M$42),_xlfn.XLOOKUP($C241,[1]CRITERIOS!$K$25:$K$42,[1]CRITERIOS!$M$25:$M$42))),0),
                    ROUNDUP([1]CRITERIOS!$M$16/(IF(COUNTIF([1]CRITERIOS!$BG$11:$BG$201,$L241)&gt;=1,_xlfn.XLOOKUP($C241,[1]CRITERIOS!$K$25:$K$42,[1]CRITERIOS!$M$25:$M$42),_xlfn.XLOOKUP($C241,[1]CRITERIOS!$K$25:$K$42,[1]CRITERIOS!$M$25:$M$42))),0),
                    (E241+V241-SUMIF('[1]DATOS PBI Artículos'!A:A,A241,'[1]DATOS PBI Artículos'!X:X)-_xlfn.XLOOKUP(A241,'[1]DATOS PBI Artículos'!A:A,'[1]DATOS PBI Artículos'!W:W))/IF($O241="",$N241,$O241))),0))))</f>
        <v>#N/A</v>
      </c>
      <c r="R241" s="33" t="e">
        <f>IF(U241&lt;&gt;"",U241,IF(F241="DV","MTO",IF(N241=0,"MTO",_xlfn.XLOOKUP(CONCATENATE(S241,T241),[1]CRITERIOS!$K$160:$K$168,[1]CRITERIOS!$N$160:$N$168))))</f>
        <v>#N/A</v>
      </c>
      <c r="S241" s="33" t="e">
        <f>IF(G241="DV","MTO",IF(N241=0,"MTO",IF(OR(AND(N241=0,O241=""),IF(O241="",G241/N241,G241/O241)&gt;[1]CRITERIOS!$G$163),"MTO",IF(IF(O241="",G241/N241,G241/O241)&lt;[1]CRITERIOS!$H$161,"MTS","MTOS"))))</f>
        <v>#N/A</v>
      </c>
      <c r="T241" s="33" t="e">
        <f>IF(F241="DV","MTO",IF(OR(AND($N241=0,O241=""),$F241/$J241&gt;[1]CRITERIOS!$G$170,$F241="DV"),"MTO",IF($F241/$J241&lt;[1]CRITERIOS!$H$168,"MTS","MTOS")))</f>
        <v>#N/A</v>
      </c>
      <c r="V241" s="34" t="e">
        <f t="shared" si="13"/>
        <v>#N/A</v>
      </c>
      <c r="X241" s="34" t="e">
        <f t="shared" si="11"/>
        <v>#N/A</v>
      </c>
      <c r="Y241" s="34" t="e">
        <f t="shared" si="12"/>
        <v>#N/A</v>
      </c>
      <c r="Z241" s="34" t="e">
        <f>IF($R241="MTO",
0,
($H241+$K241*($E241/[1]CRITERIOS!$M$16))/[1]CRITERIOS!$X$48)</f>
        <v>#N/A</v>
      </c>
      <c r="AA241" s="34" t="e">
        <f>ROUNDUP(($Y241/_xlfn.XLOOKUP($A241,'[1]DATOS PBI Artículos'!$A$4:$A$4,'[1]DATOS PBI Artículos'!$Z$4:$Z$4))/_xlfn.XLOOKUP(_xlfn.XLOOKUP($A241,'[1]DATOS PBI Artículos'!$A$4:$A$4,'[1]DATOS PBI Artículos'!$Y$4:$Y$4),[1]CRITERIOS!$P$79:$P$123,[1]CRITERIOS!$S$79:$S$123,),0)</f>
        <v>#N/A</v>
      </c>
      <c r="AB241" s="33" t="e">
        <f t="array" ref="AB241">IF((E241+V241-_xlfn.XLOOKUP(A241,'[1]DATOS PBI Artículos'!$A$4:$A$4,'[1]DATOS PBI Artículos'!$W$4:$W$4))/N241&gt;ROUNDUP([1]CRITERIOS!$M$16/(IF(COUNTIF([1]CRITERIOS!$BG$11:$BG$201,L241)&gt;=1,_xlfn.XLOOKUP(ARTÍCULOS!L241,[1]CRITERIOS!$BG$11:$BG$201,[1]CRITERIOS!$BJ$11:$BJ$201),_xlfn.XLOOKUP(ARTÍCULOS!C241,[1]CRITERIOS!$K$25:$K$42,[1]CRITERIOS!$M$25:$M$42))),0),ROUNDUP([1]CRITERIOS!$M$16/(IF(COUNTIF([1]CRITERIOS!$BG$11:$BG$201,L241)&gt;=1,_xlfn.XLOOKUP(ARTÍCULOS!L241,[1]CRITERIOS!$BG$11:$BG$201:#REF!,[1]CRITERIOS!$BJ$11:$BJ$201),_xlfn.XLOOKUP(ARTÍCULOS!C241,[1]CRITERIOS!$K$25:$K$42,[1]CRITERIOS!$M$25:$M$42))),0),(E241+V241-_xlfn.XLOOKUP(A241,'[1]DATOS PBI Artículos'!$A$4:$A$4,'[1]DATOS PBI Artículos'!$W$4:$W$4))/N241)</f>
        <v>#N/A</v>
      </c>
      <c r="AC241" s="33" t="e">
        <f>IF(N241=0,"",(ROUNDUP((N241/2)/(_xlfn.XLOOKUP(A241,'[1]DATOS PBI Artículos'!$A$4:$A$4,'[1]DATOS PBI Artículos'!$Z$4:$Z$4)*_xlfn.XLOOKUP(_xlfn.XLOOKUP(A241,'[1]DATOS PBI Artículos'!$A$4:$A$4,'[1]DATOS PBI Artículos'!$Y$4:$Y$4),[1]CRITERIOS!$P$79:$P$123,[1]CRITERIOS!$S$79:$S$123)),0)*[1]CRITERIOS!$M$80*([1]CRITERIOS!$M$110/[1]CRITERIOS!$M$86)+(_xlfn.XLOOKUP(A241,'[1]DATOS PBI Artículos'!$A$4:$A$4,'[1]DATOS PBI Artículos'!$AA$4:$AA$4)*([1]CRITERIOS!$M$95+[1]CRITERIOS!$M$98)))/N241)</f>
        <v>#N/A</v>
      </c>
      <c r="AD241" s="33" t="e">
        <f>IF(N241=0,"",(ROUNDUP((N241/2)/(_xlfn.XLOOKUP(A241,'[1]DATOS PBI Artículos'!$A$4:$A$4,'[1]DATOS PBI Artículos'!$Z$4:$Z$4)*_xlfn.XLOOKUP(_xlfn.XLOOKUP(A241,'[1]DATOS PBI Artículos'!$A$4:$A$4,'[1]DATOS PBI Artículos'!$Y$4:$Y$4),[1]CRITERIOS!$P$79:$P$123,[1]CRITERIOS!$S$79:$S$123)),0)*[1]CRITERIOS!$M$80*([1]CRITERIOS!$M$89*[1]CRITERIOS!$M$92)+((_xlfn.XLOOKUP(A241,'[1]DATOS PBI Artículos'!$A$4:$A$4,'[1]DATOS PBI Artículos'!$AA$4:$AA$4)/2)*([1]CRITERIOS!$M$95+[1]CRITERIOS!$M$98)))/N241)</f>
        <v>#N/A</v>
      </c>
      <c r="AE241" s="39" t="e">
        <f>IF($R241="MTO","",
IF($H241=0,ROUNDUP(((_xlfn.XLOOKUP($A241,'[1]DATOS PBI Artículos'!$A:$A,'[1]DATOS PBI Artículos'!$AL:$AL))/(_xlfn.XLOOKUP($AF$1,[1]CRITERIOS!$S$16:$S$39,[1]CRITERIOS!$Y$16:$Y$39))*$J241+$Z241)/$G241,0)*$G241,
((_xlfn.XLOOKUP($A241,'[1]DATOS PBI Artículos'!$A:$A,'[1]DATOS PBI Artículos'!$AL:$AL))/(_xlfn.XLOOKUP($AF$1,[1]CRITERIOS!$S$16:$S$39,[1]CRITERIOS!$Y$16:$Y$39))*$J241+$Z241)))</f>
        <v>#N/A</v>
      </c>
      <c r="AG241" s="39" t="e">
        <f>IF($R241="MTO","",
IF($H241=0,ROUNDUP(((_xlfn.XLOOKUP($A241,'[1]DATOS PBI Artículos'!$A:$A,'[1]DATOS PBI Artículos'!$AM:$AM))/(_xlfn.XLOOKUP($AH$1,[1]CRITERIOS!$S$16:$S$39,[1]CRITERIOS!$Y$16:$Y$39))*$J241+$Z241)/$G241,0)*$G241,
((_xlfn.XLOOKUP($A241,'[1]DATOS PBI Artículos'!$A:$A,'[1]DATOS PBI Artículos'!$AM:$AM))/(_xlfn.XLOOKUP($AH$1,[1]CRITERIOS!$S$16:$S$39,[1]CRITERIOS!$Y$16:$Y$39))*$J241+$Z241)))</f>
        <v>#N/A</v>
      </c>
      <c r="AI241" s="39" t="e">
        <f>IF($R241="MTO","",
IF($H241=0,ROUNDUP(((_xlfn.XLOOKUP($A241,'[1]DATOS PBI Artículos'!$A:$A,'[1]DATOS PBI Artículos'!$AN:$AN))/(_xlfn.XLOOKUP($AJ$1,[1]CRITERIOS!$S$16:$S$39,[1]CRITERIOS!$Y$16:$Y$39))*$J241+$Z241)/$G241,0)*$G241,
((_xlfn.XLOOKUP($A241,'[1]DATOS PBI Artículos'!$A:$A,'[1]DATOS PBI Artículos'!$AN:$AN))/(_xlfn.XLOOKUP($AJ$1,[1]CRITERIOS!$S$16:$S$39,[1]CRITERIOS!$Y$16:$Y$39))*$J241+$Z241)))</f>
        <v>#N/A</v>
      </c>
      <c r="AK241" s="39" t="e">
        <f>IF($R241="MTO","",
IF($H241=0,ROUNDUP(((_xlfn.XLOOKUP($A241,'[1]DATOS PBI Artículos'!$A:$A,'[1]DATOS PBI Artículos'!$AO:$AO))/(_xlfn.XLOOKUP($AL$1,[1]CRITERIOS!$S$16:$S$39,[1]CRITERIOS!$Y$16:$Y$39))*$J241+$Z241)/$G241,0)*$G241,
((_xlfn.XLOOKUP($A241,'[1]DATOS PBI Artículos'!$A:$A,'[1]DATOS PBI Artículos'!$AO:$AO))/(_xlfn.XLOOKUP($AL$1,[1]CRITERIOS!$S$16:$S$39,[1]CRITERIOS!$Y$16:$Y$39))*$J241+$Z241)))</f>
        <v>#N/A</v>
      </c>
    </row>
    <row r="242" spans="1:37" ht="25.8" hidden="1" x14ac:dyDescent="0.4">
      <c r="A242" s="41"/>
      <c r="B242" s="33">
        <f>_xlfn.XLOOKUP($A242,'[1]DATOS PBI Artículos'!A:A,'[1]DATOS PBI Artículos'!B:B)</f>
        <v>0</v>
      </c>
      <c r="C242" s="33">
        <f>_xlfn.XLOOKUP($A242,'[1]DATOS PBI Artículos'!A:A,'[1]DATOS PBI Artículos'!C:C)</f>
        <v>0</v>
      </c>
      <c r="D242" s="33">
        <f>_xlfn.XLOOKUP(A242,'[1]DATOS PBI Artículos'!A:A,'[1]DATOS PBI Artículos'!T:T)</f>
        <v>0</v>
      </c>
      <c r="E242" s="34">
        <f>IF(_xlfn.XLOOKUP($A242,'[1]DATOS PBI Artículos'!A:A,'[1]DATOS PBI Artículos'!AK:AK)="",_xlfn.XLOOKUP($A242,'[1]DATOS PBI Artículos'!A:A,'[1]DATOS PBI Artículos'!AJ:AJ),_xlfn.XLOOKUP($A242,'[1]DATOS PBI Artículos'!A:A,'[1]DATOS PBI Artículos'!AK:AK))</f>
        <v>0</v>
      </c>
      <c r="F242" s="35">
        <f>_xlfn.XLOOKUP($A242,'[1]DATOS PBI Artículos'!A:A,'[1]DATOS PBI Artículos'!AP:AP)</f>
        <v>0</v>
      </c>
      <c r="G242" s="34">
        <f>_xlfn.XLOOKUP($A242,'[1]DATOS PBI Artículos'!A:A,'[1]DATOS PBI Artículos'!AR:AR)</f>
        <v>0</v>
      </c>
      <c r="H242" s="34">
        <f>_xlfn.XLOOKUP($A242,'[1]DATOS PBI Artículos'!A:A,'[1]DATOS PBI Artículos'!AT:AT)</f>
        <v>0</v>
      </c>
      <c r="I242" s="34">
        <f>_xlfn.XLOOKUP($A242,'[1]DATOS PBI Artículos'!A:A,'[1]DATOS PBI Artículos'!AS:AS)</f>
        <v>0</v>
      </c>
      <c r="J242" s="35">
        <f>IF(COUNTIF([1]CRITERIOS!$F$179:$F$199,$A242)&gt;=1,
 IF(O242&lt;&gt;"",
    (O242/_xlfn.XLOOKUP(CONCATENATE(A242,L242),[1]MÁQUINAS!A:A,[1]MÁQUINAS!D:D))/24,
    (N242/_xlfn.XLOOKUP(CONCATENATE(A242,L242),[1]MÁQUINAS!A:A,[1]MÁQUINAS!D:D))/24),
  _xlfn.XLOOKUP($A242,'[1]DATOS PBI Artículos'!A:A,'[1]DATOS PBI Artículos'!AU:AU))</f>
        <v>0</v>
      </c>
      <c r="K242" s="36">
        <f>_xlfn.XLOOKUP($A242,'[1]DATOS PBI Artículos'!A:A,'[1]DATOS PBI Artículos'!AV:AV)</f>
        <v>0</v>
      </c>
      <c r="L242" s="33">
        <f>_xlfn.XLOOKUP(A242,[1]MÁQUINAS!B:B,[1]MÁQUINAS!C:C)</f>
        <v>0</v>
      </c>
      <c r="M242" s="34">
        <f t="array" ref="M242">_xlfn.XLOOKUP(A242,'[1]DATOS PBI Artículos'!A:A,'[1]DATOS PBI Artículos'!AX:$AX)</f>
        <v>0</v>
      </c>
      <c r="N242" s="37" t="e">
        <f>IF(I242="DV",
E242,
IF(COUNTIF([1]CRITERIOS!$I$179:$I$199,$A242)&gt;=1,
_xlfn.XLOOKUP($A242,[1]CRITERIOS!$I$179:$I$199,[1]CRITERIOS!$J$179:$J$199),
IF(COUNTIF([1]CRITERIOS!$L$179:$L$199,$A242)&gt;=1,
_xlfn.CEILING.MATH(IF($M242&gt;$E242,
$E242,
IF($M242&lt;$E242/ROUNDDOWN([1]CRITERIOS!$M$16/_xlfn.XLOOKUP($C242,[1]CRITERIOS!$K$25:$K$42,[1]CRITERIOS!$M$25:$M$42),
1),
E242/ROUNDDOWN([1]CRITERIOS!$M$16/_xlfn.XLOOKUP($C242,[1]CRITERIOS!$K$25:$K$42,[1]CRITERIOS!$M$25:$M$42),
1),
$M242)),
_xlfn.XLOOKUP($A242,[1]CRITERIOS!$L$179:$L$200,[1]CRITERIOS!$M$179:$M$200)),
_xlfn.CEILING.MATH(IF($M242&gt;$E242,
$E242,
IF($M242&lt;$E242/ROUNDDOWN([1]CRITERIOS!$M$16/_xlfn.XLOOKUP($C242,[1]CRITERIOS!$K$25:$K$42,[1]CRITERIOS!$M$25:$M$42),
1),
E242/ROUNDDOWN([1]CRITERIOS!$M$16/_xlfn.XLOOKUP($C242,[1]CRITERIOS!$K$25:$K$42,[1]CRITERIOS!$M$25:$M$42),
1),
$M242)),_xlfn.XLOOKUP(A242,'[1]DATOS PBI Artículos'!A:A,'[1]DATOS PBI Artículos'!Z:Z
)))))</f>
        <v>#N/A</v>
      </c>
      <c r="Q242" s="38" t="e">
        <f>IF(AND(O242="",N242=0),
0,
   IF(COUNTIF([1]CRITERIOS!$F$179:$F$199,$A242)&gt;=1,
   1,
   IF(R242="MTO",
      $D242,
      ROUNDUP(
                    IF(($E242-SUMIF('[1]DATOS PBI Artículos'!A:A,A242,'[1]DATOS PBI Artículos'!X:X)+($V242-_xlfn.XLOOKUP(A242,'[1]DATOS PBI Artículos'!A:A,'[1]DATOS PBI Artículos'!W:W)))&lt;0,
                    0,
                    IF(($E242-SUMIF('[1]DATOS PBI Artículos'!A:A,A242,'[1]DATOS PBI Artículos'!X:X)+$V242-_xlfn.XLOOKUP($A242,'[1]DATOS PBI Artículos'!A:A,'[1]DATOS PBI Artículos'!W:W))/IF($O242="",$N242,$O242)&gt;ROUNDUP([1]CRITERIOS!$M$16/(IF(COUNTIF([1]CRITERIOS!$BG$11:$BG$201,L242)&gt;=1,_xlfn.XLOOKUP($C242,[1]CRITERIOS!$K$25:$K$42,[1]CRITERIOS!$M$25:$M$42),_xlfn.XLOOKUP($C242,[1]CRITERIOS!$K$25:$K$42,[1]CRITERIOS!$M$25:$M$42))),0),
                    ROUNDUP([1]CRITERIOS!$M$16/(IF(COUNTIF([1]CRITERIOS!$BG$11:$BG$201,$L242)&gt;=1,_xlfn.XLOOKUP($C242,[1]CRITERIOS!$K$25:$K$42,[1]CRITERIOS!$M$25:$M$42),_xlfn.XLOOKUP($C242,[1]CRITERIOS!$K$25:$K$42,[1]CRITERIOS!$M$25:$M$42))),0),
                    (E242+V242-SUMIF('[1]DATOS PBI Artículos'!A:A,A242,'[1]DATOS PBI Artículos'!X:X)-_xlfn.XLOOKUP(A242,'[1]DATOS PBI Artículos'!A:A,'[1]DATOS PBI Artículos'!W:W))/IF($O242="",$N242,$O242))),0))))</f>
        <v>#N/A</v>
      </c>
      <c r="R242" s="33" t="e">
        <f>IF(U242&lt;&gt;"",U242,IF(F242="DV","MTO",IF(N242=0,"MTO",_xlfn.XLOOKUP(CONCATENATE(S242,T242),[1]CRITERIOS!$K$160:$K$168,[1]CRITERIOS!$N$160:$N$168))))</f>
        <v>#N/A</v>
      </c>
      <c r="S242" s="33" t="e">
        <f>IF(G242="DV","MTO",IF(N242=0,"MTO",IF(OR(AND(N242=0,O242=""),IF(O242="",G242/N242,G242/O242)&gt;[1]CRITERIOS!$G$163),"MTO",IF(IF(O242="",G242/N242,G242/O242)&lt;[1]CRITERIOS!$H$161,"MTS","MTOS"))))</f>
        <v>#N/A</v>
      </c>
      <c r="T242" s="33" t="e">
        <f>IF(F242="DV","MTO",IF(OR(AND($N242=0,O242=""),$F242/$J242&gt;[1]CRITERIOS!$G$170,$F242="DV"),"MTO",IF($F242/$J242&lt;[1]CRITERIOS!$H$168,"MTS","MTOS")))</f>
        <v>#N/A</v>
      </c>
      <c r="V242" s="34" t="e">
        <f t="shared" si="13"/>
        <v>#N/A</v>
      </c>
      <c r="X242" s="34" t="e">
        <f t="shared" si="11"/>
        <v>#N/A</v>
      </c>
      <c r="Y242" s="34" t="e">
        <f t="shared" si="12"/>
        <v>#N/A</v>
      </c>
      <c r="Z242" s="34" t="e">
        <f>IF($R242="MTO",
0,
($H242+$K242*($E242/[1]CRITERIOS!$M$16))/[1]CRITERIOS!$X$48)</f>
        <v>#N/A</v>
      </c>
      <c r="AA242" s="34" t="e">
        <f>ROUNDUP(($Y242/_xlfn.XLOOKUP($A242,'[1]DATOS PBI Artículos'!$A$4:$A$4,'[1]DATOS PBI Artículos'!$Z$4:$Z$4))/_xlfn.XLOOKUP(_xlfn.XLOOKUP($A242,'[1]DATOS PBI Artículos'!$A$4:$A$4,'[1]DATOS PBI Artículos'!$Y$4:$Y$4),[1]CRITERIOS!$P$79:$P$123,[1]CRITERIOS!$S$79:$S$123,),0)</f>
        <v>#N/A</v>
      </c>
      <c r="AB242" s="33" t="e">
        <f t="array" ref="AB242">IF((E242+V242-_xlfn.XLOOKUP(A242,'[1]DATOS PBI Artículos'!$A$4:$A$4,'[1]DATOS PBI Artículos'!$W$4:$W$4))/N242&gt;ROUNDUP([1]CRITERIOS!$M$16/(IF(COUNTIF([1]CRITERIOS!$BG$11:$BG$201,L242)&gt;=1,_xlfn.XLOOKUP(ARTÍCULOS!L242,[1]CRITERIOS!$BG$11:$BG$201,[1]CRITERIOS!$BJ$11:$BJ$201),_xlfn.XLOOKUP(ARTÍCULOS!C242,[1]CRITERIOS!$K$25:$K$42,[1]CRITERIOS!$M$25:$M$42))),0),ROUNDUP([1]CRITERIOS!$M$16/(IF(COUNTIF([1]CRITERIOS!$BG$11:$BG$201,L242)&gt;=1,_xlfn.XLOOKUP(ARTÍCULOS!L242,[1]CRITERIOS!$BG$11:$BG$201:#REF!,[1]CRITERIOS!$BJ$11:$BJ$201),_xlfn.XLOOKUP(ARTÍCULOS!C242,[1]CRITERIOS!$K$25:$K$42,[1]CRITERIOS!$M$25:$M$42))),0),(E242+V242-_xlfn.XLOOKUP(A242,'[1]DATOS PBI Artículos'!$A$4:$A$4,'[1]DATOS PBI Artículos'!$W$4:$W$4))/N242)</f>
        <v>#N/A</v>
      </c>
      <c r="AC242" s="33" t="e">
        <f>IF(N242=0,"",(ROUNDUP((N242/2)/(_xlfn.XLOOKUP(A242,'[1]DATOS PBI Artículos'!$A$4:$A$4,'[1]DATOS PBI Artículos'!$Z$4:$Z$4)*_xlfn.XLOOKUP(_xlfn.XLOOKUP(A242,'[1]DATOS PBI Artículos'!$A$4:$A$4,'[1]DATOS PBI Artículos'!$Y$4:$Y$4),[1]CRITERIOS!$P$79:$P$123,[1]CRITERIOS!$S$79:$S$123)),0)*[1]CRITERIOS!$M$80*([1]CRITERIOS!$M$110/[1]CRITERIOS!$M$86)+(_xlfn.XLOOKUP(A242,'[1]DATOS PBI Artículos'!$A$4:$A$4,'[1]DATOS PBI Artículos'!$AA$4:$AA$4)*([1]CRITERIOS!$M$95+[1]CRITERIOS!$M$98)))/N242)</f>
        <v>#N/A</v>
      </c>
      <c r="AD242" s="33" t="e">
        <f>IF(N242=0,"",(ROUNDUP((N242/2)/(_xlfn.XLOOKUP(A242,'[1]DATOS PBI Artículos'!$A$4:$A$4,'[1]DATOS PBI Artículos'!$Z$4:$Z$4)*_xlfn.XLOOKUP(_xlfn.XLOOKUP(A242,'[1]DATOS PBI Artículos'!$A$4:$A$4,'[1]DATOS PBI Artículos'!$Y$4:$Y$4),[1]CRITERIOS!$P$79:$P$123,[1]CRITERIOS!$S$79:$S$123)),0)*[1]CRITERIOS!$M$80*([1]CRITERIOS!$M$89*[1]CRITERIOS!$M$92)+((_xlfn.XLOOKUP(A242,'[1]DATOS PBI Artículos'!$A$4:$A$4,'[1]DATOS PBI Artículos'!$AA$4:$AA$4)/2)*([1]CRITERIOS!$M$95+[1]CRITERIOS!$M$98)))/N242)</f>
        <v>#N/A</v>
      </c>
      <c r="AE242" s="39" t="e">
        <f>IF($R242="MTO","",
IF($H242=0,ROUNDUP(((_xlfn.XLOOKUP($A242,'[1]DATOS PBI Artículos'!$A:$A,'[1]DATOS PBI Artículos'!$AL:$AL))/(_xlfn.XLOOKUP($AF$1,[1]CRITERIOS!$S$16:$S$39,[1]CRITERIOS!$Y$16:$Y$39))*$J242+$Z242)/$G242,0)*$G242,
((_xlfn.XLOOKUP($A242,'[1]DATOS PBI Artículos'!$A:$A,'[1]DATOS PBI Artículos'!$AL:$AL))/(_xlfn.XLOOKUP($AF$1,[1]CRITERIOS!$S$16:$S$39,[1]CRITERIOS!$Y$16:$Y$39))*$J242+$Z242)))</f>
        <v>#N/A</v>
      </c>
      <c r="AG242" s="39" t="e">
        <f>IF($R242="MTO","",
IF($H242=0,ROUNDUP(((_xlfn.XLOOKUP($A242,'[1]DATOS PBI Artículos'!$A:$A,'[1]DATOS PBI Artículos'!$AM:$AM))/(_xlfn.XLOOKUP($AH$1,[1]CRITERIOS!$S$16:$S$39,[1]CRITERIOS!$Y$16:$Y$39))*$J242+$Z242)/$G242,0)*$G242,
((_xlfn.XLOOKUP($A242,'[1]DATOS PBI Artículos'!$A:$A,'[1]DATOS PBI Artículos'!$AM:$AM))/(_xlfn.XLOOKUP($AH$1,[1]CRITERIOS!$S$16:$S$39,[1]CRITERIOS!$Y$16:$Y$39))*$J242+$Z242)))</f>
        <v>#N/A</v>
      </c>
      <c r="AI242" s="39" t="e">
        <f>IF($R242="MTO","",
IF($H242=0,ROUNDUP(((_xlfn.XLOOKUP($A242,'[1]DATOS PBI Artículos'!$A:$A,'[1]DATOS PBI Artículos'!$AN:$AN))/(_xlfn.XLOOKUP($AJ$1,[1]CRITERIOS!$S$16:$S$39,[1]CRITERIOS!$Y$16:$Y$39))*$J242+$Z242)/$G242,0)*$G242,
((_xlfn.XLOOKUP($A242,'[1]DATOS PBI Artículos'!$A:$A,'[1]DATOS PBI Artículos'!$AN:$AN))/(_xlfn.XLOOKUP($AJ$1,[1]CRITERIOS!$S$16:$S$39,[1]CRITERIOS!$Y$16:$Y$39))*$J242+$Z242)))</f>
        <v>#N/A</v>
      </c>
      <c r="AK242" s="39" t="e">
        <f>IF($R242="MTO","",
IF($H242=0,ROUNDUP(((_xlfn.XLOOKUP($A242,'[1]DATOS PBI Artículos'!$A:$A,'[1]DATOS PBI Artículos'!$AO:$AO))/(_xlfn.XLOOKUP($AL$1,[1]CRITERIOS!$S$16:$S$39,[1]CRITERIOS!$Y$16:$Y$39))*$J242+$Z242)/$G242,0)*$G242,
((_xlfn.XLOOKUP($A242,'[1]DATOS PBI Artículos'!$A:$A,'[1]DATOS PBI Artículos'!$AO:$AO))/(_xlfn.XLOOKUP($AL$1,[1]CRITERIOS!$S$16:$S$39,[1]CRITERIOS!$Y$16:$Y$39))*$J242+$Z242)))</f>
        <v>#N/A</v>
      </c>
    </row>
    <row r="243" spans="1:37" ht="25.8" hidden="1" x14ac:dyDescent="0.4">
      <c r="A243" s="41"/>
      <c r="B243" s="33">
        <f>_xlfn.XLOOKUP($A243,'[1]DATOS PBI Artículos'!A:A,'[1]DATOS PBI Artículos'!B:B)</f>
        <v>0</v>
      </c>
      <c r="C243" s="33">
        <f>_xlfn.XLOOKUP($A243,'[1]DATOS PBI Artículos'!A:A,'[1]DATOS PBI Artículos'!C:C)</f>
        <v>0</v>
      </c>
      <c r="D243" s="33">
        <f>_xlfn.XLOOKUP(A243,'[1]DATOS PBI Artículos'!A:A,'[1]DATOS PBI Artículos'!T:T)</f>
        <v>0</v>
      </c>
      <c r="E243" s="34">
        <f>IF(_xlfn.XLOOKUP($A243,'[1]DATOS PBI Artículos'!A:A,'[1]DATOS PBI Artículos'!AK:AK)="",_xlfn.XLOOKUP($A243,'[1]DATOS PBI Artículos'!A:A,'[1]DATOS PBI Artículos'!AJ:AJ),_xlfn.XLOOKUP($A243,'[1]DATOS PBI Artículos'!A:A,'[1]DATOS PBI Artículos'!AK:AK))</f>
        <v>0</v>
      </c>
      <c r="F243" s="35">
        <f>_xlfn.XLOOKUP($A243,'[1]DATOS PBI Artículos'!A:A,'[1]DATOS PBI Artículos'!AP:AP)</f>
        <v>0</v>
      </c>
      <c r="G243" s="34">
        <f>_xlfn.XLOOKUP($A243,'[1]DATOS PBI Artículos'!A:A,'[1]DATOS PBI Artículos'!AR:AR)</f>
        <v>0</v>
      </c>
      <c r="H243" s="34">
        <f>_xlfn.XLOOKUP($A243,'[1]DATOS PBI Artículos'!A:A,'[1]DATOS PBI Artículos'!AT:AT)</f>
        <v>0</v>
      </c>
      <c r="I243" s="34">
        <f>_xlfn.XLOOKUP($A243,'[1]DATOS PBI Artículos'!A:A,'[1]DATOS PBI Artículos'!AS:AS)</f>
        <v>0</v>
      </c>
      <c r="J243" s="35">
        <f>IF(COUNTIF([1]CRITERIOS!$F$179:$F$199,$A243)&gt;=1,
 IF(O243&lt;&gt;"",
    (O243/_xlfn.XLOOKUP(CONCATENATE(A243,L243),[1]MÁQUINAS!A:A,[1]MÁQUINAS!D:D))/24,
    (N243/_xlfn.XLOOKUP(CONCATENATE(A243,L243),[1]MÁQUINAS!A:A,[1]MÁQUINAS!D:D))/24),
  _xlfn.XLOOKUP($A243,'[1]DATOS PBI Artículos'!A:A,'[1]DATOS PBI Artículos'!AU:AU))</f>
        <v>0</v>
      </c>
      <c r="K243" s="36">
        <f>_xlfn.XLOOKUP($A243,'[1]DATOS PBI Artículos'!A:A,'[1]DATOS PBI Artículos'!AV:AV)</f>
        <v>0</v>
      </c>
      <c r="L243" s="33">
        <f>_xlfn.XLOOKUP(A243,[1]MÁQUINAS!B:B,[1]MÁQUINAS!C:C)</f>
        <v>0</v>
      </c>
      <c r="M243" s="34">
        <f t="array" ref="M243">_xlfn.XLOOKUP(A243,'[1]DATOS PBI Artículos'!A:A,'[1]DATOS PBI Artículos'!AX:$AX)</f>
        <v>0</v>
      </c>
      <c r="N243" s="37" t="e">
        <f>IF(I243="DV",
E243,
IF(COUNTIF([1]CRITERIOS!$I$179:$I$199,$A243)&gt;=1,
_xlfn.XLOOKUP($A243,[1]CRITERIOS!$I$179:$I$199,[1]CRITERIOS!$J$179:$J$199),
IF(COUNTIF([1]CRITERIOS!$L$179:$L$199,$A243)&gt;=1,
_xlfn.CEILING.MATH(IF($M243&gt;$E243,
$E243,
IF($M243&lt;$E243/ROUNDDOWN([1]CRITERIOS!$M$16/_xlfn.XLOOKUP($C243,[1]CRITERIOS!$K$25:$K$42,[1]CRITERIOS!$M$25:$M$42),
1),
E243/ROUNDDOWN([1]CRITERIOS!$M$16/_xlfn.XLOOKUP($C243,[1]CRITERIOS!$K$25:$K$42,[1]CRITERIOS!$M$25:$M$42),
1),
$M243)),
_xlfn.XLOOKUP($A243,[1]CRITERIOS!$L$179:$L$200,[1]CRITERIOS!$M$179:$M$200)),
_xlfn.CEILING.MATH(IF($M243&gt;$E243,
$E243,
IF($M243&lt;$E243/ROUNDDOWN([1]CRITERIOS!$M$16/_xlfn.XLOOKUP($C243,[1]CRITERIOS!$K$25:$K$42,[1]CRITERIOS!$M$25:$M$42),
1),
E243/ROUNDDOWN([1]CRITERIOS!$M$16/_xlfn.XLOOKUP($C243,[1]CRITERIOS!$K$25:$K$42,[1]CRITERIOS!$M$25:$M$42),
1),
$M243)),_xlfn.XLOOKUP(A243,'[1]DATOS PBI Artículos'!A:A,'[1]DATOS PBI Artículos'!Z:Z
)))))</f>
        <v>#N/A</v>
      </c>
      <c r="Q243" s="38" t="e">
        <f>IF(AND(O243="",N243=0),
0,
   IF(COUNTIF([1]CRITERIOS!$F$179:$F$199,$A243)&gt;=1,
   1,
   IF(R243="MTO",
      $D243,
      ROUNDUP(
                    IF(($E243-SUMIF('[1]DATOS PBI Artículos'!A:A,A243,'[1]DATOS PBI Artículos'!X:X)+($V243-_xlfn.XLOOKUP(A243,'[1]DATOS PBI Artículos'!A:A,'[1]DATOS PBI Artículos'!W:W)))&lt;0,
                    0,
                    IF(($E243-SUMIF('[1]DATOS PBI Artículos'!A:A,A243,'[1]DATOS PBI Artículos'!X:X)+$V243-_xlfn.XLOOKUP($A243,'[1]DATOS PBI Artículos'!A:A,'[1]DATOS PBI Artículos'!W:W))/IF($O243="",$N243,$O243)&gt;ROUNDUP([1]CRITERIOS!$M$16/(IF(COUNTIF([1]CRITERIOS!$BG$11:$BG$201,L243)&gt;=1,_xlfn.XLOOKUP($C243,[1]CRITERIOS!$K$25:$K$42,[1]CRITERIOS!$M$25:$M$42),_xlfn.XLOOKUP($C243,[1]CRITERIOS!$K$25:$K$42,[1]CRITERIOS!$M$25:$M$42))),0),
                    ROUNDUP([1]CRITERIOS!$M$16/(IF(COUNTIF([1]CRITERIOS!$BG$11:$BG$201,$L243)&gt;=1,_xlfn.XLOOKUP($C243,[1]CRITERIOS!$K$25:$K$42,[1]CRITERIOS!$M$25:$M$42),_xlfn.XLOOKUP($C243,[1]CRITERIOS!$K$25:$K$42,[1]CRITERIOS!$M$25:$M$42))),0),
                    (E243+V243-SUMIF('[1]DATOS PBI Artículos'!A:A,A243,'[1]DATOS PBI Artículos'!X:X)-_xlfn.XLOOKUP(A243,'[1]DATOS PBI Artículos'!A:A,'[1]DATOS PBI Artículos'!W:W))/IF($O243="",$N243,$O243))),0))))</f>
        <v>#N/A</v>
      </c>
      <c r="R243" s="33" t="e">
        <f>IF(U243&lt;&gt;"",U243,IF(F243="DV","MTO",IF(N243=0,"MTO",_xlfn.XLOOKUP(CONCATENATE(S243,T243),[1]CRITERIOS!$K$160:$K$168,[1]CRITERIOS!$N$160:$N$168))))</f>
        <v>#N/A</v>
      </c>
      <c r="S243" s="33" t="e">
        <f>IF(G243="DV","MTO",IF(N243=0,"MTO",IF(OR(AND(N243=0,O243=""),IF(O243="",G243/N243,G243/O243)&gt;[1]CRITERIOS!$G$163),"MTO",IF(IF(O243="",G243/N243,G243/O243)&lt;[1]CRITERIOS!$H$161,"MTS","MTOS"))))</f>
        <v>#N/A</v>
      </c>
      <c r="T243" s="33" t="e">
        <f>IF(F243="DV","MTO",IF(OR(AND($N243=0,O243=""),$F243/$J243&gt;[1]CRITERIOS!$G$170,$F243="DV"),"MTO",IF($F243/$J243&lt;[1]CRITERIOS!$H$168,"MTS","MTOS")))</f>
        <v>#N/A</v>
      </c>
      <c r="V243" s="34" t="e">
        <f t="shared" si="13"/>
        <v>#N/A</v>
      </c>
      <c r="X243" s="34" t="e">
        <f t="shared" si="11"/>
        <v>#N/A</v>
      </c>
      <c r="Y243" s="34" t="e">
        <f t="shared" si="12"/>
        <v>#N/A</v>
      </c>
      <c r="Z243" s="34" t="e">
        <f>IF($R243="MTO",
0,
($H243+$K243*($E243/[1]CRITERIOS!$M$16))/[1]CRITERIOS!$X$48)</f>
        <v>#N/A</v>
      </c>
      <c r="AA243" s="34" t="e">
        <f>ROUNDUP(($Y243/_xlfn.XLOOKUP($A243,'[1]DATOS PBI Artículos'!$A$4:$A$4,'[1]DATOS PBI Artículos'!$Z$4:$Z$4))/_xlfn.XLOOKUP(_xlfn.XLOOKUP($A243,'[1]DATOS PBI Artículos'!$A$4:$A$4,'[1]DATOS PBI Artículos'!$Y$4:$Y$4),[1]CRITERIOS!$P$79:$P$123,[1]CRITERIOS!$S$79:$S$123,),0)</f>
        <v>#N/A</v>
      </c>
      <c r="AB243" s="33" t="e">
        <f t="array" ref="AB243">IF((E243+V243-_xlfn.XLOOKUP(A243,'[1]DATOS PBI Artículos'!$A$4:$A$4,'[1]DATOS PBI Artículos'!$W$4:$W$4))/N243&gt;ROUNDUP([1]CRITERIOS!$M$16/(IF(COUNTIF([1]CRITERIOS!$BG$11:$BG$201,L243)&gt;=1,_xlfn.XLOOKUP(ARTÍCULOS!L243,[1]CRITERIOS!$BG$11:$BG$201,[1]CRITERIOS!$BJ$11:$BJ$201),_xlfn.XLOOKUP(ARTÍCULOS!C243,[1]CRITERIOS!$K$25:$K$42,[1]CRITERIOS!$M$25:$M$42))),0),ROUNDUP([1]CRITERIOS!$M$16/(IF(COUNTIF([1]CRITERIOS!$BG$11:$BG$201,L243)&gt;=1,_xlfn.XLOOKUP(ARTÍCULOS!L243,[1]CRITERIOS!$BG$11:$BG$201:#REF!,[1]CRITERIOS!$BJ$11:$BJ$201),_xlfn.XLOOKUP(ARTÍCULOS!C243,[1]CRITERIOS!$K$25:$K$42,[1]CRITERIOS!$M$25:$M$42))),0),(E243+V243-_xlfn.XLOOKUP(A243,'[1]DATOS PBI Artículos'!$A$4:$A$4,'[1]DATOS PBI Artículos'!$W$4:$W$4))/N243)</f>
        <v>#N/A</v>
      </c>
      <c r="AC243" s="33" t="e">
        <f>IF(N243=0,"",(ROUNDUP((N243/2)/(_xlfn.XLOOKUP(A243,'[1]DATOS PBI Artículos'!$A$4:$A$4,'[1]DATOS PBI Artículos'!$Z$4:$Z$4)*_xlfn.XLOOKUP(_xlfn.XLOOKUP(A243,'[1]DATOS PBI Artículos'!$A$4:$A$4,'[1]DATOS PBI Artículos'!$Y$4:$Y$4),[1]CRITERIOS!$P$79:$P$123,[1]CRITERIOS!$S$79:$S$123)),0)*[1]CRITERIOS!$M$80*([1]CRITERIOS!$M$110/[1]CRITERIOS!$M$86)+(_xlfn.XLOOKUP(A243,'[1]DATOS PBI Artículos'!$A$4:$A$4,'[1]DATOS PBI Artículos'!$AA$4:$AA$4)*([1]CRITERIOS!$M$95+[1]CRITERIOS!$M$98)))/N243)</f>
        <v>#N/A</v>
      </c>
      <c r="AD243" s="33" t="e">
        <f>IF(N243=0,"",(ROUNDUP((N243/2)/(_xlfn.XLOOKUP(A243,'[1]DATOS PBI Artículos'!$A$4:$A$4,'[1]DATOS PBI Artículos'!$Z$4:$Z$4)*_xlfn.XLOOKUP(_xlfn.XLOOKUP(A243,'[1]DATOS PBI Artículos'!$A$4:$A$4,'[1]DATOS PBI Artículos'!$Y$4:$Y$4),[1]CRITERIOS!$P$79:$P$123,[1]CRITERIOS!$S$79:$S$123)),0)*[1]CRITERIOS!$M$80*([1]CRITERIOS!$M$89*[1]CRITERIOS!$M$92)+((_xlfn.XLOOKUP(A243,'[1]DATOS PBI Artículos'!$A$4:$A$4,'[1]DATOS PBI Artículos'!$AA$4:$AA$4)/2)*([1]CRITERIOS!$M$95+[1]CRITERIOS!$M$98)))/N243)</f>
        <v>#N/A</v>
      </c>
      <c r="AE243" s="39" t="e">
        <f>IF($R243="MTO","",
IF($H243=0,ROUNDUP(((_xlfn.XLOOKUP($A243,'[1]DATOS PBI Artículos'!$A:$A,'[1]DATOS PBI Artículos'!$AL:$AL))/(_xlfn.XLOOKUP($AF$1,[1]CRITERIOS!$S$16:$S$39,[1]CRITERIOS!$Y$16:$Y$39))*$J243+$Z243)/$G243,0)*$G243,
((_xlfn.XLOOKUP($A243,'[1]DATOS PBI Artículos'!$A:$A,'[1]DATOS PBI Artículos'!$AL:$AL))/(_xlfn.XLOOKUP($AF$1,[1]CRITERIOS!$S$16:$S$39,[1]CRITERIOS!$Y$16:$Y$39))*$J243+$Z243)))</f>
        <v>#N/A</v>
      </c>
      <c r="AG243" s="39" t="e">
        <f>IF($R243="MTO","",
IF($H243=0,ROUNDUP(((_xlfn.XLOOKUP($A243,'[1]DATOS PBI Artículos'!$A:$A,'[1]DATOS PBI Artículos'!$AM:$AM))/(_xlfn.XLOOKUP($AH$1,[1]CRITERIOS!$S$16:$S$39,[1]CRITERIOS!$Y$16:$Y$39))*$J243+$Z243)/$G243,0)*$G243,
((_xlfn.XLOOKUP($A243,'[1]DATOS PBI Artículos'!$A:$A,'[1]DATOS PBI Artículos'!$AM:$AM))/(_xlfn.XLOOKUP($AH$1,[1]CRITERIOS!$S$16:$S$39,[1]CRITERIOS!$Y$16:$Y$39))*$J243+$Z243)))</f>
        <v>#N/A</v>
      </c>
      <c r="AI243" s="39" t="e">
        <f>IF($R243="MTO","",
IF($H243=0,ROUNDUP(((_xlfn.XLOOKUP($A243,'[1]DATOS PBI Artículos'!$A:$A,'[1]DATOS PBI Artículos'!$AN:$AN))/(_xlfn.XLOOKUP($AJ$1,[1]CRITERIOS!$S$16:$S$39,[1]CRITERIOS!$Y$16:$Y$39))*$J243+$Z243)/$G243,0)*$G243,
((_xlfn.XLOOKUP($A243,'[1]DATOS PBI Artículos'!$A:$A,'[1]DATOS PBI Artículos'!$AN:$AN))/(_xlfn.XLOOKUP($AJ$1,[1]CRITERIOS!$S$16:$S$39,[1]CRITERIOS!$Y$16:$Y$39))*$J243+$Z243)))</f>
        <v>#N/A</v>
      </c>
      <c r="AK243" s="39" t="e">
        <f>IF($R243="MTO","",
IF($H243=0,ROUNDUP(((_xlfn.XLOOKUP($A243,'[1]DATOS PBI Artículos'!$A:$A,'[1]DATOS PBI Artículos'!$AO:$AO))/(_xlfn.XLOOKUP($AL$1,[1]CRITERIOS!$S$16:$S$39,[1]CRITERIOS!$Y$16:$Y$39))*$J243+$Z243)/$G243,0)*$G243,
((_xlfn.XLOOKUP($A243,'[1]DATOS PBI Artículos'!$A:$A,'[1]DATOS PBI Artículos'!$AO:$AO))/(_xlfn.XLOOKUP($AL$1,[1]CRITERIOS!$S$16:$S$39,[1]CRITERIOS!$Y$16:$Y$39))*$J243+$Z243)))</f>
        <v>#N/A</v>
      </c>
    </row>
    <row r="244" spans="1:37" ht="25.8" hidden="1" x14ac:dyDescent="0.4">
      <c r="A244" s="41"/>
      <c r="B244" s="33">
        <f>_xlfn.XLOOKUP($A244,'[1]DATOS PBI Artículos'!A:A,'[1]DATOS PBI Artículos'!B:B)</f>
        <v>0</v>
      </c>
      <c r="C244" s="33">
        <f>_xlfn.XLOOKUP($A244,'[1]DATOS PBI Artículos'!A:A,'[1]DATOS PBI Artículos'!C:C)</f>
        <v>0</v>
      </c>
      <c r="D244" s="33">
        <f>_xlfn.XLOOKUP(A244,'[1]DATOS PBI Artículos'!A:A,'[1]DATOS PBI Artículos'!T:T)</f>
        <v>0</v>
      </c>
      <c r="E244" s="34">
        <f>IF(_xlfn.XLOOKUP($A244,'[1]DATOS PBI Artículos'!A:A,'[1]DATOS PBI Artículos'!AK:AK)="",_xlfn.XLOOKUP($A244,'[1]DATOS PBI Artículos'!A:A,'[1]DATOS PBI Artículos'!AJ:AJ),_xlfn.XLOOKUP($A244,'[1]DATOS PBI Artículos'!A:A,'[1]DATOS PBI Artículos'!AK:AK))</f>
        <v>0</v>
      </c>
      <c r="F244" s="35">
        <f>_xlfn.XLOOKUP($A244,'[1]DATOS PBI Artículos'!A:A,'[1]DATOS PBI Artículos'!AP:AP)</f>
        <v>0</v>
      </c>
      <c r="G244" s="34">
        <f>_xlfn.XLOOKUP($A244,'[1]DATOS PBI Artículos'!A:A,'[1]DATOS PBI Artículos'!AR:AR)</f>
        <v>0</v>
      </c>
      <c r="H244" s="34">
        <f>_xlfn.XLOOKUP($A244,'[1]DATOS PBI Artículos'!A:A,'[1]DATOS PBI Artículos'!AT:AT)</f>
        <v>0</v>
      </c>
      <c r="I244" s="34">
        <f>_xlfn.XLOOKUP($A244,'[1]DATOS PBI Artículos'!A:A,'[1]DATOS PBI Artículos'!AS:AS)</f>
        <v>0</v>
      </c>
      <c r="J244" s="35">
        <f>IF(COUNTIF([1]CRITERIOS!$F$179:$F$199,$A244)&gt;=1,
 IF(O244&lt;&gt;"",
    (O244/_xlfn.XLOOKUP(CONCATENATE(A244,L244),[1]MÁQUINAS!A:A,[1]MÁQUINAS!D:D))/24,
    (N244/_xlfn.XLOOKUP(CONCATENATE(A244,L244),[1]MÁQUINAS!A:A,[1]MÁQUINAS!D:D))/24),
  _xlfn.XLOOKUP($A244,'[1]DATOS PBI Artículos'!A:A,'[1]DATOS PBI Artículos'!AU:AU))</f>
        <v>0</v>
      </c>
      <c r="K244" s="36">
        <f>_xlfn.XLOOKUP($A244,'[1]DATOS PBI Artículos'!A:A,'[1]DATOS PBI Artículos'!AV:AV)</f>
        <v>0</v>
      </c>
      <c r="L244" s="33">
        <f>_xlfn.XLOOKUP(A244,[1]MÁQUINAS!B:B,[1]MÁQUINAS!C:C)</f>
        <v>0</v>
      </c>
      <c r="M244" s="34">
        <f t="array" ref="M244">_xlfn.XLOOKUP(A244,'[1]DATOS PBI Artículos'!A:A,'[1]DATOS PBI Artículos'!AX:$AX)</f>
        <v>0</v>
      </c>
      <c r="N244" s="37" t="e">
        <f>IF(I244="DV",
E244,
IF(COUNTIF([1]CRITERIOS!$I$179:$I$199,$A244)&gt;=1,
_xlfn.XLOOKUP($A244,[1]CRITERIOS!$I$179:$I$199,[1]CRITERIOS!$J$179:$J$199),
IF(COUNTIF([1]CRITERIOS!$L$179:$L$199,$A244)&gt;=1,
_xlfn.CEILING.MATH(IF($M244&gt;$E244,
$E244,
IF($M244&lt;$E244/ROUNDDOWN([1]CRITERIOS!$M$16/_xlfn.XLOOKUP($C244,[1]CRITERIOS!$K$25:$K$42,[1]CRITERIOS!$M$25:$M$42),
1),
E244/ROUNDDOWN([1]CRITERIOS!$M$16/_xlfn.XLOOKUP($C244,[1]CRITERIOS!$K$25:$K$42,[1]CRITERIOS!$M$25:$M$42),
1),
$M244)),
_xlfn.XLOOKUP($A244,[1]CRITERIOS!$L$179:$L$200,[1]CRITERIOS!$M$179:$M$200)),
_xlfn.CEILING.MATH(IF($M244&gt;$E244,
$E244,
IF($M244&lt;$E244/ROUNDDOWN([1]CRITERIOS!$M$16/_xlfn.XLOOKUP($C244,[1]CRITERIOS!$K$25:$K$42,[1]CRITERIOS!$M$25:$M$42),
1),
E244/ROUNDDOWN([1]CRITERIOS!$M$16/_xlfn.XLOOKUP($C244,[1]CRITERIOS!$K$25:$K$42,[1]CRITERIOS!$M$25:$M$42),
1),
$M244)),_xlfn.XLOOKUP(A244,'[1]DATOS PBI Artículos'!A:A,'[1]DATOS PBI Artículos'!Z:Z
)))))</f>
        <v>#N/A</v>
      </c>
      <c r="Q244" s="38" t="e">
        <f>IF(AND(O244="",N244=0),
0,
   IF(COUNTIF([1]CRITERIOS!$F$179:$F$199,$A244)&gt;=1,
   1,
   IF(R244="MTO",
      $D244,
      ROUNDUP(
                    IF(($E244-SUMIF('[1]DATOS PBI Artículos'!A:A,A244,'[1]DATOS PBI Artículos'!X:X)+($V244-_xlfn.XLOOKUP(A244,'[1]DATOS PBI Artículos'!A:A,'[1]DATOS PBI Artículos'!W:W)))&lt;0,
                    0,
                    IF(($E244-SUMIF('[1]DATOS PBI Artículos'!A:A,A244,'[1]DATOS PBI Artículos'!X:X)+$V244-_xlfn.XLOOKUP($A244,'[1]DATOS PBI Artículos'!A:A,'[1]DATOS PBI Artículos'!W:W))/IF($O244="",$N244,$O244)&gt;ROUNDUP([1]CRITERIOS!$M$16/(IF(COUNTIF([1]CRITERIOS!$BG$11:$BG$201,L244)&gt;=1,_xlfn.XLOOKUP($C244,[1]CRITERIOS!$K$25:$K$42,[1]CRITERIOS!$M$25:$M$42),_xlfn.XLOOKUP($C244,[1]CRITERIOS!$K$25:$K$42,[1]CRITERIOS!$M$25:$M$42))),0),
                    ROUNDUP([1]CRITERIOS!$M$16/(IF(COUNTIF([1]CRITERIOS!$BG$11:$BG$201,$L244)&gt;=1,_xlfn.XLOOKUP($C244,[1]CRITERIOS!$K$25:$K$42,[1]CRITERIOS!$M$25:$M$42),_xlfn.XLOOKUP($C244,[1]CRITERIOS!$K$25:$K$42,[1]CRITERIOS!$M$25:$M$42))),0),
                    (E244+V244-SUMIF('[1]DATOS PBI Artículos'!A:A,A244,'[1]DATOS PBI Artículos'!X:X)-_xlfn.XLOOKUP(A244,'[1]DATOS PBI Artículos'!A:A,'[1]DATOS PBI Artículos'!W:W))/IF($O244="",$N244,$O244))),0))))</f>
        <v>#N/A</v>
      </c>
      <c r="R244" s="33" t="e">
        <f>IF(U244&lt;&gt;"",U244,IF(F244="DV","MTO",IF(N244=0,"MTO",_xlfn.XLOOKUP(CONCATENATE(S244,T244),[1]CRITERIOS!$K$160:$K$168,[1]CRITERIOS!$N$160:$N$168))))</f>
        <v>#N/A</v>
      </c>
      <c r="S244" s="33" t="e">
        <f>IF(G244="DV","MTO",IF(N244=0,"MTO",IF(OR(AND(N244=0,O244=""),IF(O244="",G244/N244,G244/O244)&gt;[1]CRITERIOS!$G$163),"MTO",IF(IF(O244="",G244/N244,G244/O244)&lt;[1]CRITERIOS!$H$161,"MTS","MTOS"))))</f>
        <v>#N/A</v>
      </c>
      <c r="T244" s="33" t="e">
        <f>IF(F244="DV","MTO",IF(OR(AND($N244=0,O244=""),$F244/$J244&gt;[1]CRITERIOS!$G$170,$F244="DV"),"MTO",IF($F244/$J244&lt;[1]CRITERIOS!$H$168,"MTS","MTOS")))</f>
        <v>#N/A</v>
      </c>
      <c r="V244" s="34" t="e">
        <f t="shared" si="13"/>
        <v>#N/A</v>
      </c>
      <c r="X244" s="34" t="e">
        <f t="shared" si="11"/>
        <v>#N/A</v>
      </c>
      <c r="Y244" s="34" t="e">
        <f t="shared" si="12"/>
        <v>#N/A</v>
      </c>
      <c r="Z244" s="34" t="e">
        <f>IF($R244="MTO",
0,
($H244+$K244*($E244/[1]CRITERIOS!$M$16))/[1]CRITERIOS!$X$48)</f>
        <v>#N/A</v>
      </c>
      <c r="AA244" s="34" t="e">
        <f>ROUNDUP(($Y244/_xlfn.XLOOKUP($A244,'[1]DATOS PBI Artículos'!$A$4:$A$4,'[1]DATOS PBI Artículos'!$Z$4:$Z$4))/_xlfn.XLOOKUP(_xlfn.XLOOKUP($A244,'[1]DATOS PBI Artículos'!$A$4:$A$4,'[1]DATOS PBI Artículos'!$Y$4:$Y$4),[1]CRITERIOS!$P$79:$P$123,[1]CRITERIOS!$S$79:$S$123,),0)</f>
        <v>#N/A</v>
      </c>
      <c r="AB244" s="33" t="e">
        <f t="array" ref="AB244">IF((E244+V244-_xlfn.XLOOKUP(A244,'[1]DATOS PBI Artículos'!$A$4:$A$4,'[1]DATOS PBI Artículos'!$W$4:$W$4))/N244&gt;ROUNDUP([1]CRITERIOS!$M$16/(IF(COUNTIF([1]CRITERIOS!$BG$11:$BG$201,L244)&gt;=1,_xlfn.XLOOKUP(ARTÍCULOS!L244,[1]CRITERIOS!$BG$11:$BG$201,[1]CRITERIOS!$BJ$11:$BJ$201),_xlfn.XLOOKUP(ARTÍCULOS!C244,[1]CRITERIOS!$K$25:$K$42,[1]CRITERIOS!$M$25:$M$42))),0),ROUNDUP([1]CRITERIOS!$M$16/(IF(COUNTIF([1]CRITERIOS!$BG$11:$BG$201,L244)&gt;=1,_xlfn.XLOOKUP(ARTÍCULOS!L244,[1]CRITERIOS!$BG$11:$BG$201:#REF!,[1]CRITERIOS!$BJ$11:$BJ$201),_xlfn.XLOOKUP(ARTÍCULOS!C244,[1]CRITERIOS!$K$25:$K$42,[1]CRITERIOS!$M$25:$M$42))),0),(E244+V244-_xlfn.XLOOKUP(A244,'[1]DATOS PBI Artículos'!$A$4:$A$4,'[1]DATOS PBI Artículos'!$W$4:$W$4))/N244)</f>
        <v>#N/A</v>
      </c>
      <c r="AC244" s="33" t="e">
        <f>IF(N244=0,"",(ROUNDUP((N244/2)/(_xlfn.XLOOKUP(A244,'[1]DATOS PBI Artículos'!$A$4:$A$4,'[1]DATOS PBI Artículos'!$Z$4:$Z$4)*_xlfn.XLOOKUP(_xlfn.XLOOKUP(A244,'[1]DATOS PBI Artículos'!$A$4:$A$4,'[1]DATOS PBI Artículos'!$Y$4:$Y$4),[1]CRITERIOS!$P$79:$P$123,[1]CRITERIOS!$S$79:$S$123)),0)*[1]CRITERIOS!$M$80*([1]CRITERIOS!$M$110/[1]CRITERIOS!$M$86)+(_xlfn.XLOOKUP(A244,'[1]DATOS PBI Artículos'!$A$4:$A$4,'[1]DATOS PBI Artículos'!$AA$4:$AA$4)*([1]CRITERIOS!$M$95+[1]CRITERIOS!$M$98)))/N244)</f>
        <v>#N/A</v>
      </c>
      <c r="AD244" s="33" t="e">
        <f>IF(N244=0,"",(ROUNDUP((N244/2)/(_xlfn.XLOOKUP(A244,'[1]DATOS PBI Artículos'!$A$4:$A$4,'[1]DATOS PBI Artículos'!$Z$4:$Z$4)*_xlfn.XLOOKUP(_xlfn.XLOOKUP(A244,'[1]DATOS PBI Artículos'!$A$4:$A$4,'[1]DATOS PBI Artículos'!$Y$4:$Y$4),[1]CRITERIOS!$P$79:$P$123,[1]CRITERIOS!$S$79:$S$123)),0)*[1]CRITERIOS!$M$80*([1]CRITERIOS!$M$89*[1]CRITERIOS!$M$92)+((_xlfn.XLOOKUP(A244,'[1]DATOS PBI Artículos'!$A$4:$A$4,'[1]DATOS PBI Artículos'!$AA$4:$AA$4)/2)*([1]CRITERIOS!$M$95+[1]CRITERIOS!$M$98)))/N244)</f>
        <v>#N/A</v>
      </c>
      <c r="AE244" s="39" t="e">
        <f>IF($R244="MTO","",
IF($H244=0,ROUNDUP(((_xlfn.XLOOKUP($A244,'[1]DATOS PBI Artículos'!$A:$A,'[1]DATOS PBI Artículos'!$AL:$AL))/(_xlfn.XLOOKUP($AF$1,[1]CRITERIOS!$S$16:$S$39,[1]CRITERIOS!$Y$16:$Y$39))*$J244+$Z244)/$G244,0)*$G244,
((_xlfn.XLOOKUP($A244,'[1]DATOS PBI Artículos'!$A:$A,'[1]DATOS PBI Artículos'!$AL:$AL))/(_xlfn.XLOOKUP($AF$1,[1]CRITERIOS!$S$16:$S$39,[1]CRITERIOS!$Y$16:$Y$39))*$J244+$Z244)))</f>
        <v>#N/A</v>
      </c>
      <c r="AG244" s="39" t="e">
        <f>IF($R244="MTO","",
IF($H244=0,ROUNDUP(((_xlfn.XLOOKUP($A244,'[1]DATOS PBI Artículos'!$A:$A,'[1]DATOS PBI Artículos'!$AM:$AM))/(_xlfn.XLOOKUP($AH$1,[1]CRITERIOS!$S$16:$S$39,[1]CRITERIOS!$Y$16:$Y$39))*$J244+$Z244)/$G244,0)*$G244,
((_xlfn.XLOOKUP($A244,'[1]DATOS PBI Artículos'!$A:$A,'[1]DATOS PBI Artículos'!$AM:$AM))/(_xlfn.XLOOKUP($AH$1,[1]CRITERIOS!$S$16:$S$39,[1]CRITERIOS!$Y$16:$Y$39))*$J244+$Z244)))</f>
        <v>#N/A</v>
      </c>
      <c r="AI244" s="39" t="e">
        <f>IF($R244="MTO","",
IF($H244=0,ROUNDUP(((_xlfn.XLOOKUP($A244,'[1]DATOS PBI Artículos'!$A:$A,'[1]DATOS PBI Artículos'!$AN:$AN))/(_xlfn.XLOOKUP($AJ$1,[1]CRITERIOS!$S$16:$S$39,[1]CRITERIOS!$Y$16:$Y$39))*$J244+$Z244)/$G244,0)*$G244,
((_xlfn.XLOOKUP($A244,'[1]DATOS PBI Artículos'!$A:$A,'[1]DATOS PBI Artículos'!$AN:$AN))/(_xlfn.XLOOKUP($AJ$1,[1]CRITERIOS!$S$16:$S$39,[1]CRITERIOS!$Y$16:$Y$39))*$J244+$Z244)))</f>
        <v>#N/A</v>
      </c>
      <c r="AK244" s="39" t="e">
        <f>IF($R244="MTO","",
IF($H244=0,ROUNDUP(((_xlfn.XLOOKUP($A244,'[1]DATOS PBI Artículos'!$A:$A,'[1]DATOS PBI Artículos'!$AO:$AO))/(_xlfn.XLOOKUP($AL$1,[1]CRITERIOS!$S$16:$S$39,[1]CRITERIOS!$Y$16:$Y$39))*$J244+$Z244)/$G244,0)*$G244,
((_xlfn.XLOOKUP($A244,'[1]DATOS PBI Artículos'!$A:$A,'[1]DATOS PBI Artículos'!$AO:$AO))/(_xlfn.XLOOKUP($AL$1,[1]CRITERIOS!$S$16:$S$39,[1]CRITERIOS!$Y$16:$Y$39))*$J244+$Z244)))</f>
        <v>#N/A</v>
      </c>
    </row>
    <row r="245" spans="1:37" ht="25.8" hidden="1" x14ac:dyDescent="0.4">
      <c r="A245" s="41"/>
      <c r="B245" s="33">
        <f>_xlfn.XLOOKUP($A245,'[1]DATOS PBI Artículos'!A:A,'[1]DATOS PBI Artículos'!B:B)</f>
        <v>0</v>
      </c>
      <c r="C245" s="33">
        <f>_xlfn.XLOOKUP($A245,'[1]DATOS PBI Artículos'!A:A,'[1]DATOS PBI Artículos'!C:C)</f>
        <v>0</v>
      </c>
      <c r="D245" s="33">
        <f>_xlfn.XLOOKUP(A245,'[1]DATOS PBI Artículos'!A:A,'[1]DATOS PBI Artículos'!T:T)</f>
        <v>0</v>
      </c>
      <c r="E245" s="34">
        <f>IF(_xlfn.XLOOKUP($A245,'[1]DATOS PBI Artículos'!A:A,'[1]DATOS PBI Artículos'!AK:AK)="",_xlfn.XLOOKUP($A245,'[1]DATOS PBI Artículos'!A:A,'[1]DATOS PBI Artículos'!AJ:AJ),_xlfn.XLOOKUP($A245,'[1]DATOS PBI Artículos'!A:A,'[1]DATOS PBI Artículos'!AK:AK))</f>
        <v>0</v>
      </c>
      <c r="F245" s="35">
        <f>_xlfn.XLOOKUP($A245,'[1]DATOS PBI Artículos'!A:A,'[1]DATOS PBI Artículos'!AP:AP)</f>
        <v>0</v>
      </c>
      <c r="G245" s="34">
        <f>_xlfn.XLOOKUP($A245,'[1]DATOS PBI Artículos'!A:A,'[1]DATOS PBI Artículos'!AR:AR)</f>
        <v>0</v>
      </c>
      <c r="H245" s="34">
        <f>_xlfn.XLOOKUP($A245,'[1]DATOS PBI Artículos'!A:A,'[1]DATOS PBI Artículos'!AT:AT)</f>
        <v>0</v>
      </c>
      <c r="I245" s="34">
        <f>_xlfn.XLOOKUP($A245,'[1]DATOS PBI Artículos'!A:A,'[1]DATOS PBI Artículos'!AS:AS)</f>
        <v>0</v>
      </c>
      <c r="J245" s="35">
        <f>IF(COUNTIF([1]CRITERIOS!$F$179:$F$199,$A245)&gt;=1,
 IF(O245&lt;&gt;"",
    (O245/_xlfn.XLOOKUP(CONCATENATE(A245,L245),[1]MÁQUINAS!A:A,[1]MÁQUINAS!D:D))/24,
    (N245/_xlfn.XLOOKUP(CONCATENATE(A245,L245),[1]MÁQUINAS!A:A,[1]MÁQUINAS!D:D))/24),
  _xlfn.XLOOKUP($A245,'[1]DATOS PBI Artículos'!A:A,'[1]DATOS PBI Artículos'!AU:AU))</f>
        <v>0</v>
      </c>
      <c r="K245" s="36">
        <f>_xlfn.XLOOKUP($A245,'[1]DATOS PBI Artículos'!A:A,'[1]DATOS PBI Artículos'!AV:AV)</f>
        <v>0</v>
      </c>
      <c r="L245" s="33">
        <f>_xlfn.XLOOKUP(A245,[1]MÁQUINAS!B:B,[1]MÁQUINAS!C:C)</f>
        <v>0</v>
      </c>
      <c r="M245" s="34">
        <f t="array" ref="M245">_xlfn.XLOOKUP(A245,'[1]DATOS PBI Artículos'!A:A,'[1]DATOS PBI Artículos'!AX:$AX)</f>
        <v>0</v>
      </c>
      <c r="N245" s="37" t="e">
        <f>IF(I245="DV",
E245,
IF(COUNTIF([1]CRITERIOS!$I$179:$I$199,$A245)&gt;=1,
_xlfn.XLOOKUP($A245,[1]CRITERIOS!$I$179:$I$199,[1]CRITERIOS!$J$179:$J$199),
IF(COUNTIF([1]CRITERIOS!$L$179:$L$199,$A245)&gt;=1,
_xlfn.CEILING.MATH(IF($M245&gt;$E245,
$E245,
IF($M245&lt;$E245/ROUNDDOWN([1]CRITERIOS!$M$16/_xlfn.XLOOKUP($C245,[1]CRITERIOS!$K$25:$K$42,[1]CRITERIOS!$M$25:$M$42),
1),
E245/ROUNDDOWN([1]CRITERIOS!$M$16/_xlfn.XLOOKUP($C245,[1]CRITERIOS!$K$25:$K$42,[1]CRITERIOS!$M$25:$M$42),
1),
$M245)),
_xlfn.XLOOKUP($A245,[1]CRITERIOS!$L$179:$L$200,[1]CRITERIOS!$M$179:$M$200)),
_xlfn.CEILING.MATH(IF($M245&gt;$E245,
$E245,
IF($M245&lt;$E245/ROUNDDOWN([1]CRITERIOS!$M$16/_xlfn.XLOOKUP($C245,[1]CRITERIOS!$K$25:$K$42,[1]CRITERIOS!$M$25:$M$42),
1),
E245/ROUNDDOWN([1]CRITERIOS!$M$16/_xlfn.XLOOKUP($C245,[1]CRITERIOS!$K$25:$K$42,[1]CRITERIOS!$M$25:$M$42),
1),
$M245)),_xlfn.XLOOKUP(A245,'[1]DATOS PBI Artículos'!A:A,'[1]DATOS PBI Artículos'!Z:Z
)))))</f>
        <v>#N/A</v>
      </c>
      <c r="Q245" s="38" t="e">
        <f>IF(AND(O245="",N245=0),
0,
   IF(COUNTIF([1]CRITERIOS!$F$179:$F$199,$A245)&gt;=1,
   1,
   IF(R245="MTO",
      $D245,
      ROUNDUP(
                    IF(($E245-SUMIF('[1]DATOS PBI Artículos'!A:A,A245,'[1]DATOS PBI Artículos'!X:X)+($V245-_xlfn.XLOOKUP(A245,'[1]DATOS PBI Artículos'!A:A,'[1]DATOS PBI Artículos'!W:W)))&lt;0,
                    0,
                    IF(($E245-SUMIF('[1]DATOS PBI Artículos'!A:A,A245,'[1]DATOS PBI Artículos'!X:X)+$V245-_xlfn.XLOOKUP($A245,'[1]DATOS PBI Artículos'!A:A,'[1]DATOS PBI Artículos'!W:W))/IF($O245="",$N245,$O245)&gt;ROUNDUP([1]CRITERIOS!$M$16/(IF(COUNTIF([1]CRITERIOS!$BG$11:$BG$201,L245)&gt;=1,_xlfn.XLOOKUP($C245,[1]CRITERIOS!$K$25:$K$42,[1]CRITERIOS!$M$25:$M$42),_xlfn.XLOOKUP($C245,[1]CRITERIOS!$K$25:$K$42,[1]CRITERIOS!$M$25:$M$42))),0),
                    ROUNDUP([1]CRITERIOS!$M$16/(IF(COUNTIF([1]CRITERIOS!$BG$11:$BG$201,$L245)&gt;=1,_xlfn.XLOOKUP($C245,[1]CRITERIOS!$K$25:$K$42,[1]CRITERIOS!$M$25:$M$42),_xlfn.XLOOKUP($C245,[1]CRITERIOS!$K$25:$K$42,[1]CRITERIOS!$M$25:$M$42))),0),
                    (E245+V245-SUMIF('[1]DATOS PBI Artículos'!A:A,A245,'[1]DATOS PBI Artículos'!X:X)-_xlfn.XLOOKUP(A245,'[1]DATOS PBI Artículos'!A:A,'[1]DATOS PBI Artículos'!W:W))/IF($O245="",$N245,$O245))),0))))</f>
        <v>#N/A</v>
      </c>
      <c r="R245" s="33" t="e">
        <f>IF(U245&lt;&gt;"",U245,IF(F245="DV","MTO",IF(N245=0,"MTO",_xlfn.XLOOKUP(CONCATENATE(S245,T245),[1]CRITERIOS!$K$160:$K$168,[1]CRITERIOS!$N$160:$N$168))))</f>
        <v>#N/A</v>
      </c>
      <c r="S245" s="33" t="e">
        <f>IF(G245="DV","MTO",IF(N245=0,"MTO",IF(OR(AND(N245=0,O245=""),IF(O245="",G245/N245,G245/O245)&gt;[1]CRITERIOS!$G$163),"MTO",IF(IF(O245="",G245/N245,G245/O245)&lt;[1]CRITERIOS!$H$161,"MTS","MTOS"))))</f>
        <v>#N/A</v>
      </c>
      <c r="T245" s="33" t="e">
        <f>IF(F245="DV","MTO",IF(OR(AND($N245=0,O245=""),$F245/$J245&gt;[1]CRITERIOS!$G$170,$F245="DV"),"MTO",IF($F245/$J245&lt;[1]CRITERIOS!$H$168,"MTS","MTOS")))</f>
        <v>#N/A</v>
      </c>
      <c r="V245" s="34" t="e">
        <f t="shared" si="13"/>
        <v>#N/A</v>
      </c>
      <c r="X245" s="34" t="e">
        <f t="shared" si="11"/>
        <v>#N/A</v>
      </c>
      <c r="Y245" s="34" t="e">
        <f t="shared" si="12"/>
        <v>#N/A</v>
      </c>
      <c r="Z245" s="34" t="e">
        <f>IF($R245="MTO",
0,
($H245+$K245*($E245/[1]CRITERIOS!$M$16))/[1]CRITERIOS!$X$48)</f>
        <v>#N/A</v>
      </c>
      <c r="AA245" s="34" t="e">
        <f>ROUNDUP(($Y245/_xlfn.XLOOKUP($A245,'[1]DATOS PBI Artículos'!$A$4:$A$4,'[1]DATOS PBI Artículos'!$Z$4:$Z$4))/_xlfn.XLOOKUP(_xlfn.XLOOKUP($A245,'[1]DATOS PBI Artículos'!$A$4:$A$4,'[1]DATOS PBI Artículos'!$Y$4:$Y$4),[1]CRITERIOS!$P$79:$P$123,[1]CRITERIOS!$S$79:$S$123,),0)</f>
        <v>#N/A</v>
      </c>
      <c r="AB245" s="33" t="e">
        <f t="array" ref="AB245">IF((E245+V245-_xlfn.XLOOKUP(A245,'[1]DATOS PBI Artículos'!$A$4:$A$4,'[1]DATOS PBI Artículos'!$W$4:$W$4))/N245&gt;ROUNDUP([1]CRITERIOS!$M$16/(IF(COUNTIF([1]CRITERIOS!$BG$11:$BG$201,L245)&gt;=1,_xlfn.XLOOKUP(ARTÍCULOS!L245,[1]CRITERIOS!$BG$11:$BG$201,[1]CRITERIOS!$BJ$11:$BJ$201),_xlfn.XLOOKUP(ARTÍCULOS!C245,[1]CRITERIOS!$K$25:$K$42,[1]CRITERIOS!$M$25:$M$42))),0),ROUNDUP([1]CRITERIOS!$M$16/(IF(COUNTIF([1]CRITERIOS!$BG$11:$BG$201,L245)&gt;=1,_xlfn.XLOOKUP(ARTÍCULOS!L245,[1]CRITERIOS!$BG$11:$BG$201:#REF!,[1]CRITERIOS!$BJ$11:$BJ$201),_xlfn.XLOOKUP(ARTÍCULOS!C245,[1]CRITERIOS!$K$25:$K$42,[1]CRITERIOS!$M$25:$M$42))),0),(E245+V245-_xlfn.XLOOKUP(A245,'[1]DATOS PBI Artículos'!$A$4:$A$4,'[1]DATOS PBI Artículos'!$W$4:$W$4))/N245)</f>
        <v>#N/A</v>
      </c>
      <c r="AC245" s="33" t="e">
        <f>IF(N245=0,"",(ROUNDUP((N245/2)/(_xlfn.XLOOKUP(A245,'[1]DATOS PBI Artículos'!$A$4:$A$4,'[1]DATOS PBI Artículos'!$Z$4:$Z$4)*_xlfn.XLOOKUP(_xlfn.XLOOKUP(A245,'[1]DATOS PBI Artículos'!$A$4:$A$4,'[1]DATOS PBI Artículos'!$Y$4:$Y$4),[1]CRITERIOS!$P$79:$P$123,[1]CRITERIOS!$S$79:$S$123)),0)*[1]CRITERIOS!$M$80*([1]CRITERIOS!$M$110/[1]CRITERIOS!$M$86)+(_xlfn.XLOOKUP(A245,'[1]DATOS PBI Artículos'!$A$4:$A$4,'[1]DATOS PBI Artículos'!$AA$4:$AA$4)*([1]CRITERIOS!$M$95+[1]CRITERIOS!$M$98)))/N245)</f>
        <v>#N/A</v>
      </c>
      <c r="AD245" s="33" t="e">
        <f>IF(N245=0,"",(ROUNDUP((N245/2)/(_xlfn.XLOOKUP(A245,'[1]DATOS PBI Artículos'!$A$4:$A$4,'[1]DATOS PBI Artículos'!$Z$4:$Z$4)*_xlfn.XLOOKUP(_xlfn.XLOOKUP(A245,'[1]DATOS PBI Artículos'!$A$4:$A$4,'[1]DATOS PBI Artículos'!$Y$4:$Y$4),[1]CRITERIOS!$P$79:$P$123,[1]CRITERIOS!$S$79:$S$123)),0)*[1]CRITERIOS!$M$80*([1]CRITERIOS!$M$89*[1]CRITERIOS!$M$92)+((_xlfn.XLOOKUP(A245,'[1]DATOS PBI Artículos'!$A$4:$A$4,'[1]DATOS PBI Artículos'!$AA$4:$AA$4)/2)*([1]CRITERIOS!$M$95+[1]CRITERIOS!$M$98)))/N245)</f>
        <v>#N/A</v>
      </c>
      <c r="AE245" s="39" t="e">
        <f>IF($R245="MTO","",
IF($H245=0,ROUNDUP(((_xlfn.XLOOKUP($A245,'[1]DATOS PBI Artículos'!$A:$A,'[1]DATOS PBI Artículos'!$AL:$AL))/(_xlfn.XLOOKUP($AF$1,[1]CRITERIOS!$S$16:$S$39,[1]CRITERIOS!$Y$16:$Y$39))*$J245+$Z245)/$G245,0)*$G245,
((_xlfn.XLOOKUP($A245,'[1]DATOS PBI Artículos'!$A:$A,'[1]DATOS PBI Artículos'!$AL:$AL))/(_xlfn.XLOOKUP($AF$1,[1]CRITERIOS!$S$16:$S$39,[1]CRITERIOS!$Y$16:$Y$39))*$J245+$Z245)))</f>
        <v>#N/A</v>
      </c>
      <c r="AG245" s="39" t="e">
        <f>IF($R245="MTO","",
IF($H245=0,ROUNDUP(((_xlfn.XLOOKUP($A245,'[1]DATOS PBI Artículos'!$A:$A,'[1]DATOS PBI Artículos'!$AM:$AM))/(_xlfn.XLOOKUP($AH$1,[1]CRITERIOS!$S$16:$S$39,[1]CRITERIOS!$Y$16:$Y$39))*$J245+$Z245)/$G245,0)*$G245,
((_xlfn.XLOOKUP($A245,'[1]DATOS PBI Artículos'!$A:$A,'[1]DATOS PBI Artículos'!$AM:$AM))/(_xlfn.XLOOKUP($AH$1,[1]CRITERIOS!$S$16:$S$39,[1]CRITERIOS!$Y$16:$Y$39))*$J245+$Z245)))</f>
        <v>#N/A</v>
      </c>
      <c r="AI245" s="39" t="e">
        <f>IF($R245="MTO","",
IF($H245=0,ROUNDUP(((_xlfn.XLOOKUP($A245,'[1]DATOS PBI Artículos'!$A:$A,'[1]DATOS PBI Artículos'!$AN:$AN))/(_xlfn.XLOOKUP($AJ$1,[1]CRITERIOS!$S$16:$S$39,[1]CRITERIOS!$Y$16:$Y$39))*$J245+$Z245)/$G245,0)*$G245,
((_xlfn.XLOOKUP($A245,'[1]DATOS PBI Artículos'!$A:$A,'[1]DATOS PBI Artículos'!$AN:$AN))/(_xlfn.XLOOKUP($AJ$1,[1]CRITERIOS!$S$16:$S$39,[1]CRITERIOS!$Y$16:$Y$39))*$J245+$Z245)))</f>
        <v>#N/A</v>
      </c>
      <c r="AK245" s="39" t="e">
        <f>IF($R245="MTO","",
IF($H245=0,ROUNDUP(((_xlfn.XLOOKUP($A245,'[1]DATOS PBI Artículos'!$A:$A,'[1]DATOS PBI Artículos'!$AO:$AO))/(_xlfn.XLOOKUP($AL$1,[1]CRITERIOS!$S$16:$S$39,[1]CRITERIOS!$Y$16:$Y$39))*$J245+$Z245)/$G245,0)*$G245,
((_xlfn.XLOOKUP($A245,'[1]DATOS PBI Artículos'!$A:$A,'[1]DATOS PBI Artículos'!$AO:$AO))/(_xlfn.XLOOKUP($AL$1,[1]CRITERIOS!$S$16:$S$39,[1]CRITERIOS!$Y$16:$Y$39))*$J245+$Z245)))</f>
        <v>#N/A</v>
      </c>
    </row>
    <row r="246" spans="1:37" ht="25.8" hidden="1" x14ac:dyDescent="0.4">
      <c r="A246" s="41"/>
      <c r="B246" s="33">
        <f>_xlfn.XLOOKUP($A246,'[1]DATOS PBI Artículos'!A:A,'[1]DATOS PBI Artículos'!B:B)</f>
        <v>0</v>
      </c>
      <c r="C246" s="33">
        <f>_xlfn.XLOOKUP($A246,'[1]DATOS PBI Artículos'!A:A,'[1]DATOS PBI Artículos'!C:C)</f>
        <v>0</v>
      </c>
      <c r="D246" s="33">
        <f>_xlfn.XLOOKUP(A246,'[1]DATOS PBI Artículos'!A:A,'[1]DATOS PBI Artículos'!T:T)</f>
        <v>0</v>
      </c>
      <c r="E246" s="34">
        <f>IF(_xlfn.XLOOKUP($A246,'[1]DATOS PBI Artículos'!A:A,'[1]DATOS PBI Artículos'!AK:AK)="",_xlfn.XLOOKUP($A246,'[1]DATOS PBI Artículos'!A:A,'[1]DATOS PBI Artículos'!AJ:AJ),_xlfn.XLOOKUP($A246,'[1]DATOS PBI Artículos'!A:A,'[1]DATOS PBI Artículos'!AK:AK))</f>
        <v>0</v>
      </c>
      <c r="F246" s="35">
        <f>_xlfn.XLOOKUP($A246,'[1]DATOS PBI Artículos'!A:A,'[1]DATOS PBI Artículos'!AP:AP)</f>
        <v>0</v>
      </c>
      <c r="G246" s="34">
        <f>_xlfn.XLOOKUP($A246,'[1]DATOS PBI Artículos'!A:A,'[1]DATOS PBI Artículos'!AR:AR)</f>
        <v>0</v>
      </c>
      <c r="H246" s="34">
        <f>_xlfn.XLOOKUP($A246,'[1]DATOS PBI Artículos'!A:A,'[1]DATOS PBI Artículos'!AT:AT)</f>
        <v>0</v>
      </c>
      <c r="I246" s="34">
        <f>_xlfn.XLOOKUP($A246,'[1]DATOS PBI Artículos'!A:A,'[1]DATOS PBI Artículos'!AS:AS)</f>
        <v>0</v>
      </c>
      <c r="J246" s="35">
        <f>IF(COUNTIF([1]CRITERIOS!$F$179:$F$199,$A246)&gt;=1,
 IF(O246&lt;&gt;"",
    (O246/_xlfn.XLOOKUP(CONCATENATE(A246,L246),[1]MÁQUINAS!A:A,[1]MÁQUINAS!D:D))/24,
    (N246/_xlfn.XLOOKUP(CONCATENATE(A246,L246),[1]MÁQUINAS!A:A,[1]MÁQUINAS!D:D))/24),
  _xlfn.XLOOKUP($A246,'[1]DATOS PBI Artículos'!A:A,'[1]DATOS PBI Artículos'!AU:AU))</f>
        <v>0</v>
      </c>
      <c r="K246" s="36">
        <f>_xlfn.XLOOKUP($A246,'[1]DATOS PBI Artículos'!A:A,'[1]DATOS PBI Artículos'!AV:AV)</f>
        <v>0</v>
      </c>
      <c r="L246" s="33">
        <f>_xlfn.XLOOKUP(A246,[1]MÁQUINAS!B:B,[1]MÁQUINAS!C:C)</f>
        <v>0</v>
      </c>
      <c r="M246" s="34">
        <f t="array" ref="M246">_xlfn.XLOOKUP(A246,'[1]DATOS PBI Artículos'!A:A,'[1]DATOS PBI Artículos'!AX:$AX)</f>
        <v>0</v>
      </c>
      <c r="N246" s="37" t="e">
        <f>IF(I246="DV",
E246,
IF(COUNTIF([1]CRITERIOS!$I$179:$I$199,$A246)&gt;=1,
_xlfn.XLOOKUP($A246,[1]CRITERIOS!$I$179:$I$199,[1]CRITERIOS!$J$179:$J$199),
IF(COUNTIF([1]CRITERIOS!$L$179:$L$199,$A246)&gt;=1,
_xlfn.CEILING.MATH(IF($M246&gt;$E246,
$E246,
IF($M246&lt;$E246/ROUNDDOWN([1]CRITERIOS!$M$16/_xlfn.XLOOKUP($C246,[1]CRITERIOS!$K$25:$K$42,[1]CRITERIOS!$M$25:$M$42),
1),
E246/ROUNDDOWN([1]CRITERIOS!$M$16/_xlfn.XLOOKUP($C246,[1]CRITERIOS!$K$25:$K$42,[1]CRITERIOS!$M$25:$M$42),
1),
$M246)),
_xlfn.XLOOKUP($A246,[1]CRITERIOS!$L$179:$L$200,[1]CRITERIOS!$M$179:$M$200)),
_xlfn.CEILING.MATH(IF($M246&gt;$E246,
$E246,
IF($M246&lt;$E246/ROUNDDOWN([1]CRITERIOS!$M$16/_xlfn.XLOOKUP($C246,[1]CRITERIOS!$K$25:$K$42,[1]CRITERIOS!$M$25:$M$42),
1),
E246/ROUNDDOWN([1]CRITERIOS!$M$16/_xlfn.XLOOKUP($C246,[1]CRITERIOS!$K$25:$K$42,[1]CRITERIOS!$M$25:$M$42),
1),
$M246)),_xlfn.XLOOKUP(A246,'[1]DATOS PBI Artículos'!A:A,'[1]DATOS PBI Artículos'!Z:Z
)))))</f>
        <v>#N/A</v>
      </c>
      <c r="Q246" s="38" t="e">
        <f>IF(AND(O246="",N246=0),
0,
   IF(COUNTIF([1]CRITERIOS!$F$179:$F$199,$A246)&gt;=1,
   1,
   IF(R246="MTO",
      $D246,
      ROUNDUP(
                    IF(($E246-SUMIF('[1]DATOS PBI Artículos'!A:A,A246,'[1]DATOS PBI Artículos'!X:X)+($V246-_xlfn.XLOOKUP(A246,'[1]DATOS PBI Artículos'!A:A,'[1]DATOS PBI Artículos'!W:W)))&lt;0,
                    0,
                    IF(($E246-SUMIF('[1]DATOS PBI Artículos'!A:A,A246,'[1]DATOS PBI Artículos'!X:X)+$V246-_xlfn.XLOOKUP($A246,'[1]DATOS PBI Artículos'!A:A,'[1]DATOS PBI Artículos'!W:W))/IF($O246="",$N246,$O246)&gt;ROUNDUP([1]CRITERIOS!$M$16/(IF(COUNTIF([1]CRITERIOS!$BG$11:$BG$201,L246)&gt;=1,_xlfn.XLOOKUP($C246,[1]CRITERIOS!$K$25:$K$42,[1]CRITERIOS!$M$25:$M$42),_xlfn.XLOOKUP($C246,[1]CRITERIOS!$K$25:$K$42,[1]CRITERIOS!$M$25:$M$42))),0),
                    ROUNDUP([1]CRITERIOS!$M$16/(IF(COUNTIF([1]CRITERIOS!$BG$11:$BG$201,$L246)&gt;=1,_xlfn.XLOOKUP($C246,[1]CRITERIOS!$K$25:$K$42,[1]CRITERIOS!$M$25:$M$42),_xlfn.XLOOKUP($C246,[1]CRITERIOS!$K$25:$K$42,[1]CRITERIOS!$M$25:$M$42))),0),
                    (E246+V246-SUMIF('[1]DATOS PBI Artículos'!A:A,A246,'[1]DATOS PBI Artículos'!X:X)-_xlfn.XLOOKUP(A246,'[1]DATOS PBI Artículos'!A:A,'[1]DATOS PBI Artículos'!W:W))/IF($O246="",$N246,$O246))),0))))</f>
        <v>#N/A</v>
      </c>
      <c r="R246" s="33" t="e">
        <f>IF(U246&lt;&gt;"",U246,IF(F246="DV","MTO",IF(N246=0,"MTO",_xlfn.XLOOKUP(CONCATENATE(S246,T246),[1]CRITERIOS!$K$160:$K$168,[1]CRITERIOS!$N$160:$N$168))))</f>
        <v>#N/A</v>
      </c>
      <c r="S246" s="33" t="e">
        <f>IF(G246="DV","MTO",IF(N246=0,"MTO",IF(OR(AND(N246=0,O246=""),IF(O246="",G246/N246,G246/O246)&gt;[1]CRITERIOS!$G$163),"MTO",IF(IF(O246="",G246/N246,G246/O246)&lt;[1]CRITERIOS!$H$161,"MTS","MTOS"))))</f>
        <v>#N/A</v>
      </c>
      <c r="T246" s="33" t="e">
        <f>IF(F246="DV","MTO",IF(OR(AND($N246=0,O246=""),$F246/$J246&gt;[1]CRITERIOS!$G$170,$F246="DV"),"MTO",IF($F246/$J246&lt;[1]CRITERIOS!$H$168,"MTS","MTOS")))</f>
        <v>#N/A</v>
      </c>
      <c r="V246" s="34" t="e">
        <f t="shared" si="13"/>
        <v>#N/A</v>
      </c>
      <c r="X246" s="34" t="e">
        <f t="shared" si="11"/>
        <v>#N/A</v>
      </c>
      <c r="Y246" s="34" t="e">
        <f t="shared" si="12"/>
        <v>#N/A</v>
      </c>
      <c r="Z246" s="34" t="e">
        <f>IF($R246="MTO",
0,
($H246+$K246*($E246/[1]CRITERIOS!$M$16))/[1]CRITERIOS!$X$48)</f>
        <v>#N/A</v>
      </c>
      <c r="AA246" s="34" t="e">
        <f>ROUNDUP(($Y246/_xlfn.XLOOKUP($A246,'[1]DATOS PBI Artículos'!$A$4:$A$4,'[1]DATOS PBI Artículos'!$Z$4:$Z$4))/_xlfn.XLOOKUP(_xlfn.XLOOKUP($A246,'[1]DATOS PBI Artículos'!$A$4:$A$4,'[1]DATOS PBI Artículos'!$Y$4:$Y$4),[1]CRITERIOS!$P$79:$P$123,[1]CRITERIOS!$S$79:$S$123,),0)</f>
        <v>#N/A</v>
      </c>
      <c r="AB246" s="33" t="e">
        <f t="array" ref="AB246">IF((E246+V246-_xlfn.XLOOKUP(A246,'[1]DATOS PBI Artículos'!$A$4:$A$4,'[1]DATOS PBI Artículos'!$W$4:$W$4))/N246&gt;ROUNDUP([1]CRITERIOS!$M$16/(IF(COUNTIF([1]CRITERIOS!$BG$11:$BG$201,L246)&gt;=1,_xlfn.XLOOKUP(ARTÍCULOS!L246,[1]CRITERIOS!$BG$11:$BG$201,[1]CRITERIOS!$BJ$11:$BJ$201),_xlfn.XLOOKUP(ARTÍCULOS!C246,[1]CRITERIOS!$K$25:$K$42,[1]CRITERIOS!$M$25:$M$42))),0),ROUNDUP([1]CRITERIOS!$M$16/(IF(COUNTIF([1]CRITERIOS!$BG$11:$BG$201,L246)&gt;=1,_xlfn.XLOOKUP(ARTÍCULOS!L246,[1]CRITERIOS!$BG$11:$BG$201:#REF!,[1]CRITERIOS!$BJ$11:$BJ$201),_xlfn.XLOOKUP(ARTÍCULOS!C246,[1]CRITERIOS!$K$25:$K$42,[1]CRITERIOS!$M$25:$M$42))),0),(E246+V246-_xlfn.XLOOKUP(A246,'[1]DATOS PBI Artículos'!$A$4:$A$4,'[1]DATOS PBI Artículos'!$W$4:$W$4))/N246)</f>
        <v>#N/A</v>
      </c>
      <c r="AC246" s="33" t="e">
        <f>IF(N246=0,"",(ROUNDUP((N246/2)/(_xlfn.XLOOKUP(A246,'[1]DATOS PBI Artículos'!$A$4:$A$4,'[1]DATOS PBI Artículos'!$Z$4:$Z$4)*_xlfn.XLOOKUP(_xlfn.XLOOKUP(A246,'[1]DATOS PBI Artículos'!$A$4:$A$4,'[1]DATOS PBI Artículos'!$Y$4:$Y$4),[1]CRITERIOS!$P$79:$P$123,[1]CRITERIOS!$S$79:$S$123)),0)*[1]CRITERIOS!$M$80*([1]CRITERIOS!$M$110/[1]CRITERIOS!$M$86)+(_xlfn.XLOOKUP(A246,'[1]DATOS PBI Artículos'!$A$4:$A$4,'[1]DATOS PBI Artículos'!$AA$4:$AA$4)*([1]CRITERIOS!$M$95+[1]CRITERIOS!$M$98)))/N246)</f>
        <v>#N/A</v>
      </c>
      <c r="AD246" s="33" t="e">
        <f>IF(N246=0,"",(ROUNDUP((N246/2)/(_xlfn.XLOOKUP(A246,'[1]DATOS PBI Artículos'!$A$4:$A$4,'[1]DATOS PBI Artículos'!$Z$4:$Z$4)*_xlfn.XLOOKUP(_xlfn.XLOOKUP(A246,'[1]DATOS PBI Artículos'!$A$4:$A$4,'[1]DATOS PBI Artículos'!$Y$4:$Y$4),[1]CRITERIOS!$P$79:$P$123,[1]CRITERIOS!$S$79:$S$123)),0)*[1]CRITERIOS!$M$80*([1]CRITERIOS!$M$89*[1]CRITERIOS!$M$92)+((_xlfn.XLOOKUP(A246,'[1]DATOS PBI Artículos'!$A$4:$A$4,'[1]DATOS PBI Artículos'!$AA$4:$AA$4)/2)*([1]CRITERIOS!$M$95+[1]CRITERIOS!$M$98)))/N246)</f>
        <v>#N/A</v>
      </c>
      <c r="AE246" s="39" t="e">
        <f>IF($R246="MTO","",
IF($H246=0,ROUNDUP(((_xlfn.XLOOKUP($A246,'[1]DATOS PBI Artículos'!$A:$A,'[1]DATOS PBI Artículos'!$AL:$AL))/(_xlfn.XLOOKUP($AF$1,[1]CRITERIOS!$S$16:$S$39,[1]CRITERIOS!$Y$16:$Y$39))*$J246+$Z246)/$G246,0)*$G246,
((_xlfn.XLOOKUP($A246,'[1]DATOS PBI Artículos'!$A:$A,'[1]DATOS PBI Artículos'!$AL:$AL))/(_xlfn.XLOOKUP($AF$1,[1]CRITERIOS!$S$16:$S$39,[1]CRITERIOS!$Y$16:$Y$39))*$J246+$Z246)))</f>
        <v>#N/A</v>
      </c>
      <c r="AG246" s="39" t="e">
        <f>IF($R246="MTO","",
IF($H246=0,ROUNDUP(((_xlfn.XLOOKUP($A246,'[1]DATOS PBI Artículos'!$A:$A,'[1]DATOS PBI Artículos'!$AM:$AM))/(_xlfn.XLOOKUP($AH$1,[1]CRITERIOS!$S$16:$S$39,[1]CRITERIOS!$Y$16:$Y$39))*$J246+$Z246)/$G246,0)*$G246,
((_xlfn.XLOOKUP($A246,'[1]DATOS PBI Artículos'!$A:$A,'[1]DATOS PBI Artículos'!$AM:$AM))/(_xlfn.XLOOKUP($AH$1,[1]CRITERIOS!$S$16:$S$39,[1]CRITERIOS!$Y$16:$Y$39))*$J246+$Z246)))</f>
        <v>#N/A</v>
      </c>
      <c r="AI246" s="39" t="e">
        <f>IF($R246="MTO","",
IF($H246=0,ROUNDUP(((_xlfn.XLOOKUP($A246,'[1]DATOS PBI Artículos'!$A:$A,'[1]DATOS PBI Artículos'!$AN:$AN))/(_xlfn.XLOOKUP($AJ$1,[1]CRITERIOS!$S$16:$S$39,[1]CRITERIOS!$Y$16:$Y$39))*$J246+$Z246)/$G246,0)*$G246,
((_xlfn.XLOOKUP($A246,'[1]DATOS PBI Artículos'!$A:$A,'[1]DATOS PBI Artículos'!$AN:$AN))/(_xlfn.XLOOKUP($AJ$1,[1]CRITERIOS!$S$16:$S$39,[1]CRITERIOS!$Y$16:$Y$39))*$J246+$Z246)))</f>
        <v>#N/A</v>
      </c>
      <c r="AK246" s="39" t="e">
        <f>IF($R246="MTO","",
IF($H246=0,ROUNDUP(((_xlfn.XLOOKUP($A246,'[1]DATOS PBI Artículos'!$A:$A,'[1]DATOS PBI Artículos'!$AO:$AO))/(_xlfn.XLOOKUP($AL$1,[1]CRITERIOS!$S$16:$S$39,[1]CRITERIOS!$Y$16:$Y$39))*$J246+$Z246)/$G246,0)*$G246,
((_xlfn.XLOOKUP($A246,'[1]DATOS PBI Artículos'!$A:$A,'[1]DATOS PBI Artículos'!$AO:$AO))/(_xlfn.XLOOKUP($AL$1,[1]CRITERIOS!$S$16:$S$39,[1]CRITERIOS!$Y$16:$Y$39))*$J246+$Z246)))</f>
        <v>#N/A</v>
      </c>
    </row>
    <row r="247" spans="1:37" ht="25.8" hidden="1" x14ac:dyDescent="0.4">
      <c r="A247" s="41"/>
      <c r="B247" s="33">
        <f>_xlfn.XLOOKUP($A247,'[1]DATOS PBI Artículos'!A:A,'[1]DATOS PBI Artículos'!B:B)</f>
        <v>0</v>
      </c>
      <c r="C247" s="33">
        <f>_xlfn.XLOOKUP($A247,'[1]DATOS PBI Artículos'!A:A,'[1]DATOS PBI Artículos'!C:C)</f>
        <v>0</v>
      </c>
      <c r="D247" s="33">
        <f>_xlfn.XLOOKUP(A247,'[1]DATOS PBI Artículos'!A:A,'[1]DATOS PBI Artículos'!T:T)</f>
        <v>0</v>
      </c>
      <c r="E247" s="34">
        <f>IF(_xlfn.XLOOKUP($A247,'[1]DATOS PBI Artículos'!A:A,'[1]DATOS PBI Artículos'!AK:AK)="",_xlfn.XLOOKUP($A247,'[1]DATOS PBI Artículos'!A:A,'[1]DATOS PBI Artículos'!AJ:AJ),_xlfn.XLOOKUP($A247,'[1]DATOS PBI Artículos'!A:A,'[1]DATOS PBI Artículos'!AK:AK))</f>
        <v>0</v>
      </c>
      <c r="F247" s="35">
        <f>_xlfn.XLOOKUP($A247,'[1]DATOS PBI Artículos'!A:A,'[1]DATOS PBI Artículos'!AP:AP)</f>
        <v>0</v>
      </c>
      <c r="G247" s="34">
        <f>_xlfn.XLOOKUP($A247,'[1]DATOS PBI Artículos'!A:A,'[1]DATOS PBI Artículos'!AR:AR)</f>
        <v>0</v>
      </c>
      <c r="H247" s="34">
        <f>_xlfn.XLOOKUP($A247,'[1]DATOS PBI Artículos'!A:A,'[1]DATOS PBI Artículos'!AT:AT)</f>
        <v>0</v>
      </c>
      <c r="I247" s="34">
        <f>_xlfn.XLOOKUP($A247,'[1]DATOS PBI Artículos'!A:A,'[1]DATOS PBI Artículos'!AS:AS)</f>
        <v>0</v>
      </c>
      <c r="J247" s="35">
        <f>IF(COUNTIF([1]CRITERIOS!$F$179:$F$199,$A247)&gt;=1,
 IF(O247&lt;&gt;"",
    (O247/_xlfn.XLOOKUP(CONCATENATE(A247,L247),[1]MÁQUINAS!A:A,[1]MÁQUINAS!D:D))/24,
    (N247/_xlfn.XLOOKUP(CONCATENATE(A247,L247),[1]MÁQUINAS!A:A,[1]MÁQUINAS!D:D))/24),
  _xlfn.XLOOKUP($A247,'[1]DATOS PBI Artículos'!A:A,'[1]DATOS PBI Artículos'!AU:AU))</f>
        <v>0</v>
      </c>
      <c r="K247" s="36">
        <f>_xlfn.XLOOKUP($A247,'[1]DATOS PBI Artículos'!A:A,'[1]DATOS PBI Artículos'!AV:AV)</f>
        <v>0</v>
      </c>
      <c r="L247" s="33">
        <f>_xlfn.XLOOKUP(A247,[1]MÁQUINAS!B:B,[1]MÁQUINAS!C:C)</f>
        <v>0</v>
      </c>
      <c r="M247" s="34">
        <f t="array" ref="M247">_xlfn.XLOOKUP(A247,'[1]DATOS PBI Artículos'!A:A,'[1]DATOS PBI Artículos'!AX:$AX)</f>
        <v>0</v>
      </c>
      <c r="N247" s="37" t="e">
        <f>IF(I247="DV",
E247,
IF(COUNTIF([1]CRITERIOS!$I$179:$I$199,$A247)&gt;=1,
_xlfn.XLOOKUP($A247,[1]CRITERIOS!$I$179:$I$199,[1]CRITERIOS!$J$179:$J$199),
IF(COUNTIF([1]CRITERIOS!$L$179:$L$199,$A247)&gt;=1,
_xlfn.CEILING.MATH(IF($M247&gt;$E247,
$E247,
IF($M247&lt;$E247/ROUNDDOWN([1]CRITERIOS!$M$16/_xlfn.XLOOKUP($C247,[1]CRITERIOS!$K$25:$K$42,[1]CRITERIOS!$M$25:$M$42),
1),
E247/ROUNDDOWN([1]CRITERIOS!$M$16/_xlfn.XLOOKUP($C247,[1]CRITERIOS!$K$25:$K$42,[1]CRITERIOS!$M$25:$M$42),
1),
$M247)),
_xlfn.XLOOKUP($A247,[1]CRITERIOS!$L$179:$L$200,[1]CRITERIOS!$M$179:$M$200)),
_xlfn.CEILING.MATH(IF($M247&gt;$E247,
$E247,
IF($M247&lt;$E247/ROUNDDOWN([1]CRITERIOS!$M$16/_xlfn.XLOOKUP($C247,[1]CRITERIOS!$K$25:$K$42,[1]CRITERIOS!$M$25:$M$42),
1),
E247/ROUNDDOWN([1]CRITERIOS!$M$16/_xlfn.XLOOKUP($C247,[1]CRITERIOS!$K$25:$K$42,[1]CRITERIOS!$M$25:$M$42),
1),
$M247)),_xlfn.XLOOKUP(A247,'[1]DATOS PBI Artículos'!A:A,'[1]DATOS PBI Artículos'!Z:Z
)))))</f>
        <v>#N/A</v>
      </c>
      <c r="Q247" s="38" t="e">
        <f>IF(AND(O247="",N247=0),
0,
   IF(COUNTIF([1]CRITERIOS!$F$179:$F$199,$A247)&gt;=1,
   1,
   IF(R247="MTO",
      $D247,
      ROUNDUP(
                    IF(($E247-SUMIF('[1]DATOS PBI Artículos'!A:A,A247,'[1]DATOS PBI Artículos'!X:X)+($V247-_xlfn.XLOOKUP(A247,'[1]DATOS PBI Artículos'!A:A,'[1]DATOS PBI Artículos'!W:W)))&lt;0,
                    0,
                    IF(($E247-SUMIF('[1]DATOS PBI Artículos'!A:A,A247,'[1]DATOS PBI Artículos'!X:X)+$V247-_xlfn.XLOOKUP($A247,'[1]DATOS PBI Artículos'!A:A,'[1]DATOS PBI Artículos'!W:W))/IF($O247="",$N247,$O247)&gt;ROUNDUP([1]CRITERIOS!$M$16/(IF(COUNTIF([1]CRITERIOS!$BG$11:$BG$201,L247)&gt;=1,_xlfn.XLOOKUP($C247,[1]CRITERIOS!$K$25:$K$42,[1]CRITERIOS!$M$25:$M$42),_xlfn.XLOOKUP($C247,[1]CRITERIOS!$K$25:$K$42,[1]CRITERIOS!$M$25:$M$42))),0),
                    ROUNDUP([1]CRITERIOS!$M$16/(IF(COUNTIF([1]CRITERIOS!$BG$11:$BG$201,$L247)&gt;=1,_xlfn.XLOOKUP($C247,[1]CRITERIOS!$K$25:$K$42,[1]CRITERIOS!$M$25:$M$42),_xlfn.XLOOKUP($C247,[1]CRITERIOS!$K$25:$K$42,[1]CRITERIOS!$M$25:$M$42))),0),
                    (E247+V247-SUMIF('[1]DATOS PBI Artículos'!A:A,A247,'[1]DATOS PBI Artículos'!X:X)-_xlfn.XLOOKUP(A247,'[1]DATOS PBI Artículos'!A:A,'[1]DATOS PBI Artículos'!W:W))/IF($O247="",$N247,$O247))),0))))</f>
        <v>#N/A</v>
      </c>
      <c r="R247" s="33" t="e">
        <f>IF(U247&lt;&gt;"",U247,IF(F247="DV","MTO",IF(N247=0,"MTO",_xlfn.XLOOKUP(CONCATENATE(S247,T247),[1]CRITERIOS!$K$160:$K$168,[1]CRITERIOS!$N$160:$N$168))))</f>
        <v>#N/A</v>
      </c>
      <c r="S247" s="33" t="e">
        <f>IF(G247="DV","MTO",IF(N247=0,"MTO",IF(OR(AND(N247=0,O247=""),IF(O247="",G247/N247,G247/O247)&gt;[1]CRITERIOS!$G$163),"MTO",IF(IF(O247="",G247/N247,G247/O247)&lt;[1]CRITERIOS!$H$161,"MTS","MTOS"))))</f>
        <v>#N/A</v>
      </c>
      <c r="T247" s="33" t="e">
        <f>IF(F247="DV","MTO",IF(OR(AND($N247=0,O247=""),$F247/$J247&gt;[1]CRITERIOS!$G$170,$F247="DV"),"MTO",IF($F247/$J247&lt;[1]CRITERIOS!$H$168,"MTS","MTOS")))</f>
        <v>#N/A</v>
      </c>
      <c r="V247" s="34" t="e">
        <f t="shared" si="13"/>
        <v>#N/A</v>
      </c>
      <c r="X247" s="34" t="e">
        <f t="shared" si="11"/>
        <v>#N/A</v>
      </c>
      <c r="Y247" s="34" t="e">
        <f t="shared" si="12"/>
        <v>#N/A</v>
      </c>
      <c r="Z247" s="34" t="e">
        <f>IF($R247="MTO",
0,
($H247+$K247*($E247/[1]CRITERIOS!$M$16))/[1]CRITERIOS!$X$48)</f>
        <v>#N/A</v>
      </c>
      <c r="AA247" s="34" t="e">
        <f>ROUNDUP(($Y247/_xlfn.XLOOKUP($A247,'[1]DATOS PBI Artículos'!$A$4:$A$4,'[1]DATOS PBI Artículos'!$Z$4:$Z$4))/_xlfn.XLOOKUP(_xlfn.XLOOKUP($A247,'[1]DATOS PBI Artículos'!$A$4:$A$4,'[1]DATOS PBI Artículos'!$Y$4:$Y$4),[1]CRITERIOS!$P$79:$P$123,[1]CRITERIOS!$S$79:$S$123,),0)</f>
        <v>#N/A</v>
      </c>
      <c r="AB247" s="33" t="e">
        <f t="array" ref="AB247">IF((E247+V247-_xlfn.XLOOKUP(A247,'[1]DATOS PBI Artículos'!$A$4:$A$4,'[1]DATOS PBI Artículos'!$W$4:$W$4))/N247&gt;ROUNDUP([1]CRITERIOS!$M$16/(IF(COUNTIF([1]CRITERIOS!$BG$11:$BG$201,L247)&gt;=1,_xlfn.XLOOKUP(ARTÍCULOS!L247,[1]CRITERIOS!$BG$11:$BG$201,[1]CRITERIOS!$BJ$11:$BJ$201),_xlfn.XLOOKUP(ARTÍCULOS!C247,[1]CRITERIOS!$K$25:$K$42,[1]CRITERIOS!$M$25:$M$42))),0),ROUNDUP([1]CRITERIOS!$M$16/(IF(COUNTIF([1]CRITERIOS!$BG$11:$BG$201,L247)&gt;=1,_xlfn.XLOOKUP(ARTÍCULOS!L247,[1]CRITERIOS!$BG$11:$BG$201:#REF!,[1]CRITERIOS!$BJ$11:$BJ$201),_xlfn.XLOOKUP(ARTÍCULOS!C247,[1]CRITERIOS!$K$25:$K$42,[1]CRITERIOS!$M$25:$M$42))),0),(E247+V247-_xlfn.XLOOKUP(A247,'[1]DATOS PBI Artículos'!$A$4:$A$4,'[1]DATOS PBI Artículos'!$W$4:$W$4))/N247)</f>
        <v>#N/A</v>
      </c>
      <c r="AC247" s="33" t="e">
        <f>IF(N247=0,"",(ROUNDUP((N247/2)/(_xlfn.XLOOKUP(A247,'[1]DATOS PBI Artículos'!$A$4:$A$4,'[1]DATOS PBI Artículos'!$Z$4:$Z$4)*_xlfn.XLOOKUP(_xlfn.XLOOKUP(A247,'[1]DATOS PBI Artículos'!$A$4:$A$4,'[1]DATOS PBI Artículos'!$Y$4:$Y$4),[1]CRITERIOS!$P$79:$P$123,[1]CRITERIOS!$S$79:$S$123)),0)*[1]CRITERIOS!$M$80*([1]CRITERIOS!$M$110/[1]CRITERIOS!$M$86)+(_xlfn.XLOOKUP(A247,'[1]DATOS PBI Artículos'!$A$4:$A$4,'[1]DATOS PBI Artículos'!$AA$4:$AA$4)*([1]CRITERIOS!$M$95+[1]CRITERIOS!$M$98)))/N247)</f>
        <v>#N/A</v>
      </c>
      <c r="AD247" s="33" t="e">
        <f>IF(N247=0,"",(ROUNDUP((N247/2)/(_xlfn.XLOOKUP(A247,'[1]DATOS PBI Artículos'!$A$4:$A$4,'[1]DATOS PBI Artículos'!$Z$4:$Z$4)*_xlfn.XLOOKUP(_xlfn.XLOOKUP(A247,'[1]DATOS PBI Artículos'!$A$4:$A$4,'[1]DATOS PBI Artículos'!$Y$4:$Y$4),[1]CRITERIOS!$P$79:$P$123,[1]CRITERIOS!$S$79:$S$123)),0)*[1]CRITERIOS!$M$80*([1]CRITERIOS!$M$89*[1]CRITERIOS!$M$92)+((_xlfn.XLOOKUP(A247,'[1]DATOS PBI Artículos'!$A$4:$A$4,'[1]DATOS PBI Artículos'!$AA$4:$AA$4)/2)*([1]CRITERIOS!$M$95+[1]CRITERIOS!$M$98)))/N247)</f>
        <v>#N/A</v>
      </c>
      <c r="AE247" s="39" t="e">
        <f>IF($R247="MTO","",
IF($H247=0,ROUNDUP(((_xlfn.XLOOKUP($A247,'[1]DATOS PBI Artículos'!$A:$A,'[1]DATOS PBI Artículos'!$AL:$AL))/(_xlfn.XLOOKUP($AF$1,[1]CRITERIOS!$S$16:$S$39,[1]CRITERIOS!$Y$16:$Y$39))*$J247+$Z247)/$G247,0)*$G247,
((_xlfn.XLOOKUP($A247,'[1]DATOS PBI Artículos'!$A:$A,'[1]DATOS PBI Artículos'!$AL:$AL))/(_xlfn.XLOOKUP($AF$1,[1]CRITERIOS!$S$16:$S$39,[1]CRITERIOS!$Y$16:$Y$39))*$J247+$Z247)))</f>
        <v>#N/A</v>
      </c>
      <c r="AG247" s="39" t="e">
        <f>IF($R247="MTO","",
IF($H247=0,ROUNDUP(((_xlfn.XLOOKUP($A247,'[1]DATOS PBI Artículos'!$A:$A,'[1]DATOS PBI Artículos'!$AM:$AM))/(_xlfn.XLOOKUP($AH$1,[1]CRITERIOS!$S$16:$S$39,[1]CRITERIOS!$Y$16:$Y$39))*$J247+$Z247)/$G247,0)*$G247,
((_xlfn.XLOOKUP($A247,'[1]DATOS PBI Artículos'!$A:$A,'[1]DATOS PBI Artículos'!$AM:$AM))/(_xlfn.XLOOKUP($AH$1,[1]CRITERIOS!$S$16:$S$39,[1]CRITERIOS!$Y$16:$Y$39))*$J247+$Z247)))</f>
        <v>#N/A</v>
      </c>
      <c r="AI247" s="39" t="e">
        <f>IF($R247="MTO","",
IF($H247=0,ROUNDUP(((_xlfn.XLOOKUP($A247,'[1]DATOS PBI Artículos'!$A:$A,'[1]DATOS PBI Artículos'!$AN:$AN))/(_xlfn.XLOOKUP($AJ$1,[1]CRITERIOS!$S$16:$S$39,[1]CRITERIOS!$Y$16:$Y$39))*$J247+$Z247)/$G247,0)*$G247,
((_xlfn.XLOOKUP($A247,'[1]DATOS PBI Artículos'!$A:$A,'[1]DATOS PBI Artículos'!$AN:$AN))/(_xlfn.XLOOKUP($AJ$1,[1]CRITERIOS!$S$16:$S$39,[1]CRITERIOS!$Y$16:$Y$39))*$J247+$Z247)))</f>
        <v>#N/A</v>
      </c>
      <c r="AK247" s="39" t="e">
        <f>IF($R247="MTO","",
IF($H247=0,ROUNDUP(((_xlfn.XLOOKUP($A247,'[1]DATOS PBI Artículos'!$A:$A,'[1]DATOS PBI Artículos'!$AO:$AO))/(_xlfn.XLOOKUP($AL$1,[1]CRITERIOS!$S$16:$S$39,[1]CRITERIOS!$Y$16:$Y$39))*$J247+$Z247)/$G247,0)*$G247,
((_xlfn.XLOOKUP($A247,'[1]DATOS PBI Artículos'!$A:$A,'[1]DATOS PBI Artículos'!$AO:$AO))/(_xlfn.XLOOKUP($AL$1,[1]CRITERIOS!$S$16:$S$39,[1]CRITERIOS!$Y$16:$Y$39))*$J247+$Z247)))</f>
        <v>#N/A</v>
      </c>
    </row>
    <row r="248" spans="1:37" ht="25.8" hidden="1" x14ac:dyDescent="0.4">
      <c r="A248" s="41"/>
      <c r="B248" s="33">
        <f>_xlfn.XLOOKUP($A248,'[1]DATOS PBI Artículos'!A:A,'[1]DATOS PBI Artículos'!B:B)</f>
        <v>0</v>
      </c>
      <c r="C248" s="33">
        <f>_xlfn.XLOOKUP($A248,'[1]DATOS PBI Artículos'!A:A,'[1]DATOS PBI Artículos'!C:C)</f>
        <v>0</v>
      </c>
      <c r="D248" s="33">
        <f>_xlfn.XLOOKUP(A248,'[1]DATOS PBI Artículos'!A:A,'[1]DATOS PBI Artículos'!T:T)</f>
        <v>0</v>
      </c>
      <c r="E248" s="34">
        <f>IF(_xlfn.XLOOKUP($A248,'[1]DATOS PBI Artículos'!A:A,'[1]DATOS PBI Artículos'!AK:AK)="",_xlfn.XLOOKUP($A248,'[1]DATOS PBI Artículos'!A:A,'[1]DATOS PBI Artículos'!AJ:AJ),_xlfn.XLOOKUP($A248,'[1]DATOS PBI Artículos'!A:A,'[1]DATOS PBI Artículos'!AK:AK))</f>
        <v>0</v>
      </c>
      <c r="F248" s="35">
        <f>_xlfn.XLOOKUP($A248,'[1]DATOS PBI Artículos'!A:A,'[1]DATOS PBI Artículos'!AP:AP)</f>
        <v>0</v>
      </c>
      <c r="G248" s="34">
        <f>_xlfn.XLOOKUP($A248,'[1]DATOS PBI Artículos'!A:A,'[1]DATOS PBI Artículos'!AR:AR)</f>
        <v>0</v>
      </c>
      <c r="H248" s="34">
        <f>_xlfn.XLOOKUP($A248,'[1]DATOS PBI Artículos'!A:A,'[1]DATOS PBI Artículos'!AT:AT)</f>
        <v>0</v>
      </c>
      <c r="I248" s="34">
        <f>_xlfn.XLOOKUP($A248,'[1]DATOS PBI Artículos'!A:A,'[1]DATOS PBI Artículos'!AS:AS)</f>
        <v>0</v>
      </c>
      <c r="J248" s="35">
        <f>IF(COUNTIF([1]CRITERIOS!$F$179:$F$199,$A248)&gt;=1,
 IF(O248&lt;&gt;"",
    (O248/_xlfn.XLOOKUP(CONCATENATE(A248,L248),[1]MÁQUINAS!A:A,[1]MÁQUINAS!D:D))/24,
    (N248/_xlfn.XLOOKUP(CONCATENATE(A248,L248),[1]MÁQUINAS!A:A,[1]MÁQUINAS!D:D))/24),
  _xlfn.XLOOKUP($A248,'[1]DATOS PBI Artículos'!A:A,'[1]DATOS PBI Artículos'!AU:AU))</f>
        <v>0</v>
      </c>
      <c r="K248" s="36">
        <f>_xlfn.XLOOKUP($A248,'[1]DATOS PBI Artículos'!A:A,'[1]DATOS PBI Artículos'!AV:AV)</f>
        <v>0</v>
      </c>
      <c r="L248" s="33">
        <f>_xlfn.XLOOKUP(A248,[1]MÁQUINAS!B:B,[1]MÁQUINAS!C:C)</f>
        <v>0</v>
      </c>
      <c r="M248" s="34">
        <f t="array" ref="M248">_xlfn.XLOOKUP(A248,'[1]DATOS PBI Artículos'!A:A,'[1]DATOS PBI Artículos'!AX:$AX)</f>
        <v>0</v>
      </c>
      <c r="N248" s="37" t="e">
        <f>IF(I248="DV",
E248,
IF(COUNTIF([1]CRITERIOS!$I$179:$I$199,$A248)&gt;=1,
_xlfn.XLOOKUP($A248,[1]CRITERIOS!$I$179:$I$199,[1]CRITERIOS!$J$179:$J$199),
IF(COUNTIF([1]CRITERIOS!$L$179:$L$199,$A248)&gt;=1,
_xlfn.CEILING.MATH(IF($M248&gt;$E248,
$E248,
IF($M248&lt;$E248/ROUNDDOWN([1]CRITERIOS!$M$16/_xlfn.XLOOKUP($C248,[1]CRITERIOS!$K$25:$K$42,[1]CRITERIOS!$M$25:$M$42),
1),
E248/ROUNDDOWN([1]CRITERIOS!$M$16/_xlfn.XLOOKUP($C248,[1]CRITERIOS!$K$25:$K$42,[1]CRITERIOS!$M$25:$M$42),
1),
$M248)),
_xlfn.XLOOKUP($A248,[1]CRITERIOS!$L$179:$L$200,[1]CRITERIOS!$M$179:$M$200)),
_xlfn.CEILING.MATH(IF($M248&gt;$E248,
$E248,
IF($M248&lt;$E248/ROUNDDOWN([1]CRITERIOS!$M$16/_xlfn.XLOOKUP($C248,[1]CRITERIOS!$K$25:$K$42,[1]CRITERIOS!$M$25:$M$42),
1),
E248/ROUNDDOWN([1]CRITERIOS!$M$16/_xlfn.XLOOKUP($C248,[1]CRITERIOS!$K$25:$K$42,[1]CRITERIOS!$M$25:$M$42),
1),
$M248)),_xlfn.XLOOKUP(A248,'[1]DATOS PBI Artículos'!A:A,'[1]DATOS PBI Artículos'!Z:Z
)))))</f>
        <v>#N/A</v>
      </c>
      <c r="Q248" s="38" t="e">
        <f>IF(AND(O248="",N248=0),
0,
   IF(COUNTIF([1]CRITERIOS!$F$179:$F$199,$A248)&gt;=1,
   1,
   IF(R248="MTO",
      $D248,
      ROUNDUP(
                    IF(($E248-SUMIF('[1]DATOS PBI Artículos'!A:A,A248,'[1]DATOS PBI Artículos'!X:X)+($V248-_xlfn.XLOOKUP(A248,'[1]DATOS PBI Artículos'!A:A,'[1]DATOS PBI Artículos'!W:W)))&lt;0,
                    0,
                    IF(($E248-SUMIF('[1]DATOS PBI Artículos'!A:A,A248,'[1]DATOS PBI Artículos'!X:X)+$V248-_xlfn.XLOOKUP($A248,'[1]DATOS PBI Artículos'!A:A,'[1]DATOS PBI Artículos'!W:W))/IF($O248="",$N248,$O248)&gt;ROUNDUP([1]CRITERIOS!$M$16/(IF(COUNTIF([1]CRITERIOS!$BG$11:$BG$201,L248)&gt;=1,_xlfn.XLOOKUP($C248,[1]CRITERIOS!$K$25:$K$42,[1]CRITERIOS!$M$25:$M$42),_xlfn.XLOOKUP($C248,[1]CRITERIOS!$K$25:$K$42,[1]CRITERIOS!$M$25:$M$42))),0),
                    ROUNDUP([1]CRITERIOS!$M$16/(IF(COUNTIF([1]CRITERIOS!$BG$11:$BG$201,$L248)&gt;=1,_xlfn.XLOOKUP($C248,[1]CRITERIOS!$K$25:$K$42,[1]CRITERIOS!$M$25:$M$42),_xlfn.XLOOKUP($C248,[1]CRITERIOS!$K$25:$K$42,[1]CRITERIOS!$M$25:$M$42))),0),
                    (E248+V248-SUMIF('[1]DATOS PBI Artículos'!A:A,A248,'[1]DATOS PBI Artículos'!X:X)-_xlfn.XLOOKUP(A248,'[1]DATOS PBI Artículos'!A:A,'[1]DATOS PBI Artículos'!W:W))/IF($O248="",$N248,$O248))),0))))</f>
        <v>#N/A</v>
      </c>
      <c r="R248" s="33" t="e">
        <f>IF(U248&lt;&gt;"",U248,IF(F248="DV","MTO",IF(N248=0,"MTO",_xlfn.XLOOKUP(CONCATENATE(S248,T248),[1]CRITERIOS!$K$160:$K$168,[1]CRITERIOS!$N$160:$N$168))))</f>
        <v>#N/A</v>
      </c>
      <c r="S248" s="33" t="e">
        <f>IF(G248="DV","MTO",IF(N248=0,"MTO",IF(OR(AND(N248=0,O248=""),IF(O248="",G248/N248,G248/O248)&gt;[1]CRITERIOS!$G$163),"MTO",IF(IF(O248="",G248/N248,G248/O248)&lt;[1]CRITERIOS!$H$161,"MTS","MTOS"))))</f>
        <v>#N/A</v>
      </c>
      <c r="T248" s="33" t="e">
        <f>IF(F248="DV","MTO",IF(OR(AND($N248=0,O248=""),$F248/$J248&gt;[1]CRITERIOS!$G$170,$F248="DV"),"MTO",IF($F248/$J248&lt;[1]CRITERIOS!$H$168,"MTS","MTOS")))</f>
        <v>#N/A</v>
      </c>
      <c r="V248" s="34" t="e">
        <f t="shared" si="13"/>
        <v>#N/A</v>
      </c>
      <c r="X248" s="34" t="e">
        <f t="shared" si="11"/>
        <v>#N/A</v>
      </c>
      <c r="Y248" s="34" t="e">
        <f t="shared" si="12"/>
        <v>#N/A</v>
      </c>
      <c r="Z248" s="34" t="e">
        <f>IF($R248="MTO",
0,
($H248+$K248*($E248/[1]CRITERIOS!$M$16))/[1]CRITERIOS!$X$48)</f>
        <v>#N/A</v>
      </c>
      <c r="AA248" s="34" t="e">
        <f>ROUNDUP(($Y248/_xlfn.XLOOKUP($A248,'[1]DATOS PBI Artículos'!$A$4:$A$4,'[1]DATOS PBI Artículos'!$Z$4:$Z$4))/_xlfn.XLOOKUP(_xlfn.XLOOKUP($A248,'[1]DATOS PBI Artículos'!$A$4:$A$4,'[1]DATOS PBI Artículos'!$Y$4:$Y$4),[1]CRITERIOS!$P$79:$P$123,[1]CRITERIOS!$S$79:$S$123,),0)</f>
        <v>#N/A</v>
      </c>
      <c r="AB248" s="33" t="e">
        <f t="array" ref="AB248">IF((E248+V248-_xlfn.XLOOKUP(A248,'[1]DATOS PBI Artículos'!$A$4:$A$4,'[1]DATOS PBI Artículos'!$W$4:$W$4))/N248&gt;ROUNDUP([1]CRITERIOS!$M$16/(IF(COUNTIF([1]CRITERIOS!$BG$11:$BG$201,L248)&gt;=1,_xlfn.XLOOKUP(ARTÍCULOS!L248,[1]CRITERIOS!$BG$11:$BG$201,[1]CRITERIOS!$BJ$11:$BJ$201),_xlfn.XLOOKUP(ARTÍCULOS!C248,[1]CRITERIOS!$K$25:$K$42,[1]CRITERIOS!$M$25:$M$42))),0),ROUNDUP([1]CRITERIOS!$M$16/(IF(COUNTIF([1]CRITERIOS!$BG$11:$BG$201,L248)&gt;=1,_xlfn.XLOOKUP(ARTÍCULOS!L248,[1]CRITERIOS!$BG$11:$BG$201:#REF!,[1]CRITERIOS!$BJ$11:$BJ$201),_xlfn.XLOOKUP(ARTÍCULOS!C248,[1]CRITERIOS!$K$25:$K$42,[1]CRITERIOS!$M$25:$M$42))),0),(E248+V248-_xlfn.XLOOKUP(A248,'[1]DATOS PBI Artículos'!$A$4:$A$4,'[1]DATOS PBI Artículos'!$W$4:$W$4))/N248)</f>
        <v>#N/A</v>
      </c>
      <c r="AC248" s="33" t="e">
        <f>IF(N248=0,"",(ROUNDUP((N248/2)/(_xlfn.XLOOKUP(A248,'[1]DATOS PBI Artículos'!$A$4:$A$4,'[1]DATOS PBI Artículos'!$Z$4:$Z$4)*_xlfn.XLOOKUP(_xlfn.XLOOKUP(A248,'[1]DATOS PBI Artículos'!$A$4:$A$4,'[1]DATOS PBI Artículos'!$Y$4:$Y$4),[1]CRITERIOS!$P$79:$P$123,[1]CRITERIOS!$S$79:$S$123)),0)*[1]CRITERIOS!$M$80*([1]CRITERIOS!$M$110/[1]CRITERIOS!$M$86)+(_xlfn.XLOOKUP(A248,'[1]DATOS PBI Artículos'!$A$4:$A$4,'[1]DATOS PBI Artículos'!$AA$4:$AA$4)*([1]CRITERIOS!$M$95+[1]CRITERIOS!$M$98)))/N248)</f>
        <v>#N/A</v>
      </c>
      <c r="AD248" s="33" t="e">
        <f>IF(N248=0,"",(ROUNDUP((N248/2)/(_xlfn.XLOOKUP(A248,'[1]DATOS PBI Artículos'!$A$4:$A$4,'[1]DATOS PBI Artículos'!$Z$4:$Z$4)*_xlfn.XLOOKUP(_xlfn.XLOOKUP(A248,'[1]DATOS PBI Artículos'!$A$4:$A$4,'[1]DATOS PBI Artículos'!$Y$4:$Y$4),[1]CRITERIOS!$P$79:$P$123,[1]CRITERIOS!$S$79:$S$123)),0)*[1]CRITERIOS!$M$80*([1]CRITERIOS!$M$89*[1]CRITERIOS!$M$92)+((_xlfn.XLOOKUP(A248,'[1]DATOS PBI Artículos'!$A$4:$A$4,'[1]DATOS PBI Artículos'!$AA$4:$AA$4)/2)*([1]CRITERIOS!$M$95+[1]CRITERIOS!$M$98)))/N248)</f>
        <v>#N/A</v>
      </c>
      <c r="AE248" s="39" t="e">
        <f>IF($R248="MTO","",
IF($H248=0,ROUNDUP(((_xlfn.XLOOKUP($A248,'[1]DATOS PBI Artículos'!$A:$A,'[1]DATOS PBI Artículos'!$AL:$AL))/(_xlfn.XLOOKUP($AF$1,[1]CRITERIOS!$S$16:$S$39,[1]CRITERIOS!$Y$16:$Y$39))*$J248+$Z248)/$G248,0)*$G248,
((_xlfn.XLOOKUP($A248,'[1]DATOS PBI Artículos'!$A:$A,'[1]DATOS PBI Artículos'!$AL:$AL))/(_xlfn.XLOOKUP($AF$1,[1]CRITERIOS!$S$16:$S$39,[1]CRITERIOS!$Y$16:$Y$39))*$J248+$Z248)))</f>
        <v>#N/A</v>
      </c>
      <c r="AG248" s="39" t="e">
        <f>IF($R248="MTO","",
IF($H248=0,ROUNDUP(((_xlfn.XLOOKUP($A248,'[1]DATOS PBI Artículos'!$A:$A,'[1]DATOS PBI Artículos'!$AM:$AM))/(_xlfn.XLOOKUP($AH$1,[1]CRITERIOS!$S$16:$S$39,[1]CRITERIOS!$Y$16:$Y$39))*$J248+$Z248)/$G248,0)*$G248,
((_xlfn.XLOOKUP($A248,'[1]DATOS PBI Artículos'!$A:$A,'[1]DATOS PBI Artículos'!$AM:$AM))/(_xlfn.XLOOKUP($AH$1,[1]CRITERIOS!$S$16:$S$39,[1]CRITERIOS!$Y$16:$Y$39))*$J248+$Z248)))</f>
        <v>#N/A</v>
      </c>
      <c r="AI248" s="39" t="e">
        <f>IF($R248="MTO","",
IF($H248=0,ROUNDUP(((_xlfn.XLOOKUP($A248,'[1]DATOS PBI Artículos'!$A:$A,'[1]DATOS PBI Artículos'!$AN:$AN))/(_xlfn.XLOOKUP($AJ$1,[1]CRITERIOS!$S$16:$S$39,[1]CRITERIOS!$Y$16:$Y$39))*$J248+$Z248)/$G248,0)*$G248,
((_xlfn.XLOOKUP($A248,'[1]DATOS PBI Artículos'!$A:$A,'[1]DATOS PBI Artículos'!$AN:$AN))/(_xlfn.XLOOKUP($AJ$1,[1]CRITERIOS!$S$16:$S$39,[1]CRITERIOS!$Y$16:$Y$39))*$J248+$Z248)))</f>
        <v>#N/A</v>
      </c>
      <c r="AK248" s="39" t="e">
        <f>IF($R248="MTO","",
IF($H248=0,ROUNDUP(((_xlfn.XLOOKUP($A248,'[1]DATOS PBI Artículos'!$A:$A,'[1]DATOS PBI Artículos'!$AO:$AO))/(_xlfn.XLOOKUP($AL$1,[1]CRITERIOS!$S$16:$S$39,[1]CRITERIOS!$Y$16:$Y$39))*$J248+$Z248)/$G248,0)*$G248,
((_xlfn.XLOOKUP($A248,'[1]DATOS PBI Artículos'!$A:$A,'[1]DATOS PBI Artículos'!$AO:$AO))/(_xlfn.XLOOKUP($AL$1,[1]CRITERIOS!$S$16:$S$39,[1]CRITERIOS!$Y$16:$Y$39))*$J248+$Z248)))</f>
        <v>#N/A</v>
      </c>
    </row>
    <row r="249" spans="1:37" ht="25.8" hidden="1" x14ac:dyDescent="0.4">
      <c r="A249" s="41"/>
      <c r="B249" s="33">
        <f>_xlfn.XLOOKUP($A249,'[1]DATOS PBI Artículos'!A:A,'[1]DATOS PBI Artículos'!B:B)</f>
        <v>0</v>
      </c>
      <c r="C249" s="33">
        <f>_xlfn.XLOOKUP($A249,'[1]DATOS PBI Artículos'!A:A,'[1]DATOS PBI Artículos'!C:C)</f>
        <v>0</v>
      </c>
      <c r="D249" s="33">
        <f>_xlfn.XLOOKUP(A249,'[1]DATOS PBI Artículos'!A:A,'[1]DATOS PBI Artículos'!T:T)</f>
        <v>0</v>
      </c>
      <c r="E249" s="34">
        <f>IF(_xlfn.XLOOKUP($A249,'[1]DATOS PBI Artículos'!A:A,'[1]DATOS PBI Artículos'!AK:AK)="",_xlfn.XLOOKUP($A249,'[1]DATOS PBI Artículos'!A:A,'[1]DATOS PBI Artículos'!AJ:AJ),_xlfn.XLOOKUP($A249,'[1]DATOS PBI Artículos'!A:A,'[1]DATOS PBI Artículos'!AK:AK))</f>
        <v>0</v>
      </c>
      <c r="F249" s="35">
        <f>_xlfn.XLOOKUP($A249,'[1]DATOS PBI Artículos'!A:A,'[1]DATOS PBI Artículos'!AP:AP)</f>
        <v>0</v>
      </c>
      <c r="G249" s="34">
        <f>_xlfn.XLOOKUP($A249,'[1]DATOS PBI Artículos'!A:A,'[1]DATOS PBI Artículos'!AR:AR)</f>
        <v>0</v>
      </c>
      <c r="H249" s="34">
        <f>_xlfn.XLOOKUP($A249,'[1]DATOS PBI Artículos'!A:A,'[1]DATOS PBI Artículos'!AT:AT)</f>
        <v>0</v>
      </c>
      <c r="I249" s="34">
        <f>_xlfn.XLOOKUP($A249,'[1]DATOS PBI Artículos'!A:A,'[1]DATOS PBI Artículos'!AS:AS)</f>
        <v>0</v>
      </c>
      <c r="J249" s="35">
        <f>IF(COUNTIF([1]CRITERIOS!$F$179:$F$199,$A249)&gt;=1,
 IF(O249&lt;&gt;"",
    (O249/_xlfn.XLOOKUP(CONCATENATE(A249,L249),[1]MÁQUINAS!A:A,[1]MÁQUINAS!D:D))/24,
    (N249/_xlfn.XLOOKUP(CONCATENATE(A249,L249),[1]MÁQUINAS!A:A,[1]MÁQUINAS!D:D))/24),
  _xlfn.XLOOKUP($A249,'[1]DATOS PBI Artículos'!A:A,'[1]DATOS PBI Artículos'!AU:AU))</f>
        <v>0</v>
      </c>
      <c r="K249" s="36">
        <f>_xlfn.XLOOKUP($A249,'[1]DATOS PBI Artículos'!A:A,'[1]DATOS PBI Artículos'!AV:AV)</f>
        <v>0</v>
      </c>
      <c r="L249" s="33">
        <f>_xlfn.XLOOKUP(A249,[1]MÁQUINAS!B:B,[1]MÁQUINAS!C:C)</f>
        <v>0</v>
      </c>
      <c r="M249" s="34">
        <f t="array" ref="M249">_xlfn.XLOOKUP(A249,'[1]DATOS PBI Artículos'!A:A,'[1]DATOS PBI Artículos'!AX:$AX)</f>
        <v>0</v>
      </c>
      <c r="N249" s="37" t="e">
        <f>IF(I249="DV",
E249,
IF(COUNTIF([1]CRITERIOS!$I$179:$I$199,$A249)&gt;=1,
_xlfn.XLOOKUP($A249,[1]CRITERIOS!$I$179:$I$199,[1]CRITERIOS!$J$179:$J$199),
IF(COUNTIF([1]CRITERIOS!$L$179:$L$199,$A249)&gt;=1,
_xlfn.CEILING.MATH(IF($M249&gt;$E249,
$E249,
IF($M249&lt;$E249/ROUNDDOWN([1]CRITERIOS!$M$16/_xlfn.XLOOKUP($C249,[1]CRITERIOS!$K$25:$K$42,[1]CRITERIOS!$M$25:$M$42),
1),
E249/ROUNDDOWN([1]CRITERIOS!$M$16/_xlfn.XLOOKUP($C249,[1]CRITERIOS!$K$25:$K$42,[1]CRITERIOS!$M$25:$M$42),
1),
$M249)),
_xlfn.XLOOKUP($A249,[1]CRITERIOS!$L$179:$L$200,[1]CRITERIOS!$M$179:$M$200)),
_xlfn.CEILING.MATH(IF($M249&gt;$E249,
$E249,
IF($M249&lt;$E249/ROUNDDOWN([1]CRITERIOS!$M$16/_xlfn.XLOOKUP($C249,[1]CRITERIOS!$K$25:$K$42,[1]CRITERIOS!$M$25:$M$42),
1),
E249/ROUNDDOWN([1]CRITERIOS!$M$16/_xlfn.XLOOKUP($C249,[1]CRITERIOS!$K$25:$K$42,[1]CRITERIOS!$M$25:$M$42),
1),
$M249)),_xlfn.XLOOKUP(A249,'[1]DATOS PBI Artículos'!A:A,'[1]DATOS PBI Artículos'!Z:Z
)))))</f>
        <v>#N/A</v>
      </c>
      <c r="Q249" s="38" t="e">
        <f>IF(AND(O249="",N249=0),
0,
   IF(COUNTIF([1]CRITERIOS!$F$179:$F$199,$A249)&gt;=1,
   1,
   IF(R249="MTO",
      $D249,
      ROUNDUP(
                    IF(($E249-SUMIF('[1]DATOS PBI Artículos'!A:A,A249,'[1]DATOS PBI Artículos'!X:X)+($V249-_xlfn.XLOOKUP(A249,'[1]DATOS PBI Artículos'!A:A,'[1]DATOS PBI Artículos'!W:W)))&lt;0,
                    0,
                    IF(($E249-SUMIF('[1]DATOS PBI Artículos'!A:A,A249,'[1]DATOS PBI Artículos'!X:X)+$V249-_xlfn.XLOOKUP($A249,'[1]DATOS PBI Artículos'!A:A,'[1]DATOS PBI Artículos'!W:W))/IF($O249="",$N249,$O249)&gt;ROUNDUP([1]CRITERIOS!$M$16/(IF(COUNTIF([1]CRITERIOS!$BG$11:$BG$201,L249)&gt;=1,_xlfn.XLOOKUP($C249,[1]CRITERIOS!$K$25:$K$42,[1]CRITERIOS!$M$25:$M$42),_xlfn.XLOOKUP($C249,[1]CRITERIOS!$K$25:$K$42,[1]CRITERIOS!$M$25:$M$42))),0),
                    ROUNDUP([1]CRITERIOS!$M$16/(IF(COUNTIF([1]CRITERIOS!$BG$11:$BG$201,$L249)&gt;=1,_xlfn.XLOOKUP($C249,[1]CRITERIOS!$K$25:$K$42,[1]CRITERIOS!$M$25:$M$42),_xlfn.XLOOKUP($C249,[1]CRITERIOS!$K$25:$K$42,[1]CRITERIOS!$M$25:$M$42))),0),
                    (E249+V249-SUMIF('[1]DATOS PBI Artículos'!A:A,A249,'[1]DATOS PBI Artículos'!X:X)-_xlfn.XLOOKUP(A249,'[1]DATOS PBI Artículos'!A:A,'[1]DATOS PBI Artículos'!W:W))/IF($O249="",$N249,$O249))),0))))</f>
        <v>#N/A</v>
      </c>
      <c r="R249" s="33" t="e">
        <f>IF(U249&lt;&gt;"",U249,IF(F249="DV","MTO",IF(N249=0,"MTO",_xlfn.XLOOKUP(CONCATENATE(S249,T249),[1]CRITERIOS!$K$160:$K$168,[1]CRITERIOS!$N$160:$N$168))))</f>
        <v>#N/A</v>
      </c>
      <c r="S249" s="33" t="e">
        <f>IF(G249="DV","MTO",IF(N249=0,"MTO",IF(OR(AND(N249=0,O249=""),IF(O249="",G249/N249,G249/O249)&gt;[1]CRITERIOS!$G$163),"MTO",IF(IF(O249="",G249/N249,G249/O249)&lt;[1]CRITERIOS!$H$161,"MTS","MTOS"))))</f>
        <v>#N/A</v>
      </c>
      <c r="T249" s="33" t="e">
        <f>IF(F249="DV","MTO",IF(OR(AND($N249=0,O249=""),$F249/$J249&gt;[1]CRITERIOS!$G$170,$F249="DV"),"MTO",IF($F249/$J249&lt;[1]CRITERIOS!$H$168,"MTS","MTOS")))</f>
        <v>#N/A</v>
      </c>
      <c r="V249" s="34" t="e">
        <f t="shared" si="13"/>
        <v>#N/A</v>
      </c>
      <c r="X249" s="34" t="e">
        <f t="shared" si="11"/>
        <v>#N/A</v>
      </c>
      <c r="Y249" s="34" t="e">
        <f t="shared" si="12"/>
        <v>#N/A</v>
      </c>
      <c r="Z249" s="34" t="e">
        <f>IF($R249="MTO",
0,
($H249+$K249*($E249/[1]CRITERIOS!$M$16))/[1]CRITERIOS!$X$48)</f>
        <v>#N/A</v>
      </c>
      <c r="AA249" s="34" t="e">
        <f>ROUNDUP(($Y249/_xlfn.XLOOKUP($A249,'[1]DATOS PBI Artículos'!$A$4:$A$4,'[1]DATOS PBI Artículos'!$Z$4:$Z$4))/_xlfn.XLOOKUP(_xlfn.XLOOKUP($A249,'[1]DATOS PBI Artículos'!$A$4:$A$4,'[1]DATOS PBI Artículos'!$Y$4:$Y$4),[1]CRITERIOS!$P$79:$P$123,[1]CRITERIOS!$S$79:$S$123,),0)</f>
        <v>#N/A</v>
      </c>
      <c r="AB249" s="33" t="e">
        <f t="array" ref="AB249">IF((E249+V249-_xlfn.XLOOKUP(A249,'[1]DATOS PBI Artículos'!$A$4:$A$4,'[1]DATOS PBI Artículos'!$W$4:$W$4))/N249&gt;ROUNDUP([1]CRITERIOS!$M$16/(IF(COUNTIF([1]CRITERIOS!$BG$11:$BG$201,L249)&gt;=1,_xlfn.XLOOKUP(ARTÍCULOS!L249,[1]CRITERIOS!$BG$11:$BG$201,[1]CRITERIOS!$BJ$11:$BJ$201),_xlfn.XLOOKUP(ARTÍCULOS!C249,[1]CRITERIOS!$K$25:$K$42,[1]CRITERIOS!$M$25:$M$42))),0),ROUNDUP([1]CRITERIOS!$M$16/(IF(COUNTIF([1]CRITERIOS!$BG$11:$BG$201,L249)&gt;=1,_xlfn.XLOOKUP(ARTÍCULOS!L249,[1]CRITERIOS!$BG$11:$BG$201:#REF!,[1]CRITERIOS!$BJ$11:$BJ$201),_xlfn.XLOOKUP(ARTÍCULOS!C249,[1]CRITERIOS!$K$25:$K$42,[1]CRITERIOS!$M$25:$M$42))),0),(E249+V249-_xlfn.XLOOKUP(A249,'[1]DATOS PBI Artículos'!$A$4:$A$4,'[1]DATOS PBI Artículos'!$W$4:$W$4))/N249)</f>
        <v>#N/A</v>
      </c>
      <c r="AC249" s="33" t="e">
        <f>IF(N249=0,"",(ROUNDUP((N249/2)/(_xlfn.XLOOKUP(A249,'[1]DATOS PBI Artículos'!$A$4:$A$4,'[1]DATOS PBI Artículos'!$Z$4:$Z$4)*_xlfn.XLOOKUP(_xlfn.XLOOKUP(A249,'[1]DATOS PBI Artículos'!$A$4:$A$4,'[1]DATOS PBI Artículos'!$Y$4:$Y$4),[1]CRITERIOS!$P$79:$P$123,[1]CRITERIOS!$S$79:$S$123)),0)*[1]CRITERIOS!$M$80*([1]CRITERIOS!$M$110/[1]CRITERIOS!$M$86)+(_xlfn.XLOOKUP(A249,'[1]DATOS PBI Artículos'!$A$4:$A$4,'[1]DATOS PBI Artículos'!$AA$4:$AA$4)*([1]CRITERIOS!$M$95+[1]CRITERIOS!$M$98)))/N249)</f>
        <v>#N/A</v>
      </c>
      <c r="AD249" s="33" t="e">
        <f>IF(N249=0,"",(ROUNDUP((N249/2)/(_xlfn.XLOOKUP(A249,'[1]DATOS PBI Artículos'!$A$4:$A$4,'[1]DATOS PBI Artículos'!$Z$4:$Z$4)*_xlfn.XLOOKUP(_xlfn.XLOOKUP(A249,'[1]DATOS PBI Artículos'!$A$4:$A$4,'[1]DATOS PBI Artículos'!$Y$4:$Y$4),[1]CRITERIOS!$P$79:$P$123,[1]CRITERIOS!$S$79:$S$123)),0)*[1]CRITERIOS!$M$80*([1]CRITERIOS!$M$89*[1]CRITERIOS!$M$92)+((_xlfn.XLOOKUP(A249,'[1]DATOS PBI Artículos'!$A$4:$A$4,'[1]DATOS PBI Artículos'!$AA$4:$AA$4)/2)*([1]CRITERIOS!$M$95+[1]CRITERIOS!$M$98)))/N249)</f>
        <v>#N/A</v>
      </c>
      <c r="AE249" s="39" t="e">
        <f>IF($R249="MTO","",
IF($H249=0,ROUNDUP(((_xlfn.XLOOKUP($A249,'[1]DATOS PBI Artículos'!$A:$A,'[1]DATOS PBI Artículos'!$AL:$AL))/(_xlfn.XLOOKUP($AF$1,[1]CRITERIOS!$S$16:$S$39,[1]CRITERIOS!$Y$16:$Y$39))*$J249+$Z249)/$G249,0)*$G249,
((_xlfn.XLOOKUP($A249,'[1]DATOS PBI Artículos'!$A:$A,'[1]DATOS PBI Artículos'!$AL:$AL))/(_xlfn.XLOOKUP($AF$1,[1]CRITERIOS!$S$16:$S$39,[1]CRITERIOS!$Y$16:$Y$39))*$J249+$Z249)))</f>
        <v>#N/A</v>
      </c>
      <c r="AG249" s="39" t="e">
        <f>IF($R249="MTO","",
IF($H249=0,ROUNDUP(((_xlfn.XLOOKUP($A249,'[1]DATOS PBI Artículos'!$A:$A,'[1]DATOS PBI Artículos'!$AM:$AM))/(_xlfn.XLOOKUP($AH$1,[1]CRITERIOS!$S$16:$S$39,[1]CRITERIOS!$Y$16:$Y$39))*$J249+$Z249)/$G249,0)*$G249,
((_xlfn.XLOOKUP($A249,'[1]DATOS PBI Artículos'!$A:$A,'[1]DATOS PBI Artículos'!$AM:$AM))/(_xlfn.XLOOKUP($AH$1,[1]CRITERIOS!$S$16:$S$39,[1]CRITERIOS!$Y$16:$Y$39))*$J249+$Z249)))</f>
        <v>#N/A</v>
      </c>
      <c r="AI249" s="39" t="e">
        <f>IF($R249="MTO","",
IF($H249=0,ROUNDUP(((_xlfn.XLOOKUP($A249,'[1]DATOS PBI Artículos'!$A:$A,'[1]DATOS PBI Artículos'!$AN:$AN))/(_xlfn.XLOOKUP($AJ$1,[1]CRITERIOS!$S$16:$S$39,[1]CRITERIOS!$Y$16:$Y$39))*$J249+$Z249)/$G249,0)*$G249,
((_xlfn.XLOOKUP($A249,'[1]DATOS PBI Artículos'!$A:$A,'[1]DATOS PBI Artículos'!$AN:$AN))/(_xlfn.XLOOKUP($AJ$1,[1]CRITERIOS!$S$16:$S$39,[1]CRITERIOS!$Y$16:$Y$39))*$J249+$Z249)))</f>
        <v>#N/A</v>
      </c>
      <c r="AK249" s="39" t="e">
        <f>IF($R249="MTO","",
IF($H249=0,ROUNDUP(((_xlfn.XLOOKUP($A249,'[1]DATOS PBI Artículos'!$A:$A,'[1]DATOS PBI Artículos'!$AO:$AO))/(_xlfn.XLOOKUP($AL$1,[1]CRITERIOS!$S$16:$S$39,[1]CRITERIOS!$Y$16:$Y$39))*$J249+$Z249)/$G249,0)*$G249,
((_xlfn.XLOOKUP($A249,'[1]DATOS PBI Artículos'!$A:$A,'[1]DATOS PBI Artículos'!$AO:$AO))/(_xlfn.XLOOKUP($AL$1,[1]CRITERIOS!$S$16:$S$39,[1]CRITERIOS!$Y$16:$Y$39))*$J249+$Z249)))</f>
        <v>#N/A</v>
      </c>
    </row>
    <row r="250" spans="1:37" ht="25.8" hidden="1" x14ac:dyDescent="0.4">
      <c r="A250" s="41"/>
      <c r="B250" s="33">
        <f>_xlfn.XLOOKUP($A250,'[1]DATOS PBI Artículos'!A:A,'[1]DATOS PBI Artículos'!B:B)</f>
        <v>0</v>
      </c>
      <c r="C250" s="33">
        <f>_xlfn.XLOOKUP($A250,'[1]DATOS PBI Artículos'!A:A,'[1]DATOS PBI Artículos'!C:C)</f>
        <v>0</v>
      </c>
      <c r="D250" s="33">
        <f>_xlfn.XLOOKUP(A250,'[1]DATOS PBI Artículos'!A:A,'[1]DATOS PBI Artículos'!T:T)</f>
        <v>0</v>
      </c>
      <c r="E250" s="34">
        <f>IF(_xlfn.XLOOKUP($A250,'[1]DATOS PBI Artículos'!A:A,'[1]DATOS PBI Artículos'!AK:AK)="",_xlfn.XLOOKUP($A250,'[1]DATOS PBI Artículos'!A:A,'[1]DATOS PBI Artículos'!AJ:AJ),_xlfn.XLOOKUP($A250,'[1]DATOS PBI Artículos'!A:A,'[1]DATOS PBI Artículos'!AK:AK))</f>
        <v>0</v>
      </c>
      <c r="F250" s="35">
        <f>_xlfn.XLOOKUP($A250,'[1]DATOS PBI Artículos'!A:A,'[1]DATOS PBI Artículos'!AP:AP)</f>
        <v>0</v>
      </c>
      <c r="G250" s="34">
        <f>_xlfn.XLOOKUP($A250,'[1]DATOS PBI Artículos'!A:A,'[1]DATOS PBI Artículos'!AR:AR)</f>
        <v>0</v>
      </c>
      <c r="H250" s="34">
        <f>_xlfn.XLOOKUP($A250,'[1]DATOS PBI Artículos'!A:A,'[1]DATOS PBI Artículos'!AT:AT)</f>
        <v>0</v>
      </c>
      <c r="I250" s="34">
        <f>_xlfn.XLOOKUP($A250,'[1]DATOS PBI Artículos'!A:A,'[1]DATOS PBI Artículos'!AS:AS)</f>
        <v>0</v>
      </c>
      <c r="J250" s="35">
        <f>IF(COUNTIF([1]CRITERIOS!$F$179:$F$199,$A250)&gt;=1,
 IF(O250&lt;&gt;"",
    (O250/_xlfn.XLOOKUP(CONCATENATE(A250,L250),[1]MÁQUINAS!A:A,[1]MÁQUINAS!D:D))/24,
    (N250/_xlfn.XLOOKUP(CONCATENATE(A250,L250),[1]MÁQUINAS!A:A,[1]MÁQUINAS!D:D))/24),
  _xlfn.XLOOKUP($A250,'[1]DATOS PBI Artículos'!A:A,'[1]DATOS PBI Artículos'!AU:AU))</f>
        <v>0</v>
      </c>
      <c r="K250" s="36">
        <f>_xlfn.XLOOKUP($A250,'[1]DATOS PBI Artículos'!A:A,'[1]DATOS PBI Artículos'!AV:AV)</f>
        <v>0</v>
      </c>
      <c r="L250" s="33">
        <f>_xlfn.XLOOKUP(A250,[1]MÁQUINAS!B:B,[1]MÁQUINAS!C:C)</f>
        <v>0</v>
      </c>
      <c r="M250" s="34">
        <f t="array" ref="M250">_xlfn.XLOOKUP(A250,'[1]DATOS PBI Artículos'!A:A,'[1]DATOS PBI Artículos'!AX:$AX)</f>
        <v>0</v>
      </c>
      <c r="N250" s="37" t="e">
        <f>IF(I250="DV",
E250,
IF(COUNTIF([1]CRITERIOS!$I$179:$I$199,$A250)&gt;=1,
_xlfn.XLOOKUP($A250,[1]CRITERIOS!$I$179:$I$199,[1]CRITERIOS!$J$179:$J$199),
IF(COUNTIF([1]CRITERIOS!$L$179:$L$199,$A250)&gt;=1,
_xlfn.CEILING.MATH(IF($M250&gt;$E250,
$E250,
IF($M250&lt;$E250/ROUNDDOWN([1]CRITERIOS!$M$16/_xlfn.XLOOKUP($C250,[1]CRITERIOS!$K$25:$K$42,[1]CRITERIOS!$M$25:$M$42),
1),
E250/ROUNDDOWN([1]CRITERIOS!$M$16/_xlfn.XLOOKUP($C250,[1]CRITERIOS!$K$25:$K$42,[1]CRITERIOS!$M$25:$M$42),
1),
$M250)),
_xlfn.XLOOKUP($A250,[1]CRITERIOS!$L$179:$L$200,[1]CRITERIOS!$M$179:$M$200)),
_xlfn.CEILING.MATH(IF($M250&gt;$E250,
$E250,
IF($M250&lt;$E250/ROUNDDOWN([1]CRITERIOS!$M$16/_xlfn.XLOOKUP($C250,[1]CRITERIOS!$K$25:$K$42,[1]CRITERIOS!$M$25:$M$42),
1),
E250/ROUNDDOWN([1]CRITERIOS!$M$16/_xlfn.XLOOKUP($C250,[1]CRITERIOS!$K$25:$K$42,[1]CRITERIOS!$M$25:$M$42),
1),
$M250)),_xlfn.XLOOKUP(A250,'[1]DATOS PBI Artículos'!A:A,'[1]DATOS PBI Artículos'!Z:Z
)))))</f>
        <v>#N/A</v>
      </c>
      <c r="Q250" s="38" t="e">
        <f>IF(AND(O250="",N250=0),
0,
   IF(COUNTIF([1]CRITERIOS!$F$179:$F$199,$A250)&gt;=1,
   1,
   IF(R250="MTO",
      $D250,
      ROUNDUP(
                    IF(($E250-SUMIF('[1]DATOS PBI Artículos'!A:A,A250,'[1]DATOS PBI Artículos'!X:X)+($V250-_xlfn.XLOOKUP(A250,'[1]DATOS PBI Artículos'!A:A,'[1]DATOS PBI Artículos'!W:W)))&lt;0,
                    0,
                    IF(($E250-SUMIF('[1]DATOS PBI Artículos'!A:A,A250,'[1]DATOS PBI Artículos'!X:X)+$V250-_xlfn.XLOOKUP($A250,'[1]DATOS PBI Artículos'!A:A,'[1]DATOS PBI Artículos'!W:W))/IF($O250="",$N250,$O250)&gt;ROUNDUP([1]CRITERIOS!$M$16/(IF(COUNTIF([1]CRITERIOS!$BG$11:$BG$201,L250)&gt;=1,_xlfn.XLOOKUP($C250,[1]CRITERIOS!$K$25:$K$42,[1]CRITERIOS!$M$25:$M$42),_xlfn.XLOOKUP($C250,[1]CRITERIOS!$K$25:$K$42,[1]CRITERIOS!$M$25:$M$42))),0),
                    ROUNDUP([1]CRITERIOS!$M$16/(IF(COUNTIF([1]CRITERIOS!$BG$11:$BG$201,$L250)&gt;=1,_xlfn.XLOOKUP($C250,[1]CRITERIOS!$K$25:$K$42,[1]CRITERIOS!$M$25:$M$42),_xlfn.XLOOKUP($C250,[1]CRITERIOS!$K$25:$K$42,[1]CRITERIOS!$M$25:$M$42))),0),
                    (E250+V250-SUMIF('[1]DATOS PBI Artículos'!A:A,A250,'[1]DATOS PBI Artículos'!X:X)-_xlfn.XLOOKUP(A250,'[1]DATOS PBI Artículos'!A:A,'[1]DATOS PBI Artículos'!W:W))/IF($O250="",$N250,$O250))),0))))</f>
        <v>#N/A</v>
      </c>
      <c r="R250" s="33" t="e">
        <f>IF(U250&lt;&gt;"",U250,IF(F250="DV","MTO",IF(N250=0,"MTO",_xlfn.XLOOKUP(CONCATENATE(S250,T250),[1]CRITERIOS!$K$160:$K$168,[1]CRITERIOS!$N$160:$N$168))))</f>
        <v>#N/A</v>
      </c>
      <c r="S250" s="33" t="e">
        <f>IF(G250="DV","MTO",IF(N250=0,"MTO",IF(OR(AND(N250=0,O250=""),IF(O250="",G250/N250,G250/O250)&gt;[1]CRITERIOS!$G$163),"MTO",IF(IF(O250="",G250/N250,G250/O250)&lt;[1]CRITERIOS!$H$161,"MTS","MTOS"))))</f>
        <v>#N/A</v>
      </c>
      <c r="T250" s="33" t="e">
        <f>IF(F250="DV","MTO",IF(OR(AND($N250=0,O250=""),$F250/$J250&gt;[1]CRITERIOS!$G$170,$F250="DV"),"MTO",IF($F250/$J250&lt;[1]CRITERIOS!$H$168,"MTS","MTOS")))</f>
        <v>#N/A</v>
      </c>
      <c r="V250" s="34" t="e">
        <f t="shared" si="13"/>
        <v>#N/A</v>
      </c>
      <c r="X250" s="34" t="e">
        <f t="shared" si="11"/>
        <v>#N/A</v>
      </c>
      <c r="Y250" s="34" t="e">
        <f t="shared" si="12"/>
        <v>#N/A</v>
      </c>
      <c r="Z250" s="34" t="e">
        <f>IF($R250="MTO",
0,
($H250+$K250*($E250/[1]CRITERIOS!$M$16))/[1]CRITERIOS!$X$48)</f>
        <v>#N/A</v>
      </c>
      <c r="AA250" s="34" t="e">
        <f>ROUNDUP(($Y250/_xlfn.XLOOKUP($A250,'[1]DATOS PBI Artículos'!$A$4:$A$4,'[1]DATOS PBI Artículos'!$Z$4:$Z$4))/_xlfn.XLOOKUP(_xlfn.XLOOKUP($A250,'[1]DATOS PBI Artículos'!$A$4:$A$4,'[1]DATOS PBI Artículos'!$Y$4:$Y$4),[1]CRITERIOS!$P$79:$P$123,[1]CRITERIOS!$S$79:$S$123,),0)</f>
        <v>#N/A</v>
      </c>
      <c r="AB250" s="33" t="e">
        <f t="array" ref="AB250">IF((E250+V250-_xlfn.XLOOKUP(A250,'[1]DATOS PBI Artículos'!$A$4:$A$4,'[1]DATOS PBI Artículos'!$W$4:$W$4))/N250&gt;ROUNDUP([1]CRITERIOS!$M$16/(IF(COUNTIF([1]CRITERIOS!$BG$11:$BG$201,L250)&gt;=1,_xlfn.XLOOKUP(ARTÍCULOS!L250,[1]CRITERIOS!$BG$11:$BG$201,[1]CRITERIOS!$BJ$11:$BJ$201),_xlfn.XLOOKUP(ARTÍCULOS!C250,[1]CRITERIOS!$K$25:$K$42,[1]CRITERIOS!$M$25:$M$42))),0),ROUNDUP([1]CRITERIOS!$M$16/(IF(COUNTIF([1]CRITERIOS!$BG$11:$BG$201,L250)&gt;=1,_xlfn.XLOOKUP(ARTÍCULOS!L250,[1]CRITERIOS!$BG$11:$BG$201:#REF!,[1]CRITERIOS!$BJ$11:$BJ$201),_xlfn.XLOOKUP(ARTÍCULOS!C250,[1]CRITERIOS!$K$25:$K$42,[1]CRITERIOS!$M$25:$M$42))),0),(E250+V250-_xlfn.XLOOKUP(A250,'[1]DATOS PBI Artículos'!$A$4:$A$4,'[1]DATOS PBI Artículos'!$W$4:$W$4))/N250)</f>
        <v>#N/A</v>
      </c>
      <c r="AC250" s="33" t="e">
        <f>IF(N250=0,"",(ROUNDUP((N250/2)/(_xlfn.XLOOKUP(A250,'[1]DATOS PBI Artículos'!$A$4:$A$4,'[1]DATOS PBI Artículos'!$Z$4:$Z$4)*_xlfn.XLOOKUP(_xlfn.XLOOKUP(A250,'[1]DATOS PBI Artículos'!$A$4:$A$4,'[1]DATOS PBI Artículos'!$Y$4:$Y$4),[1]CRITERIOS!$P$79:$P$123,[1]CRITERIOS!$S$79:$S$123)),0)*[1]CRITERIOS!$M$80*([1]CRITERIOS!$M$110/[1]CRITERIOS!$M$86)+(_xlfn.XLOOKUP(A250,'[1]DATOS PBI Artículos'!$A$4:$A$4,'[1]DATOS PBI Artículos'!$AA$4:$AA$4)*([1]CRITERIOS!$M$95+[1]CRITERIOS!$M$98)))/N250)</f>
        <v>#N/A</v>
      </c>
      <c r="AD250" s="33" t="e">
        <f>IF(N250=0,"",(ROUNDUP((N250/2)/(_xlfn.XLOOKUP(A250,'[1]DATOS PBI Artículos'!$A$4:$A$4,'[1]DATOS PBI Artículos'!$Z$4:$Z$4)*_xlfn.XLOOKUP(_xlfn.XLOOKUP(A250,'[1]DATOS PBI Artículos'!$A$4:$A$4,'[1]DATOS PBI Artículos'!$Y$4:$Y$4),[1]CRITERIOS!$P$79:$P$123,[1]CRITERIOS!$S$79:$S$123)),0)*[1]CRITERIOS!$M$80*([1]CRITERIOS!$M$89*[1]CRITERIOS!$M$92)+((_xlfn.XLOOKUP(A250,'[1]DATOS PBI Artículos'!$A$4:$A$4,'[1]DATOS PBI Artículos'!$AA$4:$AA$4)/2)*([1]CRITERIOS!$M$95+[1]CRITERIOS!$M$98)))/N250)</f>
        <v>#N/A</v>
      </c>
      <c r="AE250" s="39" t="e">
        <f>IF($R250="MTO","",
IF($H250=0,ROUNDUP(((_xlfn.XLOOKUP($A250,'[1]DATOS PBI Artículos'!$A:$A,'[1]DATOS PBI Artículos'!$AL:$AL))/(_xlfn.XLOOKUP($AF$1,[1]CRITERIOS!$S$16:$S$39,[1]CRITERIOS!$Y$16:$Y$39))*$J250+$Z250)/$G250,0)*$G250,
((_xlfn.XLOOKUP($A250,'[1]DATOS PBI Artículos'!$A:$A,'[1]DATOS PBI Artículos'!$AL:$AL))/(_xlfn.XLOOKUP($AF$1,[1]CRITERIOS!$S$16:$S$39,[1]CRITERIOS!$Y$16:$Y$39))*$J250+$Z250)))</f>
        <v>#N/A</v>
      </c>
      <c r="AG250" s="39" t="e">
        <f>IF($R250="MTO","",
IF($H250=0,ROUNDUP(((_xlfn.XLOOKUP($A250,'[1]DATOS PBI Artículos'!$A:$A,'[1]DATOS PBI Artículos'!$AM:$AM))/(_xlfn.XLOOKUP($AH$1,[1]CRITERIOS!$S$16:$S$39,[1]CRITERIOS!$Y$16:$Y$39))*$J250+$Z250)/$G250,0)*$G250,
((_xlfn.XLOOKUP($A250,'[1]DATOS PBI Artículos'!$A:$A,'[1]DATOS PBI Artículos'!$AM:$AM))/(_xlfn.XLOOKUP($AH$1,[1]CRITERIOS!$S$16:$S$39,[1]CRITERIOS!$Y$16:$Y$39))*$J250+$Z250)))</f>
        <v>#N/A</v>
      </c>
      <c r="AI250" s="39" t="e">
        <f>IF($R250="MTO","",
IF($H250=0,ROUNDUP(((_xlfn.XLOOKUP($A250,'[1]DATOS PBI Artículos'!$A:$A,'[1]DATOS PBI Artículos'!$AN:$AN))/(_xlfn.XLOOKUP($AJ$1,[1]CRITERIOS!$S$16:$S$39,[1]CRITERIOS!$Y$16:$Y$39))*$J250+$Z250)/$G250,0)*$G250,
((_xlfn.XLOOKUP($A250,'[1]DATOS PBI Artículos'!$A:$A,'[1]DATOS PBI Artículos'!$AN:$AN))/(_xlfn.XLOOKUP($AJ$1,[1]CRITERIOS!$S$16:$S$39,[1]CRITERIOS!$Y$16:$Y$39))*$J250+$Z250)))</f>
        <v>#N/A</v>
      </c>
      <c r="AK250" s="39" t="e">
        <f>IF($R250="MTO","",
IF($H250=0,ROUNDUP(((_xlfn.XLOOKUP($A250,'[1]DATOS PBI Artículos'!$A:$A,'[1]DATOS PBI Artículos'!$AO:$AO))/(_xlfn.XLOOKUP($AL$1,[1]CRITERIOS!$S$16:$S$39,[1]CRITERIOS!$Y$16:$Y$39))*$J250+$Z250)/$G250,0)*$G250,
((_xlfn.XLOOKUP($A250,'[1]DATOS PBI Artículos'!$A:$A,'[1]DATOS PBI Artículos'!$AO:$AO))/(_xlfn.XLOOKUP($AL$1,[1]CRITERIOS!$S$16:$S$39,[1]CRITERIOS!$Y$16:$Y$39))*$J250+$Z250)))</f>
        <v>#N/A</v>
      </c>
    </row>
    <row r="251" spans="1:37" ht="25.8" hidden="1" x14ac:dyDescent="0.4">
      <c r="A251" s="41"/>
      <c r="B251" s="33">
        <f>_xlfn.XLOOKUP($A251,'[1]DATOS PBI Artículos'!A:A,'[1]DATOS PBI Artículos'!B:B)</f>
        <v>0</v>
      </c>
      <c r="C251" s="33">
        <f>_xlfn.XLOOKUP($A251,'[1]DATOS PBI Artículos'!A:A,'[1]DATOS PBI Artículos'!C:C)</f>
        <v>0</v>
      </c>
      <c r="D251" s="33">
        <f>_xlfn.XLOOKUP(A251,'[1]DATOS PBI Artículos'!A:A,'[1]DATOS PBI Artículos'!T:T)</f>
        <v>0</v>
      </c>
      <c r="E251" s="34">
        <f>IF(_xlfn.XLOOKUP($A251,'[1]DATOS PBI Artículos'!A:A,'[1]DATOS PBI Artículos'!AK:AK)="",_xlfn.XLOOKUP($A251,'[1]DATOS PBI Artículos'!A:A,'[1]DATOS PBI Artículos'!AJ:AJ),_xlfn.XLOOKUP($A251,'[1]DATOS PBI Artículos'!A:A,'[1]DATOS PBI Artículos'!AK:AK))</f>
        <v>0</v>
      </c>
      <c r="F251" s="35">
        <f>_xlfn.XLOOKUP($A251,'[1]DATOS PBI Artículos'!A:A,'[1]DATOS PBI Artículos'!AP:AP)</f>
        <v>0</v>
      </c>
      <c r="G251" s="34">
        <f>_xlfn.XLOOKUP($A251,'[1]DATOS PBI Artículos'!A:A,'[1]DATOS PBI Artículos'!AR:AR)</f>
        <v>0</v>
      </c>
      <c r="H251" s="34">
        <f>_xlfn.XLOOKUP($A251,'[1]DATOS PBI Artículos'!A:A,'[1]DATOS PBI Artículos'!AT:AT)</f>
        <v>0</v>
      </c>
      <c r="I251" s="34">
        <f>_xlfn.XLOOKUP($A251,'[1]DATOS PBI Artículos'!A:A,'[1]DATOS PBI Artículos'!AS:AS)</f>
        <v>0</v>
      </c>
      <c r="J251" s="35">
        <f>IF(COUNTIF([1]CRITERIOS!$F$179:$F$199,$A251)&gt;=1,
 IF(O251&lt;&gt;"",
    (O251/_xlfn.XLOOKUP(CONCATENATE(A251,L251),[1]MÁQUINAS!A:A,[1]MÁQUINAS!D:D))/24,
    (N251/_xlfn.XLOOKUP(CONCATENATE(A251,L251),[1]MÁQUINAS!A:A,[1]MÁQUINAS!D:D))/24),
  _xlfn.XLOOKUP($A251,'[1]DATOS PBI Artículos'!A:A,'[1]DATOS PBI Artículos'!AU:AU))</f>
        <v>0</v>
      </c>
      <c r="K251" s="36">
        <f>_xlfn.XLOOKUP($A251,'[1]DATOS PBI Artículos'!A:A,'[1]DATOS PBI Artículos'!AV:AV)</f>
        <v>0</v>
      </c>
      <c r="L251" s="33">
        <f>_xlfn.XLOOKUP(A251,[1]MÁQUINAS!B:B,[1]MÁQUINAS!C:C)</f>
        <v>0</v>
      </c>
      <c r="M251" s="34">
        <f t="array" ref="M251">_xlfn.XLOOKUP(A251,'[1]DATOS PBI Artículos'!A:A,'[1]DATOS PBI Artículos'!AX:$AX)</f>
        <v>0</v>
      </c>
      <c r="N251" s="37" t="e">
        <f>IF(I251="DV",
E251,
IF(COUNTIF([1]CRITERIOS!$I$179:$I$199,$A251)&gt;=1,
_xlfn.XLOOKUP($A251,[1]CRITERIOS!$I$179:$I$199,[1]CRITERIOS!$J$179:$J$199),
IF(COUNTIF([1]CRITERIOS!$L$179:$L$199,$A251)&gt;=1,
_xlfn.CEILING.MATH(IF($M251&gt;$E251,
$E251,
IF($M251&lt;$E251/ROUNDDOWN([1]CRITERIOS!$M$16/_xlfn.XLOOKUP($C251,[1]CRITERIOS!$K$25:$K$42,[1]CRITERIOS!$M$25:$M$42),
1),
E251/ROUNDDOWN([1]CRITERIOS!$M$16/_xlfn.XLOOKUP($C251,[1]CRITERIOS!$K$25:$K$42,[1]CRITERIOS!$M$25:$M$42),
1),
$M251)),
_xlfn.XLOOKUP($A251,[1]CRITERIOS!$L$179:$L$200,[1]CRITERIOS!$M$179:$M$200)),
_xlfn.CEILING.MATH(IF($M251&gt;$E251,
$E251,
IF($M251&lt;$E251/ROUNDDOWN([1]CRITERIOS!$M$16/_xlfn.XLOOKUP($C251,[1]CRITERIOS!$K$25:$K$42,[1]CRITERIOS!$M$25:$M$42),
1),
E251/ROUNDDOWN([1]CRITERIOS!$M$16/_xlfn.XLOOKUP($C251,[1]CRITERIOS!$K$25:$K$42,[1]CRITERIOS!$M$25:$M$42),
1),
$M251)),_xlfn.XLOOKUP(A251,'[1]DATOS PBI Artículos'!A:A,'[1]DATOS PBI Artículos'!Z:Z
)))))</f>
        <v>#N/A</v>
      </c>
      <c r="Q251" s="38" t="e">
        <f>IF(AND(O251="",N251=0),
0,
   IF(COUNTIF([1]CRITERIOS!$F$179:$F$199,$A251)&gt;=1,
   1,
   IF(R251="MTO",
      $D251,
      ROUNDUP(
                    IF(($E251-SUMIF('[1]DATOS PBI Artículos'!A:A,A251,'[1]DATOS PBI Artículos'!X:X)+($V251-_xlfn.XLOOKUP(A251,'[1]DATOS PBI Artículos'!A:A,'[1]DATOS PBI Artículos'!W:W)))&lt;0,
                    0,
                    IF(($E251-SUMIF('[1]DATOS PBI Artículos'!A:A,A251,'[1]DATOS PBI Artículos'!X:X)+$V251-_xlfn.XLOOKUP($A251,'[1]DATOS PBI Artículos'!A:A,'[1]DATOS PBI Artículos'!W:W))/IF($O251="",$N251,$O251)&gt;ROUNDUP([1]CRITERIOS!$M$16/(IF(COUNTIF([1]CRITERIOS!$BG$11:$BG$201,L251)&gt;=1,_xlfn.XLOOKUP($C251,[1]CRITERIOS!$K$25:$K$42,[1]CRITERIOS!$M$25:$M$42),_xlfn.XLOOKUP($C251,[1]CRITERIOS!$K$25:$K$42,[1]CRITERIOS!$M$25:$M$42))),0),
                    ROUNDUP([1]CRITERIOS!$M$16/(IF(COUNTIF([1]CRITERIOS!$BG$11:$BG$201,$L251)&gt;=1,_xlfn.XLOOKUP($C251,[1]CRITERIOS!$K$25:$K$42,[1]CRITERIOS!$M$25:$M$42),_xlfn.XLOOKUP($C251,[1]CRITERIOS!$K$25:$K$42,[1]CRITERIOS!$M$25:$M$42))),0),
                    (E251+V251-SUMIF('[1]DATOS PBI Artículos'!A:A,A251,'[1]DATOS PBI Artículos'!X:X)-_xlfn.XLOOKUP(A251,'[1]DATOS PBI Artículos'!A:A,'[1]DATOS PBI Artículos'!W:W))/IF($O251="",$N251,$O251))),0))))</f>
        <v>#N/A</v>
      </c>
      <c r="R251" s="33" t="e">
        <f>IF(U251&lt;&gt;"",U251,IF(F251="DV","MTO",IF(N251=0,"MTO",_xlfn.XLOOKUP(CONCATENATE(S251,T251),[1]CRITERIOS!$K$160:$K$168,[1]CRITERIOS!$N$160:$N$168))))</f>
        <v>#N/A</v>
      </c>
      <c r="S251" s="33" t="e">
        <f>IF(G251="DV","MTO",IF(N251=0,"MTO",IF(OR(AND(N251=0,O251=""),IF(O251="",G251/N251,G251/O251)&gt;[1]CRITERIOS!$G$163),"MTO",IF(IF(O251="",G251/N251,G251/O251)&lt;[1]CRITERIOS!$H$161,"MTS","MTOS"))))</f>
        <v>#N/A</v>
      </c>
      <c r="T251" s="33" t="e">
        <f>IF(F251="DV","MTO",IF(OR(AND($N251=0,O251=""),$F251/$J251&gt;[1]CRITERIOS!$G$170,$F251="DV"),"MTO",IF($F251/$J251&lt;[1]CRITERIOS!$H$168,"MTS","MTOS")))</f>
        <v>#N/A</v>
      </c>
      <c r="V251" s="34" t="e">
        <f t="shared" si="13"/>
        <v>#N/A</v>
      </c>
      <c r="X251" s="34" t="e">
        <f t="shared" si="11"/>
        <v>#N/A</v>
      </c>
      <c r="Y251" s="34" t="e">
        <f t="shared" si="12"/>
        <v>#N/A</v>
      </c>
      <c r="Z251" s="34" t="e">
        <f>IF($R251="MTO",
0,
($H251+$K251*($E251/[1]CRITERIOS!$M$16))/[1]CRITERIOS!$X$48)</f>
        <v>#N/A</v>
      </c>
      <c r="AA251" s="34" t="e">
        <f>ROUNDUP(($Y251/_xlfn.XLOOKUP($A251,'[1]DATOS PBI Artículos'!$A$4:$A$4,'[1]DATOS PBI Artículos'!$Z$4:$Z$4))/_xlfn.XLOOKUP(_xlfn.XLOOKUP($A251,'[1]DATOS PBI Artículos'!$A$4:$A$4,'[1]DATOS PBI Artículos'!$Y$4:$Y$4),[1]CRITERIOS!$P$79:$P$123,[1]CRITERIOS!$S$79:$S$123,),0)</f>
        <v>#N/A</v>
      </c>
      <c r="AB251" s="33" t="e">
        <f t="array" ref="AB251">IF((E251+V251-_xlfn.XLOOKUP(A251,'[1]DATOS PBI Artículos'!$A$4:$A$4,'[1]DATOS PBI Artículos'!$W$4:$W$4))/N251&gt;ROUNDUP([1]CRITERIOS!$M$16/(IF(COUNTIF([1]CRITERIOS!$BG$11:$BG$201,L251)&gt;=1,_xlfn.XLOOKUP(ARTÍCULOS!L251,[1]CRITERIOS!$BG$11:$BG$201,[1]CRITERIOS!$BJ$11:$BJ$201),_xlfn.XLOOKUP(ARTÍCULOS!C251,[1]CRITERIOS!$K$25:$K$42,[1]CRITERIOS!$M$25:$M$42))),0),ROUNDUP([1]CRITERIOS!$M$16/(IF(COUNTIF([1]CRITERIOS!$BG$11:$BG$201,L251)&gt;=1,_xlfn.XLOOKUP(ARTÍCULOS!L251,[1]CRITERIOS!$BG$11:$BG$201:#REF!,[1]CRITERIOS!$BJ$11:$BJ$201),_xlfn.XLOOKUP(ARTÍCULOS!C251,[1]CRITERIOS!$K$25:$K$42,[1]CRITERIOS!$M$25:$M$42))),0),(E251+V251-_xlfn.XLOOKUP(A251,'[1]DATOS PBI Artículos'!$A$4:$A$4,'[1]DATOS PBI Artículos'!$W$4:$W$4))/N251)</f>
        <v>#N/A</v>
      </c>
      <c r="AC251" s="33" t="e">
        <f>IF(N251=0,"",(ROUNDUP((N251/2)/(_xlfn.XLOOKUP(A251,'[1]DATOS PBI Artículos'!$A$4:$A$4,'[1]DATOS PBI Artículos'!$Z$4:$Z$4)*_xlfn.XLOOKUP(_xlfn.XLOOKUP(A251,'[1]DATOS PBI Artículos'!$A$4:$A$4,'[1]DATOS PBI Artículos'!$Y$4:$Y$4),[1]CRITERIOS!$P$79:$P$123,[1]CRITERIOS!$S$79:$S$123)),0)*[1]CRITERIOS!$M$80*([1]CRITERIOS!$M$110/[1]CRITERIOS!$M$86)+(_xlfn.XLOOKUP(A251,'[1]DATOS PBI Artículos'!$A$4:$A$4,'[1]DATOS PBI Artículos'!$AA$4:$AA$4)*([1]CRITERIOS!$M$95+[1]CRITERIOS!$M$98)))/N251)</f>
        <v>#N/A</v>
      </c>
      <c r="AD251" s="33" t="e">
        <f>IF(N251=0,"",(ROUNDUP((N251/2)/(_xlfn.XLOOKUP(A251,'[1]DATOS PBI Artículos'!$A$4:$A$4,'[1]DATOS PBI Artículos'!$Z$4:$Z$4)*_xlfn.XLOOKUP(_xlfn.XLOOKUP(A251,'[1]DATOS PBI Artículos'!$A$4:$A$4,'[1]DATOS PBI Artículos'!$Y$4:$Y$4),[1]CRITERIOS!$P$79:$P$123,[1]CRITERIOS!$S$79:$S$123)),0)*[1]CRITERIOS!$M$80*([1]CRITERIOS!$M$89*[1]CRITERIOS!$M$92)+((_xlfn.XLOOKUP(A251,'[1]DATOS PBI Artículos'!$A$4:$A$4,'[1]DATOS PBI Artículos'!$AA$4:$AA$4)/2)*([1]CRITERIOS!$M$95+[1]CRITERIOS!$M$98)))/N251)</f>
        <v>#N/A</v>
      </c>
      <c r="AE251" s="39" t="e">
        <f>IF($R251="MTO","",
IF($H251=0,ROUNDUP(((_xlfn.XLOOKUP($A251,'[1]DATOS PBI Artículos'!$A:$A,'[1]DATOS PBI Artículos'!$AL:$AL))/(_xlfn.XLOOKUP($AF$1,[1]CRITERIOS!$S$16:$S$39,[1]CRITERIOS!$Y$16:$Y$39))*$J251+$Z251)/$G251,0)*$G251,
((_xlfn.XLOOKUP($A251,'[1]DATOS PBI Artículos'!$A:$A,'[1]DATOS PBI Artículos'!$AL:$AL))/(_xlfn.XLOOKUP($AF$1,[1]CRITERIOS!$S$16:$S$39,[1]CRITERIOS!$Y$16:$Y$39))*$J251+$Z251)))</f>
        <v>#N/A</v>
      </c>
      <c r="AG251" s="39" t="e">
        <f>IF($R251="MTO","",
IF($H251=0,ROUNDUP(((_xlfn.XLOOKUP($A251,'[1]DATOS PBI Artículos'!$A:$A,'[1]DATOS PBI Artículos'!$AM:$AM))/(_xlfn.XLOOKUP($AH$1,[1]CRITERIOS!$S$16:$S$39,[1]CRITERIOS!$Y$16:$Y$39))*$J251+$Z251)/$G251,0)*$G251,
((_xlfn.XLOOKUP($A251,'[1]DATOS PBI Artículos'!$A:$A,'[1]DATOS PBI Artículos'!$AM:$AM))/(_xlfn.XLOOKUP($AH$1,[1]CRITERIOS!$S$16:$S$39,[1]CRITERIOS!$Y$16:$Y$39))*$J251+$Z251)))</f>
        <v>#N/A</v>
      </c>
      <c r="AI251" s="39" t="e">
        <f>IF($R251="MTO","",
IF($H251=0,ROUNDUP(((_xlfn.XLOOKUP($A251,'[1]DATOS PBI Artículos'!$A:$A,'[1]DATOS PBI Artículos'!$AN:$AN))/(_xlfn.XLOOKUP($AJ$1,[1]CRITERIOS!$S$16:$S$39,[1]CRITERIOS!$Y$16:$Y$39))*$J251+$Z251)/$G251,0)*$G251,
((_xlfn.XLOOKUP($A251,'[1]DATOS PBI Artículos'!$A:$A,'[1]DATOS PBI Artículos'!$AN:$AN))/(_xlfn.XLOOKUP($AJ$1,[1]CRITERIOS!$S$16:$S$39,[1]CRITERIOS!$Y$16:$Y$39))*$J251+$Z251)))</f>
        <v>#N/A</v>
      </c>
      <c r="AK251" s="39" t="e">
        <f>IF($R251="MTO","",
IF($H251=0,ROUNDUP(((_xlfn.XLOOKUP($A251,'[1]DATOS PBI Artículos'!$A:$A,'[1]DATOS PBI Artículos'!$AO:$AO))/(_xlfn.XLOOKUP($AL$1,[1]CRITERIOS!$S$16:$S$39,[1]CRITERIOS!$Y$16:$Y$39))*$J251+$Z251)/$G251,0)*$G251,
((_xlfn.XLOOKUP($A251,'[1]DATOS PBI Artículos'!$A:$A,'[1]DATOS PBI Artículos'!$AO:$AO))/(_xlfn.XLOOKUP($AL$1,[1]CRITERIOS!$S$16:$S$39,[1]CRITERIOS!$Y$16:$Y$39))*$J251+$Z251)))</f>
        <v>#N/A</v>
      </c>
    </row>
    <row r="252" spans="1:37" ht="25.8" hidden="1" x14ac:dyDescent="0.4">
      <c r="A252" s="41"/>
      <c r="B252" s="33">
        <f>_xlfn.XLOOKUP($A252,'[1]DATOS PBI Artículos'!A:A,'[1]DATOS PBI Artículos'!B:B)</f>
        <v>0</v>
      </c>
      <c r="C252" s="33">
        <f>_xlfn.XLOOKUP($A252,'[1]DATOS PBI Artículos'!A:A,'[1]DATOS PBI Artículos'!C:C)</f>
        <v>0</v>
      </c>
      <c r="D252" s="33">
        <f>_xlfn.XLOOKUP(A252,'[1]DATOS PBI Artículos'!A:A,'[1]DATOS PBI Artículos'!T:T)</f>
        <v>0</v>
      </c>
      <c r="E252" s="34">
        <f>IF(_xlfn.XLOOKUP($A252,'[1]DATOS PBI Artículos'!A:A,'[1]DATOS PBI Artículos'!AK:AK)="",_xlfn.XLOOKUP($A252,'[1]DATOS PBI Artículos'!A:A,'[1]DATOS PBI Artículos'!AJ:AJ),_xlfn.XLOOKUP($A252,'[1]DATOS PBI Artículos'!A:A,'[1]DATOS PBI Artículos'!AK:AK))</f>
        <v>0</v>
      </c>
      <c r="F252" s="35">
        <f>_xlfn.XLOOKUP($A252,'[1]DATOS PBI Artículos'!A:A,'[1]DATOS PBI Artículos'!AP:AP)</f>
        <v>0</v>
      </c>
      <c r="G252" s="34">
        <f>_xlfn.XLOOKUP($A252,'[1]DATOS PBI Artículos'!A:A,'[1]DATOS PBI Artículos'!AR:AR)</f>
        <v>0</v>
      </c>
      <c r="H252" s="34">
        <f>_xlfn.XLOOKUP($A252,'[1]DATOS PBI Artículos'!A:A,'[1]DATOS PBI Artículos'!AT:AT)</f>
        <v>0</v>
      </c>
      <c r="I252" s="34">
        <f>_xlfn.XLOOKUP($A252,'[1]DATOS PBI Artículos'!A:A,'[1]DATOS PBI Artículos'!AS:AS)</f>
        <v>0</v>
      </c>
      <c r="J252" s="35">
        <f>IF(COUNTIF([1]CRITERIOS!$F$179:$F$199,$A252)&gt;=1,
 IF(O252&lt;&gt;"",
    (O252/_xlfn.XLOOKUP(CONCATENATE(A252,L252),[1]MÁQUINAS!A:A,[1]MÁQUINAS!D:D))/24,
    (N252/_xlfn.XLOOKUP(CONCATENATE(A252,L252),[1]MÁQUINAS!A:A,[1]MÁQUINAS!D:D))/24),
  _xlfn.XLOOKUP($A252,'[1]DATOS PBI Artículos'!A:A,'[1]DATOS PBI Artículos'!AU:AU))</f>
        <v>0</v>
      </c>
      <c r="K252" s="36">
        <f>_xlfn.XLOOKUP($A252,'[1]DATOS PBI Artículos'!A:A,'[1]DATOS PBI Artículos'!AV:AV)</f>
        <v>0</v>
      </c>
      <c r="L252" s="33">
        <f>_xlfn.XLOOKUP(A252,[1]MÁQUINAS!B:B,[1]MÁQUINAS!C:C)</f>
        <v>0</v>
      </c>
      <c r="M252" s="34">
        <f t="array" ref="M252">_xlfn.XLOOKUP(A252,'[1]DATOS PBI Artículos'!A:A,'[1]DATOS PBI Artículos'!AX:$AX)</f>
        <v>0</v>
      </c>
      <c r="N252" s="37" t="e">
        <f>IF(I252="DV",
E252,
IF(COUNTIF([1]CRITERIOS!$I$179:$I$199,$A252)&gt;=1,
_xlfn.XLOOKUP($A252,[1]CRITERIOS!$I$179:$I$199,[1]CRITERIOS!$J$179:$J$199),
IF(COUNTIF([1]CRITERIOS!$L$179:$L$199,$A252)&gt;=1,
_xlfn.CEILING.MATH(IF($M252&gt;$E252,
$E252,
IF($M252&lt;$E252/ROUNDDOWN([1]CRITERIOS!$M$16/_xlfn.XLOOKUP($C252,[1]CRITERIOS!$K$25:$K$42,[1]CRITERIOS!$M$25:$M$42),
1),
E252/ROUNDDOWN([1]CRITERIOS!$M$16/_xlfn.XLOOKUP($C252,[1]CRITERIOS!$K$25:$K$42,[1]CRITERIOS!$M$25:$M$42),
1),
$M252)),
_xlfn.XLOOKUP($A252,[1]CRITERIOS!$L$179:$L$200,[1]CRITERIOS!$M$179:$M$200)),
_xlfn.CEILING.MATH(IF($M252&gt;$E252,
$E252,
IF($M252&lt;$E252/ROUNDDOWN([1]CRITERIOS!$M$16/_xlfn.XLOOKUP($C252,[1]CRITERIOS!$K$25:$K$42,[1]CRITERIOS!$M$25:$M$42),
1),
E252/ROUNDDOWN([1]CRITERIOS!$M$16/_xlfn.XLOOKUP($C252,[1]CRITERIOS!$K$25:$K$42,[1]CRITERIOS!$M$25:$M$42),
1),
$M252)),_xlfn.XLOOKUP(A252,'[1]DATOS PBI Artículos'!A:A,'[1]DATOS PBI Artículos'!Z:Z
)))))</f>
        <v>#N/A</v>
      </c>
      <c r="Q252" s="38" t="e">
        <f>IF(AND(O252="",N252=0),
0,
   IF(COUNTIF([1]CRITERIOS!$F$179:$F$199,$A252)&gt;=1,
   1,
   IF(R252="MTO",
      $D252,
      ROUNDUP(
                    IF(($E252-SUMIF('[1]DATOS PBI Artículos'!A:A,A252,'[1]DATOS PBI Artículos'!X:X)+($V252-_xlfn.XLOOKUP(A252,'[1]DATOS PBI Artículos'!A:A,'[1]DATOS PBI Artículos'!W:W)))&lt;0,
                    0,
                    IF(($E252-SUMIF('[1]DATOS PBI Artículos'!A:A,A252,'[1]DATOS PBI Artículos'!X:X)+$V252-_xlfn.XLOOKUP($A252,'[1]DATOS PBI Artículos'!A:A,'[1]DATOS PBI Artículos'!W:W))/IF($O252="",$N252,$O252)&gt;ROUNDUP([1]CRITERIOS!$M$16/(IF(COUNTIF([1]CRITERIOS!$BG$11:$BG$201,L252)&gt;=1,_xlfn.XLOOKUP($C252,[1]CRITERIOS!$K$25:$K$42,[1]CRITERIOS!$M$25:$M$42),_xlfn.XLOOKUP($C252,[1]CRITERIOS!$K$25:$K$42,[1]CRITERIOS!$M$25:$M$42))),0),
                    ROUNDUP([1]CRITERIOS!$M$16/(IF(COUNTIF([1]CRITERIOS!$BG$11:$BG$201,$L252)&gt;=1,_xlfn.XLOOKUP($C252,[1]CRITERIOS!$K$25:$K$42,[1]CRITERIOS!$M$25:$M$42),_xlfn.XLOOKUP($C252,[1]CRITERIOS!$K$25:$K$42,[1]CRITERIOS!$M$25:$M$42))),0),
                    (E252+V252-SUMIF('[1]DATOS PBI Artículos'!A:A,A252,'[1]DATOS PBI Artículos'!X:X)-_xlfn.XLOOKUP(A252,'[1]DATOS PBI Artículos'!A:A,'[1]DATOS PBI Artículos'!W:W))/IF($O252="",$N252,$O252))),0))))</f>
        <v>#N/A</v>
      </c>
      <c r="R252" s="33" t="e">
        <f>IF(U252&lt;&gt;"",U252,IF(F252="DV","MTO",IF(N252=0,"MTO",_xlfn.XLOOKUP(CONCATENATE(S252,T252),[1]CRITERIOS!$K$160:$K$168,[1]CRITERIOS!$N$160:$N$168))))</f>
        <v>#N/A</v>
      </c>
      <c r="S252" s="33" t="e">
        <f>IF(G252="DV","MTO",IF(N252=0,"MTO",IF(OR(AND(N252=0,O252=""),IF(O252="",G252/N252,G252/O252)&gt;[1]CRITERIOS!$G$163),"MTO",IF(IF(O252="",G252/N252,G252/O252)&lt;[1]CRITERIOS!$H$161,"MTS","MTOS"))))</f>
        <v>#N/A</v>
      </c>
      <c r="T252" s="33" t="e">
        <f>IF(F252="DV","MTO",IF(OR(AND($N252=0,O252=""),$F252/$J252&gt;[1]CRITERIOS!$G$170,$F252="DV"),"MTO",IF($F252/$J252&lt;[1]CRITERIOS!$H$168,"MTS","MTOS")))</f>
        <v>#N/A</v>
      </c>
      <c r="V252" s="34" t="e">
        <f t="shared" si="13"/>
        <v>#N/A</v>
      </c>
      <c r="X252" s="34" t="e">
        <f t="shared" si="11"/>
        <v>#N/A</v>
      </c>
      <c r="Y252" s="34" t="e">
        <f t="shared" si="12"/>
        <v>#N/A</v>
      </c>
      <c r="Z252" s="34" t="e">
        <f>IF($R252="MTO",
0,
($H252+$K252*($E252/[1]CRITERIOS!$M$16))/[1]CRITERIOS!$X$48)</f>
        <v>#N/A</v>
      </c>
      <c r="AA252" s="34" t="e">
        <f>ROUNDUP(($Y252/_xlfn.XLOOKUP($A252,'[1]DATOS PBI Artículos'!$A$4:$A$4,'[1]DATOS PBI Artículos'!$Z$4:$Z$4))/_xlfn.XLOOKUP(_xlfn.XLOOKUP($A252,'[1]DATOS PBI Artículos'!$A$4:$A$4,'[1]DATOS PBI Artículos'!$Y$4:$Y$4),[1]CRITERIOS!$P$79:$P$123,[1]CRITERIOS!$S$79:$S$123,),0)</f>
        <v>#N/A</v>
      </c>
      <c r="AB252" s="33" t="e">
        <f t="array" ref="AB252">IF((E252+V252-_xlfn.XLOOKUP(A252,'[1]DATOS PBI Artículos'!$A$4:$A$4,'[1]DATOS PBI Artículos'!$W$4:$W$4))/N252&gt;ROUNDUP([1]CRITERIOS!$M$16/(IF(COUNTIF([1]CRITERIOS!$BG$11:$BG$201,L252)&gt;=1,_xlfn.XLOOKUP(ARTÍCULOS!L252,[1]CRITERIOS!$BG$11:$BG$201,[1]CRITERIOS!$BJ$11:$BJ$201),_xlfn.XLOOKUP(ARTÍCULOS!C252,[1]CRITERIOS!$K$25:$K$42,[1]CRITERIOS!$M$25:$M$42))),0),ROUNDUP([1]CRITERIOS!$M$16/(IF(COUNTIF([1]CRITERIOS!$BG$11:$BG$201,L252)&gt;=1,_xlfn.XLOOKUP(ARTÍCULOS!L252,[1]CRITERIOS!$BG$11:$BG$201:#REF!,[1]CRITERIOS!$BJ$11:$BJ$201),_xlfn.XLOOKUP(ARTÍCULOS!C252,[1]CRITERIOS!$K$25:$K$42,[1]CRITERIOS!$M$25:$M$42))),0),(E252+V252-_xlfn.XLOOKUP(A252,'[1]DATOS PBI Artículos'!$A$4:$A$4,'[1]DATOS PBI Artículos'!$W$4:$W$4))/N252)</f>
        <v>#N/A</v>
      </c>
      <c r="AC252" s="33" t="e">
        <f>IF(N252=0,"",(ROUNDUP((N252/2)/(_xlfn.XLOOKUP(A252,'[1]DATOS PBI Artículos'!$A$4:$A$4,'[1]DATOS PBI Artículos'!$Z$4:$Z$4)*_xlfn.XLOOKUP(_xlfn.XLOOKUP(A252,'[1]DATOS PBI Artículos'!$A$4:$A$4,'[1]DATOS PBI Artículos'!$Y$4:$Y$4),[1]CRITERIOS!$P$79:$P$123,[1]CRITERIOS!$S$79:$S$123)),0)*[1]CRITERIOS!$M$80*([1]CRITERIOS!$M$110/[1]CRITERIOS!$M$86)+(_xlfn.XLOOKUP(A252,'[1]DATOS PBI Artículos'!$A$4:$A$4,'[1]DATOS PBI Artículos'!$AA$4:$AA$4)*([1]CRITERIOS!$M$95+[1]CRITERIOS!$M$98)))/N252)</f>
        <v>#N/A</v>
      </c>
      <c r="AD252" s="33" t="e">
        <f>IF(N252=0,"",(ROUNDUP((N252/2)/(_xlfn.XLOOKUP(A252,'[1]DATOS PBI Artículos'!$A$4:$A$4,'[1]DATOS PBI Artículos'!$Z$4:$Z$4)*_xlfn.XLOOKUP(_xlfn.XLOOKUP(A252,'[1]DATOS PBI Artículos'!$A$4:$A$4,'[1]DATOS PBI Artículos'!$Y$4:$Y$4),[1]CRITERIOS!$P$79:$P$123,[1]CRITERIOS!$S$79:$S$123)),0)*[1]CRITERIOS!$M$80*([1]CRITERIOS!$M$89*[1]CRITERIOS!$M$92)+((_xlfn.XLOOKUP(A252,'[1]DATOS PBI Artículos'!$A$4:$A$4,'[1]DATOS PBI Artículos'!$AA$4:$AA$4)/2)*([1]CRITERIOS!$M$95+[1]CRITERIOS!$M$98)))/N252)</f>
        <v>#N/A</v>
      </c>
      <c r="AE252" s="39" t="e">
        <f>IF($R252="MTO","",
IF($H252=0,ROUNDUP(((_xlfn.XLOOKUP($A252,'[1]DATOS PBI Artículos'!$A:$A,'[1]DATOS PBI Artículos'!$AL:$AL))/(_xlfn.XLOOKUP($AF$1,[1]CRITERIOS!$S$16:$S$39,[1]CRITERIOS!$Y$16:$Y$39))*$J252+$Z252)/$G252,0)*$G252,
((_xlfn.XLOOKUP($A252,'[1]DATOS PBI Artículos'!$A:$A,'[1]DATOS PBI Artículos'!$AL:$AL))/(_xlfn.XLOOKUP($AF$1,[1]CRITERIOS!$S$16:$S$39,[1]CRITERIOS!$Y$16:$Y$39))*$J252+$Z252)))</f>
        <v>#N/A</v>
      </c>
      <c r="AG252" s="39" t="e">
        <f>IF($R252="MTO","",
IF($H252=0,ROUNDUP(((_xlfn.XLOOKUP($A252,'[1]DATOS PBI Artículos'!$A:$A,'[1]DATOS PBI Artículos'!$AM:$AM))/(_xlfn.XLOOKUP($AH$1,[1]CRITERIOS!$S$16:$S$39,[1]CRITERIOS!$Y$16:$Y$39))*$J252+$Z252)/$G252,0)*$G252,
((_xlfn.XLOOKUP($A252,'[1]DATOS PBI Artículos'!$A:$A,'[1]DATOS PBI Artículos'!$AM:$AM))/(_xlfn.XLOOKUP($AH$1,[1]CRITERIOS!$S$16:$S$39,[1]CRITERIOS!$Y$16:$Y$39))*$J252+$Z252)))</f>
        <v>#N/A</v>
      </c>
      <c r="AI252" s="39" t="e">
        <f>IF($R252="MTO","",
IF($H252=0,ROUNDUP(((_xlfn.XLOOKUP($A252,'[1]DATOS PBI Artículos'!$A:$A,'[1]DATOS PBI Artículos'!$AN:$AN))/(_xlfn.XLOOKUP($AJ$1,[1]CRITERIOS!$S$16:$S$39,[1]CRITERIOS!$Y$16:$Y$39))*$J252+$Z252)/$G252,0)*$G252,
((_xlfn.XLOOKUP($A252,'[1]DATOS PBI Artículos'!$A:$A,'[1]DATOS PBI Artículos'!$AN:$AN))/(_xlfn.XLOOKUP($AJ$1,[1]CRITERIOS!$S$16:$S$39,[1]CRITERIOS!$Y$16:$Y$39))*$J252+$Z252)))</f>
        <v>#N/A</v>
      </c>
      <c r="AK252" s="39" t="e">
        <f>IF($R252="MTO","",
IF($H252=0,ROUNDUP(((_xlfn.XLOOKUP($A252,'[1]DATOS PBI Artículos'!$A:$A,'[1]DATOS PBI Artículos'!$AO:$AO))/(_xlfn.XLOOKUP($AL$1,[1]CRITERIOS!$S$16:$S$39,[1]CRITERIOS!$Y$16:$Y$39))*$J252+$Z252)/$G252,0)*$G252,
((_xlfn.XLOOKUP($A252,'[1]DATOS PBI Artículos'!$A:$A,'[1]DATOS PBI Artículos'!$AO:$AO))/(_xlfn.XLOOKUP($AL$1,[1]CRITERIOS!$S$16:$S$39,[1]CRITERIOS!$Y$16:$Y$39))*$J252+$Z252)))</f>
        <v>#N/A</v>
      </c>
    </row>
    <row r="253" spans="1:37" ht="25.8" hidden="1" x14ac:dyDescent="0.4">
      <c r="A253" s="41"/>
      <c r="B253" s="33">
        <f>_xlfn.XLOOKUP($A253,'[1]DATOS PBI Artículos'!A:A,'[1]DATOS PBI Artículos'!B:B)</f>
        <v>0</v>
      </c>
      <c r="C253" s="33">
        <f>_xlfn.XLOOKUP($A253,'[1]DATOS PBI Artículos'!A:A,'[1]DATOS PBI Artículos'!C:C)</f>
        <v>0</v>
      </c>
      <c r="D253" s="33">
        <f>_xlfn.XLOOKUP(A253,'[1]DATOS PBI Artículos'!A:A,'[1]DATOS PBI Artículos'!T:T)</f>
        <v>0</v>
      </c>
      <c r="E253" s="34">
        <f>IF(_xlfn.XLOOKUP($A253,'[1]DATOS PBI Artículos'!A:A,'[1]DATOS PBI Artículos'!AK:AK)="",_xlfn.XLOOKUP($A253,'[1]DATOS PBI Artículos'!A:A,'[1]DATOS PBI Artículos'!AJ:AJ),_xlfn.XLOOKUP($A253,'[1]DATOS PBI Artículos'!A:A,'[1]DATOS PBI Artículos'!AK:AK))</f>
        <v>0</v>
      </c>
      <c r="F253" s="35">
        <f>_xlfn.XLOOKUP($A253,'[1]DATOS PBI Artículos'!A:A,'[1]DATOS PBI Artículos'!AP:AP)</f>
        <v>0</v>
      </c>
      <c r="G253" s="34">
        <f>_xlfn.XLOOKUP($A253,'[1]DATOS PBI Artículos'!A:A,'[1]DATOS PBI Artículos'!AR:AR)</f>
        <v>0</v>
      </c>
      <c r="H253" s="34">
        <f>_xlfn.XLOOKUP($A253,'[1]DATOS PBI Artículos'!A:A,'[1]DATOS PBI Artículos'!AT:AT)</f>
        <v>0</v>
      </c>
      <c r="I253" s="34">
        <f>_xlfn.XLOOKUP($A253,'[1]DATOS PBI Artículos'!A:A,'[1]DATOS PBI Artículos'!AS:AS)</f>
        <v>0</v>
      </c>
      <c r="J253" s="35">
        <f>IF(COUNTIF([1]CRITERIOS!$F$179:$F$199,$A253)&gt;=1,
 IF(O253&lt;&gt;"",
    (O253/_xlfn.XLOOKUP(CONCATENATE(A253,L253),[1]MÁQUINAS!A:A,[1]MÁQUINAS!D:D))/24,
    (N253/_xlfn.XLOOKUP(CONCATENATE(A253,L253),[1]MÁQUINAS!A:A,[1]MÁQUINAS!D:D))/24),
  _xlfn.XLOOKUP($A253,'[1]DATOS PBI Artículos'!A:A,'[1]DATOS PBI Artículos'!AU:AU))</f>
        <v>0</v>
      </c>
      <c r="K253" s="36">
        <f>_xlfn.XLOOKUP($A253,'[1]DATOS PBI Artículos'!A:A,'[1]DATOS PBI Artículos'!AV:AV)</f>
        <v>0</v>
      </c>
      <c r="L253" s="33">
        <f>_xlfn.XLOOKUP(A253,[1]MÁQUINAS!B:B,[1]MÁQUINAS!C:C)</f>
        <v>0</v>
      </c>
      <c r="M253" s="34">
        <f t="array" ref="M253">_xlfn.XLOOKUP(A253,'[1]DATOS PBI Artículos'!A:A,'[1]DATOS PBI Artículos'!AX:$AX)</f>
        <v>0</v>
      </c>
      <c r="N253" s="37" t="e">
        <f>IF(I253="DV",
E253,
IF(COUNTIF([1]CRITERIOS!$I$179:$I$199,$A253)&gt;=1,
_xlfn.XLOOKUP($A253,[1]CRITERIOS!$I$179:$I$199,[1]CRITERIOS!$J$179:$J$199),
IF(COUNTIF([1]CRITERIOS!$L$179:$L$199,$A253)&gt;=1,
_xlfn.CEILING.MATH(IF($M253&gt;$E253,
$E253,
IF($M253&lt;$E253/ROUNDDOWN([1]CRITERIOS!$M$16/_xlfn.XLOOKUP($C253,[1]CRITERIOS!$K$25:$K$42,[1]CRITERIOS!$M$25:$M$42),
1),
E253/ROUNDDOWN([1]CRITERIOS!$M$16/_xlfn.XLOOKUP($C253,[1]CRITERIOS!$K$25:$K$42,[1]CRITERIOS!$M$25:$M$42),
1),
$M253)),
_xlfn.XLOOKUP($A253,[1]CRITERIOS!$L$179:$L$200,[1]CRITERIOS!$M$179:$M$200)),
_xlfn.CEILING.MATH(IF($M253&gt;$E253,
$E253,
IF($M253&lt;$E253/ROUNDDOWN([1]CRITERIOS!$M$16/_xlfn.XLOOKUP($C253,[1]CRITERIOS!$K$25:$K$42,[1]CRITERIOS!$M$25:$M$42),
1),
E253/ROUNDDOWN([1]CRITERIOS!$M$16/_xlfn.XLOOKUP($C253,[1]CRITERIOS!$K$25:$K$42,[1]CRITERIOS!$M$25:$M$42),
1),
$M253)),_xlfn.XLOOKUP(A253,'[1]DATOS PBI Artículos'!A:A,'[1]DATOS PBI Artículos'!Z:Z
)))))</f>
        <v>#N/A</v>
      </c>
      <c r="Q253" s="38" t="e">
        <f>IF(AND(O253="",N253=0),
0,
   IF(COUNTIF([1]CRITERIOS!$F$179:$F$199,$A253)&gt;=1,
   1,
   IF(R253="MTO",
      $D253,
      ROUNDUP(
                    IF(($E253-SUMIF('[1]DATOS PBI Artículos'!A:A,A253,'[1]DATOS PBI Artículos'!X:X)+($V253-_xlfn.XLOOKUP(A253,'[1]DATOS PBI Artículos'!A:A,'[1]DATOS PBI Artículos'!W:W)))&lt;0,
                    0,
                    IF(($E253-SUMIF('[1]DATOS PBI Artículos'!A:A,A253,'[1]DATOS PBI Artículos'!X:X)+$V253-_xlfn.XLOOKUP($A253,'[1]DATOS PBI Artículos'!A:A,'[1]DATOS PBI Artículos'!W:W))/IF($O253="",$N253,$O253)&gt;ROUNDUP([1]CRITERIOS!$M$16/(IF(COUNTIF([1]CRITERIOS!$BG$11:$BG$201,L253)&gt;=1,_xlfn.XLOOKUP($C253,[1]CRITERIOS!$K$25:$K$42,[1]CRITERIOS!$M$25:$M$42),_xlfn.XLOOKUP($C253,[1]CRITERIOS!$K$25:$K$42,[1]CRITERIOS!$M$25:$M$42))),0),
                    ROUNDUP([1]CRITERIOS!$M$16/(IF(COUNTIF([1]CRITERIOS!$BG$11:$BG$201,$L253)&gt;=1,_xlfn.XLOOKUP($C253,[1]CRITERIOS!$K$25:$K$42,[1]CRITERIOS!$M$25:$M$42),_xlfn.XLOOKUP($C253,[1]CRITERIOS!$K$25:$K$42,[1]CRITERIOS!$M$25:$M$42))),0),
                    (E253+V253-SUMIF('[1]DATOS PBI Artículos'!A:A,A253,'[1]DATOS PBI Artículos'!X:X)-_xlfn.XLOOKUP(A253,'[1]DATOS PBI Artículos'!A:A,'[1]DATOS PBI Artículos'!W:W))/IF($O253="",$N253,$O253))),0))))</f>
        <v>#N/A</v>
      </c>
      <c r="R253" s="33" t="e">
        <f>IF(U253&lt;&gt;"",U253,IF(F253="DV","MTO",IF(N253=0,"MTO",_xlfn.XLOOKUP(CONCATENATE(S253,T253),[1]CRITERIOS!$K$160:$K$168,[1]CRITERIOS!$N$160:$N$168))))</f>
        <v>#N/A</v>
      </c>
      <c r="S253" s="33" t="e">
        <f>IF(G253="DV","MTO",IF(N253=0,"MTO",IF(OR(AND(N253=0,O253=""),IF(O253="",G253/N253,G253/O253)&gt;[1]CRITERIOS!$G$163),"MTO",IF(IF(O253="",G253/N253,G253/O253)&lt;[1]CRITERIOS!$H$161,"MTS","MTOS"))))</f>
        <v>#N/A</v>
      </c>
      <c r="T253" s="33" t="e">
        <f>IF(F253="DV","MTO",IF(OR(AND($N253=0,O253=""),$F253/$J253&gt;[1]CRITERIOS!$G$170,$F253="DV"),"MTO",IF($F253/$J253&lt;[1]CRITERIOS!$H$168,"MTS","MTOS")))</f>
        <v>#N/A</v>
      </c>
      <c r="V253" s="34" t="e">
        <f t="shared" si="13"/>
        <v>#N/A</v>
      </c>
      <c r="X253" s="34" t="e">
        <f t="shared" si="11"/>
        <v>#N/A</v>
      </c>
      <c r="Y253" s="34" t="e">
        <f t="shared" si="12"/>
        <v>#N/A</v>
      </c>
      <c r="Z253" s="34" t="e">
        <f>IF($R253="MTO",
0,
($H253+$K253*($E253/[1]CRITERIOS!$M$16))/[1]CRITERIOS!$X$48)</f>
        <v>#N/A</v>
      </c>
      <c r="AA253" s="34" t="e">
        <f>ROUNDUP(($Y253/_xlfn.XLOOKUP($A253,'[1]DATOS PBI Artículos'!$A$4:$A$4,'[1]DATOS PBI Artículos'!$Z$4:$Z$4))/_xlfn.XLOOKUP(_xlfn.XLOOKUP($A253,'[1]DATOS PBI Artículos'!$A$4:$A$4,'[1]DATOS PBI Artículos'!$Y$4:$Y$4),[1]CRITERIOS!$P$79:$P$123,[1]CRITERIOS!$S$79:$S$123,),0)</f>
        <v>#N/A</v>
      </c>
      <c r="AB253" s="33" t="e">
        <f t="array" ref="AB253">IF((E253+V253-_xlfn.XLOOKUP(A253,'[1]DATOS PBI Artículos'!$A$4:$A$4,'[1]DATOS PBI Artículos'!$W$4:$W$4))/N253&gt;ROUNDUP([1]CRITERIOS!$M$16/(IF(COUNTIF([1]CRITERIOS!$BG$11:$BG$201,L253)&gt;=1,_xlfn.XLOOKUP(ARTÍCULOS!L253,[1]CRITERIOS!$BG$11:$BG$201,[1]CRITERIOS!$BJ$11:$BJ$201),_xlfn.XLOOKUP(ARTÍCULOS!C253,[1]CRITERIOS!$K$25:$K$42,[1]CRITERIOS!$M$25:$M$42))),0),ROUNDUP([1]CRITERIOS!$M$16/(IF(COUNTIF([1]CRITERIOS!$BG$11:$BG$201,L253)&gt;=1,_xlfn.XLOOKUP(ARTÍCULOS!L253,[1]CRITERIOS!$BG$11:$BG$201:#REF!,[1]CRITERIOS!$BJ$11:$BJ$201),_xlfn.XLOOKUP(ARTÍCULOS!C253,[1]CRITERIOS!$K$25:$K$42,[1]CRITERIOS!$M$25:$M$42))),0),(E253+V253-_xlfn.XLOOKUP(A253,'[1]DATOS PBI Artículos'!$A$4:$A$4,'[1]DATOS PBI Artículos'!$W$4:$W$4))/N253)</f>
        <v>#N/A</v>
      </c>
      <c r="AC253" s="33" t="e">
        <f>IF(N253=0,"",(ROUNDUP((N253/2)/(_xlfn.XLOOKUP(A253,'[1]DATOS PBI Artículos'!$A$4:$A$4,'[1]DATOS PBI Artículos'!$Z$4:$Z$4)*_xlfn.XLOOKUP(_xlfn.XLOOKUP(A253,'[1]DATOS PBI Artículos'!$A$4:$A$4,'[1]DATOS PBI Artículos'!$Y$4:$Y$4),[1]CRITERIOS!$P$79:$P$123,[1]CRITERIOS!$S$79:$S$123)),0)*[1]CRITERIOS!$M$80*([1]CRITERIOS!$M$110/[1]CRITERIOS!$M$86)+(_xlfn.XLOOKUP(A253,'[1]DATOS PBI Artículos'!$A$4:$A$4,'[1]DATOS PBI Artículos'!$AA$4:$AA$4)*([1]CRITERIOS!$M$95+[1]CRITERIOS!$M$98)))/N253)</f>
        <v>#N/A</v>
      </c>
      <c r="AD253" s="33" t="e">
        <f>IF(N253=0,"",(ROUNDUP((N253/2)/(_xlfn.XLOOKUP(A253,'[1]DATOS PBI Artículos'!$A$4:$A$4,'[1]DATOS PBI Artículos'!$Z$4:$Z$4)*_xlfn.XLOOKUP(_xlfn.XLOOKUP(A253,'[1]DATOS PBI Artículos'!$A$4:$A$4,'[1]DATOS PBI Artículos'!$Y$4:$Y$4),[1]CRITERIOS!$P$79:$P$123,[1]CRITERIOS!$S$79:$S$123)),0)*[1]CRITERIOS!$M$80*([1]CRITERIOS!$M$89*[1]CRITERIOS!$M$92)+((_xlfn.XLOOKUP(A253,'[1]DATOS PBI Artículos'!$A$4:$A$4,'[1]DATOS PBI Artículos'!$AA$4:$AA$4)/2)*([1]CRITERIOS!$M$95+[1]CRITERIOS!$M$98)))/N253)</f>
        <v>#N/A</v>
      </c>
      <c r="AE253" s="39" t="e">
        <f>IF($R253="MTO","",
IF($H253=0,ROUNDUP(((_xlfn.XLOOKUP($A253,'[1]DATOS PBI Artículos'!$A:$A,'[1]DATOS PBI Artículos'!$AL:$AL))/(_xlfn.XLOOKUP($AF$1,[1]CRITERIOS!$S$16:$S$39,[1]CRITERIOS!$Y$16:$Y$39))*$J253+$Z253)/$G253,0)*$G253,
((_xlfn.XLOOKUP($A253,'[1]DATOS PBI Artículos'!$A:$A,'[1]DATOS PBI Artículos'!$AL:$AL))/(_xlfn.XLOOKUP($AF$1,[1]CRITERIOS!$S$16:$S$39,[1]CRITERIOS!$Y$16:$Y$39))*$J253+$Z253)))</f>
        <v>#N/A</v>
      </c>
      <c r="AG253" s="39" t="e">
        <f>IF($R253="MTO","",
IF($H253=0,ROUNDUP(((_xlfn.XLOOKUP($A253,'[1]DATOS PBI Artículos'!$A:$A,'[1]DATOS PBI Artículos'!$AM:$AM))/(_xlfn.XLOOKUP($AH$1,[1]CRITERIOS!$S$16:$S$39,[1]CRITERIOS!$Y$16:$Y$39))*$J253+$Z253)/$G253,0)*$G253,
((_xlfn.XLOOKUP($A253,'[1]DATOS PBI Artículos'!$A:$A,'[1]DATOS PBI Artículos'!$AM:$AM))/(_xlfn.XLOOKUP($AH$1,[1]CRITERIOS!$S$16:$S$39,[1]CRITERIOS!$Y$16:$Y$39))*$J253+$Z253)))</f>
        <v>#N/A</v>
      </c>
      <c r="AI253" s="39" t="e">
        <f>IF($R253="MTO","",
IF($H253=0,ROUNDUP(((_xlfn.XLOOKUP($A253,'[1]DATOS PBI Artículos'!$A:$A,'[1]DATOS PBI Artículos'!$AN:$AN))/(_xlfn.XLOOKUP($AJ$1,[1]CRITERIOS!$S$16:$S$39,[1]CRITERIOS!$Y$16:$Y$39))*$J253+$Z253)/$G253,0)*$G253,
((_xlfn.XLOOKUP($A253,'[1]DATOS PBI Artículos'!$A:$A,'[1]DATOS PBI Artículos'!$AN:$AN))/(_xlfn.XLOOKUP($AJ$1,[1]CRITERIOS!$S$16:$S$39,[1]CRITERIOS!$Y$16:$Y$39))*$J253+$Z253)))</f>
        <v>#N/A</v>
      </c>
      <c r="AK253" s="39" t="e">
        <f>IF($R253="MTO","",
IF($H253=0,ROUNDUP(((_xlfn.XLOOKUP($A253,'[1]DATOS PBI Artículos'!$A:$A,'[1]DATOS PBI Artículos'!$AO:$AO))/(_xlfn.XLOOKUP($AL$1,[1]CRITERIOS!$S$16:$S$39,[1]CRITERIOS!$Y$16:$Y$39))*$J253+$Z253)/$G253,0)*$G253,
((_xlfn.XLOOKUP($A253,'[1]DATOS PBI Artículos'!$A:$A,'[1]DATOS PBI Artículos'!$AO:$AO))/(_xlfn.XLOOKUP($AL$1,[1]CRITERIOS!$S$16:$S$39,[1]CRITERIOS!$Y$16:$Y$39))*$J253+$Z253)))</f>
        <v>#N/A</v>
      </c>
    </row>
    <row r="254" spans="1:37" ht="25.8" hidden="1" x14ac:dyDescent="0.4">
      <c r="A254" s="41"/>
      <c r="B254" s="33">
        <f>_xlfn.XLOOKUP($A254,'[1]DATOS PBI Artículos'!A:A,'[1]DATOS PBI Artículos'!B:B)</f>
        <v>0</v>
      </c>
      <c r="C254" s="33">
        <f>_xlfn.XLOOKUP($A254,'[1]DATOS PBI Artículos'!A:A,'[1]DATOS PBI Artículos'!C:C)</f>
        <v>0</v>
      </c>
      <c r="D254" s="33">
        <f>_xlfn.XLOOKUP(A254,'[1]DATOS PBI Artículos'!A:A,'[1]DATOS PBI Artículos'!T:T)</f>
        <v>0</v>
      </c>
      <c r="E254" s="34">
        <f>IF(_xlfn.XLOOKUP($A254,'[1]DATOS PBI Artículos'!A:A,'[1]DATOS PBI Artículos'!AK:AK)="",_xlfn.XLOOKUP($A254,'[1]DATOS PBI Artículos'!A:A,'[1]DATOS PBI Artículos'!AJ:AJ),_xlfn.XLOOKUP($A254,'[1]DATOS PBI Artículos'!A:A,'[1]DATOS PBI Artículos'!AK:AK))</f>
        <v>0</v>
      </c>
      <c r="F254" s="35">
        <f>_xlfn.XLOOKUP($A254,'[1]DATOS PBI Artículos'!A:A,'[1]DATOS PBI Artículos'!AP:AP)</f>
        <v>0</v>
      </c>
      <c r="G254" s="34">
        <f>_xlfn.XLOOKUP($A254,'[1]DATOS PBI Artículos'!A:A,'[1]DATOS PBI Artículos'!AR:AR)</f>
        <v>0</v>
      </c>
      <c r="H254" s="34">
        <f>_xlfn.XLOOKUP($A254,'[1]DATOS PBI Artículos'!A:A,'[1]DATOS PBI Artículos'!AT:AT)</f>
        <v>0</v>
      </c>
      <c r="I254" s="34">
        <f>_xlfn.XLOOKUP($A254,'[1]DATOS PBI Artículos'!A:A,'[1]DATOS PBI Artículos'!AS:AS)</f>
        <v>0</v>
      </c>
      <c r="J254" s="35">
        <f>IF(COUNTIF([1]CRITERIOS!$F$179:$F$199,$A254)&gt;=1,
 IF(O254&lt;&gt;"",
    (O254/_xlfn.XLOOKUP(CONCATENATE(A254,L254),[1]MÁQUINAS!A:A,[1]MÁQUINAS!D:D))/24,
    (N254/_xlfn.XLOOKUP(CONCATENATE(A254,L254),[1]MÁQUINAS!A:A,[1]MÁQUINAS!D:D))/24),
  _xlfn.XLOOKUP($A254,'[1]DATOS PBI Artículos'!A:A,'[1]DATOS PBI Artículos'!AU:AU))</f>
        <v>0</v>
      </c>
      <c r="K254" s="36">
        <f>_xlfn.XLOOKUP($A254,'[1]DATOS PBI Artículos'!A:A,'[1]DATOS PBI Artículos'!AV:AV)</f>
        <v>0</v>
      </c>
      <c r="L254" s="33">
        <f>_xlfn.XLOOKUP(A254,[1]MÁQUINAS!B:B,[1]MÁQUINAS!C:C)</f>
        <v>0</v>
      </c>
      <c r="M254" s="34">
        <f t="array" ref="M254">_xlfn.XLOOKUP(A254,'[1]DATOS PBI Artículos'!A:A,'[1]DATOS PBI Artículos'!AX:$AX)</f>
        <v>0</v>
      </c>
      <c r="N254" s="37" t="e">
        <f>IF(I254="DV",
E254,
IF(COUNTIF([1]CRITERIOS!$I$179:$I$199,$A254)&gt;=1,
_xlfn.XLOOKUP($A254,[1]CRITERIOS!$I$179:$I$199,[1]CRITERIOS!$J$179:$J$199),
IF(COUNTIF([1]CRITERIOS!$L$179:$L$199,$A254)&gt;=1,
_xlfn.CEILING.MATH(IF($M254&gt;$E254,
$E254,
IF($M254&lt;$E254/ROUNDDOWN([1]CRITERIOS!$M$16/_xlfn.XLOOKUP($C254,[1]CRITERIOS!$K$25:$K$42,[1]CRITERIOS!$M$25:$M$42),
1),
E254/ROUNDDOWN([1]CRITERIOS!$M$16/_xlfn.XLOOKUP($C254,[1]CRITERIOS!$K$25:$K$42,[1]CRITERIOS!$M$25:$M$42),
1),
$M254)),
_xlfn.XLOOKUP($A254,[1]CRITERIOS!$L$179:$L$200,[1]CRITERIOS!$M$179:$M$200)),
_xlfn.CEILING.MATH(IF($M254&gt;$E254,
$E254,
IF($M254&lt;$E254/ROUNDDOWN([1]CRITERIOS!$M$16/_xlfn.XLOOKUP($C254,[1]CRITERIOS!$K$25:$K$42,[1]CRITERIOS!$M$25:$M$42),
1),
E254/ROUNDDOWN([1]CRITERIOS!$M$16/_xlfn.XLOOKUP($C254,[1]CRITERIOS!$K$25:$K$42,[1]CRITERIOS!$M$25:$M$42),
1),
$M254)),_xlfn.XLOOKUP(A254,'[1]DATOS PBI Artículos'!A:A,'[1]DATOS PBI Artículos'!Z:Z
)))))</f>
        <v>#N/A</v>
      </c>
      <c r="Q254" s="38" t="e">
        <f>IF(AND(O254="",N254=0),
0,
   IF(COUNTIF([1]CRITERIOS!$F$179:$F$199,$A254)&gt;=1,
   1,
   IF(R254="MTO",
      $D254,
      ROUNDUP(
                    IF(($E254-SUMIF('[1]DATOS PBI Artículos'!A:A,A254,'[1]DATOS PBI Artículos'!X:X)+($V254-_xlfn.XLOOKUP(A254,'[1]DATOS PBI Artículos'!A:A,'[1]DATOS PBI Artículos'!W:W)))&lt;0,
                    0,
                    IF(($E254-SUMIF('[1]DATOS PBI Artículos'!A:A,A254,'[1]DATOS PBI Artículos'!X:X)+$V254-_xlfn.XLOOKUP($A254,'[1]DATOS PBI Artículos'!A:A,'[1]DATOS PBI Artículos'!W:W))/IF($O254="",$N254,$O254)&gt;ROUNDUP([1]CRITERIOS!$M$16/(IF(COUNTIF([1]CRITERIOS!$BG$11:$BG$201,L254)&gt;=1,_xlfn.XLOOKUP($C254,[1]CRITERIOS!$K$25:$K$42,[1]CRITERIOS!$M$25:$M$42),_xlfn.XLOOKUP($C254,[1]CRITERIOS!$K$25:$K$42,[1]CRITERIOS!$M$25:$M$42))),0),
                    ROUNDUP([1]CRITERIOS!$M$16/(IF(COUNTIF([1]CRITERIOS!$BG$11:$BG$201,$L254)&gt;=1,_xlfn.XLOOKUP($C254,[1]CRITERIOS!$K$25:$K$42,[1]CRITERIOS!$M$25:$M$42),_xlfn.XLOOKUP($C254,[1]CRITERIOS!$K$25:$K$42,[1]CRITERIOS!$M$25:$M$42))),0),
                    (E254+V254-SUMIF('[1]DATOS PBI Artículos'!A:A,A254,'[1]DATOS PBI Artículos'!X:X)-_xlfn.XLOOKUP(A254,'[1]DATOS PBI Artículos'!A:A,'[1]DATOS PBI Artículos'!W:W))/IF($O254="",$N254,$O254))),0))))</f>
        <v>#N/A</v>
      </c>
      <c r="R254" s="33" t="e">
        <f>IF(U254&lt;&gt;"",U254,IF(F254="DV","MTO",IF(N254=0,"MTO",_xlfn.XLOOKUP(CONCATENATE(S254,T254),[1]CRITERIOS!$K$160:$K$168,[1]CRITERIOS!$N$160:$N$168))))</f>
        <v>#N/A</v>
      </c>
      <c r="S254" s="33" t="e">
        <f>IF(G254="DV","MTO",IF(N254=0,"MTO",IF(OR(AND(N254=0,O254=""),IF(O254="",G254/N254,G254/O254)&gt;[1]CRITERIOS!$G$163),"MTO",IF(IF(O254="",G254/N254,G254/O254)&lt;[1]CRITERIOS!$H$161,"MTS","MTOS"))))</f>
        <v>#N/A</v>
      </c>
      <c r="T254" s="33" t="e">
        <f>IF(F254="DV","MTO",IF(OR(AND($N254=0,O254=""),$F254/$J254&gt;[1]CRITERIOS!$G$170,$F254="DV"),"MTO",IF($F254/$J254&lt;[1]CRITERIOS!$H$168,"MTS","MTOS")))</f>
        <v>#N/A</v>
      </c>
      <c r="V254" s="34" t="e">
        <f t="shared" si="13"/>
        <v>#N/A</v>
      </c>
      <c r="X254" s="34" t="e">
        <f t="shared" si="11"/>
        <v>#N/A</v>
      </c>
      <c r="Y254" s="34" t="e">
        <f t="shared" si="12"/>
        <v>#N/A</v>
      </c>
      <c r="Z254" s="34" t="e">
        <f>IF($R254="MTO",
0,
($H254+$K254*($E254/[1]CRITERIOS!$M$16))/[1]CRITERIOS!$X$48)</f>
        <v>#N/A</v>
      </c>
      <c r="AA254" s="34" t="e">
        <f>ROUNDUP(($Y254/_xlfn.XLOOKUP($A254,'[1]DATOS PBI Artículos'!$A$4:$A$4,'[1]DATOS PBI Artículos'!$Z$4:$Z$4))/_xlfn.XLOOKUP(_xlfn.XLOOKUP($A254,'[1]DATOS PBI Artículos'!$A$4:$A$4,'[1]DATOS PBI Artículos'!$Y$4:$Y$4),[1]CRITERIOS!$P$79:$P$123,[1]CRITERIOS!$S$79:$S$123,),0)</f>
        <v>#N/A</v>
      </c>
      <c r="AB254" s="33" t="e">
        <f t="array" ref="AB254">IF((E254+V254-_xlfn.XLOOKUP(A254,'[1]DATOS PBI Artículos'!$A$4:$A$4,'[1]DATOS PBI Artículos'!$W$4:$W$4))/N254&gt;ROUNDUP([1]CRITERIOS!$M$16/(IF(COUNTIF([1]CRITERIOS!$BG$11:$BG$201,L254)&gt;=1,_xlfn.XLOOKUP(ARTÍCULOS!L254,[1]CRITERIOS!$BG$11:$BG$201,[1]CRITERIOS!$BJ$11:$BJ$201),_xlfn.XLOOKUP(ARTÍCULOS!C254,[1]CRITERIOS!$K$25:$K$42,[1]CRITERIOS!$M$25:$M$42))),0),ROUNDUP([1]CRITERIOS!$M$16/(IF(COUNTIF([1]CRITERIOS!$BG$11:$BG$201,L254)&gt;=1,_xlfn.XLOOKUP(ARTÍCULOS!L254,[1]CRITERIOS!$BG$11:$BG$201:#REF!,[1]CRITERIOS!$BJ$11:$BJ$201),_xlfn.XLOOKUP(ARTÍCULOS!C254,[1]CRITERIOS!$K$25:$K$42,[1]CRITERIOS!$M$25:$M$42))),0),(E254+V254-_xlfn.XLOOKUP(A254,'[1]DATOS PBI Artículos'!$A$4:$A$4,'[1]DATOS PBI Artículos'!$W$4:$W$4))/N254)</f>
        <v>#N/A</v>
      </c>
      <c r="AC254" s="33" t="e">
        <f>IF(N254=0,"",(ROUNDUP((N254/2)/(_xlfn.XLOOKUP(A254,'[1]DATOS PBI Artículos'!$A$4:$A$4,'[1]DATOS PBI Artículos'!$Z$4:$Z$4)*_xlfn.XLOOKUP(_xlfn.XLOOKUP(A254,'[1]DATOS PBI Artículos'!$A$4:$A$4,'[1]DATOS PBI Artículos'!$Y$4:$Y$4),[1]CRITERIOS!$P$79:$P$123,[1]CRITERIOS!$S$79:$S$123)),0)*[1]CRITERIOS!$M$80*([1]CRITERIOS!$M$110/[1]CRITERIOS!$M$86)+(_xlfn.XLOOKUP(A254,'[1]DATOS PBI Artículos'!$A$4:$A$4,'[1]DATOS PBI Artículos'!$AA$4:$AA$4)*([1]CRITERIOS!$M$95+[1]CRITERIOS!$M$98)))/N254)</f>
        <v>#N/A</v>
      </c>
      <c r="AD254" s="33" t="e">
        <f>IF(N254=0,"",(ROUNDUP((N254/2)/(_xlfn.XLOOKUP(A254,'[1]DATOS PBI Artículos'!$A$4:$A$4,'[1]DATOS PBI Artículos'!$Z$4:$Z$4)*_xlfn.XLOOKUP(_xlfn.XLOOKUP(A254,'[1]DATOS PBI Artículos'!$A$4:$A$4,'[1]DATOS PBI Artículos'!$Y$4:$Y$4),[1]CRITERIOS!$P$79:$P$123,[1]CRITERIOS!$S$79:$S$123)),0)*[1]CRITERIOS!$M$80*([1]CRITERIOS!$M$89*[1]CRITERIOS!$M$92)+((_xlfn.XLOOKUP(A254,'[1]DATOS PBI Artículos'!$A$4:$A$4,'[1]DATOS PBI Artículos'!$AA$4:$AA$4)/2)*([1]CRITERIOS!$M$95+[1]CRITERIOS!$M$98)))/N254)</f>
        <v>#N/A</v>
      </c>
      <c r="AE254" s="39" t="e">
        <f>IF($R254="MTO","",
IF($H254=0,ROUNDUP(((_xlfn.XLOOKUP($A254,'[1]DATOS PBI Artículos'!$A:$A,'[1]DATOS PBI Artículos'!$AL:$AL))/(_xlfn.XLOOKUP($AF$1,[1]CRITERIOS!$S$16:$S$39,[1]CRITERIOS!$Y$16:$Y$39))*$J254+$Z254)/$G254,0)*$G254,
((_xlfn.XLOOKUP($A254,'[1]DATOS PBI Artículos'!$A:$A,'[1]DATOS PBI Artículos'!$AL:$AL))/(_xlfn.XLOOKUP($AF$1,[1]CRITERIOS!$S$16:$S$39,[1]CRITERIOS!$Y$16:$Y$39))*$J254+$Z254)))</f>
        <v>#N/A</v>
      </c>
      <c r="AG254" s="39" t="e">
        <f>IF($R254="MTO","",
IF($H254=0,ROUNDUP(((_xlfn.XLOOKUP($A254,'[1]DATOS PBI Artículos'!$A:$A,'[1]DATOS PBI Artículos'!$AM:$AM))/(_xlfn.XLOOKUP($AH$1,[1]CRITERIOS!$S$16:$S$39,[1]CRITERIOS!$Y$16:$Y$39))*$J254+$Z254)/$G254,0)*$G254,
((_xlfn.XLOOKUP($A254,'[1]DATOS PBI Artículos'!$A:$A,'[1]DATOS PBI Artículos'!$AM:$AM))/(_xlfn.XLOOKUP($AH$1,[1]CRITERIOS!$S$16:$S$39,[1]CRITERIOS!$Y$16:$Y$39))*$J254+$Z254)))</f>
        <v>#N/A</v>
      </c>
      <c r="AI254" s="39" t="e">
        <f>IF($R254="MTO","",
IF($H254=0,ROUNDUP(((_xlfn.XLOOKUP($A254,'[1]DATOS PBI Artículos'!$A:$A,'[1]DATOS PBI Artículos'!$AN:$AN))/(_xlfn.XLOOKUP($AJ$1,[1]CRITERIOS!$S$16:$S$39,[1]CRITERIOS!$Y$16:$Y$39))*$J254+$Z254)/$G254,0)*$G254,
((_xlfn.XLOOKUP($A254,'[1]DATOS PBI Artículos'!$A:$A,'[1]DATOS PBI Artículos'!$AN:$AN))/(_xlfn.XLOOKUP($AJ$1,[1]CRITERIOS!$S$16:$S$39,[1]CRITERIOS!$Y$16:$Y$39))*$J254+$Z254)))</f>
        <v>#N/A</v>
      </c>
      <c r="AK254" s="39" t="e">
        <f>IF($R254="MTO","",
IF($H254=0,ROUNDUP(((_xlfn.XLOOKUP($A254,'[1]DATOS PBI Artículos'!$A:$A,'[1]DATOS PBI Artículos'!$AO:$AO))/(_xlfn.XLOOKUP($AL$1,[1]CRITERIOS!$S$16:$S$39,[1]CRITERIOS!$Y$16:$Y$39))*$J254+$Z254)/$G254,0)*$G254,
((_xlfn.XLOOKUP($A254,'[1]DATOS PBI Artículos'!$A:$A,'[1]DATOS PBI Artículos'!$AO:$AO))/(_xlfn.XLOOKUP($AL$1,[1]CRITERIOS!$S$16:$S$39,[1]CRITERIOS!$Y$16:$Y$39))*$J254+$Z254)))</f>
        <v>#N/A</v>
      </c>
    </row>
    <row r="255" spans="1:37" ht="25.8" hidden="1" x14ac:dyDescent="0.4">
      <c r="A255" s="41"/>
      <c r="B255" s="33">
        <f>_xlfn.XLOOKUP($A255,'[1]DATOS PBI Artículos'!A:A,'[1]DATOS PBI Artículos'!B:B)</f>
        <v>0</v>
      </c>
      <c r="C255" s="33">
        <f>_xlfn.XLOOKUP($A255,'[1]DATOS PBI Artículos'!A:A,'[1]DATOS PBI Artículos'!C:C)</f>
        <v>0</v>
      </c>
      <c r="D255" s="33">
        <f>_xlfn.XLOOKUP(A255,'[1]DATOS PBI Artículos'!A:A,'[1]DATOS PBI Artículos'!T:T)</f>
        <v>0</v>
      </c>
      <c r="E255" s="34">
        <f>IF(_xlfn.XLOOKUP($A255,'[1]DATOS PBI Artículos'!A:A,'[1]DATOS PBI Artículos'!AK:AK)="",_xlfn.XLOOKUP($A255,'[1]DATOS PBI Artículos'!A:A,'[1]DATOS PBI Artículos'!AJ:AJ),_xlfn.XLOOKUP($A255,'[1]DATOS PBI Artículos'!A:A,'[1]DATOS PBI Artículos'!AK:AK))</f>
        <v>0</v>
      </c>
      <c r="F255" s="35">
        <f>_xlfn.XLOOKUP($A255,'[1]DATOS PBI Artículos'!A:A,'[1]DATOS PBI Artículos'!AP:AP)</f>
        <v>0</v>
      </c>
      <c r="G255" s="34">
        <f>_xlfn.XLOOKUP($A255,'[1]DATOS PBI Artículos'!A:A,'[1]DATOS PBI Artículos'!AR:AR)</f>
        <v>0</v>
      </c>
      <c r="H255" s="34">
        <f>_xlfn.XLOOKUP($A255,'[1]DATOS PBI Artículos'!A:A,'[1]DATOS PBI Artículos'!AT:AT)</f>
        <v>0</v>
      </c>
      <c r="I255" s="34">
        <f>_xlfn.XLOOKUP($A255,'[1]DATOS PBI Artículos'!A:A,'[1]DATOS PBI Artículos'!AS:AS)</f>
        <v>0</v>
      </c>
      <c r="J255" s="35">
        <f>IF(COUNTIF([1]CRITERIOS!$F$179:$F$199,$A255)&gt;=1,
 IF(O255&lt;&gt;"",
    (O255/_xlfn.XLOOKUP(CONCATENATE(A255,L255),[1]MÁQUINAS!A:A,[1]MÁQUINAS!D:D))/24,
    (N255/_xlfn.XLOOKUP(CONCATENATE(A255,L255),[1]MÁQUINAS!A:A,[1]MÁQUINAS!D:D))/24),
  _xlfn.XLOOKUP($A255,'[1]DATOS PBI Artículos'!A:A,'[1]DATOS PBI Artículos'!AU:AU))</f>
        <v>0</v>
      </c>
      <c r="K255" s="36">
        <f>_xlfn.XLOOKUP($A255,'[1]DATOS PBI Artículos'!A:A,'[1]DATOS PBI Artículos'!AV:AV)</f>
        <v>0</v>
      </c>
      <c r="L255" s="33">
        <f>_xlfn.XLOOKUP(A255,[1]MÁQUINAS!B:B,[1]MÁQUINAS!C:C)</f>
        <v>0</v>
      </c>
      <c r="M255" s="34">
        <f t="array" ref="M255">_xlfn.XLOOKUP(A255,'[1]DATOS PBI Artículos'!A:A,'[1]DATOS PBI Artículos'!AX:$AX)</f>
        <v>0</v>
      </c>
      <c r="N255" s="37" t="e">
        <f>IF(I255="DV",
E255,
IF(COUNTIF([1]CRITERIOS!$I$179:$I$199,$A255)&gt;=1,
_xlfn.XLOOKUP($A255,[1]CRITERIOS!$I$179:$I$199,[1]CRITERIOS!$J$179:$J$199),
IF(COUNTIF([1]CRITERIOS!$L$179:$L$199,$A255)&gt;=1,
_xlfn.CEILING.MATH(IF($M255&gt;$E255,
$E255,
IF($M255&lt;$E255/ROUNDDOWN([1]CRITERIOS!$M$16/_xlfn.XLOOKUP($C255,[1]CRITERIOS!$K$25:$K$42,[1]CRITERIOS!$M$25:$M$42),
1),
E255/ROUNDDOWN([1]CRITERIOS!$M$16/_xlfn.XLOOKUP($C255,[1]CRITERIOS!$K$25:$K$42,[1]CRITERIOS!$M$25:$M$42),
1),
$M255)),
_xlfn.XLOOKUP($A255,[1]CRITERIOS!$L$179:$L$200,[1]CRITERIOS!$M$179:$M$200)),
_xlfn.CEILING.MATH(IF($M255&gt;$E255,
$E255,
IF($M255&lt;$E255/ROUNDDOWN([1]CRITERIOS!$M$16/_xlfn.XLOOKUP($C255,[1]CRITERIOS!$K$25:$K$42,[1]CRITERIOS!$M$25:$M$42),
1),
E255/ROUNDDOWN([1]CRITERIOS!$M$16/_xlfn.XLOOKUP($C255,[1]CRITERIOS!$K$25:$K$42,[1]CRITERIOS!$M$25:$M$42),
1),
$M255)),_xlfn.XLOOKUP(A255,'[1]DATOS PBI Artículos'!A:A,'[1]DATOS PBI Artículos'!Z:Z
)))))</f>
        <v>#N/A</v>
      </c>
      <c r="Q255" s="38" t="e">
        <f>IF(AND(O255="",N255=0),
0,
   IF(COUNTIF([1]CRITERIOS!$F$179:$F$199,$A255)&gt;=1,
   1,
   IF(R255="MTO",
      $D255,
      ROUNDUP(
                    IF(($E255-SUMIF('[1]DATOS PBI Artículos'!A:A,A255,'[1]DATOS PBI Artículos'!X:X)+($V255-_xlfn.XLOOKUP(A255,'[1]DATOS PBI Artículos'!A:A,'[1]DATOS PBI Artículos'!W:W)))&lt;0,
                    0,
                    IF(($E255-SUMIF('[1]DATOS PBI Artículos'!A:A,A255,'[1]DATOS PBI Artículos'!X:X)+$V255-_xlfn.XLOOKUP($A255,'[1]DATOS PBI Artículos'!A:A,'[1]DATOS PBI Artículos'!W:W))/IF($O255="",$N255,$O255)&gt;ROUNDUP([1]CRITERIOS!$M$16/(IF(COUNTIF([1]CRITERIOS!$BG$11:$BG$201,L255)&gt;=1,_xlfn.XLOOKUP($C255,[1]CRITERIOS!$K$25:$K$42,[1]CRITERIOS!$M$25:$M$42),_xlfn.XLOOKUP($C255,[1]CRITERIOS!$K$25:$K$42,[1]CRITERIOS!$M$25:$M$42))),0),
                    ROUNDUP([1]CRITERIOS!$M$16/(IF(COUNTIF([1]CRITERIOS!$BG$11:$BG$201,$L255)&gt;=1,_xlfn.XLOOKUP($C255,[1]CRITERIOS!$K$25:$K$42,[1]CRITERIOS!$M$25:$M$42),_xlfn.XLOOKUP($C255,[1]CRITERIOS!$K$25:$K$42,[1]CRITERIOS!$M$25:$M$42))),0),
                    (E255+V255-SUMIF('[1]DATOS PBI Artículos'!A:A,A255,'[1]DATOS PBI Artículos'!X:X)-_xlfn.XLOOKUP(A255,'[1]DATOS PBI Artículos'!A:A,'[1]DATOS PBI Artículos'!W:W))/IF($O255="",$N255,$O255))),0))))</f>
        <v>#N/A</v>
      </c>
      <c r="R255" s="33" t="e">
        <f>IF(U255&lt;&gt;"",U255,IF(F255="DV","MTO",IF(N255=0,"MTO",_xlfn.XLOOKUP(CONCATENATE(S255,T255),[1]CRITERIOS!$K$160:$K$168,[1]CRITERIOS!$N$160:$N$168))))</f>
        <v>#N/A</v>
      </c>
      <c r="S255" s="33" t="e">
        <f>IF(G255="DV","MTO",IF(N255=0,"MTO",IF(OR(AND(N255=0,O255=""),IF(O255="",G255/N255,G255/O255)&gt;[1]CRITERIOS!$G$163),"MTO",IF(IF(O255="",G255/N255,G255/O255)&lt;[1]CRITERIOS!$H$161,"MTS","MTOS"))))</f>
        <v>#N/A</v>
      </c>
      <c r="T255" s="33" t="e">
        <f>IF(F255="DV","MTO",IF(OR(AND($N255=0,O255=""),$F255/$J255&gt;[1]CRITERIOS!$G$170,$F255="DV"),"MTO",IF($F255/$J255&lt;[1]CRITERIOS!$H$168,"MTS","MTOS")))</f>
        <v>#N/A</v>
      </c>
      <c r="V255" s="34" t="e">
        <f t="shared" si="13"/>
        <v>#N/A</v>
      </c>
      <c r="X255" s="34" t="e">
        <f t="shared" si="11"/>
        <v>#N/A</v>
      </c>
      <c r="Y255" s="34" t="e">
        <f t="shared" si="12"/>
        <v>#N/A</v>
      </c>
      <c r="Z255" s="34" t="e">
        <f>IF($R255="MTO",
0,
($H255+$K255*($E255/[1]CRITERIOS!$M$16))/[1]CRITERIOS!$X$48)</f>
        <v>#N/A</v>
      </c>
      <c r="AA255" s="34" t="e">
        <f>ROUNDUP(($Y255/_xlfn.XLOOKUP($A255,'[1]DATOS PBI Artículos'!$A$4:$A$4,'[1]DATOS PBI Artículos'!$Z$4:$Z$4))/_xlfn.XLOOKUP(_xlfn.XLOOKUP($A255,'[1]DATOS PBI Artículos'!$A$4:$A$4,'[1]DATOS PBI Artículos'!$Y$4:$Y$4),[1]CRITERIOS!$P$79:$P$123,[1]CRITERIOS!$S$79:$S$123,),0)</f>
        <v>#N/A</v>
      </c>
      <c r="AB255" s="33" t="e">
        <f t="array" ref="AB255">IF((E255+V255-_xlfn.XLOOKUP(A255,'[1]DATOS PBI Artículos'!$A$4:$A$4,'[1]DATOS PBI Artículos'!$W$4:$W$4))/N255&gt;ROUNDUP([1]CRITERIOS!$M$16/(IF(COUNTIF([1]CRITERIOS!$BG$11:$BG$201,L255)&gt;=1,_xlfn.XLOOKUP(ARTÍCULOS!L255,[1]CRITERIOS!$BG$11:$BG$201,[1]CRITERIOS!$BJ$11:$BJ$201),_xlfn.XLOOKUP(ARTÍCULOS!C255,[1]CRITERIOS!$K$25:$K$42,[1]CRITERIOS!$M$25:$M$42))),0),ROUNDUP([1]CRITERIOS!$M$16/(IF(COUNTIF([1]CRITERIOS!$BG$11:$BG$201,L255)&gt;=1,_xlfn.XLOOKUP(ARTÍCULOS!L255,[1]CRITERIOS!$BG$11:$BG$201:#REF!,[1]CRITERIOS!$BJ$11:$BJ$201),_xlfn.XLOOKUP(ARTÍCULOS!C255,[1]CRITERIOS!$K$25:$K$42,[1]CRITERIOS!$M$25:$M$42))),0),(E255+V255-_xlfn.XLOOKUP(A255,'[1]DATOS PBI Artículos'!$A$4:$A$4,'[1]DATOS PBI Artículos'!$W$4:$W$4))/N255)</f>
        <v>#N/A</v>
      </c>
      <c r="AC255" s="33" t="e">
        <f>IF(N255=0,"",(ROUNDUP((N255/2)/(_xlfn.XLOOKUP(A255,'[1]DATOS PBI Artículos'!$A$4:$A$4,'[1]DATOS PBI Artículos'!$Z$4:$Z$4)*_xlfn.XLOOKUP(_xlfn.XLOOKUP(A255,'[1]DATOS PBI Artículos'!$A$4:$A$4,'[1]DATOS PBI Artículos'!$Y$4:$Y$4),[1]CRITERIOS!$P$79:$P$123,[1]CRITERIOS!$S$79:$S$123)),0)*[1]CRITERIOS!$M$80*([1]CRITERIOS!$M$110/[1]CRITERIOS!$M$86)+(_xlfn.XLOOKUP(A255,'[1]DATOS PBI Artículos'!$A$4:$A$4,'[1]DATOS PBI Artículos'!$AA$4:$AA$4)*([1]CRITERIOS!$M$95+[1]CRITERIOS!$M$98)))/N255)</f>
        <v>#N/A</v>
      </c>
      <c r="AD255" s="33" t="e">
        <f>IF(N255=0,"",(ROUNDUP((N255/2)/(_xlfn.XLOOKUP(A255,'[1]DATOS PBI Artículos'!$A$4:$A$4,'[1]DATOS PBI Artículos'!$Z$4:$Z$4)*_xlfn.XLOOKUP(_xlfn.XLOOKUP(A255,'[1]DATOS PBI Artículos'!$A$4:$A$4,'[1]DATOS PBI Artículos'!$Y$4:$Y$4),[1]CRITERIOS!$P$79:$P$123,[1]CRITERIOS!$S$79:$S$123)),0)*[1]CRITERIOS!$M$80*([1]CRITERIOS!$M$89*[1]CRITERIOS!$M$92)+((_xlfn.XLOOKUP(A255,'[1]DATOS PBI Artículos'!$A$4:$A$4,'[1]DATOS PBI Artículos'!$AA$4:$AA$4)/2)*([1]CRITERIOS!$M$95+[1]CRITERIOS!$M$98)))/N255)</f>
        <v>#N/A</v>
      </c>
      <c r="AE255" s="39" t="e">
        <f>IF($R255="MTO","",
IF($H255=0,ROUNDUP(((_xlfn.XLOOKUP($A255,'[1]DATOS PBI Artículos'!$A:$A,'[1]DATOS PBI Artículos'!$AL:$AL))/(_xlfn.XLOOKUP($AF$1,[1]CRITERIOS!$S$16:$S$39,[1]CRITERIOS!$Y$16:$Y$39))*$J255+$Z255)/$G255,0)*$G255,
((_xlfn.XLOOKUP($A255,'[1]DATOS PBI Artículos'!$A:$A,'[1]DATOS PBI Artículos'!$AL:$AL))/(_xlfn.XLOOKUP($AF$1,[1]CRITERIOS!$S$16:$S$39,[1]CRITERIOS!$Y$16:$Y$39))*$J255+$Z255)))</f>
        <v>#N/A</v>
      </c>
      <c r="AG255" s="39" t="e">
        <f>IF($R255="MTO","",
IF($H255=0,ROUNDUP(((_xlfn.XLOOKUP($A255,'[1]DATOS PBI Artículos'!$A:$A,'[1]DATOS PBI Artículos'!$AM:$AM))/(_xlfn.XLOOKUP($AH$1,[1]CRITERIOS!$S$16:$S$39,[1]CRITERIOS!$Y$16:$Y$39))*$J255+$Z255)/$G255,0)*$G255,
((_xlfn.XLOOKUP($A255,'[1]DATOS PBI Artículos'!$A:$A,'[1]DATOS PBI Artículos'!$AM:$AM))/(_xlfn.XLOOKUP($AH$1,[1]CRITERIOS!$S$16:$S$39,[1]CRITERIOS!$Y$16:$Y$39))*$J255+$Z255)))</f>
        <v>#N/A</v>
      </c>
      <c r="AI255" s="39" t="e">
        <f>IF($R255="MTO","",
IF($H255=0,ROUNDUP(((_xlfn.XLOOKUP($A255,'[1]DATOS PBI Artículos'!$A:$A,'[1]DATOS PBI Artículos'!$AN:$AN))/(_xlfn.XLOOKUP($AJ$1,[1]CRITERIOS!$S$16:$S$39,[1]CRITERIOS!$Y$16:$Y$39))*$J255+$Z255)/$G255,0)*$G255,
((_xlfn.XLOOKUP($A255,'[1]DATOS PBI Artículos'!$A:$A,'[1]DATOS PBI Artículos'!$AN:$AN))/(_xlfn.XLOOKUP($AJ$1,[1]CRITERIOS!$S$16:$S$39,[1]CRITERIOS!$Y$16:$Y$39))*$J255+$Z255)))</f>
        <v>#N/A</v>
      </c>
      <c r="AK255" s="39" t="e">
        <f>IF($R255="MTO","",
IF($H255=0,ROUNDUP(((_xlfn.XLOOKUP($A255,'[1]DATOS PBI Artículos'!$A:$A,'[1]DATOS PBI Artículos'!$AO:$AO))/(_xlfn.XLOOKUP($AL$1,[1]CRITERIOS!$S$16:$S$39,[1]CRITERIOS!$Y$16:$Y$39))*$J255+$Z255)/$G255,0)*$G255,
((_xlfn.XLOOKUP($A255,'[1]DATOS PBI Artículos'!$A:$A,'[1]DATOS PBI Artículos'!$AO:$AO))/(_xlfn.XLOOKUP($AL$1,[1]CRITERIOS!$S$16:$S$39,[1]CRITERIOS!$Y$16:$Y$39))*$J255+$Z255)))</f>
        <v>#N/A</v>
      </c>
    </row>
    <row r="256" spans="1:37" ht="25.8" hidden="1" x14ac:dyDescent="0.4">
      <c r="A256" s="41"/>
      <c r="B256" s="33">
        <f>_xlfn.XLOOKUP($A256,'[1]DATOS PBI Artículos'!A:A,'[1]DATOS PBI Artículos'!B:B)</f>
        <v>0</v>
      </c>
      <c r="C256" s="33">
        <f>_xlfn.XLOOKUP($A256,'[1]DATOS PBI Artículos'!A:A,'[1]DATOS PBI Artículos'!C:C)</f>
        <v>0</v>
      </c>
      <c r="D256" s="33">
        <f>_xlfn.XLOOKUP(A256,'[1]DATOS PBI Artículos'!A:A,'[1]DATOS PBI Artículos'!T:T)</f>
        <v>0</v>
      </c>
      <c r="E256" s="34">
        <f>IF(_xlfn.XLOOKUP($A256,'[1]DATOS PBI Artículos'!A:A,'[1]DATOS PBI Artículos'!AK:AK)="",_xlfn.XLOOKUP($A256,'[1]DATOS PBI Artículos'!A:A,'[1]DATOS PBI Artículos'!AJ:AJ),_xlfn.XLOOKUP($A256,'[1]DATOS PBI Artículos'!A:A,'[1]DATOS PBI Artículos'!AK:AK))</f>
        <v>0</v>
      </c>
      <c r="F256" s="35">
        <f>_xlfn.XLOOKUP($A256,'[1]DATOS PBI Artículos'!A:A,'[1]DATOS PBI Artículos'!AP:AP)</f>
        <v>0</v>
      </c>
      <c r="G256" s="34">
        <f>_xlfn.XLOOKUP($A256,'[1]DATOS PBI Artículos'!A:A,'[1]DATOS PBI Artículos'!AR:AR)</f>
        <v>0</v>
      </c>
      <c r="H256" s="34">
        <f>_xlfn.XLOOKUP($A256,'[1]DATOS PBI Artículos'!A:A,'[1]DATOS PBI Artículos'!AT:AT)</f>
        <v>0</v>
      </c>
      <c r="I256" s="34">
        <f>_xlfn.XLOOKUP($A256,'[1]DATOS PBI Artículos'!A:A,'[1]DATOS PBI Artículos'!AS:AS)</f>
        <v>0</v>
      </c>
      <c r="J256" s="35">
        <f>IF(COUNTIF([1]CRITERIOS!$F$179:$F$199,$A256)&gt;=1,
 IF(O256&lt;&gt;"",
    (O256/_xlfn.XLOOKUP(CONCATENATE(A256,L256),[1]MÁQUINAS!A:A,[1]MÁQUINAS!D:D))/24,
    (N256/_xlfn.XLOOKUP(CONCATENATE(A256,L256),[1]MÁQUINAS!A:A,[1]MÁQUINAS!D:D))/24),
  _xlfn.XLOOKUP($A256,'[1]DATOS PBI Artículos'!A:A,'[1]DATOS PBI Artículos'!AU:AU))</f>
        <v>0</v>
      </c>
      <c r="K256" s="36">
        <f>_xlfn.XLOOKUP($A256,'[1]DATOS PBI Artículos'!A:A,'[1]DATOS PBI Artículos'!AV:AV)</f>
        <v>0</v>
      </c>
      <c r="L256" s="33">
        <f>_xlfn.XLOOKUP(A256,[1]MÁQUINAS!B:B,[1]MÁQUINAS!C:C)</f>
        <v>0</v>
      </c>
      <c r="M256" s="34">
        <f t="array" ref="M256">_xlfn.XLOOKUP(A256,'[1]DATOS PBI Artículos'!A:A,'[1]DATOS PBI Artículos'!AX:$AX)</f>
        <v>0</v>
      </c>
      <c r="N256" s="37" t="e">
        <f>IF(I256="DV",
E256,
IF(COUNTIF([1]CRITERIOS!$I$179:$I$199,$A256)&gt;=1,
_xlfn.XLOOKUP($A256,[1]CRITERIOS!$I$179:$I$199,[1]CRITERIOS!$J$179:$J$199),
IF(COUNTIF([1]CRITERIOS!$L$179:$L$199,$A256)&gt;=1,
_xlfn.CEILING.MATH(IF($M256&gt;$E256,
$E256,
IF($M256&lt;$E256/ROUNDDOWN([1]CRITERIOS!$M$16/_xlfn.XLOOKUP($C256,[1]CRITERIOS!$K$25:$K$42,[1]CRITERIOS!$M$25:$M$42),
1),
E256/ROUNDDOWN([1]CRITERIOS!$M$16/_xlfn.XLOOKUP($C256,[1]CRITERIOS!$K$25:$K$42,[1]CRITERIOS!$M$25:$M$42),
1),
$M256)),
_xlfn.XLOOKUP($A256,[1]CRITERIOS!$L$179:$L$200,[1]CRITERIOS!$M$179:$M$200)),
_xlfn.CEILING.MATH(IF($M256&gt;$E256,
$E256,
IF($M256&lt;$E256/ROUNDDOWN([1]CRITERIOS!$M$16/_xlfn.XLOOKUP($C256,[1]CRITERIOS!$K$25:$K$42,[1]CRITERIOS!$M$25:$M$42),
1),
E256/ROUNDDOWN([1]CRITERIOS!$M$16/_xlfn.XLOOKUP($C256,[1]CRITERIOS!$K$25:$K$42,[1]CRITERIOS!$M$25:$M$42),
1),
$M256)),_xlfn.XLOOKUP(A256,'[1]DATOS PBI Artículos'!A:A,'[1]DATOS PBI Artículos'!Z:Z
)))))</f>
        <v>#N/A</v>
      </c>
      <c r="Q256" s="38" t="e">
        <f>IF(AND(O256="",N256=0),
0,
   IF(COUNTIF([1]CRITERIOS!$F$179:$F$199,$A256)&gt;=1,
   1,
   IF(R256="MTO",
      $D256,
      ROUNDUP(
                    IF(($E256-SUMIF('[1]DATOS PBI Artículos'!A:A,A256,'[1]DATOS PBI Artículos'!X:X)+($V256-_xlfn.XLOOKUP(A256,'[1]DATOS PBI Artículos'!A:A,'[1]DATOS PBI Artículos'!W:W)))&lt;0,
                    0,
                    IF(($E256-SUMIF('[1]DATOS PBI Artículos'!A:A,A256,'[1]DATOS PBI Artículos'!X:X)+$V256-_xlfn.XLOOKUP($A256,'[1]DATOS PBI Artículos'!A:A,'[1]DATOS PBI Artículos'!W:W))/IF($O256="",$N256,$O256)&gt;ROUNDUP([1]CRITERIOS!$M$16/(IF(COUNTIF([1]CRITERIOS!$BG$11:$BG$201,L256)&gt;=1,_xlfn.XLOOKUP($C256,[1]CRITERIOS!$K$25:$K$42,[1]CRITERIOS!$M$25:$M$42),_xlfn.XLOOKUP($C256,[1]CRITERIOS!$K$25:$K$42,[1]CRITERIOS!$M$25:$M$42))),0),
                    ROUNDUP([1]CRITERIOS!$M$16/(IF(COUNTIF([1]CRITERIOS!$BG$11:$BG$201,$L256)&gt;=1,_xlfn.XLOOKUP($C256,[1]CRITERIOS!$K$25:$K$42,[1]CRITERIOS!$M$25:$M$42),_xlfn.XLOOKUP($C256,[1]CRITERIOS!$K$25:$K$42,[1]CRITERIOS!$M$25:$M$42))),0),
                    (E256+V256-SUMIF('[1]DATOS PBI Artículos'!A:A,A256,'[1]DATOS PBI Artículos'!X:X)-_xlfn.XLOOKUP(A256,'[1]DATOS PBI Artículos'!A:A,'[1]DATOS PBI Artículos'!W:W))/IF($O256="",$N256,$O256))),0))))</f>
        <v>#N/A</v>
      </c>
      <c r="R256" s="33" t="e">
        <f>IF(U256&lt;&gt;"",U256,IF(F256="DV","MTO",IF(N256=0,"MTO",_xlfn.XLOOKUP(CONCATENATE(S256,T256),[1]CRITERIOS!$K$160:$K$168,[1]CRITERIOS!$N$160:$N$168))))</f>
        <v>#N/A</v>
      </c>
      <c r="S256" s="33" t="e">
        <f>IF(G256="DV","MTO",IF(N256=0,"MTO",IF(OR(AND(N256=0,O256=""),IF(O256="",G256/N256,G256/O256)&gt;[1]CRITERIOS!$G$163),"MTO",IF(IF(O256="",G256/N256,G256/O256)&lt;[1]CRITERIOS!$H$161,"MTS","MTOS"))))</f>
        <v>#N/A</v>
      </c>
      <c r="T256" s="33" t="e">
        <f>IF(F256="DV","MTO",IF(OR(AND($N256=0,O256=""),$F256/$J256&gt;[1]CRITERIOS!$G$170,$F256="DV"),"MTO",IF($F256/$J256&lt;[1]CRITERIOS!$H$168,"MTS","MTOS")))</f>
        <v>#N/A</v>
      </c>
      <c r="V256" s="34" t="e">
        <f t="shared" si="13"/>
        <v>#N/A</v>
      </c>
      <c r="X256" s="34" t="e">
        <f t="shared" si="11"/>
        <v>#N/A</v>
      </c>
      <c r="Y256" s="34" t="e">
        <f t="shared" si="12"/>
        <v>#N/A</v>
      </c>
      <c r="Z256" s="34" t="e">
        <f>IF($R256="MTO",
0,
($H256+$K256*($E256/[1]CRITERIOS!$M$16))/[1]CRITERIOS!$X$48)</f>
        <v>#N/A</v>
      </c>
      <c r="AA256" s="34" t="e">
        <f>ROUNDUP(($Y256/_xlfn.XLOOKUP($A256,'[1]DATOS PBI Artículos'!$A$4:$A$4,'[1]DATOS PBI Artículos'!$Z$4:$Z$4))/_xlfn.XLOOKUP(_xlfn.XLOOKUP($A256,'[1]DATOS PBI Artículos'!$A$4:$A$4,'[1]DATOS PBI Artículos'!$Y$4:$Y$4),[1]CRITERIOS!$P$79:$P$123,[1]CRITERIOS!$S$79:$S$123,),0)</f>
        <v>#N/A</v>
      </c>
      <c r="AB256" s="33" t="e">
        <f t="array" ref="AB256">IF((E256+V256-_xlfn.XLOOKUP(A256,'[1]DATOS PBI Artículos'!$A$4:$A$4,'[1]DATOS PBI Artículos'!$W$4:$W$4))/N256&gt;ROUNDUP([1]CRITERIOS!$M$16/(IF(COUNTIF([1]CRITERIOS!$BG$11:$BG$201,L256)&gt;=1,_xlfn.XLOOKUP(ARTÍCULOS!L256,[1]CRITERIOS!$BG$11:$BG$201,[1]CRITERIOS!$BJ$11:$BJ$201),_xlfn.XLOOKUP(ARTÍCULOS!C256,[1]CRITERIOS!$K$25:$K$42,[1]CRITERIOS!$M$25:$M$42))),0),ROUNDUP([1]CRITERIOS!$M$16/(IF(COUNTIF([1]CRITERIOS!$BG$11:$BG$201,L256)&gt;=1,_xlfn.XLOOKUP(ARTÍCULOS!L256,[1]CRITERIOS!$BG$11:$BG$201:#REF!,[1]CRITERIOS!$BJ$11:$BJ$201),_xlfn.XLOOKUP(ARTÍCULOS!C256,[1]CRITERIOS!$K$25:$K$42,[1]CRITERIOS!$M$25:$M$42))),0),(E256+V256-_xlfn.XLOOKUP(A256,'[1]DATOS PBI Artículos'!$A$4:$A$4,'[1]DATOS PBI Artículos'!$W$4:$W$4))/N256)</f>
        <v>#N/A</v>
      </c>
      <c r="AC256" s="33" t="e">
        <f>IF(N256=0,"",(ROUNDUP((N256/2)/(_xlfn.XLOOKUP(A256,'[1]DATOS PBI Artículos'!$A$4:$A$4,'[1]DATOS PBI Artículos'!$Z$4:$Z$4)*_xlfn.XLOOKUP(_xlfn.XLOOKUP(A256,'[1]DATOS PBI Artículos'!$A$4:$A$4,'[1]DATOS PBI Artículos'!$Y$4:$Y$4),[1]CRITERIOS!$P$79:$P$123,[1]CRITERIOS!$S$79:$S$123)),0)*[1]CRITERIOS!$M$80*([1]CRITERIOS!$M$110/[1]CRITERIOS!$M$86)+(_xlfn.XLOOKUP(A256,'[1]DATOS PBI Artículos'!$A$4:$A$4,'[1]DATOS PBI Artículos'!$AA$4:$AA$4)*([1]CRITERIOS!$M$95+[1]CRITERIOS!$M$98)))/N256)</f>
        <v>#N/A</v>
      </c>
      <c r="AD256" s="33" t="e">
        <f>IF(N256=0,"",(ROUNDUP((N256/2)/(_xlfn.XLOOKUP(A256,'[1]DATOS PBI Artículos'!$A$4:$A$4,'[1]DATOS PBI Artículos'!$Z$4:$Z$4)*_xlfn.XLOOKUP(_xlfn.XLOOKUP(A256,'[1]DATOS PBI Artículos'!$A$4:$A$4,'[1]DATOS PBI Artículos'!$Y$4:$Y$4),[1]CRITERIOS!$P$79:$P$123,[1]CRITERIOS!$S$79:$S$123)),0)*[1]CRITERIOS!$M$80*([1]CRITERIOS!$M$89*[1]CRITERIOS!$M$92)+((_xlfn.XLOOKUP(A256,'[1]DATOS PBI Artículos'!$A$4:$A$4,'[1]DATOS PBI Artículos'!$AA$4:$AA$4)/2)*([1]CRITERIOS!$M$95+[1]CRITERIOS!$M$98)))/N256)</f>
        <v>#N/A</v>
      </c>
      <c r="AE256" s="39" t="e">
        <f>IF($R256="MTO","",
IF($H256=0,ROUNDUP(((_xlfn.XLOOKUP($A256,'[1]DATOS PBI Artículos'!$A:$A,'[1]DATOS PBI Artículos'!$AL:$AL))/(_xlfn.XLOOKUP($AF$1,[1]CRITERIOS!$S$16:$S$39,[1]CRITERIOS!$Y$16:$Y$39))*$J256+$Z256)/$G256,0)*$G256,
((_xlfn.XLOOKUP($A256,'[1]DATOS PBI Artículos'!$A:$A,'[1]DATOS PBI Artículos'!$AL:$AL))/(_xlfn.XLOOKUP($AF$1,[1]CRITERIOS!$S$16:$S$39,[1]CRITERIOS!$Y$16:$Y$39))*$J256+$Z256)))</f>
        <v>#N/A</v>
      </c>
      <c r="AG256" s="39" t="e">
        <f>IF($R256="MTO","",
IF($H256=0,ROUNDUP(((_xlfn.XLOOKUP($A256,'[1]DATOS PBI Artículos'!$A:$A,'[1]DATOS PBI Artículos'!$AM:$AM))/(_xlfn.XLOOKUP($AH$1,[1]CRITERIOS!$S$16:$S$39,[1]CRITERIOS!$Y$16:$Y$39))*$J256+$Z256)/$G256,0)*$G256,
((_xlfn.XLOOKUP($A256,'[1]DATOS PBI Artículos'!$A:$A,'[1]DATOS PBI Artículos'!$AM:$AM))/(_xlfn.XLOOKUP($AH$1,[1]CRITERIOS!$S$16:$S$39,[1]CRITERIOS!$Y$16:$Y$39))*$J256+$Z256)))</f>
        <v>#N/A</v>
      </c>
      <c r="AI256" s="39" t="e">
        <f>IF($R256="MTO","",
IF($H256=0,ROUNDUP(((_xlfn.XLOOKUP($A256,'[1]DATOS PBI Artículos'!$A:$A,'[1]DATOS PBI Artículos'!$AN:$AN))/(_xlfn.XLOOKUP($AJ$1,[1]CRITERIOS!$S$16:$S$39,[1]CRITERIOS!$Y$16:$Y$39))*$J256+$Z256)/$G256,0)*$G256,
((_xlfn.XLOOKUP($A256,'[1]DATOS PBI Artículos'!$A:$A,'[1]DATOS PBI Artículos'!$AN:$AN))/(_xlfn.XLOOKUP($AJ$1,[1]CRITERIOS!$S$16:$S$39,[1]CRITERIOS!$Y$16:$Y$39))*$J256+$Z256)))</f>
        <v>#N/A</v>
      </c>
      <c r="AK256" s="39" t="e">
        <f>IF($R256="MTO","",
IF($H256=0,ROUNDUP(((_xlfn.XLOOKUP($A256,'[1]DATOS PBI Artículos'!$A:$A,'[1]DATOS PBI Artículos'!$AO:$AO))/(_xlfn.XLOOKUP($AL$1,[1]CRITERIOS!$S$16:$S$39,[1]CRITERIOS!$Y$16:$Y$39))*$J256+$Z256)/$G256,0)*$G256,
((_xlfn.XLOOKUP($A256,'[1]DATOS PBI Artículos'!$A:$A,'[1]DATOS PBI Artículos'!$AO:$AO))/(_xlfn.XLOOKUP($AL$1,[1]CRITERIOS!$S$16:$S$39,[1]CRITERIOS!$Y$16:$Y$39))*$J256+$Z256)))</f>
        <v>#N/A</v>
      </c>
    </row>
    <row r="257" spans="1:37" ht="25.8" hidden="1" x14ac:dyDescent="0.4">
      <c r="A257" s="41"/>
      <c r="B257" s="33">
        <f>_xlfn.XLOOKUP($A257,'[1]DATOS PBI Artículos'!A:A,'[1]DATOS PBI Artículos'!B:B)</f>
        <v>0</v>
      </c>
      <c r="C257" s="33">
        <f>_xlfn.XLOOKUP($A257,'[1]DATOS PBI Artículos'!A:A,'[1]DATOS PBI Artículos'!C:C)</f>
        <v>0</v>
      </c>
      <c r="D257" s="33">
        <f>_xlfn.XLOOKUP(A257,'[1]DATOS PBI Artículos'!A:A,'[1]DATOS PBI Artículos'!T:T)</f>
        <v>0</v>
      </c>
      <c r="E257" s="34">
        <f>IF(_xlfn.XLOOKUP($A257,'[1]DATOS PBI Artículos'!A:A,'[1]DATOS PBI Artículos'!AK:AK)="",_xlfn.XLOOKUP($A257,'[1]DATOS PBI Artículos'!A:A,'[1]DATOS PBI Artículos'!AJ:AJ),_xlfn.XLOOKUP($A257,'[1]DATOS PBI Artículos'!A:A,'[1]DATOS PBI Artículos'!AK:AK))</f>
        <v>0</v>
      </c>
      <c r="F257" s="35">
        <f>_xlfn.XLOOKUP($A257,'[1]DATOS PBI Artículos'!A:A,'[1]DATOS PBI Artículos'!AP:AP)</f>
        <v>0</v>
      </c>
      <c r="G257" s="34">
        <f>_xlfn.XLOOKUP($A257,'[1]DATOS PBI Artículos'!A:A,'[1]DATOS PBI Artículos'!AR:AR)</f>
        <v>0</v>
      </c>
      <c r="H257" s="34">
        <f>_xlfn.XLOOKUP($A257,'[1]DATOS PBI Artículos'!A:A,'[1]DATOS PBI Artículos'!AT:AT)</f>
        <v>0</v>
      </c>
      <c r="I257" s="34">
        <f>_xlfn.XLOOKUP($A257,'[1]DATOS PBI Artículos'!A:A,'[1]DATOS PBI Artículos'!AS:AS)</f>
        <v>0</v>
      </c>
      <c r="J257" s="35">
        <f>IF(COUNTIF([1]CRITERIOS!$F$179:$F$199,$A257)&gt;=1,
 IF(O257&lt;&gt;"",
    (O257/_xlfn.XLOOKUP(CONCATENATE(A257,L257),[1]MÁQUINAS!A:A,[1]MÁQUINAS!D:D))/24,
    (N257/_xlfn.XLOOKUP(CONCATENATE(A257,L257),[1]MÁQUINAS!A:A,[1]MÁQUINAS!D:D))/24),
  _xlfn.XLOOKUP($A257,'[1]DATOS PBI Artículos'!A:A,'[1]DATOS PBI Artículos'!AU:AU))</f>
        <v>0</v>
      </c>
      <c r="K257" s="36">
        <f>_xlfn.XLOOKUP($A257,'[1]DATOS PBI Artículos'!A:A,'[1]DATOS PBI Artículos'!AV:AV)</f>
        <v>0</v>
      </c>
      <c r="L257" s="33">
        <f>_xlfn.XLOOKUP(A257,[1]MÁQUINAS!B:B,[1]MÁQUINAS!C:C)</f>
        <v>0</v>
      </c>
      <c r="M257" s="34">
        <f t="array" ref="M257">_xlfn.XLOOKUP(A257,'[1]DATOS PBI Artículos'!A:A,'[1]DATOS PBI Artículos'!AX:$AX)</f>
        <v>0</v>
      </c>
      <c r="N257" s="37" t="e">
        <f>IF(I257="DV",
E257,
IF(COUNTIF([1]CRITERIOS!$I$179:$I$199,$A257)&gt;=1,
_xlfn.XLOOKUP($A257,[1]CRITERIOS!$I$179:$I$199,[1]CRITERIOS!$J$179:$J$199),
IF(COUNTIF([1]CRITERIOS!$L$179:$L$199,$A257)&gt;=1,
_xlfn.CEILING.MATH(IF($M257&gt;$E257,
$E257,
IF($M257&lt;$E257/ROUNDDOWN([1]CRITERIOS!$M$16/_xlfn.XLOOKUP($C257,[1]CRITERIOS!$K$25:$K$42,[1]CRITERIOS!$M$25:$M$42),
1),
E257/ROUNDDOWN([1]CRITERIOS!$M$16/_xlfn.XLOOKUP($C257,[1]CRITERIOS!$K$25:$K$42,[1]CRITERIOS!$M$25:$M$42),
1),
$M257)),
_xlfn.XLOOKUP($A257,[1]CRITERIOS!$L$179:$L$200,[1]CRITERIOS!$M$179:$M$200)),
_xlfn.CEILING.MATH(IF($M257&gt;$E257,
$E257,
IF($M257&lt;$E257/ROUNDDOWN([1]CRITERIOS!$M$16/_xlfn.XLOOKUP($C257,[1]CRITERIOS!$K$25:$K$42,[1]CRITERIOS!$M$25:$M$42),
1),
E257/ROUNDDOWN([1]CRITERIOS!$M$16/_xlfn.XLOOKUP($C257,[1]CRITERIOS!$K$25:$K$42,[1]CRITERIOS!$M$25:$M$42),
1),
$M257)),_xlfn.XLOOKUP(A257,'[1]DATOS PBI Artículos'!A:A,'[1]DATOS PBI Artículos'!Z:Z
)))))</f>
        <v>#N/A</v>
      </c>
      <c r="Q257" s="38" t="e">
        <f>IF(AND(O257="",N257=0),
0,
   IF(COUNTIF([1]CRITERIOS!$F$179:$F$199,$A257)&gt;=1,
   1,
   IF(R257="MTO",
      $D257,
      ROUNDUP(
                    IF(($E257-SUMIF('[1]DATOS PBI Artículos'!A:A,A257,'[1]DATOS PBI Artículos'!X:X)+($V257-_xlfn.XLOOKUP(A257,'[1]DATOS PBI Artículos'!A:A,'[1]DATOS PBI Artículos'!W:W)))&lt;0,
                    0,
                    IF(($E257-SUMIF('[1]DATOS PBI Artículos'!A:A,A257,'[1]DATOS PBI Artículos'!X:X)+$V257-_xlfn.XLOOKUP($A257,'[1]DATOS PBI Artículos'!A:A,'[1]DATOS PBI Artículos'!W:W))/IF($O257="",$N257,$O257)&gt;ROUNDUP([1]CRITERIOS!$M$16/(IF(COUNTIF([1]CRITERIOS!$BG$11:$BG$201,L257)&gt;=1,_xlfn.XLOOKUP($C257,[1]CRITERIOS!$K$25:$K$42,[1]CRITERIOS!$M$25:$M$42),_xlfn.XLOOKUP($C257,[1]CRITERIOS!$K$25:$K$42,[1]CRITERIOS!$M$25:$M$42))),0),
                    ROUNDUP([1]CRITERIOS!$M$16/(IF(COUNTIF([1]CRITERIOS!$BG$11:$BG$201,$L257)&gt;=1,_xlfn.XLOOKUP($C257,[1]CRITERIOS!$K$25:$K$42,[1]CRITERIOS!$M$25:$M$42),_xlfn.XLOOKUP($C257,[1]CRITERIOS!$K$25:$K$42,[1]CRITERIOS!$M$25:$M$42))),0),
                    (E257+V257-SUMIF('[1]DATOS PBI Artículos'!A:A,A257,'[1]DATOS PBI Artículos'!X:X)-_xlfn.XLOOKUP(A257,'[1]DATOS PBI Artículos'!A:A,'[1]DATOS PBI Artículos'!W:W))/IF($O257="",$N257,$O257))),0))))</f>
        <v>#N/A</v>
      </c>
      <c r="R257" s="33" t="e">
        <f>IF(U257&lt;&gt;"",U257,IF(F257="DV","MTO",IF(N257=0,"MTO",_xlfn.XLOOKUP(CONCATENATE(S257,T257),[1]CRITERIOS!$K$160:$K$168,[1]CRITERIOS!$N$160:$N$168))))</f>
        <v>#N/A</v>
      </c>
      <c r="S257" s="33" t="e">
        <f>IF(G257="DV","MTO",IF(N257=0,"MTO",IF(OR(AND(N257=0,O257=""),IF(O257="",G257/N257,G257/O257)&gt;[1]CRITERIOS!$G$163),"MTO",IF(IF(O257="",G257/N257,G257/O257)&lt;[1]CRITERIOS!$H$161,"MTS","MTOS"))))</f>
        <v>#N/A</v>
      </c>
      <c r="T257" s="33" t="e">
        <f>IF(F257="DV","MTO",IF(OR(AND($N257=0,O257=""),$F257/$J257&gt;[1]CRITERIOS!$G$170,$F257="DV"),"MTO",IF($F257/$J257&lt;[1]CRITERIOS!$H$168,"MTS","MTOS")))</f>
        <v>#N/A</v>
      </c>
      <c r="V257" s="34" t="e">
        <f t="shared" si="13"/>
        <v>#N/A</v>
      </c>
      <c r="X257" s="34" t="e">
        <f t="shared" si="11"/>
        <v>#N/A</v>
      </c>
      <c r="Y257" s="34" t="e">
        <f t="shared" si="12"/>
        <v>#N/A</v>
      </c>
      <c r="Z257" s="34" t="e">
        <f>IF($R257="MTO",
0,
($H257+$K257*($E257/[1]CRITERIOS!$M$16))/[1]CRITERIOS!$X$48)</f>
        <v>#N/A</v>
      </c>
      <c r="AA257" s="34" t="e">
        <f>ROUNDUP(($Y257/_xlfn.XLOOKUP($A257,'[1]DATOS PBI Artículos'!$A$4:$A$4,'[1]DATOS PBI Artículos'!$Z$4:$Z$4))/_xlfn.XLOOKUP(_xlfn.XLOOKUP($A257,'[1]DATOS PBI Artículos'!$A$4:$A$4,'[1]DATOS PBI Artículos'!$Y$4:$Y$4),[1]CRITERIOS!$P$79:$P$123,[1]CRITERIOS!$S$79:$S$123,),0)</f>
        <v>#N/A</v>
      </c>
      <c r="AB257" s="33" t="e">
        <f t="array" ref="AB257">IF((E257+V257-_xlfn.XLOOKUP(A257,'[1]DATOS PBI Artículos'!$A$4:$A$4,'[1]DATOS PBI Artículos'!$W$4:$W$4))/N257&gt;ROUNDUP([1]CRITERIOS!$M$16/(IF(COUNTIF([1]CRITERIOS!$BG$11:$BG$201,L257)&gt;=1,_xlfn.XLOOKUP(ARTÍCULOS!L257,[1]CRITERIOS!$BG$11:$BG$201,[1]CRITERIOS!$BJ$11:$BJ$201),_xlfn.XLOOKUP(ARTÍCULOS!C257,[1]CRITERIOS!$K$25:$K$42,[1]CRITERIOS!$M$25:$M$42))),0),ROUNDUP([1]CRITERIOS!$M$16/(IF(COUNTIF([1]CRITERIOS!$BG$11:$BG$201,L257)&gt;=1,_xlfn.XLOOKUP(ARTÍCULOS!L257,[1]CRITERIOS!$BG$11:$BG$201:#REF!,[1]CRITERIOS!$BJ$11:$BJ$201),_xlfn.XLOOKUP(ARTÍCULOS!C257,[1]CRITERIOS!$K$25:$K$42,[1]CRITERIOS!$M$25:$M$42))),0),(E257+V257-_xlfn.XLOOKUP(A257,'[1]DATOS PBI Artículos'!$A$4:$A$4,'[1]DATOS PBI Artículos'!$W$4:$W$4))/N257)</f>
        <v>#N/A</v>
      </c>
      <c r="AC257" s="33" t="e">
        <f>IF(N257=0,"",(ROUNDUP((N257/2)/(_xlfn.XLOOKUP(A257,'[1]DATOS PBI Artículos'!$A$4:$A$4,'[1]DATOS PBI Artículos'!$Z$4:$Z$4)*_xlfn.XLOOKUP(_xlfn.XLOOKUP(A257,'[1]DATOS PBI Artículos'!$A$4:$A$4,'[1]DATOS PBI Artículos'!$Y$4:$Y$4),[1]CRITERIOS!$P$79:$P$123,[1]CRITERIOS!$S$79:$S$123)),0)*[1]CRITERIOS!$M$80*([1]CRITERIOS!$M$110/[1]CRITERIOS!$M$86)+(_xlfn.XLOOKUP(A257,'[1]DATOS PBI Artículos'!$A$4:$A$4,'[1]DATOS PBI Artículos'!$AA$4:$AA$4)*([1]CRITERIOS!$M$95+[1]CRITERIOS!$M$98)))/N257)</f>
        <v>#N/A</v>
      </c>
      <c r="AD257" s="33" t="e">
        <f>IF(N257=0,"",(ROUNDUP((N257/2)/(_xlfn.XLOOKUP(A257,'[1]DATOS PBI Artículos'!$A$4:$A$4,'[1]DATOS PBI Artículos'!$Z$4:$Z$4)*_xlfn.XLOOKUP(_xlfn.XLOOKUP(A257,'[1]DATOS PBI Artículos'!$A$4:$A$4,'[1]DATOS PBI Artículos'!$Y$4:$Y$4),[1]CRITERIOS!$P$79:$P$123,[1]CRITERIOS!$S$79:$S$123)),0)*[1]CRITERIOS!$M$80*([1]CRITERIOS!$M$89*[1]CRITERIOS!$M$92)+((_xlfn.XLOOKUP(A257,'[1]DATOS PBI Artículos'!$A$4:$A$4,'[1]DATOS PBI Artículos'!$AA$4:$AA$4)/2)*([1]CRITERIOS!$M$95+[1]CRITERIOS!$M$98)))/N257)</f>
        <v>#N/A</v>
      </c>
      <c r="AE257" s="39" t="e">
        <f>IF($R257="MTO","",
IF($H257=0,ROUNDUP(((_xlfn.XLOOKUP($A257,'[1]DATOS PBI Artículos'!$A:$A,'[1]DATOS PBI Artículos'!$AL:$AL))/(_xlfn.XLOOKUP($AF$1,[1]CRITERIOS!$S$16:$S$39,[1]CRITERIOS!$Y$16:$Y$39))*$J257+$Z257)/$G257,0)*$G257,
((_xlfn.XLOOKUP($A257,'[1]DATOS PBI Artículos'!$A:$A,'[1]DATOS PBI Artículos'!$AL:$AL))/(_xlfn.XLOOKUP($AF$1,[1]CRITERIOS!$S$16:$S$39,[1]CRITERIOS!$Y$16:$Y$39))*$J257+$Z257)))</f>
        <v>#N/A</v>
      </c>
      <c r="AG257" s="39" t="e">
        <f>IF($R257="MTO","",
IF($H257=0,ROUNDUP(((_xlfn.XLOOKUP($A257,'[1]DATOS PBI Artículos'!$A:$A,'[1]DATOS PBI Artículos'!$AM:$AM))/(_xlfn.XLOOKUP($AH$1,[1]CRITERIOS!$S$16:$S$39,[1]CRITERIOS!$Y$16:$Y$39))*$J257+$Z257)/$G257,0)*$G257,
((_xlfn.XLOOKUP($A257,'[1]DATOS PBI Artículos'!$A:$A,'[1]DATOS PBI Artículos'!$AM:$AM))/(_xlfn.XLOOKUP($AH$1,[1]CRITERIOS!$S$16:$S$39,[1]CRITERIOS!$Y$16:$Y$39))*$J257+$Z257)))</f>
        <v>#N/A</v>
      </c>
      <c r="AI257" s="39" t="e">
        <f>IF($R257="MTO","",
IF($H257=0,ROUNDUP(((_xlfn.XLOOKUP($A257,'[1]DATOS PBI Artículos'!$A:$A,'[1]DATOS PBI Artículos'!$AN:$AN))/(_xlfn.XLOOKUP($AJ$1,[1]CRITERIOS!$S$16:$S$39,[1]CRITERIOS!$Y$16:$Y$39))*$J257+$Z257)/$G257,0)*$G257,
((_xlfn.XLOOKUP($A257,'[1]DATOS PBI Artículos'!$A:$A,'[1]DATOS PBI Artículos'!$AN:$AN))/(_xlfn.XLOOKUP($AJ$1,[1]CRITERIOS!$S$16:$S$39,[1]CRITERIOS!$Y$16:$Y$39))*$J257+$Z257)))</f>
        <v>#N/A</v>
      </c>
      <c r="AK257" s="39" t="e">
        <f>IF($R257="MTO","",
IF($H257=0,ROUNDUP(((_xlfn.XLOOKUP($A257,'[1]DATOS PBI Artículos'!$A:$A,'[1]DATOS PBI Artículos'!$AO:$AO))/(_xlfn.XLOOKUP($AL$1,[1]CRITERIOS!$S$16:$S$39,[1]CRITERIOS!$Y$16:$Y$39))*$J257+$Z257)/$G257,0)*$G257,
((_xlfn.XLOOKUP($A257,'[1]DATOS PBI Artículos'!$A:$A,'[1]DATOS PBI Artículos'!$AO:$AO))/(_xlfn.XLOOKUP($AL$1,[1]CRITERIOS!$S$16:$S$39,[1]CRITERIOS!$Y$16:$Y$39))*$J257+$Z257)))</f>
        <v>#N/A</v>
      </c>
    </row>
    <row r="258" spans="1:37" ht="25.8" hidden="1" x14ac:dyDescent="0.4">
      <c r="A258" s="41"/>
      <c r="B258" s="33">
        <f>_xlfn.XLOOKUP($A258,'[1]DATOS PBI Artículos'!A:A,'[1]DATOS PBI Artículos'!B:B)</f>
        <v>0</v>
      </c>
      <c r="C258" s="33">
        <f>_xlfn.XLOOKUP($A258,'[1]DATOS PBI Artículos'!A:A,'[1]DATOS PBI Artículos'!C:C)</f>
        <v>0</v>
      </c>
      <c r="D258" s="33">
        <f>_xlfn.XLOOKUP(A258,'[1]DATOS PBI Artículos'!A:A,'[1]DATOS PBI Artículos'!T:T)</f>
        <v>0</v>
      </c>
      <c r="E258" s="34">
        <f>IF(_xlfn.XLOOKUP($A258,'[1]DATOS PBI Artículos'!A:A,'[1]DATOS PBI Artículos'!AK:AK)="",_xlfn.XLOOKUP($A258,'[1]DATOS PBI Artículos'!A:A,'[1]DATOS PBI Artículos'!AJ:AJ),_xlfn.XLOOKUP($A258,'[1]DATOS PBI Artículos'!A:A,'[1]DATOS PBI Artículos'!AK:AK))</f>
        <v>0</v>
      </c>
      <c r="F258" s="35">
        <f>_xlfn.XLOOKUP($A258,'[1]DATOS PBI Artículos'!A:A,'[1]DATOS PBI Artículos'!AP:AP)</f>
        <v>0</v>
      </c>
      <c r="G258" s="34">
        <f>_xlfn.XLOOKUP($A258,'[1]DATOS PBI Artículos'!A:A,'[1]DATOS PBI Artículos'!AR:AR)</f>
        <v>0</v>
      </c>
      <c r="H258" s="34">
        <f>_xlfn.XLOOKUP($A258,'[1]DATOS PBI Artículos'!A:A,'[1]DATOS PBI Artículos'!AT:AT)</f>
        <v>0</v>
      </c>
      <c r="I258" s="34">
        <f>_xlfn.XLOOKUP($A258,'[1]DATOS PBI Artículos'!A:A,'[1]DATOS PBI Artículos'!AS:AS)</f>
        <v>0</v>
      </c>
      <c r="J258" s="35">
        <f>IF(COUNTIF([1]CRITERIOS!$F$179:$F$199,$A258)&gt;=1,
 IF(O258&lt;&gt;"",
    (O258/_xlfn.XLOOKUP(CONCATENATE(A258,L258),[1]MÁQUINAS!A:A,[1]MÁQUINAS!D:D))/24,
    (N258/_xlfn.XLOOKUP(CONCATENATE(A258,L258),[1]MÁQUINAS!A:A,[1]MÁQUINAS!D:D))/24),
  _xlfn.XLOOKUP($A258,'[1]DATOS PBI Artículos'!A:A,'[1]DATOS PBI Artículos'!AU:AU))</f>
        <v>0</v>
      </c>
      <c r="K258" s="36">
        <f>_xlfn.XLOOKUP($A258,'[1]DATOS PBI Artículos'!A:A,'[1]DATOS PBI Artículos'!AV:AV)</f>
        <v>0</v>
      </c>
      <c r="L258" s="33">
        <f>_xlfn.XLOOKUP(A258,[1]MÁQUINAS!B:B,[1]MÁQUINAS!C:C)</f>
        <v>0</v>
      </c>
      <c r="M258" s="34">
        <f t="array" ref="M258">_xlfn.XLOOKUP(A258,'[1]DATOS PBI Artículos'!A:A,'[1]DATOS PBI Artículos'!AX:$AX)</f>
        <v>0</v>
      </c>
      <c r="N258" s="37" t="e">
        <f>IF(I258="DV",
E258,
IF(COUNTIF([1]CRITERIOS!$I$179:$I$199,$A258)&gt;=1,
_xlfn.XLOOKUP($A258,[1]CRITERIOS!$I$179:$I$199,[1]CRITERIOS!$J$179:$J$199),
IF(COUNTIF([1]CRITERIOS!$L$179:$L$199,$A258)&gt;=1,
_xlfn.CEILING.MATH(IF($M258&gt;$E258,
$E258,
IF($M258&lt;$E258/ROUNDDOWN([1]CRITERIOS!$M$16/_xlfn.XLOOKUP($C258,[1]CRITERIOS!$K$25:$K$42,[1]CRITERIOS!$M$25:$M$42),
1),
E258/ROUNDDOWN([1]CRITERIOS!$M$16/_xlfn.XLOOKUP($C258,[1]CRITERIOS!$K$25:$K$42,[1]CRITERIOS!$M$25:$M$42),
1),
$M258)),
_xlfn.XLOOKUP($A258,[1]CRITERIOS!$L$179:$L$200,[1]CRITERIOS!$M$179:$M$200)),
_xlfn.CEILING.MATH(IF($M258&gt;$E258,
$E258,
IF($M258&lt;$E258/ROUNDDOWN([1]CRITERIOS!$M$16/_xlfn.XLOOKUP($C258,[1]CRITERIOS!$K$25:$K$42,[1]CRITERIOS!$M$25:$M$42),
1),
E258/ROUNDDOWN([1]CRITERIOS!$M$16/_xlfn.XLOOKUP($C258,[1]CRITERIOS!$K$25:$K$42,[1]CRITERIOS!$M$25:$M$42),
1),
$M258)),_xlfn.XLOOKUP(A258,'[1]DATOS PBI Artículos'!A:A,'[1]DATOS PBI Artículos'!Z:Z
)))))</f>
        <v>#N/A</v>
      </c>
      <c r="Q258" s="38" t="e">
        <f>IF(AND(O258="",N258=0),
0,
   IF(COUNTIF([1]CRITERIOS!$F$179:$F$199,$A258)&gt;=1,
   1,
   IF(R258="MTO",
      $D258,
      ROUNDUP(
                    IF(($E258-SUMIF('[1]DATOS PBI Artículos'!A:A,A258,'[1]DATOS PBI Artículos'!X:X)+($V258-_xlfn.XLOOKUP(A258,'[1]DATOS PBI Artículos'!A:A,'[1]DATOS PBI Artículos'!W:W)))&lt;0,
                    0,
                    IF(($E258-SUMIF('[1]DATOS PBI Artículos'!A:A,A258,'[1]DATOS PBI Artículos'!X:X)+$V258-_xlfn.XLOOKUP($A258,'[1]DATOS PBI Artículos'!A:A,'[1]DATOS PBI Artículos'!W:W))/IF($O258="",$N258,$O258)&gt;ROUNDUP([1]CRITERIOS!$M$16/(IF(COUNTIF([1]CRITERIOS!$BG$11:$BG$201,L258)&gt;=1,_xlfn.XLOOKUP($C258,[1]CRITERIOS!$K$25:$K$42,[1]CRITERIOS!$M$25:$M$42),_xlfn.XLOOKUP($C258,[1]CRITERIOS!$K$25:$K$42,[1]CRITERIOS!$M$25:$M$42))),0),
                    ROUNDUP([1]CRITERIOS!$M$16/(IF(COUNTIF([1]CRITERIOS!$BG$11:$BG$201,$L258)&gt;=1,_xlfn.XLOOKUP($C258,[1]CRITERIOS!$K$25:$K$42,[1]CRITERIOS!$M$25:$M$42),_xlfn.XLOOKUP($C258,[1]CRITERIOS!$K$25:$K$42,[1]CRITERIOS!$M$25:$M$42))),0),
                    (E258+V258-SUMIF('[1]DATOS PBI Artículos'!A:A,A258,'[1]DATOS PBI Artículos'!X:X)-_xlfn.XLOOKUP(A258,'[1]DATOS PBI Artículos'!A:A,'[1]DATOS PBI Artículos'!W:W))/IF($O258="",$N258,$O258))),0))))</f>
        <v>#N/A</v>
      </c>
      <c r="R258" s="33" t="e">
        <f>IF(U258&lt;&gt;"",U258,IF(F258="DV","MTO",IF(N258=0,"MTO",_xlfn.XLOOKUP(CONCATENATE(S258,T258),[1]CRITERIOS!$K$160:$K$168,[1]CRITERIOS!$N$160:$N$168))))</f>
        <v>#N/A</v>
      </c>
      <c r="S258" s="33" t="e">
        <f>IF(G258="DV","MTO",IF(N258=0,"MTO",IF(OR(AND(N258=0,O258=""),IF(O258="",G258/N258,G258/O258)&gt;[1]CRITERIOS!$G$163),"MTO",IF(IF(O258="",G258/N258,G258/O258)&lt;[1]CRITERIOS!$H$161,"MTS","MTOS"))))</f>
        <v>#N/A</v>
      </c>
      <c r="T258" s="33" t="e">
        <f>IF(F258="DV","MTO",IF(OR(AND($N258=0,O258=""),$F258/$J258&gt;[1]CRITERIOS!$G$170,$F258="DV"),"MTO",IF($F258/$J258&lt;[1]CRITERIOS!$H$168,"MTS","MTOS")))</f>
        <v>#N/A</v>
      </c>
      <c r="V258" s="34" t="e">
        <f t="shared" si="13"/>
        <v>#N/A</v>
      </c>
      <c r="X258" s="34" t="e">
        <f t="shared" si="11"/>
        <v>#N/A</v>
      </c>
      <c r="Y258" s="34" t="e">
        <f t="shared" si="12"/>
        <v>#N/A</v>
      </c>
      <c r="Z258" s="34" t="e">
        <f>IF($R258="MTO",
0,
($H258+$K258*($E258/[1]CRITERIOS!$M$16))/[1]CRITERIOS!$X$48)</f>
        <v>#N/A</v>
      </c>
      <c r="AA258" s="34" t="e">
        <f>ROUNDUP(($Y258/_xlfn.XLOOKUP($A258,'[1]DATOS PBI Artículos'!$A$4:$A$4,'[1]DATOS PBI Artículos'!$Z$4:$Z$4))/_xlfn.XLOOKUP(_xlfn.XLOOKUP($A258,'[1]DATOS PBI Artículos'!$A$4:$A$4,'[1]DATOS PBI Artículos'!$Y$4:$Y$4),[1]CRITERIOS!$P$79:$P$123,[1]CRITERIOS!$S$79:$S$123,),0)</f>
        <v>#N/A</v>
      </c>
      <c r="AB258" s="33" t="e">
        <f t="array" ref="AB258">IF((E258+V258-_xlfn.XLOOKUP(A258,'[1]DATOS PBI Artículos'!$A$4:$A$4,'[1]DATOS PBI Artículos'!$W$4:$W$4))/N258&gt;ROUNDUP([1]CRITERIOS!$M$16/(IF(COUNTIF([1]CRITERIOS!$BG$11:$BG$201,L258)&gt;=1,_xlfn.XLOOKUP(ARTÍCULOS!L258,[1]CRITERIOS!$BG$11:$BG$201,[1]CRITERIOS!$BJ$11:$BJ$201),_xlfn.XLOOKUP(ARTÍCULOS!C258,[1]CRITERIOS!$K$25:$K$42,[1]CRITERIOS!$M$25:$M$42))),0),ROUNDUP([1]CRITERIOS!$M$16/(IF(COUNTIF([1]CRITERIOS!$BG$11:$BG$201,L258)&gt;=1,_xlfn.XLOOKUP(ARTÍCULOS!L258,[1]CRITERIOS!$BG$11:$BG$201:#REF!,[1]CRITERIOS!$BJ$11:$BJ$201),_xlfn.XLOOKUP(ARTÍCULOS!C258,[1]CRITERIOS!$K$25:$K$42,[1]CRITERIOS!$M$25:$M$42))),0),(E258+V258-_xlfn.XLOOKUP(A258,'[1]DATOS PBI Artículos'!$A$4:$A$4,'[1]DATOS PBI Artículos'!$W$4:$W$4))/N258)</f>
        <v>#N/A</v>
      </c>
      <c r="AC258" s="33" t="e">
        <f>IF(N258=0,"",(ROUNDUP((N258/2)/(_xlfn.XLOOKUP(A258,'[1]DATOS PBI Artículos'!$A$4:$A$4,'[1]DATOS PBI Artículos'!$Z$4:$Z$4)*_xlfn.XLOOKUP(_xlfn.XLOOKUP(A258,'[1]DATOS PBI Artículos'!$A$4:$A$4,'[1]DATOS PBI Artículos'!$Y$4:$Y$4),[1]CRITERIOS!$P$79:$P$123,[1]CRITERIOS!$S$79:$S$123)),0)*[1]CRITERIOS!$M$80*([1]CRITERIOS!$M$110/[1]CRITERIOS!$M$86)+(_xlfn.XLOOKUP(A258,'[1]DATOS PBI Artículos'!$A$4:$A$4,'[1]DATOS PBI Artículos'!$AA$4:$AA$4)*([1]CRITERIOS!$M$95+[1]CRITERIOS!$M$98)))/N258)</f>
        <v>#N/A</v>
      </c>
      <c r="AD258" s="33" t="e">
        <f>IF(N258=0,"",(ROUNDUP((N258/2)/(_xlfn.XLOOKUP(A258,'[1]DATOS PBI Artículos'!$A$4:$A$4,'[1]DATOS PBI Artículos'!$Z$4:$Z$4)*_xlfn.XLOOKUP(_xlfn.XLOOKUP(A258,'[1]DATOS PBI Artículos'!$A$4:$A$4,'[1]DATOS PBI Artículos'!$Y$4:$Y$4),[1]CRITERIOS!$P$79:$P$123,[1]CRITERIOS!$S$79:$S$123)),0)*[1]CRITERIOS!$M$80*([1]CRITERIOS!$M$89*[1]CRITERIOS!$M$92)+((_xlfn.XLOOKUP(A258,'[1]DATOS PBI Artículos'!$A$4:$A$4,'[1]DATOS PBI Artículos'!$AA$4:$AA$4)/2)*([1]CRITERIOS!$M$95+[1]CRITERIOS!$M$98)))/N258)</f>
        <v>#N/A</v>
      </c>
      <c r="AE258" s="39" t="e">
        <f>IF($R258="MTO","",
IF($H258=0,ROUNDUP(((_xlfn.XLOOKUP($A258,'[1]DATOS PBI Artículos'!$A:$A,'[1]DATOS PBI Artículos'!$AL:$AL))/(_xlfn.XLOOKUP($AF$1,[1]CRITERIOS!$S$16:$S$39,[1]CRITERIOS!$Y$16:$Y$39))*$J258+$Z258)/$G258,0)*$G258,
((_xlfn.XLOOKUP($A258,'[1]DATOS PBI Artículos'!$A:$A,'[1]DATOS PBI Artículos'!$AL:$AL))/(_xlfn.XLOOKUP($AF$1,[1]CRITERIOS!$S$16:$S$39,[1]CRITERIOS!$Y$16:$Y$39))*$J258+$Z258)))</f>
        <v>#N/A</v>
      </c>
      <c r="AG258" s="39" t="e">
        <f>IF($R258="MTO","",
IF($H258=0,ROUNDUP(((_xlfn.XLOOKUP($A258,'[1]DATOS PBI Artículos'!$A:$A,'[1]DATOS PBI Artículos'!$AM:$AM))/(_xlfn.XLOOKUP($AH$1,[1]CRITERIOS!$S$16:$S$39,[1]CRITERIOS!$Y$16:$Y$39))*$J258+$Z258)/$G258,0)*$G258,
((_xlfn.XLOOKUP($A258,'[1]DATOS PBI Artículos'!$A:$A,'[1]DATOS PBI Artículos'!$AM:$AM))/(_xlfn.XLOOKUP($AH$1,[1]CRITERIOS!$S$16:$S$39,[1]CRITERIOS!$Y$16:$Y$39))*$J258+$Z258)))</f>
        <v>#N/A</v>
      </c>
      <c r="AI258" s="39" t="e">
        <f>IF($R258="MTO","",
IF($H258=0,ROUNDUP(((_xlfn.XLOOKUP($A258,'[1]DATOS PBI Artículos'!$A:$A,'[1]DATOS PBI Artículos'!$AN:$AN))/(_xlfn.XLOOKUP($AJ$1,[1]CRITERIOS!$S$16:$S$39,[1]CRITERIOS!$Y$16:$Y$39))*$J258+$Z258)/$G258,0)*$G258,
((_xlfn.XLOOKUP($A258,'[1]DATOS PBI Artículos'!$A:$A,'[1]DATOS PBI Artículos'!$AN:$AN))/(_xlfn.XLOOKUP($AJ$1,[1]CRITERIOS!$S$16:$S$39,[1]CRITERIOS!$Y$16:$Y$39))*$J258+$Z258)))</f>
        <v>#N/A</v>
      </c>
      <c r="AK258" s="39" t="e">
        <f>IF($R258="MTO","",
IF($H258=0,ROUNDUP(((_xlfn.XLOOKUP($A258,'[1]DATOS PBI Artículos'!$A:$A,'[1]DATOS PBI Artículos'!$AO:$AO))/(_xlfn.XLOOKUP($AL$1,[1]CRITERIOS!$S$16:$S$39,[1]CRITERIOS!$Y$16:$Y$39))*$J258+$Z258)/$G258,0)*$G258,
((_xlfn.XLOOKUP($A258,'[1]DATOS PBI Artículos'!$A:$A,'[1]DATOS PBI Artículos'!$AO:$AO))/(_xlfn.XLOOKUP($AL$1,[1]CRITERIOS!$S$16:$S$39,[1]CRITERIOS!$Y$16:$Y$39))*$J258+$Z258)))</f>
        <v>#N/A</v>
      </c>
    </row>
    <row r="259" spans="1:37" ht="25.8" hidden="1" x14ac:dyDescent="0.4">
      <c r="A259" s="41"/>
      <c r="B259" s="33">
        <f>_xlfn.XLOOKUP($A259,'[1]DATOS PBI Artículos'!A:A,'[1]DATOS PBI Artículos'!B:B)</f>
        <v>0</v>
      </c>
      <c r="C259" s="33">
        <f>_xlfn.XLOOKUP($A259,'[1]DATOS PBI Artículos'!A:A,'[1]DATOS PBI Artículos'!C:C)</f>
        <v>0</v>
      </c>
      <c r="D259" s="33">
        <f>_xlfn.XLOOKUP(A259,'[1]DATOS PBI Artículos'!A:A,'[1]DATOS PBI Artículos'!T:T)</f>
        <v>0</v>
      </c>
      <c r="E259" s="34">
        <f>IF(_xlfn.XLOOKUP($A259,'[1]DATOS PBI Artículos'!A:A,'[1]DATOS PBI Artículos'!AK:AK)="",_xlfn.XLOOKUP($A259,'[1]DATOS PBI Artículos'!A:A,'[1]DATOS PBI Artículos'!AJ:AJ),_xlfn.XLOOKUP($A259,'[1]DATOS PBI Artículos'!A:A,'[1]DATOS PBI Artículos'!AK:AK))</f>
        <v>0</v>
      </c>
      <c r="F259" s="35">
        <f>_xlfn.XLOOKUP($A259,'[1]DATOS PBI Artículos'!A:A,'[1]DATOS PBI Artículos'!AP:AP)</f>
        <v>0</v>
      </c>
      <c r="G259" s="34">
        <f>_xlfn.XLOOKUP($A259,'[1]DATOS PBI Artículos'!A:A,'[1]DATOS PBI Artículos'!AR:AR)</f>
        <v>0</v>
      </c>
      <c r="H259" s="34">
        <f>_xlfn.XLOOKUP($A259,'[1]DATOS PBI Artículos'!A:A,'[1]DATOS PBI Artículos'!AT:AT)</f>
        <v>0</v>
      </c>
      <c r="I259" s="34">
        <f>_xlfn.XLOOKUP($A259,'[1]DATOS PBI Artículos'!A:A,'[1]DATOS PBI Artículos'!AS:AS)</f>
        <v>0</v>
      </c>
      <c r="J259" s="35">
        <f>IF(COUNTIF([1]CRITERIOS!$F$179:$F$199,$A259)&gt;=1,
 IF(O259&lt;&gt;"",
    (O259/_xlfn.XLOOKUP(CONCATENATE(A259,L259),[1]MÁQUINAS!A:A,[1]MÁQUINAS!D:D))/24,
    (N259/_xlfn.XLOOKUP(CONCATENATE(A259,L259),[1]MÁQUINAS!A:A,[1]MÁQUINAS!D:D))/24),
  _xlfn.XLOOKUP($A259,'[1]DATOS PBI Artículos'!A:A,'[1]DATOS PBI Artículos'!AU:AU))</f>
        <v>0</v>
      </c>
      <c r="K259" s="36">
        <f>_xlfn.XLOOKUP($A259,'[1]DATOS PBI Artículos'!A:A,'[1]DATOS PBI Artículos'!AV:AV)</f>
        <v>0</v>
      </c>
      <c r="L259" s="33">
        <f>_xlfn.XLOOKUP(A259,[1]MÁQUINAS!B:B,[1]MÁQUINAS!C:C)</f>
        <v>0</v>
      </c>
      <c r="M259" s="34">
        <f t="array" ref="M259">_xlfn.XLOOKUP(A259,'[1]DATOS PBI Artículos'!A:A,'[1]DATOS PBI Artículos'!AX:$AX)</f>
        <v>0</v>
      </c>
      <c r="N259" s="37" t="e">
        <f>IF(I259="DV",
E259,
IF(COUNTIF([1]CRITERIOS!$I$179:$I$199,$A259)&gt;=1,
_xlfn.XLOOKUP($A259,[1]CRITERIOS!$I$179:$I$199,[1]CRITERIOS!$J$179:$J$199),
IF(COUNTIF([1]CRITERIOS!$L$179:$L$199,$A259)&gt;=1,
_xlfn.CEILING.MATH(IF($M259&gt;$E259,
$E259,
IF($M259&lt;$E259/ROUNDDOWN([1]CRITERIOS!$M$16/_xlfn.XLOOKUP($C259,[1]CRITERIOS!$K$25:$K$42,[1]CRITERIOS!$M$25:$M$42),
1),
E259/ROUNDDOWN([1]CRITERIOS!$M$16/_xlfn.XLOOKUP($C259,[1]CRITERIOS!$K$25:$K$42,[1]CRITERIOS!$M$25:$M$42),
1),
$M259)),
_xlfn.XLOOKUP($A259,[1]CRITERIOS!$L$179:$L$200,[1]CRITERIOS!$M$179:$M$200)),
_xlfn.CEILING.MATH(IF($M259&gt;$E259,
$E259,
IF($M259&lt;$E259/ROUNDDOWN([1]CRITERIOS!$M$16/_xlfn.XLOOKUP($C259,[1]CRITERIOS!$K$25:$K$42,[1]CRITERIOS!$M$25:$M$42),
1),
E259/ROUNDDOWN([1]CRITERIOS!$M$16/_xlfn.XLOOKUP($C259,[1]CRITERIOS!$K$25:$K$42,[1]CRITERIOS!$M$25:$M$42),
1),
$M259)),_xlfn.XLOOKUP(A259,'[1]DATOS PBI Artículos'!A:A,'[1]DATOS PBI Artículos'!Z:Z
)))))</f>
        <v>#N/A</v>
      </c>
      <c r="Q259" s="38" t="e">
        <f>IF(AND(O259="",N259=0),
0,
   IF(COUNTIF([1]CRITERIOS!$F$179:$F$199,$A259)&gt;=1,
   1,
   IF(R259="MTO",
      $D259,
      ROUNDUP(
                    IF(($E259-SUMIF('[1]DATOS PBI Artículos'!A:A,A259,'[1]DATOS PBI Artículos'!X:X)+($V259-_xlfn.XLOOKUP(A259,'[1]DATOS PBI Artículos'!A:A,'[1]DATOS PBI Artículos'!W:W)))&lt;0,
                    0,
                    IF(($E259-SUMIF('[1]DATOS PBI Artículos'!A:A,A259,'[1]DATOS PBI Artículos'!X:X)+$V259-_xlfn.XLOOKUP($A259,'[1]DATOS PBI Artículos'!A:A,'[1]DATOS PBI Artículos'!W:W))/IF($O259="",$N259,$O259)&gt;ROUNDUP([1]CRITERIOS!$M$16/(IF(COUNTIF([1]CRITERIOS!$BG$11:$BG$201,L259)&gt;=1,_xlfn.XLOOKUP($C259,[1]CRITERIOS!$K$25:$K$42,[1]CRITERIOS!$M$25:$M$42),_xlfn.XLOOKUP($C259,[1]CRITERIOS!$K$25:$K$42,[1]CRITERIOS!$M$25:$M$42))),0),
                    ROUNDUP([1]CRITERIOS!$M$16/(IF(COUNTIF([1]CRITERIOS!$BG$11:$BG$201,$L259)&gt;=1,_xlfn.XLOOKUP($C259,[1]CRITERIOS!$K$25:$K$42,[1]CRITERIOS!$M$25:$M$42),_xlfn.XLOOKUP($C259,[1]CRITERIOS!$K$25:$K$42,[1]CRITERIOS!$M$25:$M$42))),0),
                    (E259+V259-SUMIF('[1]DATOS PBI Artículos'!A:A,A259,'[1]DATOS PBI Artículos'!X:X)-_xlfn.XLOOKUP(A259,'[1]DATOS PBI Artículos'!A:A,'[1]DATOS PBI Artículos'!W:W))/IF($O259="",$N259,$O259))),0))))</f>
        <v>#N/A</v>
      </c>
      <c r="R259" s="33" t="e">
        <f>IF(U259&lt;&gt;"",U259,IF(F259="DV","MTO",IF(N259=0,"MTO",_xlfn.XLOOKUP(CONCATENATE(S259,T259),[1]CRITERIOS!$K$160:$K$168,[1]CRITERIOS!$N$160:$N$168))))</f>
        <v>#N/A</v>
      </c>
      <c r="S259" s="33" t="e">
        <f>IF(G259="DV","MTO",IF(N259=0,"MTO",IF(OR(AND(N259=0,O259=""),IF(O259="",G259/N259,G259/O259)&gt;[1]CRITERIOS!$G$163),"MTO",IF(IF(O259="",G259/N259,G259/O259)&lt;[1]CRITERIOS!$H$161,"MTS","MTOS"))))</f>
        <v>#N/A</v>
      </c>
      <c r="T259" s="33" t="e">
        <f>IF(F259="DV","MTO",IF(OR(AND($N259=0,O259=""),$F259/$J259&gt;[1]CRITERIOS!$G$170,$F259="DV"),"MTO",IF($F259/$J259&lt;[1]CRITERIOS!$H$168,"MTS","MTOS")))</f>
        <v>#N/A</v>
      </c>
      <c r="V259" s="34" t="e">
        <f t="shared" si="13"/>
        <v>#N/A</v>
      </c>
      <c r="X259" s="34" t="e">
        <f t="shared" ref="X259:X322" si="14">IF(R259="MTO",0,V259+N259)</f>
        <v>#N/A</v>
      </c>
      <c r="Y259" s="34" t="e">
        <f t="shared" ref="Y259:Y322" si="15">IF(R259="MTO",0,Z259+(N259/2))</f>
        <v>#N/A</v>
      </c>
      <c r="Z259" s="34" t="e">
        <f>IF($R259="MTO",
0,
($H259+$K259*($E259/[1]CRITERIOS!$M$16))/[1]CRITERIOS!$X$48)</f>
        <v>#N/A</v>
      </c>
      <c r="AA259" s="34" t="e">
        <f>ROUNDUP(($Y259/_xlfn.XLOOKUP($A259,'[1]DATOS PBI Artículos'!$A$4:$A$4,'[1]DATOS PBI Artículos'!$Z$4:$Z$4))/_xlfn.XLOOKUP(_xlfn.XLOOKUP($A259,'[1]DATOS PBI Artículos'!$A$4:$A$4,'[1]DATOS PBI Artículos'!$Y$4:$Y$4),[1]CRITERIOS!$P$79:$P$123,[1]CRITERIOS!$S$79:$S$123,),0)</f>
        <v>#N/A</v>
      </c>
      <c r="AB259" s="33" t="e">
        <f t="array" ref="AB259">IF((E259+V259-_xlfn.XLOOKUP(A259,'[1]DATOS PBI Artículos'!$A$4:$A$4,'[1]DATOS PBI Artículos'!$W$4:$W$4))/N259&gt;ROUNDUP([1]CRITERIOS!$M$16/(IF(COUNTIF([1]CRITERIOS!$BG$11:$BG$201,L259)&gt;=1,_xlfn.XLOOKUP(ARTÍCULOS!L259,[1]CRITERIOS!$BG$11:$BG$201,[1]CRITERIOS!$BJ$11:$BJ$201),_xlfn.XLOOKUP(ARTÍCULOS!C259,[1]CRITERIOS!$K$25:$K$42,[1]CRITERIOS!$M$25:$M$42))),0),ROUNDUP([1]CRITERIOS!$M$16/(IF(COUNTIF([1]CRITERIOS!$BG$11:$BG$201,L259)&gt;=1,_xlfn.XLOOKUP(ARTÍCULOS!L259,[1]CRITERIOS!$BG$11:$BG$201:#REF!,[1]CRITERIOS!$BJ$11:$BJ$201),_xlfn.XLOOKUP(ARTÍCULOS!C259,[1]CRITERIOS!$K$25:$K$42,[1]CRITERIOS!$M$25:$M$42))),0),(E259+V259-_xlfn.XLOOKUP(A259,'[1]DATOS PBI Artículos'!$A$4:$A$4,'[1]DATOS PBI Artículos'!$W$4:$W$4))/N259)</f>
        <v>#N/A</v>
      </c>
      <c r="AC259" s="33" t="e">
        <f>IF(N259=0,"",(ROUNDUP((N259/2)/(_xlfn.XLOOKUP(A259,'[1]DATOS PBI Artículos'!$A$4:$A$4,'[1]DATOS PBI Artículos'!$Z$4:$Z$4)*_xlfn.XLOOKUP(_xlfn.XLOOKUP(A259,'[1]DATOS PBI Artículos'!$A$4:$A$4,'[1]DATOS PBI Artículos'!$Y$4:$Y$4),[1]CRITERIOS!$P$79:$P$123,[1]CRITERIOS!$S$79:$S$123)),0)*[1]CRITERIOS!$M$80*([1]CRITERIOS!$M$110/[1]CRITERIOS!$M$86)+(_xlfn.XLOOKUP(A259,'[1]DATOS PBI Artículos'!$A$4:$A$4,'[1]DATOS PBI Artículos'!$AA$4:$AA$4)*([1]CRITERIOS!$M$95+[1]CRITERIOS!$M$98)))/N259)</f>
        <v>#N/A</v>
      </c>
      <c r="AD259" s="33" t="e">
        <f>IF(N259=0,"",(ROUNDUP((N259/2)/(_xlfn.XLOOKUP(A259,'[1]DATOS PBI Artículos'!$A$4:$A$4,'[1]DATOS PBI Artículos'!$Z$4:$Z$4)*_xlfn.XLOOKUP(_xlfn.XLOOKUP(A259,'[1]DATOS PBI Artículos'!$A$4:$A$4,'[1]DATOS PBI Artículos'!$Y$4:$Y$4),[1]CRITERIOS!$P$79:$P$123,[1]CRITERIOS!$S$79:$S$123)),0)*[1]CRITERIOS!$M$80*([1]CRITERIOS!$M$89*[1]CRITERIOS!$M$92)+((_xlfn.XLOOKUP(A259,'[1]DATOS PBI Artículos'!$A$4:$A$4,'[1]DATOS PBI Artículos'!$AA$4:$AA$4)/2)*([1]CRITERIOS!$M$95+[1]CRITERIOS!$M$98)))/N259)</f>
        <v>#N/A</v>
      </c>
      <c r="AE259" s="39" t="e">
        <f>IF($R259="MTO","",
IF($H259=0,ROUNDUP(((_xlfn.XLOOKUP($A259,'[1]DATOS PBI Artículos'!$A:$A,'[1]DATOS PBI Artículos'!$AL:$AL))/(_xlfn.XLOOKUP($AF$1,[1]CRITERIOS!$S$16:$S$39,[1]CRITERIOS!$Y$16:$Y$39))*$J259+$Z259)/$G259,0)*$G259,
((_xlfn.XLOOKUP($A259,'[1]DATOS PBI Artículos'!$A:$A,'[1]DATOS PBI Artículos'!$AL:$AL))/(_xlfn.XLOOKUP($AF$1,[1]CRITERIOS!$S$16:$S$39,[1]CRITERIOS!$Y$16:$Y$39))*$J259+$Z259)))</f>
        <v>#N/A</v>
      </c>
      <c r="AG259" s="39" t="e">
        <f>IF($R259="MTO","",
IF($H259=0,ROUNDUP(((_xlfn.XLOOKUP($A259,'[1]DATOS PBI Artículos'!$A:$A,'[1]DATOS PBI Artículos'!$AM:$AM))/(_xlfn.XLOOKUP($AH$1,[1]CRITERIOS!$S$16:$S$39,[1]CRITERIOS!$Y$16:$Y$39))*$J259+$Z259)/$G259,0)*$G259,
((_xlfn.XLOOKUP($A259,'[1]DATOS PBI Artículos'!$A:$A,'[1]DATOS PBI Artículos'!$AM:$AM))/(_xlfn.XLOOKUP($AH$1,[1]CRITERIOS!$S$16:$S$39,[1]CRITERIOS!$Y$16:$Y$39))*$J259+$Z259)))</f>
        <v>#N/A</v>
      </c>
      <c r="AI259" s="39" t="e">
        <f>IF($R259="MTO","",
IF($H259=0,ROUNDUP(((_xlfn.XLOOKUP($A259,'[1]DATOS PBI Artículos'!$A:$A,'[1]DATOS PBI Artículos'!$AN:$AN))/(_xlfn.XLOOKUP($AJ$1,[1]CRITERIOS!$S$16:$S$39,[1]CRITERIOS!$Y$16:$Y$39))*$J259+$Z259)/$G259,0)*$G259,
((_xlfn.XLOOKUP($A259,'[1]DATOS PBI Artículos'!$A:$A,'[1]DATOS PBI Artículos'!$AN:$AN))/(_xlfn.XLOOKUP($AJ$1,[1]CRITERIOS!$S$16:$S$39,[1]CRITERIOS!$Y$16:$Y$39))*$J259+$Z259)))</f>
        <v>#N/A</v>
      </c>
      <c r="AK259" s="39" t="e">
        <f>IF($R259="MTO","",
IF($H259=0,ROUNDUP(((_xlfn.XLOOKUP($A259,'[1]DATOS PBI Artículos'!$A:$A,'[1]DATOS PBI Artículos'!$AO:$AO))/(_xlfn.XLOOKUP($AL$1,[1]CRITERIOS!$S$16:$S$39,[1]CRITERIOS!$Y$16:$Y$39))*$J259+$Z259)/$G259,0)*$G259,
((_xlfn.XLOOKUP($A259,'[1]DATOS PBI Artículos'!$A:$A,'[1]DATOS PBI Artículos'!$AO:$AO))/(_xlfn.XLOOKUP($AL$1,[1]CRITERIOS!$S$16:$S$39,[1]CRITERIOS!$Y$16:$Y$39))*$J259+$Z259)))</f>
        <v>#N/A</v>
      </c>
    </row>
    <row r="260" spans="1:37" ht="25.8" hidden="1" x14ac:dyDescent="0.4">
      <c r="A260" s="41"/>
      <c r="B260" s="33">
        <f>_xlfn.XLOOKUP($A260,'[1]DATOS PBI Artículos'!A:A,'[1]DATOS PBI Artículos'!B:B)</f>
        <v>0</v>
      </c>
      <c r="C260" s="33">
        <f>_xlfn.XLOOKUP($A260,'[1]DATOS PBI Artículos'!A:A,'[1]DATOS PBI Artículos'!C:C)</f>
        <v>0</v>
      </c>
      <c r="D260" s="33">
        <f>_xlfn.XLOOKUP(A260,'[1]DATOS PBI Artículos'!A:A,'[1]DATOS PBI Artículos'!T:T)</f>
        <v>0</v>
      </c>
      <c r="E260" s="34">
        <f>IF(_xlfn.XLOOKUP($A260,'[1]DATOS PBI Artículos'!A:A,'[1]DATOS PBI Artículos'!AK:AK)="",_xlfn.XLOOKUP($A260,'[1]DATOS PBI Artículos'!A:A,'[1]DATOS PBI Artículos'!AJ:AJ),_xlfn.XLOOKUP($A260,'[1]DATOS PBI Artículos'!A:A,'[1]DATOS PBI Artículos'!AK:AK))</f>
        <v>0</v>
      </c>
      <c r="F260" s="35">
        <f>_xlfn.XLOOKUP($A260,'[1]DATOS PBI Artículos'!A:A,'[1]DATOS PBI Artículos'!AP:AP)</f>
        <v>0</v>
      </c>
      <c r="G260" s="34">
        <f>_xlfn.XLOOKUP($A260,'[1]DATOS PBI Artículos'!A:A,'[1]DATOS PBI Artículos'!AR:AR)</f>
        <v>0</v>
      </c>
      <c r="H260" s="34">
        <f>_xlfn.XLOOKUP($A260,'[1]DATOS PBI Artículos'!A:A,'[1]DATOS PBI Artículos'!AT:AT)</f>
        <v>0</v>
      </c>
      <c r="I260" s="34">
        <f>_xlfn.XLOOKUP($A260,'[1]DATOS PBI Artículos'!A:A,'[1]DATOS PBI Artículos'!AS:AS)</f>
        <v>0</v>
      </c>
      <c r="J260" s="35">
        <f>IF(COUNTIF([1]CRITERIOS!$F$179:$F$199,$A260)&gt;=1,
 IF(O260&lt;&gt;"",
    (O260/_xlfn.XLOOKUP(CONCATENATE(A260,L260),[1]MÁQUINAS!A:A,[1]MÁQUINAS!D:D))/24,
    (N260/_xlfn.XLOOKUP(CONCATENATE(A260,L260),[1]MÁQUINAS!A:A,[1]MÁQUINAS!D:D))/24),
  _xlfn.XLOOKUP($A260,'[1]DATOS PBI Artículos'!A:A,'[1]DATOS PBI Artículos'!AU:AU))</f>
        <v>0</v>
      </c>
      <c r="K260" s="36">
        <f>_xlfn.XLOOKUP($A260,'[1]DATOS PBI Artículos'!A:A,'[1]DATOS PBI Artículos'!AV:AV)</f>
        <v>0</v>
      </c>
      <c r="L260" s="33">
        <f>_xlfn.XLOOKUP(A260,[1]MÁQUINAS!B:B,[1]MÁQUINAS!C:C)</f>
        <v>0</v>
      </c>
      <c r="M260" s="34">
        <f t="array" ref="M260">_xlfn.XLOOKUP(A260,'[1]DATOS PBI Artículos'!A:A,'[1]DATOS PBI Artículos'!AX:$AX)</f>
        <v>0</v>
      </c>
      <c r="N260" s="37" t="e">
        <f>IF(I260="DV",
E260,
IF(COUNTIF([1]CRITERIOS!$I$179:$I$199,$A260)&gt;=1,
_xlfn.XLOOKUP($A260,[1]CRITERIOS!$I$179:$I$199,[1]CRITERIOS!$J$179:$J$199),
IF(COUNTIF([1]CRITERIOS!$L$179:$L$199,$A260)&gt;=1,
_xlfn.CEILING.MATH(IF($M260&gt;$E260,
$E260,
IF($M260&lt;$E260/ROUNDDOWN([1]CRITERIOS!$M$16/_xlfn.XLOOKUP($C260,[1]CRITERIOS!$K$25:$K$42,[1]CRITERIOS!$M$25:$M$42),
1),
E260/ROUNDDOWN([1]CRITERIOS!$M$16/_xlfn.XLOOKUP($C260,[1]CRITERIOS!$K$25:$K$42,[1]CRITERIOS!$M$25:$M$42),
1),
$M260)),
_xlfn.XLOOKUP($A260,[1]CRITERIOS!$L$179:$L$200,[1]CRITERIOS!$M$179:$M$200)),
_xlfn.CEILING.MATH(IF($M260&gt;$E260,
$E260,
IF($M260&lt;$E260/ROUNDDOWN([1]CRITERIOS!$M$16/_xlfn.XLOOKUP($C260,[1]CRITERIOS!$K$25:$K$42,[1]CRITERIOS!$M$25:$M$42),
1),
E260/ROUNDDOWN([1]CRITERIOS!$M$16/_xlfn.XLOOKUP($C260,[1]CRITERIOS!$K$25:$K$42,[1]CRITERIOS!$M$25:$M$42),
1),
$M260)),_xlfn.XLOOKUP(A260,'[1]DATOS PBI Artículos'!A:A,'[1]DATOS PBI Artículos'!Z:Z
)))))</f>
        <v>#N/A</v>
      </c>
      <c r="Q260" s="38" t="e">
        <f>IF(AND(O260="",N260=0),
0,
   IF(COUNTIF([1]CRITERIOS!$F$179:$F$199,$A260)&gt;=1,
   1,
   IF(R260="MTO",
      $D260,
      ROUNDUP(
                    IF(($E260-SUMIF('[1]DATOS PBI Artículos'!A:A,A260,'[1]DATOS PBI Artículos'!X:X)+($V260-_xlfn.XLOOKUP(A260,'[1]DATOS PBI Artículos'!A:A,'[1]DATOS PBI Artículos'!W:W)))&lt;0,
                    0,
                    IF(($E260-SUMIF('[1]DATOS PBI Artículos'!A:A,A260,'[1]DATOS PBI Artículos'!X:X)+$V260-_xlfn.XLOOKUP($A260,'[1]DATOS PBI Artículos'!A:A,'[1]DATOS PBI Artículos'!W:W))/IF($O260="",$N260,$O260)&gt;ROUNDUP([1]CRITERIOS!$M$16/(IF(COUNTIF([1]CRITERIOS!$BG$11:$BG$201,L260)&gt;=1,_xlfn.XLOOKUP($C260,[1]CRITERIOS!$K$25:$K$42,[1]CRITERIOS!$M$25:$M$42),_xlfn.XLOOKUP($C260,[1]CRITERIOS!$K$25:$K$42,[1]CRITERIOS!$M$25:$M$42))),0),
                    ROUNDUP([1]CRITERIOS!$M$16/(IF(COUNTIF([1]CRITERIOS!$BG$11:$BG$201,$L260)&gt;=1,_xlfn.XLOOKUP($C260,[1]CRITERIOS!$K$25:$K$42,[1]CRITERIOS!$M$25:$M$42),_xlfn.XLOOKUP($C260,[1]CRITERIOS!$K$25:$K$42,[1]CRITERIOS!$M$25:$M$42))),0),
                    (E260+V260-SUMIF('[1]DATOS PBI Artículos'!A:A,A260,'[1]DATOS PBI Artículos'!X:X)-_xlfn.XLOOKUP(A260,'[1]DATOS PBI Artículos'!A:A,'[1]DATOS PBI Artículos'!W:W))/IF($O260="",$N260,$O260))),0))))</f>
        <v>#N/A</v>
      </c>
      <c r="R260" s="33" t="e">
        <f>IF(U260&lt;&gt;"",U260,IF(F260="DV","MTO",IF(N260=0,"MTO",_xlfn.XLOOKUP(CONCATENATE(S260,T260),[1]CRITERIOS!$K$160:$K$168,[1]CRITERIOS!$N$160:$N$168))))</f>
        <v>#N/A</v>
      </c>
      <c r="S260" s="33" t="e">
        <f>IF(G260="DV","MTO",IF(N260=0,"MTO",IF(OR(AND(N260=0,O260=""),IF(O260="",G260/N260,G260/O260)&gt;[1]CRITERIOS!$G$163),"MTO",IF(IF(O260="",G260/N260,G260/O260)&lt;[1]CRITERIOS!$H$161,"MTS","MTOS"))))</f>
        <v>#N/A</v>
      </c>
      <c r="T260" s="33" t="e">
        <f>IF(F260="DV","MTO",IF(OR(AND($N260=0,O260=""),$F260/$J260&gt;[1]CRITERIOS!$G$170,$F260="DV"),"MTO",IF($F260/$J260&lt;[1]CRITERIOS!$H$168,"MTS","MTOS")))</f>
        <v>#N/A</v>
      </c>
      <c r="V260" s="34" t="e">
        <f t="shared" si="13"/>
        <v>#N/A</v>
      </c>
      <c r="X260" s="34" t="e">
        <f t="shared" si="14"/>
        <v>#N/A</v>
      </c>
      <c r="Y260" s="34" t="e">
        <f t="shared" si="15"/>
        <v>#N/A</v>
      </c>
      <c r="Z260" s="34" t="e">
        <f>IF($R260="MTO",
0,
($H260+$K260*($E260/[1]CRITERIOS!$M$16))/[1]CRITERIOS!$X$48)</f>
        <v>#N/A</v>
      </c>
      <c r="AA260" s="34" t="e">
        <f>ROUNDUP(($Y260/_xlfn.XLOOKUP($A260,'[1]DATOS PBI Artículos'!$A$4:$A$4,'[1]DATOS PBI Artículos'!$Z$4:$Z$4))/_xlfn.XLOOKUP(_xlfn.XLOOKUP($A260,'[1]DATOS PBI Artículos'!$A$4:$A$4,'[1]DATOS PBI Artículos'!$Y$4:$Y$4),[1]CRITERIOS!$P$79:$P$123,[1]CRITERIOS!$S$79:$S$123,),0)</f>
        <v>#N/A</v>
      </c>
      <c r="AB260" s="33" t="e">
        <f t="array" ref="AB260">IF((E260+V260-_xlfn.XLOOKUP(A260,'[1]DATOS PBI Artículos'!$A$4:$A$4,'[1]DATOS PBI Artículos'!$W$4:$W$4))/N260&gt;ROUNDUP([1]CRITERIOS!$M$16/(IF(COUNTIF([1]CRITERIOS!$BG$11:$BG$201,L260)&gt;=1,_xlfn.XLOOKUP(ARTÍCULOS!L260,[1]CRITERIOS!$BG$11:$BG$201,[1]CRITERIOS!$BJ$11:$BJ$201),_xlfn.XLOOKUP(ARTÍCULOS!C260,[1]CRITERIOS!$K$25:$K$42,[1]CRITERIOS!$M$25:$M$42))),0),ROUNDUP([1]CRITERIOS!$M$16/(IF(COUNTIF([1]CRITERIOS!$BG$11:$BG$201,L260)&gt;=1,_xlfn.XLOOKUP(ARTÍCULOS!L260,[1]CRITERIOS!$BG$11:$BG$201:#REF!,[1]CRITERIOS!$BJ$11:$BJ$201),_xlfn.XLOOKUP(ARTÍCULOS!C260,[1]CRITERIOS!$K$25:$K$42,[1]CRITERIOS!$M$25:$M$42))),0),(E260+V260-_xlfn.XLOOKUP(A260,'[1]DATOS PBI Artículos'!$A$4:$A$4,'[1]DATOS PBI Artículos'!$W$4:$W$4))/N260)</f>
        <v>#N/A</v>
      </c>
      <c r="AC260" s="33" t="e">
        <f>IF(N260=0,"",(ROUNDUP((N260/2)/(_xlfn.XLOOKUP(A260,'[1]DATOS PBI Artículos'!$A$4:$A$4,'[1]DATOS PBI Artículos'!$Z$4:$Z$4)*_xlfn.XLOOKUP(_xlfn.XLOOKUP(A260,'[1]DATOS PBI Artículos'!$A$4:$A$4,'[1]DATOS PBI Artículos'!$Y$4:$Y$4),[1]CRITERIOS!$P$79:$P$123,[1]CRITERIOS!$S$79:$S$123)),0)*[1]CRITERIOS!$M$80*([1]CRITERIOS!$M$110/[1]CRITERIOS!$M$86)+(_xlfn.XLOOKUP(A260,'[1]DATOS PBI Artículos'!$A$4:$A$4,'[1]DATOS PBI Artículos'!$AA$4:$AA$4)*([1]CRITERIOS!$M$95+[1]CRITERIOS!$M$98)))/N260)</f>
        <v>#N/A</v>
      </c>
      <c r="AD260" s="33" t="e">
        <f>IF(N260=0,"",(ROUNDUP((N260/2)/(_xlfn.XLOOKUP(A260,'[1]DATOS PBI Artículos'!$A$4:$A$4,'[1]DATOS PBI Artículos'!$Z$4:$Z$4)*_xlfn.XLOOKUP(_xlfn.XLOOKUP(A260,'[1]DATOS PBI Artículos'!$A$4:$A$4,'[1]DATOS PBI Artículos'!$Y$4:$Y$4),[1]CRITERIOS!$P$79:$P$123,[1]CRITERIOS!$S$79:$S$123)),0)*[1]CRITERIOS!$M$80*([1]CRITERIOS!$M$89*[1]CRITERIOS!$M$92)+((_xlfn.XLOOKUP(A260,'[1]DATOS PBI Artículos'!$A$4:$A$4,'[1]DATOS PBI Artículos'!$AA$4:$AA$4)/2)*([1]CRITERIOS!$M$95+[1]CRITERIOS!$M$98)))/N260)</f>
        <v>#N/A</v>
      </c>
      <c r="AE260" s="39" t="e">
        <f>IF($R260="MTO","",
IF($H260=0,ROUNDUP(((_xlfn.XLOOKUP($A260,'[1]DATOS PBI Artículos'!$A:$A,'[1]DATOS PBI Artículos'!$AL:$AL))/(_xlfn.XLOOKUP($AF$1,[1]CRITERIOS!$S$16:$S$39,[1]CRITERIOS!$Y$16:$Y$39))*$J260+$Z260)/$G260,0)*$G260,
((_xlfn.XLOOKUP($A260,'[1]DATOS PBI Artículos'!$A:$A,'[1]DATOS PBI Artículos'!$AL:$AL))/(_xlfn.XLOOKUP($AF$1,[1]CRITERIOS!$S$16:$S$39,[1]CRITERIOS!$Y$16:$Y$39))*$J260+$Z260)))</f>
        <v>#N/A</v>
      </c>
      <c r="AG260" s="39" t="e">
        <f>IF($R260="MTO","",
IF($H260=0,ROUNDUP(((_xlfn.XLOOKUP($A260,'[1]DATOS PBI Artículos'!$A:$A,'[1]DATOS PBI Artículos'!$AM:$AM))/(_xlfn.XLOOKUP($AH$1,[1]CRITERIOS!$S$16:$S$39,[1]CRITERIOS!$Y$16:$Y$39))*$J260+$Z260)/$G260,0)*$G260,
((_xlfn.XLOOKUP($A260,'[1]DATOS PBI Artículos'!$A:$A,'[1]DATOS PBI Artículos'!$AM:$AM))/(_xlfn.XLOOKUP($AH$1,[1]CRITERIOS!$S$16:$S$39,[1]CRITERIOS!$Y$16:$Y$39))*$J260+$Z260)))</f>
        <v>#N/A</v>
      </c>
      <c r="AI260" s="39" t="e">
        <f>IF($R260="MTO","",
IF($H260=0,ROUNDUP(((_xlfn.XLOOKUP($A260,'[1]DATOS PBI Artículos'!$A:$A,'[1]DATOS PBI Artículos'!$AN:$AN))/(_xlfn.XLOOKUP($AJ$1,[1]CRITERIOS!$S$16:$S$39,[1]CRITERIOS!$Y$16:$Y$39))*$J260+$Z260)/$G260,0)*$G260,
((_xlfn.XLOOKUP($A260,'[1]DATOS PBI Artículos'!$A:$A,'[1]DATOS PBI Artículos'!$AN:$AN))/(_xlfn.XLOOKUP($AJ$1,[1]CRITERIOS!$S$16:$S$39,[1]CRITERIOS!$Y$16:$Y$39))*$J260+$Z260)))</f>
        <v>#N/A</v>
      </c>
      <c r="AK260" s="39" t="e">
        <f>IF($R260="MTO","",
IF($H260=0,ROUNDUP(((_xlfn.XLOOKUP($A260,'[1]DATOS PBI Artículos'!$A:$A,'[1]DATOS PBI Artículos'!$AO:$AO))/(_xlfn.XLOOKUP($AL$1,[1]CRITERIOS!$S$16:$S$39,[1]CRITERIOS!$Y$16:$Y$39))*$J260+$Z260)/$G260,0)*$G260,
((_xlfn.XLOOKUP($A260,'[1]DATOS PBI Artículos'!$A:$A,'[1]DATOS PBI Artículos'!$AO:$AO))/(_xlfn.XLOOKUP($AL$1,[1]CRITERIOS!$S$16:$S$39,[1]CRITERIOS!$Y$16:$Y$39))*$J260+$Z260)))</f>
        <v>#N/A</v>
      </c>
    </row>
    <row r="261" spans="1:37" ht="25.8" hidden="1" x14ac:dyDescent="0.4">
      <c r="A261" s="41"/>
      <c r="B261" s="33">
        <f>_xlfn.XLOOKUP($A261,'[1]DATOS PBI Artículos'!A:A,'[1]DATOS PBI Artículos'!B:B)</f>
        <v>0</v>
      </c>
      <c r="C261" s="33">
        <f>_xlfn.XLOOKUP($A261,'[1]DATOS PBI Artículos'!A:A,'[1]DATOS PBI Artículos'!C:C)</f>
        <v>0</v>
      </c>
      <c r="D261" s="33">
        <f>_xlfn.XLOOKUP(A261,'[1]DATOS PBI Artículos'!A:A,'[1]DATOS PBI Artículos'!T:T)</f>
        <v>0</v>
      </c>
      <c r="E261" s="34">
        <f>IF(_xlfn.XLOOKUP($A261,'[1]DATOS PBI Artículos'!A:A,'[1]DATOS PBI Artículos'!AK:AK)="",_xlfn.XLOOKUP($A261,'[1]DATOS PBI Artículos'!A:A,'[1]DATOS PBI Artículos'!AJ:AJ),_xlfn.XLOOKUP($A261,'[1]DATOS PBI Artículos'!A:A,'[1]DATOS PBI Artículos'!AK:AK))</f>
        <v>0</v>
      </c>
      <c r="F261" s="35">
        <f>_xlfn.XLOOKUP($A261,'[1]DATOS PBI Artículos'!A:A,'[1]DATOS PBI Artículos'!AP:AP)</f>
        <v>0</v>
      </c>
      <c r="G261" s="34">
        <f>_xlfn.XLOOKUP($A261,'[1]DATOS PBI Artículos'!A:A,'[1]DATOS PBI Artículos'!AR:AR)</f>
        <v>0</v>
      </c>
      <c r="H261" s="34">
        <f>_xlfn.XLOOKUP($A261,'[1]DATOS PBI Artículos'!A:A,'[1]DATOS PBI Artículos'!AT:AT)</f>
        <v>0</v>
      </c>
      <c r="I261" s="34">
        <f>_xlfn.XLOOKUP($A261,'[1]DATOS PBI Artículos'!A:A,'[1]DATOS PBI Artículos'!AS:AS)</f>
        <v>0</v>
      </c>
      <c r="J261" s="35">
        <f>IF(COUNTIF([1]CRITERIOS!$F$179:$F$199,$A261)&gt;=1,
 IF(O261&lt;&gt;"",
    (O261/_xlfn.XLOOKUP(CONCATENATE(A261,L261),[1]MÁQUINAS!A:A,[1]MÁQUINAS!D:D))/24,
    (N261/_xlfn.XLOOKUP(CONCATENATE(A261,L261),[1]MÁQUINAS!A:A,[1]MÁQUINAS!D:D))/24),
  _xlfn.XLOOKUP($A261,'[1]DATOS PBI Artículos'!A:A,'[1]DATOS PBI Artículos'!AU:AU))</f>
        <v>0</v>
      </c>
      <c r="K261" s="36">
        <f>_xlfn.XLOOKUP($A261,'[1]DATOS PBI Artículos'!A:A,'[1]DATOS PBI Artículos'!AV:AV)</f>
        <v>0</v>
      </c>
      <c r="L261" s="33">
        <f>_xlfn.XLOOKUP(A261,[1]MÁQUINAS!B:B,[1]MÁQUINAS!C:C)</f>
        <v>0</v>
      </c>
      <c r="M261" s="34">
        <f t="array" ref="M261">_xlfn.XLOOKUP(A261,'[1]DATOS PBI Artículos'!A:A,'[1]DATOS PBI Artículos'!AX:$AX)</f>
        <v>0</v>
      </c>
      <c r="N261" s="37" t="e">
        <f>IF(I261="DV",
E261,
IF(COUNTIF([1]CRITERIOS!$I$179:$I$199,$A261)&gt;=1,
_xlfn.XLOOKUP($A261,[1]CRITERIOS!$I$179:$I$199,[1]CRITERIOS!$J$179:$J$199),
IF(COUNTIF([1]CRITERIOS!$L$179:$L$199,$A261)&gt;=1,
_xlfn.CEILING.MATH(IF($M261&gt;$E261,
$E261,
IF($M261&lt;$E261/ROUNDDOWN([1]CRITERIOS!$M$16/_xlfn.XLOOKUP($C261,[1]CRITERIOS!$K$25:$K$42,[1]CRITERIOS!$M$25:$M$42),
1),
E261/ROUNDDOWN([1]CRITERIOS!$M$16/_xlfn.XLOOKUP($C261,[1]CRITERIOS!$K$25:$K$42,[1]CRITERIOS!$M$25:$M$42),
1),
$M261)),
_xlfn.XLOOKUP($A261,[1]CRITERIOS!$L$179:$L$200,[1]CRITERIOS!$M$179:$M$200)),
_xlfn.CEILING.MATH(IF($M261&gt;$E261,
$E261,
IF($M261&lt;$E261/ROUNDDOWN([1]CRITERIOS!$M$16/_xlfn.XLOOKUP($C261,[1]CRITERIOS!$K$25:$K$42,[1]CRITERIOS!$M$25:$M$42),
1),
E261/ROUNDDOWN([1]CRITERIOS!$M$16/_xlfn.XLOOKUP($C261,[1]CRITERIOS!$K$25:$K$42,[1]CRITERIOS!$M$25:$M$42),
1),
$M261)),_xlfn.XLOOKUP(A261,'[1]DATOS PBI Artículos'!A:A,'[1]DATOS PBI Artículos'!Z:Z
)))))</f>
        <v>#N/A</v>
      </c>
      <c r="Q261" s="38" t="e">
        <f>IF(AND(O261="",N261=0),
0,
   IF(COUNTIF([1]CRITERIOS!$F$179:$F$199,$A261)&gt;=1,
   1,
   IF(R261="MTO",
      $D261,
      ROUNDUP(
                    IF(($E261-SUMIF('[1]DATOS PBI Artículos'!A:A,A261,'[1]DATOS PBI Artículos'!X:X)+($V261-_xlfn.XLOOKUP(A261,'[1]DATOS PBI Artículos'!A:A,'[1]DATOS PBI Artículos'!W:W)))&lt;0,
                    0,
                    IF(($E261-SUMIF('[1]DATOS PBI Artículos'!A:A,A261,'[1]DATOS PBI Artículos'!X:X)+$V261-_xlfn.XLOOKUP($A261,'[1]DATOS PBI Artículos'!A:A,'[1]DATOS PBI Artículos'!W:W))/IF($O261="",$N261,$O261)&gt;ROUNDUP([1]CRITERIOS!$M$16/(IF(COUNTIF([1]CRITERIOS!$BG$11:$BG$201,L261)&gt;=1,_xlfn.XLOOKUP($C261,[1]CRITERIOS!$K$25:$K$42,[1]CRITERIOS!$M$25:$M$42),_xlfn.XLOOKUP($C261,[1]CRITERIOS!$K$25:$K$42,[1]CRITERIOS!$M$25:$M$42))),0),
                    ROUNDUP([1]CRITERIOS!$M$16/(IF(COUNTIF([1]CRITERIOS!$BG$11:$BG$201,$L261)&gt;=1,_xlfn.XLOOKUP($C261,[1]CRITERIOS!$K$25:$K$42,[1]CRITERIOS!$M$25:$M$42),_xlfn.XLOOKUP($C261,[1]CRITERIOS!$K$25:$K$42,[1]CRITERIOS!$M$25:$M$42))),0),
                    (E261+V261-SUMIF('[1]DATOS PBI Artículos'!A:A,A261,'[1]DATOS PBI Artículos'!X:X)-_xlfn.XLOOKUP(A261,'[1]DATOS PBI Artículos'!A:A,'[1]DATOS PBI Artículos'!W:W))/IF($O261="",$N261,$O261))),0))))</f>
        <v>#N/A</v>
      </c>
      <c r="R261" s="33" t="e">
        <f>IF(U261&lt;&gt;"",U261,IF(F261="DV","MTO",IF(N261=0,"MTO",_xlfn.XLOOKUP(CONCATENATE(S261,T261),[1]CRITERIOS!$K$160:$K$168,[1]CRITERIOS!$N$160:$N$168))))</f>
        <v>#N/A</v>
      </c>
      <c r="S261" s="33" t="e">
        <f>IF(G261="DV","MTO",IF(N261=0,"MTO",IF(OR(AND(N261=0,O261=""),IF(O261="",G261/N261,G261/O261)&gt;[1]CRITERIOS!$G$163),"MTO",IF(IF(O261="",G261/N261,G261/O261)&lt;[1]CRITERIOS!$H$161,"MTS","MTOS"))))</f>
        <v>#N/A</v>
      </c>
      <c r="T261" s="33" t="e">
        <f>IF(F261="DV","MTO",IF(OR(AND($N261=0,O261=""),$F261/$J261&gt;[1]CRITERIOS!$G$170,$F261="DV"),"MTO",IF($F261/$J261&lt;[1]CRITERIOS!$H$168,"MTS","MTOS")))</f>
        <v>#N/A</v>
      </c>
      <c r="V261" s="34" t="e">
        <f t="shared" si="13"/>
        <v>#N/A</v>
      </c>
      <c r="X261" s="34" t="e">
        <f t="shared" si="14"/>
        <v>#N/A</v>
      </c>
      <c r="Y261" s="34" t="e">
        <f t="shared" si="15"/>
        <v>#N/A</v>
      </c>
      <c r="Z261" s="34" t="e">
        <f>IF($R261="MTO",
0,
($H261+$K261*($E261/[1]CRITERIOS!$M$16))/[1]CRITERIOS!$X$48)</f>
        <v>#N/A</v>
      </c>
      <c r="AA261" s="34" t="e">
        <f>ROUNDUP(($Y261/_xlfn.XLOOKUP($A261,'[1]DATOS PBI Artículos'!$A$4:$A$4,'[1]DATOS PBI Artículos'!$Z$4:$Z$4))/_xlfn.XLOOKUP(_xlfn.XLOOKUP($A261,'[1]DATOS PBI Artículos'!$A$4:$A$4,'[1]DATOS PBI Artículos'!$Y$4:$Y$4),[1]CRITERIOS!$P$79:$P$123,[1]CRITERIOS!$S$79:$S$123,),0)</f>
        <v>#N/A</v>
      </c>
      <c r="AB261" s="33" t="e">
        <f t="array" ref="AB261">IF((E261+V261-_xlfn.XLOOKUP(A261,'[1]DATOS PBI Artículos'!$A$4:$A$4,'[1]DATOS PBI Artículos'!$W$4:$W$4))/N261&gt;ROUNDUP([1]CRITERIOS!$M$16/(IF(COUNTIF([1]CRITERIOS!$BG$11:$BG$201,L261)&gt;=1,_xlfn.XLOOKUP(ARTÍCULOS!L261,[1]CRITERIOS!$BG$11:$BG$201,[1]CRITERIOS!$BJ$11:$BJ$201),_xlfn.XLOOKUP(ARTÍCULOS!C261,[1]CRITERIOS!$K$25:$K$42,[1]CRITERIOS!$M$25:$M$42))),0),ROUNDUP([1]CRITERIOS!$M$16/(IF(COUNTIF([1]CRITERIOS!$BG$11:$BG$201,L261)&gt;=1,_xlfn.XLOOKUP(ARTÍCULOS!L261,[1]CRITERIOS!$BG$11:$BG$201:#REF!,[1]CRITERIOS!$BJ$11:$BJ$201),_xlfn.XLOOKUP(ARTÍCULOS!C261,[1]CRITERIOS!$K$25:$K$42,[1]CRITERIOS!$M$25:$M$42))),0),(E261+V261-_xlfn.XLOOKUP(A261,'[1]DATOS PBI Artículos'!$A$4:$A$4,'[1]DATOS PBI Artículos'!$W$4:$W$4))/N261)</f>
        <v>#N/A</v>
      </c>
      <c r="AC261" s="33" t="e">
        <f>IF(N261=0,"",(ROUNDUP((N261/2)/(_xlfn.XLOOKUP(A261,'[1]DATOS PBI Artículos'!$A$4:$A$4,'[1]DATOS PBI Artículos'!$Z$4:$Z$4)*_xlfn.XLOOKUP(_xlfn.XLOOKUP(A261,'[1]DATOS PBI Artículos'!$A$4:$A$4,'[1]DATOS PBI Artículos'!$Y$4:$Y$4),[1]CRITERIOS!$P$79:$P$123,[1]CRITERIOS!$S$79:$S$123)),0)*[1]CRITERIOS!$M$80*([1]CRITERIOS!$M$110/[1]CRITERIOS!$M$86)+(_xlfn.XLOOKUP(A261,'[1]DATOS PBI Artículos'!$A$4:$A$4,'[1]DATOS PBI Artículos'!$AA$4:$AA$4)*([1]CRITERIOS!$M$95+[1]CRITERIOS!$M$98)))/N261)</f>
        <v>#N/A</v>
      </c>
      <c r="AD261" s="33" t="e">
        <f>IF(N261=0,"",(ROUNDUP((N261/2)/(_xlfn.XLOOKUP(A261,'[1]DATOS PBI Artículos'!$A$4:$A$4,'[1]DATOS PBI Artículos'!$Z$4:$Z$4)*_xlfn.XLOOKUP(_xlfn.XLOOKUP(A261,'[1]DATOS PBI Artículos'!$A$4:$A$4,'[1]DATOS PBI Artículos'!$Y$4:$Y$4),[1]CRITERIOS!$P$79:$P$123,[1]CRITERIOS!$S$79:$S$123)),0)*[1]CRITERIOS!$M$80*([1]CRITERIOS!$M$89*[1]CRITERIOS!$M$92)+((_xlfn.XLOOKUP(A261,'[1]DATOS PBI Artículos'!$A$4:$A$4,'[1]DATOS PBI Artículos'!$AA$4:$AA$4)/2)*([1]CRITERIOS!$M$95+[1]CRITERIOS!$M$98)))/N261)</f>
        <v>#N/A</v>
      </c>
      <c r="AE261" s="39" t="e">
        <f>IF($R261="MTO","",
IF($H261=0,ROUNDUP(((_xlfn.XLOOKUP($A261,'[1]DATOS PBI Artículos'!$A:$A,'[1]DATOS PBI Artículos'!$AL:$AL))/(_xlfn.XLOOKUP($AF$1,[1]CRITERIOS!$S$16:$S$39,[1]CRITERIOS!$Y$16:$Y$39))*$J261+$Z261)/$G261,0)*$G261,
((_xlfn.XLOOKUP($A261,'[1]DATOS PBI Artículos'!$A:$A,'[1]DATOS PBI Artículos'!$AL:$AL))/(_xlfn.XLOOKUP($AF$1,[1]CRITERIOS!$S$16:$S$39,[1]CRITERIOS!$Y$16:$Y$39))*$J261+$Z261)))</f>
        <v>#N/A</v>
      </c>
      <c r="AG261" s="39" t="e">
        <f>IF($R261="MTO","",
IF($H261=0,ROUNDUP(((_xlfn.XLOOKUP($A261,'[1]DATOS PBI Artículos'!$A:$A,'[1]DATOS PBI Artículos'!$AM:$AM))/(_xlfn.XLOOKUP($AH$1,[1]CRITERIOS!$S$16:$S$39,[1]CRITERIOS!$Y$16:$Y$39))*$J261+$Z261)/$G261,0)*$G261,
((_xlfn.XLOOKUP($A261,'[1]DATOS PBI Artículos'!$A:$A,'[1]DATOS PBI Artículos'!$AM:$AM))/(_xlfn.XLOOKUP($AH$1,[1]CRITERIOS!$S$16:$S$39,[1]CRITERIOS!$Y$16:$Y$39))*$J261+$Z261)))</f>
        <v>#N/A</v>
      </c>
      <c r="AI261" s="39" t="e">
        <f>IF($R261="MTO","",
IF($H261=0,ROUNDUP(((_xlfn.XLOOKUP($A261,'[1]DATOS PBI Artículos'!$A:$A,'[1]DATOS PBI Artículos'!$AN:$AN))/(_xlfn.XLOOKUP($AJ$1,[1]CRITERIOS!$S$16:$S$39,[1]CRITERIOS!$Y$16:$Y$39))*$J261+$Z261)/$G261,0)*$G261,
((_xlfn.XLOOKUP($A261,'[1]DATOS PBI Artículos'!$A:$A,'[1]DATOS PBI Artículos'!$AN:$AN))/(_xlfn.XLOOKUP($AJ$1,[1]CRITERIOS!$S$16:$S$39,[1]CRITERIOS!$Y$16:$Y$39))*$J261+$Z261)))</f>
        <v>#N/A</v>
      </c>
      <c r="AK261" s="39" t="e">
        <f>IF($R261="MTO","",
IF($H261=0,ROUNDUP(((_xlfn.XLOOKUP($A261,'[1]DATOS PBI Artículos'!$A:$A,'[1]DATOS PBI Artículos'!$AO:$AO))/(_xlfn.XLOOKUP($AL$1,[1]CRITERIOS!$S$16:$S$39,[1]CRITERIOS!$Y$16:$Y$39))*$J261+$Z261)/$G261,0)*$G261,
((_xlfn.XLOOKUP($A261,'[1]DATOS PBI Artículos'!$A:$A,'[1]DATOS PBI Artículos'!$AO:$AO))/(_xlfn.XLOOKUP($AL$1,[1]CRITERIOS!$S$16:$S$39,[1]CRITERIOS!$Y$16:$Y$39))*$J261+$Z261)))</f>
        <v>#N/A</v>
      </c>
    </row>
    <row r="262" spans="1:37" ht="25.8" hidden="1" x14ac:dyDescent="0.4">
      <c r="A262" s="41"/>
      <c r="B262" s="33">
        <f>_xlfn.XLOOKUP($A262,'[1]DATOS PBI Artículos'!A:A,'[1]DATOS PBI Artículos'!B:B)</f>
        <v>0</v>
      </c>
      <c r="C262" s="33">
        <f>_xlfn.XLOOKUP($A262,'[1]DATOS PBI Artículos'!A:A,'[1]DATOS PBI Artículos'!C:C)</f>
        <v>0</v>
      </c>
      <c r="D262" s="33">
        <f>_xlfn.XLOOKUP(A262,'[1]DATOS PBI Artículos'!A:A,'[1]DATOS PBI Artículos'!T:T)</f>
        <v>0</v>
      </c>
      <c r="E262" s="34">
        <f>IF(_xlfn.XLOOKUP($A262,'[1]DATOS PBI Artículos'!A:A,'[1]DATOS PBI Artículos'!AK:AK)="",_xlfn.XLOOKUP($A262,'[1]DATOS PBI Artículos'!A:A,'[1]DATOS PBI Artículos'!AJ:AJ),_xlfn.XLOOKUP($A262,'[1]DATOS PBI Artículos'!A:A,'[1]DATOS PBI Artículos'!AK:AK))</f>
        <v>0</v>
      </c>
      <c r="F262" s="35">
        <f>_xlfn.XLOOKUP($A262,'[1]DATOS PBI Artículos'!A:A,'[1]DATOS PBI Artículos'!AP:AP)</f>
        <v>0</v>
      </c>
      <c r="G262" s="34">
        <f>_xlfn.XLOOKUP($A262,'[1]DATOS PBI Artículos'!A:A,'[1]DATOS PBI Artículos'!AR:AR)</f>
        <v>0</v>
      </c>
      <c r="H262" s="34">
        <f>_xlfn.XLOOKUP($A262,'[1]DATOS PBI Artículos'!A:A,'[1]DATOS PBI Artículos'!AT:AT)</f>
        <v>0</v>
      </c>
      <c r="I262" s="34">
        <f>_xlfn.XLOOKUP($A262,'[1]DATOS PBI Artículos'!A:A,'[1]DATOS PBI Artículos'!AS:AS)</f>
        <v>0</v>
      </c>
      <c r="J262" s="35">
        <f>IF(COUNTIF([1]CRITERIOS!$F$179:$F$199,$A262)&gt;=1,
 IF(O262&lt;&gt;"",
    (O262/_xlfn.XLOOKUP(CONCATENATE(A262,L262),[1]MÁQUINAS!A:A,[1]MÁQUINAS!D:D))/24,
    (N262/_xlfn.XLOOKUP(CONCATENATE(A262,L262),[1]MÁQUINAS!A:A,[1]MÁQUINAS!D:D))/24),
  _xlfn.XLOOKUP($A262,'[1]DATOS PBI Artículos'!A:A,'[1]DATOS PBI Artículos'!AU:AU))</f>
        <v>0</v>
      </c>
      <c r="K262" s="36">
        <f>_xlfn.XLOOKUP($A262,'[1]DATOS PBI Artículos'!A:A,'[1]DATOS PBI Artículos'!AV:AV)</f>
        <v>0</v>
      </c>
      <c r="L262" s="33">
        <f>_xlfn.XLOOKUP(A262,[1]MÁQUINAS!B:B,[1]MÁQUINAS!C:C)</f>
        <v>0</v>
      </c>
      <c r="M262" s="34">
        <f t="array" ref="M262">_xlfn.XLOOKUP(A262,'[1]DATOS PBI Artículos'!A:A,'[1]DATOS PBI Artículos'!AX:$AX)</f>
        <v>0</v>
      </c>
      <c r="N262" s="37" t="e">
        <f>IF(I262="DV",
E262,
IF(COUNTIF([1]CRITERIOS!$I$179:$I$199,$A262)&gt;=1,
_xlfn.XLOOKUP($A262,[1]CRITERIOS!$I$179:$I$199,[1]CRITERIOS!$J$179:$J$199),
IF(COUNTIF([1]CRITERIOS!$L$179:$L$199,$A262)&gt;=1,
_xlfn.CEILING.MATH(IF($M262&gt;$E262,
$E262,
IF($M262&lt;$E262/ROUNDDOWN([1]CRITERIOS!$M$16/_xlfn.XLOOKUP($C262,[1]CRITERIOS!$K$25:$K$42,[1]CRITERIOS!$M$25:$M$42),
1),
E262/ROUNDDOWN([1]CRITERIOS!$M$16/_xlfn.XLOOKUP($C262,[1]CRITERIOS!$K$25:$K$42,[1]CRITERIOS!$M$25:$M$42),
1),
$M262)),
_xlfn.XLOOKUP($A262,[1]CRITERIOS!$L$179:$L$200,[1]CRITERIOS!$M$179:$M$200)),
_xlfn.CEILING.MATH(IF($M262&gt;$E262,
$E262,
IF($M262&lt;$E262/ROUNDDOWN([1]CRITERIOS!$M$16/_xlfn.XLOOKUP($C262,[1]CRITERIOS!$K$25:$K$42,[1]CRITERIOS!$M$25:$M$42),
1),
E262/ROUNDDOWN([1]CRITERIOS!$M$16/_xlfn.XLOOKUP($C262,[1]CRITERIOS!$K$25:$K$42,[1]CRITERIOS!$M$25:$M$42),
1),
$M262)),_xlfn.XLOOKUP(A262,'[1]DATOS PBI Artículos'!A:A,'[1]DATOS PBI Artículos'!Z:Z
)))))</f>
        <v>#N/A</v>
      </c>
      <c r="Q262" s="38" t="e">
        <f>IF(AND(O262="",N262=0),
0,
   IF(COUNTIF([1]CRITERIOS!$F$179:$F$199,$A262)&gt;=1,
   1,
   IF(R262="MTO",
      $D262,
      ROUNDUP(
                    IF(($E262-SUMIF('[1]DATOS PBI Artículos'!A:A,A262,'[1]DATOS PBI Artículos'!X:X)+($V262-_xlfn.XLOOKUP(A262,'[1]DATOS PBI Artículos'!A:A,'[1]DATOS PBI Artículos'!W:W)))&lt;0,
                    0,
                    IF(($E262-SUMIF('[1]DATOS PBI Artículos'!A:A,A262,'[1]DATOS PBI Artículos'!X:X)+$V262-_xlfn.XLOOKUP($A262,'[1]DATOS PBI Artículos'!A:A,'[1]DATOS PBI Artículos'!W:W))/IF($O262="",$N262,$O262)&gt;ROUNDUP([1]CRITERIOS!$M$16/(IF(COUNTIF([1]CRITERIOS!$BG$11:$BG$201,L262)&gt;=1,_xlfn.XLOOKUP($C262,[1]CRITERIOS!$K$25:$K$42,[1]CRITERIOS!$M$25:$M$42),_xlfn.XLOOKUP($C262,[1]CRITERIOS!$K$25:$K$42,[1]CRITERIOS!$M$25:$M$42))),0),
                    ROUNDUP([1]CRITERIOS!$M$16/(IF(COUNTIF([1]CRITERIOS!$BG$11:$BG$201,$L262)&gt;=1,_xlfn.XLOOKUP($C262,[1]CRITERIOS!$K$25:$K$42,[1]CRITERIOS!$M$25:$M$42),_xlfn.XLOOKUP($C262,[1]CRITERIOS!$K$25:$K$42,[1]CRITERIOS!$M$25:$M$42))),0),
                    (E262+V262-SUMIF('[1]DATOS PBI Artículos'!A:A,A262,'[1]DATOS PBI Artículos'!X:X)-_xlfn.XLOOKUP(A262,'[1]DATOS PBI Artículos'!A:A,'[1]DATOS PBI Artículos'!W:W))/IF($O262="",$N262,$O262))),0))))</f>
        <v>#N/A</v>
      </c>
      <c r="R262" s="33" t="e">
        <f>IF(U262&lt;&gt;"",U262,IF(F262="DV","MTO",IF(N262=0,"MTO",_xlfn.XLOOKUP(CONCATENATE(S262,T262),[1]CRITERIOS!$K$160:$K$168,[1]CRITERIOS!$N$160:$N$168))))</f>
        <v>#N/A</v>
      </c>
      <c r="S262" s="33" t="e">
        <f>IF(G262="DV","MTO",IF(N262=0,"MTO",IF(OR(AND(N262=0,O262=""),IF(O262="",G262/N262,G262/O262)&gt;[1]CRITERIOS!$G$163),"MTO",IF(IF(O262="",G262/N262,G262/O262)&lt;[1]CRITERIOS!$H$161,"MTS","MTOS"))))</f>
        <v>#N/A</v>
      </c>
      <c r="T262" s="33" t="e">
        <f>IF(F262="DV","MTO",IF(OR(AND($N262=0,O262=""),$F262/$J262&gt;[1]CRITERIOS!$G$170,$F262="DV"),"MTO",IF($F262/$J262&lt;[1]CRITERIOS!$H$168,"MTS","MTOS")))</f>
        <v>#N/A</v>
      </c>
      <c r="V262" s="34" t="e">
        <f t="shared" si="13"/>
        <v>#N/A</v>
      </c>
      <c r="X262" s="34" t="e">
        <f t="shared" si="14"/>
        <v>#N/A</v>
      </c>
      <c r="Y262" s="34" t="e">
        <f t="shared" si="15"/>
        <v>#N/A</v>
      </c>
      <c r="Z262" s="34" t="e">
        <f>IF($R262="MTO",
0,
($H262+$K262*($E262/[1]CRITERIOS!$M$16))/[1]CRITERIOS!$X$48)</f>
        <v>#N/A</v>
      </c>
      <c r="AA262" s="34" t="e">
        <f>ROUNDUP(($Y262/_xlfn.XLOOKUP($A262,'[1]DATOS PBI Artículos'!$A$4:$A$4,'[1]DATOS PBI Artículos'!$Z$4:$Z$4))/_xlfn.XLOOKUP(_xlfn.XLOOKUP($A262,'[1]DATOS PBI Artículos'!$A$4:$A$4,'[1]DATOS PBI Artículos'!$Y$4:$Y$4),[1]CRITERIOS!$P$79:$P$123,[1]CRITERIOS!$S$79:$S$123,),0)</f>
        <v>#N/A</v>
      </c>
      <c r="AB262" s="33" t="e">
        <f t="array" ref="AB262">IF((E262+V262-_xlfn.XLOOKUP(A262,'[1]DATOS PBI Artículos'!$A$4:$A$4,'[1]DATOS PBI Artículos'!$W$4:$W$4))/N262&gt;ROUNDUP([1]CRITERIOS!$M$16/(IF(COUNTIF([1]CRITERIOS!$BG$11:$BG$201,L262)&gt;=1,_xlfn.XLOOKUP(ARTÍCULOS!L262,[1]CRITERIOS!$BG$11:$BG$201,[1]CRITERIOS!$BJ$11:$BJ$201),_xlfn.XLOOKUP(ARTÍCULOS!C262,[1]CRITERIOS!$K$25:$K$42,[1]CRITERIOS!$M$25:$M$42))),0),ROUNDUP([1]CRITERIOS!$M$16/(IF(COUNTIF([1]CRITERIOS!$BG$11:$BG$201,L262)&gt;=1,_xlfn.XLOOKUP(ARTÍCULOS!L262,[1]CRITERIOS!$BG$11:$BG$201:#REF!,[1]CRITERIOS!$BJ$11:$BJ$201),_xlfn.XLOOKUP(ARTÍCULOS!C262,[1]CRITERIOS!$K$25:$K$42,[1]CRITERIOS!$M$25:$M$42))),0),(E262+V262-_xlfn.XLOOKUP(A262,'[1]DATOS PBI Artículos'!$A$4:$A$4,'[1]DATOS PBI Artículos'!$W$4:$W$4))/N262)</f>
        <v>#N/A</v>
      </c>
      <c r="AC262" s="33" t="e">
        <f>IF(N262=0,"",(ROUNDUP((N262/2)/(_xlfn.XLOOKUP(A262,'[1]DATOS PBI Artículos'!$A$4:$A$4,'[1]DATOS PBI Artículos'!$Z$4:$Z$4)*_xlfn.XLOOKUP(_xlfn.XLOOKUP(A262,'[1]DATOS PBI Artículos'!$A$4:$A$4,'[1]DATOS PBI Artículos'!$Y$4:$Y$4),[1]CRITERIOS!$P$79:$P$123,[1]CRITERIOS!$S$79:$S$123)),0)*[1]CRITERIOS!$M$80*([1]CRITERIOS!$M$110/[1]CRITERIOS!$M$86)+(_xlfn.XLOOKUP(A262,'[1]DATOS PBI Artículos'!$A$4:$A$4,'[1]DATOS PBI Artículos'!$AA$4:$AA$4)*([1]CRITERIOS!$M$95+[1]CRITERIOS!$M$98)))/N262)</f>
        <v>#N/A</v>
      </c>
      <c r="AD262" s="33" t="e">
        <f>IF(N262=0,"",(ROUNDUP((N262/2)/(_xlfn.XLOOKUP(A262,'[1]DATOS PBI Artículos'!$A$4:$A$4,'[1]DATOS PBI Artículos'!$Z$4:$Z$4)*_xlfn.XLOOKUP(_xlfn.XLOOKUP(A262,'[1]DATOS PBI Artículos'!$A$4:$A$4,'[1]DATOS PBI Artículos'!$Y$4:$Y$4),[1]CRITERIOS!$P$79:$P$123,[1]CRITERIOS!$S$79:$S$123)),0)*[1]CRITERIOS!$M$80*([1]CRITERIOS!$M$89*[1]CRITERIOS!$M$92)+((_xlfn.XLOOKUP(A262,'[1]DATOS PBI Artículos'!$A$4:$A$4,'[1]DATOS PBI Artículos'!$AA$4:$AA$4)/2)*([1]CRITERIOS!$M$95+[1]CRITERIOS!$M$98)))/N262)</f>
        <v>#N/A</v>
      </c>
      <c r="AE262" s="39" t="e">
        <f>IF($R262="MTO","",
IF($H262=0,ROUNDUP(((_xlfn.XLOOKUP($A262,'[1]DATOS PBI Artículos'!$A:$A,'[1]DATOS PBI Artículos'!$AL:$AL))/(_xlfn.XLOOKUP($AF$1,[1]CRITERIOS!$S$16:$S$39,[1]CRITERIOS!$Y$16:$Y$39))*$J262+$Z262)/$G262,0)*$G262,
((_xlfn.XLOOKUP($A262,'[1]DATOS PBI Artículos'!$A:$A,'[1]DATOS PBI Artículos'!$AL:$AL))/(_xlfn.XLOOKUP($AF$1,[1]CRITERIOS!$S$16:$S$39,[1]CRITERIOS!$Y$16:$Y$39))*$J262+$Z262)))</f>
        <v>#N/A</v>
      </c>
      <c r="AG262" s="39" t="e">
        <f>IF($R262="MTO","",
IF($H262=0,ROUNDUP(((_xlfn.XLOOKUP($A262,'[1]DATOS PBI Artículos'!$A:$A,'[1]DATOS PBI Artículos'!$AM:$AM))/(_xlfn.XLOOKUP($AH$1,[1]CRITERIOS!$S$16:$S$39,[1]CRITERIOS!$Y$16:$Y$39))*$J262+$Z262)/$G262,0)*$G262,
((_xlfn.XLOOKUP($A262,'[1]DATOS PBI Artículos'!$A:$A,'[1]DATOS PBI Artículos'!$AM:$AM))/(_xlfn.XLOOKUP($AH$1,[1]CRITERIOS!$S$16:$S$39,[1]CRITERIOS!$Y$16:$Y$39))*$J262+$Z262)))</f>
        <v>#N/A</v>
      </c>
      <c r="AI262" s="39" t="e">
        <f>IF($R262="MTO","",
IF($H262=0,ROUNDUP(((_xlfn.XLOOKUP($A262,'[1]DATOS PBI Artículos'!$A:$A,'[1]DATOS PBI Artículos'!$AN:$AN))/(_xlfn.XLOOKUP($AJ$1,[1]CRITERIOS!$S$16:$S$39,[1]CRITERIOS!$Y$16:$Y$39))*$J262+$Z262)/$G262,0)*$G262,
((_xlfn.XLOOKUP($A262,'[1]DATOS PBI Artículos'!$A:$A,'[1]DATOS PBI Artículos'!$AN:$AN))/(_xlfn.XLOOKUP($AJ$1,[1]CRITERIOS!$S$16:$S$39,[1]CRITERIOS!$Y$16:$Y$39))*$J262+$Z262)))</f>
        <v>#N/A</v>
      </c>
      <c r="AK262" s="39" t="e">
        <f>IF($R262="MTO","",
IF($H262=0,ROUNDUP(((_xlfn.XLOOKUP($A262,'[1]DATOS PBI Artículos'!$A:$A,'[1]DATOS PBI Artículos'!$AO:$AO))/(_xlfn.XLOOKUP($AL$1,[1]CRITERIOS!$S$16:$S$39,[1]CRITERIOS!$Y$16:$Y$39))*$J262+$Z262)/$G262,0)*$G262,
((_xlfn.XLOOKUP($A262,'[1]DATOS PBI Artículos'!$A:$A,'[1]DATOS PBI Artículos'!$AO:$AO))/(_xlfn.XLOOKUP($AL$1,[1]CRITERIOS!$S$16:$S$39,[1]CRITERIOS!$Y$16:$Y$39))*$J262+$Z262)))</f>
        <v>#N/A</v>
      </c>
    </row>
    <row r="263" spans="1:37" ht="25.8" hidden="1" x14ac:dyDescent="0.4">
      <c r="A263" s="41"/>
      <c r="B263" s="33">
        <f>_xlfn.XLOOKUP($A263,'[1]DATOS PBI Artículos'!A:A,'[1]DATOS PBI Artículos'!B:B)</f>
        <v>0</v>
      </c>
      <c r="C263" s="33">
        <f>_xlfn.XLOOKUP($A263,'[1]DATOS PBI Artículos'!A:A,'[1]DATOS PBI Artículos'!C:C)</f>
        <v>0</v>
      </c>
      <c r="D263" s="33">
        <f>_xlfn.XLOOKUP(A263,'[1]DATOS PBI Artículos'!A:A,'[1]DATOS PBI Artículos'!T:T)</f>
        <v>0</v>
      </c>
      <c r="E263" s="34">
        <f>IF(_xlfn.XLOOKUP($A263,'[1]DATOS PBI Artículos'!A:A,'[1]DATOS PBI Artículos'!AK:AK)="",_xlfn.XLOOKUP($A263,'[1]DATOS PBI Artículos'!A:A,'[1]DATOS PBI Artículos'!AJ:AJ),_xlfn.XLOOKUP($A263,'[1]DATOS PBI Artículos'!A:A,'[1]DATOS PBI Artículos'!AK:AK))</f>
        <v>0</v>
      </c>
      <c r="F263" s="35">
        <f>_xlfn.XLOOKUP($A263,'[1]DATOS PBI Artículos'!A:A,'[1]DATOS PBI Artículos'!AP:AP)</f>
        <v>0</v>
      </c>
      <c r="G263" s="34">
        <f>_xlfn.XLOOKUP($A263,'[1]DATOS PBI Artículos'!A:A,'[1]DATOS PBI Artículos'!AR:AR)</f>
        <v>0</v>
      </c>
      <c r="H263" s="34">
        <f>_xlfn.XLOOKUP($A263,'[1]DATOS PBI Artículos'!A:A,'[1]DATOS PBI Artículos'!AT:AT)</f>
        <v>0</v>
      </c>
      <c r="I263" s="34">
        <f>_xlfn.XLOOKUP($A263,'[1]DATOS PBI Artículos'!A:A,'[1]DATOS PBI Artículos'!AS:AS)</f>
        <v>0</v>
      </c>
      <c r="J263" s="35">
        <f>IF(COUNTIF([1]CRITERIOS!$F$179:$F$199,$A263)&gt;=1,
 IF(O263&lt;&gt;"",
    (O263/_xlfn.XLOOKUP(CONCATENATE(A263,L263),[1]MÁQUINAS!A:A,[1]MÁQUINAS!D:D))/24,
    (N263/_xlfn.XLOOKUP(CONCATENATE(A263,L263),[1]MÁQUINAS!A:A,[1]MÁQUINAS!D:D))/24),
  _xlfn.XLOOKUP($A263,'[1]DATOS PBI Artículos'!A:A,'[1]DATOS PBI Artículos'!AU:AU))</f>
        <v>0</v>
      </c>
      <c r="K263" s="36">
        <f>_xlfn.XLOOKUP($A263,'[1]DATOS PBI Artículos'!A:A,'[1]DATOS PBI Artículos'!AV:AV)</f>
        <v>0</v>
      </c>
      <c r="L263" s="33">
        <f>_xlfn.XLOOKUP(A263,[1]MÁQUINAS!B:B,[1]MÁQUINAS!C:C)</f>
        <v>0</v>
      </c>
      <c r="M263" s="34">
        <f t="array" ref="M263">_xlfn.XLOOKUP(A263,'[1]DATOS PBI Artículos'!A:A,'[1]DATOS PBI Artículos'!AX:$AX)</f>
        <v>0</v>
      </c>
      <c r="N263" s="37" t="e">
        <f>IF(I263="DV",
E263,
IF(COUNTIF([1]CRITERIOS!$I$179:$I$199,$A263)&gt;=1,
_xlfn.XLOOKUP($A263,[1]CRITERIOS!$I$179:$I$199,[1]CRITERIOS!$J$179:$J$199),
IF(COUNTIF([1]CRITERIOS!$L$179:$L$199,$A263)&gt;=1,
_xlfn.CEILING.MATH(IF($M263&gt;$E263,
$E263,
IF($M263&lt;$E263/ROUNDDOWN([1]CRITERIOS!$M$16/_xlfn.XLOOKUP($C263,[1]CRITERIOS!$K$25:$K$42,[1]CRITERIOS!$M$25:$M$42),
1),
E263/ROUNDDOWN([1]CRITERIOS!$M$16/_xlfn.XLOOKUP($C263,[1]CRITERIOS!$K$25:$K$42,[1]CRITERIOS!$M$25:$M$42),
1),
$M263)),
_xlfn.XLOOKUP($A263,[1]CRITERIOS!$L$179:$L$200,[1]CRITERIOS!$M$179:$M$200)),
_xlfn.CEILING.MATH(IF($M263&gt;$E263,
$E263,
IF($M263&lt;$E263/ROUNDDOWN([1]CRITERIOS!$M$16/_xlfn.XLOOKUP($C263,[1]CRITERIOS!$K$25:$K$42,[1]CRITERIOS!$M$25:$M$42),
1),
E263/ROUNDDOWN([1]CRITERIOS!$M$16/_xlfn.XLOOKUP($C263,[1]CRITERIOS!$K$25:$K$42,[1]CRITERIOS!$M$25:$M$42),
1),
$M263)),_xlfn.XLOOKUP(A263,'[1]DATOS PBI Artículos'!A:A,'[1]DATOS PBI Artículos'!Z:Z
)))))</f>
        <v>#N/A</v>
      </c>
      <c r="Q263" s="38" t="e">
        <f>IF(AND(O263="",N263=0),
0,
   IF(COUNTIF([1]CRITERIOS!$F$179:$F$199,$A263)&gt;=1,
   1,
   IF(R263="MTO",
      $D263,
      ROUNDUP(
                    IF(($E263-SUMIF('[1]DATOS PBI Artículos'!A:A,A263,'[1]DATOS PBI Artículos'!X:X)+($V263-_xlfn.XLOOKUP(A263,'[1]DATOS PBI Artículos'!A:A,'[1]DATOS PBI Artículos'!W:W)))&lt;0,
                    0,
                    IF(($E263-SUMIF('[1]DATOS PBI Artículos'!A:A,A263,'[1]DATOS PBI Artículos'!X:X)+$V263-_xlfn.XLOOKUP($A263,'[1]DATOS PBI Artículos'!A:A,'[1]DATOS PBI Artículos'!W:W))/IF($O263="",$N263,$O263)&gt;ROUNDUP([1]CRITERIOS!$M$16/(IF(COUNTIF([1]CRITERIOS!$BG$11:$BG$201,L263)&gt;=1,_xlfn.XLOOKUP($C263,[1]CRITERIOS!$K$25:$K$42,[1]CRITERIOS!$M$25:$M$42),_xlfn.XLOOKUP($C263,[1]CRITERIOS!$K$25:$K$42,[1]CRITERIOS!$M$25:$M$42))),0),
                    ROUNDUP([1]CRITERIOS!$M$16/(IF(COUNTIF([1]CRITERIOS!$BG$11:$BG$201,$L263)&gt;=1,_xlfn.XLOOKUP($C263,[1]CRITERIOS!$K$25:$K$42,[1]CRITERIOS!$M$25:$M$42),_xlfn.XLOOKUP($C263,[1]CRITERIOS!$K$25:$K$42,[1]CRITERIOS!$M$25:$M$42))),0),
                    (E263+V263-SUMIF('[1]DATOS PBI Artículos'!A:A,A263,'[1]DATOS PBI Artículos'!X:X)-_xlfn.XLOOKUP(A263,'[1]DATOS PBI Artículos'!A:A,'[1]DATOS PBI Artículos'!W:W))/IF($O263="",$N263,$O263))),0))))</f>
        <v>#N/A</v>
      </c>
      <c r="R263" s="33" t="e">
        <f>IF(U263&lt;&gt;"",U263,IF(F263="DV","MTO",IF(N263=0,"MTO",_xlfn.XLOOKUP(CONCATENATE(S263,T263),[1]CRITERIOS!$K$160:$K$168,[1]CRITERIOS!$N$160:$N$168))))</f>
        <v>#N/A</v>
      </c>
      <c r="S263" s="33" t="e">
        <f>IF(G263="DV","MTO",IF(N263=0,"MTO",IF(OR(AND(N263=0,O263=""),IF(O263="",G263/N263,G263/O263)&gt;[1]CRITERIOS!$G$163),"MTO",IF(IF(O263="",G263/N263,G263/O263)&lt;[1]CRITERIOS!$H$161,"MTS","MTOS"))))</f>
        <v>#N/A</v>
      </c>
      <c r="T263" s="33" t="e">
        <f>IF(F263="DV","MTO",IF(OR(AND($N263=0,O263=""),$F263/$J263&gt;[1]CRITERIOS!$G$170,$F263="DV"),"MTO",IF($F263/$J263&lt;[1]CRITERIOS!$H$168,"MTS","MTOS")))</f>
        <v>#N/A</v>
      </c>
      <c r="V263" s="34" t="e">
        <f t="shared" si="13"/>
        <v>#N/A</v>
      </c>
      <c r="X263" s="34" t="e">
        <f t="shared" si="14"/>
        <v>#N/A</v>
      </c>
      <c r="Y263" s="34" t="e">
        <f t="shared" si="15"/>
        <v>#N/A</v>
      </c>
      <c r="Z263" s="34" t="e">
        <f>IF($R263="MTO",
0,
($H263+$K263*($E263/[1]CRITERIOS!$M$16))/[1]CRITERIOS!$X$48)</f>
        <v>#N/A</v>
      </c>
      <c r="AA263" s="34" t="e">
        <f>ROUNDUP(($Y263/_xlfn.XLOOKUP($A263,'[1]DATOS PBI Artículos'!$A$4:$A$4,'[1]DATOS PBI Artículos'!$Z$4:$Z$4))/_xlfn.XLOOKUP(_xlfn.XLOOKUP($A263,'[1]DATOS PBI Artículos'!$A$4:$A$4,'[1]DATOS PBI Artículos'!$Y$4:$Y$4),[1]CRITERIOS!$P$79:$P$123,[1]CRITERIOS!$S$79:$S$123,),0)</f>
        <v>#N/A</v>
      </c>
      <c r="AB263" s="33" t="e">
        <f t="array" ref="AB263">IF((E263+V263-_xlfn.XLOOKUP(A263,'[1]DATOS PBI Artículos'!$A$4:$A$4,'[1]DATOS PBI Artículos'!$W$4:$W$4))/N263&gt;ROUNDUP([1]CRITERIOS!$M$16/(IF(COUNTIF([1]CRITERIOS!$BG$11:$BG$201,L263)&gt;=1,_xlfn.XLOOKUP(ARTÍCULOS!L263,[1]CRITERIOS!$BG$11:$BG$201,[1]CRITERIOS!$BJ$11:$BJ$201),_xlfn.XLOOKUP(ARTÍCULOS!C263,[1]CRITERIOS!$K$25:$K$42,[1]CRITERIOS!$M$25:$M$42))),0),ROUNDUP([1]CRITERIOS!$M$16/(IF(COUNTIF([1]CRITERIOS!$BG$11:$BG$201,L263)&gt;=1,_xlfn.XLOOKUP(ARTÍCULOS!L263,[1]CRITERIOS!$BG$11:$BG$201:#REF!,[1]CRITERIOS!$BJ$11:$BJ$201),_xlfn.XLOOKUP(ARTÍCULOS!C263,[1]CRITERIOS!$K$25:$K$42,[1]CRITERIOS!$M$25:$M$42))),0),(E263+V263-_xlfn.XLOOKUP(A263,'[1]DATOS PBI Artículos'!$A$4:$A$4,'[1]DATOS PBI Artículos'!$W$4:$W$4))/N263)</f>
        <v>#N/A</v>
      </c>
      <c r="AC263" s="33" t="e">
        <f>IF(N263=0,"",(ROUNDUP((N263/2)/(_xlfn.XLOOKUP(A263,'[1]DATOS PBI Artículos'!$A$4:$A$4,'[1]DATOS PBI Artículos'!$Z$4:$Z$4)*_xlfn.XLOOKUP(_xlfn.XLOOKUP(A263,'[1]DATOS PBI Artículos'!$A$4:$A$4,'[1]DATOS PBI Artículos'!$Y$4:$Y$4),[1]CRITERIOS!$P$79:$P$123,[1]CRITERIOS!$S$79:$S$123)),0)*[1]CRITERIOS!$M$80*([1]CRITERIOS!$M$110/[1]CRITERIOS!$M$86)+(_xlfn.XLOOKUP(A263,'[1]DATOS PBI Artículos'!$A$4:$A$4,'[1]DATOS PBI Artículos'!$AA$4:$AA$4)*([1]CRITERIOS!$M$95+[1]CRITERIOS!$M$98)))/N263)</f>
        <v>#N/A</v>
      </c>
      <c r="AD263" s="33" t="e">
        <f>IF(N263=0,"",(ROUNDUP((N263/2)/(_xlfn.XLOOKUP(A263,'[1]DATOS PBI Artículos'!$A$4:$A$4,'[1]DATOS PBI Artículos'!$Z$4:$Z$4)*_xlfn.XLOOKUP(_xlfn.XLOOKUP(A263,'[1]DATOS PBI Artículos'!$A$4:$A$4,'[1]DATOS PBI Artículos'!$Y$4:$Y$4),[1]CRITERIOS!$P$79:$P$123,[1]CRITERIOS!$S$79:$S$123)),0)*[1]CRITERIOS!$M$80*([1]CRITERIOS!$M$89*[1]CRITERIOS!$M$92)+((_xlfn.XLOOKUP(A263,'[1]DATOS PBI Artículos'!$A$4:$A$4,'[1]DATOS PBI Artículos'!$AA$4:$AA$4)/2)*([1]CRITERIOS!$M$95+[1]CRITERIOS!$M$98)))/N263)</f>
        <v>#N/A</v>
      </c>
      <c r="AE263" s="39" t="e">
        <f>IF($R263="MTO","",
IF($H263=0,ROUNDUP(((_xlfn.XLOOKUP($A263,'[1]DATOS PBI Artículos'!$A:$A,'[1]DATOS PBI Artículos'!$AL:$AL))/(_xlfn.XLOOKUP($AF$1,[1]CRITERIOS!$S$16:$S$39,[1]CRITERIOS!$Y$16:$Y$39))*$J263+$Z263)/$G263,0)*$G263,
((_xlfn.XLOOKUP($A263,'[1]DATOS PBI Artículos'!$A:$A,'[1]DATOS PBI Artículos'!$AL:$AL))/(_xlfn.XLOOKUP($AF$1,[1]CRITERIOS!$S$16:$S$39,[1]CRITERIOS!$Y$16:$Y$39))*$J263+$Z263)))</f>
        <v>#N/A</v>
      </c>
      <c r="AG263" s="39" t="e">
        <f>IF($R263="MTO","",
IF($H263=0,ROUNDUP(((_xlfn.XLOOKUP($A263,'[1]DATOS PBI Artículos'!$A:$A,'[1]DATOS PBI Artículos'!$AM:$AM))/(_xlfn.XLOOKUP($AH$1,[1]CRITERIOS!$S$16:$S$39,[1]CRITERIOS!$Y$16:$Y$39))*$J263+$Z263)/$G263,0)*$G263,
((_xlfn.XLOOKUP($A263,'[1]DATOS PBI Artículos'!$A:$A,'[1]DATOS PBI Artículos'!$AM:$AM))/(_xlfn.XLOOKUP($AH$1,[1]CRITERIOS!$S$16:$S$39,[1]CRITERIOS!$Y$16:$Y$39))*$J263+$Z263)))</f>
        <v>#N/A</v>
      </c>
      <c r="AI263" s="39" t="e">
        <f>IF($R263="MTO","",
IF($H263=0,ROUNDUP(((_xlfn.XLOOKUP($A263,'[1]DATOS PBI Artículos'!$A:$A,'[1]DATOS PBI Artículos'!$AN:$AN))/(_xlfn.XLOOKUP($AJ$1,[1]CRITERIOS!$S$16:$S$39,[1]CRITERIOS!$Y$16:$Y$39))*$J263+$Z263)/$G263,0)*$G263,
((_xlfn.XLOOKUP($A263,'[1]DATOS PBI Artículos'!$A:$A,'[1]DATOS PBI Artículos'!$AN:$AN))/(_xlfn.XLOOKUP($AJ$1,[1]CRITERIOS!$S$16:$S$39,[1]CRITERIOS!$Y$16:$Y$39))*$J263+$Z263)))</f>
        <v>#N/A</v>
      </c>
      <c r="AK263" s="39" t="e">
        <f>IF($R263="MTO","",
IF($H263=0,ROUNDUP(((_xlfn.XLOOKUP($A263,'[1]DATOS PBI Artículos'!$A:$A,'[1]DATOS PBI Artículos'!$AO:$AO))/(_xlfn.XLOOKUP($AL$1,[1]CRITERIOS!$S$16:$S$39,[1]CRITERIOS!$Y$16:$Y$39))*$J263+$Z263)/$G263,0)*$G263,
((_xlfn.XLOOKUP($A263,'[1]DATOS PBI Artículos'!$A:$A,'[1]DATOS PBI Artículos'!$AO:$AO))/(_xlfn.XLOOKUP($AL$1,[1]CRITERIOS!$S$16:$S$39,[1]CRITERIOS!$Y$16:$Y$39))*$J263+$Z263)))</f>
        <v>#N/A</v>
      </c>
    </row>
    <row r="264" spans="1:37" ht="25.8" hidden="1" x14ac:dyDescent="0.4">
      <c r="A264" s="41"/>
      <c r="B264" s="33">
        <f>_xlfn.XLOOKUP($A264,'[1]DATOS PBI Artículos'!A:A,'[1]DATOS PBI Artículos'!B:B)</f>
        <v>0</v>
      </c>
      <c r="C264" s="33">
        <f>_xlfn.XLOOKUP($A264,'[1]DATOS PBI Artículos'!A:A,'[1]DATOS PBI Artículos'!C:C)</f>
        <v>0</v>
      </c>
      <c r="D264" s="33">
        <f>_xlfn.XLOOKUP(A264,'[1]DATOS PBI Artículos'!A:A,'[1]DATOS PBI Artículos'!T:T)</f>
        <v>0</v>
      </c>
      <c r="E264" s="34">
        <f>IF(_xlfn.XLOOKUP($A264,'[1]DATOS PBI Artículos'!A:A,'[1]DATOS PBI Artículos'!AK:AK)="",_xlfn.XLOOKUP($A264,'[1]DATOS PBI Artículos'!A:A,'[1]DATOS PBI Artículos'!AJ:AJ),_xlfn.XLOOKUP($A264,'[1]DATOS PBI Artículos'!A:A,'[1]DATOS PBI Artículos'!AK:AK))</f>
        <v>0</v>
      </c>
      <c r="F264" s="35">
        <f>_xlfn.XLOOKUP($A264,'[1]DATOS PBI Artículos'!A:A,'[1]DATOS PBI Artículos'!AP:AP)</f>
        <v>0</v>
      </c>
      <c r="G264" s="34">
        <f>_xlfn.XLOOKUP($A264,'[1]DATOS PBI Artículos'!A:A,'[1]DATOS PBI Artículos'!AR:AR)</f>
        <v>0</v>
      </c>
      <c r="H264" s="34">
        <f>_xlfn.XLOOKUP($A264,'[1]DATOS PBI Artículos'!A:A,'[1]DATOS PBI Artículos'!AT:AT)</f>
        <v>0</v>
      </c>
      <c r="I264" s="34">
        <f>_xlfn.XLOOKUP($A264,'[1]DATOS PBI Artículos'!A:A,'[1]DATOS PBI Artículos'!AS:AS)</f>
        <v>0</v>
      </c>
      <c r="J264" s="35">
        <f>IF(COUNTIF([1]CRITERIOS!$F$179:$F$199,$A264)&gt;=1,
 IF(O264&lt;&gt;"",
    (O264/_xlfn.XLOOKUP(CONCATENATE(A264,L264),[1]MÁQUINAS!A:A,[1]MÁQUINAS!D:D))/24,
    (N264/_xlfn.XLOOKUP(CONCATENATE(A264,L264),[1]MÁQUINAS!A:A,[1]MÁQUINAS!D:D))/24),
  _xlfn.XLOOKUP($A264,'[1]DATOS PBI Artículos'!A:A,'[1]DATOS PBI Artículos'!AU:AU))</f>
        <v>0</v>
      </c>
      <c r="K264" s="36">
        <f>_xlfn.XLOOKUP($A264,'[1]DATOS PBI Artículos'!A:A,'[1]DATOS PBI Artículos'!AV:AV)</f>
        <v>0</v>
      </c>
      <c r="L264" s="33">
        <f>_xlfn.XLOOKUP(A264,[1]MÁQUINAS!B:B,[1]MÁQUINAS!C:C)</f>
        <v>0</v>
      </c>
      <c r="M264" s="34">
        <f t="array" ref="M264">_xlfn.XLOOKUP(A264,'[1]DATOS PBI Artículos'!A:A,'[1]DATOS PBI Artículos'!AX:$AX)</f>
        <v>0</v>
      </c>
      <c r="N264" s="37" t="e">
        <f>IF(I264="DV",
E264,
IF(COUNTIF([1]CRITERIOS!$I$179:$I$199,$A264)&gt;=1,
_xlfn.XLOOKUP($A264,[1]CRITERIOS!$I$179:$I$199,[1]CRITERIOS!$J$179:$J$199),
IF(COUNTIF([1]CRITERIOS!$L$179:$L$199,$A264)&gt;=1,
_xlfn.CEILING.MATH(IF($M264&gt;$E264,
$E264,
IF($M264&lt;$E264/ROUNDDOWN([1]CRITERIOS!$M$16/_xlfn.XLOOKUP($C264,[1]CRITERIOS!$K$25:$K$42,[1]CRITERIOS!$M$25:$M$42),
1),
E264/ROUNDDOWN([1]CRITERIOS!$M$16/_xlfn.XLOOKUP($C264,[1]CRITERIOS!$K$25:$K$42,[1]CRITERIOS!$M$25:$M$42),
1),
$M264)),
_xlfn.XLOOKUP($A264,[1]CRITERIOS!$L$179:$L$200,[1]CRITERIOS!$M$179:$M$200)),
_xlfn.CEILING.MATH(IF($M264&gt;$E264,
$E264,
IF($M264&lt;$E264/ROUNDDOWN([1]CRITERIOS!$M$16/_xlfn.XLOOKUP($C264,[1]CRITERIOS!$K$25:$K$42,[1]CRITERIOS!$M$25:$M$42),
1),
E264/ROUNDDOWN([1]CRITERIOS!$M$16/_xlfn.XLOOKUP($C264,[1]CRITERIOS!$K$25:$K$42,[1]CRITERIOS!$M$25:$M$42),
1),
$M264)),_xlfn.XLOOKUP(A264,'[1]DATOS PBI Artículos'!A:A,'[1]DATOS PBI Artículos'!Z:Z
)))))</f>
        <v>#N/A</v>
      </c>
      <c r="Q264" s="38" t="e">
        <f>IF(AND(O264="",N264=0),
0,
   IF(COUNTIF([1]CRITERIOS!$F$179:$F$199,$A264)&gt;=1,
   1,
   IF(R264="MTO",
      $D264,
      ROUNDUP(
                    IF(($E264-SUMIF('[1]DATOS PBI Artículos'!A:A,A264,'[1]DATOS PBI Artículos'!X:X)+($V264-_xlfn.XLOOKUP(A264,'[1]DATOS PBI Artículos'!A:A,'[1]DATOS PBI Artículos'!W:W)))&lt;0,
                    0,
                    IF(($E264-SUMIF('[1]DATOS PBI Artículos'!A:A,A264,'[1]DATOS PBI Artículos'!X:X)+$V264-_xlfn.XLOOKUP($A264,'[1]DATOS PBI Artículos'!A:A,'[1]DATOS PBI Artículos'!W:W))/IF($O264="",$N264,$O264)&gt;ROUNDUP([1]CRITERIOS!$M$16/(IF(COUNTIF([1]CRITERIOS!$BG$11:$BG$201,L264)&gt;=1,_xlfn.XLOOKUP($C264,[1]CRITERIOS!$K$25:$K$42,[1]CRITERIOS!$M$25:$M$42),_xlfn.XLOOKUP($C264,[1]CRITERIOS!$K$25:$K$42,[1]CRITERIOS!$M$25:$M$42))),0),
                    ROUNDUP([1]CRITERIOS!$M$16/(IF(COUNTIF([1]CRITERIOS!$BG$11:$BG$201,$L264)&gt;=1,_xlfn.XLOOKUP($C264,[1]CRITERIOS!$K$25:$K$42,[1]CRITERIOS!$M$25:$M$42),_xlfn.XLOOKUP($C264,[1]CRITERIOS!$K$25:$K$42,[1]CRITERIOS!$M$25:$M$42))),0),
                    (E264+V264-SUMIF('[1]DATOS PBI Artículos'!A:A,A264,'[1]DATOS PBI Artículos'!X:X)-_xlfn.XLOOKUP(A264,'[1]DATOS PBI Artículos'!A:A,'[1]DATOS PBI Artículos'!W:W))/IF($O264="",$N264,$O264))),0))))</f>
        <v>#N/A</v>
      </c>
      <c r="R264" s="33" t="e">
        <f>IF(U264&lt;&gt;"",U264,IF(F264="DV","MTO",IF(N264=0,"MTO",_xlfn.XLOOKUP(CONCATENATE(S264,T264),[1]CRITERIOS!$K$160:$K$168,[1]CRITERIOS!$N$160:$N$168))))</f>
        <v>#N/A</v>
      </c>
      <c r="S264" s="33" t="e">
        <f>IF(G264="DV","MTO",IF(N264=0,"MTO",IF(OR(AND(N264=0,O264=""),IF(O264="",G264/N264,G264/O264)&gt;[1]CRITERIOS!$G$163),"MTO",IF(IF(O264="",G264/N264,G264/O264)&lt;[1]CRITERIOS!$H$161,"MTS","MTOS"))))</f>
        <v>#N/A</v>
      </c>
      <c r="T264" s="33" t="e">
        <f>IF(F264="DV","MTO",IF(OR(AND($N264=0,O264=""),$F264/$J264&gt;[1]CRITERIOS!$G$170,$F264="DV"),"MTO",IF($F264/$J264&lt;[1]CRITERIOS!$H$168,"MTS","MTOS")))</f>
        <v>#N/A</v>
      </c>
      <c r="V264" s="34" t="e">
        <f t="shared" si="13"/>
        <v>#N/A</v>
      </c>
      <c r="X264" s="34" t="e">
        <f t="shared" si="14"/>
        <v>#N/A</v>
      </c>
      <c r="Y264" s="34" t="e">
        <f t="shared" si="15"/>
        <v>#N/A</v>
      </c>
      <c r="Z264" s="34" t="e">
        <f>IF($R264="MTO",
0,
($H264+$K264*($E264/[1]CRITERIOS!$M$16))/[1]CRITERIOS!$X$48)</f>
        <v>#N/A</v>
      </c>
      <c r="AA264" s="34" t="e">
        <f>ROUNDUP(($Y264/_xlfn.XLOOKUP($A264,'[1]DATOS PBI Artículos'!$A$4:$A$4,'[1]DATOS PBI Artículos'!$Z$4:$Z$4))/_xlfn.XLOOKUP(_xlfn.XLOOKUP($A264,'[1]DATOS PBI Artículos'!$A$4:$A$4,'[1]DATOS PBI Artículos'!$Y$4:$Y$4),[1]CRITERIOS!$P$79:$P$123,[1]CRITERIOS!$S$79:$S$123,),0)</f>
        <v>#N/A</v>
      </c>
      <c r="AB264" s="33" t="e">
        <f t="array" ref="AB264">IF((E264+V264-_xlfn.XLOOKUP(A264,'[1]DATOS PBI Artículos'!$A$4:$A$4,'[1]DATOS PBI Artículos'!$W$4:$W$4))/N264&gt;ROUNDUP([1]CRITERIOS!$M$16/(IF(COUNTIF([1]CRITERIOS!$BG$11:$BG$201,L264)&gt;=1,_xlfn.XLOOKUP(ARTÍCULOS!L264,[1]CRITERIOS!$BG$11:$BG$201,[1]CRITERIOS!$BJ$11:$BJ$201),_xlfn.XLOOKUP(ARTÍCULOS!C264,[1]CRITERIOS!$K$25:$K$42,[1]CRITERIOS!$M$25:$M$42))),0),ROUNDUP([1]CRITERIOS!$M$16/(IF(COUNTIF([1]CRITERIOS!$BG$11:$BG$201,L264)&gt;=1,_xlfn.XLOOKUP(ARTÍCULOS!L264,[1]CRITERIOS!$BG$11:$BG$201:#REF!,[1]CRITERIOS!$BJ$11:$BJ$201),_xlfn.XLOOKUP(ARTÍCULOS!C264,[1]CRITERIOS!$K$25:$K$42,[1]CRITERIOS!$M$25:$M$42))),0),(E264+V264-_xlfn.XLOOKUP(A264,'[1]DATOS PBI Artículos'!$A$4:$A$4,'[1]DATOS PBI Artículos'!$W$4:$W$4))/N264)</f>
        <v>#N/A</v>
      </c>
      <c r="AC264" s="33" t="e">
        <f>IF(N264=0,"",(ROUNDUP((N264/2)/(_xlfn.XLOOKUP(A264,'[1]DATOS PBI Artículos'!$A$4:$A$4,'[1]DATOS PBI Artículos'!$Z$4:$Z$4)*_xlfn.XLOOKUP(_xlfn.XLOOKUP(A264,'[1]DATOS PBI Artículos'!$A$4:$A$4,'[1]DATOS PBI Artículos'!$Y$4:$Y$4),[1]CRITERIOS!$P$79:$P$123,[1]CRITERIOS!$S$79:$S$123)),0)*[1]CRITERIOS!$M$80*([1]CRITERIOS!$M$110/[1]CRITERIOS!$M$86)+(_xlfn.XLOOKUP(A264,'[1]DATOS PBI Artículos'!$A$4:$A$4,'[1]DATOS PBI Artículos'!$AA$4:$AA$4)*([1]CRITERIOS!$M$95+[1]CRITERIOS!$M$98)))/N264)</f>
        <v>#N/A</v>
      </c>
      <c r="AD264" s="33" t="e">
        <f>IF(N264=0,"",(ROUNDUP((N264/2)/(_xlfn.XLOOKUP(A264,'[1]DATOS PBI Artículos'!$A$4:$A$4,'[1]DATOS PBI Artículos'!$Z$4:$Z$4)*_xlfn.XLOOKUP(_xlfn.XLOOKUP(A264,'[1]DATOS PBI Artículos'!$A$4:$A$4,'[1]DATOS PBI Artículos'!$Y$4:$Y$4),[1]CRITERIOS!$P$79:$P$123,[1]CRITERIOS!$S$79:$S$123)),0)*[1]CRITERIOS!$M$80*([1]CRITERIOS!$M$89*[1]CRITERIOS!$M$92)+((_xlfn.XLOOKUP(A264,'[1]DATOS PBI Artículos'!$A$4:$A$4,'[1]DATOS PBI Artículos'!$AA$4:$AA$4)/2)*([1]CRITERIOS!$M$95+[1]CRITERIOS!$M$98)))/N264)</f>
        <v>#N/A</v>
      </c>
      <c r="AE264" s="39" t="e">
        <f>IF($R264="MTO","",
IF($H264=0,ROUNDUP(((_xlfn.XLOOKUP($A264,'[1]DATOS PBI Artículos'!$A:$A,'[1]DATOS PBI Artículos'!$AL:$AL))/(_xlfn.XLOOKUP($AF$1,[1]CRITERIOS!$S$16:$S$39,[1]CRITERIOS!$Y$16:$Y$39))*$J264+$Z264)/$G264,0)*$G264,
((_xlfn.XLOOKUP($A264,'[1]DATOS PBI Artículos'!$A:$A,'[1]DATOS PBI Artículos'!$AL:$AL))/(_xlfn.XLOOKUP($AF$1,[1]CRITERIOS!$S$16:$S$39,[1]CRITERIOS!$Y$16:$Y$39))*$J264+$Z264)))</f>
        <v>#N/A</v>
      </c>
      <c r="AG264" s="39" t="e">
        <f>IF($R264="MTO","",
IF($H264=0,ROUNDUP(((_xlfn.XLOOKUP($A264,'[1]DATOS PBI Artículos'!$A:$A,'[1]DATOS PBI Artículos'!$AM:$AM))/(_xlfn.XLOOKUP($AH$1,[1]CRITERIOS!$S$16:$S$39,[1]CRITERIOS!$Y$16:$Y$39))*$J264+$Z264)/$G264,0)*$G264,
((_xlfn.XLOOKUP($A264,'[1]DATOS PBI Artículos'!$A:$A,'[1]DATOS PBI Artículos'!$AM:$AM))/(_xlfn.XLOOKUP($AH$1,[1]CRITERIOS!$S$16:$S$39,[1]CRITERIOS!$Y$16:$Y$39))*$J264+$Z264)))</f>
        <v>#N/A</v>
      </c>
      <c r="AI264" s="39" t="e">
        <f>IF($R264="MTO","",
IF($H264=0,ROUNDUP(((_xlfn.XLOOKUP($A264,'[1]DATOS PBI Artículos'!$A:$A,'[1]DATOS PBI Artículos'!$AN:$AN))/(_xlfn.XLOOKUP($AJ$1,[1]CRITERIOS!$S$16:$S$39,[1]CRITERIOS!$Y$16:$Y$39))*$J264+$Z264)/$G264,0)*$G264,
((_xlfn.XLOOKUP($A264,'[1]DATOS PBI Artículos'!$A:$A,'[1]DATOS PBI Artículos'!$AN:$AN))/(_xlfn.XLOOKUP($AJ$1,[1]CRITERIOS!$S$16:$S$39,[1]CRITERIOS!$Y$16:$Y$39))*$J264+$Z264)))</f>
        <v>#N/A</v>
      </c>
      <c r="AK264" s="39" t="e">
        <f>IF($R264="MTO","",
IF($H264=0,ROUNDUP(((_xlfn.XLOOKUP($A264,'[1]DATOS PBI Artículos'!$A:$A,'[1]DATOS PBI Artículos'!$AO:$AO))/(_xlfn.XLOOKUP($AL$1,[1]CRITERIOS!$S$16:$S$39,[1]CRITERIOS!$Y$16:$Y$39))*$J264+$Z264)/$G264,0)*$G264,
((_xlfn.XLOOKUP($A264,'[1]DATOS PBI Artículos'!$A:$A,'[1]DATOS PBI Artículos'!$AO:$AO))/(_xlfn.XLOOKUP($AL$1,[1]CRITERIOS!$S$16:$S$39,[1]CRITERIOS!$Y$16:$Y$39))*$J264+$Z264)))</f>
        <v>#N/A</v>
      </c>
    </row>
    <row r="265" spans="1:37" ht="25.8" hidden="1" x14ac:dyDescent="0.4">
      <c r="A265" s="41"/>
      <c r="B265" s="33">
        <f>_xlfn.XLOOKUP($A265,'[1]DATOS PBI Artículos'!A:A,'[1]DATOS PBI Artículos'!B:B)</f>
        <v>0</v>
      </c>
      <c r="C265" s="33">
        <f>_xlfn.XLOOKUP($A265,'[1]DATOS PBI Artículos'!A:A,'[1]DATOS PBI Artículos'!C:C)</f>
        <v>0</v>
      </c>
      <c r="D265" s="33">
        <f>_xlfn.XLOOKUP(A265,'[1]DATOS PBI Artículos'!A:A,'[1]DATOS PBI Artículos'!T:T)</f>
        <v>0</v>
      </c>
      <c r="E265" s="34">
        <f>IF(_xlfn.XLOOKUP($A265,'[1]DATOS PBI Artículos'!A:A,'[1]DATOS PBI Artículos'!AK:AK)="",_xlfn.XLOOKUP($A265,'[1]DATOS PBI Artículos'!A:A,'[1]DATOS PBI Artículos'!AJ:AJ),_xlfn.XLOOKUP($A265,'[1]DATOS PBI Artículos'!A:A,'[1]DATOS PBI Artículos'!AK:AK))</f>
        <v>0</v>
      </c>
      <c r="F265" s="35">
        <f>_xlfn.XLOOKUP($A265,'[1]DATOS PBI Artículos'!A:A,'[1]DATOS PBI Artículos'!AP:AP)</f>
        <v>0</v>
      </c>
      <c r="G265" s="34">
        <f>_xlfn.XLOOKUP($A265,'[1]DATOS PBI Artículos'!A:A,'[1]DATOS PBI Artículos'!AR:AR)</f>
        <v>0</v>
      </c>
      <c r="H265" s="34">
        <f>_xlfn.XLOOKUP($A265,'[1]DATOS PBI Artículos'!A:A,'[1]DATOS PBI Artículos'!AT:AT)</f>
        <v>0</v>
      </c>
      <c r="I265" s="34">
        <f>_xlfn.XLOOKUP($A265,'[1]DATOS PBI Artículos'!A:A,'[1]DATOS PBI Artículos'!AS:AS)</f>
        <v>0</v>
      </c>
      <c r="J265" s="35">
        <f>IF(COUNTIF([1]CRITERIOS!$F$179:$F$199,$A265)&gt;=1,
 IF(O265&lt;&gt;"",
    (O265/_xlfn.XLOOKUP(CONCATENATE(A265,L265),[1]MÁQUINAS!A:A,[1]MÁQUINAS!D:D))/24,
    (N265/_xlfn.XLOOKUP(CONCATENATE(A265,L265),[1]MÁQUINAS!A:A,[1]MÁQUINAS!D:D))/24),
  _xlfn.XLOOKUP($A265,'[1]DATOS PBI Artículos'!A:A,'[1]DATOS PBI Artículos'!AU:AU))</f>
        <v>0</v>
      </c>
      <c r="K265" s="36">
        <f>_xlfn.XLOOKUP($A265,'[1]DATOS PBI Artículos'!A:A,'[1]DATOS PBI Artículos'!AV:AV)</f>
        <v>0</v>
      </c>
      <c r="L265" s="33">
        <f>_xlfn.XLOOKUP(A265,[1]MÁQUINAS!B:B,[1]MÁQUINAS!C:C)</f>
        <v>0</v>
      </c>
      <c r="M265" s="34">
        <f t="array" ref="M265">_xlfn.XLOOKUP(A265,'[1]DATOS PBI Artículos'!A:A,'[1]DATOS PBI Artículos'!AX:$AX)</f>
        <v>0</v>
      </c>
      <c r="N265" s="37" t="e">
        <f>IF(I265="DV",
E265,
IF(COUNTIF([1]CRITERIOS!$I$179:$I$199,$A265)&gt;=1,
_xlfn.XLOOKUP($A265,[1]CRITERIOS!$I$179:$I$199,[1]CRITERIOS!$J$179:$J$199),
IF(COUNTIF([1]CRITERIOS!$L$179:$L$199,$A265)&gt;=1,
_xlfn.CEILING.MATH(IF($M265&gt;$E265,
$E265,
IF($M265&lt;$E265/ROUNDDOWN([1]CRITERIOS!$M$16/_xlfn.XLOOKUP($C265,[1]CRITERIOS!$K$25:$K$42,[1]CRITERIOS!$M$25:$M$42),
1),
E265/ROUNDDOWN([1]CRITERIOS!$M$16/_xlfn.XLOOKUP($C265,[1]CRITERIOS!$K$25:$K$42,[1]CRITERIOS!$M$25:$M$42),
1),
$M265)),
_xlfn.XLOOKUP($A265,[1]CRITERIOS!$L$179:$L$200,[1]CRITERIOS!$M$179:$M$200)),
_xlfn.CEILING.MATH(IF($M265&gt;$E265,
$E265,
IF($M265&lt;$E265/ROUNDDOWN([1]CRITERIOS!$M$16/_xlfn.XLOOKUP($C265,[1]CRITERIOS!$K$25:$K$42,[1]CRITERIOS!$M$25:$M$42),
1),
E265/ROUNDDOWN([1]CRITERIOS!$M$16/_xlfn.XLOOKUP($C265,[1]CRITERIOS!$K$25:$K$42,[1]CRITERIOS!$M$25:$M$42),
1),
$M265)),_xlfn.XLOOKUP(A265,'[1]DATOS PBI Artículos'!A:A,'[1]DATOS PBI Artículos'!Z:Z
)))))</f>
        <v>#N/A</v>
      </c>
      <c r="Q265" s="38" t="e">
        <f>IF(AND(O265="",N265=0),
0,
   IF(COUNTIF([1]CRITERIOS!$F$179:$F$199,$A265)&gt;=1,
   1,
   IF(R265="MTO",
      $D265,
      ROUNDUP(
                    IF(($E265-SUMIF('[1]DATOS PBI Artículos'!A:A,A265,'[1]DATOS PBI Artículos'!X:X)+($V265-_xlfn.XLOOKUP(A265,'[1]DATOS PBI Artículos'!A:A,'[1]DATOS PBI Artículos'!W:W)))&lt;0,
                    0,
                    IF(($E265-SUMIF('[1]DATOS PBI Artículos'!A:A,A265,'[1]DATOS PBI Artículos'!X:X)+$V265-_xlfn.XLOOKUP($A265,'[1]DATOS PBI Artículos'!A:A,'[1]DATOS PBI Artículos'!W:W))/IF($O265="",$N265,$O265)&gt;ROUNDUP([1]CRITERIOS!$M$16/(IF(COUNTIF([1]CRITERIOS!$BG$11:$BG$201,L265)&gt;=1,_xlfn.XLOOKUP($C265,[1]CRITERIOS!$K$25:$K$42,[1]CRITERIOS!$M$25:$M$42),_xlfn.XLOOKUP($C265,[1]CRITERIOS!$K$25:$K$42,[1]CRITERIOS!$M$25:$M$42))),0),
                    ROUNDUP([1]CRITERIOS!$M$16/(IF(COUNTIF([1]CRITERIOS!$BG$11:$BG$201,$L265)&gt;=1,_xlfn.XLOOKUP($C265,[1]CRITERIOS!$K$25:$K$42,[1]CRITERIOS!$M$25:$M$42),_xlfn.XLOOKUP($C265,[1]CRITERIOS!$K$25:$K$42,[1]CRITERIOS!$M$25:$M$42))),0),
                    (E265+V265-SUMIF('[1]DATOS PBI Artículos'!A:A,A265,'[1]DATOS PBI Artículos'!X:X)-_xlfn.XLOOKUP(A265,'[1]DATOS PBI Artículos'!A:A,'[1]DATOS PBI Artículos'!W:W))/IF($O265="",$N265,$O265))),0))))</f>
        <v>#N/A</v>
      </c>
      <c r="R265" s="33" t="e">
        <f>IF(U265&lt;&gt;"",U265,IF(F265="DV","MTO",IF(N265=0,"MTO",_xlfn.XLOOKUP(CONCATENATE(S265,T265),[1]CRITERIOS!$K$160:$K$168,[1]CRITERIOS!$N$160:$N$168))))</f>
        <v>#N/A</v>
      </c>
      <c r="S265" s="33" t="e">
        <f>IF(G265="DV","MTO",IF(N265=0,"MTO",IF(OR(AND(N265=0,O265=""),IF(O265="",G265/N265,G265/O265)&gt;[1]CRITERIOS!$G$163),"MTO",IF(IF(O265="",G265/N265,G265/O265)&lt;[1]CRITERIOS!$H$161,"MTS","MTOS"))))</f>
        <v>#N/A</v>
      </c>
      <c r="T265" s="33" t="e">
        <f>IF(F265="DV","MTO",IF(OR(AND($N265=0,O265=""),$F265/$J265&gt;[1]CRITERIOS!$G$170,$F265="DV"),"MTO",IF($F265/$J265&lt;[1]CRITERIOS!$H$168,"MTS","MTOS")))</f>
        <v>#N/A</v>
      </c>
      <c r="V265" s="34" t="e">
        <f t="shared" si="13"/>
        <v>#N/A</v>
      </c>
      <c r="X265" s="34" t="e">
        <f t="shared" si="14"/>
        <v>#N/A</v>
      </c>
      <c r="Y265" s="34" t="e">
        <f t="shared" si="15"/>
        <v>#N/A</v>
      </c>
      <c r="Z265" s="34" t="e">
        <f>IF($R265="MTO",
0,
($H265+$K265*($E265/[1]CRITERIOS!$M$16))/[1]CRITERIOS!$X$48)</f>
        <v>#N/A</v>
      </c>
      <c r="AA265" s="34" t="e">
        <f>ROUNDUP(($Y265/_xlfn.XLOOKUP($A265,'[1]DATOS PBI Artículos'!$A$4:$A$4,'[1]DATOS PBI Artículos'!$Z$4:$Z$4))/_xlfn.XLOOKUP(_xlfn.XLOOKUP($A265,'[1]DATOS PBI Artículos'!$A$4:$A$4,'[1]DATOS PBI Artículos'!$Y$4:$Y$4),[1]CRITERIOS!$P$79:$P$123,[1]CRITERIOS!$S$79:$S$123,),0)</f>
        <v>#N/A</v>
      </c>
      <c r="AB265" s="33" t="e">
        <f t="array" ref="AB265">IF((E265+V265-_xlfn.XLOOKUP(A265,'[1]DATOS PBI Artículos'!$A$4:$A$4,'[1]DATOS PBI Artículos'!$W$4:$W$4))/N265&gt;ROUNDUP([1]CRITERIOS!$M$16/(IF(COUNTIF([1]CRITERIOS!$BG$11:$BG$201,L265)&gt;=1,_xlfn.XLOOKUP(ARTÍCULOS!L265,[1]CRITERIOS!$BG$11:$BG$201,[1]CRITERIOS!$BJ$11:$BJ$201),_xlfn.XLOOKUP(ARTÍCULOS!C265,[1]CRITERIOS!$K$25:$K$42,[1]CRITERIOS!$M$25:$M$42))),0),ROUNDUP([1]CRITERIOS!$M$16/(IF(COUNTIF([1]CRITERIOS!$BG$11:$BG$201,L265)&gt;=1,_xlfn.XLOOKUP(ARTÍCULOS!L265,[1]CRITERIOS!$BG$11:$BG$201:#REF!,[1]CRITERIOS!$BJ$11:$BJ$201),_xlfn.XLOOKUP(ARTÍCULOS!C265,[1]CRITERIOS!$K$25:$K$42,[1]CRITERIOS!$M$25:$M$42))),0),(E265+V265-_xlfn.XLOOKUP(A265,'[1]DATOS PBI Artículos'!$A$4:$A$4,'[1]DATOS PBI Artículos'!$W$4:$W$4))/N265)</f>
        <v>#N/A</v>
      </c>
      <c r="AC265" s="33" t="e">
        <f>IF(N265=0,"",(ROUNDUP((N265/2)/(_xlfn.XLOOKUP(A265,'[1]DATOS PBI Artículos'!$A$4:$A$4,'[1]DATOS PBI Artículos'!$Z$4:$Z$4)*_xlfn.XLOOKUP(_xlfn.XLOOKUP(A265,'[1]DATOS PBI Artículos'!$A$4:$A$4,'[1]DATOS PBI Artículos'!$Y$4:$Y$4),[1]CRITERIOS!$P$79:$P$123,[1]CRITERIOS!$S$79:$S$123)),0)*[1]CRITERIOS!$M$80*([1]CRITERIOS!$M$110/[1]CRITERIOS!$M$86)+(_xlfn.XLOOKUP(A265,'[1]DATOS PBI Artículos'!$A$4:$A$4,'[1]DATOS PBI Artículos'!$AA$4:$AA$4)*([1]CRITERIOS!$M$95+[1]CRITERIOS!$M$98)))/N265)</f>
        <v>#N/A</v>
      </c>
      <c r="AD265" s="33" t="e">
        <f>IF(N265=0,"",(ROUNDUP((N265/2)/(_xlfn.XLOOKUP(A265,'[1]DATOS PBI Artículos'!$A$4:$A$4,'[1]DATOS PBI Artículos'!$Z$4:$Z$4)*_xlfn.XLOOKUP(_xlfn.XLOOKUP(A265,'[1]DATOS PBI Artículos'!$A$4:$A$4,'[1]DATOS PBI Artículos'!$Y$4:$Y$4),[1]CRITERIOS!$P$79:$P$123,[1]CRITERIOS!$S$79:$S$123)),0)*[1]CRITERIOS!$M$80*([1]CRITERIOS!$M$89*[1]CRITERIOS!$M$92)+((_xlfn.XLOOKUP(A265,'[1]DATOS PBI Artículos'!$A$4:$A$4,'[1]DATOS PBI Artículos'!$AA$4:$AA$4)/2)*([1]CRITERIOS!$M$95+[1]CRITERIOS!$M$98)))/N265)</f>
        <v>#N/A</v>
      </c>
      <c r="AE265" s="39" t="e">
        <f>IF($R265="MTO","",
IF($H265=0,ROUNDUP(((_xlfn.XLOOKUP($A265,'[1]DATOS PBI Artículos'!$A:$A,'[1]DATOS PBI Artículos'!$AL:$AL))/(_xlfn.XLOOKUP($AF$1,[1]CRITERIOS!$S$16:$S$39,[1]CRITERIOS!$Y$16:$Y$39))*$J265+$Z265)/$G265,0)*$G265,
((_xlfn.XLOOKUP($A265,'[1]DATOS PBI Artículos'!$A:$A,'[1]DATOS PBI Artículos'!$AL:$AL))/(_xlfn.XLOOKUP($AF$1,[1]CRITERIOS!$S$16:$S$39,[1]CRITERIOS!$Y$16:$Y$39))*$J265+$Z265)))</f>
        <v>#N/A</v>
      </c>
      <c r="AG265" s="39" t="e">
        <f>IF($R265="MTO","",
IF($H265=0,ROUNDUP(((_xlfn.XLOOKUP($A265,'[1]DATOS PBI Artículos'!$A:$A,'[1]DATOS PBI Artículos'!$AM:$AM))/(_xlfn.XLOOKUP($AH$1,[1]CRITERIOS!$S$16:$S$39,[1]CRITERIOS!$Y$16:$Y$39))*$J265+$Z265)/$G265,0)*$G265,
((_xlfn.XLOOKUP($A265,'[1]DATOS PBI Artículos'!$A:$A,'[1]DATOS PBI Artículos'!$AM:$AM))/(_xlfn.XLOOKUP($AH$1,[1]CRITERIOS!$S$16:$S$39,[1]CRITERIOS!$Y$16:$Y$39))*$J265+$Z265)))</f>
        <v>#N/A</v>
      </c>
      <c r="AI265" s="39" t="e">
        <f>IF($R265="MTO","",
IF($H265=0,ROUNDUP(((_xlfn.XLOOKUP($A265,'[1]DATOS PBI Artículos'!$A:$A,'[1]DATOS PBI Artículos'!$AN:$AN))/(_xlfn.XLOOKUP($AJ$1,[1]CRITERIOS!$S$16:$S$39,[1]CRITERIOS!$Y$16:$Y$39))*$J265+$Z265)/$G265,0)*$G265,
((_xlfn.XLOOKUP($A265,'[1]DATOS PBI Artículos'!$A:$A,'[1]DATOS PBI Artículos'!$AN:$AN))/(_xlfn.XLOOKUP($AJ$1,[1]CRITERIOS!$S$16:$S$39,[1]CRITERIOS!$Y$16:$Y$39))*$J265+$Z265)))</f>
        <v>#N/A</v>
      </c>
      <c r="AK265" s="39" t="e">
        <f>IF($R265="MTO","",
IF($H265=0,ROUNDUP(((_xlfn.XLOOKUP($A265,'[1]DATOS PBI Artículos'!$A:$A,'[1]DATOS PBI Artículos'!$AO:$AO))/(_xlfn.XLOOKUP($AL$1,[1]CRITERIOS!$S$16:$S$39,[1]CRITERIOS!$Y$16:$Y$39))*$J265+$Z265)/$G265,0)*$G265,
((_xlfn.XLOOKUP($A265,'[1]DATOS PBI Artículos'!$A:$A,'[1]DATOS PBI Artículos'!$AO:$AO))/(_xlfn.XLOOKUP($AL$1,[1]CRITERIOS!$S$16:$S$39,[1]CRITERIOS!$Y$16:$Y$39))*$J265+$Z265)))</f>
        <v>#N/A</v>
      </c>
    </row>
    <row r="266" spans="1:37" ht="25.8" hidden="1" x14ac:dyDescent="0.4">
      <c r="A266" s="41"/>
      <c r="B266" s="33">
        <f>_xlfn.XLOOKUP($A266,'[1]DATOS PBI Artículos'!A:A,'[1]DATOS PBI Artículos'!B:B)</f>
        <v>0</v>
      </c>
      <c r="C266" s="33">
        <f>_xlfn.XLOOKUP($A266,'[1]DATOS PBI Artículos'!A:A,'[1]DATOS PBI Artículos'!C:C)</f>
        <v>0</v>
      </c>
      <c r="D266" s="33">
        <f>_xlfn.XLOOKUP(A266,'[1]DATOS PBI Artículos'!A:A,'[1]DATOS PBI Artículos'!T:T)</f>
        <v>0</v>
      </c>
      <c r="E266" s="34">
        <f>IF(_xlfn.XLOOKUP($A266,'[1]DATOS PBI Artículos'!A:A,'[1]DATOS PBI Artículos'!AK:AK)="",_xlfn.XLOOKUP($A266,'[1]DATOS PBI Artículos'!A:A,'[1]DATOS PBI Artículos'!AJ:AJ),_xlfn.XLOOKUP($A266,'[1]DATOS PBI Artículos'!A:A,'[1]DATOS PBI Artículos'!AK:AK))</f>
        <v>0</v>
      </c>
      <c r="F266" s="35">
        <f>_xlfn.XLOOKUP($A266,'[1]DATOS PBI Artículos'!A:A,'[1]DATOS PBI Artículos'!AP:AP)</f>
        <v>0</v>
      </c>
      <c r="G266" s="34">
        <f>_xlfn.XLOOKUP($A266,'[1]DATOS PBI Artículos'!A:A,'[1]DATOS PBI Artículos'!AR:AR)</f>
        <v>0</v>
      </c>
      <c r="H266" s="34">
        <f>_xlfn.XLOOKUP($A266,'[1]DATOS PBI Artículos'!A:A,'[1]DATOS PBI Artículos'!AT:AT)</f>
        <v>0</v>
      </c>
      <c r="I266" s="34">
        <f>_xlfn.XLOOKUP($A266,'[1]DATOS PBI Artículos'!A:A,'[1]DATOS PBI Artículos'!AS:AS)</f>
        <v>0</v>
      </c>
      <c r="J266" s="35">
        <f>IF(COUNTIF([1]CRITERIOS!$F$179:$F$199,$A266)&gt;=1,
 IF(O266&lt;&gt;"",
    (O266/_xlfn.XLOOKUP(CONCATENATE(A266,L266),[1]MÁQUINAS!A:A,[1]MÁQUINAS!D:D))/24,
    (N266/_xlfn.XLOOKUP(CONCATENATE(A266,L266),[1]MÁQUINAS!A:A,[1]MÁQUINAS!D:D))/24),
  _xlfn.XLOOKUP($A266,'[1]DATOS PBI Artículos'!A:A,'[1]DATOS PBI Artículos'!AU:AU))</f>
        <v>0</v>
      </c>
      <c r="K266" s="36">
        <f>_xlfn.XLOOKUP($A266,'[1]DATOS PBI Artículos'!A:A,'[1]DATOS PBI Artículos'!AV:AV)</f>
        <v>0</v>
      </c>
      <c r="L266" s="33">
        <f>_xlfn.XLOOKUP(A266,[1]MÁQUINAS!B:B,[1]MÁQUINAS!C:C)</f>
        <v>0</v>
      </c>
      <c r="M266" s="34">
        <f t="array" ref="M266">_xlfn.XLOOKUP(A266,'[1]DATOS PBI Artículos'!A:A,'[1]DATOS PBI Artículos'!AX:$AX)</f>
        <v>0</v>
      </c>
      <c r="N266" s="37" t="e">
        <f>IF(I266="DV",
E266,
IF(COUNTIF([1]CRITERIOS!$I$179:$I$199,$A266)&gt;=1,
_xlfn.XLOOKUP($A266,[1]CRITERIOS!$I$179:$I$199,[1]CRITERIOS!$J$179:$J$199),
IF(COUNTIF([1]CRITERIOS!$L$179:$L$199,$A266)&gt;=1,
_xlfn.CEILING.MATH(IF($M266&gt;$E266,
$E266,
IF($M266&lt;$E266/ROUNDDOWN([1]CRITERIOS!$M$16/_xlfn.XLOOKUP($C266,[1]CRITERIOS!$K$25:$K$42,[1]CRITERIOS!$M$25:$M$42),
1),
E266/ROUNDDOWN([1]CRITERIOS!$M$16/_xlfn.XLOOKUP($C266,[1]CRITERIOS!$K$25:$K$42,[1]CRITERIOS!$M$25:$M$42),
1),
$M266)),
_xlfn.XLOOKUP($A266,[1]CRITERIOS!$L$179:$L$200,[1]CRITERIOS!$M$179:$M$200)),
_xlfn.CEILING.MATH(IF($M266&gt;$E266,
$E266,
IF($M266&lt;$E266/ROUNDDOWN([1]CRITERIOS!$M$16/_xlfn.XLOOKUP($C266,[1]CRITERIOS!$K$25:$K$42,[1]CRITERIOS!$M$25:$M$42),
1),
E266/ROUNDDOWN([1]CRITERIOS!$M$16/_xlfn.XLOOKUP($C266,[1]CRITERIOS!$K$25:$K$42,[1]CRITERIOS!$M$25:$M$42),
1),
$M266)),_xlfn.XLOOKUP(A266,'[1]DATOS PBI Artículos'!A:A,'[1]DATOS PBI Artículos'!Z:Z
)))))</f>
        <v>#N/A</v>
      </c>
      <c r="Q266" s="38" t="e">
        <f>IF(AND(O266="",N266=0),
0,
   IF(COUNTIF([1]CRITERIOS!$F$179:$F$199,$A266)&gt;=1,
   1,
   IF(R266="MTO",
      $D266,
      ROUNDUP(
                    IF(($E266-SUMIF('[1]DATOS PBI Artículos'!A:A,A266,'[1]DATOS PBI Artículos'!X:X)+($V266-_xlfn.XLOOKUP(A266,'[1]DATOS PBI Artículos'!A:A,'[1]DATOS PBI Artículos'!W:W)))&lt;0,
                    0,
                    IF(($E266-SUMIF('[1]DATOS PBI Artículos'!A:A,A266,'[1]DATOS PBI Artículos'!X:X)+$V266-_xlfn.XLOOKUP($A266,'[1]DATOS PBI Artículos'!A:A,'[1]DATOS PBI Artículos'!W:W))/IF($O266="",$N266,$O266)&gt;ROUNDUP([1]CRITERIOS!$M$16/(IF(COUNTIF([1]CRITERIOS!$BG$11:$BG$201,L266)&gt;=1,_xlfn.XLOOKUP($C266,[1]CRITERIOS!$K$25:$K$42,[1]CRITERIOS!$M$25:$M$42),_xlfn.XLOOKUP($C266,[1]CRITERIOS!$K$25:$K$42,[1]CRITERIOS!$M$25:$M$42))),0),
                    ROUNDUP([1]CRITERIOS!$M$16/(IF(COUNTIF([1]CRITERIOS!$BG$11:$BG$201,$L266)&gt;=1,_xlfn.XLOOKUP($C266,[1]CRITERIOS!$K$25:$K$42,[1]CRITERIOS!$M$25:$M$42),_xlfn.XLOOKUP($C266,[1]CRITERIOS!$K$25:$K$42,[1]CRITERIOS!$M$25:$M$42))),0),
                    (E266+V266-SUMIF('[1]DATOS PBI Artículos'!A:A,A266,'[1]DATOS PBI Artículos'!X:X)-_xlfn.XLOOKUP(A266,'[1]DATOS PBI Artículos'!A:A,'[1]DATOS PBI Artículos'!W:W))/IF($O266="",$N266,$O266))),0))))</f>
        <v>#N/A</v>
      </c>
      <c r="R266" s="33" t="e">
        <f>IF(U266&lt;&gt;"",U266,IF(F266="DV","MTO",IF(N266=0,"MTO",_xlfn.XLOOKUP(CONCATENATE(S266,T266),[1]CRITERIOS!$K$160:$K$168,[1]CRITERIOS!$N$160:$N$168))))</f>
        <v>#N/A</v>
      </c>
      <c r="S266" s="33" t="e">
        <f>IF(G266="DV","MTO",IF(N266=0,"MTO",IF(OR(AND(N266=0,O266=""),IF(O266="",G266/N266,G266/O266)&gt;[1]CRITERIOS!$G$163),"MTO",IF(IF(O266="",G266/N266,G266/O266)&lt;[1]CRITERIOS!$H$161,"MTS","MTOS"))))</f>
        <v>#N/A</v>
      </c>
      <c r="T266" s="33" t="e">
        <f>IF(F266="DV","MTO",IF(OR(AND($N266=0,O266=""),$F266/$J266&gt;[1]CRITERIOS!$G$170,$F266="DV"),"MTO",IF($F266/$J266&lt;[1]CRITERIOS!$H$168,"MTS","MTOS")))</f>
        <v>#N/A</v>
      </c>
      <c r="V266" s="34" t="e">
        <f t="shared" si="13"/>
        <v>#N/A</v>
      </c>
      <c r="X266" s="34" t="e">
        <f t="shared" si="14"/>
        <v>#N/A</v>
      </c>
      <c r="Y266" s="34" t="e">
        <f t="shared" si="15"/>
        <v>#N/A</v>
      </c>
      <c r="Z266" s="34" t="e">
        <f>IF($R266="MTO",
0,
($H266+$K266*($E266/[1]CRITERIOS!$M$16))/[1]CRITERIOS!$X$48)</f>
        <v>#N/A</v>
      </c>
      <c r="AA266" s="34" t="e">
        <f>ROUNDUP(($Y266/_xlfn.XLOOKUP($A266,'[1]DATOS PBI Artículos'!$A$4:$A$4,'[1]DATOS PBI Artículos'!$Z$4:$Z$4))/_xlfn.XLOOKUP(_xlfn.XLOOKUP($A266,'[1]DATOS PBI Artículos'!$A$4:$A$4,'[1]DATOS PBI Artículos'!$Y$4:$Y$4),[1]CRITERIOS!$P$79:$P$123,[1]CRITERIOS!$S$79:$S$123,),0)</f>
        <v>#N/A</v>
      </c>
      <c r="AB266" s="33" t="e">
        <f t="array" ref="AB266">IF((E266+V266-_xlfn.XLOOKUP(A266,'[1]DATOS PBI Artículos'!$A$4:$A$4,'[1]DATOS PBI Artículos'!$W$4:$W$4))/N266&gt;ROUNDUP([1]CRITERIOS!$M$16/(IF(COUNTIF([1]CRITERIOS!$BG$11:$BG$201,L266)&gt;=1,_xlfn.XLOOKUP(ARTÍCULOS!L266,[1]CRITERIOS!$BG$11:$BG$201,[1]CRITERIOS!$BJ$11:$BJ$201),_xlfn.XLOOKUP(ARTÍCULOS!C266,[1]CRITERIOS!$K$25:$K$42,[1]CRITERIOS!$M$25:$M$42))),0),ROUNDUP([1]CRITERIOS!$M$16/(IF(COUNTIF([1]CRITERIOS!$BG$11:$BG$201,L266)&gt;=1,_xlfn.XLOOKUP(ARTÍCULOS!L266,[1]CRITERIOS!$BG$11:$BG$201:#REF!,[1]CRITERIOS!$BJ$11:$BJ$201),_xlfn.XLOOKUP(ARTÍCULOS!C266,[1]CRITERIOS!$K$25:$K$42,[1]CRITERIOS!$M$25:$M$42))),0),(E266+V266-_xlfn.XLOOKUP(A266,'[1]DATOS PBI Artículos'!$A$4:$A$4,'[1]DATOS PBI Artículos'!$W$4:$W$4))/N266)</f>
        <v>#N/A</v>
      </c>
      <c r="AC266" s="33" t="e">
        <f>IF(N266=0,"",(ROUNDUP((N266/2)/(_xlfn.XLOOKUP(A266,'[1]DATOS PBI Artículos'!$A$4:$A$4,'[1]DATOS PBI Artículos'!$Z$4:$Z$4)*_xlfn.XLOOKUP(_xlfn.XLOOKUP(A266,'[1]DATOS PBI Artículos'!$A$4:$A$4,'[1]DATOS PBI Artículos'!$Y$4:$Y$4),[1]CRITERIOS!$P$79:$P$123,[1]CRITERIOS!$S$79:$S$123)),0)*[1]CRITERIOS!$M$80*([1]CRITERIOS!$M$110/[1]CRITERIOS!$M$86)+(_xlfn.XLOOKUP(A266,'[1]DATOS PBI Artículos'!$A$4:$A$4,'[1]DATOS PBI Artículos'!$AA$4:$AA$4)*([1]CRITERIOS!$M$95+[1]CRITERIOS!$M$98)))/N266)</f>
        <v>#N/A</v>
      </c>
      <c r="AD266" s="33" t="e">
        <f>IF(N266=0,"",(ROUNDUP((N266/2)/(_xlfn.XLOOKUP(A266,'[1]DATOS PBI Artículos'!$A$4:$A$4,'[1]DATOS PBI Artículos'!$Z$4:$Z$4)*_xlfn.XLOOKUP(_xlfn.XLOOKUP(A266,'[1]DATOS PBI Artículos'!$A$4:$A$4,'[1]DATOS PBI Artículos'!$Y$4:$Y$4),[1]CRITERIOS!$P$79:$P$123,[1]CRITERIOS!$S$79:$S$123)),0)*[1]CRITERIOS!$M$80*([1]CRITERIOS!$M$89*[1]CRITERIOS!$M$92)+((_xlfn.XLOOKUP(A266,'[1]DATOS PBI Artículos'!$A$4:$A$4,'[1]DATOS PBI Artículos'!$AA$4:$AA$4)/2)*([1]CRITERIOS!$M$95+[1]CRITERIOS!$M$98)))/N266)</f>
        <v>#N/A</v>
      </c>
      <c r="AE266" s="39" t="e">
        <f>IF($R266="MTO","",
IF($H266=0,ROUNDUP(((_xlfn.XLOOKUP($A266,'[1]DATOS PBI Artículos'!$A:$A,'[1]DATOS PBI Artículos'!$AL:$AL))/(_xlfn.XLOOKUP($AF$1,[1]CRITERIOS!$S$16:$S$39,[1]CRITERIOS!$Y$16:$Y$39))*$J266+$Z266)/$G266,0)*$G266,
((_xlfn.XLOOKUP($A266,'[1]DATOS PBI Artículos'!$A:$A,'[1]DATOS PBI Artículos'!$AL:$AL))/(_xlfn.XLOOKUP($AF$1,[1]CRITERIOS!$S$16:$S$39,[1]CRITERIOS!$Y$16:$Y$39))*$J266+$Z266)))</f>
        <v>#N/A</v>
      </c>
      <c r="AG266" s="39" t="e">
        <f>IF($R266="MTO","",
IF($H266=0,ROUNDUP(((_xlfn.XLOOKUP($A266,'[1]DATOS PBI Artículos'!$A:$A,'[1]DATOS PBI Artículos'!$AM:$AM))/(_xlfn.XLOOKUP($AH$1,[1]CRITERIOS!$S$16:$S$39,[1]CRITERIOS!$Y$16:$Y$39))*$J266+$Z266)/$G266,0)*$G266,
((_xlfn.XLOOKUP($A266,'[1]DATOS PBI Artículos'!$A:$A,'[1]DATOS PBI Artículos'!$AM:$AM))/(_xlfn.XLOOKUP($AH$1,[1]CRITERIOS!$S$16:$S$39,[1]CRITERIOS!$Y$16:$Y$39))*$J266+$Z266)))</f>
        <v>#N/A</v>
      </c>
      <c r="AI266" s="39" t="e">
        <f>IF($R266="MTO","",
IF($H266=0,ROUNDUP(((_xlfn.XLOOKUP($A266,'[1]DATOS PBI Artículos'!$A:$A,'[1]DATOS PBI Artículos'!$AN:$AN))/(_xlfn.XLOOKUP($AJ$1,[1]CRITERIOS!$S$16:$S$39,[1]CRITERIOS!$Y$16:$Y$39))*$J266+$Z266)/$G266,0)*$G266,
((_xlfn.XLOOKUP($A266,'[1]DATOS PBI Artículos'!$A:$A,'[1]DATOS PBI Artículos'!$AN:$AN))/(_xlfn.XLOOKUP($AJ$1,[1]CRITERIOS!$S$16:$S$39,[1]CRITERIOS!$Y$16:$Y$39))*$J266+$Z266)))</f>
        <v>#N/A</v>
      </c>
      <c r="AK266" s="39" t="e">
        <f>IF($R266="MTO","",
IF($H266=0,ROUNDUP(((_xlfn.XLOOKUP($A266,'[1]DATOS PBI Artículos'!$A:$A,'[1]DATOS PBI Artículos'!$AO:$AO))/(_xlfn.XLOOKUP($AL$1,[1]CRITERIOS!$S$16:$S$39,[1]CRITERIOS!$Y$16:$Y$39))*$J266+$Z266)/$G266,0)*$G266,
((_xlfn.XLOOKUP($A266,'[1]DATOS PBI Artículos'!$A:$A,'[1]DATOS PBI Artículos'!$AO:$AO))/(_xlfn.XLOOKUP($AL$1,[1]CRITERIOS!$S$16:$S$39,[1]CRITERIOS!$Y$16:$Y$39))*$J266+$Z266)))</f>
        <v>#N/A</v>
      </c>
    </row>
    <row r="267" spans="1:37" ht="25.8" hidden="1" x14ac:dyDescent="0.4">
      <c r="A267" s="41"/>
      <c r="B267" s="33">
        <f>_xlfn.XLOOKUP($A267,'[1]DATOS PBI Artículos'!A:A,'[1]DATOS PBI Artículos'!B:B)</f>
        <v>0</v>
      </c>
      <c r="C267" s="33">
        <f>_xlfn.XLOOKUP($A267,'[1]DATOS PBI Artículos'!A:A,'[1]DATOS PBI Artículos'!C:C)</f>
        <v>0</v>
      </c>
      <c r="D267" s="33">
        <f>_xlfn.XLOOKUP(A267,'[1]DATOS PBI Artículos'!A:A,'[1]DATOS PBI Artículos'!T:T)</f>
        <v>0</v>
      </c>
      <c r="E267" s="34">
        <f>IF(_xlfn.XLOOKUP($A267,'[1]DATOS PBI Artículos'!A:A,'[1]DATOS PBI Artículos'!AK:AK)="",_xlfn.XLOOKUP($A267,'[1]DATOS PBI Artículos'!A:A,'[1]DATOS PBI Artículos'!AJ:AJ),_xlfn.XLOOKUP($A267,'[1]DATOS PBI Artículos'!A:A,'[1]DATOS PBI Artículos'!AK:AK))</f>
        <v>0</v>
      </c>
      <c r="F267" s="35">
        <f>_xlfn.XLOOKUP($A267,'[1]DATOS PBI Artículos'!A:A,'[1]DATOS PBI Artículos'!AP:AP)</f>
        <v>0</v>
      </c>
      <c r="G267" s="34">
        <f>_xlfn.XLOOKUP($A267,'[1]DATOS PBI Artículos'!A:A,'[1]DATOS PBI Artículos'!AR:AR)</f>
        <v>0</v>
      </c>
      <c r="H267" s="34">
        <f>_xlfn.XLOOKUP($A267,'[1]DATOS PBI Artículos'!A:A,'[1]DATOS PBI Artículos'!AT:AT)</f>
        <v>0</v>
      </c>
      <c r="I267" s="34">
        <f>_xlfn.XLOOKUP($A267,'[1]DATOS PBI Artículos'!A:A,'[1]DATOS PBI Artículos'!AS:AS)</f>
        <v>0</v>
      </c>
      <c r="J267" s="35">
        <f>IF(COUNTIF([1]CRITERIOS!$F$179:$F$199,$A267)&gt;=1,
 IF(O267&lt;&gt;"",
    (O267/_xlfn.XLOOKUP(CONCATENATE(A267,L267),[1]MÁQUINAS!A:A,[1]MÁQUINAS!D:D))/24,
    (N267/_xlfn.XLOOKUP(CONCATENATE(A267,L267),[1]MÁQUINAS!A:A,[1]MÁQUINAS!D:D))/24),
  _xlfn.XLOOKUP($A267,'[1]DATOS PBI Artículos'!A:A,'[1]DATOS PBI Artículos'!AU:AU))</f>
        <v>0</v>
      </c>
      <c r="K267" s="36">
        <f>_xlfn.XLOOKUP($A267,'[1]DATOS PBI Artículos'!A:A,'[1]DATOS PBI Artículos'!AV:AV)</f>
        <v>0</v>
      </c>
      <c r="L267" s="33">
        <f>_xlfn.XLOOKUP(A267,[1]MÁQUINAS!B:B,[1]MÁQUINAS!C:C)</f>
        <v>0</v>
      </c>
      <c r="M267" s="34">
        <f t="array" ref="M267">_xlfn.XLOOKUP(A267,'[1]DATOS PBI Artículos'!A:A,'[1]DATOS PBI Artículos'!AX:$AX)</f>
        <v>0</v>
      </c>
      <c r="N267" s="37" t="e">
        <f>IF(I267="DV",
E267,
IF(COUNTIF([1]CRITERIOS!$I$179:$I$199,$A267)&gt;=1,
_xlfn.XLOOKUP($A267,[1]CRITERIOS!$I$179:$I$199,[1]CRITERIOS!$J$179:$J$199),
IF(COUNTIF([1]CRITERIOS!$L$179:$L$199,$A267)&gt;=1,
_xlfn.CEILING.MATH(IF($M267&gt;$E267,
$E267,
IF($M267&lt;$E267/ROUNDDOWN([1]CRITERIOS!$M$16/_xlfn.XLOOKUP($C267,[1]CRITERIOS!$K$25:$K$42,[1]CRITERIOS!$M$25:$M$42),
1),
E267/ROUNDDOWN([1]CRITERIOS!$M$16/_xlfn.XLOOKUP($C267,[1]CRITERIOS!$K$25:$K$42,[1]CRITERIOS!$M$25:$M$42),
1),
$M267)),
_xlfn.XLOOKUP($A267,[1]CRITERIOS!$L$179:$L$200,[1]CRITERIOS!$M$179:$M$200)),
_xlfn.CEILING.MATH(IF($M267&gt;$E267,
$E267,
IF($M267&lt;$E267/ROUNDDOWN([1]CRITERIOS!$M$16/_xlfn.XLOOKUP($C267,[1]CRITERIOS!$K$25:$K$42,[1]CRITERIOS!$M$25:$M$42),
1),
E267/ROUNDDOWN([1]CRITERIOS!$M$16/_xlfn.XLOOKUP($C267,[1]CRITERIOS!$K$25:$K$42,[1]CRITERIOS!$M$25:$M$42),
1),
$M267)),_xlfn.XLOOKUP(A267,'[1]DATOS PBI Artículos'!A:A,'[1]DATOS PBI Artículos'!Z:Z
)))))</f>
        <v>#N/A</v>
      </c>
      <c r="Q267" s="38" t="e">
        <f>IF(AND(O267="",N267=0),
0,
   IF(COUNTIF([1]CRITERIOS!$F$179:$F$199,$A267)&gt;=1,
   1,
   IF(R267="MTO",
      $D267,
      ROUNDUP(
                    IF(($E267-SUMIF('[1]DATOS PBI Artículos'!A:A,A267,'[1]DATOS PBI Artículos'!X:X)+($V267-_xlfn.XLOOKUP(A267,'[1]DATOS PBI Artículos'!A:A,'[1]DATOS PBI Artículos'!W:W)))&lt;0,
                    0,
                    IF(($E267-SUMIF('[1]DATOS PBI Artículos'!A:A,A267,'[1]DATOS PBI Artículos'!X:X)+$V267-_xlfn.XLOOKUP($A267,'[1]DATOS PBI Artículos'!A:A,'[1]DATOS PBI Artículos'!W:W))/IF($O267="",$N267,$O267)&gt;ROUNDUP([1]CRITERIOS!$M$16/(IF(COUNTIF([1]CRITERIOS!$BG$11:$BG$201,L267)&gt;=1,_xlfn.XLOOKUP($C267,[1]CRITERIOS!$K$25:$K$42,[1]CRITERIOS!$M$25:$M$42),_xlfn.XLOOKUP($C267,[1]CRITERIOS!$K$25:$K$42,[1]CRITERIOS!$M$25:$M$42))),0),
                    ROUNDUP([1]CRITERIOS!$M$16/(IF(COUNTIF([1]CRITERIOS!$BG$11:$BG$201,$L267)&gt;=1,_xlfn.XLOOKUP($C267,[1]CRITERIOS!$K$25:$K$42,[1]CRITERIOS!$M$25:$M$42),_xlfn.XLOOKUP($C267,[1]CRITERIOS!$K$25:$K$42,[1]CRITERIOS!$M$25:$M$42))),0),
                    (E267+V267-SUMIF('[1]DATOS PBI Artículos'!A:A,A267,'[1]DATOS PBI Artículos'!X:X)-_xlfn.XLOOKUP(A267,'[1]DATOS PBI Artículos'!A:A,'[1]DATOS PBI Artículos'!W:W))/IF($O267="",$N267,$O267))),0))))</f>
        <v>#N/A</v>
      </c>
      <c r="R267" s="33" t="e">
        <f>IF(U267&lt;&gt;"",U267,IF(F267="DV","MTO",IF(N267=0,"MTO",_xlfn.XLOOKUP(CONCATENATE(S267,T267),[1]CRITERIOS!$K$160:$K$168,[1]CRITERIOS!$N$160:$N$168))))</f>
        <v>#N/A</v>
      </c>
      <c r="S267" s="33" t="e">
        <f>IF(G267="DV","MTO",IF(N267=0,"MTO",IF(OR(AND(N267=0,O267=""),IF(O267="",G267/N267,G267/O267)&gt;[1]CRITERIOS!$G$163),"MTO",IF(IF(O267="",G267/N267,G267/O267)&lt;[1]CRITERIOS!$H$161,"MTS","MTOS"))))</f>
        <v>#N/A</v>
      </c>
      <c r="T267" s="33" t="e">
        <f>IF(F267="DV","MTO",IF(OR(AND($N267=0,O267=""),$F267/$J267&gt;[1]CRITERIOS!$G$170,$F267="DV"),"MTO",IF($F267/$J267&lt;[1]CRITERIOS!$H$168,"MTS","MTOS")))</f>
        <v>#N/A</v>
      </c>
      <c r="V267" s="34" t="e">
        <f t="shared" si="13"/>
        <v>#N/A</v>
      </c>
      <c r="X267" s="34" t="e">
        <f t="shared" si="14"/>
        <v>#N/A</v>
      </c>
      <c r="Y267" s="34" t="e">
        <f t="shared" si="15"/>
        <v>#N/A</v>
      </c>
      <c r="Z267" s="34" t="e">
        <f>IF($R267="MTO",
0,
($H267+$K267*($E267/[1]CRITERIOS!$M$16))/[1]CRITERIOS!$X$48)</f>
        <v>#N/A</v>
      </c>
      <c r="AA267" s="34" t="e">
        <f>ROUNDUP(($Y267/_xlfn.XLOOKUP($A267,'[1]DATOS PBI Artículos'!$A$4:$A$4,'[1]DATOS PBI Artículos'!$Z$4:$Z$4))/_xlfn.XLOOKUP(_xlfn.XLOOKUP($A267,'[1]DATOS PBI Artículos'!$A$4:$A$4,'[1]DATOS PBI Artículos'!$Y$4:$Y$4),[1]CRITERIOS!$P$79:$P$123,[1]CRITERIOS!$S$79:$S$123,),0)</f>
        <v>#N/A</v>
      </c>
      <c r="AB267" s="33" t="e">
        <f t="array" ref="AB267">IF((E267+V267-_xlfn.XLOOKUP(A267,'[1]DATOS PBI Artículos'!$A$4:$A$4,'[1]DATOS PBI Artículos'!$W$4:$W$4))/N267&gt;ROUNDUP([1]CRITERIOS!$M$16/(IF(COUNTIF([1]CRITERIOS!$BG$11:$BG$201,L267)&gt;=1,_xlfn.XLOOKUP(ARTÍCULOS!L267,[1]CRITERIOS!$BG$11:$BG$201,[1]CRITERIOS!$BJ$11:$BJ$201),_xlfn.XLOOKUP(ARTÍCULOS!C267,[1]CRITERIOS!$K$25:$K$42,[1]CRITERIOS!$M$25:$M$42))),0),ROUNDUP([1]CRITERIOS!$M$16/(IF(COUNTIF([1]CRITERIOS!$BG$11:$BG$201,L267)&gt;=1,_xlfn.XLOOKUP(ARTÍCULOS!L267,[1]CRITERIOS!$BG$11:$BG$201:#REF!,[1]CRITERIOS!$BJ$11:$BJ$201),_xlfn.XLOOKUP(ARTÍCULOS!C267,[1]CRITERIOS!$K$25:$K$42,[1]CRITERIOS!$M$25:$M$42))),0),(E267+V267-_xlfn.XLOOKUP(A267,'[1]DATOS PBI Artículos'!$A$4:$A$4,'[1]DATOS PBI Artículos'!$W$4:$W$4))/N267)</f>
        <v>#N/A</v>
      </c>
      <c r="AC267" s="33" t="e">
        <f>IF(N267=0,"",(ROUNDUP((N267/2)/(_xlfn.XLOOKUP(A267,'[1]DATOS PBI Artículos'!$A$4:$A$4,'[1]DATOS PBI Artículos'!$Z$4:$Z$4)*_xlfn.XLOOKUP(_xlfn.XLOOKUP(A267,'[1]DATOS PBI Artículos'!$A$4:$A$4,'[1]DATOS PBI Artículos'!$Y$4:$Y$4),[1]CRITERIOS!$P$79:$P$123,[1]CRITERIOS!$S$79:$S$123)),0)*[1]CRITERIOS!$M$80*([1]CRITERIOS!$M$110/[1]CRITERIOS!$M$86)+(_xlfn.XLOOKUP(A267,'[1]DATOS PBI Artículos'!$A$4:$A$4,'[1]DATOS PBI Artículos'!$AA$4:$AA$4)*([1]CRITERIOS!$M$95+[1]CRITERIOS!$M$98)))/N267)</f>
        <v>#N/A</v>
      </c>
      <c r="AD267" s="33" t="e">
        <f>IF(N267=0,"",(ROUNDUP((N267/2)/(_xlfn.XLOOKUP(A267,'[1]DATOS PBI Artículos'!$A$4:$A$4,'[1]DATOS PBI Artículos'!$Z$4:$Z$4)*_xlfn.XLOOKUP(_xlfn.XLOOKUP(A267,'[1]DATOS PBI Artículos'!$A$4:$A$4,'[1]DATOS PBI Artículos'!$Y$4:$Y$4),[1]CRITERIOS!$P$79:$P$123,[1]CRITERIOS!$S$79:$S$123)),0)*[1]CRITERIOS!$M$80*([1]CRITERIOS!$M$89*[1]CRITERIOS!$M$92)+((_xlfn.XLOOKUP(A267,'[1]DATOS PBI Artículos'!$A$4:$A$4,'[1]DATOS PBI Artículos'!$AA$4:$AA$4)/2)*([1]CRITERIOS!$M$95+[1]CRITERIOS!$M$98)))/N267)</f>
        <v>#N/A</v>
      </c>
      <c r="AE267" s="39" t="e">
        <f>IF($R267="MTO","",
IF($H267=0,ROUNDUP(((_xlfn.XLOOKUP($A267,'[1]DATOS PBI Artículos'!$A:$A,'[1]DATOS PBI Artículos'!$AL:$AL))/(_xlfn.XLOOKUP($AF$1,[1]CRITERIOS!$S$16:$S$39,[1]CRITERIOS!$Y$16:$Y$39))*$J267+$Z267)/$G267,0)*$G267,
((_xlfn.XLOOKUP($A267,'[1]DATOS PBI Artículos'!$A:$A,'[1]DATOS PBI Artículos'!$AL:$AL))/(_xlfn.XLOOKUP($AF$1,[1]CRITERIOS!$S$16:$S$39,[1]CRITERIOS!$Y$16:$Y$39))*$J267+$Z267)))</f>
        <v>#N/A</v>
      </c>
      <c r="AG267" s="39" t="e">
        <f>IF($R267="MTO","",
IF($H267=0,ROUNDUP(((_xlfn.XLOOKUP($A267,'[1]DATOS PBI Artículos'!$A:$A,'[1]DATOS PBI Artículos'!$AM:$AM))/(_xlfn.XLOOKUP($AH$1,[1]CRITERIOS!$S$16:$S$39,[1]CRITERIOS!$Y$16:$Y$39))*$J267+$Z267)/$G267,0)*$G267,
((_xlfn.XLOOKUP($A267,'[1]DATOS PBI Artículos'!$A:$A,'[1]DATOS PBI Artículos'!$AM:$AM))/(_xlfn.XLOOKUP($AH$1,[1]CRITERIOS!$S$16:$S$39,[1]CRITERIOS!$Y$16:$Y$39))*$J267+$Z267)))</f>
        <v>#N/A</v>
      </c>
      <c r="AI267" s="39" t="e">
        <f>IF($R267="MTO","",
IF($H267=0,ROUNDUP(((_xlfn.XLOOKUP($A267,'[1]DATOS PBI Artículos'!$A:$A,'[1]DATOS PBI Artículos'!$AN:$AN))/(_xlfn.XLOOKUP($AJ$1,[1]CRITERIOS!$S$16:$S$39,[1]CRITERIOS!$Y$16:$Y$39))*$J267+$Z267)/$G267,0)*$G267,
((_xlfn.XLOOKUP($A267,'[1]DATOS PBI Artículos'!$A:$A,'[1]DATOS PBI Artículos'!$AN:$AN))/(_xlfn.XLOOKUP($AJ$1,[1]CRITERIOS!$S$16:$S$39,[1]CRITERIOS!$Y$16:$Y$39))*$J267+$Z267)))</f>
        <v>#N/A</v>
      </c>
      <c r="AK267" s="39" t="e">
        <f>IF($R267="MTO","",
IF($H267=0,ROUNDUP(((_xlfn.XLOOKUP($A267,'[1]DATOS PBI Artículos'!$A:$A,'[1]DATOS PBI Artículos'!$AO:$AO))/(_xlfn.XLOOKUP($AL$1,[1]CRITERIOS!$S$16:$S$39,[1]CRITERIOS!$Y$16:$Y$39))*$J267+$Z267)/$G267,0)*$G267,
((_xlfn.XLOOKUP($A267,'[1]DATOS PBI Artículos'!$A:$A,'[1]DATOS PBI Artículos'!$AO:$AO))/(_xlfn.XLOOKUP($AL$1,[1]CRITERIOS!$S$16:$S$39,[1]CRITERIOS!$Y$16:$Y$39))*$J267+$Z267)))</f>
        <v>#N/A</v>
      </c>
    </row>
    <row r="268" spans="1:37" ht="25.8" hidden="1" x14ac:dyDescent="0.4">
      <c r="A268" s="41"/>
      <c r="B268" s="33">
        <f>_xlfn.XLOOKUP($A268,'[1]DATOS PBI Artículos'!A:A,'[1]DATOS PBI Artículos'!B:B)</f>
        <v>0</v>
      </c>
      <c r="C268" s="33">
        <f>_xlfn.XLOOKUP($A268,'[1]DATOS PBI Artículos'!A:A,'[1]DATOS PBI Artículos'!C:C)</f>
        <v>0</v>
      </c>
      <c r="D268" s="33">
        <f>_xlfn.XLOOKUP(A268,'[1]DATOS PBI Artículos'!A:A,'[1]DATOS PBI Artículos'!T:T)</f>
        <v>0</v>
      </c>
      <c r="E268" s="34">
        <f>IF(_xlfn.XLOOKUP($A268,'[1]DATOS PBI Artículos'!A:A,'[1]DATOS PBI Artículos'!AK:AK)="",_xlfn.XLOOKUP($A268,'[1]DATOS PBI Artículos'!A:A,'[1]DATOS PBI Artículos'!AJ:AJ),_xlfn.XLOOKUP($A268,'[1]DATOS PBI Artículos'!A:A,'[1]DATOS PBI Artículos'!AK:AK))</f>
        <v>0</v>
      </c>
      <c r="F268" s="35">
        <f>_xlfn.XLOOKUP($A268,'[1]DATOS PBI Artículos'!A:A,'[1]DATOS PBI Artículos'!AP:AP)</f>
        <v>0</v>
      </c>
      <c r="G268" s="34">
        <f>_xlfn.XLOOKUP($A268,'[1]DATOS PBI Artículos'!A:A,'[1]DATOS PBI Artículos'!AR:AR)</f>
        <v>0</v>
      </c>
      <c r="H268" s="34">
        <f>_xlfn.XLOOKUP($A268,'[1]DATOS PBI Artículos'!A:A,'[1]DATOS PBI Artículos'!AT:AT)</f>
        <v>0</v>
      </c>
      <c r="I268" s="34">
        <f>_xlfn.XLOOKUP($A268,'[1]DATOS PBI Artículos'!A:A,'[1]DATOS PBI Artículos'!AS:AS)</f>
        <v>0</v>
      </c>
      <c r="J268" s="35">
        <f>IF(COUNTIF([1]CRITERIOS!$F$179:$F$199,$A268)&gt;=1,
 IF(O268&lt;&gt;"",
    (O268/_xlfn.XLOOKUP(CONCATENATE(A268,L268),[1]MÁQUINAS!A:A,[1]MÁQUINAS!D:D))/24,
    (N268/_xlfn.XLOOKUP(CONCATENATE(A268,L268),[1]MÁQUINAS!A:A,[1]MÁQUINAS!D:D))/24),
  _xlfn.XLOOKUP($A268,'[1]DATOS PBI Artículos'!A:A,'[1]DATOS PBI Artículos'!AU:AU))</f>
        <v>0</v>
      </c>
      <c r="K268" s="36">
        <f>_xlfn.XLOOKUP($A268,'[1]DATOS PBI Artículos'!A:A,'[1]DATOS PBI Artículos'!AV:AV)</f>
        <v>0</v>
      </c>
      <c r="L268" s="33">
        <f>_xlfn.XLOOKUP(A268,[1]MÁQUINAS!B:B,[1]MÁQUINAS!C:C)</f>
        <v>0</v>
      </c>
      <c r="M268" s="34">
        <f t="array" ref="M268">_xlfn.XLOOKUP(A268,'[1]DATOS PBI Artículos'!A:A,'[1]DATOS PBI Artículos'!AX:$AX)</f>
        <v>0</v>
      </c>
      <c r="N268" s="37" t="e">
        <f>IF(I268="DV",
E268,
IF(COUNTIF([1]CRITERIOS!$I$179:$I$199,$A268)&gt;=1,
_xlfn.XLOOKUP($A268,[1]CRITERIOS!$I$179:$I$199,[1]CRITERIOS!$J$179:$J$199),
IF(COUNTIF([1]CRITERIOS!$L$179:$L$199,$A268)&gt;=1,
_xlfn.CEILING.MATH(IF($M268&gt;$E268,
$E268,
IF($M268&lt;$E268/ROUNDDOWN([1]CRITERIOS!$M$16/_xlfn.XLOOKUP($C268,[1]CRITERIOS!$K$25:$K$42,[1]CRITERIOS!$M$25:$M$42),
1),
E268/ROUNDDOWN([1]CRITERIOS!$M$16/_xlfn.XLOOKUP($C268,[1]CRITERIOS!$K$25:$K$42,[1]CRITERIOS!$M$25:$M$42),
1),
$M268)),
_xlfn.XLOOKUP($A268,[1]CRITERIOS!$L$179:$L$200,[1]CRITERIOS!$M$179:$M$200)),
_xlfn.CEILING.MATH(IF($M268&gt;$E268,
$E268,
IF($M268&lt;$E268/ROUNDDOWN([1]CRITERIOS!$M$16/_xlfn.XLOOKUP($C268,[1]CRITERIOS!$K$25:$K$42,[1]CRITERIOS!$M$25:$M$42),
1),
E268/ROUNDDOWN([1]CRITERIOS!$M$16/_xlfn.XLOOKUP($C268,[1]CRITERIOS!$K$25:$K$42,[1]CRITERIOS!$M$25:$M$42),
1),
$M268)),_xlfn.XLOOKUP(A268,'[1]DATOS PBI Artículos'!A:A,'[1]DATOS PBI Artículos'!Z:Z
)))))</f>
        <v>#N/A</v>
      </c>
      <c r="Q268" s="38" t="e">
        <f>IF(AND(O268="",N268=0),
0,
   IF(COUNTIF([1]CRITERIOS!$F$179:$F$199,$A268)&gt;=1,
   1,
   IF(R268="MTO",
      $D268,
      ROUNDUP(
                    IF(($E268-SUMIF('[1]DATOS PBI Artículos'!A:A,A268,'[1]DATOS PBI Artículos'!X:X)+($V268-_xlfn.XLOOKUP(A268,'[1]DATOS PBI Artículos'!A:A,'[1]DATOS PBI Artículos'!W:W)))&lt;0,
                    0,
                    IF(($E268-SUMIF('[1]DATOS PBI Artículos'!A:A,A268,'[1]DATOS PBI Artículos'!X:X)+$V268-_xlfn.XLOOKUP($A268,'[1]DATOS PBI Artículos'!A:A,'[1]DATOS PBI Artículos'!W:W))/IF($O268="",$N268,$O268)&gt;ROUNDUP([1]CRITERIOS!$M$16/(IF(COUNTIF([1]CRITERIOS!$BG$11:$BG$201,L268)&gt;=1,_xlfn.XLOOKUP($C268,[1]CRITERIOS!$K$25:$K$42,[1]CRITERIOS!$M$25:$M$42),_xlfn.XLOOKUP($C268,[1]CRITERIOS!$K$25:$K$42,[1]CRITERIOS!$M$25:$M$42))),0),
                    ROUNDUP([1]CRITERIOS!$M$16/(IF(COUNTIF([1]CRITERIOS!$BG$11:$BG$201,$L268)&gt;=1,_xlfn.XLOOKUP($C268,[1]CRITERIOS!$K$25:$K$42,[1]CRITERIOS!$M$25:$M$42),_xlfn.XLOOKUP($C268,[1]CRITERIOS!$K$25:$K$42,[1]CRITERIOS!$M$25:$M$42))),0),
                    (E268+V268-SUMIF('[1]DATOS PBI Artículos'!A:A,A268,'[1]DATOS PBI Artículos'!X:X)-_xlfn.XLOOKUP(A268,'[1]DATOS PBI Artículos'!A:A,'[1]DATOS PBI Artículos'!W:W))/IF($O268="",$N268,$O268))),0))))</f>
        <v>#N/A</v>
      </c>
      <c r="R268" s="33" t="e">
        <f>IF(U268&lt;&gt;"",U268,IF(F268="DV","MTO",IF(N268=0,"MTO",_xlfn.XLOOKUP(CONCATENATE(S268,T268),[1]CRITERIOS!$K$160:$K$168,[1]CRITERIOS!$N$160:$N$168))))</f>
        <v>#N/A</v>
      </c>
      <c r="S268" s="33" t="e">
        <f>IF(G268="DV","MTO",IF(N268=0,"MTO",IF(OR(AND(N268=0,O268=""),IF(O268="",G268/N268,G268/O268)&gt;[1]CRITERIOS!$G$163),"MTO",IF(IF(O268="",G268/N268,G268/O268)&lt;[1]CRITERIOS!$H$161,"MTS","MTOS"))))</f>
        <v>#N/A</v>
      </c>
      <c r="T268" s="33" t="e">
        <f>IF(F268="DV","MTO",IF(OR(AND($N268=0,O268=""),$F268/$J268&gt;[1]CRITERIOS!$G$170,$F268="DV"),"MTO",IF($F268/$J268&lt;[1]CRITERIOS!$H$168,"MTS","MTOS")))</f>
        <v>#N/A</v>
      </c>
      <c r="V268" s="34" t="e">
        <f t="shared" si="13"/>
        <v>#N/A</v>
      </c>
      <c r="X268" s="34" t="e">
        <f t="shared" si="14"/>
        <v>#N/A</v>
      </c>
      <c r="Y268" s="34" t="e">
        <f t="shared" si="15"/>
        <v>#N/A</v>
      </c>
      <c r="Z268" s="34" t="e">
        <f>IF($R268="MTO",
0,
($H268+$K268*($E268/[1]CRITERIOS!$M$16))/[1]CRITERIOS!$X$48)</f>
        <v>#N/A</v>
      </c>
      <c r="AA268" s="34" t="e">
        <f>ROUNDUP(($Y268/_xlfn.XLOOKUP($A268,'[1]DATOS PBI Artículos'!$A$4:$A$4,'[1]DATOS PBI Artículos'!$Z$4:$Z$4))/_xlfn.XLOOKUP(_xlfn.XLOOKUP($A268,'[1]DATOS PBI Artículos'!$A$4:$A$4,'[1]DATOS PBI Artículos'!$Y$4:$Y$4),[1]CRITERIOS!$P$79:$P$123,[1]CRITERIOS!$S$79:$S$123,),0)</f>
        <v>#N/A</v>
      </c>
      <c r="AB268" s="33" t="e">
        <f t="array" ref="AB268">IF((E268+V268-_xlfn.XLOOKUP(A268,'[1]DATOS PBI Artículos'!$A$4:$A$4,'[1]DATOS PBI Artículos'!$W$4:$W$4))/N268&gt;ROUNDUP([1]CRITERIOS!$M$16/(IF(COUNTIF([1]CRITERIOS!$BG$11:$BG$201,L268)&gt;=1,_xlfn.XLOOKUP(ARTÍCULOS!L268,[1]CRITERIOS!$BG$11:$BG$201,[1]CRITERIOS!$BJ$11:$BJ$201),_xlfn.XLOOKUP(ARTÍCULOS!C268,[1]CRITERIOS!$K$25:$K$42,[1]CRITERIOS!$M$25:$M$42))),0),ROUNDUP([1]CRITERIOS!$M$16/(IF(COUNTIF([1]CRITERIOS!$BG$11:$BG$201,L268)&gt;=1,_xlfn.XLOOKUP(ARTÍCULOS!L268,[1]CRITERIOS!$BG$11:$BG$201:#REF!,[1]CRITERIOS!$BJ$11:$BJ$201),_xlfn.XLOOKUP(ARTÍCULOS!C268,[1]CRITERIOS!$K$25:$K$42,[1]CRITERIOS!$M$25:$M$42))),0),(E268+V268-_xlfn.XLOOKUP(A268,'[1]DATOS PBI Artículos'!$A$4:$A$4,'[1]DATOS PBI Artículos'!$W$4:$W$4))/N268)</f>
        <v>#N/A</v>
      </c>
      <c r="AC268" s="33" t="e">
        <f>IF(N268=0,"",(ROUNDUP((N268/2)/(_xlfn.XLOOKUP(A268,'[1]DATOS PBI Artículos'!$A$4:$A$4,'[1]DATOS PBI Artículos'!$Z$4:$Z$4)*_xlfn.XLOOKUP(_xlfn.XLOOKUP(A268,'[1]DATOS PBI Artículos'!$A$4:$A$4,'[1]DATOS PBI Artículos'!$Y$4:$Y$4),[1]CRITERIOS!$P$79:$P$123,[1]CRITERIOS!$S$79:$S$123)),0)*[1]CRITERIOS!$M$80*([1]CRITERIOS!$M$110/[1]CRITERIOS!$M$86)+(_xlfn.XLOOKUP(A268,'[1]DATOS PBI Artículos'!$A$4:$A$4,'[1]DATOS PBI Artículos'!$AA$4:$AA$4)*([1]CRITERIOS!$M$95+[1]CRITERIOS!$M$98)))/N268)</f>
        <v>#N/A</v>
      </c>
      <c r="AD268" s="33" t="e">
        <f>IF(N268=0,"",(ROUNDUP((N268/2)/(_xlfn.XLOOKUP(A268,'[1]DATOS PBI Artículos'!$A$4:$A$4,'[1]DATOS PBI Artículos'!$Z$4:$Z$4)*_xlfn.XLOOKUP(_xlfn.XLOOKUP(A268,'[1]DATOS PBI Artículos'!$A$4:$A$4,'[1]DATOS PBI Artículos'!$Y$4:$Y$4),[1]CRITERIOS!$P$79:$P$123,[1]CRITERIOS!$S$79:$S$123)),0)*[1]CRITERIOS!$M$80*([1]CRITERIOS!$M$89*[1]CRITERIOS!$M$92)+((_xlfn.XLOOKUP(A268,'[1]DATOS PBI Artículos'!$A$4:$A$4,'[1]DATOS PBI Artículos'!$AA$4:$AA$4)/2)*([1]CRITERIOS!$M$95+[1]CRITERIOS!$M$98)))/N268)</f>
        <v>#N/A</v>
      </c>
      <c r="AE268" s="39" t="e">
        <f>IF($R268="MTO","",
IF($H268=0,ROUNDUP(((_xlfn.XLOOKUP($A268,'[1]DATOS PBI Artículos'!$A:$A,'[1]DATOS PBI Artículos'!$AL:$AL))/(_xlfn.XLOOKUP($AF$1,[1]CRITERIOS!$S$16:$S$39,[1]CRITERIOS!$Y$16:$Y$39))*$J268+$Z268)/$G268,0)*$G268,
((_xlfn.XLOOKUP($A268,'[1]DATOS PBI Artículos'!$A:$A,'[1]DATOS PBI Artículos'!$AL:$AL))/(_xlfn.XLOOKUP($AF$1,[1]CRITERIOS!$S$16:$S$39,[1]CRITERIOS!$Y$16:$Y$39))*$J268+$Z268)))</f>
        <v>#N/A</v>
      </c>
      <c r="AG268" s="39" t="e">
        <f>IF($R268="MTO","",
IF($H268=0,ROUNDUP(((_xlfn.XLOOKUP($A268,'[1]DATOS PBI Artículos'!$A:$A,'[1]DATOS PBI Artículos'!$AM:$AM))/(_xlfn.XLOOKUP($AH$1,[1]CRITERIOS!$S$16:$S$39,[1]CRITERIOS!$Y$16:$Y$39))*$J268+$Z268)/$G268,0)*$G268,
((_xlfn.XLOOKUP($A268,'[1]DATOS PBI Artículos'!$A:$A,'[1]DATOS PBI Artículos'!$AM:$AM))/(_xlfn.XLOOKUP($AH$1,[1]CRITERIOS!$S$16:$S$39,[1]CRITERIOS!$Y$16:$Y$39))*$J268+$Z268)))</f>
        <v>#N/A</v>
      </c>
      <c r="AI268" s="39" t="e">
        <f>IF($R268="MTO","",
IF($H268=0,ROUNDUP(((_xlfn.XLOOKUP($A268,'[1]DATOS PBI Artículos'!$A:$A,'[1]DATOS PBI Artículos'!$AN:$AN))/(_xlfn.XLOOKUP($AJ$1,[1]CRITERIOS!$S$16:$S$39,[1]CRITERIOS!$Y$16:$Y$39))*$J268+$Z268)/$G268,0)*$G268,
((_xlfn.XLOOKUP($A268,'[1]DATOS PBI Artículos'!$A:$A,'[1]DATOS PBI Artículos'!$AN:$AN))/(_xlfn.XLOOKUP($AJ$1,[1]CRITERIOS!$S$16:$S$39,[1]CRITERIOS!$Y$16:$Y$39))*$J268+$Z268)))</f>
        <v>#N/A</v>
      </c>
      <c r="AK268" s="39" t="e">
        <f>IF($R268="MTO","",
IF($H268=0,ROUNDUP(((_xlfn.XLOOKUP($A268,'[1]DATOS PBI Artículos'!$A:$A,'[1]DATOS PBI Artículos'!$AO:$AO))/(_xlfn.XLOOKUP($AL$1,[1]CRITERIOS!$S$16:$S$39,[1]CRITERIOS!$Y$16:$Y$39))*$J268+$Z268)/$G268,0)*$G268,
((_xlfn.XLOOKUP($A268,'[1]DATOS PBI Artículos'!$A:$A,'[1]DATOS PBI Artículos'!$AO:$AO))/(_xlfn.XLOOKUP($AL$1,[1]CRITERIOS!$S$16:$S$39,[1]CRITERIOS!$Y$16:$Y$39))*$J268+$Z268)))</f>
        <v>#N/A</v>
      </c>
    </row>
    <row r="269" spans="1:37" ht="25.8" hidden="1" x14ac:dyDescent="0.4">
      <c r="A269" s="41"/>
      <c r="B269" s="33">
        <f>_xlfn.XLOOKUP($A269,'[1]DATOS PBI Artículos'!A:A,'[1]DATOS PBI Artículos'!B:B)</f>
        <v>0</v>
      </c>
      <c r="C269" s="33">
        <f>_xlfn.XLOOKUP($A269,'[1]DATOS PBI Artículos'!A:A,'[1]DATOS PBI Artículos'!C:C)</f>
        <v>0</v>
      </c>
      <c r="D269" s="33">
        <f>_xlfn.XLOOKUP(A269,'[1]DATOS PBI Artículos'!A:A,'[1]DATOS PBI Artículos'!T:T)</f>
        <v>0</v>
      </c>
      <c r="E269" s="34">
        <f>IF(_xlfn.XLOOKUP($A269,'[1]DATOS PBI Artículos'!A:A,'[1]DATOS PBI Artículos'!AK:AK)="",_xlfn.XLOOKUP($A269,'[1]DATOS PBI Artículos'!A:A,'[1]DATOS PBI Artículos'!AJ:AJ),_xlfn.XLOOKUP($A269,'[1]DATOS PBI Artículos'!A:A,'[1]DATOS PBI Artículos'!AK:AK))</f>
        <v>0</v>
      </c>
      <c r="F269" s="35">
        <f>_xlfn.XLOOKUP($A269,'[1]DATOS PBI Artículos'!A:A,'[1]DATOS PBI Artículos'!AP:AP)</f>
        <v>0</v>
      </c>
      <c r="G269" s="34">
        <f>_xlfn.XLOOKUP($A269,'[1]DATOS PBI Artículos'!A:A,'[1]DATOS PBI Artículos'!AR:AR)</f>
        <v>0</v>
      </c>
      <c r="H269" s="34">
        <f>_xlfn.XLOOKUP($A269,'[1]DATOS PBI Artículos'!A:A,'[1]DATOS PBI Artículos'!AT:AT)</f>
        <v>0</v>
      </c>
      <c r="I269" s="34">
        <f>_xlfn.XLOOKUP($A269,'[1]DATOS PBI Artículos'!A:A,'[1]DATOS PBI Artículos'!AS:AS)</f>
        <v>0</v>
      </c>
      <c r="J269" s="35">
        <f>IF(COUNTIF([1]CRITERIOS!$F$179:$F$199,$A269)&gt;=1,
 IF(O269&lt;&gt;"",
    (O269/_xlfn.XLOOKUP(CONCATENATE(A269,L269),[1]MÁQUINAS!A:A,[1]MÁQUINAS!D:D))/24,
    (N269/_xlfn.XLOOKUP(CONCATENATE(A269,L269),[1]MÁQUINAS!A:A,[1]MÁQUINAS!D:D))/24),
  _xlfn.XLOOKUP($A269,'[1]DATOS PBI Artículos'!A:A,'[1]DATOS PBI Artículos'!AU:AU))</f>
        <v>0</v>
      </c>
      <c r="K269" s="36">
        <f>_xlfn.XLOOKUP($A269,'[1]DATOS PBI Artículos'!A:A,'[1]DATOS PBI Artículos'!AV:AV)</f>
        <v>0</v>
      </c>
      <c r="L269" s="33">
        <f>_xlfn.XLOOKUP(A269,[1]MÁQUINAS!B:B,[1]MÁQUINAS!C:C)</f>
        <v>0</v>
      </c>
      <c r="M269" s="34">
        <f t="array" ref="M269">_xlfn.XLOOKUP(A269,'[1]DATOS PBI Artículos'!A:A,'[1]DATOS PBI Artículos'!AX:$AX)</f>
        <v>0</v>
      </c>
      <c r="N269" s="37" t="e">
        <f>IF(I269="DV",
E269,
IF(COUNTIF([1]CRITERIOS!$I$179:$I$199,$A269)&gt;=1,
_xlfn.XLOOKUP($A269,[1]CRITERIOS!$I$179:$I$199,[1]CRITERIOS!$J$179:$J$199),
IF(COUNTIF([1]CRITERIOS!$L$179:$L$199,$A269)&gt;=1,
_xlfn.CEILING.MATH(IF($M269&gt;$E269,
$E269,
IF($M269&lt;$E269/ROUNDDOWN([1]CRITERIOS!$M$16/_xlfn.XLOOKUP($C269,[1]CRITERIOS!$K$25:$K$42,[1]CRITERIOS!$M$25:$M$42),
1),
E269/ROUNDDOWN([1]CRITERIOS!$M$16/_xlfn.XLOOKUP($C269,[1]CRITERIOS!$K$25:$K$42,[1]CRITERIOS!$M$25:$M$42),
1),
$M269)),
_xlfn.XLOOKUP($A269,[1]CRITERIOS!$L$179:$L$200,[1]CRITERIOS!$M$179:$M$200)),
_xlfn.CEILING.MATH(IF($M269&gt;$E269,
$E269,
IF($M269&lt;$E269/ROUNDDOWN([1]CRITERIOS!$M$16/_xlfn.XLOOKUP($C269,[1]CRITERIOS!$K$25:$K$42,[1]CRITERIOS!$M$25:$M$42),
1),
E269/ROUNDDOWN([1]CRITERIOS!$M$16/_xlfn.XLOOKUP($C269,[1]CRITERIOS!$K$25:$K$42,[1]CRITERIOS!$M$25:$M$42),
1),
$M269)),_xlfn.XLOOKUP(A269,'[1]DATOS PBI Artículos'!A:A,'[1]DATOS PBI Artículos'!Z:Z
)))))</f>
        <v>#N/A</v>
      </c>
      <c r="Q269" s="38" t="e">
        <f>IF(AND(O269="",N269=0),
0,
   IF(COUNTIF([1]CRITERIOS!$F$179:$F$199,$A269)&gt;=1,
   1,
   IF(R269="MTO",
      $D269,
      ROUNDUP(
                    IF(($E269-SUMIF('[1]DATOS PBI Artículos'!A:A,A269,'[1]DATOS PBI Artículos'!X:X)+($V269-_xlfn.XLOOKUP(A269,'[1]DATOS PBI Artículos'!A:A,'[1]DATOS PBI Artículos'!W:W)))&lt;0,
                    0,
                    IF(($E269-SUMIF('[1]DATOS PBI Artículos'!A:A,A269,'[1]DATOS PBI Artículos'!X:X)+$V269-_xlfn.XLOOKUP($A269,'[1]DATOS PBI Artículos'!A:A,'[1]DATOS PBI Artículos'!W:W))/IF($O269="",$N269,$O269)&gt;ROUNDUP([1]CRITERIOS!$M$16/(IF(COUNTIF([1]CRITERIOS!$BG$11:$BG$201,L269)&gt;=1,_xlfn.XLOOKUP($C269,[1]CRITERIOS!$K$25:$K$42,[1]CRITERIOS!$M$25:$M$42),_xlfn.XLOOKUP($C269,[1]CRITERIOS!$K$25:$K$42,[1]CRITERIOS!$M$25:$M$42))),0),
                    ROUNDUP([1]CRITERIOS!$M$16/(IF(COUNTIF([1]CRITERIOS!$BG$11:$BG$201,$L269)&gt;=1,_xlfn.XLOOKUP($C269,[1]CRITERIOS!$K$25:$K$42,[1]CRITERIOS!$M$25:$M$42),_xlfn.XLOOKUP($C269,[1]CRITERIOS!$K$25:$K$42,[1]CRITERIOS!$M$25:$M$42))),0),
                    (E269+V269-SUMIF('[1]DATOS PBI Artículos'!A:A,A269,'[1]DATOS PBI Artículos'!X:X)-_xlfn.XLOOKUP(A269,'[1]DATOS PBI Artículos'!A:A,'[1]DATOS PBI Artículos'!W:W))/IF($O269="",$N269,$O269))),0))))</f>
        <v>#N/A</v>
      </c>
      <c r="R269" s="33" t="e">
        <f>IF(U269&lt;&gt;"",U269,IF(F269="DV","MTO",IF(N269=0,"MTO",_xlfn.XLOOKUP(CONCATENATE(S269,T269),[1]CRITERIOS!$K$160:$K$168,[1]CRITERIOS!$N$160:$N$168))))</f>
        <v>#N/A</v>
      </c>
      <c r="S269" s="33" t="e">
        <f>IF(G269="DV","MTO",IF(N269=0,"MTO",IF(OR(AND(N269=0,O269=""),IF(O269="",G269/N269,G269/O269)&gt;[1]CRITERIOS!$G$163),"MTO",IF(IF(O269="",G269/N269,G269/O269)&lt;[1]CRITERIOS!$H$161,"MTS","MTOS"))))</f>
        <v>#N/A</v>
      </c>
      <c r="T269" s="33" t="e">
        <f>IF(F269="DV","MTO",IF(OR(AND($N269=0,O269=""),$F269/$J269&gt;[1]CRITERIOS!$G$170,$F269="DV"),"MTO",IF($F269/$J269&lt;[1]CRITERIOS!$H$168,"MTS","MTOS")))</f>
        <v>#N/A</v>
      </c>
      <c r="V269" s="34" t="e">
        <f t="shared" si="13"/>
        <v>#N/A</v>
      </c>
      <c r="X269" s="34" t="e">
        <f t="shared" si="14"/>
        <v>#N/A</v>
      </c>
      <c r="Y269" s="34" t="e">
        <f t="shared" si="15"/>
        <v>#N/A</v>
      </c>
      <c r="Z269" s="34" t="e">
        <f>IF($R269="MTO",
0,
($H269+$K269*($E269/[1]CRITERIOS!$M$16))/[1]CRITERIOS!$X$48)</f>
        <v>#N/A</v>
      </c>
      <c r="AA269" s="34" t="e">
        <f>ROUNDUP(($Y269/_xlfn.XLOOKUP($A269,'[1]DATOS PBI Artículos'!$A$4:$A$4,'[1]DATOS PBI Artículos'!$Z$4:$Z$4))/_xlfn.XLOOKUP(_xlfn.XLOOKUP($A269,'[1]DATOS PBI Artículos'!$A$4:$A$4,'[1]DATOS PBI Artículos'!$Y$4:$Y$4),[1]CRITERIOS!$P$79:$P$123,[1]CRITERIOS!$S$79:$S$123,),0)</f>
        <v>#N/A</v>
      </c>
      <c r="AB269" s="33" t="e">
        <f t="array" ref="AB269">IF((E269+V269-_xlfn.XLOOKUP(A269,'[1]DATOS PBI Artículos'!$A$4:$A$4,'[1]DATOS PBI Artículos'!$W$4:$W$4))/N269&gt;ROUNDUP([1]CRITERIOS!$M$16/(IF(COUNTIF([1]CRITERIOS!$BG$11:$BG$201,L269)&gt;=1,_xlfn.XLOOKUP(ARTÍCULOS!L269,[1]CRITERIOS!$BG$11:$BG$201,[1]CRITERIOS!$BJ$11:$BJ$201),_xlfn.XLOOKUP(ARTÍCULOS!C269,[1]CRITERIOS!$K$25:$K$42,[1]CRITERIOS!$M$25:$M$42))),0),ROUNDUP([1]CRITERIOS!$M$16/(IF(COUNTIF([1]CRITERIOS!$BG$11:$BG$201,L269)&gt;=1,_xlfn.XLOOKUP(ARTÍCULOS!L269,[1]CRITERIOS!$BG$11:$BG$201:#REF!,[1]CRITERIOS!$BJ$11:$BJ$201),_xlfn.XLOOKUP(ARTÍCULOS!C269,[1]CRITERIOS!$K$25:$K$42,[1]CRITERIOS!$M$25:$M$42))),0),(E269+V269-_xlfn.XLOOKUP(A269,'[1]DATOS PBI Artículos'!$A$4:$A$4,'[1]DATOS PBI Artículos'!$W$4:$W$4))/N269)</f>
        <v>#N/A</v>
      </c>
      <c r="AC269" s="33" t="e">
        <f>IF(N269=0,"",(ROUNDUP((N269/2)/(_xlfn.XLOOKUP(A269,'[1]DATOS PBI Artículos'!$A$4:$A$4,'[1]DATOS PBI Artículos'!$Z$4:$Z$4)*_xlfn.XLOOKUP(_xlfn.XLOOKUP(A269,'[1]DATOS PBI Artículos'!$A$4:$A$4,'[1]DATOS PBI Artículos'!$Y$4:$Y$4),[1]CRITERIOS!$P$79:$P$123,[1]CRITERIOS!$S$79:$S$123)),0)*[1]CRITERIOS!$M$80*([1]CRITERIOS!$M$110/[1]CRITERIOS!$M$86)+(_xlfn.XLOOKUP(A269,'[1]DATOS PBI Artículos'!$A$4:$A$4,'[1]DATOS PBI Artículos'!$AA$4:$AA$4)*([1]CRITERIOS!$M$95+[1]CRITERIOS!$M$98)))/N269)</f>
        <v>#N/A</v>
      </c>
      <c r="AD269" s="33" t="e">
        <f>IF(N269=0,"",(ROUNDUP((N269/2)/(_xlfn.XLOOKUP(A269,'[1]DATOS PBI Artículos'!$A$4:$A$4,'[1]DATOS PBI Artículos'!$Z$4:$Z$4)*_xlfn.XLOOKUP(_xlfn.XLOOKUP(A269,'[1]DATOS PBI Artículos'!$A$4:$A$4,'[1]DATOS PBI Artículos'!$Y$4:$Y$4),[1]CRITERIOS!$P$79:$P$123,[1]CRITERIOS!$S$79:$S$123)),0)*[1]CRITERIOS!$M$80*([1]CRITERIOS!$M$89*[1]CRITERIOS!$M$92)+((_xlfn.XLOOKUP(A269,'[1]DATOS PBI Artículos'!$A$4:$A$4,'[1]DATOS PBI Artículos'!$AA$4:$AA$4)/2)*([1]CRITERIOS!$M$95+[1]CRITERIOS!$M$98)))/N269)</f>
        <v>#N/A</v>
      </c>
      <c r="AE269" s="39" t="e">
        <f>IF($R269="MTO","",
IF($H269=0,ROUNDUP(((_xlfn.XLOOKUP($A269,'[1]DATOS PBI Artículos'!$A:$A,'[1]DATOS PBI Artículos'!$AL:$AL))/(_xlfn.XLOOKUP($AF$1,[1]CRITERIOS!$S$16:$S$39,[1]CRITERIOS!$Y$16:$Y$39))*$J269+$Z269)/$G269,0)*$G269,
((_xlfn.XLOOKUP($A269,'[1]DATOS PBI Artículos'!$A:$A,'[1]DATOS PBI Artículos'!$AL:$AL))/(_xlfn.XLOOKUP($AF$1,[1]CRITERIOS!$S$16:$S$39,[1]CRITERIOS!$Y$16:$Y$39))*$J269+$Z269)))</f>
        <v>#N/A</v>
      </c>
      <c r="AG269" s="39" t="e">
        <f>IF($R269="MTO","",
IF($H269=0,ROUNDUP(((_xlfn.XLOOKUP($A269,'[1]DATOS PBI Artículos'!$A:$A,'[1]DATOS PBI Artículos'!$AM:$AM))/(_xlfn.XLOOKUP($AH$1,[1]CRITERIOS!$S$16:$S$39,[1]CRITERIOS!$Y$16:$Y$39))*$J269+$Z269)/$G269,0)*$G269,
((_xlfn.XLOOKUP($A269,'[1]DATOS PBI Artículos'!$A:$A,'[1]DATOS PBI Artículos'!$AM:$AM))/(_xlfn.XLOOKUP($AH$1,[1]CRITERIOS!$S$16:$S$39,[1]CRITERIOS!$Y$16:$Y$39))*$J269+$Z269)))</f>
        <v>#N/A</v>
      </c>
      <c r="AI269" s="39" t="e">
        <f>IF($R269="MTO","",
IF($H269=0,ROUNDUP(((_xlfn.XLOOKUP($A269,'[1]DATOS PBI Artículos'!$A:$A,'[1]DATOS PBI Artículos'!$AN:$AN))/(_xlfn.XLOOKUP($AJ$1,[1]CRITERIOS!$S$16:$S$39,[1]CRITERIOS!$Y$16:$Y$39))*$J269+$Z269)/$G269,0)*$G269,
((_xlfn.XLOOKUP($A269,'[1]DATOS PBI Artículos'!$A:$A,'[1]DATOS PBI Artículos'!$AN:$AN))/(_xlfn.XLOOKUP($AJ$1,[1]CRITERIOS!$S$16:$S$39,[1]CRITERIOS!$Y$16:$Y$39))*$J269+$Z269)))</f>
        <v>#N/A</v>
      </c>
      <c r="AK269" s="39" t="e">
        <f>IF($R269="MTO","",
IF($H269=0,ROUNDUP(((_xlfn.XLOOKUP($A269,'[1]DATOS PBI Artículos'!$A:$A,'[1]DATOS PBI Artículos'!$AO:$AO))/(_xlfn.XLOOKUP($AL$1,[1]CRITERIOS!$S$16:$S$39,[1]CRITERIOS!$Y$16:$Y$39))*$J269+$Z269)/$G269,0)*$G269,
((_xlfn.XLOOKUP($A269,'[1]DATOS PBI Artículos'!$A:$A,'[1]DATOS PBI Artículos'!$AO:$AO))/(_xlfn.XLOOKUP($AL$1,[1]CRITERIOS!$S$16:$S$39,[1]CRITERIOS!$Y$16:$Y$39))*$J269+$Z269)))</f>
        <v>#N/A</v>
      </c>
    </row>
    <row r="270" spans="1:37" ht="25.8" hidden="1" x14ac:dyDescent="0.4">
      <c r="A270" s="41"/>
      <c r="B270" s="33">
        <f>_xlfn.XLOOKUP($A270,'[1]DATOS PBI Artículos'!A:A,'[1]DATOS PBI Artículos'!B:B)</f>
        <v>0</v>
      </c>
      <c r="C270" s="33">
        <f>_xlfn.XLOOKUP($A270,'[1]DATOS PBI Artículos'!A:A,'[1]DATOS PBI Artículos'!C:C)</f>
        <v>0</v>
      </c>
      <c r="D270" s="33">
        <f>_xlfn.XLOOKUP(A270,'[1]DATOS PBI Artículos'!A:A,'[1]DATOS PBI Artículos'!T:T)</f>
        <v>0</v>
      </c>
      <c r="E270" s="34">
        <f>IF(_xlfn.XLOOKUP($A270,'[1]DATOS PBI Artículos'!A:A,'[1]DATOS PBI Artículos'!AK:AK)="",_xlfn.XLOOKUP($A270,'[1]DATOS PBI Artículos'!A:A,'[1]DATOS PBI Artículos'!AJ:AJ),_xlfn.XLOOKUP($A270,'[1]DATOS PBI Artículos'!A:A,'[1]DATOS PBI Artículos'!AK:AK))</f>
        <v>0</v>
      </c>
      <c r="F270" s="35">
        <f>_xlfn.XLOOKUP($A270,'[1]DATOS PBI Artículos'!A:A,'[1]DATOS PBI Artículos'!AP:AP)</f>
        <v>0</v>
      </c>
      <c r="G270" s="34">
        <f>_xlfn.XLOOKUP($A270,'[1]DATOS PBI Artículos'!A:A,'[1]DATOS PBI Artículos'!AR:AR)</f>
        <v>0</v>
      </c>
      <c r="H270" s="34">
        <f>_xlfn.XLOOKUP($A270,'[1]DATOS PBI Artículos'!A:A,'[1]DATOS PBI Artículos'!AT:AT)</f>
        <v>0</v>
      </c>
      <c r="I270" s="34">
        <f>_xlfn.XLOOKUP($A270,'[1]DATOS PBI Artículos'!A:A,'[1]DATOS PBI Artículos'!AS:AS)</f>
        <v>0</v>
      </c>
      <c r="J270" s="35">
        <f>IF(COUNTIF([1]CRITERIOS!$F$179:$F$199,$A270)&gt;=1,
 IF(O270&lt;&gt;"",
    (O270/_xlfn.XLOOKUP(CONCATENATE(A270,L270),[1]MÁQUINAS!A:A,[1]MÁQUINAS!D:D))/24,
    (N270/_xlfn.XLOOKUP(CONCATENATE(A270,L270),[1]MÁQUINAS!A:A,[1]MÁQUINAS!D:D))/24),
  _xlfn.XLOOKUP($A270,'[1]DATOS PBI Artículos'!A:A,'[1]DATOS PBI Artículos'!AU:AU))</f>
        <v>0</v>
      </c>
      <c r="K270" s="36">
        <f>_xlfn.XLOOKUP($A270,'[1]DATOS PBI Artículos'!A:A,'[1]DATOS PBI Artículos'!AV:AV)</f>
        <v>0</v>
      </c>
      <c r="L270" s="33">
        <f>_xlfn.XLOOKUP(A270,[1]MÁQUINAS!B:B,[1]MÁQUINAS!C:C)</f>
        <v>0</v>
      </c>
      <c r="M270" s="34">
        <f t="array" ref="M270">_xlfn.XLOOKUP(A270,'[1]DATOS PBI Artículos'!A:A,'[1]DATOS PBI Artículos'!AX:$AX)</f>
        <v>0</v>
      </c>
      <c r="N270" s="37" t="e">
        <f>IF(I270="DV",
E270,
IF(COUNTIF([1]CRITERIOS!$I$179:$I$199,$A270)&gt;=1,
_xlfn.XLOOKUP($A270,[1]CRITERIOS!$I$179:$I$199,[1]CRITERIOS!$J$179:$J$199),
IF(COUNTIF([1]CRITERIOS!$L$179:$L$199,$A270)&gt;=1,
_xlfn.CEILING.MATH(IF($M270&gt;$E270,
$E270,
IF($M270&lt;$E270/ROUNDDOWN([1]CRITERIOS!$M$16/_xlfn.XLOOKUP($C270,[1]CRITERIOS!$K$25:$K$42,[1]CRITERIOS!$M$25:$M$42),
1),
E270/ROUNDDOWN([1]CRITERIOS!$M$16/_xlfn.XLOOKUP($C270,[1]CRITERIOS!$K$25:$K$42,[1]CRITERIOS!$M$25:$M$42),
1),
$M270)),
_xlfn.XLOOKUP($A270,[1]CRITERIOS!$L$179:$L$200,[1]CRITERIOS!$M$179:$M$200)),
_xlfn.CEILING.MATH(IF($M270&gt;$E270,
$E270,
IF($M270&lt;$E270/ROUNDDOWN([1]CRITERIOS!$M$16/_xlfn.XLOOKUP($C270,[1]CRITERIOS!$K$25:$K$42,[1]CRITERIOS!$M$25:$M$42),
1),
E270/ROUNDDOWN([1]CRITERIOS!$M$16/_xlfn.XLOOKUP($C270,[1]CRITERIOS!$K$25:$K$42,[1]CRITERIOS!$M$25:$M$42),
1),
$M270)),_xlfn.XLOOKUP(A270,'[1]DATOS PBI Artículos'!A:A,'[1]DATOS PBI Artículos'!Z:Z
)))))</f>
        <v>#N/A</v>
      </c>
      <c r="Q270" s="38" t="e">
        <f>IF(AND(O270="",N270=0),
0,
   IF(COUNTIF([1]CRITERIOS!$F$179:$F$199,$A270)&gt;=1,
   1,
   IF(R270="MTO",
      $D270,
      ROUNDUP(
                    IF(($E270-SUMIF('[1]DATOS PBI Artículos'!A:A,A270,'[1]DATOS PBI Artículos'!X:X)+($V270-_xlfn.XLOOKUP(A270,'[1]DATOS PBI Artículos'!A:A,'[1]DATOS PBI Artículos'!W:W)))&lt;0,
                    0,
                    IF(($E270-SUMIF('[1]DATOS PBI Artículos'!A:A,A270,'[1]DATOS PBI Artículos'!X:X)+$V270-_xlfn.XLOOKUP($A270,'[1]DATOS PBI Artículos'!A:A,'[1]DATOS PBI Artículos'!W:W))/IF($O270="",$N270,$O270)&gt;ROUNDUP([1]CRITERIOS!$M$16/(IF(COUNTIF([1]CRITERIOS!$BG$11:$BG$201,L270)&gt;=1,_xlfn.XLOOKUP($C270,[1]CRITERIOS!$K$25:$K$42,[1]CRITERIOS!$M$25:$M$42),_xlfn.XLOOKUP($C270,[1]CRITERIOS!$K$25:$K$42,[1]CRITERIOS!$M$25:$M$42))),0),
                    ROUNDUP([1]CRITERIOS!$M$16/(IF(COUNTIF([1]CRITERIOS!$BG$11:$BG$201,$L270)&gt;=1,_xlfn.XLOOKUP($C270,[1]CRITERIOS!$K$25:$K$42,[1]CRITERIOS!$M$25:$M$42),_xlfn.XLOOKUP($C270,[1]CRITERIOS!$K$25:$K$42,[1]CRITERIOS!$M$25:$M$42))),0),
                    (E270+V270-SUMIF('[1]DATOS PBI Artículos'!A:A,A270,'[1]DATOS PBI Artículos'!X:X)-_xlfn.XLOOKUP(A270,'[1]DATOS PBI Artículos'!A:A,'[1]DATOS PBI Artículos'!W:W))/IF($O270="",$N270,$O270))),0))))</f>
        <v>#N/A</v>
      </c>
      <c r="R270" s="33" t="e">
        <f>IF(U270&lt;&gt;"",U270,IF(F270="DV","MTO",IF(N270=0,"MTO",_xlfn.XLOOKUP(CONCATENATE(S270,T270),[1]CRITERIOS!$K$160:$K$168,[1]CRITERIOS!$N$160:$N$168))))</f>
        <v>#N/A</v>
      </c>
      <c r="S270" s="33" t="e">
        <f>IF(G270="DV","MTO",IF(N270=0,"MTO",IF(OR(AND(N270=0,O270=""),IF(O270="",G270/N270,G270/O270)&gt;[1]CRITERIOS!$G$163),"MTO",IF(IF(O270="",G270/N270,G270/O270)&lt;[1]CRITERIOS!$H$161,"MTS","MTOS"))))</f>
        <v>#N/A</v>
      </c>
      <c r="T270" s="33" t="e">
        <f>IF(F270="DV","MTO",IF(OR(AND($N270=0,O270=""),$F270/$J270&gt;[1]CRITERIOS!$G$170,$F270="DV"),"MTO",IF($F270/$J270&lt;[1]CRITERIOS!$H$168,"MTS","MTOS")))</f>
        <v>#N/A</v>
      </c>
      <c r="V270" s="34" t="e">
        <f t="shared" si="13"/>
        <v>#N/A</v>
      </c>
      <c r="X270" s="34" t="e">
        <f t="shared" si="14"/>
        <v>#N/A</v>
      </c>
      <c r="Y270" s="34" t="e">
        <f t="shared" si="15"/>
        <v>#N/A</v>
      </c>
      <c r="Z270" s="34" t="e">
        <f>IF($R270="MTO",
0,
($H270+$K270*($E270/[1]CRITERIOS!$M$16))/[1]CRITERIOS!$X$48)</f>
        <v>#N/A</v>
      </c>
      <c r="AA270" s="34" t="e">
        <f>ROUNDUP(($Y270/_xlfn.XLOOKUP($A270,'[1]DATOS PBI Artículos'!$A$4:$A$4,'[1]DATOS PBI Artículos'!$Z$4:$Z$4))/_xlfn.XLOOKUP(_xlfn.XLOOKUP($A270,'[1]DATOS PBI Artículos'!$A$4:$A$4,'[1]DATOS PBI Artículos'!$Y$4:$Y$4),[1]CRITERIOS!$P$79:$P$123,[1]CRITERIOS!$S$79:$S$123,),0)</f>
        <v>#N/A</v>
      </c>
      <c r="AB270" s="33" t="e">
        <f t="array" ref="AB270">IF((E270+V270-_xlfn.XLOOKUP(A270,'[1]DATOS PBI Artículos'!$A$4:$A$4,'[1]DATOS PBI Artículos'!$W$4:$W$4))/N270&gt;ROUNDUP([1]CRITERIOS!$M$16/(IF(COUNTIF([1]CRITERIOS!$BG$11:$BG$201,L270)&gt;=1,_xlfn.XLOOKUP(ARTÍCULOS!L270,[1]CRITERIOS!$BG$11:$BG$201,[1]CRITERIOS!$BJ$11:$BJ$201),_xlfn.XLOOKUP(ARTÍCULOS!C270,[1]CRITERIOS!$K$25:$K$42,[1]CRITERIOS!$M$25:$M$42))),0),ROUNDUP([1]CRITERIOS!$M$16/(IF(COUNTIF([1]CRITERIOS!$BG$11:$BG$201,L270)&gt;=1,_xlfn.XLOOKUP(ARTÍCULOS!L270,[1]CRITERIOS!$BG$11:$BG$201:#REF!,[1]CRITERIOS!$BJ$11:$BJ$201),_xlfn.XLOOKUP(ARTÍCULOS!C270,[1]CRITERIOS!$K$25:$K$42,[1]CRITERIOS!$M$25:$M$42))),0),(E270+V270-_xlfn.XLOOKUP(A270,'[1]DATOS PBI Artículos'!$A$4:$A$4,'[1]DATOS PBI Artículos'!$W$4:$W$4))/N270)</f>
        <v>#N/A</v>
      </c>
      <c r="AC270" s="33" t="e">
        <f>IF(N270=0,"",(ROUNDUP((N270/2)/(_xlfn.XLOOKUP(A270,'[1]DATOS PBI Artículos'!$A$4:$A$4,'[1]DATOS PBI Artículos'!$Z$4:$Z$4)*_xlfn.XLOOKUP(_xlfn.XLOOKUP(A270,'[1]DATOS PBI Artículos'!$A$4:$A$4,'[1]DATOS PBI Artículos'!$Y$4:$Y$4),[1]CRITERIOS!$P$79:$P$123,[1]CRITERIOS!$S$79:$S$123)),0)*[1]CRITERIOS!$M$80*([1]CRITERIOS!$M$110/[1]CRITERIOS!$M$86)+(_xlfn.XLOOKUP(A270,'[1]DATOS PBI Artículos'!$A$4:$A$4,'[1]DATOS PBI Artículos'!$AA$4:$AA$4)*([1]CRITERIOS!$M$95+[1]CRITERIOS!$M$98)))/N270)</f>
        <v>#N/A</v>
      </c>
      <c r="AD270" s="33" t="e">
        <f>IF(N270=0,"",(ROUNDUP((N270/2)/(_xlfn.XLOOKUP(A270,'[1]DATOS PBI Artículos'!$A$4:$A$4,'[1]DATOS PBI Artículos'!$Z$4:$Z$4)*_xlfn.XLOOKUP(_xlfn.XLOOKUP(A270,'[1]DATOS PBI Artículos'!$A$4:$A$4,'[1]DATOS PBI Artículos'!$Y$4:$Y$4),[1]CRITERIOS!$P$79:$P$123,[1]CRITERIOS!$S$79:$S$123)),0)*[1]CRITERIOS!$M$80*([1]CRITERIOS!$M$89*[1]CRITERIOS!$M$92)+((_xlfn.XLOOKUP(A270,'[1]DATOS PBI Artículos'!$A$4:$A$4,'[1]DATOS PBI Artículos'!$AA$4:$AA$4)/2)*([1]CRITERIOS!$M$95+[1]CRITERIOS!$M$98)))/N270)</f>
        <v>#N/A</v>
      </c>
      <c r="AE270" s="39" t="e">
        <f>IF($R270="MTO","",
IF($H270=0,ROUNDUP(((_xlfn.XLOOKUP($A270,'[1]DATOS PBI Artículos'!$A:$A,'[1]DATOS PBI Artículos'!$AL:$AL))/(_xlfn.XLOOKUP($AF$1,[1]CRITERIOS!$S$16:$S$39,[1]CRITERIOS!$Y$16:$Y$39))*$J270+$Z270)/$G270,0)*$G270,
((_xlfn.XLOOKUP($A270,'[1]DATOS PBI Artículos'!$A:$A,'[1]DATOS PBI Artículos'!$AL:$AL))/(_xlfn.XLOOKUP($AF$1,[1]CRITERIOS!$S$16:$S$39,[1]CRITERIOS!$Y$16:$Y$39))*$J270+$Z270)))</f>
        <v>#N/A</v>
      </c>
      <c r="AG270" s="39" t="e">
        <f>IF($R270="MTO","",
IF($H270=0,ROUNDUP(((_xlfn.XLOOKUP($A270,'[1]DATOS PBI Artículos'!$A:$A,'[1]DATOS PBI Artículos'!$AM:$AM))/(_xlfn.XLOOKUP($AH$1,[1]CRITERIOS!$S$16:$S$39,[1]CRITERIOS!$Y$16:$Y$39))*$J270+$Z270)/$G270,0)*$G270,
((_xlfn.XLOOKUP($A270,'[1]DATOS PBI Artículos'!$A:$A,'[1]DATOS PBI Artículos'!$AM:$AM))/(_xlfn.XLOOKUP($AH$1,[1]CRITERIOS!$S$16:$S$39,[1]CRITERIOS!$Y$16:$Y$39))*$J270+$Z270)))</f>
        <v>#N/A</v>
      </c>
      <c r="AI270" s="39" t="e">
        <f>IF($R270="MTO","",
IF($H270=0,ROUNDUP(((_xlfn.XLOOKUP($A270,'[1]DATOS PBI Artículos'!$A:$A,'[1]DATOS PBI Artículos'!$AN:$AN))/(_xlfn.XLOOKUP($AJ$1,[1]CRITERIOS!$S$16:$S$39,[1]CRITERIOS!$Y$16:$Y$39))*$J270+$Z270)/$G270,0)*$G270,
((_xlfn.XLOOKUP($A270,'[1]DATOS PBI Artículos'!$A:$A,'[1]DATOS PBI Artículos'!$AN:$AN))/(_xlfn.XLOOKUP($AJ$1,[1]CRITERIOS!$S$16:$S$39,[1]CRITERIOS!$Y$16:$Y$39))*$J270+$Z270)))</f>
        <v>#N/A</v>
      </c>
      <c r="AK270" s="39" t="e">
        <f>IF($R270="MTO","",
IF($H270=0,ROUNDUP(((_xlfn.XLOOKUP($A270,'[1]DATOS PBI Artículos'!$A:$A,'[1]DATOS PBI Artículos'!$AO:$AO))/(_xlfn.XLOOKUP($AL$1,[1]CRITERIOS!$S$16:$S$39,[1]CRITERIOS!$Y$16:$Y$39))*$J270+$Z270)/$G270,0)*$G270,
((_xlfn.XLOOKUP($A270,'[1]DATOS PBI Artículos'!$A:$A,'[1]DATOS PBI Artículos'!$AO:$AO))/(_xlfn.XLOOKUP($AL$1,[1]CRITERIOS!$S$16:$S$39,[1]CRITERIOS!$Y$16:$Y$39))*$J270+$Z270)))</f>
        <v>#N/A</v>
      </c>
    </row>
    <row r="271" spans="1:37" ht="25.8" hidden="1" x14ac:dyDescent="0.4">
      <c r="A271" s="41"/>
      <c r="B271" s="33">
        <f>_xlfn.XLOOKUP($A271,'[1]DATOS PBI Artículos'!A:A,'[1]DATOS PBI Artículos'!B:B)</f>
        <v>0</v>
      </c>
      <c r="C271" s="33">
        <f>_xlfn.XLOOKUP($A271,'[1]DATOS PBI Artículos'!A:A,'[1]DATOS PBI Artículos'!C:C)</f>
        <v>0</v>
      </c>
      <c r="D271" s="33">
        <f>_xlfn.XLOOKUP(A271,'[1]DATOS PBI Artículos'!A:A,'[1]DATOS PBI Artículos'!T:T)</f>
        <v>0</v>
      </c>
      <c r="E271" s="34">
        <f>IF(_xlfn.XLOOKUP($A271,'[1]DATOS PBI Artículos'!A:A,'[1]DATOS PBI Artículos'!AK:AK)="",_xlfn.XLOOKUP($A271,'[1]DATOS PBI Artículos'!A:A,'[1]DATOS PBI Artículos'!AJ:AJ),_xlfn.XLOOKUP($A271,'[1]DATOS PBI Artículos'!A:A,'[1]DATOS PBI Artículos'!AK:AK))</f>
        <v>0</v>
      </c>
      <c r="F271" s="35">
        <f>_xlfn.XLOOKUP($A271,'[1]DATOS PBI Artículos'!A:A,'[1]DATOS PBI Artículos'!AP:AP)</f>
        <v>0</v>
      </c>
      <c r="G271" s="34">
        <f>_xlfn.XLOOKUP($A271,'[1]DATOS PBI Artículos'!A:A,'[1]DATOS PBI Artículos'!AR:AR)</f>
        <v>0</v>
      </c>
      <c r="H271" s="34">
        <f>_xlfn.XLOOKUP($A271,'[1]DATOS PBI Artículos'!A:A,'[1]DATOS PBI Artículos'!AT:AT)</f>
        <v>0</v>
      </c>
      <c r="I271" s="34">
        <f>_xlfn.XLOOKUP($A271,'[1]DATOS PBI Artículos'!A:A,'[1]DATOS PBI Artículos'!AS:AS)</f>
        <v>0</v>
      </c>
      <c r="J271" s="35">
        <f>IF(COUNTIF([1]CRITERIOS!$F$179:$F$199,$A271)&gt;=1,
 IF(O271&lt;&gt;"",
    (O271/_xlfn.XLOOKUP(CONCATENATE(A271,L271),[1]MÁQUINAS!A:A,[1]MÁQUINAS!D:D))/24,
    (N271/_xlfn.XLOOKUP(CONCATENATE(A271,L271),[1]MÁQUINAS!A:A,[1]MÁQUINAS!D:D))/24),
  _xlfn.XLOOKUP($A271,'[1]DATOS PBI Artículos'!A:A,'[1]DATOS PBI Artículos'!AU:AU))</f>
        <v>0</v>
      </c>
      <c r="K271" s="36">
        <f>_xlfn.XLOOKUP($A271,'[1]DATOS PBI Artículos'!A:A,'[1]DATOS PBI Artículos'!AV:AV)</f>
        <v>0</v>
      </c>
      <c r="L271" s="33">
        <f>_xlfn.XLOOKUP(A271,[1]MÁQUINAS!B:B,[1]MÁQUINAS!C:C)</f>
        <v>0</v>
      </c>
      <c r="M271" s="34">
        <f t="array" ref="M271">_xlfn.XLOOKUP(A271,'[1]DATOS PBI Artículos'!A:A,'[1]DATOS PBI Artículos'!AX:$AX)</f>
        <v>0</v>
      </c>
      <c r="N271" s="37" t="e">
        <f>IF(I271="DV",
E271,
IF(COUNTIF([1]CRITERIOS!$I$179:$I$199,$A271)&gt;=1,
_xlfn.XLOOKUP($A271,[1]CRITERIOS!$I$179:$I$199,[1]CRITERIOS!$J$179:$J$199),
IF(COUNTIF([1]CRITERIOS!$L$179:$L$199,$A271)&gt;=1,
_xlfn.CEILING.MATH(IF($M271&gt;$E271,
$E271,
IF($M271&lt;$E271/ROUNDDOWN([1]CRITERIOS!$M$16/_xlfn.XLOOKUP($C271,[1]CRITERIOS!$K$25:$K$42,[1]CRITERIOS!$M$25:$M$42),
1),
E271/ROUNDDOWN([1]CRITERIOS!$M$16/_xlfn.XLOOKUP($C271,[1]CRITERIOS!$K$25:$K$42,[1]CRITERIOS!$M$25:$M$42),
1),
$M271)),
_xlfn.XLOOKUP($A271,[1]CRITERIOS!$L$179:$L$200,[1]CRITERIOS!$M$179:$M$200)),
_xlfn.CEILING.MATH(IF($M271&gt;$E271,
$E271,
IF($M271&lt;$E271/ROUNDDOWN([1]CRITERIOS!$M$16/_xlfn.XLOOKUP($C271,[1]CRITERIOS!$K$25:$K$42,[1]CRITERIOS!$M$25:$M$42),
1),
E271/ROUNDDOWN([1]CRITERIOS!$M$16/_xlfn.XLOOKUP($C271,[1]CRITERIOS!$K$25:$K$42,[1]CRITERIOS!$M$25:$M$42),
1),
$M271)),_xlfn.XLOOKUP(A271,'[1]DATOS PBI Artículos'!A:A,'[1]DATOS PBI Artículos'!Z:Z
)))))</f>
        <v>#N/A</v>
      </c>
      <c r="Q271" s="38" t="e">
        <f>IF(AND(O271="",N271=0),
0,
   IF(COUNTIF([1]CRITERIOS!$F$179:$F$199,$A271)&gt;=1,
   1,
   IF(R271="MTO",
      $D271,
      ROUNDUP(
                    IF(($E271-SUMIF('[1]DATOS PBI Artículos'!A:A,A271,'[1]DATOS PBI Artículos'!X:X)+($V271-_xlfn.XLOOKUP(A271,'[1]DATOS PBI Artículos'!A:A,'[1]DATOS PBI Artículos'!W:W)))&lt;0,
                    0,
                    IF(($E271-SUMIF('[1]DATOS PBI Artículos'!A:A,A271,'[1]DATOS PBI Artículos'!X:X)+$V271-_xlfn.XLOOKUP($A271,'[1]DATOS PBI Artículos'!A:A,'[1]DATOS PBI Artículos'!W:W))/IF($O271="",$N271,$O271)&gt;ROUNDUP([1]CRITERIOS!$M$16/(IF(COUNTIF([1]CRITERIOS!$BG$11:$BG$201,L271)&gt;=1,_xlfn.XLOOKUP($C271,[1]CRITERIOS!$K$25:$K$42,[1]CRITERIOS!$M$25:$M$42),_xlfn.XLOOKUP($C271,[1]CRITERIOS!$K$25:$K$42,[1]CRITERIOS!$M$25:$M$42))),0),
                    ROUNDUP([1]CRITERIOS!$M$16/(IF(COUNTIF([1]CRITERIOS!$BG$11:$BG$201,$L271)&gt;=1,_xlfn.XLOOKUP($C271,[1]CRITERIOS!$K$25:$K$42,[1]CRITERIOS!$M$25:$M$42),_xlfn.XLOOKUP($C271,[1]CRITERIOS!$K$25:$K$42,[1]CRITERIOS!$M$25:$M$42))),0),
                    (E271+V271-SUMIF('[1]DATOS PBI Artículos'!A:A,A271,'[1]DATOS PBI Artículos'!X:X)-_xlfn.XLOOKUP(A271,'[1]DATOS PBI Artículos'!A:A,'[1]DATOS PBI Artículos'!W:W))/IF($O271="",$N271,$O271))),0))))</f>
        <v>#N/A</v>
      </c>
      <c r="R271" s="33" t="e">
        <f>IF(U271&lt;&gt;"",U271,IF(F271="DV","MTO",IF(N271=0,"MTO",_xlfn.XLOOKUP(CONCATENATE(S271,T271),[1]CRITERIOS!$K$160:$K$168,[1]CRITERIOS!$N$160:$N$168))))</f>
        <v>#N/A</v>
      </c>
      <c r="S271" s="33" t="e">
        <f>IF(G271="DV","MTO",IF(N271=0,"MTO",IF(OR(AND(N271=0,O271=""),IF(O271="",G271/N271,G271/O271)&gt;[1]CRITERIOS!$G$163),"MTO",IF(IF(O271="",G271/N271,G271/O271)&lt;[1]CRITERIOS!$H$161,"MTS","MTOS"))))</f>
        <v>#N/A</v>
      </c>
      <c r="T271" s="33" t="e">
        <f>IF(F271="DV","MTO",IF(OR(AND($N271=0,O271=""),$F271/$J271&gt;[1]CRITERIOS!$G$170,$F271="DV"),"MTO",IF($F271/$J271&lt;[1]CRITERIOS!$H$168,"MTS","MTOS")))</f>
        <v>#N/A</v>
      </c>
      <c r="V271" s="34" t="e">
        <f t="shared" si="13"/>
        <v>#N/A</v>
      </c>
      <c r="X271" s="34" t="e">
        <f t="shared" si="14"/>
        <v>#N/A</v>
      </c>
      <c r="Y271" s="34" t="e">
        <f t="shared" si="15"/>
        <v>#N/A</v>
      </c>
      <c r="Z271" s="34" t="e">
        <f>IF($R271="MTO",
0,
($H271+$K271*($E271/[1]CRITERIOS!$M$16))/[1]CRITERIOS!$X$48)</f>
        <v>#N/A</v>
      </c>
      <c r="AA271" s="34" t="e">
        <f>ROUNDUP(($Y271/_xlfn.XLOOKUP($A271,'[1]DATOS PBI Artículos'!$A$4:$A$4,'[1]DATOS PBI Artículos'!$Z$4:$Z$4))/_xlfn.XLOOKUP(_xlfn.XLOOKUP($A271,'[1]DATOS PBI Artículos'!$A$4:$A$4,'[1]DATOS PBI Artículos'!$Y$4:$Y$4),[1]CRITERIOS!$P$79:$P$123,[1]CRITERIOS!$S$79:$S$123,),0)</f>
        <v>#N/A</v>
      </c>
      <c r="AB271" s="33" t="e">
        <f t="array" ref="AB271">IF((E271+V271-_xlfn.XLOOKUP(A271,'[1]DATOS PBI Artículos'!$A$4:$A$4,'[1]DATOS PBI Artículos'!$W$4:$W$4))/N271&gt;ROUNDUP([1]CRITERIOS!$M$16/(IF(COUNTIF([1]CRITERIOS!$BG$11:$BG$201,L271)&gt;=1,_xlfn.XLOOKUP(ARTÍCULOS!L271,[1]CRITERIOS!$BG$11:$BG$201,[1]CRITERIOS!$BJ$11:$BJ$201),_xlfn.XLOOKUP(ARTÍCULOS!C271,[1]CRITERIOS!$K$25:$K$42,[1]CRITERIOS!$M$25:$M$42))),0),ROUNDUP([1]CRITERIOS!$M$16/(IF(COUNTIF([1]CRITERIOS!$BG$11:$BG$201,L271)&gt;=1,_xlfn.XLOOKUP(ARTÍCULOS!L271,[1]CRITERIOS!$BG$11:$BG$201:#REF!,[1]CRITERIOS!$BJ$11:$BJ$201),_xlfn.XLOOKUP(ARTÍCULOS!C271,[1]CRITERIOS!$K$25:$K$42,[1]CRITERIOS!$M$25:$M$42))),0),(E271+V271-_xlfn.XLOOKUP(A271,'[1]DATOS PBI Artículos'!$A$4:$A$4,'[1]DATOS PBI Artículos'!$W$4:$W$4))/N271)</f>
        <v>#N/A</v>
      </c>
      <c r="AC271" s="33" t="e">
        <f>IF(N271=0,"",(ROUNDUP((N271/2)/(_xlfn.XLOOKUP(A271,'[1]DATOS PBI Artículos'!$A$4:$A$4,'[1]DATOS PBI Artículos'!$Z$4:$Z$4)*_xlfn.XLOOKUP(_xlfn.XLOOKUP(A271,'[1]DATOS PBI Artículos'!$A$4:$A$4,'[1]DATOS PBI Artículos'!$Y$4:$Y$4),[1]CRITERIOS!$P$79:$P$123,[1]CRITERIOS!$S$79:$S$123)),0)*[1]CRITERIOS!$M$80*([1]CRITERIOS!$M$110/[1]CRITERIOS!$M$86)+(_xlfn.XLOOKUP(A271,'[1]DATOS PBI Artículos'!$A$4:$A$4,'[1]DATOS PBI Artículos'!$AA$4:$AA$4)*([1]CRITERIOS!$M$95+[1]CRITERIOS!$M$98)))/N271)</f>
        <v>#N/A</v>
      </c>
      <c r="AD271" s="33" t="e">
        <f>IF(N271=0,"",(ROUNDUP((N271/2)/(_xlfn.XLOOKUP(A271,'[1]DATOS PBI Artículos'!$A$4:$A$4,'[1]DATOS PBI Artículos'!$Z$4:$Z$4)*_xlfn.XLOOKUP(_xlfn.XLOOKUP(A271,'[1]DATOS PBI Artículos'!$A$4:$A$4,'[1]DATOS PBI Artículos'!$Y$4:$Y$4),[1]CRITERIOS!$P$79:$P$123,[1]CRITERIOS!$S$79:$S$123)),0)*[1]CRITERIOS!$M$80*([1]CRITERIOS!$M$89*[1]CRITERIOS!$M$92)+((_xlfn.XLOOKUP(A271,'[1]DATOS PBI Artículos'!$A$4:$A$4,'[1]DATOS PBI Artículos'!$AA$4:$AA$4)/2)*([1]CRITERIOS!$M$95+[1]CRITERIOS!$M$98)))/N271)</f>
        <v>#N/A</v>
      </c>
      <c r="AE271" s="39" t="e">
        <f>IF($R271="MTO","",
IF($H271=0,ROUNDUP(((_xlfn.XLOOKUP($A271,'[1]DATOS PBI Artículos'!$A:$A,'[1]DATOS PBI Artículos'!$AL:$AL))/(_xlfn.XLOOKUP($AF$1,[1]CRITERIOS!$S$16:$S$39,[1]CRITERIOS!$Y$16:$Y$39))*$J271+$Z271)/$G271,0)*$G271,
((_xlfn.XLOOKUP($A271,'[1]DATOS PBI Artículos'!$A:$A,'[1]DATOS PBI Artículos'!$AL:$AL))/(_xlfn.XLOOKUP($AF$1,[1]CRITERIOS!$S$16:$S$39,[1]CRITERIOS!$Y$16:$Y$39))*$J271+$Z271)))</f>
        <v>#N/A</v>
      </c>
      <c r="AG271" s="39" t="e">
        <f>IF($R271="MTO","",
IF($H271=0,ROUNDUP(((_xlfn.XLOOKUP($A271,'[1]DATOS PBI Artículos'!$A:$A,'[1]DATOS PBI Artículos'!$AM:$AM))/(_xlfn.XLOOKUP($AH$1,[1]CRITERIOS!$S$16:$S$39,[1]CRITERIOS!$Y$16:$Y$39))*$J271+$Z271)/$G271,0)*$G271,
((_xlfn.XLOOKUP($A271,'[1]DATOS PBI Artículos'!$A:$A,'[1]DATOS PBI Artículos'!$AM:$AM))/(_xlfn.XLOOKUP($AH$1,[1]CRITERIOS!$S$16:$S$39,[1]CRITERIOS!$Y$16:$Y$39))*$J271+$Z271)))</f>
        <v>#N/A</v>
      </c>
      <c r="AI271" s="39" t="e">
        <f>IF($R271="MTO","",
IF($H271=0,ROUNDUP(((_xlfn.XLOOKUP($A271,'[1]DATOS PBI Artículos'!$A:$A,'[1]DATOS PBI Artículos'!$AN:$AN))/(_xlfn.XLOOKUP($AJ$1,[1]CRITERIOS!$S$16:$S$39,[1]CRITERIOS!$Y$16:$Y$39))*$J271+$Z271)/$G271,0)*$G271,
((_xlfn.XLOOKUP($A271,'[1]DATOS PBI Artículos'!$A:$A,'[1]DATOS PBI Artículos'!$AN:$AN))/(_xlfn.XLOOKUP($AJ$1,[1]CRITERIOS!$S$16:$S$39,[1]CRITERIOS!$Y$16:$Y$39))*$J271+$Z271)))</f>
        <v>#N/A</v>
      </c>
      <c r="AK271" s="39" t="e">
        <f>IF($R271="MTO","",
IF($H271=0,ROUNDUP(((_xlfn.XLOOKUP($A271,'[1]DATOS PBI Artículos'!$A:$A,'[1]DATOS PBI Artículos'!$AO:$AO))/(_xlfn.XLOOKUP($AL$1,[1]CRITERIOS!$S$16:$S$39,[1]CRITERIOS!$Y$16:$Y$39))*$J271+$Z271)/$G271,0)*$G271,
((_xlfn.XLOOKUP($A271,'[1]DATOS PBI Artículos'!$A:$A,'[1]DATOS PBI Artículos'!$AO:$AO))/(_xlfn.XLOOKUP($AL$1,[1]CRITERIOS!$S$16:$S$39,[1]CRITERIOS!$Y$16:$Y$39))*$J271+$Z271)))</f>
        <v>#N/A</v>
      </c>
    </row>
    <row r="272" spans="1:37" ht="25.8" hidden="1" x14ac:dyDescent="0.4">
      <c r="A272" s="41"/>
      <c r="B272" s="33">
        <f>_xlfn.XLOOKUP($A272,'[1]DATOS PBI Artículos'!A:A,'[1]DATOS PBI Artículos'!B:B)</f>
        <v>0</v>
      </c>
      <c r="C272" s="33">
        <f>_xlfn.XLOOKUP($A272,'[1]DATOS PBI Artículos'!A:A,'[1]DATOS PBI Artículos'!C:C)</f>
        <v>0</v>
      </c>
      <c r="D272" s="33">
        <f>_xlfn.XLOOKUP(A272,'[1]DATOS PBI Artículos'!A:A,'[1]DATOS PBI Artículos'!T:T)</f>
        <v>0</v>
      </c>
      <c r="E272" s="34">
        <f>IF(_xlfn.XLOOKUP($A272,'[1]DATOS PBI Artículos'!A:A,'[1]DATOS PBI Artículos'!AK:AK)="",_xlfn.XLOOKUP($A272,'[1]DATOS PBI Artículos'!A:A,'[1]DATOS PBI Artículos'!AJ:AJ),_xlfn.XLOOKUP($A272,'[1]DATOS PBI Artículos'!A:A,'[1]DATOS PBI Artículos'!AK:AK))</f>
        <v>0</v>
      </c>
      <c r="F272" s="35">
        <f>_xlfn.XLOOKUP($A272,'[1]DATOS PBI Artículos'!A:A,'[1]DATOS PBI Artículos'!AP:AP)</f>
        <v>0</v>
      </c>
      <c r="G272" s="34">
        <f>_xlfn.XLOOKUP($A272,'[1]DATOS PBI Artículos'!A:A,'[1]DATOS PBI Artículos'!AR:AR)</f>
        <v>0</v>
      </c>
      <c r="H272" s="34">
        <f>_xlfn.XLOOKUP($A272,'[1]DATOS PBI Artículos'!A:A,'[1]DATOS PBI Artículos'!AT:AT)</f>
        <v>0</v>
      </c>
      <c r="I272" s="34">
        <f>_xlfn.XLOOKUP($A272,'[1]DATOS PBI Artículos'!A:A,'[1]DATOS PBI Artículos'!AS:AS)</f>
        <v>0</v>
      </c>
      <c r="J272" s="35">
        <f>IF(COUNTIF([1]CRITERIOS!$F$179:$F$199,$A272)&gt;=1,
 IF(O272&lt;&gt;"",
    (O272/_xlfn.XLOOKUP(CONCATENATE(A272,L272),[1]MÁQUINAS!A:A,[1]MÁQUINAS!D:D))/24,
    (N272/_xlfn.XLOOKUP(CONCATENATE(A272,L272),[1]MÁQUINAS!A:A,[1]MÁQUINAS!D:D))/24),
  _xlfn.XLOOKUP($A272,'[1]DATOS PBI Artículos'!A:A,'[1]DATOS PBI Artículos'!AU:AU))</f>
        <v>0</v>
      </c>
      <c r="K272" s="36">
        <f>_xlfn.XLOOKUP($A272,'[1]DATOS PBI Artículos'!A:A,'[1]DATOS PBI Artículos'!AV:AV)</f>
        <v>0</v>
      </c>
      <c r="L272" s="33">
        <f>_xlfn.XLOOKUP(A272,[1]MÁQUINAS!B:B,[1]MÁQUINAS!C:C)</f>
        <v>0</v>
      </c>
      <c r="M272" s="34">
        <f t="array" ref="M272">_xlfn.XLOOKUP(A272,'[1]DATOS PBI Artículos'!A:A,'[1]DATOS PBI Artículos'!AX:$AX)</f>
        <v>0</v>
      </c>
      <c r="N272" s="37" t="e">
        <f>IF(I272="DV",
E272,
IF(COUNTIF([1]CRITERIOS!$I$179:$I$199,$A272)&gt;=1,
_xlfn.XLOOKUP($A272,[1]CRITERIOS!$I$179:$I$199,[1]CRITERIOS!$J$179:$J$199),
IF(COUNTIF([1]CRITERIOS!$L$179:$L$199,$A272)&gt;=1,
_xlfn.CEILING.MATH(IF($M272&gt;$E272,
$E272,
IF($M272&lt;$E272/ROUNDDOWN([1]CRITERIOS!$M$16/_xlfn.XLOOKUP($C272,[1]CRITERIOS!$K$25:$K$42,[1]CRITERIOS!$M$25:$M$42),
1),
E272/ROUNDDOWN([1]CRITERIOS!$M$16/_xlfn.XLOOKUP($C272,[1]CRITERIOS!$K$25:$K$42,[1]CRITERIOS!$M$25:$M$42),
1),
$M272)),
_xlfn.XLOOKUP($A272,[1]CRITERIOS!$L$179:$L$200,[1]CRITERIOS!$M$179:$M$200)),
_xlfn.CEILING.MATH(IF($M272&gt;$E272,
$E272,
IF($M272&lt;$E272/ROUNDDOWN([1]CRITERIOS!$M$16/_xlfn.XLOOKUP($C272,[1]CRITERIOS!$K$25:$K$42,[1]CRITERIOS!$M$25:$M$42),
1),
E272/ROUNDDOWN([1]CRITERIOS!$M$16/_xlfn.XLOOKUP($C272,[1]CRITERIOS!$K$25:$K$42,[1]CRITERIOS!$M$25:$M$42),
1),
$M272)),_xlfn.XLOOKUP(A272,'[1]DATOS PBI Artículos'!A:A,'[1]DATOS PBI Artículos'!Z:Z
)))))</f>
        <v>#N/A</v>
      </c>
      <c r="Q272" s="38" t="e">
        <f>IF(AND(O272="",N272=0),
0,
   IF(COUNTIF([1]CRITERIOS!$F$179:$F$199,$A272)&gt;=1,
   1,
   IF(R272="MTO",
      $D272,
      ROUNDUP(
                    IF(($E272-SUMIF('[1]DATOS PBI Artículos'!A:A,A272,'[1]DATOS PBI Artículos'!X:X)+($V272-_xlfn.XLOOKUP(A272,'[1]DATOS PBI Artículos'!A:A,'[1]DATOS PBI Artículos'!W:W)))&lt;0,
                    0,
                    IF(($E272-SUMIF('[1]DATOS PBI Artículos'!A:A,A272,'[1]DATOS PBI Artículos'!X:X)+$V272-_xlfn.XLOOKUP($A272,'[1]DATOS PBI Artículos'!A:A,'[1]DATOS PBI Artículos'!W:W))/IF($O272="",$N272,$O272)&gt;ROUNDUP([1]CRITERIOS!$M$16/(IF(COUNTIF([1]CRITERIOS!$BG$11:$BG$201,L272)&gt;=1,_xlfn.XLOOKUP($C272,[1]CRITERIOS!$K$25:$K$42,[1]CRITERIOS!$M$25:$M$42),_xlfn.XLOOKUP($C272,[1]CRITERIOS!$K$25:$K$42,[1]CRITERIOS!$M$25:$M$42))),0),
                    ROUNDUP([1]CRITERIOS!$M$16/(IF(COUNTIF([1]CRITERIOS!$BG$11:$BG$201,$L272)&gt;=1,_xlfn.XLOOKUP($C272,[1]CRITERIOS!$K$25:$K$42,[1]CRITERIOS!$M$25:$M$42),_xlfn.XLOOKUP($C272,[1]CRITERIOS!$K$25:$K$42,[1]CRITERIOS!$M$25:$M$42))),0),
                    (E272+V272-SUMIF('[1]DATOS PBI Artículos'!A:A,A272,'[1]DATOS PBI Artículos'!X:X)-_xlfn.XLOOKUP(A272,'[1]DATOS PBI Artículos'!A:A,'[1]DATOS PBI Artículos'!W:W))/IF($O272="",$N272,$O272))),0))))</f>
        <v>#N/A</v>
      </c>
      <c r="R272" s="33" t="e">
        <f>IF(U272&lt;&gt;"",U272,IF(F272="DV","MTO",IF(N272=0,"MTO",_xlfn.XLOOKUP(CONCATENATE(S272,T272),[1]CRITERIOS!$K$160:$K$168,[1]CRITERIOS!$N$160:$N$168))))</f>
        <v>#N/A</v>
      </c>
      <c r="S272" s="33" t="e">
        <f>IF(G272="DV","MTO",IF(N272=0,"MTO",IF(OR(AND(N272=0,O272=""),IF(O272="",G272/N272,G272/O272)&gt;[1]CRITERIOS!$G$163),"MTO",IF(IF(O272="",G272/N272,G272/O272)&lt;[1]CRITERIOS!$H$161,"MTS","MTOS"))))</f>
        <v>#N/A</v>
      </c>
      <c r="T272" s="33" t="e">
        <f>IF(F272="DV","MTO",IF(OR(AND($N272=0,O272=""),$F272/$J272&gt;[1]CRITERIOS!$G$170,$F272="DV"),"MTO",IF($F272/$J272&lt;[1]CRITERIOS!$H$168,"MTS","MTOS")))</f>
        <v>#N/A</v>
      </c>
      <c r="V272" s="34" t="e">
        <f t="shared" si="13"/>
        <v>#N/A</v>
      </c>
      <c r="X272" s="34" t="e">
        <f t="shared" si="14"/>
        <v>#N/A</v>
      </c>
      <c r="Y272" s="34" t="e">
        <f t="shared" si="15"/>
        <v>#N/A</v>
      </c>
      <c r="Z272" s="34" t="e">
        <f>IF($R272="MTO",
0,
($H272+$K272*($E272/[1]CRITERIOS!$M$16))/[1]CRITERIOS!$X$48)</f>
        <v>#N/A</v>
      </c>
      <c r="AA272" s="34" t="e">
        <f>ROUNDUP(($Y272/_xlfn.XLOOKUP($A272,'[1]DATOS PBI Artículos'!$A$4:$A$4,'[1]DATOS PBI Artículos'!$Z$4:$Z$4))/_xlfn.XLOOKUP(_xlfn.XLOOKUP($A272,'[1]DATOS PBI Artículos'!$A$4:$A$4,'[1]DATOS PBI Artículos'!$Y$4:$Y$4),[1]CRITERIOS!$P$79:$P$123,[1]CRITERIOS!$S$79:$S$123,),0)</f>
        <v>#N/A</v>
      </c>
      <c r="AB272" s="33" t="e">
        <f t="array" ref="AB272">IF((E272+V272-_xlfn.XLOOKUP(A272,'[1]DATOS PBI Artículos'!$A$4:$A$4,'[1]DATOS PBI Artículos'!$W$4:$W$4))/N272&gt;ROUNDUP([1]CRITERIOS!$M$16/(IF(COUNTIF([1]CRITERIOS!$BG$11:$BG$201,L272)&gt;=1,_xlfn.XLOOKUP(ARTÍCULOS!L272,[1]CRITERIOS!$BG$11:$BG$201,[1]CRITERIOS!$BJ$11:$BJ$201),_xlfn.XLOOKUP(ARTÍCULOS!C272,[1]CRITERIOS!$K$25:$K$42,[1]CRITERIOS!$M$25:$M$42))),0),ROUNDUP([1]CRITERIOS!$M$16/(IF(COUNTIF([1]CRITERIOS!$BG$11:$BG$201,L272)&gt;=1,_xlfn.XLOOKUP(ARTÍCULOS!L272,[1]CRITERIOS!$BG$11:$BG$201:#REF!,[1]CRITERIOS!$BJ$11:$BJ$201),_xlfn.XLOOKUP(ARTÍCULOS!C272,[1]CRITERIOS!$K$25:$K$42,[1]CRITERIOS!$M$25:$M$42))),0),(E272+V272-_xlfn.XLOOKUP(A272,'[1]DATOS PBI Artículos'!$A$4:$A$4,'[1]DATOS PBI Artículos'!$W$4:$W$4))/N272)</f>
        <v>#N/A</v>
      </c>
      <c r="AC272" s="33" t="e">
        <f>IF(N272=0,"",(ROUNDUP((N272/2)/(_xlfn.XLOOKUP(A272,'[1]DATOS PBI Artículos'!$A$4:$A$4,'[1]DATOS PBI Artículos'!$Z$4:$Z$4)*_xlfn.XLOOKUP(_xlfn.XLOOKUP(A272,'[1]DATOS PBI Artículos'!$A$4:$A$4,'[1]DATOS PBI Artículos'!$Y$4:$Y$4),[1]CRITERIOS!$P$79:$P$123,[1]CRITERIOS!$S$79:$S$123)),0)*[1]CRITERIOS!$M$80*([1]CRITERIOS!$M$110/[1]CRITERIOS!$M$86)+(_xlfn.XLOOKUP(A272,'[1]DATOS PBI Artículos'!$A$4:$A$4,'[1]DATOS PBI Artículos'!$AA$4:$AA$4)*([1]CRITERIOS!$M$95+[1]CRITERIOS!$M$98)))/N272)</f>
        <v>#N/A</v>
      </c>
      <c r="AD272" s="33" t="e">
        <f>IF(N272=0,"",(ROUNDUP((N272/2)/(_xlfn.XLOOKUP(A272,'[1]DATOS PBI Artículos'!$A$4:$A$4,'[1]DATOS PBI Artículos'!$Z$4:$Z$4)*_xlfn.XLOOKUP(_xlfn.XLOOKUP(A272,'[1]DATOS PBI Artículos'!$A$4:$A$4,'[1]DATOS PBI Artículos'!$Y$4:$Y$4),[1]CRITERIOS!$P$79:$P$123,[1]CRITERIOS!$S$79:$S$123)),0)*[1]CRITERIOS!$M$80*([1]CRITERIOS!$M$89*[1]CRITERIOS!$M$92)+((_xlfn.XLOOKUP(A272,'[1]DATOS PBI Artículos'!$A$4:$A$4,'[1]DATOS PBI Artículos'!$AA$4:$AA$4)/2)*([1]CRITERIOS!$M$95+[1]CRITERIOS!$M$98)))/N272)</f>
        <v>#N/A</v>
      </c>
      <c r="AE272" s="39" t="e">
        <f>IF($R272="MTO","",
IF($H272=0,ROUNDUP(((_xlfn.XLOOKUP($A272,'[1]DATOS PBI Artículos'!$A:$A,'[1]DATOS PBI Artículos'!$AL:$AL))/(_xlfn.XLOOKUP($AF$1,[1]CRITERIOS!$S$16:$S$39,[1]CRITERIOS!$Y$16:$Y$39))*$J272+$Z272)/$G272,0)*$G272,
((_xlfn.XLOOKUP($A272,'[1]DATOS PBI Artículos'!$A:$A,'[1]DATOS PBI Artículos'!$AL:$AL))/(_xlfn.XLOOKUP($AF$1,[1]CRITERIOS!$S$16:$S$39,[1]CRITERIOS!$Y$16:$Y$39))*$J272+$Z272)))</f>
        <v>#N/A</v>
      </c>
      <c r="AG272" s="39" t="e">
        <f>IF($R272="MTO","",
IF($H272=0,ROUNDUP(((_xlfn.XLOOKUP($A272,'[1]DATOS PBI Artículos'!$A:$A,'[1]DATOS PBI Artículos'!$AM:$AM))/(_xlfn.XLOOKUP($AH$1,[1]CRITERIOS!$S$16:$S$39,[1]CRITERIOS!$Y$16:$Y$39))*$J272+$Z272)/$G272,0)*$G272,
((_xlfn.XLOOKUP($A272,'[1]DATOS PBI Artículos'!$A:$A,'[1]DATOS PBI Artículos'!$AM:$AM))/(_xlfn.XLOOKUP($AH$1,[1]CRITERIOS!$S$16:$S$39,[1]CRITERIOS!$Y$16:$Y$39))*$J272+$Z272)))</f>
        <v>#N/A</v>
      </c>
      <c r="AI272" s="39" t="e">
        <f>IF($R272="MTO","",
IF($H272=0,ROUNDUP(((_xlfn.XLOOKUP($A272,'[1]DATOS PBI Artículos'!$A:$A,'[1]DATOS PBI Artículos'!$AN:$AN))/(_xlfn.XLOOKUP($AJ$1,[1]CRITERIOS!$S$16:$S$39,[1]CRITERIOS!$Y$16:$Y$39))*$J272+$Z272)/$G272,0)*$G272,
((_xlfn.XLOOKUP($A272,'[1]DATOS PBI Artículos'!$A:$A,'[1]DATOS PBI Artículos'!$AN:$AN))/(_xlfn.XLOOKUP($AJ$1,[1]CRITERIOS!$S$16:$S$39,[1]CRITERIOS!$Y$16:$Y$39))*$J272+$Z272)))</f>
        <v>#N/A</v>
      </c>
      <c r="AK272" s="39" t="e">
        <f>IF($R272="MTO","",
IF($H272=0,ROUNDUP(((_xlfn.XLOOKUP($A272,'[1]DATOS PBI Artículos'!$A:$A,'[1]DATOS PBI Artículos'!$AO:$AO))/(_xlfn.XLOOKUP($AL$1,[1]CRITERIOS!$S$16:$S$39,[1]CRITERIOS!$Y$16:$Y$39))*$J272+$Z272)/$G272,0)*$G272,
((_xlfn.XLOOKUP($A272,'[1]DATOS PBI Artículos'!$A:$A,'[1]DATOS PBI Artículos'!$AO:$AO))/(_xlfn.XLOOKUP($AL$1,[1]CRITERIOS!$S$16:$S$39,[1]CRITERIOS!$Y$16:$Y$39))*$J272+$Z272)))</f>
        <v>#N/A</v>
      </c>
    </row>
    <row r="273" spans="1:37" ht="25.8" hidden="1" x14ac:dyDescent="0.4">
      <c r="A273" s="41"/>
      <c r="B273" s="33">
        <f>_xlfn.XLOOKUP($A273,'[1]DATOS PBI Artículos'!A:A,'[1]DATOS PBI Artículos'!B:B)</f>
        <v>0</v>
      </c>
      <c r="C273" s="33">
        <f>_xlfn.XLOOKUP($A273,'[1]DATOS PBI Artículos'!A:A,'[1]DATOS PBI Artículos'!C:C)</f>
        <v>0</v>
      </c>
      <c r="D273" s="33">
        <f>_xlfn.XLOOKUP(A273,'[1]DATOS PBI Artículos'!A:A,'[1]DATOS PBI Artículos'!T:T)</f>
        <v>0</v>
      </c>
      <c r="E273" s="34">
        <f>IF(_xlfn.XLOOKUP($A273,'[1]DATOS PBI Artículos'!A:A,'[1]DATOS PBI Artículos'!AK:AK)="",_xlfn.XLOOKUP($A273,'[1]DATOS PBI Artículos'!A:A,'[1]DATOS PBI Artículos'!AJ:AJ),_xlfn.XLOOKUP($A273,'[1]DATOS PBI Artículos'!A:A,'[1]DATOS PBI Artículos'!AK:AK))</f>
        <v>0</v>
      </c>
      <c r="F273" s="35">
        <f>_xlfn.XLOOKUP($A273,'[1]DATOS PBI Artículos'!A:A,'[1]DATOS PBI Artículos'!AP:AP)</f>
        <v>0</v>
      </c>
      <c r="G273" s="34">
        <f>_xlfn.XLOOKUP($A273,'[1]DATOS PBI Artículos'!A:A,'[1]DATOS PBI Artículos'!AR:AR)</f>
        <v>0</v>
      </c>
      <c r="H273" s="34">
        <f>_xlfn.XLOOKUP($A273,'[1]DATOS PBI Artículos'!A:A,'[1]DATOS PBI Artículos'!AT:AT)</f>
        <v>0</v>
      </c>
      <c r="I273" s="34">
        <f>_xlfn.XLOOKUP($A273,'[1]DATOS PBI Artículos'!A:A,'[1]DATOS PBI Artículos'!AS:AS)</f>
        <v>0</v>
      </c>
      <c r="J273" s="35">
        <f>IF(COUNTIF([1]CRITERIOS!$F$179:$F$199,$A273)&gt;=1,
 IF(O273&lt;&gt;"",
    (O273/_xlfn.XLOOKUP(CONCATENATE(A273,L273),[1]MÁQUINAS!A:A,[1]MÁQUINAS!D:D))/24,
    (N273/_xlfn.XLOOKUP(CONCATENATE(A273,L273),[1]MÁQUINAS!A:A,[1]MÁQUINAS!D:D))/24),
  _xlfn.XLOOKUP($A273,'[1]DATOS PBI Artículos'!A:A,'[1]DATOS PBI Artículos'!AU:AU))</f>
        <v>0</v>
      </c>
      <c r="K273" s="36">
        <f>_xlfn.XLOOKUP($A273,'[1]DATOS PBI Artículos'!A:A,'[1]DATOS PBI Artículos'!AV:AV)</f>
        <v>0</v>
      </c>
      <c r="L273" s="33">
        <f>_xlfn.XLOOKUP(A273,[1]MÁQUINAS!B:B,[1]MÁQUINAS!C:C)</f>
        <v>0</v>
      </c>
      <c r="M273" s="34">
        <f t="array" ref="M273">_xlfn.XLOOKUP(A273,'[1]DATOS PBI Artículos'!A:A,'[1]DATOS PBI Artículos'!AX:$AX)</f>
        <v>0</v>
      </c>
      <c r="N273" s="37" t="e">
        <f>IF(I273="DV",
E273,
IF(COUNTIF([1]CRITERIOS!$I$179:$I$199,$A273)&gt;=1,
_xlfn.XLOOKUP($A273,[1]CRITERIOS!$I$179:$I$199,[1]CRITERIOS!$J$179:$J$199),
IF(COUNTIF([1]CRITERIOS!$L$179:$L$199,$A273)&gt;=1,
_xlfn.CEILING.MATH(IF($M273&gt;$E273,
$E273,
IF($M273&lt;$E273/ROUNDDOWN([1]CRITERIOS!$M$16/_xlfn.XLOOKUP($C273,[1]CRITERIOS!$K$25:$K$42,[1]CRITERIOS!$M$25:$M$42),
1),
E273/ROUNDDOWN([1]CRITERIOS!$M$16/_xlfn.XLOOKUP($C273,[1]CRITERIOS!$K$25:$K$42,[1]CRITERIOS!$M$25:$M$42),
1),
$M273)),
_xlfn.XLOOKUP($A273,[1]CRITERIOS!$L$179:$L$200,[1]CRITERIOS!$M$179:$M$200)),
_xlfn.CEILING.MATH(IF($M273&gt;$E273,
$E273,
IF($M273&lt;$E273/ROUNDDOWN([1]CRITERIOS!$M$16/_xlfn.XLOOKUP($C273,[1]CRITERIOS!$K$25:$K$42,[1]CRITERIOS!$M$25:$M$42),
1),
E273/ROUNDDOWN([1]CRITERIOS!$M$16/_xlfn.XLOOKUP($C273,[1]CRITERIOS!$K$25:$K$42,[1]CRITERIOS!$M$25:$M$42),
1),
$M273)),_xlfn.XLOOKUP(A273,'[1]DATOS PBI Artículos'!A:A,'[1]DATOS PBI Artículos'!Z:Z
)))))</f>
        <v>#N/A</v>
      </c>
      <c r="Q273" s="38" t="e">
        <f>IF(AND(O273="",N273=0),
0,
   IF(COUNTIF([1]CRITERIOS!$F$179:$F$199,$A273)&gt;=1,
   1,
   IF(R273="MTO",
      $D273,
      ROUNDUP(
                    IF(($E273-SUMIF('[1]DATOS PBI Artículos'!A:A,A273,'[1]DATOS PBI Artículos'!X:X)+($V273-_xlfn.XLOOKUP(A273,'[1]DATOS PBI Artículos'!A:A,'[1]DATOS PBI Artículos'!W:W)))&lt;0,
                    0,
                    IF(($E273-SUMIF('[1]DATOS PBI Artículos'!A:A,A273,'[1]DATOS PBI Artículos'!X:X)+$V273-_xlfn.XLOOKUP($A273,'[1]DATOS PBI Artículos'!A:A,'[1]DATOS PBI Artículos'!W:W))/IF($O273="",$N273,$O273)&gt;ROUNDUP([1]CRITERIOS!$M$16/(IF(COUNTIF([1]CRITERIOS!$BG$11:$BG$201,L273)&gt;=1,_xlfn.XLOOKUP($C273,[1]CRITERIOS!$K$25:$K$42,[1]CRITERIOS!$M$25:$M$42),_xlfn.XLOOKUP($C273,[1]CRITERIOS!$K$25:$K$42,[1]CRITERIOS!$M$25:$M$42))),0),
                    ROUNDUP([1]CRITERIOS!$M$16/(IF(COUNTIF([1]CRITERIOS!$BG$11:$BG$201,$L273)&gt;=1,_xlfn.XLOOKUP($C273,[1]CRITERIOS!$K$25:$K$42,[1]CRITERIOS!$M$25:$M$42),_xlfn.XLOOKUP($C273,[1]CRITERIOS!$K$25:$K$42,[1]CRITERIOS!$M$25:$M$42))),0),
                    (E273+V273-SUMIF('[1]DATOS PBI Artículos'!A:A,A273,'[1]DATOS PBI Artículos'!X:X)-_xlfn.XLOOKUP(A273,'[1]DATOS PBI Artículos'!A:A,'[1]DATOS PBI Artículos'!W:W))/IF($O273="",$N273,$O273))),0))))</f>
        <v>#N/A</v>
      </c>
      <c r="R273" s="33" t="e">
        <f>IF(U273&lt;&gt;"",U273,IF(F273="DV","MTO",IF(N273=0,"MTO",_xlfn.XLOOKUP(CONCATENATE(S273,T273),[1]CRITERIOS!$K$160:$K$168,[1]CRITERIOS!$N$160:$N$168))))</f>
        <v>#N/A</v>
      </c>
      <c r="S273" s="33" t="e">
        <f>IF(G273="DV","MTO",IF(N273=0,"MTO",IF(OR(AND(N273=0,O273=""),IF(O273="",G273/N273,G273/O273)&gt;[1]CRITERIOS!$G$163),"MTO",IF(IF(O273="",G273/N273,G273/O273)&lt;[1]CRITERIOS!$H$161,"MTS","MTOS"))))</f>
        <v>#N/A</v>
      </c>
      <c r="T273" s="33" t="e">
        <f>IF(F273="DV","MTO",IF(OR(AND($N273=0,O273=""),$F273/$J273&gt;[1]CRITERIOS!$G$170,$F273="DV"),"MTO",IF($F273/$J273&lt;[1]CRITERIOS!$H$168,"MTS","MTOS")))</f>
        <v>#N/A</v>
      </c>
      <c r="V273" s="34" t="e">
        <f t="shared" si="13"/>
        <v>#N/A</v>
      </c>
      <c r="X273" s="34" t="e">
        <f t="shared" si="14"/>
        <v>#N/A</v>
      </c>
      <c r="Y273" s="34" t="e">
        <f t="shared" si="15"/>
        <v>#N/A</v>
      </c>
      <c r="Z273" s="34" t="e">
        <f>IF($R273="MTO",
0,
($H273+$K273*($E273/[1]CRITERIOS!$M$16))/[1]CRITERIOS!$X$48)</f>
        <v>#N/A</v>
      </c>
      <c r="AA273" s="34" t="e">
        <f>ROUNDUP(($Y273/_xlfn.XLOOKUP($A273,'[1]DATOS PBI Artículos'!$A$4:$A$4,'[1]DATOS PBI Artículos'!$Z$4:$Z$4))/_xlfn.XLOOKUP(_xlfn.XLOOKUP($A273,'[1]DATOS PBI Artículos'!$A$4:$A$4,'[1]DATOS PBI Artículos'!$Y$4:$Y$4),[1]CRITERIOS!$P$79:$P$123,[1]CRITERIOS!$S$79:$S$123,),0)</f>
        <v>#N/A</v>
      </c>
      <c r="AB273" s="33" t="e">
        <f t="array" ref="AB273">IF((E273+V273-_xlfn.XLOOKUP(A273,'[1]DATOS PBI Artículos'!$A$4:$A$4,'[1]DATOS PBI Artículos'!$W$4:$W$4))/N273&gt;ROUNDUP([1]CRITERIOS!$M$16/(IF(COUNTIF([1]CRITERIOS!$BG$11:$BG$201,L273)&gt;=1,_xlfn.XLOOKUP(ARTÍCULOS!L273,[1]CRITERIOS!$BG$11:$BG$201,[1]CRITERIOS!$BJ$11:$BJ$201),_xlfn.XLOOKUP(ARTÍCULOS!C273,[1]CRITERIOS!$K$25:$K$42,[1]CRITERIOS!$M$25:$M$42))),0),ROUNDUP([1]CRITERIOS!$M$16/(IF(COUNTIF([1]CRITERIOS!$BG$11:$BG$201,L273)&gt;=1,_xlfn.XLOOKUP(ARTÍCULOS!L273,[1]CRITERIOS!$BG$11:$BG$201:#REF!,[1]CRITERIOS!$BJ$11:$BJ$201),_xlfn.XLOOKUP(ARTÍCULOS!C273,[1]CRITERIOS!$K$25:$K$42,[1]CRITERIOS!$M$25:$M$42))),0),(E273+V273-_xlfn.XLOOKUP(A273,'[1]DATOS PBI Artículos'!$A$4:$A$4,'[1]DATOS PBI Artículos'!$W$4:$W$4))/N273)</f>
        <v>#N/A</v>
      </c>
      <c r="AC273" s="33" t="e">
        <f>IF(N273=0,"",(ROUNDUP((N273/2)/(_xlfn.XLOOKUP(A273,'[1]DATOS PBI Artículos'!$A$4:$A$4,'[1]DATOS PBI Artículos'!$Z$4:$Z$4)*_xlfn.XLOOKUP(_xlfn.XLOOKUP(A273,'[1]DATOS PBI Artículos'!$A$4:$A$4,'[1]DATOS PBI Artículos'!$Y$4:$Y$4),[1]CRITERIOS!$P$79:$P$123,[1]CRITERIOS!$S$79:$S$123)),0)*[1]CRITERIOS!$M$80*([1]CRITERIOS!$M$110/[1]CRITERIOS!$M$86)+(_xlfn.XLOOKUP(A273,'[1]DATOS PBI Artículos'!$A$4:$A$4,'[1]DATOS PBI Artículos'!$AA$4:$AA$4)*([1]CRITERIOS!$M$95+[1]CRITERIOS!$M$98)))/N273)</f>
        <v>#N/A</v>
      </c>
      <c r="AD273" s="33" t="e">
        <f>IF(N273=0,"",(ROUNDUP((N273/2)/(_xlfn.XLOOKUP(A273,'[1]DATOS PBI Artículos'!$A$4:$A$4,'[1]DATOS PBI Artículos'!$Z$4:$Z$4)*_xlfn.XLOOKUP(_xlfn.XLOOKUP(A273,'[1]DATOS PBI Artículos'!$A$4:$A$4,'[1]DATOS PBI Artículos'!$Y$4:$Y$4),[1]CRITERIOS!$P$79:$P$123,[1]CRITERIOS!$S$79:$S$123)),0)*[1]CRITERIOS!$M$80*([1]CRITERIOS!$M$89*[1]CRITERIOS!$M$92)+((_xlfn.XLOOKUP(A273,'[1]DATOS PBI Artículos'!$A$4:$A$4,'[1]DATOS PBI Artículos'!$AA$4:$AA$4)/2)*([1]CRITERIOS!$M$95+[1]CRITERIOS!$M$98)))/N273)</f>
        <v>#N/A</v>
      </c>
      <c r="AE273" s="39" t="e">
        <f>IF($R273="MTO","",
IF($H273=0,ROUNDUP(((_xlfn.XLOOKUP($A273,'[1]DATOS PBI Artículos'!$A:$A,'[1]DATOS PBI Artículos'!$AL:$AL))/(_xlfn.XLOOKUP($AF$1,[1]CRITERIOS!$S$16:$S$39,[1]CRITERIOS!$Y$16:$Y$39))*$J273+$Z273)/$G273,0)*$G273,
((_xlfn.XLOOKUP($A273,'[1]DATOS PBI Artículos'!$A:$A,'[1]DATOS PBI Artículos'!$AL:$AL))/(_xlfn.XLOOKUP($AF$1,[1]CRITERIOS!$S$16:$S$39,[1]CRITERIOS!$Y$16:$Y$39))*$J273+$Z273)))</f>
        <v>#N/A</v>
      </c>
      <c r="AG273" s="39" t="e">
        <f>IF($R273="MTO","",
IF($H273=0,ROUNDUP(((_xlfn.XLOOKUP($A273,'[1]DATOS PBI Artículos'!$A:$A,'[1]DATOS PBI Artículos'!$AM:$AM))/(_xlfn.XLOOKUP($AH$1,[1]CRITERIOS!$S$16:$S$39,[1]CRITERIOS!$Y$16:$Y$39))*$J273+$Z273)/$G273,0)*$G273,
((_xlfn.XLOOKUP($A273,'[1]DATOS PBI Artículos'!$A:$A,'[1]DATOS PBI Artículos'!$AM:$AM))/(_xlfn.XLOOKUP($AH$1,[1]CRITERIOS!$S$16:$S$39,[1]CRITERIOS!$Y$16:$Y$39))*$J273+$Z273)))</f>
        <v>#N/A</v>
      </c>
      <c r="AI273" s="39" t="e">
        <f>IF($R273="MTO","",
IF($H273=0,ROUNDUP(((_xlfn.XLOOKUP($A273,'[1]DATOS PBI Artículos'!$A:$A,'[1]DATOS PBI Artículos'!$AN:$AN))/(_xlfn.XLOOKUP($AJ$1,[1]CRITERIOS!$S$16:$S$39,[1]CRITERIOS!$Y$16:$Y$39))*$J273+$Z273)/$G273,0)*$G273,
((_xlfn.XLOOKUP($A273,'[1]DATOS PBI Artículos'!$A:$A,'[1]DATOS PBI Artículos'!$AN:$AN))/(_xlfn.XLOOKUP($AJ$1,[1]CRITERIOS!$S$16:$S$39,[1]CRITERIOS!$Y$16:$Y$39))*$J273+$Z273)))</f>
        <v>#N/A</v>
      </c>
      <c r="AK273" s="39" t="e">
        <f>IF($R273="MTO","",
IF($H273=0,ROUNDUP(((_xlfn.XLOOKUP($A273,'[1]DATOS PBI Artículos'!$A:$A,'[1]DATOS PBI Artículos'!$AO:$AO))/(_xlfn.XLOOKUP($AL$1,[1]CRITERIOS!$S$16:$S$39,[1]CRITERIOS!$Y$16:$Y$39))*$J273+$Z273)/$G273,0)*$G273,
((_xlfn.XLOOKUP($A273,'[1]DATOS PBI Artículos'!$A:$A,'[1]DATOS PBI Artículos'!$AO:$AO))/(_xlfn.XLOOKUP($AL$1,[1]CRITERIOS!$S$16:$S$39,[1]CRITERIOS!$Y$16:$Y$39))*$J273+$Z273)))</f>
        <v>#N/A</v>
      </c>
    </row>
    <row r="274" spans="1:37" ht="25.8" hidden="1" x14ac:dyDescent="0.4">
      <c r="A274" s="41"/>
      <c r="B274" s="33">
        <f>_xlfn.XLOOKUP($A274,'[1]DATOS PBI Artículos'!A:A,'[1]DATOS PBI Artículos'!B:B)</f>
        <v>0</v>
      </c>
      <c r="C274" s="33">
        <f>_xlfn.XLOOKUP($A274,'[1]DATOS PBI Artículos'!A:A,'[1]DATOS PBI Artículos'!C:C)</f>
        <v>0</v>
      </c>
      <c r="D274" s="33">
        <f>_xlfn.XLOOKUP(A274,'[1]DATOS PBI Artículos'!A:A,'[1]DATOS PBI Artículos'!T:T)</f>
        <v>0</v>
      </c>
      <c r="E274" s="34">
        <f>IF(_xlfn.XLOOKUP($A274,'[1]DATOS PBI Artículos'!A:A,'[1]DATOS PBI Artículos'!AK:AK)="",_xlfn.XLOOKUP($A274,'[1]DATOS PBI Artículos'!A:A,'[1]DATOS PBI Artículos'!AJ:AJ),_xlfn.XLOOKUP($A274,'[1]DATOS PBI Artículos'!A:A,'[1]DATOS PBI Artículos'!AK:AK))</f>
        <v>0</v>
      </c>
      <c r="F274" s="35">
        <f>_xlfn.XLOOKUP($A274,'[1]DATOS PBI Artículos'!A:A,'[1]DATOS PBI Artículos'!AP:AP)</f>
        <v>0</v>
      </c>
      <c r="G274" s="34">
        <f>_xlfn.XLOOKUP($A274,'[1]DATOS PBI Artículos'!A:A,'[1]DATOS PBI Artículos'!AR:AR)</f>
        <v>0</v>
      </c>
      <c r="H274" s="34">
        <f>_xlfn.XLOOKUP($A274,'[1]DATOS PBI Artículos'!A:A,'[1]DATOS PBI Artículos'!AT:AT)</f>
        <v>0</v>
      </c>
      <c r="I274" s="34">
        <f>_xlfn.XLOOKUP($A274,'[1]DATOS PBI Artículos'!A:A,'[1]DATOS PBI Artículos'!AS:AS)</f>
        <v>0</v>
      </c>
      <c r="J274" s="35">
        <f>IF(COUNTIF([1]CRITERIOS!$F$179:$F$199,$A274)&gt;=1,
 IF(O274&lt;&gt;"",
    (O274/_xlfn.XLOOKUP(CONCATENATE(A274,L274),[1]MÁQUINAS!A:A,[1]MÁQUINAS!D:D))/24,
    (N274/_xlfn.XLOOKUP(CONCATENATE(A274,L274),[1]MÁQUINAS!A:A,[1]MÁQUINAS!D:D))/24),
  _xlfn.XLOOKUP($A274,'[1]DATOS PBI Artículos'!A:A,'[1]DATOS PBI Artículos'!AU:AU))</f>
        <v>0</v>
      </c>
      <c r="K274" s="36">
        <f>_xlfn.XLOOKUP($A274,'[1]DATOS PBI Artículos'!A:A,'[1]DATOS PBI Artículos'!AV:AV)</f>
        <v>0</v>
      </c>
      <c r="L274" s="33">
        <f>_xlfn.XLOOKUP(A274,[1]MÁQUINAS!B:B,[1]MÁQUINAS!C:C)</f>
        <v>0</v>
      </c>
      <c r="M274" s="34">
        <f t="array" ref="M274">_xlfn.XLOOKUP(A274,'[1]DATOS PBI Artículos'!A:A,'[1]DATOS PBI Artículos'!AX:$AX)</f>
        <v>0</v>
      </c>
      <c r="N274" s="37" t="e">
        <f>IF(I274="DV",
E274,
IF(COUNTIF([1]CRITERIOS!$I$179:$I$199,$A274)&gt;=1,
_xlfn.XLOOKUP($A274,[1]CRITERIOS!$I$179:$I$199,[1]CRITERIOS!$J$179:$J$199),
IF(COUNTIF([1]CRITERIOS!$L$179:$L$199,$A274)&gt;=1,
_xlfn.CEILING.MATH(IF($M274&gt;$E274,
$E274,
IF($M274&lt;$E274/ROUNDDOWN([1]CRITERIOS!$M$16/_xlfn.XLOOKUP($C274,[1]CRITERIOS!$K$25:$K$42,[1]CRITERIOS!$M$25:$M$42),
1),
E274/ROUNDDOWN([1]CRITERIOS!$M$16/_xlfn.XLOOKUP($C274,[1]CRITERIOS!$K$25:$K$42,[1]CRITERIOS!$M$25:$M$42),
1),
$M274)),
_xlfn.XLOOKUP($A274,[1]CRITERIOS!$L$179:$L$200,[1]CRITERIOS!$M$179:$M$200)),
_xlfn.CEILING.MATH(IF($M274&gt;$E274,
$E274,
IF($M274&lt;$E274/ROUNDDOWN([1]CRITERIOS!$M$16/_xlfn.XLOOKUP($C274,[1]CRITERIOS!$K$25:$K$42,[1]CRITERIOS!$M$25:$M$42),
1),
E274/ROUNDDOWN([1]CRITERIOS!$M$16/_xlfn.XLOOKUP($C274,[1]CRITERIOS!$K$25:$K$42,[1]CRITERIOS!$M$25:$M$42),
1),
$M274)),_xlfn.XLOOKUP(A274,'[1]DATOS PBI Artículos'!A:A,'[1]DATOS PBI Artículos'!Z:Z
)))))</f>
        <v>#N/A</v>
      </c>
      <c r="Q274" s="38" t="e">
        <f>IF(AND(O274="",N274=0),
0,
   IF(COUNTIF([1]CRITERIOS!$F$179:$F$199,$A274)&gt;=1,
   1,
   IF(R274="MTO",
      $D274,
      ROUNDUP(
                    IF(($E274-SUMIF('[1]DATOS PBI Artículos'!A:A,A274,'[1]DATOS PBI Artículos'!X:X)+($V274-_xlfn.XLOOKUP(A274,'[1]DATOS PBI Artículos'!A:A,'[1]DATOS PBI Artículos'!W:W)))&lt;0,
                    0,
                    IF(($E274-SUMIF('[1]DATOS PBI Artículos'!A:A,A274,'[1]DATOS PBI Artículos'!X:X)+$V274-_xlfn.XLOOKUP($A274,'[1]DATOS PBI Artículos'!A:A,'[1]DATOS PBI Artículos'!W:W))/IF($O274="",$N274,$O274)&gt;ROUNDUP([1]CRITERIOS!$M$16/(IF(COUNTIF([1]CRITERIOS!$BG$11:$BG$201,L274)&gt;=1,_xlfn.XLOOKUP($C274,[1]CRITERIOS!$K$25:$K$42,[1]CRITERIOS!$M$25:$M$42),_xlfn.XLOOKUP($C274,[1]CRITERIOS!$K$25:$K$42,[1]CRITERIOS!$M$25:$M$42))),0),
                    ROUNDUP([1]CRITERIOS!$M$16/(IF(COUNTIF([1]CRITERIOS!$BG$11:$BG$201,$L274)&gt;=1,_xlfn.XLOOKUP($C274,[1]CRITERIOS!$K$25:$K$42,[1]CRITERIOS!$M$25:$M$42),_xlfn.XLOOKUP($C274,[1]CRITERIOS!$K$25:$K$42,[1]CRITERIOS!$M$25:$M$42))),0),
                    (E274+V274-SUMIF('[1]DATOS PBI Artículos'!A:A,A274,'[1]DATOS PBI Artículos'!X:X)-_xlfn.XLOOKUP(A274,'[1]DATOS PBI Artículos'!A:A,'[1]DATOS PBI Artículos'!W:W))/IF($O274="",$N274,$O274))),0))))</f>
        <v>#N/A</v>
      </c>
      <c r="R274" s="33" t="e">
        <f>IF(U274&lt;&gt;"",U274,IF(F274="DV","MTO",IF(N274=0,"MTO",_xlfn.XLOOKUP(CONCATENATE(S274,T274),[1]CRITERIOS!$K$160:$K$168,[1]CRITERIOS!$N$160:$N$168))))</f>
        <v>#N/A</v>
      </c>
      <c r="S274" s="33" t="e">
        <f>IF(G274="DV","MTO",IF(N274=0,"MTO",IF(OR(AND(N274=0,O274=""),IF(O274="",G274/N274,G274/O274)&gt;[1]CRITERIOS!$G$163),"MTO",IF(IF(O274="",G274/N274,G274/O274)&lt;[1]CRITERIOS!$H$161,"MTS","MTOS"))))</f>
        <v>#N/A</v>
      </c>
      <c r="T274" s="33" t="e">
        <f>IF(F274="DV","MTO",IF(OR(AND($N274=0,O274=""),$F274/$J274&gt;[1]CRITERIOS!$G$170,$F274="DV"),"MTO",IF($F274/$J274&lt;[1]CRITERIOS!$H$168,"MTS","MTOS")))</f>
        <v>#N/A</v>
      </c>
      <c r="V274" s="34" t="e">
        <f t="shared" si="13"/>
        <v>#N/A</v>
      </c>
      <c r="X274" s="34" t="e">
        <f t="shared" si="14"/>
        <v>#N/A</v>
      </c>
      <c r="Y274" s="34" t="e">
        <f t="shared" si="15"/>
        <v>#N/A</v>
      </c>
      <c r="Z274" s="34" t="e">
        <f>IF($R274="MTO",
0,
($H274+$K274*($E274/[1]CRITERIOS!$M$16))/[1]CRITERIOS!$X$48)</f>
        <v>#N/A</v>
      </c>
      <c r="AA274" s="34" t="e">
        <f>ROUNDUP(($Y274/_xlfn.XLOOKUP($A274,'[1]DATOS PBI Artículos'!$A$4:$A$4,'[1]DATOS PBI Artículos'!$Z$4:$Z$4))/_xlfn.XLOOKUP(_xlfn.XLOOKUP($A274,'[1]DATOS PBI Artículos'!$A$4:$A$4,'[1]DATOS PBI Artículos'!$Y$4:$Y$4),[1]CRITERIOS!$P$79:$P$123,[1]CRITERIOS!$S$79:$S$123,),0)</f>
        <v>#N/A</v>
      </c>
      <c r="AB274" s="33" t="e">
        <f t="array" ref="AB274">IF((E274+V274-_xlfn.XLOOKUP(A274,'[1]DATOS PBI Artículos'!$A$4:$A$4,'[1]DATOS PBI Artículos'!$W$4:$W$4))/N274&gt;ROUNDUP([1]CRITERIOS!$M$16/(IF(COUNTIF([1]CRITERIOS!$BG$11:$BG$201,L274)&gt;=1,_xlfn.XLOOKUP(ARTÍCULOS!L274,[1]CRITERIOS!$BG$11:$BG$201,[1]CRITERIOS!$BJ$11:$BJ$201),_xlfn.XLOOKUP(ARTÍCULOS!C274,[1]CRITERIOS!$K$25:$K$42,[1]CRITERIOS!$M$25:$M$42))),0),ROUNDUP([1]CRITERIOS!$M$16/(IF(COUNTIF([1]CRITERIOS!$BG$11:$BG$201,L274)&gt;=1,_xlfn.XLOOKUP(ARTÍCULOS!L274,[1]CRITERIOS!$BG$11:$BG$201:#REF!,[1]CRITERIOS!$BJ$11:$BJ$201),_xlfn.XLOOKUP(ARTÍCULOS!C274,[1]CRITERIOS!$K$25:$K$42,[1]CRITERIOS!$M$25:$M$42))),0),(E274+V274-_xlfn.XLOOKUP(A274,'[1]DATOS PBI Artículos'!$A$4:$A$4,'[1]DATOS PBI Artículos'!$W$4:$W$4))/N274)</f>
        <v>#N/A</v>
      </c>
      <c r="AC274" s="33" t="e">
        <f>IF(N274=0,"",(ROUNDUP((N274/2)/(_xlfn.XLOOKUP(A274,'[1]DATOS PBI Artículos'!$A$4:$A$4,'[1]DATOS PBI Artículos'!$Z$4:$Z$4)*_xlfn.XLOOKUP(_xlfn.XLOOKUP(A274,'[1]DATOS PBI Artículos'!$A$4:$A$4,'[1]DATOS PBI Artículos'!$Y$4:$Y$4),[1]CRITERIOS!$P$79:$P$123,[1]CRITERIOS!$S$79:$S$123)),0)*[1]CRITERIOS!$M$80*([1]CRITERIOS!$M$110/[1]CRITERIOS!$M$86)+(_xlfn.XLOOKUP(A274,'[1]DATOS PBI Artículos'!$A$4:$A$4,'[1]DATOS PBI Artículos'!$AA$4:$AA$4)*([1]CRITERIOS!$M$95+[1]CRITERIOS!$M$98)))/N274)</f>
        <v>#N/A</v>
      </c>
      <c r="AD274" s="33" t="e">
        <f>IF(N274=0,"",(ROUNDUP((N274/2)/(_xlfn.XLOOKUP(A274,'[1]DATOS PBI Artículos'!$A$4:$A$4,'[1]DATOS PBI Artículos'!$Z$4:$Z$4)*_xlfn.XLOOKUP(_xlfn.XLOOKUP(A274,'[1]DATOS PBI Artículos'!$A$4:$A$4,'[1]DATOS PBI Artículos'!$Y$4:$Y$4),[1]CRITERIOS!$P$79:$P$123,[1]CRITERIOS!$S$79:$S$123)),0)*[1]CRITERIOS!$M$80*([1]CRITERIOS!$M$89*[1]CRITERIOS!$M$92)+((_xlfn.XLOOKUP(A274,'[1]DATOS PBI Artículos'!$A$4:$A$4,'[1]DATOS PBI Artículos'!$AA$4:$AA$4)/2)*([1]CRITERIOS!$M$95+[1]CRITERIOS!$M$98)))/N274)</f>
        <v>#N/A</v>
      </c>
      <c r="AE274" s="39" t="e">
        <f>IF($R274="MTO","",
IF($H274=0,ROUNDUP(((_xlfn.XLOOKUP($A274,'[1]DATOS PBI Artículos'!$A:$A,'[1]DATOS PBI Artículos'!$AL:$AL))/(_xlfn.XLOOKUP($AF$1,[1]CRITERIOS!$S$16:$S$39,[1]CRITERIOS!$Y$16:$Y$39))*$J274+$Z274)/$G274,0)*$G274,
((_xlfn.XLOOKUP($A274,'[1]DATOS PBI Artículos'!$A:$A,'[1]DATOS PBI Artículos'!$AL:$AL))/(_xlfn.XLOOKUP($AF$1,[1]CRITERIOS!$S$16:$S$39,[1]CRITERIOS!$Y$16:$Y$39))*$J274+$Z274)))</f>
        <v>#N/A</v>
      </c>
      <c r="AG274" s="39" t="e">
        <f>IF($R274="MTO","",
IF($H274=0,ROUNDUP(((_xlfn.XLOOKUP($A274,'[1]DATOS PBI Artículos'!$A:$A,'[1]DATOS PBI Artículos'!$AM:$AM))/(_xlfn.XLOOKUP($AH$1,[1]CRITERIOS!$S$16:$S$39,[1]CRITERIOS!$Y$16:$Y$39))*$J274+$Z274)/$G274,0)*$G274,
((_xlfn.XLOOKUP($A274,'[1]DATOS PBI Artículos'!$A:$A,'[1]DATOS PBI Artículos'!$AM:$AM))/(_xlfn.XLOOKUP($AH$1,[1]CRITERIOS!$S$16:$S$39,[1]CRITERIOS!$Y$16:$Y$39))*$J274+$Z274)))</f>
        <v>#N/A</v>
      </c>
      <c r="AI274" s="39" t="e">
        <f>IF($R274="MTO","",
IF($H274=0,ROUNDUP(((_xlfn.XLOOKUP($A274,'[1]DATOS PBI Artículos'!$A:$A,'[1]DATOS PBI Artículos'!$AN:$AN))/(_xlfn.XLOOKUP($AJ$1,[1]CRITERIOS!$S$16:$S$39,[1]CRITERIOS!$Y$16:$Y$39))*$J274+$Z274)/$G274,0)*$G274,
((_xlfn.XLOOKUP($A274,'[1]DATOS PBI Artículos'!$A:$A,'[1]DATOS PBI Artículos'!$AN:$AN))/(_xlfn.XLOOKUP($AJ$1,[1]CRITERIOS!$S$16:$S$39,[1]CRITERIOS!$Y$16:$Y$39))*$J274+$Z274)))</f>
        <v>#N/A</v>
      </c>
      <c r="AK274" s="39" t="e">
        <f>IF($R274="MTO","",
IF($H274=0,ROUNDUP(((_xlfn.XLOOKUP($A274,'[1]DATOS PBI Artículos'!$A:$A,'[1]DATOS PBI Artículos'!$AO:$AO))/(_xlfn.XLOOKUP($AL$1,[1]CRITERIOS!$S$16:$S$39,[1]CRITERIOS!$Y$16:$Y$39))*$J274+$Z274)/$G274,0)*$G274,
((_xlfn.XLOOKUP($A274,'[1]DATOS PBI Artículos'!$A:$A,'[1]DATOS PBI Artículos'!$AO:$AO))/(_xlfn.XLOOKUP($AL$1,[1]CRITERIOS!$S$16:$S$39,[1]CRITERIOS!$Y$16:$Y$39))*$J274+$Z274)))</f>
        <v>#N/A</v>
      </c>
    </row>
    <row r="275" spans="1:37" ht="25.8" hidden="1" x14ac:dyDescent="0.4">
      <c r="A275" s="41"/>
      <c r="B275" s="33">
        <f>_xlfn.XLOOKUP($A275,'[1]DATOS PBI Artículos'!A:A,'[1]DATOS PBI Artículos'!B:B)</f>
        <v>0</v>
      </c>
      <c r="C275" s="33">
        <f>_xlfn.XLOOKUP($A275,'[1]DATOS PBI Artículos'!A:A,'[1]DATOS PBI Artículos'!C:C)</f>
        <v>0</v>
      </c>
      <c r="D275" s="33">
        <f>_xlfn.XLOOKUP(A275,'[1]DATOS PBI Artículos'!A:A,'[1]DATOS PBI Artículos'!T:T)</f>
        <v>0</v>
      </c>
      <c r="E275" s="34">
        <f>IF(_xlfn.XLOOKUP($A275,'[1]DATOS PBI Artículos'!A:A,'[1]DATOS PBI Artículos'!AK:AK)="",_xlfn.XLOOKUP($A275,'[1]DATOS PBI Artículos'!A:A,'[1]DATOS PBI Artículos'!AJ:AJ),_xlfn.XLOOKUP($A275,'[1]DATOS PBI Artículos'!A:A,'[1]DATOS PBI Artículos'!AK:AK))</f>
        <v>0</v>
      </c>
      <c r="F275" s="35">
        <f>_xlfn.XLOOKUP($A275,'[1]DATOS PBI Artículos'!A:A,'[1]DATOS PBI Artículos'!AP:AP)</f>
        <v>0</v>
      </c>
      <c r="G275" s="34">
        <f>_xlfn.XLOOKUP($A275,'[1]DATOS PBI Artículos'!A:A,'[1]DATOS PBI Artículos'!AR:AR)</f>
        <v>0</v>
      </c>
      <c r="H275" s="34">
        <f>_xlfn.XLOOKUP($A275,'[1]DATOS PBI Artículos'!A:A,'[1]DATOS PBI Artículos'!AT:AT)</f>
        <v>0</v>
      </c>
      <c r="I275" s="34">
        <f>_xlfn.XLOOKUP($A275,'[1]DATOS PBI Artículos'!A:A,'[1]DATOS PBI Artículos'!AS:AS)</f>
        <v>0</v>
      </c>
      <c r="J275" s="35">
        <f>IF(COUNTIF([1]CRITERIOS!$F$179:$F$199,$A275)&gt;=1,
 IF(O275&lt;&gt;"",
    (O275/_xlfn.XLOOKUP(CONCATENATE(A275,L275),[1]MÁQUINAS!A:A,[1]MÁQUINAS!D:D))/24,
    (N275/_xlfn.XLOOKUP(CONCATENATE(A275,L275),[1]MÁQUINAS!A:A,[1]MÁQUINAS!D:D))/24),
  _xlfn.XLOOKUP($A275,'[1]DATOS PBI Artículos'!A:A,'[1]DATOS PBI Artículos'!AU:AU))</f>
        <v>0</v>
      </c>
      <c r="K275" s="36">
        <f>_xlfn.XLOOKUP($A275,'[1]DATOS PBI Artículos'!A:A,'[1]DATOS PBI Artículos'!AV:AV)</f>
        <v>0</v>
      </c>
      <c r="L275" s="33">
        <f>_xlfn.XLOOKUP(A275,[1]MÁQUINAS!B:B,[1]MÁQUINAS!C:C)</f>
        <v>0</v>
      </c>
      <c r="M275" s="34">
        <f t="array" ref="M275">_xlfn.XLOOKUP(A275,'[1]DATOS PBI Artículos'!A:A,'[1]DATOS PBI Artículos'!AX:$AX)</f>
        <v>0</v>
      </c>
      <c r="N275" s="37" t="e">
        <f>IF(I275="DV",
E275,
IF(COUNTIF([1]CRITERIOS!$I$179:$I$199,$A275)&gt;=1,
_xlfn.XLOOKUP($A275,[1]CRITERIOS!$I$179:$I$199,[1]CRITERIOS!$J$179:$J$199),
IF(COUNTIF([1]CRITERIOS!$L$179:$L$199,$A275)&gt;=1,
_xlfn.CEILING.MATH(IF($M275&gt;$E275,
$E275,
IF($M275&lt;$E275/ROUNDDOWN([1]CRITERIOS!$M$16/_xlfn.XLOOKUP($C275,[1]CRITERIOS!$K$25:$K$42,[1]CRITERIOS!$M$25:$M$42),
1),
E275/ROUNDDOWN([1]CRITERIOS!$M$16/_xlfn.XLOOKUP($C275,[1]CRITERIOS!$K$25:$K$42,[1]CRITERIOS!$M$25:$M$42),
1),
$M275)),
_xlfn.XLOOKUP($A275,[1]CRITERIOS!$L$179:$L$200,[1]CRITERIOS!$M$179:$M$200)),
_xlfn.CEILING.MATH(IF($M275&gt;$E275,
$E275,
IF($M275&lt;$E275/ROUNDDOWN([1]CRITERIOS!$M$16/_xlfn.XLOOKUP($C275,[1]CRITERIOS!$K$25:$K$42,[1]CRITERIOS!$M$25:$M$42),
1),
E275/ROUNDDOWN([1]CRITERIOS!$M$16/_xlfn.XLOOKUP($C275,[1]CRITERIOS!$K$25:$K$42,[1]CRITERIOS!$M$25:$M$42),
1),
$M275)),_xlfn.XLOOKUP(A275,'[1]DATOS PBI Artículos'!A:A,'[1]DATOS PBI Artículos'!Z:Z
)))))</f>
        <v>#N/A</v>
      </c>
      <c r="Q275" s="38" t="e">
        <f>IF(AND(O275="",N275=0),
0,
   IF(COUNTIF([1]CRITERIOS!$F$179:$F$199,$A275)&gt;=1,
   1,
   IF(R275="MTO",
      $D275,
      ROUNDUP(
                    IF(($E275-SUMIF('[1]DATOS PBI Artículos'!A:A,A275,'[1]DATOS PBI Artículos'!X:X)+($V275-_xlfn.XLOOKUP(A275,'[1]DATOS PBI Artículos'!A:A,'[1]DATOS PBI Artículos'!W:W)))&lt;0,
                    0,
                    IF(($E275-SUMIF('[1]DATOS PBI Artículos'!A:A,A275,'[1]DATOS PBI Artículos'!X:X)+$V275-_xlfn.XLOOKUP($A275,'[1]DATOS PBI Artículos'!A:A,'[1]DATOS PBI Artículos'!W:W))/IF($O275="",$N275,$O275)&gt;ROUNDUP([1]CRITERIOS!$M$16/(IF(COUNTIF([1]CRITERIOS!$BG$11:$BG$201,L275)&gt;=1,_xlfn.XLOOKUP($C275,[1]CRITERIOS!$K$25:$K$42,[1]CRITERIOS!$M$25:$M$42),_xlfn.XLOOKUP($C275,[1]CRITERIOS!$K$25:$K$42,[1]CRITERIOS!$M$25:$M$42))),0),
                    ROUNDUP([1]CRITERIOS!$M$16/(IF(COUNTIF([1]CRITERIOS!$BG$11:$BG$201,$L275)&gt;=1,_xlfn.XLOOKUP($C275,[1]CRITERIOS!$K$25:$K$42,[1]CRITERIOS!$M$25:$M$42),_xlfn.XLOOKUP($C275,[1]CRITERIOS!$K$25:$K$42,[1]CRITERIOS!$M$25:$M$42))),0),
                    (E275+V275-SUMIF('[1]DATOS PBI Artículos'!A:A,A275,'[1]DATOS PBI Artículos'!X:X)-_xlfn.XLOOKUP(A275,'[1]DATOS PBI Artículos'!A:A,'[1]DATOS PBI Artículos'!W:W))/IF($O275="",$N275,$O275))),0))))</f>
        <v>#N/A</v>
      </c>
      <c r="R275" s="33" t="e">
        <f>IF(U275&lt;&gt;"",U275,IF(F275="DV","MTO",IF(N275=0,"MTO",_xlfn.XLOOKUP(CONCATENATE(S275,T275),[1]CRITERIOS!$K$160:$K$168,[1]CRITERIOS!$N$160:$N$168))))</f>
        <v>#N/A</v>
      </c>
      <c r="S275" s="33" t="e">
        <f>IF(G275="DV","MTO",IF(N275=0,"MTO",IF(OR(AND(N275=0,O275=""),IF(O275="",G275/N275,G275/O275)&gt;[1]CRITERIOS!$G$163),"MTO",IF(IF(O275="",G275/N275,G275/O275)&lt;[1]CRITERIOS!$H$161,"MTS","MTOS"))))</f>
        <v>#N/A</v>
      </c>
      <c r="T275" s="33" t="e">
        <f>IF(F275="DV","MTO",IF(OR(AND($N275=0,O275=""),$F275/$J275&gt;[1]CRITERIOS!$G$170,$F275="DV"),"MTO",IF($F275/$J275&lt;[1]CRITERIOS!$H$168,"MTS","MTOS")))</f>
        <v>#N/A</v>
      </c>
      <c r="V275" s="34" t="e">
        <f t="shared" si="13"/>
        <v>#N/A</v>
      </c>
      <c r="X275" s="34" t="e">
        <f t="shared" si="14"/>
        <v>#N/A</v>
      </c>
      <c r="Y275" s="34" t="e">
        <f t="shared" si="15"/>
        <v>#N/A</v>
      </c>
      <c r="Z275" s="34" t="e">
        <f>IF($R275="MTO",
0,
($H275+$K275*($E275/[1]CRITERIOS!$M$16))/[1]CRITERIOS!$X$48)</f>
        <v>#N/A</v>
      </c>
      <c r="AA275" s="34" t="e">
        <f>ROUNDUP(($Y275/_xlfn.XLOOKUP($A275,'[1]DATOS PBI Artículos'!$A$4:$A$4,'[1]DATOS PBI Artículos'!$Z$4:$Z$4))/_xlfn.XLOOKUP(_xlfn.XLOOKUP($A275,'[1]DATOS PBI Artículos'!$A$4:$A$4,'[1]DATOS PBI Artículos'!$Y$4:$Y$4),[1]CRITERIOS!$P$79:$P$123,[1]CRITERIOS!$S$79:$S$123,),0)</f>
        <v>#N/A</v>
      </c>
      <c r="AB275" s="33" t="e">
        <f t="array" ref="AB275">IF((E275+V275-_xlfn.XLOOKUP(A275,'[1]DATOS PBI Artículos'!$A$4:$A$4,'[1]DATOS PBI Artículos'!$W$4:$W$4))/N275&gt;ROUNDUP([1]CRITERIOS!$M$16/(IF(COUNTIF([1]CRITERIOS!$BG$11:$BG$201,L275)&gt;=1,_xlfn.XLOOKUP(ARTÍCULOS!L275,[1]CRITERIOS!$BG$11:$BG$201,[1]CRITERIOS!$BJ$11:$BJ$201),_xlfn.XLOOKUP(ARTÍCULOS!C275,[1]CRITERIOS!$K$25:$K$42,[1]CRITERIOS!$M$25:$M$42))),0),ROUNDUP([1]CRITERIOS!$M$16/(IF(COUNTIF([1]CRITERIOS!$BG$11:$BG$201,L275)&gt;=1,_xlfn.XLOOKUP(ARTÍCULOS!L275,[1]CRITERIOS!$BG$11:$BG$201:#REF!,[1]CRITERIOS!$BJ$11:$BJ$201),_xlfn.XLOOKUP(ARTÍCULOS!C275,[1]CRITERIOS!$K$25:$K$42,[1]CRITERIOS!$M$25:$M$42))),0),(E275+V275-_xlfn.XLOOKUP(A275,'[1]DATOS PBI Artículos'!$A$4:$A$4,'[1]DATOS PBI Artículos'!$W$4:$W$4))/N275)</f>
        <v>#N/A</v>
      </c>
      <c r="AC275" s="33" t="e">
        <f>IF(N275=0,"",(ROUNDUP((N275/2)/(_xlfn.XLOOKUP(A275,'[1]DATOS PBI Artículos'!$A$4:$A$4,'[1]DATOS PBI Artículos'!$Z$4:$Z$4)*_xlfn.XLOOKUP(_xlfn.XLOOKUP(A275,'[1]DATOS PBI Artículos'!$A$4:$A$4,'[1]DATOS PBI Artículos'!$Y$4:$Y$4),[1]CRITERIOS!$P$79:$P$123,[1]CRITERIOS!$S$79:$S$123)),0)*[1]CRITERIOS!$M$80*([1]CRITERIOS!$M$110/[1]CRITERIOS!$M$86)+(_xlfn.XLOOKUP(A275,'[1]DATOS PBI Artículos'!$A$4:$A$4,'[1]DATOS PBI Artículos'!$AA$4:$AA$4)*([1]CRITERIOS!$M$95+[1]CRITERIOS!$M$98)))/N275)</f>
        <v>#N/A</v>
      </c>
      <c r="AD275" s="33" t="e">
        <f>IF(N275=0,"",(ROUNDUP((N275/2)/(_xlfn.XLOOKUP(A275,'[1]DATOS PBI Artículos'!$A$4:$A$4,'[1]DATOS PBI Artículos'!$Z$4:$Z$4)*_xlfn.XLOOKUP(_xlfn.XLOOKUP(A275,'[1]DATOS PBI Artículos'!$A$4:$A$4,'[1]DATOS PBI Artículos'!$Y$4:$Y$4),[1]CRITERIOS!$P$79:$P$123,[1]CRITERIOS!$S$79:$S$123)),0)*[1]CRITERIOS!$M$80*([1]CRITERIOS!$M$89*[1]CRITERIOS!$M$92)+((_xlfn.XLOOKUP(A275,'[1]DATOS PBI Artículos'!$A$4:$A$4,'[1]DATOS PBI Artículos'!$AA$4:$AA$4)/2)*([1]CRITERIOS!$M$95+[1]CRITERIOS!$M$98)))/N275)</f>
        <v>#N/A</v>
      </c>
      <c r="AE275" s="39" t="e">
        <f>IF($R275="MTO","",
IF($H275=0,ROUNDUP(((_xlfn.XLOOKUP($A275,'[1]DATOS PBI Artículos'!$A:$A,'[1]DATOS PBI Artículos'!$AL:$AL))/(_xlfn.XLOOKUP($AF$1,[1]CRITERIOS!$S$16:$S$39,[1]CRITERIOS!$Y$16:$Y$39))*$J275+$Z275)/$G275,0)*$G275,
((_xlfn.XLOOKUP($A275,'[1]DATOS PBI Artículos'!$A:$A,'[1]DATOS PBI Artículos'!$AL:$AL))/(_xlfn.XLOOKUP($AF$1,[1]CRITERIOS!$S$16:$S$39,[1]CRITERIOS!$Y$16:$Y$39))*$J275+$Z275)))</f>
        <v>#N/A</v>
      </c>
      <c r="AG275" s="39" t="e">
        <f>IF($R275="MTO","",
IF($H275=0,ROUNDUP(((_xlfn.XLOOKUP($A275,'[1]DATOS PBI Artículos'!$A:$A,'[1]DATOS PBI Artículos'!$AM:$AM))/(_xlfn.XLOOKUP($AH$1,[1]CRITERIOS!$S$16:$S$39,[1]CRITERIOS!$Y$16:$Y$39))*$J275+$Z275)/$G275,0)*$G275,
((_xlfn.XLOOKUP($A275,'[1]DATOS PBI Artículos'!$A:$A,'[1]DATOS PBI Artículos'!$AM:$AM))/(_xlfn.XLOOKUP($AH$1,[1]CRITERIOS!$S$16:$S$39,[1]CRITERIOS!$Y$16:$Y$39))*$J275+$Z275)))</f>
        <v>#N/A</v>
      </c>
      <c r="AI275" s="39" t="e">
        <f>IF($R275="MTO","",
IF($H275=0,ROUNDUP(((_xlfn.XLOOKUP($A275,'[1]DATOS PBI Artículos'!$A:$A,'[1]DATOS PBI Artículos'!$AN:$AN))/(_xlfn.XLOOKUP($AJ$1,[1]CRITERIOS!$S$16:$S$39,[1]CRITERIOS!$Y$16:$Y$39))*$J275+$Z275)/$G275,0)*$G275,
((_xlfn.XLOOKUP($A275,'[1]DATOS PBI Artículos'!$A:$A,'[1]DATOS PBI Artículos'!$AN:$AN))/(_xlfn.XLOOKUP($AJ$1,[1]CRITERIOS!$S$16:$S$39,[1]CRITERIOS!$Y$16:$Y$39))*$J275+$Z275)))</f>
        <v>#N/A</v>
      </c>
      <c r="AK275" s="39" t="e">
        <f>IF($R275="MTO","",
IF($H275=0,ROUNDUP(((_xlfn.XLOOKUP($A275,'[1]DATOS PBI Artículos'!$A:$A,'[1]DATOS PBI Artículos'!$AO:$AO))/(_xlfn.XLOOKUP($AL$1,[1]CRITERIOS!$S$16:$S$39,[1]CRITERIOS!$Y$16:$Y$39))*$J275+$Z275)/$G275,0)*$G275,
((_xlfn.XLOOKUP($A275,'[1]DATOS PBI Artículos'!$A:$A,'[1]DATOS PBI Artículos'!$AO:$AO))/(_xlfn.XLOOKUP($AL$1,[1]CRITERIOS!$S$16:$S$39,[1]CRITERIOS!$Y$16:$Y$39))*$J275+$Z275)))</f>
        <v>#N/A</v>
      </c>
    </row>
    <row r="276" spans="1:37" ht="25.8" hidden="1" x14ac:dyDescent="0.4">
      <c r="A276" s="41"/>
      <c r="B276" s="33">
        <f>_xlfn.XLOOKUP($A276,'[1]DATOS PBI Artículos'!A:A,'[1]DATOS PBI Artículos'!B:B)</f>
        <v>0</v>
      </c>
      <c r="C276" s="33">
        <f>_xlfn.XLOOKUP($A276,'[1]DATOS PBI Artículos'!A:A,'[1]DATOS PBI Artículos'!C:C)</f>
        <v>0</v>
      </c>
      <c r="D276" s="33">
        <f>_xlfn.XLOOKUP(A276,'[1]DATOS PBI Artículos'!A:A,'[1]DATOS PBI Artículos'!T:T)</f>
        <v>0</v>
      </c>
      <c r="E276" s="34">
        <f>IF(_xlfn.XLOOKUP($A276,'[1]DATOS PBI Artículos'!A:A,'[1]DATOS PBI Artículos'!AK:AK)="",_xlfn.XLOOKUP($A276,'[1]DATOS PBI Artículos'!A:A,'[1]DATOS PBI Artículos'!AJ:AJ),_xlfn.XLOOKUP($A276,'[1]DATOS PBI Artículos'!A:A,'[1]DATOS PBI Artículos'!AK:AK))</f>
        <v>0</v>
      </c>
      <c r="F276" s="35">
        <f>_xlfn.XLOOKUP($A276,'[1]DATOS PBI Artículos'!A:A,'[1]DATOS PBI Artículos'!AP:AP)</f>
        <v>0</v>
      </c>
      <c r="G276" s="34">
        <f>_xlfn.XLOOKUP($A276,'[1]DATOS PBI Artículos'!A:A,'[1]DATOS PBI Artículos'!AR:AR)</f>
        <v>0</v>
      </c>
      <c r="H276" s="34">
        <f>_xlfn.XLOOKUP($A276,'[1]DATOS PBI Artículos'!A:A,'[1]DATOS PBI Artículos'!AT:AT)</f>
        <v>0</v>
      </c>
      <c r="I276" s="34">
        <f>_xlfn.XLOOKUP($A276,'[1]DATOS PBI Artículos'!A:A,'[1]DATOS PBI Artículos'!AS:AS)</f>
        <v>0</v>
      </c>
      <c r="J276" s="35">
        <f>IF(COUNTIF([1]CRITERIOS!$F$179:$F$199,$A276)&gt;=1,
 IF(O276&lt;&gt;"",
    (O276/_xlfn.XLOOKUP(CONCATENATE(A276,L276),[1]MÁQUINAS!A:A,[1]MÁQUINAS!D:D))/24,
    (N276/_xlfn.XLOOKUP(CONCATENATE(A276,L276),[1]MÁQUINAS!A:A,[1]MÁQUINAS!D:D))/24),
  _xlfn.XLOOKUP($A276,'[1]DATOS PBI Artículos'!A:A,'[1]DATOS PBI Artículos'!AU:AU))</f>
        <v>0</v>
      </c>
      <c r="K276" s="36">
        <f>_xlfn.XLOOKUP($A276,'[1]DATOS PBI Artículos'!A:A,'[1]DATOS PBI Artículos'!AV:AV)</f>
        <v>0</v>
      </c>
      <c r="L276" s="33">
        <f>_xlfn.XLOOKUP(A276,[1]MÁQUINAS!B:B,[1]MÁQUINAS!C:C)</f>
        <v>0</v>
      </c>
      <c r="M276" s="34">
        <f t="array" ref="M276">_xlfn.XLOOKUP(A276,'[1]DATOS PBI Artículos'!A:A,'[1]DATOS PBI Artículos'!AX:$AX)</f>
        <v>0</v>
      </c>
      <c r="N276" s="37" t="e">
        <f>IF(I276="DV",
E276,
IF(COUNTIF([1]CRITERIOS!$I$179:$I$199,$A276)&gt;=1,
_xlfn.XLOOKUP($A276,[1]CRITERIOS!$I$179:$I$199,[1]CRITERIOS!$J$179:$J$199),
IF(COUNTIF([1]CRITERIOS!$L$179:$L$199,$A276)&gt;=1,
_xlfn.CEILING.MATH(IF($M276&gt;$E276,
$E276,
IF($M276&lt;$E276/ROUNDDOWN([1]CRITERIOS!$M$16/_xlfn.XLOOKUP($C276,[1]CRITERIOS!$K$25:$K$42,[1]CRITERIOS!$M$25:$M$42),
1),
E276/ROUNDDOWN([1]CRITERIOS!$M$16/_xlfn.XLOOKUP($C276,[1]CRITERIOS!$K$25:$K$42,[1]CRITERIOS!$M$25:$M$42),
1),
$M276)),
_xlfn.XLOOKUP($A276,[1]CRITERIOS!$L$179:$L$200,[1]CRITERIOS!$M$179:$M$200)),
_xlfn.CEILING.MATH(IF($M276&gt;$E276,
$E276,
IF($M276&lt;$E276/ROUNDDOWN([1]CRITERIOS!$M$16/_xlfn.XLOOKUP($C276,[1]CRITERIOS!$K$25:$K$42,[1]CRITERIOS!$M$25:$M$42),
1),
E276/ROUNDDOWN([1]CRITERIOS!$M$16/_xlfn.XLOOKUP($C276,[1]CRITERIOS!$K$25:$K$42,[1]CRITERIOS!$M$25:$M$42),
1),
$M276)),_xlfn.XLOOKUP(A276,'[1]DATOS PBI Artículos'!A:A,'[1]DATOS PBI Artículos'!Z:Z
)))))</f>
        <v>#N/A</v>
      </c>
      <c r="Q276" s="38" t="e">
        <f>IF(AND(O276="",N276=0),
0,
   IF(COUNTIF([1]CRITERIOS!$F$179:$F$199,$A276)&gt;=1,
   1,
   IF(R276="MTO",
      $D276,
      ROUNDUP(
                    IF(($E276-SUMIF('[1]DATOS PBI Artículos'!A:A,A276,'[1]DATOS PBI Artículos'!X:X)+($V276-_xlfn.XLOOKUP(A276,'[1]DATOS PBI Artículos'!A:A,'[1]DATOS PBI Artículos'!W:W)))&lt;0,
                    0,
                    IF(($E276-SUMIF('[1]DATOS PBI Artículos'!A:A,A276,'[1]DATOS PBI Artículos'!X:X)+$V276-_xlfn.XLOOKUP($A276,'[1]DATOS PBI Artículos'!A:A,'[1]DATOS PBI Artículos'!W:W))/IF($O276="",$N276,$O276)&gt;ROUNDUP([1]CRITERIOS!$M$16/(IF(COUNTIF([1]CRITERIOS!$BG$11:$BG$201,L276)&gt;=1,_xlfn.XLOOKUP($C276,[1]CRITERIOS!$K$25:$K$42,[1]CRITERIOS!$M$25:$M$42),_xlfn.XLOOKUP($C276,[1]CRITERIOS!$K$25:$K$42,[1]CRITERIOS!$M$25:$M$42))),0),
                    ROUNDUP([1]CRITERIOS!$M$16/(IF(COUNTIF([1]CRITERIOS!$BG$11:$BG$201,$L276)&gt;=1,_xlfn.XLOOKUP($C276,[1]CRITERIOS!$K$25:$K$42,[1]CRITERIOS!$M$25:$M$42),_xlfn.XLOOKUP($C276,[1]CRITERIOS!$K$25:$K$42,[1]CRITERIOS!$M$25:$M$42))),0),
                    (E276+V276-SUMIF('[1]DATOS PBI Artículos'!A:A,A276,'[1]DATOS PBI Artículos'!X:X)-_xlfn.XLOOKUP(A276,'[1]DATOS PBI Artículos'!A:A,'[1]DATOS PBI Artículos'!W:W))/IF($O276="",$N276,$O276))),0))))</f>
        <v>#N/A</v>
      </c>
      <c r="R276" s="33" t="e">
        <f>IF(U276&lt;&gt;"",U276,IF(F276="DV","MTO",IF(N276=0,"MTO",_xlfn.XLOOKUP(CONCATENATE(S276,T276),[1]CRITERIOS!$K$160:$K$168,[1]CRITERIOS!$N$160:$N$168))))</f>
        <v>#N/A</v>
      </c>
      <c r="S276" s="33" t="e">
        <f>IF(G276="DV","MTO",IF(N276=0,"MTO",IF(OR(AND(N276=0,O276=""),IF(O276="",G276/N276,G276/O276)&gt;[1]CRITERIOS!$G$163),"MTO",IF(IF(O276="",G276/N276,G276/O276)&lt;[1]CRITERIOS!$H$161,"MTS","MTOS"))))</f>
        <v>#N/A</v>
      </c>
      <c r="T276" s="33" t="e">
        <f>IF(F276="DV","MTO",IF(OR(AND($N276=0,O276=""),$F276/$J276&gt;[1]CRITERIOS!$G$170,$F276="DV"),"MTO",IF($F276/$J276&lt;[1]CRITERIOS!$H$168,"MTS","MTOS")))</f>
        <v>#N/A</v>
      </c>
      <c r="V276" s="34" t="e">
        <f t="shared" si="13"/>
        <v>#N/A</v>
      </c>
      <c r="X276" s="34" t="e">
        <f t="shared" si="14"/>
        <v>#N/A</v>
      </c>
      <c r="Y276" s="34" t="e">
        <f t="shared" si="15"/>
        <v>#N/A</v>
      </c>
      <c r="Z276" s="34" t="e">
        <f>IF($R276="MTO",
0,
($H276+$K276*($E276/[1]CRITERIOS!$M$16))/[1]CRITERIOS!$X$48)</f>
        <v>#N/A</v>
      </c>
      <c r="AA276" s="34" t="e">
        <f>ROUNDUP(($Y276/_xlfn.XLOOKUP($A276,'[1]DATOS PBI Artículos'!$A$4:$A$4,'[1]DATOS PBI Artículos'!$Z$4:$Z$4))/_xlfn.XLOOKUP(_xlfn.XLOOKUP($A276,'[1]DATOS PBI Artículos'!$A$4:$A$4,'[1]DATOS PBI Artículos'!$Y$4:$Y$4),[1]CRITERIOS!$P$79:$P$123,[1]CRITERIOS!$S$79:$S$123,),0)</f>
        <v>#N/A</v>
      </c>
      <c r="AB276" s="33" t="e">
        <f t="array" ref="AB276">IF((E276+V276-_xlfn.XLOOKUP(A276,'[1]DATOS PBI Artículos'!$A$4:$A$4,'[1]DATOS PBI Artículos'!$W$4:$W$4))/N276&gt;ROUNDUP([1]CRITERIOS!$M$16/(IF(COUNTIF([1]CRITERIOS!$BG$11:$BG$201,L276)&gt;=1,_xlfn.XLOOKUP(ARTÍCULOS!L276,[1]CRITERIOS!$BG$11:$BG$201,[1]CRITERIOS!$BJ$11:$BJ$201),_xlfn.XLOOKUP(ARTÍCULOS!C276,[1]CRITERIOS!$K$25:$K$42,[1]CRITERIOS!$M$25:$M$42))),0),ROUNDUP([1]CRITERIOS!$M$16/(IF(COUNTIF([1]CRITERIOS!$BG$11:$BG$201,L276)&gt;=1,_xlfn.XLOOKUP(ARTÍCULOS!L276,[1]CRITERIOS!$BG$11:$BG$201:#REF!,[1]CRITERIOS!$BJ$11:$BJ$201),_xlfn.XLOOKUP(ARTÍCULOS!C276,[1]CRITERIOS!$K$25:$K$42,[1]CRITERIOS!$M$25:$M$42))),0),(E276+V276-_xlfn.XLOOKUP(A276,'[1]DATOS PBI Artículos'!$A$4:$A$4,'[1]DATOS PBI Artículos'!$W$4:$W$4))/N276)</f>
        <v>#N/A</v>
      </c>
      <c r="AC276" s="33" t="e">
        <f>IF(N276=0,"",(ROUNDUP((N276/2)/(_xlfn.XLOOKUP(A276,'[1]DATOS PBI Artículos'!$A$4:$A$4,'[1]DATOS PBI Artículos'!$Z$4:$Z$4)*_xlfn.XLOOKUP(_xlfn.XLOOKUP(A276,'[1]DATOS PBI Artículos'!$A$4:$A$4,'[1]DATOS PBI Artículos'!$Y$4:$Y$4),[1]CRITERIOS!$P$79:$P$123,[1]CRITERIOS!$S$79:$S$123)),0)*[1]CRITERIOS!$M$80*([1]CRITERIOS!$M$110/[1]CRITERIOS!$M$86)+(_xlfn.XLOOKUP(A276,'[1]DATOS PBI Artículos'!$A$4:$A$4,'[1]DATOS PBI Artículos'!$AA$4:$AA$4)*([1]CRITERIOS!$M$95+[1]CRITERIOS!$M$98)))/N276)</f>
        <v>#N/A</v>
      </c>
      <c r="AD276" s="33" t="e">
        <f>IF(N276=0,"",(ROUNDUP((N276/2)/(_xlfn.XLOOKUP(A276,'[1]DATOS PBI Artículos'!$A$4:$A$4,'[1]DATOS PBI Artículos'!$Z$4:$Z$4)*_xlfn.XLOOKUP(_xlfn.XLOOKUP(A276,'[1]DATOS PBI Artículos'!$A$4:$A$4,'[1]DATOS PBI Artículos'!$Y$4:$Y$4),[1]CRITERIOS!$P$79:$P$123,[1]CRITERIOS!$S$79:$S$123)),0)*[1]CRITERIOS!$M$80*([1]CRITERIOS!$M$89*[1]CRITERIOS!$M$92)+((_xlfn.XLOOKUP(A276,'[1]DATOS PBI Artículos'!$A$4:$A$4,'[1]DATOS PBI Artículos'!$AA$4:$AA$4)/2)*([1]CRITERIOS!$M$95+[1]CRITERIOS!$M$98)))/N276)</f>
        <v>#N/A</v>
      </c>
      <c r="AE276" s="39" t="e">
        <f>IF($R276="MTO","",
IF($H276=0,ROUNDUP(((_xlfn.XLOOKUP($A276,'[1]DATOS PBI Artículos'!$A:$A,'[1]DATOS PBI Artículos'!$AL:$AL))/(_xlfn.XLOOKUP($AF$1,[1]CRITERIOS!$S$16:$S$39,[1]CRITERIOS!$Y$16:$Y$39))*$J276+$Z276)/$G276,0)*$G276,
((_xlfn.XLOOKUP($A276,'[1]DATOS PBI Artículos'!$A:$A,'[1]DATOS PBI Artículos'!$AL:$AL))/(_xlfn.XLOOKUP($AF$1,[1]CRITERIOS!$S$16:$S$39,[1]CRITERIOS!$Y$16:$Y$39))*$J276+$Z276)))</f>
        <v>#N/A</v>
      </c>
      <c r="AG276" s="39" t="e">
        <f>IF($R276="MTO","",
IF($H276=0,ROUNDUP(((_xlfn.XLOOKUP($A276,'[1]DATOS PBI Artículos'!$A:$A,'[1]DATOS PBI Artículos'!$AM:$AM))/(_xlfn.XLOOKUP($AH$1,[1]CRITERIOS!$S$16:$S$39,[1]CRITERIOS!$Y$16:$Y$39))*$J276+$Z276)/$G276,0)*$G276,
((_xlfn.XLOOKUP($A276,'[1]DATOS PBI Artículos'!$A:$A,'[1]DATOS PBI Artículos'!$AM:$AM))/(_xlfn.XLOOKUP($AH$1,[1]CRITERIOS!$S$16:$S$39,[1]CRITERIOS!$Y$16:$Y$39))*$J276+$Z276)))</f>
        <v>#N/A</v>
      </c>
      <c r="AI276" s="39" t="e">
        <f>IF($R276="MTO","",
IF($H276=0,ROUNDUP(((_xlfn.XLOOKUP($A276,'[1]DATOS PBI Artículos'!$A:$A,'[1]DATOS PBI Artículos'!$AN:$AN))/(_xlfn.XLOOKUP($AJ$1,[1]CRITERIOS!$S$16:$S$39,[1]CRITERIOS!$Y$16:$Y$39))*$J276+$Z276)/$G276,0)*$G276,
((_xlfn.XLOOKUP($A276,'[1]DATOS PBI Artículos'!$A:$A,'[1]DATOS PBI Artículos'!$AN:$AN))/(_xlfn.XLOOKUP($AJ$1,[1]CRITERIOS!$S$16:$S$39,[1]CRITERIOS!$Y$16:$Y$39))*$J276+$Z276)))</f>
        <v>#N/A</v>
      </c>
      <c r="AK276" s="39" t="e">
        <f>IF($R276="MTO","",
IF($H276=0,ROUNDUP(((_xlfn.XLOOKUP($A276,'[1]DATOS PBI Artículos'!$A:$A,'[1]DATOS PBI Artículos'!$AO:$AO))/(_xlfn.XLOOKUP($AL$1,[1]CRITERIOS!$S$16:$S$39,[1]CRITERIOS!$Y$16:$Y$39))*$J276+$Z276)/$G276,0)*$G276,
((_xlfn.XLOOKUP($A276,'[1]DATOS PBI Artículos'!$A:$A,'[1]DATOS PBI Artículos'!$AO:$AO))/(_xlfn.XLOOKUP($AL$1,[1]CRITERIOS!$S$16:$S$39,[1]CRITERIOS!$Y$16:$Y$39))*$J276+$Z276)))</f>
        <v>#N/A</v>
      </c>
    </row>
    <row r="277" spans="1:37" ht="25.8" hidden="1" x14ac:dyDescent="0.4">
      <c r="A277" s="41"/>
      <c r="B277" s="33">
        <f>_xlfn.XLOOKUP($A277,'[1]DATOS PBI Artículos'!A:A,'[1]DATOS PBI Artículos'!B:B)</f>
        <v>0</v>
      </c>
      <c r="C277" s="33">
        <f>_xlfn.XLOOKUP($A277,'[1]DATOS PBI Artículos'!A:A,'[1]DATOS PBI Artículos'!C:C)</f>
        <v>0</v>
      </c>
      <c r="D277" s="33">
        <f>_xlfn.XLOOKUP(A277,'[1]DATOS PBI Artículos'!A:A,'[1]DATOS PBI Artículos'!T:T)</f>
        <v>0</v>
      </c>
      <c r="E277" s="34">
        <f>IF(_xlfn.XLOOKUP($A277,'[1]DATOS PBI Artículos'!A:A,'[1]DATOS PBI Artículos'!AK:AK)="",_xlfn.XLOOKUP($A277,'[1]DATOS PBI Artículos'!A:A,'[1]DATOS PBI Artículos'!AJ:AJ),_xlfn.XLOOKUP($A277,'[1]DATOS PBI Artículos'!A:A,'[1]DATOS PBI Artículos'!AK:AK))</f>
        <v>0</v>
      </c>
      <c r="F277" s="35">
        <f>_xlfn.XLOOKUP($A277,'[1]DATOS PBI Artículos'!A:A,'[1]DATOS PBI Artículos'!AP:AP)</f>
        <v>0</v>
      </c>
      <c r="G277" s="34">
        <f>_xlfn.XLOOKUP($A277,'[1]DATOS PBI Artículos'!A:A,'[1]DATOS PBI Artículos'!AR:AR)</f>
        <v>0</v>
      </c>
      <c r="H277" s="34">
        <f>_xlfn.XLOOKUP($A277,'[1]DATOS PBI Artículos'!A:A,'[1]DATOS PBI Artículos'!AT:AT)</f>
        <v>0</v>
      </c>
      <c r="I277" s="34">
        <f>_xlfn.XLOOKUP($A277,'[1]DATOS PBI Artículos'!A:A,'[1]DATOS PBI Artículos'!AS:AS)</f>
        <v>0</v>
      </c>
      <c r="J277" s="35">
        <f>IF(COUNTIF([1]CRITERIOS!$F$179:$F$199,$A277)&gt;=1,
 IF(O277&lt;&gt;"",
    (O277/_xlfn.XLOOKUP(CONCATENATE(A277,L277),[1]MÁQUINAS!A:A,[1]MÁQUINAS!D:D))/24,
    (N277/_xlfn.XLOOKUP(CONCATENATE(A277,L277),[1]MÁQUINAS!A:A,[1]MÁQUINAS!D:D))/24),
  _xlfn.XLOOKUP($A277,'[1]DATOS PBI Artículos'!A:A,'[1]DATOS PBI Artículos'!AU:AU))</f>
        <v>0</v>
      </c>
      <c r="K277" s="36">
        <f>_xlfn.XLOOKUP($A277,'[1]DATOS PBI Artículos'!A:A,'[1]DATOS PBI Artículos'!AV:AV)</f>
        <v>0</v>
      </c>
      <c r="L277" s="33">
        <f>_xlfn.XLOOKUP(A277,[1]MÁQUINAS!B:B,[1]MÁQUINAS!C:C)</f>
        <v>0</v>
      </c>
      <c r="M277" s="34">
        <f t="array" ref="M277">_xlfn.XLOOKUP(A277,'[1]DATOS PBI Artículos'!A:A,'[1]DATOS PBI Artículos'!AX:$AX)</f>
        <v>0</v>
      </c>
      <c r="N277" s="37" t="e">
        <f>IF(I277="DV",
E277,
IF(COUNTIF([1]CRITERIOS!$I$179:$I$199,$A277)&gt;=1,
_xlfn.XLOOKUP($A277,[1]CRITERIOS!$I$179:$I$199,[1]CRITERIOS!$J$179:$J$199),
IF(COUNTIF([1]CRITERIOS!$L$179:$L$199,$A277)&gt;=1,
_xlfn.CEILING.MATH(IF($M277&gt;$E277,
$E277,
IF($M277&lt;$E277/ROUNDDOWN([1]CRITERIOS!$M$16/_xlfn.XLOOKUP($C277,[1]CRITERIOS!$K$25:$K$42,[1]CRITERIOS!$M$25:$M$42),
1),
E277/ROUNDDOWN([1]CRITERIOS!$M$16/_xlfn.XLOOKUP($C277,[1]CRITERIOS!$K$25:$K$42,[1]CRITERIOS!$M$25:$M$42),
1),
$M277)),
_xlfn.XLOOKUP($A277,[1]CRITERIOS!$L$179:$L$200,[1]CRITERIOS!$M$179:$M$200)),
_xlfn.CEILING.MATH(IF($M277&gt;$E277,
$E277,
IF($M277&lt;$E277/ROUNDDOWN([1]CRITERIOS!$M$16/_xlfn.XLOOKUP($C277,[1]CRITERIOS!$K$25:$K$42,[1]CRITERIOS!$M$25:$M$42),
1),
E277/ROUNDDOWN([1]CRITERIOS!$M$16/_xlfn.XLOOKUP($C277,[1]CRITERIOS!$K$25:$K$42,[1]CRITERIOS!$M$25:$M$42),
1),
$M277)),_xlfn.XLOOKUP(A277,'[1]DATOS PBI Artículos'!A:A,'[1]DATOS PBI Artículos'!Z:Z
)))))</f>
        <v>#N/A</v>
      </c>
      <c r="Q277" s="38" t="e">
        <f>IF(AND(O277="",N277=0),
0,
   IF(COUNTIF([1]CRITERIOS!$F$179:$F$199,$A277)&gt;=1,
   1,
   IF(R277="MTO",
      $D277,
      ROUNDUP(
                    IF(($E277-SUMIF('[1]DATOS PBI Artículos'!A:A,A277,'[1]DATOS PBI Artículos'!X:X)+($V277-_xlfn.XLOOKUP(A277,'[1]DATOS PBI Artículos'!A:A,'[1]DATOS PBI Artículos'!W:W)))&lt;0,
                    0,
                    IF(($E277-SUMIF('[1]DATOS PBI Artículos'!A:A,A277,'[1]DATOS PBI Artículos'!X:X)+$V277-_xlfn.XLOOKUP($A277,'[1]DATOS PBI Artículos'!A:A,'[1]DATOS PBI Artículos'!W:W))/IF($O277="",$N277,$O277)&gt;ROUNDUP([1]CRITERIOS!$M$16/(IF(COUNTIF([1]CRITERIOS!$BG$11:$BG$201,L277)&gt;=1,_xlfn.XLOOKUP($C277,[1]CRITERIOS!$K$25:$K$42,[1]CRITERIOS!$M$25:$M$42),_xlfn.XLOOKUP($C277,[1]CRITERIOS!$K$25:$K$42,[1]CRITERIOS!$M$25:$M$42))),0),
                    ROUNDUP([1]CRITERIOS!$M$16/(IF(COUNTIF([1]CRITERIOS!$BG$11:$BG$201,$L277)&gt;=1,_xlfn.XLOOKUP($C277,[1]CRITERIOS!$K$25:$K$42,[1]CRITERIOS!$M$25:$M$42),_xlfn.XLOOKUP($C277,[1]CRITERIOS!$K$25:$K$42,[1]CRITERIOS!$M$25:$M$42))),0),
                    (E277+V277-SUMIF('[1]DATOS PBI Artículos'!A:A,A277,'[1]DATOS PBI Artículos'!X:X)-_xlfn.XLOOKUP(A277,'[1]DATOS PBI Artículos'!A:A,'[1]DATOS PBI Artículos'!W:W))/IF($O277="",$N277,$O277))),0))))</f>
        <v>#N/A</v>
      </c>
      <c r="R277" s="33" t="e">
        <f>IF(U277&lt;&gt;"",U277,IF(F277="DV","MTO",IF(N277=0,"MTO",_xlfn.XLOOKUP(CONCATENATE(S277,T277),[1]CRITERIOS!$K$160:$K$168,[1]CRITERIOS!$N$160:$N$168))))</f>
        <v>#N/A</v>
      </c>
      <c r="S277" s="33" t="e">
        <f>IF(G277="DV","MTO",IF(N277=0,"MTO",IF(OR(AND(N277=0,O277=""),IF(O277="",G277/N277,G277/O277)&gt;[1]CRITERIOS!$G$163),"MTO",IF(IF(O277="",G277/N277,G277/O277)&lt;[1]CRITERIOS!$H$161,"MTS","MTOS"))))</f>
        <v>#N/A</v>
      </c>
      <c r="T277" s="33" t="e">
        <f>IF(F277="DV","MTO",IF(OR(AND($N277=0,O277=""),$F277/$J277&gt;[1]CRITERIOS!$G$170,$F277="DV"),"MTO",IF($F277/$J277&lt;[1]CRITERIOS!$H$168,"MTS","MTOS")))</f>
        <v>#N/A</v>
      </c>
      <c r="V277" s="34" t="e">
        <f t="shared" si="13"/>
        <v>#N/A</v>
      </c>
      <c r="X277" s="34" t="e">
        <f t="shared" si="14"/>
        <v>#N/A</v>
      </c>
      <c r="Y277" s="34" t="e">
        <f t="shared" si="15"/>
        <v>#N/A</v>
      </c>
      <c r="Z277" s="34" t="e">
        <f>IF($R277="MTO",
0,
($H277+$K277*($E277/[1]CRITERIOS!$M$16))/[1]CRITERIOS!$X$48)</f>
        <v>#N/A</v>
      </c>
      <c r="AA277" s="34" t="e">
        <f>ROUNDUP(($Y277/_xlfn.XLOOKUP($A277,'[1]DATOS PBI Artículos'!$A$4:$A$4,'[1]DATOS PBI Artículos'!$Z$4:$Z$4))/_xlfn.XLOOKUP(_xlfn.XLOOKUP($A277,'[1]DATOS PBI Artículos'!$A$4:$A$4,'[1]DATOS PBI Artículos'!$Y$4:$Y$4),[1]CRITERIOS!$P$79:$P$123,[1]CRITERIOS!$S$79:$S$123,),0)</f>
        <v>#N/A</v>
      </c>
      <c r="AB277" s="33" t="e">
        <f t="array" ref="AB277">IF((E277+V277-_xlfn.XLOOKUP(A277,'[1]DATOS PBI Artículos'!$A$4:$A$4,'[1]DATOS PBI Artículos'!$W$4:$W$4))/N277&gt;ROUNDUP([1]CRITERIOS!$M$16/(IF(COUNTIF([1]CRITERIOS!$BG$11:$BG$201,L277)&gt;=1,_xlfn.XLOOKUP(ARTÍCULOS!L277,[1]CRITERIOS!$BG$11:$BG$201,[1]CRITERIOS!$BJ$11:$BJ$201),_xlfn.XLOOKUP(ARTÍCULOS!C277,[1]CRITERIOS!$K$25:$K$42,[1]CRITERIOS!$M$25:$M$42))),0),ROUNDUP([1]CRITERIOS!$M$16/(IF(COUNTIF([1]CRITERIOS!$BG$11:$BG$201,L277)&gt;=1,_xlfn.XLOOKUP(ARTÍCULOS!L277,[1]CRITERIOS!$BG$11:$BG$201:#REF!,[1]CRITERIOS!$BJ$11:$BJ$201),_xlfn.XLOOKUP(ARTÍCULOS!C277,[1]CRITERIOS!$K$25:$K$42,[1]CRITERIOS!$M$25:$M$42))),0),(E277+V277-_xlfn.XLOOKUP(A277,'[1]DATOS PBI Artículos'!$A$4:$A$4,'[1]DATOS PBI Artículos'!$W$4:$W$4))/N277)</f>
        <v>#N/A</v>
      </c>
      <c r="AC277" s="33" t="e">
        <f>IF(N277=0,"",(ROUNDUP((N277/2)/(_xlfn.XLOOKUP(A277,'[1]DATOS PBI Artículos'!$A$4:$A$4,'[1]DATOS PBI Artículos'!$Z$4:$Z$4)*_xlfn.XLOOKUP(_xlfn.XLOOKUP(A277,'[1]DATOS PBI Artículos'!$A$4:$A$4,'[1]DATOS PBI Artículos'!$Y$4:$Y$4),[1]CRITERIOS!$P$79:$P$123,[1]CRITERIOS!$S$79:$S$123)),0)*[1]CRITERIOS!$M$80*([1]CRITERIOS!$M$110/[1]CRITERIOS!$M$86)+(_xlfn.XLOOKUP(A277,'[1]DATOS PBI Artículos'!$A$4:$A$4,'[1]DATOS PBI Artículos'!$AA$4:$AA$4)*([1]CRITERIOS!$M$95+[1]CRITERIOS!$M$98)))/N277)</f>
        <v>#N/A</v>
      </c>
      <c r="AD277" s="33" t="e">
        <f>IF(N277=0,"",(ROUNDUP((N277/2)/(_xlfn.XLOOKUP(A277,'[1]DATOS PBI Artículos'!$A$4:$A$4,'[1]DATOS PBI Artículos'!$Z$4:$Z$4)*_xlfn.XLOOKUP(_xlfn.XLOOKUP(A277,'[1]DATOS PBI Artículos'!$A$4:$A$4,'[1]DATOS PBI Artículos'!$Y$4:$Y$4),[1]CRITERIOS!$P$79:$P$123,[1]CRITERIOS!$S$79:$S$123)),0)*[1]CRITERIOS!$M$80*([1]CRITERIOS!$M$89*[1]CRITERIOS!$M$92)+((_xlfn.XLOOKUP(A277,'[1]DATOS PBI Artículos'!$A$4:$A$4,'[1]DATOS PBI Artículos'!$AA$4:$AA$4)/2)*([1]CRITERIOS!$M$95+[1]CRITERIOS!$M$98)))/N277)</f>
        <v>#N/A</v>
      </c>
      <c r="AE277" s="39" t="e">
        <f>IF($R277="MTO","",
IF($H277=0,ROUNDUP(((_xlfn.XLOOKUP($A277,'[1]DATOS PBI Artículos'!$A:$A,'[1]DATOS PBI Artículos'!$AL:$AL))/(_xlfn.XLOOKUP($AF$1,[1]CRITERIOS!$S$16:$S$39,[1]CRITERIOS!$Y$16:$Y$39))*$J277+$Z277)/$G277,0)*$G277,
((_xlfn.XLOOKUP($A277,'[1]DATOS PBI Artículos'!$A:$A,'[1]DATOS PBI Artículos'!$AL:$AL))/(_xlfn.XLOOKUP($AF$1,[1]CRITERIOS!$S$16:$S$39,[1]CRITERIOS!$Y$16:$Y$39))*$J277+$Z277)))</f>
        <v>#N/A</v>
      </c>
      <c r="AG277" s="39" t="e">
        <f>IF($R277="MTO","",
IF($H277=0,ROUNDUP(((_xlfn.XLOOKUP($A277,'[1]DATOS PBI Artículos'!$A:$A,'[1]DATOS PBI Artículos'!$AM:$AM))/(_xlfn.XLOOKUP($AH$1,[1]CRITERIOS!$S$16:$S$39,[1]CRITERIOS!$Y$16:$Y$39))*$J277+$Z277)/$G277,0)*$G277,
((_xlfn.XLOOKUP($A277,'[1]DATOS PBI Artículos'!$A:$A,'[1]DATOS PBI Artículos'!$AM:$AM))/(_xlfn.XLOOKUP($AH$1,[1]CRITERIOS!$S$16:$S$39,[1]CRITERIOS!$Y$16:$Y$39))*$J277+$Z277)))</f>
        <v>#N/A</v>
      </c>
      <c r="AI277" s="39" t="e">
        <f>IF($R277="MTO","",
IF($H277=0,ROUNDUP(((_xlfn.XLOOKUP($A277,'[1]DATOS PBI Artículos'!$A:$A,'[1]DATOS PBI Artículos'!$AN:$AN))/(_xlfn.XLOOKUP($AJ$1,[1]CRITERIOS!$S$16:$S$39,[1]CRITERIOS!$Y$16:$Y$39))*$J277+$Z277)/$G277,0)*$G277,
((_xlfn.XLOOKUP($A277,'[1]DATOS PBI Artículos'!$A:$A,'[1]DATOS PBI Artículos'!$AN:$AN))/(_xlfn.XLOOKUP($AJ$1,[1]CRITERIOS!$S$16:$S$39,[1]CRITERIOS!$Y$16:$Y$39))*$J277+$Z277)))</f>
        <v>#N/A</v>
      </c>
      <c r="AK277" s="39" t="e">
        <f>IF($R277="MTO","",
IF($H277=0,ROUNDUP(((_xlfn.XLOOKUP($A277,'[1]DATOS PBI Artículos'!$A:$A,'[1]DATOS PBI Artículos'!$AO:$AO))/(_xlfn.XLOOKUP($AL$1,[1]CRITERIOS!$S$16:$S$39,[1]CRITERIOS!$Y$16:$Y$39))*$J277+$Z277)/$G277,0)*$G277,
((_xlfn.XLOOKUP($A277,'[1]DATOS PBI Artículos'!$A:$A,'[1]DATOS PBI Artículos'!$AO:$AO))/(_xlfn.XLOOKUP($AL$1,[1]CRITERIOS!$S$16:$S$39,[1]CRITERIOS!$Y$16:$Y$39))*$J277+$Z277)))</f>
        <v>#N/A</v>
      </c>
    </row>
    <row r="278" spans="1:37" ht="25.8" hidden="1" x14ac:dyDescent="0.4">
      <c r="A278" s="41"/>
      <c r="B278" s="33">
        <f>_xlfn.XLOOKUP($A278,'[1]DATOS PBI Artículos'!A:A,'[1]DATOS PBI Artículos'!B:B)</f>
        <v>0</v>
      </c>
      <c r="C278" s="33">
        <f>_xlfn.XLOOKUP($A278,'[1]DATOS PBI Artículos'!A:A,'[1]DATOS PBI Artículos'!C:C)</f>
        <v>0</v>
      </c>
      <c r="D278" s="33">
        <f>_xlfn.XLOOKUP(A278,'[1]DATOS PBI Artículos'!A:A,'[1]DATOS PBI Artículos'!T:T)</f>
        <v>0</v>
      </c>
      <c r="E278" s="34">
        <f>IF(_xlfn.XLOOKUP($A278,'[1]DATOS PBI Artículos'!A:A,'[1]DATOS PBI Artículos'!AK:AK)="",_xlfn.XLOOKUP($A278,'[1]DATOS PBI Artículos'!A:A,'[1]DATOS PBI Artículos'!AJ:AJ),_xlfn.XLOOKUP($A278,'[1]DATOS PBI Artículos'!A:A,'[1]DATOS PBI Artículos'!AK:AK))</f>
        <v>0</v>
      </c>
      <c r="F278" s="35">
        <f>_xlfn.XLOOKUP($A278,'[1]DATOS PBI Artículos'!A:A,'[1]DATOS PBI Artículos'!AP:AP)</f>
        <v>0</v>
      </c>
      <c r="G278" s="34">
        <f>_xlfn.XLOOKUP($A278,'[1]DATOS PBI Artículos'!A:A,'[1]DATOS PBI Artículos'!AR:AR)</f>
        <v>0</v>
      </c>
      <c r="H278" s="34">
        <f>_xlfn.XLOOKUP($A278,'[1]DATOS PBI Artículos'!A:A,'[1]DATOS PBI Artículos'!AT:AT)</f>
        <v>0</v>
      </c>
      <c r="I278" s="34">
        <f>_xlfn.XLOOKUP($A278,'[1]DATOS PBI Artículos'!A:A,'[1]DATOS PBI Artículos'!AS:AS)</f>
        <v>0</v>
      </c>
      <c r="J278" s="35">
        <f>IF(COUNTIF([1]CRITERIOS!$F$179:$F$199,$A278)&gt;=1,
 IF(O278&lt;&gt;"",
    (O278/_xlfn.XLOOKUP(CONCATENATE(A278,L278),[1]MÁQUINAS!A:A,[1]MÁQUINAS!D:D))/24,
    (N278/_xlfn.XLOOKUP(CONCATENATE(A278,L278),[1]MÁQUINAS!A:A,[1]MÁQUINAS!D:D))/24),
  _xlfn.XLOOKUP($A278,'[1]DATOS PBI Artículos'!A:A,'[1]DATOS PBI Artículos'!AU:AU))</f>
        <v>0</v>
      </c>
      <c r="K278" s="36">
        <f>_xlfn.XLOOKUP($A278,'[1]DATOS PBI Artículos'!A:A,'[1]DATOS PBI Artículos'!AV:AV)</f>
        <v>0</v>
      </c>
      <c r="L278" s="33">
        <f>_xlfn.XLOOKUP(A278,[1]MÁQUINAS!B:B,[1]MÁQUINAS!C:C)</f>
        <v>0</v>
      </c>
      <c r="M278" s="34">
        <f t="array" ref="M278">_xlfn.XLOOKUP(A278,'[1]DATOS PBI Artículos'!A:A,'[1]DATOS PBI Artículos'!AX:$AX)</f>
        <v>0</v>
      </c>
      <c r="N278" s="37" t="e">
        <f>IF(I278="DV",
E278,
IF(COUNTIF([1]CRITERIOS!$I$179:$I$199,$A278)&gt;=1,
_xlfn.XLOOKUP($A278,[1]CRITERIOS!$I$179:$I$199,[1]CRITERIOS!$J$179:$J$199),
IF(COUNTIF([1]CRITERIOS!$L$179:$L$199,$A278)&gt;=1,
_xlfn.CEILING.MATH(IF($M278&gt;$E278,
$E278,
IF($M278&lt;$E278/ROUNDDOWN([1]CRITERIOS!$M$16/_xlfn.XLOOKUP($C278,[1]CRITERIOS!$K$25:$K$42,[1]CRITERIOS!$M$25:$M$42),
1),
E278/ROUNDDOWN([1]CRITERIOS!$M$16/_xlfn.XLOOKUP($C278,[1]CRITERIOS!$K$25:$K$42,[1]CRITERIOS!$M$25:$M$42),
1),
$M278)),
_xlfn.XLOOKUP($A278,[1]CRITERIOS!$L$179:$L$200,[1]CRITERIOS!$M$179:$M$200)),
_xlfn.CEILING.MATH(IF($M278&gt;$E278,
$E278,
IF($M278&lt;$E278/ROUNDDOWN([1]CRITERIOS!$M$16/_xlfn.XLOOKUP($C278,[1]CRITERIOS!$K$25:$K$42,[1]CRITERIOS!$M$25:$M$42),
1),
E278/ROUNDDOWN([1]CRITERIOS!$M$16/_xlfn.XLOOKUP($C278,[1]CRITERIOS!$K$25:$K$42,[1]CRITERIOS!$M$25:$M$42),
1),
$M278)),_xlfn.XLOOKUP(A278,'[1]DATOS PBI Artículos'!A:A,'[1]DATOS PBI Artículos'!Z:Z
)))))</f>
        <v>#N/A</v>
      </c>
      <c r="Q278" s="38" t="e">
        <f>IF(AND(O278="",N278=0),
0,
   IF(COUNTIF([1]CRITERIOS!$F$179:$F$199,$A278)&gt;=1,
   1,
   IF(R278="MTO",
      $D278,
      ROUNDUP(
                    IF(($E278-SUMIF('[1]DATOS PBI Artículos'!A:A,A278,'[1]DATOS PBI Artículos'!X:X)+($V278-_xlfn.XLOOKUP(A278,'[1]DATOS PBI Artículos'!A:A,'[1]DATOS PBI Artículos'!W:W)))&lt;0,
                    0,
                    IF(($E278-SUMIF('[1]DATOS PBI Artículos'!A:A,A278,'[1]DATOS PBI Artículos'!X:X)+$V278-_xlfn.XLOOKUP($A278,'[1]DATOS PBI Artículos'!A:A,'[1]DATOS PBI Artículos'!W:W))/IF($O278="",$N278,$O278)&gt;ROUNDUP([1]CRITERIOS!$M$16/(IF(COUNTIF([1]CRITERIOS!$BG$11:$BG$201,L278)&gt;=1,_xlfn.XLOOKUP($C278,[1]CRITERIOS!$K$25:$K$42,[1]CRITERIOS!$M$25:$M$42),_xlfn.XLOOKUP($C278,[1]CRITERIOS!$K$25:$K$42,[1]CRITERIOS!$M$25:$M$42))),0),
                    ROUNDUP([1]CRITERIOS!$M$16/(IF(COUNTIF([1]CRITERIOS!$BG$11:$BG$201,$L278)&gt;=1,_xlfn.XLOOKUP($C278,[1]CRITERIOS!$K$25:$K$42,[1]CRITERIOS!$M$25:$M$42),_xlfn.XLOOKUP($C278,[1]CRITERIOS!$K$25:$K$42,[1]CRITERIOS!$M$25:$M$42))),0),
                    (E278+V278-SUMIF('[1]DATOS PBI Artículos'!A:A,A278,'[1]DATOS PBI Artículos'!X:X)-_xlfn.XLOOKUP(A278,'[1]DATOS PBI Artículos'!A:A,'[1]DATOS PBI Artículos'!W:W))/IF($O278="",$N278,$O278))),0))))</f>
        <v>#N/A</v>
      </c>
      <c r="R278" s="33" t="e">
        <f>IF(U278&lt;&gt;"",U278,IF(F278="DV","MTO",IF(N278=0,"MTO",_xlfn.XLOOKUP(CONCATENATE(S278,T278),[1]CRITERIOS!$K$160:$K$168,[1]CRITERIOS!$N$160:$N$168))))</f>
        <v>#N/A</v>
      </c>
      <c r="S278" s="33" t="e">
        <f>IF(G278="DV","MTO",IF(N278=0,"MTO",IF(OR(AND(N278=0,O278=""),IF(O278="",G278/N278,G278/O278)&gt;[1]CRITERIOS!$G$163),"MTO",IF(IF(O278="",G278/N278,G278/O278)&lt;[1]CRITERIOS!$H$161,"MTS","MTOS"))))</f>
        <v>#N/A</v>
      </c>
      <c r="T278" s="33" t="e">
        <f>IF(F278="DV","MTO",IF(OR(AND($N278=0,O278=""),$F278/$J278&gt;[1]CRITERIOS!$G$170,$F278="DV"),"MTO",IF($F278/$J278&lt;[1]CRITERIOS!$H$168,"MTS","MTOS")))</f>
        <v>#N/A</v>
      </c>
      <c r="V278" s="34" t="e">
        <f t="shared" si="13"/>
        <v>#N/A</v>
      </c>
      <c r="X278" s="34" t="e">
        <f t="shared" si="14"/>
        <v>#N/A</v>
      </c>
      <c r="Y278" s="34" t="e">
        <f t="shared" si="15"/>
        <v>#N/A</v>
      </c>
      <c r="Z278" s="34" t="e">
        <f>IF($R278="MTO",
0,
($H278+$K278*($E278/[1]CRITERIOS!$M$16))/[1]CRITERIOS!$X$48)</f>
        <v>#N/A</v>
      </c>
      <c r="AA278" s="34" t="e">
        <f>ROUNDUP(($Y278/_xlfn.XLOOKUP($A278,'[1]DATOS PBI Artículos'!$A$4:$A$4,'[1]DATOS PBI Artículos'!$Z$4:$Z$4))/_xlfn.XLOOKUP(_xlfn.XLOOKUP($A278,'[1]DATOS PBI Artículos'!$A$4:$A$4,'[1]DATOS PBI Artículos'!$Y$4:$Y$4),[1]CRITERIOS!$P$79:$P$123,[1]CRITERIOS!$S$79:$S$123,),0)</f>
        <v>#N/A</v>
      </c>
      <c r="AB278" s="33" t="e">
        <f t="array" ref="AB278">IF((E278+V278-_xlfn.XLOOKUP(A278,'[1]DATOS PBI Artículos'!$A$4:$A$4,'[1]DATOS PBI Artículos'!$W$4:$W$4))/N278&gt;ROUNDUP([1]CRITERIOS!$M$16/(IF(COUNTIF([1]CRITERIOS!$BG$11:$BG$201,L278)&gt;=1,_xlfn.XLOOKUP(ARTÍCULOS!L278,[1]CRITERIOS!$BG$11:$BG$201,[1]CRITERIOS!$BJ$11:$BJ$201),_xlfn.XLOOKUP(ARTÍCULOS!C278,[1]CRITERIOS!$K$25:$K$42,[1]CRITERIOS!$M$25:$M$42))),0),ROUNDUP([1]CRITERIOS!$M$16/(IF(COUNTIF([1]CRITERIOS!$BG$11:$BG$201,L278)&gt;=1,_xlfn.XLOOKUP(ARTÍCULOS!L278,[1]CRITERIOS!$BG$11:$BG$201:#REF!,[1]CRITERIOS!$BJ$11:$BJ$201),_xlfn.XLOOKUP(ARTÍCULOS!C278,[1]CRITERIOS!$K$25:$K$42,[1]CRITERIOS!$M$25:$M$42))),0),(E278+V278-_xlfn.XLOOKUP(A278,'[1]DATOS PBI Artículos'!$A$4:$A$4,'[1]DATOS PBI Artículos'!$W$4:$W$4))/N278)</f>
        <v>#N/A</v>
      </c>
      <c r="AC278" s="33" t="e">
        <f>IF(N278=0,"",(ROUNDUP((N278/2)/(_xlfn.XLOOKUP(A278,'[1]DATOS PBI Artículos'!$A$4:$A$4,'[1]DATOS PBI Artículos'!$Z$4:$Z$4)*_xlfn.XLOOKUP(_xlfn.XLOOKUP(A278,'[1]DATOS PBI Artículos'!$A$4:$A$4,'[1]DATOS PBI Artículos'!$Y$4:$Y$4),[1]CRITERIOS!$P$79:$P$123,[1]CRITERIOS!$S$79:$S$123)),0)*[1]CRITERIOS!$M$80*([1]CRITERIOS!$M$110/[1]CRITERIOS!$M$86)+(_xlfn.XLOOKUP(A278,'[1]DATOS PBI Artículos'!$A$4:$A$4,'[1]DATOS PBI Artículos'!$AA$4:$AA$4)*([1]CRITERIOS!$M$95+[1]CRITERIOS!$M$98)))/N278)</f>
        <v>#N/A</v>
      </c>
      <c r="AD278" s="33" t="e">
        <f>IF(N278=0,"",(ROUNDUP((N278/2)/(_xlfn.XLOOKUP(A278,'[1]DATOS PBI Artículos'!$A$4:$A$4,'[1]DATOS PBI Artículos'!$Z$4:$Z$4)*_xlfn.XLOOKUP(_xlfn.XLOOKUP(A278,'[1]DATOS PBI Artículos'!$A$4:$A$4,'[1]DATOS PBI Artículos'!$Y$4:$Y$4),[1]CRITERIOS!$P$79:$P$123,[1]CRITERIOS!$S$79:$S$123)),0)*[1]CRITERIOS!$M$80*([1]CRITERIOS!$M$89*[1]CRITERIOS!$M$92)+((_xlfn.XLOOKUP(A278,'[1]DATOS PBI Artículos'!$A$4:$A$4,'[1]DATOS PBI Artículos'!$AA$4:$AA$4)/2)*([1]CRITERIOS!$M$95+[1]CRITERIOS!$M$98)))/N278)</f>
        <v>#N/A</v>
      </c>
      <c r="AE278" s="39" t="e">
        <f>IF($R278="MTO","",
IF($H278=0,ROUNDUP(((_xlfn.XLOOKUP($A278,'[1]DATOS PBI Artículos'!$A:$A,'[1]DATOS PBI Artículos'!$AL:$AL))/(_xlfn.XLOOKUP($AF$1,[1]CRITERIOS!$S$16:$S$39,[1]CRITERIOS!$Y$16:$Y$39))*$J278+$Z278)/$G278,0)*$G278,
((_xlfn.XLOOKUP($A278,'[1]DATOS PBI Artículos'!$A:$A,'[1]DATOS PBI Artículos'!$AL:$AL))/(_xlfn.XLOOKUP($AF$1,[1]CRITERIOS!$S$16:$S$39,[1]CRITERIOS!$Y$16:$Y$39))*$J278+$Z278)))</f>
        <v>#N/A</v>
      </c>
      <c r="AG278" s="39" t="e">
        <f>IF($R278="MTO","",
IF($H278=0,ROUNDUP(((_xlfn.XLOOKUP($A278,'[1]DATOS PBI Artículos'!$A:$A,'[1]DATOS PBI Artículos'!$AM:$AM))/(_xlfn.XLOOKUP($AH$1,[1]CRITERIOS!$S$16:$S$39,[1]CRITERIOS!$Y$16:$Y$39))*$J278+$Z278)/$G278,0)*$G278,
((_xlfn.XLOOKUP($A278,'[1]DATOS PBI Artículos'!$A:$A,'[1]DATOS PBI Artículos'!$AM:$AM))/(_xlfn.XLOOKUP($AH$1,[1]CRITERIOS!$S$16:$S$39,[1]CRITERIOS!$Y$16:$Y$39))*$J278+$Z278)))</f>
        <v>#N/A</v>
      </c>
      <c r="AI278" s="39" t="e">
        <f>IF($R278="MTO","",
IF($H278=0,ROUNDUP(((_xlfn.XLOOKUP($A278,'[1]DATOS PBI Artículos'!$A:$A,'[1]DATOS PBI Artículos'!$AN:$AN))/(_xlfn.XLOOKUP($AJ$1,[1]CRITERIOS!$S$16:$S$39,[1]CRITERIOS!$Y$16:$Y$39))*$J278+$Z278)/$G278,0)*$G278,
((_xlfn.XLOOKUP($A278,'[1]DATOS PBI Artículos'!$A:$A,'[1]DATOS PBI Artículos'!$AN:$AN))/(_xlfn.XLOOKUP($AJ$1,[1]CRITERIOS!$S$16:$S$39,[1]CRITERIOS!$Y$16:$Y$39))*$J278+$Z278)))</f>
        <v>#N/A</v>
      </c>
      <c r="AK278" s="39" t="e">
        <f>IF($R278="MTO","",
IF($H278=0,ROUNDUP(((_xlfn.XLOOKUP($A278,'[1]DATOS PBI Artículos'!$A:$A,'[1]DATOS PBI Artículos'!$AO:$AO))/(_xlfn.XLOOKUP($AL$1,[1]CRITERIOS!$S$16:$S$39,[1]CRITERIOS!$Y$16:$Y$39))*$J278+$Z278)/$G278,0)*$G278,
((_xlfn.XLOOKUP($A278,'[1]DATOS PBI Artículos'!$A:$A,'[1]DATOS PBI Artículos'!$AO:$AO))/(_xlfn.XLOOKUP($AL$1,[1]CRITERIOS!$S$16:$S$39,[1]CRITERIOS!$Y$16:$Y$39))*$J278+$Z278)))</f>
        <v>#N/A</v>
      </c>
    </row>
    <row r="279" spans="1:37" ht="25.8" hidden="1" x14ac:dyDescent="0.4">
      <c r="A279" s="41"/>
      <c r="B279" s="33">
        <f>_xlfn.XLOOKUP($A279,'[1]DATOS PBI Artículos'!A:A,'[1]DATOS PBI Artículos'!B:B)</f>
        <v>0</v>
      </c>
      <c r="C279" s="33">
        <f>_xlfn.XLOOKUP($A279,'[1]DATOS PBI Artículos'!A:A,'[1]DATOS PBI Artículos'!C:C)</f>
        <v>0</v>
      </c>
      <c r="D279" s="33">
        <f>_xlfn.XLOOKUP(A279,'[1]DATOS PBI Artículos'!A:A,'[1]DATOS PBI Artículos'!T:T)</f>
        <v>0</v>
      </c>
      <c r="E279" s="34">
        <f>IF(_xlfn.XLOOKUP($A279,'[1]DATOS PBI Artículos'!A:A,'[1]DATOS PBI Artículos'!AK:AK)="",_xlfn.XLOOKUP($A279,'[1]DATOS PBI Artículos'!A:A,'[1]DATOS PBI Artículos'!AJ:AJ),_xlfn.XLOOKUP($A279,'[1]DATOS PBI Artículos'!A:A,'[1]DATOS PBI Artículos'!AK:AK))</f>
        <v>0</v>
      </c>
      <c r="F279" s="35">
        <f>_xlfn.XLOOKUP($A279,'[1]DATOS PBI Artículos'!A:A,'[1]DATOS PBI Artículos'!AP:AP)</f>
        <v>0</v>
      </c>
      <c r="G279" s="34">
        <f>_xlfn.XLOOKUP($A279,'[1]DATOS PBI Artículos'!A:A,'[1]DATOS PBI Artículos'!AR:AR)</f>
        <v>0</v>
      </c>
      <c r="H279" s="34">
        <f>_xlfn.XLOOKUP($A279,'[1]DATOS PBI Artículos'!A:A,'[1]DATOS PBI Artículos'!AT:AT)</f>
        <v>0</v>
      </c>
      <c r="I279" s="34">
        <f>_xlfn.XLOOKUP($A279,'[1]DATOS PBI Artículos'!A:A,'[1]DATOS PBI Artículos'!AS:AS)</f>
        <v>0</v>
      </c>
      <c r="J279" s="35">
        <f>IF(COUNTIF([1]CRITERIOS!$F$179:$F$199,$A279)&gt;=1,
 IF(O279&lt;&gt;"",
    (O279/_xlfn.XLOOKUP(CONCATENATE(A279,L279),[1]MÁQUINAS!A:A,[1]MÁQUINAS!D:D))/24,
    (N279/_xlfn.XLOOKUP(CONCATENATE(A279,L279),[1]MÁQUINAS!A:A,[1]MÁQUINAS!D:D))/24),
  _xlfn.XLOOKUP($A279,'[1]DATOS PBI Artículos'!A:A,'[1]DATOS PBI Artículos'!AU:AU))</f>
        <v>0</v>
      </c>
      <c r="K279" s="36">
        <f>_xlfn.XLOOKUP($A279,'[1]DATOS PBI Artículos'!A:A,'[1]DATOS PBI Artículos'!AV:AV)</f>
        <v>0</v>
      </c>
      <c r="L279" s="33">
        <f>_xlfn.XLOOKUP(A279,[1]MÁQUINAS!B:B,[1]MÁQUINAS!C:C)</f>
        <v>0</v>
      </c>
      <c r="M279" s="34">
        <f t="array" ref="M279">_xlfn.XLOOKUP(A279,'[1]DATOS PBI Artículos'!A:A,'[1]DATOS PBI Artículos'!AX:$AX)</f>
        <v>0</v>
      </c>
      <c r="N279" s="37" t="e">
        <f>IF(I279="DV",
E279,
IF(COUNTIF([1]CRITERIOS!$I$179:$I$199,$A279)&gt;=1,
_xlfn.XLOOKUP($A279,[1]CRITERIOS!$I$179:$I$199,[1]CRITERIOS!$J$179:$J$199),
IF(COUNTIF([1]CRITERIOS!$L$179:$L$199,$A279)&gt;=1,
_xlfn.CEILING.MATH(IF($M279&gt;$E279,
$E279,
IF($M279&lt;$E279/ROUNDDOWN([1]CRITERIOS!$M$16/_xlfn.XLOOKUP($C279,[1]CRITERIOS!$K$25:$K$42,[1]CRITERIOS!$M$25:$M$42),
1),
E279/ROUNDDOWN([1]CRITERIOS!$M$16/_xlfn.XLOOKUP($C279,[1]CRITERIOS!$K$25:$K$42,[1]CRITERIOS!$M$25:$M$42),
1),
$M279)),
_xlfn.XLOOKUP($A279,[1]CRITERIOS!$L$179:$L$200,[1]CRITERIOS!$M$179:$M$200)),
_xlfn.CEILING.MATH(IF($M279&gt;$E279,
$E279,
IF($M279&lt;$E279/ROUNDDOWN([1]CRITERIOS!$M$16/_xlfn.XLOOKUP($C279,[1]CRITERIOS!$K$25:$K$42,[1]CRITERIOS!$M$25:$M$42),
1),
E279/ROUNDDOWN([1]CRITERIOS!$M$16/_xlfn.XLOOKUP($C279,[1]CRITERIOS!$K$25:$K$42,[1]CRITERIOS!$M$25:$M$42),
1),
$M279)),_xlfn.XLOOKUP(A279,'[1]DATOS PBI Artículos'!A:A,'[1]DATOS PBI Artículos'!Z:Z
)))))</f>
        <v>#N/A</v>
      </c>
      <c r="Q279" s="38" t="e">
        <f>IF(AND(O279="",N279=0),
0,
   IF(COUNTIF([1]CRITERIOS!$F$179:$F$199,$A279)&gt;=1,
   1,
   IF(R279="MTO",
      $D279,
      ROUNDUP(
                    IF(($E279-SUMIF('[1]DATOS PBI Artículos'!A:A,A279,'[1]DATOS PBI Artículos'!X:X)+($V279-_xlfn.XLOOKUP(A279,'[1]DATOS PBI Artículos'!A:A,'[1]DATOS PBI Artículos'!W:W)))&lt;0,
                    0,
                    IF(($E279-SUMIF('[1]DATOS PBI Artículos'!A:A,A279,'[1]DATOS PBI Artículos'!X:X)+$V279-_xlfn.XLOOKUP($A279,'[1]DATOS PBI Artículos'!A:A,'[1]DATOS PBI Artículos'!W:W))/IF($O279="",$N279,$O279)&gt;ROUNDUP([1]CRITERIOS!$M$16/(IF(COUNTIF([1]CRITERIOS!$BG$11:$BG$201,L279)&gt;=1,_xlfn.XLOOKUP($C279,[1]CRITERIOS!$K$25:$K$42,[1]CRITERIOS!$M$25:$M$42),_xlfn.XLOOKUP($C279,[1]CRITERIOS!$K$25:$K$42,[1]CRITERIOS!$M$25:$M$42))),0),
                    ROUNDUP([1]CRITERIOS!$M$16/(IF(COUNTIF([1]CRITERIOS!$BG$11:$BG$201,$L279)&gt;=1,_xlfn.XLOOKUP($C279,[1]CRITERIOS!$K$25:$K$42,[1]CRITERIOS!$M$25:$M$42),_xlfn.XLOOKUP($C279,[1]CRITERIOS!$K$25:$K$42,[1]CRITERIOS!$M$25:$M$42))),0),
                    (E279+V279-SUMIF('[1]DATOS PBI Artículos'!A:A,A279,'[1]DATOS PBI Artículos'!X:X)-_xlfn.XLOOKUP(A279,'[1]DATOS PBI Artículos'!A:A,'[1]DATOS PBI Artículos'!W:W))/IF($O279="",$N279,$O279))),0))))</f>
        <v>#N/A</v>
      </c>
      <c r="R279" s="33" t="e">
        <f>IF(U279&lt;&gt;"",U279,IF(F279="DV","MTO",IF(N279=0,"MTO",_xlfn.XLOOKUP(CONCATENATE(S279,T279),[1]CRITERIOS!$K$160:$K$168,[1]CRITERIOS!$N$160:$N$168))))</f>
        <v>#N/A</v>
      </c>
      <c r="S279" s="33" t="e">
        <f>IF(G279="DV","MTO",IF(N279=0,"MTO",IF(OR(AND(N279=0,O279=""),IF(O279="",G279/N279,G279/O279)&gt;[1]CRITERIOS!$G$163),"MTO",IF(IF(O279="",G279/N279,G279/O279)&lt;[1]CRITERIOS!$H$161,"MTS","MTOS"))))</f>
        <v>#N/A</v>
      </c>
      <c r="T279" s="33" t="e">
        <f>IF(F279="DV","MTO",IF(OR(AND($N279=0,O279=""),$F279/$J279&gt;[1]CRITERIOS!$G$170,$F279="DV"),"MTO",IF($F279/$J279&lt;[1]CRITERIOS!$H$168,"MTS","MTOS")))</f>
        <v>#N/A</v>
      </c>
      <c r="V279" s="34" t="e">
        <f t="shared" si="13"/>
        <v>#N/A</v>
      </c>
      <c r="X279" s="34" t="e">
        <f t="shared" si="14"/>
        <v>#N/A</v>
      </c>
      <c r="Y279" s="34" t="e">
        <f t="shared" si="15"/>
        <v>#N/A</v>
      </c>
      <c r="Z279" s="34" t="e">
        <f>IF($R279="MTO",
0,
($H279+$K279*($E279/[1]CRITERIOS!$M$16))/[1]CRITERIOS!$X$48)</f>
        <v>#N/A</v>
      </c>
      <c r="AA279" s="34" t="e">
        <f>ROUNDUP(($Y279/_xlfn.XLOOKUP($A279,'[1]DATOS PBI Artículos'!$A$4:$A$4,'[1]DATOS PBI Artículos'!$Z$4:$Z$4))/_xlfn.XLOOKUP(_xlfn.XLOOKUP($A279,'[1]DATOS PBI Artículos'!$A$4:$A$4,'[1]DATOS PBI Artículos'!$Y$4:$Y$4),[1]CRITERIOS!$P$79:$P$123,[1]CRITERIOS!$S$79:$S$123,),0)</f>
        <v>#N/A</v>
      </c>
      <c r="AB279" s="33" t="e">
        <f t="array" ref="AB279">IF((E279+V279-_xlfn.XLOOKUP(A279,'[1]DATOS PBI Artículos'!$A$4:$A$4,'[1]DATOS PBI Artículos'!$W$4:$W$4))/N279&gt;ROUNDUP([1]CRITERIOS!$M$16/(IF(COUNTIF([1]CRITERIOS!$BG$11:$BG$201,L279)&gt;=1,_xlfn.XLOOKUP(ARTÍCULOS!L279,[1]CRITERIOS!$BG$11:$BG$201,[1]CRITERIOS!$BJ$11:$BJ$201),_xlfn.XLOOKUP(ARTÍCULOS!C279,[1]CRITERIOS!$K$25:$K$42,[1]CRITERIOS!$M$25:$M$42))),0),ROUNDUP([1]CRITERIOS!$M$16/(IF(COUNTIF([1]CRITERIOS!$BG$11:$BG$201,L279)&gt;=1,_xlfn.XLOOKUP(ARTÍCULOS!L279,[1]CRITERIOS!$BG$11:$BG$201:#REF!,[1]CRITERIOS!$BJ$11:$BJ$201),_xlfn.XLOOKUP(ARTÍCULOS!C279,[1]CRITERIOS!$K$25:$K$42,[1]CRITERIOS!$M$25:$M$42))),0),(E279+V279-_xlfn.XLOOKUP(A279,'[1]DATOS PBI Artículos'!$A$4:$A$4,'[1]DATOS PBI Artículos'!$W$4:$W$4))/N279)</f>
        <v>#N/A</v>
      </c>
      <c r="AC279" s="33" t="e">
        <f>IF(N279=0,"",(ROUNDUP((N279/2)/(_xlfn.XLOOKUP(A279,'[1]DATOS PBI Artículos'!$A$4:$A$4,'[1]DATOS PBI Artículos'!$Z$4:$Z$4)*_xlfn.XLOOKUP(_xlfn.XLOOKUP(A279,'[1]DATOS PBI Artículos'!$A$4:$A$4,'[1]DATOS PBI Artículos'!$Y$4:$Y$4),[1]CRITERIOS!$P$79:$P$123,[1]CRITERIOS!$S$79:$S$123)),0)*[1]CRITERIOS!$M$80*([1]CRITERIOS!$M$110/[1]CRITERIOS!$M$86)+(_xlfn.XLOOKUP(A279,'[1]DATOS PBI Artículos'!$A$4:$A$4,'[1]DATOS PBI Artículos'!$AA$4:$AA$4)*([1]CRITERIOS!$M$95+[1]CRITERIOS!$M$98)))/N279)</f>
        <v>#N/A</v>
      </c>
      <c r="AD279" s="33" t="e">
        <f>IF(N279=0,"",(ROUNDUP((N279/2)/(_xlfn.XLOOKUP(A279,'[1]DATOS PBI Artículos'!$A$4:$A$4,'[1]DATOS PBI Artículos'!$Z$4:$Z$4)*_xlfn.XLOOKUP(_xlfn.XLOOKUP(A279,'[1]DATOS PBI Artículos'!$A$4:$A$4,'[1]DATOS PBI Artículos'!$Y$4:$Y$4),[1]CRITERIOS!$P$79:$P$123,[1]CRITERIOS!$S$79:$S$123)),0)*[1]CRITERIOS!$M$80*([1]CRITERIOS!$M$89*[1]CRITERIOS!$M$92)+((_xlfn.XLOOKUP(A279,'[1]DATOS PBI Artículos'!$A$4:$A$4,'[1]DATOS PBI Artículos'!$AA$4:$AA$4)/2)*([1]CRITERIOS!$M$95+[1]CRITERIOS!$M$98)))/N279)</f>
        <v>#N/A</v>
      </c>
      <c r="AE279" s="39" t="e">
        <f>IF($R279="MTO","",
IF($H279=0,ROUNDUP(((_xlfn.XLOOKUP($A279,'[1]DATOS PBI Artículos'!$A:$A,'[1]DATOS PBI Artículos'!$AL:$AL))/(_xlfn.XLOOKUP($AF$1,[1]CRITERIOS!$S$16:$S$39,[1]CRITERIOS!$Y$16:$Y$39))*$J279+$Z279)/$G279,0)*$G279,
((_xlfn.XLOOKUP($A279,'[1]DATOS PBI Artículos'!$A:$A,'[1]DATOS PBI Artículos'!$AL:$AL))/(_xlfn.XLOOKUP($AF$1,[1]CRITERIOS!$S$16:$S$39,[1]CRITERIOS!$Y$16:$Y$39))*$J279+$Z279)))</f>
        <v>#N/A</v>
      </c>
      <c r="AG279" s="39" t="e">
        <f>IF($R279="MTO","",
IF($H279=0,ROUNDUP(((_xlfn.XLOOKUP($A279,'[1]DATOS PBI Artículos'!$A:$A,'[1]DATOS PBI Artículos'!$AM:$AM))/(_xlfn.XLOOKUP($AH$1,[1]CRITERIOS!$S$16:$S$39,[1]CRITERIOS!$Y$16:$Y$39))*$J279+$Z279)/$G279,0)*$G279,
((_xlfn.XLOOKUP($A279,'[1]DATOS PBI Artículos'!$A:$A,'[1]DATOS PBI Artículos'!$AM:$AM))/(_xlfn.XLOOKUP($AH$1,[1]CRITERIOS!$S$16:$S$39,[1]CRITERIOS!$Y$16:$Y$39))*$J279+$Z279)))</f>
        <v>#N/A</v>
      </c>
      <c r="AI279" s="39" t="e">
        <f>IF($R279="MTO","",
IF($H279=0,ROUNDUP(((_xlfn.XLOOKUP($A279,'[1]DATOS PBI Artículos'!$A:$A,'[1]DATOS PBI Artículos'!$AN:$AN))/(_xlfn.XLOOKUP($AJ$1,[1]CRITERIOS!$S$16:$S$39,[1]CRITERIOS!$Y$16:$Y$39))*$J279+$Z279)/$G279,0)*$G279,
((_xlfn.XLOOKUP($A279,'[1]DATOS PBI Artículos'!$A:$A,'[1]DATOS PBI Artículos'!$AN:$AN))/(_xlfn.XLOOKUP($AJ$1,[1]CRITERIOS!$S$16:$S$39,[1]CRITERIOS!$Y$16:$Y$39))*$J279+$Z279)))</f>
        <v>#N/A</v>
      </c>
      <c r="AK279" s="39" t="e">
        <f>IF($R279="MTO","",
IF($H279=0,ROUNDUP(((_xlfn.XLOOKUP($A279,'[1]DATOS PBI Artículos'!$A:$A,'[1]DATOS PBI Artículos'!$AO:$AO))/(_xlfn.XLOOKUP($AL$1,[1]CRITERIOS!$S$16:$S$39,[1]CRITERIOS!$Y$16:$Y$39))*$J279+$Z279)/$G279,0)*$G279,
((_xlfn.XLOOKUP($A279,'[1]DATOS PBI Artículos'!$A:$A,'[1]DATOS PBI Artículos'!$AO:$AO))/(_xlfn.XLOOKUP($AL$1,[1]CRITERIOS!$S$16:$S$39,[1]CRITERIOS!$Y$16:$Y$39))*$J279+$Z279)))</f>
        <v>#N/A</v>
      </c>
    </row>
    <row r="280" spans="1:37" ht="25.8" hidden="1" x14ac:dyDescent="0.4">
      <c r="A280" s="41"/>
      <c r="B280" s="33">
        <f>_xlfn.XLOOKUP($A280,'[1]DATOS PBI Artículos'!A:A,'[1]DATOS PBI Artículos'!B:B)</f>
        <v>0</v>
      </c>
      <c r="C280" s="33">
        <f>_xlfn.XLOOKUP($A280,'[1]DATOS PBI Artículos'!A:A,'[1]DATOS PBI Artículos'!C:C)</f>
        <v>0</v>
      </c>
      <c r="D280" s="33">
        <f>_xlfn.XLOOKUP(A280,'[1]DATOS PBI Artículos'!A:A,'[1]DATOS PBI Artículos'!T:T)</f>
        <v>0</v>
      </c>
      <c r="E280" s="34">
        <f>IF(_xlfn.XLOOKUP($A280,'[1]DATOS PBI Artículos'!A:A,'[1]DATOS PBI Artículos'!AK:AK)="",_xlfn.XLOOKUP($A280,'[1]DATOS PBI Artículos'!A:A,'[1]DATOS PBI Artículos'!AJ:AJ),_xlfn.XLOOKUP($A280,'[1]DATOS PBI Artículos'!A:A,'[1]DATOS PBI Artículos'!AK:AK))</f>
        <v>0</v>
      </c>
      <c r="F280" s="35">
        <f>_xlfn.XLOOKUP($A280,'[1]DATOS PBI Artículos'!A:A,'[1]DATOS PBI Artículos'!AP:AP)</f>
        <v>0</v>
      </c>
      <c r="G280" s="34">
        <f>_xlfn.XLOOKUP($A280,'[1]DATOS PBI Artículos'!A:A,'[1]DATOS PBI Artículos'!AR:AR)</f>
        <v>0</v>
      </c>
      <c r="H280" s="34">
        <f>_xlfn.XLOOKUP($A280,'[1]DATOS PBI Artículos'!A:A,'[1]DATOS PBI Artículos'!AT:AT)</f>
        <v>0</v>
      </c>
      <c r="I280" s="34">
        <f>_xlfn.XLOOKUP($A280,'[1]DATOS PBI Artículos'!A:A,'[1]DATOS PBI Artículos'!AS:AS)</f>
        <v>0</v>
      </c>
      <c r="J280" s="35">
        <f>IF(COUNTIF([1]CRITERIOS!$F$179:$F$199,$A280)&gt;=1,
 IF(O280&lt;&gt;"",
    (O280/_xlfn.XLOOKUP(CONCATENATE(A280,L280),[1]MÁQUINAS!A:A,[1]MÁQUINAS!D:D))/24,
    (N280/_xlfn.XLOOKUP(CONCATENATE(A280,L280),[1]MÁQUINAS!A:A,[1]MÁQUINAS!D:D))/24),
  _xlfn.XLOOKUP($A280,'[1]DATOS PBI Artículos'!A:A,'[1]DATOS PBI Artículos'!AU:AU))</f>
        <v>0</v>
      </c>
      <c r="K280" s="36">
        <f>_xlfn.XLOOKUP($A280,'[1]DATOS PBI Artículos'!A:A,'[1]DATOS PBI Artículos'!AV:AV)</f>
        <v>0</v>
      </c>
      <c r="L280" s="33">
        <f>_xlfn.XLOOKUP(A280,[1]MÁQUINAS!B:B,[1]MÁQUINAS!C:C)</f>
        <v>0</v>
      </c>
      <c r="M280" s="34">
        <f t="array" ref="M280">_xlfn.XLOOKUP(A280,'[1]DATOS PBI Artículos'!A:A,'[1]DATOS PBI Artículos'!AX:$AX)</f>
        <v>0</v>
      </c>
      <c r="N280" s="37" t="e">
        <f>IF(I280="DV",
E280,
IF(COUNTIF([1]CRITERIOS!$I$179:$I$199,$A280)&gt;=1,
_xlfn.XLOOKUP($A280,[1]CRITERIOS!$I$179:$I$199,[1]CRITERIOS!$J$179:$J$199),
IF(COUNTIF([1]CRITERIOS!$L$179:$L$199,$A280)&gt;=1,
_xlfn.CEILING.MATH(IF($M280&gt;$E280,
$E280,
IF($M280&lt;$E280/ROUNDDOWN([1]CRITERIOS!$M$16/_xlfn.XLOOKUP($C280,[1]CRITERIOS!$K$25:$K$42,[1]CRITERIOS!$M$25:$M$42),
1),
E280/ROUNDDOWN([1]CRITERIOS!$M$16/_xlfn.XLOOKUP($C280,[1]CRITERIOS!$K$25:$K$42,[1]CRITERIOS!$M$25:$M$42),
1),
$M280)),
_xlfn.XLOOKUP($A280,[1]CRITERIOS!$L$179:$L$200,[1]CRITERIOS!$M$179:$M$200)),
_xlfn.CEILING.MATH(IF($M280&gt;$E280,
$E280,
IF($M280&lt;$E280/ROUNDDOWN([1]CRITERIOS!$M$16/_xlfn.XLOOKUP($C280,[1]CRITERIOS!$K$25:$K$42,[1]CRITERIOS!$M$25:$M$42),
1),
E280/ROUNDDOWN([1]CRITERIOS!$M$16/_xlfn.XLOOKUP($C280,[1]CRITERIOS!$K$25:$K$42,[1]CRITERIOS!$M$25:$M$42),
1),
$M280)),_xlfn.XLOOKUP(A280,'[1]DATOS PBI Artículos'!A:A,'[1]DATOS PBI Artículos'!Z:Z
)))))</f>
        <v>#N/A</v>
      </c>
      <c r="Q280" s="38" t="e">
        <f>IF(AND(O280="",N280=0),
0,
   IF(COUNTIF([1]CRITERIOS!$F$179:$F$199,$A280)&gt;=1,
   1,
   IF(R280="MTO",
      $D280,
      ROUNDUP(
                    IF(($E280-SUMIF('[1]DATOS PBI Artículos'!A:A,A280,'[1]DATOS PBI Artículos'!X:X)+($V280-_xlfn.XLOOKUP(A280,'[1]DATOS PBI Artículos'!A:A,'[1]DATOS PBI Artículos'!W:W)))&lt;0,
                    0,
                    IF(($E280-SUMIF('[1]DATOS PBI Artículos'!A:A,A280,'[1]DATOS PBI Artículos'!X:X)+$V280-_xlfn.XLOOKUP($A280,'[1]DATOS PBI Artículos'!A:A,'[1]DATOS PBI Artículos'!W:W))/IF($O280="",$N280,$O280)&gt;ROUNDUP([1]CRITERIOS!$M$16/(IF(COUNTIF([1]CRITERIOS!$BG$11:$BG$201,L280)&gt;=1,_xlfn.XLOOKUP($C280,[1]CRITERIOS!$K$25:$K$42,[1]CRITERIOS!$M$25:$M$42),_xlfn.XLOOKUP($C280,[1]CRITERIOS!$K$25:$K$42,[1]CRITERIOS!$M$25:$M$42))),0),
                    ROUNDUP([1]CRITERIOS!$M$16/(IF(COUNTIF([1]CRITERIOS!$BG$11:$BG$201,$L280)&gt;=1,_xlfn.XLOOKUP($C280,[1]CRITERIOS!$K$25:$K$42,[1]CRITERIOS!$M$25:$M$42),_xlfn.XLOOKUP($C280,[1]CRITERIOS!$K$25:$K$42,[1]CRITERIOS!$M$25:$M$42))),0),
                    (E280+V280-SUMIF('[1]DATOS PBI Artículos'!A:A,A280,'[1]DATOS PBI Artículos'!X:X)-_xlfn.XLOOKUP(A280,'[1]DATOS PBI Artículos'!A:A,'[1]DATOS PBI Artículos'!W:W))/IF($O280="",$N280,$O280))),0))))</f>
        <v>#N/A</v>
      </c>
      <c r="R280" s="33" t="e">
        <f>IF(U280&lt;&gt;"",U280,IF(F280="DV","MTO",IF(N280=0,"MTO",_xlfn.XLOOKUP(CONCATENATE(S280,T280),[1]CRITERIOS!$K$160:$K$168,[1]CRITERIOS!$N$160:$N$168))))</f>
        <v>#N/A</v>
      </c>
      <c r="S280" s="33" t="e">
        <f>IF(G280="DV","MTO",IF(N280=0,"MTO",IF(OR(AND(N280=0,O280=""),IF(O280="",G280/N280,G280/O280)&gt;[1]CRITERIOS!$G$163),"MTO",IF(IF(O280="",G280/N280,G280/O280)&lt;[1]CRITERIOS!$H$161,"MTS","MTOS"))))</f>
        <v>#N/A</v>
      </c>
      <c r="T280" s="33" t="e">
        <f>IF(F280="DV","MTO",IF(OR(AND($N280=0,O280=""),$F280/$J280&gt;[1]CRITERIOS!$G$170,$F280="DV"),"MTO",IF($F280/$J280&lt;[1]CRITERIOS!$H$168,"MTS","MTOS")))</f>
        <v>#N/A</v>
      </c>
      <c r="V280" s="34" t="e">
        <f t="shared" si="13"/>
        <v>#N/A</v>
      </c>
      <c r="X280" s="34" t="e">
        <f t="shared" si="14"/>
        <v>#N/A</v>
      </c>
      <c r="Y280" s="34" t="e">
        <f t="shared" si="15"/>
        <v>#N/A</v>
      </c>
      <c r="Z280" s="34" t="e">
        <f>IF($R280="MTO",
0,
($H280+$K280*($E280/[1]CRITERIOS!$M$16))/[1]CRITERIOS!$X$48)</f>
        <v>#N/A</v>
      </c>
      <c r="AA280" s="34" t="e">
        <f>ROUNDUP(($Y280/_xlfn.XLOOKUP($A280,'[1]DATOS PBI Artículos'!$A$4:$A$4,'[1]DATOS PBI Artículos'!$Z$4:$Z$4))/_xlfn.XLOOKUP(_xlfn.XLOOKUP($A280,'[1]DATOS PBI Artículos'!$A$4:$A$4,'[1]DATOS PBI Artículos'!$Y$4:$Y$4),[1]CRITERIOS!$P$79:$P$123,[1]CRITERIOS!$S$79:$S$123,),0)</f>
        <v>#N/A</v>
      </c>
      <c r="AB280" s="33" t="e">
        <f t="array" ref="AB280">IF((E280+V280-_xlfn.XLOOKUP(A280,'[1]DATOS PBI Artículos'!$A$4:$A$4,'[1]DATOS PBI Artículos'!$W$4:$W$4))/N280&gt;ROUNDUP([1]CRITERIOS!$M$16/(IF(COUNTIF([1]CRITERIOS!$BG$11:$BG$201,L280)&gt;=1,_xlfn.XLOOKUP(ARTÍCULOS!L280,[1]CRITERIOS!$BG$11:$BG$201,[1]CRITERIOS!$BJ$11:$BJ$201),_xlfn.XLOOKUP(ARTÍCULOS!C280,[1]CRITERIOS!$K$25:$K$42,[1]CRITERIOS!$M$25:$M$42))),0),ROUNDUP([1]CRITERIOS!$M$16/(IF(COUNTIF([1]CRITERIOS!$BG$11:$BG$201,L280)&gt;=1,_xlfn.XLOOKUP(ARTÍCULOS!L280,[1]CRITERIOS!$BG$11:$BG$201:#REF!,[1]CRITERIOS!$BJ$11:$BJ$201),_xlfn.XLOOKUP(ARTÍCULOS!C280,[1]CRITERIOS!$K$25:$K$42,[1]CRITERIOS!$M$25:$M$42))),0),(E280+V280-_xlfn.XLOOKUP(A280,'[1]DATOS PBI Artículos'!$A$4:$A$4,'[1]DATOS PBI Artículos'!$W$4:$W$4))/N280)</f>
        <v>#N/A</v>
      </c>
      <c r="AC280" s="33" t="e">
        <f>IF(N280=0,"",(ROUNDUP((N280/2)/(_xlfn.XLOOKUP(A280,'[1]DATOS PBI Artículos'!$A$4:$A$4,'[1]DATOS PBI Artículos'!$Z$4:$Z$4)*_xlfn.XLOOKUP(_xlfn.XLOOKUP(A280,'[1]DATOS PBI Artículos'!$A$4:$A$4,'[1]DATOS PBI Artículos'!$Y$4:$Y$4),[1]CRITERIOS!$P$79:$P$123,[1]CRITERIOS!$S$79:$S$123)),0)*[1]CRITERIOS!$M$80*([1]CRITERIOS!$M$110/[1]CRITERIOS!$M$86)+(_xlfn.XLOOKUP(A280,'[1]DATOS PBI Artículos'!$A$4:$A$4,'[1]DATOS PBI Artículos'!$AA$4:$AA$4)*([1]CRITERIOS!$M$95+[1]CRITERIOS!$M$98)))/N280)</f>
        <v>#N/A</v>
      </c>
      <c r="AD280" s="33" t="e">
        <f>IF(N280=0,"",(ROUNDUP((N280/2)/(_xlfn.XLOOKUP(A280,'[1]DATOS PBI Artículos'!$A$4:$A$4,'[1]DATOS PBI Artículos'!$Z$4:$Z$4)*_xlfn.XLOOKUP(_xlfn.XLOOKUP(A280,'[1]DATOS PBI Artículos'!$A$4:$A$4,'[1]DATOS PBI Artículos'!$Y$4:$Y$4),[1]CRITERIOS!$P$79:$P$123,[1]CRITERIOS!$S$79:$S$123)),0)*[1]CRITERIOS!$M$80*([1]CRITERIOS!$M$89*[1]CRITERIOS!$M$92)+((_xlfn.XLOOKUP(A280,'[1]DATOS PBI Artículos'!$A$4:$A$4,'[1]DATOS PBI Artículos'!$AA$4:$AA$4)/2)*([1]CRITERIOS!$M$95+[1]CRITERIOS!$M$98)))/N280)</f>
        <v>#N/A</v>
      </c>
      <c r="AE280" s="39" t="e">
        <f>IF($R280="MTO","",
IF($H280=0,ROUNDUP(((_xlfn.XLOOKUP($A280,'[1]DATOS PBI Artículos'!$A:$A,'[1]DATOS PBI Artículos'!$AL:$AL))/(_xlfn.XLOOKUP($AF$1,[1]CRITERIOS!$S$16:$S$39,[1]CRITERIOS!$Y$16:$Y$39))*$J280+$Z280)/$G280,0)*$G280,
((_xlfn.XLOOKUP($A280,'[1]DATOS PBI Artículos'!$A:$A,'[1]DATOS PBI Artículos'!$AL:$AL))/(_xlfn.XLOOKUP($AF$1,[1]CRITERIOS!$S$16:$S$39,[1]CRITERIOS!$Y$16:$Y$39))*$J280+$Z280)))</f>
        <v>#N/A</v>
      </c>
      <c r="AG280" s="39" t="e">
        <f>IF($R280="MTO","",
IF($H280=0,ROUNDUP(((_xlfn.XLOOKUP($A280,'[1]DATOS PBI Artículos'!$A:$A,'[1]DATOS PBI Artículos'!$AM:$AM))/(_xlfn.XLOOKUP($AH$1,[1]CRITERIOS!$S$16:$S$39,[1]CRITERIOS!$Y$16:$Y$39))*$J280+$Z280)/$G280,0)*$G280,
((_xlfn.XLOOKUP($A280,'[1]DATOS PBI Artículos'!$A:$A,'[1]DATOS PBI Artículos'!$AM:$AM))/(_xlfn.XLOOKUP($AH$1,[1]CRITERIOS!$S$16:$S$39,[1]CRITERIOS!$Y$16:$Y$39))*$J280+$Z280)))</f>
        <v>#N/A</v>
      </c>
      <c r="AI280" s="39" t="e">
        <f>IF($R280="MTO","",
IF($H280=0,ROUNDUP(((_xlfn.XLOOKUP($A280,'[1]DATOS PBI Artículos'!$A:$A,'[1]DATOS PBI Artículos'!$AN:$AN))/(_xlfn.XLOOKUP($AJ$1,[1]CRITERIOS!$S$16:$S$39,[1]CRITERIOS!$Y$16:$Y$39))*$J280+$Z280)/$G280,0)*$G280,
((_xlfn.XLOOKUP($A280,'[1]DATOS PBI Artículos'!$A:$A,'[1]DATOS PBI Artículos'!$AN:$AN))/(_xlfn.XLOOKUP($AJ$1,[1]CRITERIOS!$S$16:$S$39,[1]CRITERIOS!$Y$16:$Y$39))*$J280+$Z280)))</f>
        <v>#N/A</v>
      </c>
      <c r="AK280" s="39" t="e">
        <f>IF($R280="MTO","",
IF($H280=0,ROUNDUP(((_xlfn.XLOOKUP($A280,'[1]DATOS PBI Artículos'!$A:$A,'[1]DATOS PBI Artículos'!$AO:$AO))/(_xlfn.XLOOKUP($AL$1,[1]CRITERIOS!$S$16:$S$39,[1]CRITERIOS!$Y$16:$Y$39))*$J280+$Z280)/$G280,0)*$G280,
((_xlfn.XLOOKUP($A280,'[1]DATOS PBI Artículos'!$A:$A,'[1]DATOS PBI Artículos'!$AO:$AO))/(_xlfn.XLOOKUP($AL$1,[1]CRITERIOS!$S$16:$S$39,[1]CRITERIOS!$Y$16:$Y$39))*$J280+$Z280)))</f>
        <v>#N/A</v>
      </c>
    </row>
    <row r="281" spans="1:37" ht="25.8" hidden="1" x14ac:dyDescent="0.4">
      <c r="A281" s="41"/>
      <c r="B281" s="33">
        <f>_xlfn.XLOOKUP($A281,'[1]DATOS PBI Artículos'!A:A,'[1]DATOS PBI Artículos'!B:B)</f>
        <v>0</v>
      </c>
      <c r="C281" s="33">
        <f>_xlfn.XLOOKUP($A281,'[1]DATOS PBI Artículos'!A:A,'[1]DATOS PBI Artículos'!C:C)</f>
        <v>0</v>
      </c>
      <c r="D281" s="33">
        <f>_xlfn.XLOOKUP(A281,'[1]DATOS PBI Artículos'!A:A,'[1]DATOS PBI Artículos'!T:T)</f>
        <v>0</v>
      </c>
      <c r="E281" s="34">
        <f>IF(_xlfn.XLOOKUP($A281,'[1]DATOS PBI Artículos'!A:A,'[1]DATOS PBI Artículos'!AK:AK)="",_xlfn.XLOOKUP($A281,'[1]DATOS PBI Artículos'!A:A,'[1]DATOS PBI Artículos'!AJ:AJ),_xlfn.XLOOKUP($A281,'[1]DATOS PBI Artículos'!A:A,'[1]DATOS PBI Artículos'!AK:AK))</f>
        <v>0</v>
      </c>
      <c r="F281" s="35">
        <f>_xlfn.XLOOKUP($A281,'[1]DATOS PBI Artículos'!A:A,'[1]DATOS PBI Artículos'!AP:AP)</f>
        <v>0</v>
      </c>
      <c r="G281" s="34">
        <f>_xlfn.XLOOKUP($A281,'[1]DATOS PBI Artículos'!A:A,'[1]DATOS PBI Artículos'!AR:AR)</f>
        <v>0</v>
      </c>
      <c r="H281" s="34">
        <f>_xlfn.XLOOKUP($A281,'[1]DATOS PBI Artículos'!A:A,'[1]DATOS PBI Artículos'!AT:AT)</f>
        <v>0</v>
      </c>
      <c r="I281" s="34">
        <f>_xlfn.XLOOKUP($A281,'[1]DATOS PBI Artículos'!A:A,'[1]DATOS PBI Artículos'!AS:AS)</f>
        <v>0</v>
      </c>
      <c r="J281" s="35">
        <f>IF(COUNTIF([1]CRITERIOS!$F$179:$F$199,$A281)&gt;=1,
 IF(O281&lt;&gt;"",
    (O281/_xlfn.XLOOKUP(CONCATENATE(A281,L281),[1]MÁQUINAS!A:A,[1]MÁQUINAS!D:D))/24,
    (N281/_xlfn.XLOOKUP(CONCATENATE(A281,L281),[1]MÁQUINAS!A:A,[1]MÁQUINAS!D:D))/24),
  _xlfn.XLOOKUP($A281,'[1]DATOS PBI Artículos'!A:A,'[1]DATOS PBI Artículos'!AU:AU))</f>
        <v>0</v>
      </c>
      <c r="K281" s="36">
        <f>_xlfn.XLOOKUP($A281,'[1]DATOS PBI Artículos'!A:A,'[1]DATOS PBI Artículos'!AV:AV)</f>
        <v>0</v>
      </c>
      <c r="L281" s="33">
        <f>_xlfn.XLOOKUP(A281,[1]MÁQUINAS!B:B,[1]MÁQUINAS!C:C)</f>
        <v>0</v>
      </c>
      <c r="M281" s="34">
        <f t="array" ref="M281">_xlfn.XLOOKUP(A281,'[1]DATOS PBI Artículos'!A:A,'[1]DATOS PBI Artículos'!AX:$AX)</f>
        <v>0</v>
      </c>
      <c r="N281" s="37" t="e">
        <f>IF(I281="DV",
E281,
IF(COUNTIF([1]CRITERIOS!$I$179:$I$199,$A281)&gt;=1,
_xlfn.XLOOKUP($A281,[1]CRITERIOS!$I$179:$I$199,[1]CRITERIOS!$J$179:$J$199),
IF(COUNTIF([1]CRITERIOS!$L$179:$L$199,$A281)&gt;=1,
_xlfn.CEILING.MATH(IF($M281&gt;$E281,
$E281,
IF($M281&lt;$E281/ROUNDDOWN([1]CRITERIOS!$M$16/_xlfn.XLOOKUP($C281,[1]CRITERIOS!$K$25:$K$42,[1]CRITERIOS!$M$25:$M$42),
1),
E281/ROUNDDOWN([1]CRITERIOS!$M$16/_xlfn.XLOOKUP($C281,[1]CRITERIOS!$K$25:$K$42,[1]CRITERIOS!$M$25:$M$42),
1),
$M281)),
_xlfn.XLOOKUP($A281,[1]CRITERIOS!$L$179:$L$200,[1]CRITERIOS!$M$179:$M$200)),
_xlfn.CEILING.MATH(IF($M281&gt;$E281,
$E281,
IF($M281&lt;$E281/ROUNDDOWN([1]CRITERIOS!$M$16/_xlfn.XLOOKUP($C281,[1]CRITERIOS!$K$25:$K$42,[1]CRITERIOS!$M$25:$M$42),
1),
E281/ROUNDDOWN([1]CRITERIOS!$M$16/_xlfn.XLOOKUP($C281,[1]CRITERIOS!$K$25:$K$42,[1]CRITERIOS!$M$25:$M$42),
1),
$M281)),_xlfn.XLOOKUP(A281,'[1]DATOS PBI Artículos'!A:A,'[1]DATOS PBI Artículos'!Z:Z
)))))</f>
        <v>#N/A</v>
      </c>
      <c r="Q281" s="38" t="e">
        <f>IF(AND(O281="",N281=0),
0,
   IF(COUNTIF([1]CRITERIOS!$F$179:$F$199,$A281)&gt;=1,
   1,
   IF(R281="MTO",
      $D281,
      ROUNDUP(
                    IF(($E281-SUMIF('[1]DATOS PBI Artículos'!A:A,A281,'[1]DATOS PBI Artículos'!X:X)+($V281-_xlfn.XLOOKUP(A281,'[1]DATOS PBI Artículos'!A:A,'[1]DATOS PBI Artículos'!W:W)))&lt;0,
                    0,
                    IF(($E281-SUMIF('[1]DATOS PBI Artículos'!A:A,A281,'[1]DATOS PBI Artículos'!X:X)+$V281-_xlfn.XLOOKUP($A281,'[1]DATOS PBI Artículos'!A:A,'[1]DATOS PBI Artículos'!W:W))/IF($O281="",$N281,$O281)&gt;ROUNDUP([1]CRITERIOS!$M$16/(IF(COUNTIF([1]CRITERIOS!$BG$11:$BG$201,L281)&gt;=1,_xlfn.XLOOKUP($C281,[1]CRITERIOS!$K$25:$K$42,[1]CRITERIOS!$M$25:$M$42),_xlfn.XLOOKUP($C281,[1]CRITERIOS!$K$25:$K$42,[1]CRITERIOS!$M$25:$M$42))),0),
                    ROUNDUP([1]CRITERIOS!$M$16/(IF(COUNTIF([1]CRITERIOS!$BG$11:$BG$201,$L281)&gt;=1,_xlfn.XLOOKUP($C281,[1]CRITERIOS!$K$25:$K$42,[1]CRITERIOS!$M$25:$M$42),_xlfn.XLOOKUP($C281,[1]CRITERIOS!$K$25:$K$42,[1]CRITERIOS!$M$25:$M$42))),0),
                    (E281+V281-SUMIF('[1]DATOS PBI Artículos'!A:A,A281,'[1]DATOS PBI Artículos'!X:X)-_xlfn.XLOOKUP(A281,'[1]DATOS PBI Artículos'!A:A,'[1]DATOS PBI Artículos'!W:W))/IF($O281="",$N281,$O281))),0))))</f>
        <v>#N/A</v>
      </c>
      <c r="R281" s="33" t="e">
        <f>IF(U281&lt;&gt;"",U281,IF(F281="DV","MTO",IF(N281=0,"MTO",_xlfn.XLOOKUP(CONCATENATE(S281,T281),[1]CRITERIOS!$K$160:$K$168,[1]CRITERIOS!$N$160:$N$168))))</f>
        <v>#N/A</v>
      </c>
      <c r="S281" s="33" t="e">
        <f>IF(G281="DV","MTO",IF(N281=0,"MTO",IF(OR(AND(N281=0,O281=""),IF(O281="",G281/N281,G281/O281)&gt;[1]CRITERIOS!$G$163),"MTO",IF(IF(O281="",G281/N281,G281/O281)&lt;[1]CRITERIOS!$H$161,"MTS","MTOS"))))</f>
        <v>#N/A</v>
      </c>
      <c r="T281" s="33" t="e">
        <f>IF(F281="DV","MTO",IF(OR(AND($N281=0,O281=""),$F281/$J281&gt;[1]CRITERIOS!$G$170,$F281="DV"),"MTO",IF($F281/$J281&lt;[1]CRITERIOS!$H$168,"MTS","MTOS")))</f>
        <v>#N/A</v>
      </c>
      <c r="V281" s="34" t="e">
        <f t="shared" ref="V281:V344" si="16">IF(R281="MTO","",
IF($H281=0,(((($J281/$F281)*$G281)+$Z281)/$G281)*$G281,
(($J281/$F281)*$G281)+$Z281))</f>
        <v>#N/A</v>
      </c>
      <c r="X281" s="34" t="e">
        <f t="shared" si="14"/>
        <v>#N/A</v>
      </c>
      <c r="Y281" s="34" t="e">
        <f t="shared" si="15"/>
        <v>#N/A</v>
      </c>
      <c r="Z281" s="34" t="e">
        <f>IF($R281="MTO",
0,
($H281+$K281*($E281/[1]CRITERIOS!$M$16))/[1]CRITERIOS!$X$48)</f>
        <v>#N/A</v>
      </c>
      <c r="AA281" s="34" t="e">
        <f>ROUNDUP(($Y281/_xlfn.XLOOKUP($A281,'[1]DATOS PBI Artículos'!$A$4:$A$4,'[1]DATOS PBI Artículos'!$Z$4:$Z$4))/_xlfn.XLOOKUP(_xlfn.XLOOKUP($A281,'[1]DATOS PBI Artículos'!$A$4:$A$4,'[1]DATOS PBI Artículos'!$Y$4:$Y$4),[1]CRITERIOS!$P$79:$P$123,[1]CRITERIOS!$S$79:$S$123,),0)</f>
        <v>#N/A</v>
      </c>
      <c r="AB281" s="33" t="e">
        <f t="array" ref="AB281">IF((E281+V281-_xlfn.XLOOKUP(A281,'[1]DATOS PBI Artículos'!$A$4:$A$4,'[1]DATOS PBI Artículos'!$W$4:$W$4))/N281&gt;ROUNDUP([1]CRITERIOS!$M$16/(IF(COUNTIF([1]CRITERIOS!$BG$11:$BG$201,L281)&gt;=1,_xlfn.XLOOKUP(ARTÍCULOS!L281,[1]CRITERIOS!$BG$11:$BG$201,[1]CRITERIOS!$BJ$11:$BJ$201),_xlfn.XLOOKUP(ARTÍCULOS!C281,[1]CRITERIOS!$K$25:$K$42,[1]CRITERIOS!$M$25:$M$42))),0),ROUNDUP([1]CRITERIOS!$M$16/(IF(COUNTIF([1]CRITERIOS!$BG$11:$BG$201,L281)&gt;=1,_xlfn.XLOOKUP(ARTÍCULOS!L281,[1]CRITERIOS!$BG$11:$BG$201:#REF!,[1]CRITERIOS!$BJ$11:$BJ$201),_xlfn.XLOOKUP(ARTÍCULOS!C281,[1]CRITERIOS!$K$25:$K$42,[1]CRITERIOS!$M$25:$M$42))),0),(E281+V281-_xlfn.XLOOKUP(A281,'[1]DATOS PBI Artículos'!$A$4:$A$4,'[1]DATOS PBI Artículos'!$W$4:$W$4))/N281)</f>
        <v>#N/A</v>
      </c>
      <c r="AC281" s="33" t="e">
        <f>IF(N281=0,"",(ROUNDUP((N281/2)/(_xlfn.XLOOKUP(A281,'[1]DATOS PBI Artículos'!$A$4:$A$4,'[1]DATOS PBI Artículos'!$Z$4:$Z$4)*_xlfn.XLOOKUP(_xlfn.XLOOKUP(A281,'[1]DATOS PBI Artículos'!$A$4:$A$4,'[1]DATOS PBI Artículos'!$Y$4:$Y$4),[1]CRITERIOS!$P$79:$P$123,[1]CRITERIOS!$S$79:$S$123)),0)*[1]CRITERIOS!$M$80*([1]CRITERIOS!$M$110/[1]CRITERIOS!$M$86)+(_xlfn.XLOOKUP(A281,'[1]DATOS PBI Artículos'!$A$4:$A$4,'[1]DATOS PBI Artículos'!$AA$4:$AA$4)*([1]CRITERIOS!$M$95+[1]CRITERIOS!$M$98)))/N281)</f>
        <v>#N/A</v>
      </c>
      <c r="AD281" s="33" t="e">
        <f>IF(N281=0,"",(ROUNDUP((N281/2)/(_xlfn.XLOOKUP(A281,'[1]DATOS PBI Artículos'!$A$4:$A$4,'[1]DATOS PBI Artículos'!$Z$4:$Z$4)*_xlfn.XLOOKUP(_xlfn.XLOOKUP(A281,'[1]DATOS PBI Artículos'!$A$4:$A$4,'[1]DATOS PBI Artículos'!$Y$4:$Y$4),[1]CRITERIOS!$P$79:$P$123,[1]CRITERIOS!$S$79:$S$123)),0)*[1]CRITERIOS!$M$80*([1]CRITERIOS!$M$89*[1]CRITERIOS!$M$92)+((_xlfn.XLOOKUP(A281,'[1]DATOS PBI Artículos'!$A$4:$A$4,'[1]DATOS PBI Artículos'!$AA$4:$AA$4)/2)*([1]CRITERIOS!$M$95+[1]CRITERIOS!$M$98)))/N281)</f>
        <v>#N/A</v>
      </c>
      <c r="AE281" s="39" t="e">
        <f>IF($R281="MTO","",
IF($H281=0,ROUNDUP(((_xlfn.XLOOKUP($A281,'[1]DATOS PBI Artículos'!$A:$A,'[1]DATOS PBI Artículos'!$AL:$AL))/(_xlfn.XLOOKUP($AF$1,[1]CRITERIOS!$S$16:$S$39,[1]CRITERIOS!$Y$16:$Y$39))*$J281+$Z281)/$G281,0)*$G281,
((_xlfn.XLOOKUP($A281,'[1]DATOS PBI Artículos'!$A:$A,'[1]DATOS PBI Artículos'!$AL:$AL))/(_xlfn.XLOOKUP($AF$1,[1]CRITERIOS!$S$16:$S$39,[1]CRITERIOS!$Y$16:$Y$39))*$J281+$Z281)))</f>
        <v>#N/A</v>
      </c>
      <c r="AG281" s="39" t="e">
        <f>IF($R281="MTO","",
IF($H281=0,ROUNDUP(((_xlfn.XLOOKUP($A281,'[1]DATOS PBI Artículos'!$A:$A,'[1]DATOS PBI Artículos'!$AM:$AM))/(_xlfn.XLOOKUP($AH$1,[1]CRITERIOS!$S$16:$S$39,[1]CRITERIOS!$Y$16:$Y$39))*$J281+$Z281)/$G281,0)*$G281,
((_xlfn.XLOOKUP($A281,'[1]DATOS PBI Artículos'!$A:$A,'[1]DATOS PBI Artículos'!$AM:$AM))/(_xlfn.XLOOKUP($AH$1,[1]CRITERIOS!$S$16:$S$39,[1]CRITERIOS!$Y$16:$Y$39))*$J281+$Z281)))</f>
        <v>#N/A</v>
      </c>
      <c r="AI281" s="39" t="e">
        <f>IF($R281="MTO","",
IF($H281=0,ROUNDUP(((_xlfn.XLOOKUP($A281,'[1]DATOS PBI Artículos'!$A:$A,'[1]DATOS PBI Artículos'!$AN:$AN))/(_xlfn.XLOOKUP($AJ$1,[1]CRITERIOS!$S$16:$S$39,[1]CRITERIOS!$Y$16:$Y$39))*$J281+$Z281)/$G281,0)*$G281,
((_xlfn.XLOOKUP($A281,'[1]DATOS PBI Artículos'!$A:$A,'[1]DATOS PBI Artículos'!$AN:$AN))/(_xlfn.XLOOKUP($AJ$1,[1]CRITERIOS!$S$16:$S$39,[1]CRITERIOS!$Y$16:$Y$39))*$J281+$Z281)))</f>
        <v>#N/A</v>
      </c>
      <c r="AK281" s="39" t="e">
        <f>IF($R281="MTO","",
IF($H281=0,ROUNDUP(((_xlfn.XLOOKUP($A281,'[1]DATOS PBI Artículos'!$A:$A,'[1]DATOS PBI Artículos'!$AO:$AO))/(_xlfn.XLOOKUP($AL$1,[1]CRITERIOS!$S$16:$S$39,[1]CRITERIOS!$Y$16:$Y$39))*$J281+$Z281)/$G281,0)*$G281,
((_xlfn.XLOOKUP($A281,'[1]DATOS PBI Artículos'!$A:$A,'[1]DATOS PBI Artículos'!$AO:$AO))/(_xlfn.XLOOKUP($AL$1,[1]CRITERIOS!$S$16:$S$39,[1]CRITERIOS!$Y$16:$Y$39))*$J281+$Z281)))</f>
        <v>#N/A</v>
      </c>
    </row>
    <row r="282" spans="1:37" ht="25.8" hidden="1" x14ac:dyDescent="0.4">
      <c r="A282" s="41"/>
      <c r="B282" s="33">
        <f>_xlfn.XLOOKUP($A282,'[1]DATOS PBI Artículos'!A:A,'[1]DATOS PBI Artículos'!B:B)</f>
        <v>0</v>
      </c>
      <c r="C282" s="33">
        <f>_xlfn.XLOOKUP($A282,'[1]DATOS PBI Artículos'!A:A,'[1]DATOS PBI Artículos'!C:C)</f>
        <v>0</v>
      </c>
      <c r="D282" s="33">
        <f>_xlfn.XLOOKUP(A282,'[1]DATOS PBI Artículos'!A:A,'[1]DATOS PBI Artículos'!T:T)</f>
        <v>0</v>
      </c>
      <c r="E282" s="34">
        <f>IF(_xlfn.XLOOKUP($A282,'[1]DATOS PBI Artículos'!A:A,'[1]DATOS PBI Artículos'!AK:AK)="",_xlfn.XLOOKUP($A282,'[1]DATOS PBI Artículos'!A:A,'[1]DATOS PBI Artículos'!AJ:AJ),_xlfn.XLOOKUP($A282,'[1]DATOS PBI Artículos'!A:A,'[1]DATOS PBI Artículos'!AK:AK))</f>
        <v>0</v>
      </c>
      <c r="F282" s="35">
        <f>_xlfn.XLOOKUP($A282,'[1]DATOS PBI Artículos'!A:A,'[1]DATOS PBI Artículos'!AP:AP)</f>
        <v>0</v>
      </c>
      <c r="G282" s="34">
        <f>_xlfn.XLOOKUP($A282,'[1]DATOS PBI Artículos'!A:A,'[1]DATOS PBI Artículos'!AR:AR)</f>
        <v>0</v>
      </c>
      <c r="H282" s="34">
        <f>_xlfn.XLOOKUP($A282,'[1]DATOS PBI Artículos'!A:A,'[1]DATOS PBI Artículos'!AT:AT)</f>
        <v>0</v>
      </c>
      <c r="I282" s="34">
        <f>_xlfn.XLOOKUP($A282,'[1]DATOS PBI Artículos'!A:A,'[1]DATOS PBI Artículos'!AS:AS)</f>
        <v>0</v>
      </c>
      <c r="J282" s="35">
        <f>IF(COUNTIF([1]CRITERIOS!$F$179:$F$199,$A282)&gt;=1,
 IF(O282&lt;&gt;"",
    (O282/_xlfn.XLOOKUP(CONCATENATE(A282,L282),[1]MÁQUINAS!A:A,[1]MÁQUINAS!D:D))/24,
    (N282/_xlfn.XLOOKUP(CONCATENATE(A282,L282),[1]MÁQUINAS!A:A,[1]MÁQUINAS!D:D))/24),
  _xlfn.XLOOKUP($A282,'[1]DATOS PBI Artículos'!A:A,'[1]DATOS PBI Artículos'!AU:AU))</f>
        <v>0</v>
      </c>
      <c r="K282" s="36">
        <f>_xlfn.XLOOKUP($A282,'[1]DATOS PBI Artículos'!A:A,'[1]DATOS PBI Artículos'!AV:AV)</f>
        <v>0</v>
      </c>
      <c r="L282" s="33">
        <f>_xlfn.XLOOKUP(A282,[1]MÁQUINAS!B:B,[1]MÁQUINAS!C:C)</f>
        <v>0</v>
      </c>
      <c r="M282" s="34">
        <f t="array" ref="M282">_xlfn.XLOOKUP(A282,'[1]DATOS PBI Artículos'!A:A,'[1]DATOS PBI Artículos'!AX:$AX)</f>
        <v>0</v>
      </c>
      <c r="N282" s="37" t="e">
        <f>IF(I282="DV",
E282,
IF(COUNTIF([1]CRITERIOS!$I$179:$I$199,$A282)&gt;=1,
_xlfn.XLOOKUP($A282,[1]CRITERIOS!$I$179:$I$199,[1]CRITERIOS!$J$179:$J$199),
IF(COUNTIF([1]CRITERIOS!$L$179:$L$199,$A282)&gt;=1,
_xlfn.CEILING.MATH(IF($M282&gt;$E282,
$E282,
IF($M282&lt;$E282/ROUNDDOWN([1]CRITERIOS!$M$16/_xlfn.XLOOKUP($C282,[1]CRITERIOS!$K$25:$K$42,[1]CRITERIOS!$M$25:$M$42),
1),
E282/ROUNDDOWN([1]CRITERIOS!$M$16/_xlfn.XLOOKUP($C282,[1]CRITERIOS!$K$25:$K$42,[1]CRITERIOS!$M$25:$M$42),
1),
$M282)),
_xlfn.XLOOKUP($A282,[1]CRITERIOS!$L$179:$L$200,[1]CRITERIOS!$M$179:$M$200)),
_xlfn.CEILING.MATH(IF($M282&gt;$E282,
$E282,
IF($M282&lt;$E282/ROUNDDOWN([1]CRITERIOS!$M$16/_xlfn.XLOOKUP($C282,[1]CRITERIOS!$K$25:$K$42,[1]CRITERIOS!$M$25:$M$42),
1),
E282/ROUNDDOWN([1]CRITERIOS!$M$16/_xlfn.XLOOKUP($C282,[1]CRITERIOS!$K$25:$K$42,[1]CRITERIOS!$M$25:$M$42),
1),
$M282)),_xlfn.XLOOKUP(A282,'[1]DATOS PBI Artículos'!A:A,'[1]DATOS PBI Artículos'!Z:Z
)))))</f>
        <v>#N/A</v>
      </c>
      <c r="Q282" s="38" t="e">
        <f>IF(AND(O282="",N282=0),
0,
   IF(COUNTIF([1]CRITERIOS!$F$179:$F$199,$A282)&gt;=1,
   1,
   IF(R282="MTO",
      $D282,
      ROUNDUP(
                    IF(($E282-SUMIF('[1]DATOS PBI Artículos'!A:A,A282,'[1]DATOS PBI Artículos'!X:X)+($V282-_xlfn.XLOOKUP(A282,'[1]DATOS PBI Artículos'!A:A,'[1]DATOS PBI Artículos'!W:W)))&lt;0,
                    0,
                    IF(($E282-SUMIF('[1]DATOS PBI Artículos'!A:A,A282,'[1]DATOS PBI Artículos'!X:X)+$V282-_xlfn.XLOOKUP($A282,'[1]DATOS PBI Artículos'!A:A,'[1]DATOS PBI Artículos'!W:W))/IF($O282="",$N282,$O282)&gt;ROUNDUP([1]CRITERIOS!$M$16/(IF(COUNTIF([1]CRITERIOS!$BG$11:$BG$201,L282)&gt;=1,_xlfn.XLOOKUP($C282,[1]CRITERIOS!$K$25:$K$42,[1]CRITERIOS!$M$25:$M$42),_xlfn.XLOOKUP($C282,[1]CRITERIOS!$K$25:$K$42,[1]CRITERIOS!$M$25:$M$42))),0),
                    ROUNDUP([1]CRITERIOS!$M$16/(IF(COUNTIF([1]CRITERIOS!$BG$11:$BG$201,$L282)&gt;=1,_xlfn.XLOOKUP($C282,[1]CRITERIOS!$K$25:$K$42,[1]CRITERIOS!$M$25:$M$42),_xlfn.XLOOKUP($C282,[1]CRITERIOS!$K$25:$K$42,[1]CRITERIOS!$M$25:$M$42))),0),
                    (E282+V282-SUMIF('[1]DATOS PBI Artículos'!A:A,A282,'[1]DATOS PBI Artículos'!X:X)-_xlfn.XLOOKUP(A282,'[1]DATOS PBI Artículos'!A:A,'[1]DATOS PBI Artículos'!W:W))/IF($O282="",$N282,$O282))),0))))</f>
        <v>#N/A</v>
      </c>
      <c r="R282" s="33" t="e">
        <f>IF(U282&lt;&gt;"",U282,IF(F282="DV","MTO",IF(N282=0,"MTO",_xlfn.XLOOKUP(CONCATENATE(S282,T282),[1]CRITERIOS!$K$160:$K$168,[1]CRITERIOS!$N$160:$N$168))))</f>
        <v>#N/A</v>
      </c>
      <c r="S282" s="33" t="e">
        <f>IF(G282="DV","MTO",IF(N282=0,"MTO",IF(OR(AND(N282=0,O282=""),IF(O282="",G282/N282,G282/O282)&gt;[1]CRITERIOS!$G$163),"MTO",IF(IF(O282="",G282/N282,G282/O282)&lt;[1]CRITERIOS!$H$161,"MTS","MTOS"))))</f>
        <v>#N/A</v>
      </c>
      <c r="T282" s="33" t="e">
        <f>IF(F282="DV","MTO",IF(OR(AND($N282=0,O282=""),$F282/$J282&gt;[1]CRITERIOS!$G$170,$F282="DV"),"MTO",IF($F282/$J282&lt;[1]CRITERIOS!$H$168,"MTS","MTOS")))</f>
        <v>#N/A</v>
      </c>
      <c r="V282" s="34" t="e">
        <f t="shared" si="16"/>
        <v>#N/A</v>
      </c>
      <c r="X282" s="34" t="e">
        <f t="shared" si="14"/>
        <v>#N/A</v>
      </c>
      <c r="Y282" s="34" t="e">
        <f t="shared" si="15"/>
        <v>#N/A</v>
      </c>
      <c r="Z282" s="34" t="e">
        <f>IF($R282="MTO",
0,
($H282+$K282*($E282/[1]CRITERIOS!$M$16))/[1]CRITERIOS!$X$48)</f>
        <v>#N/A</v>
      </c>
      <c r="AA282" s="34" t="e">
        <f>ROUNDUP(($Y282/_xlfn.XLOOKUP($A282,'[1]DATOS PBI Artículos'!$A$4:$A$4,'[1]DATOS PBI Artículos'!$Z$4:$Z$4))/_xlfn.XLOOKUP(_xlfn.XLOOKUP($A282,'[1]DATOS PBI Artículos'!$A$4:$A$4,'[1]DATOS PBI Artículos'!$Y$4:$Y$4),[1]CRITERIOS!$P$79:$P$123,[1]CRITERIOS!$S$79:$S$123,),0)</f>
        <v>#N/A</v>
      </c>
      <c r="AB282" s="33" t="e">
        <f t="array" ref="AB282">IF((E282+V282-_xlfn.XLOOKUP(A282,'[1]DATOS PBI Artículos'!$A$4:$A$4,'[1]DATOS PBI Artículos'!$W$4:$W$4))/N282&gt;ROUNDUP([1]CRITERIOS!$M$16/(IF(COUNTIF([1]CRITERIOS!$BG$11:$BG$201,L282)&gt;=1,_xlfn.XLOOKUP(ARTÍCULOS!L282,[1]CRITERIOS!$BG$11:$BG$201,[1]CRITERIOS!$BJ$11:$BJ$201),_xlfn.XLOOKUP(ARTÍCULOS!C282,[1]CRITERIOS!$K$25:$K$42,[1]CRITERIOS!$M$25:$M$42))),0),ROUNDUP([1]CRITERIOS!$M$16/(IF(COUNTIF([1]CRITERIOS!$BG$11:$BG$201,L282)&gt;=1,_xlfn.XLOOKUP(ARTÍCULOS!L282,[1]CRITERIOS!$BG$11:$BG$201:#REF!,[1]CRITERIOS!$BJ$11:$BJ$201),_xlfn.XLOOKUP(ARTÍCULOS!C282,[1]CRITERIOS!$K$25:$K$42,[1]CRITERIOS!$M$25:$M$42))),0),(E282+V282-_xlfn.XLOOKUP(A282,'[1]DATOS PBI Artículos'!$A$4:$A$4,'[1]DATOS PBI Artículos'!$W$4:$W$4))/N282)</f>
        <v>#N/A</v>
      </c>
      <c r="AC282" s="33" t="e">
        <f>IF(N282=0,"",(ROUNDUP((N282/2)/(_xlfn.XLOOKUP(A282,'[1]DATOS PBI Artículos'!$A$4:$A$4,'[1]DATOS PBI Artículos'!$Z$4:$Z$4)*_xlfn.XLOOKUP(_xlfn.XLOOKUP(A282,'[1]DATOS PBI Artículos'!$A$4:$A$4,'[1]DATOS PBI Artículos'!$Y$4:$Y$4),[1]CRITERIOS!$P$79:$P$123,[1]CRITERIOS!$S$79:$S$123)),0)*[1]CRITERIOS!$M$80*([1]CRITERIOS!$M$110/[1]CRITERIOS!$M$86)+(_xlfn.XLOOKUP(A282,'[1]DATOS PBI Artículos'!$A$4:$A$4,'[1]DATOS PBI Artículos'!$AA$4:$AA$4)*([1]CRITERIOS!$M$95+[1]CRITERIOS!$M$98)))/N282)</f>
        <v>#N/A</v>
      </c>
      <c r="AD282" s="33" t="e">
        <f>IF(N282=0,"",(ROUNDUP((N282/2)/(_xlfn.XLOOKUP(A282,'[1]DATOS PBI Artículos'!$A$4:$A$4,'[1]DATOS PBI Artículos'!$Z$4:$Z$4)*_xlfn.XLOOKUP(_xlfn.XLOOKUP(A282,'[1]DATOS PBI Artículos'!$A$4:$A$4,'[1]DATOS PBI Artículos'!$Y$4:$Y$4),[1]CRITERIOS!$P$79:$P$123,[1]CRITERIOS!$S$79:$S$123)),0)*[1]CRITERIOS!$M$80*([1]CRITERIOS!$M$89*[1]CRITERIOS!$M$92)+((_xlfn.XLOOKUP(A282,'[1]DATOS PBI Artículos'!$A$4:$A$4,'[1]DATOS PBI Artículos'!$AA$4:$AA$4)/2)*([1]CRITERIOS!$M$95+[1]CRITERIOS!$M$98)))/N282)</f>
        <v>#N/A</v>
      </c>
      <c r="AE282" s="39" t="e">
        <f>IF($R282="MTO","",
IF($H282=0,ROUNDUP(((_xlfn.XLOOKUP($A282,'[1]DATOS PBI Artículos'!$A:$A,'[1]DATOS PBI Artículos'!$AL:$AL))/(_xlfn.XLOOKUP($AF$1,[1]CRITERIOS!$S$16:$S$39,[1]CRITERIOS!$Y$16:$Y$39))*$J282+$Z282)/$G282,0)*$G282,
((_xlfn.XLOOKUP($A282,'[1]DATOS PBI Artículos'!$A:$A,'[1]DATOS PBI Artículos'!$AL:$AL))/(_xlfn.XLOOKUP($AF$1,[1]CRITERIOS!$S$16:$S$39,[1]CRITERIOS!$Y$16:$Y$39))*$J282+$Z282)))</f>
        <v>#N/A</v>
      </c>
      <c r="AG282" s="39" t="e">
        <f>IF($R282="MTO","",
IF($H282=0,ROUNDUP(((_xlfn.XLOOKUP($A282,'[1]DATOS PBI Artículos'!$A:$A,'[1]DATOS PBI Artículos'!$AM:$AM))/(_xlfn.XLOOKUP($AH$1,[1]CRITERIOS!$S$16:$S$39,[1]CRITERIOS!$Y$16:$Y$39))*$J282+$Z282)/$G282,0)*$G282,
((_xlfn.XLOOKUP($A282,'[1]DATOS PBI Artículos'!$A:$A,'[1]DATOS PBI Artículos'!$AM:$AM))/(_xlfn.XLOOKUP($AH$1,[1]CRITERIOS!$S$16:$S$39,[1]CRITERIOS!$Y$16:$Y$39))*$J282+$Z282)))</f>
        <v>#N/A</v>
      </c>
      <c r="AI282" s="39" t="e">
        <f>IF($R282="MTO","",
IF($H282=0,ROUNDUP(((_xlfn.XLOOKUP($A282,'[1]DATOS PBI Artículos'!$A:$A,'[1]DATOS PBI Artículos'!$AN:$AN))/(_xlfn.XLOOKUP($AJ$1,[1]CRITERIOS!$S$16:$S$39,[1]CRITERIOS!$Y$16:$Y$39))*$J282+$Z282)/$G282,0)*$G282,
((_xlfn.XLOOKUP($A282,'[1]DATOS PBI Artículos'!$A:$A,'[1]DATOS PBI Artículos'!$AN:$AN))/(_xlfn.XLOOKUP($AJ$1,[1]CRITERIOS!$S$16:$S$39,[1]CRITERIOS!$Y$16:$Y$39))*$J282+$Z282)))</f>
        <v>#N/A</v>
      </c>
      <c r="AK282" s="39" t="e">
        <f>IF($R282="MTO","",
IF($H282=0,ROUNDUP(((_xlfn.XLOOKUP($A282,'[1]DATOS PBI Artículos'!$A:$A,'[1]DATOS PBI Artículos'!$AO:$AO))/(_xlfn.XLOOKUP($AL$1,[1]CRITERIOS!$S$16:$S$39,[1]CRITERIOS!$Y$16:$Y$39))*$J282+$Z282)/$G282,0)*$G282,
((_xlfn.XLOOKUP($A282,'[1]DATOS PBI Artículos'!$A:$A,'[1]DATOS PBI Artículos'!$AO:$AO))/(_xlfn.XLOOKUP($AL$1,[1]CRITERIOS!$S$16:$S$39,[1]CRITERIOS!$Y$16:$Y$39))*$J282+$Z282)))</f>
        <v>#N/A</v>
      </c>
    </row>
    <row r="283" spans="1:37" ht="25.8" hidden="1" x14ac:dyDescent="0.4">
      <c r="A283" s="41"/>
      <c r="B283" s="33">
        <f>_xlfn.XLOOKUP($A283,'[1]DATOS PBI Artículos'!A:A,'[1]DATOS PBI Artículos'!B:B)</f>
        <v>0</v>
      </c>
      <c r="C283" s="33">
        <f>_xlfn.XLOOKUP($A283,'[1]DATOS PBI Artículos'!A:A,'[1]DATOS PBI Artículos'!C:C)</f>
        <v>0</v>
      </c>
      <c r="D283" s="33">
        <f>_xlfn.XLOOKUP(A283,'[1]DATOS PBI Artículos'!A:A,'[1]DATOS PBI Artículos'!T:T)</f>
        <v>0</v>
      </c>
      <c r="E283" s="34">
        <f>IF(_xlfn.XLOOKUP($A283,'[1]DATOS PBI Artículos'!A:A,'[1]DATOS PBI Artículos'!AK:AK)="",_xlfn.XLOOKUP($A283,'[1]DATOS PBI Artículos'!A:A,'[1]DATOS PBI Artículos'!AJ:AJ),_xlfn.XLOOKUP($A283,'[1]DATOS PBI Artículos'!A:A,'[1]DATOS PBI Artículos'!AK:AK))</f>
        <v>0</v>
      </c>
      <c r="F283" s="35">
        <f>_xlfn.XLOOKUP($A283,'[1]DATOS PBI Artículos'!A:A,'[1]DATOS PBI Artículos'!AP:AP)</f>
        <v>0</v>
      </c>
      <c r="G283" s="34">
        <f>_xlfn.XLOOKUP($A283,'[1]DATOS PBI Artículos'!A:A,'[1]DATOS PBI Artículos'!AR:AR)</f>
        <v>0</v>
      </c>
      <c r="H283" s="34">
        <f>_xlfn.XLOOKUP($A283,'[1]DATOS PBI Artículos'!A:A,'[1]DATOS PBI Artículos'!AT:AT)</f>
        <v>0</v>
      </c>
      <c r="I283" s="34">
        <f>_xlfn.XLOOKUP($A283,'[1]DATOS PBI Artículos'!A:A,'[1]DATOS PBI Artículos'!AS:AS)</f>
        <v>0</v>
      </c>
      <c r="J283" s="35">
        <f>IF(COUNTIF([1]CRITERIOS!$F$179:$F$199,$A283)&gt;=1,
 IF(O283&lt;&gt;"",
    (O283/_xlfn.XLOOKUP(CONCATENATE(A283,L283),[1]MÁQUINAS!A:A,[1]MÁQUINAS!D:D))/24,
    (N283/_xlfn.XLOOKUP(CONCATENATE(A283,L283),[1]MÁQUINAS!A:A,[1]MÁQUINAS!D:D))/24),
  _xlfn.XLOOKUP($A283,'[1]DATOS PBI Artículos'!A:A,'[1]DATOS PBI Artículos'!AU:AU))</f>
        <v>0</v>
      </c>
      <c r="K283" s="36">
        <f>_xlfn.XLOOKUP($A283,'[1]DATOS PBI Artículos'!A:A,'[1]DATOS PBI Artículos'!AV:AV)</f>
        <v>0</v>
      </c>
      <c r="L283" s="33">
        <f>_xlfn.XLOOKUP(A283,[1]MÁQUINAS!B:B,[1]MÁQUINAS!C:C)</f>
        <v>0</v>
      </c>
      <c r="M283" s="34">
        <f t="array" ref="M283">_xlfn.XLOOKUP(A283,'[1]DATOS PBI Artículos'!A:A,'[1]DATOS PBI Artículos'!AX:$AX)</f>
        <v>0</v>
      </c>
      <c r="N283" s="37" t="e">
        <f>IF(I283="DV",
E283,
IF(COUNTIF([1]CRITERIOS!$I$179:$I$199,$A283)&gt;=1,
_xlfn.XLOOKUP($A283,[1]CRITERIOS!$I$179:$I$199,[1]CRITERIOS!$J$179:$J$199),
IF(COUNTIF([1]CRITERIOS!$L$179:$L$199,$A283)&gt;=1,
_xlfn.CEILING.MATH(IF($M283&gt;$E283,
$E283,
IF($M283&lt;$E283/ROUNDDOWN([1]CRITERIOS!$M$16/_xlfn.XLOOKUP($C283,[1]CRITERIOS!$K$25:$K$42,[1]CRITERIOS!$M$25:$M$42),
1),
E283/ROUNDDOWN([1]CRITERIOS!$M$16/_xlfn.XLOOKUP($C283,[1]CRITERIOS!$K$25:$K$42,[1]CRITERIOS!$M$25:$M$42),
1),
$M283)),
_xlfn.XLOOKUP($A283,[1]CRITERIOS!$L$179:$L$200,[1]CRITERIOS!$M$179:$M$200)),
_xlfn.CEILING.MATH(IF($M283&gt;$E283,
$E283,
IF($M283&lt;$E283/ROUNDDOWN([1]CRITERIOS!$M$16/_xlfn.XLOOKUP($C283,[1]CRITERIOS!$K$25:$K$42,[1]CRITERIOS!$M$25:$M$42),
1),
E283/ROUNDDOWN([1]CRITERIOS!$M$16/_xlfn.XLOOKUP($C283,[1]CRITERIOS!$K$25:$K$42,[1]CRITERIOS!$M$25:$M$42),
1),
$M283)),_xlfn.XLOOKUP(A283,'[1]DATOS PBI Artículos'!A:A,'[1]DATOS PBI Artículos'!Z:Z
)))))</f>
        <v>#N/A</v>
      </c>
      <c r="Q283" s="38" t="e">
        <f>IF(AND(O283="",N283=0),
0,
   IF(COUNTIF([1]CRITERIOS!$F$179:$F$199,$A283)&gt;=1,
   1,
   IF(R283="MTO",
      $D283,
      ROUNDUP(
                    IF(($E283-SUMIF('[1]DATOS PBI Artículos'!A:A,A283,'[1]DATOS PBI Artículos'!X:X)+($V283-_xlfn.XLOOKUP(A283,'[1]DATOS PBI Artículos'!A:A,'[1]DATOS PBI Artículos'!W:W)))&lt;0,
                    0,
                    IF(($E283-SUMIF('[1]DATOS PBI Artículos'!A:A,A283,'[1]DATOS PBI Artículos'!X:X)+$V283-_xlfn.XLOOKUP($A283,'[1]DATOS PBI Artículos'!A:A,'[1]DATOS PBI Artículos'!W:W))/IF($O283="",$N283,$O283)&gt;ROUNDUP([1]CRITERIOS!$M$16/(IF(COUNTIF([1]CRITERIOS!$BG$11:$BG$201,L283)&gt;=1,_xlfn.XLOOKUP($C283,[1]CRITERIOS!$K$25:$K$42,[1]CRITERIOS!$M$25:$M$42),_xlfn.XLOOKUP($C283,[1]CRITERIOS!$K$25:$K$42,[1]CRITERIOS!$M$25:$M$42))),0),
                    ROUNDUP([1]CRITERIOS!$M$16/(IF(COUNTIF([1]CRITERIOS!$BG$11:$BG$201,$L283)&gt;=1,_xlfn.XLOOKUP($C283,[1]CRITERIOS!$K$25:$K$42,[1]CRITERIOS!$M$25:$M$42),_xlfn.XLOOKUP($C283,[1]CRITERIOS!$K$25:$K$42,[1]CRITERIOS!$M$25:$M$42))),0),
                    (E283+V283-SUMIF('[1]DATOS PBI Artículos'!A:A,A283,'[1]DATOS PBI Artículos'!X:X)-_xlfn.XLOOKUP(A283,'[1]DATOS PBI Artículos'!A:A,'[1]DATOS PBI Artículos'!W:W))/IF($O283="",$N283,$O283))),0))))</f>
        <v>#N/A</v>
      </c>
      <c r="R283" s="33" t="e">
        <f>IF(U283&lt;&gt;"",U283,IF(F283="DV","MTO",IF(N283=0,"MTO",_xlfn.XLOOKUP(CONCATENATE(S283,T283),[1]CRITERIOS!$K$160:$K$168,[1]CRITERIOS!$N$160:$N$168))))</f>
        <v>#N/A</v>
      </c>
      <c r="S283" s="33" t="e">
        <f>IF(G283="DV","MTO",IF(N283=0,"MTO",IF(OR(AND(N283=0,O283=""),IF(O283="",G283/N283,G283/O283)&gt;[1]CRITERIOS!$G$163),"MTO",IF(IF(O283="",G283/N283,G283/O283)&lt;[1]CRITERIOS!$H$161,"MTS","MTOS"))))</f>
        <v>#N/A</v>
      </c>
      <c r="T283" s="33" t="e">
        <f>IF(F283="DV","MTO",IF(OR(AND($N283=0,O283=""),$F283/$J283&gt;[1]CRITERIOS!$G$170,$F283="DV"),"MTO",IF($F283/$J283&lt;[1]CRITERIOS!$H$168,"MTS","MTOS")))</f>
        <v>#N/A</v>
      </c>
      <c r="V283" s="34" t="e">
        <f t="shared" si="16"/>
        <v>#N/A</v>
      </c>
      <c r="X283" s="34" t="e">
        <f t="shared" si="14"/>
        <v>#N/A</v>
      </c>
      <c r="Y283" s="34" t="e">
        <f t="shared" si="15"/>
        <v>#N/A</v>
      </c>
      <c r="Z283" s="34" t="e">
        <f>IF($R283="MTO",
0,
($H283+$K283*($E283/[1]CRITERIOS!$M$16))/[1]CRITERIOS!$X$48)</f>
        <v>#N/A</v>
      </c>
      <c r="AA283" s="34" t="e">
        <f>ROUNDUP(($Y283/_xlfn.XLOOKUP($A283,'[1]DATOS PBI Artículos'!$A$4:$A$4,'[1]DATOS PBI Artículos'!$Z$4:$Z$4))/_xlfn.XLOOKUP(_xlfn.XLOOKUP($A283,'[1]DATOS PBI Artículos'!$A$4:$A$4,'[1]DATOS PBI Artículos'!$Y$4:$Y$4),[1]CRITERIOS!$P$79:$P$123,[1]CRITERIOS!$S$79:$S$123,),0)</f>
        <v>#N/A</v>
      </c>
      <c r="AB283" s="33" t="e">
        <f t="array" ref="AB283">IF((E283+V283-_xlfn.XLOOKUP(A283,'[1]DATOS PBI Artículos'!$A$4:$A$4,'[1]DATOS PBI Artículos'!$W$4:$W$4))/N283&gt;ROUNDUP([1]CRITERIOS!$M$16/(IF(COUNTIF([1]CRITERIOS!$BG$11:$BG$201,L283)&gt;=1,_xlfn.XLOOKUP(ARTÍCULOS!L283,[1]CRITERIOS!$BG$11:$BG$201,[1]CRITERIOS!$BJ$11:$BJ$201),_xlfn.XLOOKUP(ARTÍCULOS!C283,[1]CRITERIOS!$K$25:$K$42,[1]CRITERIOS!$M$25:$M$42))),0),ROUNDUP([1]CRITERIOS!$M$16/(IF(COUNTIF([1]CRITERIOS!$BG$11:$BG$201,L283)&gt;=1,_xlfn.XLOOKUP(ARTÍCULOS!L283,[1]CRITERIOS!$BG$11:$BG$201:#REF!,[1]CRITERIOS!$BJ$11:$BJ$201),_xlfn.XLOOKUP(ARTÍCULOS!C283,[1]CRITERIOS!$K$25:$K$42,[1]CRITERIOS!$M$25:$M$42))),0),(E283+V283-_xlfn.XLOOKUP(A283,'[1]DATOS PBI Artículos'!$A$4:$A$4,'[1]DATOS PBI Artículos'!$W$4:$W$4))/N283)</f>
        <v>#N/A</v>
      </c>
      <c r="AC283" s="33" t="e">
        <f>IF(N283=0,"",(ROUNDUP((N283/2)/(_xlfn.XLOOKUP(A283,'[1]DATOS PBI Artículos'!$A$4:$A$4,'[1]DATOS PBI Artículos'!$Z$4:$Z$4)*_xlfn.XLOOKUP(_xlfn.XLOOKUP(A283,'[1]DATOS PBI Artículos'!$A$4:$A$4,'[1]DATOS PBI Artículos'!$Y$4:$Y$4),[1]CRITERIOS!$P$79:$P$123,[1]CRITERIOS!$S$79:$S$123)),0)*[1]CRITERIOS!$M$80*([1]CRITERIOS!$M$110/[1]CRITERIOS!$M$86)+(_xlfn.XLOOKUP(A283,'[1]DATOS PBI Artículos'!$A$4:$A$4,'[1]DATOS PBI Artículos'!$AA$4:$AA$4)*([1]CRITERIOS!$M$95+[1]CRITERIOS!$M$98)))/N283)</f>
        <v>#N/A</v>
      </c>
      <c r="AD283" s="33" t="e">
        <f>IF(N283=0,"",(ROUNDUP((N283/2)/(_xlfn.XLOOKUP(A283,'[1]DATOS PBI Artículos'!$A$4:$A$4,'[1]DATOS PBI Artículos'!$Z$4:$Z$4)*_xlfn.XLOOKUP(_xlfn.XLOOKUP(A283,'[1]DATOS PBI Artículos'!$A$4:$A$4,'[1]DATOS PBI Artículos'!$Y$4:$Y$4),[1]CRITERIOS!$P$79:$P$123,[1]CRITERIOS!$S$79:$S$123)),0)*[1]CRITERIOS!$M$80*([1]CRITERIOS!$M$89*[1]CRITERIOS!$M$92)+((_xlfn.XLOOKUP(A283,'[1]DATOS PBI Artículos'!$A$4:$A$4,'[1]DATOS PBI Artículos'!$AA$4:$AA$4)/2)*([1]CRITERIOS!$M$95+[1]CRITERIOS!$M$98)))/N283)</f>
        <v>#N/A</v>
      </c>
      <c r="AE283" s="39" t="e">
        <f>IF($R283="MTO","",
IF($H283=0,ROUNDUP(((_xlfn.XLOOKUP($A283,'[1]DATOS PBI Artículos'!$A:$A,'[1]DATOS PBI Artículos'!$AL:$AL))/(_xlfn.XLOOKUP($AF$1,[1]CRITERIOS!$S$16:$S$39,[1]CRITERIOS!$Y$16:$Y$39))*$J283+$Z283)/$G283,0)*$G283,
((_xlfn.XLOOKUP($A283,'[1]DATOS PBI Artículos'!$A:$A,'[1]DATOS PBI Artículos'!$AL:$AL))/(_xlfn.XLOOKUP($AF$1,[1]CRITERIOS!$S$16:$S$39,[1]CRITERIOS!$Y$16:$Y$39))*$J283+$Z283)))</f>
        <v>#N/A</v>
      </c>
      <c r="AG283" s="39" t="e">
        <f>IF($R283="MTO","",
IF($H283=0,ROUNDUP(((_xlfn.XLOOKUP($A283,'[1]DATOS PBI Artículos'!$A:$A,'[1]DATOS PBI Artículos'!$AM:$AM))/(_xlfn.XLOOKUP($AH$1,[1]CRITERIOS!$S$16:$S$39,[1]CRITERIOS!$Y$16:$Y$39))*$J283+$Z283)/$G283,0)*$G283,
((_xlfn.XLOOKUP($A283,'[1]DATOS PBI Artículos'!$A:$A,'[1]DATOS PBI Artículos'!$AM:$AM))/(_xlfn.XLOOKUP($AH$1,[1]CRITERIOS!$S$16:$S$39,[1]CRITERIOS!$Y$16:$Y$39))*$J283+$Z283)))</f>
        <v>#N/A</v>
      </c>
      <c r="AI283" s="39" t="e">
        <f>IF($R283="MTO","",
IF($H283=0,ROUNDUP(((_xlfn.XLOOKUP($A283,'[1]DATOS PBI Artículos'!$A:$A,'[1]DATOS PBI Artículos'!$AN:$AN))/(_xlfn.XLOOKUP($AJ$1,[1]CRITERIOS!$S$16:$S$39,[1]CRITERIOS!$Y$16:$Y$39))*$J283+$Z283)/$G283,0)*$G283,
((_xlfn.XLOOKUP($A283,'[1]DATOS PBI Artículos'!$A:$A,'[1]DATOS PBI Artículos'!$AN:$AN))/(_xlfn.XLOOKUP($AJ$1,[1]CRITERIOS!$S$16:$S$39,[1]CRITERIOS!$Y$16:$Y$39))*$J283+$Z283)))</f>
        <v>#N/A</v>
      </c>
      <c r="AK283" s="39" t="e">
        <f>IF($R283="MTO","",
IF($H283=0,ROUNDUP(((_xlfn.XLOOKUP($A283,'[1]DATOS PBI Artículos'!$A:$A,'[1]DATOS PBI Artículos'!$AO:$AO))/(_xlfn.XLOOKUP($AL$1,[1]CRITERIOS!$S$16:$S$39,[1]CRITERIOS!$Y$16:$Y$39))*$J283+$Z283)/$G283,0)*$G283,
((_xlfn.XLOOKUP($A283,'[1]DATOS PBI Artículos'!$A:$A,'[1]DATOS PBI Artículos'!$AO:$AO))/(_xlfn.XLOOKUP($AL$1,[1]CRITERIOS!$S$16:$S$39,[1]CRITERIOS!$Y$16:$Y$39))*$J283+$Z283)))</f>
        <v>#N/A</v>
      </c>
    </row>
    <row r="284" spans="1:37" ht="25.8" hidden="1" x14ac:dyDescent="0.4">
      <c r="A284" s="41"/>
      <c r="B284" s="33">
        <f>_xlfn.XLOOKUP($A284,'[1]DATOS PBI Artículos'!A:A,'[1]DATOS PBI Artículos'!B:B)</f>
        <v>0</v>
      </c>
      <c r="C284" s="33">
        <f>_xlfn.XLOOKUP($A284,'[1]DATOS PBI Artículos'!A:A,'[1]DATOS PBI Artículos'!C:C)</f>
        <v>0</v>
      </c>
      <c r="D284" s="33">
        <f>_xlfn.XLOOKUP(A284,'[1]DATOS PBI Artículos'!A:A,'[1]DATOS PBI Artículos'!T:T)</f>
        <v>0</v>
      </c>
      <c r="E284" s="34">
        <f>IF(_xlfn.XLOOKUP($A284,'[1]DATOS PBI Artículos'!A:A,'[1]DATOS PBI Artículos'!AK:AK)="",_xlfn.XLOOKUP($A284,'[1]DATOS PBI Artículos'!A:A,'[1]DATOS PBI Artículos'!AJ:AJ),_xlfn.XLOOKUP($A284,'[1]DATOS PBI Artículos'!A:A,'[1]DATOS PBI Artículos'!AK:AK))</f>
        <v>0</v>
      </c>
      <c r="F284" s="35">
        <f>_xlfn.XLOOKUP($A284,'[1]DATOS PBI Artículos'!A:A,'[1]DATOS PBI Artículos'!AP:AP)</f>
        <v>0</v>
      </c>
      <c r="G284" s="34">
        <f>_xlfn.XLOOKUP($A284,'[1]DATOS PBI Artículos'!A:A,'[1]DATOS PBI Artículos'!AR:AR)</f>
        <v>0</v>
      </c>
      <c r="H284" s="34">
        <f>_xlfn.XLOOKUP($A284,'[1]DATOS PBI Artículos'!A:A,'[1]DATOS PBI Artículos'!AT:AT)</f>
        <v>0</v>
      </c>
      <c r="I284" s="34">
        <f>_xlfn.XLOOKUP($A284,'[1]DATOS PBI Artículos'!A:A,'[1]DATOS PBI Artículos'!AS:AS)</f>
        <v>0</v>
      </c>
      <c r="J284" s="35">
        <f>IF(COUNTIF([1]CRITERIOS!$F$179:$F$199,$A284)&gt;=1,
 IF(O284&lt;&gt;"",
    (O284/_xlfn.XLOOKUP(CONCATENATE(A284,L284),[1]MÁQUINAS!A:A,[1]MÁQUINAS!D:D))/24,
    (N284/_xlfn.XLOOKUP(CONCATENATE(A284,L284),[1]MÁQUINAS!A:A,[1]MÁQUINAS!D:D))/24),
  _xlfn.XLOOKUP($A284,'[1]DATOS PBI Artículos'!A:A,'[1]DATOS PBI Artículos'!AU:AU))</f>
        <v>0</v>
      </c>
      <c r="K284" s="36">
        <f>_xlfn.XLOOKUP($A284,'[1]DATOS PBI Artículos'!A:A,'[1]DATOS PBI Artículos'!AV:AV)</f>
        <v>0</v>
      </c>
      <c r="L284" s="33">
        <f>_xlfn.XLOOKUP(A284,[1]MÁQUINAS!B:B,[1]MÁQUINAS!C:C)</f>
        <v>0</v>
      </c>
      <c r="M284" s="34">
        <f t="array" ref="M284">_xlfn.XLOOKUP(A284,'[1]DATOS PBI Artículos'!A:A,'[1]DATOS PBI Artículos'!AX:$AX)</f>
        <v>0</v>
      </c>
      <c r="N284" s="37" t="e">
        <f>IF(I284="DV",
E284,
IF(COUNTIF([1]CRITERIOS!$I$179:$I$199,$A284)&gt;=1,
_xlfn.XLOOKUP($A284,[1]CRITERIOS!$I$179:$I$199,[1]CRITERIOS!$J$179:$J$199),
IF(COUNTIF([1]CRITERIOS!$L$179:$L$199,$A284)&gt;=1,
_xlfn.CEILING.MATH(IF($M284&gt;$E284,
$E284,
IF($M284&lt;$E284/ROUNDDOWN([1]CRITERIOS!$M$16/_xlfn.XLOOKUP($C284,[1]CRITERIOS!$K$25:$K$42,[1]CRITERIOS!$M$25:$M$42),
1),
E284/ROUNDDOWN([1]CRITERIOS!$M$16/_xlfn.XLOOKUP($C284,[1]CRITERIOS!$K$25:$K$42,[1]CRITERIOS!$M$25:$M$42),
1),
$M284)),
_xlfn.XLOOKUP($A284,[1]CRITERIOS!$L$179:$L$200,[1]CRITERIOS!$M$179:$M$200)),
_xlfn.CEILING.MATH(IF($M284&gt;$E284,
$E284,
IF($M284&lt;$E284/ROUNDDOWN([1]CRITERIOS!$M$16/_xlfn.XLOOKUP($C284,[1]CRITERIOS!$K$25:$K$42,[1]CRITERIOS!$M$25:$M$42),
1),
E284/ROUNDDOWN([1]CRITERIOS!$M$16/_xlfn.XLOOKUP($C284,[1]CRITERIOS!$K$25:$K$42,[1]CRITERIOS!$M$25:$M$42),
1),
$M284)),_xlfn.XLOOKUP(A284,'[1]DATOS PBI Artículos'!A:A,'[1]DATOS PBI Artículos'!Z:Z
)))))</f>
        <v>#N/A</v>
      </c>
      <c r="Q284" s="38" t="e">
        <f>IF(AND(O284="",N284=0),
0,
   IF(COUNTIF([1]CRITERIOS!$F$179:$F$199,$A284)&gt;=1,
   1,
   IF(R284="MTO",
      $D284,
      ROUNDUP(
                    IF(($E284-SUMIF('[1]DATOS PBI Artículos'!A:A,A284,'[1]DATOS PBI Artículos'!X:X)+($V284-_xlfn.XLOOKUP(A284,'[1]DATOS PBI Artículos'!A:A,'[1]DATOS PBI Artículos'!W:W)))&lt;0,
                    0,
                    IF(($E284-SUMIF('[1]DATOS PBI Artículos'!A:A,A284,'[1]DATOS PBI Artículos'!X:X)+$V284-_xlfn.XLOOKUP($A284,'[1]DATOS PBI Artículos'!A:A,'[1]DATOS PBI Artículos'!W:W))/IF($O284="",$N284,$O284)&gt;ROUNDUP([1]CRITERIOS!$M$16/(IF(COUNTIF([1]CRITERIOS!$BG$11:$BG$201,L284)&gt;=1,_xlfn.XLOOKUP($C284,[1]CRITERIOS!$K$25:$K$42,[1]CRITERIOS!$M$25:$M$42),_xlfn.XLOOKUP($C284,[1]CRITERIOS!$K$25:$K$42,[1]CRITERIOS!$M$25:$M$42))),0),
                    ROUNDUP([1]CRITERIOS!$M$16/(IF(COUNTIF([1]CRITERIOS!$BG$11:$BG$201,$L284)&gt;=1,_xlfn.XLOOKUP($C284,[1]CRITERIOS!$K$25:$K$42,[1]CRITERIOS!$M$25:$M$42),_xlfn.XLOOKUP($C284,[1]CRITERIOS!$K$25:$K$42,[1]CRITERIOS!$M$25:$M$42))),0),
                    (E284+V284-SUMIF('[1]DATOS PBI Artículos'!A:A,A284,'[1]DATOS PBI Artículos'!X:X)-_xlfn.XLOOKUP(A284,'[1]DATOS PBI Artículos'!A:A,'[1]DATOS PBI Artículos'!W:W))/IF($O284="",$N284,$O284))),0))))</f>
        <v>#N/A</v>
      </c>
      <c r="R284" s="33" t="e">
        <f>IF(U284&lt;&gt;"",U284,IF(F284="DV","MTO",IF(N284=0,"MTO",_xlfn.XLOOKUP(CONCATENATE(S284,T284),[1]CRITERIOS!$K$160:$K$168,[1]CRITERIOS!$N$160:$N$168))))</f>
        <v>#N/A</v>
      </c>
      <c r="S284" s="33" t="e">
        <f>IF(G284="DV","MTO",IF(N284=0,"MTO",IF(OR(AND(N284=0,O284=""),IF(O284="",G284/N284,G284/O284)&gt;[1]CRITERIOS!$G$163),"MTO",IF(IF(O284="",G284/N284,G284/O284)&lt;[1]CRITERIOS!$H$161,"MTS","MTOS"))))</f>
        <v>#N/A</v>
      </c>
      <c r="T284" s="33" t="e">
        <f>IF(F284="DV","MTO",IF(OR(AND($N284=0,O284=""),$F284/$J284&gt;[1]CRITERIOS!$G$170,$F284="DV"),"MTO",IF($F284/$J284&lt;[1]CRITERIOS!$H$168,"MTS","MTOS")))</f>
        <v>#N/A</v>
      </c>
      <c r="V284" s="34" t="e">
        <f t="shared" si="16"/>
        <v>#N/A</v>
      </c>
      <c r="X284" s="34" t="e">
        <f t="shared" si="14"/>
        <v>#N/A</v>
      </c>
      <c r="Y284" s="34" t="e">
        <f t="shared" si="15"/>
        <v>#N/A</v>
      </c>
      <c r="Z284" s="34" t="e">
        <f>IF($R284="MTO",
0,
($H284+$K284*($E284/[1]CRITERIOS!$M$16))/[1]CRITERIOS!$X$48)</f>
        <v>#N/A</v>
      </c>
      <c r="AA284" s="34" t="e">
        <f>ROUNDUP(($Y284/_xlfn.XLOOKUP($A284,'[1]DATOS PBI Artículos'!$A$4:$A$4,'[1]DATOS PBI Artículos'!$Z$4:$Z$4))/_xlfn.XLOOKUP(_xlfn.XLOOKUP($A284,'[1]DATOS PBI Artículos'!$A$4:$A$4,'[1]DATOS PBI Artículos'!$Y$4:$Y$4),[1]CRITERIOS!$P$79:$P$123,[1]CRITERIOS!$S$79:$S$123,),0)</f>
        <v>#N/A</v>
      </c>
      <c r="AB284" s="33" t="e">
        <f t="array" ref="AB284">IF((E284+V284-_xlfn.XLOOKUP(A284,'[1]DATOS PBI Artículos'!$A$4:$A$4,'[1]DATOS PBI Artículos'!$W$4:$W$4))/N284&gt;ROUNDUP([1]CRITERIOS!$M$16/(IF(COUNTIF([1]CRITERIOS!$BG$11:$BG$201,L284)&gt;=1,_xlfn.XLOOKUP(ARTÍCULOS!L284,[1]CRITERIOS!$BG$11:$BG$201,[1]CRITERIOS!$BJ$11:$BJ$201),_xlfn.XLOOKUP(ARTÍCULOS!C284,[1]CRITERIOS!$K$25:$K$42,[1]CRITERIOS!$M$25:$M$42))),0),ROUNDUP([1]CRITERIOS!$M$16/(IF(COUNTIF([1]CRITERIOS!$BG$11:$BG$201,L284)&gt;=1,_xlfn.XLOOKUP(ARTÍCULOS!L284,[1]CRITERIOS!$BG$11:$BG$201:#REF!,[1]CRITERIOS!$BJ$11:$BJ$201),_xlfn.XLOOKUP(ARTÍCULOS!C284,[1]CRITERIOS!$K$25:$K$42,[1]CRITERIOS!$M$25:$M$42))),0),(E284+V284-_xlfn.XLOOKUP(A284,'[1]DATOS PBI Artículos'!$A$4:$A$4,'[1]DATOS PBI Artículos'!$W$4:$W$4))/N284)</f>
        <v>#N/A</v>
      </c>
      <c r="AC284" s="33" t="e">
        <f>IF(N284=0,"",(ROUNDUP((N284/2)/(_xlfn.XLOOKUP(A284,'[1]DATOS PBI Artículos'!$A$4:$A$4,'[1]DATOS PBI Artículos'!$Z$4:$Z$4)*_xlfn.XLOOKUP(_xlfn.XLOOKUP(A284,'[1]DATOS PBI Artículos'!$A$4:$A$4,'[1]DATOS PBI Artículos'!$Y$4:$Y$4),[1]CRITERIOS!$P$79:$P$123,[1]CRITERIOS!$S$79:$S$123)),0)*[1]CRITERIOS!$M$80*([1]CRITERIOS!$M$110/[1]CRITERIOS!$M$86)+(_xlfn.XLOOKUP(A284,'[1]DATOS PBI Artículos'!$A$4:$A$4,'[1]DATOS PBI Artículos'!$AA$4:$AA$4)*([1]CRITERIOS!$M$95+[1]CRITERIOS!$M$98)))/N284)</f>
        <v>#N/A</v>
      </c>
      <c r="AD284" s="33" t="e">
        <f>IF(N284=0,"",(ROUNDUP((N284/2)/(_xlfn.XLOOKUP(A284,'[1]DATOS PBI Artículos'!$A$4:$A$4,'[1]DATOS PBI Artículos'!$Z$4:$Z$4)*_xlfn.XLOOKUP(_xlfn.XLOOKUP(A284,'[1]DATOS PBI Artículos'!$A$4:$A$4,'[1]DATOS PBI Artículos'!$Y$4:$Y$4),[1]CRITERIOS!$P$79:$P$123,[1]CRITERIOS!$S$79:$S$123)),0)*[1]CRITERIOS!$M$80*([1]CRITERIOS!$M$89*[1]CRITERIOS!$M$92)+((_xlfn.XLOOKUP(A284,'[1]DATOS PBI Artículos'!$A$4:$A$4,'[1]DATOS PBI Artículos'!$AA$4:$AA$4)/2)*([1]CRITERIOS!$M$95+[1]CRITERIOS!$M$98)))/N284)</f>
        <v>#N/A</v>
      </c>
      <c r="AE284" s="39" t="e">
        <f>IF($R284="MTO","",
IF($H284=0,ROUNDUP(((_xlfn.XLOOKUP($A284,'[1]DATOS PBI Artículos'!$A:$A,'[1]DATOS PBI Artículos'!$AL:$AL))/(_xlfn.XLOOKUP($AF$1,[1]CRITERIOS!$S$16:$S$39,[1]CRITERIOS!$Y$16:$Y$39))*$J284+$Z284)/$G284,0)*$G284,
((_xlfn.XLOOKUP($A284,'[1]DATOS PBI Artículos'!$A:$A,'[1]DATOS PBI Artículos'!$AL:$AL))/(_xlfn.XLOOKUP($AF$1,[1]CRITERIOS!$S$16:$S$39,[1]CRITERIOS!$Y$16:$Y$39))*$J284+$Z284)))</f>
        <v>#N/A</v>
      </c>
      <c r="AG284" s="39" t="e">
        <f>IF($R284="MTO","",
IF($H284=0,ROUNDUP(((_xlfn.XLOOKUP($A284,'[1]DATOS PBI Artículos'!$A:$A,'[1]DATOS PBI Artículos'!$AM:$AM))/(_xlfn.XLOOKUP($AH$1,[1]CRITERIOS!$S$16:$S$39,[1]CRITERIOS!$Y$16:$Y$39))*$J284+$Z284)/$G284,0)*$G284,
((_xlfn.XLOOKUP($A284,'[1]DATOS PBI Artículos'!$A:$A,'[1]DATOS PBI Artículos'!$AM:$AM))/(_xlfn.XLOOKUP($AH$1,[1]CRITERIOS!$S$16:$S$39,[1]CRITERIOS!$Y$16:$Y$39))*$J284+$Z284)))</f>
        <v>#N/A</v>
      </c>
      <c r="AI284" s="39" t="e">
        <f>IF($R284="MTO","",
IF($H284=0,ROUNDUP(((_xlfn.XLOOKUP($A284,'[1]DATOS PBI Artículos'!$A:$A,'[1]DATOS PBI Artículos'!$AN:$AN))/(_xlfn.XLOOKUP($AJ$1,[1]CRITERIOS!$S$16:$S$39,[1]CRITERIOS!$Y$16:$Y$39))*$J284+$Z284)/$G284,0)*$G284,
((_xlfn.XLOOKUP($A284,'[1]DATOS PBI Artículos'!$A:$A,'[1]DATOS PBI Artículos'!$AN:$AN))/(_xlfn.XLOOKUP($AJ$1,[1]CRITERIOS!$S$16:$S$39,[1]CRITERIOS!$Y$16:$Y$39))*$J284+$Z284)))</f>
        <v>#N/A</v>
      </c>
      <c r="AK284" s="39" t="e">
        <f>IF($R284="MTO","",
IF($H284=0,ROUNDUP(((_xlfn.XLOOKUP($A284,'[1]DATOS PBI Artículos'!$A:$A,'[1]DATOS PBI Artículos'!$AO:$AO))/(_xlfn.XLOOKUP($AL$1,[1]CRITERIOS!$S$16:$S$39,[1]CRITERIOS!$Y$16:$Y$39))*$J284+$Z284)/$G284,0)*$G284,
((_xlfn.XLOOKUP($A284,'[1]DATOS PBI Artículos'!$A:$A,'[1]DATOS PBI Artículos'!$AO:$AO))/(_xlfn.XLOOKUP($AL$1,[1]CRITERIOS!$S$16:$S$39,[1]CRITERIOS!$Y$16:$Y$39))*$J284+$Z284)))</f>
        <v>#N/A</v>
      </c>
    </row>
    <row r="285" spans="1:37" ht="25.8" hidden="1" x14ac:dyDescent="0.4">
      <c r="A285" s="41"/>
      <c r="B285" s="33">
        <f>_xlfn.XLOOKUP($A285,'[1]DATOS PBI Artículos'!A:A,'[1]DATOS PBI Artículos'!B:B)</f>
        <v>0</v>
      </c>
      <c r="C285" s="33">
        <f>_xlfn.XLOOKUP($A285,'[1]DATOS PBI Artículos'!A:A,'[1]DATOS PBI Artículos'!C:C)</f>
        <v>0</v>
      </c>
      <c r="D285" s="33">
        <f>_xlfn.XLOOKUP(A285,'[1]DATOS PBI Artículos'!A:A,'[1]DATOS PBI Artículos'!T:T)</f>
        <v>0</v>
      </c>
      <c r="E285" s="34">
        <f>IF(_xlfn.XLOOKUP($A285,'[1]DATOS PBI Artículos'!A:A,'[1]DATOS PBI Artículos'!AK:AK)="",_xlfn.XLOOKUP($A285,'[1]DATOS PBI Artículos'!A:A,'[1]DATOS PBI Artículos'!AJ:AJ),_xlfn.XLOOKUP($A285,'[1]DATOS PBI Artículos'!A:A,'[1]DATOS PBI Artículos'!AK:AK))</f>
        <v>0</v>
      </c>
      <c r="F285" s="35">
        <f>_xlfn.XLOOKUP($A285,'[1]DATOS PBI Artículos'!A:A,'[1]DATOS PBI Artículos'!AP:AP)</f>
        <v>0</v>
      </c>
      <c r="G285" s="34">
        <f>_xlfn.XLOOKUP($A285,'[1]DATOS PBI Artículos'!A:A,'[1]DATOS PBI Artículos'!AR:AR)</f>
        <v>0</v>
      </c>
      <c r="H285" s="34">
        <f>_xlfn.XLOOKUP($A285,'[1]DATOS PBI Artículos'!A:A,'[1]DATOS PBI Artículos'!AT:AT)</f>
        <v>0</v>
      </c>
      <c r="I285" s="34">
        <f>_xlfn.XLOOKUP($A285,'[1]DATOS PBI Artículos'!A:A,'[1]DATOS PBI Artículos'!AS:AS)</f>
        <v>0</v>
      </c>
      <c r="J285" s="35">
        <f>IF(COUNTIF([1]CRITERIOS!$F$179:$F$199,$A285)&gt;=1,
 IF(O285&lt;&gt;"",
    (O285/_xlfn.XLOOKUP(CONCATENATE(A285,L285),[1]MÁQUINAS!A:A,[1]MÁQUINAS!D:D))/24,
    (N285/_xlfn.XLOOKUP(CONCATENATE(A285,L285),[1]MÁQUINAS!A:A,[1]MÁQUINAS!D:D))/24),
  _xlfn.XLOOKUP($A285,'[1]DATOS PBI Artículos'!A:A,'[1]DATOS PBI Artículos'!AU:AU))</f>
        <v>0</v>
      </c>
      <c r="K285" s="36">
        <f>_xlfn.XLOOKUP($A285,'[1]DATOS PBI Artículos'!A:A,'[1]DATOS PBI Artículos'!AV:AV)</f>
        <v>0</v>
      </c>
      <c r="L285" s="33">
        <f>_xlfn.XLOOKUP(A285,[1]MÁQUINAS!B:B,[1]MÁQUINAS!C:C)</f>
        <v>0</v>
      </c>
      <c r="M285" s="34">
        <f t="array" ref="M285">_xlfn.XLOOKUP(A285,'[1]DATOS PBI Artículos'!A:A,'[1]DATOS PBI Artículos'!AX:$AX)</f>
        <v>0</v>
      </c>
      <c r="N285" s="37" t="e">
        <f>IF(I285="DV",
E285,
IF(COUNTIF([1]CRITERIOS!$I$179:$I$199,$A285)&gt;=1,
_xlfn.XLOOKUP($A285,[1]CRITERIOS!$I$179:$I$199,[1]CRITERIOS!$J$179:$J$199),
IF(COUNTIF([1]CRITERIOS!$L$179:$L$199,$A285)&gt;=1,
_xlfn.CEILING.MATH(IF($M285&gt;$E285,
$E285,
IF($M285&lt;$E285/ROUNDDOWN([1]CRITERIOS!$M$16/_xlfn.XLOOKUP($C285,[1]CRITERIOS!$K$25:$K$42,[1]CRITERIOS!$M$25:$M$42),
1),
E285/ROUNDDOWN([1]CRITERIOS!$M$16/_xlfn.XLOOKUP($C285,[1]CRITERIOS!$K$25:$K$42,[1]CRITERIOS!$M$25:$M$42),
1),
$M285)),
_xlfn.XLOOKUP($A285,[1]CRITERIOS!$L$179:$L$200,[1]CRITERIOS!$M$179:$M$200)),
_xlfn.CEILING.MATH(IF($M285&gt;$E285,
$E285,
IF($M285&lt;$E285/ROUNDDOWN([1]CRITERIOS!$M$16/_xlfn.XLOOKUP($C285,[1]CRITERIOS!$K$25:$K$42,[1]CRITERIOS!$M$25:$M$42),
1),
E285/ROUNDDOWN([1]CRITERIOS!$M$16/_xlfn.XLOOKUP($C285,[1]CRITERIOS!$K$25:$K$42,[1]CRITERIOS!$M$25:$M$42),
1),
$M285)),_xlfn.XLOOKUP(A285,'[1]DATOS PBI Artículos'!A:A,'[1]DATOS PBI Artículos'!Z:Z
)))))</f>
        <v>#N/A</v>
      </c>
      <c r="Q285" s="38" t="e">
        <f>IF(AND(O285="",N285=0),
0,
   IF(COUNTIF([1]CRITERIOS!$F$179:$F$199,$A285)&gt;=1,
   1,
   IF(R285="MTO",
      $D285,
      ROUNDUP(
                    IF(($E285-SUMIF('[1]DATOS PBI Artículos'!A:A,A285,'[1]DATOS PBI Artículos'!X:X)+($V285-_xlfn.XLOOKUP(A285,'[1]DATOS PBI Artículos'!A:A,'[1]DATOS PBI Artículos'!W:W)))&lt;0,
                    0,
                    IF(($E285-SUMIF('[1]DATOS PBI Artículos'!A:A,A285,'[1]DATOS PBI Artículos'!X:X)+$V285-_xlfn.XLOOKUP($A285,'[1]DATOS PBI Artículos'!A:A,'[1]DATOS PBI Artículos'!W:W))/IF($O285="",$N285,$O285)&gt;ROUNDUP([1]CRITERIOS!$M$16/(IF(COUNTIF([1]CRITERIOS!$BG$11:$BG$201,L285)&gt;=1,_xlfn.XLOOKUP($C285,[1]CRITERIOS!$K$25:$K$42,[1]CRITERIOS!$M$25:$M$42),_xlfn.XLOOKUP($C285,[1]CRITERIOS!$K$25:$K$42,[1]CRITERIOS!$M$25:$M$42))),0),
                    ROUNDUP([1]CRITERIOS!$M$16/(IF(COUNTIF([1]CRITERIOS!$BG$11:$BG$201,$L285)&gt;=1,_xlfn.XLOOKUP($C285,[1]CRITERIOS!$K$25:$K$42,[1]CRITERIOS!$M$25:$M$42),_xlfn.XLOOKUP($C285,[1]CRITERIOS!$K$25:$K$42,[1]CRITERIOS!$M$25:$M$42))),0),
                    (E285+V285-SUMIF('[1]DATOS PBI Artículos'!A:A,A285,'[1]DATOS PBI Artículos'!X:X)-_xlfn.XLOOKUP(A285,'[1]DATOS PBI Artículos'!A:A,'[1]DATOS PBI Artículos'!W:W))/IF($O285="",$N285,$O285))),0))))</f>
        <v>#N/A</v>
      </c>
      <c r="R285" s="33" t="e">
        <f>IF(U285&lt;&gt;"",U285,IF(F285="DV","MTO",IF(N285=0,"MTO",_xlfn.XLOOKUP(CONCATENATE(S285,T285),[1]CRITERIOS!$K$160:$K$168,[1]CRITERIOS!$N$160:$N$168))))</f>
        <v>#N/A</v>
      </c>
      <c r="S285" s="33" t="e">
        <f>IF(G285="DV","MTO",IF(N285=0,"MTO",IF(OR(AND(N285=0,O285=""),IF(O285="",G285/N285,G285/O285)&gt;[1]CRITERIOS!$G$163),"MTO",IF(IF(O285="",G285/N285,G285/O285)&lt;[1]CRITERIOS!$H$161,"MTS","MTOS"))))</f>
        <v>#N/A</v>
      </c>
      <c r="T285" s="33" t="e">
        <f>IF(F285="DV","MTO",IF(OR(AND($N285=0,O285=""),$F285/$J285&gt;[1]CRITERIOS!$G$170,$F285="DV"),"MTO",IF($F285/$J285&lt;[1]CRITERIOS!$H$168,"MTS","MTOS")))</f>
        <v>#N/A</v>
      </c>
      <c r="V285" s="34" t="e">
        <f t="shared" si="16"/>
        <v>#N/A</v>
      </c>
      <c r="X285" s="34" t="e">
        <f t="shared" si="14"/>
        <v>#N/A</v>
      </c>
      <c r="Y285" s="34" t="e">
        <f t="shared" si="15"/>
        <v>#N/A</v>
      </c>
      <c r="Z285" s="34" t="e">
        <f>IF($R285="MTO",
0,
($H285+$K285*($E285/[1]CRITERIOS!$M$16))/[1]CRITERIOS!$X$48)</f>
        <v>#N/A</v>
      </c>
      <c r="AA285" s="34" t="e">
        <f>ROUNDUP(($Y285/_xlfn.XLOOKUP($A285,'[1]DATOS PBI Artículos'!$A$4:$A$4,'[1]DATOS PBI Artículos'!$Z$4:$Z$4))/_xlfn.XLOOKUP(_xlfn.XLOOKUP($A285,'[1]DATOS PBI Artículos'!$A$4:$A$4,'[1]DATOS PBI Artículos'!$Y$4:$Y$4),[1]CRITERIOS!$P$79:$P$123,[1]CRITERIOS!$S$79:$S$123,),0)</f>
        <v>#N/A</v>
      </c>
      <c r="AB285" s="33" t="e">
        <f t="array" ref="AB285">IF((E285+V285-_xlfn.XLOOKUP(A285,'[1]DATOS PBI Artículos'!$A$4:$A$4,'[1]DATOS PBI Artículos'!$W$4:$W$4))/N285&gt;ROUNDUP([1]CRITERIOS!$M$16/(IF(COUNTIF([1]CRITERIOS!$BG$11:$BG$201,L285)&gt;=1,_xlfn.XLOOKUP(ARTÍCULOS!L285,[1]CRITERIOS!$BG$11:$BG$201,[1]CRITERIOS!$BJ$11:$BJ$201),_xlfn.XLOOKUP(ARTÍCULOS!C285,[1]CRITERIOS!$K$25:$K$42,[1]CRITERIOS!$M$25:$M$42))),0),ROUNDUP([1]CRITERIOS!$M$16/(IF(COUNTIF([1]CRITERIOS!$BG$11:$BG$201,L285)&gt;=1,_xlfn.XLOOKUP(ARTÍCULOS!L285,[1]CRITERIOS!$BG$11:$BG$201:#REF!,[1]CRITERIOS!$BJ$11:$BJ$201),_xlfn.XLOOKUP(ARTÍCULOS!C285,[1]CRITERIOS!$K$25:$K$42,[1]CRITERIOS!$M$25:$M$42))),0),(E285+V285-_xlfn.XLOOKUP(A285,'[1]DATOS PBI Artículos'!$A$4:$A$4,'[1]DATOS PBI Artículos'!$W$4:$W$4))/N285)</f>
        <v>#N/A</v>
      </c>
      <c r="AC285" s="33" t="e">
        <f>IF(N285=0,"",(ROUNDUP((N285/2)/(_xlfn.XLOOKUP(A285,'[1]DATOS PBI Artículos'!$A$4:$A$4,'[1]DATOS PBI Artículos'!$Z$4:$Z$4)*_xlfn.XLOOKUP(_xlfn.XLOOKUP(A285,'[1]DATOS PBI Artículos'!$A$4:$A$4,'[1]DATOS PBI Artículos'!$Y$4:$Y$4),[1]CRITERIOS!$P$79:$P$123,[1]CRITERIOS!$S$79:$S$123)),0)*[1]CRITERIOS!$M$80*([1]CRITERIOS!$M$110/[1]CRITERIOS!$M$86)+(_xlfn.XLOOKUP(A285,'[1]DATOS PBI Artículos'!$A$4:$A$4,'[1]DATOS PBI Artículos'!$AA$4:$AA$4)*([1]CRITERIOS!$M$95+[1]CRITERIOS!$M$98)))/N285)</f>
        <v>#N/A</v>
      </c>
      <c r="AD285" s="33" t="e">
        <f>IF(N285=0,"",(ROUNDUP((N285/2)/(_xlfn.XLOOKUP(A285,'[1]DATOS PBI Artículos'!$A$4:$A$4,'[1]DATOS PBI Artículos'!$Z$4:$Z$4)*_xlfn.XLOOKUP(_xlfn.XLOOKUP(A285,'[1]DATOS PBI Artículos'!$A$4:$A$4,'[1]DATOS PBI Artículos'!$Y$4:$Y$4),[1]CRITERIOS!$P$79:$P$123,[1]CRITERIOS!$S$79:$S$123)),0)*[1]CRITERIOS!$M$80*([1]CRITERIOS!$M$89*[1]CRITERIOS!$M$92)+((_xlfn.XLOOKUP(A285,'[1]DATOS PBI Artículos'!$A$4:$A$4,'[1]DATOS PBI Artículos'!$AA$4:$AA$4)/2)*([1]CRITERIOS!$M$95+[1]CRITERIOS!$M$98)))/N285)</f>
        <v>#N/A</v>
      </c>
      <c r="AE285" s="39" t="e">
        <f>IF($R285="MTO","",
IF($H285=0,ROUNDUP(((_xlfn.XLOOKUP($A285,'[1]DATOS PBI Artículos'!$A:$A,'[1]DATOS PBI Artículos'!$AL:$AL))/(_xlfn.XLOOKUP($AF$1,[1]CRITERIOS!$S$16:$S$39,[1]CRITERIOS!$Y$16:$Y$39))*$J285+$Z285)/$G285,0)*$G285,
((_xlfn.XLOOKUP($A285,'[1]DATOS PBI Artículos'!$A:$A,'[1]DATOS PBI Artículos'!$AL:$AL))/(_xlfn.XLOOKUP($AF$1,[1]CRITERIOS!$S$16:$S$39,[1]CRITERIOS!$Y$16:$Y$39))*$J285+$Z285)))</f>
        <v>#N/A</v>
      </c>
      <c r="AG285" s="39" t="e">
        <f>IF($R285="MTO","",
IF($H285=0,ROUNDUP(((_xlfn.XLOOKUP($A285,'[1]DATOS PBI Artículos'!$A:$A,'[1]DATOS PBI Artículos'!$AM:$AM))/(_xlfn.XLOOKUP($AH$1,[1]CRITERIOS!$S$16:$S$39,[1]CRITERIOS!$Y$16:$Y$39))*$J285+$Z285)/$G285,0)*$G285,
((_xlfn.XLOOKUP($A285,'[1]DATOS PBI Artículos'!$A:$A,'[1]DATOS PBI Artículos'!$AM:$AM))/(_xlfn.XLOOKUP($AH$1,[1]CRITERIOS!$S$16:$S$39,[1]CRITERIOS!$Y$16:$Y$39))*$J285+$Z285)))</f>
        <v>#N/A</v>
      </c>
      <c r="AI285" s="39" t="e">
        <f>IF($R285="MTO","",
IF($H285=0,ROUNDUP(((_xlfn.XLOOKUP($A285,'[1]DATOS PBI Artículos'!$A:$A,'[1]DATOS PBI Artículos'!$AN:$AN))/(_xlfn.XLOOKUP($AJ$1,[1]CRITERIOS!$S$16:$S$39,[1]CRITERIOS!$Y$16:$Y$39))*$J285+$Z285)/$G285,0)*$G285,
((_xlfn.XLOOKUP($A285,'[1]DATOS PBI Artículos'!$A:$A,'[1]DATOS PBI Artículos'!$AN:$AN))/(_xlfn.XLOOKUP($AJ$1,[1]CRITERIOS!$S$16:$S$39,[1]CRITERIOS!$Y$16:$Y$39))*$J285+$Z285)))</f>
        <v>#N/A</v>
      </c>
      <c r="AK285" s="39" t="e">
        <f>IF($R285="MTO","",
IF($H285=0,ROUNDUP(((_xlfn.XLOOKUP($A285,'[1]DATOS PBI Artículos'!$A:$A,'[1]DATOS PBI Artículos'!$AO:$AO))/(_xlfn.XLOOKUP($AL$1,[1]CRITERIOS!$S$16:$S$39,[1]CRITERIOS!$Y$16:$Y$39))*$J285+$Z285)/$G285,0)*$G285,
((_xlfn.XLOOKUP($A285,'[1]DATOS PBI Artículos'!$A:$A,'[1]DATOS PBI Artículos'!$AO:$AO))/(_xlfn.XLOOKUP($AL$1,[1]CRITERIOS!$S$16:$S$39,[1]CRITERIOS!$Y$16:$Y$39))*$J285+$Z285)))</f>
        <v>#N/A</v>
      </c>
    </row>
    <row r="286" spans="1:37" ht="25.8" hidden="1" x14ac:dyDescent="0.4">
      <c r="A286" s="41"/>
      <c r="B286" s="33">
        <f>_xlfn.XLOOKUP($A286,'[1]DATOS PBI Artículos'!A:A,'[1]DATOS PBI Artículos'!B:B)</f>
        <v>0</v>
      </c>
      <c r="C286" s="33">
        <f>_xlfn.XLOOKUP($A286,'[1]DATOS PBI Artículos'!A:A,'[1]DATOS PBI Artículos'!C:C)</f>
        <v>0</v>
      </c>
      <c r="D286" s="33">
        <f>_xlfn.XLOOKUP(A286,'[1]DATOS PBI Artículos'!A:A,'[1]DATOS PBI Artículos'!T:T)</f>
        <v>0</v>
      </c>
      <c r="E286" s="34">
        <f>IF(_xlfn.XLOOKUP($A286,'[1]DATOS PBI Artículos'!A:A,'[1]DATOS PBI Artículos'!AK:AK)="",_xlfn.XLOOKUP($A286,'[1]DATOS PBI Artículos'!A:A,'[1]DATOS PBI Artículos'!AJ:AJ),_xlfn.XLOOKUP($A286,'[1]DATOS PBI Artículos'!A:A,'[1]DATOS PBI Artículos'!AK:AK))</f>
        <v>0</v>
      </c>
      <c r="F286" s="35">
        <f>_xlfn.XLOOKUP($A286,'[1]DATOS PBI Artículos'!A:A,'[1]DATOS PBI Artículos'!AP:AP)</f>
        <v>0</v>
      </c>
      <c r="G286" s="34">
        <f>_xlfn.XLOOKUP($A286,'[1]DATOS PBI Artículos'!A:A,'[1]DATOS PBI Artículos'!AR:AR)</f>
        <v>0</v>
      </c>
      <c r="H286" s="34">
        <f>_xlfn.XLOOKUP($A286,'[1]DATOS PBI Artículos'!A:A,'[1]DATOS PBI Artículos'!AT:AT)</f>
        <v>0</v>
      </c>
      <c r="I286" s="34">
        <f>_xlfn.XLOOKUP($A286,'[1]DATOS PBI Artículos'!A:A,'[1]DATOS PBI Artículos'!AS:AS)</f>
        <v>0</v>
      </c>
      <c r="J286" s="35">
        <f>IF(COUNTIF([1]CRITERIOS!$F$179:$F$199,$A286)&gt;=1,
 IF(O286&lt;&gt;"",
    (O286/_xlfn.XLOOKUP(CONCATENATE(A286,L286),[1]MÁQUINAS!A:A,[1]MÁQUINAS!D:D))/24,
    (N286/_xlfn.XLOOKUP(CONCATENATE(A286,L286),[1]MÁQUINAS!A:A,[1]MÁQUINAS!D:D))/24),
  _xlfn.XLOOKUP($A286,'[1]DATOS PBI Artículos'!A:A,'[1]DATOS PBI Artículos'!AU:AU))</f>
        <v>0</v>
      </c>
      <c r="K286" s="36">
        <f>_xlfn.XLOOKUP($A286,'[1]DATOS PBI Artículos'!A:A,'[1]DATOS PBI Artículos'!AV:AV)</f>
        <v>0</v>
      </c>
      <c r="L286" s="33">
        <f>_xlfn.XLOOKUP(A286,[1]MÁQUINAS!B:B,[1]MÁQUINAS!C:C)</f>
        <v>0</v>
      </c>
      <c r="M286" s="34">
        <f t="array" ref="M286">_xlfn.XLOOKUP(A286,'[1]DATOS PBI Artículos'!A:A,'[1]DATOS PBI Artículos'!AX:$AX)</f>
        <v>0</v>
      </c>
      <c r="N286" s="37" t="e">
        <f>IF(I286="DV",
E286,
IF(COUNTIF([1]CRITERIOS!$I$179:$I$199,$A286)&gt;=1,
_xlfn.XLOOKUP($A286,[1]CRITERIOS!$I$179:$I$199,[1]CRITERIOS!$J$179:$J$199),
IF(COUNTIF([1]CRITERIOS!$L$179:$L$199,$A286)&gt;=1,
_xlfn.CEILING.MATH(IF($M286&gt;$E286,
$E286,
IF($M286&lt;$E286/ROUNDDOWN([1]CRITERIOS!$M$16/_xlfn.XLOOKUP($C286,[1]CRITERIOS!$K$25:$K$42,[1]CRITERIOS!$M$25:$M$42),
1),
E286/ROUNDDOWN([1]CRITERIOS!$M$16/_xlfn.XLOOKUP($C286,[1]CRITERIOS!$K$25:$K$42,[1]CRITERIOS!$M$25:$M$42),
1),
$M286)),
_xlfn.XLOOKUP($A286,[1]CRITERIOS!$L$179:$L$200,[1]CRITERIOS!$M$179:$M$200)),
_xlfn.CEILING.MATH(IF($M286&gt;$E286,
$E286,
IF($M286&lt;$E286/ROUNDDOWN([1]CRITERIOS!$M$16/_xlfn.XLOOKUP($C286,[1]CRITERIOS!$K$25:$K$42,[1]CRITERIOS!$M$25:$M$42),
1),
E286/ROUNDDOWN([1]CRITERIOS!$M$16/_xlfn.XLOOKUP($C286,[1]CRITERIOS!$K$25:$K$42,[1]CRITERIOS!$M$25:$M$42),
1),
$M286)),_xlfn.XLOOKUP(A286,'[1]DATOS PBI Artículos'!A:A,'[1]DATOS PBI Artículos'!Z:Z
)))))</f>
        <v>#N/A</v>
      </c>
      <c r="Q286" s="38" t="e">
        <f>IF(AND(O286="",N286=0),
0,
   IF(COUNTIF([1]CRITERIOS!$F$179:$F$199,$A286)&gt;=1,
   1,
   IF(R286="MTO",
      $D286,
      ROUNDUP(
                    IF(($E286-SUMIF('[1]DATOS PBI Artículos'!A:A,A286,'[1]DATOS PBI Artículos'!X:X)+($V286-_xlfn.XLOOKUP(A286,'[1]DATOS PBI Artículos'!A:A,'[1]DATOS PBI Artículos'!W:W)))&lt;0,
                    0,
                    IF(($E286-SUMIF('[1]DATOS PBI Artículos'!A:A,A286,'[1]DATOS PBI Artículos'!X:X)+$V286-_xlfn.XLOOKUP($A286,'[1]DATOS PBI Artículos'!A:A,'[1]DATOS PBI Artículos'!W:W))/IF($O286="",$N286,$O286)&gt;ROUNDUP([1]CRITERIOS!$M$16/(IF(COUNTIF([1]CRITERIOS!$BG$11:$BG$201,L286)&gt;=1,_xlfn.XLOOKUP($C286,[1]CRITERIOS!$K$25:$K$42,[1]CRITERIOS!$M$25:$M$42),_xlfn.XLOOKUP($C286,[1]CRITERIOS!$K$25:$K$42,[1]CRITERIOS!$M$25:$M$42))),0),
                    ROUNDUP([1]CRITERIOS!$M$16/(IF(COUNTIF([1]CRITERIOS!$BG$11:$BG$201,$L286)&gt;=1,_xlfn.XLOOKUP($C286,[1]CRITERIOS!$K$25:$K$42,[1]CRITERIOS!$M$25:$M$42),_xlfn.XLOOKUP($C286,[1]CRITERIOS!$K$25:$K$42,[1]CRITERIOS!$M$25:$M$42))),0),
                    (E286+V286-SUMIF('[1]DATOS PBI Artículos'!A:A,A286,'[1]DATOS PBI Artículos'!X:X)-_xlfn.XLOOKUP(A286,'[1]DATOS PBI Artículos'!A:A,'[1]DATOS PBI Artículos'!W:W))/IF($O286="",$N286,$O286))),0))))</f>
        <v>#N/A</v>
      </c>
      <c r="R286" s="33" t="e">
        <f>IF(U286&lt;&gt;"",U286,IF(F286="DV","MTO",IF(N286=0,"MTO",_xlfn.XLOOKUP(CONCATENATE(S286,T286),[1]CRITERIOS!$K$160:$K$168,[1]CRITERIOS!$N$160:$N$168))))</f>
        <v>#N/A</v>
      </c>
      <c r="S286" s="33" t="e">
        <f>IF(G286="DV","MTO",IF(N286=0,"MTO",IF(OR(AND(N286=0,O286=""),IF(O286="",G286/N286,G286/O286)&gt;[1]CRITERIOS!$G$163),"MTO",IF(IF(O286="",G286/N286,G286/O286)&lt;[1]CRITERIOS!$H$161,"MTS","MTOS"))))</f>
        <v>#N/A</v>
      </c>
      <c r="T286" s="33" t="e">
        <f>IF(F286="DV","MTO",IF(OR(AND($N286=0,O286=""),$F286/$J286&gt;[1]CRITERIOS!$G$170,$F286="DV"),"MTO",IF($F286/$J286&lt;[1]CRITERIOS!$H$168,"MTS","MTOS")))</f>
        <v>#N/A</v>
      </c>
      <c r="V286" s="34" t="e">
        <f t="shared" si="16"/>
        <v>#N/A</v>
      </c>
      <c r="X286" s="34" t="e">
        <f t="shared" si="14"/>
        <v>#N/A</v>
      </c>
      <c r="Y286" s="34" t="e">
        <f t="shared" si="15"/>
        <v>#N/A</v>
      </c>
      <c r="Z286" s="34" t="e">
        <f>IF($R286="MTO",
0,
($H286+$K286*($E286/[1]CRITERIOS!$M$16))/[1]CRITERIOS!$X$48)</f>
        <v>#N/A</v>
      </c>
      <c r="AA286" s="34" t="e">
        <f>ROUNDUP(($Y286/_xlfn.XLOOKUP($A286,'[1]DATOS PBI Artículos'!$A$4:$A$4,'[1]DATOS PBI Artículos'!$Z$4:$Z$4))/_xlfn.XLOOKUP(_xlfn.XLOOKUP($A286,'[1]DATOS PBI Artículos'!$A$4:$A$4,'[1]DATOS PBI Artículos'!$Y$4:$Y$4),[1]CRITERIOS!$P$79:$P$123,[1]CRITERIOS!$S$79:$S$123,),0)</f>
        <v>#N/A</v>
      </c>
      <c r="AB286" s="33" t="e">
        <f t="array" ref="AB286">IF((E286+V286-_xlfn.XLOOKUP(A286,'[1]DATOS PBI Artículos'!$A$4:$A$4,'[1]DATOS PBI Artículos'!$W$4:$W$4))/N286&gt;ROUNDUP([1]CRITERIOS!$M$16/(IF(COUNTIF([1]CRITERIOS!$BG$11:$BG$201,L286)&gt;=1,_xlfn.XLOOKUP(ARTÍCULOS!L286,[1]CRITERIOS!$BG$11:$BG$201,[1]CRITERIOS!$BJ$11:$BJ$201),_xlfn.XLOOKUP(ARTÍCULOS!C286,[1]CRITERIOS!$K$25:$K$42,[1]CRITERIOS!$M$25:$M$42))),0),ROUNDUP([1]CRITERIOS!$M$16/(IF(COUNTIF([1]CRITERIOS!$BG$11:$BG$201,L286)&gt;=1,_xlfn.XLOOKUP(ARTÍCULOS!L286,[1]CRITERIOS!$BG$11:$BG$201:#REF!,[1]CRITERIOS!$BJ$11:$BJ$201),_xlfn.XLOOKUP(ARTÍCULOS!C286,[1]CRITERIOS!$K$25:$K$42,[1]CRITERIOS!$M$25:$M$42))),0),(E286+V286-_xlfn.XLOOKUP(A286,'[1]DATOS PBI Artículos'!$A$4:$A$4,'[1]DATOS PBI Artículos'!$W$4:$W$4))/N286)</f>
        <v>#N/A</v>
      </c>
      <c r="AC286" s="33" t="e">
        <f>IF(N286=0,"",(ROUNDUP((N286/2)/(_xlfn.XLOOKUP(A286,'[1]DATOS PBI Artículos'!$A$4:$A$4,'[1]DATOS PBI Artículos'!$Z$4:$Z$4)*_xlfn.XLOOKUP(_xlfn.XLOOKUP(A286,'[1]DATOS PBI Artículos'!$A$4:$A$4,'[1]DATOS PBI Artículos'!$Y$4:$Y$4),[1]CRITERIOS!$P$79:$P$123,[1]CRITERIOS!$S$79:$S$123)),0)*[1]CRITERIOS!$M$80*([1]CRITERIOS!$M$110/[1]CRITERIOS!$M$86)+(_xlfn.XLOOKUP(A286,'[1]DATOS PBI Artículos'!$A$4:$A$4,'[1]DATOS PBI Artículos'!$AA$4:$AA$4)*([1]CRITERIOS!$M$95+[1]CRITERIOS!$M$98)))/N286)</f>
        <v>#N/A</v>
      </c>
      <c r="AD286" s="33" t="e">
        <f>IF(N286=0,"",(ROUNDUP((N286/2)/(_xlfn.XLOOKUP(A286,'[1]DATOS PBI Artículos'!$A$4:$A$4,'[1]DATOS PBI Artículos'!$Z$4:$Z$4)*_xlfn.XLOOKUP(_xlfn.XLOOKUP(A286,'[1]DATOS PBI Artículos'!$A$4:$A$4,'[1]DATOS PBI Artículos'!$Y$4:$Y$4),[1]CRITERIOS!$P$79:$P$123,[1]CRITERIOS!$S$79:$S$123)),0)*[1]CRITERIOS!$M$80*([1]CRITERIOS!$M$89*[1]CRITERIOS!$M$92)+((_xlfn.XLOOKUP(A286,'[1]DATOS PBI Artículos'!$A$4:$A$4,'[1]DATOS PBI Artículos'!$AA$4:$AA$4)/2)*([1]CRITERIOS!$M$95+[1]CRITERIOS!$M$98)))/N286)</f>
        <v>#N/A</v>
      </c>
      <c r="AE286" s="39" t="e">
        <f>IF($R286="MTO","",
IF($H286=0,ROUNDUP(((_xlfn.XLOOKUP($A286,'[1]DATOS PBI Artículos'!$A:$A,'[1]DATOS PBI Artículos'!$AL:$AL))/(_xlfn.XLOOKUP($AF$1,[1]CRITERIOS!$S$16:$S$39,[1]CRITERIOS!$Y$16:$Y$39))*$J286+$Z286)/$G286,0)*$G286,
((_xlfn.XLOOKUP($A286,'[1]DATOS PBI Artículos'!$A:$A,'[1]DATOS PBI Artículos'!$AL:$AL))/(_xlfn.XLOOKUP($AF$1,[1]CRITERIOS!$S$16:$S$39,[1]CRITERIOS!$Y$16:$Y$39))*$J286+$Z286)))</f>
        <v>#N/A</v>
      </c>
      <c r="AG286" s="39" t="e">
        <f>IF($R286="MTO","",
IF($H286=0,ROUNDUP(((_xlfn.XLOOKUP($A286,'[1]DATOS PBI Artículos'!$A:$A,'[1]DATOS PBI Artículos'!$AM:$AM))/(_xlfn.XLOOKUP($AH$1,[1]CRITERIOS!$S$16:$S$39,[1]CRITERIOS!$Y$16:$Y$39))*$J286+$Z286)/$G286,0)*$G286,
((_xlfn.XLOOKUP($A286,'[1]DATOS PBI Artículos'!$A:$A,'[1]DATOS PBI Artículos'!$AM:$AM))/(_xlfn.XLOOKUP($AH$1,[1]CRITERIOS!$S$16:$S$39,[1]CRITERIOS!$Y$16:$Y$39))*$J286+$Z286)))</f>
        <v>#N/A</v>
      </c>
      <c r="AI286" s="39" t="e">
        <f>IF($R286="MTO","",
IF($H286=0,ROUNDUP(((_xlfn.XLOOKUP($A286,'[1]DATOS PBI Artículos'!$A:$A,'[1]DATOS PBI Artículos'!$AN:$AN))/(_xlfn.XLOOKUP($AJ$1,[1]CRITERIOS!$S$16:$S$39,[1]CRITERIOS!$Y$16:$Y$39))*$J286+$Z286)/$G286,0)*$G286,
((_xlfn.XLOOKUP($A286,'[1]DATOS PBI Artículos'!$A:$A,'[1]DATOS PBI Artículos'!$AN:$AN))/(_xlfn.XLOOKUP($AJ$1,[1]CRITERIOS!$S$16:$S$39,[1]CRITERIOS!$Y$16:$Y$39))*$J286+$Z286)))</f>
        <v>#N/A</v>
      </c>
      <c r="AK286" s="39" t="e">
        <f>IF($R286="MTO","",
IF($H286=0,ROUNDUP(((_xlfn.XLOOKUP($A286,'[1]DATOS PBI Artículos'!$A:$A,'[1]DATOS PBI Artículos'!$AO:$AO))/(_xlfn.XLOOKUP($AL$1,[1]CRITERIOS!$S$16:$S$39,[1]CRITERIOS!$Y$16:$Y$39))*$J286+$Z286)/$G286,0)*$G286,
((_xlfn.XLOOKUP($A286,'[1]DATOS PBI Artículos'!$A:$A,'[1]DATOS PBI Artículos'!$AO:$AO))/(_xlfn.XLOOKUP($AL$1,[1]CRITERIOS!$S$16:$S$39,[1]CRITERIOS!$Y$16:$Y$39))*$J286+$Z286)))</f>
        <v>#N/A</v>
      </c>
    </row>
    <row r="287" spans="1:37" ht="25.8" hidden="1" x14ac:dyDescent="0.4">
      <c r="A287" s="41"/>
      <c r="B287" s="33">
        <f>_xlfn.XLOOKUP($A287,'[1]DATOS PBI Artículos'!A:A,'[1]DATOS PBI Artículos'!B:B)</f>
        <v>0</v>
      </c>
      <c r="C287" s="33">
        <f>_xlfn.XLOOKUP($A287,'[1]DATOS PBI Artículos'!A:A,'[1]DATOS PBI Artículos'!C:C)</f>
        <v>0</v>
      </c>
      <c r="D287" s="33">
        <f>_xlfn.XLOOKUP(A287,'[1]DATOS PBI Artículos'!A:A,'[1]DATOS PBI Artículos'!T:T)</f>
        <v>0</v>
      </c>
      <c r="E287" s="34">
        <f>IF(_xlfn.XLOOKUP($A287,'[1]DATOS PBI Artículos'!A:A,'[1]DATOS PBI Artículos'!AK:AK)="",_xlfn.XLOOKUP($A287,'[1]DATOS PBI Artículos'!A:A,'[1]DATOS PBI Artículos'!AJ:AJ),_xlfn.XLOOKUP($A287,'[1]DATOS PBI Artículos'!A:A,'[1]DATOS PBI Artículos'!AK:AK))</f>
        <v>0</v>
      </c>
      <c r="F287" s="35">
        <f>_xlfn.XLOOKUP($A287,'[1]DATOS PBI Artículos'!A:A,'[1]DATOS PBI Artículos'!AP:AP)</f>
        <v>0</v>
      </c>
      <c r="G287" s="34">
        <f>_xlfn.XLOOKUP($A287,'[1]DATOS PBI Artículos'!A:A,'[1]DATOS PBI Artículos'!AR:AR)</f>
        <v>0</v>
      </c>
      <c r="H287" s="34">
        <f>_xlfn.XLOOKUP($A287,'[1]DATOS PBI Artículos'!A:A,'[1]DATOS PBI Artículos'!AT:AT)</f>
        <v>0</v>
      </c>
      <c r="I287" s="34">
        <f>_xlfn.XLOOKUP($A287,'[1]DATOS PBI Artículos'!A:A,'[1]DATOS PBI Artículos'!AS:AS)</f>
        <v>0</v>
      </c>
      <c r="J287" s="35">
        <f>IF(COUNTIF([1]CRITERIOS!$F$179:$F$199,$A287)&gt;=1,
 IF(O287&lt;&gt;"",
    (O287/_xlfn.XLOOKUP(CONCATENATE(A287,L287),[1]MÁQUINAS!A:A,[1]MÁQUINAS!D:D))/24,
    (N287/_xlfn.XLOOKUP(CONCATENATE(A287,L287),[1]MÁQUINAS!A:A,[1]MÁQUINAS!D:D))/24),
  _xlfn.XLOOKUP($A287,'[1]DATOS PBI Artículos'!A:A,'[1]DATOS PBI Artículos'!AU:AU))</f>
        <v>0</v>
      </c>
      <c r="K287" s="36">
        <f>_xlfn.XLOOKUP($A287,'[1]DATOS PBI Artículos'!A:A,'[1]DATOS PBI Artículos'!AV:AV)</f>
        <v>0</v>
      </c>
      <c r="L287" s="33">
        <f>_xlfn.XLOOKUP(A287,[1]MÁQUINAS!B:B,[1]MÁQUINAS!C:C)</f>
        <v>0</v>
      </c>
      <c r="M287" s="34">
        <f t="array" ref="M287">_xlfn.XLOOKUP(A287,'[1]DATOS PBI Artículos'!A:A,'[1]DATOS PBI Artículos'!AX:$AX)</f>
        <v>0</v>
      </c>
      <c r="N287" s="37" t="e">
        <f>IF(I287="DV",
E287,
IF(COUNTIF([1]CRITERIOS!$I$179:$I$199,$A287)&gt;=1,
_xlfn.XLOOKUP($A287,[1]CRITERIOS!$I$179:$I$199,[1]CRITERIOS!$J$179:$J$199),
IF(COUNTIF([1]CRITERIOS!$L$179:$L$199,$A287)&gt;=1,
_xlfn.CEILING.MATH(IF($M287&gt;$E287,
$E287,
IF($M287&lt;$E287/ROUNDDOWN([1]CRITERIOS!$M$16/_xlfn.XLOOKUP($C287,[1]CRITERIOS!$K$25:$K$42,[1]CRITERIOS!$M$25:$M$42),
1),
E287/ROUNDDOWN([1]CRITERIOS!$M$16/_xlfn.XLOOKUP($C287,[1]CRITERIOS!$K$25:$K$42,[1]CRITERIOS!$M$25:$M$42),
1),
$M287)),
_xlfn.XLOOKUP($A287,[1]CRITERIOS!$L$179:$L$200,[1]CRITERIOS!$M$179:$M$200)),
_xlfn.CEILING.MATH(IF($M287&gt;$E287,
$E287,
IF($M287&lt;$E287/ROUNDDOWN([1]CRITERIOS!$M$16/_xlfn.XLOOKUP($C287,[1]CRITERIOS!$K$25:$K$42,[1]CRITERIOS!$M$25:$M$42),
1),
E287/ROUNDDOWN([1]CRITERIOS!$M$16/_xlfn.XLOOKUP($C287,[1]CRITERIOS!$K$25:$K$42,[1]CRITERIOS!$M$25:$M$42),
1),
$M287)),_xlfn.XLOOKUP(A287,'[1]DATOS PBI Artículos'!A:A,'[1]DATOS PBI Artículos'!Z:Z
)))))</f>
        <v>#N/A</v>
      </c>
      <c r="Q287" s="38" t="e">
        <f>IF(AND(O287="",N287=0),
0,
   IF(COUNTIF([1]CRITERIOS!$F$179:$F$199,$A287)&gt;=1,
   1,
   IF(R287="MTO",
      $D287,
      ROUNDUP(
                    IF(($E287-SUMIF('[1]DATOS PBI Artículos'!A:A,A287,'[1]DATOS PBI Artículos'!X:X)+($V287-_xlfn.XLOOKUP(A287,'[1]DATOS PBI Artículos'!A:A,'[1]DATOS PBI Artículos'!W:W)))&lt;0,
                    0,
                    IF(($E287-SUMIF('[1]DATOS PBI Artículos'!A:A,A287,'[1]DATOS PBI Artículos'!X:X)+$V287-_xlfn.XLOOKUP($A287,'[1]DATOS PBI Artículos'!A:A,'[1]DATOS PBI Artículos'!W:W))/IF($O287="",$N287,$O287)&gt;ROUNDUP([1]CRITERIOS!$M$16/(IF(COUNTIF([1]CRITERIOS!$BG$11:$BG$201,L287)&gt;=1,_xlfn.XLOOKUP($C287,[1]CRITERIOS!$K$25:$K$42,[1]CRITERIOS!$M$25:$M$42),_xlfn.XLOOKUP($C287,[1]CRITERIOS!$K$25:$K$42,[1]CRITERIOS!$M$25:$M$42))),0),
                    ROUNDUP([1]CRITERIOS!$M$16/(IF(COUNTIF([1]CRITERIOS!$BG$11:$BG$201,$L287)&gt;=1,_xlfn.XLOOKUP($C287,[1]CRITERIOS!$K$25:$K$42,[1]CRITERIOS!$M$25:$M$42),_xlfn.XLOOKUP($C287,[1]CRITERIOS!$K$25:$K$42,[1]CRITERIOS!$M$25:$M$42))),0),
                    (E287+V287-SUMIF('[1]DATOS PBI Artículos'!A:A,A287,'[1]DATOS PBI Artículos'!X:X)-_xlfn.XLOOKUP(A287,'[1]DATOS PBI Artículos'!A:A,'[1]DATOS PBI Artículos'!W:W))/IF($O287="",$N287,$O287))),0))))</f>
        <v>#N/A</v>
      </c>
      <c r="R287" s="33" t="e">
        <f>IF(U287&lt;&gt;"",U287,IF(F287="DV","MTO",IF(N287=0,"MTO",_xlfn.XLOOKUP(CONCATENATE(S287,T287),[1]CRITERIOS!$K$160:$K$168,[1]CRITERIOS!$N$160:$N$168))))</f>
        <v>#N/A</v>
      </c>
      <c r="S287" s="33" t="e">
        <f>IF(G287="DV","MTO",IF(N287=0,"MTO",IF(OR(AND(N287=0,O287=""),IF(O287="",G287/N287,G287/O287)&gt;[1]CRITERIOS!$G$163),"MTO",IF(IF(O287="",G287/N287,G287/O287)&lt;[1]CRITERIOS!$H$161,"MTS","MTOS"))))</f>
        <v>#N/A</v>
      </c>
      <c r="T287" s="33" t="e">
        <f>IF(F287="DV","MTO",IF(OR(AND($N287=0,O287=""),$F287/$J287&gt;[1]CRITERIOS!$G$170,$F287="DV"),"MTO",IF($F287/$J287&lt;[1]CRITERIOS!$H$168,"MTS","MTOS")))</f>
        <v>#N/A</v>
      </c>
      <c r="V287" s="34" t="e">
        <f t="shared" si="16"/>
        <v>#N/A</v>
      </c>
      <c r="X287" s="34" t="e">
        <f t="shared" si="14"/>
        <v>#N/A</v>
      </c>
      <c r="Y287" s="34" t="e">
        <f t="shared" si="15"/>
        <v>#N/A</v>
      </c>
      <c r="Z287" s="34" t="e">
        <f>IF($R287="MTO",
0,
($H287+$K287*($E287/[1]CRITERIOS!$M$16))/[1]CRITERIOS!$X$48)</f>
        <v>#N/A</v>
      </c>
      <c r="AA287" s="34" t="e">
        <f>ROUNDUP(($Y287/_xlfn.XLOOKUP($A287,'[1]DATOS PBI Artículos'!$A$4:$A$4,'[1]DATOS PBI Artículos'!$Z$4:$Z$4))/_xlfn.XLOOKUP(_xlfn.XLOOKUP($A287,'[1]DATOS PBI Artículos'!$A$4:$A$4,'[1]DATOS PBI Artículos'!$Y$4:$Y$4),[1]CRITERIOS!$P$79:$P$123,[1]CRITERIOS!$S$79:$S$123,),0)</f>
        <v>#N/A</v>
      </c>
      <c r="AB287" s="33" t="e">
        <f t="array" ref="AB287">IF((E287+V287-_xlfn.XLOOKUP(A287,'[1]DATOS PBI Artículos'!$A$4:$A$4,'[1]DATOS PBI Artículos'!$W$4:$W$4))/N287&gt;ROUNDUP([1]CRITERIOS!$M$16/(IF(COUNTIF([1]CRITERIOS!$BG$11:$BG$201,L287)&gt;=1,_xlfn.XLOOKUP(ARTÍCULOS!L287,[1]CRITERIOS!$BG$11:$BG$201,[1]CRITERIOS!$BJ$11:$BJ$201),_xlfn.XLOOKUP(ARTÍCULOS!C287,[1]CRITERIOS!$K$25:$K$42,[1]CRITERIOS!$M$25:$M$42))),0),ROUNDUP([1]CRITERIOS!$M$16/(IF(COUNTIF([1]CRITERIOS!$BG$11:$BG$201,L287)&gt;=1,_xlfn.XLOOKUP(ARTÍCULOS!L287,[1]CRITERIOS!$BG$11:$BG$201:#REF!,[1]CRITERIOS!$BJ$11:$BJ$201),_xlfn.XLOOKUP(ARTÍCULOS!C287,[1]CRITERIOS!$K$25:$K$42,[1]CRITERIOS!$M$25:$M$42))),0),(E287+V287-_xlfn.XLOOKUP(A287,'[1]DATOS PBI Artículos'!$A$4:$A$4,'[1]DATOS PBI Artículos'!$W$4:$W$4))/N287)</f>
        <v>#N/A</v>
      </c>
      <c r="AC287" s="33" t="e">
        <f>IF(N287=0,"",(ROUNDUP((N287/2)/(_xlfn.XLOOKUP(A287,'[1]DATOS PBI Artículos'!$A$4:$A$4,'[1]DATOS PBI Artículos'!$Z$4:$Z$4)*_xlfn.XLOOKUP(_xlfn.XLOOKUP(A287,'[1]DATOS PBI Artículos'!$A$4:$A$4,'[1]DATOS PBI Artículos'!$Y$4:$Y$4),[1]CRITERIOS!$P$79:$P$123,[1]CRITERIOS!$S$79:$S$123)),0)*[1]CRITERIOS!$M$80*([1]CRITERIOS!$M$110/[1]CRITERIOS!$M$86)+(_xlfn.XLOOKUP(A287,'[1]DATOS PBI Artículos'!$A$4:$A$4,'[1]DATOS PBI Artículos'!$AA$4:$AA$4)*([1]CRITERIOS!$M$95+[1]CRITERIOS!$M$98)))/N287)</f>
        <v>#N/A</v>
      </c>
      <c r="AD287" s="33" t="e">
        <f>IF(N287=0,"",(ROUNDUP((N287/2)/(_xlfn.XLOOKUP(A287,'[1]DATOS PBI Artículos'!$A$4:$A$4,'[1]DATOS PBI Artículos'!$Z$4:$Z$4)*_xlfn.XLOOKUP(_xlfn.XLOOKUP(A287,'[1]DATOS PBI Artículos'!$A$4:$A$4,'[1]DATOS PBI Artículos'!$Y$4:$Y$4),[1]CRITERIOS!$P$79:$P$123,[1]CRITERIOS!$S$79:$S$123)),0)*[1]CRITERIOS!$M$80*([1]CRITERIOS!$M$89*[1]CRITERIOS!$M$92)+((_xlfn.XLOOKUP(A287,'[1]DATOS PBI Artículos'!$A$4:$A$4,'[1]DATOS PBI Artículos'!$AA$4:$AA$4)/2)*([1]CRITERIOS!$M$95+[1]CRITERIOS!$M$98)))/N287)</f>
        <v>#N/A</v>
      </c>
      <c r="AE287" s="39" t="e">
        <f>IF($R287="MTO","",
IF($H287=0,ROUNDUP(((_xlfn.XLOOKUP($A287,'[1]DATOS PBI Artículos'!$A:$A,'[1]DATOS PBI Artículos'!$AL:$AL))/(_xlfn.XLOOKUP($AF$1,[1]CRITERIOS!$S$16:$S$39,[1]CRITERIOS!$Y$16:$Y$39))*$J287+$Z287)/$G287,0)*$G287,
((_xlfn.XLOOKUP($A287,'[1]DATOS PBI Artículos'!$A:$A,'[1]DATOS PBI Artículos'!$AL:$AL))/(_xlfn.XLOOKUP($AF$1,[1]CRITERIOS!$S$16:$S$39,[1]CRITERIOS!$Y$16:$Y$39))*$J287+$Z287)))</f>
        <v>#N/A</v>
      </c>
      <c r="AG287" s="39" t="e">
        <f>IF($R287="MTO","",
IF($H287=0,ROUNDUP(((_xlfn.XLOOKUP($A287,'[1]DATOS PBI Artículos'!$A:$A,'[1]DATOS PBI Artículos'!$AM:$AM))/(_xlfn.XLOOKUP($AH$1,[1]CRITERIOS!$S$16:$S$39,[1]CRITERIOS!$Y$16:$Y$39))*$J287+$Z287)/$G287,0)*$G287,
((_xlfn.XLOOKUP($A287,'[1]DATOS PBI Artículos'!$A:$A,'[1]DATOS PBI Artículos'!$AM:$AM))/(_xlfn.XLOOKUP($AH$1,[1]CRITERIOS!$S$16:$S$39,[1]CRITERIOS!$Y$16:$Y$39))*$J287+$Z287)))</f>
        <v>#N/A</v>
      </c>
      <c r="AI287" s="39" t="e">
        <f>IF($R287="MTO","",
IF($H287=0,ROUNDUP(((_xlfn.XLOOKUP($A287,'[1]DATOS PBI Artículos'!$A:$A,'[1]DATOS PBI Artículos'!$AN:$AN))/(_xlfn.XLOOKUP($AJ$1,[1]CRITERIOS!$S$16:$S$39,[1]CRITERIOS!$Y$16:$Y$39))*$J287+$Z287)/$G287,0)*$G287,
((_xlfn.XLOOKUP($A287,'[1]DATOS PBI Artículos'!$A:$A,'[1]DATOS PBI Artículos'!$AN:$AN))/(_xlfn.XLOOKUP($AJ$1,[1]CRITERIOS!$S$16:$S$39,[1]CRITERIOS!$Y$16:$Y$39))*$J287+$Z287)))</f>
        <v>#N/A</v>
      </c>
      <c r="AK287" s="39" t="e">
        <f>IF($R287="MTO","",
IF($H287=0,ROUNDUP(((_xlfn.XLOOKUP($A287,'[1]DATOS PBI Artículos'!$A:$A,'[1]DATOS PBI Artículos'!$AO:$AO))/(_xlfn.XLOOKUP($AL$1,[1]CRITERIOS!$S$16:$S$39,[1]CRITERIOS!$Y$16:$Y$39))*$J287+$Z287)/$G287,0)*$G287,
((_xlfn.XLOOKUP($A287,'[1]DATOS PBI Artículos'!$A:$A,'[1]DATOS PBI Artículos'!$AO:$AO))/(_xlfn.XLOOKUP($AL$1,[1]CRITERIOS!$S$16:$S$39,[1]CRITERIOS!$Y$16:$Y$39))*$J287+$Z287)))</f>
        <v>#N/A</v>
      </c>
    </row>
    <row r="288" spans="1:37" ht="25.8" hidden="1" x14ac:dyDescent="0.4">
      <c r="A288" s="41"/>
      <c r="B288" s="33">
        <f>_xlfn.XLOOKUP($A288,'[1]DATOS PBI Artículos'!A:A,'[1]DATOS PBI Artículos'!B:B)</f>
        <v>0</v>
      </c>
      <c r="C288" s="33">
        <f>_xlfn.XLOOKUP($A288,'[1]DATOS PBI Artículos'!A:A,'[1]DATOS PBI Artículos'!C:C)</f>
        <v>0</v>
      </c>
      <c r="D288" s="33">
        <f>_xlfn.XLOOKUP(A288,'[1]DATOS PBI Artículos'!A:A,'[1]DATOS PBI Artículos'!T:T)</f>
        <v>0</v>
      </c>
      <c r="E288" s="34">
        <f>IF(_xlfn.XLOOKUP($A288,'[1]DATOS PBI Artículos'!A:A,'[1]DATOS PBI Artículos'!AK:AK)="",_xlfn.XLOOKUP($A288,'[1]DATOS PBI Artículos'!A:A,'[1]DATOS PBI Artículos'!AJ:AJ),_xlfn.XLOOKUP($A288,'[1]DATOS PBI Artículos'!A:A,'[1]DATOS PBI Artículos'!AK:AK))</f>
        <v>0</v>
      </c>
      <c r="F288" s="35">
        <f>_xlfn.XLOOKUP($A288,'[1]DATOS PBI Artículos'!A:A,'[1]DATOS PBI Artículos'!AP:AP)</f>
        <v>0</v>
      </c>
      <c r="G288" s="34">
        <f>_xlfn.XLOOKUP($A288,'[1]DATOS PBI Artículos'!A:A,'[1]DATOS PBI Artículos'!AR:AR)</f>
        <v>0</v>
      </c>
      <c r="H288" s="34">
        <f>_xlfn.XLOOKUP($A288,'[1]DATOS PBI Artículos'!A:A,'[1]DATOS PBI Artículos'!AT:AT)</f>
        <v>0</v>
      </c>
      <c r="I288" s="34">
        <f>_xlfn.XLOOKUP($A288,'[1]DATOS PBI Artículos'!A:A,'[1]DATOS PBI Artículos'!AS:AS)</f>
        <v>0</v>
      </c>
      <c r="J288" s="35">
        <f>IF(COUNTIF([1]CRITERIOS!$F$179:$F$199,$A288)&gt;=1,
 IF(O288&lt;&gt;"",
    (O288/_xlfn.XLOOKUP(CONCATENATE(A288,L288),[1]MÁQUINAS!A:A,[1]MÁQUINAS!D:D))/24,
    (N288/_xlfn.XLOOKUP(CONCATENATE(A288,L288),[1]MÁQUINAS!A:A,[1]MÁQUINAS!D:D))/24),
  _xlfn.XLOOKUP($A288,'[1]DATOS PBI Artículos'!A:A,'[1]DATOS PBI Artículos'!AU:AU))</f>
        <v>0</v>
      </c>
      <c r="K288" s="36">
        <f>_xlfn.XLOOKUP($A288,'[1]DATOS PBI Artículos'!A:A,'[1]DATOS PBI Artículos'!AV:AV)</f>
        <v>0</v>
      </c>
      <c r="L288" s="33">
        <f>_xlfn.XLOOKUP(A288,[1]MÁQUINAS!B:B,[1]MÁQUINAS!C:C)</f>
        <v>0</v>
      </c>
      <c r="M288" s="34">
        <f t="array" ref="M288">_xlfn.XLOOKUP(A288,'[1]DATOS PBI Artículos'!A:A,'[1]DATOS PBI Artículos'!AX:$AX)</f>
        <v>0</v>
      </c>
      <c r="N288" s="37" t="e">
        <f>IF(I288="DV",
E288,
IF(COUNTIF([1]CRITERIOS!$I$179:$I$199,$A288)&gt;=1,
_xlfn.XLOOKUP($A288,[1]CRITERIOS!$I$179:$I$199,[1]CRITERIOS!$J$179:$J$199),
IF(COUNTIF([1]CRITERIOS!$L$179:$L$199,$A288)&gt;=1,
_xlfn.CEILING.MATH(IF($M288&gt;$E288,
$E288,
IF($M288&lt;$E288/ROUNDDOWN([1]CRITERIOS!$M$16/_xlfn.XLOOKUP($C288,[1]CRITERIOS!$K$25:$K$42,[1]CRITERIOS!$M$25:$M$42),
1),
E288/ROUNDDOWN([1]CRITERIOS!$M$16/_xlfn.XLOOKUP($C288,[1]CRITERIOS!$K$25:$K$42,[1]CRITERIOS!$M$25:$M$42),
1),
$M288)),
_xlfn.XLOOKUP($A288,[1]CRITERIOS!$L$179:$L$200,[1]CRITERIOS!$M$179:$M$200)),
_xlfn.CEILING.MATH(IF($M288&gt;$E288,
$E288,
IF($M288&lt;$E288/ROUNDDOWN([1]CRITERIOS!$M$16/_xlfn.XLOOKUP($C288,[1]CRITERIOS!$K$25:$K$42,[1]CRITERIOS!$M$25:$M$42),
1),
E288/ROUNDDOWN([1]CRITERIOS!$M$16/_xlfn.XLOOKUP($C288,[1]CRITERIOS!$K$25:$K$42,[1]CRITERIOS!$M$25:$M$42),
1),
$M288)),_xlfn.XLOOKUP(A288,'[1]DATOS PBI Artículos'!A:A,'[1]DATOS PBI Artículos'!Z:Z
)))))</f>
        <v>#N/A</v>
      </c>
      <c r="Q288" s="38" t="e">
        <f>IF(AND(O288="",N288=0),
0,
   IF(COUNTIF([1]CRITERIOS!$F$179:$F$199,$A288)&gt;=1,
   1,
   IF(R288="MTO",
      $D288,
      ROUNDUP(
                    IF(($E288-SUMIF('[1]DATOS PBI Artículos'!A:A,A288,'[1]DATOS PBI Artículos'!X:X)+($V288-_xlfn.XLOOKUP(A288,'[1]DATOS PBI Artículos'!A:A,'[1]DATOS PBI Artículos'!W:W)))&lt;0,
                    0,
                    IF(($E288-SUMIF('[1]DATOS PBI Artículos'!A:A,A288,'[1]DATOS PBI Artículos'!X:X)+$V288-_xlfn.XLOOKUP($A288,'[1]DATOS PBI Artículos'!A:A,'[1]DATOS PBI Artículos'!W:W))/IF($O288="",$N288,$O288)&gt;ROUNDUP([1]CRITERIOS!$M$16/(IF(COUNTIF([1]CRITERIOS!$BG$11:$BG$201,L288)&gt;=1,_xlfn.XLOOKUP($C288,[1]CRITERIOS!$K$25:$K$42,[1]CRITERIOS!$M$25:$M$42),_xlfn.XLOOKUP($C288,[1]CRITERIOS!$K$25:$K$42,[1]CRITERIOS!$M$25:$M$42))),0),
                    ROUNDUP([1]CRITERIOS!$M$16/(IF(COUNTIF([1]CRITERIOS!$BG$11:$BG$201,$L288)&gt;=1,_xlfn.XLOOKUP($C288,[1]CRITERIOS!$K$25:$K$42,[1]CRITERIOS!$M$25:$M$42),_xlfn.XLOOKUP($C288,[1]CRITERIOS!$K$25:$K$42,[1]CRITERIOS!$M$25:$M$42))),0),
                    (E288+V288-SUMIF('[1]DATOS PBI Artículos'!A:A,A288,'[1]DATOS PBI Artículos'!X:X)-_xlfn.XLOOKUP(A288,'[1]DATOS PBI Artículos'!A:A,'[1]DATOS PBI Artículos'!W:W))/IF($O288="",$N288,$O288))),0))))</f>
        <v>#N/A</v>
      </c>
      <c r="R288" s="33" t="e">
        <f>IF(U288&lt;&gt;"",U288,IF(F288="DV","MTO",IF(N288=0,"MTO",_xlfn.XLOOKUP(CONCATENATE(S288,T288),[1]CRITERIOS!$K$160:$K$168,[1]CRITERIOS!$N$160:$N$168))))</f>
        <v>#N/A</v>
      </c>
      <c r="S288" s="33" t="e">
        <f>IF(G288="DV","MTO",IF(N288=0,"MTO",IF(OR(AND(N288=0,O288=""),IF(O288="",G288/N288,G288/O288)&gt;[1]CRITERIOS!$G$163),"MTO",IF(IF(O288="",G288/N288,G288/O288)&lt;[1]CRITERIOS!$H$161,"MTS","MTOS"))))</f>
        <v>#N/A</v>
      </c>
      <c r="T288" s="33" t="e">
        <f>IF(F288="DV","MTO",IF(OR(AND($N288=0,O288=""),$F288/$J288&gt;[1]CRITERIOS!$G$170,$F288="DV"),"MTO",IF($F288/$J288&lt;[1]CRITERIOS!$H$168,"MTS","MTOS")))</f>
        <v>#N/A</v>
      </c>
      <c r="V288" s="34" t="e">
        <f t="shared" si="16"/>
        <v>#N/A</v>
      </c>
      <c r="X288" s="34" t="e">
        <f t="shared" si="14"/>
        <v>#N/A</v>
      </c>
      <c r="Y288" s="34" t="e">
        <f t="shared" si="15"/>
        <v>#N/A</v>
      </c>
      <c r="Z288" s="34" t="e">
        <f>IF($R288="MTO",
0,
($H288+$K288*($E288/[1]CRITERIOS!$M$16))/[1]CRITERIOS!$X$48)</f>
        <v>#N/A</v>
      </c>
      <c r="AA288" s="34" t="e">
        <f>ROUNDUP(($Y288/_xlfn.XLOOKUP($A288,'[1]DATOS PBI Artículos'!$A$4:$A$4,'[1]DATOS PBI Artículos'!$Z$4:$Z$4))/_xlfn.XLOOKUP(_xlfn.XLOOKUP($A288,'[1]DATOS PBI Artículos'!$A$4:$A$4,'[1]DATOS PBI Artículos'!$Y$4:$Y$4),[1]CRITERIOS!$P$79:$P$123,[1]CRITERIOS!$S$79:$S$123,),0)</f>
        <v>#N/A</v>
      </c>
      <c r="AB288" s="33" t="e">
        <f t="array" ref="AB288">IF((E288+V288-_xlfn.XLOOKUP(A288,'[1]DATOS PBI Artículos'!$A$4:$A$4,'[1]DATOS PBI Artículos'!$W$4:$W$4))/N288&gt;ROUNDUP([1]CRITERIOS!$M$16/(IF(COUNTIF([1]CRITERIOS!$BG$11:$BG$201,L288)&gt;=1,_xlfn.XLOOKUP(ARTÍCULOS!L288,[1]CRITERIOS!$BG$11:$BG$201,[1]CRITERIOS!$BJ$11:$BJ$201),_xlfn.XLOOKUP(ARTÍCULOS!C288,[1]CRITERIOS!$K$25:$K$42,[1]CRITERIOS!$M$25:$M$42))),0),ROUNDUP([1]CRITERIOS!$M$16/(IF(COUNTIF([1]CRITERIOS!$BG$11:$BG$201,L288)&gt;=1,_xlfn.XLOOKUP(ARTÍCULOS!L288,[1]CRITERIOS!$BG$11:$BG$201:#REF!,[1]CRITERIOS!$BJ$11:$BJ$201),_xlfn.XLOOKUP(ARTÍCULOS!C288,[1]CRITERIOS!$K$25:$K$42,[1]CRITERIOS!$M$25:$M$42))),0),(E288+V288-_xlfn.XLOOKUP(A288,'[1]DATOS PBI Artículos'!$A$4:$A$4,'[1]DATOS PBI Artículos'!$W$4:$W$4))/N288)</f>
        <v>#N/A</v>
      </c>
      <c r="AC288" s="33" t="e">
        <f>IF(N288=0,"",(ROUNDUP((N288/2)/(_xlfn.XLOOKUP(A288,'[1]DATOS PBI Artículos'!$A$4:$A$4,'[1]DATOS PBI Artículos'!$Z$4:$Z$4)*_xlfn.XLOOKUP(_xlfn.XLOOKUP(A288,'[1]DATOS PBI Artículos'!$A$4:$A$4,'[1]DATOS PBI Artículos'!$Y$4:$Y$4),[1]CRITERIOS!$P$79:$P$123,[1]CRITERIOS!$S$79:$S$123)),0)*[1]CRITERIOS!$M$80*([1]CRITERIOS!$M$110/[1]CRITERIOS!$M$86)+(_xlfn.XLOOKUP(A288,'[1]DATOS PBI Artículos'!$A$4:$A$4,'[1]DATOS PBI Artículos'!$AA$4:$AA$4)*([1]CRITERIOS!$M$95+[1]CRITERIOS!$M$98)))/N288)</f>
        <v>#N/A</v>
      </c>
      <c r="AD288" s="33" t="e">
        <f>IF(N288=0,"",(ROUNDUP((N288/2)/(_xlfn.XLOOKUP(A288,'[1]DATOS PBI Artículos'!$A$4:$A$4,'[1]DATOS PBI Artículos'!$Z$4:$Z$4)*_xlfn.XLOOKUP(_xlfn.XLOOKUP(A288,'[1]DATOS PBI Artículos'!$A$4:$A$4,'[1]DATOS PBI Artículos'!$Y$4:$Y$4),[1]CRITERIOS!$P$79:$P$123,[1]CRITERIOS!$S$79:$S$123)),0)*[1]CRITERIOS!$M$80*([1]CRITERIOS!$M$89*[1]CRITERIOS!$M$92)+((_xlfn.XLOOKUP(A288,'[1]DATOS PBI Artículos'!$A$4:$A$4,'[1]DATOS PBI Artículos'!$AA$4:$AA$4)/2)*([1]CRITERIOS!$M$95+[1]CRITERIOS!$M$98)))/N288)</f>
        <v>#N/A</v>
      </c>
      <c r="AE288" s="39" t="e">
        <f>IF($R288="MTO","",
IF($H288=0,ROUNDUP(((_xlfn.XLOOKUP($A288,'[1]DATOS PBI Artículos'!$A:$A,'[1]DATOS PBI Artículos'!$AL:$AL))/(_xlfn.XLOOKUP($AF$1,[1]CRITERIOS!$S$16:$S$39,[1]CRITERIOS!$Y$16:$Y$39))*$J288+$Z288)/$G288,0)*$G288,
((_xlfn.XLOOKUP($A288,'[1]DATOS PBI Artículos'!$A:$A,'[1]DATOS PBI Artículos'!$AL:$AL))/(_xlfn.XLOOKUP($AF$1,[1]CRITERIOS!$S$16:$S$39,[1]CRITERIOS!$Y$16:$Y$39))*$J288+$Z288)))</f>
        <v>#N/A</v>
      </c>
      <c r="AG288" s="39" t="e">
        <f>IF($R288="MTO","",
IF($H288=0,ROUNDUP(((_xlfn.XLOOKUP($A288,'[1]DATOS PBI Artículos'!$A:$A,'[1]DATOS PBI Artículos'!$AM:$AM))/(_xlfn.XLOOKUP($AH$1,[1]CRITERIOS!$S$16:$S$39,[1]CRITERIOS!$Y$16:$Y$39))*$J288+$Z288)/$G288,0)*$G288,
((_xlfn.XLOOKUP($A288,'[1]DATOS PBI Artículos'!$A:$A,'[1]DATOS PBI Artículos'!$AM:$AM))/(_xlfn.XLOOKUP($AH$1,[1]CRITERIOS!$S$16:$S$39,[1]CRITERIOS!$Y$16:$Y$39))*$J288+$Z288)))</f>
        <v>#N/A</v>
      </c>
      <c r="AI288" s="39" t="e">
        <f>IF($R288="MTO","",
IF($H288=0,ROUNDUP(((_xlfn.XLOOKUP($A288,'[1]DATOS PBI Artículos'!$A:$A,'[1]DATOS PBI Artículos'!$AN:$AN))/(_xlfn.XLOOKUP($AJ$1,[1]CRITERIOS!$S$16:$S$39,[1]CRITERIOS!$Y$16:$Y$39))*$J288+$Z288)/$G288,0)*$G288,
((_xlfn.XLOOKUP($A288,'[1]DATOS PBI Artículos'!$A:$A,'[1]DATOS PBI Artículos'!$AN:$AN))/(_xlfn.XLOOKUP($AJ$1,[1]CRITERIOS!$S$16:$S$39,[1]CRITERIOS!$Y$16:$Y$39))*$J288+$Z288)))</f>
        <v>#N/A</v>
      </c>
      <c r="AK288" s="39" t="e">
        <f>IF($R288="MTO","",
IF($H288=0,ROUNDUP(((_xlfn.XLOOKUP($A288,'[1]DATOS PBI Artículos'!$A:$A,'[1]DATOS PBI Artículos'!$AO:$AO))/(_xlfn.XLOOKUP($AL$1,[1]CRITERIOS!$S$16:$S$39,[1]CRITERIOS!$Y$16:$Y$39))*$J288+$Z288)/$G288,0)*$G288,
((_xlfn.XLOOKUP($A288,'[1]DATOS PBI Artículos'!$A:$A,'[1]DATOS PBI Artículos'!$AO:$AO))/(_xlfn.XLOOKUP($AL$1,[1]CRITERIOS!$S$16:$S$39,[1]CRITERIOS!$Y$16:$Y$39))*$J288+$Z288)))</f>
        <v>#N/A</v>
      </c>
    </row>
    <row r="289" spans="1:37" ht="25.8" hidden="1" x14ac:dyDescent="0.4">
      <c r="A289" s="41"/>
      <c r="B289" s="33">
        <f>_xlfn.XLOOKUP($A289,'[1]DATOS PBI Artículos'!A:A,'[1]DATOS PBI Artículos'!B:B)</f>
        <v>0</v>
      </c>
      <c r="C289" s="33">
        <f>_xlfn.XLOOKUP($A289,'[1]DATOS PBI Artículos'!A:A,'[1]DATOS PBI Artículos'!C:C)</f>
        <v>0</v>
      </c>
      <c r="D289" s="33">
        <f>_xlfn.XLOOKUP(A289,'[1]DATOS PBI Artículos'!A:A,'[1]DATOS PBI Artículos'!T:T)</f>
        <v>0</v>
      </c>
      <c r="E289" s="34">
        <f>IF(_xlfn.XLOOKUP($A289,'[1]DATOS PBI Artículos'!A:A,'[1]DATOS PBI Artículos'!AK:AK)="",_xlfn.XLOOKUP($A289,'[1]DATOS PBI Artículos'!A:A,'[1]DATOS PBI Artículos'!AJ:AJ),_xlfn.XLOOKUP($A289,'[1]DATOS PBI Artículos'!A:A,'[1]DATOS PBI Artículos'!AK:AK))</f>
        <v>0</v>
      </c>
      <c r="F289" s="35">
        <f>_xlfn.XLOOKUP($A289,'[1]DATOS PBI Artículos'!A:A,'[1]DATOS PBI Artículos'!AP:AP)</f>
        <v>0</v>
      </c>
      <c r="G289" s="34">
        <f>_xlfn.XLOOKUP($A289,'[1]DATOS PBI Artículos'!A:A,'[1]DATOS PBI Artículos'!AR:AR)</f>
        <v>0</v>
      </c>
      <c r="H289" s="34">
        <f>_xlfn.XLOOKUP($A289,'[1]DATOS PBI Artículos'!A:A,'[1]DATOS PBI Artículos'!AT:AT)</f>
        <v>0</v>
      </c>
      <c r="I289" s="34">
        <f>_xlfn.XLOOKUP($A289,'[1]DATOS PBI Artículos'!A:A,'[1]DATOS PBI Artículos'!AS:AS)</f>
        <v>0</v>
      </c>
      <c r="J289" s="35">
        <f>IF(COUNTIF([1]CRITERIOS!$F$179:$F$199,$A289)&gt;=1,
 IF(O289&lt;&gt;"",
    (O289/_xlfn.XLOOKUP(CONCATENATE(A289,L289),[1]MÁQUINAS!A:A,[1]MÁQUINAS!D:D))/24,
    (N289/_xlfn.XLOOKUP(CONCATENATE(A289,L289),[1]MÁQUINAS!A:A,[1]MÁQUINAS!D:D))/24),
  _xlfn.XLOOKUP($A289,'[1]DATOS PBI Artículos'!A:A,'[1]DATOS PBI Artículos'!AU:AU))</f>
        <v>0</v>
      </c>
      <c r="K289" s="36">
        <f>_xlfn.XLOOKUP($A289,'[1]DATOS PBI Artículos'!A:A,'[1]DATOS PBI Artículos'!AV:AV)</f>
        <v>0</v>
      </c>
      <c r="L289" s="33">
        <f>_xlfn.XLOOKUP(A289,[1]MÁQUINAS!B:B,[1]MÁQUINAS!C:C)</f>
        <v>0</v>
      </c>
      <c r="M289" s="34">
        <f t="array" ref="M289">_xlfn.XLOOKUP(A289,'[1]DATOS PBI Artículos'!A:A,'[1]DATOS PBI Artículos'!AX:$AX)</f>
        <v>0</v>
      </c>
      <c r="N289" s="37" t="e">
        <f>IF(I289="DV",
E289,
IF(COUNTIF([1]CRITERIOS!$I$179:$I$199,$A289)&gt;=1,
_xlfn.XLOOKUP($A289,[1]CRITERIOS!$I$179:$I$199,[1]CRITERIOS!$J$179:$J$199),
IF(COUNTIF([1]CRITERIOS!$L$179:$L$199,$A289)&gt;=1,
_xlfn.CEILING.MATH(IF($M289&gt;$E289,
$E289,
IF($M289&lt;$E289/ROUNDDOWN([1]CRITERIOS!$M$16/_xlfn.XLOOKUP($C289,[1]CRITERIOS!$K$25:$K$42,[1]CRITERIOS!$M$25:$M$42),
1),
E289/ROUNDDOWN([1]CRITERIOS!$M$16/_xlfn.XLOOKUP($C289,[1]CRITERIOS!$K$25:$K$42,[1]CRITERIOS!$M$25:$M$42),
1),
$M289)),
_xlfn.XLOOKUP($A289,[1]CRITERIOS!$L$179:$L$200,[1]CRITERIOS!$M$179:$M$200)),
_xlfn.CEILING.MATH(IF($M289&gt;$E289,
$E289,
IF($M289&lt;$E289/ROUNDDOWN([1]CRITERIOS!$M$16/_xlfn.XLOOKUP($C289,[1]CRITERIOS!$K$25:$K$42,[1]CRITERIOS!$M$25:$M$42),
1),
E289/ROUNDDOWN([1]CRITERIOS!$M$16/_xlfn.XLOOKUP($C289,[1]CRITERIOS!$K$25:$K$42,[1]CRITERIOS!$M$25:$M$42),
1),
$M289)),_xlfn.XLOOKUP(A289,'[1]DATOS PBI Artículos'!A:A,'[1]DATOS PBI Artículos'!Z:Z
)))))</f>
        <v>#N/A</v>
      </c>
      <c r="Q289" s="38" t="e">
        <f>IF(AND(O289="",N289=0),
0,
   IF(COUNTIF([1]CRITERIOS!$F$179:$F$199,$A289)&gt;=1,
   1,
   IF(R289="MTO",
      $D289,
      ROUNDUP(
                    IF(($E289-SUMIF('[1]DATOS PBI Artículos'!A:A,A289,'[1]DATOS PBI Artículos'!X:X)+($V289-_xlfn.XLOOKUP(A289,'[1]DATOS PBI Artículos'!A:A,'[1]DATOS PBI Artículos'!W:W)))&lt;0,
                    0,
                    IF(($E289-SUMIF('[1]DATOS PBI Artículos'!A:A,A289,'[1]DATOS PBI Artículos'!X:X)+$V289-_xlfn.XLOOKUP($A289,'[1]DATOS PBI Artículos'!A:A,'[1]DATOS PBI Artículos'!W:W))/IF($O289="",$N289,$O289)&gt;ROUNDUP([1]CRITERIOS!$M$16/(IF(COUNTIF([1]CRITERIOS!$BG$11:$BG$201,L289)&gt;=1,_xlfn.XLOOKUP($C289,[1]CRITERIOS!$K$25:$K$42,[1]CRITERIOS!$M$25:$M$42),_xlfn.XLOOKUP($C289,[1]CRITERIOS!$K$25:$K$42,[1]CRITERIOS!$M$25:$M$42))),0),
                    ROUNDUP([1]CRITERIOS!$M$16/(IF(COUNTIF([1]CRITERIOS!$BG$11:$BG$201,$L289)&gt;=1,_xlfn.XLOOKUP($C289,[1]CRITERIOS!$K$25:$K$42,[1]CRITERIOS!$M$25:$M$42),_xlfn.XLOOKUP($C289,[1]CRITERIOS!$K$25:$K$42,[1]CRITERIOS!$M$25:$M$42))),0),
                    (E289+V289-SUMIF('[1]DATOS PBI Artículos'!A:A,A289,'[1]DATOS PBI Artículos'!X:X)-_xlfn.XLOOKUP(A289,'[1]DATOS PBI Artículos'!A:A,'[1]DATOS PBI Artículos'!W:W))/IF($O289="",$N289,$O289))),0))))</f>
        <v>#N/A</v>
      </c>
      <c r="R289" s="33" t="e">
        <f>IF(U289&lt;&gt;"",U289,IF(F289="DV","MTO",IF(N289=0,"MTO",_xlfn.XLOOKUP(CONCATENATE(S289,T289),[1]CRITERIOS!$K$160:$K$168,[1]CRITERIOS!$N$160:$N$168))))</f>
        <v>#N/A</v>
      </c>
      <c r="S289" s="33" t="e">
        <f>IF(G289="DV","MTO",IF(N289=0,"MTO",IF(OR(AND(N289=0,O289=""),IF(O289="",G289/N289,G289/O289)&gt;[1]CRITERIOS!$G$163),"MTO",IF(IF(O289="",G289/N289,G289/O289)&lt;[1]CRITERIOS!$H$161,"MTS","MTOS"))))</f>
        <v>#N/A</v>
      </c>
      <c r="T289" s="33" t="e">
        <f>IF(F289="DV","MTO",IF(OR(AND($N289=0,O289=""),$F289/$J289&gt;[1]CRITERIOS!$G$170,$F289="DV"),"MTO",IF($F289/$J289&lt;[1]CRITERIOS!$H$168,"MTS","MTOS")))</f>
        <v>#N/A</v>
      </c>
      <c r="V289" s="34" t="e">
        <f t="shared" si="16"/>
        <v>#N/A</v>
      </c>
      <c r="X289" s="34" t="e">
        <f t="shared" si="14"/>
        <v>#N/A</v>
      </c>
      <c r="Y289" s="34" t="e">
        <f t="shared" si="15"/>
        <v>#N/A</v>
      </c>
      <c r="Z289" s="34" t="e">
        <f>IF($R289="MTO",
0,
($H289+$K289*($E289/[1]CRITERIOS!$M$16))/[1]CRITERIOS!$X$48)</f>
        <v>#N/A</v>
      </c>
      <c r="AA289" s="34" t="e">
        <f>ROUNDUP(($Y289/_xlfn.XLOOKUP($A289,'[1]DATOS PBI Artículos'!$A$4:$A$4,'[1]DATOS PBI Artículos'!$Z$4:$Z$4))/_xlfn.XLOOKUP(_xlfn.XLOOKUP($A289,'[1]DATOS PBI Artículos'!$A$4:$A$4,'[1]DATOS PBI Artículos'!$Y$4:$Y$4),[1]CRITERIOS!$P$79:$P$123,[1]CRITERIOS!$S$79:$S$123,),0)</f>
        <v>#N/A</v>
      </c>
      <c r="AB289" s="33" t="e">
        <f t="array" ref="AB289">IF((E289+V289-_xlfn.XLOOKUP(A289,'[1]DATOS PBI Artículos'!$A$4:$A$4,'[1]DATOS PBI Artículos'!$W$4:$W$4))/N289&gt;ROUNDUP([1]CRITERIOS!$M$16/(IF(COUNTIF([1]CRITERIOS!$BG$11:$BG$201,L289)&gt;=1,_xlfn.XLOOKUP(ARTÍCULOS!L289,[1]CRITERIOS!$BG$11:$BG$201,[1]CRITERIOS!$BJ$11:$BJ$201),_xlfn.XLOOKUP(ARTÍCULOS!C289,[1]CRITERIOS!$K$25:$K$42,[1]CRITERIOS!$M$25:$M$42))),0),ROUNDUP([1]CRITERIOS!$M$16/(IF(COUNTIF([1]CRITERIOS!$BG$11:$BG$201,L289)&gt;=1,_xlfn.XLOOKUP(ARTÍCULOS!L289,[1]CRITERIOS!$BG$11:$BG$201:#REF!,[1]CRITERIOS!$BJ$11:$BJ$201),_xlfn.XLOOKUP(ARTÍCULOS!C289,[1]CRITERIOS!$K$25:$K$42,[1]CRITERIOS!$M$25:$M$42))),0),(E289+V289-_xlfn.XLOOKUP(A289,'[1]DATOS PBI Artículos'!$A$4:$A$4,'[1]DATOS PBI Artículos'!$W$4:$W$4))/N289)</f>
        <v>#N/A</v>
      </c>
      <c r="AC289" s="33" t="e">
        <f>IF(N289=0,"",(ROUNDUP((N289/2)/(_xlfn.XLOOKUP(A289,'[1]DATOS PBI Artículos'!$A$4:$A$4,'[1]DATOS PBI Artículos'!$Z$4:$Z$4)*_xlfn.XLOOKUP(_xlfn.XLOOKUP(A289,'[1]DATOS PBI Artículos'!$A$4:$A$4,'[1]DATOS PBI Artículos'!$Y$4:$Y$4),[1]CRITERIOS!$P$79:$P$123,[1]CRITERIOS!$S$79:$S$123)),0)*[1]CRITERIOS!$M$80*([1]CRITERIOS!$M$110/[1]CRITERIOS!$M$86)+(_xlfn.XLOOKUP(A289,'[1]DATOS PBI Artículos'!$A$4:$A$4,'[1]DATOS PBI Artículos'!$AA$4:$AA$4)*([1]CRITERIOS!$M$95+[1]CRITERIOS!$M$98)))/N289)</f>
        <v>#N/A</v>
      </c>
      <c r="AD289" s="33" t="e">
        <f>IF(N289=0,"",(ROUNDUP((N289/2)/(_xlfn.XLOOKUP(A289,'[1]DATOS PBI Artículos'!$A$4:$A$4,'[1]DATOS PBI Artículos'!$Z$4:$Z$4)*_xlfn.XLOOKUP(_xlfn.XLOOKUP(A289,'[1]DATOS PBI Artículos'!$A$4:$A$4,'[1]DATOS PBI Artículos'!$Y$4:$Y$4),[1]CRITERIOS!$P$79:$P$123,[1]CRITERIOS!$S$79:$S$123)),0)*[1]CRITERIOS!$M$80*([1]CRITERIOS!$M$89*[1]CRITERIOS!$M$92)+((_xlfn.XLOOKUP(A289,'[1]DATOS PBI Artículos'!$A$4:$A$4,'[1]DATOS PBI Artículos'!$AA$4:$AA$4)/2)*([1]CRITERIOS!$M$95+[1]CRITERIOS!$M$98)))/N289)</f>
        <v>#N/A</v>
      </c>
      <c r="AE289" s="39" t="e">
        <f>IF($R289="MTO","",
IF($H289=0,ROUNDUP(((_xlfn.XLOOKUP($A289,'[1]DATOS PBI Artículos'!$A:$A,'[1]DATOS PBI Artículos'!$AL:$AL))/(_xlfn.XLOOKUP($AF$1,[1]CRITERIOS!$S$16:$S$39,[1]CRITERIOS!$Y$16:$Y$39))*$J289+$Z289)/$G289,0)*$G289,
((_xlfn.XLOOKUP($A289,'[1]DATOS PBI Artículos'!$A:$A,'[1]DATOS PBI Artículos'!$AL:$AL))/(_xlfn.XLOOKUP($AF$1,[1]CRITERIOS!$S$16:$S$39,[1]CRITERIOS!$Y$16:$Y$39))*$J289+$Z289)))</f>
        <v>#N/A</v>
      </c>
      <c r="AG289" s="39" t="e">
        <f>IF($R289="MTO","",
IF($H289=0,ROUNDUP(((_xlfn.XLOOKUP($A289,'[1]DATOS PBI Artículos'!$A:$A,'[1]DATOS PBI Artículos'!$AM:$AM))/(_xlfn.XLOOKUP($AH$1,[1]CRITERIOS!$S$16:$S$39,[1]CRITERIOS!$Y$16:$Y$39))*$J289+$Z289)/$G289,0)*$G289,
((_xlfn.XLOOKUP($A289,'[1]DATOS PBI Artículos'!$A:$A,'[1]DATOS PBI Artículos'!$AM:$AM))/(_xlfn.XLOOKUP($AH$1,[1]CRITERIOS!$S$16:$S$39,[1]CRITERIOS!$Y$16:$Y$39))*$J289+$Z289)))</f>
        <v>#N/A</v>
      </c>
      <c r="AI289" s="39" t="e">
        <f>IF($R289="MTO","",
IF($H289=0,ROUNDUP(((_xlfn.XLOOKUP($A289,'[1]DATOS PBI Artículos'!$A:$A,'[1]DATOS PBI Artículos'!$AN:$AN))/(_xlfn.XLOOKUP($AJ$1,[1]CRITERIOS!$S$16:$S$39,[1]CRITERIOS!$Y$16:$Y$39))*$J289+$Z289)/$G289,0)*$G289,
((_xlfn.XLOOKUP($A289,'[1]DATOS PBI Artículos'!$A:$A,'[1]DATOS PBI Artículos'!$AN:$AN))/(_xlfn.XLOOKUP($AJ$1,[1]CRITERIOS!$S$16:$S$39,[1]CRITERIOS!$Y$16:$Y$39))*$J289+$Z289)))</f>
        <v>#N/A</v>
      </c>
      <c r="AK289" s="39" t="e">
        <f>IF($R289="MTO","",
IF($H289=0,ROUNDUP(((_xlfn.XLOOKUP($A289,'[1]DATOS PBI Artículos'!$A:$A,'[1]DATOS PBI Artículos'!$AO:$AO))/(_xlfn.XLOOKUP($AL$1,[1]CRITERIOS!$S$16:$S$39,[1]CRITERIOS!$Y$16:$Y$39))*$J289+$Z289)/$G289,0)*$G289,
((_xlfn.XLOOKUP($A289,'[1]DATOS PBI Artículos'!$A:$A,'[1]DATOS PBI Artículos'!$AO:$AO))/(_xlfn.XLOOKUP($AL$1,[1]CRITERIOS!$S$16:$S$39,[1]CRITERIOS!$Y$16:$Y$39))*$J289+$Z289)))</f>
        <v>#N/A</v>
      </c>
    </row>
    <row r="290" spans="1:37" ht="25.8" hidden="1" x14ac:dyDescent="0.4">
      <c r="A290" s="41"/>
      <c r="B290" s="33">
        <f>_xlfn.XLOOKUP($A290,'[1]DATOS PBI Artículos'!A:A,'[1]DATOS PBI Artículos'!B:B)</f>
        <v>0</v>
      </c>
      <c r="C290" s="33">
        <f>_xlfn.XLOOKUP($A290,'[1]DATOS PBI Artículos'!A:A,'[1]DATOS PBI Artículos'!C:C)</f>
        <v>0</v>
      </c>
      <c r="D290" s="33">
        <f>_xlfn.XLOOKUP(A290,'[1]DATOS PBI Artículos'!A:A,'[1]DATOS PBI Artículos'!T:T)</f>
        <v>0</v>
      </c>
      <c r="E290" s="34">
        <f>IF(_xlfn.XLOOKUP($A290,'[1]DATOS PBI Artículos'!A:A,'[1]DATOS PBI Artículos'!AK:AK)="",_xlfn.XLOOKUP($A290,'[1]DATOS PBI Artículos'!A:A,'[1]DATOS PBI Artículos'!AJ:AJ),_xlfn.XLOOKUP($A290,'[1]DATOS PBI Artículos'!A:A,'[1]DATOS PBI Artículos'!AK:AK))</f>
        <v>0</v>
      </c>
      <c r="F290" s="35">
        <f>_xlfn.XLOOKUP($A290,'[1]DATOS PBI Artículos'!A:A,'[1]DATOS PBI Artículos'!AP:AP)</f>
        <v>0</v>
      </c>
      <c r="G290" s="34">
        <f>_xlfn.XLOOKUP($A290,'[1]DATOS PBI Artículos'!A:A,'[1]DATOS PBI Artículos'!AR:AR)</f>
        <v>0</v>
      </c>
      <c r="H290" s="34">
        <f>_xlfn.XLOOKUP($A290,'[1]DATOS PBI Artículos'!A:A,'[1]DATOS PBI Artículos'!AT:AT)</f>
        <v>0</v>
      </c>
      <c r="I290" s="34">
        <f>_xlfn.XLOOKUP($A290,'[1]DATOS PBI Artículos'!A:A,'[1]DATOS PBI Artículos'!AS:AS)</f>
        <v>0</v>
      </c>
      <c r="J290" s="35">
        <f>IF(COUNTIF([1]CRITERIOS!$F$179:$F$199,$A290)&gt;=1,
 IF(O290&lt;&gt;"",
    (O290/_xlfn.XLOOKUP(CONCATENATE(A290,L290),[1]MÁQUINAS!A:A,[1]MÁQUINAS!D:D))/24,
    (N290/_xlfn.XLOOKUP(CONCATENATE(A290,L290),[1]MÁQUINAS!A:A,[1]MÁQUINAS!D:D))/24),
  _xlfn.XLOOKUP($A290,'[1]DATOS PBI Artículos'!A:A,'[1]DATOS PBI Artículos'!AU:AU))</f>
        <v>0</v>
      </c>
      <c r="K290" s="36">
        <f>_xlfn.XLOOKUP($A290,'[1]DATOS PBI Artículos'!A:A,'[1]DATOS PBI Artículos'!AV:AV)</f>
        <v>0</v>
      </c>
      <c r="L290" s="33">
        <f>_xlfn.XLOOKUP(A290,[1]MÁQUINAS!B:B,[1]MÁQUINAS!C:C)</f>
        <v>0</v>
      </c>
      <c r="M290" s="34">
        <f t="array" ref="M290">_xlfn.XLOOKUP(A290,'[1]DATOS PBI Artículos'!A:A,'[1]DATOS PBI Artículos'!AX:$AX)</f>
        <v>0</v>
      </c>
      <c r="N290" s="37" t="e">
        <f>IF(I290="DV",
E290,
IF(COUNTIF([1]CRITERIOS!$I$179:$I$199,$A290)&gt;=1,
_xlfn.XLOOKUP($A290,[1]CRITERIOS!$I$179:$I$199,[1]CRITERIOS!$J$179:$J$199),
IF(COUNTIF([1]CRITERIOS!$L$179:$L$199,$A290)&gt;=1,
_xlfn.CEILING.MATH(IF($M290&gt;$E290,
$E290,
IF($M290&lt;$E290/ROUNDDOWN([1]CRITERIOS!$M$16/_xlfn.XLOOKUP($C290,[1]CRITERIOS!$K$25:$K$42,[1]CRITERIOS!$M$25:$M$42),
1),
E290/ROUNDDOWN([1]CRITERIOS!$M$16/_xlfn.XLOOKUP($C290,[1]CRITERIOS!$K$25:$K$42,[1]CRITERIOS!$M$25:$M$42),
1),
$M290)),
_xlfn.XLOOKUP($A290,[1]CRITERIOS!$L$179:$L$200,[1]CRITERIOS!$M$179:$M$200)),
_xlfn.CEILING.MATH(IF($M290&gt;$E290,
$E290,
IF($M290&lt;$E290/ROUNDDOWN([1]CRITERIOS!$M$16/_xlfn.XLOOKUP($C290,[1]CRITERIOS!$K$25:$K$42,[1]CRITERIOS!$M$25:$M$42),
1),
E290/ROUNDDOWN([1]CRITERIOS!$M$16/_xlfn.XLOOKUP($C290,[1]CRITERIOS!$K$25:$K$42,[1]CRITERIOS!$M$25:$M$42),
1),
$M290)),_xlfn.XLOOKUP(A290,'[1]DATOS PBI Artículos'!A:A,'[1]DATOS PBI Artículos'!Z:Z
)))))</f>
        <v>#N/A</v>
      </c>
      <c r="Q290" s="38" t="e">
        <f>IF(AND(O290="",N290=0),
0,
   IF(COUNTIF([1]CRITERIOS!$F$179:$F$199,$A290)&gt;=1,
   1,
   IF(R290="MTO",
      $D290,
      ROUNDUP(
                    IF(($E290-SUMIF('[1]DATOS PBI Artículos'!A:A,A290,'[1]DATOS PBI Artículos'!X:X)+($V290-_xlfn.XLOOKUP(A290,'[1]DATOS PBI Artículos'!A:A,'[1]DATOS PBI Artículos'!W:W)))&lt;0,
                    0,
                    IF(($E290-SUMIF('[1]DATOS PBI Artículos'!A:A,A290,'[1]DATOS PBI Artículos'!X:X)+$V290-_xlfn.XLOOKUP($A290,'[1]DATOS PBI Artículos'!A:A,'[1]DATOS PBI Artículos'!W:W))/IF($O290="",$N290,$O290)&gt;ROUNDUP([1]CRITERIOS!$M$16/(IF(COUNTIF([1]CRITERIOS!$BG$11:$BG$201,L290)&gt;=1,_xlfn.XLOOKUP($C290,[1]CRITERIOS!$K$25:$K$42,[1]CRITERIOS!$M$25:$M$42),_xlfn.XLOOKUP($C290,[1]CRITERIOS!$K$25:$K$42,[1]CRITERIOS!$M$25:$M$42))),0),
                    ROUNDUP([1]CRITERIOS!$M$16/(IF(COUNTIF([1]CRITERIOS!$BG$11:$BG$201,$L290)&gt;=1,_xlfn.XLOOKUP($C290,[1]CRITERIOS!$K$25:$K$42,[1]CRITERIOS!$M$25:$M$42),_xlfn.XLOOKUP($C290,[1]CRITERIOS!$K$25:$K$42,[1]CRITERIOS!$M$25:$M$42))),0),
                    (E290+V290-SUMIF('[1]DATOS PBI Artículos'!A:A,A290,'[1]DATOS PBI Artículos'!X:X)-_xlfn.XLOOKUP(A290,'[1]DATOS PBI Artículos'!A:A,'[1]DATOS PBI Artículos'!W:W))/IF($O290="",$N290,$O290))),0))))</f>
        <v>#N/A</v>
      </c>
      <c r="R290" s="33" t="e">
        <f>IF(U290&lt;&gt;"",U290,IF(F290="DV","MTO",IF(N290=0,"MTO",_xlfn.XLOOKUP(CONCATENATE(S290,T290),[1]CRITERIOS!$K$160:$K$168,[1]CRITERIOS!$N$160:$N$168))))</f>
        <v>#N/A</v>
      </c>
      <c r="S290" s="33" t="e">
        <f>IF(G290="DV","MTO",IF(N290=0,"MTO",IF(OR(AND(N290=0,O290=""),IF(O290="",G290/N290,G290/O290)&gt;[1]CRITERIOS!$G$163),"MTO",IF(IF(O290="",G290/N290,G290/O290)&lt;[1]CRITERIOS!$H$161,"MTS","MTOS"))))</f>
        <v>#N/A</v>
      </c>
      <c r="T290" s="33" t="e">
        <f>IF(F290="DV","MTO",IF(OR(AND($N290=0,O290=""),$F290/$J290&gt;[1]CRITERIOS!$G$170,$F290="DV"),"MTO",IF($F290/$J290&lt;[1]CRITERIOS!$H$168,"MTS","MTOS")))</f>
        <v>#N/A</v>
      </c>
      <c r="V290" s="34" t="e">
        <f t="shared" si="16"/>
        <v>#N/A</v>
      </c>
      <c r="X290" s="34" t="e">
        <f t="shared" si="14"/>
        <v>#N/A</v>
      </c>
      <c r="Y290" s="34" t="e">
        <f t="shared" si="15"/>
        <v>#N/A</v>
      </c>
      <c r="Z290" s="34" t="e">
        <f>IF($R290="MTO",
0,
($H290+$K290*($E290/[1]CRITERIOS!$M$16))/[1]CRITERIOS!$X$48)</f>
        <v>#N/A</v>
      </c>
      <c r="AA290" s="34" t="e">
        <f>ROUNDUP(($Y290/_xlfn.XLOOKUP($A290,'[1]DATOS PBI Artículos'!$A$4:$A$4,'[1]DATOS PBI Artículos'!$Z$4:$Z$4))/_xlfn.XLOOKUP(_xlfn.XLOOKUP($A290,'[1]DATOS PBI Artículos'!$A$4:$A$4,'[1]DATOS PBI Artículos'!$Y$4:$Y$4),[1]CRITERIOS!$P$79:$P$123,[1]CRITERIOS!$S$79:$S$123,),0)</f>
        <v>#N/A</v>
      </c>
      <c r="AB290" s="33" t="e">
        <f t="array" ref="AB290">IF((E290+V290-_xlfn.XLOOKUP(A290,'[1]DATOS PBI Artículos'!$A$4:$A$4,'[1]DATOS PBI Artículos'!$W$4:$W$4))/N290&gt;ROUNDUP([1]CRITERIOS!$M$16/(IF(COUNTIF([1]CRITERIOS!$BG$11:$BG$201,L290)&gt;=1,_xlfn.XLOOKUP(ARTÍCULOS!L290,[1]CRITERIOS!$BG$11:$BG$201,[1]CRITERIOS!$BJ$11:$BJ$201),_xlfn.XLOOKUP(ARTÍCULOS!C290,[1]CRITERIOS!$K$25:$K$42,[1]CRITERIOS!$M$25:$M$42))),0),ROUNDUP([1]CRITERIOS!$M$16/(IF(COUNTIF([1]CRITERIOS!$BG$11:$BG$201,L290)&gt;=1,_xlfn.XLOOKUP(ARTÍCULOS!L290,[1]CRITERIOS!$BG$11:$BG$201:#REF!,[1]CRITERIOS!$BJ$11:$BJ$201),_xlfn.XLOOKUP(ARTÍCULOS!C290,[1]CRITERIOS!$K$25:$K$42,[1]CRITERIOS!$M$25:$M$42))),0),(E290+V290-_xlfn.XLOOKUP(A290,'[1]DATOS PBI Artículos'!$A$4:$A$4,'[1]DATOS PBI Artículos'!$W$4:$W$4))/N290)</f>
        <v>#N/A</v>
      </c>
      <c r="AC290" s="33" t="e">
        <f>IF(N290=0,"",(ROUNDUP((N290/2)/(_xlfn.XLOOKUP(A290,'[1]DATOS PBI Artículos'!$A$4:$A$4,'[1]DATOS PBI Artículos'!$Z$4:$Z$4)*_xlfn.XLOOKUP(_xlfn.XLOOKUP(A290,'[1]DATOS PBI Artículos'!$A$4:$A$4,'[1]DATOS PBI Artículos'!$Y$4:$Y$4),[1]CRITERIOS!$P$79:$P$123,[1]CRITERIOS!$S$79:$S$123)),0)*[1]CRITERIOS!$M$80*([1]CRITERIOS!$M$110/[1]CRITERIOS!$M$86)+(_xlfn.XLOOKUP(A290,'[1]DATOS PBI Artículos'!$A$4:$A$4,'[1]DATOS PBI Artículos'!$AA$4:$AA$4)*([1]CRITERIOS!$M$95+[1]CRITERIOS!$M$98)))/N290)</f>
        <v>#N/A</v>
      </c>
      <c r="AD290" s="33" t="e">
        <f>IF(N290=0,"",(ROUNDUP((N290/2)/(_xlfn.XLOOKUP(A290,'[1]DATOS PBI Artículos'!$A$4:$A$4,'[1]DATOS PBI Artículos'!$Z$4:$Z$4)*_xlfn.XLOOKUP(_xlfn.XLOOKUP(A290,'[1]DATOS PBI Artículos'!$A$4:$A$4,'[1]DATOS PBI Artículos'!$Y$4:$Y$4),[1]CRITERIOS!$P$79:$P$123,[1]CRITERIOS!$S$79:$S$123)),0)*[1]CRITERIOS!$M$80*([1]CRITERIOS!$M$89*[1]CRITERIOS!$M$92)+((_xlfn.XLOOKUP(A290,'[1]DATOS PBI Artículos'!$A$4:$A$4,'[1]DATOS PBI Artículos'!$AA$4:$AA$4)/2)*([1]CRITERIOS!$M$95+[1]CRITERIOS!$M$98)))/N290)</f>
        <v>#N/A</v>
      </c>
      <c r="AE290" s="39" t="e">
        <f>IF($R290="MTO","",
IF($H290=0,ROUNDUP(((_xlfn.XLOOKUP($A290,'[1]DATOS PBI Artículos'!$A:$A,'[1]DATOS PBI Artículos'!$AL:$AL))/(_xlfn.XLOOKUP($AF$1,[1]CRITERIOS!$S$16:$S$39,[1]CRITERIOS!$Y$16:$Y$39))*$J290+$Z290)/$G290,0)*$G290,
((_xlfn.XLOOKUP($A290,'[1]DATOS PBI Artículos'!$A:$A,'[1]DATOS PBI Artículos'!$AL:$AL))/(_xlfn.XLOOKUP($AF$1,[1]CRITERIOS!$S$16:$S$39,[1]CRITERIOS!$Y$16:$Y$39))*$J290+$Z290)))</f>
        <v>#N/A</v>
      </c>
      <c r="AG290" s="39" t="e">
        <f>IF($R290="MTO","",
IF($H290=0,ROUNDUP(((_xlfn.XLOOKUP($A290,'[1]DATOS PBI Artículos'!$A:$A,'[1]DATOS PBI Artículos'!$AM:$AM))/(_xlfn.XLOOKUP($AH$1,[1]CRITERIOS!$S$16:$S$39,[1]CRITERIOS!$Y$16:$Y$39))*$J290+$Z290)/$G290,0)*$G290,
((_xlfn.XLOOKUP($A290,'[1]DATOS PBI Artículos'!$A:$A,'[1]DATOS PBI Artículos'!$AM:$AM))/(_xlfn.XLOOKUP($AH$1,[1]CRITERIOS!$S$16:$S$39,[1]CRITERIOS!$Y$16:$Y$39))*$J290+$Z290)))</f>
        <v>#N/A</v>
      </c>
      <c r="AI290" s="39" t="e">
        <f>IF($R290="MTO","",
IF($H290=0,ROUNDUP(((_xlfn.XLOOKUP($A290,'[1]DATOS PBI Artículos'!$A:$A,'[1]DATOS PBI Artículos'!$AN:$AN))/(_xlfn.XLOOKUP($AJ$1,[1]CRITERIOS!$S$16:$S$39,[1]CRITERIOS!$Y$16:$Y$39))*$J290+$Z290)/$G290,0)*$G290,
((_xlfn.XLOOKUP($A290,'[1]DATOS PBI Artículos'!$A:$A,'[1]DATOS PBI Artículos'!$AN:$AN))/(_xlfn.XLOOKUP($AJ$1,[1]CRITERIOS!$S$16:$S$39,[1]CRITERIOS!$Y$16:$Y$39))*$J290+$Z290)))</f>
        <v>#N/A</v>
      </c>
      <c r="AK290" s="39" t="e">
        <f>IF($R290="MTO","",
IF($H290=0,ROUNDUP(((_xlfn.XLOOKUP($A290,'[1]DATOS PBI Artículos'!$A:$A,'[1]DATOS PBI Artículos'!$AO:$AO))/(_xlfn.XLOOKUP($AL$1,[1]CRITERIOS!$S$16:$S$39,[1]CRITERIOS!$Y$16:$Y$39))*$J290+$Z290)/$G290,0)*$G290,
((_xlfn.XLOOKUP($A290,'[1]DATOS PBI Artículos'!$A:$A,'[1]DATOS PBI Artículos'!$AO:$AO))/(_xlfn.XLOOKUP($AL$1,[1]CRITERIOS!$S$16:$S$39,[1]CRITERIOS!$Y$16:$Y$39))*$J290+$Z290)))</f>
        <v>#N/A</v>
      </c>
    </row>
    <row r="291" spans="1:37" ht="25.8" hidden="1" x14ac:dyDescent="0.4">
      <c r="A291" s="41"/>
      <c r="B291" s="33">
        <f>_xlfn.XLOOKUP($A291,'[1]DATOS PBI Artículos'!A:A,'[1]DATOS PBI Artículos'!B:B)</f>
        <v>0</v>
      </c>
      <c r="C291" s="33">
        <f>_xlfn.XLOOKUP($A291,'[1]DATOS PBI Artículos'!A:A,'[1]DATOS PBI Artículos'!C:C)</f>
        <v>0</v>
      </c>
      <c r="D291" s="33">
        <f>_xlfn.XLOOKUP(A291,'[1]DATOS PBI Artículos'!A:A,'[1]DATOS PBI Artículos'!T:T)</f>
        <v>0</v>
      </c>
      <c r="E291" s="34">
        <f>IF(_xlfn.XLOOKUP($A291,'[1]DATOS PBI Artículos'!A:A,'[1]DATOS PBI Artículos'!AK:AK)="",_xlfn.XLOOKUP($A291,'[1]DATOS PBI Artículos'!A:A,'[1]DATOS PBI Artículos'!AJ:AJ),_xlfn.XLOOKUP($A291,'[1]DATOS PBI Artículos'!A:A,'[1]DATOS PBI Artículos'!AK:AK))</f>
        <v>0</v>
      </c>
      <c r="F291" s="35">
        <f>_xlfn.XLOOKUP($A291,'[1]DATOS PBI Artículos'!A:A,'[1]DATOS PBI Artículos'!AP:AP)</f>
        <v>0</v>
      </c>
      <c r="G291" s="34">
        <f>_xlfn.XLOOKUP($A291,'[1]DATOS PBI Artículos'!A:A,'[1]DATOS PBI Artículos'!AR:AR)</f>
        <v>0</v>
      </c>
      <c r="H291" s="34">
        <f>_xlfn.XLOOKUP($A291,'[1]DATOS PBI Artículos'!A:A,'[1]DATOS PBI Artículos'!AT:AT)</f>
        <v>0</v>
      </c>
      <c r="I291" s="34">
        <f>_xlfn.XLOOKUP($A291,'[1]DATOS PBI Artículos'!A:A,'[1]DATOS PBI Artículos'!AS:AS)</f>
        <v>0</v>
      </c>
      <c r="J291" s="35">
        <f>IF(COUNTIF([1]CRITERIOS!$F$179:$F$199,$A291)&gt;=1,
 IF(O291&lt;&gt;"",
    (O291/_xlfn.XLOOKUP(CONCATENATE(A291,L291),[1]MÁQUINAS!A:A,[1]MÁQUINAS!D:D))/24,
    (N291/_xlfn.XLOOKUP(CONCATENATE(A291,L291),[1]MÁQUINAS!A:A,[1]MÁQUINAS!D:D))/24),
  _xlfn.XLOOKUP($A291,'[1]DATOS PBI Artículos'!A:A,'[1]DATOS PBI Artículos'!AU:AU))</f>
        <v>0</v>
      </c>
      <c r="K291" s="36">
        <f>_xlfn.XLOOKUP($A291,'[1]DATOS PBI Artículos'!A:A,'[1]DATOS PBI Artículos'!AV:AV)</f>
        <v>0</v>
      </c>
      <c r="L291" s="33">
        <f>_xlfn.XLOOKUP(A291,[1]MÁQUINAS!B:B,[1]MÁQUINAS!C:C)</f>
        <v>0</v>
      </c>
      <c r="M291" s="34">
        <f t="array" ref="M291">_xlfn.XLOOKUP(A291,'[1]DATOS PBI Artículos'!A:A,'[1]DATOS PBI Artículos'!AX:$AX)</f>
        <v>0</v>
      </c>
      <c r="N291" s="37" t="e">
        <f>IF(I291="DV",
E291,
IF(COUNTIF([1]CRITERIOS!$I$179:$I$199,$A291)&gt;=1,
_xlfn.XLOOKUP($A291,[1]CRITERIOS!$I$179:$I$199,[1]CRITERIOS!$J$179:$J$199),
IF(COUNTIF([1]CRITERIOS!$L$179:$L$199,$A291)&gt;=1,
_xlfn.CEILING.MATH(IF($M291&gt;$E291,
$E291,
IF($M291&lt;$E291/ROUNDDOWN([1]CRITERIOS!$M$16/_xlfn.XLOOKUP($C291,[1]CRITERIOS!$K$25:$K$42,[1]CRITERIOS!$M$25:$M$42),
1),
E291/ROUNDDOWN([1]CRITERIOS!$M$16/_xlfn.XLOOKUP($C291,[1]CRITERIOS!$K$25:$K$42,[1]CRITERIOS!$M$25:$M$42),
1),
$M291)),
_xlfn.XLOOKUP($A291,[1]CRITERIOS!$L$179:$L$200,[1]CRITERIOS!$M$179:$M$200)),
_xlfn.CEILING.MATH(IF($M291&gt;$E291,
$E291,
IF($M291&lt;$E291/ROUNDDOWN([1]CRITERIOS!$M$16/_xlfn.XLOOKUP($C291,[1]CRITERIOS!$K$25:$K$42,[1]CRITERIOS!$M$25:$M$42),
1),
E291/ROUNDDOWN([1]CRITERIOS!$M$16/_xlfn.XLOOKUP($C291,[1]CRITERIOS!$K$25:$K$42,[1]CRITERIOS!$M$25:$M$42),
1),
$M291)),_xlfn.XLOOKUP(A291,'[1]DATOS PBI Artículos'!A:A,'[1]DATOS PBI Artículos'!Z:Z
)))))</f>
        <v>#N/A</v>
      </c>
      <c r="Q291" s="38" t="e">
        <f>IF(AND(O291="",N291=0),
0,
   IF(COUNTIF([1]CRITERIOS!$F$179:$F$199,$A291)&gt;=1,
   1,
   IF(R291="MTO",
      $D291,
      ROUNDUP(
                    IF(($E291-SUMIF('[1]DATOS PBI Artículos'!A:A,A291,'[1]DATOS PBI Artículos'!X:X)+($V291-_xlfn.XLOOKUP(A291,'[1]DATOS PBI Artículos'!A:A,'[1]DATOS PBI Artículos'!W:W)))&lt;0,
                    0,
                    IF(($E291-SUMIF('[1]DATOS PBI Artículos'!A:A,A291,'[1]DATOS PBI Artículos'!X:X)+$V291-_xlfn.XLOOKUP($A291,'[1]DATOS PBI Artículos'!A:A,'[1]DATOS PBI Artículos'!W:W))/IF($O291="",$N291,$O291)&gt;ROUNDUP([1]CRITERIOS!$M$16/(IF(COUNTIF([1]CRITERIOS!$BG$11:$BG$201,L291)&gt;=1,_xlfn.XLOOKUP($C291,[1]CRITERIOS!$K$25:$K$42,[1]CRITERIOS!$M$25:$M$42),_xlfn.XLOOKUP($C291,[1]CRITERIOS!$K$25:$K$42,[1]CRITERIOS!$M$25:$M$42))),0),
                    ROUNDUP([1]CRITERIOS!$M$16/(IF(COUNTIF([1]CRITERIOS!$BG$11:$BG$201,$L291)&gt;=1,_xlfn.XLOOKUP($C291,[1]CRITERIOS!$K$25:$K$42,[1]CRITERIOS!$M$25:$M$42),_xlfn.XLOOKUP($C291,[1]CRITERIOS!$K$25:$K$42,[1]CRITERIOS!$M$25:$M$42))),0),
                    (E291+V291-SUMIF('[1]DATOS PBI Artículos'!A:A,A291,'[1]DATOS PBI Artículos'!X:X)-_xlfn.XLOOKUP(A291,'[1]DATOS PBI Artículos'!A:A,'[1]DATOS PBI Artículos'!W:W))/IF($O291="",$N291,$O291))),0))))</f>
        <v>#N/A</v>
      </c>
      <c r="R291" s="33" t="e">
        <f>IF(U291&lt;&gt;"",U291,IF(F291="DV","MTO",IF(N291=0,"MTO",_xlfn.XLOOKUP(CONCATENATE(S291,T291),[1]CRITERIOS!$K$160:$K$168,[1]CRITERIOS!$N$160:$N$168))))</f>
        <v>#N/A</v>
      </c>
      <c r="S291" s="33" t="e">
        <f>IF(G291="DV","MTO",IF(N291=0,"MTO",IF(OR(AND(N291=0,O291=""),IF(O291="",G291/N291,G291/O291)&gt;[1]CRITERIOS!$G$163),"MTO",IF(IF(O291="",G291/N291,G291/O291)&lt;[1]CRITERIOS!$H$161,"MTS","MTOS"))))</f>
        <v>#N/A</v>
      </c>
      <c r="T291" s="33" t="e">
        <f>IF(F291="DV","MTO",IF(OR(AND($N291=0,O291=""),$F291/$J291&gt;[1]CRITERIOS!$G$170,$F291="DV"),"MTO",IF($F291/$J291&lt;[1]CRITERIOS!$H$168,"MTS","MTOS")))</f>
        <v>#N/A</v>
      </c>
      <c r="V291" s="34" t="e">
        <f t="shared" si="16"/>
        <v>#N/A</v>
      </c>
      <c r="X291" s="34" t="e">
        <f t="shared" si="14"/>
        <v>#N/A</v>
      </c>
      <c r="Y291" s="34" t="e">
        <f t="shared" si="15"/>
        <v>#N/A</v>
      </c>
      <c r="Z291" s="34" t="e">
        <f>IF($R291="MTO",
0,
($H291+$K291*($E291/[1]CRITERIOS!$M$16))/[1]CRITERIOS!$X$48)</f>
        <v>#N/A</v>
      </c>
      <c r="AA291" s="34" t="e">
        <f>ROUNDUP(($Y291/_xlfn.XLOOKUP($A291,'[1]DATOS PBI Artículos'!$A$4:$A$4,'[1]DATOS PBI Artículos'!$Z$4:$Z$4))/_xlfn.XLOOKUP(_xlfn.XLOOKUP($A291,'[1]DATOS PBI Artículos'!$A$4:$A$4,'[1]DATOS PBI Artículos'!$Y$4:$Y$4),[1]CRITERIOS!$P$79:$P$123,[1]CRITERIOS!$S$79:$S$123,),0)</f>
        <v>#N/A</v>
      </c>
      <c r="AB291" s="33" t="e">
        <f t="array" ref="AB291">IF((E291+V291-_xlfn.XLOOKUP(A291,'[1]DATOS PBI Artículos'!$A$4:$A$4,'[1]DATOS PBI Artículos'!$W$4:$W$4))/N291&gt;ROUNDUP([1]CRITERIOS!$M$16/(IF(COUNTIF([1]CRITERIOS!$BG$11:$BG$201,L291)&gt;=1,_xlfn.XLOOKUP(ARTÍCULOS!L291,[1]CRITERIOS!$BG$11:$BG$201,[1]CRITERIOS!$BJ$11:$BJ$201),_xlfn.XLOOKUP(ARTÍCULOS!C291,[1]CRITERIOS!$K$25:$K$42,[1]CRITERIOS!$M$25:$M$42))),0),ROUNDUP([1]CRITERIOS!$M$16/(IF(COUNTIF([1]CRITERIOS!$BG$11:$BG$201,L291)&gt;=1,_xlfn.XLOOKUP(ARTÍCULOS!L291,[1]CRITERIOS!$BG$11:$BG$201:#REF!,[1]CRITERIOS!$BJ$11:$BJ$201),_xlfn.XLOOKUP(ARTÍCULOS!C291,[1]CRITERIOS!$K$25:$K$42,[1]CRITERIOS!$M$25:$M$42))),0),(E291+V291-_xlfn.XLOOKUP(A291,'[1]DATOS PBI Artículos'!$A$4:$A$4,'[1]DATOS PBI Artículos'!$W$4:$W$4))/N291)</f>
        <v>#N/A</v>
      </c>
      <c r="AC291" s="33" t="e">
        <f>IF(N291=0,"",(ROUNDUP((N291/2)/(_xlfn.XLOOKUP(A291,'[1]DATOS PBI Artículos'!$A$4:$A$4,'[1]DATOS PBI Artículos'!$Z$4:$Z$4)*_xlfn.XLOOKUP(_xlfn.XLOOKUP(A291,'[1]DATOS PBI Artículos'!$A$4:$A$4,'[1]DATOS PBI Artículos'!$Y$4:$Y$4),[1]CRITERIOS!$P$79:$P$123,[1]CRITERIOS!$S$79:$S$123)),0)*[1]CRITERIOS!$M$80*([1]CRITERIOS!$M$110/[1]CRITERIOS!$M$86)+(_xlfn.XLOOKUP(A291,'[1]DATOS PBI Artículos'!$A$4:$A$4,'[1]DATOS PBI Artículos'!$AA$4:$AA$4)*([1]CRITERIOS!$M$95+[1]CRITERIOS!$M$98)))/N291)</f>
        <v>#N/A</v>
      </c>
      <c r="AD291" s="33" t="e">
        <f>IF(N291=0,"",(ROUNDUP((N291/2)/(_xlfn.XLOOKUP(A291,'[1]DATOS PBI Artículos'!$A$4:$A$4,'[1]DATOS PBI Artículos'!$Z$4:$Z$4)*_xlfn.XLOOKUP(_xlfn.XLOOKUP(A291,'[1]DATOS PBI Artículos'!$A$4:$A$4,'[1]DATOS PBI Artículos'!$Y$4:$Y$4),[1]CRITERIOS!$P$79:$P$123,[1]CRITERIOS!$S$79:$S$123)),0)*[1]CRITERIOS!$M$80*([1]CRITERIOS!$M$89*[1]CRITERIOS!$M$92)+((_xlfn.XLOOKUP(A291,'[1]DATOS PBI Artículos'!$A$4:$A$4,'[1]DATOS PBI Artículos'!$AA$4:$AA$4)/2)*([1]CRITERIOS!$M$95+[1]CRITERIOS!$M$98)))/N291)</f>
        <v>#N/A</v>
      </c>
      <c r="AE291" s="39" t="e">
        <f>IF($R291="MTO","",
IF($H291=0,ROUNDUP(((_xlfn.XLOOKUP($A291,'[1]DATOS PBI Artículos'!$A:$A,'[1]DATOS PBI Artículos'!$AL:$AL))/(_xlfn.XLOOKUP($AF$1,[1]CRITERIOS!$S$16:$S$39,[1]CRITERIOS!$Y$16:$Y$39))*$J291+$Z291)/$G291,0)*$G291,
((_xlfn.XLOOKUP($A291,'[1]DATOS PBI Artículos'!$A:$A,'[1]DATOS PBI Artículos'!$AL:$AL))/(_xlfn.XLOOKUP($AF$1,[1]CRITERIOS!$S$16:$S$39,[1]CRITERIOS!$Y$16:$Y$39))*$J291+$Z291)))</f>
        <v>#N/A</v>
      </c>
      <c r="AG291" s="39" t="e">
        <f>IF($R291="MTO","",
IF($H291=0,ROUNDUP(((_xlfn.XLOOKUP($A291,'[1]DATOS PBI Artículos'!$A:$A,'[1]DATOS PBI Artículos'!$AM:$AM))/(_xlfn.XLOOKUP($AH$1,[1]CRITERIOS!$S$16:$S$39,[1]CRITERIOS!$Y$16:$Y$39))*$J291+$Z291)/$G291,0)*$G291,
((_xlfn.XLOOKUP($A291,'[1]DATOS PBI Artículos'!$A:$A,'[1]DATOS PBI Artículos'!$AM:$AM))/(_xlfn.XLOOKUP($AH$1,[1]CRITERIOS!$S$16:$S$39,[1]CRITERIOS!$Y$16:$Y$39))*$J291+$Z291)))</f>
        <v>#N/A</v>
      </c>
      <c r="AI291" s="39" t="e">
        <f>IF($R291="MTO","",
IF($H291=0,ROUNDUP(((_xlfn.XLOOKUP($A291,'[1]DATOS PBI Artículos'!$A:$A,'[1]DATOS PBI Artículos'!$AN:$AN))/(_xlfn.XLOOKUP($AJ$1,[1]CRITERIOS!$S$16:$S$39,[1]CRITERIOS!$Y$16:$Y$39))*$J291+$Z291)/$G291,0)*$G291,
((_xlfn.XLOOKUP($A291,'[1]DATOS PBI Artículos'!$A:$A,'[1]DATOS PBI Artículos'!$AN:$AN))/(_xlfn.XLOOKUP($AJ$1,[1]CRITERIOS!$S$16:$S$39,[1]CRITERIOS!$Y$16:$Y$39))*$J291+$Z291)))</f>
        <v>#N/A</v>
      </c>
      <c r="AK291" s="39" t="e">
        <f>IF($R291="MTO","",
IF($H291=0,ROUNDUP(((_xlfn.XLOOKUP($A291,'[1]DATOS PBI Artículos'!$A:$A,'[1]DATOS PBI Artículos'!$AO:$AO))/(_xlfn.XLOOKUP($AL$1,[1]CRITERIOS!$S$16:$S$39,[1]CRITERIOS!$Y$16:$Y$39))*$J291+$Z291)/$G291,0)*$G291,
((_xlfn.XLOOKUP($A291,'[1]DATOS PBI Artículos'!$A:$A,'[1]DATOS PBI Artículos'!$AO:$AO))/(_xlfn.XLOOKUP($AL$1,[1]CRITERIOS!$S$16:$S$39,[1]CRITERIOS!$Y$16:$Y$39))*$J291+$Z291)))</f>
        <v>#N/A</v>
      </c>
    </row>
    <row r="292" spans="1:37" ht="25.8" hidden="1" x14ac:dyDescent="0.4">
      <c r="A292" s="41"/>
      <c r="B292" s="33">
        <f>_xlfn.XLOOKUP($A292,'[1]DATOS PBI Artículos'!A:A,'[1]DATOS PBI Artículos'!B:B)</f>
        <v>0</v>
      </c>
      <c r="C292" s="33">
        <f>_xlfn.XLOOKUP($A292,'[1]DATOS PBI Artículos'!A:A,'[1]DATOS PBI Artículos'!C:C)</f>
        <v>0</v>
      </c>
      <c r="D292" s="33">
        <f>_xlfn.XLOOKUP(A292,'[1]DATOS PBI Artículos'!A:A,'[1]DATOS PBI Artículos'!T:T)</f>
        <v>0</v>
      </c>
      <c r="E292" s="34">
        <f>IF(_xlfn.XLOOKUP($A292,'[1]DATOS PBI Artículos'!A:A,'[1]DATOS PBI Artículos'!AK:AK)="",_xlfn.XLOOKUP($A292,'[1]DATOS PBI Artículos'!A:A,'[1]DATOS PBI Artículos'!AJ:AJ),_xlfn.XLOOKUP($A292,'[1]DATOS PBI Artículos'!A:A,'[1]DATOS PBI Artículos'!AK:AK))</f>
        <v>0</v>
      </c>
      <c r="F292" s="35">
        <f>_xlfn.XLOOKUP($A292,'[1]DATOS PBI Artículos'!A:A,'[1]DATOS PBI Artículos'!AP:AP)</f>
        <v>0</v>
      </c>
      <c r="G292" s="34">
        <f>_xlfn.XLOOKUP($A292,'[1]DATOS PBI Artículos'!A:A,'[1]DATOS PBI Artículos'!AR:AR)</f>
        <v>0</v>
      </c>
      <c r="H292" s="34">
        <f>_xlfn.XLOOKUP($A292,'[1]DATOS PBI Artículos'!A:A,'[1]DATOS PBI Artículos'!AT:AT)</f>
        <v>0</v>
      </c>
      <c r="I292" s="34">
        <f>_xlfn.XLOOKUP($A292,'[1]DATOS PBI Artículos'!A:A,'[1]DATOS PBI Artículos'!AS:AS)</f>
        <v>0</v>
      </c>
      <c r="J292" s="35">
        <f>IF(COUNTIF([1]CRITERIOS!$F$179:$F$199,$A292)&gt;=1,
 IF(O292&lt;&gt;"",
    (O292/_xlfn.XLOOKUP(CONCATENATE(A292,L292),[1]MÁQUINAS!A:A,[1]MÁQUINAS!D:D))/24,
    (N292/_xlfn.XLOOKUP(CONCATENATE(A292,L292),[1]MÁQUINAS!A:A,[1]MÁQUINAS!D:D))/24),
  _xlfn.XLOOKUP($A292,'[1]DATOS PBI Artículos'!A:A,'[1]DATOS PBI Artículos'!AU:AU))</f>
        <v>0</v>
      </c>
      <c r="K292" s="36">
        <f>_xlfn.XLOOKUP($A292,'[1]DATOS PBI Artículos'!A:A,'[1]DATOS PBI Artículos'!AV:AV)</f>
        <v>0</v>
      </c>
      <c r="L292" s="33">
        <f>_xlfn.XLOOKUP(A292,[1]MÁQUINAS!B:B,[1]MÁQUINAS!C:C)</f>
        <v>0</v>
      </c>
      <c r="M292" s="34">
        <f t="array" ref="M292">_xlfn.XLOOKUP(A292,'[1]DATOS PBI Artículos'!A:A,'[1]DATOS PBI Artículos'!AX:$AX)</f>
        <v>0</v>
      </c>
      <c r="N292" s="37" t="e">
        <f>IF(I292="DV",
E292,
IF(COUNTIF([1]CRITERIOS!$I$179:$I$199,$A292)&gt;=1,
_xlfn.XLOOKUP($A292,[1]CRITERIOS!$I$179:$I$199,[1]CRITERIOS!$J$179:$J$199),
IF(COUNTIF([1]CRITERIOS!$L$179:$L$199,$A292)&gt;=1,
_xlfn.CEILING.MATH(IF($M292&gt;$E292,
$E292,
IF($M292&lt;$E292/ROUNDDOWN([1]CRITERIOS!$M$16/_xlfn.XLOOKUP($C292,[1]CRITERIOS!$K$25:$K$42,[1]CRITERIOS!$M$25:$M$42),
1),
E292/ROUNDDOWN([1]CRITERIOS!$M$16/_xlfn.XLOOKUP($C292,[1]CRITERIOS!$K$25:$K$42,[1]CRITERIOS!$M$25:$M$42),
1),
$M292)),
_xlfn.XLOOKUP($A292,[1]CRITERIOS!$L$179:$L$200,[1]CRITERIOS!$M$179:$M$200)),
_xlfn.CEILING.MATH(IF($M292&gt;$E292,
$E292,
IF($M292&lt;$E292/ROUNDDOWN([1]CRITERIOS!$M$16/_xlfn.XLOOKUP($C292,[1]CRITERIOS!$K$25:$K$42,[1]CRITERIOS!$M$25:$M$42),
1),
E292/ROUNDDOWN([1]CRITERIOS!$M$16/_xlfn.XLOOKUP($C292,[1]CRITERIOS!$K$25:$K$42,[1]CRITERIOS!$M$25:$M$42),
1),
$M292)),_xlfn.XLOOKUP(A292,'[1]DATOS PBI Artículos'!A:A,'[1]DATOS PBI Artículos'!Z:Z
)))))</f>
        <v>#N/A</v>
      </c>
      <c r="Q292" s="38" t="e">
        <f>IF(AND(O292="",N292=0),
0,
   IF(COUNTIF([1]CRITERIOS!$F$179:$F$199,$A292)&gt;=1,
   1,
   IF(R292="MTO",
      $D292,
      ROUNDUP(
                    IF(($E292-SUMIF('[1]DATOS PBI Artículos'!A:A,A292,'[1]DATOS PBI Artículos'!X:X)+($V292-_xlfn.XLOOKUP(A292,'[1]DATOS PBI Artículos'!A:A,'[1]DATOS PBI Artículos'!W:W)))&lt;0,
                    0,
                    IF(($E292-SUMIF('[1]DATOS PBI Artículos'!A:A,A292,'[1]DATOS PBI Artículos'!X:X)+$V292-_xlfn.XLOOKUP($A292,'[1]DATOS PBI Artículos'!A:A,'[1]DATOS PBI Artículos'!W:W))/IF($O292="",$N292,$O292)&gt;ROUNDUP([1]CRITERIOS!$M$16/(IF(COUNTIF([1]CRITERIOS!$BG$11:$BG$201,L292)&gt;=1,_xlfn.XLOOKUP($C292,[1]CRITERIOS!$K$25:$K$42,[1]CRITERIOS!$M$25:$M$42),_xlfn.XLOOKUP($C292,[1]CRITERIOS!$K$25:$K$42,[1]CRITERIOS!$M$25:$M$42))),0),
                    ROUNDUP([1]CRITERIOS!$M$16/(IF(COUNTIF([1]CRITERIOS!$BG$11:$BG$201,$L292)&gt;=1,_xlfn.XLOOKUP($C292,[1]CRITERIOS!$K$25:$K$42,[1]CRITERIOS!$M$25:$M$42),_xlfn.XLOOKUP($C292,[1]CRITERIOS!$K$25:$K$42,[1]CRITERIOS!$M$25:$M$42))),0),
                    (E292+V292-SUMIF('[1]DATOS PBI Artículos'!A:A,A292,'[1]DATOS PBI Artículos'!X:X)-_xlfn.XLOOKUP(A292,'[1]DATOS PBI Artículos'!A:A,'[1]DATOS PBI Artículos'!W:W))/IF($O292="",$N292,$O292))),0))))</f>
        <v>#N/A</v>
      </c>
      <c r="R292" s="33" t="e">
        <f>IF(U292&lt;&gt;"",U292,IF(F292="DV","MTO",IF(N292=0,"MTO",_xlfn.XLOOKUP(CONCATENATE(S292,T292),[1]CRITERIOS!$K$160:$K$168,[1]CRITERIOS!$N$160:$N$168))))</f>
        <v>#N/A</v>
      </c>
      <c r="S292" s="33" t="e">
        <f>IF(G292="DV","MTO",IF(N292=0,"MTO",IF(OR(AND(N292=0,O292=""),IF(O292="",G292/N292,G292/O292)&gt;[1]CRITERIOS!$G$163),"MTO",IF(IF(O292="",G292/N292,G292/O292)&lt;[1]CRITERIOS!$H$161,"MTS","MTOS"))))</f>
        <v>#N/A</v>
      </c>
      <c r="T292" s="33" t="e">
        <f>IF(F292="DV","MTO",IF(OR(AND($N292=0,O292=""),$F292/$J292&gt;[1]CRITERIOS!$G$170,$F292="DV"),"MTO",IF($F292/$J292&lt;[1]CRITERIOS!$H$168,"MTS","MTOS")))</f>
        <v>#N/A</v>
      </c>
      <c r="V292" s="34" t="e">
        <f t="shared" si="16"/>
        <v>#N/A</v>
      </c>
      <c r="X292" s="34" t="e">
        <f t="shared" si="14"/>
        <v>#N/A</v>
      </c>
      <c r="Y292" s="34" t="e">
        <f t="shared" si="15"/>
        <v>#N/A</v>
      </c>
      <c r="Z292" s="34" t="e">
        <f>IF($R292="MTO",
0,
($H292+$K292*($E292/[1]CRITERIOS!$M$16))/[1]CRITERIOS!$X$48)</f>
        <v>#N/A</v>
      </c>
      <c r="AA292" s="34" t="e">
        <f>ROUNDUP(($Y292/_xlfn.XLOOKUP($A292,'[1]DATOS PBI Artículos'!$A$4:$A$4,'[1]DATOS PBI Artículos'!$Z$4:$Z$4))/_xlfn.XLOOKUP(_xlfn.XLOOKUP($A292,'[1]DATOS PBI Artículos'!$A$4:$A$4,'[1]DATOS PBI Artículos'!$Y$4:$Y$4),[1]CRITERIOS!$P$79:$P$123,[1]CRITERIOS!$S$79:$S$123,),0)</f>
        <v>#N/A</v>
      </c>
      <c r="AB292" s="33" t="e">
        <f t="array" ref="AB292">IF((E292+V292-_xlfn.XLOOKUP(A292,'[1]DATOS PBI Artículos'!$A$4:$A$4,'[1]DATOS PBI Artículos'!$W$4:$W$4))/N292&gt;ROUNDUP([1]CRITERIOS!$M$16/(IF(COUNTIF([1]CRITERIOS!$BG$11:$BG$201,L292)&gt;=1,_xlfn.XLOOKUP(ARTÍCULOS!L292,[1]CRITERIOS!$BG$11:$BG$201,[1]CRITERIOS!$BJ$11:$BJ$201),_xlfn.XLOOKUP(ARTÍCULOS!C292,[1]CRITERIOS!$K$25:$K$42,[1]CRITERIOS!$M$25:$M$42))),0),ROUNDUP([1]CRITERIOS!$M$16/(IF(COUNTIF([1]CRITERIOS!$BG$11:$BG$201,L292)&gt;=1,_xlfn.XLOOKUP(ARTÍCULOS!L292,[1]CRITERIOS!$BG$11:$BG$201:#REF!,[1]CRITERIOS!$BJ$11:$BJ$201),_xlfn.XLOOKUP(ARTÍCULOS!C292,[1]CRITERIOS!$K$25:$K$42,[1]CRITERIOS!$M$25:$M$42))),0),(E292+V292-_xlfn.XLOOKUP(A292,'[1]DATOS PBI Artículos'!$A$4:$A$4,'[1]DATOS PBI Artículos'!$W$4:$W$4))/N292)</f>
        <v>#N/A</v>
      </c>
      <c r="AC292" s="33" t="e">
        <f>IF(N292=0,"",(ROUNDUP((N292/2)/(_xlfn.XLOOKUP(A292,'[1]DATOS PBI Artículos'!$A$4:$A$4,'[1]DATOS PBI Artículos'!$Z$4:$Z$4)*_xlfn.XLOOKUP(_xlfn.XLOOKUP(A292,'[1]DATOS PBI Artículos'!$A$4:$A$4,'[1]DATOS PBI Artículos'!$Y$4:$Y$4),[1]CRITERIOS!$P$79:$P$123,[1]CRITERIOS!$S$79:$S$123)),0)*[1]CRITERIOS!$M$80*([1]CRITERIOS!$M$110/[1]CRITERIOS!$M$86)+(_xlfn.XLOOKUP(A292,'[1]DATOS PBI Artículos'!$A$4:$A$4,'[1]DATOS PBI Artículos'!$AA$4:$AA$4)*([1]CRITERIOS!$M$95+[1]CRITERIOS!$M$98)))/N292)</f>
        <v>#N/A</v>
      </c>
      <c r="AD292" s="33" t="e">
        <f>IF(N292=0,"",(ROUNDUP((N292/2)/(_xlfn.XLOOKUP(A292,'[1]DATOS PBI Artículos'!$A$4:$A$4,'[1]DATOS PBI Artículos'!$Z$4:$Z$4)*_xlfn.XLOOKUP(_xlfn.XLOOKUP(A292,'[1]DATOS PBI Artículos'!$A$4:$A$4,'[1]DATOS PBI Artículos'!$Y$4:$Y$4),[1]CRITERIOS!$P$79:$P$123,[1]CRITERIOS!$S$79:$S$123)),0)*[1]CRITERIOS!$M$80*([1]CRITERIOS!$M$89*[1]CRITERIOS!$M$92)+((_xlfn.XLOOKUP(A292,'[1]DATOS PBI Artículos'!$A$4:$A$4,'[1]DATOS PBI Artículos'!$AA$4:$AA$4)/2)*([1]CRITERIOS!$M$95+[1]CRITERIOS!$M$98)))/N292)</f>
        <v>#N/A</v>
      </c>
      <c r="AE292" s="39" t="e">
        <f>IF($R292="MTO","",
IF($H292=0,ROUNDUP(((_xlfn.XLOOKUP($A292,'[1]DATOS PBI Artículos'!$A:$A,'[1]DATOS PBI Artículos'!$AL:$AL))/(_xlfn.XLOOKUP($AF$1,[1]CRITERIOS!$S$16:$S$39,[1]CRITERIOS!$Y$16:$Y$39))*$J292+$Z292)/$G292,0)*$G292,
((_xlfn.XLOOKUP($A292,'[1]DATOS PBI Artículos'!$A:$A,'[1]DATOS PBI Artículos'!$AL:$AL))/(_xlfn.XLOOKUP($AF$1,[1]CRITERIOS!$S$16:$S$39,[1]CRITERIOS!$Y$16:$Y$39))*$J292+$Z292)))</f>
        <v>#N/A</v>
      </c>
      <c r="AG292" s="39" t="e">
        <f>IF($R292="MTO","",
IF($H292=0,ROUNDUP(((_xlfn.XLOOKUP($A292,'[1]DATOS PBI Artículos'!$A:$A,'[1]DATOS PBI Artículos'!$AM:$AM))/(_xlfn.XLOOKUP($AH$1,[1]CRITERIOS!$S$16:$S$39,[1]CRITERIOS!$Y$16:$Y$39))*$J292+$Z292)/$G292,0)*$G292,
((_xlfn.XLOOKUP($A292,'[1]DATOS PBI Artículos'!$A:$A,'[1]DATOS PBI Artículos'!$AM:$AM))/(_xlfn.XLOOKUP($AH$1,[1]CRITERIOS!$S$16:$S$39,[1]CRITERIOS!$Y$16:$Y$39))*$J292+$Z292)))</f>
        <v>#N/A</v>
      </c>
      <c r="AI292" s="39" t="e">
        <f>IF($R292="MTO","",
IF($H292=0,ROUNDUP(((_xlfn.XLOOKUP($A292,'[1]DATOS PBI Artículos'!$A:$A,'[1]DATOS PBI Artículos'!$AN:$AN))/(_xlfn.XLOOKUP($AJ$1,[1]CRITERIOS!$S$16:$S$39,[1]CRITERIOS!$Y$16:$Y$39))*$J292+$Z292)/$G292,0)*$G292,
((_xlfn.XLOOKUP($A292,'[1]DATOS PBI Artículos'!$A:$A,'[1]DATOS PBI Artículos'!$AN:$AN))/(_xlfn.XLOOKUP($AJ$1,[1]CRITERIOS!$S$16:$S$39,[1]CRITERIOS!$Y$16:$Y$39))*$J292+$Z292)))</f>
        <v>#N/A</v>
      </c>
      <c r="AK292" s="39" t="e">
        <f>IF($R292="MTO","",
IF($H292=0,ROUNDUP(((_xlfn.XLOOKUP($A292,'[1]DATOS PBI Artículos'!$A:$A,'[1]DATOS PBI Artículos'!$AO:$AO))/(_xlfn.XLOOKUP($AL$1,[1]CRITERIOS!$S$16:$S$39,[1]CRITERIOS!$Y$16:$Y$39))*$J292+$Z292)/$G292,0)*$G292,
((_xlfn.XLOOKUP($A292,'[1]DATOS PBI Artículos'!$A:$A,'[1]DATOS PBI Artículos'!$AO:$AO))/(_xlfn.XLOOKUP($AL$1,[1]CRITERIOS!$S$16:$S$39,[1]CRITERIOS!$Y$16:$Y$39))*$J292+$Z292)))</f>
        <v>#N/A</v>
      </c>
    </row>
    <row r="293" spans="1:37" ht="25.8" hidden="1" x14ac:dyDescent="0.4">
      <c r="A293" s="41"/>
      <c r="B293" s="33">
        <f>_xlfn.XLOOKUP($A293,'[1]DATOS PBI Artículos'!A:A,'[1]DATOS PBI Artículos'!B:B)</f>
        <v>0</v>
      </c>
      <c r="C293" s="33">
        <f>_xlfn.XLOOKUP($A293,'[1]DATOS PBI Artículos'!A:A,'[1]DATOS PBI Artículos'!C:C)</f>
        <v>0</v>
      </c>
      <c r="D293" s="33">
        <f>_xlfn.XLOOKUP(A293,'[1]DATOS PBI Artículos'!A:A,'[1]DATOS PBI Artículos'!T:T)</f>
        <v>0</v>
      </c>
      <c r="E293" s="34">
        <f>IF(_xlfn.XLOOKUP($A293,'[1]DATOS PBI Artículos'!A:A,'[1]DATOS PBI Artículos'!AK:AK)="",_xlfn.XLOOKUP($A293,'[1]DATOS PBI Artículos'!A:A,'[1]DATOS PBI Artículos'!AJ:AJ),_xlfn.XLOOKUP($A293,'[1]DATOS PBI Artículos'!A:A,'[1]DATOS PBI Artículos'!AK:AK))</f>
        <v>0</v>
      </c>
      <c r="F293" s="35">
        <f>_xlfn.XLOOKUP($A293,'[1]DATOS PBI Artículos'!A:A,'[1]DATOS PBI Artículos'!AP:AP)</f>
        <v>0</v>
      </c>
      <c r="G293" s="34">
        <f>_xlfn.XLOOKUP($A293,'[1]DATOS PBI Artículos'!A:A,'[1]DATOS PBI Artículos'!AR:AR)</f>
        <v>0</v>
      </c>
      <c r="H293" s="34">
        <f>_xlfn.XLOOKUP($A293,'[1]DATOS PBI Artículos'!A:A,'[1]DATOS PBI Artículos'!AT:AT)</f>
        <v>0</v>
      </c>
      <c r="I293" s="34">
        <f>_xlfn.XLOOKUP($A293,'[1]DATOS PBI Artículos'!A:A,'[1]DATOS PBI Artículos'!AS:AS)</f>
        <v>0</v>
      </c>
      <c r="J293" s="35">
        <f>IF(COUNTIF([1]CRITERIOS!$F$179:$F$199,$A293)&gt;=1,
 IF(O293&lt;&gt;"",
    (O293/_xlfn.XLOOKUP(CONCATENATE(A293,L293),[1]MÁQUINAS!A:A,[1]MÁQUINAS!D:D))/24,
    (N293/_xlfn.XLOOKUP(CONCATENATE(A293,L293),[1]MÁQUINAS!A:A,[1]MÁQUINAS!D:D))/24),
  _xlfn.XLOOKUP($A293,'[1]DATOS PBI Artículos'!A:A,'[1]DATOS PBI Artículos'!AU:AU))</f>
        <v>0</v>
      </c>
      <c r="K293" s="36">
        <f>_xlfn.XLOOKUP($A293,'[1]DATOS PBI Artículos'!A:A,'[1]DATOS PBI Artículos'!AV:AV)</f>
        <v>0</v>
      </c>
      <c r="L293" s="33">
        <f>_xlfn.XLOOKUP(A293,[1]MÁQUINAS!B:B,[1]MÁQUINAS!C:C)</f>
        <v>0</v>
      </c>
      <c r="M293" s="34">
        <f t="array" ref="M293">_xlfn.XLOOKUP(A293,'[1]DATOS PBI Artículos'!A:A,'[1]DATOS PBI Artículos'!AX:$AX)</f>
        <v>0</v>
      </c>
      <c r="N293" s="37" t="e">
        <f>IF(I293="DV",
E293,
IF(COUNTIF([1]CRITERIOS!$I$179:$I$199,$A293)&gt;=1,
_xlfn.XLOOKUP($A293,[1]CRITERIOS!$I$179:$I$199,[1]CRITERIOS!$J$179:$J$199),
IF(COUNTIF([1]CRITERIOS!$L$179:$L$199,$A293)&gt;=1,
_xlfn.CEILING.MATH(IF($M293&gt;$E293,
$E293,
IF($M293&lt;$E293/ROUNDDOWN([1]CRITERIOS!$M$16/_xlfn.XLOOKUP($C293,[1]CRITERIOS!$K$25:$K$42,[1]CRITERIOS!$M$25:$M$42),
1),
E293/ROUNDDOWN([1]CRITERIOS!$M$16/_xlfn.XLOOKUP($C293,[1]CRITERIOS!$K$25:$K$42,[1]CRITERIOS!$M$25:$M$42),
1),
$M293)),
_xlfn.XLOOKUP($A293,[1]CRITERIOS!$L$179:$L$200,[1]CRITERIOS!$M$179:$M$200)),
_xlfn.CEILING.MATH(IF($M293&gt;$E293,
$E293,
IF($M293&lt;$E293/ROUNDDOWN([1]CRITERIOS!$M$16/_xlfn.XLOOKUP($C293,[1]CRITERIOS!$K$25:$K$42,[1]CRITERIOS!$M$25:$M$42),
1),
E293/ROUNDDOWN([1]CRITERIOS!$M$16/_xlfn.XLOOKUP($C293,[1]CRITERIOS!$K$25:$K$42,[1]CRITERIOS!$M$25:$M$42),
1),
$M293)),_xlfn.XLOOKUP(A293,'[1]DATOS PBI Artículos'!A:A,'[1]DATOS PBI Artículos'!Z:Z
)))))</f>
        <v>#N/A</v>
      </c>
      <c r="Q293" s="38" t="e">
        <f>IF(AND(O293="",N293=0),
0,
   IF(COUNTIF([1]CRITERIOS!$F$179:$F$199,$A293)&gt;=1,
   1,
   IF(R293="MTO",
      $D293,
      ROUNDUP(
                    IF(($E293-SUMIF('[1]DATOS PBI Artículos'!A:A,A293,'[1]DATOS PBI Artículos'!X:X)+($V293-_xlfn.XLOOKUP(A293,'[1]DATOS PBI Artículos'!A:A,'[1]DATOS PBI Artículos'!W:W)))&lt;0,
                    0,
                    IF(($E293-SUMIF('[1]DATOS PBI Artículos'!A:A,A293,'[1]DATOS PBI Artículos'!X:X)+$V293-_xlfn.XLOOKUP($A293,'[1]DATOS PBI Artículos'!A:A,'[1]DATOS PBI Artículos'!W:W))/IF($O293="",$N293,$O293)&gt;ROUNDUP([1]CRITERIOS!$M$16/(IF(COUNTIF([1]CRITERIOS!$BG$11:$BG$201,L293)&gt;=1,_xlfn.XLOOKUP($C293,[1]CRITERIOS!$K$25:$K$42,[1]CRITERIOS!$M$25:$M$42),_xlfn.XLOOKUP($C293,[1]CRITERIOS!$K$25:$K$42,[1]CRITERIOS!$M$25:$M$42))),0),
                    ROUNDUP([1]CRITERIOS!$M$16/(IF(COUNTIF([1]CRITERIOS!$BG$11:$BG$201,$L293)&gt;=1,_xlfn.XLOOKUP($C293,[1]CRITERIOS!$K$25:$K$42,[1]CRITERIOS!$M$25:$M$42),_xlfn.XLOOKUP($C293,[1]CRITERIOS!$K$25:$K$42,[1]CRITERIOS!$M$25:$M$42))),0),
                    (E293+V293-SUMIF('[1]DATOS PBI Artículos'!A:A,A293,'[1]DATOS PBI Artículos'!X:X)-_xlfn.XLOOKUP(A293,'[1]DATOS PBI Artículos'!A:A,'[1]DATOS PBI Artículos'!W:W))/IF($O293="",$N293,$O293))),0))))</f>
        <v>#N/A</v>
      </c>
      <c r="R293" s="33" t="e">
        <f>IF(U293&lt;&gt;"",U293,IF(F293="DV","MTO",IF(N293=0,"MTO",_xlfn.XLOOKUP(CONCATENATE(S293,T293),[1]CRITERIOS!$K$160:$K$168,[1]CRITERIOS!$N$160:$N$168))))</f>
        <v>#N/A</v>
      </c>
      <c r="S293" s="33" t="e">
        <f>IF(G293="DV","MTO",IF(N293=0,"MTO",IF(OR(AND(N293=0,O293=""),IF(O293="",G293/N293,G293/O293)&gt;[1]CRITERIOS!$G$163),"MTO",IF(IF(O293="",G293/N293,G293/O293)&lt;[1]CRITERIOS!$H$161,"MTS","MTOS"))))</f>
        <v>#N/A</v>
      </c>
      <c r="T293" s="33" t="e">
        <f>IF(F293="DV","MTO",IF(OR(AND($N293=0,O293=""),$F293/$J293&gt;[1]CRITERIOS!$G$170,$F293="DV"),"MTO",IF($F293/$J293&lt;[1]CRITERIOS!$H$168,"MTS","MTOS")))</f>
        <v>#N/A</v>
      </c>
      <c r="V293" s="34" t="e">
        <f t="shared" si="16"/>
        <v>#N/A</v>
      </c>
      <c r="X293" s="34" t="e">
        <f t="shared" si="14"/>
        <v>#N/A</v>
      </c>
      <c r="Y293" s="34" t="e">
        <f t="shared" si="15"/>
        <v>#N/A</v>
      </c>
      <c r="Z293" s="34" t="e">
        <f>IF($R293="MTO",
0,
($H293+$K293*($E293/[1]CRITERIOS!$M$16))/[1]CRITERIOS!$X$48)</f>
        <v>#N/A</v>
      </c>
      <c r="AA293" s="34" t="e">
        <f>ROUNDUP(($Y293/_xlfn.XLOOKUP($A293,'[1]DATOS PBI Artículos'!$A$4:$A$4,'[1]DATOS PBI Artículos'!$Z$4:$Z$4))/_xlfn.XLOOKUP(_xlfn.XLOOKUP($A293,'[1]DATOS PBI Artículos'!$A$4:$A$4,'[1]DATOS PBI Artículos'!$Y$4:$Y$4),[1]CRITERIOS!$P$79:$P$123,[1]CRITERIOS!$S$79:$S$123,),0)</f>
        <v>#N/A</v>
      </c>
      <c r="AB293" s="33" t="e">
        <f t="array" ref="AB293">IF((E293+V293-_xlfn.XLOOKUP(A293,'[1]DATOS PBI Artículos'!$A$4:$A$4,'[1]DATOS PBI Artículos'!$W$4:$W$4))/N293&gt;ROUNDUP([1]CRITERIOS!$M$16/(IF(COUNTIF([1]CRITERIOS!$BG$11:$BG$201,L293)&gt;=1,_xlfn.XLOOKUP(ARTÍCULOS!L293,[1]CRITERIOS!$BG$11:$BG$201,[1]CRITERIOS!$BJ$11:$BJ$201),_xlfn.XLOOKUP(ARTÍCULOS!C293,[1]CRITERIOS!$K$25:$K$42,[1]CRITERIOS!$M$25:$M$42))),0),ROUNDUP([1]CRITERIOS!$M$16/(IF(COUNTIF([1]CRITERIOS!$BG$11:$BG$201,L293)&gt;=1,_xlfn.XLOOKUP(ARTÍCULOS!L293,[1]CRITERIOS!$BG$11:$BG$201:#REF!,[1]CRITERIOS!$BJ$11:$BJ$201),_xlfn.XLOOKUP(ARTÍCULOS!C293,[1]CRITERIOS!$K$25:$K$42,[1]CRITERIOS!$M$25:$M$42))),0),(E293+V293-_xlfn.XLOOKUP(A293,'[1]DATOS PBI Artículos'!$A$4:$A$4,'[1]DATOS PBI Artículos'!$W$4:$W$4))/N293)</f>
        <v>#N/A</v>
      </c>
      <c r="AC293" s="33" t="e">
        <f>IF(N293=0,"",(ROUNDUP((N293/2)/(_xlfn.XLOOKUP(A293,'[1]DATOS PBI Artículos'!$A$4:$A$4,'[1]DATOS PBI Artículos'!$Z$4:$Z$4)*_xlfn.XLOOKUP(_xlfn.XLOOKUP(A293,'[1]DATOS PBI Artículos'!$A$4:$A$4,'[1]DATOS PBI Artículos'!$Y$4:$Y$4),[1]CRITERIOS!$P$79:$P$123,[1]CRITERIOS!$S$79:$S$123)),0)*[1]CRITERIOS!$M$80*([1]CRITERIOS!$M$110/[1]CRITERIOS!$M$86)+(_xlfn.XLOOKUP(A293,'[1]DATOS PBI Artículos'!$A$4:$A$4,'[1]DATOS PBI Artículos'!$AA$4:$AA$4)*([1]CRITERIOS!$M$95+[1]CRITERIOS!$M$98)))/N293)</f>
        <v>#N/A</v>
      </c>
      <c r="AD293" s="33" t="e">
        <f>IF(N293=0,"",(ROUNDUP((N293/2)/(_xlfn.XLOOKUP(A293,'[1]DATOS PBI Artículos'!$A$4:$A$4,'[1]DATOS PBI Artículos'!$Z$4:$Z$4)*_xlfn.XLOOKUP(_xlfn.XLOOKUP(A293,'[1]DATOS PBI Artículos'!$A$4:$A$4,'[1]DATOS PBI Artículos'!$Y$4:$Y$4),[1]CRITERIOS!$P$79:$P$123,[1]CRITERIOS!$S$79:$S$123)),0)*[1]CRITERIOS!$M$80*([1]CRITERIOS!$M$89*[1]CRITERIOS!$M$92)+((_xlfn.XLOOKUP(A293,'[1]DATOS PBI Artículos'!$A$4:$A$4,'[1]DATOS PBI Artículos'!$AA$4:$AA$4)/2)*([1]CRITERIOS!$M$95+[1]CRITERIOS!$M$98)))/N293)</f>
        <v>#N/A</v>
      </c>
      <c r="AE293" s="39" t="e">
        <f>IF($R293="MTO","",
IF($H293=0,ROUNDUP(((_xlfn.XLOOKUP($A293,'[1]DATOS PBI Artículos'!$A:$A,'[1]DATOS PBI Artículos'!$AL:$AL))/(_xlfn.XLOOKUP($AF$1,[1]CRITERIOS!$S$16:$S$39,[1]CRITERIOS!$Y$16:$Y$39))*$J293+$Z293)/$G293,0)*$G293,
((_xlfn.XLOOKUP($A293,'[1]DATOS PBI Artículos'!$A:$A,'[1]DATOS PBI Artículos'!$AL:$AL))/(_xlfn.XLOOKUP($AF$1,[1]CRITERIOS!$S$16:$S$39,[1]CRITERIOS!$Y$16:$Y$39))*$J293+$Z293)))</f>
        <v>#N/A</v>
      </c>
      <c r="AG293" s="39" t="e">
        <f>IF($R293="MTO","",
IF($H293=0,ROUNDUP(((_xlfn.XLOOKUP($A293,'[1]DATOS PBI Artículos'!$A:$A,'[1]DATOS PBI Artículos'!$AM:$AM))/(_xlfn.XLOOKUP($AH$1,[1]CRITERIOS!$S$16:$S$39,[1]CRITERIOS!$Y$16:$Y$39))*$J293+$Z293)/$G293,0)*$G293,
((_xlfn.XLOOKUP($A293,'[1]DATOS PBI Artículos'!$A:$A,'[1]DATOS PBI Artículos'!$AM:$AM))/(_xlfn.XLOOKUP($AH$1,[1]CRITERIOS!$S$16:$S$39,[1]CRITERIOS!$Y$16:$Y$39))*$J293+$Z293)))</f>
        <v>#N/A</v>
      </c>
      <c r="AI293" s="39" t="e">
        <f>IF($R293="MTO","",
IF($H293=0,ROUNDUP(((_xlfn.XLOOKUP($A293,'[1]DATOS PBI Artículos'!$A:$A,'[1]DATOS PBI Artículos'!$AN:$AN))/(_xlfn.XLOOKUP($AJ$1,[1]CRITERIOS!$S$16:$S$39,[1]CRITERIOS!$Y$16:$Y$39))*$J293+$Z293)/$G293,0)*$G293,
((_xlfn.XLOOKUP($A293,'[1]DATOS PBI Artículos'!$A:$A,'[1]DATOS PBI Artículos'!$AN:$AN))/(_xlfn.XLOOKUP($AJ$1,[1]CRITERIOS!$S$16:$S$39,[1]CRITERIOS!$Y$16:$Y$39))*$J293+$Z293)))</f>
        <v>#N/A</v>
      </c>
      <c r="AK293" s="39" t="e">
        <f>IF($R293="MTO","",
IF($H293=0,ROUNDUP(((_xlfn.XLOOKUP($A293,'[1]DATOS PBI Artículos'!$A:$A,'[1]DATOS PBI Artículos'!$AO:$AO))/(_xlfn.XLOOKUP($AL$1,[1]CRITERIOS!$S$16:$S$39,[1]CRITERIOS!$Y$16:$Y$39))*$J293+$Z293)/$G293,0)*$G293,
((_xlfn.XLOOKUP($A293,'[1]DATOS PBI Artículos'!$A:$A,'[1]DATOS PBI Artículos'!$AO:$AO))/(_xlfn.XLOOKUP($AL$1,[1]CRITERIOS!$S$16:$S$39,[1]CRITERIOS!$Y$16:$Y$39))*$J293+$Z293)))</f>
        <v>#N/A</v>
      </c>
    </row>
    <row r="294" spans="1:37" ht="25.8" hidden="1" x14ac:dyDescent="0.4">
      <c r="A294" s="41"/>
      <c r="B294" s="33">
        <f>_xlfn.XLOOKUP($A294,'[1]DATOS PBI Artículos'!A:A,'[1]DATOS PBI Artículos'!B:B)</f>
        <v>0</v>
      </c>
      <c r="C294" s="33">
        <f>_xlfn.XLOOKUP($A294,'[1]DATOS PBI Artículos'!A:A,'[1]DATOS PBI Artículos'!C:C)</f>
        <v>0</v>
      </c>
      <c r="D294" s="33">
        <f>_xlfn.XLOOKUP(A294,'[1]DATOS PBI Artículos'!A:A,'[1]DATOS PBI Artículos'!T:T)</f>
        <v>0</v>
      </c>
      <c r="E294" s="34">
        <f>IF(_xlfn.XLOOKUP($A294,'[1]DATOS PBI Artículos'!A:A,'[1]DATOS PBI Artículos'!AK:AK)="",_xlfn.XLOOKUP($A294,'[1]DATOS PBI Artículos'!A:A,'[1]DATOS PBI Artículos'!AJ:AJ),_xlfn.XLOOKUP($A294,'[1]DATOS PBI Artículos'!A:A,'[1]DATOS PBI Artículos'!AK:AK))</f>
        <v>0</v>
      </c>
      <c r="F294" s="35">
        <f>_xlfn.XLOOKUP($A294,'[1]DATOS PBI Artículos'!A:A,'[1]DATOS PBI Artículos'!AP:AP)</f>
        <v>0</v>
      </c>
      <c r="G294" s="34">
        <f>_xlfn.XLOOKUP($A294,'[1]DATOS PBI Artículos'!A:A,'[1]DATOS PBI Artículos'!AR:AR)</f>
        <v>0</v>
      </c>
      <c r="H294" s="34">
        <f>_xlfn.XLOOKUP($A294,'[1]DATOS PBI Artículos'!A:A,'[1]DATOS PBI Artículos'!AT:AT)</f>
        <v>0</v>
      </c>
      <c r="I294" s="34">
        <f>_xlfn.XLOOKUP($A294,'[1]DATOS PBI Artículos'!A:A,'[1]DATOS PBI Artículos'!AS:AS)</f>
        <v>0</v>
      </c>
      <c r="J294" s="35">
        <f>IF(COUNTIF([1]CRITERIOS!$F$179:$F$199,$A294)&gt;=1,
 IF(O294&lt;&gt;"",
    (O294/_xlfn.XLOOKUP(CONCATENATE(A294,L294),[1]MÁQUINAS!A:A,[1]MÁQUINAS!D:D))/24,
    (N294/_xlfn.XLOOKUP(CONCATENATE(A294,L294),[1]MÁQUINAS!A:A,[1]MÁQUINAS!D:D))/24),
  _xlfn.XLOOKUP($A294,'[1]DATOS PBI Artículos'!A:A,'[1]DATOS PBI Artículos'!AU:AU))</f>
        <v>0</v>
      </c>
      <c r="K294" s="36">
        <f>_xlfn.XLOOKUP($A294,'[1]DATOS PBI Artículos'!A:A,'[1]DATOS PBI Artículos'!AV:AV)</f>
        <v>0</v>
      </c>
      <c r="L294" s="33">
        <f>_xlfn.XLOOKUP(A294,[1]MÁQUINAS!B:B,[1]MÁQUINAS!C:C)</f>
        <v>0</v>
      </c>
      <c r="M294" s="34">
        <f t="array" ref="M294">_xlfn.XLOOKUP(A294,'[1]DATOS PBI Artículos'!A:A,'[1]DATOS PBI Artículos'!AX:$AX)</f>
        <v>0</v>
      </c>
      <c r="N294" s="37" t="e">
        <f>IF(I294="DV",
E294,
IF(COUNTIF([1]CRITERIOS!$I$179:$I$199,$A294)&gt;=1,
_xlfn.XLOOKUP($A294,[1]CRITERIOS!$I$179:$I$199,[1]CRITERIOS!$J$179:$J$199),
IF(COUNTIF([1]CRITERIOS!$L$179:$L$199,$A294)&gt;=1,
_xlfn.CEILING.MATH(IF($M294&gt;$E294,
$E294,
IF($M294&lt;$E294/ROUNDDOWN([1]CRITERIOS!$M$16/_xlfn.XLOOKUP($C294,[1]CRITERIOS!$K$25:$K$42,[1]CRITERIOS!$M$25:$M$42),
1),
E294/ROUNDDOWN([1]CRITERIOS!$M$16/_xlfn.XLOOKUP($C294,[1]CRITERIOS!$K$25:$K$42,[1]CRITERIOS!$M$25:$M$42),
1),
$M294)),
_xlfn.XLOOKUP($A294,[1]CRITERIOS!$L$179:$L$200,[1]CRITERIOS!$M$179:$M$200)),
_xlfn.CEILING.MATH(IF($M294&gt;$E294,
$E294,
IF($M294&lt;$E294/ROUNDDOWN([1]CRITERIOS!$M$16/_xlfn.XLOOKUP($C294,[1]CRITERIOS!$K$25:$K$42,[1]CRITERIOS!$M$25:$M$42),
1),
E294/ROUNDDOWN([1]CRITERIOS!$M$16/_xlfn.XLOOKUP($C294,[1]CRITERIOS!$K$25:$K$42,[1]CRITERIOS!$M$25:$M$42),
1),
$M294)),_xlfn.XLOOKUP(A294,'[1]DATOS PBI Artículos'!A:A,'[1]DATOS PBI Artículos'!Z:Z
)))))</f>
        <v>#N/A</v>
      </c>
      <c r="Q294" s="38" t="e">
        <f>IF(AND(O294="",N294=0),
0,
   IF(COUNTIF([1]CRITERIOS!$F$179:$F$199,$A294)&gt;=1,
   1,
   IF(R294="MTO",
      $D294,
      ROUNDUP(
                    IF(($E294-SUMIF('[1]DATOS PBI Artículos'!A:A,A294,'[1]DATOS PBI Artículos'!X:X)+($V294-_xlfn.XLOOKUP(A294,'[1]DATOS PBI Artículos'!A:A,'[1]DATOS PBI Artículos'!W:W)))&lt;0,
                    0,
                    IF(($E294-SUMIF('[1]DATOS PBI Artículos'!A:A,A294,'[1]DATOS PBI Artículos'!X:X)+$V294-_xlfn.XLOOKUP($A294,'[1]DATOS PBI Artículos'!A:A,'[1]DATOS PBI Artículos'!W:W))/IF($O294="",$N294,$O294)&gt;ROUNDUP([1]CRITERIOS!$M$16/(IF(COUNTIF([1]CRITERIOS!$BG$11:$BG$201,L294)&gt;=1,_xlfn.XLOOKUP($C294,[1]CRITERIOS!$K$25:$K$42,[1]CRITERIOS!$M$25:$M$42),_xlfn.XLOOKUP($C294,[1]CRITERIOS!$K$25:$K$42,[1]CRITERIOS!$M$25:$M$42))),0),
                    ROUNDUP([1]CRITERIOS!$M$16/(IF(COUNTIF([1]CRITERIOS!$BG$11:$BG$201,$L294)&gt;=1,_xlfn.XLOOKUP($C294,[1]CRITERIOS!$K$25:$K$42,[1]CRITERIOS!$M$25:$M$42),_xlfn.XLOOKUP($C294,[1]CRITERIOS!$K$25:$K$42,[1]CRITERIOS!$M$25:$M$42))),0),
                    (E294+V294-SUMIF('[1]DATOS PBI Artículos'!A:A,A294,'[1]DATOS PBI Artículos'!X:X)-_xlfn.XLOOKUP(A294,'[1]DATOS PBI Artículos'!A:A,'[1]DATOS PBI Artículos'!W:W))/IF($O294="",$N294,$O294))),0))))</f>
        <v>#N/A</v>
      </c>
      <c r="R294" s="33" t="e">
        <f>IF(U294&lt;&gt;"",U294,IF(F294="DV","MTO",IF(N294=0,"MTO",_xlfn.XLOOKUP(CONCATENATE(S294,T294),[1]CRITERIOS!$K$160:$K$168,[1]CRITERIOS!$N$160:$N$168))))</f>
        <v>#N/A</v>
      </c>
      <c r="S294" s="33" t="e">
        <f>IF(G294="DV","MTO",IF(N294=0,"MTO",IF(OR(AND(N294=0,O294=""),IF(O294="",G294/N294,G294/O294)&gt;[1]CRITERIOS!$G$163),"MTO",IF(IF(O294="",G294/N294,G294/O294)&lt;[1]CRITERIOS!$H$161,"MTS","MTOS"))))</f>
        <v>#N/A</v>
      </c>
      <c r="T294" s="33" t="e">
        <f>IF(F294="DV","MTO",IF(OR(AND($N294=0,O294=""),$F294/$J294&gt;[1]CRITERIOS!$G$170,$F294="DV"),"MTO",IF($F294/$J294&lt;[1]CRITERIOS!$H$168,"MTS","MTOS")))</f>
        <v>#N/A</v>
      </c>
      <c r="V294" s="34" t="e">
        <f t="shared" si="16"/>
        <v>#N/A</v>
      </c>
      <c r="X294" s="34" t="e">
        <f t="shared" si="14"/>
        <v>#N/A</v>
      </c>
      <c r="Y294" s="34" t="e">
        <f t="shared" si="15"/>
        <v>#N/A</v>
      </c>
      <c r="Z294" s="34" t="e">
        <f>IF($R294="MTO",
0,
($H294+$K294*($E294/[1]CRITERIOS!$M$16))/[1]CRITERIOS!$X$48)</f>
        <v>#N/A</v>
      </c>
      <c r="AA294" s="34" t="e">
        <f>ROUNDUP(($Y294/_xlfn.XLOOKUP($A294,'[1]DATOS PBI Artículos'!$A$4:$A$4,'[1]DATOS PBI Artículos'!$Z$4:$Z$4))/_xlfn.XLOOKUP(_xlfn.XLOOKUP($A294,'[1]DATOS PBI Artículos'!$A$4:$A$4,'[1]DATOS PBI Artículos'!$Y$4:$Y$4),[1]CRITERIOS!$P$79:$P$123,[1]CRITERIOS!$S$79:$S$123,),0)</f>
        <v>#N/A</v>
      </c>
      <c r="AB294" s="33" t="e">
        <f t="array" ref="AB294">IF((E294+V294-_xlfn.XLOOKUP(A294,'[1]DATOS PBI Artículos'!$A$4:$A$4,'[1]DATOS PBI Artículos'!$W$4:$W$4))/N294&gt;ROUNDUP([1]CRITERIOS!$M$16/(IF(COUNTIF([1]CRITERIOS!$BG$11:$BG$201,L294)&gt;=1,_xlfn.XLOOKUP(ARTÍCULOS!L294,[1]CRITERIOS!$BG$11:$BG$201,[1]CRITERIOS!$BJ$11:$BJ$201),_xlfn.XLOOKUP(ARTÍCULOS!C294,[1]CRITERIOS!$K$25:$K$42,[1]CRITERIOS!$M$25:$M$42))),0),ROUNDUP([1]CRITERIOS!$M$16/(IF(COUNTIF([1]CRITERIOS!$BG$11:$BG$201,L294)&gt;=1,_xlfn.XLOOKUP(ARTÍCULOS!L294,[1]CRITERIOS!$BG$11:$BG$201:#REF!,[1]CRITERIOS!$BJ$11:$BJ$201),_xlfn.XLOOKUP(ARTÍCULOS!C294,[1]CRITERIOS!$K$25:$K$42,[1]CRITERIOS!$M$25:$M$42))),0),(E294+V294-_xlfn.XLOOKUP(A294,'[1]DATOS PBI Artículos'!$A$4:$A$4,'[1]DATOS PBI Artículos'!$W$4:$W$4))/N294)</f>
        <v>#N/A</v>
      </c>
      <c r="AC294" s="33" t="e">
        <f>IF(N294=0,"",(ROUNDUP((N294/2)/(_xlfn.XLOOKUP(A294,'[1]DATOS PBI Artículos'!$A$4:$A$4,'[1]DATOS PBI Artículos'!$Z$4:$Z$4)*_xlfn.XLOOKUP(_xlfn.XLOOKUP(A294,'[1]DATOS PBI Artículos'!$A$4:$A$4,'[1]DATOS PBI Artículos'!$Y$4:$Y$4),[1]CRITERIOS!$P$79:$P$123,[1]CRITERIOS!$S$79:$S$123)),0)*[1]CRITERIOS!$M$80*([1]CRITERIOS!$M$110/[1]CRITERIOS!$M$86)+(_xlfn.XLOOKUP(A294,'[1]DATOS PBI Artículos'!$A$4:$A$4,'[1]DATOS PBI Artículos'!$AA$4:$AA$4)*([1]CRITERIOS!$M$95+[1]CRITERIOS!$M$98)))/N294)</f>
        <v>#N/A</v>
      </c>
      <c r="AD294" s="33" t="e">
        <f>IF(N294=0,"",(ROUNDUP((N294/2)/(_xlfn.XLOOKUP(A294,'[1]DATOS PBI Artículos'!$A$4:$A$4,'[1]DATOS PBI Artículos'!$Z$4:$Z$4)*_xlfn.XLOOKUP(_xlfn.XLOOKUP(A294,'[1]DATOS PBI Artículos'!$A$4:$A$4,'[1]DATOS PBI Artículos'!$Y$4:$Y$4),[1]CRITERIOS!$P$79:$P$123,[1]CRITERIOS!$S$79:$S$123)),0)*[1]CRITERIOS!$M$80*([1]CRITERIOS!$M$89*[1]CRITERIOS!$M$92)+((_xlfn.XLOOKUP(A294,'[1]DATOS PBI Artículos'!$A$4:$A$4,'[1]DATOS PBI Artículos'!$AA$4:$AA$4)/2)*([1]CRITERIOS!$M$95+[1]CRITERIOS!$M$98)))/N294)</f>
        <v>#N/A</v>
      </c>
      <c r="AE294" s="39" t="e">
        <f>IF($R294="MTO","",
IF($H294=0,ROUNDUP(((_xlfn.XLOOKUP($A294,'[1]DATOS PBI Artículos'!$A:$A,'[1]DATOS PBI Artículos'!$AL:$AL))/(_xlfn.XLOOKUP($AF$1,[1]CRITERIOS!$S$16:$S$39,[1]CRITERIOS!$Y$16:$Y$39))*$J294+$Z294)/$G294,0)*$G294,
((_xlfn.XLOOKUP($A294,'[1]DATOS PBI Artículos'!$A:$A,'[1]DATOS PBI Artículos'!$AL:$AL))/(_xlfn.XLOOKUP($AF$1,[1]CRITERIOS!$S$16:$S$39,[1]CRITERIOS!$Y$16:$Y$39))*$J294+$Z294)))</f>
        <v>#N/A</v>
      </c>
      <c r="AG294" s="39" t="e">
        <f>IF($R294="MTO","",
IF($H294=0,ROUNDUP(((_xlfn.XLOOKUP($A294,'[1]DATOS PBI Artículos'!$A:$A,'[1]DATOS PBI Artículos'!$AM:$AM))/(_xlfn.XLOOKUP($AH$1,[1]CRITERIOS!$S$16:$S$39,[1]CRITERIOS!$Y$16:$Y$39))*$J294+$Z294)/$G294,0)*$G294,
((_xlfn.XLOOKUP($A294,'[1]DATOS PBI Artículos'!$A:$A,'[1]DATOS PBI Artículos'!$AM:$AM))/(_xlfn.XLOOKUP($AH$1,[1]CRITERIOS!$S$16:$S$39,[1]CRITERIOS!$Y$16:$Y$39))*$J294+$Z294)))</f>
        <v>#N/A</v>
      </c>
      <c r="AI294" s="39" t="e">
        <f>IF($R294="MTO","",
IF($H294=0,ROUNDUP(((_xlfn.XLOOKUP($A294,'[1]DATOS PBI Artículos'!$A:$A,'[1]DATOS PBI Artículos'!$AN:$AN))/(_xlfn.XLOOKUP($AJ$1,[1]CRITERIOS!$S$16:$S$39,[1]CRITERIOS!$Y$16:$Y$39))*$J294+$Z294)/$G294,0)*$G294,
((_xlfn.XLOOKUP($A294,'[1]DATOS PBI Artículos'!$A:$A,'[1]DATOS PBI Artículos'!$AN:$AN))/(_xlfn.XLOOKUP($AJ$1,[1]CRITERIOS!$S$16:$S$39,[1]CRITERIOS!$Y$16:$Y$39))*$J294+$Z294)))</f>
        <v>#N/A</v>
      </c>
      <c r="AK294" s="39" t="e">
        <f>IF($R294="MTO","",
IF($H294=0,ROUNDUP(((_xlfn.XLOOKUP($A294,'[1]DATOS PBI Artículos'!$A:$A,'[1]DATOS PBI Artículos'!$AO:$AO))/(_xlfn.XLOOKUP($AL$1,[1]CRITERIOS!$S$16:$S$39,[1]CRITERIOS!$Y$16:$Y$39))*$J294+$Z294)/$G294,0)*$G294,
((_xlfn.XLOOKUP($A294,'[1]DATOS PBI Artículos'!$A:$A,'[1]DATOS PBI Artículos'!$AO:$AO))/(_xlfn.XLOOKUP($AL$1,[1]CRITERIOS!$S$16:$S$39,[1]CRITERIOS!$Y$16:$Y$39))*$J294+$Z294)))</f>
        <v>#N/A</v>
      </c>
    </row>
    <row r="295" spans="1:37" ht="25.8" hidden="1" x14ac:dyDescent="0.4">
      <c r="A295" s="41"/>
      <c r="B295" s="33">
        <f>_xlfn.XLOOKUP($A295,'[1]DATOS PBI Artículos'!A:A,'[1]DATOS PBI Artículos'!B:B)</f>
        <v>0</v>
      </c>
      <c r="C295" s="33">
        <f>_xlfn.XLOOKUP($A295,'[1]DATOS PBI Artículos'!A:A,'[1]DATOS PBI Artículos'!C:C)</f>
        <v>0</v>
      </c>
      <c r="D295" s="33">
        <f>_xlfn.XLOOKUP(A295,'[1]DATOS PBI Artículos'!A:A,'[1]DATOS PBI Artículos'!T:T)</f>
        <v>0</v>
      </c>
      <c r="E295" s="34">
        <f>IF(_xlfn.XLOOKUP($A295,'[1]DATOS PBI Artículos'!A:A,'[1]DATOS PBI Artículos'!AK:AK)="",_xlfn.XLOOKUP($A295,'[1]DATOS PBI Artículos'!A:A,'[1]DATOS PBI Artículos'!AJ:AJ),_xlfn.XLOOKUP($A295,'[1]DATOS PBI Artículos'!A:A,'[1]DATOS PBI Artículos'!AK:AK))</f>
        <v>0</v>
      </c>
      <c r="F295" s="35">
        <f>_xlfn.XLOOKUP($A295,'[1]DATOS PBI Artículos'!A:A,'[1]DATOS PBI Artículos'!AP:AP)</f>
        <v>0</v>
      </c>
      <c r="G295" s="34">
        <f>_xlfn.XLOOKUP($A295,'[1]DATOS PBI Artículos'!A:A,'[1]DATOS PBI Artículos'!AR:AR)</f>
        <v>0</v>
      </c>
      <c r="H295" s="34">
        <f>_xlfn.XLOOKUP($A295,'[1]DATOS PBI Artículos'!A:A,'[1]DATOS PBI Artículos'!AT:AT)</f>
        <v>0</v>
      </c>
      <c r="I295" s="34">
        <f>_xlfn.XLOOKUP($A295,'[1]DATOS PBI Artículos'!A:A,'[1]DATOS PBI Artículos'!AS:AS)</f>
        <v>0</v>
      </c>
      <c r="J295" s="35">
        <f>IF(COUNTIF([1]CRITERIOS!$F$179:$F$199,$A295)&gt;=1,
 IF(O295&lt;&gt;"",
    (O295/_xlfn.XLOOKUP(CONCATENATE(A295,L295),[1]MÁQUINAS!A:A,[1]MÁQUINAS!D:D))/24,
    (N295/_xlfn.XLOOKUP(CONCATENATE(A295,L295),[1]MÁQUINAS!A:A,[1]MÁQUINAS!D:D))/24),
  _xlfn.XLOOKUP($A295,'[1]DATOS PBI Artículos'!A:A,'[1]DATOS PBI Artículos'!AU:AU))</f>
        <v>0</v>
      </c>
      <c r="K295" s="36">
        <f>_xlfn.XLOOKUP($A295,'[1]DATOS PBI Artículos'!A:A,'[1]DATOS PBI Artículos'!AV:AV)</f>
        <v>0</v>
      </c>
      <c r="L295" s="33">
        <f>_xlfn.XLOOKUP(A295,[1]MÁQUINAS!B:B,[1]MÁQUINAS!C:C)</f>
        <v>0</v>
      </c>
      <c r="M295" s="34">
        <f t="array" ref="M295">_xlfn.XLOOKUP(A295,'[1]DATOS PBI Artículos'!A:A,'[1]DATOS PBI Artículos'!AX:$AX)</f>
        <v>0</v>
      </c>
      <c r="N295" s="37" t="e">
        <f>IF(I295="DV",
E295,
IF(COUNTIF([1]CRITERIOS!$I$179:$I$199,$A295)&gt;=1,
_xlfn.XLOOKUP($A295,[1]CRITERIOS!$I$179:$I$199,[1]CRITERIOS!$J$179:$J$199),
IF(COUNTIF([1]CRITERIOS!$L$179:$L$199,$A295)&gt;=1,
_xlfn.CEILING.MATH(IF($M295&gt;$E295,
$E295,
IF($M295&lt;$E295/ROUNDDOWN([1]CRITERIOS!$M$16/_xlfn.XLOOKUP($C295,[1]CRITERIOS!$K$25:$K$42,[1]CRITERIOS!$M$25:$M$42),
1),
E295/ROUNDDOWN([1]CRITERIOS!$M$16/_xlfn.XLOOKUP($C295,[1]CRITERIOS!$K$25:$K$42,[1]CRITERIOS!$M$25:$M$42),
1),
$M295)),
_xlfn.XLOOKUP($A295,[1]CRITERIOS!$L$179:$L$200,[1]CRITERIOS!$M$179:$M$200)),
_xlfn.CEILING.MATH(IF($M295&gt;$E295,
$E295,
IF($M295&lt;$E295/ROUNDDOWN([1]CRITERIOS!$M$16/_xlfn.XLOOKUP($C295,[1]CRITERIOS!$K$25:$K$42,[1]CRITERIOS!$M$25:$M$42),
1),
E295/ROUNDDOWN([1]CRITERIOS!$M$16/_xlfn.XLOOKUP($C295,[1]CRITERIOS!$K$25:$K$42,[1]CRITERIOS!$M$25:$M$42),
1),
$M295)),_xlfn.XLOOKUP(A295,'[1]DATOS PBI Artículos'!A:A,'[1]DATOS PBI Artículos'!Z:Z
)))))</f>
        <v>#N/A</v>
      </c>
      <c r="Q295" s="38" t="e">
        <f>IF(AND(O295="",N295=0),
0,
   IF(COUNTIF([1]CRITERIOS!$F$179:$F$199,$A295)&gt;=1,
   1,
   IF(R295="MTO",
      $D295,
      ROUNDUP(
                    IF(($E295-SUMIF('[1]DATOS PBI Artículos'!A:A,A295,'[1]DATOS PBI Artículos'!X:X)+($V295-_xlfn.XLOOKUP(A295,'[1]DATOS PBI Artículos'!A:A,'[1]DATOS PBI Artículos'!W:W)))&lt;0,
                    0,
                    IF(($E295-SUMIF('[1]DATOS PBI Artículos'!A:A,A295,'[1]DATOS PBI Artículos'!X:X)+$V295-_xlfn.XLOOKUP($A295,'[1]DATOS PBI Artículos'!A:A,'[1]DATOS PBI Artículos'!W:W))/IF($O295="",$N295,$O295)&gt;ROUNDUP([1]CRITERIOS!$M$16/(IF(COUNTIF([1]CRITERIOS!$BG$11:$BG$201,L295)&gt;=1,_xlfn.XLOOKUP($C295,[1]CRITERIOS!$K$25:$K$42,[1]CRITERIOS!$M$25:$M$42),_xlfn.XLOOKUP($C295,[1]CRITERIOS!$K$25:$K$42,[1]CRITERIOS!$M$25:$M$42))),0),
                    ROUNDUP([1]CRITERIOS!$M$16/(IF(COUNTIF([1]CRITERIOS!$BG$11:$BG$201,$L295)&gt;=1,_xlfn.XLOOKUP($C295,[1]CRITERIOS!$K$25:$K$42,[1]CRITERIOS!$M$25:$M$42),_xlfn.XLOOKUP($C295,[1]CRITERIOS!$K$25:$K$42,[1]CRITERIOS!$M$25:$M$42))),0),
                    (E295+V295-SUMIF('[1]DATOS PBI Artículos'!A:A,A295,'[1]DATOS PBI Artículos'!X:X)-_xlfn.XLOOKUP(A295,'[1]DATOS PBI Artículos'!A:A,'[1]DATOS PBI Artículos'!W:W))/IF($O295="",$N295,$O295))),0))))</f>
        <v>#N/A</v>
      </c>
      <c r="R295" s="33" t="e">
        <f>IF(U295&lt;&gt;"",U295,IF(F295="DV","MTO",IF(N295=0,"MTO",_xlfn.XLOOKUP(CONCATENATE(S295,T295),[1]CRITERIOS!$K$160:$K$168,[1]CRITERIOS!$N$160:$N$168))))</f>
        <v>#N/A</v>
      </c>
      <c r="S295" s="33" t="e">
        <f>IF(G295="DV","MTO",IF(N295=0,"MTO",IF(OR(AND(N295=0,O295=""),IF(O295="",G295/N295,G295/O295)&gt;[1]CRITERIOS!$G$163),"MTO",IF(IF(O295="",G295/N295,G295/O295)&lt;[1]CRITERIOS!$H$161,"MTS","MTOS"))))</f>
        <v>#N/A</v>
      </c>
      <c r="T295" s="33" t="e">
        <f>IF(F295="DV","MTO",IF(OR(AND($N295=0,O295=""),$F295/$J295&gt;[1]CRITERIOS!$G$170,$F295="DV"),"MTO",IF($F295/$J295&lt;[1]CRITERIOS!$H$168,"MTS","MTOS")))</f>
        <v>#N/A</v>
      </c>
      <c r="V295" s="34" t="e">
        <f t="shared" si="16"/>
        <v>#N/A</v>
      </c>
      <c r="X295" s="34" t="e">
        <f t="shared" si="14"/>
        <v>#N/A</v>
      </c>
      <c r="Y295" s="34" t="e">
        <f t="shared" si="15"/>
        <v>#N/A</v>
      </c>
      <c r="Z295" s="34" t="e">
        <f>IF($R295="MTO",
0,
($H295+$K295*($E295/[1]CRITERIOS!$M$16))/[1]CRITERIOS!$X$48)</f>
        <v>#N/A</v>
      </c>
      <c r="AA295" s="34" t="e">
        <f>ROUNDUP(($Y295/_xlfn.XLOOKUP($A295,'[1]DATOS PBI Artículos'!$A$4:$A$4,'[1]DATOS PBI Artículos'!$Z$4:$Z$4))/_xlfn.XLOOKUP(_xlfn.XLOOKUP($A295,'[1]DATOS PBI Artículos'!$A$4:$A$4,'[1]DATOS PBI Artículos'!$Y$4:$Y$4),[1]CRITERIOS!$P$79:$P$123,[1]CRITERIOS!$S$79:$S$123,),0)</f>
        <v>#N/A</v>
      </c>
      <c r="AB295" s="33" t="e">
        <f t="array" ref="AB295">IF((E295+V295-_xlfn.XLOOKUP(A295,'[1]DATOS PBI Artículos'!$A$4:$A$4,'[1]DATOS PBI Artículos'!$W$4:$W$4))/N295&gt;ROUNDUP([1]CRITERIOS!$M$16/(IF(COUNTIF([1]CRITERIOS!$BG$11:$BG$201,L295)&gt;=1,_xlfn.XLOOKUP(ARTÍCULOS!L295,[1]CRITERIOS!$BG$11:$BG$201,[1]CRITERIOS!$BJ$11:$BJ$201),_xlfn.XLOOKUP(ARTÍCULOS!C295,[1]CRITERIOS!$K$25:$K$42,[1]CRITERIOS!$M$25:$M$42))),0),ROUNDUP([1]CRITERIOS!$M$16/(IF(COUNTIF([1]CRITERIOS!$BG$11:$BG$201,L295)&gt;=1,_xlfn.XLOOKUP(ARTÍCULOS!L295,[1]CRITERIOS!$BG$11:$BG$201:#REF!,[1]CRITERIOS!$BJ$11:$BJ$201),_xlfn.XLOOKUP(ARTÍCULOS!C295,[1]CRITERIOS!$K$25:$K$42,[1]CRITERIOS!$M$25:$M$42))),0),(E295+V295-_xlfn.XLOOKUP(A295,'[1]DATOS PBI Artículos'!$A$4:$A$4,'[1]DATOS PBI Artículos'!$W$4:$W$4))/N295)</f>
        <v>#N/A</v>
      </c>
      <c r="AC295" s="33" t="e">
        <f>IF(N295=0,"",(ROUNDUP((N295/2)/(_xlfn.XLOOKUP(A295,'[1]DATOS PBI Artículos'!$A$4:$A$4,'[1]DATOS PBI Artículos'!$Z$4:$Z$4)*_xlfn.XLOOKUP(_xlfn.XLOOKUP(A295,'[1]DATOS PBI Artículos'!$A$4:$A$4,'[1]DATOS PBI Artículos'!$Y$4:$Y$4),[1]CRITERIOS!$P$79:$P$123,[1]CRITERIOS!$S$79:$S$123)),0)*[1]CRITERIOS!$M$80*([1]CRITERIOS!$M$110/[1]CRITERIOS!$M$86)+(_xlfn.XLOOKUP(A295,'[1]DATOS PBI Artículos'!$A$4:$A$4,'[1]DATOS PBI Artículos'!$AA$4:$AA$4)*([1]CRITERIOS!$M$95+[1]CRITERIOS!$M$98)))/N295)</f>
        <v>#N/A</v>
      </c>
      <c r="AD295" s="33" t="e">
        <f>IF(N295=0,"",(ROUNDUP((N295/2)/(_xlfn.XLOOKUP(A295,'[1]DATOS PBI Artículos'!$A$4:$A$4,'[1]DATOS PBI Artículos'!$Z$4:$Z$4)*_xlfn.XLOOKUP(_xlfn.XLOOKUP(A295,'[1]DATOS PBI Artículos'!$A$4:$A$4,'[1]DATOS PBI Artículos'!$Y$4:$Y$4),[1]CRITERIOS!$P$79:$P$123,[1]CRITERIOS!$S$79:$S$123)),0)*[1]CRITERIOS!$M$80*([1]CRITERIOS!$M$89*[1]CRITERIOS!$M$92)+((_xlfn.XLOOKUP(A295,'[1]DATOS PBI Artículos'!$A$4:$A$4,'[1]DATOS PBI Artículos'!$AA$4:$AA$4)/2)*([1]CRITERIOS!$M$95+[1]CRITERIOS!$M$98)))/N295)</f>
        <v>#N/A</v>
      </c>
      <c r="AE295" s="39" t="e">
        <f>IF($R295="MTO","",
IF($H295=0,ROUNDUP(((_xlfn.XLOOKUP($A295,'[1]DATOS PBI Artículos'!$A:$A,'[1]DATOS PBI Artículos'!$AL:$AL))/(_xlfn.XLOOKUP($AF$1,[1]CRITERIOS!$S$16:$S$39,[1]CRITERIOS!$Y$16:$Y$39))*$J295+$Z295)/$G295,0)*$G295,
((_xlfn.XLOOKUP($A295,'[1]DATOS PBI Artículos'!$A:$A,'[1]DATOS PBI Artículos'!$AL:$AL))/(_xlfn.XLOOKUP($AF$1,[1]CRITERIOS!$S$16:$S$39,[1]CRITERIOS!$Y$16:$Y$39))*$J295+$Z295)))</f>
        <v>#N/A</v>
      </c>
      <c r="AG295" s="39" t="e">
        <f>IF($R295="MTO","",
IF($H295=0,ROUNDUP(((_xlfn.XLOOKUP($A295,'[1]DATOS PBI Artículos'!$A:$A,'[1]DATOS PBI Artículos'!$AM:$AM))/(_xlfn.XLOOKUP($AH$1,[1]CRITERIOS!$S$16:$S$39,[1]CRITERIOS!$Y$16:$Y$39))*$J295+$Z295)/$G295,0)*$G295,
((_xlfn.XLOOKUP($A295,'[1]DATOS PBI Artículos'!$A:$A,'[1]DATOS PBI Artículos'!$AM:$AM))/(_xlfn.XLOOKUP($AH$1,[1]CRITERIOS!$S$16:$S$39,[1]CRITERIOS!$Y$16:$Y$39))*$J295+$Z295)))</f>
        <v>#N/A</v>
      </c>
      <c r="AI295" s="39" t="e">
        <f>IF($R295="MTO","",
IF($H295=0,ROUNDUP(((_xlfn.XLOOKUP($A295,'[1]DATOS PBI Artículos'!$A:$A,'[1]DATOS PBI Artículos'!$AN:$AN))/(_xlfn.XLOOKUP($AJ$1,[1]CRITERIOS!$S$16:$S$39,[1]CRITERIOS!$Y$16:$Y$39))*$J295+$Z295)/$G295,0)*$G295,
((_xlfn.XLOOKUP($A295,'[1]DATOS PBI Artículos'!$A:$A,'[1]DATOS PBI Artículos'!$AN:$AN))/(_xlfn.XLOOKUP($AJ$1,[1]CRITERIOS!$S$16:$S$39,[1]CRITERIOS!$Y$16:$Y$39))*$J295+$Z295)))</f>
        <v>#N/A</v>
      </c>
      <c r="AK295" s="39" t="e">
        <f>IF($R295="MTO","",
IF($H295=0,ROUNDUP(((_xlfn.XLOOKUP($A295,'[1]DATOS PBI Artículos'!$A:$A,'[1]DATOS PBI Artículos'!$AO:$AO))/(_xlfn.XLOOKUP($AL$1,[1]CRITERIOS!$S$16:$S$39,[1]CRITERIOS!$Y$16:$Y$39))*$J295+$Z295)/$G295,0)*$G295,
((_xlfn.XLOOKUP($A295,'[1]DATOS PBI Artículos'!$A:$A,'[1]DATOS PBI Artículos'!$AO:$AO))/(_xlfn.XLOOKUP($AL$1,[1]CRITERIOS!$S$16:$S$39,[1]CRITERIOS!$Y$16:$Y$39))*$J295+$Z295)))</f>
        <v>#N/A</v>
      </c>
    </row>
    <row r="296" spans="1:37" ht="25.8" hidden="1" x14ac:dyDescent="0.4">
      <c r="A296" s="41"/>
      <c r="B296" s="33">
        <f>_xlfn.XLOOKUP($A296,'[1]DATOS PBI Artículos'!A:A,'[1]DATOS PBI Artículos'!B:B)</f>
        <v>0</v>
      </c>
      <c r="C296" s="33">
        <f>_xlfn.XLOOKUP($A296,'[1]DATOS PBI Artículos'!A:A,'[1]DATOS PBI Artículos'!C:C)</f>
        <v>0</v>
      </c>
      <c r="D296" s="33">
        <f>_xlfn.XLOOKUP(A296,'[1]DATOS PBI Artículos'!A:A,'[1]DATOS PBI Artículos'!T:T)</f>
        <v>0</v>
      </c>
      <c r="E296" s="34">
        <f>IF(_xlfn.XLOOKUP($A296,'[1]DATOS PBI Artículos'!A:A,'[1]DATOS PBI Artículos'!AK:AK)="",_xlfn.XLOOKUP($A296,'[1]DATOS PBI Artículos'!A:A,'[1]DATOS PBI Artículos'!AJ:AJ),_xlfn.XLOOKUP($A296,'[1]DATOS PBI Artículos'!A:A,'[1]DATOS PBI Artículos'!AK:AK))</f>
        <v>0</v>
      </c>
      <c r="F296" s="35">
        <f>_xlfn.XLOOKUP($A296,'[1]DATOS PBI Artículos'!A:A,'[1]DATOS PBI Artículos'!AP:AP)</f>
        <v>0</v>
      </c>
      <c r="G296" s="34">
        <f>_xlfn.XLOOKUP($A296,'[1]DATOS PBI Artículos'!A:A,'[1]DATOS PBI Artículos'!AR:AR)</f>
        <v>0</v>
      </c>
      <c r="H296" s="34">
        <f>_xlfn.XLOOKUP($A296,'[1]DATOS PBI Artículos'!A:A,'[1]DATOS PBI Artículos'!AT:AT)</f>
        <v>0</v>
      </c>
      <c r="I296" s="34">
        <f>_xlfn.XLOOKUP($A296,'[1]DATOS PBI Artículos'!A:A,'[1]DATOS PBI Artículos'!AS:AS)</f>
        <v>0</v>
      </c>
      <c r="J296" s="35">
        <f>IF(COUNTIF([1]CRITERIOS!$F$179:$F$199,$A296)&gt;=1,
 IF(O296&lt;&gt;"",
    (O296/_xlfn.XLOOKUP(CONCATENATE(A296,L296),[1]MÁQUINAS!A:A,[1]MÁQUINAS!D:D))/24,
    (N296/_xlfn.XLOOKUP(CONCATENATE(A296,L296),[1]MÁQUINAS!A:A,[1]MÁQUINAS!D:D))/24),
  _xlfn.XLOOKUP($A296,'[1]DATOS PBI Artículos'!A:A,'[1]DATOS PBI Artículos'!AU:AU))</f>
        <v>0</v>
      </c>
      <c r="K296" s="36">
        <f>_xlfn.XLOOKUP($A296,'[1]DATOS PBI Artículos'!A:A,'[1]DATOS PBI Artículos'!AV:AV)</f>
        <v>0</v>
      </c>
      <c r="L296" s="33">
        <f>_xlfn.XLOOKUP(A296,[1]MÁQUINAS!B:B,[1]MÁQUINAS!C:C)</f>
        <v>0</v>
      </c>
      <c r="M296" s="34">
        <f t="array" ref="M296">_xlfn.XLOOKUP(A296,'[1]DATOS PBI Artículos'!A:A,'[1]DATOS PBI Artículos'!AX:$AX)</f>
        <v>0</v>
      </c>
      <c r="N296" s="37" t="e">
        <f>IF(I296="DV",
E296,
IF(COUNTIF([1]CRITERIOS!$I$179:$I$199,$A296)&gt;=1,
_xlfn.XLOOKUP($A296,[1]CRITERIOS!$I$179:$I$199,[1]CRITERIOS!$J$179:$J$199),
IF(COUNTIF([1]CRITERIOS!$L$179:$L$199,$A296)&gt;=1,
_xlfn.CEILING.MATH(IF($M296&gt;$E296,
$E296,
IF($M296&lt;$E296/ROUNDDOWN([1]CRITERIOS!$M$16/_xlfn.XLOOKUP($C296,[1]CRITERIOS!$K$25:$K$42,[1]CRITERIOS!$M$25:$M$42),
1),
E296/ROUNDDOWN([1]CRITERIOS!$M$16/_xlfn.XLOOKUP($C296,[1]CRITERIOS!$K$25:$K$42,[1]CRITERIOS!$M$25:$M$42),
1),
$M296)),
_xlfn.XLOOKUP($A296,[1]CRITERIOS!$L$179:$L$200,[1]CRITERIOS!$M$179:$M$200)),
_xlfn.CEILING.MATH(IF($M296&gt;$E296,
$E296,
IF($M296&lt;$E296/ROUNDDOWN([1]CRITERIOS!$M$16/_xlfn.XLOOKUP($C296,[1]CRITERIOS!$K$25:$K$42,[1]CRITERIOS!$M$25:$M$42),
1),
E296/ROUNDDOWN([1]CRITERIOS!$M$16/_xlfn.XLOOKUP($C296,[1]CRITERIOS!$K$25:$K$42,[1]CRITERIOS!$M$25:$M$42),
1),
$M296)),_xlfn.XLOOKUP(A296,'[1]DATOS PBI Artículos'!A:A,'[1]DATOS PBI Artículos'!Z:Z
)))))</f>
        <v>#N/A</v>
      </c>
      <c r="Q296" s="38" t="e">
        <f>IF(AND(O296="",N296=0),
0,
   IF(COUNTIF([1]CRITERIOS!$F$179:$F$199,$A296)&gt;=1,
   1,
   IF(R296="MTO",
      $D296,
      ROUNDUP(
                    IF(($E296-SUMIF('[1]DATOS PBI Artículos'!A:A,A296,'[1]DATOS PBI Artículos'!X:X)+($V296-_xlfn.XLOOKUP(A296,'[1]DATOS PBI Artículos'!A:A,'[1]DATOS PBI Artículos'!W:W)))&lt;0,
                    0,
                    IF(($E296-SUMIF('[1]DATOS PBI Artículos'!A:A,A296,'[1]DATOS PBI Artículos'!X:X)+$V296-_xlfn.XLOOKUP($A296,'[1]DATOS PBI Artículos'!A:A,'[1]DATOS PBI Artículos'!W:W))/IF($O296="",$N296,$O296)&gt;ROUNDUP([1]CRITERIOS!$M$16/(IF(COUNTIF([1]CRITERIOS!$BG$11:$BG$201,L296)&gt;=1,_xlfn.XLOOKUP($C296,[1]CRITERIOS!$K$25:$K$42,[1]CRITERIOS!$M$25:$M$42),_xlfn.XLOOKUP($C296,[1]CRITERIOS!$K$25:$K$42,[1]CRITERIOS!$M$25:$M$42))),0),
                    ROUNDUP([1]CRITERIOS!$M$16/(IF(COUNTIF([1]CRITERIOS!$BG$11:$BG$201,$L296)&gt;=1,_xlfn.XLOOKUP($C296,[1]CRITERIOS!$K$25:$K$42,[1]CRITERIOS!$M$25:$M$42),_xlfn.XLOOKUP($C296,[1]CRITERIOS!$K$25:$K$42,[1]CRITERIOS!$M$25:$M$42))),0),
                    (E296+V296-SUMIF('[1]DATOS PBI Artículos'!A:A,A296,'[1]DATOS PBI Artículos'!X:X)-_xlfn.XLOOKUP(A296,'[1]DATOS PBI Artículos'!A:A,'[1]DATOS PBI Artículos'!W:W))/IF($O296="",$N296,$O296))),0))))</f>
        <v>#N/A</v>
      </c>
      <c r="R296" s="33" t="e">
        <f>IF(U296&lt;&gt;"",U296,IF(F296="DV","MTO",IF(N296=0,"MTO",_xlfn.XLOOKUP(CONCATENATE(S296,T296),[1]CRITERIOS!$K$160:$K$168,[1]CRITERIOS!$N$160:$N$168))))</f>
        <v>#N/A</v>
      </c>
      <c r="S296" s="33" t="e">
        <f>IF(G296="DV","MTO",IF(N296=0,"MTO",IF(OR(AND(N296=0,O296=""),IF(O296="",G296/N296,G296/O296)&gt;[1]CRITERIOS!$G$163),"MTO",IF(IF(O296="",G296/N296,G296/O296)&lt;[1]CRITERIOS!$H$161,"MTS","MTOS"))))</f>
        <v>#N/A</v>
      </c>
      <c r="T296" s="33" t="e">
        <f>IF(F296="DV","MTO",IF(OR(AND($N296=0,O296=""),$F296/$J296&gt;[1]CRITERIOS!$G$170,$F296="DV"),"MTO",IF($F296/$J296&lt;[1]CRITERIOS!$H$168,"MTS","MTOS")))</f>
        <v>#N/A</v>
      </c>
      <c r="V296" s="34" t="e">
        <f t="shared" si="16"/>
        <v>#N/A</v>
      </c>
      <c r="X296" s="34" t="e">
        <f t="shared" si="14"/>
        <v>#N/A</v>
      </c>
      <c r="Y296" s="34" t="e">
        <f t="shared" si="15"/>
        <v>#N/A</v>
      </c>
      <c r="Z296" s="34" t="e">
        <f>IF($R296="MTO",
0,
($H296+$K296*($E296/[1]CRITERIOS!$M$16))/[1]CRITERIOS!$X$48)</f>
        <v>#N/A</v>
      </c>
      <c r="AA296" s="34" t="e">
        <f>ROUNDUP(($Y296/_xlfn.XLOOKUP($A296,'[1]DATOS PBI Artículos'!$A$4:$A$4,'[1]DATOS PBI Artículos'!$Z$4:$Z$4))/_xlfn.XLOOKUP(_xlfn.XLOOKUP($A296,'[1]DATOS PBI Artículos'!$A$4:$A$4,'[1]DATOS PBI Artículos'!$Y$4:$Y$4),[1]CRITERIOS!$P$79:$P$123,[1]CRITERIOS!$S$79:$S$123,),0)</f>
        <v>#N/A</v>
      </c>
      <c r="AB296" s="33" t="e">
        <f t="array" ref="AB296">IF((E296+V296-_xlfn.XLOOKUP(A296,'[1]DATOS PBI Artículos'!$A$4:$A$4,'[1]DATOS PBI Artículos'!$W$4:$W$4))/N296&gt;ROUNDUP([1]CRITERIOS!$M$16/(IF(COUNTIF([1]CRITERIOS!$BG$11:$BG$201,L296)&gt;=1,_xlfn.XLOOKUP(ARTÍCULOS!L296,[1]CRITERIOS!$BG$11:$BG$201,[1]CRITERIOS!$BJ$11:$BJ$201),_xlfn.XLOOKUP(ARTÍCULOS!C296,[1]CRITERIOS!$K$25:$K$42,[1]CRITERIOS!$M$25:$M$42))),0),ROUNDUP([1]CRITERIOS!$M$16/(IF(COUNTIF([1]CRITERIOS!$BG$11:$BG$201,L296)&gt;=1,_xlfn.XLOOKUP(ARTÍCULOS!L296,[1]CRITERIOS!$BG$11:$BG$201:#REF!,[1]CRITERIOS!$BJ$11:$BJ$201),_xlfn.XLOOKUP(ARTÍCULOS!C296,[1]CRITERIOS!$K$25:$K$42,[1]CRITERIOS!$M$25:$M$42))),0),(E296+V296-_xlfn.XLOOKUP(A296,'[1]DATOS PBI Artículos'!$A$4:$A$4,'[1]DATOS PBI Artículos'!$W$4:$W$4))/N296)</f>
        <v>#N/A</v>
      </c>
      <c r="AC296" s="33" t="e">
        <f>IF(N296=0,"",(ROUNDUP((N296/2)/(_xlfn.XLOOKUP(A296,'[1]DATOS PBI Artículos'!$A$4:$A$4,'[1]DATOS PBI Artículos'!$Z$4:$Z$4)*_xlfn.XLOOKUP(_xlfn.XLOOKUP(A296,'[1]DATOS PBI Artículos'!$A$4:$A$4,'[1]DATOS PBI Artículos'!$Y$4:$Y$4),[1]CRITERIOS!$P$79:$P$123,[1]CRITERIOS!$S$79:$S$123)),0)*[1]CRITERIOS!$M$80*([1]CRITERIOS!$M$110/[1]CRITERIOS!$M$86)+(_xlfn.XLOOKUP(A296,'[1]DATOS PBI Artículos'!$A$4:$A$4,'[1]DATOS PBI Artículos'!$AA$4:$AA$4)*([1]CRITERIOS!$M$95+[1]CRITERIOS!$M$98)))/N296)</f>
        <v>#N/A</v>
      </c>
      <c r="AD296" s="33" t="e">
        <f>IF(N296=0,"",(ROUNDUP((N296/2)/(_xlfn.XLOOKUP(A296,'[1]DATOS PBI Artículos'!$A$4:$A$4,'[1]DATOS PBI Artículos'!$Z$4:$Z$4)*_xlfn.XLOOKUP(_xlfn.XLOOKUP(A296,'[1]DATOS PBI Artículos'!$A$4:$A$4,'[1]DATOS PBI Artículos'!$Y$4:$Y$4),[1]CRITERIOS!$P$79:$P$123,[1]CRITERIOS!$S$79:$S$123)),0)*[1]CRITERIOS!$M$80*([1]CRITERIOS!$M$89*[1]CRITERIOS!$M$92)+((_xlfn.XLOOKUP(A296,'[1]DATOS PBI Artículos'!$A$4:$A$4,'[1]DATOS PBI Artículos'!$AA$4:$AA$4)/2)*([1]CRITERIOS!$M$95+[1]CRITERIOS!$M$98)))/N296)</f>
        <v>#N/A</v>
      </c>
      <c r="AE296" s="39" t="e">
        <f>IF($R296="MTO","",
IF($H296=0,ROUNDUP(((_xlfn.XLOOKUP($A296,'[1]DATOS PBI Artículos'!$A:$A,'[1]DATOS PBI Artículos'!$AL:$AL))/(_xlfn.XLOOKUP($AF$1,[1]CRITERIOS!$S$16:$S$39,[1]CRITERIOS!$Y$16:$Y$39))*$J296+$Z296)/$G296,0)*$G296,
((_xlfn.XLOOKUP($A296,'[1]DATOS PBI Artículos'!$A:$A,'[1]DATOS PBI Artículos'!$AL:$AL))/(_xlfn.XLOOKUP($AF$1,[1]CRITERIOS!$S$16:$S$39,[1]CRITERIOS!$Y$16:$Y$39))*$J296+$Z296)))</f>
        <v>#N/A</v>
      </c>
      <c r="AG296" s="39" t="e">
        <f>IF($R296="MTO","",
IF($H296=0,ROUNDUP(((_xlfn.XLOOKUP($A296,'[1]DATOS PBI Artículos'!$A:$A,'[1]DATOS PBI Artículos'!$AM:$AM))/(_xlfn.XLOOKUP($AH$1,[1]CRITERIOS!$S$16:$S$39,[1]CRITERIOS!$Y$16:$Y$39))*$J296+$Z296)/$G296,0)*$G296,
((_xlfn.XLOOKUP($A296,'[1]DATOS PBI Artículos'!$A:$A,'[1]DATOS PBI Artículos'!$AM:$AM))/(_xlfn.XLOOKUP($AH$1,[1]CRITERIOS!$S$16:$S$39,[1]CRITERIOS!$Y$16:$Y$39))*$J296+$Z296)))</f>
        <v>#N/A</v>
      </c>
      <c r="AI296" s="39" t="e">
        <f>IF($R296="MTO","",
IF($H296=0,ROUNDUP(((_xlfn.XLOOKUP($A296,'[1]DATOS PBI Artículos'!$A:$A,'[1]DATOS PBI Artículos'!$AN:$AN))/(_xlfn.XLOOKUP($AJ$1,[1]CRITERIOS!$S$16:$S$39,[1]CRITERIOS!$Y$16:$Y$39))*$J296+$Z296)/$G296,0)*$G296,
((_xlfn.XLOOKUP($A296,'[1]DATOS PBI Artículos'!$A:$A,'[1]DATOS PBI Artículos'!$AN:$AN))/(_xlfn.XLOOKUP($AJ$1,[1]CRITERIOS!$S$16:$S$39,[1]CRITERIOS!$Y$16:$Y$39))*$J296+$Z296)))</f>
        <v>#N/A</v>
      </c>
      <c r="AK296" s="39" t="e">
        <f>IF($R296="MTO","",
IF($H296=0,ROUNDUP(((_xlfn.XLOOKUP($A296,'[1]DATOS PBI Artículos'!$A:$A,'[1]DATOS PBI Artículos'!$AO:$AO))/(_xlfn.XLOOKUP($AL$1,[1]CRITERIOS!$S$16:$S$39,[1]CRITERIOS!$Y$16:$Y$39))*$J296+$Z296)/$G296,0)*$G296,
((_xlfn.XLOOKUP($A296,'[1]DATOS PBI Artículos'!$A:$A,'[1]DATOS PBI Artículos'!$AO:$AO))/(_xlfn.XLOOKUP($AL$1,[1]CRITERIOS!$S$16:$S$39,[1]CRITERIOS!$Y$16:$Y$39))*$J296+$Z296)))</f>
        <v>#N/A</v>
      </c>
    </row>
    <row r="297" spans="1:37" ht="25.8" hidden="1" x14ac:dyDescent="0.4">
      <c r="A297" s="41"/>
      <c r="B297" s="33">
        <f>_xlfn.XLOOKUP($A297,'[1]DATOS PBI Artículos'!A:A,'[1]DATOS PBI Artículos'!B:B)</f>
        <v>0</v>
      </c>
      <c r="C297" s="33">
        <f>_xlfn.XLOOKUP($A297,'[1]DATOS PBI Artículos'!A:A,'[1]DATOS PBI Artículos'!C:C)</f>
        <v>0</v>
      </c>
      <c r="D297" s="33">
        <f>_xlfn.XLOOKUP(A297,'[1]DATOS PBI Artículos'!A:A,'[1]DATOS PBI Artículos'!T:T)</f>
        <v>0</v>
      </c>
      <c r="E297" s="34">
        <f>IF(_xlfn.XLOOKUP($A297,'[1]DATOS PBI Artículos'!A:A,'[1]DATOS PBI Artículos'!AK:AK)="",_xlfn.XLOOKUP($A297,'[1]DATOS PBI Artículos'!A:A,'[1]DATOS PBI Artículos'!AJ:AJ),_xlfn.XLOOKUP($A297,'[1]DATOS PBI Artículos'!A:A,'[1]DATOS PBI Artículos'!AK:AK))</f>
        <v>0</v>
      </c>
      <c r="F297" s="35">
        <f>_xlfn.XLOOKUP($A297,'[1]DATOS PBI Artículos'!A:A,'[1]DATOS PBI Artículos'!AP:AP)</f>
        <v>0</v>
      </c>
      <c r="G297" s="34">
        <f>_xlfn.XLOOKUP($A297,'[1]DATOS PBI Artículos'!A:A,'[1]DATOS PBI Artículos'!AR:AR)</f>
        <v>0</v>
      </c>
      <c r="H297" s="34">
        <f>_xlfn.XLOOKUP($A297,'[1]DATOS PBI Artículos'!A:A,'[1]DATOS PBI Artículos'!AT:AT)</f>
        <v>0</v>
      </c>
      <c r="I297" s="34">
        <f>_xlfn.XLOOKUP($A297,'[1]DATOS PBI Artículos'!A:A,'[1]DATOS PBI Artículos'!AS:AS)</f>
        <v>0</v>
      </c>
      <c r="J297" s="35">
        <f>IF(COUNTIF([1]CRITERIOS!$F$179:$F$199,$A297)&gt;=1,
 IF(O297&lt;&gt;"",
    (O297/_xlfn.XLOOKUP(CONCATENATE(A297,L297),[1]MÁQUINAS!A:A,[1]MÁQUINAS!D:D))/24,
    (N297/_xlfn.XLOOKUP(CONCATENATE(A297,L297),[1]MÁQUINAS!A:A,[1]MÁQUINAS!D:D))/24),
  _xlfn.XLOOKUP($A297,'[1]DATOS PBI Artículos'!A:A,'[1]DATOS PBI Artículos'!AU:AU))</f>
        <v>0</v>
      </c>
      <c r="K297" s="36">
        <f>_xlfn.XLOOKUP($A297,'[1]DATOS PBI Artículos'!A:A,'[1]DATOS PBI Artículos'!AV:AV)</f>
        <v>0</v>
      </c>
      <c r="L297" s="33">
        <f>_xlfn.XLOOKUP(A297,[1]MÁQUINAS!B:B,[1]MÁQUINAS!C:C)</f>
        <v>0</v>
      </c>
      <c r="M297" s="34">
        <f t="array" ref="M297">_xlfn.XLOOKUP(A297,'[1]DATOS PBI Artículos'!A:A,'[1]DATOS PBI Artículos'!AX:$AX)</f>
        <v>0</v>
      </c>
      <c r="N297" s="37" t="e">
        <f>IF(I297="DV",
E297,
IF(COUNTIF([1]CRITERIOS!$I$179:$I$199,$A297)&gt;=1,
_xlfn.XLOOKUP($A297,[1]CRITERIOS!$I$179:$I$199,[1]CRITERIOS!$J$179:$J$199),
IF(COUNTIF([1]CRITERIOS!$L$179:$L$199,$A297)&gt;=1,
_xlfn.CEILING.MATH(IF($M297&gt;$E297,
$E297,
IF($M297&lt;$E297/ROUNDDOWN([1]CRITERIOS!$M$16/_xlfn.XLOOKUP($C297,[1]CRITERIOS!$K$25:$K$42,[1]CRITERIOS!$M$25:$M$42),
1),
E297/ROUNDDOWN([1]CRITERIOS!$M$16/_xlfn.XLOOKUP($C297,[1]CRITERIOS!$K$25:$K$42,[1]CRITERIOS!$M$25:$M$42),
1),
$M297)),
_xlfn.XLOOKUP($A297,[1]CRITERIOS!$L$179:$L$200,[1]CRITERIOS!$M$179:$M$200)),
_xlfn.CEILING.MATH(IF($M297&gt;$E297,
$E297,
IF($M297&lt;$E297/ROUNDDOWN([1]CRITERIOS!$M$16/_xlfn.XLOOKUP($C297,[1]CRITERIOS!$K$25:$K$42,[1]CRITERIOS!$M$25:$M$42),
1),
E297/ROUNDDOWN([1]CRITERIOS!$M$16/_xlfn.XLOOKUP($C297,[1]CRITERIOS!$K$25:$K$42,[1]CRITERIOS!$M$25:$M$42),
1),
$M297)),_xlfn.XLOOKUP(A297,'[1]DATOS PBI Artículos'!A:A,'[1]DATOS PBI Artículos'!Z:Z
)))))</f>
        <v>#N/A</v>
      </c>
      <c r="Q297" s="38" t="e">
        <f>IF(AND(O297="",N297=0),
0,
   IF(COUNTIF([1]CRITERIOS!$F$179:$F$199,$A297)&gt;=1,
   1,
   IF(R297="MTO",
      $D297,
      ROUNDUP(
                    IF(($E297-SUMIF('[1]DATOS PBI Artículos'!A:A,A297,'[1]DATOS PBI Artículos'!X:X)+($V297-_xlfn.XLOOKUP(A297,'[1]DATOS PBI Artículos'!A:A,'[1]DATOS PBI Artículos'!W:W)))&lt;0,
                    0,
                    IF(($E297-SUMIF('[1]DATOS PBI Artículos'!A:A,A297,'[1]DATOS PBI Artículos'!X:X)+$V297-_xlfn.XLOOKUP($A297,'[1]DATOS PBI Artículos'!A:A,'[1]DATOS PBI Artículos'!W:W))/IF($O297="",$N297,$O297)&gt;ROUNDUP([1]CRITERIOS!$M$16/(IF(COUNTIF([1]CRITERIOS!$BG$11:$BG$201,L297)&gt;=1,_xlfn.XLOOKUP($C297,[1]CRITERIOS!$K$25:$K$42,[1]CRITERIOS!$M$25:$M$42),_xlfn.XLOOKUP($C297,[1]CRITERIOS!$K$25:$K$42,[1]CRITERIOS!$M$25:$M$42))),0),
                    ROUNDUP([1]CRITERIOS!$M$16/(IF(COUNTIF([1]CRITERIOS!$BG$11:$BG$201,$L297)&gt;=1,_xlfn.XLOOKUP($C297,[1]CRITERIOS!$K$25:$K$42,[1]CRITERIOS!$M$25:$M$42),_xlfn.XLOOKUP($C297,[1]CRITERIOS!$K$25:$K$42,[1]CRITERIOS!$M$25:$M$42))),0),
                    (E297+V297-SUMIF('[1]DATOS PBI Artículos'!A:A,A297,'[1]DATOS PBI Artículos'!X:X)-_xlfn.XLOOKUP(A297,'[1]DATOS PBI Artículos'!A:A,'[1]DATOS PBI Artículos'!W:W))/IF($O297="",$N297,$O297))),0))))</f>
        <v>#N/A</v>
      </c>
      <c r="R297" s="33" t="e">
        <f>IF(U297&lt;&gt;"",U297,IF(F297="DV","MTO",IF(N297=0,"MTO",_xlfn.XLOOKUP(CONCATENATE(S297,T297),[1]CRITERIOS!$K$160:$K$168,[1]CRITERIOS!$N$160:$N$168))))</f>
        <v>#N/A</v>
      </c>
      <c r="S297" s="33" t="e">
        <f>IF(G297="DV","MTO",IF(N297=0,"MTO",IF(OR(AND(N297=0,O297=""),IF(O297="",G297/N297,G297/O297)&gt;[1]CRITERIOS!$G$163),"MTO",IF(IF(O297="",G297/N297,G297/O297)&lt;[1]CRITERIOS!$H$161,"MTS","MTOS"))))</f>
        <v>#N/A</v>
      </c>
      <c r="T297" s="33" t="e">
        <f>IF(F297="DV","MTO",IF(OR(AND($N297=0,O297=""),$F297/$J297&gt;[1]CRITERIOS!$G$170,$F297="DV"),"MTO",IF($F297/$J297&lt;[1]CRITERIOS!$H$168,"MTS","MTOS")))</f>
        <v>#N/A</v>
      </c>
      <c r="V297" s="34" t="e">
        <f t="shared" si="16"/>
        <v>#N/A</v>
      </c>
      <c r="X297" s="34" t="e">
        <f t="shared" si="14"/>
        <v>#N/A</v>
      </c>
      <c r="Y297" s="34" t="e">
        <f t="shared" si="15"/>
        <v>#N/A</v>
      </c>
      <c r="Z297" s="34" t="e">
        <f>IF($R297="MTO",
0,
($H297+$K297*($E297/[1]CRITERIOS!$M$16))/[1]CRITERIOS!$X$48)</f>
        <v>#N/A</v>
      </c>
      <c r="AA297" s="34" t="e">
        <f>ROUNDUP(($Y297/_xlfn.XLOOKUP($A297,'[1]DATOS PBI Artículos'!$A$4:$A$4,'[1]DATOS PBI Artículos'!$Z$4:$Z$4))/_xlfn.XLOOKUP(_xlfn.XLOOKUP($A297,'[1]DATOS PBI Artículos'!$A$4:$A$4,'[1]DATOS PBI Artículos'!$Y$4:$Y$4),[1]CRITERIOS!$P$79:$P$123,[1]CRITERIOS!$S$79:$S$123,),0)</f>
        <v>#N/A</v>
      </c>
      <c r="AB297" s="33" t="e">
        <f t="array" ref="AB297">IF((E297+V297-_xlfn.XLOOKUP(A297,'[1]DATOS PBI Artículos'!$A$4:$A$4,'[1]DATOS PBI Artículos'!$W$4:$W$4))/N297&gt;ROUNDUP([1]CRITERIOS!$M$16/(IF(COUNTIF([1]CRITERIOS!$BG$11:$BG$201,L297)&gt;=1,_xlfn.XLOOKUP(ARTÍCULOS!L297,[1]CRITERIOS!$BG$11:$BG$201,[1]CRITERIOS!$BJ$11:$BJ$201),_xlfn.XLOOKUP(ARTÍCULOS!C297,[1]CRITERIOS!$K$25:$K$42,[1]CRITERIOS!$M$25:$M$42))),0),ROUNDUP([1]CRITERIOS!$M$16/(IF(COUNTIF([1]CRITERIOS!$BG$11:$BG$201,L297)&gt;=1,_xlfn.XLOOKUP(ARTÍCULOS!L297,[1]CRITERIOS!$BG$11:$BG$201:#REF!,[1]CRITERIOS!$BJ$11:$BJ$201),_xlfn.XLOOKUP(ARTÍCULOS!C297,[1]CRITERIOS!$K$25:$K$42,[1]CRITERIOS!$M$25:$M$42))),0),(E297+V297-_xlfn.XLOOKUP(A297,'[1]DATOS PBI Artículos'!$A$4:$A$4,'[1]DATOS PBI Artículos'!$W$4:$W$4))/N297)</f>
        <v>#N/A</v>
      </c>
      <c r="AC297" s="33" t="e">
        <f>IF(N297=0,"",(ROUNDUP((N297/2)/(_xlfn.XLOOKUP(A297,'[1]DATOS PBI Artículos'!$A$4:$A$4,'[1]DATOS PBI Artículos'!$Z$4:$Z$4)*_xlfn.XLOOKUP(_xlfn.XLOOKUP(A297,'[1]DATOS PBI Artículos'!$A$4:$A$4,'[1]DATOS PBI Artículos'!$Y$4:$Y$4),[1]CRITERIOS!$P$79:$P$123,[1]CRITERIOS!$S$79:$S$123)),0)*[1]CRITERIOS!$M$80*([1]CRITERIOS!$M$110/[1]CRITERIOS!$M$86)+(_xlfn.XLOOKUP(A297,'[1]DATOS PBI Artículos'!$A$4:$A$4,'[1]DATOS PBI Artículos'!$AA$4:$AA$4)*([1]CRITERIOS!$M$95+[1]CRITERIOS!$M$98)))/N297)</f>
        <v>#N/A</v>
      </c>
      <c r="AD297" s="33" t="e">
        <f>IF(N297=0,"",(ROUNDUP((N297/2)/(_xlfn.XLOOKUP(A297,'[1]DATOS PBI Artículos'!$A$4:$A$4,'[1]DATOS PBI Artículos'!$Z$4:$Z$4)*_xlfn.XLOOKUP(_xlfn.XLOOKUP(A297,'[1]DATOS PBI Artículos'!$A$4:$A$4,'[1]DATOS PBI Artículos'!$Y$4:$Y$4),[1]CRITERIOS!$P$79:$P$123,[1]CRITERIOS!$S$79:$S$123)),0)*[1]CRITERIOS!$M$80*([1]CRITERIOS!$M$89*[1]CRITERIOS!$M$92)+((_xlfn.XLOOKUP(A297,'[1]DATOS PBI Artículos'!$A$4:$A$4,'[1]DATOS PBI Artículos'!$AA$4:$AA$4)/2)*([1]CRITERIOS!$M$95+[1]CRITERIOS!$M$98)))/N297)</f>
        <v>#N/A</v>
      </c>
      <c r="AE297" s="39" t="e">
        <f>IF($R297="MTO","",
IF($H297=0,ROUNDUP(((_xlfn.XLOOKUP($A297,'[1]DATOS PBI Artículos'!$A:$A,'[1]DATOS PBI Artículos'!$AL:$AL))/(_xlfn.XLOOKUP($AF$1,[1]CRITERIOS!$S$16:$S$39,[1]CRITERIOS!$Y$16:$Y$39))*$J297+$Z297)/$G297,0)*$G297,
((_xlfn.XLOOKUP($A297,'[1]DATOS PBI Artículos'!$A:$A,'[1]DATOS PBI Artículos'!$AL:$AL))/(_xlfn.XLOOKUP($AF$1,[1]CRITERIOS!$S$16:$S$39,[1]CRITERIOS!$Y$16:$Y$39))*$J297+$Z297)))</f>
        <v>#N/A</v>
      </c>
      <c r="AG297" s="39" t="e">
        <f>IF($R297="MTO","",
IF($H297=0,ROUNDUP(((_xlfn.XLOOKUP($A297,'[1]DATOS PBI Artículos'!$A:$A,'[1]DATOS PBI Artículos'!$AM:$AM))/(_xlfn.XLOOKUP($AH$1,[1]CRITERIOS!$S$16:$S$39,[1]CRITERIOS!$Y$16:$Y$39))*$J297+$Z297)/$G297,0)*$G297,
((_xlfn.XLOOKUP($A297,'[1]DATOS PBI Artículos'!$A:$A,'[1]DATOS PBI Artículos'!$AM:$AM))/(_xlfn.XLOOKUP($AH$1,[1]CRITERIOS!$S$16:$S$39,[1]CRITERIOS!$Y$16:$Y$39))*$J297+$Z297)))</f>
        <v>#N/A</v>
      </c>
      <c r="AI297" s="39" t="e">
        <f>IF($R297="MTO","",
IF($H297=0,ROUNDUP(((_xlfn.XLOOKUP($A297,'[1]DATOS PBI Artículos'!$A:$A,'[1]DATOS PBI Artículos'!$AN:$AN))/(_xlfn.XLOOKUP($AJ$1,[1]CRITERIOS!$S$16:$S$39,[1]CRITERIOS!$Y$16:$Y$39))*$J297+$Z297)/$G297,0)*$G297,
((_xlfn.XLOOKUP($A297,'[1]DATOS PBI Artículos'!$A:$A,'[1]DATOS PBI Artículos'!$AN:$AN))/(_xlfn.XLOOKUP($AJ$1,[1]CRITERIOS!$S$16:$S$39,[1]CRITERIOS!$Y$16:$Y$39))*$J297+$Z297)))</f>
        <v>#N/A</v>
      </c>
      <c r="AK297" s="39" t="e">
        <f>IF($R297="MTO","",
IF($H297=0,ROUNDUP(((_xlfn.XLOOKUP($A297,'[1]DATOS PBI Artículos'!$A:$A,'[1]DATOS PBI Artículos'!$AO:$AO))/(_xlfn.XLOOKUP($AL$1,[1]CRITERIOS!$S$16:$S$39,[1]CRITERIOS!$Y$16:$Y$39))*$J297+$Z297)/$G297,0)*$G297,
((_xlfn.XLOOKUP($A297,'[1]DATOS PBI Artículos'!$A:$A,'[1]DATOS PBI Artículos'!$AO:$AO))/(_xlfn.XLOOKUP($AL$1,[1]CRITERIOS!$S$16:$S$39,[1]CRITERIOS!$Y$16:$Y$39))*$J297+$Z297)))</f>
        <v>#N/A</v>
      </c>
    </row>
    <row r="298" spans="1:37" ht="25.8" hidden="1" x14ac:dyDescent="0.4">
      <c r="A298" s="41"/>
      <c r="B298" s="33">
        <f>_xlfn.XLOOKUP($A298,'[1]DATOS PBI Artículos'!A:A,'[1]DATOS PBI Artículos'!B:B)</f>
        <v>0</v>
      </c>
      <c r="C298" s="33">
        <f>_xlfn.XLOOKUP($A298,'[1]DATOS PBI Artículos'!A:A,'[1]DATOS PBI Artículos'!C:C)</f>
        <v>0</v>
      </c>
      <c r="D298" s="33">
        <f>_xlfn.XLOOKUP(A298,'[1]DATOS PBI Artículos'!A:A,'[1]DATOS PBI Artículos'!T:T)</f>
        <v>0</v>
      </c>
      <c r="E298" s="34">
        <f>IF(_xlfn.XLOOKUP($A298,'[1]DATOS PBI Artículos'!A:A,'[1]DATOS PBI Artículos'!AK:AK)="",_xlfn.XLOOKUP($A298,'[1]DATOS PBI Artículos'!A:A,'[1]DATOS PBI Artículos'!AJ:AJ),_xlfn.XLOOKUP($A298,'[1]DATOS PBI Artículos'!A:A,'[1]DATOS PBI Artículos'!AK:AK))</f>
        <v>0</v>
      </c>
      <c r="F298" s="35">
        <f>_xlfn.XLOOKUP($A298,'[1]DATOS PBI Artículos'!A:A,'[1]DATOS PBI Artículos'!AP:AP)</f>
        <v>0</v>
      </c>
      <c r="G298" s="34">
        <f>_xlfn.XLOOKUP($A298,'[1]DATOS PBI Artículos'!A:A,'[1]DATOS PBI Artículos'!AR:AR)</f>
        <v>0</v>
      </c>
      <c r="H298" s="34">
        <f>_xlfn.XLOOKUP($A298,'[1]DATOS PBI Artículos'!A:A,'[1]DATOS PBI Artículos'!AT:AT)</f>
        <v>0</v>
      </c>
      <c r="I298" s="34">
        <f>_xlfn.XLOOKUP($A298,'[1]DATOS PBI Artículos'!A:A,'[1]DATOS PBI Artículos'!AS:AS)</f>
        <v>0</v>
      </c>
      <c r="J298" s="35">
        <f>IF(COUNTIF([1]CRITERIOS!$F$179:$F$199,$A298)&gt;=1,
 IF(O298&lt;&gt;"",
    (O298/_xlfn.XLOOKUP(CONCATENATE(A298,L298),[1]MÁQUINAS!A:A,[1]MÁQUINAS!D:D))/24,
    (N298/_xlfn.XLOOKUP(CONCATENATE(A298,L298),[1]MÁQUINAS!A:A,[1]MÁQUINAS!D:D))/24),
  _xlfn.XLOOKUP($A298,'[1]DATOS PBI Artículos'!A:A,'[1]DATOS PBI Artículos'!AU:AU))</f>
        <v>0</v>
      </c>
      <c r="K298" s="36">
        <f>_xlfn.XLOOKUP($A298,'[1]DATOS PBI Artículos'!A:A,'[1]DATOS PBI Artículos'!AV:AV)</f>
        <v>0</v>
      </c>
      <c r="L298" s="33">
        <f>_xlfn.XLOOKUP(A298,[1]MÁQUINAS!B:B,[1]MÁQUINAS!C:C)</f>
        <v>0</v>
      </c>
      <c r="M298" s="34">
        <f t="array" ref="M298">_xlfn.XLOOKUP(A298,'[1]DATOS PBI Artículos'!A:A,'[1]DATOS PBI Artículos'!AX:$AX)</f>
        <v>0</v>
      </c>
      <c r="N298" s="37" t="e">
        <f>IF(I298="DV",
E298,
IF(COUNTIF([1]CRITERIOS!$I$179:$I$199,$A298)&gt;=1,
_xlfn.XLOOKUP($A298,[1]CRITERIOS!$I$179:$I$199,[1]CRITERIOS!$J$179:$J$199),
IF(COUNTIF([1]CRITERIOS!$L$179:$L$199,$A298)&gt;=1,
_xlfn.CEILING.MATH(IF($M298&gt;$E298,
$E298,
IF($M298&lt;$E298/ROUNDDOWN([1]CRITERIOS!$M$16/_xlfn.XLOOKUP($C298,[1]CRITERIOS!$K$25:$K$42,[1]CRITERIOS!$M$25:$M$42),
1),
E298/ROUNDDOWN([1]CRITERIOS!$M$16/_xlfn.XLOOKUP($C298,[1]CRITERIOS!$K$25:$K$42,[1]CRITERIOS!$M$25:$M$42),
1),
$M298)),
_xlfn.XLOOKUP($A298,[1]CRITERIOS!$L$179:$L$200,[1]CRITERIOS!$M$179:$M$200)),
_xlfn.CEILING.MATH(IF($M298&gt;$E298,
$E298,
IF($M298&lt;$E298/ROUNDDOWN([1]CRITERIOS!$M$16/_xlfn.XLOOKUP($C298,[1]CRITERIOS!$K$25:$K$42,[1]CRITERIOS!$M$25:$M$42),
1),
E298/ROUNDDOWN([1]CRITERIOS!$M$16/_xlfn.XLOOKUP($C298,[1]CRITERIOS!$K$25:$K$42,[1]CRITERIOS!$M$25:$M$42),
1),
$M298)),_xlfn.XLOOKUP(A298,'[1]DATOS PBI Artículos'!A:A,'[1]DATOS PBI Artículos'!Z:Z
)))))</f>
        <v>#N/A</v>
      </c>
      <c r="Q298" s="38" t="e">
        <f>IF(AND(O298="",N298=0),
0,
   IF(COUNTIF([1]CRITERIOS!$F$179:$F$199,$A298)&gt;=1,
   1,
   IF(R298="MTO",
      $D298,
      ROUNDUP(
                    IF(($E298-SUMIF('[1]DATOS PBI Artículos'!A:A,A298,'[1]DATOS PBI Artículos'!X:X)+($V298-_xlfn.XLOOKUP(A298,'[1]DATOS PBI Artículos'!A:A,'[1]DATOS PBI Artículos'!W:W)))&lt;0,
                    0,
                    IF(($E298-SUMIF('[1]DATOS PBI Artículos'!A:A,A298,'[1]DATOS PBI Artículos'!X:X)+$V298-_xlfn.XLOOKUP($A298,'[1]DATOS PBI Artículos'!A:A,'[1]DATOS PBI Artículos'!W:W))/IF($O298="",$N298,$O298)&gt;ROUNDUP([1]CRITERIOS!$M$16/(IF(COUNTIF([1]CRITERIOS!$BG$11:$BG$201,L298)&gt;=1,_xlfn.XLOOKUP($C298,[1]CRITERIOS!$K$25:$K$42,[1]CRITERIOS!$M$25:$M$42),_xlfn.XLOOKUP($C298,[1]CRITERIOS!$K$25:$K$42,[1]CRITERIOS!$M$25:$M$42))),0),
                    ROUNDUP([1]CRITERIOS!$M$16/(IF(COUNTIF([1]CRITERIOS!$BG$11:$BG$201,$L298)&gt;=1,_xlfn.XLOOKUP($C298,[1]CRITERIOS!$K$25:$K$42,[1]CRITERIOS!$M$25:$M$42),_xlfn.XLOOKUP($C298,[1]CRITERIOS!$K$25:$K$42,[1]CRITERIOS!$M$25:$M$42))),0),
                    (E298+V298-SUMIF('[1]DATOS PBI Artículos'!A:A,A298,'[1]DATOS PBI Artículos'!X:X)-_xlfn.XLOOKUP(A298,'[1]DATOS PBI Artículos'!A:A,'[1]DATOS PBI Artículos'!W:W))/IF($O298="",$N298,$O298))),0))))</f>
        <v>#N/A</v>
      </c>
      <c r="R298" s="33" t="e">
        <f>IF(U298&lt;&gt;"",U298,IF(F298="DV","MTO",IF(N298=0,"MTO",_xlfn.XLOOKUP(CONCATENATE(S298,T298),[1]CRITERIOS!$K$160:$K$168,[1]CRITERIOS!$N$160:$N$168))))</f>
        <v>#N/A</v>
      </c>
      <c r="S298" s="33" t="e">
        <f>IF(G298="DV","MTO",IF(N298=0,"MTO",IF(OR(AND(N298=0,O298=""),IF(O298="",G298/N298,G298/O298)&gt;[1]CRITERIOS!$G$163),"MTO",IF(IF(O298="",G298/N298,G298/O298)&lt;[1]CRITERIOS!$H$161,"MTS","MTOS"))))</f>
        <v>#N/A</v>
      </c>
      <c r="T298" s="33" t="e">
        <f>IF(F298="DV","MTO",IF(OR(AND($N298=0,O298=""),$F298/$J298&gt;[1]CRITERIOS!$G$170,$F298="DV"),"MTO",IF($F298/$J298&lt;[1]CRITERIOS!$H$168,"MTS","MTOS")))</f>
        <v>#N/A</v>
      </c>
      <c r="V298" s="34" t="e">
        <f t="shared" si="16"/>
        <v>#N/A</v>
      </c>
      <c r="X298" s="34" t="e">
        <f t="shared" si="14"/>
        <v>#N/A</v>
      </c>
      <c r="Y298" s="34" t="e">
        <f t="shared" si="15"/>
        <v>#N/A</v>
      </c>
      <c r="Z298" s="34" t="e">
        <f>IF($R298="MTO",
0,
($H298+$K298*($E298/[1]CRITERIOS!$M$16))/[1]CRITERIOS!$X$48)</f>
        <v>#N/A</v>
      </c>
      <c r="AA298" s="34" t="e">
        <f>ROUNDUP(($Y298/_xlfn.XLOOKUP($A298,'[1]DATOS PBI Artículos'!$A$4:$A$4,'[1]DATOS PBI Artículos'!$Z$4:$Z$4))/_xlfn.XLOOKUP(_xlfn.XLOOKUP($A298,'[1]DATOS PBI Artículos'!$A$4:$A$4,'[1]DATOS PBI Artículos'!$Y$4:$Y$4),[1]CRITERIOS!$P$79:$P$123,[1]CRITERIOS!$S$79:$S$123,),0)</f>
        <v>#N/A</v>
      </c>
      <c r="AB298" s="33" t="e">
        <f t="array" ref="AB298">IF((E298+V298-_xlfn.XLOOKUP(A298,'[1]DATOS PBI Artículos'!$A$4:$A$4,'[1]DATOS PBI Artículos'!$W$4:$W$4))/N298&gt;ROUNDUP([1]CRITERIOS!$M$16/(IF(COUNTIF([1]CRITERIOS!$BG$11:$BG$201,L298)&gt;=1,_xlfn.XLOOKUP(ARTÍCULOS!L298,[1]CRITERIOS!$BG$11:$BG$201,[1]CRITERIOS!$BJ$11:$BJ$201),_xlfn.XLOOKUP(ARTÍCULOS!C298,[1]CRITERIOS!$K$25:$K$42,[1]CRITERIOS!$M$25:$M$42))),0),ROUNDUP([1]CRITERIOS!$M$16/(IF(COUNTIF([1]CRITERIOS!$BG$11:$BG$201,L298)&gt;=1,_xlfn.XLOOKUP(ARTÍCULOS!L298,[1]CRITERIOS!$BG$11:$BG$201:#REF!,[1]CRITERIOS!$BJ$11:$BJ$201),_xlfn.XLOOKUP(ARTÍCULOS!C298,[1]CRITERIOS!$K$25:$K$42,[1]CRITERIOS!$M$25:$M$42))),0),(E298+V298-_xlfn.XLOOKUP(A298,'[1]DATOS PBI Artículos'!$A$4:$A$4,'[1]DATOS PBI Artículos'!$W$4:$W$4))/N298)</f>
        <v>#N/A</v>
      </c>
      <c r="AC298" s="33" t="e">
        <f>IF(N298=0,"",(ROUNDUP((N298/2)/(_xlfn.XLOOKUP(A298,'[1]DATOS PBI Artículos'!$A$4:$A$4,'[1]DATOS PBI Artículos'!$Z$4:$Z$4)*_xlfn.XLOOKUP(_xlfn.XLOOKUP(A298,'[1]DATOS PBI Artículos'!$A$4:$A$4,'[1]DATOS PBI Artículos'!$Y$4:$Y$4),[1]CRITERIOS!$P$79:$P$123,[1]CRITERIOS!$S$79:$S$123)),0)*[1]CRITERIOS!$M$80*([1]CRITERIOS!$M$110/[1]CRITERIOS!$M$86)+(_xlfn.XLOOKUP(A298,'[1]DATOS PBI Artículos'!$A$4:$A$4,'[1]DATOS PBI Artículos'!$AA$4:$AA$4)*([1]CRITERIOS!$M$95+[1]CRITERIOS!$M$98)))/N298)</f>
        <v>#N/A</v>
      </c>
      <c r="AD298" s="33" t="e">
        <f>IF(N298=0,"",(ROUNDUP((N298/2)/(_xlfn.XLOOKUP(A298,'[1]DATOS PBI Artículos'!$A$4:$A$4,'[1]DATOS PBI Artículos'!$Z$4:$Z$4)*_xlfn.XLOOKUP(_xlfn.XLOOKUP(A298,'[1]DATOS PBI Artículos'!$A$4:$A$4,'[1]DATOS PBI Artículos'!$Y$4:$Y$4),[1]CRITERIOS!$P$79:$P$123,[1]CRITERIOS!$S$79:$S$123)),0)*[1]CRITERIOS!$M$80*([1]CRITERIOS!$M$89*[1]CRITERIOS!$M$92)+((_xlfn.XLOOKUP(A298,'[1]DATOS PBI Artículos'!$A$4:$A$4,'[1]DATOS PBI Artículos'!$AA$4:$AA$4)/2)*([1]CRITERIOS!$M$95+[1]CRITERIOS!$M$98)))/N298)</f>
        <v>#N/A</v>
      </c>
      <c r="AE298" s="39" t="e">
        <f>IF($R298="MTO","",
IF($H298=0,ROUNDUP(((_xlfn.XLOOKUP($A298,'[1]DATOS PBI Artículos'!$A:$A,'[1]DATOS PBI Artículos'!$AL:$AL))/(_xlfn.XLOOKUP($AF$1,[1]CRITERIOS!$S$16:$S$39,[1]CRITERIOS!$Y$16:$Y$39))*$J298+$Z298)/$G298,0)*$G298,
((_xlfn.XLOOKUP($A298,'[1]DATOS PBI Artículos'!$A:$A,'[1]DATOS PBI Artículos'!$AL:$AL))/(_xlfn.XLOOKUP($AF$1,[1]CRITERIOS!$S$16:$S$39,[1]CRITERIOS!$Y$16:$Y$39))*$J298+$Z298)))</f>
        <v>#N/A</v>
      </c>
      <c r="AG298" s="39" t="e">
        <f>IF($R298="MTO","",
IF($H298=0,ROUNDUP(((_xlfn.XLOOKUP($A298,'[1]DATOS PBI Artículos'!$A:$A,'[1]DATOS PBI Artículos'!$AM:$AM))/(_xlfn.XLOOKUP($AH$1,[1]CRITERIOS!$S$16:$S$39,[1]CRITERIOS!$Y$16:$Y$39))*$J298+$Z298)/$G298,0)*$G298,
((_xlfn.XLOOKUP($A298,'[1]DATOS PBI Artículos'!$A:$A,'[1]DATOS PBI Artículos'!$AM:$AM))/(_xlfn.XLOOKUP($AH$1,[1]CRITERIOS!$S$16:$S$39,[1]CRITERIOS!$Y$16:$Y$39))*$J298+$Z298)))</f>
        <v>#N/A</v>
      </c>
      <c r="AI298" s="39" t="e">
        <f>IF($R298="MTO","",
IF($H298=0,ROUNDUP(((_xlfn.XLOOKUP($A298,'[1]DATOS PBI Artículos'!$A:$A,'[1]DATOS PBI Artículos'!$AN:$AN))/(_xlfn.XLOOKUP($AJ$1,[1]CRITERIOS!$S$16:$S$39,[1]CRITERIOS!$Y$16:$Y$39))*$J298+$Z298)/$G298,0)*$G298,
((_xlfn.XLOOKUP($A298,'[1]DATOS PBI Artículos'!$A:$A,'[1]DATOS PBI Artículos'!$AN:$AN))/(_xlfn.XLOOKUP($AJ$1,[1]CRITERIOS!$S$16:$S$39,[1]CRITERIOS!$Y$16:$Y$39))*$J298+$Z298)))</f>
        <v>#N/A</v>
      </c>
      <c r="AK298" s="39" t="e">
        <f>IF($R298="MTO","",
IF($H298=0,ROUNDUP(((_xlfn.XLOOKUP($A298,'[1]DATOS PBI Artículos'!$A:$A,'[1]DATOS PBI Artículos'!$AO:$AO))/(_xlfn.XLOOKUP($AL$1,[1]CRITERIOS!$S$16:$S$39,[1]CRITERIOS!$Y$16:$Y$39))*$J298+$Z298)/$G298,0)*$G298,
((_xlfn.XLOOKUP($A298,'[1]DATOS PBI Artículos'!$A:$A,'[1]DATOS PBI Artículos'!$AO:$AO))/(_xlfn.XLOOKUP($AL$1,[1]CRITERIOS!$S$16:$S$39,[1]CRITERIOS!$Y$16:$Y$39))*$J298+$Z298)))</f>
        <v>#N/A</v>
      </c>
    </row>
    <row r="299" spans="1:37" ht="25.8" hidden="1" x14ac:dyDescent="0.4">
      <c r="A299" s="41"/>
      <c r="B299" s="33">
        <f>_xlfn.XLOOKUP($A299,'[1]DATOS PBI Artículos'!A:A,'[1]DATOS PBI Artículos'!B:B)</f>
        <v>0</v>
      </c>
      <c r="C299" s="33">
        <f>_xlfn.XLOOKUP($A299,'[1]DATOS PBI Artículos'!A:A,'[1]DATOS PBI Artículos'!C:C)</f>
        <v>0</v>
      </c>
      <c r="D299" s="33">
        <f>_xlfn.XLOOKUP(A299,'[1]DATOS PBI Artículos'!A:A,'[1]DATOS PBI Artículos'!T:T)</f>
        <v>0</v>
      </c>
      <c r="E299" s="34">
        <f>IF(_xlfn.XLOOKUP($A299,'[1]DATOS PBI Artículos'!A:A,'[1]DATOS PBI Artículos'!AK:AK)="",_xlfn.XLOOKUP($A299,'[1]DATOS PBI Artículos'!A:A,'[1]DATOS PBI Artículos'!AJ:AJ),_xlfn.XLOOKUP($A299,'[1]DATOS PBI Artículos'!A:A,'[1]DATOS PBI Artículos'!AK:AK))</f>
        <v>0</v>
      </c>
      <c r="F299" s="35">
        <f>_xlfn.XLOOKUP($A299,'[1]DATOS PBI Artículos'!A:A,'[1]DATOS PBI Artículos'!AP:AP)</f>
        <v>0</v>
      </c>
      <c r="G299" s="34">
        <f>_xlfn.XLOOKUP($A299,'[1]DATOS PBI Artículos'!A:A,'[1]DATOS PBI Artículos'!AR:AR)</f>
        <v>0</v>
      </c>
      <c r="H299" s="34">
        <f>_xlfn.XLOOKUP($A299,'[1]DATOS PBI Artículos'!A:A,'[1]DATOS PBI Artículos'!AT:AT)</f>
        <v>0</v>
      </c>
      <c r="I299" s="34">
        <f>_xlfn.XLOOKUP($A299,'[1]DATOS PBI Artículos'!A:A,'[1]DATOS PBI Artículos'!AS:AS)</f>
        <v>0</v>
      </c>
      <c r="J299" s="35">
        <f>IF(COUNTIF([1]CRITERIOS!$F$179:$F$199,$A299)&gt;=1,
 IF(O299&lt;&gt;"",
    (O299/_xlfn.XLOOKUP(CONCATENATE(A299,L299),[1]MÁQUINAS!A:A,[1]MÁQUINAS!D:D))/24,
    (N299/_xlfn.XLOOKUP(CONCATENATE(A299,L299),[1]MÁQUINAS!A:A,[1]MÁQUINAS!D:D))/24),
  _xlfn.XLOOKUP($A299,'[1]DATOS PBI Artículos'!A:A,'[1]DATOS PBI Artículos'!AU:AU))</f>
        <v>0</v>
      </c>
      <c r="K299" s="36">
        <f>_xlfn.XLOOKUP($A299,'[1]DATOS PBI Artículos'!A:A,'[1]DATOS PBI Artículos'!AV:AV)</f>
        <v>0</v>
      </c>
      <c r="L299" s="33">
        <f>_xlfn.XLOOKUP(A299,[1]MÁQUINAS!B:B,[1]MÁQUINAS!C:C)</f>
        <v>0</v>
      </c>
      <c r="M299" s="34">
        <f t="array" ref="M299">_xlfn.XLOOKUP(A299,'[1]DATOS PBI Artículos'!A:A,'[1]DATOS PBI Artículos'!AX:$AX)</f>
        <v>0</v>
      </c>
      <c r="N299" s="37" t="e">
        <f>IF(I299="DV",
E299,
IF(COUNTIF([1]CRITERIOS!$I$179:$I$199,$A299)&gt;=1,
_xlfn.XLOOKUP($A299,[1]CRITERIOS!$I$179:$I$199,[1]CRITERIOS!$J$179:$J$199),
IF(COUNTIF([1]CRITERIOS!$L$179:$L$199,$A299)&gt;=1,
_xlfn.CEILING.MATH(IF($M299&gt;$E299,
$E299,
IF($M299&lt;$E299/ROUNDDOWN([1]CRITERIOS!$M$16/_xlfn.XLOOKUP($C299,[1]CRITERIOS!$K$25:$K$42,[1]CRITERIOS!$M$25:$M$42),
1),
E299/ROUNDDOWN([1]CRITERIOS!$M$16/_xlfn.XLOOKUP($C299,[1]CRITERIOS!$K$25:$K$42,[1]CRITERIOS!$M$25:$M$42),
1),
$M299)),
_xlfn.XLOOKUP($A299,[1]CRITERIOS!$L$179:$L$200,[1]CRITERIOS!$M$179:$M$200)),
_xlfn.CEILING.MATH(IF($M299&gt;$E299,
$E299,
IF($M299&lt;$E299/ROUNDDOWN([1]CRITERIOS!$M$16/_xlfn.XLOOKUP($C299,[1]CRITERIOS!$K$25:$K$42,[1]CRITERIOS!$M$25:$M$42),
1),
E299/ROUNDDOWN([1]CRITERIOS!$M$16/_xlfn.XLOOKUP($C299,[1]CRITERIOS!$K$25:$K$42,[1]CRITERIOS!$M$25:$M$42),
1),
$M299)),_xlfn.XLOOKUP(A299,'[1]DATOS PBI Artículos'!A:A,'[1]DATOS PBI Artículos'!Z:Z
)))))</f>
        <v>#N/A</v>
      </c>
      <c r="Q299" s="38" t="e">
        <f>IF(AND(O299="",N299=0),
0,
   IF(COUNTIF([1]CRITERIOS!$F$179:$F$199,$A299)&gt;=1,
   1,
   IF(R299="MTO",
      $D299,
      ROUNDUP(
                    IF(($E299-SUMIF('[1]DATOS PBI Artículos'!A:A,A299,'[1]DATOS PBI Artículos'!X:X)+($V299-_xlfn.XLOOKUP(A299,'[1]DATOS PBI Artículos'!A:A,'[1]DATOS PBI Artículos'!W:W)))&lt;0,
                    0,
                    IF(($E299-SUMIF('[1]DATOS PBI Artículos'!A:A,A299,'[1]DATOS PBI Artículos'!X:X)+$V299-_xlfn.XLOOKUP($A299,'[1]DATOS PBI Artículos'!A:A,'[1]DATOS PBI Artículos'!W:W))/IF($O299="",$N299,$O299)&gt;ROUNDUP([1]CRITERIOS!$M$16/(IF(COUNTIF([1]CRITERIOS!$BG$11:$BG$201,L299)&gt;=1,_xlfn.XLOOKUP($C299,[1]CRITERIOS!$K$25:$K$42,[1]CRITERIOS!$M$25:$M$42),_xlfn.XLOOKUP($C299,[1]CRITERIOS!$K$25:$K$42,[1]CRITERIOS!$M$25:$M$42))),0),
                    ROUNDUP([1]CRITERIOS!$M$16/(IF(COUNTIF([1]CRITERIOS!$BG$11:$BG$201,$L299)&gt;=1,_xlfn.XLOOKUP($C299,[1]CRITERIOS!$K$25:$K$42,[1]CRITERIOS!$M$25:$M$42),_xlfn.XLOOKUP($C299,[1]CRITERIOS!$K$25:$K$42,[1]CRITERIOS!$M$25:$M$42))),0),
                    (E299+V299-SUMIF('[1]DATOS PBI Artículos'!A:A,A299,'[1]DATOS PBI Artículos'!X:X)-_xlfn.XLOOKUP(A299,'[1]DATOS PBI Artículos'!A:A,'[1]DATOS PBI Artículos'!W:W))/IF($O299="",$N299,$O299))),0))))</f>
        <v>#N/A</v>
      </c>
      <c r="R299" s="33" t="e">
        <f>IF(U299&lt;&gt;"",U299,IF(F299="DV","MTO",IF(N299=0,"MTO",_xlfn.XLOOKUP(CONCATENATE(S299,T299),[1]CRITERIOS!$K$160:$K$168,[1]CRITERIOS!$N$160:$N$168))))</f>
        <v>#N/A</v>
      </c>
      <c r="S299" s="33" t="e">
        <f>IF(G299="DV","MTO",IF(N299=0,"MTO",IF(OR(AND(N299=0,O299=""),IF(O299="",G299/N299,G299/O299)&gt;[1]CRITERIOS!$G$163),"MTO",IF(IF(O299="",G299/N299,G299/O299)&lt;[1]CRITERIOS!$H$161,"MTS","MTOS"))))</f>
        <v>#N/A</v>
      </c>
      <c r="T299" s="33" t="e">
        <f>IF(F299="DV","MTO",IF(OR(AND($N299=0,O299=""),$F299/$J299&gt;[1]CRITERIOS!$G$170,$F299="DV"),"MTO",IF($F299/$J299&lt;[1]CRITERIOS!$H$168,"MTS","MTOS")))</f>
        <v>#N/A</v>
      </c>
      <c r="V299" s="34" t="e">
        <f t="shared" si="16"/>
        <v>#N/A</v>
      </c>
      <c r="X299" s="34" t="e">
        <f t="shared" si="14"/>
        <v>#N/A</v>
      </c>
      <c r="Y299" s="34" t="e">
        <f t="shared" si="15"/>
        <v>#N/A</v>
      </c>
      <c r="Z299" s="34" t="e">
        <f>IF($R299="MTO",
0,
($H299+$K299*($E299/[1]CRITERIOS!$M$16))/[1]CRITERIOS!$X$48)</f>
        <v>#N/A</v>
      </c>
      <c r="AA299" s="34" t="e">
        <f>ROUNDUP(($Y299/_xlfn.XLOOKUP($A299,'[1]DATOS PBI Artículos'!$A$4:$A$4,'[1]DATOS PBI Artículos'!$Z$4:$Z$4))/_xlfn.XLOOKUP(_xlfn.XLOOKUP($A299,'[1]DATOS PBI Artículos'!$A$4:$A$4,'[1]DATOS PBI Artículos'!$Y$4:$Y$4),[1]CRITERIOS!$P$79:$P$123,[1]CRITERIOS!$S$79:$S$123,),0)</f>
        <v>#N/A</v>
      </c>
      <c r="AB299" s="33" t="e">
        <f t="array" ref="AB299">IF((E299+V299-_xlfn.XLOOKUP(A299,'[1]DATOS PBI Artículos'!$A$4:$A$4,'[1]DATOS PBI Artículos'!$W$4:$W$4))/N299&gt;ROUNDUP([1]CRITERIOS!$M$16/(IF(COUNTIF([1]CRITERIOS!$BG$11:$BG$201,L299)&gt;=1,_xlfn.XLOOKUP(ARTÍCULOS!L299,[1]CRITERIOS!$BG$11:$BG$201,[1]CRITERIOS!$BJ$11:$BJ$201),_xlfn.XLOOKUP(ARTÍCULOS!C299,[1]CRITERIOS!$K$25:$K$42,[1]CRITERIOS!$M$25:$M$42))),0),ROUNDUP([1]CRITERIOS!$M$16/(IF(COUNTIF([1]CRITERIOS!$BG$11:$BG$201,L299)&gt;=1,_xlfn.XLOOKUP(ARTÍCULOS!L299,[1]CRITERIOS!$BG$11:$BG$201:#REF!,[1]CRITERIOS!$BJ$11:$BJ$201),_xlfn.XLOOKUP(ARTÍCULOS!C299,[1]CRITERIOS!$K$25:$K$42,[1]CRITERIOS!$M$25:$M$42))),0),(E299+V299-_xlfn.XLOOKUP(A299,'[1]DATOS PBI Artículos'!$A$4:$A$4,'[1]DATOS PBI Artículos'!$W$4:$W$4))/N299)</f>
        <v>#N/A</v>
      </c>
      <c r="AC299" s="33" t="e">
        <f>IF(N299=0,"",(ROUNDUP((N299/2)/(_xlfn.XLOOKUP(A299,'[1]DATOS PBI Artículos'!$A$4:$A$4,'[1]DATOS PBI Artículos'!$Z$4:$Z$4)*_xlfn.XLOOKUP(_xlfn.XLOOKUP(A299,'[1]DATOS PBI Artículos'!$A$4:$A$4,'[1]DATOS PBI Artículos'!$Y$4:$Y$4),[1]CRITERIOS!$P$79:$P$123,[1]CRITERIOS!$S$79:$S$123)),0)*[1]CRITERIOS!$M$80*([1]CRITERIOS!$M$110/[1]CRITERIOS!$M$86)+(_xlfn.XLOOKUP(A299,'[1]DATOS PBI Artículos'!$A$4:$A$4,'[1]DATOS PBI Artículos'!$AA$4:$AA$4)*([1]CRITERIOS!$M$95+[1]CRITERIOS!$M$98)))/N299)</f>
        <v>#N/A</v>
      </c>
      <c r="AD299" s="33" t="e">
        <f>IF(N299=0,"",(ROUNDUP((N299/2)/(_xlfn.XLOOKUP(A299,'[1]DATOS PBI Artículos'!$A$4:$A$4,'[1]DATOS PBI Artículos'!$Z$4:$Z$4)*_xlfn.XLOOKUP(_xlfn.XLOOKUP(A299,'[1]DATOS PBI Artículos'!$A$4:$A$4,'[1]DATOS PBI Artículos'!$Y$4:$Y$4),[1]CRITERIOS!$P$79:$P$123,[1]CRITERIOS!$S$79:$S$123)),0)*[1]CRITERIOS!$M$80*([1]CRITERIOS!$M$89*[1]CRITERIOS!$M$92)+((_xlfn.XLOOKUP(A299,'[1]DATOS PBI Artículos'!$A$4:$A$4,'[1]DATOS PBI Artículos'!$AA$4:$AA$4)/2)*([1]CRITERIOS!$M$95+[1]CRITERIOS!$M$98)))/N299)</f>
        <v>#N/A</v>
      </c>
      <c r="AE299" s="39" t="e">
        <f>IF($R299="MTO","",
IF($H299=0,ROUNDUP(((_xlfn.XLOOKUP($A299,'[1]DATOS PBI Artículos'!$A:$A,'[1]DATOS PBI Artículos'!$AL:$AL))/(_xlfn.XLOOKUP($AF$1,[1]CRITERIOS!$S$16:$S$39,[1]CRITERIOS!$Y$16:$Y$39))*$J299+$Z299)/$G299,0)*$G299,
((_xlfn.XLOOKUP($A299,'[1]DATOS PBI Artículos'!$A:$A,'[1]DATOS PBI Artículos'!$AL:$AL))/(_xlfn.XLOOKUP($AF$1,[1]CRITERIOS!$S$16:$S$39,[1]CRITERIOS!$Y$16:$Y$39))*$J299+$Z299)))</f>
        <v>#N/A</v>
      </c>
      <c r="AG299" s="39" t="e">
        <f>IF($R299="MTO","",
IF($H299=0,ROUNDUP(((_xlfn.XLOOKUP($A299,'[1]DATOS PBI Artículos'!$A:$A,'[1]DATOS PBI Artículos'!$AM:$AM))/(_xlfn.XLOOKUP($AH$1,[1]CRITERIOS!$S$16:$S$39,[1]CRITERIOS!$Y$16:$Y$39))*$J299+$Z299)/$G299,0)*$G299,
((_xlfn.XLOOKUP($A299,'[1]DATOS PBI Artículos'!$A:$A,'[1]DATOS PBI Artículos'!$AM:$AM))/(_xlfn.XLOOKUP($AH$1,[1]CRITERIOS!$S$16:$S$39,[1]CRITERIOS!$Y$16:$Y$39))*$J299+$Z299)))</f>
        <v>#N/A</v>
      </c>
      <c r="AI299" s="39" t="e">
        <f>IF($R299="MTO","",
IF($H299=0,ROUNDUP(((_xlfn.XLOOKUP($A299,'[1]DATOS PBI Artículos'!$A:$A,'[1]DATOS PBI Artículos'!$AN:$AN))/(_xlfn.XLOOKUP($AJ$1,[1]CRITERIOS!$S$16:$S$39,[1]CRITERIOS!$Y$16:$Y$39))*$J299+$Z299)/$G299,0)*$G299,
((_xlfn.XLOOKUP($A299,'[1]DATOS PBI Artículos'!$A:$A,'[1]DATOS PBI Artículos'!$AN:$AN))/(_xlfn.XLOOKUP($AJ$1,[1]CRITERIOS!$S$16:$S$39,[1]CRITERIOS!$Y$16:$Y$39))*$J299+$Z299)))</f>
        <v>#N/A</v>
      </c>
      <c r="AK299" s="39" t="e">
        <f>IF($R299="MTO","",
IF($H299=0,ROUNDUP(((_xlfn.XLOOKUP($A299,'[1]DATOS PBI Artículos'!$A:$A,'[1]DATOS PBI Artículos'!$AO:$AO))/(_xlfn.XLOOKUP($AL$1,[1]CRITERIOS!$S$16:$S$39,[1]CRITERIOS!$Y$16:$Y$39))*$J299+$Z299)/$G299,0)*$G299,
((_xlfn.XLOOKUP($A299,'[1]DATOS PBI Artículos'!$A:$A,'[1]DATOS PBI Artículos'!$AO:$AO))/(_xlfn.XLOOKUP($AL$1,[1]CRITERIOS!$S$16:$S$39,[1]CRITERIOS!$Y$16:$Y$39))*$J299+$Z299)))</f>
        <v>#N/A</v>
      </c>
    </row>
    <row r="300" spans="1:37" ht="25.8" hidden="1" x14ac:dyDescent="0.4">
      <c r="A300" s="41"/>
      <c r="B300" s="33">
        <f>_xlfn.XLOOKUP($A300,'[1]DATOS PBI Artículos'!A:A,'[1]DATOS PBI Artículos'!B:B)</f>
        <v>0</v>
      </c>
      <c r="C300" s="33">
        <f>_xlfn.XLOOKUP($A300,'[1]DATOS PBI Artículos'!A:A,'[1]DATOS PBI Artículos'!C:C)</f>
        <v>0</v>
      </c>
      <c r="D300" s="33">
        <f>_xlfn.XLOOKUP(A300,'[1]DATOS PBI Artículos'!A:A,'[1]DATOS PBI Artículos'!T:T)</f>
        <v>0</v>
      </c>
      <c r="E300" s="34">
        <f>IF(_xlfn.XLOOKUP($A300,'[1]DATOS PBI Artículos'!A:A,'[1]DATOS PBI Artículos'!AK:AK)="",_xlfn.XLOOKUP($A300,'[1]DATOS PBI Artículos'!A:A,'[1]DATOS PBI Artículos'!AJ:AJ),_xlfn.XLOOKUP($A300,'[1]DATOS PBI Artículos'!A:A,'[1]DATOS PBI Artículos'!AK:AK))</f>
        <v>0</v>
      </c>
      <c r="F300" s="35">
        <f>_xlfn.XLOOKUP($A300,'[1]DATOS PBI Artículos'!A:A,'[1]DATOS PBI Artículos'!AP:AP)</f>
        <v>0</v>
      </c>
      <c r="G300" s="34">
        <f>_xlfn.XLOOKUP($A300,'[1]DATOS PBI Artículos'!A:A,'[1]DATOS PBI Artículos'!AR:AR)</f>
        <v>0</v>
      </c>
      <c r="H300" s="34">
        <f>_xlfn.XLOOKUP($A300,'[1]DATOS PBI Artículos'!A:A,'[1]DATOS PBI Artículos'!AT:AT)</f>
        <v>0</v>
      </c>
      <c r="I300" s="34">
        <f>_xlfn.XLOOKUP($A300,'[1]DATOS PBI Artículos'!A:A,'[1]DATOS PBI Artículos'!AS:AS)</f>
        <v>0</v>
      </c>
      <c r="J300" s="35">
        <f>IF(COUNTIF([1]CRITERIOS!$F$179:$F$199,$A300)&gt;=1,
 IF(O300&lt;&gt;"",
    (O300/_xlfn.XLOOKUP(CONCATENATE(A300,L300),[1]MÁQUINAS!A:A,[1]MÁQUINAS!D:D))/24,
    (N300/_xlfn.XLOOKUP(CONCATENATE(A300,L300),[1]MÁQUINAS!A:A,[1]MÁQUINAS!D:D))/24),
  _xlfn.XLOOKUP($A300,'[1]DATOS PBI Artículos'!A:A,'[1]DATOS PBI Artículos'!AU:AU))</f>
        <v>0</v>
      </c>
      <c r="K300" s="36">
        <f>_xlfn.XLOOKUP($A300,'[1]DATOS PBI Artículos'!A:A,'[1]DATOS PBI Artículos'!AV:AV)</f>
        <v>0</v>
      </c>
      <c r="L300" s="33">
        <f>_xlfn.XLOOKUP(A300,[1]MÁQUINAS!B:B,[1]MÁQUINAS!C:C)</f>
        <v>0</v>
      </c>
      <c r="M300" s="34">
        <f t="array" ref="M300">_xlfn.XLOOKUP(A300,'[1]DATOS PBI Artículos'!A:A,'[1]DATOS PBI Artículos'!AX:$AX)</f>
        <v>0</v>
      </c>
      <c r="N300" s="37" t="e">
        <f>IF(I300="DV",
E300,
IF(COUNTIF([1]CRITERIOS!$I$179:$I$199,$A300)&gt;=1,
_xlfn.XLOOKUP($A300,[1]CRITERIOS!$I$179:$I$199,[1]CRITERIOS!$J$179:$J$199),
IF(COUNTIF([1]CRITERIOS!$L$179:$L$199,$A300)&gt;=1,
_xlfn.CEILING.MATH(IF($M300&gt;$E300,
$E300,
IF($M300&lt;$E300/ROUNDDOWN([1]CRITERIOS!$M$16/_xlfn.XLOOKUP($C300,[1]CRITERIOS!$K$25:$K$42,[1]CRITERIOS!$M$25:$M$42),
1),
E300/ROUNDDOWN([1]CRITERIOS!$M$16/_xlfn.XLOOKUP($C300,[1]CRITERIOS!$K$25:$K$42,[1]CRITERIOS!$M$25:$M$42),
1),
$M300)),
_xlfn.XLOOKUP($A300,[1]CRITERIOS!$L$179:$L$200,[1]CRITERIOS!$M$179:$M$200)),
_xlfn.CEILING.MATH(IF($M300&gt;$E300,
$E300,
IF($M300&lt;$E300/ROUNDDOWN([1]CRITERIOS!$M$16/_xlfn.XLOOKUP($C300,[1]CRITERIOS!$K$25:$K$42,[1]CRITERIOS!$M$25:$M$42),
1),
E300/ROUNDDOWN([1]CRITERIOS!$M$16/_xlfn.XLOOKUP($C300,[1]CRITERIOS!$K$25:$K$42,[1]CRITERIOS!$M$25:$M$42),
1),
$M300)),_xlfn.XLOOKUP(A300,'[1]DATOS PBI Artículos'!A:A,'[1]DATOS PBI Artículos'!Z:Z
)))))</f>
        <v>#N/A</v>
      </c>
      <c r="Q300" s="38" t="e">
        <f>IF(AND(O300="",N300=0),
0,
   IF(COUNTIF([1]CRITERIOS!$F$179:$F$199,$A300)&gt;=1,
   1,
   IF(R300="MTO",
      $D300,
      ROUNDUP(
                    IF(($E300-SUMIF('[1]DATOS PBI Artículos'!A:A,A300,'[1]DATOS PBI Artículos'!X:X)+($V300-_xlfn.XLOOKUP(A300,'[1]DATOS PBI Artículos'!A:A,'[1]DATOS PBI Artículos'!W:W)))&lt;0,
                    0,
                    IF(($E300-SUMIF('[1]DATOS PBI Artículos'!A:A,A300,'[1]DATOS PBI Artículos'!X:X)+$V300-_xlfn.XLOOKUP($A300,'[1]DATOS PBI Artículos'!A:A,'[1]DATOS PBI Artículos'!W:W))/IF($O300="",$N300,$O300)&gt;ROUNDUP([1]CRITERIOS!$M$16/(IF(COUNTIF([1]CRITERIOS!$BG$11:$BG$201,L300)&gt;=1,_xlfn.XLOOKUP($C300,[1]CRITERIOS!$K$25:$K$42,[1]CRITERIOS!$M$25:$M$42),_xlfn.XLOOKUP($C300,[1]CRITERIOS!$K$25:$K$42,[1]CRITERIOS!$M$25:$M$42))),0),
                    ROUNDUP([1]CRITERIOS!$M$16/(IF(COUNTIF([1]CRITERIOS!$BG$11:$BG$201,$L300)&gt;=1,_xlfn.XLOOKUP($C300,[1]CRITERIOS!$K$25:$K$42,[1]CRITERIOS!$M$25:$M$42),_xlfn.XLOOKUP($C300,[1]CRITERIOS!$K$25:$K$42,[1]CRITERIOS!$M$25:$M$42))),0),
                    (E300+V300-SUMIF('[1]DATOS PBI Artículos'!A:A,A300,'[1]DATOS PBI Artículos'!X:X)-_xlfn.XLOOKUP(A300,'[1]DATOS PBI Artículos'!A:A,'[1]DATOS PBI Artículos'!W:W))/IF($O300="",$N300,$O300))),0))))</f>
        <v>#N/A</v>
      </c>
      <c r="R300" s="33" t="e">
        <f>IF(U300&lt;&gt;"",U300,IF(F300="DV","MTO",IF(N300=0,"MTO",_xlfn.XLOOKUP(CONCATENATE(S300,T300),[1]CRITERIOS!$K$160:$K$168,[1]CRITERIOS!$N$160:$N$168))))</f>
        <v>#N/A</v>
      </c>
      <c r="S300" s="33" t="e">
        <f>IF(G300="DV","MTO",IF(N300=0,"MTO",IF(OR(AND(N300=0,O300=""),IF(O300="",G300/N300,G300/O300)&gt;[1]CRITERIOS!$G$163),"MTO",IF(IF(O300="",G300/N300,G300/O300)&lt;[1]CRITERIOS!$H$161,"MTS","MTOS"))))</f>
        <v>#N/A</v>
      </c>
      <c r="T300" s="33" t="e">
        <f>IF(F300="DV","MTO",IF(OR(AND($N300=0,O300=""),$F300/$J300&gt;[1]CRITERIOS!$G$170,$F300="DV"),"MTO",IF($F300/$J300&lt;[1]CRITERIOS!$H$168,"MTS","MTOS")))</f>
        <v>#N/A</v>
      </c>
      <c r="V300" s="34" t="e">
        <f t="shared" si="16"/>
        <v>#N/A</v>
      </c>
      <c r="X300" s="34" t="e">
        <f t="shared" si="14"/>
        <v>#N/A</v>
      </c>
      <c r="Y300" s="34" t="e">
        <f t="shared" si="15"/>
        <v>#N/A</v>
      </c>
      <c r="Z300" s="34" t="e">
        <f>IF($R300="MTO",
0,
($H300+$K300*($E300/[1]CRITERIOS!$M$16))/[1]CRITERIOS!$X$48)</f>
        <v>#N/A</v>
      </c>
      <c r="AA300" s="34" t="e">
        <f>ROUNDUP(($Y300/_xlfn.XLOOKUP($A300,'[1]DATOS PBI Artículos'!$A$4:$A$4,'[1]DATOS PBI Artículos'!$Z$4:$Z$4))/_xlfn.XLOOKUP(_xlfn.XLOOKUP($A300,'[1]DATOS PBI Artículos'!$A$4:$A$4,'[1]DATOS PBI Artículos'!$Y$4:$Y$4),[1]CRITERIOS!$P$79:$P$123,[1]CRITERIOS!$S$79:$S$123,),0)</f>
        <v>#N/A</v>
      </c>
      <c r="AB300" s="33" t="e">
        <f t="array" ref="AB300">IF((E300+V300-_xlfn.XLOOKUP(A300,'[1]DATOS PBI Artículos'!$A$4:$A$4,'[1]DATOS PBI Artículos'!$W$4:$W$4))/N300&gt;ROUNDUP([1]CRITERIOS!$M$16/(IF(COUNTIF([1]CRITERIOS!$BG$11:$BG$201,L300)&gt;=1,_xlfn.XLOOKUP(ARTÍCULOS!L300,[1]CRITERIOS!$BG$11:$BG$201,[1]CRITERIOS!$BJ$11:$BJ$201),_xlfn.XLOOKUP(ARTÍCULOS!C300,[1]CRITERIOS!$K$25:$K$42,[1]CRITERIOS!$M$25:$M$42))),0),ROUNDUP([1]CRITERIOS!$M$16/(IF(COUNTIF([1]CRITERIOS!$BG$11:$BG$201,L300)&gt;=1,_xlfn.XLOOKUP(ARTÍCULOS!L300,[1]CRITERIOS!$BG$11:$BG$201:#REF!,[1]CRITERIOS!$BJ$11:$BJ$201),_xlfn.XLOOKUP(ARTÍCULOS!C300,[1]CRITERIOS!$K$25:$K$42,[1]CRITERIOS!$M$25:$M$42))),0),(E300+V300-_xlfn.XLOOKUP(A300,'[1]DATOS PBI Artículos'!$A$4:$A$4,'[1]DATOS PBI Artículos'!$W$4:$W$4))/N300)</f>
        <v>#N/A</v>
      </c>
      <c r="AC300" s="33" t="e">
        <f>IF(N300=0,"",(ROUNDUP((N300/2)/(_xlfn.XLOOKUP(A300,'[1]DATOS PBI Artículos'!$A$4:$A$4,'[1]DATOS PBI Artículos'!$Z$4:$Z$4)*_xlfn.XLOOKUP(_xlfn.XLOOKUP(A300,'[1]DATOS PBI Artículos'!$A$4:$A$4,'[1]DATOS PBI Artículos'!$Y$4:$Y$4),[1]CRITERIOS!$P$79:$P$123,[1]CRITERIOS!$S$79:$S$123)),0)*[1]CRITERIOS!$M$80*([1]CRITERIOS!$M$110/[1]CRITERIOS!$M$86)+(_xlfn.XLOOKUP(A300,'[1]DATOS PBI Artículos'!$A$4:$A$4,'[1]DATOS PBI Artículos'!$AA$4:$AA$4)*([1]CRITERIOS!$M$95+[1]CRITERIOS!$M$98)))/N300)</f>
        <v>#N/A</v>
      </c>
      <c r="AD300" s="33" t="e">
        <f>IF(N300=0,"",(ROUNDUP((N300/2)/(_xlfn.XLOOKUP(A300,'[1]DATOS PBI Artículos'!$A$4:$A$4,'[1]DATOS PBI Artículos'!$Z$4:$Z$4)*_xlfn.XLOOKUP(_xlfn.XLOOKUP(A300,'[1]DATOS PBI Artículos'!$A$4:$A$4,'[1]DATOS PBI Artículos'!$Y$4:$Y$4),[1]CRITERIOS!$P$79:$P$123,[1]CRITERIOS!$S$79:$S$123)),0)*[1]CRITERIOS!$M$80*([1]CRITERIOS!$M$89*[1]CRITERIOS!$M$92)+((_xlfn.XLOOKUP(A300,'[1]DATOS PBI Artículos'!$A$4:$A$4,'[1]DATOS PBI Artículos'!$AA$4:$AA$4)/2)*([1]CRITERIOS!$M$95+[1]CRITERIOS!$M$98)))/N300)</f>
        <v>#N/A</v>
      </c>
      <c r="AE300" s="39" t="e">
        <f>IF($R300="MTO","",
IF($H300=0,ROUNDUP(((_xlfn.XLOOKUP($A300,'[1]DATOS PBI Artículos'!$A:$A,'[1]DATOS PBI Artículos'!$AL:$AL))/(_xlfn.XLOOKUP($AF$1,[1]CRITERIOS!$S$16:$S$39,[1]CRITERIOS!$Y$16:$Y$39))*$J300+$Z300)/$G300,0)*$G300,
((_xlfn.XLOOKUP($A300,'[1]DATOS PBI Artículos'!$A:$A,'[1]DATOS PBI Artículos'!$AL:$AL))/(_xlfn.XLOOKUP($AF$1,[1]CRITERIOS!$S$16:$S$39,[1]CRITERIOS!$Y$16:$Y$39))*$J300+$Z300)))</f>
        <v>#N/A</v>
      </c>
      <c r="AG300" s="39" t="e">
        <f>IF($R300="MTO","",
IF($H300=0,ROUNDUP(((_xlfn.XLOOKUP($A300,'[1]DATOS PBI Artículos'!$A:$A,'[1]DATOS PBI Artículos'!$AM:$AM))/(_xlfn.XLOOKUP($AH$1,[1]CRITERIOS!$S$16:$S$39,[1]CRITERIOS!$Y$16:$Y$39))*$J300+$Z300)/$G300,0)*$G300,
((_xlfn.XLOOKUP($A300,'[1]DATOS PBI Artículos'!$A:$A,'[1]DATOS PBI Artículos'!$AM:$AM))/(_xlfn.XLOOKUP($AH$1,[1]CRITERIOS!$S$16:$S$39,[1]CRITERIOS!$Y$16:$Y$39))*$J300+$Z300)))</f>
        <v>#N/A</v>
      </c>
      <c r="AI300" s="39" t="e">
        <f>IF($R300="MTO","",
IF($H300=0,ROUNDUP(((_xlfn.XLOOKUP($A300,'[1]DATOS PBI Artículos'!$A:$A,'[1]DATOS PBI Artículos'!$AN:$AN))/(_xlfn.XLOOKUP($AJ$1,[1]CRITERIOS!$S$16:$S$39,[1]CRITERIOS!$Y$16:$Y$39))*$J300+$Z300)/$G300,0)*$G300,
((_xlfn.XLOOKUP($A300,'[1]DATOS PBI Artículos'!$A:$A,'[1]DATOS PBI Artículos'!$AN:$AN))/(_xlfn.XLOOKUP($AJ$1,[1]CRITERIOS!$S$16:$S$39,[1]CRITERIOS!$Y$16:$Y$39))*$J300+$Z300)))</f>
        <v>#N/A</v>
      </c>
      <c r="AK300" s="39" t="e">
        <f>IF($R300="MTO","",
IF($H300=0,ROUNDUP(((_xlfn.XLOOKUP($A300,'[1]DATOS PBI Artículos'!$A:$A,'[1]DATOS PBI Artículos'!$AO:$AO))/(_xlfn.XLOOKUP($AL$1,[1]CRITERIOS!$S$16:$S$39,[1]CRITERIOS!$Y$16:$Y$39))*$J300+$Z300)/$G300,0)*$G300,
((_xlfn.XLOOKUP($A300,'[1]DATOS PBI Artículos'!$A:$A,'[1]DATOS PBI Artículos'!$AO:$AO))/(_xlfn.XLOOKUP($AL$1,[1]CRITERIOS!$S$16:$S$39,[1]CRITERIOS!$Y$16:$Y$39))*$J300+$Z300)))</f>
        <v>#N/A</v>
      </c>
    </row>
    <row r="301" spans="1:37" ht="25.8" hidden="1" x14ac:dyDescent="0.4">
      <c r="A301" s="41"/>
      <c r="B301" s="33">
        <f>_xlfn.XLOOKUP($A301,'[1]DATOS PBI Artículos'!A:A,'[1]DATOS PBI Artículos'!B:B)</f>
        <v>0</v>
      </c>
      <c r="C301" s="33">
        <f>_xlfn.XLOOKUP($A301,'[1]DATOS PBI Artículos'!A:A,'[1]DATOS PBI Artículos'!C:C)</f>
        <v>0</v>
      </c>
      <c r="D301" s="33">
        <f>_xlfn.XLOOKUP(A301,'[1]DATOS PBI Artículos'!A:A,'[1]DATOS PBI Artículos'!T:T)</f>
        <v>0</v>
      </c>
      <c r="E301" s="34">
        <f>IF(_xlfn.XLOOKUP($A301,'[1]DATOS PBI Artículos'!A:A,'[1]DATOS PBI Artículos'!AK:AK)="",_xlfn.XLOOKUP($A301,'[1]DATOS PBI Artículos'!A:A,'[1]DATOS PBI Artículos'!AJ:AJ),_xlfn.XLOOKUP($A301,'[1]DATOS PBI Artículos'!A:A,'[1]DATOS PBI Artículos'!AK:AK))</f>
        <v>0</v>
      </c>
      <c r="F301" s="35">
        <f>_xlfn.XLOOKUP($A301,'[1]DATOS PBI Artículos'!A:A,'[1]DATOS PBI Artículos'!AP:AP)</f>
        <v>0</v>
      </c>
      <c r="G301" s="34">
        <f>_xlfn.XLOOKUP($A301,'[1]DATOS PBI Artículos'!A:A,'[1]DATOS PBI Artículos'!AR:AR)</f>
        <v>0</v>
      </c>
      <c r="H301" s="34">
        <f>_xlfn.XLOOKUP($A301,'[1]DATOS PBI Artículos'!A:A,'[1]DATOS PBI Artículos'!AT:AT)</f>
        <v>0</v>
      </c>
      <c r="I301" s="34">
        <f>_xlfn.XLOOKUP($A301,'[1]DATOS PBI Artículos'!A:A,'[1]DATOS PBI Artículos'!AS:AS)</f>
        <v>0</v>
      </c>
      <c r="J301" s="35">
        <f>IF(COUNTIF([1]CRITERIOS!$F$179:$F$199,$A301)&gt;=1,
 IF(O301&lt;&gt;"",
    (O301/_xlfn.XLOOKUP(CONCATENATE(A301,L301),[1]MÁQUINAS!A:A,[1]MÁQUINAS!D:D))/24,
    (N301/_xlfn.XLOOKUP(CONCATENATE(A301,L301),[1]MÁQUINAS!A:A,[1]MÁQUINAS!D:D))/24),
  _xlfn.XLOOKUP($A301,'[1]DATOS PBI Artículos'!A:A,'[1]DATOS PBI Artículos'!AU:AU))</f>
        <v>0</v>
      </c>
      <c r="K301" s="36">
        <f>_xlfn.XLOOKUP($A301,'[1]DATOS PBI Artículos'!A:A,'[1]DATOS PBI Artículos'!AV:AV)</f>
        <v>0</v>
      </c>
      <c r="L301" s="33">
        <f>_xlfn.XLOOKUP(A301,[1]MÁQUINAS!B:B,[1]MÁQUINAS!C:C)</f>
        <v>0</v>
      </c>
      <c r="M301" s="34">
        <f t="array" ref="M301">_xlfn.XLOOKUP(A301,'[1]DATOS PBI Artículos'!A:A,'[1]DATOS PBI Artículos'!AX:$AX)</f>
        <v>0</v>
      </c>
      <c r="N301" s="37" t="e">
        <f>IF(I301="DV",
E301,
IF(COUNTIF([1]CRITERIOS!$I$179:$I$199,$A301)&gt;=1,
_xlfn.XLOOKUP($A301,[1]CRITERIOS!$I$179:$I$199,[1]CRITERIOS!$J$179:$J$199),
IF(COUNTIF([1]CRITERIOS!$L$179:$L$199,$A301)&gt;=1,
_xlfn.CEILING.MATH(IF($M301&gt;$E301,
$E301,
IF($M301&lt;$E301/ROUNDDOWN([1]CRITERIOS!$M$16/_xlfn.XLOOKUP($C301,[1]CRITERIOS!$K$25:$K$42,[1]CRITERIOS!$M$25:$M$42),
1),
E301/ROUNDDOWN([1]CRITERIOS!$M$16/_xlfn.XLOOKUP($C301,[1]CRITERIOS!$K$25:$K$42,[1]CRITERIOS!$M$25:$M$42),
1),
$M301)),
_xlfn.XLOOKUP($A301,[1]CRITERIOS!$L$179:$L$200,[1]CRITERIOS!$M$179:$M$200)),
_xlfn.CEILING.MATH(IF($M301&gt;$E301,
$E301,
IF($M301&lt;$E301/ROUNDDOWN([1]CRITERIOS!$M$16/_xlfn.XLOOKUP($C301,[1]CRITERIOS!$K$25:$K$42,[1]CRITERIOS!$M$25:$M$42),
1),
E301/ROUNDDOWN([1]CRITERIOS!$M$16/_xlfn.XLOOKUP($C301,[1]CRITERIOS!$K$25:$K$42,[1]CRITERIOS!$M$25:$M$42),
1),
$M301)),_xlfn.XLOOKUP(A301,'[1]DATOS PBI Artículos'!A:A,'[1]DATOS PBI Artículos'!Z:Z
)))))</f>
        <v>#N/A</v>
      </c>
      <c r="Q301" s="38" t="e">
        <f>IF(AND(O301="",N301=0),
0,
   IF(COUNTIF([1]CRITERIOS!$F$179:$F$199,$A301)&gt;=1,
   1,
   IF(R301="MTO",
      $D301,
      ROUNDUP(
                    IF(($E301-SUMIF('[1]DATOS PBI Artículos'!A:A,A301,'[1]DATOS PBI Artículos'!X:X)+($V301-_xlfn.XLOOKUP(A301,'[1]DATOS PBI Artículos'!A:A,'[1]DATOS PBI Artículos'!W:W)))&lt;0,
                    0,
                    IF(($E301-SUMIF('[1]DATOS PBI Artículos'!A:A,A301,'[1]DATOS PBI Artículos'!X:X)+$V301-_xlfn.XLOOKUP($A301,'[1]DATOS PBI Artículos'!A:A,'[1]DATOS PBI Artículos'!W:W))/IF($O301="",$N301,$O301)&gt;ROUNDUP([1]CRITERIOS!$M$16/(IF(COUNTIF([1]CRITERIOS!$BG$11:$BG$201,L301)&gt;=1,_xlfn.XLOOKUP($C301,[1]CRITERIOS!$K$25:$K$42,[1]CRITERIOS!$M$25:$M$42),_xlfn.XLOOKUP($C301,[1]CRITERIOS!$K$25:$K$42,[1]CRITERIOS!$M$25:$M$42))),0),
                    ROUNDUP([1]CRITERIOS!$M$16/(IF(COUNTIF([1]CRITERIOS!$BG$11:$BG$201,$L301)&gt;=1,_xlfn.XLOOKUP($C301,[1]CRITERIOS!$K$25:$K$42,[1]CRITERIOS!$M$25:$M$42),_xlfn.XLOOKUP($C301,[1]CRITERIOS!$K$25:$K$42,[1]CRITERIOS!$M$25:$M$42))),0),
                    (E301+V301-SUMIF('[1]DATOS PBI Artículos'!A:A,A301,'[1]DATOS PBI Artículos'!X:X)-_xlfn.XLOOKUP(A301,'[1]DATOS PBI Artículos'!A:A,'[1]DATOS PBI Artículos'!W:W))/IF($O301="",$N301,$O301))),0))))</f>
        <v>#N/A</v>
      </c>
      <c r="R301" s="33" t="e">
        <f>IF(U301&lt;&gt;"",U301,IF(F301="DV","MTO",IF(N301=0,"MTO",_xlfn.XLOOKUP(CONCATENATE(S301,T301),[1]CRITERIOS!$K$160:$K$168,[1]CRITERIOS!$N$160:$N$168))))</f>
        <v>#N/A</v>
      </c>
      <c r="S301" s="33" t="e">
        <f>IF(G301="DV","MTO",IF(N301=0,"MTO",IF(OR(AND(N301=0,O301=""),IF(O301="",G301/N301,G301/O301)&gt;[1]CRITERIOS!$G$163),"MTO",IF(IF(O301="",G301/N301,G301/O301)&lt;[1]CRITERIOS!$H$161,"MTS","MTOS"))))</f>
        <v>#N/A</v>
      </c>
      <c r="T301" s="33" t="e">
        <f>IF(F301="DV","MTO",IF(OR(AND($N301=0,O301=""),$F301/$J301&gt;[1]CRITERIOS!$G$170,$F301="DV"),"MTO",IF($F301/$J301&lt;[1]CRITERIOS!$H$168,"MTS","MTOS")))</f>
        <v>#N/A</v>
      </c>
      <c r="V301" s="34" t="e">
        <f t="shared" si="16"/>
        <v>#N/A</v>
      </c>
      <c r="X301" s="34" t="e">
        <f t="shared" si="14"/>
        <v>#N/A</v>
      </c>
      <c r="Y301" s="34" t="e">
        <f t="shared" si="15"/>
        <v>#N/A</v>
      </c>
      <c r="Z301" s="34" t="e">
        <f>IF($R301="MTO",
0,
($H301+$K301*($E301/[1]CRITERIOS!$M$16))/[1]CRITERIOS!$X$48)</f>
        <v>#N/A</v>
      </c>
      <c r="AA301" s="34" t="e">
        <f>ROUNDUP(($Y301/_xlfn.XLOOKUP($A301,'[1]DATOS PBI Artículos'!$A$4:$A$4,'[1]DATOS PBI Artículos'!$Z$4:$Z$4))/_xlfn.XLOOKUP(_xlfn.XLOOKUP($A301,'[1]DATOS PBI Artículos'!$A$4:$A$4,'[1]DATOS PBI Artículos'!$Y$4:$Y$4),[1]CRITERIOS!$P$79:$P$123,[1]CRITERIOS!$S$79:$S$123,),0)</f>
        <v>#N/A</v>
      </c>
      <c r="AB301" s="33" t="e">
        <f t="array" ref="AB301">IF((E301+V301-_xlfn.XLOOKUP(A301,'[1]DATOS PBI Artículos'!$A$4:$A$4,'[1]DATOS PBI Artículos'!$W$4:$W$4))/N301&gt;ROUNDUP([1]CRITERIOS!$M$16/(IF(COUNTIF([1]CRITERIOS!$BG$11:$BG$201,L301)&gt;=1,_xlfn.XLOOKUP(ARTÍCULOS!L301,[1]CRITERIOS!$BG$11:$BG$201,[1]CRITERIOS!$BJ$11:$BJ$201),_xlfn.XLOOKUP(ARTÍCULOS!C301,[1]CRITERIOS!$K$25:$K$42,[1]CRITERIOS!$M$25:$M$42))),0),ROUNDUP([1]CRITERIOS!$M$16/(IF(COUNTIF([1]CRITERIOS!$BG$11:$BG$201,L301)&gt;=1,_xlfn.XLOOKUP(ARTÍCULOS!L301,[1]CRITERIOS!$BG$11:$BG$201:#REF!,[1]CRITERIOS!$BJ$11:$BJ$201),_xlfn.XLOOKUP(ARTÍCULOS!C301,[1]CRITERIOS!$K$25:$K$42,[1]CRITERIOS!$M$25:$M$42))),0),(E301+V301-_xlfn.XLOOKUP(A301,'[1]DATOS PBI Artículos'!$A$4:$A$4,'[1]DATOS PBI Artículos'!$W$4:$W$4))/N301)</f>
        <v>#N/A</v>
      </c>
      <c r="AC301" s="33" t="e">
        <f>IF(N301=0,"",(ROUNDUP((N301/2)/(_xlfn.XLOOKUP(A301,'[1]DATOS PBI Artículos'!$A$4:$A$4,'[1]DATOS PBI Artículos'!$Z$4:$Z$4)*_xlfn.XLOOKUP(_xlfn.XLOOKUP(A301,'[1]DATOS PBI Artículos'!$A$4:$A$4,'[1]DATOS PBI Artículos'!$Y$4:$Y$4),[1]CRITERIOS!$P$79:$P$123,[1]CRITERIOS!$S$79:$S$123)),0)*[1]CRITERIOS!$M$80*([1]CRITERIOS!$M$110/[1]CRITERIOS!$M$86)+(_xlfn.XLOOKUP(A301,'[1]DATOS PBI Artículos'!$A$4:$A$4,'[1]DATOS PBI Artículos'!$AA$4:$AA$4)*([1]CRITERIOS!$M$95+[1]CRITERIOS!$M$98)))/N301)</f>
        <v>#N/A</v>
      </c>
      <c r="AD301" s="33" t="e">
        <f>IF(N301=0,"",(ROUNDUP((N301/2)/(_xlfn.XLOOKUP(A301,'[1]DATOS PBI Artículos'!$A$4:$A$4,'[1]DATOS PBI Artículos'!$Z$4:$Z$4)*_xlfn.XLOOKUP(_xlfn.XLOOKUP(A301,'[1]DATOS PBI Artículos'!$A$4:$A$4,'[1]DATOS PBI Artículos'!$Y$4:$Y$4),[1]CRITERIOS!$P$79:$P$123,[1]CRITERIOS!$S$79:$S$123)),0)*[1]CRITERIOS!$M$80*([1]CRITERIOS!$M$89*[1]CRITERIOS!$M$92)+((_xlfn.XLOOKUP(A301,'[1]DATOS PBI Artículos'!$A$4:$A$4,'[1]DATOS PBI Artículos'!$AA$4:$AA$4)/2)*([1]CRITERIOS!$M$95+[1]CRITERIOS!$M$98)))/N301)</f>
        <v>#N/A</v>
      </c>
      <c r="AE301" s="39" t="e">
        <f>IF($R301="MTO","",
IF($H301=0,ROUNDUP(((_xlfn.XLOOKUP($A301,'[1]DATOS PBI Artículos'!$A:$A,'[1]DATOS PBI Artículos'!$AL:$AL))/(_xlfn.XLOOKUP($AF$1,[1]CRITERIOS!$S$16:$S$39,[1]CRITERIOS!$Y$16:$Y$39))*$J301+$Z301)/$G301,0)*$G301,
((_xlfn.XLOOKUP($A301,'[1]DATOS PBI Artículos'!$A:$A,'[1]DATOS PBI Artículos'!$AL:$AL))/(_xlfn.XLOOKUP($AF$1,[1]CRITERIOS!$S$16:$S$39,[1]CRITERIOS!$Y$16:$Y$39))*$J301+$Z301)))</f>
        <v>#N/A</v>
      </c>
      <c r="AG301" s="39" t="e">
        <f>IF($R301="MTO","",
IF($H301=0,ROUNDUP(((_xlfn.XLOOKUP($A301,'[1]DATOS PBI Artículos'!$A:$A,'[1]DATOS PBI Artículos'!$AM:$AM))/(_xlfn.XLOOKUP($AH$1,[1]CRITERIOS!$S$16:$S$39,[1]CRITERIOS!$Y$16:$Y$39))*$J301+$Z301)/$G301,0)*$G301,
((_xlfn.XLOOKUP($A301,'[1]DATOS PBI Artículos'!$A:$A,'[1]DATOS PBI Artículos'!$AM:$AM))/(_xlfn.XLOOKUP($AH$1,[1]CRITERIOS!$S$16:$S$39,[1]CRITERIOS!$Y$16:$Y$39))*$J301+$Z301)))</f>
        <v>#N/A</v>
      </c>
      <c r="AI301" s="39" t="e">
        <f>IF($R301="MTO","",
IF($H301=0,ROUNDUP(((_xlfn.XLOOKUP($A301,'[1]DATOS PBI Artículos'!$A:$A,'[1]DATOS PBI Artículos'!$AN:$AN))/(_xlfn.XLOOKUP($AJ$1,[1]CRITERIOS!$S$16:$S$39,[1]CRITERIOS!$Y$16:$Y$39))*$J301+$Z301)/$G301,0)*$G301,
((_xlfn.XLOOKUP($A301,'[1]DATOS PBI Artículos'!$A:$A,'[1]DATOS PBI Artículos'!$AN:$AN))/(_xlfn.XLOOKUP($AJ$1,[1]CRITERIOS!$S$16:$S$39,[1]CRITERIOS!$Y$16:$Y$39))*$J301+$Z301)))</f>
        <v>#N/A</v>
      </c>
      <c r="AK301" s="39" t="e">
        <f>IF($R301="MTO","",
IF($H301=0,ROUNDUP(((_xlfn.XLOOKUP($A301,'[1]DATOS PBI Artículos'!$A:$A,'[1]DATOS PBI Artículos'!$AO:$AO))/(_xlfn.XLOOKUP($AL$1,[1]CRITERIOS!$S$16:$S$39,[1]CRITERIOS!$Y$16:$Y$39))*$J301+$Z301)/$G301,0)*$G301,
((_xlfn.XLOOKUP($A301,'[1]DATOS PBI Artículos'!$A:$A,'[1]DATOS PBI Artículos'!$AO:$AO))/(_xlfn.XLOOKUP($AL$1,[1]CRITERIOS!$S$16:$S$39,[1]CRITERIOS!$Y$16:$Y$39))*$J301+$Z301)))</f>
        <v>#N/A</v>
      </c>
    </row>
    <row r="302" spans="1:37" ht="25.8" hidden="1" x14ac:dyDescent="0.4">
      <c r="A302" s="41"/>
      <c r="B302" s="33">
        <f>_xlfn.XLOOKUP($A302,'[1]DATOS PBI Artículos'!A:A,'[1]DATOS PBI Artículos'!B:B)</f>
        <v>0</v>
      </c>
      <c r="C302" s="33">
        <f>_xlfn.XLOOKUP($A302,'[1]DATOS PBI Artículos'!A:A,'[1]DATOS PBI Artículos'!C:C)</f>
        <v>0</v>
      </c>
      <c r="D302" s="33">
        <f>_xlfn.XLOOKUP(A302,'[1]DATOS PBI Artículos'!A:A,'[1]DATOS PBI Artículos'!T:T)</f>
        <v>0</v>
      </c>
      <c r="E302" s="34">
        <f>IF(_xlfn.XLOOKUP($A302,'[1]DATOS PBI Artículos'!A:A,'[1]DATOS PBI Artículos'!AK:AK)="",_xlfn.XLOOKUP($A302,'[1]DATOS PBI Artículos'!A:A,'[1]DATOS PBI Artículos'!AJ:AJ),_xlfn.XLOOKUP($A302,'[1]DATOS PBI Artículos'!A:A,'[1]DATOS PBI Artículos'!AK:AK))</f>
        <v>0</v>
      </c>
      <c r="F302" s="35">
        <f>_xlfn.XLOOKUP($A302,'[1]DATOS PBI Artículos'!A:A,'[1]DATOS PBI Artículos'!AP:AP)</f>
        <v>0</v>
      </c>
      <c r="G302" s="34">
        <f>_xlfn.XLOOKUP($A302,'[1]DATOS PBI Artículos'!A:A,'[1]DATOS PBI Artículos'!AR:AR)</f>
        <v>0</v>
      </c>
      <c r="H302" s="34">
        <f>_xlfn.XLOOKUP($A302,'[1]DATOS PBI Artículos'!A:A,'[1]DATOS PBI Artículos'!AT:AT)</f>
        <v>0</v>
      </c>
      <c r="I302" s="34">
        <f>_xlfn.XLOOKUP($A302,'[1]DATOS PBI Artículos'!A:A,'[1]DATOS PBI Artículos'!AS:AS)</f>
        <v>0</v>
      </c>
      <c r="J302" s="35">
        <f>IF(COUNTIF([1]CRITERIOS!$F$179:$F$199,$A302)&gt;=1,
 IF(O302&lt;&gt;"",
    (O302/_xlfn.XLOOKUP(CONCATENATE(A302,L302),[1]MÁQUINAS!A:A,[1]MÁQUINAS!D:D))/24,
    (N302/_xlfn.XLOOKUP(CONCATENATE(A302,L302),[1]MÁQUINAS!A:A,[1]MÁQUINAS!D:D))/24),
  _xlfn.XLOOKUP($A302,'[1]DATOS PBI Artículos'!A:A,'[1]DATOS PBI Artículos'!AU:AU))</f>
        <v>0</v>
      </c>
      <c r="K302" s="36">
        <f>_xlfn.XLOOKUP($A302,'[1]DATOS PBI Artículos'!A:A,'[1]DATOS PBI Artículos'!AV:AV)</f>
        <v>0</v>
      </c>
      <c r="L302" s="33">
        <f>_xlfn.XLOOKUP(A302,[1]MÁQUINAS!B:B,[1]MÁQUINAS!C:C)</f>
        <v>0</v>
      </c>
      <c r="M302" s="34">
        <f t="array" ref="M302">_xlfn.XLOOKUP(A302,'[1]DATOS PBI Artículos'!A:A,'[1]DATOS PBI Artículos'!AX:$AX)</f>
        <v>0</v>
      </c>
      <c r="N302" s="37" t="e">
        <f>IF(I302="DV",
E302,
IF(COUNTIF([1]CRITERIOS!$I$179:$I$199,$A302)&gt;=1,
_xlfn.XLOOKUP($A302,[1]CRITERIOS!$I$179:$I$199,[1]CRITERIOS!$J$179:$J$199),
IF(COUNTIF([1]CRITERIOS!$L$179:$L$199,$A302)&gt;=1,
_xlfn.CEILING.MATH(IF($M302&gt;$E302,
$E302,
IF($M302&lt;$E302/ROUNDDOWN([1]CRITERIOS!$M$16/_xlfn.XLOOKUP($C302,[1]CRITERIOS!$K$25:$K$42,[1]CRITERIOS!$M$25:$M$42),
1),
E302/ROUNDDOWN([1]CRITERIOS!$M$16/_xlfn.XLOOKUP($C302,[1]CRITERIOS!$K$25:$K$42,[1]CRITERIOS!$M$25:$M$42),
1),
$M302)),
_xlfn.XLOOKUP($A302,[1]CRITERIOS!$L$179:$L$200,[1]CRITERIOS!$M$179:$M$200)),
_xlfn.CEILING.MATH(IF($M302&gt;$E302,
$E302,
IF($M302&lt;$E302/ROUNDDOWN([1]CRITERIOS!$M$16/_xlfn.XLOOKUP($C302,[1]CRITERIOS!$K$25:$K$42,[1]CRITERIOS!$M$25:$M$42),
1),
E302/ROUNDDOWN([1]CRITERIOS!$M$16/_xlfn.XLOOKUP($C302,[1]CRITERIOS!$K$25:$K$42,[1]CRITERIOS!$M$25:$M$42),
1),
$M302)),_xlfn.XLOOKUP(A302,'[1]DATOS PBI Artículos'!A:A,'[1]DATOS PBI Artículos'!Z:Z
)))))</f>
        <v>#N/A</v>
      </c>
      <c r="Q302" s="38" t="e">
        <f>IF(AND(O302="",N302=0),
0,
   IF(COUNTIF([1]CRITERIOS!$F$179:$F$199,$A302)&gt;=1,
   1,
   IF(R302="MTO",
      $D302,
      ROUNDUP(
                    IF(($E302-SUMIF('[1]DATOS PBI Artículos'!A:A,A302,'[1]DATOS PBI Artículos'!X:X)+($V302-_xlfn.XLOOKUP(A302,'[1]DATOS PBI Artículos'!A:A,'[1]DATOS PBI Artículos'!W:W)))&lt;0,
                    0,
                    IF(($E302-SUMIF('[1]DATOS PBI Artículos'!A:A,A302,'[1]DATOS PBI Artículos'!X:X)+$V302-_xlfn.XLOOKUP($A302,'[1]DATOS PBI Artículos'!A:A,'[1]DATOS PBI Artículos'!W:W))/IF($O302="",$N302,$O302)&gt;ROUNDUP([1]CRITERIOS!$M$16/(IF(COUNTIF([1]CRITERIOS!$BG$11:$BG$201,L302)&gt;=1,_xlfn.XLOOKUP($C302,[1]CRITERIOS!$K$25:$K$42,[1]CRITERIOS!$M$25:$M$42),_xlfn.XLOOKUP($C302,[1]CRITERIOS!$K$25:$K$42,[1]CRITERIOS!$M$25:$M$42))),0),
                    ROUNDUP([1]CRITERIOS!$M$16/(IF(COUNTIF([1]CRITERIOS!$BG$11:$BG$201,$L302)&gt;=1,_xlfn.XLOOKUP($C302,[1]CRITERIOS!$K$25:$K$42,[1]CRITERIOS!$M$25:$M$42),_xlfn.XLOOKUP($C302,[1]CRITERIOS!$K$25:$K$42,[1]CRITERIOS!$M$25:$M$42))),0),
                    (E302+V302-SUMIF('[1]DATOS PBI Artículos'!A:A,A302,'[1]DATOS PBI Artículos'!X:X)-_xlfn.XLOOKUP(A302,'[1]DATOS PBI Artículos'!A:A,'[1]DATOS PBI Artículos'!W:W))/IF($O302="",$N302,$O302))),0))))</f>
        <v>#N/A</v>
      </c>
      <c r="R302" s="33" t="e">
        <f>IF(U302&lt;&gt;"",U302,IF(F302="DV","MTO",IF(N302=0,"MTO",_xlfn.XLOOKUP(CONCATENATE(S302,T302),[1]CRITERIOS!$K$160:$K$168,[1]CRITERIOS!$N$160:$N$168))))</f>
        <v>#N/A</v>
      </c>
      <c r="S302" s="33" t="e">
        <f>IF(G302="DV","MTO",IF(N302=0,"MTO",IF(OR(AND(N302=0,O302=""),IF(O302="",G302/N302,G302/O302)&gt;[1]CRITERIOS!$G$163),"MTO",IF(IF(O302="",G302/N302,G302/O302)&lt;[1]CRITERIOS!$H$161,"MTS","MTOS"))))</f>
        <v>#N/A</v>
      </c>
      <c r="T302" s="33" t="e">
        <f>IF(F302="DV","MTO",IF(OR(AND($N302=0,O302=""),$F302/$J302&gt;[1]CRITERIOS!$G$170,$F302="DV"),"MTO",IF($F302/$J302&lt;[1]CRITERIOS!$H$168,"MTS","MTOS")))</f>
        <v>#N/A</v>
      </c>
      <c r="V302" s="34" t="e">
        <f t="shared" si="16"/>
        <v>#N/A</v>
      </c>
      <c r="X302" s="34" t="e">
        <f t="shared" si="14"/>
        <v>#N/A</v>
      </c>
      <c r="Y302" s="34" t="e">
        <f t="shared" si="15"/>
        <v>#N/A</v>
      </c>
      <c r="Z302" s="34" t="e">
        <f>IF($R302="MTO",
0,
($H302+$K302*($E302/[1]CRITERIOS!$M$16))/[1]CRITERIOS!$X$48)</f>
        <v>#N/A</v>
      </c>
      <c r="AA302" s="34" t="e">
        <f>ROUNDUP(($Y302/_xlfn.XLOOKUP($A302,'[1]DATOS PBI Artículos'!$A$4:$A$4,'[1]DATOS PBI Artículos'!$Z$4:$Z$4))/_xlfn.XLOOKUP(_xlfn.XLOOKUP($A302,'[1]DATOS PBI Artículos'!$A$4:$A$4,'[1]DATOS PBI Artículos'!$Y$4:$Y$4),[1]CRITERIOS!$P$79:$P$123,[1]CRITERIOS!$S$79:$S$123,),0)</f>
        <v>#N/A</v>
      </c>
      <c r="AB302" s="33" t="e">
        <f t="array" ref="AB302">IF((E302+V302-_xlfn.XLOOKUP(A302,'[1]DATOS PBI Artículos'!$A$4:$A$4,'[1]DATOS PBI Artículos'!$W$4:$W$4))/N302&gt;ROUNDUP([1]CRITERIOS!$M$16/(IF(COUNTIF([1]CRITERIOS!$BG$11:$BG$201,L302)&gt;=1,_xlfn.XLOOKUP(ARTÍCULOS!L302,[1]CRITERIOS!$BG$11:$BG$201,[1]CRITERIOS!$BJ$11:$BJ$201),_xlfn.XLOOKUP(ARTÍCULOS!C302,[1]CRITERIOS!$K$25:$K$42,[1]CRITERIOS!$M$25:$M$42))),0),ROUNDUP([1]CRITERIOS!$M$16/(IF(COUNTIF([1]CRITERIOS!$BG$11:$BG$201,L302)&gt;=1,_xlfn.XLOOKUP(ARTÍCULOS!L302,[1]CRITERIOS!$BG$11:$BG$201:#REF!,[1]CRITERIOS!$BJ$11:$BJ$201),_xlfn.XLOOKUP(ARTÍCULOS!C302,[1]CRITERIOS!$K$25:$K$42,[1]CRITERIOS!$M$25:$M$42))),0),(E302+V302-_xlfn.XLOOKUP(A302,'[1]DATOS PBI Artículos'!$A$4:$A$4,'[1]DATOS PBI Artículos'!$W$4:$W$4))/N302)</f>
        <v>#N/A</v>
      </c>
      <c r="AC302" s="33" t="e">
        <f>IF(N302=0,"",(ROUNDUP((N302/2)/(_xlfn.XLOOKUP(A302,'[1]DATOS PBI Artículos'!$A$4:$A$4,'[1]DATOS PBI Artículos'!$Z$4:$Z$4)*_xlfn.XLOOKUP(_xlfn.XLOOKUP(A302,'[1]DATOS PBI Artículos'!$A$4:$A$4,'[1]DATOS PBI Artículos'!$Y$4:$Y$4),[1]CRITERIOS!$P$79:$P$123,[1]CRITERIOS!$S$79:$S$123)),0)*[1]CRITERIOS!$M$80*([1]CRITERIOS!$M$110/[1]CRITERIOS!$M$86)+(_xlfn.XLOOKUP(A302,'[1]DATOS PBI Artículos'!$A$4:$A$4,'[1]DATOS PBI Artículos'!$AA$4:$AA$4)*([1]CRITERIOS!$M$95+[1]CRITERIOS!$M$98)))/N302)</f>
        <v>#N/A</v>
      </c>
      <c r="AD302" s="33" t="e">
        <f>IF(N302=0,"",(ROUNDUP((N302/2)/(_xlfn.XLOOKUP(A302,'[1]DATOS PBI Artículos'!$A$4:$A$4,'[1]DATOS PBI Artículos'!$Z$4:$Z$4)*_xlfn.XLOOKUP(_xlfn.XLOOKUP(A302,'[1]DATOS PBI Artículos'!$A$4:$A$4,'[1]DATOS PBI Artículos'!$Y$4:$Y$4),[1]CRITERIOS!$P$79:$P$123,[1]CRITERIOS!$S$79:$S$123)),0)*[1]CRITERIOS!$M$80*([1]CRITERIOS!$M$89*[1]CRITERIOS!$M$92)+((_xlfn.XLOOKUP(A302,'[1]DATOS PBI Artículos'!$A$4:$A$4,'[1]DATOS PBI Artículos'!$AA$4:$AA$4)/2)*([1]CRITERIOS!$M$95+[1]CRITERIOS!$M$98)))/N302)</f>
        <v>#N/A</v>
      </c>
      <c r="AE302" s="39" t="e">
        <f>IF($R302="MTO","",
IF($H302=0,ROUNDUP(((_xlfn.XLOOKUP($A302,'[1]DATOS PBI Artículos'!$A:$A,'[1]DATOS PBI Artículos'!$AL:$AL))/(_xlfn.XLOOKUP($AF$1,[1]CRITERIOS!$S$16:$S$39,[1]CRITERIOS!$Y$16:$Y$39))*$J302+$Z302)/$G302,0)*$G302,
((_xlfn.XLOOKUP($A302,'[1]DATOS PBI Artículos'!$A:$A,'[1]DATOS PBI Artículos'!$AL:$AL))/(_xlfn.XLOOKUP($AF$1,[1]CRITERIOS!$S$16:$S$39,[1]CRITERIOS!$Y$16:$Y$39))*$J302+$Z302)))</f>
        <v>#N/A</v>
      </c>
      <c r="AG302" s="39" t="e">
        <f>IF($R302="MTO","",
IF($H302=0,ROUNDUP(((_xlfn.XLOOKUP($A302,'[1]DATOS PBI Artículos'!$A:$A,'[1]DATOS PBI Artículos'!$AM:$AM))/(_xlfn.XLOOKUP($AH$1,[1]CRITERIOS!$S$16:$S$39,[1]CRITERIOS!$Y$16:$Y$39))*$J302+$Z302)/$G302,0)*$G302,
((_xlfn.XLOOKUP($A302,'[1]DATOS PBI Artículos'!$A:$A,'[1]DATOS PBI Artículos'!$AM:$AM))/(_xlfn.XLOOKUP($AH$1,[1]CRITERIOS!$S$16:$S$39,[1]CRITERIOS!$Y$16:$Y$39))*$J302+$Z302)))</f>
        <v>#N/A</v>
      </c>
      <c r="AI302" s="39" t="e">
        <f>IF($R302="MTO","",
IF($H302=0,ROUNDUP(((_xlfn.XLOOKUP($A302,'[1]DATOS PBI Artículos'!$A:$A,'[1]DATOS PBI Artículos'!$AN:$AN))/(_xlfn.XLOOKUP($AJ$1,[1]CRITERIOS!$S$16:$S$39,[1]CRITERIOS!$Y$16:$Y$39))*$J302+$Z302)/$G302,0)*$G302,
((_xlfn.XLOOKUP($A302,'[1]DATOS PBI Artículos'!$A:$A,'[1]DATOS PBI Artículos'!$AN:$AN))/(_xlfn.XLOOKUP($AJ$1,[1]CRITERIOS!$S$16:$S$39,[1]CRITERIOS!$Y$16:$Y$39))*$J302+$Z302)))</f>
        <v>#N/A</v>
      </c>
      <c r="AK302" s="39" t="e">
        <f>IF($R302="MTO","",
IF($H302=0,ROUNDUP(((_xlfn.XLOOKUP($A302,'[1]DATOS PBI Artículos'!$A:$A,'[1]DATOS PBI Artículos'!$AO:$AO))/(_xlfn.XLOOKUP($AL$1,[1]CRITERIOS!$S$16:$S$39,[1]CRITERIOS!$Y$16:$Y$39))*$J302+$Z302)/$G302,0)*$G302,
((_xlfn.XLOOKUP($A302,'[1]DATOS PBI Artículos'!$A:$A,'[1]DATOS PBI Artículos'!$AO:$AO))/(_xlfn.XLOOKUP($AL$1,[1]CRITERIOS!$S$16:$S$39,[1]CRITERIOS!$Y$16:$Y$39))*$J302+$Z302)))</f>
        <v>#N/A</v>
      </c>
    </row>
    <row r="303" spans="1:37" ht="25.8" hidden="1" x14ac:dyDescent="0.4">
      <c r="A303" s="41"/>
      <c r="B303" s="33">
        <f>_xlfn.XLOOKUP($A303,'[1]DATOS PBI Artículos'!A:A,'[1]DATOS PBI Artículos'!B:B)</f>
        <v>0</v>
      </c>
      <c r="C303" s="33">
        <f>_xlfn.XLOOKUP($A303,'[1]DATOS PBI Artículos'!A:A,'[1]DATOS PBI Artículos'!C:C)</f>
        <v>0</v>
      </c>
      <c r="D303" s="33">
        <f>_xlfn.XLOOKUP(A303,'[1]DATOS PBI Artículos'!A:A,'[1]DATOS PBI Artículos'!T:T)</f>
        <v>0</v>
      </c>
      <c r="E303" s="34">
        <f>IF(_xlfn.XLOOKUP($A303,'[1]DATOS PBI Artículos'!A:A,'[1]DATOS PBI Artículos'!AK:AK)="",_xlfn.XLOOKUP($A303,'[1]DATOS PBI Artículos'!A:A,'[1]DATOS PBI Artículos'!AJ:AJ),_xlfn.XLOOKUP($A303,'[1]DATOS PBI Artículos'!A:A,'[1]DATOS PBI Artículos'!AK:AK))</f>
        <v>0</v>
      </c>
      <c r="F303" s="35">
        <f>_xlfn.XLOOKUP($A303,'[1]DATOS PBI Artículos'!A:A,'[1]DATOS PBI Artículos'!AP:AP)</f>
        <v>0</v>
      </c>
      <c r="G303" s="34">
        <f>_xlfn.XLOOKUP($A303,'[1]DATOS PBI Artículos'!A:A,'[1]DATOS PBI Artículos'!AR:AR)</f>
        <v>0</v>
      </c>
      <c r="H303" s="34">
        <f>_xlfn.XLOOKUP($A303,'[1]DATOS PBI Artículos'!A:A,'[1]DATOS PBI Artículos'!AT:AT)</f>
        <v>0</v>
      </c>
      <c r="I303" s="34">
        <f>_xlfn.XLOOKUP($A303,'[1]DATOS PBI Artículos'!A:A,'[1]DATOS PBI Artículos'!AS:AS)</f>
        <v>0</v>
      </c>
      <c r="J303" s="35">
        <f>IF(COUNTIF([1]CRITERIOS!$F$179:$F$199,$A303)&gt;=1,
 IF(O303&lt;&gt;"",
    (O303/_xlfn.XLOOKUP(CONCATENATE(A303,L303),[1]MÁQUINAS!A:A,[1]MÁQUINAS!D:D))/24,
    (N303/_xlfn.XLOOKUP(CONCATENATE(A303,L303),[1]MÁQUINAS!A:A,[1]MÁQUINAS!D:D))/24),
  _xlfn.XLOOKUP($A303,'[1]DATOS PBI Artículos'!A:A,'[1]DATOS PBI Artículos'!AU:AU))</f>
        <v>0</v>
      </c>
      <c r="K303" s="36">
        <f>_xlfn.XLOOKUP($A303,'[1]DATOS PBI Artículos'!A:A,'[1]DATOS PBI Artículos'!AV:AV)</f>
        <v>0</v>
      </c>
      <c r="L303" s="33">
        <f>_xlfn.XLOOKUP(A303,[1]MÁQUINAS!B:B,[1]MÁQUINAS!C:C)</f>
        <v>0</v>
      </c>
      <c r="M303" s="34">
        <f t="array" ref="M303">_xlfn.XLOOKUP(A303,'[1]DATOS PBI Artículos'!A:A,'[1]DATOS PBI Artículos'!AX:$AX)</f>
        <v>0</v>
      </c>
      <c r="N303" s="37" t="e">
        <f>IF(I303="DV",
E303,
IF(COUNTIF([1]CRITERIOS!$I$179:$I$199,$A303)&gt;=1,
_xlfn.XLOOKUP($A303,[1]CRITERIOS!$I$179:$I$199,[1]CRITERIOS!$J$179:$J$199),
IF(COUNTIF([1]CRITERIOS!$L$179:$L$199,$A303)&gt;=1,
_xlfn.CEILING.MATH(IF($M303&gt;$E303,
$E303,
IF($M303&lt;$E303/ROUNDDOWN([1]CRITERIOS!$M$16/_xlfn.XLOOKUP($C303,[1]CRITERIOS!$K$25:$K$42,[1]CRITERIOS!$M$25:$M$42),
1),
E303/ROUNDDOWN([1]CRITERIOS!$M$16/_xlfn.XLOOKUP($C303,[1]CRITERIOS!$K$25:$K$42,[1]CRITERIOS!$M$25:$M$42),
1),
$M303)),
_xlfn.XLOOKUP($A303,[1]CRITERIOS!$L$179:$L$200,[1]CRITERIOS!$M$179:$M$200)),
_xlfn.CEILING.MATH(IF($M303&gt;$E303,
$E303,
IF($M303&lt;$E303/ROUNDDOWN([1]CRITERIOS!$M$16/_xlfn.XLOOKUP($C303,[1]CRITERIOS!$K$25:$K$42,[1]CRITERIOS!$M$25:$M$42),
1),
E303/ROUNDDOWN([1]CRITERIOS!$M$16/_xlfn.XLOOKUP($C303,[1]CRITERIOS!$K$25:$K$42,[1]CRITERIOS!$M$25:$M$42),
1),
$M303)),_xlfn.XLOOKUP(A303,'[1]DATOS PBI Artículos'!A:A,'[1]DATOS PBI Artículos'!Z:Z
)))))</f>
        <v>#N/A</v>
      </c>
      <c r="Q303" s="38" t="e">
        <f>IF(AND(O303="",N303=0),
0,
   IF(COUNTIF([1]CRITERIOS!$F$179:$F$199,$A303)&gt;=1,
   1,
   IF(R303="MTO",
      $D303,
      ROUNDUP(
                    IF(($E303-SUMIF('[1]DATOS PBI Artículos'!A:A,A303,'[1]DATOS PBI Artículos'!X:X)+($V303-_xlfn.XLOOKUP(A303,'[1]DATOS PBI Artículos'!A:A,'[1]DATOS PBI Artículos'!W:W)))&lt;0,
                    0,
                    IF(($E303-SUMIF('[1]DATOS PBI Artículos'!A:A,A303,'[1]DATOS PBI Artículos'!X:X)+$V303-_xlfn.XLOOKUP($A303,'[1]DATOS PBI Artículos'!A:A,'[1]DATOS PBI Artículos'!W:W))/IF($O303="",$N303,$O303)&gt;ROUNDUP([1]CRITERIOS!$M$16/(IF(COUNTIF([1]CRITERIOS!$BG$11:$BG$201,L303)&gt;=1,_xlfn.XLOOKUP($C303,[1]CRITERIOS!$K$25:$K$42,[1]CRITERIOS!$M$25:$M$42),_xlfn.XLOOKUP($C303,[1]CRITERIOS!$K$25:$K$42,[1]CRITERIOS!$M$25:$M$42))),0),
                    ROUNDUP([1]CRITERIOS!$M$16/(IF(COUNTIF([1]CRITERIOS!$BG$11:$BG$201,$L303)&gt;=1,_xlfn.XLOOKUP($C303,[1]CRITERIOS!$K$25:$K$42,[1]CRITERIOS!$M$25:$M$42),_xlfn.XLOOKUP($C303,[1]CRITERIOS!$K$25:$K$42,[1]CRITERIOS!$M$25:$M$42))),0),
                    (E303+V303-SUMIF('[1]DATOS PBI Artículos'!A:A,A303,'[1]DATOS PBI Artículos'!X:X)-_xlfn.XLOOKUP(A303,'[1]DATOS PBI Artículos'!A:A,'[1]DATOS PBI Artículos'!W:W))/IF($O303="",$N303,$O303))),0))))</f>
        <v>#N/A</v>
      </c>
      <c r="R303" s="33" t="e">
        <f>IF(U303&lt;&gt;"",U303,IF(F303="DV","MTO",IF(N303=0,"MTO",_xlfn.XLOOKUP(CONCATENATE(S303,T303),[1]CRITERIOS!$K$160:$K$168,[1]CRITERIOS!$N$160:$N$168))))</f>
        <v>#N/A</v>
      </c>
      <c r="S303" s="33" t="e">
        <f>IF(G303="DV","MTO",IF(N303=0,"MTO",IF(OR(AND(N303=0,O303=""),IF(O303="",G303/N303,G303/O303)&gt;[1]CRITERIOS!$G$163),"MTO",IF(IF(O303="",G303/N303,G303/O303)&lt;[1]CRITERIOS!$H$161,"MTS","MTOS"))))</f>
        <v>#N/A</v>
      </c>
      <c r="T303" s="33" t="e">
        <f>IF(F303="DV","MTO",IF(OR(AND($N303=0,O303=""),$F303/$J303&gt;[1]CRITERIOS!$G$170,$F303="DV"),"MTO",IF($F303/$J303&lt;[1]CRITERIOS!$H$168,"MTS","MTOS")))</f>
        <v>#N/A</v>
      </c>
      <c r="V303" s="34" t="e">
        <f t="shared" si="16"/>
        <v>#N/A</v>
      </c>
      <c r="X303" s="34" t="e">
        <f t="shared" si="14"/>
        <v>#N/A</v>
      </c>
      <c r="Y303" s="34" t="e">
        <f t="shared" si="15"/>
        <v>#N/A</v>
      </c>
      <c r="Z303" s="34" t="e">
        <f>IF($R303="MTO",
0,
($H303+$K303*($E303/[1]CRITERIOS!$M$16))/[1]CRITERIOS!$X$48)</f>
        <v>#N/A</v>
      </c>
      <c r="AA303" s="34" t="e">
        <f>ROUNDUP(($Y303/_xlfn.XLOOKUP($A303,'[1]DATOS PBI Artículos'!$A$4:$A$4,'[1]DATOS PBI Artículos'!$Z$4:$Z$4))/_xlfn.XLOOKUP(_xlfn.XLOOKUP($A303,'[1]DATOS PBI Artículos'!$A$4:$A$4,'[1]DATOS PBI Artículos'!$Y$4:$Y$4),[1]CRITERIOS!$P$79:$P$123,[1]CRITERIOS!$S$79:$S$123,),0)</f>
        <v>#N/A</v>
      </c>
      <c r="AB303" s="33" t="e">
        <f t="array" ref="AB303">IF((E303+V303-_xlfn.XLOOKUP(A303,'[1]DATOS PBI Artículos'!$A$4:$A$4,'[1]DATOS PBI Artículos'!$W$4:$W$4))/N303&gt;ROUNDUP([1]CRITERIOS!$M$16/(IF(COUNTIF([1]CRITERIOS!$BG$11:$BG$201,L303)&gt;=1,_xlfn.XLOOKUP(ARTÍCULOS!L303,[1]CRITERIOS!$BG$11:$BG$201,[1]CRITERIOS!$BJ$11:$BJ$201),_xlfn.XLOOKUP(ARTÍCULOS!C303,[1]CRITERIOS!$K$25:$K$42,[1]CRITERIOS!$M$25:$M$42))),0),ROUNDUP([1]CRITERIOS!$M$16/(IF(COUNTIF([1]CRITERIOS!$BG$11:$BG$201,L303)&gt;=1,_xlfn.XLOOKUP(ARTÍCULOS!L303,[1]CRITERIOS!$BG$11:$BG$201:#REF!,[1]CRITERIOS!$BJ$11:$BJ$201),_xlfn.XLOOKUP(ARTÍCULOS!C303,[1]CRITERIOS!$K$25:$K$42,[1]CRITERIOS!$M$25:$M$42))),0),(E303+V303-_xlfn.XLOOKUP(A303,'[1]DATOS PBI Artículos'!$A$4:$A$4,'[1]DATOS PBI Artículos'!$W$4:$W$4))/N303)</f>
        <v>#N/A</v>
      </c>
      <c r="AC303" s="33" t="e">
        <f>IF(N303=0,"",(ROUNDUP((N303/2)/(_xlfn.XLOOKUP(A303,'[1]DATOS PBI Artículos'!$A$4:$A$4,'[1]DATOS PBI Artículos'!$Z$4:$Z$4)*_xlfn.XLOOKUP(_xlfn.XLOOKUP(A303,'[1]DATOS PBI Artículos'!$A$4:$A$4,'[1]DATOS PBI Artículos'!$Y$4:$Y$4),[1]CRITERIOS!$P$79:$P$123,[1]CRITERIOS!$S$79:$S$123)),0)*[1]CRITERIOS!$M$80*([1]CRITERIOS!$M$110/[1]CRITERIOS!$M$86)+(_xlfn.XLOOKUP(A303,'[1]DATOS PBI Artículos'!$A$4:$A$4,'[1]DATOS PBI Artículos'!$AA$4:$AA$4)*([1]CRITERIOS!$M$95+[1]CRITERIOS!$M$98)))/N303)</f>
        <v>#N/A</v>
      </c>
      <c r="AD303" s="33" t="e">
        <f>IF(N303=0,"",(ROUNDUP((N303/2)/(_xlfn.XLOOKUP(A303,'[1]DATOS PBI Artículos'!$A$4:$A$4,'[1]DATOS PBI Artículos'!$Z$4:$Z$4)*_xlfn.XLOOKUP(_xlfn.XLOOKUP(A303,'[1]DATOS PBI Artículos'!$A$4:$A$4,'[1]DATOS PBI Artículos'!$Y$4:$Y$4),[1]CRITERIOS!$P$79:$P$123,[1]CRITERIOS!$S$79:$S$123)),0)*[1]CRITERIOS!$M$80*([1]CRITERIOS!$M$89*[1]CRITERIOS!$M$92)+((_xlfn.XLOOKUP(A303,'[1]DATOS PBI Artículos'!$A$4:$A$4,'[1]DATOS PBI Artículos'!$AA$4:$AA$4)/2)*([1]CRITERIOS!$M$95+[1]CRITERIOS!$M$98)))/N303)</f>
        <v>#N/A</v>
      </c>
      <c r="AE303" s="39" t="e">
        <f>IF($R303="MTO","",
IF($H303=0,ROUNDUP(((_xlfn.XLOOKUP($A303,'[1]DATOS PBI Artículos'!$A:$A,'[1]DATOS PBI Artículos'!$AL:$AL))/(_xlfn.XLOOKUP($AF$1,[1]CRITERIOS!$S$16:$S$39,[1]CRITERIOS!$Y$16:$Y$39))*$J303+$Z303)/$G303,0)*$G303,
((_xlfn.XLOOKUP($A303,'[1]DATOS PBI Artículos'!$A:$A,'[1]DATOS PBI Artículos'!$AL:$AL))/(_xlfn.XLOOKUP($AF$1,[1]CRITERIOS!$S$16:$S$39,[1]CRITERIOS!$Y$16:$Y$39))*$J303+$Z303)))</f>
        <v>#N/A</v>
      </c>
      <c r="AG303" s="39" t="e">
        <f>IF($R303="MTO","",
IF($H303=0,ROUNDUP(((_xlfn.XLOOKUP($A303,'[1]DATOS PBI Artículos'!$A:$A,'[1]DATOS PBI Artículos'!$AM:$AM))/(_xlfn.XLOOKUP($AH$1,[1]CRITERIOS!$S$16:$S$39,[1]CRITERIOS!$Y$16:$Y$39))*$J303+$Z303)/$G303,0)*$G303,
((_xlfn.XLOOKUP($A303,'[1]DATOS PBI Artículos'!$A:$A,'[1]DATOS PBI Artículos'!$AM:$AM))/(_xlfn.XLOOKUP($AH$1,[1]CRITERIOS!$S$16:$S$39,[1]CRITERIOS!$Y$16:$Y$39))*$J303+$Z303)))</f>
        <v>#N/A</v>
      </c>
      <c r="AI303" s="39" t="e">
        <f>IF($R303="MTO","",
IF($H303=0,ROUNDUP(((_xlfn.XLOOKUP($A303,'[1]DATOS PBI Artículos'!$A:$A,'[1]DATOS PBI Artículos'!$AN:$AN))/(_xlfn.XLOOKUP($AJ$1,[1]CRITERIOS!$S$16:$S$39,[1]CRITERIOS!$Y$16:$Y$39))*$J303+$Z303)/$G303,0)*$G303,
((_xlfn.XLOOKUP($A303,'[1]DATOS PBI Artículos'!$A:$A,'[1]DATOS PBI Artículos'!$AN:$AN))/(_xlfn.XLOOKUP($AJ$1,[1]CRITERIOS!$S$16:$S$39,[1]CRITERIOS!$Y$16:$Y$39))*$J303+$Z303)))</f>
        <v>#N/A</v>
      </c>
      <c r="AK303" s="39" t="e">
        <f>IF($R303="MTO","",
IF($H303=0,ROUNDUP(((_xlfn.XLOOKUP($A303,'[1]DATOS PBI Artículos'!$A:$A,'[1]DATOS PBI Artículos'!$AO:$AO))/(_xlfn.XLOOKUP($AL$1,[1]CRITERIOS!$S$16:$S$39,[1]CRITERIOS!$Y$16:$Y$39))*$J303+$Z303)/$G303,0)*$G303,
((_xlfn.XLOOKUP($A303,'[1]DATOS PBI Artículos'!$A:$A,'[1]DATOS PBI Artículos'!$AO:$AO))/(_xlfn.XLOOKUP($AL$1,[1]CRITERIOS!$S$16:$S$39,[1]CRITERIOS!$Y$16:$Y$39))*$J303+$Z303)))</f>
        <v>#N/A</v>
      </c>
    </row>
    <row r="304" spans="1:37" ht="25.8" hidden="1" x14ac:dyDescent="0.4">
      <c r="A304" s="41"/>
      <c r="B304" s="33">
        <f>_xlfn.XLOOKUP($A304,'[1]DATOS PBI Artículos'!A:A,'[1]DATOS PBI Artículos'!B:B)</f>
        <v>0</v>
      </c>
      <c r="C304" s="33">
        <f>_xlfn.XLOOKUP($A304,'[1]DATOS PBI Artículos'!A:A,'[1]DATOS PBI Artículos'!C:C)</f>
        <v>0</v>
      </c>
      <c r="D304" s="33">
        <f>_xlfn.XLOOKUP(A304,'[1]DATOS PBI Artículos'!A:A,'[1]DATOS PBI Artículos'!T:T)</f>
        <v>0</v>
      </c>
      <c r="E304" s="34">
        <f>IF(_xlfn.XLOOKUP($A304,'[1]DATOS PBI Artículos'!A:A,'[1]DATOS PBI Artículos'!AK:AK)="",_xlfn.XLOOKUP($A304,'[1]DATOS PBI Artículos'!A:A,'[1]DATOS PBI Artículos'!AJ:AJ),_xlfn.XLOOKUP($A304,'[1]DATOS PBI Artículos'!A:A,'[1]DATOS PBI Artículos'!AK:AK))</f>
        <v>0</v>
      </c>
      <c r="F304" s="35">
        <f>_xlfn.XLOOKUP($A304,'[1]DATOS PBI Artículos'!A:A,'[1]DATOS PBI Artículos'!AP:AP)</f>
        <v>0</v>
      </c>
      <c r="G304" s="34">
        <f>_xlfn.XLOOKUP($A304,'[1]DATOS PBI Artículos'!A:A,'[1]DATOS PBI Artículos'!AR:AR)</f>
        <v>0</v>
      </c>
      <c r="H304" s="34">
        <f>_xlfn.XLOOKUP($A304,'[1]DATOS PBI Artículos'!A:A,'[1]DATOS PBI Artículos'!AT:AT)</f>
        <v>0</v>
      </c>
      <c r="I304" s="34">
        <f>_xlfn.XLOOKUP($A304,'[1]DATOS PBI Artículos'!A:A,'[1]DATOS PBI Artículos'!AS:AS)</f>
        <v>0</v>
      </c>
      <c r="J304" s="35">
        <f>IF(COUNTIF([1]CRITERIOS!$F$179:$F$199,$A304)&gt;=1,
 IF(O304&lt;&gt;"",
    (O304/_xlfn.XLOOKUP(CONCATENATE(A304,L304),[1]MÁQUINAS!A:A,[1]MÁQUINAS!D:D))/24,
    (N304/_xlfn.XLOOKUP(CONCATENATE(A304,L304),[1]MÁQUINAS!A:A,[1]MÁQUINAS!D:D))/24),
  _xlfn.XLOOKUP($A304,'[1]DATOS PBI Artículos'!A:A,'[1]DATOS PBI Artículos'!AU:AU))</f>
        <v>0</v>
      </c>
      <c r="K304" s="36">
        <f>_xlfn.XLOOKUP($A304,'[1]DATOS PBI Artículos'!A:A,'[1]DATOS PBI Artículos'!AV:AV)</f>
        <v>0</v>
      </c>
      <c r="L304" s="33">
        <f>_xlfn.XLOOKUP(A304,[1]MÁQUINAS!B:B,[1]MÁQUINAS!C:C)</f>
        <v>0</v>
      </c>
      <c r="M304" s="34">
        <f t="array" ref="M304">_xlfn.XLOOKUP(A304,'[1]DATOS PBI Artículos'!A:A,'[1]DATOS PBI Artículos'!AX:$AX)</f>
        <v>0</v>
      </c>
      <c r="N304" s="37" t="e">
        <f>IF(I304="DV",
E304,
IF(COUNTIF([1]CRITERIOS!$I$179:$I$199,$A304)&gt;=1,
_xlfn.XLOOKUP($A304,[1]CRITERIOS!$I$179:$I$199,[1]CRITERIOS!$J$179:$J$199),
IF(COUNTIF([1]CRITERIOS!$L$179:$L$199,$A304)&gt;=1,
_xlfn.CEILING.MATH(IF($M304&gt;$E304,
$E304,
IF($M304&lt;$E304/ROUNDDOWN([1]CRITERIOS!$M$16/_xlfn.XLOOKUP($C304,[1]CRITERIOS!$K$25:$K$42,[1]CRITERIOS!$M$25:$M$42),
1),
E304/ROUNDDOWN([1]CRITERIOS!$M$16/_xlfn.XLOOKUP($C304,[1]CRITERIOS!$K$25:$K$42,[1]CRITERIOS!$M$25:$M$42),
1),
$M304)),
_xlfn.XLOOKUP($A304,[1]CRITERIOS!$L$179:$L$200,[1]CRITERIOS!$M$179:$M$200)),
_xlfn.CEILING.MATH(IF($M304&gt;$E304,
$E304,
IF($M304&lt;$E304/ROUNDDOWN([1]CRITERIOS!$M$16/_xlfn.XLOOKUP($C304,[1]CRITERIOS!$K$25:$K$42,[1]CRITERIOS!$M$25:$M$42),
1),
E304/ROUNDDOWN([1]CRITERIOS!$M$16/_xlfn.XLOOKUP($C304,[1]CRITERIOS!$K$25:$K$42,[1]CRITERIOS!$M$25:$M$42),
1),
$M304)),_xlfn.XLOOKUP(A304,'[1]DATOS PBI Artículos'!A:A,'[1]DATOS PBI Artículos'!Z:Z
)))))</f>
        <v>#N/A</v>
      </c>
      <c r="Q304" s="38" t="e">
        <f>IF(AND(O304="",N304=0),
0,
   IF(COUNTIF([1]CRITERIOS!$F$179:$F$199,$A304)&gt;=1,
   1,
   IF(R304="MTO",
      $D304,
      ROUNDUP(
                    IF(($E304-SUMIF('[1]DATOS PBI Artículos'!A:A,A304,'[1]DATOS PBI Artículos'!X:X)+($V304-_xlfn.XLOOKUP(A304,'[1]DATOS PBI Artículos'!A:A,'[1]DATOS PBI Artículos'!W:W)))&lt;0,
                    0,
                    IF(($E304-SUMIF('[1]DATOS PBI Artículos'!A:A,A304,'[1]DATOS PBI Artículos'!X:X)+$V304-_xlfn.XLOOKUP($A304,'[1]DATOS PBI Artículos'!A:A,'[1]DATOS PBI Artículos'!W:W))/IF($O304="",$N304,$O304)&gt;ROUNDUP([1]CRITERIOS!$M$16/(IF(COUNTIF([1]CRITERIOS!$BG$11:$BG$201,L304)&gt;=1,_xlfn.XLOOKUP($C304,[1]CRITERIOS!$K$25:$K$42,[1]CRITERIOS!$M$25:$M$42),_xlfn.XLOOKUP($C304,[1]CRITERIOS!$K$25:$K$42,[1]CRITERIOS!$M$25:$M$42))),0),
                    ROUNDUP([1]CRITERIOS!$M$16/(IF(COUNTIF([1]CRITERIOS!$BG$11:$BG$201,$L304)&gt;=1,_xlfn.XLOOKUP($C304,[1]CRITERIOS!$K$25:$K$42,[1]CRITERIOS!$M$25:$M$42),_xlfn.XLOOKUP($C304,[1]CRITERIOS!$K$25:$K$42,[1]CRITERIOS!$M$25:$M$42))),0),
                    (E304+V304-SUMIF('[1]DATOS PBI Artículos'!A:A,A304,'[1]DATOS PBI Artículos'!X:X)-_xlfn.XLOOKUP(A304,'[1]DATOS PBI Artículos'!A:A,'[1]DATOS PBI Artículos'!W:W))/IF($O304="",$N304,$O304))),0))))</f>
        <v>#N/A</v>
      </c>
      <c r="R304" s="33" t="e">
        <f>IF(U304&lt;&gt;"",U304,IF(F304="DV","MTO",IF(N304=0,"MTO",_xlfn.XLOOKUP(CONCATENATE(S304,T304),[1]CRITERIOS!$K$160:$K$168,[1]CRITERIOS!$N$160:$N$168))))</f>
        <v>#N/A</v>
      </c>
      <c r="S304" s="33" t="e">
        <f>IF(G304="DV","MTO",IF(N304=0,"MTO",IF(OR(AND(N304=0,O304=""),IF(O304="",G304/N304,G304/O304)&gt;[1]CRITERIOS!$G$163),"MTO",IF(IF(O304="",G304/N304,G304/O304)&lt;[1]CRITERIOS!$H$161,"MTS","MTOS"))))</f>
        <v>#N/A</v>
      </c>
      <c r="T304" s="33" t="e">
        <f>IF(F304="DV","MTO",IF(OR(AND($N304=0,O304=""),$F304/$J304&gt;[1]CRITERIOS!$G$170,$F304="DV"),"MTO",IF($F304/$J304&lt;[1]CRITERIOS!$H$168,"MTS","MTOS")))</f>
        <v>#N/A</v>
      </c>
      <c r="V304" s="34" t="e">
        <f t="shared" si="16"/>
        <v>#N/A</v>
      </c>
      <c r="X304" s="34" t="e">
        <f t="shared" si="14"/>
        <v>#N/A</v>
      </c>
      <c r="Y304" s="34" t="e">
        <f t="shared" si="15"/>
        <v>#N/A</v>
      </c>
      <c r="Z304" s="34" t="e">
        <f>IF($R304="MTO",
0,
($H304+$K304*($E304/[1]CRITERIOS!$M$16))/[1]CRITERIOS!$X$48)</f>
        <v>#N/A</v>
      </c>
      <c r="AA304" s="34" t="e">
        <f>ROUNDUP(($Y304/_xlfn.XLOOKUP($A304,'[1]DATOS PBI Artículos'!$A$4:$A$4,'[1]DATOS PBI Artículos'!$Z$4:$Z$4))/_xlfn.XLOOKUP(_xlfn.XLOOKUP($A304,'[1]DATOS PBI Artículos'!$A$4:$A$4,'[1]DATOS PBI Artículos'!$Y$4:$Y$4),[1]CRITERIOS!$P$79:$P$123,[1]CRITERIOS!$S$79:$S$123,),0)</f>
        <v>#N/A</v>
      </c>
      <c r="AB304" s="33" t="e">
        <f t="array" ref="AB304">IF((E304+V304-_xlfn.XLOOKUP(A304,'[1]DATOS PBI Artículos'!$A$4:$A$4,'[1]DATOS PBI Artículos'!$W$4:$W$4))/N304&gt;ROUNDUP([1]CRITERIOS!$M$16/(IF(COUNTIF([1]CRITERIOS!$BG$11:$BG$201,L304)&gt;=1,_xlfn.XLOOKUP(ARTÍCULOS!L304,[1]CRITERIOS!$BG$11:$BG$201,[1]CRITERIOS!$BJ$11:$BJ$201),_xlfn.XLOOKUP(ARTÍCULOS!C304,[1]CRITERIOS!$K$25:$K$42,[1]CRITERIOS!$M$25:$M$42))),0),ROUNDUP([1]CRITERIOS!$M$16/(IF(COUNTIF([1]CRITERIOS!$BG$11:$BG$201,L304)&gt;=1,_xlfn.XLOOKUP(ARTÍCULOS!L304,[1]CRITERIOS!$BG$11:$BG$201:#REF!,[1]CRITERIOS!$BJ$11:$BJ$201),_xlfn.XLOOKUP(ARTÍCULOS!C304,[1]CRITERIOS!$K$25:$K$42,[1]CRITERIOS!$M$25:$M$42))),0),(E304+V304-_xlfn.XLOOKUP(A304,'[1]DATOS PBI Artículos'!$A$4:$A$4,'[1]DATOS PBI Artículos'!$W$4:$W$4))/N304)</f>
        <v>#N/A</v>
      </c>
      <c r="AC304" s="33" t="e">
        <f>IF(N304=0,"",(ROUNDUP((N304/2)/(_xlfn.XLOOKUP(A304,'[1]DATOS PBI Artículos'!$A$4:$A$4,'[1]DATOS PBI Artículos'!$Z$4:$Z$4)*_xlfn.XLOOKUP(_xlfn.XLOOKUP(A304,'[1]DATOS PBI Artículos'!$A$4:$A$4,'[1]DATOS PBI Artículos'!$Y$4:$Y$4),[1]CRITERIOS!$P$79:$P$123,[1]CRITERIOS!$S$79:$S$123)),0)*[1]CRITERIOS!$M$80*([1]CRITERIOS!$M$110/[1]CRITERIOS!$M$86)+(_xlfn.XLOOKUP(A304,'[1]DATOS PBI Artículos'!$A$4:$A$4,'[1]DATOS PBI Artículos'!$AA$4:$AA$4)*([1]CRITERIOS!$M$95+[1]CRITERIOS!$M$98)))/N304)</f>
        <v>#N/A</v>
      </c>
      <c r="AD304" s="33" t="e">
        <f>IF(N304=0,"",(ROUNDUP((N304/2)/(_xlfn.XLOOKUP(A304,'[1]DATOS PBI Artículos'!$A$4:$A$4,'[1]DATOS PBI Artículos'!$Z$4:$Z$4)*_xlfn.XLOOKUP(_xlfn.XLOOKUP(A304,'[1]DATOS PBI Artículos'!$A$4:$A$4,'[1]DATOS PBI Artículos'!$Y$4:$Y$4),[1]CRITERIOS!$P$79:$P$123,[1]CRITERIOS!$S$79:$S$123)),0)*[1]CRITERIOS!$M$80*([1]CRITERIOS!$M$89*[1]CRITERIOS!$M$92)+((_xlfn.XLOOKUP(A304,'[1]DATOS PBI Artículos'!$A$4:$A$4,'[1]DATOS PBI Artículos'!$AA$4:$AA$4)/2)*([1]CRITERIOS!$M$95+[1]CRITERIOS!$M$98)))/N304)</f>
        <v>#N/A</v>
      </c>
      <c r="AE304" s="39" t="e">
        <f>IF($R304="MTO","",
IF($H304=0,ROUNDUP(((_xlfn.XLOOKUP($A304,'[1]DATOS PBI Artículos'!$A:$A,'[1]DATOS PBI Artículos'!$AL:$AL))/(_xlfn.XLOOKUP($AF$1,[1]CRITERIOS!$S$16:$S$39,[1]CRITERIOS!$Y$16:$Y$39))*$J304+$Z304)/$G304,0)*$G304,
((_xlfn.XLOOKUP($A304,'[1]DATOS PBI Artículos'!$A:$A,'[1]DATOS PBI Artículos'!$AL:$AL))/(_xlfn.XLOOKUP($AF$1,[1]CRITERIOS!$S$16:$S$39,[1]CRITERIOS!$Y$16:$Y$39))*$J304+$Z304)))</f>
        <v>#N/A</v>
      </c>
      <c r="AG304" s="39" t="e">
        <f>IF($R304="MTO","",
IF($H304=0,ROUNDUP(((_xlfn.XLOOKUP($A304,'[1]DATOS PBI Artículos'!$A:$A,'[1]DATOS PBI Artículos'!$AM:$AM))/(_xlfn.XLOOKUP($AH$1,[1]CRITERIOS!$S$16:$S$39,[1]CRITERIOS!$Y$16:$Y$39))*$J304+$Z304)/$G304,0)*$G304,
((_xlfn.XLOOKUP($A304,'[1]DATOS PBI Artículos'!$A:$A,'[1]DATOS PBI Artículos'!$AM:$AM))/(_xlfn.XLOOKUP($AH$1,[1]CRITERIOS!$S$16:$S$39,[1]CRITERIOS!$Y$16:$Y$39))*$J304+$Z304)))</f>
        <v>#N/A</v>
      </c>
      <c r="AI304" s="39" t="e">
        <f>IF($R304="MTO","",
IF($H304=0,ROUNDUP(((_xlfn.XLOOKUP($A304,'[1]DATOS PBI Artículos'!$A:$A,'[1]DATOS PBI Artículos'!$AN:$AN))/(_xlfn.XLOOKUP($AJ$1,[1]CRITERIOS!$S$16:$S$39,[1]CRITERIOS!$Y$16:$Y$39))*$J304+$Z304)/$G304,0)*$G304,
((_xlfn.XLOOKUP($A304,'[1]DATOS PBI Artículos'!$A:$A,'[1]DATOS PBI Artículos'!$AN:$AN))/(_xlfn.XLOOKUP($AJ$1,[1]CRITERIOS!$S$16:$S$39,[1]CRITERIOS!$Y$16:$Y$39))*$J304+$Z304)))</f>
        <v>#N/A</v>
      </c>
      <c r="AK304" s="39" t="e">
        <f>IF($R304="MTO","",
IF($H304=0,ROUNDUP(((_xlfn.XLOOKUP($A304,'[1]DATOS PBI Artículos'!$A:$A,'[1]DATOS PBI Artículos'!$AO:$AO))/(_xlfn.XLOOKUP($AL$1,[1]CRITERIOS!$S$16:$S$39,[1]CRITERIOS!$Y$16:$Y$39))*$J304+$Z304)/$G304,0)*$G304,
((_xlfn.XLOOKUP($A304,'[1]DATOS PBI Artículos'!$A:$A,'[1]DATOS PBI Artículos'!$AO:$AO))/(_xlfn.XLOOKUP($AL$1,[1]CRITERIOS!$S$16:$S$39,[1]CRITERIOS!$Y$16:$Y$39))*$J304+$Z304)))</f>
        <v>#N/A</v>
      </c>
    </row>
    <row r="305" spans="1:37" ht="25.8" hidden="1" x14ac:dyDescent="0.4">
      <c r="A305" s="41"/>
      <c r="B305" s="33">
        <f>_xlfn.XLOOKUP($A305,'[1]DATOS PBI Artículos'!A:A,'[1]DATOS PBI Artículos'!B:B)</f>
        <v>0</v>
      </c>
      <c r="C305" s="33">
        <f>_xlfn.XLOOKUP($A305,'[1]DATOS PBI Artículos'!A:A,'[1]DATOS PBI Artículos'!C:C)</f>
        <v>0</v>
      </c>
      <c r="D305" s="33">
        <f>_xlfn.XLOOKUP(A305,'[1]DATOS PBI Artículos'!A:A,'[1]DATOS PBI Artículos'!T:T)</f>
        <v>0</v>
      </c>
      <c r="E305" s="34">
        <f>IF(_xlfn.XLOOKUP($A305,'[1]DATOS PBI Artículos'!A:A,'[1]DATOS PBI Artículos'!AK:AK)="",_xlfn.XLOOKUP($A305,'[1]DATOS PBI Artículos'!A:A,'[1]DATOS PBI Artículos'!AJ:AJ),_xlfn.XLOOKUP($A305,'[1]DATOS PBI Artículos'!A:A,'[1]DATOS PBI Artículos'!AK:AK))</f>
        <v>0</v>
      </c>
      <c r="F305" s="35">
        <f>_xlfn.XLOOKUP($A305,'[1]DATOS PBI Artículos'!A:A,'[1]DATOS PBI Artículos'!AP:AP)</f>
        <v>0</v>
      </c>
      <c r="G305" s="34">
        <f>_xlfn.XLOOKUP($A305,'[1]DATOS PBI Artículos'!A:A,'[1]DATOS PBI Artículos'!AR:AR)</f>
        <v>0</v>
      </c>
      <c r="H305" s="34">
        <f>_xlfn.XLOOKUP($A305,'[1]DATOS PBI Artículos'!A:A,'[1]DATOS PBI Artículos'!AT:AT)</f>
        <v>0</v>
      </c>
      <c r="I305" s="34">
        <f>_xlfn.XLOOKUP($A305,'[1]DATOS PBI Artículos'!A:A,'[1]DATOS PBI Artículos'!AS:AS)</f>
        <v>0</v>
      </c>
      <c r="J305" s="35">
        <f>IF(COUNTIF([1]CRITERIOS!$F$179:$F$199,$A305)&gt;=1,
 IF(O305&lt;&gt;"",
    (O305/_xlfn.XLOOKUP(CONCATENATE(A305,L305),[1]MÁQUINAS!A:A,[1]MÁQUINAS!D:D))/24,
    (N305/_xlfn.XLOOKUP(CONCATENATE(A305,L305),[1]MÁQUINAS!A:A,[1]MÁQUINAS!D:D))/24),
  _xlfn.XLOOKUP($A305,'[1]DATOS PBI Artículos'!A:A,'[1]DATOS PBI Artículos'!AU:AU))</f>
        <v>0</v>
      </c>
      <c r="K305" s="36">
        <f>_xlfn.XLOOKUP($A305,'[1]DATOS PBI Artículos'!A:A,'[1]DATOS PBI Artículos'!AV:AV)</f>
        <v>0</v>
      </c>
      <c r="L305" s="33">
        <f>_xlfn.XLOOKUP(A305,[1]MÁQUINAS!B:B,[1]MÁQUINAS!C:C)</f>
        <v>0</v>
      </c>
      <c r="M305" s="34">
        <f t="array" ref="M305">_xlfn.XLOOKUP(A305,'[1]DATOS PBI Artículos'!A:A,'[1]DATOS PBI Artículos'!AX:$AX)</f>
        <v>0</v>
      </c>
      <c r="N305" s="37" t="e">
        <f>IF(I305="DV",
E305,
IF(COUNTIF([1]CRITERIOS!$I$179:$I$199,$A305)&gt;=1,
_xlfn.XLOOKUP($A305,[1]CRITERIOS!$I$179:$I$199,[1]CRITERIOS!$J$179:$J$199),
IF(COUNTIF([1]CRITERIOS!$L$179:$L$199,$A305)&gt;=1,
_xlfn.CEILING.MATH(IF($M305&gt;$E305,
$E305,
IF($M305&lt;$E305/ROUNDDOWN([1]CRITERIOS!$M$16/_xlfn.XLOOKUP($C305,[1]CRITERIOS!$K$25:$K$42,[1]CRITERIOS!$M$25:$M$42),
1),
E305/ROUNDDOWN([1]CRITERIOS!$M$16/_xlfn.XLOOKUP($C305,[1]CRITERIOS!$K$25:$K$42,[1]CRITERIOS!$M$25:$M$42),
1),
$M305)),
_xlfn.XLOOKUP($A305,[1]CRITERIOS!$L$179:$L$200,[1]CRITERIOS!$M$179:$M$200)),
_xlfn.CEILING.MATH(IF($M305&gt;$E305,
$E305,
IF($M305&lt;$E305/ROUNDDOWN([1]CRITERIOS!$M$16/_xlfn.XLOOKUP($C305,[1]CRITERIOS!$K$25:$K$42,[1]CRITERIOS!$M$25:$M$42),
1),
E305/ROUNDDOWN([1]CRITERIOS!$M$16/_xlfn.XLOOKUP($C305,[1]CRITERIOS!$K$25:$K$42,[1]CRITERIOS!$M$25:$M$42),
1),
$M305)),_xlfn.XLOOKUP(A305,'[1]DATOS PBI Artículos'!A:A,'[1]DATOS PBI Artículos'!Z:Z
)))))</f>
        <v>#N/A</v>
      </c>
      <c r="Q305" s="38" t="e">
        <f>IF(AND(O305="",N305=0),
0,
   IF(COUNTIF([1]CRITERIOS!$F$179:$F$199,$A305)&gt;=1,
   1,
   IF(R305="MTO",
      $D305,
      ROUNDUP(
                    IF(($E305-SUMIF('[1]DATOS PBI Artículos'!A:A,A305,'[1]DATOS PBI Artículos'!X:X)+($V305-_xlfn.XLOOKUP(A305,'[1]DATOS PBI Artículos'!A:A,'[1]DATOS PBI Artículos'!W:W)))&lt;0,
                    0,
                    IF(($E305-SUMIF('[1]DATOS PBI Artículos'!A:A,A305,'[1]DATOS PBI Artículos'!X:X)+$V305-_xlfn.XLOOKUP($A305,'[1]DATOS PBI Artículos'!A:A,'[1]DATOS PBI Artículos'!W:W))/IF($O305="",$N305,$O305)&gt;ROUNDUP([1]CRITERIOS!$M$16/(IF(COUNTIF([1]CRITERIOS!$BG$11:$BG$201,L305)&gt;=1,_xlfn.XLOOKUP($C305,[1]CRITERIOS!$K$25:$K$42,[1]CRITERIOS!$M$25:$M$42),_xlfn.XLOOKUP($C305,[1]CRITERIOS!$K$25:$K$42,[1]CRITERIOS!$M$25:$M$42))),0),
                    ROUNDUP([1]CRITERIOS!$M$16/(IF(COUNTIF([1]CRITERIOS!$BG$11:$BG$201,$L305)&gt;=1,_xlfn.XLOOKUP($C305,[1]CRITERIOS!$K$25:$K$42,[1]CRITERIOS!$M$25:$M$42),_xlfn.XLOOKUP($C305,[1]CRITERIOS!$K$25:$K$42,[1]CRITERIOS!$M$25:$M$42))),0),
                    (E305+V305-SUMIF('[1]DATOS PBI Artículos'!A:A,A305,'[1]DATOS PBI Artículos'!X:X)-_xlfn.XLOOKUP(A305,'[1]DATOS PBI Artículos'!A:A,'[1]DATOS PBI Artículos'!W:W))/IF($O305="",$N305,$O305))),0))))</f>
        <v>#N/A</v>
      </c>
      <c r="R305" s="33" t="e">
        <f>IF(U305&lt;&gt;"",U305,IF(F305="DV","MTO",IF(N305=0,"MTO",_xlfn.XLOOKUP(CONCATENATE(S305,T305),[1]CRITERIOS!$K$160:$K$168,[1]CRITERIOS!$N$160:$N$168))))</f>
        <v>#N/A</v>
      </c>
      <c r="S305" s="33" t="e">
        <f>IF(G305="DV","MTO",IF(N305=0,"MTO",IF(OR(AND(N305=0,O305=""),IF(O305="",G305/N305,G305/O305)&gt;[1]CRITERIOS!$G$163),"MTO",IF(IF(O305="",G305/N305,G305/O305)&lt;[1]CRITERIOS!$H$161,"MTS","MTOS"))))</f>
        <v>#N/A</v>
      </c>
      <c r="T305" s="33" t="e">
        <f>IF(F305="DV","MTO",IF(OR(AND($N305=0,O305=""),$F305/$J305&gt;[1]CRITERIOS!$G$170,$F305="DV"),"MTO",IF($F305/$J305&lt;[1]CRITERIOS!$H$168,"MTS","MTOS")))</f>
        <v>#N/A</v>
      </c>
      <c r="V305" s="34" t="e">
        <f t="shared" si="16"/>
        <v>#N/A</v>
      </c>
      <c r="X305" s="34" t="e">
        <f t="shared" si="14"/>
        <v>#N/A</v>
      </c>
      <c r="Y305" s="34" t="e">
        <f t="shared" si="15"/>
        <v>#N/A</v>
      </c>
      <c r="Z305" s="34" t="e">
        <f>IF($R305="MTO",
0,
($H305+$K305*($E305/[1]CRITERIOS!$M$16))/[1]CRITERIOS!$X$48)</f>
        <v>#N/A</v>
      </c>
      <c r="AA305" s="34" t="e">
        <f>ROUNDUP(($Y305/_xlfn.XLOOKUP($A305,'[1]DATOS PBI Artículos'!$A$4:$A$4,'[1]DATOS PBI Artículos'!$Z$4:$Z$4))/_xlfn.XLOOKUP(_xlfn.XLOOKUP($A305,'[1]DATOS PBI Artículos'!$A$4:$A$4,'[1]DATOS PBI Artículos'!$Y$4:$Y$4),[1]CRITERIOS!$P$79:$P$123,[1]CRITERIOS!$S$79:$S$123,),0)</f>
        <v>#N/A</v>
      </c>
      <c r="AB305" s="33" t="e">
        <f t="array" ref="AB305">IF((E305+V305-_xlfn.XLOOKUP(A305,'[1]DATOS PBI Artículos'!$A$4:$A$4,'[1]DATOS PBI Artículos'!$W$4:$W$4))/N305&gt;ROUNDUP([1]CRITERIOS!$M$16/(IF(COUNTIF([1]CRITERIOS!$BG$11:$BG$201,L305)&gt;=1,_xlfn.XLOOKUP(ARTÍCULOS!L305,[1]CRITERIOS!$BG$11:$BG$201,[1]CRITERIOS!$BJ$11:$BJ$201),_xlfn.XLOOKUP(ARTÍCULOS!C305,[1]CRITERIOS!$K$25:$K$42,[1]CRITERIOS!$M$25:$M$42))),0),ROUNDUP([1]CRITERIOS!$M$16/(IF(COUNTIF([1]CRITERIOS!$BG$11:$BG$201,L305)&gt;=1,_xlfn.XLOOKUP(ARTÍCULOS!L305,[1]CRITERIOS!$BG$11:$BG$201:#REF!,[1]CRITERIOS!$BJ$11:$BJ$201),_xlfn.XLOOKUP(ARTÍCULOS!C305,[1]CRITERIOS!$K$25:$K$42,[1]CRITERIOS!$M$25:$M$42))),0),(E305+V305-_xlfn.XLOOKUP(A305,'[1]DATOS PBI Artículos'!$A$4:$A$4,'[1]DATOS PBI Artículos'!$W$4:$W$4))/N305)</f>
        <v>#N/A</v>
      </c>
      <c r="AC305" s="33" t="e">
        <f>IF(N305=0,"",(ROUNDUP((N305/2)/(_xlfn.XLOOKUP(A305,'[1]DATOS PBI Artículos'!$A$4:$A$4,'[1]DATOS PBI Artículos'!$Z$4:$Z$4)*_xlfn.XLOOKUP(_xlfn.XLOOKUP(A305,'[1]DATOS PBI Artículos'!$A$4:$A$4,'[1]DATOS PBI Artículos'!$Y$4:$Y$4),[1]CRITERIOS!$P$79:$P$123,[1]CRITERIOS!$S$79:$S$123)),0)*[1]CRITERIOS!$M$80*([1]CRITERIOS!$M$110/[1]CRITERIOS!$M$86)+(_xlfn.XLOOKUP(A305,'[1]DATOS PBI Artículos'!$A$4:$A$4,'[1]DATOS PBI Artículos'!$AA$4:$AA$4)*([1]CRITERIOS!$M$95+[1]CRITERIOS!$M$98)))/N305)</f>
        <v>#N/A</v>
      </c>
      <c r="AD305" s="33" t="e">
        <f>IF(N305=0,"",(ROUNDUP((N305/2)/(_xlfn.XLOOKUP(A305,'[1]DATOS PBI Artículos'!$A$4:$A$4,'[1]DATOS PBI Artículos'!$Z$4:$Z$4)*_xlfn.XLOOKUP(_xlfn.XLOOKUP(A305,'[1]DATOS PBI Artículos'!$A$4:$A$4,'[1]DATOS PBI Artículos'!$Y$4:$Y$4),[1]CRITERIOS!$P$79:$P$123,[1]CRITERIOS!$S$79:$S$123)),0)*[1]CRITERIOS!$M$80*([1]CRITERIOS!$M$89*[1]CRITERIOS!$M$92)+((_xlfn.XLOOKUP(A305,'[1]DATOS PBI Artículos'!$A$4:$A$4,'[1]DATOS PBI Artículos'!$AA$4:$AA$4)/2)*([1]CRITERIOS!$M$95+[1]CRITERIOS!$M$98)))/N305)</f>
        <v>#N/A</v>
      </c>
      <c r="AE305" s="39" t="e">
        <f>IF($R305="MTO","",
IF($H305=0,ROUNDUP(((_xlfn.XLOOKUP($A305,'[1]DATOS PBI Artículos'!$A:$A,'[1]DATOS PBI Artículos'!$AL:$AL))/(_xlfn.XLOOKUP($AF$1,[1]CRITERIOS!$S$16:$S$39,[1]CRITERIOS!$Y$16:$Y$39))*$J305+$Z305)/$G305,0)*$G305,
((_xlfn.XLOOKUP($A305,'[1]DATOS PBI Artículos'!$A:$A,'[1]DATOS PBI Artículos'!$AL:$AL))/(_xlfn.XLOOKUP($AF$1,[1]CRITERIOS!$S$16:$S$39,[1]CRITERIOS!$Y$16:$Y$39))*$J305+$Z305)))</f>
        <v>#N/A</v>
      </c>
      <c r="AG305" s="39" t="e">
        <f>IF($R305="MTO","",
IF($H305=0,ROUNDUP(((_xlfn.XLOOKUP($A305,'[1]DATOS PBI Artículos'!$A:$A,'[1]DATOS PBI Artículos'!$AM:$AM))/(_xlfn.XLOOKUP($AH$1,[1]CRITERIOS!$S$16:$S$39,[1]CRITERIOS!$Y$16:$Y$39))*$J305+$Z305)/$G305,0)*$G305,
((_xlfn.XLOOKUP($A305,'[1]DATOS PBI Artículos'!$A:$A,'[1]DATOS PBI Artículos'!$AM:$AM))/(_xlfn.XLOOKUP($AH$1,[1]CRITERIOS!$S$16:$S$39,[1]CRITERIOS!$Y$16:$Y$39))*$J305+$Z305)))</f>
        <v>#N/A</v>
      </c>
      <c r="AI305" s="39" t="e">
        <f>IF($R305="MTO","",
IF($H305=0,ROUNDUP(((_xlfn.XLOOKUP($A305,'[1]DATOS PBI Artículos'!$A:$A,'[1]DATOS PBI Artículos'!$AN:$AN))/(_xlfn.XLOOKUP($AJ$1,[1]CRITERIOS!$S$16:$S$39,[1]CRITERIOS!$Y$16:$Y$39))*$J305+$Z305)/$G305,0)*$G305,
((_xlfn.XLOOKUP($A305,'[1]DATOS PBI Artículos'!$A:$A,'[1]DATOS PBI Artículos'!$AN:$AN))/(_xlfn.XLOOKUP($AJ$1,[1]CRITERIOS!$S$16:$S$39,[1]CRITERIOS!$Y$16:$Y$39))*$J305+$Z305)))</f>
        <v>#N/A</v>
      </c>
      <c r="AK305" s="39" t="e">
        <f>IF($R305="MTO","",
IF($H305=0,ROUNDUP(((_xlfn.XLOOKUP($A305,'[1]DATOS PBI Artículos'!$A:$A,'[1]DATOS PBI Artículos'!$AO:$AO))/(_xlfn.XLOOKUP($AL$1,[1]CRITERIOS!$S$16:$S$39,[1]CRITERIOS!$Y$16:$Y$39))*$J305+$Z305)/$G305,0)*$G305,
((_xlfn.XLOOKUP($A305,'[1]DATOS PBI Artículos'!$A:$A,'[1]DATOS PBI Artículos'!$AO:$AO))/(_xlfn.XLOOKUP($AL$1,[1]CRITERIOS!$S$16:$S$39,[1]CRITERIOS!$Y$16:$Y$39))*$J305+$Z305)))</f>
        <v>#N/A</v>
      </c>
    </row>
    <row r="306" spans="1:37" ht="25.8" hidden="1" x14ac:dyDescent="0.4">
      <c r="A306" s="41"/>
      <c r="B306" s="33">
        <f>_xlfn.XLOOKUP($A306,'[1]DATOS PBI Artículos'!A:A,'[1]DATOS PBI Artículos'!B:B)</f>
        <v>0</v>
      </c>
      <c r="C306" s="33">
        <f>_xlfn.XLOOKUP($A306,'[1]DATOS PBI Artículos'!A:A,'[1]DATOS PBI Artículos'!C:C)</f>
        <v>0</v>
      </c>
      <c r="D306" s="33">
        <f>_xlfn.XLOOKUP(A306,'[1]DATOS PBI Artículos'!A:A,'[1]DATOS PBI Artículos'!T:T)</f>
        <v>0</v>
      </c>
      <c r="E306" s="34">
        <f>IF(_xlfn.XLOOKUP($A306,'[1]DATOS PBI Artículos'!A:A,'[1]DATOS PBI Artículos'!AK:AK)="",_xlfn.XLOOKUP($A306,'[1]DATOS PBI Artículos'!A:A,'[1]DATOS PBI Artículos'!AJ:AJ),_xlfn.XLOOKUP($A306,'[1]DATOS PBI Artículos'!A:A,'[1]DATOS PBI Artículos'!AK:AK))</f>
        <v>0</v>
      </c>
      <c r="F306" s="35">
        <f>_xlfn.XLOOKUP($A306,'[1]DATOS PBI Artículos'!A:A,'[1]DATOS PBI Artículos'!AP:AP)</f>
        <v>0</v>
      </c>
      <c r="G306" s="34">
        <f>_xlfn.XLOOKUP($A306,'[1]DATOS PBI Artículos'!A:A,'[1]DATOS PBI Artículos'!AR:AR)</f>
        <v>0</v>
      </c>
      <c r="H306" s="34">
        <f>_xlfn.XLOOKUP($A306,'[1]DATOS PBI Artículos'!A:A,'[1]DATOS PBI Artículos'!AT:AT)</f>
        <v>0</v>
      </c>
      <c r="I306" s="34">
        <f>_xlfn.XLOOKUP($A306,'[1]DATOS PBI Artículos'!A:A,'[1]DATOS PBI Artículos'!AS:AS)</f>
        <v>0</v>
      </c>
      <c r="J306" s="35">
        <f>IF(COUNTIF([1]CRITERIOS!$F$179:$F$199,$A306)&gt;=1,
 IF(O306&lt;&gt;"",
    (O306/_xlfn.XLOOKUP(CONCATENATE(A306,L306),[1]MÁQUINAS!A:A,[1]MÁQUINAS!D:D))/24,
    (N306/_xlfn.XLOOKUP(CONCATENATE(A306,L306),[1]MÁQUINAS!A:A,[1]MÁQUINAS!D:D))/24),
  _xlfn.XLOOKUP($A306,'[1]DATOS PBI Artículos'!A:A,'[1]DATOS PBI Artículos'!AU:AU))</f>
        <v>0</v>
      </c>
      <c r="K306" s="36">
        <f>_xlfn.XLOOKUP($A306,'[1]DATOS PBI Artículos'!A:A,'[1]DATOS PBI Artículos'!AV:AV)</f>
        <v>0</v>
      </c>
      <c r="L306" s="33">
        <f>_xlfn.XLOOKUP(A306,[1]MÁQUINAS!B:B,[1]MÁQUINAS!C:C)</f>
        <v>0</v>
      </c>
      <c r="M306" s="34">
        <f t="array" ref="M306">_xlfn.XLOOKUP(A306,'[1]DATOS PBI Artículos'!A:A,'[1]DATOS PBI Artículos'!AX:$AX)</f>
        <v>0</v>
      </c>
      <c r="N306" s="37" t="e">
        <f>IF(I306="DV",
E306,
IF(COUNTIF([1]CRITERIOS!$I$179:$I$199,$A306)&gt;=1,
_xlfn.XLOOKUP($A306,[1]CRITERIOS!$I$179:$I$199,[1]CRITERIOS!$J$179:$J$199),
IF(COUNTIF([1]CRITERIOS!$L$179:$L$199,$A306)&gt;=1,
_xlfn.CEILING.MATH(IF($M306&gt;$E306,
$E306,
IF($M306&lt;$E306/ROUNDDOWN([1]CRITERIOS!$M$16/_xlfn.XLOOKUP($C306,[1]CRITERIOS!$K$25:$K$42,[1]CRITERIOS!$M$25:$M$42),
1),
E306/ROUNDDOWN([1]CRITERIOS!$M$16/_xlfn.XLOOKUP($C306,[1]CRITERIOS!$K$25:$K$42,[1]CRITERIOS!$M$25:$M$42),
1),
$M306)),
_xlfn.XLOOKUP($A306,[1]CRITERIOS!$L$179:$L$200,[1]CRITERIOS!$M$179:$M$200)),
_xlfn.CEILING.MATH(IF($M306&gt;$E306,
$E306,
IF($M306&lt;$E306/ROUNDDOWN([1]CRITERIOS!$M$16/_xlfn.XLOOKUP($C306,[1]CRITERIOS!$K$25:$K$42,[1]CRITERIOS!$M$25:$M$42),
1),
E306/ROUNDDOWN([1]CRITERIOS!$M$16/_xlfn.XLOOKUP($C306,[1]CRITERIOS!$K$25:$K$42,[1]CRITERIOS!$M$25:$M$42),
1),
$M306)),_xlfn.XLOOKUP(A306,'[1]DATOS PBI Artículos'!A:A,'[1]DATOS PBI Artículos'!Z:Z
)))))</f>
        <v>#N/A</v>
      </c>
      <c r="Q306" s="38" t="e">
        <f>IF(AND(O306="",N306=0),
0,
   IF(COUNTIF([1]CRITERIOS!$F$179:$F$199,$A306)&gt;=1,
   1,
   IF(R306="MTO",
      $D306,
      ROUNDUP(
                    IF(($E306-SUMIF('[1]DATOS PBI Artículos'!A:A,A306,'[1]DATOS PBI Artículos'!X:X)+($V306-_xlfn.XLOOKUP(A306,'[1]DATOS PBI Artículos'!A:A,'[1]DATOS PBI Artículos'!W:W)))&lt;0,
                    0,
                    IF(($E306-SUMIF('[1]DATOS PBI Artículos'!A:A,A306,'[1]DATOS PBI Artículos'!X:X)+$V306-_xlfn.XLOOKUP($A306,'[1]DATOS PBI Artículos'!A:A,'[1]DATOS PBI Artículos'!W:W))/IF($O306="",$N306,$O306)&gt;ROUNDUP([1]CRITERIOS!$M$16/(IF(COUNTIF([1]CRITERIOS!$BG$11:$BG$201,L306)&gt;=1,_xlfn.XLOOKUP($C306,[1]CRITERIOS!$K$25:$K$42,[1]CRITERIOS!$M$25:$M$42),_xlfn.XLOOKUP($C306,[1]CRITERIOS!$K$25:$K$42,[1]CRITERIOS!$M$25:$M$42))),0),
                    ROUNDUP([1]CRITERIOS!$M$16/(IF(COUNTIF([1]CRITERIOS!$BG$11:$BG$201,$L306)&gt;=1,_xlfn.XLOOKUP($C306,[1]CRITERIOS!$K$25:$K$42,[1]CRITERIOS!$M$25:$M$42),_xlfn.XLOOKUP($C306,[1]CRITERIOS!$K$25:$K$42,[1]CRITERIOS!$M$25:$M$42))),0),
                    (E306+V306-SUMIF('[1]DATOS PBI Artículos'!A:A,A306,'[1]DATOS PBI Artículos'!X:X)-_xlfn.XLOOKUP(A306,'[1]DATOS PBI Artículos'!A:A,'[1]DATOS PBI Artículos'!W:W))/IF($O306="",$N306,$O306))),0))))</f>
        <v>#N/A</v>
      </c>
      <c r="R306" s="33" t="e">
        <f>IF(U306&lt;&gt;"",U306,IF(F306="DV","MTO",IF(N306=0,"MTO",_xlfn.XLOOKUP(CONCATENATE(S306,T306),[1]CRITERIOS!$K$160:$K$168,[1]CRITERIOS!$N$160:$N$168))))</f>
        <v>#N/A</v>
      </c>
      <c r="S306" s="33" t="e">
        <f>IF(G306="DV","MTO",IF(N306=0,"MTO",IF(OR(AND(N306=0,O306=""),IF(O306="",G306/N306,G306/O306)&gt;[1]CRITERIOS!$G$163),"MTO",IF(IF(O306="",G306/N306,G306/O306)&lt;[1]CRITERIOS!$H$161,"MTS","MTOS"))))</f>
        <v>#N/A</v>
      </c>
      <c r="T306" s="33" t="e">
        <f>IF(F306="DV","MTO",IF(OR(AND($N306=0,O306=""),$F306/$J306&gt;[1]CRITERIOS!$G$170,$F306="DV"),"MTO",IF($F306/$J306&lt;[1]CRITERIOS!$H$168,"MTS","MTOS")))</f>
        <v>#N/A</v>
      </c>
      <c r="V306" s="34" t="e">
        <f t="shared" si="16"/>
        <v>#N/A</v>
      </c>
      <c r="X306" s="34" t="e">
        <f t="shared" si="14"/>
        <v>#N/A</v>
      </c>
      <c r="Y306" s="34" t="e">
        <f t="shared" si="15"/>
        <v>#N/A</v>
      </c>
      <c r="Z306" s="34" t="e">
        <f>IF($R306="MTO",
0,
($H306+$K306*($E306/[1]CRITERIOS!$M$16))/[1]CRITERIOS!$X$48)</f>
        <v>#N/A</v>
      </c>
      <c r="AA306" s="34" t="e">
        <f>ROUNDUP(($Y306/_xlfn.XLOOKUP($A306,'[1]DATOS PBI Artículos'!$A$4:$A$4,'[1]DATOS PBI Artículos'!$Z$4:$Z$4))/_xlfn.XLOOKUP(_xlfn.XLOOKUP($A306,'[1]DATOS PBI Artículos'!$A$4:$A$4,'[1]DATOS PBI Artículos'!$Y$4:$Y$4),[1]CRITERIOS!$P$79:$P$123,[1]CRITERIOS!$S$79:$S$123,),0)</f>
        <v>#N/A</v>
      </c>
      <c r="AB306" s="33" t="e">
        <f t="array" ref="AB306">IF((E306+V306-_xlfn.XLOOKUP(A306,'[1]DATOS PBI Artículos'!$A$4:$A$4,'[1]DATOS PBI Artículos'!$W$4:$W$4))/N306&gt;ROUNDUP([1]CRITERIOS!$M$16/(IF(COUNTIF([1]CRITERIOS!$BG$11:$BG$201,L306)&gt;=1,_xlfn.XLOOKUP(ARTÍCULOS!L306,[1]CRITERIOS!$BG$11:$BG$201,[1]CRITERIOS!$BJ$11:$BJ$201),_xlfn.XLOOKUP(ARTÍCULOS!C306,[1]CRITERIOS!$K$25:$K$42,[1]CRITERIOS!$M$25:$M$42))),0),ROUNDUP([1]CRITERIOS!$M$16/(IF(COUNTIF([1]CRITERIOS!$BG$11:$BG$201,L306)&gt;=1,_xlfn.XLOOKUP(ARTÍCULOS!L306,[1]CRITERIOS!$BG$11:$BG$201:#REF!,[1]CRITERIOS!$BJ$11:$BJ$201),_xlfn.XLOOKUP(ARTÍCULOS!C306,[1]CRITERIOS!$K$25:$K$42,[1]CRITERIOS!$M$25:$M$42))),0),(E306+V306-_xlfn.XLOOKUP(A306,'[1]DATOS PBI Artículos'!$A$4:$A$4,'[1]DATOS PBI Artículos'!$W$4:$W$4))/N306)</f>
        <v>#N/A</v>
      </c>
      <c r="AC306" s="33" t="e">
        <f>IF(N306=0,"",(ROUNDUP((N306/2)/(_xlfn.XLOOKUP(A306,'[1]DATOS PBI Artículos'!$A$4:$A$4,'[1]DATOS PBI Artículos'!$Z$4:$Z$4)*_xlfn.XLOOKUP(_xlfn.XLOOKUP(A306,'[1]DATOS PBI Artículos'!$A$4:$A$4,'[1]DATOS PBI Artículos'!$Y$4:$Y$4),[1]CRITERIOS!$P$79:$P$123,[1]CRITERIOS!$S$79:$S$123)),0)*[1]CRITERIOS!$M$80*([1]CRITERIOS!$M$110/[1]CRITERIOS!$M$86)+(_xlfn.XLOOKUP(A306,'[1]DATOS PBI Artículos'!$A$4:$A$4,'[1]DATOS PBI Artículos'!$AA$4:$AA$4)*([1]CRITERIOS!$M$95+[1]CRITERIOS!$M$98)))/N306)</f>
        <v>#N/A</v>
      </c>
      <c r="AD306" s="33" t="e">
        <f>IF(N306=0,"",(ROUNDUP((N306/2)/(_xlfn.XLOOKUP(A306,'[1]DATOS PBI Artículos'!$A$4:$A$4,'[1]DATOS PBI Artículos'!$Z$4:$Z$4)*_xlfn.XLOOKUP(_xlfn.XLOOKUP(A306,'[1]DATOS PBI Artículos'!$A$4:$A$4,'[1]DATOS PBI Artículos'!$Y$4:$Y$4),[1]CRITERIOS!$P$79:$P$123,[1]CRITERIOS!$S$79:$S$123)),0)*[1]CRITERIOS!$M$80*([1]CRITERIOS!$M$89*[1]CRITERIOS!$M$92)+((_xlfn.XLOOKUP(A306,'[1]DATOS PBI Artículos'!$A$4:$A$4,'[1]DATOS PBI Artículos'!$AA$4:$AA$4)/2)*([1]CRITERIOS!$M$95+[1]CRITERIOS!$M$98)))/N306)</f>
        <v>#N/A</v>
      </c>
      <c r="AE306" s="39" t="e">
        <f>IF($R306="MTO","",
IF($H306=0,ROUNDUP(((_xlfn.XLOOKUP($A306,'[1]DATOS PBI Artículos'!$A:$A,'[1]DATOS PBI Artículos'!$AL:$AL))/(_xlfn.XLOOKUP($AF$1,[1]CRITERIOS!$S$16:$S$39,[1]CRITERIOS!$Y$16:$Y$39))*$J306+$Z306)/$G306,0)*$G306,
((_xlfn.XLOOKUP($A306,'[1]DATOS PBI Artículos'!$A:$A,'[1]DATOS PBI Artículos'!$AL:$AL))/(_xlfn.XLOOKUP($AF$1,[1]CRITERIOS!$S$16:$S$39,[1]CRITERIOS!$Y$16:$Y$39))*$J306+$Z306)))</f>
        <v>#N/A</v>
      </c>
      <c r="AG306" s="39" t="e">
        <f>IF($R306="MTO","",
IF($H306=0,ROUNDUP(((_xlfn.XLOOKUP($A306,'[1]DATOS PBI Artículos'!$A:$A,'[1]DATOS PBI Artículos'!$AM:$AM))/(_xlfn.XLOOKUP($AH$1,[1]CRITERIOS!$S$16:$S$39,[1]CRITERIOS!$Y$16:$Y$39))*$J306+$Z306)/$G306,0)*$G306,
((_xlfn.XLOOKUP($A306,'[1]DATOS PBI Artículos'!$A:$A,'[1]DATOS PBI Artículos'!$AM:$AM))/(_xlfn.XLOOKUP($AH$1,[1]CRITERIOS!$S$16:$S$39,[1]CRITERIOS!$Y$16:$Y$39))*$J306+$Z306)))</f>
        <v>#N/A</v>
      </c>
      <c r="AI306" s="39" t="e">
        <f>IF($R306="MTO","",
IF($H306=0,ROUNDUP(((_xlfn.XLOOKUP($A306,'[1]DATOS PBI Artículos'!$A:$A,'[1]DATOS PBI Artículos'!$AN:$AN))/(_xlfn.XLOOKUP($AJ$1,[1]CRITERIOS!$S$16:$S$39,[1]CRITERIOS!$Y$16:$Y$39))*$J306+$Z306)/$G306,0)*$G306,
((_xlfn.XLOOKUP($A306,'[1]DATOS PBI Artículos'!$A:$A,'[1]DATOS PBI Artículos'!$AN:$AN))/(_xlfn.XLOOKUP($AJ$1,[1]CRITERIOS!$S$16:$S$39,[1]CRITERIOS!$Y$16:$Y$39))*$J306+$Z306)))</f>
        <v>#N/A</v>
      </c>
      <c r="AK306" s="39" t="e">
        <f>IF($R306="MTO","",
IF($H306=0,ROUNDUP(((_xlfn.XLOOKUP($A306,'[1]DATOS PBI Artículos'!$A:$A,'[1]DATOS PBI Artículos'!$AO:$AO))/(_xlfn.XLOOKUP($AL$1,[1]CRITERIOS!$S$16:$S$39,[1]CRITERIOS!$Y$16:$Y$39))*$J306+$Z306)/$G306,0)*$G306,
((_xlfn.XLOOKUP($A306,'[1]DATOS PBI Artículos'!$A:$A,'[1]DATOS PBI Artículos'!$AO:$AO))/(_xlfn.XLOOKUP($AL$1,[1]CRITERIOS!$S$16:$S$39,[1]CRITERIOS!$Y$16:$Y$39))*$J306+$Z306)))</f>
        <v>#N/A</v>
      </c>
    </row>
    <row r="307" spans="1:37" ht="25.8" hidden="1" x14ac:dyDescent="0.4">
      <c r="A307" s="41"/>
      <c r="B307" s="33">
        <f>_xlfn.XLOOKUP($A307,'[1]DATOS PBI Artículos'!A:A,'[1]DATOS PBI Artículos'!B:B)</f>
        <v>0</v>
      </c>
      <c r="C307" s="33">
        <f>_xlfn.XLOOKUP($A307,'[1]DATOS PBI Artículos'!A:A,'[1]DATOS PBI Artículos'!C:C)</f>
        <v>0</v>
      </c>
      <c r="D307" s="33">
        <f>_xlfn.XLOOKUP(A307,'[1]DATOS PBI Artículos'!A:A,'[1]DATOS PBI Artículos'!T:T)</f>
        <v>0</v>
      </c>
      <c r="E307" s="34">
        <f>IF(_xlfn.XLOOKUP($A307,'[1]DATOS PBI Artículos'!A:A,'[1]DATOS PBI Artículos'!AK:AK)="",_xlfn.XLOOKUP($A307,'[1]DATOS PBI Artículos'!A:A,'[1]DATOS PBI Artículos'!AJ:AJ),_xlfn.XLOOKUP($A307,'[1]DATOS PBI Artículos'!A:A,'[1]DATOS PBI Artículos'!AK:AK))</f>
        <v>0</v>
      </c>
      <c r="F307" s="35">
        <f>_xlfn.XLOOKUP($A307,'[1]DATOS PBI Artículos'!A:A,'[1]DATOS PBI Artículos'!AP:AP)</f>
        <v>0</v>
      </c>
      <c r="G307" s="34">
        <f>_xlfn.XLOOKUP($A307,'[1]DATOS PBI Artículos'!A:A,'[1]DATOS PBI Artículos'!AR:AR)</f>
        <v>0</v>
      </c>
      <c r="H307" s="34">
        <f>_xlfn.XLOOKUP($A307,'[1]DATOS PBI Artículos'!A:A,'[1]DATOS PBI Artículos'!AT:AT)</f>
        <v>0</v>
      </c>
      <c r="I307" s="34">
        <f>_xlfn.XLOOKUP($A307,'[1]DATOS PBI Artículos'!A:A,'[1]DATOS PBI Artículos'!AS:AS)</f>
        <v>0</v>
      </c>
      <c r="J307" s="35">
        <f>IF(COUNTIF([1]CRITERIOS!$F$179:$F$199,$A307)&gt;=1,
 IF(O307&lt;&gt;"",
    (O307/_xlfn.XLOOKUP(CONCATENATE(A307,L307),[1]MÁQUINAS!A:A,[1]MÁQUINAS!D:D))/24,
    (N307/_xlfn.XLOOKUP(CONCATENATE(A307,L307),[1]MÁQUINAS!A:A,[1]MÁQUINAS!D:D))/24),
  _xlfn.XLOOKUP($A307,'[1]DATOS PBI Artículos'!A:A,'[1]DATOS PBI Artículos'!AU:AU))</f>
        <v>0</v>
      </c>
      <c r="K307" s="36">
        <f>_xlfn.XLOOKUP($A307,'[1]DATOS PBI Artículos'!A:A,'[1]DATOS PBI Artículos'!AV:AV)</f>
        <v>0</v>
      </c>
      <c r="L307" s="33">
        <f>_xlfn.XLOOKUP(A307,[1]MÁQUINAS!B:B,[1]MÁQUINAS!C:C)</f>
        <v>0</v>
      </c>
      <c r="M307" s="34">
        <f t="array" ref="M307">_xlfn.XLOOKUP(A307,'[1]DATOS PBI Artículos'!A:A,'[1]DATOS PBI Artículos'!AX:$AX)</f>
        <v>0</v>
      </c>
      <c r="N307" s="37" t="e">
        <f>IF(I307="DV",
E307,
IF(COUNTIF([1]CRITERIOS!$I$179:$I$199,$A307)&gt;=1,
_xlfn.XLOOKUP($A307,[1]CRITERIOS!$I$179:$I$199,[1]CRITERIOS!$J$179:$J$199),
IF(COUNTIF([1]CRITERIOS!$L$179:$L$199,$A307)&gt;=1,
_xlfn.CEILING.MATH(IF($M307&gt;$E307,
$E307,
IF($M307&lt;$E307/ROUNDDOWN([1]CRITERIOS!$M$16/_xlfn.XLOOKUP($C307,[1]CRITERIOS!$K$25:$K$42,[1]CRITERIOS!$M$25:$M$42),
1),
E307/ROUNDDOWN([1]CRITERIOS!$M$16/_xlfn.XLOOKUP($C307,[1]CRITERIOS!$K$25:$K$42,[1]CRITERIOS!$M$25:$M$42),
1),
$M307)),
_xlfn.XLOOKUP($A307,[1]CRITERIOS!$L$179:$L$200,[1]CRITERIOS!$M$179:$M$200)),
_xlfn.CEILING.MATH(IF($M307&gt;$E307,
$E307,
IF($M307&lt;$E307/ROUNDDOWN([1]CRITERIOS!$M$16/_xlfn.XLOOKUP($C307,[1]CRITERIOS!$K$25:$K$42,[1]CRITERIOS!$M$25:$M$42),
1),
E307/ROUNDDOWN([1]CRITERIOS!$M$16/_xlfn.XLOOKUP($C307,[1]CRITERIOS!$K$25:$K$42,[1]CRITERIOS!$M$25:$M$42),
1),
$M307)),_xlfn.XLOOKUP(A307,'[1]DATOS PBI Artículos'!A:A,'[1]DATOS PBI Artículos'!Z:Z
)))))</f>
        <v>#N/A</v>
      </c>
      <c r="Q307" s="38" t="e">
        <f>IF(AND(O307="",N307=0),
0,
   IF(COUNTIF([1]CRITERIOS!$F$179:$F$199,$A307)&gt;=1,
   1,
   IF(R307="MTO",
      $D307,
      ROUNDUP(
                    IF(($E307-SUMIF('[1]DATOS PBI Artículos'!A:A,A307,'[1]DATOS PBI Artículos'!X:X)+($V307-_xlfn.XLOOKUP(A307,'[1]DATOS PBI Artículos'!A:A,'[1]DATOS PBI Artículos'!W:W)))&lt;0,
                    0,
                    IF(($E307-SUMIF('[1]DATOS PBI Artículos'!A:A,A307,'[1]DATOS PBI Artículos'!X:X)+$V307-_xlfn.XLOOKUP($A307,'[1]DATOS PBI Artículos'!A:A,'[1]DATOS PBI Artículos'!W:W))/IF($O307="",$N307,$O307)&gt;ROUNDUP([1]CRITERIOS!$M$16/(IF(COUNTIF([1]CRITERIOS!$BG$11:$BG$201,L307)&gt;=1,_xlfn.XLOOKUP($C307,[1]CRITERIOS!$K$25:$K$42,[1]CRITERIOS!$M$25:$M$42),_xlfn.XLOOKUP($C307,[1]CRITERIOS!$K$25:$K$42,[1]CRITERIOS!$M$25:$M$42))),0),
                    ROUNDUP([1]CRITERIOS!$M$16/(IF(COUNTIF([1]CRITERIOS!$BG$11:$BG$201,$L307)&gt;=1,_xlfn.XLOOKUP($C307,[1]CRITERIOS!$K$25:$K$42,[1]CRITERIOS!$M$25:$M$42),_xlfn.XLOOKUP($C307,[1]CRITERIOS!$K$25:$K$42,[1]CRITERIOS!$M$25:$M$42))),0),
                    (E307+V307-SUMIF('[1]DATOS PBI Artículos'!A:A,A307,'[1]DATOS PBI Artículos'!X:X)-_xlfn.XLOOKUP(A307,'[1]DATOS PBI Artículos'!A:A,'[1]DATOS PBI Artículos'!W:W))/IF($O307="",$N307,$O307))),0))))</f>
        <v>#N/A</v>
      </c>
      <c r="R307" s="33" t="e">
        <f>IF(U307&lt;&gt;"",U307,IF(F307="DV","MTO",IF(N307=0,"MTO",_xlfn.XLOOKUP(CONCATENATE(S307,T307),[1]CRITERIOS!$K$160:$K$168,[1]CRITERIOS!$N$160:$N$168))))</f>
        <v>#N/A</v>
      </c>
      <c r="S307" s="33" t="e">
        <f>IF(G307="DV","MTO",IF(N307=0,"MTO",IF(OR(AND(N307=0,O307=""),IF(O307="",G307/N307,G307/O307)&gt;[1]CRITERIOS!$G$163),"MTO",IF(IF(O307="",G307/N307,G307/O307)&lt;[1]CRITERIOS!$H$161,"MTS","MTOS"))))</f>
        <v>#N/A</v>
      </c>
      <c r="T307" s="33" t="e">
        <f>IF(F307="DV","MTO",IF(OR(AND($N307=0,O307=""),$F307/$J307&gt;[1]CRITERIOS!$G$170,$F307="DV"),"MTO",IF($F307/$J307&lt;[1]CRITERIOS!$H$168,"MTS","MTOS")))</f>
        <v>#N/A</v>
      </c>
      <c r="V307" s="34" t="e">
        <f t="shared" si="16"/>
        <v>#N/A</v>
      </c>
      <c r="X307" s="34" t="e">
        <f t="shared" si="14"/>
        <v>#N/A</v>
      </c>
      <c r="Y307" s="34" t="e">
        <f t="shared" si="15"/>
        <v>#N/A</v>
      </c>
      <c r="Z307" s="34" t="e">
        <f>IF($R307="MTO",
0,
($H307+$K307*($E307/[1]CRITERIOS!$M$16))/[1]CRITERIOS!$X$48)</f>
        <v>#N/A</v>
      </c>
      <c r="AA307" s="34" t="e">
        <f>ROUNDUP(($Y307/_xlfn.XLOOKUP($A307,'[1]DATOS PBI Artículos'!$A$4:$A$4,'[1]DATOS PBI Artículos'!$Z$4:$Z$4))/_xlfn.XLOOKUP(_xlfn.XLOOKUP($A307,'[1]DATOS PBI Artículos'!$A$4:$A$4,'[1]DATOS PBI Artículos'!$Y$4:$Y$4),[1]CRITERIOS!$P$79:$P$123,[1]CRITERIOS!$S$79:$S$123,),0)</f>
        <v>#N/A</v>
      </c>
      <c r="AB307" s="33" t="e">
        <f t="array" ref="AB307">IF((E307+V307-_xlfn.XLOOKUP(A307,'[1]DATOS PBI Artículos'!$A$4:$A$4,'[1]DATOS PBI Artículos'!$W$4:$W$4))/N307&gt;ROUNDUP([1]CRITERIOS!$M$16/(IF(COUNTIF([1]CRITERIOS!$BG$11:$BG$201,L307)&gt;=1,_xlfn.XLOOKUP(ARTÍCULOS!L307,[1]CRITERIOS!$BG$11:$BG$201,[1]CRITERIOS!$BJ$11:$BJ$201),_xlfn.XLOOKUP(ARTÍCULOS!C307,[1]CRITERIOS!$K$25:$K$42,[1]CRITERIOS!$M$25:$M$42))),0),ROUNDUP([1]CRITERIOS!$M$16/(IF(COUNTIF([1]CRITERIOS!$BG$11:$BG$201,L307)&gt;=1,_xlfn.XLOOKUP(ARTÍCULOS!L307,[1]CRITERIOS!$BG$11:$BG$201:#REF!,[1]CRITERIOS!$BJ$11:$BJ$201),_xlfn.XLOOKUP(ARTÍCULOS!C307,[1]CRITERIOS!$K$25:$K$42,[1]CRITERIOS!$M$25:$M$42))),0),(E307+V307-_xlfn.XLOOKUP(A307,'[1]DATOS PBI Artículos'!$A$4:$A$4,'[1]DATOS PBI Artículos'!$W$4:$W$4))/N307)</f>
        <v>#N/A</v>
      </c>
      <c r="AC307" s="33" t="e">
        <f>IF(N307=0,"",(ROUNDUP((N307/2)/(_xlfn.XLOOKUP(A307,'[1]DATOS PBI Artículos'!$A$4:$A$4,'[1]DATOS PBI Artículos'!$Z$4:$Z$4)*_xlfn.XLOOKUP(_xlfn.XLOOKUP(A307,'[1]DATOS PBI Artículos'!$A$4:$A$4,'[1]DATOS PBI Artículos'!$Y$4:$Y$4),[1]CRITERIOS!$P$79:$P$123,[1]CRITERIOS!$S$79:$S$123)),0)*[1]CRITERIOS!$M$80*([1]CRITERIOS!$M$110/[1]CRITERIOS!$M$86)+(_xlfn.XLOOKUP(A307,'[1]DATOS PBI Artículos'!$A$4:$A$4,'[1]DATOS PBI Artículos'!$AA$4:$AA$4)*([1]CRITERIOS!$M$95+[1]CRITERIOS!$M$98)))/N307)</f>
        <v>#N/A</v>
      </c>
      <c r="AD307" s="33" t="e">
        <f>IF(N307=0,"",(ROUNDUP((N307/2)/(_xlfn.XLOOKUP(A307,'[1]DATOS PBI Artículos'!$A$4:$A$4,'[1]DATOS PBI Artículos'!$Z$4:$Z$4)*_xlfn.XLOOKUP(_xlfn.XLOOKUP(A307,'[1]DATOS PBI Artículos'!$A$4:$A$4,'[1]DATOS PBI Artículos'!$Y$4:$Y$4),[1]CRITERIOS!$P$79:$P$123,[1]CRITERIOS!$S$79:$S$123)),0)*[1]CRITERIOS!$M$80*([1]CRITERIOS!$M$89*[1]CRITERIOS!$M$92)+((_xlfn.XLOOKUP(A307,'[1]DATOS PBI Artículos'!$A$4:$A$4,'[1]DATOS PBI Artículos'!$AA$4:$AA$4)/2)*([1]CRITERIOS!$M$95+[1]CRITERIOS!$M$98)))/N307)</f>
        <v>#N/A</v>
      </c>
      <c r="AE307" s="39" t="e">
        <f>IF($R307="MTO","",
IF($H307=0,ROUNDUP(((_xlfn.XLOOKUP($A307,'[1]DATOS PBI Artículos'!$A:$A,'[1]DATOS PBI Artículos'!$AL:$AL))/(_xlfn.XLOOKUP($AF$1,[1]CRITERIOS!$S$16:$S$39,[1]CRITERIOS!$Y$16:$Y$39))*$J307+$Z307)/$G307,0)*$G307,
((_xlfn.XLOOKUP($A307,'[1]DATOS PBI Artículos'!$A:$A,'[1]DATOS PBI Artículos'!$AL:$AL))/(_xlfn.XLOOKUP($AF$1,[1]CRITERIOS!$S$16:$S$39,[1]CRITERIOS!$Y$16:$Y$39))*$J307+$Z307)))</f>
        <v>#N/A</v>
      </c>
      <c r="AG307" s="39" t="e">
        <f>IF($R307="MTO","",
IF($H307=0,ROUNDUP(((_xlfn.XLOOKUP($A307,'[1]DATOS PBI Artículos'!$A:$A,'[1]DATOS PBI Artículos'!$AM:$AM))/(_xlfn.XLOOKUP($AH$1,[1]CRITERIOS!$S$16:$S$39,[1]CRITERIOS!$Y$16:$Y$39))*$J307+$Z307)/$G307,0)*$G307,
((_xlfn.XLOOKUP($A307,'[1]DATOS PBI Artículos'!$A:$A,'[1]DATOS PBI Artículos'!$AM:$AM))/(_xlfn.XLOOKUP($AH$1,[1]CRITERIOS!$S$16:$S$39,[1]CRITERIOS!$Y$16:$Y$39))*$J307+$Z307)))</f>
        <v>#N/A</v>
      </c>
      <c r="AI307" s="39" t="e">
        <f>IF($R307="MTO","",
IF($H307=0,ROUNDUP(((_xlfn.XLOOKUP($A307,'[1]DATOS PBI Artículos'!$A:$A,'[1]DATOS PBI Artículos'!$AN:$AN))/(_xlfn.XLOOKUP($AJ$1,[1]CRITERIOS!$S$16:$S$39,[1]CRITERIOS!$Y$16:$Y$39))*$J307+$Z307)/$G307,0)*$G307,
((_xlfn.XLOOKUP($A307,'[1]DATOS PBI Artículos'!$A:$A,'[1]DATOS PBI Artículos'!$AN:$AN))/(_xlfn.XLOOKUP($AJ$1,[1]CRITERIOS!$S$16:$S$39,[1]CRITERIOS!$Y$16:$Y$39))*$J307+$Z307)))</f>
        <v>#N/A</v>
      </c>
      <c r="AK307" s="39" t="e">
        <f>IF($R307="MTO","",
IF($H307=0,ROUNDUP(((_xlfn.XLOOKUP($A307,'[1]DATOS PBI Artículos'!$A:$A,'[1]DATOS PBI Artículos'!$AO:$AO))/(_xlfn.XLOOKUP($AL$1,[1]CRITERIOS!$S$16:$S$39,[1]CRITERIOS!$Y$16:$Y$39))*$J307+$Z307)/$G307,0)*$G307,
((_xlfn.XLOOKUP($A307,'[1]DATOS PBI Artículos'!$A:$A,'[1]DATOS PBI Artículos'!$AO:$AO))/(_xlfn.XLOOKUP($AL$1,[1]CRITERIOS!$S$16:$S$39,[1]CRITERIOS!$Y$16:$Y$39))*$J307+$Z307)))</f>
        <v>#N/A</v>
      </c>
    </row>
    <row r="308" spans="1:37" ht="25.8" hidden="1" x14ac:dyDescent="0.4">
      <c r="A308" s="41"/>
      <c r="B308" s="33">
        <f>_xlfn.XLOOKUP($A308,'[1]DATOS PBI Artículos'!A:A,'[1]DATOS PBI Artículos'!B:B)</f>
        <v>0</v>
      </c>
      <c r="C308" s="33">
        <f>_xlfn.XLOOKUP($A308,'[1]DATOS PBI Artículos'!A:A,'[1]DATOS PBI Artículos'!C:C)</f>
        <v>0</v>
      </c>
      <c r="D308" s="33">
        <f>_xlfn.XLOOKUP(A308,'[1]DATOS PBI Artículos'!A:A,'[1]DATOS PBI Artículos'!T:T)</f>
        <v>0</v>
      </c>
      <c r="E308" s="34">
        <f>IF(_xlfn.XLOOKUP($A308,'[1]DATOS PBI Artículos'!A:A,'[1]DATOS PBI Artículos'!AK:AK)="",_xlfn.XLOOKUP($A308,'[1]DATOS PBI Artículos'!A:A,'[1]DATOS PBI Artículos'!AJ:AJ),_xlfn.XLOOKUP($A308,'[1]DATOS PBI Artículos'!A:A,'[1]DATOS PBI Artículos'!AK:AK))</f>
        <v>0</v>
      </c>
      <c r="F308" s="35">
        <f>_xlfn.XLOOKUP($A308,'[1]DATOS PBI Artículos'!A:A,'[1]DATOS PBI Artículos'!AP:AP)</f>
        <v>0</v>
      </c>
      <c r="G308" s="34">
        <f>_xlfn.XLOOKUP($A308,'[1]DATOS PBI Artículos'!A:A,'[1]DATOS PBI Artículos'!AR:AR)</f>
        <v>0</v>
      </c>
      <c r="H308" s="34">
        <f>_xlfn.XLOOKUP($A308,'[1]DATOS PBI Artículos'!A:A,'[1]DATOS PBI Artículos'!AT:AT)</f>
        <v>0</v>
      </c>
      <c r="I308" s="34">
        <f>_xlfn.XLOOKUP($A308,'[1]DATOS PBI Artículos'!A:A,'[1]DATOS PBI Artículos'!AS:AS)</f>
        <v>0</v>
      </c>
      <c r="J308" s="35">
        <f>IF(COUNTIF([1]CRITERIOS!$F$179:$F$199,$A308)&gt;=1,
 IF(O308&lt;&gt;"",
    (O308/_xlfn.XLOOKUP(CONCATENATE(A308,L308),[1]MÁQUINAS!A:A,[1]MÁQUINAS!D:D))/24,
    (N308/_xlfn.XLOOKUP(CONCATENATE(A308,L308),[1]MÁQUINAS!A:A,[1]MÁQUINAS!D:D))/24),
  _xlfn.XLOOKUP($A308,'[1]DATOS PBI Artículos'!A:A,'[1]DATOS PBI Artículos'!AU:AU))</f>
        <v>0</v>
      </c>
      <c r="K308" s="36">
        <f>_xlfn.XLOOKUP($A308,'[1]DATOS PBI Artículos'!A:A,'[1]DATOS PBI Artículos'!AV:AV)</f>
        <v>0</v>
      </c>
      <c r="L308" s="33">
        <f>_xlfn.XLOOKUP(A308,[1]MÁQUINAS!B:B,[1]MÁQUINAS!C:C)</f>
        <v>0</v>
      </c>
      <c r="M308" s="34">
        <f t="array" ref="M308">_xlfn.XLOOKUP(A308,'[1]DATOS PBI Artículos'!A:A,'[1]DATOS PBI Artículos'!AX:$AX)</f>
        <v>0</v>
      </c>
      <c r="N308" s="37" t="e">
        <f>IF(I308="DV",
E308,
IF(COUNTIF([1]CRITERIOS!$I$179:$I$199,$A308)&gt;=1,
_xlfn.XLOOKUP($A308,[1]CRITERIOS!$I$179:$I$199,[1]CRITERIOS!$J$179:$J$199),
IF(COUNTIF([1]CRITERIOS!$L$179:$L$199,$A308)&gt;=1,
_xlfn.CEILING.MATH(IF($M308&gt;$E308,
$E308,
IF($M308&lt;$E308/ROUNDDOWN([1]CRITERIOS!$M$16/_xlfn.XLOOKUP($C308,[1]CRITERIOS!$K$25:$K$42,[1]CRITERIOS!$M$25:$M$42),
1),
E308/ROUNDDOWN([1]CRITERIOS!$M$16/_xlfn.XLOOKUP($C308,[1]CRITERIOS!$K$25:$K$42,[1]CRITERIOS!$M$25:$M$42),
1),
$M308)),
_xlfn.XLOOKUP($A308,[1]CRITERIOS!$L$179:$L$200,[1]CRITERIOS!$M$179:$M$200)),
_xlfn.CEILING.MATH(IF($M308&gt;$E308,
$E308,
IF($M308&lt;$E308/ROUNDDOWN([1]CRITERIOS!$M$16/_xlfn.XLOOKUP($C308,[1]CRITERIOS!$K$25:$K$42,[1]CRITERIOS!$M$25:$M$42),
1),
E308/ROUNDDOWN([1]CRITERIOS!$M$16/_xlfn.XLOOKUP($C308,[1]CRITERIOS!$K$25:$K$42,[1]CRITERIOS!$M$25:$M$42),
1),
$M308)),_xlfn.XLOOKUP(A308,'[1]DATOS PBI Artículos'!A:A,'[1]DATOS PBI Artículos'!Z:Z
)))))</f>
        <v>#N/A</v>
      </c>
      <c r="Q308" s="38" t="e">
        <f>IF(AND(O308="",N308=0),
0,
   IF(COUNTIF([1]CRITERIOS!$F$179:$F$199,$A308)&gt;=1,
   1,
   IF(R308="MTO",
      $D308,
      ROUNDUP(
                    IF(($E308-SUMIF('[1]DATOS PBI Artículos'!A:A,A308,'[1]DATOS PBI Artículos'!X:X)+($V308-_xlfn.XLOOKUP(A308,'[1]DATOS PBI Artículos'!A:A,'[1]DATOS PBI Artículos'!W:W)))&lt;0,
                    0,
                    IF(($E308-SUMIF('[1]DATOS PBI Artículos'!A:A,A308,'[1]DATOS PBI Artículos'!X:X)+$V308-_xlfn.XLOOKUP($A308,'[1]DATOS PBI Artículos'!A:A,'[1]DATOS PBI Artículos'!W:W))/IF($O308="",$N308,$O308)&gt;ROUNDUP([1]CRITERIOS!$M$16/(IF(COUNTIF([1]CRITERIOS!$BG$11:$BG$201,L308)&gt;=1,_xlfn.XLOOKUP($C308,[1]CRITERIOS!$K$25:$K$42,[1]CRITERIOS!$M$25:$M$42),_xlfn.XLOOKUP($C308,[1]CRITERIOS!$K$25:$K$42,[1]CRITERIOS!$M$25:$M$42))),0),
                    ROUNDUP([1]CRITERIOS!$M$16/(IF(COUNTIF([1]CRITERIOS!$BG$11:$BG$201,$L308)&gt;=1,_xlfn.XLOOKUP($C308,[1]CRITERIOS!$K$25:$K$42,[1]CRITERIOS!$M$25:$M$42),_xlfn.XLOOKUP($C308,[1]CRITERIOS!$K$25:$K$42,[1]CRITERIOS!$M$25:$M$42))),0),
                    (E308+V308-SUMIF('[1]DATOS PBI Artículos'!A:A,A308,'[1]DATOS PBI Artículos'!X:X)-_xlfn.XLOOKUP(A308,'[1]DATOS PBI Artículos'!A:A,'[1]DATOS PBI Artículos'!W:W))/IF($O308="",$N308,$O308))),0))))</f>
        <v>#N/A</v>
      </c>
      <c r="R308" s="33" t="e">
        <f>IF(U308&lt;&gt;"",U308,IF(F308="DV","MTO",IF(N308=0,"MTO",_xlfn.XLOOKUP(CONCATENATE(S308,T308),[1]CRITERIOS!$K$160:$K$168,[1]CRITERIOS!$N$160:$N$168))))</f>
        <v>#N/A</v>
      </c>
      <c r="S308" s="33" t="e">
        <f>IF(G308="DV","MTO",IF(N308=0,"MTO",IF(OR(AND(N308=0,O308=""),IF(O308="",G308/N308,G308/O308)&gt;[1]CRITERIOS!$G$163),"MTO",IF(IF(O308="",G308/N308,G308/O308)&lt;[1]CRITERIOS!$H$161,"MTS","MTOS"))))</f>
        <v>#N/A</v>
      </c>
      <c r="T308" s="33" t="e">
        <f>IF(F308="DV","MTO",IF(OR(AND($N308=0,O308=""),$F308/$J308&gt;[1]CRITERIOS!$G$170,$F308="DV"),"MTO",IF($F308/$J308&lt;[1]CRITERIOS!$H$168,"MTS","MTOS")))</f>
        <v>#N/A</v>
      </c>
      <c r="V308" s="34" t="e">
        <f t="shared" si="16"/>
        <v>#N/A</v>
      </c>
      <c r="X308" s="34" t="e">
        <f t="shared" si="14"/>
        <v>#N/A</v>
      </c>
      <c r="Y308" s="34" t="e">
        <f t="shared" si="15"/>
        <v>#N/A</v>
      </c>
      <c r="Z308" s="34" t="e">
        <f>IF($R308="MTO",
0,
($H308+$K308*($E308/[1]CRITERIOS!$M$16))/[1]CRITERIOS!$X$48)</f>
        <v>#N/A</v>
      </c>
      <c r="AA308" s="34" t="e">
        <f>ROUNDUP(($Y308/_xlfn.XLOOKUP($A308,'[1]DATOS PBI Artículos'!$A$4:$A$4,'[1]DATOS PBI Artículos'!$Z$4:$Z$4))/_xlfn.XLOOKUP(_xlfn.XLOOKUP($A308,'[1]DATOS PBI Artículos'!$A$4:$A$4,'[1]DATOS PBI Artículos'!$Y$4:$Y$4),[1]CRITERIOS!$P$79:$P$123,[1]CRITERIOS!$S$79:$S$123,),0)</f>
        <v>#N/A</v>
      </c>
      <c r="AB308" s="33" t="e">
        <f t="array" ref="AB308">IF((E308+V308-_xlfn.XLOOKUP(A308,'[1]DATOS PBI Artículos'!$A$4:$A$4,'[1]DATOS PBI Artículos'!$W$4:$W$4))/N308&gt;ROUNDUP([1]CRITERIOS!$M$16/(IF(COUNTIF([1]CRITERIOS!$BG$11:$BG$201,L308)&gt;=1,_xlfn.XLOOKUP(ARTÍCULOS!L308,[1]CRITERIOS!$BG$11:$BG$201,[1]CRITERIOS!$BJ$11:$BJ$201),_xlfn.XLOOKUP(ARTÍCULOS!C308,[1]CRITERIOS!$K$25:$K$42,[1]CRITERIOS!$M$25:$M$42))),0),ROUNDUP([1]CRITERIOS!$M$16/(IF(COUNTIF([1]CRITERIOS!$BG$11:$BG$201,L308)&gt;=1,_xlfn.XLOOKUP(ARTÍCULOS!L308,[1]CRITERIOS!$BG$11:$BG$201:#REF!,[1]CRITERIOS!$BJ$11:$BJ$201),_xlfn.XLOOKUP(ARTÍCULOS!C308,[1]CRITERIOS!$K$25:$K$42,[1]CRITERIOS!$M$25:$M$42))),0),(E308+V308-_xlfn.XLOOKUP(A308,'[1]DATOS PBI Artículos'!$A$4:$A$4,'[1]DATOS PBI Artículos'!$W$4:$W$4))/N308)</f>
        <v>#N/A</v>
      </c>
      <c r="AC308" s="33" t="e">
        <f>IF(N308=0,"",(ROUNDUP((N308/2)/(_xlfn.XLOOKUP(A308,'[1]DATOS PBI Artículos'!$A$4:$A$4,'[1]DATOS PBI Artículos'!$Z$4:$Z$4)*_xlfn.XLOOKUP(_xlfn.XLOOKUP(A308,'[1]DATOS PBI Artículos'!$A$4:$A$4,'[1]DATOS PBI Artículos'!$Y$4:$Y$4),[1]CRITERIOS!$P$79:$P$123,[1]CRITERIOS!$S$79:$S$123)),0)*[1]CRITERIOS!$M$80*([1]CRITERIOS!$M$110/[1]CRITERIOS!$M$86)+(_xlfn.XLOOKUP(A308,'[1]DATOS PBI Artículos'!$A$4:$A$4,'[1]DATOS PBI Artículos'!$AA$4:$AA$4)*([1]CRITERIOS!$M$95+[1]CRITERIOS!$M$98)))/N308)</f>
        <v>#N/A</v>
      </c>
      <c r="AD308" s="33" t="e">
        <f>IF(N308=0,"",(ROUNDUP((N308/2)/(_xlfn.XLOOKUP(A308,'[1]DATOS PBI Artículos'!$A$4:$A$4,'[1]DATOS PBI Artículos'!$Z$4:$Z$4)*_xlfn.XLOOKUP(_xlfn.XLOOKUP(A308,'[1]DATOS PBI Artículos'!$A$4:$A$4,'[1]DATOS PBI Artículos'!$Y$4:$Y$4),[1]CRITERIOS!$P$79:$P$123,[1]CRITERIOS!$S$79:$S$123)),0)*[1]CRITERIOS!$M$80*([1]CRITERIOS!$M$89*[1]CRITERIOS!$M$92)+((_xlfn.XLOOKUP(A308,'[1]DATOS PBI Artículos'!$A$4:$A$4,'[1]DATOS PBI Artículos'!$AA$4:$AA$4)/2)*([1]CRITERIOS!$M$95+[1]CRITERIOS!$M$98)))/N308)</f>
        <v>#N/A</v>
      </c>
      <c r="AE308" s="39" t="e">
        <f>IF($R308="MTO","",
IF($H308=0,ROUNDUP(((_xlfn.XLOOKUP($A308,'[1]DATOS PBI Artículos'!$A:$A,'[1]DATOS PBI Artículos'!$AL:$AL))/(_xlfn.XLOOKUP($AF$1,[1]CRITERIOS!$S$16:$S$39,[1]CRITERIOS!$Y$16:$Y$39))*$J308+$Z308)/$G308,0)*$G308,
((_xlfn.XLOOKUP($A308,'[1]DATOS PBI Artículos'!$A:$A,'[1]DATOS PBI Artículos'!$AL:$AL))/(_xlfn.XLOOKUP($AF$1,[1]CRITERIOS!$S$16:$S$39,[1]CRITERIOS!$Y$16:$Y$39))*$J308+$Z308)))</f>
        <v>#N/A</v>
      </c>
      <c r="AG308" s="39" t="e">
        <f>IF($R308="MTO","",
IF($H308=0,ROUNDUP(((_xlfn.XLOOKUP($A308,'[1]DATOS PBI Artículos'!$A:$A,'[1]DATOS PBI Artículos'!$AM:$AM))/(_xlfn.XLOOKUP($AH$1,[1]CRITERIOS!$S$16:$S$39,[1]CRITERIOS!$Y$16:$Y$39))*$J308+$Z308)/$G308,0)*$G308,
((_xlfn.XLOOKUP($A308,'[1]DATOS PBI Artículos'!$A:$A,'[1]DATOS PBI Artículos'!$AM:$AM))/(_xlfn.XLOOKUP($AH$1,[1]CRITERIOS!$S$16:$S$39,[1]CRITERIOS!$Y$16:$Y$39))*$J308+$Z308)))</f>
        <v>#N/A</v>
      </c>
      <c r="AI308" s="39" t="e">
        <f>IF($R308="MTO","",
IF($H308=0,ROUNDUP(((_xlfn.XLOOKUP($A308,'[1]DATOS PBI Artículos'!$A:$A,'[1]DATOS PBI Artículos'!$AN:$AN))/(_xlfn.XLOOKUP($AJ$1,[1]CRITERIOS!$S$16:$S$39,[1]CRITERIOS!$Y$16:$Y$39))*$J308+$Z308)/$G308,0)*$G308,
((_xlfn.XLOOKUP($A308,'[1]DATOS PBI Artículos'!$A:$A,'[1]DATOS PBI Artículos'!$AN:$AN))/(_xlfn.XLOOKUP($AJ$1,[1]CRITERIOS!$S$16:$S$39,[1]CRITERIOS!$Y$16:$Y$39))*$J308+$Z308)))</f>
        <v>#N/A</v>
      </c>
      <c r="AK308" s="39" t="e">
        <f>IF($R308="MTO","",
IF($H308=0,ROUNDUP(((_xlfn.XLOOKUP($A308,'[1]DATOS PBI Artículos'!$A:$A,'[1]DATOS PBI Artículos'!$AO:$AO))/(_xlfn.XLOOKUP($AL$1,[1]CRITERIOS!$S$16:$S$39,[1]CRITERIOS!$Y$16:$Y$39))*$J308+$Z308)/$G308,0)*$G308,
((_xlfn.XLOOKUP($A308,'[1]DATOS PBI Artículos'!$A:$A,'[1]DATOS PBI Artículos'!$AO:$AO))/(_xlfn.XLOOKUP($AL$1,[1]CRITERIOS!$S$16:$S$39,[1]CRITERIOS!$Y$16:$Y$39))*$J308+$Z308)))</f>
        <v>#N/A</v>
      </c>
    </row>
    <row r="309" spans="1:37" ht="25.8" hidden="1" x14ac:dyDescent="0.4">
      <c r="A309" s="41"/>
      <c r="B309" s="33">
        <f>_xlfn.XLOOKUP($A309,'[1]DATOS PBI Artículos'!A:A,'[1]DATOS PBI Artículos'!B:B)</f>
        <v>0</v>
      </c>
      <c r="C309" s="33">
        <f>_xlfn.XLOOKUP($A309,'[1]DATOS PBI Artículos'!A:A,'[1]DATOS PBI Artículos'!C:C)</f>
        <v>0</v>
      </c>
      <c r="D309" s="33">
        <f>_xlfn.XLOOKUP(A309,'[1]DATOS PBI Artículos'!A:A,'[1]DATOS PBI Artículos'!T:T)</f>
        <v>0</v>
      </c>
      <c r="E309" s="34">
        <f>IF(_xlfn.XLOOKUP($A309,'[1]DATOS PBI Artículos'!A:A,'[1]DATOS PBI Artículos'!AK:AK)="",_xlfn.XLOOKUP($A309,'[1]DATOS PBI Artículos'!A:A,'[1]DATOS PBI Artículos'!AJ:AJ),_xlfn.XLOOKUP($A309,'[1]DATOS PBI Artículos'!A:A,'[1]DATOS PBI Artículos'!AK:AK))</f>
        <v>0</v>
      </c>
      <c r="F309" s="35">
        <f>_xlfn.XLOOKUP($A309,'[1]DATOS PBI Artículos'!A:A,'[1]DATOS PBI Artículos'!AP:AP)</f>
        <v>0</v>
      </c>
      <c r="G309" s="34">
        <f>_xlfn.XLOOKUP($A309,'[1]DATOS PBI Artículos'!A:A,'[1]DATOS PBI Artículos'!AR:AR)</f>
        <v>0</v>
      </c>
      <c r="H309" s="34">
        <f>_xlfn.XLOOKUP($A309,'[1]DATOS PBI Artículos'!A:A,'[1]DATOS PBI Artículos'!AT:AT)</f>
        <v>0</v>
      </c>
      <c r="I309" s="34">
        <f>_xlfn.XLOOKUP($A309,'[1]DATOS PBI Artículos'!A:A,'[1]DATOS PBI Artículos'!AS:AS)</f>
        <v>0</v>
      </c>
      <c r="J309" s="35">
        <f>IF(COUNTIF([1]CRITERIOS!$F$179:$F$199,$A309)&gt;=1,
 IF(O309&lt;&gt;"",
    (O309/_xlfn.XLOOKUP(CONCATENATE(A309,L309),[1]MÁQUINAS!A:A,[1]MÁQUINAS!D:D))/24,
    (N309/_xlfn.XLOOKUP(CONCATENATE(A309,L309),[1]MÁQUINAS!A:A,[1]MÁQUINAS!D:D))/24),
  _xlfn.XLOOKUP($A309,'[1]DATOS PBI Artículos'!A:A,'[1]DATOS PBI Artículos'!AU:AU))</f>
        <v>0</v>
      </c>
      <c r="K309" s="36">
        <f>_xlfn.XLOOKUP($A309,'[1]DATOS PBI Artículos'!A:A,'[1]DATOS PBI Artículos'!AV:AV)</f>
        <v>0</v>
      </c>
      <c r="L309" s="33">
        <f>_xlfn.XLOOKUP(A309,[1]MÁQUINAS!B:B,[1]MÁQUINAS!C:C)</f>
        <v>0</v>
      </c>
      <c r="M309" s="34">
        <f t="array" ref="M309">_xlfn.XLOOKUP(A309,'[1]DATOS PBI Artículos'!A:A,'[1]DATOS PBI Artículos'!AX:$AX)</f>
        <v>0</v>
      </c>
      <c r="N309" s="37" t="e">
        <f>IF(I309="DV",
E309,
IF(COUNTIF([1]CRITERIOS!$I$179:$I$199,$A309)&gt;=1,
_xlfn.XLOOKUP($A309,[1]CRITERIOS!$I$179:$I$199,[1]CRITERIOS!$J$179:$J$199),
IF(COUNTIF([1]CRITERIOS!$L$179:$L$199,$A309)&gt;=1,
_xlfn.CEILING.MATH(IF($M309&gt;$E309,
$E309,
IF($M309&lt;$E309/ROUNDDOWN([1]CRITERIOS!$M$16/_xlfn.XLOOKUP($C309,[1]CRITERIOS!$K$25:$K$42,[1]CRITERIOS!$M$25:$M$42),
1),
E309/ROUNDDOWN([1]CRITERIOS!$M$16/_xlfn.XLOOKUP($C309,[1]CRITERIOS!$K$25:$K$42,[1]CRITERIOS!$M$25:$M$42),
1),
$M309)),
_xlfn.XLOOKUP($A309,[1]CRITERIOS!$L$179:$L$200,[1]CRITERIOS!$M$179:$M$200)),
_xlfn.CEILING.MATH(IF($M309&gt;$E309,
$E309,
IF($M309&lt;$E309/ROUNDDOWN([1]CRITERIOS!$M$16/_xlfn.XLOOKUP($C309,[1]CRITERIOS!$K$25:$K$42,[1]CRITERIOS!$M$25:$M$42),
1),
E309/ROUNDDOWN([1]CRITERIOS!$M$16/_xlfn.XLOOKUP($C309,[1]CRITERIOS!$K$25:$K$42,[1]CRITERIOS!$M$25:$M$42),
1),
$M309)),_xlfn.XLOOKUP(A309,'[1]DATOS PBI Artículos'!A:A,'[1]DATOS PBI Artículos'!Z:Z
)))))</f>
        <v>#N/A</v>
      </c>
      <c r="Q309" s="38" t="e">
        <f>IF(AND(O309="",N309=0),
0,
   IF(COUNTIF([1]CRITERIOS!$F$179:$F$199,$A309)&gt;=1,
   1,
   IF(R309="MTO",
      $D309,
      ROUNDUP(
                    IF(($E309-SUMIF('[1]DATOS PBI Artículos'!A:A,A309,'[1]DATOS PBI Artículos'!X:X)+($V309-_xlfn.XLOOKUP(A309,'[1]DATOS PBI Artículos'!A:A,'[1]DATOS PBI Artículos'!W:W)))&lt;0,
                    0,
                    IF(($E309-SUMIF('[1]DATOS PBI Artículos'!A:A,A309,'[1]DATOS PBI Artículos'!X:X)+$V309-_xlfn.XLOOKUP($A309,'[1]DATOS PBI Artículos'!A:A,'[1]DATOS PBI Artículos'!W:W))/IF($O309="",$N309,$O309)&gt;ROUNDUP([1]CRITERIOS!$M$16/(IF(COUNTIF([1]CRITERIOS!$BG$11:$BG$201,L309)&gt;=1,_xlfn.XLOOKUP($C309,[1]CRITERIOS!$K$25:$K$42,[1]CRITERIOS!$M$25:$M$42),_xlfn.XLOOKUP($C309,[1]CRITERIOS!$K$25:$K$42,[1]CRITERIOS!$M$25:$M$42))),0),
                    ROUNDUP([1]CRITERIOS!$M$16/(IF(COUNTIF([1]CRITERIOS!$BG$11:$BG$201,$L309)&gt;=1,_xlfn.XLOOKUP($C309,[1]CRITERIOS!$K$25:$K$42,[1]CRITERIOS!$M$25:$M$42),_xlfn.XLOOKUP($C309,[1]CRITERIOS!$K$25:$K$42,[1]CRITERIOS!$M$25:$M$42))),0),
                    (E309+V309-SUMIF('[1]DATOS PBI Artículos'!A:A,A309,'[1]DATOS PBI Artículos'!X:X)-_xlfn.XLOOKUP(A309,'[1]DATOS PBI Artículos'!A:A,'[1]DATOS PBI Artículos'!W:W))/IF($O309="",$N309,$O309))),0))))</f>
        <v>#N/A</v>
      </c>
      <c r="R309" s="33" t="e">
        <f>IF(U309&lt;&gt;"",U309,IF(F309="DV","MTO",IF(N309=0,"MTO",_xlfn.XLOOKUP(CONCATENATE(S309,T309),[1]CRITERIOS!$K$160:$K$168,[1]CRITERIOS!$N$160:$N$168))))</f>
        <v>#N/A</v>
      </c>
      <c r="S309" s="33" t="e">
        <f>IF(G309="DV","MTO",IF(N309=0,"MTO",IF(OR(AND(N309=0,O309=""),IF(O309="",G309/N309,G309/O309)&gt;[1]CRITERIOS!$G$163),"MTO",IF(IF(O309="",G309/N309,G309/O309)&lt;[1]CRITERIOS!$H$161,"MTS","MTOS"))))</f>
        <v>#N/A</v>
      </c>
      <c r="T309" s="33" t="e">
        <f>IF(F309="DV","MTO",IF(OR(AND($N309=0,O309=""),$F309/$J309&gt;[1]CRITERIOS!$G$170,$F309="DV"),"MTO",IF($F309/$J309&lt;[1]CRITERIOS!$H$168,"MTS","MTOS")))</f>
        <v>#N/A</v>
      </c>
      <c r="V309" s="34" t="e">
        <f t="shared" si="16"/>
        <v>#N/A</v>
      </c>
      <c r="X309" s="34" t="e">
        <f t="shared" si="14"/>
        <v>#N/A</v>
      </c>
      <c r="Y309" s="34" t="e">
        <f t="shared" si="15"/>
        <v>#N/A</v>
      </c>
      <c r="Z309" s="34" t="e">
        <f>IF($R309="MTO",
0,
($H309+$K309*($E309/[1]CRITERIOS!$M$16))/[1]CRITERIOS!$X$48)</f>
        <v>#N/A</v>
      </c>
      <c r="AA309" s="34" t="e">
        <f>ROUNDUP(($Y309/_xlfn.XLOOKUP($A309,'[1]DATOS PBI Artículos'!$A$4:$A$4,'[1]DATOS PBI Artículos'!$Z$4:$Z$4))/_xlfn.XLOOKUP(_xlfn.XLOOKUP($A309,'[1]DATOS PBI Artículos'!$A$4:$A$4,'[1]DATOS PBI Artículos'!$Y$4:$Y$4),[1]CRITERIOS!$P$79:$P$123,[1]CRITERIOS!$S$79:$S$123,),0)</f>
        <v>#N/A</v>
      </c>
      <c r="AB309" s="33" t="e">
        <f t="array" ref="AB309">IF((E309+V309-_xlfn.XLOOKUP(A309,'[1]DATOS PBI Artículos'!$A$4:$A$4,'[1]DATOS PBI Artículos'!$W$4:$W$4))/N309&gt;ROUNDUP([1]CRITERIOS!$M$16/(IF(COUNTIF([1]CRITERIOS!$BG$11:$BG$201,L309)&gt;=1,_xlfn.XLOOKUP(ARTÍCULOS!L309,[1]CRITERIOS!$BG$11:$BG$201,[1]CRITERIOS!$BJ$11:$BJ$201),_xlfn.XLOOKUP(ARTÍCULOS!C309,[1]CRITERIOS!$K$25:$K$42,[1]CRITERIOS!$M$25:$M$42))),0),ROUNDUP([1]CRITERIOS!$M$16/(IF(COUNTIF([1]CRITERIOS!$BG$11:$BG$201,L309)&gt;=1,_xlfn.XLOOKUP(ARTÍCULOS!L309,[1]CRITERIOS!$BG$11:$BG$201:#REF!,[1]CRITERIOS!$BJ$11:$BJ$201),_xlfn.XLOOKUP(ARTÍCULOS!C309,[1]CRITERIOS!$K$25:$K$42,[1]CRITERIOS!$M$25:$M$42))),0),(E309+V309-_xlfn.XLOOKUP(A309,'[1]DATOS PBI Artículos'!$A$4:$A$4,'[1]DATOS PBI Artículos'!$W$4:$W$4))/N309)</f>
        <v>#N/A</v>
      </c>
      <c r="AC309" s="33" t="e">
        <f>IF(N309=0,"",(ROUNDUP((N309/2)/(_xlfn.XLOOKUP(A309,'[1]DATOS PBI Artículos'!$A$4:$A$4,'[1]DATOS PBI Artículos'!$Z$4:$Z$4)*_xlfn.XLOOKUP(_xlfn.XLOOKUP(A309,'[1]DATOS PBI Artículos'!$A$4:$A$4,'[1]DATOS PBI Artículos'!$Y$4:$Y$4),[1]CRITERIOS!$P$79:$P$123,[1]CRITERIOS!$S$79:$S$123)),0)*[1]CRITERIOS!$M$80*([1]CRITERIOS!$M$110/[1]CRITERIOS!$M$86)+(_xlfn.XLOOKUP(A309,'[1]DATOS PBI Artículos'!$A$4:$A$4,'[1]DATOS PBI Artículos'!$AA$4:$AA$4)*([1]CRITERIOS!$M$95+[1]CRITERIOS!$M$98)))/N309)</f>
        <v>#N/A</v>
      </c>
      <c r="AD309" s="33" t="e">
        <f>IF(N309=0,"",(ROUNDUP((N309/2)/(_xlfn.XLOOKUP(A309,'[1]DATOS PBI Artículos'!$A$4:$A$4,'[1]DATOS PBI Artículos'!$Z$4:$Z$4)*_xlfn.XLOOKUP(_xlfn.XLOOKUP(A309,'[1]DATOS PBI Artículos'!$A$4:$A$4,'[1]DATOS PBI Artículos'!$Y$4:$Y$4),[1]CRITERIOS!$P$79:$P$123,[1]CRITERIOS!$S$79:$S$123)),0)*[1]CRITERIOS!$M$80*([1]CRITERIOS!$M$89*[1]CRITERIOS!$M$92)+((_xlfn.XLOOKUP(A309,'[1]DATOS PBI Artículos'!$A$4:$A$4,'[1]DATOS PBI Artículos'!$AA$4:$AA$4)/2)*([1]CRITERIOS!$M$95+[1]CRITERIOS!$M$98)))/N309)</f>
        <v>#N/A</v>
      </c>
      <c r="AE309" s="39" t="e">
        <f>IF($R309="MTO","",
IF($H309=0,ROUNDUP(((_xlfn.XLOOKUP($A309,'[1]DATOS PBI Artículos'!$A:$A,'[1]DATOS PBI Artículos'!$AL:$AL))/(_xlfn.XLOOKUP($AF$1,[1]CRITERIOS!$S$16:$S$39,[1]CRITERIOS!$Y$16:$Y$39))*$J309+$Z309)/$G309,0)*$G309,
((_xlfn.XLOOKUP($A309,'[1]DATOS PBI Artículos'!$A:$A,'[1]DATOS PBI Artículos'!$AL:$AL))/(_xlfn.XLOOKUP($AF$1,[1]CRITERIOS!$S$16:$S$39,[1]CRITERIOS!$Y$16:$Y$39))*$J309+$Z309)))</f>
        <v>#N/A</v>
      </c>
      <c r="AG309" s="39" t="e">
        <f>IF($R309="MTO","",
IF($H309=0,ROUNDUP(((_xlfn.XLOOKUP($A309,'[1]DATOS PBI Artículos'!$A:$A,'[1]DATOS PBI Artículos'!$AM:$AM))/(_xlfn.XLOOKUP($AH$1,[1]CRITERIOS!$S$16:$S$39,[1]CRITERIOS!$Y$16:$Y$39))*$J309+$Z309)/$G309,0)*$G309,
((_xlfn.XLOOKUP($A309,'[1]DATOS PBI Artículos'!$A:$A,'[1]DATOS PBI Artículos'!$AM:$AM))/(_xlfn.XLOOKUP($AH$1,[1]CRITERIOS!$S$16:$S$39,[1]CRITERIOS!$Y$16:$Y$39))*$J309+$Z309)))</f>
        <v>#N/A</v>
      </c>
      <c r="AI309" s="39" t="e">
        <f>IF($R309="MTO","",
IF($H309=0,ROUNDUP(((_xlfn.XLOOKUP($A309,'[1]DATOS PBI Artículos'!$A:$A,'[1]DATOS PBI Artículos'!$AN:$AN))/(_xlfn.XLOOKUP($AJ$1,[1]CRITERIOS!$S$16:$S$39,[1]CRITERIOS!$Y$16:$Y$39))*$J309+$Z309)/$G309,0)*$G309,
((_xlfn.XLOOKUP($A309,'[1]DATOS PBI Artículos'!$A:$A,'[1]DATOS PBI Artículos'!$AN:$AN))/(_xlfn.XLOOKUP($AJ$1,[1]CRITERIOS!$S$16:$S$39,[1]CRITERIOS!$Y$16:$Y$39))*$J309+$Z309)))</f>
        <v>#N/A</v>
      </c>
      <c r="AK309" s="39" t="e">
        <f>IF($R309="MTO","",
IF($H309=0,ROUNDUP(((_xlfn.XLOOKUP($A309,'[1]DATOS PBI Artículos'!$A:$A,'[1]DATOS PBI Artículos'!$AO:$AO))/(_xlfn.XLOOKUP($AL$1,[1]CRITERIOS!$S$16:$S$39,[1]CRITERIOS!$Y$16:$Y$39))*$J309+$Z309)/$G309,0)*$G309,
((_xlfn.XLOOKUP($A309,'[1]DATOS PBI Artículos'!$A:$A,'[1]DATOS PBI Artículos'!$AO:$AO))/(_xlfn.XLOOKUP($AL$1,[1]CRITERIOS!$S$16:$S$39,[1]CRITERIOS!$Y$16:$Y$39))*$J309+$Z309)))</f>
        <v>#N/A</v>
      </c>
    </row>
    <row r="310" spans="1:37" ht="25.8" hidden="1" x14ac:dyDescent="0.4">
      <c r="A310" s="41"/>
      <c r="B310" s="33">
        <f>_xlfn.XLOOKUP($A310,'[1]DATOS PBI Artículos'!A:A,'[1]DATOS PBI Artículos'!B:B)</f>
        <v>0</v>
      </c>
      <c r="C310" s="33">
        <f>_xlfn.XLOOKUP($A310,'[1]DATOS PBI Artículos'!A:A,'[1]DATOS PBI Artículos'!C:C)</f>
        <v>0</v>
      </c>
      <c r="D310" s="33">
        <f>_xlfn.XLOOKUP(A310,'[1]DATOS PBI Artículos'!A:A,'[1]DATOS PBI Artículos'!T:T)</f>
        <v>0</v>
      </c>
      <c r="E310" s="34">
        <f>IF(_xlfn.XLOOKUP($A310,'[1]DATOS PBI Artículos'!A:A,'[1]DATOS PBI Artículos'!AK:AK)="",_xlfn.XLOOKUP($A310,'[1]DATOS PBI Artículos'!A:A,'[1]DATOS PBI Artículos'!AJ:AJ),_xlfn.XLOOKUP($A310,'[1]DATOS PBI Artículos'!A:A,'[1]DATOS PBI Artículos'!AK:AK))</f>
        <v>0</v>
      </c>
      <c r="F310" s="35">
        <f>_xlfn.XLOOKUP($A310,'[1]DATOS PBI Artículos'!A:A,'[1]DATOS PBI Artículos'!AP:AP)</f>
        <v>0</v>
      </c>
      <c r="G310" s="34">
        <f>_xlfn.XLOOKUP($A310,'[1]DATOS PBI Artículos'!A:A,'[1]DATOS PBI Artículos'!AR:AR)</f>
        <v>0</v>
      </c>
      <c r="H310" s="34">
        <f>_xlfn.XLOOKUP($A310,'[1]DATOS PBI Artículos'!A:A,'[1]DATOS PBI Artículos'!AT:AT)</f>
        <v>0</v>
      </c>
      <c r="I310" s="34">
        <f>_xlfn.XLOOKUP($A310,'[1]DATOS PBI Artículos'!A:A,'[1]DATOS PBI Artículos'!AS:AS)</f>
        <v>0</v>
      </c>
      <c r="J310" s="35">
        <f>IF(COUNTIF([1]CRITERIOS!$F$179:$F$199,$A310)&gt;=1,
 IF(O310&lt;&gt;"",
    (O310/_xlfn.XLOOKUP(CONCATENATE(A310,L310),[1]MÁQUINAS!A:A,[1]MÁQUINAS!D:D))/24,
    (N310/_xlfn.XLOOKUP(CONCATENATE(A310,L310),[1]MÁQUINAS!A:A,[1]MÁQUINAS!D:D))/24),
  _xlfn.XLOOKUP($A310,'[1]DATOS PBI Artículos'!A:A,'[1]DATOS PBI Artículos'!AU:AU))</f>
        <v>0</v>
      </c>
      <c r="K310" s="36">
        <f>_xlfn.XLOOKUP($A310,'[1]DATOS PBI Artículos'!A:A,'[1]DATOS PBI Artículos'!AV:AV)</f>
        <v>0</v>
      </c>
      <c r="L310" s="33">
        <f>_xlfn.XLOOKUP(A310,[1]MÁQUINAS!B:B,[1]MÁQUINAS!C:C)</f>
        <v>0</v>
      </c>
      <c r="M310" s="34">
        <f t="array" ref="M310">_xlfn.XLOOKUP(A310,'[1]DATOS PBI Artículos'!A:A,'[1]DATOS PBI Artículos'!AX:$AX)</f>
        <v>0</v>
      </c>
      <c r="N310" s="37" t="e">
        <f>IF(I310="DV",
E310,
IF(COUNTIF([1]CRITERIOS!$I$179:$I$199,$A310)&gt;=1,
_xlfn.XLOOKUP($A310,[1]CRITERIOS!$I$179:$I$199,[1]CRITERIOS!$J$179:$J$199),
IF(COUNTIF([1]CRITERIOS!$L$179:$L$199,$A310)&gt;=1,
_xlfn.CEILING.MATH(IF($M310&gt;$E310,
$E310,
IF($M310&lt;$E310/ROUNDDOWN([1]CRITERIOS!$M$16/_xlfn.XLOOKUP($C310,[1]CRITERIOS!$K$25:$K$42,[1]CRITERIOS!$M$25:$M$42),
1),
E310/ROUNDDOWN([1]CRITERIOS!$M$16/_xlfn.XLOOKUP($C310,[1]CRITERIOS!$K$25:$K$42,[1]CRITERIOS!$M$25:$M$42),
1),
$M310)),
_xlfn.XLOOKUP($A310,[1]CRITERIOS!$L$179:$L$200,[1]CRITERIOS!$M$179:$M$200)),
_xlfn.CEILING.MATH(IF($M310&gt;$E310,
$E310,
IF($M310&lt;$E310/ROUNDDOWN([1]CRITERIOS!$M$16/_xlfn.XLOOKUP($C310,[1]CRITERIOS!$K$25:$K$42,[1]CRITERIOS!$M$25:$M$42),
1),
E310/ROUNDDOWN([1]CRITERIOS!$M$16/_xlfn.XLOOKUP($C310,[1]CRITERIOS!$K$25:$K$42,[1]CRITERIOS!$M$25:$M$42),
1),
$M310)),_xlfn.XLOOKUP(A310,'[1]DATOS PBI Artículos'!A:A,'[1]DATOS PBI Artículos'!Z:Z
)))))</f>
        <v>#N/A</v>
      </c>
      <c r="Q310" s="38" t="e">
        <f>IF(AND(O310="",N310=0),
0,
   IF(COUNTIF([1]CRITERIOS!$F$179:$F$199,$A310)&gt;=1,
   1,
   IF(R310="MTO",
      $D310,
      ROUNDUP(
                    IF(($E310-SUMIF('[1]DATOS PBI Artículos'!A:A,A310,'[1]DATOS PBI Artículos'!X:X)+($V310-_xlfn.XLOOKUP(A310,'[1]DATOS PBI Artículos'!A:A,'[1]DATOS PBI Artículos'!W:W)))&lt;0,
                    0,
                    IF(($E310-SUMIF('[1]DATOS PBI Artículos'!A:A,A310,'[1]DATOS PBI Artículos'!X:X)+$V310-_xlfn.XLOOKUP($A310,'[1]DATOS PBI Artículos'!A:A,'[1]DATOS PBI Artículos'!W:W))/IF($O310="",$N310,$O310)&gt;ROUNDUP([1]CRITERIOS!$M$16/(IF(COUNTIF([1]CRITERIOS!$BG$11:$BG$201,L310)&gt;=1,_xlfn.XLOOKUP($C310,[1]CRITERIOS!$K$25:$K$42,[1]CRITERIOS!$M$25:$M$42),_xlfn.XLOOKUP($C310,[1]CRITERIOS!$K$25:$K$42,[1]CRITERIOS!$M$25:$M$42))),0),
                    ROUNDUP([1]CRITERIOS!$M$16/(IF(COUNTIF([1]CRITERIOS!$BG$11:$BG$201,$L310)&gt;=1,_xlfn.XLOOKUP($C310,[1]CRITERIOS!$K$25:$K$42,[1]CRITERIOS!$M$25:$M$42),_xlfn.XLOOKUP($C310,[1]CRITERIOS!$K$25:$K$42,[1]CRITERIOS!$M$25:$M$42))),0),
                    (E310+V310-SUMIF('[1]DATOS PBI Artículos'!A:A,A310,'[1]DATOS PBI Artículos'!X:X)-_xlfn.XLOOKUP(A310,'[1]DATOS PBI Artículos'!A:A,'[1]DATOS PBI Artículos'!W:W))/IF($O310="",$N310,$O310))),0))))</f>
        <v>#N/A</v>
      </c>
      <c r="R310" s="33" t="e">
        <f>IF(U310&lt;&gt;"",U310,IF(F310="DV","MTO",IF(N310=0,"MTO",_xlfn.XLOOKUP(CONCATENATE(S310,T310),[1]CRITERIOS!$K$160:$K$168,[1]CRITERIOS!$N$160:$N$168))))</f>
        <v>#N/A</v>
      </c>
      <c r="S310" s="33" t="e">
        <f>IF(G310="DV","MTO",IF(N310=0,"MTO",IF(OR(AND(N310=0,O310=""),IF(O310="",G310/N310,G310/O310)&gt;[1]CRITERIOS!$G$163),"MTO",IF(IF(O310="",G310/N310,G310/O310)&lt;[1]CRITERIOS!$H$161,"MTS","MTOS"))))</f>
        <v>#N/A</v>
      </c>
      <c r="T310" s="33" t="e">
        <f>IF(F310="DV","MTO",IF(OR(AND($N310=0,O310=""),$F310/$J310&gt;[1]CRITERIOS!$G$170,$F310="DV"),"MTO",IF($F310/$J310&lt;[1]CRITERIOS!$H$168,"MTS","MTOS")))</f>
        <v>#N/A</v>
      </c>
      <c r="V310" s="34" t="e">
        <f t="shared" si="16"/>
        <v>#N/A</v>
      </c>
      <c r="X310" s="34" t="e">
        <f t="shared" si="14"/>
        <v>#N/A</v>
      </c>
      <c r="Y310" s="34" t="e">
        <f t="shared" si="15"/>
        <v>#N/A</v>
      </c>
      <c r="Z310" s="34" t="e">
        <f>IF($R310="MTO",
0,
($H310+$K310*($E310/[1]CRITERIOS!$M$16))/[1]CRITERIOS!$X$48)</f>
        <v>#N/A</v>
      </c>
      <c r="AA310" s="34" t="e">
        <f>ROUNDUP(($Y310/_xlfn.XLOOKUP($A310,'[1]DATOS PBI Artículos'!$A$4:$A$4,'[1]DATOS PBI Artículos'!$Z$4:$Z$4))/_xlfn.XLOOKUP(_xlfn.XLOOKUP($A310,'[1]DATOS PBI Artículos'!$A$4:$A$4,'[1]DATOS PBI Artículos'!$Y$4:$Y$4),[1]CRITERIOS!$P$79:$P$123,[1]CRITERIOS!$S$79:$S$123,),0)</f>
        <v>#N/A</v>
      </c>
      <c r="AB310" s="33" t="e">
        <f t="array" ref="AB310">IF((E310+V310-_xlfn.XLOOKUP(A310,'[1]DATOS PBI Artículos'!$A$4:$A$4,'[1]DATOS PBI Artículos'!$W$4:$W$4))/N310&gt;ROUNDUP([1]CRITERIOS!$M$16/(IF(COUNTIF([1]CRITERIOS!$BG$11:$BG$201,L310)&gt;=1,_xlfn.XLOOKUP(ARTÍCULOS!L310,[1]CRITERIOS!$BG$11:$BG$201,[1]CRITERIOS!$BJ$11:$BJ$201),_xlfn.XLOOKUP(ARTÍCULOS!C310,[1]CRITERIOS!$K$25:$K$42,[1]CRITERIOS!$M$25:$M$42))),0),ROUNDUP([1]CRITERIOS!$M$16/(IF(COUNTIF([1]CRITERIOS!$BG$11:$BG$201,L310)&gt;=1,_xlfn.XLOOKUP(ARTÍCULOS!L310,[1]CRITERIOS!$BG$11:$BG$201:#REF!,[1]CRITERIOS!$BJ$11:$BJ$201),_xlfn.XLOOKUP(ARTÍCULOS!C310,[1]CRITERIOS!$K$25:$K$42,[1]CRITERIOS!$M$25:$M$42))),0),(E310+V310-_xlfn.XLOOKUP(A310,'[1]DATOS PBI Artículos'!$A$4:$A$4,'[1]DATOS PBI Artículos'!$W$4:$W$4))/N310)</f>
        <v>#N/A</v>
      </c>
      <c r="AC310" s="33" t="e">
        <f>IF(N310=0,"",(ROUNDUP((N310/2)/(_xlfn.XLOOKUP(A310,'[1]DATOS PBI Artículos'!$A$4:$A$4,'[1]DATOS PBI Artículos'!$Z$4:$Z$4)*_xlfn.XLOOKUP(_xlfn.XLOOKUP(A310,'[1]DATOS PBI Artículos'!$A$4:$A$4,'[1]DATOS PBI Artículos'!$Y$4:$Y$4),[1]CRITERIOS!$P$79:$P$123,[1]CRITERIOS!$S$79:$S$123)),0)*[1]CRITERIOS!$M$80*([1]CRITERIOS!$M$110/[1]CRITERIOS!$M$86)+(_xlfn.XLOOKUP(A310,'[1]DATOS PBI Artículos'!$A$4:$A$4,'[1]DATOS PBI Artículos'!$AA$4:$AA$4)*([1]CRITERIOS!$M$95+[1]CRITERIOS!$M$98)))/N310)</f>
        <v>#N/A</v>
      </c>
      <c r="AD310" s="33" t="e">
        <f>IF(N310=0,"",(ROUNDUP((N310/2)/(_xlfn.XLOOKUP(A310,'[1]DATOS PBI Artículos'!$A$4:$A$4,'[1]DATOS PBI Artículos'!$Z$4:$Z$4)*_xlfn.XLOOKUP(_xlfn.XLOOKUP(A310,'[1]DATOS PBI Artículos'!$A$4:$A$4,'[1]DATOS PBI Artículos'!$Y$4:$Y$4),[1]CRITERIOS!$P$79:$P$123,[1]CRITERIOS!$S$79:$S$123)),0)*[1]CRITERIOS!$M$80*([1]CRITERIOS!$M$89*[1]CRITERIOS!$M$92)+((_xlfn.XLOOKUP(A310,'[1]DATOS PBI Artículos'!$A$4:$A$4,'[1]DATOS PBI Artículos'!$AA$4:$AA$4)/2)*([1]CRITERIOS!$M$95+[1]CRITERIOS!$M$98)))/N310)</f>
        <v>#N/A</v>
      </c>
      <c r="AE310" s="39" t="e">
        <f>IF($R310="MTO","",
IF($H310=0,ROUNDUP(((_xlfn.XLOOKUP($A310,'[1]DATOS PBI Artículos'!$A:$A,'[1]DATOS PBI Artículos'!$AL:$AL))/(_xlfn.XLOOKUP($AF$1,[1]CRITERIOS!$S$16:$S$39,[1]CRITERIOS!$Y$16:$Y$39))*$J310+$Z310)/$G310,0)*$G310,
((_xlfn.XLOOKUP($A310,'[1]DATOS PBI Artículos'!$A:$A,'[1]DATOS PBI Artículos'!$AL:$AL))/(_xlfn.XLOOKUP($AF$1,[1]CRITERIOS!$S$16:$S$39,[1]CRITERIOS!$Y$16:$Y$39))*$J310+$Z310)))</f>
        <v>#N/A</v>
      </c>
      <c r="AG310" s="39" t="e">
        <f>IF($R310="MTO","",
IF($H310=0,ROUNDUP(((_xlfn.XLOOKUP($A310,'[1]DATOS PBI Artículos'!$A:$A,'[1]DATOS PBI Artículos'!$AM:$AM))/(_xlfn.XLOOKUP($AH$1,[1]CRITERIOS!$S$16:$S$39,[1]CRITERIOS!$Y$16:$Y$39))*$J310+$Z310)/$G310,0)*$G310,
((_xlfn.XLOOKUP($A310,'[1]DATOS PBI Artículos'!$A:$A,'[1]DATOS PBI Artículos'!$AM:$AM))/(_xlfn.XLOOKUP($AH$1,[1]CRITERIOS!$S$16:$S$39,[1]CRITERIOS!$Y$16:$Y$39))*$J310+$Z310)))</f>
        <v>#N/A</v>
      </c>
      <c r="AI310" s="39" t="e">
        <f>IF($R310="MTO","",
IF($H310=0,ROUNDUP(((_xlfn.XLOOKUP($A310,'[1]DATOS PBI Artículos'!$A:$A,'[1]DATOS PBI Artículos'!$AN:$AN))/(_xlfn.XLOOKUP($AJ$1,[1]CRITERIOS!$S$16:$S$39,[1]CRITERIOS!$Y$16:$Y$39))*$J310+$Z310)/$G310,0)*$G310,
((_xlfn.XLOOKUP($A310,'[1]DATOS PBI Artículos'!$A:$A,'[1]DATOS PBI Artículos'!$AN:$AN))/(_xlfn.XLOOKUP($AJ$1,[1]CRITERIOS!$S$16:$S$39,[1]CRITERIOS!$Y$16:$Y$39))*$J310+$Z310)))</f>
        <v>#N/A</v>
      </c>
      <c r="AK310" s="39" t="e">
        <f>IF($R310="MTO","",
IF($H310=0,ROUNDUP(((_xlfn.XLOOKUP($A310,'[1]DATOS PBI Artículos'!$A:$A,'[1]DATOS PBI Artículos'!$AO:$AO))/(_xlfn.XLOOKUP($AL$1,[1]CRITERIOS!$S$16:$S$39,[1]CRITERIOS!$Y$16:$Y$39))*$J310+$Z310)/$G310,0)*$G310,
((_xlfn.XLOOKUP($A310,'[1]DATOS PBI Artículos'!$A:$A,'[1]DATOS PBI Artículos'!$AO:$AO))/(_xlfn.XLOOKUP($AL$1,[1]CRITERIOS!$S$16:$S$39,[1]CRITERIOS!$Y$16:$Y$39))*$J310+$Z310)))</f>
        <v>#N/A</v>
      </c>
    </row>
    <row r="311" spans="1:37" ht="25.8" hidden="1" x14ac:dyDescent="0.4">
      <c r="A311" s="41"/>
      <c r="B311" s="33">
        <f>_xlfn.XLOOKUP($A311,'[1]DATOS PBI Artículos'!A:A,'[1]DATOS PBI Artículos'!B:B)</f>
        <v>0</v>
      </c>
      <c r="C311" s="33">
        <f>_xlfn.XLOOKUP($A311,'[1]DATOS PBI Artículos'!A:A,'[1]DATOS PBI Artículos'!C:C)</f>
        <v>0</v>
      </c>
      <c r="D311" s="33">
        <f>_xlfn.XLOOKUP(A311,'[1]DATOS PBI Artículos'!A:A,'[1]DATOS PBI Artículos'!T:T)</f>
        <v>0</v>
      </c>
      <c r="E311" s="34">
        <f>IF(_xlfn.XLOOKUP($A311,'[1]DATOS PBI Artículos'!A:A,'[1]DATOS PBI Artículos'!AK:AK)="",_xlfn.XLOOKUP($A311,'[1]DATOS PBI Artículos'!A:A,'[1]DATOS PBI Artículos'!AJ:AJ),_xlfn.XLOOKUP($A311,'[1]DATOS PBI Artículos'!A:A,'[1]DATOS PBI Artículos'!AK:AK))</f>
        <v>0</v>
      </c>
      <c r="F311" s="35">
        <f>_xlfn.XLOOKUP($A311,'[1]DATOS PBI Artículos'!A:A,'[1]DATOS PBI Artículos'!AP:AP)</f>
        <v>0</v>
      </c>
      <c r="G311" s="34">
        <f>_xlfn.XLOOKUP($A311,'[1]DATOS PBI Artículos'!A:A,'[1]DATOS PBI Artículos'!AR:AR)</f>
        <v>0</v>
      </c>
      <c r="H311" s="34">
        <f>_xlfn.XLOOKUP($A311,'[1]DATOS PBI Artículos'!A:A,'[1]DATOS PBI Artículos'!AT:AT)</f>
        <v>0</v>
      </c>
      <c r="I311" s="34">
        <f>_xlfn.XLOOKUP($A311,'[1]DATOS PBI Artículos'!A:A,'[1]DATOS PBI Artículos'!AS:AS)</f>
        <v>0</v>
      </c>
      <c r="J311" s="35">
        <f>IF(COUNTIF([1]CRITERIOS!$F$179:$F$199,$A311)&gt;=1,
 IF(O311&lt;&gt;"",
    (O311/_xlfn.XLOOKUP(CONCATENATE(A311,L311),[1]MÁQUINAS!A:A,[1]MÁQUINAS!D:D))/24,
    (N311/_xlfn.XLOOKUP(CONCATENATE(A311,L311),[1]MÁQUINAS!A:A,[1]MÁQUINAS!D:D))/24),
  _xlfn.XLOOKUP($A311,'[1]DATOS PBI Artículos'!A:A,'[1]DATOS PBI Artículos'!AU:AU))</f>
        <v>0</v>
      </c>
      <c r="K311" s="36">
        <f>_xlfn.XLOOKUP($A311,'[1]DATOS PBI Artículos'!A:A,'[1]DATOS PBI Artículos'!AV:AV)</f>
        <v>0</v>
      </c>
      <c r="L311" s="33">
        <f>_xlfn.XLOOKUP(A311,[1]MÁQUINAS!B:B,[1]MÁQUINAS!C:C)</f>
        <v>0</v>
      </c>
      <c r="M311" s="34">
        <f t="array" ref="M311">_xlfn.XLOOKUP(A311,'[1]DATOS PBI Artículos'!A:A,'[1]DATOS PBI Artículos'!AX:$AX)</f>
        <v>0</v>
      </c>
      <c r="N311" s="37" t="e">
        <f>IF(I311="DV",
E311,
IF(COUNTIF([1]CRITERIOS!$I$179:$I$199,$A311)&gt;=1,
_xlfn.XLOOKUP($A311,[1]CRITERIOS!$I$179:$I$199,[1]CRITERIOS!$J$179:$J$199),
IF(COUNTIF([1]CRITERIOS!$L$179:$L$199,$A311)&gt;=1,
_xlfn.CEILING.MATH(IF($M311&gt;$E311,
$E311,
IF($M311&lt;$E311/ROUNDDOWN([1]CRITERIOS!$M$16/_xlfn.XLOOKUP($C311,[1]CRITERIOS!$K$25:$K$42,[1]CRITERIOS!$M$25:$M$42),
1),
E311/ROUNDDOWN([1]CRITERIOS!$M$16/_xlfn.XLOOKUP($C311,[1]CRITERIOS!$K$25:$K$42,[1]CRITERIOS!$M$25:$M$42),
1),
$M311)),
_xlfn.XLOOKUP($A311,[1]CRITERIOS!$L$179:$L$200,[1]CRITERIOS!$M$179:$M$200)),
_xlfn.CEILING.MATH(IF($M311&gt;$E311,
$E311,
IF($M311&lt;$E311/ROUNDDOWN([1]CRITERIOS!$M$16/_xlfn.XLOOKUP($C311,[1]CRITERIOS!$K$25:$K$42,[1]CRITERIOS!$M$25:$M$42),
1),
E311/ROUNDDOWN([1]CRITERIOS!$M$16/_xlfn.XLOOKUP($C311,[1]CRITERIOS!$K$25:$K$42,[1]CRITERIOS!$M$25:$M$42),
1),
$M311)),_xlfn.XLOOKUP(A311,'[1]DATOS PBI Artículos'!A:A,'[1]DATOS PBI Artículos'!Z:Z
)))))</f>
        <v>#N/A</v>
      </c>
      <c r="Q311" s="38" t="e">
        <f>IF(AND(O311="",N311=0),
0,
   IF(COUNTIF([1]CRITERIOS!$F$179:$F$199,$A311)&gt;=1,
   1,
   IF(R311="MTO",
      $D311,
      ROUNDUP(
                    IF(($E311-SUMIF('[1]DATOS PBI Artículos'!A:A,A311,'[1]DATOS PBI Artículos'!X:X)+($V311-_xlfn.XLOOKUP(A311,'[1]DATOS PBI Artículos'!A:A,'[1]DATOS PBI Artículos'!W:W)))&lt;0,
                    0,
                    IF(($E311-SUMIF('[1]DATOS PBI Artículos'!A:A,A311,'[1]DATOS PBI Artículos'!X:X)+$V311-_xlfn.XLOOKUP($A311,'[1]DATOS PBI Artículos'!A:A,'[1]DATOS PBI Artículos'!W:W))/IF($O311="",$N311,$O311)&gt;ROUNDUP([1]CRITERIOS!$M$16/(IF(COUNTIF([1]CRITERIOS!$BG$11:$BG$201,L311)&gt;=1,_xlfn.XLOOKUP($C311,[1]CRITERIOS!$K$25:$K$42,[1]CRITERIOS!$M$25:$M$42),_xlfn.XLOOKUP($C311,[1]CRITERIOS!$K$25:$K$42,[1]CRITERIOS!$M$25:$M$42))),0),
                    ROUNDUP([1]CRITERIOS!$M$16/(IF(COUNTIF([1]CRITERIOS!$BG$11:$BG$201,$L311)&gt;=1,_xlfn.XLOOKUP($C311,[1]CRITERIOS!$K$25:$K$42,[1]CRITERIOS!$M$25:$M$42),_xlfn.XLOOKUP($C311,[1]CRITERIOS!$K$25:$K$42,[1]CRITERIOS!$M$25:$M$42))),0),
                    (E311+V311-SUMIF('[1]DATOS PBI Artículos'!A:A,A311,'[1]DATOS PBI Artículos'!X:X)-_xlfn.XLOOKUP(A311,'[1]DATOS PBI Artículos'!A:A,'[1]DATOS PBI Artículos'!W:W))/IF($O311="",$N311,$O311))),0))))</f>
        <v>#N/A</v>
      </c>
      <c r="R311" s="33" t="e">
        <f>IF(U311&lt;&gt;"",U311,IF(F311="DV","MTO",IF(N311=0,"MTO",_xlfn.XLOOKUP(CONCATENATE(S311,T311),[1]CRITERIOS!$K$160:$K$168,[1]CRITERIOS!$N$160:$N$168))))</f>
        <v>#N/A</v>
      </c>
      <c r="S311" s="33" t="e">
        <f>IF(G311="DV","MTO",IF(N311=0,"MTO",IF(OR(AND(N311=0,O311=""),IF(O311="",G311/N311,G311/O311)&gt;[1]CRITERIOS!$G$163),"MTO",IF(IF(O311="",G311/N311,G311/O311)&lt;[1]CRITERIOS!$H$161,"MTS","MTOS"))))</f>
        <v>#N/A</v>
      </c>
      <c r="T311" s="33" t="e">
        <f>IF(F311="DV","MTO",IF(OR(AND($N311=0,O311=""),$F311/$J311&gt;[1]CRITERIOS!$G$170,$F311="DV"),"MTO",IF($F311/$J311&lt;[1]CRITERIOS!$H$168,"MTS","MTOS")))</f>
        <v>#N/A</v>
      </c>
      <c r="V311" s="34" t="e">
        <f t="shared" si="16"/>
        <v>#N/A</v>
      </c>
      <c r="X311" s="34" t="e">
        <f t="shared" si="14"/>
        <v>#N/A</v>
      </c>
      <c r="Y311" s="34" t="e">
        <f t="shared" si="15"/>
        <v>#N/A</v>
      </c>
      <c r="Z311" s="34" t="e">
        <f>IF($R311="MTO",
0,
($H311+$K311*($E311/[1]CRITERIOS!$M$16))/[1]CRITERIOS!$X$48)</f>
        <v>#N/A</v>
      </c>
      <c r="AA311" s="34" t="e">
        <f>ROUNDUP(($Y311/_xlfn.XLOOKUP($A311,'[1]DATOS PBI Artículos'!$A$4:$A$4,'[1]DATOS PBI Artículos'!$Z$4:$Z$4))/_xlfn.XLOOKUP(_xlfn.XLOOKUP($A311,'[1]DATOS PBI Artículos'!$A$4:$A$4,'[1]DATOS PBI Artículos'!$Y$4:$Y$4),[1]CRITERIOS!$P$79:$P$123,[1]CRITERIOS!$S$79:$S$123,),0)</f>
        <v>#N/A</v>
      </c>
      <c r="AB311" s="33" t="e">
        <f t="array" ref="AB311">IF((E311+V311-_xlfn.XLOOKUP(A311,'[1]DATOS PBI Artículos'!$A$4:$A$4,'[1]DATOS PBI Artículos'!$W$4:$W$4))/N311&gt;ROUNDUP([1]CRITERIOS!$M$16/(IF(COUNTIF([1]CRITERIOS!$BG$11:$BG$201,L311)&gt;=1,_xlfn.XLOOKUP(ARTÍCULOS!L311,[1]CRITERIOS!$BG$11:$BG$201,[1]CRITERIOS!$BJ$11:$BJ$201),_xlfn.XLOOKUP(ARTÍCULOS!C311,[1]CRITERIOS!$K$25:$K$42,[1]CRITERIOS!$M$25:$M$42))),0),ROUNDUP([1]CRITERIOS!$M$16/(IF(COUNTIF([1]CRITERIOS!$BG$11:$BG$201,L311)&gt;=1,_xlfn.XLOOKUP(ARTÍCULOS!L311,[1]CRITERIOS!$BG$11:$BG$201:#REF!,[1]CRITERIOS!$BJ$11:$BJ$201),_xlfn.XLOOKUP(ARTÍCULOS!C311,[1]CRITERIOS!$K$25:$K$42,[1]CRITERIOS!$M$25:$M$42))),0),(E311+V311-_xlfn.XLOOKUP(A311,'[1]DATOS PBI Artículos'!$A$4:$A$4,'[1]DATOS PBI Artículos'!$W$4:$W$4))/N311)</f>
        <v>#N/A</v>
      </c>
      <c r="AC311" s="33" t="e">
        <f>IF(N311=0,"",(ROUNDUP((N311/2)/(_xlfn.XLOOKUP(A311,'[1]DATOS PBI Artículos'!$A$4:$A$4,'[1]DATOS PBI Artículos'!$Z$4:$Z$4)*_xlfn.XLOOKUP(_xlfn.XLOOKUP(A311,'[1]DATOS PBI Artículos'!$A$4:$A$4,'[1]DATOS PBI Artículos'!$Y$4:$Y$4),[1]CRITERIOS!$P$79:$P$123,[1]CRITERIOS!$S$79:$S$123)),0)*[1]CRITERIOS!$M$80*([1]CRITERIOS!$M$110/[1]CRITERIOS!$M$86)+(_xlfn.XLOOKUP(A311,'[1]DATOS PBI Artículos'!$A$4:$A$4,'[1]DATOS PBI Artículos'!$AA$4:$AA$4)*([1]CRITERIOS!$M$95+[1]CRITERIOS!$M$98)))/N311)</f>
        <v>#N/A</v>
      </c>
      <c r="AD311" s="33" t="e">
        <f>IF(N311=0,"",(ROUNDUP((N311/2)/(_xlfn.XLOOKUP(A311,'[1]DATOS PBI Artículos'!$A$4:$A$4,'[1]DATOS PBI Artículos'!$Z$4:$Z$4)*_xlfn.XLOOKUP(_xlfn.XLOOKUP(A311,'[1]DATOS PBI Artículos'!$A$4:$A$4,'[1]DATOS PBI Artículos'!$Y$4:$Y$4),[1]CRITERIOS!$P$79:$P$123,[1]CRITERIOS!$S$79:$S$123)),0)*[1]CRITERIOS!$M$80*([1]CRITERIOS!$M$89*[1]CRITERIOS!$M$92)+((_xlfn.XLOOKUP(A311,'[1]DATOS PBI Artículos'!$A$4:$A$4,'[1]DATOS PBI Artículos'!$AA$4:$AA$4)/2)*([1]CRITERIOS!$M$95+[1]CRITERIOS!$M$98)))/N311)</f>
        <v>#N/A</v>
      </c>
      <c r="AE311" s="39" t="e">
        <f>IF($R311="MTO","",
IF($H311=0,ROUNDUP(((_xlfn.XLOOKUP($A311,'[1]DATOS PBI Artículos'!$A:$A,'[1]DATOS PBI Artículos'!$AL:$AL))/(_xlfn.XLOOKUP($AF$1,[1]CRITERIOS!$S$16:$S$39,[1]CRITERIOS!$Y$16:$Y$39))*$J311+$Z311)/$G311,0)*$G311,
((_xlfn.XLOOKUP($A311,'[1]DATOS PBI Artículos'!$A:$A,'[1]DATOS PBI Artículos'!$AL:$AL))/(_xlfn.XLOOKUP($AF$1,[1]CRITERIOS!$S$16:$S$39,[1]CRITERIOS!$Y$16:$Y$39))*$J311+$Z311)))</f>
        <v>#N/A</v>
      </c>
      <c r="AG311" s="39" t="e">
        <f>IF($R311="MTO","",
IF($H311=0,ROUNDUP(((_xlfn.XLOOKUP($A311,'[1]DATOS PBI Artículos'!$A:$A,'[1]DATOS PBI Artículos'!$AM:$AM))/(_xlfn.XLOOKUP($AH$1,[1]CRITERIOS!$S$16:$S$39,[1]CRITERIOS!$Y$16:$Y$39))*$J311+$Z311)/$G311,0)*$G311,
((_xlfn.XLOOKUP($A311,'[1]DATOS PBI Artículos'!$A:$A,'[1]DATOS PBI Artículos'!$AM:$AM))/(_xlfn.XLOOKUP($AH$1,[1]CRITERIOS!$S$16:$S$39,[1]CRITERIOS!$Y$16:$Y$39))*$J311+$Z311)))</f>
        <v>#N/A</v>
      </c>
      <c r="AI311" s="39" t="e">
        <f>IF($R311="MTO","",
IF($H311=0,ROUNDUP(((_xlfn.XLOOKUP($A311,'[1]DATOS PBI Artículos'!$A:$A,'[1]DATOS PBI Artículos'!$AN:$AN))/(_xlfn.XLOOKUP($AJ$1,[1]CRITERIOS!$S$16:$S$39,[1]CRITERIOS!$Y$16:$Y$39))*$J311+$Z311)/$G311,0)*$G311,
((_xlfn.XLOOKUP($A311,'[1]DATOS PBI Artículos'!$A:$A,'[1]DATOS PBI Artículos'!$AN:$AN))/(_xlfn.XLOOKUP($AJ$1,[1]CRITERIOS!$S$16:$S$39,[1]CRITERIOS!$Y$16:$Y$39))*$J311+$Z311)))</f>
        <v>#N/A</v>
      </c>
      <c r="AK311" s="39" t="e">
        <f>IF($R311="MTO","",
IF($H311=0,ROUNDUP(((_xlfn.XLOOKUP($A311,'[1]DATOS PBI Artículos'!$A:$A,'[1]DATOS PBI Artículos'!$AO:$AO))/(_xlfn.XLOOKUP($AL$1,[1]CRITERIOS!$S$16:$S$39,[1]CRITERIOS!$Y$16:$Y$39))*$J311+$Z311)/$G311,0)*$G311,
((_xlfn.XLOOKUP($A311,'[1]DATOS PBI Artículos'!$A:$A,'[1]DATOS PBI Artículos'!$AO:$AO))/(_xlfn.XLOOKUP($AL$1,[1]CRITERIOS!$S$16:$S$39,[1]CRITERIOS!$Y$16:$Y$39))*$J311+$Z311)))</f>
        <v>#N/A</v>
      </c>
    </row>
    <row r="312" spans="1:37" ht="25.8" hidden="1" x14ac:dyDescent="0.4">
      <c r="A312" s="41"/>
      <c r="B312" s="33">
        <f>_xlfn.XLOOKUP($A312,'[1]DATOS PBI Artículos'!A:A,'[1]DATOS PBI Artículos'!B:B)</f>
        <v>0</v>
      </c>
      <c r="C312" s="33">
        <f>_xlfn.XLOOKUP($A312,'[1]DATOS PBI Artículos'!A:A,'[1]DATOS PBI Artículos'!C:C)</f>
        <v>0</v>
      </c>
      <c r="D312" s="33">
        <f>_xlfn.XLOOKUP(A312,'[1]DATOS PBI Artículos'!A:A,'[1]DATOS PBI Artículos'!T:T)</f>
        <v>0</v>
      </c>
      <c r="E312" s="34">
        <f>IF(_xlfn.XLOOKUP($A312,'[1]DATOS PBI Artículos'!A:A,'[1]DATOS PBI Artículos'!AK:AK)="",_xlfn.XLOOKUP($A312,'[1]DATOS PBI Artículos'!A:A,'[1]DATOS PBI Artículos'!AJ:AJ),_xlfn.XLOOKUP($A312,'[1]DATOS PBI Artículos'!A:A,'[1]DATOS PBI Artículos'!AK:AK))</f>
        <v>0</v>
      </c>
      <c r="F312" s="35">
        <f>_xlfn.XLOOKUP($A312,'[1]DATOS PBI Artículos'!A:A,'[1]DATOS PBI Artículos'!AP:AP)</f>
        <v>0</v>
      </c>
      <c r="G312" s="34">
        <f>_xlfn.XLOOKUP($A312,'[1]DATOS PBI Artículos'!A:A,'[1]DATOS PBI Artículos'!AR:AR)</f>
        <v>0</v>
      </c>
      <c r="H312" s="34">
        <f>_xlfn.XLOOKUP($A312,'[1]DATOS PBI Artículos'!A:A,'[1]DATOS PBI Artículos'!AT:AT)</f>
        <v>0</v>
      </c>
      <c r="I312" s="34">
        <f>_xlfn.XLOOKUP($A312,'[1]DATOS PBI Artículos'!A:A,'[1]DATOS PBI Artículos'!AS:AS)</f>
        <v>0</v>
      </c>
      <c r="J312" s="35">
        <f>IF(COUNTIF([1]CRITERIOS!$F$179:$F$199,$A312)&gt;=1,
 IF(O312&lt;&gt;"",
    (O312/_xlfn.XLOOKUP(CONCATENATE(A312,L312),[1]MÁQUINAS!A:A,[1]MÁQUINAS!D:D))/24,
    (N312/_xlfn.XLOOKUP(CONCATENATE(A312,L312),[1]MÁQUINAS!A:A,[1]MÁQUINAS!D:D))/24),
  _xlfn.XLOOKUP($A312,'[1]DATOS PBI Artículos'!A:A,'[1]DATOS PBI Artículos'!AU:AU))</f>
        <v>0</v>
      </c>
      <c r="K312" s="36">
        <f>_xlfn.XLOOKUP($A312,'[1]DATOS PBI Artículos'!A:A,'[1]DATOS PBI Artículos'!AV:AV)</f>
        <v>0</v>
      </c>
      <c r="L312" s="33">
        <f>_xlfn.XLOOKUP(A312,[1]MÁQUINAS!B:B,[1]MÁQUINAS!C:C)</f>
        <v>0</v>
      </c>
      <c r="M312" s="34">
        <f t="array" ref="M312">_xlfn.XLOOKUP(A312,'[1]DATOS PBI Artículos'!A:A,'[1]DATOS PBI Artículos'!AX:$AX)</f>
        <v>0</v>
      </c>
      <c r="N312" s="37" t="e">
        <f>IF(I312="DV",
E312,
IF(COUNTIF([1]CRITERIOS!$I$179:$I$199,$A312)&gt;=1,
_xlfn.XLOOKUP($A312,[1]CRITERIOS!$I$179:$I$199,[1]CRITERIOS!$J$179:$J$199),
IF(COUNTIF([1]CRITERIOS!$L$179:$L$199,$A312)&gt;=1,
_xlfn.CEILING.MATH(IF($M312&gt;$E312,
$E312,
IF($M312&lt;$E312/ROUNDDOWN([1]CRITERIOS!$M$16/_xlfn.XLOOKUP($C312,[1]CRITERIOS!$K$25:$K$42,[1]CRITERIOS!$M$25:$M$42),
1),
E312/ROUNDDOWN([1]CRITERIOS!$M$16/_xlfn.XLOOKUP($C312,[1]CRITERIOS!$K$25:$K$42,[1]CRITERIOS!$M$25:$M$42),
1),
$M312)),
_xlfn.XLOOKUP($A312,[1]CRITERIOS!$L$179:$L$200,[1]CRITERIOS!$M$179:$M$200)),
_xlfn.CEILING.MATH(IF($M312&gt;$E312,
$E312,
IF($M312&lt;$E312/ROUNDDOWN([1]CRITERIOS!$M$16/_xlfn.XLOOKUP($C312,[1]CRITERIOS!$K$25:$K$42,[1]CRITERIOS!$M$25:$M$42),
1),
E312/ROUNDDOWN([1]CRITERIOS!$M$16/_xlfn.XLOOKUP($C312,[1]CRITERIOS!$K$25:$K$42,[1]CRITERIOS!$M$25:$M$42),
1),
$M312)),_xlfn.XLOOKUP(A312,'[1]DATOS PBI Artículos'!A:A,'[1]DATOS PBI Artículos'!Z:Z
)))))</f>
        <v>#N/A</v>
      </c>
      <c r="Q312" s="38" t="e">
        <f>IF(AND(O312="",N312=0),
0,
   IF(COUNTIF([1]CRITERIOS!$F$179:$F$199,$A312)&gt;=1,
   1,
   IF(R312="MTO",
      $D312,
      ROUNDUP(
                    IF(($E312-SUMIF('[1]DATOS PBI Artículos'!A:A,A312,'[1]DATOS PBI Artículos'!X:X)+($V312-_xlfn.XLOOKUP(A312,'[1]DATOS PBI Artículos'!A:A,'[1]DATOS PBI Artículos'!W:W)))&lt;0,
                    0,
                    IF(($E312-SUMIF('[1]DATOS PBI Artículos'!A:A,A312,'[1]DATOS PBI Artículos'!X:X)+$V312-_xlfn.XLOOKUP($A312,'[1]DATOS PBI Artículos'!A:A,'[1]DATOS PBI Artículos'!W:W))/IF($O312="",$N312,$O312)&gt;ROUNDUP([1]CRITERIOS!$M$16/(IF(COUNTIF([1]CRITERIOS!$BG$11:$BG$201,L312)&gt;=1,_xlfn.XLOOKUP($C312,[1]CRITERIOS!$K$25:$K$42,[1]CRITERIOS!$M$25:$M$42),_xlfn.XLOOKUP($C312,[1]CRITERIOS!$K$25:$K$42,[1]CRITERIOS!$M$25:$M$42))),0),
                    ROUNDUP([1]CRITERIOS!$M$16/(IF(COUNTIF([1]CRITERIOS!$BG$11:$BG$201,$L312)&gt;=1,_xlfn.XLOOKUP($C312,[1]CRITERIOS!$K$25:$K$42,[1]CRITERIOS!$M$25:$M$42),_xlfn.XLOOKUP($C312,[1]CRITERIOS!$K$25:$K$42,[1]CRITERIOS!$M$25:$M$42))),0),
                    (E312+V312-SUMIF('[1]DATOS PBI Artículos'!A:A,A312,'[1]DATOS PBI Artículos'!X:X)-_xlfn.XLOOKUP(A312,'[1]DATOS PBI Artículos'!A:A,'[1]DATOS PBI Artículos'!W:W))/IF($O312="",$N312,$O312))),0))))</f>
        <v>#N/A</v>
      </c>
      <c r="R312" s="33" t="e">
        <f>IF(U312&lt;&gt;"",U312,IF(F312="DV","MTO",IF(N312=0,"MTO",_xlfn.XLOOKUP(CONCATENATE(S312,T312),[1]CRITERIOS!$K$160:$K$168,[1]CRITERIOS!$N$160:$N$168))))</f>
        <v>#N/A</v>
      </c>
      <c r="S312" s="33" t="e">
        <f>IF(G312="DV","MTO",IF(N312=0,"MTO",IF(OR(AND(N312=0,O312=""),IF(O312="",G312/N312,G312/O312)&gt;[1]CRITERIOS!$G$163),"MTO",IF(IF(O312="",G312/N312,G312/O312)&lt;[1]CRITERIOS!$H$161,"MTS","MTOS"))))</f>
        <v>#N/A</v>
      </c>
      <c r="T312" s="33" t="e">
        <f>IF(F312="DV","MTO",IF(OR(AND($N312=0,O312=""),$F312/$J312&gt;[1]CRITERIOS!$G$170,$F312="DV"),"MTO",IF($F312/$J312&lt;[1]CRITERIOS!$H$168,"MTS","MTOS")))</f>
        <v>#N/A</v>
      </c>
      <c r="V312" s="34" t="e">
        <f t="shared" si="16"/>
        <v>#N/A</v>
      </c>
      <c r="X312" s="34" t="e">
        <f t="shared" si="14"/>
        <v>#N/A</v>
      </c>
      <c r="Y312" s="34" t="e">
        <f t="shared" si="15"/>
        <v>#N/A</v>
      </c>
      <c r="Z312" s="34" t="e">
        <f>IF($R312="MTO",
0,
($H312+$K312*($E312/[1]CRITERIOS!$M$16))/[1]CRITERIOS!$X$48)</f>
        <v>#N/A</v>
      </c>
      <c r="AA312" s="34" t="e">
        <f>ROUNDUP(($Y312/_xlfn.XLOOKUP($A312,'[1]DATOS PBI Artículos'!$A$4:$A$4,'[1]DATOS PBI Artículos'!$Z$4:$Z$4))/_xlfn.XLOOKUP(_xlfn.XLOOKUP($A312,'[1]DATOS PBI Artículos'!$A$4:$A$4,'[1]DATOS PBI Artículos'!$Y$4:$Y$4),[1]CRITERIOS!$P$79:$P$123,[1]CRITERIOS!$S$79:$S$123,),0)</f>
        <v>#N/A</v>
      </c>
      <c r="AB312" s="33" t="e">
        <f t="array" ref="AB312">IF((E312+V312-_xlfn.XLOOKUP(A312,'[1]DATOS PBI Artículos'!$A$4:$A$4,'[1]DATOS PBI Artículos'!$W$4:$W$4))/N312&gt;ROUNDUP([1]CRITERIOS!$M$16/(IF(COUNTIF([1]CRITERIOS!$BG$11:$BG$201,L312)&gt;=1,_xlfn.XLOOKUP(ARTÍCULOS!L312,[1]CRITERIOS!$BG$11:$BG$201,[1]CRITERIOS!$BJ$11:$BJ$201),_xlfn.XLOOKUP(ARTÍCULOS!C312,[1]CRITERIOS!$K$25:$K$42,[1]CRITERIOS!$M$25:$M$42))),0),ROUNDUP([1]CRITERIOS!$M$16/(IF(COUNTIF([1]CRITERIOS!$BG$11:$BG$201,L312)&gt;=1,_xlfn.XLOOKUP(ARTÍCULOS!L312,[1]CRITERIOS!$BG$11:$BG$201:#REF!,[1]CRITERIOS!$BJ$11:$BJ$201),_xlfn.XLOOKUP(ARTÍCULOS!C312,[1]CRITERIOS!$K$25:$K$42,[1]CRITERIOS!$M$25:$M$42))),0),(E312+V312-_xlfn.XLOOKUP(A312,'[1]DATOS PBI Artículos'!$A$4:$A$4,'[1]DATOS PBI Artículos'!$W$4:$W$4))/N312)</f>
        <v>#N/A</v>
      </c>
      <c r="AC312" s="33" t="e">
        <f>IF(N312=0,"",(ROUNDUP((N312/2)/(_xlfn.XLOOKUP(A312,'[1]DATOS PBI Artículos'!$A$4:$A$4,'[1]DATOS PBI Artículos'!$Z$4:$Z$4)*_xlfn.XLOOKUP(_xlfn.XLOOKUP(A312,'[1]DATOS PBI Artículos'!$A$4:$A$4,'[1]DATOS PBI Artículos'!$Y$4:$Y$4),[1]CRITERIOS!$P$79:$P$123,[1]CRITERIOS!$S$79:$S$123)),0)*[1]CRITERIOS!$M$80*([1]CRITERIOS!$M$110/[1]CRITERIOS!$M$86)+(_xlfn.XLOOKUP(A312,'[1]DATOS PBI Artículos'!$A$4:$A$4,'[1]DATOS PBI Artículos'!$AA$4:$AA$4)*([1]CRITERIOS!$M$95+[1]CRITERIOS!$M$98)))/N312)</f>
        <v>#N/A</v>
      </c>
      <c r="AD312" s="33" t="e">
        <f>IF(N312=0,"",(ROUNDUP((N312/2)/(_xlfn.XLOOKUP(A312,'[1]DATOS PBI Artículos'!$A$4:$A$4,'[1]DATOS PBI Artículos'!$Z$4:$Z$4)*_xlfn.XLOOKUP(_xlfn.XLOOKUP(A312,'[1]DATOS PBI Artículos'!$A$4:$A$4,'[1]DATOS PBI Artículos'!$Y$4:$Y$4),[1]CRITERIOS!$P$79:$P$123,[1]CRITERIOS!$S$79:$S$123)),0)*[1]CRITERIOS!$M$80*([1]CRITERIOS!$M$89*[1]CRITERIOS!$M$92)+((_xlfn.XLOOKUP(A312,'[1]DATOS PBI Artículos'!$A$4:$A$4,'[1]DATOS PBI Artículos'!$AA$4:$AA$4)/2)*([1]CRITERIOS!$M$95+[1]CRITERIOS!$M$98)))/N312)</f>
        <v>#N/A</v>
      </c>
      <c r="AE312" s="39" t="e">
        <f>IF($R312="MTO","",
IF($H312=0,ROUNDUP(((_xlfn.XLOOKUP($A312,'[1]DATOS PBI Artículos'!$A:$A,'[1]DATOS PBI Artículos'!$AL:$AL))/(_xlfn.XLOOKUP($AF$1,[1]CRITERIOS!$S$16:$S$39,[1]CRITERIOS!$Y$16:$Y$39))*$J312+$Z312)/$G312,0)*$G312,
((_xlfn.XLOOKUP($A312,'[1]DATOS PBI Artículos'!$A:$A,'[1]DATOS PBI Artículos'!$AL:$AL))/(_xlfn.XLOOKUP($AF$1,[1]CRITERIOS!$S$16:$S$39,[1]CRITERIOS!$Y$16:$Y$39))*$J312+$Z312)))</f>
        <v>#N/A</v>
      </c>
      <c r="AG312" s="39" t="e">
        <f>IF($R312="MTO","",
IF($H312=0,ROUNDUP(((_xlfn.XLOOKUP($A312,'[1]DATOS PBI Artículos'!$A:$A,'[1]DATOS PBI Artículos'!$AM:$AM))/(_xlfn.XLOOKUP($AH$1,[1]CRITERIOS!$S$16:$S$39,[1]CRITERIOS!$Y$16:$Y$39))*$J312+$Z312)/$G312,0)*$G312,
((_xlfn.XLOOKUP($A312,'[1]DATOS PBI Artículos'!$A:$A,'[1]DATOS PBI Artículos'!$AM:$AM))/(_xlfn.XLOOKUP($AH$1,[1]CRITERIOS!$S$16:$S$39,[1]CRITERIOS!$Y$16:$Y$39))*$J312+$Z312)))</f>
        <v>#N/A</v>
      </c>
      <c r="AI312" s="39" t="e">
        <f>IF($R312="MTO","",
IF($H312=0,ROUNDUP(((_xlfn.XLOOKUP($A312,'[1]DATOS PBI Artículos'!$A:$A,'[1]DATOS PBI Artículos'!$AN:$AN))/(_xlfn.XLOOKUP($AJ$1,[1]CRITERIOS!$S$16:$S$39,[1]CRITERIOS!$Y$16:$Y$39))*$J312+$Z312)/$G312,0)*$G312,
((_xlfn.XLOOKUP($A312,'[1]DATOS PBI Artículos'!$A:$A,'[1]DATOS PBI Artículos'!$AN:$AN))/(_xlfn.XLOOKUP($AJ$1,[1]CRITERIOS!$S$16:$S$39,[1]CRITERIOS!$Y$16:$Y$39))*$J312+$Z312)))</f>
        <v>#N/A</v>
      </c>
      <c r="AK312" s="39" t="e">
        <f>IF($R312="MTO","",
IF($H312=0,ROUNDUP(((_xlfn.XLOOKUP($A312,'[1]DATOS PBI Artículos'!$A:$A,'[1]DATOS PBI Artículos'!$AO:$AO))/(_xlfn.XLOOKUP($AL$1,[1]CRITERIOS!$S$16:$S$39,[1]CRITERIOS!$Y$16:$Y$39))*$J312+$Z312)/$G312,0)*$G312,
((_xlfn.XLOOKUP($A312,'[1]DATOS PBI Artículos'!$A:$A,'[1]DATOS PBI Artículos'!$AO:$AO))/(_xlfn.XLOOKUP($AL$1,[1]CRITERIOS!$S$16:$S$39,[1]CRITERIOS!$Y$16:$Y$39))*$J312+$Z312)))</f>
        <v>#N/A</v>
      </c>
    </row>
    <row r="313" spans="1:37" ht="25.8" hidden="1" x14ac:dyDescent="0.4">
      <c r="A313" s="41"/>
      <c r="B313" s="33">
        <f>_xlfn.XLOOKUP($A313,'[1]DATOS PBI Artículos'!A:A,'[1]DATOS PBI Artículos'!B:B)</f>
        <v>0</v>
      </c>
      <c r="C313" s="33">
        <f>_xlfn.XLOOKUP($A313,'[1]DATOS PBI Artículos'!A:A,'[1]DATOS PBI Artículos'!C:C)</f>
        <v>0</v>
      </c>
      <c r="D313" s="33">
        <f>_xlfn.XLOOKUP(A313,'[1]DATOS PBI Artículos'!A:A,'[1]DATOS PBI Artículos'!T:T)</f>
        <v>0</v>
      </c>
      <c r="E313" s="34">
        <f>IF(_xlfn.XLOOKUP($A313,'[1]DATOS PBI Artículos'!A:A,'[1]DATOS PBI Artículos'!AK:AK)="",_xlfn.XLOOKUP($A313,'[1]DATOS PBI Artículos'!A:A,'[1]DATOS PBI Artículos'!AJ:AJ),_xlfn.XLOOKUP($A313,'[1]DATOS PBI Artículos'!A:A,'[1]DATOS PBI Artículos'!AK:AK))</f>
        <v>0</v>
      </c>
      <c r="F313" s="35">
        <f>_xlfn.XLOOKUP($A313,'[1]DATOS PBI Artículos'!A:A,'[1]DATOS PBI Artículos'!AP:AP)</f>
        <v>0</v>
      </c>
      <c r="G313" s="34">
        <f>_xlfn.XLOOKUP($A313,'[1]DATOS PBI Artículos'!A:A,'[1]DATOS PBI Artículos'!AR:AR)</f>
        <v>0</v>
      </c>
      <c r="H313" s="34">
        <f>_xlfn.XLOOKUP($A313,'[1]DATOS PBI Artículos'!A:A,'[1]DATOS PBI Artículos'!AT:AT)</f>
        <v>0</v>
      </c>
      <c r="I313" s="34">
        <f>_xlfn.XLOOKUP($A313,'[1]DATOS PBI Artículos'!A:A,'[1]DATOS PBI Artículos'!AS:AS)</f>
        <v>0</v>
      </c>
      <c r="J313" s="35">
        <f>IF(COUNTIF([1]CRITERIOS!$F$179:$F$199,$A313)&gt;=1,
 IF(O313&lt;&gt;"",
    (O313/_xlfn.XLOOKUP(CONCATENATE(A313,L313),[1]MÁQUINAS!A:A,[1]MÁQUINAS!D:D))/24,
    (N313/_xlfn.XLOOKUP(CONCATENATE(A313,L313),[1]MÁQUINAS!A:A,[1]MÁQUINAS!D:D))/24),
  _xlfn.XLOOKUP($A313,'[1]DATOS PBI Artículos'!A:A,'[1]DATOS PBI Artículos'!AU:AU))</f>
        <v>0</v>
      </c>
      <c r="K313" s="36">
        <f>_xlfn.XLOOKUP($A313,'[1]DATOS PBI Artículos'!A:A,'[1]DATOS PBI Artículos'!AV:AV)</f>
        <v>0</v>
      </c>
      <c r="L313" s="33">
        <f>_xlfn.XLOOKUP(A313,[1]MÁQUINAS!B:B,[1]MÁQUINAS!C:C)</f>
        <v>0</v>
      </c>
      <c r="M313" s="34">
        <f t="array" ref="M313">_xlfn.XLOOKUP(A313,'[1]DATOS PBI Artículos'!A:A,'[1]DATOS PBI Artículos'!AX:$AX)</f>
        <v>0</v>
      </c>
      <c r="N313" s="37" t="e">
        <f>IF(I313="DV",
E313,
IF(COUNTIF([1]CRITERIOS!$I$179:$I$199,$A313)&gt;=1,
_xlfn.XLOOKUP($A313,[1]CRITERIOS!$I$179:$I$199,[1]CRITERIOS!$J$179:$J$199),
IF(COUNTIF([1]CRITERIOS!$L$179:$L$199,$A313)&gt;=1,
_xlfn.CEILING.MATH(IF($M313&gt;$E313,
$E313,
IF($M313&lt;$E313/ROUNDDOWN([1]CRITERIOS!$M$16/_xlfn.XLOOKUP($C313,[1]CRITERIOS!$K$25:$K$42,[1]CRITERIOS!$M$25:$M$42),
1),
E313/ROUNDDOWN([1]CRITERIOS!$M$16/_xlfn.XLOOKUP($C313,[1]CRITERIOS!$K$25:$K$42,[1]CRITERIOS!$M$25:$M$42),
1),
$M313)),
_xlfn.XLOOKUP($A313,[1]CRITERIOS!$L$179:$L$200,[1]CRITERIOS!$M$179:$M$200)),
_xlfn.CEILING.MATH(IF($M313&gt;$E313,
$E313,
IF($M313&lt;$E313/ROUNDDOWN([1]CRITERIOS!$M$16/_xlfn.XLOOKUP($C313,[1]CRITERIOS!$K$25:$K$42,[1]CRITERIOS!$M$25:$M$42),
1),
E313/ROUNDDOWN([1]CRITERIOS!$M$16/_xlfn.XLOOKUP($C313,[1]CRITERIOS!$K$25:$K$42,[1]CRITERIOS!$M$25:$M$42),
1),
$M313)),_xlfn.XLOOKUP(A313,'[1]DATOS PBI Artículos'!A:A,'[1]DATOS PBI Artículos'!Z:Z
)))))</f>
        <v>#N/A</v>
      </c>
      <c r="Q313" s="38" t="e">
        <f>IF(AND(O313="",N313=0),
0,
   IF(COUNTIF([1]CRITERIOS!$F$179:$F$199,$A313)&gt;=1,
   1,
   IF(R313="MTO",
      $D313,
      ROUNDUP(
                    IF(($E313-SUMIF('[1]DATOS PBI Artículos'!A:A,A313,'[1]DATOS PBI Artículos'!X:X)+($V313-_xlfn.XLOOKUP(A313,'[1]DATOS PBI Artículos'!A:A,'[1]DATOS PBI Artículos'!W:W)))&lt;0,
                    0,
                    IF(($E313-SUMIF('[1]DATOS PBI Artículos'!A:A,A313,'[1]DATOS PBI Artículos'!X:X)+$V313-_xlfn.XLOOKUP($A313,'[1]DATOS PBI Artículos'!A:A,'[1]DATOS PBI Artículos'!W:W))/IF($O313="",$N313,$O313)&gt;ROUNDUP([1]CRITERIOS!$M$16/(IF(COUNTIF([1]CRITERIOS!$BG$11:$BG$201,L313)&gt;=1,_xlfn.XLOOKUP($C313,[1]CRITERIOS!$K$25:$K$42,[1]CRITERIOS!$M$25:$M$42),_xlfn.XLOOKUP($C313,[1]CRITERIOS!$K$25:$K$42,[1]CRITERIOS!$M$25:$M$42))),0),
                    ROUNDUP([1]CRITERIOS!$M$16/(IF(COUNTIF([1]CRITERIOS!$BG$11:$BG$201,$L313)&gt;=1,_xlfn.XLOOKUP($C313,[1]CRITERIOS!$K$25:$K$42,[1]CRITERIOS!$M$25:$M$42),_xlfn.XLOOKUP($C313,[1]CRITERIOS!$K$25:$K$42,[1]CRITERIOS!$M$25:$M$42))),0),
                    (E313+V313-SUMIF('[1]DATOS PBI Artículos'!A:A,A313,'[1]DATOS PBI Artículos'!X:X)-_xlfn.XLOOKUP(A313,'[1]DATOS PBI Artículos'!A:A,'[1]DATOS PBI Artículos'!W:W))/IF($O313="",$N313,$O313))),0))))</f>
        <v>#N/A</v>
      </c>
      <c r="R313" s="33" t="e">
        <f>IF(U313&lt;&gt;"",U313,IF(F313="DV","MTO",IF(N313=0,"MTO",_xlfn.XLOOKUP(CONCATENATE(S313,T313),[1]CRITERIOS!$K$160:$K$168,[1]CRITERIOS!$N$160:$N$168))))</f>
        <v>#N/A</v>
      </c>
      <c r="S313" s="33" t="e">
        <f>IF(G313="DV","MTO",IF(N313=0,"MTO",IF(OR(AND(N313=0,O313=""),IF(O313="",G313/N313,G313/O313)&gt;[1]CRITERIOS!$G$163),"MTO",IF(IF(O313="",G313/N313,G313/O313)&lt;[1]CRITERIOS!$H$161,"MTS","MTOS"))))</f>
        <v>#N/A</v>
      </c>
      <c r="T313" s="33" t="e">
        <f>IF(F313="DV","MTO",IF(OR(AND($N313=0,O313=""),$F313/$J313&gt;[1]CRITERIOS!$G$170,$F313="DV"),"MTO",IF($F313/$J313&lt;[1]CRITERIOS!$H$168,"MTS","MTOS")))</f>
        <v>#N/A</v>
      </c>
      <c r="V313" s="34" t="e">
        <f t="shared" si="16"/>
        <v>#N/A</v>
      </c>
      <c r="X313" s="34" t="e">
        <f t="shared" si="14"/>
        <v>#N/A</v>
      </c>
      <c r="Y313" s="34" t="e">
        <f t="shared" si="15"/>
        <v>#N/A</v>
      </c>
      <c r="Z313" s="34" t="e">
        <f>IF($R313="MTO",
0,
($H313+$K313*($E313/[1]CRITERIOS!$M$16))/[1]CRITERIOS!$X$48)</f>
        <v>#N/A</v>
      </c>
      <c r="AA313" s="34" t="e">
        <f>ROUNDUP(($Y313/_xlfn.XLOOKUP($A313,'[1]DATOS PBI Artículos'!$A$4:$A$4,'[1]DATOS PBI Artículos'!$Z$4:$Z$4))/_xlfn.XLOOKUP(_xlfn.XLOOKUP($A313,'[1]DATOS PBI Artículos'!$A$4:$A$4,'[1]DATOS PBI Artículos'!$Y$4:$Y$4),[1]CRITERIOS!$P$79:$P$123,[1]CRITERIOS!$S$79:$S$123,),0)</f>
        <v>#N/A</v>
      </c>
      <c r="AB313" s="33" t="e">
        <f t="array" ref="AB313">IF((E313+V313-_xlfn.XLOOKUP(A313,'[1]DATOS PBI Artículos'!$A$4:$A$4,'[1]DATOS PBI Artículos'!$W$4:$W$4))/N313&gt;ROUNDUP([1]CRITERIOS!$M$16/(IF(COUNTIF([1]CRITERIOS!$BG$11:$BG$201,L313)&gt;=1,_xlfn.XLOOKUP(ARTÍCULOS!L313,[1]CRITERIOS!$BG$11:$BG$201,[1]CRITERIOS!$BJ$11:$BJ$201),_xlfn.XLOOKUP(ARTÍCULOS!C313,[1]CRITERIOS!$K$25:$K$42,[1]CRITERIOS!$M$25:$M$42))),0),ROUNDUP([1]CRITERIOS!$M$16/(IF(COUNTIF([1]CRITERIOS!$BG$11:$BG$201,L313)&gt;=1,_xlfn.XLOOKUP(ARTÍCULOS!L313,[1]CRITERIOS!$BG$11:$BG$201:#REF!,[1]CRITERIOS!$BJ$11:$BJ$201),_xlfn.XLOOKUP(ARTÍCULOS!C313,[1]CRITERIOS!$K$25:$K$42,[1]CRITERIOS!$M$25:$M$42))),0),(E313+V313-_xlfn.XLOOKUP(A313,'[1]DATOS PBI Artículos'!$A$4:$A$4,'[1]DATOS PBI Artículos'!$W$4:$W$4))/N313)</f>
        <v>#N/A</v>
      </c>
      <c r="AC313" s="33" t="e">
        <f>IF(N313=0,"",(ROUNDUP((N313/2)/(_xlfn.XLOOKUP(A313,'[1]DATOS PBI Artículos'!$A$4:$A$4,'[1]DATOS PBI Artículos'!$Z$4:$Z$4)*_xlfn.XLOOKUP(_xlfn.XLOOKUP(A313,'[1]DATOS PBI Artículos'!$A$4:$A$4,'[1]DATOS PBI Artículos'!$Y$4:$Y$4),[1]CRITERIOS!$P$79:$P$123,[1]CRITERIOS!$S$79:$S$123)),0)*[1]CRITERIOS!$M$80*([1]CRITERIOS!$M$110/[1]CRITERIOS!$M$86)+(_xlfn.XLOOKUP(A313,'[1]DATOS PBI Artículos'!$A$4:$A$4,'[1]DATOS PBI Artículos'!$AA$4:$AA$4)*([1]CRITERIOS!$M$95+[1]CRITERIOS!$M$98)))/N313)</f>
        <v>#N/A</v>
      </c>
      <c r="AD313" s="33" t="e">
        <f>IF(N313=0,"",(ROUNDUP((N313/2)/(_xlfn.XLOOKUP(A313,'[1]DATOS PBI Artículos'!$A$4:$A$4,'[1]DATOS PBI Artículos'!$Z$4:$Z$4)*_xlfn.XLOOKUP(_xlfn.XLOOKUP(A313,'[1]DATOS PBI Artículos'!$A$4:$A$4,'[1]DATOS PBI Artículos'!$Y$4:$Y$4),[1]CRITERIOS!$P$79:$P$123,[1]CRITERIOS!$S$79:$S$123)),0)*[1]CRITERIOS!$M$80*([1]CRITERIOS!$M$89*[1]CRITERIOS!$M$92)+((_xlfn.XLOOKUP(A313,'[1]DATOS PBI Artículos'!$A$4:$A$4,'[1]DATOS PBI Artículos'!$AA$4:$AA$4)/2)*([1]CRITERIOS!$M$95+[1]CRITERIOS!$M$98)))/N313)</f>
        <v>#N/A</v>
      </c>
      <c r="AE313" s="39" t="e">
        <f>IF($R313="MTO","",
IF($H313=0,ROUNDUP(((_xlfn.XLOOKUP($A313,'[1]DATOS PBI Artículos'!$A:$A,'[1]DATOS PBI Artículos'!$AL:$AL))/(_xlfn.XLOOKUP($AF$1,[1]CRITERIOS!$S$16:$S$39,[1]CRITERIOS!$Y$16:$Y$39))*$J313+$Z313)/$G313,0)*$G313,
((_xlfn.XLOOKUP($A313,'[1]DATOS PBI Artículos'!$A:$A,'[1]DATOS PBI Artículos'!$AL:$AL))/(_xlfn.XLOOKUP($AF$1,[1]CRITERIOS!$S$16:$S$39,[1]CRITERIOS!$Y$16:$Y$39))*$J313+$Z313)))</f>
        <v>#N/A</v>
      </c>
      <c r="AG313" s="39" t="e">
        <f>IF($R313="MTO","",
IF($H313=0,ROUNDUP(((_xlfn.XLOOKUP($A313,'[1]DATOS PBI Artículos'!$A:$A,'[1]DATOS PBI Artículos'!$AM:$AM))/(_xlfn.XLOOKUP($AH$1,[1]CRITERIOS!$S$16:$S$39,[1]CRITERIOS!$Y$16:$Y$39))*$J313+$Z313)/$G313,0)*$G313,
((_xlfn.XLOOKUP($A313,'[1]DATOS PBI Artículos'!$A:$A,'[1]DATOS PBI Artículos'!$AM:$AM))/(_xlfn.XLOOKUP($AH$1,[1]CRITERIOS!$S$16:$S$39,[1]CRITERIOS!$Y$16:$Y$39))*$J313+$Z313)))</f>
        <v>#N/A</v>
      </c>
      <c r="AI313" s="39" t="e">
        <f>IF($R313="MTO","",
IF($H313=0,ROUNDUP(((_xlfn.XLOOKUP($A313,'[1]DATOS PBI Artículos'!$A:$A,'[1]DATOS PBI Artículos'!$AN:$AN))/(_xlfn.XLOOKUP($AJ$1,[1]CRITERIOS!$S$16:$S$39,[1]CRITERIOS!$Y$16:$Y$39))*$J313+$Z313)/$G313,0)*$G313,
((_xlfn.XLOOKUP($A313,'[1]DATOS PBI Artículos'!$A:$A,'[1]DATOS PBI Artículos'!$AN:$AN))/(_xlfn.XLOOKUP($AJ$1,[1]CRITERIOS!$S$16:$S$39,[1]CRITERIOS!$Y$16:$Y$39))*$J313+$Z313)))</f>
        <v>#N/A</v>
      </c>
      <c r="AK313" s="39" t="e">
        <f>IF($R313="MTO","",
IF($H313=0,ROUNDUP(((_xlfn.XLOOKUP($A313,'[1]DATOS PBI Artículos'!$A:$A,'[1]DATOS PBI Artículos'!$AO:$AO))/(_xlfn.XLOOKUP($AL$1,[1]CRITERIOS!$S$16:$S$39,[1]CRITERIOS!$Y$16:$Y$39))*$J313+$Z313)/$G313,0)*$G313,
((_xlfn.XLOOKUP($A313,'[1]DATOS PBI Artículos'!$A:$A,'[1]DATOS PBI Artículos'!$AO:$AO))/(_xlfn.XLOOKUP($AL$1,[1]CRITERIOS!$S$16:$S$39,[1]CRITERIOS!$Y$16:$Y$39))*$J313+$Z313)))</f>
        <v>#N/A</v>
      </c>
    </row>
    <row r="314" spans="1:37" ht="25.8" hidden="1" x14ac:dyDescent="0.4">
      <c r="A314" s="41"/>
      <c r="B314" s="33">
        <f>_xlfn.XLOOKUP($A314,'[1]DATOS PBI Artículos'!A:A,'[1]DATOS PBI Artículos'!B:B)</f>
        <v>0</v>
      </c>
      <c r="C314" s="33">
        <f>_xlfn.XLOOKUP($A314,'[1]DATOS PBI Artículos'!A:A,'[1]DATOS PBI Artículos'!C:C)</f>
        <v>0</v>
      </c>
      <c r="D314" s="33">
        <f>_xlfn.XLOOKUP(A314,'[1]DATOS PBI Artículos'!A:A,'[1]DATOS PBI Artículos'!T:T)</f>
        <v>0</v>
      </c>
      <c r="E314" s="34">
        <f>IF(_xlfn.XLOOKUP($A314,'[1]DATOS PBI Artículos'!A:A,'[1]DATOS PBI Artículos'!AK:AK)="",_xlfn.XLOOKUP($A314,'[1]DATOS PBI Artículos'!A:A,'[1]DATOS PBI Artículos'!AJ:AJ),_xlfn.XLOOKUP($A314,'[1]DATOS PBI Artículos'!A:A,'[1]DATOS PBI Artículos'!AK:AK))</f>
        <v>0</v>
      </c>
      <c r="F314" s="35">
        <f>_xlfn.XLOOKUP($A314,'[1]DATOS PBI Artículos'!A:A,'[1]DATOS PBI Artículos'!AP:AP)</f>
        <v>0</v>
      </c>
      <c r="G314" s="34">
        <f>_xlfn.XLOOKUP($A314,'[1]DATOS PBI Artículos'!A:A,'[1]DATOS PBI Artículos'!AR:AR)</f>
        <v>0</v>
      </c>
      <c r="H314" s="34">
        <f>_xlfn.XLOOKUP($A314,'[1]DATOS PBI Artículos'!A:A,'[1]DATOS PBI Artículos'!AT:AT)</f>
        <v>0</v>
      </c>
      <c r="I314" s="34">
        <f>_xlfn.XLOOKUP($A314,'[1]DATOS PBI Artículos'!A:A,'[1]DATOS PBI Artículos'!AS:AS)</f>
        <v>0</v>
      </c>
      <c r="J314" s="35">
        <f>IF(COUNTIF([1]CRITERIOS!$F$179:$F$199,$A314)&gt;=1,
 IF(O314&lt;&gt;"",
    (O314/_xlfn.XLOOKUP(CONCATENATE(A314,L314),[1]MÁQUINAS!A:A,[1]MÁQUINAS!D:D))/24,
    (N314/_xlfn.XLOOKUP(CONCATENATE(A314,L314),[1]MÁQUINAS!A:A,[1]MÁQUINAS!D:D))/24),
  _xlfn.XLOOKUP($A314,'[1]DATOS PBI Artículos'!A:A,'[1]DATOS PBI Artículos'!AU:AU))</f>
        <v>0</v>
      </c>
      <c r="K314" s="36">
        <f>_xlfn.XLOOKUP($A314,'[1]DATOS PBI Artículos'!A:A,'[1]DATOS PBI Artículos'!AV:AV)</f>
        <v>0</v>
      </c>
      <c r="L314" s="33">
        <f>_xlfn.XLOOKUP(A314,[1]MÁQUINAS!B:B,[1]MÁQUINAS!C:C)</f>
        <v>0</v>
      </c>
      <c r="M314" s="34">
        <f t="array" ref="M314">_xlfn.XLOOKUP(A314,'[1]DATOS PBI Artículos'!A:A,'[1]DATOS PBI Artículos'!AX:$AX)</f>
        <v>0</v>
      </c>
      <c r="N314" s="37" t="e">
        <f>IF(I314="DV",
E314,
IF(COUNTIF([1]CRITERIOS!$I$179:$I$199,$A314)&gt;=1,
_xlfn.XLOOKUP($A314,[1]CRITERIOS!$I$179:$I$199,[1]CRITERIOS!$J$179:$J$199),
IF(COUNTIF([1]CRITERIOS!$L$179:$L$199,$A314)&gt;=1,
_xlfn.CEILING.MATH(IF($M314&gt;$E314,
$E314,
IF($M314&lt;$E314/ROUNDDOWN([1]CRITERIOS!$M$16/_xlfn.XLOOKUP($C314,[1]CRITERIOS!$K$25:$K$42,[1]CRITERIOS!$M$25:$M$42),
1),
E314/ROUNDDOWN([1]CRITERIOS!$M$16/_xlfn.XLOOKUP($C314,[1]CRITERIOS!$K$25:$K$42,[1]CRITERIOS!$M$25:$M$42),
1),
$M314)),
_xlfn.XLOOKUP($A314,[1]CRITERIOS!$L$179:$L$200,[1]CRITERIOS!$M$179:$M$200)),
_xlfn.CEILING.MATH(IF($M314&gt;$E314,
$E314,
IF($M314&lt;$E314/ROUNDDOWN([1]CRITERIOS!$M$16/_xlfn.XLOOKUP($C314,[1]CRITERIOS!$K$25:$K$42,[1]CRITERIOS!$M$25:$M$42),
1),
E314/ROUNDDOWN([1]CRITERIOS!$M$16/_xlfn.XLOOKUP($C314,[1]CRITERIOS!$K$25:$K$42,[1]CRITERIOS!$M$25:$M$42),
1),
$M314)),_xlfn.XLOOKUP(A314,'[1]DATOS PBI Artículos'!A:A,'[1]DATOS PBI Artículos'!Z:Z
)))))</f>
        <v>#N/A</v>
      </c>
      <c r="Q314" s="38" t="e">
        <f>IF(AND(O314="",N314=0),
0,
   IF(COUNTIF([1]CRITERIOS!$F$179:$F$199,$A314)&gt;=1,
   1,
   IF(R314="MTO",
      $D314,
      ROUNDUP(
                    IF(($E314-SUMIF('[1]DATOS PBI Artículos'!A:A,A314,'[1]DATOS PBI Artículos'!X:X)+($V314-_xlfn.XLOOKUP(A314,'[1]DATOS PBI Artículos'!A:A,'[1]DATOS PBI Artículos'!W:W)))&lt;0,
                    0,
                    IF(($E314-SUMIF('[1]DATOS PBI Artículos'!A:A,A314,'[1]DATOS PBI Artículos'!X:X)+$V314-_xlfn.XLOOKUP($A314,'[1]DATOS PBI Artículos'!A:A,'[1]DATOS PBI Artículos'!W:W))/IF($O314="",$N314,$O314)&gt;ROUNDUP([1]CRITERIOS!$M$16/(IF(COUNTIF([1]CRITERIOS!$BG$11:$BG$201,L314)&gt;=1,_xlfn.XLOOKUP($C314,[1]CRITERIOS!$K$25:$K$42,[1]CRITERIOS!$M$25:$M$42),_xlfn.XLOOKUP($C314,[1]CRITERIOS!$K$25:$K$42,[1]CRITERIOS!$M$25:$M$42))),0),
                    ROUNDUP([1]CRITERIOS!$M$16/(IF(COUNTIF([1]CRITERIOS!$BG$11:$BG$201,$L314)&gt;=1,_xlfn.XLOOKUP($C314,[1]CRITERIOS!$K$25:$K$42,[1]CRITERIOS!$M$25:$M$42),_xlfn.XLOOKUP($C314,[1]CRITERIOS!$K$25:$K$42,[1]CRITERIOS!$M$25:$M$42))),0),
                    (E314+V314-SUMIF('[1]DATOS PBI Artículos'!A:A,A314,'[1]DATOS PBI Artículos'!X:X)-_xlfn.XLOOKUP(A314,'[1]DATOS PBI Artículos'!A:A,'[1]DATOS PBI Artículos'!W:W))/IF($O314="",$N314,$O314))),0))))</f>
        <v>#N/A</v>
      </c>
      <c r="R314" s="33" t="e">
        <f>IF(U314&lt;&gt;"",U314,IF(F314="DV","MTO",IF(N314=0,"MTO",_xlfn.XLOOKUP(CONCATENATE(S314,T314),[1]CRITERIOS!$K$160:$K$168,[1]CRITERIOS!$N$160:$N$168))))</f>
        <v>#N/A</v>
      </c>
      <c r="S314" s="33" t="e">
        <f>IF(G314="DV","MTO",IF(N314=0,"MTO",IF(OR(AND(N314=0,O314=""),IF(O314="",G314/N314,G314/O314)&gt;[1]CRITERIOS!$G$163),"MTO",IF(IF(O314="",G314/N314,G314/O314)&lt;[1]CRITERIOS!$H$161,"MTS","MTOS"))))</f>
        <v>#N/A</v>
      </c>
      <c r="T314" s="33" t="e">
        <f>IF(F314="DV","MTO",IF(OR(AND($N314=0,O314=""),$F314/$J314&gt;[1]CRITERIOS!$G$170,$F314="DV"),"MTO",IF($F314/$J314&lt;[1]CRITERIOS!$H$168,"MTS","MTOS")))</f>
        <v>#N/A</v>
      </c>
      <c r="V314" s="34" t="e">
        <f t="shared" si="16"/>
        <v>#N/A</v>
      </c>
      <c r="X314" s="34" t="e">
        <f t="shared" si="14"/>
        <v>#N/A</v>
      </c>
      <c r="Y314" s="34" t="e">
        <f t="shared" si="15"/>
        <v>#N/A</v>
      </c>
      <c r="Z314" s="34" t="e">
        <f>IF($R314="MTO",
0,
($H314+$K314*($E314/[1]CRITERIOS!$M$16))/[1]CRITERIOS!$X$48)</f>
        <v>#N/A</v>
      </c>
      <c r="AA314" s="34" t="e">
        <f>ROUNDUP(($Y314/_xlfn.XLOOKUP($A314,'[1]DATOS PBI Artículos'!$A$4:$A$4,'[1]DATOS PBI Artículos'!$Z$4:$Z$4))/_xlfn.XLOOKUP(_xlfn.XLOOKUP($A314,'[1]DATOS PBI Artículos'!$A$4:$A$4,'[1]DATOS PBI Artículos'!$Y$4:$Y$4),[1]CRITERIOS!$P$79:$P$123,[1]CRITERIOS!$S$79:$S$123,),0)</f>
        <v>#N/A</v>
      </c>
      <c r="AB314" s="33" t="e">
        <f t="array" ref="AB314">IF((E314+V314-_xlfn.XLOOKUP(A314,'[1]DATOS PBI Artículos'!$A$4:$A$4,'[1]DATOS PBI Artículos'!$W$4:$W$4))/N314&gt;ROUNDUP([1]CRITERIOS!$M$16/(IF(COUNTIF([1]CRITERIOS!$BG$11:$BG$201,L314)&gt;=1,_xlfn.XLOOKUP(ARTÍCULOS!L314,[1]CRITERIOS!$BG$11:$BG$201,[1]CRITERIOS!$BJ$11:$BJ$201),_xlfn.XLOOKUP(ARTÍCULOS!C314,[1]CRITERIOS!$K$25:$K$42,[1]CRITERIOS!$M$25:$M$42))),0),ROUNDUP([1]CRITERIOS!$M$16/(IF(COUNTIF([1]CRITERIOS!$BG$11:$BG$201,L314)&gt;=1,_xlfn.XLOOKUP(ARTÍCULOS!L314,[1]CRITERIOS!$BG$11:$BG$201:#REF!,[1]CRITERIOS!$BJ$11:$BJ$201),_xlfn.XLOOKUP(ARTÍCULOS!C314,[1]CRITERIOS!$K$25:$K$42,[1]CRITERIOS!$M$25:$M$42))),0),(E314+V314-_xlfn.XLOOKUP(A314,'[1]DATOS PBI Artículos'!$A$4:$A$4,'[1]DATOS PBI Artículos'!$W$4:$W$4))/N314)</f>
        <v>#N/A</v>
      </c>
      <c r="AC314" s="33" t="e">
        <f>IF(N314=0,"",(ROUNDUP((N314/2)/(_xlfn.XLOOKUP(A314,'[1]DATOS PBI Artículos'!$A$4:$A$4,'[1]DATOS PBI Artículos'!$Z$4:$Z$4)*_xlfn.XLOOKUP(_xlfn.XLOOKUP(A314,'[1]DATOS PBI Artículos'!$A$4:$A$4,'[1]DATOS PBI Artículos'!$Y$4:$Y$4),[1]CRITERIOS!$P$79:$P$123,[1]CRITERIOS!$S$79:$S$123)),0)*[1]CRITERIOS!$M$80*([1]CRITERIOS!$M$110/[1]CRITERIOS!$M$86)+(_xlfn.XLOOKUP(A314,'[1]DATOS PBI Artículos'!$A$4:$A$4,'[1]DATOS PBI Artículos'!$AA$4:$AA$4)*([1]CRITERIOS!$M$95+[1]CRITERIOS!$M$98)))/N314)</f>
        <v>#N/A</v>
      </c>
      <c r="AD314" s="33" t="e">
        <f>IF(N314=0,"",(ROUNDUP((N314/2)/(_xlfn.XLOOKUP(A314,'[1]DATOS PBI Artículos'!$A$4:$A$4,'[1]DATOS PBI Artículos'!$Z$4:$Z$4)*_xlfn.XLOOKUP(_xlfn.XLOOKUP(A314,'[1]DATOS PBI Artículos'!$A$4:$A$4,'[1]DATOS PBI Artículos'!$Y$4:$Y$4),[1]CRITERIOS!$P$79:$P$123,[1]CRITERIOS!$S$79:$S$123)),0)*[1]CRITERIOS!$M$80*([1]CRITERIOS!$M$89*[1]CRITERIOS!$M$92)+((_xlfn.XLOOKUP(A314,'[1]DATOS PBI Artículos'!$A$4:$A$4,'[1]DATOS PBI Artículos'!$AA$4:$AA$4)/2)*([1]CRITERIOS!$M$95+[1]CRITERIOS!$M$98)))/N314)</f>
        <v>#N/A</v>
      </c>
      <c r="AE314" s="39" t="e">
        <f>IF($R314="MTO","",
IF($H314=0,ROUNDUP(((_xlfn.XLOOKUP($A314,'[1]DATOS PBI Artículos'!$A:$A,'[1]DATOS PBI Artículos'!$AL:$AL))/(_xlfn.XLOOKUP($AF$1,[1]CRITERIOS!$S$16:$S$39,[1]CRITERIOS!$Y$16:$Y$39))*$J314+$Z314)/$G314,0)*$G314,
((_xlfn.XLOOKUP($A314,'[1]DATOS PBI Artículos'!$A:$A,'[1]DATOS PBI Artículos'!$AL:$AL))/(_xlfn.XLOOKUP($AF$1,[1]CRITERIOS!$S$16:$S$39,[1]CRITERIOS!$Y$16:$Y$39))*$J314+$Z314)))</f>
        <v>#N/A</v>
      </c>
      <c r="AG314" s="39" t="e">
        <f>IF($R314="MTO","",
IF($H314=0,ROUNDUP(((_xlfn.XLOOKUP($A314,'[1]DATOS PBI Artículos'!$A:$A,'[1]DATOS PBI Artículos'!$AM:$AM))/(_xlfn.XLOOKUP($AH$1,[1]CRITERIOS!$S$16:$S$39,[1]CRITERIOS!$Y$16:$Y$39))*$J314+$Z314)/$G314,0)*$G314,
((_xlfn.XLOOKUP($A314,'[1]DATOS PBI Artículos'!$A:$A,'[1]DATOS PBI Artículos'!$AM:$AM))/(_xlfn.XLOOKUP($AH$1,[1]CRITERIOS!$S$16:$S$39,[1]CRITERIOS!$Y$16:$Y$39))*$J314+$Z314)))</f>
        <v>#N/A</v>
      </c>
      <c r="AI314" s="39" t="e">
        <f>IF($R314="MTO","",
IF($H314=0,ROUNDUP(((_xlfn.XLOOKUP($A314,'[1]DATOS PBI Artículos'!$A:$A,'[1]DATOS PBI Artículos'!$AN:$AN))/(_xlfn.XLOOKUP($AJ$1,[1]CRITERIOS!$S$16:$S$39,[1]CRITERIOS!$Y$16:$Y$39))*$J314+$Z314)/$G314,0)*$G314,
((_xlfn.XLOOKUP($A314,'[1]DATOS PBI Artículos'!$A:$A,'[1]DATOS PBI Artículos'!$AN:$AN))/(_xlfn.XLOOKUP($AJ$1,[1]CRITERIOS!$S$16:$S$39,[1]CRITERIOS!$Y$16:$Y$39))*$J314+$Z314)))</f>
        <v>#N/A</v>
      </c>
      <c r="AK314" s="39" t="e">
        <f>IF($R314="MTO","",
IF($H314=0,ROUNDUP(((_xlfn.XLOOKUP($A314,'[1]DATOS PBI Artículos'!$A:$A,'[1]DATOS PBI Artículos'!$AO:$AO))/(_xlfn.XLOOKUP($AL$1,[1]CRITERIOS!$S$16:$S$39,[1]CRITERIOS!$Y$16:$Y$39))*$J314+$Z314)/$G314,0)*$G314,
((_xlfn.XLOOKUP($A314,'[1]DATOS PBI Artículos'!$A:$A,'[1]DATOS PBI Artículos'!$AO:$AO))/(_xlfn.XLOOKUP($AL$1,[1]CRITERIOS!$S$16:$S$39,[1]CRITERIOS!$Y$16:$Y$39))*$J314+$Z314)))</f>
        <v>#N/A</v>
      </c>
    </row>
    <row r="315" spans="1:37" ht="25.8" hidden="1" x14ac:dyDescent="0.4">
      <c r="A315" s="41"/>
      <c r="B315" s="33">
        <f>_xlfn.XLOOKUP($A315,'[1]DATOS PBI Artículos'!A:A,'[1]DATOS PBI Artículos'!B:B)</f>
        <v>0</v>
      </c>
      <c r="C315" s="33">
        <f>_xlfn.XLOOKUP($A315,'[1]DATOS PBI Artículos'!A:A,'[1]DATOS PBI Artículos'!C:C)</f>
        <v>0</v>
      </c>
      <c r="D315" s="33">
        <f>_xlfn.XLOOKUP(A315,'[1]DATOS PBI Artículos'!A:A,'[1]DATOS PBI Artículos'!T:T)</f>
        <v>0</v>
      </c>
      <c r="E315" s="34">
        <f>IF(_xlfn.XLOOKUP($A315,'[1]DATOS PBI Artículos'!A:A,'[1]DATOS PBI Artículos'!AK:AK)="",_xlfn.XLOOKUP($A315,'[1]DATOS PBI Artículos'!A:A,'[1]DATOS PBI Artículos'!AJ:AJ),_xlfn.XLOOKUP($A315,'[1]DATOS PBI Artículos'!A:A,'[1]DATOS PBI Artículos'!AK:AK))</f>
        <v>0</v>
      </c>
      <c r="F315" s="35">
        <f>_xlfn.XLOOKUP($A315,'[1]DATOS PBI Artículos'!A:A,'[1]DATOS PBI Artículos'!AP:AP)</f>
        <v>0</v>
      </c>
      <c r="G315" s="34">
        <f>_xlfn.XLOOKUP($A315,'[1]DATOS PBI Artículos'!A:A,'[1]DATOS PBI Artículos'!AR:AR)</f>
        <v>0</v>
      </c>
      <c r="H315" s="34">
        <f>_xlfn.XLOOKUP($A315,'[1]DATOS PBI Artículos'!A:A,'[1]DATOS PBI Artículos'!AT:AT)</f>
        <v>0</v>
      </c>
      <c r="I315" s="34">
        <f>_xlfn.XLOOKUP($A315,'[1]DATOS PBI Artículos'!A:A,'[1]DATOS PBI Artículos'!AS:AS)</f>
        <v>0</v>
      </c>
      <c r="J315" s="35">
        <f>IF(COUNTIF([1]CRITERIOS!$F$179:$F$199,$A315)&gt;=1,
 IF(O315&lt;&gt;"",
    (O315/_xlfn.XLOOKUP(CONCATENATE(A315,L315),[1]MÁQUINAS!A:A,[1]MÁQUINAS!D:D))/24,
    (N315/_xlfn.XLOOKUP(CONCATENATE(A315,L315),[1]MÁQUINAS!A:A,[1]MÁQUINAS!D:D))/24),
  _xlfn.XLOOKUP($A315,'[1]DATOS PBI Artículos'!A:A,'[1]DATOS PBI Artículos'!AU:AU))</f>
        <v>0</v>
      </c>
      <c r="K315" s="36">
        <f>_xlfn.XLOOKUP($A315,'[1]DATOS PBI Artículos'!A:A,'[1]DATOS PBI Artículos'!AV:AV)</f>
        <v>0</v>
      </c>
      <c r="L315" s="33">
        <f>_xlfn.XLOOKUP(A315,[1]MÁQUINAS!B:B,[1]MÁQUINAS!C:C)</f>
        <v>0</v>
      </c>
      <c r="M315" s="34">
        <f t="array" ref="M315">_xlfn.XLOOKUP(A315,'[1]DATOS PBI Artículos'!A:A,'[1]DATOS PBI Artículos'!AX:$AX)</f>
        <v>0</v>
      </c>
      <c r="N315" s="37" t="e">
        <f>IF(I315="DV",
E315,
IF(COUNTIF([1]CRITERIOS!$I$179:$I$199,$A315)&gt;=1,
_xlfn.XLOOKUP($A315,[1]CRITERIOS!$I$179:$I$199,[1]CRITERIOS!$J$179:$J$199),
IF(COUNTIF([1]CRITERIOS!$L$179:$L$199,$A315)&gt;=1,
_xlfn.CEILING.MATH(IF($M315&gt;$E315,
$E315,
IF($M315&lt;$E315/ROUNDDOWN([1]CRITERIOS!$M$16/_xlfn.XLOOKUP($C315,[1]CRITERIOS!$K$25:$K$42,[1]CRITERIOS!$M$25:$M$42),
1),
E315/ROUNDDOWN([1]CRITERIOS!$M$16/_xlfn.XLOOKUP($C315,[1]CRITERIOS!$K$25:$K$42,[1]CRITERIOS!$M$25:$M$42),
1),
$M315)),
_xlfn.XLOOKUP($A315,[1]CRITERIOS!$L$179:$L$200,[1]CRITERIOS!$M$179:$M$200)),
_xlfn.CEILING.MATH(IF($M315&gt;$E315,
$E315,
IF($M315&lt;$E315/ROUNDDOWN([1]CRITERIOS!$M$16/_xlfn.XLOOKUP($C315,[1]CRITERIOS!$K$25:$K$42,[1]CRITERIOS!$M$25:$M$42),
1),
E315/ROUNDDOWN([1]CRITERIOS!$M$16/_xlfn.XLOOKUP($C315,[1]CRITERIOS!$K$25:$K$42,[1]CRITERIOS!$M$25:$M$42),
1),
$M315)),_xlfn.XLOOKUP(A315,'[1]DATOS PBI Artículos'!A:A,'[1]DATOS PBI Artículos'!Z:Z
)))))</f>
        <v>#N/A</v>
      </c>
      <c r="Q315" s="38" t="e">
        <f>IF(AND(O315="",N315=0),
0,
   IF(COUNTIF([1]CRITERIOS!$F$179:$F$199,$A315)&gt;=1,
   1,
   IF(R315="MTO",
      $D315,
      ROUNDUP(
                    IF(($E315-SUMIF('[1]DATOS PBI Artículos'!A:A,A315,'[1]DATOS PBI Artículos'!X:X)+($V315-_xlfn.XLOOKUP(A315,'[1]DATOS PBI Artículos'!A:A,'[1]DATOS PBI Artículos'!W:W)))&lt;0,
                    0,
                    IF(($E315-SUMIF('[1]DATOS PBI Artículos'!A:A,A315,'[1]DATOS PBI Artículos'!X:X)+$V315-_xlfn.XLOOKUP($A315,'[1]DATOS PBI Artículos'!A:A,'[1]DATOS PBI Artículos'!W:W))/IF($O315="",$N315,$O315)&gt;ROUNDUP([1]CRITERIOS!$M$16/(IF(COUNTIF([1]CRITERIOS!$BG$11:$BG$201,L315)&gt;=1,_xlfn.XLOOKUP($C315,[1]CRITERIOS!$K$25:$K$42,[1]CRITERIOS!$M$25:$M$42),_xlfn.XLOOKUP($C315,[1]CRITERIOS!$K$25:$K$42,[1]CRITERIOS!$M$25:$M$42))),0),
                    ROUNDUP([1]CRITERIOS!$M$16/(IF(COUNTIF([1]CRITERIOS!$BG$11:$BG$201,$L315)&gt;=1,_xlfn.XLOOKUP($C315,[1]CRITERIOS!$K$25:$K$42,[1]CRITERIOS!$M$25:$M$42),_xlfn.XLOOKUP($C315,[1]CRITERIOS!$K$25:$K$42,[1]CRITERIOS!$M$25:$M$42))),0),
                    (E315+V315-SUMIF('[1]DATOS PBI Artículos'!A:A,A315,'[1]DATOS PBI Artículos'!X:X)-_xlfn.XLOOKUP(A315,'[1]DATOS PBI Artículos'!A:A,'[1]DATOS PBI Artículos'!W:W))/IF($O315="",$N315,$O315))),0))))</f>
        <v>#N/A</v>
      </c>
      <c r="R315" s="33" t="e">
        <f>IF(U315&lt;&gt;"",U315,IF(F315="DV","MTO",IF(N315=0,"MTO",_xlfn.XLOOKUP(CONCATENATE(S315,T315),[1]CRITERIOS!$K$160:$K$168,[1]CRITERIOS!$N$160:$N$168))))</f>
        <v>#N/A</v>
      </c>
      <c r="S315" s="33" t="e">
        <f>IF(G315="DV","MTO",IF(N315=0,"MTO",IF(OR(AND(N315=0,O315=""),IF(O315="",G315/N315,G315/O315)&gt;[1]CRITERIOS!$G$163),"MTO",IF(IF(O315="",G315/N315,G315/O315)&lt;[1]CRITERIOS!$H$161,"MTS","MTOS"))))</f>
        <v>#N/A</v>
      </c>
      <c r="T315" s="33" t="e">
        <f>IF(F315="DV","MTO",IF(OR(AND($N315=0,O315=""),$F315/$J315&gt;[1]CRITERIOS!$G$170,$F315="DV"),"MTO",IF($F315/$J315&lt;[1]CRITERIOS!$H$168,"MTS","MTOS")))</f>
        <v>#N/A</v>
      </c>
      <c r="V315" s="34" t="e">
        <f t="shared" si="16"/>
        <v>#N/A</v>
      </c>
      <c r="X315" s="34" t="e">
        <f t="shared" si="14"/>
        <v>#N/A</v>
      </c>
      <c r="Y315" s="34" t="e">
        <f t="shared" si="15"/>
        <v>#N/A</v>
      </c>
      <c r="Z315" s="34" t="e">
        <f>IF($R315="MTO",
0,
($H315+$K315*($E315/[1]CRITERIOS!$M$16))/[1]CRITERIOS!$X$48)</f>
        <v>#N/A</v>
      </c>
      <c r="AA315" s="34" t="e">
        <f>ROUNDUP(($Y315/_xlfn.XLOOKUP($A315,'[1]DATOS PBI Artículos'!$A$4:$A$4,'[1]DATOS PBI Artículos'!$Z$4:$Z$4))/_xlfn.XLOOKUP(_xlfn.XLOOKUP($A315,'[1]DATOS PBI Artículos'!$A$4:$A$4,'[1]DATOS PBI Artículos'!$Y$4:$Y$4),[1]CRITERIOS!$P$79:$P$123,[1]CRITERIOS!$S$79:$S$123,),0)</f>
        <v>#N/A</v>
      </c>
      <c r="AB315" s="33" t="e">
        <f t="array" ref="AB315">IF((E315+V315-_xlfn.XLOOKUP(A315,'[1]DATOS PBI Artículos'!$A$4:$A$4,'[1]DATOS PBI Artículos'!$W$4:$W$4))/N315&gt;ROUNDUP([1]CRITERIOS!$M$16/(IF(COUNTIF([1]CRITERIOS!$BG$11:$BG$201,L315)&gt;=1,_xlfn.XLOOKUP(ARTÍCULOS!L315,[1]CRITERIOS!$BG$11:$BG$201,[1]CRITERIOS!$BJ$11:$BJ$201),_xlfn.XLOOKUP(ARTÍCULOS!C315,[1]CRITERIOS!$K$25:$K$42,[1]CRITERIOS!$M$25:$M$42))),0),ROUNDUP([1]CRITERIOS!$M$16/(IF(COUNTIF([1]CRITERIOS!$BG$11:$BG$201,L315)&gt;=1,_xlfn.XLOOKUP(ARTÍCULOS!L315,[1]CRITERIOS!$BG$11:$BG$201:#REF!,[1]CRITERIOS!$BJ$11:$BJ$201),_xlfn.XLOOKUP(ARTÍCULOS!C315,[1]CRITERIOS!$K$25:$K$42,[1]CRITERIOS!$M$25:$M$42))),0),(E315+V315-_xlfn.XLOOKUP(A315,'[1]DATOS PBI Artículos'!$A$4:$A$4,'[1]DATOS PBI Artículos'!$W$4:$W$4))/N315)</f>
        <v>#N/A</v>
      </c>
      <c r="AC315" s="33" t="e">
        <f>IF(N315=0,"",(ROUNDUP((N315/2)/(_xlfn.XLOOKUP(A315,'[1]DATOS PBI Artículos'!$A$4:$A$4,'[1]DATOS PBI Artículos'!$Z$4:$Z$4)*_xlfn.XLOOKUP(_xlfn.XLOOKUP(A315,'[1]DATOS PBI Artículos'!$A$4:$A$4,'[1]DATOS PBI Artículos'!$Y$4:$Y$4),[1]CRITERIOS!$P$79:$P$123,[1]CRITERIOS!$S$79:$S$123)),0)*[1]CRITERIOS!$M$80*([1]CRITERIOS!$M$110/[1]CRITERIOS!$M$86)+(_xlfn.XLOOKUP(A315,'[1]DATOS PBI Artículos'!$A$4:$A$4,'[1]DATOS PBI Artículos'!$AA$4:$AA$4)*([1]CRITERIOS!$M$95+[1]CRITERIOS!$M$98)))/N315)</f>
        <v>#N/A</v>
      </c>
      <c r="AD315" s="33" t="e">
        <f>IF(N315=0,"",(ROUNDUP((N315/2)/(_xlfn.XLOOKUP(A315,'[1]DATOS PBI Artículos'!$A$4:$A$4,'[1]DATOS PBI Artículos'!$Z$4:$Z$4)*_xlfn.XLOOKUP(_xlfn.XLOOKUP(A315,'[1]DATOS PBI Artículos'!$A$4:$A$4,'[1]DATOS PBI Artículos'!$Y$4:$Y$4),[1]CRITERIOS!$P$79:$P$123,[1]CRITERIOS!$S$79:$S$123)),0)*[1]CRITERIOS!$M$80*([1]CRITERIOS!$M$89*[1]CRITERIOS!$M$92)+((_xlfn.XLOOKUP(A315,'[1]DATOS PBI Artículos'!$A$4:$A$4,'[1]DATOS PBI Artículos'!$AA$4:$AA$4)/2)*([1]CRITERIOS!$M$95+[1]CRITERIOS!$M$98)))/N315)</f>
        <v>#N/A</v>
      </c>
      <c r="AE315" s="39" t="e">
        <f>IF($R315="MTO","",
IF($H315=0,ROUNDUP(((_xlfn.XLOOKUP($A315,'[1]DATOS PBI Artículos'!$A:$A,'[1]DATOS PBI Artículos'!$AL:$AL))/(_xlfn.XLOOKUP($AF$1,[1]CRITERIOS!$S$16:$S$39,[1]CRITERIOS!$Y$16:$Y$39))*$J315+$Z315)/$G315,0)*$G315,
((_xlfn.XLOOKUP($A315,'[1]DATOS PBI Artículos'!$A:$A,'[1]DATOS PBI Artículos'!$AL:$AL))/(_xlfn.XLOOKUP($AF$1,[1]CRITERIOS!$S$16:$S$39,[1]CRITERIOS!$Y$16:$Y$39))*$J315+$Z315)))</f>
        <v>#N/A</v>
      </c>
      <c r="AG315" s="39" t="e">
        <f>IF($R315="MTO","",
IF($H315=0,ROUNDUP(((_xlfn.XLOOKUP($A315,'[1]DATOS PBI Artículos'!$A:$A,'[1]DATOS PBI Artículos'!$AM:$AM))/(_xlfn.XLOOKUP($AH$1,[1]CRITERIOS!$S$16:$S$39,[1]CRITERIOS!$Y$16:$Y$39))*$J315+$Z315)/$G315,0)*$G315,
((_xlfn.XLOOKUP($A315,'[1]DATOS PBI Artículos'!$A:$A,'[1]DATOS PBI Artículos'!$AM:$AM))/(_xlfn.XLOOKUP($AH$1,[1]CRITERIOS!$S$16:$S$39,[1]CRITERIOS!$Y$16:$Y$39))*$J315+$Z315)))</f>
        <v>#N/A</v>
      </c>
      <c r="AI315" s="39" t="e">
        <f>IF($R315="MTO","",
IF($H315=0,ROUNDUP(((_xlfn.XLOOKUP($A315,'[1]DATOS PBI Artículos'!$A:$A,'[1]DATOS PBI Artículos'!$AN:$AN))/(_xlfn.XLOOKUP($AJ$1,[1]CRITERIOS!$S$16:$S$39,[1]CRITERIOS!$Y$16:$Y$39))*$J315+$Z315)/$G315,0)*$G315,
((_xlfn.XLOOKUP($A315,'[1]DATOS PBI Artículos'!$A:$A,'[1]DATOS PBI Artículos'!$AN:$AN))/(_xlfn.XLOOKUP($AJ$1,[1]CRITERIOS!$S$16:$S$39,[1]CRITERIOS!$Y$16:$Y$39))*$J315+$Z315)))</f>
        <v>#N/A</v>
      </c>
      <c r="AK315" s="39" t="e">
        <f>IF($R315="MTO","",
IF($H315=0,ROUNDUP(((_xlfn.XLOOKUP($A315,'[1]DATOS PBI Artículos'!$A:$A,'[1]DATOS PBI Artículos'!$AO:$AO))/(_xlfn.XLOOKUP($AL$1,[1]CRITERIOS!$S$16:$S$39,[1]CRITERIOS!$Y$16:$Y$39))*$J315+$Z315)/$G315,0)*$G315,
((_xlfn.XLOOKUP($A315,'[1]DATOS PBI Artículos'!$A:$A,'[1]DATOS PBI Artículos'!$AO:$AO))/(_xlfn.XLOOKUP($AL$1,[1]CRITERIOS!$S$16:$S$39,[1]CRITERIOS!$Y$16:$Y$39))*$J315+$Z315)))</f>
        <v>#N/A</v>
      </c>
    </row>
    <row r="316" spans="1:37" ht="25.8" hidden="1" x14ac:dyDescent="0.4">
      <c r="A316" s="41"/>
      <c r="B316" s="33">
        <f>_xlfn.XLOOKUP($A316,'[1]DATOS PBI Artículos'!A:A,'[1]DATOS PBI Artículos'!B:B)</f>
        <v>0</v>
      </c>
      <c r="C316" s="33">
        <f>_xlfn.XLOOKUP($A316,'[1]DATOS PBI Artículos'!A:A,'[1]DATOS PBI Artículos'!C:C)</f>
        <v>0</v>
      </c>
      <c r="D316" s="33">
        <f>_xlfn.XLOOKUP(A316,'[1]DATOS PBI Artículos'!A:A,'[1]DATOS PBI Artículos'!T:T)</f>
        <v>0</v>
      </c>
      <c r="E316" s="34">
        <f>IF(_xlfn.XLOOKUP($A316,'[1]DATOS PBI Artículos'!A:A,'[1]DATOS PBI Artículos'!AK:AK)="",_xlfn.XLOOKUP($A316,'[1]DATOS PBI Artículos'!A:A,'[1]DATOS PBI Artículos'!AJ:AJ),_xlfn.XLOOKUP($A316,'[1]DATOS PBI Artículos'!A:A,'[1]DATOS PBI Artículos'!AK:AK))</f>
        <v>0</v>
      </c>
      <c r="F316" s="35">
        <f>_xlfn.XLOOKUP($A316,'[1]DATOS PBI Artículos'!A:A,'[1]DATOS PBI Artículos'!AP:AP)</f>
        <v>0</v>
      </c>
      <c r="G316" s="34">
        <f>_xlfn.XLOOKUP($A316,'[1]DATOS PBI Artículos'!A:A,'[1]DATOS PBI Artículos'!AR:AR)</f>
        <v>0</v>
      </c>
      <c r="H316" s="34">
        <f>_xlfn.XLOOKUP($A316,'[1]DATOS PBI Artículos'!A:A,'[1]DATOS PBI Artículos'!AT:AT)</f>
        <v>0</v>
      </c>
      <c r="I316" s="34">
        <f>_xlfn.XLOOKUP($A316,'[1]DATOS PBI Artículos'!A:A,'[1]DATOS PBI Artículos'!AS:AS)</f>
        <v>0</v>
      </c>
      <c r="J316" s="35">
        <f>IF(COUNTIF([1]CRITERIOS!$F$179:$F$199,$A316)&gt;=1,
 IF(O316&lt;&gt;"",
    (O316/_xlfn.XLOOKUP(CONCATENATE(A316,L316),[1]MÁQUINAS!A:A,[1]MÁQUINAS!D:D))/24,
    (N316/_xlfn.XLOOKUP(CONCATENATE(A316,L316),[1]MÁQUINAS!A:A,[1]MÁQUINAS!D:D))/24),
  _xlfn.XLOOKUP($A316,'[1]DATOS PBI Artículos'!A:A,'[1]DATOS PBI Artículos'!AU:AU))</f>
        <v>0</v>
      </c>
      <c r="K316" s="36">
        <f>_xlfn.XLOOKUP($A316,'[1]DATOS PBI Artículos'!A:A,'[1]DATOS PBI Artículos'!AV:AV)</f>
        <v>0</v>
      </c>
      <c r="L316" s="33">
        <f>_xlfn.XLOOKUP(A316,[1]MÁQUINAS!B:B,[1]MÁQUINAS!C:C)</f>
        <v>0</v>
      </c>
      <c r="M316" s="34">
        <f t="array" ref="M316">_xlfn.XLOOKUP(A316,'[1]DATOS PBI Artículos'!A:A,'[1]DATOS PBI Artículos'!AX:$AX)</f>
        <v>0</v>
      </c>
      <c r="N316" s="37" t="e">
        <f>IF(I316="DV",
E316,
IF(COUNTIF([1]CRITERIOS!$I$179:$I$199,$A316)&gt;=1,
_xlfn.XLOOKUP($A316,[1]CRITERIOS!$I$179:$I$199,[1]CRITERIOS!$J$179:$J$199),
IF(COUNTIF([1]CRITERIOS!$L$179:$L$199,$A316)&gt;=1,
_xlfn.CEILING.MATH(IF($M316&gt;$E316,
$E316,
IF($M316&lt;$E316/ROUNDDOWN([1]CRITERIOS!$M$16/_xlfn.XLOOKUP($C316,[1]CRITERIOS!$K$25:$K$42,[1]CRITERIOS!$M$25:$M$42),
1),
E316/ROUNDDOWN([1]CRITERIOS!$M$16/_xlfn.XLOOKUP($C316,[1]CRITERIOS!$K$25:$K$42,[1]CRITERIOS!$M$25:$M$42),
1),
$M316)),
_xlfn.XLOOKUP($A316,[1]CRITERIOS!$L$179:$L$200,[1]CRITERIOS!$M$179:$M$200)),
_xlfn.CEILING.MATH(IF($M316&gt;$E316,
$E316,
IF($M316&lt;$E316/ROUNDDOWN([1]CRITERIOS!$M$16/_xlfn.XLOOKUP($C316,[1]CRITERIOS!$K$25:$K$42,[1]CRITERIOS!$M$25:$M$42),
1),
E316/ROUNDDOWN([1]CRITERIOS!$M$16/_xlfn.XLOOKUP($C316,[1]CRITERIOS!$K$25:$K$42,[1]CRITERIOS!$M$25:$M$42),
1),
$M316)),_xlfn.XLOOKUP(A316,'[1]DATOS PBI Artículos'!A:A,'[1]DATOS PBI Artículos'!Z:Z
)))))</f>
        <v>#N/A</v>
      </c>
      <c r="Q316" s="38" t="e">
        <f>IF(AND(O316="",N316=0),
0,
   IF(COUNTIF([1]CRITERIOS!$F$179:$F$199,$A316)&gt;=1,
   1,
   IF(R316="MTO",
      $D316,
      ROUNDUP(
                    IF(($E316-SUMIF('[1]DATOS PBI Artículos'!A:A,A316,'[1]DATOS PBI Artículos'!X:X)+($V316-_xlfn.XLOOKUP(A316,'[1]DATOS PBI Artículos'!A:A,'[1]DATOS PBI Artículos'!W:W)))&lt;0,
                    0,
                    IF(($E316-SUMIF('[1]DATOS PBI Artículos'!A:A,A316,'[1]DATOS PBI Artículos'!X:X)+$V316-_xlfn.XLOOKUP($A316,'[1]DATOS PBI Artículos'!A:A,'[1]DATOS PBI Artículos'!W:W))/IF($O316="",$N316,$O316)&gt;ROUNDUP([1]CRITERIOS!$M$16/(IF(COUNTIF([1]CRITERIOS!$BG$11:$BG$201,L316)&gt;=1,_xlfn.XLOOKUP($C316,[1]CRITERIOS!$K$25:$K$42,[1]CRITERIOS!$M$25:$M$42),_xlfn.XLOOKUP($C316,[1]CRITERIOS!$K$25:$K$42,[1]CRITERIOS!$M$25:$M$42))),0),
                    ROUNDUP([1]CRITERIOS!$M$16/(IF(COUNTIF([1]CRITERIOS!$BG$11:$BG$201,$L316)&gt;=1,_xlfn.XLOOKUP($C316,[1]CRITERIOS!$K$25:$K$42,[1]CRITERIOS!$M$25:$M$42),_xlfn.XLOOKUP($C316,[1]CRITERIOS!$K$25:$K$42,[1]CRITERIOS!$M$25:$M$42))),0),
                    (E316+V316-SUMIF('[1]DATOS PBI Artículos'!A:A,A316,'[1]DATOS PBI Artículos'!X:X)-_xlfn.XLOOKUP(A316,'[1]DATOS PBI Artículos'!A:A,'[1]DATOS PBI Artículos'!W:W))/IF($O316="",$N316,$O316))),0))))</f>
        <v>#N/A</v>
      </c>
      <c r="R316" s="33" t="e">
        <f>IF(U316&lt;&gt;"",U316,IF(F316="DV","MTO",IF(N316=0,"MTO",_xlfn.XLOOKUP(CONCATENATE(S316,T316),[1]CRITERIOS!$K$160:$K$168,[1]CRITERIOS!$N$160:$N$168))))</f>
        <v>#N/A</v>
      </c>
      <c r="S316" s="33" t="e">
        <f>IF(G316="DV","MTO",IF(N316=0,"MTO",IF(OR(AND(N316=0,O316=""),IF(O316="",G316/N316,G316/O316)&gt;[1]CRITERIOS!$G$163),"MTO",IF(IF(O316="",G316/N316,G316/O316)&lt;[1]CRITERIOS!$H$161,"MTS","MTOS"))))</f>
        <v>#N/A</v>
      </c>
      <c r="T316" s="33" t="e">
        <f>IF(F316="DV","MTO",IF(OR(AND($N316=0,O316=""),$F316/$J316&gt;[1]CRITERIOS!$G$170,$F316="DV"),"MTO",IF($F316/$J316&lt;[1]CRITERIOS!$H$168,"MTS","MTOS")))</f>
        <v>#N/A</v>
      </c>
      <c r="V316" s="34" t="e">
        <f t="shared" si="16"/>
        <v>#N/A</v>
      </c>
      <c r="X316" s="34" t="e">
        <f t="shared" si="14"/>
        <v>#N/A</v>
      </c>
      <c r="Y316" s="34" t="e">
        <f t="shared" si="15"/>
        <v>#N/A</v>
      </c>
      <c r="Z316" s="34" t="e">
        <f>IF($R316="MTO",
0,
($H316+$K316*($E316/[1]CRITERIOS!$M$16))/[1]CRITERIOS!$X$48)</f>
        <v>#N/A</v>
      </c>
      <c r="AA316" s="34" t="e">
        <f>ROUNDUP(($Y316/_xlfn.XLOOKUP($A316,'[1]DATOS PBI Artículos'!$A$4:$A$4,'[1]DATOS PBI Artículos'!$Z$4:$Z$4))/_xlfn.XLOOKUP(_xlfn.XLOOKUP($A316,'[1]DATOS PBI Artículos'!$A$4:$A$4,'[1]DATOS PBI Artículos'!$Y$4:$Y$4),[1]CRITERIOS!$P$79:$P$123,[1]CRITERIOS!$S$79:$S$123,),0)</f>
        <v>#N/A</v>
      </c>
      <c r="AB316" s="33" t="e">
        <f t="array" ref="AB316">IF((E316+V316-_xlfn.XLOOKUP(A316,'[1]DATOS PBI Artículos'!$A$4:$A$4,'[1]DATOS PBI Artículos'!$W$4:$W$4))/N316&gt;ROUNDUP([1]CRITERIOS!$M$16/(IF(COUNTIF([1]CRITERIOS!$BG$11:$BG$201,L316)&gt;=1,_xlfn.XLOOKUP(ARTÍCULOS!L316,[1]CRITERIOS!$BG$11:$BG$201,[1]CRITERIOS!$BJ$11:$BJ$201),_xlfn.XLOOKUP(ARTÍCULOS!C316,[1]CRITERIOS!$K$25:$K$42,[1]CRITERIOS!$M$25:$M$42))),0),ROUNDUP([1]CRITERIOS!$M$16/(IF(COUNTIF([1]CRITERIOS!$BG$11:$BG$201,L316)&gt;=1,_xlfn.XLOOKUP(ARTÍCULOS!L316,[1]CRITERIOS!$BG$11:$BG$201:#REF!,[1]CRITERIOS!$BJ$11:$BJ$201),_xlfn.XLOOKUP(ARTÍCULOS!C316,[1]CRITERIOS!$K$25:$K$42,[1]CRITERIOS!$M$25:$M$42))),0),(E316+V316-_xlfn.XLOOKUP(A316,'[1]DATOS PBI Artículos'!$A$4:$A$4,'[1]DATOS PBI Artículos'!$W$4:$W$4))/N316)</f>
        <v>#N/A</v>
      </c>
      <c r="AC316" s="33" t="e">
        <f>IF(N316=0,"",(ROUNDUP((N316/2)/(_xlfn.XLOOKUP(A316,'[1]DATOS PBI Artículos'!$A$4:$A$4,'[1]DATOS PBI Artículos'!$Z$4:$Z$4)*_xlfn.XLOOKUP(_xlfn.XLOOKUP(A316,'[1]DATOS PBI Artículos'!$A$4:$A$4,'[1]DATOS PBI Artículos'!$Y$4:$Y$4),[1]CRITERIOS!$P$79:$P$123,[1]CRITERIOS!$S$79:$S$123)),0)*[1]CRITERIOS!$M$80*([1]CRITERIOS!$M$110/[1]CRITERIOS!$M$86)+(_xlfn.XLOOKUP(A316,'[1]DATOS PBI Artículos'!$A$4:$A$4,'[1]DATOS PBI Artículos'!$AA$4:$AA$4)*([1]CRITERIOS!$M$95+[1]CRITERIOS!$M$98)))/N316)</f>
        <v>#N/A</v>
      </c>
      <c r="AD316" s="33" t="e">
        <f>IF(N316=0,"",(ROUNDUP((N316/2)/(_xlfn.XLOOKUP(A316,'[1]DATOS PBI Artículos'!$A$4:$A$4,'[1]DATOS PBI Artículos'!$Z$4:$Z$4)*_xlfn.XLOOKUP(_xlfn.XLOOKUP(A316,'[1]DATOS PBI Artículos'!$A$4:$A$4,'[1]DATOS PBI Artículos'!$Y$4:$Y$4),[1]CRITERIOS!$P$79:$P$123,[1]CRITERIOS!$S$79:$S$123)),0)*[1]CRITERIOS!$M$80*([1]CRITERIOS!$M$89*[1]CRITERIOS!$M$92)+((_xlfn.XLOOKUP(A316,'[1]DATOS PBI Artículos'!$A$4:$A$4,'[1]DATOS PBI Artículos'!$AA$4:$AA$4)/2)*([1]CRITERIOS!$M$95+[1]CRITERIOS!$M$98)))/N316)</f>
        <v>#N/A</v>
      </c>
      <c r="AE316" s="39" t="e">
        <f>IF($R316="MTO","",
IF($H316=0,ROUNDUP(((_xlfn.XLOOKUP($A316,'[1]DATOS PBI Artículos'!$A:$A,'[1]DATOS PBI Artículos'!$AL:$AL))/(_xlfn.XLOOKUP($AF$1,[1]CRITERIOS!$S$16:$S$39,[1]CRITERIOS!$Y$16:$Y$39))*$J316+$Z316)/$G316,0)*$G316,
((_xlfn.XLOOKUP($A316,'[1]DATOS PBI Artículos'!$A:$A,'[1]DATOS PBI Artículos'!$AL:$AL))/(_xlfn.XLOOKUP($AF$1,[1]CRITERIOS!$S$16:$S$39,[1]CRITERIOS!$Y$16:$Y$39))*$J316+$Z316)))</f>
        <v>#N/A</v>
      </c>
      <c r="AG316" s="39" t="e">
        <f>IF($R316="MTO","",
IF($H316=0,ROUNDUP(((_xlfn.XLOOKUP($A316,'[1]DATOS PBI Artículos'!$A:$A,'[1]DATOS PBI Artículos'!$AM:$AM))/(_xlfn.XLOOKUP($AH$1,[1]CRITERIOS!$S$16:$S$39,[1]CRITERIOS!$Y$16:$Y$39))*$J316+$Z316)/$G316,0)*$G316,
((_xlfn.XLOOKUP($A316,'[1]DATOS PBI Artículos'!$A:$A,'[1]DATOS PBI Artículos'!$AM:$AM))/(_xlfn.XLOOKUP($AH$1,[1]CRITERIOS!$S$16:$S$39,[1]CRITERIOS!$Y$16:$Y$39))*$J316+$Z316)))</f>
        <v>#N/A</v>
      </c>
      <c r="AI316" s="39" t="e">
        <f>IF($R316="MTO","",
IF($H316=0,ROUNDUP(((_xlfn.XLOOKUP($A316,'[1]DATOS PBI Artículos'!$A:$A,'[1]DATOS PBI Artículos'!$AN:$AN))/(_xlfn.XLOOKUP($AJ$1,[1]CRITERIOS!$S$16:$S$39,[1]CRITERIOS!$Y$16:$Y$39))*$J316+$Z316)/$G316,0)*$G316,
((_xlfn.XLOOKUP($A316,'[1]DATOS PBI Artículos'!$A:$A,'[1]DATOS PBI Artículos'!$AN:$AN))/(_xlfn.XLOOKUP($AJ$1,[1]CRITERIOS!$S$16:$S$39,[1]CRITERIOS!$Y$16:$Y$39))*$J316+$Z316)))</f>
        <v>#N/A</v>
      </c>
      <c r="AK316" s="39" t="e">
        <f>IF($R316="MTO","",
IF($H316=0,ROUNDUP(((_xlfn.XLOOKUP($A316,'[1]DATOS PBI Artículos'!$A:$A,'[1]DATOS PBI Artículos'!$AO:$AO))/(_xlfn.XLOOKUP($AL$1,[1]CRITERIOS!$S$16:$S$39,[1]CRITERIOS!$Y$16:$Y$39))*$J316+$Z316)/$G316,0)*$G316,
((_xlfn.XLOOKUP($A316,'[1]DATOS PBI Artículos'!$A:$A,'[1]DATOS PBI Artículos'!$AO:$AO))/(_xlfn.XLOOKUP($AL$1,[1]CRITERIOS!$S$16:$S$39,[1]CRITERIOS!$Y$16:$Y$39))*$J316+$Z316)))</f>
        <v>#N/A</v>
      </c>
    </row>
    <row r="317" spans="1:37" ht="25.8" hidden="1" x14ac:dyDescent="0.4">
      <c r="A317" s="41"/>
      <c r="B317" s="33">
        <f>_xlfn.XLOOKUP($A317,'[1]DATOS PBI Artículos'!A:A,'[1]DATOS PBI Artículos'!B:B)</f>
        <v>0</v>
      </c>
      <c r="C317" s="33">
        <f>_xlfn.XLOOKUP($A317,'[1]DATOS PBI Artículos'!A:A,'[1]DATOS PBI Artículos'!C:C)</f>
        <v>0</v>
      </c>
      <c r="D317" s="33">
        <f>_xlfn.XLOOKUP(A317,'[1]DATOS PBI Artículos'!A:A,'[1]DATOS PBI Artículos'!T:T)</f>
        <v>0</v>
      </c>
      <c r="E317" s="34">
        <f>IF(_xlfn.XLOOKUP($A317,'[1]DATOS PBI Artículos'!A:A,'[1]DATOS PBI Artículos'!AK:AK)="",_xlfn.XLOOKUP($A317,'[1]DATOS PBI Artículos'!A:A,'[1]DATOS PBI Artículos'!AJ:AJ),_xlfn.XLOOKUP($A317,'[1]DATOS PBI Artículos'!A:A,'[1]DATOS PBI Artículos'!AK:AK))</f>
        <v>0</v>
      </c>
      <c r="F317" s="35">
        <f>_xlfn.XLOOKUP($A317,'[1]DATOS PBI Artículos'!A:A,'[1]DATOS PBI Artículos'!AP:AP)</f>
        <v>0</v>
      </c>
      <c r="G317" s="34">
        <f>_xlfn.XLOOKUP($A317,'[1]DATOS PBI Artículos'!A:A,'[1]DATOS PBI Artículos'!AR:AR)</f>
        <v>0</v>
      </c>
      <c r="H317" s="34">
        <f>_xlfn.XLOOKUP($A317,'[1]DATOS PBI Artículos'!A:A,'[1]DATOS PBI Artículos'!AT:AT)</f>
        <v>0</v>
      </c>
      <c r="I317" s="34">
        <f>_xlfn.XLOOKUP($A317,'[1]DATOS PBI Artículos'!A:A,'[1]DATOS PBI Artículos'!AS:AS)</f>
        <v>0</v>
      </c>
      <c r="J317" s="35">
        <f>IF(COUNTIF([1]CRITERIOS!$F$179:$F$199,$A317)&gt;=1,
 IF(O317&lt;&gt;"",
    (O317/_xlfn.XLOOKUP(CONCATENATE(A317,L317),[1]MÁQUINAS!A:A,[1]MÁQUINAS!D:D))/24,
    (N317/_xlfn.XLOOKUP(CONCATENATE(A317,L317),[1]MÁQUINAS!A:A,[1]MÁQUINAS!D:D))/24),
  _xlfn.XLOOKUP($A317,'[1]DATOS PBI Artículos'!A:A,'[1]DATOS PBI Artículos'!AU:AU))</f>
        <v>0</v>
      </c>
      <c r="K317" s="36">
        <f>_xlfn.XLOOKUP($A317,'[1]DATOS PBI Artículos'!A:A,'[1]DATOS PBI Artículos'!AV:AV)</f>
        <v>0</v>
      </c>
      <c r="L317" s="33">
        <f>_xlfn.XLOOKUP(A317,[1]MÁQUINAS!B:B,[1]MÁQUINAS!C:C)</f>
        <v>0</v>
      </c>
      <c r="M317" s="34">
        <f t="array" ref="M317">_xlfn.XLOOKUP(A317,'[1]DATOS PBI Artículos'!A:A,'[1]DATOS PBI Artículos'!AX:$AX)</f>
        <v>0</v>
      </c>
      <c r="N317" s="37" t="e">
        <f>IF(I317="DV",
E317,
IF(COUNTIF([1]CRITERIOS!$I$179:$I$199,$A317)&gt;=1,
_xlfn.XLOOKUP($A317,[1]CRITERIOS!$I$179:$I$199,[1]CRITERIOS!$J$179:$J$199),
IF(COUNTIF([1]CRITERIOS!$L$179:$L$199,$A317)&gt;=1,
_xlfn.CEILING.MATH(IF($M317&gt;$E317,
$E317,
IF($M317&lt;$E317/ROUNDDOWN([1]CRITERIOS!$M$16/_xlfn.XLOOKUP($C317,[1]CRITERIOS!$K$25:$K$42,[1]CRITERIOS!$M$25:$M$42),
1),
E317/ROUNDDOWN([1]CRITERIOS!$M$16/_xlfn.XLOOKUP($C317,[1]CRITERIOS!$K$25:$K$42,[1]CRITERIOS!$M$25:$M$42),
1),
$M317)),
_xlfn.XLOOKUP($A317,[1]CRITERIOS!$L$179:$L$200,[1]CRITERIOS!$M$179:$M$200)),
_xlfn.CEILING.MATH(IF($M317&gt;$E317,
$E317,
IF($M317&lt;$E317/ROUNDDOWN([1]CRITERIOS!$M$16/_xlfn.XLOOKUP($C317,[1]CRITERIOS!$K$25:$K$42,[1]CRITERIOS!$M$25:$M$42),
1),
E317/ROUNDDOWN([1]CRITERIOS!$M$16/_xlfn.XLOOKUP($C317,[1]CRITERIOS!$K$25:$K$42,[1]CRITERIOS!$M$25:$M$42),
1),
$M317)),_xlfn.XLOOKUP(A317,'[1]DATOS PBI Artículos'!A:A,'[1]DATOS PBI Artículos'!Z:Z
)))))</f>
        <v>#N/A</v>
      </c>
      <c r="Q317" s="38" t="e">
        <f>IF(AND(O317="",N317=0),
0,
   IF(COUNTIF([1]CRITERIOS!$F$179:$F$199,$A317)&gt;=1,
   1,
   IF(R317="MTO",
      $D317,
      ROUNDUP(
                    IF(($E317-SUMIF('[1]DATOS PBI Artículos'!A:A,A317,'[1]DATOS PBI Artículos'!X:X)+($V317-_xlfn.XLOOKUP(A317,'[1]DATOS PBI Artículos'!A:A,'[1]DATOS PBI Artículos'!W:W)))&lt;0,
                    0,
                    IF(($E317-SUMIF('[1]DATOS PBI Artículos'!A:A,A317,'[1]DATOS PBI Artículos'!X:X)+$V317-_xlfn.XLOOKUP($A317,'[1]DATOS PBI Artículos'!A:A,'[1]DATOS PBI Artículos'!W:W))/IF($O317="",$N317,$O317)&gt;ROUNDUP([1]CRITERIOS!$M$16/(IF(COUNTIF([1]CRITERIOS!$BG$11:$BG$201,L317)&gt;=1,_xlfn.XLOOKUP($C317,[1]CRITERIOS!$K$25:$K$42,[1]CRITERIOS!$M$25:$M$42),_xlfn.XLOOKUP($C317,[1]CRITERIOS!$K$25:$K$42,[1]CRITERIOS!$M$25:$M$42))),0),
                    ROUNDUP([1]CRITERIOS!$M$16/(IF(COUNTIF([1]CRITERIOS!$BG$11:$BG$201,$L317)&gt;=1,_xlfn.XLOOKUP($C317,[1]CRITERIOS!$K$25:$K$42,[1]CRITERIOS!$M$25:$M$42),_xlfn.XLOOKUP($C317,[1]CRITERIOS!$K$25:$K$42,[1]CRITERIOS!$M$25:$M$42))),0),
                    (E317+V317-SUMIF('[1]DATOS PBI Artículos'!A:A,A317,'[1]DATOS PBI Artículos'!X:X)-_xlfn.XLOOKUP(A317,'[1]DATOS PBI Artículos'!A:A,'[1]DATOS PBI Artículos'!W:W))/IF($O317="",$N317,$O317))),0))))</f>
        <v>#N/A</v>
      </c>
      <c r="R317" s="33" t="e">
        <f>IF(U317&lt;&gt;"",U317,IF(F317="DV","MTO",IF(N317=0,"MTO",_xlfn.XLOOKUP(CONCATENATE(S317,T317),[1]CRITERIOS!$K$160:$K$168,[1]CRITERIOS!$N$160:$N$168))))</f>
        <v>#N/A</v>
      </c>
      <c r="S317" s="33" t="e">
        <f>IF(G317="DV","MTO",IF(N317=0,"MTO",IF(OR(AND(N317=0,O317=""),IF(O317="",G317/N317,G317/O317)&gt;[1]CRITERIOS!$G$163),"MTO",IF(IF(O317="",G317/N317,G317/O317)&lt;[1]CRITERIOS!$H$161,"MTS","MTOS"))))</f>
        <v>#N/A</v>
      </c>
      <c r="T317" s="33" t="e">
        <f>IF(F317="DV","MTO",IF(OR(AND($N317=0,O317=""),$F317/$J317&gt;[1]CRITERIOS!$G$170,$F317="DV"),"MTO",IF($F317/$J317&lt;[1]CRITERIOS!$H$168,"MTS","MTOS")))</f>
        <v>#N/A</v>
      </c>
      <c r="V317" s="34" t="e">
        <f t="shared" si="16"/>
        <v>#N/A</v>
      </c>
      <c r="X317" s="34" t="e">
        <f t="shared" si="14"/>
        <v>#N/A</v>
      </c>
      <c r="Y317" s="34" t="e">
        <f t="shared" si="15"/>
        <v>#N/A</v>
      </c>
      <c r="Z317" s="34" t="e">
        <f>IF($R317="MTO",
0,
($H317+$K317*($E317/[1]CRITERIOS!$M$16))/[1]CRITERIOS!$X$48)</f>
        <v>#N/A</v>
      </c>
      <c r="AA317" s="34" t="e">
        <f>ROUNDUP(($Y317/_xlfn.XLOOKUP($A317,'[1]DATOS PBI Artículos'!$A$4:$A$4,'[1]DATOS PBI Artículos'!$Z$4:$Z$4))/_xlfn.XLOOKUP(_xlfn.XLOOKUP($A317,'[1]DATOS PBI Artículos'!$A$4:$A$4,'[1]DATOS PBI Artículos'!$Y$4:$Y$4),[1]CRITERIOS!$P$79:$P$123,[1]CRITERIOS!$S$79:$S$123,),0)</f>
        <v>#N/A</v>
      </c>
      <c r="AB317" s="33" t="e">
        <f t="array" ref="AB317">IF((E317+V317-_xlfn.XLOOKUP(A317,'[1]DATOS PBI Artículos'!$A$4:$A$4,'[1]DATOS PBI Artículos'!$W$4:$W$4))/N317&gt;ROUNDUP([1]CRITERIOS!$M$16/(IF(COUNTIF([1]CRITERIOS!$BG$11:$BG$201,L317)&gt;=1,_xlfn.XLOOKUP(ARTÍCULOS!L317,[1]CRITERIOS!$BG$11:$BG$201,[1]CRITERIOS!$BJ$11:$BJ$201),_xlfn.XLOOKUP(ARTÍCULOS!C317,[1]CRITERIOS!$K$25:$K$42,[1]CRITERIOS!$M$25:$M$42))),0),ROUNDUP([1]CRITERIOS!$M$16/(IF(COUNTIF([1]CRITERIOS!$BG$11:$BG$201,L317)&gt;=1,_xlfn.XLOOKUP(ARTÍCULOS!L317,[1]CRITERIOS!$BG$11:$BG$201:#REF!,[1]CRITERIOS!$BJ$11:$BJ$201),_xlfn.XLOOKUP(ARTÍCULOS!C317,[1]CRITERIOS!$K$25:$K$42,[1]CRITERIOS!$M$25:$M$42))),0),(E317+V317-_xlfn.XLOOKUP(A317,'[1]DATOS PBI Artículos'!$A$4:$A$4,'[1]DATOS PBI Artículos'!$W$4:$W$4))/N317)</f>
        <v>#N/A</v>
      </c>
      <c r="AC317" s="33" t="e">
        <f>IF(N317=0,"",(ROUNDUP((N317/2)/(_xlfn.XLOOKUP(A317,'[1]DATOS PBI Artículos'!$A$4:$A$4,'[1]DATOS PBI Artículos'!$Z$4:$Z$4)*_xlfn.XLOOKUP(_xlfn.XLOOKUP(A317,'[1]DATOS PBI Artículos'!$A$4:$A$4,'[1]DATOS PBI Artículos'!$Y$4:$Y$4),[1]CRITERIOS!$P$79:$P$123,[1]CRITERIOS!$S$79:$S$123)),0)*[1]CRITERIOS!$M$80*([1]CRITERIOS!$M$110/[1]CRITERIOS!$M$86)+(_xlfn.XLOOKUP(A317,'[1]DATOS PBI Artículos'!$A$4:$A$4,'[1]DATOS PBI Artículos'!$AA$4:$AA$4)*([1]CRITERIOS!$M$95+[1]CRITERIOS!$M$98)))/N317)</f>
        <v>#N/A</v>
      </c>
      <c r="AD317" s="33" t="e">
        <f>IF(N317=0,"",(ROUNDUP((N317/2)/(_xlfn.XLOOKUP(A317,'[1]DATOS PBI Artículos'!$A$4:$A$4,'[1]DATOS PBI Artículos'!$Z$4:$Z$4)*_xlfn.XLOOKUP(_xlfn.XLOOKUP(A317,'[1]DATOS PBI Artículos'!$A$4:$A$4,'[1]DATOS PBI Artículos'!$Y$4:$Y$4),[1]CRITERIOS!$P$79:$P$123,[1]CRITERIOS!$S$79:$S$123)),0)*[1]CRITERIOS!$M$80*([1]CRITERIOS!$M$89*[1]CRITERIOS!$M$92)+((_xlfn.XLOOKUP(A317,'[1]DATOS PBI Artículos'!$A$4:$A$4,'[1]DATOS PBI Artículos'!$AA$4:$AA$4)/2)*([1]CRITERIOS!$M$95+[1]CRITERIOS!$M$98)))/N317)</f>
        <v>#N/A</v>
      </c>
      <c r="AE317" s="39" t="e">
        <f>IF($R317="MTO","",
IF($H317=0,ROUNDUP(((_xlfn.XLOOKUP($A317,'[1]DATOS PBI Artículos'!$A:$A,'[1]DATOS PBI Artículos'!$AL:$AL))/(_xlfn.XLOOKUP($AF$1,[1]CRITERIOS!$S$16:$S$39,[1]CRITERIOS!$Y$16:$Y$39))*$J317+$Z317)/$G317,0)*$G317,
((_xlfn.XLOOKUP($A317,'[1]DATOS PBI Artículos'!$A:$A,'[1]DATOS PBI Artículos'!$AL:$AL))/(_xlfn.XLOOKUP($AF$1,[1]CRITERIOS!$S$16:$S$39,[1]CRITERIOS!$Y$16:$Y$39))*$J317+$Z317)))</f>
        <v>#N/A</v>
      </c>
      <c r="AG317" s="39" t="e">
        <f>IF($R317="MTO","",
IF($H317=0,ROUNDUP(((_xlfn.XLOOKUP($A317,'[1]DATOS PBI Artículos'!$A:$A,'[1]DATOS PBI Artículos'!$AM:$AM))/(_xlfn.XLOOKUP($AH$1,[1]CRITERIOS!$S$16:$S$39,[1]CRITERIOS!$Y$16:$Y$39))*$J317+$Z317)/$G317,0)*$G317,
((_xlfn.XLOOKUP($A317,'[1]DATOS PBI Artículos'!$A:$A,'[1]DATOS PBI Artículos'!$AM:$AM))/(_xlfn.XLOOKUP($AH$1,[1]CRITERIOS!$S$16:$S$39,[1]CRITERIOS!$Y$16:$Y$39))*$J317+$Z317)))</f>
        <v>#N/A</v>
      </c>
      <c r="AI317" s="39" t="e">
        <f>IF($R317="MTO","",
IF($H317=0,ROUNDUP(((_xlfn.XLOOKUP($A317,'[1]DATOS PBI Artículos'!$A:$A,'[1]DATOS PBI Artículos'!$AN:$AN))/(_xlfn.XLOOKUP($AJ$1,[1]CRITERIOS!$S$16:$S$39,[1]CRITERIOS!$Y$16:$Y$39))*$J317+$Z317)/$G317,0)*$G317,
((_xlfn.XLOOKUP($A317,'[1]DATOS PBI Artículos'!$A:$A,'[1]DATOS PBI Artículos'!$AN:$AN))/(_xlfn.XLOOKUP($AJ$1,[1]CRITERIOS!$S$16:$S$39,[1]CRITERIOS!$Y$16:$Y$39))*$J317+$Z317)))</f>
        <v>#N/A</v>
      </c>
      <c r="AK317" s="39" t="e">
        <f>IF($R317="MTO","",
IF($H317=0,ROUNDUP(((_xlfn.XLOOKUP($A317,'[1]DATOS PBI Artículos'!$A:$A,'[1]DATOS PBI Artículos'!$AO:$AO))/(_xlfn.XLOOKUP($AL$1,[1]CRITERIOS!$S$16:$S$39,[1]CRITERIOS!$Y$16:$Y$39))*$J317+$Z317)/$G317,0)*$G317,
((_xlfn.XLOOKUP($A317,'[1]DATOS PBI Artículos'!$A:$A,'[1]DATOS PBI Artículos'!$AO:$AO))/(_xlfn.XLOOKUP($AL$1,[1]CRITERIOS!$S$16:$S$39,[1]CRITERIOS!$Y$16:$Y$39))*$J317+$Z317)))</f>
        <v>#N/A</v>
      </c>
    </row>
    <row r="318" spans="1:37" ht="25.8" hidden="1" x14ac:dyDescent="0.4">
      <c r="A318" s="41"/>
      <c r="B318" s="33">
        <f>_xlfn.XLOOKUP($A318,'[1]DATOS PBI Artículos'!A:A,'[1]DATOS PBI Artículos'!B:B)</f>
        <v>0</v>
      </c>
      <c r="C318" s="33">
        <f>_xlfn.XLOOKUP($A318,'[1]DATOS PBI Artículos'!A:A,'[1]DATOS PBI Artículos'!C:C)</f>
        <v>0</v>
      </c>
      <c r="D318" s="33">
        <f>_xlfn.XLOOKUP(A318,'[1]DATOS PBI Artículos'!A:A,'[1]DATOS PBI Artículos'!T:T)</f>
        <v>0</v>
      </c>
      <c r="E318" s="34">
        <f>IF(_xlfn.XLOOKUP($A318,'[1]DATOS PBI Artículos'!A:A,'[1]DATOS PBI Artículos'!AK:AK)="",_xlfn.XLOOKUP($A318,'[1]DATOS PBI Artículos'!A:A,'[1]DATOS PBI Artículos'!AJ:AJ),_xlfn.XLOOKUP($A318,'[1]DATOS PBI Artículos'!A:A,'[1]DATOS PBI Artículos'!AK:AK))</f>
        <v>0</v>
      </c>
      <c r="F318" s="35">
        <f>_xlfn.XLOOKUP($A318,'[1]DATOS PBI Artículos'!A:A,'[1]DATOS PBI Artículos'!AP:AP)</f>
        <v>0</v>
      </c>
      <c r="G318" s="34">
        <f>_xlfn.XLOOKUP($A318,'[1]DATOS PBI Artículos'!A:A,'[1]DATOS PBI Artículos'!AR:AR)</f>
        <v>0</v>
      </c>
      <c r="H318" s="34">
        <f>_xlfn.XLOOKUP($A318,'[1]DATOS PBI Artículos'!A:A,'[1]DATOS PBI Artículos'!AT:AT)</f>
        <v>0</v>
      </c>
      <c r="I318" s="34">
        <f>_xlfn.XLOOKUP($A318,'[1]DATOS PBI Artículos'!A:A,'[1]DATOS PBI Artículos'!AS:AS)</f>
        <v>0</v>
      </c>
      <c r="J318" s="35">
        <f>IF(COUNTIF([1]CRITERIOS!$F$179:$F$199,$A318)&gt;=1,
 IF(O318&lt;&gt;"",
    (O318/_xlfn.XLOOKUP(CONCATENATE(A318,L318),[1]MÁQUINAS!A:A,[1]MÁQUINAS!D:D))/24,
    (N318/_xlfn.XLOOKUP(CONCATENATE(A318,L318),[1]MÁQUINAS!A:A,[1]MÁQUINAS!D:D))/24),
  _xlfn.XLOOKUP($A318,'[1]DATOS PBI Artículos'!A:A,'[1]DATOS PBI Artículos'!AU:AU))</f>
        <v>0</v>
      </c>
      <c r="K318" s="36">
        <f>_xlfn.XLOOKUP($A318,'[1]DATOS PBI Artículos'!A:A,'[1]DATOS PBI Artículos'!AV:AV)</f>
        <v>0</v>
      </c>
      <c r="L318" s="33">
        <f>_xlfn.XLOOKUP(A318,[1]MÁQUINAS!B:B,[1]MÁQUINAS!C:C)</f>
        <v>0</v>
      </c>
      <c r="M318" s="34">
        <f t="array" ref="M318">_xlfn.XLOOKUP(A318,'[1]DATOS PBI Artículos'!A:A,'[1]DATOS PBI Artículos'!AX:$AX)</f>
        <v>0</v>
      </c>
      <c r="N318" s="37" t="e">
        <f>IF(I318="DV",
E318,
IF(COUNTIF([1]CRITERIOS!$I$179:$I$199,$A318)&gt;=1,
_xlfn.XLOOKUP($A318,[1]CRITERIOS!$I$179:$I$199,[1]CRITERIOS!$J$179:$J$199),
IF(COUNTIF([1]CRITERIOS!$L$179:$L$199,$A318)&gt;=1,
_xlfn.CEILING.MATH(IF($M318&gt;$E318,
$E318,
IF($M318&lt;$E318/ROUNDDOWN([1]CRITERIOS!$M$16/_xlfn.XLOOKUP($C318,[1]CRITERIOS!$K$25:$K$42,[1]CRITERIOS!$M$25:$M$42),
1),
E318/ROUNDDOWN([1]CRITERIOS!$M$16/_xlfn.XLOOKUP($C318,[1]CRITERIOS!$K$25:$K$42,[1]CRITERIOS!$M$25:$M$42),
1),
$M318)),
_xlfn.XLOOKUP($A318,[1]CRITERIOS!$L$179:$L$200,[1]CRITERIOS!$M$179:$M$200)),
_xlfn.CEILING.MATH(IF($M318&gt;$E318,
$E318,
IF($M318&lt;$E318/ROUNDDOWN([1]CRITERIOS!$M$16/_xlfn.XLOOKUP($C318,[1]CRITERIOS!$K$25:$K$42,[1]CRITERIOS!$M$25:$M$42),
1),
E318/ROUNDDOWN([1]CRITERIOS!$M$16/_xlfn.XLOOKUP($C318,[1]CRITERIOS!$K$25:$K$42,[1]CRITERIOS!$M$25:$M$42),
1),
$M318)),_xlfn.XLOOKUP(A318,'[1]DATOS PBI Artículos'!A:A,'[1]DATOS PBI Artículos'!Z:Z
)))))</f>
        <v>#N/A</v>
      </c>
      <c r="Q318" s="38" t="e">
        <f>IF(AND(O318="",N318=0),
0,
   IF(COUNTIF([1]CRITERIOS!$F$179:$F$199,$A318)&gt;=1,
   1,
   IF(R318="MTO",
      $D318,
      ROUNDUP(
                    IF(($E318-SUMIF('[1]DATOS PBI Artículos'!A:A,A318,'[1]DATOS PBI Artículos'!X:X)+($V318-_xlfn.XLOOKUP(A318,'[1]DATOS PBI Artículos'!A:A,'[1]DATOS PBI Artículos'!W:W)))&lt;0,
                    0,
                    IF(($E318-SUMIF('[1]DATOS PBI Artículos'!A:A,A318,'[1]DATOS PBI Artículos'!X:X)+$V318-_xlfn.XLOOKUP($A318,'[1]DATOS PBI Artículos'!A:A,'[1]DATOS PBI Artículos'!W:W))/IF($O318="",$N318,$O318)&gt;ROUNDUP([1]CRITERIOS!$M$16/(IF(COUNTIF([1]CRITERIOS!$BG$11:$BG$201,L318)&gt;=1,_xlfn.XLOOKUP($C318,[1]CRITERIOS!$K$25:$K$42,[1]CRITERIOS!$M$25:$M$42),_xlfn.XLOOKUP($C318,[1]CRITERIOS!$K$25:$K$42,[1]CRITERIOS!$M$25:$M$42))),0),
                    ROUNDUP([1]CRITERIOS!$M$16/(IF(COUNTIF([1]CRITERIOS!$BG$11:$BG$201,$L318)&gt;=1,_xlfn.XLOOKUP($C318,[1]CRITERIOS!$K$25:$K$42,[1]CRITERIOS!$M$25:$M$42),_xlfn.XLOOKUP($C318,[1]CRITERIOS!$K$25:$K$42,[1]CRITERIOS!$M$25:$M$42))),0),
                    (E318+V318-SUMIF('[1]DATOS PBI Artículos'!A:A,A318,'[1]DATOS PBI Artículos'!X:X)-_xlfn.XLOOKUP(A318,'[1]DATOS PBI Artículos'!A:A,'[1]DATOS PBI Artículos'!W:W))/IF($O318="",$N318,$O318))),0))))</f>
        <v>#N/A</v>
      </c>
      <c r="R318" s="33" t="e">
        <f>IF(U318&lt;&gt;"",U318,IF(F318="DV","MTO",IF(N318=0,"MTO",_xlfn.XLOOKUP(CONCATENATE(S318,T318),[1]CRITERIOS!$K$160:$K$168,[1]CRITERIOS!$N$160:$N$168))))</f>
        <v>#N/A</v>
      </c>
      <c r="S318" s="33" t="e">
        <f>IF(G318="DV","MTO",IF(N318=0,"MTO",IF(OR(AND(N318=0,O318=""),IF(O318="",G318/N318,G318/O318)&gt;[1]CRITERIOS!$G$163),"MTO",IF(IF(O318="",G318/N318,G318/O318)&lt;[1]CRITERIOS!$H$161,"MTS","MTOS"))))</f>
        <v>#N/A</v>
      </c>
      <c r="T318" s="33" t="e">
        <f>IF(F318="DV","MTO",IF(OR(AND($N318=0,O318=""),$F318/$J318&gt;[1]CRITERIOS!$G$170,$F318="DV"),"MTO",IF($F318/$J318&lt;[1]CRITERIOS!$H$168,"MTS","MTOS")))</f>
        <v>#N/A</v>
      </c>
      <c r="V318" s="34" t="e">
        <f t="shared" si="16"/>
        <v>#N/A</v>
      </c>
      <c r="X318" s="34" t="e">
        <f t="shared" si="14"/>
        <v>#N/A</v>
      </c>
      <c r="Y318" s="34" t="e">
        <f t="shared" si="15"/>
        <v>#N/A</v>
      </c>
      <c r="Z318" s="34" t="e">
        <f>IF($R318="MTO",
0,
($H318+$K318*($E318/[1]CRITERIOS!$M$16))/[1]CRITERIOS!$X$48)</f>
        <v>#N/A</v>
      </c>
      <c r="AA318" s="34" t="e">
        <f>ROUNDUP(($Y318/_xlfn.XLOOKUP($A318,'[1]DATOS PBI Artículos'!$A$4:$A$4,'[1]DATOS PBI Artículos'!$Z$4:$Z$4))/_xlfn.XLOOKUP(_xlfn.XLOOKUP($A318,'[1]DATOS PBI Artículos'!$A$4:$A$4,'[1]DATOS PBI Artículos'!$Y$4:$Y$4),[1]CRITERIOS!$P$79:$P$123,[1]CRITERIOS!$S$79:$S$123,),0)</f>
        <v>#N/A</v>
      </c>
      <c r="AB318" s="33" t="e">
        <f t="array" ref="AB318">IF((E318+V318-_xlfn.XLOOKUP(A318,'[1]DATOS PBI Artículos'!$A$4:$A$4,'[1]DATOS PBI Artículos'!$W$4:$W$4))/N318&gt;ROUNDUP([1]CRITERIOS!$M$16/(IF(COUNTIF([1]CRITERIOS!$BG$11:$BG$201,L318)&gt;=1,_xlfn.XLOOKUP(ARTÍCULOS!L318,[1]CRITERIOS!$BG$11:$BG$201,[1]CRITERIOS!$BJ$11:$BJ$201),_xlfn.XLOOKUP(ARTÍCULOS!C318,[1]CRITERIOS!$K$25:$K$42,[1]CRITERIOS!$M$25:$M$42))),0),ROUNDUP([1]CRITERIOS!$M$16/(IF(COUNTIF([1]CRITERIOS!$BG$11:$BG$201,L318)&gt;=1,_xlfn.XLOOKUP(ARTÍCULOS!L318,[1]CRITERIOS!$BG$11:$BG$201:#REF!,[1]CRITERIOS!$BJ$11:$BJ$201),_xlfn.XLOOKUP(ARTÍCULOS!C318,[1]CRITERIOS!$K$25:$K$42,[1]CRITERIOS!$M$25:$M$42))),0),(E318+V318-_xlfn.XLOOKUP(A318,'[1]DATOS PBI Artículos'!$A$4:$A$4,'[1]DATOS PBI Artículos'!$W$4:$W$4))/N318)</f>
        <v>#N/A</v>
      </c>
      <c r="AC318" s="33" t="e">
        <f>IF(N318=0,"",(ROUNDUP((N318/2)/(_xlfn.XLOOKUP(A318,'[1]DATOS PBI Artículos'!$A$4:$A$4,'[1]DATOS PBI Artículos'!$Z$4:$Z$4)*_xlfn.XLOOKUP(_xlfn.XLOOKUP(A318,'[1]DATOS PBI Artículos'!$A$4:$A$4,'[1]DATOS PBI Artículos'!$Y$4:$Y$4),[1]CRITERIOS!$P$79:$P$123,[1]CRITERIOS!$S$79:$S$123)),0)*[1]CRITERIOS!$M$80*([1]CRITERIOS!$M$110/[1]CRITERIOS!$M$86)+(_xlfn.XLOOKUP(A318,'[1]DATOS PBI Artículos'!$A$4:$A$4,'[1]DATOS PBI Artículos'!$AA$4:$AA$4)*([1]CRITERIOS!$M$95+[1]CRITERIOS!$M$98)))/N318)</f>
        <v>#N/A</v>
      </c>
      <c r="AD318" s="33" t="e">
        <f>IF(N318=0,"",(ROUNDUP((N318/2)/(_xlfn.XLOOKUP(A318,'[1]DATOS PBI Artículos'!$A$4:$A$4,'[1]DATOS PBI Artículos'!$Z$4:$Z$4)*_xlfn.XLOOKUP(_xlfn.XLOOKUP(A318,'[1]DATOS PBI Artículos'!$A$4:$A$4,'[1]DATOS PBI Artículos'!$Y$4:$Y$4),[1]CRITERIOS!$P$79:$P$123,[1]CRITERIOS!$S$79:$S$123)),0)*[1]CRITERIOS!$M$80*([1]CRITERIOS!$M$89*[1]CRITERIOS!$M$92)+((_xlfn.XLOOKUP(A318,'[1]DATOS PBI Artículos'!$A$4:$A$4,'[1]DATOS PBI Artículos'!$AA$4:$AA$4)/2)*([1]CRITERIOS!$M$95+[1]CRITERIOS!$M$98)))/N318)</f>
        <v>#N/A</v>
      </c>
      <c r="AE318" s="39" t="e">
        <f>IF($R318="MTO","",
IF($H318=0,ROUNDUP(((_xlfn.XLOOKUP($A318,'[1]DATOS PBI Artículos'!$A:$A,'[1]DATOS PBI Artículos'!$AL:$AL))/(_xlfn.XLOOKUP($AF$1,[1]CRITERIOS!$S$16:$S$39,[1]CRITERIOS!$Y$16:$Y$39))*$J318+$Z318)/$G318,0)*$G318,
((_xlfn.XLOOKUP($A318,'[1]DATOS PBI Artículos'!$A:$A,'[1]DATOS PBI Artículos'!$AL:$AL))/(_xlfn.XLOOKUP($AF$1,[1]CRITERIOS!$S$16:$S$39,[1]CRITERIOS!$Y$16:$Y$39))*$J318+$Z318)))</f>
        <v>#N/A</v>
      </c>
      <c r="AG318" s="39" t="e">
        <f>IF($R318="MTO","",
IF($H318=0,ROUNDUP(((_xlfn.XLOOKUP($A318,'[1]DATOS PBI Artículos'!$A:$A,'[1]DATOS PBI Artículos'!$AM:$AM))/(_xlfn.XLOOKUP($AH$1,[1]CRITERIOS!$S$16:$S$39,[1]CRITERIOS!$Y$16:$Y$39))*$J318+$Z318)/$G318,0)*$G318,
((_xlfn.XLOOKUP($A318,'[1]DATOS PBI Artículos'!$A:$A,'[1]DATOS PBI Artículos'!$AM:$AM))/(_xlfn.XLOOKUP($AH$1,[1]CRITERIOS!$S$16:$S$39,[1]CRITERIOS!$Y$16:$Y$39))*$J318+$Z318)))</f>
        <v>#N/A</v>
      </c>
      <c r="AI318" s="39" t="e">
        <f>IF($R318="MTO","",
IF($H318=0,ROUNDUP(((_xlfn.XLOOKUP($A318,'[1]DATOS PBI Artículos'!$A:$A,'[1]DATOS PBI Artículos'!$AN:$AN))/(_xlfn.XLOOKUP($AJ$1,[1]CRITERIOS!$S$16:$S$39,[1]CRITERIOS!$Y$16:$Y$39))*$J318+$Z318)/$G318,0)*$G318,
((_xlfn.XLOOKUP($A318,'[1]DATOS PBI Artículos'!$A:$A,'[1]DATOS PBI Artículos'!$AN:$AN))/(_xlfn.XLOOKUP($AJ$1,[1]CRITERIOS!$S$16:$S$39,[1]CRITERIOS!$Y$16:$Y$39))*$J318+$Z318)))</f>
        <v>#N/A</v>
      </c>
      <c r="AK318" s="39" t="e">
        <f>IF($R318="MTO","",
IF($H318=0,ROUNDUP(((_xlfn.XLOOKUP($A318,'[1]DATOS PBI Artículos'!$A:$A,'[1]DATOS PBI Artículos'!$AO:$AO))/(_xlfn.XLOOKUP($AL$1,[1]CRITERIOS!$S$16:$S$39,[1]CRITERIOS!$Y$16:$Y$39))*$J318+$Z318)/$G318,0)*$G318,
((_xlfn.XLOOKUP($A318,'[1]DATOS PBI Artículos'!$A:$A,'[1]DATOS PBI Artículos'!$AO:$AO))/(_xlfn.XLOOKUP($AL$1,[1]CRITERIOS!$S$16:$S$39,[1]CRITERIOS!$Y$16:$Y$39))*$J318+$Z318)))</f>
        <v>#N/A</v>
      </c>
    </row>
    <row r="319" spans="1:37" ht="25.8" hidden="1" x14ac:dyDescent="0.4">
      <c r="A319" s="41"/>
      <c r="B319" s="33">
        <f>_xlfn.XLOOKUP($A319,'[1]DATOS PBI Artículos'!A:A,'[1]DATOS PBI Artículos'!B:B)</f>
        <v>0</v>
      </c>
      <c r="C319" s="33">
        <f>_xlfn.XLOOKUP($A319,'[1]DATOS PBI Artículos'!A:A,'[1]DATOS PBI Artículos'!C:C)</f>
        <v>0</v>
      </c>
      <c r="D319" s="33">
        <f>_xlfn.XLOOKUP(A319,'[1]DATOS PBI Artículos'!A:A,'[1]DATOS PBI Artículos'!T:T)</f>
        <v>0</v>
      </c>
      <c r="E319" s="34">
        <f>IF(_xlfn.XLOOKUP($A319,'[1]DATOS PBI Artículos'!A:A,'[1]DATOS PBI Artículos'!AK:AK)="",_xlfn.XLOOKUP($A319,'[1]DATOS PBI Artículos'!A:A,'[1]DATOS PBI Artículos'!AJ:AJ),_xlfn.XLOOKUP($A319,'[1]DATOS PBI Artículos'!A:A,'[1]DATOS PBI Artículos'!AK:AK))</f>
        <v>0</v>
      </c>
      <c r="F319" s="35">
        <f>_xlfn.XLOOKUP($A319,'[1]DATOS PBI Artículos'!A:A,'[1]DATOS PBI Artículos'!AP:AP)</f>
        <v>0</v>
      </c>
      <c r="G319" s="34">
        <f>_xlfn.XLOOKUP($A319,'[1]DATOS PBI Artículos'!A:A,'[1]DATOS PBI Artículos'!AR:AR)</f>
        <v>0</v>
      </c>
      <c r="H319" s="34">
        <f>_xlfn.XLOOKUP($A319,'[1]DATOS PBI Artículos'!A:A,'[1]DATOS PBI Artículos'!AT:AT)</f>
        <v>0</v>
      </c>
      <c r="I319" s="34">
        <f>_xlfn.XLOOKUP($A319,'[1]DATOS PBI Artículos'!A:A,'[1]DATOS PBI Artículos'!AS:AS)</f>
        <v>0</v>
      </c>
      <c r="J319" s="35">
        <f>IF(COUNTIF([1]CRITERIOS!$F$179:$F$199,$A319)&gt;=1,
 IF(O319&lt;&gt;"",
    (O319/_xlfn.XLOOKUP(CONCATENATE(A319,L319),[1]MÁQUINAS!A:A,[1]MÁQUINAS!D:D))/24,
    (N319/_xlfn.XLOOKUP(CONCATENATE(A319,L319),[1]MÁQUINAS!A:A,[1]MÁQUINAS!D:D))/24),
  _xlfn.XLOOKUP($A319,'[1]DATOS PBI Artículos'!A:A,'[1]DATOS PBI Artículos'!AU:AU))</f>
        <v>0</v>
      </c>
      <c r="K319" s="36">
        <f>_xlfn.XLOOKUP($A319,'[1]DATOS PBI Artículos'!A:A,'[1]DATOS PBI Artículos'!AV:AV)</f>
        <v>0</v>
      </c>
      <c r="L319" s="33">
        <f>_xlfn.XLOOKUP(A319,[1]MÁQUINAS!B:B,[1]MÁQUINAS!C:C)</f>
        <v>0</v>
      </c>
      <c r="M319" s="34">
        <f t="array" ref="M319">_xlfn.XLOOKUP(A319,'[1]DATOS PBI Artículos'!A:A,'[1]DATOS PBI Artículos'!AX:$AX)</f>
        <v>0</v>
      </c>
      <c r="N319" s="37" t="e">
        <f>IF(I319="DV",
E319,
IF(COUNTIF([1]CRITERIOS!$I$179:$I$199,$A319)&gt;=1,
_xlfn.XLOOKUP($A319,[1]CRITERIOS!$I$179:$I$199,[1]CRITERIOS!$J$179:$J$199),
IF(COUNTIF([1]CRITERIOS!$L$179:$L$199,$A319)&gt;=1,
_xlfn.CEILING.MATH(IF($M319&gt;$E319,
$E319,
IF($M319&lt;$E319/ROUNDDOWN([1]CRITERIOS!$M$16/_xlfn.XLOOKUP($C319,[1]CRITERIOS!$K$25:$K$42,[1]CRITERIOS!$M$25:$M$42),
1),
E319/ROUNDDOWN([1]CRITERIOS!$M$16/_xlfn.XLOOKUP($C319,[1]CRITERIOS!$K$25:$K$42,[1]CRITERIOS!$M$25:$M$42),
1),
$M319)),
_xlfn.XLOOKUP($A319,[1]CRITERIOS!$L$179:$L$200,[1]CRITERIOS!$M$179:$M$200)),
_xlfn.CEILING.MATH(IF($M319&gt;$E319,
$E319,
IF($M319&lt;$E319/ROUNDDOWN([1]CRITERIOS!$M$16/_xlfn.XLOOKUP($C319,[1]CRITERIOS!$K$25:$K$42,[1]CRITERIOS!$M$25:$M$42),
1),
E319/ROUNDDOWN([1]CRITERIOS!$M$16/_xlfn.XLOOKUP($C319,[1]CRITERIOS!$K$25:$K$42,[1]CRITERIOS!$M$25:$M$42),
1),
$M319)),_xlfn.XLOOKUP(A319,'[1]DATOS PBI Artículos'!A:A,'[1]DATOS PBI Artículos'!Z:Z
)))))</f>
        <v>#N/A</v>
      </c>
      <c r="Q319" s="38" t="e">
        <f>IF(AND(O319="",N319=0),
0,
   IF(COUNTIF([1]CRITERIOS!$F$179:$F$199,$A319)&gt;=1,
   1,
   IF(R319="MTO",
      $D319,
      ROUNDUP(
                    IF(($E319-SUMIF('[1]DATOS PBI Artículos'!A:A,A319,'[1]DATOS PBI Artículos'!X:X)+($V319-_xlfn.XLOOKUP(A319,'[1]DATOS PBI Artículos'!A:A,'[1]DATOS PBI Artículos'!W:W)))&lt;0,
                    0,
                    IF(($E319-SUMIF('[1]DATOS PBI Artículos'!A:A,A319,'[1]DATOS PBI Artículos'!X:X)+$V319-_xlfn.XLOOKUP($A319,'[1]DATOS PBI Artículos'!A:A,'[1]DATOS PBI Artículos'!W:W))/IF($O319="",$N319,$O319)&gt;ROUNDUP([1]CRITERIOS!$M$16/(IF(COUNTIF([1]CRITERIOS!$BG$11:$BG$201,L319)&gt;=1,_xlfn.XLOOKUP($C319,[1]CRITERIOS!$K$25:$K$42,[1]CRITERIOS!$M$25:$M$42),_xlfn.XLOOKUP($C319,[1]CRITERIOS!$K$25:$K$42,[1]CRITERIOS!$M$25:$M$42))),0),
                    ROUNDUP([1]CRITERIOS!$M$16/(IF(COUNTIF([1]CRITERIOS!$BG$11:$BG$201,$L319)&gt;=1,_xlfn.XLOOKUP($C319,[1]CRITERIOS!$K$25:$K$42,[1]CRITERIOS!$M$25:$M$42),_xlfn.XLOOKUP($C319,[1]CRITERIOS!$K$25:$K$42,[1]CRITERIOS!$M$25:$M$42))),0),
                    (E319+V319-SUMIF('[1]DATOS PBI Artículos'!A:A,A319,'[1]DATOS PBI Artículos'!X:X)-_xlfn.XLOOKUP(A319,'[1]DATOS PBI Artículos'!A:A,'[1]DATOS PBI Artículos'!W:W))/IF($O319="",$N319,$O319))),0))))</f>
        <v>#N/A</v>
      </c>
      <c r="R319" s="33" t="e">
        <f>IF(U319&lt;&gt;"",U319,IF(F319="DV","MTO",IF(N319=0,"MTO",_xlfn.XLOOKUP(CONCATENATE(S319,T319),[1]CRITERIOS!$K$160:$K$168,[1]CRITERIOS!$N$160:$N$168))))</f>
        <v>#N/A</v>
      </c>
      <c r="S319" s="33" t="e">
        <f>IF(G319="DV","MTO",IF(N319=0,"MTO",IF(OR(AND(N319=0,O319=""),IF(O319="",G319/N319,G319/O319)&gt;[1]CRITERIOS!$G$163),"MTO",IF(IF(O319="",G319/N319,G319/O319)&lt;[1]CRITERIOS!$H$161,"MTS","MTOS"))))</f>
        <v>#N/A</v>
      </c>
      <c r="T319" s="33" t="e">
        <f>IF(F319="DV","MTO",IF(OR(AND($N319=0,O319=""),$F319/$J319&gt;[1]CRITERIOS!$G$170,$F319="DV"),"MTO",IF($F319/$J319&lt;[1]CRITERIOS!$H$168,"MTS","MTOS")))</f>
        <v>#N/A</v>
      </c>
      <c r="V319" s="34" t="e">
        <f t="shared" si="16"/>
        <v>#N/A</v>
      </c>
      <c r="X319" s="34" t="e">
        <f t="shared" si="14"/>
        <v>#N/A</v>
      </c>
      <c r="Y319" s="34" t="e">
        <f t="shared" si="15"/>
        <v>#N/A</v>
      </c>
      <c r="Z319" s="34" t="e">
        <f>IF($R319="MTO",
0,
($H319+$K319*($E319/[1]CRITERIOS!$M$16))/[1]CRITERIOS!$X$48)</f>
        <v>#N/A</v>
      </c>
      <c r="AA319" s="34" t="e">
        <f>ROUNDUP(($Y319/_xlfn.XLOOKUP($A319,'[1]DATOS PBI Artículos'!$A$4:$A$4,'[1]DATOS PBI Artículos'!$Z$4:$Z$4))/_xlfn.XLOOKUP(_xlfn.XLOOKUP($A319,'[1]DATOS PBI Artículos'!$A$4:$A$4,'[1]DATOS PBI Artículos'!$Y$4:$Y$4),[1]CRITERIOS!$P$79:$P$123,[1]CRITERIOS!$S$79:$S$123,),0)</f>
        <v>#N/A</v>
      </c>
      <c r="AB319" s="33" t="e">
        <f t="array" ref="AB319">IF((E319+V319-_xlfn.XLOOKUP(A319,'[1]DATOS PBI Artículos'!$A$4:$A$4,'[1]DATOS PBI Artículos'!$W$4:$W$4))/N319&gt;ROUNDUP([1]CRITERIOS!$M$16/(IF(COUNTIF([1]CRITERIOS!$BG$11:$BG$201,L319)&gt;=1,_xlfn.XLOOKUP(ARTÍCULOS!L319,[1]CRITERIOS!$BG$11:$BG$201,[1]CRITERIOS!$BJ$11:$BJ$201),_xlfn.XLOOKUP(ARTÍCULOS!C319,[1]CRITERIOS!$K$25:$K$42,[1]CRITERIOS!$M$25:$M$42))),0),ROUNDUP([1]CRITERIOS!$M$16/(IF(COUNTIF([1]CRITERIOS!$BG$11:$BG$201,L319)&gt;=1,_xlfn.XLOOKUP(ARTÍCULOS!L319,[1]CRITERIOS!$BG$11:$BG$201:#REF!,[1]CRITERIOS!$BJ$11:$BJ$201),_xlfn.XLOOKUP(ARTÍCULOS!C319,[1]CRITERIOS!$K$25:$K$42,[1]CRITERIOS!$M$25:$M$42))),0),(E319+V319-_xlfn.XLOOKUP(A319,'[1]DATOS PBI Artículos'!$A$4:$A$4,'[1]DATOS PBI Artículos'!$W$4:$W$4))/N319)</f>
        <v>#N/A</v>
      </c>
      <c r="AC319" s="33" t="e">
        <f>IF(N319=0,"",(ROUNDUP((N319/2)/(_xlfn.XLOOKUP(A319,'[1]DATOS PBI Artículos'!$A$4:$A$4,'[1]DATOS PBI Artículos'!$Z$4:$Z$4)*_xlfn.XLOOKUP(_xlfn.XLOOKUP(A319,'[1]DATOS PBI Artículos'!$A$4:$A$4,'[1]DATOS PBI Artículos'!$Y$4:$Y$4),[1]CRITERIOS!$P$79:$P$123,[1]CRITERIOS!$S$79:$S$123)),0)*[1]CRITERIOS!$M$80*([1]CRITERIOS!$M$110/[1]CRITERIOS!$M$86)+(_xlfn.XLOOKUP(A319,'[1]DATOS PBI Artículos'!$A$4:$A$4,'[1]DATOS PBI Artículos'!$AA$4:$AA$4)*([1]CRITERIOS!$M$95+[1]CRITERIOS!$M$98)))/N319)</f>
        <v>#N/A</v>
      </c>
      <c r="AD319" s="33" t="e">
        <f>IF(N319=0,"",(ROUNDUP((N319/2)/(_xlfn.XLOOKUP(A319,'[1]DATOS PBI Artículos'!$A$4:$A$4,'[1]DATOS PBI Artículos'!$Z$4:$Z$4)*_xlfn.XLOOKUP(_xlfn.XLOOKUP(A319,'[1]DATOS PBI Artículos'!$A$4:$A$4,'[1]DATOS PBI Artículos'!$Y$4:$Y$4),[1]CRITERIOS!$P$79:$P$123,[1]CRITERIOS!$S$79:$S$123)),0)*[1]CRITERIOS!$M$80*([1]CRITERIOS!$M$89*[1]CRITERIOS!$M$92)+((_xlfn.XLOOKUP(A319,'[1]DATOS PBI Artículos'!$A$4:$A$4,'[1]DATOS PBI Artículos'!$AA$4:$AA$4)/2)*([1]CRITERIOS!$M$95+[1]CRITERIOS!$M$98)))/N319)</f>
        <v>#N/A</v>
      </c>
      <c r="AE319" s="39" t="e">
        <f>IF($R319="MTO","",
IF($H319=0,ROUNDUP(((_xlfn.XLOOKUP($A319,'[1]DATOS PBI Artículos'!$A:$A,'[1]DATOS PBI Artículos'!$AL:$AL))/(_xlfn.XLOOKUP($AF$1,[1]CRITERIOS!$S$16:$S$39,[1]CRITERIOS!$Y$16:$Y$39))*$J319+$Z319)/$G319,0)*$G319,
((_xlfn.XLOOKUP($A319,'[1]DATOS PBI Artículos'!$A:$A,'[1]DATOS PBI Artículos'!$AL:$AL))/(_xlfn.XLOOKUP($AF$1,[1]CRITERIOS!$S$16:$S$39,[1]CRITERIOS!$Y$16:$Y$39))*$J319+$Z319)))</f>
        <v>#N/A</v>
      </c>
      <c r="AG319" s="39" t="e">
        <f>IF($R319="MTO","",
IF($H319=0,ROUNDUP(((_xlfn.XLOOKUP($A319,'[1]DATOS PBI Artículos'!$A:$A,'[1]DATOS PBI Artículos'!$AM:$AM))/(_xlfn.XLOOKUP($AH$1,[1]CRITERIOS!$S$16:$S$39,[1]CRITERIOS!$Y$16:$Y$39))*$J319+$Z319)/$G319,0)*$G319,
((_xlfn.XLOOKUP($A319,'[1]DATOS PBI Artículos'!$A:$A,'[1]DATOS PBI Artículos'!$AM:$AM))/(_xlfn.XLOOKUP($AH$1,[1]CRITERIOS!$S$16:$S$39,[1]CRITERIOS!$Y$16:$Y$39))*$J319+$Z319)))</f>
        <v>#N/A</v>
      </c>
      <c r="AI319" s="39" t="e">
        <f>IF($R319="MTO","",
IF($H319=0,ROUNDUP(((_xlfn.XLOOKUP($A319,'[1]DATOS PBI Artículos'!$A:$A,'[1]DATOS PBI Artículos'!$AN:$AN))/(_xlfn.XLOOKUP($AJ$1,[1]CRITERIOS!$S$16:$S$39,[1]CRITERIOS!$Y$16:$Y$39))*$J319+$Z319)/$G319,0)*$G319,
((_xlfn.XLOOKUP($A319,'[1]DATOS PBI Artículos'!$A:$A,'[1]DATOS PBI Artículos'!$AN:$AN))/(_xlfn.XLOOKUP($AJ$1,[1]CRITERIOS!$S$16:$S$39,[1]CRITERIOS!$Y$16:$Y$39))*$J319+$Z319)))</f>
        <v>#N/A</v>
      </c>
      <c r="AK319" s="39" t="e">
        <f>IF($R319="MTO","",
IF($H319=0,ROUNDUP(((_xlfn.XLOOKUP($A319,'[1]DATOS PBI Artículos'!$A:$A,'[1]DATOS PBI Artículos'!$AO:$AO))/(_xlfn.XLOOKUP($AL$1,[1]CRITERIOS!$S$16:$S$39,[1]CRITERIOS!$Y$16:$Y$39))*$J319+$Z319)/$G319,0)*$G319,
((_xlfn.XLOOKUP($A319,'[1]DATOS PBI Artículos'!$A:$A,'[1]DATOS PBI Artículos'!$AO:$AO))/(_xlfn.XLOOKUP($AL$1,[1]CRITERIOS!$S$16:$S$39,[1]CRITERIOS!$Y$16:$Y$39))*$J319+$Z319)))</f>
        <v>#N/A</v>
      </c>
    </row>
    <row r="320" spans="1:37" ht="25.8" hidden="1" x14ac:dyDescent="0.4">
      <c r="A320" s="41"/>
      <c r="B320" s="33">
        <f>_xlfn.XLOOKUP($A320,'[1]DATOS PBI Artículos'!A:A,'[1]DATOS PBI Artículos'!B:B)</f>
        <v>0</v>
      </c>
      <c r="C320" s="33">
        <f>_xlfn.XLOOKUP($A320,'[1]DATOS PBI Artículos'!A:A,'[1]DATOS PBI Artículos'!C:C)</f>
        <v>0</v>
      </c>
      <c r="D320" s="33">
        <f>_xlfn.XLOOKUP(A320,'[1]DATOS PBI Artículos'!A:A,'[1]DATOS PBI Artículos'!T:T)</f>
        <v>0</v>
      </c>
      <c r="E320" s="34">
        <f>IF(_xlfn.XLOOKUP($A320,'[1]DATOS PBI Artículos'!A:A,'[1]DATOS PBI Artículos'!AK:AK)="",_xlfn.XLOOKUP($A320,'[1]DATOS PBI Artículos'!A:A,'[1]DATOS PBI Artículos'!AJ:AJ),_xlfn.XLOOKUP($A320,'[1]DATOS PBI Artículos'!A:A,'[1]DATOS PBI Artículos'!AK:AK))</f>
        <v>0</v>
      </c>
      <c r="F320" s="35">
        <f>_xlfn.XLOOKUP($A320,'[1]DATOS PBI Artículos'!A:A,'[1]DATOS PBI Artículos'!AP:AP)</f>
        <v>0</v>
      </c>
      <c r="G320" s="34">
        <f>_xlfn.XLOOKUP($A320,'[1]DATOS PBI Artículos'!A:A,'[1]DATOS PBI Artículos'!AR:AR)</f>
        <v>0</v>
      </c>
      <c r="H320" s="34">
        <f>_xlfn.XLOOKUP($A320,'[1]DATOS PBI Artículos'!A:A,'[1]DATOS PBI Artículos'!AT:AT)</f>
        <v>0</v>
      </c>
      <c r="I320" s="34">
        <f>_xlfn.XLOOKUP($A320,'[1]DATOS PBI Artículos'!A:A,'[1]DATOS PBI Artículos'!AS:AS)</f>
        <v>0</v>
      </c>
      <c r="J320" s="35">
        <f>IF(COUNTIF([1]CRITERIOS!$F$179:$F$199,$A320)&gt;=1,
 IF(O320&lt;&gt;"",
    (O320/_xlfn.XLOOKUP(CONCATENATE(A320,L320),[1]MÁQUINAS!A:A,[1]MÁQUINAS!D:D))/24,
    (N320/_xlfn.XLOOKUP(CONCATENATE(A320,L320),[1]MÁQUINAS!A:A,[1]MÁQUINAS!D:D))/24),
  _xlfn.XLOOKUP($A320,'[1]DATOS PBI Artículos'!A:A,'[1]DATOS PBI Artículos'!AU:AU))</f>
        <v>0</v>
      </c>
      <c r="K320" s="36">
        <f>_xlfn.XLOOKUP($A320,'[1]DATOS PBI Artículos'!A:A,'[1]DATOS PBI Artículos'!AV:AV)</f>
        <v>0</v>
      </c>
      <c r="L320" s="33">
        <f>_xlfn.XLOOKUP(A320,[1]MÁQUINAS!B:B,[1]MÁQUINAS!C:C)</f>
        <v>0</v>
      </c>
      <c r="M320" s="34">
        <f t="array" ref="M320">_xlfn.XLOOKUP(A320,'[1]DATOS PBI Artículos'!A:A,'[1]DATOS PBI Artículos'!AX:$AX)</f>
        <v>0</v>
      </c>
      <c r="N320" s="37" t="e">
        <f>IF(I320="DV",
E320,
IF(COUNTIF([1]CRITERIOS!$I$179:$I$199,$A320)&gt;=1,
_xlfn.XLOOKUP($A320,[1]CRITERIOS!$I$179:$I$199,[1]CRITERIOS!$J$179:$J$199),
IF(COUNTIF([1]CRITERIOS!$L$179:$L$199,$A320)&gt;=1,
_xlfn.CEILING.MATH(IF($M320&gt;$E320,
$E320,
IF($M320&lt;$E320/ROUNDDOWN([1]CRITERIOS!$M$16/_xlfn.XLOOKUP($C320,[1]CRITERIOS!$K$25:$K$42,[1]CRITERIOS!$M$25:$M$42),
1),
E320/ROUNDDOWN([1]CRITERIOS!$M$16/_xlfn.XLOOKUP($C320,[1]CRITERIOS!$K$25:$K$42,[1]CRITERIOS!$M$25:$M$42),
1),
$M320)),
_xlfn.XLOOKUP($A320,[1]CRITERIOS!$L$179:$L$200,[1]CRITERIOS!$M$179:$M$200)),
_xlfn.CEILING.MATH(IF($M320&gt;$E320,
$E320,
IF($M320&lt;$E320/ROUNDDOWN([1]CRITERIOS!$M$16/_xlfn.XLOOKUP($C320,[1]CRITERIOS!$K$25:$K$42,[1]CRITERIOS!$M$25:$M$42),
1),
E320/ROUNDDOWN([1]CRITERIOS!$M$16/_xlfn.XLOOKUP($C320,[1]CRITERIOS!$K$25:$K$42,[1]CRITERIOS!$M$25:$M$42),
1),
$M320)),_xlfn.XLOOKUP(A320,'[1]DATOS PBI Artículos'!A:A,'[1]DATOS PBI Artículos'!Z:Z
)))))</f>
        <v>#N/A</v>
      </c>
      <c r="Q320" s="38" t="e">
        <f>IF(AND(O320="",N320=0),
0,
   IF(COUNTIF([1]CRITERIOS!$F$179:$F$199,$A320)&gt;=1,
   1,
   IF(R320="MTO",
      $D320,
      ROUNDUP(
                    IF(($E320-SUMIF('[1]DATOS PBI Artículos'!A:A,A320,'[1]DATOS PBI Artículos'!X:X)+($V320-_xlfn.XLOOKUP(A320,'[1]DATOS PBI Artículos'!A:A,'[1]DATOS PBI Artículos'!W:W)))&lt;0,
                    0,
                    IF(($E320-SUMIF('[1]DATOS PBI Artículos'!A:A,A320,'[1]DATOS PBI Artículos'!X:X)+$V320-_xlfn.XLOOKUP($A320,'[1]DATOS PBI Artículos'!A:A,'[1]DATOS PBI Artículos'!W:W))/IF($O320="",$N320,$O320)&gt;ROUNDUP([1]CRITERIOS!$M$16/(IF(COUNTIF([1]CRITERIOS!$BG$11:$BG$201,L320)&gt;=1,_xlfn.XLOOKUP($C320,[1]CRITERIOS!$K$25:$K$42,[1]CRITERIOS!$M$25:$M$42),_xlfn.XLOOKUP($C320,[1]CRITERIOS!$K$25:$K$42,[1]CRITERIOS!$M$25:$M$42))),0),
                    ROUNDUP([1]CRITERIOS!$M$16/(IF(COUNTIF([1]CRITERIOS!$BG$11:$BG$201,$L320)&gt;=1,_xlfn.XLOOKUP($C320,[1]CRITERIOS!$K$25:$K$42,[1]CRITERIOS!$M$25:$M$42),_xlfn.XLOOKUP($C320,[1]CRITERIOS!$K$25:$K$42,[1]CRITERIOS!$M$25:$M$42))),0),
                    (E320+V320-SUMIF('[1]DATOS PBI Artículos'!A:A,A320,'[1]DATOS PBI Artículos'!X:X)-_xlfn.XLOOKUP(A320,'[1]DATOS PBI Artículos'!A:A,'[1]DATOS PBI Artículos'!W:W))/IF($O320="",$N320,$O320))),0))))</f>
        <v>#N/A</v>
      </c>
      <c r="R320" s="33" t="e">
        <f>IF(U320&lt;&gt;"",U320,IF(F320="DV","MTO",IF(N320=0,"MTO",_xlfn.XLOOKUP(CONCATENATE(S320,T320),[1]CRITERIOS!$K$160:$K$168,[1]CRITERIOS!$N$160:$N$168))))</f>
        <v>#N/A</v>
      </c>
      <c r="S320" s="33" t="e">
        <f>IF(G320="DV","MTO",IF(N320=0,"MTO",IF(OR(AND(N320=0,O320=""),IF(O320="",G320/N320,G320/O320)&gt;[1]CRITERIOS!$G$163),"MTO",IF(IF(O320="",G320/N320,G320/O320)&lt;[1]CRITERIOS!$H$161,"MTS","MTOS"))))</f>
        <v>#N/A</v>
      </c>
      <c r="T320" s="33" t="e">
        <f>IF(F320="DV","MTO",IF(OR(AND($N320=0,O320=""),$F320/$J320&gt;[1]CRITERIOS!$G$170,$F320="DV"),"MTO",IF($F320/$J320&lt;[1]CRITERIOS!$H$168,"MTS","MTOS")))</f>
        <v>#N/A</v>
      </c>
      <c r="V320" s="34" t="e">
        <f t="shared" si="16"/>
        <v>#N/A</v>
      </c>
      <c r="X320" s="34" t="e">
        <f t="shared" si="14"/>
        <v>#N/A</v>
      </c>
      <c r="Y320" s="34" t="e">
        <f t="shared" si="15"/>
        <v>#N/A</v>
      </c>
      <c r="Z320" s="34" t="e">
        <f>IF($R320="MTO",
0,
($H320+$K320*($E320/[1]CRITERIOS!$M$16))/[1]CRITERIOS!$X$48)</f>
        <v>#N/A</v>
      </c>
      <c r="AA320" s="34" t="e">
        <f>ROUNDUP(($Y320/_xlfn.XLOOKUP($A320,'[1]DATOS PBI Artículos'!$A$4:$A$4,'[1]DATOS PBI Artículos'!$Z$4:$Z$4))/_xlfn.XLOOKUP(_xlfn.XLOOKUP($A320,'[1]DATOS PBI Artículos'!$A$4:$A$4,'[1]DATOS PBI Artículos'!$Y$4:$Y$4),[1]CRITERIOS!$P$79:$P$123,[1]CRITERIOS!$S$79:$S$123,),0)</f>
        <v>#N/A</v>
      </c>
      <c r="AB320" s="33" t="e">
        <f t="array" ref="AB320">IF((E320+V320-_xlfn.XLOOKUP(A320,'[1]DATOS PBI Artículos'!$A$4:$A$4,'[1]DATOS PBI Artículos'!$W$4:$W$4))/N320&gt;ROUNDUP([1]CRITERIOS!$M$16/(IF(COUNTIF([1]CRITERIOS!$BG$11:$BG$201,L320)&gt;=1,_xlfn.XLOOKUP(ARTÍCULOS!L320,[1]CRITERIOS!$BG$11:$BG$201,[1]CRITERIOS!$BJ$11:$BJ$201),_xlfn.XLOOKUP(ARTÍCULOS!C320,[1]CRITERIOS!$K$25:$K$42,[1]CRITERIOS!$M$25:$M$42))),0),ROUNDUP([1]CRITERIOS!$M$16/(IF(COUNTIF([1]CRITERIOS!$BG$11:$BG$201,L320)&gt;=1,_xlfn.XLOOKUP(ARTÍCULOS!L320,[1]CRITERIOS!$BG$11:$BG$201:#REF!,[1]CRITERIOS!$BJ$11:$BJ$201),_xlfn.XLOOKUP(ARTÍCULOS!C320,[1]CRITERIOS!$K$25:$K$42,[1]CRITERIOS!$M$25:$M$42))),0),(E320+V320-_xlfn.XLOOKUP(A320,'[1]DATOS PBI Artículos'!$A$4:$A$4,'[1]DATOS PBI Artículos'!$W$4:$W$4))/N320)</f>
        <v>#N/A</v>
      </c>
      <c r="AC320" s="33" t="e">
        <f>IF(N320=0,"",(ROUNDUP((N320/2)/(_xlfn.XLOOKUP(A320,'[1]DATOS PBI Artículos'!$A$4:$A$4,'[1]DATOS PBI Artículos'!$Z$4:$Z$4)*_xlfn.XLOOKUP(_xlfn.XLOOKUP(A320,'[1]DATOS PBI Artículos'!$A$4:$A$4,'[1]DATOS PBI Artículos'!$Y$4:$Y$4),[1]CRITERIOS!$P$79:$P$123,[1]CRITERIOS!$S$79:$S$123)),0)*[1]CRITERIOS!$M$80*([1]CRITERIOS!$M$110/[1]CRITERIOS!$M$86)+(_xlfn.XLOOKUP(A320,'[1]DATOS PBI Artículos'!$A$4:$A$4,'[1]DATOS PBI Artículos'!$AA$4:$AA$4)*([1]CRITERIOS!$M$95+[1]CRITERIOS!$M$98)))/N320)</f>
        <v>#N/A</v>
      </c>
      <c r="AD320" s="33" t="e">
        <f>IF(N320=0,"",(ROUNDUP((N320/2)/(_xlfn.XLOOKUP(A320,'[1]DATOS PBI Artículos'!$A$4:$A$4,'[1]DATOS PBI Artículos'!$Z$4:$Z$4)*_xlfn.XLOOKUP(_xlfn.XLOOKUP(A320,'[1]DATOS PBI Artículos'!$A$4:$A$4,'[1]DATOS PBI Artículos'!$Y$4:$Y$4),[1]CRITERIOS!$P$79:$P$123,[1]CRITERIOS!$S$79:$S$123)),0)*[1]CRITERIOS!$M$80*([1]CRITERIOS!$M$89*[1]CRITERIOS!$M$92)+((_xlfn.XLOOKUP(A320,'[1]DATOS PBI Artículos'!$A$4:$A$4,'[1]DATOS PBI Artículos'!$AA$4:$AA$4)/2)*([1]CRITERIOS!$M$95+[1]CRITERIOS!$M$98)))/N320)</f>
        <v>#N/A</v>
      </c>
      <c r="AE320" s="39" t="e">
        <f>IF($R320="MTO","",
IF($H320=0,ROUNDUP(((_xlfn.XLOOKUP($A320,'[1]DATOS PBI Artículos'!$A:$A,'[1]DATOS PBI Artículos'!$AL:$AL))/(_xlfn.XLOOKUP($AF$1,[1]CRITERIOS!$S$16:$S$39,[1]CRITERIOS!$Y$16:$Y$39))*$J320+$Z320)/$G320,0)*$G320,
((_xlfn.XLOOKUP($A320,'[1]DATOS PBI Artículos'!$A:$A,'[1]DATOS PBI Artículos'!$AL:$AL))/(_xlfn.XLOOKUP($AF$1,[1]CRITERIOS!$S$16:$S$39,[1]CRITERIOS!$Y$16:$Y$39))*$J320+$Z320)))</f>
        <v>#N/A</v>
      </c>
      <c r="AG320" s="39" t="e">
        <f>IF($R320="MTO","",
IF($H320=0,ROUNDUP(((_xlfn.XLOOKUP($A320,'[1]DATOS PBI Artículos'!$A:$A,'[1]DATOS PBI Artículos'!$AM:$AM))/(_xlfn.XLOOKUP($AH$1,[1]CRITERIOS!$S$16:$S$39,[1]CRITERIOS!$Y$16:$Y$39))*$J320+$Z320)/$G320,0)*$G320,
((_xlfn.XLOOKUP($A320,'[1]DATOS PBI Artículos'!$A:$A,'[1]DATOS PBI Artículos'!$AM:$AM))/(_xlfn.XLOOKUP($AH$1,[1]CRITERIOS!$S$16:$S$39,[1]CRITERIOS!$Y$16:$Y$39))*$J320+$Z320)))</f>
        <v>#N/A</v>
      </c>
      <c r="AI320" s="39" t="e">
        <f>IF($R320="MTO","",
IF($H320=0,ROUNDUP(((_xlfn.XLOOKUP($A320,'[1]DATOS PBI Artículos'!$A:$A,'[1]DATOS PBI Artículos'!$AN:$AN))/(_xlfn.XLOOKUP($AJ$1,[1]CRITERIOS!$S$16:$S$39,[1]CRITERIOS!$Y$16:$Y$39))*$J320+$Z320)/$G320,0)*$G320,
((_xlfn.XLOOKUP($A320,'[1]DATOS PBI Artículos'!$A:$A,'[1]DATOS PBI Artículos'!$AN:$AN))/(_xlfn.XLOOKUP($AJ$1,[1]CRITERIOS!$S$16:$S$39,[1]CRITERIOS!$Y$16:$Y$39))*$J320+$Z320)))</f>
        <v>#N/A</v>
      </c>
      <c r="AK320" s="39" t="e">
        <f>IF($R320="MTO","",
IF($H320=0,ROUNDUP(((_xlfn.XLOOKUP($A320,'[1]DATOS PBI Artículos'!$A:$A,'[1]DATOS PBI Artículos'!$AO:$AO))/(_xlfn.XLOOKUP($AL$1,[1]CRITERIOS!$S$16:$S$39,[1]CRITERIOS!$Y$16:$Y$39))*$J320+$Z320)/$G320,0)*$G320,
((_xlfn.XLOOKUP($A320,'[1]DATOS PBI Artículos'!$A:$A,'[1]DATOS PBI Artículos'!$AO:$AO))/(_xlfn.XLOOKUP($AL$1,[1]CRITERIOS!$S$16:$S$39,[1]CRITERIOS!$Y$16:$Y$39))*$J320+$Z320)))</f>
        <v>#N/A</v>
      </c>
    </row>
    <row r="321" spans="1:37" ht="25.8" hidden="1" x14ac:dyDescent="0.4">
      <c r="A321" s="41"/>
      <c r="B321" s="33">
        <f>_xlfn.XLOOKUP($A321,'[1]DATOS PBI Artículos'!A:A,'[1]DATOS PBI Artículos'!B:B)</f>
        <v>0</v>
      </c>
      <c r="C321" s="33">
        <f>_xlfn.XLOOKUP($A321,'[1]DATOS PBI Artículos'!A:A,'[1]DATOS PBI Artículos'!C:C)</f>
        <v>0</v>
      </c>
      <c r="D321" s="33">
        <f>_xlfn.XLOOKUP(A321,'[1]DATOS PBI Artículos'!A:A,'[1]DATOS PBI Artículos'!T:T)</f>
        <v>0</v>
      </c>
      <c r="E321" s="34">
        <f>IF(_xlfn.XLOOKUP($A321,'[1]DATOS PBI Artículos'!A:A,'[1]DATOS PBI Artículos'!AK:AK)="",_xlfn.XLOOKUP($A321,'[1]DATOS PBI Artículos'!A:A,'[1]DATOS PBI Artículos'!AJ:AJ),_xlfn.XLOOKUP($A321,'[1]DATOS PBI Artículos'!A:A,'[1]DATOS PBI Artículos'!AK:AK))</f>
        <v>0</v>
      </c>
      <c r="F321" s="35">
        <f>_xlfn.XLOOKUP($A321,'[1]DATOS PBI Artículos'!A:A,'[1]DATOS PBI Artículos'!AP:AP)</f>
        <v>0</v>
      </c>
      <c r="G321" s="34">
        <f>_xlfn.XLOOKUP($A321,'[1]DATOS PBI Artículos'!A:A,'[1]DATOS PBI Artículos'!AR:AR)</f>
        <v>0</v>
      </c>
      <c r="H321" s="34">
        <f>_xlfn.XLOOKUP($A321,'[1]DATOS PBI Artículos'!A:A,'[1]DATOS PBI Artículos'!AT:AT)</f>
        <v>0</v>
      </c>
      <c r="I321" s="34">
        <f>_xlfn.XLOOKUP($A321,'[1]DATOS PBI Artículos'!A:A,'[1]DATOS PBI Artículos'!AS:AS)</f>
        <v>0</v>
      </c>
      <c r="J321" s="35">
        <f>IF(COUNTIF([1]CRITERIOS!$F$179:$F$199,$A321)&gt;=1,
 IF(O321&lt;&gt;"",
    (O321/_xlfn.XLOOKUP(CONCATENATE(A321,L321),[1]MÁQUINAS!A:A,[1]MÁQUINAS!D:D))/24,
    (N321/_xlfn.XLOOKUP(CONCATENATE(A321,L321),[1]MÁQUINAS!A:A,[1]MÁQUINAS!D:D))/24),
  _xlfn.XLOOKUP($A321,'[1]DATOS PBI Artículos'!A:A,'[1]DATOS PBI Artículos'!AU:AU))</f>
        <v>0</v>
      </c>
      <c r="K321" s="36">
        <f>_xlfn.XLOOKUP($A321,'[1]DATOS PBI Artículos'!A:A,'[1]DATOS PBI Artículos'!AV:AV)</f>
        <v>0</v>
      </c>
      <c r="L321" s="33">
        <f>_xlfn.XLOOKUP(A321,[1]MÁQUINAS!B:B,[1]MÁQUINAS!C:C)</f>
        <v>0</v>
      </c>
      <c r="M321" s="34">
        <f t="array" ref="M321">_xlfn.XLOOKUP(A321,'[1]DATOS PBI Artículos'!A:A,'[1]DATOS PBI Artículos'!AX:$AX)</f>
        <v>0</v>
      </c>
      <c r="N321" s="37" t="e">
        <f>IF(I321="DV",
E321,
IF(COUNTIF([1]CRITERIOS!$I$179:$I$199,$A321)&gt;=1,
_xlfn.XLOOKUP($A321,[1]CRITERIOS!$I$179:$I$199,[1]CRITERIOS!$J$179:$J$199),
IF(COUNTIF([1]CRITERIOS!$L$179:$L$199,$A321)&gt;=1,
_xlfn.CEILING.MATH(IF($M321&gt;$E321,
$E321,
IF($M321&lt;$E321/ROUNDDOWN([1]CRITERIOS!$M$16/_xlfn.XLOOKUP($C321,[1]CRITERIOS!$K$25:$K$42,[1]CRITERIOS!$M$25:$M$42),
1),
E321/ROUNDDOWN([1]CRITERIOS!$M$16/_xlfn.XLOOKUP($C321,[1]CRITERIOS!$K$25:$K$42,[1]CRITERIOS!$M$25:$M$42),
1),
$M321)),
_xlfn.XLOOKUP($A321,[1]CRITERIOS!$L$179:$L$200,[1]CRITERIOS!$M$179:$M$200)),
_xlfn.CEILING.MATH(IF($M321&gt;$E321,
$E321,
IF($M321&lt;$E321/ROUNDDOWN([1]CRITERIOS!$M$16/_xlfn.XLOOKUP($C321,[1]CRITERIOS!$K$25:$K$42,[1]CRITERIOS!$M$25:$M$42),
1),
E321/ROUNDDOWN([1]CRITERIOS!$M$16/_xlfn.XLOOKUP($C321,[1]CRITERIOS!$K$25:$K$42,[1]CRITERIOS!$M$25:$M$42),
1),
$M321)),_xlfn.XLOOKUP(A321,'[1]DATOS PBI Artículos'!A:A,'[1]DATOS PBI Artículos'!Z:Z
)))))</f>
        <v>#N/A</v>
      </c>
      <c r="Q321" s="38" t="e">
        <f>IF(AND(O321="",N321=0),
0,
   IF(COUNTIF([1]CRITERIOS!$F$179:$F$199,$A321)&gt;=1,
   1,
   IF(R321="MTO",
      $D321,
      ROUNDUP(
                    IF(($E321-SUMIF('[1]DATOS PBI Artículos'!A:A,A321,'[1]DATOS PBI Artículos'!X:X)+($V321-_xlfn.XLOOKUP(A321,'[1]DATOS PBI Artículos'!A:A,'[1]DATOS PBI Artículos'!W:W)))&lt;0,
                    0,
                    IF(($E321-SUMIF('[1]DATOS PBI Artículos'!A:A,A321,'[1]DATOS PBI Artículos'!X:X)+$V321-_xlfn.XLOOKUP($A321,'[1]DATOS PBI Artículos'!A:A,'[1]DATOS PBI Artículos'!W:W))/IF($O321="",$N321,$O321)&gt;ROUNDUP([1]CRITERIOS!$M$16/(IF(COUNTIF([1]CRITERIOS!$BG$11:$BG$201,L321)&gt;=1,_xlfn.XLOOKUP($C321,[1]CRITERIOS!$K$25:$K$42,[1]CRITERIOS!$M$25:$M$42),_xlfn.XLOOKUP($C321,[1]CRITERIOS!$K$25:$K$42,[1]CRITERIOS!$M$25:$M$42))),0),
                    ROUNDUP([1]CRITERIOS!$M$16/(IF(COUNTIF([1]CRITERIOS!$BG$11:$BG$201,$L321)&gt;=1,_xlfn.XLOOKUP($C321,[1]CRITERIOS!$K$25:$K$42,[1]CRITERIOS!$M$25:$M$42),_xlfn.XLOOKUP($C321,[1]CRITERIOS!$K$25:$K$42,[1]CRITERIOS!$M$25:$M$42))),0),
                    (E321+V321-SUMIF('[1]DATOS PBI Artículos'!A:A,A321,'[1]DATOS PBI Artículos'!X:X)-_xlfn.XLOOKUP(A321,'[1]DATOS PBI Artículos'!A:A,'[1]DATOS PBI Artículos'!W:W))/IF($O321="",$N321,$O321))),0))))</f>
        <v>#N/A</v>
      </c>
      <c r="R321" s="33" t="e">
        <f>IF(U321&lt;&gt;"",U321,IF(F321="DV","MTO",IF(N321=0,"MTO",_xlfn.XLOOKUP(CONCATENATE(S321,T321),[1]CRITERIOS!$K$160:$K$168,[1]CRITERIOS!$N$160:$N$168))))</f>
        <v>#N/A</v>
      </c>
      <c r="S321" s="33" t="e">
        <f>IF(G321="DV","MTO",IF(N321=0,"MTO",IF(OR(AND(N321=0,O321=""),IF(O321="",G321/N321,G321/O321)&gt;[1]CRITERIOS!$G$163),"MTO",IF(IF(O321="",G321/N321,G321/O321)&lt;[1]CRITERIOS!$H$161,"MTS","MTOS"))))</f>
        <v>#N/A</v>
      </c>
      <c r="T321" s="33" t="e">
        <f>IF(F321="DV","MTO",IF(OR(AND($N321=0,O321=""),$F321/$J321&gt;[1]CRITERIOS!$G$170,$F321="DV"),"MTO",IF($F321/$J321&lt;[1]CRITERIOS!$H$168,"MTS","MTOS")))</f>
        <v>#N/A</v>
      </c>
      <c r="V321" s="34" t="e">
        <f t="shared" si="16"/>
        <v>#N/A</v>
      </c>
      <c r="X321" s="34" t="e">
        <f t="shared" si="14"/>
        <v>#N/A</v>
      </c>
      <c r="Y321" s="34" t="e">
        <f t="shared" si="15"/>
        <v>#N/A</v>
      </c>
      <c r="Z321" s="34" t="e">
        <f>IF($R321="MTO",
0,
($H321+$K321*($E321/[1]CRITERIOS!$M$16))/[1]CRITERIOS!$X$48)</f>
        <v>#N/A</v>
      </c>
      <c r="AA321" s="34" t="e">
        <f>ROUNDUP(($Y321/_xlfn.XLOOKUP($A321,'[1]DATOS PBI Artículos'!$A$4:$A$4,'[1]DATOS PBI Artículos'!$Z$4:$Z$4))/_xlfn.XLOOKUP(_xlfn.XLOOKUP($A321,'[1]DATOS PBI Artículos'!$A$4:$A$4,'[1]DATOS PBI Artículos'!$Y$4:$Y$4),[1]CRITERIOS!$P$79:$P$123,[1]CRITERIOS!$S$79:$S$123,),0)</f>
        <v>#N/A</v>
      </c>
      <c r="AB321" s="33" t="e">
        <f t="array" ref="AB321">IF((E321+V321-_xlfn.XLOOKUP(A321,'[1]DATOS PBI Artículos'!$A$4:$A$4,'[1]DATOS PBI Artículos'!$W$4:$W$4))/N321&gt;ROUNDUP([1]CRITERIOS!$M$16/(IF(COUNTIF([1]CRITERIOS!$BG$11:$BG$201,L321)&gt;=1,_xlfn.XLOOKUP(ARTÍCULOS!L321,[1]CRITERIOS!$BG$11:$BG$201,[1]CRITERIOS!$BJ$11:$BJ$201),_xlfn.XLOOKUP(ARTÍCULOS!C321,[1]CRITERIOS!$K$25:$K$42,[1]CRITERIOS!$M$25:$M$42))),0),ROUNDUP([1]CRITERIOS!$M$16/(IF(COUNTIF([1]CRITERIOS!$BG$11:$BG$201,L321)&gt;=1,_xlfn.XLOOKUP(ARTÍCULOS!L321,[1]CRITERIOS!$BG$11:$BG$201:#REF!,[1]CRITERIOS!$BJ$11:$BJ$201),_xlfn.XLOOKUP(ARTÍCULOS!C321,[1]CRITERIOS!$K$25:$K$42,[1]CRITERIOS!$M$25:$M$42))),0),(E321+V321-_xlfn.XLOOKUP(A321,'[1]DATOS PBI Artículos'!$A$4:$A$4,'[1]DATOS PBI Artículos'!$W$4:$W$4))/N321)</f>
        <v>#N/A</v>
      </c>
      <c r="AC321" s="33" t="e">
        <f>IF(N321=0,"",(ROUNDUP((N321/2)/(_xlfn.XLOOKUP(A321,'[1]DATOS PBI Artículos'!$A$4:$A$4,'[1]DATOS PBI Artículos'!$Z$4:$Z$4)*_xlfn.XLOOKUP(_xlfn.XLOOKUP(A321,'[1]DATOS PBI Artículos'!$A$4:$A$4,'[1]DATOS PBI Artículos'!$Y$4:$Y$4),[1]CRITERIOS!$P$79:$P$123,[1]CRITERIOS!$S$79:$S$123)),0)*[1]CRITERIOS!$M$80*([1]CRITERIOS!$M$110/[1]CRITERIOS!$M$86)+(_xlfn.XLOOKUP(A321,'[1]DATOS PBI Artículos'!$A$4:$A$4,'[1]DATOS PBI Artículos'!$AA$4:$AA$4)*([1]CRITERIOS!$M$95+[1]CRITERIOS!$M$98)))/N321)</f>
        <v>#N/A</v>
      </c>
      <c r="AD321" s="33" t="e">
        <f>IF(N321=0,"",(ROUNDUP((N321/2)/(_xlfn.XLOOKUP(A321,'[1]DATOS PBI Artículos'!$A$4:$A$4,'[1]DATOS PBI Artículos'!$Z$4:$Z$4)*_xlfn.XLOOKUP(_xlfn.XLOOKUP(A321,'[1]DATOS PBI Artículos'!$A$4:$A$4,'[1]DATOS PBI Artículos'!$Y$4:$Y$4),[1]CRITERIOS!$P$79:$P$123,[1]CRITERIOS!$S$79:$S$123)),0)*[1]CRITERIOS!$M$80*([1]CRITERIOS!$M$89*[1]CRITERIOS!$M$92)+((_xlfn.XLOOKUP(A321,'[1]DATOS PBI Artículos'!$A$4:$A$4,'[1]DATOS PBI Artículos'!$AA$4:$AA$4)/2)*([1]CRITERIOS!$M$95+[1]CRITERIOS!$M$98)))/N321)</f>
        <v>#N/A</v>
      </c>
      <c r="AE321" s="39" t="e">
        <f>IF($R321="MTO","",
IF($H321=0,ROUNDUP(((_xlfn.XLOOKUP($A321,'[1]DATOS PBI Artículos'!$A:$A,'[1]DATOS PBI Artículos'!$AL:$AL))/(_xlfn.XLOOKUP($AF$1,[1]CRITERIOS!$S$16:$S$39,[1]CRITERIOS!$Y$16:$Y$39))*$J321+$Z321)/$G321,0)*$G321,
((_xlfn.XLOOKUP($A321,'[1]DATOS PBI Artículos'!$A:$A,'[1]DATOS PBI Artículos'!$AL:$AL))/(_xlfn.XLOOKUP($AF$1,[1]CRITERIOS!$S$16:$S$39,[1]CRITERIOS!$Y$16:$Y$39))*$J321+$Z321)))</f>
        <v>#N/A</v>
      </c>
      <c r="AG321" s="39" t="e">
        <f>IF($R321="MTO","",
IF($H321=0,ROUNDUP(((_xlfn.XLOOKUP($A321,'[1]DATOS PBI Artículos'!$A:$A,'[1]DATOS PBI Artículos'!$AM:$AM))/(_xlfn.XLOOKUP($AH$1,[1]CRITERIOS!$S$16:$S$39,[1]CRITERIOS!$Y$16:$Y$39))*$J321+$Z321)/$G321,0)*$G321,
((_xlfn.XLOOKUP($A321,'[1]DATOS PBI Artículos'!$A:$A,'[1]DATOS PBI Artículos'!$AM:$AM))/(_xlfn.XLOOKUP($AH$1,[1]CRITERIOS!$S$16:$S$39,[1]CRITERIOS!$Y$16:$Y$39))*$J321+$Z321)))</f>
        <v>#N/A</v>
      </c>
      <c r="AI321" s="39" t="e">
        <f>IF($R321="MTO","",
IF($H321=0,ROUNDUP(((_xlfn.XLOOKUP($A321,'[1]DATOS PBI Artículos'!$A:$A,'[1]DATOS PBI Artículos'!$AN:$AN))/(_xlfn.XLOOKUP($AJ$1,[1]CRITERIOS!$S$16:$S$39,[1]CRITERIOS!$Y$16:$Y$39))*$J321+$Z321)/$G321,0)*$G321,
((_xlfn.XLOOKUP($A321,'[1]DATOS PBI Artículos'!$A:$A,'[1]DATOS PBI Artículos'!$AN:$AN))/(_xlfn.XLOOKUP($AJ$1,[1]CRITERIOS!$S$16:$S$39,[1]CRITERIOS!$Y$16:$Y$39))*$J321+$Z321)))</f>
        <v>#N/A</v>
      </c>
      <c r="AK321" s="39" t="e">
        <f>IF($R321="MTO","",
IF($H321=0,ROUNDUP(((_xlfn.XLOOKUP($A321,'[1]DATOS PBI Artículos'!$A:$A,'[1]DATOS PBI Artículos'!$AO:$AO))/(_xlfn.XLOOKUP($AL$1,[1]CRITERIOS!$S$16:$S$39,[1]CRITERIOS!$Y$16:$Y$39))*$J321+$Z321)/$G321,0)*$G321,
((_xlfn.XLOOKUP($A321,'[1]DATOS PBI Artículos'!$A:$A,'[1]DATOS PBI Artículos'!$AO:$AO))/(_xlfn.XLOOKUP($AL$1,[1]CRITERIOS!$S$16:$S$39,[1]CRITERIOS!$Y$16:$Y$39))*$J321+$Z321)))</f>
        <v>#N/A</v>
      </c>
    </row>
    <row r="322" spans="1:37" ht="25.8" hidden="1" x14ac:dyDescent="0.4">
      <c r="A322" s="41"/>
      <c r="B322" s="33">
        <f>_xlfn.XLOOKUP($A322,'[1]DATOS PBI Artículos'!A:A,'[1]DATOS PBI Artículos'!B:B)</f>
        <v>0</v>
      </c>
      <c r="C322" s="33">
        <f>_xlfn.XLOOKUP($A322,'[1]DATOS PBI Artículos'!A:A,'[1]DATOS PBI Artículos'!C:C)</f>
        <v>0</v>
      </c>
      <c r="D322" s="33">
        <f>_xlfn.XLOOKUP(A322,'[1]DATOS PBI Artículos'!A:A,'[1]DATOS PBI Artículos'!T:T)</f>
        <v>0</v>
      </c>
      <c r="E322" s="34">
        <f>IF(_xlfn.XLOOKUP($A322,'[1]DATOS PBI Artículos'!A:A,'[1]DATOS PBI Artículos'!AK:AK)="",_xlfn.XLOOKUP($A322,'[1]DATOS PBI Artículos'!A:A,'[1]DATOS PBI Artículos'!AJ:AJ),_xlfn.XLOOKUP($A322,'[1]DATOS PBI Artículos'!A:A,'[1]DATOS PBI Artículos'!AK:AK))</f>
        <v>0</v>
      </c>
      <c r="F322" s="35">
        <f>_xlfn.XLOOKUP($A322,'[1]DATOS PBI Artículos'!A:A,'[1]DATOS PBI Artículos'!AP:AP)</f>
        <v>0</v>
      </c>
      <c r="G322" s="34">
        <f>_xlfn.XLOOKUP($A322,'[1]DATOS PBI Artículos'!A:A,'[1]DATOS PBI Artículos'!AR:AR)</f>
        <v>0</v>
      </c>
      <c r="H322" s="34">
        <f>_xlfn.XLOOKUP($A322,'[1]DATOS PBI Artículos'!A:A,'[1]DATOS PBI Artículos'!AT:AT)</f>
        <v>0</v>
      </c>
      <c r="I322" s="34">
        <f>_xlfn.XLOOKUP($A322,'[1]DATOS PBI Artículos'!A:A,'[1]DATOS PBI Artículos'!AS:AS)</f>
        <v>0</v>
      </c>
      <c r="J322" s="35">
        <f>IF(COUNTIF([1]CRITERIOS!$F$179:$F$199,$A322)&gt;=1,
 IF(O322&lt;&gt;"",
    (O322/_xlfn.XLOOKUP(CONCATENATE(A322,L322),[1]MÁQUINAS!A:A,[1]MÁQUINAS!D:D))/24,
    (N322/_xlfn.XLOOKUP(CONCATENATE(A322,L322),[1]MÁQUINAS!A:A,[1]MÁQUINAS!D:D))/24),
  _xlfn.XLOOKUP($A322,'[1]DATOS PBI Artículos'!A:A,'[1]DATOS PBI Artículos'!AU:AU))</f>
        <v>0</v>
      </c>
      <c r="K322" s="36">
        <f>_xlfn.XLOOKUP($A322,'[1]DATOS PBI Artículos'!A:A,'[1]DATOS PBI Artículos'!AV:AV)</f>
        <v>0</v>
      </c>
      <c r="L322" s="33">
        <f>_xlfn.XLOOKUP(A322,[1]MÁQUINAS!B:B,[1]MÁQUINAS!C:C)</f>
        <v>0</v>
      </c>
      <c r="M322" s="34">
        <f t="array" ref="M322">_xlfn.XLOOKUP(A322,'[1]DATOS PBI Artículos'!A:A,'[1]DATOS PBI Artículos'!AX:$AX)</f>
        <v>0</v>
      </c>
      <c r="N322" s="37" t="e">
        <f>IF(I322="DV",
E322,
IF(COUNTIF([1]CRITERIOS!$I$179:$I$199,$A322)&gt;=1,
_xlfn.XLOOKUP($A322,[1]CRITERIOS!$I$179:$I$199,[1]CRITERIOS!$J$179:$J$199),
IF(COUNTIF([1]CRITERIOS!$L$179:$L$199,$A322)&gt;=1,
_xlfn.CEILING.MATH(IF($M322&gt;$E322,
$E322,
IF($M322&lt;$E322/ROUNDDOWN([1]CRITERIOS!$M$16/_xlfn.XLOOKUP($C322,[1]CRITERIOS!$K$25:$K$42,[1]CRITERIOS!$M$25:$M$42),
1),
E322/ROUNDDOWN([1]CRITERIOS!$M$16/_xlfn.XLOOKUP($C322,[1]CRITERIOS!$K$25:$K$42,[1]CRITERIOS!$M$25:$M$42),
1),
$M322)),
_xlfn.XLOOKUP($A322,[1]CRITERIOS!$L$179:$L$200,[1]CRITERIOS!$M$179:$M$200)),
_xlfn.CEILING.MATH(IF($M322&gt;$E322,
$E322,
IF($M322&lt;$E322/ROUNDDOWN([1]CRITERIOS!$M$16/_xlfn.XLOOKUP($C322,[1]CRITERIOS!$K$25:$K$42,[1]CRITERIOS!$M$25:$M$42),
1),
E322/ROUNDDOWN([1]CRITERIOS!$M$16/_xlfn.XLOOKUP($C322,[1]CRITERIOS!$K$25:$K$42,[1]CRITERIOS!$M$25:$M$42),
1),
$M322)),_xlfn.XLOOKUP(A322,'[1]DATOS PBI Artículos'!A:A,'[1]DATOS PBI Artículos'!Z:Z
)))))</f>
        <v>#N/A</v>
      </c>
      <c r="Q322" s="38" t="e">
        <f>IF(AND(O322="",N322=0),
0,
   IF(COUNTIF([1]CRITERIOS!$F$179:$F$199,$A322)&gt;=1,
   1,
   IF(R322="MTO",
      $D322,
      ROUNDUP(
                    IF(($E322-SUMIF('[1]DATOS PBI Artículos'!A:A,A322,'[1]DATOS PBI Artículos'!X:X)+($V322-_xlfn.XLOOKUP(A322,'[1]DATOS PBI Artículos'!A:A,'[1]DATOS PBI Artículos'!W:W)))&lt;0,
                    0,
                    IF(($E322-SUMIF('[1]DATOS PBI Artículos'!A:A,A322,'[1]DATOS PBI Artículos'!X:X)+$V322-_xlfn.XLOOKUP($A322,'[1]DATOS PBI Artículos'!A:A,'[1]DATOS PBI Artículos'!W:W))/IF($O322="",$N322,$O322)&gt;ROUNDUP([1]CRITERIOS!$M$16/(IF(COUNTIF([1]CRITERIOS!$BG$11:$BG$201,L322)&gt;=1,_xlfn.XLOOKUP($C322,[1]CRITERIOS!$K$25:$K$42,[1]CRITERIOS!$M$25:$M$42),_xlfn.XLOOKUP($C322,[1]CRITERIOS!$K$25:$K$42,[1]CRITERIOS!$M$25:$M$42))),0),
                    ROUNDUP([1]CRITERIOS!$M$16/(IF(COUNTIF([1]CRITERIOS!$BG$11:$BG$201,$L322)&gt;=1,_xlfn.XLOOKUP($C322,[1]CRITERIOS!$K$25:$K$42,[1]CRITERIOS!$M$25:$M$42),_xlfn.XLOOKUP($C322,[1]CRITERIOS!$K$25:$K$42,[1]CRITERIOS!$M$25:$M$42))),0),
                    (E322+V322-SUMIF('[1]DATOS PBI Artículos'!A:A,A322,'[1]DATOS PBI Artículos'!X:X)-_xlfn.XLOOKUP(A322,'[1]DATOS PBI Artículos'!A:A,'[1]DATOS PBI Artículos'!W:W))/IF($O322="",$N322,$O322))),0))))</f>
        <v>#N/A</v>
      </c>
      <c r="R322" s="33" t="e">
        <f>IF(U322&lt;&gt;"",U322,IF(F322="DV","MTO",IF(N322=0,"MTO",_xlfn.XLOOKUP(CONCATENATE(S322,T322),[1]CRITERIOS!$K$160:$K$168,[1]CRITERIOS!$N$160:$N$168))))</f>
        <v>#N/A</v>
      </c>
      <c r="S322" s="33" t="e">
        <f>IF(G322="DV","MTO",IF(N322=0,"MTO",IF(OR(AND(N322=0,O322=""),IF(O322="",G322/N322,G322/O322)&gt;[1]CRITERIOS!$G$163),"MTO",IF(IF(O322="",G322/N322,G322/O322)&lt;[1]CRITERIOS!$H$161,"MTS","MTOS"))))</f>
        <v>#N/A</v>
      </c>
      <c r="T322" s="33" t="e">
        <f>IF(F322="DV","MTO",IF(OR(AND($N322=0,O322=""),$F322/$J322&gt;[1]CRITERIOS!$G$170,$F322="DV"),"MTO",IF($F322/$J322&lt;[1]CRITERIOS!$H$168,"MTS","MTOS")))</f>
        <v>#N/A</v>
      </c>
      <c r="V322" s="34" t="e">
        <f t="shared" si="16"/>
        <v>#N/A</v>
      </c>
      <c r="X322" s="34" t="e">
        <f t="shared" si="14"/>
        <v>#N/A</v>
      </c>
      <c r="Y322" s="34" t="e">
        <f t="shared" si="15"/>
        <v>#N/A</v>
      </c>
      <c r="Z322" s="34" t="e">
        <f>IF($R322="MTO",
0,
($H322+$K322*($E322/[1]CRITERIOS!$M$16))/[1]CRITERIOS!$X$48)</f>
        <v>#N/A</v>
      </c>
      <c r="AA322" s="34" t="e">
        <f>ROUNDUP(($Y322/_xlfn.XLOOKUP($A322,'[1]DATOS PBI Artículos'!$A$4:$A$4,'[1]DATOS PBI Artículos'!$Z$4:$Z$4))/_xlfn.XLOOKUP(_xlfn.XLOOKUP($A322,'[1]DATOS PBI Artículos'!$A$4:$A$4,'[1]DATOS PBI Artículos'!$Y$4:$Y$4),[1]CRITERIOS!$P$79:$P$123,[1]CRITERIOS!$S$79:$S$123,),0)</f>
        <v>#N/A</v>
      </c>
      <c r="AB322" s="33" t="e">
        <f t="array" ref="AB322">IF((E322+V322-_xlfn.XLOOKUP(A322,'[1]DATOS PBI Artículos'!$A$4:$A$4,'[1]DATOS PBI Artículos'!$W$4:$W$4))/N322&gt;ROUNDUP([1]CRITERIOS!$M$16/(IF(COUNTIF([1]CRITERIOS!$BG$11:$BG$201,L322)&gt;=1,_xlfn.XLOOKUP(ARTÍCULOS!L322,[1]CRITERIOS!$BG$11:$BG$201,[1]CRITERIOS!$BJ$11:$BJ$201),_xlfn.XLOOKUP(ARTÍCULOS!C322,[1]CRITERIOS!$K$25:$K$42,[1]CRITERIOS!$M$25:$M$42))),0),ROUNDUP([1]CRITERIOS!$M$16/(IF(COUNTIF([1]CRITERIOS!$BG$11:$BG$201,L322)&gt;=1,_xlfn.XLOOKUP(ARTÍCULOS!L322,[1]CRITERIOS!$BG$11:$BG$201:#REF!,[1]CRITERIOS!$BJ$11:$BJ$201),_xlfn.XLOOKUP(ARTÍCULOS!C322,[1]CRITERIOS!$K$25:$K$42,[1]CRITERIOS!$M$25:$M$42))),0),(E322+V322-_xlfn.XLOOKUP(A322,'[1]DATOS PBI Artículos'!$A$4:$A$4,'[1]DATOS PBI Artículos'!$W$4:$W$4))/N322)</f>
        <v>#N/A</v>
      </c>
      <c r="AC322" s="33" t="e">
        <f>IF(N322=0,"",(ROUNDUP((N322/2)/(_xlfn.XLOOKUP(A322,'[1]DATOS PBI Artículos'!$A$4:$A$4,'[1]DATOS PBI Artículos'!$Z$4:$Z$4)*_xlfn.XLOOKUP(_xlfn.XLOOKUP(A322,'[1]DATOS PBI Artículos'!$A$4:$A$4,'[1]DATOS PBI Artículos'!$Y$4:$Y$4),[1]CRITERIOS!$P$79:$P$123,[1]CRITERIOS!$S$79:$S$123)),0)*[1]CRITERIOS!$M$80*([1]CRITERIOS!$M$110/[1]CRITERIOS!$M$86)+(_xlfn.XLOOKUP(A322,'[1]DATOS PBI Artículos'!$A$4:$A$4,'[1]DATOS PBI Artículos'!$AA$4:$AA$4)*([1]CRITERIOS!$M$95+[1]CRITERIOS!$M$98)))/N322)</f>
        <v>#N/A</v>
      </c>
      <c r="AD322" s="33" t="e">
        <f>IF(N322=0,"",(ROUNDUP((N322/2)/(_xlfn.XLOOKUP(A322,'[1]DATOS PBI Artículos'!$A$4:$A$4,'[1]DATOS PBI Artículos'!$Z$4:$Z$4)*_xlfn.XLOOKUP(_xlfn.XLOOKUP(A322,'[1]DATOS PBI Artículos'!$A$4:$A$4,'[1]DATOS PBI Artículos'!$Y$4:$Y$4),[1]CRITERIOS!$P$79:$P$123,[1]CRITERIOS!$S$79:$S$123)),0)*[1]CRITERIOS!$M$80*([1]CRITERIOS!$M$89*[1]CRITERIOS!$M$92)+((_xlfn.XLOOKUP(A322,'[1]DATOS PBI Artículos'!$A$4:$A$4,'[1]DATOS PBI Artículos'!$AA$4:$AA$4)/2)*([1]CRITERIOS!$M$95+[1]CRITERIOS!$M$98)))/N322)</f>
        <v>#N/A</v>
      </c>
      <c r="AE322" s="39" t="e">
        <f>IF($R322="MTO","",
IF($H322=0,ROUNDUP(((_xlfn.XLOOKUP($A322,'[1]DATOS PBI Artículos'!$A:$A,'[1]DATOS PBI Artículos'!$AL:$AL))/(_xlfn.XLOOKUP($AF$1,[1]CRITERIOS!$S$16:$S$39,[1]CRITERIOS!$Y$16:$Y$39))*$J322+$Z322)/$G322,0)*$G322,
((_xlfn.XLOOKUP($A322,'[1]DATOS PBI Artículos'!$A:$A,'[1]DATOS PBI Artículos'!$AL:$AL))/(_xlfn.XLOOKUP($AF$1,[1]CRITERIOS!$S$16:$S$39,[1]CRITERIOS!$Y$16:$Y$39))*$J322+$Z322)))</f>
        <v>#N/A</v>
      </c>
      <c r="AG322" s="39" t="e">
        <f>IF($R322="MTO","",
IF($H322=0,ROUNDUP(((_xlfn.XLOOKUP($A322,'[1]DATOS PBI Artículos'!$A:$A,'[1]DATOS PBI Artículos'!$AM:$AM))/(_xlfn.XLOOKUP($AH$1,[1]CRITERIOS!$S$16:$S$39,[1]CRITERIOS!$Y$16:$Y$39))*$J322+$Z322)/$G322,0)*$G322,
((_xlfn.XLOOKUP($A322,'[1]DATOS PBI Artículos'!$A:$A,'[1]DATOS PBI Artículos'!$AM:$AM))/(_xlfn.XLOOKUP($AH$1,[1]CRITERIOS!$S$16:$S$39,[1]CRITERIOS!$Y$16:$Y$39))*$J322+$Z322)))</f>
        <v>#N/A</v>
      </c>
      <c r="AI322" s="39" t="e">
        <f>IF($R322="MTO","",
IF($H322=0,ROUNDUP(((_xlfn.XLOOKUP($A322,'[1]DATOS PBI Artículos'!$A:$A,'[1]DATOS PBI Artículos'!$AN:$AN))/(_xlfn.XLOOKUP($AJ$1,[1]CRITERIOS!$S$16:$S$39,[1]CRITERIOS!$Y$16:$Y$39))*$J322+$Z322)/$G322,0)*$G322,
((_xlfn.XLOOKUP($A322,'[1]DATOS PBI Artículos'!$A:$A,'[1]DATOS PBI Artículos'!$AN:$AN))/(_xlfn.XLOOKUP($AJ$1,[1]CRITERIOS!$S$16:$S$39,[1]CRITERIOS!$Y$16:$Y$39))*$J322+$Z322)))</f>
        <v>#N/A</v>
      </c>
      <c r="AK322" s="39" t="e">
        <f>IF($R322="MTO","",
IF($H322=0,ROUNDUP(((_xlfn.XLOOKUP($A322,'[1]DATOS PBI Artículos'!$A:$A,'[1]DATOS PBI Artículos'!$AO:$AO))/(_xlfn.XLOOKUP($AL$1,[1]CRITERIOS!$S$16:$S$39,[1]CRITERIOS!$Y$16:$Y$39))*$J322+$Z322)/$G322,0)*$G322,
((_xlfn.XLOOKUP($A322,'[1]DATOS PBI Artículos'!$A:$A,'[1]DATOS PBI Artículos'!$AO:$AO))/(_xlfn.XLOOKUP($AL$1,[1]CRITERIOS!$S$16:$S$39,[1]CRITERIOS!$Y$16:$Y$39))*$J322+$Z322)))</f>
        <v>#N/A</v>
      </c>
    </row>
    <row r="323" spans="1:37" ht="25.8" hidden="1" x14ac:dyDescent="0.4">
      <c r="A323" s="41"/>
      <c r="B323" s="33">
        <f>_xlfn.XLOOKUP($A323,'[1]DATOS PBI Artículos'!A:A,'[1]DATOS PBI Artículos'!B:B)</f>
        <v>0</v>
      </c>
      <c r="C323" s="33">
        <f>_xlfn.XLOOKUP($A323,'[1]DATOS PBI Artículos'!A:A,'[1]DATOS PBI Artículos'!C:C)</f>
        <v>0</v>
      </c>
      <c r="D323" s="33">
        <f>_xlfn.XLOOKUP(A323,'[1]DATOS PBI Artículos'!A:A,'[1]DATOS PBI Artículos'!T:T)</f>
        <v>0</v>
      </c>
      <c r="E323" s="34">
        <f>IF(_xlfn.XLOOKUP($A323,'[1]DATOS PBI Artículos'!A:A,'[1]DATOS PBI Artículos'!AK:AK)="",_xlfn.XLOOKUP($A323,'[1]DATOS PBI Artículos'!A:A,'[1]DATOS PBI Artículos'!AJ:AJ),_xlfn.XLOOKUP($A323,'[1]DATOS PBI Artículos'!A:A,'[1]DATOS PBI Artículos'!AK:AK))</f>
        <v>0</v>
      </c>
      <c r="F323" s="35">
        <f>_xlfn.XLOOKUP($A323,'[1]DATOS PBI Artículos'!A:A,'[1]DATOS PBI Artículos'!AP:AP)</f>
        <v>0</v>
      </c>
      <c r="G323" s="34">
        <f>_xlfn.XLOOKUP($A323,'[1]DATOS PBI Artículos'!A:A,'[1]DATOS PBI Artículos'!AR:AR)</f>
        <v>0</v>
      </c>
      <c r="H323" s="34">
        <f>_xlfn.XLOOKUP($A323,'[1]DATOS PBI Artículos'!A:A,'[1]DATOS PBI Artículos'!AT:AT)</f>
        <v>0</v>
      </c>
      <c r="I323" s="34">
        <f>_xlfn.XLOOKUP($A323,'[1]DATOS PBI Artículos'!A:A,'[1]DATOS PBI Artículos'!AS:AS)</f>
        <v>0</v>
      </c>
      <c r="J323" s="35">
        <f>IF(COUNTIF([1]CRITERIOS!$F$179:$F$199,$A323)&gt;=1,
 IF(O323&lt;&gt;"",
    (O323/_xlfn.XLOOKUP(CONCATENATE(A323,L323),[1]MÁQUINAS!A:A,[1]MÁQUINAS!D:D))/24,
    (N323/_xlfn.XLOOKUP(CONCATENATE(A323,L323),[1]MÁQUINAS!A:A,[1]MÁQUINAS!D:D))/24),
  _xlfn.XLOOKUP($A323,'[1]DATOS PBI Artículos'!A:A,'[1]DATOS PBI Artículos'!AU:AU))</f>
        <v>0</v>
      </c>
      <c r="K323" s="36">
        <f>_xlfn.XLOOKUP($A323,'[1]DATOS PBI Artículos'!A:A,'[1]DATOS PBI Artículos'!AV:AV)</f>
        <v>0</v>
      </c>
      <c r="L323" s="33">
        <f>_xlfn.XLOOKUP(A323,[1]MÁQUINAS!B:B,[1]MÁQUINAS!C:C)</f>
        <v>0</v>
      </c>
      <c r="M323" s="34">
        <f t="array" ref="M323">_xlfn.XLOOKUP(A323,'[1]DATOS PBI Artículos'!A:A,'[1]DATOS PBI Artículos'!AX:$AX)</f>
        <v>0</v>
      </c>
      <c r="N323" s="37" t="e">
        <f>IF(I323="DV",
E323,
IF(COUNTIF([1]CRITERIOS!$I$179:$I$199,$A323)&gt;=1,
_xlfn.XLOOKUP($A323,[1]CRITERIOS!$I$179:$I$199,[1]CRITERIOS!$J$179:$J$199),
IF(COUNTIF([1]CRITERIOS!$L$179:$L$199,$A323)&gt;=1,
_xlfn.CEILING.MATH(IF($M323&gt;$E323,
$E323,
IF($M323&lt;$E323/ROUNDDOWN([1]CRITERIOS!$M$16/_xlfn.XLOOKUP($C323,[1]CRITERIOS!$K$25:$K$42,[1]CRITERIOS!$M$25:$M$42),
1),
E323/ROUNDDOWN([1]CRITERIOS!$M$16/_xlfn.XLOOKUP($C323,[1]CRITERIOS!$K$25:$K$42,[1]CRITERIOS!$M$25:$M$42),
1),
$M323)),
_xlfn.XLOOKUP($A323,[1]CRITERIOS!$L$179:$L$200,[1]CRITERIOS!$M$179:$M$200)),
_xlfn.CEILING.MATH(IF($M323&gt;$E323,
$E323,
IF($M323&lt;$E323/ROUNDDOWN([1]CRITERIOS!$M$16/_xlfn.XLOOKUP($C323,[1]CRITERIOS!$K$25:$K$42,[1]CRITERIOS!$M$25:$M$42),
1),
E323/ROUNDDOWN([1]CRITERIOS!$M$16/_xlfn.XLOOKUP($C323,[1]CRITERIOS!$K$25:$K$42,[1]CRITERIOS!$M$25:$M$42),
1),
$M323)),_xlfn.XLOOKUP(A323,'[1]DATOS PBI Artículos'!A:A,'[1]DATOS PBI Artículos'!Z:Z
)))))</f>
        <v>#N/A</v>
      </c>
      <c r="Q323" s="38" t="e">
        <f>IF(AND(O323="",N323=0),
0,
   IF(COUNTIF([1]CRITERIOS!$F$179:$F$199,$A323)&gt;=1,
   1,
   IF(R323="MTO",
      $D323,
      ROUNDUP(
                    IF(($E323-SUMIF('[1]DATOS PBI Artículos'!A:A,A323,'[1]DATOS PBI Artículos'!X:X)+($V323-_xlfn.XLOOKUP(A323,'[1]DATOS PBI Artículos'!A:A,'[1]DATOS PBI Artículos'!W:W)))&lt;0,
                    0,
                    IF(($E323-SUMIF('[1]DATOS PBI Artículos'!A:A,A323,'[1]DATOS PBI Artículos'!X:X)+$V323-_xlfn.XLOOKUP($A323,'[1]DATOS PBI Artículos'!A:A,'[1]DATOS PBI Artículos'!W:W))/IF($O323="",$N323,$O323)&gt;ROUNDUP([1]CRITERIOS!$M$16/(IF(COUNTIF([1]CRITERIOS!$BG$11:$BG$201,L323)&gt;=1,_xlfn.XLOOKUP($C323,[1]CRITERIOS!$K$25:$K$42,[1]CRITERIOS!$M$25:$M$42),_xlfn.XLOOKUP($C323,[1]CRITERIOS!$K$25:$K$42,[1]CRITERIOS!$M$25:$M$42))),0),
                    ROUNDUP([1]CRITERIOS!$M$16/(IF(COUNTIF([1]CRITERIOS!$BG$11:$BG$201,$L323)&gt;=1,_xlfn.XLOOKUP($C323,[1]CRITERIOS!$K$25:$K$42,[1]CRITERIOS!$M$25:$M$42),_xlfn.XLOOKUP($C323,[1]CRITERIOS!$K$25:$K$42,[1]CRITERIOS!$M$25:$M$42))),0),
                    (E323+V323-SUMIF('[1]DATOS PBI Artículos'!A:A,A323,'[1]DATOS PBI Artículos'!X:X)-_xlfn.XLOOKUP(A323,'[1]DATOS PBI Artículos'!A:A,'[1]DATOS PBI Artículos'!W:W))/IF($O323="",$N323,$O323))),0))))</f>
        <v>#N/A</v>
      </c>
      <c r="R323" s="33" t="e">
        <f>IF(U323&lt;&gt;"",U323,IF(F323="DV","MTO",IF(N323=0,"MTO",_xlfn.XLOOKUP(CONCATENATE(S323,T323),[1]CRITERIOS!$K$160:$K$168,[1]CRITERIOS!$N$160:$N$168))))</f>
        <v>#N/A</v>
      </c>
      <c r="S323" s="33" t="e">
        <f>IF(G323="DV","MTO",IF(N323=0,"MTO",IF(OR(AND(N323=0,O323=""),IF(O323="",G323/N323,G323/O323)&gt;[1]CRITERIOS!$G$163),"MTO",IF(IF(O323="",G323/N323,G323/O323)&lt;[1]CRITERIOS!$H$161,"MTS","MTOS"))))</f>
        <v>#N/A</v>
      </c>
      <c r="T323" s="33" t="e">
        <f>IF(F323="DV","MTO",IF(OR(AND($N323=0,O323=""),$F323/$J323&gt;[1]CRITERIOS!$G$170,$F323="DV"),"MTO",IF($F323/$J323&lt;[1]CRITERIOS!$H$168,"MTS","MTOS")))</f>
        <v>#N/A</v>
      </c>
      <c r="V323" s="34" t="e">
        <f t="shared" si="16"/>
        <v>#N/A</v>
      </c>
      <c r="X323" s="34" t="e">
        <f t="shared" ref="X323:X386" si="17">IF(R323="MTO",0,V323+N323)</f>
        <v>#N/A</v>
      </c>
      <c r="Y323" s="34" t="e">
        <f t="shared" ref="Y323:Y386" si="18">IF(R323="MTO",0,Z323+(N323/2))</f>
        <v>#N/A</v>
      </c>
      <c r="Z323" s="34" t="e">
        <f>IF($R323="MTO",
0,
($H323+$K323*($E323/[1]CRITERIOS!$M$16))/[1]CRITERIOS!$X$48)</f>
        <v>#N/A</v>
      </c>
      <c r="AA323" s="34" t="e">
        <f>ROUNDUP(($Y323/_xlfn.XLOOKUP($A323,'[1]DATOS PBI Artículos'!$A$4:$A$4,'[1]DATOS PBI Artículos'!$Z$4:$Z$4))/_xlfn.XLOOKUP(_xlfn.XLOOKUP($A323,'[1]DATOS PBI Artículos'!$A$4:$A$4,'[1]DATOS PBI Artículos'!$Y$4:$Y$4),[1]CRITERIOS!$P$79:$P$123,[1]CRITERIOS!$S$79:$S$123,),0)</f>
        <v>#N/A</v>
      </c>
      <c r="AB323" s="33" t="e">
        <f t="array" ref="AB323">IF((E323+V323-_xlfn.XLOOKUP(A323,'[1]DATOS PBI Artículos'!$A$4:$A$4,'[1]DATOS PBI Artículos'!$W$4:$W$4))/N323&gt;ROUNDUP([1]CRITERIOS!$M$16/(IF(COUNTIF([1]CRITERIOS!$BG$11:$BG$201,L323)&gt;=1,_xlfn.XLOOKUP(ARTÍCULOS!L323,[1]CRITERIOS!$BG$11:$BG$201,[1]CRITERIOS!$BJ$11:$BJ$201),_xlfn.XLOOKUP(ARTÍCULOS!C323,[1]CRITERIOS!$K$25:$K$42,[1]CRITERIOS!$M$25:$M$42))),0),ROUNDUP([1]CRITERIOS!$M$16/(IF(COUNTIF([1]CRITERIOS!$BG$11:$BG$201,L323)&gt;=1,_xlfn.XLOOKUP(ARTÍCULOS!L323,[1]CRITERIOS!$BG$11:$BG$201:#REF!,[1]CRITERIOS!$BJ$11:$BJ$201),_xlfn.XLOOKUP(ARTÍCULOS!C323,[1]CRITERIOS!$K$25:$K$42,[1]CRITERIOS!$M$25:$M$42))),0),(E323+V323-_xlfn.XLOOKUP(A323,'[1]DATOS PBI Artículos'!$A$4:$A$4,'[1]DATOS PBI Artículos'!$W$4:$W$4))/N323)</f>
        <v>#N/A</v>
      </c>
      <c r="AC323" s="33" t="e">
        <f>IF(N323=0,"",(ROUNDUP((N323/2)/(_xlfn.XLOOKUP(A323,'[1]DATOS PBI Artículos'!$A$4:$A$4,'[1]DATOS PBI Artículos'!$Z$4:$Z$4)*_xlfn.XLOOKUP(_xlfn.XLOOKUP(A323,'[1]DATOS PBI Artículos'!$A$4:$A$4,'[1]DATOS PBI Artículos'!$Y$4:$Y$4),[1]CRITERIOS!$P$79:$P$123,[1]CRITERIOS!$S$79:$S$123)),0)*[1]CRITERIOS!$M$80*([1]CRITERIOS!$M$110/[1]CRITERIOS!$M$86)+(_xlfn.XLOOKUP(A323,'[1]DATOS PBI Artículos'!$A$4:$A$4,'[1]DATOS PBI Artículos'!$AA$4:$AA$4)*([1]CRITERIOS!$M$95+[1]CRITERIOS!$M$98)))/N323)</f>
        <v>#N/A</v>
      </c>
      <c r="AD323" s="33" t="e">
        <f>IF(N323=0,"",(ROUNDUP((N323/2)/(_xlfn.XLOOKUP(A323,'[1]DATOS PBI Artículos'!$A$4:$A$4,'[1]DATOS PBI Artículos'!$Z$4:$Z$4)*_xlfn.XLOOKUP(_xlfn.XLOOKUP(A323,'[1]DATOS PBI Artículos'!$A$4:$A$4,'[1]DATOS PBI Artículos'!$Y$4:$Y$4),[1]CRITERIOS!$P$79:$P$123,[1]CRITERIOS!$S$79:$S$123)),0)*[1]CRITERIOS!$M$80*([1]CRITERIOS!$M$89*[1]CRITERIOS!$M$92)+((_xlfn.XLOOKUP(A323,'[1]DATOS PBI Artículos'!$A$4:$A$4,'[1]DATOS PBI Artículos'!$AA$4:$AA$4)/2)*([1]CRITERIOS!$M$95+[1]CRITERIOS!$M$98)))/N323)</f>
        <v>#N/A</v>
      </c>
      <c r="AE323" s="39" t="e">
        <f>IF($R323="MTO","",
IF($H323=0,ROUNDUP(((_xlfn.XLOOKUP($A323,'[1]DATOS PBI Artículos'!$A:$A,'[1]DATOS PBI Artículos'!$AL:$AL))/(_xlfn.XLOOKUP($AF$1,[1]CRITERIOS!$S$16:$S$39,[1]CRITERIOS!$Y$16:$Y$39))*$J323+$Z323)/$G323,0)*$G323,
((_xlfn.XLOOKUP($A323,'[1]DATOS PBI Artículos'!$A:$A,'[1]DATOS PBI Artículos'!$AL:$AL))/(_xlfn.XLOOKUP($AF$1,[1]CRITERIOS!$S$16:$S$39,[1]CRITERIOS!$Y$16:$Y$39))*$J323+$Z323)))</f>
        <v>#N/A</v>
      </c>
      <c r="AG323" s="39" t="e">
        <f>IF($R323="MTO","",
IF($H323=0,ROUNDUP(((_xlfn.XLOOKUP($A323,'[1]DATOS PBI Artículos'!$A:$A,'[1]DATOS PBI Artículos'!$AM:$AM))/(_xlfn.XLOOKUP($AH$1,[1]CRITERIOS!$S$16:$S$39,[1]CRITERIOS!$Y$16:$Y$39))*$J323+$Z323)/$G323,0)*$G323,
((_xlfn.XLOOKUP($A323,'[1]DATOS PBI Artículos'!$A:$A,'[1]DATOS PBI Artículos'!$AM:$AM))/(_xlfn.XLOOKUP($AH$1,[1]CRITERIOS!$S$16:$S$39,[1]CRITERIOS!$Y$16:$Y$39))*$J323+$Z323)))</f>
        <v>#N/A</v>
      </c>
      <c r="AI323" s="39" t="e">
        <f>IF($R323="MTO","",
IF($H323=0,ROUNDUP(((_xlfn.XLOOKUP($A323,'[1]DATOS PBI Artículos'!$A:$A,'[1]DATOS PBI Artículos'!$AN:$AN))/(_xlfn.XLOOKUP($AJ$1,[1]CRITERIOS!$S$16:$S$39,[1]CRITERIOS!$Y$16:$Y$39))*$J323+$Z323)/$G323,0)*$G323,
((_xlfn.XLOOKUP($A323,'[1]DATOS PBI Artículos'!$A:$A,'[1]DATOS PBI Artículos'!$AN:$AN))/(_xlfn.XLOOKUP($AJ$1,[1]CRITERIOS!$S$16:$S$39,[1]CRITERIOS!$Y$16:$Y$39))*$J323+$Z323)))</f>
        <v>#N/A</v>
      </c>
      <c r="AK323" s="39" t="e">
        <f>IF($R323="MTO","",
IF($H323=0,ROUNDUP(((_xlfn.XLOOKUP($A323,'[1]DATOS PBI Artículos'!$A:$A,'[1]DATOS PBI Artículos'!$AO:$AO))/(_xlfn.XLOOKUP($AL$1,[1]CRITERIOS!$S$16:$S$39,[1]CRITERIOS!$Y$16:$Y$39))*$J323+$Z323)/$G323,0)*$G323,
((_xlfn.XLOOKUP($A323,'[1]DATOS PBI Artículos'!$A:$A,'[1]DATOS PBI Artículos'!$AO:$AO))/(_xlfn.XLOOKUP($AL$1,[1]CRITERIOS!$S$16:$S$39,[1]CRITERIOS!$Y$16:$Y$39))*$J323+$Z323)))</f>
        <v>#N/A</v>
      </c>
    </row>
    <row r="324" spans="1:37" ht="25.8" hidden="1" x14ac:dyDescent="0.4">
      <c r="A324" s="41"/>
      <c r="B324" s="33">
        <f>_xlfn.XLOOKUP($A324,'[1]DATOS PBI Artículos'!A:A,'[1]DATOS PBI Artículos'!B:B)</f>
        <v>0</v>
      </c>
      <c r="C324" s="33">
        <f>_xlfn.XLOOKUP($A324,'[1]DATOS PBI Artículos'!A:A,'[1]DATOS PBI Artículos'!C:C)</f>
        <v>0</v>
      </c>
      <c r="D324" s="33">
        <f>_xlfn.XLOOKUP(A324,'[1]DATOS PBI Artículos'!A:A,'[1]DATOS PBI Artículos'!T:T)</f>
        <v>0</v>
      </c>
      <c r="E324" s="34">
        <f>IF(_xlfn.XLOOKUP($A324,'[1]DATOS PBI Artículos'!A:A,'[1]DATOS PBI Artículos'!AK:AK)="",_xlfn.XLOOKUP($A324,'[1]DATOS PBI Artículos'!A:A,'[1]DATOS PBI Artículos'!AJ:AJ),_xlfn.XLOOKUP($A324,'[1]DATOS PBI Artículos'!A:A,'[1]DATOS PBI Artículos'!AK:AK))</f>
        <v>0</v>
      </c>
      <c r="F324" s="35">
        <f>_xlfn.XLOOKUP($A324,'[1]DATOS PBI Artículos'!A:A,'[1]DATOS PBI Artículos'!AP:AP)</f>
        <v>0</v>
      </c>
      <c r="G324" s="34">
        <f>_xlfn.XLOOKUP($A324,'[1]DATOS PBI Artículos'!A:A,'[1]DATOS PBI Artículos'!AR:AR)</f>
        <v>0</v>
      </c>
      <c r="H324" s="34">
        <f>_xlfn.XLOOKUP($A324,'[1]DATOS PBI Artículos'!A:A,'[1]DATOS PBI Artículos'!AT:AT)</f>
        <v>0</v>
      </c>
      <c r="I324" s="34">
        <f>_xlfn.XLOOKUP($A324,'[1]DATOS PBI Artículos'!A:A,'[1]DATOS PBI Artículos'!AS:AS)</f>
        <v>0</v>
      </c>
      <c r="J324" s="35">
        <f>IF(COUNTIF([1]CRITERIOS!$F$179:$F$199,$A324)&gt;=1,
 IF(O324&lt;&gt;"",
    (O324/_xlfn.XLOOKUP(CONCATENATE(A324,L324),[1]MÁQUINAS!A:A,[1]MÁQUINAS!D:D))/24,
    (N324/_xlfn.XLOOKUP(CONCATENATE(A324,L324),[1]MÁQUINAS!A:A,[1]MÁQUINAS!D:D))/24),
  _xlfn.XLOOKUP($A324,'[1]DATOS PBI Artículos'!A:A,'[1]DATOS PBI Artículos'!AU:AU))</f>
        <v>0</v>
      </c>
      <c r="K324" s="36">
        <f>_xlfn.XLOOKUP($A324,'[1]DATOS PBI Artículos'!A:A,'[1]DATOS PBI Artículos'!AV:AV)</f>
        <v>0</v>
      </c>
      <c r="L324" s="33">
        <f>_xlfn.XLOOKUP(A324,[1]MÁQUINAS!B:B,[1]MÁQUINAS!C:C)</f>
        <v>0</v>
      </c>
      <c r="M324" s="34">
        <f t="array" ref="M324">_xlfn.XLOOKUP(A324,'[1]DATOS PBI Artículos'!A:A,'[1]DATOS PBI Artículos'!AX:$AX)</f>
        <v>0</v>
      </c>
      <c r="N324" s="37" t="e">
        <f>IF(I324="DV",
E324,
IF(COUNTIF([1]CRITERIOS!$I$179:$I$199,$A324)&gt;=1,
_xlfn.XLOOKUP($A324,[1]CRITERIOS!$I$179:$I$199,[1]CRITERIOS!$J$179:$J$199),
IF(COUNTIF([1]CRITERIOS!$L$179:$L$199,$A324)&gt;=1,
_xlfn.CEILING.MATH(IF($M324&gt;$E324,
$E324,
IF($M324&lt;$E324/ROUNDDOWN([1]CRITERIOS!$M$16/_xlfn.XLOOKUP($C324,[1]CRITERIOS!$K$25:$K$42,[1]CRITERIOS!$M$25:$M$42),
1),
E324/ROUNDDOWN([1]CRITERIOS!$M$16/_xlfn.XLOOKUP($C324,[1]CRITERIOS!$K$25:$K$42,[1]CRITERIOS!$M$25:$M$42),
1),
$M324)),
_xlfn.XLOOKUP($A324,[1]CRITERIOS!$L$179:$L$200,[1]CRITERIOS!$M$179:$M$200)),
_xlfn.CEILING.MATH(IF($M324&gt;$E324,
$E324,
IF($M324&lt;$E324/ROUNDDOWN([1]CRITERIOS!$M$16/_xlfn.XLOOKUP($C324,[1]CRITERIOS!$K$25:$K$42,[1]CRITERIOS!$M$25:$M$42),
1),
E324/ROUNDDOWN([1]CRITERIOS!$M$16/_xlfn.XLOOKUP($C324,[1]CRITERIOS!$K$25:$K$42,[1]CRITERIOS!$M$25:$M$42),
1),
$M324)),_xlfn.XLOOKUP(A324,'[1]DATOS PBI Artículos'!A:A,'[1]DATOS PBI Artículos'!Z:Z
)))))</f>
        <v>#N/A</v>
      </c>
      <c r="Q324" s="38" t="e">
        <f>IF(AND(O324="",N324=0),
0,
   IF(COUNTIF([1]CRITERIOS!$F$179:$F$199,$A324)&gt;=1,
   1,
   IF(R324="MTO",
      $D324,
      ROUNDUP(
                    IF(($E324-SUMIF('[1]DATOS PBI Artículos'!A:A,A324,'[1]DATOS PBI Artículos'!X:X)+($V324-_xlfn.XLOOKUP(A324,'[1]DATOS PBI Artículos'!A:A,'[1]DATOS PBI Artículos'!W:W)))&lt;0,
                    0,
                    IF(($E324-SUMIF('[1]DATOS PBI Artículos'!A:A,A324,'[1]DATOS PBI Artículos'!X:X)+$V324-_xlfn.XLOOKUP($A324,'[1]DATOS PBI Artículos'!A:A,'[1]DATOS PBI Artículos'!W:W))/IF($O324="",$N324,$O324)&gt;ROUNDUP([1]CRITERIOS!$M$16/(IF(COUNTIF([1]CRITERIOS!$BG$11:$BG$201,L324)&gt;=1,_xlfn.XLOOKUP($C324,[1]CRITERIOS!$K$25:$K$42,[1]CRITERIOS!$M$25:$M$42),_xlfn.XLOOKUP($C324,[1]CRITERIOS!$K$25:$K$42,[1]CRITERIOS!$M$25:$M$42))),0),
                    ROUNDUP([1]CRITERIOS!$M$16/(IF(COUNTIF([1]CRITERIOS!$BG$11:$BG$201,$L324)&gt;=1,_xlfn.XLOOKUP($C324,[1]CRITERIOS!$K$25:$K$42,[1]CRITERIOS!$M$25:$M$42),_xlfn.XLOOKUP($C324,[1]CRITERIOS!$K$25:$K$42,[1]CRITERIOS!$M$25:$M$42))),0),
                    (E324+V324-SUMIF('[1]DATOS PBI Artículos'!A:A,A324,'[1]DATOS PBI Artículos'!X:X)-_xlfn.XLOOKUP(A324,'[1]DATOS PBI Artículos'!A:A,'[1]DATOS PBI Artículos'!W:W))/IF($O324="",$N324,$O324))),0))))</f>
        <v>#N/A</v>
      </c>
      <c r="R324" s="33" t="e">
        <f>IF(U324&lt;&gt;"",U324,IF(F324="DV","MTO",IF(N324=0,"MTO",_xlfn.XLOOKUP(CONCATENATE(S324,T324),[1]CRITERIOS!$K$160:$K$168,[1]CRITERIOS!$N$160:$N$168))))</f>
        <v>#N/A</v>
      </c>
      <c r="S324" s="33" t="e">
        <f>IF(G324="DV","MTO",IF(N324=0,"MTO",IF(OR(AND(N324=0,O324=""),IF(O324="",G324/N324,G324/O324)&gt;[1]CRITERIOS!$G$163),"MTO",IF(IF(O324="",G324/N324,G324/O324)&lt;[1]CRITERIOS!$H$161,"MTS","MTOS"))))</f>
        <v>#N/A</v>
      </c>
      <c r="T324" s="33" t="e">
        <f>IF(F324="DV","MTO",IF(OR(AND($N324=0,O324=""),$F324/$J324&gt;[1]CRITERIOS!$G$170,$F324="DV"),"MTO",IF($F324/$J324&lt;[1]CRITERIOS!$H$168,"MTS","MTOS")))</f>
        <v>#N/A</v>
      </c>
      <c r="V324" s="34" t="e">
        <f t="shared" si="16"/>
        <v>#N/A</v>
      </c>
      <c r="X324" s="34" t="e">
        <f t="shared" si="17"/>
        <v>#N/A</v>
      </c>
      <c r="Y324" s="34" t="e">
        <f t="shared" si="18"/>
        <v>#N/A</v>
      </c>
      <c r="Z324" s="34" t="e">
        <f>IF($R324="MTO",
0,
($H324+$K324*($E324/[1]CRITERIOS!$M$16))/[1]CRITERIOS!$X$48)</f>
        <v>#N/A</v>
      </c>
      <c r="AA324" s="34" t="e">
        <f>ROUNDUP(($Y324/_xlfn.XLOOKUP($A324,'[1]DATOS PBI Artículos'!$A$4:$A$4,'[1]DATOS PBI Artículos'!$Z$4:$Z$4))/_xlfn.XLOOKUP(_xlfn.XLOOKUP($A324,'[1]DATOS PBI Artículos'!$A$4:$A$4,'[1]DATOS PBI Artículos'!$Y$4:$Y$4),[1]CRITERIOS!$P$79:$P$123,[1]CRITERIOS!$S$79:$S$123,),0)</f>
        <v>#N/A</v>
      </c>
      <c r="AB324" s="33" t="e">
        <f t="array" ref="AB324">IF((E324+V324-_xlfn.XLOOKUP(A324,'[1]DATOS PBI Artículos'!$A$4:$A$4,'[1]DATOS PBI Artículos'!$W$4:$W$4))/N324&gt;ROUNDUP([1]CRITERIOS!$M$16/(IF(COUNTIF([1]CRITERIOS!$BG$11:$BG$201,L324)&gt;=1,_xlfn.XLOOKUP(ARTÍCULOS!L324,[1]CRITERIOS!$BG$11:$BG$201,[1]CRITERIOS!$BJ$11:$BJ$201),_xlfn.XLOOKUP(ARTÍCULOS!C324,[1]CRITERIOS!$K$25:$K$42,[1]CRITERIOS!$M$25:$M$42))),0),ROUNDUP([1]CRITERIOS!$M$16/(IF(COUNTIF([1]CRITERIOS!$BG$11:$BG$201,L324)&gt;=1,_xlfn.XLOOKUP(ARTÍCULOS!L324,[1]CRITERIOS!$BG$11:$BG$201:#REF!,[1]CRITERIOS!$BJ$11:$BJ$201),_xlfn.XLOOKUP(ARTÍCULOS!C324,[1]CRITERIOS!$K$25:$K$42,[1]CRITERIOS!$M$25:$M$42))),0),(E324+V324-_xlfn.XLOOKUP(A324,'[1]DATOS PBI Artículos'!$A$4:$A$4,'[1]DATOS PBI Artículos'!$W$4:$W$4))/N324)</f>
        <v>#N/A</v>
      </c>
      <c r="AC324" s="33" t="e">
        <f>IF(N324=0,"",(ROUNDUP((N324/2)/(_xlfn.XLOOKUP(A324,'[1]DATOS PBI Artículos'!$A$4:$A$4,'[1]DATOS PBI Artículos'!$Z$4:$Z$4)*_xlfn.XLOOKUP(_xlfn.XLOOKUP(A324,'[1]DATOS PBI Artículos'!$A$4:$A$4,'[1]DATOS PBI Artículos'!$Y$4:$Y$4),[1]CRITERIOS!$P$79:$P$123,[1]CRITERIOS!$S$79:$S$123)),0)*[1]CRITERIOS!$M$80*([1]CRITERIOS!$M$110/[1]CRITERIOS!$M$86)+(_xlfn.XLOOKUP(A324,'[1]DATOS PBI Artículos'!$A$4:$A$4,'[1]DATOS PBI Artículos'!$AA$4:$AA$4)*([1]CRITERIOS!$M$95+[1]CRITERIOS!$M$98)))/N324)</f>
        <v>#N/A</v>
      </c>
      <c r="AD324" s="33" t="e">
        <f>IF(N324=0,"",(ROUNDUP((N324/2)/(_xlfn.XLOOKUP(A324,'[1]DATOS PBI Artículos'!$A$4:$A$4,'[1]DATOS PBI Artículos'!$Z$4:$Z$4)*_xlfn.XLOOKUP(_xlfn.XLOOKUP(A324,'[1]DATOS PBI Artículos'!$A$4:$A$4,'[1]DATOS PBI Artículos'!$Y$4:$Y$4),[1]CRITERIOS!$P$79:$P$123,[1]CRITERIOS!$S$79:$S$123)),0)*[1]CRITERIOS!$M$80*([1]CRITERIOS!$M$89*[1]CRITERIOS!$M$92)+((_xlfn.XLOOKUP(A324,'[1]DATOS PBI Artículos'!$A$4:$A$4,'[1]DATOS PBI Artículos'!$AA$4:$AA$4)/2)*([1]CRITERIOS!$M$95+[1]CRITERIOS!$M$98)))/N324)</f>
        <v>#N/A</v>
      </c>
      <c r="AE324" s="39" t="e">
        <f>IF($R324="MTO","",
IF($H324=0,ROUNDUP(((_xlfn.XLOOKUP($A324,'[1]DATOS PBI Artículos'!$A:$A,'[1]DATOS PBI Artículos'!$AL:$AL))/(_xlfn.XLOOKUP($AF$1,[1]CRITERIOS!$S$16:$S$39,[1]CRITERIOS!$Y$16:$Y$39))*$J324+$Z324)/$G324,0)*$G324,
((_xlfn.XLOOKUP($A324,'[1]DATOS PBI Artículos'!$A:$A,'[1]DATOS PBI Artículos'!$AL:$AL))/(_xlfn.XLOOKUP($AF$1,[1]CRITERIOS!$S$16:$S$39,[1]CRITERIOS!$Y$16:$Y$39))*$J324+$Z324)))</f>
        <v>#N/A</v>
      </c>
      <c r="AG324" s="39" t="e">
        <f>IF($R324="MTO","",
IF($H324=0,ROUNDUP(((_xlfn.XLOOKUP($A324,'[1]DATOS PBI Artículos'!$A:$A,'[1]DATOS PBI Artículos'!$AM:$AM))/(_xlfn.XLOOKUP($AH$1,[1]CRITERIOS!$S$16:$S$39,[1]CRITERIOS!$Y$16:$Y$39))*$J324+$Z324)/$G324,0)*$G324,
((_xlfn.XLOOKUP($A324,'[1]DATOS PBI Artículos'!$A:$A,'[1]DATOS PBI Artículos'!$AM:$AM))/(_xlfn.XLOOKUP($AH$1,[1]CRITERIOS!$S$16:$S$39,[1]CRITERIOS!$Y$16:$Y$39))*$J324+$Z324)))</f>
        <v>#N/A</v>
      </c>
      <c r="AI324" s="39" t="e">
        <f>IF($R324="MTO","",
IF($H324=0,ROUNDUP(((_xlfn.XLOOKUP($A324,'[1]DATOS PBI Artículos'!$A:$A,'[1]DATOS PBI Artículos'!$AN:$AN))/(_xlfn.XLOOKUP($AJ$1,[1]CRITERIOS!$S$16:$S$39,[1]CRITERIOS!$Y$16:$Y$39))*$J324+$Z324)/$G324,0)*$G324,
((_xlfn.XLOOKUP($A324,'[1]DATOS PBI Artículos'!$A:$A,'[1]DATOS PBI Artículos'!$AN:$AN))/(_xlfn.XLOOKUP($AJ$1,[1]CRITERIOS!$S$16:$S$39,[1]CRITERIOS!$Y$16:$Y$39))*$J324+$Z324)))</f>
        <v>#N/A</v>
      </c>
      <c r="AK324" s="39" t="e">
        <f>IF($R324="MTO","",
IF($H324=0,ROUNDUP(((_xlfn.XLOOKUP($A324,'[1]DATOS PBI Artículos'!$A:$A,'[1]DATOS PBI Artículos'!$AO:$AO))/(_xlfn.XLOOKUP($AL$1,[1]CRITERIOS!$S$16:$S$39,[1]CRITERIOS!$Y$16:$Y$39))*$J324+$Z324)/$G324,0)*$G324,
((_xlfn.XLOOKUP($A324,'[1]DATOS PBI Artículos'!$A:$A,'[1]DATOS PBI Artículos'!$AO:$AO))/(_xlfn.XLOOKUP($AL$1,[1]CRITERIOS!$S$16:$S$39,[1]CRITERIOS!$Y$16:$Y$39))*$J324+$Z324)))</f>
        <v>#N/A</v>
      </c>
    </row>
    <row r="325" spans="1:37" ht="25.8" hidden="1" x14ac:dyDescent="0.4">
      <c r="A325" s="41"/>
      <c r="B325" s="33">
        <f>_xlfn.XLOOKUP($A325,'[1]DATOS PBI Artículos'!A:A,'[1]DATOS PBI Artículos'!B:B)</f>
        <v>0</v>
      </c>
      <c r="C325" s="33">
        <f>_xlfn.XLOOKUP($A325,'[1]DATOS PBI Artículos'!A:A,'[1]DATOS PBI Artículos'!C:C)</f>
        <v>0</v>
      </c>
      <c r="D325" s="33">
        <f>_xlfn.XLOOKUP(A325,'[1]DATOS PBI Artículos'!A:A,'[1]DATOS PBI Artículos'!T:T)</f>
        <v>0</v>
      </c>
      <c r="E325" s="34">
        <f>IF(_xlfn.XLOOKUP($A325,'[1]DATOS PBI Artículos'!A:A,'[1]DATOS PBI Artículos'!AK:AK)="",_xlfn.XLOOKUP($A325,'[1]DATOS PBI Artículos'!A:A,'[1]DATOS PBI Artículos'!AJ:AJ),_xlfn.XLOOKUP($A325,'[1]DATOS PBI Artículos'!A:A,'[1]DATOS PBI Artículos'!AK:AK))</f>
        <v>0</v>
      </c>
      <c r="F325" s="35">
        <f>_xlfn.XLOOKUP($A325,'[1]DATOS PBI Artículos'!A:A,'[1]DATOS PBI Artículos'!AP:AP)</f>
        <v>0</v>
      </c>
      <c r="G325" s="34">
        <f>_xlfn.XLOOKUP($A325,'[1]DATOS PBI Artículos'!A:A,'[1]DATOS PBI Artículos'!AR:AR)</f>
        <v>0</v>
      </c>
      <c r="H325" s="34">
        <f>_xlfn.XLOOKUP($A325,'[1]DATOS PBI Artículos'!A:A,'[1]DATOS PBI Artículos'!AT:AT)</f>
        <v>0</v>
      </c>
      <c r="I325" s="34">
        <f>_xlfn.XLOOKUP($A325,'[1]DATOS PBI Artículos'!A:A,'[1]DATOS PBI Artículos'!AS:AS)</f>
        <v>0</v>
      </c>
      <c r="J325" s="35">
        <f>IF(COUNTIF([1]CRITERIOS!$F$179:$F$199,$A325)&gt;=1,
 IF(O325&lt;&gt;"",
    (O325/_xlfn.XLOOKUP(CONCATENATE(A325,L325),[1]MÁQUINAS!A:A,[1]MÁQUINAS!D:D))/24,
    (N325/_xlfn.XLOOKUP(CONCATENATE(A325,L325),[1]MÁQUINAS!A:A,[1]MÁQUINAS!D:D))/24),
  _xlfn.XLOOKUP($A325,'[1]DATOS PBI Artículos'!A:A,'[1]DATOS PBI Artículos'!AU:AU))</f>
        <v>0</v>
      </c>
      <c r="K325" s="36">
        <f>_xlfn.XLOOKUP($A325,'[1]DATOS PBI Artículos'!A:A,'[1]DATOS PBI Artículos'!AV:AV)</f>
        <v>0</v>
      </c>
      <c r="L325" s="33">
        <f>_xlfn.XLOOKUP(A325,[1]MÁQUINAS!B:B,[1]MÁQUINAS!C:C)</f>
        <v>0</v>
      </c>
      <c r="M325" s="34">
        <f t="array" ref="M325">_xlfn.XLOOKUP(A325,'[1]DATOS PBI Artículos'!A:A,'[1]DATOS PBI Artículos'!AX:$AX)</f>
        <v>0</v>
      </c>
      <c r="N325" s="37" t="e">
        <f>IF(I325="DV",
E325,
IF(COUNTIF([1]CRITERIOS!$I$179:$I$199,$A325)&gt;=1,
_xlfn.XLOOKUP($A325,[1]CRITERIOS!$I$179:$I$199,[1]CRITERIOS!$J$179:$J$199),
IF(COUNTIF([1]CRITERIOS!$L$179:$L$199,$A325)&gt;=1,
_xlfn.CEILING.MATH(IF($M325&gt;$E325,
$E325,
IF($M325&lt;$E325/ROUNDDOWN([1]CRITERIOS!$M$16/_xlfn.XLOOKUP($C325,[1]CRITERIOS!$K$25:$K$42,[1]CRITERIOS!$M$25:$M$42),
1),
E325/ROUNDDOWN([1]CRITERIOS!$M$16/_xlfn.XLOOKUP($C325,[1]CRITERIOS!$K$25:$K$42,[1]CRITERIOS!$M$25:$M$42),
1),
$M325)),
_xlfn.XLOOKUP($A325,[1]CRITERIOS!$L$179:$L$200,[1]CRITERIOS!$M$179:$M$200)),
_xlfn.CEILING.MATH(IF($M325&gt;$E325,
$E325,
IF($M325&lt;$E325/ROUNDDOWN([1]CRITERIOS!$M$16/_xlfn.XLOOKUP($C325,[1]CRITERIOS!$K$25:$K$42,[1]CRITERIOS!$M$25:$M$42),
1),
E325/ROUNDDOWN([1]CRITERIOS!$M$16/_xlfn.XLOOKUP($C325,[1]CRITERIOS!$K$25:$K$42,[1]CRITERIOS!$M$25:$M$42),
1),
$M325)),_xlfn.XLOOKUP(A325,'[1]DATOS PBI Artículos'!A:A,'[1]DATOS PBI Artículos'!Z:Z
)))))</f>
        <v>#N/A</v>
      </c>
      <c r="Q325" s="38" t="e">
        <f>IF(AND(O325="",N325=0),
0,
   IF(COUNTIF([1]CRITERIOS!$F$179:$F$199,$A325)&gt;=1,
   1,
   IF(R325="MTO",
      $D325,
      ROUNDUP(
                    IF(($E325-SUMIF('[1]DATOS PBI Artículos'!A:A,A325,'[1]DATOS PBI Artículos'!X:X)+($V325-_xlfn.XLOOKUP(A325,'[1]DATOS PBI Artículos'!A:A,'[1]DATOS PBI Artículos'!W:W)))&lt;0,
                    0,
                    IF(($E325-SUMIF('[1]DATOS PBI Artículos'!A:A,A325,'[1]DATOS PBI Artículos'!X:X)+$V325-_xlfn.XLOOKUP($A325,'[1]DATOS PBI Artículos'!A:A,'[1]DATOS PBI Artículos'!W:W))/IF($O325="",$N325,$O325)&gt;ROUNDUP([1]CRITERIOS!$M$16/(IF(COUNTIF([1]CRITERIOS!$BG$11:$BG$201,L325)&gt;=1,_xlfn.XLOOKUP($C325,[1]CRITERIOS!$K$25:$K$42,[1]CRITERIOS!$M$25:$M$42),_xlfn.XLOOKUP($C325,[1]CRITERIOS!$K$25:$K$42,[1]CRITERIOS!$M$25:$M$42))),0),
                    ROUNDUP([1]CRITERIOS!$M$16/(IF(COUNTIF([1]CRITERIOS!$BG$11:$BG$201,$L325)&gt;=1,_xlfn.XLOOKUP($C325,[1]CRITERIOS!$K$25:$K$42,[1]CRITERIOS!$M$25:$M$42),_xlfn.XLOOKUP($C325,[1]CRITERIOS!$K$25:$K$42,[1]CRITERIOS!$M$25:$M$42))),0),
                    (E325+V325-SUMIF('[1]DATOS PBI Artículos'!A:A,A325,'[1]DATOS PBI Artículos'!X:X)-_xlfn.XLOOKUP(A325,'[1]DATOS PBI Artículos'!A:A,'[1]DATOS PBI Artículos'!W:W))/IF($O325="",$N325,$O325))),0))))</f>
        <v>#N/A</v>
      </c>
      <c r="R325" s="33" t="e">
        <f>IF(U325&lt;&gt;"",U325,IF(F325="DV","MTO",IF(N325=0,"MTO",_xlfn.XLOOKUP(CONCATENATE(S325,T325),[1]CRITERIOS!$K$160:$K$168,[1]CRITERIOS!$N$160:$N$168))))</f>
        <v>#N/A</v>
      </c>
      <c r="S325" s="33" t="e">
        <f>IF(G325="DV","MTO",IF(N325=0,"MTO",IF(OR(AND(N325=0,O325=""),IF(O325="",G325/N325,G325/O325)&gt;[1]CRITERIOS!$G$163),"MTO",IF(IF(O325="",G325/N325,G325/O325)&lt;[1]CRITERIOS!$H$161,"MTS","MTOS"))))</f>
        <v>#N/A</v>
      </c>
      <c r="T325" s="33" t="e">
        <f>IF(F325="DV","MTO",IF(OR(AND($N325=0,O325=""),$F325/$J325&gt;[1]CRITERIOS!$G$170,$F325="DV"),"MTO",IF($F325/$J325&lt;[1]CRITERIOS!$H$168,"MTS","MTOS")))</f>
        <v>#N/A</v>
      </c>
      <c r="V325" s="34" t="e">
        <f t="shared" si="16"/>
        <v>#N/A</v>
      </c>
      <c r="X325" s="34" t="e">
        <f t="shared" si="17"/>
        <v>#N/A</v>
      </c>
      <c r="Y325" s="34" t="e">
        <f t="shared" si="18"/>
        <v>#N/A</v>
      </c>
      <c r="Z325" s="34" t="e">
        <f>IF($R325="MTO",
0,
($H325+$K325*($E325/[1]CRITERIOS!$M$16))/[1]CRITERIOS!$X$48)</f>
        <v>#N/A</v>
      </c>
      <c r="AA325" s="34" t="e">
        <f>ROUNDUP(($Y325/_xlfn.XLOOKUP($A325,'[1]DATOS PBI Artículos'!$A$4:$A$4,'[1]DATOS PBI Artículos'!$Z$4:$Z$4))/_xlfn.XLOOKUP(_xlfn.XLOOKUP($A325,'[1]DATOS PBI Artículos'!$A$4:$A$4,'[1]DATOS PBI Artículos'!$Y$4:$Y$4),[1]CRITERIOS!$P$79:$P$123,[1]CRITERIOS!$S$79:$S$123,),0)</f>
        <v>#N/A</v>
      </c>
      <c r="AB325" s="33" t="e">
        <f t="array" ref="AB325">IF((E325+V325-_xlfn.XLOOKUP(A325,'[1]DATOS PBI Artículos'!$A$4:$A$4,'[1]DATOS PBI Artículos'!$W$4:$W$4))/N325&gt;ROUNDUP([1]CRITERIOS!$M$16/(IF(COUNTIF([1]CRITERIOS!$BG$11:$BG$201,L325)&gt;=1,_xlfn.XLOOKUP(ARTÍCULOS!L325,[1]CRITERIOS!$BG$11:$BG$201,[1]CRITERIOS!$BJ$11:$BJ$201),_xlfn.XLOOKUP(ARTÍCULOS!C325,[1]CRITERIOS!$K$25:$K$42,[1]CRITERIOS!$M$25:$M$42))),0),ROUNDUP([1]CRITERIOS!$M$16/(IF(COUNTIF([1]CRITERIOS!$BG$11:$BG$201,L325)&gt;=1,_xlfn.XLOOKUP(ARTÍCULOS!L325,[1]CRITERIOS!$BG$11:$BG$201:#REF!,[1]CRITERIOS!$BJ$11:$BJ$201),_xlfn.XLOOKUP(ARTÍCULOS!C325,[1]CRITERIOS!$K$25:$K$42,[1]CRITERIOS!$M$25:$M$42))),0),(E325+V325-_xlfn.XLOOKUP(A325,'[1]DATOS PBI Artículos'!$A$4:$A$4,'[1]DATOS PBI Artículos'!$W$4:$W$4))/N325)</f>
        <v>#N/A</v>
      </c>
      <c r="AC325" s="33" t="e">
        <f>IF(N325=0,"",(ROUNDUP((N325/2)/(_xlfn.XLOOKUP(A325,'[1]DATOS PBI Artículos'!$A$4:$A$4,'[1]DATOS PBI Artículos'!$Z$4:$Z$4)*_xlfn.XLOOKUP(_xlfn.XLOOKUP(A325,'[1]DATOS PBI Artículos'!$A$4:$A$4,'[1]DATOS PBI Artículos'!$Y$4:$Y$4),[1]CRITERIOS!$P$79:$P$123,[1]CRITERIOS!$S$79:$S$123)),0)*[1]CRITERIOS!$M$80*([1]CRITERIOS!$M$110/[1]CRITERIOS!$M$86)+(_xlfn.XLOOKUP(A325,'[1]DATOS PBI Artículos'!$A$4:$A$4,'[1]DATOS PBI Artículos'!$AA$4:$AA$4)*([1]CRITERIOS!$M$95+[1]CRITERIOS!$M$98)))/N325)</f>
        <v>#N/A</v>
      </c>
      <c r="AD325" s="33" t="e">
        <f>IF(N325=0,"",(ROUNDUP((N325/2)/(_xlfn.XLOOKUP(A325,'[1]DATOS PBI Artículos'!$A$4:$A$4,'[1]DATOS PBI Artículos'!$Z$4:$Z$4)*_xlfn.XLOOKUP(_xlfn.XLOOKUP(A325,'[1]DATOS PBI Artículos'!$A$4:$A$4,'[1]DATOS PBI Artículos'!$Y$4:$Y$4),[1]CRITERIOS!$P$79:$P$123,[1]CRITERIOS!$S$79:$S$123)),0)*[1]CRITERIOS!$M$80*([1]CRITERIOS!$M$89*[1]CRITERIOS!$M$92)+((_xlfn.XLOOKUP(A325,'[1]DATOS PBI Artículos'!$A$4:$A$4,'[1]DATOS PBI Artículos'!$AA$4:$AA$4)/2)*([1]CRITERIOS!$M$95+[1]CRITERIOS!$M$98)))/N325)</f>
        <v>#N/A</v>
      </c>
      <c r="AE325" s="39" t="e">
        <f>IF($R325="MTO","",
IF($H325=0,ROUNDUP(((_xlfn.XLOOKUP($A325,'[1]DATOS PBI Artículos'!$A:$A,'[1]DATOS PBI Artículos'!$AL:$AL))/(_xlfn.XLOOKUP($AF$1,[1]CRITERIOS!$S$16:$S$39,[1]CRITERIOS!$Y$16:$Y$39))*$J325+$Z325)/$G325,0)*$G325,
((_xlfn.XLOOKUP($A325,'[1]DATOS PBI Artículos'!$A:$A,'[1]DATOS PBI Artículos'!$AL:$AL))/(_xlfn.XLOOKUP($AF$1,[1]CRITERIOS!$S$16:$S$39,[1]CRITERIOS!$Y$16:$Y$39))*$J325+$Z325)))</f>
        <v>#N/A</v>
      </c>
      <c r="AG325" s="39" t="e">
        <f>IF($R325="MTO","",
IF($H325=0,ROUNDUP(((_xlfn.XLOOKUP($A325,'[1]DATOS PBI Artículos'!$A:$A,'[1]DATOS PBI Artículos'!$AM:$AM))/(_xlfn.XLOOKUP($AH$1,[1]CRITERIOS!$S$16:$S$39,[1]CRITERIOS!$Y$16:$Y$39))*$J325+$Z325)/$G325,0)*$G325,
((_xlfn.XLOOKUP($A325,'[1]DATOS PBI Artículos'!$A:$A,'[1]DATOS PBI Artículos'!$AM:$AM))/(_xlfn.XLOOKUP($AH$1,[1]CRITERIOS!$S$16:$S$39,[1]CRITERIOS!$Y$16:$Y$39))*$J325+$Z325)))</f>
        <v>#N/A</v>
      </c>
      <c r="AI325" s="39" t="e">
        <f>IF($R325="MTO","",
IF($H325=0,ROUNDUP(((_xlfn.XLOOKUP($A325,'[1]DATOS PBI Artículos'!$A:$A,'[1]DATOS PBI Artículos'!$AN:$AN))/(_xlfn.XLOOKUP($AJ$1,[1]CRITERIOS!$S$16:$S$39,[1]CRITERIOS!$Y$16:$Y$39))*$J325+$Z325)/$G325,0)*$G325,
((_xlfn.XLOOKUP($A325,'[1]DATOS PBI Artículos'!$A:$A,'[1]DATOS PBI Artículos'!$AN:$AN))/(_xlfn.XLOOKUP($AJ$1,[1]CRITERIOS!$S$16:$S$39,[1]CRITERIOS!$Y$16:$Y$39))*$J325+$Z325)))</f>
        <v>#N/A</v>
      </c>
      <c r="AK325" s="39" t="e">
        <f>IF($R325="MTO","",
IF($H325=0,ROUNDUP(((_xlfn.XLOOKUP($A325,'[1]DATOS PBI Artículos'!$A:$A,'[1]DATOS PBI Artículos'!$AO:$AO))/(_xlfn.XLOOKUP($AL$1,[1]CRITERIOS!$S$16:$S$39,[1]CRITERIOS!$Y$16:$Y$39))*$J325+$Z325)/$G325,0)*$G325,
((_xlfn.XLOOKUP($A325,'[1]DATOS PBI Artículos'!$A:$A,'[1]DATOS PBI Artículos'!$AO:$AO))/(_xlfn.XLOOKUP($AL$1,[1]CRITERIOS!$S$16:$S$39,[1]CRITERIOS!$Y$16:$Y$39))*$J325+$Z325)))</f>
        <v>#N/A</v>
      </c>
    </row>
    <row r="326" spans="1:37" ht="25.8" hidden="1" x14ac:dyDescent="0.4">
      <c r="A326" s="41"/>
      <c r="B326" s="33">
        <f>_xlfn.XLOOKUP($A326,'[1]DATOS PBI Artículos'!A:A,'[1]DATOS PBI Artículos'!B:B)</f>
        <v>0</v>
      </c>
      <c r="C326" s="33">
        <f>_xlfn.XLOOKUP($A326,'[1]DATOS PBI Artículos'!A:A,'[1]DATOS PBI Artículos'!C:C)</f>
        <v>0</v>
      </c>
      <c r="D326" s="33">
        <f>_xlfn.XLOOKUP(A326,'[1]DATOS PBI Artículos'!A:A,'[1]DATOS PBI Artículos'!T:T)</f>
        <v>0</v>
      </c>
      <c r="E326" s="34">
        <f>IF(_xlfn.XLOOKUP($A326,'[1]DATOS PBI Artículos'!A:A,'[1]DATOS PBI Artículos'!AK:AK)="",_xlfn.XLOOKUP($A326,'[1]DATOS PBI Artículos'!A:A,'[1]DATOS PBI Artículos'!AJ:AJ),_xlfn.XLOOKUP($A326,'[1]DATOS PBI Artículos'!A:A,'[1]DATOS PBI Artículos'!AK:AK))</f>
        <v>0</v>
      </c>
      <c r="F326" s="35">
        <f>_xlfn.XLOOKUP($A326,'[1]DATOS PBI Artículos'!A:A,'[1]DATOS PBI Artículos'!AP:AP)</f>
        <v>0</v>
      </c>
      <c r="G326" s="34">
        <f>_xlfn.XLOOKUP($A326,'[1]DATOS PBI Artículos'!A:A,'[1]DATOS PBI Artículos'!AR:AR)</f>
        <v>0</v>
      </c>
      <c r="H326" s="34">
        <f>_xlfn.XLOOKUP($A326,'[1]DATOS PBI Artículos'!A:A,'[1]DATOS PBI Artículos'!AT:AT)</f>
        <v>0</v>
      </c>
      <c r="I326" s="34">
        <f>_xlfn.XLOOKUP($A326,'[1]DATOS PBI Artículos'!A:A,'[1]DATOS PBI Artículos'!AS:AS)</f>
        <v>0</v>
      </c>
      <c r="J326" s="35">
        <f>IF(COUNTIF([1]CRITERIOS!$F$179:$F$199,$A326)&gt;=1,
 IF(O326&lt;&gt;"",
    (O326/_xlfn.XLOOKUP(CONCATENATE(A326,L326),[1]MÁQUINAS!A:A,[1]MÁQUINAS!D:D))/24,
    (N326/_xlfn.XLOOKUP(CONCATENATE(A326,L326),[1]MÁQUINAS!A:A,[1]MÁQUINAS!D:D))/24),
  _xlfn.XLOOKUP($A326,'[1]DATOS PBI Artículos'!A:A,'[1]DATOS PBI Artículos'!AU:AU))</f>
        <v>0</v>
      </c>
      <c r="K326" s="36">
        <f>_xlfn.XLOOKUP($A326,'[1]DATOS PBI Artículos'!A:A,'[1]DATOS PBI Artículos'!AV:AV)</f>
        <v>0</v>
      </c>
      <c r="L326" s="33">
        <f>_xlfn.XLOOKUP(A326,[1]MÁQUINAS!B:B,[1]MÁQUINAS!C:C)</f>
        <v>0</v>
      </c>
      <c r="M326" s="34">
        <f t="array" ref="M326">_xlfn.XLOOKUP(A326,'[1]DATOS PBI Artículos'!A:A,'[1]DATOS PBI Artículos'!AX:$AX)</f>
        <v>0</v>
      </c>
      <c r="N326" s="37" t="e">
        <f>IF(I326="DV",
E326,
IF(COUNTIF([1]CRITERIOS!$I$179:$I$199,$A326)&gt;=1,
_xlfn.XLOOKUP($A326,[1]CRITERIOS!$I$179:$I$199,[1]CRITERIOS!$J$179:$J$199),
IF(COUNTIF([1]CRITERIOS!$L$179:$L$199,$A326)&gt;=1,
_xlfn.CEILING.MATH(IF($M326&gt;$E326,
$E326,
IF($M326&lt;$E326/ROUNDDOWN([1]CRITERIOS!$M$16/_xlfn.XLOOKUP($C326,[1]CRITERIOS!$K$25:$K$42,[1]CRITERIOS!$M$25:$M$42),
1),
E326/ROUNDDOWN([1]CRITERIOS!$M$16/_xlfn.XLOOKUP($C326,[1]CRITERIOS!$K$25:$K$42,[1]CRITERIOS!$M$25:$M$42),
1),
$M326)),
_xlfn.XLOOKUP($A326,[1]CRITERIOS!$L$179:$L$200,[1]CRITERIOS!$M$179:$M$200)),
_xlfn.CEILING.MATH(IF($M326&gt;$E326,
$E326,
IF($M326&lt;$E326/ROUNDDOWN([1]CRITERIOS!$M$16/_xlfn.XLOOKUP($C326,[1]CRITERIOS!$K$25:$K$42,[1]CRITERIOS!$M$25:$M$42),
1),
E326/ROUNDDOWN([1]CRITERIOS!$M$16/_xlfn.XLOOKUP($C326,[1]CRITERIOS!$K$25:$K$42,[1]CRITERIOS!$M$25:$M$42),
1),
$M326)),_xlfn.XLOOKUP(A326,'[1]DATOS PBI Artículos'!A:A,'[1]DATOS PBI Artículos'!Z:Z
)))))</f>
        <v>#N/A</v>
      </c>
      <c r="Q326" s="38" t="e">
        <f>IF(AND(O326="",N326=0),
0,
   IF(COUNTIF([1]CRITERIOS!$F$179:$F$199,$A326)&gt;=1,
   1,
   IF(R326="MTO",
      $D326,
      ROUNDUP(
                    IF(($E326-SUMIF('[1]DATOS PBI Artículos'!A:A,A326,'[1]DATOS PBI Artículos'!X:X)+($V326-_xlfn.XLOOKUP(A326,'[1]DATOS PBI Artículos'!A:A,'[1]DATOS PBI Artículos'!W:W)))&lt;0,
                    0,
                    IF(($E326-SUMIF('[1]DATOS PBI Artículos'!A:A,A326,'[1]DATOS PBI Artículos'!X:X)+$V326-_xlfn.XLOOKUP($A326,'[1]DATOS PBI Artículos'!A:A,'[1]DATOS PBI Artículos'!W:W))/IF($O326="",$N326,$O326)&gt;ROUNDUP([1]CRITERIOS!$M$16/(IF(COUNTIF([1]CRITERIOS!$BG$11:$BG$201,L326)&gt;=1,_xlfn.XLOOKUP($C326,[1]CRITERIOS!$K$25:$K$42,[1]CRITERIOS!$M$25:$M$42),_xlfn.XLOOKUP($C326,[1]CRITERIOS!$K$25:$K$42,[1]CRITERIOS!$M$25:$M$42))),0),
                    ROUNDUP([1]CRITERIOS!$M$16/(IF(COUNTIF([1]CRITERIOS!$BG$11:$BG$201,$L326)&gt;=1,_xlfn.XLOOKUP($C326,[1]CRITERIOS!$K$25:$K$42,[1]CRITERIOS!$M$25:$M$42),_xlfn.XLOOKUP($C326,[1]CRITERIOS!$K$25:$K$42,[1]CRITERIOS!$M$25:$M$42))),0),
                    (E326+V326-SUMIF('[1]DATOS PBI Artículos'!A:A,A326,'[1]DATOS PBI Artículos'!X:X)-_xlfn.XLOOKUP(A326,'[1]DATOS PBI Artículos'!A:A,'[1]DATOS PBI Artículos'!W:W))/IF($O326="",$N326,$O326))),0))))</f>
        <v>#N/A</v>
      </c>
      <c r="R326" s="33" t="e">
        <f>IF(U326&lt;&gt;"",U326,IF(F326="DV","MTO",IF(N326=0,"MTO",_xlfn.XLOOKUP(CONCATENATE(S326,T326),[1]CRITERIOS!$K$160:$K$168,[1]CRITERIOS!$N$160:$N$168))))</f>
        <v>#N/A</v>
      </c>
      <c r="S326" s="33" t="e">
        <f>IF(G326="DV","MTO",IF(N326=0,"MTO",IF(OR(AND(N326=0,O326=""),IF(O326="",G326/N326,G326/O326)&gt;[1]CRITERIOS!$G$163),"MTO",IF(IF(O326="",G326/N326,G326/O326)&lt;[1]CRITERIOS!$H$161,"MTS","MTOS"))))</f>
        <v>#N/A</v>
      </c>
      <c r="T326" s="33" t="e">
        <f>IF(F326="DV","MTO",IF(OR(AND($N326=0,O326=""),$F326/$J326&gt;[1]CRITERIOS!$G$170,$F326="DV"),"MTO",IF($F326/$J326&lt;[1]CRITERIOS!$H$168,"MTS","MTOS")))</f>
        <v>#N/A</v>
      </c>
      <c r="V326" s="34" t="e">
        <f t="shared" si="16"/>
        <v>#N/A</v>
      </c>
      <c r="X326" s="34" t="e">
        <f t="shared" si="17"/>
        <v>#N/A</v>
      </c>
      <c r="Y326" s="34" t="e">
        <f t="shared" si="18"/>
        <v>#N/A</v>
      </c>
      <c r="Z326" s="34" t="e">
        <f>IF($R326="MTO",
0,
($H326+$K326*($E326/[1]CRITERIOS!$M$16))/[1]CRITERIOS!$X$48)</f>
        <v>#N/A</v>
      </c>
      <c r="AA326" s="34" t="e">
        <f>ROUNDUP(($Y326/_xlfn.XLOOKUP($A326,'[1]DATOS PBI Artículos'!$A$4:$A$4,'[1]DATOS PBI Artículos'!$Z$4:$Z$4))/_xlfn.XLOOKUP(_xlfn.XLOOKUP($A326,'[1]DATOS PBI Artículos'!$A$4:$A$4,'[1]DATOS PBI Artículos'!$Y$4:$Y$4),[1]CRITERIOS!$P$79:$P$123,[1]CRITERIOS!$S$79:$S$123,),0)</f>
        <v>#N/A</v>
      </c>
      <c r="AB326" s="33" t="e">
        <f t="array" ref="AB326">IF((E326+V326-_xlfn.XLOOKUP(A326,'[1]DATOS PBI Artículos'!$A$4:$A$4,'[1]DATOS PBI Artículos'!$W$4:$W$4))/N326&gt;ROUNDUP([1]CRITERIOS!$M$16/(IF(COUNTIF([1]CRITERIOS!$BG$11:$BG$201,L326)&gt;=1,_xlfn.XLOOKUP(ARTÍCULOS!L326,[1]CRITERIOS!$BG$11:$BG$201,[1]CRITERIOS!$BJ$11:$BJ$201),_xlfn.XLOOKUP(ARTÍCULOS!C326,[1]CRITERIOS!$K$25:$K$42,[1]CRITERIOS!$M$25:$M$42))),0),ROUNDUP([1]CRITERIOS!$M$16/(IF(COUNTIF([1]CRITERIOS!$BG$11:$BG$201,L326)&gt;=1,_xlfn.XLOOKUP(ARTÍCULOS!L326,[1]CRITERIOS!$BG$11:$BG$201:#REF!,[1]CRITERIOS!$BJ$11:$BJ$201),_xlfn.XLOOKUP(ARTÍCULOS!C326,[1]CRITERIOS!$K$25:$K$42,[1]CRITERIOS!$M$25:$M$42))),0),(E326+V326-_xlfn.XLOOKUP(A326,'[1]DATOS PBI Artículos'!$A$4:$A$4,'[1]DATOS PBI Artículos'!$W$4:$W$4))/N326)</f>
        <v>#N/A</v>
      </c>
      <c r="AC326" s="33" t="e">
        <f>IF(N326=0,"",(ROUNDUP((N326/2)/(_xlfn.XLOOKUP(A326,'[1]DATOS PBI Artículos'!$A$4:$A$4,'[1]DATOS PBI Artículos'!$Z$4:$Z$4)*_xlfn.XLOOKUP(_xlfn.XLOOKUP(A326,'[1]DATOS PBI Artículos'!$A$4:$A$4,'[1]DATOS PBI Artículos'!$Y$4:$Y$4),[1]CRITERIOS!$P$79:$P$123,[1]CRITERIOS!$S$79:$S$123)),0)*[1]CRITERIOS!$M$80*([1]CRITERIOS!$M$110/[1]CRITERIOS!$M$86)+(_xlfn.XLOOKUP(A326,'[1]DATOS PBI Artículos'!$A$4:$A$4,'[1]DATOS PBI Artículos'!$AA$4:$AA$4)*([1]CRITERIOS!$M$95+[1]CRITERIOS!$M$98)))/N326)</f>
        <v>#N/A</v>
      </c>
      <c r="AD326" s="33" t="e">
        <f>IF(N326=0,"",(ROUNDUP((N326/2)/(_xlfn.XLOOKUP(A326,'[1]DATOS PBI Artículos'!$A$4:$A$4,'[1]DATOS PBI Artículos'!$Z$4:$Z$4)*_xlfn.XLOOKUP(_xlfn.XLOOKUP(A326,'[1]DATOS PBI Artículos'!$A$4:$A$4,'[1]DATOS PBI Artículos'!$Y$4:$Y$4),[1]CRITERIOS!$P$79:$P$123,[1]CRITERIOS!$S$79:$S$123)),0)*[1]CRITERIOS!$M$80*([1]CRITERIOS!$M$89*[1]CRITERIOS!$M$92)+((_xlfn.XLOOKUP(A326,'[1]DATOS PBI Artículos'!$A$4:$A$4,'[1]DATOS PBI Artículos'!$AA$4:$AA$4)/2)*([1]CRITERIOS!$M$95+[1]CRITERIOS!$M$98)))/N326)</f>
        <v>#N/A</v>
      </c>
      <c r="AE326" s="39" t="e">
        <f>IF($R326="MTO","",
IF($H326=0,ROUNDUP(((_xlfn.XLOOKUP($A326,'[1]DATOS PBI Artículos'!$A:$A,'[1]DATOS PBI Artículos'!$AL:$AL))/(_xlfn.XLOOKUP($AF$1,[1]CRITERIOS!$S$16:$S$39,[1]CRITERIOS!$Y$16:$Y$39))*$J326+$Z326)/$G326,0)*$G326,
((_xlfn.XLOOKUP($A326,'[1]DATOS PBI Artículos'!$A:$A,'[1]DATOS PBI Artículos'!$AL:$AL))/(_xlfn.XLOOKUP($AF$1,[1]CRITERIOS!$S$16:$S$39,[1]CRITERIOS!$Y$16:$Y$39))*$J326+$Z326)))</f>
        <v>#N/A</v>
      </c>
      <c r="AG326" s="39" t="e">
        <f>IF($R326="MTO","",
IF($H326=0,ROUNDUP(((_xlfn.XLOOKUP($A326,'[1]DATOS PBI Artículos'!$A:$A,'[1]DATOS PBI Artículos'!$AM:$AM))/(_xlfn.XLOOKUP($AH$1,[1]CRITERIOS!$S$16:$S$39,[1]CRITERIOS!$Y$16:$Y$39))*$J326+$Z326)/$G326,0)*$G326,
((_xlfn.XLOOKUP($A326,'[1]DATOS PBI Artículos'!$A:$A,'[1]DATOS PBI Artículos'!$AM:$AM))/(_xlfn.XLOOKUP($AH$1,[1]CRITERIOS!$S$16:$S$39,[1]CRITERIOS!$Y$16:$Y$39))*$J326+$Z326)))</f>
        <v>#N/A</v>
      </c>
      <c r="AI326" s="39" t="e">
        <f>IF($R326="MTO","",
IF($H326=0,ROUNDUP(((_xlfn.XLOOKUP($A326,'[1]DATOS PBI Artículos'!$A:$A,'[1]DATOS PBI Artículos'!$AN:$AN))/(_xlfn.XLOOKUP($AJ$1,[1]CRITERIOS!$S$16:$S$39,[1]CRITERIOS!$Y$16:$Y$39))*$J326+$Z326)/$G326,0)*$G326,
((_xlfn.XLOOKUP($A326,'[1]DATOS PBI Artículos'!$A:$A,'[1]DATOS PBI Artículos'!$AN:$AN))/(_xlfn.XLOOKUP($AJ$1,[1]CRITERIOS!$S$16:$S$39,[1]CRITERIOS!$Y$16:$Y$39))*$J326+$Z326)))</f>
        <v>#N/A</v>
      </c>
      <c r="AK326" s="39" t="e">
        <f>IF($R326="MTO","",
IF($H326=0,ROUNDUP(((_xlfn.XLOOKUP($A326,'[1]DATOS PBI Artículos'!$A:$A,'[1]DATOS PBI Artículos'!$AO:$AO))/(_xlfn.XLOOKUP($AL$1,[1]CRITERIOS!$S$16:$S$39,[1]CRITERIOS!$Y$16:$Y$39))*$J326+$Z326)/$G326,0)*$G326,
((_xlfn.XLOOKUP($A326,'[1]DATOS PBI Artículos'!$A:$A,'[1]DATOS PBI Artículos'!$AO:$AO))/(_xlfn.XLOOKUP($AL$1,[1]CRITERIOS!$S$16:$S$39,[1]CRITERIOS!$Y$16:$Y$39))*$J326+$Z326)))</f>
        <v>#N/A</v>
      </c>
    </row>
    <row r="327" spans="1:37" ht="25.8" hidden="1" x14ac:dyDescent="0.4">
      <c r="A327" s="41"/>
      <c r="B327" s="33">
        <f>_xlfn.XLOOKUP($A327,'[1]DATOS PBI Artículos'!A:A,'[1]DATOS PBI Artículos'!B:B)</f>
        <v>0</v>
      </c>
      <c r="C327" s="33">
        <f>_xlfn.XLOOKUP($A327,'[1]DATOS PBI Artículos'!A:A,'[1]DATOS PBI Artículos'!C:C)</f>
        <v>0</v>
      </c>
      <c r="D327" s="33">
        <f>_xlfn.XLOOKUP(A327,'[1]DATOS PBI Artículos'!A:A,'[1]DATOS PBI Artículos'!T:T)</f>
        <v>0</v>
      </c>
      <c r="E327" s="34">
        <f>IF(_xlfn.XLOOKUP($A327,'[1]DATOS PBI Artículos'!A:A,'[1]DATOS PBI Artículos'!AK:AK)="",_xlfn.XLOOKUP($A327,'[1]DATOS PBI Artículos'!A:A,'[1]DATOS PBI Artículos'!AJ:AJ),_xlfn.XLOOKUP($A327,'[1]DATOS PBI Artículos'!A:A,'[1]DATOS PBI Artículos'!AK:AK))</f>
        <v>0</v>
      </c>
      <c r="F327" s="35">
        <f>_xlfn.XLOOKUP($A327,'[1]DATOS PBI Artículos'!A:A,'[1]DATOS PBI Artículos'!AP:AP)</f>
        <v>0</v>
      </c>
      <c r="G327" s="34">
        <f>_xlfn.XLOOKUP($A327,'[1]DATOS PBI Artículos'!A:A,'[1]DATOS PBI Artículos'!AR:AR)</f>
        <v>0</v>
      </c>
      <c r="H327" s="34">
        <f>_xlfn.XLOOKUP($A327,'[1]DATOS PBI Artículos'!A:A,'[1]DATOS PBI Artículos'!AT:AT)</f>
        <v>0</v>
      </c>
      <c r="I327" s="34">
        <f>_xlfn.XLOOKUP($A327,'[1]DATOS PBI Artículos'!A:A,'[1]DATOS PBI Artículos'!AS:AS)</f>
        <v>0</v>
      </c>
      <c r="J327" s="35">
        <f>IF(COUNTIF([1]CRITERIOS!$F$179:$F$199,$A327)&gt;=1,
 IF(O327&lt;&gt;"",
    (O327/_xlfn.XLOOKUP(CONCATENATE(A327,L327),[1]MÁQUINAS!A:A,[1]MÁQUINAS!D:D))/24,
    (N327/_xlfn.XLOOKUP(CONCATENATE(A327,L327),[1]MÁQUINAS!A:A,[1]MÁQUINAS!D:D))/24),
  _xlfn.XLOOKUP($A327,'[1]DATOS PBI Artículos'!A:A,'[1]DATOS PBI Artículos'!AU:AU))</f>
        <v>0</v>
      </c>
      <c r="K327" s="36">
        <f>_xlfn.XLOOKUP($A327,'[1]DATOS PBI Artículos'!A:A,'[1]DATOS PBI Artículos'!AV:AV)</f>
        <v>0</v>
      </c>
      <c r="L327" s="33">
        <f>_xlfn.XLOOKUP(A327,[1]MÁQUINAS!B:B,[1]MÁQUINAS!C:C)</f>
        <v>0</v>
      </c>
      <c r="M327" s="34">
        <f t="array" ref="M327">_xlfn.XLOOKUP(A327,'[1]DATOS PBI Artículos'!A:A,'[1]DATOS PBI Artículos'!AX:$AX)</f>
        <v>0</v>
      </c>
      <c r="N327" s="37" t="e">
        <f>IF(I327="DV",
E327,
IF(COUNTIF([1]CRITERIOS!$I$179:$I$199,$A327)&gt;=1,
_xlfn.XLOOKUP($A327,[1]CRITERIOS!$I$179:$I$199,[1]CRITERIOS!$J$179:$J$199),
IF(COUNTIF([1]CRITERIOS!$L$179:$L$199,$A327)&gt;=1,
_xlfn.CEILING.MATH(IF($M327&gt;$E327,
$E327,
IF($M327&lt;$E327/ROUNDDOWN([1]CRITERIOS!$M$16/_xlfn.XLOOKUP($C327,[1]CRITERIOS!$K$25:$K$42,[1]CRITERIOS!$M$25:$M$42),
1),
E327/ROUNDDOWN([1]CRITERIOS!$M$16/_xlfn.XLOOKUP($C327,[1]CRITERIOS!$K$25:$K$42,[1]CRITERIOS!$M$25:$M$42),
1),
$M327)),
_xlfn.XLOOKUP($A327,[1]CRITERIOS!$L$179:$L$200,[1]CRITERIOS!$M$179:$M$200)),
_xlfn.CEILING.MATH(IF($M327&gt;$E327,
$E327,
IF($M327&lt;$E327/ROUNDDOWN([1]CRITERIOS!$M$16/_xlfn.XLOOKUP($C327,[1]CRITERIOS!$K$25:$K$42,[1]CRITERIOS!$M$25:$M$42),
1),
E327/ROUNDDOWN([1]CRITERIOS!$M$16/_xlfn.XLOOKUP($C327,[1]CRITERIOS!$K$25:$K$42,[1]CRITERIOS!$M$25:$M$42),
1),
$M327)),_xlfn.XLOOKUP(A327,'[1]DATOS PBI Artículos'!A:A,'[1]DATOS PBI Artículos'!Z:Z
)))))</f>
        <v>#N/A</v>
      </c>
      <c r="Q327" s="38" t="e">
        <f>IF(AND(O327="",N327=0),
0,
   IF(COUNTIF([1]CRITERIOS!$F$179:$F$199,$A327)&gt;=1,
   1,
   IF(R327="MTO",
      $D327,
      ROUNDUP(
                    IF(($E327-SUMIF('[1]DATOS PBI Artículos'!A:A,A327,'[1]DATOS PBI Artículos'!X:X)+($V327-_xlfn.XLOOKUP(A327,'[1]DATOS PBI Artículos'!A:A,'[1]DATOS PBI Artículos'!W:W)))&lt;0,
                    0,
                    IF(($E327-SUMIF('[1]DATOS PBI Artículos'!A:A,A327,'[1]DATOS PBI Artículos'!X:X)+$V327-_xlfn.XLOOKUP($A327,'[1]DATOS PBI Artículos'!A:A,'[1]DATOS PBI Artículos'!W:W))/IF($O327="",$N327,$O327)&gt;ROUNDUP([1]CRITERIOS!$M$16/(IF(COUNTIF([1]CRITERIOS!$BG$11:$BG$201,L327)&gt;=1,_xlfn.XLOOKUP($C327,[1]CRITERIOS!$K$25:$K$42,[1]CRITERIOS!$M$25:$M$42),_xlfn.XLOOKUP($C327,[1]CRITERIOS!$K$25:$K$42,[1]CRITERIOS!$M$25:$M$42))),0),
                    ROUNDUP([1]CRITERIOS!$M$16/(IF(COUNTIF([1]CRITERIOS!$BG$11:$BG$201,$L327)&gt;=1,_xlfn.XLOOKUP($C327,[1]CRITERIOS!$K$25:$K$42,[1]CRITERIOS!$M$25:$M$42),_xlfn.XLOOKUP($C327,[1]CRITERIOS!$K$25:$K$42,[1]CRITERIOS!$M$25:$M$42))),0),
                    (E327+V327-SUMIF('[1]DATOS PBI Artículos'!A:A,A327,'[1]DATOS PBI Artículos'!X:X)-_xlfn.XLOOKUP(A327,'[1]DATOS PBI Artículos'!A:A,'[1]DATOS PBI Artículos'!W:W))/IF($O327="",$N327,$O327))),0))))</f>
        <v>#N/A</v>
      </c>
      <c r="R327" s="33" t="e">
        <f>IF(U327&lt;&gt;"",U327,IF(F327="DV","MTO",IF(N327=0,"MTO",_xlfn.XLOOKUP(CONCATENATE(S327,T327),[1]CRITERIOS!$K$160:$K$168,[1]CRITERIOS!$N$160:$N$168))))</f>
        <v>#N/A</v>
      </c>
      <c r="S327" s="33" t="e">
        <f>IF(G327="DV","MTO",IF(N327=0,"MTO",IF(OR(AND(N327=0,O327=""),IF(O327="",G327/N327,G327/O327)&gt;[1]CRITERIOS!$G$163),"MTO",IF(IF(O327="",G327/N327,G327/O327)&lt;[1]CRITERIOS!$H$161,"MTS","MTOS"))))</f>
        <v>#N/A</v>
      </c>
      <c r="T327" s="33" t="e">
        <f>IF(F327="DV","MTO",IF(OR(AND($N327=0,O327=""),$F327/$J327&gt;[1]CRITERIOS!$G$170,$F327="DV"),"MTO",IF($F327/$J327&lt;[1]CRITERIOS!$H$168,"MTS","MTOS")))</f>
        <v>#N/A</v>
      </c>
      <c r="V327" s="34" t="e">
        <f t="shared" si="16"/>
        <v>#N/A</v>
      </c>
      <c r="X327" s="34" t="e">
        <f t="shared" si="17"/>
        <v>#N/A</v>
      </c>
      <c r="Y327" s="34" t="e">
        <f t="shared" si="18"/>
        <v>#N/A</v>
      </c>
      <c r="Z327" s="34" t="e">
        <f>IF($R327="MTO",
0,
($H327+$K327*($E327/[1]CRITERIOS!$M$16))/[1]CRITERIOS!$X$48)</f>
        <v>#N/A</v>
      </c>
      <c r="AA327" s="34" t="e">
        <f>ROUNDUP(($Y327/_xlfn.XLOOKUP($A327,'[1]DATOS PBI Artículos'!$A$4:$A$4,'[1]DATOS PBI Artículos'!$Z$4:$Z$4))/_xlfn.XLOOKUP(_xlfn.XLOOKUP($A327,'[1]DATOS PBI Artículos'!$A$4:$A$4,'[1]DATOS PBI Artículos'!$Y$4:$Y$4),[1]CRITERIOS!$P$79:$P$123,[1]CRITERIOS!$S$79:$S$123,),0)</f>
        <v>#N/A</v>
      </c>
      <c r="AB327" s="33" t="e">
        <f t="array" ref="AB327">IF((E327+V327-_xlfn.XLOOKUP(A327,'[1]DATOS PBI Artículos'!$A$4:$A$4,'[1]DATOS PBI Artículos'!$W$4:$W$4))/N327&gt;ROUNDUP([1]CRITERIOS!$M$16/(IF(COUNTIF([1]CRITERIOS!$BG$11:$BG$201,L327)&gt;=1,_xlfn.XLOOKUP(ARTÍCULOS!L327,[1]CRITERIOS!$BG$11:$BG$201,[1]CRITERIOS!$BJ$11:$BJ$201),_xlfn.XLOOKUP(ARTÍCULOS!C327,[1]CRITERIOS!$K$25:$K$42,[1]CRITERIOS!$M$25:$M$42))),0),ROUNDUP([1]CRITERIOS!$M$16/(IF(COUNTIF([1]CRITERIOS!$BG$11:$BG$201,L327)&gt;=1,_xlfn.XLOOKUP(ARTÍCULOS!L327,[1]CRITERIOS!$BG$11:$BG$201:#REF!,[1]CRITERIOS!$BJ$11:$BJ$201),_xlfn.XLOOKUP(ARTÍCULOS!C327,[1]CRITERIOS!$K$25:$K$42,[1]CRITERIOS!$M$25:$M$42))),0),(E327+V327-_xlfn.XLOOKUP(A327,'[1]DATOS PBI Artículos'!$A$4:$A$4,'[1]DATOS PBI Artículos'!$W$4:$W$4))/N327)</f>
        <v>#N/A</v>
      </c>
      <c r="AC327" s="33" t="e">
        <f>IF(N327=0,"",(ROUNDUP((N327/2)/(_xlfn.XLOOKUP(A327,'[1]DATOS PBI Artículos'!$A$4:$A$4,'[1]DATOS PBI Artículos'!$Z$4:$Z$4)*_xlfn.XLOOKUP(_xlfn.XLOOKUP(A327,'[1]DATOS PBI Artículos'!$A$4:$A$4,'[1]DATOS PBI Artículos'!$Y$4:$Y$4),[1]CRITERIOS!$P$79:$P$123,[1]CRITERIOS!$S$79:$S$123)),0)*[1]CRITERIOS!$M$80*([1]CRITERIOS!$M$110/[1]CRITERIOS!$M$86)+(_xlfn.XLOOKUP(A327,'[1]DATOS PBI Artículos'!$A$4:$A$4,'[1]DATOS PBI Artículos'!$AA$4:$AA$4)*([1]CRITERIOS!$M$95+[1]CRITERIOS!$M$98)))/N327)</f>
        <v>#N/A</v>
      </c>
      <c r="AD327" s="33" t="e">
        <f>IF(N327=0,"",(ROUNDUP((N327/2)/(_xlfn.XLOOKUP(A327,'[1]DATOS PBI Artículos'!$A$4:$A$4,'[1]DATOS PBI Artículos'!$Z$4:$Z$4)*_xlfn.XLOOKUP(_xlfn.XLOOKUP(A327,'[1]DATOS PBI Artículos'!$A$4:$A$4,'[1]DATOS PBI Artículos'!$Y$4:$Y$4),[1]CRITERIOS!$P$79:$P$123,[1]CRITERIOS!$S$79:$S$123)),0)*[1]CRITERIOS!$M$80*([1]CRITERIOS!$M$89*[1]CRITERIOS!$M$92)+((_xlfn.XLOOKUP(A327,'[1]DATOS PBI Artículos'!$A$4:$A$4,'[1]DATOS PBI Artículos'!$AA$4:$AA$4)/2)*([1]CRITERIOS!$M$95+[1]CRITERIOS!$M$98)))/N327)</f>
        <v>#N/A</v>
      </c>
      <c r="AE327" s="39" t="e">
        <f>IF($R327="MTO","",
IF($H327=0,ROUNDUP(((_xlfn.XLOOKUP($A327,'[1]DATOS PBI Artículos'!$A:$A,'[1]DATOS PBI Artículos'!$AL:$AL))/(_xlfn.XLOOKUP($AF$1,[1]CRITERIOS!$S$16:$S$39,[1]CRITERIOS!$Y$16:$Y$39))*$J327+$Z327)/$G327,0)*$G327,
((_xlfn.XLOOKUP($A327,'[1]DATOS PBI Artículos'!$A:$A,'[1]DATOS PBI Artículos'!$AL:$AL))/(_xlfn.XLOOKUP($AF$1,[1]CRITERIOS!$S$16:$S$39,[1]CRITERIOS!$Y$16:$Y$39))*$J327+$Z327)))</f>
        <v>#N/A</v>
      </c>
      <c r="AG327" s="39" t="e">
        <f>IF($R327="MTO","",
IF($H327=0,ROUNDUP(((_xlfn.XLOOKUP($A327,'[1]DATOS PBI Artículos'!$A:$A,'[1]DATOS PBI Artículos'!$AM:$AM))/(_xlfn.XLOOKUP($AH$1,[1]CRITERIOS!$S$16:$S$39,[1]CRITERIOS!$Y$16:$Y$39))*$J327+$Z327)/$G327,0)*$G327,
((_xlfn.XLOOKUP($A327,'[1]DATOS PBI Artículos'!$A:$A,'[1]DATOS PBI Artículos'!$AM:$AM))/(_xlfn.XLOOKUP($AH$1,[1]CRITERIOS!$S$16:$S$39,[1]CRITERIOS!$Y$16:$Y$39))*$J327+$Z327)))</f>
        <v>#N/A</v>
      </c>
      <c r="AI327" s="39" t="e">
        <f>IF($R327="MTO","",
IF($H327=0,ROUNDUP(((_xlfn.XLOOKUP($A327,'[1]DATOS PBI Artículos'!$A:$A,'[1]DATOS PBI Artículos'!$AN:$AN))/(_xlfn.XLOOKUP($AJ$1,[1]CRITERIOS!$S$16:$S$39,[1]CRITERIOS!$Y$16:$Y$39))*$J327+$Z327)/$G327,0)*$G327,
((_xlfn.XLOOKUP($A327,'[1]DATOS PBI Artículos'!$A:$A,'[1]DATOS PBI Artículos'!$AN:$AN))/(_xlfn.XLOOKUP($AJ$1,[1]CRITERIOS!$S$16:$S$39,[1]CRITERIOS!$Y$16:$Y$39))*$J327+$Z327)))</f>
        <v>#N/A</v>
      </c>
      <c r="AK327" s="39" t="e">
        <f>IF($R327="MTO","",
IF($H327=0,ROUNDUP(((_xlfn.XLOOKUP($A327,'[1]DATOS PBI Artículos'!$A:$A,'[1]DATOS PBI Artículos'!$AO:$AO))/(_xlfn.XLOOKUP($AL$1,[1]CRITERIOS!$S$16:$S$39,[1]CRITERIOS!$Y$16:$Y$39))*$J327+$Z327)/$G327,0)*$G327,
((_xlfn.XLOOKUP($A327,'[1]DATOS PBI Artículos'!$A:$A,'[1]DATOS PBI Artículos'!$AO:$AO))/(_xlfn.XLOOKUP($AL$1,[1]CRITERIOS!$S$16:$S$39,[1]CRITERIOS!$Y$16:$Y$39))*$J327+$Z327)))</f>
        <v>#N/A</v>
      </c>
    </row>
    <row r="328" spans="1:37" ht="25.8" hidden="1" x14ac:dyDescent="0.4">
      <c r="A328" s="41"/>
      <c r="B328" s="33">
        <f>_xlfn.XLOOKUP($A328,'[1]DATOS PBI Artículos'!A:A,'[1]DATOS PBI Artículos'!B:B)</f>
        <v>0</v>
      </c>
      <c r="C328" s="33">
        <f>_xlfn.XLOOKUP($A328,'[1]DATOS PBI Artículos'!A:A,'[1]DATOS PBI Artículos'!C:C)</f>
        <v>0</v>
      </c>
      <c r="D328" s="33">
        <f>_xlfn.XLOOKUP(A328,'[1]DATOS PBI Artículos'!A:A,'[1]DATOS PBI Artículos'!T:T)</f>
        <v>0</v>
      </c>
      <c r="E328" s="34">
        <f>IF(_xlfn.XLOOKUP($A328,'[1]DATOS PBI Artículos'!A:A,'[1]DATOS PBI Artículos'!AK:AK)="",_xlfn.XLOOKUP($A328,'[1]DATOS PBI Artículos'!A:A,'[1]DATOS PBI Artículos'!AJ:AJ),_xlfn.XLOOKUP($A328,'[1]DATOS PBI Artículos'!A:A,'[1]DATOS PBI Artículos'!AK:AK))</f>
        <v>0</v>
      </c>
      <c r="F328" s="35">
        <f>_xlfn.XLOOKUP($A328,'[1]DATOS PBI Artículos'!A:A,'[1]DATOS PBI Artículos'!AP:AP)</f>
        <v>0</v>
      </c>
      <c r="G328" s="34">
        <f>_xlfn.XLOOKUP($A328,'[1]DATOS PBI Artículos'!A:A,'[1]DATOS PBI Artículos'!AR:AR)</f>
        <v>0</v>
      </c>
      <c r="H328" s="34">
        <f>_xlfn.XLOOKUP($A328,'[1]DATOS PBI Artículos'!A:A,'[1]DATOS PBI Artículos'!AT:AT)</f>
        <v>0</v>
      </c>
      <c r="I328" s="34">
        <f>_xlfn.XLOOKUP($A328,'[1]DATOS PBI Artículos'!A:A,'[1]DATOS PBI Artículos'!AS:AS)</f>
        <v>0</v>
      </c>
      <c r="J328" s="35">
        <f>IF(COUNTIF([1]CRITERIOS!$F$179:$F$199,$A328)&gt;=1,
 IF(O328&lt;&gt;"",
    (O328/_xlfn.XLOOKUP(CONCATENATE(A328,L328),[1]MÁQUINAS!A:A,[1]MÁQUINAS!D:D))/24,
    (N328/_xlfn.XLOOKUP(CONCATENATE(A328,L328),[1]MÁQUINAS!A:A,[1]MÁQUINAS!D:D))/24),
  _xlfn.XLOOKUP($A328,'[1]DATOS PBI Artículos'!A:A,'[1]DATOS PBI Artículos'!AU:AU))</f>
        <v>0</v>
      </c>
      <c r="K328" s="36">
        <f>_xlfn.XLOOKUP($A328,'[1]DATOS PBI Artículos'!A:A,'[1]DATOS PBI Artículos'!AV:AV)</f>
        <v>0</v>
      </c>
      <c r="L328" s="33">
        <f>_xlfn.XLOOKUP(A328,[1]MÁQUINAS!B:B,[1]MÁQUINAS!C:C)</f>
        <v>0</v>
      </c>
      <c r="M328" s="34">
        <f t="array" ref="M328">_xlfn.XLOOKUP(A328,'[1]DATOS PBI Artículos'!A:A,'[1]DATOS PBI Artículos'!AX:$AX)</f>
        <v>0</v>
      </c>
      <c r="N328" s="37" t="e">
        <f>IF(I328="DV",
E328,
IF(COUNTIF([1]CRITERIOS!$I$179:$I$199,$A328)&gt;=1,
_xlfn.XLOOKUP($A328,[1]CRITERIOS!$I$179:$I$199,[1]CRITERIOS!$J$179:$J$199),
IF(COUNTIF([1]CRITERIOS!$L$179:$L$199,$A328)&gt;=1,
_xlfn.CEILING.MATH(IF($M328&gt;$E328,
$E328,
IF($M328&lt;$E328/ROUNDDOWN([1]CRITERIOS!$M$16/_xlfn.XLOOKUP($C328,[1]CRITERIOS!$K$25:$K$42,[1]CRITERIOS!$M$25:$M$42),
1),
E328/ROUNDDOWN([1]CRITERIOS!$M$16/_xlfn.XLOOKUP($C328,[1]CRITERIOS!$K$25:$K$42,[1]CRITERIOS!$M$25:$M$42),
1),
$M328)),
_xlfn.XLOOKUP($A328,[1]CRITERIOS!$L$179:$L$200,[1]CRITERIOS!$M$179:$M$200)),
_xlfn.CEILING.MATH(IF($M328&gt;$E328,
$E328,
IF($M328&lt;$E328/ROUNDDOWN([1]CRITERIOS!$M$16/_xlfn.XLOOKUP($C328,[1]CRITERIOS!$K$25:$K$42,[1]CRITERIOS!$M$25:$M$42),
1),
E328/ROUNDDOWN([1]CRITERIOS!$M$16/_xlfn.XLOOKUP($C328,[1]CRITERIOS!$K$25:$K$42,[1]CRITERIOS!$M$25:$M$42),
1),
$M328)),_xlfn.XLOOKUP(A328,'[1]DATOS PBI Artículos'!A:A,'[1]DATOS PBI Artículos'!Z:Z
)))))</f>
        <v>#N/A</v>
      </c>
      <c r="Q328" s="38" t="e">
        <f>IF(AND(O328="",N328=0),
0,
   IF(COUNTIF([1]CRITERIOS!$F$179:$F$199,$A328)&gt;=1,
   1,
   IF(R328="MTO",
      $D328,
      ROUNDUP(
                    IF(($E328-SUMIF('[1]DATOS PBI Artículos'!A:A,A328,'[1]DATOS PBI Artículos'!X:X)+($V328-_xlfn.XLOOKUP(A328,'[1]DATOS PBI Artículos'!A:A,'[1]DATOS PBI Artículos'!W:W)))&lt;0,
                    0,
                    IF(($E328-SUMIF('[1]DATOS PBI Artículos'!A:A,A328,'[1]DATOS PBI Artículos'!X:X)+$V328-_xlfn.XLOOKUP($A328,'[1]DATOS PBI Artículos'!A:A,'[1]DATOS PBI Artículos'!W:W))/IF($O328="",$N328,$O328)&gt;ROUNDUP([1]CRITERIOS!$M$16/(IF(COUNTIF([1]CRITERIOS!$BG$11:$BG$201,L328)&gt;=1,_xlfn.XLOOKUP($C328,[1]CRITERIOS!$K$25:$K$42,[1]CRITERIOS!$M$25:$M$42),_xlfn.XLOOKUP($C328,[1]CRITERIOS!$K$25:$K$42,[1]CRITERIOS!$M$25:$M$42))),0),
                    ROUNDUP([1]CRITERIOS!$M$16/(IF(COUNTIF([1]CRITERIOS!$BG$11:$BG$201,$L328)&gt;=1,_xlfn.XLOOKUP($C328,[1]CRITERIOS!$K$25:$K$42,[1]CRITERIOS!$M$25:$M$42),_xlfn.XLOOKUP($C328,[1]CRITERIOS!$K$25:$K$42,[1]CRITERIOS!$M$25:$M$42))),0),
                    (E328+V328-SUMIF('[1]DATOS PBI Artículos'!A:A,A328,'[1]DATOS PBI Artículos'!X:X)-_xlfn.XLOOKUP(A328,'[1]DATOS PBI Artículos'!A:A,'[1]DATOS PBI Artículos'!W:W))/IF($O328="",$N328,$O328))),0))))</f>
        <v>#N/A</v>
      </c>
      <c r="R328" s="33" t="e">
        <f>IF(U328&lt;&gt;"",U328,IF(F328="DV","MTO",IF(N328=0,"MTO",_xlfn.XLOOKUP(CONCATENATE(S328,T328),[1]CRITERIOS!$K$160:$K$168,[1]CRITERIOS!$N$160:$N$168))))</f>
        <v>#N/A</v>
      </c>
      <c r="S328" s="33" t="e">
        <f>IF(G328="DV","MTO",IF(N328=0,"MTO",IF(OR(AND(N328=0,O328=""),IF(O328="",G328/N328,G328/O328)&gt;[1]CRITERIOS!$G$163),"MTO",IF(IF(O328="",G328/N328,G328/O328)&lt;[1]CRITERIOS!$H$161,"MTS","MTOS"))))</f>
        <v>#N/A</v>
      </c>
      <c r="T328" s="33" t="e">
        <f>IF(F328="DV","MTO",IF(OR(AND($N328=0,O328=""),$F328/$J328&gt;[1]CRITERIOS!$G$170,$F328="DV"),"MTO",IF($F328/$J328&lt;[1]CRITERIOS!$H$168,"MTS","MTOS")))</f>
        <v>#N/A</v>
      </c>
      <c r="V328" s="34" t="e">
        <f t="shared" si="16"/>
        <v>#N/A</v>
      </c>
      <c r="X328" s="34" t="e">
        <f t="shared" si="17"/>
        <v>#N/A</v>
      </c>
      <c r="Y328" s="34" t="e">
        <f t="shared" si="18"/>
        <v>#N/A</v>
      </c>
      <c r="Z328" s="34" t="e">
        <f>IF($R328="MTO",
0,
($H328+$K328*($E328/[1]CRITERIOS!$M$16))/[1]CRITERIOS!$X$48)</f>
        <v>#N/A</v>
      </c>
      <c r="AA328" s="34" t="e">
        <f>ROUNDUP(($Y328/_xlfn.XLOOKUP($A328,'[1]DATOS PBI Artículos'!$A$4:$A$4,'[1]DATOS PBI Artículos'!$Z$4:$Z$4))/_xlfn.XLOOKUP(_xlfn.XLOOKUP($A328,'[1]DATOS PBI Artículos'!$A$4:$A$4,'[1]DATOS PBI Artículos'!$Y$4:$Y$4),[1]CRITERIOS!$P$79:$P$123,[1]CRITERIOS!$S$79:$S$123,),0)</f>
        <v>#N/A</v>
      </c>
      <c r="AB328" s="33" t="e">
        <f t="array" ref="AB328">IF((E328+V328-_xlfn.XLOOKUP(A328,'[1]DATOS PBI Artículos'!$A$4:$A$4,'[1]DATOS PBI Artículos'!$W$4:$W$4))/N328&gt;ROUNDUP([1]CRITERIOS!$M$16/(IF(COUNTIF([1]CRITERIOS!$BG$11:$BG$201,L328)&gt;=1,_xlfn.XLOOKUP(ARTÍCULOS!L328,[1]CRITERIOS!$BG$11:$BG$201,[1]CRITERIOS!$BJ$11:$BJ$201),_xlfn.XLOOKUP(ARTÍCULOS!C328,[1]CRITERIOS!$K$25:$K$42,[1]CRITERIOS!$M$25:$M$42))),0),ROUNDUP([1]CRITERIOS!$M$16/(IF(COUNTIF([1]CRITERIOS!$BG$11:$BG$201,L328)&gt;=1,_xlfn.XLOOKUP(ARTÍCULOS!L328,[1]CRITERIOS!$BG$11:$BG$201:#REF!,[1]CRITERIOS!$BJ$11:$BJ$201),_xlfn.XLOOKUP(ARTÍCULOS!C328,[1]CRITERIOS!$K$25:$K$42,[1]CRITERIOS!$M$25:$M$42))),0),(E328+V328-_xlfn.XLOOKUP(A328,'[1]DATOS PBI Artículos'!$A$4:$A$4,'[1]DATOS PBI Artículos'!$W$4:$W$4))/N328)</f>
        <v>#N/A</v>
      </c>
      <c r="AC328" s="33" t="e">
        <f>IF(N328=0,"",(ROUNDUP((N328/2)/(_xlfn.XLOOKUP(A328,'[1]DATOS PBI Artículos'!$A$4:$A$4,'[1]DATOS PBI Artículos'!$Z$4:$Z$4)*_xlfn.XLOOKUP(_xlfn.XLOOKUP(A328,'[1]DATOS PBI Artículos'!$A$4:$A$4,'[1]DATOS PBI Artículos'!$Y$4:$Y$4),[1]CRITERIOS!$P$79:$P$123,[1]CRITERIOS!$S$79:$S$123)),0)*[1]CRITERIOS!$M$80*([1]CRITERIOS!$M$110/[1]CRITERIOS!$M$86)+(_xlfn.XLOOKUP(A328,'[1]DATOS PBI Artículos'!$A$4:$A$4,'[1]DATOS PBI Artículos'!$AA$4:$AA$4)*([1]CRITERIOS!$M$95+[1]CRITERIOS!$M$98)))/N328)</f>
        <v>#N/A</v>
      </c>
      <c r="AD328" s="33" t="e">
        <f>IF(N328=0,"",(ROUNDUP((N328/2)/(_xlfn.XLOOKUP(A328,'[1]DATOS PBI Artículos'!$A$4:$A$4,'[1]DATOS PBI Artículos'!$Z$4:$Z$4)*_xlfn.XLOOKUP(_xlfn.XLOOKUP(A328,'[1]DATOS PBI Artículos'!$A$4:$A$4,'[1]DATOS PBI Artículos'!$Y$4:$Y$4),[1]CRITERIOS!$P$79:$P$123,[1]CRITERIOS!$S$79:$S$123)),0)*[1]CRITERIOS!$M$80*([1]CRITERIOS!$M$89*[1]CRITERIOS!$M$92)+((_xlfn.XLOOKUP(A328,'[1]DATOS PBI Artículos'!$A$4:$A$4,'[1]DATOS PBI Artículos'!$AA$4:$AA$4)/2)*([1]CRITERIOS!$M$95+[1]CRITERIOS!$M$98)))/N328)</f>
        <v>#N/A</v>
      </c>
      <c r="AE328" s="39" t="e">
        <f>IF($R328="MTO","",
IF($H328=0,ROUNDUP(((_xlfn.XLOOKUP($A328,'[1]DATOS PBI Artículos'!$A:$A,'[1]DATOS PBI Artículos'!$AL:$AL))/(_xlfn.XLOOKUP($AF$1,[1]CRITERIOS!$S$16:$S$39,[1]CRITERIOS!$Y$16:$Y$39))*$J328+$Z328)/$G328,0)*$G328,
((_xlfn.XLOOKUP($A328,'[1]DATOS PBI Artículos'!$A:$A,'[1]DATOS PBI Artículos'!$AL:$AL))/(_xlfn.XLOOKUP($AF$1,[1]CRITERIOS!$S$16:$S$39,[1]CRITERIOS!$Y$16:$Y$39))*$J328+$Z328)))</f>
        <v>#N/A</v>
      </c>
      <c r="AG328" s="39" t="e">
        <f>IF($R328="MTO","",
IF($H328=0,ROUNDUP(((_xlfn.XLOOKUP($A328,'[1]DATOS PBI Artículos'!$A:$A,'[1]DATOS PBI Artículos'!$AM:$AM))/(_xlfn.XLOOKUP($AH$1,[1]CRITERIOS!$S$16:$S$39,[1]CRITERIOS!$Y$16:$Y$39))*$J328+$Z328)/$G328,0)*$G328,
((_xlfn.XLOOKUP($A328,'[1]DATOS PBI Artículos'!$A:$A,'[1]DATOS PBI Artículos'!$AM:$AM))/(_xlfn.XLOOKUP($AH$1,[1]CRITERIOS!$S$16:$S$39,[1]CRITERIOS!$Y$16:$Y$39))*$J328+$Z328)))</f>
        <v>#N/A</v>
      </c>
      <c r="AI328" s="39" t="e">
        <f>IF($R328="MTO","",
IF($H328=0,ROUNDUP(((_xlfn.XLOOKUP($A328,'[1]DATOS PBI Artículos'!$A:$A,'[1]DATOS PBI Artículos'!$AN:$AN))/(_xlfn.XLOOKUP($AJ$1,[1]CRITERIOS!$S$16:$S$39,[1]CRITERIOS!$Y$16:$Y$39))*$J328+$Z328)/$G328,0)*$G328,
((_xlfn.XLOOKUP($A328,'[1]DATOS PBI Artículos'!$A:$A,'[1]DATOS PBI Artículos'!$AN:$AN))/(_xlfn.XLOOKUP($AJ$1,[1]CRITERIOS!$S$16:$S$39,[1]CRITERIOS!$Y$16:$Y$39))*$J328+$Z328)))</f>
        <v>#N/A</v>
      </c>
      <c r="AK328" s="39" t="e">
        <f>IF($R328="MTO","",
IF($H328=0,ROUNDUP(((_xlfn.XLOOKUP($A328,'[1]DATOS PBI Artículos'!$A:$A,'[1]DATOS PBI Artículos'!$AO:$AO))/(_xlfn.XLOOKUP($AL$1,[1]CRITERIOS!$S$16:$S$39,[1]CRITERIOS!$Y$16:$Y$39))*$J328+$Z328)/$G328,0)*$G328,
((_xlfn.XLOOKUP($A328,'[1]DATOS PBI Artículos'!$A:$A,'[1]DATOS PBI Artículos'!$AO:$AO))/(_xlfn.XLOOKUP($AL$1,[1]CRITERIOS!$S$16:$S$39,[1]CRITERIOS!$Y$16:$Y$39))*$J328+$Z328)))</f>
        <v>#N/A</v>
      </c>
    </row>
    <row r="329" spans="1:37" ht="25.8" hidden="1" x14ac:dyDescent="0.4">
      <c r="A329" s="41"/>
      <c r="B329" s="33">
        <f>_xlfn.XLOOKUP($A329,'[1]DATOS PBI Artículos'!A:A,'[1]DATOS PBI Artículos'!B:B)</f>
        <v>0</v>
      </c>
      <c r="C329" s="33">
        <f>_xlfn.XLOOKUP($A329,'[1]DATOS PBI Artículos'!A:A,'[1]DATOS PBI Artículos'!C:C)</f>
        <v>0</v>
      </c>
      <c r="D329" s="33">
        <f>_xlfn.XLOOKUP(A329,'[1]DATOS PBI Artículos'!A:A,'[1]DATOS PBI Artículos'!T:T)</f>
        <v>0</v>
      </c>
      <c r="E329" s="34">
        <f>IF(_xlfn.XLOOKUP($A329,'[1]DATOS PBI Artículos'!A:A,'[1]DATOS PBI Artículos'!AK:AK)="",_xlfn.XLOOKUP($A329,'[1]DATOS PBI Artículos'!A:A,'[1]DATOS PBI Artículos'!AJ:AJ),_xlfn.XLOOKUP($A329,'[1]DATOS PBI Artículos'!A:A,'[1]DATOS PBI Artículos'!AK:AK))</f>
        <v>0</v>
      </c>
      <c r="F329" s="35">
        <f>_xlfn.XLOOKUP($A329,'[1]DATOS PBI Artículos'!A:A,'[1]DATOS PBI Artículos'!AP:AP)</f>
        <v>0</v>
      </c>
      <c r="G329" s="34">
        <f>_xlfn.XLOOKUP($A329,'[1]DATOS PBI Artículos'!A:A,'[1]DATOS PBI Artículos'!AR:AR)</f>
        <v>0</v>
      </c>
      <c r="H329" s="34">
        <f>_xlfn.XLOOKUP($A329,'[1]DATOS PBI Artículos'!A:A,'[1]DATOS PBI Artículos'!AT:AT)</f>
        <v>0</v>
      </c>
      <c r="I329" s="34">
        <f>_xlfn.XLOOKUP($A329,'[1]DATOS PBI Artículos'!A:A,'[1]DATOS PBI Artículos'!AS:AS)</f>
        <v>0</v>
      </c>
      <c r="J329" s="35">
        <f>IF(COUNTIF([1]CRITERIOS!$F$179:$F$199,$A329)&gt;=1,
 IF(O329&lt;&gt;"",
    (O329/_xlfn.XLOOKUP(CONCATENATE(A329,L329),[1]MÁQUINAS!A:A,[1]MÁQUINAS!D:D))/24,
    (N329/_xlfn.XLOOKUP(CONCATENATE(A329,L329),[1]MÁQUINAS!A:A,[1]MÁQUINAS!D:D))/24),
  _xlfn.XLOOKUP($A329,'[1]DATOS PBI Artículos'!A:A,'[1]DATOS PBI Artículos'!AU:AU))</f>
        <v>0</v>
      </c>
      <c r="K329" s="36">
        <f>_xlfn.XLOOKUP($A329,'[1]DATOS PBI Artículos'!A:A,'[1]DATOS PBI Artículos'!AV:AV)</f>
        <v>0</v>
      </c>
      <c r="L329" s="33">
        <f>_xlfn.XLOOKUP(A329,[1]MÁQUINAS!B:B,[1]MÁQUINAS!C:C)</f>
        <v>0</v>
      </c>
      <c r="M329" s="34">
        <f t="array" ref="M329">_xlfn.XLOOKUP(A329,'[1]DATOS PBI Artículos'!A:A,'[1]DATOS PBI Artículos'!AX:$AX)</f>
        <v>0</v>
      </c>
      <c r="N329" s="37" t="e">
        <f>IF(I329="DV",
E329,
IF(COUNTIF([1]CRITERIOS!$I$179:$I$199,$A329)&gt;=1,
_xlfn.XLOOKUP($A329,[1]CRITERIOS!$I$179:$I$199,[1]CRITERIOS!$J$179:$J$199),
IF(COUNTIF([1]CRITERIOS!$L$179:$L$199,$A329)&gt;=1,
_xlfn.CEILING.MATH(IF($M329&gt;$E329,
$E329,
IF($M329&lt;$E329/ROUNDDOWN([1]CRITERIOS!$M$16/_xlfn.XLOOKUP($C329,[1]CRITERIOS!$K$25:$K$42,[1]CRITERIOS!$M$25:$M$42),
1),
E329/ROUNDDOWN([1]CRITERIOS!$M$16/_xlfn.XLOOKUP($C329,[1]CRITERIOS!$K$25:$K$42,[1]CRITERIOS!$M$25:$M$42),
1),
$M329)),
_xlfn.XLOOKUP($A329,[1]CRITERIOS!$L$179:$L$200,[1]CRITERIOS!$M$179:$M$200)),
_xlfn.CEILING.MATH(IF($M329&gt;$E329,
$E329,
IF($M329&lt;$E329/ROUNDDOWN([1]CRITERIOS!$M$16/_xlfn.XLOOKUP($C329,[1]CRITERIOS!$K$25:$K$42,[1]CRITERIOS!$M$25:$M$42),
1),
E329/ROUNDDOWN([1]CRITERIOS!$M$16/_xlfn.XLOOKUP($C329,[1]CRITERIOS!$K$25:$K$42,[1]CRITERIOS!$M$25:$M$42),
1),
$M329)),_xlfn.XLOOKUP(A329,'[1]DATOS PBI Artículos'!A:A,'[1]DATOS PBI Artículos'!Z:Z
)))))</f>
        <v>#N/A</v>
      </c>
      <c r="Q329" s="38" t="e">
        <f>IF(AND(O329="",N329=0),
0,
   IF(COUNTIF([1]CRITERIOS!$F$179:$F$199,$A329)&gt;=1,
   1,
   IF(R329="MTO",
      $D329,
      ROUNDUP(
                    IF(($E329-SUMIF('[1]DATOS PBI Artículos'!A:A,A329,'[1]DATOS PBI Artículos'!X:X)+($V329-_xlfn.XLOOKUP(A329,'[1]DATOS PBI Artículos'!A:A,'[1]DATOS PBI Artículos'!W:W)))&lt;0,
                    0,
                    IF(($E329-SUMIF('[1]DATOS PBI Artículos'!A:A,A329,'[1]DATOS PBI Artículos'!X:X)+$V329-_xlfn.XLOOKUP($A329,'[1]DATOS PBI Artículos'!A:A,'[1]DATOS PBI Artículos'!W:W))/IF($O329="",$N329,$O329)&gt;ROUNDUP([1]CRITERIOS!$M$16/(IF(COUNTIF([1]CRITERIOS!$BG$11:$BG$201,L329)&gt;=1,_xlfn.XLOOKUP($C329,[1]CRITERIOS!$K$25:$K$42,[1]CRITERIOS!$M$25:$M$42),_xlfn.XLOOKUP($C329,[1]CRITERIOS!$K$25:$K$42,[1]CRITERIOS!$M$25:$M$42))),0),
                    ROUNDUP([1]CRITERIOS!$M$16/(IF(COUNTIF([1]CRITERIOS!$BG$11:$BG$201,$L329)&gt;=1,_xlfn.XLOOKUP($C329,[1]CRITERIOS!$K$25:$K$42,[1]CRITERIOS!$M$25:$M$42),_xlfn.XLOOKUP($C329,[1]CRITERIOS!$K$25:$K$42,[1]CRITERIOS!$M$25:$M$42))),0),
                    (E329+V329-SUMIF('[1]DATOS PBI Artículos'!A:A,A329,'[1]DATOS PBI Artículos'!X:X)-_xlfn.XLOOKUP(A329,'[1]DATOS PBI Artículos'!A:A,'[1]DATOS PBI Artículos'!W:W))/IF($O329="",$N329,$O329))),0))))</f>
        <v>#N/A</v>
      </c>
      <c r="R329" s="33" t="e">
        <f>IF(U329&lt;&gt;"",U329,IF(F329="DV","MTO",IF(N329=0,"MTO",_xlfn.XLOOKUP(CONCATENATE(S329,T329),[1]CRITERIOS!$K$160:$K$168,[1]CRITERIOS!$N$160:$N$168))))</f>
        <v>#N/A</v>
      </c>
      <c r="S329" s="33" t="e">
        <f>IF(G329="DV","MTO",IF(N329=0,"MTO",IF(OR(AND(N329=0,O329=""),IF(O329="",G329/N329,G329/O329)&gt;[1]CRITERIOS!$G$163),"MTO",IF(IF(O329="",G329/N329,G329/O329)&lt;[1]CRITERIOS!$H$161,"MTS","MTOS"))))</f>
        <v>#N/A</v>
      </c>
      <c r="T329" s="33" t="e">
        <f>IF(F329="DV","MTO",IF(OR(AND($N329=0,O329=""),$F329/$J329&gt;[1]CRITERIOS!$G$170,$F329="DV"),"MTO",IF($F329/$J329&lt;[1]CRITERIOS!$H$168,"MTS","MTOS")))</f>
        <v>#N/A</v>
      </c>
      <c r="V329" s="34" t="e">
        <f t="shared" si="16"/>
        <v>#N/A</v>
      </c>
      <c r="X329" s="34" t="e">
        <f t="shared" si="17"/>
        <v>#N/A</v>
      </c>
      <c r="Y329" s="34" t="e">
        <f t="shared" si="18"/>
        <v>#N/A</v>
      </c>
      <c r="Z329" s="34" t="e">
        <f>IF($R329="MTO",
0,
($H329+$K329*($E329/[1]CRITERIOS!$M$16))/[1]CRITERIOS!$X$48)</f>
        <v>#N/A</v>
      </c>
      <c r="AA329" s="34" t="e">
        <f>ROUNDUP(($Y329/_xlfn.XLOOKUP($A329,'[1]DATOS PBI Artículos'!$A$4:$A$4,'[1]DATOS PBI Artículos'!$Z$4:$Z$4))/_xlfn.XLOOKUP(_xlfn.XLOOKUP($A329,'[1]DATOS PBI Artículos'!$A$4:$A$4,'[1]DATOS PBI Artículos'!$Y$4:$Y$4),[1]CRITERIOS!$P$79:$P$123,[1]CRITERIOS!$S$79:$S$123,),0)</f>
        <v>#N/A</v>
      </c>
      <c r="AB329" s="33" t="e">
        <f t="array" ref="AB329">IF((E329+V329-_xlfn.XLOOKUP(A329,'[1]DATOS PBI Artículos'!$A$4:$A$4,'[1]DATOS PBI Artículos'!$W$4:$W$4))/N329&gt;ROUNDUP([1]CRITERIOS!$M$16/(IF(COUNTIF([1]CRITERIOS!$BG$11:$BG$201,L329)&gt;=1,_xlfn.XLOOKUP(ARTÍCULOS!L329,[1]CRITERIOS!$BG$11:$BG$201,[1]CRITERIOS!$BJ$11:$BJ$201),_xlfn.XLOOKUP(ARTÍCULOS!C329,[1]CRITERIOS!$K$25:$K$42,[1]CRITERIOS!$M$25:$M$42))),0),ROUNDUP([1]CRITERIOS!$M$16/(IF(COUNTIF([1]CRITERIOS!$BG$11:$BG$201,L329)&gt;=1,_xlfn.XLOOKUP(ARTÍCULOS!L329,[1]CRITERIOS!$BG$11:$BG$201:#REF!,[1]CRITERIOS!$BJ$11:$BJ$201),_xlfn.XLOOKUP(ARTÍCULOS!C329,[1]CRITERIOS!$K$25:$K$42,[1]CRITERIOS!$M$25:$M$42))),0),(E329+V329-_xlfn.XLOOKUP(A329,'[1]DATOS PBI Artículos'!$A$4:$A$4,'[1]DATOS PBI Artículos'!$W$4:$W$4))/N329)</f>
        <v>#N/A</v>
      </c>
      <c r="AC329" s="33" t="e">
        <f>IF(N329=0,"",(ROUNDUP((N329/2)/(_xlfn.XLOOKUP(A329,'[1]DATOS PBI Artículos'!$A$4:$A$4,'[1]DATOS PBI Artículos'!$Z$4:$Z$4)*_xlfn.XLOOKUP(_xlfn.XLOOKUP(A329,'[1]DATOS PBI Artículos'!$A$4:$A$4,'[1]DATOS PBI Artículos'!$Y$4:$Y$4),[1]CRITERIOS!$P$79:$P$123,[1]CRITERIOS!$S$79:$S$123)),0)*[1]CRITERIOS!$M$80*([1]CRITERIOS!$M$110/[1]CRITERIOS!$M$86)+(_xlfn.XLOOKUP(A329,'[1]DATOS PBI Artículos'!$A$4:$A$4,'[1]DATOS PBI Artículos'!$AA$4:$AA$4)*([1]CRITERIOS!$M$95+[1]CRITERIOS!$M$98)))/N329)</f>
        <v>#N/A</v>
      </c>
      <c r="AD329" s="33" t="e">
        <f>IF(N329=0,"",(ROUNDUP((N329/2)/(_xlfn.XLOOKUP(A329,'[1]DATOS PBI Artículos'!$A$4:$A$4,'[1]DATOS PBI Artículos'!$Z$4:$Z$4)*_xlfn.XLOOKUP(_xlfn.XLOOKUP(A329,'[1]DATOS PBI Artículos'!$A$4:$A$4,'[1]DATOS PBI Artículos'!$Y$4:$Y$4),[1]CRITERIOS!$P$79:$P$123,[1]CRITERIOS!$S$79:$S$123)),0)*[1]CRITERIOS!$M$80*([1]CRITERIOS!$M$89*[1]CRITERIOS!$M$92)+((_xlfn.XLOOKUP(A329,'[1]DATOS PBI Artículos'!$A$4:$A$4,'[1]DATOS PBI Artículos'!$AA$4:$AA$4)/2)*([1]CRITERIOS!$M$95+[1]CRITERIOS!$M$98)))/N329)</f>
        <v>#N/A</v>
      </c>
      <c r="AE329" s="39" t="e">
        <f>IF($R329="MTO","",
IF($H329=0,ROUNDUP(((_xlfn.XLOOKUP($A329,'[1]DATOS PBI Artículos'!$A:$A,'[1]DATOS PBI Artículos'!$AL:$AL))/(_xlfn.XLOOKUP($AF$1,[1]CRITERIOS!$S$16:$S$39,[1]CRITERIOS!$Y$16:$Y$39))*$J329+$Z329)/$G329,0)*$G329,
((_xlfn.XLOOKUP($A329,'[1]DATOS PBI Artículos'!$A:$A,'[1]DATOS PBI Artículos'!$AL:$AL))/(_xlfn.XLOOKUP($AF$1,[1]CRITERIOS!$S$16:$S$39,[1]CRITERIOS!$Y$16:$Y$39))*$J329+$Z329)))</f>
        <v>#N/A</v>
      </c>
      <c r="AG329" s="39" t="e">
        <f>IF($R329="MTO","",
IF($H329=0,ROUNDUP(((_xlfn.XLOOKUP($A329,'[1]DATOS PBI Artículos'!$A:$A,'[1]DATOS PBI Artículos'!$AM:$AM))/(_xlfn.XLOOKUP($AH$1,[1]CRITERIOS!$S$16:$S$39,[1]CRITERIOS!$Y$16:$Y$39))*$J329+$Z329)/$G329,0)*$G329,
((_xlfn.XLOOKUP($A329,'[1]DATOS PBI Artículos'!$A:$A,'[1]DATOS PBI Artículos'!$AM:$AM))/(_xlfn.XLOOKUP($AH$1,[1]CRITERIOS!$S$16:$S$39,[1]CRITERIOS!$Y$16:$Y$39))*$J329+$Z329)))</f>
        <v>#N/A</v>
      </c>
      <c r="AI329" s="39" t="e">
        <f>IF($R329="MTO","",
IF($H329=0,ROUNDUP(((_xlfn.XLOOKUP($A329,'[1]DATOS PBI Artículos'!$A:$A,'[1]DATOS PBI Artículos'!$AN:$AN))/(_xlfn.XLOOKUP($AJ$1,[1]CRITERIOS!$S$16:$S$39,[1]CRITERIOS!$Y$16:$Y$39))*$J329+$Z329)/$G329,0)*$G329,
((_xlfn.XLOOKUP($A329,'[1]DATOS PBI Artículos'!$A:$A,'[1]DATOS PBI Artículos'!$AN:$AN))/(_xlfn.XLOOKUP($AJ$1,[1]CRITERIOS!$S$16:$S$39,[1]CRITERIOS!$Y$16:$Y$39))*$J329+$Z329)))</f>
        <v>#N/A</v>
      </c>
      <c r="AK329" s="39" t="e">
        <f>IF($R329="MTO","",
IF($H329=0,ROUNDUP(((_xlfn.XLOOKUP($A329,'[1]DATOS PBI Artículos'!$A:$A,'[1]DATOS PBI Artículos'!$AO:$AO))/(_xlfn.XLOOKUP($AL$1,[1]CRITERIOS!$S$16:$S$39,[1]CRITERIOS!$Y$16:$Y$39))*$J329+$Z329)/$G329,0)*$G329,
((_xlfn.XLOOKUP($A329,'[1]DATOS PBI Artículos'!$A:$A,'[1]DATOS PBI Artículos'!$AO:$AO))/(_xlfn.XLOOKUP($AL$1,[1]CRITERIOS!$S$16:$S$39,[1]CRITERIOS!$Y$16:$Y$39))*$J329+$Z329)))</f>
        <v>#N/A</v>
      </c>
    </row>
    <row r="330" spans="1:37" ht="25.8" hidden="1" x14ac:dyDescent="0.4">
      <c r="A330" s="41"/>
      <c r="B330" s="33">
        <f>_xlfn.XLOOKUP($A330,'[1]DATOS PBI Artículos'!A:A,'[1]DATOS PBI Artículos'!B:B)</f>
        <v>0</v>
      </c>
      <c r="C330" s="33">
        <f>_xlfn.XLOOKUP($A330,'[1]DATOS PBI Artículos'!A:A,'[1]DATOS PBI Artículos'!C:C)</f>
        <v>0</v>
      </c>
      <c r="D330" s="33">
        <f>_xlfn.XLOOKUP(A330,'[1]DATOS PBI Artículos'!A:A,'[1]DATOS PBI Artículos'!T:T)</f>
        <v>0</v>
      </c>
      <c r="E330" s="34">
        <f>IF(_xlfn.XLOOKUP($A330,'[1]DATOS PBI Artículos'!A:A,'[1]DATOS PBI Artículos'!AK:AK)="",_xlfn.XLOOKUP($A330,'[1]DATOS PBI Artículos'!A:A,'[1]DATOS PBI Artículos'!AJ:AJ),_xlfn.XLOOKUP($A330,'[1]DATOS PBI Artículos'!A:A,'[1]DATOS PBI Artículos'!AK:AK))</f>
        <v>0</v>
      </c>
      <c r="F330" s="35">
        <f>_xlfn.XLOOKUP($A330,'[1]DATOS PBI Artículos'!A:A,'[1]DATOS PBI Artículos'!AP:AP)</f>
        <v>0</v>
      </c>
      <c r="G330" s="34">
        <f>_xlfn.XLOOKUP($A330,'[1]DATOS PBI Artículos'!A:A,'[1]DATOS PBI Artículos'!AR:AR)</f>
        <v>0</v>
      </c>
      <c r="H330" s="34">
        <f>_xlfn.XLOOKUP($A330,'[1]DATOS PBI Artículos'!A:A,'[1]DATOS PBI Artículos'!AT:AT)</f>
        <v>0</v>
      </c>
      <c r="I330" s="34">
        <f>_xlfn.XLOOKUP($A330,'[1]DATOS PBI Artículos'!A:A,'[1]DATOS PBI Artículos'!AS:AS)</f>
        <v>0</v>
      </c>
      <c r="J330" s="35">
        <f>IF(COUNTIF([1]CRITERIOS!$F$179:$F$199,$A330)&gt;=1,
 IF(O330&lt;&gt;"",
    (O330/_xlfn.XLOOKUP(CONCATENATE(A330,L330),[1]MÁQUINAS!A:A,[1]MÁQUINAS!D:D))/24,
    (N330/_xlfn.XLOOKUP(CONCATENATE(A330,L330),[1]MÁQUINAS!A:A,[1]MÁQUINAS!D:D))/24),
  _xlfn.XLOOKUP($A330,'[1]DATOS PBI Artículos'!A:A,'[1]DATOS PBI Artículos'!AU:AU))</f>
        <v>0</v>
      </c>
      <c r="K330" s="36">
        <f>_xlfn.XLOOKUP($A330,'[1]DATOS PBI Artículos'!A:A,'[1]DATOS PBI Artículos'!AV:AV)</f>
        <v>0</v>
      </c>
      <c r="L330" s="33">
        <f>_xlfn.XLOOKUP(A330,[1]MÁQUINAS!B:B,[1]MÁQUINAS!C:C)</f>
        <v>0</v>
      </c>
      <c r="M330" s="34">
        <f t="array" ref="M330">_xlfn.XLOOKUP(A330,'[1]DATOS PBI Artículos'!A:A,'[1]DATOS PBI Artículos'!AX:$AX)</f>
        <v>0</v>
      </c>
      <c r="N330" s="37" t="e">
        <f>IF(I330="DV",
E330,
IF(COUNTIF([1]CRITERIOS!$I$179:$I$199,$A330)&gt;=1,
_xlfn.XLOOKUP($A330,[1]CRITERIOS!$I$179:$I$199,[1]CRITERIOS!$J$179:$J$199),
IF(COUNTIF([1]CRITERIOS!$L$179:$L$199,$A330)&gt;=1,
_xlfn.CEILING.MATH(IF($M330&gt;$E330,
$E330,
IF($M330&lt;$E330/ROUNDDOWN([1]CRITERIOS!$M$16/_xlfn.XLOOKUP($C330,[1]CRITERIOS!$K$25:$K$42,[1]CRITERIOS!$M$25:$M$42),
1),
E330/ROUNDDOWN([1]CRITERIOS!$M$16/_xlfn.XLOOKUP($C330,[1]CRITERIOS!$K$25:$K$42,[1]CRITERIOS!$M$25:$M$42),
1),
$M330)),
_xlfn.XLOOKUP($A330,[1]CRITERIOS!$L$179:$L$200,[1]CRITERIOS!$M$179:$M$200)),
_xlfn.CEILING.MATH(IF($M330&gt;$E330,
$E330,
IF($M330&lt;$E330/ROUNDDOWN([1]CRITERIOS!$M$16/_xlfn.XLOOKUP($C330,[1]CRITERIOS!$K$25:$K$42,[1]CRITERIOS!$M$25:$M$42),
1),
E330/ROUNDDOWN([1]CRITERIOS!$M$16/_xlfn.XLOOKUP($C330,[1]CRITERIOS!$K$25:$K$42,[1]CRITERIOS!$M$25:$M$42),
1),
$M330)),_xlfn.XLOOKUP(A330,'[1]DATOS PBI Artículos'!A:A,'[1]DATOS PBI Artículos'!Z:Z
)))))</f>
        <v>#N/A</v>
      </c>
      <c r="Q330" s="38" t="e">
        <f>IF(AND(O330="",N330=0),
0,
   IF(COUNTIF([1]CRITERIOS!$F$179:$F$199,$A330)&gt;=1,
   1,
   IF(R330="MTO",
      $D330,
      ROUNDUP(
                    IF(($E330-SUMIF('[1]DATOS PBI Artículos'!A:A,A330,'[1]DATOS PBI Artículos'!X:X)+($V330-_xlfn.XLOOKUP(A330,'[1]DATOS PBI Artículos'!A:A,'[1]DATOS PBI Artículos'!W:W)))&lt;0,
                    0,
                    IF(($E330-SUMIF('[1]DATOS PBI Artículos'!A:A,A330,'[1]DATOS PBI Artículos'!X:X)+$V330-_xlfn.XLOOKUP($A330,'[1]DATOS PBI Artículos'!A:A,'[1]DATOS PBI Artículos'!W:W))/IF($O330="",$N330,$O330)&gt;ROUNDUP([1]CRITERIOS!$M$16/(IF(COUNTIF([1]CRITERIOS!$BG$11:$BG$201,L330)&gt;=1,_xlfn.XLOOKUP($C330,[1]CRITERIOS!$K$25:$K$42,[1]CRITERIOS!$M$25:$M$42),_xlfn.XLOOKUP($C330,[1]CRITERIOS!$K$25:$K$42,[1]CRITERIOS!$M$25:$M$42))),0),
                    ROUNDUP([1]CRITERIOS!$M$16/(IF(COUNTIF([1]CRITERIOS!$BG$11:$BG$201,$L330)&gt;=1,_xlfn.XLOOKUP($C330,[1]CRITERIOS!$K$25:$K$42,[1]CRITERIOS!$M$25:$M$42),_xlfn.XLOOKUP($C330,[1]CRITERIOS!$K$25:$K$42,[1]CRITERIOS!$M$25:$M$42))),0),
                    (E330+V330-SUMIF('[1]DATOS PBI Artículos'!A:A,A330,'[1]DATOS PBI Artículos'!X:X)-_xlfn.XLOOKUP(A330,'[1]DATOS PBI Artículos'!A:A,'[1]DATOS PBI Artículos'!W:W))/IF($O330="",$N330,$O330))),0))))</f>
        <v>#N/A</v>
      </c>
      <c r="R330" s="33" t="e">
        <f>IF(U330&lt;&gt;"",U330,IF(F330="DV","MTO",IF(N330=0,"MTO",_xlfn.XLOOKUP(CONCATENATE(S330,T330),[1]CRITERIOS!$K$160:$K$168,[1]CRITERIOS!$N$160:$N$168))))</f>
        <v>#N/A</v>
      </c>
      <c r="S330" s="33" t="e">
        <f>IF(G330="DV","MTO",IF(N330=0,"MTO",IF(OR(AND(N330=0,O330=""),IF(O330="",G330/N330,G330/O330)&gt;[1]CRITERIOS!$G$163),"MTO",IF(IF(O330="",G330/N330,G330/O330)&lt;[1]CRITERIOS!$H$161,"MTS","MTOS"))))</f>
        <v>#N/A</v>
      </c>
      <c r="T330" s="33" t="e">
        <f>IF(F330="DV","MTO",IF(OR(AND($N330=0,O330=""),$F330/$J330&gt;[1]CRITERIOS!$G$170,$F330="DV"),"MTO",IF($F330/$J330&lt;[1]CRITERIOS!$H$168,"MTS","MTOS")))</f>
        <v>#N/A</v>
      </c>
      <c r="V330" s="34" t="e">
        <f t="shared" si="16"/>
        <v>#N/A</v>
      </c>
      <c r="X330" s="34" t="e">
        <f t="shared" si="17"/>
        <v>#N/A</v>
      </c>
      <c r="Y330" s="34" t="e">
        <f t="shared" si="18"/>
        <v>#N/A</v>
      </c>
      <c r="Z330" s="34" t="e">
        <f>IF($R330="MTO",
0,
($H330+$K330*($E330/[1]CRITERIOS!$M$16))/[1]CRITERIOS!$X$48)</f>
        <v>#N/A</v>
      </c>
      <c r="AA330" s="34" t="e">
        <f>ROUNDUP(($Y330/_xlfn.XLOOKUP($A330,'[1]DATOS PBI Artículos'!$A$4:$A$4,'[1]DATOS PBI Artículos'!$Z$4:$Z$4))/_xlfn.XLOOKUP(_xlfn.XLOOKUP($A330,'[1]DATOS PBI Artículos'!$A$4:$A$4,'[1]DATOS PBI Artículos'!$Y$4:$Y$4),[1]CRITERIOS!$P$79:$P$123,[1]CRITERIOS!$S$79:$S$123,),0)</f>
        <v>#N/A</v>
      </c>
      <c r="AB330" s="33" t="e">
        <f t="array" ref="AB330">IF((E330+V330-_xlfn.XLOOKUP(A330,'[1]DATOS PBI Artículos'!$A$4:$A$4,'[1]DATOS PBI Artículos'!$W$4:$W$4))/N330&gt;ROUNDUP([1]CRITERIOS!$M$16/(IF(COUNTIF([1]CRITERIOS!$BG$11:$BG$201,L330)&gt;=1,_xlfn.XLOOKUP(ARTÍCULOS!L330,[1]CRITERIOS!$BG$11:$BG$201,[1]CRITERIOS!$BJ$11:$BJ$201),_xlfn.XLOOKUP(ARTÍCULOS!C330,[1]CRITERIOS!$K$25:$K$42,[1]CRITERIOS!$M$25:$M$42))),0),ROUNDUP([1]CRITERIOS!$M$16/(IF(COUNTIF([1]CRITERIOS!$BG$11:$BG$201,L330)&gt;=1,_xlfn.XLOOKUP(ARTÍCULOS!L330,[1]CRITERIOS!$BG$11:$BG$201:#REF!,[1]CRITERIOS!$BJ$11:$BJ$201),_xlfn.XLOOKUP(ARTÍCULOS!C330,[1]CRITERIOS!$K$25:$K$42,[1]CRITERIOS!$M$25:$M$42))),0),(E330+V330-_xlfn.XLOOKUP(A330,'[1]DATOS PBI Artículos'!$A$4:$A$4,'[1]DATOS PBI Artículos'!$W$4:$W$4))/N330)</f>
        <v>#N/A</v>
      </c>
      <c r="AC330" s="33" t="e">
        <f>IF(N330=0,"",(ROUNDUP((N330/2)/(_xlfn.XLOOKUP(A330,'[1]DATOS PBI Artículos'!$A$4:$A$4,'[1]DATOS PBI Artículos'!$Z$4:$Z$4)*_xlfn.XLOOKUP(_xlfn.XLOOKUP(A330,'[1]DATOS PBI Artículos'!$A$4:$A$4,'[1]DATOS PBI Artículos'!$Y$4:$Y$4),[1]CRITERIOS!$P$79:$P$123,[1]CRITERIOS!$S$79:$S$123)),0)*[1]CRITERIOS!$M$80*([1]CRITERIOS!$M$110/[1]CRITERIOS!$M$86)+(_xlfn.XLOOKUP(A330,'[1]DATOS PBI Artículos'!$A$4:$A$4,'[1]DATOS PBI Artículos'!$AA$4:$AA$4)*([1]CRITERIOS!$M$95+[1]CRITERIOS!$M$98)))/N330)</f>
        <v>#N/A</v>
      </c>
      <c r="AD330" s="33" t="e">
        <f>IF(N330=0,"",(ROUNDUP((N330/2)/(_xlfn.XLOOKUP(A330,'[1]DATOS PBI Artículos'!$A$4:$A$4,'[1]DATOS PBI Artículos'!$Z$4:$Z$4)*_xlfn.XLOOKUP(_xlfn.XLOOKUP(A330,'[1]DATOS PBI Artículos'!$A$4:$A$4,'[1]DATOS PBI Artículos'!$Y$4:$Y$4),[1]CRITERIOS!$P$79:$P$123,[1]CRITERIOS!$S$79:$S$123)),0)*[1]CRITERIOS!$M$80*([1]CRITERIOS!$M$89*[1]CRITERIOS!$M$92)+((_xlfn.XLOOKUP(A330,'[1]DATOS PBI Artículos'!$A$4:$A$4,'[1]DATOS PBI Artículos'!$AA$4:$AA$4)/2)*([1]CRITERIOS!$M$95+[1]CRITERIOS!$M$98)))/N330)</f>
        <v>#N/A</v>
      </c>
      <c r="AE330" s="39" t="e">
        <f>IF($R330="MTO","",
IF($H330=0,ROUNDUP(((_xlfn.XLOOKUP($A330,'[1]DATOS PBI Artículos'!$A:$A,'[1]DATOS PBI Artículos'!$AL:$AL))/(_xlfn.XLOOKUP($AF$1,[1]CRITERIOS!$S$16:$S$39,[1]CRITERIOS!$Y$16:$Y$39))*$J330+$Z330)/$G330,0)*$G330,
((_xlfn.XLOOKUP($A330,'[1]DATOS PBI Artículos'!$A:$A,'[1]DATOS PBI Artículos'!$AL:$AL))/(_xlfn.XLOOKUP($AF$1,[1]CRITERIOS!$S$16:$S$39,[1]CRITERIOS!$Y$16:$Y$39))*$J330+$Z330)))</f>
        <v>#N/A</v>
      </c>
      <c r="AG330" s="39" t="e">
        <f>IF($R330="MTO","",
IF($H330=0,ROUNDUP(((_xlfn.XLOOKUP($A330,'[1]DATOS PBI Artículos'!$A:$A,'[1]DATOS PBI Artículos'!$AM:$AM))/(_xlfn.XLOOKUP($AH$1,[1]CRITERIOS!$S$16:$S$39,[1]CRITERIOS!$Y$16:$Y$39))*$J330+$Z330)/$G330,0)*$G330,
((_xlfn.XLOOKUP($A330,'[1]DATOS PBI Artículos'!$A:$A,'[1]DATOS PBI Artículos'!$AM:$AM))/(_xlfn.XLOOKUP($AH$1,[1]CRITERIOS!$S$16:$S$39,[1]CRITERIOS!$Y$16:$Y$39))*$J330+$Z330)))</f>
        <v>#N/A</v>
      </c>
      <c r="AI330" s="39" t="e">
        <f>IF($R330="MTO","",
IF($H330=0,ROUNDUP(((_xlfn.XLOOKUP($A330,'[1]DATOS PBI Artículos'!$A:$A,'[1]DATOS PBI Artículos'!$AN:$AN))/(_xlfn.XLOOKUP($AJ$1,[1]CRITERIOS!$S$16:$S$39,[1]CRITERIOS!$Y$16:$Y$39))*$J330+$Z330)/$G330,0)*$G330,
((_xlfn.XLOOKUP($A330,'[1]DATOS PBI Artículos'!$A:$A,'[1]DATOS PBI Artículos'!$AN:$AN))/(_xlfn.XLOOKUP($AJ$1,[1]CRITERIOS!$S$16:$S$39,[1]CRITERIOS!$Y$16:$Y$39))*$J330+$Z330)))</f>
        <v>#N/A</v>
      </c>
      <c r="AK330" s="39" t="e">
        <f>IF($R330="MTO","",
IF($H330=0,ROUNDUP(((_xlfn.XLOOKUP($A330,'[1]DATOS PBI Artículos'!$A:$A,'[1]DATOS PBI Artículos'!$AO:$AO))/(_xlfn.XLOOKUP($AL$1,[1]CRITERIOS!$S$16:$S$39,[1]CRITERIOS!$Y$16:$Y$39))*$J330+$Z330)/$G330,0)*$G330,
((_xlfn.XLOOKUP($A330,'[1]DATOS PBI Artículos'!$A:$A,'[1]DATOS PBI Artículos'!$AO:$AO))/(_xlfn.XLOOKUP($AL$1,[1]CRITERIOS!$S$16:$S$39,[1]CRITERIOS!$Y$16:$Y$39))*$J330+$Z330)))</f>
        <v>#N/A</v>
      </c>
    </row>
    <row r="331" spans="1:37" ht="25.8" hidden="1" x14ac:dyDescent="0.4">
      <c r="A331" s="41"/>
      <c r="B331" s="33">
        <f>_xlfn.XLOOKUP($A331,'[1]DATOS PBI Artículos'!A:A,'[1]DATOS PBI Artículos'!B:B)</f>
        <v>0</v>
      </c>
      <c r="C331" s="33">
        <f>_xlfn.XLOOKUP($A331,'[1]DATOS PBI Artículos'!A:A,'[1]DATOS PBI Artículos'!C:C)</f>
        <v>0</v>
      </c>
      <c r="D331" s="33">
        <f>_xlfn.XLOOKUP(A331,'[1]DATOS PBI Artículos'!A:A,'[1]DATOS PBI Artículos'!T:T)</f>
        <v>0</v>
      </c>
      <c r="E331" s="34">
        <f>IF(_xlfn.XLOOKUP($A331,'[1]DATOS PBI Artículos'!A:A,'[1]DATOS PBI Artículos'!AK:AK)="",_xlfn.XLOOKUP($A331,'[1]DATOS PBI Artículos'!A:A,'[1]DATOS PBI Artículos'!AJ:AJ),_xlfn.XLOOKUP($A331,'[1]DATOS PBI Artículos'!A:A,'[1]DATOS PBI Artículos'!AK:AK))</f>
        <v>0</v>
      </c>
      <c r="F331" s="35">
        <f>_xlfn.XLOOKUP($A331,'[1]DATOS PBI Artículos'!A:A,'[1]DATOS PBI Artículos'!AP:AP)</f>
        <v>0</v>
      </c>
      <c r="G331" s="34">
        <f>_xlfn.XLOOKUP($A331,'[1]DATOS PBI Artículos'!A:A,'[1]DATOS PBI Artículos'!AR:AR)</f>
        <v>0</v>
      </c>
      <c r="H331" s="34">
        <f>_xlfn.XLOOKUP($A331,'[1]DATOS PBI Artículos'!A:A,'[1]DATOS PBI Artículos'!AT:AT)</f>
        <v>0</v>
      </c>
      <c r="I331" s="34">
        <f>_xlfn.XLOOKUP($A331,'[1]DATOS PBI Artículos'!A:A,'[1]DATOS PBI Artículos'!AS:AS)</f>
        <v>0</v>
      </c>
      <c r="J331" s="35">
        <f>IF(COUNTIF([1]CRITERIOS!$F$179:$F$199,$A331)&gt;=1,
 IF(O331&lt;&gt;"",
    (O331/_xlfn.XLOOKUP(CONCATENATE(A331,L331),[1]MÁQUINAS!A:A,[1]MÁQUINAS!D:D))/24,
    (N331/_xlfn.XLOOKUP(CONCATENATE(A331,L331),[1]MÁQUINAS!A:A,[1]MÁQUINAS!D:D))/24),
  _xlfn.XLOOKUP($A331,'[1]DATOS PBI Artículos'!A:A,'[1]DATOS PBI Artículos'!AU:AU))</f>
        <v>0</v>
      </c>
      <c r="K331" s="36">
        <f>_xlfn.XLOOKUP($A331,'[1]DATOS PBI Artículos'!A:A,'[1]DATOS PBI Artículos'!AV:AV)</f>
        <v>0</v>
      </c>
      <c r="L331" s="33">
        <f>_xlfn.XLOOKUP(A331,[1]MÁQUINAS!B:B,[1]MÁQUINAS!C:C)</f>
        <v>0</v>
      </c>
      <c r="M331" s="34">
        <f t="array" ref="M331">_xlfn.XLOOKUP(A331,'[1]DATOS PBI Artículos'!A:A,'[1]DATOS PBI Artículos'!AX:$AX)</f>
        <v>0</v>
      </c>
      <c r="N331" s="37" t="e">
        <f>IF(I331="DV",
E331,
IF(COUNTIF([1]CRITERIOS!$I$179:$I$199,$A331)&gt;=1,
_xlfn.XLOOKUP($A331,[1]CRITERIOS!$I$179:$I$199,[1]CRITERIOS!$J$179:$J$199),
IF(COUNTIF([1]CRITERIOS!$L$179:$L$199,$A331)&gt;=1,
_xlfn.CEILING.MATH(IF($M331&gt;$E331,
$E331,
IF($M331&lt;$E331/ROUNDDOWN([1]CRITERIOS!$M$16/_xlfn.XLOOKUP($C331,[1]CRITERIOS!$K$25:$K$42,[1]CRITERIOS!$M$25:$M$42),
1),
E331/ROUNDDOWN([1]CRITERIOS!$M$16/_xlfn.XLOOKUP($C331,[1]CRITERIOS!$K$25:$K$42,[1]CRITERIOS!$M$25:$M$42),
1),
$M331)),
_xlfn.XLOOKUP($A331,[1]CRITERIOS!$L$179:$L$200,[1]CRITERIOS!$M$179:$M$200)),
_xlfn.CEILING.MATH(IF($M331&gt;$E331,
$E331,
IF($M331&lt;$E331/ROUNDDOWN([1]CRITERIOS!$M$16/_xlfn.XLOOKUP($C331,[1]CRITERIOS!$K$25:$K$42,[1]CRITERIOS!$M$25:$M$42),
1),
E331/ROUNDDOWN([1]CRITERIOS!$M$16/_xlfn.XLOOKUP($C331,[1]CRITERIOS!$K$25:$K$42,[1]CRITERIOS!$M$25:$M$42),
1),
$M331)),_xlfn.XLOOKUP(A331,'[1]DATOS PBI Artículos'!A:A,'[1]DATOS PBI Artículos'!Z:Z
)))))</f>
        <v>#N/A</v>
      </c>
      <c r="Q331" s="38" t="e">
        <f>IF(AND(O331="",N331=0),
0,
   IF(COUNTIF([1]CRITERIOS!$F$179:$F$199,$A331)&gt;=1,
   1,
   IF(R331="MTO",
      $D331,
      ROUNDUP(
                    IF(($E331-SUMIF('[1]DATOS PBI Artículos'!A:A,A331,'[1]DATOS PBI Artículos'!X:X)+($V331-_xlfn.XLOOKUP(A331,'[1]DATOS PBI Artículos'!A:A,'[1]DATOS PBI Artículos'!W:W)))&lt;0,
                    0,
                    IF(($E331-SUMIF('[1]DATOS PBI Artículos'!A:A,A331,'[1]DATOS PBI Artículos'!X:X)+$V331-_xlfn.XLOOKUP($A331,'[1]DATOS PBI Artículos'!A:A,'[1]DATOS PBI Artículos'!W:W))/IF($O331="",$N331,$O331)&gt;ROUNDUP([1]CRITERIOS!$M$16/(IF(COUNTIF([1]CRITERIOS!$BG$11:$BG$201,L331)&gt;=1,_xlfn.XLOOKUP($C331,[1]CRITERIOS!$K$25:$K$42,[1]CRITERIOS!$M$25:$M$42),_xlfn.XLOOKUP($C331,[1]CRITERIOS!$K$25:$K$42,[1]CRITERIOS!$M$25:$M$42))),0),
                    ROUNDUP([1]CRITERIOS!$M$16/(IF(COUNTIF([1]CRITERIOS!$BG$11:$BG$201,$L331)&gt;=1,_xlfn.XLOOKUP($C331,[1]CRITERIOS!$K$25:$K$42,[1]CRITERIOS!$M$25:$M$42),_xlfn.XLOOKUP($C331,[1]CRITERIOS!$K$25:$K$42,[1]CRITERIOS!$M$25:$M$42))),0),
                    (E331+V331-SUMIF('[1]DATOS PBI Artículos'!A:A,A331,'[1]DATOS PBI Artículos'!X:X)-_xlfn.XLOOKUP(A331,'[1]DATOS PBI Artículos'!A:A,'[1]DATOS PBI Artículos'!W:W))/IF($O331="",$N331,$O331))),0))))</f>
        <v>#N/A</v>
      </c>
      <c r="R331" s="33" t="e">
        <f>IF(U331&lt;&gt;"",U331,IF(F331="DV","MTO",IF(N331=0,"MTO",_xlfn.XLOOKUP(CONCATENATE(S331,T331),[1]CRITERIOS!$K$160:$K$168,[1]CRITERIOS!$N$160:$N$168))))</f>
        <v>#N/A</v>
      </c>
      <c r="S331" s="33" t="e">
        <f>IF(G331="DV","MTO",IF(N331=0,"MTO",IF(OR(AND(N331=0,O331=""),IF(O331="",G331/N331,G331/O331)&gt;[1]CRITERIOS!$G$163),"MTO",IF(IF(O331="",G331/N331,G331/O331)&lt;[1]CRITERIOS!$H$161,"MTS","MTOS"))))</f>
        <v>#N/A</v>
      </c>
      <c r="T331" s="33" t="e">
        <f>IF(F331="DV","MTO",IF(OR(AND($N331=0,O331=""),$F331/$J331&gt;[1]CRITERIOS!$G$170,$F331="DV"),"MTO",IF($F331/$J331&lt;[1]CRITERIOS!$H$168,"MTS","MTOS")))</f>
        <v>#N/A</v>
      </c>
      <c r="V331" s="34" t="e">
        <f t="shared" si="16"/>
        <v>#N/A</v>
      </c>
      <c r="X331" s="34" t="e">
        <f t="shared" si="17"/>
        <v>#N/A</v>
      </c>
      <c r="Y331" s="34" t="e">
        <f t="shared" si="18"/>
        <v>#N/A</v>
      </c>
      <c r="Z331" s="34" t="e">
        <f>IF($R331="MTO",
0,
($H331+$K331*($E331/[1]CRITERIOS!$M$16))/[1]CRITERIOS!$X$48)</f>
        <v>#N/A</v>
      </c>
      <c r="AA331" s="34" t="e">
        <f>ROUNDUP(($Y331/_xlfn.XLOOKUP($A331,'[1]DATOS PBI Artículos'!$A$4:$A$4,'[1]DATOS PBI Artículos'!$Z$4:$Z$4))/_xlfn.XLOOKUP(_xlfn.XLOOKUP($A331,'[1]DATOS PBI Artículos'!$A$4:$A$4,'[1]DATOS PBI Artículos'!$Y$4:$Y$4),[1]CRITERIOS!$P$79:$P$123,[1]CRITERIOS!$S$79:$S$123,),0)</f>
        <v>#N/A</v>
      </c>
      <c r="AB331" s="33" t="e">
        <f t="array" ref="AB331">IF((E331+V331-_xlfn.XLOOKUP(A331,'[1]DATOS PBI Artículos'!$A$4:$A$4,'[1]DATOS PBI Artículos'!$W$4:$W$4))/N331&gt;ROUNDUP([1]CRITERIOS!$M$16/(IF(COUNTIF([1]CRITERIOS!$BG$11:$BG$201,L331)&gt;=1,_xlfn.XLOOKUP(ARTÍCULOS!L331,[1]CRITERIOS!$BG$11:$BG$201,[1]CRITERIOS!$BJ$11:$BJ$201),_xlfn.XLOOKUP(ARTÍCULOS!C331,[1]CRITERIOS!$K$25:$K$42,[1]CRITERIOS!$M$25:$M$42))),0),ROUNDUP([1]CRITERIOS!$M$16/(IF(COUNTIF([1]CRITERIOS!$BG$11:$BG$201,L331)&gt;=1,_xlfn.XLOOKUP(ARTÍCULOS!L331,[1]CRITERIOS!$BG$11:$BG$201:#REF!,[1]CRITERIOS!$BJ$11:$BJ$201),_xlfn.XLOOKUP(ARTÍCULOS!C331,[1]CRITERIOS!$K$25:$K$42,[1]CRITERIOS!$M$25:$M$42))),0),(E331+V331-_xlfn.XLOOKUP(A331,'[1]DATOS PBI Artículos'!$A$4:$A$4,'[1]DATOS PBI Artículos'!$W$4:$W$4))/N331)</f>
        <v>#N/A</v>
      </c>
      <c r="AC331" s="33" t="e">
        <f>IF(N331=0,"",(ROUNDUP((N331/2)/(_xlfn.XLOOKUP(A331,'[1]DATOS PBI Artículos'!$A$4:$A$4,'[1]DATOS PBI Artículos'!$Z$4:$Z$4)*_xlfn.XLOOKUP(_xlfn.XLOOKUP(A331,'[1]DATOS PBI Artículos'!$A$4:$A$4,'[1]DATOS PBI Artículos'!$Y$4:$Y$4),[1]CRITERIOS!$P$79:$P$123,[1]CRITERIOS!$S$79:$S$123)),0)*[1]CRITERIOS!$M$80*([1]CRITERIOS!$M$110/[1]CRITERIOS!$M$86)+(_xlfn.XLOOKUP(A331,'[1]DATOS PBI Artículos'!$A$4:$A$4,'[1]DATOS PBI Artículos'!$AA$4:$AA$4)*([1]CRITERIOS!$M$95+[1]CRITERIOS!$M$98)))/N331)</f>
        <v>#N/A</v>
      </c>
      <c r="AD331" s="33" t="e">
        <f>IF(N331=0,"",(ROUNDUP((N331/2)/(_xlfn.XLOOKUP(A331,'[1]DATOS PBI Artículos'!$A$4:$A$4,'[1]DATOS PBI Artículos'!$Z$4:$Z$4)*_xlfn.XLOOKUP(_xlfn.XLOOKUP(A331,'[1]DATOS PBI Artículos'!$A$4:$A$4,'[1]DATOS PBI Artículos'!$Y$4:$Y$4),[1]CRITERIOS!$P$79:$P$123,[1]CRITERIOS!$S$79:$S$123)),0)*[1]CRITERIOS!$M$80*([1]CRITERIOS!$M$89*[1]CRITERIOS!$M$92)+((_xlfn.XLOOKUP(A331,'[1]DATOS PBI Artículos'!$A$4:$A$4,'[1]DATOS PBI Artículos'!$AA$4:$AA$4)/2)*([1]CRITERIOS!$M$95+[1]CRITERIOS!$M$98)))/N331)</f>
        <v>#N/A</v>
      </c>
      <c r="AE331" s="39" t="e">
        <f>IF($R331="MTO","",
IF($H331=0,ROUNDUP(((_xlfn.XLOOKUP($A331,'[1]DATOS PBI Artículos'!$A:$A,'[1]DATOS PBI Artículos'!$AL:$AL))/(_xlfn.XLOOKUP($AF$1,[1]CRITERIOS!$S$16:$S$39,[1]CRITERIOS!$Y$16:$Y$39))*$J331+$Z331)/$G331,0)*$G331,
((_xlfn.XLOOKUP($A331,'[1]DATOS PBI Artículos'!$A:$A,'[1]DATOS PBI Artículos'!$AL:$AL))/(_xlfn.XLOOKUP($AF$1,[1]CRITERIOS!$S$16:$S$39,[1]CRITERIOS!$Y$16:$Y$39))*$J331+$Z331)))</f>
        <v>#N/A</v>
      </c>
      <c r="AG331" s="39" t="e">
        <f>IF($R331="MTO","",
IF($H331=0,ROUNDUP(((_xlfn.XLOOKUP($A331,'[1]DATOS PBI Artículos'!$A:$A,'[1]DATOS PBI Artículos'!$AM:$AM))/(_xlfn.XLOOKUP($AH$1,[1]CRITERIOS!$S$16:$S$39,[1]CRITERIOS!$Y$16:$Y$39))*$J331+$Z331)/$G331,0)*$G331,
((_xlfn.XLOOKUP($A331,'[1]DATOS PBI Artículos'!$A:$A,'[1]DATOS PBI Artículos'!$AM:$AM))/(_xlfn.XLOOKUP($AH$1,[1]CRITERIOS!$S$16:$S$39,[1]CRITERIOS!$Y$16:$Y$39))*$J331+$Z331)))</f>
        <v>#N/A</v>
      </c>
      <c r="AI331" s="39" t="e">
        <f>IF($R331="MTO","",
IF($H331=0,ROUNDUP(((_xlfn.XLOOKUP($A331,'[1]DATOS PBI Artículos'!$A:$A,'[1]DATOS PBI Artículos'!$AN:$AN))/(_xlfn.XLOOKUP($AJ$1,[1]CRITERIOS!$S$16:$S$39,[1]CRITERIOS!$Y$16:$Y$39))*$J331+$Z331)/$G331,0)*$G331,
((_xlfn.XLOOKUP($A331,'[1]DATOS PBI Artículos'!$A:$A,'[1]DATOS PBI Artículos'!$AN:$AN))/(_xlfn.XLOOKUP($AJ$1,[1]CRITERIOS!$S$16:$S$39,[1]CRITERIOS!$Y$16:$Y$39))*$J331+$Z331)))</f>
        <v>#N/A</v>
      </c>
      <c r="AK331" s="39" t="e">
        <f>IF($R331="MTO","",
IF($H331=0,ROUNDUP(((_xlfn.XLOOKUP($A331,'[1]DATOS PBI Artículos'!$A:$A,'[1]DATOS PBI Artículos'!$AO:$AO))/(_xlfn.XLOOKUP($AL$1,[1]CRITERIOS!$S$16:$S$39,[1]CRITERIOS!$Y$16:$Y$39))*$J331+$Z331)/$G331,0)*$G331,
((_xlfn.XLOOKUP($A331,'[1]DATOS PBI Artículos'!$A:$A,'[1]DATOS PBI Artículos'!$AO:$AO))/(_xlfn.XLOOKUP($AL$1,[1]CRITERIOS!$S$16:$S$39,[1]CRITERIOS!$Y$16:$Y$39))*$J331+$Z331)))</f>
        <v>#N/A</v>
      </c>
    </row>
    <row r="332" spans="1:37" ht="25.8" hidden="1" x14ac:dyDescent="0.4">
      <c r="A332" s="41"/>
      <c r="B332" s="33">
        <f>_xlfn.XLOOKUP($A332,'[1]DATOS PBI Artículos'!A:A,'[1]DATOS PBI Artículos'!B:B)</f>
        <v>0</v>
      </c>
      <c r="C332" s="33">
        <f>_xlfn.XLOOKUP($A332,'[1]DATOS PBI Artículos'!A:A,'[1]DATOS PBI Artículos'!C:C)</f>
        <v>0</v>
      </c>
      <c r="D332" s="33">
        <f>_xlfn.XLOOKUP(A332,'[1]DATOS PBI Artículos'!A:A,'[1]DATOS PBI Artículos'!T:T)</f>
        <v>0</v>
      </c>
      <c r="E332" s="34">
        <f>IF(_xlfn.XLOOKUP($A332,'[1]DATOS PBI Artículos'!A:A,'[1]DATOS PBI Artículos'!AK:AK)="",_xlfn.XLOOKUP($A332,'[1]DATOS PBI Artículos'!A:A,'[1]DATOS PBI Artículos'!AJ:AJ),_xlfn.XLOOKUP($A332,'[1]DATOS PBI Artículos'!A:A,'[1]DATOS PBI Artículos'!AK:AK))</f>
        <v>0</v>
      </c>
      <c r="F332" s="35">
        <f>_xlfn.XLOOKUP($A332,'[1]DATOS PBI Artículos'!A:A,'[1]DATOS PBI Artículos'!AP:AP)</f>
        <v>0</v>
      </c>
      <c r="G332" s="34">
        <f>_xlfn.XLOOKUP($A332,'[1]DATOS PBI Artículos'!A:A,'[1]DATOS PBI Artículos'!AR:AR)</f>
        <v>0</v>
      </c>
      <c r="H332" s="34">
        <f>_xlfn.XLOOKUP($A332,'[1]DATOS PBI Artículos'!A:A,'[1]DATOS PBI Artículos'!AT:AT)</f>
        <v>0</v>
      </c>
      <c r="I332" s="34">
        <f>_xlfn.XLOOKUP($A332,'[1]DATOS PBI Artículos'!A:A,'[1]DATOS PBI Artículos'!AS:AS)</f>
        <v>0</v>
      </c>
      <c r="J332" s="35">
        <f>IF(COUNTIF([1]CRITERIOS!$F$179:$F$199,$A332)&gt;=1,
 IF(O332&lt;&gt;"",
    (O332/_xlfn.XLOOKUP(CONCATENATE(A332,L332),[1]MÁQUINAS!A:A,[1]MÁQUINAS!D:D))/24,
    (N332/_xlfn.XLOOKUP(CONCATENATE(A332,L332),[1]MÁQUINAS!A:A,[1]MÁQUINAS!D:D))/24),
  _xlfn.XLOOKUP($A332,'[1]DATOS PBI Artículos'!A:A,'[1]DATOS PBI Artículos'!AU:AU))</f>
        <v>0</v>
      </c>
      <c r="K332" s="36">
        <f>_xlfn.XLOOKUP($A332,'[1]DATOS PBI Artículos'!A:A,'[1]DATOS PBI Artículos'!AV:AV)</f>
        <v>0</v>
      </c>
      <c r="L332" s="33">
        <f>_xlfn.XLOOKUP(A332,[1]MÁQUINAS!B:B,[1]MÁQUINAS!C:C)</f>
        <v>0</v>
      </c>
      <c r="M332" s="34">
        <f t="array" ref="M332">_xlfn.XLOOKUP(A332,'[1]DATOS PBI Artículos'!A:A,'[1]DATOS PBI Artículos'!AX:$AX)</f>
        <v>0</v>
      </c>
      <c r="N332" s="37" t="e">
        <f>IF(I332="DV",
E332,
IF(COUNTIF([1]CRITERIOS!$I$179:$I$199,$A332)&gt;=1,
_xlfn.XLOOKUP($A332,[1]CRITERIOS!$I$179:$I$199,[1]CRITERIOS!$J$179:$J$199),
IF(COUNTIF([1]CRITERIOS!$L$179:$L$199,$A332)&gt;=1,
_xlfn.CEILING.MATH(IF($M332&gt;$E332,
$E332,
IF($M332&lt;$E332/ROUNDDOWN([1]CRITERIOS!$M$16/_xlfn.XLOOKUP($C332,[1]CRITERIOS!$K$25:$K$42,[1]CRITERIOS!$M$25:$M$42),
1),
E332/ROUNDDOWN([1]CRITERIOS!$M$16/_xlfn.XLOOKUP($C332,[1]CRITERIOS!$K$25:$K$42,[1]CRITERIOS!$M$25:$M$42),
1),
$M332)),
_xlfn.XLOOKUP($A332,[1]CRITERIOS!$L$179:$L$200,[1]CRITERIOS!$M$179:$M$200)),
_xlfn.CEILING.MATH(IF($M332&gt;$E332,
$E332,
IF($M332&lt;$E332/ROUNDDOWN([1]CRITERIOS!$M$16/_xlfn.XLOOKUP($C332,[1]CRITERIOS!$K$25:$K$42,[1]CRITERIOS!$M$25:$M$42),
1),
E332/ROUNDDOWN([1]CRITERIOS!$M$16/_xlfn.XLOOKUP($C332,[1]CRITERIOS!$K$25:$K$42,[1]CRITERIOS!$M$25:$M$42),
1),
$M332)),_xlfn.XLOOKUP(A332,'[1]DATOS PBI Artículos'!A:A,'[1]DATOS PBI Artículos'!Z:Z
)))))</f>
        <v>#N/A</v>
      </c>
      <c r="Q332" s="38" t="e">
        <f>IF(AND(O332="",N332=0),
0,
   IF(COUNTIF([1]CRITERIOS!$F$179:$F$199,$A332)&gt;=1,
   1,
   IF(R332="MTO",
      $D332,
      ROUNDUP(
                    IF(($E332-SUMIF('[1]DATOS PBI Artículos'!A:A,A332,'[1]DATOS PBI Artículos'!X:X)+($V332-_xlfn.XLOOKUP(A332,'[1]DATOS PBI Artículos'!A:A,'[1]DATOS PBI Artículos'!W:W)))&lt;0,
                    0,
                    IF(($E332-SUMIF('[1]DATOS PBI Artículos'!A:A,A332,'[1]DATOS PBI Artículos'!X:X)+$V332-_xlfn.XLOOKUP($A332,'[1]DATOS PBI Artículos'!A:A,'[1]DATOS PBI Artículos'!W:W))/IF($O332="",$N332,$O332)&gt;ROUNDUP([1]CRITERIOS!$M$16/(IF(COUNTIF([1]CRITERIOS!$BG$11:$BG$201,L332)&gt;=1,_xlfn.XLOOKUP($C332,[1]CRITERIOS!$K$25:$K$42,[1]CRITERIOS!$M$25:$M$42),_xlfn.XLOOKUP($C332,[1]CRITERIOS!$K$25:$K$42,[1]CRITERIOS!$M$25:$M$42))),0),
                    ROUNDUP([1]CRITERIOS!$M$16/(IF(COUNTIF([1]CRITERIOS!$BG$11:$BG$201,$L332)&gt;=1,_xlfn.XLOOKUP($C332,[1]CRITERIOS!$K$25:$K$42,[1]CRITERIOS!$M$25:$M$42),_xlfn.XLOOKUP($C332,[1]CRITERIOS!$K$25:$K$42,[1]CRITERIOS!$M$25:$M$42))),0),
                    (E332+V332-SUMIF('[1]DATOS PBI Artículos'!A:A,A332,'[1]DATOS PBI Artículos'!X:X)-_xlfn.XLOOKUP(A332,'[1]DATOS PBI Artículos'!A:A,'[1]DATOS PBI Artículos'!W:W))/IF($O332="",$N332,$O332))),0))))</f>
        <v>#N/A</v>
      </c>
      <c r="R332" s="33" t="e">
        <f>IF(U332&lt;&gt;"",U332,IF(F332="DV","MTO",IF(N332=0,"MTO",_xlfn.XLOOKUP(CONCATENATE(S332,T332),[1]CRITERIOS!$K$160:$K$168,[1]CRITERIOS!$N$160:$N$168))))</f>
        <v>#N/A</v>
      </c>
      <c r="S332" s="33" t="e">
        <f>IF(G332="DV","MTO",IF(N332=0,"MTO",IF(OR(AND(N332=0,O332=""),IF(O332="",G332/N332,G332/O332)&gt;[1]CRITERIOS!$G$163),"MTO",IF(IF(O332="",G332/N332,G332/O332)&lt;[1]CRITERIOS!$H$161,"MTS","MTOS"))))</f>
        <v>#N/A</v>
      </c>
      <c r="T332" s="33" t="e">
        <f>IF(F332="DV","MTO",IF(OR(AND($N332=0,O332=""),$F332/$J332&gt;[1]CRITERIOS!$G$170,$F332="DV"),"MTO",IF($F332/$J332&lt;[1]CRITERIOS!$H$168,"MTS","MTOS")))</f>
        <v>#N/A</v>
      </c>
      <c r="V332" s="34" t="e">
        <f t="shared" si="16"/>
        <v>#N/A</v>
      </c>
      <c r="X332" s="34" t="e">
        <f t="shared" si="17"/>
        <v>#N/A</v>
      </c>
      <c r="Y332" s="34" t="e">
        <f t="shared" si="18"/>
        <v>#N/A</v>
      </c>
      <c r="Z332" s="34" t="e">
        <f>IF($R332="MTO",
0,
($H332+$K332*($E332/[1]CRITERIOS!$M$16))/[1]CRITERIOS!$X$48)</f>
        <v>#N/A</v>
      </c>
      <c r="AA332" s="34" t="e">
        <f>ROUNDUP(($Y332/_xlfn.XLOOKUP($A332,'[1]DATOS PBI Artículos'!$A$4:$A$4,'[1]DATOS PBI Artículos'!$Z$4:$Z$4))/_xlfn.XLOOKUP(_xlfn.XLOOKUP($A332,'[1]DATOS PBI Artículos'!$A$4:$A$4,'[1]DATOS PBI Artículos'!$Y$4:$Y$4),[1]CRITERIOS!$P$79:$P$123,[1]CRITERIOS!$S$79:$S$123,),0)</f>
        <v>#N/A</v>
      </c>
      <c r="AB332" s="33" t="e">
        <f t="array" ref="AB332">IF((E332+V332-_xlfn.XLOOKUP(A332,'[1]DATOS PBI Artículos'!$A$4:$A$4,'[1]DATOS PBI Artículos'!$W$4:$W$4))/N332&gt;ROUNDUP([1]CRITERIOS!$M$16/(IF(COUNTIF([1]CRITERIOS!$BG$11:$BG$201,L332)&gt;=1,_xlfn.XLOOKUP(ARTÍCULOS!L332,[1]CRITERIOS!$BG$11:$BG$201,[1]CRITERIOS!$BJ$11:$BJ$201),_xlfn.XLOOKUP(ARTÍCULOS!C332,[1]CRITERIOS!$K$25:$K$42,[1]CRITERIOS!$M$25:$M$42))),0),ROUNDUP([1]CRITERIOS!$M$16/(IF(COUNTIF([1]CRITERIOS!$BG$11:$BG$201,L332)&gt;=1,_xlfn.XLOOKUP(ARTÍCULOS!L332,[1]CRITERIOS!$BG$11:$BG$201:#REF!,[1]CRITERIOS!$BJ$11:$BJ$201),_xlfn.XLOOKUP(ARTÍCULOS!C332,[1]CRITERIOS!$K$25:$K$42,[1]CRITERIOS!$M$25:$M$42))),0),(E332+V332-_xlfn.XLOOKUP(A332,'[1]DATOS PBI Artículos'!$A$4:$A$4,'[1]DATOS PBI Artículos'!$W$4:$W$4))/N332)</f>
        <v>#N/A</v>
      </c>
      <c r="AC332" s="33" t="e">
        <f>IF(N332=0,"",(ROUNDUP((N332/2)/(_xlfn.XLOOKUP(A332,'[1]DATOS PBI Artículos'!$A$4:$A$4,'[1]DATOS PBI Artículos'!$Z$4:$Z$4)*_xlfn.XLOOKUP(_xlfn.XLOOKUP(A332,'[1]DATOS PBI Artículos'!$A$4:$A$4,'[1]DATOS PBI Artículos'!$Y$4:$Y$4),[1]CRITERIOS!$P$79:$P$123,[1]CRITERIOS!$S$79:$S$123)),0)*[1]CRITERIOS!$M$80*([1]CRITERIOS!$M$110/[1]CRITERIOS!$M$86)+(_xlfn.XLOOKUP(A332,'[1]DATOS PBI Artículos'!$A$4:$A$4,'[1]DATOS PBI Artículos'!$AA$4:$AA$4)*([1]CRITERIOS!$M$95+[1]CRITERIOS!$M$98)))/N332)</f>
        <v>#N/A</v>
      </c>
      <c r="AD332" s="33" t="e">
        <f>IF(N332=0,"",(ROUNDUP((N332/2)/(_xlfn.XLOOKUP(A332,'[1]DATOS PBI Artículos'!$A$4:$A$4,'[1]DATOS PBI Artículos'!$Z$4:$Z$4)*_xlfn.XLOOKUP(_xlfn.XLOOKUP(A332,'[1]DATOS PBI Artículos'!$A$4:$A$4,'[1]DATOS PBI Artículos'!$Y$4:$Y$4),[1]CRITERIOS!$P$79:$P$123,[1]CRITERIOS!$S$79:$S$123)),0)*[1]CRITERIOS!$M$80*([1]CRITERIOS!$M$89*[1]CRITERIOS!$M$92)+((_xlfn.XLOOKUP(A332,'[1]DATOS PBI Artículos'!$A$4:$A$4,'[1]DATOS PBI Artículos'!$AA$4:$AA$4)/2)*([1]CRITERIOS!$M$95+[1]CRITERIOS!$M$98)))/N332)</f>
        <v>#N/A</v>
      </c>
      <c r="AE332" s="39" t="e">
        <f>IF($R332="MTO","",
IF($H332=0,ROUNDUP(((_xlfn.XLOOKUP($A332,'[1]DATOS PBI Artículos'!$A:$A,'[1]DATOS PBI Artículos'!$AL:$AL))/(_xlfn.XLOOKUP($AF$1,[1]CRITERIOS!$S$16:$S$39,[1]CRITERIOS!$Y$16:$Y$39))*$J332+$Z332)/$G332,0)*$G332,
((_xlfn.XLOOKUP($A332,'[1]DATOS PBI Artículos'!$A:$A,'[1]DATOS PBI Artículos'!$AL:$AL))/(_xlfn.XLOOKUP($AF$1,[1]CRITERIOS!$S$16:$S$39,[1]CRITERIOS!$Y$16:$Y$39))*$J332+$Z332)))</f>
        <v>#N/A</v>
      </c>
      <c r="AG332" s="39" t="e">
        <f>IF($R332="MTO","",
IF($H332=0,ROUNDUP(((_xlfn.XLOOKUP($A332,'[1]DATOS PBI Artículos'!$A:$A,'[1]DATOS PBI Artículos'!$AM:$AM))/(_xlfn.XLOOKUP($AH$1,[1]CRITERIOS!$S$16:$S$39,[1]CRITERIOS!$Y$16:$Y$39))*$J332+$Z332)/$G332,0)*$G332,
((_xlfn.XLOOKUP($A332,'[1]DATOS PBI Artículos'!$A:$A,'[1]DATOS PBI Artículos'!$AM:$AM))/(_xlfn.XLOOKUP($AH$1,[1]CRITERIOS!$S$16:$S$39,[1]CRITERIOS!$Y$16:$Y$39))*$J332+$Z332)))</f>
        <v>#N/A</v>
      </c>
      <c r="AI332" s="39" t="e">
        <f>IF($R332="MTO","",
IF($H332=0,ROUNDUP(((_xlfn.XLOOKUP($A332,'[1]DATOS PBI Artículos'!$A:$A,'[1]DATOS PBI Artículos'!$AN:$AN))/(_xlfn.XLOOKUP($AJ$1,[1]CRITERIOS!$S$16:$S$39,[1]CRITERIOS!$Y$16:$Y$39))*$J332+$Z332)/$G332,0)*$G332,
((_xlfn.XLOOKUP($A332,'[1]DATOS PBI Artículos'!$A:$A,'[1]DATOS PBI Artículos'!$AN:$AN))/(_xlfn.XLOOKUP($AJ$1,[1]CRITERIOS!$S$16:$S$39,[1]CRITERIOS!$Y$16:$Y$39))*$J332+$Z332)))</f>
        <v>#N/A</v>
      </c>
      <c r="AK332" s="39" t="e">
        <f>IF($R332="MTO","",
IF($H332=0,ROUNDUP(((_xlfn.XLOOKUP($A332,'[1]DATOS PBI Artículos'!$A:$A,'[1]DATOS PBI Artículos'!$AO:$AO))/(_xlfn.XLOOKUP($AL$1,[1]CRITERIOS!$S$16:$S$39,[1]CRITERIOS!$Y$16:$Y$39))*$J332+$Z332)/$G332,0)*$G332,
((_xlfn.XLOOKUP($A332,'[1]DATOS PBI Artículos'!$A:$A,'[1]DATOS PBI Artículos'!$AO:$AO))/(_xlfn.XLOOKUP($AL$1,[1]CRITERIOS!$S$16:$S$39,[1]CRITERIOS!$Y$16:$Y$39))*$J332+$Z332)))</f>
        <v>#N/A</v>
      </c>
    </row>
    <row r="333" spans="1:37" ht="25.8" hidden="1" x14ac:dyDescent="0.4">
      <c r="A333" s="41"/>
      <c r="B333" s="33">
        <f>_xlfn.XLOOKUP($A333,'[1]DATOS PBI Artículos'!A:A,'[1]DATOS PBI Artículos'!B:B)</f>
        <v>0</v>
      </c>
      <c r="C333" s="33">
        <f>_xlfn.XLOOKUP($A333,'[1]DATOS PBI Artículos'!A:A,'[1]DATOS PBI Artículos'!C:C)</f>
        <v>0</v>
      </c>
      <c r="D333" s="33">
        <f>_xlfn.XLOOKUP(A333,'[1]DATOS PBI Artículos'!A:A,'[1]DATOS PBI Artículos'!T:T)</f>
        <v>0</v>
      </c>
      <c r="E333" s="34">
        <f>IF(_xlfn.XLOOKUP($A333,'[1]DATOS PBI Artículos'!A:A,'[1]DATOS PBI Artículos'!AK:AK)="",_xlfn.XLOOKUP($A333,'[1]DATOS PBI Artículos'!A:A,'[1]DATOS PBI Artículos'!AJ:AJ),_xlfn.XLOOKUP($A333,'[1]DATOS PBI Artículos'!A:A,'[1]DATOS PBI Artículos'!AK:AK))</f>
        <v>0</v>
      </c>
      <c r="F333" s="35">
        <f>_xlfn.XLOOKUP($A333,'[1]DATOS PBI Artículos'!A:A,'[1]DATOS PBI Artículos'!AP:AP)</f>
        <v>0</v>
      </c>
      <c r="G333" s="34">
        <f>_xlfn.XLOOKUP($A333,'[1]DATOS PBI Artículos'!A:A,'[1]DATOS PBI Artículos'!AR:AR)</f>
        <v>0</v>
      </c>
      <c r="H333" s="34">
        <f>_xlfn.XLOOKUP($A333,'[1]DATOS PBI Artículos'!A:A,'[1]DATOS PBI Artículos'!AT:AT)</f>
        <v>0</v>
      </c>
      <c r="I333" s="34">
        <f>_xlfn.XLOOKUP($A333,'[1]DATOS PBI Artículos'!A:A,'[1]DATOS PBI Artículos'!AS:AS)</f>
        <v>0</v>
      </c>
      <c r="J333" s="35">
        <f>IF(COUNTIF([1]CRITERIOS!$F$179:$F$199,$A333)&gt;=1,
 IF(O333&lt;&gt;"",
    (O333/_xlfn.XLOOKUP(CONCATENATE(A333,L333),[1]MÁQUINAS!A:A,[1]MÁQUINAS!D:D))/24,
    (N333/_xlfn.XLOOKUP(CONCATENATE(A333,L333),[1]MÁQUINAS!A:A,[1]MÁQUINAS!D:D))/24),
  _xlfn.XLOOKUP($A333,'[1]DATOS PBI Artículos'!A:A,'[1]DATOS PBI Artículos'!AU:AU))</f>
        <v>0</v>
      </c>
      <c r="K333" s="36">
        <f>_xlfn.XLOOKUP($A333,'[1]DATOS PBI Artículos'!A:A,'[1]DATOS PBI Artículos'!AV:AV)</f>
        <v>0</v>
      </c>
      <c r="L333" s="33">
        <f>_xlfn.XLOOKUP(A333,[1]MÁQUINAS!B:B,[1]MÁQUINAS!C:C)</f>
        <v>0</v>
      </c>
      <c r="M333" s="34">
        <f t="array" ref="M333">_xlfn.XLOOKUP(A333,'[1]DATOS PBI Artículos'!A:A,'[1]DATOS PBI Artículos'!AX:$AX)</f>
        <v>0</v>
      </c>
      <c r="N333" s="37" t="e">
        <f>IF(I333="DV",
E333,
IF(COUNTIF([1]CRITERIOS!$I$179:$I$199,$A333)&gt;=1,
_xlfn.XLOOKUP($A333,[1]CRITERIOS!$I$179:$I$199,[1]CRITERIOS!$J$179:$J$199),
IF(COUNTIF([1]CRITERIOS!$L$179:$L$199,$A333)&gt;=1,
_xlfn.CEILING.MATH(IF($M333&gt;$E333,
$E333,
IF($M333&lt;$E333/ROUNDDOWN([1]CRITERIOS!$M$16/_xlfn.XLOOKUP($C333,[1]CRITERIOS!$K$25:$K$42,[1]CRITERIOS!$M$25:$M$42),
1),
E333/ROUNDDOWN([1]CRITERIOS!$M$16/_xlfn.XLOOKUP($C333,[1]CRITERIOS!$K$25:$K$42,[1]CRITERIOS!$M$25:$M$42),
1),
$M333)),
_xlfn.XLOOKUP($A333,[1]CRITERIOS!$L$179:$L$200,[1]CRITERIOS!$M$179:$M$200)),
_xlfn.CEILING.MATH(IF($M333&gt;$E333,
$E333,
IF($M333&lt;$E333/ROUNDDOWN([1]CRITERIOS!$M$16/_xlfn.XLOOKUP($C333,[1]CRITERIOS!$K$25:$K$42,[1]CRITERIOS!$M$25:$M$42),
1),
E333/ROUNDDOWN([1]CRITERIOS!$M$16/_xlfn.XLOOKUP($C333,[1]CRITERIOS!$K$25:$K$42,[1]CRITERIOS!$M$25:$M$42),
1),
$M333)),_xlfn.XLOOKUP(A333,'[1]DATOS PBI Artículos'!A:A,'[1]DATOS PBI Artículos'!Z:Z
)))))</f>
        <v>#N/A</v>
      </c>
      <c r="Q333" s="38" t="e">
        <f>IF(AND(O333="",N333=0),
0,
   IF(COUNTIF([1]CRITERIOS!$F$179:$F$199,$A333)&gt;=1,
   1,
   IF(R333="MTO",
      $D333,
      ROUNDUP(
                    IF(($E333-SUMIF('[1]DATOS PBI Artículos'!A:A,A333,'[1]DATOS PBI Artículos'!X:X)+($V333-_xlfn.XLOOKUP(A333,'[1]DATOS PBI Artículos'!A:A,'[1]DATOS PBI Artículos'!W:W)))&lt;0,
                    0,
                    IF(($E333-SUMIF('[1]DATOS PBI Artículos'!A:A,A333,'[1]DATOS PBI Artículos'!X:X)+$V333-_xlfn.XLOOKUP($A333,'[1]DATOS PBI Artículos'!A:A,'[1]DATOS PBI Artículos'!W:W))/IF($O333="",$N333,$O333)&gt;ROUNDUP([1]CRITERIOS!$M$16/(IF(COUNTIF([1]CRITERIOS!$BG$11:$BG$201,L333)&gt;=1,_xlfn.XLOOKUP($C333,[1]CRITERIOS!$K$25:$K$42,[1]CRITERIOS!$M$25:$M$42),_xlfn.XLOOKUP($C333,[1]CRITERIOS!$K$25:$K$42,[1]CRITERIOS!$M$25:$M$42))),0),
                    ROUNDUP([1]CRITERIOS!$M$16/(IF(COUNTIF([1]CRITERIOS!$BG$11:$BG$201,$L333)&gt;=1,_xlfn.XLOOKUP($C333,[1]CRITERIOS!$K$25:$K$42,[1]CRITERIOS!$M$25:$M$42),_xlfn.XLOOKUP($C333,[1]CRITERIOS!$K$25:$K$42,[1]CRITERIOS!$M$25:$M$42))),0),
                    (E333+V333-SUMIF('[1]DATOS PBI Artículos'!A:A,A333,'[1]DATOS PBI Artículos'!X:X)-_xlfn.XLOOKUP(A333,'[1]DATOS PBI Artículos'!A:A,'[1]DATOS PBI Artículos'!W:W))/IF($O333="",$N333,$O333))),0))))</f>
        <v>#N/A</v>
      </c>
      <c r="R333" s="33" t="e">
        <f>IF(U333&lt;&gt;"",U333,IF(F333="DV","MTO",IF(N333=0,"MTO",_xlfn.XLOOKUP(CONCATENATE(S333,T333),[1]CRITERIOS!$K$160:$K$168,[1]CRITERIOS!$N$160:$N$168))))</f>
        <v>#N/A</v>
      </c>
      <c r="S333" s="33" t="e">
        <f>IF(G333="DV","MTO",IF(N333=0,"MTO",IF(OR(AND(N333=0,O333=""),IF(O333="",G333/N333,G333/O333)&gt;[1]CRITERIOS!$G$163),"MTO",IF(IF(O333="",G333/N333,G333/O333)&lt;[1]CRITERIOS!$H$161,"MTS","MTOS"))))</f>
        <v>#N/A</v>
      </c>
      <c r="T333" s="33" t="e">
        <f>IF(F333="DV","MTO",IF(OR(AND($N333=0,O333=""),$F333/$J333&gt;[1]CRITERIOS!$G$170,$F333="DV"),"MTO",IF($F333/$J333&lt;[1]CRITERIOS!$H$168,"MTS","MTOS")))</f>
        <v>#N/A</v>
      </c>
      <c r="V333" s="34" t="e">
        <f t="shared" si="16"/>
        <v>#N/A</v>
      </c>
      <c r="X333" s="34" t="e">
        <f t="shared" si="17"/>
        <v>#N/A</v>
      </c>
      <c r="Y333" s="34" t="e">
        <f t="shared" si="18"/>
        <v>#N/A</v>
      </c>
      <c r="Z333" s="34" t="e">
        <f>IF($R333="MTO",
0,
($H333+$K333*($E333/[1]CRITERIOS!$M$16))/[1]CRITERIOS!$X$48)</f>
        <v>#N/A</v>
      </c>
      <c r="AA333" s="34" t="e">
        <f>ROUNDUP(($Y333/_xlfn.XLOOKUP($A333,'[1]DATOS PBI Artículos'!$A$4:$A$4,'[1]DATOS PBI Artículos'!$Z$4:$Z$4))/_xlfn.XLOOKUP(_xlfn.XLOOKUP($A333,'[1]DATOS PBI Artículos'!$A$4:$A$4,'[1]DATOS PBI Artículos'!$Y$4:$Y$4),[1]CRITERIOS!$P$79:$P$123,[1]CRITERIOS!$S$79:$S$123,),0)</f>
        <v>#N/A</v>
      </c>
      <c r="AB333" s="33" t="e">
        <f t="array" ref="AB333">IF((E333+V333-_xlfn.XLOOKUP(A333,'[1]DATOS PBI Artículos'!$A$4:$A$4,'[1]DATOS PBI Artículos'!$W$4:$W$4))/N333&gt;ROUNDUP([1]CRITERIOS!$M$16/(IF(COUNTIF([1]CRITERIOS!$BG$11:$BG$201,L333)&gt;=1,_xlfn.XLOOKUP(ARTÍCULOS!L333,[1]CRITERIOS!$BG$11:$BG$201,[1]CRITERIOS!$BJ$11:$BJ$201),_xlfn.XLOOKUP(ARTÍCULOS!C333,[1]CRITERIOS!$K$25:$K$42,[1]CRITERIOS!$M$25:$M$42))),0),ROUNDUP([1]CRITERIOS!$M$16/(IF(COUNTIF([1]CRITERIOS!$BG$11:$BG$201,L333)&gt;=1,_xlfn.XLOOKUP(ARTÍCULOS!L333,[1]CRITERIOS!$BG$11:$BG$201:#REF!,[1]CRITERIOS!$BJ$11:$BJ$201),_xlfn.XLOOKUP(ARTÍCULOS!C333,[1]CRITERIOS!$K$25:$K$42,[1]CRITERIOS!$M$25:$M$42))),0),(E333+V333-_xlfn.XLOOKUP(A333,'[1]DATOS PBI Artículos'!$A$4:$A$4,'[1]DATOS PBI Artículos'!$W$4:$W$4))/N333)</f>
        <v>#N/A</v>
      </c>
      <c r="AC333" s="33" t="e">
        <f>IF(N333=0,"",(ROUNDUP((N333/2)/(_xlfn.XLOOKUP(A333,'[1]DATOS PBI Artículos'!$A$4:$A$4,'[1]DATOS PBI Artículos'!$Z$4:$Z$4)*_xlfn.XLOOKUP(_xlfn.XLOOKUP(A333,'[1]DATOS PBI Artículos'!$A$4:$A$4,'[1]DATOS PBI Artículos'!$Y$4:$Y$4),[1]CRITERIOS!$P$79:$P$123,[1]CRITERIOS!$S$79:$S$123)),0)*[1]CRITERIOS!$M$80*([1]CRITERIOS!$M$110/[1]CRITERIOS!$M$86)+(_xlfn.XLOOKUP(A333,'[1]DATOS PBI Artículos'!$A$4:$A$4,'[1]DATOS PBI Artículos'!$AA$4:$AA$4)*([1]CRITERIOS!$M$95+[1]CRITERIOS!$M$98)))/N333)</f>
        <v>#N/A</v>
      </c>
      <c r="AD333" s="33" t="e">
        <f>IF(N333=0,"",(ROUNDUP((N333/2)/(_xlfn.XLOOKUP(A333,'[1]DATOS PBI Artículos'!$A$4:$A$4,'[1]DATOS PBI Artículos'!$Z$4:$Z$4)*_xlfn.XLOOKUP(_xlfn.XLOOKUP(A333,'[1]DATOS PBI Artículos'!$A$4:$A$4,'[1]DATOS PBI Artículos'!$Y$4:$Y$4),[1]CRITERIOS!$P$79:$P$123,[1]CRITERIOS!$S$79:$S$123)),0)*[1]CRITERIOS!$M$80*([1]CRITERIOS!$M$89*[1]CRITERIOS!$M$92)+((_xlfn.XLOOKUP(A333,'[1]DATOS PBI Artículos'!$A$4:$A$4,'[1]DATOS PBI Artículos'!$AA$4:$AA$4)/2)*([1]CRITERIOS!$M$95+[1]CRITERIOS!$M$98)))/N333)</f>
        <v>#N/A</v>
      </c>
      <c r="AE333" s="39" t="e">
        <f>IF($R333="MTO","",
IF($H333=0,ROUNDUP(((_xlfn.XLOOKUP($A333,'[1]DATOS PBI Artículos'!$A:$A,'[1]DATOS PBI Artículos'!$AL:$AL))/(_xlfn.XLOOKUP($AF$1,[1]CRITERIOS!$S$16:$S$39,[1]CRITERIOS!$Y$16:$Y$39))*$J333+$Z333)/$G333,0)*$G333,
((_xlfn.XLOOKUP($A333,'[1]DATOS PBI Artículos'!$A:$A,'[1]DATOS PBI Artículos'!$AL:$AL))/(_xlfn.XLOOKUP($AF$1,[1]CRITERIOS!$S$16:$S$39,[1]CRITERIOS!$Y$16:$Y$39))*$J333+$Z333)))</f>
        <v>#N/A</v>
      </c>
      <c r="AG333" s="39" t="e">
        <f>IF($R333="MTO","",
IF($H333=0,ROUNDUP(((_xlfn.XLOOKUP($A333,'[1]DATOS PBI Artículos'!$A:$A,'[1]DATOS PBI Artículos'!$AM:$AM))/(_xlfn.XLOOKUP($AH$1,[1]CRITERIOS!$S$16:$S$39,[1]CRITERIOS!$Y$16:$Y$39))*$J333+$Z333)/$G333,0)*$G333,
((_xlfn.XLOOKUP($A333,'[1]DATOS PBI Artículos'!$A:$A,'[1]DATOS PBI Artículos'!$AM:$AM))/(_xlfn.XLOOKUP($AH$1,[1]CRITERIOS!$S$16:$S$39,[1]CRITERIOS!$Y$16:$Y$39))*$J333+$Z333)))</f>
        <v>#N/A</v>
      </c>
      <c r="AI333" s="39" t="e">
        <f>IF($R333="MTO","",
IF($H333=0,ROUNDUP(((_xlfn.XLOOKUP($A333,'[1]DATOS PBI Artículos'!$A:$A,'[1]DATOS PBI Artículos'!$AN:$AN))/(_xlfn.XLOOKUP($AJ$1,[1]CRITERIOS!$S$16:$S$39,[1]CRITERIOS!$Y$16:$Y$39))*$J333+$Z333)/$G333,0)*$G333,
((_xlfn.XLOOKUP($A333,'[1]DATOS PBI Artículos'!$A:$A,'[1]DATOS PBI Artículos'!$AN:$AN))/(_xlfn.XLOOKUP($AJ$1,[1]CRITERIOS!$S$16:$S$39,[1]CRITERIOS!$Y$16:$Y$39))*$J333+$Z333)))</f>
        <v>#N/A</v>
      </c>
      <c r="AK333" s="39" t="e">
        <f>IF($R333="MTO","",
IF($H333=0,ROUNDUP(((_xlfn.XLOOKUP($A333,'[1]DATOS PBI Artículos'!$A:$A,'[1]DATOS PBI Artículos'!$AO:$AO))/(_xlfn.XLOOKUP($AL$1,[1]CRITERIOS!$S$16:$S$39,[1]CRITERIOS!$Y$16:$Y$39))*$J333+$Z333)/$G333,0)*$G333,
((_xlfn.XLOOKUP($A333,'[1]DATOS PBI Artículos'!$A:$A,'[1]DATOS PBI Artículos'!$AO:$AO))/(_xlfn.XLOOKUP($AL$1,[1]CRITERIOS!$S$16:$S$39,[1]CRITERIOS!$Y$16:$Y$39))*$J333+$Z333)))</f>
        <v>#N/A</v>
      </c>
    </row>
    <row r="334" spans="1:37" ht="25.8" hidden="1" x14ac:dyDescent="0.4">
      <c r="A334" s="41"/>
      <c r="B334" s="33">
        <f>_xlfn.XLOOKUP($A334,'[1]DATOS PBI Artículos'!A:A,'[1]DATOS PBI Artículos'!B:B)</f>
        <v>0</v>
      </c>
      <c r="C334" s="33">
        <f>_xlfn.XLOOKUP($A334,'[1]DATOS PBI Artículos'!A:A,'[1]DATOS PBI Artículos'!C:C)</f>
        <v>0</v>
      </c>
      <c r="D334" s="33">
        <f>_xlfn.XLOOKUP(A334,'[1]DATOS PBI Artículos'!A:A,'[1]DATOS PBI Artículos'!T:T)</f>
        <v>0</v>
      </c>
      <c r="E334" s="34">
        <f>IF(_xlfn.XLOOKUP($A334,'[1]DATOS PBI Artículos'!A:A,'[1]DATOS PBI Artículos'!AK:AK)="",_xlfn.XLOOKUP($A334,'[1]DATOS PBI Artículos'!A:A,'[1]DATOS PBI Artículos'!AJ:AJ),_xlfn.XLOOKUP($A334,'[1]DATOS PBI Artículos'!A:A,'[1]DATOS PBI Artículos'!AK:AK))</f>
        <v>0</v>
      </c>
      <c r="F334" s="35">
        <f>_xlfn.XLOOKUP($A334,'[1]DATOS PBI Artículos'!A:A,'[1]DATOS PBI Artículos'!AP:AP)</f>
        <v>0</v>
      </c>
      <c r="G334" s="34">
        <f>_xlfn.XLOOKUP($A334,'[1]DATOS PBI Artículos'!A:A,'[1]DATOS PBI Artículos'!AR:AR)</f>
        <v>0</v>
      </c>
      <c r="H334" s="34">
        <f>_xlfn.XLOOKUP($A334,'[1]DATOS PBI Artículos'!A:A,'[1]DATOS PBI Artículos'!AT:AT)</f>
        <v>0</v>
      </c>
      <c r="I334" s="34">
        <f>_xlfn.XLOOKUP($A334,'[1]DATOS PBI Artículos'!A:A,'[1]DATOS PBI Artículos'!AS:AS)</f>
        <v>0</v>
      </c>
      <c r="J334" s="35">
        <f>IF(COUNTIF([1]CRITERIOS!$F$179:$F$199,$A334)&gt;=1,
 IF(O334&lt;&gt;"",
    (O334/_xlfn.XLOOKUP(CONCATENATE(A334,L334),[1]MÁQUINAS!A:A,[1]MÁQUINAS!D:D))/24,
    (N334/_xlfn.XLOOKUP(CONCATENATE(A334,L334),[1]MÁQUINAS!A:A,[1]MÁQUINAS!D:D))/24),
  _xlfn.XLOOKUP($A334,'[1]DATOS PBI Artículos'!A:A,'[1]DATOS PBI Artículos'!AU:AU))</f>
        <v>0</v>
      </c>
      <c r="K334" s="36">
        <f>_xlfn.XLOOKUP($A334,'[1]DATOS PBI Artículos'!A:A,'[1]DATOS PBI Artículos'!AV:AV)</f>
        <v>0</v>
      </c>
      <c r="L334" s="33">
        <f>_xlfn.XLOOKUP(A334,[1]MÁQUINAS!B:B,[1]MÁQUINAS!C:C)</f>
        <v>0</v>
      </c>
      <c r="M334" s="34">
        <f t="array" ref="M334">_xlfn.XLOOKUP(A334,'[1]DATOS PBI Artículos'!A:A,'[1]DATOS PBI Artículos'!AX:$AX)</f>
        <v>0</v>
      </c>
      <c r="N334" s="37" t="e">
        <f>IF(I334="DV",
E334,
IF(COUNTIF([1]CRITERIOS!$I$179:$I$199,$A334)&gt;=1,
_xlfn.XLOOKUP($A334,[1]CRITERIOS!$I$179:$I$199,[1]CRITERIOS!$J$179:$J$199),
IF(COUNTIF([1]CRITERIOS!$L$179:$L$199,$A334)&gt;=1,
_xlfn.CEILING.MATH(IF($M334&gt;$E334,
$E334,
IF($M334&lt;$E334/ROUNDDOWN([1]CRITERIOS!$M$16/_xlfn.XLOOKUP($C334,[1]CRITERIOS!$K$25:$K$42,[1]CRITERIOS!$M$25:$M$42),
1),
E334/ROUNDDOWN([1]CRITERIOS!$M$16/_xlfn.XLOOKUP($C334,[1]CRITERIOS!$K$25:$K$42,[1]CRITERIOS!$M$25:$M$42),
1),
$M334)),
_xlfn.XLOOKUP($A334,[1]CRITERIOS!$L$179:$L$200,[1]CRITERIOS!$M$179:$M$200)),
_xlfn.CEILING.MATH(IF($M334&gt;$E334,
$E334,
IF($M334&lt;$E334/ROUNDDOWN([1]CRITERIOS!$M$16/_xlfn.XLOOKUP($C334,[1]CRITERIOS!$K$25:$K$42,[1]CRITERIOS!$M$25:$M$42),
1),
E334/ROUNDDOWN([1]CRITERIOS!$M$16/_xlfn.XLOOKUP($C334,[1]CRITERIOS!$K$25:$K$42,[1]CRITERIOS!$M$25:$M$42),
1),
$M334)),_xlfn.XLOOKUP(A334,'[1]DATOS PBI Artículos'!A:A,'[1]DATOS PBI Artículos'!Z:Z
)))))</f>
        <v>#N/A</v>
      </c>
      <c r="Q334" s="38" t="e">
        <f>IF(AND(O334="",N334=0),
0,
   IF(COUNTIF([1]CRITERIOS!$F$179:$F$199,$A334)&gt;=1,
   1,
   IF(R334="MTO",
      $D334,
      ROUNDUP(
                    IF(($E334-SUMIF('[1]DATOS PBI Artículos'!A:A,A334,'[1]DATOS PBI Artículos'!X:X)+($V334-_xlfn.XLOOKUP(A334,'[1]DATOS PBI Artículos'!A:A,'[1]DATOS PBI Artículos'!W:W)))&lt;0,
                    0,
                    IF(($E334-SUMIF('[1]DATOS PBI Artículos'!A:A,A334,'[1]DATOS PBI Artículos'!X:X)+$V334-_xlfn.XLOOKUP($A334,'[1]DATOS PBI Artículos'!A:A,'[1]DATOS PBI Artículos'!W:W))/IF($O334="",$N334,$O334)&gt;ROUNDUP([1]CRITERIOS!$M$16/(IF(COUNTIF([1]CRITERIOS!$BG$11:$BG$201,L334)&gt;=1,_xlfn.XLOOKUP($C334,[1]CRITERIOS!$K$25:$K$42,[1]CRITERIOS!$M$25:$M$42),_xlfn.XLOOKUP($C334,[1]CRITERIOS!$K$25:$K$42,[1]CRITERIOS!$M$25:$M$42))),0),
                    ROUNDUP([1]CRITERIOS!$M$16/(IF(COUNTIF([1]CRITERIOS!$BG$11:$BG$201,$L334)&gt;=1,_xlfn.XLOOKUP($C334,[1]CRITERIOS!$K$25:$K$42,[1]CRITERIOS!$M$25:$M$42),_xlfn.XLOOKUP($C334,[1]CRITERIOS!$K$25:$K$42,[1]CRITERIOS!$M$25:$M$42))),0),
                    (E334+V334-SUMIF('[1]DATOS PBI Artículos'!A:A,A334,'[1]DATOS PBI Artículos'!X:X)-_xlfn.XLOOKUP(A334,'[1]DATOS PBI Artículos'!A:A,'[1]DATOS PBI Artículos'!W:W))/IF($O334="",$N334,$O334))),0))))</f>
        <v>#N/A</v>
      </c>
      <c r="R334" s="33" t="e">
        <f>IF(U334&lt;&gt;"",U334,IF(F334="DV","MTO",IF(N334=0,"MTO",_xlfn.XLOOKUP(CONCATENATE(S334,T334),[1]CRITERIOS!$K$160:$K$168,[1]CRITERIOS!$N$160:$N$168))))</f>
        <v>#N/A</v>
      </c>
      <c r="S334" s="33" t="e">
        <f>IF(G334="DV","MTO",IF(N334=0,"MTO",IF(OR(AND(N334=0,O334=""),IF(O334="",G334/N334,G334/O334)&gt;[1]CRITERIOS!$G$163),"MTO",IF(IF(O334="",G334/N334,G334/O334)&lt;[1]CRITERIOS!$H$161,"MTS","MTOS"))))</f>
        <v>#N/A</v>
      </c>
      <c r="T334" s="33" t="e">
        <f>IF(F334="DV","MTO",IF(OR(AND($N334=0,O334=""),$F334/$J334&gt;[1]CRITERIOS!$G$170,$F334="DV"),"MTO",IF($F334/$J334&lt;[1]CRITERIOS!$H$168,"MTS","MTOS")))</f>
        <v>#N/A</v>
      </c>
      <c r="V334" s="34" t="e">
        <f t="shared" si="16"/>
        <v>#N/A</v>
      </c>
      <c r="X334" s="34" t="e">
        <f t="shared" si="17"/>
        <v>#N/A</v>
      </c>
      <c r="Y334" s="34" t="e">
        <f t="shared" si="18"/>
        <v>#N/A</v>
      </c>
      <c r="Z334" s="34" t="e">
        <f>IF($R334="MTO",
0,
($H334+$K334*($E334/[1]CRITERIOS!$M$16))/[1]CRITERIOS!$X$48)</f>
        <v>#N/A</v>
      </c>
      <c r="AA334" s="34" t="e">
        <f>ROUNDUP(($Y334/_xlfn.XLOOKUP($A334,'[1]DATOS PBI Artículos'!$A$4:$A$4,'[1]DATOS PBI Artículos'!$Z$4:$Z$4))/_xlfn.XLOOKUP(_xlfn.XLOOKUP($A334,'[1]DATOS PBI Artículos'!$A$4:$A$4,'[1]DATOS PBI Artículos'!$Y$4:$Y$4),[1]CRITERIOS!$P$79:$P$123,[1]CRITERIOS!$S$79:$S$123,),0)</f>
        <v>#N/A</v>
      </c>
      <c r="AB334" s="33" t="e">
        <f t="array" ref="AB334">IF((E334+V334-_xlfn.XLOOKUP(A334,'[1]DATOS PBI Artículos'!$A$4:$A$4,'[1]DATOS PBI Artículos'!$W$4:$W$4))/N334&gt;ROUNDUP([1]CRITERIOS!$M$16/(IF(COUNTIF([1]CRITERIOS!$BG$11:$BG$201,L334)&gt;=1,_xlfn.XLOOKUP(ARTÍCULOS!L334,[1]CRITERIOS!$BG$11:$BG$201,[1]CRITERIOS!$BJ$11:$BJ$201),_xlfn.XLOOKUP(ARTÍCULOS!C334,[1]CRITERIOS!$K$25:$K$42,[1]CRITERIOS!$M$25:$M$42))),0),ROUNDUP([1]CRITERIOS!$M$16/(IF(COUNTIF([1]CRITERIOS!$BG$11:$BG$201,L334)&gt;=1,_xlfn.XLOOKUP(ARTÍCULOS!L334,[1]CRITERIOS!$BG$11:$BG$201:#REF!,[1]CRITERIOS!$BJ$11:$BJ$201),_xlfn.XLOOKUP(ARTÍCULOS!C334,[1]CRITERIOS!$K$25:$K$42,[1]CRITERIOS!$M$25:$M$42))),0),(E334+V334-_xlfn.XLOOKUP(A334,'[1]DATOS PBI Artículos'!$A$4:$A$4,'[1]DATOS PBI Artículos'!$W$4:$W$4))/N334)</f>
        <v>#N/A</v>
      </c>
      <c r="AC334" s="33" t="e">
        <f>IF(N334=0,"",(ROUNDUP((N334/2)/(_xlfn.XLOOKUP(A334,'[1]DATOS PBI Artículos'!$A$4:$A$4,'[1]DATOS PBI Artículos'!$Z$4:$Z$4)*_xlfn.XLOOKUP(_xlfn.XLOOKUP(A334,'[1]DATOS PBI Artículos'!$A$4:$A$4,'[1]DATOS PBI Artículos'!$Y$4:$Y$4),[1]CRITERIOS!$P$79:$P$123,[1]CRITERIOS!$S$79:$S$123)),0)*[1]CRITERIOS!$M$80*([1]CRITERIOS!$M$110/[1]CRITERIOS!$M$86)+(_xlfn.XLOOKUP(A334,'[1]DATOS PBI Artículos'!$A$4:$A$4,'[1]DATOS PBI Artículos'!$AA$4:$AA$4)*([1]CRITERIOS!$M$95+[1]CRITERIOS!$M$98)))/N334)</f>
        <v>#N/A</v>
      </c>
      <c r="AD334" s="33" t="e">
        <f>IF(N334=0,"",(ROUNDUP((N334/2)/(_xlfn.XLOOKUP(A334,'[1]DATOS PBI Artículos'!$A$4:$A$4,'[1]DATOS PBI Artículos'!$Z$4:$Z$4)*_xlfn.XLOOKUP(_xlfn.XLOOKUP(A334,'[1]DATOS PBI Artículos'!$A$4:$A$4,'[1]DATOS PBI Artículos'!$Y$4:$Y$4),[1]CRITERIOS!$P$79:$P$123,[1]CRITERIOS!$S$79:$S$123)),0)*[1]CRITERIOS!$M$80*([1]CRITERIOS!$M$89*[1]CRITERIOS!$M$92)+((_xlfn.XLOOKUP(A334,'[1]DATOS PBI Artículos'!$A$4:$A$4,'[1]DATOS PBI Artículos'!$AA$4:$AA$4)/2)*([1]CRITERIOS!$M$95+[1]CRITERIOS!$M$98)))/N334)</f>
        <v>#N/A</v>
      </c>
      <c r="AE334" s="39" t="e">
        <f>IF($R334="MTO","",
IF($H334=0,ROUNDUP(((_xlfn.XLOOKUP($A334,'[1]DATOS PBI Artículos'!$A:$A,'[1]DATOS PBI Artículos'!$AL:$AL))/(_xlfn.XLOOKUP($AF$1,[1]CRITERIOS!$S$16:$S$39,[1]CRITERIOS!$Y$16:$Y$39))*$J334+$Z334)/$G334,0)*$G334,
((_xlfn.XLOOKUP($A334,'[1]DATOS PBI Artículos'!$A:$A,'[1]DATOS PBI Artículos'!$AL:$AL))/(_xlfn.XLOOKUP($AF$1,[1]CRITERIOS!$S$16:$S$39,[1]CRITERIOS!$Y$16:$Y$39))*$J334+$Z334)))</f>
        <v>#N/A</v>
      </c>
      <c r="AG334" s="39" t="e">
        <f>IF($R334="MTO","",
IF($H334=0,ROUNDUP(((_xlfn.XLOOKUP($A334,'[1]DATOS PBI Artículos'!$A:$A,'[1]DATOS PBI Artículos'!$AM:$AM))/(_xlfn.XLOOKUP($AH$1,[1]CRITERIOS!$S$16:$S$39,[1]CRITERIOS!$Y$16:$Y$39))*$J334+$Z334)/$G334,0)*$G334,
((_xlfn.XLOOKUP($A334,'[1]DATOS PBI Artículos'!$A:$A,'[1]DATOS PBI Artículos'!$AM:$AM))/(_xlfn.XLOOKUP($AH$1,[1]CRITERIOS!$S$16:$S$39,[1]CRITERIOS!$Y$16:$Y$39))*$J334+$Z334)))</f>
        <v>#N/A</v>
      </c>
      <c r="AI334" s="39" t="e">
        <f>IF($R334="MTO","",
IF($H334=0,ROUNDUP(((_xlfn.XLOOKUP($A334,'[1]DATOS PBI Artículos'!$A:$A,'[1]DATOS PBI Artículos'!$AN:$AN))/(_xlfn.XLOOKUP($AJ$1,[1]CRITERIOS!$S$16:$S$39,[1]CRITERIOS!$Y$16:$Y$39))*$J334+$Z334)/$G334,0)*$G334,
((_xlfn.XLOOKUP($A334,'[1]DATOS PBI Artículos'!$A:$A,'[1]DATOS PBI Artículos'!$AN:$AN))/(_xlfn.XLOOKUP($AJ$1,[1]CRITERIOS!$S$16:$S$39,[1]CRITERIOS!$Y$16:$Y$39))*$J334+$Z334)))</f>
        <v>#N/A</v>
      </c>
      <c r="AK334" s="39" t="e">
        <f>IF($R334="MTO","",
IF($H334=0,ROUNDUP(((_xlfn.XLOOKUP($A334,'[1]DATOS PBI Artículos'!$A:$A,'[1]DATOS PBI Artículos'!$AO:$AO))/(_xlfn.XLOOKUP($AL$1,[1]CRITERIOS!$S$16:$S$39,[1]CRITERIOS!$Y$16:$Y$39))*$J334+$Z334)/$G334,0)*$G334,
((_xlfn.XLOOKUP($A334,'[1]DATOS PBI Artículos'!$A:$A,'[1]DATOS PBI Artículos'!$AO:$AO))/(_xlfn.XLOOKUP($AL$1,[1]CRITERIOS!$S$16:$S$39,[1]CRITERIOS!$Y$16:$Y$39))*$J334+$Z334)))</f>
        <v>#N/A</v>
      </c>
    </row>
    <row r="335" spans="1:37" ht="25.8" hidden="1" x14ac:dyDescent="0.4">
      <c r="A335" s="41"/>
      <c r="B335" s="33">
        <f>_xlfn.XLOOKUP($A335,'[1]DATOS PBI Artículos'!A:A,'[1]DATOS PBI Artículos'!B:B)</f>
        <v>0</v>
      </c>
      <c r="C335" s="33">
        <f>_xlfn.XLOOKUP($A335,'[1]DATOS PBI Artículos'!A:A,'[1]DATOS PBI Artículos'!C:C)</f>
        <v>0</v>
      </c>
      <c r="D335" s="33">
        <f>_xlfn.XLOOKUP(A335,'[1]DATOS PBI Artículos'!A:A,'[1]DATOS PBI Artículos'!T:T)</f>
        <v>0</v>
      </c>
      <c r="E335" s="34">
        <f>IF(_xlfn.XLOOKUP($A335,'[1]DATOS PBI Artículos'!A:A,'[1]DATOS PBI Artículos'!AK:AK)="",_xlfn.XLOOKUP($A335,'[1]DATOS PBI Artículos'!A:A,'[1]DATOS PBI Artículos'!AJ:AJ),_xlfn.XLOOKUP($A335,'[1]DATOS PBI Artículos'!A:A,'[1]DATOS PBI Artículos'!AK:AK))</f>
        <v>0</v>
      </c>
      <c r="F335" s="35">
        <f>_xlfn.XLOOKUP($A335,'[1]DATOS PBI Artículos'!A:A,'[1]DATOS PBI Artículos'!AP:AP)</f>
        <v>0</v>
      </c>
      <c r="G335" s="34">
        <f>_xlfn.XLOOKUP($A335,'[1]DATOS PBI Artículos'!A:A,'[1]DATOS PBI Artículos'!AR:AR)</f>
        <v>0</v>
      </c>
      <c r="H335" s="34">
        <f>_xlfn.XLOOKUP($A335,'[1]DATOS PBI Artículos'!A:A,'[1]DATOS PBI Artículos'!AT:AT)</f>
        <v>0</v>
      </c>
      <c r="I335" s="34">
        <f>_xlfn.XLOOKUP($A335,'[1]DATOS PBI Artículos'!A:A,'[1]DATOS PBI Artículos'!AS:AS)</f>
        <v>0</v>
      </c>
      <c r="J335" s="35">
        <f>IF(COUNTIF([1]CRITERIOS!$F$179:$F$199,$A335)&gt;=1,
 IF(O335&lt;&gt;"",
    (O335/_xlfn.XLOOKUP(CONCATENATE(A335,L335),[1]MÁQUINAS!A:A,[1]MÁQUINAS!D:D))/24,
    (N335/_xlfn.XLOOKUP(CONCATENATE(A335,L335),[1]MÁQUINAS!A:A,[1]MÁQUINAS!D:D))/24),
  _xlfn.XLOOKUP($A335,'[1]DATOS PBI Artículos'!A:A,'[1]DATOS PBI Artículos'!AU:AU))</f>
        <v>0</v>
      </c>
      <c r="K335" s="36">
        <f>_xlfn.XLOOKUP($A335,'[1]DATOS PBI Artículos'!A:A,'[1]DATOS PBI Artículos'!AV:AV)</f>
        <v>0</v>
      </c>
      <c r="L335" s="33">
        <f>_xlfn.XLOOKUP(A335,[1]MÁQUINAS!B:B,[1]MÁQUINAS!C:C)</f>
        <v>0</v>
      </c>
      <c r="M335" s="34">
        <f t="array" ref="M335">_xlfn.XLOOKUP(A335,'[1]DATOS PBI Artículos'!A:A,'[1]DATOS PBI Artículos'!AX:$AX)</f>
        <v>0</v>
      </c>
      <c r="N335" s="37" t="e">
        <f>IF(I335="DV",
E335,
IF(COUNTIF([1]CRITERIOS!$I$179:$I$199,$A335)&gt;=1,
_xlfn.XLOOKUP($A335,[1]CRITERIOS!$I$179:$I$199,[1]CRITERIOS!$J$179:$J$199),
IF(COUNTIF([1]CRITERIOS!$L$179:$L$199,$A335)&gt;=1,
_xlfn.CEILING.MATH(IF($M335&gt;$E335,
$E335,
IF($M335&lt;$E335/ROUNDDOWN([1]CRITERIOS!$M$16/_xlfn.XLOOKUP($C335,[1]CRITERIOS!$K$25:$K$42,[1]CRITERIOS!$M$25:$M$42),
1),
E335/ROUNDDOWN([1]CRITERIOS!$M$16/_xlfn.XLOOKUP($C335,[1]CRITERIOS!$K$25:$K$42,[1]CRITERIOS!$M$25:$M$42),
1),
$M335)),
_xlfn.XLOOKUP($A335,[1]CRITERIOS!$L$179:$L$200,[1]CRITERIOS!$M$179:$M$200)),
_xlfn.CEILING.MATH(IF($M335&gt;$E335,
$E335,
IF($M335&lt;$E335/ROUNDDOWN([1]CRITERIOS!$M$16/_xlfn.XLOOKUP($C335,[1]CRITERIOS!$K$25:$K$42,[1]CRITERIOS!$M$25:$M$42),
1),
E335/ROUNDDOWN([1]CRITERIOS!$M$16/_xlfn.XLOOKUP($C335,[1]CRITERIOS!$K$25:$K$42,[1]CRITERIOS!$M$25:$M$42),
1),
$M335)),_xlfn.XLOOKUP(A335,'[1]DATOS PBI Artículos'!A:A,'[1]DATOS PBI Artículos'!Z:Z
)))))</f>
        <v>#N/A</v>
      </c>
      <c r="Q335" s="38" t="e">
        <f>IF(AND(O335="",N335=0),
0,
   IF(COUNTIF([1]CRITERIOS!$F$179:$F$199,$A335)&gt;=1,
   1,
   IF(R335="MTO",
      $D335,
      ROUNDUP(
                    IF(($E335-SUMIF('[1]DATOS PBI Artículos'!A:A,A335,'[1]DATOS PBI Artículos'!X:X)+($V335-_xlfn.XLOOKUP(A335,'[1]DATOS PBI Artículos'!A:A,'[1]DATOS PBI Artículos'!W:W)))&lt;0,
                    0,
                    IF(($E335-SUMIF('[1]DATOS PBI Artículos'!A:A,A335,'[1]DATOS PBI Artículos'!X:X)+$V335-_xlfn.XLOOKUP($A335,'[1]DATOS PBI Artículos'!A:A,'[1]DATOS PBI Artículos'!W:W))/IF($O335="",$N335,$O335)&gt;ROUNDUP([1]CRITERIOS!$M$16/(IF(COUNTIF([1]CRITERIOS!$BG$11:$BG$201,L335)&gt;=1,_xlfn.XLOOKUP($C335,[1]CRITERIOS!$K$25:$K$42,[1]CRITERIOS!$M$25:$M$42),_xlfn.XLOOKUP($C335,[1]CRITERIOS!$K$25:$K$42,[1]CRITERIOS!$M$25:$M$42))),0),
                    ROUNDUP([1]CRITERIOS!$M$16/(IF(COUNTIF([1]CRITERIOS!$BG$11:$BG$201,$L335)&gt;=1,_xlfn.XLOOKUP($C335,[1]CRITERIOS!$K$25:$K$42,[1]CRITERIOS!$M$25:$M$42),_xlfn.XLOOKUP($C335,[1]CRITERIOS!$K$25:$K$42,[1]CRITERIOS!$M$25:$M$42))),0),
                    (E335+V335-SUMIF('[1]DATOS PBI Artículos'!A:A,A335,'[1]DATOS PBI Artículos'!X:X)-_xlfn.XLOOKUP(A335,'[1]DATOS PBI Artículos'!A:A,'[1]DATOS PBI Artículos'!W:W))/IF($O335="",$N335,$O335))),0))))</f>
        <v>#N/A</v>
      </c>
      <c r="R335" s="33" t="e">
        <f>IF(U335&lt;&gt;"",U335,IF(F335="DV","MTO",IF(N335=0,"MTO",_xlfn.XLOOKUP(CONCATENATE(S335,T335),[1]CRITERIOS!$K$160:$K$168,[1]CRITERIOS!$N$160:$N$168))))</f>
        <v>#N/A</v>
      </c>
      <c r="S335" s="33" t="e">
        <f>IF(G335="DV","MTO",IF(N335=0,"MTO",IF(OR(AND(N335=0,O335=""),IF(O335="",G335/N335,G335/O335)&gt;[1]CRITERIOS!$G$163),"MTO",IF(IF(O335="",G335/N335,G335/O335)&lt;[1]CRITERIOS!$H$161,"MTS","MTOS"))))</f>
        <v>#N/A</v>
      </c>
      <c r="T335" s="33" t="e">
        <f>IF(F335="DV","MTO",IF(OR(AND($N335=0,O335=""),$F335/$J335&gt;[1]CRITERIOS!$G$170,$F335="DV"),"MTO",IF($F335/$J335&lt;[1]CRITERIOS!$H$168,"MTS","MTOS")))</f>
        <v>#N/A</v>
      </c>
      <c r="V335" s="34" t="e">
        <f t="shared" si="16"/>
        <v>#N/A</v>
      </c>
      <c r="X335" s="34" t="e">
        <f t="shared" si="17"/>
        <v>#N/A</v>
      </c>
      <c r="Y335" s="34" t="e">
        <f t="shared" si="18"/>
        <v>#N/A</v>
      </c>
      <c r="Z335" s="34" t="e">
        <f>IF($R335="MTO",
0,
($H335+$K335*($E335/[1]CRITERIOS!$M$16))/[1]CRITERIOS!$X$48)</f>
        <v>#N/A</v>
      </c>
      <c r="AA335" s="34" t="e">
        <f>ROUNDUP(($Y335/_xlfn.XLOOKUP($A335,'[1]DATOS PBI Artículos'!$A$4:$A$4,'[1]DATOS PBI Artículos'!$Z$4:$Z$4))/_xlfn.XLOOKUP(_xlfn.XLOOKUP($A335,'[1]DATOS PBI Artículos'!$A$4:$A$4,'[1]DATOS PBI Artículos'!$Y$4:$Y$4),[1]CRITERIOS!$P$79:$P$123,[1]CRITERIOS!$S$79:$S$123,),0)</f>
        <v>#N/A</v>
      </c>
      <c r="AB335" s="33" t="e">
        <f t="array" ref="AB335">IF((E335+V335-_xlfn.XLOOKUP(A335,'[1]DATOS PBI Artículos'!$A$4:$A$4,'[1]DATOS PBI Artículos'!$W$4:$W$4))/N335&gt;ROUNDUP([1]CRITERIOS!$M$16/(IF(COUNTIF([1]CRITERIOS!$BG$11:$BG$201,L335)&gt;=1,_xlfn.XLOOKUP(ARTÍCULOS!L335,[1]CRITERIOS!$BG$11:$BG$201,[1]CRITERIOS!$BJ$11:$BJ$201),_xlfn.XLOOKUP(ARTÍCULOS!C335,[1]CRITERIOS!$K$25:$K$42,[1]CRITERIOS!$M$25:$M$42))),0),ROUNDUP([1]CRITERIOS!$M$16/(IF(COUNTIF([1]CRITERIOS!$BG$11:$BG$201,L335)&gt;=1,_xlfn.XLOOKUP(ARTÍCULOS!L335,[1]CRITERIOS!$BG$11:$BG$201:#REF!,[1]CRITERIOS!$BJ$11:$BJ$201),_xlfn.XLOOKUP(ARTÍCULOS!C335,[1]CRITERIOS!$K$25:$K$42,[1]CRITERIOS!$M$25:$M$42))),0),(E335+V335-_xlfn.XLOOKUP(A335,'[1]DATOS PBI Artículos'!$A$4:$A$4,'[1]DATOS PBI Artículos'!$W$4:$W$4))/N335)</f>
        <v>#N/A</v>
      </c>
      <c r="AC335" s="33" t="e">
        <f>IF(N335=0,"",(ROUNDUP((N335/2)/(_xlfn.XLOOKUP(A335,'[1]DATOS PBI Artículos'!$A$4:$A$4,'[1]DATOS PBI Artículos'!$Z$4:$Z$4)*_xlfn.XLOOKUP(_xlfn.XLOOKUP(A335,'[1]DATOS PBI Artículos'!$A$4:$A$4,'[1]DATOS PBI Artículos'!$Y$4:$Y$4),[1]CRITERIOS!$P$79:$P$123,[1]CRITERIOS!$S$79:$S$123)),0)*[1]CRITERIOS!$M$80*([1]CRITERIOS!$M$110/[1]CRITERIOS!$M$86)+(_xlfn.XLOOKUP(A335,'[1]DATOS PBI Artículos'!$A$4:$A$4,'[1]DATOS PBI Artículos'!$AA$4:$AA$4)*([1]CRITERIOS!$M$95+[1]CRITERIOS!$M$98)))/N335)</f>
        <v>#N/A</v>
      </c>
      <c r="AD335" s="33" t="e">
        <f>IF(N335=0,"",(ROUNDUP((N335/2)/(_xlfn.XLOOKUP(A335,'[1]DATOS PBI Artículos'!$A$4:$A$4,'[1]DATOS PBI Artículos'!$Z$4:$Z$4)*_xlfn.XLOOKUP(_xlfn.XLOOKUP(A335,'[1]DATOS PBI Artículos'!$A$4:$A$4,'[1]DATOS PBI Artículos'!$Y$4:$Y$4),[1]CRITERIOS!$P$79:$P$123,[1]CRITERIOS!$S$79:$S$123)),0)*[1]CRITERIOS!$M$80*([1]CRITERIOS!$M$89*[1]CRITERIOS!$M$92)+((_xlfn.XLOOKUP(A335,'[1]DATOS PBI Artículos'!$A$4:$A$4,'[1]DATOS PBI Artículos'!$AA$4:$AA$4)/2)*([1]CRITERIOS!$M$95+[1]CRITERIOS!$M$98)))/N335)</f>
        <v>#N/A</v>
      </c>
      <c r="AE335" s="39" t="e">
        <f>IF($R335="MTO","",
IF($H335=0,ROUNDUP(((_xlfn.XLOOKUP($A335,'[1]DATOS PBI Artículos'!$A:$A,'[1]DATOS PBI Artículos'!$AL:$AL))/(_xlfn.XLOOKUP($AF$1,[1]CRITERIOS!$S$16:$S$39,[1]CRITERIOS!$Y$16:$Y$39))*$J335+$Z335)/$G335,0)*$G335,
((_xlfn.XLOOKUP($A335,'[1]DATOS PBI Artículos'!$A:$A,'[1]DATOS PBI Artículos'!$AL:$AL))/(_xlfn.XLOOKUP($AF$1,[1]CRITERIOS!$S$16:$S$39,[1]CRITERIOS!$Y$16:$Y$39))*$J335+$Z335)))</f>
        <v>#N/A</v>
      </c>
      <c r="AG335" s="39" t="e">
        <f>IF($R335="MTO","",
IF($H335=0,ROUNDUP(((_xlfn.XLOOKUP($A335,'[1]DATOS PBI Artículos'!$A:$A,'[1]DATOS PBI Artículos'!$AM:$AM))/(_xlfn.XLOOKUP($AH$1,[1]CRITERIOS!$S$16:$S$39,[1]CRITERIOS!$Y$16:$Y$39))*$J335+$Z335)/$G335,0)*$G335,
((_xlfn.XLOOKUP($A335,'[1]DATOS PBI Artículos'!$A:$A,'[1]DATOS PBI Artículos'!$AM:$AM))/(_xlfn.XLOOKUP($AH$1,[1]CRITERIOS!$S$16:$S$39,[1]CRITERIOS!$Y$16:$Y$39))*$J335+$Z335)))</f>
        <v>#N/A</v>
      </c>
      <c r="AI335" s="39" t="e">
        <f>IF($R335="MTO","",
IF($H335=0,ROUNDUP(((_xlfn.XLOOKUP($A335,'[1]DATOS PBI Artículos'!$A:$A,'[1]DATOS PBI Artículos'!$AN:$AN))/(_xlfn.XLOOKUP($AJ$1,[1]CRITERIOS!$S$16:$S$39,[1]CRITERIOS!$Y$16:$Y$39))*$J335+$Z335)/$G335,0)*$G335,
((_xlfn.XLOOKUP($A335,'[1]DATOS PBI Artículos'!$A:$A,'[1]DATOS PBI Artículos'!$AN:$AN))/(_xlfn.XLOOKUP($AJ$1,[1]CRITERIOS!$S$16:$S$39,[1]CRITERIOS!$Y$16:$Y$39))*$J335+$Z335)))</f>
        <v>#N/A</v>
      </c>
      <c r="AK335" s="39" t="e">
        <f>IF($R335="MTO","",
IF($H335=0,ROUNDUP(((_xlfn.XLOOKUP($A335,'[1]DATOS PBI Artículos'!$A:$A,'[1]DATOS PBI Artículos'!$AO:$AO))/(_xlfn.XLOOKUP($AL$1,[1]CRITERIOS!$S$16:$S$39,[1]CRITERIOS!$Y$16:$Y$39))*$J335+$Z335)/$G335,0)*$G335,
((_xlfn.XLOOKUP($A335,'[1]DATOS PBI Artículos'!$A:$A,'[1]DATOS PBI Artículos'!$AO:$AO))/(_xlfn.XLOOKUP($AL$1,[1]CRITERIOS!$S$16:$S$39,[1]CRITERIOS!$Y$16:$Y$39))*$J335+$Z335)))</f>
        <v>#N/A</v>
      </c>
    </row>
    <row r="336" spans="1:37" ht="25.8" hidden="1" x14ac:dyDescent="0.4">
      <c r="A336" s="41"/>
      <c r="B336" s="33">
        <f>_xlfn.XLOOKUP($A336,'[1]DATOS PBI Artículos'!A:A,'[1]DATOS PBI Artículos'!B:B)</f>
        <v>0</v>
      </c>
      <c r="C336" s="33">
        <f>_xlfn.XLOOKUP($A336,'[1]DATOS PBI Artículos'!A:A,'[1]DATOS PBI Artículos'!C:C)</f>
        <v>0</v>
      </c>
      <c r="D336" s="33">
        <f>_xlfn.XLOOKUP(A336,'[1]DATOS PBI Artículos'!A:A,'[1]DATOS PBI Artículos'!T:T)</f>
        <v>0</v>
      </c>
      <c r="E336" s="34">
        <f>IF(_xlfn.XLOOKUP($A336,'[1]DATOS PBI Artículos'!A:A,'[1]DATOS PBI Artículos'!AK:AK)="",_xlfn.XLOOKUP($A336,'[1]DATOS PBI Artículos'!A:A,'[1]DATOS PBI Artículos'!AJ:AJ),_xlfn.XLOOKUP($A336,'[1]DATOS PBI Artículos'!A:A,'[1]DATOS PBI Artículos'!AK:AK))</f>
        <v>0</v>
      </c>
      <c r="F336" s="35">
        <f>_xlfn.XLOOKUP($A336,'[1]DATOS PBI Artículos'!A:A,'[1]DATOS PBI Artículos'!AP:AP)</f>
        <v>0</v>
      </c>
      <c r="G336" s="34">
        <f>_xlfn.XLOOKUP($A336,'[1]DATOS PBI Artículos'!A:A,'[1]DATOS PBI Artículos'!AR:AR)</f>
        <v>0</v>
      </c>
      <c r="H336" s="34">
        <f>_xlfn.XLOOKUP($A336,'[1]DATOS PBI Artículos'!A:A,'[1]DATOS PBI Artículos'!AT:AT)</f>
        <v>0</v>
      </c>
      <c r="I336" s="34">
        <f>_xlfn.XLOOKUP($A336,'[1]DATOS PBI Artículos'!A:A,'[1]DATOS PBI Artículos'!AS:AS)</f>
        <v>0</v>
      </c>
      <c r="J336" s="35">
        <f>IF(COUNTIF([1]CRITERIOS!$F$179:$F$199,$A336)&gt;=1,
 IF(O336&lt;&gt;"",
    (O336/_xlfn.XLOOKUP(CONCATENATE(A336,L336),[1]MÁQUINAS!A:A,[1]MÁQUINAS!D:D))/24,
    (N336/_xlfn.XLOOKUP(CONCATENATE(A336,L336),[1]MÁQUINAS!A:A,[1]MÁQUINAS!D:D))/24),
  _xlfn.XLOOKUP($A336,'[1]DATOS PBI Artículos'!A:A,'[1]DATOS PBI Artículos'!AU:AU))</f>
        <v>0</v>
      </c>
      <c r="K336" s="36">
        <f>_xlfn.XLOOKUP($A336,'[1]DATOS PBI Artículos'!A:A,'[1]DATOS PBI Artículos'!AV:AV)</f>
        <v>0</v>
      </c>
      <c r="L336" s="33">
        <f>_xlfn.XLOOKUP(A336,[1]MÁQUINAS!B:B,[1]MÁQUINAS!C:C)</f>
        <v>0</v>
      </c>
      <c r="M336" s="34">
        <f t="array" ref="M336">_xlfn.XLOOKUP(A336,'[1]DATOS PBI Artículos'!A:A,'[1]DATOS PBI Artículos'!AX:$AX)</f>
        <v>0</v>
      </c>
      <c r="N336" s="37" t="e">
        <f>IF(I336="DV",
E336,
IF(COUNTIF([1]CRITERIOS!$I$179:$I$199,$A336)&gt;=1,
_xlfn.XLOOKUP($A336,[1]CRITERIOS!$I$179:$I$199,[1]CRITERIOS!$J$179:$J$199),
IF(COUNTIF([1]CRITERIOS!$L$179:$L$199,$A336)&gt;=1,
_xlfn.CEILING.MATH(IF($M336&gt;$E336,
$E336,
IF($M336&lt;$E336/ROUNDDOWN([1]CRITERIOS!$M$16/_xlfn.XLOOKUP($C336,[1]CRITERIOS!$K$25:$K$42,[1]CRITERIOS!$M$25:$M$42),
1),
E336/ROUNDDOWN([1]CRITERIOS!$M$16/_xlfn.XLOOKUP($C336,[1]CRITERIOS!$K$25:$K$42,[1]CRITERIOS!$M$25:$M$42),
1),
$M336)),
_xlfn.XLOOKUP($A336,[1]CRITERIOS!$L$179:$L$200,[1]CRITERIOS!$M$179:$M$200)),
_xlfn.CEILING.MATH(IF($M336&gt;$E336,
$E336,
IF($M336&lt;$E336/ROUNDDOWN([1]CRITERIOS!$M$16/_xlfn.XLOOKUP($C336,[1]CRITERIOS!$K$25:$K$42,[1]CRITERIOS!$M$25:$M$42),
1),
E336/ROUNDDOWN([1]CRITERIOS!$M$16/_xlfn.XLOOKUP($C336,[1]CRITERIOS!$K$25:$K$42,[1]CRITERIOS!$M$25:$M$42),
1),
$M336)),_xlfn.XLOOKUP(A336,'[1]DATOS PBI Artículos'!A:A,'[1]DATOS PBI Artículos'!Z:Z
)))))</f>
        <v>#N/A</v>
      </c>
      <c r="Q336" s="38" t="e">
        <f>IF(AND(O336="",N336=0),
0,
   IF(COUNTIF([1]CRITERIOS!$F$179:$F$199,$A336)&gt;=1,
   1,
   IF(R336="MTO",
      $D336,
      ROUNDUP(
                    IF(($E336-SUMIF('[1]DATOS PBI Artículos'!A:A,A336,'[1]DATOS PBI Artículos'!X:X)+($V336-_xlfn.XLOOKUP(A336,'[1]DATOS PBI Artículos'!A:A,'[1]DATOS PBI Artículos'!W:W)))&lt;0,
                    0,
                    IF(($E336-SUMIF('[1]DATOS PBI Artículos'!A:A,A336,'[1]DATOS PBI Artículos'!X:X)+$V336-_xlfn.XLOOKUP($A336,'[1]DATOS PBI Artículos'!A:A,'[1]DATOS PBI Artículos'!W:W))/IF($O336="",$N336,$O336)&gt;ROUNDUP([1]CRITERIOS!$M$16/(IF(COUNTIF([1]CRITERIOS!$BG$11:$BG$201,L336)&gt;=1,_xlfn.XLOOKUP($C336,[1]CRITERIOS!$K$25:$K$42,[1]CRITERIOS!$M$25:$M$42),_xlfn.XLOOKUP($C336,[1]CRITERIOS!$K$25:$K$42,[1]CRITERIOS!$M$25:$M$42))),0),
                    ROUNDUP([1]CRITERIOS!$M$16/(IF(COUNTIF([1]CRITERIOS!$BG$11:$BG$201,$L336)&gt;=1,_xlfn.XLOOKUP($C336,[1]CRITERIOS!$K$25:$K$42,[1]CRITERIOS!$M$25:$M$42),_xlfn.XLOOKUP($C336,[1]CRITERIOS!$K$25:$K$42,[1]CRITERIOS!$M$25:$M$42))),0),
                    (E336+V336-SUMIF('[1]DATOS PBI Artículos'!A:A,A336,'[1]DATOS PBI Artículos'!X:X)-_xlfn.XLOOKUP(A336,'[1]DATOS PBI Artículos'!A:A,'[1]DATOS PBI Artículos'!W:W))/IF($O336="",$N336,$O336))),0))))</f>
        <v>#N/A</v>
      </c>
      <c r="R336" s="33" t="e">
        <f>IF(U336&lt;&gt;"",U336,IF(F336="DV","MTO",IF(N336=0,"MTO",_xlfn.XLOOKUP(CONCATENATE(S336,T336),[1]CRITERIOS!$K$160:$K$168,[1]CRITERIOS!$N$160:$N$168))))</f>
        <v>#N/A</v>
      </c>
      <c r="S336" s="33" t="e">
        <f>IF(G336="DV","MTO",IF(N336=0,"MTO",IF(OR(AND(N336=0,O336=""),IF(O336="",G336/N336,G336/O336)&gt;[1]CRITERIOS!$G$163),"MTO",IF(IF(O336="",G336/N336,G336/O336)&lt;[1]CRITERIOS!$H$161,"MTS","MTOS"))))</f>
        <v>#N/A</v>
      </c>
      <c r="T336" s="33" t="e">
        <f>IF(F336="DV","MTO",IF(OR(AND($N336=0,O336=""),$F336/$J336&gt;[1]CRITERIOS!$G$170,$F336="DV"),"MTO",IF($F336/$J336&lt;[1]CRITERIOS!$H$168,"MTS","MTOS")))</f>
        <v>#N/A</v>
      </c>
      <c r="V336" s="34" t="e">
        <f t="shared" si="16"/>
        <v>#N/A</v>
      </c>
      <c r="X336" s="34" t="e">
        <f t="shared" si="17"/>
        <v>#N/A</v>
      </c>
      <c r="Y336" s="34" t="e">
        <f t="shared" si="18"/>
        <v>#N/A</v>
      </c>
      <c r="Z336" s="34" t="e">
        <f>IF($R336="MTO",
0,
($H336+$K336*($E336/[1]CRITERIOS!$M$16))/[1]CRITERIOS!$X$48)</f>
        <v>#N/A</v>
      </c>
      <c r="AA336" s="34" t="e">
        <f>ROUNDUP(($Y336/_xlfn.XLOOKUP($A336,'[1]DATOS PBI Artículos'!$A$4:$A$4,'[1]DATOS PBI Artículos'!$Z$4:$Z$4))/_xlfn.XLOOKUP(_xlfn.XLOOKUP($A336,'[1]DATOS PBI Artículos'!$A$4:$A$4,'[1]DATOS PBI Artículos'!$Y$4:$Y$4),[1]CRITERIOS!$P$79:$P$123,[1]CRITERIOS!$S$79:$S$123,),0)</f>
        <v>#N/A</v>
      </c>
      <c r="AB336" s="33" t="e">
        <f t="array" ref="AB336">IF((E336+V336-_xlfn.XLOOKUP(A336,'[1]DATOS PBI Artículos'!$A$4:$A$4,'[1]DATOS PBI Artículos'!$W$4:$W$4))/N336&gt;ROUNDUP([1]CRITERIOS!$M$16/(IF(COUNTIF([1]CRITERIOS!$BG$11:$BG$201,L336)&gt;=1,_xlfn.XLOOKUP(ARTÍCULOS!L336,[1]CRITERIOS!$BG$11:$BG$201,[1]CRITERIOS!$BJ$11:$BJ$201),_xlfn.XLOOKUP(ARTÍCULOS!C336,[1]CRITERIOS!$K$25:$K$42,[1]CRITERIOS!$M$25:$M$42))),0),ROUNDUP([1]CRITERIOS!$M$16/(IF(COUNTIF([1]CRITERIOS!$BG$11:$BG$201,L336)&gt;=1,_xlfn.XLOOKUP(ARTÍCULOS!L336,[1]CRITERIOS!$BG$11:$BG$201:#REF!,[1]CRITERIOS!$BJ$11:$BJ$201),_xlfn.XLOOKUP(ARTÍCULOS!C336,[1]CRITERIOS!$K$25:$K$42,[1]CRITERIOS!$M$25:$M$42))),0),(E336+V336-_xlfn.XLOOKUP(A336,'[1]DATOS PBI Artículos'!$A$4:$A$4,'[1]DATOS PBI Artículos'!$W$4:$W$4))/N336)</f>
        <v>#N/A</v>
      </c>
      <c r="AC336" s="33" t="e">
        <f>IF(N336=0,"",(ROUNDUP((N336/2)/(_xlfn.XLOOKUP(A336,'[1]DATOS PBI Artículos'!$A$4:$A$4,'[1]DATOS PBI Artículos'!$Z$4:$Z$4)*_xlfn.XLOOKUP(_xlfn.XLOOKUP(A336,'[1]DATOS PBI Artículos'!$A$4:$A$4,'[1]DATOS PBI Artículos'!$Y$4:$Y$4),[1]CRITERIOS!$P$79:$P$123,[1]CRITERIOS!$S$79:$S$123)),0)*[1]CRITERIOS!$M$80*([1]CRITERIOS!$M$110/[1]CRITERIOS!$M$86)+(_xlfn.XLOOKUP(A336,'[1]DATOS PBI Artículos'!$A$4:$A$4,'[1]DATOS PBI Artículos'!$AA$4:$AA$4)*([1]CRITERIOS!$M$95+[1]CRITERIOS!$M$98)))/N336)</f>
        <v>#N/A</v>
      </c>
      <c r="AD336" s="33" t="e">
        <f>IF(N336=0,"",(ROUNDUP((N336/2)/(_xlfn.XLOOKUP(A336,'[1]DATOS PBI Artículos'!$A$4:$A$4,'[1]DATOS PBI Artículos'!$Z$4:$Z$4)*_xlfn.XLOOKUP(_xlfn.XLOOKUP(A336,'[1]DATOS PBI Artículos'!$A$4:$A$4,'[1]DATOS PBI Artículos'!$Y$4:$Y$4),[1]CRITERIOS!$P$79:$P$123,[1]CRITERIOS!$S$79:$S$123)),0)*[1]CRITERIOS!$M$80*([1]CRITERIOS!$M$89*[1]CRITERIOS!$M$92)+((_xlfn.XLOOKUP(A336,'[1]DATOS PBI Artículos'!$A$4:$A$4,'[1]DATOS PBI Artículos'!$AA$4:$AA$4)/2)*([1]CRITERIOS!$M$95+[1]CRITERIOS!$M$98)))/N336)</f>
        <v>#N/A</v>
      </c>
      <c r="AE336" s="39" t="e">
        <f>IF($R336="MTO","",
IF($H336=0,ROUNDUP(((_xlfn.XLOOKUP($A336,'[1]DATOS PBI Artículos'!$A:$A,'[1]DATOS PBI Artículos'!$AL:$AL))/(_xlfn.XLOOKUP($AF$1,[1]CRITERIOS!$S$16:$S$39,[1]CRITERIOS!$Y$16:$Y$39))*$J336+$Z336)/$G336,0)*$G336,
((_xlfn.XLOOKUP($A336,'[1]DATOS PBI Artículos'!$A:$A,'[1]DATOS PBI Artículos'!$AL:$AL))/(_xlfn.XLOOKUP($AF$1,[1]CRITERIOS!$S$16:$S$39,[1]CRITERIOS!$Y$16:$Y$39))*$J336+$Z336)))</f>
        <v>#N/A</v>
      </c>
      <c r="AG336" s="39" t="e">
        <f>IF($R336="MTO","",
IF($H336=0,ROUNDUP(((_xlfn.XLOOKUP($A336,'[1]DATOS PBI Artículos'!$A:$A,'[1]DATOS PBI Artículos'!$AM:$AM))/(_xlfn.XLOOKUP($AH$1,[1]CRITERIOS!$S$16:$S$39,[1]CRITERIOS!$Y$16:$Y$39))*$J336+$Z336)/$G336,0)*$G336,
((_xlfn.XLOOKUP($A336,'[1]DATOS PBI Artículos'!$A:$A,'[1]DATOS PBI Artículos'!$AM:$AM))/(_xlfn.XLOOKUP($AH$1,[1]CRITERIOS!$S$16:$S$39,[1]CRITERIOS!$Y$16:$Y$39))*$J336+$Z336)))</f>
        <v>#N/A</v>
      </c>
      <c r="AI336" s="39" t="e">
        <f>IF($R336="MTO","",
IF($H336=0,ROUNDUP(((_xlfn.XLOOKUP($A336,'[1]DATOS PBI Artículos'!$A:$A,'[1]DATOS PBI Artículos'!$AN:$AN))/(_xlfn.XLOOKUP($AJ$1,[1]CRITERIOS!$S$16:$S$39,[1]CRITERIOS!$Y$16:$Y$39))*$J336+$Z336)/$G336,0)*$G336,
((_xlfn.XLOOKUP($A336,'[1]DATOS PBI Artículos'!$A:$A,'[1]DATOS PBI Artículos'!$AN:$AN))/(_xlfn.XLOOKUP($AJ$1,[1]CRITERIOS!$S$16:$S$39,[1]CRITERIOS!$Y$16:$Y$39))*$J336+$Z336)))</f>
        <v>#N/A</v>
      </c>
      <c r="AK336" s="39" t="e">
        <f>IF($R336="MTO","",
IF($H336=0,ROUNDUP(((_xlfn.XLOOKUP($A336,'[1]DATOS PBI Artículos'!$A:$A,'[1]DATOS PBI Artículos'!$AO:$AO))/(_xlfn.XLOOKUP($AL$1,[1]CRITERIOS!$S$16:$S$39,[1]CRITERIOS!$Y$16:$Y$39))*$J336+$Z336)/$G336,0)*$G336,
((_xlfn.XLOOKUP($A336,'[1]DATOS PBI Artículos'!$A:$A,'[1]DATOS PBI Artículos'!$AO:$AO))/(_xlfn.XLOOKUP($AL$1,[1]CRITERIOS!$S$16:$S$39,[1]CRITERIOS!$Y$16:$Y$39))*$J336+$Z336)))</f>
        <v>#N/A</v>
      </c>
    </row>
    <row r="337" spans="1:37" ht="25.8" hidden="1" x14ac:dyDescent="0.4">
      <c r="A337" s="41"/>
      <c r="B337" s="33">
        <f>_xlfn.XLOOKUP($A337,'[1]DATOS PBI Artículos'!A:A,'[1]DATOS PBI Artículos'!B:B)</f>
        <v>0</v>
      </c>
      <c r="C337" s="33">
        <f>_xlfn.XLOOKUP($A337,'[1]DATOS PBI Artículos'!A:A,'[1]DATOS PBI Artículos'!C:C)</f>
        <v>0</v>
      </c>
      <c r="D337" s="33">
        <f>_xlfn.XLOOKUP(A337,'[1]DATOS PBI Artículos'!A:A,'[1]DATOS PBI Artículos'!T:T)</f>
        <v>0</v>
      </c>
      <c r="E337" s="34">
        <f>IF(_xlfn.XLOOKUP($A337,'[1]DATOS PBI Artículos'!A:A,'[1]DATOS PBI Artículos'!AK:AK)="",_xlfn.XLOOKUP($A337,'[1]DATOS PBI Artículos'!A:A,'[1]DATOS PBI Artículos'!AJ:AJ),_xlfn.XLOOKUP($A337,'[1]DATOS PBI Artículos'!A:A,'[1]DATOS PBI Artículos'!AK:AK))</f>
        <v>0</v>
      </c>
      <c r="F337" s="35">
        <f>_xlfn.XLOOKUP($A337,'[1]DATOS PBI Artículos'!A:A,'[1]DATOS PBI Artículos'!AP:AP)</f>
        <v>0</v>
      </c>
      <c r="G337" s="34">
        <f>_xlfn.XLOOKUP($A337,'[1]DATOS PBI Artículos'!A:A,'[1]DATOS PBI Artículos'!AR:AR)</f>
        <v>0</v>
      </c>
      <c r="H337" s="34">
        <f>_xlfn.XLOOKUP($A337,'[1]DATOS PBI Artículos'!A:A,'[1]DATOS PBI Artículos'!AT:AT)</f>
        <v>0</v>
      </c>
      <c r="I337" s="34">
        <f>_xlfn.XLOOKUP($A337,'[1]DATOS PBI Artículos'!A:A,'[1]DATOS PBI Artículos'!AS:AS)</f>
        <v>0</v>
      </c>
      <c r="J337" s="35">
        <f>IF(COUNTIF([1]CRITERIOS!$F$179:$F$199,$A337)&gt;=1,
 IF(O337&lt;&gt;"",
    (O337/_xlfn.XLOOKUP(CONCATENATE(A337,L337),[1]MÁQUINAS!A:A,[1]MÁQUINAS!D:D))/24,
    (N337/_xlfn.XLOOKUP(CONCATENATE(A337,L337),[1]MÁQUINAS!A:A,[1]MÁQUINAS!D:D))/24),
  _xlfn.XLOOKUP($A337,'[1]DATOS PBI Artículos'!A:A,'[1]DATOS PBI Artículos'!AU:AU))</f>
        <v>0</v>
      </c>
      <c r="K337" s="36">
        <f>_xlfn.XLOOKUP($A337,'[1]DATOS PBI Artículos'!A:A,'[1]DATOS PBI Artículos'!AV:AV)</f>
        <v>0</v>
      </c>
      <c r="L337" s="33">
        <f>_xlfn.XLOOKUP(A337,[1]MÁQUINAS!B:B,[1]MÁQUINAS!C:C)</f>
        <v>0</v>
      </c>
      <c r="M337" s="34">
        <f t="array" ref="M337">_xlfn.XLOOKUP(A337,'[1]DATOS PBI Artículos'!A:A,'[1]DATOS PBI Artículos'!AX:$AX)</f>
        <v>0</v>
      </c>
      <c r="N337" s="37" t="e">
        <f>IF(I337="DV",
E337,
IF(COUNTIF([1]CRITERIOS!$I$179:$I$199,$A337)&gt;=1,
_xlfn.XLOOKUP($A337,[1]CRITERIOS!$I$179:$I$199,[1]CRITERIOS!$J$179:$J$199),
IF(COUNTIF([1]CRITERIOS!$L$179:$L$199,$A337)&gt;=1,
_xlfn.CEILING.MATH(IF($M337&gt;$E337,
$E337,
IF($M337&lt;$E337/ROUNDDOWN([1]CRITERIOS!$M$16/_xlfn.XLOOKUP($C337,[1]CRITERIOS!$K$25:$K$42,[1]CRITERIOS!$M$25:$M$42),
1),
E337/ROUNDDOWN([1]CRITERIOS!$M$16/_xlfn.XLOOKUP($C337,[1]CRITERIOS!$K$25:$K$42,[1]CRITERIOS!$M$25:$M$42),
1),
$M337)),
_xlfn.XLOOKUP($A337,[1]CRITERIOS!$L$179:$L$200,[1]CRITERIOS!$M$179:$M$200)),
_xlfn.CEILING.MATH(IF($M337&gt;$E337,
$E337,
IF($M337&lt;$E337/ROUNDDOWN([1]CRITERIOS!$M$16/_xlfn.XLOOKUP($C337,[1]CRITERIOS!$K$25:$K$42,[1]CRITERIOS!$M$25:$M$42),
1),
E337/ROUNDDOWN([1]CRITERIOS!$M$16/_xlfn.XLOOKUP($C337,[1]CRITERIOS!$K$25:$K$42,[1]CRITERIOS!$M$25:$M$42),
1),
$M337)),_xlfn.XLOOKUP(A337,'[1]DATOS PBI Artículos'!A:A,'[1]DATOS PBI Artículos'!Z:Z
)))))</f>
        <v>#N/A</v>
      </c>
      <c r="Q337" s="38" t="e">
        <f>IF(AND(O337="",N337=0),
0,
   IF(COUNTIF([1]CRITERIOS!$F$179:$F$199,$A337)&gt;=1,
   1,
   IF(R337="MTO",
      $D337,
      ROUNDUP(
                    IF(($E337-SUMIF('[1]DATOS PBI Artículos'!A:A,A337,'[1]DATOS PBI Artículos'!X:X)+($V337-_xlfn.XLOOKUP(A337,'[1]DATOS PBI Artículos'!A:A,'[1]DATOS PBI Artículos'!W:W)))&lt;0,
                    0,
                    IF(($E337-SUMIF('[1]DATOS PBI Artículos'!A:A,A337,'[1]DATOS PBI Artículos'!X:X)+$V337-_xlfn.XLOOKUP($A337,'[1]DATOS PBI Artículos'!A:A,'[1]DATOS PBI Artículos'!W:W))/IF($O337="",$N337,$O337)&gt;ROUNDUP([1]CRITERIOS!$M$16/(IF(COUNTIF([1]CRITERIOS!$BG$11:$BG$201,L337)&gt;=1,_xlfn.XLOOKUP($C337,[1]CRITERIOS!$K$25:$K$42,[1]CRITERIOS!$M$25:$M$42),_xlfn.XLOOKUP($C337,[1]CRITERIOS!$K$25:$K$42,[1]CRITERIOS!$M$25:$M$42))),0),
                    ROUNDUP([1]CRITERIOS!$M$16/(IF(COUNTIF([1]CRITERIOS!$BG$11:$BG$201,$L337)&gt;=1,_xlfn.XLOOKUP($C337,[1]CRITERIOS!$K$25:$K$42,[1]CRITERIOS!$M$25:$M$42),_xlfn.XLOOKUP($C337,[1]CRITERIOS!$K$25:$K$42,[1]CRITERIOS!$M$25:$M$42))),0),
                    (E337+V337-SUMIF('[1]DATOS PBI Artículos'!A:A,A337,'[1]DATOS PBI Artículos'!X:X)-_xlfn.XLOOKUP(A337,'[1]DATOS PBI Artículos'!A:A,'[1]DATOS PBI Artículos'!W:W))/IF($O337="",$N337,$O337))),0))))</f>
        <v>#N/A</v>
      </c>
      <c r="R337" s="33" t="e">
        <f>IF(U337&lt;&gt;"",U337,IF(F337="DV","MTO",IF(N337=0,"MTO",_xlfn.XLOOKUP(CONCATENATE(S337,T337),[1]CRITERIOS!$K$160:$K$168,[1]CRITERIOS!$N$160:$N$168))))</f>
        <v>#N/A</v>
      </c>
      <c r="S337" s="33" t="e">
        <f>IF(G337="DV","MTO",IF(N337=0,"MTO",IF(OR(AND(N337=0,O337=""),IF(O337="",G337/N337,G337/O337)&gt;[1]CRITERIOS!$G$163),"MTO",IF(IF(O337="",G337/N337,G337/O337)&lt;[1]CRITERIOS!$H$161,"MTS","MTOS"))))</f>
        <v>#N/A</v>
      </c>
      <c r="T337" s="33" t="e">
        <f>IF(F337="DV","MTO",IF(OR(AND($N337=0,O337=""),$F337/$J337&gt;[1]CRITERIOS!$G$170,$F337="DV"),"MTO",IF($F337/$J337&lt;[1]CRITERIOS!$H$168,"MTS","MTOS")))</f>
        <v>#N/A</v>
      </c>
      <c r="V337" s="34" t="e">
        <f t="shared" si="16"/>
        <v>#N/A</v>
      </c>
      <c r="X337" s="34" t="e">
        <f t="shared" si="17"/>
        <v>#N/A</v>
      </c>
      <c r="Y337" s="34" t="e">
        <f t="shared" si="18"/>
        <v>#N/A</v>
      </c>
      <c r="Z337" s="34" t="e">
        <f>IF($R337="MTO",
0,
($H337+$K337*($E337/[1]CRITERIOS!$M$16))/[1]CRITERIOS!$X$48)</f>
        <v>#N/A</v>
      </c>
      <c r="AA337" s="34" t="e">
        <f>ROUNDUP(($Y337/_xlfn.XLOOKUP($A337,'[1]DATOS PBI Artículos'!$A$4:$A$4,'[1]DATOS PBI Artículos'!$Z$4:$Z$4))/_xlfn.XLOOKUP(_xlfn.XLOOKUP($A337,'[1]DATOS PBI Artículos'!$A$4:$A$4,'[1]DATOS PBI Artículos'!$Y$4:$Y$4),[1]CRITERIOS!$P$79:$P$123,[1]CRITERIOS!$S$79:$S$123,),0)</f>
        <v>#N/A</v>
      </c>
      <c r="AB337" s="33" t="e">
        <f t="array" ref="AB337">IF((E337+V337-_xlfn.XLOOKUP(A337,'[1]DATOS PBI Artículos'!$A$4:$A$4,'[1]DATOS PBI Artículos'!$W$4:$W$4))/N337&gt;ROUNDUP([1]CRITERIOS!$M$16/(IF(COUNTIF([1]CRITERIOS!$BG$11:$BG$201,L337)&gt;=1,_xlfn.XLOOKUP(ARTÍCULOS!L337,[1]CRITERIOS!$BG$11:$BG$201,[1]CRITERIOS!$BJ$11:$BJ$201),_xlfn.XLOOKUP(ARTÍCULOS!C337,[1]CRITERIOS!$K$25:$K$42,[1]CRITERIOS!$M$25:$M$42))),0),ROUNDUP([1]CRITERIOS!$M$16/(IF(COUNTIF([1]CRITERIOS!$BG$11:$BG$201,L337)&gt;=1,_xlfn.XLOOKUP(ARTÍCULOS!L337,[1]CRITERIOS!$BG$11:$BG$201:#REF!,[1]CRITERIOS!$BJ$11:$BJ$201),_xlfn.XLOOKUP(ARTÍCULOS!C337,[1]CRITERIOS!$K$25:$K$42,[1]CRITERIOS!$M$25:$M$42))),0),(E337+V337-_xlfn.XLOOKUP(A337,'[1]DATOS PBI Artículos'!$A$4:$A$4,'[1]DATOS PBI Artículos'!$W$4:$W$4))/N337)</f>
        <v>#N/A</v>
      </c>
      <c r="AC337" s="33" t="e">
        <f>IF(N337=0,"",(ROUNDUP((N337/2)/(_xlfn.XLOOKUP(A337,'[1]DATOS PBI Artículos'!$A$4:$A$4,'[1]DATOS PBI Artículos'!$Z$4:$Z$4)*_xlfn.XLOOKUP(_xlfn.XLOOKUP(A337,'[1]DATOS PBI Artículos'!$A$4:$A$4,'[1]DATOS PBI Artículos'!$Y$4:$Y$4),[1]CRITERIOS!$P$79:$P$123,[1]CRITERIOS!$S$79:$S$123)),0)*[1]CRITERIOS!$M$80*([1]CRITERIOS!$M$110/[1]CRITERIOS!$M$86)+(_xlfn.XLOOKUP(A337,'[1]DATOS PBI Artículos'!$A$4:$A$4,'[1]DATOS PBI Artículos'!$AA$4:$AA$4)*([1]CRITERIOS!$M$95+[1]CRITERIOS!$M$98)))/N337)</f>
        <v>#N/A</v>
      </c>
      <c r="AD337" s="33" t="e">
        <f>IF(N337=0,"",(ROUNDUP((N337/2)/(_xlfn.XLOOKUP(A337,'[1]DATOS PBI Artículos'!$A$4:$A$4,'[1]DATOS PBI Artículos'!$Z$4:$Z$4)*_xlfn.XLOOKUP(_xlfn.XLOOKUP(A337,'[1]DATOS PBI Artículos'!$A$4:$A$4,'[1]DATOS PBI Artículos'!$Y$4:$Y$4),[1]CRITERIOS!$P$79:$P$123,[1]CRITERIOS!$S$79:$S$123)),0)*[1]CRITERIOS!$M$80*([1]CRITERIOS!$M$89*[1]CRITERIOS!$M$92)+((_xlfn.XLOOKUP(A337,'[1]DATOS PBI Artículos'!$A$4:$A$4,'[1]DATOS PBI Artículos'!$AA$4:$AA$4)/2)*([1]CRITERIOS!$M$95+[1]CRITERIOS!$M$98)))/N337)</f>
        <v>#N/A</v>
      </c>
      <c r="AE337" s="39" t="e">
        <f>IF($R337="MTO","",
IF($H337=0,ROUNDUP(((_xlfn.XLOOKUP($A337,'[1]DATOS PBI Artículos'!$A:$A,'[1]DATOS PBI Artículos'!$AL:$AL))/(_xlfn.XLOOKUP($AF$1,[1]CRITERIOS!$S$16:$S$39,[1]CRITERIOS!$Y$16:$Y$39))*$J337+$Z337)/$G337,0)*$G337,
((_xlfn.XLOOKUP($A337,'[1]DATOS PBI Artículos'!$A:$A,'[1]DATOS PBI Artículos'!$AL:$AL))/(_xlfn.XLOOKUP($AF$1,[1]CRITERIOS!$S$16:$S$39,[1]CRITERIOS!$Y$16:$Y$39))*$J337+$Z337)))</f>
        <v>#N/A</v>
      </c>
      <c r="AG337" s="39" t="e">
        <f>IF($R337="MTO","",
IF($H337=0,ROUNDUP(((_xlfn.XLOOKUP($A337,'[1]DATOS PBI Artículos'!$A:$A,'[1]DATOS PBI Artículos'!$AM:$AM))/(_xlfn.XLOOKUP($AH$1,[1]CRITERIOS!$S$16:$S$39,[1]CRITERIOS!$Y$16:$Y$39))*$J337+$Z337)/$G337,0)*$G337,
((_xlfn.XLOOKUP($A337,'[1]DATOS PBI Artículos'!$A:$A,'[1]DATOS PBI Artículos'!$AM:$AM))/(_xlfn.XLOOKUP($AH$1,[1]CRITERIOS!$S$16:$S$39,[1]CRITERIOS!$Y$16:$Y$39))*$J337+$Z337)))</f>
        <v>#N/A</v>
      </c>
      <c r="AI337" s="39" t="e">
        <f>IF($R337="MTO","",
IF($H337=0,ROUNDUP(((_xlfn.XLOOKUP($A337,'[1]DATOS PBI Artículos'!$A:$A,'[1]DATOS PBI Artículos'!$AN:$AN))/(_xlfn.XLOOKUP($AJ$1,[1]CRITERIOS!$S$16:$S$39,[1]CRITERIOS!$Y$16:$Y$39))*$J337+$Z337)/$G337,0)*$G337,
((_xlfn.XLOOKUP($A337,'[1]DATOS PBI Artículos'!$A:$A,'[1]DATOS PBI Artículos'!$AN:$AN))/(_xlfn.XLOOKUP($AJ$1,[1]CRITERIOS!$S$16:$S$39,[1]CRITERIOS!$Y$16:$Y$39))*$J337+$Z337)))</f>
        <v>#N/A</v>
      </c>
      <c r="AK337" s="39" t="e">
        <f>IF($R337="MTO","",
IF($H337=0,ROUNDUP(((_xlfn.XLOOKUP($A337,'[1]DATOS PBI Artículos'!$A:$A,'[1]DATOS PBI Artículos'!$AO:$AO))/(_xlfn.XLOOKUP($AL$1,[1]CRITERIOS!$S$16:$S$39,[1]CRITERIOS!$Y$16:$Y$39))*$J337+$Z337)/$G337,0)*$G337,
((_xlfn.XLOOKUP($A337,'[1]DATOS PBI Artículos'!$A:$A,'[1]DATOS PBI Artículos'!$AO:$AO))/(_xlfn.XLOOKUP($AL$1,[1]CRITERIOS!$S$16:$S$39,[1]CRITERIOS!$Y$16:$Y$39))*$J337+$Z337)))</f>
        <v>#N/A</v>
      </c>
    </row>
    <row r="338" spans="1:37" ht="25.8" hidden="1" x14ac:dyDescent="0.4">
      <c r="A338" s="41"/>
      <c r="B338" s="33">
        <f>_xlfn.XLOOKUP($A338,'[1]DATOS PBI Artículos'!A:A,'[1]DATOS PBI Artículos'!B:B)</f>
        <v>0</v>
      </c>
      <c r="C338" s="33">
        <f>_xlfn.XLOOKUP($A338,'[1]DATOS PBI Artículos'!A:A,'[1]DATOS PBI Artículos'!C:C)</f>
        <v>0</v>
      </c>
      <c r="D338" s="33">
        <f>_xlfn.XLOOKUP(A338,'[1]DATOS PBI Artículos'!A:A,'[1]DATOS PBI Artículos'!T:T)</f>
        <v>0</v>
      </c>
      <c r="E338" s="34">
        <f>IF(_xlfn.XLOOKUP($A338,'[1]DATOS PBI Artículos'!A:A,'[1]DATOS PBI Artículos'!AK:AK)="",_xlfn.XLOOKUP($A338,'[1]DATOS PBI Artículos'!A:A,'[1]DATOS PBI Artículos'!AJ:AJ),_xlfn.XLOOKUP($A338,'[1]DATOS PBI Artículos'!A:A,'[1]DATOS PBI Artículos'!AK:AK))</f>
        <v>0</v>
      </c>
      <c r="F338" s="35">
        <f>_xlfn.XLOOKUP($A338,'[1]DATOS PBI Artículos'!A:A,'[1]DATOS PBI Artículos'!AP:AP)</f>
        <v>0</v>
      </c>
      <c r="G338" s="34">
        <f>_xlfn.XLOOKUP($A338,'[1]DATOS PBI Artículos'!A:A,'[1]DATOS PBI Artículos'!AR:AR)</f>
        <v>0</v>
      </c>
      <c r="H338" s="34">
        <f>_xlfn.XLOOKUP($A338,'[1]DATOS PBI Artículos'!A:A,'[1]DATOS PBI Artículos'!AT:AT)</f>
        <v>0</v>
      </c>
      <c r="I338" s="34">
        <f>_xlfn.XLOOKUP($A338,'[1]DATOS PBI Artículos'!A:A,'[1]DATOS PBI Artículos'!AS:AS)</f>
        <v>0</v>
      </c>
      <c r="J338" s="35">
        <f>IF(COUNTIF([1]CRITERIOS!$F$179:$F$199,$A338)&gt;=1,
 IF(O338&lt;&gt;"",
    (O338/_xlfn.XLOOKUP(CONCATENATE(A338,L338),[1]MÁQUINAS!A:A,[1]MÁQUINAS!D:D))/24,
    (N338/_xlfn.XLOOKUP(CONCATENATE(A338,L338),[1]MÁQUINAS!A:A,[1]MÁQUINAS!D:D))/24),
  _xlfn.XLOOKUP($A338,'[1]DATOS PBI Artículos'!A:A,'[1]DATOS PBI Artículos'!AU:AU))</f>
        <v>0</v>
      </c>
      <c r="K338" s="36">
        <f>_xlfn.XLOOKUP($A338,'[1]DATOS PBI Artículos'!A:A,'[1]DATOS PBI Artículos'!AV:AV)</f>
        <v>0</v>
      </c>
      <c r="L338" s="33">
        <f>_xlfn.XLOOKUP(A338,[1]MÁQUINAS!B:B,[1]MÁQUINAS!C:C)</f>
        <v>0</v>
      </c>
      <c r="M338" s="34">
        <f t="array" ref="M338">_xlfn.XLOOKUP(A338,'[1]DATOS PBI Artículos'!A:A,'[1]DATOS PBI Artículos'!AX:$AX)</f>
        <v>0</v>
      </c>
      <c r="N338" s="37" t="e">
        <f>IF(I338="DV",
E338,
IF(COUNTIF([1]CRITERIOS!$I$179:$I$199,$A338)&gt;=1,
_xlfn.XLOOKUP($A338,[1]CRITERIOS!$I$179:$I$199,[1]CRITERIOS!$J$179:$J$199),
IF(COUNTIF([1]CRITERIOS!$L$179:$L$199,$A338)&gt;=1,
_xlfn.CEILING.MATH(IF($M338&gt;$E338,
$E338,
IF($M338&lt;$E338/ROUNDDOWN([1]CRITERIOS!$M$16/_xlfn.XLOOKUP($C338,[1]CRITERIOS!$K$25:$K$42,[1]CRITERIOS!$M$25:$M$42),
1),
E338/ROUNDDOWN([1]CRITERIOS!$M$16/_xlfn.XLOOKUP($C338,[1]CRITERIOS!$K$25:$K$42,[1]CRITERIOS!$M$25:$M$42),
1),
$M338)),
_xlfn.XLOOKUP($A338,[1]CRITERIOS!$L$179:$L$200,[1]CRITERIOS!$M$179:$M$200)),
_xlfn.CEILING.MATH(IF($M338&gt;$E338,
$E338,
IF($M338&lt;$E338/ROUNDDOWN([1]CRITERIOS!$M$16/_xlfn.XLOOKUP($C338,[1]CRITERIOS!$K$25:$K$42,[1]CRITERIOS!$M$25:$M$42),
1),
E338/ROUNDDOWN([1]CRITERIOS!$M$16/_xlfn.XLOOKUP($C338,[1]CRITERIOS!$K$25:$K$42,[1]CRITERIOS!$M$25:$M$42),
1),
$M338)),_xlfn.XLOOKUP(A338,'[1]DATOS PBI Artículos'!A:A,'[1]DATOS PBI Artículos'!Z:Z
)))))</f>
        <v>#N/A</v>
      </c>
      <c r="Q338" s="38" t="e">
        <f>IF(AND(O338="",N338=0),
0,
   IF(COUNTIF([1]CRITERIOS!$F$179:$F$199,$A338)&gt;=1,
   1,
   IF(R338="MTO",
      $D338,
      ROUNDUP(
                    IF(($E338-SUMIF('[1]DATOS PBI Artículos'!A:A,A338,'[1]DATOS PBI Artículos'!X:X)+($V338-_xlfn.XLOOKUP(A338,'[1]DATOS PBI Artículos'!A:A,'[1]DATOS PBI Artículos'!W:W)))&lt;0,
                    0,
                    IF(($E338-SUMIF('[1]DATOS PBI Artículos'!A:A,A338,'[1]DATOS PBI Artículos'!X:X)+$V338-_xlfn.XLOOKUP($A338,'[1]DATOS PBI Artículos'!A:A,'[1]DATOS PBI Artículos'!W:W))/IF($O338="",$N338,$O338)&gt;ROUNDUP([1]CRITERIOS!$M$16/(IF(COUNTIF([1]CRITERIOS!$BG$11:$BG$201,L338)&gt;=1,_xlfn.XLOOKUP($C338,[1]CRITERIOS!$K$25:$K$42,[1]CRITERIOS!$M$25:$M$42),_xlfn.XLOOKUP($C338,[1]CRITERIOS!$K$25:$K$42,[1]CRITERIOS!$M$25:$M$42))),0),
                    ROUNDUP([1]CRITERIOS!$M$16/(IF(COUNTIF([1]CRITERIOS!$BG$11:$BG$201,$L338)&gt;=1,_xlfn.XLOOKUP($C338,[1]CRITERIOS!$K$25:$K$42,[1]CRITERIOS!$M$25:$M$42),_xlfn.XLOOKUP($C338,[1]CRITERIOS!$K$25:$K$42,[1]CRITERIOS!$M$25:$M$42))),0),
                    (E338+V338-SUMIF('[1]DATOS PBI Artículos'!A:A,A338,'[1]DATOS PBI Artículos'!X:X)-_xlfn.XLOOKUP(A338,'[1]DATOS PBI Artículos'!A:A,'[1]DATOS PBI Artículos'!W:W))/IF($O338="",$N338,$O338))),0))))</f>
        <v>#N/A</v>
      </c>
      <c r="R338" s="33" t="e">
        <f>IF(U338&lt;&gt;"",U338,IF(F338="DV","MTO",IF(N338=0,"MTO",_xlfn.XLOOKUP(CONCATENATE(S338,T338),[1]CRITERIOS!$K$160:$K$168,[1]CRITERIOS!$N$160:$N$168))))</f>
        <v>#N/A</v>
      </c>
      <c r="S338" s="33" t="e">
        <f>IF(G338="DV","MTO",IF(N338=0,"MTO",IF(OR(AND(N338=0,O338=""),IF(O338="",G338/N338,G338/O338)&gt;[1]CRITERIOS!$G$163),"MTO",IF(IF(O338="",G338/N338,G338/O338)&lt;[1]CRITERIOS!$H$161,"MTS","MTOS"))))</f>
        <v>#N/A</v>
      </c>
      <c r="T338" s="33" t="e">
        <f>IF(F338="DV","MTO",IF(OR(AND($N338=0,O338=""),$F338/$J338&gt;[1]CRITERIOS!$G$170,$F338="DV"),"MTO",IF($F338/$J338&lt;[1]CRITERIOS!$H$168,"MTS","MTOS")))</f>
        <v>#N/A</v>
      </c>
      <c r="V338" s="34" t="e">
        <f t="shared" si="16"/>
        <v>#N/A</v>
      </c>
      <c r="X338" s="34" t="e">
        <f t="shared" si="17"/>
        <v>#N/A</v>
      </c>
      <c r="Y338" s="34" t="e">
        <f t="shared" si="18"/>
        <v>#N/A</v>
      </c>
      <c r="Z338" s="34" t="e">
        <f>IF($R338="MTO",
0,
($H338+$K338*($E338/[1]CRITERIOS!$M$16))/[1]CRITERIOS!$X$48)</f>
        <v>#N/A</v>
      </c>
      <c r="AA338" s="34" t="e">
        <f>ROUNDUP(($Y338/_xlfn.XLOOKUP($A338,'[1]DATOS PBI Artículos'!$A$4:$A$4,'[1]DATOS PBI Artículos'!$Z$4:$Z$4))/_xlfn.XLOOKUP(_xlfn.XLOOKUP($A338,'[1]DATOS PBI Artículos'!$A$4:$A$4,'[1]DATOS PBI Artículos'!$Y$4:$Y$4),[1]CRITERIOS!$P$79:$P$123,[1]CRITERIOS!$S$79:$S$123,),0)</f>
        <v>#N/A</v>
      </c>
      <c r="AB338" s="33" t="e">
        <f t="array" ref="AB338">IF((E338+V338-_xlfn.XLOOKUP(A338,'[1]DATOS PBI Artículos'!$A$4:$A$4,'[1]DATOS PBI Artículos'!$W$4:$W$4))/N338&gt;ROUNDUP([1]CRITERIOS!$M$16/(IF(COUNTIF([1]CRITERIOS!$BG$11:$BG$201,L338)&gt;=1,_xlfn.XLOOKUP(ARTÍCULOS!L338,[1]CRITERIOS!$BG$11:$BG$201,[1]CRITERIOS!$BJ$11:$BJ$201),_xlfn.XLOOKUP(ARTÍCULOS!C338,[1]CRITERIOS!$K$25:$K$42,[1]CRITERIOS!$M$25:$M$42))),0),ROUNDUP([1]CRITERIOS!$M$16/(IF(COUNTIF([1]CRITERIOS!$BG$11:$BG$201,L338)&gt;=1,_xlfn.XLOOKUP(ARTÍCULOS!L338,[1]CRITERIOS!$BG$11:$BG$201:#REF!,[1]CRITERIOS!$BJ$11:$BJ$201),_xlfn.XLOOKUP(ARTÍCULOS!C338,[1]CRITERIOS!$K$25:$K$42,[1]CRITERIOS!$M$25:$M$42))),0),(E338+V338-_xlfn.XLOOKUP(A338,'[1]DATOS PBI Artículos'!$A$4:$A$4,'[1]DATOS PBI Artículos'!$W$4:$W$4))/N338)</f>
        <v>#N/A</v>
      </c>
      <c r="AC338" s="33" t="e">
        <f>IF(N338=0,"",(ROUNDUP((N338/2)/(_xlfn.XLOOKUP(A338,'[1]DATOS PBI Artículos'!$A$4:$A$4,'[1]DATOS PBI Artículos'!$Z$4:$Z$4)*_xlfn.XLOOKUP(_xlfn.XLOOKUP(A338,'[1]DATOS PBI Artículos'!$A$4:$A$4,'[1]DATOS PBI Artículos'!$Y$4:$Y$4),[1]CRITERIOS!$P$79:$P$123,[1]CRITERIOS!$S$79:$S$123)),0)*[1]CRITERIOS!$M$80*([1]CRITERIOS!$M$110/[1]CRITERIOS!$M$86)+(_xlfn.XLOOKUP(A338,'[1]DATOS PBI Artículos'!$A$4:$A$4,'[1]DATOS PBI Artículos'!$AA$4:$AA$4)*([1]CRITERIOS!$M$95+[1]CRITERIOS!$M$98)))/N338)</f>
        <v>#N/A</v>
      </c>
      <c r="AD338" s="33" t="e">
        <f>IF(N338=0,"",(ROUNDUP((N338/2)/(_xlfn.XLOOKUP(A338,'[1]DATOS PBI Artículos'!$A$4:$A$4,'[1]DATOS PBI Artículos'!$Z$4:$Z$4)*_xlfn.XLOOKUP(_xlfn.XLOOKUP(A338,'[1]DATOS PBI Artículos'!$A$4:$A$4,'[1]DATOS PBI Artículos'!$Y$4:$Y$4),[1]CRITERIOS!$P$79:$P$123,[1]CRITERIOS!$S$79:$S$123)),0)*[1]CRITERIOS!$M$80*([1]CRITERIOS!$M$89*[1]CRITERIOS!$M$92)+((_xlfn.XLOOKUP(A338,'[1]DATOS PBI Artículos'!$A$4:$A$4,'[1]DATOS PBI Artículos'!$AA$4:$AA$4)/2)*([1]CRITERIOS!$M$95+[1]CRITERIOS!$M$98)))/N338)</f>
        <v>#N/A</v>
      </c>
      <c r="AE338" s="39" t="e">
        <f>IF($R338="MTO","",
IF($H338=0,ROUNDUP(((_xlfn.XLOOKUP($A338,'[1]DATOS PBI Artículos'!$A:$A,'[1]DATOS PBI Artículos'!$AL:$AL))/(_xlfn.XLOOKUP($AF$1,[1]CRITERIOS!$S$16:$S$39,[1]CRITERIOS!$Y$16:$Y$39))*$J338+$Z338)/$G338,0)*$G338,
((_xlfn.XLOOKUP($A338,'[1]DATOS PBI Artículos'!$A:$A,'[1]DATOS PBI Artículos'!$AL:$AL))/(_xlfn.XLOOKUP($AF$1,[1]CRITERIOS!$S$16:$S$39,[1]CRITERIOS!$Y$16:$Y$39))*$J338+$Z338)))</f>
        <v>#N/A</v>
      </c>
      <c r="AG338" s="39" t="e">
        <f>IF($R338="MTO","",
IF($H338=0,ROUNDUP(((_xlfn.XLOOKUP($A338,'[1]DATOS PBI Artículos'!$A:$A,'[1]DATOS PBI Artículos'!$AM:$AM))/(_xlfn.XLOOKUP($AH$1,[1]CRITERIOS!$S$16:$S$39,[1]CRITERIOS!$Y$16:$Y$39))*$J338+$Z338)/$G338,0)*$G338,
((_xlfn.XLOOKUP($A338,'[1]DATOS PBI Artículos'!$A:$A,'[1]DATOS PBI Artículos'!$AM:$AM))/(_xlfn.XLOOKUP($AH$1,[1]CRITERIOS!$S$16:$S$39,[1]CRITERIOS!$Y$16:$Y$39))*$J338+$Z338)))</f>
        <v>#N/A</v>
      </c>
      <c r="AI338" s="39" t="e">
        <f>IF($R338="MTO","",
IF($H338=0,ROUNDUP(((_xlfn.XLOOKUP($A338,'[1]DATOS PBI Artículos'!$A:$A,'[1]DATOS PBI Artículos'!$AN:$AN))/(_xlfn.XLOOKUP($AJ$1,[1]CRITERIOS!$S$16:$S$39,[1]CRITERIOS!$Y$16:$Y$39))*$J338+$Z338)/$G338,0)*$G338,
((_xlfn.XLOOKUP($A338,'[1]DATOS PBI Artículos'!$A:$A,'[1]DATOS PBI Artículos'!$AN:$AN))/(_xlfn.XLOOKUP($AJ$1,[1]CRITERIOS!$S$16:$S$39,[1]CRITERIOS!$Y$16:$Y$39))*$J338+$Z338)))</f>
        <v>#N/A</v>
      </c>
      <c r="AK338" s="39" t="e">
        <f>IF($R338="MTO","",
IF($H338=0,ROUNDUP(((_xlfn.XLOOKUP($A338,'[1]DATOS PBI Artículos'!$A:$A,'[1]DATOS PBI Artículos'!$AO:$AO))/(_xlfn.XLOOKUP($AL$1,[1]CRITERIOS!$S$16:$S$39,[1]CRITERIOS!$Y$16:$Y$39))*$J338+$Z338)/$G338,0)*$G338,
((_xlfn.XLOOKUP($A338,'[1]DATOS PBI Artículos'!$A:$A,'[1]DATOS PBI Artículos'!$AO:$AO))/(_xlfn.XLOOKUP($AL$1,[1]CRITERIOS!$S$16:$S$39,[1]CRITERIOS!$Y$16:$Y$39))*$J338+$Z338)))</f>
        <v>#N/A</v>
      </c>
    </row>
    <row r="339" spans="1:37" ht="25.8" hidden="1" x14ac:dyDescent="0.4">
      <c r="A339" s="41"/>
      <c r="B339" s="33">
        <f>_xlfn.XLOOKUP($A339,'[1]DATOS PBI Artículos'!A:A,'[1]DATOS PBI Artículos'!B:B)</f>
        <v>0</v>
      </c>
      <c r="C339" s="33">
        <f>_xlfn.XLOOKUP($A339,'[1]DATOS PBI Artículos'!A:A,'[1]DATOS PBI Artículos'!C:C)</f>
        <v>0</v>
      </c>
      <c r="D339" s="33">
        <f>_xlfn.XLOOKUP(A339,'[1]DATOS PBI Artículos'!A:A,'[1]DATOS PBI Artículos'!T:T)</f>
        <v>0</v>
      </c>
      <c r="E339" s="34">
        <f>IF(_xlfn.XLOOKUP($A339,'[1]DATOS PBI Artículos'!A:A,'[1]DATOS PBI Artículos'!AK:AK)="",_xlfn.XLOOKUP($A339,'[1]DATOS PBI Artículos'!A:A,'[1]DATOS PBI Artículos'!AJ:AJ),_xlfn.XLOOKUP($A339,'[1]DATOS PBI Artículos'!A:A,'[1]DATOS PBI Artículos'!AK:AK))</f>
        <v>0</v>
      </c>
      <c r="F339" s="35">
        <f>_xlfn.XLOOKUP($A339,'[1]DATOS PBI Artículos'!A:A,'[1]DATOS PBI Artículos'!AP:AP)</f>
        <v>0</v>
      </c>
      <c r="G339" s="34">
        <f>_xlfn.XLOOKUP($A339,'[1]DATOS PBI Artículos'!A:A,'[1]DATOS PBI Artículos'!AR:AR)</f>
        <v>0</v>
      </c>
      <c r="H339" s="34">
        <f>_xlfn.XLOOKUP($A339,'[1]DATOS PBI Artículos'!A:A,'[1]DATOS PBI Artículos'!AT:AT)</f>
        <v>0</v>
      </c>
      <c r="I339" s="34">
        <f>_xlfn.XLOOKUP($A339,'[1]DATOS PBI Artículos'!A:A,'[1]DATOS PBI Artículos'!AS:AS)</f>
        <v>0</v>
      </c>
      <c r="J339" s="35">
        <f>IF(COUNTIF([1]CRITERIOS!$F$179:$F$199,$A339)&gt;=1,
 IF(O339&lt;&gt;"",
    (O339/_xlfn.XLOOKUP(CONCATENATE(A339,L339),[1]MÁQUINAS!A:A,[1]MÁQUINAS!D:D))/24,
    (N339/_xlfn.XLOOKUP(CONCATENATE(A339,L339),[1]MÁQUINAS!A:A,[1]MÁQUINAS!D:D))/24),
  _xlfn.XLOOKUP($A339,'[1]DATOS PBI Artículos'!A:A,'[1]DATOS PBI Artículos'!AU:AU))</f>
        <v>0</v>
      </c>
      <c r="K339" s="36">
        <f>_xlfn.XLOOKUP($A339,'[1]DATOS PBI Artículos'!A:A,'[1]DATOS PBI Artículos'!AV:AV)</f>
        <v>0</v>
      </c>
      <c r="L339" s="33">
        <f>_xlfn.XLOOKUP(A339,[1]MÁQUINAS!B:B,[1]MÁQUINAS!C:C)</f>
        <v>0</v>
      </c>
      <c r="M339" s="34">
        <f t="array" ref="M339">_xlfn.XLOOKUP(A339,'[1]DATOS PBI Artículos'!A:A,'[1]DATOS PBI Artículos'!AX:$AX)</f>
        <v>0</v>
      </c>
      <c r="N339" s="37" t="e">
        <f>IF(I339="DV",
E339,
IF(COUNTIF([1]CRITERIOS!$I$179:$I$199,$A339)&gt;=1,
_xlfn.XLOOKUP($A339,[1]CRITERIOS!$I$179:$I$199,[1]CRITERIOS!$J$179:$J$199),
IF(COUNTIF([1]CRITERIOS!$L$179:$L$199,$A339)&gt;=1,
_xlfn.CEILING.MATH(IF($M339&gt;$E339,
$E339,
IF($M339&lt;$E339/ROUNDDOWN([1]CRITERIOS!$M$16/_xlfn.XLOOKUP($C339,[1]CRITERIOS!$K$25:$K$42,[1]CRITERIOS!$M$25:$M$42),
1),
E339/ROUNDDOWN([1]CRITERIOS!$M$16/_xlfn.XLOOKUP($C339,[1]CRITERIOS!$K$25:$K$42,[1]CRITERIOS!$M$25:$M$42),
1),
$M339)),
_xlfn.XLOOKUP($A339,[1]CRITERIOS!$L$179:$L$200,[1]CRITERIOS!$M$179:$M$200)),
_xlfn.CEILING.MATH(IF($M339&gt;$E339,
$E339,
IF($M339&lt;$E339/ROUNDDOWN([1]CRITERIOS!$M$16/_xlfn.XLOOKUP($C339,[1]CRITERIOS!$K$25:$K$42,[1]CRITERIOS!$M$25:$M$42),
1),
E339/ROUNDDOWN([1]CRITERIOS!$M$16/_xlfn.XLOOKUP($C339,[1]CRITERIOS!$K$25:$K$42,[1]CRITERIOS!$M$25:$M$42),
1),
$M339)),_xlfn.XLOOKUP(A339,'[1]DATOS PBI Artículos'!A:A,'[1]DATOS PBI Artículos'!Z:Z
)))))</f>
        <v>#N/A</v>
      </c>
      <c r="Q339" s="38" t="e">
        <f>IF(AND(O339="",N339=0),
0,
   IF(COUNTIF([1]CRITERIOS!$F$179:$F$199,$A339)&gt;=1,
   1,
   IF(R339="MTO",
      $D339,
      ROUNDUP(
                    IF(($E339-SUMIF('[1]DATOS PBI Artículos'!A:A,A339,'[1]DATOS PBI Artículos'!X:X)+($V339-_xlfn.XLOOKUP(A339,'[1]DATOS PBI Artículos'!A:A,'[1]DATOS PBI Artículos'!W:W)))&lt;0,
                    0,
                    IF(($E339-SUMIF('[1]DATOS PBI Artículos'!A:A,A339,'[1]DATOS PBI Artículos'!X:X)+$V339-_xlfn.XLOOKUP($A339,'[1]DATOS PBI Artículos'!A:A,'[1]DATOS PBI Artículos'!W:W))/IF($O339="",$N339,$O339)&gt;ROUNDUP([1]CRITERIOS!$M$16/(IF(COUNTIF([1]CRITERIOS!$BG$11:$BG$201,L339)&gt;=1,_xlfn.XLOOKUP($C339,[1]CRITERIOS!$K$25:$K$42,[1]CRITERIOS!$M$25:$M$42),_xlfn.XLOOKUP($C339,[1]CRITERIOS!$K$25:$K$42,[1]CRITERIOS!$M$25:$M$42))),0),
                    ROUNDUP([1]CRITERIOS!$M$16/(IF(COUNTIF([1]CRITERIOS!$BG$11:$BG$201,$L339)&gt;=1,_xlfn.XLOOKUP($C339,[1]CRITERIOS!$K$25:$K$42,[1]CRITERIOS!$M$25:$M$42),_xlfn.XLOOKUP($C339,[1]CRITERIOS!$K$25:$K$42,[1]CRITERIOS!$M$25:$M$42))),0),
                    (E339+V339-SUMIF('[1]DATOS PBI Artículos'!A:A,A339,'[1]DATOS PBI Artículos'!X:X)-_xlfn.XLOOKUP(A339,'[1]DATOS PBI Artículos'!A:A,'[1]DATOS PBI Artículos'!W:W))/IF($O339="",$N339,$O339))),0))))</f>
        <v>#N/A</v>
      </c>
      <c r="R339" s="33" t="e">
        <f>IF(U339&lt;&gt;"",U339,IF(F339="DV","MTO",IF(N339=0,"MTO",_xlfn.XLOOKUP(CONCATENATE(S339,T339),[1]CRITERIOS!$K$160:$K$168,[1]CRITERIOS!$N$160:$N$168))))</f>
        <v>#N/A</v>
      </c>
      <c r="S339" s="33" t="e">
        <f>IF(G339="DV","MTO",IF(N339=0,"MTO",IF(OR(AND(N339=0,O339=""),IF(O339="",G339/N339,G339/O339)&gt;[1]CRITERIOS!$G$163),"MTO",IF(IF(O339="",G339/N339,G339/O339)&lt;[1]CRITERIOS!$H$161,"MTS","MTOS"))))</f>
        <v>#N/A</v>
      </c>
      <c r="T339" s="33" t="e">
        <f>IF(F339="DV","MTO",IF(OR(AND($N339=0,O339=""),$F339/$J339&gt;[1]CRITERIOS!$G$170,$F339="DV"),"MTO",IF($F339/$J339&lt;[1]CRITERIOS!$H$168,"MTS","MTOS")))</f>
        <v>#N/A</v>
      </c>
      <c r="V339" s="34" t="e">
        <f t="shared" si="16"/>
        <v>#N/A</v>
      </c>
      <c r="X339" s="34" t="e">
        <f t="shared" si="17"/>
        <v>#N/A</v>
      </c>
      <c r="Y339" s="34" t="e">
        <f t="shared" si="18"/>
        <v>#N/A</v>
      </c>
      <c r="Z339" s="34" t="e">
        <f>IF($R339="MTO",
0,
($H339+$K339*($E339/[1]CRITERIOS!$M$16))/[1]CRITERIOS!$X$48)</f>
        <v>#N/A</v>
      </c>
      <c r="AA339" s="34" t="e">
        <f>ROUNDUP(($Y339/_xlfn.XLOOKUP($A339,'[1]DATOS PBI Artículos'!$A$4:$A$4,'[1]DATOS PBI Artículos'!$Z$4:$Z$4))/_xlfn.XLOOKUP(_xlfn.XLOOKUP($A339,'[1]DATOS PBI Artículos'!$A$4:$A$4,'[1]DATOS PBI Artículos'!$Y$4:$Y$4),[1]CRITERIOS!$P$79:$P$123,[1]CRITERIOS!$S$79:$S$123,),0)</f>
        <v>#N/A</v>
      </c>
      <c r="AB339" s="33" t="e">
        <f t="array" ref="AB339">IF((E339+V339-_xlfn.XLOOKUP(A339,'[1]DATOS PBI Artículos'!$A$4:$A$4,'[1]DATOS PBI Artículos'!$W$4:$W$4))/N339&gt;ROUNDUP([1]CRITERIOS!$M$16/(IF(COUNTIF([1]CRITERIOS!$BG$11:$BG$201,L339)&gt;=1,_xlfn.XLOOKUP(ARTÍCULOS!L339,[1]CRITERIOS!$BG$11:$BG$201,[1]CRITERIOS!$BJ$11:$BJ$201),_xlfn.XLOOKUP(ARTÍCULOS!C339,[1]CRITERIOS!$K$25:$K$42,[1]CRITERIOS!$M$25:$M$42))),0),ROUNDUP([1]CRITERIOS!$M$16/(IF(COUNTIF([1]CRITERIOS!$BG$11:$BG$201,L339)&gt;=1,_xlfn.XLOOKUP(ARTÍCULOS!L339,[1]CRITERIOS!$BG$11:$BG$201:#REF!,[1]CRITERIOS!$BJ$11:$BJ$201),_xlfn.XLOOKUP(ARTÍCULOS!C339,[1]CRITERIOS!$K$25:$K$42,[1]CRITERIOS!$M$25:$M$42))),0),(E339+V339-_xlfn.XLOOKUP(A339,'[1]DATOS PBI Artículos'!$A$4:$A$4,'[1]DATOS PBI Artículos'!$W$4:$W$4))/N339)</f>
        <v>#N/A</v>
      </c>
      <c r="AC339" s="33" t="e">
        <f>IF(N339=0,"",(ROUNDUP((N339/2)/(_xlfn.XLOOKUP(A339,'[1]DATOS PBI Artículos'!$A$4:$A$4,'[1]DATOS PBI Artículos'!$Z$4:$Z$4)*_xlfn.XLOOKUP(_xlfn.XLOOKUP(A339,'[1]DATOS PBI Artículos'!$A$4:$A$4,'[1]DATOS PBI Artículos'!$Y$4:$Y$4),[1]CRITERIOS!$P$79:$P$123,[1]CRITERIOS!$S$79:$S$123)),0)*[1]CRITERIOS!$M$80*([1]CRITERIOS!$M$110/[1]CRITERIOS!$M$86)+(_xlfn.XLOOKUP(A339,'[1]DATOS PBI Artículos'!$A$4:$A$4,'[1]DATOS PBI Artículos'!$AA$4:$AA$4)*([1]CRITERIOS!$M$95+[1]CRITERIOS!$M$98)))/N339)</f>
        <v>#N/A</v>
      </c>
      <c r="AD339" s="33" t="e">
        <f>IF(N339=0,"",(ROUNDUP((N339/2)/(_xlfn.XLOOKUP(A339,'[1]DATOS PBI Artículos'!$A$4:$A$4,'[1]DATOS PBI Artículos'!$Z$4:$Z$4)*_xlfn.XLOOKUP(_xlfn.XLOOKUP(A339,'[1]DATOS PBI Artículos'!$A$4:$A$4,'[1]DATOS PBI Artículos'!$Y$4:$Y$4),[1]CRITERIOS!$P$79:$P$123,[1]CRITERIOS!$S$79:$S$123)),0)*[1]CRITERIOS!$M$80*([1]CRITERIOS!$M$89*[1]CRITERIOS!$M$92)+((_xlfn.XLOOKUP(A339,'[1]DATOS PBI Artículos'!$A$4:$A$4,'[1]DATOS PBI Artículos'!$AA$4:$AA$4)/2)*([1]CRITERIOS!$M$95+[1]CRITERIOS!$M$98)))/N339)</f>
        <v>#N/A</v>
      </c>
      <c r="AE339" s="39" t="e">
        <f>IF($R339="MTO","",
IF($H339=0,ROUNDUP(((_xlfn.XLOOKUP($A339,'[1]DATOS PBI Artículos'!$A:$A,'[1]DATOS PBI Artículos'!$AL:$AL))/(_xlfn.XLOOKUP($AF$1,[1]CRITERIOS!$S$16:$S$39,[1]CRITERIOS!$Y$16:$Y$39))*$J339+$Z339)/$G339,0)*$G339,
((_xlfn.XLOOKUP($A339,'[1]DATOS PBI Artículos'!$A:$A,'[1]DATOS PBI Artículos'!$AL:$AL))/(_xlfn.XLOOKUP($AF$1,[1]CRITERIOS!$S$16:$S$39,[1]CRITERIOS!$Y$16:$Y$39))*$J339+$Z339)))</f>
        <v>#N/A</v>
      </c>
      <c r="AG339" s="39" t="e">
        <f>IF($R339="MTO","",
IF($H339=0,ROUNDUP(((_xlfn.XLOOKUP($A339,'[1]DATOS PBI Artículos'!$A:$A,'[1]DATOS PBI Artículos'!$AM:$AM))/(_xlfn.XLOOKUP($AH$1,[1]CRITERIOS!$S$16:$S$39,[1]CRITERIOS!$Y$16:$Y$39))*$J339+$Z339)/$G339,0)*$G339,
((_xlfn.XLOOKUP($A339,'[1]DATOS PBI Artículos'!$A:$A,'[1]DATOS PBI Artículos'!$AM:$AM))/(_xlfn.XLOOKUP($AH$1,[1]CRITERIOS!$S$16:$S$39,[1]CRITERIOS!$Y$16:$Y$39))*$J339+$Z339)))</f>
        <v>#N/A</v>
      </c>
      <c r="AI339" s="39" t="e">
        <f>IF($R339="MTO","",
IF($H339=0,ROUNDUP(((_xlfn.XLOOKUP($A339,'[1]DATOS PBI Artículos'!$A:$A,'[1]DATOS PBI Artículos'!$AN:$AN))/(_xlfn.XLOOKUP($AJ$1,[1]CRITERIOS!$S$16:$S$39,[1]CRITERIOS!$Y$16:$Y$39))*$J339+$Z339)/$G339,0)*$G339,
((_xlfn.XLOOKUP($A339,'[1]DATOS PBI Artículos'!$A:$A,'[1]DATOS PBI Artículos'!$AN:$AN))/(_xlfn.XLOOKUP($AJ$1,[1]CRITERIOS!$S$16:$S$39,[1]CRITERIOS!$Y$16:$Y$39))*$J339+$Z339)))</f>
        <v>#N/A</v>
      </c>
      <c r="AK339" s="39" t="e">
        <f>IF($R339="MTO","",
IF($H339=0,ROUNDUP(((_xlfn.XLOOKUP($A339,'[1]DATOS PBI Artículos'!$A:$A,'[1]DATOS PBI Artículos'!$AO:$AO))/(_xlfn.XLOOKUP($AL$1,[1]CRITERIOS!$S$16:$S$39,[1]CRITERIOS!$Y$16:$Y$39))*$J339+$Z339)/$G339,0)*$G339,
((_xlfn.XLOOKUP($A339,'[1]DATOS PBI Artículos'!$A:$A,'[1]DATOS PBI Artículos'!$AO:$AO))/(_xlfn.XLOOKUP($AL$1,[1]CRITERIOS!$S$16:$S$39,[1]CRITERIOS!$Y$16:$Y$39))*$J339+$Z339)))</f>
        <v>#N/A</v>
      </c>
    </row>
    <row r="340" spans="1:37" ht="25.8" hidden="1" x14ac:dyDescent="0.4">
      <c r="A340" s="41"/>
      <c r="B340" s="33">
        <f>_xlfn.XLOOKUP($A340,'[1]DATOS PBI Artículos'!A:A,'[1]DATOS PBI Artículos'!B:B)</f>
        <v>0</v>
      </c>
      <c r="C340" s="33">
        <f>_xlfn.XLOOKUP($A340,'[1]DATOS PBI Artículos'!A:A,'[1]DATOS PBI Artículos'!C:C)</f>
        <v>0</v>
      </c>
      <c r="D340" s="33">
        <f>_xlfn.XLOOKUP(A340,'[1]DATOS PBI Artículos'!A:A,'[1]DATOS PBI Artículos'!T:T)</f>
        <v>0</v>
      </c>
      <c r="E340" s="34">
        <f>IF(_xlfn.XLOOKUP($A340,'[1]DATOS PBI Artículos'!A:A,'[1]DATOS PBI Artículos'!AK:AK)="",_xlfn.XLOOKUP($A340,'[1]DATOS PBI Artículos'!A:A,'[1]DATOS PBI Artículos'!AJ:AJ),_xlfn.XLOOKUP($A340,'[1]DATOS PBI Artículos'!A:A,'[1]DATOS PBI Artículos'!AK:AK))</f>
        <v>0</v>
      </c>
      <c r="F340" s="35">
        <f>_xlfn.XLOOKUP($A340,'[1]DATOS PBI Artículos'!A:A,'[1]DATOS PBI Artículos'!AP:AP)</f>
        <v>0</v>
      </c>
      <c r="G340" s="34">
        <f>_xlfn.XLOOKUP($A340,'[1]DATOS PBI Artículos'!A:A,'[1]DATOS PBI Artículos'!AR:AR)</f>
        <v>0</v>
      </c>
      <c r="H340" s="34">
        <f>_xlfn.XLOOKUP($A340,'[1]DATOS PBI Artículos'!A:A,'[1]DATOS PBI Artículos'!AT:AT)</f>
        <v>0</v>
      </c>
      <c r="I340" s="34">
        <f>_xlfn.XLOOKUP($A340,'[1]DATOS PBI Artículos'!A:A,'[1]DATOS PBI Artículos'!AS:AS)</f>
        <v>0</v>
      </c>
      <c r="J340" s="35">
        <f>IF(COUNTIF([1]CRITERIOS!$F$179:$F$199,$A340)&gt;=1,
 IF(O340&lt;&gt;"",
    (O340/_xlfn.XLOOKUP(CONCATENATE(A340,L340),[1]MÁQUINAS!A:A,[1]MÁQUINAS!D:D))/24,
    (N340/_xlfn.XLOOKUP(CONCATENATE(A340,L340),[1]MÁQUINAS!A:A,[1]MÁQUINAS!D:D))/24),
  _xlfn.XLOOKUP($A340,'[1]DATOS PBI Artículos'!A:A,'[1]DATOS PBI Artículos'!AU:AU))</f>
        <v>0</v>
      </c>
      <c r="K340" s="36">
        <f>_xlfn.XLOOKUP($A340,'[1]DATOS PBI Artículos'!A:A,'[1]DATOS PBI Artículos'!AV:AV)</f>
        <v>0</v>
      </c>
      <c r="L340" s="33">
        <f>_xlfn.XLOOKUP(A340,[1]MÁQUINAS!B:B,[1]MÁQUINAS!C:C)</f>
        <v>0</v>
      </c>
      <c r="M340" s="34">
        <f t="array" ref="M340">_xlfn.XLOOKUP(A340,'[1]DATOS PBI Artículos'!A:A,'[1]DATOS PBI Artículos'!AX:$AX)</f>
        <v>0</v>
      </c>
      <c r="N340" s="37" t="e">
        <f>IF(I340="DV",
E340,
IF(COUNTIF([1]CRITERIOS!$I$179:$I$199,$A340)&gt;=1,
_xlfn.XLOOKUP($A340,[1]CRITERIOS!$I$179:$I$199,[1]CRITERIOS!$J$179:$J$199),
IF(COUNTIF([1]CRITERIOS!$L$179:$L$199,$A340)&gt;=1,
_xlfn.CEILING.MATH(IF($M340&gt;$E340,
$E340,
IF($M340&lt;$E340/ROUNDDOWN([1]CRITERIOS!$M$16/_xlfn.XLOOKUP($C340,[1]CRITERIOS!$K$25:$K$42,[1]CRITERIOS!$M$25:$M$42),
1),
E340/ROUNDDOWN([1]CRITERIOS!$M$16/_xlfn.XLOOKUP($C340,[1]CRITERIOS!$K$25:$K$42,[1]CRITERIOS!$M$25:$M$42),
1),
$M340)),
_xlfn.XLOOKUP($A340,[1]CRITERIOS!$L$179:$L$200,[1]CRITERIOS!$M$179:$M$200)),
_xlfn.CEILING.MATH(IF($M340&gt;$E340,
$E340,
IF($M340&lt;$E340/ROUNDDOWN([1]CRITERIOS!$M$16/_xlfn.XLOOKUP($C340,[1]CRITERIOS!$K$25:$K$42,[1]CRITERIOS!$M$25:$M$42),
1),
E340/ROUNDDOWN([1]CRITERIOS!$M$16/_xlfn.XLOOKUP($C340,[1]CRITERIOS!$K$25:$K$42,[1]CRITERIOS!$M$25:$M$42),
1),
$M340)),_xlfn.XLOOKUP(A340,'[1]DATOS PBI Artículos'!A:A,'[1]DATOS PBI Artículos'!Z:Z
)))))</f>
        <v>#N/A</v>
      </c>
      <c r="Q340" s="38" t="e">
        <f>IF(AND(O340="",N340=0),
0,
   IF(COUNTIF([1]CRITERIOS!$F$179:$F$199,$A340)&gt;=1,
   1,
   IF(R340="MTO",
      $D340,
      ROUNDUP(
                    IF(($E340-SUMIF('[1]DATOS PBI Artículos'!A:A,A340,'[1]DATOS PBI Artículos'!X:X)+($V340-_xlfn.XLOOKUP(A340,'[1]DATOS PBI Artículos'!A:A,'[1]DATOS PBI Artículos'!W:W)))&lt;0,
                    0,
                    IF(($E340-SUMIF('[1]DATOS PBI Artículos'!A:A,A340,'[1]DATOS PBI Artículos'!X:X)+$V340-_xlfn.XLOOKUP($A340,'[1]DATOS PBI Artículos'!A:A,'[1]DATOS PBI Artículos'!W:W))/IF($O340="",$N340,$O340)&gt;ROUNDUP([1]CRITERIOS!$M$16/(IF(COUNTIF([1]CRITERIOS!$BG$11:$BG$201,L340)&gt;=1,_xlfn.XLOOKUP($C340,[1]CRITERIOS!$K$25:$K$42,[1]CRITERIOS!$M$25:$M$42),_xlfn.XLOOKUP($C340,[1]CRITERIOS!$K$25:$K$42,[1]CRITERIOS!$M$25:$M$42))),0),
                    ROUNDUP([1]CRITERIOS!$M$16/(IF(COUNTIF([1]CRITERIOS!$BG$11:$BG$201,$L340)&gt;=1,_xlfn.XLOOKUP($C340,[1]CRITERIOS!$K$25:$K$42,[1]CRITERIOS!$M$25:$M$42),_xlfn.XLOOKUP($C340,[1]CRITERIOS!$K$25:$K$42,[1]CRITERIOS!$M$25:$M$42))),0),
                    (E340+V340-SUMIF('[1]DATOS PBI Artículos'!A:A,A340,'[1]DATOS PBI Artículos'!X:X)-_xlfn.XLOOKUP(A340,'[1]DATOS PBI Artículos'!A:A,'[1]DATOS PBI Artículos'!W:W))/IF($O340="",$N340,$O340))),0))))</f>
        <v>#N/A</v>
      </c>
      <c r="R340" s="33" t="e">
        <f>IF(U340&lt;&gt;"",U340,IF(F340="DV","MTO",IF(N340=0,"MTO",_xlfn.XLOOKUP(CONCATENATE(S340,T340),[1]CRITERIOS!$K$160:$K$168,[1]CRITERIOS!$N$160:$N$168))))</f>
        <v>#N/A</v>
      </c>
      <c r="S340" s="33" t="e">
        <f>IF(G340="DV","MTO",IF(N340=0,"MTO",IF(OR(AND(N340=0,O340=""),IF(O340="",G340/N340,G340/O340)&gt;[1]CRITERIOS!$G$163),"MTO",IF(IF(O340="",G340/N340,G340/O340)&lt;[1]CRITERIOS!$H$161,"MTS","MTOS"))))</f>
        <v>#N/A</v>
      </c>
      <c r="T340" s="33" t="e">
        <f>IF(F340="DV","MTO",IF(OR(AND($N340=0,O340=""),$F340/$J340&gt;[1]CRITERIOS!$G$170,$F340="DV"),"MTO",IF($F340/$J340&lt;[1]CRITERIOS!$H$168,"MTS","MTOS")))</f>
        <v>#N/A</v>
      </c>
      <c r="V340" s="34" t="e">
        <f t="shared" si="16"/>
        <v>#N/A</v>
      </c>
      <c r="X340" s="34" t="e">
        <f t="shared" si="17"/>
        <v>#N/A</v>
      </c>
      <c r="Y340" s="34" t="e">
        <f t="shared" si="18"/>
        <v>#N/A</v>
      </c>
      <c r="Z340" s="34" t="e">
        <f>IF($R340="MTO",
0,
($H340+$K340*($E340/[1]CRITERIOS!$M$16))/[1]CRITERIOS!$X$48)</f>
        <v>#N/A</v>
      </c>
      <c r="AA340" s="34" t="e">
        <f>ROUNDUP(($Y340/_xlfn.XLOOKUP($A340,'[1]DATOS PBI Artículos'!$A$4:$A$4,'[1]DATOS PBI Artículos'!$Z$4:$Z$4))/_xlfn.XLOOKUP(_xlfn.XLOOKUP($A340,'[1]DATOS PBI Artículos'!$A$4:$A$4,'[1]DATOS PBI Artículos'!$Y$4:$Y$4),[1]CRITERIOS!$P$79:$P$123,[1]CRITERIOS!$S$79:$S$123,),0)</f>
        <v>#N/A</v>
      </c>
      <c r="AB340" s="33" t="e">
        <f t="array" ref="AB340">IF((E340+V340-_xlfn.XLOOKUP(A340,'[1]DATOS PBI Artículos'!$A$4:$A$4,'[1]DATOS PBI Artículos'!$W$4:$W$4))/N340&gt;ROUNDUP([1]CRITERIOS!$M$16/(IF(COUNTIF([1]CRITERIOS!$BG$11:$BG$201,L340)&gt;=1,_xlfn.XLOOKUP(ARTÍCULOS!L340,[1]CRITERIOS!$BG$11:$BG$201,[1]CRITERIOS!$BJ$11:$BJ$201),_xlfn.XLOOKUP(ARTÍCULOS!C340,[1]CRITERIOS!$K$25:$K$42,[1]CRITERIOS!$M$25:$M$42))),0),ROUNDUP([1]CRITERIOS!$M$16/(IF(COUNTIF([1]CRITERIOS!$BG$11:$BG$201,L340)&gt;=1,_xlfn.XLOOKUP(ARTÍCULOS!L340,[1]CRITERIOS!$BG$11:$BG$201:#REF!,[1]CRITERIOS!$BJ$11:$BJ$201),_xlfn.XLOOKUP(ARTÍCULOS!C340,[1]CRITERIOS!$K$25:$K$42,[1]CRITERIOS!$M$25:$M$42))),0),(E340+V340-_xlfn.XLOOKUP(A340,'[1]DATOS PBI Artículos'!$A$4:$A$4,'[1]DATOS PBI Artículos'!$W$4:$W$4))/N340)</f>
        <v>#N/A</v>
      </c>
      <c r="AC340" s="33" t="e">
        <f>IF(N340=0,"",(ROUNDUP((N340/2)/(_xlfn.XLOOKUP(A340,'[1]DATOS PBI Artículos'!$A$4:$A$4,'[1]DATOS PBI Artículos'!$Z$4:$Z$4)*_xlfn.XLOOKUP(_xlfn.XLOOKUP(A340,'[1]DATOS PBI Artículos'!$A$4:$A$4,'[1]DATOS PBI Artículos'!$Y$4:$Y$4),[1]CRITERIOS!$P$79:$P$123,[1]CRITERIOS!$S$79:$S$123)),0)*[1]CRITERIOS!$M$80*([1]CRITERIOS!$M$110/[1]CRITERIOS!$M$86)+(_xlfn.XLOOKUP(A340,'[1]DATOS PBI Artículos'!$A$4:$A$4,'[1]DATOS PBI Artículos'!$AA$4:$AA$4)*([1]CRITERIOS!$M$95+[1]CRITERIOS!$M$98)))/N340)</f>
        <v>#N/A</v>
      </c>
      <c r="AD340" s="33" t="e">
        <f>IF(N340=0,"",(ROUNDUP((N340/2)/(_xlfn.XLOOKUP(A340,'[1]DATOS PBI Artículos'!$A$4:$A$4,'[1]DATOS PBI Artículos'!$Z$4:$Z$4)*_xlfn.XLOOKUP(_xlfn.XLOOKUP(A340,'[1]DATOS PBI Artículos'!$A$4:$A$4,'[1]DATOS PBI Artículos'!$Y$4:$Y$4),[1]CRITERIOS!$P$79:$P$123,[1]CRITERIOS!$S$79:$S$123)),0)*[1]CRITERIOS!$M$80*([1]CRITERIOS!$M$89*[1]CRITERIOS!$M$92)+((_xlfn.XLOOKUP(A340,'[1]DATOS PBI Artículos'!$A$4:$A$4,'[1]DATOS PBI Artículos'!$AA$4:$AA$4)/2)*([1]CRITERIOS!$M$95+[1]CRITERIOS!$M$98)))/N340)</f>
        <v>#N/A</v>
      </c>
      <c r="AE340" s="39" t="e">
        <f>IF($R340="MTO","",
IF($H340=0,ROUNDUP(((_xlfn.XLOOKUP($A340,'[1]DATOS PBI Artículos'!$A:$A,'[1]DATOS PBI Artículos'!$AL:$AL))/(_xlfn.XLOOKUP($AF$1,[1]CRITERIOS!$S$16:$S$39,[1]CRITERIOS!$Y$16:$Y$39))*$J340+$Z340)/$G340,0)*$G340,
((_xlfn.XLOOKUP($A340,'[1]DATOS PBI Artículos'!$A:$A,'[1]DATOS PBI Artículos'!$AL:$AL))/(_xlfn.XLOOKUP($AF$1,[1]CRITERIOS!$S$16:$S$39,[1]CRITERIOS!$Y$16:$Y$39))*$J340+$Z340)))</f>
        <v>#N/A</v>
      </c>
      <c r="AG340" s="39" t="e">
        <f>IF($R340="MTO","",
IF($H340=0,ROUNDUP(((_xlfn.XLOOKUP($A340,'[1]DATOS PBI Artículos'!$A:$A,'[1]DATOS PBI Artículos'!$AM:$AM))/(_xlfn.XLOOKUP($AH$1,[1]CRITERIOS!$S$16:$S$39,[1]CRITERIOS!$Y$16:$Y$39))*$J340+$Z340)/$G340,0)*$G340,
((_xlfn.XLOOKUP($A340,'[1]DATOS PBI Artículos'!$A:$A,'[1]DATOS PBI Artículos'!$AM:$AM))/(_xlfn.XLOOKUP($AH$1,[1]CRITERIOS!$S$16:$S$39,[1]CRITERIOS!$Y$16:$Y$39))*$J340+$Z340)))</f>
        <v>#N/A</v>
      </c>
      <c r="AI340" s="39" t="e">
        <f>IF($R340="MTO","",
IF($H340=0,ROUNDUP(((_xlfn.XLOOKUP($A340,'[1]DATOS PBI Artículos'!$A:$A,'[1]DATOS PBI Artículos'!$AN:$AN))/(_xlfn.XLOOKUP($AJ$1,[1]CRITERIOS!$S$16:$S$39,[1]CRITERIOS!$Y$16:$Y$39))*$J340+$Z340)/$G340,0)*$G340,
((_xlfn.XLOOKUP($A340,'[1]DATOS PBI Artículos'!$A:$A,'[1]DATOS PBI Artículos'!$AN:$AN))/(_xlfn.XLOOKUP($AJ$1,[1]CRITERIOS!$S$16:$S$39,[1]CRITERIOS!$Y$16:$Y$39))*$J340+$Z340)))</f>
        <v>#N/A</v>
      </c>
      <c r="AK340" s="39" t="e">
        <f>IF($R340="MTO","",
IF($H340=0,ROUNDUP(((_xlfn.XLOOKUP($A340,'[1]DATOS PBI Artículos'!$A:$A,'[1]DATOS PBI Artículos'!$AO:$AO))/(_xlfn.XLOOKUP($AL$1,[1]CRITERIOS!$S$16:$S$39,[1]CRITERIOS!$Y$16:$Y$39))*$J340+$Z340)/$G340,0)*$G340,
((_xlfn.XLOOKUP($A340,'[1]DATOS PBI Artículos'!$A:$A,'[1]DATOS PBI Artículos'!$AO:$AO))/(_xlfn.XLOOKUP($AL$1,[1]CRITERIOS!$S$16:$S$39,[1]CRITERIOS!$Y$16:$Y$39))*$J340+$Z340)))</f>
        <v>#N/A</v>
      </c>
    </row>
    <row r="341" spans="1:37" ht="25.8" hidden="1" x14ac:dyDescent="0.4">
      <c r="A341" s="41"/>
      <c r="B341" s="33">
        <f>_xlfn.XLOOKUP($A341,'[1]DATOS PBI Artículos'!A:A,'[1]DATOS PBI Artículos'!B:B)</f>
        <v>0</v>
      </c>
      <c r="C341" s="33">
        <f>_xlfn.XLOOKUP($A341,'[1]DATOS PBI Artículos'!A:A,'[1]DATOS PBI Artículos'!C:C)</f>
        <v>0</v>
      </c>
      <c r="D341" s="33">
        <f>_xlfn.XLOOKUP(A341,'[1]DATOS PBI Artículos'!A:A,'[1]DATOS PBI Artículos'!T:T)</f>
        <v>0</v>
      </c>
      <c r="E341" s="34">
        <f>IF(_xlfn.XLOOKUP($A341,'[1]DATOS PBI Artículos'!A:A,'[1]DATOS PBI Artículos'!AK:AK)="",_xlfn.XLOOKUP($A341,'[1]DATOS PBI Artículos'!A:A,'[1]DATOS PBI Artículos'!AJ:AJ),_xlfn.XLOOKUP($A341,'[1]DATOS PBI Artículos'!A:A,'[1]DATOS PBI Artículos'!AK:AK))</f>
        <v>0</v>
      </c>
      <c r="F341" s="35">
        <f>_xlfn.XLOOKUP($A341,'[1]DATOS PBI Artículos'!A:A,'[1]DATOS PBI Artículos'!AP:AP)</f>
        <v>0</v>
      </c>
      <c r="G341" s="34">
        <f>_xlfn.XLOOKUP($A341,'[1]DATOS PBI Artículos'!A:A,'[1]DATOS PBI Artículos'!AR:AR)</f>
        <v>0</v>
      </c>
      <c r="H341" s="34">
        <f>_xlfn.XLOOKUP($A341,'[1]DATOS PBI Artículos'!A:A,'[1]DATOS PBI Artículos'!AT:AT)</f>
        <v>0</v>
      </c>
      <c r="I341" s="34">
        <f>_xlfn.XLOOKUP($A341,'[1]DATOS PBI Artículos'!A:A,'[1]DATOS PBI Artículos'!AS:AS)</f>
        <v>0</v>
      </c>
      <c r="J341" s="35">
        <f>IF(COUNTIF([1]CRITERIOS!$F$179:$F$199,$A341)&gt;=1,
 IF(O341&lt;&gt;"",
    (O341/_xlfn.XLOOKUP(CONCATENATE(A341,L341),[1]MÁQUINAS!A:A,[1]MÁQUINAS!D:D))/24,
    (N341/_xlfn.XLOOKUP(CONCATENATE(A341,L341),[1]MÁQUINAS!A:A,[1]MÁQUINAS!D:D))/24),
  _xlfn.XLOOKUP($A341,'[1]DATOS PBI Artículos'!A:A,'[1]DATOS PBI Artículos'!AU:AU))</f>
        <v>0</v>
      </c>
      <c r="K341" s="36">
        <f>_xlfn.XLOOKUP($A341,'[1]DATOS PBI Artículos'!A:A,'[1]DATOS PBI Artículos'!AV:AV)</f>
        <v>0</v>
      </c>
      <c r="L341" s="33">
        <f>_xlfn.XLOOKUP(A341,[1]MÁQUINAS!B:B,[1]MÁQUINAS!C:C)</f>
        <v>0</v>
      </c>
      <c r="M341" s="34">
        <f t="array" ref="M341">_xlfn.XLOOKUP(A341,'[1]DATOS PBI Artículos'!A:A,'[1]DATOS PBI Artículos'!AX:$AX)</f>
        <v>0</v>
      </c>
      <c r="N341" s="37" t="e">
        <f>IF(I341="DV",
E341,
IF(COUNTIF([1]CRITERIOS!$I$179:$I$199,$A341)&gt;=1,
_xlfn.XLOOKUP($A341,[1]CRITERIOS!$I$179:$I$199,[1]CRITERIOS!$J$179:$J$199),
IF(COUNTIF([1]CRITERIOS!$L$179:$L$199,$A341)&gt;=1,
_xlfn.CEILING.MATH(IF($M341&gt;$E341,
$E341,
IF($M341&lt;$E341/ROUNDDOWN([1]CRITERIOS!$M$16/_xlfn.XLOOKUP($C341,[1]CRITERIOS!$K$25:$K$42,[1]CRITERIOS!$M$25:$M$42),
1),
E341/ROUNDDOWN([1]CRITERIOS!$M$16/_xlfn.XLOOKUP($C341,[1]CRITERIOS!$K$25:$K$42,[1]CRITERIOS!$M$25:$M$42),
1),
$M341)),
_xlfn.XLOOKUP($A341,[1]CRITERIOS!$L$179:$L$200,[1]CRITERIOS!$M$179:$M$200)),
_xlfn.CEILING.MATH(IF($M341&gt;$E341,
$E341,
IF($M341&lt;$E341/ROUNDDOWN([1]CRITERIOS!$M$16/_xlfn.XLOOKUP($C341,[1]CRITERIOS!$K$25:$K$42,[1]CRITERIOS!$M$25:$M$42),
1),
E341/ROUNDDOWN([1]CRITERIOS!$M$16/_xlfn.XLOOKUP($C341,[1]CRITERIOS!$K$25:$K$42,[1]CRITERIOS!$M$25:$M$42),
1),
$M341)),_xlfn.XLOOKUP(A341,'[1]DATOS PBI Artículos'!A:A,'[1]DATOS PBI Artículos'!Z:Z
)))))</f>
        <v>#N/A</v>
      </c>
      <c r="Q341" s="38" t="e">
        <f>IF(AND(O341="",N341=0),
0,
   IF(COUNTIF([1]CRITERIOS!$F$179:$F$199,$A341)&gt;=1,
   1,
   IF(R341="MTO",
      $D341,
      ROUNDUP(
                    IF(($E341-SUMIF('[1]DATOS PBI Artículos'!A:A,A341,'[1]DATOS PBI Artículos'!X:X)+($V341-_xlfn.XLOOKUP(A341,'[1]DATOS PBI Artículos'!A:A,'[1]DATOS PBI Artículos'!W:W)))&lt;0,
                    0,
                    IF(($E341-SUMIF('[1]DATOS PBI Artículos'!A:A,A341,'[1]DATOS PBI Artículos'!X:X)+$V341-_xlfn.XLOOKUP($A341,'[1]DATOS PBI Artículos'!A:A,'[1]DATOS PBI Artículos'!W:W))/IF($O341="",$N341,$O341)&gt;ROUNDUP([1]CRITERIOS!$M$16/(IF(COUNTIF([1]CRITERIOS!$BG$11:$BG$201,L341)&gt;=1,_xlfn.XLOOKUP($C341,[1]CRITERIOS!$K$25:$K$42,[1]CRITERIOS!$M$25:$M$42),_xlfn.XLOOKUP($C341,[1]CRITERIOS!$K$25:$K$42,[1]CRITERIOS!$M$25:$M$42))),0),
                    ROUNDUP([1]CRITERIOS!$M$16/(IF(COUNTIF([1]CRITERIOS!$BG$11:$BG$201,$L341)&gt;=1,_xlfn.XLOOKUP($C341,[1]CRITERIOS!$K$25:$K$42,[1]CRITERIOS!$M$25:$M$42),_xlfn.XLOOKUP($C341,[1]CRITERIOS!$K$25:$K$42,[1]CRITERIOS!$M$25:$M$42))),0),
                    (E341+V341-SUMIF('[1]DATOS PBI Artículos'!A:A,A341,'[1]DATOS PBI Artículos'!X:X)-_xlfn.XLOOKUP(A341,'[1]DATOS PBI Artículos'!A:A,'[1]DATOS PBI Artículos'!W:W))/IF($O341="",$N341,$O341))),0))))</f>
        <v>#N/A</v>
      </c>
      <c r="R341" s="33" t="e">
        <f>IF(U341&lt;&gt;"",U341,IF(F341="DV","MTO",IF(N341=0,"MTO",_xlfn.XLOOKUP(CONCATENATE(S341,T341),[1]CRITERIOS!$K$160:$K$168,[1]CRITERIOS!$N$160:$N$168))))</f>
        <v>#N/A</v>
      </c>
      <c r="S341" s="33" t="e">
        <f>IF(G341="DV","MTO",IF(N341=0,"MTO",IF(OR(AND(N341=0,O341=""),IF(O341="",G341/N341,G341/O341)&gt;[1]CRITERIOS!$G$163),"MTO",IF(IF(O341="",G341/N341,G341/O341)&lt;[1]CRITERIOS!$H$161,"MTS","MTOS"))))</f>
        <v>#N/A</v>
      </c>
      <c r="T341" s="33" t="e">
        <f>IF(F341="DV","MTO",IF(OR(AND($N341=0,O341=""),$F341/$J341&gt;[1]CRITERIOS!$G$170,$F341="DV"),"MTO",IF($F341/$J341&lt;[1]CRITERIOS!$H$168,"MTS","MTOS")))</f>
        <v>#N/A</v>
      </c>
      <c r="V341" s="34" t="e">
        <f t="shared" si="16"/>
        <v>#N/A</v>
      </c>
      <c r="X341" s="34" t="e">
        <f t="shared" si="17"/>
        <v>#N/A</v>
      </c>
      <c r="Y341" s="34" t="e">
        <f t="shared" si="18"/>
        <v>#N/A</v>
      </c>
      <c r="Z341" s="34" t="e">
        <f>IF($R341="MTO",
0,
($H341+$K341*($E341/[1]CRITERIOS!$M$16))/[1]CRITERIOS!$X$48)</f>
        <v>#N/A</v>
      </c>
      <c r="AA341" s="34" t="e">
        <f>ROUNDUP(($Y341/_xlfn.XLOOKUP($A341,'[1]DATOS PBI Artículos'!$A$4:$A$4,'[1]DATOS PBI Artículos'!$Z$4:$Z$4))/_xlfn.XLOOKUP(_xlfn.XLOOKUP($A341,'[1]DATOS PBI Artículos'!$A$4:$A$4,'[1]DATOS PBI Artículos'!$Y$4:$Y$4),[1]CRITERIOS!$P$79:$P$123,[1]CRITERIOS!$S$79:$S$123,),0)</f>
        <v>#N/A</v>
      </c>
      <c r="AB341" s="33" t="e">
        <f t="array" ref="AB341">IF((E341+V341-_xlfn.XLOOKUP(A341,'[1]DATOS PBI Artículos'!$A$4:$A$4,'[1]DATOS PBI Artículos'!$W$4:$W$4))/N341&gt;ROUNDUP([1]CRITERIOS!$M$16/(IF(COUNTIF([1]CRITERIOS!$BG$11:$BG$201,L341)&gt;=1,_xlfn.XLOOKUP(ARTÍCULOS!L341,[1]CRITERIOS!$BG$11:$BG$201,[1]CRITERIOS!$BJ$11:$BJ$201),_xlfn.XLOOKUP(ARTÍCULOS!C341,[1]CRITERIOS!$K$25:$K$42,[1]CRITERIOS!$M$25:$M$42))),0),ROUNDUP([1]CRITERIOS!$M$16/(IF(COUNTIF([1]CRITERIOS!$BG$11:$BG$201,L341)&gt;=1,_xlfn.XLOOKUP(ARTÍCULOS!L341,[1]CRITERIOS!$BG$11:$BG$201:#REF!,[1]CRITERIOS!$BJ$11:$BJ$201),_xlfn.XLOOKUP(ARTÍCULOS!C341,[1]CRITERIOS!$K$25:$K$42,[1]CRITERIOS!$M$25:$M$42))),0),(E341+V341-_xlfn.XLOOKUP(A341,'[1]DATOS PBI Artículos'!$A$4:$A$4,'[1]DATOS PBI Artículos'!$W$4:$W$4))/N341)</f>
        <v>#N/A</v>
      </c>
      <c r="AC341" s="33" t="e">
        <f>IF(N341=0,"",(ROUNDUP((N341/2)/(_xlfn.XLOOKUP(A341,'[1]DATOS PBI Artículos'!$A$4:$A$4,'[1]DATOS PBI Artículos'!$Z$4:$Z$4)*_xlfn.XLOOKUP(_xlfn.XLOOKUP(A341,'[1]DATOS PBI Artículos'!$A$4:$A$4,'[1]DATOS PBI Artículos'!$Y$4:$Y$4),[1]CRITERIOS!$P$79:$P$123,[1]CRITERIOS!$S$79:$S$123)),0)*[1]CRITERIOS!$M$80*([1]CRITERIOS!$M$110/[1]CRITERIOS!$M$86)+(_xlfn.XLOOKUP(A341,'[1]DATOS PBI Artículos'!$A$4:$A$4,'[1]DATOS PBI Artículos'!$AA$4:$AA$4)*([1]CRITERIOS!$M$95+[1]CRITERIOS!$M$98)))/N341)</f>
        <v>#N/A</v>
      </c>
      <c r="AD341" s="33" t="e">
        <f>IF(N341=0,"",(ROUNDUP((N341/2)/(_xlfn.XLOOKUP(A341,'[1]DATOS PBI Artículos'!$A$4:$A$4,'[1]DATOS PBI Artículos'!$Z$4:$Z$4)*_xlfn.XLOOKUP(_xlfn.XLOOKUP(A341,'[1]DATOS PBI Artículos'!$A$4:$A$4,'[1]DATOS PBI Artículos'!$Y$4:$Y$4),[1]CRITERIOS!$P$79:$P$123,[1]CRITERIOS!$S$79:$S$123)),0)*[1]CRITERIOS!$M$80*([1]CRITERIOS!$M$89*[1]CRITERIOS!$M$92)+((_xlfn.XLOOKUP(A341,'[1]DATOS PBI Artículos'!$A$4:$A$4,'[1]DATOS PBI Artículos'!$AA$4:$AA$4)/2)*([1]CRITERIOS!$M$95+[1]CRITERIOS!$M$98)))/N341)</f>
        <v>#N/A</v>
      </c>
      <c r="AE341" s="39" t="e">
        <f>IF($R341="MTO","",
IF($H341=0,ROUNDUP(((_xlfn.XLOOKUP($A341,'[1]DATOS PBI Artículos'!$A:$A,'[1]DATOS PBI Artículos'!$AL:$AL))/(_xlfn.XLOOKUP($AF$1,[1]CRITERIOS!$S$16:$S$39,[1]CRITERIOS!$Y$16:$Y$39))*$J341+$Z341)/$G341,0)*$G341,
((_xlfn.XLOOKUP($A341,'[1]DATOS PBI Artículos'!$A:$A,'[1]DATOS PBI Artículos'!$AL:$AL))/(_xlfn.XLOOKUP($AF$1,[1]CRITERIOS!$S$16:$S$39,[1]CRITERIOS!$Y$16:$Y$39))*$J341+$Z341)))</f>
        <v>#N/A</v>
      </c>
      <c r="AG341" s="39" t="e">
        <f>IF($R341="MTO","",
IF($H341=0,ROUNDUP(((_xlfn.XLOOKUP($A341,'[1]DATOS PBI Artículos'!$A:$A,'[1]DATOS PBI Artículos'!$AM:$AM))/(_xlfn.XLOOKUP($AH$1,[1]CRITERIOS!$S$16:$S$39,[1]CRITERIOS!$Y$16:$Y$39))*$J341+$Z341)/$G341,0)*$G341,
((_xlfn.XLOOKUP($A341,'[1]DATOS PBI Artículos'!$A:$A,'[1]DATOS PBI Artículos'!$AM:$AM))/(_xlfn.XLOOKUP($AH$1,[1]CRITERIOS!$S$16:$S$39,[1]CRITERIOS!$Y$16:$Y$39))*$J341+$Z341)))</f>
        <v>#N/A</v>
      </c>
      <c r="AI341" s="39" t="e">
        <f>IF($R341="MTO","",
IF($H341=0,ROUNDUP(((_xlfn.XLOOKUP($A341,'[1]DATOS PBI Artículos'!$A:$A,'[1]DATOS PBI Artículos'!$AN:$AN))/(_xlfn.XLOOKUP($AJ$1,[1]CRITERIOS!$S$16:$S$39,[1]CRITERIOS!$Y$16:$Y$39))*$J341+$Z341)/$G341,0)*$G341,
((_xlfn.XLOOKUP($A341,'[1]DATOS PBI Artículos'!$A:$A,'[1]DATOS PBI Artículos'!$AN:$AN))/(_xlfn.XLOOKUP($AJ$1,[1]CRITERIOS!$S$16:$S$39,[1]CRITERIOS!$Y$16:$Y$39))*$J341+$Z341)))</f>
        <v>#N/A</v>
      </c>
      <c r="AK341" s="39" t="e">
        <f>IF($R341="MTO","",
IF($H341=0,ROUNDUP(((_xlfn.XLOOKUP($A341,'[1]DATOS PBI Artículos'!$A:$A,'[1]DATOS PBI Artículos'!$AO:$AO))/(_xlfn.XLOOKUP($AL$1,[1]CRITERIOS!$S$16:$S$39,[1]CRITERIOS!$Y$16:$Y$39))*$J341+$Z341)/$G341,0)*$G341,
((_xlfn.XLOOKUP($A341,'[1]DATOS PBI Artículos'!$A:$A,'[1]DATOS PBI Artículos'!$AO:$AO))/(_xlfn.XLOOKUP($AL$1,[1]CRITERIOS!$S$16:$S$39,[1]CRITERIOS!$Y$16:$Y$39))*$J341+$Z341)))</f>
        <v>#N/A</v>
      </c>
    </row>
    <row r="342" spans="1:37" ht="25.8" hidden="1" x14ac:dyDescent="0.4">
      <c r="A342" s="41"/>
      <c r="B342" s="33">
        <f>_xlfn.XLOOKUP($A342,'[1]DATOS PBI Artículos'!A:A,'[1]DATOS PBI Artículos'!B:B)</f>
        <v>0</v>
      </c>
      <c r="C342" s="33">
        <f>_xlfn.XLOOKUP($A342,'[1]DATOS PBI Artículos'!A:A,'[1]DATOS PBI Artículos'!C:C)</f>
        <v>0</v>
      </c>
      <c r="D342" s="33">
        <f>_xlfn.XLOOKUP(A342,'[1]DATOS PBI Artículos'!A:A,'[1]DATOS PBI Artículos'!T:T)</f>
        <v>0</v>
      </c>
      <c r="E342" s="34">
        <f>IF(_xlfn.XLOOKUP($A342,'[1]DATOS PBI Artículos'!A:A,'[1]DATOS PBI Artículos'!AK:AK)="",_xlfn.XLOOKUP($A342,'[1]DATOS PBI Artículos'!A:A,'[1]DATOS PBI Artículos'!AJ:AJ),_xlfn.XLOOKUP($A342,'[1]DATOS PBI Artículos'!A:A,'[1]DATOS PBI Artículos'!AK:AK))</f>
        <v>0</v>
      </c>
      <c r="F342" s="35">
        <f>_xlfn.XLOOKUP($A342,'[1]DATOS PBI Artículos'!A:A,'[1]DATOS PBI Artículos'!AP:AP)</f>
        <v>0</v>
      </c>
      <c r="G342" s="34">
        <f>_xlfn.XLOOKUP($A342,'[1]DATOS PBI Artículos'!A:A,'[1]DATOS PBI Artículos'!AR:AR)</f>
        <v>0</v>
      </c>
      <c r="H342" s="34">
        <f>_xlfn.XLOOKUP($A342,'[1]DATOS PBI Artículos'!A:A,'[1]DATOS PBI Artículos'!AT:AT)</f>
        <v>0</v>
      </c>
      <c r="I342" s="34">
        <f>_xlfn.XLOOKUP($A342,'[1]DATOS PBI Artículos'!A:A,'[1]DATOS PBI Artículos'!AS:AS)</f>
        <v>0</v>
      </c>
      <c r="J342" s="35">
        <f>IF(COUNTIF([1]CRITERIOS!$F$179:$F$199,$A342)&gt;=1,
 IF(O342&lt;&gt;"",
    (O342/_xlfn.XLOOKUP(CONCATENATE(A342,L342),[1]MÁQUINAS!A:A,[1]MÁQUINAS!D:D))/24,
    (N342/_xlfn.XLOOKUP(CONCATENATE(A342,L342),[1]MÁQUINAS!A:A,[1]MÁQUINAS!D:D))/24),
  _xlfn.XLOOKUP($A342,'[1]DATOS PBI Artículos'!A:A,'[1]DATOS PBI Artículos'!AU:AU))</f>
        <v>0</v>
      </c>
      <c r="K342" s="36">
        <f>_xlfn.XLOOKUP($A342,'[1]DATOS PBI Artículos'!A:A,'[1]DATOS PBI Artículos'!AV:AV)</f>
        <v>0</v>
      </c>
      <c r="L342" s="33">
        <f>_xlfn.XLOOKUP(A342,[1]MÁQUINAS!B:B,[1]MÁQUINAS!C:C)</f>
        <v>0</v>
      </c>
      <c r="M342" s="34">
        <f t="array" ref="M342">_xlfn.XLOOKUP(A342,'[1]DATOS PBI Artículos'!A:A,'[1]DATOS PBI Artículos'!AX:$AX)</f>
        <v>0</v>
      </c>
      <c r="N342" s="37" t="e">
        <f>IF(I342="DV",
E342,
IF(COUNTIF([1]CRITERIOS!$I$179:$I$199,$A342)&gt;=1,
_xlfn.XLOOKUP($A342,[1]CRITERIOS!$I$179:$I$199,[1]CRITERIOS!$J$179:$J$199),
IF(COUNTIF([1]CRITERIOS!$L$179:$L$199,$A342)&gt;=1,
_xlfn.CEILING.MATH(IF($M342&gt;$E342,
$E342,
IF($M342&lt;$E342/ROUNDDOWN([1]CRITERIOS!$M$16/_xlfn.XLOOKUP($C342,[1]CRITERIOS!$K$25:$K$42,[1]CRITERIOS!$M$25:$M$42),
1),
E342/ROUNDDOWN([1]CRITERIOS!$M$16/_xlfn.XLOOKUP($C342,[1]CRITERIOS!$K$25:$K$42,[1]CRITERIOS!$M$25:$M$42),
1),
$M342)),
_xlfn.XLOOKUP($A342,[1]CRITERIOS!$L$179:$L$200,[1]CRITERIOS!$M$179:$M$200)),
_xlfn.CEILING.MATH(IF($M342&gt;$E342,
$E342,
IF($M342&lt;$E342/ROUNDDOWN([1]CRITERIOS!$M$16/_xlfn.XLOOKUP($C342,[1]CRITERIOS!$K$25:$K$42,[1]CRITERIOS!$M$25:$M$42),
1),
E342/ROUNDDOWN([1]CRITERIOS!$M$16/_xlfn.XLOOKUP($C342,[1]CRITERIOS!$K$25:$K$42,[1]CRITERIOS!$M$25:$M$42),
1),
$M342)),_xlfn.XLOOKUP(A342,'[1]DATOS PBI Artículos'!A:A,'[1]DATOS PBI Artículos'!Z:Z
)))))</f>
        <v>#N/A</v>
      </c>
      <c r="Q342" s="38" t="e">
        <f>IF(AND(O342="",N342=0),
0,
   IF(COUNTIF([1]CRITERIOS!$F$179:$F$199,$A342)&gt;=1,
   1,
   IF(R342="MTO",
      $D342,
      ROUNDUP(
                    IF(($E342-SUMIF('[1]DATOS PBI Artículos'!A:A,A342,'[1]DATOS PBI Artículos'!X:X)+($V342-_xlfn.XLOOKUP(A342,'[1]DATOS PBI Artículos'!A:A,'[1]DATOS PBI Artículos'!W:W)))&lt;0,
                    0,
                    IF(($E342-SUMIF('[1]DATOS PBI Artículos'!A:A,A342,'[1]DATOS PBI Artículos'!X:X)+$V342-_xlfn.XLOOKUP($A342,'[1]DATOS PBI Artículos'!A:A,'[1]DATOS PBI Artículos'!W:W))/IF($O342="",$N342,$O342)&gt;ROUNDUP([1]CRITERIOS!$M$16/(IF(COUNTIF([1]CRITERIOS!$BG$11:$BG$201,L342)&gt;=1,_xlfn.XLOOKUP($C342,[1]CRITERIOS!$K$25:$K$42,[1]CRITERIOS!$M$25:$M$42),_xlfn.XLOOKUP($C342,[1]CRITERIOS!$K$25:$K$42,[1]CRITERIOS!$M$25:$M$42))),0),
                    ROUNDUP([1]CRITERIOS!$M$16/(IF(COUNTIF([1]CRITERIOS!$BG$11:$BG$201,$L342)&gt;=1,_xlfn.XLOOKUP($C342,[1]CRITERIOS!$K$25:$K$42,[1]CRITERIOS!$M$25:$M$42),_xlfn.XLOOKUP($C342,[1]CRITERIOS!$K$25:$K$42,[1]CRITERIOS!$M$25:$M$42))),0),
                    (E342+V342-SUMIF('[1]DATOS PBI Artículos'!A:A,A342,'[1]DATOS PBI Artículos'!X:X)-_xlfn.XLOOKUP(A342,'[1]DATOS PBI Artículos'!A:A,'[1]DATOS PBI Artículos'!W:W))/IF($O342="",$N342,$O342))),0))))</f>
        <v>#N/A</v>
      </c>
      <c r="R342" s="33" t="e">
        <f>IF(U342&lt;&gt;"",U342,IF(F342="DV","MTO",IF(N342=0,"MTO",_xlfn.XLOOKUP(CONCATENATE(S342,T342),[1]CRITERIOS!$K$160:$K$168,[1]CRITERIOS!$N$160:$N$168))))</f>
        <v>#N/A</v>
      </c>
      <c r="S342" s="33" t="e">
        <f>IF(G342="DV","MTO",IF(N342=0,"MTO",IF(OR(AND(N342=0,O342=""),IF(O342="",G342/N342,G342/O342)&gt;[1]CRITERIOS!$G$163),"MTO",IF(IF(O342="",G342/N342,G342/O342)&lt;[1]CRITERIOS!$H$161,"MTS","MTOS"))))</f>
        <v>#N/A</v>
      </c>
      <c r="T342" s="33" t="e">
        <f>IF(F342="DV","MTO",IF(OR(AND($N342=0,O342=""),$F342/$J342&gt;[1]CRITERIOS!$G$170,$F342="DV"),"MTO",IF($F342/$J342&lt;[1]CRITERIOS!$H$168,"MTS","MTOS")))</f>
        <v>#N/A</v>
      </c>
      <c r="V342" s="34" t="e">
        <f t="shared" si="16"/>
        <v>#N/A</v>
      </c>
      <c r="X342" s="34" t="e">
        <f t="shared" si="17"/>
        <v>#N/A</v>
      </c>
      <c r="Y342" s="34" t="e">
        <f t="shared" si="18"/>
        <v>#N/A</v>
      </c>
      <c r="Z342" s="34" t="e">
        <f>IF($R342="MTO",
0,
($H342+$K342*($E342/[1]CRITERIOS!$M$16))/[1]CRITERIOS!$X$48)</f>
        <v>#N/A</v>
      </c>
      <c r="AA342" s="34" t="e">
        <f>ROUNDUP(($Y342/_xlfn.XLOOKUP($A342,'[1]DATOS PBI Artículos'!$A$4:$A$4,'[1]DATOS PBI Artículos'!$Z$4:$Z$4))/_xlfn.XLOOKUP(_xlfn.XLOOKUP($A342,'[1]DATOS PBI Artículos'!$A$4:$A$4,'[1]DATOS PBI Artículos'!$Y$4:$Y$4),[1]CRITERIOS!$P$79:$P$123,[1]CRITERIOS!$S$79:$S$123,),0)</f>
        <v>#N/A</v>
      </c>
      <c r="AB342" s="33" t="e">
        <f t="array" ref="AB342">IF((E342+V342-_xlfn.XLOOKUP(A342,'[1]DATOS PBI Artículos'!$A$4:$A$4,'[1]DATOS PBI Artículos'!$W$4:$W$4))/N342&gt;ROUNDUP([1]CRITERIOS!$M$16/(IF(COUNTIF([1]CRITERIOS!$BG$11:$BG$201,L342)&gt;=1,_xlfn.XLOOKUP(ARTÍCULOS!L342,[1]CRITERIOS!$BG$11:$BG$201,[1]CRITERIOS!$BJ$11:$BJ$201),_xlfn.XLOOKUP(ARTÍCULOS!C342,[1]CRITERIOS!$K$25:$K$42,[1]CRITERIOS!$M$25:$M$42))),0),ROUNDUP([1]CRITERIOS!$M$16/(IF(COUNTIF([1]CRITERIOS!$BG$11:$BG$201,L342)&gt;=1,_xlfn.XLOOKUP(ARTÍCULOS!L342,[1]CRITERIOS!$BG$11:$BG$201:#REF!,[1]CRITERIOS!$BJ$11:$BJ$201),_xlfn.XLOOKUP(ARTÍCULOS!C342,[1]CRITERIOS!$K$25:$K$42,[1]CRITERIOS!$M$25:$M$42))),0),(E342+V342-_xlfn.XLOOKUP(A342,'[1]DATOS PBI Artículos'!$A$4:$A$4,'[1]DATOS PBI Artículos'!$W$4:$W$4))/N342)</f>
        <v>#N/A</v>
      </c>
      <c r="AC342" s="33" t="e">
        <f>IF(N342=0,"",(ROUNDUP((N342/2)/(_xlfn.XLOOKUP(A342,'[1]DATOS PBI Artículos'!$A$4:$A$4,'[1]DATOS PBI Artículos'!$Z$4:$Z$4)*_xlfn.XLOOKUP(_xlfn.XLOOKUP(A342,'[1]DATOS PBI Artículos'!$A$4:$A$4,'[1]DATOS PBI Artículos'!$Y$4:$Y$4),[1]CRITERIOS!$P$79:$P$123,[1]CRITERIOS!$S$79:$S$123)),0)*[1]CRITERIOS!$M$80*([1]CRITERIOS!$M$110/[1]CRITERIOS!$M$86)+(_xlfn.XLOOKUP(A342,'[1]DATOS PBI Artículos'!$A$4:$A$4,'[1]DATOS PBI Artículos'!$AA$4:$AA$4)*([1]CRITERIOS!$M$95+[1]CRITERIOS!$M$98)))/N342)</f>
        <v>#N/A</v>
      </c>
      <c r="AD342" s="33" t="e">
        <f>IF(N342=0,"",(ROUNDUP((N342/2)/(_xlfn.XLOOKUP(A342,'[1]DATOS PBI Artículos'!$A$4:$A$4,'[1]DATOS PBI Artículos'!$Z$4:$Z$4)*_xlfn.XLOOKUP(_xlfn.XLOOKUP(A342,'[1]DATOS PBI Artículos'!$A$4:$A$4,'[1]DATOS PBI Artículos'!$Y$4:$Y$4),[1]CRITERIOS!$P$79:$P$123,[1]CRITERIOS!$S$79:$S$123)),0)*[1]CRITERIOS!$M$80*([1]CRITERIOS!$M$89*[1]CRITERIOS!$M$92)+((_xlfn.XLOOKUP(A342,'[1]DATOS PBI Artículos'!$A$4:$A$4,'[1]DATOS PBI Artículos'!$AA$4:$AA$4)/2)*([1]CRITERIOS!$M$95+[1]CRITERIOS!$M$98)))/N342)</f>
        <v>#N/A</v>
      </c>
      <c r="AE342" s="39" t="e">
        <f>IF($R342="MTO","",
IF($H342=0,ROUNDUP(((_xlfn.XLOOKUP($A342,'[1]DATOS PBI Artículos'!$A:$A,'[1]DATOS PBI Artículos'!$AL:$AL))/(_xlfn.XLOOKUP($AF$1,[1]CRITERIOS!$S$16:$S$39,[1]CRITERIOS!$Y$16:$Y$39))*$J342+$Z342)/$G342,0)*$G342,
((_xlfn.XLOOKUP($A342,'[1]DATOS PBI Artículos'!$A:$A,'[1]DATOS PBI Artículos'!$AL:$AL))/(_xlfn.XLOOKUP($AF$1,[1]CRITERIOS!$S$16:$S$39,[1]CRITERIOS!$Y$16:$Y$39))*$J342+$Z342)))</f>
        <v>#N/A</v>
      </c>
      <c r="AG342" s="39" t="e">
        <f>IF($R342="MTO","",
IF($H342=0,ROUNDUP(((_xlfn.XLOOKUP($A342,'[1]DATOS PBI Artículos'!$A:$A,'[1]DATOS PBI Artículos'!$AM:$AM))/(_xlfn.XLOOKUP($AH$1,[1]CRITERIOS!$S$16:$S$39,[1]CRITERIOS!$Y$16:$Y$39))*$J342+$Z342)/$G342,0)*$G342,
((_xlfn.XLOOKUP($A342,'[1]DATOS PBI Artículos'!$A:$A,'[1]DATOS PBI Artículos'!$AM:$AM))/(_xlfn.XLOOKUP($AH$1,[1]CRITERIOS!$S$16:$S$39,[1]CRITERIOS!$Y$16:$Y$39))*$J342+$Z342)))</f>
        <v>#N/A</v>
      </c>
      <c r="AI342" s="39" t="e">
        <f>IF($R342="MTO","",
IF($H342=0,ROUNDUP(((_xlfn.XLOOKUP($A342,'[1]DATOS PBI Artículos'!$A:$A,'[1]DATOS PBI Artículos'!$AN:$AN))/(_xlfn.XLOOKUP($AJ$1,[1]CRITERIOS!$S$16:$S$39,[1]CRITERIOS!$Y$16:$Y$39))*$J342+$Z342)/$G342,0)*$G342,
((_xlfn.XLOOKUP($A342,'[1]DATOS PBI Artículos'!$A:$A,'[1]DATOS PBI Artículos'!$AN:$AN))/(_xlfn.XLOOKUP($AJ$1,[1]CRITERIOS!$S$16:$S$39,[1]CRITERIOS!$Y$16:$Y$39))*$J342+$Z342)))</f>
        <v>#N/A</v>
      </c>
      <c r="AK342" s="39" t="e">
        <f>IF($R342="MTO","",
IF($H342=0,ROUNDUP(((_xlfn.XLOOKUP($A342,'[1]DATOS PBI Artículos'!$A:$A,'[1]DATOS PBI Artículos'!$AO:$AO))/(_xlfn.XLOOKUP($AL$1,[1]CRITERIOS!$S$16:$S$39,[1]CRITERIOS!$Y$16:$Y$39))*$J342+$Z342)/$G342,0)*$G342,
((_xlfn.XLOOKUP($A342,'[1]DATOS PBI Artículos'!$A:$A,'[1]DATOS PBI Artículos'!$AO:$AO))/(_xlfn.XLOOKUP($AL$1,[1]CRITERIOS!$S$16:$S$39,[1]CRITERIOS!$Y$16:$Y$39))*$J342+$Z342)))</f>
        <v>#N/A</v>
      </c>
    </row>
    <row r="343" spans="1:37" ht="25.8" hidden="1" x14ac:dyDescent="0.4">
      <c r="A343" s="41"/>
      <c r="B343" s="33">
        <f>_xlfn.XLOOKUP($A343,'[1]DATOS PBI Artículos'!A:A,'[1]DATOS PBI Artículos'!B:B)</f>
        <v>0</v>
      </c>
      <c r="C343" s="33">
        <f>_xlfn.XLOOKUP($A343,'[1]DATOS PBI Artículos'!A:A,'[1]DATOS PBI Artículos'!C:C)</f>
        <v>0</v>
      </c>
      <c r="D343" s="33">
        <f>_xlfn.XLOOKUP(A343,'[1]DATOS PBI Artículos'!A:A,'[1]DATOS PBI Artículos'!T:T)</f>
        <v>0</v>
      </c>
      <c r="E343" s="34">
        <f>IF(_xlfn.XLOOKUP($A343,'[1]DATOS PBI Artículos'!A:A,'[1]DATOS PBI Artículos'!AK:AK)="",_xlfn.XLOOKUP($A343,'[1]DATOS PBI Artículos'!A:A,'[1]DATOS PBI Artículos'!AJ:AJ),_xlfn.XLOOKUP($A343,'[1]DATOS PBI Artículos'!A:A,'[1]DATOS PBI Artículos'!AK:AK))</f>
        <v>0</v>
      </c>
      <c r="F343" s="35">
        <f>_xlfn.XLOOKUP($A343,'[1]DATOS PBI Artículos'!A:A,'[1]DATOS PBI Artículos'!AP:AP)</f>
        <v>0</v>
      </c>
      <c r="G343" s="34">
        <f>_xlfn.XLOOKUP($A343,'[1]DATOS PBI Artículos'!A:A,'[1]DATOS PBI Artículos'!AR:AR)</f>
        <v>0</v>
      </c>
      <c r="H343" s="34">
        <f>_xlfn.XLOOKUP($A343,'[1]DATOS PBI Artículos'!A:A,'[1]DATOS PBI Artículos'!AT:AT)</f>
        <v>0</v>
      </c>
      <c r="I343" s="34">
        <f>_xlfn.XLOOKUP($A343,'[1]DATOS PBI Artículos'!A:A,'[1]DATOS PBI Artículos'!AS:AS)</f>
        <v>0</v>
      </c>
      <c r="J343" s="35">
        <f>IF(COUNTIF([1]CRITERIOS!$F$179:$F$199,$A343)&gt;=1,
 IF(O343&lt;&gt;"",
    (O343/_xlfn.XLOOKUP(CONCATENATE(A343,L343),[1]MÁQUINAS!A:A,[1]MÁQUINAS!D:D))/24,
    (N343/_xlfn.XLOOKUP(CONCATENATE(A343,L343),[1]MÁQUINAS!A:A,[1]MÁQUINAS!D:D))/24),
  _xlfn.XLOOKUP($A343,'[1]DATOS PBI Artículos'!A:A,'[1]DATOS PBI Artículos'!AU:AU))</f>
        <v>0</v>
      </c>
      <c r="K343" s="36">
        <f>_xlfn.XLOOKUP($A343,'[1]DATOS PBI Artículos'!A:A,'[1]DATOS PBI Artículos'!AV:AV)</f>
        <v>0</v>
      </c>
      <c r="L343" s="33">
        <f>_xlfn.XLOOKUP(A343,[1]MÁQUINAS!B:B,[1]MÁQUINAS!C:C)</f>
        <v>0</v>
      </c>
      <c r="M343" s="34">
        <f t="array" ref="M343">_xlfn.XLOOKUP(A343,'[1]DATOS PBI Artículos'!A:A,'[1]DATOS PBI Artículos'!AX:$AX)</f>
        <v>0</v>
      </c>
      <c r="N343" s="37" t="e">
        <f>IF(I343="DV",
E343,
IF(COUNTIF([1]CRITERIOS!$I$179:$I$199,$A343)&gt;=1,
_xlfn.XLOOKUP($A343,[1]CRITERIOS!$I$179:$I$199,[1]CRITERIOS!$J$179:$J$199),
IF(COUNTIF([1]CRITERIOS!$L$179:$L$199,$A343)&gt;=1,
_xlfn.CEILING.MATH(IF($M343&gt;$E343,
$E343,
IF($M343&lt;$E343/ROUNDDOWN([1]CRITERIOS!$M$16/_xlfn.XLOOKUP($C343,[1]CRITERIOS!$K$25:$K$42,[1]CRITERIOS!$M$25:$M$42),
1),
E343/ROUNDDOWN([1]CRITERIOS!$M$16/_xlfn.XLOOKUP($C343,[1]CRITERIOS!$K$25:$K$42,[1]CRITERIOS!$M$25:$M$42),
1),
$M343)),
_xlfn.XLOOKUP($A343,[1]CRITERIOS!$L$179:$L$200,[1]CRITERIOS!$M$179:$M$200)),
_xlfn.CEILING.MATH(IF($M343&gt;$E343,
$E343,
IF($M343&lt;$E343/ROUNDDOWN([1]CRITERIOS!$M$16/_xlfn.XLOOKUP($C343,[1]CRITERIOS!$K$25:$K$42,[1]CRITERIOS!$M$25:$M$42),
1),
E343/ROUNDDOWN([1]CRITERIOS!$M$16/_xlfn.XLOOKUP($C343,[1]CRITERIOS!$K$25:$K$42,[1]CRITERIOS!$M$25:$M$42),
1),
$M343)),_xlfn.XLOOKUP(A343,'[1]DATOS PBI Artículos'!A:A,'[1]DATOS PBI Artículos'!Z:Z
)))))</f>
        <v>#N/A</v>
      </c>
      <c r="Q343" s="38" t="e">
        <f>IF(AND(O343="",N343=0),
0,
   IF(COUNTIF([1]CRITERIOS!$F$179:$F$199,$A343)&gt;=1,
   1,
   IF(R343="MTO",
      $D343,
      ROUNDUP(
                    IF(($E343-SUMIF('[1]DATOS PBI Artículos'!A:A,A343,'[1]DATOS PBI Artículos'!X:X)+($V343-_xlfn.XLOOKUP(A343,'[1]DATOS PBI Artículos'!A:A,'[1]DATOS PBI Artículos'!W:W)))&lt;0,
                    0,
                    IF(($E343-SUMIF('[1]DATOS PBI Artículos'!A:A,A343,'[1]DATOS PBI Artículos'!X:X)+$V343-_xlfn.XLOOKUP($A343,'[1]DATOS PBI Artículos'!A:A,'[1]DATOS PBI Artículos'!W:W))/IF($O343="",$N343,$O343)&gt;ROUNDUP([1]CRITERIOS!$M$16/(IF(COUNTIF([1]CRITERIOS!$BG$11:$BG$201,L343)&gt;=1,_xlfn.XLOOKUP($C343,[1]CRITERIOS!$K$25:$K$42,[1]CRITERIOS!$M$25:$M$42),_xlfn.XLOOKUP($C343,[1]CRITERIOS!$K$25:$K$42,[1]CRITERIOS!$M$25:$M$42))),0),
                    ROUNDUP([1]CRITERIOS!$M$16/(IF(COUNTIF([1]CRITERIOS!$BG$11:$BG$201,$L343)&gt;=1,_xlfn.XLOOKUP($C343,[1]CRITERIOS!$K$25:$K$42,[1]CRITERIOS!$M$25:$M$42),_xlfn.XLOOKUP($C343,[1]CRITERIOS!$K$25:$K$42,[1]CRITERIOS!$M$25:$M$42))),0),
                    (E343+V343-SUMIF('[1]DATOS PBI Artículos'!A:A,A343,'[1]DATOS PBI Artículos'!X:X)-_xlfn.XLOOKUP(A343,'[1]DATOS PBI Artículos'!A:A,'[1]DATOS PBI Artículos'!W:W))/IF($O343="",$N343,$O343))),0))))</f>
        <v>#N/A</v>
      </c>
      <c r="R343" s="33" t="e">
        <f>IF(U343&lt;&gt;"",U343,IF(F343="DV","MTO",IF(N343=0,"MTO",_xlfn.XLOOKUP(CONCATENATE(S343,T343),[1]CRITERIOS!$K$160:$K$168,[1]CRITERIOS!$N$160:$N$168))))</f>
        <v>#N/A</v>
      </c>
      <c r="S343" s="33" t="e">
        <f>IF(G343="DV","MTO",IF(N343=0,"MTO",IF(OR(AND(N343=0,O343=""),IF(O343="",G343/N343,G343/O343)&gt;[1]CRITERIOS!$G$163),"MTO",IF(IF(O343="",G343/N343,G343/O343)&lt;[1]CRITERIOS!$H$161,"MTS","MTOS"))))</f>
        <v>#N/A</v>
      </c>
      <c r="T343" s="33" t="e">
        <f>IF(F343="DV","MTO",IF(OR(AND($N343=0,O343=""),$F343/$J343&gt;[1]CRITERIOS!$G$170,$F343="DV"),"MTO",IF($F343/$J343&lt;[1]CRITERIOS!$H$168,"MTS","MTOS")))</f>
        <v>#N/A</v>
      </c>
      <c r="V343" s="34" t="e">
        <f t="shared" si="16"/>
        <v>#N/A</v>
      </c>
      <c r="X343" s="34" t="e">
        <f t="shared" si="17"/>
        <v>#N/A</v>
      </c>
      <c r="Y343" s="34" t="e">
        <f t="shared" si="18"/>
        <v>#N/A</v>
      </c>
      <c r="Z343" s="34" t="e">
        <f>IF($R343="MTO",
0,
($H343+$K343*($E343/[1]CRITERIOS!$M$16))/[1]CRITERIOS!$X$48)</f>
        <v>#N/A</v>
      </c>
      <c r="AA343" s="34" t="e">
        <f>ROUNDUP(($Y343/_xlfn.XLOOKUP($A343,'[1]DATOS PBI Artículos'!$A$4:$A$4,'[1]DATOS PBI Artículos'!$Z$4:$Z$4))/_xlfn.XLOOKUP(_xlfn.XLOOKUP($A343,'[1]DATOS PBI Artículos'!$A$4:$A$4,'[1]DATOS PBI Artículos'!$Y$4:$Y$4),[1]CRITERIOS!$P$79:$P$123,[1]CRITERIOS!$S$79:$S$123,),0)</f>
        <v>#N/A</v>
      </c>
      <c r="AB343" s="33" t="e">
        <f t="array" ref="AB343">IF((E343+V343-_xlfn.XLOOKUP(A343,'[1]DATOS PBI Artículos'!$A$4:$A$4,'[1]DATOS PBI Artículos'!$W$4:$W$4))/N343&gt;ROUNDUP([1]CRITERIOS!$M$16/(IF(COUNTIF([1]CRITERIOS!$BG$11:$BG$201,L343)&gt;=1,_xlfn.XLOOKUP(ARTÍCULOS!L343,[1]CRITERIOS!$BG$11:$BG$201,[1]CRITERIOS!$BJ$11:$BJ$201),_xlfn.XLOOKUP(ARTÍCULOS!C343,[1]CRITERIOS!$K$25:$K$42,[1]CRITERIOS!$M$25:$M$42))),0),ROUNDUP([1]CRITERIOS!$M$16/(IF(COUNTIF([1]CRITERIOS!$BG$11:$BG$201,L343)&gt;=1,_xlfn.XLOOKUP(ARTÍCULOS!L343,[1]CRITERIOS!$BG$11:$BG$201:#REF!,[1]CRITERIOS!$BJ$11:$BJ$201),_xlfn.XLOOKUP(ARTÍCULOS!C343,[1]CRITERIOS!$K$25:$K$42,[1]CRITERIOS!$M$25:$M$42))),0),(E343+V343-_xlfn.XLOOKUP(A343,'[1]DATOS PBI Artículos'!$A$4:$A$4,'[1]DATOS PBI Artículos'!$W$4:$W$4))/N343)</f>
        <v>#N/A</v>
      </c>
      <c r="AC343" s="33" t="e">
        <f>IF(N343=0,"",(ROUNDUP((N343/2)/(_xlfn.XLOOKUP(A343,'[1]DATOS PBI Artículos'!$A$4:$A$4,'[1]DATOS PBI Artículos'!$Z$4:$Z$4)*_xlfn.XLOOKUP(_xlfn.XLOOKUP(A343,'[1]DATOS PBI Artículos'!$A$4:$A$4,'[1]DATOS PBI Artículos'!$Y$4:$Y$4),[1]CRITERIOS!$P$79:$P$123,[1]CRITERIOS!$S$79:$S$123)),0)*[1]CRITERIOS!$M$80*([1]CRITERIOS!$M$110/[1]CRITERIOS!$M$86)+(_xlfn.XLOOKUP(A343,'[1]DATOS PBI Artículos'!$A$4:$A$4,'[1]DATOS PBI Artículos'!$AA$4:$AA$4)*([1]CRITERIOS!$M$95+[1]CRITERIOS!$M$98)))/N343)</f>
        <v>#N/A</v>
      </c>
      <c r="AD343" s="33" t="e">
        <f>IF(N343=0,"",(ROUNDUP((N343/2)/(_xlfn.XLOOKUP(A343,'[1]DATOS PBI Artículos'!$A$4:$A$4,'[1]DATOS PBI Artículos'!$Z$4:$Z$4)*_xlfn.XLOOKUP(_xlfn.XLOOKUP(A343,'[1]DATOS PBI Artículos'!$A$4:$A$4,'[1]DATOS PBI Artículos'!$Y$4:$Y$4),[1]CRITERIOS!$P$79:$P$123,[1]CRITERIOS!$S$79:$S$123)),0)*[1]CRITERIOS!$M$80*([1]CRITERIOS!$M$89*[1]CRITERIOS!$M$92)+((_xlfn.XLOOKUP(A343,'[1]DATOS PBI Artículos'!$A$4:$A$4,'[1]DATOS PBI Artículos'!$AA$4:$AA$4)/2)*([1]CRITERIOS!$M$95+[1]CRITERIOS!$M$98)))/N343)</f>
        <v>#N/A</v>
      </c>
      <c r="AE343" s="39" t="e">
        <f>IF($R343="MTO","",
IF($H343=0,ROUNDUP(((_xlfn.XLOOKUP($A343,'[1]DATOS PBI Artículos'!$A:$A,'[1]DATOS PBI Artículos'!$AL:$AL))/(_xlfn.XLOOKUP($AF$1,[1]CRITERIOS!$S$16:$S$39,[1]CRITERIOS!$Y$16:$Y$39))*$J343+$Z343)/$G343,0)*$G343,
((_xlfn.XLOOKUP($A343,'[1]DATOS PBI Artículos'!$A:$A,'[1]DATOS PBI Artículos'!$AL:$AL))/(_xlfn.XLOOKUP($AF$1,[1]CRITERIOS!$S$16:$S$39,[1]CRITERIOS!$Y$16:$Y$39))*$J343+$Z343)))</f>
        <v>#N/A</v>
      </c>
      <c r="AG343" s="39" t="e">
        <f>IF($R343="MTO","",
IF($H343=0,ROUNDUP(((_xlfn.XLOOKUP($A343,'[1]DATOS PBI Artículos'!$A:$A,'[1]DATOS PBI Artículos'!$AM:$AM))/(_xlfn.XLOOKUP($AH$1,[1]CRITERIOS!$S$16:$S$39,[1]CRITERIOS!$Y$16:$Y$39))*$J343+$Z343)/$G343,0)*$G343,
((_xlfn.XLOOKUP($A343,'[1]DATOS PBI Artículos'!$A:$A,'[1]DATOS PBI Artículos'!$AM:$AM))/(_xlfn.XLOOKUP($AH$1,[1]CRITERIOS!$S$16:$S$39,[1]CRITERIOS!$Y$16:$Y$39))*$J343+$Z343)))</f>
        <v>#N/A</v>
      </c>
      <c r="AI343" s="39" t="e">
        <f>IF($R343="MTO","",
IF($H343=0,ROUNDUP(((_xlfn.XLOOKUP($A343,'[1]DATOS PBI Artículos'!$A:$A,'[1]DATOS PBI Artículos'!$AN:$AN))/(_xlfn.XLOOKUP($AJ$1,[1]CRITERIOS!$S$16:$S$39,[1]CRITERIOS!$Y$16:$Y$39))*$J343+$Z343)/$G343,0)*$G343,
((_xlfn.XLOOKUP($A343,'[1]DATOS PBI Artículos'!$A:$A,'[1]DATOS PBI Artículos'!$AN:$AN))/(_xlfn.XLOOKUP($AJ$1,[1]CRITERIOS!$S$16:$S$39,[1]CRITERIOS!$Y$16:$Y$39))*$J343+$Z343)))</f>
        <v>#N/A</v>
      </c>
      <c r="AK343" s="39" t="e">
        <f>IF($R343="MTO","",
IF($H343=0,ROUNDUP(((_xlfn.XLOOKUP($A343,'[1]DATOS PBI Artículos'!$A:$A,'[1]DATOS PBI Artículos'!$AO:$AO))/(_xlfn.XLOOKUP($AL$1,[1]CRITERIOS!$S$16:$S$39,[1]CRITERIOS!$Y$16:$Y$39))*$J343+$Z343)/$G343,0)*$G343,
((_xlfn.XLOOKUP($A343,'[1]DATOS PBI Artículos'!$A:$A,'[1]DATOS PBI Artículos'!$AO:$AO))/(_xlfn.XLOOKUP($AL$1,[1]CRITERIOS!$S$16:$S$39,[1]CRITERIOS!$Y$16:$Y$39))*$J343+$Z343)))</f>
        <v>#N/A</v>
      </c>
    </row>
    <row r="344" spans="1:37" ht="25.8" hidden="1" x14ac:dyDescent="0.4">
      <c r="A344" s="41"/>
      <c r="B344" s="33">
        <f>_xlfn.XLOOKUP($A344,'[1]DATOS PBI Artículos'!A:A,'[1]DATOS PBI Artículos'!B:B)</f>
        <v>0</v>
      </c>
      <c r="C344" s="33">
        <f>_xlfn.XLOOKUP($A344,'[1]DATOS PBI Artículos'!A:A,'[1]DATOS PBI Artículos'!C:C)</f>
        <v>0</v>
      </c>
      <c r="D344" s="33">
        <f>_xlfn.XLOOKUP(A344,'[1]DATOS PBI Artículos'!A:A,'[1]DATOS PBI Artículos'!T:T)</f>
        <v>0</v>
      </c>
      <c r="E344" s="34">
        <f>IF(_xlfn.XLOOKUP($A344,'[1]DATOS PBI Artículos'!A:A,'[1]DATOS PBI Artículos'!AK:AK)="",_xlfn.XLOOKUP($A344,'[1]DATOS PBI Artículos'!A:A,'[1]DATOS PBI Artículos'!AJ:AJ),_xlfn.XLOOKUP($A344,'[1]DATOS PBI Artículos'!A:A,'[1]DATOS PBI Artículos'!AK:AK))</f>
        <v>0</v>
      </c>
      <c r="F344" s="35">
        <f>_xlfn.XLOOKUP($A344,'[1]DATOS PBI Artículos'!A:A,'[1]DATOS PBI Artículos'!AP:AP)</f>
        <v>0</v>
      </c>
      <c r="G344" s="34">
        <f>_xlfn.XLOOKUP($A344,'[1]DATOS PBI Artículos'!A:A,'[1]DATOS PBI Artículos'!AR:AR)</f>
        <v>0</v>
      </c>
      <c r="H344" s="34">
        <f>_xlfn.XLOOKUP($A344,'[1]DATOS PBI Artículos'!A:A,'[1]DATOS PBI Artículos'!AT:AT)</f>
        <v>0</v>
      </c>
      <c r="I344" s="34">
        <f>_xlfn.XLOOKUP($A344,'[1]DATOS PBI Artículos'!A:A,'[1]DATOS PBI Artículos'!AS:AS)</f>
        <v>0</v>
      </c>
      <c r="J344" s="35">
        <f>IF(COUNTIF([1]CRITERIOS!$F$179:$F$199,$A344)&gt;=1,
 IF(O344&lt;&gt;"",
    (O344/_xlfn.XLOOKUP(CONCATENATE(A344,L344),[1]MÁQUINAS!A:A,[1]MÁQUINAS!D:D))/24,
    (N344/_xlfn.XLOOKUP(CONCATENATE(A344,L344),[1]MÁQUINAS!A:A,[1]MÁQUINAS!D:D))/24),
  _xlfn.XLOOKUP($A344,'[1]DATOS PBI Artículos'!A:A,'[1]DATOS PBI Artículos'!AU:AU))</f>
        <v>0</v>
      </c>
      <c r="K344" s="36">
        <f>_xlfn.XLOOKUP($A344,'[1]DATOS PBI Artículos'!A:A,'[1]DATOS PBI Artículos'!AV:AV)</f>
        <v>0</v>
      </c>
      <c r="L344" s="33">
        <f>_xlfn.XLOOKUP(A344,[1]MÁQUINAS!B:B,[1]MÁQUINAS!C:C)</f>
        <v>0</v>
      </c>
      <c r="M344" s="34">
        <f t="array" ref="M344">_xlfn.XLOOKUP(A344,'[1]DATOS PBI Artículos'!A:A,'[1]DATOS PBI Artículos'!AX:$AX)</f>
        <v>0</v>
      </c>
      <c r="N344" s="37" t="e">
        <f>IF(I344="DV",
E344,
IF(COUNTIF([1]CRITERIOS!$I$179:$I$199,$A344)&gt;=1,
_xlfn.XLOOKUP($A344,[1]CRITERIOS!$I$179:$I$199,[1]CRITERIOS!$J$179:$J$199),
IF(COUNTIF([1]CRITERIOS!$L$179:$L$199,$A344)&gt;=1,
_xlfn.CEILING.MATH(IF($M344&gt;$E344,
$E344,
IF($M344&lt;$E344/ROUNDDOWN([1]CRITERIOS!$M$16/_xlfn.XLOOKUP($C344,[1]CRITERIOS!$K$25:$K$42,[1]CRITERIOS!$M$25:$M$42),
1),
E344/ROUNDDOWN([1]CRITERIOS!$M$16/_xlfn.XLOOKUP($C344,[1]CRITERIOS!$K$25:$K$42,[1]CRITERIOS!$M$25:$M$42),
1),
$M344)),
_xlfn.XLOOKUP($A344,[1]CRITERIOS!$L$179:$L$200,[1]CRITERIOS!$M$179:$M$200)),
_xlfn.CEILING.MATH(IF($M344&gt;$E344,
$E344,
IF($M344&lt;$E344/ROUNDDOWN([1]CRITERIOS!$M$16/_xlfn.XLOOKUP($C344,[1]CRITERIOS!$K$25:$K$42,[1]CRITERIOS!$M$25:$M$42),
1),
E344/ROUNDDOWN([1]CRITERIOS!$M$16/_xlfn.XLOOKUP($C344,[1]CRITERIOS!$K$25:$K$42,[1]CRITERIOS!$M$25:$M$42),
1),
$M344)),_xlfn.XLOOKUP(A344,'[1]DATOS PBI Artículos'!A:A,'[1]DATOS PBI Artículos'!Z:Z
)))))</f>
        <v>#N/A</v>
      </c>
      <c r="Q344" s="38" t="e">
        <f>IF(AND(O344="",N344=0),
0,
   IF(COUNTIF([1]CRITERIOS!$F$179:$F$199,$A344)&gt;=1,
   1,
   IF(R344="MTO",
      $D344,
      ROUNDUP(
                    IF(($E344-SUMIF('[1]DATOS PBI Artículos'!A:A,A344,'[1]DATOS PBI Artículos'!X:X)+($V344-_xlfn.XLOOKUP(A344,'[1]DATOS PBI Artículos'!A:A,'[1]DATOS PBI Artículos'!W:W)))&lt;0,
                    0,
                    IF(($E344-SUMIF('[1]DATOS PBI Artículos'!A:A,A344,'[1]DATOS PBI Artículos'!X:X)+$V344-_xlfn.XLOOKUP($A344,'[1]DATOS PBI Artículos'!A:A,'[1]DATOS PBI Artículos'!W:W))/IF($O344="",$N344,$O344)&gt;ROUNDUP([1]CRITERIOS!$M$16/(IF(COUNTIF([1]CRITERIOS!$BG$11:$BG$201,L344)&gt;=1,_xlfn.XLOOKUP($C344,[1]CRITERIOS!$K$25:$K$42,[1]CRITERIOS!$M$25:$M$42),_xlfn.XLOOKUP($C344,[1]CRITERIOS!$K$25:$K$42,[1]CRITERIOS!$M$25:$M$42))),0),
                    ROUNDUP([1]CRITERIOS!$M$16/(IF(COUNTIF([1]CRITERIOS!$BG$11:$BG$201,$L344)&gt;=1,_xlfn.XLOOKUP($C344,[1]CRITERIOS!$K$25:$K$42,[1]CRITERIOS!$M$25:$M$42),_xlfn.XLOOKUP($C344,[1]CRITERIOS!$K$25:$K$42,[1]CRITERIOS!$M$25:$M$42))),0),
                    (E344+V344-SUMIF('[1]DATOS PBI Artículos'!A:A,A344,'[1]DATOS PBI Artículos'!X:X)-_xlfn.XLOOKUP(A344,'[1]DATOS PBI Artículos'!A:A,'[1]DATOS PBI Artículos'!W:W))/IF($O344="",$N344,$O344))),0))))</f>
        <v>#N/A</v>
      </c>
      <c r="R344" s="33" t="e">
        <f>IF(U344&lt;&gt;"",U344,IF(F344="DV","MTO",IF(N344=0,"MTO",_xlfn.XLOOKUP(CONCATENATE(S344,T344),[1]CRITERIOS!$K$160:$K$168,[1]CRITERIOS!$N$160:$N$168))))</f>
        <v>#N/A</v>
      </c>
      <c r="S344" s="33" t="e">
        <f>IF(G344="DV","MTO",IF(N344=0,"MTO",IF(OR(AND(N344=0,O344=""),IF(O344="",G344/N344,G344/O344)&gt;[1]CRITERIOS!$G$163),"MTO",IF(IF(O344="",G344/N344,G344/O344)&lt;[1]CRITERIOS!$H$161,"MTS","MTOS"))))</f>
        <v>#N/A</v>
      </c>
      <c r="T344" s="33" t="e">
        <f>IF(F344="DV","MTO",IF(OR(AND($N344=0,O344=""),$F344/$J344&gt;[1]CRITERIOS!$G$170,$F344="DV"),"MTO",IF($F344/$J344&lt;[1]CRITERIOS!$H$168,"MTS","MTOS")))</f>
        <v>#N/A</v>
      </c>
      <c r="V344" s="34" t="e">
        <f t="shared" si="16"/>
        <v>#N/A</v>
      </c>
      <c r="X344" s="34" t="e">
        <f t="shared" si="17"/>
        <v>#N/A</v>
      </c>
      <c r="Y344" s="34" t="e">
        <f t="shared" si="18"/>
        <v>#N/A</v>
      </c>
      <c r="Z344" s="34" t="e">
        <f>IF($R344="MTO",
0,
($H344+$K344*($E344/[1]CRITERIOS!$M$16))/[1]CRITERIOS!$X$48)</f>
        <v>#N/A</v>
      </c>
      <c r="AA344" s="34" t="e">
        <f>ROUNDUP(($Y344/_xlfn.XLOOKUP($A344,'[1]DATOS PBI Artículos'!$A$4:$A$4,'[1]DATOS PBI Artículos'!$Z$4:$Z$4))/_xlfn.XLOOKUP(_xlfn.XLOOKUP($A344,'[1]DATOS PBI Artículos'!$A$4:$A$4,'[1]DATOS PBI Artículos'!$Y$4:$Y$4),[1]CRITERIOS!$P$79:$P$123,[1]CRITERIOS!$S$79:$S$123,),0)</f>
        <v>#N/A</v>
      </c>
      <c r="AB344" s="33" t="e">
        <f t="array" ref="AB344">IF((E344+V344-_xlfn.XLOOKUP(A344,'[1]DATOS PBI Artículos'!$A$4:$A$4,'[1]DATOS PBI Artículos'!$W$4:$W$4))/N344&gt;ROUNDUP([1]CRITERIOS!$M$16/(IF(COUNTIF([1]CRITERIOS!$BG$11:$BG$201,L344)&gt;=1,_xlfn.XLOOKUP(ARTÍCULOS!L344,[1]CRITERIOS!$BG$11:$BG$201,[1]CRITERIOS!$BJ$11:$BJ$201),_xlfn.XLOOKUP(ARTÍCULOS!C344,[1]CRITERIOS!$K$25:$K$42,[1]CRITERIOS!$M$25:$M$42))),0),ROUNDUP([1]CRITERIOS!$M$16/(IF(COUNTIF([1]CRITERIOS!$BG$11:$BG$201,L344)&gt;=1,_xlfn.XLOOKUP(ARTÍCULOS!L344,[1]CRITERIOS!$BG$11:$BG$201:#REF!,[1]CRITERIOS!$BJ$11:$BJ$201),_xlfn.XLOOKUP(ARTÍCULOS!C344,[1]CRITERIOS!$K$25:$K$42,[1]CRITERIOS!$M$25:$M$42))),0),(E344+V344-_xlfn.XLOOKUP(A344,'[1]DATOS PBI Artículos'!$A$4:$A$4,'[1]DATOS PBI Artículos'!$W$4:$W$4))/N344)</f>
        <v>#N/A</v>
      </c>
      <c r="AC344" s="33" t="e">
        <f>IF(N344=0,"",(ROUNDUP((N344/2)/(_xlfn.XLOOKUP(A344,'[1]DATOS PBI Artículos'!$A$4:$A$4,'[1]DATOS PBI Artículos'!$Z$4:$Z$4)*_xlfn.XLOOKUP(_xlfn.XLOOKUP(A344,'[1]DATOS PBI Artículos'!$A$4:$A$4,'[1]DATOS PBI Artículos'!$Y$4:$Y$4),[1]CRITERIOS!$P$79:$P$123,[1]CRITERIOS!$S$79:$S$123)),0)*[1]CRITERIOS!$M$80*([1]CRITERIOS!$M$110/[1]CRITERIOS!$M$86)+(_xlfn.XLOOKUP(A344,'[1]DATOS PBI Artículos'!$A$4:$A$4,'[1]DATOS PBI Artículos'!$AA$4:$AA$4)*([1]CRITERIOS!$M$95+[1]CRITERIOS!$M$98)))/N344)</f>
        <v>#N/A</v>
      </c>
      <c r="AD344" s="33" t="e">
        <f>IF(N344=0,"",(ROUNDUP((N344/2)/(_xlfn.XLOOKUP(A344,'[1]DATOS PBI Artículos'!$A$4:$A$4,'[1]DATOS PBI Artículos'!$Z$4:$Z$4)*_xlfn.XLOOKUP(_xlfn.XLOOKUP(A344,'[1]DATOS PBI Artículos'!$A$4:$A$4,'[1]DATOS PBI Artículos'!$Y$4:$Y$4),[1]CRITERIOS!$P$79:$P$123,[1]CRITERIOS!$S$79:$S$123)),0)*[1]CRITERIOS!$M$80*([1]CRITERIOS!$M$89*[1]CRITERIOS!$M$92)+((_xlfn.XLOOKUP(A344,'[1]DATOS PBI Artículos'!$A$4:$A$4,'[1]DATOS PBI Artículos'!$AA$4:$AA$4)/2)*([1]CRITERIOS!$M$95+[1]CRITERIOS!$M$98)))/N344)</f>
        <v>#N/A</v>
      </c>
      <c r="AE344" s="39" t="e">
        <f>IF($R344="MTO","",
IF($H344=0,ROUNDUP(((_xlfn.XLOOKUP($A344,'[1]DATOS PBI Artículos'!$A:$A,'[1]DATOS PBI Artículos'!$AL:$AL))/(_xlfn.XLOOKUP($AF$1,[1]CRITERIOS!$S$16:$S$39,[1]CRITERIOS!$Y$16:$Y$39))*$J344+$Z344)/$G344,0)*$G344,
((_xlfn.XLOOKUP($A344,'[1]DATOS PBI Artículos'!$A:$A,'[1]DATOS PBI Artículos'!$AL:$AL))/(_xlfn.XLOOKUP($AF$1,[1]CRITERIOS!$S$16:$S$39,[1]CRITERIOS!$Y$16:$Y$39))*$J344+$Z344)))</f>
        <v>#N/A</v>
      </c>
      <c r="AG344" s="39" t="e">
        <f>IF($R344="MTO","",
IF($H344=0,ROUNDUP(((_xlfn.XLOOKUP($A344,'[1]DATOS PBI Artículos'!$A:$A,'[1]DATOS PBI Artículos'!$AM:$AM))/(_xlfn.XLOOKUP($AH$1,[1]CRITERIOS!$S$16:$S$39,[1]CRITERIOS!$Y$16:$Y$39))*$J344+$Z344)/$G344,0)*$G344,
((_xlfn.XLOOKUP($A344,'[1]DATOS PBI Artículos'!$A:$A,'[1]DATOS PBI Artículos'!$AM:$AM))/(_xlfn.XLOOKUP($AH$1,[1]CRITERIOS!$S$16:$S$39,[1]CRITERIOS!$Y$16:$Y$39))*$J344+$Z344)))</f>
        <v>#N/A</v>
      </c>
      <c r="AI344" s="39" t="e">
        <f>IF($R344="MTO","",
IF($H344=0,ROUNDUP(((_xlfn.XLOOKUP($A344,'[1]DATOS PBI Artículos'!$A:$A,'[1]DATOS PBI Artículos'!$AN:$AN))/(_xlfn.XLOOKUP($AJ$1,[1]CRITERIOS!$S$16:$S$39,[1]CRITERIOS!$Y$16:$Y$39))*$J344+$Z344)/$G344,0)*$G344,
((_xlfn.XLOOKUP($A344,'[1]DATOS PBI Artículos'!$A:$A,'[1]DATOS PBI Artículos'!$AN:$AN))/(_xlfn.XLOOKUP($AJ$1,[1]CRITERIOS!$S$16:$S$39,[1]CRITERIOS!$Y$16:$Y$39))*$J344+$Z344)))</f>
        <v>#N/A</v>
      </c>
      <c r="AK344" s="39" t="e">
        <f>IF($R344="MTO","",
IF($H344=0,ROUNDUP(((_xlfn.XLOOKUP($A344,'[1]DATOS PBI Artículos'!$A:$A,'[1]DATOS PBI Artículos'!$AO:$AO))/(_xlfn.XLOOKUP($AL$1,[1]CRITERIOS!$S$16:$S$39,[1]CRITERIOS!$Y$16:$Y$39))*$J344+$Z344)/$G344,0)*$G344,
((_xlfn.XLOOKUP($A344,'[1]DATOS PBI Artículos'!$A:$A,'[1]DATOS PBI Artículos'!$AO:$AO))/(_xlfn.XLOOKUP($AL$1,[1]CRITERIOS!$S$16:$S$39,[1]CRITERIOS!$Y$16:$Y$39))*$J344+$Z344)))</f>
        <v>#N/A</v>
      </c>
    </row>
    <row r="345" spans="1:37" ht="25.8" hidden="1" x14ac:dyDescent="0.4">
      <c r="A345" s="41"/>
      <c r="B345" s="33">
        <f>_xlfn.XLOOKUP($A345,'[1]DATOS PBI Artículos'!A:A,'[1]DATOS PBI Artículos'!B:B)</f>
        <v>0</v>
      </c>
      <c r="C345" s="33">
        <f>_xlfn.XLOOKUP($A345,'[1]DATOS PBI Artículos'!A:A,'[1]DATOS PBI Artículos'!C:C)</f>
        <v>0</v>
      </c>
      <c r="D345" s="33">
        <f>_xlfn.XLOOKUP(A345,'[1]DATOS PBI Artículos'!A:A,'[1]DATOS PBI Artículos'!T:T)</f>
        <v>0</v>
      </c>
      <c r="E345" s="34">
        <f>IF(_xlfn.XLOOKUP($A345,'[1]DATOS PBI Artículos'!A:A,'[1]DATOS PBI Artículos'!AK:AK)="",_xlfn.XLOOKUP($A345,'[1]DATOS PBI Artículos'!A:A,'[1]DATOS PBI Artículos'!AJ:AJ),_xlfn.XLOOKUP($A345,'[1]DATOS PBI Artículos'!A:A,'[1]DATOS PBI Artículos'!AK:AK))</f>
        <v>0</v>
      </c>
      <c r="F345" s="35">
        <f>_xlfn.XLOOKUP($A345,'[1]DATOS PBI Artículos'!A:A,'[1]DATOS PBI Artículos'!AP:AP)</f>
        <v>0</v>
      </c>
      <c r="G345" s="34">
        <f>_xlfn.XLOOKUP($A345,'[1]DATOS PBI Artículos'!A:A,'[1]DATOS PBI Artículos'!AR:AR)</f>
        <v>0</v>
      </c>
      <c r="H345" s="34">
        <f>_xlfn.XLOOKUP($A345,'[1]DATOS PBI Artículos'!A:A,'[1]DATOS PBI Artículos'!AT:AT)</f>
        <v>0</v>
      </c>
      <c r="I345" s="34">
        <f>_xlfn.XLOOKUP($A345,'[1]DATOS PBI Artículos'!A:A,'[1]DATOS PBI Artículos'!AS:AS)</f>
        <v>0</v>
      </c>
      <c r="J345" s="35">
        <f>IF(COUNTIF([1]CRITERIOS!$F$179:$F$199,$A345)&gt;=1,
 IF(O345&lt;&gt;"",
    (O345/_xlfn.XLOOKUP(CONCATENATE(A345,L345),[1]MÁQUINAS!A:A,[1]MÁQUINAS!D:D))/24,
    (N345/_xlfn.XLOOKUP(CONCATENATE(A345,L345),[1]MÁQUINAS!A:A,[1]MÁQUINAS!D:D))/24),
  _xlfn.XLOOKUP($A345,'[1]DATOS PBI Artículos'!A:A,'[1]DATOS PBI Artículos'!AU:AU))</f>
        <v>0</v>
      </c>
      <c r="K345" s="36">
        <f>_xlfn.XLOOKUP($A345,'[1]DATOS PBI Artículos'!A:A,'[1]DATOS PBI Artículos'!AV:AV)</f>
        <v>0</v>
      </c>
      <c r="L345" s="33">
        <f>_xlfn.XLOOKUP(A345,[1]MÁQUINAS!B:B,[1]MÁQUINAS!C:C)</f>
        <v>0</v>
      </c>
      <c r="M345" s="34">
        <f t="array" ref="M345">_xlfn.XLOOKUP(A345,'[1]DATOS PBI Artículos'!A:A,'[1]DATOS PBI Artículos'!AX:$AX)</f>
        <v>0</v>
      </c>
      <c r="N345" s="37" t="e">
        <f>IF(I345="DV",
E345,
IF(COUNTIF([1]CRITERIOS!$I$179:$I$199,$A345)&gt;=1,
_xlfn.XLOOKUP($A345,[1]CRITERIOS!$I$179:$I$199,[1]CRITERIOS!$J$179:$J$199),
IF(COUNTIF([1]CRITERIOS!$L$179:$L$199,$A345)&gt;=1,
_xlfn.CEILING.MATH(IF($M345&gt;$E345,
$E345,
IF($M345&lt;$E345/ROUNDDOWN([1]CRITERIOS!$M$16/_xlfn.XLOOKUP($C345,[1]CRITERIOS!$K$25:$K$42,[1]CRITERIOS!$M$25:$M$42),
1),
E345/ROUNDDOWN([1]CRITERIOS!$M$16/_xlfn.XLOOKUP($C345,[1]CRITERIOS!$K$25:$K$42,[1]CRITERIOS!$M$25:$M$42),
1),
$M345)),
_xlfn.XLOOKUP($A345,[1]CRITERIOS!$L$179:$L$200,[1]CRITERIOS!$M$179:$M$200)),
_xlfn.CEILING.MATH(IF($M345&gt;$E345,
$E345,
IF($M345&lt;$E345/ROUNDDOWN([1]CRITERIOS!$M$16/_xlfn.XLOOKUP($C345,[1]CRITERIOS!$K$25:$K$42,[1]CRITERIOS!$M$25:$M$42),
1),
E345/ROUNDDOWN([1]CRITERIOS!$M$16/_xlfn.XLOOKUP($C345,[1]CRITERIOS!$K$25:$K$42,[1]CRITERIOS!$M$25:$M$42),
1),
$M345)),_xlfn.XLOOKUP(A345,'[1]DATOS PBI Artículos'!A:A,'[1]DATOS PBI Artículos'!Z:Z
)))))</f>
        <v>#N/A</v>
      </c>
      <c r="Q345" s="38" t="e">
        <f>IF(AND(O345="",N345=0),
0,
   IF(COUNTIF([1]CRITERIOS!$F$179:$F$199,$A345)&gt;=1,
   1,
   IF(R345="MTO",
      $D345,
      ROUNDUP(
                    IF(($E345-SUMIF('[1]DATOS PBI Artículos'!A:A,A345,'[1]DATOS PBI Artículos'!X:X)+($V345-_xlfn.XLOOKUP(A345,'[1]DATOS PBI Artículos'!A:A,'[1]DATOS PBI Artículos'!W:W)))&lt;0,
                    0,
                    IF(($E345-SUMIF('[1]DATOS PBI Artículos'!A:A,A345,'[1]DATOS PBI Artículos'!X:X)+$V345-_xlfn.XLOOKUP($A345,'[1]DATOS PBI Artículos'!A:A,'[1]DATOS PBI Artículos'!W:W))/IF($O345="",$N345,$O345)&gt;ROUNDUP([1]CRITERIOS!$M$16/(IF(COUNTIF([1]CRITERIOS!$BG$11:$BG$201,L345)&gt;=1,_xlfn.XLOOKUP($C345,[1]CRITERIOS!$K$25:$K$42,[1]CRITERIOS!$M$25:$M$42),_xlfn.XLOOKUP($C345,[1]CRITERIOS!$K$25:$K$42,[1]CRITERIOS!$M$25:$M$42))),0),
                    ROUNDUP([1]CRITERIOS!$M$16/(IF(COUNTIF([1]CRITERIOS!$BG$11:$BG$201,$L345)&gt;=1,_xlfn.XLOOKUP($C345,[1]CRITERIOS!$K$25:$K$42,[1]CRITERIOS!$M$25:$M$42),_xlfn.XLOOKUP($C345,[1]CRITERIOS!$K$25:$K$42,[1]CRITERIOS!$M$25:$M$42))),0),
                    (E345+V345-SUMIF('[1]DATOS PBI Artículos'!A:A,A345,'[1]DATOS PBI Artículos'!X:X)-_xlfn.XLOOKUP(A345,'[1]DATOS PBI Artículos'!A:A,'[1]DATOS PBI Artículos'!W:W))/IF($O345="",$N345,$O345))),0))))</f>
        <v>#N/A</v>
      </c>
      <c r="R345" s="33" t="e">
        <f>IF(U345&lt;&gt;"",U345,IF(F345="DV","MTO",IF(N345=0,"MTO",_xlfn.XLOOKUP(CONCATENATE(S345,T345),[1]CRITERIOS!$K$160:$K$168,[1]CRITERIOS!$N$160:$N$168))))</f>
        <v>#N/A</v>
      </c>
      <c r="S345" s="33" t="e">
        <f>IF(G345="DV","MTO",IF(N345=0,"MTO",IF(OR(AND(N345=0,O345=""),IF(O345="",G345/N345,G345/O345)&gt;[1]CRITERIOS!$G$163),"MTO",IF(IF(O345="",G345/N345,G345/O345)&lt;[1]CRITERIOS!$H$161,"MTS","MTOS"))))</f>
        <v>#N/A</v>
      </c>
      <c r="T345" s="33" t="e">
        <f>IF(F345="DV","MTO",IF(OR(AND($N345=0,O345=""),$F345/$J345&gt;[1]CRITERIOS!$G$170,$F345="DV"),"MTO",IF($F345/$J345&lt;[1]CRITERIOS!$H$168,"MTS","MTOS")))</f>
        <v>#N/A</v>
      </c>
      <c r="V345" s="34" t="e">
        <f t="shared" ref="V345:V408" si="19">IF(R345="MTO","",
IF($H345=0,(((($J345/$F345)*$G345)+$Z345)/$G345)*$G345,
(($J345/$F345)*$G345)+$Z345))</f>
        <v>#N/A</v>
      </c>
      <c r="X345" s="34" t="e">
        <f t="shared" si="17"/>
        <v>#N/A</v>
      </c>
      <c r="Y345" s="34" t="e">
        <f t="shared" si="18"/>
        <v>#N/A</v>
      </c>
      <c r="Z345" s="34" t="e">
        <f>IF($R345="MTO",
0,
($H345+$K345*($E345/[1]CRITERIOS!$M$16))/[1]CRITERIOS!$X$48)</f>
        <v>#N/A</v>
      </c>
      <c r="AA345" s="34" t="e">
        <f>ROUNDUP(($Y345/_xlfn.XLOOKUP($A345,'[1]DATOS PBI Artículos'!$A$4:$A$4,'[1]DATOS PBI Artículos'!$Z$4:$Z$4))/_xlfn.XLOOKUP(_xlfn.XLOOKUP($A345,'[1]DATOS PBI Artículos'!$A$4:$A$4,'[1]DATOS PBI Artículos'!$Y$4:$Y$4),[1]CRITERIOS!$P$79:$P$123,[1]CRITERIOS!$S$79:$S$123,),0)</f>
        <v>#N/A</v>
      </c>
      <c r="AB345" s="33" t="e">
        <f t="array" ref="AB345">IF((E345+V345-_xlfn.XLOOKUP(A345,'[1]DATOS PBI Artículos'!$A$4:$A$4,'[1]DATOS PBI Artículos'!$W$4:$W$4))/N345&gt;ROUNDUP([1]CRITERIOS!$M$16/(IF(COUNTIF([1]CRITERIOS!$BG$11:$BG$201,L345)&gt;=1,_xlfn.XLOOKUP(ARTÍCULOS!L345,[1]CRITERIOS!$BG$11:$BG$201,[1]CRITERIOS!$BJ$11:$BJ$201),_xlfn.XLOOKUP(ARTÍCULOS!C345,[1]CRITERIOS!$K$25:$K$42,[1]CRITERIOS!$M$25:$M$42))),0),ROUNDUP([1]CRITERIOS!$M$16/(IF(COUNTIF([1]CRITERIOS!$BG$11:$BG$201,L345)&gt;=1,_xlfn.XLOOKUP(ARTÍCULOS!L345,[1]CRITERIOS!$BG$11:$BG$201:#REF!,[1]CRITERIOS!$BJ$11:$BJ$201),_xlfn.XLOOKUP(ARTÍCULOS!C345,[1]CRITERIOS!$K$25:$K$42,[1]CRITERIOS!$M$25:$M$42))),0),(E345+V345-_xlfn.XLOOKUP(A345,'[1]DATOS PBI Artículos'!$A$4:$A$4,'[1]DATOS PBI Artículos'!$W$4:$W$4))/N345)</f>
        <v>#N/A</v>
      </c>
      <c r="AC345" s="33" t="e">
        <f>IF(N345=0,"",(ROUNDUP((N345/2)/(_xlfn.XLOOKUP(A345,'[1]DATOS PBI Artículos'!$A$4:$A$4,'[1]DATOS PBI Artículos'!$Z$4:$Z$4)*_xlfn.XLOOKUP(_xlfn.XLOOKUP(A345,'[1]DATOS PBI Artículos'!$A$4:$A$4,'[1]DATOS PBI Artículos'!$Y$4:$Y$4),[1]CRITERIOS!$P$79:$P$123,[1]CRITERIOS!$S$79:$S$123)),0)*[1]CRITERIOS!$M$80*([1]CRITERIOS!$M$110/[1]CRITERIOS!$M$86)+(_xlfn.XLOOKUP(A345,'[1]DATOS PBI Artículos'!$A$4:$A$4,'[1]DATOS PBI Artículos'!$AA$4:$AA$4)*([1]CRITERIOS!$M$95+[1]CRITERIOS!$M$98)))/N345)</f>
        <v>#N/A</v>
      </c>
      <c r="AD345" s="33" t="e">
        <f>IF(N345=0,"",(ROUNDUP((N345/2)/(_xlfn.XLOOKUP(A345,'[1]DATOS PBI Artículos'!$A$4:$A$4,'[1]DATOS PBI Artículos'!$Z$4:$Z$4)*_xlfn.XLOOKUP(_xlfn.XLOOKUP(A345,'[1]DATOS PBI Artículos'!$A$4:$A$4,'[1]DATOS PBI Artículos'!$Y$4:$Y$4),[1]CRITERIOS!$P$79:$P$123,[1]CRITERIOS!$S$79:$S$123)),0)*[1]CRITERIOS!$M$80*([1]CRITERIOS!$M$89*[1]CRITERIOS!$M$92)+((_xlfn.XLOOKUP(A345,'[1]DATOS PBI Artículos'!$A$4:$A$4,'[1]DATOS PBI Artículos'!$AA$4:$AA$4)/2)*([1]CRITERIOS!$M$95+[1]CRITERIOS!$M$98)))/N345)</f>
        <v>#N/A</v>
      </c>
      <c r="AE345" s="39" t="e">
        <f>IF($R345="MTO","",
IF($H345=0,ROUNDUP(((_xlfn.XLOOKUP($A345,'[1]DATOS PBI Artículos'!$A:$A,'[1]DATOS PBI Artículos'!$AL:$AL))/(_xlfn.XLOOKUP($AF$1,[1]CRITERIOS!$S$16:$S$39,[1]CRITERIOS!$Y$16:$Y$39))*$J345+$Z345)/$G345,0)*$G345,
((_xlfn.XLOOKUP($A345,'[1]DATOS PBI Artículos'!$A:$A,'[1]DATOS PBI Artículos'!$AL:$AL))/(_xlfn.XLOOKUP($AF$1,[1]CRITERIOS!$S$16:$S$39,[1]CRITERIOS!$Y$16:$Y$39))*$J345+$Z345)))</f>
        <v>#N/A</v>
      </c>
      <c r="AG345" s="39" t="e">
        <f>IF($R345="MTO","",
IF($H345=0,ROUNDUP(((_xlfn.XLOOKUP($A345,'[1]DATOS PBI Artículos'!$A:$A,'[1]DATOS PBI Artículos'!$AM:$AM))/(_xlfn.XLOOKUP($AH$1,[1]CRITERIOS!$S$16:$S$39,[1]CRITERIOS!$Y$16:$Y$39))*$J345+$Z345)/$G345,0)*$G345,
((_xlfn.XLOOKUP($A345,'[1]DATOS PBI Artículos'!$A:$A,'[1]DATOS PBI Artículos'!$AM:$AM))/(_xlfn.XLOOKUP($AH$1,[1]CRITERIOS!$S$16:$S$39,[1]CRITERIOS!$Y$16:$Y$39))*$J345+$Z345)))</f>
        <v>#N/A</v>
      </c>
      <c r="AI345" s="39" t="e">
        <f>IF($R345="MTO","",
IF($H345=0,ROUNDUP(((_xlfn.XLOOKUP($A345,'[1]DATOS PBI Artículos'!$A:$A,'[1]DATOS PBI Artículos'!$AN:$AN))/(_xlfn.XLOOKUP($AJ$1,[1]CRITERIOS!$S$16:$S$39,[1]CRITERIOS!$Y$16:$Y$39))*$J345+$Z345)/$G345,0)*$G345,
((_xlfn.XLOOKUP($A345,'[1]DATOS PBI Artículos'!$A:$A,'[1]DATOS PBI Artículos'!$AN:$AN))/(_xlfn.XLOOKUP($AJ$1,[1]CRITERIOS!$S$16:$S$39,[1]CRITERIOS!$Y$16:$Y$39))*$J345+$Z345)))</f>
        <v>#N/A</v>
      </c>
      <c r="AK345" s="39" t="e">
        <f>IF($R345="MTO","",
IF($H345=0,ROUNDUP(((_xlfn.XLOOKUP($A345,'[1]DATOS PBI Artículos'!$A:$A,'[1]DATOS PBI Artículos'!$AO:$AO))/(_xlfn.XLOOKUP($AL$1,[1]CRITERIOS!$S$16:$S$39,[1]CRITERIOS!$Y$16:$Y$39))*$J345+$Z345)/$G345,0)*$G345,
((_xlfn.XLOOKUP($A345,'[1]DATOS PBI Artículos'!$A:$A,'[1]DATOS PBI Artículos'!$AO:$AO))/(_xlfn.XLOOKUP($AL$1,[1]CRITERIOS!$S$16:$S$39,[1]CRITERIOS!$Y$16:$Y$39))*$J345+$Z345)))</f>
        <v>#N/A</v>
      </c>
    </row>
    <row r="346" spans="1:37" ht="25.8" hidden="1" x14ac:dyDescent="0.4">
      <c r="A346" s="41"/>
      <c r="B346" s="33">
        <f>_xlfn.XLOOKUP($A346,'[1]DATOS PBI Artículos'!A:A,'[1]DATOS PBI Artículos'!B:B)</f>
        <v>0</v>
      </c>
      <c r="C346" s="33">
        <f>_xlfn.XLOOKUP($A346,'[1]DATOS PBI Artículos'!A:A,'[1]DATOS PBI Artículos'!C:C)</f>
        <v>0</v>
      </c>
      <c r="D346" s="33">
        <f>_xlfn.XLOOKUP(A346,'[1]DATOS PBI Artículos'!A:A,'[1]DATOS PBI Artículos'!T:T)</f>
        <v>0</v>
      </c>
      <c r="E346" s="34">
        <f>IF(_xlfn.XLOOKUP($A346,'[1]DATOS PBI Artículos'!A:A,'[1]DATOS PBI Artículos'!AK:AK)="",_xlfn.XLOOKUP($A346,'[1]DATOS PBI Artículos'!A:A,'[1]DATOS PBI Artículos'!AJ:AJ),_xlfn.XLOOKUP($A346,'[1]DATOS PBI Artículos'!A:A,'[1]DATOS PBI Artículos'!AK:AK))</f>
        <v>0</v>
      </c>
      <c r="F346" s="35">
        <f>_xlfn.XLOOKUP($A346,'[1]DATOS PBI Artículos'!A:A,'[1]DATOS PBI Artículos'!AP:AP)</f>
        <v>0</v>
      </c>
      <c r="G346" s="34">
        <f>_xlfn.XLOOKUP($A346,'[1]DATOS PBI Artículos'!A:A,'[1]DATOS PBI Artículos'!AR:AR)</f>
        <v>0</v>
      </c>
      <c r="H346" s="34">
        <f>_xlfn.XLOOKUP($A346,'[1]DATOS PBI Artículos'!A:A,'[1]DATOS PBI Artículos'!AT:AT)</f>
        <v>0</v>
      </c>
      <c r="I346" s="34">
        <f>_xlfn.XLOOKUP($A346,'[1]DATOS PBI Artículos'!A:A,'[1]DATOS PBI Artículos'!AS:AS)</f>
        <v>0</v>
      </c>
      <c r="J346" s="35">
        <f>IF(COUNTIF([1]CRITERIOS!$F$179:$F$199,$A346)&gt;=1,
 IF(O346&lt;&gt;"",
    (O346/_xlfn.XLOOKUP(CONCATENATE(A346,L346),[1]MÁQUINAS!A:A,[1]MÁQUINAS!D:D))/24,
    (N346/_xlfn.XLOOKUP(CONCATENATE(A346,L346),[1]MÁQUINAS!A:A,[1]MÁQUINAS!D:D))/24),
  _xlfn.XLOOKUP($A346,'[1]DATOS PBI Artículos'!A:A,'[1]DATOS PBI Artículos'!AU:AU))</f>
        <v>0</v>
      </c>
      <c r="K346" s="36">
        <f>_xlfn.XLOOKUP($A346,'[1]DATOS PBI Artículos'!A:A,'[1]DATOS PBI Artículos'!AV:AV)</f>
        <v>0</v>
      </c>
      <c r="L346" s="33">
        <f>_xlfn.XLOOKUP(A346,[1]MÁQUINAS!B:B,[1]MÁQUINAS!C:C)</f>
        <v>0</v>
      </c>
      <c r="M346" s="34">
        <f t="array" ref="M346">_xlfn.XLOOKUP(A346,'[1]DATOS PBI Artículos'!A:A,'[1]DATOS PBI Artículos'!AX:$AX)</f>
        <v>0</v>
      </c>
      <c r="N346" s="37" t="e">
        <f>IF(I346="DV",
E346,
IF(COUNTIF([1]CRITERIOS!$I$179:$I$199,$A346)&gt;=1,
_xlfn.XLOOKUP($A346,[1]CRITERIOS!$I$179:$I$199,[1]CRITERIOS!$J$179:$J$199),
IF(COUNTIF([1]CRITERIOS!$L$179:$L$199,$A346)&gt;=1,
_xlfn.CEILING.MATH(IF($M346&gt;$E346,
$E346,
IF($M346&lt;$E346/ROUNDDOWN([1]CRITERIOS!$M$16/_xlfn.XLOOKUP($C346,[1]CRITERIOS!$K$25:$K$42,[1]CRITERIOS!$M$25:$M$42),
1),
E346/ROUNDDOWN([1]CRITERIOS!$M$16/_xlfn.XLOOKUP($C346,[1]CRITERIOS!$K$25:$K$42,[1]CRITERIOS!$M$25:$M$42),
1),
$M346)),
_xlfn.XLOOKUP($A346,[1]CRITERIOS!$L$179:$L$200,[1]CRITERIOS!$M$179:$M$200)),
_xlfn.CEILING.MATH(IF($M346&gt;$E346,
$E346,
IF($M346&lt;$E346/ROUNDDOWN([1]CRITERIOS!$M$16/_xlfn.XLOOKUP($C346,[1]CRITERIOS!$K$25:$K$42,[1]CRITERIOS!$M$25:$M$42),
1),
E346/ROUNDDOWN([1]CRITERIOS!$M$16/_xlfn.XLOOKUP($C346,[1]CRITERIOS!$K$25:$K$42,[1]CRITERIOS!$M$25:$M$42),
1),
$M346)),_xlfn.XLOOKUP(A346,'[1]DATOS PBI Artículos'!A:A,'[1]DATOS PBI Artículos'!Z:Z
)))))</f>
        <v>#N/A</v>
      </c>
      <c r="Q346" s="38" t="e">
        <f>IF(AND(O346="",N346=0),
0,
   IF(COUNTIF([1]CRITERIOS!$F$179:$F$199,$A346)&gt;=1,
   1,
   IF(R346="MTO",
      $D346,
      ROUNDUP(
                    IF(($E346-SUMIF('[1]DATOS PBI Artículos'!A:A,A346,'[1]DATOS PBI Artículos'!X:X)+($V346-_xlfn.XLOOKUP(A346,'[1]DATOS PBI Artículos'!A:A,'[1]DATOS PBI Artículos'!W:W)))&lt;0,
                    0,
                    IF(($E346-SUMIF('[1]DATOS PBI Artículos'!A:A,A346,'[1]DATOS PBI Artículos'!X:X)+$V346-_xlfn.XLOOKUP($A346,'[1]DATOS PBI Artículos'!A:A,'[1]DATOS PBI Artículos'!W:W))/IF($O346="",$N346,$O346)&gt;ROUNDUP([1]CRITERIOS!$M$16/(IF(COUNTIF([1]CRITERIOS!$BG$11:$BG$201,L346)&gt;=1,_xlfn.XLOOKUP($C346,[1]CRITERIOS!$K$25:$K$42,[1]CRITERIOS!$M$25:$M$42),_xlfn.XLOOKUP($C346,[1]CRITERIOS!$K$25:$K$42,[1]CRITERIOS!$M$25:$M$42))),0),
                    ROUNDUP([1]CRITERIOS!$M$16/(IF(COUNTIF([1]CRITERIOS!$BG$11:$BG$201,$L346)&gt;=1,_xlfn.XLOOKUP($C346,[1]CRITERIOS!$K$25:$K$42,[1]CRITERIOS!$M$25:$M$42),_xlfn.XLOOKUP($C346,[1]CRITERIOS!$K$25:$K$42,[1]CRITERIOS!$M$25:$M$42))),0),
                    (E346+V346-SUMIF('[1]DATOS PBI Artículos'!A:A,A346,'[1]DATOS PBI Artículos'!X:X)-_xlfn.XLOOKUP(A346,'[1]DATOS PBI Artículos'!A:A,'[1]DATOS PBI Artículos'!W:W))/IF($O346="",$N346,$O346))),0))))</f>
        <v>#N/A</v>
      </c>
      <c r="R346" s="33" t="e">
        <f>IF(U346&lt;&gt;"",U346,IF(F346="DV","MTO",IF(N346=0,"MTO",_xlfn.XLOOKUP(CONCATENATE(S346,T346),[1]CRITERIOS!$K$160:$K$168,[1]CRITERIOS!$N$160:$N$168))))</f>
        <v>#N/A</v>
      </c>
      <c r="S346" s="33" t="e">
        <f>IF(G346="DV","MTO",IF(N346=0,"MTO",IF(OR(AND(N346=0,O346=""),IF(O346="",G346/N346,G346/O346)&gt;[1]CRITERIOS!$G$163),"MTO",IF(IF(O346="",G346/N346,G346/O346)&lt;[1]CRITERIOS!$H$161,"MTS","MTOS"))))</f>
        <v>#N/A</v>
      </c>
      <c r="T346" s="33" t="e">
        <f>IF(F346="DV","MTO",IF(OR(AND($N346=0,O346=""),$F346/$J346&gt;[1]CRITERIOS!$G$170,$F346="DV"),"MTO",IF($F346/$J346&lt;[1]CRITERIOS!$H$168,"MTS","MTOS")))</f>
        <v>#N/A</v>
      </c>
      <c r="V346" s="34" t="e">
        <f t="shared" si="19"/>
        <v>#N/A</v>
      </c>
      <c r="X346" s="34" t="e">
        <f t="shared" si="17"/>
        <v>#N/A</v>
      </c>
      <c r="Y346" s="34" t="e">
        <f t="shared" si="18"/>
        <v>#N/A</v>
      </c>
      <c r="Z346" s="34" t="e">
        <f>IF($R346="MTO",
0,
($H346+$K346*($E346/[1]CRITERIOS!$M$16))/[1]CRITERIOS!$X$48)</f>
        <v>#N/A</v>
      </c>
      <c r="AA346" s="34" t="e">
        <f>ROUNDUP(($Y346/_xlfn.XLOOKUP($A346,'[1]DATOS PBI Artículos'!$A$4:$A$4,'[1]DATOS PBI Artículos'!$Z$4:$Z$4))/_xlfn.XLOOKUP(_xlfn.XLOOKUP($A346,'[1]DATOS PBI Artículos'!$A$4:$A$4,'[1]DATOS PBI Artículos'!$Y$4:$Y$4),[1]CRITERIOS!$P$79:$P$123,[1]CRITERIOS!$S$79:$S$123,),0)</f>
        <v>#N/A</v>
      </c>
      <c r="AB346" s="33" t="e">
        <f t="array" ref="AB346">IF((E346+V346-_xlfn.XLOOKUP(A346,'[1]DATOS PBI Artículos'!$A$4:$A$4,'[1]DATOS PBI Artículos'!$W$4:$W$4))/N346&gt;ROUNDUP([1]CRITERIOS!$M$16/(IF(COUNTIF([1]CRITERIOS!$BG$11:$BG$201,L346)&gt;=1,_xlfn.XLOOKUP(ARTÍCULOS!L346,[1]CRITERIOS!$BG$11:$BG$201,[1]CRITERIOS!$BJ$11:$BJ$201),_xlfn.XLOOKUP(ARTÍCULOS!C346,[1]CRITERIOS!$K$25:$K$42,[1]CRITERIOS!$M$25:$M$42))),0),ROUNDUP([1]CRITERIOS!$M$16/(IF(COUNTIF([1]CRITERIOS!$BG$11:$BG$201,L346)&gt;=1,_xlfn.XLOOKUP(ARTÍCULOS!L346,[1]CRITERIOS!$BG$11:$BG$201:#REF!,[1]CRITERIOS!$BJ$11:$BJ$201),_xlfn.XLOOKUP(ARTÍCULOS!C346,[1]CRITERIOS!$K$25:$K$42,[1]CRITERIOS!$M$25:$M$42))),0),(E346+V346-_xlfn.XLOOKUP(A346,'[1]DATOS PBI Artículos'!$A$4:$A$4,'[1]DATOS PBI Artículos'!$W$4:$W$4))/N346)</f>
        <v>#N/A</v>
      </c>
      <c r="AC346" s="33" t="e">
        <f>IF(N346=0,"",(ROUNDUP((N346/2)/(_xlfn.XLOOKUP(A346,'[1]DATOS PBI Artículos'!$A$4:$A$4,'[1]DATOS PBI Artículos'!$Z$4:$Z$4)*_xlfn.XLOOKUP(_xlfn.XLOOKUP(A346,'[1]DATOS PBI Artículos'!$A$4:$A$4,'[1]DATOS PBI Artículos'!$Y$4:$Y$4),[1]CRITERIOS!$P$79:$P$123,[1]CRITERIOS!$S$79:$S$123)),0)*[1]CRITERIOS!$M$80*([1]CRITERIOS!$M$110/[1]CRITERIOS!$M$86)+(_xlfn.XLOOKUP(A346,'[1]DATOS PBI Artículos'!$A$4:$A$4,'[1]DATOS PBI Artículos'!$AA$4:$AA$4)*([1]CRITERIOS!$M$95+[1]CRITERIOS!$M$98)))/N346)</f>
        <v>#N/A</v>
      </c>
      <c r="AD346" s="33" t="e">
        <f>IF(N346=0,"",(ROUNDUP((N346/2)/(_xlfn.XLOOKUP(A346,'[1]DATOS PBI Artículos'!$A$4:$A$4,'[1]DATOS PBI Artículos'!$Z$4:$Z$4)*_xlfn.XLOOKUP(_xlfn.XLOOKUP(A346,'[1]DATOS PBI Artículos'!$A$4:$A$4,'[1]DATOS PBI Artículos'!$Y$4:$Y$4),[1]CRITERIOS!$P$79:$P$123,[1]CRITERIOS!$S$79:$S$123)),0)*[1]CRITERIOS!$M$80*([1]CRITERIOS!$M$89*[1]CRITERIOS!$M$92)+((_xlfn.XLOOKUP(A346,'[1]DATOS PBI Artículos'!$A$4:$A$4,'[1]DATOS PBI Artículos'!$AA$4:$AA$4)/2)*([1]CRITERIOS!$M$95+[1]CRITERIOS!$M$98)))/N346)</f>
        <v>#N/A</v>
      </c>
      <c r="AE346" s="39" t="e">
        <f>IF($R346="MTO","",
IF($H346=0,ROUNDUP(((_xlfn.XLOOKUP($A346,'[1]DATOS PBI Artículos'!$A:$A,'[1]DATOS PBI Artículos'!$AL:$AL))/(_xlfn.XLOOKUP($AF$1,[1]CRITERIOS!$S$16:$S$39,[1]CRITERIOS!$Y$16:$Y$39))*$J346+$Z346)/$G346,0)*$G346,
((_xlfn.XLOOKUP($A346,'[1]DATOS PBI Artículos'!$A:$A,'[1]DATOS PBI Artículos'!$AL:$AL))/(_xlfn.XLOOKUP($AF$1,[1]CRITERIOS!$S$16:$S$39,[1]CRITERIOS!$Y$16:$Y$39))*$J346+$Z346)))</f>
        <v>#N/A</v>
      </c>
      <c r="AG346" s="39" t="e">
        <f>IF($R346="MTO","",
IF($H346=0,ROUNDUP(((_xlfn.XLOOKUP($A346,'[1]DATOS PBI Artículos'!$A:$A,'[1]DATOS PBI Artículos'!$AM:$AM))/(_xlfn.XLOOKUP($AH$1,[1]CRITERIOS!$S$16:$S$39,[1]CRITERIOS!$Y$16:$Y$39))*$J346+$Z346)/$G346,0)*$G346,
((_xlfn.XLOOKUP($A346,'[1]DATOS PBI Artículos'!$A:$A,'[1]DATOS PBI Artículos'!$AM:$AM))/(_xlfn.XLOOKUP($AH$1,[1]CRITERIOS!$S$16:$S$39,[1]CRITERIOS!$Y$16:$Y$39))*$J346+$Z346)))</f>
        <v>#N/A</v>
      </c>
      <c r="AI346" s="39" t="e">
        <f>IF($R346="MTO","",
IF($H346=0,ROUNDUP(((_xlfn.XLOOKUP($A346,'[1]DATOS PBI Artículos'!$A:$A,'[1]DATOS PBI Artículos'!$AN:$AN))/(_xlfn.XLOOKUP($AJ$1,[1]CRITERIOS!$S$16:$S$39,[1]CRITERIOS!$Y$16:$Y$39))*$J346+$Z346)/$G346,0)*$G346,
((_xlfn.XLOOKUP($A346,'[1]DATOS PBI Artículos'!$A:$A,'[1]DATOS PBI Artículos'!$AN:$AN))/(_xlfn.XLOOKUP($AJ$1,[1]CRITERIOS!$S$16:$S$39,[1]CRITERIOS!$Y$16:$Y$39))*$J346+$Z346)))</f>
        <v>#N/A</v>
      </c>
      <c r="AK346" s="39" t="e">
        <f>IF($R346="MTO","",
IF($H346=0,ROUNDUP(((_xlfn.XLOOKUP($A346,'[1]DATOS PBI Artículos'!$A:$A,'[1]DATOS PBI Artículos'!$AO:$AO))/(_xlfn.XLOOKUP($AL$1,[1]CRITERIOS!$S$16:$S$39,[1]CRITERIOS!$Y$16:$Y$39))*$J346+$Z346)/$G346,0)*$G346,
((_xlfn.XLOOKUP($A346,'[1]DATOS PBI Artículos'!$A:$A,'[1]DATOS PBI Artículos'!$AO:$AO))/(_xlfn.XLOOKUP($AL$1,[1]CRITERIOS!$S$16:$S$39,[1]CRITERIOS!$Y$16:$Y$39))*$J346+$Z346)))</f>
        <v>#N/A</v>
      </c>
    </row>
    <row r="347" spans="1:37" ht="25.8" hidden="1" x14ac:dyDescent="0.4">
      <c r="A347" s="41"/>
      <c r="B347" s="33">
        <f>_xlfn.XLOOKUP($A347,'[1]DATOS PBI Artículos'!A:A,'[1]DATOS PBI Artículos'!B:B)</f>
        <v>0</v>
      </c>
      <c r="C347" s="33">
        <f>_xlfn.XLOOKUP($A347,'[1]DATOS PBI Artículos'!A:A,'[1]DATOS PBI Artículos'!C:C)</f>
        <v>0</v>
      </c>
      <c r="D347" s="33">
        <f>_xlfn.XLOOKUP(A347,'[1]DATOS PBI Artículos'!A:A,'[1]DATOS PBI Artículos'!T:T)</f>
        <v>0</v>
      </c>
      <c r="E347" s="34">
        <f>IF(_xlfn.XLOOKUP($A347,'[1]DATOS PBI Artículos'!A:A,'[1]DATOS PBI Artículos'!AK:AK)="",_xlfn.XLOOKUP($A347,'[1]DATOS PBI Artículos'!A:A,'[1]DATOS PBI Artículos'!AJ:AJ),_xlfn.XLOOKUP($A347,'[1]DATOS PBI Artículos'!A:A,'[1]DATOS PBI Artículos'!AK:AK))</f>
        <v>0</v>
      </c>
      <c r="F347" s="35">
        <f>_xlfn.XLOOKUP($A347,'[1]DATOS PBI Artículos'!A:A,'[1]DATOS PBI Artículos'!AP:AP)</f>
        <v>0</v>
      </c>
      <c r="G347" s="34">
        <f>_xlfn.XLOOKUP($A347,'[1]DATOS PBI Artículos'!A:A,'[1]DATOS PBI Artículos'!AR:AR)</f>
        <v>0</v>
      </c>
      <c r="H347" s="34">
        <f>_xlfn.XLOOKUP($A347,'[1]DATOS PBI Artículos'!A:A,'[1]DATOS PBI Artículos'!AT:AT)</f>
        <v>0</v>
      </c>
      <c r="I347" s="34">
        <f>_xlfn.XLOOKUP($A347,'[1]DATOS PBI Artículos'!A:A,'[1]DATOS PBI Artículos'!AS:AS)</f>
        <v>0</v>
      </c>
      <c r="J347" s="35">
        <f>IF(COUNTIF([1]CRITERIOS!$F$179:$F$199,$A347)&gt;=1,
 IF(O347&lt;&gt;"",
    (O347/_xlfn.XLOOKUP(CONCATENATE(A347,L347),[1]MÁQUINAS!A:A,[1]MÁQUINAS!D:D))/24,
    (N347/_xlfn.XLOOKUP(CONCATENATE(A347,L347),[1]MÁQUINAS!A:A,[1]MÁQUINAS!D:D))/24),
  _xlfn.XLOOKUP($A347,'[1]DATOS PBI Artículos'!A:A,'[1]DATOS PBI Artículos'!AU:AU))</f>
        <v>0</v>
      </c>
      <c r="K347" s="36">
        <f>_xlfn.XLOOKUP($A347,'[1]DATOS PBI Artículos'!A:A,'[1]DATOS PBI Artículos'!AV:AV)</f>
        <v>0</v>
      </c>
      <c r="L347" s="33">
        <f>_xlfn.XLOOKUP(A347,[1]MÁQUINAS!B:B,[1]MÁQUINAS!C:C)</f>
        <v>0</v>
      </c>
      <c r="M347" s="34">
        <f t="array" ref="M347">_xlfn.XLOOKUP(A347,'[1]DATOS PBI Artículos'!A:A,'[1]DATOS PBI Artículos'!AX:$AX)</f>
        <v>0</v>
      </c>
      <c r="N347" s="37" t="e">
        <f>IF(I347="DV",
E347,
IF(COUNTIF([1]CRITERIOS!$I$179:$I$199,$A347)&gt;=1,
_xlfn.XLOOKUP($A347,[1]CRITERIOS!$I$179:$I$199,[1]CRITERIOS!$J$179:$J$199),
IF(COUNTIF([1]CRITERIOS!$L$179:$L$199,$A347)&gt;=1,
_xlfn.CEILING.MATH(IF($M347&gt;$E347,
$E347,
IF($M347&lt;$E347/ROUNDDOWN([1]CRITERIOS!$M$16/_xlfn.XLOOKUP($C347,[1]CRITERIOS!$K$25:$K$42,[1]CRITERIOS!$M$25:$M$42),
1),
E347/ROUNDDOWN([1]CRITERIOS!$M$16/_xlfn.XLOOKUP($C347,[1]CRITERIOS!$K$25:$K$42,[1]CRITERIOS!$M$25:$M$42),
1),
$M347)),
_xlfn.XLOOKUP($A347,[1]CRITERIOS!$L$179:$L$200,[1]CRITERIOS!$M$179:$M$200)),
_xlfn.CEILING.MATH(IF($M347&gt;$E347,
$E347,
IF($M347&lt;$E347/ROUNDDOWN([1]CRITERIOS!$M$16/_xlfn.XLOOKUP($C347,[1]CRITERIOS!$K$25:$K$42,[1]CRITERIOS!$M$25:$M$42),
1),
E347/ROUNDDOWN([1]CRITERIOS!$M$16/_xlfn.XLOOKUP($C347,[1]CRITERIOS!$K$25:$K$42,[1]CRITERIOS!$M$25:$M$42),
1),
$M347)),_xlfn.XLOOKUP(A347,'[1]DATOS PBI Artículos'!A:A,'[1]DATOS PBI Artículos'!Z:Z
)))))</f>
        <v>#N/A</v>
      </c>
      <c r="Q347" s="38" t="e">
        <f>IF(AND(O347="",N347=0),
0,
   IF(COUNTIF([1]CRITERIOS!$F$179:$F$199,$A347)&gt;=1,
   1,
   IF(R347="MTO",
      $D347,
      ROUNDUP(
                    IF(($E347-SUMIF('[1]DATOS PBI Artículos'!A:A,A347,'[1]DATOS PBI Artículos'!X:X)+($V347-_xlfn.XLOOKUP(A347,'[1]DATOS PBI Artículos'!A:A,'[1]DATOS PBI Artículos'!W:W)))&lt;0,
                    0,
                    IF(($E347-SUMIF('[1]DATOS PBI Artículos'!A:A,A347,'[1]DATOS PBI Artículos'!X:X)+$V347-_xlfn.XLOOKUP($A347,'[1]DATOS PBI Artículos'!A:A,'[1]DATOS PBI Artículos'!W:W))/IF($O347="",$N347,$O347)&gt;ROUNDUP([1]CRITERIOS!$M$16/(IF(COUNTIF([1]CRITERIOS!$BG$11:$BG$201,L347)&gt;=1,_xlfn.XLOOKUP($C347,[1]CRITERIOS!$K$25:$K$42,[1]CRITERIOS!$M$25:$M$42),_xlfn.XLOOKUP($C347,[1]CRITERIOS!$K$25:$K$42,[1]CRITERIOS!$M$25:$M$42))),0),
                    ROUNDUP([1]CRITERIOS!$M$16/(IF(COUNTIF([1]CRITERIOS!$BG$11:$BG$201,$L347)&gt;=1,_xlfn.XLOOKUP($C347,[1]CRITERIOS!$K$25:$K$42,[1]CRITERIOS!$M$25:$M$42),_xlfn.XLOOKUP($C347,[1]CRITERIOS!$K$25:$K$42,[1]CRITERIOS!$M$25:$M$42))),0),
                    (E347+V347-SUMIF('[1]DATOS PBI Artículos'!A:A,A347,'[1]DATOS PBI Artículos'!X:X)-_xlfn.XLOOKUP(A347,'[1]DATOS PBI Artículos'!A:A,'[1]DATOS PBI Artículos'!W:W))/IF($O347="",$N347,$O347))),0))))</f>
        <v>#N/A</v>
      </c>
      <c r="R347" s="33" t="e">
        <f>IF(U347&lt;&gt;"",U347,IF(F347="DV","MTO",IF(N347=0,"MTO",_xlfn.XLOOKUP(CONCATENATE(S347,T347),[1]CRITERIOS!$K$160:$K$168,[1]CRITERIOS!$N$160:$N$168))))</f>
        <v>#N/A</v>
      </c>
      <c r="S347" s="33" t="e">
        <f>IF(G347="DV","MTO",IF(N347=0,"MTO",IF(OR(AND(N347=0,O347=""),IF(O347="",G347/N347,G347/O347)&gt;[1]CRITERIOS!$G$163),"MTO",IF(IF(O347="",G347/N347,G347/O347)&lt;[1]CRITERIOS!$H$161,"MTS","MTOS"))))</f>
        <v>#N/A</v>
      </c>
      <c r="T347" s="33" t="e">
        <f>IF(F347="DV","MTO",IF(OR(AND($N347=0,O347=""),$F347/$J347&gt;[1]CRITERIOS!$G$170,$F347="DV"),"MTO",IF($F347/$J347&lt;[1]CRITERIOS!$H$168,"MTS","MTOS")))</f>
        <v>#N/A</v>
      </c>
      <c r="V347" s="34" t="e">
        <f t="shared" si="19"/>
        <v>#N/A</v>
      </c>
      <c r="X347" s="34" t="e">
        <f t="shared" si="17"/>
        <v>#N/A</v>
      </c>
      <c r="Y347" s="34" t="e">
        <f t="shared" si="18"/>
        <v>#N/A</v>
      </c>
      <c r="Z347" s="34" t="e">
        <f>IF($R347="MTO",
0,
($H347+$K347*($E347/[1]CRITERIOS!$M$16))/[1]CRITERIOS!$X$48)</f>
        <v>#N/A</v>
      </c>
      <c r="AA347" s="34" t="e">
        <f>ROUNDUP(($Y347/_xlfn.XLOOKUP($A347,'[1]DATOS PBI Artículos'!$A$4:$A$4,'[1]DATOS PBI Artículos'!$Z$4:$Z$4))/_xlfn.XLOOKUP(_xlfn.XLOOKUP($A347,'[1]DATOS PBI Artículos'!$A$4:$A$4,'[1]DATOS PBI Artículos'!$Y$4:$Y$4),[1]CRITERIOS!$P$79:$P$123,[1]CRITERIOS!$S$79:$S$123,),0)</f>
        <v>#N/A</v>
      </c>
      <c r="AB347" s="33" t="e">
        <f t="array" ref="AB347">IF((E347+V347-_xlfn.XLOOKUP(A347,'[1]DATOS PBI Artículos'!$A$4:$A$4,'[1]DATOS PBI Artículos'!$W$4:$W$4))/N347&gt;ROUNDUP([1]CRITERIOS!$M$16/(IF(COUNTIF([1]CRITERIOS!$BG$11:$BG$201,L347)&gt;=1,_xlfn.XLOOKUP(ARTÍCULOS!L347,[1]CRITERIOS!$BG$11:$BG$201,[1]CRITERIOS!$BJ$11:$BJ$201),_xlfn.XLOOKUP(ARTÍCULOS!C347,[1]CRITERIOS!$K$25:$K$42,[1]CRITERIOS!$M$25:$M$42))),0),ROUNDUP([1]CRITERIOS!$M$16/(IF(COUNTIF([1]CRITERIOS!$BG$11:$BG$201,L347)&gt;=1,_xlfn.XLOOKUP(ARTÍCULOS!L347,[1]CRITERIOS!$BG$11:$BG$201:#REF!,[1]CRITERIOS!$BJ$11:$BJ$201),_xlfn.XLOOKUP(ARTÍCULOS!C347,[1]CRITERIOS!$K$25:$K$42,[1]CRITERIOS!$M$25:$M$42))),0),(E347+V347-_xlfn.XLOOKUP(A347,'[1]DATOS PBI Artículos'!$A$4:$A$4,'[1]DATOS PBI Artículos'!$W$4:$W$4))/N347)</f>
        <v>#N/A</v>
      </c>
      <c r="AC347" s="33" t="e">
        <f>IF(N347=0,"",(ROUNDUP((N347/2)/(_xlfn.XLOOKUP(A347,'[1]DATOS PBI Artículos'!$A$4:$A$4,'[1]DATOS PBI Artículos'!$Z$4:$Z$4)*_xlfn.XLOOKUP(_xlfn.XLOOKUP(A347,'[1]DATOS PBI Artículos'!$A$4:$A$4,'[1]DATOS PBI Artículos'!$Y$4:$Y$4),[1]CRITERIOS!$P$79:$P$123,[1]CRITERIOS!$S$79:$S$123)),0)*[1]CRITERIOS!$M$80*([1]CRITERIOS!$M$110/[1]CRITERIOS!$M$86)+(_xlfn.XLOOKUP(A347,'[1]DATOS PBI Artículos'!$A$4:$A$4,'[1]DATOS PBI Artículos'!$AA$4:$AA$4)*([1]CRITERIOS!$M$95+[1]CRITERIOS!$M$98)))/N347)</f>
        <v>#N/A</v>
      </c>
      <c r="AD347" s="33" t="e">
        <f>IF(N347=0,"",(ROUNDUP((N347/2)/(_xlfn.XLOOKUP(A347,'[1]DATOS PBI Artículos'!$A$4:$A$4,'[1]DATOS PBI Artículos'!$Z$4:$Z$4)*_xlfn.XLOOKUP(_xlfn.XLOOKUP(A347,'[1]DATOS PBI Artículos'!$A$4:$A$4,'[1]DATOS PBI Artículos'!$Y$4:$Y$4),[1]CRITERIOS!$P$79:$P$123,[1]CRITERIOS!$S$79:$S$123)),0)*[1]CRITERIOS!$M$80*([1]CRITERIOS!$M$89*[1]CRITERIOS!$M$92)+((_xlfn.XLOOKUP(A347,'[1]DATOS PBI Artículos'!$A$4:$A$4,'[1]DATOS PBI Artículos'!$AA$4:$AA$4)/2)*([1]CRITERIOS!$M$95+[1]CRITERIOS!$M$98)))/N347)</f>
        <v>#N/A</v>
      </c>
      <c r="AE347" s="39" t="e">
        <f>IF($R347="MTO","",
IF($H347=0,ROUNDUP(((_xlfn.XLOOKUP($A347,'[1]DATOS PBI Artículos'!$A:$A,'[1]DATOS PBI Artículos'!$AL:$AL))/(_xlfn.XLOOKUP($AF$1,[1]CRITERIOS!$S$16:$S$39,[1]CRITERIOS!$Y$16:$Y$39))*$J347+$Z347)/$G347,0)*$G347,
((_xlfn.XLOOKUP($A347,'[1]DATOS PBI Artículos'!$A:$A,'[1]DATOS PBI Artículos'!$AL:$AL))/(_xlfn.XLOOKUP($AF$1,[1]CRITERIOS!$S$16:$S$39,[1]CRITERIOS!$Y$16:$Y$39))*$J347+$Z347)))</f>
        <v>#N/A</v>
      </c>
      <c r="AG347" s="39" t="e">
        <f>IF($R347="MTO","",
IF($H347=0,ROUNDUP(((_xlfn.XLOOKUP($A347,'[1]DATOS PBI Artículos'!$A:$A,'[1]DATOS PBI Artículos'!$AM:$AM))/(_xlfn.XLOOKUP($AH$1,[1]CRITERIOS!$S$16:$S$39,[1]CRITERIOS!$Y$16:$Y$39))*$J347+$Z347)/$G347,0)*$G347,
((_xlfn.XLOOKUP($A347,'[1]DATOS PBI Artículos'!$A:$A,'[1]DATOS PBI Artículos'!$AM:$AM))/(_xlfn.XLOOKUP($AH$1,[1]CRITERIOS!$S$16:$S$39,[1]CRITERIOS!$Y$16:$Y$39))*$J347+$Z347)))</f>
        <v>#N/A</v>
      </c>
      <c r="AI347" s="39" t="e">
        <f>IF($R347="MTO","",
IF($H347=0,ROUNDUP(((_xlfn.XLOOKUP($A347,'[1]DATOS PBI Artículos'!$A:$A,'[1]DATOS PBI Artículos'!$AN:$AN))/(_xlfn.XLOOKUP($AJ$1,[1]CRITERIOS!$S$16:$S$39,[1]CRITERIOS!$Y$16:$Y$39))*$J347+$Z347)/$G347,0)*$G347,
((_xlfn.XLOOKUP($A347,'[1]DATOS PBI Artículos'!$A:$A,'[1]DATOS PBI Artículos'!$AN:$AN))/(_xlfn.XLOOKUP($AJ$1,[1]CRITERIOS!$S$16:$S$39,[1]CRITERIOS!$Y$16:$Y$39))*$J347+$Z347)))</f>
        <v>#N/A</v>
      </c>
      <c r="AK347" s="39" t="e">
        <f>IF($R347="MTO","",
IF($H347=0,ROUNDUP(((_xlfn.XLOOKUP($A347,'[1]DATOS PBI Artículos'!$A:$A,'[1]DATOS PBI Artículos'!$AO:$AO))/(_xlfn.XLOOKUP($AL$1,[1]CRITERIOS!$S$16:$S$39,[1]CRITERIOS!$Y$16:$Y$39))*$J347+$Z347)/$G347,0)*$G347,
((_xlfn.XLOOKUP($A347,'[1]DATOS PBI Artículos'!$A:$A,'[1]DATOS PBI Artículos'!$AO:$AO))/(_xlfn.XLOOKUP($AL$1,[1]CRITERIOS!$S$16:$S$39,[1]CRITERIOS!$Y$16:$Y$39))*$J347+$Z347)))</f>
        <v>#N/A</v>
      </c>
    </row>
    <row r="348" spans="1:37" ht="25.8" hidden="1" x14ac:dyDescent="0.4">
      <c r="A348" s="41"/>
      <c r="B348" s="33">
        <f>_xlfn.XLOOKUP($A348,'[1]DATOS PBI Artículos'!A:A,'[1]DATOS PBI Artículos'!B:B)</f>
        <v>0</v>
      </c>
      <c r="C348" s="33">
        <f>_xlfn.XLOOKUP($A348,'[1]DATOS PBI Artículos'!A:A,'[1]DATOS PBI Artículos'!C:C)</f>
        <v>0</v>
      </c>
      <c r="D348" s="33">
        <f>_xlfn.XLOOKUP(A348,'[1]DATOS PBI Artículos'!A:A,'[1]DATOS PBI Artículos'!T:T)</f>
        <v>0</v>
      </c>
      <c r="E348" s="34">
        <f>IF(_xlfn.XLOOKUP($A348,'[1]DATOS PBI Artículos'!A:A,'[1]DATOS PBI Artículos'!AK:AK)="",_xlfn.XLOOKUP($A348,'[1]DATOS PBI Artículos'!A:A,'[1]DATOS PBI Artículos'!AJ:AJ),_xlfn.XLOOKUP($A348,'[1]DATOS PBI Artículos'!A:A,'[1]DATOS PBI Artículos'!AK:AK))</f>
        <v>0</v>
      </c>
      <c r="F348" s="35">
        <f>_xlfn.XLOOKUP($A348,'[1]DATOS PBI Artículos'!A:A,'[1]DATOS PBI Artículos'!AP:AP)</f>
        <v>0</v>
      </c>
      <c r="G348" s="34">
        <f>_xlfn.XLOOKUP($A348,'[1]DATOS PBI Artículos'!A:A,'[1]DATOS PBI Artículos'!AR:AR)</f>
        <v>0</v>
      </c>
      <c r="H348" s="34">
        <f>_xlfn.XLOOKUP($A348,'[1]DATOS PBI Artículos'!A:A,'[1]DATOS PBI Artículos'!AT:AT)</f>
        <v>0</v>
      </c>
      <c r="I348" s="34">
        <f>_xlfn.XLOOKUP($A348,'[1]DATOS PBI Artículos'!A:A,'[1]DATOS PBI Artículos'!AS:AS)</f>
        <v>0</v>
      </c>
      <c r="J348" s="35">
        <f>IF(COUNTIF([1]CRITERIOS!$F$179:$F$199,$A348)&gt;=1,
 IF(O348&lt;&gt;"",
    (O348/_xlfn.XLOOKUP(CONCATENATE(A348,L348),[1]MÁQUINAS!A:A,[1]MÁQUINAS!D:D))/24,
    (N348/_xlfn.XLOOKUP(CONCATENATE(A348,L348),[1]MÁQUINAS!A:A,[1]MÁQUINAS!D:D))/24),
  _xlfn.XLOOKUP($A348,'[1]DATOS PBI Artículos'!A:A,'[1]DATOS PBI Artículos'!AU:AU))</f>
        <v>0</v>
      </c>
      <c r="K348" s="36">
        <f>_xlfn.XLOOKUP($A348,'[1]DATOS PBI Artículos'!A:A,'[1]DATOS PBI Artículos'!AV:AV)</f>
        <v>0</v>
      </c>
      <c r="L348" s="33">
        <f>_xlfn.XLOOKUP(A348,[1]MÁQUINAS!B:B,[1]MÁQUINAS!C:C)</f>
        <v>0</v>
      </c>
      <c r="M348" s="34">
        <f t="array" ref="M348">_xlfn.XLOOKUP(A348,'[1]DATOS PBI Artículos'!A:A,'[1]DATOS PBI Artículos'!AX:$AX)</f>
        <v>0</v>
      </c>
      <c r="N348" s="37" t="e">
        <f>IF(I348="DV",
E348,
IF(COUNTIF([1]CRITERIOS!$I$179:$I$199,$A348)&gt;=1,
_xlfn.XLOOKUP($A348,[1]CRITERIOS!$I$179:$I$199,[1]CRITERIOS!$J$179:$J$199),
IF(COUNTIF([1]CRITERIOS!$L$179:$L$199,$A348)&gt;=1,
_xlfn.CEILING.MATH(IF($M348&gt;$E348,
$E348,
IF($M348&lt;$E348/ROUNDDOWN([1]CRITERIOS!$M$16/_xlfn.XLOOKUP($C348,[1]CRITERIOS!$K$25:$K$42,[1]CRITERIOS!$M$25:$M$42),
1),
E348/ROUNDDOWN([1]CRITERIOS!$M$16/_xlfn.XLOOKUP($C348,[1]CRITERIOS!$K$25:$K$42,[1]CRITERIOS!$M$25:$M$42),
1),
$M348)),
_xlfn.XLOOKUP($A348,[1]CRITERIOS!$L$179:$L$200,[1]CRITERIOS!$M$179:$M$200)),
_xlfn.CEILING.MATH(IF($M348&gt;$E348,
$E348,
IF($M348&lt;$E348/ROUNDDOWN([1]CRITERIOS!$M$16/_xlfn.XLOOKUP($C348,[1]CRITERIOS!$K$25:$K$42,[1]CRITERIOS!$M$25:$M$42),
1),
E348/ROUNDDOWN([1]CRITERIOS!$M$16/_xlfn.XLOOKUP($C348,[1]CRITERIOS!$K$25:$K$42,[1]CRITERIOS!$M$25:$M$42),
1),
$M348)),_xlfn.XLOOKUP(A348,'[1]DATOS PBI Artículos'!A:A,'[1]DATOS PBI Artículos'!Z:Z
)))))</f>
        <v>#N/A</v>
      </c>
      <c r="Q348" s="38" t="e">
        <f>IF(AND(O348="",N348=0),
0,
   IF(COUNTIF([1]CRITERIOS!$F$179:$F$199,$A348)&gt;=1,
   1,
   IF(R348="MTO",
      $D348,
      ROUNDUP(
                    IF(($E348-SUMIF('[1]DATOS PBI Artículos'!A:A,A348,'[1]DATOS PBI Artículos'!X:X)+($V348-_xlfn.XLOOKUP(A348,'[1]DATOS PBI Artículos'!A:A,'[1]DATOS PBI Artículos'!W:W)))&lt;0,
                    0,
                    IF(($E348-SUMIF('[1]DATOS PBI Artículos'!A:A,A348,'[1]DATOS PBI Artículos'!X:X)+$V348-_xlfn.XLOOKUP($A348,'[1]DATOS PBI Artículos'!A:A,'[1]DATOS PBI Artículos'!W:W))/IF($O348="",$N348,$O348)&gt;ROUNDUP([1]CRITERIOS!$M$16/(IF(COUNTIF([1]CRITERIOS!$BG$11:$BG$201,L348)&gt;=1,_xlfn.XLOOKUP($C348,[1]CRITERIOS!$K$25:$K$42,[1]CRITERIOS!$M$25:$M$42),_xlfn.XLOOKUP($C348,[1]CRITERIOS!$K$25:$K$42,[1]CRITERIOS!$M$25:$M$42))),0),
                    ROUNDUP([1]CRITERIOS!$M$16/(IF(COUNTIF([1]CRITERIOS!$BG$11:$BG$201,$L348)&gt;=1,_xlfn.XLOOKUP($C348,[1]CRITERIOS!$K$25:$K$42,[1]CRITERIOS!$M$25:$M$42),_xlfn.XLOOKUP($C348,[1]CRITERIOS!$K$25:$K$42,[1]CRITERIOS!$M$25:$M$42))),0),
                    (E348+V348-SUMIF('[1]DATOS PBI Artículos'!A:A,A348,'[1]DATOS PBI Artículos'!X:X)-_xlfn.XLOOKUP(A348,'[1]DATOS PBI Artículos'!A:A,'[1]DATOS PBI Artículos'!W:W))/IF($O348="",$N348,$O348))),0))))</f>
        <v>#N/A</v>
      </c>
      <c r="R348" s="33" t="e">
        <f>IF(U348&lt;&gt;"",U348,IF(F348="DV","MTO",IF(N348=0,"MTO",_xlfn.XLOOKUP(CONCATENATE(S348,T348),[1]CRITERIOS!$K$160:$K$168,[1]CRITERIOS!$N$160:$N$168))))</f>
        <v>#N/A</v>
      </c>
      <c r="S348" s="33" t="e">
        <f>IF(G348="DV","MTO",IF(N348=0,"MTO",IF(OR(AND(N348=0,O348=""),IF(O348="",G348/N348,G348/O348)&gt;[1]CRITERIOS!$G$163),"MTO",IF(IF(O348="",G348/N348,G348/O348)&lt;[1]CRITERIOS!$H$161,"MTS","MTOS"))))</f>
        <v>#N/A</v>
      </c>
      <c r="T348" s="33" t="e">
        <f>IF(F348="DV","MTO",IF(OR(AND($N348=0,O348=""),$F348/$J348&gt;[1]CRITERIOS!$G$170,$F348="DV"),"MTO",IF($F348/$J348&lt;[1]CRITERIOS!$H$168,"MTS","MTOS")))</f>
        <v>#N/A</v>
      </c>
      <c r="V348" s="34" t="e">
        <f t="shared" si="19"/>
        <v>#N/A</v>
      </c>
      <c r="X348" s="34" t="e">
        <f t="shared" si="17"/>
        <v>#N/A</v>
      </c>
      <c r="Y348" s="34" t="e">
        <f t="shared" si="18"/>
        <v>#N/A</v>
      </c>
      <c r="Z348" s="34" t="e">
        <f>IF($R348="MTO",
0,
($H348+$K348*($E348/[1]CRITERIOS!$M$16))/[1]CRITERIOS!$X$48)</f>
        <v>#N/A</v>
      </c>
      <c r="AA348" s="34" t="e">
        <f>ROUNDUP(($Y348/_xlfn.XLOOKUP($A348,'[1]DATOS PBI Artículos'!$A$4:$A$4,'[1]DATOS PBI Artículos'!$Z$4:$Z$4))/_xlfn.XLOOKUP(_xlfn.XLOOKUP($A348,'[1]DATOS PBI Artículos'!$A$4:$A$4,'[1]DATOS PBI Artículos'!$Y$4:$Y$4),[1]CRITERIOS!$P$79:$P$123,[1]CRITERIOS!$S$79:$S$123,),0)</f>
        <v>#N/A</v>
      </c>
      <c r="AB348" s="33" t="e">
        <f t="array" ref="AB348">IF((E348+V348-_xlfn.XLOOKUP(A348,'[1]DATOS PBI Artículos'!$A$4:$A$4,'[1]DATOS PBI Artículos'!$W$4:$W$4))/N348&gt;ROUNDUP([1]CRITERIOS!$M$16/(IF(COUNTIF([1]CRITERIOS!$BG$11:$BG$201,L348)&gt;=1,_xlfn.XLOOKUP(ARTÍCULOS!L348,[1]CRITERIOS!$BG$11:$BG$201,[1]CRITERIOS!$BJ$11:$BJ$201),_xlfn.XLOOKUP(ARTÍCULOS!C348,[1]CRITERIOS!$K$25:$K$42,[1]CRITERIOS!$M$25:$M$42))),0),ROUNDUP([1]CRITERIOS!$M$16/(IF(COUNTIF([1]CRITERIOS!$BG$11:$BG$201,L348)&gt;=1,_xlfn.XLOOKUP(ARTÍCULOS!L348,[1]CRITERIOS!$BG$11:$BG$201:#REF!,[1]CRITERIOS!$BJ$11:$BJ$201),_xlfn.XLOOKUP(ARTÍCULOS!C348,[1]CRITERIOS!$K$25:$K$42,[1]CRITERIOS!$M$25:$M$42))),0),(E348+V348-_xlfn.XLOOKUP(A348,'[1]DATOS PBI Artículos'!$A$4:$A$4,'[1]DATOS PBI Artículos'!$W$4:$W$4))/N348)</f>
        <v>#N/A</v>
      </c>
      <c r="AC348" s="33" t="e">
        <f>IF(N348=0,"",(ROUNDUP((N348/2)/(_xlfn.XLOOKUP(A348,'[1]DATOS PBI Artículos'!$A$4:$A$4,'[1]DATOS PBI Artículos'!$Z$4:$Z$4)*_xlfn.XLOOKUP(_xlfn.XLOOKUP(A348,'[1]DATOS PBI Artículos'!$A$4:$A$4,'[1]DATOS PBI Artículos'!$Y$4:$Y$4),[1]CRITERIOS!$P$79:$P$123,[1]CRITERIOS!$S$79:$S$123)),0)*[1]CRITERIOS!$M$80*([1]CRITERIOS!$M$110/[1]CRITERIOS!$M$86)+(_xlfn.XLOOKUP(A348,'[1]DATOS PBI Artículos'!$A$4:$A$4,'[1]DATOS PBI Artículos'!$AA$4:$AA$4)*([1]CRITERIOS!$M$95+[1]CRITERIOS!$M$98)))/N348)</f>
        <v>#N/A</v>
      </c>
      <c r="AD348" s="33" t="e">
        <f>IF(N348=0,"",(ROUNDUP((N348/2)/(_xlfn.XLOOKUP(A348,'[1]DATOS PBI Artículos'!$A$4:$A$4,'[1]DATOS PBI Artículos'!$Z$4:$Z$4)*_xlfn.XLOOKUP(_xlfn.XLOOKUP(A348,'[1]DATOS PBI Artículos'!$A$4:$A$4,'[1]DATOS PBI Artículos'!$Y$4:$Y$4),[1]CRITERIOS!$P$79:$P$123,[1]CRITERIOS!$S$79:$S$123)),0)*[1]CRITERIOS!$M$80*([1]CRITERIOS!$M$89*[1]CRITERIOS!$M$92)+((_xlfn.XLOOKUP(A348,'[1]DATOS PBI Artículos'!$A$4:$A$4,'[1]DATOS PBI Artículos'!$AA$4:$AA$4)/2)*([1]CRITERIOS!$M$95+[1]CRITERIOS!$M$98)))/N348)</f>
        <v>#N/A</v>
      </c>
      <c r="AE348" s="39" t="e">
        <f>IF($R348="MTO","",
IF($H348=0,ROUNDUP(((_xlfn.XLOOKUP($A348,'[1]DATOS PBI Artículos'!$A:$A,'[1]DATOS PBI Artículos'!$AL:$AL))/(_xlfn.XLOOKUP($AF$1,[1]CRITERIOS!$S$16:$S$39,[1]CRITERIOS!$Y$16:$Y$39))*$J348+$Z348)/$G348,0)*$G348,
((_xlfn.XLOOKUP($A348,'[1]DATOS PBI Artículos'!$A:$A,'[1]DATOS PBI Artículos'!$AL:$AL))/(_xlfn.XLOOKUP($AF$1,[1]CRITERIOS!$S$16:$S$39,[1]CRITERIOS!$Y$16:$Y$39))*$J348+$Z348)))</f>
        <v>#N/A</v>
      </c>
      <c r="AG348" s="39" t="e">
        <f>IF($R348="MTO","",
IF($H348=0,ROUNDUP(((_xlfn.XLOOKUP($A348,'[1]DATOS PBI Artículos'!$A:$A,'[1]DATOS PBI Artículos'!$AM:$AM))/(_xlfn.XLOOKUP($AH$1,[1]CRITERIOS!$S$16:$S$39,[1]CRITERIOS!$Y$16:$Y$39))*$J348+$Z348)/$G348,0)*$G348,
((_xlfn.XLOOKUP($A348,'[1]DATOS PBI Artículos'!$A:$A,'[1]DATOS PBI Artículos'!$AM:$AM))/(_xlfn.XLOOKUP($AH$1,[1]CRITERIOS!$S$16:$S$39,[1]CRITERIOS!$Y$16:$Y$39))*$J348+$Z348)))</f>
        <v>#N/A</v>
      </c>
      <c r="AI348" s="39" t="e">
        <f>IF($R348="MTO","",
IF($H348=0,ROUNDUP(((_xlfn.XLOOKUP($A348,'[1]DATOS PBI Artículos'!$A:$A,'[1]DATOS PBI Artículos'!$AN:$AN))/(_xlfn.XLOOKUP($AJ$1,[1]CRITERIOS!$S$16:$S$39,[1]CRITERIOS!$Y$16:$Y$39))*$J348+$Z348)/$G348,0)*$G348,
((_xlfn.XLOOKUP($A348,'[1]DATOS PBI Artículos'!$A:$A,'[1]DATOS PBI Artículos'!$AN:$AN))/(_xlfn.XLOOKUP($AJ$1,[1]CRITERIOS!$S$16:$S$39,[1]CRITERIOS!$Y$16:$Y$39))*$J348+$Z348)))</f>
        <v>#N/A</v>
      </c>
      <c r="AK348" s="39" t="e">
        <f>IF($R348="MTO","",
IF($H348=0,ROUNDUP(((_xlfn.XLOOKUP($A348,'[1]DATOS PBI Artículos'!$A:$A,'[1]DATOS PBI Artículos'!$AO:$AO))/(_xlfn.XLOOKUP($AL$1,[1]CRITERIOS!$S$16:$S$39,[1]CRITERIOS!$Y$16:$Y$39))*$J348+$Z348)/$G348,0)*$G348,
((_xlfn.XLOOKUP($A348,'[1]DATOS PBI Artículos'!$A:$A,'[1]DATOS PBI Artículos'!$AO:$AO))/(_xlfn.XLOOKUP($AL$1,[1]CRITERIOS!$S$16:$S$39,[1]CRITERIOS!$Y$16:$Y$39))*$J348+$Z348)))</f>
        <v>#N/A</v>
      </c>
    </row>
    <row r="349" spans="1:37" ht="25.8" hidden="1" x14ac:dyDescent="0.4">
      <c r="A349" s="41"/>
      <c r="B349" s="33">
        <f>_xlfn.XLOOKUP($A349,'[1]DATOS PBI Artículos'!A:A,'[1]DATOS PBI Artículos'!B:B)</f>
        <v>0</v>
      </c>
      <c r="C349" s="33">
        <f>_xlfn.XLOOKUP($A349,'[1]DATOS PBI Artículos'!A:A,'[1]DATOS PBI Artículos'!C:C)</f>
        <v>0</v>
      </c>
      <c r="D349" s="33">
        <f>_xlfn.XLOOKUP(A349,'[1]DATOS PBI Artículos'!A:A,'[1]DATOS PBI Artículos'!T:T)</f>
        <v>0</v>
      </c>
      <c r="E349" s="34">
        <f>IF(_xlfn.XLOOKUP($A349,'[1]DATOS PBI Artículos'!A:A,'[1]DATOS PBI Artículos'!AK:AK)="",_xlfn.XLOOKUP($A349,'[1]DATOS PBI Artículos'!A:A,'[1]DATOS PBI Artículos'!AJ:AJ),_xlfn.XLOOKUP($A349,'[1]DATOS PBI Artículos'!A:A,'[1]DATOS PBI Artículos'!AK:AK))</f>
        <v>0</v>
      </c>
      <c r="F349" s="35">
        <f>_xlfn.XLOOKUP($A349,'[1]DATOS PBI Artículos'!A:A,'[1]DATOS PBI Artículos'!AP:AP)</f>
        <v>0</v>
      </c>
      <c r="G349" s="34">
        <f>_xlfn.XLOOKUP($A349,'[1]DATOS PBI Artículos'!A:A,'[1]DATOS PBI Artículos'!AR:AR)</f>
        <v>0</v>
      </c>
      <c r="H349" s="34">
        <f>_xlfn.XLOOKUP($A349,'[1]DATOS PBI Artículos'!A:A,'[1]DATOS PBI Artículos'!AT:AT)</f>
        <v>0</v>
      </c>
      <c r="I349" s="34">
        <f>_xlfn.XLOOKUP($A349,'[1]DATOS PBI Artículos'!A:A,'[1]DATOS PBI Artículos'!AS:AS)</f>
        <v>0</v>
      </c>
      <c r="J349" s="35">
        <f>IF(COUNTIF([1]CRITERIOS!$F$179:$F$199,$A349)&gt;=1,
 IF(O349&lt;&gt;"",
    (O349/_xlfn.XLOOKUP(CONCATENATE(A349,L349),[1]MÁQUINAS!A:A,[1]MÁQUINAS!D:D))/24,
    (N349/_xlfn.XLOOKUP(CONCATENATE(A349,L349),[1]MÁQUINAS!A:A,[1]MÁQUINAS!D:D))/24),
  _xlfn.XLOOKUP($A349,'[1]DATOS PBI Artículos'!A:A,'[1]DATOS PBI Artículos'!AU:AU))</f>
        <v>0</v>
      </c>
      <c r="K349" s="36">
        <f>_xlfn.XLOOKUP($A349,'[1]DATOS PBI Artículos'!A:A,'[1]DATOS PBI Artículos'!AV:AV)</f>
        <v>0</v>
      </c>
      <c r="L349" s="33">
        <f>_xlfn.XLOOKUP(A349,[1]MÁQUINAS!B:B,[1]MÁQUINAS!C:C)</f>
        <v>0</v>
      </c>
      <c r="M349" s="34">
        <f t="array" ref="M349">_xlfn.XLOOKUP(A349,'[1]DATOS PBI Artículos'!A:A,'[1]DATOS PBI Artículos'!AX:$AX)</f>
        <v>0</v>
      </c>
      <c r="N349" s="37" t="e">
        <f>IF(I349="DV",
E349,
IF(COUNTIF([1]CRITERIOS!$I$179:$I$199,$A349)&gt;=1,
_xlfn.XLOOKUP($A349,[1]CRITERIOS!$I$179:$I$199,[1]CRITERIOS!$J$179:$J$199),
IF(COUNTIF([1]CRITERIOS!$L$179:$L$199,$A349)&gt;=1,
_xlfn.CEILING.MATH(IF($M349&gt;$E349,
$E349,
IF($M349&lt;$E349/ROUNDDOWN([1]CRITERIOS!$M$16/_xlfn.XLOOKUP($C349,[1]CRITERIOS!$K$25:$K$42,[1]CRITERIOS!$M$25:$M$42),
1),
E349/ROUNDDOWN([1]CRITERIOS!$M$16/_xlfn.XLOOKUP($C349,[1]CRITERIOS!$K$25:$K$42,[1]CRITERIOS!$M$25:$M$42),
1),
$M349)),
_xlfn.XLOOKUP($A349,[1]CRITERIOS!$L$179:$L$200,[1]CRITERIOS!$M$179:$M$200)),
_xlfn.CEILING.MATH(IF($M349&gt;$E349,
$E349,
IF($M349&lt;$E349/ROUNDDOWN([1]CRITERIOS!$M$16/_xlfn.XLOOKUP($C349,[1]CRITERIOS!$K$25:$K$42,[1]CRITERIOS!$M$25:$M$42),
1),
E349/ROUNDDOWN([1]CRITERIOS!$M$16/_xlfn.XLOOKUP($C349,[1]CRITERIOS!$K$25:$K$42,[1]CRITERIOS!$M$25:$M$42),
1),
$M349)),_xlfn.XLOOKUP(A349,'[1]DATOS PBI Artículos'!A:A,'[1]DATOS PBI Artículos'!Z:Z
)))))</f>
        <v>#N/A</v>
      </c>
      <c r="Q349" s="38" t="e">
        <f>IF(AND(O349="",N349=0),
0,
   IF(COUNTIF([1]CRITERIOS!$F$179:$F$199,$A349)&gt;=1,
   1,
   IF(R349="MTO",
      $D349,
      ROUNDUP(
                    IF(($E349-SUMIF('[1]DATOS PBI Artículos'!A:A,A349,'[1]DATOS PBI Artículos'!X:X)+($V349-_xlfn.XLOOKUP(A349,'[1]DATOS PBI Artículos'!A:A,'[1]DATOS PBI Artículos'!W:W)))&lt;0,
                    0,
                    IF(($E349-SUMIF('[1]DATOS PBI Artículos'!A:A,A349,'[1]DATOS PBI Artículos'!X:X)+$V349-_xlfn.XLOOKUP($A349,'[1]DATOS PBI Artículos'!A:A,'[1]DATOS PBI Artículos'!W:W))/IF($O349="",$N349,$O349)&gt;ROUNDUP([1]CRITERIOS!$M$16/(IF(COUNTIF([1]CRITERIOS!$BG$11:$BG$201,L349)&gt;=1,_xlfn.XLOOKUP($C349,[1]CRITERIOS!$K$25:$K$42,[1]CRITERIOS!$M$25:$M$42),_xlfn.XLOOKUP($C349,[1]CRITERIOS!$K$25:$K$42,[1]CRITERIOS!$M$25:$M$42))),0),
                    ROUNDUP([1]CRITERIOS!$M$16/(IF(COUNTIF([1]CRITERIOS!$BG$11:$BG$201,$L349)&gt;=1,_xlfn.XLOOKUP($C349,[1]CRITERIOS!$K$25:$K$42,[1]CRITERIOS!$M$25:$M$42),_xlfn.XLOOKUP($C349,[1]CRITERIOS!$K$25:$K$42,[1]CRITERIOS!$M$25:$M$42))),0),
                    (E349+V349-SUMIF('[1]DATOS PBI Artículos'!A:A,A349,'[1]DATOS PBI Artículos'!X:X)-_xlfn.XLOOKUP(A349,'[1]DATOS PBI Artículos'!A:A,'[1]DATOS PBI Artículos'!W:W))/IF($O349="",$N349,$O349))),0))))</f>
        <v>#N/A</v>
      </c>
      <c r="R349" s="33" t="e">
        <f>IF(U349&lt;&gt;"",U349,IF(F349="DV","MTO",IF(N349=0,"MTO",_xlfn.XLOOKUP(CONCATENATE(S349,T349),[1]CRITERIOS!$K$160:$K$168,[1]CRITERIOS!$N$160:$N$168))))</f>
        <v>#N/A</v>
      </c>
      <c r="S349" s="33" t="e">
        <f>IF(G349="DV","MTO",IF(N349=0,"MTO",IF(OR(AND(N349=0,O349=""),IF(O349="",G349/N349,G349/O349)&gt;[1]CRITERIOS!$G$163),"MTO",IF(IF(O349="",G349/N349,G349/O349)&lt;[1]CRITERIOS!$H$161,"MTS","MTOS"))))</f>
        <v>#N/A</v>
      </c>
      <c r="T349" s="33" t="e">
        <f>IF(F349="DV","MTO",IF(OR(AND($N349=0,O349=""),$F349/$J349&gt;[1]CRITERIOS!$G$170,$F349="DV"),"MTO",IF($F349/$J349&lt;[1]CRITERIOS!$H$168,"MTS","MTOS")))</f>
        <v>#N/A</v>
      </c>
      <c r="V349" s="34" t="e">
        <f t="shared" si="19"/>
        <v>#N/A</v>
      </c>
      <c r="X349" s="34" t="e">
        <f t="shared" si="17"/>
        <v>#N/A</v>
      </c>
      <c r="Y349" s="34" t="e">
        <f t="shared" si="18"/>
        <v>#N/A</v>
      </c>
      <c r="Z349" s="34" t="e">
        <f>IF($R349="MTO",
0,
($H349+$K349*($E349/[1]CRITERIOS!$M$16))/[1]CRITERIOS!$X$48)</f>
        <v>#N/A</v>
      </c>
      <c r="AA349" s="34" t="e">
        <f>ROUNDUP(($Y349/_xlfn.XLOOKUP($A349,'[1]DATOS PBI Artículos'!$A$4:$A$4,'[1]DATOS PBI Artículos'!$Z$4:$Z$4))/_xlfn.XLOOKUP(_xlfn.XLOOKUP($A349,'[1]DATOS PBI Artículos'!$A$4:$A$4,'[1]DATOS PBI Artículos'!$Y$4:$Y$4),[1]CRITERIOS!$P$79:$P$123,[1]CRITERIOS!$S$79:$S$123,),0)</f>
        <v>#N/A</v>
      </c>
      <c r="AB349" s="33" t="e">
        <f t="array" ref="AB349">IF((E349+V349-_xlfn.XLOOKUP(A349,'[1]DATOS PBI Artículos'!$A$4:$A$4,'[1]DATOS PBI Artículos'!$W$4:$W$4))/N349&gt;ROUNDUP([1]CRITERIOS!$M$16/(IF(COUNTIF([1]CRITERIOS!$BG$11:$BG$201,L349)&gt;=1,_xlfn.XLOOKUP(ARTÍCULOS!L349,[1]CRITERIOS!$BG$11:$BG$201,[1]CRITERIOS!$BJ$11:$BJ$201),_xlfn.XLOOKUP(ARTÍCULOS!C349,[1]CRITERIOS!$K$25:$K$42,[1]CRITERIOS!$M$25:$M$42))),0),ROUNDUP([1]CRITERIOS!$M$16/(IF(COUNTIF([1]CRITERIOS!$BG$11:$BG$201,L349)&gt;=1,_xlfn.XLOOKUP(ARTÍCULOS!L349,[1]CRITERIOS!$BG$11:$BG$201:#REF!,[1]CRITERIOS!$BJ$11:$BJ$201),_xlfn.XLOOKUP(ARTÍCULOS!C349,[1]CRITERIOS!$K$25:$K$42,[1]CRITERIOS!$M$25:$M$42))),0),(E349+V349-_xlfn.XLOOKUP(A349,'[1]DATOS PBI Artículos'!$A$4:$A$4,'[1]DATOS PBI Artículos'!$W$4:$W$4))/N349)</f>
        <v>#N/A</v>
      </c>
      <c r="AC349" s="33" t="e">
        <f>IF(N349=0,"",(ROUNDUP((N349/2)/(_xlfn.XLOOKUP(A349,'[1]DATOS PBI Artículos'!$A$4:$A$4,'[1]DATOS PBI Artículos'!$Z$4:$Z$4)*_xlfn.XLOOKUP(_xlfn.XLOOKUP(A349,'[1]DATOS PBI Artículos'!$A$4:$A$4,'[1]DATOS PBI Artículos'!$Y$4:$Y$4),[1]CRITERIOS!$P$79:$P$123,[1]CRITERIOS!$S$79:$S$123)),0)*[1]CRITERIOS!$M$80*([1]CRITERIOS!$M$110/[1]CRITERIOS!$M$86)+(_xlfn.XLOOKUP(A349,'[1]DATOS PBI Artículos'!$A$4:$A$4,'[1]DATOS PBI Artículos'!$AA$4:$AA$4)*([1]CRITERIOS!$M$95+[1]CRITERIOS!$M$98)))/N349)</f>
        <v>#N/A</v>
      </c>
      <c r="AD349" s="33" t="e">
        <f>IF(N349=0,"",(ROUNDUP((N349/2)/(_xlfn.XLOOKUP(A349,'[1]DATOS PBI Artículos'!$A$4:$A$4,'[1]DATOS PBI Artículos'!$Z$4:$Z$4)*_xlfn.XLOOKUP(_xlfn.XLOOKUP(A349,'[1]DATOS PBI Artículos'!$A$4:$A$4,'[1]DATOS PBI Artículos'!$Y$4:$Y$4),[1]CRITERIOS!$P$79:$P$123,[1]CRITERIOS!$S$79:$S$123)),0)*[1]CRITERIOS!$M$80*([1]CRITERIOS!$M$89*[1]CRITERIOS!$M$92)+((_xlfn.XLOOKUP(A349,'[1]DATOS PBI Artículos'!$A$4:$A$4,'[1]DATOS PBI Artículos'!$AA$4:$AA$4)/2)*([1]CRITERIOS!$M$95+[1]CRITERIOS!$M$98)))/N349)</f>
        <v>#N/A</v>
      </c>
      <c r="AE349" s="39" t="e">
        <f>IF($R349="MTO","",
IF($H349=0,ROUNDUP(((_xlfn.XLOOKUP($A349,'[1]DATOS PBI Artículos'!$A:$A,'[1]DATOS PBI Artículos'!$AL:$AL))/(_xlfn.XLOOKUP($AF$1,[1]CRITERIOS!$S$16:$S$39,[1]CRITERIOS!$Y$16:$Y$39))*$J349+$Z349)/$G349,0)*$G349,
((_xlfn.XLOOKUP($A349,'[1]DATOS PBI Artículos'!$A:$A,'[1]DATOS PBI Artículos'!$AL:$AL))/(_xlfn.XLOOKUP($AF$1,[1]CRITERIOS!$S$16:$S$39,[1]CRITERIOS!$Y$16:$Y$39))*$J349+$Z349)))</f>
        <v>#N/A</v>
      </c>
      <c r="AG349" s="39" t="e">
        <f>IF($R349="MTO","",
IF($H349=0,ROUNDUP(((_xlfn.XLOOKUP($A349,'[1]DATOS PBI Artículos'!$A:$A,'[1]DATOS PBI Artículos'!$AM:$AM))/(_xlfn.XLOOKUP($AH$1,[1]CRITERIOS!$S$16:$S$39,[1]CRITERIOS!$Y$16:$Y$39))*$J349+$Z349)/$G349,0)*$G349,
((_xlfn.XLOOKUP($A349,'[1]DATOS PBI Artículos'!$A:$A,'[1]DATOS PBI Artículos'!$AM:$AM))/(_xlfn.XLOOKUP($AH$1,[1]CRITERIOS!$S$16:$S$39,[1]CRITERIOS!$Y$16:$Y$39))*$J349+$Z349)))</f>
        <v>#N/A</v>
      </c>
      <c r="AI349" s="39" t="e">
        <f>IF($R349="MTO","",
IF($H349=0,ROUNDUP(((_xlfn.XLOOKUP($A349,'[1]DATOS PBI Artículos'!$A:$A,'[1]DATOS PBI Artículos'!$AN:$AN))/(_xlfn.XLOOKUP($AJ$1,[1]CRITERIOS!$S$16:$S$39,[1]CRITERIOS!$Y$16:$Y$39))*$J349+$Z349)/$G349,0)*$G349,
((_xlfn.XLOOKUP($A349,'[1]DATOS PBI Artículos'!$A:$A,'[1]DATOS PBI Artículos'!$AN:$AN))/(_xlfn.XLOOKUP($AJ$1,[1]CRITERIOS!$S$16:$S$39,[1]CRITERIOS!$Y$16:$Y$39))*$J349+$Z349)))</f>
        <v>#N/A</v>
      </c>
      <c r="AK349" s="39" t="e">
        <f>IF($R349="MTO","",
IF($H349=0,ROUNDUP(((_xlfn.XLOOKUP($A349,'[1]DATOS PBI Artículos'!$A:$A,'[1]DATOS PBI Artículos'!$AO:$AO))/(_xlfn.XLOOKUP($AL$1,[1]CRITERIOS!$S$16:$S$39,[1]CRITERIOS!$Y$16:$Y$39))*$J349+$Z349)/$G349,0)*$G349,
((_xlfn.XLOOKUP($A349,'[1]DATOS PBI Artículos'!$A:$A,'[1]DATOS PBI Artículos'!$AO:$AO))/(_xlfn.XLOOKUP($AL$1,[1]CRITERIOS!$S$16:$S$39,[1]CRITERIOS!$Y$16:$Y$39))*$J349+$Z349)))</f>
        <v>#N/A</v>
      </c>
    </row>
    <row r="350" spans="1:37" ht="25.8" hidden="1" x14ac:dyDescent="0.4">
      <c r="A350" s="41"/>
      <c r="B350" s="33">
        <f>_xlfn.XLOOKUP($A350,'[1]DATOS PBI Artículos'!A:A,'[1]DATOS PBI Artículos'!B:B)</f>
        <v>0</v>
      </c>
      <c r="C350" s="33">
        <f>_xlfn.XLOOKUP($A350,'[1]DATOS PBI Artículos'!A:A,'[1]DATOS PBI Artículos'!C:C)</f>
        <v>0</v>
      </c>
      <c r="D350" s="33">
        <f>_xlfn.XLOOKUP(A350,'[1]DATOS PBI Artículos'!A:A,'[1]DATOS PBI Artículos'!T:T)</f>
        <v>0</v>
      </c>
      <c r="E350" s="34">
        <f>IF(_xlfn.XLOOKUP($A350,'[1]DATOS PBI Artículos'!A:A,'[1]DATOS PBI Artículos'!AK:AK)="",_xlfn.XLOOKUP($A350,'[1]DATOS PBI Artículos'!A:A,'[1]DATOS PBI Artículos'!AJ:AJ),_xlfn.XLOOKUP($A350,'[1]DATOS PBI Artículos'!A:A,'[1]DATOS PBI Artículos'!AK:AK))</f>
        <v>0</v>
      </c>
      <c r="F350" s="35">
        <f>_xlfn.XLOOKUP($A350,'[1]DATOS PBI Artículos'!A:A,'[1]DATOS PBI Artículos'!AP:AP)</f>
        <v>0</v>
      </c>
      <c r="G350" s="34">
        <f>_xlfn.XLOOKUP($A350,'[1]DATOS PBI Artículos'!A:A,'[1]DATOS PBI Artículos'!AR:AR)</f>
        <v>0</v>
      </c>
      <c r="H350" s="34">
        <f>_xlfn.XLOOKUP($A350,'[1]DATOS PBI Artículos'!A:A,'[1]DATOS PBI Artículos'!AT:AT)</f>
        <v>0</v>
      </c>
      <c r="I350" s="34">
        <f>_xlfn.XLOOKUP($A350,'[1]DATOS PBI Artículos'!A:A,'[1]DATOS PBI Artículos'!AS:AS)</f>
        <v>0</v>
      </c>
      <c r="J350" s="35">
        <f>IF(COUNTIF([1]CRITERIOS!$F$179:$F$199,$A350)&gt;=1,
 IF(O350&lt;&gt;"",
    (O350/_xlfn.XLOOKUP(CONCATENATE(A350,L350),[1]MÁQUINAS!A:A,[1]MÁQUINAS!D:D))/24,
    (N350/_xlfn.XLOOKUP(CONCATENATE(A350,L350),[1]MÁQUINAS!A:A,[1]MÁQUINAS!D:D))/24),
  _xlfn.XLOOKUP($A350,'[1]DATOS PBI Artículos'!A:A,'[1]DATOS PBI Artículos'!AU:AU))</f>
        <v>0</v>
      </c>
      <c r="K350" s="36">
        <f>_xlfn.XLOOKUP($A350,'[1]DATOS PBI Artículos'!A:A,'[1]DATOS PBI Artículos'!AV:AV)</f>
        <v>0</v>
      </c>
      <c r="L350" s="33">
        <f>_xlfn.XLOOKUP(A350,[1]MÁQUINAS!B:B,[1]MÁQUINAS!C:C)</f>
        <v>0</v>
      </c>
      <c r="M350" s="34">
        <f t="array" ref="M350">_xlfn.XLOOKUP(A350,'[1]DATOS PBI Artículos'!A:A,'[1]DATOS PBI Artículos'!AX:$AX)</f>
        <v>0</v>
      </c>
      <c r="N350" s="37" t="e">
        <f>IF(I350="DV",
E350,
IF(COUNTIF([1]CRITERIOS!$I$179:$I$199,$A350)&gt;=1,
_xlfn.XLOOKUP($A350,[1]CRITERIOS!$I$179:$I$199,[1]CRITERIOS!$J$179:$J$199),
IF(COUNTIF([1]CRITERIOS!$L$179:$L$199,$A350)&gt;=1,
_xlfn.CEILING.MATH(IF($M350&gt;$E350,
$E350,
IF($M350&lt;$E350/ROUNDDOWN([1]CRITERIOS!$M$16/_xlfn.XLOOKUP($C350,[1]CRITERIOS!$K$25:$K$42,[1]CRITERIOS!$M$25:$M$42),
1),
E350/ROUNDDOWN([1]CRITERIOS!$M$16/_xlfn.XLOOKUP($C350,[1]CRITERIOS!$K$25:$K$42,[1]CRITERIOS!$M$25:$M$42),
1),
$M350)),
_xlfn.XLOOKUP($A350,[1]CRITERIOS!$L$179:$L$200,[1]CRITERIOS!$M$179:$M$200)),
_xlfn.CEILING.MATH(IF($M350&gt;$E350,
$E350,
IF($M350&lt;$E350/ROUNDDOWN([1]CRITERIOS!$M$16/_xlfn.XLOOKUP($C350,[1]CRITERIOS!$K$25:$K$42,[1]CRITERIOS!$M$25:$M$42),
1),
E350/ROUNDDOWN([1]CRITERIOS!$M$16/_xlfn.XLOOKUP($C350,[1]CRITERIOS!$K$25:$K$42,[1]CRITERIOS!$M$25:$M$42),
1),
$M350)),_xlfn.XLOOKUP(A350,'[1]DATOS PBI Artículos'!A:A,'[1]DATOS PBI Artículos'!Z:Z
)))))</f>
        <v>#N/A</v>
      </c>
      <c r="Q350" s="38" t="e">
        <f>IF(AND(O350="",N350=0),
0,
   IF(COUNTIF([1]CRITERIOS!$F$179:$F$199,$A350)&gt;=1,
   1,
   IF(R350="MTO",
      $D350,
      ROUNDUP(
                    IF(($E350-SUMIF('[1]DATOS PBI Artículos'!A:A,A350,'[1]DATOS PBI Artículos'!X:X)+($V350-_xlfn.XLOOKUP(A350,'[1]DATOS PBI Artículos'!A:A,'[1]DATOS PBI Artículos'!W:W)))&lt;0,
                    0,
                    IF(($E350-SUMIF('[1]DATOS PBI Artículos'!A:A,A350,'[1]DATOS PBI Artículos'!X:X)+$V350-_xlfn.XLOOKUP($A350,'[1]DATOS PBI Artículos'!A:A,'[1]DATOS PBI Artículos'!W:W))/IF($O350="",$N350,$O350)&gt;ROUNDUP([1]CRITERIOS!$M$16/(IF(COUNTIF([1]CRITERIOS!$BG$11:$BG$201,L350)&gt;=1,_xlfn.XLOOKUP($C350,[1]CRITERIOS!$K$25:$K$42,[1]CRITERIOS!$M$25:$M$42),_xlfn.XLOOKUP($C350,[1]CRITERIOS!$K$25:$K$42,[1]CRITERIOS!$M$25:$M$42))),0),
                    ROUNDUP([1]CRITERIOS!$M$16/(IF(COUNTIF([1]CRITERIOS!$BG$11:$BG$201,$L350)&gt;=1,_xlfn.XLOOKUP($C350,[1]CRITERIOS!$K$25:$K$42,[1]CRITERIOS!$M$25:$M$42),_xlfn.XLOOKUP($C350,[1]CRITERIOS!$K$25:$K$42,[1]CRITERIOS!$M$25:$M$42))),0),
                    (E350+V350-SUMIF('[1]DATOS PBI Artículos'!A:A,A350,'[1]DATOS PBI Artículos'!X:X)-_xlfn.XLOOKUP(A350,'[1]DATOS PBI Artículos'!A:A,'[1]DATOS PBI Artículos'!W:W))/IF($O350="",$N350,$O350))),0))))</f>
        <v>#N/A</v>
      </c>
      <c r="R350" s="33" t="e">
        <f>IF(U350&lt;&gt;"",U350,IF(F350="DV","MTO",IF(N350=0,"MTO",_xlfn.XLOOKUP(CONCATENATE(S350,T350),[1]CRITERIOS!$K$160:$K$168,[1]CRITERIOS!$N$160:$N$168))))</f>
        <v>#N/A</v>
      </c>
      <c r="S350" s="33" t="e">
        <f>IF(G350="DV","MTO",IF(N350=0,"MTO",IF(OR(AND(N350=0,O350=""),IF(O350="",G350/N350,G350/O350)&gt;[1]CRITERIOS!$G$163),"MTO",IF(IF(O350="",G350/N350,G350/O350)&lt;[1]CRITERIOS!$H$161,"MTS","MTOS"))))</f>
        <v>#N/A</v>
      </c>
      <c r="T350" s="33" t="e">
        <f>IF(F350="DV","MTO",IF(OR(AND($N350=0,O350=""),$F350/$J350&gt;[1]CRITERIOS!$G$170,$F350="DV"),"MTO",IF($F350/$J350&lt;[1]CRITERIOS!$H$168,"MTS","MTOS")))</f>
        <v>#N/A</v>
      </c>
      <c r="V350" s="34" t="e">
        <f t="shared" si="19"/>
        <v>#N/A</v>
      </c>
      <c r="X350" s="34" t="e">
        <f t="shared" si="17"/>
        <v>#N/A</v>
      </c>
      <c r="Y350" s="34" t="e">
        <f t="shared" si="18"/>
        <v>#N/A</v>
      </c>
      <c r="Z350" s="34" t="e">
        <f>IF($R350="MTO",
0,
($H350+$K350*($E350/[1]CRITERIOS!$M$16))/[1]CRITERIOS!$X$48)</f>
        <v>#N/A</v>
      </c>
      <c r="AA350" s="34" t="e">
        <f>ROUNDUP(($Y350/_xlfn.XLOOKUP($A350,'[1]DATOS PBI Artículos'!$A$4:$A$4,'[1]DATOS PBI Artículos'!$Z$4:$Z$4))/_xlfn.XLOOKUP(_xlfn.XLOOKUP($A350,'[1]DATOS PBI Artículos'!$A$4:$A$4,'[1]DATOS PBI Artículos'!$Y$4:$Y$4),[1]CRITERIOS!$P$79:$P$123,[1]CRITERIOS!$S$79:$S$123,),0)</f>
        <v>#N/A</v>
      </c>
      <c r="AB350" s="33" t="e">
        <f t="array" ref="AB350">IF((E350+V350-_xlfn.XLOOKUP(A350,'[1]DATOS PBI Artículos'!$A$4:$A$4,'[1]DATOS PBI Artículos'!$W$4:$W$4))/N350&gt;ROUNDUP([1]CRITERIOS!$M$16/(IF(COUNTIF([1]CRITERIOS!$BG$11:$BG$201,L350)&gt;=1,_xlfn.XLOOKUP(ARTÍCULOS!L350,[1]CRITERIOS!$BG$11:$BG$201,[1]CRITERIOS!$BJ$11:$BJ$201),_xlfn.XLOOKUP(ARTÍCULOS!C350,[1]CRITERIOS!$K$25:$K$42,[1]CRITERIOS!$M$25:$M$42))),0),ROUNDUP([1]CRITERIOS!$M$16/(IF(COUNTIF([1]CRITERIOS!$BG$11:$BG$201,L350)&gt;=1,_xlfn.XLOOKUP(ARTÍCULOS!L350,[1]CRITERIOS!$BG$11:$BG$201:#REF!,[1]CRITERIOS!$BJ$11:$BJ$201),_xlfn.XLOOKUP(ARTÍCULOS!C350,[1]CRITERIOS!$K$25:$K$42,[1]CRITERIOS!$M$25:$M$42))),0),(E350+V350-_xlfn.XLOOKUP(A350,'[1]DATOS PBI Artículos'!$A$4:$A$4,'[1]DATOS PBI Artículos'!$W$4:$W$4))/N350)</f>
        <v>#N/A</v>
      </c>
      <c r="AC350" s="33" t="e">
        <f>IF(N350=0,"",(ROUNDUP((N350/2)/(_xlfn.XLOOKUP(A350,'[1]DATOS PBI Artículos'!$A$4:$A$4,'[1]DATOS PBI Artículos'!$Z$4:$Z$4)*_xlfn.XLOOKUP(_xlfn.XLOOKUP(A350,'[1]DATOS PBI Artículos'!$A$4:$A$4,'[1]DATOS PBI Artículos'!$Y$4:$Y$4),[1]CRITERIOS!$P$79:$P$123,[1]CRITERIOS!$S$79:$S$123)),0)*[1]CRITERIOS!$M$80*([1]CRITERIOS!$M$110/[1]CRITERIOS!$M$86)+(_xlfn.XLOOKUP(A350,'[1]DATOS PBI Artículos'!$A$4:$A$4,'[1]DATOS PBI Artículos'!$AA$4:$AA$4)*([1]CRITERIOS!$M$95+[1]CRITERIOS!$M$98)))/N350)</f>
        <v>#N/A</v>
      </c>
      <c r="AD350" s="33" t="e">
        <f>IF(N350=0,"",(ROUNDUP((N350/2)/(_xlfn.XLOOKUP(A350,'[1]DATOS PBI Artículos'!$A$4:$A$4,'[1]DATOS PBI Artículos'!$Z$4:$Z$4)*_xlfn.XLOOKUP(_xlfn.XLOOKUP(A350,'[1]DATOS PBI Artículos'!$A$4:$A$4,'[1]DATOS PBI Artículos'!$Y$4:$Y$4),[1]CRITERIOS!$P$79:$P$123,[1]CRITERIOS!$S$79:$S$123)),0)*[1]CRITERIOS!$M$80*([1]CRITERIOS!$M$89*[1]CRITERIOS!$M$92)+((_xlfn.XLOOKUP(A350,'[1]DATOS PBI Artículos'!$A$4:$A$4,'[1]DATOS PBI Artículos'!$AA$4:$AA$4)/2)*([1]CRITERIOS!$M$95+[1]CRITERIOS!$M$98)))/N350)</f>
        <v>#N/A</v>
      </c>
      <c r="AE350" s="39" t="e">
        <f>IF($R350="MTO","",
IF($H350=0,ROUNDUP(((_xlfn.XLOOKUP($A350,'[1]DATOS PBI Artículos'!$A:$A,'[1]DATOS PBI Artículos'!$AL:$AL))/(_xlfn.XLOOKUP($AF$1,[1]CRITERIOS!$S$16:$S$39,[1]CRITERIOS!$Y$16:$Y$39))*$J350+$Z350)/$G350,0)*$G350,
((_xlfn.XLOOKUP($A350,'[1]DATOS PBI Artículos'!$A:$A,'[1]DATOS PBI Artículos'!$AL:$AL))/(_xlfn.XLOOKUP($AF$1,[1]CRITERIOS!$S$16:$S$39,[1]CRITERIOS!$Y$16:$Y$39))*$J350+$Z350)))</f>
        <v>#N/A</v>
      </c>
      <c r="AG350" s="39" t="e">
        <f>IF($R350="MTO","",
IF($H350=0,ROUNDUP(((_xlfn.XLOOKUP($A350,'[1]DATOS PBI Artículos'!$A:$A,'[1]DATOS PBI Artículos'!$AM:$AM))/(_xlfn.XLOOKUP($AH$1,[1]CRITERIOS!$S$16:$S$39,[1]CRITERIOS!$Y$16:$Y$39))*$J350+$Z350)/$G350,0)*$G350,
((_xlfn.XLOOKUP($A350,'[1]DATOS PBI Artículos'!$A:$A,'[1]DATOS PBI Artículos'!$AM:$AM))/(_xlfn.XLOOKUP($AH$1,[1]CRITERIOS!$S$16:$S$39,[1]CRITERIOS!$Y$16:$Y$39))*$J350+$Z350)))</f>
        <v>#N/A</v>
      </c>
      <c r="AI350" s="39" t="e">
        <f>IF($R350="MTO","",
IF($H350=0,ROUNDUP(((_xlfn.XLOOKUP($A350,'[1]DATOS PBI Artículos'!$A:$A,'[1]DATOS PBI Artículos'!$AN:$AN))/(_xlfn.XLOOKUP($AJ$1,[1]CRITERIOS!$S$16:$S$39,[1]CRITERIOS!$Y$16:$Y$39))*$J350+$Z350)/$G350,0)*$G350,
((_xlfn.XLOOKUP($A350,'[1]DATOS PBI Artículos'!$A:$A,'[1]DATOS PBI Artículos'!$AN:$AN))/(_xlfn.XLOOKUP($AJ$1,[1]CRITERIOS!$S$16:$S$39,[1]CRITERIOS!$Y$16:$Y$39))*$J350+$Z350)))</f>
        <v>#N/A</v>
      </c>
      <c r="AK350" s="39" t="e">
        <f>IF($R350="MTO","",
IF($H350=0,ROUNDUP(((_xlfn.XLOOKUP($A350,'[1]DATOS PBI Artículos'!$A:$A,'[1]DATOS PBI Artículos'!$AO:$AO))/(_xlfn.XLOOKUP($AL$1,[1]CRITERIOS!$S$16:$S$39,[1]CRITERIOS!$Y$16:$Y$39))*$J350+$Z350)/$G350,0)*$G350,
((_xlfn.XLOOKUP($A350,'[1]DATOS PBI Artículos'!$A:$A,'[1]DATOS PBI Artículos'!$AO:$AO))/(_xlfn.XLOOKUP($AL$1,[1]CRITERIOS!$S$16:$S$39,[1]CRITERIOS!$Y$16:$Y$39))*$J350+$Z350)))</f>
        <v>#N/A</v>
      </c>
    </row>
    <row r="351" spans="1:37" ht="25.8" hidden="1" x14ac:dyDescent="0.4">
      <c r="A351" s="41"/>
      <c r="B351" s="33">
        <f>_xlfn.XLOOKUP($A351,'[1]DATOS PBI Artículos'!A:A,'[1]DATOS PBI Artículos'!B:B)</f>
        <v>0</v>
      </c>
      <c r="C351" s="33">
        <f>_xlfn.XLOOKUP($A351,'[1]DATOS PBI Artículos'!A:A,'[1]DATOS PBI Artículos'!C:C)</f>
        <v>0</v>
      </c>
      <c r="D351" s="33">
        <f>_xlfn.XLOOKUP(A351,'[1]DATOS PBI Artículos'!A:A,'[1]DATOS PBI Artículos'!T:T)</f>
        <v>0</v>
      </c>
      <c r="E351" s="34">
        <f>IF(_xlfn.XLOOKUP($A351,'[1]DATOS PBI Artículos'!A:A,'[1]DATOS PBI Artículos'!AK:AK)="",_xlfn.XLOOKUP($A351,'[1]DATOS PBI Artículos'!A:A,'[1]DATOS PBI Artículos'!AJ:AJ),_xlfn.XLOOKUP($A351,'[1]DATOS PBI Artículos'!A:A,'[1]DATOS PBI Artículos'!AK:AK))</f>
        <v>0</v>
      </c>
      <c r="F351" s="35">
        <f>_xlfn.XLOOKUP($A351,'[1]DATOS PBI Artículos'!A:A,'[1]DATOS PBI Artículos'!AP:AP)</f>
        <v>0</v>
      </c>
      <c r="G351" s="34">
        <f>_xlfn.XLOOKUP($A351,'[1]DATOS PBI Artículos'!A:A,'[1]DATOS PBI Artículos'!AR:AR)</f>
        <v>0</v>
      </c>
      <c r="H351" s="34">
        <f>_xlfn.XLOOKUP($A351,'[1]DATOS PBI Artículos'!A:A,'[1]DATOS PBI Artículos'!AT:AT)</f>
        <v>0</v>
      </c>
      <c r="I351" s="34">
        <f>_xlfn.XLOOKUP($A351,'[1]DATOS PBI Artículos'!A:A,'[1]DATOS PBI Artículos'!AS:AS)</f>
        <v>0</v>
      </c>
      <c r="J351" s="35">
        <f>IF(COUNTIF([1]CRITERIOS!$F$179:$F$199,$A351)&gt;=1,
 IF(O351&lt;&gt;"",
    (O351/_xlfn.XLOOKUP(CONCATENATE(A351,L351),[1]MÁQUINAS!A:A,[1]MÁQUINAS!D:D))/24,
    (N351/_xlfn.XLOOKUP(CONCATENATE(A351,L351),[1]MÁQUINAS!A:A,[1]MÁQUINAS!D:D))/24),
  _xlfn.XLOOKUP($A351,'[1]DATOS PBI Artículos'!A:A,'[1]DATOS PBI Artículos'!AU:AU))</f>
        <v>0</v>
      </c>
      <c r="K351" s="36">
        <f>_xlfn.XLOOKUP($A351,'[1]DATOS PBI Artículos'!A:A,'[1]DATOS PBI Artículos'!AV:AV)</f>
        <v>0</v>
      </c>
      <c r="L351" s="33">
        <f>_xlfn.XLOOKUP(A351,[1]MÁQUINAS!B:B,[1]MÁQUINAS!C:C)</f>
        <v>0</v>
      </c>
      <c r="M351" s="34">
        <f t="array" ref="M351">_xlfn.XLOOKUP(A351,'[1]DATOS PBI Artículos'!A:A,'[1]DATOS PBI Artículos'!AX:$AX)</f>
        <v>0</v>
      </c>
      <c r="N351" s="37" t="e">
        <f>IF(I351="DV",
E351,
IF(COUNTIF([1]CRITERIOS!$I$179:$I$199,$A351)&gt;=1,
_xlfn.XLOOKUP($A351,[1]CRITERIOS!$I$179:$I$199,[1]CRITERIOS!$J$179:$J$199),
IF(COUNTIF([1]CRITERIOS!$L$179:$L$199,$A351)&gt;=1,
_xlfn.CEILING.MATH(IF($M351&gt;$E351,
$E351,
IF($M351&lt;$E351/ROUNDDOWN([1]CRITERIOS!$M$16/_xlfn.XLOOKUP($C351,[1]CRITERIOS!$K$25:$K$42,[1]CRITERIOS!$M$25:$M$42),
1),
E351/ROUNDDOWN([1]CRITERIOS!$M$16/_xlfn.XLOOKUP($C351,[1]CRITERIOS!$K$25:$K$42,[1]CRITERIOS!$M$25:$M$42),
1),
$M351)),
_xlfn.XLOOKUP($A351,[1]CRITERIOS!$L$179:$L$200,[1]CRITERIOS!$M$179:$M$200)),
_xlfn.CEILING.MATH(IF($M351&gt;$E351,
$E351,
IF($M351&lt;$E351/ROUNDDOWN([1]CRITERIOS!$M$16/_xlfn.XLOOKUP($C351,[1]CRITERIOS!$K$25:$K$42,[1]CRITERIOS!$M$25:$M$42),
1),
E351/ROUNDDOWN([1]CRITERIOS!$M$16/_xlfn.XLOOKUP($C351,[1]CRITERIOS!$K$25:$K$42,[1]CRITERIOS!$M$25:$M$42),
1),
$M351)),_xlfn.XLOOKUP(A351,'[1]DATOS PBI Artículos'!A:A,'[1]DATOS PBI Artículos'!Z:Z
)))))</f>
        <v>#N/A</v>
      </c>
      <c r="Q351" s="38" t="e">
        <f>IF(AND(O351="",N351=0),
0,
   IF(COUNTIF([1]CRITERIOS!$F$179:$F$199,$A351)&gt;=1,
   1,
   IF(R351="MTO",
      $D351,
      ROUNDUP(
                    IF(($E351-SUMIF('[1]DATOS PBI Artículos'!A:A,A351,'[1]DATOS PBI Artículos'!X:X)+($V351-_xlfn.XLOOKUP(A351,'[1]DATOS PBI Artículos'!A:A,'[1]DATOS PBI Artículos'!W:W)))&lt;0,
                    0,
                    IF(($E351-SUMIF('[1]DATOS PBI Artículos'!A:A,A351,'[1]DATOS PBI Artículos'!X:X)+$V351-_xlfn.XLOOKUP($A351,'[1]DATOS PBI Artículos'!A:A,'[1]DATOS PBI Artículos'!W:W))/IF($O351="",$N351,$O351)&gt;ROUNDUP([1]CRITERIOS!$M$16/(IF(COUNTIF([1]CRITERIOS!$BG$11:$BG$201,L351)&gt;=1,_xlfn.XLOOKUP($C351,[1]CRITERIOS!$K$25:$K$42,[1]CRITERIOS!$M$25:$M$42),_xlfn.XLOOKUP($C351,[1]CRITERIOS!$K$25:$K$42,[1]CRITERIOS!$M$25:$M$42))),0),
                    ROUNDUP([1]CRITERIOS!$M$16/(IF(COUNTIF([1]CRITERIOS!$BG$11:$BG$201,$L351)&gt;=1,_xlfn.XLOOKUP($C351,[1]CRITERIOS!$K$25:$K$42,[1]CRITERIOS!$M$25:$M$42),_xlfn.XLOOKUP($C351,[1]CRITERIOS!$K$25:$K$42,[1]CRITERIOS!$M$25:$M$42))),0),
                    (E351+V351-SUMIF('[1]DATOS PBI Artículos'!A:A,A351,'[1]DATOS PBI Artículos'!X:X)-_xlfn.XLOOKUP(A351,'[1]DATOS PBI Artículos'!A:A,'[1]DATOS PBI Artículos'!W:W))/IF($O351="",$N351,$O351))),0))))</f>
        <v>#N/A</v>
      </c>
      <c r="R351" s="33" t="e">
        <f>IF(U351&lt;&gt;"",U351,IF(F351="DV","MTO",IF(N351=0,"MTO",_xlfn.XLOOKUP(CONCATENATE(S351,T351),[1]CRITERIOS!$K$160:$K$168,[1]CRITERIOS!$N$160:$N$168))))</f>
        <v>#N/A</v>
      </c>
      <c r="S351" s="33" t="e">
        <f>IF(G351="DV","MTO",IF(N351=0,"MTO",IF(OR(AND(N351=0,O351=""),IF(O351="",G351/N351,G351/O351)&gt;[1]CRITERIOS!$G$163),"MTO",IF(IF(O351="",G351/N351,G351/O351)&lt;[1]CRITERIOS!$H$161,"MTS","MTOS"))))</f>
        <v>#N/A</v>
      </c>
      <c r="T351" s="33" t="e">
        <f>IF(F351="DV","MTO",IF(OR(AND($N351=0,O351=""),$F351/$J351&gt;[1]CRITERIOS!$G$170,$F351="DV"),"MTO",IF($F351/$J351&lt;[1]CRITERIOS!$H$168,"MTS","MTOS")))</f>
        <v>#N/A</v>
      </c>
      <c r="V351" s="34" t="e">
        <f t="shared" si="19"/>
        <v>#N/A</v>
      </c>
      <c r="X351" s="34" t="e">
        <f t="shared" si="17"/>
        <v>#N/A</v>
      </c>
      <c r="Y351" s="34" t="e">
        <f t="shared" si="18"/>
        <v>#N/A</v>
      </c>
      <c r="Z351" s="34" t="e">
        <f>IF($R351="MTO",
0,
($H351+$K351*($E351/[1]CRITERIOS!$M$16))/[1]CRITERIOS!$X$48)</f>
        <v>#N/A</v>
      </c>
      <c r="AA351" s="34" t="e">
        <f>ROUNDUP(($Y351/_xlfn.XLOOKUP($A351,'[1]DATOS PBI Artículos'!$A$4:$A$4,'[1]DATOS PBI Artículos'!$Z$4:$Z$4))/_xlfn.XLOOKUP(_xlfn.XLOOKUP($A351,'[1]DATOS PBI Artículos'!$A$4:$A$4,'[1]DATOS PBI Artículos'!$Y$4:$Y$4),[1]CRITERIOS!$P$79:$P$123,[1]CRITERIOS!$S$79:$S$123,),0)</f>
        <v>#N/A</v>
      </c>
      <c r="AB351" s="33" t="e">
        <f t="array" ref="AB351">IF((E351+V351-_xlfn.XLOOKUP(A351,'[1]DATOS PBI Artículos'!$A$4:$A$4,'[1]DATOS PBI Artículos'!$W$4:$W$4))/N351&gt;ROUNDUP([1]CRITERIOS!$M$16/(IF(COUNTIF([1]CRITERIOS!$BG$11:$BG$201,L351)&gt;=1,_xlfn.XLOOKUP(ARTÍCULOS!L351,[1]CRITERIOS!$BG$11:$BG$201,[1]CRITERIOS!$BJ$11:$BJ$201),_xlfn.XLOOKUP(ARTÍCULOS!C351,[1]CRITERIOS!$K$25:$K$42,[1]CRITERIOS!$M$25:$M$42))),0),ROUNDUP([1]CRITERIOS!$M$16/(IF(COUNTIF([1]CRITERIOS!$BG$11:$BG$201,L351)&gt;=1,_xlfn.XLOOKUP(ARTÍCULOS!L351,[1]CRITERIOS!$BG$11:$BG$201:#REF!,[1]CRITERIOS!$BJ$11:$BJ$201),_xlfn.XLOOKUP(ARTÍCULOS!C351,[1]CRITERIOS!$K$25:$K$42,[1]CRITERIOS!$M$25:$M$42))),0),(E351+V351-_xlfn.XLOOKUP(A351,'[1]DATOS PBI Artículos'!$A$4:$A$4,'[1]DATOS PBI Artículos'!$W$4:$W$4))/N351)</f>
        <v>#N/A</v>
      </c>
      <c r="AC351" s="33" t="e">
        <f>IF(N351=0,"",(ROUNDUP((N351/2)/(_xlfn.XLOOKUP(A351,'[1]DATOS PBI Artículos'!$A$4:$A$4,'[1]DATOS PBI Artículos'!$Z$4:$Z$4)*_xlfn.XLOOKUP(_xlfn.XLOOKUP(A351,'[1]DATOS PBI Artículos'!$A$4:$A$4,'[1]DATOS PBI Artículos'!$Y$4:$Y$4),[1]CRITERIOS!$P$79:$P$123,[1]CRITERIOS!$S$79:$S$123)),0)*[1]CRITERIOS!$M$80*([1]CRITERIOS!$M$110/[1]CRITERIOS!$M$86)+(_xlfn.XLOOKUP(A351,'[1]DATOS PBI Artículos'!$A$4:$A$4,'[1]DATOS PBI Artículos'!$AA$4:$AA$4)*([1]CRITERIOS!$M$95+[1]CRITERIOS!$M$98)))/N351)</f>
        <v>#N/A</v>
      </c>
      <c r="AD351" s="33" t="e">
        <f>IF(N351=0,"",(ROUNDUP((N351/2)/(_xlfn.XLOOKUP(A351,'[1]DATOS PBI Artículos'!$A$4:$A$4,'[1]DATOS PBI Artículos'!$Z$4:$Z$4)*_xlfn.XLOOKUP(_xlfn.XLOOKUP(A351,'[1]DATOS PBI Artículos'!$A$4:$A$4,'[1]DATOS PBI Artículos'!$Y$4:$Y$4),[1]CRITERIOS!$P$79:$P$123,[1]CRITERIOS!$S$79:$S$123)),0)*[1]CRITERIOS!$M$80*([1]CRITERIOS!$M$89*[1]CRITERIOS!$M$92)+((_xlfn.XLOOKUP(A351,'[1]DATOS PBI Artículos'!$A$4:$A$4,'[1]DATOS PBI Artículos'!$AA$4:$AA$4)/2)*([1]CRITERIOS!$M$95+[1]CRITERIOS!$M$98)))/N351)</f>
        <v>#N/A</v>
      </c>
      <c r="AE351" s="39" t="e">
        <f>IF($R351="MTO","",
IF($H351=0,ROUNDUP(((_xlfn.XLOOKUP($A351,'[1]DATOS PBI Artículos'!$A:$A,'[1]DATOS PBI Artículos'!$AL:$AL))/(_xlfn.XLOOKUP($AF$1,[1]CRITERIOS!$S$16:$S$39,[1]CRITERIOS!$Y$16:$Y$39))*$J351+$Z351)/$G351,0)*$G351,
((_xlfn.XLOOKUP($A351,'[1]DATOS PBI Artículos'!$A:$A,'[1]DATOS PBI Artículos'!$AL:$AL))/(_xlfn.XLOOKUP($AF$1,[1]CRITERIOS!$S$16:$S$39,[1]CRITERIOS!$Y$16:$Y$39))*$J351+$Z351)))</f>
        <v>#N/A</v>
      </c>
      <c r="AG351" s="39" t="e">
        <f>IF($R351="MTO","",
IF($H351=0,ROUNDUP(((_xlfn.XLOOKUP($A351,'[1]DATOS PBI Artículos'!$A:$A,'[1]DATOS PBI Artículos'!$AM:$AM))/(_xlfn.XLOOKUP($AH$1,[1]CRITERIOS!$S$16:$S$39,[1]CRITERIOS!$Y$16:$Y$39))*$J351+$Z351)/$G351,0)*$G351,
((_xlfn.XLOOKUP($A351,'[1]DATOS PBI Artículos'!$A:$A,'[1]DATOS PBI Artículos'!$AM:$AM))/(_xlfn.XLOOKUP($AH$1,[1]CRITERIOS!$S$16:$S$39,[1]CRITERIOS!$Y$16:$Y$39))*$J351+$Z351)))</f>
        <v>#N/A</v>
      </c>
      <c r="AI351" s="39" t="e">
        <f>IF($R351="MTO","",
IF($H351=0,ROUNDUP(((_xlfn.XLOOKUP($A351,'[1]DATOS PBI Artículos'!$A:$A,'[1]DATOS PBI Artículos'!$AN:$AN))/(_xlfn.XLOOKUP($AJ$1,[1]CRITERIOS!$S$16:$S$39,[1]CRITERIOS!$Y$16:$Y$39))*$J351+$Z351)/$G351,0)*$G351,
((_xlfn.XLOOKUP($A351,'[1]DATOS PBI Artículos'!$A:$A,'[1]DATOS PBI Artículos'!$AN:$AN))/(_xlfn.XLOOKUP($AJ$1,[1]CRITERIOS!$S$16:$S$39,[1]CRITERIOS!$Y$16:$Y$39))*$J351+$Z351)))</f>
        <v>#N/A</v>
      </c>
      <c r="AK351" s="39" t="e">
        <f>IF($R351="MTO","",
IF($H351=0,ROUNDUP(((_xlfn.XLOOKUP($A351,'[1]DATOS PBI Artículos'!$A:$A,'[1]DATOS PBI Artículos'!$AO:$AO))/(_xlfn.XLOOKUP($AL$1,[1]CRITERIOS!$S$16:$S$39,[1]CRITERIOS!$Y$16:$Y$39))*$J351+$Z351)/$G351,0)*$G351,
((_xlfn.XLOOKUP($A351,'[1]DATOS PBI Artículos'!$A:$A,'[1]DATOS PBI Artículos'!$AO:$AO))/(_xlfn.XLOOKUP($AL$1,[1]CRITERIOS!$S$16:$S$39,[1]CRITERIOS!$Y$16:$Y$39))*$J351+$Z351)))</f>
        <v>#N/A</v>
      </c>
    </row>
    <row r="352" spans="1:37" ht="25.8" hidden="1" x14ac:dyDescent="0.4">
      <c r="A352" s="41"/>
      <c r="B352" s="33">
        <f>_xlfn.XLOOKUP($A352,'[1]DATOS PBI Artículos'!A:A,'[1]DATOS PBI Artículos'!B:B)</f>
        <v>0</v>
      </c>
      <c r="C352" s="33">
        <f>_xlfn.XLOOKUP($A352,'[1]DATOS PBI Artículos'!A:A,'[1]DATOS PBI Artículos'!C:C)</f>
        <v>0</v>
      </c>
      <c r="D352" s="33">
        <f>_xlfn.XLOOKUP(A352,'[1]DATOS PBI Artículos'!A:A,'[1]DATOS PBI Artículos'!T:T)</f>
        <v>0</v>
      </c>
      <c r="E352" s="34">
        <f>IF(_xlfn.XLOOKUP($A352,'[1]DATOS PBI Artículos'!A:A,'[1]DATOS PBI Artículos'!AK:AK)="",_xlfn.XLOOKUP($A352,'[1]DATOS PBI Artículos'!A:A,'[1]DATOS PBI Artículos'!AJ:AJ),_xlfn.XLOOKUP($A352,'[1]DATOS PBI Artículos'!A:A,'[1]DATOS PBI Artículos'!AK:AK))</f>
        <v>0</v>
      </c>
      <c r="F352" s="35">
        <f>_xlfn.XLOOKUP($A352,'[1]DATOS PBI Artículos'!A:A,'[1]DATOS PBI Artículos'!AP:AP)</f>
        <v>0</v>
      </c>
      <c r="G352" s="34">
        <f>_xlfn.XLOOKUP($A352,'[1]DATOS PBI Artículos'!A:A,'[1]DATOS PBI Artículos'!AR:AR)</f>
        <v>0</v>
      </c>
      <c r="H352" s="34">
        <f>_xlfn.XLOOKUP($A352,'[1]DATOS PBI Artículos'!A:A,'[1]DATOS PBI Artículos'!AT:AT)</f>
        <v>0</v>
      </c>
      <c r="I352" s="34">
        <f>_xlfn.XLOOKUP($A352,'[1]DATOS PBI Artículos'!A:A,'[1]DATOS PBI Artículos'!AS:AS)</f>
        <v>0</v>
      </c>
      <c r="J352" s="35">
        <f>IF(COUNTIF([1]CRITERIOS!$F$179:$F$199,$A352)&gt;=1,
 IF(O352&lt;&gt;"",
    (O352/_xlfn.XLOOKUP(CONCATENATE(A352,L352),[1]MÁQUINAS!A:A,[1]MÁQUINAS!D:D))/24,
    (N352/_xlfn.XLOOKUP(CONCATENATE(A352,L352),[1]MÁQUINAS!A:A,[1]MÁQUINAS!D:D))/24),
  _xlfn.XLOOKUP($A352,'[1]DATOS PBI Artículos'!A:A,'[1]DATOS PBI Artículos'!AU:AU))</f>
        <v>0</v>
      </c>
      <c r="K352" s="36">
        <f>_xlfn.XLOOKUP($A352,'[1]DATOS PBI Artículos'!A:A,'[1]DATOS PBI Artículos'!AV:AV)</f>
        <v>0</v>
      </c>
      <c r="L352" s="33">
        <f>_xlfn.XLOOKUP(A352,[1]MÁQUINAS!B:B,[1]MÁQUINAS!C:C)</f>
        <v>0</v>
      </c>
      <c r="M352" s="34">
        <f t="array" ref="M352">_xlfn.XLOOKUP(A352,'[1]DATOS PBI Artículos'!A:A,'[1]DATOS PBI Artículos'!AX:$AX)</f>
        <v>0</v>
      </c>
      <c r="N352" s="37" t="e">
        <f>IF(I352="DV",
E352,
IF(COUNTIF([1]CRITERIOS!$I$179:$I$199,$A352)&gt;=1,
_xlfn.XLOOKUP($A352,[1]CRITERIOS!$I$179:$I$199,[1]CRITERIOS!$J$179:$J$199),
IF(COUNTIF([1]CRITERIOS!$L$179:$L$199,$A352)&gt;=1,
_xlfn.CEILING.MATH(IF($M352&gt;$E352,
$E352,
IF($M352&lt;$E352/ROUNDDOWN([1]CRITERIOS!$M$16/_xlfn.XLOOKUP($C352,[1]CRITERIOS!$K$25:$K$42,[1]CRITERIOS!$M$25:$M$42),
1),
E352/ROUNDDOWN([1]CRITERIOS!$M$16/_xlfn.XLOOKUP($C352,[1]CRITERIOS!$K$25:$K$42,[1]CRITERIOS!$M$25:$M$42),
1),
$M352)),
_xlfn.XLOOKUP($A352,[1]CRITERIOS!$L$179:$L$200,[1]CRITERIOS!$M$179:$M$200)),
_xlfn.CEILING.MATH(IF($M352&gt;$E352,
$E352,
IF($M352&lt;$E352/ROUNDDOWN([1]CRITERIOS!$M$16/_xlfn.XLOOKUP($C352,[1]CRITERIOS!$K$25:$K$42,[1]CRITERIOS!$M$25:$M$42),
1),
E352/ROUNDDOWN([1]CRITERIOS!$M$16/_xlfn.XLOOKUP($C352,[1]CRITERIOS!$K$25:$K$42,[1]CRITERIOS!$M$25:$M$42),
1),
$M352)),_xlfn.XLOOKUP(A352,'[1]DATOS PBI Artículos'!A:A,'[1]DATOS PBI Artículos'!Z:Z
)))))</f>
        <v>#N/A</v>
      </c>
      <c r="Q352" s="38" t="e">
        <f>IF(AND(O352="",N352=0),
0,
   IF(COUNTIF([1]CRITERIOS!$F$179:$F$199,$A352)&gt;=1,
   1,
   IF(R352="MTO",
      $D352,
      ROUNDUP(
                    IF(($E352-SUMIF('[1]DATOS PBI Artículos'!A:A,A352,'[1]DATOS PBI Artículos'!X:X)+($V352-_xlfn.XLOOKUP(A352,'[1]DATOS PBI Artículos'!A:A,'[1]DATOS PBI Artículos'!W:W)))&lt;0,
                    0,
                    IF(($E352-SUMIF('[1]DATOS PBI Artículos'!A:A,A352,'[1]DATOS PBI Artículos'!X:X)+$V352-_xlfn.XLOOKUP($A352,'[1]DATOS PBI Artículos'!A:A,'[1]DATOS PBI Artículos'!W:W))/IF($O352="",$N352,$O352)&gt;ROUNDUP([1]CRITERIOS!$M$16/(IF(COUNTIF([1]CRITERIOS!$BG$11:$BG$201,L352)&gt;=1,_xlfn.XLOOKUP($C352,[1]CRITERIOS!$K$25:$K$42,[1]CRITERIOS!$M$25:$M$42),_xlfn.XLOOKUP($C352,[1]CRITERIOS!$K$25:$K$42,[1]CRITERIOS!$M$25:$M$42))),0),
                    ROUNDUP([1]CRITERIOS!$M$16/(IF(COUNTIF([1]CRITERIOS!$BG$11:$BG$201,$L352)&gt;=1,_xlfn.XLOOKUP($C352,[1]CRITERIOS!$K$25:$K$42,[1]CRITERIOS!$M$25:$M$42),_xlfn.XLOOKUP($C352,[1]CRITERIOS!$K$25:$K$42,[1]CRITERIOS!$M$25:$M$42))),0),
                    (E352+V352-SUMIF('[1]DATOS PBI Artículos'!A:A,A352,'[1]DATOS PBI Artículos'!X:X)-_xlfn.XLOOKUP(A352,'[1]DATOS PBI Artículos'!A:A,'[1]DATOS PBI Artículos'!W:W))/IF($O352="",$N352,$O352))),0))))</f>
        <v>#N/A</v>
      </c>
      <c r="R352" s="33" t="e">
        <f>IF(U352&lt;&gt;"",U352,IF(F352="DV","MTO",IF(N352=0,"MTO",_xlfn.XLOOKUP(CONCATENATE(S352,T352),[1]CRITERIOS!$K$160:$K$168,[1]CRITERIOS!$N$160:$N$168))))</f>
        <v>#N/A</v>
      </c>
      <c r="S352" s="33" t="e">
        <f>IF(G352="DV","MTO",IF(N352=0,"MTO",IF(OR(AND(N352=0,O352=""),IF(O352="",G352/N352,G352/O352)&gt;[1]CRITERIOS!$G$163),"MTO",IF(IF(O352="",G352/N352,G352/O352)&lt;[1]CRITERIOS!$H$161,"MTS","MTOS"))))</f>
        <v>#N/A</v>
      </c>
      <c r="T352" s="33" t="e">
        <f>IF(F352="DV","MTO",IF(OR(AND($N352=0,O352=""),$F352/$J352&gt;[1]CRITERIOS!$G$170,$F352="DV"),"MTO",IF($F352/$J352&lt;[1]CRITERIOS!$H$168,"MTS","MTOS")))</f>
        <v>#N/A</v>
      </c>
      <c r="V352" s="34" t="e">
        <f t="shared" si="19"/>
        <v>#N/A</v>
      </c>
      <c r="X352" s="34" t="e">
        <f t="shared" si="17"/>
        <v>#N/A</v>
      </c>
      <c r="Y352" s="34" t="e">
        <f t="shared" si="18"/>
        <v>#N/A</v>
      </c>
      <c r="Z352" s="34" t="e">
        <f>IF($R352="MTO",
0,
($H352+$K352*($E352/[1]CRITERIOS!$M$16))/[1]CRITERIOS!$X$48)</f>
        <v>#N/A</v>
      </c>
      <c r="AA352" s="34" t="e">
        <f>ROUNDUP(($Y352/_xlfn.XLOOKUP($A352,'[1]DATOS PBI Artículos'!$A$4:$A$4,'[1]DATOS PBI Artículos'!$Z$4:$Z$4))/_xlfn.XLOOKUP(_xlfn.XLOOKUP($A352,'[1]DATOS PBI Artículos'!$A$4:$A$4,'[1]DATOS PBI Artículos'!$Y$4:$Y$4),[1]CRITERIOS!$P$79:$P$123,[1]CRITERIOS!$S$79:$S$123,),0)</f>
        <v>#N/A</v>
      </c>
      <c r="AB352" s="33" t="e">
        <f t="array" ref="AB352">IF((E352+V352-_xlfn.XLOOKUP(A352,'[1]DATOS PBI Artículos'!$A$4:$A$4,'[1]DATOS PBI Artículos'!$W$4:$W$4))/N352&gt;ROUNDUP([1]CRITERIOS!$M$16/(IF(COUNTIF([1]CRITERIOS!$BG$11:$BG$201,L352)&gt;=1,_xlfn.XLOOKUP(ARTÍCULOS!L352,[1]CRITERIOS!$BG$11:$BG$201,[1]CRITERIOS!$BJ$11:$BJ$201),_xlfn.XLOOKUP(ARTÍCULOS!C352,[1]CRITERIOS!$K$25:$K$42,[1]CRITERIOS!$M$25:$M$42))),0),ROUNDUP([1]CRITERIOS!$M$16/(IF(COUNTIF([1]CRITERIOS!$BG$11:$BG$201,L352)&gt;=1,_xlfn.XLOOKUP(ARTÍCULOS!L352,[1]CRITERIOS!$BG$11:$BG$201:#REF!,[1]CRITERIOS!$BJ$11:$BJ$201),_xlfn.XLOOKUP(ARTÍCULOS!C352,[1]CRITERIOS!$K$25:$K$42,[1]CRITERIOS!$M$25:$M$42))),0),(E352+V352-_xlfn.XLOOKUP(A352,'[1]DATOS PBI Artículos'!$A$4:$A$4,'[1]DATOS PBI Artículos'!$W$4:$W$4))/N352)</f>
        <v>#N/A</v>
      </c>
      <c r="AC352" s="33" t="e">
        <f>IF(N352=0,"",(ROUNDUP((N352/2)/(_xlfn.XLOOKUP(A352,'[1]DATOS PBI Artículos'!$A$4:$A$4,'[1]DATOS PBI Artículos'!$Z$4:$Z$4)*_xlfn.XLOOKUP(_xlfn.XLOOKUP(A352,'[1]DATOS PBI Artículos'!$A$4:$A$4,'[1]DATOS PBI Artículos'!$Y$4:$Y$4),[1]CRITERIOS!$P$79:$P$123,[1]CRITERIOS!$S$79:$S$123)),0)*[1]CRITERIOS!$M$80*([1]CRITERIOS!$M$110/[1]CRITERIOS!$M$86)+(_xlfn.XLOOKUP(A352,'[1]DATOS PBI Artículos'!$A$4:$A$4,'[1]DATOS PBI Artículos'!$AA$4:$AA$4)*([1]CRITERIOS!$M$95+[1]CRITERIOS!$M$98)))/N352)</f>
        <v>#N/A</v>
      </c>
      <c r="AD352" s="33" t="e">
        <f>IF(N352=0,"",(ROUNDUP((N352/2)/(_xlfn.XLOOKUP(A352,'[1]DATOS PBI Artículos'!$A$4:$A$4,'[1]DATOS PBI Artículos'!$Z$4:$Z$4)*_xlfn.XLOOKUP(_xlfn.XLOOKUP(A352,'[1]DATOS PBI Artículos'!$A$4:$A$4,'[1]DATOS PBI Artículos'!$Y$4:$Y$4),[1]CRITERIOS!$P$79:$P$123,[1]CRITERIOS!$S$79:$S$123)),0)*[1]CRITERIOS!$M$80*([1]CRITERIOS!$M$89*[1]CRITERIOS!$M$92)+((_xlfn.XLOOKUP(A352,'[1]DATOS PBI Artículos'!$A$4:$A$4,'[1]DATOS PBI Artículos'!$AA$4:$AA$4)/2)*([1]CRITERIOS!$M$95+[1]CRITERIOS!$M$98)))/N352)</f>
        <v>#N/A</v>
      </c>
      <c r="AE352" s="39" t="e">
        <f>IF($R352="MTO","",
IF($H352=0,ROUNDUP(((_xlfn.XLOOKUP($A352,'[1]DATOS PBI Artículos'!$A:$A,'[1]DATOS PBI Artículos'!$AL:$AL))/(_xlfn.XLOOKUP($AF$1,[1]CRITERIOS!$S$16:$S$39,[1]CRITERIOS!$Y$16:$Y$39))*$J352+$Z352)/$G352,0)*$G352,
((_xlfn.XLOOKUP($A352,'[1]DATOS PBI Artículos'!$A:$A,'[1]DATOS PBI Artículos'!$AL:$AL))/(_xlfn.XLOOKUP($AF$1,[1]CRITERIOS!$S$16:$S$39,[1]CRITERIOS!$Y$16:$Y$39))*$J352+$Z352)))</f>
        <v>#N/A</v>
      </c>
      <c r="AG352" s="39" t="e">
        <f>IF($R352="MTO","",
IF($H352=0,ROUNDUP(((_xlfn.XLOOKUP($A352,'[1]DATOS PBI Artículos'!$A:$A,'[1]DATOS PBI Artículos'!$AM:$AM))/(_xlfn.XLOOKUP($AH$1,[1]CRITERIOS!$S$16:$S$39,[1]CRITERIOS!$Y$16:$Y$39))*$J352+$Z352)/$G352,0)*$G352,
((_xlfn.XLOOKUP($A352,'[1]DATOS PBI Artículos'!$A:$A,'[1]DATOS PBI Artículos'!$AM:$AM))/(_xlfn.XLOOKUP($AH$1,[1]CRITERIOS!$S$16:$S$39,[1]CRITERIOS!$Y$16:$Y$39))*$J352+$Z352)))</f>
        <v>#N/A</v>
      </c>
      <c r="AI352" s="39" t="e">
        <f>IF($R352="MTO","",
IF($H352=0,ROUNDUP(((_xlfn.XLOOKUP($A352,'[1]DATOS PBI Artículos'!$A:$A,'[1]DATOS PBI Artículos'!$AN:$AN))/(_xlfn.XLOOKUP($AJ$1,[1]CRITERIOS!$S$16:$S$39,[1]CRITERIOS!$Y$16:$Y$39))*$J352+$Z352)/$G352,0)*$G352,
((_xlfn.XLOOKUP($A352,'[1]DATOS PBI Artículos'!$A:$A,'[1]DATOS PBI Artículos'!$AN:$AN))/(_xlfn.XLOOKUP($AJ$1,[1]CRITERIOS!$S$16:$S$39,[1]CRITERIOS!$Y$16:$Y$39))*$J352+$Z352)))</f>
        <v>#N/A</v>
      </c>
      <c r="AK352" s="39" t="e">
        <f>IF($R352="MTO","",
IF($H352=0,ROUNDUP(((_xlfn.XLOOKUP($A352,'[1]DATOS PBI Artículos'!$A:$A,'[1]DATOS PBI Artículos'!$AO:$AO))/(_xlfn.XLOOKUP($AL$1,[1]CRITERIOS!$S$16:$S$39,[1]CRITERIOS!$Y$16:$Y$39))*$J352+$Z352)/$G352,0)*$G352,
((_xlfn.XLOOKUP($A352,'[1]DATOS PBI Artículos'!$A:$A,'[1]DATOS PBI Artículos'!$AO:$AO))/(_xlfn.XLOOKUP($AL$1,[1]CRITERIOS!$S$16:$S$39,[1]CRITERIOS!$Y$16:$Y$39))*$J352+$Z352)))</f>
        <v>#N/A</v>
      </c>
    </row>
    <row r="353" spans="1:37" ht="25.8" hidden="1" x14ac:dyDescent="0.4">
      <c r="A353" s="41"/>
      <c r="B353" s="33">
        <f>_xlfn.XLOOKUP($A353,'[1]DATOS PBI Artículos'!A:A,'[1]DATOS PBI Artículos'!B:B)</f>
        <v>0</v>
      </c>
      <c r="C353" s="33">
        <f>_xlfn.XLOOKUP($A353,'[1]DATOS PBI Artículos'!A:A,'[1]DATOS PBI Artículos'!C:C)</f>
        <v>0</v>
      </c>
      <c r="D353" s="33">
        <f>_xlfn.XLOOKUP(A353,'[1]DATOS PBI Artículos'!A:A,'[1]DATOS PBI Artículos'!T:T)</f>
        <v>0</v>
      </c>
      <c r="E353" s="34">
        <f>IF(_xlfn.XLOOKUP($A353,'[1]DATOS PBI Artículos'!A:A,'[1]DATOS PBI Artículos'!AK:AK)="",_xlfn.XLOOKUP($A353,'[1]DATOS PBI Artículos'!A:A,'[1]DATOS PBI Artículos'!AJ:AJ),_xlfn.XLOOKUP($A353,'[1]DATOS PBI Artículos'!A:A,'[1]DATOS PBI Artículos'!AK:AK))</f>
        <v>0</v>
      </c>
      <c r="F353" s="35">
        <f>_xlfn.XLOOKUP($A353,'[1]DATOS PBI Artículos'!A:A,'[1]DATOS PBI Artículos'!AP:AP)</f>
        <v>0</v>
      </c>
      <c r="G353" s="34">
        <f>_xlfn.XLOOKUP($A353,'[1]DATOS PBI Artículos'!A:A,'[1]DATOS PBI Artículos'!AR:AR)</f>
        <v>0</v>
      </c>
      <c r="H353" s="34">
        <f>_xlfn.XLOOKUP($A353,'[1]DATOS PBI Artículos'!A:A,'[1]DATOS PBI Artículos'!AT:AT)</f>
        <v>0</v>
      </c>
      <c r="I353" s="34">
        <f>_xlfn.XLOOKUP($A353,'[1]DATOS PBI Artículos'!A:A,'[1]DATOS PBI Artículos'!AS:AS)</f>
        <v>0</v>
      </c>
      <c r="J353" s="35">
        <f>IF(COUNTIF([1]CRITERIOS!$F$179:$F$199,$A353)&gt;=1,
 IF(O353&lt;&gt;"",
    (O353/_xlfn.XLOOKUP(CONCATENATE(A353,L353),[1]MÁQUINAS!A:A,[1]MÁQUINAS!D:D))/24,
    (N353/_xlfn.XLOOKUP(CONCATENATE(A353,L353),[1]MÁQUINAS!A:A,[1]MÁQUINAS!D:D))/24),
  _xlfn.XLOOKUP($A353,'[1]DATOS PBI Artículos'!A:A,'[1]DATOS PBI Artículos'!AU:AU))</f>
        <v>0</v>
      </c>
      <c r="K353" s="36">
        <f>_xlfn.XLOOKUP($A353,'[1]DATOS PBI Artículos'!A:A,'[1]DATOS PBI Artículos'!AV:AV)</f>
        <v>0</v>
      </c>
      <c r="L353" s="33">
        <f>_xlfn.XLOOKUP(A353,[1]MÁQUINAS!B:B,[1]MÁQUINAS!C:C)</f>
        <v>0</v>
      </c>
      <c r="M353" s="34">
        <f t="array" ref="M353">_xlfn.XLOOKUP(A353,'[1]DATOS PBI Artículos'!A:A,'[1]DATOS PBI Artículos'!AX:$AX)</f>
        <v>0</v>
      </c>
      <c r="N353" s="37" t="e">
        <f>IF(I353="DV",
E353,
IF(COUNTIF([1]CRITERIOS!$I$179:$I$199,$A353)&gt;=1,
_xlfn.XLOOKUP($A353,[1]CRITERIOS!$I$179:$I$199,[1]CRITERIOS!$J$179:$J$199),
IF(COUNTIF([1]CRITERIOS!$L$179:$L$199,$A353)&gt;=1,
_xlfn.CEILING.MATH(IF($M353&gt;$E353,
$E353,
IF($M353&lt;$E353/ROUNDDOWN([1]CRITERIOS!$M$16/_xlfn.XLOOKUP($C353,[1]CRITERIOS!$K$25:$K$42,[1]CRITERIOS!$M$25:$M$42),
1),
E353/ROUNDDOWN([1]CRITERIOS!$M$16/_xlfn.XLOOKUP($C353,[1]CRITERIOS!$K$25:$K$42,[1]CRITERIOS!$M$25:$M$42),
1),
$M353)),
_xlfn.XLOOKUP($A353,[1]CRITERIOS!$L$179:$L$200,[1]CRITERIOS!$M$179:$M$200)),
_xlfn.CEILING.MATH(IF($M353&gt;$E353,
$E353,
IF($M353&lt;$E353/ROUNDDOWN([1]CRITERIOS!$M$16/_xlfn.XLOOKUP($C353,[1]CRITERIOS!$K$25:$K$42,[1]CRITERIOS!$M$25:$M$42),
1),
E353/ROUNDDOWN([1]CRITERIOS!$M$16/_xlfn.XLOOKUP($C353,[1]CRITERIOS!$K$25:$K$42,[1]CRITERIOS!$M$25:$M$42),
1),
$M353)),_xlfn.XLOOKUP(A353,'[1]DATOS PBI Artículos'!A:A,'[1]DATOS PBI Artículos'!Z:Z
)))))</f>
        <v>#N/A</v>
      </c>
      <c r="Q353" s="38" t="e">
        <f>IF(AND(O353="",N353=0),
0,
   IF(COUNTIF([1]CRITERIOS!$F$179:$F$199,$A353)&gt;=1,
   1,
   IF(R353="MTO",
      $D353,
      ROUNDUP(
                    IF(($E353-SUMIF('[1]DATOS PBI Artículos'!A:A,A353,'[1]DATOS PBI Artículos'!X:X)+($V353-_xlfn.XLOOKUP(A353,'[1]DATOS PBI Artículos'!A:A,'[1]DATOS PBI Artículos'!W:W)))&lt;0,
                    0,
                    IF(($E353-SUMIF('[1]DATOS PBI Artículos'!A:A,A353,'[1]DATOS PBI Artículos'!X:X)+$V353-_xlfn.XLOOKUP($A353,'[1]DATOS PBI Artículos'!A:A,'[1]DATOS PBI Artículos'!W:W))/IF($O353="",$N353,$O353)&gt;ROUNDUP([1]CRITERIOS!$M$16/(IF(COUNTIF([1]CRITERIOS!$BG$11:$BG$201,L353)&gt;=1,_xlfn.XLOOKUP($C353,[1]CRITERIOS!$K$25:$K$42,[1]CRITERIOS!$M$25:$M$42),_xlfn.XLOOKUP($C353,[1]CRITERIOS!$K$25:$K$42,[1]CRITERIOS!$M$25:$M$42))),0),
                    ROUNDUP([1]CRITERIOS!$M$16/(IF(COUNTIF([1]CRITERIOS!$BG$11:$BG$201,$L353)&gt;=1,_xlfn.XLOOKUP($C353,[1]CRITERIOS!$K$25:$K$42,[1]CRITERIOS!$M$25:$M$42),_xlfn.XLOOKUP($C353,[1]CRITERIOS!$K$25:$K$42,[1]CRITERIOS!$M$25:$M$42))),0),
                    (E353+V353-SUMIF('[1]DATOS PBI Artículos'!A:A,A353,'[1]DATOS PBI Artículos'!X:X)-_xlfn.XLOOKUP(A353,'[1]DATOS PBI Artículos'!A:A,'[1]DATOS PBI Artículos'!W:W))/IF($O353="",$N353,$O353))),0))))</f>
        <v>#N/A</v>
      </c>
      <c r="R353" s="33" t="e">
        <f>IF(U353&lt;&gt;"",U353,IF(F353="DV","MTO",IF(N353=0,"MTO",_xlfn.XLOOKUP(CONCATENATE(S353,T353),[1]CRITERIOS!$K$160:$K$168,[1]CRITERIOS!$N$160:$N$168))))</f>
        <v>#N/A</v>
      </c>
      <c r="S353" s="33" t="e">
        <f>IF(G353="DV","MTO",IF(N353=0,"MTO",IF(OR(AND(N353=0,O353=""),IF(O353="",G353/N353,G353/O353)&gt;[1]CRITERIOS!$G$163),"MTO",IF(IF(O353="",G353/N353,G353/O353)&lt;[1]CRITERIOS!$H$161,"MTS","MTOS"))))</f>
        <v>#N/A</v>
      </c>
      <c r="T353" s="33" t="e">
        <f>IF(F353="DV","MTO",IF(OR(AND($N353=0,O353=""),$F353/$J353&gt;[1]CRITERIOS!$G$170,$F353="DV"),"MTO",IF($F353/$J353&lt;[1]CRITERIOS!$H$168,"MTS","MTOS")))</f>
        <v>#N/A</v>
      </c>
      <c r="V353" s="34" t="e">
        <f t="shared" si="19"/>
        <v>#N/A</v>
      </c>
      <c r="X353" s="34" t="e">
        <f t="shared" si="17"/>
        <v>#N/A</v>
      </c>
      <c r="Y353" s="34" t="e">
        <f t="shared" si="18"/>
        <v>#N/A</v>
      </c>
      <c r="Z353" s="34" t="e">
        <f>IF($R353="MTO",
0,
($H353+$K353*($E353/[1]CRITERIOS!$M$16))/[1]CRITERIOS!$X$48)</f>
        <v>#N/A</v>
      </c>
      <c r="AA353" s="34" t="e">
        <f>ROUNDUP(($Y353/_xlfn.XLOOKUP($A353,'[1]DATOS PBI Artículos'!$A$4:$A$4,'[1]DATOS PBI Artículos'!$Z$4:$Z$4))/_xlfn.XLOOKUP(_xlfn.XLOOKUP($A353,'[1]DATOS PBI Artículos'!$A$4:$A$4,'[1]DATOS PBI Artículos'!$Y$4:$Y$4),[1]CRITERIOS!$P$79:$P$123,[1]CRITERIOS!$S$79:$S$123,),0)</f>
        <v>#N/A</v>
      </c>
      <c r="AB353" s="33" t="e">
        <f t="array" ref="AB353">IF((E353+V353-_xlfn.XLOOKUP(A353,'[1]DATOS PBI Artículos'!$A$4:$A$4,'[1]DATOS PBI Artículos'!$W$4:$W$4))/N353&gt;ROUNDUP([1]CRITERIOS!$M$16/(IF(COUNTIF([1]CRITERIOS!$BG$11:$BG$201,L353)&gt;=1,_xlfn.XLOOKUP(ARTÍCULOS!L353,[1]CRITERIOS!$BG$11:$BG$201,[1]CRITERIOS!$BJ$11:$BJ$201),_xlfn.XLOOKUP(ARTÍCULOS!C353,[1]CRITERIOS!$K$25:$K$42,[1]CRITERIOS!$M$25:$M$42))),0),ROUNDUP([1]CRITERIOS!$M$16/(IF(COUNTIF([1]CRITERIOS!$BG$11:$BG$201,L353)&gt;=1,_xlfn.XLOOKUP(ARTÍCULOS!L353,[1]CRITERIOS!$BG$11:$BG$201:#REF!,[1]CRITERIOS!$BJ$11:$BJ$201),_xlfn.XLOOKUP(ARTÍCULOS!C353,[1]CRITERIOS!$K$25:$K$42,[1]CRITERIOS!$M$25:$M$42))),0),(E353+V353-_xlfn.XLOOKUP(A353,'[1]DATOS PBI Artículos'!$A$4:$A$4,'[1]DATOS PBI Artículos'!$W$4:$W$4))/N353)</f>
        <v>#N/A</v>
      </c>
      <c r="AC353" s="33" t="e">
        <f>IF(N353=0,"",(ROUNDUP((N353/2)/(_xlfn.XLOOKUP(A353,'[1]DATOS PBI Artículos'!$A$4:$A$4,'[1]DATOS PBI Artículos'!$Z$4:$Z$4)*_xlfn.XLOOKUP(_xlfn.XLOOKUP(A353,'[1]DATOS PBI Artículos'!$A$4:$A$4,'[1]DATOS PBI Artículos'!$Y$4:$Y$4),[1]CRITERIOS!$P$79:$P$123,[1]CRITERIOS!$S$79:$S$123)),0)*[1]CRITERIOS!$M$80*([1]CRITERIOS!$M$110/[1]CRITERIOS!$M$86)+(_xlfn.XLOOKUP(A353,'[1]DATOS PBI Artículos'!$A$4:$A$4,'[1]DATOS PBI Artículos'!$AA$4:$AA$4)*([1]CRITERIOS!$M$95+[1]CRITERIOS!$M$98)))/N353)</f>
        <v>#N/A</v>
      </c>
      <c r="AD353" s="33" t="e">
        <f>IF(N353=0,"",(ROUNDUP((N353/2)/(_xlfn.XLOOKUP(A353,'[1]DATOS PBI Artículos'!$A$4:$A$4,'[1]DATOS PBI Artículos'!$Z$4:$Z$4)*_xlfn.XLOOKUP(_xlfn.XLOOKUP(A353,'[1]DATOS PBI Artículos'!$A$4:$A$4,'[1]DATOS PBI Artículos'!$Y$4:$Y$4),[1]CRITERIOS!$P$79:$P$123,[1]CRITERIOS!$S$79:$S$123)),0)*[1]CRITERIOS!$M$80*([1]CRITERIOS!$M$89*[1]CRITERIOS!$M$92)+((_xlfn.XLOOKUP(A353,'[1]DATOS PBI Artículos'!$A$4:$A$4,'[1]DATOS PBI Artículos'!$AA$4:$AA$4)/2)*([1]CRITERIOS!$M$95+[1]CRITERIOS!$M$98)))/N353)</f>
        <v>#N/A</v>
      </c>
      <c r="AE353" s="39" t="e">
        <f>IF($R353="MTO","",
IF($H353=0,ROUNDUP(((_xlfn.XLOOKUP($A353,'[1]DATOS PBI Artículos'!$A:$A,'[1]DATOS PBI Artículos'!$AL:$AL))/(_xlfn.XLOOKUP($AF$1,[1]CRITERIOS!$S$16:$S$39,[1]CRITERIOS!$Y$16:$Y$39))*$J353+$Z353)/$G353,0)*$G353,
((_xlfn.XLOOKUP($A353,'[1]DATOS PBI Artículos'!$A:$A,'[1]DATOS PBI Artículos'!$AL:$AL))/(_xlfn.XLOOKUP($AF$1,[1]CRITERIOS!$S$16:$S$39,[1]CRITERIOS!$Y$16:$Y$39))*$J353+$Z353)))</f>
        <v>#N/A</v>
      </c>
      <c r="AG353" s="39" t="e">
        <f>IF($R353="MTO","",
IF($H353=0,ROUNDUP(((_xlfn.XLOOKUP($A353,'[1]DATOS PBI Artículos'!$A:$A,'[1]DATOS PBI Artículos'!$AM:$AM))/(_xlfn.XLOOKUP($AH$1,[1]CRITERIOS!$S$16:$S$39,[1]CRITERIOS!$Y$16:$Y$39))*$J353+$Z353)/$G353,0)*$G353,
((_xlfn.XLOOKUP($A353,'[1]DATOS PBI Artículos'!$A:$A,'[1]DATOS PBI Artículos'!$AM:$AM))/(_xlfn.XLOOKUP($AH$1,[1]CRITERIOS!$S$16:$S$39,[1]CRITERIOS!$Y$16:$Y$39))*$J353+$Z353)))</f>
        <v>#N/A</v>
      </c>
      <c r="AI353" s="39" t="e">
        <f>IF($R353="MTO","",
IF($H353=0,ROUNDUP(((_xlfn.XLOOKUP($A353,'[1]DATOS PBI Artículos'!$A:$A,'[1]DATOS PBI Artículos'!$AN:$AN))/(_xlfn.XLOOKUP($AJ$1,[1]CRITERIOS!$S$16:$S$39,[1]CRITERIOS!$Y$16:$Y$39))*$J353+$Z353)/$G353,0)*$G353,
((_xlfn.XLOOKUP($A353,'[1]DATOS PBI Artículos'!$A:$A,'[1]DATOS PBI Artículos'!$AN:$AN))/(_xlfn.XLOOKUP($AJ$1,[1]CRITERIOS!$S$16:$S$39,[1]CRITERIOS!$Y$16:$Y$39))*$J353+$Z353)))</f>
        <v>#N/A</v>
      </c>
      <c r="AK353" s="39" t="e">
        <f>IF($R353="MTO","",
IF($H353=0,ROUNDUP(((_xlfn.XLOOKUP($A353,'[1]DATOS PBI Artículos'!$A:$A,'[1]DATOS PBI Artículos'!$AO:$AO))/(_xlfn.XLOOKUP($AL$1,[1]CRITERIOS!$S$16:$S$39,[1]CRITERIOS!$Y$16:$Y$39))*$J353+$Z353)/$G353,0)*$G353,
((_xlfn.XLOOKUP($A353,'[1]DATOS PBI Artículos'!$A:$A,'[1]DATOS PBI Artículos'!$AO:$AO))/(_xlfn.XLOOKUP($AL$1,[1]CRITERIOS!$S$16:$S$39,[1]CRITERIOS!$Y$16:$Y$39))*$J353+$Z353)))</f>
        <v>#N/A</v>
      </c>
    </row>
    <row r="354" spans="1:37" ht="25.8" hidden="1" x14ac:dyDescent="0.4">
      <c r="A354" s="41"/>
      <c r="B354" s="33">
        <f>_xlfn.XLOOKUP($A354,'[1]DATOS PBI Artículos'!A:A,'[1]DATOS PBI Artículos'!B:B)</f>
        <v>0</v>
      </c>
      <c r="C354" s="33">
        <f>_xlfn.XLOOKUP($A354,'[1]DATOS PBI Artículos'!A:A,'[1]DATOS PBI Artículos'!C:C)</f>
        <v>0</v>
      </c>
      <c r="D354" s="33">
        <f>_xlfn.XLOOKUP(A354,'[1]DATOS PBI Artículos'!A:A,'[1]DATOS PBI Artículos'!T:T)</f>
        <v>0</v>
      </c>
      <c r="E354" s="34">
        <f>IF(_xlfn.XLOOKUP($A354,'[1]DATOS PBI Artículos'!A:A,'[1]DATOS PBI Artículos'!AK:AK)="",_xlfn.XLOOKUP($A354,'[1]DATOS PBI Artículos'!A:A,'[1]DATOS PBI Artículos'!AJ:AJ),_xlfn.XLOOKUP($A354,'[1]DATOS PBI Artículos'!A:A,'[1]DATOS PBI Artículos'!AK:AK))</f>
        <v>0</v>
      </c>
      <c r="F354" s="35">
        <f>_xlfn.XLOOKUP($A354,'[1]DATOS PBI Artículos'!A:A,'[1]DATOS PBI Artículos'!AP:AP)</f>
        <v>0</v>
      </c>
      <c r="G354" s="34">
        <f>_xlfn.XLOOKUP($A354,'[1]DATOS PBI Artículos'!A:A,'[1]DATOS PBI Artículos'!AR:AR)</f>
        <v>0</v>
      </c>
      <c r="H354" s="34">
        <f>_xlfn.XLOOKUP($A354,'[1]DATOS PBI Artículos'!A:A,'[1]DATOS PBI Artículos'!AT:AT)</f>
        <v>0</v>
      </c>
      <c r="I354" s="34">
        <f>_xlfn.XLOOKUP($A354,'[1]DATOS PBI Artículos'!A:A,'[1]DATOS PBI Artículos'!AS:AS)</f>
        <v>0</v>
      </c>
      <c r="J354" s="35">
        <f>IF(COUNTIF([1]CRITERIOS!$F$179:$F$199,$A354)&gt;=1,
 IF(O354&lt;&gt;"",
    (O354/_xlfn.XLOOKUP(CONCATENATE(A354,L354),[1]MÁQUINAS!A:A,[1]MÁQUINAS!D:D))/24,
    (N354/_xlfn.XLOOKUP(CONCATENATE(A354,L354),[1]MÁQUINAS!A:A,[1]MÁQUINAS!D:D))/24),
  _xlfn.XLOOKUP($A354,'[1]DATOS PBI Artículos'!A:A,'[1]DATOS PBI Artículos'!AU:AU))</f>
        <v>0</v>
      </c>
      <c r="K354" s="36">
        <f>_xlfn.XLOOKUP($A354,'[1]DATOS PBI Artículos'!A:A,'[1]DATOS PBI Artículos'!AV:AV)</f>
        <v>0</v>
      </c>
      <c r="L354" s="33">
        <f>_xlfn.XLOOKUP(A354,[1]MÁQUINAS!B:B,[1]MÁQUINAS!C:C)</f>
        <v>0</v>
      </c>
      <c r="M354" s="34">
        <f t="array" ref="M354">_xlfn.XLOOKUP(A354,'[1]DATOS PBI Artículos'!A:A,'[1]DATOS PBI Artículos'!AX:$AX)</f>
        <v>0</v>
      </c>
      <c r="N354" s="37" t="e">
        <f>IF(I354="DV",
E354,
IF(COUNTIF([1]CRITERIOS!$I$179:$I$199,$A354)&gt;=1,
_xlfn.XLOOKUP($A354,[1]CRITERIOS!$I$179:$I$199,[1]CRITERIOS!$J$179:$J$199),
IF(COUNTIF([1]CRITERIOS!$L$179:$L$199,$A354)&gt;=1,
_xlfn.CEILING.MATH(IF($M354&gt;$E354,
$E354,
IF($M354&lt;$E354/ROUNDDOWN([1]CRITERIOS!$M$16/_xlfn.XLOOKUP($C354,[1]CRITERIOS!$K$25:$K$42,[1]CRITERIOS!$M$25:$M$42),
1),
E354/ROUNDDOWN([1]CRITERIOS!$M$16/_xlfn.XLOOKUP($C354,[1]CRITERIOS!$K$25:$K$42,[1]CRITERIOS!$M$25:$M$42),
1),
$M354)),
_xlfn.XLOOKUP($A354,[1]CRITERIOS!$L$179:$L$200,[1]CRITERIOS!$M$179:$M$200)),
_xlfn.CEILING.MATH(IF($M354&gt;$E354,
$E354,
IF($M354&lt;$E354/ROUNDDOWN([1]CRITERIOS!$M$16/_xlfn.XLOOKUP($C354,[1]CRITERIOS!$K$25:$K$42,[1]CRITERIOS!$M$25:$M$42),
1),
E354/ROUNDDOWN([1]CRITERIOS!$M$16/_xlfn.XLOOKUP($C354,[1]CRITERIOS!$K$25:$K$42,[1]CRITERIOS!$M$25:$M$42),
1),
$M354)),_xlfn.XLOOKUP(A354,'[1]DATOS PBI Artículos'!A:A,'[1]DATOS PBI Artículos'!Z:Z
)))))</f>
        <v>#N/A</v>
      </c>
      <c r="Q354" s="38" t="e">
        <f>IF(AND(O354="",N354=0),
0,
   IF(COUNTIF([1]CRITERIOS!$F$179:$F$199,$A354)&gt;=1,
   1,
   IF(R354="MTO",
      $D354,
      ROUNDUP(
                    IF(($E354-SUMIF('[1]DATOS PBI Artículos'!A:A,A354,'[1]DATOS PBI Artículos'!X:X)+($V354-_xlfn.XLOOKUP(A354,'[1]DATOS PBI Artículos'!A:A,'[1]DATOS PBI Artículos'!W:W)))&lt;0,
                    0,
                    IF(($E354-SUMIF('[1]DATOS PBI Artículos'!A:A,A354,'[1]DATOS PBI Artículos'!X:X)+$V354-_xlfn.XLOOKUP($A354,'[1]DATOS PBI Artículos'!A:A,'[1]DATOS PBI Artículos'!W:W))/IF($O354="",$N354,$O354)&gt;ROUNDUP([1]CRITERIOS!$M$16/(IF(COUNTIF([1]CRITERIOS!$BG$11:$BG$201,L354)&gt;=1,_xlfn.XLOOKUP($C354,[1]CRITERIOS!$K$25:$K$42,[1]CRITERIOS!$M$25:$M$42),_xlfn.XLOOKUP($C354,[1]CRITERIOS!$K$25:$K$42,[1]CRITERIOS!$M$25:$M$42))),0),
                    ROUNDUP([1]CRITERIOS!$M$16/(IF(COUNTIF([1]CRITERIOS!$BG$11:$BG$201,$L354)&gt;=1,_xlfn.XLOOKUP($C354,[1]CRITERIOS!$K$25:$K$42,[1]CRITERIOS!$M$25:$M$42),_xlfn.XLOOKUP($C354,[1]CRITERIOS!$K$25:$K$42,[1]CRITERIOS!$M$25:$M$42))),0),
                    (E354+V354-SUMIF('[1]DATOS PBI Artículos'!A:A,A354,'[1]DATOS PBI Artículos'!X:X)-_xlfn.XLOOKUP(A354,'[1]DATOS PBI Artículos'!A:A,'[1]DATOS PBI Artículos'!W:W))/IF($O354="",$N354,$O354))),0))))</f>
        <v>#N/A</v>
      </c>
      <c r="R354" s="33" t="e">
        <f>IF(U354&lt;&gt;"",U354,IF(F354="DV","MTO",IF(N354=0,"MTO",_xlfn.XLOOKUP(CONCATENATE(S354,T354),[1]CRITERIOS!$K$160:$K$168,[1]CRITERIOS!$N$160:$N$168))))</f>
        <v>#N/A</v>
      </c>
      <c r="S354" s="33" t="e">
        <f>IF(G354="DV","MTO",IF(N354=0,"MTO",IF(OR(AND(N354=0,O354=""),IF(O354="",G354/N354,G354/O354)&gt;[1]CRITERIOS!$G$163),"MTO",IF(IF(O354="",G354/N354,G354/O354)&lt;[1]CRITERIOS!$H$161,"MTS","MTOS"))))</f>
        <v>#N/A</v>
      </c>
      <c r="T354" s="33" t="e">
        <f>IF(F354="DV","MTO",IF(OR(AND($N354=0,O354=""),$F354/$J354&gt;[1]CRITERIOS!$G$170,$F354="DV"),"MTO",IF($F354/$J354&lt;[1]CRITERIOS!$H$168,"MTS","MTOS")))</f>
        <v>#N/A</v>
      </c>
      <c r="V354" s="34" t="e">
        <f t="shared" si="19"/>
        <v>#N/A</v>
      </c>
      <c r="X354" s="34" t="e">
        <f t="shared" si="17"/>
        <v>#N/A</v>
      </c>
      <c r="Y354" s="34" t="e">
        <f t="shared" si="18"/>
        <v>#N/A</v>
      </c>
      <c r="Z354" s="34" t="e">
        <f>IF($R354="MTO",
0,
($H354+$K354*($E354/[1]CRITERIOS!$M$16))/[1]CRITERIOS!$X$48)</f>
        <v>#N/A</v>
      </c>
      <c r="AA354" s="34" t="e">
        <f>ROUNDUP(($Y354/_xlfn.XLOOKUP($A354,'[1]DATOS PBI Artículos'!$A$4:$A$4,'[1]DATOS PBI Artículos'!$Z$4:$Z$4))/_xlfn.XLOOKUP(_xlfn.XLOOKUP($A354,'[1]DATOS PBI Artículos'!$A$4:$A$4,'[1]DATOS PBI Artículos'!$Y$4:$Y$4),[1]CRITERIOS!$P$79:$P$123,[1]CRITERIOS!$S$79:$S$123,),0)</f>
        <v>#N/A</v>
      </c>
      <c r="AB354" s="33" t="e">
        <f t="array" ref="AB354">IF((E354+V354-_xlfn.XLOOKUP(A354,'[1]DATOS PBI Artículos'!$A$4:$A$4,'[1]DATOS PBI Artículos'!$W$4:$W$4))/N354&gt;ROUNDUP([1]CRITERIOS!$M$16/(IF(COUNTIF([1]CRITERIOS!$BG$11:$BG$201,L354)&gt;=1,_xlfn.XLOOKUP(ARTÍCULOS!L354,[1]CRITERIOS!$BG$11:$BG$201,[1]CRITERIOS!$BJ$11:$BJ$201),_xlfn.XLOOKUP(ARTÍCULOS!C354,[1]CRITERIOS!$K$25:$K$42,[1]CRITERIOS!$M$25:$M$42))),0),ROUNDUP([1]CRITERIOS!$M$16/(IF(COUNTIF([1]CRITERIOS!$BG$11:$BG$201,L354)&gt;=1,_xlfn.XLOOKUP(ARTÍCULOS!L354,[1]CRITERIOS!$BG$11:$BG$201:#REF!,[1]CRITERIOS!$BJ$11:$BJ$201),_xlfn.XLOOKUP(ARTÍCULOS!C354,[1]CRITERIOS!$K$25:$K$42,[1]CRITERIOS!$M$25:$M$42))),0),(E354+V354-_xlfn.XLOOKUP(A354,'[1]DATOS PBI Artículos'!$A$4:$A$4,'[1]DATOS PBI Artículos'!$W$4:$W$4))/N354)</f>
        <v>#N/A</v>
      </c>
      <c r="AC354" s="33" t="e">
        <f>IF(N354=0,"",(ROUNDUP((N354/2)/(_xlfn.XLOOKUP(A354,'[1]DATOS PBI Artículos'!$A$4:$A$4,'[1]DATOS PBI Artículos'!$Z$4:$Z$4)*_xlfn.XLOOKUP(_xlfn.XLOOKUP(A354,'[1]DATOS PBI Artículos'!$A$4:$A$4,'[1]DATOS PBI Artículos'!$Y$4:$Y$4),[1]CRITERIOS!$P$79:$P$123,[1]CRITERIOS!$S$79:$S$123)),0)*[1]CRITERIOS!$M$80*([1]CRITERIOS!$M$110/[1]CRITERIOS!$M$86)+(_xlfn.XLOOKUP(A354,'[1]DATOS PBI Artículos'!$A$4:$A$4,'[1]DATOS PBI Artículos'!$AA$4:$AA$4)*([1]CRITERIOS!$M$95+[1]CRITERIOS!$M$98)))/N354)</f>
        <v>#N/A</v>
      </c>
      <c r="AD354" s="33" t="e">
        <f>IF(N354=0,"",(ROUNDUP((N354/2)/(_xlfn.XLOOKUP(A354,'[1]DATOS PBI Artículos'!$A$4:$A$4,'[1]DATOS PBI Artículos'!$Z$4:$Z$4)*_xlfn.XLOOKUP(_xlfn.XLOOKUP(A354,'[1]DATOS PBI Artículos'!$A$4:$A$4,'[1]DATOS PBI Artículos'!$Y$4:$Y$4),[1]CRITERIOS!$P$79:$P$123,[1]CRITERIOS!$S$79:$S$123)),0)*[1]CRITERIOS!$M$80*([1]CRITERIOS!$M$89*[1]CRITERIOS!$M$92)+((_xlfn.XLOOKUP(A354,'[1]DATOS PBI Artículos'!$A$4:$A$4,'[1]DATOS PBI Artículos'!$AA$4:$AA$4)/2)*([1]CRITERIOS!$M$95+[1]CRITERIOS!$M$98)))/N354)</f>
        <v>#N/A</v>
      </c>
      <c r="AE354" s="39" t="e">
        <f>IF($R354="MTO","",
IF($H354=0,ROUNDUP(((_xlfn.XLOOKUP($A354,'[1]DATOS PBI Artículos'!$A:$A,'[1]DATOS PBI Artículos'!$AL:$AL))/(_xlfn.XLOOKUP($AF$1,[1]CRITERIOS!$S$16:$S$39,[1]CRITERIOS!$Y$16:$Y$39))*$J354+$Z354)/$G354,0)*$G354,
((_xlfn.XLOOKUP($A354,'[1]DATOS PBI Artículos'!$A:$A,'[1]DATOS PBI Artículos'!$AL:$AL))/(_xlfn.XLOOKUP($AF$1,[1]CRITERIOS!$S$16:$S$39,[1]CRITERIOS!$Y$16:$Y$39))*$J354+$Z354)))</f>
        <v>#N/A</v>
      </c>
      <c r="AG354" s="39" t="e">
        <f>IF($R354="MTO","",
IF($H354=0,ROUNDUP(((_xlfn.XLOOKUP($A354,'[1]DATOS PBI Artículos'!$A:$A,'[1]DATOS PBI Artículos'!$AM:$AM))/(_xlfn.XLOOKUP($AH$1,[1]CRITERIOS!$S$16:$S$39,[1]CRITERIOS!$Y$16:$Y$39))*$J354+$Z354)/$G354,0)*$G354,
((_xlfn.XLOOKUP($A354,'[1]DATOS PBI Artículos'!$A:$A,'[1]DATOS PBI Artículos'!$AM:$AM))/(_xlfn.XLOOKUP($AH$1,[1]CRITERIOS!$S$16:$S$39,[1]CRITERIOS!$Y$16:$Y$39))*$J354+$Z354)))</f>
        <v>#N/A</v>
      </c>
      <c r="AI354" s="39" t="e">
        <f>IF($R354="MTO","",
IF($H354=0,ROUNDUP(((_xlfn.XLOOKUP($A354,'[1]DATOS PBI Artículos'!$A:$A,'[1]DATOS PBI Artículos'!$AN:$AN))/(_xlfn.XLOOKUP($AJ$1,[1]CRITERIOS!$S$16:$S$39,[1]CRITERIOS!$Y$16:$Y$39))*$J354+$Z354)/$G354,0)*$G354,
((_xlfn.XLOOKUP($A354,'[1]DATOS PBI Artículos'!$A:$A,'[1]DATOS PBI Artículos'!$AN:$AN))/(_xlfn.XLOOKUP($AJ$1,[1]CRITERIOS!$S$16:$S$39,[1]CRITERIOS!$Y$16:$Y$39))*$J354+$Z354)))</f>
        <v>#N/A</v>
      </c>
      <c r="AK354" s="39" t="e">
        <f>IF($R354="MTO","",
IF($H354=0,ROUNDUP(((_xlfn.XLOOKUP($A354,'[1]DATOS PBI Artículos'!$A:$A,'[1]DATOS PBI Artículos'!$AO:$AO))/(_xlfn.XLOOKUP($AL$1,[1]CRITERIOS!$S$16:$S$39,[1]CRITERIOS!$Y$16:$Y$39))*$J354+$Z354)/$G354,0)*$G354,
((_xlfn.XLOOKUP($A354,'[1]DATOS PBI Artículos'!$A:$A,'[1]DATOS PBI Artículos'!$AO:$AO))/(_xlfn.XLOOKUP($AL$1,[1]CRITERIOS!$S$16:$S$39,[1]CRITERIOS!$Y$16:$Y$39))*$J354+$Z354)))</f>
        <v>#N/A</v>
      </c>
    </row>
    <row r="355" spans="1:37" ht="25.8" hidden="1" x14ac:dyDescent="0.4">
      <c r="A355" s="41"/>
      <c r="B355" s="33">
        <f>_xlfn.XLOOKUP($A355,'[1]DATOS PBI Artículos'!A:A,'[1]DATOS PBI Artículos'!B:B)</f>
        <v>0</v>
      </c>
      <c r="C355" s="33">
        <f>_xlfn.XLOOKUP($A355,'[1]DATOS PBI Artículos'!A:A,'[1]DATOS PBI Artículos'!C:C)</f>
        <v>0</v>
      </c>
      <c r="D355" s="33">
        <f>_xlfn.XLOOKUP(A355,'[1]DATOS PBI Artículos'!A:A,'[1]DATOS PBI Artículos'!T:T)</f>
        <v>0</v>
      </c>
      <c r="E355" s="34">
        <f>IF(_xlfn.XLOOKUP($A355,'[1]DATOS PBI Artículos'!A:A,'[1]DATOS PBI Artículos'!AK:AK)="",_xlfn.XLOOKUP($A355,'[1]DATOS PBI Artículos'!A:A,'[1]DATOS PBI Artículos'!AJ:AJ),_xlfn.XLOOKUP($A355,'[1]DATOS PBI Artículos'!A:A,'[1]DATOS PBI Artículos'!AK:AK))</f>
        <v>0</v>
      </c>
      <c r="F355" s="35">
        <f>_xlfn.XLOOKUP($A355,'[1]DATOS PBI Artículos'!A:A,'[1]DATOS PBI Artículos'!AP:AP)</f>
        <v>0</v>
      </c>
      <c r="G355" s="34">
        <f>_xlfn.XLOOKUP($A355,'[1]DATOS PBI Artículos'!A:A,'[1]DATOS PBI Artículos'!AR:AR)</f>
        <v>0</v>
      </c>
      <c r="H355" s="34">
        <f>_xlfn.XLOOKUP($A355,'[1]DATOS PBI Artículos'!A:A,'[1]DATOS PBI Artículos'!AT:AT)</f>
        <v>0</v>
      </c>
      <c r="I355" s="34">
        <f>_xlfn.XLOOKUP($A355,'[1]DATOS PBI Artículos'!A:A,'[1]DATOS PBI Artículos'!AS:AS)</f>
        <v>0</v>
      </c>
      <c r="J355" s="35">
        <f>IF(COUNTIF([1]CRITERIOS!$F$179:$F$199,$A355)&gt;=1,
 IF(O355&lt;&gt;"",
    (O355/_xlfn.XLOOKUP(CONCATENATE(A355,L355),[1]MÁQUINAS!A:A,[1]MÁQUINAS!D:D))/24,
    (N355/_xlfn.XLOOKUP(CONCATENATE(A355,L355),[1]MÁQUINAS!A:A,[1]MÁQUINAS!D:D))/24),
  _xlfn.XLOOKUP($A355,'[1]DATOS PBI Artículos'!A:A,'[1]DATOS PBI Artículos'!AU:AU))</f>
        <v>0</v>
      </c>
      <c r="K355" s="36">
        <f>_xlfn.XLOOKUP($A355,'[1]DATOS PBI Artículos'!A:A,'[1]DATOS PBI Artículos'!AV:AV)</f>
        <v>0</v>
      </c>
      <c r="L355" s="33">
        <f>_xlfn.XLOOKUP(A355,[1]MÁQUINAS!B:B,[1]MÁQUINAS!C:C)</f>
        <v>0</v>
      </c>
      <c r="M355" s="34">
        <f t="array" ref="M355">_xlfn.XLOOKUP(A355,'[1]DATOS PBI Artículos'!A:A,'[1]DATOS PBI Artículos'!AX:$AX)</f>
        <v>0</v>
      </c>
      <c r="N355" s="37" t="e">
        <f>IF(I355="DV",
E355,
IF(COUNTIF([1]CRITERIOS!$I$179:$I$199,$A355)&gt;=1,
_xlfn.XLOOKUP($A355,[1]CRITERIOS!$I$179:$I$199,[1]CRITERIOS!$J$179:$J$199),
IF(COUNTIF([1]CRITERIOS!$L$179:$L$199,$A355)&gt;=1,
_xlfn.CEILING.MATH(IF($M355&gt;$E355,
$E355,
IF($M355&lt;$E355/ROUNDDOWN([1]CRITERIOS!$M$16/_xlfn.XLOOKUP($C355,[1]CRITERIOS!$K$25:$K$42,[1]CRITERIOS!$M$25:$M$42),
1),
E355/ROUNDDOWN([1]CRITERIOS!$M$16/_xlfn.XLOOKUP($C355,[1]CRITERIOS!$K$25:$K$42,[1]CRITERIOS!$M$25:$M$42),
1),
$M355)),
_xlfn.XLOOKUP($A355,[1]CRITERIOS!$L$179:$L$200,[1]CRITERIOS!$M$179:$M$200)),
_xlfn.CEILING.MATH(IF($M355&gt;$E355,
$E355,
IF($M355&lt;$E355/ROUNDDOWN([1]CRITERIOS!$M$16/_xlfn.XLOOKUP($C355,[1]CRITERIOS!$K$25:$K$42,[1]CRITERIOS!$M$25:$M$42),
1),
E355/ROUNDDOWN([1]CRITERIOS!$M$16/_xlfn.XLOOKUP($C355,[1]CRITERIOS!$K$25:$K$42,[1]CRITERIOS!$M$25:$M$42),
1),
$M355)),_xlfn.XLOOKUP(A355,'[1]DATOS PBI Artículos'!A:A,'[1]DATOS PBI Artículos'!Z:Z
)))))</f>
        <v>#N/A</v>
      </c>
      <c r="Q355" s="38" t="e">
        <f>IF(AND(O355="",N355=0),
0,
   IF(COUNTIF([1]CRITERIOS!$F$179:$F$199,$A355)&gt;=1,
   1,
   IF(R355="MTO",
      $D355,
      ROUNDUP(
                    IF(($E355-SUMIF('[1]DATOS PBI Artículos'!A:A,A355,'[1]DATOS PBI Artículos'!X:X)+($V355-_xlfn.XLOOKUP(A355,'[1]DATOS PBI Artículos'!A:A,'[1]DATOS PBI Artículos'!W:W)))&lt;0,
                    0,
                    IF(($E355-SUMIF('[1]DATOS PBI Artículos'!A:A,A355,'[1]DATOS PBI Artículos'!X:X)+$V355-_xlfn.XLOOKUP($A355,'[1]DATOS PBI Artículos'!A:A,'[1]DATOS PBI Artículos'!W:W))/IF($O355="",$N355,$O355)&gt;ROUNDUP([1]CRITERIOS!$M$16/(IF(COUNTIF([1]CRITERIOS!$BG$11:$BG$201,L355)&gt;=1,_xlfn.XLOOKUP($C355,[1]CRITERIOS!$K$25:$K$42,[1]CRITERIOS!$M$25:$M$42),_xlfn.XLOOKUP($C355,[1]CRITERIOS!$K$25:$K$42,[1]CRITERIOS!$M$25:$M$42))),0),
                    ROUNDUP([1]CRITERIOS!$M$16/(IF(COUNTIF([1]CRITERIOS!$BG$11:$BG$201,$L355)&gt;=1,_xlfn.XLOOKUP($C355,[1]CRITERIOS!$K$25:$K$42,[1]CRITERIOS!$M$25:$M$42),_xlfn.XLOOKUP($C355,[1]CRITERIOS!$K$25:$K$42,[1]CRITERIOS!$M$25:$M$42))),0),
                    (E355+V355-SUMIF('[1]DATOS PBI Artículos'!A:A,A355,'[1]DATOS PBI Artículos'!X:X)-_xlfn.XLOOKUP(A355,'[1]DATOS PBI Artículos'!A:A,'[1]DATOS PBI Artículos'!W:W))/IF($O355="",$N355,$O355))),0))))</f>
        <v>#N/A</v>
      </c>
      <c r="R355" s="33" t="e">
        <f>IF(U355&lt;&gt;"",U355,IF(F355="DV","MTO",IF(N355=0,"MTO",_xlfn.XLOOKUP(CONCATENATE(S355,T355),[1]CRITERIOS!$K$160:$K$168,[1]CRITERIOS!$N$160:$N$168))))</f>
        <v>#N/A</v>
      </c>
      <c r="S355" s="33" t="e">
        <f>IF(G355="DV","MTO",IF(N355=0,"MTO",IF(OR(AND(N355=0,O355=""),IF(O355="",G355/N355,G355/O355)&gt;[1]CRITERIOS!$G$163),"MTO",IF(IF(O355="",G355/N355,G355/O355)&lt;[1]CRITERIOS!$H$161,"MTS","MTOS"))))</f>
        <v>#N/A</v>
      </c>
      <c r="T355" s="33" t="e">
        <f>IF(F355="DV","MTO",IF(OR(AND($N355=0,O355=""),$F355/$J355&gt;[1]CRITERIOS!$G$170,$F355="DV"),"MTO",IF($F355/$J355&lt;[1]CRITERIOS!$H$168,"MTS","MTOS")))</f>
        <v>#N/A</v>
      </c>
      <c r="V355" s="34" t="e">
        <f t="shared" si="19"/>
        <v>#N/A</v>
      </c>
      <c r="X355" s="34" t="e">
        <f t="shared" si="17"/>
        <v>#N/A</v>
      </c>
      <c r="Y355" s="34" t="e">
        <f t="shared" si="18"/>
        <v>#N/A</v>
      </c>
      <c r="Z355" s="34" t="e">
        <f>IF($R355="MTO",
0,
($H355+$K355*($E355/[1]CRITERIOS!$M$16))/[1]CRITERIOS!$X$48)</f>
        <v>#N/A</v>
      </c>
      <c r="AA355" s="34" t="e">
        <f>ROUNDUP(($Y355/_xlfn.XLOOKUP($A355,'[1]DATOS PBI Artículos'!$A$4:$A$4,'[1]DATOS PBI Artículos'!$Z$4:$Z$4))/_xlfn.XLOOKUP(_xlfn.XLOOKUP($A355,'[1]DATOS PBI Artículos'!$A$4:$A$4,'[1]DATOS PBI Artículos'!$Y$4:$Y$4),[1]CRITERIOS!$P$79:$P$123,[1]CRITERIOS!$S$79:$S$123,),0)</f>
        <v>#N/A</v>
      </c>
      <c r="AB355" s="33" t="e">
        <f t="array" ref="AB355">IF((E355+V355-_xlfn.XLOOKUP(A355,'[1]DATOS PBI Artículos'!$A$4:$A$4,'[1]DATOS PBI Artículos'!$W$4:$W$4))/N355&gt;ROUNDUP([1]CRITERIOS!$M$16/(IF(COUNTIF([1]CRITERIOS!$BG$11:$BG$201,L355)&gt;=1,_xlfn.XLOOKUP(ARTÍCULOS!L355,[1]CRITERIOS!$BG$11:$BG$201,[1]CRITERIOS!$BJ$11:$BJ$201),_xlfn.XLOOKUP(ARTÍCULOS!C355,[1]CRITERIOS!$K$25:$K$42,[1]CRITERIOS!$M$25:$M$42))),0),ROUNDUP([1]CRITERIOS!$M$16/(IF(COUNTIF([1]CRITERIOS!$BG$11:$BG$201,L355)&gt;=1,_xlfn.XLOOKUP(ARTÍCULOS!L355,[1]CRITERIOS!$BG$11:$BG$201:#REF!,[1]CRITERIOS!$BJ$11:$BJ$201),_xlfn.XLOOKUP(ARTÍCULOS!C355,[1]CRITERIOS!$K$25:$K$42,[1]CRITERIOS!$M$25:$M$42))),0),(E355+V355-_xlfn.XLOOKUP(A355,'[1]DATOS PBI Artículos'!$A$4:$A$4,'[1]DATOS PBI Artículos'!$W$4:$W$4))/N355)</f>
        <v>#N/A</v>
      </c>
      <c r="AC355" s="33" t="e">
        <f>IF(N355=0,"",(ROUNDUP((N355/2)/(_xlfn.XLOOKUP(A355,'[1]DATOS PBI Artículos'!$A$4:$A$4,'[1]DATOS PBI Artículos'!$Z$4:$Z$4)*_xlfn.XLOOKUP(_xlfn.XLOOKUP(A355,'[1]DATOS PBI Artículos'!$A$4:$A$4,'[1]DATOS PBI Artículos'!$Y$4:$Y$4),[1]CRITERIOS!$P$79:$P$123,[1]CRITERIOS!$S$79:$S$123)),0)*[1]CRITERIOS!$M$80*([1]CRITERIOS!$M$110/[1]CRITERIOS!$M$86)+(_xlfn.XLOOKUP(A355,'[1]DATOS PBI Artículos'!$A$4:$A$4,'[1]DATOS PBI Artículos'!$AA$4:$AA$4)*([1]CRITERIOS!$M$95+[1]CRITERIOS!$M$98)))/N355)</f>
        <v>#N/A</v>
      </c>
      <c r="AD355" s="33" t="e">
        <f>IF(N355=0,"",(ROUNDUP((N355/2)/(_xlfn.XLOOKUP(A355,'[1]DATOS PBI Artículos'!$A$4:$A$4,'[1]DATOS PBI Artículos'!$Z$4:$Z$4)*_xlfn.XLOOKUP(_xlfn.XLOOKUP(A355,'[1]DATOS PBI Artículos'!$A$4:$A$4,'[1]DATOS PBI Artículos'!$Y$4:$Y$4),[1]CRITERIOS!$P$79:$P$123,[1]CRITERIOS!$S$79:$S$123)),0)*[1]CRITERIOS!$M$80*([1]CRITERIOS!$M$89*[1]CRITERIOS!$M$92)+((_xlfn.XLOOKUP(A355,'[1]DATOS PBI Artículos'!$A$4:$A$4,'[1]DATOS PBI Artículos'!$AA$4:$AA$4)/2)*([1]CRITERIOS!$M$95+[1]CRITERIOS!$M$98)))/N355)</f>
        <v>#N/A</v>
      </c>
      <c r="AE355" s="39" t="e">
        <f>IF($R355="MTO","",
IF($H355=0,ROUNDUP(((_xlfn.XLOOKUP($A355,'[1]DATOS PBI Artículos'!$A:$A,'[1]DATOS PBI Artículos'!$AL:$AL))/(_xlfn.XLOOKUP($AF$1,[1]CRITERIOS!$S$16:$S$39,[1]CRITERIOS!$Y$16:$Y$39))*$J355+$Z355)/$G355,0)*$G355,
((_xlfn.XLOOKUP($A355,'[1]DATOS PBI Artículos'!$A:$A,'[1]DATOS PBI Artículos'!$AL:$AL))/(_xlfn.XLOOKUP($AF$1,[1]CRITERIOS!$S$16:$S$39,[1]CRITERIOS!$Y$16:$Y$39))*$J355+$Z355)))</f>
        <v>#N/A</v>
      </c>
      <c r="AG355" s="39" t="e">
        <f>IF($R355="MTO","",
IF($H355=0,ROUNDUP(((_xlfn.XLOOKUP($A355,'[1]DATOS PBI Artículos'!$A:$A,'[1]DATOS PBI Artículos'!$AM:$AM))/(_xlfn.XLOOKUP($AH$1,[1]CRITERIOS!$S$16:$S$39,[1]CRITERIOS!$Y$16:$Y$39))*$J355+$Z355)/$G355,0)*$G355,
((_xlfn.XLOOKUP($A355,'[1]DATOS PBI Artículos'!$A:$A,'[1]DATOS PBI Artículos'!$AM:$AM))/(_xlfn.XLOOKUP($AH$1,[1]CRITERIOS!$S$16:$S$39,[1]CRITERIOS!$Y$16:$Y$39))*$J355+$Z355)))</f>
        <v>#N/A</v>
      </c>
      <c r="AI355" s="39" t="e">
        <f>IF($R355="MTO","",
IF($H355=0,ROUNDUP(((_xlfn.XLOOKUP($A355,'[1]DATOS PBI Artículos'!$A:$A,'[1]DATOS PBI Artículos'!$AN:$AN))/(_xlfn.XLOOKUP($AJ$1,[1]CRITERIOS!$S$16:$S$39,[1]CRITERIOS!$Y$16:$Y$39))*$J355+$Z355)/$G355,0)*$G355,
((_xlfn.XLOOKUP($A355,'[1]DATOS PBI Artículos'!$A:$A,'[1]DATOS PBI Artículos'!$AN:$AN))/(_xlfn.XLOOKUP($AJ$1,[1]CRITERIOS!$S$16:$S$39,[1]CRITERIOS!$Y$16:$Y$39))*$J355+$Z355)))</f>
        <v>#N/A</v>
      </c>
      <c r="AK355" s="39" t="e">
        <f>IF($R355="MTO","",
IF($H355=0,ROUNDUP(((_xlfn.XLOOKUP($A355,'[1]DATOS PBI Artículos'!$A:$A,'[1]DATOS PBI Artículos'!$AO:$AO))/(_xlfn.XLOOKUP($AL$1,[1]CRITERIOS!$S$16:$S$39,[1]CRITERIOS!$Y$16:$Y$39))*$J355+$Z355)/$G355,0)*$G355,
((_xlfn.XLOOKUP($A355,'[1]DATOS PBI Artículos'!$A:$A,'[1]DATOS PBI Artículos'!$AO:$AO))/(_xlfn.XLOOKUP($AL$1,[1]CRITERIOS!$S$16:$S$39,[1]CRITERIOS!$Y$16:$Y$39))*$J355+$Z355)))</f>
        <v>#N/A</v>
      </c>
    </row>
    <row r="356" spans="1:37" ht="25.8" hidden="1" x14ac:dyDescent="0.4">
      <c r="A356" s="41"/>
      <c r="B356" s="33">
        <f>_xlfn.XLOOKUP($A356,'[1]DATOS PBI Artículos'!A:A,'[1]DATOS PBI Artículos'!B:B)</f>
        <v>0</v>
      </c>
      <c r="C356" s="33">
        <f>_xlfn.XLOOKUP($A356,'[1]DATOS PBI Artículos'!A:A,'[1]DATOS PBI Artículos'!C:C)</f>
        <v>0</v>
      </c>
      <c r="D356" s="33">
        <f>_xlfn.XLOOKUP(A356,'[1]DATOS PBI Artículos'!A:A,'[1]DATOS PBI Artículos'!T:T)</f>
        <v>0</v>
      </c>
      <c r="E356" s="34">
        <f>IF(_xlfn.XLOOKUP($A356,'[1]DATOS PBI Artículos'!A:A,'[1]DATOS PBI Artículos'!AK:AK)="",_xlfn.XLOOKUP($A356,'[1]DATOS PBI Artículos'!A:A,'[1]DATOS PBI Artículos'!AJ:AJ),_xlfn.XLOOKUP($A356,'[1]DATOS PBI Artículos'!A:A,'[1]DATOS PBI Artículos'!AK:AK))</f>
        <v>0</v>
      </c>
      <c r="F356" s="35">
        <f>_xlfn.XLOOKUP($A356,'[1]DATOS PBI Artículos'!A:A,'[1]DATOS PBI Artículos'!AP:AP)</f>
        <v>0</v>
      </c>
      <c r="G356" s="34">
        <f>_xlfn.XLOOKUP($A356,'[1]DATOS PBI Artículos'!A:A,'[1]DATOS PBI Artículos'!AR:AR)</f>
        <v>0</v>
      </c>
      <c r="H356" s="34">
        <f>_xlfn.XLOOKUP($A356,'[1]DATOS PBI Artículos'!A:A,'[1]DATOS PBI Artículos'!AT:AT)</f>
        <v>0</v>
      </c>
      <c r="I356" s="34">
        <f>_xlfn.XLOOKUP($A356,'[1]DATOS PBI Artículos'!A:A,'[1]DATOS PBI Artículos'!AS:AS)</f>
        <v>0</v>
      </c>
      <c r="J356" s="35">
        <f>IF(COUNTIF([1]CRITERIOS!$F$179:$F$199,$A356)&gt;=1,
 IF(O356&lt;&gt;"",
    (O356/_xlfn.XLOOKUP(CONCATENATE(A356,L356),[1]MÁQUINAS!A:A,[1]MÁQUINAS!D:D))/24,
    (N356/_xlfn.XLOOKUP(CONCATENATE(A356,L356),[1]MÁQUINAS!A:A,[1]MÁQUINAS!D:D))/24),
  _xlfn.XLOOKUP($A356,'[1]DATOS PBI Artículos'!A:A,'[1]DATOS PBI Artículos'!AU:AU))</f>
        <v>0</v>
      </c>
      <c r="K356" s="36">
        <f>_xlfn.XLOOKUP($A356,'[1]DATOS PBI Artículos'!A:A,'[1]DATOS PBI Artículos'!AV:AV)</f>
        <v>0</v>
      </c>
      <c r="L356" s="33">
        <f>_xlfn.XLOOKUP(A356,[1]MÁQUINAS!B:B,[1]MÁQUINAS!C:C)</f>
        <v>0</v>
      </c>
      <c r="M356" s="34">
        <f t="array" ref="M356">_xlfn.XLOOKUP(A356,'[1]DATOS PBI Artículos'!A:A,'[1]DATOS PBI Artículos'!AX:$AX)</f>
        <v>0</v>
      </c>
      <c r="N356" s="37" t="e">
        <f>IF(I356="DV",
E356,
IF(COUNTIF([1]CRITERIOS!$I$179:$I$199,$A356)&gt;=1,
_xlfn.XLOOKUP($A356,[1]CRITERIOS!$I$179:$I$199,[1]CRITERIOS!$J$179:$J$199),
IF(COUNTIF([1]CRITERIOS!$L$179:$L$199,$A356)&gt;=1,
_xlfn.CEILING.MATH(IF($M356&gt;$E356,
$E356,
IF($M356&lt;$E356/ROUNDDOWN([1]CRITERIOS!$M$16/_xlfn.XLOOKUP($C356,[1]CRITERIOS!$K$25:$K$42,[1]CRITERIOS!$M$25:$M$42),
1),
E356/ROUNDDOWN([1]CRITERIOS!$M$16/_xlfn.XLOOKUP($C356,[1]CRITERIOS!$K$25:$K$42,[1]CRITERIOS!$M$25:$M$42),
1),
$M356)),
_xlfn.XLOOKUP($A356,[1]CRITERIOS!$L$179:$L$200,[1]CRITERIOS!$M$179:$M$200)),
_xlfn.CEILING.MATH(IF($M356&gt;$E356,
$E356,
IF($M356&lt;$E356/ROUNDDOWN([1]CRITERIOS!$M$16/_xlfn.XLOOKUP($C356,[1]CRITERIOS!$K$25:$K$42,[1]CRITERIOS!$M$25:$M$42),
1),
E356/ROUNDDOWN([1]CRITERIOS!$M$16/_xlfn.XLOOKUP($C356,[1]CRITERIOS!$K$25:$K$42,[1]CRITERIOS!$M$25:$M$42),
1),
$M356)),_xlfn.XLOOKUP(A356,'[1]DATOS PBI Artículos'!A:A,'[1]DATOS PBI Artículos'!Z:Z
)))))</f>
        <v>#N/A</v>
      </c>
      <c r="Q356" s="38" t="e">
        <f>IF(AND(O356="",N356=0),
0,
   IF(COUNTIF([1]CRITERIOS!$F$179:$F$199,$A356)&gt;=1,
   1,
   IF(R356="MTO",
      $D356,
      ROUNDUP(
                    IF(($E356-SUMIF('[1]DATOS PBI Artículos'!A:A,A356,'[1]DATOS PBI Artículos'!X:X)+($V356-_xlfn.XLOOKUP(A356,'[1]DATOS PBI Artículos'!A:A,'[1]DATOS PBI Artículos'!W:W)))&lt;0,
                    0,
                    IF(($E356-SUMIF('[1]DATOS PBI Artículos'!A:A,A356,'[1]DATOS PBI Artículos'!X:X)+$V356-_xlfn.XLOOKUP($A356,'[1]DATOS PBI Artículos'!A:A,'[1]DATOS PBI Artículos'!W:W))/IF($O356="",$N356,$O356)&gt;ROUNDUP([1]CRITERIOS!$M$16/(IF(COUNTIF([1]CRITERIOS!$BG$11:$BG$201,L356)&gt;=1,_xlfn.XLOOKUP($C356,[1]CRITERIOS!$K$25:$K$42,[1]CRITERIOS!$M$25:$M$42),_xlfn.XLOOKUP($C356,[1]CRITERIOS!$K$25:$K$42,[1]CRITERIOS!$M$25:$M$42))),0),
                    ROUNDUP([1]CRITERIOS!$M$16/(IF(COUNTIF([1]CRITERIOS!$BG$11:$BG$201,$L356)&gt;=1,_xlfn.XLOOKUP($C356,[1]CRITERIOS!$K$25:$K$42,[1]CRITERIOS!$M$25:$M$42),_xlfn.XLOOKUP($C356,[1]CRITERIOS!$K$25:$K$42,[1]CRITERIOS!$M$25:$M$42))),0),
                    (E356+V356-SUMIF('[1]DATOS PBI Artículos'!A:A,A356,'[1]DATOS PBI Artículos'!X:X)-_xlfn.XLOOKUP(A356,'[1]DATOS PBI Artículos'!A:A,'[1]DATOS PBI Artículos'!W:W))/IF($O356="",$N356,$O356))),0))))</f>
        <v>#N/A</v>
      </c>
      <c r="R356" s="33" t="e">
        <f>IF(U356&lt;&gt;"",U356,IF(F356="DV","MTO",IF(N356=0,"MTO",_xlfn.XLOOKUP(CONCATENATE(S356,T356),[1]CRITERIOS!$K$160:$K$168,[1]CRITERIOS!$N$160:$N$168))))</f>
        <v>#N/A</v>
      </c>
      <c r="S356" s="33" t="e">
        <f>IF(G356="DV","MTO",IF(N356=0,"MTO",IF(OR(AND(N356=0,O356=""),IF(O356="",G356/N356,G356/O356)&gt;[1]CRITERIOS!$G$163),"MTO",IF(IF(O356="",G356/N356,G356/O356)&lt;[1]CRITERIOS!$H$161,"MTS","MTOS"))))</f>
        <v>#N/A</v>
      </c>
      <c r="T356" s="33" t="e">
        <f>IF(F356="DV","MTO",IF(OR(AND($N356=0,O356=""),$F356/$J356&gt;[1]CRITERIOS!$G$170,$F356="DV"),"MTO",IF($F356/$J356&lt;[1]CRITERIOS!$H$168,"MTS","MTOS")))</f>
        <v>#N/A</v>
      </c>
      <c r="V356" s="34" t="e">
        <f t="shared" si="19"/>
        <v>#N/A</v>
      </c>
      <c r="X356" s="34" t="e">
        <f t="shared" si="17"/>
        <v>#N/A</v>
      </c>
      <c r="Y356" s="34" t="e">
        <f t="shared" si="18"/>
        <v>#N/A</v>
      </c>
      <c r="Z356" s="34" t="e">
        <f>IF($R356="MTO",
0,
($H356+$K356*($E356/[1]CRITERIOS!$M$16))/[1]CRITERIOS!$X$48)</f>
        <v>#N/A</v>
      </c>
      <c r="AA356" s="34" t="e">
        <f>ROUNDUP(($Y356/_xlfn.XLOOKUP($A356,'[1]DATOS PBI Artículos'!$A$4:$A$4,'[1]DATOS PBI Artículos'!$Z$4:$Z$4))/_xlfn.XLOOKUP(_xlfn.XLOOKUP($A356,'[1]DATOS PBI Artículos'!$A$4:$A$4,'[1]DATOS PBI Artículos'!$Y$4:$Y$4),[1]CRITERIOS!$P$79:$P$123,[1]CRITERIOS!$S$79:$S$123,),0)</f>
        <v>#N/A</v>
      </c>
      <c r="AB356" s="33" t="e">
        <f t="array" ref="AB356">IF((E356+V356-_xlfn.XLOOKUP(A356,'[1]DATOS PBI Artículos'!$A$4:$A$4,'[1]DATOS PBI Artículos'!$W$4:$W$4))/N356&gt;ROUNDUP([1]CRITERIOS!$M$16/(IF(COUNTIF([1]CRITERIOS!$BG$11:$BG$201,L356)&gt;=1,_xlfn.XLOOKUP(ARTÍCULOS!L356,[1]CRITERIOS!$BG$11:$BG$201,[1]CRITERIOS!$BJ$11:$BJ$201),_xlfn.XLOOKUP(ARTÍCULOS!C356,[1]CRITERIOS!$K$25:$K$42,[1]CRITERIOS!$M$25:$M$42))),0),ROUNDUP([1]CRITERIOS!$M$16/(IF(COUNTIF([1]CRITERIOS!$BG$11:$BG$201,L356)&gt;=1,_xlfn.XLOOKUP(ARTÍCULOS!L356,[1]CRITERIOS!$BG$11:$BG$201:#REF!,[1]CRITERIOS!$BJ$11:$BJ$201),_xlfn.XLOOKUP(ARTÍCULOS!C356,[1]CRITERIOS!$K$25:$K$42,[1]CRITERIOS!$M$25:$M$42))),0),(E356+V356-_xlfn.XLOOKUP(A356,'[1]DATOS PBI Artículos'!$A$4:$A$4,'[1]DATOS PBI Artículos'!$W$4:$W$4))/N356)</f>
        <v>#N/A</v>
      </c>
      <c r="AC356" s="33" t="e">
        <f>IF(N356=0,"",(ROUNDUP((N356/2)/(_xlfn.XLOOKUP(A356,'[1]DATOS PBI Artículos'!$A$4:$A$4,'[1]DATOS PBI Artículos'!$Z$4:$Z$4)*_xlfn.XLOOKUP(_xlfn.XLOOKUP(A356,'[1]DATOS PBI Artículos'!$A$4:$A$4,'[1]DATOS PBI Artículos'!$Y$4:$Y$4),[1]CRITERIOS!$P$79:$P$123,[1]CRITERIOS!$S$79:$S$123)),0)*[1]CRITERIOS!$M$80*([1]CRITERIOS!$M$110/[1]CRITERIOS!$M$86)+(_xlfn.XLOOKUP(A356,'[1]DATOS PBI Artículos'!$A$4:$A$4,'[1]DATOS PBI Artículos'!$AA$4:$AA$4)*([1]CRITERIOS!$M$95+[1]CRITERIOS!$M$98)))/N356)</f>
        <v>#N/A</v>
      </c>
      <c r="AD356" s="33" t="e">
        <f>IF(N356=0,"",(ROUNDUP((N356/2)/(_xlfn.XLOOKUP(A356,'[1]DATOS PBI Artículos'!$A$4:$A$4,'[1]DATOS PBI Artículos'!$Z$4:$Z$4)*_xlfn.XLOOKUP(_xlfn.XLOOKUP(A356,'[1]DATOS PBI Artículos'!$A$4:$A$4,'[1]DATOS PBI Artículos'!$Y$4:$Y$4),[1]CRITERIOS!$P$79:$P$123,[1]CRITERIOS!$S$79:$S$123)),0)*[1]CRITERIOS!$M$80*([1]CRITERIOS!$M$89*[1]CRITERIOS!$M$92)+((_xlfn.XLOOKUP(A356,'[1]DATOS PBI Artículos'!$A$4:$A$4,'[1]DATOS PBI Artículos'!$AA$4:$AA$4)/2)*([1]CRITERIOS!$M$95+[1]CRITERIOS!$M$98)))/N356)</f>
        <v>#N/A</v>
      </c>
      <c r="AE356" s="39" t="e">
        <f>IF($R356="MTO","",
IF($H356=0,ROUNDUP(((_xlfn.XLOOKUP($A356,'[1]DATOS PBI Artículos'!$A:$A,'[1]DATOS PBI Artículos'!$AL:$AL))/(_xlfn.XLOOKUP($AF$1,[1]CRITERIOS!$S$16:$S$39,[1]CRITERIOS!$Y$16:$Y$39))*$J356+$Z356)/$G356,0)*$G356,
((_xlfn.XLOOKUP($A356,'[1]DATOS PBI Artículos'!$A:$A,'[1]DATOS PBI Artículos'!$AL:$AL))/(_xlfn.XLOOKUP($AF$1,[1]CRITERIOS!$S$16:$S$39,[1]CRITERIOS!$Y$16:$Y$39))*$J356+$Z356)))</f>
        <v>#N/A</v>
      </c>
      <c r="AG356" s="39" t="e">
        <f>IF($R356="MTO","",
IF($H356=0,ROUNDUP(((_xlfn.XLOOKUP($A356,'[1]DATOS PBI Artículos'!$A:$A,'[1]DATOS PBI Artículos'!$AM:$AM))/(_xlfn.XLOOKUP($AH$1,[1]CRITERIOS!$S$16:$S$39,[1]CRITERIOS!$Y$16:$Y$39))*$J356+$Z356)/$G356,0)*$G356,
((_xlfn.XLOOKUP($A356,'[1]DATOS PBI Artículos'!$A:$A,'[1]DATOS PBI Artículos'!$AM:$AM))/(_xlfn.XLOOKUP($AH$1,[1]CRITERIOS!$S$16:$S$39,[1]CRITERIOS!$Y$16:$Y$39))*$J356+$Z356)))</f>
        <v>#N/A</v>
      </c>
      <c r="AI356" s="39" t="e">
        <f>IF($R356="MTO","",
IF($H356=0,ROUNDUP(((_xlfn.XLOOKUP($A356,'[1]DATOS PBI Artículos'!$A:$A,'[1]DATOS PBI Artículos'!$AN:$AN))/(_xlfn.XLOOKUP($AJ$1,[1]CRITERIOS!$S$16:$S$39,[1]CRITERIOS!$Y$16:$Y$39))*$J356+$Z356)/$G356,0)*$G356,
((_xlfn.XLOOKUP($A356,'[1]DATOS PBI Artículos'!$A:$A,'[1]DATOS PBI Artículos'!$AN:$AN))/(_xlfn.XLOOKUP($AJ$1,[1]CRITERIOS!$S$16:$S$39,[1]CRITERIOS!$Y$16:$Y$39))*$J356+$Z356)))</f>
        <v>#N/A</v>
      </c>
      <c r="AK356" s="39" t="e">
        <f>IF($R356="MTO","",
IF($H356=0,ROUNDUP(((_xlfn.XLOOKUP($A356,'[1]DATOS PBI Artículos'!$A:$A,'[1]DATOS PBI Artículos'!$AO:$AO))/(_xlfn.XLOOKUP($AL$1,[1]CRITERIOS!$S$16:$S$39,[1]CRITERIOS!$Y$16:$Y$39))*$J356+$Z356)/$G356,0)*$G356,
((_xlfn.XLOOKUP($A356,'[1]DATOS PBI Artículos'!$A:$A,'[1]DATOS PBI Artículos'!$AO:$AO))/(_xlfn.XLOOKUP($AL$1,[1]CRITERIOS!$S$16:$S$39,[1]CRITERIOS!$Y$16:$Y$39))*$J356+$Z356)))</f>
        <v>#N/A</v>
      </c>
    </row>
    <row r="357" spans="1:37" ht="25.8" hidden="1" x14ac:dyDescent="0.4">
      <c r="A357" s="41"/>
      <c r="B357" s="33">
        <f>_xlfn.XLOOKUP($A357,'[1]DATOS PBI Artículos'!A:A,'[1]DATOS PBI Artículos'!B:B)</f>
        <v>0</v>
      </c>
      <c r="C357" s="33">
        <f>_xlfn.XLOOKUP($A357,'[1]DATOS PBI Artículos'!A:A,'[1]DATOS PBI Artículos'!C:C)</f>
        <v>0</v>
      </c>
      <c r="D357" s="33">
        <f>_xlfn.XLOOKUP(A357,'[1]DATOS PBI Artículos'!A:A,'[1]DATOS PBI Artículos'!T:T)</f>
        <v>0</v>
      </c>
      <c r="E357" s="34">
        <f>IF(_xlfn.XLOOKUP($A357,'[1]DATOS PBI Artículos'!A:A,'[1]DATOS PBI Artículos'!AK:AK)="",_xlfn.XLOOKUP($A357,'[1]DATOS PBI Artículos'!A:A,'[1]DATOS PBI Artículos'!AJ:AJ),_xlfn.XLOOKUP($A357,'[1]DATOS PBI Artículos'!A:A,'[1]DATOS PBI Artículos'!AK:AK))</f>
        <v>0</v>
      </c>
      <c r="F357" s="35">
        <f>_xlfn.XLOOKUP($A357,'[1]DATOS PBI Artículos'!A:A,'[1]DATOS PBI Artículos'!AP:AP)</f>
        <v>0</v>
      </c>
      <c r="G357" s="34">
        <f>_xlfn.XLOOKUP($A357,'[1]DATOS PBI Artículos'!A:A,'[1]DATOS PBI Artículos'!AR:AR)</f>
        <v>0</v>
      </c>
      <c r="H357" s="34">
        <f>_xlfn.XLOOKUP($A357,'[1]DATOS PBI Artículos'!A:A,'[1]DATOS PBI Artículos'!AT:AT)</f>
        <v>0</v>
      </c>
      <c r="I357" s="34">
        <f>_xlfn.XLOOKUP($A357,'[1]DATOS PBI Artículos'!A:A,'[1]DATOS PBI Artículos'!AS:AS)</f>
        <v>0</v>
      </c>
      <c r="J357" s="35">
        <f>IF(COUNTIF([1]CRITERIOS!$F$179:$F$199,$A357)&gt;=1,
 IF(O357&lt;&gt;"",
    (O357/_xlfn.XLOOKUP(CONCATENATE(A357,L357),[1]MÁQUINAS!A:A,[1]MÁQUINAS!D:D))/24,
    (N357/_xlfn.XLOOKUP(CONCATENATE(A357,L357),[1]MÁQUINAS!A:A,[1]MÁQUINAS!D:D))/24),
  _xlfn.XLOOKUP($A357,'[1]DATOS PBI Artículos'!A:A,'[1]DATOS PBI Artículos'!AU:AU))</f>
        <v>0</v>
      </c>
      <c r="K357" s="36">
        <f>_xlfn.XLOOKUP($A357,'[1]DATOS PBI Artículos'!A:A,'[1]DATOS PBI Artículos'!AV:AV)</f>
        <v>0</v>
      </c>
      <c r="L357" s="33">
        <f>_xlfn.XLOOKUP(A357,[1]MÁQUINAS!B:B,[1]MÁQUINAS!C:C)</f>
        <v>0</v>
      </c>
      <c r="M357" s="34">
        <f t="array" ref="M357">_xlfn.XLOOKUP(A357,'[1]DATOS PBI Artículos'!A:A,'[1]DATOS PBI Artículos'!AX:$AX)</f>
        <v>0</v>
      </c>
      <c r="N357" s="37" t="e">
        <f>IF(I357="DV",
E357,
IF(COUNTIF([1]CRITERIOS!$I$179:$I$199,$A357)&gt;=1,
_xlfn.XLOOKUP($A357,[1]CRITERIOS!$I$179:$I$199,[1]CRITERIOS!$J$179:$J$199),
IF(COUNTIF([1]CRITERIOS!$L$179:$L$199,$A357)&gt;=1,
_xlfn.CEILING.MATH(IF($M357&gt;$E357,
$E357,
IF($M357&lt;$E357/ROUNDDOWN([1]CRITERIOS!$M$16/_xlfn.XLOOKUP($C357,[1]CRITERIOS!$K$25:$K$42,[1]CRITERIOS!$M$25:$M$42),
1),
E357/ROUNDDOWN([1]CRITERIOS!$M$16/_xlfn.XLOOKUP($C357,[1]CRITERIOS!$K$25:$K$42,[1]CRITERIOS!$M$25:$M$42),
1),
$M357)),
_xlfn.XLOOKUP($A357,[1]CRITERIOS!$L$179:$L$200,[1]CRITERIOS!$M$179:$M$200)),
_xlfn.CEILING.MATH(IF($M357&gt;$E357,
$E357,
IF($M357&lt;$E357/ROUNDDOWN([1]CRITERIOS!$M$16/_xlfn.XLOOKUP($C357,[1]CRITERIOS!$K$25:$K$42,[1]CRITERIOS!$M$25:$M$42),
1),
E357/ROUNDDOWN([1]CRITERIOS!$M$16/_xlfn.XLOOKUP($C357,[1]CRITERIOS!$K$25:$K$42,[1]CRITERIOS!$M$25:$M$42),
1),
$M357)),_xlfn.XLOOKUP(A357,'[1]DATOS PBI Artículos'!A:A,'[1]DATOS PBI Artículos'!Z:Z
)))))</f>
        <v>#N/A</v>
      </c>
      <c r="Q357" s="38" t="e">
        <f>IF(AND(O357="",N357=0),
0,
   IF(COUNTIF([1]CRITERIOS!$F$179:$F$199,$A357)&gt;=1,
   1,
   IF(R357="MTO",
      $D357,
      ROUNDUP(
                    IF(($E357-SUMIF('[1]DATOS PBI Artículos'!A:A,A357,'[1]DATOS PBI Artículos'!X:X)+($V357-_xlfn.XLOOKUP(A357,'[1]DATOS PBI Artículos'!A:A,'[1]DATOS PBI Artículos'!W:W)))&lt;0,
                    0,
                    IF(($E357-SUMIF('[1]DATOS PBI Artículos'!A:A,A357,'[1]DATOS PBI Artículos'!X:X)+$V357-_xlfn.XLOOKUP($A357,'[1]DATOS PBI Artículos'!A:A,'[1]DATOS PBI Artículos'!W:W))/IF($O357="",$N357,$O357)&gt;ROUNDUP([1]CRITERIOS!$M$16/(IF(COUNTIF([1]CRITERIOS!$BG$11:$BG$201,L357)&gt;=1,_xlfn.XLOOKUP($C357,[1]CRITERIOS!$K$25:$K$42,[1]CRITERIOS!$M$25:$M$42),_xlfn.XLOOKUP($C357,[1]CRITERIOS!$K$25:$K$42,[1]CRITERIOS!$M$25:$M$42))),0),
                    ROUNDUP([1]CRITERIOS!$M$16/(IF(COUNTIF([1]CRITERIOS!$BG$11:$BG$201,$L357)&gt;=1,_xlfn.XLOOKUP($C357,[1]CRITERIOS!$K$25:$K$42,[1]CRITERIOS!$M$25:$M$42),_xlfn.XLOOKUP($C357,[1]CRITERIOS!$K$25:$K$42,[1]CRITERIOS!$M$25:$M$42))),0),
                    (E357+V357-SUMIF('[1]DATOS PBI Artículos'!A:A,A357,'[1]DATOS PBI Artículos'!X:X)-_xlfn.XLOOKUP(A357,'[1]DATOS PBI Artículos'!A:A,'[1]DATOS PBI Artículos'!W:W))/IF($O357="",$N357,$O357))),0))))</f>
        <v>#N/A</v>
      </c>
      <c r="R357" s="33" t="e">
        <f>IF(U357&lt;&gt;"",U357,IF(F357="DV","MTO",IF(N357=0,"MTO",_xlfn.XLOOKUP(CONCATENATE(S357,T357),[1]CRITERIOS!$K$160:$K$168,[1]CRITERIOS!$N$160:$N$168))))</f>
        <v>#N/A</v>
      </c>
      <c r="S357" s="33" t="e">
        <f>IF(G357="DV","MTO",IF(N357=0,"MTO",IF(OR(AND(N357=0,O357=""),IF(O357="",G357/N357,G357/O357)&gt;[1]CRITERIOS!$G$163),"MTO",IF(IF(O357="",G357/N357,G357/O357)&lt;[1]CRITERIOS!$H$161,"MTS","MTOS"))))</f>
        <v>#N/A</v>
      </c>
      <c r="T357" s="33" t="e">
        <f>IF(F357="DV","MTO",IF(OR(AND($N357=0,O357=""),$F357/$J357&gt;[1]CRITERIOS!$G$170,$F357="DV"),"MTO",IF($F357/$J357&lt;[1]CRITERIOS!$H$168,"MTS","MTOS")))</f>
        <v>#N/A</v>
      </c>
      <c r="V357" s="34" t="e">
        <f t="shared" si="19"/>
        <v>#N/A</v>
      </c>
      <c r="X357" s="34" t="e">
        <f t="shared" si="17"/>
        <v>#N/A</v>
      </c>
      <c r="Y357" s="34" t="e">
        <f t="shared" si="18"/>
        <v>#N/A</v>
      </c>
      <c r="Z357" s="34" t="e">
        <f>IF($R357="MTO",
0,
($H357+$K357*($E357/[1]CRITERIOS!$M$16))/[1]CRITERIOS!$X$48)</f>
        <v>#N/A</v>
      </c>
      <c r="AA357" s="34" t="e">
        <f>ROUNDUP(($Y357/_xlfn.XLOOKUP($A357,'[1]DATOS PBI Artículos'!$A$4:$A$4,'[1]DATOS PBI Artículos'!$Z$4:$Z$4))/_xlfn.XLOOKUP(_xlfn.XLOOKUP($A357,'[1]DATOS PBI Artículos'!$A$4:$A$4,'[1]DATOS PBI Artículos'!$Y$4:$Y$4),[1]CRITERIOS!$P$79:$P$123,[1]CRITERIOS!$S$79:$S$123,),0)</f>
        <v>#N/A</v>
      </c>
      <c r="AB357" s="33" t="e">
        <f t="array" ref="AB357">IF((E357+V357-_xlfn.XLOOKUP(A357,'[1]DATOS PBI Artículos'!$A$4:$A$4,'[1]DATOS PBI Artículos'!$W$4:$W$4))/N357&gt;ROUNDUP([1]CRITERIOS!$M$16/(IF(COUNTIF([1]CRITERIOS!$BG$11:$BG$201,L357)&gt;=1,_xlfn.XLOOKUP(ARTÍCULOS!L357,[1]CRITERIOS!$BG$11:$BG$201,[1]CRITERIOS!$BJ$11:$BJ$201),_xlfn.XLOOKUP(ARTÍCULOS!C357,[1]CRITERIOS!$K$25:$K$42,[1]CRITERIOS!$M$25:$M$42))),0),ROUNDUP([1]CRITERIOS!$M$16/(IF(COUNTIF([1]CRITERIOS!$BG$11:$BG$201,L357)&gt;=1,_xlfn.XLOOKUP(ARTÍCULOS!L357,[1]CRITERIOS!$BG$11:$BG$201:#REF!,[1]CRITERIOS!$BJ$11:$BJ$201),_xlfn.XLOOKUP(ARTÍCULOS!C357,[1]CRITERIOS!$K$25:$K$42,[1]CRITERIOS!$M$25:$M$42))),0),(E357+V357-_xlfn.XLOOKUP(A357,'[1]DATOS PBI Artículos'!$A$4:$A$4,'[1]DATOS PBI Artículos'!$W$4:$W$4))/N357)</f>
        <v>#N/A</v>
      </c>
      <c r="AC357" s="33" t="e">
        <f>IF(N357=0,"",(ROUNDUP((N357/2)/(_xlfn.XLOOKUP(A357,'[1]DATOS PBI Artículos'!$A$4:$A$4,'[1]DATOS PBI Artículos'!$Z$4:$Z$4)*_xlfn.XLOOKUP(_xlfn.XLOOKUP(A357,'[1]DATOS PBI Artículos'!$A$4:$A$4,'[1]DATOS PBI Artículos'!$Y$4:$Y$4),[1]CRITERIOS!$P$79:$P$123,[1]CRITERIOS!$S$79:$S$123)),0)*[1]CRITERIOS!$M$80*([1]CRITERIOS!$M$110/[1]CRITERIOS!$M$86)+(_xlfn.XLOOKUP(A357,'[1]DATOS PBI Artículos'!$A$4:$A$4,'[1]DATOS PBI Artículos'!$AA$4:$AA$4)*([1]CRITERIOS!$M$95+[1]CRITERIOS!$M$98)))/N357)</f>
        <v>#N/A</v>
      </c>
      <c r="AD357" s="33" t="e">
        <f>IF(N357=0,"",(ROUNDUP((N357/2)/(_xlfn.XLOOKUP(A357,'[1]DATOS PBI Artículos'!$A$4:$A$4,'[1]DATOS PBI Artículos'!$Z$4:$Z$4)*_xlfn.XLOOKUP(_xlfn.XLOOKUP(A357,'[1]DATOS PBI Artículos'!$A$4:$A$4,'[1]DATOS PBI Artículos'!$Y$4:$Y$4),[1]CRITERIOS!$P$79:$P$123,[1]CRITERIOS!$S$79:$S$123)),0)*[1]CRITERIOS!$M$80*([1]CRITERIOS!$M$89*[1]CRITERIOS!$M$92)+((_xlfn.XLOOKUP(A357,'[1]DATOS PBI Artículos'!$A$4:$A$4,'[1]DATOS PBI Artículos'!$AA$4:$AA$4)/2)*([1]CRITERIOS!$M$95+[1]CRITERIOS!$M$98)))/N357)</f>
        <v>#N/A</v>
      </c>
      <c r="AE357" s="39" t="e">
        <f>IF($R357="MTO","",
IF($H357=0,ROUNDUP(((_xlfn.XLOOKUP($A357,'[1]DATOS PBI Artículos'!$A:$A,'[1]DATOS PBI Artículos'!$AL:$AL))/(_xlfn.XLOOKUP($AF$1,[1]CRITERIOS!$S$16:$S$39,[1]CRITERIOS!$Y$16:$Y$39))*$J357+$Z357)/$G357,0)*$G357,
((_xlfn.XLOOKUP($A357,'[1]DATOS PBI Artículos'!$A:$A,'[1]DATOS PBI Artículos'!$AL:$AL))/(_xlfn.XLOOKUP($AF$1,[1]CRITERIOS!$S$16:$S$39,[1]CRITERIOS!$Y$16:$Y$39))*$J357+$Z357)))</f>
        <v>#N/A</v>
      </c>
      <c r="AG357" s="39" t="e">
        <f>IF($R357="MTO","",
IF($H357=0,ROUNDUP(((_xlfn.XLOOKUP($A357,'[1]DATOS PBI Artículos'!$A:$A,'[1]DATOS PBI Artículos'!$AM:$AM))/(_xlfn.XLOOKUP($AH$1,[1]CRITERIOS!$S$16:$S$39,[1]CRITERIOS!$Y$16:$Y$39))*$J357+$Z357)/$G357,0)*$G357,
((_xlfn.XLOOKUP($A357,'[1]DATOS PBI Artículos'!$A:$A,'[1]DATOS PBI Artículos'!$AM:$AM))/(_xlfn.XLOOKUP($AH$1,[1]CRITERIOS!$S$16:$S$39,[1]CRITERIOS!$Y$16:$Y$39))*$J357+$Z357)))</f>
        <v>#N/A</v>
      </c>
      <c r="AI357" s="39" t="e">
        <f>IF($R357="MTO","",
IF($H357=0,ROUNDUP(((_xlfn.XLOOKUP($A357,'[1]DATOS PBI Artículos'!$A:$A,'[1]DATOS PBI Artículos'!$AN:$AN))/(_xlfn.XLOOKUP($AJ$1,[1]CRITERIOS!$S$16:$S$39,[1]CRITERIOS!$Y$16:$Y$39))*$J357+$Z357)/$G357,0)*$G357,
((_xlfn.XLOOKUP($A357,'[1]DATOS PBI Artículos'!$A:$A,'[1]DATOS PBI Artículos'!$AN:$AN))/(_xlfn.XLOOKUP($AJ$1,[1]CRITERIOS!$S$16:$S$39,[1]CRITERIOS!$Y$16:$Y$39))*$J357+$Z357)))</f>
        <v>#N/A</v>
      </c>
      <c r="AK357" s="39" t="e">
        <f>IF($R357="MTO","",
IF($H357=0,ROUNDUP(((_xlfn.XLOOKUP($A357,'[1]DATOS PBI Artículos'!$A:$A,'[1]DATOS PBI Artículos'!$AO:$AO))/(_xlfn.XLOOKUP($AL$1,[1]CRITERIOS!$S$16:$S$39,[1]CRITERIOS!$Y$16:$Y$39))*$J357+$Z357)/$G357,0)*$G357,
((_xlfn.XLOOKUP($A357,'[1]DATOS PBI Artículos'!$A:$A,'[1]DATOS PBI Artículos'!$AO:$AO))/(_xlfn.XLOOKUP($AL$1,[1]CRITERIOS!$S$16:$S$39,[1]CRITERIOS!$Y$16:$Y$39))*$J357+$Z357)))</f>
        <v>#N/A</v>
      </c>
    </row>
    <row r="358" spans="1:37" ht="25.8" hidden="1" x14ac:dyDescent="0.4">
      <c r="A358" s="41"/>
      <c r="B358" s="33">
        <f>_xlfn.XLOOKUP($A358,'[1]DATOS PBI Artículos'!A:A,'[1]DATOS PBI Artículos'!B:B)</f>
        <v>0</v>
      </c>
      <c r="C358" s="33">
        <f>_xlfn.XLOOKUP($A358,'[1]DATOS PBI Artículos'!A:A,'[1]DATOS PBI Artículos'!C:C)</f>
        <v>0</v>
      </c>
      <c r="D358" s="33">
        <f>_xlfn.XLOOKUP(A358,'[1]DATOS PBI Artículos'!A:A,'[1]DATOS PBI Artículos'!T:T)</f>
        <v>0</v>
      </c>
      <c r="E358" s="34">
        <f>IF(_xlfn.XLOOKUP($A358,'[1]DATOS PBI Artículos'!A:A,'[1]DATOS PBI Artículos'!AK:AK)="",_xlfn.XLOOKUP($A358,'[1]DATOS PBI Artículos'!A:A,'[1]DATOS PBI Artículos'!AJ:AJ),_xlfn.XLOOKUP($A358,'[1]DATOS PBI Artículos'!A:A,'[1]DATOS PBI Artículos'!AK:AK))</f>
        <v>0</v>
      </c>
      <c r="F358" s="35">
        <f>_xlfn.XLOOKUP($A358,'[1]DATOS PBI Artículos'!A:A,'[1]DATOS PBI Artículos'!AP:AP)</f>
        <v>0</v>
      </c>
      <c r="G358" s="34">
        <f>_xlfn.XLOOKUP($A358,'[1]DATOS PBI Artículos'!A:A,'[1]DATOS PBI Artículos'!AR:AR)</f>
        <v>0</v>
      </c>
      <c r="H358" s="34">
        <f>_xlfn.XLOOKUP($A358,'[1]DATOS PBI Artículos'!A:A,'[1]DATOS PBI Artículos'!AT:AT)</f>
        <v>0</v>
      </c>
      <c r="I358" s="34">
        <f>_xlfn.XLOOKUP($A358,'[1]DATOS PBI Artículos'!A:A,'[1]DATOS PBI Artículos'!AS:AS)</f>
        <v>0</v>
      </c>
      <c r="J358" s="35">
        <f>IF(COUNTIF([1]CRITERIOS!$F$179:$F$199,$A358)&gt;=1,
 IF(O358&lt;&gt;"",
    (O358/_xlfn.XLOOKUP(CONCATENATE(A358,L358),[1]MÁQUINAS!A:A,[1]MÁQUINAS!D:D))/24,
    (N358/_xlfn.XLOOKUP(CONCATENATE(A358,L358),[1]MÁQUINAS!A:A,[1]MÁQUINAS!D:D))/24),
  _xlfn.XLOOKUP($A358,'[1]DATOS PBI Artículos'!A:A,'[1]DATOS PBI Artículos'!AU:AU))</f>
        <v>0</v>
      </c>
      <c r="K358" s="36">
        <f>_xlfn.XLOOKUP($A358,'[1]DATOS PBI Artículos'!A:A,'[1]DATOS PBI Artículos'!AV:AV)</f>
        <v>0</v>
      </c>
      <c r="L358" s="33">
        <f>_xlfn.XLOOKUP(A358,[1]MÁQUINAS!B:B,[1]MÁQUINAS!C:C)</f>
        <v>0</v>
      </c>
      <c r="M358" s="34">
        <f t="array" ref="M358">_xlfn.XLOOKUP(A358,'[1]DATOS PBI Artículos'!A:A,'[1]DATOS PBI Artículos'!AX:$AX)</f>
        <v>0</v>
      </c>
      <c r="N358" s="37" t="e">
        <f>IF(I358="DV",
E358,
IF(COUNTIF([1]CRITERIOS!$I$179:$I$199,$A358)&gt;=1,
_xlfn.XLOOKUP($A358,[1]CRITERIOS!$I$179:$I$199,[1]CRITERIOS!$J$179:$J$199),
IF(COUNTIF([1]CRITERIOS!$L$179:$L$199,$A358)&gt;=1,
_xlfn.CEILING.MATH(IF($M358&gt;$E358,
$E358,
IF($M358&lt;$E358/ROUNDDOWN([1]CRITERIOS!$M$16/_xlfn.XLOOKUP($C358,[1]CRITERIOS!$K$25:$K$42,[1]CRITERIOS!$M$25:$M$42),
1),
E358/ROUNDDOWN([1]CRITERIOS!$M$16/_xlfn.XLOOKUP($C358,[1]CRITERIOS!$K$25:$K$42,[1]CRITERIOS!$M$25:$M$42),
1),
$M358)),
_xlfn.XLOOKUP($A358,[1]CRITERIOS!$L$179:$L$200,[1]CRITERIOS!$M$179:$M$200)),
_xlfn.CEILING.MATH(IF($M358&gt;$E358,
$E358,
IF($M358&lt;$E358/ROUNDDOWN([1]CRITERIOS!$M$16/_xlfn.XLOOKUP($C358,[1]CRITERIOS!$K$25:$K$42,[1]CRITERIOS!$M$25:$M$42),
1),
E358/ROUNDDOWN([1]CRITERIOS!$M$16/_xlfn.XLOOKUP($C358,[1]CRITERIOS!$K$25:$K$42,[1]CRITERIOS!$M$25:$M$42),
1),
$M358)),_xlfn.XLOOKUP(A358,'[1]DATOS PBI Artículos'!A:A,'[1]DATOS PBI Artículos'!Z:Z
)))))</f>
        <v>#N/A</v>
      </c>
      <c r="Q358" s="38" t="e">
        <f>IF(AND(O358="",N358=0),
0,
   IF(COUNTIF([1]CRITERIOS!$F$179:$F$199,$A358)&gt;=1,
   1,
   IF(R358="MTO",
      $D358,
      ROUNDUP(
                    IF(($E358-SUMIF('[1]DATOS PBI Artículos'!A:A,A358,'[1]DATOS PBI Artículos'!X:X)+($V358-_xlfn.XLOOKUP(A358,'[1]DATOS PBI Artículos'!A:A,'[1]DATOS PBI Artículos'!W:W)))&lt;0,
                    0,
                    IF(($E358-SUMIF('[1]DATOS PBI Artículos'!A:A,A358,'[1]DATOS PBI Artículos'!X:X)+$V358-_xlfn.XLOOKUP($A358,'[1]DATOS PBI Artículos'!A:A,'[1]DATOS PBI Artículos'!W:W))/IF($O358="",$N358,$O358)&gt;ROUNDUP([1]CRITERIOS!$M$16/(IF(COUNTIF([1]CRITERIOS!$BG$11:$BG$201,L358)&gt;=1,_xlfn.XLOOKUP($C358,[1]CRITERIOS!$K$25:$K$42,[1]CRITERIOS!$M$25:$M$42),_xlfn.XLOOKUP($C358,[1]CRITERIOS!$K$25:$K$42,[1]CRITERIOS!$M$25:$M$42))),0),
                    ROUNDUP([1]CRITERIOS!$M$16/(IF(COUNTIF([1]CRITERIOS!$BG$11:$BG$201,$L358)&gt;=1,_xlfn.XLOOKUP($C358,[1]CRITERIOS!$K$25:$K$42,[1]CRITERIOS!$M$25:$M$42),_xlfn.XLOOKUP($C358,[1]CRITERIOS!$K$25:$K$42,[1]CRITERIOS!$M$25:$M$42))),0),
                    (E358+V358-SUMIF('[1]DATOS PBI Artículos'!A:A,A358,'[1]DATOS PBI Artículos'!X:X)-_xlfn.XLOOKUP(A358,'[1]DATOS PBI Artículos'!A:A,'[1]DATOS PBI Artículos'!W:W))/IF($O358="",$N358,$O358))),0))))</f>
        <v>#N/A</v>
      </c>
      <c r="R358" s="33" t="e">
        <f>IF(U358&lt;&gt;"",U358,IF(F358="DV","MTO",IF(N358=0,"MTO",_xlfn.XLOOKUP(CONCATENATE(S358,T358),[1]CRITERIOS!$K$160:$K$168,[1]CRITERIOS!$N$160:$N$168))))</f>
        <v>#N/A</v>
      </c>
      <c r="S358" s="33" t="e">
        <f>IF(G358="DV","MTO",IF(N358=0,"MTO",IF(OR(AND(N358=0,O358=""),IF(O358="",G358/N358,G358/O358)&gt;[1]CRITERIOS!$G$163),"MTO",IF(IF(O358="",G358/N358,G358/O358)&lt;[1]CRITERIOS!$H$161,"MTS","MTOS"))))</f>
        <v>#N/A</v>
      </c>
      <c r="T358" s="33" t="e">
        <f>IF(F358="DV","MTO",IF(OR(AND($N358=0,O358=""),$F358/$J358&gt;[1]CRITERIOS!$G$170,$F358="DV"),"MTO",IF($F358/$J358&lt;[1]CRITERIOS!$H$168,"MTS","MTOS")))</f>
        <v>#N/A</v>
      </c>
      <c r="V358" s="34" t="e">
        <f t="shared" si="19"/>
        <v>#N/A</v>
      </c>
      <c r="X358" s="34" t="e">
        <f t="shared" si="17"/>
        <v>#N/A</v>
      </c>
      <c r="Y358" s="34" t="e">
        <f t="shared" si="18"/>
        <v>#N/A</v>
      </c>
      <c r="Z358" s="34" t="e">
        <f>IF($R358="MTO",
0,
($H358+$K358*($E358/[1]CRITERIOS!$M$16))/[1]CRITERIOS!$X$48)</f>
        <v>#N/A</v>
      </c>
      <c r="AA358" s="34" t="e">
        <f>ROUNDUP(($Y358/_xlfn.XLOOKUP($A358,'[1]DATOS PBI Artículos'!$A$4:$A$4,'[1]DATOS PBI Artículos'!$Z$4:$Z$4))/_xlfn.XLOOKUP(_xlfn.XLOOKUP($A358,'[1]DATOS PBI Artículos'!$A$4:$A$4,'[1]DATOS PBI Artículos'!$Y$4:$Y$4),[1]CRITERIOS!$P$79:$P$123,[1]CRITERIOS!$S$79:$S$123,),0)</f>
        <v>#N/A</v>
      </c>
      <c r="AB358" s="33" t="e">
        <f t="array" ref="AB358">IF((E358+V358-_xlfn.XLOOKUP(A358,'[1]DATOS PBI Artículos'!$A$4:$A$4,'[1]DATOS PBI Artículos'!$W$4:$W$4))/N358&gt;ROUNDUP([1]CRITERIOS!$M$16/(IF(COUNTIF([1]CRITERIOS!$BG$11:$BG$201,L358)&gt;=1,_xlfn.XLOOKUP(ARTÍCULOS!L358,[1]CRITERIOS!$BG$11:$BG$201,[1]CRITERIOS!$BJ$11:$BJ$201),_xlfn.XLOOKUP(ARTÍCULOS!C358,[1]CRITERIOS!$K$25:$K$42,[1]CRITERIOS!$M$25:$M$42))),0),ROUNDUP([1]CRITERIOS!$M$16/(IF(COUNTIF([1]CRITERIOS!$BG$11:$BG$201,L358)&gt;=1,_xlfn.XLOOKUP(ARTÍCULOS!L358,[1]CRITERIOS!$BG$11:$BG$201:#REF!,[1]CRITERIOS!$BJ$11:$BJ$201),_xlfn.XLOOKUP(ARTÍCULOS!C358,[1]CRITERIOS!$K$25:$K$42,[1]CRITERIOS!$M$25:$M$42))),0),(E358+V358-_xlfn.XLOOKUP(A358,'[1]DATOS PBI Artículos'!$A$4:$A$4,'[1]DATOS PBI Artículos'!$W$4:$W$4))/N358)</f>
        <v>#N/A</v>
      </c>
      <c r="AC358" s="33" t="e">
        <f>IF(N358=0,"",(ROUNDUP((N358/2)/(_xlfn.XLOOKUP(A358,'[1]DATOS PBI Artículos'!$A$4:$A$4,'[1]DATOS PBI Artículos'!$Z$4:$Z$4)*_xlfn.XLOOKUP(_xlfn.XLOOKUP(A358,'[1]DATOS PBI Artículos'!$A$4:$A$4,'[1]DATOS PBI Artículos'!$Y$4:$Y$4),[1]CRITERIOS!$P$79:$P$123,[1]CRITERIOS!$S$79:$S$123)),0)*[1]CRITERIOS!$M$80*([1]CRITERIOS!$M$110/[1]CRITERIOS!$M$86)+(_xlfn.XLOOKUP(A358,'[1]DATOS PBI Artículos'!$A$4:$A$4,'[1]DATOS PBI Artículos'!$AA$4:$AA$4)*([1]CRITERIOS!$M$95+[1]CRITERIOS!$M$98)))/N358)</f>
        <v>#N/A</v>
      </c>
      <c r="AD358" s="33" t="e">
        <f>IF(N358=0,"",(ROUNDUP((N358/2)/(_xlfn.XLOOKUP(A358,'[1]DATOS PBI Artículos'!$A$4:$A$4,'[1]DATOS PBI Artículos'!$Z$4:$Z$4)*_xlfn.XLOOKUP(_xlfn.XLOOKUP(A358,'[1]DATOS PBI Artículos'!$A$4:$A$4,'[1]DATOS PBI Artículos'!$Y$4:$Y$4),[1]CRITERIOS!$P$79:$P$123,[1]CRITERIOS!$S$79:$S$123)),0)*[1]CRITERIOS!$M$80*([1]CRITERIOS!$M$89*[1]CRITERIOS!$M$92)+((_xlfn.XLOOKUP(A358,'[1]DATOS PBI Artículos'!$A$4:$A$4,'[1]DATOS PBI Artículos'!$AA$4:$AA$4)/2)*([1]CRITERIOS!$M$95+[1]CRITERIOS!$M$98)))/N358)</f>
        <v>#N/A</v>
      </c>
      <c r="AE358" s="39" t="e">
        <f>IF($R358="MTO","",
IF($H358=0,ROUNDUP(((_xlfn.XLOOKUP($A358,'[1]DATOS PBI Artículos'!$A:$A,'[1]DATOS PBI Artículos'!$AL:$AL))/(_xlfn.XLOOKUP($AF$1,[1]CRITERIOS!$S$16:$S$39,[1]CRITERIOS!$Y$16:$Y$39))*$J358+$Z358)/$G358,0)*$G358,
((_xlfn.XLOOKUP($A358,'[1]DATOS PBI Artículos'!$A:$A,'[1]DATOS PBI Artículos'!$AL:$AL))/(_xlfn.XLOOKUP($AF$1,[1]CRITERIOS!$S$16:$S$39,[1]CRITERIOS!$Y$16:$Y$39))*$J358+$Z358)))</f>
        <v>#N/A</v>
      </c>
      <c r="AG358" s="39" t="e">
        <f>IF($R358="MTO","",
IF($H358=0,ROUNDUP(((_xlfn.XLOOKUP($A358,'[1]DATOS PBI Artículos'!$A:$A,'[1]DATOS PBI Artículos'!$AM:$AM))/(_xlfn.XLOOKUP($AH$1,[1]CRITERIOS!$S$16:$S$39,[1]CRITERIOS!$Y$16:$Y$39))*$J358+$Z358)/$G358,0)*$G358,
((_xlfn.XLOOKUP($A358,'[1]DATOS PBI Artículos'!$A:$A,'[1]DATOS PBI Artículos'!$AM:$AM))/(_xlfn.XLOOKUP($AH$1,[1]CRITERIOS!$S$16:$S$39,[1]CRITERIOS!$Y$16:$Y$39))*$J358+$Z358)))</f>
        <v>#N/A</v>
      </c>
      <c r="AI358" s="39" t="e">
        <f>IF($R358="MTO","",
IF($H358=0,ROUNDUP(((_xlfn.XLOOKUP($A358,'[1]DATOS PBI Artículos'!$A:$A,'[1]DATOS PBI Artículos'!$AN:$AN))/(_xlfn.XLOOKUP($AJ$1,[1]CRITERIOS!$S$16:$S$39,[1]CRITERIOS!$Y$16:$Y$39))*$J358+$Z358)/$G358,0)*$G358,
((_xlfn.XLOOKUP($A358,'[1]DATOS PBI Artículos'!$A:$A,'[1]DATOS PBI Artículos'!$AN:$AN))/(_xlfn.XLOOKUP($AJ$1,[1]CRITERIOS!$S$16:$S$39,[1]CRITERIOS!$Y$16:$Y$39))*$J358+$Z358)))</f>
        <v>#N/A</v>
      </c>
      <c r="AK358" s="39" t="e">
        <f>IF($R358="MTO","",
IF($H358=0,ROUNDUP(((_xlfn.XLOOKUP($A358,'[1]DATOS PBI Artículos'!$A:$A,'[1]DATOS PBI Artículos'!$AO:$AO))/(_xlfn.XLOOKUP($AL$1,[1]CRITERIOS!$S$16:$S$39,[1]CRITERIOS!$Y$16:$Y$39))*$J358+$Z358)/$G358,0)*$G358,
((_xlfn.XLOOKUP($A358,'[1]DATOS PBI Artículos'!$A:$A,'[1]DATOS PBI Artículos'!$AO:$AO))/(_xlfn.XLOOKUP($AL$1,[1]CRITERIOS!$S$16:$S$39,[1]CRITERIOS!$Y$16:$Y$39))*$J358+$Z358)))</f>
        <v>#N/A</v>
      </c>
    </row>
    <row r="359" spans="1:37" ht="25.8" hidden="1" x14ac:dyDescent="0.4">
      <c r="A359" s="41"/>
      <c r="B359" s="33">
        <f>_xlfn.XLOOKUP($A359,'[1]DATOS PBI Artículos'!A:A,'[1]DATOS PBI Artículos'!B:B)</f>
        <v>0</v>
      </c>
      <c r="C359" s="33">
        <f>_xlfn.XLOOKUP($A359,'[1]DATOS PBI Artículos'!A:A,'[1]DATOS PBI Artículos'!C:C)</f>
        <v>0</v>
      </c>
      <c r="D359" s="33">
        <f>_xlfn.XLOOKUP(A359,'[1]DATOS PBI Artículos'!A:A,'[1]DATOS PBI Artículos'!T:T)</f>
        <v>0</v>
      </c>
      <c r="E359" s="34">
        <f>IF(_xlfn.XLOOKUP($A359,'[1]DATOS PBI Artículos'!A:A,'[1]DATOS PBI Artículos'!AK:AK)="",_xlfn.XLOOKUP($A359,'[1]DATOS PBI Artículos'!A:A,'[1]DATOS PBI Artículos'!AJ:AJ),_xlfn.XLOOKUP($A359,'[1]DATOS PBI Artículos'!A:A,'[1]DATOS PBI Artículos'!AK:AK))</f>
        <v>0</v>
      </c>
      <c r="F359" s="35">
        <f>_xlfn.XLOOKUP($A359,'[1]DATOS PBI Artículos'!A:A,'[1]DATOS PBI Artículos'!AP:AP)</f>
        <v>0</v>
      </c>
      <c r="G359" s="34">
        <f>_xlfn.XLOOKUP($A359,'[1]DATOS PBI Artículos'!A:A,'[1]DATOS PBI Artículos'!AR:AR)</f>
        <v>0</v>
      </c>
      <c r="H359" s="34">
        <f>_xlfn.XLOOKUP($A359,'[1]DATOS PBI Artículos'!A:A,'[1]DATOS PBI Artículos'!AT:AT)</f>
        <v>0</v>
      </c>
      <c r="I359" s="34">
        <f>_xlfn.XLOOKUP($A359,'[1]DATOS PBI Artículos'!A:A,'[1]DATOS PBI Artículos'!AS:AS)</f>
        <v>0</v>
      </c>
      <c r="J359" s="35">
        <f>IF(COUNTIF([1]CRITERIOS!$F$179:$F$199,$A359)&gt;=1,
 IF(O359&lt;&gt;"",
    (O359/_xlfn.XLOOKUP(CONCATENATE(A359,L359),[1]MÁQUINAS!A:A,[1]MÁQUINAS!D:D))/24,
    (N359/_xlfn.XLOOKUP(CONCATENATE(A359,L359),[1]MÁQUINAS!A:A,[1]MÁQUINAS!D:D))/24),
  _xlfn.XLOOKUP($A359,'[1]DATOS PBI Artículos'!A:A,'[1]DATOS PBI Artículos'!AU:AU))</f>
        <v>0</v>
      </c>
      <c r="K359" s="36">
        <f>_xlfn.XLOOKUP($A359,'[1]DATOS PBI Artículos'!A:A,'[1]DATOS PBI Artículos'!AV:AV)</f>
        <v>0</v>
      </c>
      <c r="L359" s="33">
        <f>_xlfn.XLOOKUP(A359,[1]MÁQUINAS!B:B,[1]MÁQUINAS!C:C)</f>
        <v>0</v>
      </c>
      <c r="M359" s="34">
        <f t="array" ref="M359">_xlfn.XLOOKUP(A359,'[1]DATOS PBI Artículos'!A:A,'[1]DATOS PBI Artículos'!AX:$AX)</f>
        <v>0</v>
      </c>
      <c r="N359" s="37" t="e">
        <f>IF(I359="DV",
E359,
IF(COUNTIF([1]CRITERIOS!$I$179:$I$199,$A359)&gt;=1,
_xlfn.XLOOKUP($A359,[1]CRITERIOS!$I$179:$I$199,[1]CRITERIOS!$J$179:$J$199),
IF(COUNTIF([1]CRITERIOS!$L$179:$L$199,$A359)&gt;=1,
_xlfn.CEILING.MATH(IF($M359&gt;$E359,
$E359,
IF($M359&lt;$E359/ROUNDDOWN([1]CRITERIOS!$M$16/_xlfn.XLOOKUP($C359,[1]CRITERIOS!$K$25:$K$42,[1]CRITERIOS!$M$25:$M$42),
1),
E359/ROUNDDOWN([1]CRITERIOS!$M$16/_xlfn.XLOOKUP($C359,[1]CRITERIOS!$K$25:$K$42,[1]CRITERIOS!$M$25:$M$42),
1),
$M359)),
_xlfn.XLOOKUP($A359,[1]CRITERIOS!$L$179:$L$200,[1]CRITERIOS!$M$179:$M$200)),
_xlfn.CEILING.MATH(IF($M359&gt;$E359,
$E359,
IF($M359&lt;$E359/ROUNDDOWN([1]CRITERIOS!$M$16/_xlfn.XLOOKUP($C359,[1]CRITERIOS!$K$25:$K$42,[1]CRITERIOS!$M$25:$M$42),
1),
E359/ROUNDDOWN([1]CRITERIOS!$M$16/_xlfn.XLOOKUP($C359,[1]CRITERIOS!$K$25:$K$42,[1]CRITERIOS!$M$25:$M$42),
1),
$M359)),_xlfn.XLOOKUP(A359,'[1]DATOS PBI Artículos'!A:A,'[1]DATOS PBI Artículos'!Z:Z
)))))</f>
        <v>#N/A</v>
      </c>
      <c r="Q359" s="38" t="e">
        <f>IF(AND(O359="",N359=0),
0,
   IF(COUNTIF([1]CRITERIOS!$F$179:$F$199,$A359)&gt;=1,
   1,
   IF(R359="MTO",
      $D359,
      ROUNDUP(
                    IF(($E359-SUMIF('[1]DATOS PBI Artículos'!A:A,A359,'[1]DATOS PBI Artículos'!X:X)+($V359-_xlfn.XLOOKUP(A359,'[1]DATOS PBI Artículos'!A:A,'[1]DATOS PBI Artículos'!W:W)))&lt;0,
                    0,
                    IF(($E359-SUMIF('[1]DATOS PBI Artículos'!A:A,A359,'[1]DATOS PBI Artículos'!X:X)+$V359-_xlfn.XLOOKUP($A359,'[1]DATOS PBI Artículos'!A:A,'[1]DATOS PBI Artículos'!W:W))/IF($O359="",$N359,$O359)&gt;ROUNDUP([1]CRITERIOS!$M$16/(IF(COUNTIF([1]CRITERIOS!$BG$11:$BG$201,L359)&gt;=1,_xlfn.XLOOKUP($C359,[1]CRITERIOS!$K$25:$K$42,[1]CRITERIOS!$M$25:$M$42),_xlfn.XLOOKUP($C359,[1]CRITERIOS!$K$25:$K$42,[1]CRITERIOS!$M$25:$M$42))),0),
                    ROUNDUP([1]CRITERIOS!$M$16/(IF(COUNTIF([1]CRITERIOS!$BG$11:$BG$201,$L359)&gt;=1,_xlfn.XLOOKUP($C359,[1]CRITERIOS!$K$25:$K$42,[1]CRITERIOS!$M$25:$M$42),_xlfn.XLOOKUP($C359,[1]CRITERIOS!$K$25:$K$42,[1]CRITERIOS!$M$25:$M$42))),0),
                    (E359+V359-SUMIF('[1]DATOS PBI Artículos'!A:A,A359,'[1]DATOS PBI Artículos'!X:X)-_xlfn.XLOOKUP(A359,'[1]DATOS PBI Artículos'!A:A,'[1]DATOS PBI Artículos'!W:W))/IF($O359="",$N359,$O359))),0))))</f>
        <v>#N/A</v>
      </c>
      <c r="R359" s="33" t="e">
        <f>IF(U359&lt;&gt;"",U359,IF(F359="DV","MTO",IF(N359=0,"MTO",_xlfn.XLOOKUP(CONCATENATE(S359,T359),[1]CRITERIOS!$K$160:$K$168,[1]CRITERIOS!$N$160:$N$168))))</f>
        <v>#N/A</v>
      </c>
      <c r="S359" s="33" t="e">
        <f>IF(G359="DV","MTO",IF(N359=0,"MTO",IF(OR(AND(N359=0,O359=""),IF(O359="",G359/N359,G359/O359)&gt;[1]CRITERIOS!$G$163),"MTO",IF(IF(O359="",G359/N359,G359/O359)&lt;[1]CRITERIOS!$H$161,"MTS","MTOS"))))</f>
        <v>#N/A</v>
      </c>
      <c r="T359" s="33" t="e">
        <f>IF(F359="DV","MTO",IF(OR(AND($N359=0,O359=""),$F359/$J359&gt;[1]CRITERIOS!$G$170,$F359="DV"),"MTO",IF($F359/$J359&lt;[1]CRITERIOS!$H$168,"MTS","MTOS")))</f>
        <v>#N/A</v>
      </c>
      <c r="V359" s="34" t="e">
        <f t="shared" si="19"/>
        <v>#N/A</v>
      </c>
      <c r="X359" s="34" t="e">
        <f t="shared" si="17"/>
        <v>#N/A</v>
      </c>
      <c r="Y359" s="34" t="e">
        <f t="shared" si="18"/>
        <v>#N/A</v>
      </c>
      <c r="Z359" s="34" t="e">
        <f>IF($R359="MTO",
0,
($H359+$K359*($E359/[1]CRITERIOS!$M$16))/[1]CRITERIOS!$X$48)</f>
        <v>#N/A</v>
      </c>
      <c r="AA359" s="34" t="e">
        <f>ROUNDUP(($Y359/_xlfn.XLOOKUP($A359,'[1]DATOS PBI Artículos'!$A$4:$A$4,'[1]DATOS PBI Artículos'!$Z$4:$Z$4))/_xlfn.XLOOKUP(_xlfn.XLOOKUP($A359,'[1]DATOS PBI Artículos'!$A$4:$A$4,'[1]DATOS PBI Artículos'!$Y$4:$Y$4),[1]CRITERIOS!$P$79:$P$123,[1]CRITERIOS!$S$79:$S$123,),0)</f>
        <v>#N/A</v>
      </c>
      <c r="AB359" s="33" t="e">
        <f t="array" ref="AB359">IF((E359+V359-_xlfn.XLOOKUP(A359,'[1]DATOS PBI Artículos'!$A$4:$A$4,'[1]DATOS PBI Artículos'!$W$4:$W$4))/N359&gt;ROUNDUP([1]CRITERIOS!$M$16/(IF(COUNTIF([1]CRITERIOS!$BG$11:$BG$201,L359)&gt;=1,_xlfn.XLOOKUP(ARTÍCULOS!L359,[1]CRITERIOS!$BG$11:$BG$201,[1]CRITERIOS!$BJ$11:$BJ$201),_xlfn.XLOOKUP(ARTÍCULOS!C359,[1]CRITERIOS!$K$25:$K$42,[1]CRITERIOS!$M$25:$M$42))),0),ROUNDUP([1]CRITERIOS!$M$16/(IF(COUNTIF([1]CRITERIOS!$BG$11:$BG$201,L359)&gt;=1,_xlfn.XLOOKUP(ARTÍCULOS!L359,[1]CRITERIOS!$BG$11:$BG$201:#REF!,[1]CRITERIOS!$BJ$11:$BJ$201),_xlfn.XLOOKUP(ARTÍCULOS!C359,[1]CRITERIOS!$K$25:$K$42,[1]CRITERIOS!$M$25:$M$42))),0),(E359+V359-_xlfn.XLOOKUP(A359,'[1]DATOS PBI Artículos'!$A$4:$A$4,'[1]DATOS PBI Artículos'!$W$4:$W$4))/N359)</f>
        <v>#N/A</v>
      </c>
      <c r="AC359" s="33" t="e">
        <f>IF(N359=0,"",(ROUNDUP((N359/2)/(_xlfn.XLOOKUP(A359,'[1]DATOS PBI Artículos'!$A$4:$A$4,'[1]DATOS PBI Artículos'!$Z$4:$Z$4)*_xlfn.XLOOKUP(_xlfn.XLOOKUP(A359,'[1]DATOS PBI Artículos'!$A$4:$A$4,'[1]DATOS PBI Artículos'!$Y$4:$Y$4),[1]CRITERIOS!$P$79:$P$123,[1]CRITERIOS!$S$79:$S$123)),0)*[1]CRITERIOS!$M$80*([1]CRITERIOS!$M$110/[1]CRITERIOS!$M$86)+(_xlfn.XLOOKUP(A359,'[1]DATOS PBI Artículos'!$A$4:$A$4,'[1]DATOS PBI Artículos'!$AA$4:$AA$4)*([1]CRITERIOS!$M$95+[1]CRITERIOS!$M$98)))/N359)</f>
        <v>#N/A</v>
      </c>
      <c r="AD359" s="33" t="e">
        <f>IF(N359=0,"",(ROUNDUP((N359/2)/(_xlfn.XLOOKUP(A359,'[1]DATOS PBI Artículos'!$A$4:$A$4,'[1]DATOS PBI Artículos'!$Z$4:$Z$4)*_xlfn.XLOOKUP(_xlfn.XLOOKUP(A359,'[1]DATOS PBI Artículos'!$A$4:$A$4,'[1]DATOS PBI Artículos'!$Y$4:$Y$4),[1]CRITERIOS!$P$79:$P$123,[1]CRITERIOS!$S$79:$S$123)),0)*[1]CRITERIOS!$M$80*([1]CRITERIOS!$M$89*[1]CRITERIOS!$M$92)+((_xlfn.XLOOKUP(A359,'[1]DATOS PBI Artículos'!$A$4:$A$4,'[1]DATOS PBI Artículos'!$AA$4:$AA$4)/2)*([1]CRITERIOS!$M$95+[1]CRITERIOS!$M$98)))/N359)</f>
        <v>#N/A</v>
      </c>
      <c r="AE359" s="39" t="e">
        <f>IF($R359="MTO","",
IF($H359=0,ROUNDUP(((_xlfn.XLOOKUP($A359,'[1]DATOS PBI Artículos'!$A:$A,'[1]DATOS PBI Artículos'!$AL:$AL))/(_xlfn.XLOOKUP($AF$1,[1]CRITERIOS!$S$16:$S$39,[1]CRITERIOS!$Y$16:$Y$39))*$J359+$Z359)/$G359,0)*$G359,
((_xlfn.XLOOKUP($A359,'[1]DATOS PBI Artículos'!$A:$A,'[1]DATOS PBI Artículos'!$AL:$AL))/(_xlfn.XLOOKUP($AF$1,[1]CRITERIOS!$S$16:$S$39,[1]CRITERIOS!$Y$16:$Y$39))*$J359+$Z359)))</f>
        <v>#N/A</v>
      </c>
      <c r="AG359" s="39" t="e">
        <f>IF($R359="MTO","",
IF($H359=0,ROUNDUP(((_xlfn.XLOOKUP($A359,'[1]DATOS PBI Artículos'!$A:$A,'[1]DATOS PBI Artículos'!$AM:$AM))/(_xlfn.XLOOKUP($AH$1,[1]CRITERIOS!$S$16:$S$39,[1]CRITERIOS!$Y$16:$Y$39))*$J359+$Z359)/$G359,0)*$G359,
((_xlfn.XLOOKUP($A359,'[1]DATOS PBI Artículos'!$A:$A,'[1]DATOS PBI Artículos'!$AM:$AM))/(_xlfn.XLOOKUP($AH$1,[1]CRITERIOS!$S$16:$S$39,[1]CRITERIOS!$Y$16:$Y$39))*$J359+$Z359)))</f>
        <v>#N/A</v>
      </c>
      <c r="AI359" s="39" t="e">
        <f>IF($R359="MTO","",
IF($H359=0,ROUNDUP(((_xlfn.XLOOKUP($A359,'[1]DATOS PBI Artículos'!$A:$A,'[1]DATOS PBI Artículos'!$AN:$AN))/(_xlfn.XLOOKUP($AJ$1,[1]CRITERIOS!$S$16:$S$39,[1]CRITERIOS!$Y$16:$Y$39))*$J359+$Z359)/$G359,0)*$G359,
((_xlfn.XLOOKUP($A359,'[1]DATOS PBI Artículos'!$A:$A,'[1]DATOS PBI Artículos'!$AN:$AN))/(_xlfn.XLOOKUP($AJ$1,[1]CRITERIOS!$S$16:$S$39,[1]CRITERIOS!$Y$16:$Y$39))*$J359+$Z359)))</f>
        <v>#N/A</v>
      </c>
      <c r="AK359" s="39" t="e">
        <f>IF($R359="MTO","",
IF($H359=0,ROUNDUP(((_xlfn.XLOOKUP($A359,'[1]DATOS PBI Artículos'!$A:$A,'[1]DATOS PBI Artículos'!$AO:$AO))/(_xlfn.XLOOKUP($AL$1,[1]CRITERIOS!$S$16:$S$39,[1]CRITERIOS!$Y$16:$Y$39))*$J359+$Z359)/$G359,0)*$G359,
((_xlfn.XLOOKUP($A359,'[1]DATOS PBI Artículos'!$A:$A,'[1]DATOS PBI Artículos'!$AO:$AO))/(_xlfn.XLOOKUP($AL$1,[1]CRITERIOS!$S$16:$S$39,[1]CRITERIOS!$Y$16:$Y$39))*$J359+$Z359)))</f>
        <v>#N/A</v>
      </c>
    </row>
    <row r="360" spans="1:37" ht="25.8" hidden="1" x14ac:dyDescent="0.4">
      <c r="A360" s="41"/>
      <c r="B360" s="33">
        <f>_xlfn.XLOOKUP($A360,'[1]DATOS PBI Artículos'!A:A,'[1]DATOS PBI Artículos'!B:B)</f>
        <v>0</v>
      </c>
      <c r="C360" s="33">
        <f>_xlfn.XLOOKUP($A360,'[1]DATOS PBI Artículos'!A:A,'[1]DATOS PBI Artículos'!C:C)</f>
        <v>0</v>
      </c>
      <c r="D360" s="33">
        <f>_xlfn.XLOOKUP(A360,'[1]DATOS PBI Artículos'!A:A,'[1]DATOS PBI Artículos'!T:T)</f>
        <v>0</v>
      </c>
      <c r="E360" s="34">
        <f>IF(_xlfn.XLOOKUP($A360,'[1]DATOS PBI Artículos'!A:A,'[1]DATOS PBI Artículos'!AK:AK)="",_xlfn.XLOOKUP($A360,'[1]DATOS PBI Artículos'!A:A,'[1]DATOS PBI Artículos'!AJ:AJ),_xlfn.XLOOKUP($A360,'[1]DATOS PBI Artículos'!A:A,'[1]DATOS PBI Artículos'!AK:AK))</f>
        <v>0</v>
      </c>
      <c r="F360" s="35">
        <f>_xlfn.XLOOKUP($A360,'[1]DATOS PBI Artículos'!A:A,'[1]DATOS PBI Artículos'!AP:AP)</f>
        <v>0</v>
      </c>
      <c r="G360" s="34">
        <f>_xlfn.XLOOKUP($A360,'[1]DATOS PBI Artículos'!A:A,'[1]DATOS PBI Artículos'!AR:AR)</f>
        <v>0</v>
      </c>
      <c r="H360" s="34">
        <f>_xlfn.XLOOKUP($A360,'[1]DATOS PBI Artículos'!A:A,'[1]DATOS PBI Artículos'!AT:AT)</f>
        <v>0</v>
      </c>
      <c r="I360" s="34">
        <f>_xlfn.XLOOKUP($A360,'[1]DATOS PBI Artículos'!A:A,'[1]DATOS PBI Artículos'!AS:AS)</f>
        <v>0</v>
      </c>
      <c r="J360" s="35">
        <f>IF(COUNTIF([1]CRITERIOS!$F$179:$F$199,$A360)&gt;=1,
 IF(O360&lt;&gt;"",
    (O360/_xlfn.XLOOKUP(CONCATENATE(A360,L360),[1]MÁQUINAS!A:A,[1]MÁQUINAS!D:D))/24,
    (N360/_xlfn.XLOOKUP(CONCATENATE(A360,L360),[1]MÁQUINAS!A:A,[1]MÁQUINAS!D:D))/24),
  _xlfn.XLOOKUP($A360,'[1]DATOS PBI Artículos'!A:A,'[1]DATOS PBI Artículos'!AU:AU))</f>
        <v>0</v>
      </c>
      <c r="K360" s="36">
        <f>_xlfn.XLOOKUP($A360,'[1]DATOS PBI Artículos'!A:A,'[1]DATOS PBI Artículos'!AV:AV)</f>
        <v>0</v>
      </c>
      <c r="L360" s="33">
        <f>_xlfn.XLOOKUP(A360,[1]MÁQUINAS!B:B,[1]MÁQUINAS!C:C)</f>
        <v>0</v>
      </c>
      <c r="M360" s="34">
        <f t="array" ref="M360">_xlfn.XLOOKUP(A360,'[1]DATOS PBI Artículos'!A:A,'[1]DATOS PBI Artículos'!AX:$AX)</f>
        <v>0</v>
      </c>
      <c r="N360" s="37" t="e">
        <f>IF(I360="DV",
E360,
IF(COUNTIF([1]CRITERIOS!$I$179:$I$199,$A360)&gt;=1,
_xlfn.XLOOKUP($A360,[1]CRITERIOS!$I$179:$I$199,[1]CRITERIOS!$J$179:$J$199),
IF(COUNTIF([1]CRITERIOS!$L$179:$L$199,$A360)&gt;=1,
_xlfn.CEILING.MATH(IF($M360&gt;$E360,
$E360,
IF($M360&lt;$E360/ROUNDDOWN([1]CRITERIOS!$M$16/_xlfn.XLOOKUP($C360,[1]CRITERIOS!$K$25:$K$42,[1]CRITERIOS!$M$25:$M$42),
1),
E360/ROUNDDOWN([1]CRITERIOS!$M$16/_xlfn.XLOOKUP($C360,[1]CRITERIOS!$K$25:$K$42,[1]CRITERIOS!$M$25:$M$42),
1),
$M360)),
_xlfn.XLOOKUP($A360,[1]CRITERIOS!$L$179:$L$200,[1]CRITERIOS!$M$179:$M$200)),
_xlfn.CEILING.MATH(IF($M360&gt;$E360,
$E360,
IF($M360&lt;$E360/ROUNDDOWN([1]CRITERIOS!$M$16/_xlfn.XLOOKUP($C360,[1]CRITERIOS!$K$25:$K$42,[1]CRITERIOS!$M$25:$M$42),
1),
E360/ROUNDDOWN([1]CRITERIOS!$M$16/_xlfn.XLOOKUP($C360,[1]CRITERIOS!$K$25:$K$42,[1]CRITERIOS!$M$25:$M$42),
1),
$M360)),_xlfn.XLOOKUP(A360,'[1]DATOS PBI Artículos'!A:A,'[1]DATOS PBI Artículos'!Z:Z
)))))</f>
        <v>#N/A</v>
      </c>
      <c r="Q360" s="38" t="e">
        <f>IF(AND(O360="",N360=0),
0,
   IF(COUNTIF([1]CRITERIOS!$F$179:$F$199,$A360)&gt;=1,
   1,
   IF(R360="MTO",
      $D360,
      ROUNDUP(
                    IF(($E360-SUMIF('[1]DATOS PBI Artículos'!A:A,A360,'[1]DATOS PBI Artículos'!X:X)+($V360-_xlfn.XLOOKUP(A360,'[1]DATOS PBI Artículos'!A:A,'[1]DATOS PBI Artículos'!W:W)))&lt;0,
                    0,
                    IF(($E360-SUMIF('[1]DATOS PBI Artículos'!A:A,A360,'[1]DATOS PBI Artículos'!X:X)+$V360-_xlfn.XLOOKUP($A360,'[1]DATOS PBI Artículos'!A:A,'[1]DATOS PBI Artículos'!W:W))/IF($O360="",$N360,$O360)&gt;ROUNDUP([1]CRITERIOS!$M$16/(IF(COUNTIF([1]CRITERIOS!$BG$11:$BG$201,L360)&gt;=1,_xlfn.XLOOKUP($C360,[1]CRITERIOS!$K$25:$K$42,[1]CRITERIOS!$M$25:$M$42),_xlfn.XLOOKUP($C360,[1]CRITERIOS!$K$25:$K$42,[1]CRITERIOS!$M$25:$M$42))),0),
                    ROUNDUP([1]CRITERIOS!$M$16/(IF(COUNTIF([1]CRITERIOS!$BG$11:$BG$201,$L360)&gt;=1,_xlfn.XLOOKUP($C360,[1]CRITERIOS!$K$25:$K$42,[1]CRITERIOS!$M$25:$M$42),_xlfn.XLOOKUP($C360,[1]CRITERIOS!$K$25:$K$42,[1]CRITERIOS!$M$25:$M$42))),0),
                    (E360+V360-SUMIF('[1]DATOS PBI Artículos'!A:A,A360,'[1]DATOS PBI Artículos'!X:X)-_xlfn.XLOOKUP(A360,'[1]DATOS PBI Artículos'!A:A,'[1]DATOS PBI Artículos'!W:W))/IF($O360="",$N360,$O360))),0))))</f>
        <v>#N/A</v>
      </c>
      <c r="R360" s="33" t="e">
        <f>IF(U360&lt;&gt;"",U360,IF(F360="DV","MTO",IF(N360=0,"MTO",_xlfn.XLOOKUP(CONCATENATE(S360,T360),[1]CRITERIOS!$K$160:$K$168,[1]CRITERIOS!$N$160:$N$168))))</f>
        <v>#N/A</v>
      </c>
      <c r="S360" s="33" t="e">
        <f>IF(G360="DV","MTO",IF(N360=0,"MTO",IF(OR(AND(N360=0,O360=""),IF(O360="",G360/N360,G360/O360)&gt;[1]CRITERIOS!$G$163),"MTO",IF(IF(O360="",G360/N360,G360/O360)&lt;[1]CRITERIOS!$H$161,"MTS","MTOS"))))</f>
        <v>#N/A</v>
      </c>
      <c r="T360" s="33" t="e">
        <f>IF(F360="DV","MTO",IF(OR(AND($N360=0,O360=""),$F360/$J360&gt;[1]CRITERIOS!$G$170,$F360="DV"),"MTO",IF($F360/$J360&lt;[1]CRITERIOS!$H$168,"MTS","MTOS")))</f>
        <v>#N/A</v>
      </c>
      <c r="V360" s="34" t="e">
        <f t="shared" si="19"/>
        <v>#N/A</v>
      </c>
      <c r="X360" s="34" t="e">
        <f t="shared" si="17"/>
        <v>#N/A</v>
      </c>
      <c r="Y360" s="34" t="e">
        <f t="shared" si="18"/>
        <v>#N/A</v>
      </c>
      <c r="Z360" s="34" t="e">
        <f>IF($R360="MTO",
0,
($H360+$K360*($E360/[1]CRITERIOS!$M$16))/[1]CRITERIOS!$X$48)</f>
        <v>#N/A</v>
      </c>
      <c r="AA360" s="34" t="e">
        <f>ROUNDUP(($Y360/_xlfn.XLOOKUP($A360,'[1]DATOS PBI Artículos'!$A$4:$A$4,'[1]DATOS PBI Artículos'!$Z$4:$Z$4))/_xlfn.XLOOKUP(_xlfn.XLOOKUP($A360,'[1]DATOS PBI Artículos'!$A$4:$A$4,'[1]DATOS PBI Artículos'!$Y$4:$Y$4),[1]CRITERIOS!$P$79:$P$123,[1]CRITERIOS!$S$79:$S$123,),0)</f>
        <v>#N/A</v>
      </c>
      <c r="AB360" s="33" t="e">
        <f t="array" ref="AB360">IF((E360+V360-_xlfn.XLOOKUP(A360,'[1]DATOS PBI Artículos'!$A$4:$A$4,'[1]DATOS PBI Artículos'!$W$4:$W$4))/N360&gt;ROUNDUP([1]CRITERIOS!$M$16/(IF(COUNTIF([1]CRITERIOS!$BG$11:$BG$201,L360)&gt;=1,_xlfn.XLOOKUP(ARTÍCULOS!L360,[1]CRITERIOS!$BG$11:$BG$201,[1]CRITERIOS!$BJ$11:$BJ$201),_xlfn.XLOOKUP(ARTÍCULOS!C360,[1]CRITERIOS!$K$25:$K$42,[1]CRITERIOS!$M$25:$M$42))),0),ROUNDUP([1]CRITERIOS!$M$16/(IF(COUNTIF([1]CRITERIOS!$BG$11:$BG$201,L360)&gt;=1,_xlfn.XLOOKUP(ARTÍCULOS!L360,[1]CRITERIOS!$BG$11:$BG$201:#REF!,[1]CRITERIOS!$BJ$11:$BJ$201),_xlfn.XLOOKUP(ARTÍCULOS!C360,[1]CRITERIOS!$K$25:$K$42,[1]CRITERIOS!$M$25:$M$42))),0),(E360+V360-_xlfn.XLOOKUP(A360,'[1]DATOS PBI Artículos'!$A$4:$A$4,'[1]DATOS PBI Artículos'!$W$4:$W$4))/N360)</f>
        <v>#N/A</v>
      </c>
      <c r="AC360" s="33" t="e">
        <f>IF(N360=0,"",(ROUNDUP((N360/2)/(_xlfn.XLOOKUP(A360,'[1]DATOS PBI Artículos'!$A$4:$A$4,'[1]DATOS PBI Artículos'!$Z$4:$Z$4)*_xlfn.XLOOKUP(_xlfn.XLOOKUP(A360,'[1]DATOS PBI Artículos'!$A$4:$A$4,'[1]DATOS PBI Artículos'!$Y$4:$Y$4),[1]CRITERIOS!$P$79:$P$123,[1]CRITERIOS!$S$79:$S$123)),0)*[1]CRITERIOS!$M$80*([1]CRITERIOS!$M$110/[1]CRITERIOS!$M$86)+(_xlfn.XLOOKUP(A360,'[1]DATOS PBI Artículos'!$A$4:$A$4,'[1]DATOS PBI Artículos'!$AA$4:$AA$4)*([1]CRITERIOS!$M$95+[1]CRITERIOS!$M$98)))/N360)</f>
        <v>#N/A</v>
      </c>
      <c r="AD360" s="33" t="e">
        <f>IF(N360=0,"",(ROUNDUP((N360/2)/(_xlfn.XLOOKUP(A360,'[1]DATOS PBI Artículos'!$A$4:$A$4,'[1]DATOS PBI Artículos'!$Z$4:$Z$4)*_xlfn.XLOOKUP(_xlfn.XLOOKUP(A360,'[1]DATOS PBI Artículos'!$A$4:$A$4,'[1]DATOS PBI Artículos'!$Y$4:$Y$4),[1]CRITERIOS!$P$79:$P$123,[1]CRITERIOS!$S$79:$S$123)),0)*[1]CRITERIOS!$M$80*([1]CRITERIOS!$M$89*[1]CRITERIOS!$M$92)+((_xlfn.XLOOKUP(A360,'[1]DATOS PBI Artículos'!$A$4:$A$4,'[1]DATOS PBI Artículos'!$AA$4:$AA$4)/2)*([1]CRITERIOS!$M$95+[1]CRITERIOS!$M$98)))/N360)</f>
        <v>#N/A</v>
      </c>
      <c r="AE360" s="39" t="e">
        <f>IF($R360="MTO","",
IF($H360=0,ROUNDUP(((_xlfn.XLOOKUP($A360,'[1]DATOS PBI Artículos'!$A:$A,'[1]DATOS PBI Artículos'!$AL:$AL))/(_xlfn.XLOOKUP($AF$1,[1]CRITERIOS!$S$16:$S$39,[1]CRITERIOS!$Y$16:$Y$39))*$J360+$Z360)/$G360,0)*$G360,
((_xlfn.XLOOKUP($A360,'[1]DATOS PBI Artículos'!$A:$A,'[1]DATOS PBI Artículos'!$AL:$AL))/(_xlfn.XLOOKUP($AF$1,[1]CRITERIOS!$S$16:$S$39,[1]CRITERIOS!$Y$16:$Y$39))*$J360+$Z360)))</f>
        <v>#N/A</v>
      </c>
      <c r="AG360" s="39" t="e">
        <f>IF($R360="MTO","",
IF($H360=0,ROUNDUP(((_xlfn.XLOOKUP($A360,'[1]DATOS PBI Artículos'!$A:$A,'[1]DATOS PBI Artículos'!$AM:$AM))/(_xlfn.XLOOKUP($AH$1,[1]CRITERIOS!$S$16:$S$39,[1]CRITERIOS!$Y$16:$Y$39))*$J360+$Z360)/$G360,0)*$G360,
((_xlfn.XLOOKUP($A360,'[1]DATOS PBI Artículos'!$A:$A,'[1]DATOS PBI Artículos'!$AM:$AM))/(_xlfn.XLOOKUP($AH$1,[1]CRITERIOS!$S$16:$S$39,[1]CRITERIOS!$Y$16:$Y$39))*$J360+$Z360)))</f>
        <v>#N/A</v>
      </c>
      <c r="AI360" s="39" t="e">
        <f>IF($R360="MTO","",
IF($H360=0,ROUNDUP(((_xlfn.XLOOKUP($A360,'[1]DATOS PBI Artículos'!$A:$A,'[1]DATOS PBI Artículos'!$AN:$AN))/(_xlfn.XLOOKUP($AJ$1,[1]CRITERIOS!$S$16:$S$39,[1]CRITERIOS!$Y$16:$Y$39))*$J360+$Z360)/$G360,0)*$G360,
((_xlfn.XLOOKUP($A360,'[1]DATOS PBI Artículos'!$A:$A,'[1]DATOS PBI Artículos'!$AN:$AN))/(_xlfn.XLOOKUP($AJ$1,[1]CRITERIOS!$S$16:$S$39,[1]CRITERIOS!$Y$16:$Y$39))*$J360+$Z360)))</f>
        <v>#N/A</v>
      </c>
      <c r="AK360" s="39" t="e">
        <f>IF($R360="MTO","",
IF($H360=0,ROUNDUP(((_xlfn.XLOOKUP($A360,'[1]DATOS PBI Artículos'!$A:$A,'[1]DATOS PBI Artículos'!$AO:$AO))/(_xlfn.XLOOKUP($AL$1,[1]CRITERIOS!$S$16:$S$39,[1]CRITERIOS!$Y$16:$Y$39))*$J360+$Z360)/$G360,0)*$G360,
((_xlfn.XLOOKUP($A360,'[1]DATOS PBI Artículos'!$A:$A,'[1]DATOS PBI Artículos'!$AO:$AO))/(_xlfn.XLOOKUP($AL$1,[1]CRITERIOS!$S$16:$S$39,[1]CRITERIOS!$Y$16:$Y$39))*$J360+$Z360)))</f>
        <v>#N/A</v>
      </c>
    </row>
    <row r="361" spans="1:37" ht="25.8" hidden="1" x14ac:dyDescent="0.4">
      <c r="A361" s="41"/>
      <c r="B361" s="33">
        <f>_xlfn.XLOOKUP($A361,'[1]DATOS PBI Artículos'!A:A,'[1]DATOS PBI Artículos'!B:B)</f>
        <v>0</v>
      </c>
      <c r="C361" s="33">
        <f>_xlfn.XLOOKUP($A361,'[1]DATOS PBI Artículos'!A:A,'[1]DATOS PBI Artículos'!C:C)</f>
        <v>0</v>
      </c>
      <c r="D361" s="33">
        <f>_xlfn.XLOOKUP(A361,'[1]DATOS PBI Artículos'!A:A,'[1]DATOS PBI Artículos'!T:T)</f>
        <v>0</v>
      </c>
      <c r="E361" s="34">
        <f>IF(_xlfn.XLOOKUP($A361,'[1]DATOS PBI Artículos'!A:A,'[1]DATOS PBI Artículos'!AK:AK)="",_xlfn.XLOOKUP($A361,'[1]DATOS PBI Artículos'!A:A,'[1]DATOS PBI Artículos'!AJ:AJ),_xlfn.XLOOKUP($A361,'[1]DATOS PBI Artículos'!A:A,'[1]DATOS PBI Artículos'!AK:AK))</f>
        <v>0</v>
      </c>
      <c r="F361" s="35">
        <f>_xlfn.XLOOKUP($A361,'[1]DATOS PBI Artículos'!A:A,'[1]DATOS PBI Artículos'!AP:AP)</f>
        <v>0</v>
      </c>
      <c r="G361" s="34">
        <f>_xlfn.XLOOKUP($A361,'[1]DATOS PBI Artículos'!A:A,'[1]DATOS PBI Artículos'!AR:AR)</f>
        <v>0</v>
      </c>
      <c r="H361" s="34">
        <f>_xlfn.XLOOKUP($A361,'[1]DATOS PBI Artículos'!A:A,'[1]DATOS PBI Artículos'!AT:AT)</f>
        <v>0</v>
      </c>
      <c r="I361" s="34">
        <f>_xlfn.XLOOKUP($A361,'[1]DATOS PBI Artículos'!A:A,'[1]DATOS PBI Artículos'!AS:AS)</f>
        <v>0</v>
      </c>
      <c r="J361" s="35">
        <f>IF(COUNTIF([1]CRITERIOS!$F$179:$F$199,$A361)&gt;=1,
 IF(O361&lt;&gt;"",
    (O361/_xlfn.XLOOKUP(CONCATENATE(A361,L361),[1]MÁQUINAS!A:A,[1]MÁQUINAS!D:D))/24,
    (N361/_xlfn.XLOOKUP(CONCATENATE(A361,L361),[1]MÁQUINAS!A:A,[1]MÁQUINAS!D:D))/24),
  _xlfn.XLOOKUP($A361,'[1]DATOS PBI Artículos'!A:A,'[1]DATOS PBI Artículos'!AU:AU))</f>
        <v>0</v>
      </c>
      <c r="K361" s="36">
        <f>_xlfn.XLOOKUP($A361,'[1]DATOS PBI Artículos'!A:A,'[1]DATOS PBI Artículos'!AV:AV)</f>
        <v>0</v>
      </c>
      <c r="L361" s="33">
        <f>_xlfn.XLOOKUP(A361,[1]MÁQUINAS!B:B,[1]MÁQUINAS!C:C)</f>
        <v>0</v>
      </c>
      <c r="M361" s="34">
        <f t="array" ref="M361">_xlfn.XLOOKUP(A361,'[1]DATOS PBI Artículos'!A:A,'[1]DATOS PBI Artículos'!AX:$AX)</f>
        <v>0</v>
      </c>
      <c r="N361" s="37" t="e">
        <f>IF(I361="DV",
E361,
IF(COUNTIF([1]CRITERIOS!$I$179:$I$199,$A361)&gt;=1,
_xlfn.XLOOKUP($A361,[1]CRITERIOS!$I$179:$I$199,[1]CRITERIOS!$J$179:$J$199),
IF(COUNTIF([1]CRITERIOS!$L$179:$L$199,$A361)&gt;=1,
_xlfn.CEILING.MATH(IF($M361&gt;$E361,
$E361,
IF($M361&lt;$E361/ROUNDDOWN([1]CRITERIOS!$M$16/_xlfn.XLOOKUP($C361,[1]CRITERIOS!$K$25:$K$42,[1]CRITERIOS!$M$25:$M$42),
1),
E361/ROUNDDOWN([1]CRITERIOS!$M$16/_xlfn.XLOOKUP($C361,[1]CRITERIOS!$K$25:$K$42,[1]CRITERIOS!$M$25:$M$42),
1),
$M361)),
_xlfn.XLOOKUP($A361,[1]CRITERIOS!$L$179:$L$200,[1]CRITERIOS!$M$179:$M$200)),
_xlfn.CEILING.MATH(IF($M361&gt;$E361,
$E361,
IF($M361&lt;$E361/ROUNDDOWN([1]CRITERIOS!$M$16/_xlfn.XLOOKUP($C361,[1]CRITERIOS!$K$25:$K$42,[1]CRITERIOS!$M$25:$M$42),
1),
E361/ROUNDDOWN([1]CRITERIOS!$M$16/_xlfn.XLOOKUP($C361,[1]CRITERIOS!$K$25:$K$42,[1]CRITERIOS!$M$25:$M$42),
1),
$M361)),_xlfn.XLOOKUP(A361,'[1]DATOS PBI Artículos'!A:A,'[1]DATOS PBI Artículos'!Z:Z
)))))</f>
        <v>#N/A</v>
      </c>
      <c r="Q361" s="38" t="e">
        <f>IF(AND(O361="",N361=0),
0,
   IF(COUNTIF([1]CRITERIOS!$F$179:$F$199,$A361)&gt;=1,
   1,
   IF(R361="MTO",
      $D361,
      ROUNDUP(
                    IF(($E361-SUMIF('[1]DATOS PBI Artículos'!A:A,A361,'[1]DATOS PBI Artículos'!X:X)+($V361-_xlfn.XLOOKUP(A361,'[1]DATOS PBI Artículos'!A:A,'[1]DATOS PBI Artículos'!W:W)))&lt;0,
                    0,
                    IF(($E361-SUMIF('[1]DATOS PBI Artículos'!A:A,A361,'[1]DATOS PBI Artículos'!X:X)+$V361-_xlfn.XLOOKUP($A361,'[1]DATOS PBI Artículos'!A:A,'[1]DATOS PBI Artículos'!W:W))/IF($O361="",$N361,$O361)&gt;ROUNDUP([1]CRITERIOS!$M$16/(IF(COUNTIF([1]CRITERIOS!$BG$11:$BG$201,L361)&gt;=1,_xlfn.XLOOKUP($C361,[1]CRITERIOS!$K$25:$K$42,[1]CRITERIOS!$M$25:$M$42),_xlfn.XLOOKUP($C361,[1]CRITERIOS!$K$25:$K$42,[1]CRITERIOS!$M$25:$M$42))),0),
                    ROUNDUP([1]CRITERIOS!$M$16/(IF(COUNTIF([1]CRITERIOS!$BG$11:$BG$201,$L361)&gt;=1,_xlfn.XLOOKUP($C361,[1]CRITERIOS!$K$25:$K$42,[1]CRITERIOS!$M$25:$M$42),_xlfn.XLOOKUP($C361,[1]CRITERIOS!$K$25:$K$42,[1]CRITERIOS!$M$25:$M$42))),0),
                    (E361+V361-SUMIF('[1]DATOS PBI Artículos'!A:A,A361,'[1]DATOS PBI Artículos'!X:X)-_xlfn.XLOOKUP(A361,'[1]DATOS PBI Artículos'!A:A,'[1]DATOS PBI Artículos'!W:W))/IF($O361="",$N361,$O361))),0))))</f>
        <v>#N/A</v>
      </c>
      <c r="R361" s="33" t="e">
        <f>IF(U361&lt;&gt;"",U361,IF(F361="DV","MTO",IF(N361=0,"MTO",_xlfn.XLOOKUP(CONCATENATE(S361,T361),[1]CRITERIOS!$K$160:$K$168,[1]CRITERIOS!$N$160:$N$168))))</f>
        <v>#N/A</v>
      </c>
      <c r="S361" s="33" t="e">
        <f>IF(G361="DV","MTO",IF(N361=0,"MTO",IF(OR(AND(N361=0,O361=""),IF(O361="",G361/N361,G361/O361)&gt;[1]CRITERIOS!$G$163),"MTO",IF(IF(O361="",G361/N361,G361/O361)&lt;[1]CRITERIOS!$H$161,"MTS","MTOS"))))</f>
        <v>#N/A</v>
      </c>
      <c r="T361" s="33" t="e">
        <f>IF(F361="DV","MTO",IF(OR(AND($N361=0,O361=""),$F361/$J361&gt;[1]CRITERIOS!$G$170,$F361="DV"),"MTO",IF($F361/$J361&lt;[1]CRITERIOS!$H$168,"MTS","MTOS")))</f>
        <v>#N/A</v>
      </c>
      <c r="V361" s="34" t="e">
        <f t="shared" si="19"/>
        <v>#N/A</v>
      </c>
      <c r="X361" s="34" t="e">
        <f t="shared" si="17"/>
        <v>#N/A</v>
      </c>
      <c r="Y361" s="34" t="e">
        <f t="shared" si="18"/>
        <v>#N/A</v>
      </c>
      <c r="Z361" s="34" t="e">
        <f>IF($R361="MTO",
0,
($H361+$K361*($E361/[1]CRITERIOS!$M$16))/[1]CRITERIOS!$X$48)</f>
        <v>#N/A</v>
      </c>
      <c r="AA361" s="34" t="e">
        <f>ROUNDUP(($Y361/_xlfn.XLOOKUP($A361,'[1]DATOS PBI Artículos'!$A$4:$A$4,'[1]DATOS PBI Artículos'!$Z$4:$Z$4))/_xlfn.XLOOKUP(_xlfn.XLOOKUP($A361,'[1]DATOS PBI Artículos'!$A$4:$A$4,'[1]DATOS PBI Artículos'!$Y$4:$Y$4),[1]CRITERIOS!$P$79:$P$123,[1]CRITERIOS!$S$79:$S$123,),0)</f>
        <v>#N/A</v>
      </c>
      <c r="AB361" s="33" t="e">
        <f t="array" ref="AB361">IF((E361+V361-_xlfn.XLOOKUP(A361,'[1]DATOS PBI Artículos'!$A$4:$A$4,'[1]DATOS PBI Artículos'!$W$4:$W$4))/N361&gt;ROUNDUP([1]CRITERIOS!$M$16/(IF(COUNTIF([1]CRITERIOS!$BG$11:$BG$201,L361)&gt;=1,_xlfn.XLOOKUP(ARTÍCULOS!L361,[1]CRITERIOS!$BG$11:$BG$201,[1]CRITERIOS!$BJ$11:$BJ$201),_xlfn.XLOOKUP(ARTÍCULOS!C361,[1]CRITERIOS!$K$25:$K$42,[1]CRITERIOS!$M$25:$M$42))),0),ROUNDUP([1]CRITERIOS!$M$16/(IF(COUNTIF([1]CRITERIOS!$BG$11:$BG$201,L361)&gt;=1,_xlfn.XLOOKUP(ARTÍCULOS!L361,[1]CRITERIOS!$BG$11:$BG$201:#REF!,[1]CRITERIOS!$BJ$11:$BJ$201),_xlfn.XLOOKUP(ARTÍCULOS!C361,[1]CRITERIOS!$K$25:$K$42,[1]CRITERIOS!$M$25:$M$42))),0),(E361+V361-_xlfn.XLOOKUP(A361,'[1]DATOS PBI Artículos'!$A$4:$A$4,'[1]DATOS PBI Artículos'!$W$4:$W$4))/N361)</f>
        <v>#N/A</v>
      </c>
      <c r="AC361" s="33" t="e">
        <f>IF(N361=0,"",(ROUNDUP((N361/2)/(_xlfn.XLOOKUP(A361,'[1]DATOS PBI Artículos'!$A$4:$A$4,'[1]DATOS PBI Artículos'!$Z$4:$Z$4)*_xlfn.XLOOKUP(_xlfn.XLOOKUP(A361,'[1]DATOS PBI Artículos'!$A$4:$A$4,'[1]DATOS PBI Artículos'!$Y$4:$Y$4),[1]CRITERIOS!$P$79:$P$123,[1]CRITERIOS!$S$79:$S$123)),0)*[1]CRITERIOS!$M$80*([1]CRITERIOS!$M$110/[1]CRITERIOS!$M$86)+(_xlfn.XLOOKUP(A361,'[1]DATOS PBI Artículos'!$A$4:$A$4,'[1]DATOS PBI Artículos'!$AA$4:$AA$4)*([1]CRITERIOS!$M$95+[1]CRITERIOS!$M$98)))/N361)</f>
        <v>#N/A</v>
      </c>
      <c r="AD361" s="33" t="e">
        <f>IF(N361=0,"",(ROUNDUP((N361/2)/(_xlfn.XLOOKUP(A361,'[1]DATOS PBI Artículos'!$A$4:$A$4,'[1]DATOS PBI Artículos'!$Z$4:$Z$4)*_xlfn.XLOOKUP(_xlfn.XLOOKUP(A361,'[1]DATOS PBI Artículos'!$A$4:$A$4,'[1]DATOS PBI Artículos'!$Y$4:$Y$4),[1]CRITERIOS!$P$79:$P$123,[1]CRITERIOS!$S$79:$S$123)),0)*[1]CRITERIOS!$M$80*([1]CRITERIOS!$M$89*[1]CRITERIOS!$M$92)+((_xlfn.XLOOKUP(A361,'[1]DATOS PBI Artículos'!$A$4:$A$4,'[1]DATOS PBI Artículos'!$AA$4:$AA$4)/2)*([1]CRITERIOS!$M$95+[1]CRITERIOS!$M$98)))/N361)</f>
        <v>#N/A</v>
      </c>
      <c r="AE361" s="39" t="e">
        <f>IF($R361="MTO","",
IF($H361=0,ROUNDUP(((_xlfn.XLOOKUP($A361,'[1]DATOS PBI Artículos'!$A:$A,'[1]DATOS PBI Artículos'!$AL:$AL))/(_xlfn.XLOOKUP($AF$1,[1]CRITERIOS!$S$16:$S$39,[1]CRITERIOS!$Y$16:$Y$39))*$J361+$Z361)/$G361,0)*$G361,
((_xlfn.XLOOKUP($A361,'[1]DATOS PBI Artículos'!$A:$A,'[1]DATOS PBI Artículos'!$AL:$AL))/(_xlfn.XLOOKUP($AF$1,[1]CRITERIOS!$S$16:$S$39,[1]CRITERIOS!$Y$16:$Y$39))*$J361+$Z361)))</f>
        <v>#N/A</v>
      </c>
      <c r="AG361" s="39" t="e">
        <f>IF($R361="MTO","",
IF($H361=0,ROUNDUP(((_xlfn.XLOOKUP($A361,'[1]DATOS PBI Artículos'!$A:$A,'[1]DATOS PBI Artículos'!$AM:$AM))/(_xlfn.XLOOKUP($AH$1,[1]CRITERIOS!$S$16:$S$39,[1]CRITERIOS!$Y$16:$Y$39))*$J361+$Z361)/$G361,0)*$G361,
((_xlfn.XLOOKUP($A361,'[1]DATOS PBI Artículos'!$A:$A,'[1]DATOS PBI Artículos'!$AM:$AM))/(_xlfn.XLOOKUP($AH$1,[1]CRITERIOS!$S$16:$S$39,[1]CRITERIOS!$Y$16:$Y$39))*$J361+$Z361)))</f>
        <v>#N/A</v>
      </c>
      <c r="AI361" s="39" t="e">
        <f>IF($R361="MTO","",
IF($H361=0,ROUNDUP(((_xlfn.XLOOKUP($A361,'[1]DATOS PBI Artículos'!$A:$A,'[1]DATOS PBI Artículos'!$AN:$AN))/(_xlfn.XLOOKUP($AJ$1,[1]CRITERIOS!$S$16:$S$39,[1]CRITERIOS!$Y$16:$Y$39))*$J361+$Z361)/$G361,0)*$G361,
((_xlfn.XLOOKUP($A361,'[1]DATOS PBI Artículos'!$A:$A,'[1]DATOS PBI Artículos'!$AN:$AN))/(_xlfn.XLOOKUP($AJ$1,[1]CRITERIOS!$S$16:$S$39,[1]CRITERIOS!$Y$16:$Y$39))*$J361+$Z361)))</f>
        <v>#N/A</v>
      </c>
      <c r="AK361" s="39" t="e">
        <f>IF($R361="MTO","",
IF($H361=0,ROUNDUP(((_xlfn.XLOOKUP($A361,'[1]DATOS PBI Artículos'!$A:$A,'[1]DATOS PBI Artículos'!$AO:$AO))/(_xlfn.XLOOKUP($AL$1,[1]CRITERIOS!$S$16:$S$39,[1]CRITERIOS!$Y$16:$Y$39))*$J361+$Z361)/$G361,0)*$G361,
((_xlfn.XLOOKUP($A361,'[1]DATOS PBI Artículos'!$A:$A,'[1]DATOS PBI Artículos'!$AO:$AO))/(_xlfn.XLOOKUP($AL$1,[1]CRITERIOS!$S$16:$S$39,[1]CRITERIOS!$Y$16:$Y$39))*$J361+$Z361)))</f>
        <v>#N/A</v>
      </c>
    </row>
    <row r="362" spans="1:37" ht="25.8" hidden="1" x14ac:dyDescent="0.4">
      <c r="A362" s="41"/>
      <c r="B362" s="33">
        <f>_xlfn.XLOOKUP($A362,'[1]DATOS PBI Artículos'!A:A,'[1]DATOS PBI Artículos'!B:B)</f>
        <v>0</v>
      </c>
      <c r="C362" s="33">
        <f>_xlfn.XLOOKUP($A362,'[1]DATOS PBI Artículos'!A:A,'[1]DATOS PBI Artículos'!C:C)</f>
        <v>0</v>
      </c>
      <c r="D362" s="33">
        <f>_xlfn.XLOOKUP(A362,'[1]DATOS PBI Artículos'!A:A,'[1]DATOS PBI Artículos'!T:T)</f>
        <v>0</v>
      </c>
      <c r="E362" s="34">
        <f>IF(_xlfn.XLOOKUP($A362,'[1]DATOS PBI Artículos'!A:A,'[1]DATOS PBI Artículos'!AK:AK)="",_xlfn.XLOOKUP($A362,'[1]DATOS PBI Artículos'!A:A,'[1]DATOS PBI Artículos'!AJ:AJ),_xlfn.XLOOKUP($A362,'[1]DATOS PBI Artículos'!A:A,'[1]DATOS PBI Artículos'!AK:AK))</f>
        <v>0</v>
      </c>
      <c r="F362" s="35">
        <f>_xlfn.XLOOKUP($A362,'[1]DATOS PBI Artículos'!A:A,'[1]DATOS PBI Artículos'!AP:AP)</f>
        <v>0</v>
      </c>
      <c r="G362" s="34">
        <f>_xlfn.XLOOKUP($A362,'[1]DATOS PBI Artículos'!A:A,'[1]DATOS PBI Artículos'!AR:AR)</f>
        <v>0</v>
      </c>
      <c r="H362" s="34">
        <f>_xlfn.XLOOKUP($A362,'[1]DATOS PBI Artículos'!A:A,'[1]DATOS PBI Artículos'!AT:AT)</f>
        <v>0</v>
      </c>
      <c r="I362" s="34">
        <f>_xlfn.XLOOKUP($A362,'[1]DATOS PBI Artículos'!A:A,'[1]DATOS PBI Artículos'!AS:AS)</f>
        <v>0</v>
      </c>
      <c r="J362" s="35">
        <f>IF(COUNTIF([1]CRITERIOS!$F$179:$F$199,$A362)&gt;=1,
 IF(O362&lt;&gt;"",
    (O362/_xlfn.XLOOKUP(CONCATENATE(A362,L362),[1]MÁQUINAS!A:A,[1]MÁQUINAS!D:D))/24,
    (N362/_xlfn.XLOOKUP(CONCATENATE(A362,L362),[1]MÁQUINAS!A:A,[1]MÁQUINAS!D:D))/24),
  _xlfn.XLOOKUP($A362,'[1]DATOS PBI Artículos'!A:A,'[1]DATOS PBI Artículos'!AU:AU))</f>
        <v>0</v>
      </c>
      <c r="K362" s="36">
        <f>_xlfn.XLOOKUP($A362,'[1]DATOS PBI Artículos'!A:A,'[1]DATOS PBI Artículos'!AV:AV)</f>
        <v>0</v>
      </c>
      <c r="L362" s="33">
        <f>_xlfn.XLOOKUP(A362,[1]MÁQUINAS!B:B,[1]MÁQUINAS!C:C)</f>
        <v>0</v>
      </c>
      <c r="M362" s="34">
        <f t="array" ref="M362">_xlfn.XLOOKUP(A362,'[1]DATOS PBI Artículos'!A:A,'[1]DATOS PBI Artículos'!AX:$AX)</f>
        <v>0</v>
      </c>
      <c r="N362" s="37" t="e">
        <f>IF(I362="DV",
E362,
IF(COUNTIF([1]CRITERIOS!$I$179:$I$199,$A362)&gt;=1,
_xlfn.XLOOKUP($A362,[1]CRITERIOS!$I$179:$I$199,[1]CRITERIOS!$J$179:$J$199),
IF(COUNTIF([1]CRITERIOS!$L$179:$L$199,$A362)&gt;=1,
_xlfn.CEILING.MATH(IF($M362&gt;$E362,
$E362,
IF($M362&lt;$E362/ROUNDDOWN([1]CRITERIOS!$M$16/_xlfn.XLOOKUP($C362,[1]CRITERIOS!$K$25:$K$42,[1]CRITERIOS!$M$25:$M$42),
1),
E362/ROUNDDOWN([1]CRITERIOS!$M$16/_xlfn.XLOOKUP($C362,[1]CRITERIOS!$K$25:$K$42,[1]CRITERIOS!$M$25:$M$42),
1),
$M362)),
_xlfn.XLOOKUP($A362,[1]CRITERIOS!$L$179:$L$200,[1]CRITERIOS!$M$179:$M$200)),
_xlfn.CEILING.MATH(IF($M362&gt;$E362,
$E362,
IF($M362&lt;$E362/ROUNDDOWN([1]CRITERIOS!$M$16/_xlfn.XLOOKUP($C362,[1]CRITERIOS!$K$25:$K$42,[1]CRITERIOS!$M$25:$M$42),
1),
E362/ROUNDDOWN([1]CRITERIOS!$M$16/_xlfn.XLOOKUP($C362,[1]CRITERIOS!$K$25:$K$42,[1]CRITERIOS!$M$25:$M$42),
1),
$M362)),_xlfn.XLOOKUP(A362,'[1]DATOS PBI Artículos'!A:A,'[1]DATOS PBI Artículos'!Z:Z
)))))</f>
        <v>#N/A</v>
      </c>
      <c r="Q362" s="38" t="e">
        <f>IF(AND(O362="",N362=0),
0,
   IF(COUNTIF([1]CRITERIOS!$F$179:$F$199,$A362)&gt;=1,
   1,
   IF(R362="MTO",
      $D362,
      ROUNDUP(
                    IF(($E362-SUMIF('[1]DATOS PBI Artículos'!A:A,A362,'[1]DATOS PBI Artículos'!X:X)+($V362-_xlfn.XLOOKUP(A362,'[1]DATOS PBI Artículos'!A:A,'[1]DATOS PBI Artículos'!W:W)))&lt;0,
                    0,
                    IF(($E362-SUMIF('[1]DATOS PBI Artículos'!A:A,A362,'[1]DATOS PBI Artículos'!X:X)+$V362-_xlfn.XLOOKUP($A362,'[1]DATOS PBI Artículos'!A:A,'[1]DATOS PBI Artículos'!W:W))/IF($O362="",$N362,$O362)&gt;ROUNDUP([1]CRITERIOS!$M$16/(IF(COUNTIF([1]CRITERIOS!$BG$11:$BG$201,L362)&gt;=1,_xlfn.XLOOKUP($C362,[1]CRITERIOS!$K$25:$K$42,[1]CRITERIOS!$M$25:$M$42),_xlfn.XLOOKUP($C362,[1]CRITERIOS!$K$25:$K$42,[1]CRITERIOS!$M$25:$M$42))),0),
                    ROUNDUP([1]CRITERIOS!$M$16/(IF(COUNTIF([1]CRITERIOS!$BG$11:$BG$201,$L362)&gt;=1,_xlfn.XLOOKUP($C362,[1]CRITERIOS!$K$25:$K$42,[1]CRITERIOS!$M$25:$M$42),_xlfn.XLOOKUP($C362,[1]CRITERIOS!$K$25:$K$42,[1]CRITERIOS!$M$25:$M$42))),0),
                    (E362+V362-SUMIF('[1]DATOS PBI Artículos'!A:A,A362,'[1]DATOS PBI Artículos'!X:X)-_xlfn.XLOOKUP(A362,'[1]DATOS PBI Artículos'!A:A,'[1]DATOS PBI Artículos'!W:W))/IF($O362="",$N362,$O362))),0))))</f>
        <v>#N/A</v>
      </c>
      <c r="R362" s="33" t="e">
        <f>IF(U362&lt;&gt;"",U362,IF(F362="DV","MTO",IF(N362=0,"MTO",_xlfn.XLOOKUP(CONCATENATE(S362,T362),[1]CRITERIOS!$K$160:$K$168,[1]CRITERIOS!$N$160:$N$168))))</f>
        <v>#N/A</v>
      </c>
      <c r="S362" s="33" t="e">
        <f>IF(G362="DV","MTO",IF(N362=0,"MTO",IF(OR(AND(N362=0,O362=""),IF(O362="",G362/N362,G362/O362)&gt;[1]CRITERIOS!$G$163),"MTO",IF(IF(O362="",G362/N362,G362/O362)&lt;[1]CRITERIOS!$H$161,"MTS","MTOS"))))</f>
        <v>#N/A</v>
      </c>
      <c r="T362" s="33" t="e">
        <f>IF(F362="DV","MTO",IF(OR(AND($N362=0,O362=""),$F362/$J362&gt;[1]CRITERIOS!$G$170,$F362="DV"),"MTO",IF($F362/$J362&lt;[1]CRITERIOS!$H$168,"MTS","MTOS")))</f>
        <v>#N/A</v>
      </c>
      <c r="V362" s="34" t="e">
        <f t="shared" si="19"/>
        <v>#N/A</v>
      </c>
      <c r="X362" s="34" t="e">
        <f t="shared" si="17"/>
        <v>#N/A</v>
      </c>
      <c r="Y362" s="34" t="e">
        <f t="shared" si="18"/>
        <v>#N/A</v>
      </c>
      <c r="Z362" s="34" t="e">
        <f>IF($R362="MTO",
0,
($H362+$K362*($E362/[1]CRITERIOS!$M$16))/[1]CRITERIOS!$X$48)</f>
        <v>#N/A</v>
      </c>
      <c r="AA362" s="34" t="e">
        <f>ROUNDUP(($Y362/_xlfn.XLOOKUP($A362,'[1]DATOS PBI Artículos'!$A$4:$A$4,'[1]DATOS PBI Artículos'!$Z$4:$Z$4))/_xlfn.XLOOKUP(_xlfn.XLOOKUP($A362,'[1]DATOS PBI Artículos'!$A$4:$A$4,'[1]DATOS PBI Artículos'!$Y$4:$Y$4),[1]CRITERIOS!$P$79:$P$123,[1]CRITERIOS!$S$79:$S$123,),0)</f>
        <v>#N/A</v>
      </c>
      <c r="AB362" s="33" t="e">
        <f t="array" ref="AB362">IF((E362+V362-_xlfn.XLOOKUP(A362,'[1]DATOS PBI Artículos'!$A$4:$A$4,'[1]DATOS PBI Artículos'!$W$4:$W$4))/N362&gt;ROUNDUP([1]CRITERIOS!$M$16/(IF(COUNTIF([1]CRITERIOS!$BG$11:$BG$201,L362)&gt;=1,_xlfn.XLOOKUP(ARTÍCULOS!L362,[1]CRITERIOS!$BG$11:$BG$201,[1]CRITERIOS!$BJ$11:$BJ$201),_xlfn.XLOOKUP(ARTÍCULOS!C362,[1]CRITERIOS!$K$25:$K$42,[1]CRITERIOS!$M$25:$M$42))),0),ROUNDUP([1]CRITERIOS!$M$16/(IF(COUNTIF([1]CRITERIOS!$BG$11:$BG$201,L362)&gt;=1,_xlfn.XLOOKUP(ARTÍCULOS!L362,[1]CRITERIOS!$BG$11:$BG$201:#REF!,[1]CRITERIOS!$BJ$11:$BJ$201),_xlfn.XLOOKUP(ARTÍCULOS!C362,[1]CRITERIOS!$K$25:$K$42,[1]CRITERIOS!$M$25:$M$42))),0),(E362+V362-_xlfn.XLOOKUP(A362,'[1]DATOS PBI Artículos'!$A$4:$A$4,'[1]DATOS PBI Artículos'!$W$4:$W$4))/N362)</f>
        <v>#N/A</v>
      </c>
      <c r="AC362" s="33" t="e">
        <f>IF(N362=0,"",(ROUNDUP((N362/2)/(_xlfn.XLOOKUP(A362,'[1]DATOS PBI Artículos'!$A$4:$A$4,'[1]DATOS PBI Artículos'!$Z$4:$Z$4)*_xlfn.XLOOKUP(_xlfn.XLOOKUP(A362,'[1]DATOS PBI Artículos'!$A$4:$A$4,'[1]DATOS PBI Artículos'!$Y$4:$Y$4),[1]CRITERIOS!$P$79:$P$123,[1]CRITERIOS!$S$79:$S$123)),0)*[1]CRITERIOS!$M$80*([1]CRITERIOS!$M$110/[1]CRITERIOS!$M$86)+(_xlfn.XLOOKUP(A362,'[1]DATOS PBI Artículos'!$A$4:$A$4,'[1]DATOS PBI Artículos'!$AA$4:$AA$4)*([1]CRITERIOS!$M$95+[1]CRITERIOS!$M$98)))/N362)</f>
        <v>#N/A</v>
      </c>
      <c r="AD362" s="33" t="e">
        <f>IF(N362=0,"",(ROUNDUP((N362/2)/(_xlfn.XLOOKUP(A362,'[1]DATOS PBI Artículos'!$A$4:$A$4,'[1]DATOS PBI Artículos'!$Z$4:$Z$4)*_xlfn.XLOOKUP(_xlfn.XLOOKUP(A362,'[1]DATOS PBI Artículos'!$A$4:$A$4,'[1]DATOS PBI Artículos'!$Y$4:$Y$4),[1]CRITERIOS!$P$79:$P$123,[1]CRITERIOS!$S$79:$S$123)),0)*[1]CRITERIOS!$M$80*([1]CRITERIOS!$M$89*[1]CRITERIOS!$M$92)+((_xlfn.XLOOKUP(A362,'[1]DATOS PBI Artículos'!$A$4:$A$4,'[1]DATOS PBI Artículos'!$AA$4:$AA$4)/2)*([1]CRITERIOS!$M$95+[1]CRITERIOS!$M$98)))/N362)</f>
        <v>#N/A</v>
      </c>
      <c r="AE362" s="39" t="e">
        <f>IF($R362="MTO","",
IF($H362=0,ROUNDUP(((_xlfn.XLOOKUP($A362,'[1]DATOS PBI Artículos'!$A:$A,'[1]DATOS PBI Artículos'!$AL:$AL))/(_xlfn.XLOOKUP($AF$1,[1]CRITERIOS!$S$16:$S$39,[1]CRITERIOS!$Y$16:$Y$39))*$J362+$Z362)/$G362,0)*$G362,
((_xlfn.XLOOKUP($A362,'[1]DATOS PBI Artículos'!$A:$A,'[1]DATOS PBI Artículos'!$AL:$AL))/(_xlfn.XLOOKUP($AF$1,[1]CRITERIOS!$S$16:$S$39,[1]CRITERIOS!$Y$16:$Y$39))*$J362+$Z362)))</f>
        <v>#N/A</v>
      </c>
      <c r="AG362" s="39" t="e">
        <f>IF($R362="MTO","",
IF($H362=0,ROUNDUP(((_xlfn.XLOOKUP($A362,'[1]DATOS PBI Artículos'!$A:$A,'[1]DATOS PBI Artículos'!$AM:$AM))/(_xlfn.XLOOKUP($AH$1,[1]CRITERIOS!$S$16:$S$39,[1]CRITERIOS!$Y$16:$Y$39))*$J362+$Z362)/$G362,0)*$G362,
((_xlfn.XLOOKUP($A362,'[1]DATOS PBI Artículos'!$A:$A,'[1]DATOS PBI Artículos'!$AM:$AM))/(_xlfn.XLOOKUP($AH$1,[1]CRITERIOS!$S$16:$S$39,[1]CRITERIOS!$Y$16:$Y$39))*$J362+$Z362)))</f>
        <v>#N/A</v>
      </c>
      <c r="AI362" s="39" t="e">
        <f>IF($R362="MTO","",
IF($H362=0,ROUNDUP(((_xlfn.XLOOKUP($A362,'[1]DATOS PBI Artículos'!$A:$A,'[1]DATOS PBI Artículos'!$AN:$AN))/(_xlfn.XLOOKUP($AJ$1,[1]CRITERIOS!$S$16:$S$39,[1]CRITERIOS!$Y$16:$Y$39))*$J362+$Z362)/$G362,0)*$G362,
((_xlfn.XLOOKUP($A362,'[1]DATOS PBI Artículos'!$A:$A,'[1]DATOS PBI Artículos'!$AN:$AN))/(_xlfn.XLOOKUP($AJ$1,[1]CRITERIOS!$S$16:$S$39,[1]CRITERIOS!$Y$16:$Y$39))*$J362+$Z362)))</f>
        <v>#N/A</v>
      </c>
      <c r="AK362" s="39" t="e">
        <f>IF($R362="MTO","",
IF($H362=0,ROUNDUP(((_xlfn.XLOOKUP($A362,'[1]DATOS PBI Artículos'!$A:$A,'[1]DATOS PBI Artículos'!$AO:$AO))/(_xlfn.XLOOKUP($AL$1,[1]CRITERIOS!$S$16:$S$39,[1]CRITERIOS!$Y$16:$Y$39))*$J362+$Z362)/$G362,0)*$G362,
((_xlfn.XLOOKUP($A362,'[1]DATOS PBI Artículos'!$A:$A,'[1]DATOS PBI Artículos'!$AO:$AO))/(_xlfn.XLOOKUP($AL$1,[1]CRITERIOS!$S$16:$S$39,[1]CRITERIOS!$Y$16:$Y$39))*$J362+$Z362)))</f>
        <v>#N/A</v>
      </c>
    </row>
    <row r="363" spans="1:37" ht="25.8" hidden="1" x14ac:dyDescent="0.4">
      <c r="A363" s="41"/>
      <c r="B363" s="33">
        <f>_xlfn.XLOOKUP($A363,'[1]DATOS PBI Artículos'!A:A,'[1]DATOS PBI Artículos'!B:B)</f>
        <v>0</v>
      </c>
      <c r="C363" s="33">
        <f>_xlfn.XLOOKUP($A363,'[1]DATOS PBI Artículos'!A:A,'[1]DATOS PBI Artículos'!C:C)</f>
        <v>0</v>
      </c>
      <c r="D363" s="33">
        <f>_xlfn.XLOOKUP(A363,'[1]DATOS PBI Artículos'!A:A,'[1]DATOS PBI Artículos'!T:T)</f>
        <v>0</v>
      </c>
      <c r="E363" s="34">
        <f>IF(_xlfn.XLOOKUP($A363,'[1]DATOS PBI Artículos'!A:A,'[1]DATOS PBI Artículos'!AK:AK)="",_xlfn.XLOOKUP($A363,'[1]DATOS PBI Artículos'!A:A,'[1]DATOS PBI Artículos'!AJ:AJ),_xlfn.XLOOKUP($A363,'[1]DATOS PBI Artículos'!A:A,'[1]DATOS PBI Artículos'!AK:AK))</f>
        <v>0</v>
      </c>
      <c r="F363" s="35">
        <f>_xlfn.XLOOKUP($A363,'[1]DATOS PBI Artículos'!A:A,'[1]DATOS PBI Artículos'!AP:AP)</f>
        <v>0</v>
      </c>
      <c r="G363" s="34">
        <f>_xlfn.XLOOKUP($A363,'[1]DATOS PBI Artículos'!A:A,'[1]DATOS PBI Artículos'!AR:AR)</f>
        <v>0</v>
      </c>
      <c r="H363" s="34">
        <f>_xlfn.XLOOKUP($A363,'[1]DATOS PBI Artículos'!A:A,'[1]DATOS PBI Artículos'!AT:AT)</f>
        <v>0</v>
      </c>
      <c r="I363" s="34">
        <f>_xlfn.XLOOKUP($A363,'[1]DATOS PBI Artículos'!A:A,'[1]DATOS PBI Artículos'!AS:AS)</f>
        <v>0</v>
      </c>
      <c r="J363" s="35">
        <f>IF(COUNTIF([1]CRITERIOS!$F$179:$F$199,$A363)&gt;=1,
 IF(O363&lt;&gt;"",
    (O363/_xlfn.XLOOKUP(CONCATENATE(A363,L363),[1]MÁQUINAS!A:A,[1]MÁQUINAS!D:D))/24,
    (N363/_xlfn.XLOOKUP(CONCATENATE(A363,L363),[1]MÁQUINAS!A:A,[1]MÁQUINAS!D:D))/24),
  _xlfn.XLOOKUP($A363,'[1]DATOS PBI Artículos'!A:A,'[1]DATOS PBI Artículos'!AU:AU))</f>
        <v>0</v>
      </c>
      <c r="K363" s="36">
        <f>_xlfn.XLOOKUP($A363,'[1]DATOS PBI Artículos'!A:A,'[1]DATOS PBI Artículos'!AV:AV)</f>
        <v>0</v>
      </c>
      <c r="L363" s="33">
        <f>_xlfn.XLOOKUP(A363,[1]MÁQUINAS!B:B,[1]MÁQUINAS!C:C)</f>
        <v>0</v>
      </c>
      <c r="M363" s="34">
        <f t="array" ref="M363">_xlfn.XLOOKUP(A363,'[1]DATOS PBI Artículos'!A:A,'[1]DATOS PBI Artículos'!AX:$AX)</f>
        <v>0</v>
      </c>
      <c r="N363" s="37" t="e">
        <f>IF(I363="DV",
E363,
IF(COUNTIF([1]CRITERIOS!$I$179:$I$199,$A363)&gt;=1,
_xlfn.XLOOKUP($A363,[1]CRITERIOS!$I$179:$I$199,[1]CRITERIOS!$J$179:$J$199),
IF(COUNTIF([1]CRITERIOS!$L$179:$L$199,$A363)&gt;=1,
_xlfn.CEILING.MATH(IF($M363&gt;$E363,
$E363,
IF($M363&lt;$E363/ROUNDDOWN([1]CRITERIOS!$M$16/_xlfn.XLOOKUP($C363,[1]CRITERIOS!$K$25:$K$42,[1]CRITERIOS!$M$25:$M$42),
1),
E363/ROUNDDOWN([1]CRITERIOS!$M$16/_xlfn.XLOOKUP($C363,[1]CRITERIOS!$K$25:$K$42,[1]CRITERIOS!$M$25:$M$42),
1),
$M363)),
_xlfn.XLOOKUP($A363,[1]CRITERIOS!$L$179:$L$200,[1]CRITERIOS!$M$179:$M$200)),
_xlfn.CEILING.MATH(IF($M363&gt;$E363,
$E363,
IF($M363&lt;$E363/ROUNDDOWN([1]CRITERIOS!$M$16/_xlfn.XLOOKUP($C363,[1]CRITERIOS!$K$25:$K$42,[1]CRITERIOS!$M$25:$M$42),
1),
E363/ROUNDDOWN([1]CRITERIOS!$M$16/_xlfn.XLOOKUP($C363,[1]CRITERIOS!$K$25:$K$42,[1]CRITERIOS!$M$25:$M$42),
1),
$M363)),_xlfn.XLOOKUP(A363,'[1]DATOS PBI Artículos'!A:A,'[1]DATOS PBI Artículos'!Z:Z
)))))</f>
        <v>#N/A</v>
      </c>
      <c r="Q363" s="38" t="e">
        <f>IF(AND(O363="",N363=0),
0,
   IF(COUNTIF([1]CRITERIOS!$F$179:$F$199,$A363)&gt;=1,
   1,
   IF(R363="MTO",
      $D363,
      ROUNDUP(
                    IF(($E363-SUMIF('[1]DATOS PBI Artículos'!A:A,A363,'[1]DATOS PBI Artículos'!X:X)+($V363-_xlfn.XLOOKUP(A363,'[1]DATOS PBI Artículos'!A:A,'[1]DATOS PBI Artículos'!W:W)))&lt;0,
                    0,
                    IF(($E363-SUMIF('[1]DATOS PBI Artículos'!A:A,A363,'[1]DATOS PBI Artículos'!X:X)+$V363-_xlfn.XLOOKUP($A363,'[1]DATOS PBI Artículos'!A:A,'[1]DATOS PBI Artículos'!W:W))/IF($O363="",$N363,$O363)&gt;ROUNDUP([1]CRITERIOS!$M$16/(IF(COUNTIF([1]CRITERIOS!$BG$11:$BG$201,L363)&gt;=1,_xlfn.XLOOKUP($C363,[1]CRITERIOS!$K$25:$K$42,[1]CRITERIOS!$M$25:$M$42),_xlfn.XLOOKUP($C363,[1]CRITERIOS!$K$25:$K$42,[1]CRITERIOS!$M$25:$M$42))),0),
                    ROUNDUP([1]CRITERIOS!$M$16/(IF(COUNTIF([1]CRITERIOS!$BG$11:$BG$201,$L363)&gt;=1,_xlfn.XLOOKUP($C363,[1]CRITERIOS!$K$25:$K$42,[1]CRITERIOS!$M$25:$M$42),_xlfn.XLOOKUP($C363,[1]CRITERIOS!$K$25:$K$42,[1]CRITERIOS!$M$25:$M$42))),0),
                    (E363+V363-SUMIF('[1]DATOS PBI Artículos'!A:A,A363,'[1]DATOS PBI Artículos'!X:X)-_xlfn.XLOOKUP(A363,'[1]DATOS PBI Artículos'!A:A,'[1]DATOS PBI Artículos'!W:W))/IF($O363="",$N363,$O363))),0))))</f>
        <v>#N/A</v>
      </c>
      <c r="R363" s="33" t="e">
        <f>IF(U363&lt;&gt;"",U363,IF(F363="DV","MTO",IF(N363=0,"MTO",_xlfn.XLOOKUP(CONCATENATE(S363,T363),[1]CRITERIOS!$K$160:$K$168,[1]CRITERIOS!$N$160:$N$168))))</f>
        <v>#N/A</v>
      </c>
      <c r="S363" s="33" t="e">
        <f>IF(G363="DV","MTO",IF(N363=0,"MTO",IF(OR(AND(N363=0,O363=""),IF(O363="",G363/N363,G363/O363)&gt;[1]CRITERIOS!$G$163),"MTO",IF(IF(O363="",G363/N363,G363/O363)&lt;[1]CRITERIOS!$H$161,"MTS","MTOS"))))</f>
        <v>#N/A</v>
      </c>
      <c r="T363" s="33" t="e">
        <f>IF(F363="DV","MTO",IF(OR(AND($N363=0,O363=""),$F363/$J363&gt;[1]CRITERIOS!$G$170,$F363="DV"),"MTO",IF($F363/$J363&lt;[1]CRITERIOS!$H$168,"MTS","MTOS")))</f>
        <v>#N/A</v>
      </c>
      <c r="V363" s="34" t="e">
        <f t="shared" si="19"/>
        <v>#N/A</v>
      </c>
      <c r="X363" s="34" t="e">
        <f t="shared" si="17"/>
        <v>#N/A</v>
      </c>
      <c r="Y363" s="34" t="e">
        <f t="shared" si="18"/>
        <v>#N/A</v>
      </c>
      <c r="Z363" s="34" t="e">
        <f>IF($R363="MTO",
0,
($H363+$K363*($E363/[1]CRITERIOS!$M$16))/[1]CRITERIOS!$X$48)</f>
        <v>#N/A</v>
      </c>
      <c r="AA363" s="34" t="e">
        <f>ROUNDUP(($Y363/_xlfn.XLOOKUP($A363,'[1]DATOS PBI Artículos'!$A$4:$A$4,'[1]DATOS PBI Artículos'!$Z$4:$Z$4))/_xlfn.XLOOKUP(_xlfn.XLOOKUP($A363,'[1]DATOS PBI Artículos'!$A$4:$A$4,'[1]DATOS PBI Artículos'!$Y$4:$Y$4),[1]CRITERIOS!$P$79:$P$123,[1]CRITERIOS!$S$79:$S$123,),0)</f>
        <v>#N/A</v>
      </c>
      <c r="AB363" s="33" t="e">
        <f t="array" ref="AB363">IF((E363+V363-_xlfn.XLOOKUP(A363,'[1]DATOS PBI Artículos'!$A$4:$A$4,'[1]DATOS PBI Artículos'!$W$4:$W$4))/N363&gt;ROUNDUP([1]CRITERIOS!$M$16/(IF(COUNTIF([1]CRITERIOS!$BG$11:$BG$201,L363)&gt;=1,_xlfn.XLOOKUP(ARTÍCULOS!L363,[1]CRITERIOS!$BG$11:$BG$201,[1]CRITERIOS!$BJ$11:$BJ$201),_xlfn.XLOOKUP(ARTÍCULOS!C363,[1]CRITERIOS!$K$25:$K$42,[1]CRITERIOS!$M$25:$M$42))),0),ROUNDUP([1]CRITERIOS!$M$16/(IF(COUNTIF([1]CRITERIOS!$BG$11:$BG$201,L363)&gt;=1,_xlfn.XLOOKUP(ARTÍCULOS!L363,[1]CRITERIOS!$BG$11:$BG$201:#REF!,[1]CRITERIOS!$BJ$11:$BJ$201),_xlfn.XLOOKUP(ARTÍCULOS!C363,[1]CRITERIOS!$K$25:$K$42,[1]CRITERIOS!$M$25:$M$42))),0),(E363+V363-_xlfn.XLOOKUP(A363,'[1]DATOS PBI Artículos'!$A$4:$A$4,'[1]DATOS PBI Artículos'!$W$4:$W$4))/N363)</f>
        <v>#N/A</v>
      </c>
      <c r="AC363" s="33" t="e">
        <f>IF(N363=0,"",(ROUNDUP((N363/2)/(_xlfn.XLOOKUP(A363,'[1]DATOS PBI Artículos'!$A$4:$A$4,'[1]DATOS PBI Artículos'!$Z$4:$Z$4)*_xlfn.XLOOKUP(_xlfn.XLOOKUP(A363,'[1]DATOS PBI Artículos'!$A$4:$A$4,'[1]DATOS PBI Artículos'!$Y$4:$Y$4),[1]CRITERIOS!$P$79:$P$123,[1]CRITERIOS!$S$79:$S$123)),0)*[1]CRITERIOS!$M$80*([1]CRITERIOS!$M$110/[1]CRITERIOS!$M$86)+(_xlfn.XLOOKUP(A363,'[1]DATOS PBI Artículos'!$A$4:$A$4,'[1]DATOS PBI Artículos'!$AA$4:$AA$4)*([1]CRITERIOS!$M$95+[1]CRITERIOS!$M$98)))/N363)</f>
        <v>#N/A</v>
      </c>
      <c r="AD363" s="33" t="e">
        <f>IF(N363=0,"",(ROUNDUP((N363/2)/(_xlfn.XLOOKUP(A363,'[1]DATOS PBI Artículos'!$A$4:$A$4,'[1]DATOS PBI Artículos'!$Z$4:$Z$4)*_xlfn.XLOOKUP(_xlfn.XLOOKUP(A363,'[1]DATOS PBI Artículos'!$A$4:$A$4,'[1]DATOS PBI Artículos'!$Y$4:$Y$4),[1]CRITERIOS!$P$79:$P$123,[1]CRITERIOS!$S$79:$S$123)),0)*[1]CRITERIOS!$M$80*([1]CRITERIOS!$M$89*[1]CRITERIOS!$M$92)+((_xlfn.XLOOKUP(A363,'[1]DATOS PBI Artículos'!$A$4:$A$4,'[1]DATOS PBI Artículos'!$AA$4:$AA$4)/2)*([1]CRITERIOS!$M$95+[1]CRITERIOS!$M$98)))/N363)</f>
        <v>#N/A</v>
      </c>
      <c r="AE363" s="39" t="e">
        <f>IF($R363="MTO","",
IF($H363=0,ROUNDUP(((_xlfn.XLOOKUP($A363,'[1]DATOS PBI Artículos'!$A:$A,'[1]DATOS PBI Artículos'!$AL:$AL))/(_xlfn.XLOOKUP($AF$1,[1]CRITERIOS!$S$16:$S$39,[1]CRITERIOS!$Y$16:$Y$39))*$J363+$Z363)/$G363,0)*$G363,
((_xlfn.XLOOKUP($A363,'[1]DATOS PBI Artículos'!$A:$A,'[1]DATOS PBI Artículos'!$AL:$AL))/(_xlfn.XLOOKUP($AF$1,[1]CRITERIOS!$S$16:$S$39,[1]CRITERIOS!$Y$16:$Y$39))*$J363+$Z363)))</f>
        <v>#N/A</v>
      </c>
      <c r="AG363" s="39" t="e">
        <f>IF($R363="MTO","",
IF($H363=0,ROUNDUP(((_xlfn.XLOOKUP($A363,'[1]DATOS PBI Artículos'!$A:$A,'[1]DATOS PBI Artículos'!$AM:$AM))/(_xlfn.XLOOKUP($AH$1,[1]CRITERIOS!$S$16:$S$39,[1]CRITERIOS!$Y$16:$Y$39))*$J363+$Z363)/$G363,0)*$G363,
((_xlfn.XLOOKUP($A363,'[1]DATOS PBI Artículos'!$A:$A,'[1]DATOS PBI Artículos'!$AM:$AM))/(_xlfn.XLOOKUP($AH$1,[1]CRITERIOS!$S$16:$S$39,[1]CRITERIOS!$Y$16:$Y$39))*$J363+$Z363)))</f>
        <v>#N/A</v>
      </c>
      <c r="AI363" s="39" t="e">
        <f>IF($R363="MTO","",
IF($H363=0,ROUNDUP(((_xlfn.XLOOKUP($A363,'[1]DATOS PBI Artículos'!$A:$A,'[1]DATOS PBI Artículos'!$AN:$AN))/(_xlfn.XLOOKUP($AJ$1,[1]CRITERIOS!$S$16:$S$39,[1]CRITERIOS!$Y$16:$Y$39))*$J363+$Z363)/$G363,0)*$G363,
((_xlfn.XLOOKUP($A363,'[1]DATOS PBI Artículos'!$A:$A,'[1]DATOS PBI Artículos'!$AN:$AN))/(_xlfn.XLOOKUP($AJ$1,[1]CRITERIOS!$S$16:$S$39,[1]CRITERIOS!$Y$16:$Y$39))*$J363+$Z363)))</f>
        <v>#N/A</v>
      </c>
      <c r="AK363" s="39" t="e">
        <f>IF($R363="MTO","",
IF($H363=0,ROUNDUP(((_xlfn.XLOOKUP($A363,'[1]DATOS PBI Artículos'!$A:$A,'[1]DATOS PBI Artículos'!$AO:$AO))/(_xlfn.XLOOKUP($AL$1,[1]CRITERIOS!$S$16:$S$39,[1]CRITERIOS!$Y$16:$Y$39))*$J363+$Z363)/$G363,0)*$G363,
((_xlfn.XLOOKUP($A363,'[1]DATOS PBI Artículos'!$A:$A,'[1]DATOS PBI Artículos'!$AO:$AO))/(_xlfn.XLOOKUP($AL$1,[1]CRITERIOS!$S$16:$S$39,[1]CRITERIOS!$Y$16:$Y$39))*$J363+$Z363)))</f>
        <v>#N/A</v>
      </c>
    </row>
    <row r="364" spans="1:37" ht="25.8" hidden="1" x14ac:dyDescent="0.4">
      <c r="A364" s="41"/>
      <c r="B364" s="33">
        <f>_xlfn.XLOOKUP($A364,'[1]DATOS PBI Artículos'!A:A,'[1]DATOS PBI Artículos'!B:B)</f>
        <v>0</v>
      </c>
      <c r="C364" s="33">
        <f>_xlfn.XLOOKUP($A364,'[1]DATOS PBI Artículos'!A:A,'[1]DATOS PBI Artículos'!C:C)</f>
        <v>0</v>
      </c>
      <c r="D364" s="33">
        <f>_xlfn.XLOOKUP(A364,'[1]DATOS PBI Artículos'!A:A,'[1]DATOS PBI Artículos'!T:T)</f>
        <v>0</v>
      </c>
      <c r="E364" s="34">
        <f>IF(_xlfn.XLOOKUP($A364,'[1]DATOS PBI Artículos'!A:A,'[1]DATOS PBI Artículos'!AK:AK)="",_xlfn.XLOOKUP($A364,'[1]DATOS PBI Artículos'!A:A,'[1]DATOS PBI Artículos'!AJ:AJ),_xlfn.XLOOKUP($A364,'[1]DATOS PBI Artículos'!A:A,'[1]DATOS PBI Artículos'!AK:AK))</f>
        <v>0</v>
      </c>
      <c r="F364" s="35">
        <f>_xlfn.XLOOKUP($A364,'[1]DATOS PBI Artículos'!A:A,'[1]DATOS PBI Artículos'!AP:AP)</f>
        <v>0</v>
      </c>
      <c r="G364" s="34">
        <f>_xlfn.XLOOKUP($A364,'[1]DATOS PBI Artículos'!A:A,'[1]DATOS PBI Artículos'!AR:AR)</f>
        <v>0</v>
      </c>
      <c r="H364" s="34">
        <f>_xlfn.XLOOKUP($A364,'[1]DATOS PBI Artículos'!A:A,'[1]DATOS PBI Artículos'!AT:AT)</f>
        <v>0</v>
      </c>
      <c r="I364" s="34">
        <f>_xlfn.XLOOKUP($A364,'[1]DATOS PBI Artículos'!A:A,'[1]DATOS PBI Artículos'!AS:AS)</f>
        <v>0</v>
      </c>
      <c r="J364" s="35">
        <f>IF(COUNTIF([1]CRITERIOS!$F$179:$F$199,$A364)&gt;=1,
 IF(O364&lt;&gt;"",
    (O364/_xlfn.XLOOKUP(CONCATENATE(A364,L364),[1]MÁQUINAS!A:A,[1]MÁQUINAS!D:D))/24,
    (N364/_xlfn.XLOOKUP(CONCATENATE(A364,L364),[1]MÁQUINAS!A:A,[1]MÁQUINAS!D:D))/24),
  _xlfn.XLOOKUP($A364,'[1]DATOS PBI Artículos'!A:A,'[1]DATOS PBI Artículos'!AU:AU))</f>
        <v>0</v>
      </c>
      <c r="K364" s="36">
        <f>_xlfn.XLOOKUP($A364,'[1]DATOS PBI Artículos'!A:A,'[1]DATOS PBI Artículos'!AV:AV)</f>
        <v>0</v>
      </c>
      <c r="L364" s="33">
        <f>_xlfn.XLOOKUP(A364,[1]MÁQUINAS!B:B,[1]MÁQUINAS!C:C)</f>
        <v>0</v>
      </c>
      <c r="M364" s="34">
        <f t="array" ref="M364">_xlfn.XLOOKUP(A364,'[1]DATOS PBI Artículos'!A:A,'[1]DATOS PBI Artículos'!AX:$AX)</f>
        <v>0</v>
      </c>
      <c r="N364" s="37" t="e">
        <f>IF(I364="DV",
E364,
IF(COUNTIF([1]CRITERIOS!$I$179:$I$199,$A364)&gt;=1,
_xlfn.XLOOKUP($A364,[1]CRITERIOS!$I$179:$I$199,[1]CRITERIOS!$J$179:$J$199),
IF(COUNTIF([1]CRITERIOS!$L$179:$L$199,$A364)&gt;=1,
_xlfn.CEILING.MATH(IF($M364&gt;$E364,
$E364,
IF($M364&lt;$E364/ROUNDDOWN([1]CRITERIOS!$M$16/_xlfn.XLOOKUP($C364,[1]CRITERIOS!$K$25:$K$42,[1]CRITERIOS!$M$25:$M$42),
1),
E364/ROUNDDOWN([1]CRITERIOS!$M$16/_xlfn.XLOOKUP($C364,[1]CRITERIOS!$K$25:$K$42,[1]CRITERIOS!$M$25:$M$42),
1),
$M364)),
_xlfn.XLOOKUP($A364,[1]CRITERIOS!$L$179:$L$200,[1]CRITERIOS!$M$179:$M$200)),
_xlfn.CEILING.MATH(IF($M364&gt;$E364,
$E364,
IF($M364&lt;$E364/ROUNDDOWN([1]CRITERIOS!$M$16/_xlfn.XLOOKUP($C364,[1]CRITERIOS!$K$25:$K$42,[1]CRITERIOS!$M$25:$M$42),
1),
E364/ROUNDDOWN([1]CRITERIOS!$M$16/_xlfn.XLOOKUP($C364,[1]CRITERIOS!$K$25:$K$42,[1]CRITERIOS!$M$25:$M$42),
1),
$M364)),_xlfn.XLOOKUP(A364,'[1]DATOS PBI Artículos'!A:A,'[1]DATOS PBI Artículos'!Z:Z
)))))</f>
        <v>#N/A</v>
      </c>
      <c r="Q364" s="38" t="e">
        <f>IF(AND(O364="",N364=0),
0,
   IF(COUNTIF([1]CRITERIOS!$F$179:$F$199,$A364)&gt;=1,
   1,
   IF(R364="MTO",
      $D364,
      ROUNDUP(
                    IF(($E364-SUMIF('[1]DATOS PBI Artículos'!A:A,A364,'[1]DATOS PBI Artículos'!X:X)+($V364-_xlfn.XLOOKUP(A364,'[1]DATOS PBI Artículos'!A:A,'[1]DATOS PBI Artículos'!W:W)))&lt;0,
                    0,
                    IF(($E364-SUMIF('[1]DATOS PBI Artículos'!A:A,A364,'[1]DATOS PBI Artículos'!X:X)+$V364-_xlfn.XLOOKUP($A364,'[1]DATOS PBI Artículos'!A:A,'[1]DATOS PBI Artículos'!W:W))/IF($O364="",$N364,$O364)&gt;ROUNDUP([1]CRITERIOS!$M$16/(IF(COUNTIF([1]CRITERIOS!$BG$11:$BG$201,L364)&gt;=1,_xlfn.XLOOKUP($C364,[1]CRITERIOS!$K$25:$K$42,[1]CRITERIOS!$M$25:$M$42),_xlfn.XLOOKUP($C364,[1]CRITERIOS!$K$25:$K$42,[1]CRITERIOS!$M$25:$M$42))),0),
                    ROUNDUP([1]CRITERIOS!$M$16/(IF(COUNTIF([1]CRITERIOS!$BG$11:$BG$201,$L364)&gt;=1,_xlfn.XLOOKUP($C364,[1]CRITERIOS!$K$25:$K$42,[1]CRITERIOS!$M$25:$M$42),_xlfn.XLOOKUP($C364,[1]CRITERIOS!$K$25:$K$42,[1]CRITERIOS!$M$25:$M$42))),0),
                    (E364+V364-SUMIF('[1]DATOS PBI Artículos'!A:A,A364,'[1]DATOS PBI Artículos'!X:X)-_xlfn.XLOOKUP(A364,'[1]DATOS PBI Artículos'!A:A,'[1]DATOS PBI Artículos'!W:W))/IF($O364="",$N364,$O364))),0))))</f>
        <v>#N/A</v>
      </c>
      <c r="R364" s="33" t="e">
        <f>IF(U364&lt;&gt;"",U364,IF(F364="DV","MTO",IF(N364=0,"MTO",_xlfn.XLOOKUP(CONCATENATE(S364,T364),[1]CRITERIOS!$K$160:$K$168,[1]CRITERIOS!$N$160:$N$168))))</f>
        <v>#N/A</v>
      </c>
      <c r="S364" s="33" t="e">
        <f>IF(G364="DV","MTO",IF(N364=0,"MTO",IF(OR(AND(N364=0,O364=""),IF(O364="",G364/N364,G364/O364)&gt;[1]CRITERIOS!$G$163),"MTO",IF(IF(O364="",G364/N364,G364/O364)&lt;[1]CRITERIOS!$H$161,"MTS","MTOS"))))</f>
        <v>#N/A</v>
      </c>
      <c r="T364" s="33" t="e">
        <f>IF(F364="DV","MTO",IF(OR(AND($N364=0,O364=""),$F364/$J364&gt;[1]CRITERIOS!$G$170,$F364="DV"),"MTO",IF($F364/$J364&lt;[1]CRITERIOS!$H$168,"MTS","MTOS")))</f>
        <v>#N/A</v>
      </c>
      <c r="V364" s="34" t="e">
        <f t="shared" si="19"/>
        <v>#N/A</v>
      </c>
      <c r="X364" s="34" t="e">
        <f t="shared" si="17"/>
        <v>#N/A</v>
      </c>
      <c r="Y364" s="34" t="e">
        <f t="shared" si="18"/>
        <v>#N/A</v>
      </c>
      <c r="Z364" s="34" t="e">
        <f>IF($R364="MTO",
0,
($H364+$K364*($E364/[1]CRITERIOS!$M$16))/[1]CRITERIOS!$X$48)</f>
        <v>#N/A</v>
      </c>
      <c r="AA364" s="34" t="e">
        <f>ROUNDUP(($Y364/_xlfn.XLOOKUP($A364,'[1]DATOS PBI Artículos'!$A$4:$A$4,'[1]DATOS PBI Artículos'!$Z$4:$Z$4))/_xlfn.XLOOKUP(_xlfn.XLOOKUP($A364,'[1]DATOS PBI Artículos'!$A$4:$A$4,'[1]DATOS PBI Artículos'!$Y$4:$Y$4),[1]CRITERIOS!$P$79:$P$123,[1]CRITERIOS!$S$79:$S$123,),0)</f>
        <v>#N/A</v>
      </c>
      <c r="AB364" s="33" t="e">
        <f t="array" ref="AB364">IF((E364+V364-_xlfn.XLOOKUP(A364,'[1]DATOS PBI Artículos'!$A$4:$A$4,'[1]DATOS PBI Artículos'!$W$4:$W$4))/N364&gt;ROUNDUP([1]CRITERIOS!$M$16/(IF(COUNTIF([1]CRITERIOS!$BG$11:$BG$201,L364)&gt;=1,_xlfn.XLOOKUP(ARTÍCULOS!L364,[1]CRITERIOS!$BG$11:$BG$201,[1]CRITERIOS!$BJ$11:$BJ$201),_xlfn.XLOOKUP(ARTÍCULOS!C364,[1]CRITERIOS!$K$25:$K$42,[1]CRITERIOS!$M$25:$M$42))),0),ROUNDUP([1]CRITERIOS!$M$16/(IF(COUNTIF([1]CRITERIOS!$BG$11:$BG$201,L364)&gt;=1,_xlfn.XLOOKUP(ARTÍCULOS!L364,[1]CRITERIOS!$BG$11:$BG$201:#REF!,[1]CRITERIOS!$BJ$11:$BJ$201),_xlfn.XLOOKUP(ARTÍCULOS!C364,[1]CRITERIOS!$K$25:$K$42,[1]CRITERIOS!$M$25:$M$42))),0),(E364+V364-_xlfn.XLOOKUP(A364,'[1]DATOS PBI Artículos'!$A$4:$A$4,'[1]DATOS PBI Artículos'!$W$4:$W$4))/N364)</f>
        <v>#N/A</v>
      </c>
      <c r="AC364" s="33" t="e">
        <f>IF(N364=0,"",(ROUNDUP((N364/2)/(_xlfn.XLOOKUP(A364,'[1]DATOS PBI Artículos'!$A$4:$A$4,'[1]DATOS PBI Artículos'!$Z$4:$Z$4)*_xlfn.XLOOKUP(_xlfn.XLOOKUP(A364,'[1]DATOS PBI Artículos'!$A$4:$A$4,'[1]DATOS PBI Artículos'!$Y$4:$Y$4),[1]CRITERIOS!$P$79:$P$123,[1]CRITERIOS!$S$79:$S$123)),0)*[1]CRITERIOS!$M$80*([1]CRITERIOS!$M$110/[1]CRITERIOS!$M$86)+(_xlfn.XLOOKUP(A364,'[1]DATOS PBI Artículos'!$A$4:$A$4,'[1]DATOS PBI Artículos'!$AA$4:$AA$4)*([1]CRITERIOS!$M$95+[1]CRITERIOS!$M$98)))/N364)</f>
        <v>#N/A</v>
      </c>
      <c r="AD364" s="33" t="e">
        <f>IF(N364=0,"",(ROUNDUP((N364/2)/(_xlfn.XLOOKUP(A364,'[1]DATOS PBI Artículos'!$A$4:$A$4,'[1]DATOS PBI Artículos'!$Z$4:$Z$4)*_xlfn.XLOOKUP(_xlfn.XLOOKUP(A364,'[1]DATOS PBI Artículos'!$A$4:$A$4,'[1]DATOS PBI Artículos'!$Y$4:$Y$4),[1]CRITERIOS!$P$79:$P$123,[1]CRITERIOS!$S$79:$S$123)),0)*[1]CRITERIOS!$M$80*([1]CRITERIOS!$M$89*[1]CRITERIOS!$M$92)+((_xlfn.XLOOKUP(A364,'[1]DATOS PBI Artículos'!$A$4:$A$4,'[1]DATOS PBI Artículos'!$AA$4:$AA$4)/2)*([1]CRITERIOS!$M$95+[1]CRITERIOS!$M$98)))/N364)</f>
        <v>#N/A</v>
      </c>
      <c r="AE364" s="39" t="e">
        <f>IF($R364="MTO","",
IF($H364=0,ROUNDUP(((_xlfn.XLOOKUP($A364,'[1]DATOS PBI Artículos'!$A:$A,'[1]DATOS PBI Artículos'!$AL:$AL))/(_xlfn.XLOOKUP($AF$1,[1]CRITERIOS!$S$16:$S$39,[1]CRITERIOS!$Y$16:$Y$39))*$J364+$Z364)/$G364,0)*$G364,
((_xlfn.XLOOKUP($A364,'[1]DATOS PBI Artículos'!$A:$A,'[1]DATOS PBI Artículos'!$AL:$AL))/(_xlfn.XLOOKUP($AF$1,[1]CRITERIOS!$S$16:$S$39,[1]CRITERIOS!$Y$16:$Y$39))*$J364+$Z364)))</f>
        <v>#N/A</v>
      </c>
      <c r="AG364" s="39" t="e">
        <f>IF($R364="MTO","",
IF($H364=0,ROUNDUP(((_xlfn.XLOOKUP($A364,'[1]DATOS PBI Artículos'!$A:$A,'[1]DATOS PBI Artículos'!$AM:$AM))/(_xlfn.XLOOKUP($AH$1,[1]CRITERIOS!$S$16:$S$39,[1]CRITERIOS!$Y$16:$Y$39))*$J364+$Z364)/$G364,0)*$G364,
((_xlfn.XLOOKUP($A364,'[1]DATOS PBI Artículos'!$A:$A,'[1]DATOS PBI Artículos'!$AM:$AM))/(_xlfn.XLOOKUP($AH$1,[1]CRITERIOS!$S$16:$S$39,[1]CRITERIOS!$Y$16:$Y$39))*$J364+$Z364)))</f>
        <v>#N/A</v>
      </c>
      <c r="AI364" s="39" t="e">
        <f>IF($R364="MTO","",
IF($H364=0,ROUNDUP(((_xlfn.XLOOKUP($A364,'[1]DATOS PBI Artículos'!$A:$A,'[1]DATOS PBI Artículos'!$AN:$AN))/(_xlfn.XLOOKUP($AJ$1,[1]CRITERIOS!$S$16:$S$39,[1]CRITERIOS!$Y$16:$Y$39))*$J364+$Z364)/$G364,0)*$G364,
((_xlfn.XLOOKUP($A364,'[1]DATOS PBI Artículos'!$A:$A,'[1]DATOS PBI Artículos'!$AN:$AN))/(_xlfn.XLOOKUP($AJ$1,[1]CRITERIOS!$S$16:$S$39,[1]CRITERIOS!$Y$16:$Y$39))*$J364+$Z364)))</f>
        <v>#N/A</v>
      </c>
      <c r="AK364" s="39" t="e">
        <f>IF($R364="MTO","",
IF($H364=0,ROUNDUP(((_xlfn.XLOOKUP($A364,'[1]DATOS PBI Artículos'!$A:$A,'[1]DATOS PBI Artículos'!$AO:$AO))/(_xlfn.XLOOKUP($AL$1,[1]CRITERIOS!$S$16:$S$39,[1]CRITERIOS!$Y$16:$Y$39))*$J364+$Z364)/$G364,0)*$G364,
((_xlfn.XLOOKUP($A364,'[1]DATOS PBI Artículos'!$A:$A,'[1]DATOS PBI Artículos'!$AO:$AO))/(_xlfn.XLOOKUP($AL$1,[1]CRITERIOS!$S$16:$S$39,[1]CRITERIOS!$Y$16:$Y$39))*$J364+$Z364)))</f>
        <v>#N/A</v>
      </c>
    </row>
    <row r="365" spans="1:37" ht="25.8" hidden="1" x14ac:dyDescent="0.4">
      <c r="A365" s="41"/>
      <c r="B365" s="33">
        <f>_xlfn.XLOOKUP($A365,'[1]DATOS PBI Artículos'!A:A,'[1]DATOS PBI Artículos'!B:B)</f>
        <v>0</v>
      </c>
      <c r="C365" s="33">
        <f>_xlfn.XLOOKUP($A365,'[1]DATOS PBI Artículos'!A:A,'[1]DATOS PBI Artículos'!C:C)</f>
        <v>0</v>
      </c>
      <c r="D365" s="33">
        <f>_xlfn.XLOOKUP(A365,'[1]DATOS PBI Artículos'!A:A,'[1]DATOS PBI Artículos'!T:T)</f>
        <v>0</v>
      </c>
      <c r="E365" s="34">
        <f>IF(_xlfn.XLOOKUP($A365,'[1]DATOS PBI Artículos'!A:A,'[1]DATOS PBI Artículos'!AK:AK)="",_xlfn.XLOOKUP($A365,'[1]DATOS PBI Artículos'!A:A,'[1]DATOS PBI Artículos'!AJ:AJ),_xlfn.XLOOKUP($A365,'[1]DATOS PBI Artículos'!A:A,'[1]DATOS PBI Artículos'!AK:AK))</f>
        <v>0</v>
      </c>
      <c r="F365" s="35">
        <f>_xlfn.XLOOKUP($A365,'[1]DATOS PBI Artículos'!A:A,'[1]DATOS PBI Artículos'!AP:AP)</f>
        <v>0</v>
      </c>
      <c r="G365" s="34">
        <f>_xlfn.XLOOKUP($A365,'[1]DATOS PBI Artículos'!A:A,'[1]DATOS PBI Artículos'!AR:AR)</f>
        <v>0</v>
      </c>
      <c r="H365" s="34">
        <f>_xlfn.XLOOKUP($A365,'[1]DATOS PBI Artículos'!A:A,'[1]DATOS PBI Artículos'!AT:AT)</f>
        <v>0</v>
      </c>
      <c r="I365" s="34">
        <f>_xlfn.XLOOKUP($A365,'[1]DATOS PBI Artículos'!A:A,'[1]DATOS PBI Artículos'!AS:AS)</f>
        <v>0</v>
      </c>
      <c r="J365" s="35">
        <f>IF(COUNTIF([1]CRITERIOS!$F$179:$F$199,$A365)&gt;=1,
 IF(O365&lt;&gt;"",
    (O365/_xlfn.XLOOKUP(CONCATENATE(A365,L365),[1]MÁQUINAS!A:A,[1]MÁQUINAS!D:D))/24,
    (N365/_xlfn.XLOOKUP(CONCATENATE(A365,L365),[1]MÁQUINAS!A:A,[1]MÁQUINAS!D:D))/24),
  _xlfn.XLOOKUP($A365,'[1]DATOS PBI Artículos'!A:A,'[1]DATOS PBI Artículos'!AU:AU))</f>
        <v>0</v>
      </c>
      <c r="K365" s="36">
        <f>_xlfn.XLOOKUP($A365,'[1]DATOS PBI Artículos'!A:A,'[1]DATOS PBI Artículos'!AV:AV)</f>
        <v>0</v>
      </c>
      <c r="L365" s="33">
        <f>_xlfn.XLOOKUP(A365,[1]MÁQUINAS!B:B,[1]MÁQUINAS!C:C)</f>
        <v>0</v>
      </c>
      <c r="M365" s="34">
        <f t="array" ref="M365">_xlfn.XLOOKUP(A365,'[1]DATOS PBI Artículos'!A:A,'[1]DATOS PBI Artículos'!AX:$AX)</f>
        <v>0</v>
      </c>
      <c r="N365" s="37" t="e">
        <f>IF(I365="DV",
E365,
IF(COUNTIF([1]CRITERIOS!$I$179:$I$199,$A365)&gt;=1,
_xlfn.XLOOKUP($A365,[1]CRITERIOS!$I$179:$I$199,[1]CRITERIOS!$J$179:$J$199),
IF(COUNTIF([1]CRITERIOS!$L$179:$L$199,$A365)&gt;=1,
_xlfn.CEILING.MATH(IF($M365&gt;$E365,
$E365,
IF($M365&lt;$E365/ROUNDDOWN([1]CRITERIOS!$M$16/_xlfn.XLOOKUP($C365,[1]CRITERIOS!$K$25:$K$42,[1]CRITERIOS!$M$25:$M$42),
1),
E365/ROUNDDOWN([1]CRITERIOS!$M$16/_xlfn.XLOOKUP($C365,[1]CRITERIOS!$K$25:$K$42,[1]CRITERIOS!$M$25:$M$42),
1),
$M365)),
_xlfn.XLOOKUP($A365,[1]CRITERIOS!$L$179:$L$200,[1]CRITERIOS!$M$179:$M$200)),
_xlfn.CEILING.MATH(IF($M365&gt;$E365,
$E365,
IF($M365&lt;$E365/ROUNDDOWN([1]CRITERIOS!$M$16/_xlfn.XLOOKUP($C365,[1]CRITERIOS!$K$25:$K$42,[1]CRITERIOS!$M$25:$M$42),
1),
E365/ROUNDDOWN([1]CRITERIOS!$M$16/_xlfn.XLOOKUP($C365,[1]CRITERIOS!$K$25:$K$42,[1]CRITERIOS!$M$25:$M$42),
1),
$M365)),_xlfn.XLOOKUP(A365,'[1]DATOS PBI Artículos'!A:A,'[1]DATOS PBI Artículos'!Z:Z
)))))</f>
        <v>#N/A</v>
      </c>
      <c r="Q365" s="38" t="e">
        <f>IF(AND(O365="",N365=0),
0,
   IF(COUNTIF([1]CRITERIOS!$F$179:$F$199,$A365)&gt;=1,
   1,
   IF(R365="MTO",
      $D365,
      ROUNDUP(
                    IF(($E365-SUMIF('[1]DATOS PBI Artículos'!A:A,A365,'[1]DATOS PBI Artículos'!X:X)+($V365-_xlfn.XLOOKUP(A365,'[1]DATOS PBI Artículos'!A:A,'[1]DATOS PBI Artículos'!W:W)))&lt;0,
                    0,
                    IF(($E365-SUMIF('[1]DATOS PBI Artículos'!A:A,A365,'[1]DATOS PBI Artículos'!X:X)+$V365-_xlfn.XLOOKUP($A365,'[1]DATOS PBI Artículos'!A:A,'[1]DATOS PBI Artículos'!W:W))/IF($O365="",$N365,$O365)&gt;ROUNDUP([1]CRITERIOS!$M$16/(IF(COUNTIF([1]CRITERIOS!$BG$11:$BG$201,L365)&gt;=1,_xlfn.XLOOKUP($C365,[1]CRITERIOS!$K$25:$K$42,[1]CRITERIOS!$M$25:$M$42),_xlfn.XLOOKUP($C365,[1]CRITERIOS!$K$25:$K$42,[1]CRITERIOS!$M$25:$M$42))),0),
                    ROUNDUP([1]CRITERIOS!$M$16/(IF(COUNTIF([1]CRITERIOS!$BG$11:$BG$201,$L365)&gt;=1,_xlfn.XLOOKUP($C365,[1]CRITERIOS!$K$25:$K$42,[1]CRITERIOS!$M$25:$M$42),_xlfn.XLOOKUP($C365,[1]CRITERIOS!$K$25:$K$42,[1]CRITERIOS!$M$25:$M$42))),0),
                    (E365+V365-SUMIF('[1]DATOS PBI Artículos'!A:A,A365,'[1]DATOS PBI Artículos'!X:X)-_xlfn.XLOOKUP(A365,'[1]DATOS PBI Artículos'!A:A,'[1]DATOS PBI Artículos'!W:W))/IF($O365="",$N365,$O365))),0))))</f>
        <v>#N/A</v>
      </c>
      <c r="R365" s="33" t="e">
        <f>IF(U365&lt;&gt;"",U365,IF(F365="DV","MTO",IF(N365=0,"MTO",_xlfn.XLOOKUP(CONCATENATE(S365,T365),[1]CRITERIOS!$K$160:$K$168,[1]CRITERIOS!$N$160:$N$168))))</f>
        <v>#N/A</v>
      </c>
      <c r="S365" s="33" t="e">
        <f>IF(G365="DV","MTO",IF(N365=0,"MTO",IF(OR(AND(N365=0,O365=""),IF(O365="",G365/N365,G365/O365)&gt;[1]CRITERIOS!$G$163),"MTO",IF(IF(O365="",G365/N365,G365/O365)&lt;[1]CRITERIOS!$H$161,"MTS","MTOS"))))</f>
        <v>#N/A</v>
      </c>
      <c r="T365" s="33" t="e">
        <f>IF(F365="DV","MTO",IF(OR(AND($N365=0,O365=""),$F365/$J365&gt;[1]CRITERIOS!$G$170,$F365="DV"),"MTO",IF($F365/$J365&lt;[1]CRITERIOS!$H$168,"MTS","MTOS")))</f>
        <v>#N/A</v>
      </c>
      <c r="V365" s="34" t="e">
        <f t="shared" si="19"/>
        <v>#N/A</v>
      </c>
      <c r="X365" s="34" t="e">
        <f t="shared" si="17"/>
        <v>#N/A</v>
      </c>
      <c r="Y365" s="34" t="e">
        <f t="shared" si="18"/>
        <v>#N/A</v>
      </c>
      <c r="Z365" s="34" t="e">
        <f>IF($R365="MTO",
0,
($H365+$K365*($E365/[1]CRITERIOS!$M$16))/[1]CRITERIOS!$X$48)</f>
        <v>#N/A</v>
      </c>
      <c r="AA365" s="34" t="e">
        <f>ROUNDUP(($Y365/_xlfn.XLOOKUP($A365,'[1]DATOS PBI Artículos'!$A$4:$A$4,'[1]DATOS PBI Artículos'!$Z$4:$Z$4))/_xlfn.XLOOKUP(_xlfn.XLOOKUP($A365,'[1]DATOS PBI Artículos'!$A$4:$A$4,'[1]DATOS PBI Artículos'!$Y$4:$Y$4),[1]CRITERIOS!$P$79:$P$123,[1]CRITERIOS!$S$79:$S$123,),0)</f>
        <v>#N/A</v>
      </c>
      <c r="AB365" s="33" t="e">
        <f t="array" ref="AB365">IF((E365+V365-_xlfn.XLOOKUP(A365,'[1]DATOS PBI Artículos'!$A$4:$A$4,'[1]DATOS PBI Artículos'!$W$4:$W$4))/N365&gt;ROUNDUP([1]CRITERIOS!$M$16/(IF(COUNTIF([1]CRITERIOS!$BG$11:$BG$201,L365)&gt;=1,_xlfn.XLOOKUP(ARTÍCULOS!L365,[1]CRITERIOS!$BG$11:$BG$201,[1]CRITERIOS!$BJ$11:$BJ$201),_xlfn.XLOOKUP(ARTÍCULOS!C365,[1]CRITERIOS!$K$25:$K$42,[1]CRITERIOS!$M$25:$M$42))),0),ROUNDUP([1]CRITERIOS!$M$16/(IF(COUNTIF([1]CRITERIOS!$BG$11:$BG$201,L365)&gt;=1,_xlfn.XLOOKUP(ARTÍCULOS!L365,[1]CRITERIOS!$BG$11:$BG$201:#REF!,[1]CRITERIOS!$BJ$11:$BJ$201),_xlfn.XLOOKUP(ARTÍCULOS!C365,[1]CRITERIOS!$K$25:$K$42,[1]CRITERIOS!$M$25:$M$42))),0),(E365+V365-_xlfn.XLOOKUP(A365,'[1]DATOS PBI Artículos'!$A$4:$A$4,'[1]DATOS PBI Artículos'!$W$4:$W$4))/N365)</f>
        <v>#N/A</v>
      </c>
      <c r="AC365" s="33" t="e">
        <f>IF(N365=0,"",(ROUNDUP((N365/2)/(_xlfn.XLOOKUP(A365,'[1]DATOS PBI Artículos'!$A$4:$A$4,'[1]DATOS PBI Artículos'!$Z$4:$Z$4)*_xlfn.XLOOKUP(_xlfn.XLOOKUP(A365,'[1]DATOS PBI Artículos'!$A$4:$A$4,'[1]DATOS PBI Artículos'!$Y$4:$Y$4),[1]CRITERIOS!$P$79:$P$123,[1]CRITERIOS!$S$79:$S$123)),0)*[1]CRITERIOS!$M$80*([1]CRITERIOS!$M$110/[1]CRITERIOS!$M$86)+(_xlfn.XLOOKUP(A365,'[1]DATOS PBI Artículos'!$A$4:$A$4,'[1]DATOS PBI Artículos'!$AA$4:$AA$4)*([1]CRITERIOS!$M$95+[1]CRITERIOS!$M$98)))/N365)</f>
        <v>#N/A</v>
      </c>
      <c r="AD365" s="33" t="e">
        <f>IF(N365=0,"",(ROUNDUP((N365/2)/(_xlfn.XLOOKUP(A365,'[1]DATOS PBI Artículos'!$A$4:$A$4,'[1]DATOS PBI Artículos'!$Z$4:$Z$4)*_xlfn.XLOOKUP(_xlfn.XLOOKUP(A365,'[1]DATOS PBI Artículos'!$A$4:$A$4,'[1]DATOS PBI Artículos'!$Y$4:$Y$4),[1]CRITERIOS!$P$79:$P$123,[1]CRITERIOS!$S$79:$S$123)),0)*[1]CRITERIOS!$M$80*([1]CRITERIOS!$M$89*[1]CRITERIOS!$M$92)+((_xlfn.XLOOKUP(A365,'[1]DATOS PBI Artículos'!$A$4:$A$4,'[1]DATOS PBI Artículos'!$AA$4:$AA$4)/2)*([1]CRITERIOS!$M$95+[1]CRITERIOS!$M$98)))/N365)</f>
        <v>#N/A</v>
      </c>
      <c r="AE365" s="39" t="e">
        <f>IF($R365="MTO","",
IF($H365=0,ROUNDUP(((_xlfn.XLOOKUP($A365,'[1]DATOS PBI Artículos'!$A:$A,'[1]DATOS PBI Artículos'!$AL:$AL))/(_xlfn.XLOOKUP($AF$1,[1]CRITERIOS!$S$16:$S$39,[1]CRITERIOS!$Y$16:$Y$39))*$J365+$Z365)/$G365,0)*$G365,
((_xlfn.XLOOKUP($A365,'[1]DATOS PBI Artículos'!$A:$A,'[1]DATOS PBI Artículos'!$AL:$AL))/(_xlfn.XLOOKUP($AF$1,[1]CRITERIOS!$S$16:$S$39,[1]CRITERIOS!$Y$16:$Y$39))*$J365+$Z365)))</f>
        <v>#N/A</v>
      </c>
      <c r="AG365" s="39" t="e">
        <f>IF($R365="MTO","",
IF($H365=0,ROUNDUP(((_xlfn.XLOOKUP($A365,'[1]DATOS PBI Artículos'!$A:$A,'[1]DATOS PBI Artículos'!$AM:$AM))/(_xlfn.XLOOKUP($AH$1,[1]CRITERIOS!$S$16:$S$39,[1]CRITERIOS!$Y$16:$Y$39))*$J365+$Z365)/$G365,0)*$G365,
((_xlfn.XLOOKUP($A365,'[1]DATOS PBI Artículos'!$A:$A,'[1]DATOS PBI Artículos'!$AM:$AM))/(_xlfn.XLOOKUP($AH$1,[1]CRITERIOS!$S$16:$S$39,[1]CRITERIOS!$Y$16:$Y$39))*$J365+$Z365)))</f>
        <v>#N/A</v>
      </c>
      <c r="AI365" s="39" t="e">
        <f>IF($R365="MTO","",
IF($H365=0,ROUNDUP(((_xlfn.XLOOKUP($A365,'[1]DATOS PBI Artículos'!$A:$A,'[1]DATOS PBI Artículos'!$AN:$AN))/(_xlfn.XLOOKUP($AJ$1,[1]CRITERIOS!$S$16:$S$39,[1]CRITERIOS!$Y$16:$Y$39))*$J365+$Z365)/$G365,0)*$G365,
((_xlfn.XLOOKUP($A365,'[1]DATOS PBI Artículos'!$A:$A,'[1]DATOS PBI Artículos'!$AN:$AN))/(_xlfn.XLOOKUP($AJ$1,[1]CRITERIOS!$S$16:$S$39,[1]CRITERIOS!$Y$16:$Y$39))*$J365+$Z365)))</f>
        <v>#N/A</v>
      </c>
      <c r="AK365" s="39" t="e">
        <f>IF($R365="MTO","",
IF($H365=0,ROUNDUP(((_xlfn.XLOOKUP($A365,'[1]DATOS PBI Artículos'!$A:$A,'[1]DATOS PBI Artículos'!$AO:$AO))/(_xlfn.XLOOKUP($AL$1,[1]CRITERIOS!$S$16:$S$39,[1]CRITERIOS!$Y$16:$Y$39))*$J365+$Z365)/$G365,0)*$G365,
((_xlfn.XLOOKUP($A365,'[1]DATOS PBI Artículos'!$A:$A,'[1]DATOS PBI Artículos'!$AO:$AO))/(_xlfn.XLOOKUP($AL$1,[1]CRITERIOS!$S$16:$S$39,[1]CRITERIOS!$Y$16:$Y$39))*$J365+$Z365)))</f>
        <v>#N/A</v>
      </c>
    </row>
    <row r="366" spans="1:37" ht="25.8" hidden="1" x14ac:dyDescent="0.4">
      <c r="A366" s="41"/>
      <c r="B366" s="33">
        <f>_xlfn.XLOOKUP($A366,'[1]DATOS PBI Artículos'!A:A,'[1]DATOS PBI Artículos'!B:B)</f>
        <v>0</v>
      </c>
      <c r="C366" s="33">
        <f>_xlfn.XLOOKUP($A366,'[1]DATOS PBI Artículos'!A:A,'[1]DATOS PBI Artículos'!C:C)</f>
        <v>0</v>
      </c>
      <c r="D366" s="33">
        <f>_xlfn.XLOOKUP(A366,'[1]DATOS PBI Artículos'!A:A,'[1]DATOS PBI Artículos'!T:T)</f>
        <v>0</v>
      </c>
      <c r="E366" s="34">
        <f>IF(_xlfn.XLOOKUP($A366,'[1]DATOS PBI Artículos'!A:A,'[1]DATOS PBI Artículos'!AK:AK)="",_xlfn.XLOOKUP($A366,'[1]DATOS PBI Artículos'!A:A,'[1]DATOS PBI Artículos'!AJ:AJ),_xlfn.XLOOKUP($A366,'[1]DATOS PBI Artículos'!A:A,'[1]DATOS PBI Artículos'!AK:AK))</f>
        <v>0</v>
      </c>
      <c r="F366" s="35">
        <f>_xlfn.XLOOKUP($A366,'[1]DATOS PBI Artículos'!A:A,'[1]DATOS PBI Artículos'!AP:AP)</f>
        <v>0</v>
      </c>
      <c r="G366" s="34">
        <f>_xlfn.XLOOKUP($A366,'[1]DATOS PBI Artículos'!A:A,'[1]DATOS PBI Artículos'!AR:AR)</f>
        <v>0</v>
      </c>
      <c r="H366" s="34">
        <f>_xlfn.XLOOKUP($A366,'[1]DATOS PBI Artículos'!A:A,'[1]DATOS PBI Artículos'!AT:AT)</f>
        <v>0</v>
      </c>
      <c r="I366" s="34">
        <f>_xlfn.XLOOKUP($A366,'[1]DATOS PBI Artículos'!A:A,'[1]DATOS PBI Artículos'!AS:AS)</f>
        <v>0</v>
      </c>
      <c r="J366" s="35">
        <f>IF(COUNTIF([1]CRITERIOS!$F$179:$F$199,$A366)&gt;=1,
 IF(O366&lt;&gt;"",
    (O366/_xlfn.XLOOKUP(CONCATENATE(A366,L366),[1]MÁQUINAS!A:A,[1]MÁQUINAS!D:D))/24,
    (N366/_xlfn.XLOOKUP(CONCATENATE(A366,L366),[1]MÁQUINAS!A:A,[1]MÁQUINAS!D:D))/24),
  _xlfn.XLOOKUP($A366,'[1]DATOS PBI Artículos'!A:A,'[1]DATOS PBI Artículos'!AU:AU))</f>
        <v>0</v>
      </c>
      <c r="K366" s="36">
        <f>_xlfn.XLOOKUP($A366,'[1]DATOS PBI Artículos'!A:A,'[1]DATOS PBI Artículos'!AV:AV)</f>
        <v>0</v>
      </c>
      <c r="L366" s="33">
        <f>_xlfn.XLOOKUP(A366,[1]MÁQUINAS!B:B,[1]MÁQUINAS!C:C)</f>
        <v>0</v>
      </c>
      <c r="M366" s="34">
        <f t="array" ref="M366">_xlfn.XLOOKUP(A366,'[1]DATOS PBI Artículos'!A:A,'[1]DATOS PBI Artículos'!AX:$AX)</f>
        <v>0</v>
      </c>
      <c r="N366" s="37" t="e">
        <f>IF(I366="DV",
E366,
IF(COUNTIF([1]CRITERIOS!$I$179:$I$199,$A366)&gt;=1,
_xlfn.XLOOKUP($A366,[1]CRITERIOS!$I$179:$I$199,[1]CRITERIOS!$J$179:$J$199),
IF(COUNTIF([1]CRITERIOS!$L$179:$L$199,$A366)&gt;=1,
_xlfn.CEILING.MATH(IF($M366&gt;$E366,
$E366,
IF($M366&lt;$E366/ROUNDDOWN([1]CRITERIOS!$M$16/_xlfn.XLOOKUP($C366,[1]CRITERIOS!$K$25:$K$42,[1]CRITERIOS!$M$25:$M$42),
1),
E366/ROUNDDOWN([1]CRITERIOS!$M$16/_xlfn.XLOOKUP($C366,[1]CRITERIOS!$K$25:$K$42,[1]CRITERIOS!$M$25:$M$42),
1),
$M366)),
_xlfn.XLOOKUP($A366,[1]CRITERIOS!$L$179:$L$200,[1]CRITERIOS!$M$179:$M$200)),
_xlfn.CEILING.MATH(IF($M366&gt;$E366,
$E366,
IF($M366&lt;$E366/ROUNDDOWN([1]CRITERIOS!$M$16/_xlfn.XLOOKUP($C366,[1]CRITERIOS!$K$25:$K$42,[1]CRITERIOS!$M$25:$M$42),
1),
E366/ROUNDDOWN([1]CRITERIOS!$M$16/_xlfn.XLOOKUP($C366,[1]CRITERIOS!$K$25:$K$42,[1]CRITERIOS!$M$25:$M$42),
1),
$M366)),_xlfn.XLOOKUP(A366,'[1]DATOS PBI Artículos'!A:A,'[1]DATOS PBI Artículos'!Z:Z
)))))</f>
        <v>#N/A</v>
      </c>
      <c r="Q366" s="38" t="e">
        <f>IF(AND(O366="",N366=0),
0,
   IF(COUNTIF([1]CRITERIOS!$F$179:$F$199,$A366)&gt;=1,
   1,
   IF(R366="MTO",
      $D366,
      ROUNDUP(
                    IF(($E366-SUMIF('[1]DATOS PBI Artículos'!A:A,A366,'[1]DATOS PBI Artículos'!X:X)+($V366-_xlfn.XLOOKUP(A366,'[1]DATOS PBI Artículos'!A:A,'[1]DATOS PBI Artículos'!W:W)))&lt;0,
                    0,
                    IF(($E366-SUMIF('[1]DATOS PBI Artículos'!A:A,A366,'[1]DATOS PBI Artículos'!X:X)+$V366-_xlfn.XLOOKUP($A366,'[1]DATOS PBI Artículos'!A:A,'[1]DATOS PBI Artículos'!W:W))/IF($O366="",$N366,$O366)&gt;ROUNDUP([1]CRITERIOS!$M$16/(IF(COUNTIF([1]CRITERIOS!$BG$11:$BG$201,L366)&gt;=1,_xlfn.XLOOKUP($C366,[1]CRITERIOS!$K$25:$K$42,[1]CRITERIOS!$M$25:$M$42),_xlfn.XLOOKUP($C366,[1]CRITERIOS!$K$25:$K$42,[1]CRITERIOS!$M$25:$M$42))),0),
                    ROUNDUP([1]CRITERIOS!$M$16/(IF(COUNTIF([1]CRITERIOS!$BG$11:$BG$201,$L366)&gt;=1,_xlfn.XLOOKUP($C366,[1]CRITERIOS!$K$25:$K$42,[1]CRITERIOS!$M$25:$M$42),_xlfn.XLOOKUP($C366,[1]CRITERIOS!$K$25:$K$42,[1]CRITERIOS!$M$25:$M$42))),0),
                    (E366+V366-SUMIF('[1]DATOS PBI Artículos'!A:A,A366,'[1]DATOS PBI Artículos'!X:X)-_xlfn.XLOOKUP(A366,'[1]DATOS PBI Artículos'!A:A,'[1]DATOS PBI Artículos'!W:W))/IF($O366="",$N366,$O366))),0))))</f>
        <v>#N/A</v>
      </c>
      <c r="R366" s="33" t="e">
        <f>IF(U366&lt;&gt;"",U366,IF(F366="DV","MTO",IF(N366=0,"MTO",_xlfn.XLOOKUP(CONCATENATE(S366,T366),[1]CRITERIOS!$K$160:$K$168,[1]CRITERIOS!$N$160:$N$168))))</f>
        <v>#N/A</v>
      </c>
      <c r="S366" s="33" t="e">
        <f>IF(G366="DV","MTO",IF(N366=0,"MTO",IF(OR(AND(N366=0,O366=""),IF(O366="",G366/N366,G366/O366)&gt;[1]CRITERIOS!$G$163),"MTO",IF(IF(O366="",G366/N366,G366/O366)&lt;[1]CRITERIOS!$H$161,"MTS","MTOS"))))</f>
        <v>#N/A</v>
      </c>
      <c r="T366" s="33" t="e">
        <f>IF(F366="DV","MTO",IF(OR(AND($N366=0,O366=""),$F366/$J366&gt;[1]CRITERIOS!$G$170,$F366="DV"),"MTO",IF($F366/$J366&lt;[1]CRITERIOS!$H$168,"MTS","MTOS")))</f>
        <v>#N/A</v>
      </c>
      <c r="V366" s="34" t="e">
        <f t="shared" si="19"/>
        <v>#N/A</v>
      </c>
      <c r="X366" s="34" t="e">
        <f t="shared" si="17"/>
        <v>#N/A</v>
      </c>
      <c r="Y366" s="34" t="e">
        <f t="shared" si="18"/>
        <v>#N/A</v>
      </c>
      <c r="Z366" s="34" t="e">
        <f>IF($R366="MTO",
0,
($H366+$K366*($E366/[1]CRITERIOS!$M$16))/[1]CRITERIOS!$X$48)</f>
        <v>#N/A</v>
      </c>
      <c r="AA366" s="34" t="e">
        <f>ROUNDUP(($Y366/_xlfn.XLOOKUP($A366,'[1]DATOS PBI Artículos'!$A$4:$A$4,'[1]DATOS PBI Artículos'!$Z$4:$Z$4))/_xlfn.XLOOKUP(_xlfn.XLOOKUP($A366,'[1]DATOS PBI Artículos'!$A$4:$A$4,'[1]DATOS PBI Artículos'!$Y$4:$Y$4),[1]CRITERIOS!$P$79:$P$123,[1]CRITERIOS!$S$79:$S$123,),0)</f>
        <v>#N/A</v>
      </c>
      <c r="AB366" s="33" t="e">
        <f t="array" ref="AB366">IF((E366+V366-_xlfn.XLOOKUP(A366,'[1]DATOS PBI Artículos'!$A$4:$A$4,'[1]DATOS PBI Artículos'!$W$4:$W$4))/N366&gt;ROUNDUP([1]CRITERIOS!$M$16/(IF(COUNTIF([1]CRITERIOS!$BG$11:$BG$201,L366)&gt;=1,_xlfn.XLOOKUP(ARTÍCULOS!L366,[1]CRITERIOS!$BG$11:$BG$201,[1]CRITERIOS!$BJ$11:$BJ$201),_xlfn.XLOOKUP(ARTÍCULOS!C366,[1]CRITERIOS!$K$25:$K$42,[1]CRITERIOS!$M$25:$M$42))),0),ROUNDUP([1]CRITERIOS!$M$16/(IF(COUNTIF([1]CRITERIOS!$BG$11:$BG$201,L366)&gt;=1,_xlfn.XLOOKUP(ARTÍCULOS!L366,[1]CRITERIOS!$BG$11:$BG$201:#REF!,[1]CRITERIOS!$BJ$11:$BJ$201),_xlfn.XLOOKUP(ARTÍCULOS!C366,[1]CRITERIOS!$K$25:$K$42,[1]CRITERIOS!$M$25:$M$42))),0),(E366+V366-_xlfn.XLOOKUP(A366,'[1]DATOS PBI Artículos'!$A$4:$A$4,'[1]DATOS PBI Artículos'!$W$4:$W$4))/N366)</f>
        <v>#N/A</v>
      </c>
      <c r="AC366" s="33" t="e">
        <f>IF(N366=0,"",(ROUNDUP((N366/2)/(_xlfn.XLOOKUP(A366,'[1]DATOS PBI Artículos'!$A$4:$A$4,'[1]DATOS PBI Artículos'!$Z$4:$Z$4)*_xlfn.XLOOKUP(_xlfn.XLOOKUP(A366,'[1]DATOS PBI Artículos'!$A$4:$A$4,'[1]DATOS PBI Artículos'!$Y$4:$Y$4),[1]CRITERIOS!$P$79:$P$123,[1]CRITERIOS!$S$79:$S$123)),0)*[1]CRITERIOS!$M$80*([1]CRITERIOS!$M$110/[1]CRITERIOS!$M$86)+(_xlfn.XLOOKUP(A366,'[1]DATOS PBI Artículos'!$A$4:$A$4,'[1]DATOS PBI Artículos'!$AA$4:$AA$4)*([1]CRITERIOS!$M$95+[1]CRITERIOS!$M$98)))/N366)</f>
        <v>#N/A</v>
      </c>
      <c r="AD366" s="33" t="e">
        <f>IF(N366=0,"",(ROUNDUP((N366/2)/(_xlfn.XLOOKUP(A366,'[1]DATOS PBI Artículos'!$A$4:$A$4,'[1]DATOS PBI Artículos'!$Z$4:$Z$4)*_xlfn.XLOOKUP(_xlfn.XLOOKUP(A366,'[1]DATOS PBI Artículos'!$A$4:$A$4,'[1]DATOS PBI Artículos'!$Y$4:$Y$4),[1]CRITERIOS!$P$79:$P$123,[1]CRITERIOS!$S$79:$S$123)),0)*[1]CRITERIOS!$M$80*([1]CRITERIOS!$M$89*[1]CRITERIOS!$M$92)+((_xlfn.XLOOKUP(A366,'[1]DATOS PBI Artículos'!$A$4:$A$4,'[1]DATOS PBI Artículos'!$AA$4:$AA$4)/2)*([1]CRITERIOS!$M$95+[1]CRITERIOS!$M$98)))/N366)</f>
        <v>#N/A</v>
      </c>
      <c r="AE366" s="39" t="e">
        <f>IF($R366="MTO","",
IF($H366=0,ROUNDUP(((_xlfn.XLOOKUP($A366,'[1]DATOS PBI Artículos'!$A:$A,'[1]DATOS PBI Artículos'!$AL:$AL))/(_xlfn.XLOOKUP($AF$1,[1]CRITERIOS!$S$16:$S$39,[1]CRITERIOS!$Y$16:$Y$39))*$J366+$Z366)/$G366,0)*$G366,
((_xlfn.XLOOKUP($A366,'[1]DATOS PBI Artículos'!$A:$A,'[1]DATOS PBI Artículos'!$AL:$AL))/(_xlfn.XLOOKUP($AF$1,[1]CRITERIOS!$S$16:$S$39,[1]CRITERIOS!$Y$16:$Y$39))*$J366+$Z366)))</f>
        <v>#N/A</v>
      </c>
      <c r="AG366" s="39" t="e">
        <f>IF($R366="MTO","",
IF($H366=0,ROUNDUP(((_xlfn.XLOOKUP($A366,'[1]DATOS PBI Artículos'!$A:$A,'[1]DATOS PBI Artículos'!$AM:$AM))/(_xlfn.XLOOKUP($AH$1,[1]CRITERIOS!$S$16:$S$39,[1]CRITERIOS!$Y$16:$Y$39))*$J366+$Z366)/$G366,0)*$G366,
((_xlfn.XLOOKUP($A366,'[1]DATOS PBI Artículos'!$A:$A,'[1]DATOS PBI Artículos'!$AM:$AM))/(_xlfn.XLOOKUP($AH$1,[1]CRITERIOS!$S$16:$S$39,[1]CRITERIOS!$Y$16:$Y$39))*$J366+$Z366)))</f>
        <v>#N/A</v>
      </c>
      <c r="AI366" s="39" t="e">
        <f>IF($R366="MTO","",
IF($H366=0,ROUNDUP(((_xlfn.XLOOKUP($A366,'[1]DATOS PBI Artículos'!$A:$A,'[1]DATOS PBI Artículos'!$AN:$AN))/(_xlfn.XLOOKUP($AJ$1,[1]CRITERIOS!$S$16:$S$39,[1]CRITERIOS!$Y$16:$Y$39))*$J366+$Z366)/$G366,0)*$G366,
((_xlfn.XLOOKUP($A366,'[1]DATOS PBI Artículos'!$A:$A,'[1]DATOS PBI Artículos'!$AN:$AN))/(_xlfn.XLOOKUP($AJ$1,[1]CRITERIOS!$S$16:$S$39,[1]CRITERIOS!$Y$16:$Y$39))*$J366+$Z366)))</f>
        <v>#N/A</v>
      </c>
      <c r="AK366" s="39" t="e">
        <f>IF($R366="MTO","",
IF($H366=0,ROUNDUP(((_xlfn.XLOOKUP($A366,'[1]DATOS PBI Artículos'!$A:$A,'[1]DATOS PBI Artículos'!$AO:$AO))/(_xlfn.XLOOKUP($AL$1,[1]CRITERIOS!$S$16:$S$39,[1]CRITERIOS!$Y$16:$Y$39))*$J366+$Z366)/$G366,0)*$G366,
((_xlfn.XLOOKUP($A366,'[1]DATOS PBI Artículos'!$A:$A,'[1]DATOS PBI Artículos'!$AO:$AO))/(_xlfn.XLOOKUP($AL$1,[1]CRITERIOS!$S$16:$S$39,[1]CRITERIOS!$Y$16:$Y$39))*$J366+$Z366)))</f>
        <v>#N/A</v>
      </c>
    </row>
    <row r="367" spans="1:37" ht="25.8" hidden="1" x14ac:dyDescent="0.4">
      <c r="A367" s="41"/>
      <c r="B367" s="33">
        <f>_xlfn.XLOOKUP($A367,'[1]DATOS PBI Artículos'!A:A,'[1]DATOS PBI Artículos'!B:B)</f>
        <v>0</v>
      </c>
      <c r="C367" s="33">
        <f>_xlfn.XLOOKUP($A367,'[1]DATOS PBI Artículos'!A:A,'[1]DATOS PBI Artículos'!C:C)</f>
        <v>0</v>
      </c>
      <c r="D367" s="33">
        <f>_xlfn.XLOOKUP(A367,'[1]DATOS PBI Artículos'!A:A,'[1]DATOS PBI Artículos'!T:T)</f>
        <v>0</v>
      </c>
      <c r="E367" s="34">
        <f>IF(_xlfn.XLOOKUP($A367,'[1]DATOS PBI Artículos'!A:A,'[1]DATOS PBI Artículos'!AK:AK)="",_xlfn.XLOOKUP($A367,'[1]DATOS PBI Artículos'!A:A,'[1]DATOS PBI Artículos'!AJ:AJ),_xlfn.XLOOKUP($A367,'[1]DATOS PBI Artículos'!A:A,'[1]DATOS PBI Artículos'!AK:AK))</f>
        <v>0</v>
      </c>
      <c r="F367" s="35">
        <f>_xlfn.XLOOKUP($A367,'[1]DATOS PBI Artículos'!A:A,'[1]DATOS PBI Artículos'!AP:AP)</f>
        <v>0</v>
      </c>
      <c r="G367" s="34">
        <f>_xlfn.XLOOKUP($A367,'[1]DATOS PBI Artículos'!A:A,'[1]DATOS PBI Artículos'!AR:AR)</f>
        <v>0</v>
      </c>
      <c r="H367" s="34">
        <f>_xlfn.XLOOKUP($A367,'[1]DATOS PBI Artículos'!A:A,'[1]DATOS PBI Artículos'!AT:AT)</f>
        <v>0</v>
      </c>
      <c r="I367" s="34">
        <f>_xlfn.XLOOKUP($A367,'[1]DATOS PBI Artículos'!A:A,'[1]DATOS PBI Artículos'!AS:AS)</f>
        <v>0</v>
      </c>
      <c r="J367" s="35">
        <f>IF(COUNTIF([1]CRITERIOS!$F$179:$F$199,$A367)&gt;=1,
 IF(O367&lt;&gt;"",
    (O367/_xlfn.XLOOKUP(CONCATENATE(A367,L367),[1]MÁQUINAS!A:A,[1]MÁQUINAS!D:D))/24,
    (N367/_xlfn.XLOOKUP(CONCATENATE(A367,L367),[1]MÁQUINAS!A:A,[1]MÁQUINAS!D:D))/24),
  _xlfn.XLOOKUP($A367,'[1]DATOS PBI Artículos'!A:A,'[1]DATOS PBI Artículos'!AU:AU))</f>
        <v>0</v>
      </c>
      <c r="K367" s="36">
        <f>_xlfn.XLOOKUP($A367,'[1]DATOS PBI Artículos'!A:A,'[1]DATOS PBI Artículos'!AV:AV)</f>
        <v>0</v>
      </c>
      <c r="L367" s="33">
        <f>_xlfn.XLOOKUP(A367,[1]MÁQUINAS!B:B,[1]MÁQUINAS!C:C)</f>
        <v>0</v>
      </c>
      <c r="M367" s="34">
        <f t="array" ref="M367">_xlfn.XLOOKUP(A367,'[1]DATOS PBI Artículos'!A:A,'[1]DATOS PBI Artículos'!AX:$AX)</f>
        <v>0</v>
      </c>
      <c r="N367" s="37" t="e">
        <f>IF(I367="DV",
E367,
IF(COUNTIF([1]CRITERIOS!$I$179:$I$199,$A367)&gt;=1,
_xlfn.XLOOKUP($A367,[1]CRITERIOS!$I$179:$I$199,[1]CRITERIOS!$J$179:$J$199),
IF(COUNTIF([1]CRITERIOS!$L$179:$L$199,$A367)&gt;=1,
_xlfn.CEILING.MATH(IF($M367&gt;$E367,
$E367,
IF($M367&lt;$E367/ROUNDDOWN([1]CRITERIOS!$M$16/_xlfn.XLOOKUP($C367,[1]CRITERIOS!$K$25:$K$42,[1]CRITERIOS!$M$25:$M$42),
1),
E367/ROUNDDOWN([1]CRITERIOS!$M$16/_xlfn.XLOOKUP($C367,[1]CRITERIOS!$K$25:$K$42,[1]CRITERIOS!$M$25:$M$42),
1),
$M367)),
_xlfn.XLOOKUP($A367,[1]CRITERIOS!$L$179:$L$200,[1]CRITERIOS!$M$179:$M$200)),
_xlfn.CEILING.MATH(IF($M367&gt;$E367,
$E367,
IF($M367&lt;$E367/ROUNDDOWN([1]CRITERIOS!$M$16/_xlfn.XLOOKUP($C367,[1]CRITERIOS!$K$25:$K$42,[1]CRITERIOS!$M$25:$M$42),
1),
E367/ROUNDDOWN([1]CRITERIOS!$M$16/_xlfn.XLOOKUP($C367,[1]CRITERIOS!$K$25:$K$42,[1]CRITERIOS!$M$25:$M$42),
1),
$M367)),_xlfn.XLOOKUP(A367,'[1]DATOS PBI Artículos'!A:A,'[1]DATOS PBI Artículos'!Z:Z
)))))</f>
        <v>#N/A</v>
      </c>
      <c r="Q367" s="38" t="e">
        <f>IF(AND(O367="",N367=0),
0,
   IF(COUNTIF([1]CRITERIOS!$F$179:$F$199,$A367)&gt;=1,
   1,
   IF(R367="MTO",
      $D367,
      ROUNDUP(
                    IF(($E367-SUMIF('[1]DATOS PBI Artículos'!A:A,A367,'[1]DATOS PBI Artículos'!X:X)+($V367-_xlfn.XLOOKUP(A367,'[1]DATOS PBI Artículos'!A:A,'[1]DATOS PBI Artículos'!W:W)))&lt;0,
                    0,
                    IF(($E367-SUMIF('[1]DATOS PBI Artículos'!A:A,A367,'[1]DATOS PBI Artículos'!X:X)+$V367-_xlfn.XLOOKUP($A367,'[1]DATOS PBI Artículos'!A:A,'[1]DATOS PBI Artículos'!W:W))/IF($O367="",$N367,$O367)&gt;ROUNDUP([1]CRITERIOS!$M$16/(IF(COUNTIF([1]CRITERIOS!$BG$11:$BG$201,L367)&gt;=1,_xlfn.XLOOKUP($C367,[1]CRITERIOS!$K$25:$K$42,[1]CRITERIOS!$M$25:$M$42),_xlfn.XLOOKUP($C367,[1]CRITERIOS!$K$25:$K$42,[1]CRITERIOS!$M$25:$M$42))),0),
                    ROUNDUP([1]CRITERIOS!$M$16/(IF(COUNTIF([1]CRITERIOS!$BG$11:$BG$201,$L367)&gt;=1,_xlfn.XLOOKUP($C367,[1]CRITERIOS!$K$25:$K$42,[1]CRITERIOS!$M$25:$M$42),_xlfn.XLOOKUP($C367,[1]CRITERIOS!$K$25:$K$42,[1]CRITERIOS!$M$25:$M$42))),0),
                    (E367+V367-SUMIF('[1]DATOS PBI Artículos'!A:A,A367,'[1]DATOS PBI Artículos'!X:X)-_xlfn.XLOOKUP(A367,'[1]DATOS PBI Artículos'!A:A,'[1]DATOS PBI Artículos'!W:W))/IF($O367="",$N367,$O367))),0))))</f>
        <v>#N/A</v>
      </c>
      <c r="R367" s="33" t="e">
        <f>IF(U367&lt;&gt;"",U367,IF(F367="DV","MTO",IF(N367=0,"MTO",_xlfn.XLOOKUP(CONCATENATE(S367,T367),[1]CRITERIOS!$K$160:$K$168,[1]CRITERIOS!$N$160:$N$168))))</f>
        <v>#N/A</v>
      </c>
      <c r="S367" s="33" t="e">
        <f>IF(G367="DV","MTO",IF(N367=0,"MTO",IF(OR(AND(N367=0,O367=""),IF(O367="",G367/N367,G367/O367)&gt;[1]CRITERIOS!$G$163),"MTO",IF(IF(O367="",G367/N367,G367/O367)&lt;[1]CRITERIOS!$H$161,"MTS","MTOS"))))</f>
        <v>#N/A</v>
      </c>
      <c r="T367" s="33" t="e">
        <f>IF(F367="DV","MTO",IF(OR(AND($N367=0,O367=""),$F367/$J367&gt;[1]CRITERIOS!$G$170,$F367="DV"),"MTO",IF($F367/$J367&lt;[1]CRITERIOS!$H$168,"MTS","MTOS")))</f>
        <v>#N/A</v>
      </c>
      <c r="V367" s="34" t="e">
        <f t="shared" si="19"/>
        <v>#N/A</v>
      </c>
      <c r="X367" s="34" t="e">
        <f t="shared" si="17"/>
        <v>#N/A</v>
      </c>
      <c r="Y367" s="34" t="e">
        <f t="shared" si="18"/>
        <v>#N/A</v>
      </c>
      <c r="Z367" s="34" t="e">
        <f>IF($R367="MTO",
0,
($H367+$K367*($E367/[1]CRITERIOS!$M$16))/[1]CRITERIOS!$X$48)</f>
        <v>#N/A</v>
      </c>
      <c r="AA367" s="34" t="e">
        <f>ROUNDUP(($Y367/_xlfn.XLOOKUP($A367,'[1]DATOS PBI Artículos'!$A$4:$A$4,'[1]DATOS PBI Artículos'!$Z$4:$Z$4))/_xlfn.XLOOKUP(_xlfn.XLOOKUP($A367,'[1]DATOS PBI Artículos'!$A$4:$A$4,'[1]DATOS PBI Artículos'!$Y$4:$Y$4),[1]CRITERIOS!$P$79:$P$123,[1]CRITERIOS!$S$79:$S$123,),0)</f>
        <v>#N/A</v>
      </c>
      <c r="AB367" s="33" t="e">
        <f t="array" ref="AB367">IF((E367+V367-_xlfn.XLOOKUP(A367,'[1]DATOS PBI Artículos'!$A$4:$A$4,'[1]DATOS PBI Artículos'!$W$4:$W$4))/N367&gt;ROUNDUP([1]CRITERIOS!$M$16/(IF(COUNTIF([1]CRITERIOS!$BG$11:$BG$201,L367)&gt;=1,_xlfn.XLOOKUP(ARTÍCULOS!L367,[1]CRITERIOS!$BG$11:$BG$201,[1]CRITERIOS!$BJ$11:$BJ$201),_xlfn.XLOOKUP(ARTÍCULOS!C367,[1]CRITERIOS!$K$25:$K$42,[1]CRITERIOS!$M$25:$M$42))),0),ROUNDUP([1]CRITERIOS!$M$16/(IF(COUNTIF([1]CRITERIOS!$BG$11:$BG$201,L367)&gt;=1,_xlfn.XLOOKUP(ARTÍCULOS!L367,[1]CRITERIOS!$BG$11:$BG$201:#REF!,[1]CRITERIOS!$BJ$11:$BJ$201),_xlfn.XLOOKUP(ARTÍCULOS!C367,[1]CRITERIOS!$K$25:$K$42,[1]CRITERIOS!$M$25:$M$42))),0),(E367+V367-_xlfn.XLOOKUP(A367,'[1]DATOS PBI Artículos'!$A$4:$A$4,'[1]DATOS PBI Artículos'!$W$4:$W$4))/N367)</f>
        <v>#N/A</v>
      </c>
      <c r="AC367" s="33" t="e">
        <f>IF(N367=0,"",(ROUNDUP((N367/2)/(_xlfn.XLOOKUP(A367,'[1]DATOS PBI Artículos'!$A$4:$A$4,'[1]DATOS PBI Artículos'!$Z$4:$Z$4)*_xlfn.XLOOKUP(_xlfn.XLOOKUP(A367,'[1]DATOS PBI Artículos'!$A$4:$A$4,'[1]DATOS PBI Artículos'!$Y$4:$Y$4),[1]CRITERIOS!$P$79:$P$123,[1]CRITERIOS!$S$79:$S$123)),0)*[1]CRITERIOS!$M$80*([1]CRITERIOS!$M$110/[1]CRITERIOS!$M$86)+(_xlfn.XLOOKUP(A367,'[1]DATOS PBI Artículos'!$A$4:$A$4,'[1]DATOS PBI Artículos'!$AA$4:$AA$4)*([1]CRITERIOS!$M$95+[1]CRITERIOS!$M$98)))/N367)</f>
        <v>#N/A</v>
      </c>
      <c r="AD367" s="33" t="e">
        <f>IF(N367=0,"",(ROUNDUP((N367/2)/(_xlfn.XLOOKUP(A367,'[1]DATOS PBI Artículos'!$A$4:$A$4,'[1]DATOS PBI Artículos'!$Z$4:$Z$4)*_xlfn.XLOOKUP(_xlfn.XLOOKUP(A367,'[1]DATOS PBI Artículos'!$A$4:$A$4,'[1]DATOS PBI Artículos'!$Y$4:$Y$4),[1]CRITERIOS!$P$79:$P$123,[1]CRITERIOS!$S$79:$S$123)),0)*[1]CRITERIOS!$M$80*([1]CRITERIOS!$M$89*[1]CRITERIOS!$M$92)+((_xlfn.XLOOKUP(A367,'[1]DATOS PBI Artículos'!$A$4:$A$4,'[1]DATOS PBI Artículos'!$AA$4:$AA$4)/2)*([1]CRITERIOS!$M$95+[1]CRITERIOS!$M$98)))/N367)</f>
        <v>#N/A</v>
      </c>
      <c r="AE367" s="39" t="e">
        <f>IF($R367="MTO","",
IF($H367=0,ROUNDUP(((_xlfn.XLOOKUP($A367,'[1]DATOS PBI Artículos'!$A:$A,'[1]DATOS PBI Artículos'!$AL:$AL))/(_xlfn.XLOOKUP($AF$1,[1]CRITERIOS!$S$16:$S$39,[1]CRITERIOS!$Y$16:$Y$39))*$J367+$Z367)/$G367,0)*$G367,
((_xlfn.XLOOKUP($A367,'[1]DATOS PBI Artículos'!$A:$A,'[1]DATOS PBI Artículos'!$AL:$AL))/(_xlfn.XLOOKUP($AF$1,[1]CRITERIOS!$S$16:$S$39,[1]CRITERIOS!$Y$16:$Y$39))*$J367+$Z367)))</f>
        <v>#N/A</v>
      </c>
      <c r="AG367" s="39" t="e">
        <f>IF($R367="MTO","",
IF($H367=0,ROUNDUP(((_xlfn.XLOOKUP($A367,'[1]DATOS PBI Artículos'!$A:$A,'[1]DATOS PBI Artículos'!$AM:$AM))/(_xlfn.XLOOKUP($AH$1,[1]CRITERIOS!$S$16:$S$39,[1]CRITERIOS!$Y$16:$Y$39))*$J367+$Z367)/$G367,0)*$G367,
((_xlfn.XLOOKUP($A367,'[1]DATOS PBI Artículos'!$A:$A,'[1]DATOS PBI Artículos'!$AM:$AM))/(_xlfn.XLOOKUP($AH$1,[1]CRITERIOS!$S$16:$S$39,[1]CRITERIOS!$Y$16:$Y$39))*$J367+$Z367)))</f>
        <v>#N/A</v>
      </c>
      <c r="AI367" s="39" t="e">
        <f>IF($R367="MTO","",
IF($H367=0,ROUNDUP(((_xlfn.XLOOKUP($A367,'[1]DATOS PBI Artículos'!$A:$A,'[1]DATOS PBI Artículos'!$AN:$AN))/(_xlfn.XLOOKUP($AJ$1,[1]CRITERIOS!$S$16:$S$39,[1]CRITERIOS!$Y$16:$Y$39))*$J367+$Z367)/$G367,0)*$G367,
((_xlfn.XLOOKUP($A367,'[1]DATOS PBI Artículos'!$A:$A,'[1]DATOS PBI Artículos'!$AN:$AN))/(_xlfn.XLOOKUP($AJ$1,[1]CRITERIOS!$S$16:$S$39,[1]CRITERIOS!$Y$16:$Y$39))*$J367+$Z367)))</f>
        <v>#N/A</v>
      </c>
      <c r="AK367" s="39" t="e">
        <f>IF($R367="MTO","",
IF($H367=0,ROUNDUP(((_xlfn.XLOOKUP($A367,'[1]DATOS PBI Artículos'!$A:$A,'[1]DATOS PBI Artículos'!$AO:$AO))/(_xlfn.XLOOKUP($AL$1,[1]CRITERIOS!$S$16:$S$39,[1]CRITERIOS!$Y$16:$Y$39))*$J367+$Z367)/$G367,0)*$G367,
((_xlfn.XLOOKUP($A367,'[1]DATOS PBI Artículos'!$A:$A,'[1]DATOS PBI Artículos'!$AO:$AO))/(_xlfn.XLOOKUP($AL$1,[1]CRITERIOS!$S$16:$S$39,[1]CRITERIOS!$Y$16:$Y$39))*$J367+$Z367)))</f>
        <v>#N/A</v>
      </c>
    </row>
    <row r="368" spans="1:37" ht="25.8" hidden="1" x14ac:dyDescent="0.4">
      <c r="A368" s="41"/>
      <c r="B368" s="33">
        <f>_xlfn.XLOOKUP($A368,'[1]DATOS PBI Artículos'!A:A,'[1]DATOS PBI Artículos'!B:B)</f>
        <v>0</v>
      </c>
      <c r="C368" s="33">
        <f>_xlfn.XLOOKUP($A368,'[1]DATOS PBI Artículos'!A:A,'[1]DATOS PBI Artículos'!C:C)</f>
        <v>0</v>
      </c>
      <c r="D368" s="33">
        <f>_xlfn.XLOOKUP(A368,'[1]DATOS PBI Artículos'!A:A,'[1]DATOS PBI Artículos'!T:T)</f>
        <v>0</v>
      </c>
      <c r="E368" s="34">
        <f>IF(_xlfn.XLOOKUP($A368,'[1]DATOS PBI Artículos'!A:A,'[1]DATOS PBI Artículos'!AK:AK)="",_xlfn.XLOOKUP($A368,'[1]DATOS PBI Artículos'!A:A,'[1]DATOS PBI Artículos'!AJ:AJ),_xlfn.XLOOKUP($A368,'[1]DATOS PBI Artículos'!A:A,'[1]DATOS PBI Artículos'!AK:AK))</f>
        <v>0</v>
      </c>
      <c r="F368" s="35">
        <f>_xlfn.XLOOKUP($A368,'[1]DATOS PBI Artículos'!A:A,'[1]DATOS PBI Artículos'!AP:AP)</f>
        <v>0</v>
      </c>
      <c r="G368" s="34">
        <f>_xlfn.XLOOKUP($A368,'[1]DATOS PBI Artículos'!A:A,'[1]DATOS PBI Artículos'!AR:AR)</f>
        <v>0</v>
      </c>
      <c r="H368" s="34">
        <f>_xlfn.XLOOKUP($A368,'[1]DATOS PBI Artículos'!A:A,'[1]DATOS PBI Artículos'!AT:AT)</f>
        <v>0</v>
      </c>
      <c r="I368" s="34">
        <f>_xlfn.XLOOKUP($A368,'[1]DATOS PBI Artículos'!A:A,'[1]DATOS PBI Artículos'!AS:AS)</f>
        <v>0</v>
      </c>
      <c r="J368" s="35">
        <f>IF(COUNTIF([1]CRITERIOS!$F$179:$F$199,$A368)&gt;=1,
 IF(O368&lt;&gt;"",
    (O368/_xlfn.XLOOKUP(CONCATENATE(A368,L368),[1]MÁQUINAS!A:A,[1]MÁQUINAS!D:D))/24,
    (N368/_xlfn.XLOOKUP(CONCATENATE(A368,L368),[1]MÁQUINAS!A:A,[1]MÁQUINAS!D:D))/24),
  _xlfn.XLOOKUP($A368,'[1]DATOS PBI Artículos'!A:A,'[1]DATOS PBI Artículos'!AU:AU))</f>
        <v>0</v>
      </c>
      <c r="K368" s="36">
        <f>_xlfn.XLOOKUP($A368,'[1]DATOS PBI Artículos'!A:A,'[1]DATOS PBI Artículos'!AV:AV)</f>
        <v>0</v>
      </c>
      <c r="L368" s="33">
        <f>_xlfn.XLOOKUP(A368,[1]MÁQUINAS!B:B,[1]MÁQUINAS!C:C)</f>
        <v>0</v>
      </c>
      <c r="M368" s="34">
        <f t="array" ref="M368">_xlfn.XLOOKUP(A368,'[1]DATOS PBI Artículos'!A:A,'[1]DATOS PBI Artículos'!AX:$AX)</f>
        <v>0</v>
      </c>
      <c r="N368" s="37" t="e">
        <f>IF(I368="DV",
E368,
IF(COUNTIF([1]CRITERIOS!$I$179:$I$199,$A368)&gt;=1,
_xlfn.XLOOKUP($A368,[1]CRITERIOS!$I$179:$I$199,[1]CRITERIOS!$J$179:$J$199),
IF(COUNTIF([1]CRITERIOS!$L$179:$L$199,$A368)&gt;=1,
_xlfn.CEILING.MATH(IF($M368&gt;$E368,
$E368,
IF($M368&lt;$E368/ROUNDDOWN([1]CRITERIOS!$M$16/_xlfn.XLOOKUP($C368,[1]CRITERIOS!$K$25:$K$42,[1]CRITERIOS!$M$25:$M$42),
1),
E368/ROUNDDOWN([1]CRITERIOS!$M$16/_xlfn.XLOOKUP($C368,[1]CRITERIOS!$K$25:$K$42,[1]CRITERIOS!$M$25:$M$42),
1),
$M368)),
_xlfn.XLOOKUP($A368,[1]CRITERIOS!$L$179:$L$200,[1]CRITERIOS!$M$179:$M$200)),
_xlfn.CEILING.MATH(IF($M368&gt;$E368,
$E368,
IF($M368&lt;$E368/ROUNDDOWN([1]CRITERIOS!$M$16/_xlfn.XLOOKUP($C368,[1]CRITERIOS!$K$25:$K$42,[1]CRITERIOS!$M$25:$M$42),
1),
E368/ROUNDDOWN([1]CRITERIOS!$M$16/_xlfn.XLOOKUP($C368,[1]CRITERIOS!$K$25:$K$42,[1]CRITERIOS!$M$25:$M$42),
1),
$M368)),_xlfn.XLOOKUP(A368,'[1]DATOS PBI Artículos'!A:A,'[1]DATOS PBI Artículos'!Z:Z
)))))</f>
        <v>#N/A</v>
      </c>
      <c r="Q368" s="38" t="e">
        <f>IF(AND(O368="",N368=0),
0,
   IF(COUNTIF([1]CRITERIOS!$F$179:$F$199,$A368)&gt;=1,
   1,
   IF(R368="MTO",
      $D368,
      ROUNDUP(
                    IF(($E368-SUMIF('[1]DATOS PBI Artículos'!A:A,A368,'[1]DATOS PBI Artículos'!X:X)+($V368-_xlfn.XLOOKUP(A368,'[1]DATOS PBI Artículos'!A:A,'[1]DATOS PBI Artículos'!W:W)))&lt;0,
                    0,
                    IF(($E368-SUMIF('[1]DATOS PBI Artículos'!A:A,A368,'[1]DATOS PBI Artículos'!X:X)+$V368-_xlfn.XLOOKUP($A368,'[1]DATOS PBI Artículos'!A:A,'[1]DATOS PBI Artículos'!W:W))/IF($O368="",$N368,$O368)&gt;ROUNDUP([1]CRITERIOS!$M$16/(IF(COUNTIF([1]CRITERIOS!$BG$11:$BG$201,L368)&gt;=1,_xlfn.XLOOKUP($C368,[1]CRITERIOS!$K$25:$K$42,[1]CRITERIOS!$M$25:$M$42),_xlfn.XLOOKUP($C368,[1]CRITERIOS!$K$25:$K$42,[1]CRITERIOS!$M$25:$M$42))),0),
                    ROUNDUP([1]CRITERIOS!$M$16/(IF(COUNTIF([1]CRITERIOS!$BG$11:$BG$201,$L368)&gt;=1,_xlfn.XLOOKUP($C368,[1]CRITERIOS!$K$25:$K$42,[1]CRITERIOS!$M$25:$M$42),_xlfn.XLOOKUP($C368,[1]CRITERIOS!$K$25:$K$42,[1]CRITERIOS!$M$25:$M$42))),0),
                    (E368+V368-SUMIF('[1]DATOS PBI Artículos'!A:A,A368,'[1]DATOS PBI Artículos'!X:X)-_xlfn.XLOOKUP(A368,'[1]DATOS PBI Artículos'!A:A,'[1]DATOS PBI Artículos'!W:W))/IF($O368="",$N368,$O368))),0))))</f>
        <v>#N/A</v>
      </c>
      <c r="R368" s="33" t="e">
        <f>IF(U368&lt;&gt;"",U368,IF(F368="DV","MTO",IF(N368=0,"MTO",_xlfn.XLOOKUP(CONCATENATE(S368,T368),[1]CRITERIOS!$K$160:$K$168,[1]CRITERIOS!$N$160:$N$168))))</f>
        <v>#N/A</v>
      </c>
      <c r="S368" s="33" t="e">
        <f>IF(G368="DV","MTO",IF(N368=0,"MTO",IF(OR(AND(N368=0,O368=""),IF(O368="",G368/N368,G368/O368)&gt;[1]CRITERIOS!$G$163),"MTO",IF(IF(O368="",G368/N368,G368/O368)&lt;[1]CRITERIOS!$H$161,"MTS","MTOS"))))</f>
        <v>#N/A</v>
      </c>
      <c r="T368" s="33" t="e">
        <f>IF(F368="DV","MTO",IF(OR(AND($N368=0,O368=""),$F368/$J368&gt;[1]CRITERIOS!$G$170,$F368="DV"),"MTO",IF($F368/$J368&lt;[1]CRITERIOS!$H$168,"MTS","MTOS")))</f>
        <v>#N/A</v>
      </c>
      <c r="V368" s="34" t="e">
        <f t="shared" si="19"/>
        <v>#N/A</v>
      </c>
      <c r="X368" s="34" t="e">
        <f t="shared" si="17"/>
        <v>#N/A</v>
      </c>
      <c r="Y368" s="34" t="e">
        <f t="shared" si="18"/>
        <v>#N/A</v>
      </c>
      <c r="Z368" s="34" t="e">
        <f>IF($R368="MTO",
0,
($H368+$K368*($E368/[1]CRITERIOS!$M$16))/[1]CRITERIOS!$X$48)</f>
        <v>#N/A</v>
      </c>
      <c r="AA368" s="34" t="e">
        <f>ROUNDUP(($Y368/_xlfn.XLOOKUP($A368,'[1]DATOS PBI Artículos'!$A$4:$A$4,'[1]DATOS PBI Artículos'!$Z$4:$Z$4))/_xlfn.XLOOKUP(_xlfn.XLOOKUP($A368,'[1]DATOS PBI Artículos'!$A$4:$A$4,'[1]DATOS PBI Artículos'!$Y$4:$Y$4),[1]CRITERIOS!$P$79:$P$123,[1]CRITERIOS!$S$79:$S$123,),0)</f>
        <v>#N/A</v>
      </c>
      <c r="AB368" s="33" t="e">
        <f t="array" ref="AB368">IF((E368+V368-_xlfn.XLOOKUP(A368,'[1]DATOS PBI Artículos'!$A$4:$A$4,'[1]DATOS PBI Artículos'!$W$4:$W$4))/N368&gt;ROUNDUP([1]CRITERIOS!$M$16/(IF(COUNTIF([1]CRITERIOS!$BG$11:$BG$201,L368)&gt;=1,_xlfn.XLOOKUP(ARTÍCULOS!L368,[1]CRITERIOS!$BG$11:$BG$201,[1]CRITERIOS!$BJ$11:$BJ$201),_xlfn.XLOOKUP(ARTÍCULOS!C368,[1]CRITERIOS!$K$25:$K$42,[1]CRITERIOS!$M$25:$M$42))),0),ROUNDUP([1]CRITERIOS!$M$16/(IF(COUNTIF([1]CRITERIOS!$BG$11:$BG$201,L368)&gt;=1,_xlfn.XLOOKUP(ARTÍCULOS!L368,[1]CRITERIOS!$BG$11:$BG$201:#REF!,[1]CRITERIOS!$BJ$11:$BJ$201),_xlfn.XLOOKUP(ARTÍCULOS!C368,[1]CRITERIOS!$K$25:$K$42,[1]CRITERIOS!$M$25:$M$42))),0),(E368+V368-_xlfn.XLOOKUP(A368,'[1]DATOS PBI Artículos'!$A$4:$A$4,'[1]DATOS PBI Artículos'!$W$4:$W$4))/N368)</f>
        <v>#N/A</v>
      </c>
      <c r="AC368" s="33" t="e">
        <f>IF(N368=0,"",(ROUNDUP((N368/2)/(_xlfn.XLOOKUP(A368,'[1]DATOS PBI Artículos'!$A$4:$A$4,'[1]DATOS PBI Artículos'!$Z$4:$Z$4)*_xlfn.XLOOKUP(_xlfn.XLOOKUP(A368,'[1]DATOS PBI Artículos'!$A$4:$A$4,'[1]DATOS PBI Artículos'!$Y$4:$Y$4),[1]CRITERIOS!$P$79:$P$123,[1]CRITERIOS!$S$79:$S$123)),0)*[1]CRITERIOS!$M$80*([1]CRITERIOS!$M$110/[1]CRITERIOS!$M$86)+(_xlfn.XLOOKUP(A368,'[1]DATOS PBI Artículos'!$A$4:$A$4,'[1]DATOS PBI Artículos'!$AA$4:$AA$4)*([1]CRITERIOS!$M$95+[1]CRITERIOS!$M$98)))/N368)</f>
        <v>#N/A</v>
      </c>
      <c r="AD368" s="33" t="e">
        <f>IF(N368=0,"",(ROUNDUP((N368/2)/(_xlfn.XLOOKUP(A368,'[1]DATOS PBI Artículos'!$A$4:$A$4,'[1]DATOS PBI Artículos'!$Z$4:$Z$4)*_xlfn.XLOOKUP(_xlfn.XLOOKUP(A368,'[1]DATOS PBI Artículos'!$A$4:$A$4,'[1]DATOS PBI Artículos'!$Y$4:$Y$4),[1]CRITERIOS!$P$79:$P$123,[1]CRITERIOS!$S$79:$S$123)),0)*[1]CRITERIOS!$M$80*([1]CRITERIOS!$M$89*[1]CRITERIOS!$M$92)+((_xlfn.XLOOKUP(A368,'[1]DATOS PBI Artículos'!$A$4:$A$4,'[1]DATOS PBI Artículos'!$AA$4:$AA$4)/2)*([1]CRITERIOS!$M$95+[1]CRITERIOS!$M$98)))/N368)</f>
        <v>#N/A</v>
      </c>
      <c r="AE368" s="39" t="e">
        <f>IF($R368="MTO","",
IF($H368=0,ROUNDUP(((_xlfn.XLOOKUP($A368,'[1]DATOS PBI Artículos'!$A:$A,'[1]DATOS PBI Artículos'!$AL:$AL))/(_xlfn.XLOOKUP($AF$1,[1]CRITERIOS!$S$16:$S$39,[1]CRITERIOS!$Y$16:$Y$39))*$J368+$Z368)/$G368,0)*$G368,
((_xlfn.XLOOKUP($A368,'[1]DATOS PBI Artículos'!$A:$A,'[1]DATOS PBI Artículos'!$AL:$AL))/(_xlfn.XLOOKUP($AF$1,[1]CRITERIOS!$S$16:$S$39,[1]CRITERIOS!$Y$16:$Y$39))*$J368+$Z368)))</f>
        <v>#N/A</v>
      </c>
      <c r="AG368" s="39" t="e">
        <f>IF($R368="MTO","",
IF($H368=0,ROUNDUP(((_xlfn.XLOOKUP($A368,'[1]DATOS PBI Artículos'!$A:$A,'[1]DATOS PBI Artículos'!$AM:$AM))/(_xlfn.XLOOKUP($AH$1,[1]CRITERIOS!$S$16:$S$39,[1]CRITERIOS!$Y$16:$Y$39))*$J368+$Z368)/$G368,0)*$G368,
((_xlfn.XLOOKUP($A368,'[1]DATOS PBI Artículos'!$A:$A,'[1]DATOS PBI Artículos'!$AM:$AM))/(_xlfn.XLOOKUP($AH$1,[1]CRITERIOS!$S$16:$S$39,[1]CRITERIOS!$Y$16:$Y$39))*$J368+$Z368)))</f>
        <v>#N/A</v>
      </c>
      <c r="AI368" s="39" t="e">
        <f>IF($R368="MTO","",
IF($H368=0,ROUNDUP(((_xlfn.XLOOKUP($A368,'[1]DATOS PBI Artículos'!$A:$A,'[1]DATOS PBI Artículos'!$AN:$AN))/(_xlfn.XLOOKUP($AJ$1,[1]CRITERIOS!$S$16:$S$39,[1]CRITERIOS!$Y$16:$Y$39))*$J368+$Z368)/$G368,0)*$G368,
((_xlfn.XLOOKUP($A368,'[1]DATOS PBI Artículos'!$A:$A,'[1]DATOS PBI Artículos'!$AN:$AN))/(_xlfn.XLOOKUP($AJ$1,[1]CRITERIOS!$S$16:$S$39,[1]CRITERIOS!$Y$16:$Y$39))*$J368+$Z368)))</f>
        <v>#N/A</v>
      </c>
      <c r="AK368" s="39" t="e">
        <f>IF($R368="MTO","",
IF($H368=0,ROUNDUP(((_xlfn.XLOOKUP($A368,'[1]DATOS PBI Artículos'!$A:$A,'[1]DATOS PBI Artículos'!$AO:$AO))/(_xlfn.XLOOKUP($AL$1,[1]CRITERIOS!$S$16:$S$39,[1]CRITERIOS!$Y$16:$Y$39))*$J368+$Z368)/$G368,0)*$G368,
((_xlfn.XLOOKUP($A368,'[1]DATOS PBI Artículos'!$A:$A,'[1]DATOS PBI Artículos'!$AO:$AO))/(_xlfn.XLOOKUP($AL$1,[1]CRITERIOS!$S$16:$S$39,[1]CRITERIOS!$Y$16:$Y$39))*$J368+$Z368)))</f>
        <v>#N/A</v>
      </c>
    </row>
    <row r="369" spans="1:37" ht="25.8" hidden="1" x14ac:dyDescent="0.4">
      <c r="A369" s="41"/>
      <c r="B369" s="33">
        <f>_xlfn.XLOOKUP($A369,'[1]DATOS PBI Artículos'!A:A,'[1]DATOS PBI Artículos'!B:B)</f>
        <v>0</v>
      </c>
      <c r="C369" s="33">
        <f>_xlfn.XLOOKUP($A369,'[1]DATOS PBI Artículos'!A:A,'[1]DATOS PBI Artículos'!C:C)</f>
        <v>0</v>
      </c>
      <c r="D369" s="33">
        <f>_xlfn.XLOOKUP(A369,'[1]DATOS PBI Artículos'!A:A,'[1]DATOS PBI Artículos'!T:T)</f>
        <v>0</v>
      </c>
      <c r="E369" s="34">
        <f>IF(_xlfn.XLOOKUP($A369,'[1]DATOS PBI Artículos'!A:A,'[1]DATOS PBI Artículos'!AK:AK)="",_xlfn.XLOOKUP($A369,'[1]DATOS PBI Artículos'!A:A,'[1]DATOS PBI Artículos'!AJ:AJ),_xlfn.XLOOKUP($A369,'[1]DATOS PBI Artículos'!A:A,'[1]DATOS PBI Artículos'!AK:AK))</f>
        <v>0</v>
      </c>
      <c r="F369" s="35">
        <f>_xlfn.XLOOKUP($A369,'[1]DATOS PBI Artículos'!A:A,'[1]DATOS PBI Artículos'!AP:AP)</f>
        <v>0</v>
      </c>
      <c r="G369" s="34">
        <f>_xlfn.XLOOKUP($A369,'[1]DATOS PBI Artículos'!A:A,'[1]DATOS PBI Artículos'!AR:AR)</f>
        <v>0</v>
      </c>
      <c r="H369" s="34">
        <f>_xlfn.XLOOKUP($A369,'[1]DATOS PBI Artículos'!A:A,'[1]DATOS PBI Artículos'!AT:AT)</f>
        <v>0</v>
      </c>
      <c r="I369" s="34">
        <f>_xlfn.XLOOKUP($A369,'[1]DATOS PBI Artículos'!A:A,'[1]DATOS PBI Artículos'!AS:AS)</f>
        <v>0</v>
      </c>
      <c r="J369" s="35">
        <f>IF(COUNTIF([1]CRITERIOS!$F$179:$F$199,$A369)&gt;=1,
 IF(O369&lt;&gt;"",
    (O369/_xlfn.XLOOKUP(CONCATENATE(A369,L369),[1]MÁQUINAS!A:A,[1]MÁQUINAS!D:D))/24,
    (N369/_xlfn.XLOOKUP(CONCATENATE(A369,L369),[1]MÁQUINAS!A:A,[1]MÁQUINAS!D:D))/24),
  _xlfn.XLOOKUP($A369,'[1]DATOS PBI Artículos'!A:A,'[1]DATOS PBI Artículos'!AU:AU))</f>
        <v>0</v>
      </c>
      <c r="K369" s="36">
        <f>_xlfn.XLOOKUP($A369,'[1]DATOS PBI Artículos'!A:A,'[1]DATOS PBI Artículos'!AV:AV)</f>
        <v>0</v>
      </c>
      <c r="L369" s="33">
        <f>_xlfn.XLOOKUP(A369,[1]MÁQUINAS!B:B,[1]MÁQUINAS!C:C)</f>
        <v>0</v>
      </c>
      <c r="M369" s="34">
        <f t="array" ref="M369">_xlfn.XLOOKUP(A369,'[1]DATOS PBI Artículos'!A:A,'[1]DATOS PBI Artículos'!AX:$AX)</f>
        <v>0</v>
      </c>
      <c r="N369" s="37" t="e">
        <f>IF(I369="DV",
E369,
IF(COUNTIF([1]CRITERIOS!$I$179:$I$199,$A369)&gt;=1,
_xlfn.XLOOKUP($A369,[1]CRITERIOS!$I$179:$I$199,[1]CRITERIOS!$J$179:$J$199),
IF(COUNTIF([1]CRITERIOS!$L$179:$L$199,$A369)&gt;=1,
_xlfn.CEILING.MATH(IF($M369&gt;$E369,
$E369,
IF($M369&lt;$E369/ROUNDDOWN([1]CRITERIOS!$M$16/_xlfn.XLOOKUP($C369,[1]CRITERIOS!$K$25:$K$42,[1]CRITERIOS!$M$25:$M$42),
1),
E369/ROUNDDOWN([1]CRITERIOS!$M$16/_xlfn.XLOOKUP($C369,[1]CRITERIOS!$K$25:$K$42,[1]CRITERIOS!$M$25:$M$42),
1),
$M369)),
_xlfn.XLOOKUP($A369,[1]CRITERIOS!$L$179:$L$200,[1]CRITERIOS!$M$179:$M$200)),
_xlfn.CEILING.MATH(IF($M369&gt;$E369,
$E369,
IF($M369&lt;$E369/ROUNDDOWN([1]CRITERIOS!$M$16/_xlfn.XLOOKUP($C369,[1]CRITERIOS!$K$25:$K$42,[1]CRITERIOS!$M$25:$M$42),
1),
E369/ROUNDDOWN([1]CRITERIOS!$M$16/_xlfn.XLOOKUP($C369,[1]CRITERIOS!$K$25:$K$42,[1]CRITERIOS!$M$25:$M$42),
1),
$M369)),_xlfn.XLOOKUP(A369,'[1]DATOS PBI Artículos'!A:A,'[1]DATOS PBI Artículos'!Z:Z
)))))</f>
        <v>#N/A</v>
      </c>
      <c r="Q369" s="38" t="e">
        <f>IF(AND(O369="",N369=0),
0,
   IF(COUNTIF([1]CRITERIOS!$F$179:$F$199,$A369)&gt;=1,
   1,
   IF(R369="MTO",
      $D369,
      ROUNDUP(
                    IF(($E369-SUMIF('[1]DATOS PBI Artículos'!A:A,A369,'[1]DATOS PBI Artículos'!X:X)+($V369-_xlfn.XLOOKUP(A369,'[1]DATOS PBI Artículos'!A:A,'[1]DATOS PBI Artículos'!W:W)))&lt;0,
                    0,
                    IF(($E369-SUMIF('[1]DATOS PBI Artículos'!A:A,A369,'[1]DATOS PBI Artículos'!X:X)+$V369-_xlfn.XLOOKUP($A369,'[1]DATOS PBI Artículos'!A:A,'[1]DATOS PBI Artículos'!W:W))/IF($O369="",$N369,$O369)&gt;ROUNDUP([1]CRITERIOS!$M$16/(IF(COUNTIF([1]CRITERIOS!$BG$11:$BG$201,L369)&gt;=1,_xlfn.XLOOKUP($C369,[1]CRITERIOS!$K$25:$K$42,[1]CRITERIOS!$M$25:$M$42),_xlfn.XLOOKUP($C369,[1]CRITERIOS!$K$25:$K$42,[1]CRITERIOS!$M$25:$M$42))),0),
                    ROUNDUP([1]CRITERIOS!$M$16/(IF(COUNTIF([1]CRITERIOS!$BG$11:$BG$201,$L369)&gt;=1,_xlfn.XLOOKUP($C369,[1]CRITERIOS!$K$25:$K$42,[1]CRITERIOS!$M$25:$M$42),_xlfn.XLOOKUP($C369,[1]CRITERIOS!$K$25:$K$42,[1]CRITERIOS!$M$25:$M$42))),0),
                    (E369+V369-SUMIF('[1]DATOS PBI Artículos'!A:A,A369,'[1]DATOS PBI Artículos'!X:X)-_xlfn.XLOOKUP(A369,'[1]DATOS PBI Artículos'!A:A,'[1]DATOS PBI Artículos'!W:W))/IF($O369="",$N369,$O369))),0))))</f>
        <v>#N/A</v>
      </c>
      <c r="R369" s="33" t="e">
        <f>IF(U369&lt;&gt;"",U369,IF(F369="DV","MTO",IF(N369=0,"MTO",_xlfn.XLOOKUP(CONCATENATE(S369,T369),[1]CRITERIOS!$K$160:$K$168,[1]CRITERIOS!$N$160:$N$168))))</f>
        <v>#N/A</v>
      </c>
      <c r="S369" s="33" t="e">
        <f>IF(G369="DV","MTO",IF(N369=0,"MTO",IF(OR(AND(N369=0,O369=""),IF(O369="",G369/N369,G369/O369)&gt;[1]CRITERIOS!$G$163),"MTO",IF(IF(O369="",G369/N369,G369/O369)&lt;[1]CRITERIOS!$H$161,"MTS","MTOS"))))</f>
        <v>#N/A</v>
      </c>
      <c r="T369" s="33" t="e">
        <f>IF(F369="DV","MTO",IF(OR(AND($N369=0,O369=""),$F369/$J369&gt;[1]CRITERIOS!$G$170,$F369="DV"),"MTO",IF($F369/$J369&lt;[1]CRITERIOS!$H$168,"MTS","MTOS")))</f>
        <v>#N/A</v>
      </c>
      <c r="V369" s="34" t="e">
        <f t="shared" si="19"/>
        <v>#N/A</v>
      </c>
      <c r="X369" s="34" t="e">
        <f t="shared" si="17"/>
        <v>#N/A</v>
      </c>
      <c r="Y369" s="34" t="e">
        <f t="shared" si="18"/>
        <v>#N/A</v>
      </c>
      <c r="Z369" s="34" t="e">
        <f>IF($R369="MTO",
0,
($H369+$K369*($E369/[1]CRITERIOS!$M$16))/[1]CRITERIOS!$X$48)</f>
        <v>#N/A</v>
      </c>
      <c r="AA369" s="34" t="e">
        <f>ROUNDUP(($Y369/_xlfn.XLOOKUP($A369,'[1]DATOS PBI Artículos'!$A$4:$A$4,'[1]DATOS PBI Artículos'!$Z$4:$Z$4))/_xlfn.XLOOKUP(_xlfn.XLOOKUP($A369,'[1]DATOS PBI Artículos'!$A$4:$A$4,'[1]DATOS PBI Artículos'!$Y$4:$Y$4),[1]CRITERIOS!$P$79:$P$123,[1]CRITERIOS!$S$79:$S$123,),0)</f>
        <v>#N/A</v>
      </c>
      <c r="AB369" s="33" t="e">
        <f t="array" ref="AB369">IF((E369+V369-_xlfn.XLOOKUP(A369,'[1]DATOS PBI Artículos'!$A$4:$A$4,'[1]DATOS PBI Artículos'!$W$4:$W$4))/N369&gt;ROUNDUP([1]CRITERIOS!$M$16/(IF(COUNTIF([1]CRITERIOS!$BG$11:$BG$201,L369)&gt;=1,_xlfn.XLOOKUP(ARTÍCULOS!L369,[1]CRITERIOS!$BG$11:$BG$201,[1]CRITERIOS!$BJ$11:$BJ$201),_xlfn.XLOOKUP(ARTÍCULOS!C369,[1]CRITERIOS!$K$25:$K$42,[1]CRITERIOS!$M$25:$M$42))),0),ROUNDUP([1]CRITERIOS!$M$16/(IF(COUNTIF([1]CRITERIOS!$BG$11:$BG$201,L369)&gt;=1,_xlfn.XLOOKUP(ARTÍCULOS!L369,[1]CRITERIOS!$BG$11:$BG$201:#REF!,[1]CRITERIOS!$BJ$11:$BJ$201),_xlfn.XLOOKUP(ARTÍCULOS!C369,[1]CRITERIOS!$K$25:$K$42,[1]CRITERIOS!$M$25:$M$42))),0),(E369+V369-_xlfn.XLOOKUP(A369,'[1]DATOS PBI Artículos'!$A$4:$A$4,'[1]DATOS PBI Artículos'!$W$4:$W$4))/N369)</f>
        <v>#N/A</v>
      </c>
      <c r="AC369" s="33" t="e">
        <f>IF(N369=0,"",(ROUNDUP((N369/2)/(_xlfn.XLOOKUP(A369,'[1]DATOS PBI Artículos'!$A$4:$A$4,'[1]DATOS PBI Artículos'!$Z$4:$Z$4)*_xlfn.XLOOKUP(_xlfn.XLOOKUP(A369,'[1]DATOS PBI Artículos'!$A$4:$A$4,'[1]DATOS PBI Artículos'!$Y$4:$Y$4),[1]CRITERIOS!$P$79:$P$123,[1]CRITERIOS!$S$79:$S$123)),0)*[1]CRITERIOS!$M$80*([1]CRITERIOS!$M$110/[1]CRITERIOS!$M$86)+(_xlfn.XLOOKUP(A369,'[1]DATOS PBI Artículos'!$A$4:$A$4,'[1]DATOS PBI Artículos'!$AA$4:$AA$4)*([1]CRITERIOS!$M$95+[1]CRITERIOS!$M$98)))/N369)</f>
        <v>#N/A</v>
      </c>
      <c r="AD369" s="33" t="e">
        <f>IF(N369=0,"",(ROUNDUP((N369/2)/(_xlfn.XLOOKUP(A369,'[1]DATOS PBI Artículos'!$A$4:$A$4,'[1]DATOS PBI Artículos'!$Z$4:$Z$4)*_xlfn.XLOOKUP(_xlfn.XLOOKUP(A369,'[1]DATOS PBI Artículos'!$A$4:$A$4,'[1]DATOS PBI Artículos'!$Y$4:$Y$4),[1]CRITERIOS!$P$79:$P$123,[1]CRITERIOS!$S$79:$S$123)),0)*[1]CRITERIOS!$M$80*([1]CRITERIOS!$M$89*[1]CRITERIOS!$M$92)+((_xlfn.XLOOKUP(A369,'[1]DATOS PBI Artículos'!$A$4:$A$4,'[1]DATOS PBI Artículos'!$AA$4:$AA$4)/2)*([1]CRITERIOS!$M$95+[1]CRITERIOS!$M$98)))/N369)</f>
        <v>#N/A</v>
      </c>
      <c r="AE369" s="39" t="e">
        <f>IF($R369="MTO","",
IF($H369=0,ROUNDUP(((_xlfn.XLOOKUP($A369,'[1]DATOS PBI Artículos'!$A:$A,'[1]DATOS PBI Artículos'!$AL:$AL))/(_xlfn.XLOOKUP($AF$1,[1]CRITERIOS!$S$16:$S$39,[1]CRITERIOS!$Y$16:$Y$39))*$J369+$Z369)/$G369,0)*$G369,
((_xlfn.XLOOKUP($A369,'[1]DATOS PBI Artículos'!$A:$A,'[1]DATOS PBI Artículos'!$AL:$AL))/(_xlfn.XLOOKUP($AF$1,[1]CRITERIOS!$S$16:$S$39,[1]CRITERIOS!$Y$16:$Y$39))*$J369+$Z369)))</f>
        <v>#N/A</v>
      </c>
      <c r="AG369" s="39" t="e">
        <f>IF($R369="MTO","",
IF($H369=0,ROUNDUP(((_xlfn.XLOOKUP($A369,'[1]DATOS PBI Artículos'!$A:$A,'[1]DATOS PBI Artículos'!$AM:$AM))/(_xlfn.XLOOKUP($AH$1,[1]CRITERIOS!$S$16:$S$39,[1]CRITERIOS!$Y$16:$Y$39))*$J369+$Z369)/$G369,0)*$G369,
((_xlfn.XLOOKUP($A369,'[1]DATOS PBI Artículos'!$A:$A,'[1]DATOS PBI Artículos'!$AM:$AM))/(_xlfn.XLOOKUP($AH$1,[1]CRITERIOS!$S$16:$S$39,[1]CRITERIOS!$Y$16:$Y$39))*$J369+$Z369)))</f>
        <v>#N/A</v>
      </c>
      <c r="AI369" s="39" t="e">
        <f>IF($R369="MTO","",
IF($H369=0,ROUNDUP(((_xlfn.XLOOKUP($A369,'[1]DATOS PBI Artículos'!$A:$A,'[1]DATOS PBI Artículos'!$AN:$AN))/(_xlfn.XLOOKUP($AJ$1,[1]CRITERIOS!$S$16:$S$39,[1]CRITERIOS!$Y$16:$Y$39))*$J369+$Z369)/$G369,0)*$G369,
((_xlfn.XLOOKUP($A369,'[1]DATOS PBI Artículos'!$A:$A,'[1]DATOS PBI Artículos'!$AN:$AN))/(_xlfn.XLOOKUP($AJ$1,[1]CRITERIOS!$S$16:$S$39,[1]CRITERIOS!$Y$16:$Y$39))*$J369+$Z369)))</f>
        <v>#N/A</v>
      </c>
      <c r="AK369" s="39" t="e">
        <f>IF($R369="MTO","",
IF($H369=0,ROUNDUP(((_xlfn.XLOOKUP($A369,'[1]DATOS PBI Artículos'!$A:$A,'[1]DATOS PBI Artículos'!$AO:$AO))/(_xlfn.XLOOKUP($AL$1,[1]CRITERIOS!$S$16:$S$39,[1]CRITERIOS!$Y$16:$Y$39))*$J369+$Z369)/$G369,0)*$G369,
((_xlfn.XLOOKUP($A369,'[1]DATOS PBI Artículos'!$A:$A,'[1]DATOS PBI Artículos'!$AO:$AO))/(_xlfn.XLOOKUP($AL$1,[1]CRITERIOS!$S$16:$S$39,[1]CRITERIOS!$Y$16:$Y$39))*$J369+$Z369)))</f>
        <v>#N/A</v>
      </c>
    </row>
    <row r="370" spans="1:37" ht="25.8" hidden="1" x14ac:dyDescent="0.4">
      <c r="A370" s="41"/>
      <c r="B370" s="33">
        <f>_xlfn.XLOOKUP($A370,'[1]DATOS PBI Artículos'!A:A,'[1]DATOS PBI Artículos'!B:B)</f>
        <v>0</v>
      </c>
      <c r="C370" s="33">
        <f>_xlfn.XLOOKUP($A370,'[1]DATOS PBI Artículos'!A:A,'[1]DATOS PBI Artículos'!C:C)</f>
        <v>0</v>
      </c>
      <c r="D370" s="33">
        <f>_xlfn.XLOOKUP(A370,'[1]DATOS PBI Artículos'!A:A,'[1]DATOS PBI Artículos'!T:T)</f>
        <v>0</v>
      </c>
      <c r="E370" s="34">
        <f>IF(_xlfn.XLOOKUP($A370,'[1]DATOS PBI Artículos'!A:A,'[1]DATOS PBI Artículos'!AK:AK)="",_xlfn.XLOOKUP($A370,'[1]DATOS PBI Artículos'!A:A,'[1]DATOS PBI Artículos'!AJ:AJ),_xlfn.XLOOKUP($A370,'[1]DATOS PBI Artículos'!A:A,'[1]DATOS PBI Artículos'!AK:AK))</f>
        <v>0</v>
      </c>
      <c r="F370" s="35">
        <f>_xlfn.XLOOKUP($A370,'[1]DATOS PBI Artículos'!A:A,'[1]DATOS PBI Artículos'!AP:AP)</f>
        <v>0</v>
      </c>
      <c r="G370" s="34">
        <f>_xlfn.XLOOKUP($A370,'[1]DATOS PBI Artículos'!A:A,'[1]DATOS PBI Artículos'!AR:AR)</f>
        <v>0</v>
      </c>
      <c r="H370" s="34">
        <f>_xlfn.XLOOKUP($A370,'[1]DATOS PBI Artículos'!A:A,'[1]DATOS PBI Artículos'!AT:AT)</f>
        <v>0</v>
      </c>
      <c r="I370" s="34">
        <f>_xlfn.XLOOKUP($A370,'[1]DATOS PBI Artículos'!A:A,'[1]DATOS PBI Artículos'!AS:AS)</f>
        <v>0</v>
      </c>
      <c r="J370" s="35">
        <f>IF(COUNTIF([1]CRITERIOS!$F$179:$F$199,$A370)&gt;=1,
 IF(O370&lt;&gt;"",
    (O370/_xlfn.XLOOKUP(CONCATENATE(A370,L370),[1]MÁQUINAS!A:A,[1]MÁQUINAS!D:D))/24,
    (N370/_xlfn.XLOOKUP(CONCATENATE(A370,L370),[1]MÁQUINAS!A:A,[1]MÁQUINAS!D:D))/24),
  _xlfn.XLOOKUP($A370,'[1]DATOS PBI Artículos'!A:A,'[1]DATOS PBI Artículos'!AU:AU))</f>
        <v>0</v>
      </c>
      <c r="K370" s="36">
        <f>_xlfn.XLOOKUP($A370,'[1]DATOS PBI Artículos'!A:A,'[1]DATOS PBI Artículos'!AV:AV)</f>
        <v>0</v>
      </c>
      <c r="L370" s="33">
        <f>_xlfn.XLOOKUP(A370,[1]MÁQUINAS!B:B,[1]MÁQUINAS!C:C)</f>
        <v>0</v>
      </c>
      <c r="M370" s="34">
        <f t="array" ref="M370">_xlfn.XLOOKUP(A370,'[1]DATOS PBI Artículos'!A:A,'[1]DATOS PBI Artículos'!AX:$AX)</f>
        <v>0</v>
      </c>
      <c r="N370" s="37" t="e">
        <f>IF(I370="DV",
E370,
IF(COUNTIF([1]CRITERIOS!$I$179:$I$199,$A370)&gt;=1,
_xlfn.XLOOKUP($A370,[1]CRITERIOS!$I$179:$I$199,[1]CRITERIOS!$J$179:$J$199),
IF(COUNTIF([1]CRITERIOS!$L$179:$L$199,$A370)&gt;=1,
_xlfn.CEILING.MATH(IF($M370&gt;$E370,
$E370,
IF($M370&lt;$E370/ROUNDDOWN([1]CRITERIOS!$M$16/_xlfn.XLOOKUP($C370,[1]CRITERIOS!$K$25:$K$42,[1]CRITERIOS!$M$25:$M$42),
1),
E370/ROUNDDOWN([1]CRITERIOS!$M$16/_xlfn.XLOOKUP($C370,[1]CRITERIOS!$K$25:$K$42,[1]CRITERIOS!$M$25:$M$42),
1),
$M370)),
_xlfn.XLOOKUP($A370,[1]CRITERIOS!$L$179:$L$200,[1]CRITERIOS!$M$179:$M$200)),
_xlfn.CEILING.MATH(IF($M370&gt;$E370,
$E370,
IF($M370&lt;$E370/ROUNDDOWN([1]CRITERIOS!$M$16/_xlfn.XLOOKUP($C370,[1]CRITERIOS!$K$25:$K$42,[1]CRITERIOS!$M$25:$M$42),
1),
E370/ROUNDDOWN([1]CRITERIOS!$M$16/_xlfn.XLOOKUP($C370,[1]CRITERIOS!$K$25:$K$42,[1]CRITERIOS!$M$25:$M$42),
1),
$M370)),_xlfn.XLOOKUP(A370,'[1]DATOS PBI Artículos'!A:A,'[1]DATOS PBI Artículos'!Z:Z
)))))</f>
        <v>#N/A</v>
      </c>
      <c r="Q370" s="38" t="e">
        <f>IF(AND(O370="",N370=0),
0,
   IF(COUNTIF([1]CRITERIOS!$F$179:$F$199,$A370)&gt;=1,
   1,
   IF(R370="MTO",
      $D370,
      ROUNDUP(
                    IF(($E370-SUMIF('[1]DATOS PBI Artículos'!A:A,A370,'[1]DATOS PBI Artículos'!X:X)+($V370-_xlfn.XLOOKUP(A370,'[1]DATOS PBI Artículos'!A:A,'[1]DATOS PBI Artículos'!W:W)))&lt;0,
                    0,
                    IF(($E370-SUMIF('[1]DATOS PBI Artículos'!A:A,A370,'[1]DATOS PBI Artículos'!X:X)+$V370-_xlfn.XLOOKUP($A370,'[1]DATOS PBI Artículos'!A:A,'[1]DATOS PBI Artículos'!W:W))/IF($O370="",$N370,$O370)&gt;ROUNDUP([1]CRITERIOS!$M$16/(IF(COUNTIF([1]CRITERIOS!$BG$11:$BG$201,L370)&gt;=1,_xlfn.XLOOKUP($C370,[1]CRITERIOS!$K$25:$K$42,[1]CRITERIOS!$M$25:$M$42),_xlfn.XLOOKUP($C370,[1]CRITERIOS!$K$25:$K$42,[1]CRITERIOS!$M$25:$M$42))),0),
                    ROUNDUP([1]CRITERIOS!$M$16/(IF(COUNTIF([1]CRITERIOS!$BG$11:$BG$201,$L370)&gt;=1,_xlfn.XLOOKUP($C370,[1]CRITERIOS!$K$25:$K$42,[1]CRITERIOS!$M$25:$M$42),_xlfn.XLOOKUP($C370,[1]CRITERIOS!$K$25:$K$42,[1]CRITERIOS!$M$25:$M$42))),0),
                    (E370+V370-SUMIF('[1]DATOS PBI Artículos'!A:A,A370,'[1]DATOS PBI Artículos'!X:X)-_xlfn.XLOOKUP(A370,'[1]DATOS PBI Artículos'!A:A,'[1]DATOS PBI Artículos'!W:W))/IF($O370="",$N370,$O370))),0))))</f>
        <v>#N/A</v>
      </c>
      <c r="R370" s="33" t="e">
        <f>IF(U370&lt;&gt;"",U370,IF(F370="DV","MTO",IF(N370=0,"MTO",_xlfn.XLOOKUP(CONCATENATE(S370,T370),[1]CRITERIOS!$K$160:$K$168,[1]CRITERIOS!$N$160:$N$168))))</f>
        <v>#N/A</v>
      </c>
      <c r="S370" s="33" t="e">
        <f>IF(G370="DV","MTO",IF(N370=0,"MTO",IF(OR(AND(N370=0,O370=""),IF(O370="",G370/N370,G370/O370)&gt;[1]CRITERIOS!$G$163),"MTO",IF(IF(O370="",G370/N370,G370/O370)&lt;[1]CRITERIOS!$H$161,"MTS","MTOS"))))</f>
        <v>#N/A</v>
      </c>
      <c r="T370" s="33" t="e">
        <f>IF(F370="DV","MTO",IF(OR(AND($N370=0,O370=""),$F370/$J370&gt;[1]CRITERIOS!$G$170,$F370="DV"),"MTO",IF($F370/$J370&lt;[1]CRITERIOS!$H$168,"MTS","MTOS")))</f>
        <v>#N/A</v>
      </c>
      <c r="V370" s="34" t="e">
        <f t="shared" si="19"/>
        <v>#N/A</v>
      </c>
      <c r="X370" s="34" t="e">
        <f t="shared" si="17"/>
        <v>#N/A</v>
      </c>
      <c r="Y370" s="34" t="e">
        <f t="shared" si="18"/>
        <v>#N/A</v>
      </c>
      <c r="Z370" s="34" t="e">
        <f>IF($R370="MTO",
0,
($H370+$K370*($E370/[1]CRITERIOS!$M$16))/[1]CRITERIOS!$X$48)</f>
        <v>#N/A</v>
      </c>
      <c r="AA370" s="34" t="e">
        <f>ROUNDUP(($Y370/_xlfn.XLOOKUP($A370,'[1]DATOS PBI Artículos'!$A$4:$A$4,'[1]DATOS PBI Artículos'!$Z$4:$Z$4))/_xlfn.XLOOKUP(_xlfn.XLOOKUP($A370,'[1]DATOS PBI Artículos'!$A$4:$A$4,'[1]DATOS PBI Artículos'!$Y$4:$Y$4),[1]CRITERIOS!$P$79:$P$123,[1]CRITERIOS!$S$79:$S$123,),0)</f>
        <v>#N/A</v>
      </c>
      <c r="AB370" s="33" t="e">
        <f t="array" ref="AB370">IF((E370+V370-_xlfn.XLOOKUP(A370,'[1]DATOS PBI Artículos'!$A$4:$A$4,'[1]DATOS PBI Artículos'!$W$4:$W$4))/N370&gt;ROUNDUP([1]CRITERIOS!$M$16/(IF(COUNTIF([1]CRITERIOS!$BG$11:$BG$201,L370)&gt;=1,_xlfn.XLOOKUP(ARTÍCULOS!L370,[1]CRITERIOS!$BG$11:$BG$201,[1]CRITERIOS!$BJ$11:$BJ$201),_xlfn.XLOOKUP(ARTÍCULOS!C370,[1]CRITERIOS!$K$25:$K$42,[1]CRITERIOS!$M$25:$M$42))),0),ROUNDUP([1]CRITERIOS!$M$16/(IF(COUNTIF([1]CRITERIOS!$BG$11:$BG$201,L370)&gt;=1,_xlfn.XLOOKUP(ARTÍCULOS!L370,[1]CRITERIOS!$BG$11:$BG$201:#REF!,[1]CRITERIOS!$BJ$11:$BJ$201),_xlfn.XLOOKUP(ARTÍCULOS!C370,[1]CRITERIOS!$K$25:$K$42,[1]CRITERIOS!$M$25:$M$42))),0),(E370+V370-_xlfn.XLOOKUP(A370,'[1]DATOS PBI Artículos'!$A$4:$A$4,'[1]DATOS PBI Artículos'!$W$4:$W$4))/N370)</f>
        <v>#N/A</v>
      </c>
      <c r="AC370" s="33" t="e">
        <f>IF(N370=0,"",(ROUNDUP((N370/2)/(_xlfn.XLOOKUP(A370,'[1]DATOS PBI Artículos'!$A$4:$A$4,'[1]DATOS PBI Artículos'!$Z$4:$Z$4)*_xlfn.XLOOKUP(_xlfn.XLOOKUP(A370,'[1]DATOS PBI Artículos'!$A$4:$A$4,'[1]DATOS PBI Artículos'!$Y$4:$Y$4),[1]CRITERIOS!$P$79:$P$123,[1]CRITERIOS!$S$79:$S$123)),0)*[1]CRITERIOS!$M$80*([1]CRITERIOS!$M$110/[1]CRITERIOS!$M$86)+(_xlfn.XLOOKUP(A370,'[1]DATOS PBI Artículos'!$A$4:$A$4,'[1]DATOS PBI Artículos'!$AA$4:$AA$4)*([1]CRITERIOS!$M$95+[1]CRITERIOS!$M$98)))/N370)</f>
        <v>#N/A</v>
      </c>
      <c r="AD370" s="33" t="e">
        <f>IF(N370=0,"",(ROUNDUP((N370/2)/(_xlfn.XLOOKUP(A370,'[1]DATOS PBI Artículos'!$A$4:$A$4,'[1]DATOS PBI Artículos'!$Z$4:$Z$4)*_xlfn.XLOOKUP(_xlfn.XLOOKUP(A370,'[1]DATOS PBI Artículos'!$A$4:$A$4,'[1]DATOS PBI Artículos'!$Y$4:$Y$4),[1]CRITERIOS!$P$79:$P$123,[1]CRITERIOS!$S$79:$S$123)),0)*[1]CRITERIOS!$M$80*([1]CRITERIOS!$M$89*[1]CRITERIOS!$M$92)+((_xlfn.XLOOKUP(A370,'[1]DATOS PBI Artículos'!$A$4:$A$4,'[1]DATOS PBI Artículos'!$AA$4:$AA$4)/2)*([1]CRITERIOS!$M$95+[1]CRITERIOS!$M$98)))/N370)</f>
        <v>#N/A</v>
      </c>
      <c r="AE370" s="39" t="e">
        <f>IF($R370="MTO","",
IF($H370=0,ROUNDUP(((_xlfn.XLOOKUP($A370,'[1]DATOS PBI Artículos'!$A:$A,'[1]DATOS PBI Artículos'!$AL:$AL))/(_xlfn.XLOOKUP($AF$1,[1]CRITERIOS!$S$16:$S$39,[1]CRITERIOS!$Y$16:$Y$39))*$J370+$Z370)/$G370,0)*$G370,
((_xlfn.XLOOKUP($A370,'[1]DATOS PBI Artículos'!$A:$A,'[1]DATOS PBI Artículos'!$AL:$AL))/(_xlfn.XLOOKUP($AF$1,[1]CRITERIOS!$S$16:$S$39,[1]CRITERIOS!$Y$16:$Y$39))*$J370+$Z370)))</f>
        <v>#N/A</v>
      </c>
      <c r="AG370" s="39" t="e">
        <f>IF($R370="MTO","",
IF($H370=0,ROUNDUP(((_xlfn.XLOOKUP($A370,'[1]DATOS PBI Artículos'!$A:$A,'[1]DATOS PBI Artículos'!$AM:$AM))/(_xlfn.XLOOKUP($AH$1,[1]CRITERIOS!$S$16:$S$39,[1]CRITERIOS!$Y$16:$Y$39))*$J370+$Z370)/$G370,0)*$G370,
((_xlfn.XLOOKUP($A370,'[1]DATOS PBI Artículos'!$A:$A,'[1]DATOS PBI Artículos'!$AM:$AM))/(_xlfn.XLOOKUP($AH$1,[1]CRITERIOS!$S$16:$S$39,[1]CRITERIOS!$Y$16:$Y$39))*$J370+$Z370)))</f>
        <v>#N/A</v>
      </c>
      <c r="AI370" s="39" t="e">
        <f>IF($R370="MTO","",
IF($H370=0,ROUNDUP(((_xlfn.XLOOKUP($A370,'[1]DATOS PBI Artículos'!$A:$A,'[1]DATOS PBI Artículos'!$AN:$AN))/(_xlfn.XLOOKUP($AJ$1,[1]CRITERIOS!$S$16:$S$39,[1]CRITERIOS!$Y$16:$Y$39))*$J370+$Z370)/$G370,0)*$G370,
((_xlfn.XLOOKUP($A370,'[1]DATOS PBI Artículos'!$A:$A,'[1]DATOS PBI Artículos'!$AN:$AN))/(_xlfn.XLOOKUP($AJ$1,[1]CRITERIOS!$S$16:$S$39,[1]CRITERIOS!$Y$16:$Y$39))*$J370+$Z370)))</f>
        <v>#N/A</v>
      </c>
      <c r="AK370" s="39" t="e">
        <f>IF($R370="MTO","",
IF($H370=0,ROUNDUP(((_xlfn.XLOOKUP($A370,'[1]DATOS PBI Artículos'!$A:$A,'[1]DATOS PBI Artículos'!$AO:$AO))/(_xlfn.XLOOKUP($AL$1,[1]CRITERIOS!$S$16:$S$39,[1]CRITERIOS!$Y$16:$Y$39))*$J370+$Z370)/$G370,0)*$G370,
((_xlfn.XLOOKUP($A370,'[1]DATOS PBI Artículos'!$A:$A,'[1]DATOS PBI Artículos'!$AO:$AO))/(_xlfn.XLOOKUP($AL$1,[1]CRITERIOS!$S$16:$S$39,[1]CRITERIOS!$Y$16:$Y$39))*$J370+$Z370)))</f>
        <v>#N/A</v>
      </c>
    </row>
    <row r="371" spans="1:37" ht="25.8" hidden="1" x14ac:dyDescent="0.4">
      <c r="A371" s="41"/>
      <c r="B371" s="33">
        <f>_xlfn.XLOOKUP($A371,'[1]DATOS PBI Artículos'!A:A,'[1]DATOS PBI Artículos'!B:B)</f>
        <v>0</v>
      </c>
      <c r="C371" s="33">
        <f>_xlfn.XLOOKUP($A371,'[1]DATOS PBI Artículos'!A:A,'[1]DATOS PBI Artículos'!C:C)</f>
        <v>0</v>
      </c>
      <c r="D371" s="33">
        <f>_xlfn.XLOOKUP(A371,'[1]DATOS PBI Artículos'!A:A,'[1]DATOS PBI Artículos'!T:T)</f>
        <v>0</v>
      </c>
      <c r="E371" s="34">
        <f>IF(_xlfn.XLOOKUP($A371,'[1]DATOS PBI Artículos'!A:A,'[1]DATOS PBI Artículos'!AK:AK)="",_xlfn.XLOOKUP($A371,'[1]DATOS PBI Artículos'!A:A,'[1]DATOS PBI Artículos'!AJ:AJ),_xlfn.XLOOKUP($A371,'[1]DATOS PBI Artículos'!A:A,'[1]DATOS PBI Artículos'!AK:AK))</f>
        <v>0</v>
      </c>
      <c r="F371" s="35">
        <f>_xlfn.XLOOKUP($A371,'[1]DATOS PBI Artículos'!A:A,'[1]DATOS PBI Artículos'!AP:AP)</f>
        <v>0</v>
      </c>
      <c r="G371" s="34">
        <f>_xlfn.XLOOKUP($A371,'[1]DATOS PBI Artículos'!A:A,'[1]DATOS PBI Artículos'!AR:AR)</f>
        <v>0</v>
      </c>
      <c r="H371" s="34">
        <f>_xlfn.XLOOKUP($A371,'[1]DATOS PBI Artículos'!A:A,'[1]DATOS PBI Artículos'!AT:AT)</f>
        <v>0</v>
      </c>
      <c r="I371" s="34">
        <f>_xlfn.XLOOKUP($A371,'[1]DATOS PBI Artículos'!A:A,'[1]DATOS PBI Artículos'!AS:AS)</f>
        <v>0</v>
      </c>
      <c r="J371" s="35">
        <f>IF(COUNTIF([1]CRITERIOS!$F$179:$F$199,$A371)&gt;=1,
 IF(O371&lt;&gt;"",
    (O371/_xlfn.XLOOKUP(CONCATENATE(A371,L371),[1]MÁQUINAS!A:A,[1]MÁQUINAS!D:D))/24,
    (N371/_xlfn.XLOOKUP(CONCATENATE(A371,L371),[1]MÁQUINAS!A:A,[1]MÁQUINAS!D:D))/24),
  _xlfn.XLOOKUP($A371,'[1]DATOS PBI Artículos'!A:A,'[1]DATOS PBI Artículos'!AU:AU))</f>
        <v>0</v>
      </c>
      <c r="K371" s="36">
        <f>_xlfn.XLOOKUP($A371,'[1]DATOS PBI Artículos'!A:A,'[1]DATOS PBI Artículos'!AV:AV)</f>
        <v>0</v>
      </c>
      <c r="L371" s="33">
        <f>_xlfn.XLOOKUP(A371,[1]MÁQUINAS!B:B,[1]MÁQUINAS!C:C)</f>
        <v>0</v>
      </c>
      <c r="M371" s="34">
        <f t="array" ref="M371">_xlfn.XLOOKUP(A371,'[1]DATOS PBI Artículos'!A:A,'[1]DATOS PBI Artículos'!AX:$AX)</f>
        <v>0</v>
      </c>
      <c r="N371" s="37" t="e">
        <f>IF(I371="DV",
E371,
IF(COUNTIF([1]CRITERIOS!$I$179:$I$199,$A371)&gt;=1,
_xlfn.XLOOKUP($A371,[1]CRITERIOS!$I$179:$I$199,[1]CRITERIOS!$J$179:$J$199),
IF(COUNTIF([1]CRITERIOS!$L$179:$L$199,$A371)&gt;=1,
_xlfn.CEILING.MATH(IF($M371&gt;$E371,
$E371,
IF($M371&lt;$E371/ROUNDDOWN([1]CRITERIOS!$M$16/_xlfn.XLOOKUP($C371,[1]CRITERIOS!$K$25:$K$42,[1]CRITERIOS!$M$25:$M$42),
1),
E371/ROUNDDOWN([1]CRITERIOS!$M$16/_xlfn.XLOOKUP($C371,[1]CRITERIOS!$K$25:$K$42,[1]CRITERIOS!$M$25:$M$42),
1),
$M371)),
_xlfn.XLOOKUP($A371,[1]CRITERIOS!$L$179:$L$200,[1]CRITERIOS!$M$179:$M$200)),
_xlfn.CEILING.MATH(IF($M371&gt;$E371,
$E371,
IF($M371&lt;$E371/ROUNDDOWN([1]CRITERIOS!$M$16/_xlfn.XLOOKUP($C371,[1]CRITERIOS!$K$25:$K$42,[1]CRITERIOS!$M$25:$M$42),
1),
E371/ROUNDDOWN([1]CRITERIOS!$M$16/_xlfn.XLOOKUP($C371,[1]CRITERIOS!$K$25:$K$42,[1]CRITERIOS!$M$25:$M$42),
1),
$M371)),_xlfn.XLOOKUP(A371,'[1]DATOS PBI Artículos'!A:A,'[1]DATOS PBI Artículos'!Z:Z
)))))</f>
        <v>#N/A</v>
      </c>
      <c r="Q371" s="38" t="e">
        <f>IF(AND(O371="",N371=0),
0,
   IF(COUNTIF([1]CRITERIOS!$F$179:$F$199,$A371)&gt;=1,
   1,
   IF(R371="MTO",
      $D371,
      ROUNDUP(
                    IF(($E371-SUMIF('[1]DATOS PBI Artículos'!A:A,A371,'[1]DATOS PBI Artículos'!X:X)+($V371-_xlfn.XLOOKUP(A371,'[1]DATOS PBI Artículos'!A:A,'[1]DATOS PBI Artículos'!W:W)))&lt;0,
                    0,
                    IF(($E371-SUMIF('[1]DATOS PBI Artículos'!A:A,A371,'[1]DATOS PBI Artículos'!X:X)+$V371-_xlfn.XLOOKUP($A371,'[1]DATOS PBI Artículos'!A:A,'[1]DATOS PBI Artículos'!W:W))/IF($O371="",$N371,$O371)&gt;ROUNDUP([1]CRITERIOS!$M$16/(IF(COUNTIF([1]CRITERIOS!$BG$11:$BG$201,L371)&gt;=1,_xlfn.XLOOKUP($C371,[1]CRITERIOS!$K$25:$K$42,[1]CRITERIOS!$M$25:$M$42),_xlfn.XLOOKUP($C371,[1]CRITERIOS!$K$25:$K$42,[1]CRITERIOS!$M$25:$M$42))),0),
                    ROUNDUP([1]CRITERIOS!$M$16/(IF(COUNTIF([1]CRITERIOS!$BG$11:$BG$201,$L371)&gt;=1,_xlfn.XLOOKUP($C371,[1]CRITERIOS!$K$25:$K$42,[1]CRITERIOS!$M$25:$M$42),_xlfn.XLOOKUP($C371,[1]CRITERIOS!$K$25:$K$42,[1]CRITERIOS!$M$25:$M$42))),0),
                    (E371+V371-SUMIF('[1]DATOS PBI Artículos'!A:A,A371,'[1]DATOS PBI Artículos'!X:X)-_xlfn.XLOOKUP(A371,'[1]DATOS PBI Artículos'!A:A,'[1]DATOS PBI Artículos'!W:W))/IF($O371="",$N371,$O371))),0))))</f>
        <v>#N/A</v>
      </c>
      <c r="R371" s="33" t="e">
        <f>IF(U371&lt;&gt;"",U371,IF(F371="DV","MTO",IF(N371=0,"MTO",_xlfn.XLOOKUP(CONCATENATE(S371,T371),[1]CRITERIOS!$K$160:$K$168,[1]CRITERIOS!$N$160:$N$168))))</f>
        <v>#N/A</v>
      </c>
      <c r="S371" s="33" t="e">
        <f>IF(G371="DV","MTO",IF(N371=0,"MTO",IF(OR(AND(N371=0,O371=""),IF(O371="",G371/N371,G371/O371)&gt;[1]CRITERIOS!$G$163),"MTO",IF(IF(O371="",G371/N371,G371/O371)&lt;[1]CRITERIOS!$H$161,"MTS","MTOS"))))</f>
        <v>#N/A</v>
      </c>
      <c r="T371" s="33" t="e">
        <f>IF(F371="DV","MTO",IF(OR(AND($N371=0,O371=""),$F371/$J371&gt;[1]CRITERIOS!$G$170,$F371="DV"),"MTO",IF($F371/$J371&lt;[1]CRITERIOS!$H$168,"MTS","MTOS")))</f>
        <v>#N/A</v>
      </c>
      <c r="V371" s="34" t="e">
        <f t="shared" si="19"/>
        <v>#N/A</v>
      </c>
      <c r="X371" s="34" t="e">
        <f t="shared" si="17"/>
        <v>#N/A</v>
      </c>
      <c r="Y371" s="34" t="e">
        <f t="shared" si="18"/>
        <v>#N/A</v>
      </c>
      <c r="Z371" s="34" t="e">
        <f>IF($R371="MTO",
0,
($H371+$K371*($E371/[1]CRITERIOS!$M$16))/[1]CRITERIOS!$X$48)</f>
        <v>#N/A</v>
      </c>
      <c r="AA371" s="34" t="e">
        <f>ROUNDUP(($Y371/_xlfn.XLOOKUP($A371,'[1]DATOS PBI Artículos'!$A$4:$A$4,'[1]DATOS PBI Artículos'!$Z$4:$Z$4))/_xlfn.XLOOKUP(_xlfn.XLOOKUP($A371,'[1]DATOS PBI Artículos'!$A$4:$A$4,'[1]DATOS PBI Artículos'!$Y$4:$Y$4),[1]CRITERIOS!$P$79:$P$123,[1]CRITERIOS!$S$79:$S$123,),0)</f>
        <v>#N/A</v>
      </c>
      <c r="AB371" s="33" t="e">
        <f t="array" ref="AB371">IF((E371+V371-_xlfn.XLOOKUP(A371,'[1]DATOS PBI Artículos'!$A$4:$A$4,'[1]DATOS PBI Artículos'!$W$4:$W$4))/N371&gt;ROUNDUP([1]CRITERIOS!$M$16/(IF(COUNTIF([1]CRITERIOS!$BG$11:$BG$201,L371)&gt;=1,_xlfn.XLOOKUP(ARTÍCULOS!L371,[1]CRITERIOS!$BG$11:$BG$201,[1]CRITERIOS!$BJ$11:$BJ$201),_xlfn.XLOOKUP(ARTÍCULOS!C371,[1]CRITERIOS!$K$25:$K$42,[1]CRITERIOS!$M$25:$M$42))),0),ROUNDUP([1]CRITERIOS!$M$16/(IF(COUNTIF([1]CRITERIOS!$BG$11:$BG$201,L371)&gt;=1,_xlfn.XLOOKUP(ARTÍCULOS!L371,[1]CRITERIOS!$BG$11:$BG$201:#REF!,[1]CRITERIOS!$BJ$11:$BJ$201),_xlfn.XLOOKUP(ARTÍCULOS!C371,[1]CRITERIOS!$K$25:$K$42,[1]CRITERIOS!$M$25:$M$42))),0),(E371+V371-_xlfn.XLOOKUP(A371,'[1]DATOS PBI Artículos'!$A$4:$A$4,'[1]DATOS PBI Artículos'!$W$4:$W$4))/N371)</f>
        <v>#N/A</v>
      </c>
      <c r="AC371" s="33" t="e">
        <f>IF(N371=0,"",(ROUNDUP((N371/2)/(_xlfn.XLOOKUP(A371,'[1]DATOS PBI Artículos'!$A$4:$A$4,'[1]DATOS PBI Artículos'!$Z$4:$Z$4)*_xlfn.XLOOKUP(_xlfn.XLOOKUP(A371,'[1]DATOS PBI Artículos'!$A$4:$A$4,'[1]DATOS PBI Artículos'!$Y$4:$Y$4),[1]CRITERIOS!$P$79:$P$123,[1]CRITERIOS!$S$79:$S$123)),0)*[1]CRITERIOS!$M$80*([1]CRITERIOS!$M$110/[1]CRITERIOS!$M$86)+(_xlfn.XLOOKUP(A371,'[1]DATOS PBI Artículos'!$A$4:$A$4,'[1]DATOS PBI Artículos'!$AA$4:$AA$4)*([1]CRITERIOS!$M$95+[1]CRITERIOS!$M$98)))/N371)</f>
        <v>#N/A</v>
      </c>
      <c r="AD371" s="33" t="e">
        <f>IF(N371=0,"",(ROUNDUP((N371/2)/(_xlfn.XLOOKUP(A371,'[1]DATOS PBI Artículos'!$A$4:$A$4,'[1]DATOS PBI Artículos'!$Z$4:$Z$4)*_xlfn.XLOOKUP(_xlfn.XLOOKUP(A371,'[1]DATOS PBI Artículos'!$A$4:$A$4,'[1]DATOS PBI Artículos'!$Y$4:$Y$4),[1]CRITERIOS!$P$79:$P$123,[1]CRITERIOS!$S$79:$S$123)),0)*[1]CRITERIOS!$M$80*([1]CRITERIOS!$M$89*[1]CRITERIOS!$M$92)+((_xlfn.XLOOKUP(A371,'[1]DATOS PBI Artículos'!$A$4:$A$4,'[1]DATOS PBI Artículos'!$AA$4:$AA$4)/2)*([1]CRITERIOS!$M$95+[1]CRITERIOS!$M$98)))/N371)</f>
        <v>#N/A</v>
      </c>
      <c r="AE371" s="39" t="e">
        <f>IF($R371="MTO","",
IF($H371=0,ROUNDUP(((_xlfn.XLOOKUP($A371,'[1]DATOS PBI Artículos'!$A:$A,'[1]DATOS PBI Artículos'!$AL:$AL))/(_xlfn.XLOOKUP($AF$1,[1]CRITERIOS!$S$16:$S$39,[1]CRITERIOS!$Y$16:$Y$39))*$J371+$Z371)/$G371,0)*$G371,
((_xlfn.XLOOKUP($A371,'[1]DATOS PBI Artículos'!$A:$A,'[1]DATOS PBI Artículos'!$AL:$AL))/(_xlfn.XLOOKUP($AF$1,[1]CRITERIOS!$S$16:$S$39,[1]CRITERIOS!$Y$16:$Y$39))*$J371+$Z371)))</f>
        <v>#N/A</v>
      </c>
      <c r="AG371" s="39" t="e">
        <f>IF($R371="MTO","",
IF($H371=0,ROUNDUP(((_xlfn.XLOOKUP($A371,'[1]DATOS PBI Artículos'!$A:$A,'[1]DATOS PBI Artículos'!$AM:$AM))/(_xlfn.XLOOKUP($AH$1,[1]CRITERIOS!$S$16:$S$39,[1]CRITERIOS!$Y$16:$Y$39))*$J371+$Z371)/$G371,0)*$G371,
((_xlfn.XLOOKUP($A371,'[1]DATOS PBI Artículos'!$A:$A,'[1]DATOS PBI Artículos'!$AM:$AM))/(_xlfn.XLOOKUP($AH$1,[1]CRITERIOS!$S$16:$S$39,[1]CRITERIOS!$Y$16:$Y$39))*$J371+$Z371)))</f>
        <v>#N/A</v>
      </c>
      <c r="AI371" s="39" t="e">
        <f>IF($R371="MTO","",
IF($H371=0,ROUNDUP(((_xlfn.XLOOKUP($A371,'[1]DATOS PBI Artículos'!$A:$A,'[1]DATOS PBI Artículos'!$AN:$AN))/(_xlfn.XLOOKUP($AJ$1,[1]CRITERIOS!$S$16:$S$39,[1]CRITERIOS!$Y$16:$Y$39))*$J371+$Z371)/$G371,0)*$G371,
((_xlfn.XLOOKUP($A371,'[1]DATOS PBI Artículos'!$A:$A,'[1]DATOS PBI Artículos'!$AN:$AN))/(_xlfn.XLOOKUP($AJ$1,[1]CRITERIOS!$S$16:$S$39,[1]CRITERIOS!$Y$16:$Y$39))*$J371+$Z371)))</f>
        <v>#N/A</v>
      </c>
      <c r="AK371" s="39" t="e">
        <f>IF($R371="MTO","",
IF($H371=0,ROUNDUP(((_xlfn.XLOOKUP($A371,'[1]DATOS PBI Artículos'!$A:$A,'[1]DATOS PBI Artículos'!$AO:$AO))/(_xlfn.XLOOKUP($AL$1,[1]CRITERIOS!$S$16:$S$39,[1]CRITERIOS!$Y$16:$Y$39))*$J371+$Z371)/$G371,0)*$G371,
((_xlfn.XLOOKUP($A371,'[1]DATOS PBI Artículos'!$A:$A,'[1]DATOS PBI Artículos'!$AO:$AO))/(_xlfn.XLOOKUP($AL$1,[1]CRITERIOS!$S$16:$S$39,[1]CRITERIOS!$Y$16:$Y$39))*$J371+$Z371)))</f>
        <v>#N/A</v>
      </c>
    </row>
    <row r="372" spans="1:37" ht="25.8" hidden="1" x14ac:dyDescent="0.4">
      <c r="A372" s="41"/>
      <c r="B372" s="33">
        <f>_xlfn.XLOOKUP($A372,'[1]DATOS PBI Artículos'!A:A,'[1]DATOS PBI Artículos'!B:B)</f>
        <v>0</v>
      </c>
      <c r="C372" s="33">
        <f>_xlfn.XLOOKUP($A372,'[1]DATOS PBI Artículos'!A:A,'[1]DATOS PBI Artículos'!C:C)</f>
        <v>0</v>
      </c>
      <c r="D372" s="33">
        <f>_xlfn.XLOOKUP(A372,'[1]DATOS PBI Artículos'!A:A,'[1]DATOS PBI Artículos'!T:T)</f>
        <v>0</v>
      </c>
      <c r="E372" s="34">
        <f>IF(_xlfn.XLOOKUP($A372,'[1]DATOS PBI Artículos'!A:A,'[1]DATOS PBI Artículos'!AK:AK)="",_xlfn.XLOOKUP($A372,'[1]DATOS PBI Artículos'!A:A,'[1]DATOS PBI Artículos'!AJ:AJ),_xlfn.XLOOKUP($A372,'[1]DATOS PBI Artículos'!A:A,'[1]DATOS PBI Artículos'!AK:AK))</f>
        <v>0</v>
      </c>
      <c r="F372" s="35">
        <f>_xlfn.XLOOKUP($A372,'[1]DATOS PBI Artículos'!A:A,'[1]DATOS PBI Artículos'!AP:AP)</f>
        <v>0</v>
      </c>
      <c r="G372" s="34">
        <f>_xlfn.XLOOKUP($A372,'[1]DATOS PBI Artículos'!A:A,'[1]DATOS PBI Artículos'!AR:AR)</f>
        <v>0</v>
      </c>
      <c r="H372" s="34">
        <f>_xlfn.XLOOKUP($A372,'[1]DATOS PBI Artículos'!A:A,'[1]DATOS PBI Artículos'!AT:AT)</f>
        <v>0</v>
      </c>
      <c r="I372" s="34">
        <f>_xlfn.XLOOKUP($A372,'[1]DATOS PBI Artículos'!A:A,'[1]DATOS PBI Artículos'!AS:AS)</f>
        <v>0</v>
      </c>
      <c r="J372" s="35">
        <f>IF(COUNTIF([1]CRITERIOS!$F$179:$F$199,$A372)&gt;=1,
 IF(O372&lt;&gt;"",
    (O372/_xlfn.XLOOKUP(CONCATENATE(A372,L372),[1]MÁQUINAS!A:A,[1]MÁQUINAS!D:D))/24,
    (N372/_xlfn.XLOOKUP(CONCATENATE(A372,L372),[1]MÁQUINAS!A:A,[1]MÁQUINAS!D:D))/24),
  _xlfn.XLOOKUP($A372,'[1]DATOS PBI Artículos'!A:A,'[1]DATOS PBI Artículos'!AU:AU))</f>
        <v>0</v>
      </c>
      <c r="K372" s="36">
        <f>_xlfn.XLOOKUP($A372,'[1]DATOS PBI Artículos'!A:A,'[1]DATOS PBI Artículos'!AV:AV)</f>
        <v>0</v>
      </c>
      <c r="L372" s="33">
        <f>_xlfn.XLOOKUP(A372,[1]MÁQUINAS!B:B,[1]MÁQUINAS!C:C)</f>
        <v>0</v>
      </c>
      <c r="M372" s="34">
        <f t="array" ref="M372">_xlfn.XLOOKUP(A372,'[1]DATOS PBI Artículos'!A:A,'[1]DATOS PBI Artículos'!AX:$AX)</f>
        <v>0</v>
      </c>
      <c r="N372" s="37" t="e">
        <f>IF(I372="DV",
E372,
IF(COUNTIF([1]CRITERIOS!$I$179:$I$199,$A372)&gt;=1,
_xlfn.XLOOKUP($A372,[1]CRITERIOS!$I$179:$I$199,[1]CRITERIOS!$J$179:$J$199),
IF(COUNTIF([1]CRITERIOS!$L$179:$L$199,$A372)&gt;=1,
_xlfn.CEILING.MATH(IF($M372&gt;$E372,
$E372,
IF($M372&lt;$E372/ROUNDDOWN([1]CRITERIOS!$M$16/_xlfn.XLOOKUP($C372,[1]CRITERIOS!$K$25:$K$42,[1]CRITERIOS!$M$25:$M$42),
1),
E372/ROUNDDOWN([1]CRITERIOS!$M$16/_xlfn.XLOOKUP($C372,[1]CRITERIOS!$K$25:$K$42,[1]CRITERIOS!$M$25:$M$42),
1),
$M372)),
_xlfn.XLOOKUP($A372,[1]CRITERIOS!$L$179:$L$200,[1]CRITERIOS!$M$179:$M$200)),
_xlfn.CEILING.MATH(IF($M372&gt;$E372,
$E372,
IF($M372&lt;$E372/ROUNDDOWN([1]CRITERIOS!$M$16/_xlfn.XLOOKUP($C372,[1]CRITERIOS!$K$25:$K$42,[1]CRITERIOS!$M$25:$M$42),
1),
E372/ROUNDDOWN([1]CRITERIOS!$M$16/_xlfn.XLOOKUP($C372,[1]CRITERIOS!$K$25:$K$42,[1]CRITERIOS!$M$25:$M$42),
1),
$M372)),_xlfn.XLOOKUP(A372,'[1]DATOS PBI Artículos'!A:A,'[1]DATOS PBI Artículos'!Z:Z
)))))</f>
        <v>#N/A</v>
      </c>
      <c r="Q372" s="38" t="e">
        <f>IF(AND(O372="",N372=0),
0,
   IF(COUNTIF([1]CRITERIOS!$F$179:$F$199,$A372)&gt;=1,
   1,
   IF(R372="MTO",
      $D372,
      ROUNDUP(
                    IF(($E372-SUMIF('[1]DATOS PBI Artículos'!A:A,A372,'[1]DATOS PBI Artículos'!X:X)+($V372-_xlfn.XLOOKUP(A372,'[1]DATOS PBI Artículos'!A:A,'[1]DATOS PBI Artículos'!W:W)))&lt;0,
                    0,
                    IF(($E372-SUMIF('[1]DATOS PBI Artículos'!A:A,A372,'[1]DATOS PBI Artículos'!X:X)+$V372-_xlfn.XLOOKUP($A372,'[1]DATOS PBI Artículos'!A:A,'[1]DATOS PBI Artículos'!W:W))/IF($O372="",$N372,$O372)&gt;ROUNDUP([1]CRITERIOS!$M$16/(IF(COUNTIF([1]CRITERIOS!$BG$11:$BG$201,L372)&gt;=1,_xlfn.XLOOKUP($C372,[1]CRITERIOS!$K$25:$K$42,[1]CRITERIOS!$M$25:$M$42),_xlfn.XLOOKUP($C372,[1]CRITERIOS!$K$25:$K$42,[1]CRITERIOS!$M$25:$M$42))),0),
                    ROUNDUP([1]CRITERIOS!$M$16/(IF(COUNTIF([1]CRITERIOS!$BG$11:$BG$201,$L372)&gt;=1,_xlfn.XLOOKUP($C372,[1]CRITERIOS!$K$25:$K$42,[1]CRITERIOS!$M$25:$M$42),_xlfn.XLOOKUP($C372,[1]CRITERIOS!$K$25:$K$42,[1]CRITERIOS!$M$25:$M$42))),0),
                    (E372+V372-SUMIF('[1]DATOS PBI Artículos'!A:A,A372,'[1]DATOS PBI Artículos'!X:X)-_xlfn.XLOOKUP(A372,'[1]DATOS PBI Artículos'!A:A,'[1]DATOS PBI Artículos'!W:W))/IF($O372="",$N372,$O372))),0))))</f>
        <v>#N/A</v>
      </c>
      <c r="R372" s="33" t="e">
        <f>IF(U372&lt;&gt;"",U372,IF(F372="DV","MTO",IF(N372=0,"MTO",_xlfn.XLOOKUP(CONCATENATE(S372,T372),[1]CRITERIOS!$K$160:$K$168,[1]CRITERIOS!$N$160:$N$168))))</f>
        <v>#N/A</v>
      </c>
      <c r="S372" s="33" t="e">
        <f>IF(G372="DV","MTO",IF(N372=0,"MTO",IF(OR(AND(N372=0,O372=""),IF(O372="",G372/N372,G372/O372)&gt;[1]CRITERIOS!$G$163),"MTO",IF(IF(O372="",G372/N372,G372/O372)&lt;[1]CRITERIOS!$H$161,"MTS","MTOS"))))</f>
        <v>#N/A</v>
      </c>
      <c r="T372" s="33" t="e">
        <f>IF(F372="DV","MTO",IF(OR(AND($N372=0,O372=""),$F372/$J372&gt;[1]CRITERIOS!$G$170,$F372="DV"),"MTO",IF($F372/$J372&lt;[1]CRITERIOS!$H$168,"MTS","MTOS")))</f>
        <v>#N/A</v>
      </c>
      <c r="V372" s="34" t="e">
        <f t="shared" si="19"/>
        <v>#N/A</v>
      </c>
      <c r="X372" s="34" t="e">
        <f t="shared" si="17"/>
        <v>#N/A</v>
      </c>
      <c r="Y372" s="34" t="e">
        <f t="shared" si="18"/>
        <v>#N/A</v>
      </c>
      <c r="Z372" s="34" t="e">
        <f>IF($R372="MTO",
0,
($H372+$K372*($E372/[1]CRITERIOS!$M$16))/[1]CRITERIOS!$X$48)</f>
        <v>#N/A</v>
      </c>
      <c r="AA372" s="34" t="e">
        <f>ROUNDUP(($Y372/_xlfn.XLOOKUP($A372,'[1]DATOS PBI Artículos'!$A$4:$A$4,'[1]DATOS PBI Artículos'!$Z$4:$Z$4))/_xlfn.XLOOKUP(_xlfn.XLOOKUP($A372,'[1]DATOS PBI Artículos'!$A$4:$A$4,'[1]DATOS PBI Artículos'!$Y$4:$Y$4),[1]CRITERIOS!$P$79:$P$123,[1]CRITERIOS!$S$79:$S$123,),0)</f>
        <v>#N/A</v>
      </c>
      <c r="AB372" s="33" t="e">
        <f t="array" ref="AB372">IF((E372+V372-_xlfn.XLOOKUP(A372,'[1]DATOS PBI Artículos'!$A$4:$A$4,'[1]DATOS PBI Artículos'!$W$4:$W$4))/N372&gt;ROUNDUP([1]CRITERIOS!$M$16/(IF(COUNTIF([1]CRITERIOS!$BG$11:$BG$201,L372)&gt;=1,_xlfn.XLOOKUP(ARTÍCULOS!L372,[1]CRITERIOS!$BG$11:$BG$201,[1]CRITERIOS!$BJ$11:$BJ$201),_xlfn.XLOOKUP(ARTÍCULOS!C372,[1]CRITERIOS!$K$25:$K$42,[1]CRITERIOS!$M$25:$M$42))),0),ROUNDUP([1]CRITERIOS!$M$16/(IF(COUNTIF([1]CRITERIOS!$BG$11:$BG$201,L372)&gt;=1,_xlfn.XLOOKUP(ARTÍCULOS!L372,[1]CRITERIOS!$BG$11:$BG$201:#REF!,[1]CRITERIOS!$BJ$11:$BJ$201),_xlfn.XLOOKUP(ARTÍCULOS!C372,[1]CRITERIOS!$K$25:$K$42,[1]CRITERIOS!$M$25:$M$42))),0),(E372+V372-_xlfn.XLOOKUP(A372,'[1]DATOS PBI Artículos'!$A$4:$A$4,'[1]DATOS PBI Artículos'!$W$4:$W$4))/N372)</f>
        <v>#N/A</v>
      </c>
      <c r="AC372" s="33" t="e">
        <f>IF(N372=0,"",(ROUNDUP((N372/2)/(_xlfn.XLOOKUP(A372,'[1]DATOS PBI Artículos'!$A$4:$A$4,'[1]DATOS PBI Artículos'!$Z$4:$Z$4)*_xlfn.XLOOKUP(_xlfn.XLOOKUP(A372,'[1]DATOS PBI Artículos'!$A$4:$A$4,'[1]DATOS PBI Artículos'!$Y$4:$Y$4),[1]CRITERIOS!$P$79:$P$123,[1]CRITERIOS!$S$79:$S$123)),0)*[1]CRITERIOS!$M$80*([1]CRITERIOS!$M$110/[1]CRITERIOS!$M$86)+(_xlfn.XLOOKUP(A372,'[1]DATOS PBI Artículos'!$A$4:$A$4,'[1]DATOS PBI Artículos'!$AA$4:$AA$4)*([1]CRITERIOS!$M$95+[1]CRITERIOS!$M$98)))/N372)</f>
        <v>#N/A</v>
      </c>
      <c r="AD372" s="33" t="e">
        <f>IF(N372=0,"",(ROUNDUP((N372/2)/(_xlfn.XLOOKUP(A372,'[1]DATOS PBI Artículos'!$A$4:$A$4,'[1]DATOS PBI Artículos'!$Z$4:$Z$4)*_xlfn.XLOOKUP(_xlfn.XLOOKUP(A372,'[1]DATOS PBI Artículos'!$A$4:$A$4,'[1]DATOS PBI Artículos'!$Y$4:$Y$4),[1]CRITERIOS!$P$79:$P$123,[1]CRITERIOS!$S$79:$S$123)),0)*[1]CRITERIOS!$M$80*([1]CRITERIOS!$M$89*[1]CRITERIOS!$M$92)+((_xlfn.XLOOKUP(A372,'[1]DATOS PBI Artículos'!$A$4:$A$4,'[1]DATOS PBI Artículos'!$AA$4:$AA$4)/2)*([1]CRITERIOS!$M$95+[1]CRITERIOS!$M$98)))/N372)</f>
        <v>#N/A</v>
      </c>
      <c r="AE372" s="39" t="e">
        <f>IF($R372="MTO","",
IF($H372=0,ROUNDUP(((_xlfn.XLOOKUP($A372,'[1]DATOS PBI Artículos'!$A:$A,'[1]DATOS PBI Artículos'!$AL:$AL))/(_xlfn.XLOOKUP($AF$1,[1]CRITERIOS!$S$16:$S$39,[1]CRITERIOS!$Y$16:$Y$39))*$J372+$Z372)/$G372,0)*$G372,
((_xlfn.XLOOKUP($A372,'[1]DATOS PBI Artículos'!$A:$A,'[1]DATOS PBI Artículos'!$AL:$AL))/(_xlfn.XLOOKUP($AF$1,[1]CRITERIOS!$S$16:$S$39,[1]CRITERIOS!$Y$16:$Y$39))*$J372+$Z372)))</f>
        <v>#N/A</v>
      </c>
      <c r="AG372" s="39" t="e">
        <f>IF($R372="MTO","",
IF($H372=0,ROUNDUP(((_xlfn.XLOOKUP($A372,'[1]DATOS PBI Artículos'!$A:$A,'[1]DATOS PBI Artículos'!$AM:$AM))/(_xlfn.XLOOKUP($AH$1,[1]CRITERIOS!$S$16:$S$39,[1]CRITERIOS!$Y$16:$Y$39))*$J372+$Z372)/$G372,0)*$G372,
((_xlfn.XLOOKUP($A372,'[1]DATOS PBI Artículos'!$A:$A,'[1]DATOS PBI Artículos'!$AM:$AM))/(_xlfn.XLOOKUP($AH$1,[1]CRITERIOS!$S$16:$S$39,[1]CRITERIOS!$Y$16:$Y$39))*$J372+$Z372)))</f>
        <v>#N/A</v>
      </c>
      <c r="AI372" s="39" t="e">
        <f>IF($R372="MTO","",
IF($H372=0,ROUNDUP(((_xlfn.XLOOKUP($A372,'[1]DATOS PBI Artículos'!$A:$A,'[1]DATOS PBI Artículos'!$AN:$AN))/(_xlfn.XLOOKUP($AJ$1,[1]CRITERIOS!$S$16:$S$39,[1]CRITERIOS!$Y$16:$Y$39))*$J372+$Z372)/$G372,0)*$G372,
((_xlfn.XLOOKUP($A372,'[1]DATOS PBI Artículos'!$A:$A,'[1]DATOS PBI Artículos'!$AN:$AN))/(_xlfn.XLOOKUP($AJ$1,[1]CRITERIOS!$S$16:$S$39,[1]CRITERIOS!$Y$16:$Y$39))*$J372+$Z372)))</f>
        <v>#N/A</v>
      </c>
      <c r="AK372" s="39" t="e">
        <f>IF($R372="MTO","",
IF($H372=0,ROUNDUP(((_xlfn.XLOOKUP($A372,'[1]DATOS PBI Artículos'!$A:$A,'[1]DATOS PBI Artículos'!$AO:$AO))/(_xlfn.XLOOKUP($AL$1,[1]CRITERIOS!$S$16:$S$39,[1]CRITERIOS!$Y$16:$Y$39))*$J372+$Z372)/$G372,0)*$G372,
((_xlfn.XLOOKUP($A372,'[1]DATOS PBI Artículos'!$A:$A,'[1]DATOS PBI Artículos'!$AO:$AO))/(_xlfn.XLOOKUP($AL$1,[1]CRITERIOS!$S$16:$S$39,[1]CRITERIOS!$Y$16:$Y$39))*$J372+$Z372)))</f>
        <v>#N/A</v>
      </c>
    </row>
    <row r="373" spans="1:37" ht="25.8" hidden="1" x14ac:dyDescent="0.4">
      <c r="A373" s="41"/>
      <c r="B373" s="33">
        <f>_xlfn.XLOOKUP($A373,'[1]DATOS PBI Artículos'!A:A,'[1]DATOS PBI Artículos'!B:B)</f>
        <v>0</v>
      </c>
      <c r="C373" s="33">
        <f>_xlfn.XLOOKUP($A373,'[1]DATOS PBI Artículos'!A:A,'[1]DATOS PBI Artículos'!C:C)</f>
        <v>0</v>
      </c>
      <c r="D373" s="33">
        <f>_xlfn.XLOOKUP(A373,'[1]DATOS PBI Artículos'!A:A,'[1]DATOS PBI Artículos'!T:T)</f>
        <v>0</v>
      </c>
      <c r="E373" s="34">
        <f>IF(_xlfn.XLOOKUP($A373,'[1]DATOS PBI Artículos'!A:A,'[1]DATOS PBI Artículos'!AK:AK)="",_xlfn.XLOOKUP($A373,'[1]DATOS PBI Artículos'!A:A,'[1]DATOS PBI Artículos'!AJ:AJ),_xlfn.XLOOKUP($A373,'[1]DATOS PBI Artículos'!A:A,'[1]DATOS PBI Artículos'!AK:AK))</f>
        <v>0</v>
      </c>
      <c r="F373" s="35">
        <f>_xlfn.XLOOKUP($A373,'[1]DATOS PBI Artículos'!A:A,'[1]DATOS PBI Artículos'!AP:AP)</f>
        <v>0</v>
      </c>
      <c r="G373" s="34">
        <f>_xlfn.XLOOKUP($A373,'[1]DATOS PBI Artículos'!A:A,'[1]DATOS PBI Artículos'!AR:AR)</f>
        <v>0</v>
      </c>
      <c r="H373" s="34">
        <f>_xlfn.XLOOKUP($A373,'[1]DATOS PBI Artículos'!A:A,'[1]DATOS PBI Artículos'!AT:AT)</f>
        <v>0</v>
      </c>
      <c r="I373" s="34">
        <f>_xlfn.XLOOKUP($A373,'[1]DATOS PBI Artículos'!A:A,'[1]DATOS PBI Artículos'!AS:AS)</f>
        <v>0</v>
      </c>
      <c r="J373" s="35">
        <f>IF(COUNTIF([1]CRITERIOS!$F$179:$F$199,$A373)&gt;=1,
 IF(O373&lt;&gt;"",
    (O373/_xlfn.XLOOKUP(CONCATENATE(A373,L373),[1]MÁQUINAS!A:A,[1]MÁQUINAS!D:D))/24,
    (N373/_xlfn.XLOOKUP(CONCATENATE(A373,L373),[1]MÁQUINAS!A:A,[1]MÁQUINAS!D:D))/24),
  _xlfn.XLOOKUP($A373,'[1]DATOS PBI Artículos'!A:A,'[1]DATOS PBI Artículos'!AU:AU))</f>
        <v>0</v>
      </c>
      <c r="K373" s="36">
        <f>_xlfn.XLOOKUP($A373,'[1]DATOS PBI Artículos'!A:A,'[1]DATOS PBI Artículos'!AV:AV)</f>
        <v>0</v>
      </c>
      <c r="L373" s="33">
        <f>_xlfn.XLOOKUP(A373,[1]MÁQUINAS!B:B,[1]MÁQUINAS!C:C)</f>
        <v>0</v>
      </c>
      <c r="M373" s="34">
        <f t="array" ref="M373">_xlfn.XLOOKUP(A373,'[1]DATOS PBI Artículos'!A:A,'[1]DATOS PBI Artículos'!AX:$AX)</f>
        <v>0</v>
      </c>
      <c r="N373" s="37" t="e">
        <f>IF(I373="DV",
E373,
IF(COUNTIF([1]CRITERIOS!$I$179:$I$199,$A373)&gt;=1,
_xlfn.XLOOKUP($A373,[1]CRITERIOS!$I$179:$I$199,[1]CRITERIOS!$J$179:$J$199),
IF(COUNTIF([1]CRITERIOS!$L$179:$L$199,$A373)&gt;=1,
_xlfn.CEILING.MATH(IF($M373&gt;$E373,
$E373,
IF($M373&lt;$E373/ROUNDDOWN([1]CRITERIOS!$M$16/_xlfn.XLOOKUP($C373,[1]CRITERIOS!$K$25:$K$42,[1]CRITERIOS!$M$25:$M$42),
1),
E373/ROUNDDOWN([1]CRITERIOS!$M$16/_xlfn.XLOOKUP($C373,[1]CRITERIOS!$K$25:$K$42,[1]CRITERIOS!$M$25:$M$42),
1),
$M373)),
_xlfn.XLOOKUP($A373,[1]CRITERIOS!$L$179:$L$200,[1]CRITERIOS!$M$179:$M$200)),
_xlfn.CEILING.MATH(IF($M373&gt;$E373,
$E373,
IF($M373&lt;$E373/ROUNDDOWN([1]CRITERIOS!$M$16/_xlfn.XLOOKUP($C373,[1]CRITERIOS!$K$25:$K$42,[1]CRITERIOS!$M$25:$M$42),
1),
E373/ROUNDDOWN([1]CRITERIOS!$M$16/_xlfn.XLOOKUP($C373,[1]CRITERIOS!$K$25:$K$42,[1]CRITERIOS!$M$25:$M$42),
1),
$M373)),_xlfn.XLOOKUP(A373,'[1]DATOS PBI Artículos'!A:A,'[1]DATOS PBI Artículos'!Z:Z
)))))</f>
        <v>#N/A</v>
      </c>
      <c r="Q373" s="38" t="e">
        <f>IF(AND(O373="",N373=0),
0,
   IF(COUNTIF([1]CRITERIOS!$F$179:$F$199,$A373)&gt;=1,
   1,
   IF(R373="MTO",
      $D373,
      ROUNDUP(
                    IF(($E373-SUMIF('[1]DATOS PBI Artículos'!A:A,A373,'[1]DATOS PBI Artículos'!X:X)+($V373-_xlfn.XLOOKUP(A373,'[1]DATOS PBI Artículos'!A:A,'[1]DATOS PBI Artículos'!W:W)))&lt;0,
                    0,
                    IF(($E373-SUMIF('[1]DATOS PBI Artículos'!A:A,A373,'[1]DATOS PBI Artículos'!X:X)+$V373-_xlfn.XLOOKUP($A373,'[1]DATOS PBI Artículos'!A:A,'[1]DATOS PBI Artículos'!W:W))/IF($O373="",$N373,$O373)&gt;ROUNDUP([1]CRITERIOS!$M$16/(IF(COUNTIF([1]CRITERIOS!$BG$11:$BG$201,L373)&gt;=1,_xlfn.XLOOKUP($C373,[1]CRITERIOS!$K$25:$K$42,[1]CRITERIOS!$M$25:$M$42),_xlfn.XLOOKUP($C373,[1]CRITERIOS!$K$25:$K$42,[1]CRITERIOS!$M$25:$M$42))),0),
                    ROUNDUP([1]CRITERIOS!$M$16/(IF(COUNTIF([1]CRITERIOS!$BG$11:$BG$201,$L373)&gt;=1,_xlfn.XLOOKUP($C373,[1]CRITERIOS!$K$25:$K$42,[1]CRITERIOS!$M$25:$M$42),_xlfn.XLOOKUP($C373,[1]CRITERIOS!$K$25:$K$42,[1]CRITERIOS!$M$25:$M$42))),0),
                    (E373+V373-SUMIF('[1]DATOS PBI Artículos'!A:A,A373,'[1]DATOS PBI Artículos'!X:X)-_xlfn.XLOOKUP(A373,'[1]DATOS PBI Artículos'!A:A,'[1]DATOS PBI Artículos'!W:W))/IF($O373="",$N373,$O373))),0))))</f>
        <v>#N/A</v>
      </c>
      <c r="R373" s="33" t="e">
        <f>IF(U373&lt;&gt;"",U373,IF(F373="DV","MTO",IF(N373=0,"MTO",_xlfn.XLOOKUP(CONCATENATE(S373,T373),[1]CRITERIOS!$K$160:$K$168,[1]CRITERIOS!$N$160:$N$168))))</f>
        <v>#N/A</v>
      </c>
      <c r="S373" s="33" t="e">
        <f>IF(G373="DV","MTO",IF(N373=0,"MTO",IF(OR(AND(N373=0,O373=""),IF(O373="",G373/N373,G373/O373)&gt;[1]CRITERIOS!$G$163),"MTO",IF(IF(O373="",G373/N373,G373/O373)&lt;[1]CRITERIOS!$H$161,"MTS","MTOS"))))</f>
        <v>#N/A</v>
      </c>
      <c r="T373" s="33" t="e">
        <f>IF(F373="DV","MTO",IF(OR(AND($N373=0,O373=""),$F373/$J373&gt;[1]CRITERIOS!$G$170,$F373="DV"),"MTO",IF($F373/$J373&lt;[1]CRITERIOS!$H$168,"MTS","MTOS")))</f>
        <v>#N/A</v>
      </c>
      <c r="V373" s="34" t="e">
        <f t="shared" si="19"/>
        <v>#N/A</v>
      </c>
      <c r="X373" s="34" t="e">
        <f t="shared" si="17"/>
        <v>#N/A</v>
      </c>
      <c r="Y373" s="34" t="e">
        <f t="shared" si="18"/>
        <v>#N/A</v>
      </c>
      <c r="Z373" s="34" t="e">
        <f>IF($R373="MTO",
0,
($H373+$K373*($E373/[1]CRITERIOS!$M$16))/[1]CRITERIOS!$X$48)</f>
        <v>#N/A</v>
      </c>
      <c r="AA373" s="34" t="e">
        <f>ROUNDUP(($Y373/_xlfn.XLOOKUP($A373,'[1]DATOS PBI Artículos'!$A$4:$A$4,'[1]DATOS PBI Artículos'!$Z$4:$Z$4))/_xlfn.XLOOKUP(_xlfn.XLOOKUP($A373,'[1]DATOS PBI Artículos'!$A$4:$A$4,'[1]DATOS PBI Artículos'!$Y$4:$Y$4),[1]CRITERIOS!$P$79:$P$123,[1]CRITERIOS!$S$79:$S$123,),0)</f>
        <v>#N/A</v>
      </c>
      <c r="AB373" s="33" t="e">
        <f t="array" ref="AB373">IF((E373+V373-_xlfn.XLOOKUP(A373,'[1]DATOS PBI Artículos'!$A$4:$A$4,'[1]DATOS PBI Artículos'!$W$4:$W$4))/N373&gt;ROUNDUP([1]CRITERIOS!$M$16/(IF(COUNTIF([1]CRITERIOS!$BG$11:$BG$201,L373)&gt;=1,_xlfn.XLOOKUP(ARTÍCULOS!L373,[1]CRITERIOS!$BG$11:$BG$201,[1]CRITERIOS!$BJ$11:$BJ$201),_xlfn.XLOOKUP(ARTÍCULOS!C373,[1]CRITERIOS!$K$25:$K$42,[1]CRITERIOS!$M$25:$M$42))),0),ROUNDUP([1]CRITERIOS!$M$16/(IF(COUNTIF([1]CRITERIOS!$BG$11:$BG$201,L373)&gt;=1,_xlfn.XLOOKUP(ARTÍCULOS!L373,[1]CRITERIOS!$BG$11:$BG$201:#REF!,[1]CRITERIOS!$BJ$11:$BJ$201),_xlfn.XLOOKUP(ARTÍCULOS!C373,[1]CRITERIOS!$K$25:$K$42,[1]CRITERIOS!$M$25:$M$42))),0),(E373+V373-_xlfn.XLOOKUP(A373,'[1]DATOS PBI Artículos'!$A$4:$A$4,'[1]DATOS PBI Artículos'!$W$4:$W$4))/N373)</f>
        <v>#N/A</v>
      </c>
      <c r="AC373" s="33" t="e">
        <f>IF(N373=0,"",(ROUNDUP((N373/2)/(_xlfn.XLOOKUP(A373,'[1]DATOS PBI Artículos'!$A$4:$A$4,'[1]DATOS PBI Artículos'!$Z$4:$Z$4)*_xlfn.XLOOKUP(_xlfn.XLOOKUP(A373,'[1]DATOS PBI Artículos'!$A$4:$A$4,'[1]DATOS PBI Artículos'!$Y$4:$Y$4),[1]CRITERIOS!$P$79:$P$123,[1]CRITERIOS!$S$79:$S$123)),0)*[1]CRITERIOS!$M$80*([1]CRITERIOS!$M$110/[1]CRITERIOS!$M$86)+(_xlfn.XLOOKUP(A373,'[1]DATOS PBI Artículos'!$A$4:$A$4,'[1]DATOS PBI Artículos'!$AA$4:$AA$4)*([1]CRITERIOS!$M$95+[1]CRITERIOS!$M$98)))/N373)</f>
        <v>#N/A</v>
      </c>
      <c r="AD373" s="33" t="e">
        <f>IF(N373=0,"",(ROUNDUP((N373/2)/(_xlfn.XLOOKUP(A373,'[1]DATOS PBI Artículos'!$A$4:$A$4,'[1]DATOS PBI Artículos'!$Z$4:$Z$4)*_xlfn.XLOOKUP(_xlfn.XLOOKUP(A373,'[1]DATOS PBI Artículos'!$A$4:$A$4,'[1]DATOS PBI Artículos'!$Y$4:$Y$4),[1]CRITERIOS!$P$79:$P$123,[1]CRITERIOS!$S$79:$S$123)),0)*[1]CRITERIOS!$M$80*([1]CRITERIOS!$M$89*[1]CRITERIOS!$M$92)+((_xlfn.XLOOKUP(A373,'[1]DATOS PBI Artículos'!$A$4:$A$4,'[1]DATOS PBI Artículos'!$AA$4:$AA$4)/2)*([1]CRITERIOS!$M$95+[1]CRITERIOS!$M$98)))/N373)</f>
        <v>#N/A</v>
      </c>
      <c r="AE373" s="39" t="e">
        <f>IF($R373="MTO","",
IF($H373=0,ROUNDUP(((_xlfn.XLOOKUP($A373,'[1]DATOS PBI Artículos'!$A:$A,'[1]DATOS PBI Artículos'!$AL:$AL))/(_xlfn.XLOOKUP($AF$1,[1]CRITERIOS!$S$16:$S$39,[1]CRITERIOS!$Y$16:$Y$39))*$J373+$Z373)/$G373,0)*$G373,
((_xlfn.XLOOKUP($A373,'[1]DATOS PBI Artículos'!$A:$A,'[1]DATOS PBI Artículos'!$AL:$AL))/(_xlfn.XLOOKUP($AF$1,[1]CRITERIOS!$S$16:$S$39,[1]CRITERIOS!$Y$16:$Y$39))*$J373+$Z373)))</f>
        <v>#N/A</v>
      </c>
      <c r="AG373" s="39" t="e">
        <f>IF($R373="MTO","",
IF($H373=0,ROUNDUP(((_xlfn.XLOOKUP($A373,'[1]DATOS PBI Artículos'!$A:$A,'[1]DATOS PBI Artículos'!$AM:$AM))/(_xlfn.XLOOKUP($AH$1,[1]CRITERIOS!$S$16:$S$39,[1]CRITERIOS!$Y$16:$Y$39))*$J373+$Z373)/$G373,0)*$G373,
((_xlfn.XLOOKUP($A373,'[1]DATOS PBI Artículos'!$A:$A,'[1]DATOS PBI Artículos'!$AM:$AM))/(_xlfn.XLOOKUP($AH$1,[1]CRITERIOS!$S$16:$S$39,[1]CRITERIOS!$Y$16:$Y$39))*$J373+$Z373)))</f>
        <v>#N/A</v>
      </c>
      <c r="AI373" s="39" t="e">
        <f>IF($R373="MTO","",
IF($H373=0,ROUNDUP(((_xlfn.XLOOKUP($A373,'[1]DATOS PBI Artículos'!$A:$A,'[1]DATOS PBI Artículos'!$AN:$AN))/(_xlfn.XLOOKUP($AJ$1,[1]CRITERIOS!$S$16:$S$39,[1]CRITERIOS!$Y$16:$Y$39))*$J373+$Z373)/$G373,0)*$G373,
((_xlfn.XLOOKUP($A373,'[1]DATOS PBI Artículos'!$A:$A,'[1]DATOS PBI Artículos'!$AN:$AN))/(_xlfn.XLOOKUP($AJ$1,[1]CRITERIOS!$S$16:$S$39,[1]CRITERIOS!$Y$16:$Y$39))*$J373+$Z373)))</f>
        <v>#N/A</v>
      </c>
      <c r="AK373" s="39" t="e">
        <f>IF($R373="MTO","",
IF($H373=0,ROUNDUP(((_xlfn.XLOOKUP($A373,'[1]DATOS PBI Artículos'!$A:$A,'[1]DATOS PBI Artículos'!$AO:$AO))/(_xlfn.XLOOKUP($AL$1,[1]CRITERIOS!$S$16:$S$39,[1]CRITERIOS!$Y$16:$Y$39))*$J373+$Z373)/$G373,0)*$G373,
((_xlfn.XLOOKUP($A373,'[1]DATOS PBI Artículos'!$A:$A,'[1]DATOS PBI Artículos'!$AO:$AO))/(_xlfn.XLOOKUP($AL$1,[1]CRITERIOS!$S$16:$S$39,[1]CRITERIOS!$Y$16:$Y$39))*$J373+$Z373)))</f>
        <v>#N/A</v>
      </c>
    </row>
    <row r="374" spans="1:37" ht="25.8" hidden="1" x14ac:dyDescent="0.4">
      <c r="A374" s="41"/>
      <c r="B374" s="33">
        <f>_xlfn.XLOOKUP($A374,'[1]DATOS PBI Artículos'!A:A,'[1]DATOS PBI Artículos'!B:B)</f>
        <v>0</v>
      </c>
      <c r="C374" s="33">
        <f>_xlfn.XLOOKUP($A374,'[1]DATOS PBI Artículos'!A:A,'[1]DATOS PBI Artículos'!C:C)</f>
        <v>0</v>
      </c>
      <c r="D374" s="33">
        <f>_xlfn.XLOOKUP(A374,'[1]DATOS PBI Artículos'!A:A,'[1]DATOS PBI Artículos'!T:T)</f>
        <v>0</v>
      </c>
      <c r="E374" s="34">
        <f>IF(_xlfn.XLOOKUP($A374,'[1]DATOS PBI Artículos'!A:A,'[1]DATOS PBI Artículos'!AK:AK)="",_xlfn.XLOOKUP($A374,'[1]DATOS PBI Artículos'!A:A,'[1]DATOS PBI Artículos'!AJ:AJ),_xlfn.XLOOKUP($A374,'[1]DATOS PBI Artículos'!A:A,'[1]DATOS PBI Artículos'!AK:AK))</f>
        <v>0</v>
      </c>
      <c r="F374" s="35">
        <f>_xlfn.XLOOKUP($A374,'[1]DATOS PBI Artículos'!A:A,'[1]DATOS PBI Artículos'!AP:AP)</f>
        <v>0</v>
      </c>
      <c r="G374" s="34">
        <f>_xlfn.XLOOKUP($A374,'[1]DATOS PBI Artículos'!A:A,'[1]DATOS PBI Artículos'!AR:AR)</f>
        <v>0</v>
      </c>
      <c r="H374" s="34">
        <f>_xlfn.XLOOKUP($A374,'[1]DATOS PBI Artículos'!A:A,'[1]DATOS PBI Artículos'!AT:AT)</f>
        <v>0</v>
      </c>
      <c r="I374" s="34">
        <f>_xlfn.XLOOKUP($A374,'[1]DATOS PBI Artículos'!A:A,'[1]DATOS PBI Artículos'!AS:AS)</f>
        <v>0</v>
      </c>
      <c r="J374" s="35">
        <f>IF(COUNTIF([1]CRITERIOS!$F$179:$F$199,$A374)&gt;=1,
 IF(O374&lt;&gt;"",
    (O374/_xlfn.XLOOKUP(CONCATENATE(A374,L374),[1]MÁQUINAS!A:A,[1]MÁQUINAS!D:D))/24,
    (N374/_xlfn.XLOOKUP(CONCATENATE(A374,L374),[1]MÁQUINAS!A:A,[1]MÁQUINAS!D:D))/24),
  _xlfn.XLOOKUP($A374,'[1]DATOS PBI Artículos'!A:A,'[1]DATOS PBI Artículos'!AU:AU))</f>
        <v>0</v>
      </c>
      <c r="K374" s="36">
        <f>_xlfn.XLOOKUP($A374,'[1]DATOS PBI Artículos'!A:A,'[1]DATOS PBI Artículos'!AV:AV)</f>
        <v>0</v>
      </c>
      <c r="L374" s="33">
        <f>_xlfn.XLOOKUP(A374,[1]MÁQUINAS!B:B,[1]MÁQUINAS!C:C)</f>
        <v>0</v>
      </c>
      <c r="M374" s="34">
        <f t="array" ref="M374">_xlfn.XLOOKUP(A374,'[1]DATOS PBI Artículos'!A:A,'[1]DATOS PBI Artículos'!AX:$AX)</f>
        <v>0</v>
      </c>
      <c r="N374" s="37" t="e">
        <f>IF(I374="DV",
E374,
IF(COUNTIF([1]CRITERIOS!$I$179:$I$199,$A374)&gt;=1,
_xlfn.XLOOKUP($A374,[1]CRITERIOS!$I$179:$I$199,[1]CRITERIOS!$J$179:$J$199),
IF(COUNTIF([1]CRITERIOS!$L$179:$L$199,$A374)&gt;=1,
_xlfn.CEILING.MATH(IF($M374&gt;$E374,
$E374,
IF($M374&lt;$E374/ROUNDDOWN([1]CRITERIOS!$M$16/_xlfn.XLOOKUP($C374,[1]CRITERIOS!$K$25:$K$42,[1]CRITERIOS!$M$25:$M$42),
1),
E374/ROUNDDOWN([1]CRITERIOS!$M$16/_xlfn.XLOOKUP($C374,[1]CRITERIOS!$K$25:$K$42,[1]CRITERIOS!$M$25:$M$42),
1),
$M374)),
_xlfn.XLOOKUP($A374,[1]CRITERIOS!$L$179:$L$200,[1]CRITERIOS!$M$179:$M$200)),
_xlfn.CEILING.MATH(IF($M374&gt;$E374,
$E374,
IF($M374&lt;$E374/ROUNDDOWN([1]CRITERIOS!$M$16/_xlfn.XLOOKUP($C374,[1]CRITERIOS!$K$25:$K$42,[1]CRITERIOS!$M$25:$M$42),
1),
E374/ROUNDDOWN([1]CRITERIOS!$M$16/_xlfn.XLOOKUP($C374,[1]CRITERIOS!$K$25:$K$42,[1]CRITERIOS!$M$25:$M$42),
1),
$M374)),_xlfn.XLOOKUP(A374,'[1]DATOS PBI Artículos'!A:A,'[1]DATOS PBI Artículos'!Z:Z
)))))</f>
        <v>#N/A</v>
      </c>
      <c r="Q374" s="38" t="e">
        <f>IF(AND(O374="",N374=0),
0,
   IF(COUNTIF([1]CRITERIOS!$F$179:$F$199,$A374)&gt;=1,
   1,
   IF(R374="MTO",
      $D374,
      ROUNDUP(
                    IF(($E374-SUMIF('[1]DATOS PBI Artículos'!A:A,A374,'[1]DATOS PBI Artículos'!X:X)+($V374-_xlfn.XLOOKUP(A374,'[1]DATOS PBI Artículos'!A:A,'[1]DATOS PBI Artículos'!W:W)))&lt;0,
                    0,
                    IF(($E374-SUMIF('[1]DATOS PBI Artículos'!A:A,A374,'[1]DATOS PBI Artículos'!X:X)+$V374-_xlfn.XLOOKUP($A374,'[1]DATOS PBI Artículos'!A:A,'[1]DATOS PBI Artículos'!W:W))/IF($O374="",$N374,$O374)&gt;ROUNDUP([1]CRITERIOS!$M$16/(IF(COUNTIF([1]CRITERIOS!$BG$11:$BG$201,L374)&gt;=1,_xlfn.XLOOKUP($C374,[1]CRITERIOS!$K$25:$K$42,[1]CRITERIOS!$M$25:$M$42),_xlfn.XLOOKUP($C374,[1]CRITERIOS!$K$25:$K$42,[1]CRITERIOS!$M$25:$M$42))),0),
                    ROUNDUP([1]CRITERIOS!$M$16/(IF(COUNTIF([1]CRITERIOS!$BG$11:$BG$201,$L374)&gt;=1,_xlfn.XLOOKUP($C374,[1]CRITERIOS!$K$25:$K$42,[1]CRITERIOS!$M$25:$M$42),_xlfn.XLOOKUP($C374,[1]CRITERIOS!$K$25:$K$42,[1]CRITERIOS!$M$25:$M$42))),0),
                    (E374+V374-SUMIF('[1]DATOS PBI Artículos'!A:A,A374,'[1]DATOS PBI Artículos'!X:X)-_xlfn.XLOOKUP(A374,'[1]DATOS PBI Artículos'!A:A,'[1]DATOS PBI Artículos'!W:W))/IF($O374="",$N374,$O374))),0))))</f>
        <v>#N/A</v>
      </c>
      <c r="R374" s="33" t="e">
        <f>IF(U374&lt;&gt;"",U374,IF(F374="DV","MTO",IF(N374=0,"MTO",_xlfn.XLOOKUP(CONCATENATE(S374,T374),[1]CRITERIOS!$K$160:$K$168,[1]CRITERIOS!$N$160:$N$168))))</f>
        <v>#N/A</v>
      </c>
      <c r="S374" s="33" t="e">
        <f>IF(G374="DV","MTO",IF(N374=0,"MTO",IF(OR(AND(N374=0,O374=""),IF(O374="",G374/N374,G374/O374)&gt;[1]CRITERIOS!$G$163),"MTO",IF(IF(O374="",G374/N374,G374/O374)&lt;[1]CRITERIOS!$H$161,"MTS","MTOS"))))</f>
        <v>#N/A</v>
      </c>
      <c r="T374" s="33" t="e">
        <f>IF(F374="DV","MTO",IF(OR(AND($N374=0,O374=""),$F374/$J374&gt;[1]CRITERIOS!$G$170,$F374="DV"),"MTO",IF($F374/$J374&lt;[1]CRITERIOS!$H$168,"MTS","MTOS")))</f>
        <v>#N/A</v>
      </c>
      <c r="V374" s="34" t="e">
        <f t="shared" si="19"/>
        <v>#N/A</v>
      </c>
      <c r="X374" s="34" t="e">
        <f t="shared" si="17"/>
        <v>#N/A</v>
      </c>
      <c r="Y374" s="34" t="e">
        <f t="shared" si="18"/>
        <v>#N/A</v>
      </c>
      <c r="Z374" s="34" t="e">
        <f>IF($R374="MTO",
0,
($H374+$K374*($E374/[1]CRITERIOS!$M$16))/[1]CRITERIOS!$X$48)</f>
        <v>#N/A</v>
      </c>
      <c r="AA374" s="34" t="e">
        <f>ROUNDUP(($Y374/_xlfn.XLOOKUP($A374,'[1]DATOS PBI Artículos'!$A$4:$A$4,'[1]DATOS PBI Artículos'!$Z$4:$Z$4))/_xlfn.XLOOKUP(_xlfn.XLOOKUP($A374,'[1]DATOS PBI Artículos'!$A$4:$A$4,'[1]DATOS PBI Artículos'!$Y$4:$Y$4),[1]CRITERIOS!$P$79:$P$123,[1]CRITERIOS!$S$79:$S$123,),0)</f>
        <v>#N/A</v>
      </c>
      <c r="AB374" s="33" t="e">
        <f t="array" ref="AB374">IF((E374+V374-_xlfn.XLOOKUP(A374,'[1]DATOS PBI Artículos'!$A$4:$A$4,'[1]DATOS PBI Artículos'!$W$4:$W$4))/N374&gt;ROUNDUP([1]CRITERIOS!$M$16/(IF(COUNTIF([1]CRITERIOS!$BG$11:$BG$201,L374)&gt;=1,_xlfn.XLOOKUP(ARTÍCULOS!L374,[1]CRITERIOS!$BG$11:$BG$201,[1]CRITERIOS!$BJ$11:$BJ$201),_xlfn.XLOOKUP(ARTÍCULOS!C374,[1]CRITERIOS!$K$25:$K$42,[1]CRITERIOS!$M$25:$M$42))),0),ROUNDUP([1]CRITERIOS!$M$16/(IF(COUNTIF([1]CRITERIOS!$BG$11:$BG$201,L374)&gt;=1,_xlfn.XLOOKUP(ARTÍCULOS!L374,[1]CRITERIOS!$BG$11:$BG$201:#REF!,[1]CRITERIOS!$BJ$11:$BJ$201),_xlfn.XLOOKUP(ARTÍCULOS!C374,[1]CRITERIOS!$K$25:$K$42,[1]CRITERIOS!$M$25:$M$42))),0),(E374+V374-_xlfn.XLOOKUP(A374,'[1]DATOS PBI Artículos'!$A$4:$A$4,'[1]DATOS PBI Artículos'!$W$4:$W$4))/N374)</f>
        <v>#N/A</v>
      </c>
      <c r="AC374" s="33" t="e">
        <f>IF(N374=0,"",(ROUNDUP((N374/2)/(_xlfn.XLOOKUP(A374,'[1]DATOS PBI Artículos'!$A$4:$A$4,'[1]DATOS PBI Artículos'!$Z$4:$Z$4)*_xlfn.XLOOKUP(_xlfn.XLOOKUP(A374,'[1]DATOS PBI Artículos'!$A$4:$A$4,'[1]DATOS PBI Artículos'!$Y$4:$Y$4),[1]CRITERIOS!$P$79:$P$123,[1]CRITERIOS!$S$79:$S$123)),0)*[1]CRITERIOS!$M$80*([1]CRITERIOS!$M$110/[1]CRITERIOS!$M$86)+(_xlfn.XLOOKUP(A374,'[1]DATOS PBI Artículos'!$A$4:$A$4,'[1]DATOS PBI Artículos'!$AA$4:$AA$4)*([1]CRITERIOS!$M$95+[1]CRITERIOS!$M$98)))/N374)</f>
        <v>#N/A</v>
      </c>
      <c r="AD374" s="33" t="e">
        <f>IF(N374=0,"",(ROUNDUP((N374/2)/(_xlfn.XLOOKUP(A374,'[1]DATOS PBI Artículos'!$A$4:$A$4,'[1]DATOS PBI Artículos'!$Z$4:$Z$4)*_xlfn.XLOOKUP(_xlfn.XLOOKUP(A374,'[1]DATOS PBI Artículos'!$A$4:$A$4,'[1]DATOS PBI Artículos'!$Y$4:$Y$4),[1]CRITERIOS!$P$79:$P$123,[1]CRITERIOS!$S$79:$S$123)),0)*[1]CRITERIOS!$M$80*([1]CRITERIOS!$M$89*[1]CRITERIOS!$M$92)+((_xlfn.XLOOKUP(A374,'[1]DATOS PBI Artículos'!$A$4:$A$4,'[1]DATOS PBI Artículos'!$AA$4:$AA$4)/2)*([1]CRITERIOS!$M$95+[1]CRITERIOS!$M$98)))/N374)</f>
        <v>#N/A</v>
      </c>
      <c r="AE374" s="39" t="e">
        <f>IF($R374="MTO","",
IF($H374=0,ROUNDUP(((_xlfn.XLOOKUP($A374,'[1]DATOS PBI Artículos'!$A:$A,'[1]DATOS PBI Artículos'!$AL:$AL))/(_xlfn.XLOOKUP($AF$1,[1]CRITERIOS!$S$16:$S$39,[1]CRITERIOS!$Y$16:$Y$39))*$J374+$Z374)/$G374,0)*$G374,
((_xlfn.XLOOKUP($A374,'[1]DATOS PBI Artículos'!$A:$A,'[1]DATOS PBI Artículos'!$AL:$AL))/(_xlfn.XLOOKUP($AF$1,[1]CRITERIOS!$S$16:$S$39,[1]CRITERIOS!$Y$16:$Y$39))*$J374+$Z374)))</f>
        <v>#N/A</v>
      </c>
      <c r="AG374" s="39" t="e">
        <f>IF($R374="MTO","",
IF($H374=0,ROUNDUP(((_xlfn.XLOOKUP($A374,'[1]DATOS PBI Artículos'!$A:$A,'[1]DATOS PBI Artículos'!$AM:$AM))/(_xlfn.XLOOKUP($AH$1,[1]CRITERIOS!$S$16:$S$39,[1]CRITERIOS!$Y$16:$Y$39))*$J374+$Z374)/$G374,0)*$G374,
((_xlfn.XLOOKUP($A374,'[1]DATOS PBI Artículos'!$A:$A,'[1]DATOS PBI Artículos'!$AM:$AM))/(_xlfn.XLOOKUP($AH$1,[1]CRITERIOS!$S$16:$S$39,[1]CRITERIOS!$Y$16:$Y$39))*$J374+$Z374)))</f>
        <v>#N/A</v>
      </c>
      <c r="AI374" s="39" t="e">
        <f>IF($R374="MTO","",
IF($H374=0,ROUNDUP(((_xlfn.XLOOKUP($A374,'[1]DATOS PBI Artículos'!$A:$A,'[1]DATOS PBI Artículos'!$AN:$AN))/(_xlfn.XLOOKUP($AJ$1,[1]CRITERIOS!$S$16:$S$39,[1]CRITERIOS!$Y$16:$Y$39))*$J374+$Z374)/$G374,0)*$G374,
((_xlfn.XLOOKUP($A374,'[1]DATOS PBI Artículos'!$A:$A,'[1]DATOS PBI Artículos'!$AN:$AN))/(_xlfn.XLOOKUP($AJ$1,[1]CRITERIOS!$S$16:$S$39,[1]CRITERIOS!$Y$16:$Y$39))*$J374+$Z374)))</f>
        <v>#N/A</v>
      </c>
      <c r="AK374" s="39" t="e">
        <f>IF($R374="MTO","",
IF($H374=0,ROUNDUP(((_xlfn.XLOOKUP($A374,'[1]DATOS PBI Artículos'!$A:$A,'[1]DATOS PBI Artículos'!$AO:$AO))/(_xlfn.XLOOKUP($AL$1,[1]CRITERIOS!$S$16:$S$39,[1]CRITERIOS!$Y$16:$Y$39))*$J374+$Z374)/$G374,0)*$G374,
((_xlfn.XLOOKUP($A374,'[1]DATOS PBI Artículos'!$A:$A,'[1]DATOS PBI Artículos'!$AO:$AO))/(_xlfn.XLOOKUP($AL$1,[1]CRITERIOS!$S$16:$S$39,[1]CRITERIOS!$Y$16:$Y$39))*$J374+$Z374)))</f>
        <v>#N/A</v>
      </c>
    </row>
    <row r="375" spans="1:37" ht="25.8" hidden="1" x14ac:dyDescent="0.4">
      <c r="A375" s="41"/>
      <c r="B375" s="33">
        <f>_xlfn.XLOOKUP($A375,'[1]DATOS PBI Artículos'!A:A,'[1]DATOS PBI Artículos'!B:B)</f>
        <v>0</v>
      </c>
      <c r="C375" s="33">
        <f>_xlfn.XLOOKUP($A375,'[1]DATOS PBI Artículos'!A:A,'[1]DATOS PBI Artículos'!C:C)</f>
        <v>0</v>
      </c>
      <c r="D375" s="33">
        <f>_xlfn.XLOOKUP(A375,'[1]DATOS PBI Artículos'!A:A,'[1]DATOS PBI Artículos'!T:T)</f>
        <v>0</v>
      </c>
      <c r="E375" s="34">
        <f>IF(_xlfn.XLOOKUP($A375,'[1]DATOS PBI Artículos'!A:A,'[1]DATOS PBI Artículos'!AK:AK)="",_xlfn.XLOOKUP($A375,'[1]DATOS PBI Artículos'!A:A,'[1]DATOS PBI Artículos'!AJ:AJ),_xlfn.XLOOKUP($A375,'[1]DATOS PBI Artículos'!A:A,'[1]DATOS PBI Artículos'!AK:AK))</f>
        <v>0</v>
      </c>
      <c r="F375" s="35">
        <f>_xlfn.XLOOKUP($A375,'[1]DATOS PBI Artículos'!A:A,'[1]DATOS PBI Artículos'!AP:AP)</f>
        <v>0</v>
      </c>
      <c r="G375" s="34">
        <f>_xlfn.XLOOKUP($A375,'[1]DATOS PBI Artículos'!A:A,'[1]DATOS PBI Artículos'!AR:AR)</f>
        <v>0</v>
      </c>
      <c r="H375" s="34">
        <f>_xlfn.XLOOKUP($A375,'[1]DATOS PBI Artículos'!A:A,'[1]DATOS PBI Artículos'!AT:AT)</f>
        <v>0</v>
      </c>
      <c r="I375" s="34">
        <f>_xlfn.XLOOKUP($A375,'[1]DATOS PBI Artículos'!A:A,'[1]DATOS PBI Artículos'!AS:AS)</f>
        <v>0</v>
      </c>
      <c r="J375" s="35">
        <f>IF(COUNTIF([1]CRITERIOS!$F$179:$F$199,$A375)&gt;=1,
 IF(O375&lt;&gt;"",
    (O375/_xlfn.XLOOKUP(CONCATENATE(A375,L375),[1]MÁQUINAS!A:A,[1]MÁQUINAS!D:D))/24,
    (N375/_xlfn.XLOOKUP(CONCATENATE(A375,L375),[1]MÁQUINAS!A:A,[1]MÁQUINAS!D:D))/24),
  _xlfn.XLOOKUP($A375,'[1]DATOS PBI Artículos'!A:A,'[1]DATOS PBI Artículos'!AU:AU))</f>
        <v>0</v>
      </c>
      <c r="K375" s="36">
        <f>_xlfn.XLOOKUP($A375,'[1]DATOS PBI Artículos'!A:A,'[1]DATOS PBI Artículos'!AV:AV)</f>
        <v>0</v>
      </c>
      <c r="L375" s="33">
        <f>_xlfn.XLOOKUP(A375,[1]MÁQUINAS!B:B,[1]MÁQUINAS!C:C)</f>
        <v>0</v>
      </c>
      <c r="M375" s="34">
        <f t="array" ref="M375">_xlfn.XLOOKUP(A375,'[1]DATOS PBI Artículos'!A:A,'[1]DATOS PBI Artículos'!AX:$AX)</f>
        <v>0</v>
      </c>
      <c r="N375" s="37" t="e">
        <f>IF(I375="DV",
E375,
IF(COUNTIF([1]CRITERIOS!$I$179:$I$199,$A375)&gt;=1,
_xlfn.XLOOKUP($A375,[1]CRITERIOS!$I$179:$I$199,[1]CRITERIOS!$J$179:$J$199),
IF(COUNTIF([1]CRITERIOS!$L$179:$L$199,$A375)&gt;=1,
_xlfn.CEILING.MATH(IF($M375&gt;$E375,
$E375,
IF($M375&lt;$E375/ROUNDDOWN([1]CRITERIOS!$M$16/_xlfn.XLOOKUP($C375,[1]CRITERIOS!$K$25:$K$42,[1]CRITERIOS!$M$25:$M$42),
1),
E375/ROUNDDOWN([1]CRITERIOS!$M$16/_xlfn.XLOOKUP($C375,[1]CRITERIOS!$K$25:$K$42,[1]CRITERIOS!$M$25:$M$42),
1),
$M375)),
_xlfn.XLOOKUP($A375,[1]CRITERIOS!$L$179:$L$200,[1]CRITERIOS!$M$179:$M$200)),
_xlfn.CEILING.MATH(IF($M375&gt;$E375,
$E375,
IF($M375&lt;$E375/ROUNDDOWN([1]CRITERIOS!$M$16/_xlfn.XLOOKUP($C375,[1]CRITERIOS!$K$25:$K$42,[1]CRITERIOS!$M$25:$M$42),
1),
E375/ROUNDDOWN([1]CRITERIOS!$M$16/_xlfn.XLOOKUP($C375,[1]CRITERIOS!$K$25:$K$42,[1]CRITERIOS!$M$25:$M$42),
1),
$M375)),_xlfn.XLOOKUP(A375,'[1]DATOS PBI Artículos'!A:A,'[1]DATOS PBI Artículos'!Z:Z
)))))</f>
        <v>#N/A</v>
      </c>
      <c r="Q375" s="38" t="e">
        <f>IF(AND(O375="",N375=0),
0,
   IF(COUNTIF([1]CRITERIOS!$F$179:$F$199,$A375)&gt;=1,
   1,
   IF(R375="MTO",
      $D375,
      ROUNDUP(
                    IF(($E375-SUMIF('[1]DATOS PBI Artículos'!A:A,A375,'[1]DATOS PBI Artículos'!X:X)+($V375-_xlfn.XLOOKUP(A375,'[1]DATOS PBI Artículos'!A:A,'[1]DATOS PBI Artículos'!W:W)))&lt;0,
                    0,
                    IF(($E375-SUMIF('[1]DATOS PBI Artículos'!A:A,A375,'[1]DATOS PBI Artículos'!X:X)+$V375-_xlfn.XLOOKUP($A375,'[1]DATOS PBI Artículos'!A:A,'[1]DATOS PBI Artículos'!W:W))/IF($O375="",$N375,$O375)&gt;ROUNDUP([1]CRITERIOS!$M$16/(IF(COUNTIF([1]CRITERIOS!$BG$11:$BG$201,L375)&gt;=1,_xlfn.XLOOKUP($C375,[1]CRITERIOS!$K$25:$K$42,[1]CRITERIOS!$M$25:$M$42),_xlfn.XLOOKUP($C375,[1]CRITERIOS!$K$25:$K$42,[1]CRITERIOS!$M$25:$M$42))),0),
                    ROUNDUP([1]CRITERIOS!$M$16/(IF(COUNTIF([1]CRITERIOS!$BG$11:$BG$201,$L375)&gt;=1,_xlfn.XLOOKUP($C375,[1]CRITERIOS!$K$25:$K$42,[1]CRITERIOS!$M$25:$M$42),_xlfn.XLOOKUP($C375,[1]CRITERIOS!$K$25:$K$42,[1]CRITERIOS!$M$25:$M$42))),0),
                    (E375+V375-SUMIF('[1]DATOS PBI Artículos'!A:A,A375,'[1]DATOS PBI Artículos'!X:X)-_xlfn.XLOOKUP(A375,'[1]DATOS PBI Artículos'!A:A,'[1]DATOS PBI Artículos'!W:W))/IF($O375="",$N375,$O375))),0))))</f>
        <v>#N/A</v>
      </c>
      <c r="R375" s="33" t="e">
        <f>IF(U375&lt;&gt;"",U375,IF(F375="DV","MTO",IF(N375=0,"MTO",_xlfn.XLOOKUP(CONCATENATE(S375,T375),[1]CRITERIOS!$K$160:$K$168,[1]CRITERIOS!$N$160:$N$168))))</f>
        <v>#N/A</v>
      </c>
      <c r="S375" s="33" t="e">
        <f>IF(G375="DV","MTO",IF(N375=0,"MTO",IF(OR(AND(N375=0,O375=""),IF(O375="",G375/N375,G375/O375)&gt;[1]CRITERIOS!$G$163),"MTO",IF(IF(O375="",G375/N375,G375/O375)&lt;[1]CRITERIOS!$H$161,"MTS","MTOS"))))</f>
        <v>#N/A</v>
      </c>
      <c r="T375" s="33" t="e">
        <f>IF(F375="DV","MTO",IF(OR(AND($N375=0,O375=""),$F375/$J375&gt;[1]CRITERIOS!$G$170,$F375="DV"),"MTO",IF($F375/$J375&lt;[1]CRITERIOS!$H$168,"MTS","MTOS")))</f>
        <v>#N/A</v>
      </c>
      <c r="V375" s="34" t="e">
        <f t="shared" si="19"/>
        <v>#N/A</v>
      </c>
      <c r="X375" s="34" t="e">
        <f t="shared" si="17"/>
        <v>#N/A</v>
      </c>
      <c r="Y375" s="34" t="e">
        <f t="shared" si="18"/>
        <v>#N/A</v>
      </c>
      <c r="Z375" s="34" t="e">
        <f>IF($R375="MTO",
0,
($H375+$K375*($E375/[1]CRITERIOS!$M$16))/[1]CRITERIOS!$X$48)</f>
        <v>#N/A</v>
      </c>
      <c r="AA375" s="34" t="e">
        <f>ROUNDUP(($Y375/_xlfn.XLOOKUP($A375,'[1]DATOS PBI Artículos'!$A$4:$A$4,'[1]DATOS PBI Artículos'!$Z$4:$Z$4))/_xlfn.XLOOKUP(_xlfn.XLOOKUP($A375,'[1]DATOS PBI Artículos'!$A$4:$A$4,'[1]DATOS PBI Artículos'!$Y$4:$Y$4),[1]CRITERIOS!$P$79:$P$123,[1]CRITERIOS!$S$79:$S$123,),0)</f>
        <v>#N/A</v>
      </c>
      <c r="AB375" s="33" t="e">
        <f t="array" ref="AB375">IF((E375+V375-_xlfn.XLOOKUP(A375,'[1]DATOS PBI Artículos'!$A$4:$A$4,'[1]DATOS PBI Artículos'!$W$4:$W$4))/N375&gt;ROUNDUP([1]CRITERIOS!$M$16/(IF(COUNTIF([1]CRITERIOS!$BG$11:$BG$201,L375)&gt;=1,_xlfn.XLOOKUP(ARTÍCULOS!L375,[1]CRITERIOS!$BG$11:$BG$201,[1]CRITERIOS!$BJ$11:$BJ$201),_xlfn.XLOOKUP(ARTÍCULOS!C375,[1]CRITERIOS!$K$25:$K$42,[1]CRITERIOS!$M$25:$M$42))),0),ROUNDUP([1]CRITERIOS!$M$16/(IF(COUNTIF([1]CRITERIOS!$BG$11:$BG$201,L375)&gt;=1,_xlfn.XLOOKUP(ARTÍCULOS!L375,[1]CRITERIOS!$BG$11:$BG$201:#REF!,[1]CRITERIOS!$BJ$11:$BJ$201),_xlfn.XLOOKUP(ARTÍCULOS!C375,[1]CRITERIOS!$K$25:$K$42,[1]CRITERIOS!$M$25:$M$42))),0),(E375+V375-_xlfn.XLOOKUP(A375,'[1]DATOS PBI Artículos'!$A$4:$A$4,'[1]DATOS PBI Artículos'!$W$4:$W$4))/N375)</f>
        <v>#N/A</v>
      </c>
      <c r="AC375" s="33" t="e">
        <f>IF(N375=0,"",(ROUNDUP((N375/2)/(_xlfn.XLOOKUP(A375,'[1]DATOS PBI Artículos'!$A$4:$A$4,'[1]DATOS PBI Artículos'!$Z$4:$Z$4)*_xlfn.XLOOKUP(_xlfn.XLOOKUP(A375,'[1]DATOS PBI Artículos'!$A$4:$A$4,'[1]DATOS PBI Artículos'!$Y$4:$Y$4),[1]CRITERIOS!$P$79:$P$123,[1]CRITERIOS!$S$79:$S$123)),0)*[1]CRITERIOS!$M$80*([1]CRITERIOS!$M$110/[1]CRITERIOS!$M$86)+(_xlfn.XLOOKUP(A375,'[1]DATOS PBI Artículos'!$A$4:$A$4,'[1]DATOS PBI Artículos'!$AA$4:$AA$4)*([1]CRITERIOS!$M$95+[1]CRITERIOS!$M$98)))/N375)</f>
        <v>#N/A</v>
      </c>
      <c r="AD375" s="33" t="e">
        <f>IF(N375=0,"",(ROUNDUP((N375/2)/(_xlfn.XLOOKUP(A375,'[1]DATOS PBI Artículos'!$A$4:$A$4,'[1]DATOS PBI Artículos'!$Z$4:$Z$4)*_xlfn.XLOOKUP(_xlfn.XLOOKUP(A375,'[1]DATOS PBI Artículos'!$A$4:$A$4,'[1]DATOS PBI Artículos'!$Y$4:$Y$4),[1]CRITERIOS!$P$79:$P$123,[1]CRITERIOS!$S$79:$S$123)),0)*[1]CRITERIOS!$M$80*([1]CRITERIOS!$M$89*[1]CRITERIOS!$M$92)+((_xlfn.XLOOKUP(A375,'[1]DATOS PBI Artículos'!$A$4:$A$4,'[1]DATOS PBI Artículos'!$AA$4:$AA$4)/2)*([1]CRITERIOS!$M$95+[1]CRITERIOS!$M$98)))/N375)</f>
        <v>#N/A</v>
      </c>
      <c r="AE375" s="39" t="e">
        <f>IF($R375="MTO","",
IF($H375=0,ROUNDUP(((_xlfn.XLOOKUP($A375,'[1]DATOS PBI Artículos'!$A:$A,'[1]DATOS PBI Artículos'!$AL:$AL))/(_xlfn.XLOOKUP($AF$1,[1]CRITERIOS!$S$16:$S$39,[1]CRITERIOS!$Y$16:$Y$39))*$J375+$Z375)/$G375,0)*$G375,
((_xlfn.XLOOKUP($A375,'[1]DATOS PBI Artículos'!$A:$A,'[1]DATOS PBI Artículos'!$AL:$AL))/(_xlfn.XLOOKUP($AF$1,[1]CRITERIOS!$S$16:$S$39,[1]CRITERIOS!$Y$16:$Y$39))*$J375+$Z375)))</f>
        <v>#N/A</v>
      </c>
      <c r="AG375" s="39" t="e">
        <f>IF($R375="MTO","",
IF($H375=0,ROUNDUP(((_xlfn.XLOOKUP($A375,'[1]DATOS PBI Artículos'!$A:$A,'[1]DATOS PBI Artículos'!$AM:$AM))/(_xlfn.XLOOKUP($AH$1,[1]CRITERIOS!$S$16:$S$39,[1]CRITERIOS!$Y$16:$Y$39))*$J375+$Z375)/$G375,0)*$G375,
((_xlfn.XLOOKUP($A375,'[1]DATOS PBI Artículos'!$A:$A,'[1]DATOS PBI Artículos'!$AM:$AM))/(_xlfn.XLOOKUP($AH$1,[1]CRITERIOS!$S$16:$S$39,[1]CRITERIOS!$Y$16:$Y$39))*$J375+$Z375)))</f>
        <v>#N/A</v>
      </c>
      <c r="AI375" s="39" t="e">
        <f>IF($R375="MTO","",
IF($H375=0,ROUNDUP(((_xlfn.XLOOKUP($A375,'[1]DATOS PBI Artículos'!$A:$A,'[1]DATOS PBI Artículos'!$AN:$AN))/(_xlfn.XLOOKUP($AJ$1,[1]CRITERIOS!$S$16:$S$39,[1]CRITERIOS!$Y$16:$Y$39))*$J375+$Z375)/$G375,0)*$G375,
((_xlfn.XLOOKUP($A375,'[1]DATOS PBI Artículos'!$A:$A,'[1]DATOS PBI Artículos'!$AN:$AN))/(_xlfn.XLOOKUP($AJ$1,[1]CRITERIOS!$S$16:$S$39,[1]CRITERIOS!$Y$16:$Y$39))*$J375+$Z375)))</f>
        <v>#N/A</v>
      </c>
      <c r="AK375" s="39" t="e">
        <f>IF($R375="MTO","",
IF($H375=0,ROUNDUP(((_xlfn.XLOOKUP($A375,'[1]DATOS PBI Artículos'!$A:$A,'[1]DATOS PBI Artículos'!$AO:$AO))/(_xlfn.XLOOKUP($AL$1,[1]CRITERIOS!$S$16:$S$39,[1]CRITERIOS!$Y$16:$Y$39))*$J375+$Z375)/$G375,0)*$G375,
((_xlfn.XLOOKUP($A375,'[1]DATOS PBI Artículos'!$A:$A,'[1]DATOS PBI Artículos'!$AO:$AO))/(_xlfn.XLOOKUP($AL$1,[1]CRITERIOS!$S$16:$S$39,[1]CRITERIOS!$Y$16:$Y$39))*$J375+$Z375)))</f>
        <v>#N/A</v>
      </c>
    </row>
    <row r="376" spans="1:37" ht="25.8" hidden="1" x14ac:dyDescent="0.4">
      <c r="A376" s="41"/>
      <c r="B376" s="33">
        <f>_xlfn.XLOOKUP($A376,'[1]DATOS PBI Artículos'!A:A,'[1]DATOS PBI Artículos'!B:B)</f>
        <v>0</v>
      </c>
      <c r="C376" s="33">
        <f>_xlfn.XLOOKUP($A376,'[1]DATOS PBI Artículos'!A:A,'[1]DATOS PBI Artículos'!C:C)</f>
        <v>0</v>
      </c>
      <c r="D376" s="33">
        <f>_xlfn.XLOOKUP(A376,'[1]DATOS PBI Artículos'!A:A,'[1]DATOS PBI Artículos'!T:T)</f>
        <v>0</v>
      </c>
      <c r="E376" s="34">
        <f>IF(_xlfn.XLOOKUP($A376,'[1]DATOS PBI Artículos'!A:A,'[1]DATOS PBI Artículos'!AK:AK)="",_xlfn.XLOOKUP($A376,'[1]DATOS PBI Artículos'!A:A,'[1]DATOS PBI Artículos'!AJ:AJ),_xlfn.XLOOKUP($A376,'[1]DATOS PBI Artículos'!A:A,'[1]DATOS PBI Artículos'!AK:AK))</f>
        <v>0</v>
      </c>
      <c r="F376" s="35">
        <f>_xlfn.XLOOKUP($A376,'[1]DATOS PBI Artículos'!A:A,'[1]DATOS PBI Artículos'!AP:AP)</f>
        <v>0</v>
      </c>
      <c r="G376" s="34">
        <f>_xlfn.XLOOKUP($A376,'[1]DATOS PBI Artículos'!A:A,'[1]DATOS PBI Artículos'!AR:AR)</f>
        <v>0</v>
      </c>
      <c r="H376" s="34">
        <f>_xlfn.XLOOKUP($A376,'[1]DATOS PBI Artículos'!A:A,'[1]DATOS PBI Artículos'!AT:AT)</f>
        <v>0</v>
      </c>
      <c r="I376" s="34">
        <f>_xlfn.XLOOKUP($A376,'[1]DATOS PBI Artículos'!A:A,'[1]DATOS PBI Artículos'!AS:AS)</f>
        <v>0</v>
      </c>
      <c r="J376" s="35">
        <f>IF(COUNTIF([1]CRITERIOS!$F$179:$F$199,$A376)&gt;=1,
 IF(O376&lt;&gt;"",
    (O376/_xlfn.XLOOKUP(CONCATENATE(A376,L376),[1]MÁQUINAS!A:A,[1]MÁQUINAS!D:D))/24,
    (N376/_xlfn.XLOOKUP(CONCATENATE(A376,L376),[1]MÁQUINAS!A:A,[1]MÁQUINAS!D:D))/24),
  _xlfn.XLOOKUP($A376,'[1]DATOS PBI Artículos'!A:A,'[1]DATOS PBI Artículos'!AU:AU))</f>
        <v>0</v>
      </c>
      <c r="K376" s="36">
        <f>_xlfn.XLOOKUP($A376,'[1]DATOS PBI Artículos'!A:A,'[1]DATOS PBI Artículos'!AV:AV)</f>
        <v>0</v>
      </c>
      <c r="L376" s="33">
        <f>_xlfn.XLOOKUP(A376,[1]MÁQUINAS!B:B,[1]MÁQUINAS!C:C)</f>
        <v>0</v>
      </c>
      <c r="M376" s="34">
        <f t="array" ref="M376">_xlfn.XLOOKUP(A376,'[1]DATOS PBI Artículos'!A:A,'[1]DATOS PBI Artículos'!AX:$AX)</f>
        <v>0</v>
      </c>
      <c r="N376" s="37" t="e">
        <f>IF(I376="DV",
E376,
IF(COUNTIF([1]CRITERIOS!$I$179:$I$199,$A376)&gt;=1,
_xlfn.XLOOKUP($A376,[1]CRITERIOS!$I$179:$I$199,[1]CRITERIOS!$J$179:$J$199),
IF(COUNTIF([1]CRITERIOS!$L$179:$L$199,$A376)&gt;=1,
_xlfn.CEILING.MATH(IF($M376&gt;$E376,
$E376,
IF($M376&lt;$E376/ROUNDDOWN([1]CRITERIOS!$M$16/_xlfn.XLOOKUP($C376,[1]CRITERIOS!$K$25:$K$42,[1]CRITERIOS!$M$25:$M$42),
1),
E376/ROUNDDOWN([1]CRITERIOS!$M$16/_xlfn.XLOOKUP($C376,[1]CRITERIOS!$K$25:$K$42,[1]CRITERIOS!$M$25:$M$42),
1),
$M376)),
_xlfn.XLOOKUP($A376,[1]CRITERIOS!$L$179:$L$200,[1]CRITERIOS!$M$179:$M$200)),
_xlfn.CEILING.MATH(IF($M376&gt;$E376,
$E376,
IF($M376&lt;$E376/ROUNDDOWN([1]CRITERIOS!$M$16/_xlfn.XLOOKUP($C376,[1]CRITERIOS!$K$25:$K$42,[1]CRITERIOS!$M$25:$M$42),
1),
E376/ROUNDDOWN([1]CRITERIOS!$M$16/_xlfn.XLOOKUP($C376,[1]CRITERIOS!$K$25:$K$42,[1]CRITERIOS!$M$25:$M$42),
1),
$M376)),_xlfn.XLOOKUP(A376,'[1]DATOS PBI Artículos'!A:A,'[1]DATOS PBI Artículos'!Z:Z
)))))</f>
        <v>#N/A</v>
      </c>
      <c r="Q376" s="38" t="e">
        <f>IF(AND(O376="",N376=0),
0,
   IF(COUNTIF([1]CRITERIOS!$F$179:$F$199,$A376)&gt;=1,
   1,
   IF(R376="MTO",
      $D376,
      ROUNDUP(
                    IF(($E376-SUMIF('[1]DATOS PBI Artículos'!A:A,A376,'[1]DATOS PBI Artículos'!X:X)+($V376-_xlfn.XLOOKUP(A376,'[1]DATOS PBI Artículos'!A:A,'[1]DATOS PBI Artículos'!W:W)))&lt;0,
                    0,
                    IF(($E376-SUMIF('[1]DATOS PBI Artículos'!A:A,A376,'[1]DATOS PBI Artículos'!X:X)+$V376-_xlfn.XLOOKUP($A376,'[1]DATOS PBI Artículos'!A:A,'[1]DATOS PBI Artículos'!W:W))/IF($O376="",$N376,$O376)&gt;ROUNDUP([1]CRITERIOS!$M$16/(IF(COUNTIF([1]CRITERIOS!$BG$11:$BG$201,L376)&gt;=1,_xlfn.XLOOKUP($C376,[1]CRITERIOS!$K$25:$K$42,[1]CRITERIOS!$M$25:$M$42),_xlfn.XLOOKUP($C376,[1]CRITERIOS!$K$25:$K$42,[1]CRITERIOS!$M$25:$M$42))),0),
                    ROUNDUP([1]CRITERIOS!$M$16/(IF(COUNTIF([1]CRITERIOS!$BG$11:$BG$201,$L376)&gt;=1,_xlfn.XLOOKUP($C376,[1]CRITERIOS!$K$25:$K$42,[1]CRITERIOS!$M$25:$M$42),_xlfn.XLOOKUP($C376,[1]CRITERIOS!$K$25:$K$42,[1]CRITERIOS!$M$25:$M$42))),0),
                    (E376+V376-SUMIF('[1]DATOS PBI Artículos'!A:A,A376,'[1]DATOS PBI Artículos'!X:X)-_xlfn.XLOOKUP(A376,'[1]DATOS PBI Artículos'!A:A,'[1]DATOS PBI Artículos'!W:W))/IF($O376="",$N376,$O376))),0))))</f>
        <v>#N/A</v>
      </c>
      <c r="R376" s="33" t="e">
        <f>IF(U376&lt;&gt;"",U376,IF(F376="DV","MTO",IF(N376=0,"MTO",_xlfn.XLOOKUP(CONCATENATE(S376,T376),[1]CRITERIOS!$K$160:$K$168,[1]CRITERIOS!$N$160:$N$168))))</f>
        <v>#N/A</v>
      </c>
      <c r="S376" s="33" t="e">
        <f>IF(G376="DV","MTO",IF(N376=0,"MTO",IF(OR(AND(N376=0,O376=""),IF(O376="",G376/N376,G376/O376)&gt;[1]CRITERIOS!$G$163),"MTO",IF(IF(O376="",G376/N376,G376/O376)&lt;[1]CRITERIOS!$H$161,"MTS","MTOS"))))</f>
        <v>#N/A</v>
      </c>
      <c r="T376" s="33" t="e">
        <f>IF(F376="DV","MTO",IF(OR(AND($N376=0,O376=""),$F376/$J376&gt;[1]CRITERIOS!$G$170,$F376="DV"),"MTO",IF($F376/$J376&lt;[1]CRITERIOS!$H$168,"MTS","MTOS")))</f>
        <v>#N/A</v>
      </c>
      <c r="V376" s="34" t="e">
        <f t="shared" si="19"/>
        <v>#N/A</v>
      </c>
      <c r="X376" s="34" t="e">
        <f t="shared" si="17"/>
        <v>#N/A</v>
      </c>
      <c r="Y376" s="34" t="e">
        <f t="shared" si="18"/>
        <v>#N/A</v>
      </c>
      <c r="Z376" s="34" t="e">
        <f>IF($R376="MTO",
0,
($H376+$K376*($E376/[1]CRITERIOS!$M$16))/[1]CRITERIOS!$X$48)</f>
        <v>#N/A</v>
      </c>
      <c r="AA376" s="34" t="e">
        <f>ROUNDUP(($Y376/_xlfn.XLOOKUP($A376,'[1]DATOS PBI Artículos'!$A$4:$A$4,'[1]DATOS PBI Artículos'!$Z$4:$Z$4))/_xlfn.XLOOKUP(_xlfn.XLOOKUP($A376,'[1]DATOS PBI Artículos'!$A$4:$A$4,'[1]DATOS PBI Artículos'!$Y$4:$Y$4),[1]CRITERIOS!$P$79:$P$123,[1]CRITERIOS!$S$79:$S$123,),0)</f>
        <v>#N/A</v>
      </c>
      <c r="AB376" s="33" t="e">
        <f t="array" ref="AB376">IF((E376+V376-_xlfn.XLOOKUP(A376,'[1]DATOS PBI Artículos'!$A$4:$A$4,'[1]DATOS PBI Artículos'!$W$4:$W$4))/N376&gt;ROUNDUP([1]CRITERIOS!$M$16/(IF(COUNTIF([1]CRITERIOS!$BG$11:$BG$201,L376)&gt;=1,_xlfn.XLOOKUP(ARTÍCULOS!L376,[1]CRITERIOS!$BG$11:$BG$201,[1]CRITERIOS!$BJ$11:$BJ$201),_xlfn.XLOOKUP(ARTÍCULOS!C376,[1]CRITERIOS!$K$25:$K$42,[1]CRITERIOS!$M$25:$M$42))),0),ROUNDUP([1]CRITERIOS!$M$16/(IF(COUNTIF([1]CRITERIOS!$BG$11:$BG$201,L376)&gt;=1,_xlfn.XLOOKUP(ARTÍCULOS!L376,[1]CRITERIOS!$BG$11:$BG$201:#REF!,[1]CRITERIOS!$BJ$11:$BJ$201),_xlfn.XLOOKUP(ARTÍCULOS!C376,[1]CRITERIOS!$K$25:$K$42,[1]CRITERIOS!$M$25:$M$42))),0),(E376+V376-_xlfn.XLOOKUP(A376,'[1]DATOS PBI Artículos'!$A$4:$A$4,'[1]DATOS PBI Artículos'!$W$4:$W$4))/N376)</f>
        <v>#N/A</v>
      </c>
      <c r="AC376" s="33" t="e">
        <f>IF(N376=0,"",(ROUNDUP((N376/2)/(_xlfn.XLOOKUP(A376,'[1]DATOS PBI Artículos'!$A$4:$A$4,'[1]DATOS PBI Artículos'!$Z$4:$Z$4)*_xlfn.XLOOKUP(_xlfn.XLOOKUP(A376,'[1]DATOS PBI Artículos'!$A$4:$A$4,'[1]DATOS PBI Artículos'!$Y$4:$Y$4),[1]CRITERIOS!$P$79:$P$123,[1]CRITERIOS!$S$79:$S$123)),0)*[1]CRITERIOS!$M$80*([1]CRITERIOS!$M$110/[1]CRITERIOS!$M$86)+(_xlfn.XLOOKUP(A376,'[1]DATOS PBI Artículos'!$A$4:$A$4,'[1]DATOS PBI Artículos'!$AA$4:$AA$4)*([1]CRITERIOS!$M$95+[1]CRITERIOS!$M$98)))/N376)</f>
        <v>#N/A</v>
      </c>
      <c r="AD376" s="33" t="e">
        <f>IF(N376=0,"",(ROUNDUP((N376/2)/(_xlfn.XLOOKUP(A376,'[1]DATOS PBI Artículos'!$A$4:$A$4,'[1]DATOS PBI Artículos'!$Z$4:$Z$4)*_xlfn.XLOOKUP(_xlfn.XLOOKUP(A376,'[1]DATOS PBI Artículos'!$A$4:$A$4,'[1]DATOS PBI Artículos'!$Y$4:$Y$4),[1]CRITERIOS!$P$79:$P$123,[1]CRITERIOS!$S$79:$S$123)),0)*[1]CRITERIOS!$M$80*([1]CRITERIOS!$M$89*[1]CRITERIOS!$M$92)+((_xlfn.XLOOKUP(A376,'[1]DATOS PBI Artículos'!$A$4:$A$4,'[1]DATOS PBI Artículos'!$AA$4:$AA$4)/2)*([1]CRITERIOS!$M$95+[1]CRITERIOS!$M$98)))/N376)</f>
        <v>#N/A</v>
      </c>
      <c r="AE376" s="39" t="e">
        <f>IF($R376="MTO","",
IF($H376=0,ROUNDUP(((_xlfn.XLOOKUP($A376,'[1]DATOS PBI Artículos'!$A:$A,'[1]DATOS PBI Artículos'!$AL:$AL))/(_xlfn.XLOOKUP($AF$1,[1]CRITERIOS!$S$16:$S$39,[1]CRITERIOS!$Y$16:$Y$39))*$J376+$Z376)/$G376,0)*$G376,
((_xlfn.XLOOKUP($A376,'[1]DATOS PBI Artículos'!$A:$A,'[1]DATOS PBI Artículos'!$AL:$AL))/(_xlfn.XLOOKUP($AF$1,[1]CRITERIOS!$S$16:$S$39,[1]CRITERIOS!$Y$16:$Y$39))*$J376+$Z376)))</f>
        <v>#N/A</v>
      </c>
      <c r="AG376" s="39" t="e">
        <f>IF($R376="MTO","",
IF($H376=0,ROUNDUP(((_xlfn.XLOOKUP($A376,'[1]DATOS PBI Artículos'!$A:$A,'[1]DATOS PBI Artículos'!$AM:$AM))/(_xlfn.XLOOKUP($AH$1,[1]CRITERIOS!$S$16:$S$39,[1]CRITERIOS!$Y$16:$Y$39))*$J376+$Z376)/$G376,0)*$G376,
((_xlfn.XLOOKUP($A376,'[1]DATOS PBI Artículos'!$A:$A,'[1]DATOS PBI Artículos'!$AM:$AM))/(_xlfn.XLOOKUP($AH$1,[1]CRITERIOS!$S$16:$S$39,[1]CRITERIOS!$Y$16:$Y$39))*$J376+$Z376)))</f>
        <v>#N/A</v>
      </c>
      <c r="AI376" s="39" t="e">
        <f>IF($R376="MTO","",
IF($H376=0,ROUNDUP(((_xlfn.XLOOKUP($A376,'[1]DATOS PBI Artículos'!$A:$A,'[1]DATOS PBI Artículos'!$AN:$AN))/(_xlfn.XLOOKUP($AJ$1,[1]CRITERIOS!$S$16:$S$39,[1]CRITERIOS!$Y$16:$Y$39))*$J376+$Z376)/$G376,0)*$G376,
((_xlfn.XLOOKUP($A376,'[1]DATOS PBI Artículos'!$A:$A,'[1]DATOS PBI Artículos'!$AN:$AN))/(_xlfn.XLOOKUP($AJ$1,[1]CRITERIOS!$S$16:$S$39,[1]CRITERIOS!$Y$16:$Y$39))*$J376+$Z376)))</f>
        <v>#N/A</v>
      </c>
      <c r="AK376" s="39" t="e">
        <f>IF($R376="MTO","",
IF($H376=0,ROUNDUP(((_xlfn.XLOOKUP($A376,'[1]DATOS PBI Artículos'!$A:$A,'[1]DATOS PBI Artículos'!$AO:$AO))/(_xlfn.XLOOKUP($AL$1,[1]CRITERIOS!$S$16:$S$39,[1]CRITERIOS!$Y$16:$Y$39))*$J376+$Z376)/$G376,0)*$G376,
((_xlfn.XLOOKUP($A376,'[1]DATOS PBI Artículos'!$A:$A,'[1]DATOS PBI Artículos'!$AO:$AO))/(_xlfn.XLOOKUP($AL$1,[1]CRITERIOS!$S$16:$S$39,[1]CRITERIOS!$Y$16:$Y$39))*$J376+$Z376)))</f>
        <v>#N/A</v>
      </c>
    </row>
    <row r="377" spans="1:37" ht="25.8" hidden="1" x14ac:dyDescent="0.4">
      <c r="A377" s="41"/>
      <c r="B377" s="33">
        <f>_xlfn.XLOOKUP($A377,'[1]DATOS PBI Artículos'!A:A,'[1]DATOS PBI Artículos'!B:B)</f>
        <v>0</v>
      </c>
      <c r="C377" s="33">
        <f>_xlfn.XLOOKUP($A377,'[1]DATOS PBI Artículos'!A:A,'[1]DATOS PBI Artículos'!C:C)</f>
        <v>0</v>
      </c>
      <c r="D377" s="33">
        <f>_xlfn.XLOOKUP(A377,'[1]DATOS PBI Artículos'!A:A,'[1]DATOS PBI Artículos'!T:T)</f>
        <v>0</v>
      </c>
      <c r="E377" s="34">
        <f>IF(_xlfn.XLOOKUP($A377,'[1]DATOS PBI Artículos'!A:A,'[1]DATOS PBI Artículos'!AK:AK)="",_xlfn.XLOOKUP($A377,'[1]DATOS PBI Artículos'!A:A,'[1]DATOS PBI Artículos'!AJ:AJ),_xlfn.XLOOKUP($A377,'[1]DATOS PBI Artículos'!A:A,'[1]DATOS PBI Artículos'!AK:AK))</f>
        <v>0</v>
      </c>
      <c r="F377" s="35">
        <f>_xlfn.XLOOKUP($A377,'[1]DATOS PBI Artículos'!A:A,'[1]DATOS PBI Artículos'!AP:AP)</f>
        <v>0</v>
      </c>
      <c r="G377" s="34">
        <f>_xlfn.XLOOKUP($A377,'[1]DATOS PBI Artículos'!A:A,'[1]DATOS PBI Artículos'!AR:AR)</f>
        <v>0</v>
      </c>
      <c r="H377" s="34">
        <f>_xlfn.XLOOKUP($A377,'[1]DATOS PBI Artículos'!A:A,'[1]DATOS PBI Artículos'!AT:AT)</f>
        <v>0</v>
      </c>
      <c r="I377" s="34">
        <f>_xlfn.XLOOKUP($A377,'[1]DATOS PBI Artículos'!A:A,'[1]DATOS PBI Artículos'!AS:AS)</f>
        <v>0</v>
      </c>
      <c r="J377" s="35">
        <f>IF(COUNTIF([1]CRITERIOS!$F$179:$F$199,$A377)&gt;=1,
 IF(O377&lt;&gt;"",
    (O377/_xlfn.XLOOKUP(CONCATENATE(A377,L377),[1]MÁQUINAS!A:A,[1]MÁQUINAS!D:D))/24,
    (N377/_xlfn.XLOOKUP(CONCATENATE(A377,L377),[1]MÁQUINAS!A:A,[1]MÁQUINAS!D:D))/24),
  _xlfn.XLOOKUP($A377,'[1]DATOS PBI Artículos'!A:A,'[1]DATOS PBI Artículos'!AU:AU))</f>
        <v>0</v>
      </c>
      <c r="K377" s="36">
        <f>_xlfn.XLOOKUP($A377,'[1]DATOS PBI Artículos'!A:A,'[1]DATOS PBI Artículos'!AV:AV)</f>
        <v>0</v>
      </c>
      <c r="L377" s="33">
        <f>_xlfn.XLOOKUP(A377,[1]MÁQUINAS!B:B,[1]MÁQUINAS!C:C)</f>
        <v>0</v>
      </c>
      <c r="M377" s="34">
        <f t="array" ref="M377">_xlfn.XLOOKUP(A377,'[1]DATOS PBI Artículos'!A:A,'[1]DATOS PBI Artículos'!AX:$AX)</f>
        <v>0</v>
      </c>
      <c r="N377" s="37" t="e">
        <f>IF(I377="DV",
E377,
IF(COUNTIF([1]CRITERIOS!$I$179:$I$199,$A377)&gt;=1,
_xlfn.XLOOKUP($A377,[1]CRITERIOS!$I$179:$I$199,[1]CRITERIOS!$J$179:$J$199),
IF(COUNTIF([1]CRITERIOS!$L$179:$L$199,$A377)&gt;=1,
_xlfn.CEILING.MATH(IF($M377&gt;$E377,
$E377,
IF($M377&lt;$E377/ROUNDDOWN([1]CRITERIOS!$M$16/_xlfn.XLOOKUP($C377,[1]CRITERIOS!$K$25:$K$42,[1]CRITERIOS!$M$25:$M$42),
1),
E377/ROUNDDOWN([1]CRITERIOS!$M$16/_xlfn.XLOOKUP($C377,[1]CRITERIOS!$K$25:$K$42,[1]CRITERIOS!$M$25:$M$42),
1),
$M377)),
_xlfn.XLOOKUP($A377,[1]CRITERIOS!$L$179:$L$200,[1]CRITERIOS!$M$179:$M$200)),
_xlfn.CEILING.MATH(IF($M377&gt;$E377,
$E377,
IF($M377&lt;$E377/ROUNDDOWN([1]CRITERIOS!$M$16/_xlfn.XLOOKUP($C377,[1]CRITERIOS!$K$25:$K$42,[1]CRITERIOS!$M$25:$M$42),
1),
E377/ROUNDDOWN([1]CRITERIOS!$M$16/_xlfn.XLOOKUP($C377,[1]CRITERIOS!$K$25:$K$42,[1]CRITERIOS!$M$25:$M$42),
1),
$M377)),_xlfn.XLOOKUP(A377,'[1]DATOS PBI Artículos'!A:A,'[1]DATOS PBI Artículos'!Z:Z
)))))</f>
        <v>#N/A</v>
      </c>
      <c r="Q377" s="38" t="e">
        <f>IF(AND(O377="",N377=0),
0,
   IF(COUNTIF([1]CRITERIOS!$F$179:$F$199,$A377)&gt;=1,
   1,
   IF(R377="MTO",
      $D377,
      ROUNDUP(
                    IF(($E377-SUMIF('[1]DATOS PBI Artículos'!A:A,A377,'[1]DATOS PBI Artículos'!X:X)+($V377-_xlfn.XLOOKUP(A377,'[1]DATOS PBI Artículos'!A:A,'[1]DATOS PBI Artículos'!W:W)))&lt;0,
                    0,
                    IF(($E377-SUMIF('[1]DATOS PBI Artículos'!A:A,A377,'[1]DATOS PBI Artículos'!X:X)+$V377-_xlfn.XLOOKUP($A377,'[1]DATOS PBI Artículos'!A:A,'[1]DATOS PBI Artículos'!W:W))/IF($O377="",$N377,$O377)&gt;ROUNDUP([1]CRITERIOS!$M$16/(IF(COUNTIF([1]CRITERIOS!$BG$11:$BG$201,L377)&gt;=1,_xlfn.XLOOKUP($C377,[1]CRITERIOS!$K$25:$K$42,[1]CRITERIOS!$M$25:$M$42),_xlfn.XLOOKUP($C377,[1]CRITERIOS!$K$25:$K$42,[1]CRITERIOS!$M$25:$M$42))),0),
                    ROUNDUP([1]CRITERIOS!$M$16/(IF(COUNTIF([1]CRITERIOS!$BG$11:$BG$201,$L377)&gt;=1,_xlfn.XLOOKUP($C377,[1]CRITERIOS!$K$25:$K$42,[1]CRITERIOS!$M$25:$M$42),_xlfn.XLOOKUP($C377,[1]CRITERIOS!$K$25:$K$42,[1]CRITERIOS!$M$25:$M$42))),0),
                    (E377+V377-SUMIF('[1]DATOS PBI Artículos'!A:A,A377,'[1]DATOS PBI Artículos'!X:X)-_xlfn.XLOOKUP(A377,'[1]DATOS PBI Artículos'!A:A,'[1]DATOS PBI Artículos'!W:W))/IF($O377="",$N377,$O377))),0))))</f>
        <v>#N/A</v>
      </c>
      <c r="R377" s="33" t="e">
        <f>IF(U377&lt;&gt;"",U377,IF(F377="DV","MTO",IF(N377=0,"MTO",_xlfn.XLOOKUP(CONCATENATE(S377,T377),[1]CRITERIOS!$K$160:$K$168,[1]CRITERIOS!$N$160:$N$168))))</f>
        <v>#N/A</v>
      </c>
      <c r="S377" s="33" t="e">
        <f>IF(G377="DV","MTO",IF(N377=0,"MTO",IF(OR(AND(N377=0,O377=""),IF(O377="",G377/N377,G377/O377)&gt;[1]CRITERIOS!$G$163),"MTO",IF(IF(O377="",G377/N377,G377/O377)&lt;[1]CRITERIOS!$H$161,"MTS","MTOS"))))</f>
        <v>#N/A</v>
      </c>
      <c r="T377" s="33" t="e">
        <f>IF(F377="DV","MTO",IF(OR(AND($N377=0,O377=""),$F377/$J377&gt;[1]CRITERIOS!$G$170,$F377="DV"),"MTO",IF($F377/$J377&lt;[1]CRITERIOS!$H$168,"MTS","MTOS")))</f>
        <v>#N/A</v>
      </c>
      <c r="V377" s="34" t="e">
        <f t="shared" si="19"/>
        <v>#N/A</v>
      </c>
      <c r="X377" s="34" t="e">
        <f t="shared" si="17"/>
        <v>#N/A</v>
      </c>
      <c r="Y377" s="34" t="e">
        <f t="shared" si="18"/>
        <v>#N/A</v>
      </c>
      <c r="Z377" s="34" t="e">
        <f>IF($R377="MTO",
0,
($H377+$K377*($E377/[1]CRITERIOS!$M$16))/[1]CRITERIOS!$X$48)</f>
        <v>#N/A</v>
      </c>
      <c r="AA377" s="34" t="e">
        <f>ROUNDUP(($Y377/_xlfn.XLOOKUP($A377,'[1]DATOS PBI Artículos'!$A$4:$A$4,'[1]DATOS PBI Artículos'!$Z$4:$Z$4))/_xlfn.XLOOKUP(_xlfn.XLOOKUP($A377,'[1]DATOS PBI Artículos'!$A$4:$A$4,'[1]DATOS PBI Artículos'!$Y$4:$Y$4),[1]CRITERIOS!$P$79:$P$123,[1]CRITERIOS!$S$79:$S$123,),0)</f>
        <v>#N/A</v>
      </c>
      <c r="AB377" s="33" t="e">
        <f t="array" ref="AB377">IF((E377+V377-_xlfn.XLOOKUP(A377,'[1]DATOS PBI Artículos'!$A$4:$A$4,'[1]DATOS PBI Artículos'!$W$4:$W$4))/N377&gt;ROUNDUP([1]CRITERIOS!$M$16/(IF(COUNTIF([1]CRITERIOS!$BG$11:$BG$201,L377)&gt;=1,_xlfn.XLOOKUP(ARTÍCULOS!L377,[1]CRITERIOS!$BG$11:$BG$201,[1]CRITERIOS!$BJ$11:$BJ$201),_xlfn.XLOOKUP(ARTÍCULOS!C377,[1]CRITERIOS!$K$25:$K$42,[1]CRITERIOS!$M$25:$M$42))),0),ROUNDUP([1]CRITERIOS!$M$16/(IF(COUNTIF([1]CRITERIOS!$BG$11:$BG$201,L377)&gt;=1,_xlfn.XLOOKUP(ARTÍCULOS!L377,[1]CRITERIOS!$BG$11:$BG$201:#REF!,[1]CRITERIOS!$BJ$11:$BJ$201),_xlfn.XLOOKUP(ARTÍCULOS!C377,[1]CRITERIOS!$K$25:$K$42,[1]CRITERIOS!$M$25:$M$42))),0),(E377+V377-_xlfn.XLOOKUP(A377,'[1]DATOS PBI Artículos'!$A$4:$A$4,'[1]DATOS PBI Artículos'!$W$4:$W$4))/N377)</f>
        <v>#N/A</v>
      </c>
      <c r="AC377" s="33" t="e">
        <f>IF(N377=0,"",(ROUNDUP((N377/2)/(_xlfn.XLOOKUP(A377,'[1]DATOS PBI Artículos'!$A$4:$A$4,'[1]DATOS PBI Artículos'!$Z$4:$Z$4)*_xlfn.XLOOKUP(_xlfn.XLOOKUP(A377,'[1]DATOS PBI Artículos'!$A$4:$A$4,'[1]DATOS PBI Artículos'!$Y$4:$Y$4),[1]CRITERIOS!$P$79:$P$123,[1]CRITERIOS!$S$79:$S$123)),0)*[1]CRITERIOS!$M$80*([1]CRITERIOS!$M$110/[1]CRITERIOS!$M$86)+(_xlfn.XLOOKUP(A377,'[1]DATOS PBI Artículos'!$A$4:$A$4,'[1]DATOS PBI Artículos'!$AA$4:$AA$4)*([1]CRITERIOS!$M$95+[1]CRITERIOS!$M$98)))/N377)</f>
        <v>#N/A</v>
      </c>
      <c r="AD377" s="33" t="e">
        <f>IF(N377=0,"",(ROUNDUP((N377/2)/(_xlfn.XLOOKUP(A377,'[1]DATOS PBI Artículos'!$A$4:$A$4,'[1]DATOS PBI Artículos'!$Z$4:$Z$4)*_xlfn.XLOOKUP(_xlfn.XLOOKUP(A377,'[1]DATOS PBI Artículos'!$A$4:$A$4,'[1]DATOS PBI Artículos'!$Y$4:$Y$4),[1]CRITERIOS!$P$79:$P$123,[1]CRITERIOS!$S$79:$S$123)),0)*[1]CRITERIOS!$M$80*([1]CRITERIOS!$M$89*[1]CRITERIOS!$M$92)+((_xlfn.XLOOKUP(A377,'[1]DATOS PBI Artículos'!$A$4:$A$4,'[1]DATOS PBI Artículos'!$AA$4:$AA$4)/2)*([1]CRITERIOS!$M$95+[1]CRITERIOS!$M$98)))/N377)</f>
        <v>#N/A</v>
      </c>
      <c r="AE377" s="39" t="e">
        <f>IF($R377="MTO","",
IF($H377=0,ROUNDUP(((_xlfn.XLOOKUP($A377,'[1]DATOS PBI Artículos'!$A:$A,'[1]DATOS PBI Artículos'!$AL:$AL))/(_xlfn.XLOOKUP($AF$1,[1]CRITERIOS!$S$16:$S$39,[1]CRITERIOS!$Y$16:$Y$39))*$J377+$Z377)/$G377,0)*$G377,
((_xlfn.XLOOKUP($A377,'[1]DATOS PBI Artículos'!$A:$A,'[1]DATOS PBI Artículos'!$AL:$AL))/(_xlfn.XLOOKUP($AF$1,[1]CRITERIOS!$S$16:$S$39,[1]CRITERIOS!$Y$16:$Y$39))*$J377+$Z377)))</f>
        <v>#N/A</v>
      </c>
      <c r="AG377" s="39" t="e">
        <f>IF($R377="MTO","",
IF($H377=0,ROUNDUP(((_xlfn.XLOOKUP($A377,'[1]DATOS PBI Artículos'!$A:$A,'[1]DATOS PBI Artículos'!$AM:$AM))/(_xlfn.XLOOKUP($AH$1,[1]CRITERIOS!$S$16:$S$39,[1]CRITERIOS!$Y$16:$Y$39))*$J377+$Z377)/$G377,0)*$G377,
((_xlfn.XLOOKUP($A377,'[1]DATOS PBI Artículos'!$A:$A,'[1]DATOS PBI Artículos'!$AM:$AM))/(_xlfn.XLOOKUP($AH$1,[1]CRITERIOS!$S$16:$S$39,[1]CRITERIOS!$Y$16:$Y$39))*$J377+$Z377)))</f>
        <v>#N/A</v>
      </c>
      <c r="AI377" s="39" t="e">
        <f>IF($R377="MTO","",
IF($H377=0,ROUNDUP(((_xlfn.XLOOKUP($A377,'[1]DATOS PBI Artículos'!$A:$A,'[1]DATOS PBI Artículos'!$AN:$AN))/(_xlfn.XLOOKUP($AJ$1,[1]CRITERIOS!$S$16:$S$39,[1]CRITERIOS!$Y$16:$Y$39))*$J377+$Z377)/$G377,0)*$G377,
((_xlfn.XLOOKUP($A377,'[1]DATOS PBI Artículos'!$A:$A,'[1]DATOS PBI Artículos'!$AN:$AN))/(_xlfn.XLOOKUP($AJ$1,[1]CRITERIOS!$S$16:$S$39,[1]CRITERIOS!$Y$16:$Y$39))*$J377+$Z377)))</f>
        <v>#N/A</v>
      </c>
      <c r="AK377" s="39" t="e">
        <f>IF($R377="MTO","",
IF($H377=0,ROUNDUP(((_xlfn.XLOOKUP($A377,'[1]DATOS PBI Artículos'!$A:$A,'[1]DATOS PBI Artículos'!$AO:$AO))/(_xlfn.XLOOKUP($AL$1,[1]CRITERIOS!$S$16:$S$39,[1]CRITERIOS!$Y$16:$Y$39))*$J377+$Z377)/$G377,0)*$G377,
((_xlfn.XLOOKUP($A377,'[1]DATOS PBI Artículos'!$A:$A,'[1]DATOS PBI Artículos'!$AO:$AO))/(_xlfn.XLOOKUP($AL$1,[1]CRITERIOS!$S$16:$S$39,[1]CRITERIOS!$Y$16:$Y$39))*$J377+$Z377)))</f>
        <v>#N/A</v>
      </c>
    </row>
    <row r="378" spans="1:37" ht="25.8" hidden="1" x14ac:dyDescent="0.4">
      <c r="A378" s="41"/>
      <c r="B378" s="33">
        <f>_xlfn.XLOOKUP($A378,'[1]DATOS PBI Artículos'!A:A,'[1]DATOS PBI Artículos'!B:B)</f>
        <v>0</v>
      </c>
      <c r="C378" s="33">
        <f>_xlfn.XLOOKUP($A378,'[1]DATOS PBI Artículos'!A:A,'[1]DATOS PBI Artículos'!C:C)</f>
        <v>0</v>
      </c>
      <c r="D378" s="33">
        <f>_xlfn.XLOOKUP(A378,'[1]DATOS PBI Artículos'!A:A,'[1]DATOS PBI Artículos'!T:T)</f>
        <v>0</v>
      </c>
      <c r="E378" s="34">
        <f>IF(_xlfn.XLOOKUP($A378,'[1]DATOS PBI Artículos'!A:A,'[1]DATOS PBI Artículos'!AK:AK)="",_xlfn.XLOOKUP($A378,'[1]DATOS PBI Artículos'!A:A,'[1]DATOS PBI Artículos'!AJ:AJ),_xlfn.XLOOKUP($A378,'[1]DATOS PBI Artículos'!A:A,'[1]DATOS PBI Artículos'!AK:AK))</f>
        <v>0</v>
      </c>
      <c r="F378" s="35">
        <f>_xlfn.XLOOKUP($A378,'[1]DATOS PBI Artículos'!A:A,'[1]DATOS PBI Artículos'!AP:AP)</f>
        <v>0</v>
      </c>
      <c r="G378" s="34">
        <f>_xlfn.XLOOKUP($A378,'[1]DATOS PBI Artículos'!A:A,'[1]DATOS PBI Artículos'!AR:AR)</f>
        <v>0</v>
      </c>
      <c r="H378" s="34">
        <f>_xlfn.XLOOKUP($A378,'[1]DATOS PBI Artículos'!A:A,'[1]DATOS PBI Artículos'!AT:AT)</f>
        <v>0</v>
      </c>
      <c r="I378" s="34">
        <f>_xlfn.XLOOKUP($A378,'[1]DATOS PBI Artículos'!A:A,'[1]DATOS PBI Artículos'!AS:AS)</f>
        <v>0</v>
      </c>
      <c r="J378" s="35">
        <f>IF(COUNTIF([1]CRITERIOS!$F$179:$F$199,$A378)&gt;=1,
 IF(O378&lt;&gt;"",
    (O378/_xlfn.XLOOKUP(CONCATENATE(A378,L378),[1]MÁQUINAS!A:A,[1]MÁQUINAS!D:D))/24,
    (N378/_xlfn.XLOOKUP(CONCATENATE(A378,L378),[1]MÁQUINAS!A:A,[1]MÁQUINAS!D:D))/24),
  _xlfn.XLOOKUP($A378,'[1]DATOS PBI Artículos'!A:A,'[1]DATOS PBI Artículos'!AU:AU))</f>
        <v>0</v>
      </c>
      <c r="K378" s="36">
        <f>_xlfn.XLOOKUP($A378,'[1]DATOS PBI Artículos'!A:A,'[1]DATOS PBI Artículos'!AV:AV)</f>
        <v>0</v>
      </c>
      <c r="L378" s="33">
        <f>_xlfn.XLOOKUP(A378,[1]MÁQUINAS!B:B,[1]MÁQUINAS!C:C)</f>
        <v>0</v>
      </c>
      <c r="M378" s="34">
        <f t="array" ref="M378">_xlfn.XLOOKUP(A378,'[1]DATOS PBI Artículos'!A:A,'[1]DATOS PBI Artículos'!AX:$AX)</f>
        <v>0</v>
      </c>
      <c r="N378" s="37" t="e">
        <f>IF(I378="DV",
E378,
IF(COUNTIF([1]CRITERIOS!$I$179:$I$199,$A378)&gt;=1,
_xlfn.XLOOKUP($A378,[1]CRITERIOS!$I$179:$I$199,[1]CRITERIOS!$J$179:$J$199),
IF(COUNTIF([1]CRITERIOS!$L$179:$L$199,$A378)&gt;=1,
_xlfn.CEILING.MATH(IF($M378&gt;$E378,
$E378,
IF($M378&lt;$E378/ROUNDDOWN([1]CRITERIOS!$M$16/_xlfn.XLOOKUP($C378,[1]CRITERIOS!$K$25:$K$42,[1]CRITERIOS!$M$25:$M$42),
1),
E378/ROUNDDOWN([1]CRITERIOS!$M$16/_xlfn.XLOOKUP($C378,[1]CRITERIOS!$K$25:$K$42,[1]CRITERIOS!$M$25:$M$42),
1),
$M378)),
_xlfn.XLOOKUP($A378,[1]CRITERIOS!$L$179:$L$200,[1]CRITERIOS!$M$179:$M$200)),
_xlfn.CEILING.MATH(IF($M378&gt;$E378,
$E378,
IF($M378&lt;$E378/ROUNDDOWN([1]CRITERIOS!$M$16/_xlfn.XLOOKUP($C378,[1]CRITERIOS!$K$25:$K$42,[1]CRITERIOS!$M$25:$M$42),
1),
E378/ROUNDDOWN([1]CRITERIOS!$M$16/_xlfn.XLOOKUP($C378,[1]CRITERIOS!$K$25:$K$42,[1]CRITERIOS!$M$25:$M$42),
1),
$M378)),_xlfn.XLOOKUP(A378,'[1]DATOS PBI Artículos'!A:A,'[1]DATOS PBI Artículos'!Z:Z
)))))</f>
        <v>#N/A</v>
      </c>
      <c r="Q378" s="38" t="e">
        <f>IF(AND(O378="",N378=0),
0,
   IF(COUNTIF([1]CRITERIOS!$F$179:$F$199,$A378)&gt;=1,
   1,
   IF(R378="MTO",
      $D378,
      ROUNDUP(
                    IF(($E378-SUMIF('[1]DATOS PBI Artículos'!A:A,A378,'[1]DATOS PBI Artículos'!X:X)+($V378-_xlfn.XLOOKUP(A378,'[1]DATOS PBI Artículos'!A:A,'[1]DATOS PBI Artículos'!W:W)))&lt;0,
                    0,
                    IF(($E378-SUMIF('[1]DATOS PBI Artículos'!A:A,A378,'[1]DATOS PBI Artículos'!X:X)+$V378-_xlfn.XLOOKUP($A378,'[1]DATOS PBI Artículos'!A:A,'[1]DATOS PBI Artículos'!W:W))/IF($O378="",$N378,$O378)&gt;ROUNDUP([1]CRITERIOS!$M$16/(IF(COUNTIF([1]CRITERIOS!$BG$11:$BG$201,L378)&gt;=1,_xlfn.XLOOKUP($C378,[1]CRITERIOS!$K$25:$K$42,[1]CRITERIOS!$M$25:$M$42),_xlfn.XLOOKUP($C378,[1]CRITERIOS!$K$25:$K$42,[1]CRITERIOS!$M$25:$M$42))),0),
                    ROUNDUP([1]CRITERIOS!$M$16/(IF(COUNTIF([1]CRITERIOS!$BG$11:$BG$201,$L378)&gt;=1,_xlfn.XLOOKUP($C378,[1]CRITERIOS!$K$25:$K$42,[1]CRITERIOS!$M$25:$M$42),_xlfn.XLOOKUP($C378,[1]CRITERIOS!$K$25:$K$42,[1]CRITERIOS!$M$25:$M$42))),0),
                    (E378+V378-SUMIF('[1]DATOS PBI Artículos'!A:A,A378,'[1]DATOS PBI Artículos'!X:X)-_xlfn.XLOOKUP(A378,'[1]DATOS PBI Artículos'!A:A,'[1]DATOS PBI Artículos'!W:W))/IF($O378="",$N378,$O378))),0))))</f>
        <v>#N/A</v>
      </c>
      <c r="R378" s="33" t="e">
        <f>IF(U378&lt;&gt;"",U378,IF(F378="DV","MTO",IF(N378=0,"MTO",_xlfn.XLOOKUP(CONCATENATE(S378,T378),[1]CRITERIOS!$K$160:$K$168,[1]CRITERIOS!$N$160:$N$168))))</f>
        <v>#N/A</v>
      </c>
      <c r="S378" s="33" t="e">
        <f>IF(G378="DV","MTO",IF(N378=0,"MTO",IF(OR(AND(N378=0,O378=""),IF(O378="",G378/N378,G378/O378)&gt;[1]CRITERIOS!$G$163),"MTO",IF(IF(O378="",G378/N378,G378/O378)&lt;[1]CRITERIOS!$H$161,"MTS","MTOS"))))</f>
        <v>#N/A</v>
      </c>
      <c r="T378" s="33" t="e">
        <f>IF(F378="DV","MTO",IF(OR(AND($N378=0,O378=""),$F378/$J378&gt;[1]CRITERIOS!$G$170,$F378="DV"),"MTO",IF($F378/$J378&lt;[1]CRITERIOS!$H$168,"MTS","MTOS")))</f>
        <v>#N/A</v>
      </c>
      <c r="V378" s="34" t="e">
        <f t="shared" si="19"/>
        <v>#N/A</v>
      </c>
      <c r="X378" s="34" t="e">
        <f t="shared" si="17"/>
        <v>#N/A</v>
      </c>
      <c r="Y378" s="34" t="e">
        <f t="shared" si="18"/>
        <v>#N/A</v>
      </c>
      <c r="Z378" s="34" t="e">
        <f>IF($R378="MTO",
0,
($H378+$K378*($E378/[1]CRITERIOS!$M$16))/[1]CRITERIOS!$X$48)</f>
        <v>#N/A</v>
      </c>
      <c r="AA378" s="34" t="e">
        <f>ROUNDUP(($Y378/_xlfn.XLOOKUP($A378,'[1]DATOS PBI Artículos'!$A$4:$A$4,'[1]DATOS PBI Artículos'!$Z$4:$Z$4))/_xlfn.XLOOKUP(_xlfn.XLOOKUP($A378,'[1]DATOS PBI Artículos'!$A$4:$A$4,'[1]DATOS PBI Artículos'!$Y$4:$Y$4),[1]CRITERIOS!$P$79:$P$123,[1]CRITERIOS!$S$79:$S$123,),0)</f>
        <v>#N/A</v>
      </c>
      <c r="AB378" s="33" t="e">
        <f t="array" ref="AB378">IF((E378+V378-_xlfn.XLOOKUP(A378,'[1]DATOS PBI Artículos'!$A$4:$A$4,'[1]DATOS PBI Artículos'!$W$4:$W$4))/N378&gt;ROUNDUP([1]CRITERIOS!$M$16/(IF(COUNTIF([1]CRITERIOS!$BG$11:$BG$201,L378)&gt;=1,_xlfn.XLOOKUP(ARTÍCULOS!L378,[1]CRITERIOS!$BG$11:$BG$201,[1]CRITERIOS!$BJ$11:$BJ$201),_xlfn.XLOOKUP(ARTÍCULOS!C378,[1]CRITERIOS!$K$25:$K$42,[1]CRITERIOS!$M$25:$M$42))),0),ROUNDUP([1]CRITERIOS!$M$16/(IF(COUNTIF([1]CRITERIOS!$BG$11:$BG$201,L378)&gt;=1,_xlfn.XLOOKUP(ARTÍCULOS!L378,[1]CRITERIOS!$BG$11:$BG$201:#REF!,[1]CRITERIOS!$BJ$11:$BJ$201),_xlfn.XLOOKUP(ARTÍCULOS!C378,[1]CRITERIOS!$K$25:$K$42,[1]CRITERIOS!$M$25:$M$42))),0),(E378+V378-_xlfn.XLOOKUP(A378,'[1]DATOS PBI Artículos'!$A$4:$A$4,'[1]DATOS PBI Artículos'!$W$4:$W$4))/N378)</f>
        <v>#N/A</v>
      </c>
      <c r="AC378" s="33" t="e">
        <f>IF(N378=0,"",(ROUNDUP((N378/2)/(_xlfn.XLOOKUP(A378,'[1]DATOS PBI Artículos'!$A$4:$A$4,'[1]DATOS PBI Artículos'!$Z$4:$Z$4)*_xlfn.XLOOKUP(_xlfn.XLOOKUP(A378,'[1]DATOS PBI Artículos'!$A$4:$A$4,'[1]DATOS PBI Artículos'!$Y$4:$Y$4),[1]CRITERIOS!$P$79:$P$123,[1]CRITERIOS!$S$79:$S$123)),0)*[1]CRITERIOS!$M$80*([1]CRITERIOS!$M$110/[1]CRITERIOS!$M$86)+(_xlfn.XLOOKUP(A378,'[1]DATOS PBI Artículos'!$A$4:$A$4,'[1]DATOS PBI Artículos'!$AA$4:$AA$4)*([1]CRITERIOS!$M$95+[1]CRITERIOS!$M$98)))/N378)</f>
        <v>#N/A</v>
      </c>
      <c r="AD378" s="33" t="e">
        <f>IF(N378=0,"",(ROUNDUP((N378/2)/(_xlfn.XLOOKUP(A378,'[1]DATOS PBI Artículos'!$A$4:$A$4,'[1]DATOS PBI Artículos'!$Z$4:$Z$4)*_xlfn.XLOOKUP(_xlfn.XLOOKUP(A378,'[1]DATOS PBI Artículos'!$A$4:$A$4,'[1]DATOS PBI Artículos'!$Y$4:$Y$4),[1]CRITERIOS!$P$79:$P$123,[1]CRITERIOS!$S$79:$S$123)),0)*[1]CRITERIOS!$M$80*([1]CRITERIOS!$M$89*[1]CRITERIOS!$M$92)+((_xlfn.XLOOKUP(A378,'[1]DATOS PBI Artículos'!$A$4:$A$4,'[1]DATOS PBI Artículos'!$AA$4:$AA$4)/2)*([1]CRITERIOS!$M$95+[1]CRITERIOS!$M$98)))/N378)</f>
        <v>#N/A</v>
      </c>
      <c r="AE378" s="39" t="e">
        <f>IF($R378="MTO","",
IF($H378=0,ROUNDUP(((_xlfn.XLOOKUP($A378,'[1]DATOS PBI Artículos'!$A:$A,'[1]DATOS PBI Artículos'!$AL:$AL))/(_xlfn.XLOOKUP($AF$1,[1]CRITERIOS!$S$16:$S$39,[1]CRITERIOS!$Y$16:$Y$39))*$J378+$Z378)/$G378,0)*$G378,
((_xlfn.XLOOKUP($A378,'[1]DATOS PBI Artículos'!$A:$A,'[1]DATOS PBI Artículos'!$AL:$AL))/(_xlfn.XLOOKUP($AF$1,[1]CRITERIOS!$S$16:$S$39,[1]CRITERIOS!$Y$16:$Y$39))*$J378+$Z378)))</f>
        <v>#N/A</v>
      </c>
      <c r="AG378" s="39" t="e">
        <f>IF($R378="MTO","",
IF($H378=0,ROUNDUP(((_xlfn.XLOOKUP($A378,'[1]DATOS PBI Artículos'!$A:$A,'[1]DATOS PBI Artículos'!$AM:$AM))/(_xlfn.XLOOKUP($AH$1,[1]CRITERIOS!$S$16:$S$39,[1]CRITERIOS!$Y$16:$Y$39))*$J378+$Z378)/$G378,0)*$G378,
((_xlfn.XLOOKUP($A378,'[1]DATOS PBI Artículos'!$A:$A,'[1]DATOS PBI Artículos'!$AM:$AM))/(_xlfn.XLOOKUP($AH$1,[1]CRITERIOS!$S$16:$S$39,[1]CRITERIOS!$Y$16:$Y$39))*$J378+$Z378)))</f>
        <v>#N/A</v>
      </c>
      <c r="AI378" s="39" t="e">
        <f>IF($R378="MTO","",
IF($H378=0,ROUNDUP(((_xlfn.XLOOKUP($A378,'[1]DATOS PBI Artículos'!$A:$A,'[1]DATOS PBI Artículos'!$AN:$AN))/(_xlfn.XLOOKUP($AJ$1,[1]CRITERIOS!$S$16:$S$39,[1]CRITERIOS!$Y$16:$Y$39))*$J378+$Z378)/$G378,0)*$G378,
((_xlfn.XLOOKUP($A378,'[1]DATOS PBI Artículos'!$A:$A,'[1]DATOS PBI Artículos'!$AN:$AN))/(_xlfn.XLOOKUP($AJ$1,[1]CRITERIOS!$S$16:$S$39,[1]CRITERIOS!$Y$16:$Y$39))*$J378+$Z378)))</f>
        <v>#N/A</v>
      </c>
      <c r="AK378" s="39" t="e">
        <f>IF($R378="MTO","",
IF($H378=0,ROUNDUP(((_xlfn.XLOOKUP($A378,'[1]DATOS PBI Artículos'!$A:$A,'[1]DATOS PBI Artículos'!$AO:$AO))/(_xlfn.XLOOKUP($AL$1,[1]CRITERIOS!$S$16:$S$39,[1]CRITERIOS!$Y$16:$Y$39))*$J378+$Z378)/$G378,0)*$G378,
((_xlfn.XLOOKUP($A378,'[1]DATOS PBI Artículos'!$A:$A,'[1]DATOS PBI Artículos'!$AO:$AO))/(_xlfn.XLOOKUP($AL$1,[1]CRITERIOS!$S$16:$S$39,[1]CRITERIOS!$Y$16:$Y$39))*$J378+$Z378)))</f>
        <v>#N/A</v>
      </c>
    </row>
    <row r="379" spans="1:37" ht="25.8" hidden="1" x14ac:dyDescent="0.4">
      <c r="A379" s="41"/>
      <c r="B379" s="33">
        <f>_xlfn.XLOOKUP($A379,'[1]DATOS PBI Artículos'!A:A,'[1]DATOS PBI Artículos'!B:B)</f>
        <v>0</v>
      </c>
      <c r="C379" s="33">
        <f>_xlfn.XLOOKUP($A379,'[1]DATOS PBI Artículos'!A:A,'[1]DATOS PBI Artículos'!C:C)</f>
        <v>0</v>
      </c>
      <c r="D379" s="33">
        <f>_xlfn.XLOOKUP(A379,'[1]DATOS PBI Artículos'!A:A,'[1]DATOS PBI Artículos'!T:T)</f>
        <v>0</v>
      </c>
      <c r="E379" s="34">
        <f>IF(_xlfn.XLOOKUP($A379,'[1]DATOS PBI Artículos'!A:A,'[1]DATOS PBI Artículos'!AK:AK)="",_xlfn.XLOOKUP($A379,'[1]DATOS PBI Artículos'!A:A,'[1]DATOS PBI Artículos'!AJ:AJ),_xlfn.XLOOKUP($A379,'[1]DATOS PBI Artículos'!A:A,'[1]DATOS PBI Artículos'!AK:AK))</f>
        <v>0</v>
      </c>
      <c r="F379" s="35">
        <f>_xlfn.XLOOKUP($A379,'[1]DATOS PBI Artículos'!A:A,'[1]DATOS PBI Artículos'!AP:AP)</f>
        <v>0</v>
      </c>
      <c r="G379" s="34">
        <f>_xlfn.XLOOKUP($A379,'[1]DATOS PBI Artículos'!A:A,'[1]DATOS PBI Artículos'!AR:AR)</f>
        <v>0</v>
      </c>
      <c r="H379" s="34">
        <f>_xlfn.XLOOKUP($A379,'[1]DATOS PBI Artículos'!A:A,'[1]DATOS PBI Artículos'!AT:AT)</f>
        <v>0</v>
      </c>
      <c r="I379" s="34">
        <f>_xlfn.XLOOKUP($A379,'[1]DATOS PBI Artículos'!A:A,'[1]DATOS PBI Artículos'!AS:AS)</f>
        <v>0</v>
      </c>
      <c r="J379" s="35">
        <f>IF(COUNTIF([1]CRITERIOS!$F$179:$F$199,$A379)&gt;=1,
 IF(O379&lt;&gt;"",
    (O379/_xlfn.XLOOKUP(CONCATENATE(A379,L379),[1]MÁQUINAS!A:A,[1]MÁQUINAS!D:D))/24,
    (N379/_xlfn.XLOOKUP(CONCATENATE(A379,L379),[1]MÁQUINAS!A:A,[1]MÁQUINAS!D:D))/24),
  _xlfn.XLOOKUP($A379,'[1]DATOS PBI Artículos'!A:A,'[1]DATOS PBI Artículos'!AU:AU))</f>
        <v>0</v>
      </c>
      <c r="K379" s="36">
        <f>_xlfn.XLOOKUP($A379,'[1]DATOS PBI Artículos'!A:A,'[1]DATOS PBI Artículos'!AV:AV)</f>
        <v>0</v>
      </c>
      <c r="L379" s="33">
        <f>_xlfn.XLOOKUP(A379,[1]MÁQUINAS!B:B,[1]MÁQUINAS!C:C)</f>
        <v>0</v>
      </c>
      <c r="M379" s="34">
        <f t="array" ref="M379">_xlfn.XLOOKUP(A379,'[1]DATOS PBI Artículos'!A:A,'[1]DATOS PBI Artículos'!AX:$AX)</f>
        <v>0</v>
      </c>
      <c r="N379" s="37" t="e">
        <f>IF(I379="DV",
E379,
IF(COUNTIF([1]CRITERIOS!$I$179:$I$199,$A379)&gt;=1,
_xlfn.XLOOKUP($A379,[1]CRITERIOS!$I$179:$I$199,[1]CRITERIOS!$J$179:$J$199),
IF(COUNTIF([1]CRITERIOS!$L$179:$L$199,$A379)&gt;=1,
_xlfn.CEILING.MATH(IF($M379&gt;$E379,
$E379,
IF($M379&lt;$E379/ROUNDDOWN([1]CRITERIOS!$M$16/_xlfn.XLOOKUP($C379,[1]CRITERIOS!$K$25:$K$42,[1]CRITERIOS!$M$25:$M$42),
1),
E379/ROUNDDOWN([1]CRITERIOS!$M$16/_xlfn.XLOOKUP($C379,[1]CRITERIOS!$K$25:$K$42,[1]CRITERIOS!$M$25:$M$42),
1),
$M379)),
_xlfn.XLOOKUP($A379,[1]CRITERIOS!$L$179:$L$200,[1]CRITERIOS!$M$179:$M$200)),
_xlfn.CEILING.MATH(IF($M379&gt;$E379,
$E379,
IF($M379&lt;$E379/ROUNDDOWN([1]CRITERIOS!$M$16/_xlfn.XLOOKUP($C379,[1]CRITERIOS!$K$25:$K$42,[1]CRITERIOS!$M$25:$M$42),
1),
E379/ROUNDDOWN([1]CRITERIOS!$M$16/_xlfn.XLOOKUP($C379,[1]CRITERIOS!$K$25:$K$42,[1]CRITERIOS!$M$25:$M$42),
1),
$M379)),_xlfn.XLOOKUP(A379,'[1]DATOS PBI Artículos'!A:A,'[1]DATOS PBI Artículos'!Z:Z
)))))</f>
        <v>#N/A</v>
      </c>
      <c r="Q379" s="38" t="e">
        <f>IF(AND(O379="",N379=0),
0,
   IF(COUNTIF([1]CRITERIOS!$F$179:$F$199,$A379)&gt;=1,
   1,
   IF(R379="MTO",
      $D379,
      ROUNDUP(
                    IF(($E379-SUMIF('[1]DATOS PBI Artículos'!A:A,A379,'[1]DATOS PBI Artículos'!X:X)+($V379-_xlfn.XLOOKUP(A379,'[1]DATOS PBI Artículos'!A:A,'[1]DATOS PBI Artículos'!W:W)))&lt;0,
                    0,
                    IF(($E379-SUMIF('[1]DATOS PBI Artículos'!A:A,A379,'[1]DATOS PBI Artículos'!X:X)+$V379-_xlfn.XLOOKUP($A379,'[1]DATOS PBI Artículos'!A:A,'[1]DATOS PBI Artículos'!W:W))/IF($O379="",$N379,$O379)&gt;ROUNDUP([1]CRITERIOS!$M$16/(IF(COUNTIF([1]CRITERIOS!$BG$11:$BG$201,L379)&gt;=1,_xlfn.XLOOKUP($C379,[1]CRITERIOS!$K$25:$K$42,[1]CRITERIOS!$M$25:$M$42),_xlfn.XLOOKUP($C379,[1]CRITERIOS!$K$25:$K$42,[1]CRITERIOS!$M$25:$M$42))),0),
                    ROUNDUP([1]CRITERIOS!$M$16/(IF(COUNTIF([1]CRITERIOS!$BG$11:$BG$201,$L379)&gt;=1,_xlfn.XLOOKUP($C379,[1]CRITERIOS!$K$25:$K$42,[1]CRITERIOS!$M$25:$M$42),_xlfn.XLOOKUP($C379,[1]CRITERIOS!$K$25:$K$42,[1]CRITERIOS!$M$25:$M$42))),0),
                    (E379+V379-SUMIF('[1]DATOS PBI Artículos'!A:A,A379,'[1]DATOS PBI Artículos'!X:X)-_xlfn.XLOOKUP(A379,'[1]DATOS PBI Artículos'!A:A,'[1]DATOS PBI Artículos'!W:W))/IF($O379="",$N379,$O379))),0))))</f>
        <v>#N/A</v>
      </c>
      <c r="R379" s="33" t="e">
        <f>IF(U379&lt;&gt;"",U379,IF(F379="DV","MTO",IF(N379=0,"MTO",_xlfn.XLOOKUP(CONCATENATE(S379,T379),[1]CRITERIOS!$K$160:$K$168,[1]CRITERIOS!$N$160:$N$168))))</f>
        <v>#N/A</v>
      </c>
      <c r="S379" s="33" t="e">
        <f>IF(G379="DV","MTO",IF(N379=0,"MTO",IF(OR(AND(N379=0,O379=""),IF(O379="",G379/N379,G379/O379)&gt;[1]CRITERIOS!$G$163),"MTO",IF(IF(O379="",G379/N379,G379/O379)&lt;[1]CRITERIOS!$H$161,"MTS","MTOS"))))</f>
        <v>#N/A</v>
      </c>
      <c r="T379" s="33" t="e">
        <f>IF(F379="DV","MTO",IF(OR(AND($N379=0,O379=""),$F379/$J379&gt;[1]CRITERIOS!$G$170,$F379="DV"),"MTO",IF($F379/$J379&lt;[1]CRITERIOS!$H$168,"MTS","MTOS")))</f>
        <v>#N/A</v>
      </c>
      <c r="V379" s="34" t="e">
        <f t="shared" si="19"/>
        <v>#N/A</v>
      </c>
      <c r="X379" s="34" t="e">
        <f t="shared" si="17"/>
        <v>#N/A</v>
      </c>
      <c r="Y379" s="34" t="e">
        <f t="shared" si="18"/>
        <v>#N/A</v>
      </c>
      <c r="Z379" s="34" t="e">
        <f>IF($R379="MTO",
0,
($H379+$K379*($E379/[1]CRITERIOS!$M$16))/[1]CRITERIOS!$X$48)</f>
        <v>#N/A</v>
      </c>
      <c r="AA379" s="34" t="e">
        <f>ROUNDUP(($Y379/_xlfn.XLOOKUP($A379,'[1]DATOS PBI Artículos'!$A$4:$A$4,'[1]DATOS PBI Artículos'!$Z$4:$Z$4))/_xlfn.XLOOKUP(_xlfn.XLOOKUP($A379,'[1]DATOS PBI Artículos'!$A$4:$A$4,'[1]DATOS PBI Artículos'!$Y$4:$Y$4),[1]CRITERIOS!$P$79:$P$123,[1]CRITERIOS!$S$79:$S$123,),0)</f>
        <v>#N/A</v>
      </c>
      <c r="AB379" s="33" t="e">
        <f t="array" ref="AB379">IF((E379+V379-_xlfn.XLOOKUP(A379,'[1]DATOS PBI Artículos'!$A$4:$A$4,'[1]DATOS PBI Artículos'!$W$4:$W$4))/N379&gt;ROUNDUP([1]CRITERIOS!$M$16/(IF(COUNTIF([1]CRITERIOS!$BG$11:$BG$201,L379)&gt;=1,_xlfn.XLOOKUP(ARTÍCULOS!L379,[1]CRITERIOS!$BG$11:$BG$201,[1]CRITERIOS!$BJ$11:$BJ$201),_xlfn.XLOOKUP(ARTÍCULOS!C379,[1]CRITERIOS!$K$25:$K$42,[1]CRITERIOS!$M$25:$M$42))),0),ROUNDUP([1]CRITERIOS!$M$16/(IF(COUNTIF([1]CRITERIOS!$BG$11:$BG$201,L379)&gt;=1,_xlfn.XLOOKUP(ARTÍCULOS!L379,[1]CRITERIOS!$BG$11:$BG$201:#REF!,[1]CRITERIOS!$BJ$11:$BJ$201),_xlfn.XLOOKUP(ARTÍCULOS!C379,[1]CRITERIOS!$K$25:$K$42,[1]CRITERIOS!$M$25:$M$42))),0),(E379+V379-_xlfn.XLOOKUP(A379,'[1]DATOS PBI Artículos'!$A$4:$A$4,'[1]DATOS PBI Artículos'!$W$4:$W$4))/N379)</f>
        <v>#N/A</v>
      </c>
      <c r="AC379" s="33" t="e">
        <f>IF(N379=0,"",(ROUNDUP((N379/2)/(_xlfn.XLOOKUP(A379,'[1]DATOS PBI Artículos'!$A$4:$A$4,'[1]DATOS PBI Artículos'!$Z$4:$Z$4)*_xlfn.XLOOKUP(_xlfn.XLOOKUP(A379,'[1]DATOS PBI Artículos'!$A$4:$A$4,'[1]DATOS PBI Artículos'!$Y$4:$Y$4),[1]CRITERIOS!$P$79:$P$123,[1]CRITERIOS!$S$79:$S$123)),0)*[1]CRITERIOS!$M$80*([1]CRITERIOS!$M$110/[1]CRITERIOS!$M$86)+(_xlfn.XLOOKUP(A379,'[1]DATOS PBI Artículos'!$A$4:$A$4,'[1]DATOS PBI Artículos'!$AA$4:$AA$4)*([1]CRITERIOS!$M$95+[1]CRITERIOS!$M$98)))/N379)</f>
        <v>#N/A</v>
      </c>
      <c r="AD379" s="33" t="e">
        <f>IF(N379=0,"",(ROUNDUP((N379/2)/(_xlfn.XLOOKUP(A379,'[1]DATOS PBI Artículos'!$A$4:$A$4,'[1]DATOS PBI Artículos'!$Z$4:$Z$4)*_xlfn.XLOOKUP(_xlfn.XLOOKUP(A379,'[1]DATOS PBI Artículos'!$A$4:$A$4,'[1]DATOS PBI Artículos'!$Y$4:$Y$4),[1]CRITERIOS!$P$79:$P$123,[1]CRITERIOS!$S$79:$S$123)),0)*[1]CRITERIOS!$M$80*([1]CRITERIOS!$M$89*[1]CRITERIOS!$M$92)+((_xlfn.XLOOKUP(A379,'[1]DATOS PBI Artículos'!$A$4:$A$4,'[1]DATOS PBI Artículos'!$AA$4:$AA$4)/2)*([1]CRITERIOS!$M$95+[1]CRITERIOS!$M$98)))/N379)</f>
        <v>#N/A</v>
      </c>
      <c r="AE379" s="39" t="e">
        <f>IF($R379="MTO","",
IF($H379=0,ROUNDUP(((_xlfn.XLOOKUP($A379,'[1]DATOS PBI Artículos'!$A:$A,'[1]DATOS PBI Artículos'!$AL:$AL))/(_xlfn.XLOOKUP($AF$1,[1]CRITERIOS!$S$16:$S$39,[1]CRITERIOS!$Y$16:$Y$39))*$J379+$Z379)/$G379,0)*$G379,
((_xlfn.XLOOKUP($A379,'[1]DATOS PBI Artículos'!$A:$A,'[1]DATOS PBI Artículos'!$AL:$AL))/(_xlfn.XLOOKUP($AF$1,[1]CRITERIOS!$S$16:$S$39,[1]CRITERIOS!$Y$16:$Y$39))*$J379+$Z379)))</f>
        <v>#N/A</v>
      </c>
      <c r="AG379" s="39" t="e">
        <f>IF($R379="MTO","",
IF($H379=0,ROUNDUP(((_xlfn.XLOOKUP($A379,'[1]DATOS PBI Artículos'!$A:$A,'[1]DATOS PBI Artículos'!$AM:$AM))/(_xlfn.XLOOKUP($AH$1,[1]CRITERIOS!$S$16:$S$39,[1]CRITERIOS!$Y$16:$Y$39))*$J379+$Z379)/$G379,0)*$G379,
((_xlfn.XLOOKUP($A379,'[1]DATOS PBI Artículos'!$A:$A,'[1]DATOS PBI Artículos'!$AM:$AM))/(_xlfn.XLOOKUP($AH$1,[1]CRITERIOS!$S$16:$S$39,[1]CRITERIOS!$Y$16:$Y$39))*$J379+$Z379)))</f>
        <v>#N/A</v>
      </c>
      <c r="AI379" s="39" t="e">
        <f>IF($R379="MTO","",
IF($H379=0,ROUNDUP(((_xlfn.XLOOKUP($A379,'[1]DATOS PBI Artículos'!$A:$A,'[1]DATOS PBI Artículos'!$AN:$AN))/(_xlfn.XLOOKUP($AJ$1,[1]CRITERIOS!$S$16:$S$39,[1]CRITERIOS!$Y$16:$Y$39))*$J379+$Z379)/$G379,0)*$G379,
((_xlfn.XLOOKUP($A379,'[1]DATOS PBI Artículos'!$A:$A,'[1]DATOS PBI Artículos'!$AN:$AN))/(_xlfn.XLOOKUP($AJ$1,[1]CRITERIOS!$S$16:$S$39,[1]CRITERIOS!$Y$16:$Y$39))*$J379+$Z379)))</f>
        <v>#N/A</v>
      </c>
      <c r="AK379" s="39" t="e">
        <f>IF($R379="MTO","",
IF($H379=0,ROUNDUP(((_xlfn.XLOOKUP($A379,'[1]DATOS PBI Artículos'!$A:$A,'[1]DATOS PBI Artículos'!$AO:$AO))/(_xlfn.XLOOKUP($AL$1,[1]CRITERIOS!$S$16:$S$39,[1]CRITERIOS!$Y$16:$Y$39))*$J379+$Z379)/$G379,0)*$G379,
((_xlfn.XLOOKUP($A379,'[1]DATOS PBI Artículos'!$A:$A,'[1]DATOS PBI Artículos'!$AO:$AO))/(_xlfn.XLOOKUP($AL$1,[1]CRITERIOS!$S$16:$S$39,[1]CRITERIOS!$Y$16:$Y$39))*$J379+$Z379)))</f>
        <v>#N/A</v>
      </c>
    </row>
    <row r="380" spans="1:37" ht="25.8" hidden="1" x14ac:dyDescent="0.4">
      <c r="A380" s="41"/>
      <c r="B380" s="33">
        <f>_xlfn.XLOOKUP($A380,'[1]DATOS PBI Artículos'!A:A,'[1]DATOS PBI Artículos'!B:B)</f>
        <v>0</v>
      </c>
      <c r="C380" s="33">
        <f>_xlfn.XLOOKUP($A380,'[1]DATOS PBI Artículos'!A:A,'[1]DATOS PBI Artículos'!C:C)</f>
        <v>0</v>
      </c>
      <c r="D380" s="33">
        <f>_xlfn.XLOOKUP(A380,'[1]DATOS PBI Artículos'!A:A,'[1]DATOS PBI Artículos'!T:T)</f>
        <v>0</v>
      </c>
      <c r="E380" s="34">
        <f>IF(_xlfn.XLOOKUP($A380,'[1]DATOS PBI Artículos'!A:A,'[1]DATOS PBI Artículos'!AK:AK)="",_xlfn.XLOOKUP($A380,'[1]DATOS PBI Artículos'!A:A,'[1]DATOS PBI Artículos'!AJ:AJ),_xlfn.XLOOKUP($A380,'[1]DATOS PBI Artículos'!A:A,'[1]DATOS PBI Artículos'!AK:AK))</f>
        <v>0</v>
      </c>
      <c r="F380" s="35">
        <f>_xlfn.XLOOKUP($A380,'[1]DATOS PBI Artículos'!A:A,'[1]DATOS PBI Artículos'!AP:AP)</f>
        <v>0</v>
      </c>
      <c r="G380" s="34">
        <f>_xlfn.XLOOKUP($A380,'[1]DATOS PBI Artículos'!A:A,'[1]DATOS PBI Artículos'!AR:AR)</f>
        <v>0</v>
      </c>
      <c r="H380" s="34">
        <f>_xlfn.XLOOKUP($A380,'[1]DATOS PBI Artículos'!A:A,'[1]DATOS PBI Artículos'!AT:AT)</f>
        <v>0</v>
      </c>
      <c r="I380" s="34">
        <f>_xlfn.XLOOKUP($A380,'[1]DATOS PBI Artículos'!A:A,'[1]DATOS PBI Artículos'!AS:AS)</f>
        <v>0</v>
      </c>
      <c r="J380" s="35">
        <f>IF(COUNTIF([1]CRITERIOS!$F$179:$F$199,$A380)&gt;=1,
 IF(O380&lt;&gt;"",
    (O380/_xlfn.XLOOKUP(CONCATENATE(A380,L380),[1]MÁQUINAS!A:A,[1]MÁQUINAS!D:D))/24,
    (N380/_xlfn.XLOOKUP(CONCATENATE(A380,L380),[1]MÁQUINAS!A:A,[1]MÁQUINAS!D:D))/24),
  _xlfn.XLOOKUP($A380,'[1]DATOS PBI Artículos'!A:A,'[1]DATOS PBI Artículos'!AU:AU))</f>
        <v>0</v>
      </c>
      <c r="K380" s="36">
        <f>_xlfn.XLOOKUP($A380,'[1]DATOS PBI Artículos'!A:A,'[1]DATOS PBI Artículos'!AV:AV)</f>
        <v>0</v>
      </c>
      <c r="L380" s="33">
        <f>_xlfn.XLOOKUP(A380,[1]MÁQUINAS!B:B,[1]MÁQUINAS!C:C)</f>
        <v>0</v>
      </c>
      <c r="M380" s="34">
        <f t="array" ref="M380">_xlfn.XLOOKUP(A380,'[1]DATOS PBI Artículos'!A:A,'[1]DATOS PBI Artículos'!AX:$AX)</f>
        <v>0</v>
      </c>
      <c r="N380" s="37" t="e">
        <f>IF(I380="DV",
E380,
IF(COUNTIF([1]CRITERIOS!$I$179:$I$199,$A380)&gt;=1,
_xlfn.XLOOKUP($A380,[1]CRITERIOS!$I$179:$I$199,[1]CRITERIOS!$J$179:$J$199),
IF(COUNTIF([1]CRITERIOS!$L$179:$L$199,$A380)&gt;=1,
_xlfn.CEILING.MATH(IF($M380&gt;$E380,
$E380,
IF($M380&lt;$E380/ROUNDDOWN([1]CRITERIOS!$M$16/_xlfn.XLOOKUP($C380,[1]CRITERIOS!$K$25:$K$42,[1]CRITERIOS!$M$25:$M$42),
1),
E380/ROUNDDOWN([1]CRITERIOS!$M$16/_xlfn.XLOOKUP($C380,[1]CRITERIOS!$K$25:$K$42,[1]CRITERIOS!$M$25:$M$42),
1),
$M380)),
_xlfn.XLOOKUP($A380,[1]CRITERIOS!$L$179:$L$200,[1]CRITERIOS!$M$179:$M$200)),
_xlfn.CEILING.MATH(IF($M380&gt;$E380,
$E380,
IF($M380&lt;$E380/ROUNDDOWN([1]CRITERIOS!$M$16/_xlfn.XLOOKUP($C380,[1]CRITERIOS!$K$25:$K$42,[1]CRITERIOS!$M$25:$M$42),
1),
E380/ROUNDDOWN([1]CRITERIOS!$M$16/_xlfn.XLOOKUP($C380,[1]CRITERIOS!$K$25:$K$42,[1]CRITERIOS!$M$25:$M$42),
1),
$M380)),_xlfn.XLOOKUP(A380,'[1]DATOS PBI Artículos'!A:A,'[1]DATOS PBI Artículos'!Z:Z
)))))</f>
        <v>#N/A</v>
      </c>
      <c r="Q380" s="38" t="e">
        <f>IF(AND(O380="",N380=0),
0,
   IF(COUNTIF([1]CRITERIOS!$F$179:$F$199,$A380)&gt;=1,
   1,
   IF(R380="MTO",
      $D380,
      ROUNDUP(
                    IF(($E380-SUMIF('[1]DATOS PBI Artículos'!A:A,A380,'[1]DATOS PBI Artículos'!X:X)+($V380-_xlfn.XLOOKUP(A380,'[1]DATOS PBI Artículos'!A:A,'[1]DATOS PBI Artículos'!W:W)))&lt;0,
                    0,
                    IF(($E380-SUMIF('[1]DATOS PBI Artículos'!A:A,A380,'[1]DATOS PBI Artículos'!X:X)+$V380-_xlfn.XLOOKUP($A380,'[1]DATOS PBI Artículos'!A:A,'[1]DATOS PBI Artículos'!W:W))/IF($O380="",$N380,$O380)&gt;ROUNDUP([1]CRITERIOS!$M$16/(IF(COUNTIF([1]CRITERIOS!$BG$11:$BG$201,L380)&gt;=1,_xlfn.XLOOKUP($C380,[1]CRITERIOS!$K$25:$K$42,[1]CRITERIOS!$M$25:$M$42),_xlfn.XLOOKUP($C380,[1]CRITERIOS!$K$25:$K$42,[1]CRITERIOS!$M$25:$M$42))),0),
                    ROUNDUP([1]CRITERIOS!$M$16/(IF(COUNTIF([1]CRITERIOS!$BG$11:$BG$201,$L380)&gt;=1,_xlfn.XLOOKUP($C380,[1]CRITERIOS!$K$25:$K$42,[1]CRITERIOS!$M$25:$M$42),_xlfn.XLOOKUP($C380,[1]CRITERIOS!$K$25:$K$42,[1]CRITERIOS!$M$25:$M$42))),0),
                    (E380+V380-SUMIF('[1]DATOS PBI Artículos'!A:A,A380,'[1]DATOS PBI Artículos'!X:X)-_xlfn.XLOOKUP(A380,'[1]DATOS PBI Artículos'!A:A,'[1]DATOS PBI Artículos'!W:W))/IF($O380="",$N380,$O380))),0))))</f>
        <v>#N/A</v>
      </c>
      <c r="R380" s="33" t="e">
        <f>IF(U380&lt;&gt;"",U380,IF(F380="DV","MTO",IF(N380=0,"MTO",_xlfn.XLOOKUP(CONCATENATE(S380,T380),[1]CRITERIOS!$K$160:$K$168,[1]CRITERIOS!$N$160:$N$168))))</f>
        <v>#N/A</v>
      </c>
      <c r="S380" s="33" t="e">
        <f>IF(G380="DV","MTO",IF(N380=0,"MTO",IF(OR(AND(N380=0,O380=""),IF(O380="",G380/N380,G380/O380)&gt;[1]CRITERIOS!$G$163),"MTO",IF(IF(O380="",G380/N380,G380/O380)&lt;[1]CRITERIOS!$H$161,"MTS","MTOS"))))</f>
        <v>#N/A</v>
      </c>
      <c r="T380" s="33" t="e">
        <f>IF(F380="DV","MTO",IF(OR(AND($N380=0,O380=""),$F380/$J380&gt;[1]CRITERIOS!$G$170,$F380="DV"),"MTO",IF($F380/$J380&lt;[1]CRITERIOS!$H$168,"MTS","MTOS")))</f>
        <v>#N/A</v>
      </c>
      <c r="V380" s="34" t="e">
        <f t="shared" si="19"/>
        <v>#N/A</v>
      </c>
      <c r="X380" s="34" t="e">
        <f t="shared" si="17"/>
        <v>#N/A</v>
      </c>
      <c r="Y380" s="34" t="e">
        <f t="shared" si="18"/>
        <v>#N/A</v>
      </c>
      <c r="Z380" s="34" t="e">
        <f>IF($R380="MTO",
0,
($H380+$K380*($E380/[1]CRITERIOS!$M$16))/[1]CRITERIOS!$X$48)</f>
        <v>#N/A</v>
      </c>
      <c r="AA380" s="34" t="e">
        <f>ROUNDUP(($Y380/_xlfn.XLOOKUP($A380,'[1]DATOS PBI Artículos'!$A$4:$A$4,'[1]DATOS PBI Artículos'!$Z$4:$Z$4))/_xlfn.XLOOKUP(_xlfn.XLOOKUP($A380,'[1]DATOS PBI Artículos'!$A$4:$A$4,'[1]DATOS PBI Artículos'!$Y$4:$Y$4),[1]CRITERIOS!$P$79:$P$123,[1]CRITERIOS!$S$79:$S$123,),0)</f>
        <v>#N/A</v>
      </c>
      <c r="AB380" s="33" t="e">
        <f t="array" ref="AB380">IF((E380+V380-_xlfn.XLOOKUP(A380,'[1]DATOS PBI Artículos'!$A$4:$A$4,'[1]DATOS PBI Artículos'!$W$4:$W$4))/N380&gt;ROUNDUP([1]CRITERIOS!$M$16/(IF(COUNTIF([1]CRITERIOS!$BG$11:$BG$201,L380)&gt;=1,_xlfn.XLOOKUP(ARTÍCULOS!L380,[1]CRITERIOS!$BG$11:$BG$201,[1]CRITERIOS!$BJ$11:$BJ$201),_xlfn.XLOOKUP(ARTÍCULOS!C380,[1]CRITERIOS!$K$25:$K$42,[1]CRITERIOS!$M$25:$M$42))),0),ROUNDUP([1]CRITERIOS!$M$16/(IF(COUNTIF([1]CRITERIOS!$BG$11:$BG$201,L380)&gt;=1,_xlfn.XLOOKUP(ARTÍCULOS!L380,[1]CRITERIOS!$BG$11:$BG$201:#REF!,[1]CRITERIOS!$BJ$11:$BJ$201),_xlfn.XLOOKUP(ARTÍCULOS!C380,[1]CRITERIOS!$K$25:$K$42,[1]CRITERIOS!$M$25:$M$42))),0),(E380+V380-_xlfn.XLOOKUP(A380,'[1]DATOS PBI Artículos'!$A$4:$A$4,'[1]DATOS PBI Artículos'!$W$4:$W$4))/N380)</f>
        <v>#N/A</v>
      </c>
      <c r="AC380" s="33" t="e">
        <f>IF(N380=0,"",(ROUNDUP((N380/2)/(_xlfn.XLOOKUP(A380,'[1]DATOS PBI Artículos'!$A$4:$A$4,'[1]DATOS PBI Artículos'!$Z$4:$Z$4)*_xlfn.XLOOKUP(_xlfn.XLOOKUP(A380,'[1]DATOS PBI Artículos'!$A$4:$A$4,'[1]DATOS PBI Artículos'!$Y$4:$Y$4),[1]CRITERIOS!$P$79:$P$123,[1]CRITERIOS!$S$79:$S$123)),0)*[1]CRITERIOS!$M$80*([1]CRITERIOS!$M$110/[1]CRITERIOS!$M$86)+(_xlfn.XLOOKUP(A380,'[1]DATOS PBI Artículos'!$A$4:$A$4,'[1]DATOS PBI Artículos'!$AA$4:$AA$4)*([1]CRITERIOS!$M$95+[1]CRITERIOS!$M$98)))/N380)</f>
        <v>#N/A</v>
      </c>
      <c r="AD380" s="33" t="e">
        <f>IF(N380=0,"",(ROUNDUP((N380/2)/(_xlfn.XLOOKUP(A380,'[1]DATOS PBI Artículos'!$A$4:$A$4,'[1]DATOS PBI Artículos'!$Z$4:$Z$4)*_xlfn.XLOOKUP(_xlfn.XLOOKUP(A380,'[1]DATOS PBI Artículos'!$A$4:$A$4,'[1]DATOS PBI Artículos'!$Y$4:$Y$4),[1]CRITERIOS!$P$79:$P$123,[1]CRITERIOS!$S$79:$S$123)),0)*[1]CRITERIOS!$M$80*([1]CRITERIOS!$M$89*[1]CRITERIOS!$M$92)+((_xlfn.XLOOKUP(A380,'[1]DATOS PBI Artículos'!$A$4:$A$4,'[1]DATOS PBI Artículos'!$AA$4:$AA$4)/2)*([1]CRITERIOS!$M$95+[1]CRITERIOS!$M$98)))/N380)</f>
        <v>#N/A</v>
      </c>
      <c r="AE380" s="39" t="e">
        <f>IF($R380="MTO","",
IF($H380=0,ROUNDUP(((_xlfn.XLOOKUP($A380,'[1]DATOS PBI Artículos'!$A:$A,'[1]DATOS PBI Artículos'!$AL:$AL))/(_xlfn.XLOOKUP($AF$1,[1]CRITERIOS!$S$16:$S$39,[1]CRITERIOS!$Y$16:$Y$39))*$J380+$Z380)/$G380,0)*$G380,
((_xlfn.XLOOKUP($A380,'[1]DATOS PBI Artículos'!$A:$A,'[1]DATOS PBI Artículos'!$AL:$AL))/(_xlfn.XLOOKUP($AF$1,[1]CRITERIOS!$S$16:$S$39,[1]CRITERIOS!$Y$16:$Y$39))*$J380+$Z380)))</f>
        <v>#N/A</v>
      </c>
      <c r="AG380" s="39" t="e">
        <f>IF($R380="MTO","",
IF($H380=0,ROUNDUP(((_xlfn.XLOOKUP($A380,'[1]DATOS PBI Artículos'!$A:$A,'[1]DATOS PBI Artículos'!$AM:$AM))/(_xlfn.XLOOKUP($AH$1,[1]CRITERIOS!$S$16:$S$39,[1]CRITERIOS!$Y$16:$Y$39))*$J380+$Z380)/$G380,0)*$G380,
((_xlfn.XLOOKUP($A380,'[1]DATOS PBI Artículos'!$A:$A,'[1]DATOS PBI Artículos'!$AM:$AM))/(_xlfn.XLOOKUP($AH$1,[1]CRITERIOS!$S$16:$S$39,[1]CRITERIOS!$Y$16:$Y$39))*$J380+$Z380)))</f>
        <v>#N/A</v>
      </c>
      <c r="AI380" s="39" t="e">
        <f>IF($R380="MTO","",
IF($H380=0,ROUNDUP(((_xlfn.XLOOKUP($A380,'[1]DATOS PBI Artículos'!$A:$A,'[1]DATOS PBI Artículos'!$AN:$AN))/(_xlfn.XLOOKUP($AJ$1,[1]CRITERIOS!$S$16:$S$39,[1]CRITERIOS!$Y$16:$Y$39))*$J380+$Z380)/$G380,0)*$G380,
((_xlfn.XLOOKUP($A380,'[1]DATOS PBI Artículos'!$A:$A,'[1]DATOS PBI Artículos'!$AN:$AN))/(_xlfn.XLOOKUP($AJ$1,[1]CRITERIOS!$S$16:$S$39,[1]CRITERIOS!$Y$16:$Y$39))*$J380+$Z380)))</f>
        <v>#N/A</v>
      </c>
      <c r="AK380" s="39" t="e">
        <f>IF($R380="MTO","",
IF($H380=0,ROUNDUP(((_xlfn.XLOOKUP($A380,'[1]DATOS PBI Artículos'!$A:$A,'[1]DATOS PBI Artículos'!$AO:$AO))/(_xlfn.XLOOKUP($AL$1,[1]CRITERIOS!$S$16:$S$39,[1]CRITERIOS!$Y$16:$Y$39))*$J380+$Z380)/$G380,0)*$G380,
((_xlfn.XLOOKUP($A380,'[1]DATOS PBI Artículos'!$A:$A,'[1]DATOS PBI Artículos'!$AO:$AO))/(_xlfn.XLOOKUP($AL$1,[1]CRITERIOS!$S$16:$S$39,[1]CRITERIOS!$Y$16:$Y$39))*$J380+$Z380)))</f>
        <v>#N/A</v>
      </c>
    </row>
    <row r="381" spans="1:37" ht="25.8" hidden="1" x14ac:dyDescent="0.4">
      <c r="A381" s="41"/>
      <c r="B381" s="33">
        <f>_xlfn.XLOOKUP($A381,'[1]DATOS PBI Artículos'!A:A,'[1]DATOS PBI Artículos'!B:B)</f>
        <v>0</v>
      </c>
      <c r="C381" s="33">
        <f>_xlfn.XLOOKUP($A381,'[1]DATOS PBI Artículos'!A:A,'[1]DATOS PBI Artículos'!C:C)</f>
        <v>0</v>
      </c>
      <c r="D381" s="33">
        <f>_xlfn.XLOOKUP(A381,'[1]DATOS PBI Artículos'!A:A,'[1]DATOS PBI Artículos'!T:T)</f>
        <v>0</v>
      </c>
      <c r="E381" s="34">
        <f>IF(_xlfn.XLOOKUP($A381,'[1]DATOS PBI Artículos'!A:A,'[1]DATOS PBI Artículos'!AK:AK)="",_xlfn.XLOOKUP($A381,'[1]DATOS PBI Artículos'!A:A,'[1]DATOS PBI Artículos'!AJ:AJ),_xlfn.XLOOKUP($A381,'[1]DATOS PBI Artículos'!A:A,'[1]DATOS PBI Artículos'!AK:AK))</f>
        <v>0</v>
      </c>
      <c r="F381" s="35">
        <f>_xlfn.XLOOKUP($A381,'[1]DATOS PBI Artículos'!A:A,'[1]DATOS PBI Artículos'!AP:AP)</f>
        <v>0</v>
      </c>
      <c r="G381" s="34">
        <f>_xlfn.XLOOKUP($A381,'[1]DATOS PBI Artículos'!A:A,'[1]DATOS PBI Artículos'!AR:AR)</f>
        <v>0</v>
      </c>
      <c r="H381" s="34">
        <f>_xlfn.XLOOKUP($A381,'[1]DATOS PBI Artículos'!A:A,'[1]DATOS PBI Artículos'!AT:AT)</f>
        <v>0</v>
      </c>
      <c r="I381" s="34">
        <f>_xlfn.XLOOKUP($A381,'[1]DATOS PBI Artículos'!A:A,'[1]DATOS PBI Artículos'!AS:AS)</f>
        <v>0</v>
      </c>
      <c r="J381" s="35">
        <f>IF(COUNTIF([1]CRITERIOS!$F$179:$F$199,$A381)&gt;=1,
 IF(O381&lt;&gt;"",
    (O381/_xlfn.XLOOKUP(CONCATENATE(A381,L381),[1]MÁQUINAS!A:A,[1]MÁQUINAS!D:D))/24,
    (N381/_xlfn.XLOOKUP(CONCATENATE(A381,L381),[1]MÁQUINAS!A:A,[1]MÁQUINAS!D:D))/24),
  _xlfn.XLOOKUP($A381,'[1]DATOS PBI Artículos'!A:A,'[1]DATOS PBI Artículos'!AU:AU))</f>
        <v>0</v>
      </c>
      <c r="K381" s="36">
        <f>_xlfn.XLOOKUP($A381,'[1]DATOS PBI Artículos'!A:A,'[1]DATOS PBI Artículos'!AV:AV)</f>
        <v>0</v>
      </c>
      <c r="L381" s="33">
        <f>_xlfn.XLOOKUP(A381,[1]MÁQUINAS!B:B,[1]MÁQUINAS!C:C)</f>
        <v>0</v>
      </c>
      <c r="M381" s="34">
        <f t="array" ref="M381">_xlfn.XLOOKUP(A381,'[1]DATOS PBI Artículos'!A:A,'[1]DATOS PBI Artículos'!AX:$AX)</f>
        <v>0</v>
      </c>
      <c r="N381" s="37" t="e">
        <f>IF(I381="DV",
E381,
IF(COUNTIF([1]CRITERIOS!$I$179:$I$199,$A381)&gt;=1,
_xlfn.XLOOKUP($A381,[1]CRITERIOS!$I$179:$I$199,[1]CRITERIOS!$J$179:$J$199),
IF(COUNTIF([1]CRITERIOS!$L$179:$L$199,$A381)&gt;=1,
_xlfn.CEILING.MATH(IF($M381&gt;$E381,
$E381,
IF($M381&lt;$E381/ROUNDDOWN([1]CRITERIOS!$M$16/_xlfn.XLOOKUP($C381,[1]CRITERIOS!$K$25:$K$42,[1]CRITERIOS!$M$25:$M$42),
1),
E381/ROUNDDOWN([1]CRITERIOS!$M$16/_xlfn.XLOOKUP($C381,[1]CRITERIOS!$K$25:$K$42,[1]CRITERIOS!$M$25:$M$42),
1),
$M381)),
_xlfn.XLOOKUP($A381,[1]CRITERIOS!$L$179:$L$200,[1]CRITERIOS!$M$179:$M$200)),
_xlfn.CEILING.MATH(IF($M381&gt;$E381,
$E381,
IF($M381&lt;$E381/ROUNDDOWN([1]CRITERIOS!$M$16/_xlfn.XLOOKUP($C381,[1]CRITERIOS!$K$25:$K$42,[1]CRITERIOS!$M$25:$M$42),
1),
E381/ROUNDDOWN([1]CRITERIOS!$M$16/_xlfn.XLOOKUP($C381,[1]CRITERIOS!$K$25:$K$42,[1]CRITERIOS!$M$25:$M$42),
1),
$M381)),_xlfn.XLOOKUP(A381,'[1]DATOS PBI Artículos'!A:A,'[1]DATOS PBI Artículos'!Z:Z
)))))</f>
        <v>#N/A</v>
      </c>
      <c r="Q381" s="38" t="e">
        <f>IF(AND(O381="",N381=0),
0,
   IF(COUNTIF([1]CRITERIOS!$F$179:$F$199,$A381)&gt;=1,
   1,
   IF(R381="MTO",
      $D381,
      ROUNDUP(
                    IF(($E381-SUMIF('[1]DATOS PBI Artículos'!A:A,A381,'[1]DATOS PBI Artículos'!X:X)+($V381-_xlfn.XLOOKUP(A381,'[1]DATOS PBI Artículos'!A:A,'[1]DATOS PBI Artículos'!W:W)))&lt;0,
                    0,
                    IF(($E381-SUMIF('[1]DATOS PBI Artículos'!A:A,A381,'[1]DATOS PBI Artículos'!X:X)+$V381-_xlfn.XLOOKUP($A381,'[1]DATOS PBI Artículos'!A:A,'[1]DATOS PBI Artículos'!W:W))/IF($O381="",$N381,$O381)&gt;ROUNDUP([1]CRITERIOS!$M$16/(IF(COUNTIF([1]CRITERIOS!$BG$11:$BG$201,L381)&gt;=1,_xlfn.XLOOKUP($C381,[1]CRITERIOS!$K$25:$K$42,[1]CRITERIOS!$M$25:$M$42),_xlfn.XLOOKUP($C381,[1]CRITERIOS!$K$25:$K$42,[1]CRITERIOS!$M$25:$M$42))),0),
                    ROUNDUP([1]CRITERIOS!$M$16/(IF(COUNTIF([1]CRITERIOS!$BG$11:$BG$201,$L381)&gt;=1,_xlfn.XLOOKUP($C381,[1]CRITERIOS!$K$25:$K$42,[1]CRITERIOS!$M$25:$M$42),_xlfn.XLOOKUP($C381,[1]CRITERIOS!$K$25:$K$42,[1]CRITERIOS!$M$25:$M$42))),0),
                    (E381+V381-SUMIF('[1]DATOS PBI Artículos'!A:A,A381,'[1]DATOS PBI Artículos'!X:X)-_xlfn.XLOOKUP(A381,'[1]DATOS PBI Artículos'!A:A,'[1]DATOS PBI Artículos'!W:W))/IF($O381="",$N381,$O381))),0))))</f>
        <v>#N/A</v>
      </c>
      <c r="R381" s="33" t="e">
        <f>IF(U381&lt;&gt;"",U381,IF(F381="DV","MTO",IF(N381=0,"MTO",_xlfn.XLOOKUP(CONCATENATE(S381,T381),[1]CRITERIOS!$K$160:$K$168,[1]CRITERIOS!$N$160:$N$168))))</f>
        <v>#N/A</v>
      </c>
      <c r="S381" s="33" t="e">
        <f>IF(G381="DV","MTO",IF(N381=0,"MTO",IF(OR(AND(N381=0,O381=""),IF(O381="",G381/N381,G381/O381)&gt;[1]CRITERIOS!$G$163),"MTO",IF(IF(O381="",G381/N381,G381/O381)&lt;[1]CRITERIOS!$H$161,"MTS","MTOS"))))</f>
        <v>#N/A</v>
      </c>
      <c r="T381" s="33" t="e">
        <f>IF(F381="DV","MTO",IF(OR(AND($N381=0,O381=""),$F381/$J381&gt;[1]CRITERIOS!$G$170,$F381="DV"),"MTO",IF($F381/$J381&lt;[1]CRITERIOS!$H$168,"MTS","MTOS")))</f>
        <v>#N/A</v>
      </c>
      <c r="V381" s="34" t="e">
        <f t="shared" si="19"/>
        <v>#N/A</v>
      </c>
      <c r="X381" s="34" t="e">
        <f t="shared" si="17"/>
        <v>#N/A</v>
      </c>
      <c r="Y381" s="34" t="e">
        <f t="shared" si="18"/>
        <v>#N/A</v>
      </c>
      <c r="Z381" s="34" t="e">
        <f>IF($R381="MTO",
0,
($H381+$K381*($E381/[1]CRITERIOS!$M$16))/[1]CRITERIOS!$X$48)</f>
        <v>#N/A</v>
      </c>
      <c r="AA381" s="34" t="e">
        <f>ROUNDUP(($Y381/_xlfn.XLOOKUP($A381,'[1]DATOS PBI Artículos'!$A$4:$A$4,'[1]DATOS PBI Artículos'!$Z$4:$Z$4))/_xlfn.XLOOKUP(_xlfn.XLOOKUP($A381,'[1]DATOS PBI Artículos'!$A$4:$A$4,'[1]DATOS PBI Artículos'!$Y$4:$Y$4),[1]CRITERIOS!$P$79:$P$123,[1]CRITERIOS!$S$79:$S$123,),0)</f>
        <v>#N/A</v>
      </c>
      <c r="AB381" s="33" t="e">
        <f t="array" ref="AB381">IF((E381+V381-_xlfn.XLOOKUP(A381,'[1]DATOS PBI Artículos'!$A$4:$A$4,'[1]DATOS PBI Artículos'!$W$4:$W$4))/N381&gt;ROUNDUP([1]CRITERIOS!$M$16/(IF(COUNTIF([1]CRITERIOS!$BG$11:$BG$201,L381)&gt;=1,_xlfn.XLOOKUP(ARTÍCULOS!L381,[1]CRITERIOS!$BG$11:$BG$201,[1]CRITERIOS!$BJ$11:$BJ$201),_xlfn.XLOOKUP(ARTÍCULOS!C381,[1]CRITERIOS!$K$25:$K$42,[1]CRITERIOS!$M$25:$M$42))),0),ROUNDUP([1]CRITERIOS!$M$16/(IF(COUNTIF([1]CRITERIOS!$BG$11:$BG$201,L381)&gt;=1,_xlfn.XLOOKUP(ARTÍCULOS!L381,[1]CRITERIOS!$BG$11:$BG$201:#REF!,[1]CRITERIOS!$BJ$11:$BJ$201),_xlfn.XLOOKUP(ARTÍCULOS!C381,[1]CRITERIOS!$K$25:$K$42,[1]CRITERIOS!$M$25:$M$42))),0),(E381+V381-_xlfn.XLOOKUP(A381,'[1]DATOS PBI Artículos'!$A$4:$A$4,'[1]DATOS PBI Artículos'!$W$4:$W$4))/N381)</f>
        <v>#N/A</v>
      </c>
      <c r="AC381" s="33" t="e">
        <f>IF(N381=0,"",(ROUNDUP((N381/2)/(_xlfn.XLOOKUP(A381,'[1]DATOS PBI Artículos'!$A$4:$A$4,'[1]DATOS PBI Artículos'!$Z$4:$Z$4)*_xlfn.XLOOKUP(_xlfn.XLOOKUP(A381,'[1]DATOS PBI Artículos'!$A$4:$A$4,'[1]DATOS PBI Artículos'!$Y$4:$Y$4),[1]CRITERIOS!$P$79:$P$123,[1]CRITERIOS!$S$79:$S$123)),0)*[1]CRITERIOS!$M$80*([1]CRITERIOS!$M$110/[1]CRITERIOS!$M$86)+(_xlfn.XLOOKUP(A381,'[1]DATOS PBI Artículos'!$A$4:$A$4,'[1]DATOS PBI Artículos'!$AA$4:$AA$4)*([1]CRITERIOS!$M$95+[1]CRITERIOS!$M$98)))/N381)</f>
        <v>#N/A</v>
      </c>
      <c r="AD381" s="33" t="e">
        <f>IF(N381=0,"",(ROUNDUP((N381/2)/(_xlfn.XLOOKUP(A381,'[1]DATOS PBI Artículos'!$A$4:$A$4,'[1]DATOS PBI Artículos'!$Z$4:$Z$4)*_xlfn.XLOOKUP(_xlfn.XLOOKUP(A381,'[1]DATOS PBI Artículos'!$A$4:$A$4,'[1]DATOS PBI Artículos'!$Y$4:$Y$4),[1]CRITERIOS!$P$79:$P$123,[1]CRITERIOS!$S$79:$S$123)),0)*[1]CRITERIOS!$M$80*([1]CRITERIOS!$M$89*[1]CRITERIOS!$M$92)+((_xlfn.XLOOKUP(A381,'[1]DATOS PBI Artículos'!$A$4:$A$4,'[1]DATOS PBI Artículos'!$AA$4:$AA$4)/2)*([1]CRITERIOS!$M$95+[1]CRITERIOS!$M$98)))/N381)</f>
        <v>#N/A</v>
      </c>
      <c r="AE381" s="39" t="e">
        <f>IF($R381="MTO","",
IF($H381=0,ROUNDUP(((_xlfn.XLOOKUP($A381,'[1]DATOS PBI Artículos'!$A:$A,'[1]DATOS PBI Artículos'!$AL:$AL))/(_xlfn.XLOOKUP($AF$1,[1]CRITERIOS!$S$16:$S$39,[1]CRITERIOS!$Y$16:$Y$39))*$J381+$Z381)/$G381,0)*$G381,
((_xlfn.XLOOKUP($A381,'[1]DATOS PBI Artículos'!$A:$A,'[1]DATOS PBI Artículos'!$AL:$AL))/(_xlfn.XLOOKUP($AF$1,[1]CRITERIOS!$S$16:$S$39,[1]CRITERIOS!$Y$16:$Y$39))*$J381+$Z381)))</f>
        <v>#N/A</v>
      </c>
      <c r="AG381" s="39" t="e">
        <f>IF($R381="MTO","",
IF($H381=0,ROUNDUP(((_xlfn.XLOOKUP($A381,'[1]DATOS PBI Artículos'!$A:$A,'[1]DATOS PBI Artículos'!$AM:$AM))/(_xlfn.XLOOKUP($AH$1,[1]CRITERIOS!$S$16:$S$39,[1]CRITERIOS!$Y$16:$Y$39))*$J381+$Z381)/$G381,0)*$G381,
((_xlfn.XLOOKUP($A381,'[1]DATOS PBI Artículos'!$A:$A,'[1]DATOS PBI Artículos'!$AM:$AM))/(_xlfn.XLOOKUP($AH$1,[1]CRITERIOS!$S$16:$S$39,[1]CRITERIOS!$Y$16:$Y$39))*$J381+$Z381)))</f>
        <v>#N/A</v>
      </c>
      <c r="AI381" s="39" t="e">
        <f>IF($R381="MTO","",
IF($H381=0,ROUNDUP(((_xlfn.XLOOKUP($A381,'[1]DATOS PBI Artículos'!$A:$A,'[1]DATOS PBI Artículos'!$AN:$AN))/(_xlfn.XLOOKUP($AJ$1,[1]CRITERIOS!$S$16:$S$39,[1]CRITERIOS!$Y$16:$Y$39))*$J381+$Z381)/$G381,0)*$G381,
((_xlfn.XLOOKUP($A381,'[1]DATOS PBI Artículos'!$A:$A,'[1]DATOS PBI Artículos'!$AN:$AN))/(_xlfn.XLOOKUP($AJ$1,[1]CRITERIOS!$S$16:$S$39,[1]CRITERIOS!$Y$16:$Y$39))*$J381+$Z381)))</f>
        <v>#N/A</v>
      </c>
      <c r="AK381" s="39" t="e">
        <f>IF($R381="MTO","",
IF($H381=0,ROUNDUP(((_xlfn.XLOOKUP($A381,'[1]DATOS PBI Artículos'!$A:$A,'[1]DATOS PBI Artículos'!$AO:$AO))/(_xlfn.XLOOKUP($AL$1,[1]CRITERIOS!$S$16:$S$39,[1]CRITERIOS!$Y$16:$Y$39))*$J381+$Z381)/$G381,0)*$G381,
((_xlfn.XLOOKUP($A381,'[1]DATOS PBI Artículos'!$A:$A,'[1]DATOS PBI Artículos'!$AO:$AO))/(_xlfn.XLOOKUP($AL$1,[1]CRITERIOS!$S$16:$S$39,[1]CRITERIOS!$Y$16:$Y$39))*$J381+$Z381)))</f>
        <v>#N/A</v>
      </c>
    </row>
    <row r="382" spans="1:37" ht="25.8" hidden="1" x14ac:dyDescent="0.4">
      <c r="A382" s="41"/>
      <c r="B382" s="33">
        <f>_xlfn.XLOOKUP($A382,'[1]DATOS PBI Artículos'!A:A,'[1]DATOS PBI Artículos'!B:B)</f>
        <v>0</v>
      </c>
      <c r="C382" s="33">
        <f>_xlfn.XLOOKUP($A382,'[1]DATOS PBI Artículos'!A:A,'[1]DATOS PBI Artículos'!C:C)</f>
        <v>0</v>
      </c>
      <c r="D382" s="33">
        <f>_xlfn.XLOOKUP(A382,'[1]DATOS PBI Artículos'!A:A,'[1]DATOS PBI Artículos'!T:T)</f>
        <v>0</v>
      </c>
      <c r="E382" s="34">
        <f>IF(_xlfn.XLOOKUP($A382,'[1]DATOS PBI Artículos'!A:A,'[1]DATOS PBI Artículos'!AK:AK)="",_xlfn.XLOOKUP($A382,'[1]DATOS PBI Artículos'!A:A,'[1]DATOS PBI Artículos'!AJ:AJ),_xlfn.XLOOKUP($A382,'[1]DATOS PBI Artículos'!A:A,'[1]DATOS PBI Artículos'!AK:AK))</f>
        <v>0</v>
      </c>
      <c r="F382" s="35">
        <f>_xlfn.XLOOKUP($A382,'[1]DATOS PBI Artículos'!A:A,'[1]DATOS PBI Artículos'!AP:AP)</f>
        <v>0</v>
      </c>
      <c r="G382" s="34">
        <f>_xlfn.XLOOKUP($A382,'[1]DATOS PBI Artículos'!A:A,'[1]DATOS PBI Artículos'!AR:AR)</f>
        <v>0</v>
      </c>
      <c r="H382" s="34">
        <f>_xlfn.XLOOKUP($A382,'[1]DATOS PBI Artículos'!A:A,'[1]DATOS PBI Artículos'!AT:AT)</f>
        <v>0</v>
      </c>
      <c r="I382" s="34">
        <f>_xlfn.XLOOKUP($A382,'[1]DATOS PBI Artículos'!A:A,'[1]DATOS PBI Artículos'!AS:AS)</f>
        <v>0</v>
      </c>
      <c r="J382" s="35">
        <f>IF(COUNTIF([1]CRITERIOS!$F$179:$F$199,$A382)&gt;=1,
 IF(O382&lt;&gt;"",
    (O382/_xlfn.XLOOKUP(CONCATENATE(A382,L382),[1]MÁQUINAS!A:A,[1]MÁQUINAS!D:D))/24,
    (N382/_xlfn.XLOOKUP(CONCATENATE(A382,L382),[1]MÁQUINAS!A:A,[1]MÁQUINAS!D:D))/24),
  _xlfn.XLOOKUP($A382,'[1]DATOS PBI Artículos'!A:A,'[1]DATOS PBI Artículos'!AU:AU))</f>
        <v>0</v>
      </c>
      <c r="K382" s="36">
        <f>_xlfn.XLOOKUP($A382,'[1]DATOS PBI Artículos'!A:A,'[1]DATOS PBI Artículos'!AV:AV)</f>
        <v>0</v>
      </c>
      <c r="L382" s="33">
        <f>_xlfn.XLOOKUP(A382,[1]MÁQUINAS!B:B,[1]MÁQUINAS!C:C)</f>
        <v>0</v>
      </c>
      <c r="M382" s="34">
        <f t="array" ref="M382">_xlfn.XLOOKUP(A382,'[1]DATOS PBI Artículos'!A:A,'[1]DATOS PBI Artículos'!AX:$AX)</f>
        <v>0</v>
      </c>
      <c r="N382" s="37" t="e">
        <f>IF(I382="DV",
E382,
IF(COUNTIF([1]CRITERIOS!$I$179:$I$199,$A382)&gt;=1,
_xlfn.XLOOKUP($A382,[1]CRITERIOS!$I$179:$I$199,[1]CRITERIOS!$J$179:$J$199),
IF(COUNTIF([1]CRITERIOS!$L$179:$L$199,$A382)&gt;=1,
_xlfn.CEILING.MATH(IF($M382&gt;$E382,
$E382,
IF($M382&lt;$E382/ROUNDDOWN([1]CRITERIOS!$M$16/_xlfn.XLOOKUP($C382,[1]CRITERIOS!$K$25:$K$42,[1]CRITERIOS!$M$25:$M$42),
1),
E382/ROUNDDOWN([1]CRITERIOS!$M$16/_xlfn.XLOOKUP($C382,[1]CRITERIOS!$K$25:$K$42,[1]CRITERIOS!$M$25:$M$42),
1),
$M382)),
_xlfn.XLOOKUP($A382,[1]CRITERIOS!$L$179:$L$200,[1]CRITERIOS!$M$179:$M$200)),
_xlfn.CEILING.MATH(IF($M382&gt;$E382,
$E382,
IF($M382&lt;$E382/ROUNDDOWN([1]CRITERIOS!$M$16/_xlfn.XLOOKUP($C382,[1]CRITERIOS!$K$25:$K$42,[1]CRITERIOS!$M$25:$M$42),
1),
E382/ROUNDDOWN([1]CRITERIOS!$M$16/_xlfn.XLOOKUP($C382,[1]CRITERIOS!$K$25:$K$42,[1]CRITERIOS!$M$25:$M$42),
1),
$M382)),_xlfn.XLOOKUP(A382,'[1]DATOS PBI Artículos'!A:A,'[1]DATOS PBI Artículos'!Z:Z
)))))</f>
        <v>#N/A</v>
      </c>
      <c r="Q382" s="38" t="e">
        <f>IF(AND(O382="",N382=0),
0,
   IF(COUNTIF([1]CRITERIOS!$F$179:$F$199,$A382)&gt;=1,
   1,
   IF(R382="MTO",
      $D382,
      ROUNDUP(
                    IF(($E382-SUMIF('[1]DATOS PBI Artículos'!A:A,A382,'[1]DATOS PBI Artículos'!X:X)+($V382-_xlfn.XLOOKUP(A382,'[1]DATOS PBI Artículos'!A:A,'[1]DATOS PBI Artículos'!W:W)))&lt;0,
                    0,
                    IF(($E382-SUMIF('[1]DATOS PBI Artículos'!A:A,A382,'[1]DATOS PBI Artículos'!X:X)+$V382-_xlfn.XLOOKUP($A382,'[1]DATOS PBI Artículos'!A:A,'[1]DATOS PBI Artículos'!W:W))/IF($O382="",$N382,$O382)&gt;ROUNDUP([1]CRITERIOS!$M$16/(IF(COUNTIF([1]CRITERIOS!$BG$11:$BG$201,L382)&gt;=1,_xlfn.XLOOKUP($C382,[1]CRITERIOS!$K$25:$K$42,[1]CRITERIOS!$M$25:$M$42),_xlfn.XLOOKUP($C382,[1]CRITERIOS!$K$25:$K$42,[1]CRITERIOS!$M$25:$M$42))),0),
                    ROUNDUP([1]CRITERIOS!$M$16/(IF(COUNTIF([1]CRITERIOS!$BG$11:$BG$201,$L382)&gt;=1,_xlfn.XLOOKUP($C382,[1]CRITERIOS!$K$25:$K$42,[1]CRITERIOS!$M$25:$M$42),_xlfn.XLOOKUP($C382,[1]CRITERIOS!$K$25:$K$42,[1]CRITERIOS!$M$25:$M$42))),0),
                    (E382+V382-SUMIF('[1]DATOS PBI Artículos'!A:A,A382,'[1]DATOS PBI Artículos'!X:X)-_xlfn.XLOOKUP(A382,'[1]DATOS PBI Artículos'!A:A,'[1]DATOS PBI Artículos'!W:W))/IF($O382="",$N382,$O382))),0))))</f>
        <v>#N/A</v>
      </c>
      <c r="R382" s="33" t="e">
        <f>IF(U382&lt;&gt;"",U382,IF(F382="DV","MTO",IF(N382=0,"MTO",_xlfn.XLOOKUP(CONCATENATE(S382,T382),[1]CRITERIOS!$K$160:$K$168,[1]CRITERIOS!$N$160:$N$168))))</f>
        <v>#N/A</v>
      </c>
      <c r="S382" s="33" t="e">
        <f>IF(G382="DV","MTO",IF(N382=0,"MTO",IF(OR(AND(N382=0,O382=""),IF(O382="",G382/N382,G382/O382)&gt;[1]CRITERIOS!$G$163),"MTO",IF(IF(O382="",G382/N382,G382/O382)&lt;[1]CRITERIOS!$H$161,"MTS","MTOS"))))</f>
        <v>#N/A</v>
      </c>
      <c r="T382" s="33" t="e">
        <f>IF(F382="DV","MTO",IF(OR(AND($N382=0,O382=""),$F382/$J382&gt;[1]CRITERIOS!$G$170,$F382="DV"),"MTO",IF($F382/$J382&lt;[1]CRITERIOS!$H$168,"MTS","MTOS")))</f>
        <v>#N/A</v>
      </c>
      <c r="V382" s="34" t="e">
        <f t="shared" si="19"/>
        <v>#N/A</v>
      </c>
      <c r="X382" s="34" t="e">
        <f t="shared" si="17"/>
        <v>#N/A</v>
      </c>
      <c r="Y382" s="34" t="e">
        <f t="shared" si="18"/>
        <v>#N/A</v>
      </c>
      <c r="Z382" s="34" t="e">
        <f>IF($R382="MTO",
0,
($H382+$K382*($E382/[1]CRITERIOS!$M$16))/[1]CRITERIOS!$X$48)</f>
        <v>#N/A</v>
      </c>
      <c r="AA382" s="34" t="e">
        <f>ROUNDUP(($Y382/_xlfn.XLOOKUP($A382,'[1]DATOS PBI Artículos'!$A$4:$A$4,'[1]DATOS PBI Artículos'!$Z$4:$Z$4))/_xlfn.XLOOKUP(_xlfn.XLOOKUP($A382,'[1]DATOS PBI Artículos'!$A$4:$A$4,'[1]DATOS PBI Artículos'!$Y$4:$Y$4),[1]CRITERIOS!$P$79:$P$123,[1]CRITERIOS!$S$79:$S$123,),0)</f>
        <v>#N/A</v>
      </c>
      <c r="AB382" s="33" t="e">
        <f t="array" ref="AB382">IF((E382+V382-_xlfn.XLOOKUP(A382,'[1]DATOS PBI Artículos'!$A$4:$A$4,'[1]DATOS PBI Artículos'!$W$4:$W$4))/N382&gt;ROUNDUP([1]CRITERIOS!$M$16/(IF(COUNTIF([1]CRITERIOS!$BG$11:$BG$201,L382)&gt;=1,_xlfn.XLOOKUP(ARTÍCULOS!L382,[1]CRITERIOS!$BG$11:$BG$201,[1]CRITERIOS!$BJ$11:$BJ$201),_xlfn.XLOOKUP(ARTÍCULOS!C382,[1]CRITERIOS!$K$25:$K$42,[1]CRITERIOS!$M$25:$M$42))),0),ROUNDUP([1]CRITERIOS!$M$16/(IF(COUNTIF([1]CRITERIOS!$BG$11:$BG$201,L382)&gt;=1,_xlfn.XLOOKUP(ARTÍCULOS!L382,[1]CRITERIOS!$BG$11:$BG$201:#REF!,[1]CRITERIOS!$BJ$11:$BJ$201),_xlfn.XLOOKUP(ARTÍCULOS!C382,[1]CRITERIOS!$K$25:$K$42,[1]CRITERIOS!$M$25:$M$42))),0),(E382+V382-_xlfn.XLOOKUP(A382,'[1]DATOS PBI Artículos'!$A$4:$A$4,'[1]DATOS PBI Artículos'!$W$4:$W$4))/N382)</f>
        <v>#N/A</v>
      </c>
      <c r="AC382" s="33" t="e">
        <f>IF(N382=0,"",(ROUNDUP((N382/2)/(_xlfn.XLOOKUP(A382,'[1]DATOS PBI Artículos'!$A$4:$A$4,'[1]DATOS PBI Artículos'!$Z$4:$Z$4)*_xlfn.XLOOKUP(_xlfn.XLOOKUP(A382,'[1]DATOS PBI Artículos'!$A$4:$A$4,'[1]DATOS PBI Artículos'!$Y$4:$Y$4),[1]CRITERIOS!$P$79:$P$123,[1]CRITERIOS!$S$79:$S$123)),0)*[1]CRITERIOS!$M$80*([1]CRITERIOS!$M$110/[1]CRITERIOS!$M$86)+(_xlfn.XLOOKUP(A382,'[1]DATOS PBI Artículos'!$A$4:$A$4,'[1]DATOS PBI Artículos'!$AA$4:$AA$4)*([1]CRITERIOS!$M$95+[1]CRITERIOS!$M$98)))/N382)</f>
        <v>#N/A</v>
      </c>
      <c r="AD382" s="33" t="e">
        <f>IF(N382=0,"",(ROUNDUP((N382/2)/(_xlfn.XLOOKUP(A382,'[1]DATOS PBI Artículos'!$A$4:$A$4,'[1]DATOS PBI Artículos'!$Z$4:$Z$4)*_xlfn.XLOOKUP(_xlfn.XLOOKUP(A382,'[1]DATOS PBI Artículos'!$A$4:$A$4,'[1]DATOS PBI Artículos'!$Y$4:$Y$4),[1]CRITERIOS!$P$79:$P$123,[1]CRITERIOS!$S$79:$S$123)),0)*[1]CRITERIOS!$M$80*([1]CRITERIOS!$M$89*[1]CRITERIOS!$M$92)+((_xlfn.XLOOKUP(A382,'[1]DATOS PBI Artículos'!$A$4:$A$4,'[1]DATOS PBI Artículos'!$AA$4:$AA$4)/2)*([1]CRITERIOS!$M$95+[1]CRITERIOS!$M$98)))/N382)</f>
        <v>#N/A</v>
      </c>
      <c r="AE382" s="39" t="e">
        <f>IF($R382="MTO","",
IF($H382=0,ROUNDUP(((_xlfn.XLOOKUP($A382,'[1]DATOS PBI Artículos'!$A:$A,'[1]DATOS PBI Artículos'!$AL:$AL))/(_xlfn.XLOOKUP($AF$1,[1]CRITERIOS!$S$16:$S$39,[1]CRITERIOS!$Y$16:$Y$39))*$J382+$Z382)/$G382,0)*$G382,
((_xlfn.XLOOKUP($A382,'[1]DATOS PBI Artículos'!$A:$A,'[1]DATOS PBI Artículos'!$AL:$AL))/(_xlfn.XLOOKUP($AF$1,[1]CRITERIOS!$S$16:$S$39,[1]CRITERIOS!$Y$16:$Y$39))*$J382+$Z382)))</f>
        <v>#N/A</v>
      </c>
      <c r="AG382" s="39" t="e">
        <f>IF($R382="MTO","",
IF($H382=0,ROUNDUP(((_xlfn.XLOOKUP($A382,'[1]DATOS PBI Artículos'!$A:$A,'[1]DATOS PBI Artículos'!$AM:$AM))/(_xlfn.XLOOKUP($AH$1,[1]CRITERIOS!$S$16:$S$39,[1]CRITERIOS!$Y$16:$Y$39))*$J382+$Z382)/$G382,0)*$G382,
((_xlfn.XLOOKUP($A382,'[1]DATOS PBI Artículos'!$A:$A,'[1]DATOS PBI Artículos'!$AM:$AM))/(_xlfn.XLOOKUP($AH$1,[1]CRITERIOS!$S$16:$S$39,[1]CRITERIOS!$Y$16:$Y$39))*$J382+$Z382)))</f>
        <v>#N/A</v>
      </c>
      <c r="AI382" s="39" t="e">
        <f>IF($R382="MTO","",
IF($H382=0,ROUNDUP(((_xlfn.XLOOKUP($A382,'[1]DATOS PBI Artículos'!$A:$A,'[1]DATOS PBI Artículos'!$AN:$AN))/(_xlfn.XLOOKUP($AJ$1,[1]CRITERIOS!$S$16:$S$39,[1]CRITERIOS!$Y$16:$Y$39))*$J382+$Z382)/$G382,0)*$G382,
((_xlfn.XLOOKUP($A382,'[1]DATOS PBI Artículos'!$A:$A,'[1]DATOS PBI Artículos'!$AN:$AN))/(_xlfn.XLOOKUP($AJ$1,[1]CRITERIOS!$S$16:$S$39,[1]CRITERIOS!$Y$16:$Y$39))*$J382+$Z382)))</f>
        <v>#N/A</v>
      </c>
      <c r="AK382" s="39" t="e">
        <f>IF($R382="MTO","",
IF($H382=0,ROUNDUP(((_xlfn.XLOOKUP($A382,'[1]DATOS PBI Artículos'!$A:$A,'[1]DATOS PBI Artículos'!$AO:$AO))/(_xlfn.XLOOKUP($AL$1,[1]CRITERIOS!$S$16:$S$39,[1]CRITERIOS!$Y$16:$Y$39))*$J382+$Z382)/$G382,0)*$G382,
((_xlfn.XLOOKUP($A382,'[1]DATOS PBI Artículos'!$A:$A,'[1]DATOS PBI Artículos'!$AO:$AO))/(_xlfn.XLOOKUP($AL$1,[1]CRITERIOS!$S$16:$S$39,[1]CRITERIOS!$Y$16:$Y$39))*$J382+$Z382)))</f>
        <v>#N/A</v>
      </c>
    </row>
    <row r="383" spans="1:37" ht="25.8" hidden="1" x14ac:dyDescent="0.4">
      <c r="A383" s="41"/>
      <c r="B383" s="33">
        <f>_xlfn.XLOOKUP($A383,'[1]DATOS PBI Artículos'!A:A,'[1]DATOS PBI Artículos'!B:B)</f>
        <v>0</v>
      </c>
      <c r="C383" s="33">
        <f>_xlfn.XLOOKUP($A383,'[1]DATOS PBI Artículos'!A:A,'[1]DATOS PBI Artículos'!C:C)</f>
        <v>0</v>
      </c>
      <c r="D383" s="33">
        <f>_xlfn.XLOOKUP(A383,'[1]DATOS PBI Artículos'!A:A,'[1]DATOS PBI Artículos'!T:T)</f>
        <v>0</v>
      </c>
      <c r="E383" s="34">
        <f>IF(_xlfn.XLOOKUP($A383,'[1]DATOS PBI Artículos'!A:A,'[1]DATOS PBI Artículos'!AK:AK)="",_xlfn.XLOOKUP($A383,'[1]DATOS PBI Artículos'!A:A,'[1]DATOS PBI Artículos'!AJ:AJ),_xlfn.XLOOKUP($A383,'[1]DATOS PBI Artículos'!A:A,'[1]DATOS PBI Artículos'!AK:AK))</f>
        <v>0</v>
      </c>
      <c r="F383" s="35">
        <f>_xlfn.XLOOKUP($A383,'[1]DATOS PBI Artículos'!A:A,'[1]DATOS PBI Artículos'!AP:AP)</f>
        <v>0</v>
      </c>
      <c r="G383" s="34">
        <f>_xlfn.XLOOKUP($A383,'[1]DATOS PBI Artículos'!A:A,'[1]DATOS PBI Artículos'!AR:AR)</f>
        <v>0</v>
      </c>
      <c r="H383" s="34">
        <f>_xlfn.XLOOKUP($A383,'[1]DATOS PBI Artículos'!A:A,'[1]DATOS PBI Artículos'!AT:AT)</f>
        <v>0</v>
      </c>
      <c r="I383" s="34">
        <f>_xlfn.XLOOKUP($A383,'[1]DATOS PBI Artículos'!A:A,'[1]DATOS PBI Artículos'!AS:AS)</f>
        <v>0</v>
      </c>
      <c r="J383" s="35">
        <f>IF(COUNTIF([1]CRITERIOS!$F$179:$F$199,$A383)&gt;=1,
 IF(O383&lt;&gt;"",
    (O383/_xlfn.XLOOKUP(CONCATENATE(A383,L383),[1]MÁQUINAS!A:A,[1]MÁQUINAS!D:D))/24,
    (N383/_xlfn.XLOOKUP(CONCATENATE(A383,L383),[1]MÁQUINAS!A:A,[1]MÁQUINAS!D:D))/24),
  _xlfn.XLOOKUP($A383,'[1]DATOS PBI Artículos'!A:A,'[1]DATOS PBI Artículos'!AU:AU))</f>
        <v>0</v>
      </c>
      <c r="K383" s="36">
        <f>_xlfn.XLOOKUP($A383,'[1]DATOS PBI Artículos'!A:A,'[1]DATOS PBI Artículos'!AV:AV)</f>
        <v>0</v>
      </c>
      <c r="L383" s="33">
        <f>_xlfn.XLOOKUP(A383,[1]MÁQUINAS!B:B,[1]MÁQUINAS!C:C)</f>
        <v>0</v>
      </c>
      <c r="M383" s="34">
        <f t="array" ref="M383">_xlfn.XLOOKUP(A383,'[1]DATOS PBI Artículos'!A:A,'[1]DATOS PBI Artículos'!AX:$AX)</f>
        <v>0</v>
      </c>
      <c r="N383" s="37" t="e">
        <f>IF(I383="DV",
E383,
IF(COUNTIF([1]CRITERIOS!$I$179:$I$199,$A383)&gt;=1,
_xlfn.XLOOKUP($A383,[1]CRITERIOS!$I$179:$I$199,[1]CRITERIOS!$J$179:$J$199),
IF(COUNTIF([1]CRITERIOS!$L$179:$L$199,$A383)&gt;=1,
_xlfn.CEILING.MATH(IF($M383&gt;$E383,
$E383,
IF($M383&lt;$E383/ROUNDDOWN([1]CRITERIOS!$M$16/_xlfn.XLOOKUP($C383,[1]CRITERIOS!$K$25:$K$42,[1]CRITERIOS!$M$25:$M$42),
1),
E383/ROUNDDOWN([1]CRITERIOS!$M$16/_xlfn.XLOOKUP($C383,[1]CRITERIOS!$K$25:$K$42,[1]CRITERIOS!$M$25:$M$42),
1),
$M383)),
_xlfn.XLOOKUP($A383,[1]CRITERIOS!$L$179:$L$200,[1]CRITERIOS!$M$179:$M$200)),
_xlfn.CEILING.MATH(IF($M383&gt;$E383,
$E383,
IF($M383&lt;$E383/ROUNDDOWN([1]CRITERIOS!$M$16/_xlfn.XLOOKUP($C383,[1]CRITERIOS!$K$25:$K$42,[1]CRITERIOS!$M$25:$M$42),
1),
E383/ROUNDDOWN([1]CRITERIOS!$M$16/_xlfn.XLOOKUP($C383,[1]CRITERIOS!$K$25:$K$42,[1]CRITERIOS!$M$25:$M$42),
1),
$M383)),_xlfn.XLOOKUP(A383,'[1]DATOS PBI Artículos'!A:A,'[1]DATOS PBI Artículos'!Z:Z
)))))</f>
        <v>#N/A</v>
      </c>
      <c r="Q383" s="38" t="e">
        <f>IF(AND(O383="",N383=0),
0,
   IF(COUNTIF([1]CRITERIOS!$F$179:$F$199,$A383)&gt;=1,
   1,
   IF(R383="MTO",
      $D383,
      ROUNDUP(
                    IF(($E383-SUMIF('[1]DATOS PBI Artículos'!A:A,A383,'[1]DATOS PBI Artículos'!X:X)+($V383-_xlfn.XLOOKUP(A383,'[1]DATOS PBI Artículos'!A:A,'[1]DATOS PBI Artículos'!W:W)))&lt;0,
                    0,
                    IF(($E383-SUMIF('[1]DATOS PBI Artículos'!A:A,A383,'[1]DATOS PBI Artículos'!X:X)+$V383-_xlfn.XLOOKUP($A383,'[1]DATOS PBI Artículos'!A:A,'[1]DATOS PBI Artículos'!W:W))/IF($O383="",$N383,$O383)&gt;ROUNDUP([1]CRITERIOS!$M$16/(IF(COUNTIF([1]CRITERIOS!$BG$11:$BG$201,L383)&gt;=1,_xlfn.XLOOKUP($C383,[1]CRITERIOS!$K$25:$K$42,[1]CRITERIOS!$M$25:$M$42),_xlfn.XLOOKUP($C383,[1]CRITERIOS!$K$25:$K$42,[1]CRITERIOS!$M$25:$M$42))),0),
                    ROUNDUP([1]CRITERIOS!$M$16/(IF(COUNTIF([1]CRITERIOS!$BG$11:$BG$201,$L383)&gt;=1,_xlfn.XLOOKUP($C383,[1]CRITERIOS!$K$25:$K$42,[1]CRITERIOS!$M$25:$M$42),_xlfn.XLOOKUP($C383,[1]CRITERIOS!$K$25:$K$42,[1]CRITERIOS!$M$25:$M$42))),0),
                    (E383+V383-SUMIF('[1]DATOS PBI Artículos'!A:A,A383,'[1]DATOS PBI Artículos'!X:X)-_xlfn.XLOOKUP(A383,'[1]DATOS PBI Artículos'!A:A,'[1]DATOS PBI Artículos'!W:W))/IF($O383="",$N383,$O383))),0))))</f>
        <v>#N/A</v>
      </c>
      <c r="R383" s="33" t="e">
        <f>IF(U383&lt;&gt;"",U383,IF(F383="DV","MTO",IF(N383=0,"MTO",_xlfn.XLOOKUP(CONCATENATE(S383,T383),[1]CRITERIOS!$K$160:$K$168,[1]CRITERIOS!$N$160:$N$168))))</f>
        <v>#N/A</v>
      </c>
      <c r="S383" s="33" t="e">
        <f>IF(G383="DV","MTO",IF(N383=0,"MTO",IF(OR(AND(N383=0,O383=""),IF(O383="",G383/N383,G383/O383)&gt;[1]CRITERIOS!$G$163),"MTO",IF(IF(O383="",G383/N383,G383/O383)&lt;[1]CRITERIOS!$H$161,"MTS","MTOS"))))</f>
        <v>#N/A</v>
      </c>
      <c r="T383" s="33" t="e">
        <f>IF(F383="DV","MTO",IF(OR(AND($N383=0,O383=""),$F383/$J383&gt;[1]CRITERIOS!$G$170,$F383="DV"),"MTO",IF($F383/$J383&lt;[1]CRITERIOS!$H$168,"MTS","MTOS")))</f>
        <v>#N/A</v>
      </c>
      <c r="V383" s="34" t="e">
        <f t="shared" si="19"/>
        <v>#N/A</v>
      </c>
      <c r="X383" s="34" t="e">
        <f t="shared" si="17"/>
        <v>#N/A</v>
      </c>
      <c r="Y383" s="34" t="e">
        <f t="shared" si="18"/>
        <v>#N/A</v>
      </c>
      <c r="Z383" s="34" t="e">
        <f>IF($R383="MTO",
0,
($H383+$K383*($E383/[1]CRITERIOS!$M$16))/[1]CRITERIOS!$X$48)</f>
        <v>#N/A</v>
      </c>
      <c r="AA383" s="34" t="e">
        <f>ROUNDUP(($Y383/_xlfn.XLOOKUP($A383,'[1]DATOS PBI Artículos'!$A$4:$A$4,'[1]DATOS PBI Artículos'!$Z$4:$Z$4))/_xlfn.XLOOKUP(_xlfn.XLOOKUP($A383,'[1]DATOS PBI Artículos'!$A$4:$A$4,'[1]DATOS PBI Artículos'!$Y$4:$Y$4),[1]CRITERIOS!$P$79:$P$123,[1]CRITERIOS!$S$79:$S$123,),0)</f>
        <v>#N/A</v>
      </c>
      <c r="AB383" s="33" t="e">
        <f t="array" ref="AB383">IF((E383+V383-_xlfn.XLOOKUP(A383,'[1]DATOS PBI Artículos'!$A$4:$A$4,'[1]DATOS PBI Artículos'!$W$4:$W$4))/N383&gt;ROUNDUP([1]CRITERIOS!$M$16/(IF(COUNTIF([1]CRITERIOS!$BG$11:$BG$201,L383)&gt;=1,_xlfn.XLOOKUP(ARTÍCULOS!L383,[1]CRITERIOS!$BG$11:$BG$201,[1]CRITERIOS!$BJ$11:$BJ$201),_xlfn.XLOOKUP(ARTÍCULOS!C383,[1]CRITERIOS!$K$25:$K$42,[1]CRITERIOS!$M$25:$M$42))),0),ROUNDUP([1]CRITERIOS!$M$16/(IF(COUNTIF([1]CRITERIOS!$BG$11:$BG$201,L383)&gt;=1,_xlfn.XLOOKUP(ARTÍCULOS!L383,[1]CRITERIOS!$BG$11:$BG$201:#REF!,[1]CRITERIOS!$BJ$11:$BJ$201),_xlfn.XLOOKUP(ARTÍCULOS!C383,[1]CRITERIOS!$K$25:$K$42,[1]CRITERIOS!$M$25:$M$42))),0),(E383+V383-_xlfn.XLOOKUP(A383,'[1]DATOS PBI Artículos'!$A$4:$A$4,'[1]DATOS PBI Artículos'!$W$4:$W$4))/N383)</f>
        <v>#N/A</v>
      </c>
      <c r="AC383" s="33" t="e">
        <f>IF(N383=0,"",(ROUNDUP((N383/2)/(_xlfn.XLOOKUP(A383,'[1]DATOS PBI Artículos'!$A$4:$A$4,'[1]DATOS PBI Artículos'!$Z$4:$Z$4)*_xlfn.XLOOKUP(_xlfn.XLOOKUP(A383,'[1]DATOS PBI Artículos'!$A$4:$A$4,'[1]DATOS PBI Artículos'!$Y$4:$Y$4),[1]CRITERIOS!$P$79:$P$123,[1]CRITERIOS!$S$79:$S$123)),0)*[1]CRITERIOS!$M$80*([1]CRITERIOS!$M$110/[1]CRITERIOS!$M$86)+(_xlfn.XLOOKUP(A383,'[1]DATOS PBI Artículos'!$A$4:$A$4,'[1]DATOS PBI Artículos'!$AA$4:$AA$4)*([1]CRITERIOS!$M$95+[1]CRITERIOS!$M$98)))/N383)</f>
        <v>#N/A</v>
      </c>
      <c r="AD383" s="33" t="e">
        <f>IF(N383=0,"",(ROUNDUP((N383/2)/(_xlfn.XLOOKUP(A383,'[1]DATOS PBI Artículos'!$A$4:$A$4,'[1]DATOS PBI Artículos'!$Z$4:$Z$4)*_xlfn.XLOOKUP(_xlfn.XLOOKUP(A383,'[1]DATOS PBI Artículos'!$A$4:$A$4,'[1]DATOS PBI Artículos'!$Y$4:$Y$4),[1]CRITERIOS!$P$79:$P$123,[1]CRITERIOS!$S$79:$S$123)),0)*[1]CRITERIOS!$M$80*([1]CRITERIOS!$M$89*[1]CRITERIOS!$M$92)+((_xlfn.XLOOKUP(A383,'[1]DATOS PBI Artículos'!$A$4:$A$4,'[1]DATOS PBI Artículos'!$AA$4:$AA$4)/2)*([1]CRITERIOS!$M$95+[1]CRITERIOS!$M$98)))/N383)</f>
        <v>#N/A</v>
      </c>
      <c r="AE383" s="39" t="e">
        <f>IF($R383="MTO","",
IF($H383=0,ROUNDUP(((_xlfn.XLOOKUP($A383,'[1]DATOS PBI Artículos'!$A:$A,'[1]DATOS PBI Artículos'!$AL:$AL))/(_xlfn.XLOOKUP($AF$1,[1]CRITERIOS!$S$16:$S$39,[1]CRITERIOS!$Y$16:$Y$39))*$J383+$Z383)/$G383,0)*$G383,
((_xlfn.XLOOKUP($A383,'[1]DATOS PBI Artículos'!$A:$A,'[1]DATOS PBI Artículos'!$AL:$AL))/(_xlfn.XLOOKUP($AF$1,[1]CRITERIOS!$S$16:$S$39,[1]CRITERIOS!$Y$16:$Y$39))*$J383+$Z383)))</f>
        <v>#N/A</v>
      </c>
      <c r="AG383" s="39" t="e">
        <f>IF($R383="MTO","",
IF($H383=0,ROUNDUP(((_xlfn.XLOOKUP($A383,'[1]DATOS PBI Artículos'!$A:$A,'[1]DATOS PBI Artículos'!$AM:$AM))/(_xlfn.XLOOKUP($AH$1,[1]CRITERIOS!$S$16:$S$39,[1]CRITERIOS!$Y$16:$Y$39))*$J383+$Z383)/$G383,0)*$G383,
((_xlfn.XLOOKUP($A383,'[1]DATOS PBI Artículos'!$A:$A,'[1]DATOS PBI Artículos'!$AM:$AM))/(_xlfn.XLOOKUP($AH$1,[1]CRITERIOS!$S$16:$S$39,[1]CRITERIOS!$Y$16:$Y$39))*$J383+$Z383)))</f>
        <v>#N/A</v>
      </c>
      <c r="AI383" s="39" t="e">
        <f>IF($R383="MTO","",
IF($H383=0,ROUNDUP(((_xlfn.XLOOKUP($A383,'[1]DATOS PBI Artículos'!$A:$A,'[1]DATOS PBI Artículos'!$AN:$AN))/(_xlfn.XLOOKUP($AJ$1,[1]CRITERIOS!$S$16:$S$39,[1]CRITERIOS!$Y$16:$Y$39))*$J383+$Z383)/$G383,0)*$G383,
((_xlfn.XLOOKUP($A383,'[1]DATOS PBI Artículos'!$A:$A,'[1]DATOS PBI Artículos'!$AN:$AN))/(_xlfn.XLOOKUP($AJ$1,[1]CRITERIOS!$S$16:$S$39,[1]CRITERIOS!$Y$16:$Y$39))*$J383+$Z383)))</f>
        <v>#N/A</v>
      </c>
      <c r="AK383" s="39" t="e">
        <f>IF($R383="MTO","",
IF($H383=0,ROUNDUP(((_xlfn.XLOOKUP($A383,'[1]DATOS PBI Artículos'!$A:$A,'[1]DATOS PBI Artículos'!$AO:$AO))/(_xlfn.XLOOKUP($AL$1,[1]CRITERIOS!$S$16:$S$39,[1]CRITERIOS!$Y$16:$Y$39))*$J383+$Z383)/$G383,0)*$G383,
((_xlfn.XLOOKUP($A383,'[1]DATOS PBI Artículos'!$A:$A,'[1]DATOS PBI Artículos'!$AO:$AO))/(_xlfn.XLOOKUP($AL$1,[1]CRITERIOS!$S$16:$S$39,[1]CRITERIOS!$Y$16:$Y$39))*$J383+$Z383)))</f>
        <v>#N/A</v>
      </c>
    </row>
    <row r="384" spans="1:37" ht="25.8" hidden="1" x14ac:dyDescent="0.4">
      <c r="A384" s="41"/>
      <c r="B384" s="33">
        <f>_xlfn.XLOOKUP($A384,'[1]DATOS PBI Artículos'!A:A,'[1]DATOS PBI Artículos'!B:B)</f>
        <v>0</v>
      </c>
      <c r="C384" s="33">
        <f>_xlfn.XLOOKUP($A384,'[1]DATOS PBI Artículos'!A:A,'[1]DATOS PBI Artículos'!C:C)</f>
        <v>0</v>
      </c>
      <c r="D384" s="33">
        <f>_xlfn.XLOOKUP(A384,'[1]DATOS PBI Artículos'!A:A,'[1]DATOS PBI Artículos'!T:T)</f>
        <v>0</v>
      </c>
      <c r="E384" s="34">
        <f>IF(_xlfn.XLOOKUP($A384,'[1]DATOS PBI Artículos'!A:A,'[1]DATOS PBI Artículos'!AK:AK)="",_xlfn.XLOOKUP($A384,'[1]DATOS PBI Artículos'!A:A,'[1]DATOS PBI Artículos'!AJ:AJ),_xlfn.XLOOKUP($A384,'[1]DATOS PBI Artículos'!A:A,'[1]DATOS PBI Artículos'!AK:AK))</f>
        <v>0</v>
      </c>
      <c r="F384" s="35">
        <f>_xlfn.XLOOKUP($A384,'[1]DATOS PBI Artículos'!A:A,'[1]DATOS PBI Artículos'!AP:AP)</f>
        <v>0</v>
      </c>
      <c r="G384" s="34">
        <f>_xlfn.XLOOKUP($A384,'[1]DATOS PBI Artículos'!A:A,'[1]DATOS PBI Artículos'!AR:AR)</f>
        <v>0</v>
      </c>
      <c r="H384" s="34">
        <f>_xlfn.XLOOKUP($A384,'[1]DATOS PBI Artículos'!A:A,'[1]DATOS PBI Artículos'!AT:AT)</f>
        <v>0</v>
      </c>
      <c r="I384" s="34">
        <f>_xlfn.XLOOKUP($A384,'[1]DATOS PBI Artículos'!A:A,'[1]DATOS PBI Artículos'!AS:AS)</f>
        <v>0</v>
      </c>
      <c r="J384" s="35">
        <f>IF(COUNTIF([1]CRITERIOS!$F$179:$F$199,$A384)&gt;=1,
 IF(O384&lt;&gt;"",
    (O384/_xlfn.XLOOKUP(CONCATENATE(A384,L384),[1]MÁQUINAS!A:A,[1]MÁQUINAS!D:D))/24,
    (N384/_xlfn.XLOOKUP(CONCATENATE(A384,L384),[1]MÁQUINAS!A:A,[1]MÁQUINAS!D:D))/24),
  _xlfn.XLOOKUP($A384,'[1]DATOS PBI Artículos'!A:A,'[1]DATOS PBI Artículos'!AU:AU))</f>
        <v>0</v>
      </c>
      <c r="K384" s="36">
        <f>_xlfn.XLOOKUP($A384,'[1]DATOS PBI Artículos'!A:A,'[1]DATOS PBI Artículos'!AV:AV)</f>
        <v>0</v>
      </c>
      <c r="L384" s="33">
        <f>_xlfn.XLOOKUP(A384,[1]MÁQUINAS!B:B,[1]MÁQUINAS!C:C)</f>
        <v>0</v>
      </c>
      <c r="M384" s="34">
        <f t="array" ref="M384">_xlfn.XLOOKUP(A384,'[1]DATOS PBI Artículos'!A:A,'[1]DATOS PBI Artículos'!AX:$AX)</f>
        <v>0</v>
      </c>
      <c r="N384" s="37" t="e">
        <f>IF(I384="DV",
E384,
IF(COUNTIF([1]CRITERIOS!$I$179:$I$199,$A384)&gt;=1,
_xlfn.XLOOKUP($A384,[1]CRITERIOS!$I$179:$I$199,[1]CRITERIOS!$J$179:$J$199),
IF(COUNTIF([1]CRITERIOS!$L$179:$L$199,$A384)&gt;=1,
_xlfn.CEILING.MATH(IF($M384&gt;$E384,
$E384,
IF($M384&lt;$E384/ROUNDDOWN([1]CRITERIOS!$M$16/_xlfn.XLOOKUP($C384,[1]CRITERIOS!$K$25:$K$42,[1]CRITERIOS!$M$25:$M$42),
1),
E384/ROUNDDOWN([1]CRITERIOS!$M$16/_xlfn.XLOOKUP($C384,[1]CRITERIOS!$K$25:$K$42,[1]CRITERIOS!$M$25:$M$42),
1),
$M384)),
_xlfn.XLOOKUP($A384,[1]CRITERIOS!$L$179:$L$200,[1]CRITERIOS!$M$179:$M$200)),
_xlfn.CEILING.MATH(IF($M384&gt;$E384,
$E384,
IF($M384&lt;$E384/ROUNDDOWN([1]CRITERIOS!$M$16/_xlfn.XLOOKUP($C384,[1]CRITERIOS!$K$25:$K$42,[1]CRITERIOS!$M$25:$M$42),
1),
E384/ROUNDDOWN([1]CRITERIOS!$M$16/_xlfn.XLOOKUP($C384,[1]CRITERIOS!$K$25:$K$42,[1]CRITERIOS!$M$25:$M$42),
1),
$M384)),_xlfn.XLOOKUP(A384,'[1]DATOS PBI Artículos'!A:A,'[1]DATOS PBI Artículos'!Z:Z
)))))</f>
        <v>#N/A</v>
      </c>
      <c r="Q384" s="38" t="e">
        <f>IF(AND(O384="",N384=0),
0,
   IF(COUNTIF([1]CRITERIOS!$F$179:$F$199,$A384)&gt;=1,
   1,
   IF(R384="MTO",
      $D384,
      ROUNDUP(
                    IF(($E384-SUMIF('[1]DATOS PBI Artículos'!A:A,A384,'[1]DATOS PBI Artículos'!X:X)+($V384-_xlfn.XLOOKUP(A384,'[1]DATOS PBI Artículos'!A:A,'[1]DATOS PBI Artículos'!W:W)))&lt;0,
                    0,
                    IF(($E384-SUMIF('[1]DATOS PBI Artículos'!A:A,A384,'[1]DATOS PBI Artículos'!X:X)+$V384-_xlfn.XLOOKUP($A384,'[1]DATOS PBI Artículos'!A:A,'[1]DATOS PBI Artículos'!W:W))/IF($O384="",$N384,$O384)&gt;ROUNDUP([1]CRITERIOS!$M$16/(IF(COUNTIF([1]CRITERIOS!$BG$11:$BG$201,L384)&gt;=1,_xlfn.XLOOKUP($C384,[1]CRITERIOS!$K$25:$K$42,[1]CRITERIOS!$M$25:$M$42),_xlfn.XLOOKUP($C384,[1]CRITERIOS!$K$25:$K$42,[1]CRITERIOS!$M$25:$M$42))),0),
                    ROUNDUP([1]CRITERIOS!$M$16/(IF(COUNTIF([1]CRITERIOS!$BG$11:$BG$201,$L384)&gt;=1,_xlfn.XLOOKUP($C384,[1]CRITERIOS!$K$25:$K$42,[1]CRITERIOS!$M$25:$M$42),_xlfn.XLOOKUP($C384,[1]CRITERIOS!$K$25:$K$42,[1]CRITERIOS!$M$25:$M$42))),0),
                    (E384+V384-SUMIF('[1]DATOS PBI Artículos'!A:A,A384,'[1]DATOS PBI Artículos'!X:X)-_xlfn.XLOOKUP(A384,'[1]DATOS PBI Artículos'!A:A,'[1]DATOS PBI Artículos'!W:W))/IF($O384="",$N384,$O384))),0))))</f>
        <v>#N/A</v>
      </c>
      <c r="R384" s="33" t="e">
        <f>IF(U384&lt;&gt;"",U384,IF(F384="DV","MTO",IF(N384=0,"MTO",_xlfn.XLOOKUP(CONCATENATE(S384,T384),[1]CRITERIOS!$K$160:$K$168,[1]CRITERIOS!$N$160:$N$168))))</f>
        <v>#N/A</v>
      </c>
      <c r="S384" s="33" t="e">
        <f>IF(G384="DV","MTO",IF(N384=0,"MTO",IF(OR(AND(N384=0,O384=""),IF(O384="",G384/N384,G384/O384)&gt;[1]CRITERIOS!$G$163),"MTO",IF(IF(O384="",G384/N384,G384/O384)&lt;[1]CRITERIOS!$H$161,"MTS","MTOS"))))</f>
        <v>#N/A</v>
      </c>
      <c r="T384" s="33" t="e">
        <f>IF(F384="DV","MTO",IF(OR(AND($N384=0,O384=""),$F384/$J384&gt;[1]CRITERIOS!$G$170,$F384="DV"),"MTO",IF($F384/$J384&lt;[1]CRITERIOS!$H$168,"MTS","MTOS")))</f>
        <v>#N/A</v>
      </c>
      <c r="V384" s="34" t="e">
        <f t="shared" si="19"/>
        <v>#N/A</v>
      </c>
      <c r="X384" s="34" t="e">
        <f t="shared" si="17"/>
        <v>#N/A</v>
      </c>
      <c r="Y384" s="34" t="e">
        <f t="shared" si="18"/>
        <v>#N/A</v>
      </c>
      <c r="Z384" s="34" t="e">
        <f>IF($R384="MTO",
0,
($H384+$K384*($E384/[1]CRITERIOS!$M$16))/[1]CRITERIOS!$X$48)</f>
        <v>#N/A</v>
      </c>
      <c r="AA384" s="34" t="e">
        <f>ROUNDUP(($Y384/_xlfn.XLOOKUP($A384,'[1]DATOS PBI Artículos'!$A$4:$A$4,'[1]DATOS PBI Artículos'!$Z$4:$Z$4))/_xlfn.XLOOKUP(_xlfn.XLOOKUP($A384,'[1]DATOS PBI Artículos'!$A$4:$A$4,'[1]DATOS PBI Artículos'!$Y$4:$Y$4),[1]CRITERIOS!$P$79:$P$123,[1]CRITERIOS!$S$79:$S$123,),0)</f>
        <v>#N/A</v>
      </c>
      <c r="AB384" s="33" t="e">
        <f t="array" ref="AB384">IF((E384+V384-_xlfn.XLOOKUP(A384,'[1]DATOS PBI Artículos'!$A$4:$A$4,'[1]DATOS PBI Artículos'!$W$4:$W$4))/N384&gt;ROUNDUP([1]CRITERIOS!$M$16/(IF(COUNTIF([1]CRITERIOS!$BG$11:$BG$201,L384)&gt;=1,_xlfn.XLOOKUP(ARTÍCULOS!L384,[1]CRITERIOS!$BG$11:$BG$201,[1]CRITERIOS!$BJ$11:$BJ$201),_xlfn.XLOOKUP(ARTÍCULOS!C384,[1]CRITERIOS!$K$25:$K$42,[1]CRITERIOS!$M$25:$M$42))),0),ROUNDUP([1]CRITERIOS!$M$16/(IF(COUNTIF([1]CRITERIOS!$BG$11:$BG$201,L384)&gt;=1,_xlfn.XLOOKUP(ARTÍCULOS!L384,[1]CRITERIOS!$BG$11:$BG$201:#REF!,[1]CRITERIOS!$BJ$11:$BJ$201),_xlfn.XLOOKUP(ARTÍCULOS!C384,[1]CRITERIOS!$K$25:$K$42,[1]CRITERIOS!$M$25:$M$42))),0),(E384+V384-_xlfn.XLOOKUP(A384,'[1]DATOS PBI Artículos'!$A$4:$A$4,'[1]DATOS PBI Artículos'!$W$4:$W$4))/N384)</f>
        <v>#N/A</v>
      </c>
      <c r="AC384" s="33" t="e">
        <f>IF(N384=0,"",(ROUNDUP((N384/2)/(_xlfn.XLOOKUP(A384,'[1]DATOS PBI Artículos'!$A$4:$A$4,'[1]DATOS PBI Artículos'!$Z$4:$Z$4)*_xlfn.XLOOKUP(_xlfn.XLOOKUP(A384,'[1]DATOS PBI Artículos'!$A$4:$A$4,'[1]DATOS PBI Artículos'!$Y$4:$Y$4),[1]CRITERIOS!$P$79:$P$123,[1]CRITERIOS!$S$79:$S$123)),0)*[1]CRITERIOS!$M$80*([1]CRITERIOS!$M$110/[1]CRITERIOS!$M$86)+(_xlfn.XLOOKUP(A384,'[1]DATOS PBI Artículos'!$A$4:$A$4,'[1]DATOS PBI Artículos'!$AA$4:$AA$4)*([1]CRITERIOS!$M$95+[1]CRITERIOS!$M$98)))/N384)</f>
        <v>#N/A</v>
      </c>
      <c r="AD384" s="33" t="e">
        <f>IF(N384=0,"",(ROUNDUP((N384/2)/(_xlfn.XLOOKUP(A384,'[1]DATOS PBI Artículos'!$A$4:$A$4,'[1]DATOS PBI Artículos'!$Z$4:$Z$4)*_xlfn.XLOOKUP(_xlfn.XLOOKUP(A384,'[1]DATOS PBI Artículos'!$A$4:$A$4,'[1]DATOS PBI Artículos'!$Y$4:$Y$4),[1]CRITERIOS!$P$79:$P$123,[1]CRITERIOS!$S$79:$S$123)),0)*[1]CRITERIOS!$M$80*([1]CRITERIOS!$M$89*[1]CRITERIOS!$M$92)+((_xlfn.XLOOKUP(A384,'[1]DATOS PBI Artículos'!$A$4:$A$4,'[1]DATOS PBI Artículos'!$AA$4:$AA$4)/2)*([1]CRITERIOS!$M$95+[1]CRITERIOS!$M$98)))/N384)</f>
        <v>#N/A</v>
      </c>
      <c r="AE384" s="39" t="e">
        <f>IF($R384="MTO","",
IF($H384=0,ROUNDUP(((_xlfn.XLOOKUP($A384,'[1]DATOS PBI Artículos'!$A:$A,'[1]DATOS PBI Artículos'!$AL:$AL))/(_xlfn.XLOOKUP($AF$1,[1]CRITERIOS!$S$16:$S$39,[1]CRITERIOS!$Y$16:$Y$39))*$J384+$Z384)/$G384,0)*$G384,
((_xlfn.XLOOKUP($A384,'[1]DATOS PBI Artículos'!$A:$A,'[1]DATOS PBI Artículos'!$AL:$AL))/(_xlfn.XLOOKUP($AF$1,[1]CRITERIOS!$S$16:$S$39,[1]CRITERIOS!$Y$16:$Y$39))*$J384+$Z384)))</f>
        <v>#N/A</v>
      </c>
      <c r="AG384" s="39" t="e">
        <f>IF($R384="MTO","",
IF($H384=0,ROUNDUP(((_xlfn.XLOOKUP($A384,'[1]DATOS PBI Artículos'!$A:$A,'[1]DATOS PBI Artículos'!$AM:$AM))/(_xlfn.XLOOKUP($AH$1,[1]CRITERIOS!$S$16:$S$39,[1]CRITERIOS!$Y$16:$Y$39))*$J384+$Z384)/$G384,0)*$G384,
((_xlfn.XLOOKUP($A384,'[1]DATOS PBI Artículos'!$A:$A,'[1]DATOS PBI Artículos'!$AM:$AM))/(_xlfn.XLOOKUP($AH$1,[1]CRITERIOS!$S$16:$S$39,[1]CRITERIOS!$Y$16:$Y$39))*$J384+$Z384)))</f>
        <v>#N/A</v>
      </c>
      <c r="AI384" s="39" t="e">
        <f>IF($R384="MTO","",
IF($H384=0,ROUNDUP(((_xlfn.XLOOKUP($A384,'[1]DATOS PBI Artículos'!$A:$A,'[1]DATOS PBI Artículos'!$AN:$AN))/(_xlfn.XLOOKUP($AJ$1,[1]CRITERIOS!$S$16:$S$39,[1]CRITERIOS!$Y$16:$Y$39))*$J384+$Z384)/$G384,0)*$G384,
((_xlfn.XLOOKUP($A384,'[1]DATOS PBI Artículos'!$A:$A,'[1]DATOS PBI Artículos'!$AN:$AN))/(_xlfn.XLOOKUP($AJ$1,[1]CRITERIOS!$S$16:$S$39,[1]CRITERIOS!$Y$16:$Y$39))*$J384+$Z384)))</f>
        <v>#N/A</v>
      </c>
      <c r="AK384" s="39" t="e">
        <f>IF($R384="MTO","",
IF($H384=0,ROUNDUP(((_xlfn.XLOOKUP($A384,'[1]DATOS PBI Artículos'!$A:$A,'[1]DATOS PBI Artículos'!$AO:$AO))/(_xlfn.XLOOKUP($AL$1,[1]CRITERIOS!$S$16:$S$39,[1]CRITERIOS!$Y$16:$Y$39))*$J384+$Z384)/$G384,0)*$G384,
((_xlfn.XLOOKUP($A384,'[1]DATOS PBI Artículos'!$A:$A,'[1]DATOS PBI Artículos'!$AO:$AO))/(_xlfn.XLOOKUP($AL$1,[1]CRITERIOS!$S$16:$S$39,[1]CRITERIOS!$Y$16:$Y$39))*$J384+$Z384)))</f>
        <v>#N/A</v>
      </c>
    </row>
    <row r="385" spans="1:37" ht="25.8" hidden="1" x14ac:dyDescent="0.4">
      <c r="A385" s="41"/>
      <c r="B385" s="33">
        <f>_xlfn.XLOOKUP($A385,'[1]DATOS PBI Artículos'!A:A,'[1]DATOS PBI Artículos'!B:B)</f>
        <v>0</v>
      </c>
      <c r="C385" s="33">
        <f>_xlfn.XLOOKUP($A385,'[1]DATOS PBI Artículos'!A:A,'[1]DATOS PBI Artículos'!C:C)</f>
        <v>0</v>
      </c>
      <c r="D385" s="33">
        <f>_xlfn.XLOOKUP(A385,'[1]DATOS PBI Artículos'!A:A,'[1]DATOS PBI Artículos'!T:T)</f>
        <v>0</v>
      </c>
      <c r="E385" s="34">
        <f>IF(_xlfn.XLOOKUP($A385,'[1]DATOS PBI Artículos'!A:A,'[1]DATOS PBI Artículos'!AK:AK)="",_xlfn.XLOOKUP($A385,'[1]DATOS PBI Artículos'!A:A,'[1]DATOS PBI Artículos'!AJ:AJ),_xlfn.XLOOKUP($A385,'[1]DATOS PBI Artículos'!A:A,'[1]DATOS PBI Artículos'!AK:AK))</f>
        <v>0</v>
      </c>
      <c r="F385" s="35">
        <f>_xlfn.XLOOKUP($A385,'[1]DATOS PBI Artículos'!A:A,'[1]DATOS PBI Artículos'!AP:AP)</f>
        <v>0</v>
      </c>
      <c r="G385" s="34">
        <f>_xlfn.XLOOKUP($A385,'[1]DATOS PBI Artículos'!A:A,'[1]DATOS PBI Artículos'!AR:AR)</f>
        <v>0</v>
      </c>
      <c r="H385" s="34">
        <f>_xlfn.XLOOKUP($A385,'[1]DATOS PBI Artículos'!A:A,'[1]DATOS PBI Artículos'!AT:AT)</f>
        <v>0</v>
      </c>
      <c r="I385" s="34">
        <f>_xlfn.XLOOKUP($A385,'[1]DATOS PBI Artículos'!A:A,'[1]DATOS PBI Artículos'!AS:AS)</f>
        <v>0</v>
      </c>
      <c r="J385" s="35">
        <f>IF(COUNTIF([1]CRITERIOS!$F$179:$F$199,$A385)&gt;=1,
 IF(O385&lt;&gt;"",
    (O385/_xlfn.XLOOKUP(CONCATENATE(A385,L385),[1]MÁQUINAS!A:A,[1]MÁQUINAS!D:D))/24,
    (N385/_xlfn.XLOOKUP(CONCATENATE(A385,L385),[1]MÁQUINAS!A:A,[1]MÁQUINAS!D:D))/24),
  _xlfn.XLOOKUP($A385,'[1]DATOS PBI Artículos'!A:A,'[1]DATOS PBI Artículos'!AU:AU))</f>
        <v>0</v>
      </c>
      <c r="K385" s="36">
        <f>_xlfn.XLOOKUP($A385,'[1]DATOS PBI Artículos'!A:A,'[1]DATOS PBI Artículos'!AV:AV)</f>
        <v>0</v>
      </c>
      <c r="L385" s="33">
        <f>_xlfn.XLOOKUP(A385,[1]MÁQUINAS!B:B,[1]MÁQUINAS!C:C)</f>
        <v>0</v>
      </c>
      <c r="M385" s="34">
        <f t="array" ref="M385">_xlfn.XLOOKUP(A385,'[1]DATOS PBI Artículos'!A:A,'[1]DATOS PBI Artículos'!AX:$AX)</f>
        <v>0</v>
      </c>
      <c r="N385" s="37" t="e">
        <f>IF(I385="DV",
E385,
IF(COUNTIF([1]CRITERIOS!$I$179:$I$199,$A385)&gt;=1,
_xlfn.XLOOKUP($A385,[1]CRITERIOS!$I$179:$I$199,[1]CRITERIOS!$J$179:$J$199),
IF(COUNTIF([1]CRITERIOS!$L$179:$L$199,$A385)&gt;=1,
_xlfn.CEILING.MATH(IF($M385&gt;$E385,
$E385,
IF($M385&lt;$E385/ROUNDDOWN([1]CRITERIOS!$M$16/_xlfn.XLOOKUP($C385,[1]CRITERIOS!$K$25:$K$42,[1]CRITERIOS!$M$25:$M$42),
1),
E385/ROUNDDOWN([1]CRITERIOS!$M$16/_xlfn.XLOOKUP($C385,[1]CRITERIOS!$K$25:$K$42,[1]CRITERIOS!$M$25:$M$42),
1),
$M385)),
_xlfn.XLOOKUP($A385,[1]CRITERIOS!$L$179:$L$200,[1]CRITERIOS!$M$179:$M$200)),
_xlfn.CEILING.MATH(IF($M385&gt;$E385,
$E385,
IF($M385&lt;$E385/ROUNDDOWN([1]CRITERIOS!$M$16/_xlfn.XLOOKUP($C385,[1]CRITERIOS!$K$25:$K$42,[1]CRITERIOS!$M$25:$M$42),
1),
E385/ROUNDDOWN([1]CRITERIOS!$M$16/_xlfn.XLOOKUP($C385,[1]CRITERIOS!$K$25:$K$42,[1]CRITERIOS!$M$25:$M$42),
1),
$M385)),_xlfn.XLOOKUP(A385,'[1]DATOS PBI Artículos'!A:A,'[1]DATOS PBI Artículos'!Z:Z
)))))</f>
        <v>#N/A</v>
      </c>
      <c r="Q385" s="38" t="e">
        <f>IF(AND(O385="",N385=0),
0,
   IF(COUNTIF([1]CRITERIOS!$F$179:$F$199,$A385)&gt;=1,
   1,
   IF(R385="MTO",
      $D385,
      ROUNDUP(
                    IF(($E385-SUMIF('[1]DATOS PBI Artículos'!A:A,A385,'[1]DATOS PBI Artículos'!X:X)+($V385-_xlfn.XLOOKUP(A385,'[1]DATOS PBI Artículos'!A:A,'[1]DATOS PBI Artículos'!W:W)))&lt;0,
                    0,
                    IF(($E385-SUMIF('[1]DATOS PBI Artículos'!A:A,A385,'[1]DATOS PBI Artículos'!X:X)+$V385-_xlfn.XLOOKUP($A385,'[1]DATOS PBI Artículos'!A:A,'[1]DATOS PBI Artículos'!W:W))/IF($O385="",$N385,$O385)&gt;ROUNDUP([1]CRITERIOS!$M$16/(IF(COUNTIF([1]CRITERIOS!$BG$11:$BG$201,L385)&gt;=1,_xlfn.XLOOKUP($C385,[1]CRITERIOS!$K$25:$K$42,[1]CRITERIOS!$M$25:$M$42),_xlfn.XLOOKUP($C385,[1]CRITERIOS!$K$25:$K$42,[1]CRITERIOS!$M$25:$M$42))),0),
                    ROUNDUP([1]CRITERIOS!$M$16/(IF(COUNTIF([1]CRITERIOS!$BG$11:$BG$201,$L385)&gt;=1,_xlfn.XLOOKUP($C385,[1]CRITERIOS!$K$25:$K$42,[1]CRITERIOS!$M$25:$M$42),_xlfn.XLOOKUP($C385,[1]CRITERIOS!$K$25:$K$42,[1]CRITERIOS!$M$25:$M$42))),0),
                    (E385+V385-SUMIF('[1]DATOS PBI Artículos'!A:A,A385,'[1]DATOS PBI Artículos'!X:X)-_xlfn.XLOOKUP(A385,'[1]DATOS PBI Artículos'!A:A,'[1]DATOS PBI Artículos'!W:W))/IF($O385="",$N385,$O385))),0))))</f>
        <v>#N/A</v>
      </c>
      <c r="R385" s="33" t="e">
        <f>IF(U385&lt;&gt;"",U385,IF(F385="DV","MTO",IF(N385=0,"MTO",_xlfn.XLOOKUP(CONCATENATE(S385,T385),[1]CRITERIOS!$K$160:$K$168,[1]CRITERIOS!$N$160:$N$168))))</f>
        <v>#N/A</v>
      </c>
      <c r="S385" s="33" t="e">
        <f>IF(G385="DV","MTO",IF(N385=0,"MTO",IF(OR(AND(N385=0,O385=""),IF(O385="",G385/N385,G385/O385)&gt;[1]CRITERIOS!$G$163),"MTO",IF(IF(O385="",G385/N385,G385/O385)&lt;[1]CRITERIOS!$H$161,"MTS","MTOS"))))</f>
        <v>#N/A</v>
      </c>
      <c r="T385" s="33" t="e">
        <f>IF(F385="DV","MTO",IF(OR(AND($N385=0,O385=""),$F385/$J385&gt;[1]CRITERIOS!$G$170,$F385="DV"),"MTO",IF($F385/$J385&lt;[1]CRITERIOS!$H$168,"MTS","MTOS")))</f>
        <v>#N/A</v>
      </c>
      <c r="V385" s="34" t="e">
        <f t="shared" si="19"/>
        <v>#N/A</v>
      </c>
      <c r="X385" s="34" t="e">
        <f t="shared" si="17"/>
        <v>#N/A</v>
      </c>
      <c r="Y385" s="34" t="e">
        <f t="shared" si="18"/>
        <v>#N/A</v>
      </c>
      <c r="Z385" s="34" t="e">
        <f>IF($R385="MTO",
0,
($H385+$K385*($E385/[1]CRITERIOS!$M$16))/[1]CRITERIOS!$X$48)</f>
        <v>#N/A</v>
      </c>
      <c r="AA385" s="34" t="e">
        <f>ROUNDUP(($Y385/_xlfn.XLOOKUP($A385,'[1]DATOS PBI Artículos'!$A$4:$A$4,'[1]DATOS PBI Artículos'!$Z$4:$Z$4))/_xlfn.XLOOKUP(_xlfn.XLOOKUP($A385,'[1]DATOS PBI Artículos'!$A$4:$A$4,'[1]DATOS PBI Artículos'!$Y$4:$Y$4),[1]CRITERIOS!$P$79:$P$123,[1]CRITERIOS!$S$79:$S$123,),0)</f>
        <v>#N/A</v>
      </c>
      <c r="AB385" s="33" t="e">
        <f t="array" ref="AB385">IF((E385+V385-_xlfn.XLOOKUP(A385,'[1]DATOS PBI Artículos'!$A$4:$A$4,'[1]DATOS PBI Artículos'!$W$4:$W$4))/N385&gt;ROUNDUP([1]CRITERIOS!$M$16/(IF(COUNTIF([1]CRITERIOS!$BG$11:$BG$201,L385)&gt;=1,_xlfn.XLOOKUP(ARTÍCULOS!L385,[1]CRITERIOS!$BG$11:$BG$201,[1]CRITERIOS!$BJ$11:$BJ$201),_xlfn.XLOOKUP(ARTÍCULOS!C385,[1]CRITERIOS!$K$25:$K$42,[1]CRITERIOS!$M$25:$M$42))),0),ROUNDUP([1]CRITERIOS!$M$16/(IF(COUNTIF([1]CRITERIOS!$BG$11:$BG$201,L385)&gt;=1,_xlfn.XLOOKUP(ARTÍCULOS!L385,[1]CRITERIOS!$BG$11:$BG$201:#REF!,[1]CRITERIOS!$BJ$11:$BJ$201),_xlfn.XLOOKUP(ARTÍCULOS!C385,[1]CRITERIOS!$K$25:$K$42,[1]CRITERIOS!$M$25:$M$42))),0),(E385+V385-_xlfn.XLOOKUP(A385,'[1]DATOS PBI Artículos'!$A$4:$A$4,'[1]DATOS PBI Artículos'!$W$4:$W$4))/N385)</f>
        <v>#N/A</v>
      </c>
      <c r="AC385" s="33" t="e">
        <f>IF(N385=0,"",(ROUNDUP((N385/2)/(_xlfn.XLOOKUP(A385,'[1]DATOS PBI Artículos'!$A$4:$A$4,'[1]DATOS PBI Artículos'!$Z$4:$Z$4)*_xlfn.XLOOKUP(_xlfn.XLOOKUP(A385,'[1]DATOS PBI Artículos'!$A$4:$A$4,'[1]DATOS PBI Artículos'!$Y$4:$Y$4),[1]CRITERIOS!$P$79:$P$123,[1]CRITERIOS!$S$79:$S$123)),0)*[1]CRITERIOS!$M$80*([1]CRITERIOS!$M$110/[1]CRITERIOS!$M$86)+(_xlfn.XLOOKUP(A385,'[1]DATOS PBI Artículos'!$A$4:$A$4,'[1]DATOS PBI Artículos'!$AA$4:$AA$4)*([1]CRITERIOS!$M$95+[1]CRITERIOS!$M$98)))/N385)</f>
        <v>#N/A</v>
      </c>
      <c r="AD385" s="33" t="e">
        <f>IF(N385=0,"",(ROUNDUP((N385/2)/(_xlfn.XLOOKUP(A385,'[1]DATOS PBI Artículos'!$A$4:$A$4,'[1]DATOS PBI Artículos'!$Z$4:$Z$4)*_xlfn.XLOOKUP(_xlfn.XLOOKUP(A385,'[1]DATOS PBI Artículos'!$A$4:$A$4,'[1]DATOS PBI Artículos'!$Y$4:$Y$4),[1]CRITERIOS!$P$79:$P$123,[1]CRITERIOS!$S$79:$S$123)),0)*[1]CRITERIOS!$M$80*([1]CRITERIOS!$M$89*[1]CRITERIOS!$M$92)+((_xlfn.XLOOKUP(A385,'[1]DATOS PBI Artículos'!$A$4:$A$4,'[1]DATOS PBI Artículos'!$AA$4:$AA$4)/2)*([1]CRITERIOS!$M$95+[1]CRITERIOS!$M$98)))/N385)</f>
        <v>#N/A</v>
      </c>
      <c r="AE385" s="39" t="e">
        <f>IF($R385="MTO","",
IF($H385=0,ROUNDUP(((_xlfn.XLOOKUP($A385,'[1]DATOS PBI Artículos'!$A:$A,'[1]DATOS PBI Artículos'!$AL:$AL))/(_xlfn.XLOOKUP($AF$1,[1]CRITERIOS!$S$16:$S$39,[1]CRITERIOS!$Y$16:$Y$39))*$J385+$Z385)/$G385,0)*$G385,
((_xlfn.XLOOKUP($A385,'[1]DATOS PBI Artículos'!$A:$A,'[1]DATOS PBI Artículos'!$AL:$AL))/(_xlfn.XLOOKUP($AF$1,[1]CRITERIOS!$S$16:$S$39,[1]CRITERIOS!$Y$16:$Y$39))*$J385+$Z385)))</f>
        <v>#N/A</v>
      </c>
      <c r="AG385" s="39" t="e">
        <f>IF($R385="MTO","",
IF($H385=0,ROUNDUP(((_xlfn.XLOOKUP($A385,'[1]DATOS PBI Artículos'!$A:$A,'[1]DATOS PBI Artículos'!$AM:$AM))/(_xlfn.XLOOKUP($AH$1,[1]CRITERIOS!$S$16:$S$39,[1]CRITERIOS!$Y$16:$Y$39))*$J385+$Z385)/$G385,0)*$G385,
((_xlfn.XLOOKUP($A385,'[1]DATOS PBI Artículos'!$A:$A,'[1]DATOS PBI Artículos'!$AM:$AM))/(_xlfn.XLOOKUP($AH$1,[1]CRITERIOS!$S$16:$S$39,[1]CRITERIOS!$Y$16:$Y$39))*$J385+$Z385)))</f>
        <v>#N/A</v>
      </c>
      <c r="AI385" s="39" t="e">
        <f>IF($R385="MTO","",
IF($H385=0,ROUNDUP(((_xlfn.XLOOKUP($A385,'[1]DATOS PBI Artículos'!$A:$A,'[1]DATOS PBI Artículos'!$AN:$AN))/(_xlfn.XLOOKUP($AJ$1,[1]CRITERIOS!$S$16:$S$39,[1]CRITERIOS!$Y$16:$Y$39))*$J385+$Z385)/$G385,0)*$G385,
((_xlfn.XLOOKUP($A385,'[1]DATOS PBI Artículos'!$A:$A,'[1]DATOS PBI Artículos'!$AN:$AN))/(_xlfn.XLOOKUP($AJ$1,[1]CRITERIOS!$S$16:$S$39,[1]CRITERIOS!$Y$16:$Y$39))*$J385+$Z385)))</f>
        <v>#N/A</v>
      </c>
      <c r="AK385" s="39" t="e">
        <f>IF($R385="MTO","",
IF($H385=0,ROUNDUP(((_xlfn.XLOOKUP($A385,'[1]DATOS PBI Artículos'!$A:$A,'[1]DATOS PBI Artículos'!$AO:$AO))/(_xlfn.XLOOKUP($AL$1,[1]CRITERIOS!$S$16:$S$39,[1]CRITERIOS!$Y$16:$Y$39))*$J385+$Z385)/$G385,0)*$G385,
((_xlfn.XLOOKUP($A385,'[1]DATOS PBI Artículos'!$A:$A,'[1]DATOS PBI Artículos'!$AO:$AO))/(_xlfn.XLOOKUP($AL$1,[1]CRITERIOS!$S$16:$S$39,[1]CRITERIOS!$Y$16:$Y$39))*$J385+$Z385)))</f>
        <v>#N/A</v>
      </c>
    </row>
    <row r="386" spans="1:37" ht="25.8" hidden="1" x14ac:dyDescent="0.4">
      <c r="A386" s="41"/>
      <c r="B386" s="33">
        <f>_xlfn.XLOOKUP($A386,'[1]DATOS PBI Artículos'!A:A,'[1]DATOS PBI Artículos'!B:B)</f>
        <v>0</v>
      </c>
      <c r="C386" s="33">
        <f>_xlfn.XLOOKUP($A386,'[1]DATOS PBI Artículos'!A:A,'[1]DATOS PBI Artículos'!C:C)</f>
        <v>0</v>
      </c>
      <c r="D386" s="33">
        <f>_xlfn.XLOOKUP(A386,'[1]DATOS PBI Artículos'!A:A,'[1]DATOS PBI Artículos'!T:T)</f>
        <v>0</v>
      </c>
      <c r="E386" s="34">
        <f>IF(_xlfn.XLOOKUP($A386,'[1]DATOS PBI Artículos'!A:A,'[1]DATOS PBI Artículos'!AK:AK)="",_xlfn.XLOOKUP($A386,'[1]DATOS PBI Artículos'!A:A,'[1]DATOS PBI Artículos'!AJ:AJ),_xlfn.XLOOKUP($A386,'[1]DATOS PBI Artículos'!A:A,'[1]DATOS PBI Artículos'!AK:AK))</f>
        <v>0</v>
      </c>
      <c r="F386" s="35">
        <f>_xlfn.XLOOKUP($A386,'[1]DATOS PBI Artículos'!A:A,'[1]DATOS PBI Artículos'!AP:AP)</f>
        <v>0</v>
      </c>
      <c r="G386" s="34">
        <f>_xlfn.XLOOKUP($A386,'[1]DATOS PBI Artículos'!A:A,'[1]DATOS PBI Artículos'!AR:AR)</f>
        <v>0</v>
      </c>
      <c r="H386" s="34">
        <f>_xlfn.XLOOKUP($A386,'[1]DATOS PBI Artículos'!A:A,'[1]DATOS PBI Artículos'!AT:AT)</f>
        <v>0</v>
      </c>
      <c r="I386" s="34">
        <f>_xlfn.XLOOKUP($A386,'[1]DATOS PBI Artículos'!A:A,'[1]DATOS PBI Artículos'!AS:AS)</f>
        <v>0</v>
      </c>
      <c r="J386" s="35">
        <f>IF(COUNTIF([1]CRITERIOS!$F$179:$F$199,$A386)&gt;=1,
 IF(O386&lt;&gt;"",
    (O386/_xlfn.XLOOKUP(CONCATENATE(A386,L386),[1]MÁQUINAS!A:A,[1]MÁQUINAS!D:D))/24,
    (N386/_xlfn.XLOOKUP(CONCATENATE(A386,L386),[1]MÁQUINAS!A:A,[1]MÁQUINAS!D:D))/24),
  _xlfn.XLOOKUP($A386,'[1]DATOS PBI Artículos'!A:A,'[1]DATOS PBI Artículos'!AU:AU))</f>
        <v>0</v>
      </c>
      <c r="K386" s="36">
        <f>_xlfn.XLOOKUP($A386,'[1]DATOS PBI Artículos'!A:A,'[1]DATOS PBI Artículos'!AV:AV)</f>
        <v>0</v>
      </c>
      <c r="L386" s="33">
        <f>_xlfn.XLOOKUP(A386,[1]MÁQUINAS!B:B,[1]MÁQUINAS!C:C)</f>
        <v>0</v>
      </c>
      <c r="M386" s="34">
        <f t="array" ref="M386">_xlfn.XLOOKUP(A386,'[1]DATOS PBI Artículos'!A:A,'[1]DATOS PBI Artículos'!AX:$AX)</f>
        <v>0</v>
      </c>
      <c r="N386" s="37" t="e">
        <f>IF(I386="DV",
E386,
IF(COUNTIF([1]CRITERIOS!$I$179:$I$199,$A386)&gt;=1,
_xlfn.XLOOKUP($A386,[1]CRITERIOS!$I$179:$I$199,[1]CRITERIOS!$J$179:$J$199),
IF(COUNTIF([1]CRITERIOS!$L$179:$L$199,$A386)&gt;=1,
_xlfn.CEILING.MATH(IF($M386&gt;$E386,
$E386,
IF($M386&lt;$E386/ROUNDDOWN([1]CRITERIOS!$M$16/_xlfn.XLOOKUP($C386,[1]CRITERIOS!$K$25:$K$42,[1]CRITERIOS!$M$25:$M$42),
1),
E386/ROUNDDOWN([1]CRITERIOS!$M$16/_xlfn.XLOOKUP($C386,[1]CRITERIOS!$K$25:$K$42,[1]CRITERIOS!$M$25:$M$42),
1),
$M386)),
_xlfn.XLOOKUP($A386,[1]CRITERIOS!$L$179:$L$200,[1]CRITERIOS!$M$179:$M$200)),
_xlfn.CEILING.MATH(IF($M386&gt;$E386,
$E386,
IF($M386&lt;$E386/ROUNDDOWN([1]CRITERIOS!$M$16/_xlfn.XLOOKUP($C386,[1]CRITERIOS!$K$25:$K$42,[1]CRITERIOS!$M$25:$M$42),
1),
E386/ROUNDDOWN([1]CRITERIOS!$M$16/_xlfn.XLOOKUP($C386,[1]CRITERIOS!$K$25:$K$42,[1]CRITERIOS!$M$25:$M$42),
1),
$M386)),_xlfn.XLOOKUP(A386,'[1]DATOS PBI Artículos'!A:A,'[1]DATOS PBI Artículos'!Z:Z
)))))</f>
        <v>#N/A</v>
      </c>
      <c r="Q386" s="38" t="e">
        <f>IF(AND(O386="",N386=0),
0,
   IF(COUNTIF([1]CRITERIOS!$F$179:$F$199,$A386)&gt;=1,
   1,
   IF(R386="MTO",
      $D386,
      ROUNDUP(
                    IF(($E386-SUMIF('[1]DATOS PBI Artículos'!A:A,A386,'[1]DATOS PBI Artículos'!X:X)+($V386-_xlfn.XLOOKUP(A386,'[1]DATOS PBI Artículos'!A:A,'[1]DATOS PBI Artículos'!W:W)))&lt;0,
                    0,
                    IF(($E386-SUMIF('[1]DATOS PBI Artículos'!A:A,A386,'[1]DATOS PBI Artículos'!X:X)+$V386-_xlfn.XLOOKUP($A386,'[1]DATOS PBI Artículos'!A:A,'[1]DATOS PBI Artículos'!W:W))/IF($O386="",$N386,$O386)&gt;ROUNDUP([1]CRITERIOS!$M$16/(IF(COUNTIF([1]CRITERIOS!$BG$11:$BG$201,L386)&gt;=1,_xlfn.XLOOKUP($C386,[1]CRITERIOS!$K$25:$K$42,[1]CRITERIOS!$M$25:$M$42),_xlfn.XLOOKUP($C386,[1]CRITERIOS!$K$25:$K$42,[1]CRITERIOS!$M$25:$M$42))),0),
                    ROUNDUP([1]CRITERIOS!$M$16/(IF(COUNTIF([1]CRITERIOS!$BG$11:$BG$201,$L386)&gt;=1,_xlfn.XLOOKUP($C386,[1]CRITERIOS!$K$25:$K$42,[1]CRITERIOS!$M$25:$M$42),_xlfn.XLOOKUP($C386,[1]CRITERIOS!$K$25:$K$42,[1]CRITERIOS!$M$25:$M$42))),0),
                    (E386+V386-SUMIF('[1]DATOS PBI Artículos'!A:A,A386,'[1]DATOS PBI Artículos'!X:X)-_xlfn.XLOOKUP(A386,'[1]DATOS PBI Artículos'!A:A,'[1]DATOS PBI Artículos'!W:W))/IF($O386="",$N386,$O386))),0))))</f>
        <v>#N/A</v>
      </c>
      <c r="R386" s="33" t="e">
        <f>IF(U386&lt;&gt;"",U386,IF(F386="DV","MTO",IF(N386=0,"MTO",_xlfn.XLOOKUP(CONCATENATE(S386,T386),[1]CRITERIOS!$K$160:$K$168,[1]CRITERIOS!$N$160:$N$168))))</f>
        <v>#N/A</v>
      </c>
      <c r="S386" s="33" t="e">
        <f>IF(G386="DV","MTO",IF(N386=0,"MTO",IF(OR(AND(N386=0,O386=""),IF(O386="",G386/N386,G386/O386)&gt;[1]CRITERIOS!$G$163),"MTO",IF(IF(O386="",G386/N386,G386/O386)&lt;[1]CRITERIOS!$H$161,"MTS","MTOS"))))</f>
        <v>#N/A</v>
      </c>
      <c r="T386" s="33" t="e">
        <f>IF(F386="DV","MTO",IF(OR(AND($N386=0,O386=""),$F386/$J386&gt;[1]CRITERIOS!$G$170,$F386="DV"),"MTO",IF($F386/$J386&lt;[1]CRITERIOS!$H$168,"MTS","MTOS")))</f>
        <v>#N/A</v>
      </c>
      <c r="V386" s="34" t="e">
        <f t="shared" si="19"/>
        <v>#N/A</v>
      </c>
      <c r="X386" s="34" t="e">
        <f t="shared" si="17"/>
        <v>#N/A</v>
      </c>
      <c r="Y386" s="34" t="e">
        <f t="shared" si="18"/>
        <v>#N/A</v>
      </c>
      <c r="Z386" s="34" t="e">
        <f>IF($R386="MTO",
0,
($H386+$K386*($E386/[1]CRITERIOS!$M$16))/[1]CRITERIOS!$X$48)</f>
        <v>#N/A</v>
      </c>
      <c r="AA386" s="34" t="e">
        <f>ROUNDUP(($Y386/_xlfn.XLOOKUP($A386,'[1]DATOS PBI Artículos'!$A$4:$A$4,'[1]DATOS PBI Artículos'!$Z$4:$Z$4))/_xlfn.XLOOKUP(_xlfn.XLOOKUP($A386,'[1]DATOS PBI Artículos'!$A$4:$A$4,'[1]DATOS PBI Artículos'!$Y$4:$Y$4),[1]CRITERIOS!$P$79:$P$123,[1]CRITERIOS!$S$79:$S$123,),0)</f>
        <v>#N/A</v>
      </c>
      <c r="AB386" s="33" t="e">
        <f t="array" ref="AB386">IF((E386+V386-_xlfn.XLOOKUP(A386,'[1]DATOS PBI Artículos'!$A$4:$A$4,'[1]DATOS PBI Artículos'!$W$4:$W$4))/N386&gt;ROUNDUP([1]CRITERIOS!$M$16/(IF(COUNTIF([1]CRITERIOS!$BG$11:$BG$201,L386)&gt;=1,_xlfn.XLOOKUP(ARTÍCULOS!L386,[1]CRITERIOS!$BG$11:$BG$201,[1]CRITERIOS!$BJ$11:$BJ$201),_xlfn.XLOOKUP(ARTÍCULOS!C386,[1]CRITERIOS!$K$25:$K$42,[1]CRITERIOS!$M$25:$M$42))),0),ROUNDUP([1]CRITERIOS!$M$16/(IF(COUNTIF([1]CRITERIOS!$BG$11:$BG$201,L386)&gt;=1,_xlfn.XLOOKUP(ARTÍCULOS!L386,[1]CRITERIOS!$BG$11:$BG$201:#REF!,[1]CRITERIOS!$BJ$11:$BJ$201),_xlfn.XLOOKUP(ARTÍCULOS!C386,[1]CRITERIOS!$K$25:$K$42,[1]CRITERIOS!$M$25:$M$42))),0),(E386+V386-_xlfn.XLOOKUP(A386,'[1]DATOS PBI Artículos'!$A$4:$A$4,'[1]DATOS PBI Artículos'!$W$4:$W$4))/N386)</f>
        <v>#N/A</v>
      </c>
      <c r="AC386" s="33" t="e">
        <f>IF(N386=0,"",(ROUNDUP((N386/2)/(_xlfn.XLOOKUP(A386,'[1]DATOS PBI Artículos'!$A$4:$A$4,'[1]DATOS PBI Artículos'!$Z$4:$Z$4)*_xlfn.XLOOKUP(_xlfn.XLOOKUP(A386,'[1]DATOS PBI Artículos'!$A$4:$A$4,'[1]DATOS PBI Artículos'!$Y$4:$Y$4),[1]CRITERIOS!$P$79:$P$123,[1]CRITERIOS!$S$79:$S$123)),0)*[1]CRITERIOS!$M$80*([1]CRITERIOS!$M$110/[1]CRITERIOS!$M$86)+(_xlfn.XLOOKUP(A386,'[1]DATOS PBI Artículos'!$A$4:$A$4,'[1]DATOS PBI Artículos'!$AA$4:$AA$4)*([1]CRITERIOS!$M$95+[1]CRITERIOS!$M$98)))/N386)</f>
        <v>#N/A</v>
      </c>
      <c r="AD386" s="33" t="e">
        <f>IF(N386=0,"",(ROUNDUP((N386/2)/(_xlfn.XLOOKUP(A386,'[1]DATOS PBI Artículos'!$A$4:$A$4,'[1]DATOS PBI Artículos'!$Z$4:$Z$4)*_xlfn.XLOOKUP(_xlfn.XLOOKUP(A386,'[1]DATOS PBI Artículos'!$A$4:$A$4,'[1]DATOS PBI Artículos'!$Y$4:$Y$4),[1]CRITERIOS!$P$79:$P$123,[1]CRITERIOS!$S$79:$S$123)),0)*[1]CRITERIOS!$M$80*([1]CRITERIOS!$M$89*[1]CRITERIOS!$M$92)+((_xlfn.XLOOKUP(A386,'[1]DATOS PBI Artículos'!$A$4:$A$4,'[1]DATOS PBI Artículos'!$AA$4:$AA$4)/2)*([1]CRITERIOS!$M$95+[1]CRITERIOS!$M$98)))/N386)</f>
        <v>#N/A</v>
      </c>
      <c r="AE386" s="39" t="e">
        <f>IF($R386="MTO","",
IF($H386=0,ROUNDUP(((_xlfn.XLOOKUP($A386,'[1]DATOS PBI Artículos'!$A:$A,'[1]DATOS PBI Artículos'!$AL:$AL))/(_xlfn.XLOOKUP($AF$1,[1]CRITERIOS!$S$16:$S$39,[1]CRITERIOS!$Y$16:$Y$39))*$J386+$Z386)/$G386,0)*$G386,
((_xlfn.XLOOKUP($A386,'[1]DATOS PBI Artículos'!$A:$A,'[1]DATOS PBI Artículos'!$AL:$AL))/(_xlfn.XLOOKUP($AF$1,[1]CRITERIOS!$S$16:$S$39,[1]CRITERIOS!$Y$16:$Y$39))*$J386+$Z386)))</f>
        <v>#N/A</v>
      </c>
      <c r="AG386" s="39" t="e">
        <f>IF($R386="MTO","",
IF($H386=0,ROUNDUP(((_xlfn.XLOOKUP($A386,'[1]DATOS PBI Artículos'!$A:$A,'[1]DATOS PBI Artículos'!$AM:$AM))/(_xlfn.XLOOKUP($AH$1,[1]CRITERIOS!$S$16:$S$39,[1]CRITERIOS!$Y$16:$Y$39))*$J386+$Z386)/$G386,0)*$G386,
((_xlfn.XLOOKUP($A386,'[1]DATOS PBI Artículos'!$A:$A,'[1]DATOS PBI Artículos'!$AM:$AM))/(_xlfn.XLOOKUP($AH$1,[1]CRITERIOS!$S$16:$S$39,[1]CRITERIOS!$Y$16:$Y$39))*$J386+$Z386)))</f>
        <v>#N/A</v>
      </c>
      <c r="AI386" s="39" t="e">
        <f>IF($R386="MTO","",
IF($H386=0,ROUNDUP(((_xlfn.XLOOKUP($A386,'[1]DATOS PBI Artículos'!$A:$A,'[1]DATOS PBI Artículos'!$AN:$AN))/(_xlfn.XLOOKUP($AJ$1,[1]CRITERIOS!$S$16:$S$39,[1]CRITERIOS!$Y$16:$Y$39))*$J386+$Z386)/$G386,0)*$G386,
((_xlfn.XLOOKUP($A386,'[1]DATOS PBI Artículos'!$A:$A,'[1]DATOS PBI Artículos'!$AN:$AN))/(_xlfn.XLOOKUP($AJ$1,[1]CRITERIOS!$S$16:$S$39,[1]CRITERIOS!$Y$16:$Y$39))*$J386+$Z386)))</f>
        <v>#N/A</v>
      </c>
      <c r="AK386" s="39" t="e">
        <f>IF($R386="MTO","",
IF($H386=0,ROUNDUP(((_xlfn.XLOOKUP($A386,'[1]DATOS PBI Artículos'!$A:$A,'[1]DATOS PBI Artículos'!$AO:$AO))/(_xlfn.XLOOKUP($AL$1,[1]CRITERIOS!$S$16:$S$39,[1]CRITERIOS!$Y$16:$Y$39))*$J386+$Z386)/$G386,0)*$G386,
((_xlfn.XLOOKUP($A386,'[1]DATOS PBI Artículos'!$A:$A,'[1]DATOS PBI Artículos'!$AO:$AO))/(_xlfn.XLOOKUP($AL$1,[1]CRITERIOS!$S$16:$S$39,[1]CRITERIOS!$Y$16:$Y$39))*$J386+$Z386)))</f>
        <v>#N/A</v>
      </c>
    </row>
    <row r="387" spans="1:37" ht="25.8" hidden="1" x14ac:dyDescent="0.4">
      <c r="A387" s="41"/>
      <c r="B387" s="33">
        <f>_xlfn.XLOOKUP($A387,'[1]DATOS PBI Artículos'!A:A,'[1]DATOS PBI Artículos'!B:B)</f>
        <v>0</v>
      </c>
      <c r="C387" s="33">
        <f>_xlfn.XLOOKUP($A387,'[1]DATOS PBI Artículos'!A:A,'[1]DATOS PBI Artículos'!C:C)</f>
        <v>0</v>
      </c>
      <c r="D387" s="33">
        <f>_xlfn.XLOOKUP(A387,'[1]DATOS PBI Artículos'!A:A,'[1]DATOS PBI Artículos'!T:T)</f>
        <v>0</v>
      </c>
      <c r="E387" s="34">
        <f>IF(_xlfn.XLOOKUP($A387,'[1]DATOS PBI Artículos'!A:A,'[1]DATOS PBI Artículos'!AK:AK)="",_xlfn.XLOOKUP($A387,'[1]DATOS PBI Artículos'!A:A,'[1]DATOS PBI Artículos'!AJ:AJ),_xlfn.XLOOKUP($A387,'[1]DATOS PBI Artículos'!A:A,'[1]DATOS PBI Artículos'!AK:AK))</f>
        <v>0</v>
      </c>
      <c r="F387" s="35">
        <f>_xlfn.XLOOKUP($A387,'[1]DATOS PBI Artículos'!A:A,'[1]DATOS PBI Artículos'!AP:AP)</f>
        <v>0</v>
      </c>
      <c r="G387" s="34">
        <f>_xlfn.XLOOKUP($A387,'[1]DATOS PBI Artículos'!A:A,'[1]DATOS PBI Artículos'!AR:AR)</f>
        <v>0</v>
      </c>
      <c r="H387" s="34">
        <f>_xlfn.XLOOKUP($A387,'[1]DATOS PBI Artículos'!A:A,'[1]DATOS PBI Artículos'!AT:AT)</f>
        <v>0</v>
      </c>
      <c r="I387" s="34">
        <f>_xlfn.XLOOKUP($A387,'[1]DATOS PBI Artículos'!A:A,'[1]DATOS PBI Artículos'!AS:AS)</f>
        <v>0</v>
      </c>
      <c r="J387" s="35">
        <f>IF(COUNTIF([1]CRITERIOS!$F$179:$F$199,$A387)&gt;=1,
 IF(O387&lt;&gt;"",
    (O387/_xlfn.XLOOKUP(CONCATENATE(A387,L387),[1]MÁQUINAS!A:A,[1]MÁQUINAS!D:D))/24,
    (N387/_xlfn.XLOOKUP(CONCATENATE(A387,L387),[1]MÁQUINAS!A:A,[1]MÁQUINAS!D:D))/24),
  _xlfn.XLOOKUP($A387,'[1]DATOS PBI Artículos'!A:A,'[1]DATOS PBI Artículos'!AU:AU))</f>
        <v>0</v>
      </c>
      <c r="K387" s="36">
        <f>_xlfn.XLOOKUP($A387,'[1]DATOS PBI Artículos'!A:A,'[1]DATOS PBI Artículos'!AV:AV)</f>
        <v>0</v>
      </c>
      <c r="L387" s="33">
        <f>_xlfn.XLOOKUP(A387,[1]MÁQUINAS!B:B,[1]MÁQUINAS!C:C)</f>
        <v>0</v>
      </c>
      <c r="M387" s="34">
        <f t="array" ref="M387">_xlfn.XLOOKUP(A387,'[1]DATOS PBI Artículos'!A:A,'[1]DATOS PBI Artículos'!AX:$AX)</f>
        <v>0</v>
      </c>
      <c r="N387" s="37" t="e">
        <f>IF(I387="DV",
E387,
IF(COUNTIF([1]CRITERIOS!$I$179:$I$199,$A387)&gt;=1,
_xlfn.XLOOKUP($A387,[1]CRITERIOS!$I$179:$I$199,[1]CRITERIOS!$J$179:$J$199),
IF(COUNTIF([1]CRITERIOS!$L$179:$L$199,$A387)&gt;=1,
_xlfn.CEILING.MATH(IF($M387&gt;$E387,
$E387,
IF($M387&lt;$E387/ROUNDDOWN([1]CRITERIOS!$M$16/_xlfn.XLOOKUP($C387,[1]CRITERIOS!$K$25:$K$42,[1]CRITERIOS!$M$25:$M$42),
1),
E387/ROUNDDOWN([1]CRITERIOS!$M$16/_xlfn.XLOOKUP($C387,[1]CRITERIOS!$K$25:$K$42,[1]CRITERIOS!$M$25:$M$42),
1),
$M387)),
_xlfn.XLOOKUP($A387,[1]CRITERIOS!$L$179:$L$200,[1]CRITERIOS!$M$179:$M$200)),
_xlfn.CEILING.MATH(IF($M387&gt;$E387,
$E387,
IF($M387&lt;$E387/ROUNDDOWN([1]CRITERIOS!$M$16/_xlfn.XLOOKUP($C387,[1]CRITERIOS!$K$25:$K$42,[1]CRITERIOS!$M$25:$M$42),
1),
E387/ROUNDDOWN([1]CRITERIOS!$M$16/_xlfn.XLOOKUP($C387,[1]CRITERIOS!$K$25:$K$42,[1]CRITERIOS!$M$25:$M$42),
1),
$M387)),_xlfn.XLOOKUP(A387,'[1]DATOS PBI Artículos'!A:A,'[1]DATOS PBI Artículos'!Z:Z
)))))</f>
        <v>#N/A</v>
      </c>
      <c r="Q387" s="38" t="e">
        <f>IF(AND(O387="",N387=0),
0,
   IF(COUNTIF([1]CRITERIOS!$F$179:$F$199,$A387)&gt;=1,
   1,
   IF(R387="MTO",
      $D387,
      ROUNDUP(
                    IF(($E387-SUMIF('[1]DATOS PBI Artículos'!A:A,A387,'[1]DATOS PBI Artículos'!X:X)+($V387-_xlfn.XLOOKUP(A387,'[1]DATOS PBI Artículos'!A:A,'[1]DATOS PBI Artículos'!W:W)))&lt;0,
                    0,
                    IF(($E387-SUMIF('[1]DATOS PBI Artículos'!A:A,A387,'[1]DATOS PBI Artículos'!X:X)+$V387-_xlfn.XLOOKUP($A387,'[1]DATOS PBI Artículos'!A:A,'[1]DATOS PBI Artículos'!W:W))/IF($O387="",$N387,$O387)&gt;ROUNDUP([1]CRITERIOS!$M$16/(IF(COUNTIF([1]CRITERIOS!$BG$11:$BG$201,L387)&gt;=1,_xlfn.XLOOKUP($C387,[1]CRITERIOS!$K$25:$K$42,[1]CRITERIOS!$M$25:$M$42),_xlfn.XLOOKUP($C387,[1]CRITERIOS!$K$25:$K$42,[1]CRITERIOS!$M$25:$M$42))),0),
                    ROUNDUP([1]CRITERIOS!$M$16/(IF(COUNTIF([1]CRITERIOS!$BG$11:$BG$201,$L387)&gt;=1,_xlfn.XLOOKUP($C387,[1]CRITERIOS!$K$25:$K$42,[1]CRITERIOS!$M$25:$M$42),_xlfn.XLOOKUP($C387,[1]CRITERIOS!$K$25:$K$42,[1]CRITERIOS!$M$25:$M$42))),0),
                    (E387+V387-SUMIF('[1]DATOS PBI Artículos'!A:A,A387,'[1]DATOS PBI Artículos'!X:X)-_xlfn.XLOOKUP(A387,'[1]DATOS PBI Artículos'!A:A,'[1]DATOS PBI Artículos'!W:W))/IF($O387="",$N387,$O387))),0))))</f>
        <v>#N/A</v>
      </c>
      <c r="R387" s="33" t="e">
        <f>IF(U387&lt;&gt;"",U387,IF(F387="DV","MTO",IF(N387=0,"MTO",_xlfn.XLOOKUP(CONCATENATE(S387,T387),[1]CRITERIOS!$K$160:$K$168,[1]CRITERIOS!$N$160:$N$168))))</f>
        <v>#N/A</v>
      </c>
      <c r="S387" s="33" t="e">
        <f>IF(G387="DV","MTO",IF(N387=0,"MTO",IF(OR(AND(N387=0,O387=""),IF(O387="",G387/N387,G387/O387)&gt;[1]CRITERIOS!$G$163),"MTO",IF(IF(O387="",G387/N387,G387/O387)&lt;[1]CRITERIOS!$H$161,"MTS","MTOS"))))</f>
        <v>#N/A</v>
      </c>
      <c r="T387" s="33" t="e">
        <f>IF(F387="DV","MTO",IF(OR(AND($N387=0,O387=""),$F387/$J387&gt;[1]CRITERIOS!$G$170,$F387="DV"),"MTO",IF($F387/$J387&lt;[1]CRITERIOS!$H$168,"MTS","MTOS")))</f>
        <v>#N/A</v>
      </c>
      <c r="V387" s="34" t="e">
        <f t="shared" si="19"/>
        <v>#N/A</v>
      </c>
      <c r="X387" s="34" t="e">
        <f t="shared" ref="X387:X450" si="20">IF(R387="MTO",0,V387+N387)</f>
        <v>#N/A</v>
      </c>
      <c r="Y387" s="34" t="e">
        <f t="shared" ref="Y387:Y450" si="21">IF(R387="MTO",0,Z387+(N387/2))</f>
        <v>#N/A</v>
      </c>
      <c r="Z387" s="34" t="e">
        <f>IF($R387="MTO",
0,
($H387+$K387*($E387/[1]CRITERIOS!$M$16))/[1]CRITERIOS!$X$48)</f>
        <v>#N/A</v>
      </c>
      <c r="AA387" s="34" t="e">
        <f>ROUNDUP(($Y387/_xlfn.XLOOKUP($A387,'[1]DATOS PBI Artículos'!$A$4:$A$4,'[1]DATOS PBI Artículos'!$Z$4:$Z$4))/_xlfn.XLOOKUP(_xlfn.XLOOKUP($A387,'[1]DATOS PBI Artículos'!$A$4:$A$4,'[1]DATOS PBI Artículos'!$Y$4:$Y$4),[1]CRITERIOS!$P$79:$P$123,[1]CRITERIOS!$S$79:$S$123,),0)</f>
        <v>#N/A</v>
      </c>
      <c r="AB387" s="33" t="e">
        <f t="array" ref="AB387">IF((E387+V387-_xlfn.XLOOKUP(A387,'[1]DATOS PBI Artículos'!$A$4:$A$4,'[1]DATOS PBI Artículos'!$W$4:$W$4))/N387&gt;ROUNDUP([1]CRITERIOS!$M$16/(IF(COUNTIF([1]CRITERIOS!$BG$11:$BG$201,L387)&gt;=1,_xlfn.XLOOKUP(ARTÍCULOS!L387,[1]CRITERIOS!$BG$11:$BG$201,[1]CRITERIOS!$BJ$11:$BJ$201),_xlfn.XLOOKUP(ARTÍCULOS!C387,[1]CRITERIOS!$K$25:$K$42,[1]CRITERIOS!$M$25:$M$42))),0),ROUNDUP([1]CRITERIOS!$M$16/(IF(COUNTIF([1]CRITERIOS!$BG$11:$BG$201,L387)&gt;=1,_xlfn.XLOOKUP(ARTÍCULOS!L387,[1]CRITERIOS!$BG$11:$BG$201:#REF!,[1]CRITERIOS!$BJ$11:$BJ$201),_xlfn.XLOOKUP(ARTÍCULOS!C387,[1]CRITERIOS!$K$25:$K$42,[1]CRITERIOS!$M$25:$M$42))),0),(E387+V387-_xlfn.XLOOKUP(A387,'[1]DATOS PBI Artículos'!$A$4:$A$4,'[1]DATOS PBI Artículos'!$W$4:$W$4))/N387)</f>
        <v>#N/A</v>
      </c>
      <c r="AC387" s="33" t="e">
        <f>IF(N387=0,"",(ROUNDUP((N387/2)/(_xlfn.XLOOKUP(A387,'[1]DATOS PBI Artículos'!$A$4:$A$4,'[1]DATOS PBI Artículos'!$Z$4:$Z$4)*_xlfn.XLOOKUP(_xlfn.XLOOKUP(A387,'[1]DATOS PBI Artículos'!$A$4:$A$4,'[1]DATOS PBI Artículos'!$Y$4:$Y$4),[1]CRITERIOS!$P$79:$P$123,[1]CRITERIOS!$S$79:$S$123)),0)*[1]CRITERIOS!$M$80*([1]CRITERIOS!$M$110/[1]CRITERIOS!$M$86)+(_xlfn.XLOOKUP(A387,'[1]DATOS PBI Artículos'!$A$4:$A$4,'[1]DATOS PBI Artículos'!$AA$4:$AA$4)*([1]CRITERIOS!$M$95+[1]CRITERIOS!$M$98)))/N387)</f>
        <v>#N/A</v>
      </c>
      <c r="AD387" s="33" t="e">
        <f>IF(N387=0,"",(ROUNDUP((N387/2)/(_xlfn.XLOOKUP(A387,'[1]DATOS PBI Artículos'!$A$4:$A$4,'[1]DATOS PBI Artículos'!$Z$4:$Z$4)*_xlfn.XLOOKUP(_xlfn.XLOOKUP(A387,'[1]DATOS PBI Artículos'!$A$4:$A$4,'[1]DATOS PBI Artículos'!$Y$4:$Y$4),[1]CRITERIOS!$P$79:$P$123,[1]CRITERIOS!$S$79:$S$123)),0)*[1]CRITERIOS!$M$80*([1]CRITERIOS!$M$89*[1]CRITERIOS!$M$92)+((_xlfn.XLOOKUP(A387,'[1]DATOS PBI Artículos'!$A$4:$A$4,'[1]DATOS PBI Artículos'!$AA$4:$AA$4)/2)*([1]CRITERIOS!$M$95+[1]CRITERIOS!$M$98)))/N387)</f>
        <v>#N/A</v>
      </c>
      <c r="AE387" s="39" t="e">
        <f>IF($R387="MTO","",
IF($H387=0,ROUNDUP(((_xlfn.XLOOKUP($A387,'[1]DATOS PBI Artículos'!$A:$A,'[1]DATOS PBI Artículos'!$AL:$AL))/(_xlfn.XLOOKUP($AF$1,[1]CRITERIOS!$S$16:$S$39,[1]CRITERIOS!$Y$16:$Y$39))*$J387+$Z387)/$G387,0)*$G387,
((_xlfn.XLOOKUP($A387,'[1]DATOS PBI Artículos'!$A:$A,'[1]DATOS PBI Artículos'!$AL:$AL))/(_xlfn.XLOOKUP($AF$1,[1]CRITERIOS!$S$16:$S$39,[1]CRITERIOS!$Y$16:$Y$39))*$J387+$Z387)))</f>
        <v>#N/A</v>
      </c>
      <c r="AG387" s="39" t="e">
        <f>IF($R387="MTO","",
IF($H387=0,ROUNDUP(((_xlfn.XLOOKUP($A387,'[1]DATOS PBI Artículos'!$A:$A,'[1]DATOS PBI Artículos'!$AM:$AM))/(_xlfn.XLOOKUP($AH$1,[1]CRITERIOS!$S$16:$S$39,[1]CRITERIOS!$Y$16:$Y$39))*$J387+$Z387)/$G387,0)*$G387,
((_xlfn.XLOOKUP($A387,'[1]DATOS PBI Artículos'!$A:$A,'[1]DATOS PBI Artículos'!$AM:$AM))/(_xlfn.XLOOKUP($AH$1,[1]CRITERIOS!$S$16:$S$39,[1]CRITERIOS!$Y$16:$Y$39))*$J387+$Z387)))</f>
        <v>#N/A</v>
      </c>
      <c r="AI387" s="39" t="e">
        <f>IF($R387="MTO","",
IF($H387=0,ROUNDUP(((_xlfn.XLOOKUP($A387,'[1]DATOS PBI Artículos'!$A:$A,'[1]DATOS PBI Artículos'!$AN:$AN))/(_xlfn.XLOOKUP($AJ$1,[1]CRITERIOS!$S$16:$S$39,[1]CRITERIOS!$Y$16:$Y$39))*$J387+$Z387)/$G387,0)*$G387,
((_xlfn.XLOOKUP($A387,'[1]DATOS PBI Artículos'!$A:$A,'[1]DATOS PBI Artículos'!$AN:$AN))/(_xlfn.XLOOKUP($AJ$1,[1]CRITERIOS!$S$16:$S$39,[1]CRITERIOS!$Y$16:$Y$39))*$J387+$Z387)))</f>
        <v>#N/A</v>
      </c>
      <c r="AK387" s="39" t="e">
        <f>IF($R387="MTO","",
IF($H387=0,ROUNDUP(((_xlfn.XLOOKUP($A387,'[1]DATOS PBI Artículos'!$A:$A,'[1]DATOS PBI Artículos'!$AO:$AO))/(_xlfn.XLOOKUP($AL$1,[1]CRITERIOS!$S$16:$S$39,[1]CRITERIOS!$Y$16:$Y$39))*$J387+$Z387)/$G387,0)*$G387,
((_xlfn.XLOOKUP($A387,'[1]DATOS PBI Artículos'!$A:$A,'[1]DATOS PBI Artículos'!$AO:$AO))/(_xlfn.XLOOKUP($AL$1,[1]CRITERIOS!$S$16:$S$39,[1]CRITERIOS!$Y$16:$Y$39))*$J387+$Z387)))</f>
        <v>#N/A</v>
      </c>
    </row>
    <row r="388" spans="1:37" ht="25.8" hidden="1" x14ac:dyDescent="0.4">
      <c r="A388" s="41"/>
      <c r="B388" s="33">
        <f>_xlfn.XLOOKUP($A388,'[1]DATOS PBI Artículos'!A:A,'[1]DATOS PBI Artículos'!B:B)</f>
        <v>0</v>
      </c>
      <c r="C388" s="33">
        <f>_xlfn.XLOOKUP($A388,'[1]DATOS PBI Artículos'!A:A,'[1]DATOS PBI Artículos'!C:C)</f>
        <v>0</v>
      </c>
      <c r="D388" s="33">
        <f>_xlfn.XLOOKUP(A388,'[1]DATOS PBI Artículos'!A:A,'[1]DATOS PBI Artículos'!T:T)</f>
        <v>0</v>
      </c>
      <c r="E388" s="34">
        <f>IF(_xlfn.XLOOKUP($A388,'[1]DATOS PBI Artículos'!A:A,'[1]DATOS PBI Artículos'!AK:AK)="",_xlfn.XLOOKUP($A388,'[1]DATOS PBI Artículos'!A:A,'[1]DATOS PBI Artículos'!AJ:AJ),_xlfn.XLOOKUP($A388,'[1]DATOS PBI Artículos'!A:A,'[1]DATOS PBI Artículos'!AK:AK))</f>
        <v>0</v>
      </c>
      <c r="F388" s="35">
        <f>_xlfn.XLOOKUP($A388,'[1]DATOS PBI Artículos'!A:A,'[1]DATOS PBI Artículos'!AP:AP)</f>
        <v>0</v>
      </c>
      <c r="G388" s="34">
        <f>_xlfn.XLOOKUP($A388,'[1]DATOS PBI Artículos'!A:A,'[1]DATOS PBI Artículos'!AR:AR)</f>
        <v>0</v>
      </c>
      <c r="H388" s="34">
        <f>_xlfn.XLOOKUP($A388,'[1]DATOS PBI Artículos'!A:A,'[1]DATOS PBI Artículos'!AT:AT)</f>
        <v>0</v>
      </c>
      <c r="I388" s="34">
        <f>_xlfn.XLOOKUP($A388,'[1]DATOS PBI Artículos'!A:A,'[1]DATOS PBI Artículos'!AS:AS)</f>
        <v>0</v>
      </c>
      <c r="J388" s="35">
        <f>IF(COUNTIF([1]CRITERIOS!$F$179:$F$199,$A388)&gt;=1,
 IF(O388&lt;&gt;"",
    (O388/_xlfn.XLOOKUP(CONCATENATE(A388,L388),[1]MÁQUINAS!A:A,[1]MÁQUINAS!D:D))/24,
    (N388/_xlfn.XLOOKUP(CONCATENATE(A388,L388),[1]MÁQUINAS!A:A,[1]MÁQUINAS!D:D))/24),
  _xlfn.XLOOKUP($A388,'[1]DATOS PBI Artículos'!A:A,'[1]DATOS PBI Artículos'!AU:AU))</f>
        <v>0</v>
      </c>
      <c r="K388" s="36">
        <f>_xlfn.XLOOKUP($A388,'[1]DATOS PBI Artículos'!A:A,'[1]DATOS PBI Artículos'!AV:AV)</f>
        <v>0</v>
      </c>
      <c r="L388" s="33">
        <f>_xlfn.XLOOKUP(A388,[1]MÁQUINAS!B:B,[1]MÁQUINAS!C:C)</f>
        <v>0</v>
      </c>
      <c r="M388" s="34">
        <f t="array" ref="M388">_xlfn.XLOOKUP(A388,'[1]DATOS PBI Artículos'!A:A,'[1]DATOS PBI Artículos'!AX:$AX)</f>
        <v>0</v>
      </c>
      <c r="N388" s="37" t="e">
        <f>IF(I388="DV",
E388,
IF(COUNTIF([1]CRITERIOS!$I$179:$I$199,$A388)&gt;=1,
_xlfn.XLOOKUP($A388,[1]CRITERIOS!$I$179:$I$199,[1]CRITERIOS!$J$179:$J$199),
IF(COUNTIF([1]CRITERIOS!$L$179:$L$199,$A388)&gt;=1,
_xlfn.CEILING.MATH(IF($M388&gt;$E388,
$E388,
IF($M388&lt;$E388/ROUNDDOWN([1]CRITERIOS!$M$16/_xlfn.XLOOKUP($C388,[1]CRITERIOS!$K$25:$K$42,[1]CRITERIOS!$M$25:$M$42),
1),
E388/ROUNDDOWN([1]CRITERIOS!$M$16/_xlfn.XLOOKUP($C388,[1]CRITERIOS!$K$25:$K$42,[1]CRITERIOS!$M$25:$M$42),
1),
$M388)),
_xlfn.XLOOKUP($A388,[1]CRITERIOS!$L$179:$L$200,[1]CRITERIOS!$M$179:$M$200)),
_xlfn.CEILING.MATH(IF($M388&gt;$E388,
$E388,
IF($M388&lt;$E388/ROUNDDOWN([1]CRITERIOS!$M$16/_xlfn.XLOOKUP($C388,[1]CRITERIOS!$K$25:$K$42,[1]CRITERIOS!$M$25:$M$42),
1),
E388/ROUNDDOWN([1]CRITERIOS!$M$16/_xlfn.XLOOKUP($C388,[1]CRITERIOS!$K$25:$K$42,[1]CRITERIOS!$M$25:$M$42),
1),
$M388)),_xlfn.XLOOKUP(A388,'[1]DATOS PBI Artículos'!A:A,'[1]DATOS PBI Artículos'!Z:Z
)))))</f>
        <v>#N/A</v>
      </c>
      <c r="Q388" s="38" t="e">
        <f>IF(AND(O388="",N388=0),
0,
   IF(COUNTIF([1]CRITERIOS!$F$179:$F$199,$A388)&gt;=1,
   1,
   IF(R388="MTO",
      $D388,
      ROUNDUP(
                    IF(($E388-SUMIF('[1]DATOS PBI Artículos'!A:A,A388,'[1]DATOS PBI Artículos'!X:X)+($V388-_xlfn.XLOOKUP(A388,'[1]DATOS PBI Artículos'!A:A,'[1]DATOS PBI Artículos'!W:W)))&lt;0,
                    0,
                    IF(($E388-SUMIF('[1]DATOS PBI Artículos'!A:A,A388,'[1]DATOS PBI Artículos'!X:X)+$V388-_xlfn.XLOOKUP($A388,'[1]DATOS PBI Artículos'!A:A,'[1]DATOS PBI Artículos'!W:W))/IF($O388="",$N388,$O388)&gt;ROUNDUP([1]CRITERIOS!$M$16/(IF(COUNTIF([1]CRITERIOS!$BG$11:$BG$201,L388)&gt;=1,_xlfn.XLOOKUP($C388,[1]CRITERIOS!$K$25:$K$42,[1]CRITERIOS!$M$25:$M$42),_xlfn.XLOOKUP($C388,[1]CRITERIOS!$K$25:$K$42,[1]CRITERIOS!$M$25:$M$42))),0),
                    ROUNDUP([1]CRITERIOS!$M$16/(IF(COUNTIF([1]CRITERIOS!$BG$11:$BG$201,$L388)&gt;=1,_xlfn.XLOOKUP($C388,[1]CRITERIOS!$K$25:$K$42,[1]CRITERIOS!$M$25:$M$42),_xlfn.XLOOKUP($C388,[1]CRITERIOS!$K$25:$K$42,[1]CRITERIOS!$M$25:$M$42))),0),
                    (E388+V388-SUMIF('[1]DATOS PBI Artículos'!A:A,A388,'[1]DATOS PBI Artículos'!X:X)-_xlfn.XLOOKUP(A388,'[1]DATOS PBI Artículos'!A:A,'[1]DATOS PBI Artículos'!W:W))/IF($O388="",$N388,$O388))),0))))</f>
        <v>#N/A</v>
      </c>
      <c r="R388" s="33" t="e">
        <f>IF(U388&lt;&gt;"",U388,IF(F388="DV","MTO",IF(N388=0,"MTO",_xlfn.XLOOKUP(CONCATENATE(S388,T388),[1]CRITERIOS!$K$160:$K$168,[1]CRITERIOS!$N$160:$N$168))))</f>
        <v>#N/A</v>
      </c>
      <c r="S388" s="33" t="e">
        <f>IF(G388="DV","MTO",IF(N388=0,"MTO",IF(OR(AND(N388=0,O388=""),IF(O388="",G388/N388,G388/O388)&gt;[1]CRITERIOS!$G$163),"MTO",IF(IF(O388="",G388/N388,G388/O388)&lt;[1]CRITERIOS!$H$161,"MTS","MTOS"))))</f>
        <v>#N/A</v>
      </c>
      <c r="T388" s="33" t="e">
        <f>IF(F388="DV","MTO",IF(OR(AND($N388=0,O388=""),$F388/$J388&gt;[1]CRITERIOS!$G$170,$F388="DV"),"MTO",IF($F388/$J388&lt;[1]CRITERIOS!$H$168,"MTS","MTOS")))</f>
        <v>#N/A</v>
      </c>
      <c r="V388" s="34" t="e">
        <f t="shared" si="19"/>
        <v>#N/A</v>
      </c>
      <c r="X388" s="34" t="e">
        <f t="shared" si="20"/>
        <v>#N/A</v>
      </c>
      <c r="Y388" s="34" t="e">
        <f t="shared" si="21"/>
        <v>#N/A</v>
      </c>
      <c r="Z388" s="34" t="e">
        <f>IF($R388="MTO",
0,
($H388+$K388*($E388/[1]CRITERIOS!$M$16))/[1]CRITERIOS!$X$48)</f>
        <v>#N/A</v>
      </c>
      <c r="AA388" s="34" t="e">
        <f>ROUNDUP(($Y388/_xlfn.XLOOKUP($A388,'[1]DATOS PBI Artículos'!$A$4:$A$4,'[1]DATOS PBI Artículos'!$Z$4:$Z$4))/_xlfn.XLOOKUP(_xlfn.XLOOKUP($A388,'[1]DATOS PBI Artículos'!$A$4:$A$4,'[1]DATOS PBI Artículos'!$Y$4:$Y$4),[1]CRITERIOS!$P$79:$P$123,[1]CRITERIOS!$S$79:$S$123,),0)</f>
        <v>#N/A</v>
      </c>
      <c r="AB388" s="33" t="e">
        <f t="array" ref="AB388">IF((E388+V388-_xlfn.XLOOKUP(A388,'[1]DATOS PBI Artículos'!$A$4:$A$4,'[1]DATOS PBI Artículos'!$W$4:$W$4))/N388&gt;ROUNDUP([1]CRITERIOS!$M$16/(IF(COUNTIF([1]CRITERIOS!$BG$11:$BG$201,L388)&gt;=1,_xlfn.XLOOKUP(ARTÍCULOS!L388,[1]CRITERIOS!$BG$11:$BG$201,[1]CRITERIOS!$BJ$11:$BJ$201),_xlfn.XLOOKUP(ARTÍCULOS!C388,[1]CRITERIOS!$K$25:$K$42,[1]CRITERIOS!$M$25:$M$42))),0),ROUNDUP([1]CRITERIOS!$M$16/(IF(COUNTIF([1]CRITERIOS!$BG$11:$BG$201,L388)&gt;=1,_xlfn.XLOOKUP(ARTÍCULOS!L388,[1]CRITERIOS!$BG$11:$BG$201:#REF!,[1]CRITERIOS!$BJ$11:$BJ$201),_xlfn.XLOOKUP(ARTÍCULOS!C388,[1]CRITERIOS!$K$25:$K$42,[1]CRITERIOS!$M$25:$M$42))),0),(E388+V388-_xlfn.XLOOKUP(A388,'[1]DATOS PBI Artículos'!$A$4:$A$4,'[1]DATOS PBI Artículos'!$W$4:$W$4))/N388)</f>
        <v>#N/A</v>
      </c>
      <c r="AC388" s="33" t="e">
        <f>IF(N388=0,"",(ROUNDUP((N388/2)/(_xlfn.XLOOKUP(A388,'[1]DATOS PBI Artículos'!$A$4:$A$4,'[1]DATOS PBI Artículos'!$Z$4:$Z$4)*_xlfn.XLOOKUP(_xlfn.XLOOKUP(A388,'[1]DATOS PBI Artículos'!$A$4:$A$4,'[1]DATOS PBI Artículos'!$Y$4:$Y$4),[1]CRITERIOS!$P$79:$P$123,[1]CRITERIOS!$S$79:$S$123)),0)*[1]CRITERIOS!$M$80*([1]CRITERIOS!$M$110/[1]CRITERIOS!$M$86)+(_xlfn.XLOOKUP(A388,'[1]DATOS PBI Artículos'!$A$4:$A$4,'[1]DATOS PBI Artículos'!$AA$4:$AA$4)*([1]CRITERIOS!$M$95+[1]CRITERIOS!$M$98)))/N388)</f>
        <v>#N/A</v>
      </c>
      <c r="AD388" s="33" t="e">
        <f>IF(N388=0,"",(ROUNDUP((N388/2)/(_xlfn.XLOOKUP(A388,'[1]DATOS PBI Artículos'!$A$4:$A$4,'[1]DATOS PBI Artículos'!$Z$4:$Z$4)*_xlfn.XLOOKUP(_xlfn.XLOOKUP(A388,'[1]DATOS PBI Artículos'!$A$4:$A$4,'[1]DATOS PBI Artículos'!$Y$4:$Y$4),[1]CRITERIOS!$P$79:$P$123,[1]CRITERIOS!$S$79:$S$123)),0)*[1]CRITERIOS!$M$80*([1]CRITERIOS!$M$89*[1]CRITERIOS!$M$92)+((_xlfn.XLOOKUP(A388,'[1]DATOS PBI Artículos'!$A$4:$A$4,'[1]DATOS PBI Artículos'!$AA$4:$AA$4)/2)*([1]CRITERIOS!$M$95+[1]CRITERIOS!$M$98)))/N388)</f>
        <v>#N/A</v>
      </c>
      <c r="AE388" s="39" t="e">
        <f>IF($R388="MTO","",
IF($H388=0,ROUNDUP(((_xlfn.XLOOKUP($A388,'[1]DATOS PBI Artículos'!$A:$A,'[1]DATOS PBI Artículos'!$AL:$AL))/(_xlfn.XLOOKUP($AF$1,[1]CRITERIOS!$S$16:$S$39,[1]CRITERIOS!$Y$16:$Y$39))*$J388+$Z388)/$G388,0)*$G388,
((_xlfn.XLOOKUP($A388,'[1]DATOS PBI Artículos'!$A:$A,'[1]DATOS PBI Artículos'!$AL:$AL))/(_xlfn.XLOOKUP($AF$1,[1]CRITERIOS!$S$16:$S$39,[1]CRITERIOS!$Y$16:$Y$39))*$J388+$Z388)))</f>
        <v>#N/A</v>
      </c>
      <c r="AG388" s="39" t="e">
        <f>IF($R388="MTO","",
IF($H388=0,ROUNDUP(((_xlfn.XLOOKUP($A388,'[1]DATOS PBI Artículos'!$A:$A,'[1]DATOS PBI Artículos'!$AM:$AM))/(_xlfn.XLOOKUP($AH$1,[1]CRITERIOS!$S$16:$S$39,[1]CRITERIOS!$Y$16:$Y$39))*$J388+$Z388)/$G388,0)*$G388,
((_xlfn.XLOOKUP($A388,'[1]DATOS PBI Artículos'!$A:$A,'[1]DATOS PBI Artículos'!$AM:$AM))/(_xlfn.XLOOKUP($AH$1,[1]CRITERIOS!$S$16:$S$39,[1]CRITERIOS!$Y$16:$Y$39))*$J388+$Z388)))</f>
        <v>#N/A</v>
      </c>
      <c r="AI388" s="39" t="e">
        <f>IF($R388="MTO","",
IF($H388=0,ROUNDUP(((_xlfn.XLOOKUP($A388,'[1]DATOS PBI Artículos'!$A:$A,'[1]DATOS PBI Artículos'!$AN:$AN))/(_xlfn.XLOOKUP($AJ$1,[1]CRITERIOS!$S$16:$S$39,[1]CRITERIOS!$Y$16:$Y$39))*$J388+$Z388)/$G388,0)*$G388,
((_xlfn.XLOOKUP($A388,'[1]DATOS PBI Artículos'!$A:$A,'[1]DATOS PBI Artículos'!$AN:$AN))/(_xlfn.XLOOKUP($AJ$1,[1]CRITERIOS!$S$16:$S$39,[1]CRITERIOS!$Y$16:$Y$39))*$J388+$Z388)))</f>
        <v>#N/A</v>
      </c>
      <c r="AK388" s="39" t="e">
        <f>IF($R388="MTO","",
IF($H388=0,ROUNDUP(((_xlfn.XLOOKUP($A388,'[1]DATOS PBI Artículos'!$A:$A,'[1]DATOS PBI Artículos'!$AO:$AO))/(_xlfn.XLOOKUP($AL$1,[1]CRITERIOS!$S$16:$S$39,[1]CRITERIOS!$Y$16:$Y$39))*$J388+$Z388)/$G388,0)*$G388,
((_xlfn.XLOOKUP($A388,'[1]DATOS PBI Artículos'!$A:$A,'[1]DATOS PBI Artículos'!$AO:$AO))/(_xlfn.XLOOKUP($AL$1,[1]CRITERIOS!$S$16:$S$39,[1]CRITERIOS!$Y$16:$Y$39))*$J388+$Z388)))</f>
        <v>#N/A</v>
      </c>
    </row>
    <row r="389" spans="1:37" ht="25.8" hidden="1" x14ac:dyDescent="0.4">
      <c r="A389" s="41"/>
      <c r="B389" s="33">
        <f>_xlfn.XLOOKUP($A389,'[1]DATOS PBI Artículos'!A:A,'[1]DATOS PBI Artículos'!B:B)</f>
        <v>0</v>
      </c>
      <c r="C389" s="33">
        <f>_xlfn.XLOOKUP($A389,'[1]DATOS PBI Artículos'!A:A,'[1]DATOS PBI Artículos'!C:C)</f>
        <v>0</v>
      </c>
      <c r="D389" s="33">
        <f>_xlfn.XLOOKUP(A389,'[1]DATOS PBI Artículos'!A:A,'[1]DATOS PBI Artículos'!T:T)</f>
        <v>0</v>
      </c>
      <c r="E389" s="34">
        <f>IF(_xlfn.XLOOKUP($A389,'[1]DATOS PBI Artículos'!A:A,'[1]DATOS PBI Artículos'!AK:AK)="",_xlfn.XLOOKUP($A389,'[1]DATOS PBI Artículos'!A:A,'[1]DATOS PBI Artículos'!AJ:AJ),_xlfn.XLOOKUP($A389,'[1]DATOS PBI Artículos'!A:A,'[1]DATOS PBI Artículos'!AK:AK))</f>
        <v>0</v>
      </c>
      <c r="F389" s="35">
        <f>_xlfn.XLOOKUP($A389,'[1]DATOS PBI Artículos'!A:A,'[1]DATOS PBI Artículos'!AP:AP)</f>
        <v>0</v>
      </c>
      <c r="G389" s="34">
        <f>_xlfn.XLOOKUP($A389,'[1]DATOS PBI Artículos'!A:A,'[1]DATOS PBI Artículos'!AR:AR)</f>
        <v>0</v>
      </c>
      <c r="H389" s="34">
        <f>_xlfn.XLOOKUP($A389,'[1]DATOS PBI Artículos'!A:A,'[1]DATOS PBI Artículos'!AT:AT)</f>
        <v>0</v>
      </c>
      <c r="I389" s="34">
        <f>_xlfn.XLOOKUP($A389,'[1]DATOS PBI Artículos'!A:A,'[1]DATOS PBI Artículos'!AS:AS)</f>
        <v>0</v>
      </c>
      <c r="J389" s="35">
        <f>IF(COUNTIF([1]CRITERIOS!$F$179:$F$199,$A389)&gt;=1,
 IF(O389&lt;&gt;"",
    (O389/_xlfn.XLOOKUP(CONCATENATE(A389,L389),[1]MÁQUINAS!A:A,[1]MÁQUINAS!D:D))/24,
    (N389/_xlfn.XLOOKUP(CONCATENATE(A389,L389),[1]MÁQUINAS!A:A,[1]MÁQUINAS!D:D))/24),
  _xlfn.XLOOKUP($A389,'[1]DATOS PBI Artículos'!A:A,'[1]DATOS PBI Artículos'!AU:AU))</f>
        <v>0</v>
      </c>
      <c r="K389" s="36">
        <f>_xlfn.XLOOKUP($A389,'[1]DATOS PBI Artículos'!A:A,'[1]DATOS PBI Artículos'!AV:AV)</f>
        <v>0</v>
      </c>
      <c r="L389" s="33">
        <f>_xlfn.XLOOKUP(A389,[1]MÁQUINAS!B:B,[1]MÁQUINAS!C:C)</f>
        <v>0</v>
      </c>
      <c r="M389" s="34">
        <f t="array" ref="M389">_xlfn.XLOOKUP(A389,'[1]DATOS PBI Artículos'!A:A,'[1]DATOS PBI Artículos'!AX:$AX)</f>
        <v>0</v>
      </c>
      <c r="N389" s="37" t="e">
        <f>IF(I389="DV",
E389,
IF(COUNTIF([1]CRITERIOS!$I$179:$I$199,$A389)&gt;=1,
_xlfn.XLOOKUP($A389,[1]CRITERIOS!$I$179:$I$199,[1]CRITERIOS!$J$179:$J$199),
IF(COUNTIF([1]CRITERIOS!$L$179:$L$199,$A389)&gt;=1,
_xlfn.CEILING.MATH(IF($M389&gt;$E389,
$E389,
IF($M389&lt;$E389/ROUNDDOWN([1]CRITERIOS!$M$16/_xlfn.XLOOKUP($C389,[1]CRITERIOS!$K$25:$K$42,[1]CRITERIOS!$M$25:$M$42),
1),
E389/ROUNDDOWN([1]CRITERIOS!$M$16/_xlfn.XLOOKUP($C389,[1]CRITERIOS!$K$25:$K$42,[1]CRITERIOS!$M$25:$M$42),
1),
$M389)),
_xlfn.XLOOKUP($A389,[1]CRITERIOS!$L$179:$L$200,[1]CRITERIOS!$M$179:$M$200)),
_xlfn.CEILING.MATH(IF($M389&gt;$E389,
$E389,
IF($M389&lt;$E389/ROUNDDOWN([1]CRITERIOS!$M$16/_xlfn.XLOOKUP($C389,[1]CRITERIOS!$K$25:$K$42,[1]CRITERIOS!$M$25:$M$42),
1),
E389/ROUNDDOWN([1]CRITERIOS!$M$16/_xlfn.XLOOKUP($C389,[1]CRITERIOS!$K$25:$K$42,[1]CRITERIOS!$M$25:$M$42),
1),
$M389)),_xlfn.XLOOKUP(A389,'[1]DATOS PBI Artículos'!A:A,'[1]DATOS PBI Artículos'!Z:Z
)))))</f>
        <v>#N/A</v>
      </c>
      <c r="Q389" s="38" t="e">
        <f>IF(AND(O389="",N389=0),
0,
   IF(COUNTIF([1]CRITERIOS!$F$179:$F$199,$A389)&gt;=1,
   1,
   IF(R389="MTO",
      $D389,
      ROUNDUP(
                    IF(($E389-SUMIF('[1]DATOS PBI Artículos'!A:A,A389,'[1]DATOS PBI Artículos'!X:X)+($V389-_xlfn.XLOOKUP(A389,'[1]DATOS PBI Artículos'!A:A,'[1]DATOS PBI Artículos'!W:W)))&lt;0,
                    0,
                    IF(($E389-SUMIF('[1]DATOS PBI Artículos'!A:A,A389,'[1]DATOS PBI Artículos'!X:X)+$V389-_xlfn.XLOOKUP($A389,'[1]DATOS PBI Artículos'!A:A,'[1]DATOS PBI Artículos'!W:W))/IF($O389="",$N389,$O389)&gt;ROUNDUP([1]CRITERIOS!$M$16/(IF(COUNTIF([1]CRITERIOS!$BG$11:$BG$201,L389)&gt;=1,_xlfn.XLOOKUP($C389,[1]CRITERIOS!$K$25:$K$42,[1]CRITERIOS!$M$25:$M$42),_xlfn.XLOOKUP($C389,[1]CRITERIOS!$K$25:$K$42,[1]CRITERIOS!$M$25:$M$42))),0),
                    ROUNDUP([1]CRITERIOS!$M$16/(IF(COUNTIF([1]CRITERIOS!$BG$11:$BG$201,$L389)&gt;=1,_xlfn.XLOOKUP($C389,[1]CRITERIOS!$K$25:$K$42,[1]CRITERIOS!$M$25:$M$42),_xlfn.XLOOKUP($C389,[1]CRITERIOS!$K$25:$K$42,[1]CRITERIOS!$M$25:$M$42))),0),
                    (E389+V389-SUMIF('[1]DATOS PBI Artículos'!A:A,A389,'[1]DATOS PBI Artículos'!X:X)-_xlfn.XLOOKUP(A389,'[1]DATOS PBI Artículos'!A:A,'[1]DATOS PBI Artículos'!W:W))/IF($O389="",$N389,$O389))),0))))</f>
        <v>#N/A</v>
      </c>
      <c r="R389" s="33" t="e">
        <f>IF(U389&lt;&gt;"",U389,IF(F389="DV","MTO",IF(N389=0,"MTO",_xlfn.XLOOKUP(CONCATENATE(S389,T389),[1]CRITERIOS!$K$160:$K$168,[1]CRITERIOS!$N$160:$N$168))))</f>
        <v>#N/A</v>
      </c>
      <c r="S389" s="33" t="e">
        <f>IF(G389="DV","MTO",IF(N389=0,"MTO",IF(OR(AND(N389=0,O389=""),IF(O389="",G389/N389,G389/O389)&gt;[1]CRITERIOS!$G$163),"MTO",IF(IF(O389="",G389/N389,G389/O389)&lt;[1]CRITERIOS!$H$161,"MTS","MTOS"))))</f>
        <v>#N/A</v>
      </c>
      <c r="T389" s="33" t="e">
        <f>IF(F389="DV","MTO",IF(OR(AND($N389=0,O389=""),$F389/$J389&gt;[1]CRITERIOS!$G$170,$F389="DV"),"MTO",IF($F389/$J389&lt;[1]CRITERIOS!$H$168,"MTS","MTOS")))</f>
        <v>#N/A</v>
      </c>
      <c r="V389" s="34" t="e">
        <f t="shared" si="19"/>
        <v>#N/A</v>
      </c>
      <c r="X389" s="34" t="e">
        <f t="shared" si="20"/>
        <v>#N/A</v>
      </c>
      <c r="Y389" s="34" t="e">
        <f t="shared" si="21"/>
        <v>#N/A</v>
      </c>
      <c r="Z389" s="34" t="e">
        <f>IF($R389="MTO",
0,
($H389+$K389*($E389/[1]CRITERIOS!$M$16))/[1]CRITERIOS!$X$48)</f>
        <v>#N/A</v>
      </c>
      <c r="AA389" s="34" t="e">
        <f>ROUNDUP(($Y389/_xlfn.XLOOKUP($A389,'[1]DATOS PBI Artículos'!$A$4:$A$4,'[1]DATOS PBI Artículos'!$Z$4:$Z$4))/_xlfn.XLOOKUP(_xlfn.XLOOKUP($A389,'[1]DATOS PBI Artículos'!$A$4:$A$4,'[1]DATOS PBI Artículos'!$Y$4:$Y$4),[1]CRITERIOS!$P$79:$P$123,[1]CRITERIOS!$S$79:$S$123,),0)</f>
        <v>#N/A</v>
      </c>
      <c r="AB389" s="33" t="e">
        <f t="array" ref="AB389">IF((E389+V389-_xlfn.XLOOKUP(A389,'[1]DATOS PBI Artículos'!$A$4:$A$4,'[1]DATOS PBI Artículos'!$W$4:$W$4))/N389&gt;ROUNDUP([1]CRITERIOS!$M$16/(IF(COUNTIF([1]CRITERIOS!$BG$11:$BG$201,L389)&gt;=1,_xlfn.XLOOKUP(ARTÍCULOS!L389,[1]CRITERIOS!$BG$11:$BG$201,[1]CRITERIOS!$BJ$11:$BJ$201),_xlfn.XLOOKUP(ARTÍCULOS!C389,[1]CRITERIOS!$K$25:$K$42,[1]CRITERIOS!$M$25:$M$42))),0),ROUNDUP([1]CRITERIOS!$M$16/(IF(COUNTIF([1]CRITERIOS!$BG$11:$BG$201,L389)&gt;=1,_xlfn.XLOOKUP(ARTÍCULOS!L389,[1]CRITERIOS!$BG$11:$BG$201:#REF!,[1]CRITERIOS!$BJ$11:$BJ$201),_xlfn.XLOOKUP(ARTÍCULOS!C389,[1]CRITERIOS!$K$25:$K$42,[1]CRITERIOS!$M$25:$M$42))),0),(E389+V389-_xlfn.XLOOKUP(A389,'[1]DATOS PBI Artículos'!$A$4:$A$4,'[1]DATOS PBI Artículos'!$W$4:$W$4))/N389)</f>
        <v>#N/A</v>
      </c>
      <c r="AC389" s="33" t="e">
        <f>IF(N389=0,"",(ROUNDUP((N389/2)/(_xlfn.XLOOKUP(A389,'[1]DATOS PBI Artículos'!$A$4:$A$4,'[1]DATOS PBI Artículos'!$Z$4:$Z$4)*_xlfn.XLOOKUP(_xlfn.XLOOKUP(A389,'[1]DATOS PBI Artículos'!$A$4:$A$4,'[1]DATOS PBI Artículos'!$Y$4:$Y$4),[1]CRITERIOS!$P$79:$P$123,[1]CRITERIOS!$S$79:$S$123)),0)*[1]CRITERIOS!$M$80*([1]CRITERIOS!$M$110/[1]CRITERIOS!$M$86)+(_xlfn.XLOOKUP(A389,'[1]DATOS PBI Artículos'!$A$4:$A$4,'[1]DATOS PBI Artículos'!$AA$4:$AA$4)*([1]CRITERIOS!$M$95+[1]CRITERIOS!$M$98)))/N389)</f>
        <v>#N/A</v>
      </c>
      <c r="AD389" s="33" t="e">
        <f>IF(N389=0,"",(ROUNDUP((N389/2)/(_xlfn.XLOOKUP(A389,'[1]DATOS PBI Artículos'!$A$4:$A$4,'[1]DATOS PBI Artículos'!$Z$4:$Z$4)*_xlfn.XLOOKUP(_xlfn.XLOOKUP(A389,'[1]DATOS PBI Artículos'!$A$4:$A$4,'[1]DATOS PBI Artículos'!$Y$4:$Y$4),[1]CRITERIOS!$P$79:$P$123,[1]CRITERIOS!$S$79:$S$123)),0)*[1]CRITERIOS!$M$80*([1]CRITERIOS!$M$89*[1]CRITERIOS!$M$92)+((_xlfn.XLOOKUP(A389,'[1]DATOS PBI Artículos'!$A$4:$A$4,'[1]DATOS PBI Artículos'!$AA$4:$AA$4)/2)*([1]CRITERIOS!$M$95+[1]CRITERIOS!$M$98)))/N389)</f>
        <v>#N/A</v>
      </c>
      <c r="AE389" s="39" t="e">
        <f>IF($R389="MTO","",
IF($H389=0,ROUNDUP(((_xlfn.XLOOKUP($A389,'[1]DATOS PBI Artículos'!$A:$A,'[1]DATOS PBI Artículos'!$AL:$AL))/(_xlfn.XLOOKUP($AF$1,[1]CRITERIOS!$S$16:$S$39,[1]CRITERIOS!$Y$16:$Y$39))*$J389+$Z389)/$G389,0)*$G389,
((_xlfn.XLOOKUP($A389,'[1]DATOS PBI Artículos'!$A:$A,'[1]DATOS PBI Artículos'!$AL:$AL))/(_xlfn.XLOOKUP($AF$1,[1]CRITERIOS!$S$16:$S$39,[1]CRITERIOS!$Y$16:$Y$39))*$J389+$Z389)))</f>
        <v>#N/A</v>
      </c>
      <c r="AG389" s="39" t="e">
        <f>IF($R389="MTO","",
IF($H389=0,ROUNDUP(((_xlfn.XLOOKUP($A389,'[1]DATOS PBI Artículos'!$A:$A,'[1]DATOS PBI Artículos'!$AM:$AM))/(_xlfn.XLOOKUP($AH$1,[1]CRITERIOS!$S$16:$S$39,[1]CRITERIOS!$Y$16:$Y$39))*$J389+$Z389)/$G389,0)*$G389,
((_xlfn.XLOOKUP($A389,'[1]DATOS PBI Artículos'!$A:$A,'[1]DATOS PBI Artículos'!$AM:$AM))/(_xlfn.XLOOKUP($AH$1,[1]CRITERIOS!$S$16:$S$39,[1]CRITERIOS!$Y$16:$Y$39))*$J389+$Z389)))</f>
        <v>#N/A</v>
      </c>
      <c r="AI389" s="39" t="e">
        <f>IF($R389="MTO","",
IF($H389=0,ROUNDUP(((_xlfn.XLOOKUP($A389,'[1]DATOS PBI Artículos'!$A:$A,'[1]DATOS PBI Artículos'!$AN:$AN))/(_xlfn.XLOOKUP($AJ$1,[1]CRITERIOS!$S$16:$S$39,[1]CRITERIOS!$Y$16:$Y$39))*$J389+$Z389)/$G389,0)*$G389,
((_xlfn.XLOOKUP($A389,'[1]DATOS PBI Artículos'!$A:$A,'[1]DATOS PBI Artículos'!$AN:$AN))/(_xlfn.XLOOKUP($AJ$1,[1]CRITERIOS!$S$16:$S$39,[1]CRITERIOS!$Y$16:$Y$39))*$J389+$Z389)))</f>
        <v>#N/A</v>
      </c>
      <c r="AK389" s="39" t="e">
        <f>IF($R389="MTO","",
IF($H389=0,ROUNDUP(((_xlfn.XLOOKUP($A389,'[1]DATOS PBI Artículos'!$A:$A,'[1]DATOS PBI Artículos'!$AO:$AO))/(_xlfn.XLOOKUP($AL$1,[1]CRITERIOS!$S$16:$S$39,[1]CRITERIOS!$Y$16:$Y$39))*$J389+$Z389)/$G389,0)*$G389,
((_xlfn.XLOOKUP($A389,'[1]DATOS PBI Artículos'!$A:$A,'[1]DATOS PBI Artículos'!$AO:$AO))/(_xlfn.XLOOKUP($AL$1,[1]CRITERIOS!$S$16:$S$39,[1]CRITERIOS!$Y$16:$Y$39))*$J389+$Z389)))</f>
        <v>#N/A</v>
      </c>
    </row>
    <row r="390" spans="1:37" ht="25.8" hidden="1" x14ac:dyDescent="0.4">
      <c r="A390" s="41"/>
      <c r="B390" s="33">
        <f>_xlfn.XLOOKUP($A390,'[1]DATOS PBI Artículos'!A:A,'[1]DATOS PBI Artículos'!B:B)</f>
        <v>0</v>
      </c>
      <c r="C390" s="33">
        <f>_xlfn.XLOOKUP($A390,'[1]DATOS PBI Artículos'!A:A,'[1]DATOS PBI Artículos'!C:C)</f>
        <v>0</v>
      </c>
      <c r="D390" s="33">
        <f>_xlfn.XLOOKUP(A390,'[1]DATOS PBI Artículos'!A:A,'[1]DATOS PBI Artículos'!T:T)</f>
        <v>0</v>
      </c>
      <c r="E390" s="34">
        <f>IF(_xlfn.XLOOKUP($A390,'[1]DATOS PBI Artículos'!A:A,'[1]DATOS PBI Artículos'!AK:AK)="",_xlfn.XLOOKUP($A390,'[1]DATOS PBI Artículos'!A:A,'[1]DATOS PBI Artículos'!AJ:AJ),_xlfn.XLOOKUP($A390,'[1]DATOS PBI Artículos'!A:A,'[1]DATOS PBI Artículos'!AK:AK))</f>
        <v>0</v>
      </c>
      <c r="F390" s="35">
        <f>_xlfn.XLOOKUP($A390,'[1]DATOS PBI Artículos'!A:A,'[1]DATOS PBI Artículos'!AP:AP)</f>
        <v>0</v>
      </c>
      <c r="G390" s="34">
        <f>_xlfn.XLOOKUP($A390,'[1]DATOS PBI Artículos'!A:A,'[1]DATOS PBI Artículos'!AR:AR)</f>
        <v>0</v>
      </c>
      <c r="H390" s="34">
        <f>_xlfn.XLOOKUP($A390,'[1]DATOS PBI Artículos'!A:A,'[1]DATOS PBI Artículos'!AT:AT)</f>
        <v>0</v>
      </c>
      <c r="I390" s="34">
        <f>_xlfn.XLOOKUP($A390,'[1]DATOS PBI Artículos'!A:A,'[1]DATOS PBI Artículos'!AS:AS)</f>
        <v>0</v>
      </c>
      <c r="J390" s="35">
        <f>IF(COUNTIF([1]CRITERIOS!$F$179:$F$199,$A390)&gt;=1,
 IF(O390&lt;&gt;"",
    (O390/_xlfn.XLOOKUP(CONCATENATE(A390,L390),[1]MÁQUINAS!A:A,[1]MÁQUINAS!D:D))/24,
    (N390/_xlfn.XLOOKUP(CONCATENATE(A390,L390),[1]MÁQUINAS!A:A,[1]MÁQUINAS!D:D))/24),
  _xlfn.XLOOKUP($A390,'[1]DATOS PBI Artículos'!A:A,'[1]DATOS PBI Artículos'!AU:AU))</f>
        <v>0</v>
      </c>
      <c r="K390" s="36">
        <f>_xlfn.XLOOKUP($A390,'[1]DATOS PBI Artículos'!A:A,'[1]DATOS PBI Artículos'!AV:AV)</f>
        <v>0</v>
      </c>
      <c r="L390" s="33">
        <f>_xlfn.XLOOKUP(A390,[1]MÁQUINAS!B:B,[1]MÁQUINAS!C:C)</f>
        <v>0</v>
      </c>
      <c r="M390" s="34">
        <f t="array" ref="M390">_xlfn.XLOOKUP(A390,'[1]DATOS PBI Artículos'!A:A,'[1]DATOS PBI Artículos'!AX:$AX)</f>
        <v>0</v>
      </c>
      <c r="N390" s="37" t="e">
        <f>IF(I390="DV",
E390,
IF(COUNTIF([1]CRITERIOS!$I$179:$I$199,$A390)&gt;=1,
_xlfn.XLOOKUP($A390,[1]CRITERIOS!$I$179:$I$199,[1]CRITERIOS!$J$179:$J$199),
IF(COUNTIF([1]CRITERIOS!$L$179:$L$199,$A390)&gt;=1,
_xlfn.CEILING.MATH(IF($M390&gt;$E390,
$E390,
IF($M390&lt;$E390/ROUNDDOWN([1]CRITERIOS!$M$16/_xlfn.XLOOKUP($C390,[1]CRITERIOS!$K$25:$K$42,[1]CRITERIOS!$M$25:$M$42),
1),
E390/ROUNDDOWN([1]CRITERIOS!$M$16/_xlfn.XLOOKUP($C390,[1]CRITERIOS!$K$25:$K$42,[1]CRITERIOS!$M$25:$M$42),
1),
$M390)),
_xlfn.XLOOKUP($A390,[1]CRITERIOS!$L$179:$L$200,[1]CRITERIOS!$M$179:$M$200)),
_xlfn.CEILING.MATH(IF($M390&gt;$E390,
$E390,
IF($M390&lt;$E390/ROUNDDOWN([1]CRITERIOS!$M$16/_xlfn.XLOOKUP($C390,[1]CRITERIOS!$K$25:$K$42,[1]CRITERIOS!$M$25:$M$42),
1),
E390/ROUNDDOWN([1]CRITERIOS!$M$16/_xlfn.XLOOKUP($C390,[1]CRITERIOS!$K$25:$K$42,[1]CRITERIOS!$M$25:$M$42),
1),
$M390)),_xlfn.XLOOKUP(A390,'[1]DATOS PBI Artículos'!A:A,'[1]DATOS PBI Artículos'!Z:Z
)))))</f>
        <v>#N/A</v>
      </c>
      <c r="Q390" s="38" t="e">
        <f>IF(AND(O390="",N390=0),
0,
   IF(COUNTIF([1]CRITERIOS!$F$179:$F$199,$A390)&gt;=1,
   1,
   IF(R390="MTO",
      $D390,
      ROUNDUP(
                    IF(($E390-SUMIF('[1]DATOS PBI Artículos'!A:A,A390,'[1]DATOS PBI Artículos'!X:X)+($V390-_xlfn.XLOOKUP(A390,'[1]DATOS PBI Artículos'!A:A,'[1]DATOS PBI Artículos'!W:W)))&lt;0,
                    0,
                    IF(($E390-SUMIF('[1]DATOS PBI Artículos'!A:A,A390,'[1]DATOS PBI Artículos'!X:X)+$V390-_xlfn.XLOOKUP($A390,'[1]DATOS PBI Artículos'!A:A,'[1]DATOS PBI Artículos'!W:W))/IF($O390="",$N390,$O390)&gt;ROUNDUP([1]CRITERIOS!$M$16/(IF(COUNTIF([1]CRITERIOS!$BG$11:$BG$201,L390)&gt;=1,_xlfn.XLOOKUP($C390,[1]CRITERIOS!$K$25:$K$42,[1]CRITERIOS!$M$25:$M$42),_xlfn.XLOOKUP($C390,[1]CRITERIOS!$K$25:$K$42,[1]CRITERIOS!$M$25:$M$42))),0),
                    ROUNDUP([1]CRITERIOS!$M$16/(IF(COUNTIF([1]CRITERIOS!$BG$11:$BG$201,$L390)&gt;=1,_xlfn.XLOOKUP($C390,[1]CRITERIOS!$K$25:$K$42,[1]CRITERIOS!$M$25:$M$42),_xlfn.XLOOKUP($C390,[1]CRITERIOS!$K$25:$K$42,[1]CRITERIOS!$M$25:$M$42))),0),
                    (E390+V390-SUMIF('[1]DATOS PBI Artículos'!A:A,A390,'[1]DATOS PBI Artículos'!X:X)-_xlfn.XLOOKUP(A390,'[1]DATOS PBI Artículos'!A:A,'[1]DATOS PBI Artículos'!W:W))/IF($O390="",$N390,$O390))),0))))</f>
        <v>#N/A</v>
      </c>
      <c r="R390" s="33" t="e">
        <f>IF(U390&lt;&gt;"",U390,IF(F390="DV","MTO",IF(N390=0,"MTO",_xlfn.XLOOKUP(CONCATENATE(S390,T390),[1]CRITERIOS!$K$160:$K$168,[1]CRITERIOS!$N$160:$N$168))))</f>
        <v>#N/A</v>
      </c>
      <c r="S390" s="33" t="e">
        <f>IF(G390="DV","MTO",IF(N390=0,"MTO",IF(OR(AND(N390=0,O390=""),IF(O390="",G390/N390,G390/O390)&gt;[1]CRITERIOS!$G$163),"MTO",IF(IF(O390="",G390/N390,G390/O390)&lt;[1]CRITERIOS!$H$161,"MTS","MTOS"))))</f>
        <v>#N/A</v>
      </c>
      <c r="T390" s="33" t="e">
        <f>IF(F390="DV","MTO",IF(OR(AND($N390=0,O390=""),$F390/$J390&gt;[1]CRITERIOS!$G$170,$F390="DV"),"MTO",IF($F390/$J390&lt;[1]CRITERIOS!$H$168,"MTS","MTOS")))</f>
        <v>#N/A</v>
      </c>
      <c r="V390" s="34" t="e">
        <f t="shared" si="19"/>
        <v>#N/A</v>
      </c>
      <c r="X390" s="34" t="e">
        <f t="shared" si="20"/>
        <v>#N/A</v>
      </c>
      <c r="Y390" s="34" t="e">
        <f t="shared" si="21"/>
        <v>#N/A</v>
      </c>
      <c r="Z390" s="34" t="e">
        <f>IF($R390="MTO",
0,
($H390+$K390*($E390/[1]CRITERIOS!$M$16))/[1]CRITERIOS!$X$48)</f>
        <v>#N/A</v>
      </c>
      <c r="AA390" s="34" t="e">
        <f>ROUNDUP(($Y390/_xlfn.XLOOKUP($A390,'[1]DATOS PBI Artículos'!$A$4:$A$4,'[1]DATOS PBI Artículos'!$Z$4:$Z$4))/_xlfn.XLOOKUP(_xlfn.XLOOKUP($A390,'[1]DATOS PBI Artículos'!$A$4:$A$4,'[1]DATOS PBI Artículos'!$Y$4:$Y$4),[1]CRITERIOS!$P$79:$P$123,[1]CRITERIOS!$S$79:$S$123,),0)</f>
        <v>#N/A</v>
      </c>
      <c r="AB390" s="33" t="e">
        <f t="array" ref="AB390">IF((E390+V390-_xlfn.XLOOKUP(A390,'[1]DATOS PBI Artículos'!$A$4:$A$4,'[1]DATOS PBI Artículos'!$W$4:$W$4))/N390&gt;ROUNDUP([1]CRITERIOS!$M$16/(IF(COUNTIF([1]CRITERIOS!$BG$11:$BG$201,L390)&gt;=1,_xlfn.XLOOKUP(ARTÍCULOS!L390,[1]CRITERIOS!$BG$11:$BG$201,[1]CRITERIOS!$BJ$11:$BJ$201),_xlfn.XLOOKUP(ARTÍCULOS!C390,[1]CRITERIOS!$K$25:$K$42,[1]CRITERIOS!$M$25:$M$42))),0),ROUNDUP([1]CRITERIOS!$M$16/(IF(COUNTIF([1]CRITERIOS!$BG$11:$BG$201,L390)&gt;=1,_xlfn.XLOOKUP(ARTÍCULOS!L390,[1]CRITERIOS!$BG$11:$BG$201:#REF!,[1]CRITERIOS!$BJ$11:$BJ$201),_xlfn.XLOOKUP(ARTÍCULOS!C390,[1]CRITERIOS!$K$25:$K$42,[1]CRITERIOS!$M$25:$M$42))),0),(E390+V390-_xlfn.XLOOKUP(A390,'[1]DATOS PBI Artículos'!$A$4:$A$4,'[1]DATOS PBI Artículos'!$W$4:$W$4))/N390)</f>
        <v>#N/A</v>
      </c>
      <c r="AC390" s="33" t="e">
        <f>IF(N390=0,"",(ROUNDUP((N390/2)/(_xlfn.XLOOKUP(A390,'[1]DATOS PBI Artículos'!$A$4:$A$4,'[1]DATOS PBI Artículos'!$Z$4:$Z$4)*_xlfn.XLOOKUP(_xlfn.XLOOKUP(A390,'[1]DATOS PBI Artículos'!$A$4:$A$4,'[1]DATOS PBI Artículos'!$Y$4:$Y$4),[1]CRITERIOS!$P$79:$P$123,[1]CRITERIOS!$S$79:$S$123)),0)*[1]CRITERIOS!$M$80*([1]CRITERIOS!$M$110/[1]CRITERIOS!$M$86)+(_xlfn.XLOOKUP(A390,'[1]DATOS PBI Artículos'!$A$4:$A$4,'[1]DATOS PBI Artículos'!$AA$4:$AA$4)*([1]CRITERIOS!$M$95+[1]CRITERIOS!$M$98)))/N390)</f>
        <v>#N/A</v>
      </c>
      <c r="AD390" s="33" t="e">
        <f>IF(N390=0,"",(ROUNDUP((N390/2)/(_xlfn.XLOOKUP(A390,'[1]DATOS PBI Artículos'!$A$4:$A$4,'[1]DATOS PBI Artículos'!$Z$4:$Z$4)*_xlfn.XLOOKUP(_xlfn.XLOOKUP(A390,'[1]DATOS PBI Artículos'!$A$4:$A$4,'[1]DATOS PBI Artículos'!$Y$4:$Y$4),[1]CRITERIOS!$P$79:$P$123,[1]CRITERIOS!$S$79:$S$123)),0)*[1]CRITERIOS!$M$80*([1]CRITERIOS!$M$89*[1]CRITERIOS!$M$92)+((_xlfn.XLOOKUP(A390,'[1]DATOS PBI Artículos'!$A$4:$A$4,'[1]DATOS PBI Artículos'!$AA$4:$AA$4)/2)*([1]CRITERIOS!$M$95+[1]CRITERIOS!$M$98)))/N390)</f>
        <v>#N/A</v>
      </c>
      <c r="AE390" s="39" t="e">
        <f>IF($R390="MTO","",
IF($H390=0,ROUNDUP(((_xlfn.XLOOKUP($A390,'[1]DATOS PBI Artículos'!$A:$A,'[1]DATOS PBI Artículos'!$AL:$AL))/(_xlfn.XLOOKUP($AF$1,[1]CRITERIOS!$S$16:$S$39,[1]CRITERIOS!$Y$16:$Y$39))*$J390+$Z390)/$G390,0)*$G390,
((_xlfn.XLOOKUP($A390,'[1]DATOS PBI Artículos'!$A:$A,'[1]DATOS PBI Artículos'!$AL:$AL))/(_xlfn.XLOOKUP($AF$1,[1]CRITERIOS!$S$16:$S$39,[1]CRITERIOS!$Y$16:$Y$39))*$J390+$Z390)))</f>
        <v>#N/A</v>
      </c>
      <c r="AG390" s="39" t="e">
        <f>IF($R390="MTO","",
IF($H390=0,ROUNDUP(((_xlfn.XLOOKUP($A390,'[1]DATOS PBI Artículos'!$A:$A,'[1]DATOS PBI Artículos'!$AM:$AM))/(_xlfn.XLOOKUP($AH$1,[1]CRITERIOS!$S$16:$S$39,[1]CRITERIOS!$Y$16:$Y$39))*$J390+$Z390)/$G390,0)*$G390,
((_xlfn.XLOOKUP($A390,'[1]DATOS PBI Artículos'!$A:$A,'[1]DATOS PBI Artículos'!$AM:$AM))/(_xlfn.XLOOKUP($AH$1,[1]CRITERIOS!$S$16:$S$39,[1]CRITERIOS!$Y$16:$Y$39))*$J390+$Z390)))</f>
        <v>#N/A</v>
      </c>
      <c r="AI390" s="39" t="e">
        <f>IF($R390="MTO","",
IF($H390=0,ROUNDUP(((_xlfn.XLOOKUP($A390,'[1]DATOS PBI Artículos'!$A:$A,'[1]DATOS PBI Artículos'!$AN:$AN))/(_xlfn.XLOOKUP($AJ$1,[1]CRITERIOS!$S$16:$S$39,[1]CRITERIOS!$Y$16:$Y$39))*$J390+$Z390)/$G390,0)*$G390,
((_xlfn.XLOOKUP($A390,'[1]DATOS PBI Artículos'!$A:$A,'[1]DATOS PBI Artículos'!$AN:$AN))/(_xlfn.XLOOKUP($AJ$1,[1]CRITERIOS!$S$16:$S$39,[1]CRITERIOS!$Y$16:$Y$39))*$J390+$Z390)))</f>
        <v>#N/A</v>
      </c>
      <c r="AK390" s="39" t="e">
        <f>IF($R390="MTO","",
IF($H390=0,ROUNDUP(((_xlfn.XLOOKUP($A390,'[1]DATOS PBI Artículos'!$A:$A,'[1]DATOS PBI Artículos'!$AO:$AO))/(_xlfn.XLOOKUP($AL$1,[1]CRITERIOS!$S$16:$S$39,[1]CRITERIOS!$Y$16:$Y$39))*$J390+$Z390)/$G390,0)*$G390,
((_xlfn.XLOOKUP($A390,'[1]DATOS PBI Artículos'!$A:$A,'[1]DATOS PBI Artículos'!$AO:$AO))/(_xlfn.XLOOKUP($AL$1,[1]CRITERIOS!$S$16:$S$39,[1]CRITERIOS!$Y$16:$Y$39))*$J390+$Z390)))</f>
        <v>#N/A</v>
      </c>
    </row>
    <row r="391" spans="1:37" ht="25.8" hidden="1" x14ac:dyDescent="0.4">
      <c r="A391" s="41"/>
      <c r="B391" s="33">
        <f>_xlfn.XLOOKUP($A391,'[1]DATOS PBI Artículos'!A:A,'[1]DATOS PBI Artículos'!B:B)</f>
        <v>0</v>
      </c>
      <c r="C391" s="33">
        <f>_xlfn.XLOOKUP($A391,'[1]DATOS PBI Artículos'!A:A,'[1]DATOS PBI Artículos'!C:C)</f>
        <v>0</v>
      </c>
      <c r="D391" s="33">
        <f>_xlfn.XLOOKUP(A391,'[1]DATOS PBI Artículos'!A:A,'[1]DATOS PBI Artículos'!T:T)</f>
        <v>0</v>
      </c>
      <c r="E391" s="34">
        <f>IF(_xlfn.XLOOKUP($A391,'[1]DATOS PBI Artículos'!A:A,'[1]DATOS PBI Artículos'!AK:AK)="",_xlfn.XLOOKUP($A391,'[1]DATOS PBI Artículos'!A:A,'[1]DATOS PBI Artículos'!AJ:AJ),_xlfn.XLOOKUP($A391,'[1]DATOS PBI Artículos'!A:A,'[1]DATOS PBI Artículos'!AK:AK))</f>
        <v>0</v>
      </c>
      <c r="F391" s="35">
        <f>_xlfn.XLOOKUP($A391,'[1]DATOS PBI Artículos'!A:A,'[1]DATOS PBI Artículos'!AP:AP)</f>
        <v>0</v>
      </c>
      <c r="G391" s="34">
        <f>_xlfn.XLOOKUP($A391,'[1]DATOS PBI Artículos'!A:A,'[1]DATOS PBI Artículos'!AR:AR)</f>
        <v>0</v>
      </c>
      <c r="H391" s="34">
        <f>_xlfn.XLOOKUP($A391,'[1]DATOS PBI Artículos'!A:A,'[1]DATOS PBI Artículos'!AT:AT)</f>
        <v>0</v>
      </c>
      <c r="I391" s="34">
        <f>_xlfn.XLOOKUP($A391,'[1]DATOS PBI Artículos'!A:A,'[1]DATOS PBI Artículos'!AS:AS)</f>
        <v>0</v>
      </c>
      <c r="J391" s="35">
        <f>IF(COUNTIF([1]CRITERIOS!$F$179:$F$199,$A391)&gt;=1,
 IF(O391&lt;&gt;"",
    (O391/_xlfn.XLOOKUP(CONCATENATE(A391,L391),[1]MÁQUINAS!A:A,[1]MÁQUINAS!D:D))/24,
    (N391/_xlfn.XLOOKUP(CONCATENATE(A391,L391),[1]MÁQUINAS!A:A,[1]MÁQUINAS!D:D))/24),
  _xlfn.XLOOKUP($A391,'[1]DATOS PBI Artículos'!A:A,'[1]DATOS PBI Artículos'!AU:AU))</f>
        <v>0</v>
      </c>
      <c r="K391" s="36">
        <f>_xlfn.XLOOKUP($A391,'[1]DATOS PBI Artículos'!A:A,'[1]DATOS PBI Artículos'!AV:AV)</f>
        <v>0</v>
      </c>
      <c r="L391" s="33">
        <f>_xlfn.XLOOKUP(A391,[1]MÁQUINAS!B:B,[1]MÁQUINAS!C:C)</f>
        <v>0</v>
      </c>
      <c r="M391" s="34">
        <f t="array" ref="M391">_xlfn.XLOOKUP(A391,'[1]DATOS PBI Artículos'!A:A,'[1]DATOS PBI Artículos'!AX:$AX)</f>
        <v>0</v>
      </c>
      <c r="N391" s="37" t="e">
        <f>IF(I391="DV",
E391,
IF(COUNTIF([1]CRITERIOS!$I$179:$I$199,$A391)&gt;=1,
_xlfn.XLOOKUP($A391,[1]CRITERIOS!$I$179:$I$199,[1]CRITERIOS!$J$179:$J$199),
IF(COUNTIF([1]CRITERIOS!$L$179:$L$199,$A391)&gt;=1,
_xlfn.CEILING.MATH(IF($M391&gt;$E391,
$E391,
IF($M391&lt;$E391/ROUNDDOWN([1]CRITERIOS!$M$16/_xlfn.XLOOKUP($C391,[1]CRITERIOS!$K$25:$K$42,[1]CRITERIOS!$M$25:$M$42),
1),
E391/ROUNDDOWN([1]CRITERIOS!$M$16/_xlfn.XLOOKUP($C391,[1]CRITERIOS!$K$25:$K$42,[1]CRITERIOS!$M$25:$M$42),
1),
$M391)),
_xlfn.XLOOKUP($A391,[1]CRITERIOS!$L$179:$L$200,[1]CRITERIOS!$M$179:$M$200)),
_xlfn.CEILING.MATH(IF($M391&gt;$E391,
$E391,
IF($M391&lt;$E391/ROUNDDOWN([1]CRITERIOS!$M$16/_xlfn.XLOOKUP($C391,[1]CRITERIOS!$K$25:$K$42,[1]CRITERIOS!$M$25:$M$42),
1),
E391/ROUNDDOWN([1]CRITERIOS!$M$16/_xlfn.XLOOKUP($C391,[1]CRITERIOS!$K$25:$K$42,[1]CRITERIOS!$M$25:$M$42),
1),
$M391)),_xlfn.XLOOKUP(A391,'[1]DATOS PBI Artículos'!A:A,'[1]DATOS PBI Artículos'!Z:Z
)))))</f>
        <v>#N/A</v>
      </c>
      <c r="Q391" s="38" t="e">
        <f>IF(AND(O391="",N391=0),
0,
   IF(COUNTIF([1]CRITERIOS!$F$179:$F$199,$A391)&gt;=1,
   1,
   IF(R391="MTO",
      $D391,
      ROUNDUP(
                    IF(($E391-SUMIF('[1]DATOS PBI Artículos'!A:A,A391,'[1]DATOS PBI Artículos'!X:X)+($V391-_xlfn.XLOOKUP(A391,'[1]DATOS PBI Artículos'!A:A,'[1]DATOS PBI Artículos'!W:W)))&lt;0,
                    0,
                    IF(($E391-SUMIF('[1]DATOS PBI Artículos'!A:A,A391,'[1]DATOS PBI Artículos'!X:X)+$V391-_xlfn.XLOOKUP($A391,'[1]DATOS PBI Artículos'!A:A,'[1]DATOS PBI Artículos'!W:W))/IF($O391="",$N391,$O391)&gt;ROUNDUP([1]CRITERIOS!$M$16/(IF(COUNTIF([1]CRITERIOS!$BG$11:$BG$201,L391)&gt;=1,_xlfn.XLOOKUP($C391,[1]CRITERIOS!$K$25:$K$42,[1]CRITERIOS!$M$25:$M$42),_xlfn.XLOOKUP($C391,[1]CRITERIOS!$K$25:$K$42,[1]CRITERIOS!$M$25:$M$42))),0),
                    ROUNDUP([1]CRITERIOS!$M$16/(IF(COUNTIF([1]CRITERIOS!$BG$11:$BG$201,$L391)&gt;=1,_xlfn.XLOOKUP($C391,[1]CRITERIOS!$K$25:$K$42,[1]CRITERIOS!$M$25:$M$42),_xlfn.XLOOKUP($C391,[1]CRITERIOS!$K$25:$K$42,[1]CRITERIOS!$M$25:$M$42))),0),
                    (E391+V391-SUMIF('[1]DATOS PBI Artículos'!A:A,A391,'[1]DATOS PBI Artículos'!X:X)-_xlfn.XLOOKUP(A391,'[1]DATOS PBI Artículos'!A:A,'[1]DATOS PBI Artículos'!W:W))/IF($O391="",$N391,$O391))),0))))</f>
        <v>#N/A</v>
      </c>
      <c r="R391" s="33" t="e">
        <f>IF(U391&lt;&gt;"",U391,IF(F391="DV","MTO",IF(N391=0,"MTO",_xlfn.XLOOKUP(CONCATENATE(S391,T391),[1]CRITERIOS!$K$160:$K$168,[1]CRITERIOS!$N$160:$N$168))))</f>
        <v>#N/A</v>
      </c>
      <c r="S391" s="33" t="e">
        <f>IF(G391="DV","MTO",IF(N391=0,"MTO",IF(OR(AND(N391=0,O391=""),IF(O391="",G391/N391,G391/O391)&gt;[1]CRITERIOS!$G$163),"MTO",IF(IF(O391="",G391/N391,G391/O391)&lt;[1]CRITERIOS!$H$161,"MTS","MTOS"))))</f>
        <v>#N/A</v>
      </c>
      <c r="T391" s="33" t="e">
        <f>IF(F391="DV","MTO",IF(OR(AND($N391=0,O391=""),$F391/$J391&gt;[1]CRITERIOS!$G$170,$F391="DV"),"MTO",IF($F391/$J391&lt;[1]CRITERIOS!$H$168,"MTS","MTOS")))</f>
        <v>#N/A</v>
      </c>
      <c r="V391" s="34" t="e">
        <f t="shared" si="19"/>
        <v>#N/A</v>
      </c>
      <c r="X391" s="34" t="e">
        <f t="shared" si="20"/>
        <v>#N/A</v>
      </c>
      <c r="Y391" s="34" t="e">
        <f t="shared" si="21"/>
        <v>#N/A</v>
      </c>
      <c r="Z391" s="34" t="e">
        <f>IF($R391="MTO",
0,
($H391+$K391*($E391/[1]CRITERIOS!$M$16))/[1]CRITERIOS!$X$48)</f>
        <v>#N/A</v>
      </c>
      <c r="AA391" s="34" t="e">
        <f>ROUNDUP(($Y391/_xlfn.XLOOKUP($A391,'[1]DATOS PBI Artículos'!$A$4:$A$4,'[1]DATOS PBI Artículos'!$Z$4:$Z$4))/_xlfn.XLOOKUP(_xlfn.XLOOKUP($A391,'[1]DATOS PBI Artículos'!$A$4:$A$4,'[1]DATOS PBI Artículos'!$Y$4:$Y$4),[1]CRITERIOS!$P$79:$P$123,[1]CRITERIOS!$S$79:$S$123,),0)</f>
        <v>#N/A</v>
      </c>
      <c r="AB391" s="33" t="e">
        <f t="array" ref="AB391">IF((E391+V391-_xlfn.XLOOKUP(A391,'[1]DATOS PBI Artículos'!$A$4:$A$4,'[1]DATOS PBI Artículos'!$W$4:$W$4))/N391&gt;ROUNDUP([1]CRITERIOS!$M$16/(IF(COUNTIF([1]CRITERIOS!$BG$11:$BG$201,L391)&gt;=1,_xlfn.XLOOKUP(ARTÍCULOS!L391,[1]CRITERIOS!$BG$11:$BG$201,[1]CRITERIOS!$BJ$11:$BJ$201),_xlfn.XLOOKUP(ARTÍCULOS!C391,[1]CRITERIOS!$K$25:$K$42,[1]CRITERIOS!$M$25:$M$42))),0),ROUNDUP([1]CRITERIOS!$M$16/(IF(COUNTIF([1]CRITERIOS!$BG$11:$BG$201,L391)&gt;=1,_xlfn.XLOOKUP(ARTÍCULOS!L391,[1]CRITERIOS!$BG$11:$BG$201:#REF!,[1]CRITERIOS!$BJ$11:$BJ$201),_xlfn.XLOOKUP(ARTÍCULOS!C391,[1]CRITERIOS!$K$25:$K$42,[1]CRITERIOS!$M$25:$M$42))),0),(E391+V391-_xlfn.XLOOKUP(A391,'[1]DATOS PBI Artículos'!$A$4:$A$4,'[1]DATOS PBI Artículos'!$W$4:$W$4))/N391)</f>
        <v>#N/A</v>
      </c>
      <c r="AC391" s="33" t="e">
        <f>IF(N391=0,"",(ROUNDUP((N391/2)/(_xlfn.XLOOKUP(A391,'[1]DATOS PBI Artículos'!$A$4:$A$4,'[1]DATOS PBI Artículos'!$Z$4:$Z$4)*_xlfn.XLOOKUP(_xlfn.XLOOKUP(A391,'[1]DATOS PBI Artículos'!$A$4:$A$4,'[1]DATOS PBI Artículos'!$Y$4:$Y$4),[1]CRITERIOS!$P$79:$P$123,[1]CRITERIOS!$S$79:$S$123)),0)*[1]CRITERIOS!$M$80*([1]CRITERIOS!$M$110/[1]CRITERIOS!$M$86)+(_xlfn.XLOOKUP(A391,'[1]DATOS PBI Artículos'!$A$4:$A$4,'[1]DATOS PBI Artículos'!$AA$4:$AA$4)*([1]CRITERIOS!$M$95+[1]CRITERIOS!$M$98)))/N391)</f>
        <v>#N/A</v>
      </c>
      <c r="AD391" s="33" t="e">
        <f>IF(N391=0,"",(ROUNDUP((N391/2)/(_xlfn.XLOOKUP(A391,'[1]DATOS PBI Artículos'!$A$4:$A$4,'[1]DATOS PBI Artículos'!$Z$4:$Z$4)*_xlfn.XLOOKUP(_xlfn.XLOOKUP(A391,'[1]DATOS PBI Artículos'!$A$4:$A$4,'[1]DATOS PBI Artículos'!$Y$4:$Y$4),[1]CRITERIOS!$P$79:$P$123,[1]CRITERIOS!$S$79:$S$123)),0)*[1]CRITERIOS!$M$80*([1]CRITERIOS!$M$89*[1]CRITERIOS!$M$92)+((_xlfn.XLOOKUP(A391,'[1]DATOS PBI Artículos'!$A$4:$A$4,'[1]DATOS PBI Artículos'!$AA$4:$AA$4)/2)*([1]CRITERIOS!$M$95+[1]CRITERIOS!$M$98)))/N391)</f>
        <v>#N/A</v>
      </c>
      <c r="AE391" s="39" t="e">
        <f>IF($R391="MTO","",
IF($H391=0,ROUNDUP(((_xlfn.XLOOKUP($A391,'[1]DATOS PBI Artículos'!$A:$A,'[1]DATOS PBI Artículos'!$AL:$AL))/(_xlfn.XLOOKUP($AF$1,[1]CRITERIOS!$S$16:$S$39,[1]CRITERIOS!$Y$16:$Y$39))*$J391+$Z391)/$G391,0)*$G391,
((_xlfn.XLOOKUP($A391,'[1]DATOS PBI Artículos'!$A:$A,'[1]DATOS PBI Artículos'!$AL:$AL))/(_xlfn.XLOOKUP($AF$1,[1]CRITERIOS!$S$16:$S$39,[1]CRITERIOS!$Y$16:$Y$39))*$J391+$Z391)))</f>
        <v>#N/A</v>
      </c>
      <c r="AG391" s="39" t="e">
        <f>IF($R391="MTO","",
IF($H391=0,ROUNDUP(((_xlfn.XLOOKUP($A391,'[1]DATOS PBI Artículos'!$A:$A,'[1]DATOS PBI Artículos'!$AM:$AM))/(_xlfn.XLOOKUP($AH$1,[1]CRITERIOS!$S$16:$S$39,[1]CRITERIOS!$Y$16:$Y$39))*$J391+$Z391)/$G391,0)*$G391,
((_xlfn.XLOOKUP($A391,'[1]DATOS PBI Artículos'!$A:$A,'[1]DATOS PBI Artículos'!$AM:$AM))/(_xlfn.XLOOKUP($AH$1,[1]CRITERIOS!$S$16:$S$39,[1]CRITERIOS!$Y$16:$Y$39))*$J391+$Z391)))</f>
        <v>#N/A</v>
      </c>
      <c r="AI391" s="39" t="e">
        <f>IF($R391="MTO","",
IF($H391=0,ROUNDUP(((_xlfn.XLOOKUP($A391,'[1]DATOS PBI Artículos'!$A:$A,'[1]DATOS PBI Artículos'!$AN:$AN))/(_xlfn.XLOOKUP($AJ$1,[1]CRITERIOS!$S$16:$S$39,[1]CRITERIOS!$Y$16:$Y$39))*$J391+$Z391)/$G391,0)*$G391,
((_xlfn.XLOOKUP($A391,'[1]DATOS PBI Artículos'!$A:$A,'[1]DATOS PBI Artículos'!$AN:$AN))/(_xlfn.XLOOKUP($AJ$1,[1]CRITERIOS!$S$16:$S$39,[1]CRITERIOS!$Y$16:$Y$39))*$J391+$Z391)))</f>
        <v>#N/A</v>
      </c>
      <c r="AK391" s="39" t="e">
        <f>IF($R391="MTO","",
IF($H391=0,ROUNDUP(((_xlfn.XLOOKUP($A391,'[1]DATOS PBI Artículos'!$A:$A,'[1]DATOS PBI Artículos'!$AO:$AO))/(_xlfn.XLOOKUP($AL$1,[1]CRITERIOS!$S$16:$S$39,[1]CRITERIOS!$Y$16:$Y$39))*$J391+$Z391)/$G391,0)*$G391,
((_xlfn.XLOOKUP($A391,'[1]DATOS PBI Artículos'!$A:$A,'[1]DATOS PBI Artículos'!$AO:$AO))/(_xlfn.XLOOKUP($AL$1,[1]CRITERIOS!$S$16:$S$39,[1]CRITERIOS!$Y$16:$Y$39))*$J391+$Z391)))</f>
        <v>#N/A</v>
      </c>
    </row>
    <row r="392" spans="1:37" ht="25.8" hidden="1" x14ac:dyDescent="0.4">
      <c r="A392" s="41"/>
      <c r="B392" s="33">
        <f>_xlfn.XLOOKUP($A392,'[1]DATOS PBI Artículos'!A:A,'[1]DATOS PBI Artículos'!B:B)</f>
        <v>0</v>
      </c>
      <c r="C392" s="33">
        <f>_xlfn.XLOOKUP($A392,'[1]DATOS PBI Artículos'!A:A,'[1]DATOS PBI Artículos'!C:C)</f>
        <v>0</v>
      </c>
      <c r="D392" s="33">
        <f>_xlfn.XLOOKUP(A392,'[1]DATOS PBI Artículos'!A:A,'[1]DATOS PBI Artículos'!T:T)</f>
        <v>0</v>
      </c>
      <c r="E392" s="34">
        <f>IF(_xlfn.XLOOKUP($A392,'[1]DATOS PBI Artículos'!A:A,'[1]DATOS PBI Artículos'!AK:AK)="",_xlfn.XLOOKUP($A392,'[1]DATOS PBI Artículos'!A:A,'[1]DATOS PBI Artículos'!AJ:AJ),_xlfn.XLOOKUP($A392,'[1]DATOS PBI Artículos'!A:A,'[1]DATOS PBI Artículos'!AK:AK))</f>
        <v>0</v>
      </c>
      <c r="F392" s="35">
        <f>_xlfn.XLOOKUP($A392,'[1]DATOS PBI Artículos'!A:A,'[1]DATOS PBI Artículos'!AP:AP)</f>
        <v>0</v>
      </c>
      <c r="G392" s="34">
        <f>_xlfn.XLOOKUP($A392,'[1]DATOS PBI Artículos'!A:A,'[1]DATOS PBI Artículos'!AR:AR)</f>
        <v>0</v>
      </c>
      <c r="H392" s="34">
        <f>_xlfn.XLOOKUP($A392,'[1]DATOS PBI Artículos'!A:A,'[1]DATOS PBI Artículos'!AT:AT)</f>
        <v>0</v>
      </c>
      <c r="I392" s="34">
        <f>_xlfn.XLOOKUP($A392,'[1]DATOS PBI Artículos'!A:A,'[1]DATOS PBI Artículos'!AS:AS)</f>
        <v>0</v>
      </c>
      <c r="J392" s="35">
        <f>IF(COUNTIF([1]CRITERIOS!$F$179:$F$199,$A392)&gt;=1,
 IF(O392&lt;&gt;"",
    (O392/_xlfn.XLOOKUP(CONCATENATE(A392,L392),[1]MÁQUINAS!A:A,[1]MÁQUINAS!D:D))/24,
    (N392/_xlfn.XLOOKUP(CONCATENATE(A392,L392),[1]MÁQUINAS!A:A,[1]MÁQUINAS!D:D))/24),
  _xlfn.XLOOKUP($A392,'[1]DATOS PBI Artículos'!A:A,'[1]DATOS PBI Artículos'!AU:AU))</f>
        <v>0</v>
      </c>
      <c r="K392" s="36">
        <f>_xlfn.XLOOKUP($A392,'[1]DATOS PBI Artículos'!A:A,'[1]DATOS PBI Artículos'!AV:AV)</f>
        <v>0</v>
      </c>
      <c r="L392" s="33">
        <f>_xlfn.XLOOKUP(A392,[1]MÁQUINAS!B:B,[1]MÁQUINAS!C:C)</f>
        <v>0</v>
      </c>
      <c r="M392" s="34">
        <f t="array" ref="M392">_xlfn.XLOOKUP(A392,'[1]DATOS PBI Artículos'!A:A,'[1]DATOS PBI Artículos'!AX:$AX)</f>
        <v>0</v>
      </c>
      <c r="N392" s="37" t="e">
        <f>IF(I392="DV",
E392,
IF(COUNTIF([1]CRITERIOS!$I$179:$I$199,$A392)&gt;=1,
_xlfn.XLOOKUP($A392,[1]CRITERIOS!$I$179:$I$199,[1]CRITERIOS!$J$179:$J$199),
IF(COUNTIF([1]CRITERIOS!$L$179:$L$199,$A392)&gt;=1,
_xlfn.CEILING.MATH(IF($M392&gt;$E392,
$E392,
IF($M392&lt;$E392/ROUNDDOWN([1]CRITERIOS!$M$16/_xlfn.XLOOKUP($C392,[1]CRITERIOS!$K$25:$K$42,[1]CRITERIOS!$M$25:$M$42),
1),
E392/ROUNDDOWN([1]CRITERIOS!$M$16/_xlfn.XLOOKUP($C392,[1]CRITERIOS!$K$25:$K$42,[1]CRITERIOS!$M$25:$M$42),
1),
$M392)),
_xlfn.XLOOKUP($A392,[1]CRITERIOS!$L$179:$L$200,[1]CRITERIOS!$M$179:$M$200)),
_xlfn.CEILING.MATH(IF($M392&gt;$E392,
$E392,
IF($M392&lt;$E392/ROUNDDOWN([1]CRITERIOS!$M$16/_xlfn.XLOOKUP($C392,[1]CRITERIOS!$K$25:$K$42,[1]CRITERIOS!$M$25:$M$42),
1),
E392/ROUNDDOWN([1]CRITERIOS!$M$16/_xlfn.XLOOKUP($C392,[1]CRITERIOS!$K$25:$K$42,[1]CRITERIOS!$M$25:$M$42),
1),
$M392)),_xlfn.XLOOKUP(A392,'[1]DATOS PBI Artículos'!A:A,'[1]DATOS PBI Artículos'!Z:Z
)))))</f>
        <v>#N/A</v>
      </c>
      <c r="Q392" s="38" t="e">
        <f>IF(AND(O392="",N392=0),
0,
   IF(COUNTIF([1]CRITERIOS!$F$179:$F$199,$A392)&gt;=1,
   1,
   IF(R392="MTO",
      $D392,
      ROUNDUP(
                    IF(($E392-SUMIF('[1]DATOS PBI Artículos'!A:A,A392,'[1]DATOS PBI Artículos'!X:X)+($V392-_xlfn.XLOOKUP(A392,'[1]DATOS PBI Artículos'!A:A,'[1]DATOS PBI Artículos'!W:W)))&lt;0,
                    0,
                    IF(($E392-SUMIF('[1]DATOS PBI Artículos'!A:A,A392,'[1]DATOS PBI Artículos'!X:X)+$V392-_xlfn.XLOOKUP($A392,'[1]DATOS PBI Artículos'!A:A,'[1]DATOS PBI Artículos'!W:W))/IF($O392="",$N392,$O392)&gt;ROUNDUP([1]CRITERIOS!$M$16/(IF(COUNTIF([1]CRITERIOS!$BG$11:$BG$201,L392)&gt;=1,_xlfn.XLOOKUP($C392,[1]CRITERIOS!$K$25:$K$42,[1]CRITERIOS!$M$25:$M$42),_xlfn.XLOOKUP($C392,[1]CRITERIOS!$K$25:$K$42,[1]CRITERIOS!$M$25:$M$42))),0),
                    ROUNDUP([1]CRITERIOS!$M$16/(IF(COUNTIF([1]CRITERIOS!$BG$11:$BG$201,$L392)&gt;=1,_xlfn.XLOOKUP($C392,[1]CRITERIOS!$K$25:$K$42,[1]CRITERIOS!$M$25:$M$42),_xlfn.XLOOKUP($C392,[1]CRITERIOS!$K$25:$K$42,[1]CRITERIOS!$M$25:$M$42))),0),
                    (E392+V392-SUMIF('[1]DATOS PBI Artículos'!A:A,A392,'[1]DATOS PBI Artículos'!X:X)-_xlfn.XLOOKUP(A392,'[1]DATOS PBI Artículos'!A:A,'[1]DATOS PBI Artículos'!W:W))/IF($O392="",$N392,$O392))),0))))</f>
        <v>#N/A</v>
      </c>
      <c r="R392" s="33" t="e">
        <f>IF(U392&lt;&gt;"",U392,IF(F392="DV","MTO",IF(N392=0,"MTO",_xlfn.XLOOKUP(CONCATENATE(S392,T392),[1]CRITERIOS!$K$160:$K$168,[1]CRITERIOS!$N$160:$N$168))))</f>
        <v>#N/A</v>
      </c>
      <c r="S392" s="33" t="e">
        <f>IF(G392="DV","MTO",IF(N392=0,"MTO",IF(OR(AND(N392=0,O392=""),IF(O392="",G392/N392,G392/O392)&gt;[1]CRITERIOS!$G$163),"MTO",IF(IF(O392="",G392/N392,G392/O392)&lt;[1]CRITERIOS!$H$161,"MTS","MTOS"))))</f>
        <v>#N/A</v>
      </c>
      <c r="T392" s="33" t="e">
        <f>IF(F392="DV","MTO",IF(OR(AND($N392=0,O392=""),$F392/$J392&gt;[1]CRITERIOS!$G$170,$F392="DV"),"MTO",IF($F392/$J392&lt;[1]CRITERIOS!$H$168,"MTS","MTOS")))</f>
        <v>#N/A</v>
      </c>
      <c r="V392" s="34" t="e">
        <f t="shared" si="19"/>
        <v>#N/A</v>
      </c>
      <c r="X392" s="34" t="e">
        <f t="shared" si="20"/>
        <v>#N/A</v>
      </c>
      <c r="Y392" s="34" t="e">
        <f t="shared" si="21"/>
        <v>#N/A</v>
      </c>
      <c r="Z392" s="34" t="e">
        <f>IF($R392="MTO",
0,
($H392+$K392*($E392/[1]CRITERIOS!$M$16))/[1]CRITERIOS!$X$48)</f>
        <v>#N/A</v>
      </c>
      <c r="AA392" s="34" t="e">
        <f>ROUNDUP(($Y392/_xlfn.XLOOKUP($A392,'[1]DATOS PBI Artículos'!$A$4:$A$4,'[1]DATOS PBI Artículos'!$Z$4:$Z$4))/_xlfn.XLOOKUP(_xlfn.XLOOKUP($A392,'[1]DATOS PBI Artículos'!$A$4:$A$4,'[1]DATOS PBI Artículos'!$Y$4:$Y$4),[1]CRITERIOS!$P$79:$P$123,[1]CRITERIOS!$S$79:$S$123,),0)</f>
        <v>#N/A</v>
      </c>
      <c r="AB392" s="33" t="e">
        <f t="array" ref="AB392">IF((E392+V392-_xlfn.XLOOKUP(A392,'[1]DATOS PBI Artículos'!$A$4:$A$4,'[1]DATOS PBI Artículos'!$W$4:$W$4))/N392&gt;ROUNDUP([1]CRITERIOS!$M$16/(IF(COUNTIF([1]CRITERIOS!$BG$11:$BG$201,L392)&gt;=1,_xlfn.XLOOKUP(ARTÍCULOS!L392,[1]CRITERIOS!$BG$11:$BG$201,[1]CRITERIOS!$BJ$11:$BJ$201),_xlfn.XLOOKUP(ARTÍCULOS!C392,[1]CRITERIOS!$K$25:$K$42,[1]CRITERIOS!$M$25:$M$42))),0),ROUNDUP([1]CRITERIOS!$M$16/(IF(COUNTIF([1]CRITERIOS!$BG$11:$BG$201,L392)&gt;=1,_xlfn.XLOOKUP(ARTÍCULOS!L392,[1]CRITERIOS!$BG$11:$BG$201:#REF!,[1]CRITERIOS!$BJ$11:$BJ$201),_xlfn.XLOOKUP(ARTÍCULOS!C392,[1]CRITERIOS!$K$25:$K$42,[1]CRITERIOS!$M$25:$M$42))),0),(E392+V392-_xlfn.XLOOKUP(A392,'[1]DATOS PBI Artículos'!$A$4:$A$4,'[1]DATOS PBI Artículos'!$W$4:$W$4))/N392)</f>
        <v>#N/A</v>
      </c>
      <c r="AC392" s="33" t="e">
        <f>IF(N392=0,"",(ROUNDUP((N392/2)/(_xlfn.XLOOKUP(A392,'[1]DATOS PBI Artículos'!$A$4:$A$4,'[1]DATOS PBI Artículos'!$Z$4:$Z$4)*_xlfn.XLOOKUP(_xlfn.XLOOKUP(A392,'[1]DATOS PBI Artículos'!$A$4:$A$4,'[1]DATOS PBI Artículos'!$Y$4:$Y$4),[1]CRITERIOS!$P$79:$P$123,[1]CRITERIOS!$S$79:$S$123)),0)*[1]CRITERIOS!$M$80*([1]CRITERIOS!$M$110/[1]CRITERIOS!$M$86)+(_xlfn.XLOOKUP(A392,'[1]DATOS PBI Artículos'!$A$4:$A$4,'[1]DATOS PBI Artículos'!$AA$4:$AA$4)*([1]CRITERIOS!$M$95+[1]CRITERIOS!$M$98)))/N392)</f>
        <v>#N/A</v>
      </c>
      <c r="AD392" s="33" t="e">
        <f>IF(N392=0,"",(ROUNDUP((N392/2)/(_xlfn.XLOOKUP(A392,'[1]DATOS PBI Artículos'!$A$4:$A$4,'[1]DATOS PBI Artículos'!$Z$4:$Z$4)*_xlfn.XLOOKUP(_xlfn.XLOOKUP(A392,'[1]DATOS PBI Artículos'!$A$4:$A$4,'[1]DATOS PBI Artículos'!$Y$4:$Y$4),[1]CRITERIOS!$P$79:$P$123,[1]CRITERIOS!$S$79:$S$123)),0)*[1]CRITERIOS!$M$80*([1]CRITERIOS!$M$89*[1]CRITERIOS!$M$92)+((_xlfn.XLOOKUP(A392,'[1]DATOS PBI Artículos'!$A$4:$A$4,'[1]DATOS PBI Artículos'!$AA$4:$AA$4)/2)*([1]CRITERIOS!$M$95+[1]CRITERIOS!$M$98)))/N392)</f>
        <v>#N/A</v>
      </c>
      <c r="AE392" s="39" t="e">
        <f>IF($R392="MTO","",
IF($H392=0,ROUNDUP(((_xlfn.XLOOKUP($A392,'[1]DATOS PBI Artículos'!$A:$A,'[1]DATOS PBI Artículos'!$AL:$AL))/(_xlfn.XLOOKUP($AF$1,[1]CRITERIOS!$S$16:$S$39,[1]CRITERIOS!$Y$16:$Y$39))*$J392+$Z392)/$G392,0)*$G392,
((_xlfn.XLOOKUP($A392,'[1]DATOS PBI Artículos'!$A:$A,'[1]DATOS PBI Artículos'!$AL:$AL))/(_xlfn.XLOOKUP($AF$1,[1]CRITERIOS!$S$16:$S$39,[1]CRITERIOS!$Y$16:$Y$39))*$J392+$Z392)))</f>
        <v>#N/A</v>
      </c>
      <c r="AG392" s="39" t="e">
        <f>IF($R392="MTO","",
IF($H392=0,ROUNDUP(((_xlfn.XLOOKUP($A392,'[1]DATOS PBI Artículos'!$A:$A,'[1]DATOS PBI Artículos'!$AM:$AM))/(_xlfn.XLOOKUP($AH$1,[1]CRITERIOS!$S$16:$S$39,[1]CRITERIOS!$Y$16:$Y$39))*$J392+$Z392)/$G392,0)*$G392,
((_xlfn.XLOOKUP($A392,'[1]DATOS PBI Artículos'!$A:$A,'[1]DATOS PBI Artículos'!$AM:$AM))/(_xlfn.XLOOKUP($AH$1,[1]CRITERIOS!$S$16:$S$39,[1]CRITERIOS!$Y$16:$Y$39))*$J392+$Z392)))</f>
        <v>#N/A</v>
      </c>
      <c r="AI392" s="39" t="e">
        <f>IF($R392="MTO","",
IF($H392=0,ROUNDUP(((_xlfn.XLOOKUP($A392,'[1]DATOS PBI Artículos'!$A:$A,'[1]DATOS PBI Artículos'!$AN:$AN))/(_xlfn.XLOOKUP($AJ$1,[1]CRITERIOS!$S$16:$S$39,[1]CRITERIOS!$Y$16:$Y$39))*$J392+$Z392)/$G392,0)*$G392,
((_xlfn.XLOOKUP($A392,'[1]DATOS PBI Artículos'!$A:$A,'[1]DATOS PBI Artículos'!$AN:$AN))/(_xlfn.XLOOKUP($AJ$1,[1]CRITERIOS!$S$16:$S$39,[1]CRITERIOS!$Y$16:$Y$39))*$J392+$Z392)))</f>
        <v>#N/A</v>
      </c>
      <c r="AK392" s="39" t="e">
        <f>IF($R392="MTO","",
IF($H392=0,ROUNDUP(((_xlfn.XLOOKUP($A392,'[1]DATOS PBI Artículos'!$A:$A,'[1]DATOS PBI Artículos'!$AO:$AO))/(_xlfn.XLOOKUP($AL$1,[1]CRITERIOS!$S$16:$S$39,[1]CRITERIOS!$Y$16:$Y$39))*$J392+$Z392)/$G392,0)*$G392,
((_xlfn.XLOOKUP($A392,'[1]DATOS PBI Artículos'!$A:$A,'[1]DATOS PBI Artículos'!$AO:$AO))/(_xlfn.XLOOKUP($AL$1,[1]CRITERIOS!$S$16:$S$39,[1]CRITERIOS!$Y$16:$Y$39))*$J392+$Z392)))</f>
        <v>#N/A</v>
      </c>
    </row>
    <row r="393" spans="1:37" ht="25.8" hidden="1" x14ac:dyDescent="0.4">
      <c r="A393" s="41"/>
      <c r="B393" s="33">
        <f>_xlfn.XLOOKUP($A393,'[1]DATOS PBI Artículos'!A:A,'[1]DATOS PBI Artículos'!B:B)</f>
        <v>0</v>
      </c>
      <c r="C393" s="33">
        <f>_xlfn.XLOOKUP($A393,'[1]DATOS PBI Artículos'!A:A,'[1]DATOS PBI Artículos'!C:C)</f>
        <v>0</v>
      </c>
      <c r="D393" s="33">
        <f>_xlfn.XLOOKUP(A393,'[1]DATOS PBI Artículos'!A:A,'[1]DATOS PBI Artículos'!T:T)</f>
        <v>0</v>
      </c>
      <c r="E393" s="34">
        <f>IF(_xlfn.XLOOKUP($A393,'[1]DATOS PBI Artículos'!A:A,'[1]DATOS PBI Artículos'!AK:AK)="",_xlfn.XLOOKUP($A393,'[1]DATOS PBI Artículos'!A:A,'[1]DATOS PBI Artículos'!AJ:AJ),_xlfn.XLOOKUP($A393,'[1]DATOS PBI Artículos'!A:A,'[1]DATOS PBI Artículos'!AK:AK))</f>
        <v>0</v>
      </c>
      <c r="F393" s="35">
        <f>_xlfn.XLOOKUP($A393,'[1]DATOS PBI Artículos'!A:A,'[1]DATOS PBI Artículos'!AP:AP)</f>
        <v>0</v>
      </c>
      <c r="G393" s="34">
        <f>_xlfn.XLOOKUP($A393,'[1]DATOS PBI Artículos'!A:A,'[1]DATOS PBI Artículos'!AR:AR)</f>
        <v>0</v>
      </c>
      <c r="H393" s="34">
        <f>_xlfn.XLOOKUP($A393,'[1]DATOS PBI Artículos'!A:A,'[1]DATOS PBI Artículos'!AT:AT)</f>
        <v>0</v>
      </c>
      <c r="I393" s="34">
        <f>_xlfn.XLOOKUP($A393,'[1]DATOS PBI Artículos'!A:A,'[1]DATOS PBI Artículos'!AS:AS)</f>
        <v>0</v>
      </c>
      <c r="J393" s="35">
        <f>IF(COUNTIF([1]CRITERIOS!$F$179:$F$199,$A393)&gt;=1,
 IF(O393&lt;&gt;"",
    (O393/_xlfn.XLOOKUP(CONCATENATE(A393,L393),[1]MÁQUINAS!A:A,[1]MÁQUINAS!D:D))/24,
    (N393/_xlfn.XLOOKUP(CONCATENATE(A393,L393),[1]MÁQUINAS!A:A,[1]MÁQUINAS!D:D))/24),
  _xlfn.XLOOKUP($A393,'[1]DATOS PBI Artículos'!A:A,'[1]DATOS PBI Artículos'!AU:AU))</f>
        <v>0</v>
      </c>
      <c r="K393" s="36">
        <f>_xlfn.XLOOKUP($A393,'[1]DATOS PBI Artículos'!A:A,'[1]DATOS PBI Artículos'!AV:AV)</f>
        <v>0</v>
      </c>
      <c r="L393" s="33">
        <f>_xlfn.XLOOKUP(A393,[1]MÁQUINAS!B:B,[1]MÁQUINAS!C:C)</f>
        <v>0</v>
      </c>
      <c r="M393" s="34">
        <f t="array" ref="M393">_xlfn.XLOOKUP(A393,'[1]DATOS PBI Artículos'!A:A,'[1]DATOS PBI Artículos'!AX:$AX)</f>
        <v>0</v>
      </c>
      <c r="N393" s="37" t="e">
        <f>IF(I393="DV",
E393,
IF(COUNTIF([1]CRITERIOS!$I$179:$I$199,$A393)&gt;=1,
_xlfn.XLOOKUP($A393,[1]CRITERIOS!$I$179:$I$199,[1]CRITERIOS!$J$179:$J$199),
IF(COUNTIF([1]CRITERIOS!$L$179:$L$199,$A393)&gt;=1,
_xlfn.CEILING.MATH(IF($M393&gt;$E393,
$E393,
IF($M393&lt;$E393/ROUNDDOWN([1]CRITERIOS!$M$16/_xlfn.XLOOKUP($C393,[1]CRITERIOS!$K$25:$K$42,[1]CRITERIOS!$M$25:$M$42),
1),
E393/ROUNDDOWN([1]CRITERIOS!$M$16/_xlfn.XLOOKUP($C393,[1]CRITERIOS!$K$25:$K$42,[1]CRITERIOS!$M$25:$M$42),
1),
$M393)),
_xlfn.XLOOKUP($A393,[1]CRITERIOS!$L$179:$L$200,[1]CRITERIOS!$M$179:$M$200)),
_xlfn.CEILING.MATH(IF($M393&gt;$E393,
$E393,
IF($M393&lt;$E393/ROUNDDOWN([1]CRITERIOS!$M$16/_xlfn.XLOOKUP($C393,[1]CRITERIOS!$K$25:$K$42,[1]CRITERIOS!$M$25:$M$42),
1),
E393/ROUNDDOWN([1]CRITERIOS!$M$16/_xlfn.XLOOKUP($C393,[1]CRITERIOS!$K$25:$K$42,[1]CRITERIOS!$M$25:$M$42),
1),
$M393)),_xlfn.XLOOKUP(A393,'[1]DATOS PBI Artículos'!A:A,'[1]DATOS PBI Artículos'!Z:Z
)))))</f>
        <v>#N/A</v>
      </c>
      <c r="Q393" s="38" t="e">
        <f>IF(AND(O393="",N393=0),
0,
   IF(COUNTIF([1]CRITERIOS!$F$179:$F$199,$A393)&gt;=1,
   1,
   IF(R393="MTO",
      $D393,
      ROUNDUP(
                    IF(($E393-SUMIF('[1]DATOS PBI Artículos'!A:A,A393,'[1]DATOS PBI Artículos'!X:X)+($V393-_xlfn.XLOOKUP(A393,'[1]DATOS PBI Artículos'!A:A,'[1]DATOS PBI Artículos'!W:W)))&lt;0,
                    0,
                    IF(($E393-SUMIF('[1]DATOS PBI Artículos'!A:A,A393,'[1]DATOS PBI Artículos'!X:X)+$V393-_xlfn.XLOOKUP($A393,'[1]DATOS PBI Artículos'!A:A,'[1]DATOS PBI Artículos'!W:W))/IF($O393="",$N393,$O393)&gt;ROUNDUP([1]CRITERIOS!$M$16/(IF(COUNTIF([1]CRITERIOS!$BG$11:$BG$201,L393)&gt;=1,_xlfn.XLOOKUP($C393,[1]CRITERIOS!$K$25:$K$42,[1]CRITERIOS!$M$25:$M$42),_xlfn.XLOOKUP($C393,[1]CRITERIOS!$K$25:$K$42,[1]CRITERIOS!$M$25:$M$42))),0),
                    ROUNDUP([1]CRITERIOS!$M$16/(IF(COUNTIF([1]CRITERIOS!$BG$11:$BG$201,$L393)&gt;=1,_xlfn.XLOOKUP($C393,[1]CRITERIOS!$K$25:$K$42,[1]CRITERIOS!$M$25:$M$42),_xlfn.XLOOKUP($C393,[1]CRITERIOS!$K$25:$K$42,[1]CRITERIOS!$M$25:$M$42))),0),
                    (E393+V393-SUMIF('[1]DATOS PBI Artículos'!A:A,A393,'[1]DATOS PBI Artículos'!X:X)-_xlfn.XLOOKUP(A393,'[1]DATOS PBI Artículos'!A:A,'[1]DATOS PBI Artículos'!W:W))/IF($O393="",$N393,$O393))),0))))</f>
        <v>#N/A</v>
      </c>
      <c r="R393" s="33" t="e">
        <f>IF(U393&lt;&gt;"",U393,IF(F393="DV","MTO",IF(N393=0,"MTO",_xlfn.XLOOKUP(CONCATENATE(S393,T393),[1]CRITERIOS!$K$160:$K$168,[1]CRITERIOS!$N$160:$N$168))))</f>
        <v>#N/A</v>
      </c>
      <c r="S393" s="33" t="e">
        <f>IF(G393="DV","MTO",IF(N393=0,"MTO",IF(OR(AND(N393=0,O393=""),IF(O393="",G393/N393,G393/O393)&gt;[1]CRITERIOS!$G$163),"MTO",IF(IF(O393="",G393/N393,G393/O393)&lt;[1]CRITERIOS!$H$161,"MTS","MTOS"))))</f>
        <v>#N/A</v>
      </c>
      <c r="T393" s="33" t="e">
        <f>IF(F393="DV","MTO",IF(OR(AND($N393=0,O393=""),$F393/$J393&gt;[1]CRITERIOS!$G$170,$F393="DV"),"MTO",IF($F393/$J393&lt;[1]CRITERIOS!$H$168,"MTS","MTOS")))</f>
        <v>#N/A</v>
      </c>
      <c r="V393" s="34" t="e">
        <f t="shared" si="19"/>
        <v>#N/A</v>
      </c>
      <c r="X393" s="34" t="e">
        <f t="shared" si="20"/>
        <v>#N/A</v>
      </c>
      <c r="Y393" s="34" t="e">
        <f t="shared" si="21"/>
        <v>#N/A</v>
      </c>
      <c r="Z393" s="34" t="e">
        <f>IF($R393="MTO",
0,
($H393+$K393*($E393/[1]CRITERIOS!$M$16))/[1]CRITERIOS!$X$48)</f>
        <v>#N/A</v>
      </c>
      <c r="AA393" s="34" t="e">
        <f>ROUNDUP(($Y393/_xlfn.XLOOKUP($A393,'[1]DATOS PBI Artículos'!$A$4:$A$4,'[1]DATOS PBI Artículos'!$Z$4:$Z$4))/_xlfn.XLOOKUP(_xlfn.XLOOKUP($A393,'[1]DATOS PBI Artículos'!$A$4:$A$4,'[1]DATOS PBI Artículos'!$Y$4:$Y$4),[1]CRITERIOS!$P$79:$P$123,[1]CRITERIOS!$S$79:$S$123,),0)</f>
        <v>#N/A</v>
      </c>
      <c r="AB393" s="33" t="e">
        <f t="array" ref="AB393">IF((E393+V393-_xlfn.XLOOKUP(A393,'[1]DATOS PBI Artículos'!$A$4:$A$4,'[1]DATOS PBI Artículos'!$W$4:$W$4))/N393&gt;ROUNDUP([1]CRITERIOS!$M$16/(IF(COUNTIF([1]CRITERIOS!$BG$11:$BG$201,L393)&gt;=1,_xlfn.XLOOKUP(ARTÍCULOS!L393,[1]CRITERIOS!$BG$11:$BG$201,[1]CRITERIOS!$BJ$11:$BJ$201),_xlfn.XLOOKUP(ARTÍCULOS!C393,[1]CRITERIOS!$K$25:$K$42,[1]CRITERIOS!$M$25:$M$42))),0),ROUNDUP([1]CRITERIOS!$M$16/(IF(COUNTIF([1]CRITERIOS!$BG$11:$BG$201,L393)&gt;=1,_xlfn.XLOOKUP(ARTÍCULOS!L393,[1]CRITERIOS!$BG$11:$BG$201:#REF!,[1]CRITERIOS!$BJ$11:$BJ$201),_xlfn.XLOOKUP(ARTÍCULOS!C393,[1]CRITERIOS!$K$25:$K$42,[1]CRITERIOS!$M$25:$M$42))),0),(E393+V393-_xlfn.XLOOKUP(A393,'[1]DATOS PBI Artículos'!$A$4:$A$4,'[1]DATOS PBI Artículos'!$W$4:$W$4))/N393)</f>
        <v>#N/A</v>
      </c>
      <c r="AC393" s="33" t="e">
        <f>IF(N393=0,"",(ROUNDUP((N393/2)/(_xlfn.XLOOKUP(A393,'[1]DATOS PBI Artículos'!$A$4:$A$4,'[1]DATOS PBI Artículos'!$Z$4:$Z$4)*_xlfn.XLOOKUP(_xlfn.XLOOKUP(A393,'[1]DATOS PBI Artículos'!$A$4:$A$4,'[1]DATOS PBI Artículos'!$Y$4:$Y$4),[1]CRITERIOS!$P$79:$P$123,[1]CRITERIOS!$S$79:$S$123)),0)*[1]CRITERIOS!$M$80*([1]CRITERIOS!$M$110/[1]CRITERIOS!$M$86)+(_xlfn.XLOOKUP(A393,'[1]DATOS PBI Artículos'!$A$4:$A$4,'[1]DATOS PBI Artículos'!$AA$4:$AA$4)*([1]CRITERIOS!$M$95+[1]CRITERIOS!$M$98)))/N393)</f>
        <v>#N/A</v>
      </c>
      <c r="AD393" s="33" t="e">
        <f>IF(N393=0,"",(ROUNDUP((N393/2)/(_xlfn.XLOOKUP(A393,'[1]DATOS PBI Artículos'!$A$4:$A$4,'[1]DATOS PBI Artículos'!$Z$4:$Z$4)*_xlfn.XLOOKUP(_xlfn.XLOOKUP(A393,'[1]DATOS PBI Artículos'!$A$4:$A$4,'[1]DATOS PBI Artículos'!$Y$4:$Y$4),[1]CRITERIOS!$P$79:$P$123,[1]CRITERIOS!$S$79:$S$123)),0)*[1]CRITERIOS!$M$80*([1]CRITERIOS!$M$89*[1]CRITERIOS!$M$92)+((_xlfn.XLOOKUP(A393,'[1]DATOS PBI Artículos'!$A$4:$A$4,'[1]DATOS PBI Artículos'!$AA$4:$AA$4)/2)*([1]CRITERIOS!$M$95+[1]CRITERIOS!$M$98)))/N393)</f>
        <v>#N/A</v>
      </c>
      <c r="AE393" s="39" t="e">
        <f>IF($R393="MTO","",
IF($H393=0,ROUNDUP(((_xlfn.XLOOKUP($A393,'[1]DATOS PBI Artículos'!$A:$A,'[1]DATOS PBI Artículos'!$AL:$AL))/(_xlfn.XLOOKUP($AF$1,[1]CRITERIOS!$S$16:$S$39,[1]CRITERIOS!$Y$16:$Y$39))*$J393+$Z393)/$G393,0)*$G393,
((_xlfn.XLOOKUP($A393,'[1]DATOS PBI Artículos'!$A:$A,'[1]DATOS PBI Artículos'!$AL:$AL))/(_xlfn.XLOOKUP($AF$1,[1]CRITERIOS!$S$16:$S$39,[1]CRITERIOS!$Y$16:$Y$39))*$J393+$Z393)))</f>
        <v>#N/A</v>
      </c>
      <c r="AG393" s="39" t="e">
        <f>IF($R393="MTO","",
IF($H393=0,ROUNDUP(((_xlfn.XLOOKUP($A393,'[1]DATOS PBI Artículos'!$A:$A,'[1]DATOS PBI Artículos'!$AM:$AM))/(_xlfn.XLOOKUP($AH$1,[1]CRITERIOS!$S$16:$S$39,[1]CRITERIOS!$Y$16:$Y$39))*$J393+$Z393)/$G393,0)*$G393,
((_xlfn.XLOOKUP($A393,'[1]DATOS PBI Artículos'!$A:$A,'[1]DATOS PBI Artículos'!$AM:$AM))/(_xlfn.XLOOKUP($AH$1,[1]CRITERIOS!$S$16:$S$39,[1]CRITERIOS!$Y$16:$Y$39))*$J393+$Z393)))</f>
        <v>#N/A</v>
      </c>
      <c r="AI393" s="39" t="e">
        <f>IF($R393="MTO","",
IF($H393=0,ROUNDUP(((_xlfn.XLOOKUP($A393,'[1]DATOS PBI Artículos'!$A:$A,'[1]DATOS PBI Artículos'!$AN:$AN))/(_xlfn.XLOOKUP($AJ$1,[1]CRITERIOS!$S$16:$S$39,[1]CRITERIOS!$Y$16:$Y$39))*$J393+$Z393)/$G393,0)*$G393,
((_xlfn.XLOOKUP($A393,'[1]DATOS PBI Artículos'!$A:$A,'[1]DATOS PBI Artículos'!$AN:$AN))/(_xlfn.XLOOKUP($AJ$1,[1]CRITERIOS!$S$16:$S$39,[1]CRITERIOS!$Y$16:$Y$39))*$J393+$Z393)))</f>
        <v>#N/A</v>
      </c>
      <c r="AK393" s="39" t="e">
        <f>IF($R393="MTO","",
IF($H393=0,ROUNDUP(((_xlfn.XLOOKUP($A393,'[1]DATOS PBI Artículos'!$A:$A,'[1]DATOS PBI Artículos'!$AO:$AO))/(_xlfn.XLOOKUP($AL$1,[1]CRITERIOS!$S$16:$S$39,[1]CRITERIOS!$Y$16:$Y$39))*$J393+$Z393)/$G393,0)*$G393,
((_xlfn.XLOOKUP($A393,'[1]DATOS PBI Artículos'!$A:$A,'[1]DATOS PBI Artículos'!$AO:$AO))/(_xlfn.XLOOKUP($AL$1,[1]CRITERIOS!$S$16:$S$39,[1]CRITERIOS!$Y$16:$Y$39))*$J393+$Z393)))</f>
        <v>#N/A</v>
      </c>
    </row>
    <row r="394" spans="1:37" ht="25.8" hidden="1" x14ac:dyDescent="0.4">
      <c r="A394" s="41"/>
      <c r="B394" s="33">
        <f>_xlfn.XLOOKUP($A394,'[1]DATOS PBI Artículos'!A:A,'[1]DATOS PBI Artículos'!B:B)</f>
        <v>0</v>
      </c>
      <c r="C394" s="33">
        <f>_xlfn.XLOOKUP($A394,'[1]DATOS PBI Artículos'!A:A,'[1]DATOS PBI Artículos'!C:C)</f>
        <v>0</v>
      </c>
      <c r="D394" s="33">
        <f>_xlfn.XLOOKUP(A394,'[1]DATOS PBI Artículos'!A:A,'[1]DATOS PBI Artículos'!T:T)</f>
        <v>0</v>
      </c>
      <c r="E394" s="34">
        <f>IF(_xlfn.XLOOKUP($A394,'[1]DATOS PBI Artículos'!A:A,'[1]DATOS PBI Artículos'!AK:AK)="",_xlfn.XLOOKUP($A394,'[1]DATOS PBI Artículos'!A:A,'[1]DATOS PBI Artículos'!AJ:AJ),_xlfn.XLOOKUP($A394,'[1]DATOS PBI Artículos'!A:A,'[1]DATOS PBI Artículos'!AK:AK))</f>
        <v>0</v>
      </c>
      <c r="F394" s="35">
        <f>_xlfn.XLOOKUP($A394,'[1]DATOS PBI Artículos'!A:A,'[1]DATOS PBI Artículos'!AP:AP)</f>
        <v>0</v>
      </c>
      <c r="G394" s="34">
        <f>_xlfn.XLOOKUP($A394,'[1]DATOS PBI Artículos'!A:A,'[1]DATOS PBI Artículos'!AR:AR)</f>
        <v>0</v>
      </c>
      <c r="H394" s="34">
        <f>_xlfn.XLOOKUP($A394,'[1]DATOS PBI Artículos'!A:A,'[1]DATOS PBI Artículos'!AT:AT)</f>
        <v>0</v>
      </c>
      <c r="I394" s="34">
        <f>_xlfn.XLOOKUP($A394,'[1]DATOS PBI Artículos'!A:A,'[1]DATOS PBI Artículos'!AS:AS)</f>
        <v>0</v>
      </c>
      <c r="J394" s="35">
        <f>IF(COUNTIF([1]CRITERIOS!$F$179:$F$199,$A394)&gt;=1,
 IF(O394&lt;&gt;"",
    (O394/_xlfn.XLOOKUP(CONCATENATE(A394,L394),[1]MÁQUINAS!A:A,[1]MÁQUINAS!D:D))/24,
    (N394/_xlfn.XLOOKUP(CONCATENATE(A394,L394),[1]MÁQUINAS!A:A,[1]MÁQUINAS!D:D))/24),
  _xlfn.XLOOKUP($A394,'[1]DATOS PBI Artículos'!A:A,'[1]DATOS PBI Artículos'!AU:AU))</f>
        <v>0</v>
      </c>
      <c r="K394" s="36">
        <f>_xlfn.XLOOKUP($A394,'[1]DATOS PBI Artículos'!A:A,'[1]DATOS PBI Artículos'!AV:AV)</f>
        <v>0</v>
      </c>
      <c r="L394" s="33">
        <f>_xlfn.XLOOKUP(A394,[1]MÁQUINAS!B:B,[1]MÁQUINAS!C:C)</f>
        <v>0</v>
      </c>
      <c r="M394" s="34">
        <f t="array" ref="M394">_xlfn.XLOOKUP(A394,'[1]DATOS PBI Artículos'!A:A,'[1]DATOS PBI Artículos'!AX:$AX)</f>
        <v>0</v>
      </c>
      <c r="N394" s="37" t="e">
        <f>IF(I394="DV",
E394,
IF(COUNTIF([1]CRITERIOS!$I$179:$I$199,$A394)&gt;=1,
_xlfn.XLOOKUP($A394,[1]CRITERIOS!$I$179:$I$199,[1]CRITERIOS!$J$179:$J$199),
IF(COUNTIF([1]CRITERIOS!$L$179:$L$199,$A394)&gt;=1,
_xlfn.CEILING.MATH(IF($M394&gt;$E394,
$E394,
IF($M394&lt;$E394/ROUNDDOWN([1]CRITERIOS!$M$16/_xlfn.XLOOKUP($C394,[1]CRITERIOS!$K$25:$K$42,[1]CRITERIOS!$M$25:$M$42),
1),
E394/ROUNDDOWN([1]CRITERIOS!$M$16/_xlfn.XLOOKUP($C394,[1]CRITERIOS!$K$25:$K$42,[1]CRITERIOS!$M$25:$M$42),
1),
$M394)),
_xlfn.XLOOKUP($A394,[1]CRITERIOS!$L$179:$L$200,[1]CRITERIOS!$M$179:$M$200)),
_xlfn.CEILING.MATH(IF($M394&gt;$E394,
$E394,
IF($M394&lt;$E394/ROUNDDOWN([1]CRITERIOS!$M$16/_xlfn.XLOOKUP($C394,[1]CRITERIOS!$K$25:$K$42,[1]CRITERIOS!$M$25:$M$42),
1),
E394/ROUNDDOWN([1]CRITERIOS!$M$16/_xlfn.XLOOKUP($C394,[1]CRITERIOS!$K$25:$K$42,[1]CRITERIOS!$M$25:$M$42),
1),
$M394)),_xlfn.XLOOKUP(A394,'[1]DATOS PBI Artículos'!A:A,'[1]DATOS PBI Artículos'!Z:Z
)))))</f>
        <v>#N/A</v>
      </c>
      <c r="Q394" s="38" t="e">
        <f>IF(AND(O394="",N394=0),
0,
   IF(COUNTIF([1]CRITERIOS!$F$179:$F$199,$A394)&gt;=1,
   1,
   IF(R394="MTO",
      $D394,
      ROUNDUP(
                    IF(($E394-SUMIF('[1]DATOS PBI Artículos'!A:A,A394,'[1]DATOS PBI Artículos'!X:X)+($V394-_xlfn.XLOOKUP(A394,'[1]DATOS PBI Artículos'!A:A,'[1]DATOS PBI Artículos'!W:W)))&lt;0,
                    0,
                    IF(($E394-SUMIF('[1]DATOS PBI Artículos'!A:A,A394,'[1]DATOS PBI Artículos'!X:X)+$V394-_xlfn.XLOOKUP($A394,'[1]DATOS PBI Artículos'!A:A,'[1]DATOS PBI Artículos'!W:W))/IF($O394="",$N394,$O394)&gt;ROUNDUP([1]CRITERIOS!$M$16/(IF(COUNTIF([1]CRITERIOS!$BG$11:$BG$201,L394)&gt;=1,_xlfn.XLOOKUP($C394,[1]CRITERIOS!$K$25:$K$42,[1]CRITERIOS!$M$25:$M$42),_xlfn.XLOOKUP($C394,[1]CRITERIOS!$K$25:$K$42,[1]CRITERIOS!$M$25:$M$42))),0),
                    ROUNDUP([1]CRITERIOS!$M$16/(IF(COUNTIF([1]CRITERIOS!$BG$11:$BG$201,$L394)&gt;=1,_xlfn.XLOOKUP($C394,[1]CRITERIOS!$K$25:$K$42,[1]CRITERIOS!$M$25:$M$42),_xlfn.XLOOKUP($C394,[1]CRITERIOS!$K$25:$K$42,[1]CRITERIOS!$M$25:$M$42))),0),
                    (E394+V394-SUMIF('[1]DATOS PBI Artículos'!A:A,A394,'[1]DATOS PBI Artículos'!X:X)-_xlfn.XLOOKUP(A394,'[1]DATOS PBI Artículos'!A:A,'[1]DATOS PBI Artículos'!W:W))/IF($O394="",$N394,$O394))),0))))</f>
        <v>#N/A</v>
      </c>
      <c r="R394" s="33" t="e">
        <f>IF(U394&lt;&gt;"",U394,IF(F394="DV","MTO",IF(N394=0,"MTO",_xlfn.XLOOKUP(CONCATENATE(S394,T394),[1]CRITERIOS!$K$160:$K$168,[1]CRITERIOS!$N$160:$N$168))))</f>
        <v>#N/A</v>
      </c>
      <c r="S394" s="33" t="e">
        <f>IF(G394="DV","MTO",IF(N394=0,"MTO",IF(OR(AND(N394=0,O394=""),IF(O394="",G394/N394,G394/O394)&gt;[1]CRITERIOS!$G$163),"MTO",IF(IF(O394="",G394/N394,G394/O394)&lt;[1]CRITERIOS!$H$161,"MTS","MTOS"))))</f>
        <v>#N/A</v>
      </c>
      <c r="T394" s="33" t="e">
        <f>IF(F394="DV","MTO",IF(OR(AND($N394=0,O394=""),$F394/$J394&gt;[1]CRITERIOS!$G$170,$F394="DV"),"MTO",IF($F394/$J394&lt;[1]CRITERIOS!$H$168,"MTS","MTOS")))</f>
        <v>#N/A</v>
      </c>
      <c r="V394" s="34" t="e">
        <f t="shared" si="19"/>
        <v>#N/A</v>
      </c>
      <c r="X394" s="34" t="e">
        <f t="shared" si="20"/>
        <v>#N/A</v>
      </c>
      <c r="Y394" s="34" t="e">
        <f t="shared" si="21"/>
        <v>#N/A</v>
      </c>
      <c r="Z394" s="34" t="e">
        <f>IF($R394="MTO",
0,
($H394+$K394*($E394/[1]CRITERIOS!$M$16))/[1]CRITERIOS!$X$48)</f>
        <v>#N/A</v>
      </c>
      <c r="AA394" s="34" t="e">
        <f>ROUNDUP(($Y394/_xlfn.XLOOKUP($A394,'[1]DATOS PBI Artículos'!$A$4:$A$4,'[1]DATOS PBI Artículos'!$Z$4:$Z$4))/_xlfn.XLOOKUP(_xlfn.XLOOKUP($A394,'[1]DATOS PBI Artículos'!$A$4:$A$4,'[1]DATOS PBI Artículos'!$Y$4:$Y$4),[1]CRITERIOS!$P$79:$P$123,[1]CRITERIOS!$S$79:$S$123,),0)</f>
        <v>#N/A</v>
      </c>
      <c r="AB394" s="33" t="e">
        <f t="array" ref="AB394">IF((E394+V394-_xlfn.XLOOKUP(A394,'[1]DATOS PBI Artículos'!$A$4:$A$4,'[1]DATOS PBI Artículos'!$W$4:$W$4))/N394&gt;ROUNDUP([1]CRITERIOS!$M$16/(IF(COUNTIF([1]CRITERIOS!$BG$11:$BG$201,L394)&gt;=1,_xlfn.XLOOKUP(ARTÍCULOS!L394,[1]CRITERIOS!$BG$11:$BG$201,[1]CRITERIOS!$BJ$11:$BJ$201),_xlfn.XLOOKUP(ARTÍCULOS!C394,[1]CRITERIOS!$K$25:$K$42,[1]CRITERIOS!$M$25:$M$42))),0),ROUNDUP([1]CRITERIOS!$M$16/(IF(COUNTIF([1]CRITERIOS!$BG$11:$BG$201,L394)&gt;=1,_xlfn.XLOOKUP(ARTÍCULOS!L394,[1]CRITERIOS!$BG$11:$BG$201:#REF!,[1]CRITERIOS!$BJ$11:$BJ$201),_xlfn.XLOOKUP(ARTÍCULOS!C394,[1]CRITERIOS!$K$25:$K$42,[1]CRITERIOS!$M$25:$M$42))),0),(E394+V394-_xlfn.XLOOKUP(A394,'[1]DATOS PBI Artículos'!$A$4:$A$4,'[1]DATOS PBI Artículos'!$W$4:$W$4))/N394)</f>
        <v>#N/A</v>
      </c>
      <c r="AC394" s="33" t="e">
        <f>IF(N394=0,"",(ROUNDUP((N394/2)/(_xlfn.XLOOKUP(A394,'[1]DATOS PBI Artículos'!$A$4:$A$4,'[1]DATOS PBI Artículos'!$Z$4:$Z$4)*_xlfn.XLOOKUP(_xlfn.XLOOKUP(A394,'[1]DATOS PBI Artículos'!$A$4:$A$4,'[1]DATOS PBI Artículos'!$Y$4:$Y$4),[1]CRITERIOS!$P$79:$P$123,[1]CRITERIOS!$S$79:$S$123)),0)*[1]CRITERIOS!$M$80*([1]CRITERIOS!$M$110/[1]CRITERIOS!$M$86)+(_xlfn.XLOOKUP(A394,'[1]DATOS PBI Artículos'!$A$4:$A$4,'[1]DATOS PBI Artículos'!$AA$4:$AA$4)*([1]CRITERIOS!$M$95+[1]CRITERIOS!$M$98)))/N394)</f>
        <v>#N/A</v>
      </c>
      <c r="AD394" s="33" t="e">
        <f>IF(N394=0,"",(ROUNDUP((N394/2)/(_xlfn.XLOOKUP(A394,'[1]DATOS PBI Artículos'!$A$4:$A$4,'[1]DATOS PBI Artículos'!$Z$4:$Z$4)*_xlfn.XLOOKUP(_xlfn.XLOOKUP(A394,'[1]DATOS PBI Artículos'!$A$4:$A$4,'[1]DATOS PBI Artículos'!$Y$4:$Y$4),[1]CRITERIOS!$P$79:$P$123,[1]CRITERIOS!$S$79:$S$123)),0)*[1]CRITERIOS!$M$80*([1]CRITERIOS!$M$89*[1]CRITERIOS!$M$92)+((_xlfn.XLOOKUP(A394,'[1]DATOS PBI Artículos'!$A$4:$A$4,'[1]DATOS PBI Artículos'!$AA$4:$AA$4)/2)*([1]CRITERIOS!$M$95+[1]CRITERIOS!$M$98)))/N394)</f>
        <v>#N/A</v>
      </c>
      <c r="AE394" s="39" t="e">
        <f>IF($R394="MTO","",
IF($H394=0,ROUNDUP(((_xlfn.XLOOKUP($A394,'[1]DATOS PBI Artículos'!$A:$A,'[1]DATOS PBI Artículos'!$AL:$AL))/(_xlfn.XLOOKUP($AF$1,[1]CRITERIOS!$S$16:$S$39,[1]CRITERIOS!$Y$16:$Y$39))*$J394+$Z394)/$G394,0)*$G394,
((_xlfn.XLOOKUP($A394,'[1]DATOS PBI Artículos'!$A:$A,'[1]DATOS PBI Artículos'!$AL:$AL))/(_xlfn.XLOOKUP($AF$1,[1]CRITERIOS!$S$16:$S$39,[1]CRITERIOS!$Y$16:$Y$39))*$J394+$Z394)))</f>
        <v>#N/A</v>
      </c>
      <c r="AG394" s="39" t="e">
        <f>IF($R394="MTO","",
IF($H394=0,ROUNDUP(((_xlfn.XLOOKUP($A394,'[1]DATOS PBI Artículos'!$A:$A,'[1]DATOS PBI Artículos'!$AM:$AM))/(_xlfn.XLOOKUP($AH$1,[1]CRITERIOS!$S$16:$S$39,[1]CRITERIOS!$Y$16:$Y$39))*$J394+$Z394)/$G394,0)*$G394,
((_xlfn.XLOOKUP($A394,'[1]DATOS PBI Artículos'!$A:$A,'[1]DATOS PBI Artículos'!$AM:$AM))/(_xlfn.XLOOKUP($AH$1,[1]CRITERIOS!$S$16:$S$39,[1]CRITERIOS!$Y$16:$Y$39))*$J394+$Z394)))</f>
        <v>#N/A</v>
      </c>
      <c r="AI394" s="39" t="e">
        <f>IF($R394="MTO","",
IF($H394=0,ROUNDUP(((_xlfn.XLOOKUP($A394,'[1]DATOS PBI Artículos'!$A:$A,'[1]DATOS PBI Artículos'!$AN:$AN))/(_xlfn.XLOOKUP($AJ$1,[1]CRITERIOS!$S$16:$S$39,[1]CRITERIOS!$Y$16:$Y$39))*$J394+$Z394)/$G394,0)*$G394,
((_xlfn.XLOOKUP($A394,'[1]DATOS PBI Artículos'!$A:$A,'[1]DATOS PBI Artículos'!$AN:$AN))/(_xlfn.XLOOKUP($AJ$1,[1]CRITERIOS!$S$16:$S$39,[1]CRITERIOS!$Y$16:$Y$39))*$J394+$Z394)))</f>
        <v>#N/A</v>
      </c>
      <c r="AK394" s="39" t="e">
        <f>IF($R394="MTO","",
IF($H394=0,ROUNDUP(((_xlfn.XLOOKUP($A394,'[1]DATOS PBI Artículos'!$A:$A,'[1]DATOS PBI Artículos'!$AO:$AO))/(_xlfn.XLOOKUP($AL$1,[1]CRITERIOS!$S$16:$S$39,[1]CRITERIOS!$Y$16:$Y$39))*$J394+$Z394)/$G394,0)*$G394,
((_xlfn.XLOOKUP($A394,'[1]DATOS PBI Artículos'!$A:$A,'[1]DATOS PBI Artículos'!$AO:$AO))/(_xlfn.XLOOKUP($AL$1,[1]CRITERIOS!$S$16:$S$39,[1]CRITERIOS!$Y$16:$Y$39))*$J394+$Z394)))</f>
        <v>#N/A</v>
      </c>
    </row>
    <row r="395" spans="1:37" ht="25.8" hidden="1" x14ac:dyDescent="0.4">
      <c r="A395" s="41"/>
      <c r="B395" s="33">
        <f>_xlfn.XLOOKUP($A395,'[1]DATOS PBI Artículos'!A:A,'[1]DATOS PBI Artículos'!B:B)</f>
        <v>0</v>
      </c>
      <c r="C395" s="33">
        <f>_xlfn.XLOOKUP($A395,'[1]DATOS PBI Artículos'!A:A,'[1]DATOS PBI Artículos'!C:C)</f>
        <v>0</v>
      </c>
      <c r="D395" s="33">
        <f>_xlfn.XLOOKUP(A395,'[1]DATOS PBI Artículos'!A:A,'[1]DATOS PBI Artículos'!T:T)</f>
        <v>0</v>
      </c>
      <c r="E395" s="34">
        <f>IF(_xlfn.XLOOKUP($A395,'[1]DATOS PBI Artículos'!A:A,'[1]DATOS PBI Artículos'!AK:AK)="",_xlfn.XLOOKUP($A395,'[1]DATOS PBI Artículos'!A:A,'[1]DATOS PBI Artículos'!AJ:AJ),_xlfn.XLOOKUP($A395,'[1]DATOS PBI Artículos'!A:A,'[1]DATOS PBI Artículos'!AK:AK))</f>
        <v>0</v>
      </c>
      <c r="F395" s="35">
        <f>_xlfn.XLOOKUP($A395,'[1]DATOS PBI Artículos'!A:A,'[1]DATOS PBI Artículos'!AP:AP)</f>
        <v>0</v>
      </c>
      <c r="G395" s="34">
        <f>_xlfn.XLOOKUP($A395,'[1]DATOS PBI Artículos'!A:A,'[1]DATOS PBI Artículos'!AR:AR)</f>
        <v>0</v>
      </c>
      <c r="H395" s="34">
        <f>_xlfn.XLOOKUP($A395,'[1]DATOS PBI Artículos'!A:A,'[1]DATOS PBI Artículos'!AT:AT)</f>
        <v>0</v>
      </c>
      <c r="I395" s="34">
        <f>_xlfn.XLOOKUP($A395,'[1]DATOS PBI Artículos'!A:A,'[1]DATOS PBI Artículos'!AS:AS)</f>
        <v>0</v>
      </c>
      <c r="J395" s="35">
        <f>IF(COUNTIF([1]CRITERIOS!$F$179:$F$199,$A395)&gt;=1,
 IF(O395&lt;&gt;"",
    (O395/_xlfn.XLOOKUP(CONCATENATE(A395,L395),[1]MÁQUINAS!A:A,[1]MÁQUINAS!D:D))/24,
    (N395/_xlfn.XLOOKUP(CONCATENATE(A395,L395),[1]MÁQUINAS!A:A,[1]MÁQUINAS!D:D))/24),
  _xlfn.XLOOKUP($A395,'[1]DATOS PBI Artículos'!A:A,'[1]DATOS PBI Artículos'!AU:AU))</f>
        <v>0</v>
      </c>
      <c r="K395" s="36">
        <f>_xlfn.XLOOKUP($A395,'[1]DATOS PBI Artículos'!A:A,'[1]DATOS PBI Artículos'!AV:AV)</f>
        <v>0</v>
      </c>
      <c r="L395" s="33">
        <f>_xlfn.XLOOKUP(A395,[1]MÁQUINAS!B:B,[1]MÁQUINAS!C:C)</f>
        <v>0</v>
      </c>
      <c r="M395" s="34">
        <f t="array" ref="M395">_xlfn.XLOOKUP(A395,'[1]DATOS PBI Artículos'!A:A,'[1]DATOS PBI Artículos'!AX:$AX)</f>
        <v>0</v>
      </c>
      <c r="N395" s="37" t="e">
        <f>IF(I395="DV",
E395,
IF(COUNTIF([1]CRITERIOS!$I$179:$I$199,$A395)&gt;=1,
_xlfn.XLOOKUP($A395,[1]CRITERIOS!$I$179:$I$199,[1]CRITERIOS!$J$179:$J$199),
IF(COUNTIF([1]CRITERIOS!$L$179:$L$199,$A395)&gt;=1,
_xlfn.CEILING.MATH(IF($M395&gt;$E395,
$E395,
IF($M395&lt;$E395/ROUNDDOWN([1]CRITERIOS!$M$16/_xlfn.XLOOKUP($C395,[1]CRITERIOS!$K$25:$K$42,[1]CRITERIOS!$M$25:$M$42),
1),
E395/ROUNDDOWN([1]CRITERIOS!$M$16/_xlfn.XLOOKUP($C395,[1]CRITERIOS!$K$25:$K$42,[1]CRITERIOS!$M$25:$M$42),
1),
$M395)),
_xlfn.XLOOKUP($A395,[1]CRITERIOS!$L$179:$L$200,[1]CRITERIOS!$M$179:$M$200)),
_xlfn.CEILING.MATH(IF($M395&gt;$E395,
$E395,
IF($M395&lt;$E395/ROUNDDOWN([1]CRITERIOS!$M$16/_xlfn.XLOOKUP($C395,[1]CRITERIOS!$K$25:$K$42,[1]CRITERIOS!$M$25:$M$42),
1),
E395/ROUNDDOWN([1]CRITERIOS!$M$16/_xlfn.XLOOKUP($C395,[1]CRITERIOS!$K$25:$K$42,[1]CRITERIOS!$M$25:$M$42),
1),
$M395)),_xlfn.XLOOKUP(A395,'[1]DATOS PBI Artículos'!A:A,'[1]DATOS PBI Artículos'!Z:Z
)))))</f>
        <v>#N/A</v>
      </c>
      <c r="Q395" s="38" t="e">
        <f>IF(AND(O395="",N395=0),
0,
   IF(COUNTIF([1]CRITERIOS!$F$179:$F$199,$A395)&gt;=1,
   1,
   IF(R395="MTO",
      $D395,
      ROUNDUP(
                    IF(($E395-SUMIF('[1]DATOS PBI Artículos'!A:A,A395,'[1]DATOS PBI Artículos'!X:X)+($V395-_xlfn.XLOOKUP(A395,'[1]DATOS PBI Artículos'!A:A,'[1]DATOS PBI Artículos'!W:W)))&lt;0,
                    0,
                    IF(($E395-SUMIF('[1]DATOS PBI Artículos'!A:A,A395,'[1]DATOS PBI Artículos'!X:X)+$V395-_xlfn.XLOOKUP($A395,'[1]DATOS PBI Artículos'!A:A,'[1]DATOS PBI Artículos'!W:W))/IF($O395="",$N395,$O395)&gt;ROUNDUP([1]CRITERIOS!$M$16/(IF(COUNTIF([1]CRITERIOS!$BG$11:$BG$201,L395)&gt;=1,_xlfn.XLOOKUP($C395,[1]CRITERIOS!$K$25:$K$42,[1]CRITERIOS!$M$25:$M$42),_xlfn.XLOOKUP($C395,[1]CRITERIOS!$K$25:$K$42,[1]CRITERIOS!$M$25:$M$42))),0),
                    ROUNDUP([1]CRITERIOS!$M$16/(IF(COUNTIF([1]CRITERIOS!$BG$11:$BG$201,$L395)&gt;=1,_xlfn.XLOOKUP($C395,[1]CRITERIOS!$K$25:$K$42,[1]CRITERIOS!$M$25:$M$42),_xlfn.XLOOKUP($C395,[1]CRITERIOS!$K$25:$K$42,[1]CRITERIOS!$M$25:$M$42))),0),
                    (E395+V395-SUMIF('[1]DATOS PBI Artículos'!A:A,A395,'[1]DATOS PBI Artículos'!X:X)-_xlfn.XLOOKUP(A395,'[1]DATOS PBI Artículos'!A:A,'[1]DATOS PBI Artículos'!W:W))/IF($O395="",$N395,$O395))),0))))</f>
        <v>#N/A</v>
      </c>
      <c r="R395" s="33" t="e">
        <f>IF(U395&lt;&gt;"",U395,IF(F395="DV","MTO",IF(N395=0,"MTO",_xlfn.XLOOKUP(CONCATENATE(S395,T395),[1]CRITERIOS!$K$160:$K$168,[1]CRITERIOS!$N$160:$N$168))))</f>
        <v>#N/A</v>
      </c>
      <c r="S395" s="33" t="e">
        <f>IF(G395="DV","MTO",IF(N395=0,"MTO",IF(OR(AND(N395=0,O395=""),IF(O395="",G395/N395,G395/O395)&gt;[1]CRITERIOS!$G$163),"MTO",IF(IF(O395="",G395/N395,G395/O395)&lt;[1]CRITERIOS!$H$161,"MTS","MTOS"))))</f>
        <v>#N/A</v>
      </c>
      <c r="T395" s="33" t="e">
        <f>IF(F395="DV","MTO",IF(OR(AND($N395=0,O395=""),$F395/$J395&gt;[1]CRITERIOS!$G$170,$F395="DV"),"MTO",IF($F395/$J395&lt;[1]CRITERIOS!$H$168,"MTS","MTOS")))</f>
        <v>#N/A</v>
      </c>
      <c r="V395" s="34" t="e">
        <f t="shared" si="19"/>
        <v>#N/A</v>
      </c>
      <c r="X395" s="34" t="e">
        <f t="shared" si="20"/>
        <v>#N/A</v>
      </c>
      <c r="Y395" s="34" t="e">
        <f t="shared" si="21"/>
        <v>#N/A</v>
      </c>
      <c r="Z395" s="34" t="e">
        <f>IF($R395="MTO",
0,
($H395+$K395*($E395/[1]CRITERIOS!$M$16))/[1]CRITERIOS!$X$48)</f>
        <v>#N/A</v>
      </c>
      <c r="AA395" s="34" t="e">
        <f>ROUNDUP(($Y395/_xlfn.XLOOKUP($A395,'[1]DATOS PBI Artículos'!$A$4:$A$4,'[1]DATOS PBI Artículos'!$Z$4:$Z$4))/_xlfn.XLOOKUP(_xlfn.XLOOKUP($A395,'[1]DATOS PBI Artículos'!$A$4:$A$4,'[1]DATOS PBI Artículos'!$Y$4:$Y$4),[1]CRITERIOS!$P$79:$P$123,[1]CRITERIOS!$S$79:$S$123,),0)</f>
        <v>#N/A</v>
      </c>
      <c r="AB395" s="33" t="e">
        <f t="array" ref="AB395">IF((E395+V395-_xlfn.XLOOKUP(A395,'[1]DATOS PBI Artículos'!$A$4:$A$4,'[1]DATOS PBI Artículos'!$W$4:$W$4))/N395&gt;ROUNDUP([1]CRITERIOS!$M$16/(IF(COUNTIF([1]CRITERIOS!$BG$11:$BG$201,L395)&gt;=1,_xlfn.XLOOKUP(ARTÍCULOS!L395,[1]CRITERIOS!$BG$11:$BG$201,[1]CRITERIOS!$BJ$11:$BJ$201),_xlfn.XLOOKUP(ARTÍCULOS!C395,[1]CRITERIOS!$K$25:$K$42,[1]CRITERIOS!$M$25:$M$42))),0),ROUNDUP([1]CRITERIOS!$M$16/(IF(COUNTIF([1]CRITERIOS!$BG$11:$BG$201,L395)&gt;=1,_xlfn.XLOOKUP(ARTÍCULOS!L395,[1]CRITERIOS!$BG$11:$BG$201:#REF!,[1]CRITERIOS!$BJ$11:$BJ$201),_xlfn.XLOOKUP(ARTÍCULOS!C395,[1]CRITERIOS!$K$25:$K$42,[1]CRITERIOS!$M$25:$M$42))),0),(E395+V395-_xlfn.XLOOKUP(A395,'[1]DATOS PBI Artículos'!$A$4:$A$4,'[1]DATOS PBI Artículos'!$W$4:$W$4))/N395)</f>
        <v>#N/A</v>
      </c>
      <c r="AC395" s="33" t="e">
        <f>IF(N395=0,"",(ROUNDUP((N395/2)/(_xlfn.XLOOKUP(A395,'[1]DATOS PBI Artículos'!$A$4:$A$4,'[1]DATOS PBI Artículos'!$Z$4:$Z$4)*_xlfn.XLOOKUP(_xlfn.XLOOKUP(A395,'[1]DATOS PBI Artículos'!$A$4:$A$4,'[1]DATOS PBI Artículos'!$Y$4:$Y$4),[1]CRITERIOS!$P$79:$P$123,[1]CRITERIOS!$S$79:$S$123)),0)*[1]CRITERIOS!$M$80*([1]CRITERIOS!$M$110/[1]CRITERIOS!$M$86)+(_xlfn.XLOOKUP(A395,'[1]DATOS PBI Artículos'!$A$4:$A$4,'[1]DATOS PBI Artículos'!$AA$4:$AA$4)*([1]CRITERIOS!$M$95+[1]CRITERIOS!$M$98)))/N395)</f>
        <v>#N/A</v>
      </c>
      <c r="AD395" s="33" t="e">
        <f>IF(N395=0,"",(ROUNDUP((N395/2)/(_xlfn.XLOOKUP(A395,'[1]DATOS PBI Artículos'!$A$4:$A$4,'[1]DATOS PBI Artículos'!$Z$4:$Z$4)*_xlfn.XLOOKUP(_xlfn.XLOOKUP(A395,'[1]DATOS PBI Artículos'!$A$4:$A$4,'[1]DATOS PBI Artículos'!$Y$4:$Y$4),[1]CRITERIOS!$P$79:$P$123,[1]CRITERIOS!$S$79:$S$123)),0)*[1]CRITERIOS!$M$80*([1]CRITERIOS!$M$89*[1]CRITERIOS!$M$92)+((_xlfn.XLOOKUP(A395,'[1]DATOS PBI Artículos'!$A$4:$A$4,'[1]DATOS PBI Artículos'!$AA$4:$AA$4)/2)*([1]CRITERIOS!$M$95+[1]CRITERIOS!$M$98)))/N395)</f>
        <v>#N/A</v>
      </c>
      <c r="AE395" s="39" t="e">
        <f>IF($R395="MTO","",
IF($H395=0,ROUNDUP(((_xlfn.XLOOKUP($A395,'[1]DATOS PBI Artículos'!$A:$A,'[1]DATOS PBI Artículos'!$AL:$AL))/(_xlfn.XLOOKUP($AF$1,[1]CRITERIOS!$S$16:$S$39,[1]CRITERIOS!$Y$16:$Y$39))*$J395+$Z395)/$G395,0)*$G395,
((_xlfn.XLOOKUP($A395,'[1]DATOS PBI Artículos'!$A:$A,'[1]DATOS PBI Artículos'!$AL:$AL))/(_xlfn.XLOOKUP($AF$1,[1]CRITERIOS!$S$16:$S$39,[1]CRITERIOS!$Y$16:$Y$39))*$J395+$Z395)))</f>
        <v>#N/A</v>
      </c>
      <c r="AG395" s="39" t="e">
        <f>IF($R395="MTO","",
IF($H395=0,ROUNDUP(((_xlfn.XLOOKUP($A395,'[1]DATOS PBI Artículos'!$A:$A,'[1]DATOS PBI Artículos'!$AM:$AM))/(_xlfn.XLOOKUP($AH$1,[1]CRITERIOS!$S$16:$S$39,[1]CRITERIOS!$Y$16:$Y$39))*$J395+$Z395)/$G395,0)*$G395,
((_xlfn.XLOOKUP($A395,'[1]DATOS PBI Artículos'!$A:$A,'[1]DATOS PBI Artículos'!$AM:$AM))/(_xlfn.XLOOKUP($AH$1,[1]CRITERIOS!$S$16:$S$39,[1]CRITERIOS!$Y$16:$Y$39))*$J395+$Z395)))</f>
        <v>#N/A</v>
      </c>
      <c r="AI395" s="39" t="e">
        <f>IF($R395="MTO","",
IF($H395=0,ROUNDUP(((_xlfn.XLOOKUP($A395,'[1]DATOS PBI Artículos'!$A:$A,'[1]DATOS PBI Artículos'!$AN:$AN))/(_xlfn.XLOOKUP($AJ$1,[1]CRITERIOS!$S$16:$S$39,[1]CRITERIOS!$Y$16:$Y$39))*$J395+$Z395)/$G395,0)*$G395,
((_xlfn.XLOOKUP($A395,'[1]DATOS PBI Artículos'!$A:$A,'[1]DATOS PBI Artículos'!$AN:$AN))/(_xlfn.XLOOKUP($AJ$1,[1]CRITERIOS!$S$16:$S$39,[1]CRITERIOS!$Y$16:$Y$39))*$J395+$Z395)))</f>
        <v>#N/A</v>
      </c>
      <c r="AK395" s="39" t="e">
        <f>IF($R395="MTO","",
IF($H395=0,ROUNDUP(((_xlfn.XLOOKUP($A395,'[1]DATOS PBI Artículos'!$A:$A,'[1]DATOS PBI Artículos'!$AO:$AO))/(_xlfn.XLOOKUP($AL$1,[1]CRITERIOS!$S$16:$S$39,[1]CRITERIOS!$Y$16:$Y$39))*$J395+$Z395)/$G395,0)*$G395,
((_xlfn.XLOOKUP($A395,'[1]DATOS PBI Artículos'!$A:$A,'[1]DATOS PBI Artículos'!$AO:$AO))/(_xlfn.XLOOKUP($AL$1,[1]CRITERIOS!$S$16:$S$39,[1]CRITERIOS!$Y$16:$Y$39))*$J395+$Z395)))</f>
        <v>#N/A</v>
      </c>
    </row>
    <row r="396" spans="1:37" ht="25.8" hidden="1" x14ac:dyDescent="0.4">
      <c r="A396" s="41"/>
      <c r="B396" s="33">
        <f>_xlfn.XLOOKUP($A396,'[1]DATOS PBI Artículos'!A:A,'[1]DATOS PBI Artículos'!B:B)</f>
        <v>0</v>
      </c>
      <c r="C396" s="33">
        <f>_xlfn.XLOOKUP($A396,'[1]DATOS PBI Artículos'!A:A,'[1]DATOS PBI Artículos'!C:C)</f>
        <v>0</v>
      </c>
      <c r="D396" s="33">
        <f>_xlfn.XLOOKUP(A396,'[1]DATOS PBI Artículos'!A:A,'[1]DATOS PBI Artículos'!T:T)</f>
        <v>0</v>
      </c>
      <c r="E396" s="34">
        <f>IF(_xlfn.XLOOKUP($A396,'[1]DATOS PBI Artículos'!A:A,'[1]DATOS PBI Artículos'!AK:AK)="",_xlfn.XLOOKUP($A396,'[1]DATOS PBI Artículos'!A:A,'[1]DATOS PBI Artículos'!AJ:AJ),_xlfn.XLOOKUP($A396,'[1]DATOS PBI Artículos'!A:A,'[1]DATOS PBI Artículos'!AK:AK))</f>
        <v>0</v>
      </c>
      <c r="F396" s="35">
        <f>_xlfn.XLOOKUP($A396,'[1]DATOS PBI Artículos'!A:A,'[1]DATOS PBI Artículos'!AP:AP)</f>
        <v>0</v>
      </c>
      <c r="G396" s="34">
        <f>_xlfn.XLOOKUP($A396,'[1]DATOS PBI Artículos'!A:A,'[1]DATOS PBI Artículos'!AR:AR)</f>
        <v>0</v>
      </c>
      <c r="H396" s="34">
        <f>_xlfn.XLOOKUP($A396,'[1]DATOS PBI Artículos'!A:A,'[1]DATOS PBI Artículos'!AT:AT)</f>
        <v>0</v>
      </c>
      <c r="I396" s="34">
        <f>_xlfn.XLOOKUP($A396,'[1]DATOS PBI Artículos'!A:A,'[1]DATOS PBI Artículos'!AS:AS)</f>
        <v>0</v>
      </c>
      <c r="J396" s="35">
        <f>IF(COUNTIF([1]CRITERIOS!$F$179:$F$199,$A396)&gt;=1,
 IF(O396&lt;&gt;"",
    (O396/_xlfn.XLOOKUP(CONCATENATE(A396,L396),[1]MÁQUINAS!A:A,[1]MÁQUINAS!D:D))/24,
    (N396/_xlfn.XLOOKUP(CONCATENATE(A396,L396),[1]MÁQUINAS!A:A,[1]MÁQUINAS!D:D))/24),
  _xlfn.XLOOKUP($A396,'[1]DATOS PBI Artículos'!A:A,'[1]DATOS PBI Artículos'!AU:AU))</f>
        <v>0</v>
      </c>
      <c r="K396" s="36">
        <f>_xlfn.XLOOKUP($A396,'[1]DATOS PBI Artículos'!A:A,'[1]DATOS PBI Artículos'!AV:AV)</f>
        <v>0</v>
      </c>
      <c r="L396" s="33">
        <f>_xlfn.XLOOKUP(A396,[1]MÁQUINAS!B:B,[1]MÁQUINAS!C:C)</f>
        <v>0</v>
      </c>
      <c r="M396" s="34">
        <f t="array" ref="M396">_xlfn.XLOOKUP(A396,'[1]DATOS PBI Artículos'!A:A,'[1]DATOS PBI Artículos'!AX:$AX)</f>
        <v>0</v>
      </c>
      <c r="N396" s="37" t="e">
        <f>IF(I396="DV",
E396,
IF(COUNTIF([1]CRITERIOS!$I$179:$I$199,$A396)&gt;=1,
_xlfn.XLOOKUP($A396,[1]CRITERIOS!$I$179:$I$199,[1]CRITERIOS!$J$179:$J$199),
IF(COUNTIF([1]CRITERIOS!$L$179:$L$199,$A396)&gt;=1,
_xlfn.CEILING.MATH(IF($M396&gt;$E396,
$E396,
IF($M396&lt;$E396/ROUNDDOWN([1]CRITERIOS!$M$16/_xlfn.XLOOKUP($C396,[1]CRITERIOS!$K$25:$K$42,[1]CRITERIOS!$M$25:$M$42),
1),
E396/ROUNDDOWN([1]CRITERIOS!$M$16/_xlfn.XLOOKUP($C396,[1]CRITERIOS!$K$25:$K$42,[1]CRITERIOS!$M$25:$M$42),
1),
$M396)),
_xlfn.XLOOKUP($A396,[1]CRITERIOS!$L$179:$L$200,[1]CRITERIOS!$M$179:$M$200)),
_xlfn.CEILING.MATH(IF($M396&gt;$E396,
$E396,
IF($M396&lt;$E396/ROUNDDOWN([1]CRITERIOS!$M$16/_xlfn.XLOOKUP($C396,[1]CRITERIOS!$K$25:$K$42,[1]CRITERIOS!$M$25:$M$42),
1),
E396/ROUNDDOWN([1]CRITERIOS!$M$16/_xlfn.XLOOKUP($C396,[1]CRITERIOS!$K$25:$K$42,[1]CRITERIOS!$M$25:$M$42),
1),
$M396)),_xlfn.XLOOKUP(A396,'[1]DATOS PBI Artículos'!A:A,'[1]DATOS PBI Artículos'!Z:Z
)))))</f>
        <v>#N/A</v>
      </c>
      <c r="Q396" s="38" t="e">
        <f>IF(AND(O396="",N396=0),
0,
   IF(COUNTIF([1]CRITERIOS!$F$179:$F$199,$A396)&gt;=1,
   1,
   IF(R396="MTO",
      $D396,
      ROUNDUP(
                    IF(($E396-SUMIF('[1]DATOS PBI Artículos'!A:A,A396,'[1]DATOS PBI Artículos'!X:X)+($V396-_xlfn.XLOOKUP(A396,'[1]DATOS PBI Artículos'!A:A,'[1]DATOS PBI Artículos'!W:W)))&lt;0,
                    0,
                    IF(($E396-SUMIF('[1]DATOS PBI Artículos'!A:A,A396,'[1]DATOS PBI Artículos'!X:X)+$V396-_xlfn.XLOOKUP($A396,'[1]DATOS PBI Artículos'!A:A,'[1]DATOS PBI Artículos'!W:W))/IF($O396="",$N396,$O396)&gt;ROUNDUP([1]CRITERIOS!$M$16/(IF(COUNTIF([1]CRITERIOS!$BG$11:$BG$201,L396)&gt;=1,_xlfn.XLOOKUP($C396,[1]CRITERIOS!$K$25:$K$42,[1]CRITERIOS!$M$25:$M$42),_xlfn.XLOOKUP($C396,[1]CRITERIOS!$K$25:$K$42,[1]CRITERIOS!$M$25:$M$42))),0),
                    ROUNDUP([1]CRITERIOS!$M$16/(IF(COUNTIF([1]CRITERIOS!$BG$11:$BG$201,$L396)&gt;=1,_xlfn.XLOOKUP($C396,[1]CRITERIOS!$K$25:$K$42,[1]CRITERIOS!$M$25:$M$42),_xlfn.XLOOKUP($C396,[1]CRITERIOS!$K$25:$K$42,[1]CRITERIOS!$M$25:$M$42))),0),
                    (E396+V396-SUMIF('[1]DATOS PBI Artículos'!A:A,A396,'[1]DATOS PBI Artículos'!X:X)-_xlfn.XLOOKUP(A396,'[1]DATOS PBI Artículos'!A:A,'[1]DATOS PBI Artículos'!W:W))/IF($O396="",$N396,$O396))),0))))</f>
        <v>#N/A</v>
      </c>
      <c r="R396" s="33" t="e">
        <f>IF(U396&lt;&gt;"",U396,IF(F396="DV","MTO",IF(N396=0,"MTO",_xlfn.XLOOKUP(CONCATENATE(S396,T396),[1]CRITERIOS!$K$160:$K$168,[1]CRITERIOS!$N$160:$N$168))))</f>
        <v>#N/A</v>
      </c>
      <c r="S396" s="33" t="e">
        <f>IF(G396="DV","MTO",IF(N396=0,"MTO",IF(OR(AND(N396=0,O396=""),IF(O396="",G396/N396,G396/O396)&gt;[1]CRITERIOS!$G$163),"MTO",IF(IF(O396="",G396/N396,G396/O396)&lt;[1]CRITERIOS!$H$161,"MTS","MTOS"))))</f>
        <v>#N/A</v>
      </c>
      <c r="T396" s="33" t="e">
        <f>IF(F396="DV","MTO",IF(OR(AND($N396=0,O396=""),$F396/$J396&gt;[1]CRITERIOS!$G$170,$F396="DV"),"MTO",IF($F396/$J396&lt;[1]CRITERIOS!$H$168,"MTS","MTOS")))</f>
        <v>#N/A</v>
      </c>
      <c r="V396" s="34" t="e">
        <f t="shared" si="19"/>
        <v>#N/A</v>
      </c>
      <c r="X396" s="34" t="e">
        <f t="shared" si="20"/>
        <v>#N/A</v>
      </c>
      <c r="Y396" s="34" t="e">
        <f t="shared" si="21"/>
        <v>#N/A</v>
      </c>
      <c r="Z396" s="34" t="e">
        <f>IF($R396="MTO",
0,
($H396+$K396*($E396/[1]CRITERIOS!$M$16))/[1]CRITERIOS!$X$48)</f>
        <v>#N/A</v>
      </c>
      <c r="AA396" s="34" t="e">
        <f>ROUNDUP(($Y396/_xlfn.XLOOKUP($A396,'[1]DATOS PBI Artículos'!$A$4:$A$4,'[1]DATOS PBI Artículos'!$Z$4:$Z$4))/_xlfn.XLOOKUP(_xlfn.XLOOKUP($A396,'[1]DATOS PBI Artículos'!$A$4:$A$4,'[1]DATOS PBI Artículos'!$Y$4:$Y$4),[1]CRITERIOS!$P$79:$P$123,[1]CRITERIOS!$S$79:$S$123,),0)</f>
        <v>#N/A</v>
      </c>
      <c r="AB396" s="33" t="e">
        <f t="array" ref="AB396">IF((E396+V396-_xlfn.XLOOKUP(A396,'[1]DATOS PBI Artículos'!$A$4:$A$4,'[1]DATOS PBI Artículos'!$W$4:$W$4))/N396&gt;ROUNDUP([1]CRITERIOS!$M$16/(IF(COUNTIF([1]CRITERIOS!$BG$11:$BG$201,L396)&gt;=1,_xlfn.XLOOKUP(ARTÍCULOS!L396,[1]CRITERIOS!$BG$11:$BG$201,[1]CRITERIOS!$BJ$11:$BJ$201),_xlfn.XLOOKUP(ARTÍCULOS!C396,[1]CRITERIOS!$K$25:$K$42,[1]CRITERIOS!$M$25:$M$42))),0),ROUNDUP([1]CRITERIOS!$M$16/(IF(COUNTIF([1]CRITERIOS!$BG$11:$BG$201,L396)&gt;=1,_xlfn.XLOOKUP(ARTÍCULOS!L396,[1]CRITERIOS!$BG$11:$BG$201:#REF!,[1]CRITERIOS!$BJ$11:$BJ$201),_xlfn.XLOOKUP(ARTÍCULOS!C396,[1]CRITERIOS!$K$25:$K$42,[1]CRITERIOS!$M$25:$M$42))),0),(E396+V396-_xlfn.XLOOKUP(A396,'[1]DATOS PBI Artículos'!$A$4:$A$4,'[1]DATOS PBI Artículos'!$W$4:$W$4))/N396)</f>
        <v>#N/A</v>
      </c>
      <c r="AC396" s="33" t="e">
        <f>IF(N396=0,"",(ROUNDUP((N396/2)/(_xlfn.XLOOKUP(A396,'[1]DATOS PBI Artículos'!$A$4:$A$4,'[1]DATOS PBI Artículos'!$Z$4:$Z$4)*_xlfn.XLOOKUP(_xlfn.XLOOKUP(A396,'[1]DATOS PBI Artículos'!$A$4:$A$4,'[1]DATOS PBI Artículos'!$Y$4:$Y$4),[1]CRITERIOS!$P$79:$P$123,[1]CRITERIOS!$S$79:$S$123)),0)*[1]CRITERIOS!$M$80*([1]CRITERIOS!$M$110/[1]CRITERIOS!$M$86)+(_xlfn.XLOOKUP(A396,'[1]DATOS PBI Artículos'!$A$4:$A$4,'[1]DATOS PBI Artículos'!$AA$4:$AA$4)*([1]CRITERIOS!$M$95+[1]CRITERIOS!$M$98)))/N396)</f>
        <v>#N/A</v>
      </c>
      <c r="AD396" s="33" t="e">
        <f>IF(N396=0,"",(ROUNDUP((N396/2)/(_xlfn.XLOOKUP(A396,'[1]DATOS PBI Artículos'!$A$4:$A$4,'[1]DATOS PBI Artículos'!$Z$4:$Z$4)*_xlfn.XLOOKUP(_xlfn.XLOOKUP(A396,'[1]DATOS PBI Artículos'!$A$4:$A$4,'[1]DATOS PBI Artículos'!$Y$4:$Y$4),[1]CRITERIOS!$P$79:$P$123,[1]CRITERIOS!$S$79:$S$123)),0)*[1]CRITERIOS!$M$80*([1]CRITERIOS!$M$89*[1]CRITERIOS!$M$92)+((_xlfn.XLOOKUP(A396,'[1]DATOS PBI Artículos'!$A$4:$A$4,'[1]DATOS PBI Artículos'!$AA$4:$AA$4)/2)*([1]CRITERIOS!$M$95+[1]CRITERIOS!$M$98)))/N396)</f>
        <v>#N/A</v>
      </c>
      <c r="AE396" s="39" t="e">
        <f>IF($R396="MTO","",
IF($H396=0,ROUNDUP(((_xlfn.XLOOKUP($A396,'[1]DATOS PBI Artículos'!$A:$A,'[1]DATOS PBI Artículos'!$AL:$AL))/(_xlfn.XLOOKUP($AF$1,[1]CRITERIOS!$S$16:$S$39,[1]CRITERIOS!$Y$16:$Y$39))*$J396+$Z396)/$G396,0)*$G396,
((_xlfn.XLOOKUP($A396,'[1]DATOS PBI Artículos'!$A:$A,'[1]DATOS PBI Artículos'!$AL:$AL))/(_xlfn.XLOOKUP($AF$1,[1]CRITERIOS!$S$16:$S$39,[1]CRITERIOS!$Y$16:$Y$39))*$J396+$Z396)))</f>
        <v>#N/A</v>
      </c>
      <c r="AG396" s="39" t="e">
        <f>IF($R396="MTO","",
IF($H396=0,ROUNDUP(((_xlfn.XLOOKUP($A396,'[1]DATOS PBI Artículos'!$A:$A,'[1]DATOS PBI Artículos'!$AM:$AM))/(_xlfn.XLOOKUP($AH$1,[1]CRITERIOS!$S$16:$S$39,[1]CRITERIOS!$Y$16:$Y$39))*$J396+$Z396)/$G396,0)*$G396,
((_xlfn.XLOOKUP($A396,'[1]DATOS PBI Artículos'!$A:$A,'[1]DATOS PBI Artículos'!$AM:$AM))/(_xlfn.XLOOKUP($AH$1,[1]CRITERIOS!$S$16:$S$39,[1]CRITERIOS!$Y$16:$Y$39))*$J396+$Z396)))</f>
        <v>#N/A</v>
      </c>
      <c r="AI396" s="39" t="e">
        <f>IF($R396="MTO","",
IF($H396=0,ROUNDUP(((_xlfn.XLOOKUP($A396,'[1]DATOS PBI Artículos'!$A:$A,'[1]DATOS PBI Artículos'!$AN:$AN))/(_xlfn.XLOOKUP($AJ$1,[1]CRITERIOS!$S$16:$S$39,[1]CRITERIOS!$Y$16:$Y$39))*$J396+$Z396)/$G396,0)*$G396,
((_xlfn.XLOOKUP($A396,'[1]DATOS PBI Artículos'!$A:$A,'[1]DATOS PBI Artículos'!$AN:$AN))/(_xlfn.XLOOKUP($AJ$1,[1]CRITERIOS!$S$16:$S$39,[1]CRITERIOS!$Y$16:$Y$39))*$J396+$Z396)))</f>
        <v>#N/A</v>
      </c>
      <c r="AK396" s="39" t="e">
        <f>IF($R396="MTO","",
IF($H396=0,ROUNDUP(((_xlfn.XLOOKUP($A396,'[1]DATOS PBI Artículos'!$A:$A,'[1]DATOS PBI Artículos'!$AO:$AO))/(_xlfn.XLOOKUP($AL$1,[1]CRITERIOS!$S$16:$S$39,[1]CRITERIOS!$Y$16:$Y$39))*$J396+$Z396)/$G396,0)*$G396,
((_xlfn.XLOOKUP($A396,'[1]DATOS PBI Artículos'!$A:$A,'[1]DATOS PBI Artículos'!$AO:$AO))/(_xlfn.XLOOKUP($AL$1,[1]CRITERIOS!$S$16:$S$39,[1]CRITERIOS!$Y$16:$Y$39))*$J396+$Z396)))</f>
        <v>#N/A</v>
      </c>
    </row>
    <row r="397" spans="1:37" ht="25.8" hidden="1" x14ac:dyDescent="0.4">
      <c r="A397" s="41"/>
      <c r="B397" s="33">
        <f>_xlfn.XLOOKUP($A397,'[1]DATOS PBI Artículos'!A:A,'[1]DATOS PBI Artículos'!B:B)</f>
        <v>0</v>
      </c>
      <c r="C397" s="33">
        <f>_xlfn.XLOOKUP($A397,'[1]DATOS PBI Artículos'!A:A,'[1]DATOS PBI Artículos'!C:C)</f>
        <v>0</v>
      </c>
      <c r="D397" s="33">
        <f>_xlfn.XLOOKUP(A397,'[1]DATOS PBI Artículos'!A:A,'[1]DATOS PBI Artículos'!T:T)</f>
        <v>0</v>
      </c>
      <c r="E397" s="34">
        <f>IF(_xlfn.XLOOKUP($A397,'[1]DATOS PBI Artículos'!A:A,'[1]DATOS PBI Artículos'!AK:AK)="",_xlfn.XLOOKUP($A397,'[1]DATOS PBI Artículos'!A:A,'[1]DATOS PBI Artículos'!AJ:AJ),_xlfn.XLOOKUP($A397,'[1]DATOS PBI Artículos'!A:A,'[1]DATOS PBI Artículos'!AK:AK))</f>
        <v>0</v>
      </c>
      <c r="F397" s="35">
        <f>_xlfn.XLOOKUP($A397,'[1]DATOS PBI Artículos'!A:A,'[1]DATOS PBI Artículos'!AP:AP)</f>
        <v>0</v>
      </c>
      <c r="G397" s="34">
        <f>_xlfn.XLOOKUP($A397,'[1]DATOS PBI Artículos'!A:A,'[1]DATOS PBI Artículos'!AR:AR)</f>
        <v>0</v>
      </c>
      <c r="H397" s="34">
        <f>_xlfn.XLOOKUP($A397,'[1]DATOS PBI Artículos'!A:A,'[1]DATOS PBI Artículos'!AT:AT)</f>
        <v>0</v>
      </c>
      <c r="I397" s="34">
        <f>_xlfn.XLOOKUP($A397,'[1]DATOS PBI Artículos'!A:A,'[1]DATOS PBI Artículos'!AS:AS)</f>
        <v>0</v>
      </c>
      <c r="J397" s="35">
        <f>IF(COUNTIF([1]CRITERIOS!$F$179:$F$199,$A397)&gt;=1,
 IF(O397&lt;&gt;"",
    (O397/_xlfn.XLOOKUP(CONCATENATE(A397,L397),[1]MÁQUINAS!A:A,[1]MÁQUINAS!D:D))/24,
    (N397/_xlfn.XLOOKUP(CONCATENATE(A397,L397),[1]MÁQUINAS!A:A,[1]MÁQUINAS!D:D))/24),
  _xlfn.XLOOKUP($A397,'[1]DATOS PBI Artículos'!A:A,'[1]DATOS PBI Artículos'!AU:AU))</f>
        <v>0</v>
      </c>
      <c r="K397" s="36">
        <f>_xlfn.XLOOKUP($A397,'[1]DATOS PBI Artículos'!A:A,'[1]DATOS PBI Artículos'!AV:AV)</f>
        <v>0</v>
      </c>
      <c r="L397" s="33">
        <f>_xlfn.XLOOKUP(A397,[1]MÁQUINAS!B:B,[1]MÁQUINAS!C:C)</f>
        <v>0</v>
      </c>
      <c r="M397" s="34">
        <f t="array" ref="M397">_xlfn.XLOOKUP(A397,'[1]DATOS PBI Artículos'!A:A,'[1]DATOS PBI Artículos'!AX:$AX)</f>
        <v>0</v>
      </c>
      <c r="N397" s="37" t="e">
        <f>IF(I397="DV",
E397,
IF(COUNTIF([1]CRITERIOS!$I$179:$I$199,$A397)&gt;=1,
_xlfn.XLOOKUP($A397,[1]CRITERIOS!$I$179:$I$199,[1]CRITERIOS!$J$179:$J$199),
IF(COUNTIF([1]CRITERIOS!$L$179:$L$199,$A397)&gt;=1,
_xlfn.CEILING.MATH(IF($M397&gt;$E397,
$E397,
IF($M397&lt;$E397/ROUNDDOWN([1]CRITERIOS!$M$16/_xlfn.XLOOKUP($C397,[1]CRITERIOS!$K$25:$K$42,[1]CRITERIOS!$M$25:$M$42),
1),
E397/ROUNDDOWN([1]CRITERIOS!$M$16/_xlfn.XLOOKUP($C397,[1]CRITERIOS!$K$25:$K$42,[1]CRITERIOS!$M$25:$M$42),
1),
$M397)),
_xlfn.XLOOKUP($A397,[1]CRITERIOS!$L$179:$L$200,[1]CRITERIOS!$M$179:$M$200)),
_xlfn.CEILING.MATH(IF($M397&gt;$E397,
$E397,
IF($M397&lt;$E397/ROUNDDOWN([1]CRITERIOS!$M$16/_xlfn.XLOOKUP($C397,[1]CRITERIOS!$K$25:$K$42,[1]CRITERIOS!$M$25:$M$42),
1),
E397/ROUNDDOWN([1]CRITERIOS!$M$16/_xlfn.XLOOKUP($C397,[1]CRITERIOS!$K$25:$K$42,[1]CRITERIOS!$M$25:$M$42),
1),
$M397)),_xlfn.XLOOKUP(A397,'[1]DATOS PBI Artículos'!A:A,'[1]DATOS PBI Artículos'!Z:Z
)))))</f>
        <v>#N/A</v>
      </c>
      <c r="Q397" s="38" t="e">
        <f>IF(AND(O397="",N397=0),
0,
   IF(COUNTIF([1]CRITERIOS!$F$179:$F$199,$A397)&gt;=1,
   1,
   IF(R397="MTO",
      $D397,
      ROUNDUP(
                    IF(($E397-SUMIF('[1]DATOS PBI Artículos'!A:A,A397,'[1]DATOS PBI Artículos'!X:X)+($V397-_xlfn.XLOOKUP(A397,'[1]DATOS PBI Artículos'!A:A,'[1]DATOS PBI Artículos'!W:W)))&lt;0,
                    0,
                    IF(($E397-SUMIF('[1]DATOS PBI Artículos'!A:A,A397,'[1]DATOS PBI Artículos'!X:X)+$V397-_xlfn.XLOOKUP($A397,'[1]DATOS PBI Artículos'!A:A,'[1]DATOS PBI Artículos'!W:W))/IF($O397="",$N397,$O397)&gt;ROUNDUP([1]CRITERIOS!$M$16/(IF(COUNTIF([1]CRITERIOS!$BG$11:$BG$201,L397)&gt;=1,_xlfn.XLOOKUP($C397,[1]CRITERIOS!$K$25:$K$42,[1]CRITERIOS!$M$25:$M$42),_xlfn.XLOOKUP($C397,[1]CRITERIOS!$K$25:$K$42,[1]CRITERIOS!$M$25:$M$42))),0),
                    ROUNDUP([1]CRITERIOS!$M$16/(IF(COUNTIF([1]CRITERIOS!$BG$11:$BG$201,$L397)&gt;=1,_xlfn.XLOOKUP($C397,[1]CRITERIOS!$K$25:$K$42,[1]CRITERIOS!$M$25:$M$42),_xlfn.XLOOKUP($C397,[1]CRITERIOS!$K$25:$K$42,[1]CRITERIOS!$M$25:$M$42))),0),
                    (E397+V397-SUMIF('[1]DATOS PBI Artículos'!A:A,A397,'[1]DATOS PBI Artículos'!X:X)-_xlfn.XLOOKUP(A397,'[1]DATOS PBI Artículos'!A:A,'[1]DATOS PBI Artículos'!W:W))/IF($O397="",$N397,$O397))),0))))</f>
        <v>#N/A</v>
      </c>
      <c r="R397" s="33" t="e">
        <f>IF(U397&lt;&gt;"",U397,IF(F397="DV","MTO",IF(N397=0,"MTO",_xlfn.XLOOKUP(CONCATENATE(S397,T397),[1]CRITERIOS!$K$160:$K$168,[1]CRITERIOS!$N$160:$N$168))))</f>
        <v>#N/A</v>
      </c>
      <c r="S397" s="33" t="e">
        <f>IF(G397="DV","MTO",IF(N397=0,"MTO",IF(OR(AND(N397=0,O397=""),IF(O397="",G397/N397,G397/O397)&gt;[1]CRITERIOS!$G$163),"MTO",IF(IF(O397="",G397/N397,G397/O397)&lt;[1]CRITERIOS!$H$161,"MTS","MTOS"))))</f>
        <v>#N/A</v>
      </c>
      <c r="T397" s="33" t="e">
        <f>IF(F397="DV","MTO",IF(OR(AND($N397=0,O397=""),$F397/$J397&gt;[1]CRITERIOS!$G$170,$F397="DV"),"MTO",IF($F397/$J397&lt;[1]CRITERIOS!$H$168,"MTS","MTOS")))</f>
        <v>#N/A</v>
      </c>
      <c r="V397" s="34" t="e">
        <f t="shared" si="19"/>
        <v>#N/A</v>
      </c>
      <c r="X397" s="34" t="e">
        <f t="shared" si="20"/>
        <v>#N/A</v>
      </c>
      <c r="Y397" s="34" t="e">
        <f t="shared" si="21"/>
        <v>#N/A</v>
      </c>
      <c r="Z397" s="34" t="e">
        <f>IF($R397="MTO",
0,
($H397+$K397*($E397/[1]CRITERIOS!$M$16))/[1]CRITERIOS!$X$48)</f>
        <v>#N/A</v>
      </c>
      <c r="AA397" s="34" t="e">
        <f>ROUNDUP(($Y397/_xlfn.XLOOKUP($A397,'[1]DATOS PBI Artículos'!$A$4:$A$4,'[1]DATOS PBI Artículos'!$Z$4:$Z$4))/_xlfn.XLOOKUP(_xlfn.XLOOKUP($A397,'[1]DATOS PBI Artículos'!$A$4:$A$4,'[1]DATOS PBI Artículos'!$Y$4:$Y$4),[1]CRITERIOS!$P$79:$P$123,[1]CRITERIOS!$S$79:$S$123,),0)</f>
        <v>#N/A</v>
      </c>
      <c r="AB397" s="33" t="e">
        <f t="array" ref="AB397">IF((E397+V397-_xlfn.XLOOKUP(A397,'[1]DATOS PBI Artículos'!$A$4:$A$4,'[1]DATOS PBI Artículos'!$W$4:$W$4))/N397&gt;ROUNDUP([1]CRITERIOS!$M$16/(IF(COUNTIF([1]CRITERIOS!$BG$11:$BG$201,L397)&gt;=1,_xlfn.XLOOKUP(ARTÍCULOS!L397,[1]CRITERIOS!$BG$11:$BG$201,[1]CRITERIOS!$BJ$11:$BJ$201),_xlfn.XLOOKUP(ARTÍCULOS!C397,[1]CRITERIOS!$K$25:$K$42,[1]CRITERIOS!$M$25:$M$42))),0),ROUNDUP([1]CRITERIOS!$M$16/(IF(COUNTIF([1]CRITERIOS!$BG$11:$BG$201,L397)&gt;=1,_xlfn.XLOOKUP(ARTÍCULOS!L397,[1]CRITERIOS!$BG$11:$BG$201:#REF!,[1]CRITERIOS!$BJ$11:$BJ$201),_xlfn.XLOOKUP(ARTÍCULOS!C397,[1]CRITERIOS!$K$25:$K$42,[1]CRITERIOS!$M$25:$M$42))),0),(E397+V397-_xlfn.XLOOKUP(A397,'[1]DATOS PBI Artículos'!$A$4:$A$4,'[1]DATOS PBI Artículos'!$W$4:$W$4))/N397)</f>
        <v>#N/A</v>
      </c>
      <c r="AC397" s="33" t="e">
        <f>IF(N397=0,"",(ROUNDUP((N397/2)/(_xlfn.XLOOKUP(A397,'[1]DATOS PBI Artículos'!$A$4:$A$4,'[1]DATOS PBI Artículos'!$Z$4:$Z$4)*_xlfn.XLOOKUP(_xlfn.XLOOKUP(A397,'[1]DATOS PBI Artículos'!$A$4:$A$4,'[1]DATOS PBI Artículos'!$Y$4:$Y$4),[1]CRITERIOS!$P$79:$P$123,[1]CRITERIOS!$S$79:$S$123)),0)*[1]CRITERIOS!$M$80*([1]CRITERIOS!$M$110/[1]CRITERIOS!$M$86)+(_xlfn.XLOOKUP(A397,'[1]DATOS PBI Artículos'!$A$4:$A$4,'[1]DATOS PBI Artículos'!$AA$4:$AA$4)*([1]CRITERIOS!$M$95+[1]CRITERIOS!$M$98)))/N397)</f>
        <v>#N/A</v>
      </c>
      <c r="AD397" s="33" t="e">
        <f>IF(N397=0,"",(ROUNDUP((N397/2)/(_xlfn.XLOOKUP(A397,'[1]DATOS PBI Artículos'!$A$4:$A$4,'[1]DATOS PBI Artículos'!$Z$4:$Z$4)*_xlfn.XLOOKUP(_xlfn.XLOOKUP(A397,'[1]DATOS PBI Artículos'!$A$4:$A$4,'[1]DATOS PBI Artículos'!$Y$4:$Y$4),[1]CRITERIOS!$P$79:$P$123,[1]CRITERIOS!$S$79:$S$123)),0)*[1]CRITERIOS!$M$80*([1]CRITERIOS!$M$89*[1]CRITERIOS!$M$92)+((_xlfn.XLOOKUP(A397,'[1]DATOS PBI Artículos'!$A$4:$A$4,'[1]DATOS PBI Artículos'!$AA$4:$AA$4)/2)*([1]CRITERIOS!$M$95+[1]CRITERIOS!$M$98)))/N397)</f>
        <v>#N/A</v>
      </c>
      <c r="AE397" s="39" t="e">
        <f>IF($R397="MTO","",
IF($H397=0,ROUNDUP(((_xlfn.XLOOKUP($A397,'[1]DATOS PBI Artículos'!$A:$A,'[1]DATOS PBI Artículos'!$AL:$AL))/(_xlfn.XLOOKUP($AF$1,[1]CRITERIOS!$S$16:$S$39,[1]CRITERIOS!$Y$16:$Y$39))*$J397+$Z397)/$G397,0)*$G397,
((_xlfn.XLOOKUP($A397,'[1]DATOS PBI Artículos'!$A:$A,'[1]DATOS PBI Artículos'!$AL:$AL))/(_xlfn.XLOOKUP($AF$1,[1]CRITERIOS!$S$16:$S$39,[1]CRITERIOS!$Y$16:$Y$39))*$J397+$Z397)))</f>
        <v>#N/A</v>
      </c>
      <c r="AG397" s="39" t="e">
        <f>IF($R397="MTO","",
IF($H397=0,ROUNDUP(((_xlfn.XLOOKUP($A397,'[1]DATOS PBI Artículos'!$A:$A,'[1]DATOS PBI Artículos'!$AM:$AM))/(_xlfn.XLOOKUP($AH$1,[1]CRITERIOS!$S$16:$S$39,[1]CRITERIOS!$Y$16:$Y$39))*$J397+$Z397)/$G397,0)*$G397,
((_xlfn.XLOOKUP($A397,'[1]DATOS PBI Artículos'!$A:$A,'[1]DATOS PBI Artículos'!$AM:$AM))/(_xlfn.XLOOKUP($AH$1,[1]CRITERIOS!$S$16:$S$39,[1]CRITERIOS!$Y$16:$Y$39))*$J397+$Z397)))</f>
        <v>#N/A</v>
      </c>
      <c r="AI397" s="39" t="e">
        <f>IF($R397="MTO","",
IF($H397=0,ROUNDUP(((_xlfn.XLOOKUP($A397,'[1]DATOS PBI Artículos'!$A:$A,'[1]DATOS PBI Artículos'!$AN:$AN))/(_xlfn.XLOOKUP($AJ$1,[1]CRITERIOS!$S$16:$S$39,[1]CRITERIOS!$Y$16:$Y$39))*$J397+$Z397)/$G397,0)*$G397,
((_xlfn.XLOOKUP($A397,'[1]DATOS PBI Artículos'!$A:$A,'[1]DATOS PBI Artículos'!$AN:$AN))/(_xlfn.XLOOKUP($AJ$1,[1]CRITERIOS!$S$16:$S$39,[1]CRITERIOS!$Y$16:$Y$39))*$J397+$Z397)))</f>
        <v>#N/A</v>
      </c>
      <c r="AK397" s="39" t="e">
        <f>IF($R397="MTO","",
IF($H397=0,ROUNDUP(((_xlfn.XLOOKUP($A397,'[1]DATOS PBI Artículos'!$A:$A,'[1]DATOS PBI Artículos'!$AO:$AO))/(_xlfn.XLOOKUP($AL$1,[1]CRITERIOS!$S$16:$S$39,[1]CRITERIOS!$Y$16:$Y$39))*$J397+$Z397)/$G397,0)*$G397,
((_xlfn.XLOOKUP($A397,'[1]DATOS PBI Artículos'!$A:$A,'[1]DATOS PBI Artículos'!$AO:$AO))/(_xlfn.XLOOKUP($AL$1,[1]CRITERIOS!$S$16:$S$39,[1]CRITERIOS!$Y$16:$Y$39))*$J397+$Z397)))</f>
        <v>#N/A</v>
      </c>
    </row>
    <row r="398" spans="1:37" ht="25.8" hidden="1" x14ac:dyDescent="0.4">
      <c r="A398" s="41"/>
      <c r="B398" s="33">
        <f>_xlfn.XLOOKUP($A398,'[1]DATOS PBI Artículos'!A:A,'[1]DATOS PBI Artículos'!B:B)</f>
        <v>0</v>
      </c>
      <c r="C398" s="33">
        <f>_xlfn.XLOOKUP($A398,'[1]DATOS PBI Artículos'!A:A,'[1]DATOS PBI Artículos'!C:C)</f>
        <v>0</v>
      </c>
      <c r="D398" s="33">
        <f>_xlfn.XLOOKUP(A398,'[1]DATOS PBI Artículos'!A:A,'[1]DATOS PBI Artículos'!T:T)</f>
        <v>0</v>
      </c>
      <c r="E398" s="34">
        <f>IF(_xlfn.XLOOKUP($A398,'[1]DATOS PBI Artículos'!A:A,'[1]DATOS PBI Artículos'!AK:AK)="",_xlfn.XLOOKUP($A398,'[1]DATOS PBI Artículos'!A:A,'[1]DATOS PBI Artículos'!AJ:AJ),_xlfn.XLOOKUP($A398,'[1]DATOS PBI Artículos'!A:A,'[1]DATOS PBI Artículos'!AK:AK))</f>
        <v>0</v>
      </c>
      <c r="F398" s="35">
        <f>_xlfn.XLOOKUP($A398,'[1]DATOS PBI Artículos'!A:A,'[1]DATOS PBI Artículos'!AP:AP)</f>
        <v>0</v>
      </c>
      <c r="G398" s="34">
        <f>_xlfn.XLOOKUP($A398,'[1]DATOS PBI Artículos'!A:A,'[1]DATOS PBI Artículos'!AR:AR)</f>
        <v>0</v>
      </c>
      <c r="H398" s="34">
        <f>_xlfn.XLOOKUP($A398,'[1]DATOS PBI Artículos'!A:A,'[1]DATOS PBI Artículos'!AT:AT)</f>
        <v>0</v>
      </c>
      <c r="I398" s="34">
        <f>_xlfn.XLOOKUP($A398,'[1]DATOS PBI Artículos'!A:A,'[1]DATOS PBI Artículos'!AS:AS)</f>
        <v>0</v>
      </c>
      <c r="J398" s="35">
        <f>IF(COUNTIF([1]CRITERIOS!$F$179:$F$199,$A398)&gt;=1,
 IF(O398&lt;&gt;"",
    (O398/_xlfn.XLOOKUP(CONCATENATE(A398,L398),[1]MÁQUINAS!A:A,[1]MÁQUINAS!D:D))/24,
    (N398/_xlfn.XLOOKUP(CONCATENATE(A398,L398),[1]MÁQUINAS!A:A,[1]MÁQUINAS!D:D))/24),
  _xlfn.XLOOKUP($A398,'[1]DATOS PBI Artículos'!A:A,'[1]DATOS PBI Artículos'!AU:AU))</f>
        <v>0</v>
      </c>
      <c r="K398" s="36">
        <f>_xlfn.XLOOKUP($A398,'[1]DATOS PBI Artículos'!A:A,'[1]DATOS PBI Artículos'!AV:AV)</f>
        <v>0</v>
      </c>
      <c r="L398" s="33">
        <f>_xlfn.XLOOKUP(A398,[1]MÁQUINAS!B:B,[1]MÁQUINAS!C:C)</f>
        <v>0</v>
      </c>
      <c r="M398" s="34">
        <f t="array" ref="M398">_xlfn.XLOOKUP(A398,'[1]DATOS PBI Artículos'!A:A,'[1]DATOS PBI Artículos'!AX:$AX)</f>
        <v>0</v>
      </c>
      <c r="N398" s="37" t="e">
        <f>IF(I398="DV",
E398,
IF(COUNTIF([1]CRITERIOS!$I$179:$I$199,$A398)&gt;=1,
_xlfn.XLOOKUP($A398,[1]CRITERIOS!$I$179:$I$199,[1]CRITERIOS!$J$179:$J$199),
IF(COUNTIF([1]CRITERIOS!$L$179:$L$199,$A398)&gt;=1,
_xlfn.CEILING.MATH(IF($M398&gt;$E398,
$E398,
IF($M398&lt;$E398/ROUNDDOWN([1]CRITERIOS!$M$16/_xlfn.XLOOKUP($C398,[1]CRITERIOS!$K$25:$K$42,[1]CRITERIOS!$M$25:$M$42),
1),
E398/ROUNDDOWN([1]CRITERIOS!$M$16/_xlfn.XLOOKUP($C398,[1]CRITERIOS!$K$25:$K$42,[1]CRITERIOS!$M$25:$M$42),
1),
$M398)),
_xlfn.XLOOKUP($A398,[1]CRITERIOS!$L$179:$L$200,[1]CRITERIOS!$M$179:$M$200)),
_xlfn.CEILING.MATH(IF($M398&gt;$E398,
$E398,
IF($M398&lt;$E398/ROUNDDOWN([1]CRITERIOS!$M$16/_xlfn.XLOOKUP($C398,[1]CRITERIOS!$K$25:$K$42,[1]CRITERIOS!$M$25:$M$42),
1),
E398/ROUNDDOWN([1]CRITERIOS!$M$16/_xlfn.XLOOKUP($C398,[1]CRITERIOS!$K$25:$K$42,[1]CRITERIOS!$M$25:$M$42),
1),
$M398)),_xlfn.XLOOKUP(A398,'[1]DATOS PBI Artículos'!A:A,'[1]DATOS PBI Artículos'!Z:Z
)))))</f>
        <v>#N/A</v>
      </c>
      <c r="Q398" s="38" t="e">
        <f>IF(AND(O398="",N398=0),
0,
   IF(COUNTIF([1]CRITERIOS!$F$179:$F$199,$A398)&gt;=1,
   1,
   IF(R398="MTO",
      $D398,
      ROUNDUP(
                    IF(($E398-SUMIF('[1]DATOS PBI Artículos'!A:A,A398,'[1]DATOS PBI Artículos'!X:X)+($V398-_xlfn.XLOOKUP(A398,'[1]DATOS PBI Artículos'!A:A,'[1]DATOS PBI Artículos'!W:W)))&lt;0,
                    0,
                    IF(($E398-SUMIF('[1]DATOS PBI Artículos'!A:A,A398,'[1]DATOS PBI Artículos'!X:X)+$V398-_xlfn.XLOOKUP($A398,'[1]DATOS PBI Artículos'!A:A,'[1]DATOS PBI Artículos'!W:W))/IF($O398="",$N398,$O398)&gt;ROUNDUP([1]CRITERIOS!$M$16/(IF(COUNTIF([1]CRITERIOS!$BG$11:$BG$201,L398)&gt;=1,_xlfn.XLOOKUP($C398,[1]CRITERIOS!$K$25:$K$42,[1]CRITERIOS!$M$25:$M$42),_xlfn.XLOOKUP($C398,[1]CRITERIOS!$K$25:$K$42,[1]CRITERIOS!$M$25:$M$42))),0),
                    ROUNDUP([1]CRITERIOS!$M$16/(IF(COUNTIF([1]CRITERIOS!$BG$11:$BG$201,$L398)&gt;=1,_xlfn.XLOOKUP($C398,[1]CRITERIOS!$K$25:$K$42,[1]CRITERIOS!$M$25:$M$42),_xlfn.XLOOKUP($C398,[1]CRITERIOS!$K$25:$K$42,[1]CRITERIOS!$M$25:$M$42))),0),
                    (E398+V398-SUMIF('[1]DATOS PBI Artículos'!A:A,A398,'[1]DATOS PBI Artículos'!X:X)-_xlfn.XLOOKUP(A398,'[1]DATOS PBI Artículos'!A:A,'[1]DATOS PBI Artículos'!W:W))/IF($O398="",$N398,$O398))),0))))</f>
        <v>#N/A</v>
      </c>
      <c r="R398" s="33" t="e">
        <f>IF(U398&lt;&gt;"",U398,IF(F398="DV","MTO",IF(N398=0,"MTO",_xlfn.XLOOKUP(CONCATENATE(S398,T398),[1]CRITERIOS!$K$160:$K$168,[1]CRITERIOS!$N$160:$N$168))))</f>
        <v>#N/A</v>
      </c>
      <c r="S398" s="33" t="e">
        <f>IF(G398="DV","MTO",IF(N398=0,"MTO",IF(OR(AND(N398=0,O398=""),IF(O398="",G398/N398,G398/O398)&gt;[1]CRITERIOS!$G$163),"MTO",IF(IF(O398="",G398/N398,G398/O398)&lt;[1]CRITERIOS!$H$161,"MTS","MTOS"))))</f>
        <v>#N/A</v>
      </c>
      <c r="T398" s="33" t="e">
        <f>IF(F398="DV","MTO",IF(OR(AND($N398=0,O398=""),$F398/$J398&gt;[1]CRITERIOS!$G$170,$F398="DV"),"MTO",IF($F398/$J398&lt;[1]CRITERIOS!$H$168,"MTS","MTOS")))</f>
        <v>#N/A</v>
      </c>
      <c r="V398" s="34" t="e">
        <f t="shared" si="19"/>
        <v>#N/A</v>
      </c>
      <c r="X398" s="34" t="e">
        <f t="shared" si="20"/>
        <v>#N/A</v>
      </c>
      <c r="Y398" s="34" t="e">
        <f t="shared" si="21"/>
        <v>#N/A</v>
      </c>
      <c r="Z398" s="34" t="e">
        <f>IF($R398="MTO",
0,
($H398+$K398*($E398/[1]CRITERIOS!$M$16))/[1]CRITERIOS!$X$48)</f>
        <v>#N/A</v>
      </c>
      <c r="AA398" s="34" t="e">
        <f>ROUNDUP(($Y398/_xlfn.XLOOKUP($A398,'[1]DATOS PBI Artículos'!$A$4:$A$4,'[1]DATOS PBI Artículos'!$Z$4:$Z$4))/_xlfn.XLOOKUP(_xlfn.XLOOKUP($A398,'[1]DATOS PBI Artículos'!$A$4:$A$4,'[1]DATOS PBI Artículos'!$Y$4:$Y$4),[1]CRITERIOS!$P$79:$P$123,[1]CRITERIOS!$S$79:$S$123,),0)</f>
        <v>#N/A</v>
      </c>
      <c r="AB398" s="33" t="e">
        <f t="array" ref="AB398">IF((E398+V398-_xlfn.XLOOKUP(A398,'[1]DATOS PBI Artículos'!$A$4:$A$4,'[1]DATOS PBI Artículos'!$W$4:$W$4))/N398&gt;ROUNDUP([1]CRITERIOS!$M$16/(IF(COUNTIF([1]CRITERIOS!$BG$11:$BG$201,L398)&gt;=1,_xlfn.XLOOKUP(ARTÍCULOS!L398,[1]CRITERIOS!$BG$11:$BG$201,[1]CRITERIOS!$BJ$11:$BJ$201),_xlfn.XLOOKUP(ARTÍCULOS!C398,[1]CRITERIOS!$K$25:$K$42,[1]CRITERIOS!$M$25:$M$42))),0),ROUNDUP([1]CRITERIOS!$M$16/(IF(COUNTIF([1]CRITERIOS!$BG$11:$BG$201,L398)&gt;=1,_xlfn.XLOOKUP(ARTÍCULOS!L398,[1]CRITERIOS!$BG$11:$BG$201:#REF!,[1]CRITERIOS!$BJ$11:$BJ$201),_xlfn.XLOOKUP(ARTÍCULOS!C398,[1]CRITERIOS!$K$25:$K$42,[1]CRITERIOS!$M$25:$M$42))),0),(E398+V398-_xlfn.XLOOKUP(A398,'[1]DATOS PBI Artículos'!$A$4:$A$4,'[1]DATOS PBI Artículos'!$W$4:$W$4))/N398)</f>
        <v>#N/A</v>
      </c>
      <c r="AC398" s="33" t="e">
        <f>IF(N398=0,"",(ROUNDUP((N398/2)/(_xlfn.XLOOKUP(A398,'[1]DATOS PBI Artículos'!$A$4:$A$4,'[1]DATOS PBI Artículos'!$Z$4:$Z$4)*_xlfn.XLOOKUP(_xlfn.XLOOKUP(A398,'[1]DATOS PBI Artículos'!$A$4:$A$4,'[1]DATOS PBI Artículos'!$Y$4:$Y$4),[1]CRITERIOS!$P$79:$P$123,[1]CRITERIOS!$S$79:$S$123)),0)*[1]CRITERIOS!$M$80*([1]CRITERIOS!$M$110/[1]CRITERIOS!$M$86)+(_xlfn.XLOOKUP(A398,'[1]DATOS PBI Artículos'!$A$4:$A$4,'[1]DATOS PBI Artículos'!$AA$4:$AA$4)*([1]CRITERIOS!$M$95+[1]CRITERIOS!$M$98)))/N398)</f>
        <v>#N/A</v>
      </c>
      <c r="AD398" s="33" t="e">
        <f>IF(N398=0,"",(ROUNDUP((N398/2)/(_xlfn.XLOOKUP(A398,'[1]DATOS PBI Artículos'!$A$4:$A$4,'[1]DATOS PBI Artículos'!$Z$4:$Z$4)*_xlfn.XLOOKUP(_xlfn.XLOOKUP(A398,'[1]DATOS PBI Artículos'!$A$4:$A$4,'[1]DATOS PBI Artículos'!$Y$4:$Y$4),[1]CRITERIOS!$P$79:$P$123,[1]CRITERIOS!$S$79:$S$123)),0)*[1]CRITERIOS!$M$80*([1]CRITERIOS!$M$89*[1]CRITERIOS!$M$92)+((_xlfn.XLOOKUP(A398,'[1]DATOS PBI Artículos'!$A$4:$A$4,'[1]DATOS PBI Artículos'!$AA$4:$AA$4)/2)*([1]CRITERIOS!$M$95+[1]CRITERIOS!$M$98)))/N398)</f>
        <v>#N/A</v>
      </c>
      <c r="AE398" s="39" t="e">
        <f>IF($R398="MTO","",
IF($H398=0,ROUNDUP(((_xlfn.XLOOKUP($A398,'[1]DATOS PBI Artículos'!$A:$A,'[1]DATOS PBI Artículos'!$AL:$AL))/(_xlfn.XLOOKUP($AF$1,[1]CRITERIOS!$S$16:$S$39,[1]CRITERIOS!$Y$16:$Y$39))*$J398+$Z398)/$G398,0)*$G398,
((_xlfn.XLOOKUP($A398,'[1]DATOS PBI Artículos'!$A:$A,'[1]DATOS PBI Artículos'!$AL:$AL))/(_xlfn.XLOOKUP($AF$1,[1]CRITERIOS!$S$16:$S$39,[1]CRITERIOS!$Y$16:$Y$39))*$J398+$Z398)))</f>
        <v>#N/A</v>
      </c>
      <c r="AG398" s="39" t="e">
        <f>IF($R398="MTO","",
IF($H398=0,ROUNDUP(((_xlfn.XLOOKUP($A398,'[1]DATOS PBI Artículos'!$A:$A,'[1]DATOS PBI Artículos'!$AM:$AM))/(_xlfn.XLOOKUP($AH$1,[1]CRITERIOS!$S$16:$S$39,[1]CRITERIOS!$Y$16:$Y$39))*$J398+$Z398)/$G398,0)*$G398,
((_xlfn.XLOOKUP($A398,'[1]DATOS PBI Artículos'!$A:$A,'[1]DATOS PBI Artículos'!$AM:$AM))/(_xlfn.XLOOKUP($AH$1,[1]CRITERIOS!$S$16:$S$39,[1]CRITERIOS!$Y$16:$Y$39))*$J398+$Z398)))</f>
        <v>#N/A</v>
      </c>
      <c r="AI398" s="39" t="e">
        <f>IF($R398="MTO","",
IF($H398=0,ROUNDUP(((_xlfn.XLOOKUP($A398,'[1]DATOS PBI Artículos'!$A:$A,'[1]DATOS PBI Artículos'!$AN:$AN))/(_xlfn.XLOOKUP($AJ$1,[1]CRITERIOS!$S$16:$S$39,[1]CRITERIOS!$Y$16:$Y$39))*$J398+$Z398)/$G398,0)*$G398,
((_xlfn.XLOOKUP($A398,'[1]DATOS PBI Artículos'!$A:$A,'[1]DATOS PBI Artículos'!$AN:$AN))/(_xlfn.XLOOKUP($AJ$1,[1]CRITERIOS!$S$16:$S$39,[1]CRITERIOS!$Y$16:$Y$39))*$J398+$Z398)))</f>
        <v>#N/A</v>
      </c>
      <c r="AK398" s="39" t="e">
        <f>IF($R398="MTO","",
IF($H398=0,ROUNDUP(((_xlfn.XLOOKUP($A398,'[1]DATOS PBI Artículos'!$A:$A,'[1]DATOS PBI Artículos'!$AO:$AO))/(_xlfn.XLOOKUP($AL$1,[1]CRITERIOS!$S$16:$S$39,[1]CRITERIOS!$Y$16:$Y$39))*$J398+$Z398)/$G398,0)*$G398,
((_xlfn.XLOOKUP($A398,'[1]DATOS PBI Artículos'!$A:$A,'[1]DATOS PBI Artículos'!$AO:$AO))/(_xlfn.XLOOKUP($AL$1,[1]CRITERIOS!$S$16:$S$39,[1]CRITERIOS!$Y$16:$Y$39))*$J398+$Z398)))</f>
        <v>#N/A</v>
      </c>
    </row>
    <row r="399" spans="1:37" ht="25.8" hidden="1" x14ac:dyDescent="0.4">
      <c r="A399" s="41"/>
      <c r="B399" s="33">
        <f>_xlfn.XLOOKUP($A399,'[1]DATOS PBI Artículos'!A:A,'[1]DATOS PBI Artículos'!B:B)</f>
        <v>0</v>
      </c>
      <c r="C399" s="33">
        <f>_xlfn.XLOOKUP($A399,'[1]DATOS PBI Artículos'!A:A,'[1]DATOS PBI Artículos'!C:C)</f>
        <v>0</v>
      </c>
      <c r="D399" s="33">
        <f>_xlfn.XLOOKUP(A399,'[1]DATOS PBI Artículos'!A:A,'[1]DATOS PBI Artículos'!T:T)</f>
        <v>0</v>
      </c>
      <c r="E399" s="34">
        <f>IF(_xlfn.XLOOKUP($A399,'[1]DATOS PBI Artículos'!A:A,'[1]DATOS PBI Artículos'!AK:AK)="",_xlfn.XLOOKUP($A399,'[1]DATOS PBI Artículos'!A:A,'[1]DATOS PBI Artículos'!AJ:AJ),_xlfn.XLOOKUP($A399,'[1]DATOS PBI Artículos'!A:A,'[1]DATOS PBI Artículos'!AK:AK))</f>
        <v>0</v>
      </c>
      <c r="F399" s="35">
        <f>_xlfn.XLOOKUP($A399,'[1]DATOS PBI Artículos'!A:A,'[1]DATOS PBI Artículos'!AP:AP)</f>
        <v>0</v>
      </c>
      <c r="G399" s="34">
        <f>_xlfn.XLOOKUP($A399,'[1]DATOS PBI Artículos'!A:A,'[1]DATOS PBI Artículos'!AR:AR)</f>
        <v>0</v>
      </c>
      <c r="H399" s="34">
        <f>_xlfn.XLOOKUP($A399,'[1]DATOS PBI Artículos'!A:A,'[1]DATOS PBI Artículos'!AT:AT)</f>
        <v>0</v>
      </c>
      <c r="I399" s="34">
        <f>_xlfn.XLOOKUP($A399,'[1]DATOS PBI Artículos'!A:A,'[1]DATOS PBI Artículos'!AS:AS)</f>
        <v>0</v>
      </c>
      <c r="J399" s="35">
        <f>IF(COUNTIF([1]CRITERIOS!$F$179:$F$199,$A399)&gt;=1,
 IF(O399&lt;&gt;"",
    (O399/_xlfn.XLOOKUP(CONCATENATE(A399,L399),[1]MÁQUINAS!A:A,[1]MÁQUINAS!D:D))/24,
    (N399/_xlfn.XLOOKUP(CONCATENATE(A399,L399),[1]MÁQUINAS!A:A,[1]MÁQUINAS!D:D))/24),
  _xlfn.XLOOKUP($A399,'[1]DATOS PBI Artículos'!A:A,'[1]DATOS PBI Artículos'!AU:AU))</f>
        <v>0</v>
      </c>
      <c r="K399" s="36">
        <f>_xlfn.XLOOKUP($A399,'[1]DATOS PBI Artículos'!A:A,'[1]DATOS PBI Artículos'!AV:AV)</f>
        <v>0</v>
      </c>
      <c r="L399" s="33">
        <f>_xlfn.XLOOKUP(A399,[1]MÁQUINAS!B:B,[1]MÁQUINAS!C:C)</f>
        <v>0</v>
      </c>
      <c r="M399" s="34">
        <f t="array" ref="M399">_xlfn.XLOOKUP(A399,'[1]DATOS PBI Artículos'!A:A,'[1]DATOS PBI Artículos'!AX:$AX)</f>
        <v>0</v>
      </c>
      <c r="N399" s="37" t="e">
        <f>IF(I399="DV",
E399,
IF(COUNTIF([1]CRITERIOS!$I$179:$I$199,$A399)&gt;=1,
_xlfn.XLOOKUP($A399,[1]CRITERIOS!$I$179:$I$199,[1]CRITERIOS!$J$179:$J$199),
IF(COUNTIF([1]CRITERIOS!$L$179:$L$199,$A399)&gt;=1,
_xlfn.CEILING.MATH(IF($M399&gt;$E399,
$E399,
IF($M399&lt;$E399/ROUNDDOWN([1]CRITERIOS!$M$16/_xlfn.XLOOKUP($C399,[1]CRITERIOS!$K$25:$K$42,[1]CRITERIOS!$M$25:$M$42),
1),
E399/ROUNDDOWN([1]CRITERIOS!$M$16/_xlfn.XLOOKUP($C399,[1]CRITERIOS!$K$25:$K$42,[1]CRITERIOS!$M$25:$M$42),
1),
$M399)),
_xlfn.XLOOKUP($A399,[1]CRITERIOS!$L$179:$L$200,[1]CRITERIOS!$M$179:$M$200)),
_xlfn.CEILING.MATH(IF($M399&gt;$E399,
$E399,
IF($M399&lt;$E399/ROUNDDOWN([1]CRITERIOS!$M$16/_xlfn.XLOOKUP($C399,[1]CRITERIOS!$K$25:$K$42,[1]CRITERIOS!$M$25:$M$42),
1),
E399/ROUNDDOWN([1]CRITERIOS!$M$16/_xlfn.XLOOKUP($C399,[1]CRITERIOS!$K$25:$K$42,[1]CRITERIOS!$M$25:$M$42),
1),
$M399)),_xlfn.XLOOKUP(A399,'[1]DATOS PBI Artículos'!A:A,'[1]DATOS PBI Artículos'!Z:Z
)))))</f>
        <v>#N/A</v>
      </c>
      <c r="Q399" s="38" t="e">
        <f>IF(AND(O399="",N399=0),
0,
   IF(COUNTIF([1]CRITERIOS!$F$179:$F$199,$A399)&gt;=1,
   1,
   IF(R399="MTO",
      $D399,
      ROUNDUP(
                    IF(($E399-SUMIF('[1]DATOS PBI Artículos'!A:A,A399,'[1]DATOS PBI Artículos'!X:X)+($V399-_xlfn.XLOOKUP(A399,'[1]DATOS PBI Artículos'!A:A,'[1]DATOS PBI Artículos'!W:W)))&lt;0,
                    0,
                    IF(($E399-SUMIF('[1]DATOS PBI Artículos'!A:A,A399,'[1]DATOS PBI Artículos'!X:X)+$V399-_xlfn.XLOOKUP($A399,'[1]DATOS PBI Artículos'!A:A,'[1]DATOS PBI Artículos'!W:W))/IF($O399="",$N399,$O399)&gt;ROUNDUP([1]CRITERIOS!$M$16/(IF(COUNTIF([1]CRITERIOS!$BG$11:$BG$201,L399)&gt;=1,_xlfn.XLOOKUP($C399,[1]CRITERIOS!$K$25:$K$42,[1]CRITERIOS!$M$25:$M$42),_xlfn.XLOOKUP($C399,[1]CRITERIOS!$K$25:$K$42,[1]CRITERIOS!$M$25:$M$42))),0),
                    ROUNDUP([1]CRITERIOS!$M$16/(IF(COUNTIF([1]CRITERIOS!$BG$11:$BG$201,$L399)&gt;=1,_xlfn.XLOOKUP($C399,[1]CRITERIOS!$K$25:$K$42,[1]CRITERIOS!$M$25:$M$42),_xlfn.XLOOKUP($C399,[1]CRITERIOS!$K$25:$K$42,[1]CRITERIOS!$M$25:$M$42))),0),
                    (E399+V399-SUMIF('[1]DATOS PBI Artículos'!A:A,A399,'[1]DATOS PBI Artículos'!X:X)-_xlfn.XLOOKUP(A399,'[1]DATOS PBI Artículos'!A:A,'[1]DATOS PBI Artículos'!W:W))/IF($O399="",$N399,$O399))),0))))</f>
        <v>#N/A</v>
      </c>
      <c r="R399" s="33" t="e">
        <f>IF(U399&lt;&gt;"",U399,IF(F399="DV","MTO",IF(N399=0,"MTO",_xlfn.XLOOKUP(CONCATENATE(S399,T399),[1]CRITERIOS!$K$160:$K$168,[1]CRITERIOS!$N$160:$N$168))))</f>
        <v>#N/A</v>
      </c>
      <c r="S399" s="33" t="e">
        <f>IF(G399="DV","MTO",IF(N399=0,"MTO",IF(OR(AND(N399=0,O399=""),IF(O399="",G399/N399,G399/O399)&gt;[1]CRITERIOS!$G$163),"MTO",IF(IF(O399="",G399/N399,G399/O399)&lt;[1]CRITERIOS!$H$161,"MTS","MTOS"))))</f>
        <v>#N/A</v>
      </c>
      <c r="T399" s="33" t="e">
        <f>IF(F399="DV","MTO",IF(OR(AND($N399=0,O399=""),$F399/$J399&gt;[1]CRITERIOS!$G$170,$F399="DV"),"MTO",IF($F399/$J399&lt;[1]CRITERIOS!$H$168,"MTS","MTOS")))</f>
        <v>#N/A</v>
      </c>
      <c r="V399" s="34" t="e">
        <f t="shared" si="19"/>
        <v>#N/A</v>
      </c>
      <c r="X399" s="34" t="e">
        <f t="shared" si="20"/>
        <v>#N/A</v>
      </c>
      <c r="Y399" s="34" t="e">
        <f t="shared" si="21"/>
        <v>#N/A</v>
      </c>
      <c r="Z399" s="34" t="e">
        <f>IF($R399="MTO",
0,
($H399+$K399*($E399/[1]CRITERIOS!$M$16))/[1]CRITERIOS!$X$48)</f>
        <v>#N/A</v>
      </c>
      <c r="AA399" s="34" t="e">
        <f>ROUNDUP(($Y399/_xlfn.XLOOKUP($A399,'[1]DATOS PBI Artículos'!$A$4:$A$4,'[1]DATOS PBI Artículos'!$Z$4:$Z$4))/_xlfn.XLOOKUP(_xlfn.XLOOKUP($A399,'[1]DATOS PBI Artículos'!$A$4:$A$4,'[1]DATOS PBI Artículos'!$Y$4:$Y$4),[1]CRITERIOS!$P$79:$P$123,[1]CRITERIOS!$S$79:$S$123,),0)</f>
        <v>#N/A</v>
      </c>
      <c r="AB399" s="33" t="e">
        <f t="array" ref="AB399">IF((E399+V399-_xlfn.XLOOKUP(A399,'[1]DATOS PBI Artículos'!$A$4:$A$4,'[1]DATOS PBI Artículos'!$W$4:$W$4))/N399&gt;ROUNDUP([1]CRITERIOS!$M$16/(IF(COUNTIF([1]CRITERIOS!$BG$11:$BG$201,L399)&gt;=1,_xlfn.XLOOKUP(ARTÍCULOS!L399,[1]CRITERIOS!$BG$11:$BG$201,[1]CRITERIOS!$BJ$11:$BJ$201),_xlfn.XLOOKUP(ARTÍCULOS!C399,[1]CRITERIOS!$K$25:$K$42,[1]CRITERIOS!$M$25:$M$42))),0),ROUNDUP([1]CRITERIOS!$M$16/(IF(COUNTIF([1]CRITERIOS!$BG$11:$BG$201,L399)&gt;=1,_xlfn.XLOOKUP(ARTÍCULOS!L399,[1]CRITERIOS!$BG$11:$BG$201:#REF!,[1]CRITERIOS!$BJ$11:$BJ$201),_xlfn.XLOOKUP(ARTÍCULOS!C399,[1]CRITERIOS!$K$25:$K$42,[1]CRITERIOS!$M$25:$M$42))),0),(E399+V399-_xlfn.XLOOKUP(A399,'[1]DATOS PBI Artículos'!$A$4:$A$4,'[1]DATOS PBI Artículos'!$W$4:$W$4))/N399)</f>
        <v>#N/A</v>
      </c>
      <c r="AC399" s="33" t="e">
        <f>IF(N399=0,"",(ROUNDUP((N399/2)/(_xlfn.XLOOKUP(A399,'[1]DATOS PBI Artículos'!$A$4:$A$4,'[1]DATOS PBI Artículos'!$Z$4:$Z$4)*_xlfn.XLOOKUP(_xlfn.XLOOKUP(A399,'[1]DATOS PBI Artículos'!$A$4:$A$4,'[1]DATOS PBI Artículos'!$Y$4:$Y$4),[1]CRITERIOS!$P$79:$P$123,[1]CRITERIOS!$S$79:$S$123)),0)*[1]CRITERIOS!$M$80*([1]CRITERIOS!$M$110/[1]CRITERIOS!$M$86)+(_xlfn.XLOOKUP(A399,'[1]DATOS PBI Artículos'!$A$4:$A$4,'[1]DATOS PBI Artículos'!$AA$4:$AA$4)*([1]CRITERIOS!$M$95+[1]CRITERIOS!$M$98)))/N399)</f>
        <v>#N/A</v>
      </c>
      <c r="AD399" s="33" t="e">
        <f>IF(N399=0,"",(ROUNDUP((N399/2)/(_xlfn.XLOOKUP(A399,'[1]DATOS PBI Artículos'!$A$4:$A$4,'[1]DATOS PBI Artículos'!$Z$4:$Z$4)*_xlfn.XLOOKUP(_xlfn.XLOOKUP(A399,'[1]DATOS PBI Artículos'!$A$4:$A$4,'[1]DATOS PBI Artículos'!$Y$4:$Y$4),[1]CRITERIOS!$P$79:$P$123,[1]CRITERIOS!$S$79:$S$123)),0)*[1]CRITERIOS!$M$80*([1]CRITERIOS!$M$89*[1]CRITERIOS!$M$92)+((_xlfn.XLOOKUP(A399,'[1]DATOS PBI Artículos'!$A$4:$A$4,'[1]DATOS PBI Artículos'!$AA$4:$AA$4)/2)*([1]CRITERIOS!$M$95+[1]CRITERIOS!$M$98)))/N399)</f>
        <v>#N/A</v>
      </c>
      <c r="AE399" s="39" t="e">
        <f>IF($R399="MTO","",
IF($H399=0,ROUNDUP(((_xlfn.XLOOKUP($A399,'[1]DATOS PBI Artículos'!$A:$A,'[1]DATOS PBI Artículos'!$AL:$AL))/(_xlfn.XLOOKUP($AF$1,[1]CRITERIOS!$S$16:$S$39,[1]CRITERIOS!$Y$16:$Y$39))*$J399+$Z399)/$G399,0)*$G399,
((_xlfn.XLOOKUP($A399,'[1]DATOS PBI Artículos'!$A:$A,'[1]DATOS PBI Artículos'!$AL:$AL))/(_xlfn.XLOOKUP($AF$1,[1]CRITERIOS!$S$16:$S$39,[1]CRITERIOS!$Y$16:$Y$39))*$J399+$Z399)))</f>
        <v>#N/A</v>
      </c>
      <c r="AG399" s="39" t="e">
        <f>IF($R399="MTO","",
IF($H399=0,ROUNDUP(((_xlfn.XLOOKUP($A399,'[1]DATOS PBI Artículos'!$A:$A,'[1]DATOS PBI Artículos'!$AM:$AM))/(_xlfn.XLOOKUP($AH$1,[1]CRITERIOS!$S$16:$S$39,[1]CRITERIOS!$Y$16:$Y$39))*$J399+$Z399)/$G399,0)*$G399,
((_xlfn.XLOOKUP($A399,'[1]DATOS PBI Artículos'!$A:$A,'[1]DATOS PBI Artículos'!$AM:$AM))/(_xlfn.XLOOKUP($AH$1,[1]CRITERIOS!$S$16:$S$39,[1]CRITERIOS!$Y$16:$Y$39))*$J399+$Z399)))</f>
        <v>#N/A</v>
      </c>
      <c r="AI399" s="39" t="e">
        <f>IF($R399="MTO","",
IF($H399=0,ROUNDUP(((_xlfn.XLOOKUP($A399,'[1]DATOS PBI Artículos'!$A:$A,'[1]DATOS PBI Artículos'!$AN:$AN))/(_xlfn.XLOOKUP($AJ$1,[1]CRITERIOS!$S$16:$S$39,[1]CRITERIOS!$Y$16:$Y$39))*$J399+$Z399)/$G399,0)*$G399,
((_xlfn.XLOOKUP($A399,'[1]DATOS PBI Artículos'!$A:$A,'[1]DATOS PBI Artículos'!$AN:$AN))/(_xlfn.XLOOKUP($AJ$1,[1]CRITERIOS!$S$16:$S$39,[1]CRITERIOS!$Y$16:$Y$39))*$J399+$Z399)))</f>
        <v>#N/A</v>
      </c>
      <c r="AK399" s="39" t="e">
        <f>IF($R399="MTO","",
IF($H399=0,ROUNDUP(((_xlfn.XLOOKUP($A399,'[1]DATOS PBI Artículos'!$A:$A,'[1]DATOS PBI Artículos'!$AO:$AO))/(_xlfn.XLOOKUP($AL$1,[1]CRITERIOS!$S$16:$S$39,[1]CRITERIOS!$Y$16:$Y$39))*$J399+$Z399)/$G399,0)*$G399,
((_xlfn.XLOOKUP($A399,'[1]DATOS PBI Artículos'!$A:$A,'[1]DATOS PBI Artículos'!$AO:$AO))/(_xlfn.XLOOKUP($AL$1,[1]CRITERIOS!$S$16:$S$39,[1]CRITERIOS!$Y$16:$Y$39))*$J399+$Z399)))</f>
        <v>#N/A</v>
      </c>
    </row>
    <row r="400" spans="1:37" ht="25.8" hidden="1" x14ac:dyDescent="0.4">
      <c r="A400" s="41"/>
      <c r="B400" s="33">
        <f>_xlfn.XLOOKUP($A400,'[1]DATOS PBI Artículos'!A:A,'[1]DATOS PBI Artículos'!B:B)</f>
        <v>0</v>
      </c>
      <c r="C400" s="33">
        <f>_xlfn.XLOOKUP($A400,'[1]DATOS PBI Artículos'!A:A,'[1]DATOS PBI Artículos'!C:C)</f>
        <v>0</v>
      </c>
      <c r="D400" s="33">
        <f>_xlfn.XLOOKUP(A400,'[1]DATOS PBI Artículos'!A:A,'[1]DATOS PBI Artículos'!T:T)</f>
        <v>0</v>
      </c>
      <c r="E400" s="34">
        <f>IF(_xlfn.XLOOKUP($A400,'[1]DATOS PBI Artículos'!A:A,'[1]DATOS PBI Artículos'!AK:AK)="",_xlfn.XLOOKUP($A400,'[1]DATOS PBI Artículos'!A:A,'[1]DATOS PBI Artículos'!AJ:AJ),_xlfn.XLOOKUP($A400,'[1]DATOS PBI Artículos'!A:A,'[1]DATOS PBI Artículos'!AK:AK))</f>
        <v>0</v>
      </c>
      <c r="F400" s="35">
        <f>_xlfn.XLOOKUP($A400,'[1]DATOS PBI Artículos'!A:A,'[1]DATOS PBI Artículos'!AP:AP)</f>
        <v>0</v>
      </c>
      <c r="G400" s="34">
        <f>_xlfn.XLOOKUP($A400,'[1]DATOS PBI Artículos'!A:A,'[1]DATOS PBI Artículos'!AR:AR)</f>
        <v>0</v>
      </c>
      <c r="H400" s="34">
        <f>_xlfn.XLOOKUP($A400,'[1]DATOS PBI Artículos'!A:A,'[1]DATOS PBI Artículos'!AT:AT)</f>
        <v>0</v>
      </c>
      <c r="I400" s="34">
        <f>_xlfn.XLOOKUP($A400,'[1]DATOS PBI Artículos'!A:A,'[1]DATOS PBI Artículos'!AS:AS)</f>
        <v>0</v>
      </c>
      <c r="J400" s="35">
        <f>IF(COUNTIF([1]CRITERIOS!$F$179:$F$199,$A400)&gt;=1,
 IF(O400&lt;&gt;"",
    (O400/_xlfn.XLOOKUP(CONCATENATE(A400,L400),[1]MÁQUINAS!A:A,[1]MÁQUINAS!D:D))/24,
    (N400/_xlfn.XLOOKUP(CONCATENATE(A400,L400),[1]MÁQUINAS!A:A,[1]MÁQUINAS!D:D))/24),
  _xlfn.XLOOKUP($A400,'[1]DATOS PBI Artículos'!A:A,'[1]DATOS PBI Artículos'!AU:AU))</f>
        <v>0</v>
      </c>
      <c r="K400" s="36">
        <f>_xlfn.XLOOKUP($A400,'[1]DATOS PBI Artículos'!A:A,'[1]DATOS PBI Artículos'!AV:AV)</f>
        <v>0</v>
      </c>
      <c r="L400" s="33">
        <f>_xlfn.XLOOKUP(A400,[1]MÁQUINAS!B:B,[1]MÁQUINAS!C:C)</f>
        <v>0</v>
      </c>
      <c r="M400" s="34">
        <f t="array" ref="M400">_xlfn.XLOOKUP(A400,'[1]DATOS PBI Artículos'!A:A,'[1]DATOS PBI Artículos'!AX:$AX)</f>
        <v>0</v>
      </c>
      <c r="N400" s="37" t="e">
        <f>IF(I400="DV",
E400,
IF(COUNTIF([1]CRITERIOS!$I$179:$I$199,$A400)&gt;=1,
_xlfn.XLOOKUP($A400,[1]CRITERIOS!$I$179:$I$199,[1]CRITERIOS!$J$179:$J$199),
IF(COUNTIF([1]CRITERIOS!$L$179:$L$199,$A400)&gt;=1,
_xlfn.CEILING.MATH(IF($M400&gt;$E400,
$E400,
IF($M400&lt;$E400/ROUNDDOWN([1]CRITERIOS!$M$16/_xlfn.XLOOKUP($C400,[1]CRITERIOS!$K$25:$K$42,[1]CRITERIOS!$M$25:$M$42),
1),
E400/ROUNDDOWN([1]CRITERIOS!$M$16/_xlfn.XLOOKUP($C400,[1]CRITERIOS!$K$25:$K$42,[1]CRITERIOS!$M$25:$M$42),
1),
$M400)),
_xlfn.XLOOKUP($A400,[1]CRITERIOS!$L$179:$L$200,[1]CRITERIOS!$M$179:$M$200)),
_xlfn.CEILING.MATH(IF($M400&gt;$E400,
$E400,
IF($M400&lt;$E400/ROUNDDOWN([1]CRITERIOS!$M$16/_xlfn.XLOOKUP($C400,[1]CRITERIOS!$K$25:$K$42,[1]CRITERIOS!$M$25:$M$42),
1),
E400/ROUNDDOWN([1]CRITERIOS!$M$16/_xlfn.XLOOKUP($C400,[1]CRITERIOS!$K$25:$K$42,[1]CRITERIOS!$M$25:$M$42),
1),
$M400)),_xlfn.XLOOKUP(A400,'[1]DATOS PBI Artículos'!A:A,'[1]DATOS PBI Artículos'!Z:Z
)))))</f>
        <v>#N/A</v>
      </c>
      <c r="Q400" s="38" t="e">
        <f>IF(AND(O400="",N400=0),
0,
   IF(COUNTIF([1]CRITERIOS!$F$179:$F$199,$A400)&gt;=1,
   1,
   IF(R400="MTO",
      $D400,
      ROUNDUP(
                    IF(($E400-SUMIF('[1]DATOS PBI Artículos'!A:A,A400,'[1]DATOS PBI Artículos'!X:X)+($V400-_xlfn.XLOOKUP(A400,'[1]DATOS PBI Artículos'!A:A,'[1]DATOS PBI Artículos'!W:W)))&lt;0,
                    0,
                    IF(($E400-SUMIF('[1]DATOS PBI Artículos'!A:A,A400,'[1]DATOS PBI Artículos'!X:X)+$V400-_xlfn.XLOOKUP($A400,'[1]DATOS PBI Artículos'!A:A,'[1]DATOS PBI Artículos'!W:W))/IF($O400="",$N400,$O400)&gt;ROUNDUP([1]CRITERIOS!$M$16/(IF(COUNTIF([1]CRITERIOS!$BG$11:$BG$201,L400)&gt;=1,_xlfn.XLOOKUP($C400,[1]CRITERIOS!$K$25:$K$42,[1]CRITERIOS!$M$25:$M$42),_xlfn.XLOOKUP($C400,[1]CRITERIOS!$K$25:$K$42,[1]CRITERIOS!$M$25:$M$42))),0),
                    ROUNDUP([1]CRITERIOS!$M$16/(IF(COUNTIF([1]CRITERIOS!$BG$11:$BG$201,$L400)&gt;=1,_xlfn.XLOOKUP($C400,[1]CRITERIOS!$K$25:$K$42,[1]CRITERIOS!$M$25:$M$42),_xlfn.XLOOKUP($C400,[1]CRITERIOS!$K$25:$K$42,[1]CRITERIOS!$M$25:$M$42))),0),
                    (E400+V400-SUMIF('[1]DATOS PBI Artículos'!A:A,A400,'[1]DATOS PBI Artículos'!X:X)-_xlfn.XLOOKUP(A400,'[1]DATOS PBI Artículos'!A:A,'[1]DATOS PBI Artículos'!W:W))/IF($O400="",$N400,$O400))),0))))</f>
        <v>#N/A</v>
      </c>
      <c r="R400" s="33" t="e">
        <f>IF(U400&lt;&gt;"",U400,IF(F400="DV","MTO",IF(N400=0,"MTO",_xlfn.XLOOKUP(CONCATENATE(S400,T400),[1]CRITERIOS!$K$160:$K$168,[1]CRITERIOS!$N$160:$N$168))))</f>
        <v>#N/A</v>
      </c>
      <c r="S400" s="33" t="e">
        <f>IF(G400="DV","MTO",IF(N400=0,"MTO",IF(OR(AND(N400=0,O400=""),IF(O400="",G400/N400,G400/O400)&gt;[1]CRITERIOS!$G$163),"MTO",IF(IF(O400="",G400/N400,G400/O400)&lt;[1]CRITERIOS!$H$161,"MTS","MTOS"))))</f>
        <v>#N/A</v>
      </c>
      <c r="T400" s="33" t="e">
        <f>IF(F400="DV","MTO",IF(OR(AND($N400=0,O400=""),$F400/$J400&gt;[1]CRITERIOS!$G$170,$F400="DV"),"MTO",IF($F400/$J400&lt;[1]CRITERIOS!$H$168,"MTS","MTOS")))</f>
        <v>#N/A</v>
      </c>
      <c r="V400" s="34" t="e">
        <f t="shared" si="19"/>
        <v>#N/A</v>
      </c>
      <c r="X400" s="34" t="e">
        <f t="shared" si="20"/>
        <v>#N/A</v>
      </c>
      <c r="Y400" s="34" t="e">
        <f t="shared" si="21"/>
        <v>#N/A</v>
      </c>
      <c r="Z400" s="34" t="e">
        <f>IF($R400="MTO",
0,
($H400+$K400*($E400/[1]CRITERIOS!$M$16))/[1]CRITERIOS!$X$48)</f>
        <v>#N/A</v>
      </c>
      <c r="AA400" s="34" t="e">
        <f>ROUNDUP(($Y400/_xlfn.XLOOKUP($A400,'[1]DATOS PBI Artículos'!$A$4:$A$4,'[1]DATOS PBI Artículos'!$Z$4:$Z$4))/_xlfn.XLOOKUP(_xlfn.XLOOKUP($A400,'[1]DATOS PBI Artículos'!$A$4:$A$4,'[1]DATOS PBI Artículos'!$Y$4:$Y$4),[1]CRITERIOS!$P$79:$P$123,[1]CRITERIOS!$S$79:$S$123,),0)</f>
        <v>#N/A</v>
      </c>
      <c r="AB400" s="33" t="e">
        <f t="array" ref="AB400">IF((E400+V400-_xlfn.XLOOKUP(A400,'[1]DATOS PBI Artículos'!$A$4:$A$4,'[1]DATOS PBI Artículos'!$W$4:$W$4))/N400&gt;ROUNDUP([1]CRITERIOS!$M$16/(IF(COUNTIF([1]CRITERIOS!$BG$11:$BG$201,L400)&gt;=1,_xlfn.XLOOKUP(ARTÍCULOS!L400,[1]CRITERIOS!$BG$11:$BG$201,[1]CRITERIOS!$BJ$11:$BJ$201),_xlfn.XLOOKUP(ARTÍCULOS!C400,[1]CRITERIOS!$K$25:$K$42,[1]CRITERIOS!$M$25:$M$42))),0),ROUNDUP([1]CRITERIOS!$M$16/(IF(COUNTIF([1]CRITERIOS!$BG$11:$BG$201,L400)&gt;=1,_xlfn.XLOOKUP(ARTÍCULOS!L400,[1]CRITERIOS!$BG$11:$BG$201:#REF!,[1]CRITERIOS!$BJ$11:$BJ$201),_xlfn.XLOOKUP(ARTÍCULOS!C400,[1]CRITERIOS!$K$25:$K$42,[1]CRITERIOS!$M$25:$M$42))),0),(E400+V400-_xlfn.XLOOKUP(A400,'[1]DATOS PBI Artículos'!$A$4:$A$4,'[1]DATOS PBI Artículos'!$W$4:$W$4))/N400)</f>
        <v>#N/A</v>
      </c>
      <c r="AC400" s="33" t="e">
        <f>IF(N400=0,"",(ROUNDUP((N400/2)/(_xlfn.XLOOKUP(A400,'[1]DATOS PBI Artículos'!$A$4:$A$4,'[1]DATOS PBI Artículos'!$Z$4:$Z$4)*_xlfn.XLOOKUP(_xlfn.XLOOKUP(A400,'[1]DATOS PBI Artículos'!$A$4:$A$4,'[1]DATOS PBI Artículos'!$Y$4:$Y$4),[1]CRITERIOS!$P$79:$P$123,[1]CRITERIOS!$S$79:$S$123)),0)*[1]CRITERIOS!$M$80*([1]CRITERIOS!$M$110/[1]CRITERIOS!$M$86)+(_xlfn.XLOOKUP(A400,'[1]DATOS PBI Artículos'!$A$4:$A$4,'[1]DATOS PBI Artículos'!$AA$4:$AA$4)*([1]CRITERIOS!$M$95+[1]CRITERIOS!$M$98)))/N400)</f>
        <v>#N/A</v>
      </c>
      <c r="AD400" s="33" t="e">
        <f>IF(N400=0,"",(ROUNDUP((N400/2)/(_xlfn.XLOOKUP(A400,'[1]DATOS PBI Artículos'!$A$4:$A$4,'[1]DATOS PBI Artículos'!$Z$4:$Z$4)*_xlfn.XLOOKUP(_xlfn.XLOOKUP(A400,'[1]DATOS PBI Artículos'!$A$4:$A$4,'[1]DATOS PBI Artículos'!$Y$4:$Y$4),[1]CRITERIOS!$P$79:$P$123,[1]CRITERIOS!$S$79:$S$123)),0)*[1]CRITERIOS!$M$80*([1]CRITERIOS!$M$89*[1]CRITERIOS!$M$92)+((_xlfn.XLOOKUP(A400,'[1]DATOS PBI Artículos'!$A$4:$A$4,'[1]DATOS PBI Artículos'!$AA$4:$AA$4)/2)*([1]CRITERIOS!$M$95+[1]CRITERIOS!$M$98)))/N400)</f>
        <v>#N/A</v>
      </c>
      <c r="AE400" s="39" t="e">
        <f>IF($R400="MTO","",
IF($H400=0,ROUNDUP(((_xlfn.XLOOKUP($A400,'[1]DATOS PBI Artículos'!$A:$A,'[1]DATOS PBI Artículos'!$AL:$AL))/(_xlfn.XLOOKUP($AF$1,[1]CRITERIOS!$S$16:$S$39,[1]CRITERIOS!$Y$16:$Y$39))*$J400+$Z400)/$G400,0)*$G400,
((_xlfn.XLOOKUP($A400,'[1]DATOS PBI Artículos'!$A:$A,'[1]DATOS PBI Artículos'!$AL:$AL))/(_xlfn.XLOOKUP($AF$1,[1]CRITERIOS!$S$16:$S$39,[1]CRITERIOS!$Y$16:$Y$39))*$J400+$Z400)))</f>
        <v>#N/A</v>
      </c>
      <c r="AG400" s="39" t="e">
        <f>IF($R400="MTO","",
IF($H400=0,ROUNDUP(((_xlfn.XLOOKUP($A400,'[1]DATOS PBI Artículos'!$A:$A,'[1]DATOS PBI Artículos'!$AM:$AM))/(_xlfn.XLOOKUP($AH$1,[1]CRITERIOS!$S$16:$S$39,[1]CRITERIOS!$Y$16:$Y$39))*$J400+$Z400)/$G400,0)*$G400,
((_xlfn.XLOOKUP($A400,'[1]DATOS PBI Artículos'!$A:$A,'[1]DATOS PBI Artículos'!$AM:$AM))/(_xlfn.XLOOKUP($AH$1,[1]CRITERIOS!$S$16:$S$39,[1]CRITERIOS!$Y$16:$Y$39))*$J400+$Z400)))</f>
        <v>#N/A</v>
      </c>
      <c r="AI400" s="39" t="e">
        <f>IF($R400="MTO","",
IF($H400=0,ROUNDUP(((_xlfn.XLOOKUP($A400,'[1]DATOS PBI Artículos'!$A:$A,'[1]DATOS PBI Artículos'!$AN:$AN))/(_xlfn.XLOOKUP($AJ$1,[1]CRITERIOS!$S$16:$S$39,[1]CRITERIOS!$Y$16:$Y$39))*$J400+$Z400)/$G400,0)*$G400,
((_xlfn.XLOOKUP($A400,'[1]DATOS PBI Artículos'!$A:$A,'[1]DATOS PBI Artículos'!$AN:$AN))/(_xlfn.XLOOKUP($AJ$1,[1]CRITERIOS!$S$16:$S$39,[1]CRITERIOS!$Y$16:$Y$39))*$J400+$Z400)))</f>
        <v>#N/A</v>
      </c>
      <c r="AK400" s="39" t="e">
        <f>IF($R400="MTO","",
IF($H400=0,ROUNDUP(((_xlfn.XLOOKUP($A400,'[1]DATOS PBI Artículos'!$A:$A,'[1]DATOS PBI Artículos'!$AO:$AO))/(_xlfn.XLOOKUP($AL$1,[1]CRITERIOS!$S$16:$S$39,[1]CRITERIOS!$Y$16:$Y$39))*$J400+$Z400)/$G400,0)*$G400,
((_xlfn.XLOOKUP($A400,'[1]DATOS PBI Artículos'!$A:$A,'[1]DATOS PBI Artículos'!$AO:$AO))/(_xlfn.XLOOKUP($AL$1,[1]CRITERIOS!$S$16:$S$39,[1]CRITERIOS!$Y$16:$Y$39))*$J400+$Z400)))</f>
        <v>#N/A</v>
      </c>
    </row>
    <row r="401" spans="1:37" ht="25.8" hidden="1" x14ac:dyDescent="0.4">
      <c r="A401" s="41"/>
      <c r="B401" s="33">
        <f>_xlfn.XLOOKUP($A401,'[1]DATOS PBI Artículos'!A:A,'[1]DATOS PBI Artículos'!B:B)</f>
        <v>0</v>
      </c>
      <c r="C401" s="33">
        <f>_xlfn.XLOOKUP($A401,'[1]DATOS PBI Artículos'!A:A,'[1]DATOS PBI Artículos'!C:C)</f>
        <v>0</v>
      </c>
      <c r="D401" s="33">
        <f>_xlfn.XLOOKUP(A401,'[1]DATOS PBI Artículos'!A:A,'[1]DATOS PBI Artículos'!T:T)</f>
        <v>0</v>
      </c>
      <c r="E401" s="34">
        <f>IF(_xlfn.XLOOKUP($A401,'[1]DATOS PBI Artículos'!A:A,'[1]DATOS PBI Artículos'!AK:AK)="",_xlfn.XLOOKUP($A401,'[1]DATOS PBI Artículos'!A:A,'[1]DATOS PBI Artículos'!AJ:AJ),_xlfn.XLOOKUP($A401,'[1]DATOS PBI Artículos'!A:A,'[1]DATOS PBI Artículos'!AK:AK))</f>
        <v>0</v>
      </c>
      <c r="F401" s="35">
        <f>_xlfn.XLOOKUP($A401,'[1]DATOS PBI Artículos'!A:A,'[1]DATOS PBI Artículos'!AP:AP)</f>
        <v>0</v>
      </c>
      <c r="G401" s="34">
        <f>_xlfn.XLOOKUP($A401,'[1]DATOS PBI Artículos'!A:A,'[1]DATOS PBI Artículos'!AR:AR)</f>
        <v>0</v>
      </c>
      <c r="H401" s="34">
        <f>_xlfn.XLOOKUP($A401,'[1]DATOS PBI Artículos'!A:A,'[1]DATOS PBI Artículos'!AT:AT)</f>
        <v>0</v>
      </c>
      <c r="I401" s="34">
        <f>_xlfn.XLOOKUP($A401,'[1]DATOS PBI Artículos'!A:A,'[1]DATOS PBI Artículos'!AS:AS)</f>
        <v>0</v>
      </c>
      <c r="J401" s="35">
        <f>IF(COUNTIF([1]CRITERIOS!$F$179:$F$199,$A401)&gt;=1,
 IF(O401&lt;&gt;"",
    (O401/_xlfn.XLOOKUP(CONCATENATE(A401,L401),[1]MÁQUINAS!A:A,[1]MÁQUINAS!D:D))/24,
    (N401/_xlfn.XLOOKUP(CONCATENATE(A401,L401),[1]MÁQUINAS!A:A,[1]MÁQUINAS!D:D))/24),
  _xlfn.XLOOKUP($A401,'[1]DATOS PBI Artículos'!A:A,'[1]DATOS PBI Artículos'!AU:AU))</f>
        <v>0</v>
      </c>
      <c r="K401" s="36">
        <f>_xlfn.XLOOKUP($A401,'[1]DATOS PBI Artículos'!A:A,'[1]DATOS PBI Artículos'!AV:AV)</f>
        <v>0</v>
      </c>
      <c r="L401" s="33">
        <f>_xlfn.XLOOKUP(A401,[1]MÁQUINAS!B:B,[1]MÁQUINAS!C:C)</f>
        <v>0</v>
      </c>
      <c r="M401" s="34">
        <f t="array" ref="M401">_xlfn.XLOOKUP(A401,'[1]DATOS PBI Artículos'!A:A,'[1]DATOS PBI Artículos'!AX:$AX)</f>
        <v>0</v>
      </c>
      <c r="N401" s="37" t="e">
        <f>IF(I401="DV",
E401,
IF(COUNTIF([1]CRITERIOS!$I$179:$I$199,$A401)&gt;=1,
_xlfn.XLOOKUP($A401,[1]CRITERIOS!$I$179:$I$199,[1]CRITERIOS!$J$179:$J$199),
IF(COUNTIF([1]CRITERIOS!$L$179:$L$199,$A401)&gt;=1,
_xlfn.CEILING.MATH(IF($M401&gt;$E401,
$E401,
IF($M401&lt;$E401/ROUNDDOWN([1]CRITERIOS!$M$16/_xlfn.XLOOKUP($C401,[1]CRITERIOS!$K$25:$K$42,[1]CRITERIOS!$M$25:$M$42),
1),
E401/ROUNDDOWN([1]CRITERIOS!$M$16/_xlfn.XLOOKUP($C401,[1]CRITERIOS!$K$25:$K$42,[1]CRITERIOS!$M$25:$M$42),
1),
$M401)),
_xlfn.XLOOKUP($A401,[1]CRITERIOS!$L$179:$L$200,[1]CRITERIOS!$M$179:$M$200)),
_xlfn.CEILING.MATH(IF($M401&gt;$E401,
$E401,
IF($M401&lt;$E401/ROUNDDOWN([1]CRITERIOS!$M$16/_xlfn.XLOOKUP($C401,[1]CRITERIOS!$K$25:$K$42,[1]CRITERIOS!$M$25:$M$42),
1),
E401/ROUNDDOWN([1]CRITERIOS!$M$16/_xlfn.XLOOKUP($C401,[1]CRITERIOS!$K$25:$K$42,[1]CRITERIOS!$M$25:$M$42),
1),
$M401)),_xlfn.XLOOKUP(A401,'[1]DATOS PBI Artículos'!A:A,'[1]DATOS PBI Artículos'!Z:Z
)))))</f>
        <v>#N/A</v>
      </c>
      <c r="Q401" s="38" t="e">
        <f>IF(AND(O401="",N401=0),
0,
   IF(COUNTIF([1]CRITERIOS!$F$179:$F$199,$A401)&gt;=1,
   1,
   IF(R401="MTO",
      $D401,
      ROUNDUP(
                    IF(($E401-SUMIF('[1]DATOS PBI Artículos'!A:A,A401,'[1]DATOS PBI Artículos'!X:X)+($V401-_xlfn.XLOOKUP(A401,'[1]DATOS PBI Artículos'!A:A,'[1]DATOS PBI Artículos'!W:W)))&lt;0,
                    0,
                    IF(($E401-SUMIF('[1]DATOS PBI Artículos'!A:A,A401,'[1]DATOS PBI Artículos'!X:X)+$V401-_xlfn.XLOOKUP($A401,'[1]DATOS PBI Artículos'!A:A,'[1]DATOS PBI Artículos'!W:W))/IF($O401="",$N401,$O401)&gt;ROUNDUP([1]CRITERIOS!$M$16/(IF(COUNTIF([1]CRITERIOS!$BG$11:$BG$201,L401)&gt;=1,_xlfn.XLOOKUP($C401,[1]CRITERIOS!$K$25:$K$42,[1]CRITERIOS!$M$25:$M$42),_xlfn.XLOOKUP($C401,[1]CRITERIOS!$K$25:$K$42,[1]CRITERIOS!$M$25:$M$42))),0),
                    ROUNDUP([1]CRITERIOS!$M$16/(IF(COUNTIF([1]CRITERIOS!$BG$11:$BG$201,$L401)&gt;=1,_xlfn.XLOOKUP($C401,[1]CRITERIOS!$K$25:$K$42,[1]CRITERIOS!$M$25:$M$42),_xlfn.XLOOKUP($C401,[1]CRITERIOS!$K$25:$K$42,[1]CRITERIOS!$M$25:$M$42))),0),
                    (E401+V401-SUMIF('[1]DATOS PBI Artículos'!A:A,A401,'[1]DATOS PBI Artículos'!X:X)-_xlfn.XLOOKUP(A401,'[1]DATOS PBI Artículos'!A:A,'[1]DATOS PBI Artículos'!W:W))/IF($O401="",$N401,$O401))),0))))</f>
        <v>#N/A</v>
      </c>
      <c r="R401" s="33" t="e">
        <f>IF(U401&lt;&gt;"",U401,IF(F401="DV","MTO",IF(N401=0,"MTO",_xlfn.XLOOKUP(CONCATENATE(S401,T401),[1]CRITERIOS!$K$160:$K$168,[1]CRITERIOS!$N$160:$N$168))))</f>
        <v>#N/A</v>
      </c>
      <c r="S401" s="33" t="e">
        <f>IF(G401="DV","MTO",IF(N401=0,"MTO",IF(OR(AND(N401=0,O401=""),IF(O401="",G401/N401,G401/O401)&gt;[1]CRITERIOS!$G$163),"MTO",IF(IF(O401="",G401/N401,G401/O401)&lt;[1]CRITERIOS!$H$161,"MTS","MTOS"))))</f>
        <v>#N/A</v>
      </c>
      <c r="T401" s="33" t="e">
        <f>IF(F401="DV","MTO",IF(OR(AND($N401=0,O401=""),$F401/$J401&gt;[1]CRITERIOS!$G$170,$F401="DV"),"MTO",IF($F401/$J401&lt;[1]CRITERIOS!$H$168,"MTS","MTOS")))</f>
        <v>#N/A</v>
      </c>
      <c r="V401" s="34" t="e">
        <f t="shared" si="19"/>
        <v>#N/A</v>
      </c>
      <c r="X401" s="34" t="e">
        <f t="shared" si="20"/>
        <v>#N/A</v>
      </c>
      <c r="Y401" s="34" t="e">
        <f t="shared" si="21"/>
        <v>#N/A</v>
      </c>
      <c r="Z401" s="34" t="e">
        <f>IF($R401="MTO",
0,
($H401+$K401*($E401/[1]CRITERIOS!$M$16))/[1]CRITERIOS!$X$48)</f>
        <v>#N/A</v>
      </c>
      <c r="AA401" s="34" t="e">
        <f>ROUNDUP(($Y401/_xlfn.XLOOKUP($A401,'[1]DATOS PBI Artículos'!$A$4:$A$4,'[1]DATOS PBI Artículos'!$Z$4:$Z$4))/_xlfn.XLOOKUP(_xlfn.XLOOKUP($A401,'[1]DATOS PBI Artículos'!$A$4:$A$4,'[1]DATOS PBI Artículos'!$Y$4:$Y$4),[1]CRITERIOS!$P$79:$P$123,[1]CRITERIOS!$S$79:$S$123,),0)</f>
        <v>#N/A</v>
      </c>
      <c r="AB401" s="33" t="e">
        <f t="array" ref="AB401">IF((E401+V401-_xlfn.XLOOKUP(A401,'[1]DATOS PBI Artículos'!$A$4:$A$4,'[1]DATOS PBI Artículos'!$W$4:$W$4))/N401&gt;ROUNDUP([1]CRITERIOS!$M$16/(IF(COUNTIF([1]CRITERIOS!$BG$11:$BG$201,L401)&gt;=1,_xlfn.XLOOKUP(ARTÍCULOS!L401,[1]CRITERIOS!$BG$11:$BG$201,[1]CRITERIOS!$BJ$11:$BJ$201),_xlfn.XLOOKUP(ARTÍCULOS!C401,[1]CRITERIOS!$K$25:$K$42,[1]CRITERIOS!$M$25:$M$42))),0),ROUNDUP([1]CRITERIOS!$M$16/(IF(COUNTIF([1]CRITERIOS!$BG$11:$BG$201,L401)&gt;=1,_xlfn.XLOOKUP(ARTÍCULOS!L401,[1]CRITERIOS!$BG$11:$BG$201:#REF!,[1]CRITERIOS!$BJ$11:$BJ$201),_xlfn.XLOOKUP(ARTÍCULOS!C401,[1]CRITERIOS!$K$25:$K$42,[1]CRITERIOS!$M$25:$M$42))),0),(E401+V401-_xlfn.XLOOKUP(A401,'[1]DATOS PBI Artículos'!$A$4:$A$4,'[1]DATOS PBI Artículos'!$W$4:$W$4))/N401)</f>
        <v>#N/A</v>
      </c>
      <c r="AC401" s="33" t="e">
        <f>IF(N401=0,"",(ROUNDUP((N401/2)/(_xlfn.XLOOKUP(A401,'[1]DATOS PBI Artículos'!$A$4:$A$4,'[1]DATOS PBI Artículos'!$Z$4:$Z$4)*_xlfn.XLOOKUP(_xlfn.XLOOKUP(A401,'[1]DATOS PBI Artículos'!$A$4:$A$4,'[1]DATOS PBI Artículos'!$Y$4:$Y$4),[1]CRITERIOS!$P$79:$P$123,[1]CRITERIOS!$S$79:$S$123)),0)*[1]CRITERIOS!$M$80*([1]CRITERIOS!$M$110/[1]CRITERIOS!$M$86)+(_xlfn.XLOOKUP(A401,'[1]DATOS PBI Artículos'!$A$4:$A$4,'[1]DATOS PBI Artículos'!$AA$4:$AA$4)*([1]CRITERIOS!$M$95+[1]CRITERIOS!$M$98)))/N401)</f>
        <v>#N/A</v>
      </c>
      <c r="AD401" s="33" t="e">
        <f>IF(N401=0,"",(ROUNDUP((N401/2)/(_xlfn.XLOOKUP(A401,'[1]DATOS PBI Artículos'!$A$4:$A$4,'[1]DATOS PBI Artículos'!$Z$4:$Z$4)*_xlfn.XLOOKUP(_xlfn.XLOOKUP(A401,'[1]DATOS PBI Artículos'!$A$4:$A$4,'[1]DATOS PBI Artículos'!$Y$4:$Y$4),[1]CRITERIOS!$P$79:$P$123,[1]CRITERIOS!$S$79:$S$123)),0)*[1]CRITERIOS!$M$80*([1]CRITERIOS!$M$89*[1]CRITERIOS!$M$92)+((_xlfn.XLOOKUP(A401,'[1]DATOS PBI Artículos'!$A$4:$A$4,'[1]DATOS PBI Artículos'!$AA$4:$AA$4)/2)*([1]CRITERIOS!$M$95+[1]CRITERIOS!$M$98)))/N401)</f>
        <v>#N/A</v>
      </c>
      <c r="AE401" s="39" t="e">
        <f>IF($R401="MTO","",
IF($H401=0,ROUNDUP(((_xlfn.XLOOKUP($A401,'[1]DATOS PBI Artículos'!$A:$A,'[1]DATOS PBI Artículos'!$AL:$AL))/(_xlfn.XLOOKUP($AF$1,[1]CRITERIOS!$S$16:$S$39,[1]CRITERIOS!$Y$16:$Y$39))*$J401+$Z401)/$G401,0)*$G401,
((_xlfn.XLOOKUP($A401,'[1]DATOS PBI Artículos'!$A:$A,'[1]DATOS PBI Artículos'!$AL:$AL))/(_xlfn.XLOOKUP($AF$1,[1]CRITERIOS!$S$16:$S$39,[1]CRITERIOS!$Y$16:$Y$39))*$J401+$Z401)))</f>
        <v>#N/A</v>
      </c>
      <c r="AG401" s="39" t="e">
        <f>IF($R401="MTO","",
IF($H401=0,ROUNDUP(((_xlfn.XLOOKUP($A401,'[1]DATOS PBI Artículos'!$A:$A,'[1]DATOS PBI Artículos'!$AM:$AM))/(_xlfn.XLOOKUP($AH$1,[1]CRITERIOS!$S$16:$S$39,[1]CRITERIOS!$Y$16:$Y$39))*$J401+$Z401)/$G401,0)*$G401,
((_xlfn.XLOOKUP($A401,'[1]DATOS PBI Artículos'!$A:$A,'[1]DATOS PBI Artículos'!$AM:$AM))/(_xlfn.XLOOKUP($AH$1,[1]CRITERIOS!$S$16:$S$39,[1]CRITERIOS!$Y$16:$Y$39))*$J401+$Z401)))</f>
        <v>#N/A</v>
      </c>
      <c r="AI401" s="39" t="e">
        <f>IF($R401="MTO","",
IF($H401=0,ROUNDUP(((_xlfn.XLOOKUP($A401,'[1]DATOS PBI Artículos'!$A:$A,'[1]DATOS PBI Artículos'!$AN:$AN))/(_xlfn.XLOOKUP($AJ$1,[1]CRITERIOS!$S$16:$S$39,[1]CRITERIOS!$Y$16:$Y$39))*$J401+$Z401)/$G401,0)*$G401,
((_xlfn.XLOOKUP($A401,'[1]DATOS PBI Artículos'!$A:$A,'[1]DATOS PBI Artículos'!$AN:$AN))/(_xlfn.XLOOKUP($AJ$1,[1]CRITERIOS!$S$16:$S$39,[1]CRITERIOS!$Y$16:$Y$39))*$J401+$Z401)))</f>
        <v>#N/A</v>
      </c>
      <c r="AK401" s="39" t="e">
        <f>IF($R401="MTO","",
IF($H401=0,ROUNDUP(((_xlfn.XLOOKUP($A401,'[1]DATOS PBI Artículos'!$A:$A,'[1]DATOS PBI Artículos'!$AO:$AO))/(_xlfn.XLOOKUP($AL$1,[1]CRITERIOS!$S$16:$S$39,[1]CRITERIOS!$Y$16:$Y$39))*$J401+$Z401)/$G401,0)*$G401,
((_xlfn.XLOOKUP($A401,'[1]DATOS PBI Artículos'!$A:$A,'[1]DATOS PBI Artículos'!$AO:$AO))/(_xlfn.XLOOKUP($AL$1,[1]CRITERIOS!$S$16:$S$39,[1]CRITERIOS!$Y$16:$Y$39))*$J401+$Z401)))</f>
        <v>#N/A</v>
      </c>
    </row>
    <row r="402" spans="1:37" ht="25.8" hidden="1" x14ac:dyDescent="0.4">
      <c r="A402" s="41"/>
      <c r="B402" s="33">
        <f>_xlfn.XLOOKUP($A402,'[1]DATOS PBI Artículos'!A:A,'[1]DATOS PBI Artículos'!B:B)</f>
        <v>0</v>
      </c>
      <c r="C402" s="33">
        <f>_xlfn.XLOOKUP($A402,'[1]DATOS PBI Artículos'!A:A,'[1]DATOS PBI Artículos'!C:C)</f>
        <v>0</v>
      </c>
      <c r="D402" s="33">
        <f>_xlfn.XLOOKUP(A402,'[1]DATOS PBI Artículos'!A:A,'[1]DATOS PBI Artículos'!T:T)</f>
        <v>0</v>
      </c>
      <c r="E402" s="34">
        <f>IF(_xlfn.XLOOKUP($A402,'[1]DATOS PBI Artículos'!A:A,'[1]DATOS PBI Artículos'!AK:AK)="",_xlfn.XLOOKUP($A402,'[1]DATOS PBI Artículos'!A:A,'[1]DATOS PBI Artículos'!AJ:AJ),_xlfn.XLOOKUP($A402,'[1]DATOS PBI Artículos'!A:A,'[1]DATOS PBI Artículos'!AK:AK))</f>
        <v>0</v>
      </c>
      <c r="F402" s="35">
        <f>_xlfn.XLOOKUP($A402,'[1]DATOS PBI Artículos'!A:A,'[1]DATOS PBI Artículos'!AP:AP)</f>
        <v>0</v>
      </c>
      <c r="G402" s="34">
        <f>_xlfn.XLOOKUP($A402,'[1]DATOS PBI Artículos'!A:A,'[1]DATOS PBI Artículos'!AR:AR)</f>
        <v>0</v>
      </c>
      <c r="H402" s="34">
        <f>_xlfn.XLOOKUP($A402,'[1]DATOS PBI Artículos'!A:A,'[1]DATOS PBI Artículos'!AT:AT)</f>
        <v>0</v>
      </c>
      <c r="I402" s="34">
        <f>_xlfn.XLOOKUP($A402,'[1]DATOS PBI Artículos'!A:A,'[1]DATOS PBI Artículos'!AS:AS)</f>
        <v>0</v>
      </c>
      <c r="J402" s="35">
        <f>IF(COUNTIF([1]CRITERIOS!$F$179:$F$199,$A402)&gt;=1,
 IF(O402&lt;&gt;"",
    (O402/_xlfn.XLOOKUP(CONCATENATE(A402,L402),[1]MÁQUINAS!A:A,[1]MÁQUINAS!D:D))/24,
    (N402/_xlfn.XLOOKUP(CONCATENATE(A402,L402),[1]MÁQUINAS!A:A,[1]MÁQUINAS!D:D))/24),
  _xlfn.XLOOKUP($A402,'[1]DATOS PBI Artículos'!A:A,'[1]DATOS PBI Artículos'!AU:AU))</f>
        <v>0</v>
      </c>
      <c r="K402" s="36">
        <f>_xlfn.XLOOKUP($A402,'[1]DATOS PBI Artículos'!A:A,'[1]DATOS PBI Artículos'!AV:AV)</f>
        <v>0</v>
      </c>
      <c r="L402" s="33">
        <f>_xlfn.XLOOKUP(A402,[1]MÁQUINAS!B:B,[1]MÁQUINAS!C:C)</f>
        <v>0</v>
      </c>
      <c r="M402" s="34">
        <f t="array" ref="M402">_xlfn.XLOOKUP(A402,'[1]DATOS PBI Artículos'!A:A,'[1]DATOS PBI Artículos'!AX:$AX)</f>
        <v>0</v>
      </c>
      <c r="N402" s="37" t="e">
        <f>IF(I402="DV",
E402,
IF(COUNTIF([1]CRITERIOS!$I$179:$I$199,$A402)&gt;=1,
_xlfn.XLOOKUP($A402,[1]CRITERIOS!$I$179:$I$199,[1]CRITERIOS!$J$179:$J$199),
IF(COUNTIF([1]CRITERIOS!$L$179:$L$199,$A402)&gt;=1,
_xlfn.CEILING.MATH(IF($M402&gt;$E402,
$E402,
IF($M402&lt;$E402/ROUNDDOWN([1]CRITERIOS!$M$16/_xlfn.XLOOKUP($C402,[1]CRITERIOS!$K$25:$K$42,[1]CRITERIOS!$M$25:$M$42),
1),
E402/ROUNDDOWN([1]CRITERIOS!$M$16/_xlfn.XLOOKUP($C402,[1]CRITERIOS!$K$25:$K$42,[1]CRITERIOS!$M$25:$M$42),
1),
$M402)),
_xlfn.XLOOKUP($A402,[1]CRITERIOS!$L$179:$L$200,[1]CRITERIOS!$M$179:$M$200)),
_xlfn.CEILING.MATH(IF($M402&gt;$E402,
$E402,
IF($M402&lt;$E402/ROUNDDOWN([1]CRITERIOS!$M$16/_xlfn.XLOOKUP($C402,[1]CRITERIOS!$K$25:$K$42,[1]CRITERIOS!$M$25:$M$42),
1),
E402/ROUNDDOWN([1]CRITERIOS!$M$16/_xlfn.XLOOKUP($C402,[1]CRITERIOS!$K$25:$K$42,[1]CRITERIOS!$M$25:$M$42),
1),
$M402)),_xlfn.XLOOKUP(A402,'[1]DATOS PBI Artículos'!A:A,'[1]DATOS PBI Artículos'!Z:Z
)))))</f>
        <v>#N/A</v>
      </c>
      <c r="Q402" s="38" t="e">
        <f>IF(AND(O402="",N402=0),
0,
   IF(COUNTIF([1]CRITERIOS!$F$179:$F$199,$A402)&gt;=1,
   1,
   IF(R402="MTO",
      $D402,
      ROUNDUP(
                    IF(($E402-SUMIF('[1]DATOS PBI Artículos'!A:A,A402,'[1]DATOS PBI Artículos'!X:X)+($V402-_xlfn.XLOOKUP(A402,'[1]DATOS PBI Artículos'!A:A,'[1]DATOS PBI Artículos'!W:W)))&lt;0,
                    0,
                    IF(($E402-SUMIF('[1]DATOS PBI Artículos'!A:A,A402,'[1]DATOS PBI Artículos'!X:X)+$V402-_xlfn.XLOOKUP($A402,'[1]DATOS PBI Artículos'!A:A,'[1]DATOS PBI Artículos'!W:W))/IF($O402="",$N402,$O402)&gt;ROUNDUP([1]CRITERIOS!$M$16/(IF(COUNTIF([1]CRITERIOS!$BG$11:$BG$201,L402)&gt;=1,_xlfn.XLOOKUP($C402,[1]CRITERIOS!$K$25:$K$42,[1]CRITERIOS!$M$25:$M$42),_xlfn.XLOOKUP($C402,[1]CRITERIOS!$K$25:$K$42,[1]CRITERIOS!$M$25:$M$42))),0),
                    ROUNDUP([1]CRITERIOS!$M$16/(IF(COUNTIF([1]CRITERIOS!$BG$11:$BG$201,$L402)&gt;=1,_xlfn.XLOOKUP($C402,[1]CRITERIOS!$K$25:$K$42,[1]CRITERIOS!$M$25:$M$42),_xlfn.XLOOKUP($C402,[1]CRITERIOS!$K$25:$K$42,[1]CRITERIOS!$M$25:$M$42))),0),
                    (E402+V402-SUMIF('[1]DATOS PBI Artículos'!A:A,A402,'[1]DATOS PBI Artículos'!X:X)-_xlfn.XLOOKUP(A402,'[1]DATOS PBI Artículos'!A:A,'[1]DATOS PBI Artículos'!W:W))/IF($O402="",$N402,$O402))),0))))</f>
        <v>#N/A</v>
      </c>
      <c r="R402" s="33" t="e">
        <f>IF(U402&lt;&gt;"",U402,IF(F402="DV","MTO",IF(N402=0,"MTO",_xlfn.XLOOKUP(CONCATENATE(S402,T402),[1]CRITERIOS!$K$160:$K$168,[1]CRITERIOS!$N$160:$N$168))))</f>
        <v>#N/A</v>
      </c>
      <c r="S402" s="33" t="e">
        <f>IF(G402="DV","MTO",IF(N402=0,"MTO",IF(OR(AND(N402=0,O402=""),IF(O402="",G402/N402,G402/O402)&gt;[1]CRITERIOS!$G$163),"MTO",IF(IF(O402="",G402/N402,G402/O402)&lt;[1]CRITERIOS!$H$161,"MTS","MTOS"))))</f>
        <v>#N/A</v>
      </c>
      <c r="T402" s="33" t="e">
        <f>IF(F402="DV","MTO",IF(OR(AND($N402=0,O402=""),$F402/$J402&gt;[1]CRITERIOS!$G$170,$F402="DV"),"MTO",IF($F402/$J402&lt;[1]CRITERIOS!$H$168,"MTS","MTOS")))</f>
        <v>#N/A</v>
      </c>
      <c r="V402" s="34" t="e">
        <f t="shared" si="19"/>
        <v>#N/A</v>
      </c>
      <c r="X402" s="34" t="e">
        <f t="shared" si="20"/>
        <v>#N/A</v>
      </c>
      <c r="Y402" s="34" t="e">
        <f t="shared" si="21"/>
        <v>#N/A</v>
      </c>
      <c r="Z402" s="34" t="e">
        <f>IF($R402="MTO",
0,
($H402+$K402*($E402/[1]CRITERIOS!$M$16))/[1]CRITERIOS!$X$48)</f>
        <v>#N/A</v>
      </c>
      <c r="AA402" s="34" t="e">
        <f>ROUNDUP(($Y402/_xlfn.XLOOKUP($A402,'[1]DATOS PBI Artículos'!$A$4:$A$4,'[1]DATOS PBI Artículos'!$Z$4:$Z$4))/_xlfn.XLOOKUP(_xlfn.XLOOKUP($A402,'[1]DATOS PBI Artículos'!$A$4:$A$4,'[1]DATOS PBI Artículos'!$Y$4:$Y$4),[1]CRITERIOS!$P$79:$P$123,[1]CRITERIOS!$S$79:$S$123,),0)</f>
        <v>#N/A</v>
      </c>
      <c r="AB402" s="33" t="e">
        <f t="array" ref="AB402">IF((E402+V402-_xlfn.XLOOKUP(A402,'[1]DATOS PBI Artículos'!$A$4:$A$4,'[1]DATOS PBI Artículos'!$W$4:$W$4))/N402&gt;ROUNDUP([1]CRITERIOS!$M$16/(IF(COUNTIF([1]CRITERIOS!$BG$11:$BG$201,L402)&gt;=1,_xlfn.XLOOKUP(ARTÍCULOS!L402,[1]CRITERIOS!$BG$11:$BG$201,[1]CRITERIOS!$BJ$11:$BJ$201),_xlfn.XLOOKUP(ARTÍCULOS!C402,[1]CRITERIOS!$K$25:$K$42,[1]CRITERIOS!$M$25:$M$42))),0),ROUNDUP([1]CRITERIOS!$M$16/(IF(COUNTIF([1]CRITERIOS!$BG$11:$BG$201,L402)&gt;=1,_xlfn.XLOOKUP(ARTÍCULOS!L402,[1]CRITERIOS!$BG$11:$BG$201:#REF!,[1]CRITERIOS!$BJ$11:$BJ$201),_xlfn.XLOOKUP(ARTÍCULOS!C402,[1]CRITERIOS!$K$25:$K$42,[1]CRITERIOS!$M$25:$M$42))),0),(E402+V402-_xlfn.XLOOKUP(A402,'[1]DATOS PBI Artículos'!$A$4:$A$4,'[1]DATOS PBI Artículos'!$W$4:$W$4))/N402)</f>
        <v>#N/A</v>
      </c>
      <c r="AC402" s="33" t="e">
        <f>IF(N402=0,"",(ROUNDUP((N402/2)/(_xlfn.XLOOKUP(A402,'[1]DATOS PBI Artículos'!$A$4:$A$4,'[1]DATOS PBI Artículos'!$Z$4:$Z$4)*_xlfn.XLOOKUP(_xlfn.XLOOKUP(A402,'[1]DATOS PBI Artículos'!$A$4:$A$4,'[1]DATOS PBI Artículos'!$Y$4:$Y$4),[1]CRITERIOS!$P$79:$P$123,[1]CRITERIOS!$S$79:$S$123)),0)*[1]CRITERIOS!$M$80*([1]CRITERIOS!$M$110/[1]CRITERIOS!$M$86)+(_xlfn.XLOOKUP(A402,'[1]DATOS PBI Artículos'!$A$4:$A$4,'[1]DATOS PBI Artículos'!$AA$4:$AA$4)*([1]CRITERIOS!$M$95+[1]CRITERIOS!$M$98)))/N402)</f>
        <v>#N/A</v>
      </c>
      <c r="AD402" s="33" t="e">
        <f>IF(N402=0,"",(ROUNDUP((N402/2)/(_xlfn.XLOOKUP(A402,'[1]DATOS PBI Artículos'!$A$4:$A$4,'[1]DATOS PBI Artículos'!$Z$4:$Z$4)*_xlfn.XLOOKUP(_xlfn.XLOOKUP(A402,'[1]DATOS PBI Artículos'!$A$4:$A$4,'[1]DATOS PBI Artículos'!$Y$4:$Y$4),[1]CRITERIOS!$P$79:$P$123,[1]CRITERIOS!$S$79:$S$123)),0)*[1]CRITERIOS!$M$80*([1]CRITERIOS!$M$89*[1]CRITERIOS!$M$92)+((_xlfn.XLOOKUP(A402,'[1]DATOS PBI Artículos'!$A$4:$A$4,'[1]DATOS PBI Artículos'!$AA$4:$AA$4)/2)*([1]CRITERIOS!$M$95+[1]CRITERIOS!$M$98)))/N402)</f>
        <v>#N/A</v>
      </c>
      <c r="AE402" s="39" t="e">
        <f>IF($R402="MTO","",
IF($H402=0,ROUNDUP(((_xlfn.XLOOKUP($A402,'[1]DATOS PBI Artículos'!$A:$A,'[1]DATOS PBI Artículos'!$AL:$AL))/(_xlfn.XLOOKUP($AF$1,[1]CRITERIOS!$S$16:$S$39,[1]CRITERIOS!$Y$16:$Y$39))*$J402+$Z402)/$G402,0)*$G402,
((_xlfn.XLOOKUP($A402,'[1]DATOS PBI Artículos'!$A:$A,'[1]DATOS PBI Artículos'!$AL:$AL))/(_xlfn.XLOOKUP($AF$1,[1]CRITERIOS!$S$16:$S$39,[1]CRITERIOS!$Y$16:$Y$39))*$J402+$Z402)))</f>
        <v>#N/A</v>
      </c>
      <c r="AG402" s="39" t="e">
        <f>IF($R402="MTO","",
IF($H402=0,ROUNDUP(((_xlfn.XLOOKUP($A402,'[1]DATOS PBI Artículos'!$A:$A,'[1]DATOS PBI Artículos'!$AM:$AM))/(_xlfn.XLOOKUP($AH$1,[1]CRITERIOS!$S$16:$S$39,[1]CRITERIOS!$Y$16:$Y$39))*$J402+$Z402)/$G402,0)*$G402,
((_xlfn.XLOOKUP($A402,'[1]DATOS PBI Artículos'!$A:$A,'[1]DATOS PBI Artículos'!$AM:$AM))/(_xlfn.XLOOKUP($AH$1,[1]CRITERIOS!$S$16:$S$39,[1]CRITERIOS!$Y$16:$Y$39))*$J402+$Z402)))</f>
        <v>#N/A</v>
      </c>
      <c r="AI402" s="39" t="e">
        <f>IF($R402="MTO","",
IF($H402=0,ROUNDUP(((_xlfn.XLOOKUP($A402,'[1]DATOS PBI Artículos'!$A:$A,'[1]DATOS PBI Artículos'!$AN:$AN))/(_xlfn.XLOOKUP($AJ$1,[1]CRITERIOS!$S$16:$S$39,[1]CRITERIOS!$Y$16:$Y$39))*$J402+$Z402)/$G402,0)*$G402,
((_xlfn.XLOOKUP($A402,'[1]DATOS PBI Artículos'!$A:$A,'[1]DATOS PBI Artículos'!$AN:$AN))/(_xlfn.XLOOKUP($AJ$1,[1]CRITERIOS!$S$16:$S$39,[1]CRITERIOS!$Y$16:$Y$39))*$J402+$Z402)))</f>
        <v>#N/A</v>
      </c>
      <c r="AK402" s="39" t="e">
        <f>IF($R402="MTO","",
IF($H402=0,ROUNDUP(((_xlfn.XLOOKUP($A402,'[1]DATOS PBI Artículos'!$A:$A,'[1]DATOS PBI Artículos'!$AO:$AO))/(_xlfn.XLOOKUP($AL$1,[1]CRITERIOS!$S$16:$S$39,[1]CRITERIOS!$Y$16:$Y$39))*$J402+$Z402)/$G402,0)*$G402,
((_xlfn.XLOOKUP($A402,'[1]DATOS PBI Artículos'!$A:$A,'[1]DATOS PBI Artículos'!$AO:$AO))/(_xlfn.XLOOKUP($AL$1,[1]CRITERIOS!$S$16:$S$39,[1]CRITERIOS!$Y$16:$Y$39))*$J402+$Z402)))</f>
        <v>#N/A</v>
      </c>
    </row>
    <row r="403" spans="1:37" ht="25.8" hidden="1" x14ac:dyDescent="0.4">
      <c r="A403" s="41"/>
      <c r="B403" s="33">
        <f>_xlfn.XLOOKUP($A403,'[1]DATOS PBI Artículos'!A:A,'[1]DATOS PBI Artículos'!B:B)</f>
        <v>0</v>
      </c>
      <c r="C403" s="33">
        <f>_xlfn.XLOOKUP($A403,'[1]DATOS PBI Artículos'!A:A,'[1]DATOS PBI Artículos'!C:C)</f>
        <v>0</v>
      </c>
      <c r="D403" s="33">
        <f>_xlfn.XLOOKUP(A403,'[1]DATOS PBI Artículos'!A:A,'[1]DATOS PBI Artículos'!T:T)</f>
        <v>0</v>
      </c>
      <c r="E403" s="34">
        <f>IF(_xlfn.XLOOKUP($A403,'[1]DATOS PBI Artículos'!A:A,'[1]DATOS PBI Artículos'!AK:AK)="",_xlfn.XLOOKUP($A403,'[1]DATOS PBI Artículos'!A:A,'[1]DATOS PBI Artículos'!AJ:AJ),_xlfn.XLOOKUP($A403,'[1]DATOS PBI Artículos'!A:A,'[1]DATOS PBI Artículos'!AK:AK))</f>
        <v>0</v>
      </c>
      <c r="F403" s="35">
        <f>_xlfn.XLOOKUP($A403,'[1]DATOS PBI Artículos'!A:A,'[1]DATOS PBI Artículos'!AP:AP)</f>
        <v>0</v>
      </c>
      <c r="G403" s="34">
        <f>_xlfn.XLOOKUP($A403,'[1]DATOS PBI Artículos'!A:A,'[1]DATOS PBI Artículos'!AR:AR)</f>
        <v>0</v>
      </c>
      <c r="H403" s="34">
        <f>_xlfn.XLOOKUP($A403,'[1]DATOS PBI Artículos'!A:A,'[1]DATOS PBI Artículos'!AT:AT)</f>
        <v>0</v>
      </c>
      <c r="I403" s="34">
        <f>_xlfn.XLOOKUP($A403,'[1]DATOS PBI Artículos'!A:A,'[1]DATOS PBI Artículos'!AS:AS)</f>
        <v>0</v>
      </c>
      <c r="J403" s="35">
        <f>IF(COUNTIF([1]CRITERIOS!$F$179:$F$199,$A403)&gt;=1,
 IF(O403&lt;&gt;"",
    (O403/_xlfn.XLOOKUP(CONCATENATE(A403,L403),[1]MÁQUINAS!A:A,[1]MÁQUINAS!D:D))/24,
    (N403/_xlfn.XLOOKUP(CONCATENATE(A403,L403),[1]MÁQUINAS!A:A,[1]MÁQUINAS!D:D))/24),
  _xlfn.XLOOKUP($A403,'[1]DATOS PBI Artículos'!A:A,'[1]DATOS PBI Artículos'!AU:AU))</f>
        <v>0</v>
      </c>
      <c r="K403" s="36">
        <f>_xlfn.XLOOKUP($A403,'[1]DATOS PBI Artículos'!A:A,'[1]DATOS PBI Artículos'!AV:AV)</f>
        <v>0</v>
      </c>
      <c r="L403" s="33">
        <f>_xlfn.XLOOKUP(A403,[1]MÁQUINAS!B:B,[1]MÁQUINAS!C:C)</f>
        <v>0</v>
      </c>
      <c r="M403" s="34">
        <f t="array" ref="M403">_xlfn.XLOOKUP(A403,'[1]DATOS PBI Artículos'!A:A,'[1]DATOS PBI Artículos'!AX:$AX)</f>
        <v>0</v>
      </c>
      <c r="N403" s="37" t="e">
        <f>IF(I403="DV",
E403,
IF(COUNTIF([1]CRITERIOS!$I$179:$I$199,$A403)&gt;=1,
_xlfn.XLOOKUP($A403,[1]CRITERIOS!$I$179:$I$199,[1]CRITERIOS!$J$179:$J$199),
IF(COUNTIF([1]CRITERIOS!$L$179:$L$199,$A403)&gt;=1,
_xlfn.CEILING.MATH(IF($M403&gt;$E403,
$E403,
IF($M403&lt;$E403/ROUNDDOWN([1]CRITERIOS!$M$16/_xlfn.XLOOKUP($C403,[1]CRITERIOS!$K$25:$K$42,[1]CRITERIOS!$M$25:$M$42),
1),
E403/ROUNDDOWN([1]CRITERIOS!$M$16/_xlfn.XLOOKUP($C403,[1]CRITERIOS!$K$25:$K$42,[1]CRITERIOS!$M$25:$M$42),
1),
$M403)),
_xlfn.XLOOKUP($A403,[1]CRITERIOS!$L$179:$L$200,[1]CRITERIOS!$M$179:$M$200)),
_xlfn.CEILING.MATH(IF($M403&gt;$E403,
$E403,
IF($M403&lt;$E403/ROUNDDOWN([1]CRITERIOS!$M$16/_xlfn.XLOOKUP($C403,[1]CRITERIOS!$K$25:$K$42,[1]CRITERIOS!$M$25:$M$42),
1),
E403/ROUNDDOWN([1]CRITERIOS!$M$16/_xlfn.XLOOKUP($C403,[1]CRITERIOS!$K$25:$K$42,[1]CRITERIOS!$M$25:$M$42),
1),
$M403)),_xlfn.XLOOKUP(A403,'[1]DATOS PBI Artículos'!A:A,'[1]DATOS PBI Artículos'!Z:Z
)))))</f>
        <v>#N/A</v>
      </c>
      <c r="Q403" s="38" t="e">
        <f>IF(AND(O403="",N403=0),
0,
   IF(COUNTIF([1]CRITERIOS!$F$179:$F$199,$A403)&gt;=1,
   1,
   IF(R403="MTO",
      $D403,
      ROUNDUP(
                    IF(($E403-SUMIF('[1]DATOS PBI Artículos'!A:A,A403,'[1]DATOS PBI Artículos'!X:X)+($V403-_xlfn.XLOOKUP(A403,'[1]DATOS PBI Artículos'!A:A,'[1]DATOS PBI Artículos'!W:W)))&lt;0,
                    0,
                    IF(($E403-SUMIF('[1]DATOS PBI Artículos'!A:A,A403,'[1]DATOS PBI Artículos'!X:X)+$V403-_xlfn.XLOOKUP($A403,'[1]DATOS PBI Artículos'!A:A,'[1]DATOS PBI Artículos'!W:W))/IF($O403="",$N403,$O403)&gt;ROUNDUP([1]CRITERIOS!$M$16/(IF(COUNTIF([1]CRITERIOS!$BG$11:$BG$201,L403)&gt;=1,_xlfn.XLOOKUP($C403,[1]CRITERIOS!$K$25:$K$42,[1]CRITERIOS!$M$25:$M$42),_xlfn.XLOOKUP($C403,[1]CRITERIOS!$K$25:$K$42,[1]CRITERIOS!$M$25:$M$42))),0),
                    ROUNDUP([1]CRITERIOS!$M$16/(IF(COUNTIF([1]CRITERIOS!$BG$11:$BG$201,$L403)&gt;=1,_xlfn.XLOOKUP($C403,[1]CRITERIOS!$K$25:$K$42,[1]CRITERIOS!$M$25:$M$42),_xlfn.XLOOKUP($C403,[1]CRITERIOS!$K$25:$K$42,[1]CRITERIOS!$M$25:$M$42))),0),
                    (E403+V403-SUMIF('[1]DATOS PBI Artículos'!A:A,A403,'[1]DATOS PBI Artículos'!X:X)-_xlfn.XLOOKUP(A403,'[1]DATOS PBI Artículos'!A:A,'[1]DATOS PBI Artículos'!W:W))/IF($O403="",$N403,$O403))),0))))</f>
        <v>#N/A</v>
      </c>
      <c r="R403" s="33" t="e">
        <f>IF(U403&lt;&gt;"",U403,IF(F403="DV","MTO",IF(N403=0,"MTO",_xlfn.XLOOKUP(CONCATENATE(S403,T403),[1]CRITERIOS!$K$160:$K$168,[1]CRITERIOS!$N$160:$N$168))))</f>
        <v>#N/A</v>
      </c>
      <c r="S403" s="33" t="e">
        <f>IF(G403="DV","MTO",IF(N403=0,"MTO",IF(OR(AND(N403=0,O403=""),IF(O403="",G403/N403,G403/O403)&gt;[1]CRITERIOS!$G$163),"MTO",IF(IF(O403="",G403/N403,G403/O403)&lt;[1]CRITERIOS!$H$161,"MTS","MTOS"))))</f>
        <v>#N/A</v>
      </c>
      <c r="T403" s="33" t="e">
        <f>IF(F403="DV","MTO",IF(OR(AND($N403=0,O403=""),$F403/$J403&gt;[1]CRITERIOS!$G$170,$F403="DV"),"MTO",IF($F403/$J403&lt;[1]CRITERIOS!$H$168,"MTS","MTOS")))</f>
        <v>#N/A</v>
      </c>
      <c r="V403" s="34" t="e">
        <f t="shared" si="19"/>
        <v>#N/A</v>
      </c>
      <c r="X403" s="34" t="e">
        <f t="shared" si="20"/>
        <v>#N/A</v>
      </c>
      <c r="Y403" s="34" t="e">
        <f t="shared" si="21"/>
        <v>#N/A</v>
      </c>
      <c r="Z403" s="34" t="e">
        <f>IF($R403="MTO",
0,
($H403+$K403*($E403/[1]CRITERIOS!$M$16))/[1]CRITERIOS!$X$48)</f>
        <v>#N/A</v>
      </c>
      <c r="AA403" s="34" t="e">
        <f>ROUNDUP(($Y403/_xlfn.XLOOKUP($A403,'[1]DATOS PBI Artículos'!$A$4:$A$4,'[1]DATOS PBI Artículos'!$Z$4:$Z$4))/_xlfn.XLOOKUP(_xlfn.XLOOKUP($A403,'[1]DATOS PBI Artículos'!$A$4:$A$4,'[1]DATOS PBI Artículos'!$Y$4:$Y$4),[1]CRITERIOS!$P$79:$P$123,[1]CRITERIOS!$S$79:$S$123,),0)</f>
        <v>#N/A</v>
      </c>
      <c r="AB403" s="33" t="e">
        <f t="array" ref="AB403">IF((E403+V403-_xlfn.XLOOKUP(A403,'[1]DATOS PBI Artículos'!$A$4:$A$4,'[1]DATOS PBI Artículos'!$W$4:$W$4))/N403&gt;ROUNDUP([1]CRITERIOS!$M$16/(IF(COUNTIF([1]CRITERIOS!$BG$11:$BG$201,L403)&gt;=1,_xlfn.XLOOKUP(ARTÍCULOS!L403,[1]CRITERIOS!$BG$11:$BG$201,[1]CRITERIOS!$BJ$11:$BJ$201),_xlfn.XLOOKUP(ARTÍCULOS!C403,[1]CRITERIOS!$K$25:$K$42,[1]CRITERIOS!$M$25:$M$42))),0),ROUNDUP([1]CRITERIOS!$M$16/(IF(COUNTIF([1]CRITERIOS!$BG$11:$BG$201,L403)&gt;=1,_xlfn.XLOOKUP(ARTÍCULOS!L403,[1]CRITERIOS!$BG$11:$BG$201:#REF!,[1]CRITERIOS!$BJ$11:$BJ$201),_xlfn.XLOOKUP(ARTÍCULOS!C403,[1]CRITERIOS!$K$25:$K$42,[1]CRITERIOS!$M$25:$M$42))),0),(E403+V403-_xlfn.XLOOKUP(A403,'[1]DATOS PBI Artículos'!$A$4:$A$4,'[1]DATOS PBI Artículos'!$W$4:$W$4))/N403)</f>
        <v>#N/A</v>
      </c>
      <c r="AC403" s="33" t="e">
        <f>IF(N403=0,"",(ROUNDUP((N403/2)/(_xlfn.XLOOKUP(A403,'[1]DATOS PBI Artículos'!$A$4:$A$4,'[1]DATOS PBI Artículos'!$Z$4:$Z$4)*_xlfn.XLOOKUP(_xlfn.XLOOKUP(A403,'[1]DATOS PBI Artículos'!$A$4:$A$4,'[1]DATOS PBI Artículos'!$Y$4:$Y$4),[1]CRITERIOS!$P$79:$P$123,[1]CRITERIOS!$S$79:$S$123)),0)*[1]CRITERIOS!$M$80*([1]CRITERIOS!$M$110/[1]CRITERIOS!$M$86)+(_xlfn.XLOOKUP(A403,'[1]DATOS PBI Artículos'!$A$4:$A$4,'[1]DATOS PBI Artículos'!$AA$4:$AA$4)*([1]CRITERIOS!$M$95+[1]CRITERIOS!$M$98)))/N403)</f>
        <v>#N/A</v>
      </c>
      <c r="AD403" s="33" t="e">
        <f>IF(N403=0,"",(ROUNDUP((N403/2)/(_xlfn.XLOOKUP(A403,'[1]DATOS PBI Artículos'!$A$4:$A$4,'[1]DATOS PBI Artículos'!$Z$4:$Z$4)*_xlfn.XLOOKUP(_xlfn.XLOOKUP(A403,'[1]DATOS PBI Artículos'!$A$4:$A$4,'[1]DATOS PBI Artículos'!$Y$4:$Y$4),[1]CRITERIOS!$P$79:$P$123,[1]CRITERIOS!$S$79:$S$123)),0)*[1]CRITERIOS!$M$80*([1]CRITERIOS!$M$89*[1]CRITERIOS!$M$92)+((_xlfn.XLOOKUP(A403,'[1]DATOS PBI Artículos'!$A$4:$A$4,'[1]DATOS PBI Artículos'!$AA$4:$AA$4)/2)*([1]CRITERIOS!$M$95+[1]CRITERIOS!$M$98)))/N403)</f>
        <v>#N/A</v>
      </c>
      <c r="AE403" s="39" t="e">
        <f>IF($R403="MTO","",
IF($H403=0,ROUNDUP(((_xlfn.XLOOKUP($A403,'[1]DATOS PBI Artículos'!$A:$A,'[1]DATOS PBI Artículos'!$AL:$AL))/(_xlfn.XLOOKUP($AF$1,[1]CRITERIOS!$S$16:$S$39,[1]CRITERIOS!$Y$16:$Y$39))*$J403+$Z403)/$G403,0)*$G403,
((_xlfn.XLOOKUP($A403,'[1]DATOS PBI Artículos'!$A:$A,'[1]DATOS PBI Artículos'!$AL:$AL))/(_xlfn.XLOOKUP($AF$1,[1]CRITERIOS!$S$16:$S$39,[1]CRITERIOS!$Y$16:$Y$39))*$J403+$Z403)))</f>
        <v>#N/A</v>
      </c>
      <c r="AG403" s="39" t="e">
        <f>IF($R403="MTO","",
IF($H403=0,ROUNDUP(((_xlfn.XLOOKUP($A403,'[1]DATOS PBI Artículos'!$A:$A,'[1]DATOS PBI Artículos'!$AM:$AM))/(_xlfn.XLOOKUP($AH$1,[1]CRITERIOS!$S$16:$S$39,[1]CRITERIOS!$Y$16:$Y$39))*$J403+$Z403)/$G403,0)*$G403,
((_xlfn.XLOOKUP($A403,'[1]DATOS PBI Artículos'!$A:$A,'[1]DATOS PBI Artículos'!$AM:$AM))/(_xlfn.XLOOKUP($AH$1,[1]CRITERIOS!$S$16:$S$39,[1]CRITERIOS!$Y$16:$Y$39))*$J403+$Z403)))</f>
        <v>#N/A</v>
      </c>
      <c r="AI403" s="39" t="e">
        <f>IF($R403="MTO","",
IF($H403=0,ROUNDUP(((_xlfn.XLOOKUP($A403,'[1]DATOS PBI Artículos'!$A:$A,'[1]DATOS PBI Artículos'!$AN:$AN))/(_xlfn.XLOOKUP($AJ$1,[1]CRITERIOS!$S$16:$S$39,[1]CRITERIOS!$Y$16:$Y$39))*$J403+$Z403)/$G403,0)*$G403,
((_xlfn.XLOOKUP($A403,'[1]DATOS PBI Artículos'!$A:$A,'[1]DATOS PBI Artículos'!$AN:$AN))/(_xlfn.XLOOKUP($AJ$1,[1]CRITERIOS!$S$16:$S$39,[1]CRITERIOS!$Y$16:$Y$39))*$J403+$Z403)))</f>
        <v>#N/A</v>
      </c>
      <c r="AK403" s="39" t="e">
        <f>IF($R403="MTO","",
IF($H403=0,ROUNDUP(((_xlfn.XLOOKUP($A403,'[1]DATOS PBI Artículos'!$A:$A,'[1]DATOS PBI Artículos'!$AO:$AO))/(_xlfn.XLOOKUP($AL$1,[1]CRITERIOS!$S$16:$S$39,[1]CRITERIOS!$Y$16:$Y$39))*$J403+$Z403)/$G403,0)*$G403,
((_xlfn.XLOOKUP($A403,'[1]DATOS PBI Artículos'!$A:$A,'[1]DATOS PBI Artículos'!$AO:$AO))/(_xlfn.XLOOKUP($AL$1,[1]CRITERIOS!$S$16:$S$39,[1]CRITERIOS!$Y$16:$Y$39))*$J403+$Z403)))</f>
        <v>#N/A</v>
      </c>
    </row>
    <row r="404" spans="1:37" ht="25.8" hidden="1" x14ac:dyDescent="0.4">
      <c r="A404" s="41"/>
      <c r="B404" s="33">
        <f>_xlfn.XLOOKUP($A404,'[1]DATOS PBI Artículos'!A:A,'[1]DATOS PBI Artículos'!B:B)</f>
        <v>0</v>
      </c>
      <c r="C404" s="33">
        <f>_xlfn.XLOOKUP($A404,'[1]DATOS PBI Artículos'!A:A,'[1]DATOS PBI Artículos'!C:C)</f>
        <v>0</v>
      </c>
      <c r="D404" s="33">
        <f>_xlfn.XLOOKUP(A404,'[1]DATOS PBI Artículos'!A:A,'[1]DATOS PBI Artículos'!T:T)</f>
        <v>0</v>
      </c>
      <c r="E404" s="34">
        <f>IF(_xlfn.XLOOKUP($A404,'[1]DATOS PBI Artículos'!A:A,'[1]DATOS PBI Artículos'!AK:AK)="",_xlfn.XLOOKUP($A404,'[1]DATOS PBI Artículos'!A:A,'[1]DATOS PBI Artículos'!AJ:AJ),_xlfn.XLOOKUP($A404,'[1]DATOS PBI Artículos'!A:A,'[1]DATOS PBI Artículos'!AK:AK))</f>
        <v>0</v>
      </c>
      <c r="F404" s="35">
        <f>_xlfn.XLOOKUP($A404,'[1]DATOS PBI Artículos'!A:A,'[1]DATOS PBI Artículos'!AP:AP)</f>
        <v>0</v>
      </c>
      <c r="G404" s="34">
        <f>_xlfn.XLOOKUP($A404,'[1]DATOS PBI Artículos'!A:A,'[1]DATOS PBI Artículos'!AR:AR)</f>
        <v>0</v>
      </c>
      <c r="H404" s="34">
        <f>_xlfn.XLOOKUP($A404,'[1]DATOS PBI Artículos'!A:A,'[1]DATOS PBI Artículos'!AT:AT)</f>
        <v>0</v>
      </c>
      <c r="I404" s="34">
        <f>_xlfn.XLOOKUP($A404,'[1]DATOS PBI Artículos'!A:A,'[1]DATOS PBI Artículos'!AS:AS)</f>
        <v>0</v>
      </c>
      <c r="J404" s="35">
        <f>IF(COUNTIF([1]CRITERIOS!$F$179:$F$199,$A404)&gt;=1,
 IF(O404&lt;&gt;"",
    (O404/_xlfn.XLOOKUP(CONCATENATE(A404,L404),[1]MÁQUINAS!A:A,[1]MÁQUINAS!D:D))/24,
    (N404/_xlfn.XLOOKUP(CONCATENATE(A404,L404),[1]MÁQUINAS!A:A,[1]MÁQUINAS!D:D))/24),
  _xlfn.XLOOKUP($A404,'[1]DATOS PBI Artículos'!A:A,'[1]DATOS PBI Artículos'!AU:AU))</f>
        <v>0</v>
      </c>
      <c r="K404" s="36">
        <f>_xlfn.XLOOKUP($A404,'[1]DATOS PBI Artículos'!A:A,'[1]DATOS PBI Artículos'!AV:AV)</f>
        <v>0</v>
      </c>
      <c r="L404" s="33">
        <f>_xlfn.XLOOKUP(A404,[1]MÁQUINAS!B:B,[1]MÁQUINAS!C:C)</f>
        <v>0</v>
      </c>
      <c r="M404" s="34">
        <f t="array" ref="M404">_xlfn.XLOOKUP(A404,'[1]DATOS PBI Artículos'!A:A,'[1]DATOS PBI Artículos'!AX:$AX)</f>
        <v>0</v>
      </c>
      <c r="N404" s="37" t="e">
        <f>IF(I404="DV",
E404,
IF(COUNTIF([1]CRITERIOS!$I$179:$I$199,$A404)&gt;=1,
_xlfn.XLOOKUP($A404,[1]CRITERIOS!$I$179:$I$199,[1]CRITERIOS!$J$179:$J$199),
IF(COUNTIF([1]CRITERIOS!$L$179:$L$199,$A404)&gt;=1,
_xlfn.CEILING.MATH(IF($M404&gt;$E404,
$E404,
IF($M404&lt;$E404/ROUNDDOWN([1]CRITERIOS!$M$16/_xlfn.XLOOKUP($C404,[1]CRITERIOS!$K$25:$K$42,[1]CRITERIOS!$M$25:$M$42),
1),
E404/ROUNDDOWN([1]CRITERIOS!$M$16/_xlfn.XLOOKUP($C404,[1]CRITERIOS!$K$25:$K$42,[1]CRITERIOS!$M$25:$M$42),
1),
$M404)),
_xlfn.XLOOKUP($A404,[1]CRITERIOS!$L$179:$L$200,[1]CRITERIOS!$M$179:$M$200)),
_xlfn.CEILING.MATH(IF($M404&gt;$E404,
$E404,
IF($M404&lt;$E404/ROUNDDOWN([1]CRITERIOS!$M$16/_xlfn.XLOOKUP($C404,[1]CRITERIOS!$K$25:$K$42,[1]CRITERIOS!$M$25:$M$42),
1),
E404/ROUNDDOWN([1]CRITERIOS!$M$16/_xlfn.XLOOKUP($C404,[1]CRITERIOS!$K$25:$K$42,[1]CRITERIOS!$M$25:$M$42),
1),
$M404)),_xlfn.XLOOKUP(A404,'[1]DATOS PBI Artículos'!A:A,'[1]DATOS PBI Artículos'!Z:Z
)))))</f>
        <v>#N/A</v>
      </c>
      <c r="Q404" s="38" t="e">
        <f>IF(AND(O404="",N404=0),
0,
   IF(COUNTIF([1]CRITERIOS!$F$179:$F$199,$A404)&gt;=1,
   1,
   IF(R404="MTO",
      $D404,
      ROUNDUP(
                    IF(($E404-SUMIF('[1]DATOS PBI Artículos'!A:A,A404,'[1]DATOS PBI Artículos'!X:X)+($V404-_xlfn.XLOOKUP(A404,'[1]DATOS PBI Artículos'!A:A,'[1]DATOS PBI Artículos'!W:W)))&lt;0,
                    0,
                    IF(($E404-SUMIF('[1]DATOS PBI Artículos'!A:A,A404,'[1]DATOS PBI Artículos'!X:X)+$V404-_xlfn.XLOOKUP($A404,'[1]DATOS PBI Artículos'!A:A,'[1]DATOS PBI Artículos'!W:W))/IF($O404="",$N404,$O404)&gt;ROUNDUP([1]CRITERIOS!$M$16/(IF(COUNTIF([1]CRITERIOS!$BG$11:$BG$201,L404)&gt;=1,_xlfn.XLOOKUP($C404,[1]CRITERIOS!$K$25:$K$42,[1]CRITERIOS!$M$25:$M$42),_xlfn.XLOOKUP($C404,[1]CRITERIOS!$K$25:$K$42,[1]CRITERIOS!$M$25:$M$42))),0),
                    ROUNDUP([1]CRITERIOS!$M$16/(IF(COUNTIF([1]CRITERIOS!$BG$11:$BG$201,$L404)&gt;=1,_xlfn.XLOOKUP($C404,[1]CRITERIOS!$K$25:$K$42,[1]CRITERIOS!$M$25:$M$42),_xlfn.XLOOKUP($C404,[1]CRITERIOS!$K$25:$K$42,[1]CRITERIOS!$M$25:$M$42))),0),
                    (E404+V404-SUMIF('[1]DATOS PBI Artículos'!A:A,A404,'[1]DATOS PBI Artículos'!X:X)-_xlfn.XLOOKUP(A404,'[1]DATOS PBI Artículos'!A:A,'[1]DATOS PBI Artículos'!W:W))/IF($O404="",$N404,$O404))),0))))</f>
        <v>#N/A</v>
      </c>
      <c r="R404" s="33" t="e">
        <f>IF(U404&lt;&gt;"",U404,IF(F404="DV","MTO",IF(N404=0,"MTO",_xlfn.XLOOKUP(CONCATENATE(S404,T404),[1]CRITERIOS!$K$160:$K$168,[1]CRITERIOS!$N$160:$N$168))))</f>
        <v>#N/A</v>
      </c>
      <c r="S404" s="33" t="e">
        <f>IF(G404="DV","MTO",IF(N404=0,"MTO",IF(OR(AND(N404=0,O404=""),IF(O404="",G404/N404,G404/O404)&gt;[1]CRITERIOS!$G$163),"MTO",IF(IF(O404="",G404/N404,G404/O404)&lt;[1]CRITERIOS!$H$161,"MTS","MTOS"))))</f>
        <v>#N/A</v>
      </c>
      <c r="T404" s="33" t="e">
        <f>IF(F404="DV","MTO",IF(OR(AND($N404=0,O404=""),$F404/$J404&gt;[1]CRITERIOS!$G$170,$F404="DV"),"MTO",IF($F404/$J404&lt;[1]CRITERIOS!$H$168,"MTS","MTOS")))</f>
        <v>#N/A</v>
      </c>
      <c r="V404" s="34" t="e">
        <f t="shared" si="19"/>
        <v>#N/A</v>
      </c>
      <c r="X404" s="34" t="e">
        <f t="shared" si="20"/>
        <v>#N/A</v>
      </c>
      <c r="Y404" s="34" t="e">
        <f t="shared" si="21"/>
        <v>#N/A</v>
      </c>
      <c r="Z404" s="34" t="e">
        <f>IF($R404="MTO",
0,
($H404+$K404*($E404/[1]CRITERIOS!$M$16))/[1]CRITERIOS!$X$48)</f>
        <v>#N/A</v>
      </c>
      <c r="AA404" s="34" t="e">
        <f>ROUNDUP(($Y404/_xlfn.XLOOKUP($A404,'[1]DATOS PBI Artículos'!$A$4:$A$4,'[1]DATOS PBI Artículos'!$Z$4:$Z$4))/_xlfn.XLOOKUP(_xlfn.XLOOKUP($A404,'[1]DATOS PBI Artículos'!$A$4:$A$4,'[1]DATOS PBI Artículos'!$Y$4:$Y$4),[1]CRITERIOS!$P$79:$P$123,[1]CRITERIOS!$S$79:$S$123,),0)</f>
        <v>#N/A</v>
      </c>
      <c r="AB404" s="33" t="e">
        <f t="array" ref="AB404">IF((E404+V404-_xlfn.XLOOKUP(A404,'[1]DATOS PBI Artículos'!$A$4:$A$4,'[1]DATOS PBI Artículos'!$W$4:$W$4))/N404&gt;ROUNDUP([1]CRITERIOS!$M$16/(IF(COUNTIF([1]CRITERIOS!$BG$11:$BG$201,L404)&gt;=1,_xlfn.XLOOKUP(ARTÍCULOS!L404,[1]CRITERIOS!$BG$11:$BG$201,[1]CRITERIOS!$BJ$11:$BJ$201),_xlfn.XLOOKUP(ARTÍCULOS!C404,[1]CRITERIOS!$K$25:$K$42,[1]CRITERIOS!$M$25:$M$42))),0),ROUNDUP([1]CRITERIOS!$M$16/(IF(COUNTIF([1]CRITERIOS!$BG$11:$BG$201,L404)&gt;=1,_xlfn.XLOOKUP(ARTÍCULOS!L404,[1]CRITERIOS!$BG$11:$BG$201:#REF!,[1]CRITERIOS!$BJ$11:$BJ$201),_xlfn.XLOOKUP(ARTÍCULOS!C404,[1]CRITERIOS!$K$25:$K$42,[1]CRITERIOS!$M$25:$M$42))),0),(E404+V404-_xlfn.XLOOKUP(A404,'[1]DATOS PBI Artículos'!$A$4:$A$4,'[1]DATOS PBI Artículos'!$W$4:$W$4))/N404)</f>
        <v>#N/A</v>
      </c>
      <c r="AC404" s="33" t="e">
        <f>IF(N404=0,"",(ROUNDUP((N404/2)/(_xlfn.XLOOKUP(A404,'[1]DATOS PBI Artículos'!$A$4:$A$4,'[1]DATOS PBI Artículos'!$Z$4:$Z$4)*_xlfn.XLOOKUP(_xlfn.XLOOKUP(A404,'[1]DATOS PBI Artículos'!$A$4:$A$4,'[1]DATOS PBI Artículos'!$Y$4:$Y$4),[1]CRITERIOS!$P$79:$P$123,[1]CRITERIOS!$S$79:$S$123)),0)*[1]CRITERIOS!$M$80*([1]CRITERIOS!$M$110/[1]CRITERIOS!$M$86)+(_xlfn.XLOOKUP(A404,'[1]DATOS PBI Artículos'!$A$4:$A$4,'[1]DATOS PBI Artículos'!$AA$4:$AA$4)*([1]CRITERIOS!$M$95+[1]CRITERIOS!$M$98)))/N404)</f>
        <v>#N/A</v>
      </c>
      <c r="AD404" s="33" t="e">
        <f>IF(N404=0,"",(ROUNDUP((N404/2)/(_xlfn.XLOOKUP(A404,'[1]DATOS PBI Artículos'!$A$4:$A$4,'[1]DATOS PBI Artículos'!$Z$4:$Z$4)*_xlfn.XLOOKUP(_xlfn.XLOOKUP(A404,'[1]DATOS PBI Artículos'!$A$4:$A$4,'[1]DATOS PBI Artículos'!$Y$4:$Y$4),[1]CRITERIOS!$P$79:$P$123,[1]CRITERIOS!$S$79:$S$123)),0)*[1]CRITERIOS!$M$80*([1]CRITERIOS!$M$89*[1]CRITERIOS!$M$92)+((_xlfn.XLOOKUP(A404,'[1]DATOS PBI Artículos'!$A$4:$A$4,'[1]DATOS PBI Artículos'!$AA$4:$AA$4)/2)*([1]CRITERIOS!$M$95+[1]CRITERIOS!$M$98)))/N404)</f>
        <v>#N/A</v>
      </c>
      <c r="AE404" s="39" t="e">
        <f>IF($R404="MTO","",
IF($H404=0,ROUNDUP(((_xlfn.XLOOKUP($A404,'[1]DATOS PBI Artículos'!$A:$A,'[1]DATOS PBI Artículos'!$AL:$AL))/(_xlfn.XLOOKUP($AF$1,[1]CRITERIOS!$S$16:$S$39,[1]CRITERIOS!$Y$16:$Y$39))*$J404+$Z404)/$G404,0)*$G404,
((_xlfn.XLOOKUP($A404,'[1]DATOS PBI Artículos'!$A:$A,'[1]DATOS PBI Artículos'!$AL:$AL))/(_xlfn.XLOOKUP($AF$1,[1]CRITERIOS!$S$16:$S$39,[1]CRITERIOS!$Y$16:$Y$39))*$J404+$Z404)))</f>
        <v>#N/A</v>
      </c>
      <c r="AG404" s="39" t="e">
        <f>IF($R404="MTO","",
IF($H404=0,ROUNDUP(((_xlfn.XLOOKUP($A404,'[1]DATOS PBI Artículos'!$A:$A,'[1]DATOS PBI Artículos'!$AM:$AM))/(_xlfn.XLOOKUP($AH$1,[1]CRITERIOS!$S$16:$S$39,[1]CRITERIOS!$Y$16:$Y$39))*$J404+$Z404)/$G404,0)*$G404,
((_xlfn.XLOOKUP($A404,'[1]DATOS PBI Artículos'!$A:$A,'[1]DATOS PBI Artículos'!$AM:$AM))/(_xlfn.XLOOKUP($AH$1,[1]CRITERIOS!$S$16:$S$39,[1]CRITERIOS!$Y$16:$Y$39))*$J404+$Z404)))</f>
        <v>#N/A</v>
      </c>
      <c r="AI404" s="39" t="e">
        <f>IF($R404="MTO","",
IF($H404=0,ROUNDUP(((_xlfn.XLOOKUP($A404,'[1]DATOS PBI Artículos'!$A:$A,'[1]DATOS PBI Artículos'!$AN:$AN))/(_xlfn.XLOOKUP($AJ$1,[1]CRITERIOS!$S$16:$S$39,[1]CRITERIOS!$Y$16:$Y$39))*$J404+$Z404)/$G404,0)*$G404,
((_xlfn.XLOOKUP($A404,'[1]DATOS PBI Artículos'!$A:$A,'[1]DATOS PBI Artículos'!$AN:$AN))/(_xlfn.XLOOKUP($AJ$1,[1]CRITERIOS!$S$16:$S$39,[1]CRITERIOS!$Y$16:$Y$39))*$J404+$Z404)))</f>
        <v>#N/A</v>
      </c>
      <c r="AK404" s="39" t="e">
        <f>IF($R404="MTO","",
IF($H404=0,ROUNDUP(((_xlfn.XLOOKUP($A404,'[1]DATOS PBI Artículos'!$A:$A,'[1]DATOS PBI Artículos'!$AO:$AO))/(_xlfn.XLOOKUP($AL$1,[1]CRITERIOS!$S$16:$S$39,[1]CRITERIOS!$Y$16:$Y$39))*$J404+$Z404)/$G404,0)*$G404,
((_xlfn.XLOOKUP($A404,'[1]DATOS PBI Artículos'!$A:$A,'[1]DATOS PBI Artículos'!$AO:$AO))/(_xlfn.XLOOKUP($AL$1,[1]CRITERIOS!$S$16:$S$39,[1]CRITERIOS!$Y$16:$Y$39))*$J404+$Z404)))</f>
        <v>#N/A</v>
      </c>
    </row>
    <row r="405" spans="1:37" ht="25.8" hidden="1" x14ac:dyDescent="0.4">
      <c r="A405" s="41"/>
      <c r="B405" s="33">
        <f>_xlfn.XLOOKUP($A405,'[1]DATOS PBI Artículos'!A:A,'[1]DATOS PBI Artículos'!B:B)</f>
        <v>0</v>
      </c>
      <c r="C405" s="33">
        <f>_xlfn.XLOOKUP($A405,'[1]DATOS PBI Artículos'!A:A,'[1]DATOS PBI Artículos'!C:C)</f>
        <v>0</v>
      </c>
      <c r="D405" s="33">
        <f>_xlfn.XLOOKUP(A405,'[1]DATOS PBI Artículos'!A:A,'[1]DATOS PBI Artículos'!T:T)</f>
        <v>0</v>
      </c>
      <c r="E405" s="34">
        <f>IF(_xlfn.XLOOKUP($A405,'[1]DATOS PBI Artículos'!A:A,'[1]DATOS PBI Artículos'!AK:AK)="",_xlfn.XLOOKUP($A405,'[1]DATOS PBI Artículos'!A:A,'[1]DATOS PBI Artículos'!AJ:AJ),_xlfn.XLOOKUP($A405,'[1]DATOS PBI Artículos'!A:A,'[1]DATOS PBI Artículos'!AK:AK))</f>
        <v>0</v>
      </c>
      <c r="F405" s="35">
        <f>_xlfn.XLOOKUP($A405,'[1]DATOS PBI Artículos'!A:A,'[1]DATOS PBI Artículos'!AP:AP)</f>
        <v>0</v>
      </c>
      <c r="G405" s="34">
        <f>_xlfn.XLOOKUP($A405,'[1]DATOS PBI Artículos'!A:A,'[1]DATOS PBI Artículos'!AR:AR)</f>
        <v>0</v>
      </c>
      <c r="H405" s="34">
        <f>_xlfn.XLOOKUP($A405,'[1]DATOS PBI Artículos'!A:A,'[1]DATOS PBI Artículos'!AT:AT)</f>
        <v>0</v>
      </c>
      <c r="I405" s="34">
        <f>_xlfn.XLOOKUP($A405,'[1]DATOS PBI Artículos'!A:A,'[1]DATOS PBI Artículos'!AS:AS)</f>
        <v>0</v>
      </c>
      <c r="J405" s="35">
        <f>IF(COUNTIF([1]CRITERIOS!$F$179:$F$199,$A405)&gt;=1,
 IF(O405&lt;&gt;"",
    (O405/_xlfn.XLOOKUP(CONCATENATE(A405,L405),[1]MÁQUINAS!A:A,[1]MÁQUINAS!D:D))/24,
    (N405/_xlfn.XLOOKUP(CONCATENATE(A405,L405),[1]MÁQUINAS!A:A,[1]MÁQUINAS!D:D))/24),
  _xlfn.XLOOKUP($A405,'[1]DATOS PBI Artículos'!A:A,'[1]DATOS PBI Artículos'!AU:AU))</f>
        <v>0</v>
      </c>
      <c r="K405" s="36">
        <f>_xlfn.XLOOKUP($A405,'[1]DATOS PBI Artículos'!A:A,'[1]DATOS PBI Artículos'!AV:AV)</f>
        <v>0</v>
      </c>
      <c r="L405" s="33">
        <f>_xlfn.XLOOKUP(A405,[1]MÁQUINAS!B:B,[1]MÁQUINAS!C:C)</f>
        <v>0</v>
      </c>
      <c r="M405" s="34">
        <f t="array" ref="M405">_xlfn.XLOOKUP(A405,'[1]DATOS PBI Artículos'!A:A,'[1]DATOS PBI Artículos'!AX:$AX)</f>
        <v>0</v>
      </c>
      <c r="N405" s="37" t="e">
        <f>IF(I405="DV",
E405,
IF(COUNTIF([1]CRITERIOS!$I$179:$I$199,$A405)&gt;=1,
_xlfn.XLOOKUP($A405,[1]CRITERIOS!$I$179:$I$199,[1]CRITERIOS!$J$179:$J$199),
IF(COUNTIF([1]CRITERIOS!$L$179:$L$199,$A405)&gt;=1,
_xlfn.CEILING.MATH(IF($M405&gt;$E405,
$E405,
IF($M405&lt;$E405/ROUNDDOWN([1]CRITERIOS!$M$16/_xlfn.XLOOKUP($C405,[1]CRITERIOS!$K$25:$K$42,[1]CRITERIOS!$M$25:$M$42),
1),
E405/ROUNDDOWN([1]CRITERIOS!$M$16/_xlfn.XLOOKUP($C405,[1]CRITERIOS!$K$25:$K$42,[1]CRITERIOS!$M$25:$M$42),
1),
$M405)),
_xlfn.XLOOKUP($A405,[1]CRITERIOS!$L$179:$L$200,[1]CRITERIOS!$M$179:$M$200)),
_xlfn.CEILING.MATH(IF($M405&gt;$E405,
$E405,
IF($M405&lt;$E405/ROUNDDOWN([1]CRITERIOS!$M$16/_xlfn.XLOOKUP($C405,[1]CRITERIOS!$K$25:$K$42,[1]CRITERIOS!$M$25:$M$42),
1),
E405/ROUNDDOWN([1]CRITERIOS!$M$16/_xlfn.XLOOKUP($C405,[1]CRITERIOS!$K$25:$K$42,[1]CRITERIOS!$M$25:$M$42),
1),
$M405)),_xlfn.XLOOKUP(A405,'[1]DATOS PBI Artículos'!A:A,'[1]DATOS PBI Artículos'!Z:Z
)))))</f>
        <v>#N/A</v>
      </c>
      <c r="Q405" s="38" t="e">
        <f>IF(AND(O405="",N405=0),
0,
   IF(COUNTIF([1]CRITERIOS!$F$179:$F$199,$A405)&gt;=1,
   1,
   IF(R405="MTO",
      $D405,
      ROUNDUP(
                    IF(($E405-SUMIF('[1]DATOS PBI Artículos'!A:A,A405,'[1]DATOS PBI Artículos'!X:X)+($V405-_xlfn.XLOOKUP(A405,'[1]DATOS PBI Artículos'!A:A,'[1]DATOS PBI Artículos'!W:W)))&lt;0,
                    0,
                    IF(($E405-SUMIF('[1]DATOS PBI Artículos'!A:A,A405,'[1]DATOS PBI Artículos'!X:X)+$V405-_xlfn.XLOOKUP($A405,'[1]DATOS PBI Artículos'!A:A,'[1]DATOS PBI Artículos'!W:W))/IF($O405="",$N405,$O405)&gt;ROUNDUP([1]CRITERIOS!$M$16/(IF(COUNTIF([1]CRITERIOS!$BG$11:$BG$201,L405)&gt;=1,_xlfn.XLOOKUP($C405,[1]CRITERIOS!$K$25:$K$42,[1]CRITERIOS!$M$25:$M$42),_xlfn.XLOOKUP($C405,[1]CRITERIOS!$K$25:$K$42,[1]CRITERIOS!$M$25:$M$42))),0),
                    ROUNDUP([1]CRITERIOS!$M$16/(IF(COUNTIF([1]CRITERIOS!$BG$11:$BG$201,$L405)&gt;=1,_xlfn.XLOOKUP($C405,[1]CRITERIOS!$K$25:$K$42,[1]CRITERIOS!$M$25:$M$42),_xlfn.XLOOKUP($C405,[1]CRITERIOS!$K$25:$K$42,[1]CRITERIOS!$M$25:$M$42))),0),
                    (E405+V405-SUMIF('[1]DATOS PBI Artículos'!A:A,A405,'[1]DATOS PBI Artículos'!X:X)-_xlfn.XLOOKUP(A405,'[1]DATOS PBI Artículos'!A:A,'[1]DATOS PBI Artículos'!W:W))/IF($O405="",$N405,$O405))),0))))</f>
        <v>#N/A</v>
      </c>
      <c r="R405" s="33" t="e">
        <f>IF(U405&lt;&gt;"",U405,IF(F405="DV","MTO",IF(N405=0,"MTO",_xlfn.XLOOKUP(CONCATENATE(S405,T405),[1]CRITERIOS!$K$160:$K$168,[1]CRITERIOS!$N$160:$N$168))))</f>
        <v>#N/A</v>
      </c>
      <c r="S405" s="33" t="e">
        <f>IF(G405="DV","MTO",IF(N405=0,"MTO",IF(OR(AND(N405=0,O405=""),IF(O405="",G405/N405,G405/O405)&gt;[1]CRITERIOS!$G$163),"MTO",IF(IF(O405="",G405/N405,G405/O405)&lt;[1]CRITERIOS!$H$161,"MTS","MTOS"))))</f>
        <v>#N/A</v>
      </c>
      <c r="T405" s="33" t="e">
        <f>IF(F405="DV","MTO",IF(OR(AND($N405=0,O405=""),$F405/$J405&gt;[1]CRITERIOS!$G$170,$F405="DV"),"MTO",IF($F405/$J405&lt;[1]CRITERIOS!$H$168,"MTS","MTOS")))</f>
        <v>#N/A</v>
      </c>
      <c r="V405" s="34" t="e">
        <f t="shared" si="19"/>
        <v>#N/A</v>
      </c>
      <c r="X405" s="34" t="e">
        <f t="shared" si="20"/>
        <v>#N/A</v>
      </c>
      <c r="Y405" s="34" t="e">
        <f t="shared" si="21"/>
        <v>#N/A</v>
      </c>
      <c r="Z405" s="34" t="e">
        <f>IF($R405="MTO",
0,
($H405+$K405*($E405/[1]CRITERIOS!$M$16))/[1]CRITERIOS!$X$48)</f>
        <v>#N/A</v>
      </c>
      <c r="AA405" s="34" t="e">
        <f>ROUNDUP(($Y405/_xlfn.XLOOKUP($A405,'[1]DATOS PBI Artículos'!$A$4:$A$4,'[1]DATOS PBI Artículos'!$Z$4:$Z$4))/_xlfn.XLOOKUP(_xlfn.XLOOKUP($A405,'[1]DATOS PBI Artículos'!$A$4:$A$4,'[1]DATOS PBI Artículos'!$Y$4:$Y$4),[1]CRITERIOS!$P$79:$P$123,[1]CRITERIOS!$S$79:$S$123,),0)</f>
        <v>#N/A</v>
      </c>
      <c r="AB405" s="33" t="e">
        <f t="array" ref="AB405">IF((E405+V405-_xlfn.XLOOKUP(A405,'[1]DATOS PBI Artículos'!$A$4:$A$4,'[1]DATOS PBI Artículos'!$W$4:$W$4))/N405&gt;ROUNDUP([1]CRITERIOS!$M$16/(IF(COUNTIF([1]CRITERIOS!$BG$11:$BG$201,L405)&gt;=1,_xlfn.XLOOKUP(ARTÍCULOS!L405,[1]CRITERIOS!$BG$11:$BG$201,[1]CRITERIOS!$BJ$11:$BJ$201),_xlfn.XLOOKUP(ARTÍCULOS!C405,[1]CRITERIOS!$K$25:$K$42,[1]CRITERIOS!$M$25:$M$42))),0),ROUNDUP([1]CRITERIOS!$M$16/(IF(COUNTIF([1]CRITERIOS!$BG$11:$BG$201,L405)&gt;=1,_xlfn.XLOOKUP(ARTÍCULOS!L405,[1]CRITERIOS!$BG$11:$BG$201:#REF!,[1]CRITERIOS!$BJ$11:$BJ$201),_xlfn.XLOOKUP(ARTÍCULOS!C405,[1]CRITERIOS!$K$25:$K$42,[1]CRITERIOS!$M$25:$M$42))),0),(E405+V405-_xlfn.XLOOKUP(A405,'[1]DATOS PBI Artículos'!$A$4:$A$4,'[1]DATOS PBI Artículos'!$W$4:$W$4))/N405)</f>
        <v>#N/A</v>
      </c>
      <c r="AC405" s="33" t="e">
        <f>IF(N405=0,"",(ROUNDUP((N405/2)/(_xlfn.XLOOKUP(A405,'[1]DATOS PBI Artículos'!$A$4:$A$4,'[1]DATOS PBI Artículos'!$Z$4:$Z$4)*_xlfn.XLOOKUP(_xlfn.XLOOKUP(A405,'[1]DATOS PBI Artículos'!$A$4:$A$4,'[1]DATOS PBI Artículos'!$Y$4:$Y$4),[1]CRITERIOS!$P$79:$P$123,[1]CRITERIOS!$S$79:$S$123)),0)*[1]CRITERIOS!$M$80*([1]CRITERIOS!$M$110/[1]CRITERIOS!$M$86)+(_xlfn.XLOOKUP(A405,'[1]DATOS PBI Artículos'!$A$4:$A$4,'[1]DATOS PBI Artículos'!$AA$4:$AA$4)*([1]CRITERIOS!$M$95+[1]CRITERIOS!$M$98)))/N405)</f>
        <v>#N/A</v>
      </c>
      <c r="AD405" s="33" t="e">
        <f>IF(N405=0,"",(ROUNDUP((N405/2)/(_xlfn.XLOOKUP(A405,'[1]DATOS PBI Artículos'!$A$4:$A$4,'[1]DATOS PBI Artículos'!$Z$4:$Z$4)*_xlfn.XLOOKUP(_xlfn.XLOOKUP(A405,'[1]DATOS PBI Artículos'!$A$4:$A$4,'[1]DATOS PBI Artículos'!$Y$4:$Y$4),[1]CRITERIOS!$P$79:$P$123,[1]CRITERIOS!$S$79:$S$123)),0)*[1]CRITERIOS!$M$80*([1]CRITERIOS!$M$89*[1]CRITERIOS!$M$92)+((_xlfn.XLOOKUP(A405,'[1]DATOS PBI Artículos'!$A$4:$A$4,'[1]DATOS PBI Artículos'!$AA$4:$AA$4)/2)*([1]CRITERIOS!$M$95+[1]CRITERIOS!$M$98)))/N405)</f>
        <v>#N/A</v>
      </c>
      <c r="AE405" s="39" t="e">
        <f>IF($R405="MTO","",
IF($H405=0,ROUNDUP(((_xlfn.XLOOKUP($A405,'[1]DATOS PBI Artículos'!$A:$A,'[1]DATOS PBI Artículos'!$AL:$AL))/(_xlfn.XLOOKUP($AF$1,[1]CRITERIOS!$S$16:$S$39,[1]CRITERIOS!$Y$16:$Y$39))*$J405+$Z405)/$G405,0)*$G405,
((_xlfn.XLOOKUP($A405,'[1]DATOS PBI Artículos'!$A:$A,'[1]DATOS PBI Artículos'!$AL:$AL))/(_xlfn.XLOOKUP($AF$1,[1]CRITERIOS!$S$16:$S$39,[1]CRITERIOS!$Y$16:$Y$39))*$J405+$Z405)))</f>
        <v>#N/A</v>
      </c>
      <c r="AG405" s="39" t="e">
        <f>IF($R405="MTO","",
IF($H405=0,ROUNDUP(((_xlfn.XLOOKUP($A405,'[1]DATOS PBI Artículos'!$A:$A,'[1]DATOS PBI Artículos'!$AM:$AM))/(_xlfn.XLOOKUP($AH$1,[1]CRITERIOS!$S$16:$S$39,[1]CRITERIOS!$Y$16:$Y$39))*$J405+$Z405)/$G405,0)*$G405,
((_xlfn.XLOOKUP($A405,'[1]DATOS PBI Artículos'!$A:$A,'[1]DATOS PBI Artículos'!$AM:$AM))/(_xlfn.XLOOKUP($AH$1,[1]CRITERIOS!$S$16:$S$39,[1]CRITERIOS!$Y$16:$Y$39))*$J405+$Z405)))</f>
        <v>#N/A</v>
      </c>
      <c r="AI405" s="39" t="e">
        <f>IF($R405="MTO","",
IF($H405=0,ROUNDUP(((_xlfn.XLOOKUP($A405,'[1]DATOS PBI Artículos'!$A:$A,'[1]DATOS PBI Artículos'!$AN:$AN))/(_xlfn.XLOOKUP($AJ$1,[1]CRITERIOS!$S$16:$S$39,[1]CRITERIOS!$Y$16:$Y$39))*$J405+$Z405)/$G405,0)*$G405,
((_xlfn.XLOOKUP($A405,'[1]DATOS PBI Artículos'!$A:$A,'[1]DATOS PBI Artículos'!$AN:$AN))/(_xlfn.XLOOKUP($AJ$1,[1]CRITERIOS!$S$16:$S$39,[1]CRITERIOS!$Y$16:$Y$39))*$J405+$Z405)))</f>
        <v>#N/A</v>
      </c>
      <c r="AK405" s="39" t="e">
        <f>IF($R405="MTO","",
IF($H405=0,ROUNDUP(((_xlfn.XLOOKUP($A405,'[1]DATOS PBI Artículos'!$A:$A,'[1]DATOS PBI Artículos'!$AO:$AO))/(_xlfn.XLOOKUP($AL$1,[1]CRITERIOS!$S$16:$S$39,[1]CRITERIOS!$Y$16:$Y$39))*$J405+$Z405)/$G405,0)*$G405,
((_xlfn.XLOOKUP($A405,'[1]DATOS PBI Artículos'!$A:$A,'[1]DATOS PBI Artículos'!$AO:$AO))/(_xlfn.XLOOKUP($AL$1,[1]CRITERIOS!$S$16:$S$39,[1]CRITERIOS!$Y$16:$Y$39))*$J405+$Z405)))</f>
        <v>#N/A</v>
      </c>
    </row>
    <row r="406" spans="1:37" ht="25.8" hidden="1" x14ac:dyDescent="0.4">
      <c r="A406" s="41"/>
      <c r="B406" s="33">
        <f>_xlfn.XLOOKUP($A406,'[1]DATOS PBI Artículos'!A:A,'[1]DATOS PBI Artículos'!B:B)</f>
        <v>0</v>
      </c>
      <c r="C406" s="33">
        <f>_xlfn.XLOOKUP($A406,'[1]DATOS PBI Artículos'!A:A,'[1]DATOS PBI Artículos'!C:C)</f>
        <v>0</v>
      </c>
      <c r="D406" s="33">
        <f>_xlfn.XLOOKUP(A406,'[1]DATOS PBI Artículos'!A:A,'[1]DATOS PBI Artículos'!T:T)</f>
        <v>0</v>
      </c>
      <c r="E406" s="34">
        <f>IF(_xlfn.XLOOKUP($A406,'[1]DATOS PBI Artículos'!A:A,'[1]DATOS PBI Artículos'!AK:AK)="",_xlfn.XLOOKUP($A406,'[1]DATOS PBI Artículos'!A:A,'[1]DATOS PBI Artículos'!AJ:AJ),_xlfn.XLOOKUP($A406,'[1]DATOS PBI Artículos'!A:A,'[1]DATOS PBI Artículos'!AK:AK))</f>
        <v>0</v>
      </c>
      <c r="F406" s="35">
        <f>_xlfn.XLOOKUP($A406,'[1]DATOS PBI Artículos'!A:A,'[1]DATOS PBI Artículos'!AP:AP)</f>
        <v>0</v>
      </c>
      <c r="G406" s="34">
        <f>_xlfn.XLOOKUP($A406,'[1]DATOS PBI Artículos'!A:A,'[1]DATOS PBI Artículos'!AR:AR)</f>
        <v>0</v>
      </c>
      <c r="H406" s="34">
        <f>_xlfn.XLOOKUP($A406,'[1]DATOS PBI Artículos'!A:A,'[1]DATOS PBI Artículos'!AT:AT)</f>
        <v>0</v>
      </c>
      <c r="I406" s="34">
        <f>_xlfn.XLOOKUP($A406,'[1]DATOS PBI Artículos'!A:A,'[1]DATOS PBI Artículos'!AS:AS)</f>
        <v>0</v>
      </c>
      <c r="J406" s="35">
        <f>IF(COUNTIF([1]CRITERIOS!$F$179:$F$199,$A406)&gt;=1,
 IF(O406&lt;&gt;"",
    (O406/_xlfn.XLOOKUP(CONCATENATE(A406,L406),[1]MÁQUINAS!A:A,[1]MÁQUINAS!D:D))/24,
    (N406/_xlfn.XLOOKUP(CONCATENATE(A406,L406),[1]MÁQUINAS!A:A,[1]MÁQUINAS!D:D))/24),
  _xlfn.XLOOKUP($A406,'[1]DATOS PBI Artículos'!A:A,'[1]DATOS PBI Artículos'!AU:AU))</f>
        <v>0</v>
      </c>
      <c r="K406" s="36">
        <f>_xlfn.XLOOKUP($A406,'[1]DATOS PBI Artículos'!A:A,'[1]DATOS PBI Artículos'!AV:AV)</f>
        <v>0</v>
      </c>
      <c r="L406" s="33">
        <f>_xlfn.XLOOKUP(A406,[1]MÁQUINAS!B:B,[1]MÁQUINAS!C:C)</f>
        <v>0</v>
      </c>
      <c r="M406" s="34">
        <f t="array" ref="M406">_xlfn.XLOOKUP(A406,'[1]DATOS PBI Artículos'!A:A,'[1]DATOS PBI Artículos'!AX:$AX)</f>
        <v>0</v>
      </c>
      <c r="N406" s="37" t="e">
        <f>IF(I406="DV",
E406,
IF(COUNTIF([1]CRITERIOS!$I$179:$I$199,$A406)&gt;=1,
_xlfn.XLOOKUP($A406,[1]CRITERIOS!$I$179:$I$199,[1]CRITERIOS!$J$179:$J$199),
IF(COUNTIF([1]CRITERIOS!$L$179:$L$199,$A406)&gt;=1,
_xlfn.CEILING.MATH(IF($M406&gt;$E406,
$E406,
IF($M406&lt;$E406/ROUNDDOWN([1]CRITERIOS!$M$16/_xlfn.XLOOKUP($C406,[1]CRITERIOS!$K$25:$K$42,[1]CRITERIOS!$M$25:$M$42),
1),
E406/ROUNDDOWN([1]CRITERIOS!$M$16/_xlfn.XLOOKUP($C406,[1]CRITERIOS!$K$25:$K$42,[1]CRITERIOS!$M$25:$M$42),
1),
$M406)),
_xlfn.XLOOKUP($A406,[1]CRITERIOS!$L$179:$L$200,[1]CRITERIOS!$M$179:$M$200)),
_xlfn.CEILING.MATH(IF($M406&gt;$E406,
$E406,
IF($M406&lt;$E406/ROUNDDOWN([1]CRITERIOS!$M$16/_xlfn.XLOOKUP($C406,[1]CRITERIOS!$K$25:$K$42,[1]CRITERIOS!$M$25:$M$42),
1),
E406/ROUNDDOWN([1]CRITERIOS!$M$16/_xlfn.XLOOKUP($C406,[1]CRITERIOS!$K$25:$K$42,[1]CRITERIOS!$M$25:$M$42),
1),
$M406)),_xlfn.XLOOKUP(A406,'[1]DATOS PBI Artículos'!A:A,'[1]DATOS PBI Artículos'!Z:Z
)))))</f>
        <v>#N/A</v>
      </c>
      <c r="Q406" s="38" t="e">
        <f>IF(AND(O406="",N406=0),
0,
   IF(COUNTIF([1]CRITERIOS!$F$179:$F$199,$A406)&gt;=1,
   1,
   IF(R406="MTO",
      $D406,
      ROUNDUP(
                    IF(($E406-SUMIF('[1]DATOS PBI Artículos'!A:A,A406,'[1]DATOS PBI Artículos'!X:X)+($V406-_xlfn.XLOOKUP(A406,'[1]DATOS PBI Artículos'!A:A,'[1]DATOS PBI Artículos'!W:W)))&lt;0,
                    0,
                    IF(($E406-SUMIF('[1]DATOS PBI Artículos'!A:A,A406,'[1]DATOS PBI Artículos'!X:X)+$V406-_xlfn.XLOOKUP($A406,'[1]DATOS PBI Artículos'!A:A,'[1]DATOS PBI Artículos'!W:W))/IF($O406="",$N406,$O406)&gt;ROUNDUP([1]CRITERIOS!$M$16/(IF(COUNTIF([1]CRITERIOS!$BG$11:$BG$201,L406)&gt;=1,_xlfn.XLOOKUP($C406,[1]CRITERIOS!$K$25:$K$42,[1]CRITERIOS!$M$25:$M$42),_xlfn.XLOOKUP($C406,[1]CRITERIOS!$K$25:$K$42,[1]CRITERIOS!$M$25:$M$42))),0),
                    ROUNDUP([1]CRITERIOS!$M$16/(IF(COUNTIF([1]CRITERIOS!$BG$11:$BG$201,$L406)&gt;=1,_xlfn.XLOOKUP($C406,[1]CRITERIOS!$K$25:$K$42,[1]CRITERIOS!$M$25:$M$42),_xlfn.XLOOKUP($C406,[1]CRITERIOS!$K$25:$K$42,[1]CRITERIOS!$M$25:$M$42))),0),
                    (E406+V406-SUMIF('[1]DATOS PBI Artículos'!A:A,A406,'[1]DATOS PBI Artículos'!X:X)-_xlfn.XLOOKUP(A406,'[1]DATOS PBI Artículos'!A:A,'[1]DATOS PBI Artículos'!W:W))/IF($O406="",$N406,$O406))),0))))</f>
        <v>#N/A</v>
      </c>
      <c r="R406" s="33" t="e">
        <f>IF(U406&lt;&gt;"",U406,IF(F406="DV","MTO",IF(N406=0,"MTO",_xlfn.XLOOKUP(CONCATENATE(S406,T406),[1]CRITERIOS!$K$160:$K$168,[1]CRITERIOS!$N$160:$N$168))))</f>
        <v>#N/A</v>
      </c>
      <c r="S406" s="33" t="e">
        <f>IF(G406="DV","MTO",IF(N406=0,"MTO",IF(OR(AND(N406=0,O406=""),IF(O406="",G406/N406,G406/O406)&gt;[1]CRITERIOS!$G$163),"MTO",IF(IF(O406="",G406/N406,G406/O406)&lt;[1]CRITERIOS!$H$161,"MTS","MTOS"))))</f>
        <v>#N/A</v>
      </c>
      <c r="T406" s="33" t="e">
        <f>IF(F406="DV","MTO",IF(OR(AND($N406=0,O406=""),$F406/$J406&gt;[1]CRITERIOS!$G$170,$F406="DV"),"MTO",IF($F406/$J406&lt;[1]CRITERIOS!$H$168,"MTS","MTOS")))</f>
        <v>#N/A</v>
      </c>
      <c r="V406" s="34" t="e">
        <f t="shared" si="19"/>
        <v>#N/A</v>
      </c>
      <c r="X406" s="34" t="e">
        <f t="shared" si="20"/>
        <v>#N/A</v>
      </c>
      <c r="Y406" s="34" t="e">
        <f t="shared" si="21"/>
        <v>#N/A</v>
      </c>
      <c r="Z406" s="34" t="e">
        <f>IF($R406="MTO",
0,
($H406+$K406*($E406/[1]CRITERIOS!$M$16))/[1]CRITERIOS!$X$48)</f>
        <v>#N/A</v>
      </c>
      <c r="AA406" s="34" t="e">
        <f>ROUNDUP(($Y406/_xlfn.XLOOKUP($A406,'[1]DATOS PBI Artículos'!$A$4:$A$4,'[1]DATOS PBI Artículos'!$Z$4:$Z$4))/_xlfn.XLOOKUP(_xlfn.XLOOKUP($A406,'[1]DATOS PBI Artículos'!$A$4:$A$4,'[1]DATOS PBI Artículos'!$Y$4:$Y$4),[1]CRITERIOS!$P$79:$P$123,[1]CRITERIOS!$S$79:$S$123,),0)</f>
        <v>#N/A</v>
      </c>
      <c r="AB406" s="33" t="e">
        <f t="array" ref="AB406">IF((E406+V406-_xlfn.XLOOKUP(A406,'[1]DATOS PBI Artículos'!$A$4:$A$4,'[1]DATOS PBI Artículos'!$W$4:$W$4))/N406&gt;ROUNDUP([1]CRITERIOS!$M$16/(IF(COUNTIF([1]CRITERIOS!$BG$11:$BG$201,L406)&gt;=1,_xlfn.XLOOKUP(ARTÍCULOS!L406,[1]CRITERIOS!$BG$11:$BG$201,[1]CRITERIOS!$BJ$11:$BJ$201),_xlfn.XLOOKUP(ARTÍCULOS!C406,[1]CRITERIOS!$K$25:$K$42,[1]CRITERIOS!$M$25:$M$42))),0),ROUNDUP([1]CRITERIOS!$M$16/(IF(COUNTIF([1]CRITERIOS!$BG$11:$BG$201,L406)&gt;=1,_xlfn.XLOOKUP(ARTÍCULOS!L406,[1]CRITERIOS!$BG$11:$BG$201:#REF!,[1]CRITERIOS!$BJ$11:$BJ$201),_xlfn.XLOOKUP(ARTÍCULOS!C406,[1]CRITERIOS!$K$25:$K$42,[1]CRITERIOS!$M$25:$M$42))),0),(E406+V406-_xlfn.XLOOKUP(A406,'[1]DATOS PBI Artículos'!$A$4:$A$4,'[1]DATOS PBI Artículos'!$W$4:$W$4))/N406)</f>
        <v>#N/A</v>
      </c>
      <c r="AC406" s="33" t="e">
        <f>IF(N406=0,"",(ROUNDUP((N406/2)/(_xlfn.XLOOKUP(A406,'[1]DATOS PBI Artículos'!$A$4:$A$4,'[1]DATOS PBI Artículos'!$Z$4:$Z$4)*_xlfn.XLOOKUP(_xlfn.XLOOKUP(A406,'[1]DATOS PBI Artículos'!$A$4:$A$4,'[1]DATOS PBI Artículos'!$Y$4:$Y$4),[1]CRITERIOS!$P$79:$P$123,[1]CRITERIOS!$S$79:$S$123)),0)*[1]CRITERIOS!$M$80*([1]CRITERIOS!$M$110/[1]CRITERIOS!$M$86)+(_xlfn.XLOOKUP(A406,'[1]DATOS PBI Artículos'!$A$4:$A$4,'[1]DATOS PBI Artículos'!$AA$4:$AA$4)*([1]CRITERIOS!$M$95+[1]CRITERIOS!$M$98)))/N406)</f>
        <v>#N/A</v>
      </c>
      <c r="AD406" s="33" t="e">
        <f>IF(N406=0,"",(ROUNDUP((N406/2)/(_xlfn.XLOOKUP(A406,'[1]DATOS PBI Artículos'!$A$4:$A$4,'[1]DATOS PBI Artículos'!$Z$4:$Z$4)*_xlfn.XLOOKUP(_xlfn.XLOOKUP(A406,'[1]DATOS PBI Artículos'!$A$4:$A$4,'[1]DATOS PBI Artículos'!$Y$4:$Y$4),[1]CRITERIOS!$P$79:$P$123,[1]CRITERIOS!$S$79:$S$123)),0)*[1]CRITERIOS!$M$80*([1]CRITERIOS!$M$89*[1]CRITERIOS!$M$92)+((_xlfn.XLOOKUP(A406,'[1]DATOS PBI Artículos'!$A$4:$A$4,'[1]DATOS PBI Artículos'!$AA$4:$AA$4)/2)*([1]CRITERIOS!$M$95+[1]CRITERIOS!$M$98)))/N406)</f>
        <v>#N/A</v>
      </c>
      <c r="AE406" s="39" t="e">
        <f>IF($R406="MTO","",
IF($H406=0,ROUNDUP(((_xlfn.XLOOKUP($A406,'[1]DATOS PBI Artículos'!$A:$A,'[1]DATOS PBI Artículos'!$AL:$AL))/(_xlfn.XLOOKUP($AF$1,[1]CRITERIOS!$S$16:$S$39,[1]CRITERIOS!$Y$16:$Y$39))*$J406+$Z406)/$G406,0)*$G406,
((_xlfn.XLOOKUP($A406,'[1]DATOS PBI Artículos'!$A:$A,'[1]DATOS PBI Artículos'!$AL:$AL))/(_xlfn.XLOOKUP($AF$1,[1]CRITERIOS!$S$16:$S$39,[1]CRITERIOS!$Y$16:$Y$39))*$J406+$Z406)))</f>
        <v>#N/A</v>
      </c>
      <c r="AG406" s="39" t="e">
        <f>IF($R406="MTO","",
IF($H406=0,ROUNDUP(((_xlfn.XLOOKUP($A406,'[1]DATOS PBI Artículos'!$A:$A,'[1]DATOS PBI Artículos'!$AM:$AM))/(_xlfn.XLOOKUP($AH$1,[1]CRITERIOS!$S$16:$S$39,[1]CRITERIOS!$Y$16:$Y$39))*$J406+$Z406)/$G406,0)*$G406,
((_xlfn.XLOOKUP($A406,'[1]DATOS PBI Artículos'!$A:$A,'[1]DATOS PBI Artículos'!$AM:$AM))/(_xlfn.XLOOKUP($AH$1,[1]CRITERIOS!$S$16:$S$39,[1]CRITERIOS!$Y$16:$Y$39))*$J406+$Z406)))</f>
        <v>#N/A</v>
      </c>
      <c r="AI406" s="39" t="e">
        <f>IF($R406="MTO","",
IF($H406=0,ROUNDUP(((_xlfn.XLOOKUP($A406,'[1]DATOS PBI Artículos'!$A:$A,'[1]DATOS PBI Artículos'!$AN:$AN))/(_xlfn.XLOOKUP($AJ$1,[1]CRITERIOS!$S$16:$S$39,[1]CRITERIOS!$Y$16:$Y$39))*$J406+$Z406)/$G406,0)*$G406,
((_xlfn.XLOOKUP($A406,'[1]DATOS PBI Artículos'!$A:$A,'[1]DATOS PBI Artículos'!$AN:$AN))/(_xlfn.XLOOKUP($AJ$1,[1]CRITERIOS!$S$16:$S$39,[1]CRITERIOS!$Y$16:$Y$39))*$J406+$Z406)))</f>
        <v>#N/A</v>
      </c>
      <c r="AK406" s="39" t="e">
        <f>IF($R406="MTO","",
IF($H406=0,ROUNDUP(((_xlfn.XLOOKUP($A406,'[1]DATOS PBI Artículos'!$A:$A,'[1]DATOS PBI Artículos'!$AO:$AO))/(_xlfn.XLOOKUP($AL$1,[1]CRITERIOS!$S$16:$S$39,[1]CRITERIOS!$Y$16:$Y$39))*$J406+$Z406)/$G406,0)*$G406,
((_xlfn.XLOOKUP($A406,'[1]DATOS PBI Artículos'!$A:$A,'[1]DATOS PBI Artículos'!$AO:$AO))/(_xlfn.XLOOKUP($AL$1,[1]CRITERIOS!$S$16:$S$39,[1]CRITERIOS!$Y$16:$Y$39))*$J406+$Z406)))</f>
        <v>#N/A</v>
      </c>
    </row>
    <row r="407" spans="1:37" ht="25.8" hidden="1" x14ac:dyDescent="0.4">
      <c r="A407" s="41"/>
      <c r="B407" s="33">
        <f>_xlfn.XLOOKUP($A407,'[1]DATOS PBI Artículos'!A:A,'[1]DATOS PBI Artículos'!B:B)</f>
        <v>0</v>
      </c>
      <c r="C407" s="33">
        <f>_xlfn.XLOOKUP($A407,'[1]DATOS PBI Artículos'!A:A,'[1]DATOS PBI Artículos'!C:C)</f>
        <v>0</v>
      </c>
      <c r="D407" s="33">
        <f>_xlfn.XLOOKUP(A407,'[1]DATOS PBI Artículos'!A:A,'[1]DATOS PBI Artículos'!T:T)</f>
        <v>0</v>
      </c>
      <c r="E407" s="34">
        <f>IF(_xlfn.XLOOKUP($A407,'[1]DATOS PBI Artículos'!A:A,'[1]DATOS PBI Artículos'!AK:AK)="",_xlfn.XLOOKUP($A407,'[1]DATOS PBI Artículos'!A:A,'[1]DATOS PBI Artículos'!AJ:AJ),_xlfn.XLOOKUP($A407,'[1]DATOS PBI Artículos'!A:A,'[1]DATOS PBI Artículos'!AK:AK))</f>
        <v>0</v>
      </c>
      <c r="F407" s="35">
        <f>_xlfn.XLOOKUP($A407,'[1]DATOS PBI Artículos'!A:A,'[1]DATOS PBI Artículos'!AP:AP)</f>
        <v>0</v>
      </c>
      <c r="G407" s="34">
        <f>_xlfn.XLOOKUP($A407,'[1]DATOS PBI Artículos'!A:A,'[1]DATOS PBI Artículos'!AR:AR)</f>
        <v>0</v>
      </c>
      <c r="H407" s="34">
        <f>_xlfn.XLOOKUP($A407,'[1]DATOS PBI Artículos'!A:A,'[1]DATOS PBI Artículos'!AT:AT)</f>
        <v>0</v>
      </c>
      <c r="I407" s="34">
        <f>_xlfn.XLOOKUP($A407,'[1]DATOS PBI Artículos'!A:A,'[1]DATOS PBI Artículos'!AS:AS)</f>
        <v>0</v>
      </c>
      <c r="J407" s="35">
        <f>IF(COUNTIF([1]CRITERIOS!$F$179:$F$199,$A407)&gt;=1,
 IF(O407&lt;&gt;"",
    (O407/_xlfn.XLOOKUP(CONCATENATE(A407,L407),[1]MÁQUINAS!A:A,[1]MÁQUINAS!D:D))/24,
    (N407/_xlfn.XLOOKUP(CONCATENATE(A407,L407),[1]MÁQUINAS!A:A,[1]MÁQUINAS!D:D))/24),
  _xlfn.XLOOKUP($A407,'[1]DATOS PBI Artículos'!A:A,'[1]DATOS PBI Artículos'!AU:AU))</f>
        <v>0</v>
      </c>
      <c r="K407" s="36">
        <f>_xlfn.XLOOKUP($A407,'[1]DATOS PBI Artículos'!A:A,'[1]DATOS PBI Artículos'!AV:AV)</f>
        <v>0</v>
      </c>
      <c r="L407" s="33">
        <f>_xlfn.XLOOKUP(A407,[1]MÁQUINAS!B:B,[1]MÁQUINAS!C:C)</f>
        <v>0</v>
      </c>
      <c r="M407" s="34">
        <f t="array" ref="M407">_xlfn.XLOOKUP(A407,'[1]DATOS PBI Artículos'!A:A,'[1]DATOS PBI Artículos'!AX:$AX)</f>
        <v>0</v>
      </c>
      <c r="N407" s="37" t="e">
        <f>IF(I407="DV",
E407,
IF(COUNTIF([1]CRITERIOS!$I$179:$I$199,$A407)&gt;=1,
_xlfn.XLOOKUP($A407,[1]CRITERIOS!$I$179:$I$199,[1]CRITERIOS!$J$179:$J$199),
IF(COUNTIF([1]CRITERIOS!$L$179:$L$199,$A407)&gt;=1,
_xlfn.CEILING.MATH(IF($M407&gt;$E407,
$E407,
IF($M407&lt;$E407/ROUNDDOWN([1]CRITERIOS!$M$16/_xlfn.XLOOKUP($C407,[1]CRITERIOS!$K$25:$K$42,[1]CRITERIOS!$M$25:$M$42),
1),
E407/ROUNDDOWN([1]CRITERIOS!$M$16/_xlfn.XLOOKUP($C407,[1]CRITERIOS!$K$25:$K$42,[1]CRITERIOS!$M$25:$M$42),
1),
$M407)),
_xlfn.XLOOKUP($A407,[1]CRITERIOS!$L$179:$L$200,[1]CRITERIOS!$M$179:$M$200)),
_xlfn.CEILING.MATH(IF($M407&gt;$E407,
$E407,
IF($M407&lt;$E407/ROUNDDOWN([1]CRITERIOS!$M$16/_xlfn.XLOOKUP($C407,[1]CRITERIOS!$K$25:$K$42,[1]CRITERIOS!$M$25:$M$42),
1),
E407/ROUNDDOWN([1]CRITERIOS!$M$16/_xlfn.XLOOKUP($C407,[1]CRITERIOS!$K$25:$K$42,[1]CRITERIOS!$M$25:$M$42),
1),
$M407)),_xlfn.XLOOKUP(A407,'[1]DATOS PBI Artículos'!A:A,'[1]DATOS PBI Artículos'!Z:Z
)))))</f>
        <v>#N/A</v>
      </c>
      <c r="Q407" s="38" t="e">
        <f>IF(AND(O407="",N407=0),
0,
   IF(COUNTIF([1]CRITERIOS!$F$179:$F$199,$A407)&gt;=1,
   1,
   IF(R407="MTO",
      $D407,
      ROUNDUP(
                    IF(($E407-SUMIF('[1]DATOS PBI Artículos'!A:A,A407,'[1]DATOS PBI Artículos'!X:X)+($V407-_xlfn.XLOOKUP(A407,'[1]DATOS PBI Artículos'!A:A,'[1]DATOS PBI Artículos'!W:W)))&lt;0,
                    0,
                    IF(($E407-SUMIF('[1]DATOS PBI Artículos'!A:A,A407,'[1]DATOS PBI Artículos'!X:X)+$V407-_xlfn.XLOOKUP($A407,'[1]DATOS PBI Artículos'!A:A,'[1]DATOS PBI Artículos'!W:W))/IF($O407="",$N407,$O407)&gt;ROUNDUP([1]CRITERIOS!$M$16/(IF(COUNTIF([1]CRITERIOS!$BG$11:$BG$201,L407)&gt;=1,_xlfn.XLOOKUP($C407,[1]CRITERIOS!$K$25:$K$42,[1]CRITERIOS!$M$25:$M$42),_xlfn.XLOOKUP($C407,[1]CRITERIOS!$K$25:$K$42,[1]CRITERIOS!$M$25:$M$42))),0),
                    ROUNDUP([1]CRITERIOS!$M$16/(IF(COUNTIF([1]CRITERIOS!$BG$11:$BG$201,$L407)&gt;=1,_xlfn.XLOOKUP($C407,[1]CRITERIOS!$K$25:$K$42,[1]CRITERIOS!$M$25:$M$42),_xlfn.XLOOKUP($C407,[1]CRITERIOS!$K$25:$K$42,[1]CRITERIOS!$M$25:$M$42))),0),
                    (E407+V407-SUMIF('[1]DATOS PBI Artículos'!A:A,A407,'[1]DATOS PBI Artículos'!X:X)-_xlfn.XLOOKUP(A407,'[1]DATOS PBI Artículos'!A:A,'[1]DATOS PBI Artículos'!W:W))/IF($O407="",$N407,$O407))),0))))</f>
        <v>#N/A</v>
      </c>
      <c r="R407" s="33" t="e">
        <f>IF(U407&lt;&gt;"",U407,IF(F407="DV","MTO",IF(N407=0,"MTO",_xlfn.XLOOKUP(CONCATENATE(S407,T407),[1]CRITERIOS!$K$160:$K$168,[1]CRITERIOS!$N$160:$N$168))))</f>
        <v>#N/A</v>
      </c>
      <c r="S407" s="33" t="e">
        <f>IF(G407="DV","MTO",IF(N407=0,"MTO",IF(OR(AND(N407=0,O407=""),IF(O407="",G407/N407,G407/O407)&gt;[1]CRITERIOS!$G$163),"MTO",IF(IF(O407="",G407/N407,G407/O407)&lt;[1]CRITERIOS!$H$161,"MTS","MTOS"))))</f>
        <v>#N/A</v>
      </c>
      <c r="T407" s="33" t="e">
        <f>IF(F407="DV","MTO",IF(OR(AND($N407=0,O407=""),$F407/$J407&gt;[1]CRITERIOS!$G$170,$F407="DV"),"MTO",IF($F407/$J407&lt;[1]CRITERIOS!$H$168,"MTS","MTOS")))</f>
        <v>#N/A</v>
      </c>
      <c r="V407" s="34" t="e">
        <f t="shared" si="19"/>
        <v>#N/A</v>
      </c>
      <c r="X407" s="34" t="e">
        <f t="shared" si="20"/>
        <v>#N/A</v>
      </c>
      <c r="Y407" s="34" t="e">
        <f t="shared" si="21"/>
        <v>#N/A</v>
      </c>
      <c r="Z407" s="34" t="e">
        <f>IF($R407="MTO",
0,
($H407+$K407*($E407/[1]CRITERIOS!$M$16))/[1]CRITERIOS!$X$48)</f>
        <v>#N/A</v>
      </c>
      <c r="AA407" s="34" t="e">
        <f>ROUNDUP(($Y407/_xlfn.XLOOKUP($A407,'[1]DATOS PBI Artículos'!$A$4:$A$4,'[1]DATOS PBI Artículos'!$Z$4:$Z$4))/_xlfn.XLOOKUP(_xlfn.XLOOKUP($A407,'[1]DATOS PBI Artículos'!$A$4:$A$4,'[1]DATOS PBI Artículos'!$Y$4:$Y$4),[1]CRITERIOS!$P$79:$P$123,[1]CRITERIOS!$S$79:$S$123,),0)</f>
        <v>#N/A</v>
      </c>
      <c r="AB407" s="33" t="e">
        <f t="array" ref="AB407">IF((E407+V407-_xlfn.XLOOKUP(A407,'[1]DATOS PBI Artículos'!$A$4:$A$4,'[1]DATOS PBI Artículos'!$W$4:$W$4))/N407&gt;ROUNDUP([1]CRITERIOS!$M$16/(IF(COUNTIF([1]CRITERIOS!$BG$11:$BG$201,L407)&gt;=1,_xlfn.XLOOKUP(ARTÍCULOS!L407,[1]CRITERIOS!$BG$11:$BG$201,[1]CRITERIOS!$BJ$11:$BJ$201),_xlfn.XLOOKUP(ARTÍCULOS!C407,[1]CRITERIOS!$K$25:$K$42,[1]CRITERIOS!$M$25:$M$42))),0),ROUNDUP([1]CRITERIOS!$M$16/(IF(COUNTIF([1]CRITERIOS!$BG$11:$BG$201,L407)&gt;=1,_xlfn.XLOOKUP(ARTÍCULOS!L407,[1]CRITERIOS!$BG$11:$BG$201:#REF!,[1]CRITERIOS!$BJ$11:$BJ$201),_xlfn.XLOOKUP(ARTÍCULOS!C407,[1]CRITERIOS!$K$25:$K$42,[1]CRITERIOS!$M$25:$M$42))),0),(E407+V407-_xlfn.XLOOKUP(A407,'[1]DATOS PBI Artículos'!$A$4:$A$4,'[1]DATOS PBI Artículos'!$W$4:$W$4))/N407)</f>
        <v>#N/A</v>
      </c>
      <c r="AC407" s="33" t="e">
        <f>IF(N407=0,"",(ROUNDUP((N407/2)/(_xlfn.XLOOKUP(A407,'[1]DATOS PBI Artículos'!$A$4:$A$4,'[1]DATOS PBI Artículos'!$Z$4:$Z$4)*_xlfn.XLOOKUP(_xlfn.XLOOKUP(A407,'[1]DATOS PBI Artículos'!$A$4:$A$4,'[1]DATOS PBI Artículos'!$Y$4:$Y$4),[1]CRITERIOS!$P$79:$P$123,[1]CRITERIOS!$S$79:$S$123)),0)*[1]CRITERIOS!$M$80*([1]CRITERIOS!$M$110/[1]CRITERIOS!$M$86)+(_xlfn.XLOOKUP(A407,'[1]DATOS PBI Artículos'!$A$4:$A$4,'[1]DATOS PBI Artículos'!$AA$4:$AA$4)*([1]CRITERIOS!$M$95+[1]CRITERIOS!$M$98)))/N407)</f>
        <v>#N/A</v>
      </c>
      <c r="AD407" s="33" t="e">
        <f>IF(N407=0,"",(ROUNDUP((N407/2)/(_xlfn.XLOOKUP(A407,'[1]DATOS PBI Artículos'!$A$4:$A$4,'[1]DATOS PBI Artículos'!$Z$4:$Z$4)*_xlfn.XLOOKUP(_xlfn.XLOOKUP(A407,'[1]DATOS PBI Artículos'!$A$4:$A$4,'[1]DATOS PBI Artículos'!$Y$4:$Y$4),[1]CRITERIOS!$P$79:$P$123,[1]CRITERIOS!$S$79:$S$123)),0)*[1]CRITERIOS!$M$80*([1]CRITERIOS!$M$89*[1]CRITERIOS!$M$92)+((_xlfn.XLOOKUP(A407,'[1]DATOS PBI Artículos'!$A$4:$A$4,'[1]DATOS PBI Artículos'!$AA$4:$AA$4)/2)*([1]CRITERIOS!$M$95+[1]CRITERIOS!$M$98)))/N407)</f>
        <v>#N/A</v>
      </c>
      <c r="AE407" s="39" t="e">
        <f>IF($R407="MTO","",
IF($H407=0,ROUNDUP(((_xlfn.XLOOKUP($A407,'[1]DATOS PBI Artículos'!$A:$A,'[1]DATOS PBI Artículos'!$AL:$AL))/(_xlfn.XLOOKUP($AF$1,[1]CRITERIOS!$S$16:$S$39,[1]CRITERIOS!$Y$16:$Y$39))*$J407+$Z407)/$G407,0)*$G407,
((_xlfn.XLOOKUP($A407,'[1]DATOS PBI Artículos'!$A:$A,'[1]DATOS PBI Artículos'!$AL:$AL))/(_xlfn.XLOOKUP($AF$1,[1]CRITERIOS!$S$16:$S$39,[1]CRITERIOS!$Y$16:$Y$39))*$J407+$Z407)))</f>
        <v>#N/A</v>
      </c>
      <c r="AG407" s="39" t="e">
        <f>IF($R407="MTO","",
IF($H407=0,ROUNDUP(((_xlfn.XLOOKUP($A407,'[1]DATOS PBI Artículos'!$A:$A,'[1]DATOS PBI Artículos'!$AM:$AM))/(_xlfn.XLOOKUP($AH$1,[1]CRITERIOS!$S$16:$S$39,[1]CRITERIOS!$Y$16:$Y$39))*$J407+$Z407)/$G407,0)*$G407,
((_xlfn.XLOOKUP($A407,'[1]DATOS PBI Artículos'!$A:$A,'[1]DATOS PBI Artículos'!$AM:$AM))/(_xlfn.XLOOKUP($AH$1,[1]CRITERIOS!$S$16:$S$39,[1]CRITERIOS!$Y$16:$Y$39))*$J407+$Z407)))</f>
        <v>#N/A</v>
      </c>
      <c r="AI407" s="39" t="e">
        <f>IF($R407="MTO","",
IF($H407=0,ROUNDUP(((_xlfn.XLOOKUP($A407,'[1]DATOS PBI Artículos'!$A:$A,'[1]DATOS PBI Artículos'!$AN:$AN))/(_xlfn.XLOOKUP($AJ$1,[1]CRITERIOS!$S$16:$S$39,[1]CRITERIOS!$Y$16:$Y$39))*$J407+$Z407)/$G407,0)*$G407,
((_xlfn.XLOOKUP($A407,'[1]DATOS PBI Artículos'!$A:$A,'[1]DATOS PBI Artículos'!$AN:$AN))/(_xlfn.XLOOKUP($AJ$1,[1]CRITERIOS!$S$16:$S$39,[1]CRITERIOS!$Y$16:$Y$39))*$J407+$Z407)))</f>
        <v>#N/A</v>
      </c>
      <c r="AK407" s="39" t="e">
        <f>IF($R407="MTO","",
IF($H407=0,ROUNDUP(((_xlfn.XLOOKUP($A407,'[1]DATOS PBI Artículos'!$A:$A,'[1]DATOS PBI Artículos'!$AO:$AO))/(_xlfn.XLOOKUP($AL$1,[1]CRITERIOS!$S$16:$S$39,[1]CRITERIOS!$Y$16:$Y$39))*$J407+$Z407)/$G407,0)*$G407,
((_xlfn.XLOOKUP($A407,'[1]DATOS PBI Artículos'!$A:$A,'[1]DATOS PBI Artículos'!$AO:$AO))/(_xlfn.XLOOKUP($AL$1,[1]CRITERIOS!$S$16:$S$39,[1]CRITERIOS!$Y$16:$Y$39))*$J407+$Z407)))</f>
        <v>#N/A</v>
      </c>
    </row>
    <row r="408" spans="1:37" ht="25.8" hidden="1" x14ac:dyDescent="0.4">
      <c r="A408" s="41"/>
      <c r="B408" s="33">
        <f>_xlfn.XLOOKUP($A408,'[1]DATOS PBI Artículos'!A:A,'[1]DATOS PBI Artículos'!B:B)</f>
        <v>0</v>
      </c>
      <c r="C408" s="33">
        <f>_xlfn.XLOOKUP($A408,'[1]DATOS PBI Artículos'!A:A,'[1]DATOS PBI Artículos'!C:C)</f>
        <v>0</v>
      </c>
      <c r="D408" s="33">
        <f>_xlfn.XLOOKUP(A408,'[1]DATOS PBI Artículos'!A:A,'[1]DATOS PBI Artículos'!T:T)</f>
        <v>0</v>
      </c>
      <c r="E408" s="34">
        <f>IF(_xlfn.XLOOKUP($A408,'[1]DATOS PBI Artículos'!A:A,'[1]DATOS PBI Artículos'!AK:AK)="",_xlfn.XLOOKUP($A408,'[1]DATOS PBI Artículos'!A:A,'[1]DATOS PBI Artículos'!AJ:AJ),_xlfn.XLOOKUP($A408,'[1]DATOS PBI Artículos'!A:A,'[1]DATOS PBI Artículos'!AK:AK))</f>
        <v>0</v>
      </c>
      <c r="F408" s="35">
        <f>_xlfn.XLOOKUP($A408,'[1]DATOS PBI Artículos'!A:A,'[1]DATOS PBI Artículos'!AP:AP)</f>
        <v>0</v>
      </c>
      <c r="G408" s="34">
        <f>_xlfn.XLOOKUP($A408,'[1]DATOS PBI Artículos'!A:A,'[1]DATOS PBI Artículos'!AR:AR)</f>
        <v>0</v>
      </c>
      <c r="H408" s="34">
        <f>_xlfn.XLOOKUP($A408,'[1]DATOS PBI Artículos'!A:A,'[1]DATOS PBI Artículos'!AT:AT)</f>
        <v>0</v>
      </c>
      <c r="I408" s="34">
        <f>_xlfn.XLOOKUP($A408,'[1]DATOS PBI Artículos'!A:A,'[1]DATOS PBI Artículos'!AS:AS)</f>
        <v>0</v>
      </c>
      <c r="J408" s="35">
        <f>IF(COUNTIF([1]CRITERIOS!$F$179:$F$199,$A408)&gt;=1,
 IF(O408&lt;&gt;"",
    (O408/_xlfn.XLOOKUP(CONCATENATE(A408,L408),[1]MÁQUINAS!A:A,[1]MÁQUINAS!D:D))/24,
    (N408/_xlfn.XLOOKUP(CONCATENATE(A408,L408),[1]MÁQUINAS!A:A,[1]MÁQUINAS!D:D))/24),
  _xlfn.XLOOKUP($A408,'[1]DATOS PBI Artículos'!A:A,'[1]DATOS PBI Artículos'!AU:AU))</f>
        <v>0</v>
      </c>
      <c r="K408" s="36">
        <f>_xlfn.XLOOKUP($A408,'[1]DATOS PBI Artículos'!A:A,'[1]DATOS PBI Artículos'!AV:AV)</f>
        <v>0</v>
      </c>
      <c r="L408" s="33">
        <f>_xlfn.XLOOKUP(A408,[1]MÁQUINAS!B:B,[1]MÁQUINAS!C:C)</f>
        <v>0</v>
      </c>
      <c r="M408" s="34">
        <f t="array" ref="M408">_xlfn.XLOOKUP(A408,'[1]DATOS PBI Artículos'!A:A,'[1]DATOS PBI Artículos'!AX:$AX)</f>
        <v>0</v>
      </c>
      <c r="N408" s="37" t="e">
        <f>IF(I408="DV",
E408,
IF(COUNTIF([1]CRITERIOS!$I$179:$I$199,$A408)&gt;=1,
_xlfn.XLOOKUP($A408,[1]CRITERIOS!$I$179:$I$199,[1]CRITERIOS!$J$179:$J$199),
IF(COUNTIF([1]CRITERIOS!$L$179:$L$199,$A408)&gt;=1,
_xlfn.CEILING.MATH(IF($M408&gt;$E408,
$E408,
IF($M408&lt;$E408/ROUNDDOWN([1]CRITERIOS!$M$16/_xlfn.XLOOKUP($C408,[1]CRITERIOS!$K$25:$K$42,[1]CRITERIOS!$M$25:$M$42),
1),
E408/ROUNDDOWN([1]CRITERIOS!$M$16/_xlfn.XLOOKUP($C408,[1]CRITERIOS!$K$25:$K$42,[1]CRITERIOS!$M$25:$M$42),
1),
$M408)),
_xlfn.XLOOKUP($A408,[1]CRITERIOS!$L$179:$L$200,[1]CRITERIOS!$M$179:$M$200)),
_xlfn.CEILING.MATH(IF($M408&gt;$E408,
$E408,
IF($M408&lt;$E408/ROUNDDOWN([1]CRITERIOS!$M$16/_xlfn.XLOOKUP($C408,[1]CRITERIOS!$K$25:$K$42,[1]CRITERIOS!$M$25:$M$42),
1),
E408/ROUNDDOWN([1]CRITERIOS!$M$16/_xlfn.XLOOKUP($C408,[1]CRITERIOS!$K$25:$K$42,[1]CRITERIOS!$M$25:$M$42),
1),
$M408)),_xlfn.XLOOKUP(A408,'[1]DATOS PBI Artículos'!A:A,'[1]DATOS PBI Artículos'!Z:Z
)))))</f>
        <v>#N/A</v>
      </c>
      <c r="Q408" s="38" t="e">
        <f>IF(AND(O408="",N408=0),
0,
   IF(COUNTIF([1]CRITERIOS!$F$179:$F$199,$A408)&gt;=1,
   1,
   IF(R408="MTO",
      $D408,
      ROUNDUP(
                    IF(($E408-SUMIF('[1]DATOS PBI Artículos'!A:A,A408,'[1]DATOS PBI Artículos'!X:X)+($V408-_xlfn.XLOOKUP(A408,'[1]DATOS PBI Artículos'!A:A,'[1]DATOS PBI Artículos'!W:W)))&lt;0,
                    0,
                    IF(($E408-SUMIF('[1]DATOS PBI Artículos'!A:A,A408,'[1]DATOS PBI Artículos'!X:X)+$V408-_xlfn.XLOOKUP($A408,'[1]DATOS PBI Artículos'!A:A,'[1]DATOS PBI Artículos'!W:W))/IF($O408="",$N408,$O408)&gt;ROUNDUP([1]CRITERIOS!$M$16/(IF(COUNTIF([1]CRITERIOS!$BG$11:$BG$201,L408)&gt;=1,_xlfn.XLOOKUP($C408,[1]CRITERIOS!$K$25:$K$42,[1]CRITERIOS!$M$25:$M$42),_xlfn.XLOOKUP($C408,[1]CRITERIOS!$K$25:$K$42,[1]CRITERIOS!$M$25:$M$42))),0),
                    ROUNDUP([1]CRITERIOS!$M$16/(IF(COUNTIF([1]CRITERIOS!$BG$11:$BG$201,$L408)&gt;=1,_xlfn.XLOOKUP($C408,[1]CRITERIOS!$K$25:$K$42,[1]CRITERIOS!$M$25:$M$42),_xlfn.XLOOKUP($C408,[1]CRITERIOS!$K$25:$K$42,[1]CRITERIOS!$M$25:$M$42))),0),
                    (E408+V408-SUMIF('[1]DATOS PBI Artículos'!A:A,A408,'[1]DATOS PBI Artículos'!X:X)-_xlfn.XLOOKUP(A408,'[1]DATOS PBI Artículos'!A:A,'[1]DATOS PBI Artículos'!W:W))/IF($O408="",$N408,$O408))),0))))</f>
        <v>#N/A</v>
      </c>
      <c r="R408" s="33" t="e">
        <f>IF(U408&lt;&gt;"",U408,IF(F408="DV","MTO",IF(N408=0,"MTO",_xlfn.XLOOKUP(CONCATENATE(S408,T408),[1]CRITERIOS!$K$160:$K$168,[1]CRITERIOS!$N$160:$N$168))))</f>
        <v>#N/A</v>
      </c>
      <c r="S408" s="33" t="e">
        <f>IF(G408="DV","MTO",IF(N408=0,"MTO",IF(OR(AND(N408=0,O408=""),IF(O408="",G408/N408,G408/O408)&gt;[1]CRITERIOS!$G$163),"MTO",IF(IF(O408="",G408/N408,G408/O408)&lt;[1]CRITERIOS!$H$161,"MTS","MTOS"))))</f>
        <v>#N/A</v>
      </c>
      <c r="T408" s="33" t="e">
        <f>IF(F408="DV","MTO",IF(OR(AND($N408=0,O408=""),$F408/$J408&gt;[1]CRITERIOS!$G$170,$F408="DV"),"MTO",IF($F408/$J408&lt;[1]CRITERIOS!$H$168,"MTS","MTOS")))</f>
        <v>#N/A</v>
      </c>
      <c r="V408" s="34" t="e">
        <f t="shared" si="19"/>
        <v>#N/A</v>
      </c>
      <c r="X408" s="34" t="e">
        <f t="shared" si="20"/>
        <v>#N/A</v>
      </c>
      <c r="Y408" s="34" t="e">
        <f t="shared" si="21"/>
        <v>#N/A</v>
      </c>
      <c r="Z408" s="34" t="e">
        <f>IF($R408="MTO",
0,
($H408+$K408*($E408/[1]CRITERIOS!$M$16))/[1]CRITERIOS!$X$48)</f>
        <v>#N/A</v>
      </c>
      <c r="AA408" s="34" t="e">
        <f>ROUNDUP(($Y408/_xlfn.XLOOKUP($A408,'[1]DATOS PBI Artículos'!$A$4:$A$4,'[1]DATOS PBI Artículos'!$Z$4:$Z$4))/_xlfn.XLOOKUP(_xlfn.XLOOKUP($A408,'[1]DATOS PBI Artículos'!$A$4:$A$4,'[1]DATOS PBI Artículos'!$Y$4:$Y$4),[1]CRITERIOS!$P$79:$P$123,[1]CRITERIOS!$S$79:$S$123,),0)</f>
        <v>#N/A</v>
      </c>
      <c r="AB408" s="33" t="e">
        <f t="array" ref="AB408">IF((E408+V408-_xlfn.XLOOKUP(A408,'[1]DATOS PBI Artículos'!$A$4:$A$4,'[1]DATOS PBI Artículos'!$W$4:$W$4))/N408&gt;ROUNDUP([1]CRITERIOS!$M$16/(IF(COUNTIF([1]CRITERIOS!$BG$11:$BG$201,L408)&gt;=1,_xlfn.XLOOKUP(ARTÍCULOS!L408,[1]CRITERIOS!$BG$11:$BG$201,[1]CRITERIOS!$BJ$11:$BJ$201),_xlfn.XLOOKUP(ARTÍCULOS!C408,[1]CRITERIOS!$K$25:$K$42,[1]CRITERIOS!$M$25:$M$42))),0),ROUNDUP([1]CRITERIOS!$M$16/(IF(COUNTIF([1]CRITERIOS!$BG$11:$BG$201,L408)&gt;=1,_xlfn.XLOOKUP(ARTÍCULOS!L408,[1]CRITERIOS!$BG$11:$BG$201:#REF!,[1]CRITERIOS!$BJ$11:$BJ$201),_xlfn.XLOOKUP(ARTÍCULOS!C408,[1]CRITERIOS!$K$25:$K$42,[1]CRITERIOS!$M$25:$M$42))),0),(E408+V408-_xlfn.XLOOKUP(A408,'[1]DATOS PBI Artículos'!$A$4:$A$4,'[1]DATOS PBI Artículos'!$W$4:$W$4))/N408)</f>
        <v>#N/A</v>
      </c>
      <c r="AC408" s="33" t="e">
        <f>IF(N408=0,"",(ROUNDUP((N408/2)/(_xlfn.XLOOKUP(A408,'[1]DATOS PBI Artículos'!$A$4:$A$4,'[1]DATOS PBI Artículos'!$Z$4:$Z$4)*_xlfn.XLOOKUP(_xlfn.XLOOKUP(A408,'[1]DATOS PBI Artículos'!$A$4:$A$4,'[1]DATOS PBI Artículos'!$Y$4:$Y$4),[1]CRITERIOS!$P$79:$P$123,[1]CRITERIOS!$S$79:$S$123)),0)*[1]CRITERIOS!$M$80*([1]CRITERIOS!$M$110/[1]CRITERIOS!$M$86)+(_xlfn.XLOOKUP(A408,'[1]DATOS PBI Artículos'!$A$4:$A$4,'[1]DATOS PBI Artículos'!$AA$4:$AA$4)*([1]CRITERIOS!$M$95+[1]CRITERIOS!$M$98)))/N408)</f>
        <v>#N/A</v>
      </c>
      <c r="AD408" s="33" t="e">
        <f>IF(N408=0,"",(ROUNDUP((N408/2)/(_xlfn.XLOOKUP(A408,'[1]DATOS PBI Artículos'!$A$4:$A$4,'[1]DATOS PBI Artículos'!$Z$4:$Z$4)*_xlfn.XLOOKUP(_xlfn.XLOOKUP(A408,'[1]DATOS PBI Artículos'!$A$4:$A$4,'[1]DATOS PBI Artículos'!$Y$4:$Y$4),[1]CRITERIOS!$P$79:$P$123,[1]CRITERIOS!$S$79:$S$123)),0)*[1]CRITERIOS!$M$80*([1]CRITERIOS!$M$89*[1]CRITERIOS!$M$92)+((_xlfn.XLOOKUP(A408,'[1]DATOS PBI Artículos'!$A$4:$A$4,'[1]DATOS PBI Artículos'!$AA$4:$AA$4)/2)*([1]CRITERIOS!$M$95+[1]CRITERIOS!$M$98)))/N408)</f>
        <v>#N/A</v>
      </c>
      <c r="AE408" s="39" t="e">
        <f>IF($R408="MTO","",
IF($H408=0,ROUNDUP(((_xlfn.XLOOKUP($A408,'[1]DATOS PBI Artículos'!$A:$A,'[1]DATOS PBI Artículos'!$AL:$AL))/(_xlfn.XLOOKUP($AF$1,[1]CRITERIOS!$S$16:$S$39,[1]CRITERIOS!$Y$16:$Y$39))*$J408+$Z408)/$G408,0)*$G408,
((_xlfn.XLOOKUP($A408,'[1]DATOS PBI Artículos'!$A:$A,'[1]DATOS PBI Artículos'!$AL:$AL))/(_xlfn.XLOOKUP($AF$1,[1]CRITERIOS!$S$16:$S$39,[1]CRITERIOS!$Y$16:$Y$39))*$J408+$Z408)))</f>
        <v>#N/A</v>
      </c>
      <c r="AG408" s="39" t="e">
        <f>IF($R408="MTO","",
IF($H408=0,ROUNDUP(((_xlfn.XLOOKUP($A408,'[1]DATOS PBI Artículos'!$A:$A,'[1]DATOS PBI Artículos'!$AM:$AM))/(_xlfn.XLOOKUP($AH$1,[1]CRITERIOS!$S$16:$S$39,[1]CRITERIOS!$Y$16:$Y$39))*$J408+$Z408)/$G408,0)*$G408,
((_xlfn.XLOOKUP($A408,'[1]DATOS PBI Artículos'!$A:$A,'[1]DATOS PBI Artículos'!$AM:$AM))/(_xlfn.XLOOKUP($AH$1,[1]CRITERIOS!$S$16:$S$39,[1]CRITERIOS!$Y$16:$Y$39))*$J408+$Z408)))</f>
        <v>#N/A</v>
      </c>
      <c r="AI408" s="39" t="e">
        <f>IF($R408="MTO","",
IF($H408=0,ROUNDUP(((_xlfn.XLOOKUP($A408,'[1]DATOS PBI Artículos'!$A:$A,'[1]DATOS PBI Artículos'!$AN:$AN))/(_xlfn.XLOOKUP($AJ$1,[1]CRITERIOS!$S$16:$S$39,[1]CRITERIOS!$Y$16:$Y$39))*$J408+$Z408)/$G408,0)*$G408,
((_xlfn.XLOOKUP($A408,'[1]DATOS PBI Artículos'!$A:$A,'[1]DATOS PBI Artículos'!$AN:$AN))/(_xlfn.XLOOKUP($AJ$1,[1]CRITERIOS!$S$16:$S$39,[1]CRITERIOS!$Y$16:$Y$39))*$J408+$Z408)))</f>
        <v>#N/A</v>
      </c>
      <c r="AK408" s="39" t="e">
        <f>IF($R408="MTO","",
IF($H408=0,ROUNDUP(((_xlfn.XLOOKUP($A408,'[1]DATOS PBI Artículos'!$A:$A,'[1]DATOS PBI Artículos'!$AO:$AO))/(_xlfn.XLOOKUP($AL$1,[1]CRITERIOS!$S$16:$S$39,[1]CRITERIOS!$Y$16:$Y$39))*$J408+$Z408)/$G408,0)*$G408,
((_xlfn.XLOOKUP($A408,'[1]DATOS PBI Artículos'!$A:$A,'[1]DATOS PBI Artículos'!$AO:$AO))/(_xlfn.XLOOKUP($AL$1,[1]CRITERIOS!$S$16:$S$39,[1]CRITERIOS!$Y$16:$Y$39))*$J408+$Z408)))</f>
        <v>#N/A</v>
      </c>
    </row>
    <row r="409" spans="1:37" ht="25.8" hidden="1" x14ac:dyDescent="0.4">
      <c r="A409" s="41"/>
      <c r="B409" s="33">
        <f>_xlfn.XLOOKUP($A409,'[1]DATOS PBI Artículos'!A:A,'[1]DATOS PBI Artículos'!B:B)</f>
        <v>0</v>
      </c>
      <c r="C409" s="33">
        <f>_xlfn.XLOOKUP($A409,'[1]DATOS PBI Artículos'!A:A,'[1]DATOS PBI Artículos'!C:C)</f>
        <v>0</v>
      </c>
      <c r="D409" s="33">
        <f>_xlfn.XLOOKUP(A409,'[1]DATOS PBI Artículos'!A:A,'[1]DATOS PBI Artículos'!T:T)</f>
        <v>0</v>
      </c>
      <c r="E409" s="34">
        <f>IF(_xlfn.XLOOKUP($A409,'[1]DATOS PBI Artículos'!A:A,'[1]DATOS PBI Artículos'!AK:AK)="",_xlfn.XLOOKUP($A409,'[1]DATOS PBI Artículos'!A:A,'[1]DATOS PBI Artículos'!AJ:AJ),_xlfn.XLOOKUP($A409,'[1]DATOS PBI Artículos'!A:A,'[1]DATOS PBI Artículos'!AK:AK))</f>
        <v>0</v>
      </c>
      <c r="F409" s="35">
        <f>_xlfn.XLOOKUP($A409,'[1]DATOS PBI Artículos'!A:A,'[1]DATOS PBI Artículos'!AP:AP)</f>
        <v>0</v>
      </c>
      <c r="G409" s="34">
        <f>_xlfn.XLOOKUP($A409,'[1]DATOS PBI Artículos'!A:A,'[1]DATOS PBI Artículos'!AR:AR)</f>
        <v>0</v>
      </c>
      <c r="H409" s="34">
        <f>_xlfn.XLOOKUP($A409,'[1]DATOS PBI Artículos'!A:A,'[1]DATOS PBI Artículos'!AT:AT)</f>
        <v>0</v>
      </c>
      <c r="I409" s="34">
        <f>_xlfn.XLOOKUP($A409,'[1]DATOS PBI Artículos'!A:A,'[1]DATOS PBI Artículos'!AS:AS)</f>
        <v>0</v>
      </c>
      <c r="J409" s="35">
        <f>IF(COUNTIF([1]CRITERIOS!$F$179:$F$199,$A409)&gt;=1,
 IF(O409&lt;&gt;"",
    (O409/_xlfn.XLOOKUP(CONCATENATE(A409,L409),[1]MÁQUINAS!A:A,[1]MÁQUINAS!D:D))/24,
    (N409/_xlfn.XLOOKUP(CONCATENATE(A409,L409),[1]MÁQUINAS!A:A,[1]MÁQUINAS!D:D))/24),
  _xlfn.XLOOKUP($A409,'[1]DATOS PBI Artículos'!A:A,'[1]DATOS PBI Artículos'!AU:AU))</f>
        <v>0</v>
      </c>
      <c r="K409" s="36">
        <f>_xlfn.XLOOKUP($A409,'[1]DATOS PBI Artículos'!A:A,'[1]DATOS PBI Artículos'!AV:AV)</f>
        <v>0</v>
      </c>
      <c r="L409" s="33">
        <f>_xlfn.XLOOKUP(A409,[1]MÁQUINAS!B:B,[1]MÁQUINAS!C:C)</f>
        <v>0</v>
      </c>
      <c r="M409" s="34">
        <f t="array" ref="M409">_xlfn.XLOOKUP(A409,'[1]DATOS PBI Artículos'!A:A,'[1]DATOS PBI Artículos'!AX:$AX)</f>
        <v>0</v>
      </c>
      <c r="N409" s="37" t="e">
        <f>IF(I409="DV",
E409,
IF(COUNTIF([1]CRITERIOS!$I$179:$I$199,$A409)&gt;=1,
_xlfn.XLOOKUP($A409,[1]CRITERIOS!$I$179:$I$199,[1]CRITERIOS!$J$179:$J$199),
IF(COUNTIF([1]CRITERIOS!$L$179:$L$199,$A409)&gt;=1,
_xlfn.CEILING.MATH(IF($M409&gt;$E409,
$E409,
IF($M409&lt;$E409/ROUNDDOWN([1]CRITERIOS!$M$16/_xlfn.XLOOKUP($C409,[1]CRITERIOS!$K$25:$K$42,[1]CRITERIOS!$M$25:$M$42),
1),
E409/ROUNDDOWN([1]CRITERIOS!$M$16/_xlfn.XLOOKUP($C409,[1]CRITERIOS!$K$25:$K$42,[1]CRITERIOS!$M$25:$M$42),
1),
$M409)),
_xlfn.XLOOKUP($A409,[1]CRITERIOS!$L$179:$L$200,[1]CRITERIOS!$M$179:$M$200)),
_xlfn.CEILING.MATH(IF($M409&gt;$E409,
$E409,
IF($M409&lt;$E409/ROUNDDOWN([1]CRITERIOS!$M$16/_xlfn.XLOOKUP($C409,[1]CRITERIOS!$K$25:$K$42,[1]CRITERIOS!$M$25:$M$42),
1),
E409/ROUNDDOWN([1]CRITERIOS!$M$16/_xlfn.XLOOKUP($C409,[1]CRITERIOS!$K$25:$K$42,[1]CRITERIOS!$M$25:$M$42),
1),
$M409)),_xlfn.XLOOKUP(A409,'[1]DATOS PBI Artículos'!A:A,'[1]DATOS PBI Artículos'!Z:Z
)))))</f>
        <v>#N/A</v>
      </c>
      <c r="Q409" s="38" t="e">
        <f>IF(AND(O409="",N409=0),
0,
   IF(COUNTIF([1]CRITERIOS!$F$179:$F$199,$A409)&gt;=1,
   1,
   IF(R409="MTO",
      $D409,
      ROUNDUP(
                    IF(($E409-SUMIF('[1]DATOS PBI Artículos'!A:A,A409,'[1]DATOS PBI Artículos'!X:X)+($V409-_xlfn.XLOOKUP(A409,'[1]DATOS PBI Artículos'!A:A,'[1]DATOS PBI Artículos'!W:W)))&lt;0,
                    0,
                    IF(($E409-SUMIF('[1]DATOS PBI Artículos'!A:A,A409,'[1]DATOS PBI Artículos'!X:X)+$V409-_xlfn.XLOOKUP($A409,'[1]DATOS PBI Artículos'!A:A,'[1]DATOS PBI Artículos'!W:W))/IF($O409="",$N409,$O409)&gt;ROUNDUP([1]CRITERIOS!$M$16/(IF(COUNTIF([1]CRITERIOS!$BG$11:$BG$201,L409)&gt;=1,_xlfn.XLOOKUP($C409,[1]CRITERIOS!$K$25:$K$42,[1]CRITERIOS!$M$25:$M$42),_xlfn.XLOOKUP($C409,[1]CRITERIOS!$K$25:$K$42,[1]CRITERIOS!$M$25:$M$42))),0),
                    ROUNDUP([1]CRITERIOS!$M$16/(IF(COUNTIF([1]CRITERIOS!$BG$11:$BG$201,$L409)&gt;=1,_xlfn.XLOOKUP($C409,[1]CRITERIOS!$K$25:$K$42,[1]CRITERIOS!$M$25:$M$42),_xlfn.XLOOKUP($C409,[1]CRITERIOS!$K$25:$K$42,[1]CRITERIOS!$M$25:$M$42))),0),
                    (E409+V409-SUMIF('[1]DATOS PBI Artículos'!A:A,A409,'[1]DATOS PBI Artículos'!X:X)-_xlfn.XLOOKUP(A409,'[1]DATOS PBI Artículos'!A:A,'[1]DATOS PBI Artículos'!W:W))/IF($O409="",$N409,$O409))),0))))</f>
        <v>#N/A</v>
      </c>
      <c r="R409" s="33" t="e">
        <f>IF(U409&lt;&gt;"",U409,IF(F409="DV","MTO",IF(N409=0,"MTO",_xlfn.XLOOKUP(CONCATENATE(S409,T409),[1]CRITERIOS!$K$160:$K$168,[1]CRITERIOS!$N$160:$N$168))))</f>
        <v>#N/A</v>
      </c>
      <c r="S409" s="33" t="e">
        <f>IF(G409="DV","MTO",IF(N409=0,"MTO",IF(OR(AND(N409=0,O409=""),IF(O409="",G409/N409,G409/O409)&gt;[1]CRITERIOS!$G$163),"MTO",IF(IF(O409="",G409/N409,G409/O409)&lt;[1]CRITERIOS!$H$161,"MTS","MTOS"))))</f>
        <v>#N/A</v>
      </c>
      <c r="T409" s="33" t="e">
        <f>IF(F409="DV","MTO",IF(OR(AND($N409=0,O409=""),$F409/$J409&gt;[1]CRITERIOS!$G$170,$F409="DV"),"MTO",IF($F409/$J409&lt;[1]CRITERIOS!$H$168,"MTS","MTOS")))</f>
        <v>#N/A</v>
      </c>
      <c r="V409" s="34" t="e">
        <f t="shared" ref="V409:V472" si="22">IF(R409="MTO","",
IF($H409=0,(((($J409/$F409)*$G409)+$Z409)/$G409)*$G409,
(($J409/$F409)*$G409)+$Z409))</f>
        <v>#N/A</v>
      </c>
      <c r="X409" s="34" t="e">
        <f t="shared" si="20"/>
        <v>#N/A</v>
      </c>
      <c r="Y409" s="34" t="e">
        <f t="shared" si="21"/>
        <v>#N/A</v>
      </c>
      <c r="Z409" s="34" t="e">
        <f>IF($R409="MTO",
0,
($H409+$K409*($E409/[1]CRITERIOS!$M$16))/[1]CRITERIOS!$X$48)</f>
        <v>#N/A</v>
      </c>
      <c r="AA409" s="34" t="e">
        <f>ROUNDUP(($Y409/_xlfn.XLOOKUP($A409,'[1]DATOS PBI Artículos'!$A$4:$A$4,'[1]DATOS PBI Artículos'!$Z$4:$Z$4))/_xlfn.XLOOKUP(_xlfn.XLOOKUP($A409,'[1]DATOS PBI Artículos'!$A$4:$A$4,'[1]DATOS PBI Artículos'!$Y$4:$Y$4),[1]CRITERIOS!$P$79:$P$123,[1]CRITERIOS!$S$79:$S$123,),0)</f>
        <v>#N/A</v>
      </c>
      <c r="AB409" s="33" t="e">
        <f t="array" ref="AB409">IF((E409+V409-_xlfn.XLOOKUP(A409,'[1]DATOS PBI Artículos'!$A$4:$A$4,'[1]DATOS PBI Artículos'!$W$4:$W$4))/N409&gt;ROUNDUP([1]CRITERIOS!$M$16/(IF(COUNTIF([1]CRITERIOS!$BG$11:$BG$201,L409)&gt;=1,_xlfn.XLOOKUP(ARTÍCULOS!L409,[1]CRITERIOS!$BG$11:$BG$201,[1]CRITERIOS!$BJ$11:$BJ$201),_xlfn.XLOOKUP(ARTÍCULOS!C409,[1]CRITERIOS!$K$25:$K$42,[1]CRITERIOS!$M$25:$M$42))),0),ROUNDUP([1]CRITERIOS!$M$16/(IF(COUNTIF([1]CRITERIOS!$BG$11:$BG$201,L409)&gt;=1,_xlfn.XLOOKUP(ARTÍCULOS!L409,[1]CRITERIOS!$BG$11:$BG$201:#REF!,[1]CRITERIOS!$BJ$11:$BJ$201),_xlfn.XLOOKUP(ARTÍCULOS!C409,[1]CRITERIOS!$K$25:$K$42,[1]CRITERIOS!$M$25:$M$42))),0),(E409+V409-_xlfn.XLOOKUP(A409,'[1]DATOS PBI Artículos'!$A$4:$A$4,'[1]DATOS PBI Artículos'!$W$4:$W$4))/N409)</f>
        <v>#N/A</v>
      </c>
      <c r="AC409" s="33" t="e">
        <f>IF(N409=0,"",(ROUNDUP((N409/2)/(_xlfn.XLOOKUP(A409,'[1]DATOS PBI Artículos'!$A$4:$A$4,'[1]DATOS PBI Artículos'!$Z$4:$Z$4)*_xlfn.XLOOKUP(_xlfn.XLOOKUP(A409,'[1]DATOS PBI Artículos'!$A$4:$A$4,'[1]DATOS PBI Artículos'!$Y$4:$Y$4),[1]CRITERIOS!$P$79:$P$123,[1]CRITERIOS!$S$79:$S$123)),0)*[1]CRITERIOS!$M$80*([1]CRITERIOS!$M$110/[1]CRITERIOS!$M$86)+(_xlfn.XLOOKUP(A409,'[1]DATOS PBI Artículos'!$A$4:$A$4,'[1]DATOS PBI Artículos'!$AA$4:$AA$4)*([1]CRITERIOS!$M$95+[1]CRITERIOS!$M$98)))/N409)</f>
        <v>#N/A</v>
      </c>
      <c r="AD409" s="33" t="e">
        <f>IF(N409=0,"",(ROUNDUP((N409/2)/(_xlfn.XLOOKUP(A409,'[1]DATOS PBI Artículos'!$A$4:$A$4,'[1]DATOS PBI Artículos'!$Z$4:$Z$4)*_xlfn.XLOOKUP(_xlfn.XLOOKUP(A409,'[1]DATOS PBI Artículos'!$A$4:$A$4,'[1]DATOS PBI Artículos'!$Y$4:$Y$4),[1]CRITERIOS!$P$79:$P$123,[1]CRITERIOS!$S$79:$S$123)),0)*[1]CRITERIOS!$M$80*([1]CRITERIOS!$M$89*[1]CRITERIOS!$M$92)+((_xlfn.XLOOKUP(A409,'[1]DATOS PBI Artículos'!$A$4:$A$4,'[1]DATOS PBI Artículos'!$AA$4:$AA$4)/2)*([1]CRITERIOS!$M$95+[1]CRITERIOS!$M$98)))/N409)</f>
        <v>#N/A</v>
      </c>
      <c r="AE409" s="39" t="e">
        <f>IF($R409="MTO","",
IF($H409=0,ROUNDUP(((_xlfn.XLOOKUP($A409,'[1]DATOS PBI Artículos'!$A:$A,'[1]DATOS PBI Artículos'!$AL:$AL))/(_xlfn.XLOOKUP($AF$1,[1]CRITERIOS!$S$16:$S$39,[1]CRITERIOS!$Y$16:$Y$39))*$J409+$Z409)/$G409,0)*$G409,
((_xlfn.XLOOKUP($A409,'[1]DATOS PBI Artículos'!$A:$A,'[1]DATOS PBI Artículos'!$AL:$AL))/(_xlfn.XLOOKUP($AF$1,[1]CRITERIOS!$S$16:$S$39,[1]CRITERIOS!$Y$16:$Y$39))*$J409+$Z409)))</f>
        <v>#N/A</v>
      </c>
      <c r="AG409" s="39" t="e">
        <f>IF($R409="MTO","",
IF($H409=0,ROUNDUP(((_xlfn.XLOOKUP($A409,'[1]DATOS PBI Artículos'!$A:$A,'[1]DATOS PBI Artículos'!$AM:$AM))/(_xlfn.XLOOKUP($AH$1,[1]CRITERIOS!$S$16:$S$39,[1]CRITERIOS!$Y$16:$Y$39))*$J409+$Z409)/$G409,0)*$G409,
((_xlfn.XLOOKUP($A409,'[1]DATOS PBI Artículos'!$A:$A,'[1]DATOS PBI Artículos'!$AM:$AM))/(_xlfn.XLOOKUP($AH$1,[1]CRITERIOS!$S$16:$S$39,[1]CRITERIOS!$Y$16:$Y$39))*$J409+$Z409)))</f>
        <v>#N/A</v>
      </c>
      <c r="AI409" s="39" t="e">
        <f>IF($R409="MTO","",
IF($H409=0,ROUNDUP(((_xlfn.XLOOKUP($A409,'[1]DATOS PBI Artículos'!$A:$A,'[1]DATOS PBI Artículos'!$AN:$AN))/(_xlfn.XLOOKUP($AJ$1,[1]CRITERIOS!$S$16:$S$39,[1]CRITERIOS!$Y$16:$Y$39))*$J409+$Z409)/$G409,0)*$G409,
((_xlfn.XLOOKUP($A409,'[1]DATOS PBI Artículos'!$A:$A,'[1]DATOS PBI Artículos'!$AN:$AN))/(_xlfn.XLOOKUP($AJ$1,[1]CRITERIOS!$S$16:$S$39,[1]CRITERIOS!$Y$16:$Y$39))*$J409+$Z409)))</f>
        <v>#N/A</v>
      </c>
      <c r="AK409" s="39" t="e">
        <f>IF($R409="MTO","",
IF($H409=0,ROUNDUP(((_xlfn.XLOOKUP($A409,'[1]DATOS PBI Artículos'!$A:$A,'[1]DATOS PBI Artículos'!$AO:$AO))/(_xlfn.XLOOKUP($AL$1,[1]CRITERIOS!$S$16:$S$39,[1]CRITERIOS!$Y$16:$Y$39))*$J409+$Z409)/$G409,0)*$G409,
((_xlfn.XLOOKUP($A409,'[1]DATOS PBI Artículos'!$A:$A,'[1]DATOS PBI Artículos'!$AO:$AO))/(_xlfn.XLOOKUP($AL$1,[1]CRITERIOS!$S$16:$S$39,[1]CRITERIOS!$Y$16:$Y$39))*$J409+$Z409)))</f>
        <v>#N/A</v>
      </c>
    </row>
    <row r="410" spans="1:37" ht="25.8" hidden="1" x14ac:dyDescent="0.4">
      <c r="A410" s="41"/>
      <c r="B410" s="33">
        <f>_xlfn.XLOOKUP($A410,'[1]DATOS PBI Artículos'!A:A,'[1]DATOS PBI Artículos'!B:B)</f>
        <v>0</v>
      </c>
      <c r="C410" s="33">
        <f>_xlfn.XLOOKUP($A410,'[1]DATOS PBI Artículos'!A:A,'[1]DATOS PBI Artículos'!C:C)</f>
        <v>0</v>
      </c>
      <c r="D410" s="33">
        <f>_xlfn.XLOOKUP(A410,'[1]DATOS PBI Artículos'!A:A,'[1]DATOS PBI Artículos'!T:T)</f>
        <v>0</v>
      </c>
      <c r="E410" s="34">
        <f>IF(_xlfn.XLOOKUP($A410,'[1]DATOS PBI Artículos'!A:A,'[1]DATOS PBI Artículos'!AK:AK)="",_xlfn.XLOOKUP($A410,'[1]DATOS PBI Artículos'!A:A,'[1]DATOS PBI Artículos'!AJ:AJ),_xlfn.XLOOKUP($A410,'[1]DATOS PBI Artículos'!A:A,'[1]DATOS PBI Artículos'!AK:AK))</f>
        <v>0</v>
      </c>
      <c r="F410" s="35">
        <f>_xlfn.XLOOKUP($A410,'[1]DATOS PBI Artículos'!A:A,'[1]DATOS PBI Artículos'!AP:AP)</f>
        <v>0</v>
      </c>
      <c r="G410" s="34">
        <f>_xlfn.XLOOKUP($A410,'[1]DATOS PBI Artículos'!A:A,'[1]DATOS PBI Artículos'!AR:AR)</f>
        <v>0</v>
      </c>
      <c r="H410" s="34">
        <f>_xlfn.XLOOKUP($A410,'[1]DATOS PBI Artículos'!A:A,'[1]DATOS PBI Artículos'!AT:AT)</f>
        <v>0</v>
      </c>
      <c r="I410" s="34">
        <f>_xlfn.XLOOKUP($A410,'[1]DATOS PBI Artículos'!A:A,'[1]DATOS PBI Artículos'!AS:AS)</f>
        <v>0</v>
      </c>
      <c r="J410" s="35">
        <f>IF(COUNTIF([1]CRITERIOS!$F$179:$F$199,$A410)&gt;=1,
 IF(O410&lt;&gt;"",
    (O410/_xlfn.XLOOKUP(CONCATENATE(A410,L410),[1]MÁQUINAS!A:A,[1]MÁQUINAS!D:D))/24,
    (N410/_xlfn.XLOOKUP(CONCATENATE(A410,L410),[1]MÁQUINAS!A:A,[1]MÁQUINAS!D:D))/24),
  _xlfn.XLOOKUP($A410,'[1]DATOS PBI Artículos'!A:A,'[1]DATOS PBI Artículos'!AU:AU))</f>
        <v>0</v>
      </c>
      <c r="K410" s="36">
        <f>_xlfn.XLOOKUP($A410,'[1]DATOS PBI Artículos'!A:A,'[1]DATOS PBI Artículos'!AV:AV)</f>
        <v>0</v>
      </c>
      <c r="L410" s="33">
        <f>_xlfn.XLOOKUP(A410,[1]MÁQUINAS!B:B,[1]MÁQUINAS!C:C)</f>
        <v>0</v>
      </c>
      <c r="M410" s="34">
        <f t="array" ref="M410">_xlfn.XLOOKUP(A410,'[1]DATOS PBI Artículos'!A:A,'[1]DATOS PBI Artículos'!AX:$AX)</f>
        <v>0</v>
      </c>
      <c r="N410" s="37" t="e">
        <f>IF(I410="DV",
E410,
IF(COUNTIF([1]CRITERIOS!$I$179:$I$199,$A410)&gt;=1,
_xlfn.XLOOKUP($A410,[1]CRITERIOS!$I$179:$I$199,[1]CRITERIOS!$J$179:$J$199),
IF(COUNTIF([1]CRITERIOS!$L$179:$L$199,$A410)&gt;=1,
_xlfn.CEILING.MATH(IF($M410&gt;$E410,
$E410,
IF($M410&lt;$E410/ROUNDDOWN([1]CRITERIOS!$M$16/_xlfn.XLOOKUP($C410,[1]CRITERIOS!$K$25:$K$42,[1]CRITERIOS!$M$25:$M$42),
1),
E410/ROUNDDOWN([1]CRITERIOS!$M$16/_xlfn.XLOOKUP($C410,[1]CRITERIOS!$K$25:$K$42,[1]CRITERIOS!$M$25:$M$42),
1),
$M410)),
_xlfn.XLOOKUP($A410,[1]CRITERIOS!$L$179:$L$200,[1]CRITERIOS!$M$179:$M$200)),
_xlfn.CEILING.MATH(IF($M410&gt;$E410,
$E410,
IF($M410&lt;$E410/ROUNDDOWN([1]CRITERIOS!$M$16/_xlfn.XLOOKUP($C410,[1]CRITERIOS!$K$25:$K$42,[1]CRITERIOS!$M$25:$M$42),
1),
E410/ROUNDDOWN([1]CRITERIOS!$M$16/_xlfn.XLOOKUP($C410,[1]CRITERIOS!$K$25:$K$42,[1]CRITERIOS!$M$25:$M$42),
1),
$M410)),_xlfn.XLOOKUP(A410,'[1]DATOS PBI Artículos'!A:A,'[1]DATOS PBI Artículos'!Z:Z
)))))</f>
        <v>#N/A</v>
      </c>
      <c r="Q410" s="38" t="e">
        <f>IF(AND(O410="",N410=0),
0,
   IF(COUNTIF([1]CRITERIOS!$F$179:$F$199,$A410)&gt;=1,
   1,
   IF(R410="MTO",
      $D410,
      ROUNDUP(
                    IF(($E410-SUMIF('[1]DATOS PBI Artículos'!A:A,A410,'[1]DATOS PBI Artículos'!X:X)+($V410-_xlfn.XLOOKUP(A410,'[1]DATOS PBI Artículos'!A:A,'[1]DATOS PBI Artículos'!W:W)))&lt;0,
                    0,
                    IF(($E410-SUMIF('[1]DATOS PBI Artículos'!A:A,A410,'[1]DATOS PBI Artículos'!X:X)+$V410-_xlfn.XLOOKUP($A410,'[1]DATOS PBI Artículos'!A:A,'[1]DATOS PBI Artículos'!W:W))/IF($O410="",$N410,$O410)&gt;ROUNDUP([1]CRITERIOS!$M$16/(IF(COUNTIF([1]CRITERIOS!$BG$11:$BG$201,L410)&gt;=1,_xlfn.XLOOKUP($C410,[1]CRITERIOS!$K$25:$K$42,[1]CRITERIOS!$M$25:$M$42),_xlfn.XLOOKUP($C410,[1]CRITERIOS!$K$25:$K$42,[1]CRITERIOS!$M$25:$M$42))),0),
                    ROUNDUP([1]CRITERIOS!$M$16/(IF(COUNTIF([1]CRITERIOS!$BG$11:$BG$201,$L410)&gt;=1,_xlfn.XLOOKUP($C410,[1]CRITERIOS!$K$25:$K$42,[1]CRITERIOS!$M$25:$M$42),_xlfn.XLOOKUP($C410,[1]CRITERIOS!$K$25:$K$42,[1]CRITERIOS!$M$25:$M$42))),0),
                    (E410+V410-SUMIF('[1]DATOS PBI Artículos'!A:A,A410,'[1]DATOS PBI Artículos'!X:X)-_xlfn.XLOOKUP(A410,'[1]DATOS PBI Artículos'!A:A,'[1]DATOS PBI Artículos'!W:W))/IF($O410="",$N410,$O410))),0))))</f>
        <v>#N/A</v>
      </c>
      <c r="R410" s="33" t="e">
        <f>IF(U410&lt;&gt;"",U410,IF(F410="DV","MTO",IF(N410=0,"MTO",_xlfn.XLOOKUP(CONCATENATE(S410,T410),[1]CRITERIOS!$K$160:$K$168,[1]CRITERIOS!$N$160:$N$168))))</f>
        <v>#N/A</v>
      </c>
      <c r="S410" s="33" t="e">
        <f>IF(G410="DV","MTO",IF(N410=0,"MTO",IF(OR(AND(N410=0,O410=""),IF(O410="",G410/N410,G410/O410)&gt;[1]CRITERIOS!$G$163),"MTO",IF(IF(O410="",G410/N410,G410/O410)&lt;[1]CRITERIOS!$H$161,"MTS","MTOS"))))</f>
        <v>#N/A</v>
      </c>
      <c r="T410" s="33" t="e">
        <f>IF(F410="DV","MTO",IF(OR(AND($N410=0,O410=""),$F410/$J410&gt;[1]CRITERIOS!$G$170,$F410="DV"),"MTO",IF($F410/$J410&lt;[1]CRITERIOS!$H$168,"MTS","MTOS")))</f>
        <v>#N/A</v>
      </c>
      <c r="V410" s="34" t="e">
        <f t="shared" si="22"/>
        <v>#N/A</v>
      </c>
      <c r="X410" s="34" t="e">
        <f t="shared" si="20"/>
        <v>#N/A</v>
      </c>
      <c r="Y410" s="34" t="e">
        <f t="shared" si="21"/>
        <v>#N/A</v>
      </c>
      <c r="Z410" s="34" t="e">
        <f>IF($R410="MTO",
0,
($H410+$K410*($E410/[1]CRITERIOS!$M$16))/[1]CRITERIOS!$X$48)</f>
        <v>#N/A</v>
      </c>
      <c r="AA410" s="34" t="e">
        <f>ROUNDUP(($Y410/_xlfn.XLOOKUP($A410,'[1]DATOS PBI Artículos'!$A$4:$A$4,'[1]DATOS PBI Artículos'!$Z$4:$Z$4))/_xlfn.XLOOKUP(_xlfn.XLOOKUP($A410,'[1]DATOS PBI Artículos'!$A$4:$A$4,'[1]DATOS PBI Artículos'!$Y$4:$Y$4),[1]CRITERIOS!$P$79:$P$123,[1]CRITERIOS!$S$79:$S$123,),0)</f>
        <v>#N/A</v>
      </c>
      <c r="AB410" s="33" t="e">
        <f t="array" ref="AB410">IF((E410+V410-_xlfn.XLOOKUP(A410,'[1]DATOS PBI Artículos'!$A$4:$A$4,'[1]DATOS PBI Artículos'!$W$4:$W$4))/N410&gt;ROUNDUP([1]CRITERIOS!$M$16/(IF(COUNTIF([1]CRITERIOS!$BG$11:$BG$201,L410)&gt;=1,_xlfn.XLOOKUP(ARTÍCULOS!L410,[1]CRITERIOS!$BG$11:$BG$201,[1]CRITERIOS!$BJ$11:$BJ$201),_xlfn.XLOOKUP(ARTÍCULOS!C410,[1]CRITERIOS!$K$25:$K$42,[1]CRITERIOS!$M$25:$M$42))),0),ROUNDUP([1]CRITERIOS!$M$16/(IF(COUNTIF([1]CRITERIOS!$BG$11:$BG$201,L410)&gt;=1,_xlfn.XLOOKUP(ARTÍCULOS!L410,[1]CRITERIOS!$BG$11:$BG$201:#REF!,[1]CRITERIOS!$BJ$11:$BJ$201),_xlfn.XLOOKUP(ARTÍCULOS!C410,[1]CRITERIOS!$K$25:$K$42,[1]CRITERIOS!$M$25:$M$42))),0),(E410+V410-_xlfn.XLOOKUP(A410,'[1]DATOS PBI Artículos'!$A$4:$A$4,'[1]DATOS PBI Artículos'!$W$4:$W$4))/N410)</f>
        <v>#N/A</v>
      </c>
      <c r="AC410" s="33" t="e">
        <f>IF(N410=0,"",(ROUNDUP((N410/2)/(_xlfn.XLOOKUP(A410,'[1]DATOS PBI Artículos'!$A$4:$A$4,'[1]DATOS PBI Artículos'!$Z$4:$Z$4)*_xlfn.XLOOKUP(_xlfn.XLOOKUP(A410,'[1]DATOS PBI Artículos'!$A$4:$A$4,'[1]DATOS PBI Artículos'!$Y$4:$Y$4),[1]CRITERIOS!$P$79:$P$123,[1]CRITERIOS!$S$79:$S$123)),0)*[1]CRITERIOS!$M$80*([1]CRITERIOS!$M$110/[1]CRITERIOS!$M$86)+(_xlfn.XLOOKUP(A410,'[1]DATOS PBI Artículos'!$A$4:$A$4,'[1]DATOS PBI Artículos'!$AA$4:$AA$4)*([1]CRITERIOS!$M$95+[1]CRITERIOS!$M$98)))/N410)</f>
        <v>#N/A</v>
      </c>
      <c r="AD410" s="33" t="e">
        <f>IF(N410=0,"",(ROUNDUP((N410/2)/(_xlfn.XLOOKUP(A410,'[1]DATOS PBI Artículos'!$A$4:$A$4,'[1]DATOS PBI Artículos'!$Z$4:$Z$4)*_xlfn.XLOOKUP(_xlfn.XLOOKUP(A410,'[1]DATOS PBI Artículos'!$A$4:$A$4,'[1]DATOS PBI Artículos'!$Y$4:$Y$4),[1]CRITERIOS!$P$79:$P$123,[1]CRITERIOS!$S$79:$S$123)),0)*[1]CRITERIOS!$M$80*([1]CRITERIOS!$M$89*[1]CRITERIOS!$M$92)+((_xlfn.XLOOKUP(A410,'[1]DATOS PBI Artículos'!$A$4:$A$4,'[1]DATOS PBI Artículos'!$AA$4:$AA$4)/2)*([1]CRITERIOS!$M$95+[1]CRITERIOS!$M$98)))/N410)</f>
        <v>#N/A</v>
      </c>
      <c r="AE410" s="39" t="e">
        <f>IF($R410="MTO","",
IF($H410=0,ROUNDUP(((_xlfn.XLOOKUP($A410,'[1]DATOS PBI Artículos'!$A:$A,'[1]DATOS PBI Artículos'!$AL:$AL))/(_xlfn.XLOOKUP($AF$1,[1]CRITERIOS!$S$16:$S$39,[1]CRITERIOS!$Y$16:$Y$39))*$J410+$Z410)/$G410,0)*$G410,
((_xlfn.XLOOKUP($A410,'[1]DATOS PBI Artículos'!$A:$A,'[1]DATOS PBI Artículos'!$AL:$AL))/(_xlfn.XLOOKUP($AF$1,[1]CRITERIOS!$S$16:$S$39,[1]CRITERIOS!$Y$16:$Y$39))*$J410+$Z410)))</f>
        <v>#N/A</v>
      </c>
      <c r="AG410" s="39" t="e">
        <f>IF($R410="MTO","",
IF($H410=0,ROUNDUP(((_xlfn.XLOOKUP($A410,'[1]DATOS PBI Artículos'!$A:$A,'[1]DATOS PBI Artículos'!$AM:$AM))/(_xlfn.XLOOKUP($AH$1,[1]CRITERIOS!$S$16:$S$39,[1]CRITERIOS!$Y$16:$Y$39))*$J410+$Z410)/$G410,0)*$G410,
((_xlfn.XLOOKUP($A410,'[1]DATOS PBI Artículos'!$A:$A,'[1]DATOS PBI Artículos'!$AM:$AM))/(_xlfn.XLOOKUP($AH$1,[1]CRITERIOS!$S$16:$S$39,[1]CRITERIOS!$Y$16:$Y$39))*$J410+$Z410)))</f>
        <v>#N/A</v>
      </c>
      <c r="AI410" s="39" t="e">
        <f>IF($R410="MTO","",
IF($H410=0,ROUNDUP(((_xlfn.XLOOKUP($A410,'[1]DATOS PBI Artículos'!$A:$A,'[1]DATOS PBI Artículos'!$AN:$AN))/(_xlfn.XLOOKUP($AJ$1,[1]CRITERIOS!$S$16:$S$39,[1]CRITERIOS!$Y$16:$Y$39))*$J410+$Z410)/$G410,0)*$G410,
((_xlfn.XLOOKUP($A410,'[1]DATOS PBI Artículos'!$A:$A,'[1]DATOS PBI Artículos'!$AN:$AN))/(_xlfn.XLOOKUP($AJ$1,[1]CRITERIOS!$S$16:$S$39,[1]CRITERIOS!$Y$16:$Y$39))*$J410+$Z410)))</f>
        <v>#N/A</v>
      </c>
      <c r="AK410" s="39" t="e">
        <f>IF($R410="MTO","",
IF($H410=0,ROUNDUP(((_xlfn.XLOOKUP($A410,'[1]DATOS PBI Artículos'!$A:$A,'[1]DATOS PBI Artículos'!$AO:$AO))/(_xlfn.XLOOKUP($AL$1,[1]CRITERIOS!$S$16:$S$39,[1]CRITERIOS!$Y$16:$Y$39))*$J410+$Z410)/$G410,0)*$G410,
((_xlfn.XLOOKUP($A410,'[1]DATOS PBI Artículos'!$A:$A,'[1]DATOS PBI Artículos'!$AO:$AO))/(_xlfn.XLOOKUP($AL$1,[1]CRITERIOS!$S$16:$S$39,[1]CRITERIOS!$Y$16:$Y$39))*$J410+$Z410)))</f>
        <v>#N/A</v>
      </c>
    </row>
    <row r="411" spans="1:37" ht="25.8" hidden="1" x14ac:dyDescent="0.4">
      <c r="A411" s="41"/>
      <c r="B411" s="33">
        <f>_xlfn.XLOOKUP($A411,'[1]DATOS PBI Artículos'!A:A,'[1]DATOS PBI Artículos'!B:B)</f>
        <v>0</v>
      </c>
      <c r="C411" s="33">
        <f>_xlfn.XLOOKUP($A411,'[1]DATOS PBI Artículos'!A:A,'[1]DATOS PBI Artículos'!C:C)</f>
        <v>0</v>
      </c>
      <c r="D411" s="33">
        <f>_xlfn.XLOOKUP(A411,'[1]DATOS PBI Artículos'!A:A,'[1]DATOS PBI Artículos'!T:T)</f>
        <v>0</v>
      </c>
      <c r="E411" s="34">
        <f>IF(_xlfn.XLOOKUP($A411,'[1]DATOS PBI Artículos'!A:A,'[1]DATOS PBI Artículos'!AK:AK)="",_xlfn.XLOOKUP($A411,'[1]DATOS PBI Artículos'!A:A,'[1]DATOS PBI Artículos'!AJ:AJ),_xlfn.XLOOKUP($A411,'[1]DATOS PBI Artículos'!A:A,'[1]DATOS PBI Artículos'!AK:AK))</f>
        <v>0</v>
      </c>
      <c r="F411" s="35">
        <f>_xlfn.XLOOKUP($A411,'[1]DATOS PBI Artículos'!A:A,'[1]DATOS PBI Artículos'!AP:AP)</f>
        <v>0</v>
      </c>
      <c r="G411" s="34">
        <f>_xlfn.XLOOKUP($A411,'[1]DATOS PBI Artículos'!A:A,'[1]DATOS PBI Artículos'!AR:AR)</f>
        <v>0</v>
      </c>
      <c r="H411" s="34">
        <f>_xlfn.XLOOKUP($A411,'[1]DATOS PBI Artículos'!A:A,'[1]DATOS PBI Artículos'!AT:AT)</f>
        <v>0</v>
      </c>
      <c r="I411" s="34">
        <f>_xlfn.XLOOKUP($A411,'[1]DATOS PBI Artículos'!A:A,'[1]DATOS PBI Artículos'!AS:AS)</f>
        <v>0</v>
      </c>
      <c r="J411" s="35">
        <f>IF(COUNTIF([1]CRITERIOS!$F$179:$F$199,$A411)&gt;=1,
 IF(O411&lt;&gt;"",
    (O411/_xlfn.XLOOKUP(CONCATENATE(A411,L411),[1]MÁQUINAS!A:A,[1]MÁQUINAS!D:D))/24,
    (N411/_xlfn.XLOOKUP(CONCATENATE(A411,L411),[1]MÁQUINAS!A:A,[1]MÁQUINAS!D:D))/24),
  _xlfn.XLOOKUP($A411,'[1]DATOS PBI Artículos'!A:A,'[1]DATOS PBI Artículos'!AU:AU))</f>
        <v>0</v>
      </c>
      <c r="K411" s="36">
        <f>_xlfn.XLOOKUP($A411,'[1]DATOS PBI Artículos'!A:A,'[1]DATOS PBI Artículos'!AV:AV)</f>
        <v>0</v>
      </c>
      <c r="L411" s="33">
        <f>_xlfn.XLOOKUP(A411,[1]MÁQUINAS!B:B,[1]MÁQUINAS!C:C)</f>
        <v>0</v>
      </c>
      <c r="M411" s="34">
        <f t="array" ref="M411">_xlfn.XLOOKUP(A411,'[1]DATOS PBI Artículos'!A:A,'[1]DATOS PBI Artículos'!AX:$AX)</f>
        <v>0</v>
      </c>
      <c r="N411" s="37" t="e">
        <f>IF(I411="DV",
E411,
IF(COUNTIF([1]CRITERIOS!$I$179:$I$199,$A411)&gt;=1,
_xlfn.XLOOKUP($A411,[1]CRITERIOS!$I$179:$I$199,[1]CRITERIOS!$J$179:$J$199),
IF(COUNTIF([1]CRITERIOS!$L$179:$L$199,$A411)&gt;=1,
_xlfn.CEILING.MATH(IF($M411&gt;$E411,
$E411,
IF($M411&lt;$E411/ROUNDDOWN([1]CRITERIOS!$M$16/_xlfn.XLOOKUP($C411,[1]CRITERIOS!$K$25:$K$42,[1]CRITERIOS!$M$25:$M$42),
1),
E411/ROUNDDOWN([1]CRITERIOS!$M$16/_xlfn.XLOOKUP($C411,[1]CRITERIOS!$K$25:$K$42,[1]CRITERIOS!$M$25:$M$42),
1),
$M411)),
_xlfn.XLOOKUP($A411,[1]CRITERIOS!$L$179:$L$200,[1]CRITERIOS!$M$179:$M$200)),
_xlfn.CEILING.MATH(IF($M411&gt;$E411,
$E411,
IF($M411&lt;$E411/ROUNDDOWN([1]CRITERIOS!$M$16/_xlfn.XLOOKUP($C411,[1]CRITERIOS!$K$25:$K$42,[1]CRITERIOS!$M$25:$M$42),
1),
E411/ROUNDDOWN([1]CRITERIOS!$M$16/_xlfn.XLOOKUP($C411,[1]CRITERIOS!$K$25:$K$42,[1]CRITERIOS!$M$25:$M$42),
1),
$M411)),_xlfn.XLOOKUP(A411,'[1]DATOS PBI Artículos'!A:A,'[1]DATOS PBI Artículos'!Z:Z
)))))</f>
        <v>#N/A</v>
      </c>
      <c r="Q411" s="38" t="e">
        <f>IF(AND(O411="",N411=0),
0,
   IF(COUNTIF([1]CRITERIOS!$F$179:$F$199,$A411)&gt;=1,
   1,
   IF(R411="MTO",
      $D411,
      ROUNDUP(
                    IF(($E411-SUMIF('[1]DATOS PBI Artículos'!A:A,A411,'[1]DATOS PBI Artículos'!X:X)+($V411-_xlfn.XLOOKUP(A411,'[1]DATOS PBI Artículos'!A:A,'[1]DATOS PBI Artículos'!W:W)))&lt;0,
                    0,
                    IF(($E411-SUMIF('[1]DATOS PBI Artículos'!A:A,A411,'[1]DATOS PBI Artículos'!X:X)+$V411-_xlfn.XLOOKUP($A411,'[1]DATOS PBI Artículos'!A:A,'[1]DATOS PBI Artículos'!W:W))/IF($O411="",$N411,$O411)&gt;ROUNDUP([1]CRITERIOS!$M$16/(IF(COUNTIF([1]CRITERIOS!$BG$11:$BG$201,L411)&gt;=1,_xlfn.XLOOKUP($C411,[1]CRITERIOS!$K$25:$K$42,[1]CRITERIOS!$M$25:$M$42),_xlfn.XLOOKUP($C411,[1]CRITERIOS!$K$25:$K$42,[1]CRITERIOS!$M$25:$M$42))),0),
                    ROUNDUP([1]CRITERIOS!$M$16/(IF(COUNTIF([1]CRITERIOS!$BG$11:$BG$201,$L411)&gt;=1,_xlfn.XLOOKUP($C411,[1]CRITERIOS!$K$25:$K$42,[1]CRITERIOS!$M$25:$M$42),_xlfn.XLOOKUP($C411,[1]CRITERIOS!$K$25:$K$42,[1]CRITERIOS!$M$25:$M$42))),0),
                    (E411+V411-SUMIF('[1]DATOS PBI Artículos'!A:A,A411,'[1]DATOS PBI Artículos'!X:X)-_xlfn.XLOOKUP(A411,'[1]DATOS PBI Artículos'!A:A,'[1]DATOS PBI Artículos'!W:W))/IF($O411="",$N411,$O411))),0))))</f>
        <v>#N/A</v>
      </c>
      <c r="R411" s="33" t="e">
        <f>IF(U411&lt;&gt;"",U411,IF(F411="DV","MTO",IF(N411=0,"MTO",_xlfn.XLOOKUP(CONCATENATE(S411,T411),[1]CRITERIOS!$K$160:$K$168,[1]CRITERIOS!$N$160:$N$168))))</f>
        <v>#N/A</v>
      </c>
      <c r="S411" s="33" t="e">
        <f>IF(G411="DV","MTO",IF(N411=0,"MTO",IF(OR(AND(N411=0,O411=""),IF(O411="",G411/N411,G411/O411)&gt;[1]CRITERIOS!$G$163),"MTO",IF(IF(O411="",G411/N411,G411/O411)&lt;[1]CRITERIOS!$H$161,"MTS","MTOS"))))</f>
        <v>#N/A</v>
      </c>
      <c r="T411" s="33" t="e">
        <f>IF(F411="DV","MTO",IF(OR(AND($N411=0,O411=""),$F411/$J411&gt;[1]CRITERIOS!$G$170,$F411="DV"),"MTO",IF($F411/$J411&lt;[1]CRITERIOS!$H$168,"MTS","MTOS")))</f>
        <v>#N/A</v>
      </c>
      <c r="V411" s="34" t="e">
        <f t="shared" si="22"/>
        <v>#N/A</v>
      </c>
      <c r="X411" s="34" t="e">
        <f t="shared" si="20"/>
        <v>#N/A</v>
      </c>
      <c r="Y411" s="34" t="e">
        <f t="shared" si="21"/>
        <v>#N/A</v>
      </c>
      <c r="Z411" s="34" t="e">
        <f>IF($R411="MTO",
0,
($H411+$K411*($E411/[1]CRITERIOS!$M$16))/[1]CRITERIOS!$X$48)</f>
        <v>#N/A</v>
      </c>
      <c r="AA411" s="34" t="e">
        <f>ROUNDUP(($Y411/_xlfn.XLOOKUP($A411,'[1]DATOS PBI Artículos'!$A$4:$A$4,'[1]DATOS PBI Artículos'!$Z$4:$Z$4))/_xlfn.XLOOKUP(_xlfn.XLOOKUP($A411,'[1]DATOS PBI Artículos'!$A$4:$A$4,'[1]DATOS PBI Artículos'!$Y$4:$Y$4),[1]CRITERIOS!$P$79:$P$123,[1]CRITERIOS!$S$79:$S$123,),0)</f>
        <v>#N/A</v>
      </c>
      <c r="AB411" s="33" t="e">
        <f t="array" ref="AB411">IF((E411+V411-_xlfn.XLOOKUP(A411,'[1]DATOS PBI Artículos'!$A$4:$A$4,'[1]DATOS PBI Artículos'!$W$4:$W$4))/N411&gt;ROUNDUP([1]CRITERIOS!$M$16/(IF(COUNTIF([1]CRITERIOS!$BG$11:$BG$201,L411)&gt;=1,_xlfn.XLOOKUP(ARTÍCULOS!L411,[1]CRITERIOS!$BG$11:$BG$201,[1]CRITERIOS!$BJ$11:$BJ$201),_xlfn.XLOOKUP(ARTÍCULOS!C411,[1]CRITERIOS!$K$25:$K$42,[1]CRITERIOS!$M$25:$M$42))),0),ROUNDUP([1]CRITERIOS!$M$16/(IF(COUNTIF([1]CRITERIOS!$BG$11:$BG$201,L411)&gt;=1,_xlfn.XLOOKUP(ARTÍCULOS!L411,[1]CRITERIOS!$BG$11:$BG$201:#REF!,[1]CRITERIOS!$BJ$11:$BJ$201),_xlfn.XLOOKUP(ARTÍCULOS!C411,[1]CRITERIOS!$K$25:$K$42,[1]CRITERIOS!$M$25:$M$42))),0),(E411+V411-_xlfn.XLOOKUP(A411,'[1]DATOS PBI Artículos'!$A$4:$A$4,'[1]DATOS PBI Artículos'!$W$4:$W$4))/N411)</f>
        <v>#N/A</v>
      </c>
      <c r="AC411" s="33" t="e">
        <f>IF(N411=0,"",(ROUNDUP((N411/2)/(_xlfn.XLOOKUP(A411,'[1]DATOS PBI Artículos'!$A$4:$A$4,'[1]DATOS PBI Artículos'!$Z$4:$Z$4)*_xlfn.XLOOKUP(_xlfn.XLOOKUP(A411,'[1]DATOS PBI Artículos'!$A$4:$A$4,'[1]DATOS PBI Artículos'!$Y$4:$Y$4),[1]CRITERIOS!$P$79:$P$123,[1]CRITERIOS!$S$79:$S$123)),0)*[1]CRITERIOS!$M$80*([1]CRITERIOS!$M$110/[1]CRITERIOS!$M$86)+(_xlfn.XLOOKUP(A411,'[1]DATOS PBI Artículos'!$A$4:$A$4,'[1]DATOS PBI Artículos'!$AA$4:$AA$4)*([1]CRITERIOS!$M$95+[1]CRITERIOS!$M$98)))/N411)</f>
        <v>#N/A</v>
      </c>
      <c r="AD411" s="33" t="e">
        <f>IF(N411=0,"",(ROUNDUP((N411/2)/(_xlfn.XLOOKUP(A411,'[1]DATOS PBI Artículos'!$A$4:$A$4,'[1]DATOS PBI Artículos'!$Z$4:$Z$4)*_xlfn.XLOOKUP(_xlfn.XLOOKUP(A411,'[1]DATOS PBI Artículos'!$A$4:$A$4,'[1]DATOS PBI Artículos'!$Y$4:$Y$4),[1]CRITERIOS!$P$79:$P$123,[1]CRITERIOS!$S$79:$S$123)),0)*[1]CRITERIOS!$M$80*([1]CRITERIOS!$M$89*[1]CRITERIOS!$M$92)+((_xlfn.XLOOKUP(A411,'[1]DATOS PBI Artículos'!$A$4:$A$4,'[1]DATOS PBI Artículos'!$AA$4:$AA$4)/2)*([1]CRITERIOS!$M$95+[1]CRITERIOS!$M$98)))/N411)</f>
        <v>#N/A</v>
      </c>
      <c r="AE411" s="39" t="e">
        <f>IF($R411="MTO","",
IF($H411=0,ROUNDUP(((_xlfn.XLOOKUP($A411,'[1]DATOS PBI Artículos'!$A:$A,'[1]DATOS PBI Artículos'!$AL:$AL))/(_xlfn.XLOOKUP($AF$1,[1]CRITERIOS!$S$16:$S$39,[1]CRITERIOS!$Y$16:$Y$39))*$J411+$Z411)/$G411,0)*$G411,
((_xlfn.XLOOKUP($A411,'[1]DATOS PBI Artículos'!$A:$A,'[1]DATOS PBI Artículos'!$AL:$AL))/(_xlfn.XLOOKUP($AF$1,[1]CRITERIOS!$S$16:$S$39,[1]CRITERIOS!$Y$16:$Y$39))*$J411+$Z411)))</f>
        <v>#N/A</v>
      </c>
      <c r="AG411" s="39" t="e">
        <f>IF($R411="MTO","",
IF($H411=0,ROUNDUP(((_xlfn.XLOOKUP($A411,'[1]DATOS PBI Artículos'!$A:$A,'[1]DATOS PBI Artículos'!$AM:$AM))/(_xlfn.XLOOKUP($AH$1,[1]CRITERIOS!$S$16:$S$39,[1]CRITERIOS!$Y$16:$Y$39))*$J411+$Z411)/$G411,0)*$G411,
((_xlfn.XLOOKUP($A411,'[1]DATOS PBI Artículos'!$A:$A,'[1]DATOS PBI Artículos'!$AM:$AM))/(_xlfn.XLOOKUP($AH$1,[1]CRITERIOS!$S$16:$S$39,[1]CRITERIOS!$Y$16:$Y$39))*$J411+$Z411)))</f>
        <v>#N/A</v>
      </c>
      <c r="AI411" s="39" t="e">
        <f>IF($R411="MTO","",
IF($H411=0,ROUNDUP(((_xlfn.XLOOKUP($A411,'[1]DATOS PBI Artículos'!$A:$A,'[1]DATOS PBI Artículos'!$AN:$AN))/(_xlfn.XLOOKUP($AJ$1,[1]CRITERIOS!$S$16:$S$39,[1]CRITERIOS!$Y$16:$Y$39))*$J411+$Z411)/$G411,0)*$G411,
((_xlfn.XLOOKUP($A411,'[1]DATOS PBI Artículos'!$A:$A,'[1]DATOS PBI Artículos'!$AN:$AN))/(_xlfn.XLOOKUP($AJ$1,[1]CRITERIOS!$S$16:$S$39,[1]CRITERIOS!$Y$16:$Y$39))*$J411+$Z411)))</f>
        <v>#N/A</v>
      </c>
      <c r="AK411" s="39" t="e">
        <f>IF($R411="MTO","",
IF($H411=0,ROUNDUP(((_xlfn.XLOOKUP($A411,'[1]DATOS PBI Artículos'!$A:$A,'[1]DATOS PBI Artículos'!$AO:$AO))/(_xlfn.XLOOKUP($AL$1,[1]CRITERIOS!$S$16:$S$39,[1]CRITERIOS!$Y$16:$Y$39))*$J411+$Z411)/$G411,0)*$G411,
((_xlfn.XLOOKUP($A411,'[1]DATOS PBI Artículos'!$A:$A,'[1]DATOS PBI Artículos'!$AO:$AO))/(_xlfn.XLOOKUP($AL$1,[1]CRITERIOS!$S$16:$S$39,[1]CRITERIOS!$Y$16:$Y$39))*$J411+$Z411)))</f>
        <v>#N/A</v>
      </c>
    </row>
    <row r="412" spans="1:37" ht="25.8" hidden="1" x14ac:dyDescent="0.4">
      <c r="A412" s="41"/>
      <c r="B412" s="33">
        <f>_xlfn.XLOOKUP($A412,'[1]DATOS PBI Artículos'!A:A,'[1]DATOS PBI Artículos'!B:B)</f>
        <v>0</v>
      </c>
      <c r="C412" s="33">
        <f>_xlfn.XLOOKUP($A412,'[1]DATOS PBI Artículos'!A:A,'[1]DATOS PBI Artículos'!C:C)</f>
        <v>0</v>
      </c>
      <c r="D412" s="33">
        <f>_xlfn.XLOOKUP(A412,'[1]DATOS PBI Artículos'!A:A,'[1]DATOS PBI Artículos'!T:T)</f>
        <v>0</v>
      </c>
      <c r="E412" s="34">
        <f>IF(_xlfn.XLOOKUP($A412,'[1]DATOS PBI Artículos'!A:A,'[1]DATOS PBI Artículos'!AK:AK)="",_xlfn.XLOOKUP($A412,'[1]DATOS PBI Artículos'!A:A,'[1]DATOS PBI Artículos'!AJ:AJ),_xlfn.XLOOKUP($A412,'[1]DATOS PBI Artículos'!A:A,'[1]DATOS PBI Artículos'!AK:AK))</f>
        <v>0</v>
      </c>
      <c r="F412" s="35">
        <f>_xlfn.XLOOKUP($A412,'[1]DATOS PBI Artículos'!A:A,'[1]DATOS PBI Artículos'!AP:AP)</f>
        <v>0</v>
      </c>
      <c r="G412" s="34">
        <f>_xlfn.XLOOKUP($A412,'[1]DATOS PBI Artículos'!A:A,'[1]DATOS PBI Artículos'!AR:AR)</f>
        <v>0</v>
      </c>
      <c r="H412" s="34">
        <f>_xlfn.XLOOKUP($A412,'[1]DATOS PBI Artículos'!A:A,'[1]DATOS PBI Artículos'!AT:AT)</f>
        <v>0</v>
      </c>
      <c r="I412" s="34">
        <f>_xlfn.XLOOKUP($A412,'[1]DATOS PBI Artículos'!A:A,'[1]DATOS PBI Artículos'!AS:AS)</f>
        <v>0</v>
      </c>
      <c r="J412" s="35">
        <f>IF(COUNTIF([1]CRITERIOS!$F$179:$F$199,$A412)&gt;=1,
 IF(O412&lt;&gt;"",
    (O412/_xlfn.XLOOKUP(CONCATENATE(A412,L412),[1]MÁQUINAS!A:A,[1]MÁQUINAS!D:D))/24,
    (N412/_xlfn.XLOOKUP(CONCATENATE(A412,L412),[1]MÁQUINAS!A:A,[1]MÁQUINAS!D:D))/24),
  _xlfn.XLOOKUP($A412,'[1]DATOS PBI Artículos'!A:A,'[1]DATOS PBI Artículos'!AU:AU))</f>
        <v>0</v>
      </c>
      <c r="K412" s="36">
        <f>_xlfn.XLOOKUP($A412,'[1]DATOS PBI Artículos'!A:A,'[1]DATOS PBI Artículos'!AV:AV)</f>
        <v>0</v>
      </c>
      <c r="L412" s="33">
        <f>_xlfn.XLOOKUP(A412,[1]MÁQUINAS!B:B,[1]MÁQUINAS!C:C)</f>
        <v>0</v>
      </c>
      <c r="M412" s="34">
        <f t="array" ref="M412">_xlfn.XLOOKUP(A412,'[1]DATOS PBI Artículos'!A:A,'[1]DATOS PBI Artículos'!AX:$AX)</f>
        <v>0</v>
      </c>
      <c r="N412" s="37" t="e">
        <f>IF(I412="DV",
E412,
IF(COUNTIF([1]CRITERIOS!$I$179:$I$199,$A412)&gt;=1,
_xlfn.XLOOKUP($A412,[1]CRITERIOS!$I$179:$I$199,[1]CRITERIOS!$J$179:$J$199),
IF(COUNTIF([1]CRITERIOS!$L$179:$L$199,$A412)&gt;=1,
_xlfn.CEILING.MATH(IF($M412&gt;$E412,
$E412,
IF($M412&lt;$E412/ROUNDDOWN([1]CRITERIOS!$M$16/_xlfn.XLOOKUP($C412,[1]CRITERIOS!$K$25:$K$42,[1]CRITERIOS!$M$25:$M$42),
1),
E412/ROUNDDOWN([1]CRITERIOS!$M$16/_xlfn.XLOOKUP($C412,[1]CRITERIOS!$K$25:$K$42,[1]CRITERIOS!$M$25:$M$42),
1),
$M412)),
_xlfn.XLOOKUP($A412,[1]CRITERIOS!$L$179:$L$200,[1]CRITERIOS!$M$179:$M$200)),
_xlfn.CEILING.MATH(IF($M412&gt;$E412,
$E412,
IF($M412&lt;$E412/ROUNDDOWN([1]CRITERIOS!$M$16/_xlfn.XLOOKUP($C412,[1]CRITERIOS!$K$25:$K$42,[1]CRITERIOS!$M$25:$M$42),
1),
E412/ROUNDDOWN([1]CRITERIOS!$M$16/_xlfn.XLOOKUP($C412,[1]CRITERIOS!$K$25:$K$42,[1]CRITERIOS!$M$25:$M$42),
1),
$M412)),_xlfn.XLOOKUP(A412,'[1]DATOS PBI Artículos'!A:A,'[1]DATOS PBI Artículos'!Z:Z
)))))</f>
        <v>#N/A</v>
      </c>
      <c r="Q412" s="38" t="e">
        <f>IF(AND(O412="",N412=0),
0,
   IF(COUNTIF([1]CRITERIOS!$F$179:$F$199,$A412)&gt;=1,
   1,
   IF(R412="MTO",
      $D412,
      ROUNDUP(
                    IF(($E412-SUMIF('[1]DATOS PBI Artículos'!A:A,A412,'[1]DATOS PBI Artículos'!X:X)+($V412-_xlfn.XLOOKUP(A412,'[1]DATOS PBI Artículos'!A:A,'[1]DATOS PBI Artículos'!W:W)))&lt;0,
                    0,
                    IF(($E412-SUMIF('[1]DATOS PBI Artículos'!A:A,A412,'[1]DATOS PBI Artículos'!X:X)+$V412-_xlfn.XLOOKUP($A412,'[1]DATOS PBI Artículos'!A:A,'[1]DATOS PBI Artículos'!W:W))/IF($O412="",$N412,$O412)&gt;ROUNDUP([1]CRITERIOS!$M$16/(IF(COUNTIF([1]CRITERIOS!$BG$11:$BG$201,L412)&gt;=1,_xlfn.XLOOKUP($C412,[1]CRITERIOS!$K$25:$K$42,[1]CRITERIOS!$M$25:$M$42),_xlfn.XLOOKUP($C412,[1]CRITERIOS!$K$25:$K$42,[1]CRITERIOS!$M$25:$M$42))),0),
                    ROUNDUP([1]CRITERIOS!$M$16/(IF(COUNTIF([1]CRITERIOS!$BG$11:$BG$201,$L412)&gt;=1,_xlfn.XLOOKUP($C412,[1]CRITERIOS!$K$25:$K$42,[1]CRITERIOS!$M$25:$M$42),_xlfn.XLOOKUP($C412,[1]CRITERIOS!$K$25:$K$42,[1]CRITERIOS!$M$25:$M$42))),0),
                    (E412+V412-SUMIF('[1]DATOS PBI Artículos'!A:A,A412,'[1]DATOS PBI Artículos'!X:X)-_xlfn.XLOOKUP(A412,'[1]DATOS PBI Artículos'!A:A,'[1]DATOS PBI Artículos'!W:W))/IF($O412="",$N412,$O412))),0))))</f>
        <v>#N/A</v>
      </c>
      <c r="R412" s="33" t="e">
        <f>IF(U412&lt;&gt;"",U412,IF(F412="DV","MTO",IF(N412=0,"MTO",_xlfn.XLOOKUP(CONCATENATE(S412,T412),[1]CRITERIOS!$K$160:$K$168,[1]CRITERIOS!$N$160:$N$168))))</f>
        <v>#N/A</v>
      </c>
      <c r="S412" s="33" t="e">
        <f>IF(G412="DV","MTO",IF(N412=0,"MTO",IF(OR(AND(N412=0,O412=""),IF(O412="",G412/N412,G412/O412)&gt;[1]CRITERIOS!$G$163),"MTO",IF(IF(O412="",G412/N412,G412/O412)&lt;[1]CRITERIOS!$H$161,"MTS","MTOS"))))</f>
        <v>#N/A</v>
      </c>
      <c r="T412" s="33" t="e">
        <f>IF(F412="DV","MTO",IF(OR(AND($N412=0,O412=""),$F412/$J412&gt;[1]CRITERIOS!$G$170,$F412="DV"),"MTO",IF($F412/$J412&lt;[1]CRITERIOS!$H$168,"MTS","MTOS")))</f>
        <v>#N/A</v>
      </c>
      <c r="V412" s="34" t="e">
        <f t="shared" si="22"/>
        <v>#N/A</v>
      </c>
      <c r="X412" s="34" t="e">
        <f t="shared" si="20"/>
        <v>#N/A</v>
      </c>
      <c r="Y412" s="34" t="e">
        <f t="shared" si="21"/>
        <v>#N/A</v>
      </c>
      <c r="Z412" s="34" t="e">
        <f>IF($R412="MTO",
0,
($H412+$K412*($E412/[1]CRITERIOS!$M$16))/[1]CRITERIOS!$X$48)</f>
        <v>#N/A</v>
      </c>
      <c r="AA412" s="34" t="e">
        <f>ROUNDUP(($Y412/_xlfn.XLOOKUP($A412,'[1]DATOS PBI Artículos'!$A$4:$A$4,'[1]DATOS PBI Artículos'!$Z$4:$Z$4))/_xlfn.XLOOKUP(_xlfn.XLOOKUP($A412,'[1]DATOS PBI Artículos'!$A$4:$A$4,'[1]DATOS PBI Artículos'!$Y$4:$Y$4),[1]CRITERIOS!$P$79:$P$123,[1]CRITERIOS!$S$79:$S$123,),0)</f>
        <v>#N/A</v>
      </c>
      <c r="AB412" s="33" t="e">
        <f t="array" ref="AB412">IF((E412+V412-_xlfn.XLOOKUP(A412,'[1]DATOS PBI Artículos'!$A$4:$A$4,'[1]DATOS PBI Artículos'!$W$4:$W$4))/N412&gt;ROUNDUP([1]CRITERIOS!$M$16/(IF(COUNTIF([1]CRITERIOS!$BG$11:$BG$201,L412)&gt;=1,_xlfn.XLOOKUP(ARTÍCULOS!L412,[1]CRITERIOS!$BG$11:$BG$201,[1]CRITERIOS!$BJ$11:$BJ$201),_xlfn.XLOOKUP(ARTÍCULOS!C412,[1]CRITERIOS!$K$25:$K$42,[1]CRITERIOS!$M$25:$M$42))),0),ROUNDUP([1]CRITERIOS!$M$16/(IF(COUNTIF([1]CRITERIOS!$BG$11:$BG$201,L412)&gt;=1,_xlfn.XLOOKUP(ARTÍCULOS!L412,[1]CRITERIOS!$BG$11:$BG$201:#REF!,[1]CRITERIOS!$BJ$11:$BJ$201),_xlfn.XLOOKUP(ARTÍCULOS!C412,[1]CRITERIOS!$K$25:$K$42,[1]CRITERIOS!$M$25:$M$42))),0),(E412+V412-_xlfn.XLOOKUP(A412,'[1]DATOS PBI Artículos'!$A$4:$A$4,'[1]DATOS PBI Artículos'!$W$4:$W$4))/N412)</f>
        <v>#N/A</v>
      </c>
      <c r="AC412" s="33" t="e">
        <f>IF(N412=0,"",(ROUNDUP((N412/2)/(_xlfn.XLOOKUP(A412,'[1]DATOS PBI Artículos'!$A$4:$A$4,'[1]DATOS PBI Artículos'!$Z$4:$Z$4)*_xlfn.XLOOKUP(_xlfn.XLOOKUP(A412,'[1]DATOS PBI Artículos'!$A$4:$A$4,'[1]DATOS PBI Artículos'!$Y$4:$Y$4),[1]CRITERIOS!$P$79:$P$123,[1]CRITERIOS!$S$79:$S$123)),0)*[1]CRITERIOS!$M$80*([1]CRITERIOS!$M$110/[1]CRITERIOS!$M$86)+(_xlfn.XLOOKUP(A412,'[1]DATOS PBI Artículos'!$A$4:$A$4,'[1]DATOS PBI Artículos'!$AA$4:$AA$4)*([1]CRITERIOS!$M$95+[1]CRITERIOS!$M$98)))/N412)</f>
        <v>#N/A</v>
      </c>
      <c r="AD412" s="33" t="e">
        <f>IF(N412=0,"",(ROUNDUP((N412/2)/(_xlfn.XLOOKUP(A412,'[1]DATOS PBI Artículos'!$A$4:$A$4,'[1]DATOS PBI Artículos'!$Z$4:$Z$4)*_xlfn.XLOOKUP(_xlfn.XLOOKUP(A412,'[1]DATOS PBI Artículos'!$A$4:$A$4,'[1]DATOS PBI Artículos'!$Y$4:$Y$4),[1]CRITERIOS!$P$79:$P$123,[1]CRITERIOS!$S$79:$S$123)),0)*[1]CRITERIOS!$M$80*([1]CRITERIOS!$M$89*[1]CRITERIOS!$M$92)+((_xlfn.XLOOKUP(A412,'[1]DATOS PBI Artículos'!$A$4:$A$4,'[1]DATOS PBI Artículos'!$AA$4:$AA$4)/2)*([1]CRITERIOS!$M$95+[1]CRITERIOS!$M$98)))/N412)</f>
        <v>#N/A</v>
      </c>
      <c r="AE412" s="39" t="e">
        <f>IF($R412="MTO","",
IF($H412=0,ROUNDUP(((_xlfn.XLOOKUP($A412,'[1]DATOS PBI Artículos'!$A:$A,'[1]DATOS PBI Artículos'!$AL:$AL))/(_xlfn.XLOOKUP($AF$1,[1]CRITERIOS!$S$16:$S$39,[1]CRITERIOS!$Y$16:$Y$39))*$J412+$Z412)/$G412,0)*$G412,
((_xlfn.XLOOKUP($A412,'[1]DATOS PBI Artículos'!$A:$A,'[1]DATOS PBI Artículos'!$AL:$AL))/(_xlfn.XLOOKUP($AF$1,[1]CRITERIOS!$S$16:$S$39,[1]CRITERIOS!$Y$16:$Y$39))*$J412+$Z412)))</f>
        <v>#N/A</v>
      </c>
      <c r="AG412" s="39" t="e">
        <f>IF($R412="MTO","",
IF($H412=0,ROUNDUP(((_xlfn.XLOOKUP($A412,'[1]DATOS PBI Artículos'!$A:$A,'[1]DATOS PBI Artículos'!$AM:$AM))/(_xlfn.XLOOKUP($AH$1,[1]CRITERIOS!$S$16:$S$39,[1]CRITERIOS!$Y$16:$Y$39))*$J412+$Z412)/$G412,0)*$G412,
((_xlfn.XLOOKUP($A412,'[1]DATOS PBI Artículos'!$A:$A,'[1]DATOS PBI Artículos'!$AM:$AM))/(_xlfn.XLOOKUP($AH$1,[1]CRITERIOS!$S$16:$S$39,[1]CRITERIOS!$Y$16:$Y$39))*$J412+$Z412)))</f>
        <v>#N/A</v>
      </c>
      <c r="AI412" s="39" t="e">
        <f>IF($R412="MTO","",
IF($H412=0,ROUNDUP(((_xlfn.XLOOKUP($A412,'[1]DATOS PBI Artículos'!$A:$A,'[1]DATOS PBI Artículos'!$AN:$AN))/(_xlfn.XLOOKUP($AJ$1,[1]CRITERIOS!$S$16:$S$39,[1]CRITERIOS!$Y$16:$Y$39))*$J412+$Z412)/$G412,0)*$G412,
((_xlfn.XLOOKUP($A412,'[1]DATOS PBI Artículos'!$A:$A,'[1]DATOS PBI Artículos'!$AN:$AN))/(_xlfn.XLOOKUP($AJ$1,[1]CRITERIOS!$S$16:$S$39,[1]CRITERIOS!$Y$16:$Y$39))*$J412+$Z412)))</f>
        <v>#N/A</v>
      </c>
      <c r="AK412" s="39" t="e">
        <f>IF($R412="MTO","",
IF($H412=0,ROUNDUP(((_xlfn.XLOOKUP($A412,'[1]DATOS PBI Artículos'!$A:$A,'[1]DATOS PBI Artículos'!$AO:$AO))/(_xlfn.XLOOKUP($AL$1,[1]CRITERIOS!$S$16:$S$39,[1]CRITERIOS!$Y$16:$Y$39))*$J412+$Z412)/$G412,0)*$G412,
((_xlfn.XLOOKUP($A412,'[1]DATOS PBI Artículos'!$A:$A,'[1]DATOS PBI Artículos'!$AO:$AO))/(_xlfn.XLOOKUP($AL$1,[1]CRITERIOS!$S$16:$S$39,[1]CRITERIOS!$Y$16:$Y$39))*$J412+$Z412)))</f>
        <v>#N/A</v>
      </c>
    </row>
    <row r="413" spans="1:37" ht="25.8" hidden="1" x14ac:dyDescent="0.4">
      <c r="A413" s="41"/>
      <c r="B413" s="33">
        <f>_xlfn.XLOOKUP($A413,'[1]DATOS PBI Artículos'!A:A,'[1]DATOS PBI Artículos'!B:B)</f>
        <v>0</v>
      </c>
      <c r="C413" s="33">
        <f>_xlfn.XLOOKUP($A413,'[1]DATOS PBI Artículos'!A:A,'[1]DATOS PBI Artículos'!C:C)</f>
        <v>0</v>
      </c>
      <c r="D413" s="33">
        <f>_xlfn.XLOOKUP(A413,'[1]DATOS PBI Artículos'!A:A,'[1]DATOS PBI Artículos'!T:T)</f>
        <v>0</v>
      </c>
      <c r="E413" s="34">
        <f>IF(_xlfn.XLOOKUP($A413,'[1]DATOS PBI Artículos'!A:A,'[1]DATOS PBI Artículos'!AK:AK)="",_xlfn.XLOOKUP($A413,'[1]DATOS PBI Artículos'!A:A,'[1]DATOS PBI Artículos'!AJ:AJ),_xlfn.XLOOKUP($A413,'[1]DATOS PBI Artículos'!A:A,'[1]DATOS PBI Artículos'!AK:AK))</f>
        <v>0</v>
      </c>
      <c r="F413" s="35">
        <f>_xlfn.XLOOKUP($A413,'[1]DATOS PBI Artículos'!A:A,'[1]DATOS PBI Artículos'!AP:AP)</f>
        <v>0</v>
      </c>
      <c r="G413" s="34">
        <f>_xlfn.XLOOKUP($A413,'[1]DATOS PBI Artículos'!A:A,'[1]DATOS PBI Artículos'!AR:AR)</f>
        <v>0</v>
      </c>
      <c r="H413" s="34">
        <f>_xlfn.XLOOKUP($A413,'[1]DATOS PBI Artículos'!A:A,'[1]DATOS PBI Artículos'!AT:AT)</f>
        <v>0</v>
      </c>
      <c r="I413" s="34">
        <f>_xlfn.XLOOKUP($A413,'[1]DATOS PBI Artículos'!A:A,'[1]DATOS PBI Artículos'!AS:AS)</f>
        <v>0</v>
      </c>
      <c r="J413" s="35">
        <f>IF(COUNTIF([1]CRITERIOS!$F$179:$F$199,$A413)&gt;=1,
 IF(O413&lt;&gt;"",
    (O413/_xlfn.XLOOKUP(CONCATENATE(A413,L413),[1]MÁQUINAS!A:A,[1]MÁQUINAS!D:D))/24,
    (N413/_xlfn.XLOOKUP(CONCATENATE(A413,L413),[1]MÁQUINAS!A:A,[1]MÁQUINAS!D:D))/24),
  _xlfn.XLOOKUP($A413,'[1]DATOS PBI Artículos'!A:A,'[1]DATOS PBI Artículos'!AU:AU))</f>
        <v>0</v>
      </c>
      <c r="K413" s="36">
        <f>_xlfn.XLOOKUP($A413,'[1]DATOS PBI Artículos'!A:A,'[1]DATOS PBI Artículos'!AV:AV)</f>
        <v>0</v>
      </c>
      <c r="L413" s="33">
        <f>_xlfn.XLOOKUP(A413,[1]MÁQUINAS!B:B,[1]MÁQUINAS!C:C)</f>
        <v>0</v>
      </c>
      <c r="M413" s="34">
        <f t="array" ref="M413">_xlfn.XLOOKUP(A413,'[1]DATOS PBI Artículos'!A:A,'[1]DATOS PBI Artículos'!AX:$AX)</f>
        <v>0</v>
      </c>
      <c r="N413" s="37" t="e">
        <f>IF(I413="DV",
E413,
IF(COUNTIF([1]CRITERIOS!$I$179:$I$199,$A413)&gt;=1,
_xlfn.XLOOKUP($A413,[1]CRITERIOS!$I$179:$I$199,[1]CRITERIOS!$J$179:$J$199),
IF(COUNTIF([1]CRITERIOS!$L$179:$L$199,$A413)&gt;=1,
_xlfn.CEILING.MATH(IF($M413&gt;$E413,
$E413,
IF($M413&lt;$E413/ROUNDDOWN([1]CRITERIOS!$M$16/_xlfn.XLOOKUP($C413,[1]CRITERIOS!$K$25:$K$42,[1]CRITERIOS!$M$25:$M$42),
1),
E413/ROUNDDOWN([1]CRITERIOS!$M$16/_xlfn.XLOOKUP($C413,[1]CRITERIOS!$K$25:$K$42,[1]CRITERIOS!$M$25:$M$42),
1),
$M413)),
_xlfn.XLOOKUP($A413,[1]CRITERIOS!$L$179:$L$200,[1]CRITERIOS!$M$179:$M$200)),
_xlfn.CEILING.MATH(IF($M413&gt;$E413,
$E413,
IF($M413&lt;$E413/ROUNDDOWN([1]CRITERIOS!$M$16/_xlfn.XLOOKUP($C413,[1]CRITERIOS!$K$25:$K$42,[1]CRITERIOS!$M$25:$M$42),
1),
E413/ROUNDDOWN([1]CRITERIOS!$M$16/_xlfn.XLOOKUP($C413,[1]CRITERIOS!$K$25:$K$42,[1]CRITERIOS!$M$25:$M$42),
1),
$M413)),_xlfn.XLOOKUP(A413,'[1]DATOS PBI Artículos'!A:A,'[1]DATOS PBI Artículos'!Z:Z
)))))</f>
        <v>#N/A</v>
      </c>
      <c r="Q413" s="38" t="e">
        <f>IF(AND(O413="",N413=0),
0,
   IF(COUNTIF([1]CRITERIOS!$F$179:$F$199,$A413)&gt;=1,
   1,
   IF(R413="MTO",
      $D413,
      ROUNDUP(
                    IF(($E413-SUMIF('[1]DATOS PBI Artículos'!A:A,A413,'[1]DATOS PBI Artículos'!X:X)+($V413-_xlfn.XLOOKUP(A413,'[1]DATOS PBI Artículos'!A:A,'[1]DATOS PBI Artículos'!W:W)))&lt;0,
                    0,
                    IF(($E413-SUMIF('[1]DATOS PBI Artículos'!A:A,A413,'[1]DATOS PBI Artículos'!X:X)+$V413-_xlfn.XLOOKUP($A413,'[1]DATOS PBI Artículos'!A:A,'[1]DATOS PBI Artículos'!W:W))/IF($O413="",$N413,$O413)&gt;ROUNDUP([1]CRITERIOS!$M$16/(IF(COUNTIF([1]CRITERIOS!$BG$11:$BG$201,L413)&gt;=1,_xlfn.XLOOKUP($C413,[1]CRITERIOS!$K$25:$K$42,[1]CRITERIOS!$M$25:$M$42),_xlfn.XLOOKUP($C413,[1]CRITERIOS!$K$25:$K$42,[1]CRITERIOS!$M$25:$M$42))),0),
                    ROUNDUP([1]CRITERIOS!$M$16/(IF(COUNTIF([1]CRITERIOS!$BG$11:$BG$201,$L413)&gt;=1,_xlfn.XLOOKUP($C413,[1]CRITERIOS!$K$25:$K$42,[1]CRITERIOS!$M$25:$M$42),_xlfn.XLOOKUP($C413,[1]CRITERIOS!$K$25:$K$42,[1]CRITERIOS!$M$25:$M$42))),0),
                    (E413+V413-SUMIF('[1]DATOS PBI Artículos'!A:A,A413,'[1]DATOS PBI Artículos'!X:X)-_xlfn.XLOOKUP(A413,'[1]DATOS PBI Artículos'!A:A,'[1]DATOS PBI Artículos'!W:W))/IF($O413="",$N413,$O413))),0))))</f>
        <v>#N/A</v>
      </c>
      <c r="R413" s="33" t="e">
        <f>IF(U413&lt;&gt;"",U413,IF(F413="DV","MTO",IF(N413=0,"MTO",_xlfn.XLOOKUP(CONCATENATE(S413,T413),[1]CRITERIOS!$K$160:$K$168,[1]CRITERIOS!$N$160:$N$168))))</f>
        <v>#N/A</v>
      </c>
      <c r="S413" s="33" t="e">
        <f>IF(G413="DV","MTO",IF(N413=0,"MTO",IF(OR(AND(N413=0,O413=""),IF(O413="",G413/N413,G413/O413)&gt;[1]CRITERIOS!$G$163),"MTO",IF(IF(O413="",G413/N413,G413/O413)&lt;[1]CRITERIOS!$H$161,"MTS","MTOS"))))</f>
        <v>#N/A</v>
      </c>
      <c r="T413" s="33" t="e">
        <f>IF(F413="DV","MTO",IF(OR(AND($N413=0,O413=""),$F413/$J413&gt;[1]CRITERIOS!$G$170,$F413="DV"),"MTO",IF($F413/$J413&lt;[1]CRITERIOS!$H$168,"MTS","MTOS")))</f>
        <v>#N/A</v>
      </c>
      <c r="V413" s="34" t="e">
        <f t="shared" si="22"/>
        <v>#N/A</v>
      </c>
      <c r="X413" s="34" t="e">
        <f t="shared" si="20"/>
        <v>#N/A</v>
      </c>
      <c r="Y413" s="34" t="e">
        <f t="shared" si="21"/>
        <v>#N/A</v>
      </c>
      <c r="Z413" s="34" t="e">
        <f>IF($R413="MTO",
0,
($H413+$K413*($E413/[1]CRITERIOS!$M$16))/[1]CRITERIOS!$X$48)</f>
        <v>#N/A</v>
      </c>
      <c r="AA413" s="34" t="e">
        <f>ROUNDUP(($Y413/_xlfn.XLOOKUP($A413,'[1]DATOS PBI Artículos'!$A$4:$A$4,'[1]DATOS PBI Artículos'!$Z$4:$Z$4))/_xlfn.XLOOKUP(_xlfn.XLOOKUP($A413,'[1]DATOS PBI Artículos'!$A$4:$A$4,'[1]DATOS PBI Artículos'!$Y$4:$Y$4),[1]CRITERIOS!$P$79:$P$123,[1]CRITERIOS!$S$79:$S$123,),0)</f>
        <v>#N/A</v>
      </c>
      <c r="AB413" s="33" t="e">
        <f t="array" ref="AB413">IF((E413+V413-_xlfn.XLOOKUP(A413,'[1]DATOS PBI Artículos'!$A$4:$A$4,'[1]DATOS PBI Artículos'!$W$4:$W$4))/N413&gt;ROUNDUP([1]CRITERIOS!$M$16/(IF(COUNTIF([1]CRITERIOS!$BG$11:$BG$201,L413)&gt;=1,_xlfn.XLOOKUP(ARTÍCULOS!L413,[1]CRITERIOS!$BG$11:$BG$201,[1]CRITERIOS!$BJ$11:$BJ$201),_xlfn.XLOOKUP(ARTÍCULOS!C413,[1]CRITERIOS!$K$25:$K$42,[1]CRITERIOS!$M$25:$M$42))),0),ROUNDUP([1]CRITERIOS!$M$16/(IF(COUNTIF([1]CRITERIOS!$BG$11:$BG$201,L413)&gt;=1,_xlfn.XLOOKUP(ARTÍCULOS!L413,[1]CRITERIOS!$BG$11:$BG$201:#REF!,[1]CRITERIOS!$BJ$11:$BJ$201),_xlfn.XLOOKUP(ARTÍCULOS!C413,[1]CRITERIOS!$K$25:$K$42,[1]CRITERIOS!$M$25:$M$42))),0),(E413+V413-_xlfn.XLOOKUP(A413,'[1]DATOS PBI Artículos'!$A$4:$A$4,'[1]DATOS PBI Artículos'!$W$4:$W$4))/N413)</f>
        <v>#N/A</v>
      </c>
      <c r="AC413" s="33" t="e">
        <f>IF(N413=0,"",(ROUNDUP((N413/2)/(_xlfn.XLOOKUP(A413,'[1]DATOS PBI Artículos'!$A$4:$A$4,'[1]DATOS PBI Artículos'!$Z$4:$Z$4)*_xlfn.XLOOKUP(_xlfn.XLOOKUP(A413,'[1]DATOS PBI Artículos'!$A$4:$A$4,'[1]DATOS PBI Artículos'!$Y$4:$Y$4),[1]CRITERIOS!$P$79:$P$123,[1]CRITERIOS!$S$79:$S$123)),0)*[1]CRITERIOS!$M$80*([1]CRITERIOS!$M$110/[1]CRITERIOS!$M$86)+(_xlfn.XLOOKUP(A413,'[1]DATOS PBI Artículos'!$A$4:$A$4,'[1]DATOS PBI Artículos'!$AA$4:$AA$4)*([1]CRITERIOS!$M$95+[1]CRITERIOS!$M$98)))/N413)</f>
        <v>#N/A</v>
      </c>
      <c r="AD413" s="33" t="e">
        <f>IF(N413=0,"",(ROUNDUP((N413/2)/(_xlfn.XLOOKUP(A413,'[1]DATOS PBI Artículos'!$A$4:$A$4,'[1]DATOS PBI Artículos'!$Z$4:$Z$4)*_xlfn.XLOOKUP(_xlfn.XLOOKUP(A413,'[1]DATOS PBI Artículos'!$A$4:$A$4,'[1]DATOS PBI Artículos'!$Y$4:$Y$4),[1]CRITERIOS!$P$79:$P$123,[1]CRITERIOS!$S$79:$S$123)),0)*[1]CRITERIOS!$M$80*([1]CRITERIOS!$M$89*[1]CRITERIOS!$M$92)+((_xlfn.XLOOKUP(A413,'[1]DATOS PBI Artículos'!$A$4:$A$4,'[1]DATOS PBI Artículos'!$AA$4:$AA$4)/2)*([1]CRITERIOS!$M$95+[1]CRITERIOS!$M$98)))/N413)</f>
        <v>#N/A</v>
      </c>
      <c r="AE413" s="39" t="e">
        <f>IF($R413="MTO","",
IF($H413=0,ROUNDUP(((_xlfn.XLOOKUP($A413,'[1]DATOS PBI Artículos'!$A:$A,'[1]DATOS PBI Artículos'!$AL:$AL))/(_xlfn.XLOOKUP($AF$1,[1]CRITERIOS!$S$16:$S$39,[1]CRITERIOS!$Y$16:$Y$39))*$J413+$Z413)/$G413,0)*$G413,
((_xlfn.XLOOKUP($A413,'[1]DATOS PBI Artículos'!$A:$A,'[1]DATOS PBI Artículos'!$AL:$AL))/(_xlfn.XLOOKUP($AF$1,[1]CRITERIOS!$S$16:$S$39,[1]CRITERIOS!$Y$16:$Y$39))*$J413+$Z413)))</f>
        <v>#N/A</v>
      </c>
      <c r="AG413" s="39" t="e">
        <f>IF($R413="MTO","",
IF($H413=0,ROUNDUP(((_xlfn.XLOOKUP($A413,'[1]DATOS PBI Artículos'!$A:$A,'[1]DATOS PBI Artículos'!$AM:$AM))/(_xlfn.XLOOKUP($AH$1,[1]CRITERIOS!$S$16:$S$39,[1]CRITERIOS!$Y$16:$Y$39))*$J413+$Z413)/$G413,0)*$G413,
((_xlfn.XLOOKUP($A413,'[1]DATOS PBI Artículos'!$A:$A,'[1]DATOS PBI Artículos'!$AM:$AM))/(_xlfn.XLOOKUP($AH$1,[1]CRITERIOS!$S$16:$S$39,[1]CRITERIOS!$Y$16:$Y$39))*$J413+$Z413)))</f>
        <v>#N/A</v>
      </c>
      <c r="AI413" s="39" t="e">
        <f>IF($R413="MTO","",
IF($H413=0,ROUNDUP(((_xlfn.XLOOKUP($A413,'[1]DATOS PBI Artículos'!$A:$A,'[1]DATOS PBI Artículos'!$AN:$AN))/(_xlfn.XLOOKUP($AJ$1,[1]CRITERIOS!$S$16:$S$39,[1]CRITERIOS!$Y$16:$Y$39))*$J413+$Z413)/$G413,0)*$G413,
((_xlfn.XLOOKUP($A413,'[1]DATOS PBI Artículos'!$A:$A,'[1]DATOS PBI Artículos'!$AN:$AN))/(_xlfn.XLOOKUP($AJ$1,[1]CRITERIOS!$S$16:$S$39,[1]CRITERIOS!$Y$16:$Y$39))*$J413+$Z413)))</f>
        <v>#N/A</v>
      </c>
      <c r="AK413" s="39" t="e">
        <f>IF($R413="MTO","",
IF($H413=0,ROUNDUP(((_xlfn.XLOOKUP($A413,'[1]DATOS PBI Artículos'!$A:$A,'[1]DATOS PBI Artículos'!$AO:$AO))/(_xlfn.XLOOKUP($AL$1,[1]CRITERIOS!$S$16:$S$39,[1]CRITERIOS!$Y$16:$Y$39))*$J413+$Z413)/$G413,0)*$G413,
((_xlfn.XLOOKUP($A413,'[1]DATOS PBI Artículos'!$A:$A,'[1]DATOS PBI Artículos'!$AO:$AO))/(_xlfn.XLOOKUP($AL$1,[1]CRITERIOS!$S$16:$S$39,[1]CRITERIOS!$Y$16:$Y$39))*$J413+$Z413)))</f>
        <v>#N/A</v>
      </c>
    </row>
    <row r="414" spans="1:37" ht="25.8" hidden="1" x14ac:dyDescent="0.4">
      <c r="A414" s="41"/>
      <c r="B414" s="33">
        <f>_xlfn.XLOOKUP($A414,'[1]DATOS PBI Artículos'!A:A,'[1]DATOS PBI Artículos'!B:B)</f>
        <v>0</v>
      </c>
      <c r="C414" s="33">
        <f>_xlfn.XLOOKUP($A414,'[1]DATOS PBI Artículos'!A:A,'[1]DATOS PBI Artículos'!C:C)</f>
        <v>0</v>
      </c>
      <c r="D414" s="33">
        <f>_xlfn.XLOOKUP(A414,'[1]DATOS PBI Artículos'!A:A,'[1]DATOS PBI Artículos'!T:T)</f>
        <v>0</v>
      </c>
      <c r="E414" s="34">
        <f>IF(_xlfn.XLOOKUP($A414,'[1]DATOS PBI Artículos'!A:A,'[1]DATOS PBI Artículos'!AK:AK)="",_xlfn.XLOOKUP($A414,'[1]DATOS PBI Artículos'!A:A,'[1]DATOS PBI Artículos'!AJ:AJ),_xlfn.XLOOKUP($A414,'[1]DATOS PBI Artículos'!A:A,'[1]DATOS PBI Artículos'!AK:AK))</f>
        <v>0</v>
      </c>
      <c r="F414" s="35">
        <f>_xlfn.XLOOKUP($A414,'[1]DATOS PBI Artículos'!A:A,'[1]DATOS PBI Artículos'!AP:AP)</f>
        <v>0</v>
      </c>
      <c r="G414" s="34">
        <f>_xlfn.XLOOKUP($A414,'[1]DATOS PBI Artículos'!A:A,'[1]DATOS PBI Artículos'!AR:AR)</f>
        <v>0</v>
      </c>
      <c r="H414" s="34">
        <f>_xlfn.XLOOKUP($A414,'[1]DATOS PBI Artículos'!A:A,'[1]DATOS PBI Artículos'!AT:AT)</f>
        <v>0</v>
      </c>
      <c r="I414" s="34">
        <f>_xlfn.XLOOKUP($A414,'[1]DATOS PBI Artículos'!A:A,'[1]DATOS PBI Artículos'!AS:AS)</f>
        <v>0</v>
      </c>
      <c r="J414" s="35">
        <f>IF(COUNTIF([1]CRITERIOS!$F$179:$F$199,$A414)&gt;=1,
 IF(O414&lt;&gt;"",
    (O414/_xlfn.XLOOKUP(CONCATENATE(A414,L414),[1]MÁQUINAS!A:A,[1]MÁQUINAS!D:D))/24,
    (N414/_xlfn.XLOOKUP(CONCATENATE(A414,L414),[1]MÁQUINAS!A:A,[1]MÁQUINAS!D:D))/24),
  _xlfn.XLOOKUP($A414,'[1]DATOS PBI Artículos'!A:A,'[1]DATOS PBI Artículos'!AU:AU))</f>
        <v>0</v>
      </c>
      <c r="K414" s="36">
        <f>_xlfn.XLOOKUP($A414,'[1]DATOS PBI Artículos'!A:A,'[1]DATOS PBI Artículos'!AV:AV)</f>
        <v>0</v>
      </c>
      <c r="L414" s="33">
        <f>_xlfn.XLOOKUP(A414,[1]MÁQUINAS!B:B,[1]MÁQUINAS!C:C)</f>
        <v>0</v>
      </c>
      <c r="M414" s="34">
        <f t="array" ref="M414">_xlfn.XLOOKUP(A414,'[1]DATOS PBI Artículos'!A:A,'[1]DATOS PBI Artículos'!AX:$AX)</f>
        <v>0</v>
      </c>
      <c r="N414" s="37" t="e">
        <f>IF(I414="DV",
E414,
IF(COUNTIF([1]CRITERIOS!$I$179:$I$199,$A414)&gt;=1,
_xlfn.XLOOKUP($A414,[1]CRITERIOS!$I$179:$I$199,[1]CRITERIOS!$J$179:$J$199),
IF(COUNTIF([1]CRITERIOS!$L$179:$L$199,$A414)&gt;=1,
_xlfn.CEILING.MATH(IF($M414&gt;$E414,
$E414,
IF($M414&lt;$E414/ROUNDDOWN([1]CRITERIOS!$M$16/_xlfn.XLOOKUP($C414,[1]CRITERIOS!$K$25:$K$42,[1]CRITERIOS!$M$25:$M$42),
1),
E414/ROUNDDOWN([1]CRITERIOS!$M$16/_xlfn.XLOOKUP($C414,[1]CRITERIOS!$K$25:$K$42,[1]CRITERIOS!$M$25:$M$42),
1),
$M414)),
_xlfn.XLOOKUP($A414,[1]CRITERIOS!$L$179:$L$200,[1]CRITERIOS!$M$179:$M$200)),
_xlfn.CEILING.MATH(IF($M414&gt;$E414,
$E414,
IF($M414&lt;$E414/ROUNDDOWN([1]CRITERIOS!$M$16/_xlfn.XLOOKUP($C414,[1]CRITERIOS!$K$25:$K$42,[1]CRITERIOS!$M$25:$M$42),
1),
E414/ROUNDDOWN([1]CRITERIOS!$M$16/_xlfn.XLOOKUP($C414,[1]CRITERIOS!$K$25:$K$42,[1]CRITERIOS!$M$25:$M$42),
1),
$M414)),_xlfn.XLOOKUP(A414,'[1]DATOS PBI Artículos'!A:A,'[1]DATOS PBI Artículos'!Z:Z
)))))</f>
        <v>#N/A</v>
      </c>
      <c r="Q414" s="38" t="e">
        <f>IF(AND(O414="",N414=0),
0,
   IF(COUNTIF([1]CRITERIOS!$F$179:$F$199,$A414)&gt;=1,
   1,
   IF(R414="MTO",
      $D414,
      ROUNDUP(
                    IF(($E414-SUMIF('[1]DATOS PBI Artículos'!A:A,A414,'[1]DATOS PBI Artículos'!X:X)+($V414-_xlfn.XLOOKUP(A414,'[1]DATOS PBI Artículos'!A:A,'[1]DATOS PBI Artículos'!W:W)))&lt;0,
                    0,
                    IF(($E414-SUMIF('[1]DATOS PBI Artículos'!A:A,A414,'[1]DATOS PBI Artículos'!X:X)+$V414-_xlfn.XLOOKUP($A414,'[1]DATOS PBI Artículos'!A:A,'[1]DATOS PBI Artículos'!W:W))/IF($O414="",$N414,$O414)&gt;ROUNDUP([1]CRITERIOS!$M$16/(IF(COUNTIF([1]CRITERIOS!$BG$11:$BG$201,L414)&gt;=1,_xlfn.XLOOKUP($C414,[1]CRITERIOS!$K$25:$K$42,[1]CRITERIOS!$M$25:$M$42),_xlfn.XLOOKUP($C414,[1]CRITERIOS!$K$25:$K$42,[1]CRITERIOS!$M$25:$M$42))),0),
                    ROUNDUP([1]CRITERIOS!$M$16/(IF(COUNTIF([1]CRITERIOS!$BG$11:$BG$201,$L414)&gt;=1,_xlfn.XLOOKUP($C414,[1]CRITERIOS!$K$25:$K$42,[1]CRITERIOS!$M$25:$M$42),_xlfn.XLOOKUP($C414,[1]CRITERIOS!$K$25:$K$42,[1]CRITERIOS!$M$25:$M$42))),0),
                    (E414+V414-SUMIF('[1]DATOS PBI Artículos'!A:A,A414,'[1]DATOS PBI Artículos'!X:X)-_xlfn.XLOOKUP(A414,'[1]DATOS PBI Artículos'!A:A,'[1]DATOS PBI Artículos'!W:W))/IF($O414="",$N414,$O414))),0))))</f>
        <v>#N/A</v>
      </c>
      <c r="R414" s="33" t="e">
        <f>IF(U414&lt;&gt;"",U414,IF(F414="DV","MTO",IF(N414=0,"MTO",_xlfn.XLOOKUP(CONCATENATE(S414,T414),[1]CRITERIOS!$K$160:$K$168,[1]CRITERIOS!$N$160:$N$168))))</f>
        <v>#N/A</v>
      </c>
      <c r="S414" s="33" t="e">
        <f>IF(G414="DV","MTO",IF(N414=0,"MTO",IF(OR(AND(N414=0,O414=""),IF(O414="",G414/N414,G414/O414)&gt;[1]CRITERIOS!$G$163),"MTO",IF(IF(O414="",G414/N414,G414/O414)&lt;[1]CRITERIOS!$H$161,"MTS","MTOS"))))</f>
        <v>#N/A</v>
      </c>
      <c r="T414" s="33" t="e">
        <f>IF(F414="DV","MTO",IF(OR(AND($N414=0,O414=""),$F414/$J414&gt;[1]CRITERIOS!$G$170,$F414="DV"),"MTO",IF($F414/$J414&lt;[1]CRITERIOS!$H$168,"MTS","MTOS")))</f>
        <v>#N/A</v>
      </c>
      <c r="V414" s="34" t="e">
        <f t="shared" si="22"/>
        <v>#N/A</v>
      </c>
      <c r="X414" s="34" t="e">
        <f t="shared" si="20"/>
        <v>#N/A</v>
      </c>
      <c r="Y414" s="34" t="e">
        <f t="shared" si="21"/>
        <v>#N/A</v>
      </c>
      <c r="Z414" s="34" t="e">
        <f>IF($R414="MTO",
0,
($H414+$K414*($E414/[1]CRITERIOS!$M$16))/[1]CRITERIOS!$X$48)</f>
        <v>#N/A</v>
      </c>
      <c r="AA414" s="34" t="e">
        <f>ROUNDUP(($Y414/_xlfn.XLOOKUP($A414,'[1]DATOS PBI Artículos'!$A$4:$A$4,'[1]DATOS PBI Artículos'!$Z$4:$Z$4))/_xlfn.XLOOKUP(_xlfn.XLOOKUP($A414,'[1]DATOS PBI Artículos'!$A$4:$A$4,'[1]DATOS PBI Artículos'!$Y$4:$Y$4),[1]CRITERIOS!$P$79:$P$123,[1]CRITERIOS!$S$79:$S$123,),0)</f>
        <v>#N/A</v>
      </c>
      <c r="AB414" s="33" t="e">
        <f t="array" ref="AB414">IF((E414+V414-_xlfn.XLOOKUP(A414,'[1]DATOS PBI Artículos'!$A$4:$A$4,'[1]DATOS PBI Artículos'!$W$4:$W$4))/N414&gt;ROUNDUP([1]CRITERIOS!$M$16/(IF(COUNTIF([1]CRITERIOS!$BG$11:$BG$201,L414)&gt;=1,_xlfn.XLOOKUP(ARTÍCULOS!L414,[1]CRITERIOS!$BG$11:$BG$201,[1]CRITERIOS!$BJ$11:$BJ$201),_xlfn.XLOOKUP(ARTÍCULOS!C414,[1]CRITERIOS!$K$25:$K$42,[1]CRITERIOS!$M$25:$M$42))),0),ROUNDUP([1]CRITERIOS!$M$16/(IF(COUNTIF([1]CRITERIOS!$BG$11:$BG$201,L414)&gt;=1,_xlfn.XLOOKUP(ARTÍCULOS!L414,[1]CRITERIOS!$BG$11:$BG$201:#REF!,[1]CRITERIOS!$BJ$11:$BJ$201),_xlfn.XLOOKUP(ARTÍCULOS!C414,[1]CRITERIOS!$K$25:$K$42,[1]CRITERIOS!$M$25:$M$42))),0),(E414+V414-_xlfn.XLOOKUP(A414,'[1]DATOS PBI Artículos'!$A$4:$A$4,'[1]DATOS PBI Artículos'!$W$4:$W$4))/N414)</f>
        <v>#N/A</v>
      </c>
      <c r="AC414" s="33" t="e">
        <f>IF(N414=0,"",(ROUNDUP((N414/2)/(_xlfn.XLOOKUP(A414,'[1]DATOS PBI Artículos'!$A$4:$A$4,'[1]DATOS PBI Artículos'!$Z$4:$Z$4)*_xlfn.XLOOKUP(_xlfn.XLOOKUP(A414,'[1]DATOS PBI Artículos'!$A$4:$A$4,'[1]DATOS PBI Artículos'!$Y$4:$Y$4),[1]CRITERIOS!$P$79:$P$123,[1]CRITERIOS!$S$79:$S$123)),0)*[1]CRITERIOS!$M$80*([1]CRITERIOS!$M$110/[1]CRITERIOS!$M$86)+(_xlfn.XLOOKUP(A414,'[1]DATOS PBI Artículos'!$A$4:$A$4,'[1]DATOS PBI Artículos'!$AA$4:$AA$4)*([1]CRITERIOS!$M$95+[1]CRITERIOS!$M$98)))/N414)</f>
        <v>#N/A</v>
      </c>
      <c r="AD414" s="33" t="e">
        <f>IF(N414=0,"",(ROUNDUP((N414/2)/(_xlfn.XLOOKUP(A414,'[1]DATOS PBI Artículos'!$A$4:$A$4,'[1]DATOS PBI Artículos'!$Z$4:$Z$4)*_xlfn.XLOOKUP(_xlfn.XLOOKUP(A414,'[1]DATOS PBI Artículos'!$A$4:$A$4,'[1]DATOS PBI Artículos'!$Y$4:$Y$4),[1]CRITERIOS!$P$79:$P$123,[1]CRITERIOS!$S$79:$S$123)),0)*[1]CRITERIOS!$M$80*([1]CRITERIOS!$M$89*[1]CRITERIOS!$M$92)+((_xlfn.XLOOKUP(A414,'[1]DATOS PBI Artículos'!$A$4:$A$4,'[1]DATOS PBI Artículos'!$AA$4:$AA$4)/2)*([1]CRITERIOS!$M$95+[1]CRITERIOS!$M$98)))/N414)</f>
        <v>#N/A</v>
      </c>
      <c r="AE414" s="39" t="e">
        <f>IF($R414="MTO","",
IF($H414=0,ROUNDUP(((_xlfn.XLOOKUP($A414,'[1]DATOS PBI Artículos'!$A:$A,'[1]DATOS PBI Artículos'!$AL:$AL))/(_xlfn.XLOOKUP($AF$1,[1]CRITERIOS!$S$16:$S$39,[1]CRITERIOS!$Y$16:$Y$39))*$J414+$Z414)/$G414,0)*$G414,
((_xlfn.XLOOKUP($A414,'[1]DATOS PBI Artículos'!$A:$A,'[1]DATOS PBI Artículos'!$AL:$AL))/(_xlfn.XLOOKUP($AF$1,[1]CRITERIOS!$S$16:$S$39,[1]CRITERIOS!$Y$16:$Y$39))*$J414+$Z414)))</f>
        <v>#N/A</v>
      </c>
      <c r="AG414" s="39" t="e">
        <f>IF($R414="MTO","",
IF($H414=0,ROUNDUP(((_xlfn.XLOOKUP($A414,'[1]DATOS PBI Artículos'!$A:$A,'[1]DATOS PBI Artículos'!$AM:$AM))/(_xlfn.XLOOKUP($AH$1,[1]CRITERIOS!$S$16:$S$39,[1]CRITERIOS!$Y$16:$Y$39))*$J414+$Z414)/$G414,0)*$G414,
((_xlfn.XLOOKUP($A414,'[1]DATOS PBI Artículos'!$A:$A,'[1]DATOS PBI Artículos'!$AM:$AM))/(_xlfn.XLOOKUP($AH$1,[1]CRITERIOS!$S$16:$S$39,[1]CRITERIOS!$Y$16:$Y$39))*$J414+$Z414)))</f>
        <v>#N/A</v>
      </c>
      <c r="AI414" s="39" t="e">
        <f>IF($R414="MTO","",
IF($H414=0,ROUNDUP(((_xlfn.XLOOKUP($A414,'[1]DATOS PBI Artículos'!$A:$A,'[1]DATOS PBI Artículos'!$AN:$AN))/(_xlfn.XLOOKUP($AJ$1,[1]CRITERIOS!$S$16:$S$39,[1]CRITERIOS!$Y$16:$Y$39))*$J414+$Z414)/$G414,0)*$G414,
((_xlfn.XLOOKUP($A414,'[1]DATOS PBI Artículos'!$A:$A,'[1]DATOS PBI Artículos'!$AN:$AN))/(_xlfn.XLOOKUP($AJ$1,[1]CRITERIOS!$S$16:$S$39,[1]CRITERIOS!$Y$16:$Y$39))*$J414+$Z414)))</f>
        <v>#N/A</v>
      </c>
      <c r="AK414" s="39" t="e">
        <f>IF($R414="MTO","",
IF($H414=0,ROUNDUP(((_xlfn.XLOOKUP($A414,'[1]DATOS PBI Artículos'!$A:$A,'[1]DATOS PBI Artículos'!$AO:$AO))/(_xlfn.XLOOKUP($AL$1,[1]CRITERIOS!$S$16:$S$39,[1]CRITERIOS!$Y$16:$Y$39))*$J414+$Z414)/$G414,0)*$G414,
((_xlfn.XLOOKUP($A414,'[1]DATOS PBI Artículos'!$A:$A,'[1]DATOS PBI Artículos'!$AO:$AO))/(_xlfn.XLOOKUP($AL$1,[1]CRITERIOS!$S$16:$S$39,[1]CRITERIOS!$Y$16:$Y$39))*$J414+$Z414)))</f>
        <v>#N/A</v>
      </c>
    </row>
    <row r="415" spans="1:37" ht="25.8" hidden="1" x14ac:dyDescent="0.4">
      <c r="A415" s="41"/>
      <c r="B415" s="33">
        <f>_xlfn.XLOOKUP($A415,'[1]DATOS PBI Artículos'!A:A,'[1]DATOS PBI Artículos'!B:B)</f>
        <v>0</v>
      </c>
      <c r="C415" s="33">
        <f>_xlfn.XLOOKUP($A415,'[1]DATOS PBI Artículos'!A:A,'[1]DATOS PBI Artículos'!C:C)</f>
        <v>0</v>
      </c>
      <c r="D415" s="33">
        <f>_xlfn.XLOOKUP(A415,'[1]DATOS PBI Artículos'!A:A,'[1]DATOS PBI Artículos'!T:T)</f>
        <v>0</v>
      </c>
      <c r="E415" s="34">
        <f>IF(_xlfn.XLOOKUP($A415,'[1]DATOS PBI Artículos'!A:A,'[1]DATOS PBI Artículos'!AK:AK)="",_xlfn.XLOOKUP($A415,'[1]DATOS PBI Artículos'!A:A,'[1]DATOS PBI Artículos'!AJ:AJ),_xlfn.XLOOKUP($A415,'[1]DATOS PBI Artículos'!A:A,'[1]DATOS PBI Artículos'!AK:AK))</f>
        <v>0</v>
      </c>
      <c r="F415" s="35">
        <f>_xlfn.XLOOKUP($A415,'[1]DATOS PBI Artículos'!A:A,'[1]DATOS PBI Artículos'!AP:AP)</f>
        <v>0</v>
      </c>
      <c r="G415" s="34">
        <f>_xlfn.XLOOKUP($A415,'[1]DATOS PBI Artículos'!A:A,'[1]DATOS PBI Artículos'!AR:AR)</f>
        <v>0</v>
      </c>
      <c r="H415" s="34">
        <f>_xlfn.XLOOKUP($A415,'[1]DATOS PBI Artículos'!A:A,'[1]DATOS PBI Artículos'!AT:AT)</f>
        <v>0</v>
      </c>
      <c r="I415" s="34">
        <f>_xlfn.XLOOKUP($A415,'[1]DATOS PBI Artículos'!A:A,'[1]DATOS PBI Artículos'!AS:AS)</f>
        <v>0</v>
      </c>
      <c r="J415" s="35">
        <f>IF(COUNTIF([1]CRITERIOS!$F$179:$F$199,$A415)&gt;=1,
 IF(O415&lt;&gt;"",
    (O415/_xlfn.XLOOKUP(CONCATENATE(A415,L415),[1]MÁQUINAS!A:A,[1]MÁQUINAS!D:D))/24,
    (N415/_xlfn.XLOOKUP(CONCATENATE(A415,L415),[1]MÁQUINAS!A:A,[1]MÁQUINAS!D:D))/24),
  _xlfn.XLOOKUP($A415,'[1]DATOS PBI Artículos'!A:A,'[1]DATOS PBI Artículos'!AU:AU))</f>
        <v>0</v>
      </c>
      <c r="K415" s="36">
        <f>_xlfn.XLOOKUP($A415,'[1]DATOS PBI Artículos'!A:A,'[1]DATOS PBI Artículos'!AV:AV)</f>
        <v>0</v>
      </c>
      <c r="L415" s="33">
        <f>_xlfn.XLOOKUP(A415,[1]MÁQUINAS!B:B,[1]MÁQUINAS!C:C)</f>
        <v>0</v>
      </c>
      <c r="M415" s="34">
        <f t="array" ref="M415">_xlfn.XLOOKUP(A415,'[1]DATOS PBI Artículos'!A:A,'[1]DATOS PBI Artículos'!AX:$AX)</f>
        <v>0</v>
      </c>
      <c r="N415" s="37" t="e">
        <f>IF(I415="DV",
E415,
IF(COUNTIF([1]CRITERIOS!$I$179:$I$199,$A415)&gt;=1,
_xlfn.XLOOKUP($A415,[1]CRITERIOS!$I$179:$I$199,[1]CRITERIOS!$J$179:$J$199),
IF(COUNTIF([1]CRITERIOS!$L$179:$L$199,$A415)&gt;=1,
_xlfn.CEILING.MATH(IF($M415&gt;$E415,
$E415,
IF($M415&lt;$E415/ROUNDDOWN([1]CRITERIOS!$M$16/_xlfn.XLOOKUP($C415,[1]CRITERIOS!$K$25:$K$42,[1]CRITERIOS!$M$25:$M$42),
1),
E415/ROUNDDOWN([1]CRITERIOS!$M$16/_xlfn.XLOOKUP($C415,[1]CRITERIOS!$K$25:$K$42,[1]CRITERIOS!$M$25:$M$42),
1),
$M415)),
_xlfn.XLOOKUP($A415,[1]CRITERIOS!$L$179:$L$200,[1]CRITERIOS!$M$179:$M$200)),
_xlfn.CEILING.MATH(IF($M415&gt;$E415,
$E415,
IF($M415&lt;$E415/ROUNDDOWN([1]CRITERIOS!$M$16/_xlfn.XLOOKUP($C415,[1]CRITERIOS!$K$25:$K$42,[1]CRITERIOS!$M$25:$M$42),
1),
E415/ROUNDDOWN([1]CRITERIOS!$M$16/_xlfn.XLOOKUP($C415,[1]CRITERIOS!$K$25:$K$42,[1]CRITERIOS!$M$25:$M$42),
1),
$M415)),_xlfn.XLOOKUP(A415,'[1]DATOS PBI Artículos'!A:A,'[1]DATOS PBI Artículos'!Z:Z
)))))</f>
        <v>#N/A</v>
      </c>
      <c r="Q415" s="38" t="e">
        <f>IF(AND(O415="",N415=0),
0,
   IF(COUNTIF([1]CRITERIOS!$F$179:$F$199,$A415)&gt;=1,
   1,
   IF(R415="MTO",
      $D415,
      ROUNDUP(
                    IF(($E415-SUMIF('[1]DATOS PBI Artículos'!A:A,A415,'[1]DATOS PBI Artículos'!X:X)+($V415-_xlfn.XLOOKUP(A415,'[1]DATOS PBI Artículos'!A:A,'[1]DATOS PBI Artículos'!W:W)))&lt;0,
                    0,
                    IF(($E415-SUMIF('[1]DATOS PBI Artículos'!A:A,A415,'[1]DATOS PBI Artículos'!X:X)+$V415-_xlfn.XLOOKUP($A415,'[1]DATOS PBI Artículos'!A:A,'[1]DATOS PBI Artículos'!W:W))/IF($O415="",$N415,$O415)&gt;ROUNDUP([1]CRITERIOS!$M$16/(IF(COUNTIF([1]CRITERIOS!$BG$11:$BG$201,L415)&gt;=1,_xlfn.XLOOKUP($C415,[1]CRITERIOS!$K$25:$K$42,[1]CRITERIOS!$M$25:$M$42),_xlfn.XLOOKUP($C415,[1]CRITERIOS!$K$25:$K$42,[1]CRITERIOS!$M$25:$M$42))),0),
                    ROUNDUP([1]CRITERIOS!$M$16/(IF(COUNTIF([1]CRITERIOS!$BG$11:$BG$201,$L415)&gt;=1,_xlfn.XLOOKUP($C415,[1]CRITERIOS!$K$25:$K$42,[1]CRITERIOS!$M$25:$M$42),_xlfn.XLOOKUP($C415,[1]CRITERIOS!$K$25:$K$42,[1]CRITERIOS!$M$25:$M$42))),0),
                    (E415+V415-SUMIF('[1]DATOS PBI Artículos'!A:A,A415,'[1]DATOS PBI Artículos'!X:X)-_xlfn.XLOOKUP(A415,'[1]DATOS PBI Artículos'!A:A,'[1]DATOS PBI Artículos'!W:W))/IF($O415="",$N415,$O415))),0))))</f>
        <v>#N/A</v>
      </c>
      <c r="R415" s="33" t="e">
        <f>IF(U415&lt;&gt;"",U415,IF(F415="DV","MTO",IF(N415=0,"MTO",_xlfn.XLOOKUP(CONCATENATE(S415,T415),[1]CRITERIOS!$K$160:$K$168,[1]CRITERIOS!$N$160:$N$168))))</f>
        <v>#N/A</v>
      </c>
      <c r="S415" s="33" t="e">
        <f>IF(G415="DV","MTO",IF(N415=0,"MTO",IF(OR(AND(N415=0,O415=""),IF(O415="",G415/N415,G415/O415)&gt;[1]CRITERIOS!$G$163),"MTO",IF(IF(O415="",G415/N415,G415/O415)&lt;[1]CRITERIOS!$H$161,"MTS","MTOS"))))</f>
        <v>#N/A</v>
      </c>
      <c r="T415" s="33" t="e">
        <f>IF(F415="DV","MTO",IF(OR(AND($N415=0,O415=""),$F415/$J415&gt;[1]CRITERIOS!$G$170,$F415="DV"),"MTO",IF($F415/$J415&lt;[1]CRITERIOS!$H$168,"MTS","MTOS")))</f>
        <v>#N/A</v>
      </c>
      <c r="V415" s="34" t="e">
        <f t="shared" si="22"/>
        <v>#N/A</v>
      </c>
      <c r="X415" s="34" t="e">
        <f t="shared" si="20"/>
        <v>#N/A</v>
      </c>
      <c r="Y415" s="34" t="e">
        <f t="shared" si="21"/>
        <v>#N/A</v>
      </c>
      <c r="Z415" s="34" t="e">
        <f>IF($R415="MTO",
0,
($H415+$K415*($E415/[1]CRITERIOS!$M$16))/[1]CRITERIOS!$X$48)</f>
        <v>#N/A</v>
      </c>
      <c r="AA415" s="34" t="e">
        <f>ROUNDUP(($Y415/_xlfn.XLOOKUP($A415,'[1]DATOS PBI Artículos'!$A$4:$A$4,'[1]DATOS PBI Artículos'!$Z$4:$Z$4))/_xlfn.XLOOKUP(_xlfn.XLOOKUP($A415,'[1]DATOS PBI Artículos'!$A$4:$A$4,'[1]DATOS PBI Artículos'!$Y$4:$Y$4),[1]CRITERIOS!$P$79:$P$123,[1]CRITERIOS!$S$79:$S$123,),0)</f>
        <v>#N/A</v>
      </c>
      <c r="AB415" s="33" t="e">
        <f t="array" ref="AB415">IF((E415+V415-_xlfn.XLOOKUP(A415,'[1]DATOS PBI Artículos'!$A$4:$A$4,'[1]DATOS PBI Artículos'!$W$4:$W$4))/N415&gt;ROUNDUP([1]CRITERIOS!$M$16/(IF(COUNTIF([1]CRITERIOS!$BG$11:$BG$201,L415)&gt;=1,_xlfn.XLOOKUP(ARTÍCULOS!L415,[1]CRITERIOS!$BG$11:$BG$201,[1]CRITERIOS!$BJ$11:$BJ$201),_xlfn.XLOOKUP(ARTÍCULOS!C415,[1]CRITERIOS!$K$25:$K$42,[1]CRITERIOS!$M$25:$M$42))),0),ROUNDUP([1]CRITERIOS!$M$16/(IF(COUNTIF([1]CRITERIOS!$BG$11:$BG$201,L415)&gt;=1,_xlfn.XLOOKUP(ARTÍCULOS!L415,[1]CRITERIOS!$BG$11:$BG$201:#REF!,[1]CRITERIOS!$BJ$11:$BJ$201),_xlfn.XLOOKUP(ARTÍCULOS!C415,[1]CRITERIOS!$K$25:$K$42,[1]CRITERIOS!$M$25:$M$42))),0),(E415+V415-_xlfn.XLOOKUP(A415,'[1]DATOS PBI Artículos'!$A$4:$A$4,'[1]DATOS PBI Artículos'!$W$4:$W$4))/N415)</f>
        <v>#N/A</v>
      </c>
      <c r="AC415" s="33" t="e">
        <f>IF(N415=0,"",(ROUNDUP((N415/2)/(_xlfn.XLOOKUP(A415,'[1]DATOS PBI Artículos'!$A$4:$A$4,'[1]DATOS PBI Artículos'!$Z$4:$Z$4)*_xlfn.XLOOKUP(_xlfn.XLOOKUP(A415,'[1]DATOS PBI Artículos'!$A$4:$A$4,'[1]DATOS PBI Artículos'!$Y$4:$Y$4),[1]CRITERIOS!$P$79:$P$123,[1]CRITERIOS!$S$79:$S$123)),0)*[1]CRITERIOS!$M$80*([1]CRITERIOS!$M$110/[1]CRITERIOS!$M$86)+(_xlfn.XLOOKUP(A415,'[1]DATOS PBI Artículos'!$A$4:$A$4,'[1]DATOS PBI Artículos'!$AA$4:$AA$4)*([1]CRITERIOS!$M$95+[1]CRITERIOS!$M$98)))/N415)</f>
        <v>#N/A</v>
      </c>
      <c r="AD415" s="33" t="e">
        <f>IF(N415=0,"",(ROUNDUP((N415/2)/(_xlfn.XLOOKUP(A415,'[1]DATOS PBI Artículos'!$A$4:$A$4,'[1]DATOS PBI Artículos'!$Z$4:$Z$4)*_xlfn.XLOOKUP(_xlfn.XLOOKUP(A415,'[1]DATOS PBI Artículos'!$A$4:$A$4,'[1]DATOS PBI Artículos'!$Y$4:$Y$4),[1]CRITERIOS!$P$79:$P$123,[1]CRITERIOS!$S$79:$S$123)),0)*[1]CRITERIOS!$M$80*([1]CRITERIOS!$M$89*[1]CRITERIOS!$M$92)+((_xlfn.XLOOKUP(A415,'[1]DATOS PBI Artículos'!$A$4:$A$4,'[1]DATOS PBI Artículos'!$AA$4:$AA$4)/2)*([1]CRITERIOS!$M$95+[1]CRITERIOS!$M$98)))/N415)</f>
        <v>#N/A</v>
      </c>
      <c r="AE415" s="39" t="e">
        <f>IF($R415="MTO","",
IF($H415=0,ROUNDUP(((_xlfn.XLOOKUP($A415,'[1]DATOS PBI Artículos'!$A:$A,'[1]DATOS PBI Artículos'!$AL:$AL))/(_xlfn.XLOOKUP($AF$1,[1]CRITERIOS!$S$16:$S$39,[1]CRITERIOS!$Y$16:$Y$39))*$J415+$Z415)/$G415,0)*$G415,
((_xlfn.XLOOKUP($A415,'[1]DATOS PBI Artículos'!$A:$A,'[1]DATOS PBI Artículos'!$AL:$AL))/(_xlfn.XLOOKUP($AF$1,[1]CRITERIOS!$S$16:$S$39,[1]CRITERIOS!$Y$16:$Y$39))*$J415+$Z415)))</f>
        <v>#N/A</v>
      </c>
      <c r="AG415" s="39" t="e">
        <f>IF($R415="MTO","",
IF($H415=0,ROUNDUP(((_xlfn.XLOOKUP($A415,'[1]DATOS PBI Artículos'!$A:$A,'[1]DATOS PBI Artículos'!$AM:$AM))/(_xlfn.XLOOKUP($AH$1,[1]CRITERIOS!$S$16:$S$39,[1]CRITERIOS!$Y$16:$Y$39))*$J415+$Z415)/$G415,0)*$G415,
((_xlfn.XLOOKUP($A415,'[1]DATOS PBI Artículos'!$A:$A,'[1]DATOS PBI Artículos'!$AM:$AM))/(_xlfn.XLOOKUP($AH$1,[1]CRITERIOS!$S$16:$S$39,[1]CRITERIOS!$Y$16:$Y$39))*$J415+$Z415)))</f>
        <v>#N/A</v>
      </c>
      <c r="AI415" s="39" t="e">
        <f>IF($R415="MTO","",
IF($H415=0,ROUNDUP(((_xlfn.XLOOKUP($A415,'[1]DATOS PBI Artículos'!$A:$A,'[1]DATOS PBI Artículos'!$AN:$AN))/(_xlfn.XLOOKUP($AJ$1,[1]CRITERIOS!$S$16:$S$39,[1]CRITERIOS!$Y$16:$Y$39))*$J415+$Z415)/$G415,0)*$G415,
((_xlfn.XLOOKUP($A415,'[1]DATOS PBI Artículos'!$A:$A,'[1]DATOS PBI Artículos'!$AN:$AN))/(_xlfn.XLOOKUP($AJ$1,[1]CRITERIOS!$S$16:$S$39,[1]CRITERIOS!$Y$16:$Y$39))*$J415+$Z415)))</f>
        <v>#N/A</v>
      </c>
      <c r="AK415" s="39" t="e">
        <f>IF($R415="MTO","",
IF($H415=0,ROUNDUP(((_xlfn.XLOOKUP($A415,'[1]DATOS PBI Artículos'!$A:$A,'[1]DATOS PBI Artículos'!$AO:$AO))/(_xlfn.XLOOKUP($AL$1,[1]CRITERIOS!$S$16:$S$39,[1]CRITERIOS!$Y$16:$Y$39))*$J415+$Z415)/$G415,0)*$G415,
((_xlfn.XLOOKUP($A415,'[1]DATOS PBI Artículos'!$A:$A,'[1]DATOS PBI Artículos'!$AO:$AO))/(_xlfn.XLOOKUP($AL$1,[1]CRITERIOS!$S$16:$S$39,[1]CRITERIOS!$Y$16:$Y$39))*$J415+$Z415)))</f>
        <v>#N/A</v>
      </c>
    </row>
    <row r="416" spans="1:37" ht="25.8" hidden="1" x14ac:dyDescent="0.4">
      <c r="A416" s="41"/>
      <c r="B416" s="33">
        <f>_xlfn.XLOOKUP($A416,'[1]DATOS PBI Artículos'!A:A,'[1]DATOS PBI Artículos'!B:B)</f>
        <v>0</v>
      </c>
      <c r="C416" s="33">
        <f>_xlfn.XLOOKUP($A416,'[1]DATOS PBI Artículos'!A:A,'[1]DATOS PBI Artículos'!C:C)</f>
        <v>0</v>
      </c>
      <c r="D416" s="33">
        <f>_xlfn.XLOOKUP(A416,'[1]DATOS PBI Artículos'!A:A,'[1]DATOS PBI Artículos'!T:T)</f>
        <v>0</v>
      </c>
      <c r="E416" s="34">
        <f>IF(_xlfn.XLOOKUP($A416,'[1]DATOS PBI Artículos'!A:A,'[1]DATOS PBI Artículos'!AK:AK)="",_xlfn.XLOOKUP($A416,'[1]DATOS PBI Artículos'!A:A,'[1]DATOS PBI Artículos'!AJ:AJ),_xlfn.XLOOKUP($A416,'[1]DATOS PBI Artículos'!A:A,'[1]DATOS PBI Artículos'!AK:AK))</f>
        <v>0</v>
      </c>
      <c r="F416" s="35">
        <f>_xlfn.XLOOKUP($A416,'[1]DATOS PBI Artículos'!A:A,'[1]DATOS PBI Artículos'!AP:AP)</f>
        <v>0</v>
      </c>
      <c r="G416" s="34">
        <f>_xlfn.XLOOKUP($A416,'[1]DATOS PBI Artículos'!A:A,'[1]DATOS PBI Artículos'!AR:AR)</f>
        <v>0</v>
      </c>
      <c r="H416" s="34">
        <f>_xlfn.XLOOKUP($A416,'[1]DATOS PBI Artículos'!A:A,'[1]DATOS PBI Artículos'!AT:AT)</f>
        <v>0</v>
      </c>
      <c r="I416" s="34">
        <f>_xlfn.XLOOKUP($A416,'[1]DATOS PBI Artículos'!A:A,'[1]DATOS PBI Artículos'!AS:AS)</f>
        <v>0</v>
      </c>
      <c r="J416" s="35">
        <f>IF(COUNTIF([1]CRITERIOS!$F$179:$F$199,$A416)&gt;=1,
 IF(O416&lt;&gt;"",
    (O416/_xlfn.XLOOKUP(CONCATENATE(A416,L416),[1]MÁQUINAS!A:A,[1]MÁQUINAS!D:D))/24,
    (N416/_xlfn.XLOOKUP(CONCATENATE(A416,L416),[1]MÁQUINAS!A:A,[1]MÁQUINAS!D:D))/24),
  _xlfn.XLOOKUP($A416,'[1]DATOS PBI Artículos'!A:A,'[1]DATOS PBI Artículos'!AU:AU))</f>
        <v>0</v>
      </c>
      <c r="K416" s="36">
        <f>_xlfn.XLOOKUP($A416,'[1]DATOS PBI Artículos'!A:A,'[1]DATOS PBI Artículos'!AV:AV)</f>
        <v>0</v>
      </c>
      <c r="L416" s="33">
        <f>_xlfn.XLOOKUP(A416,[1]MÁQUINAS!B:B,[1]MÁQUINAS!C:C)</f>
        <v>0</v>
      </c>
      <c r="M416" s="34">
        <f t="array" ref="M416">_xlfn.XLOOKUP(A416,'[1]DATOS PBI Artículos'!A:A,'[1]DATOS PBI Artículos'!AX:$AX)</f>
        <v>0</v>
      </c>
      <c r="N416" s="37" t="e">
        <f>IF(I416="DV",
E416,
IF(COUNTIF([1]CRITERIOS!$I$179:$I$199,$A416)&gt;=1,
_xlfn.XLOOKUP($A416,[1]CRITERIOS!$I$179:$I$199,[1]CRITERIOS!$J$179:$J$199),
IF(COUNTIF([1]CRITERIOS!$L$179:$L$199,$A416)&gt;=1,
_xlfn.CEILING.MATH(IF($M416&gt;$E416,
$E416,
IF($M416&lt;$E416/ROUNDDOWN([1]CRITERIOS!$M$16/_xlfn.XLOOKUP($C416,[1]CRITERIOS!$K$25:$K$42,[1]CRITERIOS!$M$25:$M$42),
1),
E416/ROUNDDOWN([1]CRITERIOS!$M$16/_xlfn.XLOOKUP($C416,[1]CRITERIOS!$K$25:$K$42,[1]CRITERIOS!$M$25:$M$42),
1),
$M416)),
_xlfn.XLOOKUP($A416,[1]CRITERIOS!$L$179:$L$200,[1]CRITERIOS!$M$179:$M$200)),
_xlfn.CEILING.MATH(IF($M416&gt;$E416,
$E416,
IF($M416&lt;$E416/ROUNDDOWN([1]CRITERIOS!$M$16/_xlfn.XLOOKUP($C416,[1]CRITERIOS!$K$25:$K$42,[1]CRITERIOS!$M$25:$M$42),
1),
E416/ROUNDDOWN([1]CRITERIOS!$M$16/_xlfn.XLOOKUP($C416,[1]CRITERIOS!$K$25:$K$42,[1]CRITERIOS!$M$25:$M$42),
1),
$M416)),_xlfn.XLOOKUP(A416,'[1]DATOS PBI Artículos'!A:A,'[1]DATOS PBI Artículos'!Z:Z
)))))</f>
        <v>#N/A</v>
      </c>
      <c r="Q416" s="38" t="e">
        <f>IF(AND(O416="",N416=0),
0,
   IF(COUNTIF([1]CRITERIOS!$F$179:$F$199,$A416)&gt;=1,
   1,
   IF(R416="MTO",
      $D416,
      ROUNDUP(
                    IF(($E416-SUMIF('[1]DATOS PBI Artículos'!A:A,A416,'[1]DATOS PBI Artículos'!X:X)+($V416-_xlfn.XLOOKUP(A416,'[1]DATOS PBI Artículos'!A:A,'[1]DATOS PBI Artículos'!W:W)))&lt;0,
                    0,
                    IF(($E416-SUMIF('[1]DATOS PBI Artículos'!A:A,A416,'[1]DATOS PBI Artículos'!X:X)+$V416-_xlfn.XLOOKUP($A416,'[1]DATOS PBI Artículos'!A:A,'[1]DATOS PBI Artículos'!W:W))/IF($O416="",$N416,$O416)&gt;ROUNDUP([1]CRITERIOS!$M$16/(IF(COUNTIF([1]CRITERIOS!$BG$11:$BG$201,L416)&gt;=1,_xlfn.XLOOKUP($C416,[1]CRITERIOS!$K$25:$K$42,[1]CRITERIOS!$M$25:$M$42),_xlfn.XLOOKUP($C416,[1]CRITERIOS!$K$25:$K$42,[1]CRITERIOS!$M$25:$M$42))),0),
                    ROUNDUP([1]CRITERIOS!$M$16/(IF(COUNTIF([1]CRITERIOS!$BG$11:$BG$201,$L416)&gt;=1,_xlfn.XLOOKUP($C416,[1]CRITERIOS!$K$25:$K$42,[1]CRITERIOS!$M$25:$M$42),_xlfn.XLOOKUP($C416,[1]CRITERIOS!$K$25:$K$42,[1]CRITERIOS!$M$25:$M$42))),0),
                    (E416+V416-SUMIF('[1]DATOS PBI Artículos'!A:A,A416,'[1]DATOS PBI Artículos'!X:X)-_xlfn.XLOOKUP(A416,'[1]DATOS PBI Artículos'!A:A,'[1]DATOS PBI Artículos'!W:W))/IF($O416="",$N416,$O416))),0))))</f>
        <v>#N/A</v>
      </c>
      <c r="R416" s="33" t="e">
        <f>IF(U416&lt;&gt;"",U416,IF(F416="DV","MTO",IF(N416=0,"MTO",_xlfn.XLOOKUP(CONCATENATE(S416,T416),[1]CRITERIOS!$K$160:$K$168,[1]CRITERIOS!$N$160:$N$168))))</f>
        <v>#N/A</v>
      </c>
      <c r="S416" s="33" t="e">
        <f>IF(G416="DV","MTO",IF(N416=0,"MTO",IF(OR(AND(N416=0,O416=""),IF(O416="",G416/N416,G416/O416)&gt;[1]CRITERIOS!$G$163),"MTO",IF(IF(O416="",G416/N416,G416/O416)&lt;[1]CRITERIOS!$H$161,"MTS","MTOS"))))</f>
        <v>#N/A</v>
      </c>
      <c r="T416" s="33" t="e">
        <f>IF(F416="DV","MTO",IF(OR(AND($N416=0,O416=""),$F416/$J416&gt;[1]CRITERIOS!$G$170,$F416="DV"),"MTO",IF($F416/$J416&lt;[1]CRITERIOS!$H$168,"MTS","MTOS")))</f>
        <v>#N/A</v>
      </c>
      <c r="V416" s="34" t="e">
        <f t="shared" si="22"/>
        <v>#N/A</v>
      </c>
      <c r="X416" s="34" t="e">
        <f t="shared" si="20"/>
        <v>#N/A</v>
      </c>
      <c r="Y416" s="34" t="e">
        <f t="shared" si="21"/>
        <v>#N/A</v>
      </c>
      <c r="Z416" s="34" t="e">
        <f>IF($R416="MTO",
0,
($H416+$K416*($E416/[1]CRITERIOS!$M$16))/[1]CRITERIOS!$X$48)</f>
        <v>#N/A</v>
      </c>
      <c r="AA416" s="34" t="e">
        <f>ROUNDUP(($Y416/_xlfn.XLOOKUP($A416,'[1]DATOS PBI Artículos'!$A$4:$A$4,'[1]DATOS PBI Artículos'!$Z$4:$Z$4))/_xlfn.XLOOKUP(_xlfn.XLOOKUP($A416,'[1]DATOS PBI Artículos'!$A$4:$A$4,'[1]DATOS PBI Artículos'!$Y$4:$Y$4),[1]CRITERIOS!$P$79:$P$123,[1]CRITERIOS!$S$79:$S$123,),0)</f>
        <v>#N/A</v>
      </c>
      <c r="AB416" s="33" t="e">
        <f t="array" ref="AB416">IF((E416+V416-_xlfn.XLOOKUP(A416,'[1]DATOS PBI Artículos'!$A$4:$A$4,'[1]DATOS PBI Artículos'!$W$4:$W$4))/N416&gt;ROUNDUP([1]CRITERIOS!$M$16/(IF(COUNTIF([1]CRITERIOS!$BG$11:$BG$201,L416)&gt;=1,_xlfn.XLOOKUP(ARTÍCULOS!L416,[1]CRITERIOS!$BG$11:$BG$201,[1]CRITERIOS!$BJ$11:$BJ$201),_xlfn.XLOOKUP(ARTÍCULOS!C416,[1]CRITERIOS!$K$25:$K$42,[1]CRITERIOS!$M$25:$M$42))),0),ROUNDUP([1]CRITERIOS!$M$16/(IF(COUNTIF([1]CRITERIOS!$BG$11:$BG$201,L416)&gt;=1,_xlfn.XLOOKUP(ARTÍCULOS!L416,[1]CRITERIOS!$BG$11:$BG$201:#REF!,[1]CRITERIOS!$BJ$11:$BJ$201),_xlfn.XLOOKUP(ARTÍCULOS!C416,[1]CRITERIOS!$K$25:$K$42,[1]CRITERIOS!$M$25:$M$42))),0),(E416+V416-_xlfn.XLOOKUP(A416,'[1]DATOS PBI Artículos'!$A$4:$A$4,'[1]DATOS PBI Artículos'!$W$4:$W$4))/N416)</f>
        <v>#N/A</v>
      </c>
      <c r="AC416" s="33" t="e">
        <f>IF(N416=0,"",(ROUNDUP((N416/2)/(_xlfn.XLOOKUP(A416,'[1]DATOS PBI Artículos'!$A$4:$A$4,'[1]DATOS PBI Artículos'!$Z$4:$Z$4)*_xlfn.XLOOKUP(_xlfn.XLOOKUP(A416,'[1]DATOS PBI Artículos'!$A$4:$A$4,'[1]DATOS PBI Artículos'!$Y$4:$Y$4),[1]CRITERIOS!$P$79:$P$123,[1]CRITERIOS!$S$79:$S$123)),0)*[1]CRITERIOS!$M$80*([1]CRITERIOS!$M$110/[1]CRITERIOS!$M$86)+(_xlfn.XLOOKUP(A416,'[1]DATOS PBI Artículos'!$A$4:$A$4,'[1]DATOS PBI Artículos'!$AA$4:$AA$4)*([1]CRITERIOS!$M$95+[1]CRITERIOS!$M$98)))/N416)</f>
        <v>#N/A</v>
      </c>
      <c r="AD416" s="33" t="e">
        <f>IF(N416=0,"",(ROUNDUP((N416/2)/(_xlfn.XLOOKUP(A416,'[1]DATOS PBI Artículos'!$A$4:$A$4,'[1]DATOS PBI Artículos'!$Z$4:$Z$4)*_xlfn.XLOOKUP(_xlfn.XLOOKUP(A416,'[1]DATOS PBI Artículos'!$A$4:$A$4,'[1]DATOS PBI Artículos'!$Y$4:$Y$4),[1]CRITERIOS!$P$79:$P$123,[1]CRITERIOS!$S$79:$S$123)),0)*[1]CRITERIOS!$M$80*([1]CRITERIOS!$M$89*[1]CRITERIOS!$M$92)+((_xlfn.XLOOKUP(A416,'[1]DATOS PBI Artículos'!$A$4:$A$4,'[1]DATOS PBI Artículos'!$AA$4:$AA$4)/2)*([1]CRITERIOS!$M$95+[1]CRITERIOS!$M$98)))/N416)</f>
        <v>#N/A</v>
      </c>
      <c r="AE416" s="39" t="e">
        <f>IF($R416="MTO","",
IF($H416=0,ROUNDUP(((_xlfn.XLOOKUP($A416,'[1]DATOS PBI Artículos'!$A:$A,'[1]DATOS PBI Artículos'!$AL:$AL))/(_xlfn.XLOOKUP($AF$1,[1]CRITERIOS!$S$16:$S$39,[1]CRITERIOS!$Y$16:$Y$39))*$J416+$Z416)/$G416,0)*$G416,
((_xlfn.XLOOKUP($A416,'[1]DATOS PBI Artículos'!$A:$A,'[1]DATOS PBI Artículos'!$AL:$AL))/(_xlfn.XLOOKUP($AF$1,[1]CRITERIOS!$S$16:$S$39,[1]CRITERIOS!$Y$16:$Y$39))*$J416+$Z416)))</f>
        <v>#N/A</v>
      </c>
      <c r="AG416" s="39" t="e">
        <f>IF($R416="MTO","",
IF($H416=0,ROUNDUP(((_xlfn.XLOOKUP($A416,'[1]DATOS PBI Artículos'!$A:$A,'[1]DATOS PBI Artículos'!$AM:$AM))/(_xlfn.XLOOKUP($AH$1,[1]CRITERIOS!$S$16:$S$39,[1]CRITERIOS!$Y$16:$Y$39))*$J416+$Z416)/$G416,0)*$G416,
((_xlfn.XLOOKUP($A416,'[1]DATOS PBI Artículos'!$A:$A,'[1]DATOS PBI Artículos'!$AM:$AM))/(_xlfn.XLOOKUP($AH$1,[1]CRITERIOS!$S$16:$S$39,[1]CRITERIOS!$Y$16:$Y$39))*$J416+$Z416)))</f>
        <v>#N/A</v>
      </c>
      <c r="AI416" s="39" t="e">
        <f>IF($R416="MTO","",
IF($H416=0,ROUNDUP(((_xlfn.XLOOKUP($A416,'[1]DATOS PBI Artículos'!$A:$A,'[1]DATOS PBI Artículos'!$AN:$AN))/(_xlfn.XLOOKUP($AJ$1,[1]CRITERIOS!$S$16:$S$39,[1]CRITERIOS!$Y$16:$Y$39))*$J416+$Z416)/$G416,0)*$G416,
((_xlfn.XLOOKUP($A416,'[1]DATOS PBI Artículos'!$A:$A,'[1]DATOS PBI Artículos'!$AN:$AN))/(_xlfn.XLOOKUP($AJ$1,[1]CRITERIOS!$S$16:$S$39,[1]CRITERIOS!$Y$16:$Y$39))*$J416+$Z416)))</f>
        <v>#N/A</v>
      </c>
      <c r="AK416" s="39" t="e">
        <f>IF($R416="MTO","",
IF($H416=0,ROUNDUP(((_xlfn.XLOOKUP($A416,'[1]DATOS PBI Artículos'!$A:$A,'[1]DATOS PBI Artículos'!$AO:$AO))/(_xlfn.XLOOKUP($AL$1,[1]CRITERIOS!$S$16:$S$39,[1]CRITERIOS!$Y$16:$Y$39))*$J416+$Z416)/$G416,0)*$G416,
((_xlfn.XLOOKUP($A416,'[1]DATOS PBI Artículos'!$A:$A,'[1]DATOS PBI Artículos'!$AO:$AO))/(_xlfn.XLOOKUP($AL$1,[1]CRITERIOS!$S$16:$S$39,[1]CRITERIOS!$Y$16:$Y$39))*$J416+$Z416)))</f>
        <v>#N/A</v>
      </c>
    </row>
    <row r="417" spans="1:37" ht="25.8" hidden="1" x14ac:dyDescent="0.4">
      <c r="A417" s="41"/>
      <c r="B417" s="33">
        <f>_xlfn.XLOOKUP($A417,'[1]DATOS PBI Artículos'!A:A,'[1]DATOS PBI Artículos'!B:B)</f>
        <v>0</v>
      </c>
      <c r="C417" s="33">
        <f>_xlfn.XLOOKUP($A417,'[1]DATOS PBI Artículos'!A:A,'[1]DATOS PBI Artículos'!C:C)</f>
        <v>0</v>
      </c>
      <c r="D417" s="33">
        <f>_xlfn.XLOOKUP(A417,'[1]DATOS PBI Artículos'!A:A,'[1]DATOS PBI Artículos'!T:T)</f>
        <v>0</v>
      </c>
      <c r="E417" s="34">
        <f>IF(_xlfn.XLOOKUP($A417,'[1]DATOS PBI Artículos'!A:A,'[1]DATOS PBI Artículos'!AK:AK)="",_xlfn.XLOOKUP($A417,'[1]DATOS PBI Artículos'!A:A,'[1]DATOS PBI Artículos'!AJ:AJ),_xlfn.XLOOKUP($A417,'[1]DATOS PBI Artículos'!A:A,'[1]DATOS PBI Artículos'!AK:AK))</f>
        <v>0</v>
      </c>
      <c r="F417" s="35">
        <f>_xlfn.XLOOKUP($A417,'[1]DATOS PBI Artículos'!A:A,'[1]DATOS PBI Artículos'!AP:AP)</f>
        <v>0</v>
      </c>
      <c r="G417" s="34">
        <f>_xlfn.XLOOKUP($A417,'[1]DATOS PBI Artículos'!A:A,'[1]DATOS PBI Artículos'!AR:AR)</f>
        <v>0</v>
      </c>
      <c r="H417" s="34">
        <f>_xlfn.XLOOKUP($A417,'[1]DATOS PBI Artículos'!A:A,'[1]DATOS PBI Artículos'!AT:AT)</f>
        <v>0</v>
      </c>
      <c r="I417" s="34">
        <f>_xlfn.XLOOKUP($A417,'[1]DATOS PBI Artículos'!A:A,'[1]DATOS PBI Artículos'!AS:AS)</f>
        <v>0</v>
      </c>
      <c r="J417" s="35">
        <f>IF(COUNTIF([1]CRITERIOS!$F$179:$F$199,$A417)&gt;=1,
 IF(O417&lt;&gt;"",
    (O417/_xlfn.XLOOKUP(CONCATENATE(A417,L417),[1]MÁQUINAS!A:A,[1]MÁQUINAS!D:D))/24,
    (N417/_xlfn.XLOOKUP(CONCATENATE(A417,L417),[1]MÁQUINAS!A:A,[1]MÁQUINAS!D:D))/24),
  _xlfn.XLOOKUP($A417,'[1]DATOS PBI Artículos'!A:A,'[1]DATOS PBI Artículos'!AU:AU))</f>
        <v>0</v>
      </c>
      <c r="K417" s="36">
        <f>_xlfn.XLOOKUP($A417,'[1]DATOS PBI Artículos'!A:A,'[1]DATOS PBI Artículos'!AV:AV)</f>
        <v>0</v>
      </c>
      <c r="L417" s="33">
        <f>_xlfn.XLOOKUP(A417,[1]MÁQUINAS!B:B,[1]MÁQUINAS!C:C)</f>
        <v>0</v>
      </c>
      <c r="M417" s="34">
        <f t="array" ref="M417">_xlfn.XLOOKUP(A417,'[1]DATOS PBI Artículos'!A:A,'[1]DATOS PBI Artículos'!AX:$AX)</f>
        <v>0</v>
      </c>
      <c r="N417" s="37" t="e">
        <f>IF(I417="DV",
E417,
IF(COUNTIF([1]CRITERIOS!$I$179:$I$199,$A417)&gt;=1,
_xlfn.XLOOKUP($A417,[1]CRITERIOS!$I$179:$I$199,[1]CRITERIOS!$J$179:$J$199),
IF(COUNTIF([1]CRITERIOS!$L$179:$L$199,$A417)&gt;=1,
_xlfn.CEILING.MATH(IF($M417&gt;$E417,
$E417,
IF($M417&lt;$E417/ROUNDDOWN([1]CRITERIOS!$M$16/_xlfn.XLOOKUP($C417,[1]CRITERIOS!$K$25:$K$42,[1]CRITERIOS!$M$25:$M$42),
1),
E417/ROUNDDOWN([1]CRITERIOS!$M$16/_xlfn.XLOOKUP($C417,[1]CRITERIOS!$K$25:$K$42,[1]CRITERIOS!$M$25:$M$42),
1),
$M417)),
_xlfn.XLOOKUP($A417,[1]CRITERIOS!$L$179:$L$200,[1]CRITERIOS!$M$179:$M$200)),
_xlfn.CEILING.MATH(IF($M417&gt;$E417,
$E417,
IF($M417&lt;$E417/ROUNDDOWN([1]CRITERIOS!$M$16/_xlfn.XLOOKUP($C417,[1]CRITERIOS!$K$25:$K$42,[1]CRITERIOS!$M$25:$M$42),
1),
E417/ROUNDDOWN([1]CRITERIOS!$M$16/_xlfn.XLOOKUP($C417,[1]CRITERIOS!$K$25:$K$42,[1]CRITERIOS!$M$25:$M$42),
1),
$M417)),_xlfn.XLOOKUP(A417,'[1]DATOS PBI Artículos'!A:A,'[1]DATOS PBI Artículos'!Z:Z
)))))</f>
        <v>#N/A</v>
      </c>
      <c r="Q417" s="38" t="e">
        <f>IF(AND(O417="",N417=0),
0,
   IF(COUNTIF([1]CRITERIOS!$F$179:$F$199,$A417)&gt;=1,
   1,
   IF(R417="MTO",
      $D417,
      ROUNDUP(
                    IF(($E417-SUMIF('[1]DATOS PBI Artículos'!A:A,A417,'[1]DATOS PBI Artículos'!X:X)+($V417-_xlfn.XLOOKUP(A417,'[1]DATOS PBI Artículos'!A:A,'[1]DATOS PBI Artículos'!W:W)))&lt;0,
                    0,
                    IF(($E417-SUMIF('[1]DATOS PBI Artículos'!A:A,A417,'[1]DATOS PBI Artículos'!X:X)+$V417-_xlfn.XLOOKUP($A417,'[1]DATOS PBI Artículos'!A:A,'[1]DATOS PBI Artículos'!W:W))/IF($O417="",$N417,$O417)&gt;ROUNDUP([1]CRITERIOS!$M$16/(IF(COUNTIF([1]CRITERIOS!$BG$11:$BG$201,L417)&gt;=1,_xlfn.XLOOKUP($C417,[1]CRITERIOS!$K$25:$K$42,[1]CRITERIOS!$M$25:$M$42),_xlfn.XLOOKUP($C417,[1]CRITERIOS!$K$25:$K$42,[1]CRITERIOS!$M$25:$M$42))),0),
                    ROUNDUP([1]CRITERIOS!$M$16/(IF(COUNTIF([1]CRITERIOS!$BG$11:$BG$201,$L417)&gt;=1,_xlfn.XLOOKUP($C417,[1]CRITERIOS!$K$25:$K$42,[1]CRITERIOS!$M$25:$M$42),_xlfn.XLOOKUP($C417,[1]CRITERIOS!$K$25:$K$42,[1]CRITERIOS!$M$25:$M$42))),0),
                    (E417+V417-SUMIF('[1]DATOS PBI Artículos'!A:A,A417,'[1]DATOS PBI Artículos'!X:X)-_xlfn.XLOOKUP(A417,'[1]DATOS PBI Artículos'!A:A,'[1]DATOS PBI Artículos'!W:W))/IF($O417="",$N417,$O417))),0))))</f>
        <v>#N/A</v>
      </c>
      <c r="R417" s="33" t="e">
        <f>IF(U417&lt;&gt;"",U417,IF(F417="DV","MTO",IF(N417=0,"MTO",_xlfn.XLOOKUP(CONCATENATE(S417,T417),[1]CRITERIOS!$K$160:$K$168,[1]CRITERIOS!$N$160:$N$168))))</f>
        <v>#N/A</v>
      </c>
      <c r="S417" s="33" t="e">
        <f>IF(G417="DV","MTO",IF(N417=0,"MTO",IF(OR(AND(N417=0,O417=""),IF(O417="",G417/N417,G417/O417)&gt;[1]CRITERIOS!$G$163),"MTO",IF(IF(O417="",G417/N417,G417/O417)&lt;[1]CRITERIOS!$H$161,"MTS","MTOS"))))</f>
        <v>#N/A</v>
      </c>
      <c r="T417" s="33" t="e">
        <f>IF(F417="DV","MTO",IF(OR(AND($N417=0,O417=""),$F417/$J417&gt;[1]CRITERIOS!$G$170,$F417="DV"),"MTO",IF($F417/$J417&lt;[1]CRITERIOS!$H$168,"MTS","MTOS")))</f>
        <v>#N/A</v>
      </c>
      <c r="V417" s="34" t="e">
        <f t="shared" si="22"/>
        <v>#N/A</v>
      </c>
      <c r="X417" s="34" t="e">
        <f t="shared" si="20"/>
        <v>#N/A</v>
      </c>
      <c r="Y417" s="34" t="e">
        <f t="shared" si="21"/>
        <v>#N/A</v>
      </c>
      <c r="Z417" s="34" t="e">
        <f>IF($R417="MTO",
0,
($H417+$K417*($E417/[1]CRITERIOS!$M$16))/[1]CRITERIOS!$X$48)</f>
        <v>#N/A</v>
      </c>
      <c r="AA417" s="34" t="e">
        <f>ROUNDUP(($Y417/_xlfn.XLOOKUP($A417,'[1]DATOS PBI Artículos'!$A$4:$A$4,'[1]DATOS PBI Artículos'!$Z$4:$Z$4))/_xlfn.XLOOKUP(_xlfn.XLOOKUP($A417,'[1]DATOS PBI Artículos'!$A$4:$A$4,'[1]DATOS PBI Artículos'!$Y$4:$Y$4),[1]CRITERIOS!$P$79:$P$123,[1]CRITERIOS!$S$79:$S$123,),0)</f>
        <v>#N/A</v>
      </c>
      <c r="AB417" s="33" t="e">
        <f t="array" ref="AB417">IF((E417+V417-_xlfn.XLOOKUP(A417,'[1]DATOS PBI Artículos'!$A$4:$A$4,'[1]DATOS PBI Artículos'!$W$4:$W$4))/N417&gt;ROUNDUP([1]CRITERIOS!$M$16/(IF(COUNTIF([1]CRITERIOS!$BG$11:$BG$201,L417)&gt;=1,_xlfn.XLOOKUP(ARTÍCULOS!L417,[1]CRITERIOS!$BG$11:$BG$201,[1]CRITERIOS!$BJ$11:$BJ$201),_xlfn.XLOOKUP(ARTÍCULOS!C417,[1]CRITERIOS!$K$25:$K$42,[1]CRITERIOS!$M$25:$M$42))),0),ROUNDUP([1]CRITERIOS!$M$16/(IF(COUNTIF([1]CRITERIOS!$BG$11:$BG$201,L417)&gt;=1,_xlfn.XLOOKUP(ARTÍCULOS!L417,[1]CRITERIOS!$BG$11:$BG$201:#REF!,[1]CRITERIOS!$BJ$11:$BJ$201),_xlfn.XLOOKUP(ARTÍCULOS!C417,[1]CRITERIOS!$K$25:$K$42,[1]CRITERIOS!$M$25:$M$42))),0),(E417+V417-_xlfn.XLOOKUP(A417,'[1]DATOS PBI Artículos'!$A$4:$A$4,'[1]DATOS PBI Artículos'!$W$4:$W$4))/N417)</f>
        <v>#N/A</v>
      </c>
      <c r="AC417" s="33" t="e">
        <f>IF(N417=0,"",(ROUNDUP((N417/2)/(_xlfn.XLOOKUP(A417,'[1]DATOS PBI Artículos'!$A$4:$A$4,'[1]DATOS PBI Artículos'!$Z$4:$Z$4)*_xlfn.XLOOKUP(_xlfn.XLOOKUP(A417,'[1]DATOS PBI Artículos'!$A$4:$A$4,'[1]DATOS PBI Artículos'!$Y$4:$Y$4),[1]CRITERIOS!$P$79:$P$123,[1]CRITERIOS!$S$79:$S$123)),0)*[1]CRITERIOS!$M$80*([1]CRITERIOS!$M$110/[1]CRITERIOS!$M$86)+(_xlfn.XLOOKUP(A417,'[1]DATOS PBI Artículos'!$A$4:$A$4,'[1]DATOS PBI Artículos'!$AA$4:$AA$4)*([1]CRITERIOS!$M$95+[1]CRITERIOS!$M$98)))/N417)</f>
        <v>#N/A</v>
      </c>
      <c r="AD417" s="33" t="e">
        <f>IF(N417=0,"",(ROUNDUP((N417/2)/(_xlfn.XLOOKUP(A417,'[1]DATOS PBI Artículos'!$A$4:$A$4,'[1]DATOS PBI Artículos'!$Z$4:$Z$4)*_xlfn.XLOOKUP(_xlfn.XLOOKUP(A417,'[1]DATOS PBI Artículos'!$A$4:$A$4,'[1]DATOS PBI Artículos'!$Y$4:$Y$4),[1]CRITERIOS!$P$79:$P$123,[1]CRITERIOS!$S$79:$S$123)),0)*[1]CRITERIOS!$M$80*([1]CRITERIOS!$M$89*[1]CRITERIOS!$M$92)+((_xlfn.XLOOKUP(A417,'[1]DATOS PBI Artículos'!$A$4:$A$4,'[1]DATOS PBI Artículos'!$AA$4:$AA$4)/2)*([1]CRITERIOS!$M$95+[1]CRITERIOS!$M$98)))/N417)</f>
        <v>#N/A</v>
      </c>
      <c r="AE417" s="39" t="e">
        <f>IF($R417="MTO","",
IF($H417=0,ROUNDUP(((_xlfn.XLOOKUP($A417,'[1]DATOS PBI Artículos'!$A:$A,'[1]DATOS PBI Artículos'!$AL:$AL))/(_xlfn.XLOOKUP($AF$1,[1]CRITERIOS!$S$16:$S$39,[1]CRITERIOS!$Y$16:$Y$39))*$J417+$Z417)/$G417,0)*$G417,
((_xlfn.XLOOKUP($A417,'[1]DATOS PBI Artículos'!$A:$A,'[1]DATOS PBI Artículos'!$AL:$AL))/(_xlfn.XLOOKUP($AF$1,[1]CRITERIOS!$S$16:$S$39,[1]CRITERIOS!$Y$16:$Y$39))*$J417+$Z417)))</f>
        <v>#N/A</v>
      </c>
      <c r="AG417" s="39" t="e">
        <f>IF($R417="MTO","",
IF($H417=0,ROUNDUP(((_xlfn.XLOOKUP($A417,'[1]DATOS PBI Artículos'!$A:$A,'[1]DATOS PBI Artículos'!$AM:$AM))/(_xlfn.XLOOKUP($AH$1,[1]CRITERIOS!$S$16:$S$39,[1]CRITERIOS!$Y$16:$Y$39))*$J417+$Z417)/$G417,0)*$G417,
((_xlfn.XLOOKUP($A417,'[1]DATOS PBI Artículos'!$A:$A,'[1]DATOS PBI Artículos'!$AM:$AM))/(_xlfn.XLOOKUP($AH$1,[1]CRITERIOS!$S$16:$S$39,[1]CRITERIOS!$Y$16:$Y$39))*$J417+$Z417)))</f>
        <v>#N/A</v>
      </c>
      <c r="AI417" s="39" t="e">
        <f>IF($R417="MTO","",
IF($H417=0,ROUNDUP(((_xlfn.XLOOKUP($A417,'[1]DATOS PBI Artículos'!$A:$A,'[1]DATOS PBI Artículos'!$AN:$AN))/(_xlfn.XLOOKUP($AJ$1,[1]CRITERIOS!$S$16:$S$39,[1]CRITERIOS!$Y$16:$Y$39))*$J417+$Z417)/$G417,0)*$G417,
((_xlfn.XLOOKUP($A417,'[1]DATOS PBI Artículos'!$A:$A,'[1]DATOS PBI Artículos'!$AN:$AN))/(_xlfn.XLOOKUP($AJ$1,[1]CRITERIOS!$S$16:$S$39,[1]CRITERIOS!$Y$16:$Y$39))*$J417+$Z417)))</f>
        <v>#N/A</v>
      </c>
      <c r="AK417" s="39" t="e">
        <f>IF($R417="MTO","",
IF($H417=0,ROUNDUP(((_xlfn.XLOOKUP($A417,'[1]DATOS PBI Artículos'!$A:$A,'[1]DATOS PBI Artículos'!$AO:$AO))/(_xlfn.XLOOKUP($AL$1,[1]CRITERIOS!$S$16:$S$39,[1]CRITERIOS!$Y$16:$Y$39))*$J417+$Z417)/$G417,0)*$G417,
((_xlfn.XLOOKUP($A417,'[1]DATOS PBI Artículos'!$A:$A,'[1]DATOS PBI Artículos'!$AO:$AO))/(_xlfn.XLOOKUP($AL$1,[1]CRITERIOS!$S$16:$S$39,[1]CRITERIOS!$Y$16:$Y$39))*$J417+$Z417)))</f>
        <v>#N/A</v>
      </c>
    </row>
    <row r="418" spans="1:37" ht="25.8" hidden="1" x14ac:dyDescent="0.4">
      <c r="A418" s="41"/>
      <c r="B418" s="33">
        <f>_xlfn.XLOOKUP($A418,'[1]DATOS PBI Artículos'!A:A,'[1]DATOS PBI Artículos'!B:B)</f>
        <v>0</v>
      </c>
      <c r="C418" s="33">
        <f>_xlfn.XLOOKUP($A418,'[1]DATOS PBI Artículos'!A:A,'[1]DATOS PBI Artículos'!C:C)</f>
        <v>0</v>
      </c>
      <c r="D418" s="33">
        <f>_xlfn.XLOOKUP(A418,'[1]DATOS PBI Artículos'!A:A,'[1]DATOS PBI Artículos'!T:T)</f>
        <v>0</v>
      </c>
      <c r="E418" s="34">
        <f>IF(_xlfn.XLOOKUP($A418,'[1]DATOS PBI Artículos'!A:A,'[1]DATOS PBI Artículos'!AK:AK)="",_xlfn.XLOOKUP($A418,'[1]DATOS PBI Artículos'!A:A,'[1]DATOS PBI Artículos'!AJ:AJ),_xlfn.XLOOKUP($A418,'[1]DATOS PBI Artículos'!A:A,'[1]DATOS PBI Artículos'!AK:AK))</f>
        <v>0</v>
      </c>
      <c r="F418" s="35">
        <f>_xlfn.XLOOKUP($A418,'[1]DATOS PBI Artículos'!A:A,'[1]DATOS PBI Artículos'!AP:AP)</f>
        <v>0</v>
      </c>
      <c r="G418" s="34">
        <f>_xlfn.XLOOKUP($A418,'[1]DATOS PBI Artículos'!A:A,'[1]DATOS PBI Artículos'!AR:AR)</f>
        <v>0</v>
      </c>
      <c r="H418" s="34">
        <f>_xlfn.XLOOKUP($A418,'[1]DATOS PBI Artículos'!A:A,'[1]DATOS PBI Artículos'!AT:AT)</f>
        <v>0</v>
      </c>
      <c r="I418" s="34">
        <f>_xlfn.XLOOKUP($A418,'[1]DATOS PBI Artículos'!A:A,'[1]DATOS PBI Artículos'!AS:AS)</f>
        <v>0</v>
      </c>
      <c r="J418" s="35">
        <f>IF(COUNTIF([1]CRITERIOS!$F$179:$F$199,$A418)&gt;=1,
 IF(O418&lt;&gt;"",
    (O418/_xlfn.XLOOKUP(CONCATENATE(A418,L418),[1]MÁQUINAS!A:A,[1]MÁQUINAS!D:D))/24,
    (N418/_xlfn.XLOOKUP(CONCATENATE(A418,L418),[1]MÁQUINAS!A:A,[1]MÁQUINAS!D:D))/24),
  _xlfn.XLOOKUP($A418,'[1]DATOS PBI Artículos'!A:A,'[1]DATOS PBI Artículos'!AU:AU))</f>
        <v>0</v>
      </c>
      <c r="K418" s="36">
        <f>_xlfn.XLOOKUP($A418,'[1]DATOS PBI Artículos'!A:A,'[1]DATOS PBI Artículos'!AV:AV)</f>
        <v>0</v>
      </c>
      <c r="L418" s="33">
        <f>_xlfn.XLOOKUP(A418,[1]MÁQUINAS!B:B,[1]MÁQUINAS!C:C)</f>
        <v>0</v>
      </c>
      <c r="M418" s="34">
        <f t="array" ref="M418">_xlfn.XLOOKUP(A418,'[1]DATOS PBI Artículos'!A:A,'[1]DATOS PBI Artículos'!AX:$AX)</f>
        <v>0</v>
      </c>
      <c r="N418" s="37" t="e">
        <f>IF(I418="DV",
E418,
IF(COUNTIF([1]CRITERIOS!$I$179:$I$199,$A418)&gt;=1,
_xlfn.XLOOKUP($A418,[1]CRITERIOS!$I$179:$I$199,[1]CRITERIOS!$J$179:$J$199),
IF(COUNTIF([1]CRITERIOS!$L$179:$L$199,$A418)&gt;=1,
_xlfn.CEILING.MATH(IF($M418&gt;$E418,
$E418,
IF($M418&lt;$E418/ROUNDDOWN([1]CRITERIOS!$M$16/_xlfn.XLOOKUP($C418,[1]CRITERIOS!$K$25:$K$42,[1]CRITERIOS!$M$25:$M$42),
1),
E418/ROUNDDOWN([1]CRITERIOS!$M$16/_xlfn.XLOOKUP($C418,[1]CRITERIOS!$K$25:$K$42,[1]CRITERIOS!$M$25:$M$42),
1),
$M418)),
_xlfn.XLOOKUP($A418,[1]CRITERIOS!$L$179:$L$200,[1]CRITERIOS!$M$179:$M$200)),
_xlfn.CEILING.MATH(IF($M418&gt;$E418,
$E418,
IF($M418&lt;$E418/ROUNDDOWN([1]CRITERIOS!$M$16/_xlfn.XLOOKUP($C418,[1]CRITERIOS!$K$25:$K$42,[1]CRITERIOS!$M$25:$M$42),
1),
E418/ROUNDDOWN([1]CRITERIOS!$M$16/_xlfn.XLOOKUP($C418,[1]CRITERIOS!$K$25:$K$42,[1]CRITERIOS!$M$25:$M$42),
1),
$M418)),_xlfn.XLOOKUP(A418,'[1]DATOS PBI Artículos'!A:A,'[1]DATOS PBI Artículos'!Z:Z
)))))</f>
        <v>#N/A</v>
      </c>
      <c r="Q418" s="38" t="e">
        <f>IF(AND(O418="",N418=0),
0,
   IF(COUNTIF([1]CRITERIOS!$F$179:$F$199,$A418)&gt;=1,
   1,
   IF(R418="MTO",
      $D418,
      ROUNDUP(
                    IF(($E418-SUMIF('[1]DATOS PBI Artículos'!A:A,A418,'[1]DATOS PBI Artículos'!X:X)+($V418-_xlfn.XLOOKUP(A418,'[1]DATOS PBI Artículos'!A:A,'[1]DATOS PBI Artículos'!W:W)))&lt;0,
                    0,
                    IF(($E418-SUMIF('[1]DATOS PBI Artículos'!A:A,A418,'[1]DATOS PBI Artículos'!X:X)+$V418-_xlfn.XLOOKUP($A418,'[1]DATOS PBI Artículos'!A:A,'[1]DATOS PBI Artículos'!W:W))/IF($O418="",$N418,$O418)&gt;ROUNDUP([1]CRITERIOS!$M$16/(IF(COUNTIF([1]CRITERIOS!$BG$11:$BG$201,L418)&gt;=1,_xlfn.XLOOKUP($C418,[1]CRITERIOS!$K$25:$K$42,[1]CRITERIOS!$M$25:$M$42),_xlfn.XLOOKUP($C418,[1]CRITERIOS!$K$25:$K$42,[1]CRITERIOS!$M$25:$M$42))),0),
                    ROUNDUP([1]CRITERIOS!$M$16/(IF(COUNTIF([1]CRITERIOS!$BG$11:$BG$201,$L418)&gt;=1,_xlfn.XLOOKUP($C418,[1]CRITERIOS!$K$25:$K$42,[1]CRITERIOS!$M$25:$M$42),_xlfn.XLOOKUP($C418,[1]CRITERIOS!$K$25:$K$42,[1]CRITERIOS!$M$25:$M$42))),0),
                    (E418+V418-SUMIF('[1]DATOS PBI Artículos'!A:A,A418,'[1]DATOS PBI Artículos'!X:X)-_xlfn.XLOOKUP(A418,'[1]DATOS PBI Artículos'!A:A,'[1]DATOS PBI Artículos'!W:W))/IF($O418="",$N418,$O418))),0))))</f>
        <v>#N/A</v>
      </c>
      <c r="R418" s="33" t="e">
        <f>IF(U418&lt;&gt;"",U418,IF(F418="DV","MTO",IF(N418=0,"MTO",_xlfn.XLOOKUP(CONCATENATE(S418,T418),[1]CRITERIOS!$K$160:$K$168,[1]CRITERIOS!$N$160:$N$168))))</f>
        <v>#N/A</v>
      </c>
      <c r="S418" s="33" t="e">
        <f>IF(G418="DV","MTO",IF(N418=0,"MTO",IF(OR(AND(N418=0,O418=""),IF(O418="",G418/N418,G418/O418)&gt;[1]CRITERIOS!$G$163),"MTO",IF(IF(O418="",G418/N418,G418/O418)&lt;[1]CRITERIOS!$H$161,"MTS","MTOS"))))</f>
        <v>#N/A</v>
      </c>
      <c r="T418" s="33" t="e">
        <f>IF(F418="DV","MTO",IF(OR(AND($N418=0,O418=""),$F418/$J418&gt;[1]CRITERIOS!$G$170,$F418="DV"),"MTO",IF($F418/$J418&lt;[1]CRITERIOS!$H$168,"MTS","MTOS")))</f>
        <v>#N/A</v>
      </c>
      <c r="V418" s="34" t="e">
        <f t="shared" si="22"/>
        <v>#N/A</v>
      </c>
      <c r="X418" s="34" t="e">
        <f t="shared" si="20"/>
        <v>#N/A</v>
      </c>
      <c r="Y418" s="34" t="e">
        <f t="shared" si="21"/>
        <v>#N/A</v>
      </c>
      <c r="Z418" s="34" t="e">
        <f>IF($R418="MTO",
0,
($H418+$K418*($E418/[1]CRITERIOS!$M$16))/[1]CRITERIOS!$X$48)</f>
        <v>#N/A</v>
      </c>
      <c r="AA418" s="34" t="e">
        <f>ROUNDUP(($Y418/_xlfn.XLOOKUP($A418,'[1]DATOS PBI Artículos'!$A$4:$A$4,'[1]DATOS PBI Artículos'!$Z$4:$Z$4))/_xlfn.XLOOKUP(_xlfn.XLOOKUP($A418,'[1]DATOS PBI Artículos'!$A$4:$A$4,'[1]DATOS PBI Artículos'!$Y$4:$Y$4),[1]CRITERIOS!$P$79:$P$123,[1]CRITERIOS!$S$79:$S$123,),0)</f>
        <v>#N/A</v>
      </c>
      <c r="AB418" s="33" t="e">
        <f t="array" ref="AB418">IF((E418+V418-_xlfn.XLOOKUP(A418,'[1]DATOS PBI Artículos'!$A$4:$A$4,'[1]DATOS PBI Artículos'!$W$4:$W$4))/N418&gt;ROUNDUP([1]CRITERIOS!$M$16/(IF(COUNTIF([1]CRITERIOS!$BG$11:$BG$201,L418)&gt;=1,_xlfn.XLOOKUP(ARTÍCULOS!L418,[1]CRITERIOS!$BG$11:$BG$201,[1]CRITERIOS!$BJ$11:$BJ$201),_xlfn.XLOOKUP(ARTÍCULOS!C418,[1]CRITERIOS!$K$25:$K$42,[1]CRITERIOS!$M$25:$M$42))),0),ROUNDUP([1]CRITERIOS!$M$16/(IF(COUNTIF([1]CRITERIOS!$BG$11:$BG$201,L418)&gt;=1,_xlfn.XLOOKUP(ARTÍCULOS!L418,[1]CRITERIOS!$BG$11:$BG$201:#REF!,[1]CRITERIOS!$BJ$11:$BJ$201),_xlfn.XLOOKUP(ARTÍCULOS!C418,[1]CRITERIOS!$K$25:$K$42,[1]CRITERIOS!$M$25:$M$42))),0),(E418+V418-_xlfn.XLOOKUP(A418,'[1]DATOS PBI Artículos'!$A$4:$A$4,'[1]DATOS PBI Artículos'!$W$4:$W$4))/N418)</f>
        <v>#N/A</v>
      </c>
      <c r="AC418" s="33" t="e">
        <f>IF(N418=0,"",(ROUNDUP((N418/2)/(_xlfn.XLOOKUP(A418,'[1]DATOS PBI Artículos'!$A$4:$A$4,'[1]DATOS PBI Artículos'!$Z$4:$Z$4)*_xlfn.XLOOKUP(_xlfn.XLOOKUP(A418,'[1]DATOS PBI Artículos'!$A$4:$A$4,'[1]DATOS PBI Artículos'!$Y$4:$Y$4),[1]CRITERIOS!$P$79:$P$123,[1]CRITERIOS!$S$79:$S$123)),0)*[1]CRITERIOS!$M$80*([1]CRITERIOS!$M$110/[1]CRITERIOS!$M$86)+(_xlfn.XLOOKUP(A418,'[1]DATOS PBI Artículos'!$A$4:$A$4,'[1]DATOS PBI Artículos'!$AA$4:$AA$4)*([1]CRITERIOS!$M$95+[1]CRITERIOS!$M$98)))/N418)</f>
        <v>#N/A</v>
      </c>
      <c r="AD418" s="33" t="e">
        <f>IF(N418=0,"",(ROUNDUP((N418/2)/(_xlfn.XLOOKUP(A418,'[1]DATOS PBI Artículos'!$A$4:$A$4,'[1]DATOS PBI Artículos'!$Z$4:$Z$4)*_xlfn.XLOOKUP(_xlfn.XLOOKUP(A418,'[1]DATOS PBI Artículos'!$A$4:$A$4,'[1]DATOS PBI Artículos'!$Y$4:$Y$4),[1]CRITERIOS!$P$79:$P$123,[1]CRITERIOS!$S$79:$S$123)),0)*[1]CRITERIOS!$M$80*([1]CRITERIOS!$M$89*[1]CRITERIOS!$M$92)+((_xlfn.XLOOKUP(A418,'[1]DATOS PBI Artículos'!$A$4:$A$4,'[1]DATOS PBI Artículos'!$AA$4:$AA$4)/2)*([1]CRITERIOS!$M$95+[1]CRITERIOS!$M$98)))/N418)</f>
        <v>#N/A</v>
      </c>
      <c r="AE418" s="39" t="e">
        <f>IF($R418="MTO","",
IF($H418=0,ROUNDUP(((_xlfn.XLOOKUP($A418,'[1]DATOS PBI Artículos'!$A:$A,'[1]DATOS PBI Artículos'!$AL:$AL))/(_xlfn.XLOOKUP($AF$1,[1]CRITERIOS!$S$16:$S$39,[1]CRITERIOS!$Y$16:$Y$39))*$J418+$Z418)/$G418,0)*$G418,
((_xlfn.XLOOKUP($A418,'[1]DATOS PBI Artículos'!$A:$A,'[1]DATOS PBI Artículos'!$AL:$AL))/(_xlfn.XLOOKUP($AF$1,[1]CRITERIOS!$S$16:$S$39,[1]CRITERIOS!$Y$16:$Y$39))*$J418+$Z418)))</f>
        <v>#N/A</v>
      </c>
      <c r="AG418" s="39" t="e">
        <f>IF($R418="MTO","",
IF($H418=0,ROUNDUP(((_xlfn.XLOOKUP($A418,'[1]DATOS PBI Artículos'!$A:$A,'[1]DATOS PBI Artículos'!$AM:$AM))/(_xlfn.XLOOKUP($AH$1,[1]CRITERIOS!$S$16:$S$39,[1]CRITERIOS!$Y$16:$Y$39))*$J418+$Z418)/$G418,0)*$G418,
((_xlfn.XLOOKUP($A418,'[1]DATOS PBI Artículos'!$A:$A,'[1]DATOS PBI Artículos'!$AM:$AM))/(_xlfn.XLOOKUP($AH$1,[1]CRITERIOS!$S$16:$S$39,[1]CRITERIOS!$Y$16:$Y$39))*$J418+$Z418)))</f>
        <v>#N/A</v>
      </c>
      <c r="AI418" s="39" t="e">
        <f>IF($R418="MTO","",
IF($H418=0,ROUNDUP(((_xlfn.XLOOKUP($A418,'[1]DATOS PBI Artículos'!$A:$A,'[1]DATOS PBI Artículos'!$AN:$AN))/(_xlfn.XLOOKUP($AJ$1,[1]CRITERIOS!$S$16:$S$39,[1]CRITERIOS!$Y$16:$Y$39))*$J418+$Z418)/$G418,0)*$G418,
((_xlfn.XLOOKUP($A418,'[1]DATOS PBI Artículos'!$A:$A,'[1]DATOS PBI Artículos'!$AN:$AN))/(_xlfn.XLOOKUP($AJ$1,[1]CRITERIOS!$S$16:$S$39,[1]CRITERIOS!$Y$16:$Y$39))*$J418+$Z418)))</f>
        <v>#N/A</v>
      </c>
      <c r="AK418" s="39" t="e">
        <f>IF($R418="MTO","",
IF($H418=0,ROUNDUP(((_xlfn.XLOOKUP($A418,'[1]DATOS PBI Artículos'!$A:$A,'[1]DATOS PBI Artículos'!$AO:$AO))/(_xlfn.XLOOKUP($AL$1,[1]CRITERIOS!$S$16:$S$39,[1]CRITERIOS!$Y$16:$Y$39))*$J418+$Z418)/$G418,0)*$G418,
((_xlfn.XLOOKUP($A418,'[1]DATOS PBI Artículos'!$A:$A,'[1]DATOS PBI Artículos'!$AO:$AO))/(_xlfn.XLOOKUP($AL$1,[1]CRITERIOS!$S$16:$S$39,[1]CRITERIOS!$Y$16:$Y$39))*$J418+$Z418)))</f>
        <v>#N/A</v>
      </c>
    </row>
    <row r="419" spans="1:37" ht="25.8" hidden="1" x14ac:dyDescent="0.4">
      <c r="A419" s="41"/>
      <c r="B419" s="33">
        <f>_xlfn.XLOOKUP($A419,'[1]DATOS PBI Artículos'!A:A,'[1]DATOS PBI Artículos'!B:B)</f>
        <v>0</v>
      </c>
      <c r="C419" s="33">
        <f>_xlfn.XLOOKUP($A419,'[1]DATOS PBI Artículos'!A:A,'[1]DATOS PBI Artículos'!C:C)</f>
        <v>0</v>
      </c>
      <c r="D419" s="33">
        <f>_xlfn.XLOOKUP(A419,'[1]DATOS PBI Artículos'!A:A,'[1]DATOS PBI Artículos'!T:T)</f>
        <v>0</v>
      </c>
      <c r="E419" s="34">
        <f>IF(_xlfn.XLOOKUP($A419,'[1]DATOS PBI Artículos'!A:A,'[1]DATOS PBI Artículos'!AK:AK)="",_xlfn.XLOOKUP($A419,'[1]DATOS PBI Artículos'!A:A,'[1]DATOS PBI Artículos'!AJ:AJ),_xlfn.XLOOKUP($A419,'[1]DATOS PBI Artículos'!A:A,'[1]DATOS PBI Artículos'!AK:AK))</f>
        <v>0</v>
      </c>
      <c r="F419" s="35">
        <f>_xlfn.XLOOKUP($A419,'[1]DATOS PBI Artículos'!A:A,'[1]DATOS PBI Artículos'!AP:AP)</f>
        <v>0</v>
      </c>
      <c r="G419" s="34">
        <f>_xlfn.XLOOKUP($A419,'[1]DATOS PBI Artículos'!A:A,'[1]DATOS PBI Artículos'!AR:AR)</f>
        <v>0</v>
      </c>
      <c r="H419" s="34">
        <f>_xlfn.XLOOKUP($A419,'[1]DATOS PBI Artículos'!A:A,'[1]DATOS PBI Artículos'!AT:AT)</f>
        <v>0</v>
      </c>
      <c r="I419" s="34">
        <f>_xlfn.XLOOKUP($A419,'[1]DATOS PBI Artículos'!A:A,'[1]DATOS PBI Artículos'!AS:AS)</f>
        <v>0</v>
      </c>
      <c r="J419" s="35">
        <f>IF(COUNTIF([1]CRITERIOS!$F$179:$F$199,$A419)&gt;=1,
 IF(O419&lt;&gt;"",
    (O419/_xlfn.XLOOKUP(CONCATENATE(A419,L419),[1]MÁQUINAS!A:A,[1]MÁQUINAS!D:D))/24,
    (N419/_xlfn.XLOOKUP(CONCATENATE(A419,L419),[1]MÁQUINAS!A:A,[1]MÁQUINAS!D:D))/24),
  _xlfn.XLOOKUP($A419,'[1]DATOS PBI Artículos'!A:A,'[1]DATOS PBI Artículos'!AU:AU))</f>
        <v>0</v>
      </c>
      <c r="K419" s="36">
        <f>_xlfn.XLOOKUP($A419,'[1]DATOS PBI Artículos'!A:A,'[1]DATOS PBI Artículos'!AV:AV)</f>
        <v>0</v>
      </c>
      <c r="L419" s="33">
        <f>_xlfn.XLOOKUP(A419,[1]MÁQUINAS!B:B,[1]MÁQUINAS!C:C)</f>
        <v>0</v>
      </c>
      <c r="M419" s="34">
        <f t="array" ref="M419">_xlfn.XLOOKUP(A419,'[1]DATOS PBI Artículos'!A:A,'[1]DATOS PBI Artículos'!AX:$AX)</f>
        <v>0</v>
      </c>
      <c r="N419" s="37" t="e">
        <f>IF(I419="DV",
E419,
IF(COUNTIF([1]CRITERIOS!$I$179:$I$199,$A419)&gt;=1,
_xlfn.XLOOKUP($A419,[1]CRITERIOS!$I$179:$I$199,[1]CRITERIOS!$J$179:$J$199),
IF(COUNTIF([1]CRITERIOS!$L$179:$L$199,$A419)&gt;=1,
_xlfn.CEILING.MATH(IF($M419&gt;$E419,
$E419,
IF($M419&lt;$E419/ROUNDDOWN([1]CRITERIOS!$M$16/_xlfn.XLOOKUP($C419,[1]CRITERIOS!$K$25:$K$42,[1]CRITERIOS!$M$25:$M$42),
1),
E419/ROUNDDOWN([1]CRITERIOS!$M$16/_xlfn.XLOOKUP($C419,[1]CRITERIOS!$K$25:$K$42,[1]CRITERIOS!$M$25:$M$42),
1),
$M419)),
_xlfn.XLOOKUP($A419,[1]CRITERIOS!$L$179:$L$200,[1]CRITERIOS!$M$179:$M$200)),
_xlfn.CEILING.MATH(IF($M419&gt;$E419,
$E419,
IF($M419&lt;$E419/ROUNDDOWN([1]CRITERIOS!$M$16/_xlfn.XLOOKUP($C419,[1]CRITERIOS!$K$25:$K$42,[1]CRITERIOS!$M$25:$M$42),
1),
E419/ROUNDDOWN([1]CRITERIOS!$M$16/_xlfn.XLOOKUP($C419,[1]CRITERIOS!$K$25:$K$42,[1]CRITERIOS!$M$25:$M$42),
1),
$M419)),_xlfn.XLOOKUP(A419,'[1]DATOS PBI Artículos'!A:A,'[1]DATOS PBI Artículos'!Z:Z
)))))</f>
        <v>#N/A</v>
      </c>
      <c r="Q419" s="38" t="e">
        <f>IF(AND(O419="",N419=0),
0,
   IF(COUNTIF([1]CRITERIOS!$F$179:$F$199,$A419)&gt;=1,
   1,
   IF(R419="MTO",
      $D419,
      ROUNDUP(
                    IF(($E419-SUMIF('[1]DATOS PBI Artículos'!A:A,A419,'[1]DATOS PBI Artículos'!X:X)+($V419-_xlfn.XLOOKUP(A419,'[1]DATOS PBI Artículos'!A:A,'[1]DATOS PBI Artículos'!W:W)))&lt;0,
                    0,
                    IF(($E419-SUMIF('[1]DATOS PBI Artículos'!A:A,A419,'[1]DATOS PBI Artículos'!X:X)+$V419-_xlfn.XLOOKUP($A419,'[1]DATOS PBI Artículos'!A:A,'[1]DATOS PBI Artículos'!W:W))/IF($O419="",$N419,$O419)&gt;ROUNDUP([1]CRITERIOS!$M$16/(IF(COUNTIF([1]CRITERIOS!$BG$11:$BG$201,L419)&gt;=1,_xlfn.XLOOKUP($C419,[1]CRITERIOS!$K$25:$K$42,[1]CRITERIOS!$M$25:$M$42),_xlfn.XLOOKUP($C419,[1]CRITERIOS!$K$25:$K$42,[1]CRITERIOS!$M$25:$M$42))),0),
                    ROUNDUP([1]CRITERIOS!$M$16/(IF(COUNTIF([1]CRITERIOS!$BG$11:$BG$201,$L419)&gt;=1,_xlfn.XLOOKUP($C419,[1]CRITERIOS!$K$25:$K$42,[1]CRITERIOS!$M$25:$M$42),_xlfn.XLOOKUP($C419,[1]CRITERIOS!$K$25:$K$42,[1]CRITERIOS!$M$25:$M$42))),0),
                    (E419+V419-SUMIF('[1]DATOS PBI Artículos'!A:A,A419,'[1]DATOS PBI Artículos'!X:X)-_xlfn.XLOOKUP(A419,'[1]DATOS PBI Artículos'!A:A,'[1]DATOS PBI Artículos'!W:W))/IF($O419="",$N419,$O419))),0))))</f>
        <v>#N/A</v>
      </c>
      <c r="R419" s="33" t="e">
        <f>IF(U419&lt;&gt;"",U419,IF(F419="DV","MTO",IF(N419=0,"MTO",_xlfn.XLOOKUP(CONCATENATE(S419,T419),[1]CRITERIOS!$K$160:$K$168,[1]CRITERIOS!$N$160:$N$168))))</f>
        <v>#N/A</v>
      </c>
      <c r="S419" s="33" t="e">
        <f>IF(G419="DV","MTO",IF(N419=0,"MTO",IF(OR(AND(N419=0,O419=""),IF(O419="",G419/N419,G419/O419)&gt;[1]CRITERIOS!$G$163),"MTO",IF(IF(O419="",G419/N419,G419/O419)&lt;[1]CRITERIOS!$H$161,"MTS","MTOS"))))</f>
        <v>#N/A</v>
      </c>
      <c r="T419" s="33" t="e">
        <f>IF(F419="DV","MTO",IF(OR(AND($N419=0,O419=""),$F419/$J419&gt;[1]CRITERIOS!$G$170,$F419="DV"),"MTO",IF($F419/$J419&lt;[1]CRITERIOS!$H$168,"MTS","MTOS")))</f>
        <v>#N/A</v>
      </c>
      <c r="V419" s="34" t="e">
        <f t="shared" si="22"/>
        <v>#N/A</v>
      </c>
      <c r="X419" s="34" t="e">
        <f t="shared" si="20"/>
        <v>#N/A</v>
      </c>
      <c r="Y419" s="34" t="e">
        <f t="shared" si="21"/>
        <v>#N/A</v>
      </c>
      <c r="Z419" s="34" t="e">
        <f>IF($R419="MTO",
0,
($H419+$K419*($E419/[1]CRITERIOS!$M$16))/[1]CRITERIOS!$X$48)</f>
        <v>#N/A</v>
      </c>
      <c r="AA419" s="34" t="e">
        <f>ROUNDUP(($Y419/_xlfn.XLOOKUP($A419,'[1]DATOS PBI Artículos'!$A$4:$A$4,'[1]DATOS PBI Artículos'!$Z$4:$Z$4))/_xlfn.XLOOKUP(_xlfn.XLOOKUP($A419,'[1]DATOS PBI Artículos'!$A$4:$A$4,'[1]DATOS PBI Artículos'!$Y$4:$Y$4),[1]CRITERIOS!$P$79:$P$123,[1]CRITERIOS!$S$79:$S$123,),0)</f>
        <v>#N/A</v>
      </c>
      <c r="AB419" s="33" t="e">
        <f t="array" ref="AB419">IF((E419+V419-_xlfn.XLOOKUP(A419,'[1]DATOS PBI Artículos'!$A$4:$A$4,'[1]DATOS PBI Artículos'!$W$4:$W$4))/N419&gt;ROUNDUP([1]CRITERIOS!$M$16/(IF(COUNTIF([1]CRITERIOS!$BG$11:$BG$201,L419)&gt;=1,_xlfn.XLOOKUP(ARTÍCULOS!L419,[1]CRITERIOS!$BG$11:$BG$201,[1]CRITERIOS!$BJ$11:$BJ$201),_xlfn.XLOOKUP(ARTÍCULOS!C419,[1]CRITERIOS!$K$25:$K$42,[1]CRITERIOS!$M$25:$M$42))),0),ROUNDUP([1]CRITERIOS!$M$16/(IF(COUNTIF([1]CRITERIOS!$BG$11:$BG$201,L419)&gt;=1,_xlfn.XLOOKUP(ARTÍCULOS!L419,[1]CRITERIOS!$BG$11:$BG$201:#REF!,[1]CRITERIOS!$BJ$11:$BJ$201),_xlfn.XLOOKUP(ARTÍCULOS!C419,[1]CRITERIOS!$K$25:$K$42,[1]CRITERIOS!$M$25:$M$42))),0),(E419+V419-_xlfn.XLOOKUP(A419,'[1]DATOS PBI Artículos'!$A$4:$A$4,'[1]DATOS PBI Artículos'!$W$4:$W$4))/N419)</f>
        <v>#N/A</v>
      </c>
      <c r="AC419" s="33" t="e">
        <f>IF(N419=0,"",(ROUNDUP((N419/2)/(_xlfn.XLOOKUP(A419,'[1]DATOS PBI Artículos'!$A$4:$A$4,'[1]DATOS PBI Artículos'!$Z$4:$Z$4)*_xlfn.XLOOKUP(_xlfn.XLOOKUP(A419,'[1]DATOS PBI Artículos'!$A$4:$A$4,'[1]DATOS PBI Artículos'!$Y$4:$Y$4),[1]CRITERIOS!$P$79:$P$123,[1]CRITERIOS!$S$79:$S$123)),0)*[1]CRITERIOS!$M$80*([1]CRITERIOS!$M$110/[1]CRITERIOS!$M$86)+(_xlfn.XLOOKUP(A419,'[1]DATOS PBI Artículos'!$A$4:$A$4,'[1]DATOS PBI Artículos'!$AA$4:$AA$4)*([1]CRITERIOS!$M$95+[1]CRITERIOS!$M$98)))/N419)</f>
        <v>#N/A</v>
      </c>
      <c r="AD419" s="33" t="e">
        <f>IF(N419=0,"",(ROUNDUP((N419/2)/(_xlfn.XLOOKUP(A419,'[1]DATOS PBI Artículos'!$A$4:$A$4,'[1]DATOS PBI Artículos'!$Z$4:$Z$4)*_xlfn.XLOOKUP(_xlfn.XLOOKUP(A419,'[1]DATOS PBI Artículos'!$A$4:$A$4,'[1]DATOS PBI Artículos'!$Y$4:$Y$4),[1]CRITERIOS!$P$79:$P$123,[1]CRITERIOS!$S$79:$S$123)),0)*[1]CRITERIOS!$M$80*([1]CRITERIOS!$M$89*[1]CRITERIOS!$M$92)+((_xlfn.XLOOKUP(A419,'[1]DATOS PBI Artículos'!$A$4:$A$4,'[1]DATOS PBI Artículos'!$AA$4:$AA$4)/2)*([1]CRITERIOS!$M$95+[1]CRITERIOS!$M$98)))/N419)</f>
        <v>#N/A</v>
      </c>
      <c r="AE419" s="39" t="e">
        <f>IF($R419="MTO","",
IF($H419=0,ROUNDUP(((_xlfn.XLOOKUP($A419,'[1]DATOS PBI Artículos'!$A:$A,'[1]DATOS PBI Artículos'!$AL:$AL))/(_xlfn.XLOOKUP($AF$1,[1]CRITERIOS!$S$16:$S$39,[1]CRITERIOS!$Y$16:$Y$39))*$J419+$Z419)/$G419,0)*$G419,
((_xlfn.XLOOKUP($A419,'[1]DATOS PBI Artículos'!$A:$A,'[1]DATOS PBI Artículos'!$AL:$AL))/(_xlfn.XLOOKUP($AF$1,[1]CRITERIOS!$S$16:$S$39,[1]CRITERIOS!$Y$16:$Y$39))*$J419+$Z419)))</f>
        <v>#N/A</v>
      </c>
      <c r="AG419" s="39" t="e">
        <f>IF($R419="MTO","",
IF($H419=0,ROUNDUP(((_xlfn.XLOOKUP($A419,'[1]DATOS PBI Artículos'!$A:$A,'[1]DATOS PBI Artículos'!$AM:$AM))/(_xlfn.XLOOKUP($AH$1,[1]CRITERIOS!$S$16:$S$39,[1]CRITERIOS!$Y$16:$Y$39))*$J419+$Z419)/$G419,0)*$G419,
((_xlfn.XLOOKUP($A419,'[1]DATOS PBI Artículos'!$A:$A,'[1]DATOS PBI Artículos'!$AM:$AM))/(_xlfn.XLOOKUP($AH$1,[1]CRITERIOS!$S$16:$S$39,[1]CRITERIOS!$Y$16:$Y$39))*$J419+$Z419)))</f>
        <v>#N/A</v>
      </c>
      <c r="AI419" s="39" t="e">
        <f>IF($R419="MTO","",
IF($H419=0,ROUNDUP(((_xlfn.XLOOKUP($A419,'[1]DATOS PBI Artículos'!$A:$A,'[1]DATOS PBI Artículos'!$AN:$AN))/(_xlfn.XLOOKUP($AJ$1,[1]CRITERIOS!$S$16:$S$39,[1]CRITERIOS!$Y$16:$Y$39))*$J419+$Z419)/$G419,0)*$G419,
((_xlfn.XLOOKUP($A419,'[1]DATOS PBI Artículos'!$A:$A,'[1]DATOS PBI Artículos'!$AN:$AN))/(_xlfn.XLOOKUP($AJ$1,[1]CRITERIOS!$S$16:$S$39,[1]CRITERIOS!$Y$16:$Y$39))*$J419+$Z419)))</f>
        <v>#N/A</v>
      </c>
      <c r="AK419" s="39" t="e">
        <f>IF($R419="MTO","",
IF($H419=0,ROUNDUP(((_xlfn.XLOOKUP($A419,'[1]DATOS PBI Artículos'!$A:$A,'[1]DATOS PBI Artículos'!$AO:$AO))/(_xlfn.XLOOKUP($AL$1,[1]CRITERIOS!$S$16:$S$39,[1]CRITERIOS!$Y$16:$Y$39))*$J419+$Z419)/$G419,0)*$G419,
((_xlfn.XLOOKUP($A419,'[1]DATOS PBI Artículos'!$A:$A,'[1]DATOS PBI Artículos'!$AO:$AO))/(_xlfn.XLOOKUP($AL$1,[1]CRITERIOS!$S$16:$S$39,[1]CRITERIOS!$Y$16:$Y$39))*$J419+$Z419)))</f>
        <v>#N/A</v>
      </c>
    </row>
    <row r="420" spans="1:37" ht="25.8" hidden="1" x14ac:dyDescent="0.4">
      <c r="A420" s="41"/>
      <c r="B420" s="33">
        <f>_xlfn.XLOOKUP($A420,'[1]DATOS PBI Artículos'!A:A,'[1]DATOS PBI Artículos'!B:B)</f>
        <v>0</v>
      </c>
      <c r="C420" s="33">
        <f>_xlfn.XLOOKUP($A420,'[1]DATOS PBI Artículos'!A:A,'[1]DATOS PBI Artículos'!C:C)</f>
        <v>0</v>
      </c>
      <c r="D420" s="33">
        <f>_xlfn.XLOOKUP(A420,'[1]DATOS PBI Artículos'!A:A,'[1]DATOS PBI Artículos'!T:T)</f>
        <v>0</v>
      </c>
      <c r="E420" s="34">
        <f>IF(_xlfn.XLOOKUP($A420,'[1]DATOS PBI Artículos'!A:A,'[1]DATOS PBI Artículos'!AK:AK)="",_xlfn.XLOOKUP($A420,'[1]DATOS PBI Artículos'!A:A,'[1]DATOS PBI Artículos'!AJ:AJ),_xlfn.XLOOKUP($A420,'[1]DATOS PBI Artículos'!A:A,'[1]DATOS PBI Artículos'!AK:AK))</f>
        <v>0</v>
      </c>
      <c r="F420" s="35">
        <f>_xlfn.XLOOKUP($A420,'[1]DATOS PBI Artículos'!A:A,'[1]DATOS PBI Artículos'!AP:AP)</f>
        <v>0</v>
      </c>
      <c r="G420" s="34">
        <f>_xlfn.XLOOKUP($A420,'[1]DATOS PBI Artículos'!A:A,'[1]DATOS PBI Artículos'!AR:AR)</f>
        <v>0</v>
      </c>
      <c r="H420" s="34">
        <f>_xlfn.XLOOKUP($A420,'[1]DATOS PBI Artículos'!A:A,'[1]DATOS PBI Artículos'!AT:AT)</f>
        <v>0</v>
      </c>
      <c r="I420" s="34">
        <f>_xlfn.XLOOKUP($A420,'[1]DATOS PBI Artículos'!A:A,'[1]DATOS PBI Artículos'!AS:AS)</f>
        <v>0</v>
      </c>
      <c r="J420" s="35">
        <f>IF(COUNTIF([1]CRITERIOS!$F$179:$F$199,$A420)&gt;=1,
 IF(O420&lt;&gt;"",
    (O420/_xlfn.XLOOKUP(CONCATENATE(A420,L420),[1]MÁQUINAS!A:A,[1]MÁQUINAS!D:D))/24,
    (N420/_xlfn.XLOOKUP(CONCATENATE(A420,L420),[1]MÁQUINAS!A:A,[1]MÁQUINAS!D:D))/24),
  _xlfn.XLOOKUP($A420,'[1]DATOS PBI Artículos'!A:A,'[1]DATOS PBI Artículos'!AU:AU))</f>
        <v>0</v>
      </c>
      <c r="K420" s="36">
        <f>_xlfn.XLOOKUP($A420,'[1]DATOS PBI Artículos'!A:A,'[1]DATOS PBI Artículos'!AV:AV)</f>
        <v>0</v>
      </c>
      <c r="L420" s="33">
        <f>_xlfn.XLOOKUP(A420,[1]MÁQUINAS!B:B,[1]MÁQUINAS!C:C)</f>
        <v>0</v>
      </c>
      <c r="M420" s="34">
        <f t="array" ref="M420">_xlfn.XLOOKUP(A420,'[1]DATOS PBI Artículos'!A:A,'[1]DATOS PBI Artículos'!AX:$AX)</f>
        <v>0</v>
      </c>
      <c r="N420" s="37" t="e">
        <f>IF(I420="DV",
E420,
IF(COUNTIF([1]CRITERIOS!$I$179:$I$199,$A420)&gt;=1,
_xlfn.XLOOKUP($A420,[1]CRITERIOS!$I$179:$I$199,[1]CRITERIOS!$J$179:$J$199),
IF(COUNTIF([1]CRITERIOS!$L$179:$L$199,$A420)&gt;=1,
_xlfn.CEILING.MATH(IF($M420&gt;$E420,
$E420,
IF($M420&lt;$E420/ROUNDDOWN([1]CRITERIOS!$M$16/_xlfn.XLOOKUP($C420,[1]CRITERIOS!$K$25:$K$42,[1]CRITERIOS!$M$25:$M$42),
1),
E420/ROUNDDOWN([1]CRITERIOS!$M$16/_xlfn.XLOOKUP($C420,[1]CRITERIOS!$K$25:$K$42,[1]CRITERIOS!$M$25:$M$42),
1),
$M420)),
_xlfn.XLOOKUP($A420,[1]CRITERIOS!$L$179:$L$200,[1]CRITERIOS!$M$179:$M$200)),
_xlfn.CEILING.MATH(IF($M420&gt;$E420,
$E420,
IF($M420&lt;$E420/ROUNDDOWN([1]CRITERIOS!$M$16/_xlfn.XLOOKUP($C420,[1]CRITERIOS!$K$25:$K$42,[1]CRITERIOS!$M$25:$M$42),
1),
E420/ROUNDDOWN([1]CRITERIOS!$M$16/_xlfn.XLOOKUP($C420,[1]CRITERIOS!$K$25:$K$42,[1]CRITERIOS!$M$25:$M$42),
1),
$M420)),_xlfn.XLOOKUP(A420,'[1]DATOS PBI Artículos'!A:A,'[1]DATOS PBI Artículos'!Z:Z
)))))</f>
        <v>#N/A</v>
      </c>
      <c r="Q420" s="38" t="e">
        <f>IF(AND(O420="",N420=0),
0,
   IF(COUNTIF([1]CRITERIOS!$F$179:$F$199,$A420)&gt;=1,
   1,
   IF(R420="MTO",
      $D420,
      ROUNDUP(
                    IF(($E420-SUMIF('[1]DATOS PBI Artículos'!A:A,A420,'[1]DATOS PBI Artículos'!X:X)+($V420-_xlfn.XLOOKUP(A420,'[1]DATOS PBI Artículos'!A:A,'[1]DATOS PBI Artículos'!W:W)))&lt;0,
                    0,
                    IF(($E420-SUMIF('[1]DATOS PBI Artículos'!A:A,A420,'[1]DATOS PBI Artículos'!X:X)+$V420-_xlfn.XLOOKUP($A420,'[1]DATOS PBI Artículos'!A:A,'[1]DATOS PBI Artículos'!W:W))/IF($O420="",$N420,$O420)&gt;ROUNDUP([1]CRITERIOS!$M$16/(IF(COUNTIF([1]CRITERIOS!$BG$11:$BG$201,L420)&gt;=1,_xlfn.XLOOKUP($C420,[1]CRITERIOS!$K$25:$K$42,[1]CRITERIOS!$M$25:$M$42),_xlfn.XLOOKUP($C420,[1]CRITERIOS!$K$25:$K$42,[1]CRITERIOS!$M$25:$M$42))),0),
                    ROUNDUP([1]CRITERIOS!$M$16/(IF(COUNTIF([1]CRITERIOS!$BG$11:$BG$201,$L420)&gt;=1,_xlfn.XLOOKUP($C420,[1]CRITERIOS!$K$25:$K$42,[1]CRITERIOS!$M$25:$M$42),_xlfn.XLOOKUP($C420,[1]CRITERIOS!$K$25:$K$42,[1]CRITERIOS!$M$25:$M$42))),0),
                    (E420+V420-SUMIF('[1]DATOS PBI Artículos'!A:A,A420,'[1]DATOS PBI Artículos'!X:X)-_xlfn.XLOOKUP(A420,'[1]DATOS PBI Artículos'!A:A,'[1]DATOS PBI Artículos'!W:W))/IF($O420="",$N420,$O420))),0))))</f>
        <v>#N/A</v>
      </c>
      <c r="R420" s="33" t="e">
        <f>IF(U420&lt;&gt;"",U420,IF(F420="DV","MTO",IF(N420=0,"MTO",_xlfn.XLOOKUP(CONCATENATE(S420,T420),[1]CRITERIOS!$K$160:$K$168,[1]CRITERIOS!$N$160:$N$168))))</f>
        <v>#N/A</v>
      </c>
      <c r="S420" s="33" t="e">
        <f>IF(G420="DV","MTO",IF(N420=0,"MTO",IF(OR(AND(N420=0,O420=""),IF(O420="",G420/N420,G420/O420)&gt;[1]CRITERIOS!$G$163),"MTO",IF(IF(O420="",G420/N420,G420/O420)&lt;[1]CRITERIOS!$H$161,"MTS","MTOS"))))</f>
        <v>#N/A</v>
      </c>
      <c r="T420" s="33" t="e">
        <f>IF(F420="DV","MTO",IF(OR(AND($N420=0,O420=""),$F420/$J420&gt;[1]CRITERIOS!$G$170,$F420="DV"),"MTO",IF($F420/$J420&lt;[1]CRITERIOS!$H$168,"MTS","MTOS")))</f>
        <v>#N/A</v>
      </c>
      <c r="V420" s="34" t="e">
        <f t="shared" si="22"/>
        <v>#N/A</v>
      </c>
      <c r="X420" s="34" t="e">
        <f t="shared" si="20"/>
        <v>#N/A</v>
      </c>
      <c r="Y420" s="34" t="e">
        <f t="shared" si="21"/>
        <v>#N/A</v>
      </c>
      <c r="Z420" s="34" t="e">
        <f>IF($R420="MTO",
0,
($H420+$K420*($E420/[1]CRITERIOS!$M$16))/[1]CRITERIOS!$X$48)</f>
        <v>#N/A</v>
      </c>
      <c r="AA420" s="34" t="e">
        <f>ROUNDUP(($Y420/_xlfn.XLOOKUP($A420,'[1]DATOS PBI Artículos'!$A$4:$A$4,'[1]DATOS PBI Artículos'!$Z$4:$Z$4))/_xlfn.XLOOKUP(_xlfn.XLOOKUP($A420,'[1]DATOS PBI Artículos'!$A$4:$A$4,'[1]DATOS PBI Artículos'!$Y$4:$Y$4),[1]CRITERIOS!$P$79:$P$123,[1]CRITERIOS!$S$79:$S$123,),0)</f>
        <v>#N/A</v>
      </c>
      <c r="AB420" s="33" t="e">
        <f t="array" ref="AB420">IF((E420+V420-_xlfn.XLOOKUP(A420,'[1]DATOS PBI Artículos'!$A$4:$A$4,'[1]DATOS PBI Artículos'!$W$4:$W$4))/N420&gt;ROUNDUP([1]CRITERIOS!$M$16/(IF(COUNTIF([1]CRITERIOS!$BG$11:$BG$201,L420)&gt;=1,_xlfn.XLOOKUP(ARTÍCULOS!L420,[1]CRITERIOS!$BG$11:$BG$201,[1]CRITERIOS!$BJ$11:$BJ$201),_xlfn.XLOOKUP(ARTÍCULOS!C420,[1]CRITERIOS!$K$25:$K$42,[1]CRITERIOS!$M$25:$M$42))),0),ROUNDUP([1]CRITERIOS!$M$16/(IF(COUNTIF([1]CRITERIOS!$BG$11:$BG$201,L420)&gt;=1,_xlfn.XLOOKUP(ARTÍCULOS!L420,[1]CRITERIOS!$BG$11:$BG$201:#REF!,[1]CRITERIOS!$BJ$11:$BJ$201),_xlfn.XLOOKUP(ARTÍCULOS!C420,[1]CRITERIOS!$K$25:$K$42,[1]CRITERIOS!$M$25:$M$42))),0),(E420+V420-_xlfn.XLOOKUP(A420,'[1]DATOS PBI Artículos'!$A$4:$A$4,'[1]DATOS PBI Artículos'!$W$4:$W$4))/N420)</f>
        <v>#N/A</v>
      </c>
      <c r="AC420" s="33" t="e">
        <f>IF(N420=0,"",(ROUNDUP((N420/2)/(_xlfn.XLOOKUP(A420,'[1]DATOS PBI Artículos'!$A$4:$A$4,'[1]DATOS PBI Artículos'!$Z$4:$Z$4)*_xlfn.XLOOKUP(_xlfn.XLOOKUP(A420,'[1]DATOS PBI Artículos'!$A$4:$A$4,'[1]DATOS PBI Artículos'!$Y$4:$Y$4),[1]CRITERIOS!$P$79:$P$123,[1]CRITERIOS!$S$79:$S$123)),0)*[1]CRITERIOS!$M$80*([1]CRITERIOS!$M$110/[1]CRITERIOS!$M$86)+(_xlfn.XLOOKUP(A420,'[1]DATOS PBI Artículos'!$A$4:$A$4,'[1]DATOS PBI Artículos'!$AA$4:$AA$4)*([1]CRITERIOS!$M$95+[1]CRITERIOS!$M$98)))/N420)</f>
        <v>#N/A</v>
      </c>
      <c r="AD420" s="33" t="e">
        <f>IF(N420=0,"",(ROUNDUP((N420/2)/(_xlfn.XLOOKUP(A420,'[1]DATOS PBI Artículos'!$A$4:$A$4,'[1]DATOS PBI Artículos'!$Z$4:$Z$4)*_xlfn.XLOOKUP(_xlfn.XLOOKUP(A420,'[1]DATOS PBI Artículos'!$A$4:$A$4,'[1]DATOS PBI Artículos'!$Y$4:$Y$4),[1]CRITERIOS!$P$79:$P$123,[1]CRITERIOS!$S$79:$S$123)),0)*[1]CRITERIOS!$M$80*([1]CRITERIOS!$M$89*[1]CRITERIOS!$M$92)+((_xlfn.XLOOKUP(A420,'[1]DATOS PBI Artículos'!$A$4:$A$4,'[1]DATOS PBI Artículos'!$AA$4:$AA$4)/2)*([1]CRITERIOS!$M$95+[1]CRITERIOS!$M$98)))/N420)</f>
        <v>#N/A</v>
      </c>
      <c r="AE420" s="39" t="e">
        <f>IF($R420="MTO","",
IF($H420=0,ROUNDUP(((_xlfn.XLOOKUP($A420,'[1]DATOS PBI Artículos'!$A:$A,'[1]DATOS PBI Artículos'!$AL:$AL))/(_xlfn.XLOOKUP($AF$1,[1]CRITERIOS!$S$16:$S$39,[1]CRITERIOS!$Y$16:$Y$39))*$J420+$Z420)/$G420,0)*$G420,
((_xlfn.XLOOKUP($A420,'[1]DATOS PBI Artículos'!$A:$A,'[1]DATOS PBI Artículos'!$AL:$AL))/(_xlfn.XLOOKUP($AF$1,[1]CRITERIOS!$S$16:$S$39,[1]CRITERIOS!$Y$16:$Y$39))*$J420+$Z420)))</f>
        <v>#N/A</v>
      </c>
      <c r="AG420" s="39" t="e">
        <f>IF($R420="MTO","",
IF($H420=0,ROUNDUP(((_xlfn.XLOOKUP($A420,'[1]DATOS PBI Artículos'!$A:$A,'[1]DATOS PBI Artículos'!$AM:$AM))/(_xlfn.XLOOKUP($AH$1,[1]CRITERIOS!$S$16:$S$39,[1]CRITERIOS!$Y$16:$Y$39))*$J420+$Z420)/$G420,0)*$G420,
((_xlfn.XLOOKUP($A420,'[1]DATOS PBI Artículos'!$A:$A,'[1]DATOS PBI Artículos'!$AM:$AM))/(_xlfn.XLOOKUP($AH$1,[1]CRITERIOS!$S$16:$S$39,[1]CRITERIOS!$Y$16:$Y$39))*$J420+$Z420)))</f>
        <v>#N/A</v>
      </c>
      <c r="AI420" s="39" t="e">
        <f>IF($R420="MTO","",
IF($H420=0,ROUNDUP(((_xlfn.XLOOKUP($A420,'[1]DATOS PBI Artículos'!$A:$A,'[1]DATOS PBI Artículos'!$AN:$AN))/(_xlfn.XLOOKUP($AJ$1,[1]CRITERIOS!$S$16:$S$39,[1]CRITERIOS!$Y$16:$Y$39))*$J420+$Z420)/$G420,0)*$G420,
((_xlfn.XLOOKUP($A420,'[1]DATOS PBI Artículos'!$A:$A,'[1]DATOS PBI Artículos'!$AN:$AN))/(_xlfn.XLOOKUP($AJ$1,[1]CRITERIOS!$S$16:$S$39,[1]CRITERIOS!$Y$16:$Y$39))*$J420+$Z420)))</f>
        <v>#N/A</v>
      </c>
      <c r="AK420" s="39" t="e">
        <f>IF($R420="MTO","",
IF($H420=0,ROUNDUP(((_xlfn.XLOOKUP($A420,'[1]DATOS PBI Artículos'!$A:$A,'[1]DATOS PBI Artículos'!$AO:$AO))/(_xlfn.XLOOKUP($AL$1,[1]CRITERIOS!$S$16:$S$39,[1]CRITERIOS!$Y$16:$Y$39))*$J420+$Z420)/$G420,0)*$G420,
((_xlfn.XLOOKUP($A420,'[1]DATOS PBI Artículos'!$A:$A,'[1]DATOS PBI Artículos'!$AO:$AO))/(_xlfn.XLOOKUP($AL$1,[1]CRITERIOS!$S$16:$S$39,[1]CRITERIOS!$Y$16:$Y$39))*$J420+$Z420)))</f>
        <v>#N/A</v>
      </c>
    </row>
    <row r="421" spans="1:37" ht="25.8" hidden="1" x14ac:dyDescent="0.4">
      <c r="A421" s="41"/>
      <c r="B421" s="33">
        <f>_xlfn.XLOOKUP($A421,'[1]DATOS PBI Artículos'!A:A,'[1]DATOS PBI Artículos'!B:B)</f>
        <v>0</v>
      </c>
      <c r="C421" s="33">
        <f>_xlfn.XLOOKUP($A421,'[1]DATOS PBI Artículos'!A:A,'[1]DATOS PBI Artículos'!C:C)</f>
        <v>0</v>
      </c>
      <c r="D421" s="33">
        <f>_xlfn.XLOOKUP(A421,'[1]DATOS PBI Artículos'!A:A,'[1]DATOS PBI Artículos'!T:T)</f>
        <v>0</v>
      </c>
      <c r="E421" s="34">
        <f>IF(_xlfn.XLOOKUP($A421,'[1]DATOS PBI Artículos'!A:A,'[1]DATOS PBI Artículos'!AK:AK)="",_xlfn.XLOOKUP($A421,'[1]DATOS PBI Artículos'!A:A,'[1]DATOS PBI Artículos'!AJ:AJ),_xlfn.XLOOKUP($A421,'[1]DATOS PBI Artículos'!A:A,'[1]DATOS PBI Artículos'!AK:AK))</f>
        <v>0</v>
      </c>
      <c r="F421" s="35">
        <f>_xlfn.XLOOKUP($A421,'[1]DATOS PBI Artículos'!A:A,'[1]DATOS PBI Artículos'!AP:AP)</f>
        <v>0</v>
      </c>
      <c r="G421" s="34">
        <f>_xlfn.XLOOKUP($A421,'[1]DATOS PBI Artículos'!A:A,'[1]DATOS PBI Artículos'!AR:AR)</f>
        <v>0</v>
      </c>
      <c r="H421" s="34">
        <f>_xlfn.XLOOKUP($A421,'[1]DATOS PBI Artículos'!A:A,'[1]DATOS PBI Artículos'!AT:AT)</f>
        <v>0</v>
      </c>
      <c r="I421" s="34">
        <f>_xlfn.XLOOKUP($A421,'[1]DATOS PBI Artículos'!A:A,'[1]DATOS PBI Artículos'!AS:AS)</f>
        <v>0</v>
      </c>
      <c r="J421" s="35">
        <f>IF(COUNTIF([1]CRITERIOS!$F$179:$F$199,$A421)&gt;=1,
 IF(O421&lt;&gt;"",
    (O421/_xlfn.XLOOKUP(CONCATENATE(A421,L421),[1]MÁQUINAS!A:A,[1]MÁQUINAS!D:D))/24,
    (N421/_xlfn.XLOOKUP(CONCATENATE(A421,L421),[1]MÁQUINAS!A:A,[1]MÁQUINAS!D:D))/24),
  _xlfn.XLOOKUP($A421,'[1]DATOS PBI Artículos'!A:A,'[1]DATOS PBI Artículos'!AU:AU))</f>
        <v>0</v>
      </c>
      <c r="K421" s="36">
        <f>_xlfn.XLOOKUP($A421,'[1]DATOS PBI Artículos'!A:A,'[1]DATOS PBI Artículos'!AV:AV)</f>
        <v>0</v>
      </c>
      <c r="L421" s="33">
        <f>_xlfn.XLOOKUP(A421,[1]MÁQUINAS!B:B,[1]MÁQUINAS!C:C)</f>
        <v>0</v>
      </c>
      <c r="M421" s="34">
        <f t="array" ref="M421">_xlfn.XLOOKUP(A421,'[1]DATOS PBI Artículos'!A:A,'[1]DATOS PBI Artículos'!AX:$AX)</f>
        <v>0</v>
      </c>
      <c r="N421" s="37" t="e">
        <f>IF(I421="DV",
E421,
IF(COUNTIF([1]CRITERIOS!$I$179:$I$199,$A421)&gt;=1,
_xlfn.XLOOKUP($A421,[1]CRITERIOS!$I$179:$I$199,[1]CRITERIOS!$J$179:$J$199),
IF(COUNTIF([1]CRITERIOS!$L$179:$L$199,$A421)&gt;=1,
_xlfn.CEILING.MATH(IF($M421&gt;$E421,
$E421,
IF($M421&lt;$E421/ROUNDDOWN([1]CRITERIOS!$M$16/_xlfn.XLOOKUP($C421,[1]CRITERIOS!$K$25:$K$42,[1]CRITERIOS!$M$25:$M$42),
1),
E421/ROUNDDOWN([1]CRITERIOS!$M$16/_xlfn.XLOOKUP($C421,[1]CRITERIOS!$K$25:$K$42,[1]CRITERIOS!$M$25:$M$42),
1),
$M421)),
_xlfn.XLOOKUP($A421,[1]CRITERIOS!$L$179:$L$200,[1]CRITERIOS!$M$179:$M$200)),
_xlfn.CEILING.MATH(IF($M421&gt;$E421,
$E421,
IF($M421&lt;$E421/ROUNDDOWN([1]CRITERIOS!$M$16/_xlfn.XLOOKUP($C421,[1]CRITERIOS!$K$25:$K$42,[1]CRITERIOS!$M$25:$M$42),
1),
E421/ROUNDDOWN([1]CRITERIOS!$M$16/_xlfn.XLOOKUP($C421,[1]CRITERIOS!$K$25:$K$42,[1]CRITERIOS!$M$25:$M$42),
1),
$M421)),_xlfn.XLOOKUP(A421,'[1]DATOS PBI Artículos'!A:A,'[1]DATOS PBI Artículos'!Z:Z
)))))</f>
        <v>#N/A</v>
      </c>
      <c r="Q421" s="38" t="e">
        <f>IF(AND(O421="",N421=0),
0,
   IF(COUNTIF([1]CRITERIOS!$F$179:$F$199,$A421)&gt;=1,
   1,
   IF(R421="MTO",
      $D421,
      ROUNDUP(
                    IF(($E421-SUMIF('[1]DATOS PBI Artículos'!A:A,A421,'[1]DATOS PBI Artículos'!X:X)+($V421-_xlfn.XLOOKUP(A421,'[1]DATOS PBI Artículos'!A:A,'[1]DATOS PBI Artículos'!W:W)))&lt;0,
                    0,
                    IF(($E421-SUMIF('[1]DATOS PBI Artículos'!A:A,A421,'[1]DATOS PBI Artículos'!X:X)+$V421-_xlfn.XLOOKUP($A421,'[1]DATOS PBI Artículos'!A:A,'[1]DATOS PBI Artículos'!W:W))/IF($O421="",$N421,$O421)&gt;ROUNDUP([1]CRITERIOS!$M$16/(IF(COUNTIF([1]CRITERIOS!$BG$11:$BG$201,L421)&gt;=1,_xlfn.XLOOKUP($C421,[1]CRITERIOS!$K$25:$K$42,[1]CRITERIOS!$M$25:$M$42),_xlfn.XLOOKUP($C421,[1]CRITERIOS!$K$25:$K$42,[1]CRITERIOS!$M$25:$M$42))),0),
                    ROUNDUP([1]CRITERIOS!$M$16/(IF(COUNTIF([1]CRITERIOS!$BG$11:$BG$201,$L421)&gt;=1,_xlfn.XLOOKUP($C421,[1]CRITERIOS!$K$25:$K$42,[1]CRITERIOS!$M$25:$M$42),_xlfn.XLOOKUP($C421,[1]CRITERIOS!$K$25:$K$42,[1]CRITERIOS!$M$25:$M$42))),0),
                    (E421+V421-SUMIF('[1]DATOS PBI Artículos'!A:A,A421,'[1]DATOS PBI Artículos'!X:X)-_xlfn.XLOOKUP(A421,'[1]DATOS PBI Artículos'!A:A,'[1]DATOS PBI Artículos'!W:W))/IF($O421="",$N421,$O421))),0))))</f>
        <v>#N/A</v>
      </c>
      <c r="R421" s="33" t="e">
        <f>IF(U421&lt;&gt;"",U421,IF(F421="DV","MTO",IF(N421=0,"MTO",_xlfn.XLOOKUP(CONCATENATE(S421,T421),[1]CRITERIOS!$K$160:$K$168,[1]CRITERIOS!$N$160:$N$168))))</f>
        <v>#N/A</v>
      </c>
      <c r="S421" s="33" t="e">
        <f>IF(G421="DV","MTO",IF(N421=0,"MTO",IF(OR(AND(N421=0,O421=""),IF(O421="",G421/N421,G421/O421)&gt;[1]CRITERIOS!$G$163),"MTO",IF(IF(O421="",G421/N421,G421/O421)&lt;[1]CRITERIOS!$H$161,"MTS","MTOS"))))</f>
        <v>#N/A</v>
      </c>
      <c r="T421" s="33" t="e">
        <f>IF(F421="DV","MTO",IF(OR(AND($N421=0,O421=""),$F421/$J421&gt;[1]CRITERIOS!$G$170,$F421="DV"),"MTO",IF($F421/$J421&lt;[1]CRITERIOS!$H$168,"MTS","MTOS")))</f>
        <v>#N/A</v>
      </c>
      <c r="V421" s="34" t="e">
        <f t="shared" si="22"/>
        <v>#N/A</v>
      </c>
      <c r="X421" s="34" t="e">
        <f t="shared" si="20"/>
        <v>#N/A</v>
      </c>
      <c r="Y421" s="34" t="e">
        <f t="shared" si="21"/>
        <v>#N/A</v>
      </c>
      <c r="Z421" s="34" t="e">
        <f>IF($R421="MTO",
0,
($H421+$K421*($E421/[1]CRITERIOS!$M$16))/[1]CRITERIOS!$X$48)</f>
        <v>#N/A</v>
      </c>
      <c r="AA421" s="34" t="e">
        <f>ROUNDUP(($Y421/_xlfn.XLOOKUP($A421,'[1]DATOS PBI Artículos'!$A$4:$A$4,'[1]DATOS PBI Artículos'!$Z$4:$Z$4))/_xlfn.XLOOKUP(_xlfn.XLOOKUP($A421,'[1]DATOS PBI Artículos'!$A$4:$A$4,'[1]DATOS PBI Artículos'!$Y$4:$Y$4),[1]CRITERIOS!$P$79:$P$123,[1]CRITERIOS!$S$79:$S$123,),0)</f>
        <v>#N/A</v>
      </c>
      <c r="AB421" s="33" t="e">
        <f t="array" ref="AB421">IF((E421+V421-_xlfn.XLOOKUP(A421,'[1]DATOS PBI Artículos'!$A$4:$A$4,'[1]DATOS PBI Artículos'!$W$4:$W$4))/N421&gt;ROUNDUP([1]CRITERIOS!$M$16/(IF(COUNTIF([1]CRITERIOS!$BG$11:$BG$201,L421)&gt;=1,_xlfn.XLOOKUP(ARTÍCULOS!L421,[1]CRITERIOS!$BG$11:$BG$201,[1]CRITERIOS!$BJ$11:$BJ$201),_xlfn.XLOOKUP(ARTÍCULOS!C421,[1]CRITERIOS!$K$25:$K$42,[1]CRITERIOS!$M$25:$M$42))),0),ROUNDUP([1]CRITERIOS!$M$16/(IF(COUNTIF([1]CRITERIOS!$BG$11:$BG$201,L421)&gt;=1,_xlfn.XLOOKUP(ARTÍCULOS!L421,[1]CRITERIOS!$BG$11:$BG$201:#REF!,[1]CRITERIOS!$BJ$11:$BJ$201),_xlfn.XLOOKUP(ARTÍCULOS!C421,[1]CRITERIOS!$K$25:$K$42,[1]CRITERIOS!$M$25:$M$42))),0),(E421+V421-_xlfn.XLOOKUP(A421,'[1]DATOS PBI Artículos'!$A$4:$A$4,'[1]DATOS PBI Artículos'!$W$4:$W$4))/N421)</f>
        <v>#N/A</v>
      </c>
      <c r="AC421" s="33" t="e">
        <f>IF(N421=0,"",(ROUNDUP((N421/2)/(_xlfn.XLOOKUP(A421,'[1]DATOS PBI Artículos'!$A$4:$A$4,'[1]DATOS PBI Artículos'!$Z$4:$Z$4)*_xlfn.XLOOKUP(_xlfn.XLOOKUP(A421,'[1]DATOS PBI Artículos'!$A$4:$A$4,'[1]DATOS PBI Artículos'!$Y$4:$Y$4),[1]CRITERIOS!$P$79:$P$123,[1]CRITERIOS!$S$79:$S$123)),0)*[1]CRITERIOS!$M$80*([1]CRITERIOS!$M$110/[1]CRITERIOS!$M$86)+(_xlfn.XLOOKUP(A421,'[1]DATOS PBI Artículos'!$A$4:$A$4,'[1]DATOS PBI Artículos'!$AA$4:$AA$4)*([1]CRITERIOS!$M$95+[1]CRITERIOS!$M$98)))/N421)</f>
        <v>#N/A</v>
      </c>
      <c r="AD421" s="33" t="e">
        <f>IF(N421=0,"",(ROUNDUP((N421/2)/(_xlfn.XLOOKUP(A421,'[1]DATOS PBI Artículos'!$A$4:$A$4,'[1]DATOS PBI Artículos'!$Z$4:$Z$4)*_xlfn.XLOOKUP(_xlfn.XLOOKUP(A421,'[1]DATOS PBI Artículos'!$A$4:$A$4,'[1]DATOS PBI Artículos'!$Y$4:$Y$4),[1]CRITERIOS!$P$79:$P$123,[1]CRITERIOS!$S$79:$S$123)),0)*[1]CRITERIOS!$M$80*([1]CRITERIOS!$M$89*[1]CRITERIOS!$M$92)+((_xlfn.XLOOKUP(A421,'[1]DATOS PBI Artículos'!$A$4:$A$4,'[1]DATOS PBI Artículos'!$AA$4:$AA$4)/2)*([1]CRITERIOS!$M$95+[1]CRITERIOS!$M$98)))/N421)</f>
        <v>#N/A</v>
      </c>
      <c r="AE421" s="39" t="e">
        <f>IF($R421="MTO","",
IF($H421=0,ROUNDUP(((_xlfn.XLOOKUP($A421,'[1]DATOS PBI Artículos'!$A:$A,'[1]DATOS PBI Artículos'!$AL:$AL))/(_xlfn.XLOOKUP($AF$1,[1]CRITERIOS!$S$16:$S$39,[1]CRITERIOS!$Y$16:$Y$39))*$J421+$Z421)/$G421,0)*$G421,
((_xlfn.XLOOKUP($A421,'[1]DATOS PBI Artículos'!$A:$A,'[1]DATOS PBI Artículos'!$AL:$AL))/(_xlfn.XLOOKUP($AF$1,[1]CRITERIOS!$S$16:$S$39,[1]CRITERIOS!$Y$16:$Y$39))*$J421+$Z421)))</f>
        <v>#N/A</v>
      </c>
      <c r="AG421" s="39" t="e">
        <f>IF($R421="MTO","",
IF($H421=0,ROUNDUP(((_xlfn.XLOOKUP($A421,'[1]DATOS PBI Artículos'!$A:$A,'[1]DATOS PBI Artículos'!$AM:$AM))/(_xlfn.XLOOKUP($AH$1,[1]CRITERIOS!$S$16:$S$39,[1]CRITERIOS!$Y$16:$Y$39))*$J421+$Z421)/$G421,0)*$G421,
((_xlfn.XLOOKUP($A421,'[1]DATOS PBI Artículos'!$A:$A,'[1]DATOS PBI Artículos'!$AM:$AM))/(_xlfn.XLOOKUP($AH$1,[1]CRITERIOS!$S$16:$S$39,[1]CRITERIOS!$Y$16:$Y$39))*$J421+$Z421)))</f>
        <v>#N/A</v>
      </c>
      <c r="AI421" s="39" t="e">
        <f>IF($R421="MTO","",
IF($H421=0,ROUNDUP(((_xlfn.XLOOKUP($A421,'[1]DATOS PBI Artículos'!$A:$A,'[1]DATOS PBI Artículos'!$AN:$AN))/(_xlfn.XLOOKUP($AJ$1,[1]CRITERIOS!$S$16:$S$39,[1]CRITERIOS!$Y$16:$Y$39))*$J421+$Z421)/$G421,0)*$G421,
((_xlfn.XLOOKUP($A421,'[1]DATOS PBI Artículos'!$A:$A,'[1]DATOS PBI Artículos'!$AN:$AN))/(_xlfn.XLOOKUP($AJ$1,[1]CRITERIOS!$S$16:$S$39,[1]CRITERIOS!$Y$16:$Y$39))*$J421+$Z421)))</f>
        <v>#N/A</v>
      </c>
      <c r="AK421" s="39" t="e">
        <f>IF($R421="MTO","",
IF($H421=0,ROUNDUP(((_xlfn.XLOOKUP($A421,'[1]DATOS PBI Artículos'!$A:$A,'[1]DATOS PBI Artículos'!$AO:$AO))/(_xlfn.XLOOKUP($AL$1,[1]CRITERIOS!$S$16:$S$39,[1]CRITERIOS!$Y$16:$Y$39))*$J421+$Z421)/$G421,0)*$G421,
((_xlfn.XLOOKUP($A421,'[1]DATOS PBI Artículos'!$A:$A,'[1]DATOS PBI Artículos'!$AO:$AO))/(_xlfn.XLOOKUP($AL$1,[1]CRITERIOS!$S$16:$S$39,[1]CRITERIOS!$Y$16:$Y$39))*$J421+$Z421)))</f>
        <v>#N/A</v>
      </c>
    </row>
    <row r="422" spans="1:37" ht="25.8" hidden="1" x14ac:dyDescent="0.4">
      <c r="A422" s="41"/>
      <c r="B422" s="33">
        <f>_xlfn.XLOOKUP($A422,'[1]DATOS PBI Artículos'!A:A,'[1]DATOS PBI Artículos'!B:B)</f>
        <v>0</v>
      </c>
      <c r="C422" s="33">
        <f>_xlfn.XLOOKUP($A422,'[1]DATOS PBI Artículos'!A:A,'[1]DATOS PBI Artículos'!C:C)</f>
        <v>0</v>
      </c>
      <c r="D422" s="33">
        <f>_xlfn.XLOOKUP(A422,'[1]DATOS PBI Artículos'!A:A,'[1]DATOS PBI Artículos'!T:T)</f>
        <v>0</v>
      </c>
      <c r="E422" s="34">
        <f>IF(_xlfn.XLOOKUP($A422,'[1]DATOS PBI Artículos'!A:A,'[1]DATOS PBI Artículos'!AK:AK)="",_xlfn.XLOOKUP($A422,'[1]DATOS PBI Artículos'!A:A,'[1]DATOS PBI Artículos'!AJ:AJ),_xlfn.XLOOKUP($A422,'[1]DATOS PBI Artículos'!A:A,'[1]DATOS PBI Artículos'!AK:AK))</f>
        <v>0</v>
      </c>
      <c r="F422" s="35">
        <f>_xlfn.XLOOKUP($A422,'[1]DATOS PBI Artículos'!A:A,'[1]DATOS PBI Artículos'!AP:AP)</f>
        <v>0</v>
      </c>
      <c r="G422" s="34">
        <f>_xlfn.XLOOKUP($A422,'[1]DATOS PBI Artículos'!A:A,'[1]DATOS PBI Artículos'!AR:AR)</f>
        <v>0</v>
      </c>
      <c r="H422" s="34">
        <f>_xlfn.XLOOKUP($A422,'[1]DATOS PBI Artículos'!A:A,'[1]DATOS PBI Artículos'!AT:AT)</f>
        <v>0</v>
      </c>
      <c r="I422" s="34">
        <f>_xlfn.XLOOKUP($A422,'[1]DATOS PBI Artículos'!A:A,'[1]DATOS PBI Artículos'!AS:AS)</f>
        <v>0</v>
      </c>
      <c r="J422" s="35">
        <f>IF(COUNTIF([1]CRITERIOS!$F$179:$F$199,$A422)&gt;=1,
 IF(O422&lt;&gt;"",
    (O422/_xlfn.XLOOKUP(CONCATENATE(A422,L422),[1]MÁQUINAS!A:A,[1]MÁQUINAS!D:D))/24,
    (N422/_xlfn.XLOOKUP(CONCATENATE(A422,L422),[1]MÁQUINAS!A:A,[1]MÁQUINAS!D:D))/24),
  _xlfn.XLOOKUP($A422,'[1]DATOS PBI Artículos'!A:A,'[1]DATOS PBI Artículos'!AU:AU))</f>
        <v>0</v>
      </c>
      <c r="K422" s="36">
        <f>_xlfn.XLOOKUP($A422,'[1]DATOS PBI Artículos'!A:A,'[1]DATOS PBI Artículos'!AV:AV)</f>
        <v>0</v>
      </c>
      <c r="L422" s="33">
        <f>_xlfn.XLOOKUP(A422,[1]MÁQUINAS!B:B,[1]MÁQUINAS!C:C)</f>
        <v>0</v>
      </c>
      <c r="M422" s="34">
        <f t="array" ref="M422">_xlfn.XLOOKUP(A422,'[1]DATOS PBI Artículos'!A:A,'[1]DATOS PBI Artículos'!AX:$AX)</f>
        <v>0</v>
      </c>
      <c r="N422" s="37" t="e">
        <f>IF(I422="DV",
E422,
IF(COUNTIF([1]CRITERIOS!$I$179:$I$199,$A422)&gt;=1,
_xlfn.XLOOKUP($A422,[1]CRITERIOS!$I$179:$I$199,[1]CRITERIOS!$J$179:$J$199),
IF(COUNTIF([1]CRITERIOS!$L$179:$L$199,$A422)&gt;=1,
_xlfn.CEILING.MATH(IF($M422&gt;$E422,
$E422,
IF($M422&lt;$E422/ROUNDDOWN([1]CRITERIOS!$M$16/_xlfn.XLOOKUP($C422,[1]CRITERIOS!$K$25:$K$42,[1]CRITERIOS!$M$25:$M$42),
1),
E422/ROUNDDOWN([1]CRITERIOS!$M$16/_xlfn.XLOOKUP($C422,[1]CRITERIOS!$K$25:$K$42,[1]CRITERIOS!$M$25:$M$42),
1),
$M422)),
_xlfn.XLOOKUP($A422,[1]CRITERIOS!$L$179:$L$200,[1]CRITERIOS!$M$179:$M$200)),
_xlfn.CEILING.MATH(IF($M422&gt;$E422,
$E422,
IF($M422&lt;$E422/ROUNDDOWN([1]CRITERIOS!$M$16/_xlfn.XLOOKUP($C422,[1]CRITERIOS!$K$25:$K$42,[1]CRITERIOS!$M$25:$M$42),
1),
E422/ROUNDDOWN([1]CRITERIOS!$M$16/_xlfn.XLOOKUP($C422,[1]CRITERIOS!$K$25:$K$42,[1]CRITERIOS!$M$25:$M$42),
1),
$M422)),_xlfn.XLOOKUP(A422,'[1]DATOS PBI Artículos'!A:A,'[1]DATOS PBI Artículos'!Z:Z
)))))</f>
        <v>#N/A</v>
      </c>
      <c r="Q422" s="38" t="e">
        <f>IF(AND(O422="",N422=0),
0,
   IF(COUNTIF([1]CRITERIOS!$F$179:$F$199,$A422)&gt;=1,
   1,
   IF(R422="MTO",
      $D422,
      ROUNDUP(
                    IF(($E422-SUMIF('[1]DATOS PBI Artículos'!A:A,A422,'[1]DATOS PBI Artículos'!X:X)+($V422-_xlfn.XLOOKUP(A422,'[1]DATOS PBI Artículos'!A:A,'[1]DATOS PBI Artículos'!W:W)))&lt;0,
                    0,
                    IF(($E422-SUMIF('[1]DATOS PBI Artículos'!A:A,A422,'[1]DATOS PBI Artículos'!X:X)+$V422-_xlfn.XLOOKUP($A422,'[1]DATOS PBI Artículos'!A:A,'[1]DATOS PBI Artículos'!W:W))/IF($O422="",$N422,$O422)&gt;ROUNDUP([1]CRITERIOS!$M$16/(IF(COUNTIF([1]CRITERIOS!$BG$11:$BG$201,L422)&gt;=1,_xlfn.XLOOKUP($C422,[1]CRITERIOS!$K$25:$K$42,[1]CRITERIOS!$M$25:$M$42),_xlfn.XLOOKUP($C422,[1]CRITERIOS!$K$25:$K$42,[1]CRITERIOS!$M$25:$M$42))),0),
                    ROUNDUP([1]CRITERIOS!$M$16/(IF(COUNTIF([1]CRITERIOS!$BG$11:$BG$201,$L422)&gt;=1,_xlfn.XLOOKUP($C422,[1]CRITERIOS!$K$25:$K$42,[1]CRITERIOS!$M$25:$M$42),_xlfn.XLOOKUP($C422,[1]CRITERIOS!$K$25:$K$42,[1]CRITERIOS!$M$25:$M$42))),0),
                    (E422+V422-SUMIF('[1]DATOS PBI Artículos'!A:A,A422,'[1]DATOS PBI Artículos'!X:X)-_xlfn.XLOOKUP(A422,'[1]DATOS PBI Artículos'!A:A,'[1]DATOS PBI Artículos'!W:W))/IF($O422="",$N422,$O422))),0))))</f>
        <v>#N/A</v>
      </c>
      <c r="R422" s="33" t="e">
        <f>IF(U422&lt;&gt;"",U422,IF(F422="DV","MTO",IF(N422=0,"MTO",_xlfn.XLOOKUP(CONCATENATE(S422,T422),[1]CRITERIOS!$K$160:$K$168,[1]CRITERIOS!$N$160:$N$168))))</f>
        <v>#N/A</v>
      </c>
      <c r="S422" s="33" t="e">
        <f>IF(G422="DV","MTO",IF(N422=0,"MTO",IF(OR(AND(N422=0,O422=""),IF(O422="",G422/N422,G422/O422)&gt;[1]CRITERIOS!$G$163),"MTO",IF(IF(O422="",G422/N422,G422/O422)&lt;[1]CRITERIOS!$H$161,"MTS","MTOS"))))</f>
        <v>#N/A</v>
      </c>
      <c r="T422" s="33" t="e">
        <f>IF(F422="DV","MTO",IF(OR(AND($N422=0,O422=""),$F422/$J422&gt;[1]CRITERIOS!$G$170,$F422="DV"),"MTO",IF($F422/$J422&lt;[1]CRITERIOS!$H$168,"MTS","MTOS")))</f>
        <v>#N/A</v>
      </c>
      <c r="V422" s="34" t="e">
        <f t="shared" si="22"/>
        <v>#N/A</v>
      </c>
      <c r="X422" s="34" t="e">
        <f t="shared" si="20"/>
        <v>#N/A</v>
      </c>
      <c r="Y422" s="34" t="e">
        <f t="shared" si="21"/>
        <v>#N/A</v>
      </c>
      <c r="Z422" s="34" t="e">
        <f>IF($R422="MTO",
0,
($H422+$K422*($E422/[1]CRITERIOS!$M$16))/[1]CRITERIOS!$X$48)</f>
        <v>#N/A</v>
      </c>
      <c r="AA422" s="34" t="e">
        <f>ROUNDUP(($Y422/_xlfn.XLOOKUP($A422,'[1]DATOS PBI Artículos'!$A$4:$A$4,'[1]DATOS PBI Artículos'!$Z$4:$Z$4))/_xlfn.XLOOKUP(_xlfn.XLOOKUP($A422,'[1]DATOS PBI Artículos'!$A$4:$A$4,'[1]DATOS PBI Artículos'!$Y$4:$Y$4),[1]CRITERIOS!$P$79:$P$123,[1]CRITERIOS!$S$79:$S$123,),0)</f>
        <v>#N/A</v>
      </c>
      <c r="AB422" s="33" t="e">
        <f t="array" ref="AB422">IF((E422+V422-_xlfn.XLOOKUP(A422,'[1]DATOS PBI Artículos'!$A$4:$A$4,'[1]DATOS PBI Artículos'!$W$4:$W$4))/N422&gt;ROUNDUP([1]CRITERIOS!$M$16/(IF(COUNTIF([1]CRITERIOS!$BG$11:$BG$201,L422)&gt;=1,_xlfn.XLOOKUP(ARTÍCULOS!L422,[1]CRITERIOS!$BG$11:$BG$201,[1]CRITERIOS!$BJ$11:$BJ$201),_xlfn.XLOOKUP(ARTÍCULOS!C422,[1]CRITERIOS!$K$25:$K$42,[1]CRITERIOS!$M$25:$M$42))),0),ROUNDUP([1]CRITERIOS!$M$16/(IF(COUNTIF([1]CRITERIOS!$BG$11:$BG$201,L422)&gt;=1,_xlfn.XLOOKUP(ARTÍCULOS!L422,[1]CRITERIOS!$BG$11:$BG$201:#REF!,[1]CRITERIOS!$BJ$11:$BJ$201),_xlfn.XLOOKUP(ARTÍCULOS!C422,[1]CRITERIOS!$K$25:$K$42,[1]CRITERIOS!$M$25:$M$42))),0),(E422+V422-_xlfn.XLOOKUP(A422,'[1]DATOS PBI Artículos'!$A$4:$A$4,'[1]DATOS PBI Artículos'!$W$4:$W$4))/N422)</f>
        <v>#N/A</v>
      </c>
      <c r="AC422" s="33" t="e">
        <f>IF(N422=0,"",(ROUNDUP((N422/2)/(_xlfn.XLOOKUP(A422,'[1]DATOS PBI Artículos'!$A$4:$A$4,'[1]DATOS PBI Artículos'!$Z$4:$Z$4)*_xlfn.XLOOKUP(_xlfn.XLOOKUP(A422,'[1]DATOS PBI Artículos'!$A$4:$A$4,'[1]DATOS PBI Artículos'!$Y$4:$Y$4),[1]CRITERIOS!$P$79:$P$123,[1]CRITERIOS!$S$79:$S$123)),0)*[1]CRITERIOS!$M$80*([1]CRITERIOS!$M$110/[1]CRITERIOS!$M$86)+(_xlfn.XLOOKUP(A422,'[1]DATOS PBI Artículos'!$A$4:$A$4,'[1]DATOS PBI Artículos'!$AA$4:$AA$4)*([1]CRITERIOS!$M$95+[1]CRITERIOS!$M$98)))/N422)</f>
        <v>#N/A</v>
      </c>
      <c r="AD422" s="33" t="e">
        <f>IF(N422=0,"",(ROUNDUP((N422/2)/(_xlfn.XLOOKUP(A422,'[1]DATOS PBI Artículos'!$A$4:$A$4,'[1]DATOS PBI Artículos'!$Z$4:$Z$4)*_xlfn.XLOOKUP(_xlfn.XLOOKUP(A422,'[1]DATOS PBI Artículos'!$A$4:$A$4,'[1]DATOS PBI Artículos'!$Y$4:$Y$4),[1]CRITERIOS!$P$79:$P$123,[1]CRITERIOS!$S$79:$S$123)),0)*[1]CRITERIOS!$M$80*([1]CRITERIOS!$M$89*[1]CRITERIOS!$M$92)+((_xlfn.XLOOKUP(A422,'[1]DATOS PBI Artículos'!$A$4:$A$4,'[1]DATOS PBI Artículos'!$AA$4:$AA$4)/2)*([1]CRITERIOS!$M$95+[1]CRITERIOS!$M$98)))/N422)</f>
        <v>#N/A</v>
      </c>
      <c r="AE422" s="39" t="e">
        <f>IF($R422="MTO","",
IF($H422=0,ROUNDUP(((_xlfn.XLOOKUP($A422,'[1]DATOS PBI Artículos'!$A:$A,'[1]DATOS PBI Artículos'!$AL:$AL))/(_xlfn.XLOOKUP($AF$1,[1]CRITERIOS!$S$16:$S$39,[1]CRITERIOS!$Y$16:$Y$39))*$J422+$Z422)/$G422,0)*$G422,
((_xlfn.XLOOKUP($A422,'[1]DATOS PBI Artículos'!$A:$A,'[1]DATOS PBI Artículos'!$AL:$AL))/(_xlfn.XLOOKUP($AF$1,[1]CRITERIOS!$S$16:$S$39,[1]CRITERIOS!$Y$16:$Y$39))*$J422+$Z422)))</f>
        <v>#N/A</v>
      </c>
      <c r="AG422" s="39" t="e">
        <f>IF($R422="MTO","",
IF($H422=0,ROUNDUP(((_xlfn.XLOOKUP($A422,'[1]DATOS PBI Artículos'!$A:$A,'[1]DATOS PBI Artículos'!$AM:$AM))/(_xlfn.XLOOKUP($AH$1,[1]CRITERIOS!$S$16:$S$39,[1]CRITERIOS!$Y$16:$Y$39))*$J422+$Z422)/$G422,0)*$G422,
((_xlfn.XLOOKUP($A422,'[1]DATOS PBI Artículos'!$A:$A,'[1]DATOS PBI Artículos'!$AM:$AM))/(_xlfn.XLOOKUP($AH$1,[1]CRITERIOS!$S$16:$S$39,[1]CRITERIOS!$Y$16:$Y$39))*$J422+$Z422)))</f>
        <v>#N/A</v>
      </c>
      <c r="AI422" s="39" t="e">
        <f>IF($R422="MTO","",
IF($H422=0,ROUNDUP(((_xlfn.XLOOKUP($A422,'[1]DATOS PBI Artículos'!$A:$A,'[1]DATOS PBI Artículos'!$AN:$AN))/(_xlfn.XLOOKUP($AJ$1,[1]CRITERIOS!$S$16:$S$39,[1]CRITERIOS!$Y$16:$Y$39))*$J422+$Z422)/$G422,0)*$G422,
((_xlfn.XLOOKUP($A422,'[1]DATOS PBI Artículos'!$A:$A,'[1]DATOS PBI Artículos'!$AN:$AN))/(_xlfn.XLOOKUP($AJ$1,[1]CRITERIOS!$S$16:$S$39,[1]CRITERIOS!$Y$16:$Y$39))*$J422+$Z422)))</f>
        <v>#N/A</v>
      </c>
      <c r="AK422" s="39" t="e">
        <f>IF($R422="MTO","",
IF($H422=0,ROUNDUP(((_xlfn.XLOOKUP($A422,'[1]DATOS PBI Artículos'!$A:$A,'[1]DATOS PBI Artículos'!$AO:$AO))/(_xlfn.XLOOKUP($AL$1,[1]CRITERIOS!$S$16:$S$39,[1]CRITERIOS!$Y$16:$Y$39))*$J422+$Z422)/$G422,0)*$G422,
((_xlfn.XLOOKUP($A422,'[1]DATOS PBI Artículos'!$A:$A,'[1]DATOS PBI Artículos'!$AO:$AO))/(_xlfn.XLOOKUP($AL$1,[1]CRITERIOS!$S$16:$S$39,[1]CRITERIOS!$Y$16:$Y$39))*$J422+$Z422)))</f>
        <v>#N/A</v>
      </c>
    </row>
    <row r="423" spans="1:37" ht="25.8" hidden="1" x14ac:dyDescent="0.4">
      <c r="A423" s="41"/>
      <c r="B423" s="33">
        <f>_xlfn.XLOOKUP($A423,'[1]DATOS PBI Artículos'!A:A,'[1]DATOS PBI Artículos'!B:B)</f>
        <v>0</v>
      </c>
      <c r="C423" s="33">
        <f>_xlfn.XLOOKUP($A423,'[1]DATOS PBI Artículos'!A:A,'[1]DATOS PBI Artículos'!C:C)</f>
        <v>0</v>
      </c>
      <c r="D423" s="33">
        <f>_xlfn.XLOOKUP(A423,'[1]DATOS PBI Artículos'!A:A,'[1]DATOS PBI Artículos'!T:T)</f>
        <v>0</v>
      </c>
      <c r="E423" s="34">
        <f>IF(_xlfn.XLOOKUP($A423,'[1]DATOS PBI Artículos'!A:A,'[1]DATOS PBI Artículos'!AK:AK)="",_xlfn.XLOOKUP($A423,'[1]DATOS PBI Artículos'!A:A,'[1]DATOS PBI Artículos'!AJ:AJ),_xlfn.XLOOKUP($A423,'[1]DATOS PBI Artículos'!A:A,'[1]DATOS PBI Artículos'!AK:AK))</f>
        <v>0</v>
      </c>
      <c r="F423" s="35">
        <f>_xlfn.XLOOKUP($A423,'[1]DATOS PBI Artículos'!A:A,'[1]DATOS PBI Artículos'!AP:AP)</f>
        <v>0</v>
      </c>
      <c r="G423" s="34">
        <f>_xlfn.XLOOKUP($A423,'[1]DATOS PBI Artículos'!A:A,'[1]DATOS PBI Artículos'!AR:AR)</f>
        <v>0</v>
      </c>
      <c r="H423" s="34">
        <f>_xlfn.XLOOKUP($A423,'[1]DATOS PBI Artículos'!A:A,'[1]DATOS PBI Artículos'!AT:AT)</f>
        <v>0</v>
      </c>
      <c r="I423" s="34">
        <f>_xlfn.XLOOKUP($A423,'[1]DATOS PBI Artículos'!A:A,'[1]DATOS PBI Artículos'!AS:AS)</f>
        <v>0</v>
      </c>
      <c r="J423" s="35">
        <f>IF(COUNTIF([1]CRITERIOS!$F$179:$F$199,$A423)&gt;=1,
 IF(O423&lt;&gt;"",
    (O423/_xlfn.XLOOKUP(CONCATENATE(A423,L423),[1]MÁQUINAS!A:A,[1]MÁQUINAS!D:D))/24,
    (N423/_xlfn.XLOOKUP(CONCATENATE(A423,L423),[1]MÁQUINAS!A:A,[1]MÁQUINAS!D:D))/24),
  _xlfn.XLOOKUP($A423,'[1]DATOS PBI Artículos'!A:A,'[1]DATOS PBI Artículos'!AU:AU))</f>
        <v>0</v>
      </c>
      <c r="K423" s="36">
        <f>_xlfn.XLOOKUP($A423,'[1]DATOS PBI Artículos'!A:A,'[1]DATOS PBI Artículos'!AV:AV)</f>
        <v>0</v>
      </c>
      <c r="L423" s="33">
        <f>_xlfn.XLOOKUP(A423,[1]MÁQUINAS!B:B,[1]MÁQUINAS!C:C)</f>
        <v>0</v>
      </c>
      <c r="M423" s="34">
        <f t="array" ref="M423">_xlfn.XLOOKUP(A423,'[1]DATOS PBI Artículos'!A:A,'[1]DATOS PBI Artículos'!AX:$AX)</f>
        <v>0</v>
      </c>
      <c r="N423" s="37" t="e">
        <f>IF(I423="DV",
E423,
IF(COUNTIF([1]CRITERIOS!$I$179:$I$199,$A423)&gt;=1,
_xlfn.XLOOKUP($A423,[1]CRITERIOS!$I$179:$I$199,[1]CRITERIOS!$J$179:$J$199),
IF(COUNTIF([1]CRITERIOS!$L$179:$L$199,$A423)&gt;=1,
_xlfn.CEILING.MATH(IF($M423&gt;$E423,
$E423,
IF($M423&lt;$E423/ROUNDDOWN([1]CRITERIOS!$M$16/_xlfn.XLOOKUP($C423,[1]CRITERIOS!$K$25:$K$42,[1]CRITERIOS!$M$25:$M$42),
1),
E423/ROUNDDOWN([1]CRITERIOS!$M$16/_xlfn.XLOOKUP($C423,[1]CRITERIOS!$K$25:$K$42,[1]CRITERIOS!$M$25:$M$42),
1),
$M423)),
_xlfn.XLOOKUP($A423,[1]CRITERIOS!$L$179:$L$200,[1]CRITERIOS!$M$179:$M$200)),
_xlfn.CEILING.MATH(IF($M423&gt;$E423,
$E423,
IF($M423&lt;$E423/ROUNDDOWN([1]CRITERIOS!$M$16/_xlfn.XLOOKUP($C423,[1]CRITERIOS!$K$25:$K$42,[1]CRITERIOS!$M$25:$M$42),
1),
E423/ROUNDDOWN([1]CRITERIOS!$M$16/_xlfn.XLOOKUP($C423,[1]CRITERIOS!$K$25:$K$42,[1]CRITERIOS!$M$25:$M$42),
1),
$M423)),_xlfn.XLOOKUP(A423,'[1]DATOS PBI Artículos'!A:A,'[1]DATOS PBI Artículos'!Z:Z
)))))</f>
        <v>#N/A</v>
      </c>
      <c r="Q423" s="38" t="e">
        <f>IF(AND(O423="",N423=0),
0,
   IF(COUNTIF([1]CRITERIOS!$F$179:$F$199,$A423)&gt;=1,
   1,
   IF(R423="MTO",
      $D423,
      ROUNDUP(
                    IF(($E423-SUMIF('[1]DATOS PBI Artículos'!A:A,A423,'[1]DATOS PBI Artículos'!X:X)+($V423-_xlfn.XLOOKUP(A423,'[1]DATOS PBI Artículos'!A:A,'[1]DATOS PBI Artículos'!W:W)))&lt;0,
                    0,
                    IF(($E423-SUMIF('[1]DATOS PBI Artículos'!A:A,A423,'[1]DATOS PBI Artículos'!X:X)+$V423-_xlfn.XLOOKUP($A423,'[1]DATOS PBI Artículos'!A:A,'[1]DATOS PBI Artículos'!W:W))/IF($O423="",$N423,$O423)&gt;ROUNDUP([1]CRITERIOS!$M$16/(IF(COUNTIF([1]CRITERIOS!$BG$11:$BG$201,L423)&gt;=1,_xlfn.XLOOKUP($C423,[1]CRITERIOS!$K$25:$K$42,[1]CRITERIOS!$M$25:$M$42),_xlfn.XLOOKUP($C423,[1]CRITERIOS!$K$25:$K$42,[1]CRITERIOS!$M$25:$M$42))),0),
                    ROUNDUP([1]CRITERIOS!$M$16/(IF(COUNTIF([1]CRITERIOS!$BG$11:$BG$201,$L423)&gt;=1,_xlfn.XLOOKUP($C423,[1]CRITERIOS!$K$25:$K$42,[1]CRITERIOS!$M$25:$M$42),_xlfn.XLOOKUP($C423,[1]CRITERIOS!$K$25:$K$42,[1]CRITERIOS!$M$25:$M$42))),0),
                    (E423+V423-SUMIF('[1]DATOS PBI Artículos'!A:A,A423,'[1]DATOS PBI Artículos'!X:X)-_xlfn.XLOOKUP(A423,'[1]DATOS PBI Artículos'!A:A,'[1]DATOS PBI Artículos'!W:W))/IF($O423="",$N423,$O423))),0))))</f>
        <v>#N/A</v>
      </c>
      <c r="R423" s="33" t="e">
        <f>IF(U423&lt;&gt;"",U423,IF(F423="DV","MTO",IF(N423=0,"MTO",_xlfn.XLOOKUP(CONCATENATE(S423,T423),[1]CRITERIOS!$K$160:$K$168,[1]CRITERIOS!$N$160:$N$168))))</f>
        <v>#N/A</v>
      </c>
      <c r="S423" s="33" t="e">
        <f>IF(G423="DV","MTO",IF(N423=0,"MTO",IF(OR(AND(N423=0,O423=""),IF(O423="",G423/N423,G423/O423)&gt;[1]CRITERIOS!$G$163),"MTO",IF(IF(O423="",G423/N423,G423/O423)&lt;[1]CRITERIOS!$H$161,"MTS","MTOS"))))</f>
        <v>#N/A</v>
      </c>
      <c r="T423" s="33" t="e">
        <f>IF(F423="DV","MTO",IF(OR(AND($N423=0,O423=""),$F423/$J423&gt;[1]CRITERIOS!$G$170,$F423="DV"),"MTO",IF($F423/$J423&lt;[1]CRITERIOS!$H$168,"MTS","MTOS")))</f>
        <v>#N/A</v>
      </c>
      <c r="V423" s="34" t="e">
        <f t="shared" si="22"/>
        <v>#N/A</v>
      </c>
      <c r="X423" s="34" t="e">
        <f t="shared" si="20"/>
        <v>#N/A</v>
      </c>
      <c r="Y423" s="34" t="e">
        <f t="shared" si="21"/>
        <v>#N/A</v>
      </c>
      <c r="Z423" s="34" t="e">
        <f>IF($R423="MTO",
0,
($H423+$K423*($E423/[1]CRITERIOS!$M$16))/[1]CRITERIOS!$X$48)</f>
        <v>#N/A</v>
      </c>
      <c r="AA423" s="34" t="e">
        <f>ROUNDUP(($Y423/_xlfn.XLOOKUP($A423,'[1]DATOS PBI Artículos'!$A$4:$A$4,'[1]DATOS PBI Artículos'!$Z$4:$Z$4))/_xlfn.XLOOKUP(_xlfn.XLOOKUP($A423,'[1]DATOS PBI Artículos'!$A$4:$A$4,'[1]DATOS PBI Artículos'!$Y$4:$Y$4),[1]CRITERIOS!$P$79:$P$123,[1]CRITERIOS!$S$79:$S$123,),0)</f>
        <v>#N/A</v>
      </c>
      <c r="AB423" s="33" t="e">
        <f t="array" ref="AB423">IF((E423+V423-_xlfn.XLOOKUP(A423,'[1]DATOS PBI Artículos'!$A$4:$A$4,'[1]DATOS PBI Artículos'!$W$4:$W$4))/N423&gt;ROUNDUP([1]CRITERIOS!$M$16/(IF(COUNTIF([1]CRITERIOS!$BG$11:$BG$201,L423)&gt;=1,_xlfn.XLOOKUP(ARTÍCULOS!L423,[1]CRITERIOS!$BG$11:$BG$201,[1]CRITERIOS!$BJ$11:$BJ$201),_xlfn.XLOOKUP(ARTÍCULOS!C423,[1]CRITERIOS!$K$25:$K$42,[1]CRITERIOS!$M$25:$M$42))),0),ROUNDUP([1]CRITERIOS!$M$16/(IF(COUNTIF([1]CRITERIOS!$BG$11:$BG$201,L423)&gt;=1,_xlfn.XLOOKUP(ARTÍCULOS!L423,[1]CRITERIOS!$BG$11:$BG$201:#REF!,[1]CRITERIOS!$BJ$11:$BJ$201),_xlfn.XLOOKUP(ARTÍCULOS!C423,[1]CRITERIOS!$K$25:$K$42,[1]CRITERIOS!$M$25:$M$42))),0),(E423+V423-_xlfn.XLOOKUP(A423,'[1]DATOS PBI Artículos'!$A$4:$A$4,'[1]DATOS PBI Artículos'!$W$4:$W$4))/N423)</f>
        <v>#N/A</v>
      </c>
      <c r="AC423" s="33" t="e">
        <f>IF(N423=0,"",(ROUNDUP((N423/2)/(_xlfn.XLOOKUP(A423,'[1]DATOS PBI Artículos'!$A$4:$A$4,'[1]DATOS PBI Artículos'!$Z$4:$Z$4)*_xlfn.XLOOKUP(_xlfn.XLOOKUP(A423,'[1]DATOS PBI Artículos'!$A$4:$A$4,'[1]DATOS PBI Artículos'!$Y$4:$Y$4),[1]CRITERIOS!$P$79:$P$123,[1]CRITERIOS!$S$79:$S$123)),0)*[1]CRITERIOS!$M$80*([1]CRITERIOS!$M$110/[1]CRITERIOS!$M$86)+(_xlfn.XLOOKUP(A423,'[1]DATOS PBI Artículos'!$A$4:$A$4,'[1]DATOS PBI Artículos'!$AA$4:$AA$4)*([1]CRITERIOS!$M$95+[1]CRITERIOS!$M$98)))/N423)</f>
        <v>#N/A</v>
      </c>
      <c r="AD423" s="33" t="e">
        <f>IF(N423=0,"",(ROUNDUP((N423/2)/(_xlfn.XLOOKUP(A423,'[1]DATOS PBI Artículos'!$A$4:$A$4,'[1]DATOS PBI Artículos'!$Z$4:$Z$4)*_xlfn.XLOOKUP(_xlfn.XLOOKUP(A423,'[1]DATOS PBI Artículos'!$A$4:$A$4,'[1]DATOS PBI Artículos'!$Y$4:$Y$4),[1]CRITERIOS!$P$79:$P$123,[1]CRITERIOS!$S$79:$S$123)),0)*[1]CRITERIOS!$M$80*([1]CRITERIOS!$M$89*[1]CRITERIOS!$M$92)+((_xlfn.XLOOKUP(A423,'[1]DATOS PBI Artículos'!$A$4:$A$4,'[1]DATOS PBI Artículos'!$AA$4:$AA$4)/2)*([1]CRITERIOS!$M$95+[1]CRITERIOS!$M$98)))/N423)</f>
        <v>#N/A</v>
      </c>
      <c r="AE423" s="39" t="e">
        <f>IF($R423="MTO","",
IF($H423=0,ROUNDUP(((_xlfn.XLOOKUP($A423,'[1]DATOS PBI Artículos'!$A:$A,'[1]DATOS PBI Artículos'!$AL:$AL))/(_xlfn.XLOOKUP($AF$1,[1]CRITERIOS!$S$16:$S$39,[1]CRITERIOS!$Y$16:$Y$39))*$J423+$Z423)/$G423,0)*$G423,
((_xlfn.XLOOKUP($A423,'[1]DATOS PBI Artículos'!$A:$A,'[1]DATOS PBI Artículos'!$AL:$AL))/(_xlfn.XLOOKUP($AF$1,[1]CRITERIOS!$S$16:$S$39,[1]CRITERIOS!$Y$16:$Y$39))*$J423+$Z423)))</f>
        <v>#N/A</v>
      </c>
      <c r="AG423" s="39" t="e">
        <f>IF($R423="MTO","",
IF($H423=0,ROUNDUP(((_xlfn.XLOOKUP($A423,'[1]DATOS PBI Artículos'!$A:$A,'[1]DATOS PBI Artículos'!$AM:$AM))/(_xlfn.XLOOKUP($AH$1,[1]CRITERIOS!$S$16:$S$39,[1]CRITERIOS!$Y$16:$Y$39))*$J423+$Z423)/$G423,0)*$G423,
((_xlfn.XLOOKUP($A423,'[1]DATOS PBI Artículos'!$A:$A,'[1]DATOS PBI Artículos'!$AM:$AM))/(_xlfn.XLOOKUP($AH$1,[1]CRITERIOS!$S$16:$S$39,[1]CRITERIOS!$Y$16:$Y$39))*$J423+$Z423)))</f>
        <v>#N/A</v>
      </c>
      <c r="AI423" s="39" t="e">
        <f>IF($R423="MTO","",
IF($H423=0,ROUNDUP(((_xlfn.XLOOKUP($A423,'[1]DATOS PBI Artículos'!$A:$A,'[1]DATOS PBI Artículos'!$AN:$AN))/(_xlfn.XLOOKUP($AJ$1,[1]CRITERIOS!$S$16:$S$39,[1]CRITERIOS!$Y$16:$Y$39))*$J423+$Z423)/$G423,0)*$G423,
((_xlfn.XLOOKUP($A423,'[1]DATOS PBI Artículos'!$A:$A,'[1]DATOS PBI Artículos'!$AN:$AN))/(_xlfn.XLOOKUP($AJ$1,[1]CRITERIOS!$S$16:$S$39,[1]CRITERIOS!$Y$16:$Y$39))*$J423+$Z423)))</f>
        <v>#N/A</v>
      </c>
      <c r="AK423" s="39" t="e">
        <f>IF($R423="MTO","",
IF($H423=0,ROUNDUP(((_xlfn.XLOOKUP($A423,'[1]DATOS PBI Artículos'!$A:$A,'[1]DATOS PBI Artículos'!$AO:$AO))/(_xlfn.XLOOKUP($AL$1,[1]CRITERIOS!$S$16:$S$39,[1]CRITERIOS!$Y$16:$Y$39))*$J423+$Z423)/$G423,0)*$G423,
((_xlfn.XLOOKUP($A423,'[1]DATOS PBI Artículos'!$A:$A,'[1]DATOS PBI Artículos'!$AO:$AO))/(_xlfn.XLOOKUP($AL$1,[1]CRITERIOS!$S$16:$S$39,[1]CRITERIOS!$Y$16:$Y$39))*$J423+$Z423)))</f>
        <v>#N/A</v>
      </c>
    </row>
    <row r="424" spans="1:37" ht="25.8" hidden="1" x14ac:dyDescent="0.4">
      <c r="A424" s="41"/>
      <c r="B424" s="33">
        <f>_xlfn.XLOOKUP($A424,'[1]DATOS PBI Artículos'!A:A,'[1]DATOS PBI Artículos'!B:B)</f>
        <v>0</v>
      </c>
      <c r="C424" s="33">
        <f>_xlfn.XLOOKUP($A424,'[1]DATOS PBI Artículos'!A:A,'[1]DATOS PBI Artículos'!C:C)</f>
        <v>0</v>
      </c>
      <c r="D424" s="33">
        <f>_xlfn.XLOOKUP(A424,'[1]DATOS PBI Artículos'!A:A,'[1]DATOS PBI Artículos'!T:T)</f>
        <v>0</v>
      </c>
      <c r="E424" s="34">
        <f>IF(_xlfn.XLOOKUP($A424,'[1]DATOS PBI Artículos'!A:A,'[1]DATOS PBI Artículos'!AK:AK)="",_xlfn.XLOOKUP($A424,'[1]DATOS PBI Artículos'!A:A,'[1]DATOS PBI Artículos'!AJ:AJ),_xlfn.XLOOKUP($A424,'[1]DATOS PBI Artículos'!A:A,'[1]DATOS PBI Artículos'!AK:AK))</f>
        <v>0</v>
      </c>
      <c r="F424" s="35">
        <f>_xlfn.XLOOKUP($A424,'[1]DATOS PBI Artículos'!A:A,'[1]DATOS PBI Artículos'!AP:AP)</f>
        <v>0</v>
      </c>
      <c r="G424" s="34">
        <f>_xlfn.XLOOKUP($A424,'[1]DATOS PBI Artículos'!A:A,'[1]DATOS PBI Artículos'!AR:AR)</f>
        <v>0</v>
      </c>
      <c r="H424" s="34">
        <f>_xlfn.XLOOKUP($A424,'[1]DATOS PBI Artículos'!A:A,'[1]DATOS PBI Artículos'!AT:AT)</f>
        <v>0</v>
      </c>
      <c r="I424" s="34">
        <f>_xlfn.XLOOKUP($A424,'[1]DATOS PBI Artículos'!A:A,'[1]DATOS PBI Artículos'!AS:AS)</f>
        <v>0</v>
      </c>
      <c r="J424" s="35">
        <f>IF(COUNTIF([1]CRITERIOS!$F$179:$F$199,$A424)&gt;=1,
 IF(O424&lt;&gt;"",
    (O424/_xlfn.XLOOKUP(CONCATENATE(A424,L424),[1]MÁQUINAS!A:A,[1]MÁQUINAS!D:D))/24,
    (N424/_xlfn.XLOOKUP(CONCATENATE(A424,L424),[1]MÁQUINAS!A:A,[1]MÁQUINAS!D:D))/24),
  _xlfn.XLOOKUP($A424,'[1]DATOS PBI Artículos'!A:A,'[1]DATOS PBI Artículos'!AU:AU))</f>
        <v>0</v>
      </c>
      <c r="K424" s="36">
        <f>_xlfn.XLOOKUP($A424,'[1]DATOS PBI Artículos'!A:A,'[1]DATOS PBI Artículos'!AV:AV)</f>
        <v>0</v>
      </c>
      <c r="L424" s="33">
        <f>_xlfn.XLOOKUP(A424,[1]MÁQUINAS!B:B,[1]MÁQUINAS!C:C)</f>
        <v>0</v>
      </c>
      <c r="M424" s="34">
        <f t="array" ref="M424">_xlfn.XLOOKUP(A424,'[1]DATOS PBI Artículos'!A:A,'[1]DATOS PBI Artículos'!AX:$AX)</f>
        <v>0</v>
      </c>
      <c r="N424" s="37" t="e">
        <f>IF(I424="DV",
E424,
IF(COUNTIF([1]CRITERIOS!$I$179:$I$199,$A424)&gt;=1,
_xlfn.XLOOKUP($A424,[1]CRITERIOS!$I$179:$I$199,[1]CRITERIOS!$J$179:$J$199),
IF(COUNTIF([1]CRITERIOS!$L$179:$L$199,$A424)&gt;=1,
_xlfn.CEILING.MATH(IF($M424&gt;$E424,
$E424,
IF($M424&lt;$E424/ROUNDDOWN([1]CRITERIOS!$M$16/_xlfn.XLOOKUP($C424,[1]CRITERIOS!$K$25:$K$42,[1]CRITERIOS!$M$25:$M$42),
1),
E424/ROUNDDOWN([1]CRITERIOS!$M$16/_xlfn.XLOOKUP($C424,[1]CRITERIOS!$K$25:$K$42,[1]CRITERIOS!$M$25:$M$42),
1),
$M424)),
_xlfn.XLOOKUP($A424,[1]CRITERIOS!$L$179:$L$200,[1]CRITERIOS!$M$179:$M$200)),
_xlfn.CEILING.MATH(IF($M424&gt;$E424,
$E424,
IF($M424&lt;$E424/ROUNDDOWN([1]CRITERIOS!$M$16/_xlfn.XLOOKUP($C424,[1]CRITERIOS!$K$25:$K$42,[1]CRITERIOS!$M$25:$M$42),
1),
E424/ROUNDDOWN([1]CRITERIOS!$M$16/_xlfn.XLOOKUP($C424,[1]CRITERIOS!$K$25:$K$42,[1]CRITERIOS!$M$25:$M$42),
1),
$M424)),_xlfn.XLOOKUP(A424,'[1]DATOS PBI Artículos'!A:A,'[1]DATOS PBI Artículos'!Z:Z
)))))</f>
        <v>#N/A</v>
      </c>
      <c r="Q424" s="38" t="e">
        <f>IF(AND(O424="",N424=0),
0,
   IF(COUNTIF([1]CRITERIOS!$F$179:$F$199,$A424)&gt;=1,
   1,
   IF(R424="MTO",
      $D424,
      ROUNDUP(
                    IF(($E424-SUMIF('[1]DATOS PBI Artículos'!A:A,A424,'[1]DATOS PBI Artículos'!X:X)+($V424-_xlfn.XLOOKUP(A424,'[1]DATOS PBI Artículos'!A:A,'[1]DATOS PBI Artículos'!W:W)))&lt;0,
                    0,
                    IF(($E424-SUMIF('[1]DATOS PBI Artículos'!A:A,A424,'[1]DATOS PBI Artículos'!X:X)+$V424-_xlfn.XLOOKUP($A424,'[1]DATOS PBI Artículos'!A:A,'[1]DATOS PBI Artículos'!W:W))/IF($O424="",$N424,$O424)&gt;ROUNDUP([1]CRITERIOS!$M$16/(IF(COUNTIF([1]CRITERIOS!$BG$11:$BG$201,L424)&gt;=1,_xlfn.XLOOKUP($C424,[1]CRITERIOS!$K$25:$K$42,[1]CRITERIOS!$M$25:$M$42),_xlfn.XLOOKUP($C424,[1]CRITERIOS!$K$25:$K$42,[1]CRITERIOS!$M$25:$M$42))),0),
                    ROUNDUP([1]CRITERIOS!$M$16/(IF(COUNTIF([1]CRITERIOS!$BG$11:$BG$201,$L424)&gt;=1,_xlfn.XLOOKUP($C424,[1]CRITERIOS!$K$25:$K$42,[1]CRITERIOS!$M$25:$M$42),_xlfn.XLOOKUP($C424,[1]CRITERIOS!$K$25:$K$42,[1]CRITERIOS!$M$25:$M$42))),0),
                    (E424+V424-SUMIF('[1]DATOS PBI Artículos'!A:A,A424,'[1]DATOS PBI Artículos'!X:X)-_xlfn.XLOOKUP(A424,'[1]DATOS PBI Artículos'!A:A,'[1]DATOS PBI Artículos'!W:W))/IF($O424="",$N424,$O424))),0))))</f>
        <v>#N/A</v>
      </c>
      <c r="R424" s="33" t="e">
        <f>IF(U424&lt;&gt;"",U424,IF(F424="DV","MTO",IF(N424=0,"MTO",_xlfn.XLOOKUP(CONCATENATE(S424,T424),[1]CRITERIOS!$K$160:$K$168,[1]CRITERIOS!$N$160:$N$168))))</f>
        <v>#N/A</v>
      </c>
      <c r="S424" s="33" t="e">
        <f>IF(G424="DV","MTO",IF(N424=0,"MTO",IF(OR(AND(N424=0,O424=""),IF(O424="",G424/N424,G424/O424)&gt;[1]CRITERIOS!$G$163),"MTO",IF(IF(O424="",G424/N424,G424/O424)&lt;[1]CRITERIOS!$H$161,"MTS","MTOS"))))</f>
        <v>#N/A</v>
      </c>
      <c r="T424" s="33" t="e">
        <f>IF(F424="DV","MTO",IF(OR(AND($N424=0,O424=""),$F424/$J424&gt;[1]CRITERIOS!$G$170,$F424="DV"),"MTO",IF($F424/$J424&lt;[1]CRITERIOS!$H$168,"MTS","MTOS")))</f>
        <v>#N/A</v>
      </c>
      <c r="V424" s="34" t="e">
        <f t="shared" si="22"/>
        <v>#N/A</v>
      </c>
      <c r="X424" s="34" t="e">
        <f t="shared" si="20"/>
        <v>#N/A</v>
      </c>
      <c r="Y424" s="34" t="e">
        <f t="shared" si="21"/>
        <v>#N/A</v>
      </c>
      <c r="Z424" s="34" t="e">
        <f>IF($R424="MTO",
0,
($H424+$K424*($E424/[1]CRITERIOS!$M$16))/[1]CRITERIOS!$X$48)</f>
        <v>#N/A</v>
      </c>
      <c r="AA424" s="34" t="e">
        <f>ROUNDUP(($Y424/_xlfn.XLOOKUP($A424,'[1]DATOS PBI Artículos'!$A$4:$A$4,'[1]DATOS PBI Artículos'!$Z$4:$Z$4))/_xlfn.XLOOKUP(_xlfn.XLOOKUP($A424,'[1]DATOS PBI Artículos'!$A$4:$A$4,'[1]DATOS PBI Artículos'!$Y$4:$Y$4),[1]CRITERIOS!$P$79:$P$123,[1]CRITERIOS!$S$79:$S$123,),0)</f>
        <v>#N/A</v>
      </c>
      <c r="AB424" s="33" t="e">
        <f t="array" ref="AB424">IF((E424+V424-_xlfn.XLOOKUP(A424,'[1]DATOS PBI Artículos'!$A$4:$A$4,'[1]DATOS PBI Artículos'!$W$4:$W$4))/N424&gt;ROUNDUP([1]CRITERIOS!$M$16/(IF(COUNTIF([1]CRITERIOS!$BG$11:$BG$201,L424)&gt;=1,_xlfn.XLOOKUP(ARTÍCULOS!L424,[1]CRITERIOS!$BG$11:$BG$201,[1]CRITERIOS!$BJ$11:$BJ$201),_xlfn.XLOOKUP(ARTÍCULOS!C424,[1]CRITERIOS!$K$25:$K$42,[1]CRITERIOS!$M$25:$M$42))),0),ROUNDUP([1]CRITERIOS!$M$16/(IF(COUNTIF([1]CRITERIOS!$BG$11:$BG$201,L424)&gt;=1,_xlfn.XLOOKUP(ARTÍCULOS!L424,[1]CRITERIOS!$BG$11:$BG$201:#REF!,[1]CRITERIOS!$BJ$11:$BJ$201),_xlfn.XLOOKUP(ARTÍCULOS!C424,[1]CRITERIOS!$K$25:$K$42,[1]CRITERIOS!$M$25:$M$42))),0),(E424+V424-_xlfn.XLOOKUP(A424,'[1]DATOS PBI Artículos'!$A$4:$A$4,'[1]DATOS PBI Artículos'!$W$4:$W$4))/N424)</f>
        <v>#N/A</v>
      </c>
      <c r="AC424" s="33" t="e">
        <f>IF(N424=0,"",(ROUNDUP((N424/2)/(_xlfn.XLOOKUP(A424,'[1]DATOS PBI Artículos'!$A$4:$A$4,'[1]DATOS PBI Artículos'!$Z$4:$Z$4)*_xlfn.XLOOKUP(_xlfn.XLOOKUP(A424,'[1]DATOS PBI Artículos'!$A$4:$A$4,'[1]DATOS PBI Artículos'!$Y$4:$Y$4),[1]CRITERIOS!$P$79:$P$123,[1]CRITERIOS!$S$79:$S$123)),0)*[1]CRITERIOS!$M$80*([1]CRITERIOS!$M$110/[1]CRITERIOS!$M$86)+(_xlfn.XLOOKUP(A424,'[1]DATOS PBI Artículos'!$A$4:$A$4,'[1]DATOS PBI Artículos'!$AA$4:$AA$4)*([1]CRITERIOS!$M$95+[1]CRITERIOS!$M$98)))/N424)</f>
        <v>#N/A</v>
      </c>
      <c r="AD424" s="33" t="e">
        <f>IF(N424=0,"",(ROUNDUP((N424/2)/(_xlfn.XLOOKUP(A424,'[1]DATOS PBI Artículos'!$A$4:$A$4,'[1]DATOS PBI Artículos'!$Z$4:$Z$4)*_xlfn.XLOOKUP(_xlfn.XLOOKUP(A424,'[1]DATOS PBI Artículos'!$A$4:$A$4,'[1]DATOS PBI Artículos'!$Y$4:$Y$4),[1]CRITERIOS!$P$79:$P$123,[1]CRITERIOS!$S$79:$S$123)),0)*[1]CRITERIOS!$M$80*([1]CRITERIOS!$M$89*[1]CRITERIOS!$M$92)+((_xlfn.XLOOKUP(A424,'[1]DATOS PBI Artículos'!$A$4:$A$4,'[1]DATOS PBI Artículos'!$AA$4:$AA$4)/2)*([1]CRITERIOS!$M$95+[1]CRITERIOS!$M$98)))/N424)</f>
        <v>#N/A</v>
      </c>
      <c r="AE424" s="39" t="e">
        <f>IF($R424="MTO","",
IF($H424=0,ROUNDUP(((_xlfn.XLOOKUP($A424,'[1]DATOS PBI Artículos'!$A:$A,'[1]DATOS PBI Artículos'!$AL:$AL))/(_xlfn.XLOOKUP($AF$1,[1]CRITERIOS!$S$16:$S$39,[1]CRITERIOS!$Y$16:$Y$39))*$J424+$Z424)/$G424,0)*$G424,
((_xlfn.XLOOKUP($A424,'[1]DATOS PBI Artículos'!$A:$A,'[1]DATOS PBI Artículos'!$AL:$AL))/(_xlfn.XLOOKUP($AF$1,[1]CRITERIOS!$S$16:$S$39,[1]CRITERIOS!$Y$16:$Y$39))*$J424+$Z424)))</f>
        <v>#N/A</v>
      </c>
      <c r="AG424" s="39" t="e">
        <f>IF($R424="MTO","",
IF($H424=0,ROUNDUP(((_xlfn.XLOOKUP($A424,'[1]DATOS PBI Artículos'!$A:$A,'[1]DATOS PBI Artículos'!$AM:$AM))/(_xlfn.XLOOKUP($AH$1,[1]CRITERIOS!$S$16:$S$39,[1]CRITERIOS!$Y$16:$Y$39))*$J424+$Z424)/$G424,0)*$G424,
((_xlfn.XLOOKUP($A424,'[1]DATOS PBI Artículos'!$A:$A,'[1]DATOS PBI Artículos'!$AM:$AM))/(_xlfn.XLOOKUP($AH$1,[1]CRITERIOS!$S$16:$S$39,[1]CRITERIOS!$Y$16:$Y$39))*$J424+$Z424)))</f>
        <v>#N/A</v>
      </c>
      <c r="AI424" s="39" t="e">
        <f>IF($R424="MTO","",
IF($H424=0,ROUNDUP(((_xlfn.XLOOKUP($A424,'[1]DATOS PBI Artículos'!$A:$A,'[1]DATOS PBI Artículos'!$AN:$AN))/(_xlfn.XLOOKUP($AJ$1,[1]CRITERIOS!$S$16:$S$39,[1]CRITERIOS!$Y$16:$Y$39))*$J424+$Z424)/$G424,0)*$G424,
((_xlfn.XLOOKUP($A424,'[1]DATOS PBI Artículos'!$A:$A,'[1]DATOS PBI Artículos'!$AN:$AN))/(_xlfn.XLOOKUP($AJ$1,[1]CRITERIOS!$S$16:$S$39,[1]CRITERIOS!$Y$16:$Y$39))*$J424+$Z424)))</f>
        <v>#N/A</v>
      </c>
      <c r="AK424" s="39" t="e">
        <f>IF($R424="MTO","",
IF($H424=0,ROUNDUP(((_xlfn.XLOOKUP($A424,'[1]DATOS PBI Artículos'!$A:$A,'[1]DATOS PBI Artículos'!$AO:$AO))/(_xlfn.XLOOKUP($AL$1,[1]CRITERIOS!$S$16:$S$39,[1]CRITERIOS!$Y$16:$Y$39))*$J424+$Z424)/$G424,0)*$G424,
((_xlfn.XLOOKUP($A424,'[1]DATOS PBI Artículos'!$A:$A,'[1]DATOS PBI Artículos'!$AO:$AO))/(_xlfn.XLOOKUP($AL$1,[1]CRITERIOS!$S$16:$S$39,[1]CRITERIOS!$Y$16:$Y$39))*$J424+$Z424)))</f>
        <v>#N/A</v>
      </c>
    </row>
    <row r="425" spans="1:37" ht="25.8" hidden="1" x14ac:dyDescent="0.4">
      <c r="A425" s="41"/>
      <c r="B425" s="33">
        <f>_xlfn.XLOOKUP($A425,'[1]DATOS PBI Artículos'!A:A,'[1]DATOS PBI Artículos'!B:B)</f>
        <v>0</v>
      </c>
      <c r="C425" s="33">
        <f>_xlfn.XLOOKUP($A425,'[1]DATOS PBI Artículos'!A:A,'[1]DATOS PBI Artículos'!C:C)</f>
        <v>0</v>
      </c>
      <c r="D425" s="33">
        <f>_xlfn.XLOOKUP(A425,'[1]DATOS PBI Artículos'!A:A,'[1]DATOS PBI Artículos'!T:T)</f>
        <v>0</v>
      </c>
      <c r="E425" s="34">
        <f>IF(_xlfn.XLOOKUP($A425,'[1]DATOS PBI Artículos'!A:A,'[1]DATOS PBI Artículos'!AK:AK)="",_xlfn.XLOOKUP($A425,'[1]DATOS PBI Artículos'!A:A,'[1]DATOS PBI Artículos'!AJ:AJ),_xlfn.XLOOKUP($A425,'[1]DATOS PBI Artículos'!A:A,'[1]DATOS PBI Artículos'!AK:AK))</f>
        <v>0</v>
      </c>
      <c r="F425" s="35">
        <f>_xlfn.XLOOKUP($A425,'[1]DATOS PBI Artículos'!A:A,'[1]DATOS PBI Artículos'!AP:AP)</f>
        <v>0</v>
      </c>
      <c r="G425" s="34">
        <f>_xlfn.XLOOKUP($A425,'[1]DATOS PBI Artículos'!A:A,'[1]DATOS PBI Artículos'!AR:AR)</f>
        <v>0</v>
      </c>
      <c r="H425" s="34">
        <f>_xlfn.XLOOKUP($A425,'[1]DATOS PBI Artículos'!A:A,'[1]DATOS PBI Artículos'!AT:AT)</f>
        <v>0</v>
      </c>
      <c r="I425" s="34">
        <f>_xlfn.XLOOKUP($A425,'[1]DATOS PBI Artículos'!A:A,'[1]DATOS PBI Artículos'!AS:AS)</f>
        <v>0</v>
      </c>
      <c r="J425" s="35">
        <f>IF(COUNTIF([1]CRITERIOS!$F$179:$F$199,$A425)&gt;=1,
 IF(O425&lt;&gt;"",
    (O425/_xlfn.XLOOKUP(CONCATENATE(A425,L425),[1]MÁQUINAS!A:A,[1]MÁQUINAS!D:D))/24,
    (N425/_xlfn.XLOOKUP(CONCATENATE(A425,L425),[1]MÁQUINAS!A:A,[1]MÁQUINAS!D:D))/24),
  _xlfn.XLOOKUP($A425,'[1]DATOS PBI Artículos'!A:A,'[1]DATOS PBI Artículos'!AU:AU))</f>
        <v>0</v>
      </c>
      <c r="K425" s="36">
        <f>_xlfn.XLOOKUP($A425,'[1]DATOS PBI Artículos'!A:A,'[1]DATOS PBI Artículos'!AV:AV)</f>
        <v>0</v>
      </c>
      <c r="L425" s="33">
        <f>_xlfn.XLOOKUP(A425,[1]MÁQUINAS!B:B,[1]MÁQUINAS!C:C)</f>
        <v>0</v>
      </c>
      <c r="M425" s="34">
        <f t="array" ref="M425">_xlfn.XLOOKUP(A425,'[1]DATOS PBI Artículos'!A:A,'[1]DATOS PBI Artículos'!AX:$AX)</f>
        <v>0</v>
      </c>
      <c r="N425" s="37" t="e">
        <f>IF(I425="DV",
E425,
IF(COUNTIF([1]CRITERIOS!$I$179:$I$199,$A425)&gt;=1,
_xlfn.XLOOKUP($A425,[1]CRITERIOS!$I$179:$I$199,[1]CRITERIOS!$J$179:$J$199),
IF(COUNTIF([1]CRITERIOS!$L$179:$L$199,$A425)&gt;=1,
_xlfn.CEILING.MATH(IF($M425&gt;$E425,
$E425,
IF($M425&lt;$E425/ROUNDDOWN([1]CRITERIOS!$M$16/_xlfn.XLOOKUP($C425,[1]CRITERIOS!$K$25:$K$42,[1]CRITERIOS!$M$25:$M$42),
1),
E425/ROUNDDOWN([1]CRITERIOS!$M$16/_xlfn.XLOOKUP($C425,[1]CRITERIOS!$K$25:$K$42,[1]CRITERIOS!$M$25:$M$42),
1),
$M425)),
_xlfn.XLOOKUP($A425,[1]CRITERIOS!$L$179:$L$200,[1]CRITERIOS!$M$179:$M$200)),
_xlfn.CEILING.MATH(IF($M425&gt;$E425,
$E425,
IF($M425&lt;$E425/ROUNDDOWN([1]CRITERIOS!$M$16/_xlfn.XLOOKUP($C425,[1]CRITERIOS!$K$25:$K$42,[1]CRITERIOS!$M$25:$M$42),
1),
E425/ROUNDDOWN([1]CRITERIOS!$M$16/_xlfn.XLOOKUP($C425,[1]CRITERIOS!$K$25:$K$42,[1]CRITERIOS!$M$25:$M$42),
1),
$M425)),_xlfn.XLOOKUP(A425,'[1]DATOS PBI Artículos'!A:A,'[1]DATOS PBI Artículos'!Z:Z
)))))</f>
        <v>#N/A</v>
      </c>
      <c r="Q425" s="38" t="e">
        <f>IF(AND(O425="",N425=0),
0,
   IF(COUNTIF([1]CRITERIOS!$F$179:$F$199,$A425)&gt;=1,
   1,
   IF(R425="MTO",
      $D425,
      ROUNDUP(
                    IF(($E425-SUMIF('[1]DATOS PBI Artículos'!A:A,A425,'[1]DATOS PBI Artículos'!X:X)+($V425-_xlfn.XLOOKUP(A425,'[1]DATOS PBI Artículos'!A:A,'[1]DATOS PBI Artículos'!W:W)))&lt;0,
                    0,
                    IF(($E425-SUMIF('[1]DATOS PBI Artículos'!A:A,A425,'[1]DATOS PBI Artículos'!X:X)+$V425-_xlfn.XLOOKUP($A425,'[1]DATOS PBI Artículos'!A:A,'[1]DATOS PBI Artículos'!W:W))/IF($O425="",$N425,$O425)&gt;ROUNDUP([1]CRITERIOS!$M$16/(IF(COUNTIF([1]CRITERIOS!$BG$11:$BG$201,L425)&gt;=1,_xlfn.XLOOKUP($C425,[1]CRITERIOS!$K$25:$K$42,[1]CRITERIOS!$M$25:$M$42),_xlfn.XLOOKUP($C425,[1]CRITERIOS!$K$25:$K$42,[1]CRITERIOS!$M$25:$M$42))),0),
                    ROUNDUP([1]CRITERIOS!$M$16/(IF(COUNTIF([1]CRITERIOS!$BG$11:$BG$201,$L425)&gt;=1,_xlfn.XLOOKUP($C425,[1]CRITERIOS!$K$25:$K$42,[1]CRITERIOS!$M$25:$M$42),_xlfn.XLOOKUP($C425,[1]CRITERIOS!$K$25:$K$42,[1]CRITERIOS!$M$25:$M$42))),0),
                    (E425+V425-SUMIF('[1]DATOS PBI Artículos'!A:A,A425,'[1]DATOS PBI Artículos'!X:X)-_xlfn.XLOOKUP(A425,'[1]DATOS PBI Artículos'!A:A,'[1]DATOS PBI Artículos'!W:W))/IF($O425="",$N425,$O425))),0))))</f>
        <v>#N/A</v>
      </c>
      <c r="R425" s="33" t="e">
        <f>IF(U425&lt;&gt;"",U425,IF(F425="DV","MTO",IF(N425=0,"MTO",_xlfn.XLOOKUP(CONCATENATE(S425,T425),[1]CRITERIOS!$K$160:$K$168,[1]CRITERIOS!$N$160:$N$168))))</f>
        <v>#N/A</v>
      </c>
      <c r="S425" s="33" t="e">
        <f>IF(G425="DV","MTO",IF(N425=0,"MTO",IF(OR(AND(N425=0,O425=""),IF(O425="",G425/N425,G425/O425)&gt;[1]CRITERIOS!$G$163),"MTO",IF(IF(O425="",G425/N425,G425/O425)&lt;[1]CRITERIOS!$H$161,"MTS","MTOS"))))</f>
        <v>#N/A</v>
      </c>
      <c r="T425" s="33" t="e">
        <f>IF(F425="DV","MTO",IF(OR(AND($N425=0,O425=""),$F425/$J425&gt;[1]CRITERIOS!$G$170,$F425="DV"),"MTO",IF($F425/$J425&lt;[1]CRITERIOS!$H$168,"MTS","MTOS")))</f>
        <v>#N/A</v>
      </c>
      <c r="V425" s="34" t="e">
        <f t="shared" si="22"/>
        <v>#N/A</v>
      </c>
      <c r="X425" s="34" t="e">
        <f t="shared" si="20"/>
        <v>#N/A</v>
      </c>
      <c r="Y425" s="34" t="e">
        <f t="shared" si="21"/>
        <v>#N/A</v>
      </c>
      <c r="Z425" s="34" t="e">
        <f>IF($R425="MTO",
0,
($H425+$K425*($E425/[1]CRITERIOS!$M$16))/[1]CRITERIOS!$X$48)</f>
        <v>#N/A</v>
      </c>
      <c r="AA425" s="34" t="e">
        <f>ROUNDUP(($Y425/_xlfn.XLOOKUP($A425,'[1]DATOS PBI Artículos'!$A$4:$A$4,'[1]DATOS PBI Artículos'!$Z$4:$Z$4))/_xlfn.XLOOKUP(_xlfn.XLOOKUP($A425,'[1]DATOS PBI Artículos'!$A$4:$A$4,'[1]DATOS PBI Artículos'!$Y$4:$Y$4),[1]CRITERIOS!$P$79:$P$123,[1]CRITERIOS!$S$79:$S$123,),0)</f>
        <v>#N/A</v>
      </c>
      <c r="AB425" s="33" t="e">
        <f t="array" ref="AB425">IF((E425+V425-_xlfn.XLOOKUP(A425,'[1]DATOS PBI Artículos'!$A$4:$A$4,'[1]DATOS PBI Artículos'!$W$4:$W$4))/N425&gt;ROUNDUP([1]CRITERIOS!$M$16/(IF(COUNTIF([1]CRITERIOS!$BG$11:$BG$201,L425)&gt;=1,_xlfn.XLOOKUP(ARTÍCULOS!L425,[1]CRITERIOS!$BG$11:$BG$201,[1]CRITERIOS!$BJ$11:$BJ$201),_xlfn.XLOOKUP(ARTÍCULOS!C425,[1]CRITERIOS!$K$25:$K$42,[1]CRITERIOS!$M$25:$M$42))),0),ROUNDUP([1]CRITERIOS!$M$16/(IF(COUNTIF([1]CRITERIOS!$BG$11:$BG$201,L425)&gt;=1,_xlfn.XLOOKUP(ARTÍCULOS!L425,[1]CRITERIOS!$BG$11:$BG$201:#REF!,[1]CRITERIOS!$BJ$11:$BJ$201),_xlfn.XLOOKUP(ARTÍCULOS!C425,[1]CRITERIOS!$K$25:$K$42,[1]CRITERIOS!$M$25:$M$42))),0),(E425+V425-_xlfn.XLOOKUP(A425,'[1]DATOS PBI Artículos'!$A$4:$A$4,'[1]DATOS PBI Artículos'!$W$4:$W$4))/N425)</f>
        <v>#N/A</v>
      </c>
      <c r="AC425" s="33" t="e">
        <f>IF(N425=0,"",(ROUNDUP((N425/2)/(_xlfn.XLOOKUP(A425,'[1]DATOS PBI Artículos'!$A$4:$A$4,'[1]DATOS PBI Artículos'!$Z$4:$Z$4)*_xlfn.XLOOKUP(_xlfn.XLOOKUP(A425,'[1]DATOS PBI Artículos'!$A$4:$A$4,'[1]DATOS PBI Artículos'!$Y$4:$Y$4),[1]CRITERIOS!$P$79:$P$123,[1]CRITERIOS!$S$79:$S$123)),0)*[1]CRITERIOS!$M$80*([1]CRITERIOS!$M$110/[1]CRITERIOS!$M$86)+(_xlfn.XLOOKUP(A425,'[1]DATOS PBI Artículos'!$A$4:$A$4,'[1]DATOS PBI Artículos'!$AA$4:$AA$4)*([1]CRITERIOS!$M$95+[1]CRITERIOS!$M$98)))/N425)</f>
        <v>#N/A</v>
      </c>
      <c r="AD425" s="33" t="e">
        <f>IF(N425=0,"",(ROUNDUP((N425/2)/(_xlfn.XLOOKUP(A425,'[1]DATOS PBI Artículos'!$A$4:$A$4,'[1]DATOS PBI Artículos'!$Z$4:$Z$4)*_xlfn.XLOOKUP(_xlfn.XLOOKUP(A425,'[1]DATOS PBI Artículos'!$A$4:$A$4,'[1]DATOS PBI Artículos'!$Y$4:$Y$4),[1]CRITERIOS!$P$79:$P$123,[1]CRITERIOS!$S$79:$S$123)),0)*[1]CRITERIOS!$M$80*([1]CRITERIOS!$M$89*[1]CRITERIOS!$M$92)+((_xlfn.XLOOKUP(A425,'[1]DATOS PBI Artículos'!$A$4:$A$4,'[1]DATOS PBI Artículos'!$AA$4:$AA$4)/2)*([1]CRITERIOS!$M$95+[1]CRITERIOS!$M$98)))/N425)</f>
        <v>#N/A</v>
      </c>
      <c r="AE425" s="39" t="e">
        <f>IF($R425="MTO","",
IF($H425=0,ROUNDUP(((_xlfn.XLOOKUP($A425,'[1]DATOS PBI Artículos'!$A:$A,'[1]DATOS PBI Artículos'!$AL:$AL))/(_xlfn.XLOOKUP($AF$1,[1]CRITERIOS!$S$16:$S$39,[1]CRITERIOS!$Y$16:$Y$39))*$J425+$Z425)/$G425,0)*$G425,
((_xlfn.XLOOKUP($A425,'[1]DATOS PBI Artículos'!$A:$A,'[1]DATOS PBI Artículos'!$AL:$AL))/(_xlfn.XLOOKUP($AF$1,[1]CRITERIOS!$S$16:$S$39,[1]CRITERIOS!$Y$16:$Y$39))*$J425+$Z425)))</f>
        <v>#N/A</v>
      </c>
      <c r="AG425" s="39" t="e">
        <f>IF($R425="MTO","",
IF($H425=0,ROUNDUP(((_xlfn.XLOOKUP($A425,'[1]DATOS PBI Artículos'!$A:$A,'[1]DATOS PBI Artículos'!$AM:$AM))/(_xlfn.XLOOKUP($AH$1,[1]CRITERIOS!$S$16:$S$39,[1]CRITERIOS!$Y$16:$Y$39))*$J425+$Z425)/$G425,0)*$G425,
((_xlfn.XLOOKUP($A425,'[1]DATOS PBI Artículos'!$A:$A,'[1]DATOS PBI Artículos'!$AM:$AM))/(_xlfn.XLOOKUP($AH$1,[1]CRITERIOS!$S$16:$S$39,[1]CRITERIOS!$Y$16:$Y$39))*$J425+$Z425)))</f>
        <v>#N/A</v>
      </c>
      <c r="AI425" s="39" t="e">
        <f>IF($R425="MTO","",
IF($H425=0,ROUNDUP(((_xlfn.XLOOKUP($A425,'[1]DATOS PBI Artículos'!$A:$A,'[1]DATOS PBI Artículos'!$AN:$AN))/(_xlfn.XLOOKUP($AJ$1,[1]CRITERIOS!$S$16:$S$39,[1]CRITERIOS!$Y$16:$Y$39))*$J425+$Z425)/$G425,0)*$G425,
((_xlfn.XLOOKUP($A425,'[1]DATOS PBI Artículos'!$A:$A,'[1]DATOS PBI Artículos'!$AN:$AN))/(_xlfn.XLOOKUP($AJ$1,[1]CRITERIOS!$S$16:$S$39,[1]CRITERIOS!$Y$16:$Y$39))*$J425+$Z425)))</f>
        <v>#N/A</v>
      </c>
      <c r="AK425" s="39" t="e">
        <f>IF($R425="MTO","",
IF($H425=0,ROUNDUP(((_xlfn.XLOOKUP($A425,'[1]DATOS PBI Artículos'!$A:$A,'[1]DATOS PBI Artículos'!$AO:$AO))/(_xlfn.XLOOKUP($AL$1,[1]CRITERIOS!$S$16:$S$39,[1]CRITERIOS!$Y$16:$Y$39))*$J425+$Z425)/$G425,0)*$G425,
((_xlfn.XLOOKUP($A425,'[1]DATOS PBI Artículos'!$A:$A,'[1]DATOS PBI Artículos'!$AO:$AO))/(_xlfn.XLOOKUP($AL$1,[1]CRITERIOS!$S$16:$S$39,[1]CRITERIOS!$Y$16:$Y$39))*$J425+$Z425)))</f>
        <v>#N/A</v>
      </c>
    </row>
    <row r="426" spans="1:37" ht="25.8" hidden="1" x14ac:dyDescent="0.4">
      <c r="A426" s="41"/>
      <c r="B426" s="33">
        <f>_xlfn.XLOOKUP($A426,'[1]DATOS PBI Artículos'!A:A,'[1]DATOS PBI Artículos'!B:B)</f>
        <v>0</v>
      </c>
      <c r="C426" s="33">
        <f>_xlfn.XLOOKUP($A426,'[1]DATOS PBI Artículos'!A:A,'[1]DATOS PBI Artículos'!C:C)</f>
        <v>0</v>
      </c>
      <c r="D426" s="33">
        <f>_xlfn.XLOOKUP(A426,'[1]DATOS PBI Artículos'!A:A,'[1]DATOS PBI Artículos'!T:T)</f>
        <v>0</v>
      </c>
      <c r="E426" s="34">
        <f>IF(_xlfn.XLOOKUP($A426,'[1]DATOS PBI Artículos'!A:A,'[1]DATOS PBI Artículos'!AK:AK)="",_xlfn.XLOOKUP($A426,'[1]DATOS PBI Artículos'!A:A,'[1]DATOS PBI Artículos'!AJ:AJ),_xlfn.XLOOKUP($A426,'[1]DATOS PBI Artículos'!A:A,'[1]DATOS PBI Artículos'!AK:AK))</f>
        <v>0</v>
      </c>
      <c r="F426" s="35">
        <f>_xlfn.XLOOKUP($A426,'[1]DATOS PBI Artículos'!A:A,'[1]DATOS PBI Artículos'!AP:AP)</f>
        <v>0</v>
      </c>
      <c r="G426" s="34">
        <f>_xlfn.XLOOKUP($A426,'[1]DATOS PBI Artículos'!A:A,'[1]DATOS PBI Artículos'!AR:AR)</f>
        <v>0</v>
      </c>
      <c r="H426" s="34">
        <f>_xlfn.XLOOKUP($A426,'[1]DATOS PBI Artículos'!A:A,'[1]DATOS PBI Artículos'!AT:AT)</f>
        <v>0</v>
      </c>
      <c r="I426" s="34">
        <f>_xlfn.XLOOKUP($A426,'[1]DATOS PBI Artículos'!A:A,'[1]DATOS PBI Artículos'!AS:AS)</f>
        <v>0</v>
      </c>
      <c r="J426" s="35">
        <f>IF(COUNTIF([1]CRITERIOS!$F$179:$F$199,$A426)&gt;=1,
 IF(O426&lt;&gt;"",
    (O426/_xlfn.XLOOKUP(CONCATENATE(A426,L426),[1]MÁQUINAS!A:A,[1]MÁQUINAS!D:D))/24,
    (N426/_xlfn.XLOOKUP(CONCATENATE(A426,L426),[1]MÁQUINAS!A:A,[1]MÁQUINAS!D:D))/24),
  _xlfn.XLOOKUP($A426,'[1]DATOS PBI Artículos'!A:A,'[1]DATOS PBI Artículos'!AU:AU))</f>
        <v>0</v>
      </c>
      <c r="K426" s="36">
        <f>_xlfn.XLOOKUP($A426,'[1]DATOS PBI Artículos'!A:A,'[1]DATOS PBI Artículos'!AV:AV)</f>
        <v>0</v>
      </c>
      <c r="L426" s="33">
        <f>_xlfn.XLOOKUP(A426,[1]MÁQUINAS!B:B,[1]MÁQUINAS!C:C)</f>
        <v>0</v>
      </c>
      <c r="M426" s="34">
        <f t="array" ref="M426">_xlfn.XLOOKUP(A426,'[1]DATOS PBI Artículos'!A:A,'[1]DATOS PBI Artículos'!AX:$AX)</f>
        <v>0</v>
      </c>
      <c r="N426" s="37" t="e">
        <f>IF(I426="DV",
E426,
IF(COUNTIF([1]CRITERIOS!$I$179:$I$199,$A426)&gt;=1,
_xlfn.XLOOKUP($A426,[1]CRITERIOS!$I$179:$I$199,[1]CRITERIOS!$J$179:$J$199),
IF(COUNTIF([1]CRITERIOS!$L$179:$L$199,$A426)&gt;=1,
_xlfn.CEILING.MATH(IF($M426&gt;$E426,
$E426,
IF($M426&lt;$E426/ROUNDDOWN([1]CRITERIOS!$M$16/_xlfn.XLOOKUP($C426,[1]CRITERIOS!$K$25:$K$42,[1]CRITERIOS!$M$25:$M$42),
1),
E426/ROUNDDOWN([1]CRITERIOS!$M$16/_xlfn.XLOOKUP($C426,[1]CRITERIOS!$K$25:$K$42,[1]CRITERIOS!$M$25:$M$42),
1),
$M426)),
_xlfn.XLOOKUP($A426,[1]CRITERIOS!$L$179:$L$200,[1]CRITERIOS!$M$179:$M$200)),
_xlfn.CEILING.MATH(IF($M426&gt;$E426,
$E426,
IF($M426&lt;$E426/ROUNDDOWN([1]CRITERIOS!$M$16/_xlfn.XLOOKUP($C426,[1]CRITERIOS!$K$25:$K$42,[1]CRITERIOS!$M$25:$M$42),
1),
E426/ROUNDDOWN([1]CRITERIOS!$M$16/_xlfn.XLOOKUP($C426,[1]CRITERIOS!$K$25:$K$42,[1]CRITERIOS!$M$25:$M$42),
1),
$M426)),_xlfn.XLOOKUP(A426,'[1]DATOS PBI Artículos'!A:A,'[1]DATOS PBI Artículos'!Z:Z
)))))</f>
        <v>#N/A</v>
      </c>
      <c r="Q426" s="38" t="e">
        <f>IF(AND(O426="",N426=0),
0,
   IF(COUNTIF([1]CRITERIOS!$F$179:$F$199,$A426)&gt;=1,
   1,
   IF(R426="MTO",
      $D426,
      ROUNDUP(
                    IF(($E426-SUMIF('[1]DATOS PBI Artículos'!A:A,A426,'[1]DATOS PBI Artículos'!X:X)+($V426-_xlfn.XLOOKUP(A426,'[1]DATOS PBI Artículos'!A:A,'[1]DATOS PBI Artículos'!W:W)))&lt;0,
                    0,
                    IF(($E426-SUMIF('[1]DATOS PBI Artículos'!A:A,A426,'[1]DATOS PBI Artículos'!X:X)+$V426-_xlfn.XLOOKUP($A426,'[1]DATOS PBI Artículos'!A:A,'[1]DATOS PBI Artículos'!W:W))/IF($O426="",$N426,$O426)&gt;ROUNDUP([1]CRITERIOS!$M$16/(IF(COUNTIF([1]CRITERIOS!$BG$11:$BG$201,L426)&gt;=1,_xlfn.XLOOKUP($C426,[1]CRITERIOS!$K$25:$K$42,[1]CRITERIOS!$M$25:$M$42),_xlfn.XLOOKUP($C426,[1]CRITERIOS!$K$25:$K$42,[1]CRITERIOS!$M$25:$M$42))),0),
                    ROUNDUP([1]CRITERIOS!$M$16/(IF(COUNTIF([1]CRITERIOS!$BG$11:$BG$201,$L426)&gt;=1,_xlfn.XLOOKUP($C426,[1]CRITERIOS!$K$25:$K$42,[1]CRITERIOS!$M$25:$M$42),_xlfn.XLOOKUP($C426,[1]CRITERIOS!$K$25:$K$42,[1]CRITERIOS!$M$25:$M$42))),0),
                    (E426+V426-SUMIF('[1]DATOS PBI Artículos'!A:A,A426,'[1]DATOS PBI Artículos'!X:X)-_xlfn.XLOOKUP(A426,'[1]DATOS PBI Artículos'!A:A,'[1]DATOS PBI Artículos'!W:W))/IF($O426="",$N426,$O426))),0))))</f>
        <v>#N/A</v>
      </c>
      <c r="R426" s="33" t="e">
        <f>IF(U426&lt;&gt;"",U426,IF(F426="DV","MTO",IF(N426=0,"MTO",_xlfn.XLOOKUP(CONCATENATE(S426,T426),[1]CRITERIOS!$K$160:$K$168,[1]CRITERIOS!$N$160:$N$168))))</f>
        <v>#N/A</v>
      </c>
      <c r="S426" s="33" t="e">
        <f>IF(G426="DV","MTO",IF(N426=0,"MTO",IF(OR(AND(N426=0,O426=""),IF(O426="",G426/N426,G426/O426)&gt;[1]CRITERIOS!$G$163),"MTO",IF(IF(O426="",G426/N426,G426/O426)&lt;[1]CRITERIOS!$H$161,"MTS","MTOS"))))</f>
        <v>#N/A</v>
      </c>
      <c r="T426" s="33" t="e">
        <f>IF(F426="DV","MTO",IF(OR(AND($N426=0,O426=""),$F426/$J426&gt;[1]CRITERIOS!$G$170,$F426="DV"),"MTO",IF($F426/$J426&lt;[1]CRITERIOS!$H$168,"MTS","MTOS")))</f>
        <v>#N/A</v>
      </c>
      <c r="V426" s="34" t="e">
        <f t="shared" si="22"/>
        <v>#N/A</v>
      </c>
      <c r="X426" s="34" t="e">
        <f t="shared" si="20"/>
        <v>#N/A</v>
      </c>
      <c r="Y426" s="34" t="e">
        <f t="shared" si="21"/>
        <v>#N/A</v>
      </c>
      <c r="Z426" s="34" t="e">
        <f>IF($R426="MTO",
0,
($H426+$K426*($E426/[1]CRITERIOS!$M$16))/[1]CRITERIOS!$X$48)</f>
        <v>#N/A</v>
      </c>
      <c r="AA426" s="34" t="e">
        <f>ROUNDUP(($Y426/_xlfn.XLOOKUP($A426,'[1]DATOS PBI Artículos'!$A$4:$A$4,'[1]DATOS PBI Artículos'!$Z$4:$Z$4))/_xlfn.XLOOKUP(_xlfn.XLOOKUP($A426,'[1]DATOS PBI Artículos'!$A$4:$A$4,'[1]DATOS PBI Artículos'!$Y$4:$Y$4),[1]CRITERIOS!$P$79:$P$123,[1]CRITERIOS!$S$79:$S$123,),0)</f>
        <v>#N/A</v>
      </c>
      <c r="AB426" s="33" t="e">
        <f t="array" ref="AB426">IF((E426+V426-_xlfn.XLOOKUP(A426,'[1]DATOS PBI Artículos'!$A$4:$A$4,'[1]DATOS PBI Artículos'!$W$4:$W$4))/N426&gt;ROUNDUP([1]CRITERIOS!$M$16/(IF(COUNTIF([1]CRITERIOS!$BG$11:$BG$201,L426)&gt;=1,_xlfn.XLOOKUP(ARTÍCULOS!L426,[1]CRITERIOS!$BG$11:$BG$201,[1]CRITERIOS!$BJ$11:$BJ$201),_xlfn.XLOOKUP(ARTÍCULOS!C426,[1]CRITERIOS!$K$25:$K$42,[1]CRITERIOS!$M$25:$M$42))),0),ROUNDUP([1]CRITERIOS!$M$16/(IF(COUNTIF([1]CRITERIOS!$BG$11:$BG$201,L426)&gt;=1,_xlfn.XLOOKUP(ARTÍCULOS!L426,[1]CRITERIOS!$BG$11:$BG$201:#REF!,[1]CRITERIOS!$BJ$11:$BJ$201),_xlfn.XLOOKUP(ARTÍCULOS!C426,[1]CRITERIOS!$K$25:$K$42,[1]CRITERIOS!$M$25:$M$42))),0),(E426+V426-_xlfn.XLOOKUP(A426,'[1]DATOS PBI Artículos'!$A$4:$A$4,'[1]DATOS PBI Artículos'!$W$4:$W$4))/N426)</f>
        <v>#N/A</v>
      </c>
      <c r="AC426" s="33" t="e">
        <f>IF(N426=0,"",(ROUNDUP((N426/2)/(_xlfn.XLOOKUP(A426,'[1]DATOS PBI Artículos'!$A$4:$A$4,'[1]DATOS PBI Artículos'!$Z$4:$Z$4)*_xlfn.XLOOKUP(_xlfn.XLOOKUP(A426,'[1]DATOS PBI Artículos'!$A$4:$A$4,'[1]DATOS PBI Artículos'!$Y$4:$Y$4),[1]CRITERIOS!$P$79:$P$123,[1]CRITERIOS!$S$79:$S$123)),0)*[1]CRITERIOS!$M$80*([1]CRITERIOS!$M$110/[1]CRITERIOS!$M$86)+(_xlfn.XLOOKUP(A426,'[1]DATOS PBI Artículos'!$A$4:$A$4,'[1]DATOS PBI Artículos'!$AA$4:$AA$4)*([1]CRITERIOS!$M$95+[1]CRITERIOS!$M$98)))/N426)</f>
        <v>#N/A</v>
      </c>
      <c r="AD426" s="33" t="e">
        <f>IF(N426=0,"",(ROUNDUP((N426/2)/(_xlfn.XLOOKUP(A426,'[1]DATOS PBI Artículos'!$A$4:$A$4,'[1]DATOS PBI Artículos'!$Z$4:$Z$4)*_xlfn.XLOOKUP(_xlfn.XLOOKUP(A426,'[1]DATOS PBI Artículos'!$A$4:$A$4,'[1]DATOS PBI Artículos'!$Y$4:$Y$4),[1]CRITERIOS!$P$79:$P$123,[1]CRITERIOS!$S$79:$S$123)),0)*[1]CRITERIOS!$M$80*([1]CRITERIOS!$M$89*[1]CRITERIOS!$M$92)+((_xlfn.XLOOKUP(A426,'[1]DATOS PBI Artículos'!$A$4:$A$4,'[1]DATOS PBI Artículos'!$AA$4:$AA$4)/2)*([1]CRITERIOS!$M$95+[1]CRITERIOS!$M$98)))/N426)</f>
        <v>#N/A</v>
      </c>
      <c r="AE426" s="39" t="e">
        <f>IF($R426="MTO","",
IF($H426=0,ROUNDUP(((_xlfn.XLOOKUP($A426,'[1]DATOS PBI Artículos'!$A:$A,'[1]DATOS PBI Artículos'!$AL:$AL))/(_xlfn.XLOOKUP($AF$1,[1]CRITERIOS!$S$16:$S$39,[1]CRITERIOS!$Y$16:$Y$39))*$J426+$Z426)/$G426,0)*$G426,
((_xlfn.XLOOKUP($A426,'[1]DATOS PBI Artículos'!$A:$A,'[1]DATOS PBI Artículos'!$AL:$AL))/(_xlfn.XLOOKUP($AF$1,[1]CRITERIOS!$S$16:$S$39,[1]CRITERIOS!$Y$16:$Y$39))*$J426+$Z426)))</f>
        <v>#N/A</v>
      </c>
      <c r="AG426" s="39" t="e">
        <f>IF($R426="MTO","",
IF($H426=0,ROUNDUP(((_xlfn.XLOOKUP($A426,'[1]DATOS PBI Artículos'!$A:$A,'[1]DATOS PBI Artículos'!$AM:$AM))/(_xlfn.XLOOKUP($AH$1,[1]CRITERIOS!$S$16:$S$39,[1]CRITERIOS!$Y$16:$Y$39))*$J426+$Z426)/$G426,0)*$G426,
((_xlfn.XLOOKUP($A426,'[1]DATOS PBI Artículos'!$A:$A,'[1]DATOS PBI Artículos'!$AM:$AM))/(_xlfn.XLOOKUP($AH$1,[1]CRITERIOS!$S$16:$S$39,[1]CRITERIOS!$Y$16:$Y$39))*$J426+$Z426)))</f>
        <v>#N/A</v>
      </c>
      <c r="AI426" s="39" t="e">
        <f>IF($R426="MTO","",
IF($H426=0,ROUNDUP(((_xlfn.XLOOKUP($A426,'[1]DATOS PBI Artículos'!$A:$A,'[1]DATOS PBI Artículos'!$AN:$AN))/(_xlfn.XLOOKUP($AJ$1,[1]CRITERIOS!$S$16:$S$39,[1]CRITERIOS!$Y$16:$Y$39))*$J426+$Z426)/$G426,0)*$G426,
((_xlfn.XLOOKUP($A426,'[1]DATOS PBI Artículos'!$A:$A,'[1]DATOS PBI Artículos'!$AN:$AN))/(_xlfn.XLOOKUP($AJ$1,[1]CRITERIOS!$S$16:$S$39,[1]CRITERIOS!$Y$16:$Y$39))*$J426+$Z426)))</f>
        <v>#N/A</v>
      </c>
      <c r="AK426" s="39" t="e">
        <f>IF($R426="MTO","",
IF($H426=0,ROUNDUP(((_xlfn.XLOOKUP($A426,'[1]DATOS PBI Artículos'!$A:$A,'[1]DATOS PBI Artículos'!$AO:$AO))/(_xlfn.XLOOKUP($AL$1,[1]CRITERIOS!$S$16:$S$39,[1]CRITERIOS!$Y$16:$Y$39))*$J426+$Z426)/$G426,0)*$G426,
((_xlfn.XLOOKUP($A426,'[1]DATOS PBI Artículos'!$A:$A,'[1]DATOS PBI Artículos'!$AO:$AO))/(_xlfn.XLOOKUP($AL$1,[1]CRITERIOS!$S$16:$S$39,[1]CRITERIOS!$Y$16:$Y$39))*$J426+$Z426)))</f>
        <v>#N/A</v>
      </c>
    </row>
    <row r="427" spans="1:37" ht="25.8" hidden="1" x14ac:dyDescent="0.4">
      <c r="A427" s="41"/>
      <c r="B427" s="33">
        <f>_xlfn.XLOOKUP($A427,'[1]DATOS PBI Artículos'!A:A,'[1]DATOS PBI Artículos'!B:B)</f>
        <v>0</v>
      </c>
      <c r="C427" s="33">
        <f>_xlfn.XLOOKUP($A427,'[1]DATOS PBI Artículos'!A:A,'[1]DATOS PBI Artículos'!C:C)</f>
        <v>0</v>
      </c>
      <c r="D427" s="33">
        <f>_xlfn.XLOOKUP(A427,'[1]DATOS PBI Artículos'!A:A,'[1]DATOS PBI Artículos'!T:T)</f>
        <v>0</v>
      </c>
      <c r="E427" s="34">
        <f>IF(_xlfn.XLOOKUP($A427,'[1]DATOS PBI Artículos'!A:A,'[1]DATOS PBI Artículos'!AK:AK)="",_xlfn.XLOOKUP($A427,'[1]DATOS PBI Artículos'!A:A,'[1]DATOS PBI Artículos'!AJ:AJ),_xlfn.XLOOKUP($A427,'[1]DATOS PBI Artículos'!A:A,'[1]DATOS PBI Artículos'!AK:AK))</f>
        <v>0</v>
      </c>
      <c r="F427" s="35">
        <f>_xlfn.XLOOKUP($A427,'[1]DATOS PBI Artículos'!A:A,'[1]DATOS PBI Artículos'!AP:AP)</f>
        <v>0</v>
      </c>
      <c r="G427" s="34">
        <f>_xlfn.XLOOKUP($A427,'[1]DATOS PBI Artículos'!A:A,'[1]DATOS PBI Artículos'!AR:AR)</f>
        <v>0</v>
      </c>
      <c r="H427" s="34">
        <f>_xlfn.XLOOKUP($A427,'[1]DATOS PBI Artículos'!A:A,'[1]DATOS PBI Artículos'!AT:AT)</f>
        <v>0</v>
      </c>
      <c r="I427" s="34">
        <f>_xlfn.XLOOKUP($A427,'[1]DATOS PBI Artículos'!A:A,'[1]DATOS PBI Artículos'!AS:AS)</f>
        <v>0</v>
      </c>
      <c r="J427" s="35">
        <f>IF(COUNTIF([1]CRITERIOS!$F$179:$F$199,$A427)&gt;=1,
 IF(O427&lt;&gt;"",
    (O427/_xlfn.XLOOKUP(CONCATENATE(A427,L427),[1]MÁQUINAS!A:A,[1]MÁQUINAS!D:D))/24,
    (N427/_xlfn.XLOOKUP(CONCATENATE(A427,L427),[1]MÁQUINAS!A:A,[1]MÁQUINAS!D:D))/24),
  _xlfn.XLOOKUP($A427,'[1]DATOS PBI Artículos'!A:A,'[1]DATOS PBI Artículos'!AU:AU))</f>
        <v>0</v>
      </c>
      <c r="K427" s="36">
        <f>_xlfn.XLOOKUP($A427,'[1]DATOS PBI Artículos'!A:A,'[1]DATOS PBI Artículos'!AV:AV)</f>
        <v>0</v>
      </c>
      <c r="L427" s="33">
        <f>_xlfn.XLOOKUP(A427,[1]MÁQUINAS!B:B,[1]MÁQUINAS!C:C)</f>
        <v>0</v>
      </c>
      <c r="M427" s="34">
        <f t="array" ref="M427">_xlfn.XLOOKUP(A427,'[1]DATOS PBI Artículos'!A:A,'[1]DATOS PBI Artículos'!AX:$AX)</f>
        <v>0</v>
      </c>
      <c r="N427" s="37" t="e">
        <f>IF(I427="DV",
E427,
IF(COUNTIF([1]CRITERIOS!$I$179:$I$199,$A427)&gt;=1,
_xlfn.XLOOKUP($A427,[1]CRITERIOS!$I$179:$I$199,[1]CRITERIOS!$J$179:$J$199),
IF(COUNTIF([1]CRITERIOS!$L$179:$L$199,$A427)&gt;=1,
_xlfn.CEILING.MATH(IF($M427&gt;$E427,
$E427,
IF($M427&lt;$E427/ROUNDDOWN([1]CRITERIOS!$M$16/_xlfn.XLOOKUP($C427,[1]CRITERIOS!$K$25:$K$42,[1]CRITERIOS!$M$25:$M$42),
1),
E427/ROUNDDOWN([1]CRITERIOS!$M$16/_xlfn.XLOOKUP($C427,[1]CRITERIOS!$K$25:$K$42,[1]CRITERIOS!$M$25:$M$42),
1),
$M427)),
_xlfn.XLOOKUP($A427,[1]CRITERIOS!$L$179:$L$200,[1]CRITERIOS!$M$179:$M$200)),
_xlfn.CEILING.MATH(IF($M427&gt;$E427,
$E427,
IF($M427&lt;$E427/ROUNDDOWN([1]CRITERIOS!$M$16/_xlfn.XLOOKUP($C427,[1]CRITERIOS!$K$25:$K$42,[1]CRITERIOS!$M$25:$M$42),
1),
E427/ROUNDDOWN([1]CRITERIOS!$M$16/_xlfn.XLOOKUP($C427,[1]CRITERIOS!$K$25:$K$42,[1]CRITERIOS!$M$25:$M$42),
1),
$M427)),_xlfn.XLOOKUP(A427,'[1]DATOS PBI Artículos'!A:A,'[1]DATOS PBI Artículos'!Z:Z
)))))</f>
        <v>#N/A</v>
      </c>
      <c r="Q427" s="38" t="e">
        <f>IF(AND(O427="",N427=0),
0,
   IF(COUNTIF([1]CRITERIOS!$F$179:$F$199,$A427)&gt;=1,
   1,
   IF(R427="MTO",
      $D427,
      ROUNDUP(
                    IF(($E427-SUMIF('[1]DATOS PBI Artículos'!A:A,A427,'[1]DATOS PBI Artículos'!X:X)+($V427-_xlfn.XLOOKUP(A427,'[1]DATOS PBI Artículos'!A:A,'[1]DATOS PBI Artículos'!W:W)))&lt;0,
                    0,
                    IF(($E427-SUMIF('[1]DATOS PBI Artículos'!A:A,A427,'[1]DATOS PBI Artículos'!X:X)+$V427-_xlfn.XLOOKUP($A427,'[1]DATOS PBI Artículos'!A:A,'[1]DATOS PBI Artículos'!W:W))/IF($O427="",$N427,$O427)&gt;ROUNDUP([1]CRITERIOS!$M$16/(IF(COUNTIF([1]CRITERIOS!$BG$11:$BG$201,L427)&gt;=1,_xlfn.XLOOKUP($C427,[1]CRITERIOS!$K$25:$K$42,[1]CRITERIOS!$M$25:$M$42),_xlfn.XLOOKUP($C427,[1]CRITERIOS!$K$25:$K$42,[1]CRITERIOS!$M$25:$M$42))),0),
                    ROUNDUP([1]CRITERIOS!$M$16/(IF(COUNTIF([1]CRITERIOS!$BG$11:$BG$201,$L427)&gt;=1,_xlfn.XLOOKUP($C427,[1]CRITERIOS!$K$25:$K$42,[1]CRITERIOS!$M$25:$M$42),_xlfn.XLOOKUP($C427,[1]CRITERIOS!$K$25:$K$42,[1]CRITERIOS!$M$25:$M$42))),0),
                    (E427+V427-SUMIF('[1]DATOS PBI Artículos'!A:A,A427,'[1]DATOS PBI Artículos'!X:X)-_xlfn.XLOOKUP(A427,'[1]DATOS PBI Artículos'!A:A,'[1]DATOS PBI Artículos'!W:W))/IF($O427="",$N427,$O427))),0))))</f>
        <v>#N/A</v>
      </c>
      <c r="R427" s="33" t="e">
        <f>IF(U427&lt;&gt;"",U427,IF(F427="DV","MTO",IF(N427=0,"MTO",_xlfn.XLOOKUP(CONCATENATE(S427,T427),[1]CRITERIOS!$K$160:$K$168,[1]CRITERIOS!$N$160:$N$168))))</f>
        <v>#N/A</v>
      </c>
      <c r="S427" s="33" t="e">
        <f>IF(G427="DV","MTO",IF(N427=0,"MTO",IF(OR(AND(N427=0,O427=""),IF(O427="",G427/N427,G427/O427)&gt;[1]CRITERIOS!$G$163),"MTO",IF(IF(O427="",G427/N427,G427/O427)&lt;[1]CRITERIOS!$H$161,"MTS","MTOS"))))</f>
        <v>#N/A</v>
      </c>
      <c r="T427" s="33" t="e">
        <f>IF(F427="DV","MTO",IF(OR(AND($N427=0,O427=""),$F427/$J427&gt;[1]CRITERIOS!$G$170,$F427="DV"),"MTO",IF($F427/$J427&lt;[1]CRITERIOS!$H$168,"MTS","MTOS")))</f>
        <v>#N/A</v>
      </c>
      <c r="V427" s="34" t="e">
        <f t="shared" si="22"/>
        <v>#N/A</v>
      </c>
      <c r="X427" s="34" t="e">
        <f t="shared" si="20"/>
        <v>#N/A</v>
      </c>
      <c r="Y427" s="34" t="e">
        <f t="shared" si="21"/>
        <v>#N/A</v>
      </c>
      <c r="Z427" s="34" t="e">
        <f>IF($R427="MTO",
0,
($H427+$K427*($E427/[1]CRITERIOS!$M$16))/[1]CRITERIOS!$X$48)</f>
        <v>#N/A</v>
      </c>
      <c r="AA427" s="34" t="e">
        <f>ROUNDUP(($Y427/_xlfn.XLOOKUP($A427,'[1]DATOS PBI Artículos'!$A$4:$A$4,'[1]DATOS PBI Artículos'!$Z$4:$Z$4))/_xlfn.XLOOKUP(_xlfn.XLOOKUP($A427,'[1]DATOS PBI Artículos'!$A$4:$A$4,'[1]DATOS PBI Artículos'!$Y$4:$Y$4),[1]CRITERIOS!$P$79:$P$123,[1]CRITERIOS!$S$79:$S$123,),0)</f>
        <v>#N/A</v>
      </c>
      <c r="AB427" s="33" t="e">
        <f t="array" ref="AB427">IF((E427+V427-_xlfn.XLOOKUP(A427,'[1]DATOS PBI Artículos'!$A$4:$A$4,'[1]DATOS PBI Artículos'!$W$4:$W$4))/N427&gt;ROUNDUP([1]CRITERIOS!$M$16/(IF(COUNTIF([1]CRITERIOS!$BG$11:$BG$201,L427)&gt;=1,_xlfn.XLOOKUP(ARTÍCULOS!L427,[1]CRITERIOS!$BG$11:$BG$201,[1]CRITERIOS!$BJ$11:$BJ$201),_xlfn.XLOOKUP(ARTÍCULOS!C427,[1]CRITERIOS!$K$25:$K$42,[1]CRITERIOS!$M$25:$M$42))),0),ROUNDUP([1]CRITERIOS!$M$16/(IF(COUNTIF([1]CRITERIOS!$BG$11:$BG$201,L427)&gt;=1,_xlfn.XLOOKUP(ARTÍCULOS!L427,[1]CRITERIOS!$BG$11:$BG$201:#REF!,[1]CRITERIOS!$BJ$11:$BJ$201),_xlfn.XLOOKUP(ARTÍCULOS!C427,[1]CRITERIOS!$K$25:$K$42,[1]CRITERIOS!$M$25:$M$42))),0),(E427+V427-_xlfn.XLOOKUP(A427,'[1]DATOS PBI Artículos'!$A$4:$A$4,'[1]DATOS PBI Artículos'!$W$4:$W$4))/N427)</f>
        <v>#N/A</v>
      </c>
      <c r="AC427" s="33" t="e">
        <f>IF(N427=0,"",(ROUNDUP((N427/2)/(_xlfn.XLOOKUP(A427,'[1]DATOS PBI Artículos'!$A$4:$A$4,'[1]DATOS PBI Artículos'!$Z$4:$Z$4)*_xlfn.XLOOKUP(_xlfn.XLOOKUP(A427,'[1]DATOS PBI Artículos'!$A$4:$A$4,'[1]DATOS PBI Artículos'!$Y$4:$Y$4),[1]CRITERIOS!$P$79:$P$123,[1]CRITERIOS!$S$79:$S$123)),0)*[1]CRITERIOS!$M$80*([1]CRITERIOS!$M$110/[1]CRITERIOS!$M$86)+(_xlfn.XLOOKUP(A427,'[1]DATOS PBI Artículos'!$A$4:$A$4,'[1]DATOS PBI Artículos'!$AA$4:$AA$4)*([1]CRITERIOS!$M$95+[1]CRITERIOS!$M$98)))/N427)</f>
        <v>#N/A</v>
      </c>
      <c r="AD427" s="33" t="e">
        <f>IF(N427=0,"",(ROUNDUP((N427/2)/(_xlfn.XLOOKUP(A427,'[1]DATOS PBI Artículos'!$A$4:$A$4,'[1]DATOS PBI Artículos'!$Z$4:$Z$4)*_xlfn.XLOOKUP(_xlfn.XLOOKUP(A427,'[1]DATOS PBI Artículos'!$A$4:$A$4,'[1]DATOS PBI Artículos'!$Y$4:$Y$4),[1]CRITERIOS!$P$79:$P$123,[1]CRITERIOS!$S$79:$S$123)),0)*[1]CRITERIOS!$M$80*([1]CRITERIOS!$M$89*[1]CRITERIOS!$M$92)+((_xlfn.XLOOKUP(A427,'[1]DATOS PBI Artículos'!$A$4:$A$4,'[1]DATOS PBI Artículos'!$AA$4:$AA$4)/2)*([1]CRITERIOS!$M$95+[1]CRITERIOS!$M$98)))/N427)</f>
        <v>#N/A</v>
      </c>
      <c r="AE427" s="39" t="e">
        <f>IF($R427="MTO","",
IF($H427=0,ROUNDUP(((_xlfn.XLOOKUP($A427,'[1]DATOS PBI Artículos'!$A:$A,'[1]DATOS PBI Artículos'!$AL:$AL))/(_xlfn.XLOOKUP($AF$1,[1]CRITERIOS!$S$16:$S$39,[1]CRITERIOS!$Y$16:$Y$39))*$J427+$Z427)/$G427,0)*$G427,
((_xlfn.XLOOKUP($A427,'[1]DATOS PBI Artículos'!$A:$A,'[1]DATOS PBI Artículos'!$AL:$AL))/(_xlfn.XLOOKUP($AF$1,[1]CRITERIOS!$S$16:$S$39,[1]CRITERIOS!$Y$16:$Y$39))*$J427+$Z427)))</f>
        <v>#N/A</v>
      </c>
      <c r="AG427" s="39" t="e">
        <f>IF($R427="MTO","",
IF($H427=0,ROUNDUP(((_xlfn.XLOOKUP($A427,'[1]DATOS PBI Artículos'!$A:$A,'[1]DATOS PBI Artículos'!$AM:$AM))/(_xlfn.XLOOKUP($AH$1,[1]CRITERIOS!$S$16:$S$39,[1]CRITERIOS!$Y$16:$Y$39))*$J427+$Z427)/$G427,0)*$G427,
((_xlfn.XLOOKUP($A427,'[1]DATOS PBI Artículos'!$A:$A,'[1]DATOS PBI Artículos'!$AM:$AM))/(_xlfn.XLOOKUP($AH$1,[1]CRITERIOS!$S$16:$S$39,[1]CRITERIOS!$Y$16:$Y$39))*$J427+$Z427)))</f>
        <v>#N/A</v>
      </c>
      <c r="AI427" s="39" t="e">
        <f>IF($R427="MTO","",
IF($H427=0,ROUNDUP(((_xlfn.XLOOKUP($A427,'[1]DATOS PBI Artículos'!$A:$A,'[1]DATOS PBI Artículos'!$AN:$AN))/(_xlfn.XLOOKUP($AJ$1,[1]CRITERIOS!$S$16:$S$39,[1]CRITERIOS!$Y$16:$Y$39))*$J427+$Z427)/$G427,0)*$G427,
((_xlfn.XLOOKUP($A427,'[1]DATOS PBI Artículos'!$A:$A,'[1]DATOS PBI Artículos'!$AN:$AN))/(_xlfn.XLOOKUP($AJ$1,[1]CRITERIOS!$S$16:$S$39,[1]CRITERIOS!$Y$16:$Y$39))*$J427+$Z427)))</f>
        <v>#N/A</v>
      </c>
      <c r="AK427" s="39" t="e">
        <f>IF($R427="MTO","",
IF($H427=0,ROUNDUP(((_xlfn.XLOOKUP($A427,'[1]DATOS PBI Artículos'!$A:$A,'[1]DATOS PBI Artículos'!$AO:$AO))/(_xlfn.XLOOKUP($AL$1,[1]CRITERIOS!$S$16:$S$39,[1]CRITERIOS!$Y$16:$Y$39))*$J427+$Z427)/$G427,0)*$G427,
((_xlfn.XLOOKUP($A427,'[1]DATOS PBI Artículos'!$A:$A,'[1]DATOS PBI Artículos'!$AO:$AO))/(_xlfn.XLOOKUP($AL$1,[1]CRITERIOS!$S$16:$S$39,[1]CRITERIOS!$Y$16:$Y$39))*$J427+$Z427)))</f>
        <v>#N/A</v>
      </c>
    </row>
    <row r="428" spans="1:37" ht="25.8" hidden="1" x14ac:dyDescent="0.4">
      <c r="A428" s="41"/>
      <c r="B428" s="33">
        <f>_xlfn.XLOOKUP($A428,'[1]DATOS PBI Artículos'!A:A,'[1]DATOS PBI Artículos'!B:B)</f>
        <v>0</v>
      </c>
      <c r="C428" s="33">
        <f>_xlfn.XLOOKUP($A428,'[1]DATOS PBI Artículos'!A:A,'[1]DATOS PBI Artículos'!C:C)</f>
        <v>0</v>
      </c>
      <c r="D428" s="33">
        <f>_xlfn.XLOOKUP(A428,'[1]DATOS PBI Artículos'!A:A,'[1]DATOS PBI Artículos'!T:T)</f>
        <v>0</v>
      </c>
      <c r="E428" s="34">
        <f>IF(_xlfn.XLOOKUP($A428,'[1]DATOS PBI Artículos'!A:A,'[1]DATOS PBI Artículos'!AK:AK)="",_xlfn.XLOOKUP($A428,'[1]DATOS PBI Artículos'!A:A,'[1]DATOS PBI Artículos'!AJ:AJ),_xlfn.XLOOKUP($A428,'[1]DATOS PBI Artículos'!A:A,'[1]DATOS PBI Artículos'!AK:AK))</f>
        <v>0</v>
      </c>
      <c r="F428" s="35">
        <f>_xlfn.XLOOKUP($A428,'[1]DATOS PBI Artículos'!A:A,'[1]DATOS PBI Artículos'!AP:AP)</f>
        <v>0</v>
      </c>
      <c r="G428" s="34">
        <f>_xlfn.XLOOKUP($A428,'[1]DATOS PBI Artículos'!A:A,'[1]DATOS PBI Artículos'!AR:AR)</f>
        <v>0</v>
      </c>
      <c r="H428" s="34">
        <f>_xlfn.XLOOKUP($A428,'[1]DATOS PBI Artículos'!A:A,'[1]DATOS PBI Artículos'!AT:AT)</f>
        <v>0</v>
      </c>
      <c r="I428" s="34">
        <f>_xlfn.XLOOKUP($A428,'[1]DATOS PBI Artículos'!A:A,'[1]DATOS PBI Artículos'!AS:AS)</f>
        <v>0</v>
      </c>
      <c r="J428" s="35">
        <f>IF(COUNTIF([1]CRITERIOS!$F$179:$F$199,$A428)&gt;=1,
 IF(O428&lt;&gt;"",
    (O428/_xlfn.XLOOKUP(CONCATENATE(A428,L428),[1]MÁQUINAS!A:A,[1]MÁQUINAS!D:D))/24,
    (N428/_xlfn.XLOOKUP(CONCATENATE(A428,L428),[1]MÁQUINAS!A:A,[1]MÁQUINAS!D:D))/24),
  _xlfn.XLOOKUP($A428,'[1]DATOS PBI Artículos'!A:A,'[1]DATOS PBI Artículos'!AU:AU))</f>
        <v>0</v>
      </c>
      <c r="K428" s="36">
        <f>_xlfn.XLOOKUP($A428,'[1]DATOS PBI Artículos'!A:A,'[1]DATOS PBI Artículos'!AV:AV)</f>
        <v>0</v>
      </c>
      <c r="L428" s="33">
        <f>_xlfn.XLOOKUP(A428,[1]MÁQUINAS!B:B,[1]MÁQUINAS!C:C)</f>
        <v>0</v>
      </c>
      <c r="M428" s="34">
        <f t="array" ref="M428">_xlfn.XLOOKUP(A428,'[1]DATOS PBI Artículos'!A:A,'[1]DATOS PBI Artículos'!AX:$AX)</f>
        <v>0</v>
      </c>
      <c r="N428" s="37" t="e">
        <f>IF(I428="DV",
E428,
IF(COUNTIF([1]CRITERIOS!$I$179:$I$199,$A428)&gt;=1,
_xlfn.XLOOKUP($A428,[1]CRITERIOS!$I$179:$I$199,[1]CRITERIOS!$J$179:$J$199),
IF(COUNTIF([1]CRITERIOS!$L$179:$L$199,$A428)&gt;=1,
_xlfn.CEILING.MATH(IF($M428&gt;$E428,
$E428,
IF($M428&lt;$E428/ROUNDDOWN([1]CRITERIOS!$M$16/_xlfn.XLOOKUP($C428,[1]CRITERIOS!$K$25:$K$42,[1]CRITERIOS!$M$25:$M$42),
1),
E428/ROUNDDOWN([1]CRITERIOS!$M$16/_xlfn.XLOOKUP($C428,[1]CRITERIOS!$K$25:$K$42,[1]CRITERIOS!$M$25:$M$42),
1),
$M428)),
_xlfn.XLOOKUP($A428,[1]CRITERIOS!$L$179:$L$200,[1]CRITERIOS!$M$179:$M$200)),
_xlfn.CEILING.MATH(IF($M428&gt;$E428,
$E428,
IF($M428&lt;$E428/ROUNDDOWN([1]CRITERIOS!$M$16/_xlfn.XLOOKUP($C428,[1]CRITERIOS!$K$25:$K$42,[1]CRITERIOS!$M$25:$M$42),
1),
E428/ROUNDDOWN([1]CRITERIOS!$M$16/_xlfn.XLOOKUP($C428,[1]CRITERIOS!$K$25:$K$42,[1]CRITERIOS!$M$25:$M$42),
1),
$M428)),_xlfn.XLOOKUP(A428,'[1]DATOS PBI Artículos'!A:A,'[1]DATOS PBI Artículos'!Z:Z
)))))</f>
        <v>#N/A</v>
      </c>
      <c r="Q428" s="38" t="e">
        <f>IF(AND(O428="",N428=0),
0,
   IF(COUNTIF([1]CRITERIOS!$F$179:$F$199,$A428)&gt;=1,
   1,
   IF(R428="MTO",
      $D428,
      ROUNDUP(
                    IF(($E428-SUMIF('[1]DATOS PBI Artículos'!A:A,A428,'[1]DATOS PBI Artículos'!X:X)+($V428-_xlfn.XLOOKUP(A428,'[1]DATOS PBI Artículos'!A:A,'[1]DATOS PBI Artículos'!W:W)))&lt;0,
                    0,
                    IF(($E428-SUMIF('[1]DATOS PBI Artículos'!A:A,A428,'[1]DATOS PBI Artículos'!X:X)+$V428-_xlfn.XLOOKUP($A428,'[1]DATOS PBI Artículos'!A:A,'[1]DATOS PBI Artículos'!W:W))/IF($O428="",$N428,$O428)&gt;ROUNDUP([1]CRITERIOS!$M$16/(IF(COUNTIF([1]CRITERIOS!$BG$11:$BG$201,L428)&gt;=1,_xlfn.XLOOKUP($C428,[1]CRITERIOS!$K$25:$K$42,[1]CRITERIOS!$M$25:$M$42),_xlfn.XLOOKUP($C428,[1]CRITERIOS!$K$25:$K$42,[1]CRITERIOS!$M$25:$M$42))),0),
                    ROUNDUP([1]CRITERIOS!$M$16/(IF(COUNTIF([1]CRITERIOS!$BG$11:$BG$201,$L428)&gt;=1,_xlfn.XLOOKUP($C428,[1]CRITERIOS!$K$25:$K$42,[1]CRITERIOS!$M$25:$M$42),_xlfn.XLOOKUP($C428,[1]CRITERIOS!$K$25:$K$42,[1]CRITERIOS!$M$25:$M$42))),0),
                    (E428+V428-SUMIF('[1]DATOS PBI Artículos'!A:A,A428,'[1]DATOS PBI Artículos'!X:X)-_xlfn.XLOOKUP(A428,'[1]DATOS PBI Artículos'!A:A,'[1]DATOS PBI Artículos'!W:W))/IF($O428="",$N428,$O428))),0))))</f>
        <v>#N/A</v>
      </c>
      <c r="R428" s="33" t="e">
        <f>IF(U428&lt;&gt;"",U428,IF(F428="DV","MTO",IF(N428=0,"MTO",_xlfn.XLOOKUP(CONCATENATE(S428,T428),[1]CRITERIOS!$K$160:$K$168,[1]CRITERIOS!$N$160:$N$168))))</f>
        <v>#N/A</v>
      </c>
      <c r="S428" s="33" t="e">
        <f>IF(G428="DV","MTO",IF(N428=0,"MTO",IF(OR(AND(N428=0,O428=""),IF(O428="",G428/N428,G428/O428)&gt;[1]CRITERIOS!$G$163),"MTO",IF(IF(O428="",G428/N428,G428/O428)&lt;[1]CRITERIOS!$H$161,"MTS","MTOS"))))</f>
        <v>#N/A</v>
      </c>
      <c r="T428" s="33" t="e">
        <f>IF(F428="DV","MTO",IF(OR(AND($N428=0,O428=""),$F428/$J428&gt;[1]CRITERIOS!$G$170,$F428="DV"),"MTO",IF($F428/$J428&lt;[1]CRITERIOS!$H$168,"MTS","MTOS")))</f>
        <v>#N/A</v>
      </c>
      <c r="V428" s="34" t="e">
        <f t="shared" si="22"/>
        <v>#N/A</v>
      </c>
      <c r="X428" s="34" t="e">
        <f t="shared" si="20"/>
        <v>#N/A</v>
      </c>
      <c r="Y428" s="34" t="e">
        <f t="shared" si="21"/>
        <v>#N/A</v>
      </c>
      <c r="Z428" s="34" t="e">
        <f>IF($R428="MTO",
0,
($H428+$K428*($E428/[1]CRITERIOS!$M$16))/[1]CRITERIOS!$X$48)</f>
        <v>#N/A</v>
      </c>
      <c r="AA428" s="34" t="e">
        <f>ROUNDUP(($Y428/_xlfn.XLOOKUP($A428,'[1]DATOS PBI Artículos'!$A$4:$A$4,'[1]DATOS PBI Artículos'!$Z$4:$Z$4))/_xlfn.XLOOKUP(_xlfn.XLOOKUP($A428,'[1]DATOS PBI Artículos'!$A$4:$A$4,'[1]DATOS PBI Artículos'!$Y$4:$Y$4),[1]CRITERIOS!$P$79:$P$123,[1]CRITERIOS!$S$79:$S$123,),0)</f>
        <v>#N/A</v>
      </c>
      <c r="AB428" s="33" t="e">
        <f t="array" ref="AB428">IF((E428+V428-_xlfn.XLOOKUP(A428,'[1]DATOS PBI Artículos'!$A$4:$A$4,'[1]DATOS PBI Artículos'!$W$4:$W$4))/N428&gt;ROUNDUP([1]CRITERIOS!$M$16/(IF(COUNTIF([1]CRITERIOS!$BG$11:$BG$201,L428)&gt;=1,_xlfn.XLOOKUP(ARTÍCULOS!L428,[1]CRITERIOS!$BG$11:$BG$201,[1]CRITERIOS!$BJ$11:$BJ$201),_xlfn.XLOOKUP(ARTÍCULOS!C428,[1]CRITERIOS!$K$25:$K$42,[1]CRITERIOS!$M$25:$M$42))),0),ROUNDUP([1]CRITERIOS!$M$16/(IF(COUNTIF([1]CRITERIOS!$BG$11:$BG$201,L428)&gt;=1,_xlfn.XLOOKUP(ARTÍCULOS!L428,[1]CRITERIOS!$BG$11:$BG$201:#REF!,[1]CRITERIOS!$BJ$11:$BJ$201),_xlfn.XLOOKUP(ARTÍCULOS!C428,[1]CRITERIOS!$K$25:$K$42,[1]CRITERIOS!$M$25:$M$42))),0),(E428+V428-_xlfn.XLOOKUP(A428,'[1]DATOS PBI Artículos'!$A$4:$A$4,'[1]DATOS PBI Artículos'!$W$4:$W$4))/N428)</f>
        <v>#N/A</v>
      </c>
      <c r="AC428" s="33" t="e">
        <f>IF(N428=0,"",(ROUNDUP((N428/2)/(_xlfn.XLOOKUP(A428,'[1]DATOS PBI Artículos'!$A$4:$A$4,'[1]DATOS PBI Artículos'!$Z$4:$Z$4)*_xlfn.XLOOKUP(_xlfn.XLOOKUP(A428,'[1]DATOS PBI Artículos'!$A$4:$A$4,'[1]DATOS PBI Artículos'!$Y$4:$Y$4),[1]CRITERIOS!$P$79:$P$123,[1]CRITERIOS!$S$79:$S$123)),0)*[1]CRITERIOS!$M$80*([1]CRITERIOS!$M$110/[1]CRITERIOS!$M$86)+(_xlfn.XLOOKUP(A428,'[1]DATOS PBI Artículos'!$A$4:$A$4,'[1]DATOS PBI Artículos'!$AA$4:$AA$4)*([1]CRITERIOS!$M$95+[1]CRITERIOS!$M$98)))/N428)</f>
        <v>#N/A</v>
      </c>
      <c r="AD428" s="33" t="e">
        <f>IF(N428=0,"",(ROUNDUP((N428/2)/(_xlfn.XLOOKUP(A428,'[1]DATOS PBI Artículos'!$A$4:$A$4,'[1]DATOS PBI Artículos'!$Z$4:$Z$4)*_xlfn.XLOOKUP(_xlfn.XLOOKUP(A428,'[1]DATOS PBI Artículos'!$A$4:$A$4,'[1]DATOS PBI Artículos'!$Y$4:$Y$4),[1]CRITERIOS!$P$79:$P$123,[1]CRITERIOS!$S$79:$S$123)),0)*[1]CRITERIOS!$M$80*([1]CRITERIOS!$M$89*[1]CRITERIOS!$M$92)+((_xlfn.XLOOKUP(A428,'[1]DATOS PBI Artículos'!$A$4:$A$4,'[1]DATOS PBI Artículos'!$AA$4:$AA$4)/2)*([1]CRITERIOS!$M$95+[1]CRITERIOS!$M$98)))/N428)</f>
        <v>#N/A</v>
      </c>
      <c r="AE428" s="39" t="e">
        <f>IF($R428="MTO","",
IF($H428=0,ROUNDUP(((_xlfn.XLOOKUP($A428,'[1]DATOS PBI Artículos'!$A:$A,'[1]DATOS PBI Artículos'!$AL:$AL))/(_xlfn.XLOOKUP($AF$1,[1]CRITERIOS!$S$16:$S$39,[1]CRITERIOS!$Y$16:$Y$39))*$J428+$Z428)/$G428,0)*$G428,
((_xlfn.XLOOKUP($A428,'[1]DATOS PBI Artículos'!$A:$A,'[1]DATOS PBI Artículos'!$AL:$AL))/(_xlfn.XLOOKUP($AF$1,[1]CRITERIOS!$S$16:$S$39,[1]CRITERIOS!$Y$16:$Y$39))*$J428+$Z428)))</f>
        <v>#N/A</v>
      </c>
      <c r="AG428" s="39" t="e">
        <f>IF($R428="MTO","",
IF($H428=0,ROUNDUP(((_xlfn.XLOOKUP($A428,'[1]DATOS PBI Artículos'!$A:$A,'[1]DATOS PBI Artículos'!$AM:$AM))/(_xlfn.XLOOKUP($AH$1,[1]CRITERIOS!$S$16:$S$39,[1]CRITERIOS!$Y$16:$Y$39))*$J428+$Z428)/$G428,0)*$G428,
((_xlfn.XLOOKUP($A428,'[1]DATOS PBI Artículos'!$A:$A,'[1]DATOS PBI Artículos'!$AM:$AM))/(_xlfn.XLOOKUP($AH$1,[1]CRITERIOS!$S$16:$S$39,[1]CRITERIOS!$Y$16:$Y$39))*$J428+$Z428)))</f>
        <v>#N/A</v>
      </c>
      <c r="AI428" s="39" t="e">
        <f>IF($R428="MTO","",
IF($H428=0,ROUNDUP(((_xlfn.XLOOKUP($A428,'[1]DATOS PBI Artículos'!$A:$A,'[1]DATOS PBI Artículos'!$AN:$AN))/(_xlfn.XLOOKUP($AJ$1,[1]CRITERIOS!$S$16:$S$39,[1]CRITERIOS!$Y$16:$Y$39))*$J428+$Z428)/$G428,0)*$G428,
((_xlfn.XLOOKUP($A428,'[1]DATOS PBI Artículos'!$A:$A,'[1]DATOS PBI Artículos'!$AN:$AN))/(_xlfn.XLOOKUP($AJ$1,[1]CRITERIOS!$S$16:$S$39,[1]CRITERIOS!$Y$16:$Y$39))*$J428+$Z428)))</f>
        <v>#N/A</v>
      </c>
      <c r="AK428" s="39" t="e">
        <f>IF($R428="MTO","",
IF($H428=0,ROUNDUP(((_xlfn.XLOOKUP($A428,'[1]DATOS PBI Artículos'!$A:$A,'[1]DATOS PBI Artículos'!$AO:$AO))/(_xlfn.XLOOKUP($AL$1,[1]CRITERIOS!$S$16:$S$39,[1]CRITERIOS!$Y$16:$Y$39))*$J428+$Z428)/$G428,0)*$G428,
((_xlfn.XLOOKUP($A428,'[1]DATOS PBI Artículos'!$A:$A,'[1]DATOS PBI Artículos'!$AO:$AO))/(_xlfn.XLOOKUP($AL$1,[1]CRITERIOS!$S$16:$S$39,[1]CRITERIOS!$Y$16:$Y$39))*$J428+$Z428)))</f>
        <v>#N/A</v>
      </c>
    </row>
    <row r="429" spans="1:37" ht="25.8" hidden="1" x14ac:dyDescent="0.4">
      <c r="A429" s="41"/>
      <c r="B429" s="33">
        <f>_xlfn.XLOOKUP($A429,'[1]DATOS PBI Artículos'!A:A,'[1]DATOS PBI Artículos'!B:B)</f>
        <v>0</v>
      </c>
      <c r="C429" s="33">
        <f>_xlfn.XLOOKUP($A429,'[1]DATOS PBI Artículos'!A:A,'[1]DATOS PBI Artículos'!C:C)</f>
        <v>0</v>
      </c>
      <c r="D429" s="33">
        <f>_xlfn.XLOOKUP(A429,'[1]DATOS PBI Artículos'!A:A,'[1]DATOS PBI Artículos'!T:T)</f>
        <v>0</v>
      </c>
      <c r="E429" s="34">
        <f>IF(_xlfn.XLOOKUP($A429,'[1]DATOS PBI Artículos'!A:A,'[1]DATOS PBI Artículos'!AK:AK)="",_xlfn.XLOOKUP($A429,'[1]DATOS PBI Artículos'!A:A,'[1]DATOS PBI Artículos'!AJ:AJ),_xlfn.XLOOKUP($A429,'[1]DATOS PBI Artículos'!A:A,'[1]DATOS PBI Artículos'!AK:AK))</f>
        <v>0</v>
      </c>
      <c r="F429" s="35">
        <f>_xlfn.XLOOKUP($A429,'[1]DATOS PBI Artículos'!A:A,'[1]DATOS PBI Artículos'!AP:AP)</f>
        <v>0</v>
      </c>
      <c r="G429" s="34">
        <f>_xlfn.XLOOKUP($A429,'[1]DATOS PBI Artículos'!A:A,'[1]DATOS PBI Artículos'!AR:AR)</f>
        <v>0</v>
      </c>
      <c r="H429" s="34">
        <f>_xlfn.XLOOKUP($A429,'[1]DATOS PBI Artículos'!A:A,'[1]DATOS PBI Artículos'!AT:AT)</f>
        <v>0</v>
      </c>
      <c r="I429" s="34">
        <f>_xlfn.XLOOKUP($A429,'[1]DATOS PBI Artículos'!A:A,'[1]DATOS PBI Artículos'!AS:AS)</f>
        <v>0</v>
      </c>
      <c r="J429" s="35">
        <f>IF(COUNTIF([1]CRITERIOS!$F$179:$F$199,$A429)&gt;=1,
 IF(O429&lt;&gt;"",
    (O429/_xlfn.XLOOKUP(CONCATENATE(A429,L429),[1]MÁQUINAS!A:A,[1]MÁQUINAS!D:D))/24,
    (N429/_xlfn.XLOOKUP(CONCATENATE(A429,L429),[1]MÁQUINAS!A:A,[1]MÁQUINAS!D:D))/24),
  _xlfn.XLOOKUP($A429,'[1]DATOS PBI Artículos'!A:A,'[1]DATOS PBI Artículos'!AU:AU))</f>
        <v>0</v>
      </c>
      <c r="K429" s="36">
        <f>_xlfn.XLOOKUP($A429,'[1]DATOS PBI Artículos'!A:A,'[1]DATOS PBI Artículos'!AV:AV)</f>
        <v>0</v>
      </c>
      <c r="L429" s="33">
        <f>_xlfn.XLOOKUP(A429,[1]MÁQUINAS!B:B,[1]MÁQUINAS!C:C)</f>
        <v>0</v>
      </c>
      <c r="M429" s="34">
        <f t="array" ref="M429">_xlfn.XLOOKUP(A429,'[1]DATOS PBI Artículos'!A:A,'[1]DATOS PBI Artículos'!AX:$AX)</f>
        <v>0</v>
      </c>
      <c r="N429" s="37" t="e">
        <f>IF(I429="DV",
E429,
IF(COUNTIF([1]CRITERIOS!$I$179:$I$199,$A429)&gt;=1,
_xlfn.XLOOKUP($A429,[1]CRITERIOS!$I$179:$I$199,[1]CRITERIOS!$J$179:$J$199),
IF(COUNTIF([1]CRITERIOS!$L$179:$L$199,$A429)&gt;=1,
_xlfn.CEILING.MATH(IF($M429&gt;$E429,
$E429,
IF($M429&lt;$E429/ROUNDDOWN([1]CRITERIOS!$M$16/_xlfn.XLOOKUP($C429,[1]CRITERIOS!$K$25:$K$42,[1]CRITERIOS!$M$25:$M$42),
1),
E429/ROUNDDOWN([1]CRITERIOS!$M$16/_xlfn.XLOOKUP($C429,[1]CRITERIOS!$K$25:$K$42,[1]CRITERIOS!$M$25:$M$42),
1),
$M429)),
_xlfn.XLOOKUP($A429,[1]CRITERIOS!$L$179:$L$200,[1]CRITERIOS!$M$179:$M$200)),
_xlfn.CEILING.MATH(IF($M429&gt;$E429,
$E429,
IF($M429&lt;$E429/ROUNDDOWN([1]CRITERIOS!$M$16/_xlfn.XLOOKUP($C429,[1]CRITERIOS!$K$25:$K$42,[1]CRITERIOS!$M$25:$M$42),
1),
E429/ROUNDDOWN([1]CRITERIOS!$M$16/_xlfn.XLOOKUP($C429,[1]CRITERIOS!$K$25:$K$42,[1]CRITERIOS!$M$25:$M$42),
1),
$M429)),_xlfn.XLOOKUP(A429,'[1]DATOS PBI Artículos'!A:A,'[1]DATOS PBI Artículos'!Z:Z
)))))</f>
        <v>#N/A</v>
      </c>
      <c r="Q429" s="38" t="e">
        <f>IF(AND(O429="",N429=0),
0,
   IF(COUNTIF([1]CRITERIOS!$F$179:$F$199,$A429)&gt;=1,
   1,
   IF(R429="MTO",
      $D429,
      ROUNDUP(
                    IF(($E429-SUMIF('[1]DATOS PBI Artículos'!A:A,A429,'[1]DATOS PBI Artículos'!X:X)+($V429-_xlfn.XLOOKUP(A429,'[1]DATOS PBI Artículos'!A:A,'[1]DATOS PBI Artículos'!W:W)))&lt;0,
                    0,
                    IF(($E429-SUMIF('[1]DATOS PBI Artículos'!A:A,A429,'[1]DATOS PBI Artículos'!X:X)+$V429-_xlfn.XLOOKUP($A429,'[1]DATOS PBI Artículos'!A:A,'[1]DATOS PBI Artículos'!W:W))/IF($O429="",$N429,$O429)&gt;ROUNDUP([1]CRITERIOS!$M$16/(IF(COUNTIF([1]CRITERIOS!$BG$11:$BG$201,L429)&gt;=1,_xlfn.XLOOKUP($C429,[1]CRITERIOS!$K$25:$K$42,[1]CRITERIOS!$M$25:$M$42),_xlfn.XLOOKUP($C429,[1]CRITERIOS!$K$25:$K$42,[1]CRITERIOS!$M$25:$M$42))),0),
                    ROUNDUP([1]CRITERIOS!$M$16/(IF(COUNTIF([1]CRITERIOS!$BG$11:$BG$201,$L429)&gt;=1,_xlfn.XLOOKUP($C429,[1]CRITERIOS!$K$25:$K$42,[1]CRITERIOS!$M$25:$M$42),_xlfn.XLOOKUP($C429,[1]CRITERIOS!$K$25:$K$42,[1]CRITERIOS!$M$25:$M$42))),0),
                    (E429+V429-SUMIF('[1]DATOS PBI Artículos'!A:A,A429,'[1]DATOS PBI Artículos'!X:X)-_xlfn.XLOOKUP(A429,'[1]DATOS PBI Artículos'!A:A,'[1]DATOS PBI Artículos'!W:W))/IF($O429="",$N429,$O429))),0))))</f>
        <v>#N/A</v>
      </c>
      <c r="R429" s="33" t="e">
        <f>IF(U429&lt;&gt;"",U429,IF(F429="DV","MTO",IF(N429=0,"MTO",_xlfn.XLOOKUP(CONCATENATE(S429,T429),[1]CRITERIOS!$K$160:$K$168,[1]CRITERIOS!$N$160:$N$168))))</f>
        <v>#N/A</v>
      </c>
      <c r="S429" s="33" t="e">
        <f>IF(G429="DV","MTO",IF(N429=0,"MTO",IF(OR(AND(N429=0,O429=""),IF(O429="",G429/N429,G429/O429)&gt;[1]CRITERIOS!$G$163),"MTO",IF(IF(O429="",G429/N429,G429/O429)&lt;[1]CRITERIOS!$H$161,"MTS","MTOS"))))</f>
        <v>#N/A</v>
      </c>
      <c r="T429" s="33" t="e">
        <f>IF(F429="DV","MTO",IF(OR(AND($N429=0,O429=""),$F429/$J429&gt;[1]CRITERIOS!$G$170,$F429="DV"),"MTO",IF($F429/$J429&lt;[1]CRITERIOS!$H$168,"MTS","MTOS")))</f>
        <v>#N/A</v>
      </c>
      <c r="V429" s="34" t="e">
        <f t="shared" si="22"/>
        <v>#N/A</v>
      </c>
      <c r="X429" s="34" t="e">
        <f t="shared" si="20"/>
        <v>#N/A</v>
      </c>
      <c r="Y429" s="34" t="e">
        <f t="shared" si="21"/>
        <v>#N/A</v>
      </c>
      <c r="Z429" s="34" t="e">
        <f>IF($R429="MTO",
0,
($H429+$K429*($E429/[1]CRITERIOS!$M$16))/[1]CRITERIOS!$X$48)</f>
        <v>#N/A</v>
      </c>
      <c r="AA429" s="34" t="e">
        <f>ROUNDUP(($Y429/_xlfn.XLOOKUP($A429,'[1]DATOS PBI Artículos'!$A$4:$A$4,'[1]DATOS PBI Artículos'!$Z$4:$Z$4))/_xlfn.XLOOKUP(_xlfn.XLOOKUP($A429,'[1]DATOS PBI Artículos'!$A$4:$A$4,'[1]DATOS PBI Artículos'!$Y$4:$Y$4),[1]CRITERIOS!$P$79:$P$123,[1]CRITERIOS!$S$79:$S$123,),0)</f>
        <v>#N/A</v>
      </c>
      <c r="AB429" s="33" t="e">
        <f t="array" ref="AB429">IF((E429+V429-_xlfn.XLOOKUP(A429,'[1]DATOS PBI Artículos'!$A$4:$A$4,'[1]DATOS PBI Artículos'!$W$4:$W$4))/N429&gt;ROUNDUP([1]CRITERIOS!$M$16/(IF(COUNTIF([1]CRITERIOS!$BG$11:$BG$201,L429)&gt;=1,_xlfn.XLOOKUP(ARTÍCULOS!L429,[1]CRITERIOS!$BG$11:$BG$201,[1]CRITERIOS!$BJ$11:$BJ$201),_xlfn.XLOOKUP(ARTÍCULOS!C429,[1]CRITERIOS!$K$25:$K$42,[1]CRITERIOS!$M$25:$M$42))),0),ROUNDUP([1]CRITERIOS!$M$16/(IF(COUNTIF([1]CRITERIOS!$BG$11:$BG$201,L429)&gt;=1,_xlfn.XLOOKUP(ARTÍCULOS!L429,[1]CRITERIOS!$BG$11:$BG$201:#REF!,[1]CRITERIOS!$BJ$11:$BJ$201),_xlfn.XLOOKUP(ARTÍCULOS!C429,[1]CRITERIOS!$K$25:$K$42,[1]CRITERIOS!$M$25:$M$42))),0),(E429+V429-_xlfn.XLOOKUP(A429,'[1]DATOS PBI Artículos'!$A$4:$A$4,'[1]DATOS PBI Artículos'!$W$4:$W$4))/N429)</f>
        <v>#N/A</v>
      </c>
      <c r="AC429" s="33" t="e">
        <f>IF(N429=0,"",(ROUNDUP((N429/2)/(_xlfn.XLOOKUP(A429,'[1]DATOS PBI Artículos'!$A$4:$A$4,'[1]DATOS PBI Artículos'!$Z$4:$Z$4)*_xlfn.XLOOKUP(_xlfn.XLOOKUP(A429,'[1]DATOS PBI Artículos'!$A$4:$A$4,'[1]DATOS PBI Artículos'!$Y$4:$Y$4),[1]CRITERIOS!$P$79:$P$123,[1]CRITERIOS!$S$79:$S$123)),0)*[1]CRITERIOS!$M$80*([1]CRITERIOS!$M$110/[1]CRITERIOS!$M$86)+(_xlfn.XLOOKUP(A429,'[1]DATOS PBI Artículos'!$A$4:$A$4,'[1]DATOS PBI Artículos'!$AA$4:$AA$4)*([1]CRITERIOS!$M$95+[1]CRITERIOS!$M$98)))/N429)</f>
        <v>#N/A</v>
      </c>
      <c r="AD429" s="33" t="e">
        <f>IF(N429=0,"",(ROUNDUP((N429/2)/(_xlfn.XLOOKUP(A429,'[1]DATOS PBI Artículos'!$A$4:$A$4,'[1]DATOS PBI Artículos'!$Z$4:$Z$4)*_xlfn.XLOOKUP(_xlfn.XLOOKUP(A429,'[1]DATOS PBI Artículos'!$A$4:$A$4,'[1]DATOS PBI Artículos'!$Y$4:$Y$4),[1]CRITERIOS!$P$79:$P$123,[1]CRITERIOS!$S$79:$S$123)),0)*[1]CRITERIOS!$M$80*([1]CRITERIOS!$M$89*[1]CRITERIOS!$M$92)+((_xlfn.XLOOKUP(A429,'[1]DATOS PBI Artículos'!$A$4:$A$4,'[1]DATOS PBI Artículos'!$AA$4:$AA$4)/2)*([1]CRITERIOS!$M$95+[1]CRITERIOS!$M$98)))/N429)</f>
        <v>#N/A</v>
      </c>
      <c r="AE429" s="39" t="e">
        <f>IF($R429="MTO","",
IF($H429=0,ROUNDUP(((_xlfn.XLOOKUP($A429,'[1]DATOS PBI Artículos'!$A:$A,'[1]DATOS PBI Artículos'!$AL:$AL))/(_xlfn.XLOOKUP($AF$1,[1]CRITERIOS!$S$16:$S$39,[1]CRITERIOS!$Y$16:$Y$39))*$J429+$Z429)/$G429,0)*$G429,
((_xlfn.XLOOKUP($A429,'[1]DATOS PBI Artículos'!$A:$A,'[1]DATOS PBI Artículos'!$AL:$AL))/(_xlfn.XLOOKUP($AF$1,[1]CRITERIOS!$S$16:$S$39,[1]CRITERIOS!$Y$16:$Y$39))*$J429+$Z429)))</f>
        <v>#N/A</v>
      </c>
      <c r="AG429" s="39" t="e">
        <f>IF($R429="MTO","",
IF($H429=0,ROUNDUP(((_xlfn.XLOOKUP($A429,'[1]DATOS PBI Artículos'!$A:$A,'[1]DATOS PBI Artículos'!$AM:$AM))/(_xlfn.XLOOKUP($AH$1,[1]CRITERIOS!$S$16:$S$39,[1]CRITERIOS!$Y$16:$Y$39))*$J429+$Z429)/$G429,0)*$G429,
((_xlfn.XLOOKUP($A429,'[1]DATOS PBI Artículos'!$A:$A,'[1]DATOS PBI Artículos'!$AM:$AM))/(_xlfn.XLOOKUP($AH$1,[1]CRITERIOS!$S$16:$S$39,[1]CRITERIOS!$Y$16:$Y$39))*$J429+$Z429)))</f>
        <v>#N/A</v>
      </c>
      <c r="AI429" s="39" t="e">
        <f>IF($R429="MTO","",
IF($H429=0,ROUNDUP(((_xlfn.XLOOKUP($A429,'[1]DATOS PBI Artículos'!$A:$A,'[1]DATOS PBI Artículos'!$AN:$AN))/(_xlfn.XLOOKUP($AJ$1,[1]CRITERIOS!$S$16:$S$39,[1]CRITERIOS!$Y$16:$Y$39))*$J429+$Z429)/$G429,0)*$G429,
((_xlfn.XLOOKUP($A429,'[1]DATOS PBI Artículos'!$A:$A,'[1]DATOS PBI Artículos'!$AN:$AN))/(_xlfn.XLOOKUP($AJ$1,[1]CRITERIOS!$S$16:$S$39,[1]CRITERIOS!$Y$16:$Y$39))*$J429+$Z429)))</f>
        <v>#N/A</v>
      </c>
      <c r="AK429" s="39" t="e">
        <f>IF($R429="MTO","",
IF($H429=0,ROUNDUP(((_xlfn.XLOOKUP($A429,'[1]DATOS PBI Artículos'!$A:$A,'[1]DATOS PBI Artículos'!$AO:$AO))/(_xlfn.XLOOKUP($AL$1,[1]CRITERIOS!$S$16:$S$39,[1]CRITERIOS!$Y$16:$Y$39))*$J429+$Z429)/$G429,0)*$G429,
((_xlfn.XLOOKUP($A429,'[1]DATOS PBI Artículos'!$A:$A,'[1]DATOS PBI Artículos'!$AO:$AO))/(_xlfn.XLOOKUP($AL$1,[1]CRITERIOS!$S$16:$S$39,[1]CRITERIOS!$Y$16:$Y$39))*$J429+$Z429)))</f>
        <v>#N/A</v>
      </c>
    </row>
    <row r="430" spans="1:37" ht="25.8" hidden="1" x14ac:dyDescent="0.4">
      <c r="A430" s="41"/>
      <c r="B430" s="33">
        <f>_xlfn.XLOOKUP($A430,'[1]DATOS PBI Artículos'!A:A,'[1]DATOS PBI Artículos'!B:B)</f>
        <v>0</v>
      </c>
      <c r="C430" s="33">
        <f>_xlfn.XLOOKUP($A430,'[1]DATOS PBI Artículos'!A:A,'[1]DATOS PBI Artículos'!C:C)</f>
        <v>0</v>
      </c>
      <c r="D430" s="33">
        <f>_xlfn.XLOOKUP(A430,'[1]DATOS PBI Artículos'!A:A,'[1]DATOS PBI Artículos'!T:T)</f>
        <v>0</v>
      </c>
      <c r="E430" s="34">
        <f>IF(_xlfn.XLOOKUP($A430,'[1]DATOS PBI Artículos'!A:A,'[1]DATOS PBI Artículos'!AK:AK)="",_xlfn.XLOOKUP($A430,'[1]DATOS PBI Artículos'!A:A,'[1]DATOS PBI Artículos'!AJ:AJ),_xlfn.XLOOKUP($A430,'[1]DATOS PBI Artículos'!A:A,'[1]DATOS PBI Artículos'!AK:AK))</f>
        <v>0</v>
      </c>
      <c r="F430" s="35">
        <f>_xlfn.XLOOKUP($A430,'[1]DATOS PBI Artículos'!A:A,'[1]DATOS PBI Artículos'!AP:AP)</f>
        <v>0</v>
      </c>
      <c r="G430" s="34">
        <f>_xlfn.XLOOKUP($A430,'[1]DATOS PBI Artículos'!A:A,'[1]DATOS PBI Artículos'!AR:AR)</f>
        <v>0</v>
      </c>
      <c r="H430" s="34">
        <f>_xlfn.XLOOKUP($A430,'[1]DATOS PBI Artículos'!A:A,'[1]DATOS PBI Artículos'!AT:AT)</f>
        <v>0</v>
      </c>
      <c r="I430" s="34">
        <f>_xlfn.XLOOKUP($A430,'[1]DATOS PBI Artículos'!A:A,'[1]DATOS PBI Artículos'!AS:AS)</f>
        <v>0</v>
      </c>
      <c r="J430" s="35">
        <f>IF(COUNTIF([1]CRITERIOS!$F$179:$F$199,$A430)&gt;=1,
 IF(O430&lt;&gt;"",
    (O430/_xlfn.XLOOKUP(CONCATENATE(A430,L430),[1]MÁQUINAS!A:A,[1]MÁQUINAS!D:D))/24,
    (N430/_xlfn.XLOOKUP(CONCATENATE(A430,L430),[1]MÁQUINAS!A:A,[1]MÁQUINAS!D:D))/24),
  _xlfn.XLOOKUP($A430,'[1]DATOS PBI Artículos'!A:A,'[1]DATOS PBI Artículos'!AU:AU))</f>
        <v>0</v>
      </c>
      <c r="K430" s="36">
        <f>_xlfn.XLOOKUP($A430,'[1]DATOS PBI Artículos'!A:A,'[1]DATOS PBI Artículos'!AV:AV)</f>
        <v>0</v>
      </c>
      <c r="L430" s="33">
        <f>_xlfn.XLOOKUP(A430,[1]MÁQUINAS!B:B,[1]MÁQUINAS!C:C)</f>
        <v>0</v>
      </c>
      <c r="M430" s="34">
        <f t="array" ref="M430">_xlfn.XLOOKUP(A430,'[1]DATOS PBI Artículos'!A:A,'[1]DATOS PBI Artículos'!AX:$AX)</f>
        <v>0</v>
      </c>
      <c r="N430" s="37" t="e">
        <f>IF(I430="DV",
E430,
IF(COUNTIF([1]CRITERIOS!$I$179:$I$199,$A430)&gt;=1,
_xlfn.XLOOKUP($A430,[1]CRITERIOS!$I$179:$I$199,[1]CRITERIOS!$J$179:$J$199),
IF(COUNTIF([1]CRITERIOS!$L$179:$L$199,$A430)&gt;=1,
_xlfn.CEILING.MATH(IF($M430&gt;$E430,
$E430,
IF($M430&lt;$E430/ROUNDDOWN([1]CRITERIOS!$M$16/_xlfn.XLOOKUP($C430,[1]CRITERIOS!$K$25:$K$42,[1]CRITERIOS!$M$25:$M$42),
1),
E430/ROUNDDOWN([1]CRITERIOS!$M$16/_xlfn.XLOOKUP($C430,[1]CRITERIOS!$K$25:$K$42,[1]CRITERIOS!$M$25:$M$42),
1),
$M430)),
_xlfn.XLOOKUP($A430,[1]CRITERIOS!$L$179:$L$200,[1]CRITERIOS!$M$179:$M$200)),
_xlfn.CEILING.MATH(IF($M430&gt;$E430,
$E430,
IF($M430&lt;$E430/ROUNDDOWN([1]CRITERIOS!$M$16/_xlfn.XLOOKUP($C430,[1]CRITERIOS!$K$25:$K$42,[1]CRITERIOS!$M$25:$M$42),
1),
E430/ROUNDDOWN([1]CRITERIOS!$M$16/_xlfn.XLOOKUP($C430,[1]CRITERIOS!$K$25:$K$42,[1]CRITERIOS!$M$25:$M$42),
1),
$M430)),_xlfn.XLOOKUP(A430,'[1]DATOS PBI Artículos'!A:A,'[1]DATOS PBI Artículos'!Z:Z
)))))</f>
        <v>#N/A</v>
      </c>
      <c r="Q430" s="38" t="e">
        <f>IF(AND(O430="",N430=0),
0,
   IF(COUNTIF([1]CRITERIOS!$F$179:$F$199,$A430)&gt;=1,
   1,
   IF(R430="MTO",
      $D430,
      ROUNDUP(
                    IF(($E430-SUMIF('[1]DATOS PBI Artículos'!A:A,A430,'[1]DATOS PBI Artículos'!X:X)+($V430-_xlfn.XLOOKUP(A430,'[1]DATOS PBI Artículos'!A:A,'[1]DATOS PBI Artículos'!W:W)))&lt;0,
                    0,
                    IF(($E430-SUMIF('[1]DATOS PBI Artículos'!A:A,A430,'[1]DATOS PBI Artículos'!X:X)+$V430-_xlfn.XLOOKUP($A430,'[1]DATOS PBI Artículos'!A:A,'[1]DATOS PBI Artículos'!W:W))/IF($O430="",$N430,$O430)&gt;ROUNDUP([1]CRITERIOS!$M$16/(IF(COUNTIF([1]CRITERIOS!$BG$11:$BG$201,L430)&gt;=1,_xlfn.XLOOKUP($C430,[1]CRITERIOS!$K$25:$K$42,[1]CRITERIOS!$M$25:$M$42),_xlfn.XLOOKUP($C430,[1]CRITERIOS!$K$25:$K$42,[1]CRITERIOS!$M$25:$M$42))),0),
                    ROUNDUP([1]CRITERIOS!$M$16/(IF(COUNTIF([1]CRITERIOS!$BG$11:$BG$201,$L430)&gt;=1,_xlfn.XLOOKUP($C430,[1]CRITERIOS!$K$25:$K$42,[1]CRITERIOS!$M$25:$M$42),_xlfn.XLOOKUP($C430,[1]CRITERIOS!$K$25:$K$42,[1]CRITERIOS!$M$25:$M$42))),0),
                    (E430+V430-SUMIF('[1]DATOS PBI Artículos'!A:A,A430,'[1]DATOS PBI Artículos'!X:X)-_xlfn.XLOOKUP(A430,'[1]DATOS PBI Artículos'!A:A,'[1]DATOS PBI Artículos'!W:W))/IF($O430="",$N430,$O430))),0))))</f>
        <v>#N/A</v>
      </c>
      <c r="R430" s="33" t="e">
        <f>IF(U430&lt;&gt;"",U430,IF(F430="DV","MTO",IF(N430=0,"MTO",_xlfn.XLOOKUP(CONCATENATE(S430,T430),[1]CRITERIOS!$K$160:$K$168,[1]CRITERIOS!$N$160:$N$168))))</f>
        <v>#N/A</v>
      </c>
      <c r="S430" s="33" t="e">
        <f>IF(G430="DV","MTO",IF(N430=0,"MTO",IF(OR(AND(N430=0,O430=""),IF(O430="",G430/N430,G430/O430)&gt;[1]CRITERIOS!$G$163),"MTO",IF(IF(O430="",G430/N430,G430/O430)&lt;[1]CRITERIOS!$H$161,"MTS","MTOS"))))</f>
        <v>#N/A</v>
      </c>
      <c r="T430" s="33" t="e">
        <f>IF(F430="DV","MTO",IF(OR(AND($N430=0,O430=""),$F430/$J430&gt;[1]CRITERIOS!$G$170,$F430="DV"),"MTO",IF($F430/$J430&lt;[1]CRITERIOS!$H$168,"MTS","MTOS")))</f>
        <v>#N/A</v>
      </c>
      <c r="V430" s="34" t="e">
        <f t="shared" si="22"/>
        <v>#N/A</v>
      </c>
      <c r="X430" s="34" t="e">
        <f t="shared" si="20"/>
        <v>#N/A</v>
      </c>
      <c r="Y430" s="34" t="e">
        <f t="shared" si="21"/>
        <v>#N/A</v>
      </c>
      <c r="Z430" s="34" t="e">
        <f>IF($R430="MTO",
0,
($H430+$K430*($E430/[1]CRITERIOS!$M$16))/[1]CRITERIOS!$X$48)</f>
        <v>#N/A</v>
      </c>
      <c r="AA430" s="34" t="e">
        <f>ROUNDUP(($Y430/_xlfn.XLOOKUP($A430,'[1]DATOS PBI Artículos'!$A$4:$A$4,'[1]DATOS PBI Artículos'!$Z$4:$Z$4))/_xlfn.XLOOKUP(_xlfn.XLOOKUP($A430,'[1]DATOS PBI Artículos'!$A$4:$A$4,'[1]DATOS PBI Artículos'!$Y$4:$Y$4),[1]CRITERIOS!$P$79:$P$123,[1]CRITERIOS!$S$79:$S$123,),0)</f>
        <v>#N/A</v>
      </c>
      <c r="AB430" s="33" t="e">
        <f t="array" ref="AB430">IF((E430+V430-_xlfn.XLOOKUP(A430,'[1]DATOS PBI Artículos'!$A$4:$A$4,'[1]DATOS PBI Artículos'!$W$4:$W$4))/N430&gt;ROUNDUP([1]CRITERIOS!$M$16/(IF(COUNTIF([1]CRITERIOS!$BG$11:$BG$201,L430)&gt;=1,_xlfn.XLOOKUP(ARTÍCULOS!L430,[1]CRITERIOS!$BG$11:$BG$201,[1]CRITERIOS!$BJ$11:$BJ$201),_xlfn.XLOOKUP(ARTÍCULOS!C430,[1]CRITERIOS!$K$25:$K$42,[1]CRITERIOS!$M$25:$M$42))),0),ROUNDUP([1]CRITERIOS!$M$16/(IF(COUNTIF([1]CRITERIOS!$BG$11:$BG$201,L430)&gt;=1,_xlfn.XLOOKUP(ARTÍCULOS!L430,[1]CRITERIOS!$BG$11:$BG$201:#REF!,[1]CRITERIOS!$BJ$11:$BJ$201),_xlfn.XLOOKUP(ARTÍCULOS!C430,[1]CRITERIOS!$K$25:$K$42,[1]CRITERIOS!$M$25:$M$42))),0),(E430+V430-_xlfn.XLOOKUP(A430,'[1]DATOS PBI Artículos'!$A$4:$A$4,'[1]DATOS PBI Artículos'!$W$4:$W$4))/N430)</f>
        <v>#N/A</v>
      </c>
      <c r="AC430" s="33" t="e">
        <f>IF(N430=0,"",(ROUNDUP((N430/2)/(_xlfn.XLOOKUP(A430,'[1]DATOS PBI Artículos'!$A$4:$A$4,'[1]DATOS PBI Artículos'!$Z$4:$Z$4)*_xlfn.XLOOKUP(_xlfn.XLOOKUP(A430,'[1]DATOS PBI Artículos'!$A$4:$A$4,'[1]DATOS PBI Artículos'!$Y$4:$Y$4),[1]CRITERIOS!$P$79:$P$123,[1]CRITERIOS!$S$79:$S$123)),0)*[1]CRITERIOS!$M$80*([1]CRITERIOS!$M$110/[1]CRITERIOS!$M$86)+(_xlfn.XLOOKUP(A430,'[1]DATOS PBI Artículos'!$A$4:$A$4,'[1]DATOS PBI Artículos'!$AA$4:$AA$4)*([1]CRITERIOS!$M$95+[1]CRITERIOS!$M$98)))/N430)</f>
        <v>#N/A</v>
      </c>
      <c r="AD430" s="33" t="e">
        <f>IF(N430=0,"",(ROUNDUP((N430/2)/(_xlfn.XLOOKUP(A430,'[1]DATOS PBI Artículos'!$A$4:$A$4,'[1]DATOS PBI Artículos'!$Z$4:$Z$4)*_xlfn.XLOOKUP(_xlfn.XLOOKUP(A430,'[1]DATOS PBI Artículos'!$A$4:$A$4,'[1]DATOS PBI Artículos'!$Y$4:$Y$4),[1]CRITERIOS!$P$79:$P$123,[1]CRITERIOS!$S$79:$S$123)),0)*[1]CRITERIOS!$M$80*([1]CRITERIOS!$M$89*[1]CRITERIOS!$M$92)+((_xlfn.XLOOKUP(A430,'[1]DATOS PBI Artículos'!$A$4:$A$4,'[1]DATOS PBI Artículos'!$AA$4:$AA$4)/2)*([1]CRITERIOS!$M$95+[1]CRITERIOS!$M$98)))/N430)</f>
        <v>#N/A</v>
      </c>
      <c r="AE430" s="39" t="e">
        <f>IF($R430="MTO","",
IF($H430=0,ROUNDUP(((_xlfn.XLOOKUP($A430,'[1]DATOS PBI Artículos'!$A:$A,'[1]DATOS PBI Artículos'!$AL:$AL))/(_xlfn.XLOOKUP($AF$1,[1]CRITERIOS!$S$16:$S$39,[1]CRITERIOS!$Y$16:$Y$39))*$J430+$Z430)/$G430,0)*$G430,
((_xlfn.XLOOKUP($A430,'[1]DATOS PBI Artículos'!$A:$A,'[1]DATOS PBI Artículos'!$AL:$AL))/(_xlfn.XLOOKUP($AF$1,[1]CRITERIOS!$S$16:$S$39,[1]CRITERIOS!$Y$16:$Y$39))*$J430+$Z430)))</f>
        <v>#N/A</v>
      </c>
      <c r="AG430" s="39" t="e">
        <f>IF($R430="MTO","",
IF($H430=0,ROUNDUP(((_xlfn.XLOOKUP($A430,'[1]DATOS PBI Artículos'!$A:$A,'[1]DATOS PBI Artículos'!$AM:$AM))/(_xlfn.XLOOKUP($AH$1,[1]CRITERIOS!$S$16:$S$39,[1]CRITERIOS!$Y$16:$Y$39))*$J430+$Z430)/$G430,0)*$G430,
((_xlfn.XLOOKUP($A430,'[1]DATOS PBI Artículos'!$A:$A,'[1]DATOS PBI Artículos'!$AM:$AM))/(_xlfn.XLOOKUP($AH$1,[1]CRITERIOS!$S$16:$S$39,[1]CRITERIOS!$Y$16:$Y$39))*$J430+$Z430)))</f>
        <v>#N/A</v>
      </c>
      <c r="AI430" s="39" t="e">
        <f>IF($R430="MTO","",
IF($H430=0,ROUNDUP(((_xlfn.XLOOKUP($A430,'[1]DATOS PBI Artículos'!$A:$A,'[1]DATOS PBI Artículos'!$AN:$AN))/(_xlfn.XLOOKUP($AJ$1,[1]CRITERIOS!$S$16:$S$39,[1]CRITERIOS!$Y$16:$Y$39))*$J430+$Z430)/$G430,0)*$G430,
((_xlfn.XLOOKUP($A430,'[1]DATOS PBI Artículos'!$A:$A,'[1]DATOS PBI Artículos'!$AN:$AN))/(_xlfn.XLOOKUP($AJ$1,[1]CRITERIOS!$S$16:$S$39,[1]CRITERIOS!$Y$16:$Y$39))*$J430+$Z430)))</f>
        <v>#N/A</v>
      </c>
      <c r="AK430" s="39" t="e">
        <f>IF($R430="MTO","",
IF($H430=0,ROUNDUP(((_xlfn.XLOOKUP($A430,'[1]DATOS PBI Artículos'!$A:$A,'[1]DATOS PBI Artículos'!$AO:$AO))/(_xlfn.XLOOKUP($AL$1,[1]CRITERIOS!$S$16:$S$39,[1]CRITERIOS!$Y$16:$Y$39))*$J430+$Z430)/$G430,0)*$G430,
((_xlfn.XLOOKUP($A430,'[1]DATOS PBI Artículos'!$A:$A,'[1]DATOS PBI Artículos'!$AO:$AO))/(_xlfn.XLOOKUP($AL$1,[1]CRITERIOS!$S$16:$S$39,[1]CRITERIOS!$Y$16:$Y$39))*$J430+$Z430)))</f>
        <v>#N/A</v>
      </c>
    </row>
    <row r="431" spans="1:37" ht="25.8" hidden="1" x14ac:dyDescent="0.4">
      <c r="A431" s="41"/>
      <c r="B431" s="33">
        <f>_xlfn.XLOOKUP($A431,'[1]DATOS PBI Artículos'!A:A,'[1]DATOS PBI Artículos'!B:B)</f>
        <v>0</v>
      </c>
      <c r="C431" s="33">
        <f>_xlfn.XLOOKUP($A431,'[1]DATOS PBI Artículos'!A:A,'[1]DATOS PBI Artículos'!C:C)</f>
        <v>0</v>
      </c>
      <c r="D431" s="33">
        <f>_xlfn.XLOOKUP(A431,'[1]DATOS PBI Artículos'!A:A,'[1]DATOS PBI Artículos'!T:T)</f>
        <v>0</v>
      </c>
      <c r="E431" s="34">
        <f>IF(_xlfn.XLOOKUP($A431,'[1]DATOS PBI Artículos'!A:A,'[1]DATOS PBI Artículos'!AK:AK)="",_xlfn.XLOOKUP($A431,'[1]DATOS PBI Artículos'!A:A,'[1]DATOS PBI Artículos'!AJ:AJ),_xlfn.XLOOKUP($A431,'[1]DATOS PBI Artículos'!A:A,'[1]DATOS PBI Artículos'!AK:AK))</f>
        <v>0</v>
      </c>
      <c r="F431" s="35">
        <f>_xlfn.XLOOKUP($A431,'[1]DATOS PBI Artículos'!A:A,'[1]DATOS PBI Artículos'!AP:AP)</f>
        <v>0</v>
      </c>
      <c r="G431" s="34">
        <f>_xlfn.XLOOKUP($A431,'[1]DATOS PBI Artículos'!A:A,'[1]DATOS PBI Artículos'!AR:AR)</f>
        <v>0</v>
      </c>
      <c r="H431" s="34">
        <f>_xlfn.XLOOKUP($A431,'[1]DATOS PBI Artículos'!A:A,'[1]DATOS PBI Artículos'!AT:AT)</f>
        <v>0</v>
      </c>
      <c r="I431" s="34">
        <f>_xlfn.XLOOKUP($A431,'[1]DATOS PBI Artículos'!A:A,'[1]DATOS PBI Artículos'!AS:AS)</f>
        <v>0</v>
      </c>
      <c r="J431" s="35">
        <f>IF(COUNTIF([1]CRITERIOS!$F$179:$F$199,$A431)&gt;=1,
 IF(O431&lt;&gt;"",
    (O431/_xlfn.XLOOKUP(CONCATENATE(A431,L431),[1]MÁQUINAS!A:A,[1]MÁQUINAS!D:D))/24,
    (N431/_xlfn.XLOOKUP(CONCATENATE(A431,L431),[1]MÁQUINAS!A:A,[1]MÁQUINAS!D:D))/24),
  _xlfn.XLOOKUP($A431,'[1]DATOS PBI Artículos'!A:A,'[1]DATOS PBI Artículos'!AU:AU))</f>
        <v>0</v>
      </c>
      <c r="K431" s="36">
        <f>_xlfn.XLOOKUP($A431,'[1]DATOS PBI Artículos'!A:A,'[1]DATOS PBI Artículos'!AV:AV)</f>
        <v>0</v>
      </c>
      <c r="L431" s="33">
        <f>_xlfn.XLOOKUP(A431,[1]MÁQUINAS!B:B,[1]MÁQUINAS!C:C)</f>
        <v>0</v>
      </c>
      <c r="M431" s="34">
        <f t="array" ref="M431">_xlfn.XLOOKUP(A431,'[1]DATOS PBI Artículos'!A:A,'[1]DATOS PBI Artículos'!AX:$AX)</f>
        <v>0</v>
      </c>
      <c r="N431" s="37" t="e">
        <f>IF(I431="DV",
E431,
IF(COUNTIF([1]CRITERIOS!$I$179:$I$199,$A431)&gt;=1,
_xlfn.XLOOKUP($A431,[1]CRITERIOS!$I$179:$I$199,[1]CRITERIOS!$J$179:$J$199),
IF(COUNTIF([1]CRITERIOS!$L$179:$L$199,$A431)&gt;=1,
_xlfn.CEILING.MATH(IF($M431&gt;$E431,
$E431,
IF($M431&lt;$E431/ROUNDDOWN([1]CRITERIOS!$M$16/_xlfn.XLOOKUP($C431,[1]CRITERIOS!$K$25:$K$42,[1]CRITERIOS!$M$25:$M$42),
1),
E431/ROUNDDOWN([1]CRITERIOS!$M$16/_xlfn.XLOOKUP($C431,[1]CRITERIOS!$K$25:$K$42,[1]CRITERIOS!$M$25:$M$42),
1),
$M431)),
_xlfn.XLOOKUP($A431,[1]CRITERIOS!$L$179:$L$200,[1]CRITERIOS!$M$179:$M$200)),
_xlfn.CEILING.MATH(IF($M431&gt;$E431,
$E431,
IF($M431&lt;$E431/ROUNDDOWN([1]CRITERIOS!$M$16/_xlfn.XLOOKUP($C431,[1]CRITERIOS!$K$25:$K$42,[1]CRITERIOS!$M$25:$M$42),
1),
E431/ROUNDDOWN([1]CRITERIOS!$M$16/_xlfn.XLOOKUP($C431,[1]CRITERIOS!$K$25:$K$42,[1]CRITERIOS!$M$25:$M$42),
1),
$M431)),_xlfn.XLOOKUP(A431,'[1]DATOS PBI Artículos'!A:A,'[1]DATOS PBI Artículos'!Z:Z
)))))</f>
        <v>#N/A</v>
      </c>
      <c r="Q431" s="38" t="e">
        <f>IF(AND(O431="",N431=0),
0,
   IF(COUNTIF([1]CRITERIOS!$F$179:$F$199,$A431)&gt;=1,
   1,
   IF(R431="MTO",
      $D431,
      ROUNDUP(
                    IF(($E431-SUMIF('[1]DATOS PBI Artículos'!A:A,A431,'[1]DATOS PBI Artículos'!X:X)+($V431-_xlfn.XLOOKUP(A431,'[1]DATOS PBI Artículos'!A:A,'[1]DATOS PBI Artículos'!W:W)))&lt;0,
                    0,
                    IF(($E431-SUMIF('[1]DATOS PBI Artículos'!A:A,A431,'[1]DATOS PBI Artículos'!X:X)+$V431-_xlfn.XLOOKUP($A431,'[1]DATOS PBI Artículos'!A:A,'[1]DATOS PBI Artículos'!W:W))/IF($O431="",$N431,$O431)&gt;ROUNDUP([1]CRITERIOS!$M$16/(IF(COUNTIF([1]CRITERIOS!$BG$11:$BG$201,L431)&gt;=1,_xlfn.XLOOKUP($C431,[1]CRITERIOS!$K$25:$K$42,[1]CRITERIOS!$M$25:$M$42),_xlfn.XLOOKUP($C431,[1]CRITERIOS!$K$25:$K$42,[1]CRITERIOS!$M$25:$M$42))),0),
                    ROUNDUP([1]CRITERIOS!$M$16/(IF(COUNTIF([1]CRITERIOS!$BG$11:$BG$201,$L431)&gt;=1,_xlfn.XLOOKUP($C431,[1]CRITERIOS!$K$25:$K$42,[1]CRITERIOS!$M$25:$M$42),_xlfn.XLOOKUP($C431,[1]CRITERIOS!$K$25:$K$42,[1]CRITERIOS!$M$25:$M$42))),0),
                    (E431+V431-SUMIF('[1]DATOS PBI Artículos'!A:A,A431,'[1]DATOS PBI Artículos'!X:X)-_xlfn.XLOOKUP(A431,'[1]DATOS PBI Artículos'!A:A,'[1]DATOS PBI Artículos'!W:W))/IF($O431="",$N431,$O431))),0))))</f>
        <v>#N/A</v>
      </c>
      <c r="R431" s="33" t="e">
        <f>IF(U431&lt;&gt;"",U431,IF(F431="DV","MTO",IF(N431=0,"MTO",_xlfn.XLOOKUP(CONCATENATE(S431,T431),[1]CRITERIOS!$K$160:$K$168,[1]CRITERIOS!$N$160:$N$168))))</f>
        <v>#N/A</v>
      </c>
      <c r="S431" s="33" t="e">
        <f>IF(G431="DV","MTO",IF(N431=0,"MTO",IF(OR(AND(N431=0,O431=""),IF(O431="",G431/N431,G431/O431)&gt;[1]CRITERIOS!$G$163),"MTO",IF(IF(O431="",G431/N431,G431/O431)&lt;[1]CRITERIOS!$H$161,"MTS","MTOS"))))</f>
        <v>#N/A</v>
      </c>
      <c r="T431" s="33" t="e">
        <f>IF(F431="DV","MTO",IF(OR(AND($N431=0,O431=""),$F431/$J431&gt;[1]CRITERIOS!$G$170,$F431="DV"),"MTO",IF($F431/$J431&lt;[1]CRITERIOS!$H$168,"MTS","MTOS")))</f>
        <v>#N/A</v>
      </c>
      <c r="V431" s="34" t="e">
        <f t="shared" si="22"/>
        <v>#N/A</v>
      </c>
      <c r="X431" s="34" t="e">
        <f t="shared" si="20"/>
        <v>#N/A</v>
      </c>
      <c r="Y431" s="34" t="e">
        <f t="shared" si="21"/>
        <v>#N/A</v>
      </c>
      <c r="Z431" s="34" t="e">
        <f>IF($R431="MTO",
0,
($H431+$K431*($E431/[1]CRITERIOS!$M$16))/[1]CRITERIOS!$X$48)</f>
        <v>#N/A</v>
      </c>
      <c r="AA431" s="34" t="e">
        <f>ROUNDUP(($Y431/_xlfn.XLOOKUP($A431,'[1]DATOS PBI Artículos'!$A$4:$A$4,'[1]DATOS PBI Artículos'!$Z$4:$Z$4))/_xlfn.XLOOKUP(_xlfn.XLOOKUP($A431,'[1]DATOS PBI Artículos'!$A$4:$A$4,'[1]DATOS PBI Artículos'!$Y$4:$Y$4),[1]CRITERIOS!$P$79:$P$123,[1]CRITERIOS!$S$79:$S$123,),0)</f>
        <v>#N/A</v>
      </c>
      <c r="AB431" s="33" t="e">
        <f t="array" ref="AB431">IF((E431+V431-_xlfn.XLOOKUP(A431,'[1]DATOS PBI Artículos'!$A$4:$A$4,'[1]DATOS PBI Artículos'!$W$4:$W$4))/N431&gt;ROUNDUP([1]CRITERIOS!$M$16/(IF(COUNTIF([1]CRITERIOS!$BG$11:$BG$201,L431)&gt;=1,_xlfn.XLOOKUP(ARTÍCULOS!L431,[1]CRITERIOS!$BG$11:$BG$201,[1]CRITERIOS!$BJ$11:$BJ$201),_xlfn.XLOOKUP(ARTÍCULOS!C431,[1]CRITERIOS!$K$25:$K$42,[1]CRITERIOS!$M$25:$M$42))),0),ROUNDUP([1]CRITERIOS!$M$16/(IF(COUNTIF([1]CRITERIOS!$BG$11:$BG$201,L431)&gt;=1,_xlfn.XLOOKUP(ARTÍCULOS!L431,[1]CRITERIOS!$BG$11:$BG$201:#REF!,[1]CRITERIOS!$BJ$11:$BJ$201),_xlfn.XLOOKUP(ARTÍCULOS!C431,[1]CRITERIOS!$K$25:$K$42,[1]CRITERIOS!$M$25:$M$42))),0),(E431+V431-_xlfn.XLOOKUP(A431,'[1]DATOS PBI Artículos'!$A$4:$A$4,'[1]DATOS PBI Artículos'!$W$4:$W$4))/N431)</f>
        <v>#N/A</v>
      </c>
      <c r="AC431" s="33" t="e">
        <f>IF(N431=0,"",(ROUNDUP((N431/2)/(_xlfn.XLOOKUP(A431,'[1]DATOS PBI Artículos'!$A$4:$A$4,'[1]DATOS PBI Artículos'!$Z$4:$Z$4)*_xlfn.XLOOKUP(_xlfn.XLOOKUP(A431,'[1]DATOS PBI Artículos'!$A$4:$A$4,'[1]DATOS PBI Artículos'!$Y$4:$Y$4),[1]CRITERIOS!$P$79:$P$123,[1]CRITERIOS!$S$79:$S$123)),0)*[1]CRITERIOS!$M$80*([1]CRITERIOS!$M$110/[1]CRITERIOS!$M$86)+(_xlfn.XLOOKUP(A431,'[1]DATOS PBI Artículos'!$A$4:$A$4,'[1]DATOS PBI Artículos'!$AA$4:$AA$4)*([1]CRITERIOS!$M$95+[1]CRITERIOS!$M$98)))/N431)</f>
        <v>#N/A</v>
      </c>
      <c r="AD431" s="33" t="e">
        <f>IF(N431=0,"",(ROUNDUP((N431/2)/(_xlfn.XLOOKUP(A431,'[1]DATOS PBI Artículos'!$A$4:$A$4,'[1]DATOS PBI Artículos'!$Z$4:$Z$4)*_xlfn.XLOOKUP(_xlfn.XLOOKUP(A431,'[1]DATOS PBI Artículos'!$A$4:$A$4,'[1]DATOS PBI Artículos'!$Y$4:$Y$4),[1]CRITERIOS!$P$79:$P$123,[1]CRITERIOS!$S$79:$S$123)),0)*[1]CRITERIOS!$M$80*([1]CRITERIOS!$M$89*[1]CRITERIOS!$M$92)+((_xlfn.XLOOKUP(A431,'[1]DATOS PBI Artículos'!$A$4:$A$4,'[1]DATOS PBI Artículos'!$AA$4:$AA$4)/2)*([1]CRITERIOS!$M$95+[1]CRITERIOS!$M$98)))/N431)</f>
        <v>#N/A</v>
      </c>
      <c r="AE431" s="39" t="e">
        <f>IF($R431="MTO","",
IF($H431=0,ROUNDUP(((_xlfn.XLOOKUP($A431,'[1]DATOS PBI Artículos'!$A:$A,'[1]DATOS PBI Artículos'!$AL:$AL))/(_xlfn.XLOOKUP($AF$1,[1]CRITERIOS!$S$16:$S$39,[1]CRITERIOS!$Y$16:$Y$39))*$J431+$Z431)/$G431,0)*$G431,
((_xlfn.XLOOKUP($A431,'[1]DATOS PBI Artículos'!$A:$A,'[1]DATOS PBI Artículos'!$AL:$AL))/(_xlfn.XLOOKUP($AF$1,[1]CRITERIOS!$S$16:$S$39,[1]CRITERIOS!$Y$16:$Y$39))*$J431+$Z431)))</f>
        <v>#N/A</v>
      </c>
      <c r="AG431" s="39" t="e">
        <f>IF($R431="MTO","",
IF($H431=0,ROUNDUP(((_xlfn.XLOOKUP($A431,'[1]DATOS PBI Artículos'!$A:$A,'[1]DATOS PBI Artículos'!$AM:$AM))/(_xlfn.XLOOKUP($AH$1,[1]CRITERIOS!$S$16:$S$39,[1]CRITERIOS!$Y$16:$Y$39))*$J431+$Z431)/$G431,0)*$G431,
((_xlfn.XLOOKUP($A431,'[1]DATOS PBI Artículos'!$A:$A,'[1]DATOS PBI Artículos'!$AM:$AM))/(_xlfn.XLOOKUP($AH$1,[1]CRITERIOS!$S$16:$S$39,[1]CRITERIOS!$Y$16:$Y$39))*$J431+$Z431)))</f>
        <v>#N/A</v>
      </c>
      <c r="AI431" s="39" t="e">
        <f>IF($R431="MTO","",
IF($H431=0,ROUNDUP(((_xlfn.XLOOKUP($A431,'[1]DATOS PBI Artículos'!$A:$A,'[1]DATOS PBI Artículos'!$AN:$AN))/(_xlfn.XLOOKUP($AJ$1,[1]CRITERIOS!$S$16:$S$39,[1]CRITERIOS!$Y$16:$Y$39))*$J431+$Z431)/$G431,0)*$G431,
((_xlfn.XLOOKUP($A431,'[1]DATOS PBI Artículos'!$A:$A,'[1]DATOS PBI Artículos'!$AN:$AN))/(_xlfn.XLOOKUP($AJ$1,[1]CRITERIOS!$S$16:$S$39,[1]CRITERIOS!$Y$16:$Y$39))*$J431+$Z431)))</f>
        <v>#N/A</v>
      </c>
      <c r="AK431" s="39" t="e">
        <f>IF($R431="MTO","",
IF($H431=0,ROUNDUP(((_xlfn.XLOOKUP($A431,'[1]DATOS PBI Artículos'!$A:$A,'[1]DATOS PBI Artículos'!$AO:$AO))/(_xlfn.XLOOKUP($AL$1,[1]CRITERIOS!$S$16:$S$39,[1]CRITERIOS!$Y$16:$Y$39))*$J431+$Z431)/$G431,0)*$G431,
((_xlfn.XLOOKUP($A431,'[1]DATOS PBI Artículos'!$A:$A,'[1]DATOS PBI Artículos'!$AO:$AO))/(_xlfn.XLOOKUP($AL$1,[1]CRITERIOS!$S$16:$S$39,[1]CRITERIOS!$Y$16:$Y$39))*$J431+$Z431)))</f>
        <v>#N/A</v>
      </c>
    </row>
    <row r="432" spans="1:37" ht="25.8" hidden="1" x14ac:dyDescent="0.4">
      <c r="A432" s="41"/>
      <c r="B432" s="33">
        <f>_xlfn.XLOOKUP($A432,'[1]DATOS PBI Artículos'!A:A,'[1]DATOS PBI Artículos'!B:B)</f>
        <v>0</v>
      </c>
      <c r="C432" s="33">
        <f>_xlfn.XLOOKUP($A432,'[1]DATOS PBI Artículos'!A:A,'[1]DATOS PBI Artículos'!C:C)</f>
        <v>0</v>
      </c>
      <c r="D432" s="33">
        <f>_xlfn.XLOOKUP(A432,'[1]DATOS PBI Artículos'!A:A,'[1]DATOS PBI Artículos'!T:T)</f>
        <v>0</v>
      </c>
      <c r="E432" s="34">
        <f>IF(_xlfn.XLOOKUP($A432,'[1]DATOS PBI Artículos'!A:A,'[1]DATOS PBI Artículos'!AK:AK)="",_xlfn.XLOOKUP($A432,'[1]DATOS PBI Artículos'!A:A,'[1]DATOS PBI Artículos'!AJ:AJ),_xlfn.XLOOKUP($A432,'[1]DATOS PBI Artículos'!A:A,'[1]DATOS PBI Artículos'!AK:AK))</f>
        <v>0</v>
      </c>
      <c r="F432" s="35">
        <f>_xlfn.XLOOKUP($A432,'[1]DATOS PBI Artículos'!A:A,'[1]DATOS PBI Artículos'!AP:AP)</f>
        <v>0</v>
      </c>
      <c r="G432" s="34">
        <f>_xlfn.XLOOKUP($A432,'[1]DATOS PBI Artículos'!A:A,'[1]DATOS PBI Artículos'!AR:AR)</f>
        <v>0</v>
      </c>
      <c r="H432" s="34">
        <f>_xlfn.XLOOKUP($A432,'[1]DATOS PBI Artículos'!A:A,'[1]DATOS PBI Artículos'!AT:AT)</f>
        <v>0</v>
      </c>
      <c r="I432" s="34">
        <f>_xlfn.XLOOKUP($A432,'[1]DATOS PBI Artículos'!A:A,'[1]DATOS PBI Artículos'!AS:AS)</f>
        <v>0</v>
      </c>
      <c r="J432" s="35">
        <f>IF(COUNTIF([1]CRITERIOS!$F$179:$F$199,$A432)&gt;=1,
 IF(O432&lt;&gt;"",
    (O432/_xlfn.XLOOKUP(CONCATENATE(A432,L432),[1]MÁQUINAS!A:A,[1]MÁQUINAS!D:D))/24,
    (N432/_xlfn.XLOOKUP(CONCATENATE(A432,L432),[1]MÁQUINAS!A:A,[1]MÁQUINAS!D:D))/24),
  _xlfn.XLOOKUP($A432,'[1]DATOS PBI Artículos'!A:A,'[1]DATOS PBI Artículos'!AU:AU))</f>
        <v>0</v>
      </c>
      <c r="K432" s="36">
        <f>_xlfn.XLOOKUP($A432,'[1]DATOS PBI Artículos'!A:A,'[1]DATOS PBI Artículos'!AV:AV)</f>
        <v>0</v>
      </c>
      <c r="L432" s="33">
        <f>_xlfn.XLOOKUP(A432,[1]MÁQUINAS!B:B,[1]MÁQUINAS!C:C)</f>
        <v>0</v>
      </c>
      <c r="M432" s="34">
        <f t="array" ref="M432">_xlfn.XLOOKUP(A432,'[1]DATOS PBI Artículos'!A:A,'[1]DATOS PBI Artículos'!AX:$AX)</f>
        <v>0</v>
      </c>
      <c r="N432" s="37" t="e">
        <f>IF(I432="DV",
E432,
IF(COUNTIF([1]CRITERIOS!$I$179:$I$199,$A432)&gt;=1,
_xlfn.XLOOKUP($A432,[1]CRITERIOS!$I$179:$I$199,[1]CRITERIOS!$J$179:$J$199),
IF(COUNTIF([1]CRITERIOS!$L$179:$L$199,$A432)&gt;=1,
_xlfn.CEILING.MATH(IF($M432&gt;$E432,
$E432,
IF($M432&lt;$E432/ROUNDDOWN([1]CRITERIOS!$M$16/_xlfn.XLOOKUP($C432,[1]CRITERIOS!$K$25:$K$42,[1]CRITERIOS!$M$25:$M$42),
1),
E432/ROUNDDOWN([1]CRITERIOS!$M$16/_xlfn.XLOOKUP($C432,[1]CRITERIOS!$K$25:$K$42,[1]CRITERIOS!$M$25:$M$42),
1),
$M432)),
_xlfn.XLOOKUP($A432,[1]CRITERIOS!$L$179:$L$200,[1]CRITERIOS!$M$179:$M$200)),
_xlfn.CEILING.MATH(IF($M432&gt;$E432,
$E432,
IF($M432&lt;$E432/ROUNDDOWN([1]CRITERIOS!$M$16/_xlfn.XLOOKUP($C432,[1]CRITERIOS!$K$25:$K$42,[1]CRITERIOS!$M$25:$M$42),
1),
E432/ROUNDDOWN([1]CRITERIOS!$M$16/_xlfn.XLOOKUP($C432,[1]CRITERIOS!$K$25:$K$42,[1]CRITERIOS!$M$25:$M$42),
1),
$M432)),_xlfn.XLOOKUP(A432,'[1]DATOS PBI Artículos'!A:A,'[1]DATOS PBI Artículos'!Z:Z
)))))</f>
        <v>#N/A</v>
      </c>
      <c r="Q432" s="38" t="e">
        <f>IF(AND(O432="",N432=0),
0,
   IF(COUNTIF([1]CRITERIOS!$F$179:$F$199,$A432)&gt;=1,
   1,
   IF(R432="MTO",
      $D432,
      ROUNDUP(
                    IF(($E432-SUMIF('[1]DATOS PBI Artículos'!A:A,A432,'[1]DATOS PBI Artículos'!X:X)+($V432-_xlfn.XLOOKUP(A432,'[1]DATOS PBI Artículos'!A:A,'[1]DATOS PBI Artículos'!W:W)))&lt;0,
                    0,
                    IF(($E432-SUMIF('[1]DATOS PBI Artículos'!A:A,A432,'[1]DATOS PBI Artículos'!X:X)+$V432-_xlfn.XLOOKUP($A432,'[1]DATOS PBI Artículos'!A:A,'[1]DATOS PBI Artículos'!W:W))/IF($O432="",$N432,$O432)&gt;ROUNDUP([1]CRITERIOS!$M$16/(IF(COUNTIF([1]CRITERIOS!$BG$11:$BG$201,L432)&gt;=1,_xlfn.XLOOKUP($C432,[1]CRITERIOS!$K$25:$K$42,[1]CRITERIOS!$M$25:$M$42),_xlfn.XLOOKUP($C432,[1]CRITERIOS!$K$25:$K$42,[1]CRITERIOS!$M$25:$M$42))),0),
                    ROUNDUP([1]CRITERIOS!$M$16/(IF(COUNTIF([1]CRITERIOS!$BG$11:$BG$201,$L432)&gt;=1,_xlfn.XLOOKUP($C432,[1]CRITERIOS!$K$25:$K$42,[1]CRITERIOS!$M$25:$M$42),_xlfn.XLOOKUP($C432,[1]CRITERIOS!$K$25:$K$42,[1]CRITERIOS!$M$25:$M$42))),0),
                    (E432+V432-SUMIF('[1]DATOS PBI Artículos'!A:A,A432,'[1]DATOS PBI Artículos'!X:X)-_xlfn.XLOOKUP(A432,'[1]DATOS PBI Artículos'!A:A,'[1]DATOS PBI Artículos'!W:W))/IF($O432="",$N432,$O432))),0))))</f>
        <v>#N/A</v>
      </c>
      <c r="R432" s="33" t="e">
        <f>IF(U432&lt;&gt;"",U432,IF(F432="DV","MTO",IF(N432=0,"MTO",_xlfn.XLOOKUP(CONCATENATE(S432,T432),[1]CRITERIOS!$K$160:$K$168,[1]CRITERIOS!$N$160:$N$168))))</f>
        <v>#N/A</v>
      </c>
      <c r="S432" s="33" t="e">
        <f>IF(G432="DV","MTO",IF(N432=0,"MTO",IF(OR(AND(N432=0,O432=""),IF(O432="",G432/N432,G432/O432)&gt;[1]CRITERIOS!$G$163),"MTO",IF(IF(O432="",G432/N432,G432/O432)&lt;[1]CRITERIOS!$H$161,"MTS","MTOS"))))</f>
        <v>#N/A</v>
      </c>
      <c r="T432" s="33" t="e">
        <f>IF(F432="DV","MTO",IF(OR(AND($N432=0,O432=""),$F432/$J432&gt;[1]CRITERIOS!$G$170,$F432="DV"),"MTO",IF($F432/$J432&lt;[1]CRITERIOS!$H$168,"MTS","MTOS")))</f>
        <v>#N/A</v>
      </c>
      <c r="V432" s="34" t="e">
        <f t="shared" si="22"/>
        <v>#N/A</v>
      </c>
      <c r="X432" s="34" t="e">
        <f t="shared" si="20"/>
        <v>#N/A</v>
      </c>
      <c r="Y432" s="34" t="e">
        <f t="shared" si="21"/>
        <v>#N/A</v>
      </c>
      <c r="Z432" s="34" t="e">
        <f>IF($R432="MTO",
0,
($H432+$K432*($E432/[1]CRITERIOS!$M$16))/[1]CRITERIOS!$X$48)</f>
        <v>#N/A</v>
      </c>
      <c r="AA432" s="34" t="e">
        <f>ROUNDUP(($Y432/_xlfn.XLOOKUP($A432,'[1]DATOS PBI Artículos'!$A$4:$A$4,'[1]DATOS PBI Artículos'!$Z$4:$Z$4))/_xlfn.XLOOKUP(_xlfn.XLOOKUP($A432,'[1]DATOS PBI Artículos'!$A$4:$A$4,'[1]DATOS PBI Artículos'!$Y$4:$Y$4),[1]CRITERIOS!$P$79:$P$123,[1]CRITERIOS!$S$79:$S$123,),0)</f>
        <v>#N/A</v>
      </c>
      <c r="AB432" s="33" t="e">
        <f t="array" ref="AB432">IF((E432+V432-_xlfn.XLOOKUP(A432,'[1]DATOS PBI Artículos'!$A$4:$A$4,'[1]DATOS PBI Artículos'!$W$4:$W$4))/N432&gt;ROUNDUP([1]CRITERIOS!$M$16/(IF(COUNTIF([1]CRITERIOS!$BG$11:$BG$201,L432)&gt;=1,_xlfn.XLOOKUP(ARTÍCULOS!L432,[1]CRITERIOS!$BG$11:$BG$201,[1]CRITERIOS!$BJ$11:$BJ$201),_xlfn.XLOOKUP(ARTÍCULOS!C432,[1]CRITERIOS!$K$25:$K$42,[1]CRITERIOS!$M$25:$M$42))),0),ROUNDUP([1]CRITERIOS!$M$16/(IF(COUNTIF([1]CRITERIOS!$BG$11:$BG$201,L432)&gt;=1,_xlfn.XLOOKUP(ARTÍCULOS!L432,[1]CRITERIOS!$BG$11:$BG$201:#REF!,[1]CRITERIOS!$BJ$11:$BJ$201),_xlfn.XLOOKUP(ARTÍCULOS!C432,[1]CRITERIOS!$K$25:$K$42,[1]CRITERIOS!$M$25:$M$42))),0),(E432+V432-_xlfn.XLOOKUP(A432,'[1]DATOS PBI Artículos'!$A$4:$A$4,'[1]DATOS PBI Artículos'!$W$4:$W$4))/N432)</f>
        <v>#N/A</v>
      </c>
      <c r="AC432" s="33" t="e">
        <f>IF(N432=0,"",(ROUNDUP((N432/2)/(_xlfn.XLOOKUP(A432,'[1]DATOS PBI Artículos'!$A$4:$A$4,'[1]DATOS PBI Artículos'!$Z$4:$Z$4)*_xlfn.XLOOKUP(_xlfn.XLOOKUP(A432,'[1]DATOS PBI Artículos'!$A$4:$A$4,'[1]DATOS PBI Artículos'!$Y$4:$Y$4),[1]CRITERIOS!$P$79:$P$123,[1]CRITERIOS!$S$79:$S$123)),0)*[1]CRITERIOS!$M$80*([1]CRITERIOS!$M$110/[1]CRITERIOS!$M$86)+(_xlfn.XLOOKUP(A432,'[1]DATOS PBI Artículos'!$A$4:$A$4,'[1]DATOS PBI Artículos'!$AA$4:$AA$4)*([1]CRITERIOS!$M$95+[1]CRITERIOS!$M$98)))/N432)</f>
        <v>#N/A</v>
      </c>
      <c r="AD432" s="33" t="e">
        <f>IF(N432=0,"",(ROUNDUP((N432/2)/(_xlfn.XLOOKUP(A432,'[1]DATOS PBI Artículos'!$A$4:$A$4,'[1]DATOS PBI Artículos'!$Z$4:$Z$4)*_xlfn.XLOOKUP(_xlfn.XLOOKUP(A432,'[1]DATOS PBI Artículos'!$A$4:$A$4,'[1]DATOS PBI Artículos'!$Y$4:$Y$4),[1]CRITERIOS!$P$79:$P$123,[1]CRITERIOS!$S$79:$S$123)),0)*[1]CRITERIOS!$M$80*([1]CRITERIOS!$M$89*[1]CRITERIOS!$M$92)+((_xlfn.XLOOKUP(A432,'[1]DATOS PBI Artículos'!$A$4:$A$4,'[1]DATOS PBI Artículos'!$AA$4:$AA$4)/2)*([1]CRITERIOS!$M$95+[1]CRITERIOS!$M$98)))/N432)</f>
        <v>#N/A</v>
      </c>
      <c r="AE432" s="39" t="e">
        <f>IF($R432="MTO","",
IF($H432=0,ROUNDUP(((_xlfn.XLOOKUP($A432,'[1]DATOS PBI Artículos'!$A:$A,'[1]DATOS PBI Artículos'!$AL:$AL))/(_xlfn.XLOOKUP($AF$1,[1]CRITERIOS!$S$16:$S$39,[1]CRITERIOS!$Y$16:$Y$39))*$J432+$Z432)/$G432,0)*$G432,
((_xlfn.XLOOKUP($A432,'[1]DATOS PBI Artículos'!$A:$A,'[1]DATOS PBI Artículos'!$AL:$AL))/(_xlfn.XLOOKUP($AF$1,[1]CRITERIOS!$S$16:$S$39,[1]CRITERIOS!$Y$16:$Y$39))*$J432+$Z432)))</f>
        <v>#N/A</v>
      </c>
      <c r="AG432" s="39" t="e">
        <f>IF($R432="MTO","",
IF($H432=0,ROUNDUP(((_xlfn.XLOOKUP($A432,'[1]DATOS PBI Artículos'!$A:$A,'[1]DATOS PBI Artículos'!$AM:$AM))/(_xlfn.XLOOKUP($AH$1,[1]CRITERIOS!$S$16:$S$39,[1]CRITERIOS!$Y$16:$Y$39))*$J432+$Z432)/$G432,0)*$G432,
((_xlfn.XLOOKUP($A432,'[1]DATOS PBI Artículos'!$A:$A,'[1]DATOS PBI Artículos'!$AM:$AM))/(_xlfn.XLOOKUP($AH$1,[1]CRITERIOS!$S$16:$S$39,[1]CRITERIOS!$Y$16:$Y$39))*$J432+$Z432)))</f>
        <v>#N/A</v>
      </c>
      <c r="AI432" s="39" t="e">
        <f>IF($R432="MTO","",
IF($H432=0,ROUNDUP(((_xlfn.XLOOKUP($A432,'[1]DATOS PBI Artículos'!$A:$A,'[1]DATOS PBI Artículos'!$AN:$AN))/(_xlfn.XLOOKUP($AJ$1,[1]CRITERIOS!$S$16:$S$39,[1]CRITERIOS!$Y$16:$Y$39))*$J432+$Z432)/$G432,0)*$G432,
((_xlfn.XLOOKUP($A432,'[1]DATOS PBI Artículos'!$A:$A,'[1]DATOS PBI Artículos'!$AN:$AN))/(_xlfn.XLOOKUP($AJ$1,[1]CRITERIOS!$S$16:$S$39,[1]CRITERIOS!$Y$16:$Y$39))*$J432+$Z432)))</f>
        <v>#N/A</v>
      </c>
      <c r="AK432" s="39" t="e">
        <f>IF($R432="MTO","",
IF($H432=0,ROUNDUP(((_xlfn.XLOOKUP($A432,'[1]DATOS PBI Artículos'!$A:$A,'[1]DATOS PBI Artículos'!$AO:$AO))/(_xlfn.XLOOKUP($AL$1,[1]CRITERIOS!$S$16:$S$39,[1]CRITERIOS!$Y$16:$Y$39))*$J432+$Z432)/$G432,0)*$G432,
((_xlfn.XLOOKUP($A432,'[1]DATOS PBI Artículos'!$A:$A,'[1]DATOS PBI Artículos'!$AO:$AO))/(_xlfn.XLOOKUP($AL$1,[1]CRITERIOS!$S$16:$S$39,[1]CRITERIOS!$Y$16:$Y$39))*$J432+$Z432)))</f>
        <v>#N/A</v>
      </c>
    </row>
    <row r="433" spans="1:37" ht="25.8" hidden="1" x14ac:dyDescent="0.4">
      <c r="A433" s="41"/>
      <c r="B433" s="33">
        <f>_xlfn.XLOOKUP($A433,'[1]DATOS PBI Artículos'!A:A,'[1]DATOS PBI Artículos'!B:B)</f>
        <v>0</v>
      </c>
      <c r="C433" s="33">
        <f>_xlfn.XLOOKUP($A433,'[1]DATOS PBI Artículos'!A:A,'[1]DATOS PBI Artículos'!C:C)</f>
        <v>0</v>
      </c>
      <c r="D433" s="33">
        <f>_xlfn.XLOOKUP(A433,'[1]DATOS PBI Artículos'!A:A,'[1]DATOS PBI Artículos'!T:T)</f>
        <v>0</v>
      </c>
      <c r="E433" s="34">
        <f>IF(_xlfn.XLOOKUP($A433,'[1]DATOS PBI Artículos'!A:A,'[1]DATOS PBI Artículos'!AK:AK)="",_xlfn.XLOOKUP($A433,'[1]DATOS PBI Artículos'!A:A,'[1]DATOS PBI Artículos'!AJ:AJ),_xlfn.XLOOKUP($A433,'[1]DATOS PBI Artículos'!A:A,'[1]DATOS PBI Artículos'!AK:AK))</f>
        <v>0</v>
      </c>
      <c r="F433" s="35">
        <f>_xlfn.XLOOKUP($A433,'[1]DATOS PBI Artículos'!A:A,'[1]DATOS PBI Artículos'!AP:AP)</f>
        <v>0</v>
      </c>
      <c r="G433" s="34">
        <f>_xlfn.XLOOKUP($A433,'[1]DATOS PBI Artículos'!A:A,'[1]DATOS PBI Artículos'!AR:AR)</f>
        <v>0</v>
      </c>
      <c r="H433" s="34">
        <f>_xlfn.XLOOKUP($A433,'[1]DATOS PBI Artículos'!A:A,'[1]DATOS PBI Artículos'!AT:AT)</f>
        <v>0</v>
      </c>
      <c r="I433" s="34">
        <f>_xlfn.XLOOKUP($A433,'[1]DATOS PBI Artículos'!A:A,'[1]DATOS PBI Artículos'!AS:AS)</f>
        <v>0</v>
      </c>
      <c r="J433" s="35">
        <f>IF(COUNTIF([1]CRITERIOS!$F$179:$F$199,$A433)&gt;=1,
 IF(O433&lt;&gt;"",
    (O433/_xlfn.XLOOKUP(CONCATENATE(A433,L433),[1]MÁQUINAS!A:A,[1]MÁQUINAS!D:D))/24,
    (N433/_xlfn.XLOOKUP(CONCATENATE(A433,L433),[1]MÁQUINAS!A:A,[1]MÁQUINAS!D:D))/24),
  _xlfn.XLOOKUP($A433,'[1]DATOS PBI Artículos'!A:A,'[1]DATOS PBI Artículos'!AU:AU))</f>
        <v>0</v>
      </c>
      <c r="K433" s="36">
        <f>_xlfn.XLOOKUP($A433,'[1]DATOS PBI Artículos'!A:A,'[1]DATOS PBI Artículos'!AV:AV)</f>
        <v>0</v>
      </c>
      <c r="L433" s="33">
        <f>_xlfn.XLOOKUP(A433,[1]MÁQUINAS!B:B,[1]MÁQUINAS!C:C)</f>
        <v>0</v>
      </c>
      <c r="M433" s="34">
        <f t="array" ref="M433">_xlfn.XLOOKUP(A433,'[1]DATOS PBI Artículos'!A:A,'[1]DATOS PBI Artículos'!AX:$AX)</f>
        <v>0</v>
      </c>
      <c r="N433" s="37" t="e">
        <f>IF(I433="DV",
E433,
IF(COUNTIF([1]CRITERIOS!$I$179:$I$199,$A433)&gt;=1,
_xlfn.XLOOKUP($A433,[1]CRITERIOS!$I$179:$I$199,[1]CRITERIOS!$J$179:$J$199),
IF(COUNTIF([1]CRITERIOS!$L$179:$L$199,$A433)&gt;=1,
_xlfn.CEILING.MATH(IF($M433&gt;$E433,
$E433,
IF($M433&lt;$E433/ROUNDDOWN([1]CRITERIOS!$M$16/_xlfn.XLOOKUP($C433,[1]CRITERIOS!$K$25:$K$42,[1]CRITERIOS!$M$25:$M$42),
1),
E433/ROUNDDOWN([1]CRITERIOS!$M$16/_xlfn.XLOOKUP($C433,[1]CRITERIOS!$K$25:$K$42,[1]CRITERIOS!$M$25:$M$42),
1),
$M433)),
_xlfn.XLOOKUP($A433,[1]CRITERIOS!$L$179:$L$200,[1]CRITERIOS!$M$179:$M$200)),
_xlfn.CEILING.MATH(IF($M433&gt;$E433,
$E433,
IF($M433&lt;$E433/ROUNDDOWN([1]CRITERIOS!$M$16/_xlfn.XLOOKUP($C433,[1]CRITERIOS!$K$25:$K$42,[1]CRITERIOS!$M$25:$M$42),
1),
E433/ROUNDDOWN([1]CRITERIOS!$M$16/_xlfn.XLOOKUP($C433,[1]CRITERIOS!$K$25:$K$42,[1]CRITERIOS!$M$25:$M$42),
1),
$M433)),_xlfn.XLOOKUP(A433,'[1]DATOS PBI Artículos'!A:A,'[1]DATOS PBI Artículos'!Z:Z
)))))</f>
        <v>#N/A</v>
      </c>
      <c r="Q433" s="38" t="e">
        <f>IF(AND(O433="",N433=0),
0,
   IF(COUNTIF([1]CRITERIOS!$F$179:$F$199,$A433)&gt;=1,
   1,
   IF(R433="MTO",
      $D433,
      ROUNDUP(
                    IF(($E433-SUMIF('[1]DATOS PBI Artículos'!A:A,A433,'[1]DATOS PBI Artículos'!X:X)+($V433-_xlfn.XLOOKUP(A433,'[1]DATOS PBI Artículos'!A:A,'[1]DATOS PBI Artículos'!W:W)))&lt;0,
                    0,
                    IF(($E433-SUMIF('[1]DATOS PBI Artículos'!A:A,A433,'[1]DATOS PBI Artículos'!X:X)+$V433-_xlfn.XLOOKUP($A433,'[1]DATOS PBI Artículos'!A:A,'[1]DATOS PBI Artículos'!W:W))/IF($O433="",$N433,$O433)&gt;ROUNDUP([1]CRITERIOS!$M$16/(IF(COUNTIF([1]CRITERIOS!$BG$11:$BG$201,L433)&gt;=1,_xlfn.XLOOKUP($C433,[1]CRITERIOS!$K$25:$K$42,[1]CRITERIOS!$M$25:$M$42),_xlfn.XLOOKUP($C433,[1]CRITERIOS!$K$25:$K$42,[1]CRITERIOS!$M$25:$M$42))),0),
                    ROUNDUP([1]CRITERIOS!$M$16/(IF(COUNTIF([1]CRITERIOS!$BG$11:$BG$201,$L433)&gt;=1,_xlfn.XLOOKUP($C433,[1]CRITERIOS!$K$25:$K$42,[1]CRITERIOS!$M$25:$M$42),_xlfn.XLOOKUP($C433,[1]CRITERIOS!$K$25:$K$42,[1]CRITERIOS!$M$25:$M$42))),0),
                    (E433+V433-SUMIF('[1]DATOS PBI Artículos'!A:A,A433,'[1]DATOS PBI Artículos'!X:X)-_xlfn.XLOOKUP(A433,'[1]DATOS PBI Artículos'!A:A,'[1]DATOS PBI Artículos'!W:W))/IF($O433="",$N433,$O433))),0))))</f>
        <v>#N/A</v>
      </c>
      <c r="R433" s="33" t="e">
        <f>IF(U433&lt;&gt;"",U433,IF(F433="DV","MTO",IF(N433=0,"MTO",_xlfn.XLOOKUP(CONCATENATE(S433,T433),[1]CRITERIOS!$K$160:$K$168,[1]CRITERIOS!$N$160:$N$168))))</f>
        <v>#N/A</v>
      </c>
      <c r="S433" s="33" t="e">
        <f>IF(G433="DV","MTO",IF(N433=0,"MTO",IF(OR(AND(N433=0,O433=""),IF(O433="",G433/N433,G433/O433)&gt;[1]CRITERIOS!$G$163),"MTO",IF(IF(O433="",G433/N433,G433/O433)&lt;[1]CRITERIOS!$H$161,"MTS","MTOS"))))</f>
        <v>#N/A</v>
      </c>
      <c r="T433" s="33" t="e">
        <f>IF(F433="DV","MTO",IF(OR(AND($N433=0,O433=""),$F433/$J433&gt;[1]CRITERIOS!$G$170,$F433="DV"),"MTO",IF($F433/$J433&lt;[1]CRITERIOS!$H$168,"MTS","MTOS")))</f>
        <v>#N/A</v>
      </c>
      <c r="V433" s="34" t="e">
        <f t="shared" si="22"/>
        <v>#N/A</v>
      </c>
      <c r="X433" s="34" t="e">
        <f t="shared" si="20"/>
        <v>#N/A</v>
      </c>
      <c r="Y433" s="34" t="e">
        <f t="shared" si="21"/>
        <v>#N/A</v>
      </c>
      <c r="Z433" s="34" t="e">
        <f>IF($R433="MTO",
0,
($H433+$K433*($E433/[1]CRITERIOS!$M$16))/[1]CRITERIOS!$X$48)</f>
        <v>#N/A</v>
      </c>
      <c r="AA433" s="34" t="e">
        <f>ROUNDUP(($Y433/_xlfn.XLOOKUP($A433,'[1]DATOS PBI Artículos'!$A$4:$A$4,'[1]DATOS PBI Artículos'!$Z$4:$Z$4))/_xlfn.XLOOKUP(_xlfn.XLOOKUP($A433,'[1]DATOS PBI Artículos'!$A$4:$A$4,'[1]DATOS PBI Artículos'!$Y$4:$Y$4),[1]CRITERIOS!$P$79:$P$123,[1]CRITERIOS!$S$79:$S$123,),0)</f>
        <v>#N/A</v>
      </c>
      <c r="AB433" s="33" t="e">
        <f t="array" ref="AB433">IF((E433+V433-_xlfn.XLOOKUP(A433,'[1]DATOS PBI Artículos'!$A$4:$A$4,'[1]DATOS PBI Artículos'!$W$4:$W$4))/N433&gt;ROUNDUP([1]CRITERIOS!$M$16/(IF(COUNTIF([1]CRITERIOS!$BG$11:$BG$201,L433)&gt;=1,_xlfn.XLOOKUP(ARTÍCULOS!L433,[1]CRITERIOS!$BG$11:$BG$201,[1]CRITERIOS!$BJ$11:$BJ$201),_xlfn.XLOOKUP(ARTÍCULOS!C433,[1]CRITERIOS!$K$25:$K$42,[1]CRITERIOS!$M$25:$M$42))),0),ROUNDUP([1]CRITERIOS!$M$16/(IF(COUNTIF([1]CRITERIOS!$BG$11:$BG$201,L433)&gt;=1,_xlfn.XLOOKUP(ARTÍCULOS!L433,[1]CRITERIOS!$BG$11:$BG$201:#REF!,[1]CRITERIOS!$BJ$11:$BJ$201),_xlfn.XLOOKUP(ARTÍCULOS!C433,[1]CRITERIOS!$K$25:$K$42,[1]CRITERIOS!$M$25:$M$42))),0),(E433+V433-_xlfn.XLOOKUP(A433,'[1]DATOS PBI Artículos'!$A$4:$A$4,'[1]DATOS PBI Artículos'!$W$4:$W$4))/N433)</f>
        <v>#N/A</v>
      </c>
      <c r="AC433" s="33" t="e">
        <f>IF(N433=0,"",(ROUNDUP((N433/2)/(_xlfn.XLOOKUP(A433,'[1]DATOS PBI Artículos'!$A$4:$A$4,'[1]DATOS PBI Artículos'!$Z$4:$Z$4)*_xlfn.XLOOKUP(_xlfn.XLOOKUP(A433,'[1]DATOS PBI Artículos'!$A$4:$A$4,'[1]DATOS PBI Artículos'!$Y$4:$Y$4),[1]CRITERIOS!$P$79:$P$123,[1]CRITERIOS!$S$79:$S$123)),0)*[1]CRITERIOS!$M$80*([1]CRITERIOS!$M$110/[1]CRITERIOS!$M$86)+(_xlfn.XLOOKUP(A433,'[1]DATOS PBI Artículos'!$A$4:$A$4,'[1]DATOS PBI Artículos'!$AA$4:$AA$4)*([1]CRITERIOS!$M$95+[1]CRITERIOS!$M$98)))/N433)</f>
        <v>#N/A</v>
      </c>
      <c r="AD433" s="33" t="e">
        <f>IF(N433=0,"",(ROUNDUP((N433/2)/(_xlfn.XLOOKUP(A433,'[1]DATOS PBI Artículos'!$A$4:$A$4,'[1]DATOS PBI Artículos'!$Z$4:$Z$4)*_xlfn.XLOOKUP(_xlfn.XLOOKUP(A433,'[1]DATOS PBI Artículos'!$A$4:$A$4,'[1]DATOS PBI Artículos'!$Y$4:$Y$4),[1]CRITERIOS!$P$79:$P$123,[1]CRITERIOS!$S$79:$S$123)),0)*[1]CRITERIOS!$M$80*([1]CRITERIOS!$M$89*[1]CRITERIOS!$M$92)+((_xlfn.XLOOKUP(A433,'[1]DATOS PBI Artículos'!$A$4:$A$4,'[1]DATOS PBI Artículos'!$AA$4:$AA$4)/2)*([1]CRITERIOS!$M$95+[1]CRITERIOS!$M$98)))/N433)</f>
        <v>#N/A</v>
      </c>
      <c r="AE433" s="39" t="e">
        <f>IF($R433="MTO","",
IF($H433=0,ROUNDUP(((_xlfn.XLOOKUP($A433,'[1]DATOS PBI Artículos'!$A:$A,'[1]DATOS PBI Artículos'!$AL:$AL))/(_xlfn.XLOOKUP($AF$1,[1]CRITERIOS!$S$16:$S$39,[1]CRITERIOS!$Y$16:$Y$39))*$J433+$Z433)/$G433,0)*$G433,
((_xlfn.XLOOKUP($A433,'[1]DATOS PBI Artículos'!$A:$A,'[1]DATOS PBI Artículos'!$AL:$AL))/(_xlfn.XLOOKUP($AF$1,[1]CRITERIOS!$S$16:$S$39,[1]CRITERIOS!$Y$16:$Y$39))*$J433+$Z433)))</f>
        <v>#N/A</v>
      </c>
      <c r="AG433" s="39" t="e">
        <f>IF($R433="MTO","",
IF($H433=0,ROUNDUP(((_xlfn.XLOOKUP($A433,'[1]DATOS PBI Artículos'!$A:$A,'[1]DATOS PBI Artículos'!$AM:$AM))/(_xlfn.XLOOKUP($AH$1,[1]CRITERIOS!$S$16:$S$39,[1]CRITERIOS!$Y$16:$Y$39))*$J433+$Z433)/$G433,0)*$G433,
((_xlfn.XLOOKUP($A433,'[1]DATOS PBI Artículos'!$A:$A,'[1]DATOS PBI Artículos'!$AM:$AM))/(_xlfn.XLOOKUP($AH$1,[1]CRITERIOS!$S$16:$S$39,[1]CRITERIOS!$Y$16:$Y$39))*$J433+$Z433)))</f>
        <v>#N/A</v>
      </c>
      <c r="AI433" s="39" t="e">
        <f>IF($R433="MTO","",
IF($H433=0,ROUNDUP(((_xlfn.XLOOKUP($A433,'[1]DATOS PBI Artículos'!$A:$A,'[1]DATOS PBI Artículos'!$AN:$AN))/(_xlfn.XLOOKUP($AJ$1,[1]CRITERIOS!$S$16:$S$39,[1]CRITERIOS!$Y$16:$Y$39))*$J433+$Z433)/$G433,0)*$G433,
((_xlfn.XLOOKUP($A433,'[1]DATOS PBI Artículos'!$A:$A,'[1]DATOS PBI Artículos'!$AN:$AN))/(_xlfn.XLOOKUP($AJ$1,[1]CRITERIOS!$S$16:$S$39,[1]CRITERIOS!$Y$16:$Y$39))*$J433+$Z433)))</f>
        <v>#N/A</v>
      </c>
      <c r="AK433" s="39" t="e">
        <f>IF($R433="MTO","",
IF($H433=0,ROUNDUP(((_xlfn.XLOOKUP($A433,'[1]DATOS PBI Artículos'!$A:$A,'[1]DATOS PBI Artículos'!$AO:$AO))/(_xlfn.XLOOKUP($AL$1,[1]CRITERIOS!$S$16:$S$39,[1]CRITERIOS!$Y$16:$Y$39))*$J433+$Z433)/$G433,0)*$G433,
((_xlfn.XLOOKUP($A433,'[1]DATOS PBI Artículos'!$A:$A,'[1]DATOS PBI Artículos'!$AO:$AO))/(_xlfn.XLOOKUP($AL$1,[1]CRITERIOS!$S$16:$S$39,[1]CRITERIOS!$Y$16:$Y$39))*$J433+$Z433)))</f>
        <v>#N/A</v>
      </c>
    </row>
    <row r="434" spans="1:37" ht="25.8" hidden="1" x14ac:dyDescent="0.4">
      <c r="A434" s="41"/>
      <c r="B434" s="33">
        <f>_xlfn.XLOOKUP($A434,'[1]DATOS PBI Artículos'!A:A,'[1]DATOS PBI Artículos'!B:B)</f>
        <v>0</v>
      </c>
      <c r="C434" s="33">
        <f>_xlfn.XLOOKUP($A434,'[1]DATOS PBI Artículos'!A:A,'[1]DATOS PBI Artículos'!C:C)</f>
        <v>0</v>
      </c>
      <c r="D434" s="33">
        <f>_xlfn.XLOOKUP(A434,'[1]DATOS PBI Artículos'!A:A,'[1]DATOS PBI Artículos'!T:T)</f>
        <v>0</v>
      </c>
      <c r="E434" s="34">
        <f>IF(_xlfn.XLOOKUP($A434,'[1]DATOS PBI Artículos'!A:A,'[1]DATOS PBI Artículos'!AK:AK)="",_xlfn.XLOOKUP($A434,'[1]DATOS PBI Artículos'!A:A,'[1]DATOS PBI Artículos'!AJ:AJ),_xlfn.XLOOKUP($A434,'[1]DATOS PBI Artículos'!A:A,'[1]DATOS PBI Artículos'!AK:AK))</f>
        <v>0</v>
      </c>
      <c r="F434" s="35">
        <f>_xlfn.XLOOKUP($A434,'[1]DATOS PBI Artículos'!A:A,'[1]DATOS PBI Artículos'!AP:AP)</f>
        <v>0</v>
      </c>
      <c r="G434" s="34">
        <f>_xlfn.XLOOKUP($A434,'[1]DATOS PBI Artículos'!A:A,'[1]DATOS PBI Artículos'!AR:AR)</f>
        <v>0</v>
      </c>
      <c r="H434" s="34">
        <f>_xlfn.XLOOKUP($A434,'[1]DATOS PBI Artículos'!A:A,'[1]DATOS PBI Artículos'!AT:AT)</f>
        <v>0</v>
      </c>
      <c r="I434" s="34">
        <f>_xlfn.XLOOKUP($A434,'[1]DATOS PBI Artículos'!A:A,'[1]DATOS PBI Artículos'!AS:AS)</f>
        <v>0</v>
      </c>
      <c r="J434" s="35">
        <f>IF(COUNTIF([1]CRITERIOS!$F$179:$F$199,$A434)&gt;=1,
 IF(O434&lt;&gt;"",
    (O434/_xlfn.XLOOKUP(CONCATENATE(A434,L434),[1]MÁQUINAS!A:A,[1]MÁQUINAS!D:D))/24,
    (N434/_xlfn.XLOOKUP(CONCATENATE(A434,L434),[1]MÁQUINAS!A:A,[1]MÁQUINAS!D:D))/24),
  _xlfn.XLOOKUP($A434,'[1]DATOS PBI Artículos'!A:A,'[1]DATOS PBI Artículos'!AU:AU))</f>
        <v>0</v>
      </c>
      <c r="K434" s="36">
        <f>_xlfn.XLOOKUP($A434,'[1]DATOS PBI Artículos'!A:A,'[1]DATOS PBI Artículos'!AV:AV)</f>
        <v>0</v>
      </c>
      <c r="L434" s="33">
        <f>_xlfn.XLOOKUP(A434,[1]MÁQUINAS!B:B,[1]MÁQUINAS!C:C)</f>
        <v>0</v>
      </c>
      <c r="M434" s="34">
        <f t="array" ref="M434">_xlfn.XLOOKUP(A434,'[1]DATOS PBI Artículos'!A:A,'[1]DATOS PBI Artículos'!AX:$AX)</f>
        <v>0</v>
      </c>
      <c r="N434" s="37" t="e">
        <f>IF(I434="DV",
E434,
IF(COUNTIF([1]CRITERIOS!$I$179:$I$199,$A434)&gt;=1,
_xlfn.XLOOKUP($A434,[1]CRITERIOS!$I$179:$I$199,[1]CRITERIOS!$J$179:$J$199),
IF(COUNTIF([1]CRITERIOS!$L$179:$L$199,$A434)&gt;=1,
_xlfn.CEILING.MATH(IF($M434&gt;$E434,
$E434,
IF($M434&lt;$E434/ROUNDDOWN([1]CRITERIOS!$M$16/_xlfn.XLOOKUP($C434,[1]CRITERIOS!$K$25:$K$42,[1]CRITERIOS!$M$25:$M$42),
1),
E434/ROUNDDOWN([1]CRITERIOS!$M$16/_xlfn.XLOOKUP($C434,[1]CRITERIOS!$K$25:$K$42,[1]CRITERIOS!$M$25:$M$42),
1),
$M434)),
_xlfn.XLOOKUP($A434,[1]CRITERIOS!$L$179:$L$200,[1]CRITERIOS!$M$179:$M$200)),
_xlfn.CEILING.MATH(IF($M434&gt;$E434,
$E434,
IF($M434&lt;$E434/ROUNDDOWN([1]CRITERIOS!$M$16/_xlfn.XLOOKUP($C434,[1]CRITERIOS!$K$25:$K$42,[1]CRITERIOS!$M$25:$M$42),
1),
E434/ROUNDDOWN([1]CRITERIOS!$M$16/_xlfn.XLOOKUP($C434,[1]CRITERIOS!$K$25:$K$42,[1]CRITERIOS!$M$25:$M$42),
1),
$M434)),_xlfn.XLOOKUP(A434,'[1]DATOS PBI Artículos'!A:A,'[1]DATOS PBI Artículos'!Z:Z
)))))</f>
        <v>#N/A</v>
      </c>
      <c r="Q434" s="38" t="e">
        <f>IF(AND(O434="",N434=0),
0,
   IF(COUNTIF([1]CRITERIOS!$F$179:$F$199,$A434)&gt;=1,
   1,
   IF(R434="MTO",
      $D434,
      ROUNDUP(
                    IF(($E434-SUMIF('[1]DATOS PBI Artículos'!A:A,A434,'[1]DATOS PBI Artículos'!X:X)+($V434-_xlfn.XLOOKUP(A434,'[1]DATOS PBI Artículos'!A:A,'[1]DATOS PBI Artículos'!W:W)))&lt;0,
                    0,
                    IF(($E434-SUMIF('[1]DATOS PBI Artículos'!A:A,A434,'[1]DATOS PBI Artículos'!X:X)+$V434-_xlfn.XLOOKUP($A434,'[1]DATOS PBI Artículos'!A:A,'[1]DATOS PBI Artículos'!W:W))/IF($O434="",$N434,$O434)&gt;ROUNDUP([1]CRITERIOS!$M$16/(IF(COUNTIF([1]CRITERIOS!$BG$11:$BG$201,L434)&gt;=1,_xlfn.XLOOKUP($C434,[1]CRITERIOS!$K$25:$K$42,[1]CRITERIOS!$M$25:$M$42),_xlfn.XLOOKUP($C434,[1]CRITERIOS!$K$25:$K$42,[1]CRITERIOS!$M$25:$M$42))),0),
                    ROUNDUP([1]CRITERIOS!$M$16/(IF(COUNTIF([1]CRITERIOS!$BG$11:$BG$201,$L434)&gt;=1,_xlfn.XLOOKUP($C434,[1]CRITERIOS!$K$25:$K$42,[1]CRITERIOS!$M$25:$M$42),_xlfn.XLOOKUP($C434,[1]CRITERIOS!$K$25:$K$42,[1]CRITERIOS!$M$25:$M$42))),0),
                    (E434+V434-SUMIF('[1]DATOS PBI Artículos'!A:A,A434,'[1]DATOS PBI Artículos'!X:X)-_xlfn.XLOOKUP(A434,'[1]DATOS PBI Artículos'!A:A,'[1]DATOS PBI Artículos'!W:W))/IF($O434="",$N434,$O434))),0))))</f>
        <v>#N/A</v>
      </c>
      <c r="R434" s="33" t="e">
        <f>IF(U434&lt;&gt;"",U434,IF(F434="DV","MTO",IF(N434=0,"MTO",_xlfn.XLOOKUP(CONCATENATE(S434,T434),[1]CRITERIOS!$K$160:$K$168,[1]CRITERIOS!$N$160:$N$168))))</f>
        <v>#N/A</v>
      </c>
      <c r="S434" s="33" t="e">
        <f>IF(G434="DV","MTO",IF(N434=0,"MTO",IF(OR(AND(N434=0,O434=""),IF(O434="",G434/N434,G434/O434)&gt;[1]CRITERIOS!$G$163),"MTO",IF(IF(O434="",G434/N434,G434/O434)&lt;[1]CRITERIOS!$H$161,"MTS","MTOS"))))</f>
        <v>#N/A</v>
      </c>
      <c r="T434" s="33" t="e">
        <f>IF(F434="DV","MTO",IF(OR(AND($N434=0,O434=""),$F434/$J434&gt;[1]CRITERIOS!$G$170,$F434="DV"),"MTO",IF($F434/$J434&lt;[1]CRITERIOS!$H$168,"MTS","MTOS")))</f>
        <v>#N/A</v>
      </c>
      <c r="V434" s="34" t="e">
        <f t="shared" si="22"/>
        <v>#N/A</v>
      </c>
      <c r="X434" s="34" t="e">
        <f t="shared" si="20"/>
        <v>#N/A</v>
      </c>
      <c r="Y434" s="34" t="e">
        <f t="shared" si="21"/>
        <v>#N/A</v>
      </c>
      <c r="Z434" s="34" t="e">
        <f>IF($R434="MTO",
0,
($H434+$K434*($E434/[1]CRITERIOS!$M$16))/[1]CRITERIOS!$X$48)</f>
        <v>#N/A</v>
      </c>
      <c r="AA434" s="34" t="e">
        <f>ROUNDUP(($Y434/_xlfn.XLOOKUP($A434,'[1]DATOS PBI Artículos'!$A$4:$A$4,'[1]DATOS PBI Artículos'!$Z$4:$Z$4))/_xlfn.XLOOKUP(_xlfn.XLOOKUP($A434,'[1]DATOS PBI Artículos'!$A$4:$A$4,'[1]DATOS PBI Artículos'!$Y$4:$Y$4),[1]CRITERIOS!$P$79:$P$123,[1]CRITERIOS!$S$79:$S$123,),0)</f>
        <v>#N/A</v>
      </c>
      <c r="AB434" s="33" t="e">
        <f t="array" ref="AB434">IF((E434+V434-_xlfn.XLOOKUP(A434,'[1]DATOS PBI Artículos'!$A$4:$A$4,'[1]DATOS PBI Artículos'!$W$4:$W$4))/N434&gt;ROUNDUP([1]CRITERIOS!$M$16/(IF(COUNTIF([1]CRITERIOS!$BG$11:$BG$201,L434)&gt;=1,_xlfn.XLOOKUP(ARTÍCULOS!L434,[1]CRITERIOS!$BG$11:$BG$201,[1]CRITERIOS!$BJ$11:$BJ$201),_xlfn.XLOOKUP(ARTÍCULOS!C434,[1]CRITERIOS!$K$25:$K$42,[1]CRITERIOS!$M$25:$M$42))),0),ROUNDUP([1]CRITERIOS!$M$16/(IF(COUNTIF([1]CRITERIOS!$BG$11:$BG$201,L434)&gt;=1,_xlfn.XLOOKUP(ARTÍCULOS!L434,[1]CRITERIOS!$BG$11:$BG$201:#REF!,[1]CRITERIOS!$BJ$11:$BJ$201),_xlfn.XLOOKUP(ARTÍCULOS!C434,[1]CRITERIOS!$K$25:$K$42,[1]CRITERIOS!$M$25:$M$42))),0),(E434+V434-_xlfn.XLOOKUP(A434,'[1]DATOS PBI Artículos'!$A$4:$A$4,'[1]DATOS PBI Artículos'!$W$4:$W$4))/N434)</f>
        <v>#N/A</v>
      </c>
      <c r="AC434" s="33" t="e">
        <f>IF(N434=0,"",(ROUNDUP((N434/2)/(_xlfn.XLOOKUP(A434,'[1]DATOS PBI Artículos'!$A$4:$A$4,'[1]DATOS PBI Artículos'!$Z$4:$Z$4)*_xlfn.XLOOKUP(_xlfn.XLOOKUP(A434,'[1]DATOS PBI Artículos'!$A$4:$A$4,'[1]DATOS PBI Artículos'!$Y$4:$Y$4),[1]CRITERIOS!$P$79:$P$123,[1]CRITERIOS!$S$79:$S$123)),0)*[1]CRITERIOS!$M$80*([1]CRITERIOS!$M$110/[1]CRITERIOS!$M$86)+(_xlfn.XLOOKUP(A434,'[1]DATOS PBI Artículos'!$A$4:$A$4,'[1]DATOS PBI Artículos'!$AA$4:$AA$4)*([1]CRITERIOS!$M$95+[1]CRITERIOS!$M$98)))/N434)</f>
        <v>#N/A</v>
      </c>
      <c r="AD434" s="33" t="e">
        <f>IF(N434=0,"",(ROUNDUP((N434/2)/(_xlfn.XLOOKUP(A434,'[1]DATOS PBI Artículos'!$A$4:$A$4,'[1]DATOS PBI Artículos'!$Z$4:$Z$4)*_xlfn.XLOOKUP(_xlfn.XLOOKUP(A434,'[1]DATOS PBI Artículos'!$A$4:$A$4,'[1]DATOS PBI Artículos'!$Y$4:$Y$4),[1]CRITERIOS!$P$79:$P$123,[1]CRITERIOS!$S$79:$S$123)),0)*[1]CRITERIOS!$M$80*([1]CRITERIOS!$M$89*[1]CRITERIOS!$M$92)+((_xlfn.XLOOKUP(A434,'[1]DATOS PBI Artículos'!$A$4:$A$4,'[1]DATOS PBI Artículos'!$AA$4:$AA$4)/2)*([1]CRITERIOS!$M$95+[1]CRITERIOS!$M$98)))/N434)</f>
        <v>#N/A</v>
      </c>
      <c r="AE434" s="39" t="e">
        <f>IF($R434="MTO","",
IF($H434=0,ROUNDUP(((_xlfn.XLOOKUP($A434,'[1]DATOS PBI Artículos'!$A:$A,'[1]DATOS PBI Artículos'!$AL:$AL))/(_xlfn.XLOOKUP($AF$1,[1]CRITERIOS!$S$16:$S$39,[1]CRITERIOS!$Y$16:$Y$39))*$J434+$Z434)/$G434,0)*$G434,
((_xlfn.XLOOKUP($A434,'[1]DATOS PBI Artículos'!$A:$A,'[1]DATOS PBI Artículos'!$AL:$AL))/(_xlfn.XLOOKUP($AF$1,[1]CRITERIOS!$S$16:$S$39,[1]CRITERIOS!$Y$16:$Y$39))*$J434+$Z434)))</f>
        <v>#N/A</v>
      </c>
      <c r="AG434" s="39" t="e">
        <f>IF($R434="MTO","",
IF($H434=0,ROUNDUP(((_xlfn.XLOOKUP($A434,'[1]DATOS PBI Artículos'!$A:$A,'[1]DATOS PBI Artículos'!$AM:$AM))/(_xlfn.XLOOKUP($AH$1,[1]CRITERIOS!$S$16:$S$39,[1]CRITERIOS!$Y$16:$Y$39))*$J434+$Z434)/$G434,0)*$G434,
((_xlfn.XLOOKUP($A434,'[1]DATOS PBI Artículos'!$A:$A,'[1]DATOS PBI Artículos'!$AM:$AM))/(_xlfn.XLOOKUP($AH$1,[1]CRITERIOS!$S$16:$S$39,[1]CRITERIOS!$Y$16:$Y$39))*$J434+$Z434)))</f>
        <v>#N/A</v>
      </c>
      <c r="AI434" s="39" t="e">
        <f>IF($R434="MTO","",
IF($H434=0,ROUNDUP(((_xlfn.XLOOKUP($A434,'[1]DATOS PBI Artículos'!$A:$A,'[1]DATOS PBI Artículos'!$AN:$AN))/(_xlfn.XLOOKUP($AJ$1,[1]CRITERIOS!$S$16:$S$39,[1]CRITERIOS!$Y$16:$Y$39))*$J434+$Z434)/$G434,0)*$G434,
((_xlfn.XLOOKUP($A434,'[1]DATOS PBI Artículos'!$A:$A,'[1]DATOS PBI Artículos'!$AN:$AN))/(_xlfn.XLOOKUP($AJ$1,[1]CRITERIOS!$S$16:$S$39,[1]CRITERIOS!$Y$16:$Y$39))*$J434+$Z434)))</f>
        <v>#N/A</v>
      </c>
      <c r="AK434" s="39" t="e">
        <f>IF($R434="MTO","",
IF($H434=0,ROUNDUP(((_xlfn.XLOOKUP($A434,'[1]DATOS PBI Artículos'!$A:$A,'[1]DATOS PBI Artículos'!$AO:$AO))/(_xlfn.XLOOKUP($AL$1,[1]CRITERIOS!$S$16:$S$39,[1]CRITERIOS!$Y$16:$Y$39))*$J434+$Z434)/$G434,0)*$G434,
((_xlfn.XLOOKUP($A434,'[1]DATOS PBI Artículos'!$A:$A,'[1]DATOS PBI Artículos'!$AO:$AO))/(_xlfn.XLOOKUP($AL$1,[1]CRITERIOS!$S$16:$S$39,[1]CRITERIOS!$Y$16:$Y$39))*$J434+$Z434)))</f>
        <v>#N/A</v>
      </c>
    </row>
    <row r="435" spans="1:37" ht="25.8" hidden="1" x14ac:dyDescent="0.4">
      <c r="A435" s="41"/>
      <c r="B435" s="33">
        <f>_xlfn.XLOOKUP($A435,'[1]DATOS PBI Artículos'!A:A,'[1]DATOS PBI Artículos'!B:B)</f>
        <v>0</v>
      </c>
      <c r="C435" s="33">
        <f>_xlfn.XLOOKUP($A435,'[1]DATOS PBI Artículos'!A:A,'[1]DATOS PBI Artículos'!C:C)</f>
        <v>0</v>
      </c>
      <c r="D435" s="33">
        <f>_xlfn.XLOOKUP(A435,'[1]DATOS PBI Artículos'!A:A,'[1]DATOS PBI Artículos'!T:T)</f>
        <v>0</v>
      </c>
      <c r="E435" s="34">
        <f>IF(_xlfn.XLOOKUP($A435,'[1]DATOS PBI Artículos'!A:A,'[1]DATOS PBI Artículos'!AK:AK)="",_xlfn.XLOOKUP($A435,'[1]DATOS PBI Artículos'!A:A,'[1]DATOS PBI Artículos'!AJ:AJ),_xlfn.XLOOKUP($A435,'[1]DATOS PBI Artículos'!A:A,'[1]DATOS PBI Artículos'!AK:AK))</f>
        <v>0</v>
      </c>
      <c r="F435" s="35">
        <f>_xlfn.XLOOKUP($A435,'[1]DATOS PBI Artículos'!A:A,'[1]DATOS PBI Artículos'!AP:AP)</f>
        <v>0</v>
      </c>
      <c r="G435" s="34">
        <f>_xlfn.XLOOKUP($A435,'[1]DATOS PBI Artículos'!A:A,'[1]DATOS PBI Artículos'!AR:AR)</f>
        <v>0</v>
      </c>
      <c r="H435" s="34">
        <f>_xlfn.XLOOKUP($A435,'[1]DATOS PBI Artículos'!A:A,'[1]DATOS PBI Artículos'!AT:AT)</f>
        <v>0</v>
      </c>
      <c r="I435" s="34">
        <f>_xlfn.XLOOKUP($A435,'[1]DATOS PBI Artículos'!A:A,'[1]DATOS PBI Artículos'!AS:AS)</f>
        <v>0</v>
      </c>
      <c r="J435" s="35">
        <f>IF(COUNTIF([1]CRITERIOS!$F$179:$F$199,$A435)&gt;=1,
 IF(O435&lt;&gt;"",
    (O435/_xlfn.XLOOKUP(CONCATENATE(A435,L435),[1]MÁQUINAS!A:A,[1]MÁQUINAS!D:D))/24,
    (N435/_xlfn.XLOOKUP(CONCATENATE(A435,L435),[1]MÁQUINAS!A:A,[1]MÁQUINAS!D:D))/24),
  _xlfn.XLOOKUP($A435,'[1]DATOS PBI Artículos'!A:A,'[1]DATOS PBI Artículos'!AU:AU))</f>
        <v>0</v>
      </c>
      <c r="K435" s="36">
        <f>_xlfn.XLOOKUP($A435,'[1]DATOS PBI Artículos'!A:A,'[1]DATOS PBI Artículos'!AV:AV)</f>
        <v>0</v>
      </c>
      <c r="L435" s="33">
        <f>_xlfn.XLOOKUP(A435,[1]MÁQUINAS!B:B,[1]MÁQUINAS!C:C)</f>
        <v>0</v>
      </c>
      <c r="M435" s="34">
        <f t="array" ref="M435">_xlfn.XLOOKUP(A435,'[1]DATOS PBI Artículos'!A:A,'[1]DATOS PBI Artículos'!AX:$AX)</f>
        <v>0</v>
      </c>
      <c r="N435" s="37" t="e">
        <f>IF(I435="DV",
E435,
IF(COUNTIF([1]CRITERIOS!$I$179:$I$199,$A435)&gt;=1,
_xlfn.XLOOKUP($A435,[1]CRITERIOS!$I$179:$I$199,[1]CRITERIOS!$J$179:$J$199),
IF(COUNTIF([1]CRITERIOS!$L$179:$L$199,$A435)&gt;=1,
_xlfn.CEILING.MATH(IF($M435&gt;$E435,
$E435,
IF($M435&lt;$E435/ROUNDDOWN([1]CRITERIOS!$M$16/_xlfn.XLOOKUP($C435,[1]CRITERIOS!$K$25:$K$42,[1]CRITERIOS!$M$25:$M$42),
1),
E435/ROUNDDOWN([1]CRITERIOS!$M$16/_xlfn.XLOOKUP($C435,[1]CRITERIOS!$K$25:$K$42,[1]CRITERIOS!$M$25:$M$42),
1),
$M435)),
_xlfn.XLOOKUP($A435,[1]CRITERIOS!$L$179:$L$200,[1]CRITERIOS!$M$179:$M$200)),
_xlfn.CEILING.MATH(IF($M435&gt;$E435,
$E435,
IF($M435&lt;$E435/ROUNDDOWN([1]CRITERIOS!$M$16/_xlfn.XLOOKUP($C435,[1]CRITERIOS!$K$25:$K$42,[1]CRITERIOS!$M$25:$M$42),
1),
E435/ROUNDDOWN([1]CRITERIOS!$M$16/_xlfn.XLOOKUP($C435,[1]CRITERIOS!$K$25:$K$42,[1]CRITERIOS!$M$25:$M$42),
1),
$M435)),_xlfn.XLOOKUP(A435,'[1]DATOS PBI Artículos'!A:A,'[1]DATOS PBI Artículos'!Z:Z
)))))</f>
        <v>#N/A</v>
      </c>
      <c r="Q435" s="38" t="e">
        <f>IF(AND(O435="",N435=0),
0,
   IF(COUNTIF([1]CRITERIOS!$F$179:$F$199,$A435)&gt;=1,
   1,
   IF(R435="MTO",
      $D435,
      ROUNDUP(
                    IF(($E435-SUMIF('[1]DATOS PBI Artículos'!A:A,A435,'[1]DATOS PBI Artículos'!X:X)+($V435-_xlfn.XLOOKUP(A435,'[1]DATOS PBI Artículos'!A:A,'[1]DATOS PBI Artículos'!W:W)))&lt;0,
                    0,
                    IF(($E435-SUMIF('[1]DATOS PBI Artículos'!A:A,A435,'[1]DATOS PBI Artículos'!X:X)+$V435-_xlfn.XLOOKUP($A435,'[1]DATOS PBI Artículos'!A:A,'[1]DATOS PBI Artículos'!W:W))/IF($O435="",$N435,$O435)&gt;ROUNDUP([1]CRITERIOS!$M$16/(IF(COUNTIF([1]CRITERIOS!$BG$11:$BG$201,L435)&gt;=1,_xlfn.XLOOKUP($C435,[1]CRITERIOS!$K$25:$K$42,[1]CRITERIOS!$M$25:$M$42),_xlfn.XLOOKUP($C435,[1]CRITERIOS!$K$25:$K$42,[1]CRITERIOS!$M$25:$M$42))),0),
                    ROUNDUP([1]CRITERIOS!$M$16/(IF(COUNTIF([1]CRITERIOS!$BG$11:$BG$201,$L435)&gt;=1,_xlfn.XLOOKUP($C435,[1]CRITERIOS!$K$25:$K$42,[1]CRITERIOS!$M$25:$M$42),_xlfn.XLOOKUP($C435,[1]CRITERIOS!$K$25:$K$42,[1]CRITERIOS!$M$25:$M$42))),0),
                    (E435+V435-SUMIF('[1]DATOS PBI Artículos'!A:A,A435,'[1]DATOS PBI Artículos'!X:X)-_xlfn.XLOOKUP(A435,'[1]DATOS PBI Artículos'!A:A,'[1]DATOS PBI Artículos'!W:W))/IF($O435="",$N435,$O435))),0))))</f>
        <v>#N/A</v>
      </c>
      <c r="R435" s="33" t="e">
        <f>IF(U435&lt;&gt;"",U435,IF(F435="DV","MTO",IF(N435=0,"MTO",_xlfn.XLOOKUP(CONCATENATE(S435,T435),[1]CRITERIOS!$K$160:$K$168,[1]CRITERIOS!$N$160:$N$168))))</f>
        <v>#N/A</v>
      </c>
      <c r="S435" s="33" t="e">
        <f>IF(G435="DV","MTO",IF(N435=0,"MTO",IF(OR(AND(N435=0,O435=""),IF(O435="",G435/N435,G435/O435)&gt;[1]CRITERIOS!$G$163),"MTO",IF(IF(O435="",G435/N435,G435/O435)&lt;[1]CRITERIOS!$H$161,"MTS","MTOS"))))</f>
        <v>#N/A</v>
      </c>
      <c r="T435" s="33" t="e">
        <f>IF(F435="DV","MTO",IF(OR(AND($N435=0,O435=""),$F435/$J435&gt;[1]CRITERIOS!$G$170,$F435="DV"),"MTO",IF($F435/$J435&lt;[1]CRITERIOS!$H$168,"MTS","MTOS")))</f>
        <v>#N/A</v>
      </c>
      <c r="V435" s="34" t="e">
        <f t="shared" si="22"/>
        <v>#N/A</v>
      </c>
      <c r="X435" s="34" t="e">
        <f t="shared" si="20"/>
        <v>#N/A</v>
      </c>
      <c r="Y435" s="34" t="e">
        <f t="shared" si="21"/>
        <v>#N/A</v>
      </c>
      <c r="Z435" s="34" t="e">
        <f>IF($R435="MTO",
0,
($H435+$K435*($E435/[1]CRITERIOS!$M$16))/[1]CRITERIOS!$X$48)</f>
        <v>#N/A</v>
      </c>
      <c r="AA435" s="34" t="e">
        <f>ROUNDUP(($Y435/_xlfn.XLOOKUP($A435,'[1]DATOS PBI Artículos'!$A$4:$A$4,'[1]DATOS PBI Artículos'!$Z$4:$Z$4))/_xlfn.XLOOKUP(_xlfn.XLOOKUP($A435,'[1]DATOS PBI Artículos'!$A$4:$A$4,'[1]DATOS PBI Artículos'!$Y$4:$Y$4),[1]CRITERIOS!$P$79:$P$123,[1]CRITERIOS!$S$79:$S$123,),0)</f>
        <v>#N/A</v>
      </c>
      <c r="AB435" s="33" t="e">
        <f t="array" ref="AB435">IF((E435+V435-_xlfn.XLOOKUP(A435,'[1]DATOS PBI Artículos'!$A$4:$A$4,'[1]DATOS PBI Artículos'!$W$4:$W$4))/N435&gt;ROUNDUP([1]CRITERIOS!$M$16/(IF(COUNTIF([1]CRITERIOS!$BG$11:$BG$201,L435)&gt;=1,_xlfn.XLOOKUP(ARTÍCULOS!L435,[1]CRITERIOS!$BG$11:$BG$201,[1]CRITERIOS!$BJ$11:$BJ$201),_xlfn.XLOOKUP(ARTÍCULOS!C435,[1]CRITERIOS!$K$25:$K$42,[1]CRITERIOS!$M$25:$M$42))),0),ROUNDUP([1]CRITERIOS!$M$16/(IF(COUNTIF([1]CRITERIOS!$BG$11:$BG$201,L435)&gt;=1,_xlfn.XLOOKUP(ARTÍCULOS!L435,[1]CRITERIOS!$BG$11:$BG$201:#REF!,[1]CRITERIOS!$BJ$11:$BJ$201),_xlfn.XLOOKUP(ARTÍCULOS!C435,[1]CRITERIOS!$K$25:$K$42,[1]CRITERIOS!$M$25:$M$42))),0),(E435+V435-_xlfn.XLOOKUP(A435,'[1]DATOS PBI Artículos'!$A$4:$A$4,'[1]DATOS PBI Artículos'!$W$4:$W$4))/N435)</f>
        <v>#N/A</v>
      </c>
      <c r="AC435" s="33" t="e">
        <f>IF(N435=0,"",(ROUNDUP((N435/2)/(_xlfn.XLOOKUP(A435,'[1]DATOS PBI Artículos'!$A$4:$A$4,'[1]DATOS PBI Artículos'!$Z$4:$Z$4)*_xlfn.XLOOKUP(_xlfn.XLOOKUP(A435,'[1]DATOS PBI Artículos'!$A$4:$A$4,'[1]DATOS PBI Artículos'!$Y$4:$Y$4),[1]CRITERIOS!$P$79:$P$123,[1]CRITERIOS!$S$79:$S$123)),0)*[1]CRITERIOS!$M$80*([1]CRITERIOS!$M$110/[1]CRITERIOS!$M$86)+(_xlfn.XLOOKUP(A435,'[1]DATOS PBI Artículos'!$A$4:$A$4,'[1]DATOS PBI Artículos'!$AA$4:$AA$4)*([1]CRITERIOS!$M$95+[1]CRITERIOS!$M$98)))/N435)</f>
        <v>#N/A</v>
      </c>
      <c r="AD435" s="33" t="e">
        <f>IF(N435=0,"",(ROUNDUP((N435/2)/(_xlfn.XLOOKUP(A435,'[1]DATOS PBI Artículos'!$A$4:$A$4,'[1]DATOS PBI Artículos'!$Z$4:$Z$4)*_xlfn.XLOOKUP(_xlfn.XLOOKUP(A435,'[1]DATOS PBI Artículos'!$A$4:$A$4,'[1]DATOS PBI Artículos'!$Y$4:$Y$4),[1]CRITERIOS!$P$79:$P$123,[1]CRITERIOS!$S$79:$S$123)),0)*[1]CRITERIOS!$M$80*([1]CRITERIOS!$M$89*[1]CRITERIOS!$M$92)+((_xlfn.XLOOKUP(A435,'[1]DATOS PBI Artículos'!$A$4:$A$4,'[1]DATOS PBI Artículos'!$AA$4:$AA$4)/2)*([1]CRITERIOS!$M$95+[1]CRITERIOS!$M$98)))/N435)</f>
        <v>#N/A</v>
      </c>
      <c r="AE435" s="39" t="e">
        <f>IF($R435="MTO","",
IF($H435=0,ROUNDUP(((_xlfn.XLOOKUP($A435,'[1]DATOS PBI Artículos'!$A:$A,'[1]DATOS PBI Artículos'!$AL:$AL))/(_xlfn.XLOOKUP($AF$1,[1]CRITERIOS!$S$16:$S$39,[1]CRITERIOS!$Y$16:$Y$39))*$J435+$Z435)/$G435,0)*$G435,
((_xlfn.XLOOKUP($A435,'[1]DATOS PBI Artículos'!$A:$A,'[1]DATOS PBI Artículos'!$AL:$AL))/(_xlfn.XLOOKUP($AF$1,[1]CRITERIOS!$S$16:$S$39,[1]CRITERIOS!$Y$16:$Y$39))*$J435+$Z435)))</f>
        <v>#N/A</v>
      </c>
      <c r="AG435" s="39" t="e">
        <f>IF($R435="MTO","",
IF($H435=0,ROUNDUP(((_xlfn.XLOOKUP($A435,'[1]DATOS PBI Artículos'!$A:$A,'[1]DATOS PBI Artículos'!$AM:$AM))/(_xlfn.XLOOKUP($AH$1,[1]CRITERIOS!$S$16:$S$39,[1]CRITERIOS!$Y$16:$Y$39))*$J435+$Z435)/$G435,0)*$G435,
((_xlfn.XLOOKUP($A435,'[1]DATOS PBI Artículos'!$A:$A,'[1]DATOS PBI Artículos'!$AM:$AM))/(_xlfn.XLOOKUP($AH$1,[1]CRITERIOS!$S$16:$S$39,[1]CRITERIOS!$Y$16:$Y$39))*$J435+$Z435)))</f>
        <v>#N/A</v>
      </c>
      <c r="AI435" s="39" t="e">
        <f>IF($R435="MTO","",
IF($H435=0,ROUNDUP(((_xlfn.XLOOKUP($A435,'[1]DATOS PBI Artículos'!$A:$A,'[1]DATOS PBI Artículos'!$AN:$AN))/(_xlfn.XLOOKUP($AJ$1,[1]CRITERIOS!$S$16:$S$39,[1]CRITERIOS!$Y$16:$Y$39))*$J435+$Z435)/$G435,0)*$G435,
((_xlfn.XLOOKUP($A435,'[1]DATOS PBI Artículos'!$A:$A,'[1]DATOS PBI Artículos'!$AN:$AN))/(_xlfn.XLOOKUP($AJ$1,[1]CRITERIOS!$S$16:$S$39,[1]CRITERIOS!$Y$16:$Y$39))*$J435+$Z435)))</f>
        <v>#N/A</v>
      </c>
      <c r="AK435" s="39" t="e">
        <f>IF($R435="MTO","",
IF($H435=0,ROUNDUP(((_xlfn.XLOOKUP($A435,'[1]DATOS PBI Artículos'!$A:$A,'[1]DATOS PBI Artículos'!$AO:$AO))/(_xlfn.XLOOKUP($AL$1,[1]CRITERIOS!$S$16:$S$39,[1]CRITERIOS!$Y$16:$Y$39))*$J435+$Z435)/$G435,0)*$G435,
((_xlfn.XLOOKUP($A435,'[1]DATOS PBI Artículos'!$A:$A,'[1]DATOS PBI Artículos'!$AO:$AO))/(_xlfn.XLOOKUP($AL$1,[1]CRITERIOS!$S$16:$S$39,[1]CRITERIOS!$Y$16:$Y$39))*$J435+$Z435)))</f>
        <v>#N/A</v>
      </c>
    </row>
    <row r="436" spans="1:37" ht="25.8" hidden="1" x14ac:dyDescent="0.4">
      <c r="A436" s="41"/>
      <c r="B436" s="33">
        <f>_xlfn.XLOOKUP($A436,'[1]DATOS PBI Artículos'!A:A,'[1]DATOS PBI Artículos'!B:B)</f>
        <v>0</v>
      </c>
      <c r="C436" s="33">
        <f>_xlfn.XLOOKUP($A436,'[1]DATOS PBI Artículos'!A:A,'[1]DATOS PBI Artículos'!C:C)</f>
        <v>0</v>
      </c>
      <c r="D436" s="33">
        <f>_xlfn.XLOOKUP(A436,'[1]DATOS PBI Artículos'!A:A,'[1]DATOS PBI Artículos'!T:T)</f>
        <v>0</v>
      </c>
      <c r="E436" s="34">
        <f>IF(_xlfn.XLOOKUP($A436,'[1]DATOS PBI Artículos'!A:A,'[1]DATOS PBI Artículos'!AK:AK)="",_xlfn.XLOOKUP($A436,'[1]DATOS PBI Artículos'!A:A,'[1]DATOS PBI Artículos'!AJ:AJ),_xlfn.XLOOKUP($A436,'[1]DATOS PBI Artículos'!A:A,'[1]DATOS PBI Artículos'!AK:AK))</f>
        <v>0</v>
      </c>
      <c r="F436" s="35">
        <f>_xlfn.XLOOKUP($A436,'[1]DATOS PBI Artículos'!A:A,'[1]DATOS PBI Artículos'!AP:AP)</f>
        <v>0</v>
      </c>
      <c r="G436" s="34">
        <f>_xlfn.XLOOKUP($A436,'[1]DATOS PBI Artículos'!A:A,'[1]DATOS PBI Artículos'!AR:AR)</f>
        <v>0</v>
      </c>
      <c r="H436" s="34">
        <f>_xlfn.XLOOKUP($A436,'[1]DATOS PBI Artículos'!A:A,'[1]DATOS PBI Artículos'!AT:AT)</f>
        <v>0</v>
      </c>
      <c r="I436" s="34">
        <f>_xlfn.XLOOKUP($A436,'[1]DATOS PBI Artículos'!A:A,'[1]DATOS PBI Artículos'!AS:AS)</f>
        <v>0</v>
      </c>
      <c r="J436" s="35">
        <f>IF(COUNTIF([1]CRITERIOS!$F$179:$F$199,$A436)&gt;=1,
 IF(O436&lt;&gt;"",
    (O436/_xlfn.XLOOKUP(CONCATENATE(A436,L436),[1]MÁQUINAS!A:A,[1]MÁQUINAS!D:D))/24,
    (N436/_xlfn.XLOOKUP(CONCATENATE(A436,L436),[1]MÁQUINAS!A:A,[1]MÁQUINAS!D:D))/24),
  _xlfn.XLOOKUP($A436,'[1]DATOS PBI Artículos'!A:A,'[1]DATOS PBI Artículos'!AU:AU))</f>
        <v>0</v>
      </c>
      <c r="K436" s="36">
        <f>_xlfn.XLOOKUP($A436,'[1]DATOS PBI Artículos'!A:A,'[1]DATOS PBI Artículos'!AV:AV)</f>
        <v>0</v>
      </c>
      <c r="L436" s="33">
        <f>_xlfn.XLOOKUP(A436,[1]MÁQUINAS!B:B,[1]MÁQUINAS!C:C)</f>
        <v>0</v>
      </c>
      <c r="M436" s="34">
        <f t="array" ref="M436">_xlfn.XLOOKUP(A436,'[1]DATOS PBI Artículos'!A:A,'[1]DATOS PBI Artículos'!AX:$AX)</f>
        <v>0</v>
      </c>
      <c r="N436" s="37" t="e">
        <f>IF(I436="DV",
E436,
IF(COUNTIF([1]CRITERIOS!$I$179:$I$199,$A436)&gt;=1,
_xlfn.XLOOKUP($A436,[1]CRITERIOS!$I$179:$I$199,[1]CRITERIOS!$J$179:$J$199),
IF(COUNTIF([1]CRITERIOS!$L$179:$L$199,$A436)&gt;=1,
_xlfn.CEILING.MATH(IF($M436&gt;$E436,
$E436,
IF($M436&lt;$E436/ROUNDDOWN([1]CRITERIOS!$M$16/_xlfn.XLOOKUP($C436,[1]CRITERIOS!$K$25:$K$42,[1]CRITERIOS!$M$25:$M$42),
1),
E436/ROUNDDOWN([1]CRITERIOS!$M$16/_xlfn.XLOOKUP($C436,[1]CRITERIOS!$K$25:$K$42,[1]CRITERIOS!$M$25:$M$42),
1),
$M436)),
_xlfn.XLOOKUP($A436,[1]CRITERIOS!$L$179:$L$200,[1]CRITERIOS!$M$179:$M$200)),
_xlfn.CEILING.MATH(IF($M436&gt;$E436,
$E436,
IF($M436&lt;$E436/ROUNDDOWN([1]CRITERIOS!$M$16/_xlfn.XLOOKUP($C436,[1]CRITERIOS!$K$25:$K$42,[1]CRITERIOS!$M$25:$M$42),
1),
E436/ROUNDDOWN([1]CRITERIOS!$M$16/_xlfn.XLOOKUP($C436,[1]CRITERIOS!$K$25:$K$42,[1]CRITERIOS!$M$25:$M$42),
1),
$M436)),_xlfn.XLOOKUP(A436,'[1]DATOS PBI Artículos'!A:A,'[1]DATOS PBI Artículos'!Z:Z
)))))</f>
        <v>#N/A</v>
      </c>
      <c r="Q436" s="38" t="e">
        <f>IF(AND(O436="",N436=0),
0,
   IF(COUNTIF([1]CRITERIOS!$F$179:$F$199,$A436)&gt;=1,
   1,
   IF(R436="MTO",
      $D436,
      ROUNDUP(
                    IF(($E436-SUMIF('[1]DATOS PBI Artículos'!A:A,A436,'[1]DATOS PBI Artículos'!X:X)+($V436-_xlfn.XLOOKUP(A436,'[1]DATOS PBI Artículos'!A:A,'[1]DATOS PBI Artículos'!W:W)))&lt;0,
                    0,
                    IF(($E436-SUMIF('[1]DATOS PBI Artículos'!A:A,A436,'[1]DATOS PBI Artículos'!X:X)+$V436-_xlfn.XLOOKUP($A436,'[1]DATOS PBI Artículos'!A:A,'[1]DATOS PBI Artículos'!W:W))/IF($O436="",$N436,$O436)&gt;ROUNDUP([1]CRITERIOS!$M$16/(IF(COUNTIF([1]CRITERIOS!$BG$11:$BG$201,L436)&gt;=1,_xlfn.XLOOKUP($C436,[1]CRITERIOS!$K$25:$K$42,[1]CRITERIOS!$M$25:$M$42),_xlfn.XLOOKUP($C436,[1]CRITERIOS!$K$25:$K$42,[1]CRITERIOS!$M$25:$M$42))),0),
                    ROUNDUP([1]CRITERIOS!$M$16/(IF(COUNTIF([1]CRITERIOS!$BG$11:$BG$201,$L436)&gt;=1,_xlfn.XLOOKUP($C436,[1]CRITERIOS!$K$25:$K$42,[1]CRITERIOS!$M$25:$M$42),_xlfn.XLOOKUP($C436,[1]CRITERIOS!$K$25:$K$42,[1]CRITERIOS!$M$25:$M$42))),0),
                    (E436+V436-SUMIF('[1]DATOS PBI Artículos'!A:A,A436,'[1]DATOS PBI Artículos'!X:X)-_xlfn.XLOOKUP(A436,'[1]DATOS PBI Artículos'!A:A,'[1]DATOS PBI Artículos'!W:W))/IF($O436="",$N436,$O436))),0))))</f>
        <v>#N/A</v>
      </c>
      <c r="R436" s="33" t="e">
        <f>IF(U436&lt;&gt;"",U436,IF(F436="DV","MTO",IF(N436=0,"MTO",_xlfn.XLOOKUP(CONCATENATE(S436,T436),[1]CRITERIOS!$K$160:$K$168,[1]CRITERIOS!$N$160:$N$168))))</f>
        <v>#N/A</v>
      </c>
      <c r="S436" s="33" t="e">
        <f>IF(G436="DV","MTO",IF(N436=0,"MTO",IF(OR(AND(N436=0,O436=""),IF(O436="",G436/N436,G436/O436)&gt;[1]CRITERIOS!$G$163),"MTO",IF(IF(O436="",G436/N436,G436/O436)&lt;[1]CRITERIOS!$H$161,"MTS","MTOS"))))</f>
        <v>#N/A</v>
      </c>
      <c r="T436" s="33" t="e">
        <f>IF(F436="DV","MTO",IF(OR(AND($N436=0,O436=""),$F436/$J436&gt;[1]CRITERIOS!$G$170,$F436="DV"),"MTO",IF($F436/$J436&lt;[1]CRITERIOS!$H$168,"MTS","MTOS")))</f>
        <v>#N/A</v>
      </c>
      <c r="V436" s="34" t="e">
        <f t="shared" si="22"/>
        <v>#N/A</v>
      </c>
      <c r="X436" s="34" t="e">
        <f t="shared" si="20"/>
        <v>#N/A</v>
      </c>
      <c r="Y436" s="34" t="e">
        <f t="shared" si="21"/>
        <v>#N/A</v>
      </c>
      <c r="Z436" s="34" t="e">
        <f>IF($R436="MTO",
0,
($H436+$K436*($E436/[1]CRITERIOS!$M$16))/[1]CRITERIOS!$X$48)</f>
        <v>#N/A</v>
      </c>
      <c r="AA436" s="34" t="e">
        <f>ROUNDUP(($Y436/_xlfn.XLOOKUP($A436,'[1]DATOS PBI Artículos'!$A$4:$A$4,'[1]DATOS PBI Artículos'!$Z$4:$Z$4))/_xlfn.XLOOKUP(_xlfn.XLOOKUP($A436,'[1]DATOS PBI Artículos'!$A$4:$A$4,'[1]DATOS PBI Artículos'!$Y$4:$Y$4),[1]CRITERIOS!$P$79:$P$123,[1]CRITERIOS!$S$79:$S$123,),0)</f>
        <v>#N/A</v>
      </c>
      <c r="AB436" s="33" t="e">
        <f t="array" ref="AB436">IF((E436+V436-_xlfn.XLOOKUP(A436,'[1]DATOS PBI Artículos'!$A$4:$A$4,'[1]DATOS PBI Artículos'!$W$4:$W$4))/N436&gt;ROUNDUP([1]CRITERIOS!$M$16/(IF(COUNTIF([1]CRITERIOS!$BG$11:$BG$201,L436)&gt;=1,_xlfn.XLOOKUP(ARTÍCULOS!L436,[1]CRITERIOS!$BG$11:$BG$201,[1]CRITERIOS!$BJ$11:$BJ$201),_xlfn.XLOOKUP(ARTÍCULOS!C436,[1]CRITERIOS!$K$25:$K$42,[1]CRITERIOS!$M$25:$M$42))),0),ROUNDUP([1]CRITERIOS!$M$16/(IF(COUNTIF([1]CRITERIOS!$BG$11:$BG$201,L436)&gt;=1,_xlfn.XLOOKUP(ARTÍCULOS!L436,[1]CRITERIOS!$BG$11:$BG$201:#REF!,[1]CRITERIOS!$BJ$11:$BJ$201),_xlfn.XLOOKUP(ARTÍCULOS!C436,[1]CRITERIOS!$K$25:$K$42,[1]CRITERIOS!$M$25:$M$42))),0),(E436+V436-_xlfn.XLOOKUP(A436,'[1]DATOS PBI Artículos'!$A$4:$A$4,'[1]DATOS PBI Artículos'!$W$4:$W$4))/N436)</f>
        <v>#N/A</v>
      </c>
      <c r="AC436" s="33" t="e">
        <f>IF(N436=0,"",(ROUNDUP((N436/2)/(_xlfn.XLOOKUP(A436,'[1]DATOS PBI Artículos'!$A$4:$A$4,'[1]DATOS PBI Artículos'!$Z$4:$Z$4)*_xlfn.XLOOKUP(_xlfn.XLOOKUP(A436,'[1]DATOS PBI Artículos'!$A$4:$A$4,'[1]DATOS PBI Artículos'!$Y$4:$Y$4),[1]CRITERIOS!$P$79:$P$123,[1]CRITERIOS!$S$79:$S$123)),0)*[1]CRITERIOS!$M$80*([1]CRITERIOS!$M$110/[1]CRITERIOS!$M$86)+(_xlfn.XLOOKUP(A436,'[1]DATOS PBI Artículos'!$A$4:$A$4,'[1]DATOS PBI Artículos'!$AA$4:$AA$4)*([1]CRITERIOS!$M$95+[1]CRITERIOS!$M$98)))/N436)</f>
        <v>#N/A</v>
      </c>
      <c r="AD436" s="33" t="e">
        <f>IF(N436=0,"",(ROUNDUP((N436/2)/(_xlfn.XLOOKUP(A436,'[1]DATOS PBI Artículos'!$A$4:$A$4,'[1]DATOS PBI Artículos'!$Z$4:$Z$4)*_xlfn.XLOOKUP(_xlfn.XLOOKUP(A436,'[1]DATOS PBI Artículos'!$A$4:$A$4,'[1]DATOS PBI Artículos'!$Y$4:$Y$4),[1]CRITERIOS!$P$79:$P$123,[1]CRITERIOS!$S$79:$S$123)),0)*[1]CRITERIOS!$M$80*([1]CRITERIOS!$M$89*[1]CRITERIOS!$M$92)+((_xlfn.XLOOKUP(A436,'[1]DATOS PBI Artículos'!$A$4:$A$4,'[1]DATOS PBI Artículos'!$AA$4:$AA$4)/2)*([1]CRITERIOS!$M$95+[1]CRITERIOS!$M$98)))/N436)</f>
        <v>#N/A</v>
      </c>
      <c r="AE436" s="39" t="e">
        <f>IF($R436="MTO","",
IF($H436=0,ROUNDUP(((_xlfn.XLOOKUP($A436,'[1]DATOS PBI Artículos'!$A:$A,'[1]DATOS PBI Artículos'!$AL:$AL))/(_xlfn.XLOOKUP($AF$1,[1]CRITERIOS!$S$16:$S$39,[1]CRITERIOS!$Y$16:$Y$39))*$J436+$Z436)/$G436,0)*$G436,
((_xlfn.XLOOKUP($A436,'[1]DATOS PBI Artículos'!$A:$A,'[1]DATOS PBI Artículos'!$AL:$AL))/(_xlfn.XLOOKUP($AF$1,[1]CRITERIOS!$S$16:$S$39,[1]CRITERIOS!$Y$16:$Y$39))*$J436+$Z436)))</f>
        <v>#N/A</v>
      </c>
      <c r="AG436" s="39" t="e">
        <f>IF($R436="MTO","",
IF($H436=0,ROUNDUP(((_xlfn.XLOOKUP($A436,'[1]DATOS PBI Artículos'!$A:$A,'[1]DATOS PBI Artículos'!$AM:$AM))/(_xlfn.XLOOKUP($AH$1,[1]CRITERIOS!$S$16:$S$39,[1]CRITERIOS!$Y$16:$Y$39))*$J436+$Z436)/$G436,0)*$G436,
((_xlfn.XLOOKUP($A436,'[1]DATOS PBI Artículos'!$A:$A,'[1]DATOS PBI Artículos'!$AM:$AM))/(_xlfn.XLOOKUP($AH$1,[1]CRITERIOS!$S$16:$S$39,[1]CRITERIOS!$Y$16:$Y$39))*$J436+$Z436)))</f>
        <v>#N/A</v>
      </c>
      <c r="AI436" s="39" t="e">
        <f>IF($R436="MTO","",
IF($H436=0,ROUNDUP(((_xlfn.XLOOKUP($A436,'[1]DATOS PBI Artículos'!$A:$A,'[1]DATOS PBI Artículos'!$AN:$AN))/(_xlfn.XLOOKUP($AJ$1,[1]CRITERIOS!$S$16:$S$39,[1]CRITERIOS!$Y$16:$Y$39))*$J436+$Z436)/$G436,0)*$G436,
((_xlfn.XLOOKUP($A436,'[1]DATOS PBI Artículos'!$A:$A,'[1]DATOS PBI Artículos'!$AN:$AN))/(_xlfn.XLOOKUP($AJ$1,[1]CRITERIOS!$S$16:$S$39,[1]CRITERIOS!$Y$16:$Y$39))*$J436+$Z436)))</f>
        <v>#N/A</v>
      </c>
      <c r="AK436" s="39" t="e">
        <f>IF($R436="MTO","",
IF($H436=0,ROUNDUP(((_xlfn.XLOOKUP($A436,'[1]DATOS PBI Artículos'!$A:$A,'[1]DATOS PBI Artículos'!$AO:$AO))/(_xlfn.XLOOKUP($AL$1,[1]CRITERIOS!$S$16:$S$39,[1]CRITERIOS!$Y$16:$Y$39))*$J436+$Z436)/$G436,0)*$G436,
((_xlfn.XLOOKUP($A436,'[1]DATOS PBI Artículos'!$A:$A,'[1]DATOS PBI Artículos'!$AO:$AO))/(_xlfn.XLOOKUP($AL$1,[1]CRITERIOS!$S$16:$S$39,[1]CRITERIOS!$Y$16:$Y$39))*$J436+$Z436)))</f>
        <v>#N/A</v>
      </c>
    </row>
    <row r="437" spans="1:37" ht="25.8" hidden="1" x14ac:dyDescent="0.4">
      <c r="A437" s="41"/>
      <c r="B437" s="33">
        <f>_xlfn.XLOOKUP($A437,'[1]DATOS PBI Artículos'!A:A,'[1]DATOS PBI Artículos'!B:B)</f>
        <v>0</v>
      </c>
      <c r="C437" s="33">
        <f>_xlfn.XLOOKUP($A437,'[1]DATOS PBI Artículos'!A:A,'[1]DATOS PBI Artículos'!C:C)</f>
        <v>0</v>
      </c>
      <c r="D437" s="33">
        <f>_xlfn.XLOOKUP(A437,'[1]DATOS PBI Artículos'!A:A,'[1]DATOS PBI Artículos'!T:T)</f>
        <v>0</v>
      </c>
      <c r="E437" s="34">
        <f>IF(_xlfn.XLOOKUP($A437,'[1]DATOS PBI Artículos'!A:A,'[1]DATOS PBI Artículos'!AK:AK)="",_xlfn.XLOOKUP($A437,'[1]DATOS PBI Artículos'!A:A,'[1]DATOS PBI Artículos'!AJ:AJ),_xlfn.XLOOKUP($A437,'[1]DATOS PBI Artículos'!A:A,'[1]DATOS PBI Artículos'!AK:AK))</f>
        <v>0</v>
      </c>
      <c r="F437" s="35">
        <f>_xlfn.XLOOKUP($A437,'[1]DATOS PBI Artículos'!A:A,'[1]DATOS PBI Artículos'!AP:AP)</f>
        <v>0</v>
      </c>
      <c r="G437" s="34">
        <f>_xlfn.XLOOKUP($A437,'[1]DATOS PBI Artículos'!A:A,'[1]DATOS PBI Artículos'!AR:AR)</f>
        <v>0</v>
      </c>
      <c r="H437" s="34">
        <f>_xlfn.XLOOKUP($A437,'[1]DATOS PBI Artículos'!A:A,'[1]DATOS PBI Artículos'!AT:AT)</f>
        <v>0</v>
      </c>
      <c r="I437" s="34">
        <f>_xlfn.XLOOKUP($A437,'[1]DATOS PBI Artículos'!A:A,'[1]DATOS PBI Artículos'!AS:AS)</f>
        <v>0</v>
      </c>
      <c r="J437" s="35">
        <f>IF(COUNTIF([1]CRITERIOS!$F$179:$F$199,$A437)&gt;=1,
 IF(O437&lt;&gt;"",
    (O437/_xlfn.XLOOKUP(CONCATENATE(A437,L437),[1]MÁQUINAS!A:A,[1]MÁQUINAS!D:D))/24,
    (N437/_xlfn.XLOOKUP(CONCATENATE(A437,L437),[1]MÁQUINAS!A:A,[1]MÁQUINAS!D:D))/24),
  _xlfn.XLOOKUP($A437,'[1]DATOS PBI Artículos'!A:A,'[1]DATOS PBI Artículos'!AU:AU))</f>
        <v>0</v>
      </c>
      <c r="K437" s="36">
        <f>_xlfn.XLOOKUP($A437,'[1]DATOS PBI Artículos'!A:A,'[1]DATOS PBI Artículos'!AV:AV)</f>
        <v>0</v>
      </c>
      <c r="L437" s="33">
        <f>_xlfn.XLOOKUP(A437,[1]MÁQUINAS!B:B,[1]MÁQUINAS!C:C)</f>
        <v>0</v>
      </c>
      <c r="M437" s="34">
        <f t="array" ref="M437">_xlfn.XLOOKUP(A437,'[1]DATOS PBI Artículos'!A:A,'[1]DATOS PBI Artículos'!AX:$AX)</f>
        <v>0</v>
      </c>
      <c r="N437" s="37" t="e">
        <f>IF(I437="DV",
E437,
IF(COUNTIF([1]CRITERIOS!$I$179:$I$199,$A437)&gt;=1,
_xlfn.XLOOKUP($A437,[1]CRITERIOS!$I$179:$I$199,[1]CRITERIOS!$J$179:$J$199),
IF(COUNTIF([1]CRITERIOS!$L$179:$L$199,$A437)&gt;=1,
_xlfn.CEILING.MATH(IF($M437&gt;$E437,
$E437,
IF($M437&lt;$E437/ROUNDDOWN([1]CRITERIOS!$M$16/_xlfn.XLOOKUP($C437,[1]CRITERIOS!$K$25:$K$42,[1]CRITERIOS!$M$25:$M$42),
1),
E437/ROUNDDOWN([1]CRITERIOS!$M$16/_xlfn.XLOOKUP($C437,[1]CRITERIOS!$K$25:$K$42,[1]CRITERIOS!$M$25:$M$42),
1),
$M437)),
_xlfn.XLOOKUP($A437,[1]CRITERIOS!$L$179:$L$200,[1]CRITERIOS!$M$179:$M$200)),
_xlfn.CEILING.MATH(IF($M437&gt;$E437,
$E437,
IF($M437&lt;$E437/ROUNDDOWN([1]CRITERIOS!$M$16/_xlfn.XLOOKUP($C437,[1]CRITERIOS!$K$25:$K$42,[1]CRITERIOS!$M$25:$M$42),
1),
E437/ROUNDDOWN([1]CRITERIOS!$M$16/_xlfn.XLOOKUP($C437,[1]CRITERIOS!$K$25:$K$42,[1]CRITERIOS!$M$25:$M$42),
1),
$M437)),_xlfn.XLOOKUP(A437,'[1]DATOS PBI Artículos'!A:A,'[1]DATOS PBI Artículos'!Z:Z
)))))</f>
        <v>#N/A</v>
      </c>
      <c r="Q437" s="38" t="e">
        <f>IF(AND(O437="",N437=0),
0,
   IF(COUNTIF([1]CRITERIOS!$F$179:$F$199,$A437)&gt;=1,
   1,
   IF(R437="MTO",
      $D437,
      ROUNDUP(
                    IF(($E437-SUMIF('[1]DATOS PBI Artículos'!A:A,A437,'[1]DATOS PBI Artículos'!X:X)+($V437-_xlfn.XLOOKUP(A437,'[1]DATOS PBI Artículos'!A:A,'[1]DATOS PBI Artículos'!W:W)))&lt;0,
                    0,
                    IF(($E437-SUMIF('[1]DATOS PBI Artículos'!A:A,A437,'[1]DATOS PBI Artículos'!X:X)+$V437-_xlfn.XLOOKUP($A437,'[1]DATOS PBI Artículos'!A:A,'[1]DATOS PBI Artículos'!W:W))/IF($O437="",$N437,$O437)&gt;ROUNDUP([1]CRITERIOS!$M$16/(IF(COUNTIF([1]CRITERIOS!$BG$11:$BG$201,L437)&gt;=1,_xlfn.XLOOKUP($C437,[1]CRITERIOS!$K$25:$K$42,[1]CRITERIOS!$M$25:$M$42),_xlfn.XLOOKUP($C437,[1]CRITERIOS!$K$25:$K$42,[1]CRITERIOS!$M$25:$M$42))),0),
                    ROUNDUP([1]CRITERIOS!$M$16/(IF(COUNTIF([1]CRITERIOS!$BG$11:$BG$201,$L437)&gt;=1,_xlfn.XLOOKUP($C437,[1]CRITERIOS!$K$25:$K$42,[1]CRITERIOS!$M$25:$M$42),_xlfn.XLOOKUP($C437,[1]CRITERIOS!$K$25:$K$42,[1]CRITERIOS!$M$25:$M$42))),0),
                    (E437+V437-SUMIF('[1]DATOS PBI Artículos'!A:A,A437,'[1]DATOS PBI Artículos'!X:X)-_xlfn.XLOOKUP(A437,'[1]DATOS PBI Artículos'!A:A,'[1]DATOS PBI Artículos'!W:W))/IF($O437="",$N437,$O437))),0))))</f>
        <v>#N/A</v>
      </c>
      <c r="R437" s="33" t="e">
        <f>IF(U437&lt;&gt;"",U437,IF(F437="DV","MTO",IF(N437=0,"MTO",_xlfn.XLOOKUP(CONCATENATE(S437,T437),[1]CRITERIOS!$K$160:$K$168,[1]CRITERIOS!$N$160:$N$168))))</f>
        <v>#N/A</v>
      </c>
      <c r="S437" s="33" t="e">
        <f>IF(G437="DV","MTO",IF(N437=0,"MTO",IF(OR(AND(N437=0,O437=""),IF(O437="",G437/N437,G437/O437)&gt;[1]CRITERIOS!$G$163),"MTO",IF(IF(O437="",G437/N437,G437/O437)&lt;[1]CRITERIOS!$H$161,"MTS","MTOS"))))</f>
        <v>#N/A</v>
      </c>
      <c r="T437" s="33" t="e">
        <f>IF(F437="DV","MTO",IF(OR(AND($N437=0,O437=""),$F437/$J437&gt;[1]CRITERIOS!$G$170,$F437="DV"),"MTO",IF($F437/$J437&lt;[1]CRITERIOS!$H$168,"MTS","MTOS")))</f>
        <v>#N/A</v>
      </c>
      <c r="V437" s="34" t="e">
        <f t="shared" si="22"/>
        <v>#N/A</v>
      </c>
      <c r="X437" s="34" t="e">
        <f t="shared" si="20"/>
        <v>#N/A</v>
      </c>
      <c r="Y437" s="34" t="e">
        <f t="shared" si="21"/>
        <v>#N/A</v>
      </c>
      <c r="Z437" s="34" t="e">
        <f>IF($R437="MTO",
0,
($H437+$K437*($E437/[1]CRITERIOS!$M$16))/[1]CRITERIOS!$X$48)</f>
        <v>#N/A</v>
      </c>
      <c r="AA437" s="34" t="e">
        <f>ROUNDUP(($Y437/_xlfn.XLOOKUP($A437,'[1]DATOS PBI Artículos'!$A$4:$A$4,'[1]DATOS PBI Artículos'!$Z$4:$Z$4))/_xlfn.XLOOKUP(_xlfn.XLOOKUP($A437,'[1]DATOS PBI Artículos'!$A$4:$A$4,'[1]DATOS PBI Artículos'!$Y$4:$Y$4),[1]CRITERIOS!$P$79:$P$123,[1]CRITERIOS!$S$79:$S$123,),0)</f>
        <v>#N/A</v>
      </c>
      <c r="AB437" s="33" t="e">
        <f t="array" ref="AB437">IF((E437+V437-_xlfn.XLOOKUP(A437,'[1]DATOS PBI Artículos'!$A$4:$A$4,'[1]DATOS PBI Artículos'!$W$4:$W$4))/N437&gt;ROUNDUP([1]CRITERIOS!$M$16/(IF(COUNTIF([1]CRITERIOS!$BG$11:$BG$201,L437)&gt;=1,_xlfn.XLOOKUP(ARTÍCULOS!L437,[1]CRITERIOS!$BG$11:$BG$201,[1]CRITERIOS!$BJ$11:$BJ$201),_xlfn.XLOOKUP(ARTÍCULOS!C437,[1]CRITERIOS!$K$25:$K$42,[1]CRITERIOS!$M$25:$M$42))),0),ROUNDUP([1]CRITERIOS!$M$16/(IF(COUNTIF([1]CRITERIOS!$BG$11:$BG$201,L437)&gt;=1,_xlfn.XLOOKUP(ARTÍCULOS!L437,[1]CRITERIOS!$BG$11:$BG$201:#REF!,[1]CRITERIOS!$BJ$11:$BJ$201),_xlfn.XLOOKUP(ARTÍCULOS!C437,[1]CRITERIOS!$K$25:$K$42,[1]CRITERIOS!$M$25:$M$42))),0),(E437+V437-_xlfn.XLOOKUP(A437,'[1]DATOS PBI Artículos'!$A$4:$A$4,'[1]DATOS PBI Artículos'!$W$4:$W$4))/N437)</f>
        <v>#N/A</v>
      </c>
      <c r="AC437" s="33" t="e">
        <f>IF(N437=0,"",(ROUNDUP((N437/2)/(_xlfn.XLOOKUP(A437,'[1]DATOS PBI Artículos'!$A$4:$A$4,'[1]DATOS PBI Artículos'!$Z$4:$Z$4)*_xlfn.XLOOKUP(_xlfn.XLOOKUP(A437,'[1]DATOS PBI Artículos'!$A$4:$A$4,'[1]DATOS PBI Artículos'!$Y$4:$Y$4),[1]CRITERIOS!$P$79:$P$123,[1]CRITERIOS!$S$79:$S$123)),0)*[1]CRITERIOS!$M$80*([1]CRITERIOS!$M$110/[1]CRITERIOS!$M$86)+(_xlfn.XLOOKUP(A437,'[1]DATOS PBI Artículos'!$A$4:$A$4,'[1]DATOS PBI Artículos'!$AA$4:$AA$4)*([1]CRITERIOS!$M$95+[1]CRITERIOS!$M$98)))/N437)</f>
        <v>#N/A</v>
      </c>
      <c r="AD437" s="33" t="e">
        <f>IF(N437=0,"",(ROUNDUP((N437/2)/(_xlfn.XLOOKUP(A437,'[1]DATOS PBI Artículos'!$A$4:$A$4,'[1]DATOS PBI Artículos'!$Z$4:$Z$4)*_xlfn.XLOOKUP(_xlfn.XLOOKUP(A437,'[1]DATOS PBI Artículos'!$A$4:$A$4,'[1]DATOS PBI Artículos'!$Y$4:$Y$4),[1]CRITERIOS!$P$79:$P$123,[1]CRITERIOS!$S$79:$S$123)),0)*[1]CRITERIOS!$M$80*([1]CRITERIOS!$M$89*[1]CRITERIOS!$M$92)+((_xlfn.XLOOKUP(A437,'[1]DATOS PBI Artículos'!$A$4:$A$4,'[1]DATOS PBI Artículos'!$AA$4:$AA$4)/2)*([1]CRITERIOS!$M$95+[1]CRITERIOS!$M$98)))/N437)</f>
        <v>#N/A</v>
      </c>
      <c r="AE437" s="39" t="e">
        <f>IF($R437="MTO","",
IF($H437=0,ROUNDUP(((_xlfn.XLOOKUP($A437,'[1]DATOS PBI Artículos'!$A:$A,'[1]DATOS PBI Artículos'!$AL:$AL))/(_xlfn.XLOOKUP($AF$1,[1]CRITERIOS!$S$16:$S$39,[1]CRITERIOS!$Y$16:$Y$39))*$J437+$Z437)/$G437,0)*$G437,
((_xlfn.XLOOKUP($A437,'[1]DATOS PBI Artículos'!$A:$A,'[1]DATOS PBI Artículos'!$AL:$AL))/(_xlfn.XLOOKUP($AF$1,[1]CRITERIOS!$S$16:$S$39,[1]CRITERIOS!$Y$16:$Y$39))*$J437+$Z437)))</f>
        <v>#N/A</v>
      </c>
      <c r="AG437" s="39" t="e">
        <f>IF($R437="MTO","",
IF($H437=0,ROUNDUP(((_xlfn.XLOOKUP($A437,'[1]DATOS PBI Artículos'!$A:$A,'[1]DATOS PBI Artículos'!$AM:$AM))/(_xlfn.XLOOKUP($AH$1,[1]CRITERIOS!$S$16:$S$39,[1]CRITERIOS!$Y$16:$Y$39))*$J437+$Z437)/$G437,0)*$G437,
((_xlfn.XLOOKUP($A437,'[1]DATOS PBI Artículos'!$A:$A,'[1]DATOS PBI Artículos'!$AM:$AM))/(_xlfn.XLOOKUP($AH$1,[1]CRITERIOS!$S$16:$S$39,[1]CRITERIOS!$Y$16:$Y$39))*$J437+$Z437)))</f>
        <v>#N/A</v>
      </c>
      <c r="AI437" s="39" t="e">
        <f>IF($R437="MTO","",
IF($H437=0,ROUNDUP(((_xlfn.XLOOKUP($A437,'[1]DATOS PBI Artículos'!$A:$A,'[1]DATOS PBI Artículos'!$AN:$AN))/(_xlfn.XLOOKUP($AJ$1,[1]CRITERIOS!$S$16:$S$39,[1]CRITERIOS!$Y$16:$Y$39))*$J437+$Z437)/$G437,0)*$G437,
((_xlfn.XLOOKUP($A437,'[1]DATOS PBI Artículos'!$A:$A,'[1]DATOS PBI Artículos'!$AN:$AN))/(_xlfn.XLOOKUP($AJ$1,[1]CRITERIOS!$S$16:$S$39,[1]CRITERIOS!$Y$16:$Y$39))*$J437+$Z437)))</f>
        <v>#N/A</v>
      </c>
      <c r="AK437" s="39" t="e">
        <f>IF($R437="MTO","",
IF($H437=0,ROUNDUP(((_xlfn.XLOOKUP($A437,'[1]DATOS PBI Artículos'!$A:$A,'[1]DATOS PBI Artículos'!$AO:$AO))/(_xlfn.XLOOKUP($AL$1,[1]CRITERIOS!$S$16:$S$39,[1]CRITERIOS!$Y$16:$Y$39))*$J437+$Z437)/$G437,0)*$G437,
((_xlfn.XLOOKUP($A437,'[1]DATOS PBI Artículos'!$A:$A,'[1]DATOS PBI Artículos'!$AO:$AO))/(_xlfn.XLOOKUP($AL$1,[1]CRITERIOS!$S$16:$S$39,[1]CRITERIOS!$Y$16:$Y$39))*$J437+$Z437)))</f>
        <v>#N/A</v>
      </c>
    </row>
    <row r="438" spans="1:37" ht="25.8" hidden="1" x14ac:dyDescent="0.4">
      <c r="A438" s="41"/>
      <c r="B438" s="33">
        <f>_xlfn.XLOOKUP($A438,'[1]DATOS PBI Artículos'!A:A,'[1]DATOS PBI Artículos'!B:B)</f>
        <v>0</v>
      </c>
      <c r="C438" s="33">
        <f>_xlfn.XLOOKUP($A438,'[1]DATOS PBI Artículos'!A:A,'[1]DATOS PBI Artículos'!C:C)</f>
        <v>0</v>
      </c>
      <c r="D438" s="33">
        <f>_xlfn.XLOOKUP(A438,'[1]DATOS PBI Artículos'!A:A,'[1]DATOS PBI Artículos'!T:T)</f>
        <v>0</v>
      </c>
      <c r="E438" s="34">
        <f>IF(_xlfn.XLOOKUP($A438,'[1]DATOS PBI Artículos'!A:A,'[1]DATOS PBI Artículos'!AK:AK)="",_xlfn.XLOOKUP($A438,'[1]DATOS PBI Artículos'!A:A,'[1]DATOS PBI Artículos'!AJ:AJ),_xlfn.XLOOKUP($A438,'[1]DATOS PBI Artículos'!A:A,'[1]DATOS PBI Artículos'!AK:AK))</f>
        <v>0</v>
      </c>
      <c r="F438" s="35">
        <f>_xlfn.XLOOKUP($A438,'[1]DATOS PBI Artículos'!A:A,'[1]DATOS PBI Artículos'!AP:AP)</f>
        <v>0</v>
      </c>
      <c r="G438" s="34">
        <f>_xlfn.XLOOKUP($A438,'[1]DATOS PBI Artículos'!A:A,'[1]DATOS PBI Artículos'!AR:AR)</f>
        <v>0</v>
      </c>
      <c r="H438" s="34">
        <f>_xlfn.XLOOKUP($A438,'[1]DATOS PBI Artículos'!A:A,'[1]DATOS PBI Artículos'!AT:AT)</f>
        <v>0</v>
      </c>
      <c r="I438" s="34">
        <f>_xlfn.XLOOKUP($A438,'[1]DATOS PBI Artículos'!A:A,'[1]DATOS PBI Artículos'!AS:AS)</f>
        <v>0</v>
      </c>
      <c r="J438" s="35">
        <f>IF(COUNTIF([1]CRITERIOS!$F$179:$F$199,$A438)&gt;=1,
 IF(O438&lt;&gt;"",
    (O438/_xlfn.XLOOKUP(CONCATENATE(A438,L438),[1]MÁQUINAS!A:A,[1]MÁQUINAS!D:D))/24,
    (N438/_xlfn.XLOOKUP(CONCATENATE(A438,L438),[1]MÁQUINAS!A:A,[1]MÁQUINAS!D:D))/24),
  _xlfn.XLOOKUP($A438,'[1]DATOS PBI Artículos'!A:A,'[1]DATOS PBI Artículos'!AU:AU))</f>
        <v>0</v>
      </c>
      <c r="K438" s="36">
        <f>_xlfn.XLOOKUP($A438,'[1]DATOS PBI Artículos'!A:A,'[1]DATOS PBI Artículos'!AV:AV)</f>
        <v>0</v>
      </c>
      <c r="L438" s="33">
        <f>_xlfn.XLOOKUP(A438,[1]MÁQUINAS!B:B,[1]MÁQUINAS!C:C)</f>
        <v>0</v>
      </c>
      <c r="M438" s="34">
        <f t="array" ref="M438">_xlfn.XLOOKUP(A438,'[1]DATOS PBI Artículos'!A:A,'[1]DATOS PBI Artículos'!AX:$AX)</f>
        <v>0</v>
      </c>
      <c r="N438" s="37" t="e">
        <f>IF(I438="DV",
E438,
IF(COUNTIF([1]CRITERIOS!$I$179:$I$199,$A438)&gt;=1,
_xlfn.XLOOKUP($A438,[1]CRITERIOS!$I$179:$I$199,[1]CRITERIOS!$J$179:$J$199),
IF(COUNTIF([1]CRITERIOS!$L$179:$L$199,$A438)&gt;=1,
_xlfn.CEILING.MATH(IF($M438&gt;$E438,
$E438,
IF($M438&lt;$E438/ROUNDDOWN([1]CRITERIOS!$M$16/_xlfn.XLOOKUP($C438,[1]CRITERIOS!$K$25:$K$42,[1]CRITERIOS!$M$25:$M$42),
1),
E438/ROUNDDOWN([1]CRITERIOS!$M$16/_xlfn.XLOOKUP($C438,[1]CRITERIOS!$K$25:$K$42,[1]CRITERIOS!$M$25:$M$42),
1),
$M438)),
_xlfn.XLOOKUP($A438,[1]CRITERIOS!$L$179:$L$200,[1]CRITERIOS!$M$179:$M$200)),
_xlfn.CEILING.MATH(IF($M438&gt;$E438,
$E438,
IF($M438&lt;$E438/ROUNDDOWN([1]CRITERIOS!$M$16/_xlfn.XLOOKUP($C438,[1]CRITERIOS!$K$25:$K$42,[1]CRITERIOS!$M$25:$M$42),
1),
E438/ROUNDDOWN([1]CRITERIOS!$M$16/_xlfn.XLOOKUP($C438,[1]CRITERIOS!$K$25:$K$42,[1]CRITERIOS!$M$25:$M$42),
1),
$M438)),_xlfn.XLOOKUP(A438,'[1]DATOS PBI Artículos'!A:A,'[1]DATOS PBI Artículos'!Z:Z
)))))</f>
        <v>#N/A</v>
      </c>
      <c r="Q438" s="38" t="e">
        <f>IF(AND(O438="",N438=0),
0,
   IF(COUNTIF([1]CRITERIOS!$F$179:$F$199,$A438)&gt;=1,
   1,
   IF(R438="MTO",
      $D438,
      ROUNDUP(
                    IF(($E438-SUMIF('[1]DATOS PBI Artículos'!A:A,A438,'[1]DATOS PBI Artículos'!X:X)+($V438-_xlfn.XLOOKUP(A438,'[1]DATOS PBI Artículos'!A:A,'[1]DATOS PBI Artículos'!W:W)))&lt;0,
                    0,
                    IF(($E438-SUMIF('[1]DATOS PBI Artículos'!A:A,A438,'[1]DATOS PBI Artículos'!X:X)+$V438-_xlfn.XLOOKUP($A438,'[1]DATOS PBI Artículos'!A:A,'[1]DATOS PBI Artículos'!W:W))/IF($O438="",$N438,$O438)&gt;ROUNDUP([1]CRITERIOS!$M$16/(IF(COUNTIF([1]CRITERIOS!$BG$11:$BG$201,L438)&gt;=1,_xlfn.XLOOKUP($C438,[1]CRITERIOS!$K$25:$K$42,[1]CRITERIOS!$M$25:$M$42),_xlfn.XLOOKUP($C438,[1]CRITERIOS!$K$25:$K$42,[1]CRITERIOS!$M$25:$M$42))),0),
                    ROUNDUP([1]CRITERIOS!$M$16/(IF(COUNTIF([1]CRITERIOS!$BG$11:$BG$201,$L438)&gt;=1,_xlfn.XLOOKUP($C438,[1]CRITERIOS!$K$25:$K$42,[1]CRITERIOS!$M$25:$M$42),_xlfn.XLOOKUP($C438,[1]CRITERIOS!$K$25:$K$42,[1]CRITERIOS!$M$25:$M$42))),0),
                    (E438+V438-SUMIF('[1]DATOS PBI Artículos'!A:A,A438,'[1]DATOS PBI Artículos'!X:X)-_xlfn.XLOOKUP(A438,'[1]DATOS PBI Artículos'!A:A,'[1]DATOS PBI Artículos'!W:W))/IF($O438="",$N438,$O438))),0))))</f>
        <v>#N/A</v>
      </c>
      <c r="R438" s="33" t="e">
        <f>IF(U438&lt;&gt;"",U438,IF(F438="DV","MTO",IF(N438=0,"MTO",_xlfn.XLOOKUP(CONCATENATE(S438,T438),[1]CRITERIOS!$K$160:$K$168,[1]CRITERIOS!$N$160:$N$168))))</f>
        <v>#N/A</v>
      </c>
      <c r="S438" s="33" t="e">
        <f>IF(G438="DV","MTO",IF(N438=0,"MTO",IF(OR(AND(N438=0,O438=""),IF(O438="",G438/N438,G438/O438)&gt;[1]CRITERIOS!$G$163),"MTO",IF(IF(O438="",G438/N438,G438/O438)&lt;[1]CRITERIOS!$H$161,"MTS","MTOS"))))</f>
        <v>#N/A</v>
      </c>
      <c r="T438" s="33" t="e">
        <f>IF(F438="DV","MTO",IF(OR(AND($N438=0,O438=""),$F438/$J438&gt;[1]CRITERIOS!$G$170,$F438="DV"),"MTO",IF($F438/$J438&lt;[1]CRITERIOS!$H$168,"MTS","MTOS")))</f>
        <v>#N/A</v>
      </c>
      <c r="V438" s="34" t="e">
        <f t="shared" si="22"/>
        <v>#N/A</v>
      </c>
      <c r="X438" s="34" t="e">
        <f t="shared" si="20"/>
        <v>#N/A</v>
      </c>
      <c r="Y438" s="34" t="e">
        <f t="shared" si="21"/>
        <v>#N/A</v>
      </c>
      <c r="Z438" s="34" t="e">
        <f>IF($R438="MTO",
0,
($H438+$K438*($E438/[1]CRITERIOS!$M$16))/[1]CRITERIOS!$X$48)</f>
        <v>#N/A</v>
      </c>
      <c r="AA438" s="34" t="e">
        <f>ROUNDUP(($Y438/_xlfn.XLOOKUP($A438,'[1]DATOS PBI Artículos'!$A$4:$A$4,'[1]DATOS PBI Artículos'!$Z$4:$Z$4))/_xlfn.XLOOKUP(_xlfn.XLOOKUP($A438,'[1]DATOS PBI Artículos'!$A$4:$A$4,'[1]DATOS PBI Artículos'!$Y$4:$Y$4),[1]CRITERIOS!$P$79:$P$123,[1]CRITERIOS!$S$79:$S$123,),0)</f>
        <v>#N/A</v>
      </c>
      <c r="AB438" s="33" t="e">
        <f t="array" ref="AB438">IF((E438+V438-_xlfn.XLOOKUP(A438,'[1]DATOS PBI Artículos'!$A$4:$A$4,'[1]DATOS PBI Artículos'!$W$4:$W$4))/N438&gt;ROUNDUP([1]CRITERIOS!$M$16/(IF(COUNTIF([1]CRITERIOS!$BG$11:$BG$201,L438)&gt;=1,_xlfn.XLOOKUP(ARTÍCULOS!L438,[1]CRITERIOS!$BG$11:$BG$201,[1]CRITERIOS!$BJ$11:$BJ$201),_xlfn.XLOOKUP(ARTÍCULOS!C438,[1]CRITERIOS!$K$25:$K$42,[1]CRITERIOS!$M$25:$M$42))),0),ROUNDUP([1]CRITERIOS!$M$16/(IF(COUNTIF([1]CRITERIOS!$BG$11:$BG$201,L438)&gt;=1,_xlfn.XLOOKUP(ARTÍCULOS!L438,[1]CRITERIOS!$BG$11:$BG$201:#REF!,[1]CRITERIOS!$BJ$11:$BJ$201),_xlfn.XLOOKUP(ARTÍCULOS!C438,[1]CRITERIOS!$K$25:$K$42,[1]CRITERIOS!$M$25:$M$42))),0),(E438+V438-_xlfn.XLOOKUP(A438,'[1]DATOS PBI Artículos'!$A$4:$A$4,'[1]DATOS PBI Artículos'!$W$4:$W$4))/N438)</f>
        <v>#N/A</v>
      </c>
      <c r="AC438" s="33" t="e">
        <f>IF(N438=0,"",(ROUNDUP((N438/2)/(_xlfn.XLOOKUP(A438,'[1]DATOS PBI Artículos'!$A$4:$A$4,'[1]DATOS PBI Artículos'!$Z$4:$Z$4)*_xlfn.XLOOKUP(_xlfn.XLOOKUP(A438,'[1]DATOS PBI Artículos'!$A$4:$A$4,'[1]DATOS PBI Artículos'!$Y$4:$Y$4),[1]CRITERIOS!$P$79:$P$123,[1]CRITERIOS!$S$79:$S$123)),0)*[1]CRITERIOS!$M$80*([1]CRITERIOS!$M$110/[1]CRITERIOS!$M$86)+(_xlfn.XLOOKUP(A438,'[1]DATOS PBI Artículos'!$A$4:$A$4,'[1]DATOS PBI Artículos'!$AA$4:$AA$4)*([1]CRITERIOS!$M$95+[1]CRITERIOS!$M$98)))/N438)</f>
        <v>#N/A</v>
      </c>
      <c r="AD438" s="33" t="e">
        <f>IF(N438=0,"",(ROUNDUP((N438/2)/(_xlfn.XLOOKUP(A438,'[1]DATOS PBI Artículos'!$A$4:$A$4,'[1]DATOS PBI Artículos'!$Z$4:$Z$4)*_xlfn.XLOOKUP(_xlfn.XLOOKUP(A438,'[1]DATOS PBI Artículos'!$A$4:$A$4,'[1]DATOS PBI Artículos'!$Y$4:$Y$4),[1]CRITERIOS!$P$79:$P$123,[1]CRITERIOS!$S$79:$S$123)),0)*[1]CRITERIOS!$M$80*([1]CRITERIOS!$M$89*[1]CRITERIOS!$M$92)+((_xlfn.XLOOKUP(A438,'[1]DATOS PBI Artículos'!$A$4:$A$4,'[1]DATOS PBI Artículos'!$AA$4:$AA$4)/2)*([1]CRITERIOS!$M$95+[1]CRITERIOS!$M$98)))/N438)</f>
        <v>#N/A</v>
      </c>
      <c r="AE438" s="39" t="e">
        <f>IF($R438="MTO","",
IF($H438=0,ROUNDUP(((_xlfn.XLOOKUP($A438,'[1]DATOS PBI Artículos'!$A:$A,'[1]DATOS PBI Artículos'!$AL:$AL))/(_xlfn.XLOOKUP($AF$1,[1]CRITERIOS!$S$16:$S$39,[1]CRITERIOS!$Y$16:$Y$39))*$J438+$Z438)/$G438,0)*$G438,
((_xlfn.XLOOKUP($A438,'[1]DATOS PBI Artículos'!$A:$A,'[1]DATOS PBI Artículos'!$AL:$AL))/(_xlfn.XLOOKUP($AF$1,[1]CRITERIOS!$S$16:$S$39,[1]CRITERIOS!$Y$16:$Y$39))*$J438+$Z438)))</f>
        <v>#N/A</v>
      </c>
      <c r="AG438" s="39" t="e">
        <f>IF($R438="MTO","",
IF($H438=0,ROUNDUP(((_xlfn.XLOOKUP($A438,'[1]DATOS PBI Artículos'!$A:$A,'[1]DATOS PBI Artículos'!$AM:$AM))/(_xlfn.XLOOKUP($AH$1,[1]CRITERIOS!$S$16:$S$39,[1]CRITERIOS!$Y$16:$Y$39))*$J438+$Z438)/$G438,0)*$G438,
((_xlfn.XLOOKUP($A438,'[1]DATOS PBI Artículos'!$A:$A,'[1]DATOS PBI Artículos'!$AM:$AM))/(_xlfn.XLOOKUP($AH$1,[1]CRITERIOS!$S$16:$S$39,[1]CRITERIOS!$Y$16:$Y$39))*$J438+$Z438)))</f>
        <v>#N/A</v>
      </c>
      <c r="AI438" s="39" t="e">
        <f>IF($R438="MTO","",
IF($H438=0,ROUNDUP(((_xlfn.XLOOKUP($A438,'[1]DATOS PBI Artículos'!$A:$A,'[1]DATOS PBI Artículos'!$AN:$AN))/(_xlfn.XLOOKUP($AJ$1,[1]CRITERIOS!$S$16:$S$39,[1]CRITERIOS!$Y$16:$Y$39))*$J438+$Z438)/$G438,0)*$G438,
((_xlfn.XLOOKUP($A438,'[1]DATOS PBI Artículos'!$A:$A,'[1]DATOS PBI Artículos'!$AN:$AN))/(_xlfn.XLOOKUP($AJ$1,[1]CRITERIOS!$S$16:$S$39,[1]CRITERIOS!$Y$16:$Y$39))*$J438+$Z438)))</f>
        <v>#N/A</v>
      </c>
      <c r="AK438" s="39" t="e">
        <f>IF($R438="MTO","",
IF($H438=0,ROUNDUP(((_xlfn.XLOOKUP($A438,'[1]DATOS PBI Artículos'!$A:$A,'[1]DATOS PBI Artículos'!$AO:$AO))/(_xlfn.XLOOKUP($AL$1,[1]CRITERIOS!$S$16:$S$39,[1]CRITERIOS!$Y$16:$Y$39))*$J438+$Z438)/$G438,0)*$G438,
((_xlfn.XLOOKUP($A438,'[1]DATOS PBI Artículos'!$A:$A,'[1]DATOS PBI Artículos'!$AO:$AO))/(_xlfn.XLOOKUP($AL$1,[1]CRITERIOS!$S$16:$S$39,[1]CRITERIOS!$Y$16:$Y$39))*$J438+$Z438)))</f>
        <v>#N/A</v>
      </c>
    </row>
    <row r="439" spans="1:37" ht="25.8" hidden="1" x14ac:dyDescent="0.4">
      <c r="A439" s="41"/>
      <c r="B439" s="33">
        <f>_xlfn.XLOOKUP($A439,'[1]DATOS PBI Artículos'!A:A,'[1]DATOS PBI Artículos'!B:B)</f>
        <v>0</v>
      </c>
      <c r="C439" s="33">
        <f>_xlfn.XLOOKUP($A439,'[1]DATOS PBI Artículos'!A:A,'[1]DATOS PBI Artículos'!C:C)</f>
        <v>0</v>
      </c>
      <c r="D439" s="33">
        <f>_xlfn.XLOOKUP(A439,'[1]DATOS PBI Artículos'!A:A,'[1]DATOS PBI Artículos'!T:T)</f>
        <v>0</v>
      </c>
      <c r="E439" s="34">
        <f>IF(_xlfn.XLOOKUP($A439,'[1]DATOS PBI Artículos'!A:A,'[1]DATOS PBI Artículos'!AK:AK)="",_xlfn.XLOOKUP($A439,'[1]DATOS PBI Artículos'!A:A,'[1]DATOS PBI Artículos'!AJ:AJ),_xlfn.XLOOKUP($A439,'[1]DATOS PBI Artículos'!A:A,'[1]DATOS PBI Artículos'!AK:AK))</f>
        <v>0</v>
      </c>
      <c r="F439" s="35">
        <f>_xlfn.XLOOKUP($A439,'[1]DATOS PBI Artículos'!A:A,'[1]DATOS PBI Artículos'!AP:AP)</f>
        <v>0</v>
      </c>
      <c r="G439" s="34">
        <f>_xlfn.XLOOKUP($A439,'[1]DATOS PBI Artículos'!A:A,'[1]DATOS PBI Artículos'!AR:AR)</f>
        <v>0</v>
      </c>
      <c r="H439" s="34">
        <f>_xlfn.XLOOKUP($A439,'[1]DATOS PBI Artículos'!A:A,'[1]DATOS PBI Artículos'!AT:AT)</f>
        <v>0</v>
      </c>
      <c r="I439" s="34">
        <f>_xlfn.XLOOKUP($A439,'[1]DATOS PBI Artículos'!A:A,'[1]DATOS PBI Artículos'!AS:AS)</f>
        <v>0</v>
      </c>
      <c r="J439" s="35">
        <f>IF(COUNTIF([1]CRITERIOS!$F$179:$F$199,$A439)&gt;=1,
 IF(O439&lt;&gt;"",
    (O439/_xlfn.XLOOKUP(CONCATENATE(A439,L439),[1]MÁQUINAS!A:A,[1]MÁQUINAS!D:D))/24,
    (N439/_xlfn.XLOOKUP(CONCATENATE(A439,L439),[1]MÁQUINAS!A:A,[1]MÁQUINAS!D:D))/24),
  _xlfn.XLOOKUP($A439,'[1]DATOS PBI Artículos'!A:A,'[1]DATOS PBI Artículos'!AU:AU))</f>
        <v>0</v>
      </c>
      <c r="K439" s="36">
        <f>_xlfn.XLOOKUP($A439,'[1]DATOS PBI Artículos'!A:A,'[1]DATOS PBI Artículos'!AV:AV)</f>
        <v>0</v>
      </c>
      <c r="L439" s="33">
        <f>_xlfn.XLOOKUP(A439,[1]MÁQUINAS!B:B,[1]MÁQUINAS!C:C)</f>
        <v>0</v>
      </c>
      <c r="M439" s="34">
        <f t="array" ref="M439">_xlfn.XLOOKUP(A439,'[1]DATOS PBI Artículos'!A:A,'[1]DATOS PBI Artículos'!AX:$AX)</f>
        <v>0</v>
      </c>
      <c r="N439" s="37" t="e">
        <f>IF(I439="DV",
E439,
IF(COUNTIF([1]CRITERIOS!$I$179:$I$199,$A439)&gt;=1,
_xlfn.XLOOKUP($A439,[1]CRITERIOS!$I$179:$I$199,[1]CRITERIOS!$J$179:$J$199),
IF(COUNTIF([1]CRITERIOS!$L$179:$L$199,$A439)&gt;=1,
_xlfn.CEILING.MATH(IF($M439&gt;$E439,
$E439,
IF($M439&lt;$E439/ROUNDDOWN([1]CRITERIOS!$M$16/_xlfn.XLOOKUP($C439,[1]CRITERIOS!$K$25:$K$42,[1]CRITERIOS!$M$25:$M$42),
1),
E439/ROUNDDOWN([1]CRITERIOS!$M$16/_xlfn.XLOOKUP($C439,[1]CRITERIOS!$K$25:$K$42,[1]CRITERIOS!$M$25:$M$42),
1),
$M439)),
_xlfn.XLOOKUP($A439,[1]CRITERIOS!$L$179:$L$200,[1]CRITERIOS!$M$179:$M$200)),
_xlfn.CEILING.MATH(IF($M439&gt;$E439,
$E439,
IF($M439&lt;$E439/ROUNDDOWN([1]CRITERIOS!$M$16/_xlfn.XLOOKUP($C439,[1]CRITERIOS!$K$25:$K$42,[1]CRITERIOS!$M$25:$M$42),
1),
E439/ROUNDDOWN([1]CRITERIOS!$M$16/_xlfn.XLOOKUP($C439,[1]CRITERIOS!$K$25:$K$42,[1]CRITERIOS!$M$25:$M$42),
1),
$M439)),_xlfn.XLOOKUP(A439,'[1]DATOS PBI Artículos'!A:A,'[1]DATOS PBI Artículos'!Z:Z
)))))</f>
        <v>#N/A</v>
      </c>
      <c r="Q439" s="38" t="e">
        <f>IF(AND(O439="",N439=0),
0,
   IF(COUNTIF([1]CRITERIOS!$F$179:$F$199,$A439)&gt;=1,
   1,
   IF(R439="MTO",
      $D439,
      ROUNDUP(
                    IF(($E439-SUMIF('[1]DATOS PBI Artículos'!A:A,A439,'[1]DATOS PBI Artículos'!X:X)+($V439-_xlfn.XLOOKUP(A439,'[1]DATOS PBI Artículos'!A:A,'[1]DATOS PBI Artículos'!W:W)))&lt;0,
                    0,
                    IF(($E439-SUMIF('[1]DATOS PBI Artículos'!A:A,A439,'[1]DATOS PBI Artículos'!X:X)+$V439-_xlfn.XLOOKUP($A439,'[1]DATOS PBI Artículos'!A:A,'[1]DATOS PBI Artículos'!W:W))/IF($O439="",$N439,$O439)&gt;ROUNDUP([1]CRITERIOS!$M$16/(IF(COUNTIF([1]CRITERIOS!$BG$11:$BG$201,L439)&gt;=1,_xlfn.XLOOKUP($C439,[1]CRITERIOS!$K$25:$K$42,[1]CRITERIOS!$M$25:$M$42),_xlfn.XLOOKUP($C439,[1]CRITERIOS!$K$25:$K$42,[1]CRITERIOS!$M$25:$M$42))),0),
                    ROUNDUP([1]CRITERIOS!$M$16/(IF(COUNTIF([1]CRITERIOS!$BG$11:$BG$201,$L439)&gt;=1,_xlfn.XLOOKUP($C439,[1]CRITERIOS!$K$25:$K$42,[1]CRITERIOS!$M$25:$M$42),_xlfn.XLOOKUP($C439,[1]CRITERIOS!$K$25:$K$42,[1]CRITERIOS!$M$25:$M$42))),0),
                    (E439+V439-SUMIF('[1]DATOS PBI Artículos'!A:A,A439,'[1]DATOS PBI Artículos'!X:X)-_xlfn.XLOOKUP(A439,'[1]DATOS PBI Artículos'!A:A,'[1]DATOS PBI Artículos'!W:W))/IF($O439="",$N439,$O439))),0))))</f>
        <v>#N/A</v>
      </c>
      <c r="R439" s="33" t="e">
        <f>IF(U439&lt;&gt;"",U439,IF(F439="DV","MTO",IF(N439=0,"MTO",_xlfn.XLOOKUP(CONCATENATE(S439,T439),[1]CRITERIOS!$K$160:$K$168,[1]CRITERIOS!$N$160:$N$168))))</f>
        <v>#N/A</v>
      </c>
      <c r="S439" s="33" t="e">
        <f>IF(G439="DV","MTO",IF(N439=0,"MTO",IF(OR(AND(N439=0,O439=""),IF(O439="",G439/N439,G439/O439)&gt;[1]CRITERIOS!$G$163),"MTO",IF(IF(O439="",G439/N439,G439/O439)&lt;[1]CRITERIOS!$H$161,"MTS","MTOS"))))</f>
        <v>#N/A</v>
      </c>
      <c r="T439" s="33" t="e">
        <f>IF(F439="DV","MTO",IF(OR(AND($N439=0,O439=""),$F439/$J439&gt;[1]CRITERIOS!$G$170,$F439="DV"),"MTO",IF($F439/$J439&lt;[1]CRITERIOS!$H$168,"MTS","MTOS")))</f>
        <v>#N/A</v>
      </c>
      <c r="V439" s="34" t="e">
        <f t="shared" si="22"/>
        <v>#N/A</v>
      </c>
      <c r="X439" s="34" t="e">
        <f t="shared" si="20"/>
        <v>#N/A</v>
      </c>
      <c r="Y439" s="34" t="e">
        <f t="shared" si="21"/>
        <v>#N/A</v>
      </c>
      <c r="Z439" s="34" t="e">
        <f>IF($R439="MTO",
0,
($H439+$K439*($E439/[1]CRITERIOS!$M$16))/[1]CRITERIOS!$X$48)</f>
        <v>#N/A</v>
      </c>
      <c r="AA439" s="34" t="e">
        <f>ROUNDUP(($Y439/_xlfn.XLOOKUP($A439,'[1]DATOS PBI Artículos'!$A$4:$A$4,'[1]DATOS PBI Artículos'!$Z$4:$Z$4))/_xlfn.XLOOKUP(_xlfn.XLOOKUP($A439,'[1]DATOS PBI Artículos'!$A$4:$A$4,'[1]DATOS PBI Artículos'!$Y$4:$Y$4),[1]CRITERIOS!$P$79:$P$123,[1]CRITERIOS!$S$79:$S$123,),0)</f>
        <v>#N/A</v>
      </c>
      <c r="AB439" s="33" t="e">
        <f t="array" ref="AB439">IF((E439+V439-_xlfn.XLOOKUP(A439,'[1]DATOS PBI Artículos'!$A$4:$A$4,'[1]DATOS PBI Artículos'!$W$4:$W$4))/N439&gt;ROUNDUP([1]CRITERIOS!$M$16/(IF(COUNTIF([1]CRITERIOS!$BG$11:$BG$201,L439)&gt;=1,_xlfn.XLOOKUP(ARTÍCULOS!L439,[1]CRITERIOS!$BG$11:$BG$201,[1]CRITERIOS!$BJ$11:$BJ$201),_xlfn.XLOOKUP(ARTÍCULOS!C439,[1]CRITERIOS!$K$25:$K$42,[1]CRITERIOS!$M$25:$M$42))),0),ROUNDUP([1]CRITERIOS!$M$16/(IF(COUNTIF([1]CRITERIOS!$BG$11:$BG$201,L439)&gt;=1,_xlfn.XLOOKUP(ARTÍCULOS!L439,[1]CRITERIOS!$BG$11:$BG$201:#REF!,[1]CRITERIOS!$BJ$11:$BJ$201),_xlfn.XLOOKUP(ARTÍCULOS!C439,[1]CRITERIOS!$K$25:$K$42,[1]CRITERIOS!$M$25:$M$42))),0),(E439+V439-_xlfn.XLOOKUP(A439,'[1]DATOS PBI Artículos'!$A$4:$A$4,'[1]DATOS PBI Artículos'!$W$4:$W$4))/N439)</f>
        <v>#N/A</v>
      </c>
      <c r="AC439" s="33" t="e">
        <f>IF(N439=0,"",(ROUNDUP((N439/2)/(_xlfn.XLOOKUP(A439,'[1]DATOS PBI Artículos'!$A$4:$A$4,'[1]DATOS PBI Artículos'!$Z$4:$Z$4)*_xlfn.XLOOKUP(_xlfn.XLOOKUP(A439,'[1]DATOS PBI Artículos'!$A$4:$A$4,'[1]DATOS PBI Artículos'!$Y$4:$Y$4),[1]CRITERIOS!$P$79:$P$123,[1]CRITERIOS!$S$79:$S$123)),0)*[1]CRITERIOS!$M$80*([1]CRITERIOS!$M$110/[1]CRITERIOS!$M$86)+(_xlfn.XLOOKUP(A439,'[1]DATOS PBI Artículos'!$A$4:$A$4,'[1]DATOS PBI Artículos'!$AA$4:$AA$4)*([1]CRITERIOS!$M$95+[1]CRITERIOS!$M$98)))/N439)</f>
        <v>#N/A</v>
      </c>
      <c r="AD439" s="33" t="e">
        <f>IF(N439=0,"",(ROUNDUP((N439/2)/(_xlfn.XLOOKUP(A439,'[1]DATOS PBI Artículos'!$A$4:$A$4,'[1]DATOS PBI Artículos'!$Z$4:$Z$4)*_xlfn.XLOOKUP(_xlfn.XLOOKUP(A439,'[1]DATOS PBI Artículos'!$A$4:$A$4,'[1]DATOS PBI Artículos'!$Y$4:$Y$4),[1]CRITERIOS!$P$79:$P$123,[1]CRITERIOS!$S$79:$S$123)),0)*[1]CRITERIOS!$M$80*([1]CRITERIOS!$M$89*[1]CRITERIOS!$M$92)+((_xlfn.XLOOKUP(A439,'[1]DATOS PBI Artículos'!$A$4:$A$4,'[1]DATOS PBI Artículos'!$AA$4:$AA$4)/2)*([1]CRITERIOS!$M$95+[1]CRITERIOS!$M$98)))/N439)</f>
        <v>#N/A</v>
      </c>
      <c r="AE439" s="39" t="e">
        <f>IF($R439="MTO","",
IF($H439=0,ROUNDUP(((_xlfn.XLOOKUP($A439,'[1]DATOS PBI Artículos'!$A:$A,'[1]DATOS PBI Artículos'!$AL:$AL))/(_xlfn.XLOOKUP($AF$1,[1]CRITERIOS!$S$16:$S$39,[1]CRITERIOS!$Y$16:$Y$39))*$J439+$Z439)/$G439,0)*$G439,
((_xlfn.XLOOKUP($A439,'[1]DATOS PBI Artículos'!$A:$A,'[1]DATOS PBI Artículos'!$AL:$AL))/(_xlfn.XLOOKUP($AF$1,[1]CRITERIOS!$S$16:$S$39,[1]CRITERIOS!$Y$16:$Y$39))*$J439+$Z439)))</f>
        <v>#N/A</v>
      </c>
      <c r="AG439" s="39" t="e">
        <f>IF($R439="MTO","",
IF($H439=0,ROUNDUP(((_xlfn.XLOOKUP($A439,'[1]DATOS PBI Artículos'!$A:$A,'[1]DATOS PBI Artículos'!$AM:$AM))/(_xlfn.XLOOKUP($AH$1,[1]CRITERIOS!$S$16:$S$39,[1]CRITERIOS!$Y$16:$Y$39))*$J439+$Z439)/$G439,0)*$G439,
((_xlfn.XLOOKUP($A439,'[1]DATOS PBI Artículos'!$A:$A,'[1]DATOS PBI Artículos'!$AM:$AM))/(_xlfn.XLOOKUP($AH$1,[1]CRITERIOS!$S$16:$S$39,[1]CRITERIOS!$Y$16:$Y$39))*$J439+$Z439)))</f>
        <v>#N/A</v>
      </c>
      <c r="AI439" s="39" t="e">
        <f>IF($R439="MTO","",
IF($H439=0,ROUNDUP(((_xlfn.XLOOKUP($A439,'[1]DATOS PBI Artículos'!$A:$A,'[1]DATOS PBI Artículos'!$AN:$AN))/(_xlfn.XLOOKUP($AJ$1,[1]CRITERIOS!$S$16:$S$39,[1]CRITERIOS!$Y$16:$Y$39))*$J439+$Z439)/$G439,0)*$G439,
((_xlfn.XLOOKUP($A439,'[1]DATOS PBI Artículos'!$A:$A,'[1]DATOS PBI Artículos'!$AN:$AN))/(_xlfn.XLOOKUP($AJ$1,[1]CRITERIOS!$S$16:$S$39,[1]CRITERIOS!$Y$16:$Y$39))*$J439+$Z439)))</f>
        <v>#N/A</v>
      </c>
      <c r="AK439" s="39" t="e">
        <f>IF($R439="MTO","",
IF($H439=0,ROUNDUP(((_xlfn.XLOOKUP($A439,'[1]DATOS PBI Artículos'!$A:$A,'[1]DATOS PBI Artículos'!$AO:$AO))/(_xlfn.XLOOKUP($AL$1,[1]CRITERIOS!$S$16:$S$39,[1]CRITERIOS!$Y$16:$Y$39))*$J439+$Z439)/$G439,0)*$G439,
((_xlfn.XLOOKUP($A439,'[1]DATOS PBI Artículos'!$A:$A,'[1]DATOS PBI Artículos'!$AO:$AO))/(_xlfn.XLOOKUP($AL$1,[1]CRITERIOS!$S$16:$S$39,[1]CRITERIOS!$Y$16:$Y$39))*$J439+$Z439)))</f>
        <v>#N/A</v>
      </c>
    </row>
    <row r="440" spans="1:37" ht="25.8" hidden="1" x14ac:dyDescent="0.4">
      <c r="A440" s="41"/>
      <c r="B440" s="33">
        <f>_xlfn.XLOOKUP($A440,'[1]DATOS PBI Artículos'!A:A,'[1]DATOS PBI Artículos'!B:B)</f>
        <v>0</v>
      </c>
      <c r="C440" s="33">
        <f>_xlfn.XLOOKUP($A440,'[1]DATOS PBI Artículos'!A:A,'[1]DATOS PBI Artículos'!C:C)</f>
        <v>0</v>
      </c>
      <c r="D440" s="33">
        <f>_xlfn.XLOOKUP(A440,'[1]DATOS PBI Artículos'!A:A,'[1]DATOS PBI Artículos'!T:T)</f>
        <v>0</v>
      </c>
      <c r="E440" s="34">
        <f>IF(_xlfn.XLOOKUP($A440,'[1]DATOS PBI Artículos'!A:A,'[1]DATOS PBI Artículos'!AK:AK)="",_xlfn.XLOOKUP($A440,'[1]DATOS PBI Artículos'!A:A,'[1]DATOS PBI Artículos'!AJ:AJ),_xlfn.XLOOKUP($A440,'[1]DATOS PBI Artículos'!A:A,'[1]DATOS PBI Artículos'!AK:AK))</f>
        <v>0</v>
      </c>
      <c r="F440" s="35">
        <f>_xlfn.XLOOKUP($A440,'[1]DATOS PBI Artículos'!A:A,'[1]DATOS PBI Artículos'!AP:AP)</f>
        <v>0</v>
      </c>
      <c r="G440" s="34">
        <f>_xlfn.XLOOKUP($A440,'[1]DATOS PBI Artículos'!A:A,'[1]DATOS PBI Artículos'!AR:AR)</f>
        <v>0</v>
      </c>
      <c r="H440" s="34">
        <f>_xlfn.XLOOKUP($A440,'[1]DATOS PBI Artículos'!A:A,'[1]DATOS PBI Artículos'!AT:AT)</f>
        <v>0</v>
      </c>
      <c r="I440" s="34">
        <f>_xlfn.XLOOKUP($A440,'[1]DATOS PBI Artículos'!A:A,'[1]DATOS PBI Artículos'!AS:AS)</f>
        <v>0</v>
      </c>
      <c r="J440" s="35">
        <f>IF(COUNTIF([1]CRITERIOS!$F$179:$F$199,$A440)&gt;=1,
 IF(O440&lt;&gt;"",
    (O440/_xlfn.XLOOKUP(CONCATENATE(A440,L440),[1]MÁQUINAS!A:A,[1]MÁQUINAS!D:D))/24,
    (N440/_xlfn.XLOOKUP(CONCATENATE(A440,L440),[1]MÁQUINAS!A:A,[1]MÁQUINAS!D:D))/24),
  _xlfn.XLOOKUP($A440,'[1]DATOS PBI Artículos'!A:A,'[1]DATOS PBI Artículos'!AU:AU))</f>
        <v>0</v>
      </c>
      <c r="K440" s="36">
        <f>_xlfn.XLOOKUP($A440,'[1]DATOS PBI Artículos'!A:A,'[1]DATOS PBI Artículos'!AV:AV)</f>
        <v>0</v>
      </c>
      <c r="L440" s="33">
        <f>_xlfn.XLOOKUP(A440,[1]MÁQUINAS!B:B,[1]MÁQUINAS!C:C)</f>
        <v>0</v>
      </c>
      <c r="M440" s="34">
        <f t="array" ref="M440">_xlfn.XLOOKUP(A440,'[1]DATOS PBI Artículos'!A:A,'[1]DATOS PBI Artículos'!AX:$AX)</f>
        <v>0</v>
      </c>
      <c r="N440" s="37" t="e">
        <f>IF(I440="DV",
E440,
IF(COUNTIF([1]CRITERIOS!$I$179:$I$199,$A440)&gt;=1,
_xlfn.XLOOKUP($A440,[1]CRITERIOS!$I$179:$I$199,[1]CRITERIOS!$J$179:$J$199),
IF(COUNTIF([1]CRITERIOS!$L$179:$L$199,$A440)&gt;=1,
_xlfn.CEILING.MATH(IF($M440&gt;$E440,
$E440,
IF($M440&lt;$E440/ROUNDDOWN([1]CRITERIOS!$M$16/_xlfn.XLOOKUP($C440,[1]CRITERIOS!$K$25:$K$42,[1]CRITERIOS!$M$25:$M$42),
1),
E440/ROUNDDOWN([1]CRITERIOS!$M$16/_xlfn.XLOOKUP($C440,[1]CRITERIOS!$K$25:$K$42,[1]CRITERIOS!$M$25:$M$42),
1),
$M440)),
_xlfn.XLOOKUP($A440,[1]CRITERIOS!$L$179:$L$200,[1]CRITERIOS!$M$179:$M$200)),
_xlfn.CEILING.MATH(IF($M440&gt;$E440,
$E440,
IF($M440&lt;$E440/ROUNDDOWN([1]CRITERIOS!$M$16/_xlfn.XLOOKUP($C440,[1]CRITERIOS!$K$25:$K$42,[1]CRITERIOS!$M$25:$M$42),
1),
E440/ROUNDDOWN([1]CRITERIOS!$M$16/_xlfn.XLOOKUP($C440,[1]CRITERIOS!$K$25:$K$42,[1]CRITERIOS!$M$25:$M$42),
1),
$M440)),_xlfn.XLOOKUP(A440,'[1]DATOS PBI Artículos'!A:A,'[1]DATOS PBI Artículos'!Z:Z
)))))</f>
        <v>#N/A</v>
      </c>
      <c r="Q440" s="38" t="e">
        <f>IF(AND(O440="",N440=0),
0,
   IF(COUNTIF([1]CRITERIOS!$F$179:$F$199,$A440)&gt;=1,
   1,
   IF(R440="MTO",
      $D440,
      ROUNDUP(
                    IF(($E440-SUMIF('[1]DATOS PBI Artículos'!A:A,A440,'[1]DATOS PBI Artículos'!X:X)+($V440-_xlfn.XLOOKUP(A440,'[1]DATOS PBI Artículos'!A:A,'[1]DATOS PBI Artículos'!W:W)))&lt;0,
                    0,
                    IF(($E440-SUMIF('[1]DATOS PBI Artículos'!A:A,A440,'[1]DATOS PBI Artículos'!X:X)+$V440-_xlfn.XLOOKUP($A440,'[1]DATOS PBI Artículos'!A:A,'[1]DATOS PBI Artículos'!W:W))/IF($O440="",$N440,$O440)&gt;ROUNDUP([1]CRITERIOS!$M$16/(IF(COUNTIF([1]CRITERIOS!$BG$11:$BG$201,L440)&gt;=1,_xlfn.XLOOKUP($C440,[1]CRITERIOS!$K$25:$K$42,[1]CRITERIOS!$M$25:$M$42),_xlfn.XLOOKUP($C440,[1]CRITERIOS!$K$25:$K$42,[1]CRITERIOS!$M$25:$M$42))),0),
                    ROUNDUP([1]CRITERIOS!$M$16/(IF(COUNTIF([1]CRITERIOS!$BG$11:$BG$201,$L440)&gt;=1,_xlfn.XLOOKUP($C440,[1]CRITERIOS!$K$25:$K$42,[1]CRITERIOS!$M$25:$M$42),_xlfn.XLOOKUP($C440,[1]CRITERIOS!$K$25:$K$42,[1]CRITERIOS!$M$25:$M$42))),0),
                    (E440+V440-SUMIF('[1]DATOS PBI Artículos'!A:A,A440,'[1]DATOS PBI Artículos'!X:X)-_xlfn.XLOOKUP(A440,'[1]DATOS PBI Artículos'!A:A,'[1]DATOS PBI Artículos'!W:W))/IF($O440="",$N440,$O440))),0))))</f>
        <v>#N/A</v>
      </c>
      <c r="R440" s="33" t="e">
        <f>IF(U440&lt;&gt;"",U440,IF(F440="DV","MTO",IF(N440=0,"MTO",_xlfn.XLOOKUP(CONCATENATE(S440,T440),[1]CRITERIOS!$K$160:$K$168,[1]CRITERIOS!$N$160:$N$168))))</f>
        <v>#N/A</v>
      </c>
      <c r="S440" s="33" t="e">
        <f>IF(G440="DV","MTO",IF(N440=0,"MTO",IF(OR(AND(N440=0,O440=""),IF(O440="",G440/N440,G440/O440)&gt;[1]CRITERIOS!$G$163),"MTO",IF(IF(O440="",G440/N440,G440/O440)&lt;[1]CRITERIOS!$H$161,"MTS","MTOS"))))</f>
        <v>#N/A</v>
      </c>
      <c r="T440" s="33" t="e">
        <f>IF(F440="DV","MTO",IF(OR(AND($N440=0,O440=""),$F440/$J440&gt;[1]CRITERIOS!$G$170,$F440="DV"),"MTO",IF($F440/$J440&lt;[1]CRITERIOS!$H$168,"MTS","MTOS")))</f>
        <v>#N/A</v>
      </c>
      <c r="V440" s="34" t="e">
        <f t="shared" si="22"/>
        <v>#N/A</v>
      </c>
      <c r="X440" s="34" t="e">
        <f t="shared" si="20"/>
        <v>#N/A</v>
      </c>
      <c r="Y440" s="34" t="e">
        <f t="shared" si="21"/>
        <v>#N/A</v>
      </c>
      <c r="Z440" s="34" t="e">
        <f>IF($R440="MTO",
0,
($H440+$K440*($E440/[1]CRITERIOS!$M$16))/[1]CRITERIOS!$X$48)</f>
        <v>#N/A</v>
      </c>
      <c r="AA440" s="34" t="e">
        <f>ROUNDUP(($Y440/_xlfn.XLOOKUP($A440,'[1]DATOS PBI Artículos'!$A$4:$A$4,'[1]DATOS PBI Artículos'!$Z$4:$Z$4))/_xlfn.XLOOKUP(_xlfn.XLOOKUP($A440,'[1]DATOS PBI Artículos'!$A$4:$A$4,'[1]DATOS PBI Artículos'!$Y$4:$Y$4),[1]CRITERIOS!$P$79:$P$123,[1]CRITERIOS!$S$79:$S$123,),0)</f>
        <v>#N/A</v>
      </c>
      <c r="AB440" s="33" t="e">
        <f t="array" ref="AB440">IF((E440+V440-_xlfn.XLOOKUP(A440,'[1]DATOS PBI Artículos'!$A$4:$A$4,'[1]DATOS PBI Artículos'!$W$4:$W$4))/N440&gt;ROUNDUP([1]CRITERIOS!$M$16/(IF(COUNTIF([1]CRITERIOS!$BG$11:$BG$201,L440)&gt;=1,_xlfn.XLOOKUP(ARTÍCULOS!L440,[1]CRITERIOS!$BG$11:$BG$201,[1]CRITERIOS!$BJ$11:$BJ$201),_xlfn.XLOOKUP(ARTÍCULOS!C440,[1]CRITERIOS!$K$25:$K$42,[1]CRITERIOS!$M$25:$M$42))),0),ROUNDUP([1]CRITERIOS!$M$16/(IF(COUNTIF([1]CRITERIOS!$BG$11:$BG$201,L440)&gt;=1,_xlfn.XLOOKUP(ARTÍCULOS!L440,[1]CRITERIOS!$BG$11:$BG$201:#REF!,[1]CRITERIOS!$BJ$11:$BJ$201),_xlfn.XLOOKUP(ARTÍCULOS!C440,[1]CRITERIOS!$K$25:$K$42,[1]CRITERIOS!$M$25:$M$42))),0),(E440+V440-_xlfn.XLOOKUP(A440,'[1]DATOS PBI Artículos'!$A$4:$A$4,'[1]DATOS PBI Artículos'!$W$4:$W$4))/N440)</f>
        <v>#N/A</v>
      </c>
      <c r="AC440" s="33" t="e">
        <f>IF(N440=0,"",(ROUNDUP((N440/2)/(_xlfn.XLOOKUP(A440,'[1]DATOS PBI Artículos'!$A$4:$A$4,'[1]DATOS PBI Artículos'!$Z$4:$Z$4)*_xlfn.XLOOKUP(_xlfn.XLOOKUP(A440,'[1]DATOS PBI Artículos'!$A$4:$A$4,'[1]DATOS PBI Artículos'!$Y$4:$Y$4),[1]CRITERIOS!$P$79:$P$123,[1]CRITERIOS!$S$79:$S$123)),0)*[1]CRITERIOS!$M$80*([1]CRITERIOS!$M$110/[1]CRITERIOS!$M$86)+(_xlfn.XLOOKUP(A440,'[1]DATOS PBI Artículos'!$A$4:$A$4,'[1]DATOS PBI Artículos'!$AA$4:$AA$4)*([1]CRITERIOS!$M$95+[1]CRITERIOS!$M$98)))/N440)</f>
        <v>#N/A</v>
      </c>
      <c r="AD440" s="33" t="e">
        <f>IF(N440=0,"",(ROUNDUP((N440/2)/(_xlfn.XLOOKUP(A440,'[1]DATOS PBI Artículos'!$A$4:$A$4,'[1]DATOS PBI Artículos'!$Z$4:$Z$4)*_xlfn.XLOOKUP(_xlfn.XLOOKUP(A440,'[1]DATOS PBI Artículos'!$A$4:$A$4,'[1]DATOS PBI Artículos'!$Y$4:$Y$4),[1]CRITERIOS!$P$79:$P$123,[1]CRITERIOS!$S$79:$S$123)),0)*[1]CRITERIOS!$M$80*([1]CRITERIOS!$M$89*[1]CRITERIOS!$M$92)+((_xlfn.XLOOKUP(A440,'[1]DATOS PBI Artículos'!$A$4:$A$4,'[1]DATOS PBI Artículos'!$AA$4:$AA$4)/2)*([1]CRITERIOS!$M$95+[1]CRITERIOS!$M$98)))/N440)</f>
        <v>#N/A</v>
      </c>
      <c r="AE440" s="39" t="e">
        <f>IF($R440="MTO","",
IF($H440=0,ROUNDUP(((_xlfn.XLOOKUP($A440,'[1]DATOS PBI Artículos'!$A:$A,'[1]DATOS PBI Artículos'!$AL:$AL))/(_xlfn.XLOOKUP($AF$1,[1]CRITERIOS!$S$16:$S$39,[1]CRITERIOS!$Y$16:$Y$39))*$J440+$Z440)/$G440,0)*$G440,
((_xlfn.XLOOKUP($A440,'[1]DATOS PBI Artículos'!$A:$A,'[1]DATOS PBI Artículos'!$AL:$AL))/(_xlfn.XLOOKUP($AF$1,[1]CRITERIOS!$S$16:$S$39,[1]CRITERIOS!$Y$16:$Y$39))*$J440+$Z440)))</f>
        <v>#N/A</v>
      </c>
      <c r="AG440" s="39" t="e">
        <f>IF($R440="MTO","",
IF($H440=0,ROUNDUP(((_xlfn.XLOOKUP($A440,'[1]DATOS PBI Artículos'!$A:$A,'[1]DATOS PBI Artículos'!$AM:$AM))/(_xlfn.XLOOKUP($AH$1,[1]CRITERIOS!$S$16:$S$39,[1]CRITERIOS!$Y$16:$Y$39))*$J440+$Z440)/$G440,0)*$G440,
((_xlfn.XLOOKUP($A440,'[1]DATOS PBI Artículos'!$A:$A,'[1]DATOS PBI Artículos'!$AM:$AM))/(_xlfn.XLOOKUP($AH$1,[1]CRITERIOS!$S$16:$S$39,[1]CRITERIOS!$Y$16:$Y$39))*$J440+$Z440)))</f>
        <v>#N/A</v>
      </c>
      <c r="AI440" s="39" t="e">
        <f>IF($R440="MTO","",
IF($H440=0,ROUNDUP(((_xlfn.XLOOKUP($A440,'[1]DATOS PBI Artículos'!$A:$A,'[1]DATOS PBI Artículos'!$AN:$AN))/(_xlfn.XLOOKUP($AJ$1,[1]CRITERIOS!$S$16:$S$39,[1]CRITERIOS!$Y$16:$Y$39))*$J440+$Z440)/$G440,0)*$G440,
((_xlfn.XLOOKUP($A440,'[1]DATOS PBI Artículos'!$A:$A,'[1]DATOS PBI Artículos'!$AN:$AN))/(_xlfn.XLOOKUP($AJ$1,[1]CRITERIOS!$S$16:$S$39,[1]CRITERIOS!$Y$16:$Y$39))*$J440+$Z440)))</f>
        <v>#N/A</v>
      </c>
      <c r="AK440" s="39" t="e">
        <f>IF($R440="MTO","",
IF($H440=0,ROUNDUP(((_xlfn.XLOOKUP($A440,'[1]DATOS PBI Artículos'!$A:$A,'[1]DATOS PBI Artículos'!$AO:$AO))/(_xlfn.XLOOKUP($AL$1,[1]CRITERIOS!$S$16:$S$39,[1]CRITERIOS!$Y$16:$Y$39))*$J440+$Z440)/$G440,0)*$G440,
((_xlfn.XLOOKUP($A440,'[1]DATOS PBI Artículos'!$A:$A,'[1]DATOS PBI Artículos'!$AO:$AO))/(_xlfn.XLOOKUP($AL$1,[1]CRITERIOS!$S$16:$S$39,[1]CRITERIOS!$Y$16:$Y$39))*$J440+$Z440)))</f>
        <v>#N/A</v>
      </c>
    </row>
    <row r="441" spans="1:37" ht="25.8" hidden="1" x14ac:dyDescent="0.4">
      <c r="A441" s="41"/>
      <c r="B441" s="33">
        <f>_xlfn.XLOOKUP($A441,'[1]DATOS PBI Artículos'!A:A,'[1]DATOS PBI Artículos'!B:B)</f>
        <v>0</v>
      </c>
      <c r="C441" s="33">
        <f>_xlfn.XLOOKUP($A441,'[1]DATOS PBI Artículos'!A:A,'[1]DATOS PBI Artículos'!C:C)</f>
        <v>0</v>
      </c>
      <c r="D441" s="33">
        <f>_xlfn.XLOOKUP(A441,'[1]DATOS PBI Artículos'!A:A,'[1]DATOS PBI Artículos'!T:T)</f>
        <v>0</v>
      </c>
      <c r="E441" s="34">
        <f>IF(_xlfn.XLOOKUP($A441,'[1]DATOS PBI Artículos'!A:A,'[1]DATOS PBI Artículos'!AK:AK)="",_xlfn.XLOOKUP($A441,'[1]DATOS PBI Artículos'!A:A,'[1]DATOS PBI Artículos'!AJ:AJ),_xlfn.XLOOKUP($A441,'[1]DATOS PBI Artículos'!A:A,'[1]DATOS PBI Artículos'!AK:AK))</f>
        <v>0</v>
      </c>
      <c r="F441" s="35">
        <f>_xlfn.XLOOKUP($A441,'[1]DATOS PBI Artículos'!A:A,'[1]DATOS PBI Artículos'!AP:AP)</f>
        <v>0</v>
      </c>
      <c r="G441" s="34">
        <f>_xlfn.XLOOKUP($A441,'[1]DATOS PBI Artículos'!A:A,'[1]DATOS PBI Artículos'!AR:AR)</f>
        <v>0</v>
      </c>
      <c r="H441" s="34">
        <f>_xlfn.XLOOKUP($A441,'[1]DATOS PBI Artículos'!A:A,'[1]DATOS PBI Artículos'!AT:AT)</f>
        <v>0</v>
      </c>
      <c r="I441" s="34">
        <f>_xlfn.XLOOKUP($A441,'[1]DATOS PBI Artículos'!A:A,'[1]DATOS PBI Artículos'!AS:AS)</f>
        <v>0</v>
      </c>
      <c r="J441" s="35">
        <f>IF(COUNTIF([1]CRITERIOS!$F$179:$F$199,$A441)&gt;=1,
 IF(O441&lt;&gt;"",
    (O441/_xlfn.XLOOKUP(CONCATENATE(A441,L441),[1]MÁQUINAS!A:A,[1]MÁQUINAS!D:D))/24,
    (N441/_xlfn.XLOOKUP(CONCATENATE(A441,L441),[1]MÁQUINAS!A:A,[1]MÁQUINAS!D:D))/24),
  _xlfn.XLOOKUP($A441,'[1]DATOS PBI Artículos'!A:A,'[1]DATOS PBI Artículos'!AU:AU))</f>
        <v>0</v>
      </c>
      <c r="K441" s="36">
        <f>_xlfn.XLOOKUP($A441,'[1]DATOS PBI Artículos'!A:A,'[1]DATOS PBI Artículos'!AV:AV)</f>
        <v>0</v>
      </c>
      <c r="L441" s="33">
        <f>_xlfn.XLOOKUP(A441,[1]MÁQUINAS!B:B,[1]MÁQUINAS!C:C)</f>
        <v>0</v>
      </c>
      <c r="M441" s="34">
        <f t="array" ref="M441">_xlfn.XLOOKUP(A441,'[1]DATOS PBI Artículos'!A:A,'[1]DATOS PBI Artículos'!AX:$AX)</f>
        <v>0</v>
      </c>
      <c r="N441" s="37" t="e">
        <f>IF(I441="DV",
E441,
IF(COUNTIF([1]CRITERIOS!$I$179:$I$199,$A441)&gt;=1,
_xlfn.XLOOKUP($A441,[1]CRITERIOS!$I$179:$I$199,[1]CRITERIOS!$J$179:$J$199),
IF(COUNTIF([1]CRITERIOS!$L$179:$L$199,$A441)&gt;=1,
_xlfn.CEILING.MATH(IF($M441&gt;$E441,
$E441,
IF($M441&lt;$E441/ROUNDDOWN([1]CRITERIOS!$M$16/_xlfn.XLOOKUP($C441,[1]CRITERIOS!$K$25:$K$42,[1]CRITERIOS!$M$25:$M$42),
1),
E441/ROUNDDOWN([1]CRITERIOS!$M$16/_xlfn.XLOOKUP($C441,[1]CRITERIOS!$K$25:$K$42,[1]CRITERIOS!$M$25:$M$42),
1),
$M441)),
_xlfn.XLOOKUP($A441,[1]CRITERIOS!$L$179:$L$200,[1]CRITERIOS!$M$179:$M$200)),
_xlfn.CEILING.MATH(IF($M441&gt;$E441,
$E441,
IF($M441&lt;$E441/ROUNDDOWN([1]CRITERIOS!$M$16/_xlfn.XLOOKUP($C441,[1]CRITERIOS!$K$25:$K$42,[1]CRITERIOS!$M$25:$M$42),
1),
E441/ROUNDDOWN([1]CRITERIOS!$M$16/_xlfn.XLOOKUP($C441,[1]CRITERIOS!$K$25:$K$42,[1]CRITERIOS!$M$25:$M$42),
1),
$M441)),_xlfn.XLOOKUP(A441,'[1]DATOS PBI Artículos'!A:A,'[1]DATOS PBI Artículos'!Z:Z
)))))</f>
        <v>#N/A</v>
      </c>
      <c r="Q441" s="38" t="e">
        <f>IF(AND(O441="",N441=0),
0,
   IF(COUNTIF([1]CRITERIOS!$F$179:$F$199,$A441)&gt;=1,
   1,
   IF(R441="MTO",
      $D441,
      ROUNDUP(
                    IF(($E441-SUMIF('[1]DATOS PBI Artículos'!A:A,A441,'[1]DATOS PBI Artículos'!X:X)+($V441-_xlfn.XLOOKUP(A441,'[1]DATOS PBI Artículos'!A:A,'[1]DATOS PBI Artículos'!W:W)))&lt;0,
                    0,
                    IF(($E441-SUMIF('[1]DATOS PBI Artículos'!A:A,A441,'[1]DATOS PBI Artículos'!X:X)+$V441-_xlfn.XLOOKUP($A441,'[1]DATOS PBI Artículos'!A:A,'[1]DATOS PBI Artículos'!W:W))/IF($O441="",$N441,$O441)&gt;ROUNDUP([1]CRITERIOS!$M$16/(IF(COUNTIF([1]CRITERIOS!$BG$11:$BG$201,L441)&gt;=1,_xlfn.XLOOKUP($C441,[1]CRITERIOS!$K$25:$K$42,[1]CRITERIOS!$M$25:$M$42),_xlfn.XLOOKUP($C441,[1]CRITERIOS!$K$25:$K$42,[1]CRITERIOS!$M$25:$M$42))),0),
                    ROUNDUP([1]CRITERIOS!$M$16/(IF(COUNTIF([1]CRITERIOS!$BG$11:$BG$201,$L441)&gt;=1,_xlfn.XLOOKUP($C441,[1]CRITERIOS!$K$25:$K$42,[1]CRITERIOS!$M$25:$M$42),_xlfn.XLOOKUP($C441,[1]CRITERIOS!$K$25:$K$42,[1]CRITERIOS!$M$25:$M$42))),0),
                    (E441+V441-SUMIF('[1]DATOS PBI Artículos'!A:A,A441,'[1]DATOS PBI Artículos'!X:X)-_xlfn.XLOOKUP(A441,'[1]DATOS PBI Artículos'!A:A,'[1]DATOS PBI Artículos'!W:W))/IF($O441="",$N441,$O441))),0))))</f>
        <v>#N/A</v>
      </c>
      <c r="R441" s="33" t="e">
        <f>IF(U441&lt;&gt;"",U441,IF(F441="DV","MTO",IF(N441=0,"MTO",_xlfn.XLOOKUP(CONCATENATE(S441,T441),[1]CRITERIOS!$K$160:$K$168,[1]CRITERIOS!$N$160:$N$168))))</f>
        <v>#N/A</v>
      </c>
      <c r="S441" s="33" t="e">
        <f>IF(G441="DV","MTO",IF(N441=0,"MTO",IF(OR(AND(N441=0,O441=""),IF(O441="",G441/N441,G441/O441)&gt;[1]CRITERIOS!$G$163),"MTO",IF(IF(O441="",G441/N441,G441/O441)&lt;[1]CRITERIOS!$H$161,"MTS","MTOS"))))</f>
        <v>#N/A</v>
      </c>
      <c r="T441" s="33" t="e">
        <f>IF(F441="DV","MTO",IF(OR(AND($N441=0,O441=""),$F441/$J441&gt;[1]CRITERIOS!$G$170,$F441="DV"),"MTO",IF($F441/$J441&lt;[1]CRITERIOS!$H$168,"MTS","MTOS")))</f>
        <v>#N/A</v>
      </c>
      <c r="V441" s="34" t="e">
        <f t="shared" si="22"/>
        <v>#N/A</v>
      </c>
      <c r="X441" s="34" t="e">
        <f t="shared" si="20"/>
        <v>#N/A</v>
      </c>
      <c r="Y441" s="34" t="e">
        <f t="shared" si="21"/>
        <v>#N/A</v>
      </c>
      <c r="Z441" s="34" t="e">
        <f>IF($R441="MTO",
0,
($H441+$K441*($E441/[1]CRITERIOS!$M$16))/[1]CRITERIOS!$X$48)</f>
        <v>#N/A</v>
      </c>
      <c r="AA441" s="34" t="e">
        <f>ROUNDUP(($Y441/_xlfn.XLOOKUP($A441,'[1]DATOS PBI Artículos'!$A$4:$A$4,'[1]DATOS PBI Artículos'!$Z$4:$Z$4))/_xlfn.XLOOKUP(_xlfn.XLOOKUP($A441,'[1]DATOS PBI Artículos'!$A$4:$A$4,'[1]DATOS PBI Artículos'!$Y$4:$Y$4),[1]CRITERIOS!$P$79:$P$123,[1]CRITERIOS!$S$79:$S$123,),0)</f>
        <v>#N/A</v>
      </c>
      <c r="AB441" s="33" t="e">
        <f t="array" ref="AB441">IF((E441+V441-_xlfn.XLOOKUP(A441,'[1]DATOS PBI Artículos'!$A$4:$A$4,'[1]DATOS PBI Artículos'!$W$4:$W$4))/N441&gt;ROUNDUP([1]CRITERIOS!$M$16/(IF(COUNTIF([1]CRITERIOS!$BG$11:$BG$201,L441)&gt;=1,_xlfn.XLOOKUP(ARTÍCULOS!L441,[1]CRITERIOS!$BG$11:$BG$201,[1]CRITERIOS!$BJ$11:$BJ$201),_xlfn.XLOOKUP(ARTÍCULOS!C441,[1]CRITERIOS!$K$25:$K$42,[1]CRITERIOS!$M$25:$M$42))),0),ROUNDUP([1]CRITERIOS!$M$16/(IF(COUNTIF([1]CRITERIOS!$BG$11:$BG$201,L441)&gt;=1,_xlfn.XLOOKUP(ARTÍCULOS!L441,[1]CRITERIOS!$BG$11:$BG$201:#REF!,[1]CRITERIOS!$BJ$11:$BJ$201),_xlfn.XLOOKUP(ARTÍCULOS!C441,[1]CRITERIOS!$K$25:$K$42,[1]CRITERIOS!$M$25:$M$42))),0),(E441+V441-_xlfn.XLOOKUP(A441,'[1]DATOS PBI Artículos'!$A$4:$A$4,'[1]DATOS PBI Artículos'!$W$4:$W$4))/N441)</f>
        <v>#N/A</v>
      </c>
      <c r="AC441" s="33" t="e">
        <f>IF(N441=0,"",(ROUNDUP((N441/2)/(_xlfn.XLOOKUP(A441,'[1]DATOS PBI Artículos'!$A$4:$A$4,'[1]DATOS PBI Artículos'!$Z$4:$Z$4)*_xlfn.XLOOKUP(_xlfn.XLOOKUP(A441,'[1]DATOS PBI Artículos'!$A$4:$A$4,'[1]DATOS PBI Artículos'!$Y$4:$Y$4),[1]CRITERIOS!$P$79:$P$123,[1]CRITERIOS!$S$79:$S$123)),0)*[1]CRITERIOS!$M$80*([1]CRITERIOS!$M$110/[1]CRITERIOS!$M$86)+(_xlfn.XLOOKUP(A441,'[1]DATOS PBI Artículos'!$A$4:$A$4,'[1]DATOS PBI Artículos'!$AA$4:$AA$4)*([1]CRITERIOS!$M$95+[1]CRITERIOS!$M$98)))/N441)</f>
        <v>#N/A</v>
      </c>
      <c r="AD441" s="33" t="e">
        <f>IF(N441=0,"",(ROUNDUP((N441/2)/(_xlfn.XLOOKUP(A441,'[1]DATOS PBI Artículos'!$A$4:$A$4,'[1]DATOS PBI Artículos'!$Z$4:$Z$4)*_xlfn.XLOOKUP(_xlfn.XLOOKUP(A441,'[1]DATOS PBI Artículos'!$A$4:$A$4,'[1]DATOS PBI Artículos'!$Y$4:$Y$4),[1]CRITERIOS!$P$79:$P$123,[1]CRITERIOS!$S$79:$S$123)),0)*[1]CRITERIOS!$M$80*([1]CRITERIOS!$M$89*[1]CRITERIOS!$M$92)+((_xlfn.XLOOKUP(A441,'[1]DATOS PBI Artículos'!$A$4:$A$4,'[1]DATOS PBI Artículos'!$AA$4:$AA$4)/2)*([1]CRITERIOS!$M$95+[1]CRITERIOS!$M$98)))/N441)</f>
        <v>#N/A</v>
      </c>
      <c r="AE441" s="39" t="e">
        <f>IF($R441="MTO","",
IF($H441=0,ROUNDUP(((_xlfn.XLOOKUP($A441,'[1]DATOS PBI Artículos'!$A:$A,'[1]DATOS PBI Artículos'!$AL:$AL))/(_xlfn.XLOOKUP($AF$1,[1]CRITERIOS!$S$16:$S$39,[1]CRITERIOS!$Y$16:$Y$39))*$J441+$Z441)/$G441,0)*$G441,
((_xlfn.XLOOKUP($A441,'[1]DATOS PBI Artículos'!$A:$A,'[1]DATOS PBI Artículos'!$AL:$AL))/(_xlfn.XLOOKUP($AF$1,[1]CRITERIOS!$S$16:$S$39,[1]CRITERIOS!$Y$16:$Y$39))*$J441+$Z441)))</f>
        <v>#N/A</v>
      </c>
      <c r="AG441" s="39" t="e">
        <f>IF($R441="MTO","",
IF($H441=0,ROUNDUP(((_xlfn.XLOOKUP($A441,'[1]DATOS PBI Artículos'!$A:$A,'[1]DATOS PBI Artículos'!$AM:$AM))/(_xlfn.XLOOKUP($AH$1,[1]CRITERIOS!$S$16:$S$39,[1]CRITERIOS!$Y$16:$Y$39))*$J441+$Z441)/$G441,0)*$G441,
((_xlfn.XLOOKUP($A441,'[1]DATOS PBI Artículos'!$A:$A,'[1]DATOS PBI Artículos'!$AM:$AM))/(_xlfn.XLOOKUP($AH$1,[1]CRITERIOS!$S$16:$S$39,[1]CRITERIOS!$Y$16:$Y$39))*$J441+$Z441)))</f>
        <v>#N/A</v>
      </c>
      <c r="AI441" s="39" t="e">
        <f>IF($R441="MTO","",
IF($H441=0,ROUNDUP(((_xlfn.XLOOKUP($A441,'[1]DATOS PBI Artículos'!$A:$A,'[1]DATOS PBI Artículos'!$AN:$AN))/(_xlfn.XLOOKUP($AJ$1,[1]CRITERIOS!$S$16:$S$39,[1]CRITERIOS!$Y$16:$Y$39))*$J441+$Z441)/$G441,0)*$G441,
((_xlfn.XLOOKUP($A441,'[1]DATOS PBI Artículos'!$A:$A,'[1]DATOS PBI Artículos'!$AN:$AN))/(_xlfn.XLOOKUP($AJ$1,[1]CRITERIOS!$S$16:$S$39,[1]CRITERIOS!$Y$16:$Y$39))*$J441+$Z441)))</f>
        <v>#N/A</v>
      </c>
      <c r="AK441" s="39" t="e">
        <f>IF($R441="MTO","",
IF($H441=0,ROUNDUP(((_xlfn.XLOOKUP($A441,'[1]DATOS PBI Artículos'!$A:$A,'[1]DATOS PBI Artículos'!$AO:$AO))/(_xlfn.XLOOKUP($AL$1,[1]CRITERIOS!$S$16:$S$39,[1]CRITERIOS!$Y$16:$Y$39))*$J441+$Z441)/$G441,0)*$G441,
((_xlfn.XLOOKUP($A441,'[1]DATOS PBI Artículos'!$A:$A,'[1]DATOS PBI Artículos'!$AO:$AO))/(_xlfn.XLOOKUP($AL$1,[1]CRITERIOS!$S$16:$S$39,[1]CRITERIOS!$Y$16:$Y$39))*$J441+$Z441)))</f>
        <v>#N/A</v>
      </c>
    </row>
    <row r="442" spans="1:37" ht="25.8" hidden="1" x14ac:dyDescent="0.4">
      <c r="A442" s="41"/>
      <c r="B442" s="33">
        <f>_xlfn.XLOOKUP($A442,'[1]DATOS PBI Artículos'!A:A,'[1]DATOS PBI Artículos'!B:B)</f>
        <v>0</v>
      </c>
      <c r="C442" s="33">
        <f>_xlfn.XLOOKUP($A442,'[1]DATOS PBI Artículos'!A:A,'[1]DATOS PBI Artículos'!C:C)</f>
        <v>0</v>
      </c>
      <c r="D442" s="33">
        <f>_xlfn.XLOOKUP(A442,'[1]DATOS PBI Artículos'!A:A,'[1]DATOS PBI Artículos'!T:T)</f>
        <v>0</v>
      </c>
      <c r="E442" s="34">
        <f>IF(_xlfn.XLOOKUP($A442,'[1]DATOS PBI Artículos'!A:A,'[1]DATOS PBI Artículos'!AK:AK)="",_xlfn.XLOOKUP($A442,'[1]DATOS PBI Artículos'!A:A,'[1]DATOS PBI Artículos'!AJ:AJ),_xlfn.XLOOKUP($A442,'[1]DATOS PBI Artículos'!A:A,'[1]DATOS PBI Artículos'!AK:AK))</f>
        <v>0</v>
      </c>
      <c r="F442" s="35">
        <f>_xlfn.XLOOKUP($A442,'[1]DATOS PBI Artículos'!A:A,'[1]DATOS PBI Artículos'!AP:AP)</f>
        <v>0</v>
      </c>
      <c r="G442" s="34">
        <f>_xlfn.XLOOKUP($A442,'[1]DATOS PBI Artículos'!A:A,'[1]DATOS PBI Artículos'!AR:AR)</f>
        <v>0</v>
      </c>
      <c r="H442" s="34">
        <f>_xlfn.XLOOKUP($A442,'[1]DATOS PBI Artículos'!A:A,'[1]DATOS PBI Artículos'!AT:AT)</f>
        <v>0</v>
      </c>
      <c r="I442" s="34">
        <f>_xlfn.XLOOKUP($A442,'[1]DATOS PBI Artículos'!A:A,'[1]DATOS PBI Artículos'!AS:AS)</f>
        <v>0</v>
      </c>
      <c r="J442" s="35">
        <f>IF(COUNTIF([1]CRITERIOS!$F$179:$F$199,$A442)&gt;=1,
 IF(O442&lt;&gt;"",
    (O442/_xlfn.XLOOKUP(CONCATENATE(A442,L442),[1]MÁQUINAS!A:A,[1]MÁQUINAS!D:D))/24,
    (N442/_xlfn.XLOOKUP(CONCATENATE(A442,L442),[1]MÁQUINAS!A:A,[1]MÁQUINAS!D:D))/24),
  _xlfn.XLOOKUP($A442,'[1]DATOS PBI Artículos'!A:A,'[1]DATOS PBI Artículos'!AU:AU))</f>
        <v>0</v>
      </c>
      <c r="K442" s="36">
        <f>_xlfn.XLOOKUP($A442,'[1]DATOS PBI Artículos'!A:A,'[1]DATOS PBI Artículos'!AV:AV)</f>
        <v>0</v>
      </c>
      <c r="L442" s="33">
        <f>_xlfn.XLOOKUP(A442,[1]MÁQUINAS!B:B,[1]MÁQUINAS!C:C)</f>
        <v>0</v>
      </c>
      <c r="M442" s="34">
        <f t="array" ref="M442">_xlfn.XLOOKUP(A442,'[1]DATOS PBI Artículos'!A:A,'[1]DATOS PBI Artículos'!AX:$AX)</f>
        <v>0</v>
      </c>
      <c r="N442" s="37" t="e">
        <f>IF(I442="DV",
E442,
IF(COUNTIF([1]CRITERIOS!$I$179:$I$199,$A442)&gt;=1,
_xlfn.XLOOKUP($A442,[1]CRITERIOS!$I$179:$I$199,[1]CRITERIOS!$J$179:$J$199),
IF(COUNTIF([1]CRITERIOS!$L$179:$L$199,$A442)&gt;=1,
_xlfn.CEILING.MATH(IF($M442&gt;$E442,
$E442,
IF($M442&lt;$E442/ROUNDDOWN([1]CRITERIOS!$M$16/_xlfn.XLOOKUP($C442,[1]CRITERIOS!$K$25:$K$42,[1]CRITERIOS!$M$25:$M$42),
1),
E442/ROUNDDOWN([1]CRITERIOS!$M$16/_xlfn.XLOOKUP($C442,[1]CRITERIOS!$K$25:$K$42,[1]CRITERIOS!$M$25:$M$42),
1),
$M442)),
_xlfn.XLOOKUP($A442,[1]CRITERIOS!$L$179:$L$200,[1]CRITERIOS!$M$179:$M$200)),
_xlfn.CEILING.MATH(IF($M442&gt;$E442,
$E442,
IF($M442&lt;$E442/ROUNDDOWN([1]CRITERIOS!$M$16/_xlfn.XLOOKUP($C442,[1]CRITERIOS!$K$25:$K$42,[1]CRITERIOS!$M$25:$M$42),
1),
E442/ROUNDDOWN([1]CRITERIOS!$M$16/_xlfn.XLOOKUP($C442,[1]CRITERIOS!$K$25:$K$42,[1]CRITERIOS!$M$25:$M$42),
1),
$M442)),_xlfn.XLOOKUP(A442,'[1]DATOS PBI Artículos'!A:A,'[1]DATOS PBI Artículos'!Z:Z
)))))</f>
        <v>#N/A</v>
      </c>
      <c r="Q442" s="38" t="e">
        <f>IF(AND(O442="",N442=0),
0,
   IF(COUNTIF([1]CRITERIOS!$F$179:$F$199,$A442)&gt;=1,
   1,
   IF(R442="MTO",
      $D442,
      ROUNDUP(
                    IF(($E442-SUMIF('[1]DATOS PBI Artículos'!A:A,A442,'[1]DATOS PBI Artículos'!X:X)+($V442-_xlfn.XLOOKUP(A442,'[1]DATOS PBI Artículos'!A:A,'[1]DATOS PBI Artículos'!W:W)))&lt;0,
                    0,
                    IF(($E442-SUMIF('[1]DATOS PBI Artículos'!A:A,A442,'[1]DATOS PBI Artículos'!X:X)+$V442-_xlfn.XLOOKUP($A442,'[1]DATOS PBI Artículos'!A:A,'[1]DATOS PBI Artículos'!W:W))/IF($O442="",$N442,$O442)&gt;ROUNDUP([1]CRITERIOS!$M$16/(IF(COUNTIF([1]CRITERIOS!$BG$11:$BG$201,L442)&gt;=1,_xlfn.XLOOKUP($C442,[1]CRITERIOS!$K$25:$K$42,[1]CRITERIOS!$M$25:$M$42),_xlfn.XLOOKUP($C442,[1]CRITERIOS!$K$25:$K$42,[1]CRITERIOS!$M$25:$M$42))),0),
                    ROUNDUP([1]CRITERIOS!$M$16/(IF(COUNTIF([1]CRITERIOS!$BG$11:$BG$201,$L442)&gt;=1,_xlfn.XLOOKUP($C442,[1]CRITERIOS!$K$25:$K$42,[1]CRITERIOS!$M$25:$M$42),_xlfn.XLOOKUP($C442,[1]CRITERIOS!$K$25:$K$42,[1]CRITERIOS!$M$25:$M$42))),0),
                    (E442+V442-SUMIF('[1]DATOS PBI Artículos'!A:A,A442,'[1]DATOS PBI Artículos'!X:X)-_xlfn.XLOOKUP(A442,'[1]DATOS PBI Artículos'!A:A,'[1]DATOS PBI Artículos'!W:W))/IF($O442="",$N442,$O442))),0))))</f>
        <v>#N/A</v>
      </c>
      <c r="R442" s="33" t="e">
        <f>IF(U442&lt;&gt;"",U442,IF(F442="DV","MTO",IF(N442=0,"MTO",_xlfn.XLOOKUP(CONCATENATE(S442,T442),[1]CRITERIOS!$K$160:$K$168,[1]CRITERIOS!$N$160:$N$168))))</f>
        <v>#N/A</v>
      </c>
      <c r="S442" s="33" t="e">
        <f>IF(G442="DV","MTO",IF(N442=0,"MTO",IF(OR(AND(N442=0,O442=""),IF(O442="",G442/N442,G442/O442)&gt;[1]CRITERIOS!$G$163),"MTO",IF(IF(O442="",G442/N442,G442/O442)&lt;[1]CRITERIOS!$H$161,"MTS","MTOS"))))</f>
        <v>#N/A</v>
      </c>
      <c r="T442" s="33" t="e">
        <f>IF(F442="DV","MTO",IF(OR(AND($N442=0,O442=""),$F442/$J442&gt;[1]CRITERIOS!$G$170,$F442="DV"),"MTO",IF($F442/$J442&lt;[1]CRITERIOS!$H$168,"MTS","MTOS")))</f>
        <v>#N/A</v>
      </c>
      <c r="V442" s="34" t="e">
        <f t="shared" si="22"/>
        <v>#N/A</v>
      </c>
      <c r="X442" s="34" t="e">
        <f t="shared" si="20"/>
        <v>#N/A</v>
      </c>
      <c r="Y442" s="34" t="e">
        <f t="shared" si="21"/>
        <v>#N/A</v>
      </c>
      <c r="Z442" s="34" t="e">
        <f>IF($R442="MTO",
0,
($H442+$K442*($E442/[1]CRITERIOS!$M$16))/[1]CRITERIOS!$X$48)</f>
        <v>#N/A</v>
      </c>
      <c r="AA442" s="34" t="e">
        <f>ROUNDUP(($Y442/_xlfn.XLOOKUP($A442,'[1]DATOS PBI Artículos'!$A$4:$A$4,'[1]DATOS PBI Artículos'!$Z$4:$Z$4))/_xlfn.XLOOKUP(_xlfn.XLOOKUP($A442,'[1]DATOS PBI Artículos'!$A$4:$A$4,'[1]DATOS PBI Artículos'!$Y$4:$Y$4),[1]CRITERIOS!$P$79:$P$123,[1]CRITERIOS!$S$79:$S$123,),0)</f>
        <v>#N/A</v>
      </c>
      <c r="AB442" s="33" t="e">
        <f t="array" ref="AB442">IF((E442+V442-_xlfn.XLOOKUP(A442,'[1]DATOS PBI Artículos'!$A$4:$A$4,'[1]DATOS PBI Artículos'!$W$4:$W$4))/N442&gt;ROUNDUP([1]CRITERIOS!$M$16/(IF(COUNTIF([1]CRITERIOS!$BG$11:$BG$201,L442)&gt;=1,_xlfn.XLOOKUP(ARTÍCULOS!L442,[1]CRITERIOS!$BG$11:$BG$201,[1]CRITERIOS!$BJ$11:$BJ$201),_xlfn.XLOOKUP(ARTÍCULOS!C442,[1]CRITERIOS!$K$25:$K$42,[1]CRITERIOS!$M$25:$M$42))),0),ROUNDUP([1]CRITERIOS!$M$16/(IF(COUNTIF([1]CRITERIOS!$BG$11:$BG$201,L442)&gt;=1,_xlfn.XLOOKUP(ARTÍCULOS!L442,[1]CRITERIOS!$BG$11:$BG$201:#REF!,[1]CRITERIOS!$BJ$11:$BJ$201),_xlfn.XLOOKUP(ARTÍCULOS!C442,[1]CRITERIOS!$K$25:$K$42,[1]CRITERIOS!$M$25:$M$42))),0),(E442+V442-_xlfn.XLOOKUP(A442,'[1]DATOS PBI Artículos'!$A$4:$A$4,'[1]DATOS PBI Artículos'!$W$4:$W$4))/N442)</f>
        <v>#N/A</v>
      </c>
      <c r="AC442" s="33" t="e">
        <f>IF(N442=0,"",(ROUNDUP((N442/2)/(_xlfn.XLOOKUP(A442,'[1]DATOS PBI Artículos'!$A$4:$A$4,'[1]DATOS PBI Artículos'!$Z$4:$Z$4)*_xlfn.XLOOKUP(_xlfn.XLOOKUP(A442,'[1]DATOS PBI Artículos'!$A$4:$A$4,'[1]DATOS PBI Artículos'!$Y$4:$Y$4),[1]CRITERIOS!$P$79:$P$123,[1]CRITERIOS!$S$79:$S$123)),0)*[1]CRITERIOS!$M$80*([1]CRITERIOS!$M$110/[1]CRITERIOS!$M$86)+(_xlfn.XLOOKUP(A442,'[1]DATOS PBI Artículos'!$A$4:$A$4,'[1]DATOS PBI Artículos'!$AA$4:$AA$4)*([1]CRITERIOS!$M$95+[1]CRITERIOS!$M$98)))/N442)</f>
        <v>#N/A</v>
      </c>
      <c r="AD442" s="33" t="e">
        <f>IF(N442=0,"",(ROUNDUP((N442/2)/(_xlfn.XLOOKUP(A442,'[1]DATOS PBI Artículos'!$A$4:$A$4,'[1]DATOS PBI Artículos'!$Z$4:$Z$4)*_xlfn.XLOOKUP(_xlfn.XLOOKUP(A442,'[1]DATOS PBI Artículos'!$A$4:$A$4,'[1]DATOS PBI Artículos'!$Y$4:$Y$4),[1]CRITERIOS!$P$79:$P$123,[1]CRITERIOS!$S$79:$S$123)),0)*[1]CRITERIOS!$M$80*([1]CRITERIOS!$M$89*[1]CRITERIOS!$M$92)+((_xlfn.XLOOKUP(A442,'[1]DATOS PBI Artículos'!$A$4:$A$4,'[1]DATOS PBI Artículos'!$AA$4:$AA$4)/2)*([1]CRITERIOS!$M$95+[1]CRITERIOS!$M$98)))/N442)</f>
        <v>#N/A</v>
      </c>
      <c r="AE442" s="39" t="e">
        <f>IF($R442="MTO","",
IF($H442=0,ROUNDUP(((_xlfn.XLOOKUP($A442,'[1]DATOS PBI Artículos'!$A:$A,'[1]DATOS PBI Artículos'!$AL:$AL))/(_xlfn.XLOOKUP($AF$1,[1]CRITERIOS!$S$16:$S$39,[1]CRITERIOS!$Y$16:$Y$39))*$J442+$Z442)/$G442,0)*$G442,
((_xlfn.XLOOKUP($A442,'[1]DATOS PBI Artículos'!$A:$A,'[1]DATOS PBI Artículos'!$AL:$AL))/(_xlfn.XLOOKUP($AF$1,[1]CRITERIOS!$S$16:$S$39,[1]CRITERIOS!$Y$16:$Y$39))*$J442+$Z442)))</f>
        <v>#N/A</v>
      </c>
      <c r="AG442" s="39" t="e">
        <f>IF($R442="MTO","",
IF($H442=0,ROUNDUP(((_xlfn.XLOOKUP($A442,'[1]DATOS PBI Artículos'!$A:$A,'[1]DATOS PBI Artículos'!$AM:$AM))/(_xlfn.XLOOKUP($AH$1,[1]CRITERIOS!$S$16:$S$39,[1]CRITERIOS!$Y$16:$Y$39))*$J442+$Z442)/$G442,0)*$G442,
((_xlfn.XLOOKUP($A442,'[1]DATOS PBI Artículos'!$A:$A,'[1]DATOS PBI Artículos'!$AM:$AM))/(_xlfn.XLOOKUP($AH$1,[1]CRITERIOS!$S$16:$S$39,[1]CRITERIOS!$Y$16:$Y$39))*$J442+$Z442)))</f>
        <v>#N/A</v>
      </c>
      <c r="AI442" s="39" t="e">
        <f>IF($R442="MTO","",
IF($H442=0,ROUNDUP(((_xlfn.XLOOKUP($A442,'[1]DATOS PBI Artículos'!$A:$A,'[1]DATOS PBI Artículos'!$AN:$AN))/(_xlfn.XLOOKUP($AJ$1,[1]CRITERIOS!$S$16:$S$39,[1]CRITERIOS!$Y$16:$Y$39))*$J442+$Z442)/$G442,0)*$G442,
((_xlfn.XLOOKUP($A442,'[1]DATOS PBI Artículos'!$A:$A,'[1]DATOS PBI Artículos'!$AN:$AN))/(_xlfn.XLOOKUP($AJ$1,[1]CRITERIOS!$S$16:$S$39,[1]CRITERIOS!$Y$16:$Y$39))*$J442+$Z442)))</f>
        <v>#N/A</v>
      </c>
      <c r="AK442" s="39" t="e">
        <f>IF($R442="MTO","",
IF($H442=0,ROUNDUP(((_xlfn.XLOOKUP($A442,'[1]DATOS PBI Artículos'!$A:$A,'[1]DATOS PBI Artículos'!$AO:$AO))/(_xlfn.XLOOKUP($AL$1,[1]CRITERIOS!$S$16:$S$39,[1]CRITERIOS!$Y$16:$Y$39))*$J442+$Z442)/$G442,0)*$G442,
((_xlfn.XLOOKUP($A442,'[1]DATOS PBI Artículos'!$A:$A,'[1]DATOS PBI Artículos'!$AO:$AO))/(_xlfn.XLOOKUP($AL$1,[1]CRITERIOS!$S$16:$S$39,[1]CRITERIOS!$Y$16:$Y$39))*$J442+$Z442)))</f>
        <v>#N/A</v>
      </c>
    </row>
    <row r="443" spans="1:37" ht="25.8" hidden="1" x14ac:dyDescent="0.4">
      <c r="A443" s="41"/>
      <c r="B443" s="33">
        <f>_xlfn.XLOOKUP($A443,'[1]DATOS PBI Artículos'!A:A,'[1]DATOS PBI Artículos'!B:B)</f>
        <v>0</v>
      </c>
      <c r="C443" s="33">
        <f>_xlfn.XLOOKUP($A443,'[1]DATOS PBI Artículos'!A:A,'[1]DATOS PBI Artículos'!C:C)</f>
        <v>0</v>
      </c>
      <c r="D443" s="33">
        <f>_xlfn.XLOOKUP(A443,'[1]DATOS PBI Artículos'!A:A,'[1]DATOS PBI Artículos'!T:T)</f>
        <v>0</v>
      </c>
      <c r="E443" s="34">
        <f>IF(_xlfn.XLOOKUP($A443,'[1]DATOS PBI Artículos'!A:A,'[1]DATOS PBI Artículos'!AK:AK)="",_xlfn.XLOOKUP($A443,'[1]DATOS PBI Artículos'!A:A,'[1]DATOS PBI Artículos'!AJ:AJ),_xlfn.XLOOKUP($A443,'[1]DATOS PBI Artículos'!A:A,'[1]DATOS PBI Artículos'!AK:AK))</f>
        <v>0</v>
      </c>
      <c r="F443" s="35">
        <f>_xlfn.XLOOKUP($A443,'[1]DATOS PBI Artículos'!A:A,'[1]DATOS PBI Artículos'!AP:AP)</f>
        <v>0</v>
      </c>
      <c r="G443" s="34">
        <f>_xlfn.XLOOKUP($A443,'[1]DATOS PBI Artículos'!A:A,'[1]DATOS PBI Artículos'!AR:AR)</f>
        <v>0</v>
      </c>
      <c r="H443" s="34">
        <f>_xlfn.XLOOKUP($A443,'[1]DATOS PBI Artículos'!A:A,'[1]DATOS PBI Artículos'!AT:AT)</f>
        <v>0</v>
      </c>
      <c r="I443" s="34">
        <f>_xlfn.XLOOKUP($A443,'[1]DATOS PBI Artículos'!A:A,'[1]DATOS PBI Artículos'!AS:AS)</f>
        <v>0</v>
      </c>
      <c r="J443" s="35">
        <f>IF(COUNTIF([1]CRITERIOS!$F$179:$F$199,$A443)&gt;=1,
 IF(O443&lt;&gt;"",
    (O443/_xlfn.XLOOKUP(CONCATENATE(A443,L443),[1]MÁQUINAS!A:A,[1]MÁQUINAS!D:D))/24,
    (N443/_xlfn.XLOOKUP(CONCATENATE(A443,L443),[1]MÁQUINAS!A:A,[1]MÁQUINAS!D:D))/24),
  _xlfn.XLOOKUP($A443,'[1]DATOS PBI Artículos'!A:A,'[1]DATOS PBI Artículos'!AU:AU))</f>
        <v>0</v>
      </c>
      <c r="K443" s="36">
        <f>_xlfn.XLOOKUP($A443,'[1]DATOS PBI Artículos'!A:A,'[1]DATOS PBI Artículos'!AV:AV)</f>
        <v>0</v>
      </c>
      <c r="L443" s="33">
        <f>_xlfn.XLOOKUP(A443,[1]MÁQUINAS!B:B,[1]MÁQUINAS!C:C)</f>
        <v>0</v>
      </c>
      <c r="M443" s="34">
        <f t="array" ref="M443">_xlfn.XLOOKUP(A443,'[1]DATOS PBI Artículos'!A:A,'[1]DATOS PBI Artículos'!AX:$AX)</f>
        <v>0</v>
      </c>
      <c r="N443" s="37" t="e">
        <f>IF(I443="DV",
E443,
IF(COUNTIF([1]CRITERIOS!$I$179:$I$199,$A443)&gt;=1,
_xlfn.XLOOKUP($A443,[1]CRITERIOS!$I$179:$I$199,[1]CRITERIOS!$J$179:$J$199),
IF(COUNTIF([1]CRITERIOS!$L$179:$L$199,$A443)&gt;=1,
_xlfn.CEILING.MATH(IF($M443&gt;$E443,
$E443,
IF($M443&lt;$E443/ROUNDDOWN([1]CRITERIOS!$M$16/_xlfn.XLOOKUP($C443,[1]CRITERIOS!$K$25:$K$42,[1]CRITERIOS!$M$25:$M$42),
1),
E443/ROUNDDOWN([1]CRITERIOS!$M$16/_xlfn.XLOOKUP($C443,[1]CRITERIOS!$K$25:$K$42,[1]CRITERIOS!$M$25:$M$42),
1),
$M443)),
_xlfn.XLOOKUP($A443,[1]CRITERIOS!$L$179:$L$200,[1]CRITERIOS!$M$179:$M$200)),
_xlfn.CEILING.MATH(IF($M443&gt;$E443,
$E443,
IF($M443&lt;$E443/ROUNDDOWN([1]CRITERIOS!$M$16/_xlfn.XLOOKUP($C443,[1]CRITERIOS!$K$25:$K$42,[1]CRITERIOS!$M$25:$M$42),
1),
E443/ROUNDDOWN([1]CRITERIOS!$M$16/_xlfn.XLOOKUP($C443,[1]CRITERIOS!$K$25:$K$42,[1]CRITERIOS!$M$25:$M$42),
1),
$M443)),_xlfn.XLOOKUP(A443,'[1]DATOS PBI Artículos'!A:A,'[1]DATOS PBI Artículos'!Z:Z
)))))</f>
        <v>#N/A</v>
      </c>
      <c r="Q443" s="38" t="e">
        <f>IF(AND(O443="",N443=0),
0,
   IF(COUNTIF([1]CRITERIOS!$F$179:$F$199,$A443)&gt;=1,
   1,
   IF(R443="MTO",
      $D443,
      ROUNDUP(
                    IF(($E443-SUMIF('[1]DATOS PBI Artículos'!A:A,A443,'[1]DATOS PBI Artículos'!X:X)+($V443-_xlfn.XLOOKUP(A443,'[1]DATOS PBI Artículos'!A:A,'[1]DATOS PBI Artículos'!W:W)))&lt;0,
                    0,
                    IF(($E443-SUMIF('[1]DATOS PBI Artículos'!A:A,A443,'[1]DATOS PBI Artículos'!X:X)+$V443-_xlfn.XLOOKUP($A443,'[1]DATOS PBI Artículos'!A:A,'[1]DATOS PBI Artículos'!W:W))/IF($O443="",$N443,$O443)&gt;ROUNDUP([1]CRITERIOS!$M$16/(IF(COUNTIF([1]CRITERIOS!$BG$11:$BG$201,L443)&gt;=1,_xlfn.XLOOKUP($C443,[1]CRITERIOS!$K$25:$K$42,[1]CRITERIOS!$M$25:$M$42),_xlfn.XLOOKUP($C443,[1]CRITERIOS!$K$25:$K$42,[1]CRITERIOS!$M$25:$M$42))),0),
                    ROUNDUP([1]CRITERIOS!$M$16/(IF(COUNTIF([1]CRITERIOS!$BG$11:$BG$201,$L443)&gt;=1,_xlfn.XLOOKUP($C443,[1]CRITERIOS!$K$25:$K$42,[1]CRITERIOS!$M$25:$M$42),_xlfn.XLOOKUP($C443,[1]CRITERIOS!$K$25:$K$42,[1]CRITERIOS!$M$25:$M$42))),0),
                    (E443+V443-SUMIF('[1]DATOS PBI Artículos'!A:A,A443,'[1]DATOS PBI Artículos'!X:X)-_xlfn.XLOOKUP(A443,'[1]DATOS PBI Artículos'!A:A,'[1]DATOS PBI Artículos'!W:W))/IF($O443="",$N443,$O443))),0))))</f>
        <v>#N/A</v>
      </c>
      <c r="R443" s="33" t="e">
        <f>IF(U443&lt;&gt;"",U443,IF(F443="DV","MTO",IF(N443=0,"MTO",_xlfn.XLOOKUP(CONCATENATE(S443,T443),[1]CRITERIOS!$K$160:$K$168,[1]CRITERIOS!$N$160:$N$168))))</f>
        <v>#N/A</v>
      </c>
      <c r="S443" s="33" t="e">
        <f>IF(G443="DV","MTO",IF(N443=0,"MTO",IF(OR(AND(N443=0,O443=""),IF(O443="",G443/N443,G443/O443)&gt;[1]CRITERIOS!$G$163),"MTO",IF(IF(O443="",G443/N443,G443/O443)&lt;[1]CRITERIOS!$H$161,"MTS","MTOS"))))</f>
        <v>#N/A</v>
      </c>
      <c r="T443" s="33" t="e">
        <f>IF(F443="DV","MTO",IF(OR(AND($N443=0,O443=""),$F443/$J443&gt;[1]CRITERIOS!$G$170,$F443="DV"),"MTO",IF($F443/$J443&lt;[1]CRITERIOS!$H$168,"MTS","MTOS")))</f>
        <v>#N/A</v>
      </c>
      <c r="V443" s="34" t="e">
        <f t="shared" si="22"/>
        <v>#N/A</v>
      </c>
      <c r="X443" s="34" t="e">
        <f t="shared" si="20"/>
        <v>#N/A</v>
      </c>
      <c r="Y443" s="34" t="e">
        <f t="shared" si="21"/>
        <v>#N/A</v>
      </c>
      <c r="Z443" s="34" t="e">
        <f>IF($R443="MTO",
0,
($H443+$K443*($E443/[1]CRITERIOS!$M$16))/[1]CRITERIOS!$X$48)</f>
        <v>#N/A</v>
      </c>
      <c r="AA443" s="34" t="e">
        <f>ROUNDUP(($Y443/_xlfn.XLOOKUP($A443,'[1]DATOS PBI Artículos'!$A$4:$A$4,'[1]DATOS PBI Artículos'!$Z$4:$Z$4))/_xlfn.XLOOKUP(_xlfn.XLOOKUP($A443,'[1]DATOS PBI Artículos'!$A$4:$A$4,'[1]DATOS PBI Artículos'!$Y$4:$Y$4),[1]CRITERIOS!$P$79:$P$123,[1]CRITERIOS!$S$79:$S$123,),0)</f>
        <v>#N/A</v>
      </c>
      <c r="AB443" s="33" t="e">
        <f t="array" ref="AB443">IF((E443+V443-_xlfn.XLOOKUP(A443,'[1]DATOS PBI Artículos'!$A$4:$A$4,'[1]DATOS PBI Artículos'!$W$4:$W$4))/N443&gt;ROUNDUP([1]CRITERIOS!$M$16/(IF(COUNTIF([1]CRITERIOS!$BG$11:$BG$201,L443)&gt;=1,_xlfn.XLOOKUP(ARTÍCULOS!L443,[1]CRITERIOS!$BG$11:$BG$201,[1]CRITERIOS!$BJ$11:$BJ$201),_xlfn.XLOOKUP(ARTÍCULOS!C443,[1]CRITERIOS!$K$25:$K$42,[1]CRITERIOS!$M$25:$M$42))),0),ROUNDUP([1]CRITERIOS!$M$16/(IF(COUNTIF([1]CRITERIOS!$BG$11:$BG$201,L443)&gt;=1,_xlfn.XLOOKUP(ARTÍCULOS!L443,[1]CRITERIOS!$BG$11:$BG$201:#REF!,[1]CRITERIOS!$BJ$11:$BJ$201),_xlfn.XLOOKUP(ARTÍCULOS!C443,[1]CRITERIOS!$K$25:$K$42,[1]CRITERIOS!$M$25:$M$42))),0),(E443+V443-_xlfn.XLOOKUP(A443,'[1]DATOS PBI Artículos'!$A$4:$A$4,'[1]DATOS PBI Artículos'!$W$4:$W$4))/N443)</f>
        <v>#N/A</v>
      </c>
      <c r="AC443" s="33" t="e">
        <f>IF(N443=0,"",(ROUNDUP((N443/2)/(_xlfn.XLOOKUP(A443,'[1]DATOS PBI Artículos'!$A$4:$A$4,'[1]DATOS PBI Artículos'!$Z$4:$Z$4)*_xlfn.XLOOKUP(_xlfn.XLOOKUP(A443,'[1]DATOS PBI Artículos'!$A$4:$A$4,'[1]DATOS PBI Artículos'!$Y$4:$Y$4),[1]CRITERIOS!$P$79:$P$123,[1]CRITERIOS!$S$79:$S$123)),0)*[1]CRITERIOS!$M$80*([1]CRITERIOS!$M$110/[1]CRITERIOS!$M$86)+(_xlfn.XLOOKUP(A443,'[1]DATOS PBI Artículos'!$A$4:$A$4,'[1]DATOS PBI Artículos'!$AA$4:$AA$4)*([1]CRITERIOS!$M$95+[1]CRITERIOS!$M$98)))/N443)</f>
        <v>#N/A</v>
      </c>
      <c r="AD443" s="33" t="e">
        <f>IF(N443=0,"",(ROUNDUP((N443/2)/(_xlfn.XLOOKUP(A443,'[1]DATOS PBI Artículos'!$A$4:$A$4,'[1]DATOS PBI Artículos'!$Z$4:$Z$4)*_xlfn.XLOOKUP(_xlfn.XLOOKUP(A443,'[1]DATOS PBI Artículos'!$A$4:$A$4,'[1]DATOS PBI Artículos'!$Y$4:$Y$4),[1]CRITERIOS!$P$79:$P$123,[1]CRITERIOS!$S$79:$S$123)),0)*[1]CRITERIOS!$M$80*([1]CRITERIOS!$M$89*[1]CRITERIOS!$M$92)+((_xlfn.XLOOKUP(A443,'[1]DATOS PBI Artículos'!$A$4:$A$4,'[1]DATOS PBI Artículos'!$AA$4:$AA$4)/2)*([1]CRITERIOS!$M$95+[1]CRITERIOS!$M$98)))/N443)</f>
        <v>#N/A</v>
      </c>
      <c r="AE443" s="39" t="e">
        <f>IF($R443="MTO","",
IF($H443=0,ROUNDUP(((_xlfn.XLOOKUP($A443,'[1]DATOS PBI Artículos'!$A:$A,'[1]DATOS PBI Artículos'!$AL:$AL))/(_xlfn.XLOOKUP($AF$1,[1]CRITERIOS!$S$16:$S$39,[1]CRITERIOS!$Y$16:$Y$39))*$J443+$Z443)/$G443,0)*$G443,
((_xlfn.XLOOKUP($A443,'[1]DATOS PBI Artículos'!$A:$A,'[1]DATOS PBI Artículos'!$AL:$AL))/(_xlfn.XLOOKUP($AF$1,[1]CRITERIOS!$S$16:$S$39,[1]CRITERIOS!$Y$16:$Y$39))*$J443+$Z443)))</f>
        <v>#N/A</v>
      </c>
      <c r="AG443" s="39" t="e">
        <f>IF($R443="MTO","",
IF($H443=0,ROUNDUP(((_xlfn.XLOOKUP($A443,'[1]DATOS PBI Artículos'!$A:$A,'[1]DATOS PBI Artículos'!$AM:$AM))/(_xlfn.XLOOKUP($AH$1,[1]CRITERIOS!$S$16:$S$39,[1]CRITERIOS!$Y$16:$Y$39))*$J443+$Z443)/$G443,0)*$G443,
((_xlfn.XLOOKUP($A443,'[1]DATOS PBI Artículos'!$A:$A,'[1]DATOS PBI Artículos'!$AM:$AM))/(_xlfn.XLOOKUP($AH$1,[1]CRITERIOS!$S$16:$S$39,[1]CRITERIOS!$Y$16:$Y$39))*$J443+$Z443)))</f>
        <v>#N/A</v>
      </c>
      <c r="AI443" s="39" t="e">
        <f>IF($R443="MTO","",
IF($H443=0,ROUNDUP(((_xlfn.XLOOKUP($A443,'[1]DATOS PBI Artículos'!$A:$A,'[1]DATOS PBI Artículos'!$AN:$AN))/(_xlfn.XLOOKUP($AJ$1,[1]CRITERIOS!$S$16:$S$39,[1]CRITERIOS!$Y$16:$Y$39))*$J443+$Z443)/$G443,0)*$G443,
((_xlfn.XLOOKUP($A443,'[1]DATOS PBI Artículos'!$A:$A,'[1]DATOS PBI Artículos'!$AN:$AN))/(_xlfn.XLOOKUP($AJ$1,[1]CRITERIOS!$S$16:$S$39,[1]CRITERIOS!$Y$16:$Y$39))*$J443+$Z443)))</f>
        <v>#N/A</v>
      </c>
      <c r="AK443" s="39" t="e">
        <f>IF($R443="MTO","",
IF($H443=0,ROUNDUP(((_xlfn.XLOOKUP($A443,'[1]DATOS PBI Artículos'!$A:$A,'[1]DATOS PBI Artículos'!$AO:$AO))/(_xlfn.XLOOKUP($AL$1,[1]CRITERIOS!$S$16:$S$39,[1]CRITERIOS!$Y$16:$Y$39))*$J443+$Z443)/$G443,0)*$G443,
((_xlfn.XLOOKUP($A443,'[1]DATOS PBI Artículos'!$A:$A,'[1]DATOS PBI Artículos'!$AO:$AO))/(_xlfn.XLOOKUP($AL$1,[1]CRITERIOS!$S$16:$S$39,[1]CRITERIOS!$Y$16:$Y$39))*$J443+$Z443)))</f>
        <v>#N/A</v>
      </c>
    </row>
    <row r="444" spans="1:37" ht="25.8" hidden="1" x14ac:dyDescent="0.4">
      <c r="A444" s="41"/>
      <c r="B444" s="33">
        <f>_xlfn.XLOOKUP($A444,'[1]DATOS PBI Artículos'!A:A,'[1]DATOS PBI Artículos'!B:B)</f>
        <v>0</v>
      </c>
      <c r="C444" s="33">
        <f>_xlfn.XLOOKUP($A444,'[1]DATOS PBI Artículos'!A:A,'[1]DATOS PBI Artículos'!C:C)</f>
        <v>0</v>
      </c>
      <c r="D444" s="33">
        <f>_xlfn.XLOOKUP(A444,'[1]DATOS PBI Artículos'!A:A,'[1]DATOS PBI Artículos'!T:T)</f>
        <v>0</v>
      </c>
      <c r="E444" s="34">
        <f>IF(_xlfn.XLOOKUP($A444,'[1]DATOS PBI Artículos'!A:A,'[1]DATOS PBI Artículos'!AK:AK)="",_xlfn.XLOOKUP($A444,'[1]DATOS PBI Artículos'!A:A,'[1]DATOS PBI Artículos'!AJ:AJ),_xlfn.XLOOKUP($A444,'[1]DATOS PBI Artículos'!A:A,'[1]DATOS PBI Artículos'!AK:AK))</f>
        <v>0</v>
      </c>
      <c r="F444" s="35">
        <f>_xlfn.XLOOKUP($A444,'[1]DATOS PBI Artículos'!A:A,'[1]DATOS PBI Artículos'!AP:AP)</f>
        <v>0</v>
      </c>
      <c r="G444" s="34">
        <f>_xlfn.XLOOKUP($A444,'[1]DATOS PBI Artículos'!A:A,'[1]DATOS PBI Artículos'!AR:AR)</f>
        <v>0</v>
      </c>
      <c r="H444" s="34">
        <f>_xlfn.XLOOKUP($A444,'[1]DATOS PBI Artículos'!A:A,'[1]DATOS PBI Artículos'!AT:AT)</f>
        <v>0</v>
      </c>
      <c r="I444" s="34">
        <f>_xlfn.XLOOKUP($A444,'[1]DATOS PBI Artículos'!A:A,'[1]DATOS PBI Artículos'!AS:AS)</f>
        <v>0</v>
      </c>
      <c r="J444" s="35">
        <f>IF(COUNTIF([1]CRITERIOS!$F$179:$F$199,$A444)&gt;=1,
 IF(O444&lt;&gt;"",
    (O444/_xlfn.XLOOKUP(CONCATENATE(A444,L444),[1]MÁQUINAS!A:A,[1]MÁQUINAS!D:D))/24,
    (N444/_xlfn.XLOOKUP(CONCATENATE(A444,L444),[1]MÁQUINAS!A:A,[1]MÁQUINAS!D:D))/24),
  _xlfn.XLOOKUP($A444,'[1]DATOS PBI Artículos'!A:A,'[1]DATOS PBI Artículos'!AU:AU))</f>
        <v>0</v>
      </c>
      <c r="K444" s="36">
        <f>_xlfn.XLOOKUP($A444,'[1]DATOS PBI Artículos'!A:A,'[1]DATOS PBI Artículos'!AV:AV)</f>
        <v>0</v>
      </c>
      <c r="L444" s="33">
        <f>_xlfn.XLOOKUP(A444,[1]MÁQUINAS!B:B,[1]MÁQUINAS!C:C)</f>
        <v>0</v>
      </c>
      <c r="M444" s="34">
        <f t="array" ref="M444">_xlfn.XLOOKUP(A444,'[1]DATOS PBI Artículos'!A:A,'[1]DATOS PBI Artículos'!AX:$AX)</f>
        <v>0</v>
      </c>
      <c r="N444" s="37" t="e">
        <f>IF(I444="DV",
E444,
IF(COUNTIF([1]CRITERIOS!$I$179:$I$199,$A444)&gt;=1,
_xlfn.XLOOKUP($A444,[1]CRITERIOS!$I$179:$I$199,[1]CRITERIOS!$J$179:$J$199),
IF(COUNTIF([1]CRITERIOS!$L$179:$L$199,$A444)&gt;=1,
_xlfn.CEILING.MATH(IF($M444&gt;$E444,
$E444,
IF($M444&lt;$E444/ROUNDDOWN([1]CRITERIOS!$M$16/_xlfn.XLOOKUP($C444,[1]CRITERIOS!$K$25:$K$42,[1]CRITERIOS!$M$25:$M$42),
1),
E444/ROUNDDOWN([1]CRITERIOS!$M$16/_xlfn.XLOOKUP($C444,[1]CRITERIOS!$K$25:$K$42,[1]CRITERIOS!$M$25:$M$42),
1),
$M444)),
_xlfn.XLOOKUP($A444,[1]CRITERIOS!$L$179:$L$200,[1]CRITERIOS!$M$179:$M$200)),
_xlfn.CEILING.MATH(IF($M444&gt;$E444,
$E444,
IF($M444&lt;$E444/ROUNDDOWN([1]CRITERIOS!$M$16/_xlfn.XLOOKUP($C444,[1]CRITERIOS!$K$25:$K$42,[1]CRITERIOS!$M$25:$M$42),
1),
E444/ROUNDDOWN([1]CRITERIOS!$M$16/_xlfn.XLOOKUP($C444,[1]CRITERIOS!$K$25:$K$42,[1]CRITERIOS!$M$25:$M$42),
1),
$M444)),_xlfn.XLOOKUP(A444,'[1]DATOS PBI Artículos'!A:A,'[1]DATOS PBI Artículos'!Z:Z
)))))</f>
        <v>#N/A</v>
      </c>
      <c r="Q444" s="38" t="e">
        <f>IF(AND(O444="",N444=0),
0,
   IF(COUNTIF([1]CRITERIOS!$F$179:$F$199,$A444)&gt;=1,
   1,
   IF(R444="MTO",
      $D444,
      ROUNDUP(
                    IF(($E444-SUMIF('[1]DATOS PBI Artículos'!A:A,A444,'[1]DATOS PBI Artículos'!X:X)+($V444-_xlfn.XLOOKUP(A444,'[1]DATOS PBI Artículos'!A:A,'[1]DATOS PBI Artículos'!W:W)))&lt;0,
                    0,
                    IF(($E444-SUMIF('[1]DATOS PBI Artículos'!A:A,A444,'[1]DATOS PBI Artículos'!X:X)+$V444-_xlfn.XLOOKUP($A444,'[1]DATOS PBI Artículos'!A:A,'[1]DATOS PBI Artículos'!W:W))/IF($O444="",$N444,$O444)&gt;ROUNDUP([1]CRITERIOS!$M$16/(IF(COUNTIF([1]CRITERIOS!$BG$11:$BG$201,L444)&gt;=1,_xlfn.XLOOKUP($C444,[1]CRITERIOS!$K$25:$K$42,[1]CRITERIOS!$M$25:$M$42),_xlfn.XLOOKUP($C444,[1]CRITERIOS!$K$25:$K$42,[1]CRITERIOS!$M$25:$M$42))),0),
                    ROUNDUP([1]CRITERIOS!$M$16/(IF(COUNTIF([1]CRITERIOS!$BG$11:$BG$201,$L444)&gt;=1,_xlfn.XLOOKUP($C444,[1]CRITERIOS!$K$25:$K$42,[1]CRITERIOS!$M$25:$M$42),_xlfn.XLOOKUP($C444,[1]CRITERIOS!$K$25:$K$42,[1]CRITERIOS!$M$25:$M$42))),0),
                    (E444+V444-SUMIF('[1]DATOS PBI Artículos'!A:A,A444,'[1]DATOS PBI Artículos'!X:X)-_xlfn.XLOOKUP(A444,'[1]DATOS PBI Artículos'!A:A,'[1]DATOS PBI Artículos'!W:W))/IF($O444="",$N444,$O444))),0))))</f>
        <v>#N/A</v>
      </c>
      <c r="R444" s="33" t="e">
        <f>IF(U444&lt;&gt;"",U444,IF(F444="DV","MTO",IF(N444=0,"MTO",_xlfn.XLOOKUP(CONCATENATE(S444,T444),[1]CRITERIOS!$K$160:$K$168,[1]CRITERIOS!$N$160:$N$168))))</f>
        <v>#N/A</v>
      </c>
      <c r="S444" s="33" t="e">
        <f>IF(G444="DV","MTO",IF(N444=0,"MTO",IF(OR(AND(N444=0,O444=""),IF(O444="",G444/N444,G444/O444)&gt;[1]CRITERIOS!$G$163),"MTO",IF(IF(O444="",G444/N444,G444/O444)&lt;[1]CRITERIOS!$H$161,"MTS","MTOS"))))</f>
        <v>#N/A</v>
      </c>
      <c r="T444" s="33" t="e">
        <f>IF(F444="DV","MTO",IF(OR(AND($N444=0,O444=""),$F444/$J444&gt;[1]CRITERIOS!$G$170,$F444="DV"),"MTO",IF($F444/$J444&lt;[1]CRITERIOS!$H$168,"MTS","MTOS")))</f>
        <v>#N/A</v>
      </c>
      <c r="V444" s="34" t="e">
        <f t="shared" si="22"/>
        <v>#N/A</v>
      </c>
      <c r="X444" s="34" t="e">
        <f t="shared" si="20"/>
        <v>#N/A</v>
      </c>
      <c r="Y444" s="34" t="e">
        <f t="shared" si="21"/>
        <v>#N/A</v>
      </c>
      <c r="Z444" s="34" t="e">
        <f>IF($R444="MTO",
0,
($H444+$K444*($E444/[1]CRITERIOS!$M$16))/[1]CRITERIOS!$X$48)</f>
        <v>#N/A</v>
      </c>
      <c r="AA444" s="34" t="e">
        <f>ROUNDUP(($Y444/_xlfn.XLOOKUP($A444,'[1]DATOS PBI Artículos'!$A$4:$A$4,'[1]DATOS PBI Artículos'!$Z$4:$Z$4))/_xlfn.XLOOKUP(_xlfn.XLOOKUP($A444,'[1]DATOS PBI Artículos'!$A$4:$A$4,'[1]DATOS PBI Artículos'!$Y$4:$Y$4),[1]CRITERIOS!$P$79:$P$123,[1]CRITERIOS!$S$79:$S$123,),0)</f>
        <v>#N/A</v>
      </c>
      <c r="AB444" s="33" t="e">
        <f t="array" ref="AB444">IF((E444+V444-_xlfn.XLOOKUP(A444,'[1]DATOS PBI Artículos'!$A$4:$A$4,'[1]DATOS PBI Artículos'!$W$4:$W$4))/N444&gt;ROUNDUP([1]CRITERIOS!$M$16/(IF(COUNTIF([1]CRITERIOS!$BG$11:$BG$201,L444)&gt;=1,_xlfn.XLOOKUP(ARTÍCULOS!L444,[1]CRITERIOS!$BG$11:$BG$201,[1]CRITERIOS!$BJ$11:$BJ$201),_xlfn.XLOOKUP(ARTÍCULOS!C444,[1]CRITERIOS!$K$25:$K$42,[1]CRITERIOS!$M$25:$M$42))),0),ROUNDUP([1]CRITERIOS!$M$16/(IF(COUNTIF([1]CRITERIOS!$BG$11:$BG$201,L444)&gt;=1,_xlfn.XLOOKUP(ARTÍCULOS!L444,[1]CRITERIOS!$BG$11:$BG$201:#REF!,[1]CRITERIOS!$BJ$11:$BJ$201),_xlfn.XLOOKUP(ARTÍCULOS!C444,[1]CRITERIOS!$K$25:$K$42,[1]CRITERIOS!$M$25:$M$42))),0),(E444+V444-_xlfn.XLOOKUP(A444,'[1]DATOS PBI Artículos'!$A$4:$A$4,'[1]DATOS PBI Artículos'!$W$4:$W$4))/N444)</f>
        <v>#N/A</v>
      </c>
      <c r="AC444" s="33" t="e">
        <f>IF(N444=0,"",(ROUNDUP((N444/2)/(_xlfn.XLOOKUP(A444,'[1]DATOS PBI Artículos'!$A$4:$A$4,'[1]DATOS PBI Artículos'!$Z$4:$Z$4)*_xlfn.XLOOKUP(_xlfn.XLOOKUP(A444,'[1]DATOS PBI Artículos'!$A$4:$A$4,'[1]DATOS PBI Artículos'!$Y$4:$Y$4),[1]CRITERIOS!$P$79:$P$123,[1]CRITERIOS!$S$79:$S$123)),0)*[1]CRITERIOS!$M$80*([1]CRITERIOS!$M$110/[1]CRITERIOS!$M$86)+(_xlfn.XLOOKUP(A444,'[1]DATOS PBI Artículos'!$A$4:$A$4,'[1]DATOS PBI Artículos'!$AA$4:$AA$4)*([1]CRITERIOS!$M$95+[1]CRITERIOS!$M$98)))/N444)</f>
        <v>#N/A</v>
      </c>
      <c r="AD444" s="33" t="e">
        <f>IF(N444=0,"",(ROUNDUP((N444/2)/(_xlfn.XLOOKUP(A444,'[1]DATOS PBI Artículos'!$A$4:$A$4,'[1]DATOS PBI Artículos'!$Z$4:$Z$4)*_xlfn.XLOOKUP(_xlfn.XLOOKUP(A444,'[1]DATOS PBI Artículos'!$A$4:$A$4,'[1]DATOS PBI Artículos'!$Y$4:$Y$4),[1]CRITERIOS!$P$79:$P$123,[1]CRITERIOS!$S$79:$S$123)),0)*[1]CRITERIOS!$M$80*([1]CRITERIOS!$M$89*[1]CRITERIOS!$M$92)+((_xlfn.XLOOKUP(A444,'[1]DATOS PBI Artículos'!$A$4:$A$4,'[1]DATOS PBI Artículos'!$AA$4:$AA$4)/2)*([1]CRITERIOS!$M$95+[1]CRITERIOS!$M$98)))/N444)</f>
        <v>#N/A</v>
      </c>
      <c r="AE444" s="39" t="e">
        <f>IF($R444="MTO","",
IF($H444=0,ROUNDUP(((_xlfn.XLOOKUP($A444,'[1]DATOS PBI Artículos'!$A:$A,'[1]DATOS PBI Artículos'!$AL:$AL))/(_xlfn.XLOOKUP($AF$1,[1]CRITERIOS!$S$16:$S$39,[1]CRITERIOS!$Y$16:$Y$39))*$J444+$Z444)/$G444,0)*$G444,
((_xlfn.XLOOKUP($A444,'[1]DATOS PBI Artículos'!$A:$A,'[1]DATOS PBI Artículos'!$AL:$AL))/(_xlfn.XLOOKUP($AF$1,[1]CRITERIOS!$S$16:$S$39,[1]CRITERIOS!$Y$16:$Y$39))*$J444+$Z444)))</f>
        <v>#N/A</v>
      </c>
      <c r="AG444" s="39" t="e">
        <f>IF($R444="MTO","",
IF($H444=0,ROUNDUP(((_xlfn.XLOOKUP($A444,'[1]DATOS PBI Artículos'!$A:$A,'[1]DATOS PBI Artículos'!$AM:$AM))/(_xlfn.XLOOKUP($AH$1,[1]CRITERIOS!$S$16:$S$39,[1]CRITERIOS!$Y$16:$Y$39))*$J444+$Z444)/$G444,0)*$G444,
((_xlfn.XLOOKUP($A444,'[1]DATOS PBI Artículos'!$A:$A,'[1]DATOS PBI Artículos'!$AM:$AM))/(_xlfn.XLOOKUP($AH$1,[1]CRITERIOS!$S$16:$S$39,[1]CRITERIOS!$Y$16:$Y$39))*$J444+$Z444)))</f>
        <v>#N/A</v>
      </c>
      <c r="AI444" s="39" t="e">
        <f>IF($R444="MTO","",
IF($H444=0,ROUNDUP(((_xlfn.XLOOKUP($A444,'[1]DATOS PBI Artículos'!$A:$A,'[1]DATOS PBI Artículos'!$AN:$AN))/(_xlfn.XLOOKUP($AJ$1,[1]CRITERIOS!$S$16:$S$39,[1]CRITERIOS!$Y$16:$Y$39))*$J444+$Z444)/$G444,0)*$G444,
((_xlfn.XLOOKUP($A444,'[1]DATOS PBI Artículos'!$A:$A,'[1]DATOS PBI Artículos'!$AN:$AN))/(_xlfn.XLOOKUP($AJ$1,[1]CRITERIOS!$S$16:$S$39,[1]CRITERIOS!$Y$16:$Y$39))*$J444+$Z444)))</f>
        <v>#N/A</v>
      </c>
      <c r="AK444" s="39" t="e">
        <f>IF($R444="MTO","",
IF($H444=0,ROUNDUP(((_xlfn.XLOOKUP($A444,'[1]DATOS PBI Artículos'!$A:$A,'[1]DATOS PBI Artículos'!$AO:$AO))/(_xlfn.XLOOKUP($AL$1,[1]CRITERIOS!$S$16:$S$39,[1]CRITERIOS!$Y$16:$Y$39))*$J444+$Z444)/$G444,0)*$G444,
((_xlfn.XLOOKUP($A444,'[1]DATOS PBI Artículos'!$A:$A,'[1]DATOS PBI Artículos'!$AO:$AO))/(_xlfn.XLOOKUP($AL$1,[1]CRITERIOS!$S$16:$S$39,[1]CRITERIOS!$Y$16:$Y$39))*$J444+$Z444)))</f>
        <v>#N/A</v>
      </c>
    </row>
    <row r="445" spans="1:37" ht="25.8" hidden="1" x14ac:dyDescent="0.4">
      <c r="A445" s="41"/>
      <c r="B445" s="33">
        <f>_xlfn.XLOOKUP($A445,'[1]DATOS PBI Artículos'!A:A,'[1]DATOS PBI Artículos'!B:B)</f>
        <v>0</v>
      </c>
      <c r="C445" s="33">
        <f>_xlfn.XLOOKUP($A445,'[1]DATOS PBI Artículos'!A:A,'[1]DATOS PBI Artículos'!C:C)</f>
        <v>0</v>
      </c>
      <c r="D445" s="33">
        <f>_xlfn.XLOOKUP(A445,'[1]DATOS PBI Artículos'!A:A,'[1]DATOS PBI Artículos'!T:T)</f>
        <v>0</v>
      </c>
      <c r="E445" s="34">
        <f>IF(_xlfn.XLOOKUP($A445,'[1]DATOS PBI Artículos'!A:A,'[1]DATOS PBI Artículos'!AK:AK)="",_xlfn.XLOOKUP($A445,'[1]DATOS PBI Artículos'!A:A,'[1]DATOS PBI Artículos'!AJ:AJ),_xlfn.XLOOKUP($A445,'[1]DATOS PBI Artículos'!A:A,'[1]DATOS PBI Artículos'!AK:AK))</f>
        <v>0</v>
      </c>
      <c r="F445" s="35">
        <f>_xlfn.XLOOKUP($A445,'[1]DATOS PBI Artículos'!A:A,'[1]DATOS PBI Artículos'!AP:AP)</f>
        <v>0</v>
      </c>
      <c r="G445" s="34">
        <f>_xlfn.XLOOKUP($A445,'[1]DATOS PBI Artículos'!A:A,'[1]DATOS PBI Artículos'!AR:AR)</f>
        <v>0</v>
      </c>
      <c r="H445" s="34">
        <f>_xlfn.XLOOKUP($A445,'[1]DATOS PBI Artículos'!A:A,'[1]DATOS PBI Artículos'!AT:AT)</f>
        <v>0</v>
      </c>
      <c r="I445" s="34">
        <f>_xlfn.XLOOKUP($A445,'[1]DATOS PBI Artículos'!A:A,'[1]DATOS PBI Artículos'!AS:AS)</f>
        <v>0</v>
      </c>
      <c r="J445" s="35">
        <f>IF(COUNTIF([1]CRITERIOS!$F$179:$F$199,$A445)&gt;=1,
 IF(O445&lt;&gt;"",
    (O445/_xlfn.XLOOKUP(CONCATENATE(A445,L445),[1]MÁQUINAS!A:A,[1]MÁQUINAS!D:D))/24,
    (N445/_xlfn.XLOOKUP(CONCATENATE(A445,L445),[1]MÁQUINAS!A:A,[1]MÁQUINAS!D:D))/24),
  _xlfn.XLOOKUP($A445,'[1]DATOS PBI Artículos'!A:A,'[1]DATOS PBI Artículos'!AU:AU))</f>
        <v>0</v>
      </c>
      <c r="K445" s="36">
        <f>_xlfn.XLOOKUP($A445,'[1]DATOS PBI Artículos'!A:A,'[1]DATOS PBI Artículos'!AV:AV)</f>
        <v>0</v>
      </c>
      <c r="L445" s="33">
        <f>_xlfn.XLOOKUP(A445,[1]MÁQUINAS!B:B,[1]MÁQUINAS!C:C)</f>
        <v>0</v>
      </c>
      <c r="M445" s="34">
        <f t="array" ref="M445">_xlfn.XLOOKUP(A445,'[1]DATOS PBI Artículos'!A:A,'[1]DATOS PBI Artículos'!AX:$AX)</f>
        <v>0</v>
      </c>
      <c r="N445" s="37" t="e">
        <f>IF(I445="DV",
E445,
IF(COUNTIF([1]CRITERIOS!$I$179:$I$199,$A445)&gt;=1,
_xlfn.XLOOKUP($A445,[1]CRITERIOS!$I$179:$I$199,[1]CRITERIOS!$J$179:$J$199),
IF(COUNTIF([1]CRITERIOS!$L$179:$L$199,$A445)&gt;=1,
_xlfn.CEILING.MATH(IF($M445&gt;$E445,
$E445,
IF($M445&lt;$E445/ROUNDDOWN([1]CRITERIOS!$M$16/_xlfn.XLOOKUP($C445,[1]CRITERIOS!$K$25:$K$42,[1]CRITERIOS!$M$25:$M$42),
1),
E445/ROUNDDOWN([1]CRITERIOS!$M$16/_xlfn.XLOOKUP($C445,[1]CRITERIOS!$K$25:$K$42,[1]CRITERIOS!$M$25:$M$42),
1),
$M445)),
_xlfn.XLOOKUP($A445,[1]CRITERIOS!$L$179:$L$200,[1]CRITERIOS!$M$179:$M$200)),
_xlfn.CEILING.MATH(IF($M445&gt;$E445,
$E445,
IF($M445&lt;$E445/ROUNDDOWN([1]CRITERIOS!$M$16/_xlfn.XLOOKUP($C445,[1]CRITERIOS!$K$25:$K$42,[1]CRITERIOS!$M$25:$M$42),
1),
E445/ROUNDDOWN([1]CRITERIOS!$M$16/_xlfn.XLOOKUP($C445,[1]CRITERIOS!$K$25:$K$42,[1]CRITERIOS!$M$25:$M$42),
1),
$M445)),_xlfn.XLOOKUP(A445,'[1]DATOS PBI Artículos'!A:A,'[1]DATOS PBI Artículos'!Z:Z
)))))</f>
        <v>#N/A</v>
      </c>
      <c r="Q445" s="38" t="e">
        <f>IF(AND(O445="",N445=0),
0,
   IF(COUNTIF([1]CRITERIOS!$F$179:$F$199,$A445)&gt;=1,
   1,
   IF(R445="MTO",
      $D445,
      ROUNDUP(
                    IF(($E445-SUMIF('[1]DATOS PBI Artículos'!A:A,A445,'[1]DATOS PBI Artículos'!X:X)+($V445-_xlfn.XLOOKUP(A445,'[1]DATOS PBI Artículos'!A:A,'[1]DATOS PBI Artículos'!W:W)))&lt;0,
                    0,
                    IF(($E445-SUMIF('[1]DATOS PBI Artículos'!A:A,A445,'[1]DATOS PBI Artículos'!X:X)+$V445-_xlfn.XLOOKUP($A445,'[1]DATOS PBI Artículos'!A:A,'[1]DATOS PBI Artículos'!W:W))/IF($O445="",$N445,$O445)&gt;ROUNDUP([1]CRITERIOS!$M$16/(IF(COUNTIF([1]CRITERIOS!$BG$11:$BG$201,L445)&gt;=1,_xlfn.XLOOKUP($C445,[1]CRITERIOS!$K$25:$K$42,[1]CRITERIOS!$M$25:$M$42),_xlfn.XLOOKUP($C445,[1]CRITERIOS!$K$25:$K$42,[1]CRITERIOS!$M$25:$M$42))),0),
                    ROUNDUP([1]CRITERIOS!$M$16/(IF(COUNTIF([1]CRITERIOS!$BG$11:$BG$201,$L445)&gt;=1,_xlfn.XLOOKUP($C445,[1]CRITERIOS!$K$25:$K$42,[1]CRITERIOS!$M$25:$M$42),_xlfn.XLOOKUP($C445,[1]CRITERIOS!$K$25:$K$42,[1]CRITERIOS!$M$25:$M$42))),0),
                    (E445+V445-SUMIF('[1]DATOS PBI Artículos'!A:A,A445,'[1]DATOS PBI Artículos'!X:X)-_xlfn.XLOOKUP(A445,'[1]DATOS PBI Artículos'!A:A,'[1]DATOS PBI Artículos'!W:W))/IF($O445="",$N445,$O445))),0))))</f>
        <v>#N/A</v>
      </c>
      <c r="R445" s="33" t="e">
        <f>IF(U445&lt;&gt;"",U445,IF(F445="DV","MTO",IF(N445=0,"MTO",_xlfn.XLOOKUP(CONCATENATE(S445,T445),[1]CRITERIOS!$K$160:$K$168,[1]CRITERIOS!$N$160:$N$168))))</f>
        <v>#N/A</v>
      </c>
      <c r="S445" s="33" t="e">
        <f>IF(G445="DV","MTO",IF(N445=0,"MTO",IF(OR(AND(N445=0,O445=""),IF(O445="",G445/N445,G445/O445)&gt;[1]CRITERIOS!$G$163),"MTO",IF(IF(O445="",G445/N445,G445/O445)&lt;[1]CRITERIOS!$H$161,"MTS","MTOS"))))</f>
        <v>#N/A</v>
      </c>
      <c r="T445" s="33" t="e">
        <f>IF(F445="DV","MTO",IF(OR(AND($N445=0,O445=""),$F445/$J445&gt;[1]CRITERIOS!$G$170,$F445="DV"),"MTO",IF($F445/$J445&lt;[1]CRITERIOS!$H$168,"MTS","MTOS")))</f>
        <v>#N/A</v>
      </c>
      <c r="V445" s="34" t="e">
        <f t="shared" si="22"/>
        <v>#N/A</v>
      </c>
      <c r="X445" s="34" t="e">
        <f t="shared" si="20"/>
        <v>#N/A</v>
      </c>
      <c r="Y445" s="34" t="e">
        <f t="shared" si="21"/>
        <v>#N/A</v>
      </c>
      <c r="Z445" s="34" t="e">
        <f>IF($R445="MTO",
0,
($H445+$K445*($E445/[1]CRITERIOS!$M$16))/[1]CRITERIOS!$X$48)</f>
        <v>#N/A</v>
      </c>
      <c r="AA445" s="34" t="e">
        <f>ROUNDUP(($Y445/_xlfn.XLOOKUP($A445,'[1]DATOS PBI Artículos'!$A$4:$A$4,'[1]DATOS PBI Artículos'!$Z$4:$Z$4))/_xlfn.XLOOKUP(_xlfn.XLOOKUP($A445,'[1]DATOS PBI Artículos'!$A$4:$A$4,'[1]DATOS PBI Artículos'!$Y$4:$Y$4),[1]CRITERIOS!$P$79:$P$123,[1]CRITERIOS!$S$79:$S$123,),0)</f>
        <v>#N/A</v>
      </c>
      <c r="AB445" s="33" t="e">
        <f t="array" ref="AB445">IF((E445+V445-_xlfn.XLOOKUP(A445,'[1]DATOS PBI Artículos'!$A$4:$A$4,'[1]DATOS PBI Artículos'!$W$4:$W$4))/N445&gt;ROUNDUP([1]CRITERIOS!$M$16/(IF(COUNTIF([1]CRITERIOS!$BG$11:$BG$201,L445)&gt;=1,_xlfn.XLOOKUP(ARTÍCULOS!L445,[1]CRITERIOS!$BG$11:$BG$201,[1]CRITERIOS!$BJ$11:$BJ$201),_xlfn.XLOOKUP(ARTÍCULOS!C445,[1]CRITERIOS!$K$25:$K$42,[1]CRITERIOS!$M$25:$M$42))),0),ROUNDUP([1]CRITERIOS!$M$16/(IF(COUNTIF([1]CRITERIOS!$BG$11:$BG$201,L445)&gt;=1,_xlfn.XLOOKUP(ARTÍCULOS!L445,[1]CRITERIOS!$BG$11:$BG$201:#REF!,[1]CRITERIOS!$BJ$11:$BJ$201),_xlfn.XLOOKUP(ARTÍCULOS!C445,[1]CRITERIOS!$K$25:$K$42,[1]CRITERIOS!$M$25:$M$42))),0),(E445+V445-_xlfn.XLOOKUP(A445,'[1]DATOS PBI Artículos'!$A$4:$A$4,'[1]DATOS PBI Artículos'!$W$4:$W$4))/N445)</f>
        <v>#N/A</v>
      </c>
      <c r="AC445" s="33" t="e">
        <f>IF(N445=0,"",(ROUNDUP((N445/2)/(_xlfn.XLOOKUP(A445,'[1]DATOS PBI Artículos'!$A$4:$A$4,'[1]DATOS PBI Artículos'!$Z$4:$Z$4)*_xlfn.XLOOKUP(_xlfn.XLOOKUP(A445,'[1]DATOS PBI Artículos'!$A$4:$A$4,'[1]DATOS PBI Artículos'!$Y$4:$Y$4),[1]CRITERIOS!$P$79:$P$123,[1]CRITERIOS!$S$79:$S$123)),0)*[1]CRITERIOS!$M$80*([1]CRITERIOS!$M$110/[1]CRITERIOS!$M$86)+(_xlfn.XLOOKUP(A445,'[1]DATOS PBI Artículos'!$A$4:$A$4,'[1]DATOS PBI Artículos'!$AA$4:$AA$4)*([1]CRITERIOS!$M$95+[1]CRITERIOS!$M$98)))/N445)</f>
        <v>#N/A</v>
      </c>
      <c r="AD445" s="33" t="e">
        <f>IF(N445=0,"",(ROUNDUP((N445/2)/(_xlfn.XLOOKUP(A445,'[1]DATOS PBI Artículos'!$A$4:$A$4,'[1]DATOS PBI Artículos'!$Z$4:$Z$4)*_xlfn.XLOOKUP(_xlfn.XLOOKUP(A445,'[1]DATOS PBI Artículos'!$A$4:$A$4,'[1]DATOS PBI Artículos'!$Y$4:$Y$4),[1]CRITERIOS!$P$79:$P$123,[1]CRITERIOS!$S$79:$S$123)),0)*[1]CRITERIOS!$M$80*([1]CRITERIOS!$M$89*[1]CRITERIOS!$M$92)+((_xlfn.XLOOKUP(A445,'[1]DATOS PBI Artículos'!$A$4:$A$4,'[1]DATOS PBI Artículos'!$AA$4:$AA$4)/2)*([1]CRITERIOS!$M$95+[1]CRITERIOS!$M$98)))/N445)</f>
        <v>#N/A</v>
      </c>
      <c r="AE445" s="39" t="e">
        <f>IF($R445="MTO","",
IF($H445=0,ROUNDUP(((_xlfn.XLOOKUP($A445,'[1]DATOS PBI Artículos'!$A:$A,'[1]DATOS PBI Artículos'!$AL:$AL))/(_xlfn.XLOOKUP($AF$1,[1]CRITERIOS!$S$16:$S$39,[1]CRITERIOS!$Y$16:$Y$39))*$J445+$Z445)/$G445,0)*$G445,
((_xlfn.XLOOKUP($A445,'[1]DATOS PBI Artículos'!$A:$A,'[1]DATOS PBI Artículos'!$AL:$AL))/(_xlfn.XLOOKUP($AF$1,[1]CRITERIOS!$S$16:$S$39,[1]CRITERIOS!$Y$16:$Y$39))*$J445+$Z445)))</f>
        <v>#N/A</v>
      </c>
      <c r="AG445" s="39" t="e">
        <f>IF($R445="MTO","",
IF($H445=0,ROUNDUP(((_xlfn.XLOOKUP($A445,'[1]DATOS PBI Artículos'!$A:$A,'[1]DATOS PBI Artículos'!$AM:$AM))/(_xlfn.XLOOKUP($AH$1,[1]CRITERIOS!$S$16:$S$39,[1]CRITERIOS!$Y$16:$Y$39))*$J445+$Z445)/$G445,0)*$G445,
((_xlfn.XLOOKUP($A445,'[1]DATOS PBI Artículos'!$A:$A,'[1]DATOS PBI Artículos'!$AM:$AM))/(_xlfn.XLOOKUP($AH$1,[1]CRITERIOS!$S$16:$S$39,[1]CRITERIOS!$Y$16:$Y$39))*$J445+$Z445)))</f>
        <v>#N/A</v>
      </c>
      <c r="AI445" s="39" t="e">
        <f>IF($R445="MTO","",
IF($H445=0,ROUNDUP(((_xlfn.XLOOKUP($A445,'[1]DATOS PBI Artículos'!$A:$A,'[1]DATOS PBI Artículos'!$AN:$AN))/(_xlfn.XLOOKUP($AJ$1,[1]CRITERIOS!$S$16:$S$39,[1]CRITERIOS!$Y$16:$Y$39))*$J445+$Z445)/$G445,0)*$G445,
((_xlfn.XLOOKUP($A445,'[1]DATOS PBI Artículos'!$A:$A,'[1]DATOS PBI Artículos'!$AN:$AN))/(_xlfn.XLOOKUP($AJ$1,[1]CRITERIOS!$S$16:$S$39,[1]CRITERIOS!$Y$16:$Y$39))*$J445+$Z445)))</f>
        <v>#N/A</v>
      </c>
      <c r="AK445" s="39" t="e">
        <f>IF($R445="MTO","",
IF($H445=0,ROUNDUP(((_xlfn.XLOOKUP($A445,'[1]DATOS PBI Artículos'!$A:$A,'[1]DATOS PBI Artículos'!$AO:$AO))/(_xlfn.XLOOKUP($AL$1,[1]CRITERIOS!$S$16:$S$39,[1]CRITERIOS!$Y$16:$Y$39))*$J445+$Z445)/$G445,0)*$G445,
((_xlfn.XLOOKUP($A445,'[1]DATOS PBI Artículos'!$A:$A,'[1]DATOS PBI Artículos'!$AO:$AO))/(_xlfn.XLOOKUP($AL$1,[1]CRITERIOS!$S$16:$S$39,[1]CRITERIOS!$Y$16:$Y$39))*$J445+$Z445)))</f>
        <v>#N/A</v>
      </c>
    </row>
    <row r="446" spans="1:37" ht="25.8" hidden="1" x14ac:dyDescent="0.4">
      <c r="A446" s="41"/>
      <c r="B446" s="33">
        <f>_xlfn.XLOOKUP($A446,'[1]DATOS PBI Artículos'!A:A,'[1]DATOS PBI Artículos'!B:B)</f>
        <v>0</v>
      </c>
      <c r="C446" s="33">
        <f>_xlfn.XLOOKUP($A446,'[1]DATOS PBI Artículos'!A:A,'[1]DATOS PBI Artículos'!C:C)</f>
        <v>0</v>
      </c>
      <c r="D446" s="33">
        <f>_xlfn.XLOOKUP(A446,'[1]DATOS PBI Artículos'!A:A,'[1]DATOS PBI Artículos'!T:T)</f>
        <v>0</v>
      </c>
      <c r="E446" s="34">
        <f>IF(_xlfn.XLOOKUP($A446,'[1]DATOS PBI Artículos'!A:A,'[1]DATOS PBI Artículos'!AK:AK)="",_xlfn.XLOOKUP($A446,'[1]DATOS PBI Artículos'!A:A,'[1]DATOS PBI Artículos'!AJ:AJ),_xlfn.XLOOKUP($A446,'[1]DATOS PBI Artículos'!A:A,'[1]DATOS PBI Artículos'!AK:AK))</f>
        <v>0</v>
      </c>
      <c r="F446" s="35">
        <f>_xlfn.XLOOKUP($A446,'[1]DATOS PBI Artículos'!A:A,'[1]DATOS PBI Artículos'!AP:AP)</f>
        <v>0</v>
      </c>
      <c r="G446" s="34">
        <f>_xlfn.XLOOKUP($A446,'[1]DATOS PBI Artículos'!A:A,'[1]DATOS PBI Artículos'!AR:AR)</f>
        <v>0</v>
      </c>
      <c r="H446" s="34">
        <f>_xlfn.XLOOKUP($A446,'[1]DATOS PBI Artículos'!A:A,'[1]DATOS PBI Artículos'!AT:AT)</f>
        <v>0</v>
      </c>
      <c r="I446" s="34">
        <f>_xlfn.XLOOKUP($A446,'[1]DATOS PBI Artículos'!A:A,'[1]DATOS PBI Artículos'!AS:AS)</f>
        <v>0</v>
      </c>
      <c r="J446" s="35">
        <f>IF(COUNTIF([1]CRITERIOS!$F$179:$F$199,$A446)&gt;=1,
 IF(O446&lt;&gt;"",
    (O446/_xlfn.XLOOKUP(CONCATENATE(A446,L446),[1]MÁQUINAS!A:A,[1]MÁQUINAS!D:D))/24,
    (N446/_xlfn.XLOOKUP(CONCATENATE(A446,L446),[1]MÁQUINAS!A:A,[1]MÁQUINAS!D:D))/24),
  _xlfn.XLOOKUP($A446,'[1]DATOS PBI Artículos'!A:A,'[1]DATOS PBI Artículos'!AU:AU))</f>
        <v>0</v>
      </c>
      <c r="K446" s="36">
        <f>_xlfn.XLOOKUP($A446,'[1]DATOS PBI Artículos'!A:A,'[1]DATOS PBI Artículos'!AV:AV)</f>
        <v>0</v>
      </c>
      <c r="L446" s="33">
        <f>_xlfn.XLOOKUP(A446,[1]MÁQUINAS!B:B,[1]MÁQUINAS!C:C)</f>
        <v>0</v>
      </c>
      <c r="M446" s="34">
        <f t="array" ref="M446">_xlfn.XLOOKUP(A446,'[1]DATOS PBI Artículos'!A:A,'[1]DATOS PBI Artículos'!AX:$AX)</f>
        <v>0</v>
      </c>
      <c r="N446" s="37" t="e">
        <f>IF(I446="DV",
E446,
IF(COUNTIF([1]CRITERIOS!$I$179:$I$199,$A446)&gt;=1,
_xlfn.XLOOKUP($A446,[1]CRITERIOS!$I$179:$I$199,[1]CRITERIOS!$J$179:$J$199),
IF(COUNTIF([1]CRITERIOS!$L$179:$L$199,$A446)&gt;=1,
_xlfn.CEILING.MATH(IF($M446&gt;$E446,
$E446,
IF($M446&lt;$E446/ROUNDDOWN([1]CRITERIOS!$M$16/_xlfn.XLOOKUP($C446,[1]CRITERIOS!$K$25:$K$42,[1]CRITERIOS!$M$25:$M$42),
1),
E446/ROUNDDOWN([1]CRITERIOS!$M$16/_xlfn.XLOOKUP($C446,[1]CRITERIOS!$K$25:$K$42,[1]CRITERIOS!$M$25:$M$42),
1),
$M446)),
_xlfn.XLOOKUP($A446,[1]CRITERIOS!$L$179:$L$200,[1]CRITERIOS!$M$179:$M$200)),
_xlfn.CEILING.MATH(IF($M446&gt;$E446,
$E446,
IF($M446&lt;$E446/ROUNDDOWN([1]CRITERIOS!$M$16/_xlfn.XLOOKUP($C446,[1]CRITERIOS!$K$25:$K$42,[1]CRITERIOS!$M$25:$M$42),
1),
E446/ROUNDDOWN([1]CRITERIOS!$M$16/_xlfn.XLOOKUP($C446,[1]CRITERIOS!$K$25:$K$42,[1]CRITERIOS!$M$25:$M$42),
1),
$M446)),_xlfn.XLOOKUP(A446,'[1]DATOS PBI Artículos'!A:A,'[1]DATOS PBI Artículos'!Z:Z
)))))</f>
        <v>#N/A</v>
      </c>
      <c r="Q446" s="38" t="e">
        <f>IF(AND(O446="",N446=0),
0,
   IF(COUNTIF([1]CRITERIOS!$F$179:$F$199,$A446)&gt;=1,
   1,
   IF(R446="MTO",
      $D446,
      ROUNDUP(
                    IF(($E446-SUMIF('[1]DATOS PBI Artículos'!A:A,A446,'[1]DATOS PBI Artículos'!X:X)+($V446-_xlfn.XLOOKUP(A446,'[1]DATOS PBI Artículos'!A:A,'[1]DATOS PBI Artículos'!W:W)))&lt;0,
                    0,
                    IF(($E446-SUMIF('[1]DATOS PBI Artículos'!A:A,A446,'[1]DATOS PBI Artículos'!X:X)+$V446-_xlfn.XLOOKUP($A446,'[1]DATOS PBI Artículos'!A:A,'[1]DATOS PBI Artículos'!W:W))/IF($O446="",$N446,$O446)&gt;ROUNDUP([1]CRITERIOS!$M$16/(IF(COUNTIF([1]CRITERIOS!$BG$11:$BG$201,L446)&gt;=1,_xlfn.XLOOKUP($C446,[1]CRITERIOS!$K$25:$K$42,[1]CRITERIOS!$M$25:$M$42),_xlfn.XLOOKUP($C446,[1]CRITERIOS!$K$25:$K$42,[1]CRITERIOS!$M$25:$M$42))),0),
                    ROUNDUP([1]CRITERIOS!$M$16/(IF(COUNTIF([1]CRITERIOS!$BG$11:$BG$201,$L446)&gt;=1,_xlfn.XLOOKUP($C446,[1]CRITERIOS!$K$25:$K$42,[1]CRITERIOS!$M$25:$M$42),_xlfn.XLOOKUP($C446,[1]CRITERIOS!$K$25:$K$42,[1]CRITERIOS!$M$25:$M$42))),0),
                    (E446+V446-SUMIF('[1]DATOS PBI Artículos'!A:A,A446,'[1]DATOS PBI Artículos'!X:X)-_xlfn.XLOOKUP(A446,'[1]DATOS PBI Artículos'!A:A,'[1]DATOS PBI Artículos'!W:W))/IF($O446="",$N446,$O446))),0))))</f>
        <v>#N/A</v>
      </c>
      <c r="R446" s="33" t="e">
        <f>IF(U446&lt;&gt;"",U446,IF(F446="DV","MTO",IF(N446=0,"MTO",_xlfn.XLOOKUP(CONCATENATE(S446,T446),[1]CRITERIOS!$K$160:$K$168,[1]CRITERIOS!$N$160:$N$168))))</f>
        <v>#N/A</v>
      </c>
      <c r="S446" s="33" t="e">
        <f>IF(G446="DV","MTO",IF(N446=0,"MTO",IF(OR(AND(N446=0,O446=""),IF(O446="",G446/N446,G446/O446)&gt;[1]CRITERIOS!$G$163),"MTO",IF(IF(O446="",G446/N446,G446/O446)&lt;[1]CRITERIOS!$H$161,"MTS","MTOS"))))</f>
        <v>#N/A</v>
      </c>
      <c r="T446" s="33" t="e">
        <f>IF(F446="DV","MTO",IF(OR(AND($N446=0,O446=""),$F446/$J446&gt;[1]CRITERIOS!$G$170,$F446="DV"),"MTO",IF($F446/$J446&lt;[1]CRITERIOS!$H$168,"MTS","MTOS")))</f>
        <v>#N/A</v>
      </c>
      <c r="V446" s="34" t="e">
        <f t="shared" si="22"/>
        <v>#N/A</v>
      </c>
      <c r="X446" s="34" t="e">
        <f t="shared" si="20"/>
        <v>#N/A</v>
      </c>
      <c r="Y446" s="34" t="e">
        <f t="shared" si="21"/>
        <v>#N/A</v>
      </c>
      <c r="Z446" s="34" t="e">
        <f>IF($R446="MTO",
0,
($H446+$K446*($E446/[1]CRITERIOS!$M$16))/[1]CRITERIOS!$X$48)</f>
        <v>#N/A</v>
      </c>
      <c r="AA446" s="34" t="e">
        <f>ROUNDUP(($Y446/_xlfn.XLOOKUP($A446,'[1]DATOS PBI Artículos'!$A$4:$A$4,'[1]DATOS PBI Artículos'!$Z$4:$Z$4))/_xlfn.XLOOKUP(_xlfn.XLOOKUP($A446,'[1]DATOS PBI Artículos'!$A$4:$A$4,'[1]DATOS PBI Artículos'!$Y$4:$Y$4),[1]CRITERIOS!$P$79:$P$123,[1]CRITERIOS!$S$79:$S$123,),0)</f>
        <v>#N/A</v>
      </c>
      <c r="AB446" s="33" t="e">
        <f t="array" ref="AB446">IF((E446+V446-_xlfn.XLOOKUP(A446,'[1]DATOS PBI Artículos'!$A$4:$A$4,'[1]DATOS PBI Artículos'!$W$4:$W$4))/N446&gt;ROUNDUP([1]CRITERIOS!$M$16/(IF(COUNTIF([1]CRITERIOS!$BG$11:$BG$201,L446)&gt;=1,_xlfn.XLOOKUP(ARTÍCULOS!L446,[1]CRITERIOS!$BG$11:$BG$201,[1]CRITERIOS!$BJ$11:$BJ$201),_xlfn.XLOOKUP(ARTÍCULOS!C446,[1]CRITERIOS!$K$25:$K$42,[1]CRITERIOS!$M$25:$M$42))),0),ROUNDUP([1]CRITERIOS!$M$16/(IF(COUNTIF([1]CRITERIOS!$BG$11:$BG$201,L446)&gt;=1,_xlfn.XLOOKUP(ARTÍCULOS!L446,[1]CRITERIOS!$BG$11:$BG$201:#REF!,[1]CRITERIOS!$BJ$11:$BJ$201),_xlfn.XLOOKUP(ARTÍCULOS!C446,[1]CRITERIOS!$K$25:$K$42,[1]CRITERIOS!$M$25:$M$42))),0),(E446+V446-_xlfn.XLOOKUP(A446,'[1]DATOS PBI Artículos'!$A$4:$A$4,'[1]DATOS PBI Artículos'!$W$4:$W$4))/N446)</f>
        <v>#N/A</v>
      </c>
      <c r="AC446" s="33" t="e">
        <f>IF(N446=0,"",(ROUNDUP((N446/2)/(_xlfn.XLOOKUP(A446,'[1]DATOS PBI Artículos'!$A$4:$A$4,'[1]DATOS PBI Artículos'!$Z$4:$Z$4)*_xlfn.XLOOKUP(_xlfn.XLOOKUP(A446,'[1]DATOS PBI Artículos'!$A$4:$A$4,'[1]DATOS PBI Artículos'!$Y$4:$Y$4),[1]CRITERIOS!$P$79:$P$123,[1]CRITERIOS!$S$79:$S$123)),0)*[1]CRITERIOS!$M$80*([1]CRITERIOS!$M$110/[1]CRITERIOS!$M$86)+(_xlfn.XLOOKUP(A446,'[1]DATOS PBI Artículos'!$A$4:$A$4,'[1]DATOS PBI Artículos'!$AA$4:$AA$4)*([1]CRITERIOS!$M$95+[1]CRITERIOS!$M$98)))/N446)</f>
        <v>#N/A</v>
      </c>
      <c r="AD446" s="33" t="e">
        <f>IF(N446=0,"",(ROUNDUP((N446/2)/(_xlfn.XLOOKUP(A446,'[1]DATOS PBI Artículos'!$A$4:$A$4,'[1]DATOS PBI Artículos'!$Z$4:$Z$4)*_xlfn.XLOOKUP(_xlfn.XLOOKUP(A446,'[1]DATOS PBI Artículos'!$A$4:$A$4,'[1]DATOS PBI Artículos'!$Y$4:$Y$4),[1]CRITERIOS!$P$79:$P$123,[1]CRITERIOS!$S$79:$S$123)),0)*[1]CRITERIOS!$M$80*([1]CRITERIOS!$M$89*[1]CRITERIOS!$M$92)+((_xlfn.XLOOKUP(A446,'[1]DATOS PBI Artículos'!$A$4:$A$4,'[1]DATOS PBI Artículos'!$AA$4:$AA$4)/2)*([1]CRITERIOS!$M$95+[1]CRITERIOS!$M$98)))/N446)</f>
        <v>#N/A</v>
      </c>
      <c r="AE446" s="39" t="e">
        <f>IF($R446="MTO","",
IF($H446=0,ROUNDUP(((_xlfn.XLOOKUP($A446,'[1]DATOS PBI Artículos'!$A:$A,'[1]DATOS PBI Artículos'!$AL:$AL))/(_xlfn.XLOOKUP($AF$1,[1]CRITERIOS!$S$16:$S$39,[1]CRITERIOS!$Y$16:$Y$39))*$J446+$Z446)/$G446,0)*$G446,
((_xlfn.XLOOKUP($A446,'[1]DATOS PBI Artículos'!$A:$A,'[1]DATOS PBI Artículos'!$AL:$AL))/(_xlfn.XLOOKUP($AF$1,[1]CRITERIOS!$S$16:$S$39,[1]CRITERIOS!$Y$16:$Y$39))*$J446+$Z446)))</f>
        <v>#N/A</v>
      </c>
      <c r="AG446" s="39" t="e">
        <f>IF($R446="MTO","",
IF($H446=0,ROUNDUP(((_xlfn.XLOOKUP($A446,'[1]DATOS PBI Artículos'!$A:$A,'[1]DATOS PBI Artículos'!$AM:$AM))/(_xlfn.XLOOKUP($AH$1,[1]CRITERIOS!$S$16:$S$39,[1]CRITERIOS!$Y$16:$Y$39))*$J446+$Z446)/$G446,0)*$G446,
((_xlfn.XLOOKUP($A446,'[1]DATOS PBI Artículos'!$A:$A,'[1]DATOS PBI Artículos'!$AM:$AM))/(_xlfn.XLOOKUP($AH$1,[1]CRITERIOS!$S$16:$S$39,[1]CRITERIOS!$Y$16:$Y$39))*$J446+$Z446)))</f>
        <v>#N/A</v>
      </c>
      <c r="AI446" s="39" t="e">
        <f>IF($R446="MTO","",
IF($H446=0,ROUNDUP(((_xlfn.XLOOKUP($A446,'[1]DATOS PBI Artículos'!$A:$A,'[1]DATOS PBI Artículos'!$AN:$AN))/(_xlfn.XLOOKUP($AJ$1,[1]CRITERIOS!$S$16:$S$39,[1]CRITERIOS!$Y$16:$Y$39))*$J446+$Z446)/$G446,0)*$G446,
((_xlfn.XLOOKUP($A446,'[1]DATOS PBI Artículos'!$A:$A,'[1]DATOS PBI Artículos'!$AN:$AN))/(_xlfn.XLOOKUP($AJ$1,[1]CRITERIOS!$S$16:$S$39,[1]CRITERIOS!$Y$16:$Y$39))*$J446+$Z446)))</f>
        <v>#N/A</v>
      </c>
      <c r="AK446" s="39" t="e">
        <f>IF($R446="MTO","",
IF($H446=0,ROUNDUP(((_xlfn.XLOOKUP($A446,'[1]DATOS PBI Artículos'!$A:$A,'[1]DATOS PBI Artículos'!$AO:$AO))/(_xlfn.XLOOKUP($AL$1,[1]CRITERIOS!$S$16:$S$39,[1]CRITERIOS!$Y$16:$Y$39))*$J446+$Z446)/$G446,0)*$G446,
((_xlfn.XLOOKUP($A446,'[1]DATOS PBI Artículos'!$A:$A,'[1]DATOS PBI Artículos'!$AO:$AO))/(_xlfn.XLOOKUP($AL$1,[1]CRITERIOS!$S$16:$S$39,[1]CRITERIOS!$Y$16:$Y$39))*$J446+$Z446)))</f>
        <v>#N/A</v>
      </c>
    </row>
    <row r="447" spans="1:37" ht="25.8" hidden="1" x14ac:dyDescent="0.4">
      <c r="A447" s="41"/>
      <c r="B447" s="33">
        <f>_xlfn.XLOOKUP($A447,'[1]DATOS PBI Artículos'!A:A,'[1]DATOS PBI Artículos'!B:B)</f>
        <v>0</v>
      </c>
      <c r="C447" s="33">
        <f>_xlfn.XLOOKUP($A447,'[1]DATOS PBI Artículos'!A:A,'[1]DATOS PBI Artículos'!C:C)</f>
        <v>0</v>
      </c>
      <c r="D447" s="33">
        <f>_xlfn.XLOOKUP(A447,'[1]DATOS PBI Artículos'!A:A,'[1]DATOS PBI Artículos'!T:T)</f>
        <v>0</v>
      </c>
      <c r="E447" s="34">
        <f>IF(_xlfn.XLOOKUP($A447,'[1]DATOS PBI Artículos'!A:A,'[1]DATOS PBI Artículos'!AK:AK)="",_xlfn.XLOOKUP($A447,'[1]DATOS PBI Artículos'!A:A,'[1]DATOS PBI Artículos'!AJ:AJ),_xlfn.XLOOKUP($A447,'[1]DATOS PBI Artículos'!A:A,'[1]DATOS PBI Artículos'!AK:AK))</f>
        <v>0</v>
      </c>
      <c r="F447" s="35">
        <f>_xlfn.XLOOKUP($A447,'[1]DATOS PBI Artículos'!A:A,'[1]DATOS PBI Artículos'!AP:AP)</f>
        <v>0</v>
      </c>
      <c r="G447" s="34">
        <f>_xlfn.XLOOKUP($A447,'[1]DATOS PBI Artículos'!A:A,'[1]DATOS PBI Artículos'!AR:AR)</f>
        <v>0</v>
      </c>
      <c r="H447" s="34">
        <f>_xlfn.XLOOKUP($A447,'[1]DATOS PBI Artículos'!A:A,'[1]DATOS PBI Artículos'!AT:AT)</f>
        <v>0</v>
      </c>
      <c r="I447" s="34">
        <f>_xlfn.XLOOKUP($A447,'[1]DATOS PBI Artículos'!A:A,'[1]DATOS PBI Artículos'!AS:AS)</f>
        <v>0</v>
      </c>
      <c r="J447" s="35">
        <f>IF(COUNTIF([1]CRITERIOS!$F$179:$F$199,$A447)&gt;=1,
 IF(O447&lt;&gt;"",
    (O447/_xlfn.XLOOKUP(CONCATENATE(A447,L447),[1]MÁQUINAS!A:A,[1]MÁQUINAS!D:D))/24,
    (N447/_xlfn.XLOOKUP(CONCATENATE(A447,L447),[1]MÁQUINAS!A:A,[1]MÁQUINAS!D:D))/24),
  _xlfn.XLOOKUP($A447,'[1]DATOS PBI Artículos'!A:A,'[1]DATOS PBI Artículos'!AU:AU))</f>
        <v>0</v>
      </c>
      <c r="K447" s="36">
        <f>_xlfn.XLOOKUP($A447,'[1]DATOS PBI Artículos'!A:A,'[1]DATOS PBI Artículos'!AV:AV)</f>
        <v>0</v>
      </c>
      <c r="L447" s="33">
        <f>_xlfn.XLOOKUP(A447,[1]MÁQUINAS!B:B,[1]MÁQUINAS!C:C)</f>
        <v>0</v>
      </c>
      <c r="M447" s="34">
        <f t="array" ref="M447">_xlfn.XLOOKUP(A447,'[1]DATOS PBI Artículos'!A:A,'[1]DATOS PBI Artículos'!AX:$AX)</f>
        <v>0</v>
      </c>
      <c r="N447" s="37" t="e">
        <f>IF(I447="DV",
E447,
IF(COUNTIF([1]CRITERIOS!$I$179:$I$199,$A447)&gt;=1,
_xlfn.XLOOKUP($A447,[1]CRITERIOS!$I$179:$I$199,[1]CRITERIOS!$J$179:$J$199),
IF(COUNTIF([1]CRITERIOS!$L$179:$L$199,$A447)&gt;=1,
_xlfn.CEILING.MATH(IF($M447&gt;$E447,
$E447,
IF($M447&lt;$E447/ROUNDDOWN([1]CRITERIOS!$M$16/_xlfn.XLOOKUP($C447,[1]CRITERIOS!$K$25:$K$42,[1]CRITERIOS!$M$25:$M$42),
1),
E447/ROUNDDOWN([1]CRITERIOS!$M$16/_xlfn.XLOOKUP($C447,[1]CRITERIOS!$K$25:$K$42,[1]CRITERIOS!$M$25:$M$42),
1),
$M447)),
_xlfn.XLOOKUP($A447,[1]CRITERIOS!$L$179:$L$200,[1]CRITERIOS!$M$179:$M$200)),
_xlfn.CEILING.MATH(IF($M447&gt;$E447,
$E447,
IF($M447&lt;$E447/ROUNDDOWN([1]CRITERIOS!$M$16/_xlfn.XLOOKUP($C447,[1]CRITERIOS!$K$25:$K$42,[1]CRITERIOS!$M$25:$M$42),
1),
E447/ROUNDDOWN([1]CRITERIOS!$M$16/_xlfn.XLOOKUP($C447,[1]CRITERIOS!$K$25:$K$42,[1]CRITERIOS!$M$25:$M$42),
1),
$M447)),_xlfn.XLOOKUP(A447,'[1]DATOS PBI Artículos'!A:A,'[1]DATOS PBI Artículos'!Z:Z
)))))</f>
        <v>#N/A</v>
      </c>
      <c r="Q447" s="38" t="e">
        <f>IF(AND(O447="",N447=0),
0,
   IF(COUNTIF([1]CRITERIOS!$F$179:$F$199,$A447)&gt;=1,
   1,
   IF(R447="MTO",
      $D447,
      ROUNDUP(
                    IF(($E447-SUMIF('[1]DATOS PBI Artículos'!A:A,A447,'[1]DATOS PBI Artículos'!X:X)+($V447-_xlfn.XLOOKUP(A447,'[1]DATOS PBI Artículos'!A:A,'[1]DATOS PBI Artículos'!W:W)))&lt;0,
                    0,
                    IF(($E447-SUMIF('[1]DATOS PBI Artículos'!A:A,A447,'[1]DATOS PBI Artículos'!X:X)+$V447-_xlfn.XLOOKUP($A447,'[1]DATOS PBI Artículos'!A:A,'[1]DATOS PBI Artículos'!W:W))/IF($O447="",$N447,$O447)&gt;ROUNDUP([1]CRITERIOS!$M$16/(IF(COUNTIF([1]CRITERIOS!$BG$11:$BG$201,L447)&gt;=1,_xlfn.XLOOKUP($C447,[1]CRITERIOS!$K$25:$K$42,[1]CRITERIOS!$M$25:$M$42),_xlfn.XLOOKUP($C447,[1]CRITERIOS!$K$25:$K$42,[1]CRITERIOS!$M$25:$M$42))),0),
                    ROUNDUP([1]CRITERIOS!$M$16/(IF(COUNTIF([1]CRITERIOS!$BG$11:$BG$201,$L447)&gt;=1,_xlfn.XLOOKUP($C447,[1]CRITERIOS!$K$25:$K$42,[1]CRITERIOS!$M$25:$M$42),_xlfn.XLOOKUP($C447,[1]CRITERIOS!$K$25:$K$42,[1]CRITERIOS!$M$25:$M$42))),0),
                    (E447+V447-SUMIF('[1]DATOS PBI Artículos'!A:A,A447,'[1]DATOS PBI Artículos'!X:X)-_xlfn.XLOOKUP(A447,'[1]DATOS PBI Artículos'!A:A,'[1]DATOS PBI Artículos'!W:W))/IF($O447="",$N447,$O447))),0))))</f>
        <v>#N/A</v>
      </c>
      <c r="R447" s="33" t="e">
        <f>IF(U447&lt;&gt;"",U447,IF(F447="DV","MTO",IF(N447=0,"MTO",_xlfn.XLOOKUP(CONCATENATE(S447,T447),[1]CRITERIOS!$K$160:$K$168,[1]CRITERIOS!$N$160:$N$168))))</f>
        <v>#N/A</v>
      </c>
      <c r="S447" s="33" t="e">
        <f>IF(G447="DV","MTO",IF(N447=0,"MTO",IF(OR(AND(N447=0,O447=""),IF(O447="",G447/N447,G447/O447)&gt;[1]CRITERIOS!$G$163),"MTO",IF(IF(O447="",G447/N447,G447/O447)&lt;[1]CRITERIOS!$H$161,"MTS","MTOS"))))</f>
        <v>#N/A</v>
      </c>
      <c r="T447" s="33" t="e">
        <f>IF(F447="DV","MTO",IF(OR(AND($N447=0,O447=""),$F447/$J447&gt;[1]CRITERIOS!$G$170,$F447="DV"),"MTO",IF($F447/$J447&lt;[1]CRITERIOS!$H$168,"MTS","MTOS")))</f>
        <v>#N/A</v>
      </c>
      <c r="V447" s="34" t="e">
        <f t="shared" si="22"/>
        <v>#N/A</v>
      </c>
      <c r="X447" s="34" t="e">
        <f t="shared" si="20"/>
        <v>#N/A</v>
      </c>
      <c r="Y447" s="34" t="e">
        <f t="shared" si="21"/>
        <v>#N/A</v>
      </c>
      <c r="Z447" s="34" t="e">
        <f>IF($R447="MTO",
0,
($H447+$K447*($E447/[1]CRITERIOS!$M$16))/[1]CRITERIOS!$X$48)</f>
        <v>#N/A</v>
      </c>
      <c r="AA447" s="34" t="e">
        <f>ROUNDUP(($Y447/_xlfn.XLOOKUP($A447,'[1]DATOS PBI Artículos'!$A$4:$A$4,'[1]DATOS PBI Artículos'!$Z$4:$Z$4))/_xlfn.XLOOKUP(_xlfn.XLOOKUP($A447,'[1]DATOS PBI Artículos'!$A$4:$A$4,'[1]DATOS PBI Artículos'!$Y$4:$Y$4),[1]CRITERIOS!$P$79:$P$123,[1]CRITERIOS!$S$79:$S$123,),0)</f>
        <v>#N/A</v>
      </c>
      <c r="AB447" s="33" t="e">
        <f t="array" ref="AB447">IF((E447+V447-_xlfn.XLOOKUP(A447,'[1]DATOS PBI Artículos'!$A$4:$A$4,'[1]DATOS PBI Artículos'!$W$4:$W$4))/N447&gt;ROUNDUP([1]CRITERIOS!$M$16/(IF(COUNTIF([1]CRITERIOS!$BG$11:$BG$201,L447)&gt;=1,_xlfn.XLOOKUP(ARTÍCULOS!L447,[1]CRITERIOS!$BG$11:$BG$201,[1]CRITERIOS!$BJ$11:$BJ$201),_xlfn.XLOOKUP(ARTÍCULOS!C447,[1]CRITERIOS!$K$25:$K$42,[1]CRITERIOS!$M$25:$M$42))),0),ROUNDUP([1]CRITERIOS!$M$16/(IF(COUNTIF([1]CRITERIOS!$BG$11:$BG$201,L447)&gt;=1,_xlfn.XLOOKUP(ARTÍCULOS!L447,[1]CRITERIOS!$BG$11:$BG$201:#REF!,[1]CRITERIOS!$BJ$11:$BJ$201),_xlfn.XLOOKUP(ARTÍCULOS!C447,[1]CRITERIOS!$K$25:$K$42,[1]CRITERIOS!$M$25:$M$42))),0),(E447+V447-_xlfn.XLOOKUP(A447,'[1]DATOS PBI Artículos'!$A$4:$A$4,'[1]DATOS PBI Artículos'!$W$4:$W$4))/N447)</f>
        <v>#N/A</v>
      </c>
      <c r="AC447" s="33" t="e">
        <f>IF(N447=0,"",(ROUNDUP((N447/2)/(_xlfn.XLOOKUP(A447,'[1]DATOS PBI Artículos'!$A$4:$A$4,'[1]DATOS PBI Artículos'!$Z$4:$Z$4)*_xlfn.XLOOKUP(_xlfn.XLOOKUP(A447,'[1]DATOS PBI Artículos'!$A$4:$A$4,'[1]DATOS PBI Artículos'!$Y$4:$Y$4),[1]CRITERIOS!$P$79:$P$123,[1]CRITERIOS!$S$79:$S$123)),0)*[1]CRITERIOS!$M$80*([1]CRITERIOS!$M$110/[1]CRITERIOS!$M$86)+(_xlfn.XLOOKUP(A447,'[1]DATOS PBI Artículos'!$A$4:$A$4,'[1]DATOS PBI Artículos'!$AA$4:$AA$4)*([1]CRITERIOS!$M$95+[1]CRITERIOS!$M$98)))/N447)</f>
        <v>#N/A</v>
      </c>
      <c r="AD447" s="33" t="e">
        <f>IF(N447=0,"",(ROUNDUP((N447/2)/(_xlfn.XLOOKUP(A447,'[1]DATOS PBI Artículos'!$A$4:$A$4,'[1]DATOS PBI Artículos'!$Z$4:$Z$4)*_xlfn.XLOOKUP(_xlfn.XLOOKUP(A447,'[1]DATOS PBI Artículos'!$A$4:$A$4,'[1]DATOS PBI Artículos'!$Y$4:$Y$4),[1]CRITERIOS!$P$79:$P$123,[1]CRITERIOS!$S$79:$S$123)),0)*[1]CRITERIOS!$M$80*([1]CRITERIOS!$M$89*[1]CRITERIOS!$M$92)+((_xlfn.XLOOKUP(A447,'[1]DATOS PBI Artículos'!$A$4:$A$4,'[1]DATOS PBI Artículos'!$AA$4:$AA$4)/2)*([1]CRITERIOS!$M$95+[1]CRITERIOS!$M$98)))/N447)</f>
        <v>#N/A</v>
      </c>
      <c r="AE447" s="39" t="e">
        <f>IF($R447="MTO","",
IF($H447=0,ROUNDUP(((_xlfn.XLOOKUP($A447,'[1]DATOS PBI Artículos'!$A:$A,'[1]DATOS PBI Artículos'!$AL:$AL))/(_xlfn.XLOOKUP($AF$1,[1]CRITERIOS!$S$16:$S$39,[1]CRITERIOS!$Y$16:$Y$39))*$J447+$Z447)/$G447,0)*$G447,
((_xlfn.XLOOKUP($A447,'[1]DATOS PBI Artículos'!$A:$A,'[1]DATOS PBI Artículos'!$AL:$AL))/(_xlfn.XLOOKUP($AF$1,[1]CRITERIOS!$S$16:$S$39,[1]CRITERIOS!$Y$16:$Y$39))*$J447+$Z447)))</f>
        <v>#N/A</v>
      </c>
      <c r="AG447" s="39" t="e">
        <f>IF($R447="MTO","",
IF($H447=0,ROUNDUP(((_xlfn.XLOOKUP($A447,'[1]DATOS PBI Artículos'!$A:$A,'[1]DATOS PBI Artículos'!$AM:$AM))/(_xlfn.XLOOKUP($AH$1,[1]CRITERIOS!$S$16:$S$39,[1]CRITERIOS!$Y$16:$Y$39))*$J447+$Z447)/$G447,0)*$G447,
((_xlfn.XLOOKUP($A447,'[1]DATOS PBI Artículos'!$A:$A,'[1]DATOS PBI Artículos'!$AM:$AM))/(_xlfn.XLOOKUP($AH$1,[1]CRITERIOS!$S$16:$S$39,[1]CRITERIOS!$Y$16:$Y$39))*$J447+$Z447)))</f>
        <v>#N/A</v>
      </c>
      <c r="AI447" s="39" t="e">
        <f>IF($R447="MTO","",
IF($H447=0,ROUNDUP(((_xlfn.XLOOKUP($A447,'[1]DATOS PBI Artículos'!$A:$A,'[1]DATOS PBI Artículos'!$AN:$AN))/(_xlfn.XLOOKUP($AJ$1,[1]CRITERIOS!$S$16:$S$39,[1]CRITERIOS!$Y$16:$Y$39))*$J447+$Z447)/$G447,0)*$G447,
((_xlfn.XLOOKUP($A447,'[1]DATOS PBI Artículos'!$A:$A,'[1]DATOS PBI Artículos'!$AN:$AN))/(_xlfn.XLOOKUP($AJ$1,[1]CRITERIOS!$S$16:$S$39,[1]CRITERIOS!$Y$16:$Y$39))*$J447+$Z447)))</f>
        <v>#N/A</v>
      </c>
      <c r="AK447" s="39" t="e">
        <f>IF($R447="MTO","",
IF($H447=0,ROUNDUP(((_xlfn.XLOOKUP($A447,'[1]DATOS PBI Artículos'!$A:$A,'[1]DATOS PBI Artículos'!$AO:$AO))/(_xlfn.XLOOKUP($AL$1,[1]CRITERIOS!$S$16:$S$39,[1]CRITERIOS!$Y$16:$Y$39))*$J447+$Z447)/$G447,0)*$G447,
((_xlfn.XLOOKUP($A447,'[1]DATOS PBI Artículos'!$A:$A,'[1]DATOS PBI Artículos'!$AO:$AO))/(_xlfn.XLOOKUP($AL$1,[1]CRITERIOS!$S$16:$S$39,[1]CRITERIOS!$Y$16:$Y$39))*$J447+$Z447)))</f>
        <v>#N/A</v>
      </c>
    </row>
    <row r="448" spans="1:37" ht="25.8" hidden="1" x14ac:dyDescent="0.4">
      <c r="A448" s="41"/>
      <c r="B448" s="33">
        <f>_xlfn.XLOOKUP($A448,'[1]DATOS PBI Artículos'!A:A,'[1]DATOS PBI Artículos'!B:B)</f>
        <v>0</v>
      </c>
      <c r="C448" s="33">
        <f>_xlfn.XLOOKUP($A448,'[1]DATOS PBI Artículos'!A:A,'[1]DATOS PBI Artículos'!C:C)</f>
        <v>0</v>
      </c>
      <c r="D448" s="33">
        <f>_xlfn.XLOOKUP(A448,'[1]DATOS PBI Artículos'!A:A,'[1]DATOS PBI Artículos'!T:T)</f>
        <v>0</v>
      </c>
      <c r="E448" s="34">
        <f>IF(_xlfn.XLOOKUP($A448,'[1]DATOS PBI Artículos'!A:A,'[1]DATOS PBI Artículos'!AK:AK)="",_xlfn.XLOOKUP($A448,'[1]DATOS PBI Artículos'!A:A,'[1]DATOS PBI Artículos'!AJ:AJ),_xlfn.XLOOKUP($A448,'[1]DATOS PBI Artículos'!A:A,'[1]DATOS PBI Artículos'!AK:AK))</f>
        <v>0</v>
      </c>
      <c r="F448" s="35">
        <f>_xlfn.XLOOKUP($A448,'[1]DATOS PBI Artículos'!A:A,'[1]DATOS PBI Artículos'!AP:AP)</f>
        <v>0</v>
      </c>
      <c r="G448" s="34">
        <f>_xlfn.XLOOKUP($A448,'[1]DATOS PBI Artículos'!A:A,'[1]DATOS PBI Artículos'!AR:AR)</f>
        <v>0</v>
      </c>
      <c r="H448" s="34">
        <f>_xlfn.XLOOKUP($A448,'[1]DATOS PBI Artículos'!A:A,'[1]DATOS PBI Artículos'!AT:AT)</f>
        <v>0</v>
      </c>
      <c r="I448" s="34">
        <f>_xlfn.XLOOKUP($A448,'[1]DATOS PBI Artículos'!A:A,'[1]DATOS PBI Artículos'!AS:AS)</f>
        <v>0</v>
      </c>
      <c r="J448" s="35">
        <f>IF(COUNTIF([1]CRITERIOS!$F$179:$F$199,$A448)&gt;=1,
 IF(O448&lt;&gt;"",
    (O448/_xlfn.XLOOKUP(CONCATENATE(A448,L448),[1]MÁQUINAS!A:A,[1]MÁQUINAS!D:D))/24,
    (N448/_xlfn.XLOOKUP(CONCATENATE(A448,L448),[1]MÁQUINAS!A:A,[1]MÁQUINAS!D:D))/24),
  _xlfn.XLOOKUP($A448,'[1]DATOS PBI Artículos'!A:A,'[1]DATOS PBI Artículos'!AU:AU))</f>
        <v>0</v>
      </c>
      <c r="K448" s="36">
        <f>_xlfn.XLOOKUP($A448,'[1]DATOS PBI Artículos'!A:A,'[1]DATOS PBI Artículos'!AV:AV)</f>
        <v>0</v>
      </c>
      <c r="L448" s="33">
        <f>_xlfn.XLOOKUP(A448,[1]MÁQUINAS!B:B,[1]MÁQUINAS!C:C)</f>
        <v>0</v>
      </c>
      <c r="M448" s="34">
        <f t="array" ref="M448">_xlfn.XLOOKUP(A448,'[1]DATOS PBI Artículos'!A:A,'[1]DATOS PBI Artículos'!AX:$AX)</f>
        <v>0</v>
      </c>
      <c r="N448" s="37" t="e">
        <f>IF(I448="DV",
E448,
IF(COUNTIF([1]CRITERIOS!$I$179:$I$199,$A448)&gt;=1,
_xlfn.XLOOKUP($A448,[1]CRITERIOS!$I$179:$I$199,[1]CRITERIOS!$J$179:$J$199),
IF(COUNTIF([1]CRITERIOS!$L$179:$L$199,$A448)&gt;=1,
_xlfn.CEILING.MATH(IF($M448&gt;$E448,
$E448,
IF($M448&lt;$E448/ROUNDDOWN([1]CRITERIOS!$M$16/_xlfn.XLOOKUP($C448,[1]CRITERIOS!$K$25:$K$42,[1]CRITERIOS!$M$25:$M$42),
1),
E448/ROUNDDOWN([1]CRITERIOS!$M$16/_xlfn.XLOOKUP($C448,[1]CRITERIOS!$K$25:$K$42,[1]CRITERIOS!$M$25:$M$42),
1),
$M448)),
_xlfn.XLOOKUP($A448,[1]CRITERIOS!$L$179:$L$200,[1]CRITERIOS!$M$179:$M$200)),
_xlfn.CEILING.MATH(IF($M448&gt;$E448,
$E448,
IF($M448&lt;$E448/ROUNDDOWN([1]CRITERIOS!$M$16/_xlfn.XLOOKUP($C448,[1]CRITERIOS!$K$25:$K$42,[1]CRITERIOS!$M$25:$M$42),
1),
E448/ROUNDDOWN([1]CRITERIOS!$M$16/_xlfn.XLOOKUP($C448,[1]CRITERIOS!$K$25:$K$42,[1]CRITERIOS!$M$25:$M$42),
1),
$M448)),_xlfn.XLOOKUP(A448,'[1]DATOS PBI Artículos'!A:A,'[1]DATOS PBI Artículos'!Z:Z
)))))</f>
        <v>#N/A</v>
      </c>
      <c r="Q448" s="38" t="e">
        <f>IF(AND(O448="",N448=0),
0,
   IF(COUNTIF([1]CRITERIOS!$F$179:$F$199,$A448)&gt;=1,
   1,
   IF(R448="MTO",
      $D448,
      ROUNDUP(
                    IF(($E448-SUMIF('[1]DATOS PBI Artículos'!A:A,A448,'[1]DATOS PBI Artículos'!X:X)+($V448-_xlfn.XLOOKUP(A448,'[1]DATOS PBI Artículos'!A:A,'[1]DATOS PBI Artículos'!W:W)))&lt;0,
                    0,
                    IF(($E448-SUMIF('[1]DATOS PBI Artículos'!A:A,A448,'[1]DATOS PBI Artículos'!X:X)+$V448-_xlfn.XLOOKUP($A448,'[1]DATOS PBI Artículos'!A:A,'[1]DATOS PBI Artículos'!W:W))/IF($O448="",$N448,$O448)&gt;ROUNDUP([1]CRITERIOS!$M$16/(IF(COUNTIF([1]CRITERIOS!$BG$11:$BG$201,L448)&gt;=1,_xlfn.XLOOKUP($C448,[1]CRITERIOS!$K$25:$K$42,[1]CRITERIOS!$M$25:$M$42),_xlfn.XLOOKUP($C448,[1]CRITERIOS!$K$25:$K$42,[1]CRITERIOS!$M$25:$M$42))),0),
                    ROUNDUP([1]CRITERIOS!$M$16/(IF(COUNTIF([1]CRITERIOS!$BG$11:$BG$201,$L448)&gt;=1,_xlfn.XLOOKUP($C448,[1]CRITERIOS!$K$25:$K$42,[1]CRITERIOS!$M$25:$M$42),_xlfn.XLOOKUP($C448,[1]CRITERIOS!$K$25:$K$42,[1]CRITERIOS!$M$25:$M$42))),0),
                    (E448+V448-SUMIF('[1]DATOS PBI Artículos'!A:A,A448,'[1]DATOS PBI Artículos'!X:X)-_xlfn.XLOOKUP(A448,'[1]DATOS PBI Artículos'!A:A,'[1]DATOS PBI Artículos'!W:W))/IF($O448="",$N448,$O448))),0))))</f>
        <v>#N/A</v>
      </c>
      <c r="R448" s="33" t="e">
        <f>IF(U448&lt;&gt;"",U448,IF(F448="DV","MTO",IF(N448=0,"MTO",_xlfn.XLOOKUP(CONCATENATE(S448,T448),[1]CRITERIOS!$K$160:$K$168,[1]CRITERIOS!$N$160:$N$168))))</f>
        <v>#N/A</v>
      </c>
      <c r="S448" s="33" t="e">
        <f>IF(G448="DV","MTO",IF(N448=0,"MTO",IF(OR(AND(N448=0,O448=""),IF(O448="",G448/N448,G448/O448)&gt;[1]CRITERIOS!$G$163),"MTO",IF(IF(O448="",G448/N448,G448/O448)&lt;[1]CRITERIOS!$H$161,"MTS","MTOS"))))</f>
        <v>#N/A</v>
      </c>
      <c r="T448" s="33" t="e">
        <f>IF(F448="DV","MTO",IF(OR(AND($N448=0,O448=""),$F448/$J448&gt;[1]CRITERIOS!$G$170,$F448="DV"),"MTO",IF($F448/$J448&lt;[1]CRITERIOS!$H$168,"MTS","MTOS")))</f>
        <v>#N/A</v>
      </c>
      <c r="V448" s="34" t="e">
        <f t="shared" si="22"/>
        <v>#N/A</v>
      </c>
      <c r="X448" s="34" t="e">
        <f t="shared" si="20"/>
        <v>#N/A</v>
      </c>
      <c r="Y448" s="34" t="e">
        <f t="shared" si="21"/>
        <v>#N/A</v>
      </c>
      <c r="Z448" s="34" t="e">
        <f>IF($R448="MTO",
0,
($H448+$K448*($E448/[1]CRITERIOS!$M$16))/[1]CRITERIOS!$X$48)</f>
        <v>#N/A</v>
      </c>
      <c r="AA448" s="34" t="e">
        <f>ROUNDUP(($Y448/_xlfn.XLOOKUP($A448,'[1]DATOS PBI Artículos'!$A$4:$A$4,'[1]DATOS PBI Artículos'!$Z$4:$Z$4))/_xlfn.XLOOKUP(_xlfn.XLOOKUP($A448,'[1]DATOS PBI Artículos'!$A$4:$A$4,'[1]DATOS PBI Artículos'!$Y$4:$Y$4),[1]CRITERIOS!$P$79:$P$123,[1]CRITERIOS!$S$79:$S$123,),0)</f>
        <v>#N/A</v>
      </c>
      <c r="AB448" s="33" t="e">
        <f t="array" ref="AB448">IF((E448+V448-_xlfn.XLOOKUP(A448,'[1]DATOS PBI Artículos'!$A$4:$A$4,'[1]DATOS PBI Artículos'!$W$4:$W$4))/N448&gt;ROUNDUP([1]CRITERIOS!$M$16/(IF(COUNTIF([1]CRITERIOS!$BG$11:$BG$201,L448)&gt;=1,_xlfn.XLOOKUP(ARTÍCULOS!L448,[1]CRITERIOS!$BG$11:$BG$201,[1]CRITERIOS!$BJ$11:$BJ$201),_xlfn.XLOOKUP(ARTÍCULOS!C448,[1]CRITERIOS!$K$25:$K$42,[1]CRITERIOS!$M$25:$M$42))),0),ROUNDUP([1]CRITERIOS!$M$16/(IF(COUNTIF([1]CRITERIOS!$BG$11:$BG$201,L448)&gt;=1,_xlfn.XLOOKUP(ARTÍCULOS!L448,[1]CRITERIOS!$BG$11:$BG$201:#REF!,[1]CRITERIOS!$BJ$11:$BJ$201),_xlfn.XLOOKUP(ARTÍCULOS!C448,[1]CRITERIOS!$K$25:$K$42,[1]CRITERIOS!$M$25:$M$42))),0),(E448+V448-_xlfn.XLOOKUP(A448,'[1]DATOS PBI Artículos'!$A$4:$A$4,'[1]DATOS PBI Artículos'!$W$4:$W$4))/N448)</f>
        <v>#N/A</v>
      </c>
      <c r="AC448" s="33" t="e">
        <f>IF(N448=0,"",(ROUNDUP((N448/2)/(_xlfn.XLOOKUP(A448,'[1]DATOS PBI Artículos'!$A$4:$A$4,'[1]DATOS PBI Artículos'!$Z$4:$Z$4)*_xlfn.XLOOKUP(_xlfn.XLOOKUP(A448,'[1]DATOS PBI Artículos'!$A$4:$A$4,'[1]DATOS PBI Artículos'!$Y$4:$Y$4),[1]CRITERIOS!$P$79:$P$123,[1]CRITERIOS!$S$79:$S$123)),0)*[1]CRITERIOS!$M$80*([1]CRITERIOS!$M$110/[1]CRITERIOS!$M$86)+(_xlfn.XLOOKUP(A448,'[1]DATOS PBI Artículos'!$A$4:$A$4,'[1]DATOS PBI Artículos'!$AA$4:$AA$4)*([1]CRITERIOS!$M$95+[1]CRITERIOS!$M$98)))/N448)</f>
        <v>#N/A</v>
      </c>
      <c r="AD448" s="33" t="e">
        <f>IF(N448=0,"",(ROUNDUP((N448/2)/(_xlfn.XLOOKUP(A448,'[1]DATOS PBI Artículos'!$A$4:$A$4,'[1]DATOS PBI Artículos'!$Z$4:$Z$4)*_xlfn.XLOOKUP(_xlfn.XLOOKUP(A448,'[1]DATOS PBI Artículos'!$A$4:$A$4,'[1]DATOS PBI Artículos'!$Y$4:$Y$4),[1]CRITERIOS!$P$79:$P$123,[1]CRITERIOS!$S$79:$S$123)),0)*[1]CRITERIOS!$M$80*([1]CRITERIOS!$M$89*[1]CRITERIOS!$M$92)+((_xlfn.XLOOKUP(A448,'[1]DATOS PBI Artículos'!$A$4:$A$4,'[1]DATOS PBI Artículos'!$AA$4:$AA$4)/2)*([1]CRITERIOS!$M$95+[1]CRITERIOS!$M$98)))/N448)</f>
        <v>#N/A</v>
      </c>
      <c r="AE448" s="39" t="e">
        <f>IF($R448="MTO","",
IF($H448=0,ROUNDUP(((_xlfn.XLOOKUP($A448,'[1]DATOS PBI Artículos'!$A:$A,'[1]DATOS PBI Artículos'!$AL:$AL))/(_xlfn.XLOOKUP($AF$1,[1]CRITERIOS!$S$16:$S$39,[1]CRITERIOS!$Y$16:$Y$39))*$J448+$Z448)/$G448,0)*$G448,
((_xlfn.XLOOKUP($A448,'[1]DATOS PBI Artículos'!$A:$A,'[1]DATOS PBI Artículos'!$AL:$AL))/(_xlfn.XLOOKUP($AF$1,[1]CRITERIOS!$S$16:$S$39,[1]CRITERIOS!$Y$16:$Y$39))*$J448+$Z448)))</f>
        <v>#N/A</v>
      </c>
      <c r="AG448" s="39" t="e">
        <f>IF($R448="MTO","",
IF($H448=0,ROUNDUP(((_xlfn.XLOOKUP($A448,'[1]DATOS PBI Artículos'!$A:$A,'[1]DATOS PBI Artículos'!$AM:$AM))/(_xlfn.XLOOKUP($AH$1,[1]CRITERIOS!$S$16:$S$39,[1]CRITERIOS!$Y$16:$Y$39))*$J448+$Z448)/$G448,0)*$G448,
((_xlfn.XLOOKUP($A448,'[1]DATOS PBI Artículos'!$A:$A,'[1]DATOS PBI Artículos'!$AM:$AM))/(_xlfn.XLOOKUP($AH$1,[1]CRITERIOS!$S$16:$S$39,[1]CRITERIOS!$Y$16:$Y$39))*$J448+$Z448)))</f>
        <v>#N/A</v>
      </c>
      <c r="AI448" s="39" t="e">
        <f>IF($R448="MTO","",
IF($H448=0,ROUNDUP(((_xlfn.XLOOKUP($A448,'[1]DATOS PBI Artículos'!$A:$A,'[1]DATOS PBI Artículos'!$AN:$AN))/(_xlfn.XLOOKUP($AJ$1,[1]CRITERIOS!$S$16:$S$39,[1]CRITERIOS!$Y$16:$Y$39))*$J448+$Z448)/$G448,0)*$G448,
((_xlfn.XLOOKUP($A448,'[1]DATOS PBI Artículos'!$A:$A,'[1]DATOS PBI Artículos'!$AN:$AN))/(_xlfn.XLOOKUP($AJ$1,[1]CRITERIOS!$S$16:$S$39,[1]CRITERIOS!$Y$16:$Y$39))*$J448+$Z448)))</f>
        <v>#N/A</v>
      </c>
      <c r="AK448" s="39" t="e">
        <f>IF($R448="MTO","",
IF($H448=0,ROUNDUP(((_xlfn.XLOOKUP($A448,'[1]DATOS PBI Artículos'!$A:$A,'[1]DATOS PBI Artículos'!$AO:$AO))/(_xlfn.XLOOKUP($AL$1,[1]CRITERIOS!$S$16:$S$39,[1]CRITERIOS!$Y$16:$Y$39))*$J448+$Z448)/$G448,0)*$G448,
((_xlfn.XLOOKUP($A448,'[1]DATOS PBI Artículos'!$A:$A,'[1]DATOS PBI Artículos'!$AO:$AO))/(_xlfn.XLOOKUP($AL$1,[1]CRITERIOS!$S$16:$S$39,[1]CRITERIOS!$Y$16:$Y$39))*$J448+$Z448)))</f>
        <v>#N/A</v>
      </c>
    </row>
    <row r="449" spans="1:37" ht="25.8" hidden="1" x14ac:dyDescent="0.4">
      <c r="A449" s="41"/>
      <c r="B449" s="33">
        <f>_xlfn.XLOOKUP($A449,'[1]DATOS PBI Artículos'!A:A,'[1]DATOS PBI Artículos'!B:B)</f>
        <v>0</v>
      </c>
      <c r="C449" s="33">
        <f>_xlfn.XLOOKUP($A449,'[1]DATOS PBI Artículos'!A:A,'[1]DATOS PBI Artículos'!C:C)</f>
        <v>0</v>
      </c>
      <c r="D449" s="33">
        <f>_xlfn.XLOOKUP(A449,'[1]DATOS PBI Artículos'!A:A,'[1]DATOS PBI Artículos'!T:T)</f>
        <v>0</v>
      </c>
      <c r="E449" s="34">
        <f>IF(_xlfn.XLOOKUP($A449,'[1]DATOS PBI Artículos'!A:A,'[1]DATOS PBI Artículos'!AK:AK)="",_xlfn.XLOOKUP($A449,'[1]DATOS PBI Artículos'!A:A,'[1]DATOS PBI Artículos'!AJ:AJ),_xlfn.XLOOKUP($A449,'[1]DATOS PBI Artículos'!A:A,'[1]DATOS PBI Artículos'!AK:AK))</f>
        <v>0</v>
      </c>
      <c r="F449" s="35">
        <f>_xlfn.XLOOKUP($A449,'[1]DATOS PBI Artículos'!A:A,'[1]DATOS PBI Artículos'!AP:AP)</f>
        <v>0</v>
      </c>
      <c r="G449" s="34">
        <f>_xlfn.XLOOKUP($A449,'[1]DATOS PBI Artículos'!A:A,'[1]DATOS PBI Artículos'!AR:AR)</f>
        <v>0</v>
      </c>
      <c r="H449" s="34">
        <f>_xlfn.XLOOKUP($A449,'[1]DATOS PBI Artículos'!A:A,'[1]DATOS PBI Artículos'!AT:AT)</f>
        <v>0</v>
      </c>
      <c r="I449" s="34">
        <f>_xlfn.XLOOKUP($A449,'[1]DATOS PBI Artículos'!A:A,'[1]DATOS PBI Artículos'!AS:AS)</f>
        <v>0</v>
      </c>
      <c r="J449" s="35">
        <f>IF(COUNTIF([1]CRITERIOS!$F$179:$F$199,$A449)&gt;=1,
 IF(O449&lt;&gt;"",
    (O449/_xlfn.XLOOKUP(CONCATENATE(A449,L449),[1]MÁQUINAS!A:A,[1]MÁQUINAS!D:D))/24,
    (N449/_xlfn.XLOOKUP(CONCATENATE(A449,L449),[1]MÁQUINAS!A:A,[1]MÁQUINAS!D:D))/24),
  _xlfn.XLOOKUP($A449,'[1]DATOS PBI Artículos'!A:A,'[1]DATOS PBI Artículos'!AU:AU))</f>
        <v>0</v>
      </c>
      <c r="K449" s="36">
        <f>_xlfn.XLOOKUP($A449,'[1]DATOS PBI Artículos'!A:A,'[1]DATOS PBI Artículos'!AV:AV)</f>
        <v>0</v>
      </c>
      <c r="L449" s="33">
        <f>_xlfn.XLOOKUP(A449,[1]MÁQUINAS!B:B,[1]MÁQUINAS!C:C)</f>
        <v>0</v>
      </c>
      <c r="M449" s="34">
        <f t="array" ref="M449">_xlfn.XLOOKUP(A449,'[1]DATOS PBI Artículos'!A:A,'[1]DATOS PBI Artículos'!AX:$AX)</f>
        <v>0</v>
      </c>
      <c r="N449" s="37" t="e">
        <f>IF(I449="DV",
E449,
IF(COUNTIF([1]CRITERIOS!$I$179:$I$199,$A449)&gt;=1,
_xlfn.XLOOKUP($A449,[1]CRITERIOS!$I$179:$I$199,[1]CRITERIOS!$J$179:$J$199),
IF(COUNTIF([1]CRITERIOS!$L$179:$L$199,$A449)&gt;=1,
_xlfn.CEILING.MATH(IF($M449&gt;$E449,
$E449,
IF($M449&lt;$E449/ROUNDDOWN([1]CRITERIOS!$M$16/_xlfn.XLOOKUP($C449,[1]CRITERIOS!$K$25:$K$42,[1]CRITERIOS!$M$25:$M$42),
1),
E449/ROUNDDOWN([1]CRITERIOS!$M$16/_xlfn.XLOOKUP($C449,[1]CRITERIOS!$K$25:$K$42,[1]CRITERIOS!$M$25:$M$42),
1),
$M449)),
_xlfn.XLOOKUP($A449,[1]CRITERIOS!$L$179:$L$200,[1]CRITERIOS!$M$179:$M$200)),
_xlfn.CEILING.MATH(IF($M449&gt;$E449,
$E449,
IF($M449&lt;$E449/ROUNDDOWN([1]CRITERIOS!$M$16/_xlfn.XLOOKUP($C449,[1]CRITERIOS!$K$25:$K$42,[1]CRITERIOS!$M$25:$M$42),
1),
E449/ROUNDDOWN([1]CRITERIOS!$M$16/_xlfn.XLOOKUP($C449,[1]CRITERIOS!$K$25:$K$42,[1]CRITERIOS!$M$25:$M$42),
1),
$M449)),_xlfn.XLOOKUP(A449,'[1]DATOS PBI Artículos'!A:A,'[1]DATOS PBI Artículos'!Z:Z
)))))</f>
        <v>#N/A</v>
      </c>
      <c r="Q449" s="38" t="e">
        <f>IF(AND(O449="",N449=0),
0,
   IF(COUNTIF([1]CRITERIOS!$F$179:$F$199,$A449)&gt;=1,
   1,
   IF(R449="MTO",
      $D449,
      ROUNDUP(
                    IF(($E449-SUMIF('[1]DATOS PBI Artículos'!A:A,A449,'[1]DATOS PBI Artículos'!X:X)+($V449-_xlfn.XLOOKUP(A449,'[1]DATOS PBI Artículos'!A:A,'[1]DATOS PBI Artículos'!W:W)))&lt;0,
                    0,
                    IF(($E449-SUMIF('[1]DATOS PBI Artículos'!A:A,A449,'[1]DATOS PBI Artículos'!X:X)+$V449-_xlfn.XLOOKUP($A449,'[1]DATOS PBI Artículos'!A:A,'[1]DATOS PBI Artículos'!W:W))/IF($O449="",$N449,$O449)&gt;ROUNDUP([1]CRITERIOS!$M$16/(IF(COUNTIF([1]CRITERIOS!$BG$11:$BG$201,L449)&gt;=1,_xlfn.XLOOKUP($C449,[1]CRITERIOS!$K$25:$K$42,[1]CRITERIOS!$M$25:$M$42),_xlfn.XLOOKUP($C449,[1]CRITERIOS!$K$25:$K$42,[1]CRITERIOS!$M$25:$M$42))),0),
                    ROUNDUP([1]CRITERIOS!$M$16/(IF(COUNTIF([1]CRITERIOS!$BG$11:$BG$201,$L449)&gt;=1,_xlfn.XLOOKUP($C449,[1]CRITERIOS!$K$25:$K$42,[1]CRITERIOS!$M$25:$M$42),_xlfn.XLOOKUP($C449,[1]CRITERIOS!$K$25:$K$42,[1]CRITERIOS!$M$25:$M$42))),0),
                    (E449+V449-SUMIF('[1]DATOS PBI Artículos'!A:A,A449,'[1]DATOS PBI Artículos'!X:X)-_xlfn.XLOOKUP(A449,'[1]DATOS PBI Artículos'!A:A,'[1]DATOS PBI Artículos'!W:W))/IF($O449="",$N449,$O449))),0))))</f>
        <v>#N/A</v>
      </c>
      <c r="R449" s="33" t="e">
        <f>IF(U449&lt;&gt;"",U449,IF(F449="DV","MTO",IF(N449=0,"MTO",_xlfn.XLOOKUP(CONCATENATE(S449,T449),[1]CRITERIOS!$K$160:$K$168,[1]CRITERIOS!$N$160:$N$168))))</f>
        <v>#N/A</v>
      </c>
      <c r="S449" s="33" t="e">
        <f>IF(G449="DV","MTO",IF(N449=0,"MTO",IF(OR(AND(N449=0,O449=""),IF(O449="",G449/N449,G449/O449)&gt;[1]CRITERIOS!$G$163),"MTO",IF(IF(O449="",G449/N449,G449/O449)&lt;[1]CRITERIOS!$H$161,"MTS","MTOS"))))</f>
        <v>#N/A</v>
      </c>
      <c r="T449" s="33" t="e">
        <f>IF(F449="DV","MTO",IF(OR(AND($N449=0,O449=""),$F449/$J449&gt;[1]CRITERIOS!$G$170,$F449="DV"),"MTO",IF($F449/$J449&lt;[1]CRITERIOS!$H$168,"MTS","MTOS")))</f>
        <v>#N/A</v>
      </c>
      <c r="V449" s="34" t="e">
        <f t="shared" si="22"/>
        <v>#N/A</v>
      </c>
      <c r="X449" s="34" t="e">
        <f t="shared" si="20"/>
        <v>#N/A</v>
      </c>
      <c r="Y449" s="34" t="e">
        <f t="shared" si="21"/>
        <v>#N/A</v>
      </c>
      <c r="Z449" s="34" t="e">
        <f>IF($R449="MTO",
0,
($H449+$K449*($E449/[1]CRITERIOS!$M$16))/[1]CRITERIOS!$X$48)</f>
        <v>#N/A</v>
      </c>
      <c r="AA449" s="34" t="e">
        <f>ROUNDUP(($Y449/_xlfn.XLOOKUP($A449,'[1]DATOS PBI Artículos'!$A$4:$A$4,'[1]DATOS PBI Artículos'!$Z$4:$Z$4))/_xlfn.XLOOKUP(_xlfn.XLOOKUP($A449,'[1]DATOS PBI Artículos'!$A$4:$A$4,'[1]DATOS PBI Artículos'!$Y$4:$Y$4),[1]CRITERIOS!$P$79:$P$123,[1]CRITERIOS!$S$79:$S$123,),0)</f>
        <v>#N/A</v>
      </c>
      <c r="AB449" s="33" t="e">
        <f t="array" ref="AB449">IF((E449+V449-_xlfn.XLOOKUP(A449,'[1]DATOS PBI Artículos'!$A$4:$A$4,'[1]DATOS PBI Artículos'!$W$4:$W$4))/N449&gt;ROUNDUP([1]CRITERIOS!$M$16/(IF(COUNTIF([1]CRITERIOS!$BG$11:$BG$201,L449)&gt;=1,_xlfn.XLOOKUP(ARTÍCULOS!L449,[1]CRITERIOS!$BG$11:$BG$201,[1]CRITERIOS!$BJ$11:$BJ$201),_xlfn.XLOOKUP(ARTÍCULOS!C449,[1]CRITERIOS!$K$25:$K$42,[1]CRITERIOS!$M$25:$M$42))),0),ROUNDUP([1]CRITERIOS!$M$16/(IF(COUNTIF([1]CRITERIOS!$BG$11:$BG$201,L449)&gt;=1,_xlfn.XLOOKUP(ARTÍCULOS!L449,[1]CRITERIOS!$BG$11:$BG$201:#REF!,[1]CRITERIOS!$BJ$11:$BJ$201),_xlfn.XLOOKUP(ARTÍCULOS!C449,[1]CRITERIOS!$K$25:$K$42,[1]CRITERIOS!$M$25:$M$42))),0),(E449+V449-_xlfn.XLOOKUP(A449,'[1]DATOS PBI Artículos'!$A$4:$A$4,'[1]DATOS PBI Artículos'!$W$4:$W$4))/N449)</f>
        <v>#N/A</v>
      </c>
      <c r="AC449" s="33" t="e">
        <f>IF(N449=0,"",(ROUNDUP((N449/2)/(_xlfn.XLOOKUP(A449,'[1]DATOS PBI Artículos'!$A$4:$A$4,'[1]DATOS PBI Artículos'!$Z$4:$Z$4)*_xlfn.XLOOKUP(_xlfn.XLOOKUP(A449,'[1]DATOS PBI Artículos'!$A$4:$A$4,'[1]DATOS PBI Artículos'!$Y$4:$Y$4),[1]CRITERIOS!$P$79:$P$123,[1]CRITERIOS!$S$79:$S$123)),0)*[1]CRITERIOS!$M$80*([1]CRITERIOS!$M$110/[1]CRITERIOS!$M$86)+(_xlfn.XLOOKUP(A449,'[1]DATOS PBI Artículos'!$A$4:$A$4,'[1]DATOS PBI Artículos'!$AA$4:$AA$4)*([1]CRITERIOS!$M$95+[1]CRITERIOS!$M$98)))/N449)</f>
        <v>#N/A</v>
      </c>
      <c r="AD449" s="33" t="e">
        <f>IF(N449=0,"",(ROUNDUP((N449/2)/(_xlfn.XLOOKUP(A449,'[1]DATOS PBI Artículos'!$A$4:$A$4,'[1]DATOS PBI Artículos'!$Z$4:$Z$4)*_xlfn.XLOOKUP(_xlfn.XLOOKUP(A449,'[1]DATOS PBI Artículos'!$A$4:$A$4,'[1]DATOS PBI Artículos'!$Y$4:$Y$4),[1]CRITERIOS!$P$79:$P$123,[1]CRITERIOS!$S$79:$S$123)),0)*[1]CRITERIOS!$M$80*([1]CRITERIOS!$M$89*[1]CRITERIOS!$M$92)+((_xlfn.XLOOKUP(A449,'[1]DATOS PBI Artículos'!$A$4:$A$4,'[1]DATOS PBI Artículos'!$AA$4:$AA$4)/2)*([1]CRITERIOS!$M$95+[1]CRITERIOS!$M$98)))/N449)</f>
        <v>#N/A</v>
      </c>
      <c r="AE449" s="39" t="e">
        <f>IF($R449="MTO","",
IF($H449=0,ROUNDUP(((_xlfn.XLOOKUP($A449,'[1]DATOS PBI Artículos'!$A:$A,'[1]DATOS PBI Artículos'!$AL:$AL))/(_xlfn.XLOOKUP($AF$1,[1]CRITERIOS!$S$16:$S$39,[1]CRITERIOS!$Y$16:$Y$39))*$J449+$Z449)/$G449,0)*$G449,
((_xlfn.XLOOKUP($A449,'[1]DATOS PBI Artículos'!$A:$A,'[1]DATOS PBI Artículos'!$AL:$AL))/(_xlfn.XLOOKUP($AF$1,[1]CRITERIOS!$S$16:$S$39,[1]CRITERIOS!$Y$16:$Y$39))*$J449+$Z449)))</f>
        <v>#N/A</v>
      </c>
      <c r="AG449" s="39" t="e">
        <f>IF($R449="MTO","",
IF($H449=0,ROUNDUP(((_xlfn.XLOOKUP($A449,'[1]DATOS PBI Artículos'!$A:$A,'[1]DATOS PBI Artículos'!$AM:$AM))/(_xlfn.XLOOKUP($AH$1,[1]CRITERIOS!$S$16:$S$39,[1]CRITERIOS!$Y$16:$Y$39))*$J449+$Z449)/$G449,0)*$G449,
((_xlfn.XLOOKUP($A449,'[1]DATOS PBI Artículos'!$A:$A,'[1]DATOS PBI Artículos'!$AM:$AM))/(_xlfn.XLOOKUP($AH$1,[1]CRITERIOS!$S$16:$S$39,[1]CRITERIOS!$Y$16:$Y$39))*$J449+$Z449)))</f>
        <v>#N/A</v>
      </c>
      <c r="AI449" s="39" t="e">
        <f>IF($R449="MTO","",
IF($H449=0,ROUNDUP(((_xlfn.XLOOKUP($A449,'[1]DATOS PBI Artículos'!$A:$A,'[1]DATOS PBI Artículos'!$AN:$AN))/(_xlfn.XLOOKUP($AJ$1,[1]CRITERIOS!$S$16:$S$39,[1]CRITERIOS!$Y$16:$Y$39))*$J449+$Z449)/$G449,0)*$G449,
((_xlfn.XLOOKUP($A449,'[1]DATOS PBI Artículos'!$A:$A,'[1]DATOS PBI Artículos'!$AN:$AN))/(_xlfn.XLOOKUP($AJ$1,[1]CRITERIOS!$S$16:$S$39,[1]CRITERIOS!$Y$16:$Y$39))*$J449+$Z449)))</f>
        <v>#N/A</v>
      </c>
      <c r="AK449" s="39" t="e">
        <f>IF($R449="MTO","",
IF($H449=0,ROUNDUP(((_xlfn.XLOOKUP($A449,'[1]DATOS PBI Artículos'!$A:$A,'[1]DATOS PBI Artículos'!$AO:$AO))/(_xlfn.XLOOKUP($AL$1,[1]CRITERIOS!$S$16:$S$39,[1]CRITERIOS!$Y$16:$Y$39))*$J449+$Z449)/$G449,0)*$G449,
((_xlfn.XLOOKUP($A449,'[1]DATOS PBI Artículos'!$A:$A,'[1]DATOS PBI Artículos'!$AO:$AO))/(_xlfn.XLOOKUP($AL$1,[1]CRITERIOS!$S$16:$S$39,[1]CRITERIOS!$Y$16:$Y$39))*$J449+$Z449)))</f>
        <v>#N/A</v>
      </c>
    </row>
    <row r="450" spans="1:37" ht="25.8" hidden="1" x14ac:dyDescent="0.4">
      <c r="A450" s="41"/>
      <c r="B450" s="33">
        <f>_xlfn.XLOOKUP($A450,'[1]DATOS PBI Artículos'!A:A,'[1]DATOS PBI Artículos'!B:B)</f>
        <v>0</v>
      </c>
      <c r="C450" s="33">
        <f>_xlfn.XLOOKUP($A450,'[1]DATOS PBI Artículos'!A:A,'[1]DATOS PBI Artículos'!C:C)</f>
        <v>0</v>
      </c>
      <c r="D450" s="33">
        <f>_xlfn.XLOOKUP(A450,'[1]DATOS PBI Artículos'!A:A,'[1]DATOS PBI Artículos'!T:T)</f>
        <v>0</v>
      </c>
      <c r="E450" s="34">
        <f>IF(_xlfn.XLOOKUP($A450,'[1]DATOS PBI Artículos'!A:A,'[1]DATOS PBI Artículos'!AK:AK)="",_xlfn.XLOOKUP($A450,'[1]DATOS PBI Artículos'!A:A,'[1]DATOS PBI Artículos'!AJ:AJ),_xlfn.XLOOKUP($A450,'[1]DATOS PBI Artículos'!A:A,'[1]DATOS PBI Artículos'!AK:AK))</f>
        <v>0</v>
      </c>
      <c r="F450" s="35">
        <f>_xlfn.XLOOKUP($A450,'[1]DATOS PBI Artículos'!A:A,'[1]DATOS PBI Artículos'!AP:AP)</f>
        <v>0</v>
      </c>
      <c r="G450" s="34">
        <f>_xlfn.XLOOKUP($A450,'[1]DATOS PBI Artículos'!A:A,'[1]DATOS PBI Artículos'!AR:AR)</f>
        <v>0</v>
      </c>
      <c r="H450" s="34">
        <f>_xlfn.XLOOKUP($A450,'[1]DATOS PBI Artículos'!A:A,'[1]DATOS PBI Artículos'!AT:AT)</f>
        <v>0</v>
      </c>
      <c r="I450" s="34">
        <f>_xlfn.XLOOKUP($A450,'[1]DATOS PBI Artículos'!A:A,'[1]DATOS PBI Artículos'!AS:AS)</f>
        <v>0</v>
      </c>
      <c r="J450" s="35">
        <f>IF(COUNTIF([1]CRITERIOS!$F$179:$F$199,$A450)&gt;=1,
 IF(O450&lt;&gt;"",
    (O450/_xlfn.XLOOKUP(CONCATENATE(A450,L450),[1]MÁQUINAS!A:A,[1]MÁQUINAS!D:D))/24,
    (N450/_xlfn.XLOOKUP(CONCATENATE(A450,L450),[1]MÁQUINAS!A:A,[1]MÁQUINAS!D:D))/24),
  _xlfn.XLOOKUP($A450,'[1]DATOS PBI Artículos'!A:A,'[1]DATOS PBI Artículos'!AU:AU))</f>
        <v>0</v>
      </c>
      <c r="K450" s="36">
        <f>_xlfn.XLOOKUP($A450,'[1]DATOS PBI Artículos'!A:A,'[1]DATOS PBI Artículos'!AV:AV)</f>
        <v>0</v>
      </c>
      <c r="L450" s="33">
        <f>_xlfn.XLOOKUP(A450,[1]MÁQUINAS!B:B,[1]MÁQUINAS!C:C)</f>
        <v>0</v>
      </c>
      <c r="M450" s="34">
        <f t="array" ref="M450">_xlfn.XLOOKUP(A450,'[1]DATOS PBI Artículos'!A:A,'[1]DATOS PBI Artículos'!AX:$AX)</f>
        <v>0</v>
      </c>
      <c r="N450" s="37" t="e">
        <f>IF(I450="DV",
E450,
IF(COUNTIF([1]CRITERIOS!$I$179:$I$199,$A450)&gt;=1,
_xlfn.XLOOKUP($A450,[1]CRITERIOS!$I$179:$I$199,[1]CRITERIOS!$J$179:$J$199),
IF(COUNTIF([1]CRITERIOS!$L$179:$L$199,$A450)&gt;=1,
_xlfn.CEILING.MATH(IF($M450&gt;$E450,
$E450,
IF($M450&lt;$E450/ROUNDDOWN([1]CRITERIOS!$M$16/_xlfn.XLOOKUP($C450,[1]CRITERIOS!$K$25:$K$42,[1]CRITERIOS!$M$25:$M$42),
1),
E450/ROUNDDOWN([1]CRITERIOS!$M$16/_xlfn.XLOOKUP($C450,[1]CRITERIOS!$K$25:$K$42,[1]CRITERIOS!$M$25:$M$42),
1),
$M450)),
_xlfn.XLOOKUP($A450,[1]CRITERIOS!$L$179:$L$200,[1]CRITERIOS!$M$179:$M$200)),
_xlfn.CEILING.MATH(IF($M450&gt;$E450,
$E450,
IF($M450&lt;$E450/ROUNDDOWN([1]CRITERIOS!$M$16/_xlfn.XLOOKUP($C450,[1]CRITERIOS!$K$25:$K$42,[1]CRITERIOS!$M$25:$M$42),
1),
E450/ROUNDDOWN([1]CRITERIOS!$M$16/_xlfn.XLOOKUP($C450,[1]CRITERIOS!$K$25:$K$42,[1]CRITERIOS!$M$25:$M$42),
1),
$M450)),_xlfn.XLOOKUP(A450,'[1]DATOS PBI Artículos'!A:A,'[1]DATOS PBI Artículos'!Z:Z
)))))</f>
        <v>#N/A</v>
      </c>
      <c r="Q450" s="38" t="e">
        <f>IF(AND(O450="",N450=0),
0,
   IF(COUNTIF([1]CRITERIOS!$F$179:$F$199,$A450)&gt;=1,
   1,
   IF(R450="MTO",
      $D450,
      ROUNDUP(
                    IF(($E450-SUMIF('[1]DATOS PBI Artículos'!A:A,A450,'[1]DATOS PBI Artículos'!X:X)+($V450-_xlfn.XLOOKUP(A450,'[1]DATOS PBI Artículos'!A:A,'[1]DATOS PBI Artículos'!W:W)))&lt;0,
                    0,
                    IF(($E450-SUMIF('[1]DATOS PBI Artículos'!A:A,A450,'[1]DATOS PBI Artículos'!X:X)+$V450-_xlfn.XLOOKUP($A450,'[1]DATOS PBI Artículos'!A:A,'[1]DATOS PBI Artículos'!W:W))/IF($O450="",$N450,$O450)&gt;ROUNDUP([1]CRITERIOS!$M$16/(IF(COUNTIF([1]CRITERIOS!$BG$11:$BG$201,L450)&gt;=1,_xlfn.XLOOKUP($C450,[1]CRITERIOS!$K$25:$K$42,[1]CRITERIOS!$M$25:$M$42),_xlfn.XLOOKUP($C450,[1]CRITERIOS!$K$25:$K$42,[1]CRITERIOS!$M$25:$M$42))),0),
                    ROUNDUP([1]CRITERIOS!$M$16/(IF(COUNTIF([1]CRITERIOS!$BG$11:$BG$201,$L450)&gt;=1,_xlfn.XLOOKUP($C450,[1]CRITERIOS!$K$25:$K$42,[1]CRITERIOS!$M$25:$M$42),_xlfn.XLOOKUP($C450,[1]CRITERIOS!$K$25:$K$42,[1]CRITERIOS!$M$25:$M$42))),0),
                    (E450+V450-SUMIF('[1]DATOS PBI Artículos'!A:A,A450,'[1]DATOS PBI Artículos'!X:X)-_xlfn.XLOOKUP(A450,'[1]DATOS PBI Artículos'!A:A,'[1]DATOS PBI Artículos'!W:W))/IF($O450="",$N450,$O450))),0))))</f>
        <v>#N/A</v>
      </c>
      <c r="R450" s="33" t="e">
        <f>IF(U450&lt;&gt;"",U450,IF(F450="DV","MTO",IF(N450=0,"MTO",_xlfn.XLOOKUP(CONCATENATE(S450,T450),[1]CRITERIOS!$K$160:$K$168,[1]CRITERIOS!$N$160:$N$168))))</f>
        <v>#N/A</v>
      </c>
      <c r="S450" s="33" t="e">
        <f>IF(G450="DV","MTO",IF(N450=0,"MTO",IF(OR(AND(N450=0,O450=""),IF(O450="",G450/N450,G450/O450)&gt;[1]CRITERIOS!$G$163),"MTO",IF(IF(O450="",G450/N450,G450/O450)&lt;[1]CRITERIOS!$H$161,"MTS","MTOS"))))</f>
        <v>#N/A</v>
      </c>
      <c r="T450" s="33" t="e">
        <f>IF(F450="DV","MTO",IF(OR(AND($N450=0,O450=""),$F450/$J450&gt;[1]CRITERIOS!$G$170,$F450="DV"),"MTO",IF($F450/$J450&lt;[1]CRITERIOS!$H$168,"MTS","MTOS")))</f>
        <v>#N/A</v>
      </c>
      <c r="V450" s="34" t="e">
        <f t="shared" si="22"/>
        <v>#N/A</v>
      </c>
      <c r="X450" s="34" t="e">
        <f t="shared" si="20"/>
        <v>#N/A</v>
      </c>
      <c r="Y450" s="34" t="e">
        <f t="shared" si="21"/>
        <v>#N/A</v>
      </c>
      <c r="Z450" s="34" t="e">
        <f>IF($R450="MTO",
0,
($H450+$K450*($E450/[1]CRITERIOS!$M$16))/[1]CRITERIOS!$X$48)</f>
        <v>#N/A</v>
      </c>
      <c r="AA450" s="34" t="e">
        <f>ROUNDUP(($Y450/_xlfn.XLOOKUP($A450,'[1]DATOS PBI Artículos'!$A$4:$A$4,'[1]DATOS PBI Artículos'!$Z$4:$Z$4))/_xlfn.XLOOKUP(_xlfn.XLOOKUP($A450,'[1]DATOS PBI Artículos'!$A$4:$A$4,'[1]DATOS PBI Artículos'!$Y$4:$Y$4),[1]CRITERIOS!$P$79:$P$123,[1]CRITERIOS!$S$79:$S$123,),0)</f>
        <v>#N/A</v>
      </c>
      <c r="AB450" s="33" t="e">
        <f t="array" ref="AB450">IF((E450+V450-_xlfn.XLOOKUP(A450,'[1]DATOS PBI Artículos'!$A$4:$A$4,'[1]DATOS PBI Artículos'!$W$4:$W$4))/N450&gt;ROUNDUP([1]CRITERIOS!$M$16/(IF(COUNTIF([1]CRITERIOS!$BG$11:$BG$201,L450)&gt;=1,_xlfn.XLOOKUP(ARTÍCULOS!L450,[1]CRITERIOS!$BG$11:$BG$201,[1]CRITERIOS!$BJ$11:$BJ$201),_xlfn.XLOOKUP(ARTÍCULOS!C450,[1]CRITERIOS!$K$25:$K$42,[1]CRITERIOS!$M$25:$M$42))),0),ROUNDUP([1]CRITERIOS!$M$16/(IF(COUNTIF([1]CRITERIOS!$BG$11:$BG$201,L450)&gt;=1,_xlfn.XLOOKUP(ARTÍCULOS!L450,[1]CRITERIOS!$BG$11:$BG$201:#REF!,[1]CRITERIOS!$BJ$11:$BJ$201),_xlfn.XLOOKUP(ARTÍCULOS!C450,[1]CRITERIOS!$K$25:$K$42,[1]CRITERIOS!$M$25:$M$42))),0),(E450+V450-_xlfn.XLOOKUP(A450,'[1]DATOS PBI Artículos'!$A$4:$A$4,'[1]DATOS PBI Artículos'!$W$4:$W$4))/N450)</f>
        <v>#N/A</v>
      </c>
      <c r="AC450" s="33" t="e">
        <f>IF(N450=0,"",(ROUNDUP((N450/2)/(_xlfn.XLOOKUP(A450,'[1]DATOS PBI Artículos'!$A$4:$A$4,'[1]DATOS PBI Artículos'!$Z$4:$Z$4)*_xlfn.XLOOKUP(_xlfn.XLOOKUP(A450,'[1]DATOS PBI Artículos'!$A$4:$A$4,'[1]DATOS PBI Artículos'!$Y$4:$Y$4),[1]CRITERIOS!$P$79:$P$123,[1]CRITERIOS!$S$79:$S$123)),0)*[1]CRITERIOS!$M$80*([1]CRITERIOS!$M$110/[1]CRITERIOS!$M$86)+(_xlfn.XLOOKUP(A450,'[1]DATOS PBI Artículos'!$A$4:$A$4,'[1]DATOS PBI Artículos'!$AA$4:$AA$4)*([1]CRITERIOS!$M$95+[1]CRITERIOS!$M$98)))/N450)</f>
        <v>#N/A</v>
      </c>
      <c r="AD450" s="33" t="e">
        <f>IF(N450=0,"",(ROUNDUP((N450/2)/(_xlfn.XLOOKUP(A450,'[1]DATOS PBI Artículos'!$A$4:$A$4,'[1]DATOS PBI Artículos'!$Z$4:$Z$4)*_xlfn.XLOOKUP(_xlfn.XLOOKUP(A450,'[1]DATOS PBI Artículos'!$A$4:$A$4,'[1]DATOS PBI Artículos'!$Y$4:$Y$4),[1]CRITERIOS!$P$79:$P$123,[1]CRITERIOS!$S$79:$S$123)),0)*[1]CRITERIOS!$M$80*([1]CRITERIOS!$M$89*[1]CRITERIOS!$M$92)+((_xlfn.XLOOKUP(A450,'[1]DATOS PBI Artículos'!$A$4:$A$4,'[1]DATOS PBI Artículos'!$AA$4:$AA$4)/2)*([1]CRITERIOS!$M$95+[1]CRITERIOS!$M$98)))/N450)</f>
        <v>#N/A</v>
      </c>
      <c r="AE450" s="39" t="e">
        <f>IF($R450="MTO","",
IF($H450=0,ROUNDUP(((_xlfn.XLOOKUP($A450,'[1]DATOS PBI Artículos'!$A:$A,'[1]DATOS PBI Artículos'!$AL:$AL))/(_xlfn.XLOOKUP($AF$1,[1]CRITERIOS!$S$16:$S$39,[1]CRITERIOS!$Y$16:$Y$39))*$J450+$Z450)/$G450,0)*$G450,
((_xlfn.XLOOKUP($A450,'[1]DATOS PBI Artículos'!$A:$A,'[1]DATOS PBI Artículos'!$AL:$AL))/(_xlfn.XLOOKUP($AF$1,[1]CRITERIOS!$S$16:$S$39,[1]CRITERIOS!$Y$16:$Y$39))*$J450+$Z450)))</f>
        <v>#N/A</v>
      </c>
      <c r="AG450" s="39" t="e">
        <f>IF($R450="MTO","",
IF($H450=0,ROUNDUP(((_xlfn.XLOOKUP($A450,'[1]DATOS PBI Artículos'!$A:$A,'[1]DATOS PBI Artículos'!$AM:$AM))/(_xlfn.XLOOKUP($AH$1,[1]CRITERIOS!$S$16:$S$39,[1]CRITERIOS!$Y$16:$Y$39))*$J450+$Z450)/$G450,0)*$G450,
((_xlfn.XLOOKUP($A450,'[1]DATOS PBI Artículos'!$A:$A,'[1]DATOS PBI Artículos'!$AM:$AM))/(_xlfn.XLOOKUP($AH$1,[1]CRITERIOS!$S$16:$S$39,[1]CRITERIOS!$Y$16:$Y$39))*$J450+$Z450)))</f>
        <v>#N/A</v>
      </c>
      <c r="AI450" s="39" t="e">
        <f>IF($R450="MTO","",
IF($H450=0,ROUNDUP(((_xlfn.XLOOKUP($A450,'[1]DATOS PBI Artículos'!$A:$A,'[1]DATOS PBI Artículos'!$AN:$AN))/(_xlfn.XLOOKUP($AJ$1,[1]CRITERIOS!$S$16:$S$39,[1]CRITERIOS!$Y$16:$Y$39))*$J450+$Z450)/$G450,0)*$G450,
((_xlfn.XLOOKUP($A450,'[1]DATOS PBI Artículos'!$A:$A,'[1]DATOS PBI Artículos'!$AN:$AN))/(_xlfn.XLOOKUP($AJ$1,[1]CRITERIOS!$S$16:$S$39,[1]CRITERIOS!$Y$16:$Y$39))*$J450+$Z450)))</f>
        <v>#N/A</v>
      </c>
      <c r="AK450" s="39" t="e">
        <f>IF($R450="MTO","",
IF($H450=0,ROUNDUP(((_xlfn.XLOOKUP($A450,'[1]DATOS PBI Artículos'!$A:$A,'[1]DATOS PBI Artículos'!$AO:$AO))/(_xlfn.XLOOKUP($AL$1,[1]CRITERIOS!$S$16:$S$39,[1]CRITERIOS!$Y$16:$Y$39))*$J450+$Z450)/$G450,0)*$G450,
((_xlfn.XLOOKUP($A450,'[1]DATOS PBI Artículos'!$A:$A,'[1]DATOS PBI Artículos'!$AO:$AO))/(_xlfn.XLOOKUP($AL$1,[1]CRITERIOS!$S$16:$S$39,[1]CRITERIOS!$Y$16:$Y$39))*$J450+$Z450)))</f>
        <v>#N/A</v>
      </c>
    </row>
    <row r="451" spans="1:37" ht="25.8" hidden="1" x14ac:dyDescent="0.4">
      <c r="A451" s="41"/>
      <c r="B451" s="33">
        <f>_xlfn.XLOOKUP($A451,'[1]DATOS PBI Artículos'!A:A,'[1]DATOS PBI Artículos'!B:B)</f>
        <v>0</v>
      </c>
      <c r="C451" s="33">
        <f>_xlfn.XLOOKUP($A451,'[1]DATOS PBI Artículos'!A:A,'[1]DATOS PBI Artículos'!C:C)</f>
        <v>0</v>
      </c>
      <c r="D451" s="33">
        <f>_xlfn.XLOOKUP(A451,'[1]DATOS PBI Artículos'!A:A,'[1]DATOS PBI Artículos'!T:T)</f>
        <v>0</v>
      </c>
      <c r="E451" s="34">
        <f>IF(_xlfn.XLOOKUP($A451,'[1]DATOS PBI Artículos'!A:A,'[1]DATOS PBI Artículos'!AK:AK)="",_xlfn.XLOOKUP($A451,'[1]DATOS PBI Artículos'!A:A,'[1]DATOS PBI Artículos'!AJ:AJ),_xlfn.XLOOKUP($A451,'[1]DATOS PBI Artículos'!A:A,'[1]DATOS PBI Artículos'!AK:AK))</f>
        <v>0</v>
      </c>
      <c r="F451" s="35">
        <f>_xlfn.XLOOKUP($A451,'[1]DATOS PBI Artículos'!A:A,'[1]DATOS PBI Artículos'!AP:AP)</f>
        <v>0</v>
      </c>
      <c r="G451" s="34">
        <f>_xlfn.XLOOKUP($A451,'[1]DATOS PBI Artículos'!A:A,'[1]DATOS PBI Artículos'!AR:AR)</f>
        <v>0</v>
      </c>
      <c r="H451" s="34">
        <f>_xlfn.XLOOKUP($A451,'[1]DATOS PBI Artículos'!A:A,'[1]DATOS PBI Artículos'!AT:AT)</f>
        <v>0</v>
      </c>
      <c r="I451" s="34">
        <f>_xlfn.XLOOKUP($A451,'[1]DATOS PBI Artículos'!A:A,'[1]DATOS PBI Artículos'!AS:AS)</f>
        <v>0</v>
      </c>
      <c r="J451" s="35">
        <f>IF(COUNTIF([1]CRITERIOS!$F$179:$F$199,$A451)&gt;=1,
 IF(O451&lt;&gt;"",
    (O451/_xlfn.XLOOKUP(CONCATENATE(A451,L451),[1]MÁQUINAS!A:A,[1]MÁQUINAS!D:D))/24,
    (N451/_xlfn.XLOOKUP(CONCATENATE(A451,L451),[1]MÁQUINAS!A:A,[1]MÁQUINAS!D:D))/24),
  _xlfn.XLOOKUP($A451,'[1]DATOS PBI Artículos'!A:A,'[1]DATOS PBI Artículos'!AU:AU))</f>
        <v>0</v>
      </c>
      <c r="K451" s="36">
        <f>_xlfn.XLOOKUP($A451,'[1]DATOS PBI Artículos'!A:A,'[1]DATOS PBI Artículos'!AV:AV)</f>
        <v>0</v>
      </c>
      <c r="L451" s="33">
        <f>_xlfn.XLOOKUP(A451,[1]MÁQUINAS!B:B,[1]MÁQUINAS!C:C)</f>
        <v>0</v>
      </c>
      <c r="M451" s="34">
        <f t="array" ref="M451">_xlfn.XLOOKUP(A451,'[1]DATOS PBI Artículos'!A:A,'[1]DATOS PBI Artículos'!AX:$AX)</f>
        <v>0</v>
      </c>
      <c r="N451" s="37" t="e">
        <f>IF(I451="DV",
E451,
IF(COUNTIF([1]CRITERIOS!$I$179:$I$199,$A451)&gt;=1,
_xlfn.XLOOKUP($A451,[1]CRITERIOS!$I$179:$I$199,[1]CRITERIOS!$J$179:$J$199),
IF(COUNTIF([1]CRITERIOS!$L$179:$L$199,$A451)&gt;=1,
_xlfn.CEILING.MATH(IF($M451&gt;$E451,
$E451,
IF($M451&lt;$E451/ROUNDDOWN([1]CRITERIOS!$M$16/_xlfn.XLOOKUP($C451,[1]CRITERIOS!$K$25:$K$42,[1]CRITERIOS!$M$25:$M$42),
1),
E451/ROUNDDOWN([1]CRITERIOS!$M$16/_xlfn.XLOOKUP($C451,[1]CRITERIOS!$K$25:$K$42,[1]CRITERIOS!$M$25:$M$42),
1),
$M451)),
_xlfn.XLOOKUP($A451,[1]CRITERIOS!$L$179:$L$200,[1]CRITERIOS!$M$179:$M$200)),
_xlfn.CEILING.MATH(IF($M451&gt;$E451,
$E451,
IF($M451&lt;$E451/ROUNDDOWN([1]CRITERIOS!$M$16/_xlfn.XLOOKUP($C451,[1]CRITERIOS!$K$25:$K$42,[1]CRITERIOS!$M$25:$M$42),
1),
E451/ROUNDDOWN([1]CRITERIOS!$M$16/_xlfn.XLOOKUP($C451,[1]CRITERIOS!$K$25:$K$42,[1]CRITERIOS!$M$25:$M$42),
1),
$M451)),_xlfn.XLOOKUP(A451,'[1]DATOS PBI Artículos'!A:A,'[1]DATOS PBI Artículos'!Z:Z
)))))</f>
        <v>#N/A</v>
      </c>
      <c r="Q451" s="38" t="e">
        <f>IF(AND(O451="",N451=0),
0,
   IF(COUNTIF([1]CRITERIOS!$F$179:$F$199,$A451)&gt;=1,
   1,
   IF(R451="MTO",
      $D451,
      ROUNDUP(
                    IF(($E451-SUMIF('[1]DATOS PBI Artículos'!A:A,A451,'[1]DATOS PBI Artículos'!X:X)+($V451-_xlfn.XLOOKUP(A451,'[1]DATOS PBI Artículos'!A:A,'[1]DATOS PBI Artículos'!W:W)))&lt;0,
                    0,
                    IF(($E451-SUMIF('[1]DATOS PBI Artículos'!A:A,A451,'[1]DATOS PBI Artículos'!X:X)+$V451-_xlfn.XLOOKUP($A451,'[1]DATOS PBI Artículos'!A:A,'[1]DATOS PBI Artículos'!W:W))/IF($O451="",$N451,$O451)&gt;ROUNDUP([1]CRITERIOS!$M$16/(IF(COUNTIF([1]CRITERIOS!$BG$11:$BG$201,L451)&gt;=1,_xlfn.XLOOKUP($C451,[1]CRITERIOS!$K$25:$K$42,[1]CRITERIOS!$M$25:$M$42),_xlfn.XLOOKUP($C451,[1]CRITERIOS!$K$25:$K$42,[1]CRITERIOS!$M$25:$M$42))),0),
                    ROUNDUP([1]CRITERIOS!$M$16/(IF(COUNTIF([1]CRITERIOS!$BG$11:$BG$201,$L451)&gt;=1,_xlfn.XLOOKUP($C451,[1]CRITERIOS!$K$25:$K$42,[1]CRITERIOS!$M$25:$M$42),_xlfn.XLOOKUP($C451,[1]CRITERIOS!$K$25:$K$42,[1]CRITERIOS!$M$25:$M$42))),0),
                    (E451+V451-SUMIF('[1]DATOS PBI Artículos'!A:A,A451,'[1]DATOS PBI Artículos'!X:X)-_xlfn.XLOOKUP(A451,'[1]DATOS PBI Artículos'!A:A,'[1]DATOS PBI Artículos'!W:W))/IF($O451="",$N451,$O451))),0))))</f>
        <v>#N/A</v>
      </c>
      <c r="R451" s="33" t="e">
        <f>IF(U451&lt;&gt;"",U451,IF(F451="DV","MTO",IF(N451=0,"MTO",_xlfn.XLOOKUP(CONCATENATE(S451,T451),[1]CRITERIOS!$K$160:$K$168,[1]CRITERIOS!$N$160:$N$168))))</f>
        <v>#N/A</v>
      </c>
      <c r="S451" s="33" t="e">
        <f>IF(G451="DV","MTO",IF(N451=0,"MTO",IF(OR(AND(N451=0,O451=""),IF(O451="",G451/N451,G451/O451)&gt;[1]CRITERIOS!$G$163),"MTO",IF(IF(O451="",G451/N451,G451/O451)&lt;[1]CRITERIOS!$H$161,"MTS","MTOS"))))</f>
        <v>#N/A</v>
      </c>
      <c r="T451" s="33" t="e">
        <f>IF(F451="DV","MTO",IF(OR(AND($N451=0,O451=""),$F451/$J451&gt;[1]CRITERIOS!$G$170,$F451="DV"),"MTO",IF($F451/$J451&lt;[1]CRITERIOS!$H$168,"MTS","MTOS")))</f>
        <v>#N/A</v>
      </c>
      <c r="V451" s="34" t="e">
        <f t="shared" si="22"/>
        <v>#N/A</v>
      </c>
      <c r="X451" s="34" t="e">
        <f t="shared" ref="X451:X514" si="23">IF(R451="MTO",0,V451+N451)</f>
        <v>#N/A</v>
      </c>
      <c r="Y451" s="34" t="e">
        <f t="shared" ref="Y451:Y514" si="24">IF(R451="MTO",0,Z451+(N451/2))</f>
        <v>#N/A</v>
      </c>
      <c r="Z451" s="34" t="e">
        <f>IF($R451="MTO",
0,
($H451+$K451*($E451/[1]CRITERIOS!$M$16))/[1]CRITERIOS!$X$48)</f>
        <v>#N/A</v>
      </c>
      <c r="AA451" s="34" t="e">
        <f>ROUNDUP(($Y451/_xlfn.XLOOKUP($A451,'[1]DATOS PBI Artículos'!$A$4:$A$4,'[1]DATOS PBI Artículos'!$Z$4:$Z$4))/_xlfn.XLOOKUP(_xlfn.XLOOKUP($A451,'[1]DATOS PBI Artículos'!$A$4:$A$4,'[1]DATOS PBI Artículos'!$Y$4:$Y$4),[1]CRITERIOS!$P$79:$P$123,[1]CRITERIOS!$S$79:$S$123,),0)</f>
        <v>#N/A</v>
      </c>
      <c r="AB451" s="33" t="e">
        <f t="array" ref="AB451">IF((E451+V451-_xlfn.XLOOKUP(A451,'[1]DATOS PBI Artículos'!$A$4:$A$4,'[1]DATOS PBI Artículos'!$W$4:$W$4))/N451&gt;ROUNDUP([1]CRITERIOS!$M$16/(IF(COUNTIF([1]CRITERIOS!$BG$11:$BG$201,L451)&gt;=1,_xlfn.XLOOKUP(ARTÍCULOS!L451,[1]CRITERIOS!$BG$11:$BG$201,[1]CRITERIOS!$BJ$11:$BJ$201),_xlfn.XLOOKUP(ARTÍCULOS!C451,[1]CRITERIOS!$K$25:$K$42,[1]CRITERIOS!$M$25:$M$42))),0),ROUNDUP([1]CRITERIOS!$M$16/(IF(COUNTIF([1]CRITERIOS!$BG$11:$BG$201,L451)&gt;=1,_xlfn.XLOOKUP(ARTÍCULOS!L451,[1]CRITERIOS!$BG$11:$BG$201:#REF!,[1]CRITERIOS!$BJ$11:$BJ$201),_xlfn.XLOOKUP(ARTÍCULOS!C451,[1]CRITERIOS!$K$25:$K$42,[1]CRITERIOS!$M$25:$M$42))),0),(E451+V451-_xlfn.XLOOKUP(A451,'[1]DATOS PBI Artículos'!$A$4:$A$4,'[1]DATOS PBI Artículos'!$W$4:$W$4))/N451)</f>
        <v>#N/A</v>
      </c>
      <c r="AC451" s="33" t="e">
        <f>IF(N451=0,"",(ROUNDUP((N451/2)/(_xlfn.XLOOKUP(A451,'[1]DATOS PBI Artículos'!$A$4:$A$4,'[1]DATOS PBI Artículos'!$Z$4:$Z$4)*_xlfn.XLOOKUP(_xlfn.XLOOKUP(A451,'[1]DATOS PBI Artículos'!$A$4:$A$4,'[1]DATOS PBI Artículos'!$Y$4:$Y$4),[1]CRITERIOS!$P$79:$P$123,[1]CRITERIOS!$S$79:$S$123)),0)*[1]CRITERIOS!$M$80*([1]CRITERIOS!$M$110/[1]CRITERIOS!$M$86)+(_xlfn.XLOOKUP(A451,'[1]DATOS PBI Artículos'!$A$4:$A$4,'[1]DATOS PBI Artículos'!$AA$4:$AA$4)*([1]CRITERIOS!$M$95+[1]CRITERIOS!$M$98)))/N451)</f>
        <v>#N/A</v>
      </c>
      <c r="AD451" s="33" t="e">
        <f>IF(N451=0,"",(ROUNDUP((N451/2)/(_xlfn.XLOOKUP(A451,'[1]DATOS PBI Artículos'!$A$4:$A$4,'[1]DATOS PBI Artículos'!$Z$4:$Z$4)*_xlfn.XLOOKUP(_xlfn.XLOOKUP(A451,'[1]DATOS PBI Artículos'!$A$4:$A$4,'[1]DATOS PBI Artículos'!$Y$4:$Y$4),[1]CRITERIOS!$P$79:$P$123,[1]CRITERIOS!$S$79:$S$123)),0)*[1]CRITERIOS!$M$80*([1]CRITERIOS!$M$89*[1]CRITERIOS!$M$92)+((_xlfn.XLOOKUP(A451,'[1]DATOS PBI Artículos'!$A$4:$A$4,'[1]DATOS PBI Artículos'!$AA$4:$AA$4)/2)*([1]CRITERIOS!$M$95+[1]CRITERIOS!$M$98)))/N451)</f>
        <v>#N/A</v>
      </c>
      <c r="AE451" s="39" t="e">
        <f>IF($R451="MTO","",
IF($H451=0,ROUNDUP(((_xlfn.XLOOKUP($A451,'[1]DATOS PBI Artículos'!$A:$A,'[1]DATOS PBI Artículos'!$AL:$AL))/(_xlfn.XLOOKUP($AF$1,[1]CRITERIOS!$S$16:$S$39,[1]CRITERIOS!$Y$16:$Y$39))*$J451+$Z451)/$G451,0)*$G451,
((_xlfn.XLOOKUP($A451,'[1]DATOS PBI Artículos'!$A:$A,'[1]DATOS PBI Artículos'!$AL:$AL))/(_xlfn.XLOOKUP($AF$1,[1]CRITERIOS!$S$16:$S$39,[1]CRITERIOS!$Y$16:$Y$39))*$J451+$Z451)))</f>
        <v>#N/A</v>
      </c>
      <c r="AG451" s="39" t="e">
        <f>IF($R451="MTO","",
IF($H451=0,ROUNDUP(((_xlfn.XLOOKUP($A451,'[1]DATOS PBI Artículos'!$A:$A,'[1]DATOS PBI Artículos'!$AM:$AM))/(_xlfn.XLOOKUP($AH$1,[1]CRITERIOS!$S$16:$S$39,[1]CRITERIOS!$Y$16:$Y$39))*$J451+$Z451)/$G451,0)*$G451,
((_xlfn.XLOOKUP($A451,'[1]DATOS PBI Artículos'!$A:$A,'[1]DATOS PBI Artículos'!$AM:$AM))/(_xlfn.XLOOKUP($AH$1,[1]CRITERIOS!$S$16:$S$39,[1]CRITERIOS!$Y$16:$Y$39))*$J451+$Z451)))</f>
        <v>#N/A</v>
      </c>
      <c r="AI451" s="39" t="e">
        <f>IF($R451="MTO","",
IF($H451=0,ROUNDUP(((_xlfn.XLOOKUP($A451,'[1]DATOS PBI Artículos'!$A:$A,'[1]DATOS PBI Artículos'!$AN:$AN))/(_xlfn.XLOOKUP($AJ$1,[1]CRITERIOS!$S$16:$S$39,[1]CRITERIOS!$Y$16:$Y$39))*$J451+$Z451)/$G451,0)*$G451,
((_xlfn.XLOOKUP($A451,'[1]DATOS PBI Artículos'!$A:$A,'[1]DATOS PBI Artículos'!$AN:$AN))/(_xlfn.XLOOKUP($AJ$1,[1]CRITERIOS!$S$16:$S$39,[1]CRITERIOS!$Y$16:$Y$39))*$J451+$Z451)))</f>
        <v>#N/A</v>
      </c>
      <c r="AK451" s="39" t="e">
        <f>IF($R451="MTO","",
IF($H451=0,ROUNDUP(((_xlfn.XLOOKUP($A451,'[1]DATOS PBI Artículos'!$A:$A,'[1]DATOS PBI Artículos'!$AO:$AO))/(_xlfn.XLOOKUP($AL$1,[1]CRITERIOS!$S$16:$S$39,[1]CRITERIOS!$Y$16:$Y$39))*$J451+$Z451)/$G451,0)*$G451,
((_xlfn.XLOOKUP($A451,'[1]DATOS PBI Artículos'!$A:$A,'[1]DATOS PBI Artículos'!$AO:$AO))/(_xlfn.XLOOKUP($AL$1,[1]CRITERIOS!$S$16:$S$39,[1]CRITERIOS!$Y$16:$Y$39))*$J451+$Z451)))</f>
        <v>#N/A</v>
      </c>
    </row>
    <row r="452" spans="1:37" ht="25.8" hidden="1" x14ac:dyDescent="0.4">
      <c r="A452" s="41"/>
      <c r="B452" s="33">
        <f>_xlfn.XLOOKUP($A452,'[1]DATOS PBI Artículos'!A:A,'[1]DATOS PBI Artículos'!B:B)</f>
        <v>0</v>
      </c>
      <c r="C452" s="33">
        <f>_xlfn.XLOOKUP($A452,'[1]DATOS PBI Artículos'!A:A,'[1]DATOS PBI Artículos'!C:C)</f>
        <v>0</v>
      </c>
      <c r="D452" s="33">
        <f>_xlfn.XLOOKUP(A452,'[1]DATOS PBI Artículos'!A:A,'[1]DATOS PBI Artículos'!T:T)</f>
        <v>0</v>
      </c>
      <c r="E452" s="34">
        <f>IF(_xlfn.XLOOKUP($A452,'[1]DATOS PBI Artículos'!A:A,'[1]DATOS PBI Artículos'!AK:AK)="",_xlfn.XLOOKUP($A452,'[1]DATOS PBI Artículos'!A:A,'[1]DATOS PBI Artículos'!AJ:AJ),_xlfn.XLOOKUP($A452,'[1]DATOS PBI Artículos'!A:A,'[1]DATOS PBI Artículos'!AK:AK))</f>
        <v>0</v>
      </c>
      <c r="F452" s="35">
        <f>_xlfn.XLOOKUP($A452,'[1]DATOS PBI Artículos'!A:A,'[1]DATOS PBI Artículos'!AP:AP)</f>
        <v>0</v>
      </c>
      <c r="G452" s="34">
        <f>_xlfn.XLOOKUP($A452,'[1]DATOS PBI Artículos'!A:A,'[1]DATOS PBI Artículos'!AR:AR)</f>
        <v>0</v>
      </c>
      <c r="H452" s="34">
        <f>_xlfn.XLOOKUP($A452,'[1]DATOS PBI Artículos'!A:A,'[1]DATOS PBI Artículos'!AT:AT)</f>
        <v>0</v>
      </c>
      <c r="I452" s="34">
        <f>_xlfn.XLOOKUP($A452,'[1]DATOS PBI Artículos'!A:A,'[1]DATOS PBI Artículos'!AS:AS)</f>
        <v>0</v>
      </c>
      <c r="J452" s="35">
        <f>IF(COUNTIF([1]CRITERIOS!$F$179:$F$199,$A452)&gt;=1,
 IF(O452&lt;&gt;"",
    (O452/_xlfn.XLOOKUP(CONCATENATE(A452,L452),[1]MÁQUINAS!A:A,[1]MÁQUINAS!D:D))/24,
    (N452/_xlfn.XLOOKUP(CONCATENATE(A452,L452),[1]MÁQUINAS!A:A,[1]MÁQUINAS!D:D))/24),
  _xlfn.XLOOKUP($A452,'[1]DATOS PBI Artículos'!A:A,'[1]DATOS PBI Artículos'!AU:AU))</f>
        <v>0</v>
      </c>
      <c r="K452" s="36">
        <f>_xlfn.XLOOKUP($A452,'[1]DATOS PBI Artículos'!A:A,'[1]DATOS PBI Artículos'!AV:AV)</f>
        <v>0</v>
      </c>
      <c r="L452" s="33">
        <f>_xlfn.XLOOKUP(A452,[1]MÁQUINAS!B:B,[1]MÁQUINAS!C:C)</f>
        <v>0</v>
      </c>
      <c r="M452" s="34">
        <f t="array" ref="M452">_xlfn.XLOOKUP(A452,'[1]DATOS PBI Artículos'!A:A,'[1]DATOS PBI Artículos'!AX:$AX)</f>
        <v>0</v>
      </c>
      <c r="N452" s="37" t="e">
        <f>IF(I452="DV",
E452,
IF(COUNTIF([1]CRITERIOS!$I$179:$I$199,$A452)&gt;=1,
_xlfn.XLOOKUP($A452,[1]CRITERIOS!$I$179:$I$199,[1]CRITERIOS!$J$179:$J$199),
IF(COUNTIF([1]CRITERIOS!$L$179:$L$199,$A452)&gt;=1,
_xlfn.CEILING.MATH(IF($M452&gt;$E452,
$E452,
IF($M452&lt;$E452/ROUNDDOWN([1]CRITERIOS!$M$16/_xlfn.XLOOKUP($C452,[1]CRITERIOS!$K$25:$K$42,[1]CRITERIOS!$M$25:$M$42),
1),
E452/ROUNDDOWN([1]CRITERIOS!$M$16/_xlfn.XLOOKUP($C452,[1]CRITERIOS!$K$25:$K$42,[1]CRITERIOS!$M$25:$M$42),
1),
$M452)),
_xlfn.XLOOKUP($A452,[1]CRITERIOS!$L$179:$L$200,[1]CRITERIOS!$M$179:$M$200)),
_xlfn.CEILING.MATH(IF($M452&gt;$E452,
$E452,
IF($M452&lt;$E452/ROUNDDOWN([1]CRITERIOS!$M$16/_xlfn.XLOOKUP($C452,[1]CRITERIOS!$K$25:$K$42,[1]CRITERIOS!$M$25:$M$42),
1),
E452/ROUNDDOWN([1]CRITERIOS!$M$16/_xlfn.XLOOKUP($C452,[1]CRITERIOS!$K$25:$K$42,[1]CRITERIOS!$M$25:$M$42),
1),
$M452)),_xlfn.XLOOKUP(A452,'[1]DATOS PBI Artículos'!A:A,'[1]DATOS PBI Artículos'!Z:Z
)))))</f>
        <v>#N/A</v>
      </c>
      <c r="Q452" s="38" t="e">
        <f>IF(AND(O452="",N452=0),
0,
   IF(COUNTIF([1]CRITERIOS!$F$179:$F$199,$A452)&gt;=1,
   1,
   IF(R452="MTO",
      $D452,
      ROUNDUP(
                    IF(($E452-SUMIF('[1]DATOS PBI Artículos'!A:A,A452,'[1]DATOS PBI Artículos'!X:X)+($V452-_xlfn.XLOOKUP(A452,'[1]DATOS PBI Artículos'!A:A,'[1]DATOS PBI Artículos'!W:W)))&lt;0,
                    0,
                    IF(($E452-SUMIF('[1]DATOS PBI Artículos'!A:A,A452,'[1]DATOS PBI Artículos'!X:X)+$V452-_xlfn.XLOOKUP($A452,'[1]DATOS PBI Artículos'!A:A,'[1]DATOS PBI Artículos'!W:W))/IF($O452="",$N452,$O452)&gt;ROUNDUP([1]CRITERIOS!$M$16/(IF(COUNTIF([1]CRITERIOS!$BG$11:$BG$201,L452)&gt;=1,_xlfn.XLOOKUP($C452,[1]CRITERIOS!$K$25:$K$42,[1]CRITERIOS!$M$25:$M$42),_xlfn.XLOOKUP($C452,[1]CRITERIOS!$K$25:$K$42,[1]CRITERIOS!$M$25:$M$42))),0),
                    ROUNDUP([1]CRITERIOS!$M$16/(IF(COUNTIF([1]CRITERIOS!$BG$11:$BG$201,$L452)&gt;=1,_xlfn.XLOOKUP($C452,[1]CRITERIOS!$K$25:$K$42,[1]CRITERIOS!$M$25:$M$42),_xlfn.XLOOKUP($C452,[1]CRITERIOS!$K$25:$K$42,[1]CRITERIOS!$M$25:$M$42))),0),
                    (E452+V452-SUMIF('[1]DATOS PBI Artículos'!A:A,A452,'[1]DATOS PBI Artículos'!X:X)-_xlfn.XLOOKUP(A452,'[1]DATOS PBI Artículos'!A:A,'[1]DATOS PBI Artículos'!W:W))/IF($O452="",$N452,$O452))),0))))</f>
        <v>#N/A</v>
      </c>
      <c r="R452" s="33" t="e">
        <f>IF(U452&lt;&gt;"",U452,IF(F452="DV","MTO",IF(N452=0,"MTO",_xlfn.XLOOKUP(CONCATENATE(S452,T452),[1]CRITERIOS!$K$160:$K$168,[1]CRITERIOS!$N$160:$N$168))))</f>
        <v>#N/A</v>
      </c>
      <c r="S452" s="33" t="e">
        <f>IF(G452="DV","MTO",IF(N452=0,"MTO",IF(OR(AND(N452=0,O452=""),IF(O452="",G452/N452,G452/O452)&gt;[1]CRITERIOS!$G$163),"MTO",IF(IF(O452="",G452/N452,G452/O452)&lt;[1]CRITERIOS!$H$161,"MTS","MTOS"))))</f>
        <v>#N/A</v>
      </c>
      <c r="T452" s="33" t="e">
        <f>IF(F452="DV","MTO",IF(OR(AND($N452=0,O452=""),$F452/$J452&gt;[1]CRITERIOS!$G$170,$F452="DV"),"MTO",IF($F452/$J452&lt;[1]CRITERIOS!$H$168,"MTS","MTOS")))</f>
        <v>#N/A</v>
      </c>
      <c r="V452" s="34" t="e">
        <f t="shared" si="22"/>
        <v>#N/A</v>
      </c>
      <c r="X452" s="34" t="e">
        <f t="shared" si="23"/>
        <v>#N/A</v>
      </c>
      <c r="Y452" s="34" t="e">
        <f t="shared" si="24"/>
        <v>#N/A</v>
      </c>
      <c r="Z452" s="34" t="e">
        <f>IF($R452="MTO",
0,
($H452+$K452*($E452/[1]CRITERIOS!$M$16))/[1]CRITERIOS!$X$48)</f>
        <v>#N/A</v>
      </c>
      <c r="AA452" s="34" t="e">
        <f>ROUNDUP(($Y452/_xlfn.XLOOKUP($A452,'[1]DATOS PBI Artículos'!$A$4:$A$4,'[1]DATOS PBI Artículos'!$Z$4:$Z$4))/_xlfn.XLOOKUP(_xlfn.XLOOKUP($A452,'[1]DATOS PBI Artículos'!$A$4:$A$4,'[1]DATOS PBI Artículos'!$Y$4:$Y$4),[1]CRITERIOS!$P$79:$P$123,[1]CRITERIOS!$S$79:$S$123,),0)</f>
        <v>#N/A</v>
      </c>
      <c r="AB452" s="33" t="e">
        <f t="array" ref="AB452">IF((E452+V452-_xlfn.XLOOKUP(A452,'[1]DATOS PBI Artículos'!$A$4:$A$4,'[1]DATOS PBI Artículos'!$W$4:$W$4))/N452&gt;ROUNDUP([1]CRITERIOS!$M$16/(IF(COUNTIF([1]CRITERIOS!$BG$11:$BG$201,L452)&gt;=1,_xlfn.XLOOKUP(ARTÍCULOS!L452,[1]CRITERIOS!$BG$11:$BG$201,[1]CRITERIOS!$BJ$11:$BJ$201),_xlfn.XLOOKUP(ARTÍCULOS!C452,[1]CRITERIOS!$K$25:$K$42,[1]CRITERIOS!$M$25:$M$42))),0),ROUNDUP([1]CRITERIOS!$M$16/(IF(COUNTIF([1]CRITERIOS!$BG$11:$BG$201,L452)&gt;=1,_xlfn.XLOOKUP(ARTÍCULOS!L452,[1]CRITERIOS!$BG$11:$BG$201:#REF!,[1]CRITERIOS!$BJ$11:$BJ$201),_xlfn.XLOOKUP(ARTÍCULOS!C452,[1]CRITERIOS!$K$25:$K$42,[1]CRITERIOS!$M$25:$M$42))),0),(E452+V452-_xlfn.XLOOKUP(A452,'[1]DATOS PBI Artículos'!$A$4:$A$4,'[1]DATOS PBI Artículos'!$W$4:$W$4))/N452)</f>
        <v>#N/A</v>
      </c>
      <c r="AC452" s="33" t="e">
        <f>IF(N452=0,"",(ROUNDUP((N452/2)/(_xlfn.XLOOKUP(A452,'[1]DATOS PBI Artículos'!$A$4:$A$4,'[1]DATOS PBI Artículos'!$Z$4:$Z$4)*_xlfn.XLOOKUP(_xlfn.XLOOKUP(A452,'[1]DATOS PBI Artículos'!$A$4:$A$4,'[1]DATOS PBI Artículos'!$Y$4:$Y$4),[1]CRITERIOS!$P$79:$P$123,[1]CRITERIOS!$S$79:$S$123)),0)*[1]CRITERIOS!$M$80*([1]CRITERIOS!$M$110/[1]CRITERIOS!$M$86)+(_xlfn.XLOOKUP(A452,'[1]DATOS PBI Artículos'!$A$4:$A$4,'[1]DATOS PBI Artículos'!$AA$4:$AA$4)*([1]CRITERIOS!$M$95+[1]CRITERIOS!$M$98)))/N452)</f>
        <v>#N/A</v>
      </c>
      <c r="AD452" s="33" t="e">
        <f>IF(N452=0,"",(ROUNDUP((N452/2)/(_xlfn.XLOOKUP(A452,'[1]DATOS PBI Artículos'!$A$4:$A$4,'[1]DATOS PBI Artículos'!$Z$4:$Z$4)*_xlfn.XLOOKUP(_xlfn.XLOOKUP(A452,'[1]DATOS PBI Artículos'!$A$4:$A$4,'[1]DATOS PBI Artículos'!$Y$4:$Y$4),[1]CRITERIOS!$P$79:$P$123,[1]CRITERIOS!$S$79:$S$123)),0)*[1]CRITERIOS!$M$80*([1]CRITERIOS!$M$89*[1]CRITERIOS!$M$92)+((_xlfn.XLOOKUP(A452,'[1]DATOS PBI Artículos'!$A$4:$A$4,'[1]DATOS PBI Artículos'!$AA$4:$AA$4)/2)*([1]CRITERIOS!$M$95+[1]CRITERIOS!$M$98)))/N452)</f>
        <v>#N/A</v>
      </c>
      <c r="AE452" s="39" t="e">
        <f>IF($R452="MTO","",
IF($H452=0,ROUNDUP(((_xlfn.XLOOKUP($A452,'[1]DATOS PBI Artículos'!$A:$A,'[1]DATOS PBI Artículos'!$AL:$AL))/(_xlfn.XLOOKUP($AF$1,[1]CRITERIOS!$S$16:$S$39,[1]CRITERIOS!$Y$16:$Y$39))*$J452+$Z452)/$G452,0)*$G452,
((_xlfn.XLOOKUP($A452,'[1]DATOS PBI Artículos'!$A:$A,'[1]DATOS PBI Artículos'!$AL:$AL))/(_xlfn.XLOOKUP($AF$1,[1]CRITERIOS!$S$16:$S$39,[1]CRITERIOS!$Y$16:$Y$39))*$J452+$Z452)))</f>
        <v>#N/A</v>
      </c>
      <c r="AG452" s="39" t="e">
        <f>IF($R452="MTO","",
IF($H452=0,ROUNDUP(((_xlfn.XLOOKUP($A452,'[1]DATOS PBI Artículos'!$A:$A,'[1]DATOS PBI Artículos'!$AM:$AM))/(_xlfn.XLOOKUP($AH$1,[1]CRITERIOS!$S$16:$S$39,[1]CRITERIOS!$Y$16:$Y$39))*$J452+$Z452)/$G452,0)*$G452,
((_xlfn.XLOOKUP($A452,'[1]DATOS PBI Artículos'!$A:$A,'[1]DATOS PBI Artículos'!$AM:$AM))/(_xlfn.XLOOKUP($AH$1,[1]CRITERIOS!$S$16:$S$39,[1]CRITERIOS!$Y$16:$Y$39))*$J452+$Z452)))</f>
        <v>#N/A</v>
      </c>
      <c r="AI452" s="39" t="e">
        <f>IF($R452="MTO","",
IF($H452=0,ROUNDUP(((_xlfn.XLOOKUP($A452,'[1]DATOS PBI Artículos'!$A:$A,'[1]DATOS PBI Artículos'!$AN:$AN))/(_xlfn.XLOOKUP($AJ$1,[1]CRITERIOS!$S$16:$S$39,[1]CRITERIOS!$Y$16:$Y$39))*$J452+$Z452)/$G452,0)*$G452,
((_xlfn.XLOOKUP($A452,'[1]DATOS PBI Artículos'!$A:$A,'[1]DATOS PBI Artículos'!$AN:$AN))/(_xlfn.XLOOKUP($AJ$1,[1]CRITERIOS!$S$16:$S$39,[1]CRITERIOS!$Y$16:$Y$39))*$J452+$Z452)))</f>
        <v>#N/A</v>
      </c>
      <c r="AK452" s="39" t="e">
        <f>IF($R452="MTO","",
IF($H452=0,ROUNDUP(((_xlfn.XLOOKUP($A452,'[1]DATOS PBI Artículos'!$A:$A,'[1]DATOS PBI Artículos'!$AO:$AO))/(_xlfn.XLOOKUP($AL$1,[1]CRITERIOS!$S$16:$S$39,[1]CRITERIOS!$Y$16:$Y$39))*$J452+$Z452)/$G452,0)*$G452,
((_xlfn.XLOOKUP($A452,'[1]DATOS PBI Artículos'!$A:$A,'[1]DATOS PBI Artículos'!$AO:$AO))/(_xlfn.XLOOKUP($AL$1,[1]CRITERIOS!$S$16:$S$39,[1]CRITERIOS!$Y$16:$Y$39))*$J452+$Z452)))</f>
        <v>#N/A</v>
      </c>
    </row>
    <row r="453" spans="1:37" ht="25.8" hidden="1" x14ac:dyDescent="0.4">
      <c r="A453" s="41"/>
      <c r="B453" s="33">
        <f>_xlfn.XLOOKUP($A453,'[1]DATOS PBI Artículos'!A:A,'[1]DATOS PBI Artículos'!B:B)</f>
        <v>0</v>
      </c>
      <c r="C453" s="33">
        <f>_xlfn.XLOOKUP($A453,'[1]DATOS PBI Artículos'!A:A,'[1]DATOS PBI Artículos'!C:C)</f>
        <v>0</v>
      </c>
      <c r="D453" s="33">
        <f>_xlfn.XLOOKUP(A453,'[1]DATOS PBI Artículos'!A:A,'[1]DATOS PBI Artículos'!T:T)</f>
        <v>0</v>
      </c>
      <c r="E453" s="34">
        <f>IF(_xlfn.XLOOKUP($A453,'[1]DATOS PBI Artículos'!A:A,'[1]DATOS PBI Artículos'!AK:AK)="",_xlfn.XLOOKUP($A453,'[1]DATOS PBI Artículos'!A:A,'[1]DATOS PBI Artículos'!AJ:AJ),_xlfn.XLOOKUP($A453,'[1]DATOS PBI Artículos'!A:A,'[1]DATOS PBI Artículos'!AK:AK))</f>
        <v>0</v>
      </c>
      <c r="F453" s="35">
        <f>_xlfn.XLOOKUP($A453,'[1]DATOS PBI Artículos'!A:A,'[1]DATOS PBI Artículos'!AP:AP)</f>
        <v>0</v>
      </c>
      <c r="G453" s="34">
        <f>_xlfn.XLOOKUP($A453,'[1]DATOS PBI Artículos'!A:A,'[1]DATOS PBI Artículos'!AR:AR)</f>
        <v>0</v>
      </c>
      <c r="H453" s="34">
        <f>_xlfn.XLOOKUP($A453,'[1]DATOS PBI Artículos'!A:A,'[1]DATOS PBI Artículos'!AT:AT)</f>
        <v>0</v>
      </c>
      <c r="I453" s="34">
        <f>_xlfn.XLOOKUP($A453,'[1]DATOS PBI Artículos'!A:A,'[1]DATOS PBI Artículos'!AS:AS)</f>
        <v>0</v>
      </c>
      <c r="J453" s="35">
        <f>IF(COUNTIF([1]CRITERIOS!$F$179:$F$199,$A453)&gt;=1,
 IF(O453&lt;&gt;"",
    (O453/_xlfn.XLOOKUP(CONCATENATE(A453,L453),[1]MÁQUINAS!A:A,[1]MÁQUINAS!D:D))/24,
    (N453/_xlfn.XLOOKUP(CONCATENATE(A453,L453),[1]MÁQUINAS!A:A,[1]MÁQUINAS!D:D))/24),
  _xlfn.XLOOKUP($A453,'[1]DATOS PBI Artículos'!A:A,'[1]DATOS PBI Artículos'!AU:AU))</f>
        <v>0</v>
      </c>
      <c r="K453" s="36">
        <f>_xlfn.XLOOKUP($A453,'[1]DATOS PBI Artículos'!A:A,'[1]DATOS PBI Artículos'!AV:AV)</f>
        <v>0</v>
      </c>
      <c r="L453" s="33">
        <f>_xlfn.XLOOKUP(A453,[1]MÁQUINAS!B:B,[1]MÁQUINAS!C:C)</f>
        <v>0</v>
      </c>
      <c r="M453" s="34">
        <f t="array" ref="M453">_xlfn.XLOOKUP(A453,'[1]DATOS PBI Artículos'!A:A,'[1]DATOS PBI Artículos'!AX:$AX)</f>
        <v>0</v>
      </c>
      <c r="N453" s="37" t="e">
        <f>IF(I453="DV",
E453,
IF(COUNTIF([1]CRITERIOS!$I$179:$I$199,$A453)&gt;=1,
_xlfn.XLOOKUP($A453,[1]CRITERIOS!$I$179:$I$199,[1]CRITERIOS!$J$179:$J$199),
IF(COUNTIF([1]CRITERIOS!$L$179:$L$199,$A453)&gt;=1,
_xlfn.CEILING.MATH(IF($M453&gt;$E453,
$E453,
IF($M453&lt;$E453/ROUNDDOWN([1]CRITERIOS!$M$16/_xlfn.XLOOKUP($C453,[1]CRITERIOS!$K$25:$K$42,[1]CRITERIOS!$M$25:$M$42),
1),
E453/ROUNDDOWN([1]CRITERIOS!$M$16/_xlfn.XLOOKUP($C453,[1]CRITERIOS!$K$25:$K$42,[1]CRITERIOS!$M$25:$M$42),
1),
$M453)),
_xlfn.XLOOKUP($A453,[1]CRITERIOS!$L$179:$L$200,[1]CRITERIOS!$M$179:$M$200)),
_xlfn.CEILING.MATH(IF($M453&gt;$E453,
$E453,
IF($M453&lt;$E453/ROUNDDOWN([1]CRITERIOS!$M$16/_xlfn.XLOOKUP($C453,[1]CRITERIOS!$K$25:$K$42,[1]CRITERIOS!$M$25:$M$42),
1),
E453/ROUNDDOWN([1]CRITERIOS!$M$16/_xlfn.XLOOKUP($C453,[1]CRITERIOS!$K$25:$K$42,[1]CRITERIOS!$M$25:$M$42),
1),
$M453)),_xlfn.XLOOKUP(A453,'[1]DATOS PBI Artículos'!A:A,'[1]DATOS PBI Artículos'!Z:Z
)))))</f>
        <v>#N/A</v>
      </c>
      <c r="Q453" s="38" t="e">
        <f>IF(AND(O453="",N453=0),
0,
   IF(COUNTIF([1]CRITERIOS!$F$179:$F$199,$A453)&gt;=1,
   1,
   IF(R453="MTO",
      $D453,
      ROUNDUP(
                    IF(($E453-SUMIF('[1]DATOS PBI Artículos'!A:A,A453,'[1]DATOS PBI Artículos'!X:X)+($V453-_xlfn.XLOOKUP(A453,'[1]DATOS PBI Artículos'!A:A,'[1]DATOS PBI Artículos'!W:W)))&lt;0,
                    0,
                    IF(($E453-SUMIF('[1]DATOS PBI Artículos'!A:A,A453,'[1]DATOS PBI Artículos'!X:X)+$V453-_xlfn.XLOOKUP($A453,'[1]DATOS PBI Artículos'!A:A,'[1]DATOS PBI Artículos'!W:W))/IF($O453="",$N453,$O453)&gt;ROUNDUP([1]CRITERIOS!$M$16/(IF(COUNTIF([1]CRITERIOS!$BG$11:$BG$201,L453)&gt;=1,_xlfn.XLOOKUP($C453,[1]CRITERIOS!$K$25:$K$42,[1]CRITERIOS!$M$25:$M$42),_xlfn.XLOOKUP($C453,[1]CRITERIOS!$K$25:$K$42,[1]CRITERIOS!$M$25:$M$42))),0),
                    ROUNDUP([1]CRITERIOS!$M$16/(IF(COUNTIF([1]CRITERIOS!$BG$11:$BG$201,$L453)&gt;=1,_xlfn.XLOOKUP($C453,[1]CRITERIOS!$K$25:$K$42,[1]CRITERIOS!$M$25:$M$42),_xlfn.XLOOKUP($C453,[1]CRITERIOS!$K$25:$K$42,[1]CRITERIOS!$M$25:$M$42))),0),
                    (E453+V453-SUMIF('[1]DATOS PBI Artículos'!A:A,A453,'[1]DATOS PBI Artículos'!X:X)-_xlfn.XLOOKUP(A453,'[1]DATOS PBI Artículos'!A:A,'[1]DATOS PBI Artículos'!W:W))/IF($O453="",$N453,$O453))),0))))</f>
        <v>#N/A</v>
      </c>
      <c r="R453" s="33" t="e">
        <f>IF(U453&lt;&gt;"",U453,IF(F453="DV","MTO",IF(N453=0,"MTO",_xlfn.XLOOKUP(CONCATENATE(S453,T453),[1]CRITERIOS!$K$160:$K$168,[1]CRITERIOS!$N$160:$N$168))))</f>
        <v>#N/A</v>
      </c>
      <c r="S453" s="33" t="e">
        <f>IF(G453="DV","MTO",IF(N453=0,"MTO",IF(OR(AND(N453=0,O453=""),IF(O453="",G453/N453,G453/O453)&gt;[1]CRITERIOS!$G$163),"MTO",IF(IF(O453="",G453/N453,G453/O453)&lt;[1]CRITERIOS!$H$161,"MTS","MTOS"))))</f>
        <v>#N/A</v>
      </c>
      <c r="T453" s="33" t="e">
        <f>IF(F453="DV","MTO",IF(OR(AND($N453=0,O453=""),$F453/$J453&gt;[1]CRITERIOS!$G$170,$F453="DV"),"MTO",IF($F453/$J453&lt;[1]CRITERIOS!$H$168,"MTS","MTOS")))</f>
        <v>#N/A</v>
      </c>
      <c r="V453" s="34" t="e">
        <f t="shared" si="22"/>
        <v>#N/A</v>
      </c>
      <c r="X453" s="34" t="e">
        <f t="shared" si="23"/>
        <v>#N/A</v>
      </c>
      <c r="Y453" s="34" t="e">
        <f t="shared" si="24"/>
        <v>#N/A</v>
      </c>
      <c r="Z453" s="34" t="e">
        <f>IF($R453="MTO",
0,
($H453+$K453*($E453/[1]CRITERIOS!$M$16))/[1]CRITERIOS!$X$48)</f>
        <v>#N/A</v>
      </c>
      <c r="AA453" s="34" t="e">
        <f>ROUNDUP(($Y453/_xlfn.XLOOKUP($A453,'[1]DATOS PBI Artículos'!$A$4:$A$4,'[1]DATOS PBI Artículos'!$Z$4:$Z$4))/_xlfn.XLOOKUP(_xlfn.XLOOKUP($A453,'[1]DATOS PBI Artículos'!$A$4:$A$4,'[1]DATOS PBI Artículos'!$Y$4:$Y$4),[1]CRITERIOS!$P$79:$P$123,[1]CRITERIOS!$S$79:$S$123,),0)</f>
        <v>#N/A</v>
      </c>
      <c r="AB453" s="33" t="e">
        <f t="array" ref="AB453">IF((E453+V453-_xlfn.XLOOKUP(A453,'[1]DATOS PBI Artículos'!$A$4:$A$4,'[1]DATOS PBI Artículos'!$W$4:$W$4))/N453&gt;ROUNDUP([1]CRITERIOS!$M$16/(IF(COUNTIF([1]CRITERIOS!$BG$11:$BG$201,L453)&gt;=1,_xlfn.XLOOKUP(ARTÍCULOS!L453,[1]CRITERIOS!$BG$11:$BG$201,[1]CRITERIOS!$BJ$11:$BJ$201),_xlfn.XLOOKUP(ARTÍCULOS!C453,[1]CRITERIOS!$K$25:$K$42,[1]CRITERIOS!$M$25:$M$42))),0),ROUNDUP([1]CRITERIOS!$M$16/(IF(COUNTIF([1]CRITERIOS!$BG$11:$BG$201,L453)&gt;=1,_xlfn.XLOOKUP(ARTÍCULOS!L453,[1]CRITERIOS!$BG$11:$BG$201:#REF!,[1]CRITERIOS!$BJ$11:$BJ$201),_xlfn.XLOOKUP(ARTÍCULOS!C453,[1]CRITERIOS!$K$25:$K$42,[1]CRITERIOS!$M$25:$M$42))),0),(E453+V453-_xlfn.XLOOKUP(A453,'[1]DATOS PBI Artículos'!$A$4:$A$4,'[1]DATOS PBI Artículos'!$W$4:$W$4))/N453)</f>
        <v>#N/A</v>
      </c>
      <c r="AC453" s="33" t="e">
        <f>IF(N453=0,"",(ROUNDUP((N453/2)/(_xlfn.XLOOKUP(A453,'[1]DATOS PBI Artículos'!$A$4:$A$4,'[1]DATOS PBI Artículos'!$Z$4:$Z$4)*_xlfn.XLOOKUP(_xlfn.XLOOKUP(A453,'[1]DATOS PBI Artículos'!$A$4:$A$4,'[1]DATOS PBI Artículos'!$Y$4:$Y$4),[1]CRITERIOS!$P$79:$P$123,[1]CRITERIOS!$S$79:$S$123)),0)*[1]CRITERIOS!$M$80*([1]CRITERIOS!$M$110/[1]CRITERIOS!$M$86)+(_xlfn.XLOOKUP(A453,'[1]DATOS PBI Artículos'!$A$4:$A$4,'[1]DATOS PBI Artículos'!$AA$4:$AA$4)*([1]CRITERIOS!$M$95+[1]CRITERIOS!$M$98)))/N453)</f>
        <v>#N/A</v>
      </c>
      <c r="AD453" s="33" t="e">
        <f>IF(N453=0,"",(ROUNDUP((N453/2)/(_xlfn.XLOOKUP(A453,'[1]DATOS PBI Artículos'!$A$4:$A$4,'[1]DATOS PBI Artículos'!$Z$4:$Z$4)*_xlfn.XLOOKUP(_xlfn.XLOOKUP(A453,'[1]DATOS PBI Artículos'!$A$4:$A$4,'[1]DATOS PBI Artículos'!$Y$4:$Y$4),[1]CRITERIOS!$P$79:$P$123,[1]CRITERIOS!$S$79:$S$123)),0)*[1]CRITERIOS!$M$80*([1]CRITERIOS!$M$89*[1]CRITERIOS!$M$92)+((_xlfn.XLOOKUP(A453,'[1]DATOS PBI Artículos'!$A$4:$A$4,'[1]DATOS PBI Artículos'!$AA$4:$AA$4)/2)*([1]CRITERIOS!$M$95+[1]CRITERIOS!$M$98)))/N453)</f>
        <v>#N/A</v>
      </c>
      <c r="AE453" s="39" t="e">
        <f>IF($R453="MTO","",
IF($H453=0,ROUNDUP(((_xlfn.XLOOKUP($A453,'[1]DATOS PBI Artículos'!$A:$A,'[1]DATOS PBI Artículos'!$AL:$AL))/(_xlfn.XLOOKUP($AF$1,[1]CRITERIOS!$S$16:$S$39,[1]CRITERIOS!$Y$16:$Y$39))*$J453+$Z453)/$G453,0)*$G453,
((_xlfn.XLOOKUP($A453,'[1]DATOS PBI Artículos'!$A:$A,'[1]DATOS PBI Artículos'!$AL:$AL))/(_xlfn.XLOOKUP($AF$1,[1]CRITERIOS!$S$16:$S$39,[1]CRITERIOS!$Y$16:$Y$39))*$J453+$Z453)))</f>
        <v>#N/A</v>
      </c>
      <c r="AG453" s="39" t="e">
        <f>IF($R453="MTO","",
IF($H453=0,ROUNDUP(((_xlfn.XLOOKUP($A453,'[1]DATOS PBI Artículos'!$A:$A,'[1]DATOS PBI Artículos'!$AM:$AM))/(_xlfn.XLOOKUP($AH$1,[1]CRITERIOS!$S$16:$S$39,[1]CRITERIOS!$Y$16:$Y$39))*$J453+$Z453)/$G453,0)*$G453,
((_xlfn.XLOOKUP($A453,'[1]DATOS PBI Artículos'!$A:$A,'[1]DATOS PBI Artículos'!$AM:$AM))/(_xlfn.XLOOKUP($AH$1,[1]CRITERIOS!$S$16:$S$39,[1]CRITERIOS!$Y$16:$Y$39))*$J453+$Z453)))</f>
        <v>#N/A</v>
      </c>
      <c r="AI453" s="39" t="e">
        <f>IF($R453="MTO","",
IF($H453=0,ROUNDUP(((_xlfn.XLOOKUP($A453,'[1]DATOS PBI Artículos'!$A:$A,'[1]DATOS PBI Artículos'!$AN:$AN))/(_xlfn.XLOOKUP($AJ$1,[1]CRITERIOS!$S$16:$S$39,[1]CRITERIOS!$Y$16:$Y$39))*$J453+$Z453)/$G453,0)*$G453,
((_xlfn.XLOOKUP($A453,'[1]DATOS PBI Artículos'!$A:$A,'[1]DATOS PBI Artículos'!$AN:$AN))/(_xlfn.XLOOKUP($AJ$1,[1]CRITERIOS!$S$16:$S$39,[1]CRITERIOS!$Y$16:$Y$39))*$J453+$Z453)))</f>
        <v>#N/A</v>
      </c>
      <c r="AK453" s="39" t="e">
        <f>IF($R453="MTO","",
IF($H453=0,ROUNDUP(((_xlfn.XLOOKUP($A453,'[1]DATOS PBI Artículos'!$A:$A,'[1]DATOS PBI Artículos'!$AO:$AO))/(_xlfn.XLOOKUP($AL$1,[1]CRITERIOS!$S$16:$S$39,[1]CRITERIOS!$Y$16:$Y$39))*$J453+$Z453)/$G453,0)*$G453,
((_xlfn.XLOOKUP($A453,'[1]DATOS PBI Artículos'!$A:$A,'[1]DATOS PBI Artículos'!$AO:$AO))/(_xlfn.XLOOKUP($AL$1,[1]CRITERIOS!$S$16:$S$39,[1]CRITERIOS!$Y$16:$Y$39))*$J453+$Z453)))</f>
        <v>#N/A</v>
      </c>
    </row>
    <row r="454" spans="1:37" ht="25.8" hidden="1" x14ac:dyDescent="0.4">
      <c r="A454" s="41"/>
      <c r="B454" s="33">
        <f>_xlfn.XLOOKUP($A454,'[1]DATOS PBI Artículos'!A:A,'[1]DATOS PBI Artículos'!B:B)</f>
        <v>0</v>
      </c>
      <c r="C454" s="33">
        <f>_xlfn.XLOOKUP($A454,'[1]DATOS PBI Artículos'!A:A,'[1]DATOS PBI Artículos'!C:C)</f>
        <v>0</v>
      </c>
      <c r="D454" s="33">
        <f>_xlfn.XLOOKUP(A454,'[1]DATOS PBI Artículos'!A:A,'[1]DATOS PBI Artículos'!T:T)</f>
        <v>0</v>
      </c>
      <c r="E454" s="34">
        <f>IF(_xlfn.XLOOKUP($A454,'[1]DATOS PBI Artículos'!A:A,'[1]DATOS PBI Artículos'!AK:AK)="",_xlfn.XLOOKUP($A454,'[1]DATOS PBI Artículos'!A:A,'[1]DATOS PBI Artículos'!AJ:AJ),_xlfn.XLOOKUP($A454,'[1]DATOS PBI Artículos'!A:A,'[1]DATOS PBI Artículos'!AK:AK))</f>
        <v>0</v>
      </c>
      <c r="F454" s="35">
        <f>_xlfn.XLOOKUP($A454,'[1]DATOS PBI Artículos'!A:A,'[1]DATOS PBI Artículos'!AP:AP)</f>
        <v>0</v>
      </c>
      <c r="G454" s="34">
        <f>_xlfn.XLOOKUP($A454,'[1]DATOS PBI Artículos'!A:A,'[1]DATOS PBI Artículos'!AR:AR)</f>
        <v>0</v>
      </c>
      <c r="H454" s="34">
        <f>_xlfn.XLOOKUP($A454,'[1]DATOS PBI Artículos'!A:A,'[1]DATOS PBI Artículos'!AT:AT)</f>
        <v>0</v>
      </c>
      <c r="I454" s="34">
        <f>_xlfn.XLOOKUP($A454,'[1]DATOS PBI Artículos'!A:A,'[1]DATOS PBI Artículos'!AS:AS)</f>
        <v>0</v>
      </c>
      <c r="J454" s="35">
        <f>IF(COUNTIF([1]CRITERIOS!$F$179:$F$199,$A454)&gt;=1,
 IF(O454&lt;&gt;"",
    (O454/_xlfn.XLOOKUP(CONCATENATE(A454,L454),[1]MÁQUINAS!A:A,[1]MÁQUINAS!D:D))/24,
    (N454/_xlfn.XLOOKUP(CONCATENATE(A454,L454),[1]MÁQUINAS!A:A,[1]MÁQUINAS!D:D))/24),
  _xlfn.XLOOKUP($A454,'[1]DATOS PBI Artículos'!A:A,'[1]DATOS PBI Artículos'!AU:AU))</f>
        <v>0</v>
      </c>
      <c r="K454" s="36">
        <f>_xlfn.XLOOKUP($A454,'[1]DATOS PBI Artículos'!A:A,'[1]DATOS PBI Artículos'!AV:AV)</f>
        <v>0</v>
      </c>
      <c r="L454" s="33">
        <f>_xlfn.XLOOKUP(A454,[1]MÁQUINAS!B:B,[1]MÁQUINAS!C:C)</f>
        <v>0</v>
      </c>
      <c r="M454" s="34">
        <f t="array" ref="M454">_xlfn.XLOOKUP(A454,'[1]DATOS PBI Artículos'!A:A,'[1]DATOS PBI Artículos'!AX:$AX)</f>
        <v>0</v>
      </c>
      <c r="N454" s="37" t="e">
        <f>IF(I454="DV",
E454,
IF(COUNTIF([1]CRITERIOS!$I$179:$I$199,$A454)&gt;=1,
_xlfn.XLOOKUP($A454,[1]CRITERIOS!$I$179:$I$199,[1]CRITERIOS!$J$179:$J$199),
IF(COUNTIF([1]CRITERIOS!$L$179:$L$199,$A454)&gt;=1,
_xlfn.CEILING.MATH(IF($M454&gt;$E454,
$E454,
IF($M454&lt;$E454/ROUNDDOWN([1]CRITERIOS!$M$16/_xlfn.XLOOKUP($C454,[1]CRITERIOS!$K$25:$K$42,[1]CRITERIOS!$M$25:$M$42),
1),
E454/ROUNDDOWN([1]CRITERIOS!$M$16/_xlfn.XLOOKUP($C454,[1]CRITERIOS!$K$25:$K$42,[1]CRITERIOS!$M$25:$M$42),
1),
$M454)),
_xlfn.XLOOKUP($A454,[1]CRITERIOS!$L$179:$L$200,[1]CRITERIOS!$M$179:$M$200)),
_xlfn.CEILING.MATH(IF($M454&gt;$E454,
$E454,
IF($M454&lt;$E454/ROUNDDOWN([1]CRITERIOS!$M$16/_xlfn.XLOOKUP($C454,[1]CRITERIOS!$K$25:$K$42,[1]CRITERIOS!$M$25:$M$42),
1),
E454/ROUNDDOWN([1]CRITERIOS!$M$16/_xlfn.XLOOKUP($C454,[1]CRITERIOS!$K$25:$K$42,[1]CRITERIOS!$M$25:$M$42),
1),
$M454)),_xlfn.XLOOKUP(A454,'[1]DATOS PBI Artículos'!A:A,'[1]DATOS PBI Artículos'!Z:Z
)))))</f>
        <v>#N/A</v>
      </c>
      <c r="Q454" s="38" t="e">
        <f>IF(AND(O454="",N454=0),
0,
   IF(COUNTIF([1]CRITERIOS!$F$179:$F$199,$A454)&gt;=1,
   1,
   IF(R454="MTO",
      $D454,
      ROUNDUP(
                    IF(($E454-SUMIF('[1]DATOS PBI Artículos'!A:A,A454,'[1]DATOS PBI Artículos'!X:X)+($V454-_xlfn.XLOOKUP(A454,'[1]DATOS PBI Artículos'!A:A,'[1]DATOS PBI Artículos'!W:W)))&lt;0,
                    0,
                    IF(($E454-SUMIF('[1]DATOS PBI Artículos'!A:A,A454,'[1]DATOS PBI Artículos'!X:X)+$V454-_xlfn.XLOOKUP($A454,'[1]DATOS PBI Artículos'!A:A,'[1]DATOS PBI Artículos'!W:W))/IF($O454="",$N454,$O454)&gt;ROUNDUP([1]CRITERIOS!$M$16/(IF(COUNTIF([1]CRITERIOS!$BG$11:$BG$201,L454)&gt;=1,_xlfn.XLOOKUP($C454,[1]CRITERIOS!$K$25:$K$42,[1]CRITERIOS!$M$25:$M$42),_xlfn.XLOOKUP($C454,[1]CRITERIOS!$K$25:$K$42,[1]CRITERIOS!$M$25:$M$42))),0),
                    ROUNDUP([1]CRITERIOS!$M$16/(IF(COUNTIF([1]CRITERIOS!$BG$11:$BG$201,$L454)&gt;=1,_xlfn.XLOOKUP($C454,[1]CRITERIOS!$K$25:$K$42,[1]CRITERIOS!$M$25:$M$42),_xlfn.XLOOKUP($C454,[1]CRITERIOS!$K$25:$K$42,[1]CRITERIOS!$M$25:$M$42))),0),
                    (E454+V454-SUMIF('[1]DATOS PBI Artículos'!A:A,A454,'[1]DATOS PBI Artículos'!X:X)-_xlfn.XLOOKUP(A454,'[1]DATOS PBI Artículos'!A:A,'[1]DATOS PBI Artículos'!W:W))/IF($O454="",$N454,$O454))),0))))</f>
        <v>#N/A</v>
      </c>
      <c r="R454" s="33" t="e">
        <f>IF(U454&lt;&gt;"",U454,IF(F454="DV","MTO",IF(N454=0,"MTO",_xlfn.XLOOKUP(CONCATENATE(S454,T454),[1]CRITERIOS!$K$160:$K$168,[1]CRITERIOS!$N$160:$N$168))))</f>
        <v>#N/A</v>
      </c>
      <c r="S454" s="33" t="e">
        <f>IF(G454="DV","MTO",IF(N454=0,"MTO",IF(OR(AND(N454=0,O454=""),IF(O454="",G454/N454,G454/O454)&gt;[1]CRITERIOS!$G$163),"MTO",IF(IF(O454="",G454/N454,G454/O454)&lt;[1]CRITERIOS!$H$161,"MTS","MTOS"))))</f>
        <v>#N/A</v>
      </c>
      <c r="T454" s="33" t="e">
        <f>IF(F454="DV","MTO",IF(OR(AND($N454=0,O454=""),$F454/$J454&gt;[1]CRITERIOS!$G$170,$F454="DV"),"MTO",IF($F454/$J454&lt;[1]CRITERIOS!$H$168,"MTS","MTOS")))</f>
        <v>#N/A</v>
      </c>
      <c r="V454" s="34" t="e">
        <f t="shared" si="22"/>
        <v>#N/A</v>
      </c>
      <c r="X454" s="34" t="e">
        <f t="shared" si="23"/>
        <v>#N/A</v>
      </c>
      <c r="Y454" s="34" t="e">
        <f t="shared" si="24"/>
        <v>#N/A</v>
      </c>
      <c r="Z454" s="34" t="e">
        <f>IF($R454="MTO",
0,
($H454+$K454*($E454/[1]CRITERIOS!$M$16))/[1]CRITERIOS!$X$48)</f>
        <v>#N/A</v>
      </c>
      <c r="AA454" s="34" t="e">
        <f>ROUNDUP(($Y454/_xlfn.XLOOKUP($A454,'[1]DATOS PBI Artículos'!$A$4:$A$4,'[1]DATOS PBI Artículos'!$Z$4:$Z$4))/_xlfn.XLOOKUP(_xlfn.XLOOKUP($A454,'[1]DATOS PBI Artículos'!$A$4:$A$4,'[1]DATOS PBI Artículos'!$Y$4:$Y$4),[1]CRITERIOS!$P$79:$P$123,[1]CRITERIOS!$S$79:$S$123,),0)</f>
        <v>#N/A</v>
      </c>
      <c r="AB454" s="33" t="e">
        <f t="array" ref="AB454">IF((E454+V454-_xlfn.XLOOKUP(A454,'[1]DATOS PBI Artículos'!$A$4:$A$4,'[1]DATOS PBI Artículos'!$W$4:$W$4))/N454&gt;ROUNDUP([1]CRITERIOS!$M$16/(IF(COUNTIF([1]CRITERIOS!$BG$11:$BG$201,L454)&gt;=1,_xlfn.XLOOKUP(ARTÍCULOS!L454,[1]CRITERIOS!$BG$11:$BG$201,[1]CRITERIOS!$BJ$11:$BJ$201),_xlfn.XLOOKUP(ARTÍCULOS!C454,[1]CRITERIOS!$K$25:$K$42,[1]CRITERIOS!$M$25:$M$42))),0),ROUNDUP([1]CRITERIOS!$M$16/(IF(COUNTIF([1]CRITERIOS!$BG$11:$BG$201,L454)&gt;=1,_xlfn.XLOOKUP(ARTÍCULOS!L454,[1]CRITERIOS!$BG$11:$BG$201:#REF!,[1]CRITERIOS!$BJ$11:$BJ$201),_xlfn.XLOOKUP(ARTÍCULOS!C454,[1]CRITERIOS!$K$25:$K$42,[1]CRITERIOS!$M$25:$M$42))),0),(E454+V454-_xlfn.XLOOKUP(A454,'[1]DATOS PBI Artículos'!$A$4:$A$4,'[1]DATOS PBI Artículos'!$W$4:$W$4))/N454)</f>
        <v>#N/A</v>
      </c>
      <c r="AC454" s="33" t="e">
        <f>IF(N454=0,"",(ROUNDUP((N454/2)/(_xlfn.XLOOKUP(A454,'[1]DATOS PBI Artículos'!$A$4:$A$4,'[1]DATOS PBI Artículos'!$Z$4:$Z$4)*_xlfn.XLOOKUP(_xlfn.XLOOKUP(A454,'[1]DATOS PBI Artículos'!$A$4:$A$4,'[1]DATOS PBI Artículos'!$Y$4:$Y$4),[1]CRITERIOS!$P$79:$P$123,[1]CRITERIOS!$S$79:$S$123)),0)*[1]CRITERIOS!$M$80*([1]CRITERIOS!$M$110/[1]CRITERIOS!$M$86)+(_xlfn.XLOOKUP(A454,'[1]DATOS PBI Artículos'!$A$4:$A$4,'[1]DATOS PBI Artículos'!$AA$4:$AA$4)*([1]CRITERIOS!$M$95+[1]CRITERIOS!$M$98)))/N454)</f>
        <v>#N/A</v>
      </c>
      <c r="AD454" s="33" t="e">
        <f>IF(N454=0,"",(ROUNDUP((N454/2)/(_xlfn.XLOOKUP(A454,'[1]DATOS PBI Artículos'!$A$4:$A$4,'[1]DATOS PBI Artículos'!$Z$4:$Z$4)*_xlfn.XLOOKUP(_xlfn.XLOOKUP(A454,'[1]DATOS PBI Artículos'!$A$4:$A$4,'[1]DATOS PBI Artículos'!$Y$4:$Y$4),[1]CRITERIOS!$P$79:$P$123,[1]CRITERIOS!$S$79:$S$123)),0)*[1]CRITERIOS!$M$80*([1]CRITERIOS!$M$89*[1]CRITERIOS!$M$92)+((_xlfn.XLOOKUP(A454,'[1]DATOS PBI Artículos'!$A$4:$A$4,'[1]DATOS PBI Artículos'!$AA$4:$AA$4)/2)*([1]CRITERIOS!$M$95+[1]CRITERIOS!$M$98)))/N454)</f>
        <v>#N/A</v>
      </c>
      <c r="AE454" s="39" t="e">
        <f>IF($R454="MTO","",
IF($H454=0,ROUNDUP(((_xlfn.XLOOKUP($A454,'[1]DATOS PBI Artículos'!$A:$A,'[1]DATOS PBI Artículos'!$AL:$AL))/(_xlfn.XLOOKUP($AF$1,[1]CRITERIOS!$S$16:$S$39,[1]CRITERIOS!$Y$16:$Y$39))*$J454+$Z454)/$G454,0)*$G454,
((_xlfn.XLOOKUP($A454,'[1]DATOS PBI Artículos'!$A:$A,'[1]DATOS PBI Artículos'!$AL:$AL))/(_xlfn.XLOOKUP($AF$1,[1]CRITERIOS!$S$16:$S$39,[1]CRITERIOS!$Y$16:$Y$39))*$J454+$Z454)))</f>
        <v>#N/A</v>
      </c>
      <c r="AG454" s="39" t="e">
        <f>IF($R454="MTO","",
IF($H454=0,ROUNDUP(((_xlfn.XLOOKUP($A454,'[1]DATOS PBI Artículos'!$A:$A,'[1]DATOS PBI Artículos'!$AM:$AM))/(_xlfn.XLOOKUP($AH$1,[1]CRITERIOS!$S$16:$S$39,[1]CRITERIOS!$Y$16:$Y$39))*$J454+$Z454)/$G454,0)*$G454,
((_xlfn.XLOOKUP($A454,'[1]DATOS PBI Artículos'!$A:$A,'[1]DATOS PBI Artículos'!$AM:$AM))/(_xlfn.XLOOKUP($AH$1,[1]CRITERIOS!$S$16:$S$39,[1]CRITERIOS!$Y$16:$Y$39))*$J454+$Z454)))</f>
        <v>#N/A</v>
      </c>
      <c r="AI454" s="39" t="e">
        <f>IF($R454="MTO","",
IF($H454=0,ROUNDUP(((_xlfn.XLOOKUP($A454,'[1]DATOS PBI Artículos'!$A:$A,'[1]DATOS PBI Artículos'!$AN:$AN))/(_xlfn.XLOOKUP($AJ$1,[1]CRITERIOS!$S$16:$S$39,[1]CRITERIOS!$Y$16:$Y$39))*$J454+$Z454)/$G454,0)*$G454,
((_xlfn.XLOOKUP($A454,'[1]DATOS PBI Artículos'!$A:$A,'[1]DATOS PBI Artículos'!$AN:$AN))/(_xlfn.XLOOKUP($AJ$1,[1]CRITERIOS!$S$16:$S$39,[1]CRITERIOS!$Y$16:$Y$39))*$J454+$Z454)))</f>
        <v>#N/A</v>
      </c>
      <c r="AK454" s="39" t="e">
        <f>IF($R454="MTO","",
IF($H454=0,ROUNDUP(((_xlfn.XLOOKUP($A454,'[1]DATOS PBI Artículos'!$A:$A,'[1]DATOS PBI Artículos'!$AO:$AO))/(_xlfn.XLOOKUP($AL$1,[1]CRITERIOS!$S$16:$S$39,[1]CRITERIOS!$Y$16:$Y$39))*$J454+$Z454)/$G454,0)*$G454,
((_xlfn.XLOOKUP($A454,'[1]DATOS PBI Artículos'!$A:$A,'[1]DATOS PBI Artículos'!$AO:$AO))/(_xlfn.XLOOKUP($AL$1,[1]CRITERIOS!$S$16:$S$39,[1]CRITERIOS!$Y$16:$Y$39))*$J454+$Z454)))</f>
        <v>#N/A</v>
      </c>
    </row>
    <row r="455" spans="1:37" ht="25.8" hidden="1" x14ac:dyDescent="0.4">
      <c r="A455" s="41"/>
      <c r="B455" s="33">
        <f>_xlfn.XLOOKUP($A455,'[1]DATOS PBI Artículos'!A:A,'[1]DATOS PBI Artículos'!B:B)</f>
        <v>0</v>
      </c>
      <c r="C455" s="33">
        <f>_xlfn.XLOOKUP($A455,'[1]DATOS PBI Artículos'!A:A,'[1]DATOS PBI Artículos'!C:C)</f>
        <v>0</v>
      </c>
      <c r="D455" s="33">
        <f>_xlfn.XLOOKUP(A455,'[1]DATOS PBI Artículos'!A:A,'[1]DATOS PBI Artículos'!T:T)</f>
        <v>0</v>
      </c>
      <c r="E455" s="34">
        <f>IF(_xlfn.XLOOKUP($A455,'[1]DATOS PBI Artículos'!A:A,'[1]DATOS PBI Artículos'!AK:AK)="",_xlfn.XLOOKUP($A455,'[1]DATOS PBI Artículos'!A:A,'[1]DATOS PBI Artículos'!AJ:AJ),_xlfn.XLOOKUP($A455,'[1]DATOS PBI Artículos'!A:A,'[1]DATOS PBI Artículos'!AK:AK))</f>
        <v>0</v>
      </c>
      <c r="F455" s="35">
        <f>_xlfn.XLOOKUP($A455,'[1]DATOS PBI Artículos'!A:A,'[1]DATOS PBI Artículos'!AP:AP)</f>
        <v>0</v>
      </c>
      <c r="G455" s="34">
        <f>_xlfn.XLOOKUP($A455,'[1]DATOS PBI Artículos'!A:A,'[1]DATOS PBI Artículos'!AR:AR)</f>
        <v>0</v>
      </c>
      <c r="H455" s="34">
        <f>_xlfn.XLOOKUP($A455,'[1]DATOS PBI Artículos'!A:A,'[1]DATOS PBI Artículos'!AT:AT)</f>
        <v>0</v>
      </c>
      <c r="I455" s="34">
        <f>_xlfn.XLOOKUP($A455,'[1]DATOS PBI Artículos'!A:A,'[1]DATOS PBI Artículos'!AS:AS)</f>
        <v>0</v>
      </c>
      <c r="J455" s="35">
        <f>IF(COUNTIF([1]CRITERIOS!$F$179:$F$199,$A455)&gt;=1,
 IF(O455&lt;&gt;"",
    (O455/_xlfn.XLOOKUP(CONCATENATE(A455,L455),[1]MÁQUINAS!A:A,[1]MÁQUINAS!D:D))/24,
    (N455/_xlfn.XLOOKUP(CONCATENATE(A455,L455),[1]MÁQUINAS!A:A,[1]MÁQUINAS!D:D))/24),
  _xlfn.XLOOKUP($A455,'[1]DATOS PBI Artículos'!A:A,'[1]DATOS PBI Artículos'!AU:AU))</f>
        <v>0</v>
      </c>
      <c r="K455" s="36">
        <f>_xlfn.XLOOKUP($A455,'[1]DATOS PBI Artículos'!A:A,'[1]DATOS PBI Artículos'!AV:AV)</f>
        <v>0</v>
      </c>
      <c r="L455" s="33">
        <f>_xlfn.XLOOKUP(A455,[1]MÁQUINAS!B:B,[1]MÁQUINAS!C:C)</f>
        <v>0</v>
      </c>
      <c r="M455" s="34">
        <f t="array" ref="M455">_xlfn.XLOOKUP(A455,'[1]DATOS PBI Artículos'!A:A,'[1]DATOS PBI Artículos'!AX:$AX)</f>
        <v>0</v>
      </c>
      <c r="N455" s="37" t="e">
        <f>IF(I455="DV",
E455,
IF(COUNTIF([1]CRITERIOS!$I$179:$I$199,$A455)&gt;=1,
_xlfn.XLOOKUP($A455,[1]CRITERIOS!$I$179:$I$199,[1]CRITERIOS!$J$179:$J$199),
IF(COUNTIF([1]CRITERIOS!$L$179:$L$199,$A455)&gt;=1,
_xlfn.CEILING.MATH(IF($M455&gt;$E455,
$E455,
IF($M455&lt;$E455/ROUNDDOWN([1]CRITERIOS!$M$16/_xlfn.XLOOKUP($C455,[1]CRITERIOS!$K$25:$K$42,[1]CRITERIOS!$M$25:$M$42),
1),
E455/ROUNDDOWN([1]CRITERIOS!$M$16/_xlfn.XLOOKUP($C455,[1]CRITERIOS!$K$25:$K$42,[1]CRITERIOS!$M$25:$M$42),
1),
$M455)),
_xlfn.XLOOKUP($A455,[1]CRITERIOS!$L$179:$L$200,[1]CRITERIOS!$M$179:$M$200)),
_xlfn.CEILING.MATH(IF($M455&gt;$E455,
$E455,
IF($M455&lt;$E455/ROUNDDOWN([1]CRITERIOS!$M$16/_xlfn.XLOOKUP($C455,[1]CRITERIOS!$K$25:$K$42,[1]CRITERIOS!$M$25:$M$42),
1),
E455/ROUNDDOWN([1]CRITERIOS!$M$16/_xlfn.XLOOKUP($C455,[1]CRITERIOS!$K$25:$K$42,[1]CRITERIOS!$M$25:$M$42),
1),
$M455)),_xlfn.XLOOKUP(A455,'[1]DATOS PBI Artículos'!A:A,'[1]DATOS PBI Artículos'!Z:Z
)))))</f>
        <v>#N/A</v>
      </c>
      <c r="Q455" s="38" t="e">
        <f>IF(AND(O455="",N455=0),
0,
   IF(COUNTIF([1]CRITERIOS!$F$179:$F$199,$A455)&gt;=1,
   1,
   IF(R455="MTO",
      $D455,
      ROUNDUP(
                    IF(($E455-SUMIF('[1]DATOS PBI Artículos'!A:A,A455,'[1]DATOS PBI Artículos'!X:X)+($V455-_xlfn.XLOOKUP(A455,'[1]DATOS PBI Artículos'!A:A,'[1]DATOS PBI Artículos'!W:W)))&lt;0,
                    0,
                    IF(($E455-SUMIF('[1]DATOS PBI Artículos'!A:A,A455,'[1]DATOS PBI Artículos'!X:X)+$V455-_xlfn.XLOOKUP($A455,'[1]DATOS PBI Artículos'!A:A,'[1]DATOS PBI Artículos'!W:W))/IF($O455="",$N455,$O455)&gt;ROUNDUP([1]CRITERIOS!$M$16/(IF(COUNTIF([1]CRITERIOS!$BG$11:$BG$201,L455)&gt;=1,_xlfn.XLOOKUP($C455,[1]CRITERIOS!$K$25:$K$42,[1]CRITERIOS!$M$25:$M$42),_xlfn.XLOOKUP($C455,[1]CRITERIOS!$K$25:$K$42,[1]CRITERIOS!$M$25:$M$42))),0),
                    ROUNDUP([1]CRITERIOS!$M$16/(IF(COUNTIF([1]CRITERIOS!$BG$11:$BG$201,$L455)&gt;=1,_xlfn.XLOOKUP($C455,[1]CRITERIOS!$K$25:$K$42,[1]CRITERIOS!$M$25:$M$42),_xlfn.XLOOKUP($C455,[1]CRITERIOS!$K$25:$K$42,[1]CRITERIOS!$M$25:$M$42))),0),
                    (E455+V455-SUMIF('[1]DATOS PBI Artículos'!A:A,A455,'[1]DATOS PBI Artículos'!X:X)-_xlfn.XLOOKUP(A455,'[1]DATOS PBI Artículos'!A:A,'[1]DATOS PBI Artículos'!W:W))/IF($O455="",$N455,$O455))),0))))</f>
        <v>#N/A</v>
      </c>
      <c r="R455" s="33" t="e">
        <f>IF(U455&lt;&gt;"",U455,IF(F455="DV","MTO",IF(N455=0,"MTO",_xlfn.XLOOKUP(CONCATENATE(S455,T455),[1]CRITERIOS!$K$160:$K$168,[1]CRITERIOS!$N$160:$N$168))))</f>
        <v>#N/A</v>
      </c>
      <c r="S455" s="33" t="e">
        <f>IF(G455="DV","MTO",IF(N455=0,"MTO",IF(OR(AND(N455=0,O455=""),IF(O455="",G455/N455,G455/O455)&gt;[1]CRITERIOS!$G$163),"MTO",IF(IF(O455="",G455/N455,G455/O455)&lt;[1]CRITERIOS!$H$161,"MTS","MTOS"))))</f>
        <v>#N/A</v>
      </c>
      <c r="T455" s="33" t="e">
        <f>IF(F455="DV","MTO",IF(OR(AND($N455=0,O455=""),$F455/$J455&gt;[1]CRITERIOS!$G$170,$F455="DV"),"MTO",IF($F455/$J455&lt;[1]CRITERIOS!$H$168,"MTS","MTOS")))</f>
        <v>#N/A</v>
      </c>
      <c r="V455" s="34" t="e">
        <f t="shared" si="22"/>
        <v>#N/A</v>
      </c>
      <c r="X455" s="34" t="e">
        <f t="shared" si="23"/>
        <v>#N/A</v>
      </c>
      <c r="Y455" s="34" t="e">
        <f t="shared" si="24"/>
        <v>#N/A</v>
      </c>
      <c r="Z455" s="34" t="e">
        <f>IF($R455="MTO",
0,
($H455+$K455*($E455/[1]CRITERIOS!$M$16))/[1]CRITERIOS!$X$48)</f>
        <v>#N/A</v>
      </c>
      <c r="AA455" s="34" t="e">
        <f>ROUNDUP(($Y455/_xlfn.XLOOKUP($A455,'[1]DATOS PBI Artículos'!$A$4:$A$4,'[1]DATOS PBI Artículos'!$Z$4:$Z$4))/_xlfn.XLOOKUP(_xlfn.XLOOKUP($A455,'[1]DATOS PBI Artículos'!$A$4:$A$4,'[1]DATOS PBI Artículos'!$Y$4:$Y$4),[1]CRITERIOS!$P$79:$P$123,[1]CRITERIOS!$S$79:$S$123,),0)</f>
        <v>#N/A</v>
      </c>
      <c r="AB455" s="33" t="e">
        <f t="array" ref="AB455">IF((E455+V455-_xlfn.XLOOKUP(A455,'[1]DATOS PBI Artículos'!$A$4:$A$4,'[1]DATOS PBI Artículos'!$W$4:$W$4))/N455&gt;ROUNDUP([1]CRITERIOS!$M$16/(IF(COUNTIF([1]CRITERIOS!$BG$11:$BG$201,L455)&gt;=1,_xlfn.XLOOKUP(ARTÍCULOS!L455,[1]CRITERIOS!$BG$11:$BG$201,[1]CRITERIOS!$BJ$11:$BJ$201),_xlfn.XLOOKUP(ARTÍCULOS!C455,[1]CRITERIOS!$K$25:$K$42,[1]CRITERIOS!$M$25:$M$42))),0),ROUNDUP([1]CRITERIOS!$M$16/(IF(COUNTIF([1]CRITERIOS!$BG$11:$BG$201,L455)&gt;=1,_xlfn.XLOOKUP(ARTÍCULOS!L455,[1]CRITERIOS!$BG$11:$BG$201:#REF!,[1]CRITERIOS!$BJ$11:$BJ$201),_xlfn.XLOOKUP(ARTÍCULOS!C455,[1]CRITERIOS!$K$25:$K$42,[1]CRITERIOS!$M$25:$M$42))),0),(E455+V455-_xlfn.XLOOKUP(A455,'[1]DATOS PBI Artículos'!$A$4:$A$4,'[1]DATOS PBI Artículos'!$W$4:$W$4))/N455)</f>
        <v>#N/A</v>
      </c>
      <c r="AC455" s="33" t="e">
        <f>IF(N455=0,"",(ROUNDUP((N455/2)/(_xlfn.XLOOKUP(A455,'[1]DATOS PBI Artículos'!$A$4:$A$4,'[1]DATOS PBI Artículos'!$Z$4:$Z$4)*_xlfn.XLOOKUP(_xlfn.XLOOKUP(A455,'[1]DATOS PBI Artículos'!$A$4:$A$4,'[1]DATOS PBI Artículos'!$Y$4:$Y$4),[1]CRITERIOS!$P$79:$P$123,[1]CRITERIOS!$S$79:$S$123)),0)*[1]CRITERIOS!$M$80*([1]CRITERIOS!$M$110/[1]CRITERIOS!$M$86)+(_xlfn.XLOOKUP(A455,'[1]DATOS PBI Artículos'!$A$4:$A$4,'[1]DATOS PBI Artículos'!$AA$4:$AA$4)*([1]CRITERIOS!$M$95+[1]CRITERIOS!$M$98)))/N455)</f>
        <v>#N/A</v>
      </c>
      <c r="AD455" s="33" t="e">
        <f>IF(N455=0,"",(ROUNDUP((N455/2)/(_xlfn.XLOOKUP(A455,'[1]DATOS PBI Artículos'!$A$4:$A$4,'[1]DATOS PBI Artículos'!$Z$4:$Z$4)*_xlfn.XLOOKUP(_xlfn.XLOOKUP(A455,'[1]DATOS PBI Artículos'!$A$4:$A$4,'[1]DATOS PBI Artículos'!$Y$4:$Y$4),[1]CRITERIOS!$P$79:$P$123,[1]CRITERIOS!$S$79:$S$123)),0)*[1]CRITERIOS!$M$80*([1]CRITERIOS!$M$89*[1]CRITERIOS!$M$92)+((_xlfn.XLOOKUP(A455,'[1]DATOS PBI Artículos'!$A$4:$A$4,'[1]DATOS PBI Artículos'!$AA$4:$AA$4)/2)*([1]CRITERIOS!$M$95+[1]CRITERIOS!$M$98)))/N455)</f>
        <v>#N/A</v>
      </c>
      <c r="AE455" s="39" t="e">
        <f>IF($R455="MTO","",
IF($H455=0,ROUNDUP(((_xlfn.XLOOKUP($A455,'[1]DATOS PBI Artículos'!$A:$A,'[1]DATOS PBI Artículos'!$AL:$AL))/(_xlfn.XLOOKUP($AF$1,[1]CRITERIOS!$S$16:$S$39,[1]CRITERIOS!$Y$16:$Y$39))*$J455+$Z455)/$G455,0)*$G455,
((_xlfn.XLOOKUP($A455,'[1]DATOS PBI Artículos'!$A:$A,'[1]DATOS PBI Artículos'!$AL:$AL))/(_xlfn.XLOOKUP($AF$1,[1]CRITERIOS!$S$16:$S$39,[1]CRITERIOS!$Y$16:$Y$39))*$J455+$Z455)))</f>
        <v>#N/A</v>
      </c>
      <c r="AG455" s="39" t="e">
        <f>IF($R455="MTO","",
IF($H455=0,ROUNDUP(((_xlfn.XLOOKUP($A455,'[1]DATOS PBI Artículos'!$A:$A,'[1]DATOS PBI Artículos'!$AM:$AM))/(_xlfn.XLOOKUP($AH$1,[1]CRITERIOS!$S$16:$S$39,[1]CRITERIOS!$Y$16:$Y$39))*$J455+$Z455)/$G455,0)*$G455,
((_xlfn.XLOOKUP($A455,'[1]DATOS PBI Artículos'!$A:$A,'[1]DATOS PBI Artículos'!$AM:$AM))/(_xlfn.XLOOKUP($AH$1,[1]CRITERIOS!$S$16:$S$39,[1]CRITERIOS!$Y$16:$Y$39))*$J455+$Z455)))</f>
        <v>#N/A</v>
      </c>
      <c r="AI455" s="39" t="e">
        <f>IF($R455="MTO","",
IF($H455=0,ROUNDUP(((_xlfn.XLOOKUP($A455,'[1]DATOS PBI Artículos'!$A:$A,'[1]DATOS PBI Artículos'!$AN:$AN))/(_xlfn.XLOOKUP($AJ$1,[1]CRITERIOS!$S$16:$S$39,[1]CRITERIOS!$Y$16:$Y$39))*$J455+$Z455)/$G455,0)*$G455,
((_xlfn.XLOOKUP($A455,'[1]DATOS PBI Artículos'!$A:$A,'[1]DATOS PBI Artículos'!$AN:$AN))/(_xlfn.XLOOKUP($AJ$1,[1]CRITERIOS!$S$16:$S$39,[1]CRITERIOS!$Y$16:$Y$39))*$J455+$Z455)))</f>
        <v>#N/A</v>
      </c>
      <c r="AK455" s="39" t="e">
        <f>IF($R455="MTO","",
IF($H455=0,ROUNDUP(((_xlfn.XLOOKUP($A455,'[1]DATOS PBI Artículos'!$A:$A,'[1]DATOS PBI Artículos'!$AO:$AO))/(_xlfn.XLOOKUP($AL$1,[1]CRITERIOS!$S$16:$S$39,[1]CRITERIOS!$Y$16:$Y$39))*$J455+$Z455)/$G455,0)*$G455,
((_xlfn.XLOOKUP($A455,'[1]DATOS PBI Artículos'!$A:$A,'[1]DATOS PBI Artículos'!$AO:$AO))/(_xlfn.XLOOKUP($AL$1,[1]CRITERIOS!$S$16:$S$39,[1]CRITERIOS!$Y$16:$Y$39))*$J455+$Z455)))</f>
        <v>#N/A</v>
      </c>
    </row>
    <row r="456" spans="1:37" ht="25.8" hidden="1" x14ac:dyDescent="0.4">
      <c r="A456" s="41"/>
      <c r="B456" s="33">
        <f>_xlfn.XLOOKUP($A456,'[1]DATOS PBI Artículos'!A:A,'[1]DATOS PBI Artículos'!B:B)</f>
        <v>0</v>
      </c>
      <c r="C456" s="33">
        <f>_xlfn.XLOOKUP($A456,'[1]DATOS PBI Artículos'!A:A,'[1]DATOS PBI Artículos'!C:C)</f>
        <v>0</v>
      </c>
      <c r="D456" s="33">
        <f>_xlfn.XLOOKUP(A456,'[1]DATOS PBI Artículos'!A:A,'[1]DATOS PBI Artículos'!T:T)</f>
        <v>0</v>
      </c>
      <c r="E456" s="34">
        <f>IF(_xlfn.XLOOKUP($A456,'[1]DATOS PBI Artículos'!A:A,'[1]DATOS PBI Artículos'!AK:AK)="",_xlfn.XLOOKUP($A456,'[1]DATOS PBI Artículos'!A:A,'[1]DATOS PBI Artículos'!AJ:AJ),_xlfn.XLOOKUP($A456,'[1]DATOS PBI Artículos'!A:A,'[1]DATOS PBI Artículos'!AK:AK))</f>
        <v>0</v>
      </c>
      <c r="F456" s="35">
        <f>_xlfn.XLOOKUP($A456,'[1]DATOS PBI Artículos'!A:A,'[1]DATOS PBI Artículos'!AP:AP)</f>
        <v>0</v>
      </c>
      <c r="G456" s="34">
        <f>_xlfn.XLOOKUP($A456,'[1]DATOS PBI Artículos'!A:A,'[1]DATOS PBI Artículos'!AR:AR)</f>
        <v>0</v>
      </c>
      <c r="H456" s="34">
        <f>_xlfn.XLOOKUP($A456,'[1]DATOS PBI Artículos'!A:A,'[1]DATOS PBI Artículos'!AT:AT)</f>
        <v>0</v>
      </c>
      <c r="I456" s="34">
        <f>_xlfn.XLOOKUP($A456,'[1]DATOS PBI Artículos'!A:A,'[1]DATOS PBI Artículos'!AS:AS)</f>
        <v>0</v>
      </c>
      <c r="J456" s="35">
        <f>IF(COUNTIF([1]CRITERIOS!$F$179:$F$199,$A456)&gt;=1,
 IF(O456&lt;&gt;"",
    (O456/_xlfn.XLOOKUP(CONCATENATE(A456,L456),[1]MÁQUINAS!A:A,[1]MÁQUINAS!D:D))/24,
    (N456/_xlfn.XLOOKUP(CONCATENATE(A456,L456),[1]MÁQUINAS!A:A,[1]MÁQUINAS!D:D))/24),
  _xlfn.XLOOKUP($A456,'[1]DATOS PBI Artículos'!A:A,'[1]DATOS PBI Artículos'!AU:AU))</f>
        <v>0</v>
      </c>
      <c r="K456" s="36">
        <f>_xlfn.XLOOKUP($A456,'[1]DATOS PBI Artículos'!A:A,'[1]DATOS PBI Artículos'!AV:AV)</f>
        <v>0</v>
      </c>
      <c r="L456" s="33">
        <f>_xlfn.XLOOKUP(A456,[1]MÁQUINAS!B:B,[1]MÁQUINAS!C:C)</f>
        <v>0</v>
      </c>
      <c r="M456" s="34">
        <f t="array" ref="M456">_xlfn.XLOOKUP(A456,'[1]DATOS PBI Artículos'!A:A,'[1]DATOS PBI Artículos'!AX:$AX)</f>
        <v>0</v>
      </c>
      <c r="N456" s="37" t="e">
        <f>IF(I456="DV",
E456,
IF(COUNTIF([1]CRITERIOS!$I$179:$I$199,$A456)&gt;=1,
_xlfn.XLOOKUP($A456,[1]CRITERIOS!$I$179:$I$199,[1]CRITERIOS!$J$179:$J$199),
IF(COUNTIF([1]CRITERIOS!$L$179:$L$199,$A456)&gt;=1,
_xlfn.CEILING.MATH(IF($M456&gt;$E456,
$E456,
IF($M456&lt;$E456/ROUNDDOWN([1]CRITERIOS!$M$16/_xlfn.XLOOKUP($C456,[1]CRITERIOS!$K$25:$K$42,[1]CRITERIOS!$M$25:$M$42),
1),
E456/ROUNDDOWN([1]CRITERIOS!$M$16/_xlfn.XLOOKUP($C456,[1]CRITERIOS!$K$25:$K$42,[1]CRITERIOS!$M$25:$M$42),
1),
$M456)),
_xlfn.XLOOKUP($A456,[1]CRITERIOS!$L$179:$L$200,[1]CRITERIOS!$M$179:$M$200)),
_xlfn.CEILING.MATH(IF($M456&gt;$E456,
$E456,
IF($M456&lt;$E456/ROUNDDOWN([1]CRITERIOS!$M$16/_xlfn.XLOOKUP($C456,[1]CRITERIOS!$K$25:$K$42,[1]CRITERIOS!$M$25:$M$42),
1),
E456/ROUNDDOWN([1]CRITERIOS!$M$16/_xlfn.XLOOKUP($C456,[1]CRITERIOS!$K$25:$K$42,[1]CRITERIOS!$M$25:$M$42),
1),
$M456)),_xlfn.XLOOKUP(A456,'[1]DATOS PBI Artículos'!A:A,'[1]DATOS PBI Artículos'!Z:Z
)))))</f>
        <v>#N/A</v>
      </c>
      <c r="Q456" s="38" t="e">
        <f>IF(AND(O456="",N456=0),
0,
   IF(COUNTIF([1]CRITERIOS!$F$179:$F$199,$A456)&gt;=1,
   1,
   IF(R456="MTO",
      $D456,
      ROUNDUP(
                    IF(($E456-SUMIF('[1]DATOS PBI Artículos'!A:A,A456,'[1]DATOS PBI Artículos'!X:X)+($V456-_xlfn.XLOOKUP(A456,'[1]DATOS PBI Artículos'!A:A,'[1]DATOS PBI Artículos'!W:W)))&lt;0,
                    0,
                    IF(($E456-SUMIF('[1]DATOS PBI Artículos'!A:A,A456,'[1]DATOS PBI Artículos'!X:X)+$V456-_xlfn.XLOOKUP($A456,'[1]DATOS PBI Artículos'!A:A,'[1]DATOS PBI Artículos'!W:W))/IF($O456="",$N456,$O456)&gt;ROUNDUP([1]CRITERIOS!$M$16/(IF(COUNTIF([1]CRITERIOS!$BG$11:$BG$201,L456)&gt;=1,_xlfn.XLOOKUP($C456,[1]CRITERIOS!$K$25:$K$42,[1]CRITERIOS!$M$25:$M$42),_xlfn.XLOOKUP($C456,[1]CRITERIOS!$K$25:$K$42,[1]CRITERIOS!$M$25:$M$42))),0),
                    ROUNDUP([1]CRITERIOS!$M$16/(IF(COUNTIF([1]CRITERIOS!$BG$11:$BG$201,$L456)&gt;=1,_xlfn.XLOOKUP($C456,[1]CRITERIOS!$K$25:$K$42,[1]CRITERIOS!$M$25:$M$42),_xlfn.XLOOKUP($C456,[1]CRITERIOS!$K$25:$K$42,[1]CRITERIOS!$M$25:$M$42))),0),
                    (E456+V456-SUMIF('[1]DATOS PBI Artículos'!A:A,A456,'[1]DATOS PBI Artículos'!X:X)-_xlfn.XLOOKUP(A456,'[1]DATOS PBI Artículos'!A:A,'[1]DATOS PBI Artículos'!W:W))/IF($O456="",$N456,$O456))),0))))</f>
        <v>#N/A</v>
      </c>
      <c r="R456" s="33" t="e">
        <f>IF(U456&lt;&gt;"",U456,IF(F456="DV","MTO",IF(N456=0,"MTO",_xlfn.XLOOKUP(CONCATENATE(S456,T456),[1]CRITERIOS!$K$160:$K$168,[1]CRITERIOS!$N$160:$N$168))))</f>
        <v>#N/A</v>
      </c>
      <c r="S456" s="33" t="e">
        <f>IF(G456="DV","MTO",IF(N456=0,"MTO",IF(OR(AND(N456=0,O456=""),IF(O456="",G456/N456,G456/O456)&gt;[1]CRITERIOS!$G$163),"MTO",IF(IF(O456="",G456/N456,G456/O456)&lt;[1]CRITERIOS!$H$161,"MTS","MTOS"))))</f>
        <v>#N/A</v>
      </c>
      <c r="T456" s="33" t="e">
        <f>IF(F456="DV","MTO",IF(OR(AND($N456=0,O456=""),$F456/$J456&gt;[1]CRITERIOS!$G$170,$F456="DV"),"MTO",IF($F456/$J456&lt;[1]CRITERIOS!$H$168,"MTS","MTOS")))</f>
        <v>#N/A</v>
      </c>
      <c r="V456" s="34" t="e">
        <f t="shared" si="22"/>
        <v>#N/A</v>
      </c>
      <c r="X456" s="34" t="e">
        <f t="shared" si="23"/>
        <v>#N/A</v>
      </c>
      <c r="Y456" s="34" t="e">
        <f t="shared" si="24"/>
        <v>#N/A</v>
      </c>
      <c r="Z456" s="34" t="e">
        <f>IF($R456="MTO",
0,
($H456+$K456*($E456/[1]CRITERIOS!$M$16))/[1]CRITERIOS!$X$48)</f>
        <v>#N/A</v>
      </c>
      <c r="AA456" s="34" t="e">
        <f>ROUNDUP(($Y456/_xlfn.XLOOKUP($A456,'[1]DATOS PBI Artículos'!$A$4:$A$4,'[1]DATOS PBI Artículos'!$Z$4:$Z$4))/_xlfn.XLOOKUP(_xlfn.XLOOKUP($A456,'[1]DATOS PBI Artículos'!$A$4:$A$4,'[1]DATOS PBI Artículos'!$Y$4:$Y$4),[1]CRITERIOS!$P$79:$P$123,[1]CRITERIOS!$S$79:$S$123,),0)</f>
        <v>#N/A</v>
      </c>
      <c r="AB456" s="33" t="e">
        <f t="array" ref="AB456">IF((E456+V456-_xlfn.XLOOKUP(A456,'[1]DATOS PBI Artículos'!$A$4:$A$4,'[1]DATOS PBI Artículos'!$W$4:$W$4))/N456&gt;ROUNDUP([1]CRITERIOS!$M$16/(IF(COUNTIF([1]CRITERIOS!$BG$11:$BG$201,L456)&gt;=1,_xlfn.XLOOKUP(ARTÍCULOS!L456,[1]CRITERIOS!$BG$11:$BG$201,[1]CRITERIOS!$BJ$11:$BJ$201),_xlfn.XLOOKUP(ARTÍCULOS!C456,[1]CRITERIOS!$K$25:$K$42,[1]CRITERIOS!$M$25:$M$42))),0),ROUNDUP([1]CRITERIOS!$M$16/(IF(COUNTIF([1]CRITERIOS!$BG$11:$BG$201,L456)&gt;=1,_xlfn.XLOOKUP(ARTÍCULOS!L456,[1]CRITERIOS!$BG$11:$BG$201:#REF!,[1]CRITERIOS!$BJ$11:$BJ$201),_xlfn.XLOOKUP(ARTÍCULOS!C456,[1]CRITERIOS!$K$25:$K$42,[1]CRITERIOS!$M$25:$M$42))),0),(E456+V456-_xlfn.XLOOKUP(A456,'[1]DATOS PBI Artículos'!$A$4:$A$4,'[1]DATOS PBI Artículos'!$W$4:$W$4))/N456)</f>
        <v>#N/A</v>
      </c>
      <c r="AC456" s="33" t="e">
        <f>IF(N456=0,"",(ROUNDUP((N456/2)/(_xlfn.XLOOKUP(A456,'[1]DATOS PBI Artículos'!$A$4:$A$4,'[1]DATOS PBI Artículos'!$Z$4:$Z$4)*_xlfn.XLOOKUP(_xlfn.XLOOKUP(A456,'[1]DATOS PBI Artículos'!$A$4:$A$4,'[1]DATOS PBI Artículos'!$Y$4:$Y$4),[1]CRITERIOS!$P$79:$P$123,[1]CRITERIOS!$S$79:$S$123)),0)*[1]CRITERIOS!$M$80*([1]CRITERIOS!$M$110/[1]CRITERIOS!$M$86)+(_xlfn.XLOOKUP(A456,'[1]DATOS PBI Artículos'!$A$4:$A$4,'[1]DATOS PBI Artículos'!$AA$4:$AA$4)*([1]CRITERIOS!$M$95+[1]CRITERIOS!$M$98)))/N456)</f>
        <v>#N/A</v>
      </c>
      <c r="AD456" s="33" t="e">
        <f>IF(N456=0,"",(ROUNDUP((N456/2)/(_xlfn.XLOOKUP(A456,'[1]DATOS PBI Artículos'!$A$4:$A$4,'[1]DATOS PBI Artículos'!$Z$4:$Z$4)*_xlfn.XLOOKUP(_xlfn.XLOOKUP(A456,'[1]DATOS PBI Artículos'!$A$4:$A$4,'[1]DATOS PBI Artículos'!$Y$4:$Y$4),[1]CRITERIOS!$P$79:$P$123,[1]CRITERIOS!$S$79:$S$123)),0)*[1]CRITERIOS!$M$80*([1]CRITERIOS!$M$89*[1]CRITERIOS!$M$92)+((_xlfn.XLOOKUP(A456,'[1]DATOS PBI Artículos'!$A$4:$A$4,'[1]DATOS PBI Artículos'!$AA$4:$AA$4)/2)*([1]CRITERIOS!$M$95+[1]CRITERIOS!$M$98)))/N456)</f>
        <v>#N/A</v>
      </c>
      <c r="AE456" s="39" t="e">
        <f>IF($R456="MTO","",
IF($H456=0,ROUNDUP(((_xlfn.XLOOKUP($A456,'[1]DATOS PBI Artículos'!$A:$A,'[1]DATOS PBI Artículos'!$AL:$AL))/(_xlfn.XLOOKUP($AF$1,[1]CRITERIOS!$S$16:$S$39,[1]CRITERIOS!$Y$16:$Y$39))*$J456+$Z456)/$G456,0)*$G456,
((_xlfn.XLOOKUP($A456,'[1]DATOS PBI Artículos'!$A:$A,'[1]DATOS PBI Artículos'!$AL:$AL))/(_xlfn.XLOOKUP($AF$1,[1]CRITERIOS!$S$16:$S$39,[1]CRITERIOS!$Y$16:$Y$39))*$J456+$Z456)))</f>
        <v>#N/A</v>
      </c>
      <c r="AG456" s="39" t="e">
        <f>IF($R456="MTO","",
IF($H456=0,ROUNDUP(((_xlfn.XLOOKUP($A456,'[1]DATOS PBI Artículos'!$A:$A,'[1]DATOS PBI Artículos'!$AM:$AM))/(_xlfn.XLOOKUP($AH$1,[1]CRITERIOS!$S$16:$S$39,[1]CRITERIOS!$Y$16:$Y$39))*$J456+$Z456)/$G456,0)*$G456,
((_xlfn.XLOOKUP($A456,'[1]DATOS PBI Artículos'!$A:$A,'[1]DATOS PBI Artículos'!$AM:$AM))/(_xlfn.XLOOKUP($AH$1,[1]CRITERIOS!$S$16:$S$39,[1]CRITERIOS!$Y$16:$Y$39))*$J456+$Z456)))</f>
        <v>#N/A</v>
      </c>
      <c r="AI456" s="39" t="e">
        <f>IF($R456="MTO","",
IF($H456=0,ROUNDUP(((_xlfn.XLOOKUP($A456,'[1]DATOS PBI Artículos'!$A:$A,'[1]DATOS PBI Artículos'!$AN:$AN))/(_xlfn.XLOOKUP($AJ$1,[1]CRITERIOS!$S$16:$S$39,[1]CRITERIOS!$Y$16:$Y$39))*$J456+$Z456)/$G456,0)*$G456,
((_xlfn.XLOOKUP($A456,'[1]DATOS PBI Artículos'!$A:$A,'[1]DATOS PBI Artículos'!$AN:$AN))/(_xlfn.XLOOKUP($AJ$1,[1]CRITERIOS!$S$16:$S$39,[1]CRITERIOS!$Y$16:$Y$39))*$J456+$Z456)))</f>
        <v>#N/A</v>
      </c>
      <c r="AK456" s="39" t="e">
        <f>IF($R456="MTO","",
IF($H456=0,ROUNDUP(((_xlfn.XLOOKUP($A456,'[1]DATOS PBI Artículos'!$A:$A,'[1]DATOS PBI Artículos'!$AO:$AO))/(_xlfn.XLOOKUP($AL$1,[1]CRITERIOS!$S$16:$S$39,[1]CRITERIOS!$Y$16:$Y$39))*$J456+$Z456)/$G456,0)*$G456,
((_xlfn.XLOOKUP($A456,'[1]DATOS PBI Artículos'!$A:$A,'[1]DATOS PBI Artículos'!$AO:$AO))/(_xlfn.XLOOKUP($AL$1,[1]CRITERIOS!$S$16:$S$39,[1]CRITERIOS!$Y$16:$Y$39))*$J456+$Z456)))</f>
        <v>#N/A</v>
      </c>
    </row>
    <row r="457" spans="1:37" ht="25.8" hidden="1" x14ac:dyDescent="0.4">
      <c r="A457" s="41"/>
      <c r="B457" s="33">
        <f>_xlfn.XLOOKUP($A457,'[1]DATOS PBI Artículos'!A:A,'[1]DATOS PBI Artículos'!B:B)</f>
        <v>0</v>
      </c>
      <c r="C457" s="33">
        <f>_xlfn.XLOOKUP($A457,'[1]DATOS PBI Artículos'!A:A,'[1]DATOS PBI Artículos'!C:C)</f>
        <v>0</v>
      </c>
      <c r="D457" s="33">
        <f>_xlfn.XLOOKUP(A457,'[1]DATOS PBI Artículos'!A:A,'[1]DATOS PBI Artículos'!T:T)</f>
        <v>0</v>
      </c>
      <c r="E457" s="34">
        <f>IF(_xlfn.XLOOKUP($A457,'[1]DATOS PBI Artículos'!A:A,'[1]DATOS PBI Artículos'!AK:AK)="",_xlfn.XLOOKUP($A457,'[1]DATOS PBI Artículos'!A:A,'[1]DATOS PBI Artículos'!AJ:AJ),_xlfn.XLOOKUP($A457,'[1]DATOS PBI Artículos'!A:A,'[1]DATOS PBI Artículos'!AK:AK))</f>
        <v>0</v>
      </c>
      <c r="F457" s="35">
        <f>_xlfn.XLOOKUP($A457,'[1]DATOS PBI Artículos'!A:A,'[1]DATOS PBI Artículos'!AP:AP)</f>
        <v>0</v>
      </c>
      <c r="G457" s="34">
        <f>_xlfn.XLOOKUP($A457,'[1]DATOS PBI Artículos'!A:A,'[1]DATOS PBI Artículos'!AR:AR)</f>
        <v>0</v>
      </c>
      <c r="H457" s="34">
        <f>_xlfn.XLOOKUP($A457,'[1]DATOS PBI Artículos'!A:A,'[1]DATOS PBI Artículos'!AT:AT)</f>
        <v>0</v>
      </c>
      <c r="I457" s="34">
        <f>_xlfn.XLOOKUP($A457,'[1]DATOS PBI Artículos'!A:A,'[1]DATOS PBI Artículos'!AS:AS)</f>
        <v>0</v>
      </c>
      <c r="J457" s="35">
        <f>IF(COUNTIF([1]CRITERIOS!$F$179:$F$199,$A457)&gt;=1,
 IF(O457&lt;&gt;"",
    (O457/_xlfn.XLOOKUP(CONCATENATE(A457,L457),[1]MÁQUINAS!A:A,[1]MÁQUINAS!D:D))/24,
    (N457/_xlfn.XLOOKUP(CONCATENATE(A457,L457),[1]MÁQUINAS!A:A,[1]MÁQUINAS!D:D))/24),
  _xlfn.XLOOKUP($A457,'[1]DATOS PBI Artículos'!A:A,'[1]DATOS PBI Artículos'!AU:AU))</f>
        <v>0</v>
      </c>
      <c r="K457" s="36">
        <f>_xlfn.XLOOKUP($A457,'[1]DATOS PBI Artículos'!A:A,'[1]DATOS PBI Artículos'!AV:AV)</f>
        <v>0</v>
      </c>
      <c r="L457" s="33">
        <f>_xlfn.XLOOKUP(A457,[1]MÁQUINAS!B:B,[1]MÁQUINAS!C:C)</f>
        <v>0</v>
      </c>
      <c r="M457" s="34">
        <f t="array" ref="M457">_xlfn.XLOOKUP(A457,'[1]DATOS PBI Artículos'!A:A,'[1]DATOS PBI Artículos'!AX:$AX)</f>
        <v>0</v>
      </c>
      <c r="N457" s="37" t="e">
        <f>IF(I457="DV",
E457,
IF(COUNTIF([1]CRITERIOS!$I$179:$I$199,$A457)&gt;=1,
_xlfn.XLOOKUP($A457,[1]CRITERIOS!$I$179:$I$199,[1]CRITERIOS!$J$179:$J$199),
IF(COUNTIF([1]CRITERIOS!$L$179:$L$199,$A457)&gt;=1,
_xlfn.CEILING.MATH(IF($M457&gt;$E457,
$E457,
IF($M457&lt;$E457/ROUNDDOWN([1]CRITERIOS!$M$16/_xlfn.XLOOKUP($C457,[1]CRITERIOS!$K$25:$K$42,[1]CRITERIOS!$M$25:$M$42),
1),
E457/ROUNDDOWN([1]CRITERIOS!$M$16/_xlfn.XLOOKUP($C457,[1]CRITERIOS!$K$25:$K$42,[1]CRITERIOS!$M$25:$M$42),
1),
$M457)),
_xlfn.XLOOKUP($A457,[1]CRITERIOS!$L$179:$L$200,[1]CRITERIOS!$M$179:$M$200)),
_xlfn.CEILING.MATH(IF($M457&gt;$E457,
$E457,
IF($M457&lt;$E457/ROUNDDOWN([1]CRITERIOS!$M$16/_xlfn.XLOOKUP($C457,[1]CRITERIOS!$K$25:$K$42,[1]CRITERIOS!$M$25:$M$42),
1),
E457/ROUNDDOWN([1]CRITERIOS!$M$16/_xlfn.XLOOKUP($C457,[1]CRITERIOS!$K$25:$K$42,[1]CRITERIOS!$M$25:$M$42),
1),
$M457)),_xlfn.XLOOKUP(A457,'[1]DATOS PBI Artículos'!A:A,'[1]DATOS PBI Artículos'!Z:Z
)))))</f>
        <v>#N/A</v>
      </c>
      <c r="Q457" s="38" t="e">
        <f>IF(AND(O457="",N457=0),
0,
   IF(COUNTIF([1]CRITERIOS!$F$179:$F$199,$A457)&gt;=1,
   1,
   IF(R457="MTO",
      $D457,
      ROUNDUP(
                    IF(($E457-SUMIF('[1]DATOS PBI Artículos'!A:A,A457,'[1]DATOS PBI Artículos'!X:X)+($V457-_xlfn.XLOOKUP(A457,'[1]DATOS PBI Artículos'!A:A,'[1]DATOS PBI Artículos'!W:W)))&lt;0,
                    0,
                    IF(($E457-SUMIF('[1]DATOS PBI Artículos'!A:A,A457,'[1]DATOS PBI Artículos'!X:X)+$V457-_xlfn.XLOOKUP($A457,'[1]DATOS PBI Artículos'!A:A,'[1]DATOS PBI Artículos'!W:W))/IF($O457="",$N457,$O457)&gt;ROUNDUP([1]CRITERIOS!$M$16/(IF(COUNTIF([1]CRITERIOS!$BG$11:$BG$201,L457)&gt;=1,_xlfn.XLOOKUP($C457,[1]CRITERIOS!$K$25:$K$42,[1]CRITERIOS!$M$25:$M$42),_xlfn.XLOOKUP($C457,[1]CRITERIOS!$K$25:$K$42,[1]CRITERIOS!$M$25:$M$42))),0),
                    ROUNDUP([1]CRITERIOS!$M$16/(IF(COUNTIF([1]CRITERIOS!$BG$11:$BG$201,$L457)&gt;=1,_xlfn.XLOOKUP($C457,[1]CRITERIOS!$K$25:$K$42,[1]CRITERIOS!$M$25:$M$42),_xlfn.XLOOKUP($C457,[1]CRITERIOS!$K$25:$K$42,[1]CRITERIOS!$M$25:$M$42))),0),
                    (E457+V457-SUMIF('[1]DATOS PBI Artículos'!A:A,A457,'[1]DATOS PBI Artículos'!X:X)-_xlfn.XLOOKUP(A457,'[1]DATOS PBI Artículos'!A:A,'[1]DATOS PBI Artículos'!W:W))/IF($O457="",$N457,$O457))),0))))</f>
        <v>#N/A</v>
      </c>
      <c r="R457" s="33" t="e">
        <f>IF(U457&lt;&gt;"",U457,IF(F457="DV","MTO",IF(N457=0,"MTO",_xlfn.XLOOKUP(CONCATENATE(S457,T457),[1]CRITERIOS!$K$160:$K$168,[1]CRITERIOS!$N$160:$N$168))))</f>
        <v>#N/A</v>
      </c>
      <c r="S457" s="33" t="e">
        <f>IF(G457="DV","MTO",IF(N457=0,"MTO",IF(OR(AND(N457=0,O457=""),IF(O457="",G457/N457,G457/O457)&gt;[1]CRITERIOS!$G$163),"MTO",IF(IF(O457="",G457/N457,G457/O457)&lt;[1]CRITERIOS!$H$161,"MTS","MTOS"))))</f>
        <v>#N/A</v>
      </c>
      <c r="T457" s="33" t="e">
        <f>IF(F457="DV","MTO",IF(OR(AND($N457=0,O457=""),$F457/$J457&gt;[1]CRITERIOS!$G$170,$F457="DV"),"MTO",IF($F457/$J457&lt;[1]CRITERIOS!$H$168,"MTS","MTOS")))</f>
        <v>#N/A</v>
      </c>
      <c r="V457" s="34" t="e">
        <f t="shared" si="22"/>
        <v>#N/A</v>
      </c>
      <c r="X457" s="34" t="e">
        <f t="shared" si="23"/>
        <v>#N/A</v>
      </c>
      <c r="Y457" s="34" t="e">
        <f t="shared" si="24"/>
        <v>#N/A</v>
      </c>
      <c r="Z457" s="34" t="e">
        <f>IF($R457="MTO",
0,
($H457+$K457*($E457/[1]CRITERIOS!$M$16))/[1]CRITERIOS!$X$48)</f>
        <v>#N/A</v>
      </c>
      <c r="AA457" s="34" t="e">
        <f>ROUNDUP(($Y457/_xlfn.XLOOKUP($A457,'[1]DATOS PBI Artículos'!$A$4:$A$4,'[1]DATOS PBI Artículos'!$Z$4:$Z$4))/_xlfn.XLOOKUP(_xlfn.XLOOKUP($A457,'[1]DATOS PBI Artículos'!$A$4:$A$4,'[1]DATOS PBI Artículos'!$Y$4:$Y$4),[1]CRITERIOS!$P$79:$P$123,[1]CRITERIOS!$S$79:$S$123,),0)</f>
        <v>#N/A</v>
      </c>
      <c r="AB457" s="33" t="e">
        <f t="array" ref="AB457">IF((E457+V457-_xlfn.XLOOKUP(A457,'[1]DATOS PBI Artículos'!$A$4:$A$4,'[1]DATOS PBI Artículos'!$W$4:$W$4))/N457&gt;ROUNDUP([1]CRITERIOS!$M$16/(IF(COUNTIF([1]CRITERIOS!$BG$11:$BG$201,L457)&gt;=1,_xlfn.XLOOKUP(ARTÍCULOS!L457,[1]CRITERIOS!$BG$11:$BG$201,[1]CRITERIOS!$BJ$11:$BJ$201),_xlfn.XLOOKUP(ARTÍCULOS!C457,[1]CRITERIOS!$K$25:$K$42,[1]CRITERIOS!$M$25:$M$42))),0),ROUNDUP([1]CRITERIOS!$M$16/(IF(COUNTIF([1]CRITERIOS!$BG$11:$BG$201,L457)&gt;=1,_xlfn.XLOOKUP(ARTÍCULOS!L457,[1]CRITERIOS!$BG$11:$BG$201:#REF!,[1]CRITERIOS!$BJ$11:$BJ$201),_xlfn.XLOOKUP(ARTÍCULOS!C457,[1]CRITERIOS!$K$25:$K$42,[1]CRITERIOS!$M$25:$M$42))),0),(E457+V457-_xlfn.XLOOKUP(A457,'[1]DATOS PBI Artículos'!$A$4:$A$4,'[1]DATOS PBI Artículos'!$W$4:$W$4))/N457)</f>
        <v>#N/A</v>
      </c>
      <c r="AC457" s="33" t="e">
        <f>IF(N457=0,"",(ROUNDUP((N457/2)/(_xlfn.XLOOKUP(A457,'[1]DATOS PBI Artículos'!$A$4:$A$4,'[1]DATOS PBI Artículos'!$Z$4:$Z$4)*_xlfn.XLOOKUP(_xlfn.XLOOKUP(A457,'[1]DATOS PBI Artículos'!$A$4:$A$4,'[1]DATOS PBI Artículos'!$Y$4:$Y$4),[1]CRITERIOS!$P$79:$P$123,[1]CRITERIOS!$S$79:$S$123)),0)*[1]CRITERIOS!$M$80*([1]CRITERIOS!$M$110/[1]CRITERIOS!$M$86)+(_xlfn.XLOOKUP(A457,'[1]DATOS PBI Artículos'!$A$4:$A$4,'[1]DATOS PBI Artículos'!$AA$4:$AA$4)*([1]CRITERIOS!$M$95+[1]CRITERIOS!$M$98)))/N457)</f>
        <v>#N/A</v>
      </c>
      <c r="AD457" s="33" t="e">
        <f>IF(N457=0,"",(ROUNDUP((N457/2)/(_xlfn.XLOOKUP(A457,'[1]DATOS PBI Artículos'!$A$4:$A$4,'[1]DATOS PBI Artículos'!$Z$4:$Z$4)*_xlfn.XLOOKUP(_xlfn.XLOOKUP(A457,'[1]DATOS PBI Artículos'!$A$4:$A$4,'[1]DATOS PBI Artículos'!$Y$4:$Y$4),[1]CRITERIOS!$P$79:$P$123,[1]CRITERIOS!$S$79:$S$123)),0)*[1]CRITERIOS!$M$80*([1]CRITERIOS!$M$89*[1]CRITERIOS!$M$92)+((_xlfn.XLOOKUP(A457,'[1]DATOS PBI Artículos'!$A$4:$A$4,'[1]DATOS PBI Artículos'!$AA$4:$AA$4)/2)*([1]CRITERIOS!$M$95+[1]CRITERIOS!$M$98)))/N457)</f>
        <v>#N/A</v>
      </c>
      <c r="AE457" s="39" t="e">
        <f>IF($R457="MTO","",
IF($H457=0,ROUNDUP(((_xlfn.XLOOKUP($A457,'[1]DATOS PBI Artículos'!$A:$A,'[1]DATOS PBI Artículos'!$AL:$AL))/(_xlfn.XLOOKUP($AF$1,[1]CRITERIOS!$S$16:$S$39,[1]CRITERIOS!$Y$16:$Y$39))*$J457+$Z457)/$G457,0)*$G457,
((_xlfn.XLOOKUP($A457,'[1]DATOS PBI Artículos'!$A:$A,'[1]DATOS PBI Artículos'!$AL:$AL))/(_xlfn.XLOOKUP($AF$1,[1]CRITERIOS!$S$16:$S$39,[1]CRITERIOS!$Y$16:$Y$39))*$J457+$Z457)))</f>
        <v>#N/A</v>
      </c>
      <c r="AG457" s="39" t="e">
        <f>IF($R457="MTO","",
IF($H457=0,ROUNDUP(((_xlfn.XLOOKUP($A457,'[1]DATOS PBI Artículos'!$A:$A,'[1]DATOS PBI Artículos'!$AM:$AM))/(_xlfn.XLOOKUP($AH$1,[1]CRITERIOS!$S$16:$S$39,[1]CRITERIOS!$Y$16:$Y$39))*$J457+$Z457)/$G457,0)*$G457,
((_xlfn.XLOOKUP($A457,'[1]DATOS PBI Artículos'!$A:$A,'[1]DATOS PBI Artículos'!$AM:$AM))/(_xlfn.XLOOKUP($AH$1,[1]CRITERIOS!$S$16:$S$39,[1]CRITERIOS!$Y$16:$Y$39))*$J457+$Z457)))</f>
        <v>#N/A</v>
      </c>
      <c r="AI457" s="39" t="e">
        <f>IF($R457="MTO","",
IF($H457=0,ROUNDUP(((_xlfn.XLOOKUP($A457,'[1]DATOS PBI Artículos'!$A:$A,'[1]DATOS PBI Artículos'!$AN:$AN))/(_xlfn.XLOOKUP($AJ$1,[1]CRITERIOS!$S$16:$S$39,[1]CRITERIOS!$Y$16:$Y$39))*$J457+$Z457)/$G457,0)*$G457,
((_xlfn.XLOOKUP($A457,'[1]DATOS PBI Artículos'!$A:$A,'[1]DATOS PBI Artículos'!$AN:$AN))/(_xlfn.XLOOKUP($AJ$1,[1]CRITERIOS!$S$16:$S$39,[1]CRITERIOS!$Y$16:$Y$39))*$J457+$Z457)))</f>
        <v>#N/A</v>
      </c>
      <c r="AK457" s="39" t="e">
        <f>IF($R457="MTO","",
IF($H457=0,ROUNDUP(((_xlfn.XLOOKUP($A457,'[1]DATOS PBI Artículos'!$A:$A,'[1]DATOS PBI Artículos'!$AO:$AO))/(_xlfn.XLOOKUP($AL$1,[1]CRITERIOS!$S$16:$S$39,[1]CRITERIOS!$Y$16:$Y$39))*$J457+$Z457)/$G457,0)*$G457,
((_xlfn.XLOOKUP($A457,'[1]DATOS PBI Artículos'!$A:$A,'[1]DATOS PBI Artículos'!$AO:$AO))/(_xlfn.XLOOKUP($AL$1,[1]CRITERIOS!$S$16:$S$39,[1]CRITERIOS!$Y$16:$Y$39))*$J457+$Z457)))</f>
        <v>#N/A</v>
      </c>
    </row>
    <row r="458" spans="1:37" ht="25.8" hidden="1" x14ac:dyDescent="0.4">
      <c r="A458" s="41"/>
      <c r="B458" s="33">
        <f>_xlfn.XLOOKUP($A458,'[1]DATOS PBI Artículos'!A:A,'[1]DATOS PBI Artículos'!B:B)</f>
        <v>0</v>
      </c>
      <c r="C458" s="33">
        <f>_xlfn.XLOOKUP($A458,'[1]DATOS PBI Artículos'!A:A,'[1]DATOS PBI Artículos'!C:C)</f>
        <v>0</v>
      </c>
      <c r="D458" s="33">
        <f>_xlfn.XLOOKUP(A458,'[1]DATOS PBI Artículos'!A:A,'[1]DATOS PBI Artículos'!T:T)</f>
        <v>0</v>
      </c>
      <c r="E458" s="34">
        <f>IF(_xlfn.XLOOKUP($A458,'[1]DATOS PBI Artículos'!A:A,'[1]DATOS PBI Artículos'!AK:AK)="",_xlfn.XLOOKUP($A458,'[1]DATOS PBI Artículos'!A:A,'[1]DATOS PBI Artículos'!AJ:AJ),_xlfn.XLOOKUP($A458,'[1]DATOS PBI Artículos'!A:A,'[1]DATOS PBI Artículos'!AK:AK))</f>
        <v>0</v>
      </c>
      <c r="F458" s="35">
        <f>_xlfn.XLOOKUP($A458,'[1]DATOS PBI Artículos'!A:A,'[1]DATOS PBI Artículos'!AP:AP)</f>
        <v>0</v>
      </c>
      <c r="G458" s="34">
        <f>_xlfn.XLOOKUP($A458,'[1]DATOS PBI Artículos'!A:A,'[1]DATOS PBI Artículos'!AR:AR)</f>
        <v>0</v>
      </c>
      <c r="H458" s="34">
        <f>_xlfn.XLOOKUP($A458,'[1]DATOS PBI Artículos'!A:A,'[1]DATOS PBI Artículos'!AT:AT)</f>
        <v>0</v>
      </c>
      <c r="I458" s="34">
        <f>_xlfn.XLOOKUP($A458,'[1]DATOS PBI Artículos'!A:A,'[1]DATOS PBI Artículos'!AS:AS)</f>
        <v>0</v>
      </c>
      <c r="J458" s="35">
        <f>IF(COUNTIF([1]CRITERIOS!$F$179:$F$199,$A458)&gt;=1,
 IF(O458&lt;&gt;"",
    (O458/_xlfn.XLOOKUP(CONCATENATE(A458,L458),[1]MÁQUINAS!A:A,[1]MÁQUINAS!D:D))/24,
    (N458/_xlfn.XLOOKUP(CONCATENATE(A458,L458),[1]MÁQUINAS!A:A,[1]MÁQUINAS!D:D))/24),
  _xlfn.XLOOKUP($A458,'[1]DATOS PBI Artículos'!A:A,'[1]DATOS PBI Artículos'!AU:AU))</f>
        <v>0</v>
      </c>
      <c r="K458" s="36">
        <f>_xlfn.XLOOKUP($A458,'[1]DATOS PBI Artículos'!A:A,'[1]DATOS PBI Artículos'!AV:AV)</f>
        <v>0</v>
      </c>
      <c r="L458" s="33">
        <f>_xlfn.XLOOKUP(A458,[1]MÁQUINAS!B:B,[1]MÁQUINAS!C:C)</f>
        <v>0</v>
      </c>
      <c r="M458" s="34">
        <f t="array" ref="M458">_xlfn.XLOOKUP(A458,'[1]DATOS PBI Artículos'!A:A,'[1]DATOS PBI Artículos'!AX:$AX)</f>
        <v>0</v>
      </c>
      <c r="N458" s="37" t="e">
        <f>IF(I458="DV",
E458,
IF(COUNTIF([1]CRITERIOS!$I$179:$I$199,$A458)&gt;=1,
_xlfn.XLOOKUP($A458,[1]CRITERIOS!$I$179:$I$199,[1]CRITERIOS!$J$179:$J$199),
IF(COUNTIF([1]CRITERIOS!$L$179:$L$199,$A458)&gt;=1,
_xlfn.CEILING.MATH(IF($M458&gt;$E458,
$E458,
IF($M458&lt;$E458/ROUNDDOWN([1]CRITERIOS!$M$16/_xlfn.XLOOKUP($C458,[1]CRITERIOS!$K$25:$K$42,[1]CRITERIOS!$M$25:$M$42),
1),
E458/ROUNDDOWN([1]CRITERIOS!$M$16/_xlfn.XLOOKUP($C458,[1]CRITERIOS!$K$25:$K$42,[1]CRITERIOS!$M$25:$M$42),
1),
$M458)),
_xlfn.XLOOKUP($A458,[1]CRITERIOS!$L$179:$L$200,[1]CRITERIOS!$M$179:$M$200)),
_xlfn.CEILING.MATH(IF($M458&gt;$E458,
$E458,
IF($M458&lt;$E458/ROUNDDOWN([1]CRITERIOS!$M$16/_xlfn.XLOOKUP($C458,[1]CRITERIOS!$K$25:$K$42,[1]CRITERIOS!$M$25:$M$42),
1),
E458/ROUNDDOWN([1]CRITERIOS!$M$16/_xlfn.XLOOKUP($C458,[1]CRITERIOS!$K$25:$K$42,[1]CRITERIOS!$M$25:$M$42),
1),
$M458)),_xlfn.XLOOKUP(A458,'[1]DATOS PBI Artículos'!A:A,'[1]DATOS PBI Artículos'!Z:Z
)))))</f>
        <v>#N/A</v>
      </c>
      <c r="Q458" s="38" t="e">
        <f>IF(AND(O458="",N458=0),
0,
   IF(COUNTIF([1]CRITERIOS!$F$179:$F$199,$A458)&gt;=1,
   1,
   IF(R458="MTO",
      $D458,
      ROUNDUP(
                    IF(($E458-SUMIF('[1]DATOS PBI Artículos'!A:A,A458,'[1]DATOS PBI Artículos'!X:X)+($V458-_xlfn.XLOOKUP(A458,'[1]DATOS PBI Artículos'!A:A,'[1]DATOS PBI Artículos'!W:W)))&lt;0,
                    0,
                    IF(($E458-SUMIF('[1]DATOS PBI Artículos'!A:A,A458,'[1]DATOS PBI Artículos'!X:X)+$V458-_xlfn.XLOOKUP($A458,'[1]DATOS PBI Artículos'!A:A,'[1]DATOS PBI Artículos'!W:W))/IF($O458="",$N458,$O458)&gt;ROUNDUP([1]CRITERIOS!$M$16/(IF(COUNTIF([1]CRITERIOS!$BG$11:$BG$201,L458)&gt;=1,_xlfn.XLOOKUP($C458,[1]CRITERIOS!$K$25:$K$42,[1]CRITERIOS!$M$25:$M$42),_xlfn.XLOOKUP($C458,[1]CRITERIOS!$K$25:$K$42,[1]CRITERIOS!$M$25:$M$42))),0),
                    ROUNDUP([1]CRITERIOS!$M$16/(IF(COUNTIF([1]CRITERIOS!$BG$11:$BG$201,$L458)&gt;=1,_xlfn.XLOOKUP($C458,[1]CRITERIOS!$K$25:$K$42,[1]CRITERIOS!$M$25:$M$42),_xlfn.XLOOKUP($C458,[1]CRITERIOS!$K$25:$K$42,[1]CRITERIOS!$M$25:$M$42))),0),
                    (E458+V458-SUMIF('[1]DATOS PBI Artículos'!A:A,A458,'[1]DATOS PBI Artículos'!X:X)-_xlfn.XLOOKUP(A458,'[1]DATOS PBI Artículos'!A:A,'[1]DATOS PBI Artículos'!W:W))/IF($O458="",$N458,$O458))),0))))</f>
        <v>#N/A</v>
      </c>
      <c r="R458" s="33" t="e">
        <f>IF(U458&lt;&gt;"",U458,IF(F458="DV","MTO",IF(N458=0,"MTO",_xlfn.XLOOKUP(CONCATENATE(S458,T458),[1]CRITERIOS!$K$160:$K$168,[1]CRITERIOS!$N$160:$N$168))))</f>
        <v>#N/A</v>
      </c>
      <c r="S458" s="33" t="e">
        <f>IF(G458="DV","MTO",IF(N458=0,"MTO",IF(OR(AND(N458=0,O458=""),IF(O458="",G458/N458,G458/O458)&gt;[1]CRITERIOS!$G$163),"MTO",IF(IF(O458="",G458/N458,G458/O458)&lt;[1]CRITERIOS!$H$161,"MTS","MTOS"))))</f>
        <v>#N/A</v>
      </c>
      <c r="T458" s="33" t="e">
        <f>IF(F458="DV","MTO",IF(OR(AND($N458=0,O458=""),$F458/$J458&gt;[1]CRITERIOS!$G$170,$F458="DV"),"MTO",IF($F458/$J458&lt;[1]CRITERIOS!$H$168,"MTS","MTOS")))</f>
        <v>#N/A</v>
      </c>
      <c r="V458" s="34" t="e">
        <f t="shared" si="22"/>
        <v>#N/A</v>
      </c>
      <c r="X458" s="34" t="e">
        <f t="shared" si="23"/>
        <v>#N/A</v>
      </c>
      <c r="Y458" s="34" t="e">
        <f t="shared" si="24"/>
        <v>#N/A</v>
      </c>
      <c r="Z458" s="34" t="e">
        <f>IF($R458="MTO",
0,
($H458+$K458*($E458/[1]CRITERIOS!$M$16))/[1]CRITERIOS!$X$48)</f>
        <v>#N/A</v>
      </c>
      <c r="AA458" s="34" t="e">
        <f>ROUNDUP(($Y458/_xlfn.XLOOKUP($A458,'[1]DATOS PBI Artículos'!$A$4:$A$4,'[1]DATOS PBI Artículos'!$Z$4:$Z$4))/_xlfn.XLOOKUP(_xlfn.XLOOKUP($A458,'[1]DATOS PBI Artículos'!$A$4:$A$4,'[1]DATOS PBI Artículos'!$Y$4:$Y$4),[1]CRITERIOS!$P$79:$P$123,[1]CRITERIOS!$S$79:$S$123,),0)</f>
        <v>#N/A</v>
      </c>
      <c r="AB458" s="33" t="e">
        <f t="array" ref="AB458">IF((E458+V458-_xlfn.XLOOKUP(A458,'[1]DATOS PBI Artículos'!$A$4:$A$4,'[1]DATOS PBI Artículos'!$W$4:$W$4))/N458&gt;ROUNDUP([1]CRITERIOS!$M$16/(IF(COUNTIF([1]CRITERIOS!$BG$11:$BG$201,L458)&gt;=1,_xlfn.XLOOKUP(ARTÍCULOS!L458,[1]CRITERIOS!$BG$11:$BG$201,[1]CRITERIOS!$BJ$11:$BJ$201),_xlfn.XLOOKUP(ARTÍCULOS!C458,[1]CRITERIOS!$K$25:$K$42,[1]CRITERIOS!$M$25:$M$42))),0),ROUNDUP([1]CRITERIOS!$M$16/(IF(COUNTIF([1]CRITERIOS!$BG$11:$BG$201,L458)&gt;=1,_xlfn.XLOOKUP(ARTÍCULOS!L458,[1]CRITERIOS!$BG$11:$BG$201:#REF!,[1]CRITERIOS!$BJ$11:$BJ$201),_xlfn.XLOOKUP(ARTÍCULOS!C458,[1]CRITERIOS!$K$25:$K$42,[1]CRITERIOS!$M$25:$M$42))),0),(E458+V458-_xlfn.XLOOKUP(A458,'[1]DATOS PBI Artículos'!$A$4:$A$4,'[1]DATOS PBI Artículos'!$W$4:$W$4))/N458)</f>
        <v>#N/A</v>
      </c>
      <c r="AC458" s="33" t="e">
        <f>IF(N458=0,"",(ROUNDUP((N458/2)/(_xlfn.XLOOKUP(A458,'[1]DATOS PBI Artículos'!$A$4:$A$4,'[1]DATOS PBI Artículos'!$Z$4:$Z$4)*_xlfn.XLOOKUP(_xlfn.XLOOKUP(A458,'[1]DATOS PBI Artículos'!$A$4:$A$4,'[1]DATOS PBI Artículos'!$Y$4:$Y$4),[1]CRITERIOS!$P$79:$P$123,[1]CRITERIOS!$S$79:$S$123)),0)*[1]CRITERIOS!$M$80*([1]CRITERIOS!$M$110/[1]CRITERIOS!$M$86)+(_xlfn.XLOOKUP(A458,'[1]DATOS PBI Artículos'!$A$4:$A$4,'[1]DATOS PBI Artículos'!$AA$4:$AA$4)*([1]CRITERIOS!$M$95+[1]CRITERIOS!$M$98)))/N458)</f>
        <v>#N/A</v>
      </c>
      <c r="AD458" s="33" t="e">
        <f>IF(N458=0,"",(ROUNDUP((N458/2)/(_xlfn.XLOOKUP(A458,'[1]DATOS PBI Artículos'!$A$4:$A$4,'[1]DATOS PBI Artículos'!$Z$4:$Z$4)*_xlfn.XLOOKUP(_xlfn.XLOOKUP(A458,'[1]DATOS PBI Artículos'!$A$4:$A$4,'[1]DATOS PBI Artículos'!$Y$4:$Y$4),[1]CRITERIOS!$P$79:$P$123,[1]CRITERIOS!$S$79:$S$123)),0)*[1]CRITERIOS!$M$80*([1]CRITERIOS!$M$89*[1]CRITERIOS!$M$92)+((_xlfn.XLOOKUP(A458,'[1]DATOS PBI Artículos'!$A$4:$A$4,'[1]DATOS PBI Artículos'!$AA$4:$AA$4)/2)*([1]CRITERIOS!$M$95+[1]CRITERIOS!$M$98)))/N458)</f>
        <v>#N/A</v>
      </c>
      <c r="AE458" s="39" t="e">
        <f>IF($R458="MTO","",
IF($H458=0,ROUNDUP(((_xlfn.XLOOKUP($A458,'[1]DATOS PBI Artículos'!$A:$A,'[1]DATOS PBI Artículos'!$AL:$AL))/(_xlfn.XLOOKUP($AF$1,[1]CRITERIOS!$S$16:$S$39,[1]CRITERIOS!$Y$16:$Y$39))*$J458+$Z458)/$G458,0)*$G458,
((_xlfn.XLOOKUP($A458,'[1]DATOS PBI Artículos'!$A:$A,'[1]DATOS PBI Artículos'!$AL:$AL))/(_xlfn.XLOOKUP($AF$1,[1]CRITERIOS!$S$16:$S$39,[1]CRITERIOS!$Y$16:$Y$39))*$J458+$Z458)))</f>
        <v>#N/A</v>
      </c>
      <c r="AG458" s="39" t="e">
        <f>IF($R458="MTO","",
IF($H458=0,ROUNDUP(((_xlfn.XLOOKUP($A458,'[1]DATOS PBI Artículos'!$A:$A,'[1]DATOS PBI Artículos'!$AM:$AM))/(_xlfn.XLOOKUP($AH$1,[1]CRITERIOS!$S$16:$S$39,[1]CRITERIOS!$Y$16:$Y$39))*$J458+$Z458)/$G458,0)*$G458,
((_xlfn.XLOOKUP($A458,'[1]DATOS PBI Artículos'!$A:$A,'[1]DATOS PBI Artículos'!$AM:$AM))/(_xlfn.XLOOKUP($AH$1,[1]CRITERIOS!$S$16:$S$39,[1]CRITERIOS!$Y$16:$Y$39))*$J458+$Z458)))</f>
        <v>#N/A</v>
      </c>
      <c r="AI458" s="39" t="e">
        <f>IF($R458="MTO","",
IF($H458=0,ROUNDUP(((_xlfn.XLOOKUP($A458,'[1]DATOS PBI Artículos'!$A:$A,'[1]DATOS PBI Artículos'!$AN:$AN))/(_xlfn.XLOOKUP($AJ$1,[1]CRITERIOS!$S$16:$S$39,[1]CRITERIOS!$Y$16:$Y$39))*$J458+$Z458)/$G458,0)*$G458,
((_xlfn.XLOOKUP($A458,'[1]DATOS PBI Artículos'!$A:$A,'[1]DATOS PBI Artículos'!$AN:$AN))/(_xlfn.XLOOKUP($AJ$1,[1]CRITERIOS!$S$16:$S$39,[1]CRITERIOS!$Y$16:$Y$39))*$J458+$Z458)))</f>
        <v>#N/A</v>
      </c>
      <c r="AK458" s="39" t="e">
        <f>IF($R458="MTO","",
IF($H458=0,ROUNDUP(((_xlfn.XLOOKUP($A458,'[1]DATOS PBI Artículos'!$A:$A,'[1]DATOS PBI Artículos'!$AO:$AO))/(_xlfn.XLOOKUP($AL$1,[1]CRITERIOS!$S$16:$S$39,[1]CRITERIOS!$Y$16:$Y$39))*$J458+$Z458)/$G458,0)*$G458,
((_xlfn.XLOOKUP($A458,'[1]DATOS PBI Artículos'!$A:$A,'[1]DATOS PBI Artículos'!$AO:$AO))/(_xlfn.XLOOKUP($AL$1,[1]CRITERIOS!$S$16:$S$39,[1]CRITERIOS!$Y$16:$Y$39))*$J458+$Z458)))</f>
        <v>#N/A</v>
      </c>
    </row>
    <row r="459" spans="1:37" ht="25.8" hidden="1" x14ac:dyDescent="0.4">
      <c r="A459" s="41"/>
      <c r="B459" s="33">
        <f>_xlfn.XLOOKUP($A459,'[1]DATOS PBI Artículos'!A:A,'[1]DATOS PBI Artículos'!B:B)</f>
        <v>0</v>
      </c>
      <c r="C459" s="33">
        <f>_xlfn.XLOOKUP($A459,'[1]DATOS PBI Artículos'!A:A,'[1]DATOS PBI Artículos'!C:C)</f>
        <v>0</v>
      </c>
      <c r="D459" s="33">
        <f>_xlfn.XLOOKUP(A459,'[1]DATOS PBI Artículos'!A:A,'[1]DATOS PBI Artículos'!T:T)</f>
        <v>0</v>
      </c>
      <c r="E459" s="34">
        <f>IF(_xlfn.XLOOKUP($A459,'[1]DATOS PBI Artículos'!A:A,'[1]DATOS PBI Artículos'!AK:AK)="",_xlfn.XLOOKUP($A459,'[1]DATOS PBI Artículos'!A:A,'[1]DATOS PBI Artículos'!AJ:AJ),_xlfn.XLOOKUP($A459,'[1]DATOS PBI Artículos'!A:A,'[1]DATOS PBI Artículos'!AK:AK))</f>
        <v>0</v>
      </c>
      <c r="F459" s="35">
        <f>_xlfn.XLOOKUP($A459,'[1]DATOS PBI Artículos'!A:A,'[1]DATOS PBI Artículos'!AP:AP)</f>
        <v>0</v>
      </c>
      <c r="G459" s="34">
        <f>_xlfn.XLOOKUP($A459,'[1]DATOS PBI Artículos'!A:A,'[1]DATOS PBI Artículos'!AR:AR)</f>
        <v>0</v>
      </c>
      <c r="H459" s="34">
        <f>_xlfn.XLOOKUP($A459,'[1]DATOS PBI Artículos'!A:A,'[1]DATOS PBI Artículos'!AT:AT)</f>
        <v>0</v>
      </c>
      <c r="I459" s="34">
        <f>_xlfn.XLOOKUP($A459,'[1]DATOS PBI Artículos'!A:A,'[1]DATOS PBI Artículos'!AS:AS)</f>
        <v>0</v>
      </c>
      <c r="J459" s="35">
        <f>IF(COUNTIF([1]CRITERIOS!$F$179:$F$199,$A459)&gt;=1,
 IF(O459&lt;&gt;"",
    (O459/_xlfn.XLOOKUP(CONCATENATE(A459,L459),[1]MÁQUINAS!A:A,[1]MÁQUINAS!D:D))/24,
    (N459/_xlfn.XLOOKUP(CONCATENATE(A459,L459),[1]MÁQUINAS!A:A,[1]MÁQUINAS!D:D))/24),
  _xlfn.XLOOKUP($A459,'[1]DATOS PBI Artículos'!A:A,'[1]DATOS PBI Artículos'!AU:AU))</f>
        <v>0</v>
      </c>
      <c r="K459" s="36">
        <f>_xlfn.XLOOKUP($A459,'[1]DATOS PBI Artículos'!A:A,'[1]DATOS PBI Artículos'!AV:AV)</f>
        <v>0</v>
      </c>
      <c r="L459" s="33">
        <f>_xlfn.XLOOKUP(A459,[1]MÁQUINAS!B:B,[1]MÁQUINAS!C:C)</f>
        <v>0</v>
      </c>
      <c r="M459" s="34">
        <f t="array" ref="M459">_xlfn.XLOOKUP(A459,'[1]DATOS PBI Artículos'!A:A,'[1]DATOS PBI Artículos'!AX:$AX)</f>
        <v>0</v>
      </c>
      <c r="N459" s="37" t="e">
        <f>IF(I459="DV",
E459,
IF(COUNTIF([1]CRITERIOS!$I$179:$I$199,$A459)&gt;=1,
_xlfn.XLOOKUP($A459,[1]CRITERIOS!$I$179:$I$199,[1]CRITERIOS!$J$179:$J$199),
IF(COUNTIF([1]CRITERIOS!$L$179:$L$199,$A459)&gt;=1,
_xlfn.CEILING.MATH(IF($M459&gt;$E459,
$E459,
IF($M459&lt;$E459/ROUNDDOWN([1]CRITERIOS!$M$16/_xlfn.XLOOKUP($C459,[1]CRITERIOS!$K$25:$K$42,[1]CRITERIOS!$M$25:$M$42),
1),
E459/ROUNDDOWN([1]CRITERIOS!$M$16/_xlfn.XLOOKUP($C459,[1]CRITERIOS!$K$25:$K$42,[1]CRITERIOS!$M$25:$M$42),
1),
$M459)),
_xlfn.XLOOKUP($A459,[1]CRITERIOS!$L$179:$L$200,[1]CRITERIOS!$M$179:$M$200)),
_xlfn.CEILING.MATH(IF($M459&gt;$E459,
$E459,
IF($M459&lt;$E459/ROUNDDOWN([1]CRITERIOS!$M$16/_xlfn.XLOOKUP($C459,[1]CRITERIOS!$K$25:$K$42,[1]CRITERIOS!$M$25:$M$42),
1),
E459/ROUNDDOWN([1]CRITERIOS!$M$16/_xlfn.XLOOKUP($C459,[1]CRITERIOS!$K$25:$K$42,[1]CRITERIOS!$M$25:$M$42),
1),
$M459)),_xlfn.XLOOKUP(A459,'[1]DATOS PBI Artículos'!A:A,'[1]DATOS PBI Artículos'!Z:Z
)))))</f>
        <v>#N/A</v>
      </c>
      <c r="Q459" s="38" t="e">
        <f>IF(AND(O459="",N459=0),
0,
   IF(COUNTIF([1]CRITERIOS!$F$179:$F$199,$A459)&gt;=1,
   1,
   IF(R459="MTO",
      $D459,
      ROUNDUP(
                    IF(($E459-SUMIF('[1]DATOS PBI Artículos'!A:A,A459,'[1]DATOS PBI Artículos'!X:X)+($V459-_xlfn.XLOOKUP(A459,'[1]DATOS PBI Artículos'!A:A,'[1]DATOS PBI Artículos'!W:W)))&lt;0,
                    0,
                    IF(($E459-SUMIF('[1]DATOS PBI Artículos'!A:A,A459,'[1]DATOS PBI Artículos'!X:X)+$V459-_xlfn.XLOOKUP($A459,'[1]DATOS PBI Artículos'!A:A,'[1]DATOS PBI Artículos'!W:W))/IF($O459="",$N459,$O459)&gt;ROUNDUP([1]CRITERIOS!$M$16/(IF(COUNTIF([1]CRITERIOS!$BG$11:$BG$201,L459)&gt;=1,_xlfn.XLOOKUP($C459,[1]CRITERIOS!$K$25:$K$42,[1]CRITERIOS!$M$25:$M$42),_xlfn.XLOOKUP($C459,[1]CRITERIOS!$K$25:$K$42,[1]CRITERIOS!$M$25:$M$42))),0),
                    ROUNDUP([1]CRITERIOS!$M$16/(IF(COUNTIF([1]CRITERIOS!$BG$11:$BG$201,$L459)&gt;=1,_xlfn.XLOOKUP($C459,[1]CRITERIOS!$K$25:$K$42,[1]CRITERIOS!$M$25:$M$42),_xlfn.XLOOKUP($C459,[1]CRITERIOS!$K$25:$K$42,[1]CRITERIOS!$M$25:$M$42))),0),
                    (E459+V459-SUMIF('[1]DATOS PBI Artículos'!A:A,A459,'[1]DATOS PBI Artículos'!X:X)-_xlfn.XLOOKUP(A459,'[1]DATOS PBI Artículos'!A:A,'[1]DATOS PBI Artículos'!W:W))/IF($O459="",$N459,$O459))),0))))</f>
        <v>#N/A</v>
      </c>
      <c r="R459" s="33" t="e">
        <f>IF(U459&lt;&gt;"",U459,IF(F459="DV","MTO",IF(N459=0,"MTO",_xlfn.XLOOKUP(CONCATENATE(S459,T459),[1]CRITERIOS!$K$160:$K$168,[1]CRITERIOS!$N$160:$N$168))))</f>
        <v>#N/A</v>
      </c>
      <c r="S459" s="33" t="e">
        <f>IF(G459="DV","MTO",IF(N459=0,"MTO",IF(OR(AND(N459=0,O459=""),IF(O459="",G459/N459,G459/O459)&gt;[1]CRITERIOS!$G$163),"MTO",IF(IF(O459="",G459/N459,G459/O459)&lt;[1]CRITERIOS!$H$161,"MTS","MTOS"))))</f>
        <v>#N/A</v>
      </c>
      <c r="T459" s="33" t="e">
        <f>IF(F459="DV","MTO",IF(OR(AND($N459=0,O459=""),$F459/$J459&gt;[1]CRITERIOS!$G$170,$F459="DV"),"MTO",IF($F459/$J459&lt;[1]CRITERIOS!$H$168,"MTS","MTOS")))</f>
        <v>#N/A</v>
      </c>
      <c r="V459" s="34" t="e">
        <f t="shared" si="22"/>
        <v>#N/A</v>
      </c>
      <c r="X459" s="34" t="e">
        <f t="shared" si="23"/>
        <v>#N/A</v>
      </c>
      <c r="Y459" s="34" t="e">
        <f t="shared" si="24"/>
        <v>#N/A</v>
      </c>
      <c r="Z459" s="34" t="e">
        <f>IF($R459="MTO",
0,
($H459+$K459*($E459/[1]CRITERIOS!$M$16))/[1]CRITERIOS!$X$48)</f>
        <v>#N/A</v>
      </c>
      <c r="AA459" s="34" t="e">
        <f>ROUNDUP(($Y459/_xlfn.XLOOKUP($A459,'[1]DATOS PBI Artículos'!$A$4:$A$4,'[1]DATOS PBI Artículos'!$Z$4:$Z$4))/_xlfn.XLOOKUP(_xlfn.XLOOKUP($A459,'[1]DATOS PBI Artículos'!$A$4:$A$4,'[1]DATOS PBI Artículos'!$Y$4:$Y$4),[1]CRITERIOS!$P$79:$P$123,[1]CRITERIOS!$S$79:$S$123,),0)</f>
        <v>#N/A</v>
      </c>
      <c r="AB459" s="33" t="e">
        <f t="array" ref="AB459">IF((E459+V459-_xlfn.XLOOKUP(A459,'[1]DATOS PBI Artículos'!$A$4:$A$4,'[1]DATOS PBI Artículos'!$W$4:$W$4))/N459&gt;ROUNDUP([1]CRITERIOS!$M$16/(IF(COUNTIF([1]CRITERIOS!$BG$11:$BG$201,L459)&gt;=1,_xlfn.XLOOKUP(ARTÍCULOS!L459,[1]CRITERIOS!$BG$11:$BG$201,[1]CRITERIOS!$BJ$11:$BJ$201),_xlfn.XLOOKUP(ARTÍCULOS!C459,[1]CRITERIOS!$K$25:$K$42,[1]CRITERIOS!$M$25:$M$42))),0),ROUNDUP([1]CRITERIOS!$M$16/(IF(COUNTIF([1]CRITERIOS!$BG$11:$BG$201,L459)&gt;=1,_xlfn.XLOOKUP(ARTÍCULOS!L459,[1]CRITERIOS!$BG$11:$BG$201:#REF!,[1]CRITERIOS!$BJ$11:$BJ$201),_xlfn.XLOOKUP(ARTÍCULOS!C459,[1]CRITERIOS!$K$25:$K$42,[1]CRITERIOS!$M$25:$M$42))),0),(E459+V459-_xlfn.XLOOKUP(A459,'[1]DATOS PBI Artículos'!$A$4:$A$4,'[1]DATOS PBI Artículos'!$W$4:$W$4))/N459)</f>
        <v>#N/A</v>
      </c>
      <c r="AC459" s="33" t="e">
        <f>IF(N459=0,"",(ROUNDUP((N459/2)/(_xlfn.XLOOKUP(A459,'[1]DATOS PBI Artículos'!$A$4:$A$4,'[1]DATOS PBI Artículos'!$Z$4:$Z$4)*_xlfn.XLOOKUP(_xlfn.XLOOKUP(A459,'[1]DATOS PBI Artículos'!$A$4:$A$4,'[1]DATOS PBI Artículos'!$Y$4:$Y$4),[1]CRITERIOS!$P$79:$P$123,[1]CRITERIOS!$S$79:$S$123)),0)*[1]CRITERIOS!$M$80*([1]CRITERIOS!$M$110/[1]CRITERIOS!$M$86)+(_xlfn.XLOOKUP(A459,'[1]DATOS PBI Artículos'!$A$4:$A$4,'[1]DATOS PBI Artículos'!$AA$4:$AA$4)*([1]CRITERIOS!$M$95+[1]CRITERIOS!$M$98)))/N459)</f>
        <v>#N/A</v>
      </c>
      <c r="AD459" s="33" t="e">
        <f>IF(N459=0,"",(ROUNDUP((N459/2)/(_xlfn.XLOOKUP(A459,'[1]DATOS PBI Artículos'!$A$4:$A$4,'[1]DATOS PBI Artículos'!$Z$4:$Z$4)*_xlfn.XLOOKUP(_xlfn.XLOOKUP(A459,'[1]DATOS PBI Artículos'!$A$4:$A$4,'[1]DATOS PBI Artículos'!$Y$4:$Y$4),[1]CRITERIOS!$P$79:$P$123,[1]CRITERIOS!$S$79:$S$123)),0)*[1]CRITERIOS!$M$80*([1]CRITERIOS!$M$89*[1]CRITERIOS!$M$92)+((_xlfn.XLOOKUP(A459,'[1]DATOS PBI Artículos'!$A$4:$A$4,'[1]DATOS PBI Artículos'!$AA$4:$AA$4)/2)*([1]CRITERIOS!$M$95+[1]CRITERIOS!$M$98)))/N459)</f>
        <v>#N/A</v>
      </c>
      <c r="AE459" s="39" t="e">
        <f>IF($R459="MTO","",
IF($H459=0,ROUNDUP(((_xlfn.XLOOKUP($A459,'[1]DATOS PBI Artículos'!$A:$A,'[1]DATOS PBI Artículos'!$AL:$AL))/(_xlfn.XLOOKUP($AF$1,[1]CRITERIOS!$S$16:$S$39,[1]CRITERIOS!$Y$16:$Y$39))*$J459+$Z459)/$G459,0)*$G459,
((_xlfn.XLOOKUP($A459,'[1]DATOS PBI Artículos'!$A:$A,'[1]DATOS PBI Artículos'!$AL:$AL))/(_xlfn.XLOOKUP($AF$1,[1]CRITERIOS!$S$16:$S$39,[1]CRITERIOS!$Y$16:$Y$39))*$J459+$Z459)))</f>
        <v>#N/A</v>
      </c>
      <c r="AG459" s="39" t="e">
        <f>IF($R459="MTO","",
IF($H459=0,ROUNDUP(((_xlfn.XLOOKUP($A459,'[1]DATOS PBI Artículos'!$A:$A,'[1]DATOS PBI Artículos'!$AM:$AM))/(_xlfn.XLOOKUP($AH$1,[1]CRITERIOS!$S$16:$S$39,[1]CRITERIOS!$Y$16:$Y$39))*$J459+$Z459)/$G459,0)*$G459,
((_xlfn.XLOOKUP($A459,'[1]DATOS PBI Artículos'!$A:$A,'[1]DATOS PBI Artículos'!$AM:$AM))/(_xlfn.XLOOKUP($AH$1,[1]CRITERIOS!$S$16:$S$39,[1]CRITERIOS!$Y$16:$Y$39))*$J459+$Z459)))</f>
        <v>#N/A</v>
      </c>
      <c r="AI459" s="39" t="e">
        <f>IF($R459="MTO","",
IF($H459=0,ROUNDUP(((_xlfn.XLOOKUP($A459,'[1]DATOS PBI Artículos'!$A:$A,'[1]DATOS PBI Artículos'!$AN:$AN))/(_xlfn.XLOOKUP($AJ$1,[1]CRITERIOS!$S$16:$S$39,[1]CRITERIOS!$Y$16:$Y$39))*$J459+$Z459)/$G459,0)*$G459,
((_xlfn.XLOOKUP($A459,'[1]DATOS PBI Artículos'!$A:$A,'[1]DATOS PBI Artículos'!$AN:$AN))/(_xlfn.XLOOKUP($AJ$1,[1]CRITERIOS!$S$16:$S$39,[1]CRITERIOS!$Y$16:$Y$39))*$J459+$Z459)))</f>
        <v>#N/A</v>
      </c>
      <c r="AK459" s="39" t="e">
        <f>IF($R459="MTO","",
IF($H459=0,ROUNDUP(((_xlfn.XLOOKUP($A459,'[1]DATOS PBI Artículos'!$A:$A,'[1]DATOS PBI Artículos'!$AO:$AO))/(_xlfn.XLOOKUP($AL$1,[1]CRITERIOS!$S$16:$S$39,[1]CRITERIOS!$Y$16:$Y$39))*$J459+$Z459)/$G459,0)*$G459,
((_xlfn.XLOOKUP($A459,'[1]DATOS PBI Artículos'!$A:$A,'[1]DATOS PBI Artículos'!$AO:$AO))/(_xlfn.XLOOKUP($AL$1,[1]CRITERIOS!$S$16:$S$39,[1]CRITERIOS!$Y$16:$Y$39))*$J459+$Z459)))</f>
        <v>#N/A</v>
      </c>
    </row>
    <row r="460" spans="1:37" ht="25.8" hidden="1" x14ac:dyDescent="0.4">
      <c r="A460" s="41"/>
      <c r="B460" s="33">
        <f>_xlfn.XLOOKUP($A460,'[1]DATOS PBI Artículos'!A:A,'[1]DATOS PBI Artículos'!B:B)</f>
        <v>0</v>
      </c>
      <c r="C460" s="33">
        <f>_xlfn.XLOOKUP($A460,'[1]DATOS PBI Artículos'!A:A,'[1]DATOS PBI Artículos'!C:C)</f>
        <v>0</v>
      </c>
      <c r="D460" s="33">
        <f>_xlfn.XLOOKUP(A460,'[1]DATOS PBI Artículos'!A:A,'[1]DATOS PBI Artículos'!T:T)</f>
        <v>0</v>
      </c>
      <c r="E460" s="34">
        <f>IF(_xlfn.XLOOKUP($A460,'[1]DATOS PBI Artículos'!A:A,'[1]DATOS PBI Artículos'!AK:AK)="",_xlfn.XLOOKUP($A460,'[1]DATOS PBI Artículos'!A:A,'[1]DATOS PBI Artículos'!AJ:AJ),_xlfn.XLOOKUP($A460,'[1]DATOS PBI Artículos'!A:A,'[1]DATOS PBI Artículos'!AK:AK))</f>
        <v>0</v>
      </c>
      <c r="F460" s="35">
        <f>_xlfn.XLOOKUP($A460,'[1]DATOS PBI Artículos'!A:A,'[1]DATOS PBI Artículos'!AP:AP)</f>
        <v>0</v>
      </c>
      <c r="G460" s="34">
        <f>_xlfn.XLOOKUP($A460,'[1]DATOS PBI Artículos'!A:A,'[1]DATOS PBI Artículos'!AR:AR)</f>
        <v>0</v>
      </c>
      <c r="H460" s="34">
        <f>_xlfn.XLOOKUP($A460,'[1]DATOS PBI Artículos'!A:A,'[1]DATOS PBI Artículos'!AT:AT)</f>
        <v>0</v>
      </c>
      <c r="I460" s="34">
        <f>_xlfn.XLOOKUP($A460,'[1]DATOS PBI Artículos'!A:A,'[1]DATOS PBI Artículos'!AS:AS)</f>
        <v>0</v>
      </c>
      <c r="J460" s="35">
        <f>IF(COUNTIF([1]CRITERIOS!$F$179:$F$199,$A460)&gt;=1,
 IF(O460&lt;&gt;"",
    (O460/_xlfn.XLOOKUP(CONCATENATE(A460,L460),[1]MÁQUINAS!A:A,[1]MÁQUINAS!D:D))/24,
    (N460/_xlfn.XLOOKUP(CONCATENATE(A460,L460),[1]MÁQUINAS!A:A,[1]MÁQUINAS!D:D))/24),
  _xlfn.XLOOKUP($A460,'[1]DATOS PBI Artículos'!A:A,'[1]DATOS PBI Artículos'!AU:AU))</f>
        <v>0</v>
      </c>
      <c r="K460" s="36">
        <f>_xlfn.XLOOKUP($A460,'[1]DATOS PBI Artículos'!A:A,'[1]DATOS PBI Artículos'!AV:AV)</f>
        <v>0</v>
      </c>
      <c r="L460" s="33">
        <f>_xlfn.XLOOKUP(A460,[1]MÁQUINAS!B:B,[1]MÁQUINAS!C:C)</f>
        <v>0</v>
      </c>
      <c r="M460" s="34">
        <f t="array" ref="M460">_xlfn.XLOOKUP(A460,'[1]DATOS PBI Artículos'!A:A,'[1]DATOS PBI Artículos'!AX:$AX)</f>
        <v>0</v>
      </c>
      <c r="N460" s="37" t="e">
        <f>IF(I460="DV",
E460,
IF(COUNTIF([1]CRITERIOS!$I$179:$I$199,$A460)&gt;=1,
_xlfn.XLOOKUP($A460,[1]CRITERIOS!$I$179:$I$199,[1]CRITERIOS!$J$179:$J$199),
IF(COUNTIF([1]CRITERIOS!$L$179:$L$199,$A460)&gt;=1,
_xlfn.CEILING.MATH(IF($M460&gt;$E460,
$E460,
IF($M460&lt;$E460/ROUNDDOWN([1]CRITERIOS!$M$16/_xlfn.XLOOKUP($C460,[1]CRITERIOS!$K$25:$K$42,[1]CRITERIOS!$M$25:$M$42),
1),
E460/ROUNDDOWN([1]CRITERIOS!$M$16/_xlfn.XLOOKUP($C460,[1]CRITERIOS!$K$25:$K$42,[1]CRITERIOS!$M$25:$M$42),
1),
$M460)),
_xlfn.XLOOKUP($A460,[1]CRITERIOS!$L$179:$L$200,[1]CRITERIOS!$M$179:$M$200)),
_xlfn.CEILING.MATH(IF($M460&gt;$E460,
$E460,
IF($M460&lt;$E460/ROUNDDOWN([1]CRITERIOS!$M$16/_xlfn.XLOOKUP($C460,[1]CRITERIOS!$K$25:$K$42,[1]CRITERIOS!$M$25:$M$42),
1),
E460/ROUNDDOWN([1]CRITERIOS!$M$16/_xlfn.XLOOKUP($C460,[1]CRITERIOS!$K$25:$K$42,[1]CRITERIOS!$M$25:$M$42),
1),
$M460)),_xlfn.XLOOKUP(A460,'[1]DATOS PBI Artículos'!A:A,'[1]DATOS PBI Artículos'!Z:Z
)))))</f>
        <v>#N/A</v>
      </c>
      <c r="Q460" s="38" t="e">
        <f>IF(AND(O460="",N460=0),
0,
   IF(COUNTIF([1]CRITERIOS!$F$179:$F$199,$A460)&gt;=1,
   1,
   IF(R460="MTO",
      $D460,
      ROUNDUP(
                    IF(($E460-SUMIF('[1]DATOS PBI Artículos'!A:A,A460,'[1]DATOS PBI Artículos'!X:X)+($V460-_xlfn.XLOOKUP(A460,'[1]DATOS PBI Artículos'!A:A,'[1]DATOS PBI Artículos'!W:W)))&lt;0,
                    0,
                    IF(($E460-SUMIF('[1]DATOS PBI Artículos'!A:A,A460,'[1]DATOS PBI Artículos'!X:X)+$V460-_xlfn.XLOOKUP($A460,'[1]DATOS PBI Artículos'!A:A,'[1]DATOS PBI Artículos'!W:W))/IF($O460="",$N460,$O460)&gt;ROUNDUP([1]CRITERIOS!$M$16/(IF(COUNTIF([1]CRITERIOS!$BG$11:$BG$201,L460)&gt;=1,_xlfn.XLOOKUP($C460,[1]CRITERIOS!$K$25:$K$42,[1]CRITERIOS!$M$25:$M$42),_xlfn.XLOOKUP($C460,[1]CRITERIOS!$K$25:$K$42,[1]CRITERIOS!$M$25:$M$42))),0),
                    ROUNDUP([1]CRITERIOS!$M$16/(IF(COUNTIF([1]CRITERIOS!$BG$11:$BG$201,$L460)&gt;=1,_xlfn.XLOOKUP($C460,[1]CRITERIOS!$K$25:$K$42,[1]CRITERIOS!$M$25:$M$42),_xlfn.XLOOKUP($C460,[1]CRITERIOS!$K$25:$K$42,[1]CRITERIOS!$M$25:$M$42))),0),
                    (E460+V460-SUMIF('[1]DATOS PBI Artículos'!A:A,A460,'[1]DATOS PBI Artículos'!X:X)-_xlfn.XLOOKUP(A460,'[1]DATOS PBI Artículos'!A:A,'[1]DATOS PBI Artículos'!W:W))/IF($O460="",$N460,$O460))),0))))</f>
        <v>#N/A</v>
      </c>
      <c r="R460" s="33" t="e">
        <f>IF(U460&lt;&gt;"",U460,IF(F460="DV","MTO",IF(N460=0,"MTO",_xlfn.XLOOKUP(CONCATENATE(S460,T460),[1]CRITERIOS!$K$160:$K$168,[1]CRITERIOS!$N$160:$N$168))))</f>
        <v>#N/A</v>
      </c>
      <c r="S460" s="33" t="e">
        <f>IF(G460="DV","MTO",IF(N460=0,"MTO",IF(OR(AND(N460=0,O460=""),IF(O460="",G460/N460,G460/O460)&gt;[1]CRITERIOS!$G$163),"MTO",IF(IF(O460="",G460/N460,G460/O460)&lt;[1]CRITERIOS!$H$161,"MTS","MTOS"))))</f>
        <v>#N/A</v>
      </c>
      <c r="T460" s="33" t="e">
        <f>IF(F460="DV","MTO",IF(OR(AND($N460=0,O460=""),$F460/$J460&gt;[1]CRITERIOS!$G$170,$F460="DV"),"MTO",IF($F460/$J460&lt;[1]CRITERIOS!$H$168,"MTS","MTOS")))</f>
        <v>#N/A</v>
      </c>
      <c r="V460" s="34" t="e">
        <f t="shared" si="22"/>
        <v>#N/A</v>
      </c>
      <c r="X460" s="34" t="e">
        <f t="shared" si="23"/>
        <v>#N/A</v>
      </c>
      <c r="Y460" s="34" t="e">
        <f t="shared" si="24"/>
        <v>#N/A</v>
      </c>
      <c r="Z460" s="34" t="e">
        <f>IF($R460="MTO",
0,
($H460+$K460*($E460/[1]CRITERIOS!$M$16))/[1]CRITERIOS!$X$48)</f>
        <v>#N/A</v>
      </c>
      <c r="AA460" s="34" t="e">
        <f>ROUNDUP(($Y460/_xlfn.XLOOKUP($A460,'[1]DATOS PBI Artículos'!$A$4:$A$4,'[1]DATOS PBI Artículos'!$Z$4:$Z$4))/_xlfn.XLOOKUP(_xlfn.XLOOKUP($A460,'[1]DATOS PBI Artículos'!$A$4:$A$4,'[1]DATOS PBI Artículos'!$Y$4:$Y$4),[1]CRITERIOS!$P$79:$P$123,[1]CRITERIOS!$S$79:$S$123,),0)</f>
        <v>#N/A</v>
      </c>
      <c r="AB460" s="33" t="e">
        <f t="array" ref="AB460">IF((E460+V460-_xlfn.XLOOKUP(A460,'[1]DATOS PBI Artículos'!$A$4:$A$4,'[1]DATOS PBI Artículos'!$W$4:$W$4))/N460&gt;ROUNDUP([1]CRITERIOS!$M$16/(IF(COUNTIF([1]CRITERIOS!$BG$11:$BG$201,L460)&gt;=1,_xlfn.XLOOKUP(ARTÍCULOS!L460,[1]CRITERIOS!$BG$11:$BG$201,[1]CRITERIOS!$BJ$11:$BJ$201),_xlfn.XLOOKUP(ARTÍCULOS!C460,[1]CRITERIOS!$K$25:$K$42,[1]CRITERIOS!$M$25:$M$42))),0),ROUNDUP([1]CRITERIOS!$M$16/(IF(COUNTIF([1]CRITERIOS!$BG$11:$BG$201,L460)&gt;=1,_xlfn.XLOOKUP(ARTÍCULOS!L460,[1]CRITERIOS!$BG$11:$BG$201:#REF!,[1]CRITERIOS!$BJ$11:$BJ$201),_xlfn.XLOOKUP(ARTÍCULOS!C460,[1]CRITERIOS!$K$25:$K$42,[1]CRITERIOS!$M$25:$M$42))),0),(E460+V460-_xlfn.XLOOKUP(A460,'[1]DATOS PBI Artículos'!$A$4:$A$4,'[1]DATOS PBI Artículos'!$W$4:$W$4))/N460)</f>
        <v>#N/A</v>
      </c>
      <c r="AC460" s="33" t="e">
        <f>IF(N460=0,"",(ROUNDUP((N460/2)/(_xlfn.XLOOKUP(A460,'[1]DATOS PBI Artículos'!$A$4:$A$4,'[1]DATOS PBI Artículos'!$Z$4:$Z$4)*_xlfn.XLOOKUP(_xlfn.XLOOKUP(A460,'[1]DATOS PBI Artículos'!$A$4:$A$4,'[1]DATOS PBI Artículos'!$Y$4:$Y$4),[1]CRITERIOS!$P$79:$P$123,[1]CRITERIOS!$S$79:$S$123)),0)*[1]CRITERIOS!$M$80*([1]CRITERIOS!$M$110/[1]CRITERIOS!$M$86)+(_xlfn.XLOOKUP(A460,'[1]DATOS PBI Artículos'!$A$4:$A$4,'[1]DATOS PBI Artículos'!$AA$4:$AA$4)*([1]CRITERIOS!$M$95+[1]CRITERIOS!$M$98)))/N460)</f>
        <v>#N/A</v>
      </c>
      <c r="AD460" s="33" t="e">
        <f>IF(N460=0,"",(ROUNDUP((N460/2)/(_xlfn.XLOOKUP(A460,'[1]DATOS PBI Artículos'!$A$4:$A$4,'[1]DATOS PBI Artículos'!$Z$4:$Z$4)*_xlfn.XLOOKUP(_xlfn.XLOOKUP(A460,'[1]DATOS PBI Artículos'!$A$4:$A$4,'[1]DATOS PBI Artículos'!$Y$4:$Y$4),[1]CRITERIOS!$P$79:$P$123,[1]CRITERIOS!$S$79:$S$123)),0)*[1]CRITERIOS!$M$80*([1]CRITERIOS!$M$89*[1]CRITERIOS!$M$92)+((_xlfn.XLOOKUP(A460,'[1]DATOS PBI Artículos'!$A$4:$A$4,'[1]DATOS PBI Artículos'!$AA$4:$AA$4)/2)*([1]CRITERIOS!$M$95+[1]CRITERIOS!$M$98)))/N460)</f>
        <v>#N/A</v>
      </c>
      <c r="AE460" s="39" t="e">
        <f>IF($R460="MTO","",
IF($H460=0,ROUNDUP(((_xlfn.XLOOKUP($A460,'[1]DATOS PBI Artículos'!$A:$A,'[1]DATOS PBI Artículos'!$AL:$AL))/(_xlfn.XLOOKUP($AF$1,[1]CRITERIOS!$S$16:$S$39,[1]CRITERIOS!$Y$16:$Y$39))*$J460+$Z460)/$G460,0)*$G460,
((_xlfn.XLOOKUP($A460,'[1]DATOS PBI Artículos'!$A:$A,'[1]DATOS PBI Artículos'!$AL:$AL))/(_xlfn.XLOOKUP($AF$1,[1]CRITERIOS!$S$16:$S$39,[1]CRITERIOS!$Y$16:$Y$39))*$J460+$Z460)))</f>
        <v>#N/A</v>
      </c>
      <c r="AG460" s="39" t="e">
        <f>IF($R460="MTO","",
IF($H460=0,ROUNDUP(((_xlfn.XLOOKUP($A460,'[1]DATOS PBI Artículos'!$A:$A,'[1]DATOS PBI Artículos'!$AM:$AM))/(_xlfn.XLOOKUP($AH$1,[1]CRITERIOS!$S$16:$S$39,[1]CRITERIOS!$Y$16:$Y$39))*$J460+$Z460)/$G460,0)*$G460,
((_xlfn.XLOOKUP($A460,'[1]DATOS PBI Artículos'!$A:$A,'[1]DATOS PBI Artículos'!$AM:$AM))/(_xlfn.XLOOKUP($AH$1,[1]CRITERIOS!$S$16:$S$39,[1]CRITERIOS!$Y$16:$Y$39))*$J460+$Z460)))</f>
        <v>#N/A</v>
      </c>
      <c r="AI460" s="39" t="e">
        <f>IF($R460="MTO","",
IF($H460=0,ROUNDUP(((_xlfn.XLOOKUP($A460,'[1]DATOS PBI Artículos'!$A:$A,'[1]DATOS PBI Artículos'!$AN:$AN))/(_xlfn.XLOOKUP($AJ$1,[1]CRITERIOS!$S$16:$S$39,[1]CRITERIOS!$Y$16:$Y$39))*$J460+$Z460)/$G460,0)*$G460,
((_xlfn.XLOOKUP($A460,'[1]DATOS PBI Artículos'!$A:$A,'[1]DATOS PBI Artículos'!$AN:$AN))/(_xlfn.XLOOKUP($AJ$1,[1]CRITERIOS!$S$16:$S$39,[1]CRITERIOS!$Y$16:$Y$39))*$J460+$Z460)))</f>
        <v>#N/A</v>
      </c>
      <c r="AK460" s="39" t="e">
        <f>IF($R460="MTO","",
IF($H460=0,ROUNDUP(((_xlfn.XLOOKUP($A460,'[1]DATOS PBI Artículos'!$A:$A,'[1]DATOS PBI Artículos'!$AO:$AO))/(_xlfn.XLOOKUP($AL$1,[1]CRITERIOS!$S$16:$S$39,[1]CRITERIOS!$Y$16:$Y$39))*$J460+$Z460)/$G460,0)*$G460,
((_xlfn.XLOOKUP($A460,'[1]DATOS PBI Artículos'!$A:$A,'[1]DATOS PBI Artículos'!$AO:$AO))/(_xlfn.XLOOKUP($AL$1,[1]CRITERIOS!$S$16:$S$39,[1]CRITERIOS!$Y$16:$Y$39))*$J460+$Z460)))</f>
        <v>#N/A</v>
      </c>
    </row>
    <row r="461" spans="1:37" ht="25.8" hidden="1" x14ac:dyDescent="0.4">
      <c r="A461" s="41"/>
      <c r="B461" s="33">
        <f>_xlfn.XLOOKUP($A461,'[1]DATOS PBI Artículos'!A:A,'[1]DATOS PBI Artículos'!B:B)</f>
        <v>0</v>
      </c>
      <c r="C461" s="33">
        <f>_xlfn.XLOOKUP($A461,'[1]DATOS PBI Artículos'!A:A,'[1]DATOS PBI Artículos'!C:C)</f>
        <v>0</v>
      </c>
      <c r="D461" s="33">
        <f>_xlfn.XLOOKUP(A461,'[1]DATOS PBI Artículos'!A:A,'[1]DATOS PBI Artículos'!T:T)</f>
        <v>0</v>
      </c>
      <c r="E461" s="34">
        <f>IF(_xlfn.XLOOKUP($A461,'[1]DATOS PBI Artículos'!A:A,'[1]DATOS PBI Artículos'!AK:AK)="",_xlfn.XLOOKUP($A461,'[1]DATOS PBI Artículos'!A:A,'[1]DATOS PBI Artículos'!AJ:AJ),_xlfn.XLOOKUP($A461,'[1]DATOS PBI Artículos'!A:A,'[1]DATOS PBI Artículos'!AK:AK))</f>
        <v>0</v>
      </c>
      <c r="F461" s="35">
        <f>_xlfn.XLOOKUP($A461,'[1]DATOS PBI Artículos'!A:A,'[1]DATOS PBI Artículos'!AP:AP)</f>
        <v>0</v>
      </c>
      <c r="G461" s="34">
        <f>_xlfn.XLOOKUP($A461,'[1]DATOS PBI Artículos'!A:A,'[1]DATOS PBI Artículos'!AR:AR)</f>
        <v>0</v>
      </c>
      <c r="H461" s="34">
        <f>_xlfn.XLOOKUP($A461,'[1]DATOS PBI Artículos'!A:A,'[1]DATOS PBI Artículos'!AT:AT)</f>
        <v>0</v>
      </c>
      <c r="I461" s="34">
        <f>_xlfn.XLOOKUP($A461,'[1]DATOS PBI Artículos'!A:A,'[1]DATOS PBI Artículos'!AS:AS)</f>
        <v>0</v>
      </c>
      <c r="J461" s="35">
        <f>IF(COUNTIF([1]CRITERIOS!$F$179:$F$199,$A461)&gt;=1,
 IF(O461&lt;&gt;"",
    (O461/_xlfn.XLOOKUP(CONCATENATE(A461,L461),[1]MÁQUINAS!A:A,[1]MÁQUINAS!D:D))/24,
    (N461/_xlfn.XLOOKUP(CONCATENATE(A461,L461),[1]MÁQUINAS!A:A,[1]MÁQUINAS!D:D))/24),
  _xlfn.XLOOKUP($A461,'[1]DATOS PBI Artículos'!A:A,'[1]DATOS PBI Artículos'!AU:AU))</f>
        <v>0</v>
      </c>
      <c r="K461" s="36">
        <f>_xlfn.XLOOKUP($A461,'[1]DATOS PBI Artículos'!A:A,'[1]DATOS PBI Artículos'!AV:AV)</f>
        <v>0</v>
      </c>
      <c r="L461" s="33">
        <f>_xlfn.XLOOKUP(A461,[1]MÁQUINAS!B:B,[1]MÁQUINAS!C:C)</f>
        <v>0</v>
      </c>
      <c r="M461" s="34">
        <f t="array" ref="M461">_xlfn.XLOOKUP(A461,'[1]DATOS PBI Artículos'!A:A,'[1]DATOS PBI Artículos'!AX:$AX)</f>
        <v>0</v>
      </c>
      <c r="N461" s="37" t="e">
        <f>IF(I461="DV",
E461,
IF(COUNTIF([1]CRITERIOS!$I$179:$I$199,$A461)&gt;=1,
_xlfn.XLOOKUP($A461,[1]CRITERIOS!$I$179:$I$199,[1]CRITERIOS!$J$179:$J$199),
IF(COUNTIF([1]CRITERIOS!$L$179:$L$199,$A461)&gt;=1,
_xlfn.CEILING.MATH(IF($M461&gt;$E461,
$E461,
IF($M461&lt;$E461/ROUNDDOWN([1]CRITERIOS!$M$16/_xlfn.XLOOKUP($C461,[1]CRITERIOS!$K$25:$K$42,[1]CRITERIOS!$M$25:$M$42),
1),
E461/ROUNDDOWN([1]CRITERIOS!$M$16/_xlfn.XLOOKUP($C461,[1]CRITERIOS!$K$25:$K$42,[1]CRITERIOS!$M$25:$M$42),
1),
$M461)),
_xlfn.XLOOKUP($A461,[1]CRITERIOS!$L$179:$L$200,[1]CRITERIOS!$M$179:$M$200)),
_xlfn.CEILING.MATH(IF($M461&gt;$E461,
$E461,
IF($M461&lt;$E461/ROUNDDOWN([1]CRITERIOS!$M$16/_xlfn.XLOOKUP($C461,[1]CRITERIOS!$K$25:$K$42,[1]CRITERIOS!$M$25:$M$42),
1),
E461/ROUNDDOWN([1]CRITERIOS!$M$16/_xlfn.XLOOKUP($C461,[1]CRITERIOS!$K$25:$K$42,[1]CRITERIOS!$M$25:$M$42),
1),
$M461)),_xlfn.XLOOKUP(A461,'[1]DATOS PBI Artículos'!A:A,'[1]DATOS PBI Artículos'!Z:Z
)))))</f>
        <v>#N/A</v>
      </c>
      <c r="Q461" s="38" t="e">
        <f>IF(AND(O461="",N461=0),
0,
   IF(COUNTIF([1]CRITERIOS!$F$179:$F$199,$A461)&gt;=1,
   1,
   IF(R461="MTO",
      $D461,
      ROUNDUP(
                    IF(($E461-SUMIF('[1]DATOS PBI Artículos'!A:A,A461,'[1]DATOS PBI Artículos'!X:X)+($V461-_xlfn.XLOOKUP(A461,'[1]DATOS PBI Artículos'!A:A,'[1]DATOS PBI Artículos'!W:W)))&lt;0,
                    0,
                    IF(($E461-SUMIF('[1]DATOS PBI Artículos'!A:A,A461,'[1]DATOS PBI Artículos'!X:X)+$V461-_xlfn.XLOOKUP($A461,'[1]DATOS PBI Artículos'!A:A,'[1]DATOS PBI Artículos'!W:W))/IF($O461="",$N461,$O461)&gt;ROUNDUP([1]CRITERIOS!$M$16/(IF(COUNTIF([1]CRITERIOS!$BG$11:$BG$201,L461)&gt;=1,_xlfn.XLOOKUP($C461,[1]CRITERIOS!$K$25:$K$42,[1]CRITERIOS!$M$25:$M$42),_xlfn.XLOOKUP($C461,[1]CRITERIOS!$K$25:$K$42,[1]CRITERIOS!$M$25:$M$42))),0),
                    ROUNDUP([1]CRITERIOS!$M$16/(IF(COUNTIF([1]CRITERIOS!$BG$11:$BG$201,$L461)&gt;=1,_xlfn.XLOOKUP($C461,[1]CRITERIOS!$K$25:$K$42,[1]CRITERIOS!$M$25:$M$42),_xlfn.XLOOKUP($C461,[1]CRITERIOS!$K$25:$K$42,[1]CRITERIOS!$M$25:$M$42))),0),
                    (E461+V461-SUMIF('[1]DATOS PBI Artículos'!A:A,A461,'[1]DATOS PBI Artículos'!X:X)-_xlfn.XLOOKUP(A461,'[1]DATOS PBI Artículos'!A:A,'[1]DATOS PBI Artículos'!W:W))/IF($O461="",$N461,$O461))),0))))</f>
        <v>#N/A</v>
      </c>
      <c r="R461" s="33" t="e">
        <f>IF(U461&lt;&gt;"",U461,IF(F461="DV","MTO",IF(N461=0,"MTO",_xlfn.XLOOKUP(CONCATENATE(S461,T461),[1]CRITERIOS!$K$160:$K$168,[1]CRITERIOS!$N$160:$N$168))))</f>
        <v>#N/A</v>
      </c>
      <c r="S461" s="33" t="e">
        <f>IF(G461="DV","MTO",IF(N461=0,"MTO",IF(OR(AND(N461=0,O461=""),IF(O461="",G461/N461,G461/O461)&gt;[1]CRITERIOS!$G$163),"MTO",IF(IF(O461="",G461/N461,G461/O461)&lt;[1]CRITERIOS!$H$161,"MTS","MTOS"))))</f>
        <v>#N/A</v>
      </c>
      <c r="T461" s="33" t="e">
        <f>IF(F461="DV","MTO",IF(OR(AND($N461=0,O461=""),$F461/$J461&gt;[1]CRITERIOS!$G$170,$F461="DV"),"MTO",IF($F461/$J461&lt;[1]CRITERIOS!$H$168,"MTS","MTOS")))</f>
        <v>#N/A</v>
      </c>
      <c r="V461" s="34" t="e">
        <f t="shared" si="22"/>
        <v>#N/A</v>
      </c>
      <c r="X461" s="34" t="e">
        <f t="shared" si="23"/>
        <v>#N/A</v>
      </c>
      <c r="Y461" s="34" t="e">
        <f t="shared" si="24"/>
        <v>#N/A</v>
      </c>
      <c r="Z461" s="34" t="e">
        <f>IF($R461="MTO",
0,
($H461+$K461*($E461/[1]CRITERIOS!$M$16))/[1]CRITERIOS!$X$48)</f>
        <v>#N/A</v>
      </c>
      <c r="AA461" s="34" t="e">
        <f>ROUNDUP(($Y461/_xlfn.XLOOKUP($A461,'[1]DATOS PBI Artículos'!$A$4:$A$4,'[1]DATOS PBI Artículos'!$Z$4:$Z$4))/_xlfn.XLOOKUP(_xlfn.XLOOKUP($A461,'[1]DATOS PBI Artículos'!$A$4:$A$4,'[1]DATOS PBI Artículos'!$Y$4:$Y$4),[1]CRITERIOS!$P$79:$P$123,[1]CRITERIOS!$S$79:$S$123,),0)</f>
        <v>#N/A</v>
      </c>
      <c r="AB461" s="33" t="e">
        <f t="array" ref="AB461">IF((E461+V461-_xlfn.XLOOKUP(A461,'[1]DATOS PBI Artículos'!$A$4:$A$4,'[1]DATOS PBI Artículos'!$W$4:$W$4))/N461&gt;ROUNDUP([1]CRITERIOS!$M$16/(IF(COUNTIF([1]CRITERIOS!$BG$11:$BG$201,L461)&gt;=1,_xlfn.XLOOKUP(ARTÍCULOS!L461,[1]CRITERIOS!$BG$11:$BG$201,[1]CRITERIOS!$BJ$11:$BJ$201),_xlfn.XLOOKUP(ARTÍCULOS!C461,[1]CRITERIOS!$K$25:$K$42,[1]CRITERIOS!$M$25:$M$42))),0),ROUNDUP([1]CRITERIOS!$M$16/(IF(COUNTIF([1]CRITERIOS!$BG$11:$BG$201,L461)&gt;=1,_xlfn.XLOOKUP(ARTÍCULOS!L461,[1]CRITERIOS!$BG$11:$BG$201:#REF!,[1]CRITERIOS!$BJ$11:$BJ$201),_xlfn.XLOOKUP(ARTÍCULOS!C461,[1]CRITERIOS!$K$25:$K$42,[1]CRITERIOS!$M$25:$M$42))),0),(E461+V461-_xlfn.XLOOKUP(A461,'[1]DATOS PBI Artículos'!$A$4:$A$4,'[1]DATOS PBI Artículos'!$W$4:$W$4))/N461)</f>
        <v>#N/A</v>
      </c>
      <c r="AC461" s="33" t="e">
        <f>IF(N461=0,"",(ROUNDUP((N461/2)/(_xlfn.XLOOKUP(A461,'[1]DATOS PBI Artículos'!$A$4:$A$4,'[1]DATOS PBI Artículos'!$Z$4:$Z$4)*_xlfn.XLOOKUP(_xlfn.XLOOKUP(A461,'[1]DATOS PBI Artículos'!$A$4:$A$4,'[1]DATOS PBI Artículos'!$Y$4:$Y$4),[1]CRITERIOS!$P$79:$P$123,[1]CRITERIOS!$S$79:$S$123)),0)*[1]CRITERIOS!$M$80*([1]CRITERIOS!$M$110/[1]CRITERIOS!$M$86)+(_xlfn.XLOOKUP(A461,'[1]DATOS PBI Artículos'!$A$4:$A$4,'[1]DATOS PBI Artículos'!$AA$4:$AA$4)*([1]CRITERIOS!$M$95+[1]CRITERIOS!$M$98)))/N461)</f>
        <v>#N/A</v>
      </c>
      <c r="AD461" s="33" t="e">
        <f>IF(N461=0,"",(ROUNDUP((N461/2)/(_xlfn.XLOOKUP(A461,'[1]DATOS PBI Artículos'!$A$4:$A$4,'[1]DATOS PBI Artículos'!$Z$4:$Z$4)*_xlfn.XLOOKUP(_xlfn.XLOOKUP(A461,'[1]DATOS PBI Artículos'!$A$4:$A$4,'[1]DATOS PBI Artículos'!$Y$4:$Y$4),[1]CRITERIOS!$P$79:$P$123,[1]CRITERIOS!$S$79:$S$123)),0)*[1]CRITERIOS!$M$80*([1]CRITERIOS!$M$89*[1]CRITERIOS!$M$92)+((_xlfn.XLOOKUP(A461,'[1]DATOS PBI Artículos'!$A$4:$A$4,'[1]DATOS PBI Artículos'!$AA$4:$AA$4)/2)*([1]CRITERIOS!$M$95+[1]CRITERIOS!$M$98)))/N461)</f>
        <v>#N/A</v>
      </c>
      <c r="AE461" s="39" t="e">
        <f>IF($R461="MTO","",
IF($H461=0,ROUNDUP(((_xlfn.XLOOKUP($A461,'[1]DATOS PBI Artículos'!$A:$A,'[1]DATOS PBI Artículos'!$AL:$AL))/(_xlfn.XLOOKUP($AF$1,[1]CRITERIOS!$S$16:$S$39,[1]CRITERIOS!$Y$16:$Y$39))*$J461+$Z461)/$G461,0)*$G461,
((_xlfn.XLOOKUP($A461,'[1]DATOS PBI Artículos'!$A:$A,'[1]DATOS PBI Artículos'!$AL:$AL))/(_xlfn.XLOOKUP($AF$1,[1]CRITERIOS!$S$16:$S$39,[1]CRITERIOS!$Y$16:$Y$39))*$J461+$Z461)))</f>
        <v>#N/A</v>
      </c>
      <c r="AG461" s="39" t="e">
        <f>IF($R461="MTO","",
IF($H461=0,ROUNDUP(((_xlfn.XLOOKUP($A461,'[1]DATOS PBI Artículos'!$A:$A,'[1]DATOS PBI Artículos'!$AM:$AM))/(_xlfn.XLOOKUP($AH$1,[1]CRITERIOS!$S$16:$S$39,[1]CRITERIOS!$Y$16:$Y$39))*$J461+$Z461)/$G461,0)*$G461,
((_xlfn.XLOOKUP($A461,'[1]DATOS PBI Artículos'!$A:$A,'[1]DATOS PBI Artículos'!$AM:$AM))/(_xlfn.XLOOKUP($AH$1,[1]CRITERIOS!$S$16:$S$39,[1]CRITERIOS!$Y$16:$Y$39))*$J461+$Z461)))</f>
        <v>#N/A</v>
      </c>
      <c r="AI461" s="39" t="e">
        <f>IF($R461="MTO","",
IF($H461=0,ROUNDUP(((_xlfn.XLOOKUP($A461,'[1]DATOS PBI Artículos'!$A:$A,'[1]DATOS PBI Artículos'!$AN:$AN))/(_xlfn.XLOOKUP($AJ$1,[1]CRITERIOS!$S$16:$S$39,[1]CRITERIOS!$Y$16:$Y$39))*$J461+$Z461)/$G461,0)*$G461,
((_xlfn.XLOOKUP($A461,'[1]DATOS PBI Artículos'!$A:$A,'[1]DATOS PBI Artículos'!$AN:$AN))/(_xlfn.XLOOKUP($AJ$1,[1]CRITERIOS!$S$16:$S$39,[1]CRITERIOS!$Y$16:$Y$39))*$J461+$Z461)))</f>
        <v>#N/A</v>
      </c>
      <c r="AK461" s="39" t="e">
        <f>IF($R461="MTO","",
IF($H461=0,ROUNDUP(((_xlfn.XLOOKUP($A461,'[1]DATOS PBI Artículos'!$A:$A,'[1]DATOS PBI Artículos'!$AO:$AO))/(_xlfn.XLOOKUP($AL$1,[1]CRITERIOS!$S$16:$S$39,[1]CRITERIOS!$Y$16:$Y$39))*$J461+$Z461)/$G461,0)*$G461,
((_xlfn.XLOOKUP($A461,'[1]DATOS PBI Artículos'!$A:$A,'[1]DATOS PBI Artículos'!$AO:$AO))/(_xlfn.XLOOKUP($AL$1,[1]CRITERIOS!$S$16:$S$39,[1]CRITERIOS!$Y$16:$Y$39))*$J461+$Z461)))</f>
        <v>#N/A</v>
      </c>
    </row>
    <row r="462" spans="1:37" ht="25.8" hidden="1" x14ac:dyDescent="0.4">
      <c r="A462" s="41"/>
      <c r="B462" s="33">
        <f>_xlfn.XLOOKUP($A462,'[1]DATOS PBI Artículos'!A:A,'[1]DATOS PBI Artículos'!B:B)</f>
        <v>0</v>
      </c>
      <c r="C462" s="33">
        <f>_xlfn.XLOOKUP($A462,'[1]DATOS PBI Artículos'!A:A,'[1]DATOS PBI Artículos'!C:C)</f>
        <v>0</v>
      </c>
      <c r="D462" s="33">
        <f>_xlfn.XLOOKUP(A462,'[1]DATOS PBI Artículos'!A:A,'[1]DATOS PBI Artículos'!T:T)</f>
        <v>0</v>
      </c>
      <c r="E462" s="34">
        <f>IF(_xlfn.XLOOKUP($A462,'[1]DATOS PBI Artículos'!A:A,'[1]DATOS PBI Artículos'!AK:AK)="",_xlfn.XLOOKUP($A462,'[1]DATOS PBI Artículos'!A:A,'[1]DATOS PBI Artículos'!AJ:AJ),_xlfn.XLOOKUP($A462,'[1]DATOS PBI Artículos'!A:A,'[1]DATOS PBI Artículos'!AK:AK))</f>
        <v>0</v>
      </c>
      <c r="F462" s="35">
        <f>_xlfn.XLOOKUP($A462,'[1]DATOS PBI Artículos'!A:A,'[1]DATOS PBI Artículos'!AP:AP)</f>
        <v>0</v>
      </c>
      <c r="G462" s="34">
        <f>_xlfn.XLOOKUP($A462,'[1]DATOS PBI Artículos'!A:A,'[1]DATOS PBI Artículos'!AR:AR)</f>
        <v>0</v>
      </c>
      <c r="H462" s="34">
        <f>_xlfn.XLOOKUP($A462,'[1]DATOS PBI Artículos'!A:A,'[1]DATOS PBI Artículos'!AT:AT)</f>
        <v>0</v>
      </c>
      <c r="I462" s="34">
        <f>_xlfn.XLOOKUP($A462,'[1]DATOS PBI Artículos'!A:A,'[1]DATOS PBI Artículos'!AS:AS)</f>
        <v>0</v>
      </c>
      <c r="J462" s="35">
        <f>IF(COUNTIF([1]CRITERIOS!$F$179:$F$199,$A462)&gt;=1,
 IF(O462&lt;&gt;"",
    (O462/_xlfn.XLOOKUP(CONCATENATE(A462,L462),[1]MÁQUINAS!A:A,[1]MÁQUINAS!D:D))/24,
    (N462/_xlfn.XLOOKUP(CONCATENATE(A462,L462),[1]MÁQUINAS!A:A,[1]MÁQUINAS!D:D))/24),
  _xlfn.XLOOKUP($A462,'[1]DATOS PBI Artículos'!A:A,'[1]DATOS PBI Artículos'!AU:AU))</f>
        <v>0</v>
      </c>
      <c r="K462" s="36">
        <f>_xlfn.XLOOKUP($A462,'[1]DATOS PBI Artículos'!A:A,'[1]DATOS PBI Artículos'!AV:AV)</f>
        <v>0</v>
      </c>
      <c r="L462" s="33">
        <f>_xlfn.XLOOKUP(A462,[1]MÁQUINAS!B:B,[1]MÁQUINAS!C:C)</f>
        <v>0</v>
      </c>
      <c r="M462" s="34">
        <f t="array" ref="M462">_xlfn.XLOOKUP(A462,'[1]DATOS PBI Artículos'!A:A,'[1]DATOS PBI Artículos'!AX:$AX)</f>
        <v>0</v>
      </c>
      <c r="N462" s="37" t="e">
        <f>IF(I462="DV",
E462,
IF(COUNTIF([1]CRITERIOS!$I$179:$I$199,$A462)&gt;=1,
_xlfn.XLOOKUP($A462,[1]CRITERIOS!$I$179:$I$199,[1]CRITERIOS!$J$179:$J$199),
IF(COUNTIF([1]CRITERIOS!$L$179:$L$199,$A462)&gt;=1,
_xlfn.CEILING.MATH(IF($M462&gt;$E462,
$E462,
IF($M462&lt;$E462/ROUNDDOWN([1]CRITERIOS!$M$16/_xlfn.XLOOKUP($C462,[1]CRITERIOS!$K$25:$K$42,[1]CRITERIOS!$M$25:$M$42),
1),
E462/ROUNDDOWN([1]CRITERIOS!$M$16/_xlfn.XLOOKUP($C462,[1]CRITERIOS!$K$25:$K$42,[1]CRITERIOS!$M$25:$M$42),
1),
$M462)),
_xlfn.XLOOKUP($A462,[1]CRITERIOS!$L$179:$L$200,[1]CRITERIOS!$M$179:$M$200)),
_xlfn.CEILING.MATH(IF($M462&gt;$E462,
$E462,
IF($M462&lt;$E462/ROUNDDOWN([1]CRITERIOS!$M$16/_xlfn.XLOOKUP($C462,[1]CRITERIOS!$K$25:$K$42,[1]CRITERIOS!$M$25:$M$42),
1),
E462/ROUNDDOWN([1]CRITERIOS!$M$16/_xlfn.XLOOKUP($C462,[1]CRITERIOS!$K$25:$K$42,[1]CRITERIOS!$M$25:$M$42),
1),
$M462)),_xlfn.XLOOKUP(A462,'[1]DATOS PBI Artículos'!A:A,'[1]DATOS PBI Artículos'!Z:Z
)))))</f>
        <v>#N/A</v>
      </c>
      <c r="Q462" s="38" t="e">
        <f>IF(AND(O462="",N462=0),
0,
   IF(COUNTIF([1]CRITERIOS!$F$179:$F$199,$A462)&gt;=1,
   1,
   IF(R462="MTO",
      $D462,
      ROUNDUP(
                    IF(($E462-SUMIF('[1]DATOS PBI Artículos'!A:A,A462,'[1]DATOS PBI Artículos'!X:X)+($V462-_xlfn.XLOOKUP(A462,'[1]DATOS PBI Artículos'!A:A,'[1]DATOS PBI Artículos'!W:W)))&lt;0,
                    0,
                    IF(($E462-SUMIF('[1]DATOS PBI Artículos'!A:A,A462,'[1]DATOS PBI Artículos'!X:X)+$V462-_xlfn.XLOOKUP($A462,'[1]DATOS PBI Artículos'!A:A,'[1]DATOS PBI Artículos'!W:W))/IF($O462="",$N462,$O462)&gt;ROUNDUP([1]CRITERIOS!$M$16/(IF(COUNTIF([1]CRITERIOS!$BG$11:$BG$201,L462)&gt;=1,_xlfn.XLOOKUP($C462,[1]CRITERIOS!$K$25:$K$42,[1]CRITERIOS!$M$25:$M$42),_xlfn.XLOOKUP($C462,[1]CRITERIOS!$K$25:$K$42,[1]CRITERIOS!$M$25:$M$42))),0),
                    ROUNDUP([1]CRITERIOS!$M$16/(IF(COUNTIF([1]CRITERIOS!$BG$11:$BG$201,$L462)&gt;=1,_xlfn.XLOOKUP($C462,[1]CRITERIOS!$K$25:$K$42,[1]CRITERIOS!$M$25:$M$42),_xlfn.XLOOKUP($C462,[1]CRITERIOS!$K$25:$K$42,[1]CRITERIOS!$M$25:$M$42))),0),
                    (E462+V462-SUMIF('[1]DATOS PBI Artículos'!A:A,A462,'[1]DATOS PBI Artículos'!X:X)-_xlfn.XLOOKUP(A462,'[1]DATOS PBI Artículos'!A:A,'[1]DATOS PBI Artículos'!W:W))/IF($O462="",$N462,$O462))),0))))</f>
        <v>#N/A</v>
      </c>
      <c r="R462" s="33" t="e">
        <f>IF(U462&lt;&gt;"",U462,IF(F462="DV","MTO",IF(N462=0,"MTO",_xlfn.XLOOKUP(CONCATENATE(S462,T462),[1]CRITERIOS!$K$160:$K$168,[1]CRITERIOS!$N$160:$N$168))))</f>
        <v>#N/A</v>
      </c>
      <c r="S462" s="33" t="e">
        <f>IF(G462="DV","MTO",IF(N462=0,"MTO",IF(OR(AND(N462=0,O462=""),IF(O462="",G462/N462,G462/O462)&gt;[1]CRITERIOS!$G$163),"MTO",IF(IF(O462="",G462/N462,G462/O462)&lt;[1]CRITERIOS!$H$161,"MTS","MTOS"))))</f>
        <v>#N/A</v>
      </c>
      <c r="T462" s="33" t="e">
        <f>IF(F462="DV","MTO",IF(OR(AND($N462=0,O462=""),$F462/$J462&gt;[1]CRITERIOS!$G$170,$F462="DV"),"MTO",IF($F462/$J462&lt;[1]CRITERIOS!$H$168,"MTS","MTOS")))</f>
        <v>#N/A</v>
      </c>
      <c r="V462" s="34" t="e">
        <f t="shared" si="22"/>
        <v>#N/A</v>
      </c>
      <c r="X462" s="34" t="e">
        <f t="shared" si="23"/>
        <v>#N/A</v>
      </c>
      <c r="Y462" s="34" t="e">
        <f t="shared" si="24"/>
        <v>#N/A</v>
      </c>
      <c r="Z462" s="34" t="e">
        <f>IF($R462="MTO",
0,
($H462+$K462*($E462/[1]CRITERIOS!$M$16))/[1]CRITERIOS!$X$48)</f>
        <v>#N/A</v>
      </c>
      <c r="AA462" s="34" t="e">
        <f>ROUNDUP(($Y462/_xlfn.XLOOKUP($A462,'[1]DATOS PBI Artículos'!$A$4:$A$4,'[1]DATOS PBI Artículos'!$Z$4:$Z$4))/_xlfn.XLOOKUP(_xlfn.XLOOKUP($A462,'[1]DATOS PBI Artículos'!$A$4:$A$4,'[1]DATOS PBI Artículos'!$Y$4:$Y$4),[1]CRITERIOS!$P$79:$P$123,[1]CRITERIOS!$S$79:$S$123,),0)</f>
        <v>#N/A</v>
      </c>
      <c r="AB462" s="33" t="e">
        <f t="array" ref="AB462">IF((E462+V462-_xlfn.XLOOKUP(A462,'[1]DATOS PBI Artículos'!$A$4:$A$4,'[1]DATOS PBI Artículos'!$W$4:$W$4))/N462&gt;ROUNDUP([1]CRITERIOS!$M$16/(IF(COUNTIF([1]CRITERIOS!$BG$11:$BG$201,L462)&gt;=1,_xlfn.XLOOKUP(ARTÍCULOS!L462,[1]CRITERIOS!$BG$11:$BG$201,[1]CRITERIOS!$BJ$11:$BJ$201),_xlfn.XLOOKUP(ARTÍCULOS!C462,[1]CRITERIOS!$K$25:$K$42,[1]CRITERIOS!$M$25:$M$42))),0),ROUNDUP([1]CRITERIOS!$M$16/(IF(COUNTIF([1]CRITERIOS!$BG$11:$BG$201,L462)&gt;=1,_xlfn.XLOOKUP(ARTÍCULOS!L462,[1]CRITERIOS!$BG$11:$BG$201:#REF!,[1]CRITERIOS!$BJ$11:$BJ$201),_xlfn.XLOOKUP(ARTÍCULOS!C462,[1]CRITERIOS!$K$25:$K$42,[1]CRITERIOS!$M$25:$M$42))),0),(E462+V462-_xlfn.XLOOKUP(A462,'[1]DATOS PBI Artículos'!$A$4:$A$4,'[1]DATOS PBI Artículos'!$W$4:$W$4))/N462)</f>
        <v>#N/A</v>
      </c>
      <c r="AC462" s="33" t="e">
        <f>IF(N462=0,"",(ROUNDUP((N462/2)/(_xlfn.XLOOKUP(A462,'[1]DATOS PBI Artículos'!$A$4:$A$4,'[1]DATOS PBI Artículos'!$Z$4:$Z$4)*_xlfn.XLOOKUP(_xlfn.XLOOKUP(A462,'[1]DATOS PBI Artículos'!$A$4:$A$4,'[1]DATOS PBI Artículos'!$Y$4:$Y$4),[1]CRITERIOS!$P$79:$P$123,[1]CRITERIOS!$S$79:$S$123)),0)*[1]CRITERIOS!$M$80*([1]CRITERIOS!$M$110/[1]CRITERIOS!$M$86)+(_xlfn.XLOOKUP(A462,'[1]DATOS PBI Artículos'!$A$4:$A$4,'[1]DATOS PBI Artículos'!$AA$4:$AA$4)*([1]CRITERIOS!$M$95+[1]CRITERIOS!$M$98)))/N462)</f>
        <v>#N/A</v>
      </c>
      <c r="AD462" s="33" t="e">
        <f>IF(N462=0,"",(ROUNDUP((N462/2)/(_xlfn.XLOOKUP(A462,'[1]DATOS PBI Artículos'!$A$4:$A$4,'[1]DATOS PBI Artículos'!$Z$4:$Z$4)*_xlfn.XLOOKUP(_xlfn.XLOOKUP(A462,'[1]DATOS PBI Artículos'!$A$4:$A$4,'[1]DATOS PBI Artículos'!$Y$4:$Y$4),[1]CRITERIOS!$P$79:$P$123,[1]CRITERIOS!$S$79:$S$123)),0)*[1]CRITERIOS!$M$80*([1]CRITERIOS!$M$89*[1]CRITERIOS!$M$92)+((_xlfn.XLOOKUP(A462,'[1]DATOS PBI Artículos'!$A$4:$A$4,'[1]DATOS PBI Artículos'!$AA$4:$AA$4)/2)*([1]CRITERIOS!$M$95+[1]CRITERIOS!$M$98)))/N462)</f>
        <v>#N/A</v>
      </c>
      <c r="AE462" s="39" t="e">
        <f>IF($R462="MTO","",
IF($H462=0,ROUNDUP(((_xlfn.XLOOKUP($A462,'[1]DATOS PBI Artículos'!$A:$A,'[1]DATOS PBI Artículos'!$AL:$AL))/(_xlfn.XLOOKUP($AF$1,[1]CRITERIOS!$S$16:$S$39,[1]CRITERIOS!$Y$16:$Y$39))*$J462+$Z462)/$G462,0)*$G462,
((_xlfn.XLOOKUP($A462,'[1]DATOS PBI Artículos'!$A:$A,'[1]DATOS PBI Artículos'!$AL:$AL))/(_xlfn.XLOOKUP($AF$1,[1]CRITERIOS!$S$16:$S$39,[1]CRITERIOS!$Y$16:$Y$39))*$J462+$Z462)))</f>
        <v>#N/A</v>
      </c>
      <c r="AG462" s="39" t="e">
        <f>IF($R462="MTO","",
IF($H462=0,ROUNDUP(((_xlfn.XLOOKUP($A462,'[1]DATOS PBI Artículos'!$A:$A,'[1]DATOS PBI Artículos'!$AM:$AM))/(_xlfn.XLOOKUP($AH$1,[1]CRITERIOS!$S$16:$S$39,[1]CRITERIOS!$Y$16:$Y$39))*$J462+$Z462)/$G462,0)*$G462,
((_xlfn.XLOOKUP($A462,'[1]DATOS PBI Artículos'!$A:$A,'[1]DATOS PBI Artículos'!$AM:$AM))/(_xlfn.XLOOKUP($AH$1,[1]CRITERIOS!$S$16:$S$39,[1]CRITERIOS!$Y$16:$Y$39))*$J462+$Z462)))</f>
        <v>#N/A</v>
      </c>
      <c r="AI462" s="39" t="e">
        <f>IF($R462="MTO","",
IF($H462=0,ROUNDUP(((_xlfn.XLOOKUP($A462,'[1]DATOS PBI Artículos'!$A:$A,'[1]DATOS PBI Artículos'!$AN:$AN))/(_xlfn.XLOOKUP($AJ$1,[1]CRITERIOS!$S$16:$S$39,[1]CRITERIOS!$Y$16:$Y$39))*$J462+$Z462)/$G462,0)*$G462,
((_xlfn.XLOOKUP($A462,'[1]DATOS PBI Artículos'!$A:$A,'[1]DATOS PBI Artículos'!$AN:$AN))/(_xlfn.XLOOKUP($AJ$1,[1]CRITERIOS!$S$16:$S$39,[1]CRITERIOS!$Y$16:$Y$39))*$J462+$Z462)))</f>
        <v>#N/A</v>
      </c>
      <c r="AK462" s="39" t="e">
        <f>IF($R462="MTO","",
IF($H462=0,ROUNDUP(((_xlfn.XLOOKUP($A462,'[1]DATOS PBI Artículos'!$A:$A,'[1]DATOS PBI Artículos'!$AO:$AO))/(_xlfn.XLOOKUP($AL$1,[1]CRITERIOS!$S$16:$S$39,[1]CRITERIOS!$Y$16:$Y$39))*$J462+$Z462)/$G462,0)*$G462,
((_xlfn.XLOOKUP($A462,'[1]DATOS PBI Artículos'!$A:$A,'[1]DATOS PBI Artículos'!$AO:$AO))/(_xlfn.XLOOKUP($AL$1,[1]CRITERIOS!$S$16:$S$39,[1]CRITERIOS!$Y$16:$Y$39))*$J462+$Z462)))</f>
        <v>#N/A</v>
      </c>
    </row>
    <row r="463" spans="1:37" ht="25.8" hidden="1" x14ac:dyDescent="0.4">
      <c r="A463" s="41"/>
      <c r="B463" s="33">
        <f>_xlfn.XLOOKUP($A463,'[1]DATOS PBI Artículos'!A:A,'[1]DATOS PBI Artículos'!B:B)</f>
        <v>0</v>
      </c>
      <c r="C463" s="33">
        <f>_xlfn.XLOOKUP($A463,'[1]DATOS PBI Artículos'!A:A,'[1]DATOS PBI Artículos'!C:C)</f>
        <v>0</v>
      </c>
      <c r="D463" s="33">
        <f>_xlfn.XLOOKUP(A463,'[1]DATOS PBI Artículos'!A:A,'[1]DATOS PBI Artículos'!T:T)</f>
        <v>0</v>
      </c>
      <c r="E463" s="34">
        <f>IF(_xlfn.XLOOKUP($A463,'[1]DATOS PBI Artículos'!A:A,'[1]DATOS PBI Artículos'!AK:AK)="",_xlfn.XLOOKUP($A463,'[1]DATOS PBI Artículos'!A:A,'[1]DATOS PBI Artículos'!AJ:AJ),_xlfn.XLOOKUP($A463,'[1]DATOS PBI Artículos'!A:A,'[1]DATOS PBI Artículos'!AK:AK))</f>
        <v>0</v>
      </c>
      <c r="F463" s="35">
        <f>_xlfn.XLOOKUP($A463,'[1]DATOS PBI Artículos'!A:A,'[1]DATOS PBI Artículos'!AP:AP)</f>
        <v>0</v>
      </c>
      <c r="G463" s="34">
        <f>_xlfn.XLOOKUP($A463,'[1]DATOS PBI Artículos'!A:A,'[1]DATOS PBI Artículos'!AR:AR)</f>
        <v>0</v>
      </c>
      <c r="H463" s="34">
        <f>_xlfn.XLOOKUP($A463,'[1]DATOS PBI Artículos'!A:A,'[1]DATOS PBI Artículos'!AT:AT)</f>
        <v>0</v>
      </c>
      <c r="I463" s="34">
        <f>_xlfn.XLOOKUP($A463,'[1]DATOS PBI Artículos'!A:A,'[1]DATOS PBI Artículos'!AS:AS)</f>
        <v>0</v>
      </c>
      <c r="J463" s="35">
        <f>IF(COUNTIF([1]CRITERIOS!$F$179:$F$199,$A463)&gt;=1,
 IF(O463&lt;&gt;"",
    (O463/_xlfn.XLOOKUP(CONCATENATE(A463,L463),[1]MÁQUINAS!A:A,[1]MÁQUINAS!D:D))/24,
    (N463/_xlfn.XLOOKUP(CONCATENATE(A463,L463),[1]MÁQUINAS!A:A,[1]MÁQUINAS!D:D))/24),
  _xlfn.XLOOKUP($A463,'[1]DATOS PBI Artículos'!A:A,'[1]DATOS PBI Artículos'!AU:AU))</f>
        <v>0</v>
      </c>
      <c r="K463" s="36">
        <f>_xlfn.XLOOKUP($A463,'[1]DATOS PBI Artículos'!A:A,'[1]DATOS PBI Artículos'!AV:AV)</f>
        <v>0</v>
      </c>
      <c r="L463" s="33">
        <f>_xlfn.XLOOKUP(A463,[1]MÁQUINAS!B:B,[1]MÁQUINAS!C:C)</f>
        <v>0</v>
      </c>
      <c r="M463" s="34">
        <f t="array" ref="M463">_xlfn.XLOOKUP(A463,'[1]DATOS PBI Artículos'!A:A,'[1]DATOS PBI Artículos'!AX:$AX)</f>
        <v>0</v>
      </c>
      <c r="N463" s="37" t="e">
        <f>IF(I463="DV",
E463,
IF(COUNTIF([1]CRITERIOS!$I$179:$I$199,$A463)&gt;=1,
_xlfn.XLOOKUP($A463,[1]CRITERIOS!$I$179:$I$199,[1]CRITERIOS!$J$179:$J$199),
IF(COUNTIF([1]CRITERIOS!$L$179:$L$199,$A463)&gt;=1,
_xlfn.CEILING.MATH(IF($M463&gt;$E463,
$E463,
IF($M463&lt;$E463/ROUNDDOWN([1]CRITERIOS!$M$16/_xlfn.XLOOKUP($C463,[1]CRITERIOS!$K$25:$K$42,[1]CRITERIOS!$M$25:$M$42),
1),
E463/ROUNDDOWN([1]CRITERIOS!$M$16/_xlfn.XLOOKUP($C463,[1]CRITERIOS!$K$25:$K$42,[1]CRITERIOS!$M$25:$M$42),
1),
$M463)),
_xlfn.XLOOKUP($A463,[1]CRITERIOS!$L$179:$L$200,[1]CRITERIOS!$M$179:$M$200)),
_xlfn.CEILING.MATH(IF($M463&gt;$E463,
$E463,
IF($M463&lt;$E463/ROUNDDOWN([1]CRITERIOS!$M$16/_xlfn.XLOOKUP($C463,[1]CRITERIOS!$K$25:$K$42,[1]CRITERIOS!$M$25:$M$42),
1),
E463/ROUNDDOWN([1]CRITERIOS!$M$16/_xlfn.XLOOKUP($C463,[1]CRITERIOS!$K$25:$K$42,[1]CRITERIOS!$M$25:$M$42),
1),
$M463)),_xlfn.XLOOKUP(A463,'[1]DATOS PBI Artículos'!A:A,'[1]DATOS PBI Artículos'!Z:Z
)))))</f>
        <v>#N/A</v>
      </c>
      <c r="Q463" s="38" t="e">
        <f>IF(AND(O463="",N463=0),
0,
   IF(COUNTIF([1]CRITERIOS!$F$179:$F$199,$A463)&gt;=1,
   1,
   IF(R463="MTO",
      $D463,
      ROUNDUP(
                    IF(($E463-SUMIF('[1]DATOS PBI Artículos'!A:A,A463,'[1]DATOS PBI Artículos'!X:X)+($V463-_xlfn.XLOOKUP(A463,'[1]DATOS PBI Artículos'!A:A,'[1]DATOS PBI Artículos'!W:W)))&lt;0,
                    0,
                    IF(($E463-SUMIF('[1]DATOS PBI Artículos'!A:A,A463,'[1]DATOS PBI Artículos'!X:X)+$V463-_xlfn.XLOOKUP($A463,'[1]DATOS PBI Artículos'!A:A,'[1]DATOS PBI Artículos'!W:W))/IF($O463="",$N463,$O463)&gt;ROUNDUP([1]CRITERIOS!$M$16/(IF(COUNTIF([1]CRITERIOS!$BG$11:$BG$201,L463)&gt;=1,_xlfn.XLOOKUP($C463,[1]CRITERIOS!$K$25:$K$42,[1]CRITERIOS!$M$25:$M$42),_xlfn.XLOOKUP($C463,[1]CRITERIOS!$K$25:$K$42,[1]CRITERIOS!$M$25:$M$42))),0),
                    ROUNDUP([1]CRITERIOS!$M$16/(IF(COUNTIF([1]CRITERIOS!$BG$11:$BG$201,$L463)&gt;=1,_xlfn.XLOOKUP($C463,[1]CRITERIOS!$K$25:$K$42,[1]CRITERIOS!$M$25:$M$42),_xlfn.XLOOKUP($C463,[1]CRITERIOS!$K$25:$K$42,[1]CRITERIOS!$M$25:$M$42))),0),
                    (E463+V463-SUMIF('[1]DATOS PBI Artículos'!A:A,A463,'[1]DATOS PBI Artículos'!X:X)-_xlfn.XLOOKUP(A463,'[1]DATOS PBI Artículos'!A:A,'[1]DATOS PBI Artículos'!W:W))/IF($O463="",$N463,$O463))),0))))</f>
        <v>#N/A</v>
      </c>
      <c r="R463" s="33" t="e">
        <f>IF(U463&lt;&gt;"",U463,IF(F463="DV","MTO",IF(N463=0,"MTO",_xlfn.XLOOKUP(CONCATENATE(S463,T463),[1]CRITERIOS!$K$160:$K$168,[1]CRITERIOS!$N$160:$N$168))))</f>
        <v>#N/A</v>
      </c>
      <c r="S463" s="33" t="e">
        <f>IF(G463="DV","MTO",IF(N463=0,"MTO",IF(OR(AND(N463=0,O463=""),IF(O463="",G463/N463,G463/O463)&gt;[1]CRITERIOS!$G$163),"MTO",IF(IF(O463="",G463/N463,G463/O463)&lt;[1]CRITERIOS!$H$161,"MTS","MTOS"))))</f>
        <v>#N/A</v>
      </c>
      <c r="T463" s="33" t="e">
        <f>IF(F463="DV","MTO",IF(OR(AND($N463=0,O463=""),$F463/$J463&gt;[1]CRITERIOS!$G$170,$F463="DV"),"MTO",IF($F463/$J463&lt;[1]CRITERIOS!$H$168,"MTS","MTOS")))</f>
        <v>#N/A</v>
      </c>
      <c r="V463" s="34" t="e">
        <f t="shared" si="22"/>
        <v>#N/A</v>
      </c>
      <c r="X463" s="34" t="e">
        <f t="shared" si="23"/>
        <v>#N/A</v>
      </c>
      <c r="Y463" s="34" t="e">
        <f t="shared" si="24"/>
        <v>#N/A</v>
      </c>
      <c r="Z463" s="34" t="e">
        <f>IF($R463="MTO",
0,
($H463+$K463*($E463/[1]CRITERIOS!$M$16))/[1]CRITERIOS!$X$48)</f>
        <v>#N/A</v>
      </c>
      <c r="AA463" s="34" t="e">
        <f>ROUNDUP(($Y463/_xlfn.XLOOKUP($A463,'[1]DATOS PBI Artículos'!$A$4:$A$4,'[1]DATOS PBI Artículos'!$Z$4:$Z$4))/_xlfn.XLOOKUP(_xlfn.XLOOKUP($A463,'[1]DATOS PBI Artículos'!$A$4:$A$4,'[1]DATOS PBI Artículos'!$Y$4:$Y$4),[1]CRITERIOS!$P$79:$P$123,[1]CRITERIOS!$S$79:$S$123,),0)</f>
        <v>#N/A</v>
      </c>
      <c r="AB463" s="33" t="e">
        <f t="array" ref="AB463">IF((E463+V463-_xlfn.XLOOKUP(A463,'[1]DATOS PBI Artículos'!$A$4:$A$4,'[1]DATOS PBI Artículos'!$W$4:$W$4))/N463&gt;ROUNDUP([1]CRITERIOS!$M$16/(IF(COUNTIF([1]CRITERIOS!$BG$11:$BG$201,L463)&gt;=1,_xlfn.XLOOKUP(ARTÍCULOS!L463,[1]CRITERIOS!$BG$11:$BG$201,[1]CRITERIOS!$BJ$11:$BJ$201),_xlfn.XLOOKUP(ARTÍCULOS!C463,[1]CRITERIOS!$K$25:$K$42,[1]CRITERIOS!$M$25:$M$42))),0),ROUNDUP([1]CRITERIOS!$M$16/(IF(COUNTIF([1]CRITERIOS!$BG$11:$BG$201,L463)&gt;=1,_xlfn.XLOOKUP(ARTÍCULOS!L463,[1]CRITERIOS!$BG$11:$BG$201:#REF!,[1]CRITERIOS!$BJ$11:$BJ$201),_xlfn.XLOOKUP(ARTÍCULOS!C463,[1]CRITERIOS!$K$25:$K$42,[1]CRITERIOS!$M$25:$M$42))),0),(E463+V463-_xlfn.XLOOKUP(A463,'[1]DATOS PBI Artículos'!$A$4:$A$4,'[1]DATOS PBI Artículos'!$W$4:$W$4))/N463)</f>
        <v>#N/A</v>
      </c>
      <c r="AC463" s="33" t="e">
        <f>IF(N463=0,"",(ROUNDUP((N463/2)/(_xlfn.XLOOKUP(A463,'[1]DATOS PBI Artículos'!$A$4:$A$4,'[1]DATOS PBI Artículos'!$Z$4:$Z$4)*_xlfn.XLOOKUP(_xlfn.XLOOKUP(A463,'[1]DATOS PBI Artículos'!$A$4:$A$4,'[1]DATOS PBI Artículos'!$Y$4:$Y$4),[1]CRITERIOS!$P$79:$P$123,[1]CRITERIOS!$S$79:$S$123)),0)*[1]CRITERIOS!$M$80*([1]CRITERIOS!$M$110/[1]CRITERIOS!$M$86)+(_xlfn.XLOOKUP(A463,'[1]DATOS PBI Artículos'!$A$4:$A$4,'[1]DATOS PBI Artículos'!$AA$4:$AA$4)*([1]CRITERIOS!$M$95+[1]CRITERIOS!$M$98)))/N463)</f>
        <v>#N/A</v>
      </c>
      <c r="AD463" s="33" t="e">
        <f>IF(N463=0,"",(ROUNDUP((N463/2)/(_xlfn.XLOOKUP(A463,'[1]DATOS PBI Artículos'!$A$4:$A$4,'[1]DATOS PBI Artículos'!$Z$4:$Z$4)*_xlfn.XLOOKUP(_xlfn.XLOOKUP(A463,'[1]DATOS PBI Artículos'!$A$4:$A$4,'[1]DATOS PBI Artículos'!$Y$4:$Y$4),[1]CRITERIOS!$P$79:$P$123,[1]CRITERIOS!$S$79:$S$123)),0)*[1]CRITERIOS!$M$80*([1]CRITERIOS!$M$89*[1]CRITERIOS!$M$92)+((_xlfn.XLOOKUP(A463,'[1]DATOS PBI Artículos'!$A$4:$A$4,'[1]DATOS PBI Artículos'!$AA$4:$AA$4)/2)*([1]CRITERIOS!$M$95+[1]CRITERIOS!$M$98)))/N463)</f>
        <v>#N/A</v>
      </c>
      <c r="AE463" s="39" t="e">
        <f>IF($R463="MTO","",
IF($H463=0,ROUNDUP(((_xlfn.XLOOKUP($A463,'[1]DATOS PBI Artículos'!$A:$A,'[1]DATOS PBI Artículos'!$AL:$AL))/(_xlfn.XLOOKUP($AF$1,[1]CRITERIOS!$S$16:$S$39,[1]CRITERIOS!$Y$16:$Y$39))*$J463+$Z463)/$G463,0)*$G463,
((_xlfn.XLOOKUP($A463,'[1]DATOS PBI Artículos'!$A:$A,'[1]DATOS PBI Artículos'!$AL:$AL))/(_xlfn.XLOOKUP($AF$1,[1]CRITERIOS!$S$16:$S$39,[1]CRITERIOS!$Y$16:$Y$39))*$J463+$Z463)))</f>
        <v>#N/A</v>
      </c>
      <c r="AG463" s="39" t="e">
        <f>IF($R463="MTO","",
IF($H463=0,ROUNDUP(((_xlfn.XLOOKUP($A463,'[1]DATOS PBI Artículos'!$A:$A,'[1]DATOS PBI Artículos'!$AM:$AM))/(_xlfn.XLOOKUP($AH$1,[1]CRITERIOS!$S$16:$S$39,[1]CRITERIOS!$Y$16:$Y$39))*$J463+$Z463)/$G463,0)*$G463,
((_xlfn.XLOOKUP($A463,'[1]DATOS PBI Artículos'!$A:$A,'[1]DATOS PBI Artículos'!$AM:$AM))/(_xlfn.XLOOKUP($AH$1,[1]CRITERIOS!$S$16:$S$39,[1]CRITERIOS!$Y$16:$Y$39))*$J463+$Z463)))</f>
        <v>#N/A</v>
      </c>
      <c r="AI463" s="39" t="e">
        <f>IF($R463="MTO","",
IF($H463=0,ROUNDUP(((_xlfn.XLOOKUP($A463,'[1]DATOS PBI Artículos'!$A:$A,'[1]DATOS PBI Artículos'!$AN:$AN))/(_xlfn.XLOOKUP($AJ$1,[1]CRITERIOS!$S$16:$S$39,[1]CRITERIOS!$Y$16:$Y$39))*$J463+$Z463)/$G463,0)*$G463,
((_xlfn.XLOOKUP($A463,'[1]DATOS PBI Artículos'!$A:$A,'[1]DATOS PBI Artículos'!$AN:$AN))/(_xlfn.XLOOKUP($AJ$1,[1]CRITERIOS!$S$16:$S$39,[1]CRITERIOS!$Y$16:$Y$39))*$J463+$Z463)))</f>
        <v>#N/A</v>
      </c>
      <c r="AK463" s="39" t="e">
        <f>IF($R463="MTO","",
IF($H463=0,ROUNDUP(((_xlfn.XLOOKUP($A463,'[1]DATOS PBI Artículos'!$A:$A,'[1]DATOS PBI Artículos'!$AO:$AO))/(_xlfn.XLOOKUP($AL$1,[1]CRITERIOS!$S$16:$S$39,[1]CRITERIOS!$Y$16:$Y$39))*$J463+$Z463)/$G463,0)*$G463,
((_xlfn.XLOOKUP($A463,'[1]DATOS PBI Artículos'!$A:$A,'[1]DATOS PBI Artículos'!$AO:$AO))/(_xlfn.XLOOKUP($AL$1,[1]CRITERIOS!$S$16:$S$39,[1]CRITERIOS!$Y$16:$Y$39))*$J463+$Z463)))</f>
        <v>#N/A</v>
      </c>
    </row>
    <row r="464" spans="1:37" ht="25.8" hidden="1" x14ac:dyDescent="0.4">
      <c r="A464" s="41"/>
      <c r="B464" s="33">
        <f>_xlfn.XLOOKUP($A464,'[1]DATOS PBI Artículos'!A:A,'[1]DATOS PBI Artículos'!B:B)</f>
        <v>0</v>
      </c>
      <c r="C464" s="33">
        <f>_xlfn.XLOOKUP($A464,'[1]DATOS PBI Artículos'!A:A,'[1]DATOS PBI Artículos'!C:C)</f>
        <v>0</v>
      </c>
      <c r="D464" s="33">
        <f>_xlfn.XLOOKUP(A464,'[1]DATOS PBI Artículos'!A:A,'[1]DATOS PBI Artículos'!T:T)</f>
        <v>0</v>
      </c>
      <c r="E464" s="34">
        <f>IF(_xlfn.XLOOKUP($A464,'[1]DATOS PBI Artículos'!A:A,'[1]DATOS PBI Artículos'!AK:AK)="",_xlfn.XLOOKUP($A464,'[1]DATOS PBI Artículos'!A:A,'[1]DATOS PBI Artículos'!AJ:AJ),_xlfn.XLOOKUP($A464,'[1]DATOS PBI Artículos'!A:A,'[1]DATOS PBI Artículos'!AK:AK))</f>
        <v>0</v>
      </c>
      <c r="F464" s="35">
        <f>_xlfn.XLOOKUP($A464,'[1]DATOS PBI Artículos'!A:A,'[1]DATOS PBI Artículos'!AP:AP)</f>
        <v>0</v>
      </c>
      <c r="G464" s="34">
        <f>_xlfn.XLOOKUP($A464,'[1]DATOS PBI Artículos'!A:A,'[1]DATOS PBI Artículos'!AR:AR)</f>
        <v>0</v>
      </c>
      <c r="H464" s="34">
        <f>_xlfn.XLOOKUP($A464,'[1]DATOS PBI Artículos'!A:A,'[1]DATOS PBI Artículos'!AT:AT)</f>
        <v>0</v>
      </c>
      <c r="I464" s="34">
        <f>_xlfn.XLOOKUP($A464,'[1]DATOS PBI Artículos'!A:A,'[1]DATOS PBI Artículos'!AS:AS)</f>
        <v>0</v>
      </c>
      <c r="J464" s="35">
        <f>IF(COUNTIF([1]CRITERIOS!$F$179:$F$199,$A464)&gt;=1,
 IF(O464&lt;&gt;"",
    (O464/_xlfn.XLOOKUP(CONCATENATE(A464,L464),[1]MÁQUINAS!A:A,[1]MÁQUINAS!D:D))/24,
    (N464/_xlfn.XLOOKUP(CONCATENATE(A464,L464),[1]MÁQUINAS!A:A,[1]MÁQUINAS!D:D))/24),
  _xlfn.XLOOKUP($A464,'[1]DATOS PBI Artículos'!A:A,'[1]DATOS PBI Artículos'!AU:AU))</f>
        <v>0</v>
      </c>
      <c r="K464" s="36">
        <f>_xlfn.XLOOKUP($A464,'[1]DATOS PBI Artículos'!A:A,'[1]DATOS PBI Artículos'!AV:AV)</f>
        <v>0</v>
      </c>
      <c r="L464" s="33">
        <f>_xlfn.XLOOKUP(A464,[1]MÁQUINAS!B:B,[1]MÁQUINAS!C:C)</f>
        <v>0</v>
      </c>
      <c r="M464" s="34">
        <f t="array" ref="M464">_xlfn.XLOOKUP(A464,'[1]DATOS PBI Artículos'!A:A,'[1]DATOS PBI Artículos'!AX:$AX)</f>
        <v>0</v>
      </c>
      <c r="N464" s="37" t="e">
        <f>IF(I464="DV",
E464,
IF(COUNTIF([1]CRITERIOS!$I$179:$I$199,$A464)&gt;=1,
_xlfn.XLOOKUP($A464,[1]CRITERIOS!$I$179:$I$199,[1]CRITERIOS!$J$179:$J$199),
IF(COUNTIF([1]CRITERIOS!$L$179:$L$199,$A464)&gt;=1,
_xlfn.CEILING.MATH(IF($M464&gt;$E464,
$E464,
IF($M464&lt;$E464/ROUNDDOWN([1]CRITERIOS!$M$16/_xlfn.XLOOKUP($C464,[1]CRITERIOS!$K$25:$K$42,[1]CRITERIOS!$M$25:$M$42),
1),
E464/ROUNDDOWN([1]CRITERIOS!$M$16/_xlfn.XLOOKUP($C464,[1]CRITERIOS!$K$25:$K$42,[1]CRITERIOS!$M$25:$M$42),
1),
$M464)),
_xlfn.XLOOKUP($A464,[1]CRITERIOS!$L$179:$L$200,[1]CRITERIOS!$M$179:$M$200)),
_xlfn.CEILING.MATH(IF($M464&gt;$E464,
$E464,
IF($M464&lt;$E464/ROUNDDOWN([1]CRITERIOS!$M$16/_xlfn.XLOOKUP($C464,[1]CRITERIOS!$K$25:$K$42,[1]CRITERIOS!$M$25:$M$42),
1),
E464/ROUNDDOWN([1]CRITERIOS!$M$16/_xlfn.XLOOKUP($C464,[1]CRITERIOS!$K$25:$K$42,[1]CRITERIOS!$M$25:$M$42),
1),
$M464)),_xlfn.XLOOKUP(A464,'[1]DATOS PBI Artículos'!A:A,'[1]DATOS PBI Artículos'!Z:Z
)))))</f>
        <v>#N/A</v>
      </c>
      <c r="Q464" s="38" t="e">
        <f>IF(AND(O464="",N464=0),
0,
   IF(COUNTIF([1]CRITERIOS!$F$179:$F$199,$A464)&gt;=1,
   1,
   IF(R464="MTO",
      $D464,
      ROUNDUP(
                    IF(($E464-SUMIF('[1]DATOS PBI Artículos'!A:A,A464,'[1]DATOS PBI Artículos'!X:X)+($V464-_xlfn.XLOOKUP(A464,'[1]DATOS PBI Artículos'!A:A,'[1]DATOS PBI Artículos'!W:W)))&lt;0,
                    0,
                    IF(($E464-SUMIF('[1]DATOS PBI Artículos'!A:A,A464,'[1]DATOS PBI Artículos'!X:X)+$V464-_xlfn.XLOOKUP($A464,'[1]DATOS PBI Artículos'!A:A,'[1]DATOS PBI Artículos'!W:W))/IF($O464="",$N464,$O464)&gt;ROUNDUP([1]CRITERIOS!$M$16/(IF(COUNTIF([1]CRITERIOS!$BG$11:$BG$201,L464)&gt;=1,_xlfn.XLOOKUP($C464,[1]CRITERIOS!$K$25:$K$42,[1]CRITERIOS!$M$25:$M$42),_xlfn.XLOOKUP($C464,[1]CRITERIOS!$K$25:$K$42,[1]CRITERIOS!$M$25:$M$42))),0),
                    ROUNDUP([1]CRITERIOS!$M$16/(IF(COUNTIF([1]CRITERIOS!$BG$11:$BG$201,$L464)&gt;=1,_xlfn.XLOOKUP($C464,[1]CRITERIOS!$K$25:$K$42,[1]CRITERIOS!$M$25:$M$42),_xlfn.XLOOKUP($C464,[1]CRITERIOS!$K$25:$K$42,[1]CRITERIOS!$M$25:$M$42))),0),
                    (E464+V464-SUMIF('[1]DATOS PBI Artículos'!A:A,A464,'[1]DATOS PBI Artículos'!X:X)-_xlfn.XLOOKUP(A464,'[1]DATOS PBI Artículos'!A:A,'[1]DATOS PBI Artículos'!W:W))/IF($O464="",$N464,$O464))),0))))</f>
        <v>#N/A</v>
      </c>
      <c r="R464" s="33" t="e">
        <f>IF(U464&lt;&gt;"",U464,IF(F464="DV","MTO",IF(N464=0,"MTO",_xlfn.XLOOKUP(CONCATENATE(S464,T464),[1]CRITERIOS!$K$160:$K$168,[1]CRITERIOS!$N$160:$N$168))))</f>
        <v>#N/A</v>
      </c>
      <c r="S464" s="33" t="e">
        <f>IF(G464="DV","MTO",IF(N464=0,"MTO",IF(OR(AND(N464=0,O464=""),IF(O464="",G464/N464,G464/O464)&gt;[1]CRITERIOS!$G$163),"MTO",IF(IF(O464="",G464/N464,G464/O464)&lt;[1]CRITERIOS!$H$161,"MTS","MTOS"))))</f>
        <v>#N/A</v>
      </c>
      <c r="T464" s="33" t="e">
        <f>IF(F464="DV","MTO",IF(OR(AND($N464=0,O464=""),$F464/$J464&gt;[1]CRITERIOS!$G$170,$F464="DV"),"MTO",IF($F464/$J464&lt;[1]CRITERIOS!$H$168,"MTS","MTOS")))</f>
        <v>#N/A</v>
      </c>
      <c r="V464" s="34" t="e">
        <f t="shared" si="22"/>
        <v>#N/A</v>
      </c>
      <c r="X464" s="34" t="e">
        <f t="shared" si="23"/>
        <v>#N/A</v>
      </c>
      <c r="Y464" s="34" t="e">
        <f t="shared" si="24"/>
        <v>#N/A</v>
      </c>
      <c r="Z464" s="34" t="e">
        <f>IF($R464="MTO",
0,
($H464+$K464*($E464/[1]CRITERIOS!$M$16))/[1]CRITERIOS!$X$48)</f>
        <v>#N/A</v>
      </c>
      <c r="AA464" s="34" t="e">
        <f>ROUNDUP(($Y464/_xlfn.XLOOKUP($A464,'[1]DATOS PBI Artículos'!$A$4:$A$4,'[1]DATOS PBI Artículos'!$Z$4:$Z$4))/_xlfn.XLOOKUP(_xlfn.XLOOKUP($A464,'[1]DATOS PBI Artículos'!$A$4:$A$4,'[1]DATOS PBI Artículos'!$Y$4:$Y$4),[1]CRITERIOS!$P$79:$P$123,[1]CRITERIOS!$S$79:$S$123,),0)</f>
        <v>#N/A</v>
      </c>
      <c r="AB464" s="33" t="e">
        <f t="array" ref="AB464">IF((E464+V464-_xlfn.XLOOKUP(A464,'[1]DATOS PBI Artículos'!$A$4:$A$4,'[1]DATOS PBI Artículos'!$W$4:$W$4))/N464&gt;ROUNDUP([1]CRITERIOS!$M$16/(IF(COUNTIF([1]CRITERIOS!$BG$11:$BG$201,L464)&gt;=1,_xlfn.XLOOKUP(ARTÍCULOS!L464,[1]CRITERIOS!$BG$11:$BG$201,[1]CRITERIOS!$BJ$11:$BJ$201),_xlfn.XLOOKUP(ARTÍCULOS!C464,[1]CRITERIOS!$K$25:$K$42,[1]CRITERIOS!$M$25:$M$42))),0),ROUNDUP([1]CRITERIOS!$M$16/(IF(COUNTIF([1]CRITERIOS!$BG$11:$BG$201,L464)&gt;=1,_xlfn.XLOOKUP(ARTÍCULOS!L464,[1]CRITERIOS!$BG$11:$BG$201:#REF!,[1]CRITERIOS!$BJ$11:$BJ$201),_xlfn.XLOOKUP(ARTÍCULOS!C464,[1]CRITERIOS!$K$25:$K$42,[1]CRITERIOS!$M$25:$M$42))),0),(E464+V464-_xlfn.XLOOKUP(A464,'[1]DATOS PBI Artículos'!$A$4:$A$4,'[1]DATOS PBI Artículos'!$W$4:$W$4))/N464)</f>
        <v>#N/A</v>
      </c>
      <c r="AC464" s="33" t="e">
        <f>IF(N464=0,"",(ROUNDUP((N464/2)/(_xlfn.XLOOKUP(A464,'[1]DATOS PBI Artículos'!$A$4:$A$4,'[1]DATOS PBI Artículos'!$Z$4:$Z$4)*_xlfn.XLOOKUP(_xlfn.XLOOKUP(A464,'[1]DATOS PBI Artículos'!$A$4:$A$4,'[1]DATOS PBI Artículos'!$Y$4:$Y$4),[1]CRITERIOS!$P$79:$P$123,[1]CRITERIOS!$S$79:$S$123)),0)*[1]CRITERIOS!$M$80*([1]CRITERIOS!$M$110/[1]CRITERIOS!$M$86)+(_xlfn.XLOOKUP(A464,'[1]DATOS PBI Artículos'!$A$4:$A$4,'[1]DATOS PBI Artículos'!$AA$4:$AA$4)*([1]CRITERIOS!$M$95+[1]CRITERIOS!$M$98)))/N464)</f>
        <v>#N/A</v>
      </c>
      <c r="AD464" s="33" t="e">
        <f>IF(N464=0,"",(ROUNDUP((N464/2)/(_xlfn.XLOOKUP(A464,'[1]DATOS PBI Artículos'!$A$4:$A$4,'[1]DATOS PBI Artículos'!$Z$4:$Z$4)*_xlfn.XLOOKUP(_xlfn.XLOOKUP(A464,'[1]DATOS PBI Artículos'!$A$4:$A$4,'[1]DATOS PBI Artículos'!$Y$4:$Y$4),[1]CRITERIOS!$P$79:$P$123,[1]CRITERIOS!$S$79:$S$123)),0)*[1]CRITERIOS!$M$80*([1]CRITERIOS!$M$89*[1]CRITERIOS!$M$92)+((_xlfn.XLOOKUP(A464,'[1]DATOS PBI Artículos'!$A$4:$A$4,'[1]DATOS PBI Artículos'!$AA$4:$AA$4)/2)*([1]CRITERIOS!$M$95+[1]CRITERIOS!$M$98)))/N464)</f>
        <v>#N/A</v>
      </c>
      <c r="AE464" s="39" t="e">
        <f>IF($R464="MTO","",
IF($H464=0,ROUNDUP(((_xlfn.XLOOKUP($A464,'[1]DATOS PBI Artículos'!$A:$A,'[1]DATOS PBI Artículos'!$AL:$AL))/(_xlfn.XLOOKUP($AF$1,[1]CRITERIOS!$S$16:$S$39,[1]CRITERIOS!$Y$16:$Y$39))*$J464+$Z464)/$G464,0)*$G464,
((_xlfn.XLOOKUP($A464,'[1]DATOS PBI Artículos'!$A:$A,'[1]DATOS PBI Artículos'!$AL:$AL))/(_xlfn.XLOOKUP($AF$1,[1]CRITERIOS!$S$16:$S$39,[1]CRITERIOS!$Y$16:$Y$39))*$J464+$Z464)))</f>
        <v>#N/A</v>
      </c>
      <c r="AG464" s="39" t="e">
        <f>IF($R464="MTO","",
IF($H464=0,ROUNDUP(((_xlfn.XLOOKUP($A464,'[1]DATOS PBI Artículos'!$A:$A,'[1]DATOS PBI Artículos'!$AM:$AM))/(_xlfn.XLOOKUP($AH$1,[1]CRITERIOS!$S$16:$S$39,[1]CRITERIOS!$Y$16:$Y$39))*$J464+$Z464)/$G464,0)*$G464,
((_xlfn.XLOOKUP($A464,'[1]DATOS PBI Artículos'!$A:$A,'[1]DATOS PBI Artículos'!$AM:$AM))/(_xlfn.XLOOKUP($AH$1,[1]CRITERIOS!$S$16:$S$39,[1]CRITERIOS!$Y$16:$Y$39))*$J464+$Z464)))</f>
        <v>#N/A</v>
      </c>
      <c r="AI464" s="39" t="e">
        <f>IF($R464="MTO","",
IF($H464=0,ROUNDUP(((_xlfn.XLOOKUP($A464,'[1]DATOS PBI Artículos'!$A:$A,'[1]DATOS PBI Artículos'!$AN:$AN))/(_xlfn.XLOOKUP($AJ$1,[1]CRITERIOS!$S$16:$S$39,[1]CRITERIOS!$Y$16:$Y$39))*$J464+$Z464)/$G464,0)*$G464,
((_xlfn.XLOOKUP($A464,'[1]DATOS PBI Artículos'!$A:$A,'[1]DATOS PBI Artículos'!$AN:$AN))/(_xlfn.XLOOKUP($AJ$1,[1]CRITERIOS!$S$16:$S$39,[1]CRITERIOS!$Y$16:$Y$39))*$J464+$Z464)))</f>
        <v>#N/A</v>
      </c>
      <c r="AK464" s="39" t="e">
        <f>IF($R464="MTO","",
IF($H464=0,ROUNDUP(((_xlfn.XLOOKUP($A464,'[1]DATOS PBI Artículos'!$A:$A,'[1]DATOS PBI Artículos'!$AO:$AO))/(_xlfn.XLOOKUP($AL$1,[1]CRITERIOS!$S$16:$S$39,[1]CRITERIOS!$Y$16:$Y$39))*$J464+$Z464)/$G464,0)*$G464,
((_xlfn.XLOOKUP($A464,'[1]DATOS PBI Artículos'!$A:$A,'[1]DATOS PBI Artículos'!$AO:$AO))/(_xlfn.XLOOKUP($AL$1,[1]CRITERIOS!$S$16:$S$39,[1]CRITERIOS!$Y$16:$Y$39))*$J464+$Z464)))</f>
        <v>#N/A</v>
      </c>
    </row>
    <row r="465" spans="1:37" ht="25.8" hidden="1" x14ac:dyDescent="0.4">
      <c r="A465" s="41"/>
      <c r="B465" s="33">
        <f>_xlfn.XLOOKUP($A465,'[1]DATOS PBI Artículos'!A:A,'[1]DATOS PBI Artículos'!B:B)</f>
        <v>0</v>
      </c>
      <c r="C465" s="33">
        <f>_xlfn.XLOOKUP($A465,'[1]DATOS PBI Artículos'!A:A,'[1]DATOS PBI Artículos'!C:C)</f>
        <v>0</v>
      </c>
      <c r="D465" s="33">
        <f>_xlfn.XLOOKUP(A465,'[1]DATOS PBI Artículos'!A:A,'[1]DATOS PBI Artículos'!T:T)</f>
        <v>0</v>
      </c>
      <c r="E465" s="34">
        <f>IF(_xlfn.XLOOKUP($A465,'[1]DATOS PBI Artículos'!A:A,'[1]DATOS PBI Artículos'!AK:AK)="",_xlfn.XLOOKUP($A465,'[1]DATOS PBI Artículos'!A:A,'[1]DATOS PBI Artículos'!AJ:AJ),_xlfn.XLOOKUP($A465,'[1]DATOS PBI Artículos'!A:A,'[1]DATOS PBI Artículos'!AK:AK))</f>
        <v>0</v>
      </c>
      <c r="F465" s="35">
        <f>_xlfn.XLOOKUP($A465,'[1]DATOS PBI Artículos'!A:A,'[1]DATOS PBI Artículos'!AP:AP)</f>
        <v>0</v>
      </c>
      <c r="G465" s="34">
        <f>_xlfn.XLOOKUP($A465,'[1]DATOS PBI Artículos'!A:A,'[1]DATOS PBI Artículos'!AR:AR)</f>
        <v>0</v>
      </c>
      <c r="H465" s="34">
        <f>_xlfn.XLOOKUP($A465,'[1]DATOS PBI Artículos'!A:A,'[1]DATOS PBI Artículos'!AT:AT)</f>
        <v>0</v>
      </c>
      <c r="I465" s="34">
        <f>_xlfn.XLOOKUP($A465,'[1]DATOS PBI Artículos'!A:A,'[1]DATOS PBI Artículos'!AS:AS)</f>
        <v>0</v>
      </c>
      <c r="J465" s="35">
        <f>IF(COUNTIF([1]CRITERIOS!$F$179:$F$199,$A465)&gt;=1,
 IF(O465&lt;&gt;"",
    (O465/_xlfn.XLOOKUP(CONCATENATE(A465,L465),[1]MÁQUINAS!A:A,[1]MÁQUINAS!D:D))/24,
    (N465/_xlfn.XLOOKUP(CONCATENATE(A465,L465),[1]MÁQUINAS!A:A,[1]MÁQUINAS!D:D))/24),
  _xlfn.XLOOKUP($A465,'[1]DATOS PBI Artículos'!A:A,'[1]DATOS PBI Artículos'!AU:AU))</f>
        <v>0</v>
      </c>
      <c r="K465" s="36">
        <f>_xlfn.XLOOKUP($A465,'[1]DATOS PBI Artículos'!A:A,'[1]DATOS PBI Artículos'!AV:AV)</f>
        <v>0</v>
      </c>
      <c r="L465" s="33">
        <f>_xlfn.XLOOKUP(A465,[1]MÁQUINAS!B:B,[1]MÁQUINAS!C:C)</f>
        <v>0</v>
      </c>
      <c r="M465" s="34">
        <f t="array" ref="M465">_xlfn.XLOOKUP(A465,'[1]DATOS PBI Artículos'!A:A,'[1]DATOS PBI Artículos'!AX:$AX)</f>
        <v>0</v>
      </c>
      <c r="N465" s="37" t="e">
        <f>IF(I465="DV",
E465,
IF(COUNTIF([1]CRITERIOS!$I$179:$I$199,$A465)&gt;=1,
_xlfn.XLOOKUP($A465,[1]CRITERIOS!$I$179:$I$199,[1]CRITERIOS!$J$179:$J$199),
IF(COUNTIF([1]CRITERIOS!$L$179:$L$199,$A465)&gt;=1,
_xlfn.CEILING.MATH(IF($M465&gt;$E465,
$E465,
IF($M465&lt;$E465/ROUNDDOWN([1]CRITERIOS!$M$16/_xlfn.XLOOKUP($C465,[1]CRITERIOS!$K$25:$K$42,[1]CRITERIOS!$M$25:$M$42),
1),
E465/ROUNDDOWN([1]CRITERIOS!$M$16/_xlfn.XLOOKUP($C465,[1]CRITERIOS!$K$25:$K$42,[1]CRITERIOS!$M$25:$M$42),
1),
$M465)),
_xlfn.XLOOKUP($A465,[1]CRITERIOS!$L$179:$L$200,[1]CRITERIOS!$M$179:$M$200)),
_xlfn.CEILING.MATH(IF($M465&gt;$E465,
$E465,
IF($M465&lt;$E465/ROUNDDOWN([1]CRITERIOS!$M$16/_xlfn.XLOOKUP($C465,[1]CRITERIOS!$K$25:$K$42,[1]CRITERIOS!$M$25:$M$42),
1),
E465/ROUNDDOWN([1]CRITERIOS!$M$16/_xlfn.XLOOKUP($C465,[1]CRITERIOS!$K$25:$K$42,[1]CRITERIOS!$M$25:$M$42),
1),
$M465)),_xlfn.XLOOKUP(A465,'[1]DATOS PBI Artículos'!A:A,'[1]DATOS PBI Artículos'!Z:Z
)))))</f>
        <v>#N/A</v>
      </c>
      <c r="Q465" s="38" t="e">
        <f>IF(AND(O465="",N465=0),
0,
   IF(COUNTIF([1]CRITERIOS!$F$179:$F$199,$A465)&gt;=1,
   1,
   IF(R465="MTO",
      $D465,
      ROUNDUP(
                    IF(($E465-SUMIF('[1]DATOS PBI Artículos'!A:A,A465,'[1]DATOS PBI Artículos'!X:X)+($V465-_xlfn.XLOOKUP(A465,'[1]DATOS PBI Artículos'!A:A,'[1]DATOS PBI Artículos'!W:W)))&lt;0,
                    0,
                    IF(($E465-SUMIF('[1]DATOS PBI Artículos'!A:A,A465,'[1]DATOS PBI Artículos'!X:X)+$V465-_xlfn.XLOOKUP($A465,'[1]DATOS PBI Artículos'!A:A,'[1]DATOS PBI Artículos'!W:W))/IF($O465="",$N465,$O465)&gt;ROUNDUP([1]CRITERIOS!$M$16/(IF(COUNTIF([1]CRITERIOS!$BG$11:$BG$201,L465)&gt;=1,_xlfn.XLOOKUP($C465,[1]CRITERIOS!$K$25:$K$42,[1]CRITERIOS!$M$25:$M$42),_xlfn.XLOOKUP($C465,[1]CRITERIOS!$K$25:$K$42,[1]CRITERIOS!$M$25:$M$42))),0),
                    ROUNDUP([1]CRITERIOS!$M$16/(IF(COUNTIF([1]CRITERIOS!$BG$11:$BG$201,$L465)&gt;=1,_xlfn.XLOOKUP($C465,[1]CRITERIOS!$K$25:$K$42,[1]CRITERIOS!$M$25:$M$42),_xlfn.XLOOKUP($C465,[1]CRITERIOS!$K$25:$K$42,[1]CRITERIOS!$M$25:$M$42))),0),
                    (E465+V465-SUMIF('[1]DATOS PBI Artículos'!A:A,A465,'[1]DATOS PBI Artículos'!X:X)-_xlfn.XLOOKUP(A465,'[1]DATOS PBI Artículos'!A:A,'[1]DATOS PBI Artículos'!W:W))/IF($O465="",$N465,$O465))),0))))</f>
        <v>#N/A</v>
      </c>
      <c r="R465" s="33" t="e">
        <f>IF(U465&lt;&gt;"",U465,IF(F465="DV","MTO",IF(N465=0,"MTO",_xlfn.XLOOKUP(CONCATENATE(S465,T465),[1]CRITERIOS!$K$160:$K$168,[1]CRITERIOS!$N$160:$N$168))))</f>
        <v>#N/A</v>
      </c>
      <c r="S465" s="33" t="e">
        <f>IF(G465="DV","MTO",IF(N465=0,"MTO",IF(OR(AND(N465=0,O465=""),IF(O465="",G465/N465,G465/O465)&gt;[1]CRITERIOS!$G$163),"MTO",IF(IF(O465="",G465/N465,G465/O465)&lt;[1]CRITERIOS!$H$161,"MTS","MTOS"))))</f>
        <v>#N/A</v>
      </c>
      <c r="T465" s="33" t="e">
        <f>IF(F465="DV","MTO",IF(OR(AND($N465=0,O465=""),$F465/$J465&gt;[1]CRITERIOS!$G$170,$F465="DV"),"MTO",IF($F465/$J465&lt;[1]CRITERIOS!$H$168,"MTS","MTOS")))</f>
        <v>#N/A</v>
      </c>
      <c r="V465" s="34" t="e">
        <f t="shared" si="22"/>
        <v>#N/A</v>
      </c>
      <c r="X465" s="34" t="e">
        <f t="shared" si="23"/>
        <v>#N/A</v>
      </c>
      <c r="Y465" s="34" t="e">
        <f t="shared" si="24"/>
        <v>#N/A</v>
      </c>
      <c r="Z465" s="34" t="e">
        <f>IF($R465="MTO",
0,
($H465+$K465*($E465/[1]CRITERIOS!$M$16))/[1]CRITERIOS!$X$48)</f>
        <v>#N/A</v>
      </c>
      <c r="AA465" s="34" t="e">
        <f>ROUNDUP(($Y465/_xlfn.XLOOKUP($A465,'[1]DATOS PBI Artículos'!$A$4:$A$4,'[1]DATOS PBI Artículos'!$Z$4:$Z$4))/_xlfn.XLOOKUP(_xlfn.XLOOKUP($A465,'[1]DATOS PBI Artículos'!$A$4:$A$4,'[1]DATOS PBI Artículos'!$Y$4:$Y$4),[1]CRITERIOS!$P$79:$P$123,[1]CRITERIOS!$S$79:$S$123,),0)</f>
        <v>#N/A</v>
      </c>
      <c r="AB465" s="33" t="e">
        <f t="array" ref="AB465">IF((E465+V465-_xlfn.XLOOKUP(A465,'[1]DATOS PBI Artículos'!$A$4:$A$4,'[1]DATOS PBI Artículos'!$W$4:$W$4))/N465&gt;ROUNDUP([1]CRITERIOS!$M$16/(IF(COUNTIF([1]CRITERIOS!$BG$11:$BG$201,L465)&gt;=1,_xlfn.XLOOKUP(ARTÍCULOS!L465,[1]CRITERIOS!$BG$11:$BG$201,[1]CRITERIOS!$BJ$11:$BJ$201),_xlfn.XLOOKUP(ARTÍCULOS!C465,[1]CRITERIOS!$K$25:$K$42,[1]CRITERIOS!$M$25:$M$42))),0),ROUNDUP([1]CRITERIOS!$M$16/(IF(COUNTIF([1]CRITERIOS!$BG$11:$BG$201,L465)&gt;=1,_xlfn.XLOOKUP(ARTÍCULOS!L465,[1]CRITERIOS!$BG$11:$BG$201:#REF!,[1]CRITERIOS!$BJ$11:$BJ$201),_xlfn.XLOOKUP(ARTÍCULOS!C465,[1]CRITERIOS!$K$25:$K$42,[1]CRITERIOS!$M$25:$M$42))),0),(E465+V465-_xlfn.XLOOKUP(A465,'[1]DATOS PBI Artículos'!$A$4:$A$4,'[1]DATOS PBI Artículos'!$W$4:$W$4))/N465)</f>
        <v>#N/A</v>
      </c>
      <c r="AC465" s="33" t="e">
        <f>IF(N465=0,"",(ROUNDUP((N465/2)/(_xlfn.XLOOKUP(A465,'[1]DATOS PBI Artículos'!$A$4:$A$4,'[1]DATOS PBI Artículos'!$Z$4:$Z$4)*_xlfn.XLOOKUP(_xlfn.XLOOKUP(A465,'[1]DATOS PBI Artículos'!$A$4:$A$4,'[1]DATOS PBI Artículos'!$Y$4:$Y$4),[1]CRITERIOS!$P$79:$P$123,[1]CRITERIOS!$S$79:$S$123)),0)*[1]CRITERIOS!$M$80*([1]CRITERIOS!$M$110/[1]CRITERIOS!$M$86)+(_xlfn.XLOOKUP(A465,'[1]DATOS PBI Artículos'!$A$4:$A$4,'[1]DATOS PBI Artículos'!$AA$4:$AA$4)*([1]CRITERIOS!$M$95+[1]CRITERIOS!$M$98)))/N465)</f>
        <v>#N/A</v>
      </c>
      <c r="AD465" s="33" t="e">
        <f>IF(N465=0,"",(ROUNDUP((N465/2)/(_xlfn.XLOOKUP(A465,'[1]DATOS PBI Artículos'!$A$4:$A$4,'[1]DATOS PBI Artículos'!$Z$4:$Z$4)*_xlfn.XLOOKUP(_xlfn.XLOOKUP(A465,'[1]DATOS PBI Artículos'!$A$4:$A$4,'[1]DATOS PBI Artículos'!$Y$4:$Y$4),[1]CRITERIOS!$P$79:$P$123,[1]CRITERIOS!$S$79:$S$123)),0)*[1]CRITERIOS!$M$80*([1]CRITERIOS!$M$89*[1]CRITERIOS!$M$92)+((_xlfn.XLOOKUP(A465,'[1]DATOS PBI Artículos'!$A$4:$A$4,'[1]DATOS PBI Artículos'!$AA$4:$AA$4)/2)*([1]CRITERIOS!$M$95+[1]CRITERIOS!$M$98)))/N465)</f>
        <v>#N/A</v>
      </c>
      <c r="AE465" s="39" t="e">
        <f>IF($R465="MTO","",
IF($H465=0,ROUNDUP(((_xlfn.XLOOKUP($A465,'[1]DATOS PBI Artículos'!$A:$A,'[1]DATOS PBI Artículos'!$AL:$AL))/(_xlfn.XLOOKUP($AF$1,[1]CRITERIOS!$S$16:$S$39,[1]CRITERIOS!$Y$16:$Y$39))*$J465+$Z465)/$G465,0)*$G465,
((_xlfn.XLOOKUP($A465,'[1]DATOS PBI Artículos'!$A:$A,'[1]DATOS PBI Artículos'!$AL:$AL))/(_xlfn.XLOOKUP($AF$1,[1]CRITERIOS!$S$16:$S$39,[1]CRITERIOS!$Y$16:$Y$39))*$J465+$Z465)))</f>
        <v>#N/A</v>
      </c>
      <c r="AG465" s="39" t="e">
        <f>IF($R465="MTO","",
IF($H465=0,ROUNDUP(((_xlfn.XLOOKUP($A465,'[1]DATOS PBI Artículos'!$A:$A,'[1]DATOS PBI Artículos'!$AM:$AM))/(_xlfn.XLOOKUP($AH$1,[1]CRITERIOS!$S$16:$S$39,[1]CRITERIOS!$Y$16:$Y$39))*$J465+$Z465)/$G465,0)*$G465,
((_xlfn.XLOOKUP($A465,'[1]DATOS PBI Artículos'!$A:$A,'[1]DATOS PBI Artículos'!$AM:$AM))/(_xlfn.XLOOKUP($AH$1,[1]CRITERIOS!$S$16:$S$39,[1]CRITERIOS!$Y$16:$Y$39))*$J465+$Z465)))</f>
        <v>#N/A</v>
      </c>
      <c r="AI465" s="39" t="e">
        <f>IF($R465="MTO","",
IF($H465=0,ROUNDUP(((_xlfn.XLOOKUP($A465,'[1]DATOS PBI Artículos'!$A:$A,'[1]DATOS PBI Artículos'!$AN:$AN))/(_xlfn.XLOOKUP($AJ$1,[1]CRITERIOS!$S$16:$S$39,[1]CRITERIOS!$Y$16:$Y$39))*$J465+$Z465)/$G465,0)*$G465,
((_xlfn.XLOOKUP($A465,'[1]DATOS PBI Artículos'!$A:$A,'[1]DATOS PBI Artículos'!$AN:$AN))/(_xlfn.XLOOKUP($AJ$1,[1]CRITERIOS!$S$16:$S$39,[1]CRITERIOS!$Y$16:$Y$39))*$J465+$Z465)))</f>
        <v>#N/A</v>
      </c>
      <c r="AK465" s="39" t="e">
        <f>IF($R465="MTO","",
IF($H465=0,ROUNDUP(((_xlfn.XLOOKUP($A465,'[1]DATOS PBI Artículos'!$A:$A,'[1]DATOS PBI Artículos'!$AO:$AO))/(_xlfn.XLOOKUP($AL$1,[1]CRITERIOS!$S$16:$S$39,[1]CRITERIOS!$Y$16:$Y$39))*$J465+$Z465)/$G465,0)*$G465,
((_xlfn.XLOOKUP($A465,'[1]DATOS PBI Artículos'!$A:$A,'[1]DATOS PBI Artículos'!$AO:$AO))/(_xlfn.XLOOKUP($AL$1,[1]CRITERIOS!$S$16:$S$39,[1]CRITERIOS!$Y$16:$Y$39))*$J465+$Z465)))</f>
        <v>#N/A</v>
      </c>
    </row>
    <row r="466" spans="1:37" ht="25.8" hidden="1" x14ac:dyDescent="0.4">
      <c r="A466" s="41"/>
      <c r="B466" s="33">
        <f>_xlfn.XLOOKUP($A466,'[1]DATOS PBI Artículos'!A:A,'[1]DATOS PBI Artículos'!B:B)</f>
        <v>0</v>
      </c>
      <c r="C466" s="33">
        <f>_xlfn.XLOOKUP($A466,'[1]DATOS PBI Artículos'!A:A,'[1]DATOS PBI Artículos'!C:C)</f>
        <v>0</v>
      </c>
      <c r="D466" s="33">
        <f>_xlfn.XLOOKUP(A466,'[1]DATOS PBI Artículos'!A:A,'[1]DATOS PBI Artículos'!T:T)</f>
        <v>0</v>
      </c>
      <c r="E466" s="34">
        <f>IF(_xlfn.XLOOKUP($A466,'[1]DATOS PBI Artículos'!A:A,'[1]DATOS PBI Artículos'!AK:AK)="",_xlfn.XLOOKUP($A466,'[1]DATOS PBI Artículos'!A:A,'[1]DATOS PBI Artículos'!AJ:AJ),_xlfn.XLOOKUP($A466,'[1]DATOS PBI Artículos'!A:A,'[1]DATOS PBI Artículos'!AK:AK))</f>
        <v>0</v>
      </c>
      <c r="F466" s="35">
        <f>_xlfn.XLOOKUP($A466,'[1]DATOS PBI Artículos'!A:A,'[1]DATOS PBI Artículos'!AP:AP)</f>
        <v>0</v>
      </c>
      <c r="G466" s="34">
        <f>_xlfn.XLOOKUP($A466,'[1]DATOS PBI Artículos'!A:A,'[1]DATOS PBI Artículos'!AR:AR)</f>
        <v>0</v>
      </c>
      <c r="H466" s="34">
        <f>_xlfn.XLOOKUP($A466,'[1]DATOS PBI Artículos'!A:A,'[1]DATOS PBI Artículos'!AT:AT)</f>
        <v>0</v>
      </c>
      <c r="I466" s="34">
        <f>_xlfn.XLOOKUP($A466,'[1]DATOS PBI Artículos'!A:A,'[1]DATOS PBI Artículos'!AS:AS)</f>
        <v>0</v>
      </c>
      <c r="J466" s="35">
        <f>IF(COUNTIF([1]CRITERIOS!$F$179:$F$199,$A466)&gt;=1,
 IF(O466&lt;&gt;"",
    (O466/_xlfn.XLOOKUP(CONCATENATE(A466,L466),[1]MÁQUINAS!A:A,[1]MÁQUINAS!D:D))/24,
    (N466/_xlfn.XLOOKUP(CONCATENATE(A466,L466),[1]MÁQUINAS!A:A,[1]MÁQUINAS!D:D))/24),
  _xlfn.XLOOKUP($A466,'[1]DATOS PBI Artículos'!A:A,'[1]DATOS PBI Artículos'!AU:AU))</f>
        <v>0</v>
      </c>
      <c r="K466" s="36">
        <f>_xlfn.XLOOKUP($A466,'[1]DATOS PBI Artículos'!A:A,'[1]DATOS PBI Artículos'!AV:AV)</f>
        <v>0</v>
      </c>
      <c r="L466" s="33">
        <f>_xlfn.XLOOKUP(A466,[1]MÁQUINAS!B:B,[1]MÁQUINAS!C:C)</f>
        <v>0</v>
      </c>
      <c r="M466" s="34">
        <f t="array" ref="M466">_xlfn.XLOOKUP(A466,'[1]DATOS PBI Artículos'!A:A,'[1]DATOS PBI Artículos'!AX:$AX)</f>
        <v>0</v>
      </c>
      <c r="N466" s="37" t="e">
        <f>IF(I466="DV",
E466,
IF(COUNTIF([1]CRITERIOS!$I$179:$I$199,$A466)&gt;=1,
_xlfn.XLOOKUP($A466,[1]CRITERIOS!$I$179:$I$199,[1]CRITERIOS!$J$179:$J$199),
IF(COUNTIF([1]CRITERIOS!$L$179:$L$199,$A466)&gt;=1,
_xlfn.CEILING.MATH(IF($M466&gt;$E466,
$E466,
IF($M466&lt;$E466/ROUNDDOWN([1]CRITERIOS!$M$16/_xlfn.XLOOKUP($C466,[1]CRITERIOS!$K$25:$K$42,[1]CRITERIOS!$M$25:$M$42),
1),
E466/ROUNDDOWN([1]CRITERIOS!$M$16/_xlfn.XLOOKUP($C466,[1]CRITERIOS!$K$25:$K$42,[1]CRITERIOS!$M$25:$M$42),
1),
$M466)),
_xlfn.XLOOKUP($A466,[1]CRITERIOS!$L$179:$L$200,[1]CRITERIOS!$M$179:$M$200)),
_xlfn.CEILING.MATH(IF($M466&gt;$E466,
$E466,
IF($M466&lt;$E466/ROUNDDOWN([1]CRITERIOS!$M$16/_xlfn.XLOOKUP($C466,[1]CRITERIOS!$K$25:$K$42,[1]CRITERIOS!$M$25:$M$42),
1),
E466/ROUNDDOWN([1]CRITERIOS!$M$16/_xlfn.XLOOKUP($C466,[1]CRITERIOS!$K$25:$K$42,[1]CRITERIOS!$M$25:$M$42),
1),
$M466)),_xlfn.XLOOKUP(A466,'[1]DATOS PBI Artículos'!A:A,'[1]DATOS PBI Artículos'!Z:Z
)))))</f>
        <v>#N/A</v>
      </c>
      <c r="Q466" s="38" t="e">
        <f>IF(AND(O466="",N466=0),
0,
   IF(COUNTIF([1]CRITERIOS!$F$179:$F$199,$A466)&gt;=1,
   1,
   IF(R466="MTO",
      $D466,
      ROUNDUP(
                    IF(($E466-SUMIF('[1]DATOS PBI Artículos'!A:A,A466,'[1]DATOS PBI Artículos'!X:X)+($V466-_xlfn.XLOOKUP(A466,'[1]DATOS PBI Artículos'!A:A,'[1]DATOS PBI Artículos'!W:W)))&lt;0,
                    0,
                    IF(($E466-SUMIF('[1]DATOS PBI Artículos'!A:A,A466,'[1]DATOS PBI Artículos'!X:X)+$V466-_xlfn.XLOOKUP($A466,'[1]DATOS PBI Artículos'!A:A,'[1]DATOS PBI Artículos'!W:W))/IF($O466="",$N466,$O466)&gt;ROUNDUP([1]CRITERIOS!$M$16/(IF(COUNTIF([1]CRITERIOS!$BG$11:$BG$201,L466)&gt;=1,_xlfn.XLOOKUP($C466,[1]CRITERIOS!$K$25:$K$42,[1]CRITERIOS!$M$25:$M$42),_xlfn.XLOOKUP($C466,[1]CRITERIOS!$K$25:$K$42,[1]CRITERIOS!$M$25:$M$42))),0),
                    ROUNDUP([1]CRITERIOS!$M$16/(IF(COUNTIF([1]CRITERIOS!$BG$11:$BG$201,$L466)&gt;=1,_xlfn.XLOOKUP($C466,[1]CRITERIOS!$K$25:$K$42,[1]CRITERIOS!$M$25:$M$42),_xlfn.XLOOKUP($C466,[1]CRITERIOS!$K$25:$K$42,[1]CRITERIOS!$M$25:$M$42))),0),
                    (E466+V466-SUMIF('[1]DATOS PBI Artículos'!A:A,A466,'[1]DATOS PBI Artículos'!X:X)-_xlfn.XLOOKUP(A466,'[1]DATOS PBI Artículos'!A:A,'[1]DATOS PBI Artículos'!W:W))/IF($O466="",$N466,$O466))),0))))</f>
        <v>#N/A</v>
      </c>
      <c r="R466" s="33" t="e">
        <f>IF(U466&lt;&gt;"",U466,IF(F466="DV","MTO",IF(N466=0,"MTO",_xlfn.XLOOKUP(CONCATENATE(S466,T466),[1]CRITERIOS!$K$160:$K$168,[1]CRITERIOS!$N$160:$N$168))))</f>
        <v>#N/A</v>
      </c>
      <c r="S466" s="33" t="e">
        <f>IF(G466="DV","MTO",IF(N466=0,"MTO",IF(OR(AND(N466=0,O466=""),IF(O466="",G466/N466,G466/O466)&gt;[1]CRITERIOS!$G$163),"MTO",IF(IF(O466="",G466/N466,G466/O466)&lt;[1]CRITERIOS!$H$161,"MTS","MTOS"))))</f>
        <v>#N/A</v>
      </c>
      <c r="T466" s="33" t="e">
        <f>IF(F466="DV","MTO",IF(OR(AND($N466=0,O466=""),$F466/$J466&gt;[1]CRITERIOS!$G$170,$F466="DV"),"MTO",IF($F466/$J466&lt;[1]CRITERIOS!$H$168,"MTS","MTOS")))</f>
        <v>#N/A</v>
      </c>
      <c r="V466" s="34" t="e">
        <f t="shared" si="22"/>
        <v>#N/A</v>
      </c>
      <c r="X466" s="34" t="e">
        <f t="shared" si="23"/>
        <v>#N/A</v>
      </c>
      <c r="Y466" s="34" t="e">
        <f t="shared" si="24"/>
        <v>#N/A</v>
      </c>
      <c r="Z466" s="34" t="e">
        <f>IF($R466="MTO",
0,
($H466+$K466*($E466/[1]CRITERIOS!$M$16))/[1]CRITERIOS!$X$48)</f>
        <v>#N/A</v>
      </c>
      <c r="AA466" s="34" t="e">
        <f>ROUNDUP(($Y466/_xlfn.XLOOKUP($A466,'[1]DATOS PBI Artículos'!$A$4:$A$4,'[1]DATOS PBI Artículos'!$Z$4:$Z$4))/_xlfn.XLOOKUP(_xlfn.XLOOKUP($A466,'[1]DATOS PBI Artículos'!$A$4:$A$4,'[1]DATOS PBI Artículos'!$Y$4:$Y$4),[1]CRITERIOS!$P$79:$P$123,[1]CRITERIOS!$S$79:$S$123,),0)</f>
        <v>#N/A</v>
      </c>
      <c r="AB466" s="33" t="e">
        <f t="array" ref="AB466">IF((E466+V466-_xlfn.XLOOKUP(A466,'[1]DATOS PBI Artículos'!$A$4:$A$4,'[1]DATOS PBI Artículos'!$W$4:$W$4))/N466&gt;ROUNDUP([1]CRITERIOS!$M$16/(IF(COUNTIF([1]CRITERIOS!$BG$11:$BG$201,L466)&gt;=1,_xlfn.XLOOKUP(ARTÍCULOS!L466,[1]CRITERIOS!$BG$11:$BG$201,[1]CRITERIOS!$BJ$11:$BJ$201),_xlfn.XLOOKUP(ARTÍCULOS!C466,[1]CRITERIOS!$K$25:$K$42,[1]CRITERIOS!$M$25:$M$42))),0),ROUNDUP([1]CRITERIOS!$M$16/(IF(COUNTIF([1]CRITERIOS!$BG$11:$BG$201,L466)&gt;=1,_xlfn.XLOOKUP(ARTÍCULOS!L466,[1]CRITERIOS!$BG$11:$BG$201:#REF!,[1]CRITERIOS!$BJ$11:$BJ$201),_xlfn.XLOOKUP(ARTÍCULOS!C466,[1]CRITERIOS!$K$25:$K$42,[1]CRITERIOS!$M$25:$M$42))),0),(E466+V466-_xlfn.XLOOKUP(A466,'[1]DATOS PBI Artículos'!$A$4:$A$4,'[1]DATOS PBI Artículos'!$W$4:$W$4))/N466)</f>
        <v>#N/A</v>
      </c>
      <c r="AC466" s="33" t="e">
        <f>IF(N466=0,"",(ROUNDUP((N466/2)/(_xlfn.XLOOKUP(A466,'[1]DATOS PBI Artículos'!$A$4:$A$4,'[1]DATOS PBI Artículos'!$Z$4:$Z$4)*_xlfn.XLOOKUP(_xlfn.XLOOKUP(A466,'[1]DATOS PBI Artículos'!$A$4:$A$4,'[1]DATOS PBI Artículos'!$Y$4:$Y$4),[1]CRITERIOS!$P$79:$P$123,[1]CRITERIOS!$S$79:$S$123)),0)*[1]CRITERIOS!$M$80*([1]CRITERIOS!$M$110/[1]CRITERIOS!$M$86)+(_xlfn.XLOOKUP(A466,'[1]DATOS PBI Artículos'!$A$4:$A$4,'[1]DATOS PBI Artículos'!$AA$4:$AA$4)*([1]CRITERIOS!$M$95+[1]CRITERIOS!$M$98)))/N466)</f>
        <v>#N/A</v>
      </c>
      <c r="AD466" s="33" t="e">
        <f>IF(N466=0,"",(ROUNDUP((N466/2)/(_xlfn.XLOOKUP(A466,'[1]DATOS PBI Artículos'!$A$4:$A$4,'[1]DATOS PBI Artículos'!$Z$4:$Z$4)*_xlfn.XLOOKUP(_xlfn.XLOOKUP(A466,'[1]DATOS PBI Artículos'!$A$4:$A$4,'[1]DATOS PBI Artículos'!$Y$4:$Y$4),[1]CRITERIOS!$P$79:$P$123,[1]CRITERIOS!$S$79:$S$123)),0)*[1]CRITERIOS!$M$80*([1]CRITERIOS!$M$89*[1]CRITERIOS!$M$92)+((_xlfn.XLOOKUP(A466,'[1]DATOS PBI Artículos'!$A$4:$A$4,'[1]DATOS PBI Artículos'!$AA$4:$AA$4)/2)*([1]CRITERIOS!$M$95+[1]CRITERIOS!$M$98)))/N466)</f>
        <v>#N/A</v>
      </c>
      <c r="AE466" s="39" t="e">
        <f>IF($R466="MTO","",
IF($H466=0,ROUNDUP(((_xlfn.XLOOKUP($A466,'[1]DATOS PBI Artículos'!$A:$A,'[1]DATOS PBI Artículos'!$AL:$AL))/(_xlfn.XLOOKUP($AF$1,[1]CRITERIOS!$S$16:$S$39,[1]CRITERIOS!$Y$16:$Y$39))*$J466+$Z466)/$G466,0)*$G466,
((_xlfn.XLOOKUP($A466,'[1]DATOS PBI Artículos'!$A:$A,'[1]DATOS PBI Artículos'!$AL:$AL))/(_xlfn.XLOOKUP($AF$1,[1]CRITERIOS!$S$16:$S$39,[1]CRITERIOS!$Y$16:$Y$39))*$J466+$Z466)))</f>
        <v>#N/A</v>
      </c>
      <c r="AG466" s="39" t="e">
        <f>IF($R466="MTO","",
IF($H466=0,ROUNDUP(((_xlfn.XLOOKUP($A466,'[1]DATOS PBI Artículos'!$A:$A,'[1]DATOS PBI Artículos'!$AM:$AM))/(_xlfn.XLOOKUP($AH$1,[1]CRITERIOS!$S$16:$S$39,[1]CRITERIOS!$Y$16:$Y$39))*$J466+$Z466)/$G466,0)*$G466,
((_xlfn.XLOOKUP($A466,'[1]DATOS PBI Artículos'!$A:$A,'[1]DATOS PBI Artículos'!$AM:$AM))/(_xlfn.XLOOKUP($AH$1,[1]CRITERIOS!$S$16:$S$39,[1]CRITERIOS!$Y$16:$Y$39))*$J466+$Z466)))</f>
        <v>#N/A</v>
      </c>
      <c r="AI466" s="39" t="e">
        <f>IF($R466="MTO","",
IF($H466=0,ROUNDUP(((_xlfn.XLOOKUP($A466,'[1]DATOS PBI Artículos'!$A:$A,'[1]DATOS PBI Artículos'!$AN:$AN))/(_xlfn.XLOOKUP($AJ$1,[1]CRITERIOS!$S$16:$S$39,[1]CRITERIOS!$Y$16:$Y$39))*$J466+$Z466)/$G466,0)*$G466,
((_xlfn.XLOOKUP($A466,'[1]DATOS PBI Artículos'!$A:$A,'[1]DATOS PBI Artículos'!$AN:$AN))/(_xlfn.XLOOKUP($AJ$1,[1]CRITERIOS!$S$16:$S$39,[1]CRITERIOS!$Y$16:$Y$39))*$J466+$Z466)))</f>
        <v>#N/A</v>
      </c>
      <c r="AK466" s="39" t="e">
        <f>IF($R466="MTO","",
IF($H466=0,ROUNDUP(((_xlfn.XLOOKUP($A466,'[1]DATOS PBI Artículos'!$A:$A,'[1]DATOS PBI Artículos'!$AO:$AO))/(_xlfn.XLOOKUP($AL$1,[1]CRITERIOS!$S$16:$S$39,[1]CRITERIOS!$Y$16:$Y$39))*$J466+$Z466)/$G466,0)*$G466,
((_xlfn.XLOOKUP($A466,'[1]DATOS PBI Artículos'!$A:$A,'[1]DATOS PBI Artículos'!$AO:$AO))/(_xlfn.XLOOKUP($AL$1,[1]CRITERIOS!$S$16:$S$39,[1]CRITERIOS!$Y$16:$Y$39))*$J466+$Z466)))</f>
        <v>#N/A</v>
      </c>
    </row>
    <row r="467" spans="1:37" ht="25.8" hidden="1" x14ac:dyDescent="0.4">
      <c r="A467" s="41"/>
      <c r="B467" s="33">
        <f>_xlfn.XLOOKUP($A467,'[1]DATOS PBI Artículos'!A:A,'[1]DATOS PBI Artículos'!B:B)</f>
        <v>0</v>
      </c>
      <c r="C467" s="33">
        <f>_xlfn.XLOOKUP($A467,'[1]DATOS PBI Artículos'!A:A,'[1]DATOS PBI Artículos'!C:C)</f>
        <v>0</v>
      </c>
      <c r="D467" s="33">
        <f>_xlfn.XLOOKUP(A467,'[1]DATOS PBI Artículos'!A:A,'[1]DATOS PBI Artículos'!T:T)</f>
        <v>0</v>
      </c>
      <c r="E467" s="34">
        <f>IF(_xlfn.XLOOKUP($A467,'[1]DATOS PBI Artículos'!A:A,'[1]DATOS PBI Artículos'!AK:AK)="",_xlfn.XLOOKUP($A467,'[1]DATOS PBI Artículos'!A:A,'[1]DATOS PBI Artículos'!AJ:AJ),_xlfn.XLOOKUP($A467,'[1]DATOS PBI Artículos'!A:A,'[1]DATOS PBI Artículos'!AK:AK))</f>
        <v>0</v>
      </c>
      <c r="F467" s="35">
        <f>_xlfn.XLOOKUP($A467,'[1]DATOS PBI Artículos'!A:A,'[1]DATOS PBI Artículos'!AP:AP)</f>
        <v>0</v>
      </c>
      <c r="G467" s="34">
        <f>_xlfn.XLOOKUP($A467,'[1]DATOS PBI Artículos'!A:A,'[1]DATOS PBI Artículos'!AR:AR)</f>
        <v>0</v>
      </c>
      <c r="H467" s="34">
        <f>_xlfn.XLOOKUP($A467,'[1]DATOS PBI Artículos'!A:A,'[1]DATOS PBI Artículos'!AT:AT)</f>
        <v>0</v>
      </c>
      <c r="I467" s="34">
        <f>_xlfn.XLOOKUP($A467,'[1]DATOS PBI Artículos'!A:A,'[1]DATOS PBI Artículos'!AS:AS)</f>
        <v>0</v>
      </c>
      <c r="J467" s="35">
        <f>IF(COUNTIF([1]CRITERIOS!$F$179:$F$199,$A467)&gt;=1,
 IF(O467&lt;&gt;"",
    (O467/_xlfn.XLOOKUP(CONCATENATE(A467,L467),[1]MÁQUINAS!A:A,[1]MÁQUINAS!D:D))/24,
    (N467/_xlfn.XLOOKUP(CONCATENATE(A467,L467),[1]MÁQUINAS!A:A,[1]MÁQUINAS!D:D))/24),
  _xlfn.XLOOKUP($A467,'[1]DATOS PBI Artículos'!A:A,'[1]DATOS PBI Artículos'!AU:AU))</f>
        <v>0</v>
      </c>
      <c r="K467" s="36">
        <f>_xlfn.XLOOKUP($A467,'[1]DATOS PBI Artículos'!A:A,'[1]DATOS PBI Artículos'!AV:AV)</f>
        <v>0</v>
      </c>
      <c r="L467" s="33">
        <f>_xlfn.XLOOKUP(A467,[1]MÁQUINAS!B:B,[1]MÁQUINAS!C:C)</f>
        <v>0</v>
      </c>
      <c r="M467" s="34">
        <f t="array" ref="M467">_xlfn.XLOOKUP(A467,'[1]DATOS PBI Artículos'!A:A,'[1]DATOS PBI Artículos'!AX:$AX)</f>
        <v>0</v>
      </c>
      <c r="N467" s="37" t="e">
        <f>IF(I467="DV",
E467,
IF(COUNTIF([1]CRITERIOS!$I$179:$I$199,$A467)&gt;=1,
_xlfn.XLOOKUP($A467,[1]CRITERIOS!$I$179:$I$199,[1]CRITERIOS!$J$179:$J$199),
IF(COUNTIF([1]CRITERIOS!$L$179:$L$199,$A467)&gt;=1,
_xlfn.CEILING.MATH(IF($M467&gt;$E467,
$E467,
IF($M467&lt;$E467/ROUNDDOWN([1]CRITERIOS!$M$16/_xlfn.XLOOKUP($C467,[1]CRITERIOS!$K$25:$K$42,[1]CRITERIOS!$M$25:$M$42),
1),
E467/ROUNDDOWN([1]CRITERIOS!$M$16/_xlfn.XLOOKUP($C467,[1]CRITERIOS!$K$25:$K$42,[1]CRITERIOS!$M$25:$M$42),
1),
$M467)),
_xlfn.XLOOKUP($A467,[1]CRITERIOS!$L$179:$L$200,[1]CRITERIOS!$M$179:$M$200)),
_xlfn.CEILING.MATH(IF($M467&gt;$E467,
$E467,
IF($M467&lt;$E467/ROUNDDOWN([1]CRITERIOS!$M$16/_xlfn.XLOOKUP($C467,[1]CRITERIOS!$K$25:$K$42,[1]CRITERIOS!$M$25:$M$42),
1),
E467/ROUNDDOWN([1]CRITERIOS!$M$16/_xlfn.XLOOKUP($C467,[1]CRITERIOS!$K$25:$K$42,[1]CRITERIOS!$M$25:$M$42),
1),
$M467)),_xlfn.XLOOKUP(A467,'[1]DATOS PBI Artículos'!A:A,'[1]DATOS PBI Artículos'!Z:Z
)))))</f>
        <v>#N/A</v>
      </c>
      <c r="Q467" s="38" t="e">
        <f>IF(AND(O467="",N467=0),
0,
   IF(COUNTIF([1]CRITERIOS!$F$179:$F$199,$A467)&gt;=1,
   1,
   IF(R467="MTO",
      $D467,
      ROUNDUP(
                    IF(($E467-SUMIF('[1]DATOS PBI Artículos'!A:A,A467,'[1]DATOS PBI Artículos'!X:X)+($V467-_xlfn.XLOOKUP(A467,'[1]DATOS PBI Artículos'!A:A,'[1]DATOS PBI Artículos'!W:W)))&lt;0,
                    0,
                    IF(($E467-SUMIF('[1]DATOS PBI Artículos'!A:A,A467,'[1]DATOS PBI Artículos'!X:X)+$V467-_xlfn.XLOOKUP($A467,'[1]DATOS PBI Artículos'!A:A,'[1]DATOS PBI Artículos'!W:W))/IF($O467="",$N467,$O467)&gt;ROUNDUP([1]CRITERIOS!$M$16/(IF(COUNTIF([1]CRITERIOS!$BG$11:$BG$201,L467)&gt;=1,_xlfn.XLOOKUP($C467,[1]CRITERIOS!$K$25:$K$42,[1]CRITERIOS!$M$25:$M$42),_xlfn.XLOOKUP($C467,[1]CRITERIOS!$K$25:$K$42,[1]CRITERIOS!$M$25:$M$42))),0),
                    ROUNDUP([1]CRITERIOS!$M$16/(IF(COUNTIF([1]CRITERIOS!$BG$11:$BG$201,$L467)&gt;=1,_xlfn.XLOOKUP($C467,[1]CRITERIOS!$K$25:$K$42,[1]CRITERIOS!$M$25:$M$42),_xlfn.XLOOKUP($C467,[1]CRITERIOS!$K$25:$K$42,[1]CRITERIOS!$M$25:$M$42))),0),
                    (E467+V467-SUMIF('[1]DATOS PBI Artículos'!A:A,A467,'[1]DATOS PBI Artículos'!X:X)-_xlfn.XLOOKUP(A467,'[1]DATOS PBI Artículos'!A:A,'[1]DATOS PBI Artículos'!W:W))/IF($O467="",$N467,$O467))),0))))</f>
        <v>#N/A</v>
      </c>
      <c r="R467" s="33" t="e">
        <f>IF(U467&lt;&gt;"",U467,IF(F467="DV","MTO",IF(N467=0,"MTO",_xlfn.XLOOKUP(CONCATENATE(S467,T467),[1]CRITERIOS!$K$160:$K$168,[1]CRITERIOS!$N$160:$N$168))))</f>
        <v>#N/A</v>
      </c>
      <c r="S467" s="33" t="e">
        <f>IF(G467="DV","MTO",IF(N467=0,"MTO",IF(OR(AND(N467=0,O467=""),IF(O467="",G467/N467,G467/O467)&gt;[1]CRITERIOS!$G$163),"MTO",IF(IF(O467="",G467/N467,G467/O467)&lt;[1]CRITERIOS!$H$161,"MTS","MTOS"))))</f>
        <v>#N/A</v>
      </c>
      <c r="T467" s="33" t="e">
        <f>IF(F467="DV","MTO",IF(OR(AND($N467=0,O467=""),$F467/$J467&gt;[1]CRITERIOS!$G$170,$F467="DV"),"MTO",IF($F467/$J467&lt;[1]CRITERIOS!$H$168,"MTS","MTOS")))</f>
        <v>#N/A</v>
      </c>
      <c r="V467" s="34" t="e">
        <f t="shared" si="22"/>
        <v>#N/A</v>
      </c>
      <c r="X467" s="34" t="e">
        <f t="shared" si="23"/>
        <v>#N/A</v>
      </c>
      <c r="Y467" s="34" t="e">
        <f t="shared" si="24"/>
        <v>#N/A</v>
      </c>
      <c r="Z467" s="34" t="e">
        <f>IF($R467="MTO",
0,
($H467+$K467*($E467/[1]CRITERIOS!$M$16))/[1]CRITERIOS!$X$48)</f>
        <v>#N/A</v>
      </c>
      <c r="AA467" s="34" t="e">
        <f>ROUNDUP(($Y467/_xlfn.XLOOKUP($A467,'[1]DATOS PBI Artículos'!$A$4:$A$4,'[1]DATOS PBI Artículos'!$Z$4:$Z$4))/_xlfn.XLOOKUP(_xlfn.XLOOKUP($A467,'[1]DATOS PBI Artículos'!$A$4:$A$4,'[1]DATOS PBI Artículos'!$Y$4:$Y$4),[1]CRITERIOS!$P$79:$P$123,[1]CRITERIOS!$S$79:$S$123,),0)</f>
        <v>#N/A</v>
      </c>
      <c r="AB467" s="33" t="e">
        <f t="array" ref="AB467">IF((E467+V467-_xlfn.XLOOKUP(A467,'[1]DATOS PBI Artículos'!$A$4:$A$4,'[1]DATOS PBI Artículos'!$W$4:$W$4))/N467&gt;ROUNDUP([1]CRITERIOS!$M$16/(IF(COUNTIF([1]CRITERIOS!$BG$11:$BG$201,L467)&gt;=1,_xlfn.XLOOKUP(ARTÍCULOS!L467,[1]CRITERIOS!$BG$11:$BG$201,[1]CRITERIOS!$BJ$11:$BJ$201),_xlfn.XLOOKUP(ARTÍCULOS!C467,[1]CRITERIOS!$K$25:$K$42,[1]CRITERIOS!$M$25:$M$42))),0),ROUNDUP([1]CRITERIOS!$M$16/(IF(COUNTIF([1]CRITERIOS!$BG$11:$BG$201,L467)&gt;=1,_xlfn.XLOOKUP(ARTÍCULOS!L467,[1]CRITERIOS!$BG$11:$BG$201:#REF!,[1]CRITERIOS!$BJ$11:$BJ$201),_xlfn.XLOOKUP(ARTÍCULOS!C467,[1]CRITERIOS!$K$25:$K$42,[1]CRITERIOS!$M$25:$M$42))),0),(E467+V467-_xlfn.XLOOKUP(A467,'[1]DATOS PBI Artículos'!$A$4:$A$4,'[1]DATOS PBI Artículos'!$W$4:$W$4))/N467)</f>
        <v>#N/A</v>
      </c>
      <c r="AC467" s="33" t="e">
        <f>IF(N467=0,"",(ROUNDUP((N467/2)/(_xlfn.XLOOKUP(A467,'[1]DATOS PBI Artículos'!$A$4:$A$4,'[1]DATOS PBI Artículos'!$Z$4:$Z$4)*_xlfn.XLOOKUP(_xlfn.XLOOKUP(A467,'[1]DATOS PBI Artículos'!$A$4:$A$4,'[1]DATOS PBI Artículos'!$Y$4:$Y$4),[1]CRITERIOS!$P$79:$P$123,[1]CRITERIOS!$S$79:$S$123)),0)*[1]CRITERIOS!$M$80*([1]CRITERIOS!$M$110/[1]CRITERIOS!$M$86)+(_xlfn.XLOOKUP(A467,'[1]DATOS PBI Artículos'!$A$4:$A$4,'[1]DATOS PBI Artículos'!$AA$4:$AA$4)*([1]CRITERIOS!$M$95+[1]CRITERIOS!$M$98)))/N467)</f>
        <v>#N/A</v>
      </c>
      <c r="AD467" s="33" t="e">
        <f>IF(N467=0,"",(ROUNDUP((N467/2)/(_xlfn.XLOOKUP(A467,'[1]DATOS PBI Artículos'!$A$4:$A$4,'[1]DATOS PBI Artículos'!$Z$4:$Z$4)*_xlfn.XLOOKUP(_xlfn.XLOOKUP(A467,'[1]DATOS PBI Artículos'!$A$4:$A$4,'[1]DATOS PBI Artículos'!$Y$4:$Y$4),[1]CRITERIOS!$P$79:$P$123,[1]CRITERIOS!$S$79:$S$123)),0)*[1]CRITERIOS!$M$80*([1]CRITERIOS!$M$89*[1]CRITERIOS!$M$92)+((_xlfn.XLOOKUP(A467,'[1]DATOS PBI Artículos'!$A$4:$A$4,'[1]DATOS PBI Artículos'!$AA$4:$AA$4)/2)*([1]CRITERIOS!$M$95+[1]CRITERIOS!$M$98)))/N467)</f>
        <v>#N/A</v>
      </c>
      <c r="AE467" s="39" t="e">
        <f>IF($R467="MTO","",
IF($H467=0,ROUNDUP(((_xlfn.XLOOKUP($A467,'[1]DATOS PBI Artículos'!$A:$A,'[1]DATOS PBI Artículos'!$AL:$AL))/(_xlfn.XLOOKUP($AF$1,[1]CRITERIOS!$S$16:$S$39,[1]CRITERIOS!$Y$16:$Y$39))*$J467+$Z467)/$G467,0)*$G467,
((_xlfn.XLOOKUP($A467,'[1]DATOS PBI Artículos'!$A:$A,'[1]DATOS PBI Artículos'!$AL:$AL))/(_xlfn.XLOOKUP($AF$1,[1]CRITERIOS!$S$16:$S$39,[1]CRITERIOS!$Y$16:$Y$39))*$J467+$Z467)))</f>
        <v>#N/A</v>
      </c>
      <c r="AG467" s="39" t="e">
        <f>IF($R467="MTO","",
IF($H467=0,ROUNDUP(((_xlfn.XLOOKUP($A467,'[1]DATOS PBI Artículos'!$A:$A,'[1]DATOS PBI Artículos'!$AM:$AM))/(_xlfn.XLOOKUP($AH$1,[1]CRITERIOS!$S$16:$S$39,[1]CRITERIOS!$Y$16:$Y$39))*$J467+$Z467)/$G467,0)*$G467,
((_xlfn.XLOOKUP($A467,'[1]DATOS PBI Artículos'!$A:$A,'[1]DATOS PBI Artículos'!$AM:$AM))/(_xlfn.XLOOKUP($AH$1,[1]CRITERIOS!$S$16:$S$39,[1]CRITERIOS!$Y$16:$Y$39))*$J467+$Z467)))</f>
        <v>#N/A</v>
      </c>
      <c r="AI467" s="39" t="e">
        <f>IF($R467="MTO","",
IF($H467=0,ROUNDUP(((_xlfn.XLOOKUP($A467,'[1]DATOS PBI Artículos'!$A:$A,'[1]DATOS PBI Artículos'!$AN:$AN))/(_xlfn.XLOOKUP($AJ$1,[1]CRITERIOS!$S$16:$S$39,[1]CRITERIOS!$Y$16:$Y$39))*$J467+$Z467)/$G467,0)*$G467,
((_xlfn.XLOOKUP($A467,'[1]DATOS PBI Artículos'!$A:$A,'[1]DATOS PBI Artículos'!$AN:$AN))/(_xlfn.XLOOKUP($AJ$1,[1]CRITERIOS!$S$16:$S$39,[1]CRITERIOS!$Y$16:$Y$39))*$J467+$Z467)))</f>
        <v>#N/A</v>
      </c>
      <c r="AK467" s="39" t="e">
        <f>IF($R467="MTO","",
IF($H467=0,ROUNDUP(((_xlfn.XLOOKUP($A467,'[1]DATOS PBI Artículos'!$A:$A,'[1]DATOS PBI Artículos'!$AO:$AO))/(_xlfn.XLOOKUP($AL$1,[1]CRITERIOS!$S$16:$S$39,[1]CRITERIOS!$Y$16:$Y$39))*$J467+$Z467)/$G467,0)*$G467,
((_xlfn.XLOOKUP($A467,'[1]DATOS PBI Artículos'!$A:$A,'[1]DATOS PBI Artículos'!$AO:$AO))/(_xlfn.XLOOKUP($AL$1,[1]CRITERIOS!$S$16:$S$39,[1]CRITERIOS!$Y$16:$Y$39))*$J467+$Z467)))</f>
        <v>#N/A</v>
      </c>
    </row>
    <row r="468" spans="1:37" ht="25.8" hidden="1" x14ac:dyDescent="0.4">
      <c r="A468" s="41"/>
      <c r="B468" s="33">
        <f>_xlfn.XLOOKUP($A468,'[1]DATOS PBI Artículos'!A:A,'[1]DATOS PBI Artículos'!B:B)</f>
        <v>0</v>
      </c>
      <c r="C468" s="33">
        <f>_xlfn.XLOOKUP($A468,'[1]DATOS PBI Artículos'!A:A,'[1]DATOS PBI Artículos'!C:C)</f>
        <v>0</v>
      </c>
      <c r="D468" s="33">
        <f>_xlfn.XLOOKUP(A468,'[1]DATOS PBI Artículos'!A:A,'[1]DATOS PBI Artículos'!T:T)</f>
        <v>0</v>
      </c>
      <c r="E468" s="34">
        <f>IF(_xlfn.XLOOKUP($A468,'[1]DATOS PBI Artículos'!A:A,'[1]DATOS PBI Artículos'!AK:AK)="",_xlfn.XLOOKUP($A468,'[1]DATOS PBI Artículos'!A:A,'[1]DATOS PBI Artículos'!AJ:AJ),_xlfn.XLOOKUP($A468,'[1]DATOS PBI Artículos'!A:A,'[1]DATOS PBI Artículos'!AK:AK))</f>
        <v>0</v>
      </c>
      <c r="F468" s="35">
        <f>_xlfn.XLOOKUP($A468,'[1]DATOS PBI Artículos'!A:A,'[1]DATOS PBI Artículos'!AP:AP)</f>
        <v>0</v>
      </c>
      <c r="G468" s="34">
        <f>_xlfn.XLOOKUP($A468,'[1]DATOS PBI Artículos'!A:A,'[1]DATOS PBI Artículos'!AR:AR)</f>
        <v>0</v>
      </c>
      <c r="H468" s="34">
        <f>_xlfn.XLOOKUP($A468,'[1]DATOS PBI Artículos'!A:A,'[1]DATOS PBI Artículos'!AT:AT)</f>
        <v>0</v>
      </c>
      <c r="I468" s="34">
        <f>_xlfn.XLOOKUP($A468,'[1]DATOS PBI Artículos'!A:A,'[1]DATOS PBI Artículos'!AS:AS)</f>
        <v>0</v>
      </c>
      <c r="J468" s="35">
        <f>IF(COUNTIF([1]CRITERIOS!$F$179:$F$199,$A468)&gt;=1,
 IF(O468&lt;&gt;"",
    (O468/_xlfn.XLOOKUP(CONCATENATE(A468,L468),[1]MÁQUINAS!A:A,[1]MÁQUINAS!D:D))/24,
    (N468/_xlfn.XLOOKUP(CONCATENATE(A468,L468),[1]MÁQUINAS!A:A,[1]MÁQUINAS!D:D))/24),
  _xlfn.XLOOKUP($A468,'[1]DATOS PBI Artículos'!A:A,'[1]DATOS PBI Artículos'!AU:AU))</f>
        <v>0</v>
      </c>
      <c r="K468" s="36">
        <f>_xlfn.XLOOKUP($A468,'[1]DATOS PBI Artículos'!A:A,'[1]DATOS PBI Artículos'!AV:AV)</f>
        <v>0</v>
      </c>
      <c r="L468" s="33">
        <f>_xlfn.XLOOKUP(A468,[1]MÁQUINAS!B:B,[1]MÁQUINAS!C:C)</f>
        <v>0</v>
      </c>
      <c r="M468" s="34">
        <f t="array" ref="M468">_xlfn.XLOOKUP(A468,'[1]DATOS PBI Artículos'!A:A,'[1]DATOS PBI Artículos'!AX:$AX)</f>
        <v>0</v>
      </c>
      <c r="N468" s="37" t="e">
        <f>IF(I468="DV",
E468,
IF(COUNTIF([1]CRITERIOS!$I$179:$I$199,$A468)&gt;=1,
_xlfn.XLOOKUP($A468,[1]CRITERIOS!$I$179:$I$199,[1]CRITERIOS!$J$179:$J$199),
IF(COUNTIF([1]CRITERIOS!$L$179:$L$199,$A468)&gt;=1,
_xlfn.CEILING.MATH(IF($M468&gt;$E468,
$E468,
IF($M468&lt;$E468/ROUNDDOWN([1]CRITERIOS!$M$16/_xlfn.XLOOKUP($C468,[1]CRITERIOS!$K$25:$K$42,[1]CRITERIOS!$M$25:$M$42),
1),
E468/ROUNDDOWN([1]CRITERIOS!$M$16/_xlfn.XLOOKUP($C468,[1]CRITERIOS!$K$25:$K$42,[1]CRITERIOS!$M$25:$M$42),
1),
$M468)),
_xlfn.XLOOKUP($A468,[1]CRITERIOS!$L$179:$L$200,[1]CRITERIOS!$M$179:$M$200)),
_xlfn.CEILING.MATH(IF($M468&gt;$E468,
$E468,
IF($M468&lt;$E468/ROUNDDOWN([1]CRITERIOS!$M$16/_xlfn.XLOOKUP($C468,[1]CRITERIOS!$K$25:$K$42,[1]CRITERIOS!$M$25:$M$42),
1),
E468/ROUNDDOWN([1]CRITERIOS!$M$16/_xlfn.XLOOKUP($C468,[1]CRITERIOS!$K$25:$K$42,[1]CRITERIOS!$M$25:$M$42),
1),
$M468)),_xlfn.XLOOKUP(A468,'[1]DATOS PBI Artículos'!A:A,'[1]DATOS PBI Artículos'!Z:Z
)))))</f>
        <v>#N/A</v>
      </c>
      <c r="Q468" s="38" t="e">
        <f>IF(AND(O468="",N468=0),
0,
   IF(COUNTIF([1]CRITERIOS!$F$179:$F$199,$A468)&gt;=1,
   1,
   IF(R468="MTO",
      $D468,
      ROUNDUP(
                    IF(($E468-SUMIF('[1]DATOS PBI Artículos'!A:A,A468,'[1]DATOS PBI Artículos'!X:X)+($V468-_xlfn.XLOOKUP(A468,'[1]DATOS PBI Artículos'!A:A,'[1]DATOS PBI Artículos'!W:W)))&lt;0,
                    0,
                    IF(($E468-SUMIF('[1]DATOS PBI Artículos'!A:A,A468,'[1]DATOS PBI Artículos'!X:X)+$V468-_xlfn.XLOOKUP($A468,'[1]DATOS PBI Artículos'!A:A,'[1]DATOS PBI Artículos'!W:W))/IF($O468="",$N468,$O468)&gt;ROUNDUP([1]CRITERIOS!$M$16/(IF(COUNTIF([1]CRITERIOS!$BG$11:$BG$201,L468)&gt;=1,_xlfn.XLOOKUP($C468,[1]CRITERIOS!$K$25:$K$42,[1]CRITERIOS!$M$25:$M$42),_xlfn.XLOOKUP($C468,[1]CRITERIOS!$K$25:$K$42,[1]CRITERIOS!$M$25:$M$42))),0),
                    ROUNDUP([1]CRITERIOS!$M$16/(IF(COUNTIF([1]CRITERIOS!$BG$11:$BG$201,$L468)&gt;=1,_xlfn.XLOOKUP($C468,[1]CRITERIOS!$K$25:$K$42,[1]CRITERIOS!$M$25:$M$42),_xlfn.XLOOKUP($C468,[1]CRITERIOS!$K$25:$K$42,[1]CRITERIOS!$M$25:$M$42))),0),
                    (E468+V468-SUMIF('[1]DATOS PBI Artículos'!A:A,A468,'[1]DATOS PBI Artículos'!X:X)-_xlfn.XLOOKUP(A468,'[1]DATOS PBI Artículos'!A:A,'[1]DATOS PBI Artículos'!W:W))/IF($O468="",$N468,$O468))),0))))</f>
        <v>#N/A</v>
      </c>
      <c r="R468" s="33" t="e">
        <f>IF(U468&lt;&gt;"",U468,IF(F468="DV","MTO",IF(N468=0,"MTO",_xlfn.XLOOKUP(CONCATENATE(S468,T468),[1]CRITERIOS!$K$160:$K$168,[1]CRITERIOS!$N$160:$N$168))))</f>
        <v>#N/A</v>
      </c>
      <c r="S468" s="33" t="e">
        <f>IF(G468="DV","MTO",IF(N468=0,"MTO",IF(OR(AND(N468=0,O468=""),IF(O468="",G468/N468,G468/O468)&gt;[1]CRITERIOS!$G$163),"MTO",IF(IF(O468="",G468/N468,G468/O468)&lt;[1]CRITERIOS!$H$161,"MTS","MTOS"))))</f>
        <v>#N/A</v>
      </c>
      <c r="T468" s="33" t="e">
        <f>IF(F468="DV","MTO",IF(OR(AND($N468=0,O468=""),$F468/$J468&gt;[1]CRITERIOS!$G$170,$F468="DV"),"MTO",IF($F468/$J468&lt;[1]CRITERIOS!$H$168,"MTS","MTOS")))</f>
        <v>#N/A</v>
      </c>
      <c r="V468" s="34" t="e">
        <f t="shared" si="22"/>
        <v>#N/A</v>
      </c>
      <c r="X468" s="34" t="e">
        <f t="shared" si="23"/>
        <v>#N/A</v>
      </c>
      <c r="Y468" s="34" t="e">
        <f t="shared" si="24"/>
        <v>#N/A</v>
      </c>
      <c r="Z468" s="34" t="e">
        <f>IF($R468="MTO",
0,
($H468+$K468*($E468/[1]CRITERIOS!$M$16))/[1]CRITERIOS!$X$48)</f>
        <v>#N/A</v>
      </c>
      <c r="AA468" s="34" t="e">
        <f>ROUNDUP(($Y468/_xlfn.XLOOKUP($A468,'[1]DATOS PBI Artículos'!$A$4:$A$4,'[1]DATOS PBI Artículos'!$Z$4:$Z$4))/_xlfn.XLOOKUP(_xlfn.XLOOKUP($A468,'[1]DATOS PBI Artículos'!$A$4:$A$4,'[1]DATOS PBI Artículos'!$Y$4:$Y$4),[1]CRITERIOS!$P$79:$P$123,[1]CRITERIOS!$S$79:$S$123,),0)</f>
        <v>#N/A</v>
      </c>
      <c r="AB468" s="33" t="e">
        <f t="array" ref="AB468">IF((E468+V468-_xlfn.XLOOKUP(A468,'[1]DATOS PBI Artículos'!$A$4:$A$4,'[1]DATOS PBI Artículos'!$W$4:$W$4))/N468&gt;ROUNDUP([1]CRITERIOS!$M$16/(IF(COUNTIF([1]CRITERIOS!$BG$11:$BG$201,L468)&gt;=1,_xlfn.XLOOKUP(ARTÍCULOS!L468,[1]CRITERIOS!$BG$11:$BG$201,[1]CRITERIOS!$BJ$11:$BJ$201),_xlfn.XLOOKUP(ARTÍCULOS!C468,[1]CRITERIOS!$K$25:$K$42,[1]CRITERIOS!$M$25:$M$42))),0),ROUNDUP([1]CRITERIOS!$M$16/(IF(COUNTIF([1]CRITERIOS!$BG$11:$BG$201,L468)&gt;=1,_xlfn.XLOOKUP(ARTÍCULOS!L468,[1]CRITERIOS!$BG$11:$BG$201:#REF!,[1]CRITERIOS!$BJ$11:$BJ$201),_xlfn.XLOOKUP(ARTÍCULOS!C468,[1]CRITERIOS!$K$25:$K$42,[1]CRITERIOS!$M$25:$M$42))),0),(E468+V468-_xlfn.XLOOKUP(A468,'[1]DATOS PBI Artículos'!$A$4:$A$4,'[1]DATOS PBI Artículos'!$W$4:$W$4))/N468)</f>
        <v>#N/A</v>
      </c>
      <c r="AC468" s="33" t="e">
        <f>IF(N468=0,"",(ROUNDUP((N468/2)/(_xlfn.XLOOKUP(A468,'[1]DATOS PBI Artículos'!$A$4:$A$4,'[1]DATOS PBI Artículos'!$Z$4:$Z$4)*_xlfn.XLOOKUP(_xlfn.XLOOKUP(A468,'[1]DATOS PBI Artículos'!$A$4:$A$4,'[1]DATOS PBI Artículos'!$Y$4:$Y$4),[1]CRITERIOS!$P$79:$P$123,[1]CRITERIOS!$S$79:$S$123)),0)*[1]CRITERIOS!$M$80*([1]CRITERIOS!$M$110/[1]CRITERIOS!$M$86)+(_xlfn.XLOOKUP(A468,'[1]DATOS PBI Artículos'!$A$4:$A$4,'[1]DATOS PBI Artículos'!$AA$4:$AA$4)*([1]CRITERIOS!$M$95+[1]CRITERIOS!$M$98)))/N468)</f>
        <v>#N/A</v>
      </c>
      <c r="AD468" s="33" t="e">
        <f>IF(N468=0,"",(ROUNDUP((N468/2)/(_xlfn.XLOOKUP(A468,'[1]DATOS PBI Artículos'!$A$4:$A$4,'[1]DATOS PBI Artículos'!$Z$4:$Z$4)*_xlfn.XLOOKUP(_xlfn.XLOOKUP(A468,'[1]DATOS PBI Artículos'!$A$4:$A$4,'[1]DATOS PBI Artículos'!$Y$4:$Y$4),[1]CRITERIOS!$P$79:$P$123,[1]CRITERIOS!$S$79:$S$123)),0)*[1]CRITERIOS!$M$80*([1]CRITERIOS!$M$89*[1]CRITERIOS!$M$92)+((_xlfn.XLOOKUP(A468,'[1]DATOS PBI Artículos'!$A$4:$A$4,'[1]DATOS PBI Artículos'!$AA$4:$AA$4)/2)*([1]CRITERIOS!$M$95+[1]CRITERIOS!$M$98)))/N468)</f>
        <v>#N/A</v>
      </c>
      <c r="AE468" s="39" t="e">
        <f>IF($R468="MTO","",
IF($H468=0,ROUNDUP(((_xlfn.XLOOKUP($A468,'[1]DATOS PBI Artículos'!$A:$A,'[1]DATOS PBI Artículos'!$AL:$AL))/(_xlfn.XLOOKUP($AF$1,[1]CRITERIOS!$S$16:$S$39,[1]CRITERIOS!$Y$16:$Y$39))*$J468+$Z468)/$G468,0)*$G468,
((_xlfn.XLOOKUP($A468,'[1]DATOS PBI Artículos'!$A:$A,'[1]DATOS PBI Artículos'!$AL:$AL))/(_xlfn.XLOOKUP($AF$1,[1]CRITERIOS!$S$16:$S$39,[1]CRITERIOS!$Y$16:$Y$39))*$J468+$Z468)))</f>
        <v>#N/A</v>
      </c>
      <c r="AG468" s="39" t="e">
        <f>IF($R468="MTO","",
IF($H468=0,ROUNDUP(((_xlfn.XLOOKUP($A468,'[1]DATOS PBI Artículos'!$A:$A,'[1]DATOS PBI Artículos'!$AM:$AM))/(_xlfn.XLOOKUP($AH$1,[1]CRITERIOS!$S$16:$S$39,[1]CRITERIOS!$Y$16:$Y$39))*$J468+$Z468)/$G468,0)*$G468,
((_xlfn.XLOOKUP($A468,'[1]DATOS PBI Artículos'!$A:$A,'[1]DATOS PBI Artículos'!$AM:$AM))/(_xlfn.XLOOKUP($AH$1,[1]CRITERIOS!$S$16:$S$39,[1]CRITERIOS!$Y$16:$Y$39))*$J468+$Z468)))</f>
        <v>#N/A</v>
      </c>
      <c r="AI468" s="39" t="e">
        <f>IF($R468="MTO","",
IF($H468=0,ROUNDUP(((_xlfn.XLOOKUP($A468,'[1]DATOS PBI Artículos'!$A:$A,'[1]DATOS PBI Artículos'!$AN:$AN))/(_xlfn.XLOOKUP($AJ$1,[1]CRITERIOS!$S$16:$S$39,[1]CRITERIOS!$Y$16:$Y$39))*$J468+$Z468)/$G468,0)*$G468,
((_xlfn.XLOOKUP($A468,'[1]DATOS PBI Artículos'!$A:$A,'[1]DATOS PBI Artículos'!$AN:$AN))/(_xlfn.XLOOKUP($AJ$1,[1]CRITERIOS!$S$16:$S$39,[1]CRITERIOS!$Y$16:$Y$39))*$J468+$Z468)))</f>
        <v>#N/A</v>
      </c>
      <c r="AK468" s="39" t="e">
        <f>IF($R468="MTO","",
IF($H468=0,ROUNDUP(((_xlfn.XLOOKUP($A468,'[1]DATOS PBI Artículos'!$A:$A,'[1]DATOS PBI Artículos'!$AO:$AO))/(_xlfn.XLOOKUP($AL$1,[1]CRITERIOS!$S$16:$S$39,[1]CRITERIOS!$Y$16:$Y$39))*$J468+$Z468)/$G468,0)*$G468,
((_xlfn.XLOOKUP($A468,'[1]DATOS PBI Artículos'!$A:$A,'[1]DATOS PBI Artículos'!$AO:$AO))/(_xlfn.XLOOKUP($AL$1,[1]CRITERIOS!$S$16:$S$39,[1]CRITERIOS!$Y$16:$Y$39))*$J468+$Z468)))</f>
        <v>#N/A</v>
      </c>
    </row>
    <row r="469" spans="1:37" ht="25.8" hidden="1" x14ac:dyDescent="0.4">
      <c r="A469" s="41"/>
      <c r="B469" s="33">
        <f>_xlfn.XLOOKUP($A469,'[1]DATOS PBI Artículos'!A:A,'[1]DATOS PBI Artículos'!B:B)</f>
        <v>0</v>
      </c>
      <c r="C469" s="33">
        <f>_xlfn.XLOOKUP($A469,'[1]DATOS PBI Artículos'!A:A,'[1]DATOS PBI Artículos'!C:C)</f>
        <v>0</v>
      </c>
      <c r="D469" s="33">
        <f>_xlfn.XLOOKUP(A469,'[1]DATOS PBI Artículos'!A:A,'[1]DATOS PBI Artículos'!T:T)</f>
        <v>0</v>
      </c>
      <c r="E469" s="34">
        <f>IF(_xlfn.XLOOKUP($A469,'[1]DATOS PBI Artículos'!A:A,'[1]DATOS PBI Artículos'!AK:AK)="",_xlfn.XLOOKUP($A469,'[1]DATOS PBI Artículos'!A:A,'[1]DATOS PBI Artículos'!AJ:AJ),_xlfn.XLOOKUP($A469,'[1]DATOS PBI Artículos'!A:A,'[1]DATOS PBI Artículos'!AK:AK))</f>
        <v>0</v>
      </c>
      <c r="F469" s="35">
        <f>_xlfn.XLOOKUP($A469,'[1]DATOS PBI Artículos'!A:A,'[1]DATOS PBI Artículos'!AP:AP)</f>
        <v>0</v>
      </c>
      <c r="G469" s="34">
        <f>_xlfn.XLOOKUP($A469,'[1]DATOS PBI Artículos'!A:A,'[1]DATOS PBI Artículos'!AR:AR)</f>
        <v>0</v>
      </c>
      <c r="H469" s="34">
        <f>_xlfn.XLOOKUP($A469,'[1]DATOS PBI Artículos'!A:A,'[1]DATOS PBI Artículos'!AT:AT)</f>
        <v>0</v>
      </c>
      <c r="I469" s="34">
        <f>_xlfn.XLOOKUP($A469,'[1]DATOS PBI Artículos'!A:A,'[1]DATOS PBI Artículos'!AS:AS)</f>
        <v>0</v>
      </c>
      <c r="J469" s="35">
        <f>IF(COUNTIF([1]CRITERIOS!$F$179:$F$199,$A469)&gt;=1,
 IF(O469&lt;&gt;"",
    (O469/_xlfn.XLOOKUP(CONCATENATE(A469,L469),[1]MÁQUINAS!A:A,[1]MÁQUINAS!D:D))/24,
    (N469/_xlfn.XLOOKUP(CONCATENATE(A469,L469),[1]MÁQUINAS!A:A,[1]MÁQUINAS!D:D))/24),
  _xlfn.XLOOKUP($A469,'[1]DATOS PBI Artículos'!A:A,'[1]DATOS PBI Artículos'!AU:AU))</f>
        <v>0</v>
      </c>
      <c r="K469" s="36">
        <f>_xlfn.XLOOKUP($A469,'[1]DATOS PBI Artículos'!A:A,'[1]DATOS PBI Artículos'!AV:AV)</f>
        <v>0</v>
      </c>
      <c r="L469" s="33">
        <f>_xlfn.XLOOKUP(A469,[1]MÁQUINAS!B:B,[1]MÁQUINAS!C:C)</f>
        <v>0</v>
      </c>
      <c r="M469" s="34">
        <f t="array" ref="M469">_xlfn.XLOOKUP(A469,'[1]DATOS PBI Artículos'!A:A,'[1]DATOS PBI Artículos'!AX:$AX)</f>
        <v>0</v>
      </c>
      <c r="N469" s="37" t="e">
        <f>IF(I469="DV",
E469,
IF(COUNTIF([1]CRITERIOS!$I$179:$I$199,$A469)&gt;=1,
_xlfn.XLOOKUP($A469,[1]CRITERIOS!$I$179:$I$199,[1]CRITERIOS!$J$179:$J$199),
IF(COUNTIF([1]CRITERIOS!$L$179:$L$199,$A469)&gt;=1,
_xlfn.CEILING.MATH(IF($M469&gt;$E469,
$E469,
IF($M469&lt;$E469/ROUNDDOWN([1]CRITERIOS!$M$16/_xlfn.XLOOKUP($C469,[1]CRITERIOS!$K$25:$K$42,[1]CRITERIOS!$M$25:$M$42),
1),
E469/ROUNDDOWN([1]CRITERIOS!$M$16/_xlfn.XLOOKUP($C469,[1]CRITERIOS!$K$25:$K$42,[1]CRITERIOS!$M$25:$M$42),
1),
$M469)),
_xlfn.XLOOKUP($A469,[1]CRITERIOS!$L$179:$L$200,[1]CRITERIOS!$M$179:$M$200)),
_xlfn.CEILING.MATH(IF($M469&gt;$E469,
$E469,
IF($M469&lt;$E469/ROUNDDOWN([1]CRITERIOS!$M$16/_xlfn.XLOOKUP($C469,[1]CRITERIOS!$K$25:$K$42,[1]CRITERIOS!$M$25:$M$42),
1),
E469/ROUNDDOWN([1]CRITERIOS!$M$16/_xlfn.XLOOKUP($C469,[1]CRITERIOS!$K$25:$K$42,[1]CRITERIOS!$M$25:$M$42),
1),
$M469)),_xlfn.XLOOKUP(A469,'[1]DATOS PBI Artículos'!A:A,'[1]DATOS PBI Artículos'!Z:Z
)))))</f>
        <v>#N/A</v>
      </c>
      <c r="Q469" s="38" t="e">
        <f>IF(AND(O469="",N469=0),
0,
   IF(COUNTIF([1]CRITERIOS!$F$179:$F$199,$A469)&gt;=1,
   1,
   IF(R469="MTO",
      $D469,
      ROUNDUP(
                    IF(($E469-SUMIF('[1]DATOS PBI Artículos'!A:A,A469,'[1]DATOS PBI Artículos'!X:X)+($V469-_xlfn.XLOOKUP(A469,'[1]DATOS PBI Artículos'!A:A,'[1]DATOS PBI Artículos'!W:W)))&lt;0,
                    0,
                    IF(($E469-SUMIF('[1]DATOS PBI Artículos'!A:A,A469,'[1]DATOS PBI Artículos'!X:X)+$V469-_xlfn.XLOOKUP($A469,'[1]DATOS PBI Artículos'!A:A,'[1]DATOS PBI Artículos'!W:W))/IF($O469="",$N469,$O469)&gt;ROUNDUP([1]CRITERIOS!$M$16/(IF(COUNTIF([1]CRITERIOS!$BG$11:$BG$201,L469)&gt;=1,_xlfn.XLOOKUP($C469,[1]CRITERIOS!$K$25:$K$42,[1]CRITERIOS!$M$25:$M$42),_xlfn.XLOOKUP($C469,[1]CRITERIOS!$K$25:$K$42,[1]CRITERIOS!$M$25:$M$42))),0),
                    ROUNDUP([1]CRITERIOS!$M$16/(IF(COUNTIF([1]CRITERIOS!$BG$11:$BG$201,$L469)&gt;=1,_xlfn.XLOOKUP($C469,[1]CRITERIOS!$K$25:$K$42,[1]CRITERIOS!$M$25:$M$42),_xlfn.XLOOKUP($C469,[1]CRITERIOS!$K$25:$K$42,[1]CRITERIOS!$M$25:$M$42))),0),
                    (E469+V469-SUMIF('[1]DATOS PBI Artículos'!A:A,A469,'[1]DATOS PBI Artículos'!X:X)-_xlfn.XLOOKUP(A469,'[1]DATOS PBI Artículos'!A:A,'[1]DATOS PBI Artículos'!W:W))/IF($O469="",$N469,$O469))),0))))</f>
        <v>#N/A</v>
      </c>
      <c r="R469" s="33" t="e">
        <f>IF(U469&lt;&gt;"",U469,IF(F469="DV","MTO",IF(N469=0,"MTO",_xlfn.XLOOKUP(CONCATENATE(S469,T469),[1]CRITERIOS!$K$160:$K$168,[1]CRITERIOS!$N$160:$N$168))))</f>
        <v>#N/A</v>
      </c>
      <c r="S469" s="33" t="e">
        <f>IF(G469="DV","MTO",IF(N469=0,"MTO",IF(OR(AND(N469=0,O469=""),IF(O469="",G469/N469,G469/O469)&gt;[1]CRITERIOS!$G$163),"MTO",IF(IF(O469="",G469/N469,G469/O469)&lt;[1]CRITERIOS!$H$161,"MTS","MTOS"))))</f>
        <v>#N/A</v>
      </c>
      <c r="T469" s="33" t="e">
        <f>IF(F469="DV","MTO",IF(OR(AND($N469=0,O469=""),$F469/$J469&gt;[1]CRITERIOS!$G$170,$F469="DV"),"MTO",IF($F469/$J469&lt;[1]CRITERIOS!$H$168,"MTS","MTOS")))</f>
        <v>#N/A</v>
      </c>
      <c r="V469" s="34" t="e">
        <f t="shared" si="22"/>
        <v>#N/A</v>
      </c>
      <c r="X469" s="34" t="e">
        <f t="shared" si="23"/>
        <v>#N/A</v>
      </c>
      <c r="Y469" s="34" t="e">
        <f t="shared" si="24"/>
        <v>#N/A</v>
      </c>
      <c r="Z469" s="34" t="e">
        <f>IF($R469="MTO",
0,
($H469+$K469*($E469/[1]CRITERIOS!$M$16))/[1]CRITERIOS!$X$48)</f>
        <v>#N/A</v>
      </c>
      <c r="AA469" s="34" t="e">
        <f>ROUNDUP(($Y469/_xlfn.XLOOKUP($A469,'[1]DATOS PBI Artículos'!$A$4:$A$4,'[1]DATOS PBI Artículos'!$Z$4:$Z$4))/_xlfn.XLOOKUP(_xlfn.XLOOKUP($A469,'[1]DATOS PBI Artículos'!$A$4:$A$4,'[1]DATOS PBI Artículos'!$Y$4:$Y$4),[1]CRITERIOS!$P$79:$P$123,[1]CRITERIOS!$S$79:$S$123,),0)</f>
        <v>#N/A</v>
      </c>
      <c r="AB469" s="33" t="e">
        <f t="array" ref="AB469">IF((E469+V469-_xlfn.XLOOKUP(A469,'[1]DATOS PBI Artículos'!$A$4:$A$4,'[1]DATOS PBI Artículos'!$W$4:$W$4))/N469&gt;ROUNDUP([1]CRITERIOS!$M$16/(IF(COUNTIF([1]CRITERIOS!$BG$11:$BG$201,L469)&gt;=1,_xlfn.XLOOKUP(ARTÍCULOS!L469,[1]CRITERIOS!$BG$11:$BG$201,[1]CRITERIOS!$BJ$11:$BJ$201),_xlfn.XLOOKUP(ARTÍCULOS!C469,[1]CRITERIOS!$K$25:$K$42,[1]CRITERIOS!$M$25:$M$42))),0),ROUNDUP([1]CRITERIOS!$M$16/(IF(COUNTIF([1]CRITERIOS!$BG$11:$BG$201,L469)&gt;=1,_xlfn.XLOOKUP(ARTÍCULOS!L469,[1]CRITERIOS!$BG$11:$BG$201:#REF!,[1]CRITERIOS!$BJ$11:$BJ$201),_xlfn.XLOOKUP(ARTÍCULOS!C469,[1]CRITERIOS!$K$25:$K$42,[1]CRITERIOS!$M$25:$M$42))),0),(E469+V469-_xlfn.XLOOKUP(A469,'[1]DATOS PBI Artículos'!$A$4:$A$4,'[1]DATOS PBI Artículos'!$W$4:$W$4))/N469)</f>
        <v>#N/A</v>
      </c>
      <c r="AC469" s="33" t="e">
        <f>IF(N469=0,"",(ROUNDUP((N469/2)/(_xlfn.XLOOKUP(A469,'[1]DATOS PBI Artículos'!$A$4:$A$4,'[1]DATOS PBI Artículos'!$Z$4:$Z$4)*_xlfn.XLOOKUP(_xlfn.XLOOKUP(A469,'[1]DATOS PBI Artículos'!$A$4:$A$4,'[1]DATOS PBI Artículos'!$Y$4:$Y$4),[1]CRITERIOS!$P$79:$P$123,[1]CRITERIOS!$S$79:$S$123)),0)*[1]CRITERIOS!$M$80*([1]CRITERIOS!$M$110/[1]CRITERIOS!$M$86)+(_xlfn.XLOOKUP(A469,'[1]DATOS PBI Artículos'!$A$4:$A$4,'[1]DATOS PBI Artículos'!$AA$4:$AA$4)*([1]CRITERIOS!$M$95+[1]CRITERIOS!$M$98)))/N469)</f>
        <v>#N/A</v>
      </c>
      <c r="AD469" s="33" t="e">
        <f>IF(N469=0,"",(ROUNDUP((N469/2)/(_xlfn.XLOOKUP(A469,'[1]DATOS PBI Artículos'!$A$4:$A$4,'[1]DATOS PBI Artículos'!$Z$4:$Z$4)*_xlfn.XLOOKUP(_xlfn.XLOOKUP(A469,'[1]DATOS PBI Artículos'!$A$4:$A$4,'[1]DATOS PBI Artículos'!$Y$4:$Y$4),[1]CRITERIOS!$P$79:$P$123,[1]CRITERIOS!$S$79:$S$123)),0)*[1]CRITERIOS!$M$80*([1]CRITERIOS!$M$89*[1]CRITERIOS!$M$92)+((_xlfn.XLOOKUP(A469,'[1]DATOS PBI Artículos'!$A$4:$A$4,'[1]DATOS PBI Artículos'!$AA$4:$AA$4)/2)*([1]CRITERIOS!$M$95+[1]CRITERIOS!$M$98)))/N469)</f>
        <v>#N/A</v>
      </c>
      <c r="AE469" s="39" t="e">
        <f>IF($R469="MTO","",
IF($H469=0,ROUNDUP(((_xlfn.XLOOKUP($A469,'[1]DATOS PBI Artículos'!$A:$A,'[1]DATOS PBI Artículos'!$AL:$AL))/(_xlfn.XLOOKUP($AF$1,[1]CRITERIOS!$S$16:$S$39,[1]CRITERIOS!$Y$16:$Y$39))*$J469+$Z469)/$G469,0)*$G469,
((_xlfn.XLOOKUP($A469,'[1]DATOS PBI Artículos'!$A:$A,'[1]DATOS PBI Artículos'!$AL:$AL))/(_xlfn.XLOOKUP($AF$1,[1]CRITERIOS!$S$16:$S$39,[1]CRITERIOS!$Y$16:$Y$39))*$J469+$Z469)))</f>
        <v>#N/A</v>
      </c>
      <c r="AG469" s="39" t="e">
        <f>IF($R469="MTO","",
IF($H469=0,ROUNDUP(((_xlfn.XLOOKUP($A469,'[1]DATOS PBI Artículos'!$A:$A,'[1]DATOS PBI Artículos'!$AM:$AM))/(_xlfn.XLOOKUP($AH$1,[1]CRITERIOS!$S$16:$S$39,[1]CRITERIOS!$Y$16:$Y$39))*$J469+$Z469)/$G469,0)*$G469,
((_xlfn.XLOOKUP($A469,'[1]DATOS PBI Artículos'!$A:$A,'[1]DATOS PBI Artículos'!$AM:$AM))/(_xlfn.XLOOKUP($AH$1,[1]CRITERIOS!$S$16:$S$39,[1]CRITERIOS!$Y$16:$Y$39))*$J469+$Z469)))</f>
        <v>#N/A</v>
      </c>
      <c r="AI469" s="39" t="e">
        <f>IF($R469="MTO","",
IF($H469=0,ROUNDUP(((_xlfn.XLOOKUP($A469,'[1]DATOS PBI Artículos'!$A:$A,'[1]DATOS PBI Artículos'!$AN:$AN))/(_xlfn.XLOOKUP($AJ$1,[1]CRITERIOS!$S$16:$S$39,[1]CRITERIOS!$Y$16:$Y$39))*$J469+$Z469)/$G469,0)*$G469,
((_xlfn.XLOOKUP($A469,'[1]DATOS PBI Artículos'!$A:$A,'[1]DATOS PBI Artículos'!$AN:$AN))/(_xlfn.XLOOKUP($AJ$1,[1]CRITERIOS!$S$16:$S$39,[1]CRITERIOS!$Y$16:$Y$39))*$J469+$Z469)))</f>
        <v>#N/A</v>
      </c>
      <c r="AK469" s="39" t="e">
        <f>IF($R469="MTO","",
IF($H469=0,ROUNDUP(((_xlfn.XLOOKUP($A469,'[1]DATOS PBI Artículos'!$A:$A,'[1]DATOS PBI Artículos'!$AO:$AO))/(_xlfn.XLOOKUP($AL$1,[1]CRITERIOS!$S$16:$S$39,[1]CRITERIOS!$Y$16:$Y$39))*$J469+$Z469)/$G469,0)*$G469,
((_xlfn.XLOOKUP($A469,'[1]DATOS PBI Artículos'!$A:$A,'[1]DATOS PBI Artículos'!$AO:$AO))/(_xlfn.XLOOKUP($AL$1,[1]CRITERIOS!$S$16:$S$39,[1]CRITERIOS!$Y$16:$Y$39))*$J469+$Z469)))</f>
        <v>#N/A</v>
      </c>
    </row>
    <row r="470" spans="1:37" ht="25.8" hidden="1" x14ac:dyDescent="0.4">
      <c r="A470" s="41"/>
      <c r="B470" s="33">
        <f>_xlfn.XLOOKUP($A470,'[1]DATOS PBI Artículos'!A:A,'[1]DATOS PBI Artículos'!B:B)</f>
        <v>0</v>
      </c>
      <c r="C470" s="33">
        <f>_xlfn.XLOOKUP($A470,'[1]DATOS PBI Artículos'!A:A,'[1]DATOS PBI Artículos'!C:C)</f>
        <v>0</v>
      </c>
      <c r="D470" s="33">
        <f>_xlfn.XLOOKUP(A470,'[1]DATOS PBI Artículos'!A:A,'[1]DATOS PBI Artículos'!T:T)</f>
        <v>0</v>
      </c>
      <c r="E470" s="34">
        <f>IF(_xlfn.XLOOKUP($A470,'[1]DATOS PBI Artículos'!A:A,'[1]DATOS PBI Artículos'!AK:AK)="",_xlfn.XLOOKUP($A470,'[1]DATOS PBI Artículos'!A:A,'[1]DATOS PBI Artículos'!AJ:AJ),_xlfn.XLOOKUP($A470,'[1]DATOS PBI Artículos'!A:A,'[1]DATOS PBI Artículos'!AK:AK))</f>
        <v>0</v>
      </c>
      <c r="F470" s="35">
        <f>_xlfn.XLOOKUP($A470,'[1]DATOS PBI Artículos'!A:A,'[1]DATOS PBI Artículos'!AP:AP)</f>
        <v>0</v>
      </c>
      <c r="G470" s="34">
        <f>_xlfn.XLOOKUP($A470,'[1]DATOS PBI Artículos'!A:A,'[1]DATOS PBI Artículos'!AR:AR)</f>
        <v>0</v>
      </c>
      <c r="H470" s="34">
        <f>_xlfn.XLOOKUP($A470,'[1]DATOS PBI Artículos'!A:A,'[1]DATOS PBI Artículos'!AT:AT)</f>
        <v>0</v>
      </c>
      <c r="I470" s="34">
        <f>_xlfn.XLOOKUP($A470,'[1]DATOS PBI Artículos'!A:A,'[1]DATOS PBI Artículos'!AS:AS)</f>
        <v>0</v>
      </c>
      <c r="J470" s="35">
        <f>IF(COUNTIF([1]CRITERIOS!$F$179:$F$199,$A470)&gt;=1,
 IF(O470&lt;&gt;"",
    (O470/_xlfn.XLOOKUP(CONCATENATE(A470,L470),[1]MÁQUINAS!A:A,[1]MÁQUINAS!D:D))/24,
    (N470/_xlfn.XLOOKUP(CONCATENATE(A470,L470),[1]MÁQUINAS!A:A,[1]MÁQUINAS!D:D))/24),
  _xlfn.XLOOKUP($A470,'[1]DATOS PBI Artículos'!A:A,'[1]DATOS PBI Artículos'!AU:AU))</f>
        <v>0</v>
      </c>
      <c r="K470" s="36">
        <f>_xlfn.XLOOKUP($A470,'[1]DATOS PBI Artículos'!A:A,'[1]DATOS PBI Artículos'!AV:AV)</f>
        <v>0</v>
      </c>
      <c r="L470" s="33">
        <f>_xlfn.XLOOKUP(A470,[1]MÁQUINAS!B:B,[1]MÁQUINAS!C:C)</f>
        <v>0</v>
      </c>
      <c r="M470" s="34">
        <f t="array" ref="M470">_xlfn.XLOOKUP(A470,'[1]DATOS PBI Artículos'!A:A,'[1]DATOS PBI Artículos'!AX:$AX)</f>
        <v>0</v>
      </c>
      <c r="N470" s="37" t="e">
        <f>IF(I470="DV",
E470,
IF(COUNTIF([1]CRITERIOS!$I$179:$I$199,$A470)&gt;=1,
_xlfn.XLOOKUP($A470,[1]CRITERIOS!$I$179:$I$199,[1]CRITERIOS!$J$179:$J$199),
IF(COUNTIF([1]CRITERIOS!$L$179:$L$199,$A470)&gt;=1,
_xlfn.CEILING.MATH(IF($M470&gt;$E470,
$E470,
IF($M470&lt;$E470/ROUNDDOWN([1]CRITERIOS!$M$16/_xlfn.XLOOKUP($C470,[1]CRITERIOS!$K$25:$K$42,[1]CRITERIOS!$M$25:$M$42),
1),
E470/ROUNDDOWN([1]CRITERIOS!$M$16/_xlfn.XLOOKUP($C470,[1]CRITERIOS!$K$25:$K$42,[1]CRITERIOS!$M$25:$M$42),
1),
$M470)),
_xlfn.XLOOKUP($A470,[1]CRITERIOS!$L$179:$L$200,[1]CRITERIOS!$M$179:$M$200)),
_xlfn.CEILING.MATH(IF($M470&gt;$E470,
$E470,
IF($M470&lt;$E470/ROUNDDOWN([1]CRITERIOS!$M$16/_xlfn.XLOOKUP($C470,[1]CRITERIOS!$K$25:$K$42,[1]CRITERIOS!$M$25:$M$42),
1),
E470/ROUNDDOWN([1]CRITERIOS!$M$16/_xlfn.XLOOKUP($C470,[1]CRITERIOS!$K$25:$K$42,[1]CRITERIOS!$M$25:$M$42),
1),
$M470)),_xlfn.XLOOKUP(A470,'[1]DATOS PBI Artículos'!A:A,'[1]DATOS PBI Artículos'!Z:Z
)))))</f>
        <v>#N/A</v>
      </c>
      <c r="Q470" s="38" t="e">
        <f>IF(AND(O470="",N470=0),
0,
   IF(COUNTIF([1]CRITERIOS!$F$179:$F$199,$A470)&gt;=1,
   1,
   IF(R470="MTO",
      $D470,
      ROUNDUP(
                    IF(($E470-SUMIF('[1]DATOS PBI Artículos'!A:A,A470,'[1]DATOS PBI Artículos'!X:X)+($V470-_xlfn.XLOOKUP(A470,'[1]DATOS PBI Artículos'!A:A,'[1]DATOS PBI Artículos'!W:W)))&lt;0,
                    0,
                    IF(($E470-SUMIF('[1]DATOS PBI Artículos'!A:A,A470,'[1]DATOS PBI Artículos'!X:X)+$V470-_xlfn.XLOOKUP($A470,'[1]DATOS PBI Artículos'!A:A,'[1]DATOS PBI Artículos'!W:W))/IF($O470="",$N470,$O470)&gt;ROUNDUP([1]CRITERIOS!$M$16/(IF(COUNTIF([1]CRITERIOS!$BG$11:$BG$201,L470)&gt;=1,_xlfn.XLOOKUP($C470,[1]CRITERIOS!$K$25:$K$42,[1]CRITERIOS!$M$25:$M$42),_xlfn.XLOOKUP($C470,[1]CRITERIOS!$K$25:$K$42,[1]CRITERIOS!$M$25:$M$42))),0),
                    ROUNDUP([1]CRITERIOS!$M$16/(IF(COUNTIF([1]CRITERIOS!$BG$11:$BG$201,$L470)&gt;=1,_xlfn.XLOOKUP($C470,[1]CRITERIOS!$K$25:$K$42,[1]CRITERIOS!$M$25:$M$42),_xlfn.XLOOKUP($C470,[1]CRITERIOS!$K$25:$K$42,[1]CRITERIOS!$M$25:$M$42))),0),
                    (E470+V470-SUMIF('[1]DATOS PBI Artículos'!A:A,A470,'[1]DATOS PBI Artículos'!X:X)-_xlfn.XLOOKUP(A470,'[1]DATOS PBI Artículos'!A:A,'[1]DATOS PBI Artículos'!W:W))/IF($O470="",$N470,$O470))),0))))</f>
        <v>#N/A</v>
      </c>
      <c r="R470" s="33" t="e">
        <f>IF(U470&lt;&gt;"",U470,IF(F470="DV","MTO",IF(N470=0,"MTO",_xlfn.XLOOKUP(CONCATENATE(S470,T470),[1]CRITERIOS!$K$160:$K$168,[1]CRITERIOS!$N$160:$N$168))))</f>
        <v>#N/A</v>
      </c>
      <c r="S470" s="33" t="e">
        <f>IF(G470="DV","MTO",IF(N470=0,"MTO",IF(OR(AND(N470=0,O470=""),IF(O470="",G470/N470,G470/O470)&gt;[1]CRITERIOS!$G$163),"MTO",IF(IF(O470="",G470/N470,G470/O470)&lt;[1]CRITERIOS!$H$161,"MTS","MTOS"))))</f>
        <v>#N/A</v>
      </c>
      <c r="T470" s="33" t="e">
        <f>IF(F470="DV","MTO",IF(OR(AND($N470=0,O470=""),$F470/$J470&gt;[1]CRITERIOS!$G$170,$F470="DV"),"MTO",IF($F470/$J470&lt;[1]CRITERIOS!$H$168,"MTS","MTOS")))</f>
        <v>#N/A</v>
      </c>
      <c r="V470" s="34" t="e">
        <f t="shared" si="22"/>
        <v>#N/A</v>
      </c>
      <c r="X470" s="34" t="e">
        <f t="shared" si="23"/>
        <v>#N/A</v>
      </c>
      <c r="Y470" s="34" t="e">
        <f t="shared" si="24"/>
        <v>#N/A</v>
      </c>
      <c r="Z470" s="34" t="e">
        <f>IF($R470="MTO",
0,
($H470+$K470*($E470/[1]CRITERIOS!$M$16))/[1]CRITERIOS!$X$48)</f>
        <v>#N/A</v>
      </c>
      <c r="AA470" s="34" t="e">
        <f>ROUNDUP(($Y470/_xlfn.XLOOKUP($A470,'[1]DATOS PBI Artículos'!$A$4:$A$4,'[1]DATOS PBI Artículos'!$Z$4:$Z$4))/_xlfn.XLOOKUP(_xlfn.XLOOKUP($A470,'[1]DATOS PBI Artículos'!$A$4:$A$4,'[1]DATOS PBI Artículos'!$Y$4:$Y$4),[1]CRITERIOS!$P$79:$P$123,[1]CRITERIOS!$S$79:$S$123,),0)</f>
        <v>#N/A</v>
      </c>
      <c r="AB470" s="33" t="e">
        <f t="array" ref="AB470">IF((E470+V470-_xlfn.XLOOKUP(A470,'[1]DATOS PBI Artículos'!$A$4:$A$4,'[1]DATOS PBI Artículos'!$W$4:$W$4))/N470&gt;ROUNDUP([1]CRITERIOS!$M$16/(IF(COUNTIF([1]CRITERIOS!$BG$11:$BG$201,L470)&gt;=1,_xlfn.XLOOKUP(ARTÍCULOS!L470,[1]CRITERIOS!$BG$11:$BG$201,[1]CRITERIOS!$BJ$11:$BJ$201),_xlfn.XLOOKUP(ARTÍCULOS!C470,[1]CRITERIOS!$K$25:$K$42,[1]CRITERIOS!$M$25:$M$42))),0),ROUNDUP([1]CRITERIOS!$M$16/(IF(COUNTIF([1]CRITERIOS!$BG$11:$BG$201,L470)&gt;=1,_xlfn.XLOOKUP(ARTÍCULOS!L470,[1]CRITERIOS!$BG$11:$BG$201:#REF!,[1]CRITERIOS!$BJ$11:$BJ$201),_xlfn.XLOOKUP(ARTÍCULOS!C470,[1]CRITERIOS!$K$25:$K$42,[1]CRITERIOS!$M$25:$M$42))),0),(E470+V470-_xlfn.XLOOKUP(A470,'[1]DATOS PBI Artículos'!$A$4:$A$4,'[1]DATOS PBI Artículos'!$W$4:$W$4))/N470)</f>
        <v>#N/A</v>
      </c>
      <c r="AC470" s="33" t="e">
        <f>IF(N470=0,"",(ROUNDUP((N470/2)/(_xlfn.XLOOKUP(A470,'[1]DATOS PBI Artículos'!$A$4:$A$4,'[1]DATOS PBI Artículos'!$Z$4:$Z$4)*_xlfn.XLOOKUP(_xlfn.XLOOKUP(A470,'[1]DATOS PBI Artículos'!$A$4:$A$4,'[1]DATOS PBI Artículos'!$Y$4:$Y$4),[1]CRITERIOS!$P$79:$P$123,[1]CRITERIOS!$S$79:$S$123)),0)*[1]CRITERIOS!$M$80*([1]CRITERIOS!$M$110/[1]CRITERIOS!$M$86)+(_xlfn.XLOOKUP(A470,'[1]DATOS PBI Artículos'!$A$4:$A$4,'[1]DATOS PBI Artículos'!$AA$4:$AA$4)*([1]CRITERIOS!$M$95+[1]CRITERIOS!$M$98)))/N470)</f>
        <v>#N/A</v>
      </c>
      <c r="AD470" s="33" t="e">
        <f>IF(N470=0,"",(ROUNDUP((N470/2)/(_xlfn.XLOOKUP(A470,'[1]DATOS PBI Artículos'!$A$4:$A$4,'[1]DATOS PBI Artículos'!$Z$4:$Z$4)*_xlfn.XLOOKUP(_xlfn.XLOOKUP(A470,'[1]DATOS PBI Artículos'!$A$4:$A$4,'[1]DATOS PBI Artículos'!$Y$4:$Y$4),[1]CRITERIOS!$P$79:$P$123,[1]CRITERIOS!$S$79:$S$123)),0)*[1]CRITERIOS!$M$80*([1]CRITERIOS!$M$89*[1]CRITERIOS!$M$92)+((_xlfn.XLOOKUP(A470,'[1]DATOS PBI Artículos'!$A$4:$A$4,'[1]DATOS PBI Artículos'!$AA$4:$AA$4)/2)*([1]CRITERIOS!$M$95+[1]CRITERIOS!$M$98)))/N470)</f>
        <v>#N/A</v>
      </c>
      <c r="AE470" s="39" t="e">
        <f>IF($R470="MTO","",
IF($H470=0,ROUNDUP(((_xlfn.XLOOKUP($A470,'[1]DATOS PBI Artículos'!$A:$A,'[1]DATOS PBI Artículos'!$AL:$AL))/(_xlfn.XLOOKUP($AF$1,[1]CRITERIOS!$S$16:$S$39,[1]CRITERIOS!$Y$16:$Y$39))*$J470+$Z470)/$G470,0)*$G470,
((_xlfn.XLOOKUP($A470,'[1]DATOS PBI Artículos'!$A:$A,'[1]DATOS PBI Artículos'!$AL:$AL))/(_xlfn.XLOOKUP($AF$1,[1]CRITERIOS!$S$16:$S$39,[1]CRITERIOS!$Y$16:$Y$39))*$J470+$Z470)))</f>
        <v>#N/A</v>
      </c>
      <c r="AG470" s="39" t="e">
        <f>IF($R470="MTO","",
IF($H470=0,ROUNDUP(((_xlfn.XLOOKUP($A470,'[1]DATOS PBI Artículos'!$A:$A,'[1]DATOS PBI Artículos'!$AM:$AM))/(_xlfn.XLOOKUP($AH$1,[1]CRITERIOS!$S$16:$S$39,[1]CRITERIOS!$Y$16:$Y$39))*$J470+$Z470)/$G470,0)*$G470,
((_xlfn.XLOOKUP($A470,'[1]DATOS PBI Artículos'!$A:$A,'[1]DATOS PBI Artículos'!$AM:$AM))/(_xlfn.XLOOKUP($AH$1,[1]CRITERIOS!$S$16:$S$39,[1]CRITERIOS!$Y$16:$Y$39))*$J470+$Z470)))</f>
        <v>#N/A</v>
      </c>
      <c r="AI470" s="39" t="e">
        <f>IF($R470="MTO","",
IF($H470=0,ROUNDUP(((_xlfn.XLOOKUP($A470,'[1]DATOS PBI Artículos'!$A:$A,'[1]DATOS PBI Artículos'!$AN:$AN))/(_xlfn.XLOOKUP($AJ$1,[1]CRITERIOS!$S$16:$S$39,[1]CRITERIOS!$Y$16:$Y$39))*$J470+$Z470)/$G470,0)*$G470,
((_xlfn.XLOOKUP($A470,'[1]DATOS PBI Artículos'!$A:$A,'[1]DATOS PBI Artículos'!$AN:$AN))/(_xlfn.XLOOKUP($AJ$1,[1]CRITERIOS!$S$16:$S$39,[1]CRITERIOS!$Y$16:$Y$39))*$J470+$Z470)))</f>
        <v>#N/A</v>
      </c>
      <c r="AK470" s="39" t="e">
        <f>IF($R470="MTO","",
IF($H470=0,ROUNDUP(((_xlfn.XLOOKUP($A470,'[1]DATOS PBI Artículos'!$A:$A,'[1]DATOS PBI Artículos'!$AO:$AO))/(_xlfn.XLOOKUP($AL$1,[1]CRITERIOS!$S$16:$S$39,[1]CRITERIOS!$Y$16:$Y$39))*$J470+$Z470)/$G470,0)*$G470,
((_xlfn.XLOOKUP($A470,'[1]DATOS PBI Artículos'!$A:$A,'[1]DATOS PBI Artículos'!$AO:$AO))/(_xlfn.XLOOKUP($AL$1,[1]CRITERIOS!$S$16:$S$39,[1]CRITERIOS!$Y$16:$Y$39))*$J470+$Z470)))</f>
        <v>#N/A</v>
      </c>
    </row>
    <row r="471" spans="1:37" ht="25.8" hidden="1" x14ac:dyDescent="0.4">
      <c r="A471" s="41"/>
      <c r="B471" s="33">
        <f>_xlfn.XLOOKUP($A471,'[1]DATOS PBI Artículos'!A:A,'[1]DATOS PBI Artículos'!B:B)</f>
        <v>0</v>
      </c>
      <c r="C471" s="33">
        <f>_xlfn.XLOOKUP($A471,'[1]DATOS PBI Artículos'!A:A,'[1]DATOS PBI Artículos'!C:C)</f>
        <v>0</v>
      </c>
      <c r="D471" s="33">
        <f>_xlfn.XLOOKUP(A471,'[1]DATOS PBI Artículos'!A:A,'[1]DATOS PBI Artículos'!T:T)</f>
        <v>0</v>
      </c>
      <c r="E471" s="34">
        <f>IF(_xlfn.XLOOKUP($A471,'[1]DATOS PBI Artículos'!A:A,'[1]DATOS PBI Artículos'!AK:AK)="",_xlfn.XLOOKUP($A471,'[1]DATOS PBI Artículos'!A:A,'[1]DATOS PBI Artículos'!AJ:AJ),_xlfn.XLOOKUP($A471,'[1]DATOS PBI Artículos'!A:A,'[1]DATOS PBI Artículos'!AK:AK))</f>
        <v>0</v>
      </c>
      <c r="F471" s="35">
        <f>_xlfn.XLOOKUP($A471,'[1]DATOS PBI Artículos'!A:A,'[1]DATOS PBI Artículos'!AP:AP)</f>
        <v>0</v>
      </c>
      <c r="G471" s="34">
        <f>_xlfn.XLOOKUP($A471,'[1]DATOS PBI Artículos'!A:A,'[1]DATOS PBI Artículos'!AR:AR)</f>
        <v>0</v>
      </c>
      <c r="H471" s="34">
        <f>_xlfn.XLOOKUP($A471,'[1]DATOS PBI Artículos'!A:A,'[1]DATOS PBI Artículos'!AT:AT)</f>
        <v>0</v>
      </c>
      <c r="I471" s="34">
        <f>_xlfn.XLOOKUP($A471,'[1]DATOS PBI Artículos'!A:A,'[1]DATOS PBI Artículos'!AS:AS)</f>
        <v>0</v>
      </c>
      <c r="J471" s="35">
        <f>IF(COUNTIF([1]CRITERIOS!$F$179:$F$199,$A471)&gt;=1,
 IF(O471&lt;&gt;"",
    (O471/_xlfn.XLOOKUP(CONCATENATE(A471,L471),[1]MÁQUINAS!A:A,[1]MÁQUINAS!D:D))/24,
    (N471/_xlfn.XLOOKUP(CONCATENATE(A471,L471),[1]MÁQUINAS!A:A,[1]MÁQUINAS!D:D))/24),
  _xlfn.XLOOKUP($A471,'[1]DATOS PBI Artículos'!A:A,'[1]DATOS PBI Artículos'!AU:AU))</f>
        <v>0</v>
      </c>
      <c r="K471" s="36">
        <f>_xlfn.XLOOKUP($A471,'[1]DATOS PBI Artículos'!A:A,'[1]DATOS PBI Artículos'!AV:AV)</f>
        <v>0</v>
      </c>
      <c r="L471" s="33">
        <f>_xlfn.XLOOKUP(A471,[1]MÁQUINAS!B:B,[1]MÁQUINAS!C:C)</f>
        <v>0</v>
      </c>
      <c r="M471" s="34">
        <f t="array" ref="M471">_xlfn.XLOOKUP(A471,'[1]DATOS PBI Artículos'!A:A,'[1]DATOS PBI Artículos'!AX:$AX)</f>
        <v>0</v>
      </c>
      <c r="N471" s="37" t="e">
        <f>IF(I471="DV",
E471,
IF(COUNTIF([1]CRITERIOS!$I$179:$I$199,$A471)&gt;=1,
_xlfn.XLOOKUP($A471,[1]CRITERIOS!$I$179:$I$199,[1]CRITERIOS!$J$179:$J$199),
IF(COUNTIF([1]CRITERIOS!$L$179:$L$199,$A471)&gt;=1,
_xlfn.CEILING.MATH(IF($M471&gt;$E471,
$E471,
IF($M471&lt;$E471/ROUNDDOWN([1]CRITERIOS!$M$16/_xlfn.XLOOKUP($C471,[1]CRITERIOS!$K$25:$K$42,[1]CRITERIOS!$M$25:$M$42),
1),
E471/ROUNDDOWN([1]CRITERIOS!$M$16/_xlfn.XLOOKUP($C471,[1]CRITERIOS!$K$25:$K$42,[1]CRITERIOS!$M$25:$M$42),
1),
$M471)),
_xlfn.XLOOKUP($A471,[1]CRITERIOS!$L$179:$L$200,[1]CRITERIOS!$M$179:$M$200)),
_xlfn.CEILING.MATH(IF($M471&gt;$E471,
$E471,
IF($M471&lt;$E471/ROUNDDOWN([1]CRITERIOS!$M$16/_xlfn.XLOOKUP($C471,[1]CRITERIOS!$K$25:$K$42,[1]CRITERIOS!$M$25:$M$42),
1),
E471/ROUNDDOWN([1]CRITERIOS!$M$16/_xlfn.XLOOKUP($C471,[1]CRITERIOS!$K$25:$K$42,[1]CRITERIOS!$M$25:$M$42),
1),
$M471)),_xlfn.XLOOKUP(A471,'[1]DATOS PBI Artículos'!A:A,'[1]DATOS PBI Artículos'!Z:Z
)))))</f>
        <v>#N/A</v>
      </c>
      <c r="Q471" s="38" t="e">
        <f>IF(AND(O471="",N471=0),
0,
   IF(COUNTIF([1]CRITERIOS!$F$179:$F$199,$A471)&gt;=1,
   1,
   IF(R471="MTO",
      $D471,
      ROUNDUP(
                    IF(($E471-SUMIF('[1]DATOS PBI Artículos'!A:A,A471,'[1]DATOS PBI Artículos'!X:X)+($V471-_xlfn.XLOOKUP(A471,'[1]DATOS PBI Artículos'!A:A,'[1]DATOS PBI Artículos'!W:W)))&lt;0,
                    0,
                    IF(($E471-SUMIF('[1]DATOS PBI Artículos'!A:A,A471,'[1]DATOS PBI Artículos'!X:X)+$V471-_xlfn.XLOOKUP($A471,'[1]DATOS PBI Artículos'!A:A,'[1]DATOS PBI Artículos'!W:W))/IF($O471="",$N471,$O471)&gt;ROUNDUP([1]CRITERIOS!$M$16/(IF(COUNTIF([1]CRITERIOS!$BG$11:$BG$201,L471)&gt;=1,_xlfn.XLOOKUP($C471,[1]CRITERIOS!$K$25:$K$42,[1]CRITERIOS!$M$25:$M$42),_xlfn.XLOOKUP($C471,[1]CRITERIOS!$K$25:$K$42,[1]CRITERIOS!$M$25:$M$42))),0),
                    ROUNDUP([1]CRITERIOS!$M$16/(IF(COUNTIF([1]CRITERIOS!$BG$11:$BG$201,$L471)&gt;=1,_xlfn.XLOOKUP($C471,[1]CRITERIOS!$K$25:$K$42,[1]CRITERIOS!$M$25:$M$42),_xlfn.XLOOKUP($C471,[1]CRITERIOS!$K$25:$K$42,[1]CRITERIOS!$M$25:$M$42))),0),
                    (E471+V471-SUMIF('[1]DATOS PBI Artículos'!A:A,A471,'[1]DATOS PBI Artículos'!X:X)-_xlfn.XLOOKUP(A471,'[1]DATOS PBI Artículos'!A:A,'[1]DATOS PBI Artículos'!W:W))/IF($O471="",$N471,$O471))),0))))</f>
        <v>#N/A</v>
      </c>
      <c r="R471" s="33" t="e">
        <f>IF(U471&lt;&gt;"",U471,IF(F471="DV","MTO",IF(N471=0,"MTO",_xlfn.XLOOKUP(CONCATENATE(S471,T471),[1]CRITERIOS!$K$160:$K$168,[1]CRITERIOS!$N$160:$N$168))))</f>
        <v>#N/A</v>
      </c>
      <c r="S471" s="33" t="e">
        <f>IF(G471="DV","MTO",IF(N471=0,"MTO",IF(OR(AND(N471=0,O471=""),IF(O471="",G471/N471,G471/O471)&gt;[1]CRITERIOS!$G$163),"MTO",IF(IF(O471="",G471/N471,G471/O471)&lt;[1]CRITERIOS!$H$161,"MTS","MTOS"))))</f>
        <v>#N/A</v>
      </c>
      <c r="T471" s="33" t="e">
        <f>IF(F471="DV","MTO",IF(OR(AND($N471=0,O471=""),$F471/$J471&gt;[1]CRITERIOS!$G$170,$F471="DV"),"MTO",IF($F471/$J471&lt;[1]CRITERIOS!$H$168,"MTS","MTOS")))</f>
        <v>#N/A</v>
      </c>
      <c r="V471" s="34" t="e">
        <f t="shared" si="22"/>
        <v>#N/A</v>
      </c>
      <c r="X471" s="34" t="e">
        <f t="shared" si="23"/>
        <v>#N/A</v>
      </c>
      <c r="Y471" s="34" t="e">
        <f t="shared" si="24"/>
        <v>#N/A</v>
      </c>
      <c r="Z471" s="34" t="e">
        <f>IF($R471="MTO",
0,
($H471+$K471*($E471/[1]CRITERIOS!$M$16))/[1]CRITERIOS!$X$48)</f>
        <v>#N/A</v>
      </c>
      <c r="AA471" s="34" t="e">
        <f>ROUNDUP(($Y471/_xlfn.XLOOKUP($A471,'[1]DATOS PBI Artículos'!$A$4:$A$4,'[1]DATOS PBI Artículos'!$Z$4:$Z$4))/_xlfn.XLOOKUP(_xlfn.XLOOKUP($A471,'[1]DATOS PBI Artículos'!$A$4:$A$4,'[1]DATOS PBI Artículos'!$Y$4:$Y$4),[1]CRITERIOS!$P$79:$P$123,[1]CRITERIOS!$S$79:$S$123,),0)</f>
        <v>#N/A</v>
      </c>
      <c r="AB471" s="33" t="e">
        <f t="array" ref="AB471">IF((E471+V471-_xlfn.XLOOKUP(A471,'[1]DATOS PBI Artículos'!$A$4:$A$4,'[1]DATOS PBI Artículos'!$W$4:$W$4))/N471&gt;ROUNDUP([1]CRITERIOS!$M$16/(IF(COUNTIF([1]CRITERIOS!$BG$11:$BG$201,L471)&gt;=1,_xlfn.XLOOKUP(ARTÍCULOS!L471,[1]CRITERIOS!$BG$11:$BG$201,[1]CRITERIOS!$BJ$11:$BJ$201),_xlfn.XLOOKUP(ARTÍCULOS!C471,[1]CRITERIOS!$K$25:$K$42,[1]CRITERIOS!$M$25:$M$42))),0),ROUNDUP([1]CRITERIOS!$M$16/(IF(COUNTIF([1]CRITERIOS!$BG$11:$BG$201,L471)&gt;=1,_xlfn.XLOOKUP(ARTÍCULOS!L471,[1]CRITERIOS!$BG$11:$BG$201:#REF!,[1]CRITERIOS!$BJ$11:$BJ$201),_xlfn.XLOOKUP(ARTÍCULOS!C471,[1]CRITERIOS!$K$25:$K$42,[1]CRITERIOS!$M$25:$M$42))),0),(E471+V471-_xlfn.XLOOKUP(A471,'[1]DATOS PBI Artículos'!$A$4:$A$4,'[1]DATOS PBI Artículos'!$W$4:$W$4))/N471)</f>
        <v>#N/A</v>
      </c>
      <c r="AC471" s="33" t="e">
        <f>IF(N471=0,"",(ROUNDUP((N471/2)/(_xlfn.XLOOKUP(A471,'[1]DATOS PBI Artículos'!$A$4:$A$4,'[1]DATOS PBI Artículos'!$Z$4:$Z$4)*_xlfn.XLOOKUP(_xlfn.XLOOKUP(A471,'[1]DATOS PBI Artículos'!$A$4:$A$4,'[1]DATOS PBI Artículos'!$Y$4:$Y$4),[1]CRITERIOS!$P$79:$P$123,[1]CRITERIOS!$S$79:$S$123)),0)*[1]CRITERIOS!$M$80*([1]CRITERIOS!$M$110/[1]CRITERIOS!$M$86)+(_xlfn.XLOOKUP(A471,'[1]DATOS PBI Artículos'!$A$4:$A$4,'[1]DATOS PBI Artículos'!$AA$4:$AA$4)*([1]CRITERIOS!$M$95+[1]CRITERIOS!$M$98)))/N471)</f>
        <v>#N/A</v>
      </c>
      <c r="AD471" s="33" t="e">
        <f>IF(N471=0,"",(ROUNDUP((N471/2)/(_xlfn.XLOOKUP(A471,'[1]DATOS PBI Artículos'!$A$4:$A$4,'[1]DATOS PBI Artículos'!$Z$4:$Z$4)*_xlfn.XLOOKUP(_xlfn.XLOOKUP(A471,'[1]DATOS PBI Artículos'!$A$4:$A$4,'[1]DATOS PBI Artículos'!$Y$4:$Y$4),[1]CRITERIOS!$P$79:$P$123,[1]CRITERIOS!$S$79:$S$123)),0)*[1]CRITERIOS!$M$80*([1]CRITERIOS!$M$89*[1]CRITERIOS!$M$92)+((_xlfn.XLOOKUP(A471,'[1]DATOS PBI Artículos'!$A$4:$A$4,'[1]DATOS PBI Artículos'!$AA$4:$AA$4)/2)*([1]CRITERIOS!$M$95+[1]CRITERIOS!$M$98)))/N471)</f>
        <v>#N/A</v>
      </c>
      <c r="AE471" s="39" t="e">
        <f>IF($R471="MTO","",
IF($H471=0,ROUNDUP(((_xlfn.XLOOKUP($A471,'[1]DATOS PBI Artículos'!$A:$A,'[1]DATOS PBI Artículos'!$AL:$AL))/(_xlfn.XLOOKUP($AF$1,[1]CRITERIOS!$S$16:$S$39,[1]CRITERIOS!$Y$16:$Y$39))*$J471+$Z471)/$G471,0)*$G471,
((_xlfn.XLOOKUP($A471,'[1]DATOS PBI Artículos'!$A:$A,'[1]DATOS PBI Artículos'!$AL:$AL))/(_xlfn.XLOOKUP($AF$1,[1]CRITERIOS!$S$16:$S$39,[1]CRITERIOS!$Y$16:$Y$39))*$J471+$Z471)))</f>
        <v>#N/A</v>
      </c>
      <c r="AG471" s="39" t="e">
        <f>IF($R471="MTO","",
IF($H471=0,ROUNDUP(((_xlfn.XLOOKUP($A471,'[1]DATOS PBI Artículos'!$A:$A,'[1]DATOS PBI Artículos'!$AM:$AM))/(_xlfn.XLOOKUP($AH$1,[1]CRITERIOS!$S$16:$S$39,[1]CRITERIOS!$Y$16:$Y$39))*$J471+$Z471)/$G471,0)*$G471,
((_xlfn.XLOOKUP($A471,'[1]DATOS PBI Artículos'!$A:$A,'[1]DATOS PBI Artículos'!$AM:$AM))/(_xlfn.XLOOKUP($AH$1,[1]CRITERIOS!$S$16:$S$39,[1]CRITERIOS!$Y$16:$Y$39))*$J471+$Z471)))</f>
        <v>#N/A</v>
      </c>
      <c r="AI471" s="39" t="e">
        <f>IF($R471="MTO","",
IF($H471=0,ROUNDUP(((_xlfn.XLOOKUP($A471,'[1]DATOS PBI Artículos'!$A:$A,'[1]DATOS PBI Artículos'!$AN:$AN))/(_xlfn.XLOOKUP($AJ$1,[1]CRITERIOS!$S$16:$S$39,[1]CRITERIOS!$Y$16:$Y$39))*$J471+$Z471)/$G471,0)*$G471,
((_xlfn.XLOOKUP($A471,'[1]DATOS PBI Artículos'!$A:$A,'[1]DATOS PBI Artículos'!$AN:$AN))/(_xlfn.XLOOKUP($AJ$1,[1]CRITERIOS!$S$16:$S$39,[1]CRITERIOS!$Y$16:$Y$39))*$J471+$Z471)))</f>
        <v>#N/A</v>
      </c>
      <c r="AK471" s="39" t="e">
        <f>IF($R471="MTO","",
IF($H471=0,ROUNDUP(((_xlfn.XLOOKUP($A471,'[1]DATOS PBI Artículos'!$A:$A,'[1]DATOS PBI Artículos'!$AO:$AO))/(_xlfn.XLOOKUP($AL$1,[1]CRITERIOS!$S$16:$S$39,[1]CRITERIOS!$Y$16:$Y$39))*$J471+$Z471)/$G471,0)*$G471,
((_xlfn.XLOOKUP($A471,'[1]DATOS PBI Artículos'!$A:$A,'[1]DATOS PBI Artículos'!$AO:$AO))/(_xlfn.XLOOKUP($AL$1,[1]CRITERIOS!$S$16:$S$39,[1]CRITERIOS!$Y$16:$Y$39))*$J471+$Z471)))</f>
        <v>#N/A</v>
      </c>
    </row>
    <row r="472" spans="1:37" ht="25.8" hidden="1" x14ac:dyDescent="0.4">
      <c r="A472" s="41"/>
      <c r="B472" s="33">
        <f>_xlfn.XLOOKUP($A472,'[1]DATOS PBI Artículos'!A:A,'[1]DATOS PBI Artículos'!B:B)</f>
        <v>0</v>
      </c>
      <c r="C472" s="33">
        <f>_xlfn.XLOOKUP($A472,'[1]DATOS PBI Artículos'!A:A,'[1]DATOS PBI Artículos'!C:C)</f>
        <v>0</v>
      </c>
      <c r="D472" s="33">
        <f>_xlfn.XLOOKUP(A472,'[1]DATOS PBI Artículos'!A:A,'[1]DATOS PBI Artículos'!T:T)</f>
        <v>0</v>
      </c>
      <c r="E472" s="34">
        <f>IF(_xlfn.XLOOKUP($A472,'[1]DATOS PBI Artículos'!A:A,'[1]DATOS PBI Artículos'!AK:AK)="",_xlfn.XLOOKUP($A472,'[1]DATOS PBI Artículos'!A:A,'[1]DATOS PBI Artículos'!AJ:AJ),_xlfn.XLOOKUP($A472,'[1]DATOS PBI Artículos'!A:A,'[1]DATOS PBI Artículos'!AK:AK))</f>
        <v>0</v>
      </c>
      <c r="F472" s="35">
        <f>_xlfn.XLOOKUP($A472,'[1]DATOS PBI Artículos'!A:A,'[1]DATOS PBI Artículos'!AP:AP)</f>
        <v>0</v>
      </c>
      <c r="G472" s="34">
        <f>_xlfn.XLOOKUP($A472,'[1]DATOS PBI Artículos'!A:A,'[1]DATOS PBI Artículos'!AR:AR)</f>
        <v>0</v>
      </c>
      <c r="H472" s="34">
        <f>_xlfn.XLOOKUP($A472,'[1]DATOS PBI Artículos'!A:A,'[1]DATOS PBI Artículos'!AT:AT)</f>
        <v>0</v>
      </c>
      <c r="I472" s="34">
        <f>_xlfn.XLOOKUP($A472,'[1]DATOS PBI Artículos'!A:A,'[1]DATOS PBI Artículos'!AS:AS)</f>
        <v>0</v>
      </c>
      <c r="J472" s="35">
        <f>IF(COUNTIF([1]CRITERIOS!$F$179:$F$199,$A472)&gt;=1,
 IF(O472&lt;&gt;"",
    (O472/_xlfn.XLOOKUP(CONCATENATE(A472,L472),[1]MÁQUINAS!A:A,[1]MÁQUINAS!D:D))/24,
    (N472/_xlfn.XLOOKUP(CONCATENATE(A472,L472),[1]MÁQUINAS!A:A,[1]MÁQUINAS!D:D))/24),
  _xlfn.XLOOKUP($A472,'[1]DATOS PBI Artículos'!A:A,'[1]DATOS PBI Artículos'!AU:AU))</f>
        <v>0</v>
      </c>
      <c r="K472" s="36">
        <f>_xlfn.XLOOKUP($A472,'[1]DATOS PBI Artículos'!A:A,'[1]DATOS PBI Artículos'!AV:AV)</f>
        <v>0</v>
      </c>
      <c r="L472" s="33">
        <f>_xlfn.XLOOKUP(A472,[1]MÁQUINAS!B:B,[1]MÁQUINAS!C:C)</f>
        <v>0</v>
      </c>
      <c r="M472" s="34">
        <f t="array" ref="M472">_xlfn.XLOOKUP(A472,'[1]DATOS PBI Artículos'!A:A,'[1]DATOS PBI Artículos'!AX:$AX)</f>
        <v>0</v>
      </c>
      <c r="N472" s="37" t="e">
        <f>IF(I472="DV",
E472,
IF(COUNTIF([1]CRITERIOS!$I$179:$I$199,$A472)&gt;=1,
_xlfn.XLOOKUP($A472,[1]CRITERIOS!$I$179:$I$199,[1]CRITERIOS!$J$179:$J$199),
IF(COUNTIF([1]CRITERIOS!$L$179:$L$199,$A472)&gt;=1,
_xlfn.CEILING.MATH(IF($M472&gt;$E472,
$E472,
IF($M472&lt;$E472/ROUNDDOWN([1]CRITERIOS!$M$16/_xlfn.XLOOKUP($C472,[1]CRITERIOS!$K$25:$K$42,[1]CRITERIOS!$M$25:$M$42),
1),
E472/ROUNDDOWN([1]CRITERIOS!$M$16/_xlfn.XLOOKUP($C472,[1]CRITERIOS!$K$25:$K$42,[1]CRITERIOS!$M$25:$M$42),
1),
$M472)),
_xlfn.XLOOKUP($A472,[1]CRITERIOS!$L$179:$L$200,[1]CRITERIOS!$M$179:$M$200)),
_xlfn.CEILING.MATH(IF($M472&gt;$E472,
$E472,
IF($M472&lt;$E472/ROUNDDOWN([1]CRITERIOS!$M$16/_xlfn.XLOOKUP($C472,[1]CRITERIOS!$K$25:$K$42,[1]CRITERIOS!$M$25:$M$42),
1),
E472/ROUNDDOWN([1]CRITERIOS!$M$16/_xlfn.XLOOKUP($C472,[1]CRITERIOS!$K$25:$K$42,[1]CRITERIOS!$M$25:$M$42),
1),
$M472)),_xlfn.XLOOKUP(A472,'[1]DATOS PBI Artículos'!A:A,'[1]DATOS PBI Artículos'!Z:Z
)))))</f>
        <v>#N/A</v>
      </c>
      <c r="Q472" s="38" t="e">
        <f>IF(AND(O472="",N472=0),
0,
   IF(COUNTIF([1]CRITERIOS!$F$179:$F$199,$A472)&gt;=1,
   1,
   IF(R472="MTO",
      $D472,
      ROUNDUP(
                    IF(($E472-SUMIF('[1]DATOS PBI Artículos'!A:A,A472,'[1]DATOS PBI Artículos'!X:X)+($V472-_xlfn.XLOOKUP(A472,'[1]DATOS PBI Artículos'!A:A,'[1]DATOS PBI Artículos'!W:W)))&lt;0,
                    0,
                    IF(($E472-SUMIF('[1]DATOS PBI Artículos'!A:A,A472,'[1]DATOS PBI Artículos'!X:X)+$V472-_xlfn.XLOOKUP($A472,'[1]DATOS PBI Artículos'!A:A,'[1]DATOS PBI Artículos'!W:W))/IF($O472="",$N472,$O472)&gt;ROUNDUP([1]CRITERIOS!$M$16/(IF(COUNTIF([1]CRITERIOS!$BG$11:$BG$201,L472)&gt;=1,_xlfn.XLOOKUP($C472,[1]CRITERIOS!$K$25:$K$42,[1]CRITERIOS!$M$25:$M$42),_xlfn.XLOOKUP($C472,[1]CRITERIOS!$K$25:$K$42,[1]CRITERIOS!$M$25:$M$42))),0),
                    ROUNDUP([1]CRITERIOS!$M$16/(IF(COUNTIF([1]CRITERIOS!$BG$11:$BG$201,$L472)&gt;=1,_xlfn.XLOOKUP($C472,[1]CRITERIOS!$K$25:$K$42,[1]CRITERIOS!$M$25:$M$42),_xlfn.XLOOKUP($C472,[1]CRITERIOS!$K$25:$K$42,[1]CRITERIOS!$M$25:$M$42))),0),
                    (E472+V472-SUMIF('[1]DATOS PBI Artículos'!A:A,A472,'[1]DATOS PBI Artículos'!X:X)-_xlfn.XLOOKUP(A472,'[1]DATOS PBI Artículos'!A:A,'[1]DATOS PBI Artículos'!W:W))/IF($O472="",$N472,$O472))),0))))</f>
        <v>#N/A</v>
      </c>
      <c r="R472" s="33" t="e">
        <f>IF(U472&lt;&gt;"",U472,IF(F472="DV","MTO",IF(N472=0,"MTO",_xlfn.XLOOKUP(CONCATENATE(S472,T472),[1]CRITERIOS!$K$160:$K$168,[1]CRITERIOS!$N$160:$N$168))))</f>
        <v>#N/A</v>
      </c>
      <c r="S472" s="33" t="e">
        <f>IF(G472="DV","MTO",IF(N472=0,"MTO",IF(OR(AND(N472=0,O472=""),IF(O472="",G472/N472,G472/O472)&gt;[1]CRITERIOS!$G$163),"MTO",IF(IF(O472="",G472/N472,G472/O472)&lt;[1]CRITERIOS!$H$161,"MTS","MTOS"))))</f>
        <v>#N/A</v>
      </c>
      <c r="T472" s="33" t="e">
        <f>IF(F472="DV","MTO",IF(OR(AND($N472=0,O472=""),$F472/$J472&gt;[1]CRITERIOS!$G$170,$F472="DV"),"MTO",IF($F472/$J472&lt;[1]CRITERIOS!$H$168,"MTS","MTOS")))</f>
        <v>#N/A</v>
      </c>
      <c r="V472" s="34" t="e">
        <f t="shared" si="22"/>
        <v>#N/A</v>
      </c>
      <c r="X472" s="34" t="e">
        <f t="shared" si="23"/>
        <v>#N/A</v>
      </c>
      <c r="Y472" s="34" t="e">
        <f t="shared" si="24"/>
        <v>#N/A</v>
      </c>
      <c r="Z472" s="34" t="e">
        <f>IF($R472="MTO",
0,
($H472+$K472*($E472/[1]CRITERIOS!$M$16))/[1]CRITERIOS!$X$48)</f>
        <v>#N/A</v>
      </c>
      <c r="AA472" s="34" t="e">
        <f>ROUNDUP(($Y472/_xlfn.XLOOKUP($A472,'[1]DATOS PBI Artículos'!$A$4:$A$4,'[1]DATOS PBI Artículos'!$Z$4:$Z$4))/_xlfn.XLOOKUP(_xlfn.XLOOKUP($A472,'[1]DATOS PBI Artículos'!$A$4:$A$4,'[1]DATOS PBI Artículos'!$Y$4:$Y$4),[1]CRITERIOS!$P$79:$P$123,[1]CRITERIOS!$S$79:$S$123,),0)</f>
        <v>#N/A</v>
      </c>
      <c r="AB472" s="33" t="e">
        <f t="array" ref="AB472">IF((E472+V472-_xlfn.XLOOKUP(A472,'[1]DATOS PBI Artículos'!$A$4:$A$4,'[1]DATOS PBI Artículos'!$W$4:$W$4))/N472&gt;ROUNDUP([1]CRITERIOS!$M$16/(IF(COUNTIF([1]CRITERIOS!$BG$11:$BG$201,L472)&gt;=1,_xlfn.XLOOKUP(ARTÍCULOS!L472,[1]CRITERIOS!$BG$11:$BG$201,[1]CRITERIOS!$BJ$11:$BJ$201),_xlfn.XLOOKUP(ARTÍCULOS!C472,[1]CRITERIOS!$K$25:$K$42,[1]CRITERIOS!$M$25:$M$42))),0),ROUNDUP([1]CRITERIOS!$M$16/(IF(COUNTIF([1]CRITERIOS!$BG$11:$BG$201,L472)&gt;=1,_xlfn.XLOOKUP(ARTÍCULOS!L472,[1]CRITERIOS!$BG$11:$BG$201:#REF!,[1]CRITERIOS!$BJ$11:$BJ$201),_xlfn.XLOOKUP(ARTÍCULOS!C472,[1]CRITERIOS!$K$25:$K$42,[1]CRITERIOS!$M$25:$M$42))),0),(E472+V472-_xlfn.XLOOKUP(A472,'[1]DATOS PBI Artículos'!$A$4:$A$4,'[1]DATOS PBI Artículos'!$W$4:$W$4))/N472)</f>
        <v>#N/A</v>
      </c>
      <c r="AC472" s="33" t="e">
        <f>IF(N472=0,"",(ROUNDUP((N472/2)/(_xlfn.XLOOKUP(A472,'[1]DATOS PBI Artículos'!$A$4:$A$4,'[1]DATOS PBI Artículos'!$Z$4:$Z$4)*_xlfn.XLOOKUP(_xlfn.XLOOKUP(A472,'[1]DATOS PBI Artículos'!$A$4:$A$4,'[1]DATOS PBI Artículos'!$Y$4:$Y$4),[1]CRITERIOS!$P$79:$P$123,[1]CRITERIOS!$S$79:$S$123)),0)*[1]CRITERIOS!$M$80*([1]CRITERIOS!$M$110/[1]CRITERIOS!$M$86)+(_xlfn.XLOOKUP(A472,'[1]DATOS PBI Artículos'!$A$4:$A$4,'[1]DATOS PBI Artículos'!$AA$4:$AA$4)*([1]CRITERIOS!$M$95+[1]CRITERIOS!$M$98)))/N472)</f>
        <v>#N/A</v>
      </c>
      <c r="AD472" s="33" t="e">
        <f>IF(N472=0,"",(ROUNDUP((N472/2)/(_xlfn.XLOOKUP(A472,'[1]DATOS PBI Artículos'!$A$4:$A$4,'[1]DATOS PBI Artículos'!$Z$4:$Z$4)*_xlfn.XLOOKUP(_xlfn.XLOOKUP(A472,'[1]DATOS PBI Artículos'!$A$4:$A$4,'[1]DATOS PBI Artículos'!$Y$4:$Y$4),[1]CRITERIOS!$P$79:$P$123,[1]CRITERIOS!$S$79:$S$123)),0)*[1]CRITERIOS!$M$80*([1]CRITERIOS!$M$89*[1]CRITERIOS!$M$92)+((_xlfn.XLOOKUP(A472,'[1]DATOS PBI Artículos'!$A$4:$A$4,'[1]DATOS PBI Artículos'!$AA$4:$AA$4)/2)*([1]CRITERIOS!$M$95+[1]CRITERIOS!$M$98)))/N472)</f>
        <v>#N/A</v>
      </c>
      <c r="AE472" s="39" t="e">
        <f>IF($R472="MTO","",
IF($H472=0,ROUNDUP(((_xlfn.XLOOKUP($A472,'[1]DATOS PBI Artículos'!$A:$A,'[1]DATOS PBI Artículos'!$AL:$AL))/(_xlfn.XLOOKUP($AF$1,[1]CRITERIOS!$S$16:$S$39,[1]CRITERIOS!$Y$16:$Y$39))*$J472+$Z472)/$G472,0)*$G472,
((_xlfn.XLOOKUP($A472,'[1]DATOS PBI Artículos'!$A:$A,'[1]DATOS PBI Artículos'!$AL:$AL))/(_xlfn.XLOOKUP($AF$1,[1]CRITERIOS!$S$16:$S$39,[1]CRITERIOS!$Y$16:$Y$39))*$J472+$Z472)))</f>
        <v>#N/A</v>
      </c>
      <c r="AG472" s="39" t="e">
        <f>IF($R472="MTO","",
IF($H472=0,ROUNDUP(((_xlfn.XLOOKUP($A472,'[1]DATOS PBI Artículos'!$A:$A,'[1]DATOS PBI Artículos'!$AM:$AM))/(_xlfn.XLOOKUP($AH$1,[1]CRITERIOS!$S$16:$S$39,[1]CRITERIOS!$Y$16:$Y$39))*$J472+$Z472)/$G472,0)*$G472,
((_xlfn.XLOOKUP($A472,'[1]DATOS PBI Artículos'!$A:$A,'[1]DATOS PBI Artículos'!$AM:$AM))/(_xlfn.XLOOKUP($AH$1,[1]CRITERIOS!$S$16:$S$39,[1]CRITERIOS!$Y$16:$Y$39))*$J472+$Z472)))</f>
        <v>#N/A</v>
      </c>
      <c r="AI472" s="39" t="e">
        <f>IF($R472="MTO","",
IF($H472=0,ROUNDUP(((_xlfn.XLOOKUP($A472,'[1]DATOS PBI Artículos'!$A:$A,'[1]DATOS PBI Artículos'!$AN:$AN))/(_xlfn.XLOOKUP($AJ$1,[1]CRITERIOS!$S$16:$S$39,[1]CRITERIOS!$Y$16:$Y$39))*$J472+$Z472)/$G472,0)*$G472,
((_xlfn.XLOOKUP($A472,'[1]DATOS PBI Artículos'!$A:$A,'[1]DATOS PBI Artículos'!$AN:$AN))/(_xlfn.XLOOKUP($AJ$1,[1]CRITERIOS!$S$16:$S$39,[1]CRITERIOS!$Y$16:$Y$39))*$J472+$Z472)))</f>
        <v>#N/A</v>
      </c>
      <c r="AK472" s="39" t="e">
        <f>IF($R472="MTO","",
IF($H472=0,ROUNDUP(((_xlfn.XLOOKUP($A472,'[1]DATOS PBI Artículos'!$A:$A,'[1]DATOS PBI Artículos'!$AO:$AO))/(_xlfn.XLOOKUP($AL$1,[1]CRITERIOS!$S$16:$S$39,[1]CRITERIOS!$Y$16:$Y$39))*$J472+$Z472)/$G472,0)*$G472,
((_xlfn.XLOOKUP($A472,'[1]DATOS PBI Artículos'!$A:$A,'[1]DATOS PBI Artículos'!$AO:$AO))/(_xlfn.XLOOKUP($AL$1,[1]CRITERIOS!$S$16:$S$39,[1]CRITERIOS!$Y$16:$Y$39))*$J472+$Z472)))</f>
        <v>#N/A</v>
      </c>
    </row>
    <row r="473" spans="1:37" ht="25.8" hidden="1" x14ac:dyDescent="0.4">
      <c r="A473" s="41"/>
      <c r="B473" s="33">
        <f>_xlfn.XLOOKUP($A473,'[1]DATOS PBI Artículos'!A:A,'[1]DATOS PBI Artículos'!B:B)</f>
        <v>0</v>
      </c>
      <c r="C473" s="33">
        <f>_xlfn.XLOOKUP($A473,'[1]DATOS PBI Artículos'!A:A,'[1]DATOS PBI Artículos'!C:C)</f>
        <v>0</v>
      </c>
      <c r="D473" s="33">
        <f>_xlfn.XLOOKUP(A473,'[1]DATOS PBI Artículos'!A:A,'[1]DATOS PBI Artículos'!T:T)</f>
        <v>0</v>
      </c>
      <c r="E473" s="34">
        <f>IF(_xlfn.XLOOKUP($A473,'[1]DATOS PBI Artículos'!A:A,'[1]DATOS PBI Artículos'!AK:AK)="",_xlfn.XLOOKUP($A473,'[1]DATOS PBI Artículos'!A:A,'[1]DATOS PBI Artículos'!AJ:AJ),_xlfn.XLOOKUP($A473,'[1]DATOS PBI Artículos'!A:A,'[1]DATOS PBI Artículos'!AK:AK))</f>
        <v>0</v>
      </c>
      <c r="F473" s="35">
        <f>_xlfn.XLOOKUP($A473,'[1]DATOS PBI Artículos'!A:A,'[1]DATOS PBI Artículos'!AP:AP)</f>
        <v>0</v>
      </c>
      <c r="G473" s="34">
        <f>_xlfn.XLOOKUP($A473,'[1]DATOS PBI Artículos'!A:A,'[1]DATOS PBI Artículos'!AR:AR)</f>
        <v>0</v>
      </c>
      <c r="H473" s="34">
        <f>_xlfn.XLOOKUP($A473,'[1]DATOS PBI Artículos'!A:A,'[1]DATOS PBI Artículos'!AT:AT)</f>
        <v>0</v>
      </c>
      <c r="I473" s="34">
        <f>_xlfn.XLOOKUP($A473,'[1]DATOS PBI Artículos'!A:A,'[1]DATOS PBI Artículos'!AS:AS)</f>
        <v>0</v>
      </c>
      <c r="J473" s="35">
        <f>IF(COUNTIF([1]CRITERIOS!$F$179:$F$199,$A473)&gt;=1,
 IF(O473&lt;&gt;"",
    (O473/_xlfn.XLOOKUP(CONCATENATE(A473,L473),[1]MÁQUINAS!A:A,[1]MÁQUINAS!D:D))/24,
    (N473/_xlfn.XLOOKUP(CONCATENATE(A473,L473),[1]MÁQUINAS!A:A,[1]MÁQUINAS!D:D))/24),
  _xlfn.XLOOKUP($A473,'[1]DATOS PBI Artículos'!A:A,'[1]DATOS PBI Artículos'!AU:AU))</f>
        <v>0</v>
      </c>
      <c r="K473" s="36">
        <f>_xlfn.XLOOKUP($A473,'[1]DATOS PBI Artículos'!A:A,'[1]DATOS PBI Artículos'!AV:AV)</f>
        <v>0</v>
      </c>
      <c r="L473" s="33">
        <f>_xlfn.XLOOKUP(A473,[1]MÁQUINAS!B:B,[1]MÁQUINAS!C:C)</f>
        <v>0</v>
      </c>
      <c r="M473" s="34">
        <f t="array" ref="M473">_xlfn.XLOOKUP(A473,'[1]DATOS PBI Artículos'!A:A,'[1]DATOS PBI Artículos'!AX:$AX)</f>
        <v>0</v>
      </c>
      <c r="N473" s="37" t="e">
        <f>IF(I473="DV",
E473,
IF(COUNTIF([1]CRITERIOS!$I$179:$I$199,$A473)&gt;=1,
_xlfn.XLOOKUP($A473,[1]CRITERIOS!$I$179:$I$199,[1]CRITERIOS!$J$179:$J$199),
IF(COUNTIF([1]CRITERIOS!$L$179:$L$199,$A473)&gt;=1,
_xlfn.CEILING.MATH(IF($M473&gt;$E473,
$E473,
IF($M473&lt;$E473/ROUNDDOWN([1]CRITERIOS!$M$16/_xlfn.XLOOKUP($C473,[1]CRITERIOS!$K$25:$K$42,[1]CRITERIOS!$M$25:$M$42),
1),
E473/ROUNDDOWN([1]CRITERIOS!$M$16/_xlfn.XLOOKUP($C473,[1]CRITERIOS!$K$25:$K$42,[1]CRITERIOS!$M$25:$M$42),
1),
$M473)),
_xlfn.XLOOKUP($A473,[1]CRITERIOS!$L$179:$L$200,[1]CRITERIOS!$M$179:$M$200)),
_xlfn.CEILING.MATH(IF($M473&gt;$E473,
$E473,
IF($M473&lt;$E473/ROUNDDOWN([1]CRITERIOS!$M$16/_xlfn.XLOOKUP($C473,[1]CRITERIOS!$K$25:$K$42,[1]CRITERIOS!$M$25:$M$42),
1),
E473/ROUNDDOWN([1]CRITERIOS!$M$16/_xlfn.XLOOKUP($C473,[1]CRITERIOS!$K$25:$K$42,[1]CRITERIOS!$M$25:$M$42),
1),
$M473)),_xlfn.XLOOKUP(A473,'[1]DATOS PBI Artículos'!A:A,'[1]DATOS PBI Artículos'!Z:Z
)))))</f>
        <v>#N/A</v>
      </c>
      <c r="Q473" s="38" t="e">
        <f>IF(AND(O473="",N473=0),
0,
   IF(COUNTIF([1]CRITERIOS!$F$179:$F$199,$A473)&gt;=1,
   1,
   IF(R473="MTO",
      $D473,
      ROUNDUP(
                    IF(($E473-SUMIF('[1]DATOS PBI Artículos'!A:A,A473,'[1]DATOS PBI Artículos'!X:X)+($V473-_xlfn.XLOOKUP(A473,'[1]DATOS PBI Artículos'!A:A,'[1]DATOS PBI Artículos'!W:W)))&lt;0,
                    0,
                    IF(($E473-SUMIF('[1]DATOS PBI Artículos'!A:A,A473,'[1]DATOS PBI Artículos'!X:X)+$V473-_xlfn.XLOOKUP($A473,'[1]DATOS PBI Artículos'!A:A,'[1]DATOS PBI Artículos'!W:W))/IF($O473="",$N473,$O473)&gt;ROUNDUP([1]CRITERIOS!$M$16/(IF(COUNTIF([1]CRITERIOS!$BG$11:$BG$201,L473)&gt;=1,_xlfn.XLOOKUP($C473,[1]CRITERIOS!$K$25:$K$42,[1]CRITERIOS!$M$25:$M$42),_xlfn.XLOOKUP($C473,[1]CRITERIOS!$K$25:$K$42,[1]CRITERIOS!$M$25:$M$42))),0),
                    ROUNDUP([1]CRITERIOS!$M$16/(IF(COUNTIF([1]CRITERIOS!$BG$11:$BG$201,$L473)&gt;=1,_xlfn.XLOOKUP($C473,[1]CRITERIOS!$K$25:$K$42,[1]CRITERIOS!$M$25:$M$42),_xlfn.XLOOKUP($C473,[1]CRITERIOS!$K$25:$K$42,[1]CRITERIOS!$M$25:$M$42))),0),
                    (E473+V473-SUMIF('[1]DATOS PBI Artículos'!A:A,A473,'[1]DATOS PBI Artículos'!X:X)-_xlfn.XLOOKUP(A473,'[1]DATOS PBI Artículos'!A:A,'[1]DATOS PBI Artículos'!W:W))/IF($O473="",$N473,$O473))),0))))</f>
        <v>#N/A</v>
      </c>
      <c r="R473" s="33" t="e">
        <f>IF(U473&lt;&gt;"",U473,IF(F473="DV","MTO",IF(N473=0,"MTO",_xlfn.XLOOKUP(CONCATENATE(S473,T473),[1]CRITERIOS!$K$160:$K$168,[1]CRITERIOS!$N$160:$N$168))))</f>
        <v>#N/A</v>
      </c>
      <c r="S473" s="33" t="e">
        <f>IF(G473="DV","MTO",IF(N473=0,"MTO",IF(OR(AND(N473=0,O473=""),IF(O473="",G473/N473,G473/O473)&gt;[1]CRITERIOS!$G$163),"MTO",IF(IF(O473="",G473/N473,G473/O473)&lt;[1]CRITERIOS!$H$161,"MTS","MTOS"))))</f>
        <v>#N/A</v>
      </c>
      <c r="T473" s="33" t="e">
        <f>IF(F473="DV","MTO",IF(OR(AND($N473=0,O473=""),$F473/$J473&gt;[1]CRITERIOS!$G$170,$F473="DV"),"MTO",IF($F473/$J473&lt;[1]CRITERIOS!$H$168,"MTS","MTOS")))</f>
        <v>#N/A</v>
      </c>
      <c r="V473" s="34" t="e">
        <f t="shared" ref="V473:V536" si="25">IF(R473="MTO","",
IF($H473=0,(((($J473/$F473)*$G473)+$Z473)/$G473)*$G473,
(($J473/$F473)*$G473)+$Z473))</f>
        <v>#N/A</v>
      </c>
      <c r="X473" s="34" t="e">
        <f t="shared" si="23"/>
        <v>#N/A</v>
      </c>
      <c r="Y473" s="34" t="e">
        <f t="shared" si="24"/>
        <v>#N/A</v>
      </c>
      <c r="Z473" s="34" t="e">
        <f>IF($R473="MTO",
0,
($H473+$K473*($E473/[1]CRITERIOS!$M$16))/[1]CRITERIOS!$X$48)</f>
        <v>#N/A</v>
      </c>
      <c r="AA473" s="34" t="e">
        <f>ROUNDUP(($Y473/_xlfn.XLOOKUP($A473,'[1]DATOS PBI Artículos'!$A$4:$A$4,'[1]DATOS PBI Artículos'!$Z$4:$Z$4))/_xlfn.XLOOKUP(_xlfn.XLOOKUP($A473,'[1]DATOS PBI Artículos'!$A$4:$A$4,'[1]DATOS PBI Artículos'!$Y$4:$Y$4),[1]CRITERIOS!$P$79:$P$123,[1]CRITERIOS!$S$79:$S$123,),0)</f>
        <v>#N/A</v>
      </c>
      <c r="AB473" s="33" t="e">
        <f t="array" ref="AB473">IF((E473+V473-_xlfn.XLOOKUP(A473,'[1]DATOS PBI Artículos'!$A$4:$A$4,'[1]DATOS PBI Artículos'!$W$4:$W$4))/N473&gt;ROUNDUP([1]CRITERIOS!$M$16/(IF(COUNTIF([1]CRITERIOS!$BG$11:$BG$201,L473)&gt;=1,_xlfn.XLOOKUP(ARTÍCULOS!L473,[1]CRITERIOS!$BG$11:$BG$201,[1]CRITERIOS!$BJ$11:$BJ$201),_xlfn.XLOOKUP(ARTÍCULOS!C473,[1]CRITERIOS!$K$25:$K$42,[1]CRITERIOS!$M$25:$M$42))),0),ROUNDUP([1]CRITERIOS!$M$16/(IF(COUNTIF([1]CRITERIOS!$BG$11:$BG$201,L473)&gt;=1,_xlfn.XLOOKUP(ARTÍCULOS!L473,[1]CRITERIOS!$BG$11:$BG$201:#REF!,[1]CRITERIOS!$BJ$11:$BJ$201),_xlfn.XLOOKUP(ARTÍCULOS!C473,[1]CRITERIOS!$K$25:$K$42,[1]CRITERIOS!$M$25:$M$42))),0),(E473+V473-_xlfn.XLOOKUP(A473,'[1]DATOS PBI Artículos'!$A$4:$A$4,'[1]DATOS PBI Artículos'!$W$4:$W$4))/N473)</f>
        <v>#N/A</v>
      </c>
      <c r="AC473" s="33" t="e">
        <f>IF(N473=0,"",(ROUNDUP((N473/2)/(_xlfn.XLOOKUP(A473,'[1]DATOS PBI Artículos'!$A$4:$A$4,'[1]DATOS PBI Artículos'!$Z$4:$Z$4)*_xlfn.XLOOKUP(_xlfn.XLOOKUP(A473,'[1]DATOS PBI Artículos'!$A$4:$A$4,'[1]DATOS PBI Artículos'!$Y$4:$Y$4),[1]CRITERIOS!$P$79:$P$123,[1]CRITERIOS!$S$79:$S$123)),0)*[1]CRITERIOS!$M$80*([1]CRITERIOS!$M$110/[1]CRITERIOS!$M$86)+(_xlfn.XLOOKUP(A473,'[1]DATOS PBI Artículos'!$A$4:$A$4,'[1]DATOS PBI Artículos'!$AA$4:$AA$4)*([1]CRITERIOS!$M$95+[1]CRITERIOS!$M$98)))/N473)</f>
        <v>#N/A</v>
      </c>
      <c r="AD473" s="33" t="e">
        <f>IF(N473=0,"",(ROUNDUP((N473/2)/(_xlfn.XLOOKUP(A473,'[1]DATOS PBI Artículos'!$A$4:$A$4,'[1]DATOS PBI Artículos'!$Z$4:$Z$4)*_xlfn.XLOOKUP(_xlfn.XLOOKUP(A473,'[1]DATOS PBI Artículos'!$A$4:$A$4,'[1]DATOS PBI Artículos'!$Y$4:$Y$4),[1]CRITERIOS!$P$79:$P$123,[1]CRITERIOS!$S$79:$S$123)),0)*[1]CRITERIOS!$M$80*([1]CRITERIOS!$M$89*[1]CRITERIOS!$M$92)+((_xlfn.XLOOKUP(A473,'[1]DATOS PBI Artículos'!$A$4:$A$4,'[1]DATOS PBI Artículos'!$AA$4:$AA$4)/2)*([1]CRITERIOS!$M$95+[1]CRITERIOS!$M$98)))/N473)</f>
        <v>#N/A</v>
      </c>
      <c r="AE473" s="39" t="e">
        <f>IF($R473="MTO","",
IF($H473=0,ROUNDUP(((_xlfn.XLOOKUP($A473,'[1]DATOS PBI Artículos'!$A:$A,'[1]DATOS PBI Artículos'!$AL:$AL))/(_xlfn.XLOOKUP($AF$1,[1]CRITERIOS!$S$16:$S$39,[1]CRITERIOS!$Y$16:$Y$39))*$J473+$Z473)/$G473,0)*$G473,
((_xlfn.XLOOKUP($A473,'[1]DATOS PBI Artículos'!$A:$A,'[1]DATOS PBI Artículos'!$AL:$AL))/(_xlfn.XLOOKUP($AF$1,[1]CRITERIOS!$S$16:$S$39,[1]CRITERIOS!$Y$16:$Y$39))*$J473+$Z473)))</f>
        <v>#N/A</v>
      </c>
      <c r="AG473" s="39" t="e">
        <f>IF($R473="MTO","",
IF($H473=0,ROUNDUP(((_xlfn.XLOOKUP($A473,'[1]DATOS PBI Artículos'!$A:$A,'[1]DATOS PBI Artículos'!$AM:$AM))/(_xlfn.XLOOKUP($AH$1,[1]CRITERIOS!$S$16:$S$39,[1]CRITERIOS!$Y$16:$Y$39))*$J473+$Z473)/$G473,0)*$G473,
((_xlfn.XLOOKUP($A473,'[1]DATOS PBI Artículos'!$A:$A,'[1]DATOS PBI Artículos'!$AM:$AM))/(_xlfn.XLOOKUP($AH$1,[1]CRITERIOS!$S$16:$S$39,[1]CRITERIOS!$Y$16:$Y$39))*$J473+$Z473)))</f>
        <v>#N/A</v>
      </c>
      <c r="AI473" s="39" t="e">
        <f>IF($R473="MTO","",
IF($H473=0,ROUNDUP(((_xlfn.XLOOKUP($A473,'[1]DATOS PBI Artículos'!$A:$A,'[1]DATOS PBI Artículos'!$AN:$AN))/(_xlfn.XLOOKUP($AJ$1,[1]CRITERIOS!$S$16:$S$39,[1]CRITERIOS!$Y$16:$Y$39))*$J473+$Z473)/$G473,0)*$G473,
((_xlfn.XLOOKUP($A473,'[1]DATOS PBI Artículos'!$A:$A,'[1]DATOS PBI Artículos'!$AN:$AN))/(_xlfn.XLOOKUP($AJ$1,[1]CRITERIOS!$S$16:$S$39,[1]CRITERIOS!$Y$16:$Y$39))*$J473+$Z473)))</f>
        <v>#N/A</v>
      </c>
      <c r="AK473" s="39" t="e">
        <f>IF($R473="MTO","",
IF($H473=0,ROUNDUP(((_xlfn.XLOOKUP($A473,'[1]DATOS PBI Artículos'!$A:$A,'[1]DATOS PBI Artículos'!$AO:$AO))/(_xlfn.XLOOKUP($AL$1,[1]CRITERIOS!$S$16:$S$39,[1]CRITERIOS!$Y$16:$Y$39))*$J473+$Z473)/$G473,0)*$G473,
((_xlfn.XLOOKUP($A473,'[1]DATOS PBI Artículos'!$A:$A,'[1]DATOS PBI Artículos'!$AO:$AO))/(_xlfn.XLOOKUP($AL$1,[1]CRITERIOS!$S$16:$S$39,[1]CRITERIOS!$Y$16:$Y$39))*$J473+$Z473)))</f>
        <v>#N/A</v>
      </c>
    </row>
    <row r="474" spans="1:37" ht="25.8" hidden="1" x14ac:dyDescent="0.4">
      <c r="A474" s="41"/>
      <c r="B474" s="33">
        <f>_xlfn.XLOOKUP($A474,'[1]DATOS PBI Artículos'!A:A,'[1]DATOS PBI Artículos'!B:B)</f>
        <v>0</v>
      </c>
      <c r="C474" s="33">
        <f>_xlfn.XLOOKUP($A474,'[1]DATOS PBI Artículos'!A:A,'[1]DATOS PBI Artículos'!C:C)</f>
        <v>0</v>
      </c>
      <c r="D474" s="33">
        <f>_xlfn.XLOOKUP(A474,'[1]DATOS PBI Artículos'!A:A,'[1]DATOS PBI Artículos'!T:T)</f>
        <v>0</v>
      </c>
      <c r="E474" s="34">
        <f>IF(_xlfn.XLOOKUP($A474,'[1]DATOS PBI Artículos'!A:A,'[1]DATOS PBI Artículos'!AK:AK)="",_xlfn.XLOOKUP($A474,'[1]DATOS PBI Artículos'!A:A,'[1]DATOS PBI Artículos'!AJ:AJ),_xlfn.XLOOKUP($A474,'[1]DATOS PBI Artículos'!A:A,'[1]DATOS PBI Artículos'!AK:AK))</f>
        <v>0</v>
      </c>
      <c r="F474" s="35">
        <f>_xlfn.XLOOKUP($A474,'[1]DATOS PBI Artículos'!A:A,'[1]DATOS PBI Artículos'!AP:AP)</f>
        <v>0</v>
      </c>
      <c r="G474" s="34">
        <f>_xlfn.XLOOKUP($A474,'[1]DATOS PBI Artículos'!A:A,'[1]DATOS PBI Artículos'!AR:AR)</f>
        <v>0</v>
      </c>
      <c r="H474" s="34">
        <f>_xlfn.XLOOKUP($A474,'[1]DATOS PBI Artículos'!A:A,'[1]DATOS PBI Artículos'!AT:AT)</f>
        <v>0</v>
      </c>
      <c r="I474" s="34">
        <f>_xlfn.XLOOKUP($A474,'[1]DATOS PBI Artículos'!A:A,'[1]DATOS PBI Artículos'!AS:AS)</f>
        <v>0</v>
      </c>
      <c r="J474" s="35">
        <f>IF(COUNTIF([1]CRITERIOS!$F$179:$F$199,$A474)&gt;=1,
 IF(O474&lt;&gt;"",
    (O474/_xlfn.XLOOKUP(CONCATENATE(A474,L474),[1]MÁQUINAS!A:A,[1]MÁQUINAS!D:D))/24,
    (N474/_xlfn.XLOOKUP(CONCATENATE(A474,L474),[1]MÁQUINAS!A:A,[1]MÁQUINAS!D:D))/24),
  _xlfn.XLOOKUP($A474,'[1]DATOS PBI Artículos'!A:A,'[1]DATOS PBI Artículos'!AU:AU))</f>
        <v>0</v>
      </c>
      <c r="K474" s="36">
        <f>_xlfn.XLOOKUP($A474,'[1]DATOS PBI Artículos'!A:A,'[1]DATOS PBI Artículos'!AV:AV)</f>
        <v>0</v>
      </c>
      <c r="L474" s="33">
        <f>_xlfn.XLOOKUP(A474,[1]MÁQUINAS!B:B,[1]MÁQUINAS!C:C)</f>
        <v>0</v>
      </c>
      <c r="M474" s="34">
        <f t="array" ref="M474">_xlfn.XLOOKUP(A474,'[1]DATOS PBI Artículos'!A:A,'[1]DATOS PBI Artículos'!AX:$AX)</f>
        <v>0</v>
      </c>
      <c r="N474" s="37" t="e">
        <f>IF(I474="DV",
E474,
IF(COUNTIF([1]CRITERIOS!$I$179:$I$199,$A474)&gt;=1,
_xlfn.XLOOKUP($A474,[1]CRITERIOS!$I$179:$I$199,[1]CRITERIOS!$J$179:$J$199),
IF(COUNTIF([1]CRITERIOS!$L$179:$L$199,$A474)&gt;=1,
_xlfn.CEILING.MATH(IF($M474&gt;$E474,
$E474,
IF($M474&lt;$E474/ROUNDDOWN([1]CRITERIOS!$M$16/_xlfn.XLOOKUP($C474,[1]CRITERIOS!$K$25:$K$42,[1]CRITERIOS!$M$25:$M$42),
1),
E474/ROUNDDOWN([1]CRITERIOS!$M$16/_xlfn.XLOOKUP($C474,[1]CRITERIOS!$K$25:$K$42,[1]CRITERIOS!$M$25:$M$42),
1),
$M474)),
_xlfn.XLOOKUP($A474,[1]CRITERIOS!$L$179:$L$200,[1]CRITERIOS!$M$179:$M$200)),
_xlfn.CEILING.MATH(IF($M474&gt;$E474,
$E474,
IF($M474&lt;$E474/ROUNDDOWN([1]CRITERIOS!$M$16/_xlfn.XLOOKUP($C474,[1]CRITERIOS!$K$25:$K$42,[1]CRITERIOS!$M$25:$M$42),
1),
E474/ROUNDDOWN([1]CRITERIOS!$M$16/_xlfn.XLOOKUP($C474,[1]CRITERIOS!$K$25:$K$42,[1]CRITERIOS!$M$25:$M$42),
1),
$M474)),_xlfn.XLOOKUP(A474,'[1]DATOS PBI Artículos'!A:A,'[1]DATOS PBI Artículos'!Z:Z
)))))</f>
        <v>#N/A</v>
      </c>
      <c r="Q474" s="38" t="e">
        <f>IF(AND(O474="",N474=0),
0,
   IF(COUNTIF([1]CRITERIOS!$F$179:$F$199,$A474)&gt;=1,
   1,
   IF(R474="MTO",
      $D474,
      ROUNDUP(
                    IF(($E474-SUMIF('[1]DATOS PBI Artículos'!A:A,A474,'[1]DATOS PBI Artículos'!X:X)+($V474-_xlfn.XLOOKUP(A474,'[1]DATOS PBI Artículos'!A:A,'[1]DATOS PBI Artículos'!W:W)))&lt;0,
                    0,
                    IF(($E474-SUMIF('[1]DATOS PBI Artículos'!A:A,A474,'[1]DATOS PBI Artículos'!X:X)+$V474-_xlfn.XLOOKUP($A474,'[1]DATOS PBI Artículos'!A:A,'[1]DATOS PBI Artículos'!W:W))/IF($O474="",$N474,$O474)&gt;ROUNDUP([1]CRITERIOS!$M$16/(IF(COUNTIF([1]CRITERIOS!$BG$11:$BG$201,L474)&gt;=1,_xlfn.XLOOKUP($C474,[1]CRITERIOS!$K$25:$K$42,[1]CRITERIOS!$M$25:$M$42),_xlfn.XLOOKUP($C474,[1]CRITERIOS!$K$25:$K$42,[1]CRITERIOS!$M$25:$M$42))),0),
                    ROUNDUP([1]CRITERIOS!$M$16/(IF(COUNTIF([1]CRITERIOS!$BG$11:$BG$201,$L474)&gt;=1,_xlfn.XLOOKUP($C474,[1]CRITERIOS!$K$25:$K$42,[1]CRITERIOS!$M$25:$M$42),_xlfn.XLOOKUP($C474,[1]CRITERIOS!$K$25:$K$42,[1]CRITERIOS!$M$25:$M$42))),0),
                    (E474+V474-SUMIF('[1]DATOS PBI Artículos'!A:A,A474,'[1]DATOS PBI Artículos'!X:X)-_xlfn.XLOOKUP(A474,'[1]DATOS PBI Artículos'!A:A,'[1]DATOS PBI Artículos'!W:W))/IF($O474="",$N474,$O474))),0))))</f>
        <v>#N/A</v>
      </c>
      <c r="R474" s="33" t="e">
        <f>IF(U474&lt;&gt;"",U474,IF(F474="DV","MTO",IF(N474=0,"MTO",_xlfn.XLOOKUP(CONCATENATE(S474,T474),[1]CRITERIOS!$K$160:$K$168,[1]CRITERIOS!$N$160:$N$168))))</f>
        <v>#N/A</v>
      </c>
      <c r="S474" s="33" t="e">
        <f>IF(G474="DV","MTO",IF(N474=0,"MTO",IF(OR(AND(N474=0,O474=""),IF(O474="",G474/N474,G474/O474)&gt;[1]CRITERIOS!$G$163),"MTO",IF(IF(O474="",G474/N474,G474/O474)&lt;[1]CRITERIOS!$H$161,"MTS","MTOS"))))</f>
        <v>#N/A</v>
      </c>
      <c r="T474" s="33" t="e">
        <f>IF(F474="DV","MTO",IF(OR(AND($N474=0,O474=""),$F474/$J474&gt;[1]CRITERIOS!$G$170,$F474="DV"),"MTO",IF($F474/$J474&lt;[1]CRITERIOS!$H$168,"MTS","MTOS")))</f>
        <v>#N/A</v>
      </c>
      <c r="V474" s="34" t="e">
        <f t="shared" si="25"/>
        <v>#N/A</v>
      </c>
      <c r="X474" s="34" t="e">
        <f t="shared" si="23"/>
        <v>#N/A</v>
      </c>
      <c r="Y474" s="34" t="e">
        <f t="shared" si="24"/>
        <v>#N/A</v>
      </c>
      <c r="Z474" s="34" t="e">
        <f>IF($R474="MTO",
0,
($H474+$K474*($E474/[1]CRITERIOS!$M$16))/[1]CRITERIOS!$X$48)</f>
        <v>#N/A</v>
      </c>
      <c r="AA474" s="34" t="e">
        <f>ROUNDUP(($Y474/_xlfn.XLOOKUP($A474,'[1]DATOS PBI Artículos'!$A$4:$A$4,'[1]DATOS PBI Artículos'!$Z$4:$Z$4))/_xlfn.XLOOKUP(_xlfn.XLOOKUP($A474,'[1]DATOS PBI Artículos'!$A$4:$A$4,'[1]DATOS PBI Artículos'!$Y$4:$Y$4),[1]CRITERIOS!$P$79:$P$123,[1]CRITERIOS!$S$79:$S$123,),0)</f>
        <v>#N/A</v>
      </c>
      <c r="AB474" s="33" t="e">
        <f t="array" ref="AB474">IF((E474+V474-_xlfn.XLOOKUP(A474,'[1]DATOS PBI Artículos'!$A$4:$A$4,'[1]DATOS PBI Artículos'!$W$4:$W$4))/N474&gt;ROUNDUP([1]CRITERIOS!$M$16/(IF(COUNTIF([1]CRITERIOS!$BG$11:$BG$201,L474)&gt;=1,_xlfn.XLOOKUP(ARTÍCULOS!L474,[1]CRITERIOS!$BG$11:$BG$201,[1]CRITERIOS!$BJ$11:$BJ$201),_xlfn.XLOOKUP(ARTÍCULOS!C474,[1]CRITERIOS!$K$25:$K$42,[1]CRITERIOS!$M$25:$M$42))),0),ROUNDUP([1]CRITERIOS!$M$16/(IF(COUNTIF([1]CRITERIOS!$BG$11:$BG$201,L474)&gt;=1,_xlfn.XLOOKUP(ARTÍCULOS!L474,[1]CRITERIOS!$BG$11:$BG$201:#REF!,[1]CRITERIOS!$BJ$11:$BJ$201),_xlfn.XLOOKUP(ARTÍCULOS!C474,[1]CRITERIOS!$K$25:$K$42,[1]CRITERIOS!$M$25:$M$42))),0),(E474+V474-_xlfn.XLOOKUP(A474,'[1]DATOS PBI Artículos'!$A$4:$A$4,'[1]DATOS PBI Artículos'!$W$4:$W$4))/N474)</f>
        <v>#N/A</v>
      </c>
      <c r="AC474" s="33" t="e">
        <f>IF(N474=0,"",(ROUNDUP((N474/2)/(_xlfn.XLOOKUP(A474,'[1]DATOS PBI Artículos'!$A$4:$A$4,'[1]DATOS PBI Artículos'!$Z$4:$Z$4)*_xlfn.XLOOKUP(_xlfn.XLOOKUP(A474,'[1]DATOS PBI Artículos'!$A$4:$A$4,'[1]DATOS PBI Artículos'!$Y$4:$Y$4),[1]CRITERIOS!$P$79:$P$123,[1]CRITERIOS!$S$79:$S$123)),0)*[1]CRITERIOS!$M$80*([1]CRITERIOS!$M$110/[1]CRITERIOS!$M$86)+(_xlfn.XLOOKUP(A474,'[1]DATOS PBI Artículos'!$A$4:$A$4,'[1]DATOS PBI Artículos'!$AA$4:$AA$4)*([1]CRITERIOS!$M$95+[1]CRITERIOS!$M$98)))/N474)</f>
        <v>#N/A</v>
      </c>
      <c r="AD474" s="33" t="e">
        <f>IF(N474=0,"",(ROUNDUP((N474/2)/(_xlfn.XLOOKUP(A474,'[1]DATOS PBI Artículos'!$A$4:$A$4,'[1]DATOS PBI Artículos'!$Z$4:$Z$4)*_xlfn.XLOOKUP(_xlfn.XLOOKUP(A474,'[1]DATOS PBI Artículos'!$A$4:$A$4,'[1]DATOS PBI Artículos'!$Y$4:$Y$4),[1]CRITERIOS!$P$79:$P$123,[1]CRITERIOS!$S$79:$S$123)),0)*[1]CRITERIOS!$M$80*([1]CRITERIOS!$M$89*[1]CRITERIOS!$M$92)+((_xlfn.XLOOKUP(A474,'[1]DATOS PBI Artículos'!$A$4:$A$4,'[1]DATOS PBI Artículos'!$AA$4:$AA$4)/2)*([1]CRITERIOS!$M$95+[1]CRITERIOS!$M$98)))/N474)</f>
        <v>#N/A</v>
      </c>
      <c r="AE474" s="39" t="e">
        <f>IF($R474="MTO","",
IF($H474=0,ROUNDUP(((_xlfn.XLOOKUP($A474,'[1]DATOS PBI Artículos'!$A:$A,'[1]DATOS PBI Artículos'!$AL:$AL))/(_xlfn.XLOOKUP($AF$1,[1]CRITERIOS!$S$16:$S$39,[1]CRITERIOS!$Y$16:$Y$39))*$J474+$Z474)/$G474,0)*$G474,
((_xlfn.XLOOKUP($A474,'[1]DATOS PBI Artículos'!$A:$A,'[1]DATOS PBI Artículos'!$AL:$AL))/(_xlfn.XLOOKUP($AF$1,[1]CRITERIOS!$S$16:$S$39,[1]CRITERIOS!$Y$16:$Y$39))*$J474+$Z474)))</f>
        <v>#N/A</v>
      </c>
      <c r="AG474" s="39" t="e">
        <f>IF($R474="MTO","",
IF($H474=0,ROUNDUP(((_xlfn.XLOOKUP($A474,'[1]DATOS PBI Artículos'!$A:$A,'[1]DATOS PBI Artículos'!$AM:$AM))/(_xlfn.XLOOKUP($AH$1,[1]CRITERIOS!$S$16:$S$39,[1]CRITERIOS!$Y$16:$Y$39))*$J474+$Z474)/$G474,0)*$G474,
((_xlfn.XLOOKUP($A474,'[1]DATOS PBI Artículos'!$A:$A,'[1]DATOS PBI Artículos'!$AM:$AM))/(_xlfn.XLOOKUP($AH$1,[1]CRITERIOS!$S$16:$S$39,[1]CRITERIOS!$Y$16:$Y$39))*$J474+$Z474)))</f>
        <v>#N/A</v>
      </c>
      <c r="AI474" s="39" t="e">
        <f>IF($R474="MTO","",
IF($H474=0,ROUNDUP(((_xlfn.XLOOKUP($A474,'[1]DATOS PBI Artículos'!$A:$A,'[1]DATOS PBI Artículos'!$AN:$AN))/(_xlfn.XLOOKUP($AJ$1,[1]CRITERIOS!$S$16:$S$39,[1]CRITERIOS!$Y$16:$Y$39))*$J474+$Z474)/$G474,0)*$G474,
((_xlfn.XLOOKUP($A474,'[1]DATOS PBI Artículos'!$A:$A,'[1]DATOS PBI Artículos'!$AN:$AN))/(_xlfn.XLOOKUP($AJ$1,[1]CRITERIOS!$S$16:$S$39,[1]CRITERIOS!$Y$16:$Y$39))*$J474+$Z474)))</f>
        <v>#N/A</v>
      </c>
      <c r="AK474" s="39" t="e">
        <f>IF($R474="MTO","",
IF($H474=0,ROUNDUP(((_xlfn.XLOOKUP($A474,'[1]DATOS PBI Artículos'!$A:$A,'[1]DATOS PBI Artículos'!$AO:$AO))/(_xlfn.XLOOKUP($AL$1,[1]CRITERIOS!$S$16:$S$39,[1]CRITERIOS!$Y$16:$Y$39))*$J474+$Z474)/$G474,0)*$G474,
((_xlfn.XLOOKUP($A474,'[1]DATOS PBI Artículos'!$A:$A,'[1]DATOS PBI Artículos'!$AO:$AO))/(_xlfn.XLOOKUP($AL$1,[1]CRITERIOS!$S$16:$S$39,[1]CRITERIOS!$Y$16:$Y$39))*$J474+$Z474)))</f>
        <v>#N/A</v>
      </c>
    </row>
    <row r="475" spans="1:37" ht="25.8" hidden="1" x14ac:dyDescent="0.4">
      <c r="A475" s="41"/>
      <c r="B475" s="33">
        <f>_xlfn.XLOOKUP($A475,'[1]DATOS PBI Artículos'!A:A,'[1]DATOS PBI Artículos'!B:B)</f>
        <v>0</v>
      </c>
      <c r="C475" s="33">
        <f>_xlfn.XLOOKUP($A475,'[1]DATOS PBI Artículos'!A:A,'[1]DATOS PBI Artículos'!C:C)</f>
        <v>0</v>
      </c>
      <c r="D475" s="33">
        <f>_xlfn.XLOOKUP(A475,'[1]DATOS PBI Artículos'!A:A,'[1]DATOS PBI Artículos'!T:T)</f>
        <v>0</v>
      </c>
      <c r="E475" s="34">
        <f>IF(_xlfn.XLOOKUP($A475,'[1]DATOS PBI Artículos'!A:A,'[1]DATOS PBI Artículos'!AK:AK)="",_xlfn.XLOOKUP($A475,'[1]DATOS PBI Artículos'!A:A,'[1]DATOS PBI Artículos'!AJ:AJ),_xlfn.XLOOKUP($A475,'[1]DATOS PBI Artículos'!A:A,'[1]DATOS PBI Artículos'!AK:AK))</f>
        <v>0</v>
      </c>
      <c r="F475" s="35">
        <f>_xlfn.XLOOKUP($A475,'[1]DATOS PBI Artículos'!A:A,'[1]DATOS PBI Artículos'!AP:AP)</f>
        <v>0</v>
      </c>
      <c r="G475" s="34">
        <f>_xlfn.XLOOKUP($A475,'[1]DATOS PBI Artículos'!A:A,'[1]DATOS PBI Artículos'!AR:AR)</f>
        <v>0</v>
      </c>
      <c r="H475" s="34">
        <f>_xlfn.XLOOKUP($A475,'[1]DATOS PBI Artículos'!A:A,'[1]DATOS PBI Artículos'!AT:AT)</f>
        <v>0</v>
      </c>
      <c r="I475" s="34">
        <f>_xlfn.XLOOKUP($A475,'[1]DATOS PBI Artículos'!A:A,'[1]DATOS PBI Artículos'!AS:AS)</f>
        <v>0</v>
      </c>
      <c r="J475" s="35">
        <f>IF(COUNTIF([1]CRITERIOS!$F$179:$F$199,$A475)&gt;=1,
 IF(O475&lt;&gt;"",
    (O475/_xlfn.XLOOKUP(CONCATENATE(A475,L475),[1]MÁQUINAS!A:A,[1]MÁQUINAS!D:D))/24,
    (N475/_xlfn.XLOOKUP(CONCATENATE(A475,L475),[1]MÁQUINAS!A:A,[1]MÁQUINAS!D:D))/24),
  _xlfn.XLOOKUP($A475,'[1]DATOS PBI Artículos'!A:A,'[1]DATOS PBI Artículos'!AU:AU))</f>
        <v>0</v>
      </c>
      <c r="K475" s="36">
        <f>_xlfn.XLOOKUP($A475,'[1]DATOS PBI Artículos'!A:A,'[1]DATOS PBI Artículos'!AV:AV)</f>
        <v>0</v>
      </c>
      <c r="L475" s="33">
        <f>_xlfn.XLOOKUP(A475,[1]MÁQUINAS!B:B,[1]MÁQUINAS!C:C)</f>
        <v>0</v>
      </c>
      <c r="M475" s="34">
        <f t="array" ref="M475">_xlfn.XLOOKUP(A475,'[1]DATOS PBI Artículos'!A:A,'[1]DATOS PBI Artículos'!AX:$AX)</f>
        <v>0</v>
      </c>
      <c r="N475" s="37" t="e">
        <f>IF(I475="DV",
E475,
IF(COUNTIF([1]CRITERIOS!$I$179:$I$199,$A475)&gt;=1,
_xlfn.XLOOKUP($A475,[1]CRITERIOS!$I$179:$I$199,[1]CRITERIOS!$J$179:$J$199),
IF(COUNTIF([1]CRITERIOS!$L$179:$L$199,$A475)&gt;=1,
_xlfn.CEILING.MATH(IF($M475&gt;$E475,
$E475,
IF($M475&lt;$E475/ROUNDDOWN([1]CRITERIOS!$M$16/_xlfn.XLOOKUP($C475,[1]CRITERIOS!$K$25:$K$42,[1]CRITERIOS!$M$25:$M$42),
1),
E475/ROUNDDOWN([1]CRITERIOS!$M$16/_xlfn.XLOOKUP($C475,[1]CRITERIOS!$K$25:$K$42,[1]CRITERIOS!$M$25:$M$42),
1),
$M475)),
_xlfn.XLOOKUP($A475,[1]CRITERIOS!$L$179:$L$200,[1]CRITERIOS!$M$179:$M$200)),
_xlfn.CEILING.MATH(IF($M475&gt;$E475,
$E475,
IF($M475&lt;$E475/ROUNDDOWN([1]CRITERIOS!$M$16/_xlfn.XLOOKUP($C475,[1]CRITERIOS!$K$25:$K$42,[1]CRITERIOS!$M$25:$M$42),
1),
E475/ROUNDDOWN([1]CRITERIOS!$M$16/_xlfn.XLOOKUP($C475,[1]CRITERIOS!$K$25:$K$42,[1]CRITERIOS!$M$25:$M$42),
1),
$M475)),_xlfn.XLOOKUP(A475,'[1]DATOS PBI Artículos'!A:A,'[1]DATOS PBI Artículos'!Z:Z
)))))</f>
        <v>#N/A</v>
      </c>
      <c r="Q475" s="38" t="e">
        <f>IF(AND(O475="",N475=0),
0,
   IF(COUNTIF([1]CRITERIOS!$F$179:$F$199,$A475)&gt;=1,
   1,
   IF(R475="MTO",
      $D475,
      ROUNDUP(
                    IF(($E475-SUMIF('[1]DATOS PBI Artículos'!A:A,A475,'[1]DATOS PBI Artículos'!X:X)+($V475-_xlfn.XLOOKUP(A475,'[1]DATOS PBI Artículos'!A:A,'[1]DATOS PBI Artículos'!W:W)))&lt;0,
                    0,
                    IF(($E475-SUMIF('[1]DATOS PBI Artículos'!A:A,A475,'[1]DATOS PBI Artículos'!X:X)+$V475-_xlfn.XLOOKUP($A475,'[1]DATOS PBI Artículos'!A:A,'[1]DATOS PBI Artículos'!W:W))/IF($O475="",$N475,$O475)&gt;ROUNDUP([1]CRITERIOS!$M$16/(IF(COUNTIF([1]CRITERIOS!$BG$11:$BG$201,L475)&gt;=1,_xlfn.XLOOKUP($C475,[1]CRITERIOS!$K$25:$K$42,[1]CRITERIOS!$M$25:$M$42),_xlfn.XLOOKUP($C475,[1]CRITERIOS!$K$25:$K$42,[1]CRITERIOS!$M$25:$M$42))),0),
                    ROUNDUP([1]CRITERIOS!$M$16/(IF(COUNTIF([1]CRITERIOS!$BG$11:$BG$201,$L475)&gt;=1,_xlfn.XLOOKUP($C475,[1]CRITERIOS!$K$25:$K$42,[1]CRITERIOS!$M$25:$M$42),_xlfn.XLOOKUP($C475,[1]CRITERIOS!$K$25:$K$42,[1]CRITERIOS!$M$25:$M$42))),0),
                    (E475+V475-SUMIF('[1]DATOS PBI Artículos'!A:A,A475,'[1]DATOS PBI Artículos'!X:X)-_xlfn.XLOOKUP(A475,'[1]DATOS PBI Artículos'!A:A,'[1]DATOS PBI Artículos'!W:W))/IF($O475="",$N475,$O475))),0))))</f>
        <v>#N/A</v>
      </c>
      <c r="R475" s="33" t="e">
        <f>IF(U475&lt;&gt;"",U475,IF(F475="DV","MTO",IF(N475=0,"MTO",_xlfn.XLOOKUP(CONCATENATE(S475,T475),[1]CRITERIOS!$K$160:$K$168,[1]CRITERIOS!$N$160:$N$168))))</f>
        <v>#N/A</v>
      </c>
      <c r="S475" s="33" t="e">
        <f>IF(G475="DV","MTO",IF(N475=0,"MTO",IF(OR(AND(N475=0,O475=""),IF(O475="",G475/N475,G475/O475)&gt;[1]CRITERIOS!$G$163),"MTO",IF(IF(O475="",G475/N475,G475/O475)&lt;[1]CRITERIOS!$H$161,"MTS","MTOS"))))</f>
        <v>#N/A</v>
      </c>
      <c r="T475" s="33" t="e">
        <f>IF(F475="DV","MTO",IF(OR(AND($N475=0,O475=""),$F475/$J475&gt;[1]CRITERIOS!$G$170,$F475="DV"),"MTO",IF($F475/$J475&lt;[1]CRITERIOS!$H$168,"MTS","MTOS")))</f>
        <v>#N/A</v>
      </c>
      <c r="V475" s="34" t="e">
        <f t="shared" si="25"/>
        <v>#N/A</v>
      </c>
      <c r="X475" s="34" t="e">
        <f t="shared" si="23"/>
        <v>#N/A</v>
      </c>
      <c r="Y475" s="34" t="e">
        <f t="shared" si="24"/>
        <v>#N/A</v>
      </c>
      <c r="Z475" s="34" t="e">
        <f>IF($R475="MTO",
0,
($H475+$K475*($E475/[1]CRITERIOS!$M$16))/[1]CRITERIOS!$X$48)</f>
        <v>#N/A</v>
      </c>
      <c r="AA475" s="34" t="e">
        <f>ROUNDUP(($Y475/_xlfn.XLOOKUP($A475,'[1]DATOS PBI Artículos'!$A$4:$A$4,'[1]DATOS PBI Artículos'!$Z$4:$Z$4))/_xlfn.XLOOKUP(_xlfn.XLOOKUP($A475,'[1]DATOS PBI Artículos'!$A$4:$A$4,'[1]DATOS PBI Artículos'!$Y$4:$Y$4),[1]CRITERIOS!$P$79:$P$123,[1]CRITERIOS!$S$79:$S$123,),0)</f>
        <v>#N/A</v>
      </c>
      <c r="AB475" s="33" t="e">
        <f t="array" ref="AB475">IF((E475+V475-_xlfn.XLOOKUP(A475,'[1]DATOS PBI Artículos'!$A$4:$A$4,'[1]DATOS PBI Artículos'!$W$4:$W$4))/N475&gt;ROUNDUP([1]CRITERIOS!$M$16/(IF(COUNTIF([1]CRITERIOS!$BG$11:$BG$201,L475)&gt;=1,_xlfn.XLOOKUP(ARTÍCULOS!L475,[1]CRITERIOS!$BG$11:$BG$201,[1]CRITERIOS!$BJ$11:$BJ$201),_xlfn.XLOOKUP(ARTÍCULOS!C475,[1]CRITERIOS!$K$25:$K$42,[1]CRITERIOS!$M$25:$M$42))),0),ROUNDUP([1]CRITERIOS!$M$16/(IF(COUNTIF([1]CRITERIOS!$BG$11:$BG$201,L475)&gt;=1,_xlfn.XLOOKUP(ARTÍCULOS!L475,[1]CRITERIOS!$BG$11:$BG$201:#REF!,[1]CRITERIOS!$BJ$11:$BJ$201),_xlfn.XLOOKUP(ARTÍCULOS!C475,[1]CRITERIOS!$K$25:$K$42,[1]CRITERIOS!$M$25:$M$42))),0),(E475+V475-_xlfn.XLOOKUP(A475,'[1]DATOS PBI Artículos'!$A$4:$A$4,'[1]DATOS PBI Artículos'!$W$4:$W$4))/N475)</f>
        <v>#N/A</v>
      </c>
      <c r="AC475" s="33" t="e">
        <f>IF(N475=0,"",(ROUNDUP((N475/2)/(_xlfn.XLOOKUP(A475,'[1]DATOS PBI Artículos'!$A$4:$A$4,'[1]DATOS PBI Artículos'!$Z$4:$Z$4)*_xlfn.XLOOKUP(_xlfn.XLOOKUP(A475,'[1]DATOS PBI Artículos'!$A$4:$A$4,'[1]DATOS PBI Artículos'!$Y$4:$Y$4),[1]CRITERIOS!$P$79:$P$123,[1]CRITERIOS!$S$79:$S$123)),0)*[1]CRITERIOS!$M$80*([1]CRITERIOS!$M$110/[1]CRITERIOS!$M$86)+(_xlfn.XLOOKUP(A475,'[1]DATOS PBI Artículos'!$A$4:$A$4,'[1]DATOS PBI Artículos'!$AA$4:$AA$4)*([1]CRITERIOS!$M$95+[1]CRITERIOS!$M$98)))/N475)</f>
        <v>#N/A</v>
      </c>
      <c r="AD475" s="33" t="e">
        <f>IF(N475=0,"",(ROUNDUP((N475/2)/(_xlfn.XLOOKUP(A475,'[1]DATOS PBI Artículos'!$A$4:$A$4,'[1]DATOS PBI Artículos'!$Z$4:$Z$4)*_xlfn.XLOOKUP(_xlfn.XLOOKUP(A475,'[1]DATOS PBI Artículos'!$A$4:$A$4,'[1]DATOS PBI Artículos'!$Y$4:$Y$4),[1]CRITERIOS!$P$79:$P$123,[1]CRITERIOS!$S$79:$S$123)),0)*[1]CRITERIOS!$M$80*([1]CRITERIOS!$M$89*[1]CRITERIOS!$M$92)+((_xlfn.XLOOKUP(A475,'[1]DATOS PBI Artículos'!$A$4:$A$4,'[1]DATOS PBI Artículos'!$AA$4:$AA$4)/2)*([1]CRITERIOS!$M$95+[1]CRITERIOS!$M$98)))/N475)</f>
        <v>#N/A</v>
      </c>
      <c r="AE475" s="39" t="e">
        <f>IF($R475="MTO","",
IF($H475=0,ROUNDUP(((_xlfn.XLOOKUP($A475,'[1]DATOS PBI Artículos'!$A:$A,'[1]DATOS PBI Artículos'!$AL:$AL))/(_xlfn.XLOOKUP($AF$1,[1]CRITERIOS!$S$16:$S$39,[1]CRITERIOS!$Y$16:$Y$39))*$J475+$Z475)/$G475,0)*$G475,
((_xlfn.XLOOKUP($A475,'[1]DATOS PBI Artículos'!$A:$A,'[1]DATOS PBI Artículos'!$AL:$AL))/(_xlfn.XLOOKUP($AF$1,[1]CRITERIOS!$S$16:$S$39,[1]CRITERIOS!$Y$16:$Y$39))*$J475+$Z475)))</f>
        <v>#N/A</v>
      </c>
      <c r="AG475" s="39" t="e">
        <f>IF($R475="MTO","",
IF($H475=0,ROUNDUP(((_xlfn.XLOOKUP($A475,'[1]DATOS PBI Artículos'!$A:$A,'[1]DATOS PBI Artículos'!$AM:$AM))/(_xlfn.XLOOKUP($AH$1,[1]CRITERIOS!$S$16:$S$39,[1]CRITERIOS!$Y$16:$Y$39))*$J475+$Z475)/$G475,0)*$G475,
((_xlfn.XLOOKUP($A475,'[1]DATOS PBI Artículos'!$A:$A,'[1]DATOS PBI Artículos'!$AM:$AM))/(_xlfn.XLOOKUP($AH$1,[1]CRITERIOS!$S$16:$S$39,[1]CRITERIOS!$Y$16:$Y$39))*$J475+$Z475)))</f>
        <v>#N/A</v>
      </c>
      <c r="AI475" s="39" t="e">
        <f>IF($R475="MTO","",
IF($H475=0,ROUNDUP(((_xlfn.XLOOKUP($A475,'[1]DATOS PBI Artículos'!$A:$A,'[1]DATOS PBI Artículos'!$AN:$AN))/(_xlfn.XLOOKUP($AJ$1,[1]CRITERIOS!$S$16:$S$39,[1]CRITERIOS!$Y$16:$Y$39))*$J475+$Z475)/$G475,0)*$G475,
((_xlfn.XLOOKUP($A475,'[1]DATOS PBI Artículos'!$A:$A,'[1]DATOS PBI Artículos'!$AN:$AN))/(_xlfn.XLOOKUP($AJ$1,[1]CRITERIOS!$S$16:$S$39,[1]CRITERIOS!$Y$16:$Y$39))*$J475+$Z475)))</f>
        <v>#N/A</v>
      </c>
      <c r="AK475" s="39" t="e">
        <f>IF($R475="MTO","",
IF($H475=0,ROUNDUP(((_xlfn.XLOOKUP($A475,'[1]DATOS PBI Artículos'!$A:$A,'[1]DATOS PBI Artículos'!$AO:$AO))/(_xlfn.XLOOKUP($AL$1,[1]CRITERIOS!$S$16:$S$39,[1]CRITERIOS!$Y$16:$Y$39))*$J475+$Z475)/$G475,0)*$G475,
((_xlfn.XLOOKUP($A475,'[1]DATOS PBI Artículos'!$A:$A,'[1]DATOS PBI Artículos'!$AO:$AO))/(_xlfn.XLOOKUP($AL$1,[1]CRITERIOS!$S$16:$S$39,[1]CRITERIOS!$Y$16:$Y$39))*$J475+$Z475)))</f>
        <v>#N/A</v>
      </c>
    </row>
    <row r="476" spans="1:37" ht="25.8" hidden="1" x14ac:dyDescent="0.4">
      <c r="A476" s="41"/>
      <c r="B476" s="33">
        <f>_xlfn.XLOOKUP($A476,'[1]DATOS PBI Artículos'!A:A,'[1]DATOS PBI Artículos'!B:B)</f>
        <v>0</v>
      </c>
      <c r="C476" s="33">
        <f>_xlfn.XLOOKUP($A476,'[1]DATOS PBI Artículos'!A:A,'[1]DATOS PBI Artículos'!C:C)</f>
        <v>0</v>
      </c>
      <c r="D476" s="33">
        <f>_xlfn.XLOOKUP(A476,'[1]DATOS PBI Artículos'!A:A,'[1]DATOS PBI Artículos'!T:T)</f>
        <v>0</v>
      </c>
      <c r="E476" s="34">
        <f>IF(_xlfn.XLOOKUP($A476,'[1]DATOS PBI Artículos'!A:A,'[1]DATOS PBI Artículos'!AK:AK)="",_xlfn.XLOOKUP($A476,'[1]DATOS PBI Artículos'!A:A,'[1]DATOS PBI Artículos'!AJ:AJ),_xlfn.XLOOKUP($A476,'[1]DATOS PBI Artículos'!A:A,'[1]DATOS PBI Artículos'!AK:AK))</f>
        <v>0</v>
      </c>
      <c r="F476" s="35">
        <f>_xlfn.XLOOKUP($A476,'[1]DATOS PBI Artículos'!A:A,'[1]DATOS PBI Artículos'!AP:AP)</f>
        <v>0</v>
      </c>
      <c r="G476" s="34">
        <f>_xlfn.XLOOKUP($A476,'[1]DATOS PBI Artículos'!A:A,'[1]DATOS PBI Artículos'!AR:AR)</f>
        <v>0</v>
      </c>
      <c r="H476" s="34">
        <f>_xlfn.XLOOKUP($A476,'[1]DATOS PBI Artículos'!A:A,'[1]DATOS PBI Artículos'!AT:AT)</f>
        <v>0</v>
      </c>
      <c r="I476" s="34">
        <f>_xlfn.XLOOKUP($A476,'[1]DATOS PBI Artículos'!A:A,'[1]DATOS PBI Artículos'!AS:AS)</f>
        <v>0</v>
      </c>
      <c r="J476" s="35">
        <f>IF(COUNTIF([1]CRITERIOS!$F$179:$F$199,$A476)&gt;=1,
 IF(O476&lt;&gt;"",
    (O476/_xlfn.XLOOKUP(CONCATENATE(A476,L476),[1]MÁQUINAS!A:A,[1]MÁQUINAS!D:D))/24,
    (N476/_xlfn.XLOOKUP(CONCATENATE(A476,L476),[1]MÁQUINAS!A:A,[1]MÁQUINAS!D:D))/24),
  _xlfn.XLOOKUP($A476,'[1]DATOS PBI Artículos'!A:A,'[1]DATOS PBI Artículos'!AU:AU))</f>
        <v>0</v>
      </c>
      <c r="K476" s="36">
        <f>_xlfn.XLOOKUP($A476,'[1]DATOS PBI Artículos'!A:A,'[1]DATOS PBI Artículos'!AV:AV)</f>
        <v>0</v>
      </c>
      <c r="L476" s="33">
        <f>_xlfn.XLOOKUP(A476,[1]MÁQUINAS!B:B,[1]MÁQUINAS!C:C)</f>
        <v>0</v>
      </c>
      <c r="M476" s="34">
        <f t="array" ref="M476">_xlfn.XLOOKUP(A476,'[1]DATOS PBI Artículos'!A:A,'[1]DATOS PBI Artículos'!AX:$AX)</f>
        <v>0</v>
      </c>
      <c r="N476" s="37" t="e">
        <f>IF(I476="DV",
E476,
IF(COUNTIF([1]CRITERIOS!$I$179:$I$199,$A476)&gt;=1,
_xlfn.XLOOKUP($A476,[1]CRITERIOS!$I$179:$I$199,[1]CRITERIOS!$J$179:$J$199),
IF(COUNTIF([1]CRITERIOS!$L$179:$L$199,$A476)&gt;=1,
_xlfn.CEILING.MATH(IF($M476&gt;$E476,
$E476,
IF($M476&lt;$E476/ROUNDDOWN([1]CRITERIOS!$M$16/_xlfn.XLOOKUP($C476,[1]CRITERIOS!$K$25:$K$42,[1]CRITERIOS!$M$25:$M$42),
1),
E476/ROUNDDOWN([1]CRITERIOS!$M$16/_xlfn.XLOOKUP($C476,[1]CRITERIOS!$K$25:$K$42,[1]CRITERIOS!$M$25:$M$42),
1),
$M476)),
_xlfn.XLOOKUP($A476,[1]CRITERIOS!$L$179:$L$200,[1]CRITERIOS!$M$179:$M$200)),
_xlfn.CEILING.MATH(IF($M476&gt;$E476,
$E476,
IF($M476&lt;$E476/ROUNDDOWN([1]CRITERIOS!$M$16/_xlfn.XLOOKUP($C476,[1]CRITERIOS!$K$25:$K$42,[1]CRITERIOS!$M$25:$M$42),
1),
E476/ROUNDDOWN([1]CRITERIOS!$M$16/_xlfn.XLOOKUP($C476,[1]CRITERIOS!$K$25:$K$42,[1]CRITERIOS!$M$25:$M$42),
1),
$M476)),_xlfn.XLOOKUP(A476,'[1]DATOS PBI Artículos'!A:A,'[1]DATOS PBI Artículos'!Z:Z
)))))</f>
        <v>#N/A</v>
      </c>
      <c r="Q476" s="38" t="e">
        <f>IF(AND(O476="",N476=0),
0,
   IF(COUNTIF([1]CRITERIOS!$F$179:$F$199,$A476)&gt;=1,
   1,
   IF(R476="MTO",
      $D476,
      ROUNDUP(
                    IF(($E476-SUMIF('[1]DATOS PBI Artículos'!A:A,A476,'[1]DATOS PBI Artículos'!X:X)+($V476-_xlfn.XLOOKUP(A476,'[1]DATOS PBI Artículos'!A:A,'[1]DATOS PBI Artículos'!W:W)))&lt;0,
                    0,
                    IF(($E476-SUMIF('[1]DATOS PBI Artículos'!A:A,A476,'[1]DATOS PBI Artículos'!X:X)+$V476-_xlfn.XLOOKUP($A476,'[1]DATOS PBI Artículos'!A:A,'[1]DATOS PBI Artículos'!W:W))/IF($O476="",$N476,$O476)&gt;ROUNDUP([1]CRITERIOS!$M$16/(IF(COUNTIF([1]CRITERIOS!$BG$11:$BG$201,L476)&gt;=1,_xlfn.XLOOKUP($C476,[1]CRITERIOS!$K$25:$K$42,[1]CRITERIOS!$M$25:$M$42),_xlfn.XLOOKUP($C476,[1]CRITERIOS!$K$25:$K$42,[1]CRITERIOS!$M$25:$M$42))),0),
                    ROUNDUP([1]CRITERIOS!$M$16/(IF(COUNTIF([1]CRITERIOS!$BG$11:$BG$201,$L476)&gt;=1,_xlfn.XLOOKUP($C476,[1]CRITERIOS!$K$25:$K$42,[1]CRITERIOS!$M$25:$M$42),_xlfn.XLOOKUP($C476,[1]CRITERIOS!$K$25:$K$42,[1]CRITERIOS!$M$25:$M$42))),0),
                    (E476+V476-SUMIF('[1]DATOS PBI Artículos'!A:A,A476,'[1]DATOS PBI Artículos'!X:X)-_xlfn.XLOOKUP(A476,'[1]DATOS PBI Artículos'!A:A,'[1]DATOS PBI Artículos'!W:W))/IF($O476="",$N476,$O476))),0))))</f>
        <v>#N/A</v>
      </c>
      <c r="R476" s="33" t="e">
        <f>IF(U476&lt;&gt;"",U476,IF(F476="DV","MTO",IF(N476=0,"MTO",_xlfn.XLOOKUP(CONCATENATE(S476,T476),[1]CRITERIOS!$K$160:$K$168,[1]CRITERIOS!$N$160:$N$168))))</f>
        <v>#N/A</v>
      </c>
      <c r="S476" s="33" t="e">
        <f>IF(G476="DV","MTO",IF(N476=0,"MTO",IF(OR(AND(N476=0,O476=""),IF(O476="",G476/N476,G476/O476)&gt;[1]CRITERIOS!$G$163),"MTO",IF(IF(O476="",G476/N476,G476/O476)&lt;[1]CRITERIOS!$H$161,"MTS","MTOS"))))</f>
        <v>#N/A</v>
      </c>
      <c r="T476" s="33" t="e">
        <f>IF(F476="DV","MTO",IF(OR(AND($N476=0,O476=""),$F476/$J476&gt;[1]CRITERIOS!$G$170,$F476="DV"),"MTO",IF($F476/$J476&lt;[1]CRITERIOS!$H$168,"MTS","MTOS")))</f>
        <v>#N/A</v>
      </c>
      <c r="V476" s="34" t="e">
        <f t="shared" si="25"/>
        <v>#N/A</v>
      </c>
      <c r="X476" s="34" t="e">
        <f t="shared" si="23"/>
        <v>#N/A</v>
      </c>
      <c r="Y476" s="34" t="e">
        <f t="shared" si="24"/>
        <v>#N/A</v>
      </c>
      <c r="Z476" s="34" t="e">
        <f>IF($R476="MTO",
0,
($H476+$K476*($E476/[1]CRITERIOS!$M$16))/[1]CRITERIOS!$X$48)</f>
        <v>#N/A</v>
      </c>
      <c r="AA476" s="34" t="e">
        <f>ROUNDUP(($Y476/_xlfn.XLOOKUP($A476,'[1]DATOS PBI Artículos'!$A$4:$A$4,'[1]DATOS PBI Artículos'!$Z$4:$Z$4))/_xlfn.XLOOKUP(_xlfn.XLOOKUP($A476,'[1]DATOS PBI Artículos'!$A$4:$A$4,'[1]DATOS PBI Artículos'!$Y$4:$Y$4),[1]CRITERIOS!$P$79:$P$123,[1]CRITERIOS!$S$79:$S$123,),0)</f>
        <v>#N/A</v>
      </c>
      <c r="AB476" s="33" t="e">
        <f t="array" ref="AB476">IF((E476+V476-_xlfn.XLOOKUP(A476,'[1]DATOS PBI Artículos'!$A$4:$A$4,'[1]DATOS PBI Artículos'!$W$4:$W$4))/N476&gt;ROUNDUP([1]CRITERIOS!$M$16/(IF(COUNTIF([1]CRITERIOS!$BG$11:$BG$201,L476)&gt;=1,_xlfn.XLOOKUP(ARTÍCULOS!L476,[1]CRITERIOS!$BG$11:$BG$201,[1]CRITERIOS!$BJ$11:$BJ$201),_xlfn.XLOOKUP(ARTÍCULOS!C476,[1]CRITERIOS!$K$25:$K$42,[1]CRITERIOS!$M$25:$M$42))),0),ROUNDUP([1]CRITERIOS!$M$16/(IF(COUNTIF([1]CRITERIOS!$BG$11:$BG$201,L476)&gt;=1,_xlfn.XLOOKUP(ARTÍCULOS!L476,[1]CRITERIOS!$BG$11:$BG$201:#REF!,[1]CRITERIOS!$BJ$11:$BJ$201),_xlfn.XLOOKUP(ARTÍCULOS!C476,[1]CRITERIOS!$K$25:$K$42,[1]CRITERIOS!$M$25:$M$42))),0),(E476+V476-_xlfn.XLOOKUP(A476,'[1]DATOS PBI Artículos'!$A$4:$A$4,'[1]DATOS PBI Artículos'!$W$4:$W$4))/N476)</f>
        <v>#N/A</v>
      </c>
      <c r="AC476" s="33" t="e">
        <f>IF(N476=0,"",(ROUNDUP((N476/2)/(_xlfn.XLOOKUP(A476,'[1]DATOS PBI Artículos'!$A$4:$A$4,'[1]DATOS PBI Artículos'!$Z$4:$Z$4)*_xlfn.XLOOKUP(_xlfn.XLOOKUP(A476,'[1]DATOS PBI Artículos'!$A$4:$A$4,'[1]DATOS PBI Artículos'!$Y$4:$Y$4),[1]CRITERIOS!$P$79:$P$123,[1]CRITERIOS!$S$79:$S$123)),0)*[1]CRITERIOS!$M$80*([1]CRITERIOS!$M$110/[1]CRITERIOS!$M$86)+(_xlfn.XLOOKUP(A476,'[1]DATOS PBI Artículos'!$A$4:$A$4,'[1]DATOS PBI Artículos'!$AA$4:$AA$4)*([1]CRITERIOS!$M$95+[1]CRITERIOS!$M$98)))/N476)</f>
        <v>#N/A</v>
      </c>
      <c r="AD476" s="33" t="e">
        <f>IF(N476=0,"",(ROUNDUP((N476/2)/(_xlfn.XLOOKUP(A476,'[1]DATOS PBI Artículos'!$A$4:$A$4,'[1]DATOS PBI Artículos'!$Z$4:$Z$4)*_xlfn.XLOOKUP(_xlfn.XLOOKUP(A476,'[1]DATOS PBI Artículos'!$A$4:$A$4,'[1]DATOS PBI Artículos'!$Y$4:$Y$4),[1]CRITERIOS!$P$79:$P$123,[1]CRITERIOS!$S$79:$S$123)),0)*[1]CRITERIOS!$M$80*([1]CRITERIOS!$M$89*[1]CRITERIOS!$M$92)+((_xlfn.XLOOKUP(A476,'[1]DATOS PBI Artículos'!$A$4:$A$4,'[1]DATOS PBI Artículos'!$AA$4:$AA$4)/2)*([1]CRITERIOS!$M$95+[1]CRITERIOS!$M$98)))/N476)</f>
        <v>#N/A</v>
      </c>
      <c r="AE476" s="39" t="e">
        <f>IF($R476="MTO","",
IF($H476=0,ROUNDUP(((_xlfn.XLOOKUP($A476,'[1]DATOS PBI Artículos'!$A:$A,'[1]DATOS PBI Artículos'!$AL:$AL))/(_xlfn.XLOOKUP($AF$1,[1]CRITERIOS!$S$16:$S$39,[1]CRITERIOS!$Y$16:$Y$39))*$J476+$Z476)/$G476,0)*$G476,
((_xlfn.XLOOKUP($A476,'[1]DATOS PBI Artículos'!$A:$A,'[1]DATOS PBI Artículos'!$AL:$AL))/(_xlfn.XLOOKUP($AF$1,[1]CRITERIOS!$S$16:$S$39,[1]CRITERIOS!$Y$16:$Y$39))*$J476+$Z476)))</f>
        <v>#N/A</v>
      </c>
      <c r="AG476" s="39" t="e">
        <f>IF($R476="MTO","",
IF($H476=0,ROUNDUP(((_xlfn.XLOOKUP($A476,'[1]DATOS PBI Artículos'!$A:$A,'[1]DATOS PBI Artículos'!$AM:$AM))/(_xlfn.XLOOKUP($AH$1,[1]CRITERIOS!$S$16:$S$39,[1]CRITERIOS!$Y$16:$Y$39))*$J476+$Z476)/$G476,0)*$G476,
((_xlfn.XLOOKUP($A476,'[1]DATOS PBI Artículos'!$A:$A,'[1]DATOS PBI Artículos'!$AM:$AM))/(_xlfn.XLOOKUP($AH$1,[1]CRITERIOS!$S$16:$S$39,[1]CRITERIOS!$Y$16:$Y$39))*$J476+$Z476)))</f>
        <v>#N/A</v>
      </c>
      <c r="AI476" s="39" t="e">
        <f>IF($R476="MTO","",
IF($H476=0,ROUNDUP(((_xlfn.XLOOKUP($A476,'[1]DATOS PBI Artículos'!$A:$A,'[1]DATOS PBI Artículos'!$AN:$AN))/(_xlfn.XLOOKUP($AJ$1,[1]CRITERIOS!$S$16:$S$39,[1]CRITERIOS!$Y$16:$Y$39))*$J476+$Z476)/$G476,0)*$G476,
((_xlfn.XLOOKUP($A476,'[1]DATOS PBI Artículos'!$A:$A,'[1]DATOS PBI Artículos'!$AN:$AN))/(_xlfn.XLOOKUP($AJ$1,[1]CRITERIOS!$S$16:$S$39,[1]CRITERIOS!$Y$16:$Y$39))*$J476+$Z476)))</f>
        <v>#N/A</v>
      </c>
      <c r="AK476" s="39" t="e">
        <f>IF($R476="MTO","",
IF($H476=0,ROUNDUP(((_xlfn.XLOOKUP($A476,'[1]DATOS PBI Artículos'!$A:$A,'[1]DATOS PBI Artículos'!$AO:$AO))/(_xlfn.XLOOKUP($AL$1,[1]CRITERIOS!$S$16:$S$39,[1]CRITERIOS!$Y$16:$Y$39))*$J476+$Z476)/$G476,0)*$G476,
((_xlfn.XLOOKUP($A476,'[1]DATOS PBI Artículos'!$A:$A,'[1]DATOS PBI Artículos'!$AO:$AO))/(_xlfn.XLOOKUP($AL$1,[1]CRITERIOS!$S$16:$S$39,[1]CRITERIOS!$Y$16:$Y$39))*$J476+$Z476)))</f>
        <v>#N/A</v>
      </c>
    </row>
    <row r="477" spans="1:37" ht="25.8" hidden="1" x14ac:dyDescent="0.4">
      <c r="A477" s="41"/>
      <c r="B477" s="33">
        <f>_xlfn.XLOOKUP($A477,'[1]DATOS PBI Artículos'!A:A,'[1]DATOS PBI Artículos'!B:B)</f>
        <v>0</v>
      </c>
      <c r="C477" s="33">
        <f>_xlfn.XLOOKUP($A477,'[1]DATOS PBI Artículos'!A:A,'[1]DATOS PBI Artículos'!C:C)</f>
        <v>0</v>
      </c>
      <c r="D477" s="33">
        <f>_xlfn.XLOOKUP(A477,'[1]DATOS PBI Artículos'!A:A,'[1]DATOS PBI Artículos'!T:T)</f>
        <v>0</v>
      </c>
      <c r="E477" s="34">
        <f>IF(_xlfn.XLOOKUP($A477,'[1]DATOS PBI Artículos'!A:A,'[1]DATOS PBI Artículos'!AK:AK)="",_xlfn.XLOOKUP($A477,'[1]DATOS PBI Artículos'!A:A,'[1]DATOS PBI Artículos'!AJ:AJ),_xlfn.XLOOKUP($A477,'[1]DATOS PBI Artículos'!A:A,'[1]DATOS PBI Artículos'!AK:AK))</f>
        <v>0</v>
      </c>
      <c r="F477" s="35">
        <f>_xlfn.XLOOKUP($A477,'[1]DATOS PBI Artículos'!A:A,'[1]DATOS PBI Artículos'!AP:AP)</f>
        <v>0</v>
      </c>
      <c r="G477" s="34">
        <f>_xlfn.XLOOKUP($A477,'[1]DATOS PBI Artículos'!A:A,'[1]DATOS PBI Artículos'!AR:AR)</f>
        <v>0</v>
      </c>
      <c r="H477" s="34">
        <f>_xlfn.XLOOKUP($A477,'[1]DATOS PBI Artículos'!A:A,'[1]DATOS PBI Artículos'!AT:AT)</f>
        <v>0</v>
      </c>
      <c r="I477" s="34">
        <f>_xlfn.XLOOKUP($A477,'[1]DATOS PBI Artículos'!A:A,'[1]DATOS PBI Artículos'!AS:AS)</f>
        <v>0</v>
      </c>
      <c r="J477" s="35">
        <f>IF(COUNTIF([1]CRITERIOS!$F$179:$F$199,$A477)&gt;=1,
 IF(O477&lt;&gt;"",
    (O477/_xlfn.XLOOKUP(CONCATENATE(A477,L477),[1]MÁQUINAS!A:A,[1]MÁQUINAS!D:D))/24,
    (N477/_xlfn.XLOOKUP(CONCATENATE(A477,L477),[1]MÁQUINAS!A:A,[1]MÁQUINAS!D:D))/24),
  _xlfn.XLOOKUP($A477,'[1]DATOS PBI Artículos'!A:A,'[1]DATOS PBI Artículos'!AU:AU))</f>
        <v>0</v>
      </c>
      <c r="K477" s="36">
        <f>_xlfn.XLOOKUP($A477,'[1]DATOS PBI Artículos'!A:A,'[1]DATOS PBI Artículos'!AV:AV)</f>
        <v>0</v>
      </c>
      <c r="L477" s="33">
        <f>_xlfn.XLOOKUP(A477,[1]MÁQUINAS!B:B,[1]MÁQUINAS!C:C)</f>
        <v>0</v>
      </c>
      <c r="M477" s="34">
        <f t="array" ref="M477">_xlfn.XLOOKUP(A477,'[1]DATOS PBI Artículos'!A:A,'[1]DATOS PBI Artículos'!AX:$AX)</f>
        <v>0</v>
      </c>
      <c r="N477" s="37" t="e">
        <f>IF(I477="DV",
E477,
IF(COUNTIF([1]CRITERIOS!$I$179:$I$199,$A477)&gt;=1,
_xlfn.XLOOKUP($A477,[1]CRITERIOS!$I$179:$I$199,[1]CRITERIOS!$J$179:$J$199),
IF(COUNTIF([1]CRITERIOS!$L$179:$L$199,$A477)&gt;=1,
_xlfn.CEILING.MATH(IF($M477&gt;$E477,
$E477,
IF($M477&lt;$E477/ROUNDDOWN([1]CRITERIOS!$M$16/_xlfn.XLOOKUP($C477,[1]CRITERIOS!$K$25:$K$42,[1]CRITERIOS!$M$25:$M$42),
1),
E477/ROUNDDOWN([1]CRITERIOS!$M$16/_xlfn.XLOOKUP($C477,[1]CRITERIOS!$K$25:$K$42,[1]CRITERIOS!$M$25:$M$42),
1),
$M477)),
_xlfn.XLOOKUP($A477,[1]CRITERIOS!$L$179:$L$200,[1]CRITERIOS!$M$179:$M$200)),
_xlfn.CEILING.MATH(IF($M477&gt;$E477,
$E477,
IF($M477&lt;$E477/ROUNDDOWN([1]CRITERIOS!$M$16/_xlfn.XLOOKUP($C477,[1]CRITERIOS!$K$25:$K$42,[1]CRITERIOS!$M$25:$M$42),
1),
E477/ROUNDDOWN([1]CRITERIOS!$M$16/_xlfn.XLOOKUP($C477,[1]CRITERIOS!$K$25:$K$42,[1]CRITERIOS!$M$25:$M$42),
1),
$M477)),_xlfn.XLOOKUP(A477,'[1]DATOS PBI Artículos'!A:A,'[1]DATOS PBI Artículos'!Z:Z
)))))</f>
        <v>#N/A</v>
      </c>
      <c r="Q477" s="38" t="e">
        <f>IF(AND(O477="",N477=0),
0,
   IF(COUNTIF([1]CRITERIOS!$F$179:$F$199,$A477)&gt;=1,
   1,
   IF(R477="MTO",
      $D477,
      ROUNDUP(
                    IF(($E477-SUMIF('[1]DATOS PBI Artículos'!A:A,A477,'[1]DATOS PBI Artículos'!X:X)+($V477-_xlfn.XLOOKUP(A477,'[1]DATOS PBI Artículos'!A:A,'[1]DATOS PBI Artículos'!W:W)))&lt;0,
                    0,
                    IF(($E477-SUMIF('[1]DATOS PBI Artículos'!A:A,A477,'[1]DATOS PBI Artículos'!X:X)+$V477-_xlfn.XLOOKUP($A477,'[1]DATOS PBI Artículos'!A:A,'[1]DATOS PBI Artículos'!W:W))/IF($O477="",$N477,$O477)&gt;ROUNDUP([1]CRITERIOS!$M$16/(IF(COUNTIF([1]CRITERIOS!$BG$11:$BG$201,L477)&gt;=1,_xlfn.XLOOKUP($C477,[1]CRITERIOS!$K$25:$K$42,[1]CRITERIOS!$M$25:$M$42),_xlfn.XLOOKUP($C477,[1]CRITERIOS!$K$25:$K$42,[1]CRITERIOS!$M$25:$M$42))),0),
                    ROUNDUP([1]CRITERIOS!$M$16/(IF(COUNTIF([1]CRITERIOS!$BG$11:$BG$201,$L477)&gt;=1,_xlfn.XLOOKUP($C477,[1]CRITERIOS!$K$25:$K$42,[1]CRITERIOS!$M$25:$M$42),_xlfn.XLOOKUP($C477,[1]CRITERIOS!$K$25:$K$42,[1]CRITERIOS!$M$25:$M$42))),0),
                    (E477+V477-SUMIF('[1]DATOS PBI Artículos'!A:A,A477,'[1]DATOS PBI Artículos'!X:X)-_xlfn.XLOOKUP(A477,'[1]DATOS PBI Artículos'!A:A,'[1]DATOS PBI Artículos'!W:W))/IF($O477="",$N477,$O477))),0))))</f>
        <v>#N/A</v>
      </c>
      <c r="R477" s="33" t="e">
        <f>IF(U477&lt;&gt;"",U477,IF(F477="DV","MTO",IF(N477=0,"MTO",_xlfn.XLOOKUP(CONCATENATE(S477,T477),[1]CRITERIOS!$K$160:$K$168,[1]CRITERIOS!$N$160:$N$168))))</f>
        <v>#N/A</v>
      </c>
      <c r="S477" s="33" t="e">
        <f>IF(G477="DV","MTO",IF(N477=0,"MTO",IF(OR(AND(N477=0,O477=""),IF(O477="",G477/N477,G477/O477)&gt;[1]CRITERIOS!$G$163),"MTO",IF(IF(O477="",G477/N477,G477/O477)&lt;[1]CRITERIOS!$H$161,"MTS","MTOS"))))</f>
        <v>#N/A</v>
      </c>
      <c r="T477" s="33" t="e">
        <f>IF(F477="DV","MTO",IF(OR(AND($N477=0,O477=""),$F477/$J477&gt;[1]CRITERIOS!$G$170,$F477="DV"),"MTO",IF($F477/$J477&lt;[1]CRITERIOS!$H$168,"MTS","MTOS")))</f>
        <v>#N/A</v>
      </c>
      <c r="V477" s="34" t="e">
        <f t="shared" si="25"/>
        <v>#N/A</v>
      </c>
      <c r="X477" s="34" t="e">
        <f t="shared" si="23"/>
        <v>#N/A</v>
      </c>
      <c r="Y477" s="34" t="e">
        <f t="shared" si="24"/>
        <v>#N/A</v>
      </c>
      <c r="Z477" s="34" t="e">
        <f>IF($R477="MTO",
0,
($H477+$K477*($E477/[1]CRITERIOS!$M$16))/[1]CRITERIOS!$X$48)</f>
        <v>#N/A</v>
      </c>
      <c r="AA477" s="34" t="e">
        <f>ROUNDUP(($Y477/_xlfn.XLOOKUP($A477,'[1]DATOS PBI Artículos'!$A$4:$A$4,'[1]DATOS PBI Artículos'!$Z$4:$Z$4))/_xlfn.XLOOKUP(_xlfn.XLOOKUP($A477,'[1]DATOS PBI Artículos'!$A$4:$A$4,'[1]DATOS PBI Artículos'!$Y$4:$Y$4),[1]CRITERIOS!$P$79:$P$123,[1]CRITERIOS!$S$79:$S$123,),0)</f>
        <v>#N/A</v>
      </c>
      <c r="AB477" s="33" t="e">
        <f t="array" ref="AB477">IF((E477+V477-_xlfn.XLOOKUP(A477,'[1]DATOS PBI Artículos'!$A$4:$A$4,'[1]DATOS PBI Artículos'!$W$4:$W$4))/N477&gt;ROUNDUP([1]CRITERIOS!$M$16/(IF(COUNTIF([1]CRITERIOS!$BG$11:$BG$201,L477)&gt;=1,_xlfn.XLOOKUP(ARTÍCULOS!L477,[1]CRITERIOS!$BG$11:$BG$201,[1]CRITERIOS!$BJ$11:$BJ$201),_xlfn.XLOOKUP(ARTÍCULOS!C477,[1]CRITERIOS!$K$25:$K$42,[1]CRITERIOS!$M$25:$M$42))),0),ROUNDUP([1]CRITERIOS!$M$16/(IF(COUNTIF([1]CRITERIOS!$BG$11:$BG$201,L477)&gt;=1,_xlfn.XLOOKUP(ARTÍCULOS!L477,[1]CRITERIOS!$BG$11:$BG$201:#REF!,[1]CRITERIOS!$BJ$11:$BJ$201),_xlfn.XLOOKUP(ARTÍCULOS!C477,[1]CRITERIOS!$K$25:$K$42,[1]CRITERIOS!$M$25:$M$42))),0),(E477+V477-_xlfn.XLOOKUP(A477,'[1]DATOS PBI Artículos'!$A$4:$A$4,'[1]DATOS PBI Artículos'!$W$4:$W$4))/N477)</f>
        <v>#N/A</v>
      </c>
      <c r="AC477" s="33" t="e">
        <f>IF(N477=0,"",(ROUNDUP((N477/2)/(_xlfn.XLOOKUP(A477,'[1]DATOS PBI Artículos'!$A$4:$A$4,'[1]DATOS PBI Artículos'!$Z$4:$Z$4)*_xlfn.XLOOKUP(_xlfn.XLOOKUP(A477,'[1]DATOS PBI Artículos'!$A$4:$A$4,'[1]DATOS PBI Artículos'!$Y$4:$Y$4),[1]CRITERIOS!$P$79:$P$123,[1]CRITERIOS!$S$79:$S$123)),0)*[1]CRITERIOS!$M$80*([1]CRITERIOS!$M$110/[1]CRITERIOS!$M$86)+(_xlfn.XLOOKUP(A477,'[1]DATOS PBI Artículos'!$A$4:$A$4,'[1]DATOS PBI Artículos'!$AA$4:$AA$4)*([1]CRITERIOS!$M$95+[1]CRITERIOS!$M$98)))/N477)</f>
        <v>#N/A</v>
      </c>
      <c r="AD477" s="33" t="e">
        <f>IF(N477=0,"",(ROUNDUP((N477/2)/(_xlfn.XLOOKUP(A477,'[1]DATOS PBI Artículos'!$A$4:$A$4,'[1]DATOS PBI Artículos'!$Z$4:$Z$4)*_xlfn.XLOOKUP(_xlfn.XLOOKUP(A477,'[1]DATOS PBI Artículos'!$A$4:$A$4,'[1]DATOS PBI Artículos'!$Y$4:$Y$4),[1]CRITERIOS!$P$79:$P$123,[1]CRITERIOS!$S$79:$S$123)),0)*[1]CRITERIOS!$M$80*([1]CRITERIOS!$M$89*[1]CRITERIOS!$M$92)+((_xlfn.XLOOKUP(A477,'[1]DATOS PBI Artículos'!$A$4:$A$4,'[1]DATOS PBI Artículos'!$AA$4:$AA$4)/2)*([1]CRITERIOS!$M$95+[1]CRITERIOS!$M$98)))/N477)</f>
        <v>#N/A</v>
      </c>
      <c r="AE477" s="39" t="e">
        <f>IF($R477="MTO","",
IF($H477=0,ROUNDUP(((_xlfn.XLOOKUP($A477,'[1]DATOS PBI Artículos'!$A:$A,'[1]DATOS PBI Artículos'!$AL:$AL))/(_xlfn.XLOOKUP($AF$1,[1]CRITERIOS!$S$16:$S$39,[1]CRITERIOS!$Y$16:$Y$39))*$J477+$Z477)/$G477,0)*$G477,
((_xlfn.XLOOKUP($A477,'[1]DATOS PBI Artículos'!$A:$A,'[1]DATOS PBI Artículos'!$AL:$AL))/(_xlfn.XLOOKUP($AF$1,[1]CRITERIOS!$S$16:$S$39,[1]CRITERIOS!$Y$16:$Y$39))*$J477+$Z477)))</f>
        <v>#N/A</v>
      </c>
      <c r="AG477" s="39" t="e">
        <f>IF($R477="MTO","",
IF($H477=0,ROUNDUP(((_xlfn.XLOOKUP($A477,'[1]DATOS PBI Artículos'!$A:$A,'[1]DATOS PBI Artículos'!$AM:$AM))/(_xlfn.XLOOKUP($AH$1,[1]CRITERIOS!$S$16:$S$39,[1]CRITERIOS!$Y$16:$Y$39))*$J477+$Z477)/$G477,0)*$G477,
((_xlfn.XLOOKUP($A477,'[1]DATOS PBI Artículos'!$A:$A,'[1]DATOS PBI Artículos'!$AM:$AM))/(_xlfn.XLOOKUP($AH$1,[1]CRITERIOS!$S$16:$S$39,[1]CRITERIOS!$Y$16:$Y$39))*$J477+$Z477)))</f>
        <v>#N/A</v>
      </c>
      <c r="AI477" s="39" t="e">
        <f>IF($R477="MTO","",
IF($H477=0,ROUNDUP(((_xlfn.XLOOKUP($A477,'[1]DATOS PBI Artículos'!$A:$A,'[1]DATOS PBI Artículos'!$AN:$AN))/(_xlfn.XLOOKUP($AJ$1,[1]CRITERIOS!$S$16:$S$39,[1]CRITERIOS!$Y$16:$Y$39))*$J477+$Z477)/$G477,0)*$G477,
((_xlfn.XLOOKUP($A477,'[1]DATOS PBI Artículos'!$A:$A,'[1]DATOS PBI Artículos'!$AN:$AN))/(_xlfn.XLOOKUP($AJ$1,[1]CRITERIOS!$S$16:$S$39,[1]CRITERIOS!$Y$16:$Y$39))*$J477+$Z477)))</f>
        <v>#N/A</v>
      </c>
      <c r="AK477" s="39" t="e">
        <f>IF($R477="MTO","",
IF($H477=0,ROUNDUP(((_xlfn.XLOOKUP($A477,'[1]DATOS PBI Artículos'!$A:$A,'[1]DATOS PBI Artículos'!$AO:$AO))/(_xlfn.XLOOKUP($AL$1,[1]CRITERIOS!$S$16:$S$39,[1]CRITERIOS!$Y$16:$Y$39))*$J477+$Z477)/$G477,0)*$G477,
((_xlfn.XLOOKUP($A477,'[1]DATOS PBI Artículos'!$A:$A,'[1]DATOS PBI Artículos'!$AO:$AO))/(_xlfn.XLOOKUP($AL$1,[1]CRITERIOS!$S$16:$S$39,[1]CRITERIOS!$Y$16:$Y$39))*$J477+$Z477)))</f>
        <v>#N/A</v>
      </c>
    </row>
    <row r="478" spans="1:37" ht="25.8" hidden="1" x14ac:dyDescent="0.4">
      <c r="A478" s="41"/>
      <c r="B478" s="33">
        <f>_xlfn.XLOOKUP($A478,'[1]DATOS PBI Artículos'!A:A,'[1]DATOS PBI Artículos'!B:B)</f>
        <v>0</v>
      </c>
      <c r="C478" s="33">
        <f>_xlfn.XLOOKUP($A478,'[1]DATOS PBI Artículos'!A:A,'[1]DATOS PBI Artículos'!C:C)</f>
        <v>0</v>
      </c>
      <c r="D478" s="33">
        <f>_xlfn.XLOOKUP(A478,'[1]DATOS PBI Artículos'!A:A,'[1]DATOS PBI Artículos'!T:T)</f>
        <v>0</v>
      </c>
      <c r="E478" s="34">
        <f>IF(_xlfn.XLOOKUP($A478,'[1]DATOS PBI Artículos'!A:A,'[1]DATOS PBI Artículos'!AK:AK)="",_xlfn.XLOOKUP($A478,'[1]DATOS PBI Artículos'!A:A,'[1]DATOS PBI Artículos'!AJ:AJ),_xlfn.XLOOKUP($A478,'[1]DATOS PBI Artículos'!A:A,'[1]DATOS PBI Artículos'!AK:AK))</f>
        <v>0</v>
      </c>
      <c r="F478" s="35">
        <f>_xlfn.XLOOKUP($A478,'[1]DATOS PBI Artículos'!A:A,'[1]DATOS PBI Artículos'!AP:AP)</f>
        <v>0</v>
      </c>
      <c r="G478" s="34">
        <f>_xlfn.XLOOKUP($A478,'[1]DATOS PBI Artículos'!A:A,'[1]DATOS PBI Artículos'!AR:AR)</f>
        <v>0</v>
      </c>
      <c r="H478" s="34">
        <f>_xlfn.XLOOKUP($A478,'[1]DATOS PBI Artículos'!A:A,'[1]DATOS PBI Artículos'!AT:AT)</f>
        <v>0</v>
      </c>
      <c r="I478" s="34">
        <f>_xlfn.XLOOKUP($A478,'[1]DATOS PBI Artículos'!A:A,'[1]DATOS PBI Artículos'!AS:AS)</f>
        <v>0</v>
      </c>
      <c r="J478" s="35">
        <f>IF(COUNTIF([1]CRITERIOS!$F$179:$F$199,$A478)&gt;=1,
 IF(O478&lt;&gt;"",
    (O478/_xlfn.XLOOKUP(CONCATENATE(A478,L478),[1]MÁQUINAS!A:A,[1]MÁQUINAS!D:D))/24,
    (N478/_xlfn.XLOOKUP(CONCATENATE(A478,L478),[1]MÁQUINAS!A:A,[1]MÁQUINAS!D:D))/24),
  _xlfn.XLOOKUP($A478,'[1]DATOS PBI Artículos'!A:A,'[1]DATOS PBI Artículos'!AU:AU))</f>
        <v>0</v>
      </c>
      <c r="K478" s="36">
        <f>_xlfn.XLOOKUP($A478,'[1]DATOS PBI Artículos'!A:A,'[1]DATOS PBI Artículos'!AV:AV)</f>
        <v>0</v>
      </c>
      <c r="L478" s="33">
        <f>_xlfn.XLOOKUP(A478,[1]MÁQUINAS!B:B,[1]MÁQUINAS!C:C)</f>
        <v>0</v>
      </c>
      <c r="M478" s="34">
        <f t="array" ref="M478">_xlfn.XLOOKUP(A478,'[1]DATOS PBI Artículos'!A:A,'[1]DATOS PBI Artículos'!AX:$AX)</f>
        <v>0</v>
      </c>
      <c r="N478" s="37" t="e">
        <f>IF(I478="DV",
E478,
IF(COUNTIF([1]CRITERIOS!$I$179:$I$199,$A478)&gt;=1,
_xlfn.XLOOKUP($A478,[1]CRITERIOS!$I$179:$I$199,[1]CRITERIOS!$J$179:$J$199),
IF(COUNTIF([1]CRITERIOS!$L$179:$L$199,$A478)&gt;=1,
_xlfn.CEILING.MATH(IF($M478&gt;$E478,
$E478,
IF($M478&lt;$E478/ROUNDDOWN([1]CRITERIOS!$M$16/_xlfn.XLOOKUP($C478,[1]CRITERIOS!$K$25:$K$42,[1]CRITERIOS!$M$25:$M$42),
1),
E478/ROUNDDOWN([1]CRITERIOS!$M$16/_xlfn.XLOOKUP($C478,[1]CRITERIOS!$K$25:$K$42,[1]CRITERIOS!$M$25:$M$42),
1),
$M478)),
_xlfn.XLOOKUP($A478,[1]CRITERIOS!$L$179:$L$200,[1]CRITERIOS!$M$179:$M$200)),
_xlfn.CEILING.MATH(IF($M478&gt;$E478,
$E478,
IF($M478&lt;$E478/ROUNDDOWN([1]CRITERIOS!$M$16/_xlfn.XLOOKUP($C478,[1]CRITERIOS!$K$25:$K$42,[1]CRITERIOS!$M$25:$M$42),
1),
E478/ROUNDDOWN([1]CRITERIOS!$M$16/_xlfn.XLOOKUP($C478,[1]CRITERIOS!$K$25:$K$42,[1]CRITERIOS!$M$25:$M$42),
1),
$M478)),_xlfn.XLOOKUP(A478,'[1]DATOS PBI Artículos'!A:A,'[1]DATOS PBI Artículos'!Z:Z
)))))</f>
        <v>#N/A</v>
      </c>
      <c r="Q478" s="38" t="e">
        <f>IF(AND(O478="",N478=0),
0,
   IF(COUNTIF([1]CRITERIOS!$F$179:$F$199,$A478)&gt;=1,
   1,
   IF(R478="MTO",
      $D478,
      ROUNDUP(
                    IF(($E478-SUMIF('[1]DATOS PBI Artículos'!A:A,A478,'[1]DATOS PBI Artículos'!X:X)+($V478-_xlfn.XLOOKUP(A478,'[1]DATOS PBI Artículos'!A:A,'[1]DATOS PBI Artículos'!W:W)))&lt;0,
                    0,
                    IF(($E478-SUMIF('[1]DATOS PBI Artículos'!A:A,A478,'[1]DATOS PBI Artículos'!X:X)+$V478-_xlfn.XLOOKUP($A478,'[1]DATOS PBI Artículos'!A:A,'[1]DATOS PBI Artículos'!W:W))/IF($O478="",$N478,$O478)&gt;ROUNDUP([1]CRITERIOS!$M$16/(IF(COUNTIF([1]CRITERIOS!$BG$11:$BG$201,L478)&gt;=1,_xlfn.XLOOKUP($C478,[1]CRITERIOS!$K$25:$K$42,[1]CRITERIOS!$M$25:$M$42),_xlfn.XLOOKUP($C478,[1]CRITERIOS!$K$25:$K$42,[1]CRITERIOS!$M$25:$M$42))),0),
                    ROUNDUP([1]CRITERIOS!$M$16/(IF(COUNTIF([1]CRITERIOS!$BG$11:$BG$201,$L478)&gt;=1,_xlfn.XLOOKUP($C478,[1]CRITERIOS!$K$25:$K$42,[1]CRITERIOS!$M$25:$M$42),_xlfn.XLOOKUP($C478,[1]CRITERIOS!$K$25:$K$42,[1]CRITERIOS!$M$25:$M$42))),0),
                    (E478+V478-SUMIF('[1]DATOS PBI Artículos'!A:A,A478,'[1]DATOS PBI Artículos'!X:X)-_xlfn.XLOOKUP(A478,'[1]DATOS PBI Artículos'!A:A,'[1]DATOS PBI Artículos'!W:W))/IF($O478="",$N478,$O478))),0))))</f>
        <v>#N/A</v>
      </c>
      <c r="R478" s="33" t="e">
        <f>IF(U478&lt;&gt;"",U478,IF(F478="DV","MTO",IF(N478=0,"MTO",_xlfn.XLOOKUP(CONCATENATE(S478,T478),[1]CRITERIOS!$K$160:$K$168,[1]CRITERIOS!$N$160:$N$168))))</f>
        <v>#N/A</v>
      </c>
      <c r="S478" s="33" t="e">
        <f>IF(G478="DV","MTO",IF(N478=0,"MTO",IF(OR(AND(N478=0,O478=""),IF(O478="",G478/N478,G478/O478)&gt;[1]CRITERIOS!$G$163),"MTO",IF(IF(O478="",G478/N478,G478/O478)&lt;[1]CRITERIOS!$H$161,"MTS","MTOS"))))</f>
        <v>#N/A</v>
      </c>
      <c r="T478" s="33" t="e">
        <f>IF(F478="DV","MTO",IF(OR(AND($N478=0,O478=""),$F478/$J478&gt;[1]CRITERIOS!$G$170,$F478="DV"),"MTO",IF($F478/$J478&lt;[1]CRITERIOS!$H$168,"MTS","MTOS")))</f>
        <v>#N/A</v>
      </c>
      <c r="V478" s="34" t="e">
        <f t="shared" si="25"/>
        <v>#N/A</v>
      </c>
      <c r="X478" s="34" t="e">
        <f t="shared" si="23"/>
        <v>#N/A</v>
      </c>
      <c r="Y478" s="34" t="e">
        <f t="shared" si="24"/>
        <v>#N/A</v>
      </c>
      <c r="Z478" s="34" t="e">
        <f>IF($R478="MTO",
0,
($H478+$K478*($E478/[1]CRITERIOS!$M$16))/[1]CRITERIOS!$X$48)</f>
        <v>#N/A</v>
      </c>
      <c r="AA478" s="34" t="e">
        <f>ROUNDUP(($Y478/_xlfn.XLOOKUP($A478,'[1]DATOS PBI Artículos'!$A$4:$A$4,'[1]DATOS PBI Artículos'!$Z$4:$Z$4))/_xlfn.XLOOKUP(_xlfn.XLOOKUP($A478,'[1]DATOS PBI Artículos'!$A$4:$A$4,'[1]DATOS PBI Artículos'!$Y$4:$Y$4),[1]CRITERIOS!$P$79:$P$123,[1]CRITERIOS!$S$79:$S$123,),0)</f>
        <v>#N/A</v>
      </c>
      <c r="AB478" s="33" t="e">
        <f t="array" ref="AB478">IF((E478+V478-_xlfn.XLOOKUP(A478,'[1]DATOS PBI Artículos'!$A$4:$A$4,'[1]DATOS PBI Artículos'!$W$4:$W$4))/N478&gt;ROUNDUP([1]CRITERIOS!$M$16/(IF(COUNTIF([1]CRITERIOS!$BG$11:$BG$201,L478)&gt;=1,_xlfn.XLOOKUP(ARTÍCULOS!L478,[1]CRITERIOS!$BG$11:$BG$201,[1]CRITERIOS!$BJ$11:$BJ$201),_xlfn.XLOOKUP(ARTÍCULOS!C478,[1]CRITERIOS!$K$25:$K$42,[1]CRITERIOS!$M$25:$M$42))),0),ROUNDUP([1]CRITERIOS!$M$16/(IF(COUNTIF([1]CRITERIOS!$BG$11:$BG$201,L478)&gt;=1,_xlfn.XLOOKUP(ARTÍCULOS!L478,[1]CRITERIOS!$BG$11:$BG$201:#REF!,[1]CRITERIOS!$BJ$11:$BJ$201),_xlfn.XLOOKUP(ARTÍCULOS!C478,[1]CRITERIOS!$K$25:$K$42,[1]CRITERIOS!$M$25:$M$42))),0),(E478+V478-_xlfn.XLOOKUP(A478,'[1]DATOS PBI Artículos'!$A$4:$A$4,'[1]DATOS PBI Artículos'!$W$4:$W$4))/N478)</f>
        <v>#N/A</v>
      </c>
      <c r="AC478" s="33" t="e">
        <f>IF(N478=0,"",(ROUNDUP((N478/2)/(_xlfn.XLOOKUP(A478,'[1]DATOS PBI Artículos'!$A$4:$A$4,'[1]DATOS PBI Artículos'!$Z$4:$Z$4)*_xlfn.XLOOKUP(_xlfn.XLOOKUP(A478,'[1]DATOS PBI Artículos'!$A$4:$A$4,'[1]DATOS PBI Artículos'!$Y$4:$Y$4),[1]CRITERIOS!$P$79:$P$123,[1]CRITERIOS!$S$79:$S$123)),0)*[1]CRITERIOS!$M$80*([1]CRITERIOS!$M$110/[1]CRITERIOS!$M$86)+(_xlfn.XLOOKUP(A478,'[1]DATOS PBI Artículos'!$A$4:$A$4,'[1]DATOS PBI Artículos'!$AA$4:$AA$4)*([1]CRITERIOS!$M$95+[1]CRITERIOS!$M$98)))/N478)</f>
        <v>#N/A</v>
      </c>
      <c r="AD478" s="33" t="e">
        <f>IF(N478=0,"",(ROUNDUP((N478/2)/(_xlfn.XLOOKUP(A478,'[1]DATOS PBI Artículos'!$A$4:$A$4,'[1]DATOS PBI Artículos'!$Z$4:$Z$4)*_xlfn.XLOOKUP(_xlfn.XLOOKUP(A478,'[1]DATOS PBI Artículos'!$A$4:$A$4,'[1]DATOS PBI Artículos'!$Y$4:$Y$4),[1]CRITERIOS!$P$79:$P$123,[1]CRITERIOS!$S$79:$S$123)),0)*[1]CRITERIOS!$M$80*([1]CRITERIOS!$M$89*[1]CRITERIOS!$M$92)+((_xlfn.XLOOKUP(A478,'[1]DATOS PBI Artículos'!$A$4:$A$4,'[1]DATOS PBI Artículos'!$AA$4:$AA$4)/2)*([1]CRITERIOS!$M$95+[1]CRITERIOS!$M$98)))/N478)</f>
        <v>#N/A</v>
      </c>
      <c r="AE478" s="39" t="e">
        <f>IF($R478="MTO","",
IF($H478=0,ROUNDUP(((_xlfn.XLOOKUP($A478,'[1]DATOS PBI Artículos'!$A:$A,'[1]DATOS PBI Artículos'!$AL:$AL))/(_xlfn.XLOOKUP($AF$1,[1]CRITERIOS!$S$16:$S$39,[1]CRITERIOS!$Y$16:$Y$39))*$J478+$Z478)/$G478,0)*$G478,
((_xlfn.XLOOKUP($A478,'[1]DATOS PBI Artículos'!$A:$A,'[1]DATOS PBI Artículos'!$AL:$AL))/(_xlfn.XLOOKUP($AF$1,[1]CRITERIOS!$S$16:$S$39,[1]CRITERIOS!$Y$16:$Y$39))*$J478+$Z478)))</f>
        <v>#N/A</v>
      </c>
      <c r="AG478" s="39" t="e">
        <f>IF($R478="MTO","",
IF($H478=0,ROUNDUP(((_xlfn.XLOOKUP($A478,'[1]DATOS PBI Artículos'!$A:$A,'[1]DATOS PBI Artículos'!$AM:$AM))/(_xlfn.XLOOKUP($AH$1,[1]CRITERIOS!$S$16:$S$39,[1]CRITERIOS!$Y$16:$Y$39))*$J478+$Z478)/$G478,0)*$G478,
((_xlfn.XLOOKUP($A478,'[1]DATOS PBI Artículos'!$A:$A,'[1]DATOS PBI Artículos'!$AM:$AM))/(_xlfn.XLOOKUP($AH$1,[1]CRITERIOS!$S$16:$S$39,[1]CRITERIOS!$Y$16:$Y$39))*$J478+$Z478)))</f>
        <v>#N/A</v>
      </c>
      <c r="AI478" s="39" t="e">
        <f>IF($R478="MTO","",
IF($H478=0,ROUNDUP(((_xlfn.XLOOKUP($A478,'[1]DATOS PBI Artículos'!$A:$A,'[1]DATOS PBI Artículos'!$AN:$AN))/(_xlfn.XLOOKUP($AJ$1,[1]CRITERIOS!$S$16:$S$39,[1]CRITERIOS!$Y$16:$Y$39))*$J478+$Z478)/$G478,0)*$G478,
((_xlfn.XLOOKUP($A478,'[1]DATOS PBI Artículos'!$A:$A,'[1]DATOS PBI Artículos'!$AN:$AN))/(_xlfn.XLOOKUP($AJ$1,[1]CRITERIOS!$S$16:$S$39,[1]CRITERIOS!$Y$16:$Y$39))*$J478+$Z478)))</f>
        <v>#N/A</v>
      </c>
      <c r="AK478" s="39" t="e">
        <f>IF($R478="MTO","",
IF($H478=0,ROUNDUP(((_xlfn.XLOOKUP($A478,'[1]DATOS PBI Artículos'!$A:$A,'[1]DATOS PBI Artículos'!$AO:$AO))/(_xlfn.XLOOKUP($AL$1,[1]CRITERIOS!$S$16:$S$39,[1]CRITERIOS!$Y$16:$Y$39))*$J478+$Z478)/$G478,0)*$G478,
((_xlfn.XLOOKUP($A478,'[1]DATOS PBI Artículos'!$A:$A,'[1]DATOS PBI Artículos'!$AO:$AO))/(_xlfn.XLOOKUP($AL$1,[1]CRITERIOS!$S$16:$S$39,[1]CRITERIOS!$Y$16:$Y$39))*$J478+$Z478)))</f>
        <v>#N/A</v>
      </c>
    </row>
    <row r="479" spans="1:37" ht="25.8" hidden="1" x14ac:dyDescent="0.4">
      <c r="A479" s="41"/>
      <c r="B479" s="33">
        <f>_xlfn.XLOOKUP($A479,'[1]DATOS PBI Artículos'!A:A,'[1]DATOS PBI Artículos'!B:B)</f>
        <v>0</v>
      </c>
      <c r="C479" s="33">
        <f>_xlfn.XLOOKUP($A479,'[1]DATOS PBI Artículos'!A:A,'[1]DATOS PBI Artículos'!C:C)</f>
        <v>0</v>
      </c>
      <c r="D479" s="33">
        <f>_xlfn.XLOOKUP(A479,'[1]DATOS PBI Artículos'!A:A,'[1]DATOS PBI Artículos'!T:T)</f>
        <v>0</v>
      </c>
      <c r="E479" s="34">
        <f>IF(_xlfn.XLOOKUP($A479,'[1]DATOS PBI Artículos'!A:A,'[1]DATOS PBI Artículos'!AK:AK)="",_xlfn.XLOOKUP($A479,'[1]DATOS PBI Artículos'!A:A,'[1]DATOS PBI Artículos'!AJ:AJ),_xlfn.XLOOKUP($A479,'[1]DATOS PBI Artículos'!A:A,'[1]DATOS PBI Artículos'!AK:AK))</f>
        <v>0</v>
      </c>
      <c r="F479" s="35">
        <f>_xlfn.XLOOKUP($A479,'[1]DATOS PBI Artículos'!A:A,'[1]DATOS PBI Artículos'!AP:AP)</f>
        <v>0</v>
      </c>
      <c r="G479" s="34">
        <f>_xlfn.XLOOKUP($A479,'[1]DATOS PBI Artículos'!A:A,'[1]DATOS PBI Artículos'!AR:AR)</f>
        <v>0</v>
      </c>
      <c r="H479" s="34">
        <f>_xlfn.XLOOKUP($A479,'[1]DATOS PBI Artículos'!A:A,'[1]DATOS PBI Artículos'!AT:AT)</f>
        <v>0</v>
      </c>
      <c r="I479" s="34">
        <f>_xlfn.XLOOKUP($A479,'[1]DATOS PBI Artículos'!A:A,'[1]DATOS PBI Artículos'!AS:AS)</f>
        <v>0</v>
      </c>
      <c r="J479" s="35">
        <f>IF(COUNTIF([1]CRITERIOS!$F$179:$F$199,$A479)&gt;=1,
 IF(O479&lt;&gt;"",
    (O479/_xlfn.XLOOKUP(CONCATENATE(A479,L479),[1]MÁQUINAS!A:A,[1]MÁQUINAS!D:D))/24,
    (N479/_xlfn.XLOOKUP(CONCATENATE(A479,L479),[1]MÁQUINAS!A:A,[1]MÁQUINAS!D:D))/24),
  _xlfn.XLOOKUP($A479,'[1]DATOS PBI Artículos'!A:A,'[1]DATOS PBI Artículos'!AU:AU))</f>
        <v>0</v>
      </c>
      <c r="K479" s="36">
        <f>_xlfn.XLOOKUP($A479,'[1]DATOS PBI Artículos'!A:A,'[1]DATOS PBI Artículos'!AV:AV)</f>
        <v>0</v>
      </c>
      <c r="L479" s="33">
        <f>_xlfn.XLOOKUP(A479,[1]MÁQUINAS!B:B,[1]MÁQUINAS!C:C)</f>
        <v>0</v>
      </c>
      <c r="M479" s="34">
        <f t="array" ref="M479">_xlfn.XLOOKUP(A479,'[1]DATOS PBI Artículos'!A:A,'[1]DATOS PBI Artículos'!AX:$AX)</f>
        <v>0</v>
      </c>
      <c r="N479" s="37" t="e">
        <f>IF(I479="DV",
E479,
IF(COUNTIF([1]CRITERIOS!$I$179:$I$199,$A479)&gt;=1,
_xlfn.XLOOKUP($A479,[1]CRITERIOS!$I$179:$I$199,[1]CRITERIOS!$J$179:$J$199),
IF(COUNTIF([1]CRITERIOS!$L$179:$L$199,$A479)&gt;=1,
_xlfn.CEILING.MATH(IF($M479&gt;$E479,
$E479,
IF($M479&lt;$E479/ROUNDDOWN([1]CRITERIOS!$M$16/_xlfn.XLOOKUP($C479,[1]CRITERIOS!$K$25:$K$42,[1]CRITERIOS!$M$25:$M$42),
1),
E479/ROUNDDOWN([1]CRITERIOS!$M$16/_xlfn.XLOOKUP($C479,[1]CRITERIOS!$K$25:$K$42,[1]CRITERIOS!$M$25:$M$42),
1),
$M479)),
_xlfn.XLOOKUP($A479,[1]CRITERIOS!$L$179:$L$200,[1]CRITERIOS!$M$179:$M$200)),
_xlfn.CEILING.MATH(IF($M479&gt;$E479,
$E479,
IF($M479&lt;$E479/ROUNDDOWN([1]CRITERIOS!$M$16/_xlfn.XLOOKUP($C479,[1]CRITERIOS!$K$25:$K$42,[1]CRITERIOS!$M$25:$M$42),
1),
E479/ROUNDDOWN([1]CRITERIOS!$M$16/_xlfn.XLOOKUP($C479,[1]CRITERIOS!$K$25:$K$42,[1]CRITERIOS!$M$25:$M$42),
1),
$M479)),_xlfn.XLOOKUP(A479,'[1]DATOS PBI Artículos'!A:A,'[1]DATOS PBI Artículos'!Z:Z
)))))</f>
        <v>#N/A</v>
      </c>
      <c r="Q479" s="38" t="e">
        <f>IF(AND(O479="",N479=0),
0,
   IF(COUNTIF([1]CRITERIOS!$F$179:$F$199,$A479)&gt;=1,
   1,
   IF(R479="MTO",
      $D479,
      ROUNDUP(
                    IF(($E479-SUMIF('[1]DATOS PBI Artículos'!A:A,A479,'[1]DATOS PBI Artículos'!X:X)+($V479-_xlfn.XLOOKUP(A479,'[1]DATOS PBI Artículos'!A:A,'[1]DATOS PBI Artículos'!W:W)))&lt;0,
                    0,
                    IF(($E479-SUMIF('[1]DATOS PBI Artículos'!A:A,A479,'[1]DATOS PBI Artículos'!X:X)+$V479-_xlfn.XLOOKUP($A479,'[1]DATOS PBI Artículos'!A:A,'[1]DATOS PBI Artículos'!W:W))/IF($O479="",$N479,$O479)&gt;ROUNDUP([1]CRITERIOS!$M$16/(IF(COUNTIF([1]CRITERIOS!$BG$11:$BG$201,L479)&gt;=1,_xlfn.XLOOKUP($C479,[1]CRITERIOS!$K$25:$K$42,[1]CRITERIOS!$M$25:$M$42),_xlfn.XLOOKUP($C479,[1]CRITERIOS!$K$25:$K$42,[1]CRITERIOS!$M$25:$M$42))),0),
                    ROUNDUP([1]CRITERIOS!$M$16/(IF(COUNTIF([1]CRITERIOS!$BG$11:$BG$201,$L479)&gt;=1,_xlfn.XLOOKUP($C479,[1]CRITERIOS!$K$25:$K$42,[1]CRITERIOS!$M$25:$M$42),_xlfn.XLOOKUP($C479,[1]CRITERIOS!$K$25:$K$42,[1]CRITERIOS!$M$25:$M$42))),0),
                    (E479+V479-SUMIF('[1]DATOS PBI Artículos'!A:A,A479,'[1]DATOS PBI Artículos'!X:X)-_xlfn.XLOOKUP(A479,'[1]DATOS PBI Artículos'!A:A,'[1]DATOS PBI Artículos'!W:W))/IF($O479="",$N479,$O479))),0))))</f>
        <v>#N/A</v>
      </c>
      <c r="R479" s="33" t="e">
        <f>IF(U479&lt;&gt;"",U479,IF(F479="DV","MTO",IF(N479=0,"MTO",_xlfn.XLOOKUP(CONCATENATE(S479,T479),[1]CRITERIOS!$K$160:$K$168,[1]CRITERIOS!$N$160:$N$168))))</f>
        <v>#N/A</v>
      </c>
      <c r="S479" s="33" t="e">
        <f>IF(G479="DV","MTO",IF(N479=0,"MTO",IF(OR(AND(N479=0,O479=""),IF(O479="",G479/N479,G479/O479)&gt;[1]CRITERIOS!$G$163),"MTO",IF(IF(O479="",G479/N479,G479/O479)&lt;[1]CRITERIOS!$H$161,"MTS","MTOS"))))</f>
        <v>#N/A</v>
      </c>
      <c r="T479" s="33" t="e">
        <f>IF(F479="DV","MTO",IF(OR(AND($N479=0,O479=""),$F479/$J479&gt;[1]CRITERIOS!$G$170,$F479="DV"),"MTO",IF($F479/$J479&lt;[1]CRITERIOS!$H$168,"MTS","MTOS")))</f>
        <v>#N/A</v>
      </c>
      <c r="V479" s="34" t="e">
        <f t="shared" si="25"/>
        <v>#N/A</v>
      </c>
      <c r="X479" s="34" t="e">
        <f t="shared" si="23"/>
        <v>#N/A</v>
      </c>
      <c r="Y479" s="34" t="e">
        <f t="shared" si="24"/>
        <v>#N/A</v>
      </c>
      <c r="Z479" s="34" t="e">
        <f>IF($R479="MTO",
0,
($H479+$K479*($E479/[1]CRITERIOS!$M$16))/[1]CRITERIOS!$X$48)</f>
        <v>#N/A</v>
      </c>
      <c r="AA479" s="34" t="e">
        <f>ROUNDUP(($Y479/_xlfn.XLOOKUP($A479,'[1]DATOS PBI Artículos'!$A$4:$A$4,'[1]DATOS PBI Artículos'!$Z$4:$Z$4))/_xlfn.XLOOKUP(_xlfn.XLOOKUP($A479,'[1]DATOS PBI Artículos'!$A$4:$A$4,'[1]DATOS PBI Artículos'!$Y$4:$Y$4),[1]CRITERIOS!$P$79:$P$123,[1]CRITERIOS!$S$79:$S$123,),0)</f>
        <v>#N/A</v>
      </c>
      <c r="AB479" s="33" t="e">
        <f t="array" ref="AB479">IF((E479+V479-_xlfn.XLOOKUP(A479,'[1]DATOS PBI Artículos'!$A$4:$A$4,'[1]DATOS PBI Artículos'!$W$4:$W$4))/N479&gt;ROUNDUP([1]CRITERIOS!$M$16/(IF(COUNTIF([1]CRITERIOS!$BG$11:$BG$201,L479)&gt;=1,_xlfn.XLOOKUP(ARTÍCULOS!L479,[1]CRITERIOS!$BG$11:$BG$201,[1]CRITERIOS!$BJ$11:$BJ$201),_xlfn.XLOOKUP(ARTÍCULOS!C479,[1]CRITERIOS!$K$25:$K$42,[1]CRITERIOS!$M$25:$M$42))),0),ROUNDUP([1]CRITERIOS!$M$16/(IF(COUNTIF([1]CRITERIOS!$BG$11:$BG$201,L479)&gt;=1,_xlfn.XLOOKUP(ARTÍCULOS!L479,[1]CRITERIOS!$BG$11:$BG$201:#REF!,[1]CRITERIOS!$BJ$11:$BJ$201),_xlfn.XLOOKUP(ARTÍCULOS!C479,[1]CRITERIOS!$K$25:$K$42,[1]CRITERIOS!$M$25:$M$42))),0),(E479+V479-_xlfn.XLOOKUP(A479,'[1]DATOS PBI Artículos'!$A$4:$A$4,'[1]DATOS PBI Artículos'!$W$4:$W$4))/N479)</f>
        <v>#N/A</v>
      </c>
      <c r="AC479" s="33" t="e">
        <f>IF(N479=0,"",(ROUNDUP((N479/2)/(_xlfn.XLOOKUP(A479,'[1]DATOS PBI Artículos'!$A$4:$A$4,'[1]DATOS PBI Artículos'!$Z$4:$Z$4)*_xlfn.XLOOKUP(_xlfn.XLOOKUP(A479,'[1]DATOS PBI Artículos'!$A$4:$A$4,'[1]DATOS PBI Artículos'!$Y$4:$Y$4),[1]CRITERIOS!$P$79:$P$123,[1]CRITERIOS!$S$79:$S$123)),0)*[1]CRITERIOS!$M$80*([1]CRITERIOS!$M$110/[1]CRITERIOS!$M$86)+(_xlfn.XLOOKUP(A479,'[1]DATOS PBI Artículos'!$A$4:$A$4,'[1]DATOS PBI Artículos'!$AA$4:$AA$4)*([1]CRITERIOS!$M$95+[1]CRITERIOS!$M$98)))/N479)</f>
        <v>#N/A</v>
      </c>
      <c r="AD479" s="33" t="e">
        <f>IF(N479=0,"",(ROUNDUP((N479/2)/(_xlfn.XLOOKUP(A479,'[1]DATOS PBI Artículos'!$A$4:$A$4,'[1]DATOS PBI Artículos'!$Z$4:$Z$4)*_xlfn.XLOOKUP(_xlfn.XLOOKUP(A479,'[1]DATOS PBI Artículos'!$A$4:$A$4,'[1]DATOS PBI Artículos'!$Y$4:$Y$4),[1]CRITERIOS!$P$79:$P$123,[1]CRITERIOS!$S$79:$S$123)),0)*[1]CRITERIOS!$M$80*([1]CRITERIOS!$M$89*[1]CRITERIOS!$M$92)+((_xlfn.XLOOKUP(A479,'[1]DATOS PBI Artículos'!$A$4:$A$4,'[1]DATOS PBI Artículos'!$AA$4:$AA$4)/2)*([1]CRITERIOS!$M$95+[1]CRITERIOS!$M$98)))/N479)</f>
        <v>#N/A</v>
      </c>
      <c r="AE479" s="39" t="e">
        <f>IF($R479="MTO","",
IF($H479=0,ROUNDUP(((_xlfn.XLOOKUP($A479,'[1]DATOS PBI Artículos'!$A:$A,'[1]DATOS PBI Artículos'!$AL:$AL))/(_xlfn.XLOOKUP($AF$1,[1]CRITERIOS!$S$16:$S$39,[1]CRITERIOS!$Y$16:$Y$39))*$J479+$Z479)/$G479,0)*$G479,
((_xlfn.XLOOKUP($A479,'[1]DATOS PBI Artículos'!$A:$A,'[1]DATOS PBI Artículos'!$AL:$AL))/(_xlfn.XLOOKUP($AF$1,[1]CRITERIOS!$S$16:$S$39,[1]CRITERIOS!$Y$16:$Y$39))*$J479+$Z479)))</f>
        <v>#N/A</v>
      </c>
      <c r="AG479" s="39" t="e">
        <f>IF($R479="MTO","",
IF($H479=0,ROUNDUP(((_xlfn.XLOOKUP($A479,'[1]DATOS PBI Artículos'!$A:$A,'[1]DATOS PBI Artículos'!$AM:$AM))/(_xlfn.XLOOKUP($AH$1,[1]CRITERIOS!$S$16:$S$39,[1]CRITERIOS!$Y$16:$Y$39))*$J479+$Z479)/$G479,0)*$G479,
((_xlfn.XLOOKUP($A479,'[1]DATOS PBI Artículos'!$A:$A,'[1]DATOS PBI Artículos'!$AM:$AM))/(_xlfn.XLOOKUP($AH$1,[1]CRITERIOS!$S$16:$S$39,[1]CRITERIOS!$Y$16:$Y$39))*$J479+$Z479)))</f>
        <v>#N/A</v>
      </c>
      <c r="AI479" s="39" t="e">
        <f>IF($R479="MTO","",
IF($H479=0,ROUNDUP(((_xlfn.XLOOKUP($A479,'[1]DATOS PBI Artículos'!$A:$A,'[1]DATOS PBI Artículos'!$AN:$AN))/(_xlfn.XLOOKUP($AJ$1,[1]CRITERIOS!$S$16:$S$39,[1]CRITERIOS!$Y$16:$Y$39))*$J479+$Z479)/$G479,0)*$G479,
((_xlfn.XLOOKUP($A479,'[1]DATOS PBI Artículos'!$A:$A,'[1]DATOS PBI Artículos'!$AN:$AN))/(_xlfn.XLOOKUP($AJ$1,[1]CRITERIOS!$S$16:$S$39,[1]CRITERIOS!$Y$16:$Y$39))*$J479+$Z479)))</f>
        <v>#N/A</v>
      </c>
      <c r="AK479" s="39" t="e">
        <f>IF($R479="MTO","",
IF($H479=0,ROUNDUP(((_xlfn.XLOOKUP($A479,'[1]DATOS PBI Artículos'!$A:$A,'[1]DATOS PBI Artículos'!$AO:$AO))/(_xlfn.XLOOKUP($AL$1,[1]CRITERIOS!$S$16:$S$39,[1]CRITERIOS!$Y$16:$Y$39))*$J479+$Z479)/$G479,0)*$G479,
((_xlfn.XLOOKUP($A479,'[1]DATOS PBI Artículos'!$A:$A,'[1]DATOS PBI Artículos'!$AO:$AO))/(_xlfn.XLOOKUP($AL$1,[1]CRITERIOS!$S$16:$S$39,[1]CRITERIOS!$Y$16:$Y$39))*$J479+$Z479)))</f>
        <v>#N/A</v>
      </c>
    </row>
    <row r="480" spans="1:37" ht="25.8" hidden="1" x14ac:dyDescent="0.4">
      <c r="A480" s="41"/>
      <c r="B480" s="33">
        <f>_xlfn.XLOOKUP($A480,'[1]DATOS PBI Artículos'!A:A,'[1]DATOS PBI Artículos'!B:B)</f>
        <v>0</v>
      </c>
      <c r="C480" s="33">
        <f>_xlfn.XLOOKUP($A480,'[1]DATOS PBI Artículos'!A:A,'[1]DATOS PBI Artículos'!C:C)</f>
        <v>0</v>
      </c>
      <c r="D480" s="33">
        <f>_xlfn.XLOOKUP(A480,'[1]DATOS PBI Artículos'!A:A,'[1]DATOS PBI Artículos'!T:T)</f>
        <v>0</v>
      </c>
      <c r="E480" s="34">
        <f>IF(_xlfn.XLOOKUP($A480,'[1]DATOS PBI Artículos'!A:A,'[1]DATOS PBI Artículos'!AK:AK)="",_xlfn.XLOOKUP($A480,'[1]DATOS PBI Artículos'!A:A,'[1]DATOS PBI Artículos'!AJ:AJ),_xlfn.XLOOKUP($A480,'[1]DATOS PBI Artículos'!A:A,'[1]DATOS PBI Artículos'!AK:AK))</f>
        <v>0</v>
      </c>
      <c r="F480" s="35">
        <f>_xlfn.XLOOKUP($A480,'[1]DATOS PBI Artículos'!A:A,'[1]DATOS PBI Artículos'!AP:AP)</f>
        <v>0</v>
      </c>
      <c r="G480" s="34">
        <f>_xlfn.XLOOKUP($A480,'[1]DATOS PBI Artículos'!A:A,'[1]DATOS PBI Artículos'!AR:AR)</f>
        <v>0</v>
      </c>
      <c r="H480" s="34">
        <f>_xlfn.XLOOKUP($A480,'[1]DATOS PBI Artículos'!A:A,'[1]DATOS PBI Artículos'!AT:AT)</f>
        <v>0</v>
      </c>
      <c r="I480" s="34">
        <f>_xlfn.XLOOKUP($A480,'[1]DATOS PBI Artículos'!A:A,'[1]DATOS PBI Artículos'!AS:AS)</f>
        <v>0</v>
      </c>
      <c r="J480" s="35">
        <f>IF(COUNTIF([1]CRITERIOS!$F$179:$F$199,$A480)&gt;=1,
 IF(O480&lt;&gt;"",
    (O480/_xlfn.XLOOKUP(CONCATENATE(A480,L480),[1]MÁQUINAS!A:A,[1]MÁQUINAS!D:D))/24,
    (N480/_xlfn.XLOOKUP(CONCATENATE(A480,L480),[1]MÁQUINAS!A:A,[1]MÁQUINAS!D:D))/24),
  _xlfn.XLOOKUP($A480,'[1]DATOS PBI Artículos'!A:A,'[1]DATOS PBI Artículos'!AU:AU))</f>
        <v>0</v>
      </c>
      <c r="K480" s="36">
        <f>_xlfn.XLOOKUP($A480,'[1]DATOS PBI Artículos'!A:A,'[1]DATOS PBI Artículos'!AV:AV)</f>
        <v>0</v>
      </c>
      <c r="L480" s="33">
        <f>_xlfn.XLOOKUP(A480,[1]MÁQUINAS!B:B,[1]MÁQUINAS!C:C)</f>
        <v>0</v>
      </c>
      <c r="M480" s="34">
        <f t="array" ref="M480">_xlfn.XLOOKUP(A480,'[1]DATOS PBI Artículos'!A:A,'[1]DATOS PBI Artículos'!AX:$AX)</f>
        <v>0</v>
      </c>
      <c r="N480" s="37" t="e">
        <f>IF(I480="DV",
E480,
IF(COUNTIF([1]CRITERIOS!$I$179:$I$199,$A480)&gt;=1,
_xlfn.XLOOKUP($A480,[1]CRITERIOS!$I$179:$I$199,[1]CRITERIOS!$J$179:$J$199),
IF(COUNTIF([1]CRITERIOS!$L$179:$L$199,$A480)&gt;=1,
_xlfn.CEILING.MATH(IF($M480&gt;$E480,
$E480,
IF($M480&lt;$E480/ROUNDDOWN([1]CRITERIOS!$M$16/_xlfn.XLOOKUP($C480,[1]CRITERIOS!$K$25:$K$42,[1]CRITERIOS!$M$25:$M$42),
1),
E480/ROUNDDOWN([1]CRITERIOS!$M$16/_xlfn.XLOOKUP($C480,[1]CRITERIOS!$K$25:$K$42,[1]CRITERIOS!$M$25:$M$42),
1),
$M480)),
_xlfn.XLOOKUP($A480,[1]CRITERIOS!$L$179:$L$200,[1]CRITERIOS!$M$179:$M$200)),
_xlfn.CEILING.MATH(IF($M480&gt;$E480,
$E480,
IF($M480&lt;$E480/ROUNDDOWN([1]CRITERIOS!$M$16/_xlfn.XLOOKUP($C480,[1]CRITERIOS!$K$25:$K$42,[1]CRITERIOS!$M$25:$M$42),
1),
E480/ROUNDDOWN([1]CRITERIOS!$M$16/_xlfn.XLOOKUP($C480,[1]CRITERIOS!$K$25:$K$42,[1]CRITERIOS!$M$25:$M$42),
1),
$M480)),_xlfn.XLOOKUP(A480,'[1]DATOS PBI Artículos'!A:A,'[1]DATOS PBI Artículos'!Z:Z
)))))</f>
        <v>#N/A</v>
      </c>
      <c r="Q480" s="38" t="e">
        <f>IF(AND(O480="",N480=0),
0,
   IF(COUNTIF([1]CRITERIOS!$F$179:$F$199,$A480)&gt;=1,
   1,
   IF(R480="MTO",
      $D480,
      ROUNDUP(
                    IF(($E480-SUMIF('[1]DATOS PBI Artículos'!A:A,A480,'[1]DATOS PBI Artículos'!X:X)+($V480-_xlfn.XLOOKUP(A480,'[1]DATOS PBI Artículos'!A:A,'[1]DATOS PBI Artículos'!W:W)))&lt;0,
                    0,
                    IF(($E480-SUMIF('[1]DATOS PBI Artículos'!A:A,A480,'[1]DATOS PBI Artículos'!X:X)+$V480-_xlfn.XLOOKUP($A480,'[1]DATOS PBI Artículos'!A:A,'[1]DATOS PBI Artículos'!W:W))/IF($O480="",$N480,$O480)&gt;ROUNDUP([1]CRITERIOS!$M$16/(IF(COUNTIF([1]CRITERIOS!$BG$11:$BG$201,L480)&gt;=1,_xlfn.XLOOKUP($C480,[1]CRITERIOS!$K$25:$K$42,[1]CRITERIOS!$M$25:$M$42),_xlfn.XLOOKUP($C480,[1]CRITERIOS!$K$25:$K$42,[1]CRITERIOS!$M$25:$M$42))),0),
                    ROUNDUP([1]CRITERIOS!$M$16/(IF(COUNTIF([1]CRITERIOS!$BG$11:$BG$201,$L480)&gt;=1,_xlfn.XLOOKUP($C480,[1]CRITERIOS!$K$25:$K$42,[1]CRITERIOS!$M$25:$M$42),_xlfn.XLOOKUP($C480,[1]CRITERIOS!$K$25:$K$42,[1]CRITERIOS!$M$25:$M$42))),0),
                    (E480+V480-SUMIF('[1]DATOS PBI Artículos'!A:A,A480,'[1]DATOS PBI Artículos'!X:X)-_xlfn.XLOOKUP(A480,'[1]DATOS PBI Artículos'!A:A,'[1]DATOS PBI Artículos'!W:W))/IF($O480="",$N480,$O480))),0))))</f>
        <v>#N/A</v>
      </c>
      <c r="R480" s="33" t="e">
        <f>IF(U480&lt;&gt;"",U480,IF(F480="DV","MTO",IF(N480=0,"MTO",_xlfn.XLOOKUP(CONCATENATE(S480,T480),[1]CRITERIOS!$K$160:$K$168,[1]CRITERIOS!$N$160:$N$168))))</f>
        <v>#N/A</v>
      </c>
      <c r="S480" s="33" t="e">
        <f>IF(G480="DV","MTO",IF(N480=0,"MTO",IF(OR(AND(N480=0,O480=""),IF(O480="",G480/N480,G480/O480)&gt;[1]CRITERIOS!$G$163),"MTO",IF(IF(O480="",G480/N480,G480/O480)&lt;[1]CRITERIOS!$H$161,"MTS","MTOS"))))</f>
        <v>#N/A</v>
      </c>
      <c r="T480" s="33" t="e">
        <f>IF(F480="DV","MTO",IF(OR(AND($N480=0,O480=""),$F480/$J480&gt;[1]CRITERIOS!$G$170,$F480="DV"),"MTO",IF($F480/$J480&lt;[1]CRITERIOS!$H$168,"MTS","MTOS")))</f>
        <v>#N/A</v>
      </c>
      <c r="V480" s="34" t="e">
        <f t="shared" si="25"/>
        <v>#N/A</v>
      </c>
      <c r="X480" s="34" t="e">
        <f t="shared" si="23"/>
        <v>#N/A</v>
      </c>
      <c r="Y480" s="34" t="e">
        <f t="shared" si="24"/>
        <v>#N/A</v>
      </c>
      <c r="Z480" s="34" t="e">
        <f>IF($R480="MTO",
0,
($H480+$K480*($E480/[1]CRITERIOS!$M$16))/[1]CRITERIOS!$X$48)</f>
        <v>#N/A</v>
      </c>
      <c r="AA480" s="34" t="e">
        <f>ROUNDUP(($Y480/_xlfn.XLOOKUP($A480,'[1]DATOS PBI Artículos'!$A$4:$A$4,'[1]DATOS PBI Artículos'!$Z$4:$Z$4))/_xlfn.XLOOKUP(_xlfn.XLOOKUP($A480,'[1]DATOS PBI Artículos'!$A$4:$A$4,'[1]DATOS PBI Artículos'!$Y$4:$Y$4),[1]CRITERIOS!$P$79:$P$123,[1]CRITERIOS!$S$79:$S$123,),0)</f>
        <v>#N/A</v>
      </c>
      <c r="AB480" s="33" t="e">
        <f t="array" ref="AB480">IF((E480+V480-_xlfn.XLOOKUP(A480,'[1]DATOS PBI Artículos'!$A$4:$A$4,'[1]DATOS PBI Artículos'!$W$4:$W$4))/N480&gt;ROUNDUP([1]CRITERIOS!$M$16/(IF(COUNTIF([1]CRITERIOS!$BG$11:$BG$201,L480)&gt;=1,_xlfn.XLOOKUP(ARTÍCULOS!L480,[1]CRITERIOS!$BG$11:$BG$201,[1]CRITERIOS!$BJ$11:$BJ$201),_xlfn.XLOOKUP(ARTÍCULOS!C480,[1]CRITERIOS!$K$25:$K$42,[1]CRITERIOS!$M$25:$M$42))),0),ROUNDUP([1]CRITERIOS!$M$16/(IF(COUNTIF([1]CRITERIOS!$BG$11:$BG$201,L480)&gt;=1,_xlfn.XLOOKUP(ARTÍCULOS!L480,[1]CRITERIOS!$BG$11:$BG$201:#REF!,[1]CRITERIOS!$BJ$11:$BJ$201),_xlfn.XLOOKUP(ARTÍCULOS!C480,[1]CRITERIOS!$K$25:$K$42,[1]CRITERIOS!$M$25:$M$42))),0),(E480+V480-_xlfn.XLOOKUP(A480,'[1]DATOS PBI Artículos'!$A$4:$A$4,'[1]DATOS PBI Artículos'!$W$4:$W$4))/N480)</f>
        <v>#N/A</v>
      </c>
      <c r="AC480" s="33" t="e">
        <f>IF(N480=0,"",(ROUNDUP((N480/2)/(_xlfn.XLOOKUP(A480,'[1]DATOS PBI Artículos'!$A$4:$A$4,'[1]DATOS PBI Artículos'!$Z$4:$Z$4)*_xlfn.XLOOKUP(_xlfn.XLOOKUP(A480,'[1]DATOS PBI Artículos'!$A$4:$A$4,'[1]DATOS PBI Artículos'!$Y$4:$Y$4),[1]CRITERIOS!$P$79:$P$123,[1]CRITERIOS!$S$79:$S$123)),0)*[1]CRITERIOS!$M$80*([1]CRITERIOS!$M$110/[1]CRITERIOS!$M$86)+(_xlfn.XLOOKUP(A480,'[1]DATOS PBI Artículos'!$A$4:$A$4,'[1]DATOS PBI Artículos'!$AA$4:$AA$4)*([1]CRITERIOS!$M$95+[1]CRITERIOS!$M$98)))/N480)</f>
        <v>#N/A</v>
      </c>
      <c r="AD480" s="33" t="e">
        <f>IF(N480=0,"",(ROUNDUP((N480/2)/(_xlfn.XLOOKUP(A480,'[1]DATOS PBI Artículos'!$A$4:$A$4,'[1]DATOS PBI Artículos'!$Z$4:$Z$4)*_xlfn.XLOOKUP(_xlfn.XLOOKUP(A480,'[1]DATOS PBI Artículos'!$A$4:$A$4,'[1]DATOS PBI Artículos'!$Y$4:$Y$4),[1]CRITERIOS!$P$79:$P$123,[1]CRITERIOS!$S$79:$S$123)),0)*[1]CRITERIOS!$M$80*([1]CRITERIOS!$M$89*[1]CRITERIOS!$M$92)+((_xlfn.XLOOKUP(A480,'[1]DATOS PBI Artículos'!$A$4:$A$4,'[1]DATOS PBI Artículos'!$AA$4:$AA$4)/2)*([1]CRITERIOS!$M$95+[1]CRITERIOS!$M$98)))/N480)</f>
        <v>#N/A</v>
      </c>
      <c r="AE480" s="39" t="e">
        <f>IF($R480="MTO","",
IF($H480=0,ROUNDUP(((_xlfn.XLOOKUP($A480,'[1]DATOS PBI Artículos'!$A:$A,'[1]DATOS PBI Artículos'!$AL:$AL))/(_xlfn.XLOOKUP($AF$1,[1]CRITERIOS!$S$16:$S$39,[1]CRITERIOS!$Y$16:$Y$39))*$J480+$Z480)/$G480,0)*$G480,
((_xlfn.XLOOKUP($A480,'[1]DATOS PBI Artículos'!$A:$A,'[1]DATOS PBI Artículos'!$AL:$AL))/(_xlfn.XLOOKUP($AF$1,[1]CRITERIOS!$S$16:$S$39,[1]CRITERIOS!$Y$16:$Y$39))*$J480+$Z480)))</f>
        <v>#N/A</v>
      </c>
      <c r="AG480" s="39" t="e">
        <f>IF($R480="MTO","",
IF($H480=0,ROUNDUP(((_xlfn.XLOOKUP($A480,'[1]DATOS PBI Artículos'!$A:$A,'[1]DATOS PBI Artículos'!$AM:$AM))/(_xlfn.XLOOKUP($AH$1,[1]CRITERIOS!$S$16:$S$39,[1]CRITERIOS!$Y$16:$Y$39))*$J480+$Z480)/$G480,0)*$G480,
((_xlfn.XLOOKUP($A480,'[1]DATOS PBI Artículos'!$A:$A,'[1]DATOS PBI Artículos'!$AM:$AM))/(_xlfn.XLOOKUP($AH$1,[1]CRITERIOS!$S$16:$S$39,[1]CRITERIOS!$Y$16:$Y$39))*$J480+$Z480)))</f>
        <v>#N/A</v>
      </c>
      <c r="AI480" s="39" t="e">
        <f>IF($R480="MTO","",
IF($H480=0,ROUNDUP(((_xlfn.XLOOKUP($A480,'[1]DATOS PBI Artículos'!$A:$A,'[1]DATOS PBI Artículos'!$AN:$AN))/(_xlfn.XLOOKUP($AJ$1,[1]CRITERIOS!$S$16:$S$39,[1]CRITERIOS!$Y$16:$Y$39))*$J480+$Z480)/$G480,0)*$G480,
((_xlfn.XLOOKUP($A480,'[1]DATOS PBI Artículos'!$A:$A,'[1]DATOS PBI Artículos'!$AN:$AN))/(_xlfn.XLOOKUP($AJ$1,[1]CRITERIOS!$S$16:$S$39,[1]CRITERIOS!$Y$16:$Y$39))*$J480+$Z480)))</f>
        <v>#N/A</v>
      </c>
      <c r="AK480" s="39" t="e">
        <f>IF($R480="MTO","",
IF($H480=0,ROUNDUP(((_xlfn.XLOOKUP($A480,'[1]DATOS PBI Artículos'!$A:$A,'[1]DATOS PBI Artículos'!$AO:$AO))/(_xlfn.XLOOKUP($AL$1,[1]CRITERIOS!$S$16:$S$39,[1]CRITERIOS!$Y$16:$Y$39))*$J480+$Z480)/$G480,0)*$G480,
((_xlfn.XLOOKUP($A480,'[1]DATOS PBI Artículos'!$A:$A,'[1]DATOS PBI Artículos'!$AO:$AO))/(_xlfn.XLOOKUP($AL$1,[1]CRITERIOS!$S$16:$S$39,[1]CRITERIOS!$Y$16:$Y$39))*$J480+$Z480)))</f>
        <v>#N/A</v>
      </c>
    </row>
    <row r="481" spans="1:37" ht="25.8" hidden="1" x14ac:dyDescent="0.4">
      <c r="A481" s="41"/>
      <c r="B481" s="33">
        <f>_xlfn.XLOOKUP($A481,'[1]DATOS PBI Artículos'!A:A,'[1]DATOS PBI Artículos'!B:B)</f>
        <v>0</v>
      </c>
      <c r="C481" s="33">
        <f>_xlfn.XLOOKUP($A481,'[1]DATOS PBI Artículos'!A:A,'[1]DATOS PBI Artículos'!C:C)</f>
        <v>0</v>
      </c>
      <c r="D481" s="33">
        <f>_xlfn.XLOOKUP(A481,'[1]DATOS PBI Artículos'!A:A,'[1]DATOS PBI Artículos'!T:T)</f>
        <v>0</v>
      </c>
      <c r="E481" s="34">
        <f>IF(_xlfn.XLOOKUP($A481,'[1]DATOS PBI Artículos'!A:A,'[1]DATOS PBI Artículos'!AK:AK)="",_xlfn.XLOOKUP($A481,'[1]DATOS PBI Artículos'!A:A,'[1]DATOS PBI Artículos'!AJ:AJ),_xlfn.XLOOKUP($A481,'[1]DATOS PBI Artículos'!A:A,'[1]DATOS PBI Artículos'!AK:AK))</f>
        <v>0</v>
      </c>
      <c r="F481" s="35">
        <f>_xlfn.XLOOKUP($A481,'[1]DATOS PBI Artículos'!A:A,'[1]DATOS PBI Artículos'!AP:AP)</f>
        <v>0</v>
      </c>
      <c r="G481" s="34">
        <f>_xlfn.XLOOKUP($A481,'[1]DATOS PBI Artículos'!A:A,'[1]DATOS PBI Artículos'!AR:AR)</f>
        <v>0</v>
      </c>
      <c r="H481" s="34">
        <f>_xlfn.XLOOKUP($A481,'[1]DATOS PBI Artículos'!A:A,'[1]DATOS PBI Artículos'!AT:AT)</f>
        <v>0</v>
      </c>
      <c r="I481" s="34">
        <f>_xlfn.XLOOKUP($A481,'[1]DATOS PBI Artículos'!A:A,'[1]DATOS PBI Artículos'!AS:AS)</f>
        <v>0</v>
      </c>
      <c r="J481" s="35">
        <f>IF(COUNTIF([1]CRITERIOS!$F$179:$F$199,$A481)&gt;=1,
 IF(O481&lt;&gt;"",
    (O481/_xlfn.XLOOKUP(CONCATENATE(A481,L481),[1]MÁQUINAS!A:A,[1]MÁQUINAS!D:D))/24,
    (N481/_xlfn.XLOOKUP(CONCATENATE(A481,L481),[1]MÁQUINAS!A:A,[1]MÁQUINAS!D:D))/24),
  _xlfn.XLOOKUP($A481,'[1]DATOS PBI Artículos'!A:A,'[1]DATOS PBI Artículos'!AU:AU))</f>
        <v>0</v>
      </c>
      <c r="K481" s="36">
        <f>_xlfn.XLOOKUP($A481,'[1]DATOS PBI Artículos'!A:A,'[1]DATOS PBI Artículos'!AV:AV)</f>
        <v>0</v>
      </c>
      <c r="L481" s="33">
        <f>_xlfn.XLOOKUP(A481,[1]MÁQUINAS!B:B,[1]MÁQUINAS!C:C)</f>
        <v>0</v>
      </c>
      <c r="M481" s="34">
        <f t="array" ref="M481">_xlfn.XLOOKUP(A481,'[1]DATOS PBI Artículos'!A:A,'[1]DATOS PBI Artículos'!AX:$AX)</f>
        <v>0</v>
      </c>
      <c r="N481" s="37" t="e">
        <f>IF(I481="DV",
E481,
IF(COUNTIF([1]CRITERIOS!$I$179:$I$199,$A481)&gt;=1,
_xlfn.XLOOKUP($A481,[1]CRITERIOS!$I$179:$I$199,[1]CRITERIOS!$J$179:$J$199),
IF(COUNTIF([1]CRITERIOS!$L$179:$L$199,$A481)&gt;=1,
_xlfn.CEILING.MATH(IF($M481&gt;$E481,
$E481,
IF($M481&lt;$E481/ROUNDDOWN([1]CRITERIOS!$M$16/_xlfn.XLOOKUP($C481,[1]CRITERIOS!$K$25:$K$42,[1]CRITERIOS!$M$25:$M$42),
1),
E481/ROUNDDOWN([1]CRITERIOS!$M$16/_xlfn.XLOOKUP($C481,[1]CRITERIOS!$K$25:$K$42,[1]CRITERIOS!$M$25:$M$42),
1),
$M481)),
_xlfn.XLOOKUP($A481,[1]CRITERIOS!$L$179:$L$200,[1]CRITERIOS!$M$179:$M$200)),
_xlfn.CEILING.MATH(IF($M481&gt;$E481,
$E481,
IF($M481&lt;$E481/ROUNDDOWN([1]CRITERIOS!$M$16/_xlfn.XLOOKUP($C481,[1]CRITERIOS!$K$25:$K$42,[1]CRITERIOS!$M$25:$M$42),
1),
E481/ROUNDDOWN([1]CRITERIOS!$M$16/_xlfn.XLOOKUP($C481,[1]CRITERIOS!$K$25:$K$42,[1]CRITERIOS!$M$25:$M$42),
1),
$M481)),_xlfn.XLOOKUP(A481,'[1]DATOS PBI Artículos'!A:A,'[1]DATOS PBI Artículos'!Z:Z
)))))</f>
        <v>#N/A</v>
      </c>
      <c r="Q481" s="38" t="e">
        <f>IF(AND(O481="",N481=0),
0,
   IF(COUNTIF([1]CRITERIOS!$F$179:$F$199,$A481)&gt;=1,
   1,
   IF(R481="MTO",
      $D481,
      ROUNDUP(
                    IF(($E481-SUMIF('[1]DATOS PBI Artículos'!A:A,A481,'[1]DATOS PBI Artículos'!X:X)+($V481-_xlfn.XLOOKUP(A481,'[1]DATOS PBI Artículos'!A:A,'[1]DATOS PBI Artículos'!W:W)))&lt;0,
                    0,
                    IF(($E481-SUMIF('[1]DATOS PBI Artículos'!A:A,A481,'[1]DATOS PBI Artículos'!X:X)+$V481-_xlfn.XLOOKUP($A481,'[1]DATOS PBI Artículos'!A:A,'[1]DATOS PBI Artículos'!W:W))/IF($O481="",$N481,$O481)&gt;ROUNDUP([1]CRITERIOS!$M$16/(IF(COUNTIF([1]CRITERIOS!$BG$11:$BG$201,L481)&gt;=1,_xlfn.XLOOKUP($C481,[1]CRITERIOS!$K$25:$K$42,[1]CRITERIOS!$M$25:$M$42),_xlfn.XLOOKUP($C481,[1]CRITERIOS!$K$25:$K$42,[1]CRITERIOS!$M$25:$M$42))),0),
                    ROUNDUP([1]CRITERIOS!$M$16/(IF(COUNTIF([1]CRITERIOS!$BG$11:$BG$201,$L481)&gt;=1,_xlfn.XLOOKUP($C481,[1]CRITERIOS!$K$25:$K$42,[1]CRITERIOS!$M$25:$M$42),_xlfn.XLOOKUP($C481,[1]CRITERIOS!$K$25:$K$42,[1]CRITERIOS!$M$25:$M$42))),0),
                    (E481+V481-SUMIF('[1]DATOS PBI Artículos'!A:A,A481,'[1]DATOS PBI Artículos'!X:X)-_xlfn.XLOOKUP(A481,'[1]DATOS PBI Artículos'!A:A,'[1]DATOS PBI Artículos'!W:W))/IF($O481="",$N481,$O481))),0))))</f>
        <v>#N/A</v>
      </c>
      <c r="R481" s="33" t="e">
        <f>IF(U481&lt;&gt;"",U481,IF(F481="DV","MTO",IF(N481=0,"MTO",_xlfn.XLOOKUP(CONCATENATE(S481,T481),[1]CRITERIOS!$K$160:$K$168,[1]CRITERIOS!$N$160:$N$168))))</f>
        <v>#N/A</v>
      </c>
      <c r="S481" s="33" t="e">
        <f>IF(G481="DV","MTO",IF(N481=0,"MTO",IF(OR(AND(N481=0,O481=""),IF(O481="",G481/N481,G481/O481)&gt;[1]CRITERIOS!$G$163),"MTO",IF(IF(O481="",G481/N481,G481/O481)&lt;[1]CRITERIOS!$H$161,"MTS","MTOS"))))</f>
        <v>#N/A</v>
      </c>
      <c r="T481" s="33" t="e">
        <f>IF(F481="DV","MTO",IF(OR(AND($N481=0,O481=""),$F481/$J481&gt;[1]CRITERIOS!$G$170,$F481="DV"),"MTO",IF($F481/$J481&lt;[1]CRITERIOS!$H$168,"MTS","MTOS")))</f>
        <v>#N/A</v>
      </c>
      <c r="V481" s="34" t="e">
        <f t="shared" si="25"/>
        <v>#N/A</v>
      </c>
      <c r="X481" s="34" t="e">
        <f t="shared" si="23"/>
        <v>#N/A</v>
      </c>
      <c r="Y481" s="34" t="e">
        <f t="shared" si="24"/>
        <v>#N/A</v>
      </c>
      <c r="Z481" s="34" t="e">
        <f>IF($R481="MTO",
0,
($H481+$K481*($E481/[1]CRITERIOS!$M$16))/[1]CRITERIOS!$X$48)</f>
        <v>#N/A</v>
      </c>
      <c r="AA481" s="34" t="e">
        <f>ROUNDUP(($Y481/_xlfn.XLOOKUP($A481,'[1]DATOS PBI Artículos'!$A$4:$A$4,'[1]DATOS PBI Artículos'!$Z$4:$Z$4))/_xlfn.XLOOKUP(_xlfn.XLOOKUP($A481,'[1]DATOS PBI Artículos'!$A$4:$A$4,'[1]DATOS PBI Artículos'!$Y$4:$Y$4),[1]CRITERIOS!$P$79:$P$123,[1]CRITERIOS!$S$79:$S$123,),0)</f>
        <v>#N/A</v>
      </c>
      <c r="AB481" s="33" t="e">
        <f t="array" ref="AB481">IF((E481+V481-_xlfn.XLOOKUP(A481,'[1]DATOS PBI Artículos'!$A$4:$A$4,'[1]DATOS PBI Artículos'!$W$4:$W$4))/N481&gt;ROUNDUP([1]CRITERIOS!$M$16/(IF(COUNTIF([1]CRITERIOS!$BG$11:$BG$201,L481)&gt;=1,_xlfn.XLOOKUP(ARTÍCULOS!L481,[1]CRITERIOS!$BG$11:$BG$201,[1]CRITERIOS!$BJ$11:$BJ$201),_xlfn.XLOOKUP(ARTÍCULOS!C481,[1]CRITERIOS!$K$25:$K$42,[1]CRITERIOS!$M$25:$M$42))),0),ROUNDUP([1]CRITERIOS!$M$16/(IF(COUNTIF([1]CRITERIOS!$BG$11:$BG$201,L481)&gt;=1,_xlfn.XLOOKUP(ARTÍCULOS!L481,[1]CRITERIOS!$BG$11:$BG$201:#REF!,[1]CRITERIOS!$BJ$11:$BJ$201),_xlfn.XLOOKUP(ARTÍCULOS!C481,[1]CRITERIOS!$K$25:$K$42,[1]CRITERIOS!$M$25:$M$42))),0),(E481+V481-_xlfn.XLOOKUP(A481,'[1]DATOS PBI Artículos'!$A$4:$A$4,'[1]DATOS PBI Artículos'!$W$4:$W$4))/N481)</f>
        <v>#N/A</v>
      </c>
      <c r="AC481" s="33" t="e">
        <f>IF(N481=0,"",(ROUNDUP((N481/2)/(_xlfn.XLOOKUP(A481,'[1]DATOS PBI Artículos'!$A$4:$A$4,'[1]DATOS PBI Artículos'!$Z$4:$Z$4)*_xlfn.XLOOKUP(_xlfn.XLOOKUP(A481,'[1]DATOS PBI Artículos'!$A$4:$A$4,'[1]DATOS PBI Artículos'!$Y$4:$Y$4),[1]CRITERIOS!$P$79:$P$123,[1]CRITERIOS!$S$79:$S$123)),0)*[1]CRITERIOS!$M$80*([1]CRITERIOS!$M$110/[1]CRITERIOS!$M$86)+(_xlfn.XLOOKUP(A481,'[1]DATOS PBI Artículos'!$A$4:$A$4,'[1]DATOS PBI Artículos'!$AA$4:$AA$4)*([1]CRITERIOS!$M$95+[1]CRITERIOS!$M$98)))/N481)</f>
        <v>#N/A</v>
      </c>
      <c r="AD481" s="33" t="e">
        <f>IF(N481=0,"",(ROUNDUP((N481/2)/(_xlfn.XLOOKUP(A481,'[1]DATOS PBI Artículos'!$A$4:$A$4,'[1]DATOS PBI Artículos'!$Z$4:$Z$4)*_xlfn.XLOOKUP(_xlfn.XLOOKUP(A481,'[1]DATOS PBI Artículos'!$A$4:$A$4,'[1]DATOS PBI Artículos'!$Y$4:$Y$4),[1]CRITERIOS!$P$79:$P$123,[1]CRITERIOS!$S$79:$S$123)),0)*[1]CRITERIOS!$M$80*([1]CRITERIOS!$M$89*[1]CRITERIOS!$M$92)+((_xlfn.XLOOKUP(A481,'[1]DATOS PBI Artículos'!$A$4:$A$4,'[1]DATOS PBI Artículos'!$AA$4:$AA$4)/2)*([1]CRITERIOS!$M$95+[1]CRITERIOS!$M$98)))/N481)</f>
        <v>#N/A</v>
      </c>
      <c r="AE481" s="39" t="e">
        <f>IF($R481="MTO","",
IF($H481=0,ROUNDUP(((_xlfn.XLOOKUP($A481,'[1]DATOS PBI Artículos'!$A:$A,'[1]DATOS PBI Artículos'!$AL:$AL))/(_xlfn.XLOOKUP($AF$1,[1]CRITERIOS!$S$16:$S$39,[1]CRITERIOS!$Y$16:$Y$39))*$J481+$Z481)/$G481,0)*$G481,
((_xlfn.XLOOKUP($A481,'[1]DATOS PBI Artículos'!$A:$A,'[1]DATOS PBI Artículos'!$AL:$AL))/(_xlfn.XLOOKUP($AF$1,[1]CRITERIOS!$S$16:$S$39,[1]CRITERIOS!$Y$16:$Y$39))*$J481+$Z481)))</f>
        <v>#N/A</v>
      </c>
      <c r="AG481" s="39" t="e">
        <f>IF($R481="MTO","",
IF($H481=0,ROUNDUP(((_xlfn.XLOOKUP($A481,'[1]DATOS PBI Artículos'!$A:$A,'[1]DATOS PBI Artículos'!$AM:$AM))/(_xlfn.XLOOKUP($AH$1,[1]CRITERIOS!$S$16:$S$39,[1]CRITERIOS!$Y$16:$Y$39))*$J481+$Z481)/$G481,0)*$G481,
((_xlfn.XLOOKUP($A481,'[1]DATOS PBI Artículos'!$A:$A,'[1]DATOS PBI Artículos'!$AM:$AM))/(_xlfn.XLOOKUP($AH$1,[1]CRITERIOS!$S$16:$S$39,[1]CRITERIOS!$Y$16:$Y$39))*$J481+$Z481)))</f>
        <v>#N/A</v>
      </c>
      <c r="AI481" s="39" t="e">
        <f>IF($R481="MTO","",
IF($H481=0,ROUNDUP(((_xlfn.XLOOKUP($A481,'[1]DATOS PBI Artículos'!$A:$A,'[1]DATOS PBI Artículos'!$AN:$AN))/(_xlfn.XLOOKUP($AJ$1,[1]CRITERIOS!$S$16:$S$39,[1]CRITERIOS!$Y$16:$Y$39))*$J481+$Z481)/$G481,0)*$G481,
((_xlfn.XLOOKUP($A481,'[1]DATOS PBI Artículos'!$A:$A,'[1]DATOS PBI Artículos'!$AN:$AN))/(_xlfn.XLOOKUP($AJ$1,[1]CRITERIOS!$S$16:$S$39,[1]CRITERIOS!$Y$16:$Y$39))*$J481+$Z481)))</f>
        <v>#N/A</v>
      </c>
      <c r="AK481" s="39" t="e">
        <f>IF($R481="MTO","",
IF($H481=0,ROUNDUP(((_xlfn.XLOOKUP($A481,'[1]DATOS PBI Artículos'!$A:$A,'[1]DATOS PBI Artículos'!$AO:$AO))/(_xlfn.XLOOKUP($AL$1,[1]CRITERIOS!$S$16:$S$39,[1]CRITERIOS!$Y$16:$Y$39))*$J481+$Z481)/$G481,0)*$G481,
((_xlfn.XLOOKUP($A481,'[1]DATOS PBI Artículos'!$A:$A,'[1]DATOS PBI Artículos'!$AO:$AO))/(_xlfn.XLOOKUP($AL$1,[1]CRITERIOS!$S$16:$S$39,[1]CRITERIOS!$Y$16:$Y$39))*$J481+$Z481)))</f>
        <v>#N/A</v>
      </c>
    </row>
    <row r="482" spans="1:37" ht="25.8" hidden="1" x14ac:dyDescent="0.4">
      <c r="A482" s="41"/>
      <c r="B482" s="33">
        <f>_xlfn.XLOOKUP($A482,'[1]DATOS PBI Artículos'!A:A,'[1]DATOS PBI Artículos'!B:B)</f>
        <v>0</v>
      </c>
      <c r="C482" s="33">
        <f>_xlfn.XLOOKUP($A482,'[1]DATOS PBI Artículos'!A:A,'[1]DATOS PBI Artículos'!C:C)</f>
        <v>0</v>
      </c>
      <c r="D482" s="33">
        <f>_xlfn.XLOOKUP(A482,'[1]DATOS PBI Artículos'!A:A,'[1]DATOS PBI Artículos'!T:T)</f>
        <v>0</v>
      </c>
      <c r="E482" s="34">
        <f>IF(_xlfn.XLOOKUP($A482,'[1]DATOS PBI Artículos'!A:A,'[1]DATOS PBI Artículos'!AK:AK)="",_xlfn.XLOOKUP($A482,'[1]DATOS PBI Artículos'!A:A,'[1]DATOS PBI Artículos'!AJ:AJ),_xlfn.XLOOKUP($A482,'[1]DATOS PBI Artículos'!A:A,'[1]DATOS PBI Artículos'!AK:AK))</f>
        <v>0</v>
      </c>
      <c r="F482" s="35">
        <f>_xlfn.XLOOKUP($A482,'[1]DATOS PBI Artículos'!A:A,'[1]DATOS PBI Artículos'!AP:AP)</f>
        <v>0</v>
      </c>
      <c r="G482" s="34">
        <f>_xlfn.XLOOKUP($A482,'[1]DATOS PBI Artículos'!A:A,'[1]DATOS PBI Artículos'!AR:AR)</f>
        <v>0</v>
      </c>
      <c r="H482" s="34">
        <f>_xlfn.XLOOKUP($A482,'[1]DATOS PBI Artículos'!A:A,'[1]DATOS PBI Artículos'!AT:AT)</f>
        <v>0</v>
      </c>
      <c r="I482" s="34">
        <f>_xlfn.XLOOKUP($A482,'[1]DATOS PBI Artículos'!A:A,'[1]DATOS PBI Artículos'!AS:AS)</f>
        <v>0</v>
      </c>
      <c r="J482" s="35">
        <f>IF(COUNTIF([1]CRITERIOS!$F$179:$F$199,$A482)&gt;=1,
 IF(O482&lt;&gt;"",
    (O482/_xlfn.XLOOKUP(CONCATENATE(A482,L482),[1]MÁQUINAS!A:A,[1]MÁQUINAS!D:D))/24,
    (N482/_xlfn.XLOOKUP(CONCATENATE(A482,L482),[1]MÁQUINAS!A:A,[1]MÁQUINAS!D:D))/24),
  _xlfn.XLOOKUP($A482,'[1]DATOS PBI Artículos'!A:A,'[1]DATOS PBI Artículos'!AU:AU))</f>
        <v>0</v>
      </c>
      <c r="K482" s="36">
        <f>_xlfn.XLOOKUP($A482,'[1]DATOS PBI Artículos'!A:A,'[1]DATOS PBI Artículos'!AV:AV)</f>
        <v>0</v>
      </c>
      <c r="L482" s="33">
        <f>_xlfn.XLOOKUP(A482,[1]MÁQUINAS!B:B,[1]MÁQUINAS!C:C)</f>
        <v>0</v>
      </c>
      <c r="M482" s="34">
        <f t="array" ref="M482">_xlfn.XLOOKUP(A482,'[1]DATOS PBI Artículos'!A:A,'[1]DATOS PBI Artículos'!AX:$AX)</f>
        <v>0</v>
      </c>
      <c r="N482" s="37" t="e">
        <f>IF(I482="DV",
E482,
IF(COUNTIF([1]CRITERIOS!$I$179:$I$199,$A482)&gt;=1,
_xlfn.XLOOKUP($A482,[1]CRITERIOS!$I$179:$I$199,[1]CRITERIOS!$J$179:$J$199),
IF(COUNTIF([1]CRITERIOS!$L$179:$L$199,$A482)&gt;=1,
_xlfn.CEILING.MATH(IF($M482&gt;$E482,
$E482,
IF($M482&lt;$E482/ROUNDDOWN([1]CRITERIOS!$M$16/_xlfn.XLOOKUP($C482,[1]CRITERIOS!$K$25:$K$42,[1]CRITERIOS!$M$25:$M$42),
1),
E482/ROUNDDOWN([1]CRITERIOS!$M$16/_xlfn.XLOOKUP($C482,[1]CRITERIOS!$K$25:$K$42,[1]CRITERIOS!$M$25:$M$42),
1),
$M482)),
_xlfn.XLOOKUP($A482,[1]CRITERIOS!$L$179:$L$200,[1]CRITERIOS!$M$179:$M$200)),
_xlfn.CEILING.MATH(IF($M482&gt;$E482,
$E482,
IF($M482&lt;$E482/ROUNDDOWN([1]CRITERIOS!$M$16/_xlfn.XLOOKUP($C482,[1]CRITERIOS!$K$25:$K$42,[1]CRITERIOS!$M$25:$M$42),
1),
E482/ROUNDDOWN([1]CRITERIOS!$M$16/_xlfn.XLOOKUP($C482,[1]CRITERIOS!$K$25:$K$42,[1]CRITERIOS!$M$25:$M$42),
1),
$M482)),_xlfn.XLOOKUP(A482,'[1]DATOS PBI Artículos'!A:A,'[1]DATOS PBI Artículos'!Z:Z
)))))</f>
        <v>#N/A</v>
      </c>
      <c r="Q482" s="38" t="e">
        <f>IF(AND(O482="",N482=0),
0,
   IF(COUNTIF([1]CRITERIOS!$F$179:$F$199,$A482)&gt;=1,
   1,
   IF(R482="MTO",
      $D482,
      ROUNDUP(
                    IF(($E482-SUMIF('[1]DATOS PBI Artículos'!A:A,A482,'[1]DATOS PBI Artículos'!X:X)+($V482-_xlfn.XLOOKUP(A482,'[1]DATOS PBI Artículos'!A:A,'[1]DATOS PBI Artículos'!W:W)))&lt;0,
                    0,
                    IF(($E482-SUMIF('[1]DATOS PBI Artículos'!A:A,A482,'[1]DATOS PBI Artículos'!X:X)+$V482-_xlfn.XLOOKUP($A482,'[1]DATOS PBI Artículos'!A:A,'[1]DATOS PBI Artículos'!W:W))/IF($O482="",$N482,$O482)&gt;ROUNDUP([1]CRITERIOS!$M$16/(IF(COUNTIF([1]CRITERIOS!$BG$11:$BG$201,L482)&gt;=1,_xlfn.XLOOKUP($C482,[1]CRITERIOS!$K$25:$K$42,[1]CRITERIOS!$M$25:$M$42),_xlfn.XLOOKUP($C482,[1]CRITERIOS!$K$25:$K$42,[1]CRITERIOS!$M$25:$M$42))),0),
                    ROUNDUP([1]CRITERIOS!$M$16/(IF(COUNTIF([1]CRITERIOS!$BG$11:$BG$201,$L482)&gt;=1,_xlfn.XLOOKUP($C482,[1]CRITERIOS!$K$25:$K$42,[1]CRITERIOS!$M$25:$M$42),_xlfn.XLOOKUP($C482,[1]CRITERIOS!$K$25:$K$42,[1]CRITERIOS!$M$25:$M$42))),0),
                    (E482+V482-SUMIF('[1]DATOS PBI Artículos'!A:A,A482,'[1]DATOS PBI Artículos'!X:X)-_xlfn.XLOOKUP(A482,'[1]DATOS PBI Artículos'!A:A,'[1]DATOS PBI Artículos'!W:W))/IF($O482="",$N482,$O482))),0))))</f>
        <v>#N/A</v>
      </c>
      <c r="R482" s="33" t="e">
        <f>IF(U482&lt;&gt;"",U482,IF(F482="DV","MTO",IF(N482=0,"MTO",_xlfn.XLOOKUP(CONCATENATE(S482,T482),[1]CRITERIOS!$K$160:$K$168,[1]CRITERIOS!$N$160:$N$168))))</f>
        <v>#N/A</v>
      </c>
      <c r="S482" s="33" t="e">
        <f>IF(G482="DV","MTO",IF(N482=0,"MTO",IF(OR(AND(N482=0,O482=""),IF(O482="",G482/N482,G482/O482)&gt;[1]CRITERIOS!$G$163),"MTO",IF(IF(O482="",G482/N482,G482/O482)&lt;[1]CRITERIOS!$H$161,"MTS","MTOS"))))</f>
        <v>#N/A</v>
      </c>
      <c r="T482" s="33" t="e">
        <f>IF(F482="DV","MTO",IF(OR(AND($N482=0,O482=""),$F482/$J482&gt;[1]CRITERIOS!$G$170,$F482="DV"),"MTO",IF($F482/$J482&lt;[1]CRITERIOS!$H$168,"MTS","MTOS")))</f>
        <v>#N/A</v>
      </c>
      <c r="V482" s="34" t="e">
        <f t="shared" si="25"/>
        <v>#N/A</v>
      </c>
      <c r="X482" s="34" t="e">
        <f t="shared" si="23"/>
        <v>#N/A</v>
      </c>
      <c r="Y482" s="34" t="e">
        <f t="shared" si="24"/>
        <v>#N/A</v>
      </c>
      <c r="Z482" s="34" t="e">
        <f>IF($R482="MTO",
0,
($H482+$K482*($E482/[1]CRITERIOS!$M$16))/[1]CRITERIOS!$X$48)</f>
        <v>#N/A</v>
      </c>
      <c r="AA482" s="34" t="e">
        <f>ROUNDUP(($Y482/_xlfn.XLOOKUP($A482,'[1]DATOS PBI Artículos'!$A$4:$A$4,'[1]DATOS PBI Artículos'!$Z$4:$Z$4))/_xlfn.XLOOKUP(_xlfn.XLOOKUP($A482,'[1]DATOS PBI Artículos'!$A$4:$A$4,'[1]DATOS PBI Artículos'!$Y$4:$Y$4),[1]CRITERIOS!$P$79:$P$123,[1]CRITERIOS!$S$79:$S$123,),0)</f>
        <v>#N/A</v>
      </c>
      <c r="AB482" s="33" t="e">
        <f t="array" ref="AB482">IF((E482+V482-_xlfn.XLOOKUP(A482,'[1]DATOS PBI Artículos'!$A$4:$A$4,'[1]DATOS PBI Artículos'!$W$4:$W$4))/N482&gt;ROUNDUP([1]CRITERIOS!$M$16/(IF(COUNTIF([1]CRITERIOS!$BG$11:$BG$201,L482)&gt;=1,_xlfn.XLOOKUP(ARTÍCULOS!L482,[1]CRITERIOS!$BG$11:$BG$201,[1]CRITERIOS!$BJ$11:$BJ$201),_xlfn.XLOOKUP(ARTÍCULOS!C482,[1]CRITERIOS!$K$25:$K$42,[1]CRITERIOS!$M$25:$M$42))),0),ROUNDUP([1]CRITERIOS!$M$16/(IF(COUNTIF([1]CRITERIOS!$BG$11:$BG$201,L482)&gt;=1,_xlfn.XLOOKUP(ARTÍCULOS!L482,[1]CRITERIOS!$BG$11:$BG$201:#REF!,[1]CRITERIOS!$BJ$11:$BJ$201),_xlfn.XLOOKUP(ARTÍCULOS!C482,[1]CRITERIOS!$K$25:$K$42,[1]CRITERIOS!$M$25:$M$42))),0),(E482+V482-_xlfn.XLOOKUP(A482,'[1]DATOS PBI Artículos'!$A$4:$A$4,'[1]DATOS PBI Artículos'!$W$4:$W$4))/N482)</f>
        <v>#N/A</v>
      </c>
      <c r="AC482" s="33" t="e">
        <f>IF(N482=0,"",(ROUNDUP((N482/2)/(_xlfn.XLOOKUP(A482,'[1]DATOS PBI Artículos'!$A$4:$A$4,'[1]DATOS PBI Artículos'!$Z$4:$Z$4)*_xlfn.XLOOKUP(_xlfn.XLOOKUP(A482,'[1]DATOS PBI Artículos'!$A$4:$A$4,'[1]DATOS PBI Artículos'!$Y$4:$Y$4),[1]CRITERIOS!$P$79:$P$123,[1]CRITERIOS!$S$79:$S$123)),0)*[1]CRITERIOS!$M$80*([1]CRITERIOS!$M$110/[1]CRITERIOS!$M$86)+(_xlfn.XLOOKUP(A482,'[1]DATOS PBI Artículos'!$A$4:$A$4,'[1]DATOS PBI Artículos'!$AA$4:$AA$4)*([1]CRITERIOS!$M$95+[1]CRITERIOS!$M$98)))/N482)</f>
        <v>#N/A</v>
      </c>
      <c r="AD482" s="33" t="e">
        <f>IF(N482=0,"",(ROUNDUP((N482/2)/(_xlfn.XLOOKUP(A482,'[1]DATOS PBI Artículos'!$A$4:$A$4,'[1]DATOS PBI Artículos'!$Z$4:$Z$4)*_xlfn.XLOOKUP(_xlfn.XLOOKUP(A482,'[1]DATOS PBI Artículos'!$A$4:$A$4,'[1]DATOS PBI Artículos'!$Y$4:$Y$4),[1]CRITERIOS!$P$79:$P$123,[1]CRITERIOS!$S$79:$S$123)),0)*[1]CRITERIOS!$M$80*([1]CRITERIOS!$M$89*[1]CRITERIOS!$M$92)+((_xlfn.XLOOKUP(A482,'[1]DATOS PBI Artículos'!$A$4:$A$4,'[1]DATOS PBI Artículos'!$AA$4:$AA$4)/2)*([1]CRITERIOS!$M$95+[1]CRITERIOS!$M$98)))/N482)</f>
        <v>#N/A</v>
      </c>
      <c r="AE482" s="39" t="e">
        <f>IF($R482="MTO","",
IF($H482=0,ROUNDUP(((_xlfn.XLOOKUP($A482,'[1]DATOS PBI Artículos'!$A:$A,'[1]DATOS PBI Artículos'!$AL:$AL))/(_xlfn.XLOOKUP($AF$1,[1]CRITERIOS!$S$16:$S$39,[1]CRITERIOS!$Y$16:$Y$39))*$J482+$Z482)/$G482,0)*$G482,
((_xlfn.XLOOKUP($A482,'[1]DATOS PBI Artículos'!$A:$A,'[1]DATOS PBI Artículos'!$AL:$AL))/(_xlfn.XLOOKUP($AF$1,[1]CRITERIOS!$S$16:$S$39,[1]CRITERIOS!$Y$16:$Y$39))*$J482+$Z482)))</f>
        <v>#N/A</v>
      </c>
      <c r="AG482" s="39" t="e">
        <f>IF($R482="MTO","",
IF($H482=0,ROUNDUP(((_xlfn.XLOOKUP($A482,'[1]DATOS PBI Artículos'!$A:$A,'[1]DATOS PBI Artículos'!$AM:$AM))/(_xlfn.XLOOKUP($AH$1,[1]CRITERIOS!$S$16:$S$39,[1]CRITERIOS!$Y$16:$Y$39))*$J482+$Z482)/$G482,0)*$G482,
((_xlfn.XLOOKUP($A482,'[1]DATOS PBI Artículos'!$A:$A,'[1]DATOS PBI Artículos'!$AM:$AM))/(_xlfn.XLOOKUP($AH$1,[1]CRITERIOS!$S$16:$S$39,[1]CRITERIOS!$Y$16:$Y$39))*$J482+$Z482)))</f>
        <v>#N/A</v>
      </c>
      <c r="AI482" s="39" t="e">
        <f>IF($R482="MTO","",
IF($H482=0,ROUNDUP(((_xlfn.XLOOKUP($A482,'[1]DATOS PBI Artículos'!$A:$A,'[1]DATOS PBI Artículos'!$AN:$AN))/(_xlfn.XLOOKUP($AJ$1,[1]CRITERIOS!$S$16:$S$39,[1]CRITERIOS!$Y$16:$Y$39))*$J482+$Z482)/$G482,0)*$G482,
((_xlfn.XLOOKUP($A482,'[1]DATOS PBI Artículos'!$A:$A,'[1]DATOS PBI Artículos'!$AN:$AN))/(_xlfn.XLOOKUP($AJ$1,[1]CRITERIOS!$S$16:$S$39,[1]CRITERIOS!$Y$16:$Y$39))*$J482+$Z482)))</f>
        <v>#N/A</v>
      </c>
      <c r="AK482" s="39" t="e">
        <f>IF($R482="MTO","",
IF($H482=0,ROUNDUP(((_xlfn.XLOOKUP($A482,'[1]DATOS PBI Artículos'!$A:$A,'[1]DATOS PBI Artículos'!$AO:$AO))/(_xlfn.XLOOKUP($AL$1,[1]CRITERIOS!$S$16:$S$39,[1]CRITERIOS!$Y$16:$Y$39))*$J482+$Z482)/$G482,0)*$G482,
((_xlfn.XLOOKUP($A482,'[1]DATOS PBI Artículos'!$A:$A,'[1]DATOS PBI Artículos'!$AO:$AO))/(_xlfn.XLOOKUP($AL$1,[1]CRITERIOS!$S$16:$S$39,[1]CRITERIOS!$Y$16:$Y$39))*$J482+$Z482)))</f>
        <v>#N/A</v>
      </c>
    </row>
    <row r="483" spans="1:37" ht="25.8" hidden="1" x14ac:dyDescent="0.4">
      <c r="A483" s="41"/>
      <c r="B483" s="33">
        <f>_xlfn.XLOOKUP($A483,'[1]DATOS PBI Artículos'!A:A,'[1]DATOS PBI Artículos'!B:B)</f>
        <v>0</v>
      </c>
      <c r="C483" s="33">
        <f>_xlfn.XLOOKUP($A483,'[1]DATOS PBI Artículos'!A:A,'[1]DATOS PBI Artículos'!C:C)</f>
        <v>0</v>
      </c>
      <c r="D483" s="33">
        <f>_xlfn.XLOOKUP(A483,'[1]DATOS PBI Artículos'!A:A,'[1]DATOS PBI Artículos'!T:T)</f>
        <v>0</v>
      </c>
      <c r="E483" s="34">
        <f>IF(_xlfn.XLOOKUP($A483,'[1]DATOS PBI Artículos'!A:A,'[1]DATOS PBI Artículos'!AK:AK)="",_xlfn.XLOOKUP($A483,'[1]DATOS PBI Artículos'!A:A,'[1]DATOS PBI Artículos'!AJ:AJ),_xlfn.XLOOKUP($A483,'[1]DATOS PBI Artículos'!A:A,'[1]DATOS PBI Artículos'!AK:AK))</f>
        <v>0</v>
      </c>
      <c r="F483" s="35">
        <f>_xlfn.XLOOKUP($A483,'[1]DATOS PBI Artículos'!A:A,'[1]DATOS PBI Artículos'!AP:AP)</f>
        <v>0</v>
      </c>
      <c r="G483" s="34">
        <f>_xlfn.XLOOKUP($A483,'[1]DATOS PBI Artículos'!A:A,'[1]DATOS PBI Artículos'!AR:AR)</f>
        <v>0</v>
      </c>
      <c r="H483" s="34">
        <f>_xlfn.XLOOKUP($A483,'[1]DATOS PBI Artículos'!A:A,'[1]DATOS PBI Artículos'!AT:AT)</f>
        <v>0</v>
      </c>
      <c r="I483" s="34">
        <f>_xlfn.XLOOKUP($A483,'[1]DATOS PBI Artículos'!A:A,'[1]DATOS PBI Artículos'!AS:AS)</f>
        <v>0</v>
      </c>
      <c r="J483" s="35">
        <f>IF(COUNTIF([1]CRITERIOS!$F$179:$F$199,$A483)&gt;=1,
 IF(O483&lt;&gt;"",
    (O483/_xlfn.XLOOKUP(CONCATENATE(A483,L483),[1]MÁQUINAS!A:A,[1]MÁQUINAS!D:D))/24,
    (N483/_xlfn.XLOOKUP(CONCATENATE(A483,L483),[1]MÁQUINAS!A:A,[1]MÁQUINAS!D:D))/24),
  _xlfn.XLOOKUP($A483,'[1]DATOS PBI Artículos'!A:A,'[1]DATOS PBI Artículos'!AU:AU))</f>
        <v>0</v>
      </c>
      <c r="K483" s="36">
        <f>_xlfn.XLOOKUP($A483,'[1]DATOS PBI Artículos'!A:A,'[1]DATOS PBI Artículos'!AV:AV)</f>
        <v>0</v>
      </c>
      <c r="L483" s="33">
        <f>_xlfn.XLOOKUP(A483,[1]MÁQUINAS!B:B,[1]MÁQUINAS!C:C)</f>
        <v>0</v>
      </c>
      <c r="M483" s="34">
        <f t="array" ref="M483">_xlfn.XLOOKUP(A483,'[1]DATOS PBI Artículos'!A:A,'[1]DATOS PBI Artículos'!AX:$AX)</f>
        <v>0</v>
      </c>
      <c r="N483" s="37" t="e">
        <f>IF(I483="DV",
E483,
IF(COUNTIF([1]CRITERIOS!$I$179:$I$199,$A483)&gt;=1,
_xlfn.XLOOKUP($A483,[1]CRITERIOS!$I$179:$I$199,[1]CRITERIOS!$J$179:$J$199),
IF(COUNTIF([1]CRITERIOS!$L$179:$L$199,$A483)&gt;=1,
_xlfn.CEILING.MATH(IF($M483&gt;$E483,
$E483,
IF($M483&lt;$E483/ROUNDDOWN([1]CRITERIOS!$M$16/_xlfn.XLOOKUP($C483,[1]CRITERIOS!$K$25:$K$42,[1]CRITERIOS!$M$25:$M$42),
1),
E483/ROUNDDOWN([1]CRITERIOS!$M$16/_xlfn.XLOOKUP($C483,[1]CRITERIOS!$K$25:$K$42,[1]CRITERIOS!$M$25:$M$42),
1),
$M483)),
_xlfn.XLOOKUP($A483,[1]CRITERIOS!$L$179:$L$200,[1]CRITERIOS!$M$179:$M$200)),
_xlfn.CEILING.MATH(IF($M483&gt;$E483,
$E483,
IF($M483&lt;$E483/ROUNDDOWN([1]CRITERIOS!$M$16/_xlfn.XLOOKUP($C483,[1]CRITERIOS!$K$25:$K$42,[1]CRITERIOS!$M$25:$M$42),
1),
E483/ROUNDDOWN([1]CRITERIOS!$M$16/_xlfn.XLOOKUP($C483,[1]CRITERIOS!$K$25:$K$42,[1]CRITERIOS!$M$25:$M$42),
1),
$M483)),_xlfn.XLOOKUP(A483,'[1]DATOS PBI Artículos'!A:A,'[1]DATOS PBI Artículos'!Z:Z
)))))</f>
        <v>#N/A</v>
      </c>
      <c r="Q483" s="38" t="e">
        <f>IF(AND(O483="",N483=0),
0,
   IF(COUNTIF([1]CRITERIOS!$F$179:$F$199,$A483)&gt;=1,
   1,
   IF(R483="MTO",
      $D483,
      ROUNDUP(
                    IF(($E483-SUMIF('[1]DATOS PBI Artículos'!A:A,A483,'[1]DATOS PBI Artículos'!X:X)+($V483-_xlfn.XLOOKUP(A483,'[1]DATOS PBI Artículos'!A:A,'[1]DATOS PBI Artículos'!W:W)))&lt;0,
                    0,
                    IF(($E483-SUMIF('[1]DATOS PBI Artículos'!A:A,A483,'[1]DATOS PBI Artículos'!X:X)+$V483-_xlfn.XLOOKUP($A483,'[1]DATOS PBI Artículos'!A:A,'[1]DATOS PBI Artículos'!W:W))/IF($O483="",$N483,$O483)&gt;ROUNDUP([1]CRITERIOS!$M$16/(IF(COUNTIF([1]CRITERIOS!$BG$11:$BG$201,L483)&gt;=1,_xlfn.XLOOKUP($C483,[1]CRITERIOS!$K$25:$K$42,[1]CRITERIOS!$M$25:$M$42),_xlfn.XLOOKUP($C483,[1]CRITERIOS!$K$25:$K$42,[1]CRITERIOS!$M$25:$M$42))),0),
                    ROUNDUP([1]CRITERIOS!$M$16/(IF(COUNTIF([1]CRITERIOS!$BG$11:$BG$201,$L483)&gt;=1,_xlfn.XLOOKUP($C483,[1]CRITERIOS!$K$25:$K$42,[1]CRITERIOS!$M$25:$M$42),_xlfn.XLOOKUP($C483,[1]CRITERIOS!$K$25:$K$42,[1]CRITERIOS!$M$25:$M$42))),0),
                    (E483+V483-SUMIF('[1]DATOS PBI Artículos'!A:A,A483,'[1]DATOS PBI Artículos'!X:X)-_xlfn.XLOOKUP(A483,'[1]DATOS PBI Artículos'!A:A,'[1]DATOS PBI Artículos'!W:W))/IF($O483="",$N483,$O483))),0))))</f>
        <v>#N/A</v>
      </c>
      <c r="R483" s="33" t="e">
        <f>IF(U483&lt;&gt;"",U483,IF(F483="DV","MTO",IF(N483=0,"MTO",_xlfn.XLOOKUP(CONCATENATE(S483,T483),[1]CRITERIOS!$K$160:$K$168,[1]CRITERIOS!$N$160:$N$168))))</f>
        <v>#N/A</v>
      </c>
      <c r="S483" s="33" t="e">
        <f>IF(G483="DV","MTO",IF(N483=0,"MTO",IF(OR(AND(N483=0,O483=""),IF(O483="",G483/N483,G483/O483)&gt;[1]CRITERIOS!$G$163),"MTO",IF(IF(O483="",G483/N483,G483/O483)&lt;[1]CRITERIOS!$H$161,"MTS","MTOS"))))</f>
        <v>#N/A</v>
      </c>
      <c r="T483" s="33" t="e">
        <f>IF(F483="DV","MTO",IF(OR(AND($N483=0,O483=""),$F483/$J483&gt;[1]CRITERIOS!$G$170,$F483="DV"),"MTO",IF($F483/$J483&lt;[1]CRITERIOS!$H$168,"MTS","MTOS")))</f>
        <v>#N/A</v>
      </c>
      <c r="V483" s="34" t="e">
        <f t="shared" si="25"/>
        <v>#N/A</v>
      </c>
      <c r="X483" s="34" t="e">
        <f t="shared" si="23"/>
        <v>#N/A</v>
      </c>
      <c r="Y483" s="34" t="e">
        <f t="shared" si="24"/>
        <v>#N/A</v>
      </c>
      <c r="Z483" s="34" t="e">
        <f>IF($R483="MTO",
0,
($H483+$K483*($E483/[1]CRITERIOS!$M$16))/[1]CRITERIOS!$X$48)</f>
        <v>#N/A</v>
      </c>
      <c r="AA483" s="34" t="e">
        <f>ROUNDUP(($Y483/_xlfn.XLOOKUP($A483,'[1]DATOS PBI Artículos'!$A$4:$A$4,'[1]DATOS PBI Artículos'!$Z$4:$Z$4))/_xlfn.XLOOKUP(_xlfn.XLOOKUP($A483,'[1]DATOS PBI Artículos'!$A$4:$A$4,'[1]DATOS PBI Artículos'!$Y$4:$Y$4),[1]CRITERIOS!$P$79:$P$123,[1]CRITERIOS!$S$79:$S$123,),0)</f>
        <v>#N/A</v>
      </c>
      <c r="AB483" s="33" t="e">
        <f t="array" ref="AB483">IF((E483+V483-_xlfn.XLOOKUP(A483,'[1]DATOS PBI Artículos'!$A$4:$A$4,'[1]DATOS PBI Artículos'!$W$4:$W$4))/N483&gt;ROUNDUP([1]CRITERIOS!$M$16/(IF(COUNTIF([1]CRITERIOS!$BG$11:$BG$201,L483)&gt;=1,_xlfn.XLOOKUP(ARTÍCULOS!L483,[1]CRITERIOS!$BG$11:$BG$201,[1]CRITERIOS!$BJ$11:$BJ$201),_xlfn.XLOOKUP(ARTÍCULOS!C483,[1]CRITERIOS!$K$25:$K$42,[1]CRITERIOS!$M$25:$M$42))),0),ROUNDUP([1]CRITERIOS!$M$16/(IF(COUNTIF([1]CRITERIOS!$BG$11:$BG$201,L483)&gt;=1,_xlfn.XLOOKUP(ARTÍCULOS!L483,[1]CRITERIOS!$BG$11:$BG$201:#REF!,[1]CRITERIOS!$BJ$11:$BJ$201),_xlfn.XLOOKUP(ARTÍCULOS!C483,[1]CRITERIOS!$K$25:$K$42,[1]CRITERIOS!$M$25:$M$42))),0),(E483+V483-_xlfn.XLOOKUP(A483,'[1]DATOS PBI Artículos'!$A$4:$A$4,'[1]DATOS PBI Artículos'!$W$4:$W$4))/N483)</f>
        <v>#N/A</v>
      </c>
      <c r="AC483" s="33" t="e">
        <f>IF(N483=0,"",(ROUNDUP((N483/2)/(_xlfn.XLOOKUP(A483,'[1]DATOS PBI Artículos'!$A$4:$A$4,'[1]DATOS PBI Artículos'!$Z$4:$Z$4)*_xlfn.XLOOKUP(_xlfn.XLOOKUP(A483,'[1]DATOS PBI Artículos'!$A$4:$A$4,'[1]DATOS PBI Artículos'!$Y$4:$Y$4),[1]CRITERIOS!$P$79:$P$123,[1]CRITERIOS!$S$79:$S$123)),0)*[1]CRITERIOS!$M$80*([1]CRITERIOS!$M$110/[1]CRITERIOS!$M$86)+(_xlfn.XLOOKUP(A483,'[1]DATOS PBI Artículos'!$A$4:$A$4,'[1]DATOS PBI Artículos'!$AA$4:$AA$4)*([1]CRITERIOS!$M$95+[1]CRITERIOS!$M$98)))/N483)</f>
        <v>#N/A</v>
      </c>
      <c r="AD483" s="33" t="e">
        <f>IF(N483=0,"",(ROUNDUP((N483/2)/(_xlfn.XLOOKUP(A483,'[1]DATOS PBI Artículos'!$A$4:$A$4,'[1]DATOS PBI Artículos'!$Z$4:$Z$4)*_xlfn.XLOOKUP(_xlfn.XLOOKUP(A483,'[1]DATOS PBI Artículos'!$A$4:$A$4,'[1]DATOS PBI Artículos'!$Y$4:$Y$4),[1]CRITERIOS!$P$79:$P$123,[1]CRITERIOS!$S$79:$S$123)),0)*[1]CRITERIOS!$M$80*([1]CRITERIOS!$M$89*[1]CRITERIOS!$M$92)+((_xlfn.XLOOKUP(A483,'[1]DATOS PBI Artículos'!$A$4:$A$4,'[1]DATOS PBI Artículos'!$AA$4:$AA$4)/2)*([1]CRITERIOS!$M$95+[1]CRITERIOS!$M$98)))/N483)</f>
        <v>#N/A</v>
      </c>
      <c r="AE483" s="39" t="e">
        <f>IF($R483="MTO","",
IF($H483=0,ROUNDUP(((_xlfn.XLOOKUP($A483,'[1]DATOS PBI Artículos'!$A:$A,'[1]DATOS PBI Artículos'!$AL:$AL))/(_xlfn.XLOOKUP($AF$1,[1]CRITERIOS!$S$16:$S$39,[1]CRITERIOS!$Y$16:$Y$39))*$J483+$Z483)/$G483,0)*$G483,
((_xlfn.XLOOKUP($A483,'[1]DATOS PBI Artículos'!$A:$A,'[1]DATOS PBI Artículos'!$AL:$AL))/(_xlfn.XLOOKUP($AF$1,[1]CRITERIOS!$S$16:$S$39,[1]CRITERIOS!$Y$16:$Y$39))*$J483+$Z483)))</f>
        <v>#N/A</v>
      </c>
      <c r="AG483" s="39" t="e">
        <f>IF($R483="MTO","",
IF($H483=0,ROUNDUP(((_xlfn.XLOOKUP($A483,'[1]DATOS PBI Artículos'!$A:$A,'[1]DATOS PBI Artículos'!$AM:$AM))/(_xlfn.XLOOKUP($AH$1,[1]CRITERIOS!$S$16:$S$39,[1]CRITERIOS!$Y$16:$Y$39))*$J483+$Z483)/$G483,0)*$G483,
((_xlfn.XLOOKUP($A483,'[1]DATOS PBI Artículos'!$A:$A,'[1]DATOS PBI Artículos'!$AM:$AM))/(_xlfn.XLOOKUP($AH$1,[1]CRITERIOS!$S$16:$S$39,[1]CRITERIOS!$Y$16:$Y$39))*$J483+$Z483)))</f>
        <v>#N/A</v>
      </c>
      <c r="AI483" s="39" t="e">
        <f>IF($R483="MTO","",
IF($H483=0,ROUNDUP(((_xlfn.XLOOKUP($A483,'[1]DATOS PBI Artículos'!$A:$A,'[1]DATOS PBI Artículos'!$AN:$AN))/(_xlfn.XLOOKUP($AJ$1,[1]CRITERIOS!$S$16:$S$39,[1]CRITERIOS!$Y$16:$Y$39))*$J483+$Z483)/$G483,0)*$G483,
((_xlfn.XLOOKUP($A483,'[1]DATOS PBI Artículos'!$A:$A,'[1]DATOS PBI Artículos'!$AN:$AN))/(_xlfn.XLOOKUP($AJ$1,[1]CRITERIOS!$S$16:$S$39,[1]CRITERIOS!$Y$16:$Y$39))*$J483+$Z483)))</f>
        <v>#N/A</v>
      </c>
      <c r="AK483" s="39" t="e">
        <f>IF($R483="MTO","",
IF($H483=0,ROUNDUP(((_xlfn.XLOOKUP($A483,'[1]DATOS PBI Artículos'!$A:$A,'[1]DATOS PBI Artículos'!$AO:$AO))/(_xlfn.XLOOKUP($AL$1,[1]CRITERIOS!$S$16:$S$39,[1]CRITERIOS!$Y$16:$Y$39))*$J483+$Z483)/$G483,0)*$G483,
((_xlfn.XLOOKUP($A483,'[1]DATOS PBI Artículos'!$A:$A,'[1]DATOS PBI Artículos'!$AO:$AO))/(_xlfn.XLOOKUP($AL$1,[1]CRITERIOS!$S$16:$S$39,[1]CRITERIOS!$Y$16:$Y$39))*$J483+$Z483)))</f>
        <v>#N/A</v>
      </c>
    </row>
    <row r="484" spans="1:37" ht="25.8" hidden="1" x14ac:dyDescent="0.4">
      <c r="A484" s="41"/>
      <c r="B484" s="33">
        <f>_xlfn.XLOOKUP($A484,'[1]DATOS PBI Artículos'!A:A,'[1]DATOS PBI Artículos'!B:B)</f>
        <v>0</v>
      </c>
      <c r="C484" s="33">
        <f>_xlfn.XLOOKUP($A484,'[1]DATOS PBI Artículos'!A:A,'[1]DATOS PBI Artículos'!C:C)</f>
        <v>0</v>
      </c>
      <c r="D484" s="33">
        <f>_xlfn.XLOOKUP(A484,'[1]DATOS PBI Artículos'!A:A,'[1]DATOS PBI Artículos'!T:T)</f>
        <v>0</v>
      </c>
      <c r="E484" s="34">
        <f>IF(_xlfn.XLOOKUP($A484,'[1]DATOS PBI Artículos'!A:A,'[1]DATOS PBI Artículos'!AK:AK)="",_xlfn.XLOOKUP($A484,'[1]DATOS PBI Artículos'!A:A,'[1]DATOS PBI Artículos'!AJ:AJ),_xlfn.XLOOKUP($A484,'[1]DATOS PBI Artículos'!A:A,'[1]DATOS PBI Artículos'!AK:AK))</f>
        <v>0</v>
      </c>
      <c r="F484" s="35">
        <f>_xlfn.XLOOKUP($A484,'[1]DATOS PBI Artículos'!A:A,'[1]DATOS PBI Artículos'!AP:AP)</f>
        <v>0</v>
      </c>
      <c r="G484" s="34">
        <f>_xlfn.XLOOKUP($A484,'[1]DATOS PBI Artículos'!A:A,'[1]DATOS PBI Artículos'!AR:AR)</f>
        <v>0</v>
      </c>
      <c r="H484" s="34">
        <f>_xlfn.XLOOKUP($A484,'[1]DATOS PBI Artículos'!A:A,'[1]DATOS PBI Artículos'!AT:AT)</f>
        <v>0</v>
      </c>
      <c r="I484" s="34">
        <f>_xlfn.XLOOKUP($A484,'[1]DATOS PBI Artículos'!A:A,'[1]DATOS PBI Artículos'!AS:AS)</f>
        <v>0</v>
      </c>
      <c r="J484" s="35">
        <f>IF(COUNTIF([1]CRITERIOS!$F$179:$F$199,$A484)&gt;=1,
 IF(O484&lt;&gt;"",
    (O484/_xlfn.XLOOKUP(CONCATENATE(A484,L484),[1]MÁQUINAS!A:A,[1]MÁQUINAS!D:D))/24,
    (N484/_xlfn.XLOOKUP(CONCATENATE(A484,L484),[1]MÁQUINAS!A:A,[1]MÁQUINAS!D:D))/24),
  _xlfn.XLOOKUP($A484,'[1]DATOS PBI Artículos'!A:A,'[1]DATOS PBI Artículos'!AU:AU))</f>
        <v>0</v>
      </c>
      <c r="K484" s="36">
        <f>_xlfn.XLOOKUP($A484,'[1]DATOS PBI Artículos'!A:A,'[1]DATOS PBI Artículos'!AV:AV)</f>
        <v>0</v>
      </c>
      <c r="L484" s="33">
        <f>_xlfn.XLOOKUP(A484,[1]MÁQUINAS!B:B,[1]MÁQUINAS!C:C)</f>
        <v>0</v>
      </c>
      <c r="M484" s="34">
        <f t="array" ref="M484">_xlfn.XLOOKUP(A484,'[1]DATOS PBI Artículos'!A:A,'[1]DATOS PBI Artículos'!AX:$AX)</f>
        <v>0</v>
      </c>
      <c r="N484" s="37" t="e">
        <f>IF(I484="DV",
E484,
IF(COUNTIF([1]CRITERIOS!$I$179:$I$199,$A484)&gt;=1,
_xlfn.XLOOKUP($A484,[1]CRITERIOS!$I$179:$I$199,[1]CRITERIOS!$J$179:$J$199),
IF(COUNTIF([1]CRITERIOS!$L$179:$L$199,$A484)&gt;=1,
_xlfn.CEILING.MATH(IF($M484&gt;$E484,
$E484,
IF($M484&lt;$E484/ROUNDDOWN([1]CRITERIOS!$M$16/_xlfn.XLOOKUP($C484,[1]CRITERIOS!$K$25:$K$42,[1]CRITERIOS!$M$25:$M$42),
1),
E484/ROUNDDOWN([1]CRITERIOS!$M$16/_xlfn.XLOOKUP($C484,[1]CRITERIOS!$K$25:$K$42,[1]CRITERIOS!$M$25:$M$42),
1),
$M484)),
_xlfn.XLOOKUP($A484,[1]CRITERIOS!$L$179:$L$200,[1]CRITERIOS!$M$179:$M$200)),
_xlfn.CEILING.MATH(IF($M484&gt;$E484,
$E484,
IF($M484&lt;$E484/ROUNDDOWN([1]CRITERIOS!$M$16/_xlfn.XLOOKUP($C484,[1]CRITERIOS!$K$25:$K$42,[1]CRITERIOS!$M$25:$M$42),
1),
E484/ROUNDDOWN([1]CRITERIOS!$M$16/_xlfn.XLOOKUP($C484,[1]CRITERIOS!$K$25:$K$42,[1]CRITERIOS!$M$25:$M$42),
1),
$M484)),_xlfn.XLOOKUP(A484,'[1]DATOS PBI Artículos'!A:A,'[1]DATOS PBI Artículos'!Z:Z
)))))</f>
        <v>#N/A</v>
      </c>
      <c r="Q484" s="38" t="e">
        <f>IF(AND(O484="",N484=0),
0,
   IF(COUNTIF([1]CRITERIOS!$F$179:$F$199,$A484)&gt;=1,
   1,
   IF(R484="MTO",
      $D484,
      ROUNDUP(
                    IF(($E484-SUMIF('[1]DATOS PBI Artículos'!A:A,A484,'[1]DATOS PBI Artículos'!X:X)+($V484-_xlfn.XLOOKUP(A484,'[1]DATOS PBI Artículos'!A:A,'[1]DATOS PBI Artículos'!W:W)))&lt;0,
                    0,
                    IF(($E484-SUMIF('[1]DATOS PBI Artículos'!A:A,A484,'[1]DATOS PBI Artículos'!X:X)+$V484-_xlfn.XLOOKUP($A484,'[1]DATOS PBI Artículos'!A:A,'[1]DATOS PBI Artículos'!W:W))/IF($O484="",$N484,$O484)&gt;ROUNDUP([1]CRITERIOS!$M$16/(IF(COUNTIF([1]CRITERIOS!$BG$11:$BG$201,L484)&gt;=1,_xlfn.XLOOKUP($C484,[1]CRITERIOS!$K$25:$K$42,[1]CRITERIOS!$M$25:$M$42),_xlfn.XLOOKUP($C484,[1]CRITERIOS!$K$25:$K$42,[1]CRITERIOS!$M$25:$M$42))),0),
                    ROUNDUP([1]CRITERIOS!$M$16/(IF(COUNTIF([1]CRITERIOS!$BG$11:$BG$201,$L484)&gt;=1,_xlfn.XLOOKUP($C484,[1]CRITERIOS!$K$25:$K$42,[1]CRITERIOS!$M$25:$M$42),_xlfn.XLOOKUP($C484,[1]CRITERIOS!$K$25:$K$42,[1]CRITERIOS!$M$25:$M$42))),0),
                    (E484+V484-SUMIF('[1]DATOS PBI Artículos'!A:A,A484,'[1]DATOS PBI Artículos'!X:X)-_xlfn.XLOOKUP(A484,'[1]DATOS PBI Artículos'!A:A,'[1]DATOS PBI Artículos'!W:W))/IF($O484="",$N484,$O484))),0))))</f>
        <v>#N/A</v>
      </c>
      <c r="R484" s="33" t="e">
        <f>IF(U484&lt;&gt;"",U484,IF(F484="DV","MTO",IF(N484=0,"MTO",_xlfn.XLOOKUP(CONCATENATE(S484,T484),[1]CRITERIOS!$K$160:$K$168,[1]CRITERIOS!$N$160:$N$168))))</f>
        <v>#N/A</v>
      </c>
      <c r="S484" s="33" t="e">
        <f>IF(G484="DV","MTO",IF(N484=0,"MTO",IF(OR(AND(N484=0,O484=""),IF(O484="",G484/N484,G484/O484)&gt;[1]CRITERIOS!$G$163),"MTO",IF(IF(O484="",G484/N484,G484/O484)&lt;[1]CRITERIOS!$H$161,"MTS","MTOS"))))</f>
        <v>#N/A</v>
      </c>
      <c r="T484" s="33" t="e">
        <f>IF(F484="DV","MTO",IF(OR(AND($N484=0,O484=""),$F484/$J484&gt;[1]CRITERIOS!$G$170,$F484="DV"),"MTO",IF($F484/$J484&lt;[1]CRITERIOS!$H$168,"MTS","MTOS")))</f>
        <v>#N/A</v>
      </c>
      <c r="V484" s="34" t="e">
        <f t="shared" si="25"/>
        <v>#N/A</v>
      </c>
      <c r="X484" s="34" t="e">
        <f t="shared" si="23"/>
        <v>#N/A</v>
      </c>
      <c r="Y484" s="34" t="e">
        <f t="shared" si="24"/>
        <v>#N/A</v>
      </c>
      <c r="Z484" s="34" t="e">
        <f>IF($R484="MTO",
0,
($H484+$K484*($E484/[1]CRITERIOS!$M$16))/[1]CRITERIOS!$X$48)</f>
        <v>#N/A</v>
      </c>
      <c r="AA484" s="34" t="e">
        <f>ROUNDUP(($Y484/_xlfn.XLOOKUP($A484,'[1]DATOS PBI Artículos'!$A$4:$A$4,'[1]DATOS PBI Artículos'!$Z$4:$Z$4))/_xlfn.XLOOKUP(_xlfn.XLOOKUP($A484,'[1]DATOS PBI Artículos'!$A$4:$A$4,'[1]DATOS PBI Artículos'!$Y$4:$Y$4),[1]CRITERIOS!$P$79:$P$123,[1]CRITERIOS!$S$79:$S$123,),0)</f>
        <v>#N/A</v>
      </c>
      <c r="AB484" s="33" t="e">
        <f t="array" ref="AB484">IF((E484+V484-_xlfn.XLOOKUP(A484,'[1]DATOS PBI Artículos'!$A$4:$A$4,'[1]DATOS PBI Artículos'!$W$4:$W$4))/N484&gt;ROUNDUP([1]CRITERIOS!$M$16/(IF(COUNTIF([1]CRITERIOS!$BG$11:$BG$201,L484)&gt;=1,_xlfn.XLOOKUP(ARTÍCULOS!L484,[1]CRITERIOS!$BG$11:$BG$201,[1]CRITERIOS!$BJ$11:$BJ$201),_xlfn.XLOOKUP(ARTÍCULOS!C484,[1]CRITERIOS!$K$25:$K$42,[1]CRITERIOS!$M$25:$M$42))),0),ROUNDUP([1]CRITERIOS!$M$16/(IF(COUNTIF([1]CRITERIOS!$BG$11:$BG$201,L484)&gt;=1,_xlfn.XLOOKUP(ARTÍCULOS!L484,[1]CRITERIOS!$BG$11:$BG$201:#REF!,[1]CRITERIOS!$BJ$11:$BJ$201),_xlfn.XLOOKUP(ARTÍCULOS!C484,[1]CRITERIOS!$K$25:$K$42,[1]CRITERIOS!$M$25:$M$42))),0),(E484+V484-_xlfn.XLOOKUP(A484,'[1]DATOS PBI Artículos'!$A$4:$A$4,'[1]DATOS PBI Artículos'!$W$4:$W$4))/N484)</f>
        <v>#N/A</v>
      </c>
      <c r="AC484" s="33" t="e">
        <f>IF(N484=0,"",(ROUNDUP((N484/2)/(_xlfn.XLOOKUP(A484,'[1]DATOS PBI Artículos'!$A$4:$A$4,'[1]DATOS PBI Artículos'!$Z$4:$Z$4)*_xlfn.XLOOKUP(_xlfn.XLOOKUP(A484,'[1]DATOS PBI Artículos'!$A$4:$A$4,'[1]DATOS PBI Artículos'!$Y$4:$Y$4),[1]CRITERIOS!$P$79:$P$123,[1]CRITERIOS!$S$79:$S$123)),0)*[1]CRITERIOS!$M$80*([1]CRITERIOS!$M$110/[1]CRITERIOS!$M$86)+(_xlfn.XLOOKUP(A484,'[1]DATOS PBI Artículos'!$A$4:$A$4,'[1]DATOS PBI Artículos'!$AA$4:$AA$4)*([1]CRITERIOS!$M$95+[1]CRITERIOS!$M$98)))/N484)</f>
        <v>#N/A</v>
      </c>
      <c r="AD484" s="33" t="e">
        <f>IF(N484=0,"",(ROUNDUP((N484/2)/(_xlfn.XLOOKUP(A484,'[1]DATOS PBI Artículos'!$A$4:$A$4,'[1]DATOS PBI Artículos'!$Z$4:$Z$4)*_xlfn.XLOOKUP(_xlfn.XLOOKUP(A484,'[1]DATOS PBI Artículos'!$A$4:$A$4,'[1]DATOS PBI Artículos'!$Y$4:$Y$4),[1]CRITERIOS!$P$79:$P$123,[1]CRITERIOS!$S$79:$S$123)),0)*[1]CRITERIOS!$M$80*([1]CRITERIOS!$M$89*[1]CRITERIOS!$M$92)+((_xlfn.XLOOKUP(A484,'[1]DATOS PBI Artículos'!$A$4:$A$4,'[1]DATOS PBI Artículos'!$AA$4:$AA$4)/2)*([1]CRITERIOS!$M$95+[1]CRITERIOS!$M$98)))/N484)</f>
        <v>#N/A</v>
      </c>
      <c r="AE484" s="39" t="e">
        <f>IF($R484="MTO","",
IF($H484=0,ROUNDUP(((_xlfn.XLOOKUP($A484,'[1]DATOS PBI Artículos'!$A:$A,'[1]DATOS PBI Artículos'!$AL:$AL))/(_xlfn.XLOOKUP($AF$1,[1]CRITERIOS!$S$16:$S$39,[1]CRITERIOS!$Y$16:$Y$39))*$J484+$Z484)/$G484,0)*$G484,
((_xlfn.XLOOKUP($A484,'[1]DATOS PBI Artículos'!$A:$A,'[1]DATOS PBI Artículos'!$AL:$AL))/(_xlfn.XLOOKUP($AF$1,[1]CRITERIOS!$S$16:$S$39,[1]CRITERIOS!$Y$16:$Y$39))*$J484+$Z484)))</f>
        <v>#N/A</v>
      </c>
      <c r="AG484" s="39" t="e">
        <f>IF($R484="MTO","",
IF($H484=0,ROUNDUP(((_xlfn.XLOOKUP($A484,'[1]DATOS PBI Artículos'!$A:$A,'[1]DATOS PBI Artículos'!$AM:$AM))/(_xlfn.XLOOKUP($AH$1,[1]CRITERIOS!$S$16:$S$39,[1]CRITERIOS!$Y$16:$Y$39))*$J484+$Z484)/$G484,0)*$G484,
((_xlfn.XLOOKUP($A484,'[1]DATOS PBI Artículos'!$A:$A,'[1]DATOS PBI Artículos'!$AM:$AM))/(_xlfn.XLOOKUP($AH$1,[1]CRITERIOS!$S$16:$S$39,[1]CRITERIOS!$Y$16:$Y$39))*$J484+$Z484)))</f>
        <v>#N/A</v>
      </c>
      <c r="AI484" s="39" t="e">
        <f>IF($R484="MTO","",
IF($H484=0,ROUNDUP(((_xlfn.XLOOKUP($A484,'[1]DATOS PBI Artículos'!$A:$A,'[1]DATOS PBI Artículos'!$AN:$AN))/(_xlfn.XLOOKUP($AJ$1,[1]CRITERIOS!$S$16:$S$39,[1]CRITERIOS!$Y$16:$Y$39))*$J484+$Z484)/$G484,0)*$G484,
((_xlfn.XLOOKUP($A484,'[1]DATOS PBI Artículos'!$A:$A,'[1]DATOS PBI Artículos'!$AN:$AN))/(_xlfn.XLOOKUP($AJ$1,[1]CRITERIOS!$S$16:$S$39,[1]CRITERIOS!$Y$16:$Y$39))*$J484+$Z484)))</f>
        <v>#N/A</v>
      </c>
      <c r="AK484" s="39" t="e">
        <f>IF($R484="MTO","",
IF($H484=0,ROUNDUP(((_xlfn.XLOOKUP($A484,'[1]DATOS PBI Artículos'!$A:$A,'[1]DATOS PBI Artículos'!$AO:$AO))/(_xlfn.XLOOKUP($AL$1,[1]CRITERIOS!$S$16:$S$39,[1]CRITERIOS!$Y$16:$Y$39))*$J484+$Z484)/$G484,0)*$G484,
((_xlfn.XLOOKUP($A484,'[1]DATOS PBI Artículos'!$A:$A,'[1]DATOS PBI Artículos'!$AO:$AO))/(_xlfn.XLOOKUP($AL$1,[1]CRITERIOS!$S$16:$S$39,[1]CRITERIOS!$Y$16:$Y$39))*$J484+$Z484)))</f>
        <v>#N/A</v>
      </c>
    </row>
    <row r="485" spans="1:37" ht="25.8" hidden="1" x14ac:dyDescent="0.4">
      <c r="A485" s="41"/>
      <c r="B485" s="33">
        <f>_xlfn.XLOOKUP($A485,'[1]DATOS PBI Artículos'!A:A,'[1]DATOS PBI Artículos'!B:B)</f>
        <v>0</v>
      </c>
      <c r="C485" s="33">
        <f>_xlfn.XLOOKUP($A485,'[1]DATOS PBI Artículos'!A:A,'[1]DATOS PBI Artículos'!C:C)</f>
        <v>0</v>
      </c>
      <c r="D485" s="33">
        <f>_xlfn.XLOOKUP(A485,'[1]DATOS PBI Artículos'!A:A,'[1]DATOS PBI Artículos'!T:T)</f>
        <v>0</v>
      </c>
      <c r="E485" s="34">
        <f>IF(_xlfn.XLOOKUP($A485,'[1]DATOS PBI Artículos'!A:A,'[1]DATOS PBI Artículos'!AK:AK)="",_xlfn.XLOOKUP($A485,'[1]DATOS PBI Artículos'!A:A,'[1]DATOS PBI Artículos'!AJ:AJ),_xlfn.XLOOKUP($A485,'[1]DATOS PBI Artículos'!A:A,'[1]DATOS PBI Artículos'!AK:AK))</f>
        <v>0</v>
      </c>
      <c r="F485" s="35">
        <f>_xlfn.XLOOKUP($A485,'[1]DATOS PBI Artículos'!A:A,'[1]DATOS PBI Artículos'!AP:AP)</f>
        <v>0</v>
      </c>
      <c r="G485" s="34">
        <f>_xlfn.XLOOKUP($A485,'[1]DATOS PBI Artículos'!A:A,'[1]DATOS PBI Artículos'!AR:AR)</f>
        <v>0</v>
      </c>
      <c r="H485" s="34">
        <f>_xlfn.XLOOKUP($A485,'[1]DATOS PBI Artículos'!A:A,'[1]DATOS PBI Artículos'!AT:AT)</f>
        <v>0</v>
      </c>
      <c r="I485" s="34">
        <f>_xlfn.XLOOKUP($A485,'[1]DATOS PBI Artículos'!A:A,'[1]DATOS PBI Artículos'!AS:AS)</f>
        <v>0</v>
      </c>
      <c r="J485" s="35">
        <f>IF(COUNTIF([1]CRITERIOS!$F$179:$F$199,$A485)&gt;=1,
 IF(O485&lt;&gt;"",
    (O485/_xlfn.XLOOKUP(CONCATENATE(A485,L485),[1]MÁQUINAS!A:A,[1]MÁQUINAS!D:D))/24,
    (N485/_xlfn.XLOOKUP(CONCATENATE(A485,L485),[1]MÁQUINAS!A:A,[1]MÁQUINAS!D:D))/24),
  _xlfn.XLOOKUP($A485,'[1]DATOS PBI Artículos'!A:A,'[1]DATOS PBI Artículos'!AU:AU))</f>
        <v>0</v>
      </c>
      <c r="K485" s="36">
        <f>_xlfn.XLOOKUP($A485,'[1]DATOS PBI Artículos'!A:A,'[1]DATOS PBI Artículos'!AV:AV)</f>
        <v>0</v>
      </c>
      <c r="L485" s="33">
        <f>_xlfn.XLOOKUP(A485,[1]MÁQUINAS!B:B,[1]MÁQUINAS!C:C)</f>
        <v>0</v>
      </c>
      <c r="M485" s="34">
        <f t="array" ref="M485">_xlfn.XLOOKUP(A485,'[1]DATOS PBI Artículos'!A:A,'[1]DATOS PBI Artículos'!AX:$AX)</f>
        <v>0</v>
      </c>
      <c r="N485" s="37" t="e">
        <f>IF(I485="DV",
E485,
IF(COUNTIF([1]CRITERIOS!$I$179:$I$199,$A485)&gt;=1,
_xlfn.XLOOKUP($A485,[1]CRITERIOS!$I$179:$I$199,[1]CRITERIOS!$J$179:$J$199),
IF(COUNTIF([1]CRITERIOS!$L$179:$L$199,$A485)&gt;=1,
_xlfn.CEILING.MATH(IF($M485&gt;$E485,
$E485,
IF($M485&lt;$E485/ROUNDDOWN([1]CRITERIOS!$M$16/_xlfn.XLOOKUP($C485,[1]CRITERIOS!$K$25:$K$42,[1]CRITERIOS!$M$25:$M$42),
1),
E485/ROUNDDOWN([1]CRITERIOS!$M$16/_xlfn.XLOOKUP($C485,[1]CRITERIOS!$K$25:$K$42,[1]CRITERIOS!$M$25:$M$42),
1),
$M485)),
_xlfn.XLOOKUP($A485,[1]CRITERIOS!$L$179:$L$200,[1]CRITERIOS!$M$179:$M$200)),
_xlfn.CEILING.MATH(IF($M485&gt;$E485,
$E485,
IF($M485&lt;$E485/ROUNDDOWN([1]CRITERIOS!$M$16/_xlfn.XLOOKUP($C485,[1]CRITERIOS!$K$25:$K$42,[1]CRITERIOS!$M$25:$M$42),
1),
E485/ROUNDDOWN([1]CRITERIOS!$M$16/_xlfn.XLOOKUP($C485,[1]CRITERIOS!$K$25:$K$42,[1]CRITERIOS!$M$25:$M$42),
1),
$M485)),_xlfn.XLOOKUP(A485,'[1]DATOS PBI Artículos'!A:A,'[1]DATOS PBI Artículos'!Z:Z
)))))</f>
        <v>#N/A</v>
      </c>
      <c r="Q485" s="38" t="e">
        <f>IF(AND(O485="",N485=0),
0,
   IF(COUNTIF([1]CRITERIOS!$F$179:$F$199,$A485)&gt;=1,
   1,
   IF(R485="MTO",
      $D485,
      ROUNDUP(
                    IF(($E485-SUMIF('[1]DATOS PBI Artículos'!A:A,A485,'[1]DATOS PBI Artículos'!X:X)+($V485-_xlfn.XLOOKUP(A485,'[1]DATOS PBI Artículos'!A:A,'[1]DATOS PBI Artículos'!W:W)))&lt;0,
                    0,
                    IF(($E485-SUMIF('[1]DATOS PBI Artículos'!A:A,A485,'[1]DATOS PBI Artículos'!X:X)+$V485-_xlfn.XLOOKUP($A485,'[1]DATOS PBI Artículos'!A:A,'[1]DATOS PBI Artículos'!W:W))/IF($O485="",$N485,$O485)&gt;ROUNDUP([1]CRITERIOS!$M$16/(IF(COUNTIF([1]CRITERIOS!$BG$11:$BG$201,L485)&gt;=1,_xlfn.XLOOKUP($C485,[1]CRITERIOS!$K$25:$K$42,[1]CRITERIOS!$M$25:$M$42),_xlfn.XLOOKUP($C485,[1]CRITERIOS!$K$25:$K$42,[1]CRITERIOS!$M$25:$M$42))),0),
                    ROUNDUP([1]CRITERIOS!$M$16/(IF(COUNTIF([1]CRITERIOS!$BG$11:$BG$201,$L485)&gt;=1,_xlfn.XLOOKUP($C485,[1]CRITERIOS!$K$25:$K$42,[1]CRITERIOS!$M$25:$M$42),_xlfn.XLOOKUP($C485,[1]CRITERIOS!$K$25:$K$42,[1]CRITERIOS!$M$25:$M$42))),0),
                    (E485+V485-SUMIF('[1]DATOS PBI Artículos'!A:A,A485,'[1]DATOS PBI Artículos'!X:X)-_xlfn.XLOOKUP(A485,'[1]DATOS PBI Artículos'!A:A,'[1]DATOS PBI Artículos'!W:W))/IF($O485="",$N485,$O485))),0))))</f>
        <v>#N/A</v>
      </c>
      <c r="R485" s="33" t="e">
        <f>IF(U485&lt;&gt;"",U485,IF(F485="DV","MTO",IF(N485=0,"MTO",_xlfn.XLOOKUP(CONCATENATE(S485,T485),[1]CRITERIOS!$K$160:$K$168,[1]CRITERIOS!$N$160:$N$168))))</f>
        <v>#N/A</v>
      </c>
      <c r="S485" s="33" t="e">
        <f>IF(G485="DV","MTO",IF(N485=0,"MTO",IF(OR(AND(N485=0,O485=""),IF(O485="",G485/N485,G485/O485)&gt;[1]CRITERIOS!$G$163),"MTO",IF(IF(O485="",G485/N485,G485/O485)&lt;[1]CRITERIOS!$H$161,"MTS","MTOS"))))</f>
        <v>#N/A</v>
      </c>
      <c r="T485" s="33" t="e">
        <f>IF(F485="DV","MTO",IF(OR(AND($N485=0,O485=""),$F485/$J485&gt;[1]CRITERIOS!$G$170,$F485="DV"),"MTO",IF($F485/$J485&lt;[1]CRITERIOS!$H$168,"MTS","MTOS")))</f>
        <v>#N/A</v>
      </c>
      <c r="V485" s="34" t="e">
        <f t="shared" si="25"/>
        <v>#N/A</v>
      </c>
      <c r="X485" s="34" t="e">
        <f t="shared" si="23"/>
        <v>#N/A</v>
      </c>
      <c r="Y485" s="34" t="e">
        <f t="shared" si="24"/>
        <v>#N/A</v>
      </c>
      <c r="Z485" s="34" t="e">
        <f>IF($R485="MTO",
0,
($H485+$K485*($E485/[1]CRITERIOS!$M$16))/[1]CRITERIOS!$X$48)</f>
        <v>#N/A</v>
      </c>
      <c r="AA485" s="34" t="e">
        <f>ROUNDUP(($Y485/_xlfn.XLOOKUP($A485,'[1]DATOS PBI Artículos'!$A$4:$A$4,'[1]DATOS PBI Artículos'!$Z$4:$Z$4))/_xlfn.XLOOKUP(_xlfn.XLOOKUP($A485,'[1]DATOS PBI Artículos'!$A$4:$A$4,'[1]DATOS PBI Artículos'!$Y$4:$Y$4),[1]CRITERIOS!$P$79:$P$123,[1]CRITERIOS!$S$79:$S$123,),0)</f>
        <v>#N/A</v>
      </c>
      <c r="AB485" s="33" t="e">
        <f t="array" ref="AB485">IF((E485+V485-_xlfn.XLOOKUP(A485,'[1]DATOS PBI Artículos'!$A$4:$A$4,'[1]DATOS PBI Artículos'!$W$4:$W$4))/N485&gt;ROUNDUP([1]CRITERIOS!$M$16/(IF(COUNTIF([1]CRITERIOS!$BG$11:$BG$201,L485)&gt;=1,_xlfn.XLOOKUP(ARTÍCULOS!L485,[1]CRITERIOS!$BG$11:$BG$201,[1]CRITERIOS!$BJ$11:$BJ$201),_xlfn.XLOOKUP(ARTÍCULOS!C485,[1]CRITERIOS!$K$25:$K$42,[1]CRITERIOS!$M$25:$M$42))),0),ROUNDUP([1]CRITERIOS!$M$16/(IF(COUNTIF([1]CRITERIOS!$BG$11:$BG$201,L485)&gt;=1,_xlfn.XLOOKUP(ARTÍCULOS!L485,[1]CRITERIOS!$BG$11:$BG$201:#REF!,[1]CRITERIOS!$BJ$11:$BJ$201),_xlfn.XLOOKUP(ARTÍCULOS!C485,[1]CRITERIOS!$K$25:$K$42,[1]CRITERIOS!$M$25:$M$42))),0),(E485+V485-_xlfn.XLOOKUP(A485,'[1]DATOS PBI Artículos'!$A$4:$A$4,'[1]DATOS PBI Artículos'!$W$4:$W$4))/N485)</f>
        <v>#N/A</v>
      </c>
      <c r="AC485" s="33" t="e">
        <f>IF(N485=0,"",(ROUNDUP((N485/2)/(_xlfn.XLOOKUP(A485,'[1]DATOS PBI Artículos'!$A$4:$A$4,'[1]DATOS PBI Artículos'!$Z$4:$Z$4)*_xlfn.XLOOKUP(_xlfn.XLOOKUP(A485,'[1]DATOS PBI Artículos'!$A$4:$A$4,'[1]DATOS PBI Artículos'!$Y$4:$Y$4),[1]CRITERIOS!$P$79:$P$123,[1]CRITERIOS!$S$79:$S$123)),0)*[1]CRITERIOS!$M$80*([1]CRITERIOS!$M$110/[1]CRITERIOS!$M$86)+(_xlfn.XLOOKUP(A485,'[1]DATOS PBI Artículos'!$A$4:$A$4,'[1]DATOS PBI Artículos'!$AA$4:$AA$4)*([1]CRITERIOS!$M$95+[1]CRITERIOS!$M$98)))/N485)</f>
        <v>#N/A</v>
      </c>
      <c r="AD485" s="33" t="e">
        <f>IF(N485=0,"",(ROUNDUP((N485/2)/(_xlfn.XLOOKUP(A485,'[1]DATOS PBI Artículos'!$A$4:$A$4,'[1]DATOS PBI Artículos'!$Z$4:$Z$4)*_xlfn.XLOOKUP(_xlfn.XLOOKUP(A485,'[1]DATOS PBI Artículos'!$A$4:$A$4,'[1]DATOS PBI Artículos'!$Y$4:$Y$4),[1]CRITERIOS!$P$79:$P$123,[1]CRITERIOS!$S$79:$S$123)),0)*[1]CRITERIOS!$M$80*([1]CRITERIOS!$M$89*[1]CRITERIOS!$M$92)+((_xlfn.XLOOKUP(A485,'[1]DATOS PBI Artículos'!$A$4:$A$4,'[1]DATOS PBI Artículos'!$AA$4:$AA$4)/2)*([1]CRITERIOS!$M$95+[1]CRITERIOS!$M$98)))/N485)</f>
        <v>#N/A</v>
      </c>
      <c r="AE485" s="39" t="e">
        <f>IF($R485="MTO","",
IF($H485=0,ROUNDUP(((_xlfn.XLOOKUP($A485,'[1]DATOS PBI Artículos'!$A:$A,'[1]DATOS PBI Artículos'!$AL:$AL))/(_xlfn.XLOOKUP($AF$1,[1]CRITERIOS!$S$16:$S$39,[1]CRITERIOS!$Y$16:$Y$39))*$J485+$Z485)/$G485,0)*$G485,
((_xlfn.XLOOKUP($A485,'[1]DATOS PBI Artículos'!$A:$A,'[1]DATOS PBI Artículos'!$AL:$AL))/(_xlfn.XLOOKUP($AF$1,[1]CRITERIOS!$S$16:$S$39,[1]CRITERIOS!$Y$16:$Y$39))*$J485+$Z485)))</f>
        <v>#N/A</v>
      </c>
      <c r="AG485" s="39" t="e">
        <f>IF($R485="MTO","",
IF($H485=0,ROUNDUP(((_xlfn.XLOOKUP($A485,'[1]DATOS PBI Artículos'!$A:$A,'[1]DATOS PBI Artículos'!$AM:$AM))/(_xlfn.XLOOKUP($AH$1,[1]CRITERIOS!$S$16:$S$39,[1]CRITERIOS!$Y$16:$Y$39))*$J485+$Z485)/$G485,0)*$G485,
((_xlfn.XLOOKUP($A485,'[1]DATOS PBI Artículos'!$A:$A,'[1]DATOS PBI Artículos'!$AM:$AM))/(_xlfn.XLOOKUP($AH$1,[1]CRITERIOS!$S$16:$S$39,[1]CRITERIOS!$Y$16:$Y$39))*$J485+$Z485)))</f>
        <v>#N/A</v>
      </c>
      <c r="AI485" s="39" t="e">
        <f>IF($R485="MTO","",
IF($H485=0,ROUNDUP(((_xlfn.XLOOKUP($A485,'[1]DATOS PBI Artículos'!$A:$A,'[1]DATOS PBI Artículos'!$AN:$AN))/(_xlfn.XLOOKUP($AJ$1,[1]CRITERIOS!$S$16:$S$39,[1]CRITERIOS!$Y$16:$Y$39))*$J485+$Z485)/$G485,0)*$G485,
((_xlfn.XLOOKUP($A485,'[1]DATOS PBI Artículos'!$A:$A,'[1]DATOS PBI Artículos'!$AN:$AN))/(_xlfn.XLOOKUP($AJ$1,[1]CRITERIOS!$S$16:$S$39,[1]CRITERIOS!$Y$16:$Y$39))*$J485+$Z485)))</f>
        <v>#N/A</v>
      </c>
      <c r="AK485" s="39" t="e">
        <f>IF($R485="MTO","",
IF($H485=0,ROUNDUP(((_xlfn.XLOOKUP($A485,'[1]DATOS PBI Artículos'!$A:$A,'[1]DATOS PBI Artículos'!$AO:$AO))/(_xlfn.XLOOKUP($AL$1,[1]CRITERIOS!$S$16:$S$39,[1]CRITERIOS!$Y$16:$Y$39))*$J485+$Z485)/$G485,0)*$G485,
((_xlfn.XLOOKUP($A485,'[1]DATOS PBI Artículos'!$A:$A,'[1]DATOS PBI Artículos'!$AO:$AO))/(_xlfn.XLOOKUP($AL$1,[1]CRITERIOS!$S$16:$S$39,[1]CRITERIOS!$Y$16:$Y$39))*$J485+$Z485)))</f>
        <v>#N/A</v>
      </c>
    </row>
    <row r="486" spans="1:37" ht="25.8" hidden="1" x14ac:dyDescent="0.4">
      <c r="A486" s="41"/>
      <c r="B486" s="33">
        <f>_xlfn.XLOOKUP($A486,'[1]DATOS PBI Artículos'!A:A,'[1]DATOS PBI Artículos'!B:B)</f>
        <v>0</v>
      </c>
      <c r="C486" s="33">
        <f>_xlfn.XLOOKUP($A486,'[1]DATOS PBI Artículos'!A:A,'[1]DATOS PBI Artículos'!C:C)</f>
        <v>0</v>
      </c>
      <c r="D486" s="33">
        <f>_xlfn.XLOOKUP(A486,'[1]DATOS PBI Artículos'!A:A,'[1]DATOS PBI Artículos'!T:T)</f>
        <v>0</v>
      </c>
      <c r="E486" s="34">
        <f>IF(_xlfn.XLOOKUP($A486,'[1]DATOS PBI Artículos'!A:A,'[1]DATOS PBI Artículos'!AK:AK)="",_xlfn.XLOOKUP($A486,'[1]DATOS PBI Artículos'!A:A,'[1]DATOS PBI Artículos'!AJ:AJ),_xlfn.XLOOKUP($A486,'[1]DATOS PBI Artículos'!A:A,'[1]DATOS PBI Artículos'!AK:AK))</f>
        <v>0</v>
      </c>
      <c r="F486" s="35">
        <f>_xlfn.XLOOKUP($A486,'[1]DATOS PBI Artículos'!A:A,'[1]DATOS PBI Artículos'!AP:AP)</f>
        <v>0</v>
      </c>
      <c r="G486" s="34">
        <f>_xlfn.XLOOKUP($A486,'[1]DATOS PBI Artículos'!A:A,'[1]DATOS PBI Artículos'!AR:AR)</f>
        <v>0</v>
      </c>
      <c r="H486" s="34">
        <f>_xlfn.XLOOKUP($A486,'[1]DATOS PBI Artículos'!A:A,'[1]DATOS PBI Artículos'!AT:AT)</f>
        <v>0</v>
      </c>
      <c r="I486" s="34">
        <f>_xlfn.XLOOKUP($A486,'[1]DATOS PBI Artículos'!A:A,'[1]DATOS PBI Artículos'!AS:AS)</f>
        <v>0</v>
      </c>
      <c r="J486" s="35">
        <f>IF(COUNTIF([1]CRITERIOS!$F$179:$F$199,$A486)&gt;=1,
 IF(O486&lt;&gt;"",
    (O486/_xlfn.XLOOKUP(CONCATENATE(A486,L486),[1]MÁQUINAS!A:A,[1]MÁQUINAS!D:D))/24,
    (N486/_xlfn.XLOOKUP(CONCATENATE(A486,L486),[1]MÁQUINAS!A:A,[1]MÁQUINAS!D:D))/24),
  _xlfn.XLOOKUP($A486,'[1]DATOS PBI Artículos'!A:A,'[1]DATOS PBI Artículos'!AU:AU))</f>
        <v>0</v>
      </c>
      <c r="K486" s="36">
        <f>_xlfn.XLOOKUP($A486,'[1]DATOS PBI Artículos'!A:A,'[1]DATOS PBI Artículos'!AV:AV)</f>
        <v>0</v>
      </c>
      <c r="L486" s="33">
        <f>_xlfn.XLOOKUP(A486,[1]MÁQUINAS!B:B,[1]MÁQUINAS!C:C)</f>
        <v>0</v>
      </c>
      <c r="M486" s="34">
        <f t="array" ref="M486">_xlfn.XLOOKUP(A486,'[1]DATOS PBI Artículos'!A:A,'[1]DATOS PBI Artículos'!AX:$AX)</f>
        <v>0</v>
      </c>
      <c r="N486" s="37" t="e">
        <f>IF(I486="DV",
E486,
IF(COUNTIF([1]CRITERIOS!$I$179:$I$199,$A486)&gt;=1,
_xlfn.XLOOKUP($A486,[1]CRITERIOS!$I$179:$I$199,[1]CRITERIOS!$J$179:$J$199),
IF(COUNTIF([1]CRITERIOS!$L$179:$L$199,$A486)&gt;=1,
_xlfn.CEILING.MATH(IF($M486&gt;$E486,
$E486,
IF($M486&lt;$E486/ROUNDDOWN([1]CRITERIOS!$M$16/_xlfn.XLOOKUP($C486,[1]CRITERIOS!$K$25:$K$42,[1]CRITERIOS!$M$25:$M$42),
1),
E486/ROUNDDOWN([1]CRITERIOS!$M$16/_xlfn.XLOOKUP($C486,[1]CRITERIOS!$K$25:$K$42,[1]CRITERIOS!$M$25:$M$42),
1),
$M486)),
_xlfn.XLOOKUP($A486,[1]CRITERIOS!$L$179:$L$200,[1]CRITERIOS!$M$179:$M$200)),
_xlfn.CEILING.MATH(IF($M486&gt;$E486,
$E486,
IF($M486&lt;$E486/ROUNDDOWN([1]CRITERIOS!$M$16/_xlfn.XLOOKUP($C486,[1]CRITERIOS!$K$25:$K$42,[1]CRITERIOS!$M$25:$M$42),
1),
E486/ROUNDDOWN([1]CRITERIOS!$M$16/_xlfn.XLOOKUP($C486,[1]CRITERIOS!$K$25:$K$42,[1]CRITERIOS!$M$25:$M$42),
1),
$M486)),_xlfn.XLOOKUP(A486,'[1]DATOS PBI Artículos'!A:A,'[1]DATOS PBI Artículos'!Z:Z
)))))</f>
        <v>#N/A</v>
      </c>
      <c r="Q486" s="38" t="e">
        <f>IF(AND(O486="",N486=0),
0,
   IF(COUNTIF([1]CRITERIOS!$F$179:$F$199,$A486)&gt;=1,
   1,
   IF(R486="MTO",
      $D486,
      ROUNDUP(
                    IF(($E486-SUMIF('[1]DATOS PBI Artículos'!A:A,A486,'[1]DATOS PBI Artículos'!X:X)+($V486-_xlfn.XLOOKUP(A486,'[1]DATOS PBI Artículos'!A:A,'[1]DATOS PBI Artículos'!W:W)))&lt;0,
                    0,
                    IF(($E486-SUMIF('[1]DATOS PBI Artículos'!A:A,A486,'[1]DATOS PBI Artículos'!X:X)+$V486-_xlfn.XLOOKUP($A486,'[1]DATOS PBI Artículos'!A:A,'[1]DATOS PBI Artículos'!W:W))/IF($O486="",$N486,$O486)&gt;ROUNDUP([1]CRITERIOS!$M$16/(IF(COUNTIF([1]CRITERIOS!$BG$11:$BG$201,L486)&gt;=1,_xlfn.XLOOKUP($C486,[1]CRITERIOS!$K$25:$K$42,[1]CRITERIOS!$M$25:$M$42),_xlfn.XLOOKUP($C486,[1]CRITERIOS!$K$25:$K$42,[1]CRITERIOS!$M$25:$M$42))),0),
                    ROUNDUP([1]CRITERIOS!$M$16/(IF(COUNTIF([1]CRITERIOS!$BG$11:$BG$201,$L486)&gt;=1,_xlfn.XLOOKUP($C486,[1]CRITERIOS!$K$25:$K$42,[1]CRITERIOS!$M$25:$M$42),_xlfn.XLOOKUP($C486,[1]CRITERIOS!$K$25:$K$42,[1]CRITERIOS!$M$25:$M$42))),0),
                    (E486+V486-SUMIF('[1]DATOS PBI Artículos'!A:A,A486,'[1]DATOS PBI Artículos'!X:X)-_xlfn.XLOOKUP(A486,'[1]DATOS PBI Artículos'!A:A,'[1]DATOS PBI Artículos'!W:W))/IF($O486="",$N486,$O486))),0))))</f>
        <v>#N/A</v>
      </c>
      <c r="R486" s="33" t="e">
        <f>IF(U486&lt;&gt;"",U486,IF(F486="DV","MTO",IF(N486=0,"MTO",_xlfn.XLOOKUP(CONCATENATE(S486,T486),[1]CRITERIOS!$K$160:$K$168,[1]CRITERIOS!$N$160:$N$168))))</f>
        <v>#N/A</v>
      </c>
      <c r="S486" s="33" t="e">
        <f>IF(G486="DV","MTO",IF(N486=0,"MTO",IF(OR(AND(N486=0,O486=""),IF(O486="",G486/N486,G486/O486)&gt;[1]CRITERIOS!$G$163),"MTO",IF(IF(O486="",G486/N486,G486/O486)&lt;[1]CRITERIOS!$H$161,"MTS","MTOS"))))</f>
        <v>#N/A</v>
      </c>
      <c r="T486" s="33" t="e">
        <f>IF(F486="DV","MTO",IF(OR(AND($N486=0,O486=""),$F486/$J486&gt;[1]CRITERIOS!$G$170,$F486="DV"),"MTO",IF($F486/$J486&lt;[1]CRITERIOS!$H$168,"MTS","MTOS")))</f>
        <v>#N/A</v>
      </c>
      <c r="V486" s="34" t="e">
        <f t="shared" si="25"/>
        <v>#N/A</v>
      </c>
      <c r="X486" s="34" t="e">
        <f t="shared" si="23"/>
        <v>#N/A</v>
      </c>
      <c r="Y486" s="34" t="e">
        <f t="shared" si="24"/>
        <v>#N/A</v>
      </c>
      <c r="Z486" s="34" t="e">
        <f>IF($R486="MTO",
0,
($H486+$K486*($E486/[1]CRITERIOS!$M$16))/[1]CRITERIOS!$X$48)</f>
        <v>#N/A</v>
      </c>
      <c r="AA486" s="34" t="e">
        <f>ROUNDUP(($Y486/_xlfn.XLOOKUP($A486,'[1]DATOS PBI Artículos'!$A$4:$A$4,'[1]DATOS PBI Artículos'!$Z$4:$Z$4))/_xlfn.XLOOKUP(_xlfn.XLOOKUP($A486,'[1]DATOS PBI Artículos'!$A$4:$A$4,'[1]DATOS PBI Artículos'!$Y$4:$Y$4),[1]CRITERIOS!$P$79:$P$123,[1]CRITERIOS!$S$79:$S$123,),0)</f>
        <v>#N/A</v>
      </c>
      <c r="AB486" s="33" t="e">
        <f t="array" ref="AB486">IF((E486+V486-_xlfn.XLOOKUP(A486,'[1]DATOS PBI Artículos'!$A$4:$A$4,'[1]DATOS PBI Artículos'!$W$4:$W$4))/N486&gt;ROUNDUP([1]CRITERIOS!$M$16/(IF(COUNTIF([1]CRITERIOS!$BG$11:$BG$201,L486)&gt;=1,_xlfn.XLOOKUP(ARTÍCULOS!L486,[1]CRITERIOS!$BG$11:$BG$201,[1]CRITERIOS!$BJ$11:$BJ$201),_xlfn.XLOOKUP(ARTÍCULOS!C486,[1]CRITERIOS!$K$25:$K$42,[1]CRITERIOS!$M$25:$M$42))),0),ROUNDUP([1]CRITERIOS!$M$16/(IF(COUNTIF([1]CRITERIOS!$BG$11:$BG$201,L486)&gt;=1,_xlfn.XLOOKUP(ARTÍCULOS!L486,[1]CRITERIOS!$BG$11:$BG$201:#REF!,[1]CRITERIOS!$BJ$11:$BJ$201),_xlfn.XLOOKUP(ARTÍCULOS!C486,[1]CRITERIOS!$K$25:$K$42,[1]CRITERIOS!$M$25:$M$42))),0),(E486+V486-_xlfn.XLOOKUP(A486,'[1]DATOS PBI Artículos'!$A$4:$A$4,'[1]DATOS PBI Artículos'!$W$4:$W$4))/N486)</f>
        <v>#N/A</v>
      </c>
      <c r="AC486" s="33" t="e">
        <f>IF(N486=0,"",(ROUNDUP((N486/2)/(_xlfn.XLOOKUP(A486,'[1]DATOS PBI Artículos'!$A$4:$A$4,'[1]DATOS PBI Artículos'!$Z$4:$Z$4)*_xlfn.XLOOKUP(_xlfn.XLOOKUP(A486,'[1]DATOS PBI Artículos'!$A$4:$A$4,'[1]DATOS PBI Artículos'!$Y$4:$Y$4),[1]CRITERIOS!$P$79:$P$123,[1]CRITERIOS!$S$79:$S$123)),0)*[1]CRITERIOS!$M$80*([1]CRITERIOS!$M$110/[1]CRITERIOS!$M$86)+(_xlfn.XLOOKUP(A486,'[1]DATOS PBI Artículos'!$A$4:$A$4,'[1]DATOS PBI Artículos'!$AA$4:$AA$4)*([1]CRITERIOS!$M$95+[1]CRITERIOS!$M$98)))/N486)</f>
        <v>#N/A</v>
      </c>
      <c r="AD486" s="33" t="e">
        <f>IF(N486=0,"",(ROUNDUP((N486/2)/(_xlfn.XLOOKUP(A486,'[1]DATOS PBI Artículos'!$A$4:$A$4,'[1]DATOS PBI Artículos'!$Z$4:$Z$4)*_xlfn.XLOOKUP(_xlfn.XLOOKUP(A486,'[1]DATOS PBI Artículos'!$A$4:$A$4,'[1]DATOS PBI Artículos'!$Y$4:$Y$4),[1]CRITERIOS!$P$79:$P$123,[1]CRITERIOS!$S$79:$S$123)),0)*[1]CRITERIOS!$M$80*([1]CRITERIOS!$M$89*[1]CRITERIOS!$M$92)+((_xlfn.XLOOKUP(A486,'[1]DATOS PBI Artículos'!$A$4:$A$4,'[1]DATOS PBI Artículos'!$AA$4:$AA$4)/2)*([1]CRITERIOS!$M$95+[1]CRITERIOS!$M$98)))/N486)</f>
        <v>#N/A</v>
      </c>
      <c r="AE486" s="39" t="e">
        <f>IF($R486="MTO","",
IF($H486=0,ROUNDUP(((_xlfn.XLOOKUP($A486,'[1]DATOS PBI Artículos'!$A:$A,'[1]DATOS PBI Artículos'!$AL:$AL))/(_xlfn.XLOOKUP($AF$1,[1]CRITERIOS!$S$16:$S$39,[1]CRITERIOS!$Y$16:$Y$39))*$J486+$Z486)/$G486,0)*$G486,
((_xlfn.XLOOKUP($A486,'[1]DATOS PBI Artículos'!$A:$A,'[1]DATOS PBI Artículos'!$AL:$AL))/(_xlfn.XLOOKUP($AF$1,[1]CRITERIOS!$S$16:$S$39,[1]CRITERIOS!$Y$16:$Y$39))*$J486+$Z486)))</f>
        <v>#N/A</v>
      </c>
      <c r="AG486" s="39" t="e">
        <f>IF($R486="MTO","",
IF($H486=0,ROUNDUP(((_xlfn.XLOOKUP($A486,'[1]DATOS PBI Artículos'!$A:$A,'[1]DATOS PBI Artículos'!$AM:$AM))/(_xlfn.XLOOKUP($AH$1,[1]CRITERIOS!$S$16:$S$39,[1]CRITERIOS!$Y$16:$Y$39))*$J486+$Z486)/$G486,0)*$G486,
((_xlfn.XLOOKUP($A486,'[1]DATOS PBI Artículos'!$A:$A,'[1]DATOS PBI Artículos'!$AM:$AM))/(_xlfn.XLOOKUP($AH$1,[1]CRITERIOS!$S$16:$S$39,[1]CRITERIOS!$Y$16:$Y$39))*$J486+$Z486)))</f>
        <v>#N/A</v>
      </c>
      <c r="AI486" s="39" t="e">
        <f>IF($R486="MTO","",
IF($H486=0,ROUNDUP(((_xlfn.XLOOKUP($A486,'[1]DATOS PBI Artículos'!$A:$A,'[1]DATOS PBI Artículos'!$AN:$AN))/(_xlfn.XLOOKUP($AJ$1,[1]CRITERIOS!$S$16:$S$39,[1]CRITERIOS!$Y$16:$Y$39))*$J486+$Z486)/$G486,0)*$G486,
((_xlfn.XLOOKUP($A486,'[1]DATOS PBI Artículos'!$A:$A,'[1]DATOS PBI Artículos'!$AN:$AN))/(_xlfn.XLOOKUP($AJ$1,[1]CRITERIOS!$S$16:$S$39,[1]CRITERIOS!$Y$16:$Y$39))*$J486+$Z486)))</f>
        <v>#N/A</v>
      </c>
      <c r="AK486" s="39" t="e">
        <f>IF($R486="MTO","",
IF($H486=0,ROUNDUP(((_xlfn.XLOOKUP($A486,'[1]DATOS PBI Artículos'!$A:$A,'[1]DATOS PBI Artículos'!$AO:$AO))/(_xlfn.XLOOKUP($AL$1,[1]CRITERIOS!$S$16:$S$39,[1]CRITERIOS!$Y$16:$Y$39))*$J486+$Z486)/$G486,0)*$G486,
((_xlfn.XLOOKUP($A486,'[1]DATOS PBI Artículos'!$A:$A,'[1]DATOS PBI Artículos'!$AO:$AO))/(_xlfn.XLOOKUP($AL$1,[1]CRITERIOS!$S$16:$S$39,[1]CRITERIOS!$Y$16:$Y$39))*$J486+$Z486)))</f>
        <v>#N/A</v>
      </c>
    </row>
    <row r="487" spans="1:37" ht="25.8" hidden="1" x14ac:dyDescent="0.4">
      <c r="A487" s="41"/>
      <c r="B487" s="33">
        <f>_xlfn.XLOOKUP($A487,'[1]DATOS PBI Artículos'!A:A,'[1]DATOS PBI Artículos'!B:B)</f>
        <v>0</v>
      </c>
      <c r="C487" s="33">
        <f>_xlfn.XLOOKUP($A487,'[1]DATOS PBI Artículos'!A:A,'[1]DATOS PBI Artículos'!C:C)</f>
        <v>0</v>
      </c>
      <c r="D487" s="33">
        <f>_xlfn.XLOOKUP(A487,'[1]DATOS PBI Artículos'!A:A,'[1]DATOS PBI Artículos'!T:T)</f>
        <v>0</v>
      </c>
      <c r="E487" s="34">
        <f>IF(_xlfn.XLOOKUP($A487,'[1]DATOS PBI Artículos'!A:A,'[1]DATOS PBI Artículos'!AK:AK)="",_xlfn.XLOOKUP($A487,'[1]DATOS PBI Artículos'!A:A,'[1]DATOS PBI Artículos'!AJ:AJ),_xlfn.XLOOKUP($A487,'[1]DATOS PBI Artículos'!A:A,'[1]DATOS PBI Artículos'!AK:AK))</f>
        <v>0</v>
      </c>
      <c r="F487" s="35">
        <f>_xlfn.XLOOKUP($A487,'[1]DATOS PBI Artículos'!A:A,'[1]DATOS PBI Artículos'!AP:AP)</f>
        <v>0</v>
      </c>
      <c r="G487" s="34">
        <f>_xlfn.XLOOKUP($A487,'[1]DATOS PBI Artículos'!A:A,'[1]DATOS PBI Artículos'!AR:AR)</f>
        <v>0</v>
      </c>
      <c r="H487" s="34">
        <f>_xlfn.XLOOKUP($A487,'[1]DATOS PBI Artículos'!A:A,'[1]DATOS PBI Artículos'!AT:AT)</f>
        <v>0</v>
      </c>
      <c r="I487" s="34">
        <f>_xlfn.XLOOKUP($A487,'[1]DATOS PBI Artículos'!A:A,'[1]DATOS PBI Artículos'!AS:AS)</f>
        <v>0</v>
      </c>
      <c r="J487" s="35">
        <f>IF(COUNTIF([1]CRITERIOS!$F$179:$F$199,$A487)&gt;=1,
 IF(O487&lt;&gt;"",
    (O487/_xlfn.XLOOKUP(CONCATENATE(A487,L487),[1]MÁQUINAS!A:A,[1]MÁQUINAS!D:D))/24,
    (N487/_xlfn.XLOOKUP(CONCATENATE(A487,L487),[1]MÁQUINAS!A:A,[1]MÁQUINAS!D:D))/24),
  _xlfn.XLOOKUP($A487,'[1]DATOS PBI Artículos'!A:A,'[1]DATOS PBI Artículos'!AU:AU))</f>
        <v>0</v>
      </c>
      <c r="K487" s="36">
        <f>_xlfn.XLOOKUP($A487,'[1]DATOS PBI Artículos'!A:A,'[1]DATOS PBI Artículos'!AV:AV)</f>
        <v>0</v>
      </c>
      <c r="L487" s="33">
        <f>_xlfn.XLOOKUP(A487,[1]MÁQUINAS!B:B,[1]MÁQUINAS!C:C)</f>
        <v>0</v>
      </c>
      <c r="M487" s="34">
        <f t="array" ref="M487">_xlfn.XLOOKUP(A487,'[1]DATOS PBI Artículos'!A:A,'[1]DATOS PBI Artículos'!AX:$AX)</f>
        <v>0</v>
      </c>
      <c r="N487" s="37" t="e">
        <f>IF(I487="DV",
E487,
IF(COUNTIF([1]CRITERIOS!$I$179:$I$199,$A487)&gt;=1,
_xlfn.XLOOKUP($A487,[1]CRITERIOS!$I$179:$I$199,[1]CRITERIOS!$J$179:$J$199),
IF(COUNTIF([1]CRITERIOS!$L$179:$L$199,$A487)&gt;=1,
_xlfn.CEILING.MATH(IF($M487&gt;$E487,
$E487,
IF($M487&lt;$E487/ROUNDDOWN([1]CRITERIOS!$M$16/_xlfn.XLOOKUP($C487,[1]CRITERIOS!$K$25:$K$42,[1]CRITERIOS!$M$25:$M$42),
1),
E487/ROUNDDOWN([1]CRITERIOS!$M$16/_xlfn.XLOOKUP($C487,[1]CRITERIOS!$K$25:$K$42,[1]CRITERIOS!$M$25:$M$42),
1),
$M487)),
_xlfn.XLOOKUP($A487,[1]CRITERIOS!$L$179:$L$200,[1]CRITERIOS!$M$179:$M$200)),
_xlfn.CEILING.MATH(IF($M487&gt;$E487,
$E487,
IF($M487&lt;$E487/ROUNDDOWN([1]CRITERIOS!$M$16/_xlfn.XLOOKUP($C487,[1]CRITERIOS!$K$25:$K$42,[1]CRITERIOS!$M$25:$M$42),
1),
E487/ROUNDDOWN([1]CRITERIOS!$M$16/_xlfn.XLOOKUP($C487,[1]CRITERIOS!$K$25:$K$42,[1]CRITERIOS!$M$25:$M$42),
1),
$M487)),_xlfn.XLOOKUP(A487,'[1]DATOS PBI Artículos'!A:A,'[1]DATOS PBI Artículos'!Z:Z
)))))</f>
        <v>#N/A</v>
      </c>
      <c r="Q487" s="38" t="e">
        <f>IF(AND(O487="",N487=0),
0,
   IF(COUNTIF([1]CRITERIOS!$F$179:$F$199,$A487)&gt;=1,
   1,
   IF(R487="MTO",
      $D487,
      ROUNDUP(
                    IF(($E487-SUMIF('[1]DATOS PBI Artículos'!A:A,A487,'[1]DATOS PBI Artículos'!X:X)+($V487-_xlfn.XLOOKUP(A487,'[1]DATOS PBI Artículos'!A:A,'[1]DATOS PBI Artículos'!W:W)))&lt;0,
                    0,
                    IF(($E487-SUMIF('[1]DATOS PBI Artículos'!A:A,A487,'[1]DATOS PBI Artículos'!X:X)+$V487-_xlfn.XLOOKUP($A487,'[1]DATOS PBI Artículos'!A:A,'[1]DATOS PBI Artículos'!W:W))/IF($O487="",$N487,$O487)&gt;ROUNDUP([1]CRITERIOS!$M$16/(IF(COUNTIF([1]CRITERIOS!$BG$11:$BG$201,L487)&gt;=1,_xlfn.XLOOKUP($C487,[1]CRITERIOS!$K$25:$K$42,[1]CRITERIOS!$M$25:$M$42),_xlfn.XLOOKUP($C487,[1]CRITERIOS!$K$25:$K$42,[1]CRITERIOS!$M$25:$M$42))),0),
                    ROUNDUP([1]CRITERIOS!$M$16/(IF(COUNTIF([1]CRITERIOS!$BG$11:$BG$201,$L487)&gt;=1,_xlfn.XLOOKUP($C487,[1]CRITERIOS!$K$25:$K$42,[1]CRITERIOS!$M$25:$M$42),_xlfn.XLOOKUP($C487,[1]CRITERIOS!$K$25:$K$42,[1]CRITERIOS!$M$25:$M$42))),0),
                    (E487+V487-SUMIF('[1]DATOS PBI Artículos'!A:A,A487,'[1]DATOS PBI Artículos'!X:X)-_xlfn.XLOOKUP(A487,'[1]DATOS PBI Artículos'!A:A,'[1]DATOS PBI Artículos'!W:W))/IF($O487="",$N487,$O487))),0))))</f>
        <v>#N/A</v>
      </c>
      <c r="R487" s="33" t="e">
        <f>IF(U487&lt;&gt;"",U487,IF(F487="DV","MTO",IF(N487=0,"MTO",_xlfn.XLOOKUP(CONCATENATE(S487,T487),[1]CRITERIOS!$K$160:$K$168,[1]CRITERIOS!$N$160:$N$168))))</f>
        <v>#N/A</v>
      </c>
      <c r="S487" s="33" t="e">
        <f>IF(G487="DV","MTO",IF(N487=0,"MTO",IF(OR(AND(N487=0,O487=""),IF(O487="",G487/N487,G487/O487)&gt;[1]CRITERIOS!$G$163),"MTO",IF(IF(O487="",G487/N487,G487/O487)&lt;[1]CRITERIOS!$H$161,"MTS","MTOS"))))</f>
        <v>#N/A</v>
      </c>
      <c r="T487" s="33" t="e">
        <f>IF(F487="DV","MTO",IF(OR(AND($N487=0,O487=""),$F487/$J487&gt;[1]CRITERIOS!$G$170,$F487="DV"),"MTO",IF($F487/$J487&lt;[1]CRITERIOS!$H$168,"MTS","MTOS")))</f>
        <v>#N/A</v>
      </c>
      <c r="V487" s="34" t="e">
        <f t="shared" si="25"/>
        <v>#N/A</v>
      </c>
      <c r="X487" s="34" t="e">
        <f t="shared" si="23"/>
        <v>#N/A</v>
      </c>
      <c r="Y487" s="34" t="e">
        <f t="shared" si="24"/>
        <v>#N/A</v>
      </c>
      <c r="Z487" s="34" t="e">
        <f>IF($R487="MTO",
0,
($H487+$K487*($E487/[1]CRITERIOS!$M$16))/[1]CRITERIOS!$X$48)</f>
        <v>#N/A</v>
      </c>
      <c r="AA487" s="34" t="e">
        <f>ROUNDUP(($Y487/_xlfn.XLOOKUP($A487,'[1]DATOS PBI Artículos'!$A$4:$A$4,'[1]DATOS PBI Artículos'!$Z$4:$Z$4))/_xlfn.XLOOKUP(_xlfn.XLOOKUP($A487,'[1]DATOS PBI Artículos'!$A$4:$A$4,'[1]DATOS PBI Artículos'!$Y$4:$Y$4),[1]CRITERIOS!$P$79:$P$123,[1]CRITERIOS!$S$79:$S$123,),0)</f>
        <v>#N/A</v>
      </c>
      <c r="AB487" s="33" t="e">
        <f t="array" ref="AB487">IF((E487+V487-_xlfn.XLOOKUP(A487,'[1]DATOS PBI Artículos'!$A$4:$A$4,'[1]DATOS PBI Artículos'!$W$4:$W$4))/N487&gt;ROUNDUP([1]CRITERIOS!$M$16/(IF(COUNTIF([1]CRITERIOS!$BG$11:$BG$201,L487)&gt;=1,_xlfn.XLOOKUP(ARTÍCULOS!L487,[1]CRITERIOS!$BG$11:$BG$201,[1]CRITERIOS!$BJ$11:$BJ$201),_xlfn.XLOOKUP(ARTÍCULOS!C487,[1]CRITERIOS!$K$25:$K$42,[1]CRITERIOS!$M$25:$M$42))),0),ROUNDUP([1]CRITERIOS!$M$16/(IF(COUNTIF([1]CRITERIOS!$BG$11:$BG$201,L487)&gt;=1,_xlfn.XLOOKUP(ARTÍCULOS!L487,[1]CRITERIOS!$BG$11:$BG$201:#REF!,[1]CRITERIOS!$BJ$11:$BJ$201),_xlfn.XLOOKUP(ARTÍCULOS!C487,[1]CRITERIOS!$K$25:$K$42,[1]CRITERIOS!$M$25:$M$42))),0),(E487+V487-_xlfn.XLOOKUP(A487,'[1]DATOS PBI Artículos'!$A$4:$A$4,'[1]DATOS PBI Artículos'!$W$4:$W$4))/N487)</f>
        <v>#N/A</v>
      </c>
      <c r="AC487" s="33" t="e">
        <f>IF(N487=0,"",(ROUNDUP((N487/2)/(_xlfn.XLOOKUP(A487,'[1]DATOS PBI Artículos'!$A$4:$A$4,'[1]DATOS PBI Artículos'!$Z$4:$Z$4)*_xlfn.XLOOKUP(_xlfn.XLOOKUP(A487,'[1]DATOS PBI Artículos'!$A$4:$A$4,'[1]DATOS PBI Artículos'!$Y$4:$Y$4),[1]CRITERIOS!$P$79:$P$123,[1]CRITERIOS!$S$79:$S$123)),0)*[1]CRITERIOS!$M$80*([1]CRITERIOS!$M$110/[1]CRITERIOS!$M$86)+(_xlfn.XLOOKUP(A487,'[1]DATOS PBI Artículos'!$A$4:$A$4,'[1]DATOS PBI Artículos'!$AA$4:$AA$4)*([1]CRITERIOS!$M$95+[1]CRITERIOS!$M$98)))/N487)</f>
        <v>#N/A</v>
      </c>
      <c r="AD487" s="33" t="e">
        <f>IF(N487=0,"",(ROUNDUP((N487/2)/(_xlfn.XLOOKUP(A487,'[1]DATOS PBI Artículos'!$A$4:$A$4,'[1]DATOS PBI Artículos'!$Z$4:$Z$4)*_xlfn.XLOOKUP(_xlfn.XLOOKUP(A487,'[1]DATOS PBI Artículos'!$A$4:$A$4,'[1]DATOS PBI Artículos'!$Y$4:$Y$4),[1]CRITERIOS!$P$79:$P$123,[1]CRITERIOS!$S$79:$S$123)),0)*[1]CRITERIOS!$M$80*([1]CRITERIOS!$M$89*[1]CRITERIOS!$M$92)+((_xlfn.XLOOKUP(A487,'[1]DATOS PBI Artículos'!$A$4:$A$4,'[1]DATOS PBI Artículos'!$AA$4:$AA$4)/2)*([1]CRITERIOS!$M$95+[1]CRITERIOS!$M$98)))/N487)</f>
        <v>#N/A</v>
      </c>
      <c r="AE487" s="39" t="e">
        <f>IF($R487="MTO","",
IF($H487=0,ROUNDUP(((_xlfn.XLOOKUP($A487,'[1]DATOS PBI Artículos'!$A:$A,'[1]DATOS PBI Artículos'!$AL:$AL))/(_xlfn.XLOOKUP($AF$1,[1]CRITERIOS!$S$16:$S$39,[1]CRITERIOS!$Y$16:$Y$39))*$J487+$Z487)/$G487,0)*$G487,
((_xlfn.XLOOKUP($A487,'[1]DATOS PBI Artículos'!$A:$A,'[1]DATOS PBI Artículos'!$AL:$AL))/(_xlfn.XLOOKUP($AF$1,[1]CRITERIOS!$S$16:$S$39,[1]CRITERIOS!$Y$16:$Y$39))*$J487+$Z487)))</f>
        <v>#N/A</v>
      </c>
      <c r="AG487" s="39" t="e">
        <f>IF($R487="MTO","",
IF($H487=0,ROUNDUP(((_xlfn.XLOOKUP($A487,'[1]DATOS PBI Artículos'!$A:$A,'[1]DATOS PBI Artículos'!$AM:$AM))/(_xlfn.XLOOKUP($AH$1,[1]CRITERIOS!$S$16:$S$39,[1]CRITERIOS!$Y$16:$Y$39))*$J487+$Z487)/$G487,0)*$G487,
((_xlfn.XLOOKUP($A487,'[1]DATOS PBI Artículos'!$A:$A,'[1]DATOS PBI Artículos'!$AM:$AM))/(_xlfn.XLOOKUP($AH$1,[1]CRITERIOS!$S$16:$S$39,[1]CRITERIOS!$Y$16:$Y$39))*$J487+$Z487)))</f>
        <v>#N/A</v>
      </c>
      <c r="AI487" s="39" t="e">
        <f>IF($R487="MTO","",
IF($H487=0,ROUNDUP(((_xlfn.XLOOKUP($A487,'[1]DATOS PBI Artículos'!$A:$A,'[1]DATOS PBI Artículos'!$AN:$AN))/(_xlfn.XLOOKUP($AJ$1,[1]CRITERIOS!$S$16:$S$39,[1]CRITERIOS!$Y$16:$Y$39))*$J487+$Z487)/$G487,0)*$G487,
((_xlfn.XLOOKUP($A487,'[1]DATOS PBI Artículos'!$A:$A,'[1]DATOS PBI Artículos'!$AN:$AN))/(_xlfn.XLOOKUP($AJ$1,[1]CRITERIOS!$S$16:$S$39,[1]CRITERIOS!$Y$16:$Y$39))*$J487+$Z487)))</f>
        <v>#N/A</v>
      </c>
      <c r="AK487" s="39" t="e">
        <f>IF($R487="MTO","",
IF($H487=0,ROUNDUP(((_xlfn.XLOOKUP($A487,'[1]DATOS PBI Artículos'!$A:$A,'[1]DATOS PBI Artículos'!$AO:$AO))/(_xlfn.XLOOKUP($AL$1,[1]CRITERIOS!$S$16:$S$39,[1]CRITERIOS!$Y$16:$Y$39))*$J487+$Z487)/$G487,0)*$G487,
((_xlfn.XLOOKUP($A487,'[1]DATOS PBI Artículos'!$A:$A,'[1]DATOS PBI Artículos'!$AO:$AO))/(_xlfn.XLOOKUP($AL$1,[1]CRITERIOS!$S$16:$S$39,[1]CRITERIOS!$Y$16:$Y$39))*$J487+$Z487)))</f>
        <v>#N/A</v>
      </c>
    </row>
    <row r="488" spans="1:37" ht="25.8" hidden="1" x14ac:dyDescent="0.4">
      <c r="A488" s="41"/>
      <c r="B488" s="33">
        <f>_xlfn.XLOOKUP($A488,'[1]DATOS PBI Artículos'!A:A,'[1]DATOS PBI Artículos'!B:B)</f>
        <v>0</v>
      </c>
      <c r="C488" s="33">
        <f>_xlfn.XLOOKUP($A488,'[1]DATOS PBI Artículos'!A:A,'[1]DATOS PBI Artículos'!C:C)</f>
        <v>0</v>
      </c>
      <c r="D488" s="33">
        <f>_xlfn.XLOOKUP(A488,'[1]DATOS PBI Artículos'!A:A,'[1]DATOS PBI Artículos'!T:T)</f>
        <v>0</v>
      </c>
      <c r="E488" s="34">
        <f>IF(_xlfn.XLOOKUP($A488,'[1]DATOS PBI Artículos'!A:A,'[1]DATOS PBI Artículos'!AK:AK)="",_xlfn.XLOOKUP($A488,'[1]DATOS PBI Artículos'!A:A,'[1]DATOS PBI Artículos'!AJ:AJ),_xlfn.XLOOKUP($A488,'[1]DATOS PBI Artículos'!A:A,'[1]DATOS PBI Artículos'!AK:AK))</f>
        <v>0</v>
      </c>
      <c r="F488" s="35">
        <f>_xlfn.XLOOKUP($A488,'[1]DATOS PBI Artículos'!A:A,'[1]DATOS PBI Artículos'!AP:AP)</f>
        <v>0</v>
      </c>
      <c r="G488" s="34">
        <f>_xlfn.XLOOKUP($A488,'[1]DATOS PBI Artículos'!A:A,'[1]DATOS PBI Artículos'!AR:AR)</f>
        <v>0</v>
      </c>
      <c r="H488" s="34">
        <f>_xlfn.XLOOKUP($A488,'[1]DATOS PBI Artículos'!A:A,'[1]DATOS PBI Artículos'!AT:AT)</f>
        <v>0</v>
      </c>
      <c r="I488" s="34">
        <f>_xlfn.XLOOKUP($A488,'[1]DATOS PBI Artículos'!A:A,'[1]DATOS PBI Artículos'!AS:AS)</f>
        <v>0</v>
      </c>
      <c r="J488" s="35">
        <f>IF(COUNTIF([1]CRITERIOS!$F$179:$F$199,$A488)&gt;=1,
 IF(O488&lt;&gt;"",
    (O488/_xlfn.XLOOKUP(CONCATENATE(A488,L488),[1]MÁQUINAS!A:A,[1]MÁQUINAS!D:D))/24,
    (N488/_xlfn.XLOOKUP(CONCATENATE(A488,L488),[1]MÁQUINAS!A:A,[1]MÁQUINAS!D:D))/24),
  _xlfn.XLOOKUP($A488,'[1]DATOS PBI Artículos'!A:A,'[1]DATOS PBI Artículos'!AU:AU))</f>
        <v>0</v>
      </c>
      <c r="K488" s="36">
        <f>_xlfn.XLOOKUP($A488,'[1]DATOS PBI Artículos'!A:A,'[1]DATOS PBI Artículos'!AV:AV)</f>
        <v>0</v>
      </c>
      <c r="L488" s="33">
        <f>_xlfn.XLOOKUP(A488,[1]MÁQUINAS!B:B,[1]MÁQUINAS!C:C)</f>
        <v>0</v>
      </c>
      <c r="M488" s="34">
        <f t="array" ref="M488">_xlfn.XLOOKUP(A488,'[1]DATOS PBI Artículos'!A:A,'[1]DATOS PBI Artículos'!AX:$AX)</f>
        <v>0</v>
      </c>
      <c r="N488" s="37" t="e">
        <f>IF(I488="DV",
E488,
IF(COUNTIF([1]CRITERIOS!$I$179:$I$199,$A488)&gt;=1,
_xlfn.XLOOKUP($A488,[1]CRITERIOS!$I$179:$I$199,[1]CRITERIOS!$J$179:$J$199),
IF(COUNTIF([1]CRITERIOS!$L$179:$L$199,$A488)&gt;=1,
_xlfn.CEILING.MATH(IF($M488&gt;$E488,
$E488,
IF($M488&lt;$E488/ROUNDDOWN([1]CRITERIOS!$M$16/_xlfn.XLOOKUP($C488,[1]CRITERIOS!$K$25:$K$42,[1]CRITERIOS!$M$25:$M$42),
1),
E488/ROUNDDOWN([1]CRITERIOS!$M$16/_xlfn.XLOOKUP($C488,[1]CRITERIOS!$K$25:$K$42,[1]CRITERIOS!$M$25:$M$42),
1),
$M488)),
_xlfn.XLOOKUP($A488,[1]CRITERIOS!$L$179:$L$200,[1]CRITERIOS!$M$179:$M$200)),
_xlfn.CEILING.MATH(IF($M488&gt;$E488,
$E488,
IF($M488&lt;$E488/ROUNDDOWN([1]CRITERIOS!$M$16/_xlfn.XLOOKUP($C488,[1]CRITERIOS!$K$25:$K$42,[1]CRITERIOS!$M$25:$M$42),
1),
E488/ROUNDDOWN([1]CRITERIOS!$M$16/_xlfn.XLOOKUP($C488,[1]CRITERIOS!$K$25:$K$42,[1]CRITERIOS!$M$25:$M$42),
1),
$M488)),_xlfn.XLOOKUP(A488,'[1]DATOS PBI Artículos'!A:A,'[1]DATOS PBI Artículos'!Z:Z
)))))</f>
        <v>#N/A</v>
      </c>
      <c r="Q488" s="38" t="e">
        <f>IF(AND(O488="",N488=0),
0,
   IF(COUNTIF([1]CRITERIOS!$F$179:$F$199,$A488)&gt;=1,
   1,
   IF(R488="MTO",
      $D488,
      ROUNDUP(
                    IF(($E488-SUMIF('[1]DATOS PBI Artículos'!A:A,A488,'[1]DATOS PBI Artículos'!X:X)+($V488-_xlfn.XLOOKUP(A488,'[1]DATOS PBI Artículos'!A:A,'[1]DATOS PBI Artículos'!W:W)))&lt;0,
                    0,
                    IF(($E488-SUMIF('[1]DATOS PBI Artículos'!A:A,A488,'[1]DATOS PBI Artículos'!X:X)+$V488-_xlfn.XLOOKUP($A488,'[1]DATOS PBI Artículos'!A:A,'[1]DATOS PBI Artículos'!W:W))/IF($O488="",$N488,$O488)&gt;ROUNDUP([1]CRITERIOS!$M$16/(IF(COUNTIF([1]CRITERIOS!$BG$11:$BG$201,L488)&gt;=1,_xlfn.XLOOKUP($C488,[1]CRITERIOS!$K$25:$K$42,[1]CRITERIOS!$M$25:$M$42),_xlfn.XLOOKUP($C488,[1]CRITERIOS!$K$25:$K$42,[1]CRITERIOS!$M$25:$M$42))),0),
                    ROUNDUP([1]CRITERIOS!$M$16/(IF(COUNTIF([1]CRITERIOS!$BG$11:$BG$201,$L488)&gt;=1,_xlfn.XLOOKUP($C488,[1]CRITERIOS!$K$25:$K$42,[1]CRITERIOS!$M$25:$M$42),_xlfn.XLOOKUP($C488,[1]CRITERIOS!$K$25:$K$42,[1]CRITERIOS!$M$25:$M$42))),0),
                    (E488+V488-SUMIF('[1]DATOS PBI Artículos'!A:A,A488,'[1]DATOS PBI Artículos'!X:X)-_xlfn.XLOOKUP(A488,'[1]DATOS PBI Artículos'!A:A,'[1]DATOS PBI Artículos'!W:W))/IF($O488="",$N488,$O488))),0))))</f>
        <v>#N/A</v>
      </c>
      <c r="R488" s="33" t="e">
        <f>IF(U488&lt;&gt;"",U488,IF(F488="DV","MTO",IF(N488=0,"MTO",_xlfn.XLOOKUP(CONCATENATE(S488,T488),[1]CRITERIOS!$K$160:$K$168,[1]CRITERIOS!$N$160:$N$168))))</f>
        <v>#N/A</v>
      </c>
      <c r="S488" s="33" t="e">
        <f>IF(G488="DV","MTO",IF(N488=0,"MTO",IF(OR(AND(N488=0,O488=""),IF(O488="",G488/N488,G488/O488)&gt;[1]CRITERIOS!$G$163),"MTO",IF(IF(O488="",G488/N488,G488/O488)&lt;[1]CRITERIOS!$H$161,"MTS","MTOS"))))</f>
        <v>#N/A</v>
      </c>
      <c r="T488" s="33" t="e">
        <f>IF(F488="DV","MTO",IF(OR(AND($N488=0,O488=""),$F488/$J488&gt;[1]CRITERIOS!$G$170,$F488="DV"),"MTO",IF($F488/$J488&lt;[1]CRITERIOS!$H$168,"MTS","MTOS")))</f>
        <v>#N/A</v>
      </c>
      <c r="V488" s="34" t="e">
        <f t="shared" si="25"/>
        <v>#N/A</v>
      </c>
      <c r="X488" s="34" t="e">
        <f t="shared" si="23"/>
        <v>#N/A</v>
      </c>
      <c r="Y488" s="34" t="e">
        <f t="shared" si="24"/>
        <v>#N/A</v>
      </c>
      <c r="Z488" s="34" t="e">
        <f>IF($R488="MTO",
0,
($H488+$K488*($E488/[1]CRITERIOS!$M$16))/[1]CRITERIOS!$X$48)</f>
        <v>#N/A</v>
      </c>
      <c r="AA488" s="34" t="e">
        <f>ROUNDUP(($Y488/_xlfn.XLOOKUP($A488,'[1]DATOS PBI Artículos'!$A$4:$A$4,'[1]DATOS PBI Artículos'!$Z$4:$Z$4))/_xlfn.XLOOKUP(_xlfn.XLOOKUP($A488,'[1]DATOS PBI Artículos'!$A$4:$A$4,'[1]DATOS PBI Artículos'!$Y$4:$Y$4),[1]CRITERIOS!$P$79:$P$123,[1]CRITERIOS!$S$79:$S$123,),0)</f>
        <v>#N/A</v>
      </c>
      <c r="AB488" s="33" t="e">
        <f t="array" ref="AB488">IF((E488+V488-_xlfn.XLOOKUP(A488,'[1]DATOS PBI Artículos'!$A$4:$A$4,'[1]DATOS PBI Artículos'!$W$4:$W$4))/N488&gt;ROUNDUP([1]CRITERIOS!$M$16/(IF(COUNTIF([1]CRITERIOS!$BG$11:$BG$201,L488)&gt;=1,_xlfn.XLOOKUP(ARTÍCULOS!L488,[1]CRITERIOS!$BG$11:$BG$201,[1]CRITERIOS!$BJ$11:$BJ$201),_xlfn.XLOOKUP(ARTÍCULOS!C488,[1]CRITERIOS!$K$25:$K$42,[1]CRITERIOS!$M$25:$M$42))),0),ROUNDUP([1]CRITERIOS!$M$16/(IF(COUNTIF([1]CRITERIOS!$BG$11:$BG$201,L488)&gt;=1,_xlfn.XLOOKUP(ARTÍCULOS!L488,[1]CRITERIOS!$BG$11:$BG$201:#REF!,[1]CRITERIOS!$BJ$11:$BJ$201),_xlfn.XLOOKUP(ARTÍCULOS!C488,[1]CRITERIOS!$K$25:$K$42,[1]CRITERIOS!$M$25:$M$42))),0),(E488+V488-_xlfn.XLOOKUP(A488,'[1]DATOS PBI Artículos'!$A$4:$A$4,'[1]DATOS PBI Artículos'!$W$4:$W$4))/N488)</f>
        <v>#N/A</v>
      </c>
      <c r="AC488" s="33" t="e">
        <f>IF(N488=0,"",(ROUNDUP((N488/2)/(_xlfn.XLOOKUP(A488,'[1]DATOS PBI Artículos'!$A$4:$A$4,'[1]DATOS PBI Artículos'!$Z$4:$Z$4)*_xlfn.XLOOKUP(_xlfn.XLOOKUP(A488,'[1]DATOS PBI Artículos'!$A$4:$A$4,'[1]DATOS PBI Artículos'!$Y$4:$Y$4),[1]CRITERIOS!$P$79:$P$123,[1]CRITERIOS!$S$79:$S$123)),0)*[1]CRITERIOS!$M$80*([1]CRITERIOS!$M$110/[1]CRITERIOS!$M$86)+(_xlfn.XLOOKUP(A488,'[1]DATOS PBI Artículos'!$A$4:$A$4,'[1]DATOS PBI Artículos'!$AA$4:$AA$4)*([1]CRITERIOS!$M$95+[1]CRITERIOS!$M$98)))/N488)</f>
        <v>#N/A</v>
      </c>
      <c r="AD488" s="33" t="e">
        <f>IF(N488=0,"",(ROUNDUP((N488/2)/(_xlfn.XLOOKUP(A488,'[1]DATOS PBI Artículos'!$A$4:$A$4,'[1]DATOS PBI Artículos'!$Z$4:$Z$4)*_xlfn.XLOOKUP(_xlfn.XLOOKUP(A488,'[1]DATOS PBI Artículos'!$A$4:$A$4,'[1]DATOS PBI Artículos'!$Y$4:$Y$4),[1]CRITERIOS!$P$79:$P$123,[1]CRITERIOS!$S$79:$S$123)),0)*[1]CRITERIOS!$M$80*([1]CRITERIOS!$M$89*[1]CRITERIOS!$M$92)+((_xlfn.XLOOKUP(A488,'[1]DATOS PBI Artículos'!$A$4:$A$4,'[1]DATOS PBI Artículos'!$AA$4:$AA$4)/2)*([1]CRITERIOS!$M$95+[1]CRITERIOS!$M$98)))/N488)</f>
        <v>#N/A</v>
      </c>
      <c r="AE488" s="39" t="e">
        <f>IF($R488="MTO","",
IF($H488=0,ROUNDUP(((_xlfn.XLOOKUP($A488,'[1]DATOS PBI Artículos'!$A:$A,'[1]DATOS PBI Artículos'!$AL:$AL))/(_xlfn.XLOOKUP($AF$1,[1]CRITERIOS!$S$16:$S$39,[1]CRITERIOS!$Y$16:$Y$39))*$J488+$Z488)/$G488,0)*$G488,
((_xlfn.XLOOKUP($A488,'[1]DATOS PBI Artículos'!$A:$A,'[1]DATOS PBI Artículos'!$AL:$AL))/(_xlfn.XLOOKUP($AF$1,[1]CRITERIOS!$S$16:$S$39,[1]CRITERIOS!$Y$16:$Y$39))*$J488+$Z488)))</f>
        <v>#N/A</v>
      </c>
      <c r="AG488" s="39" t="e">
        <f>IF($R488="MTO","",
IF($H488=0,ROUNDUP(((_xlfn.XLOOKUP($A488,'[1]DATOS PBI Artículos'!$A:$A,'[1]DATOS PBI Artículos'!$AM:$AM))/(_xlfn.XLOOKUP($AH$1,[1]CRITERIOS!$S$16:$S$39,[1]CRITERIOS!$Y$16:$Y$39))*$J488+$Z488)/$G488,0)*$G488,
((_xlfn.XLOOKUP($A488,'[1]DATOS PBI Artículos'!$A:$A,'[1]DATOS PBI Artículos'!$AM:$AM))/(_xlfn.XLOOKUP($AH$1,[1]CRITERIOS!$S$16:$S$39,[1]CRITERIOS!$Y$16:$Y$39))*$J488+$Z488)))</f>
        <v>#N/A</v>
      </c>
      <c r="AI488" s="39" t="e">
        <f>IF($R488="MTO","",
IF($H488=0,ROUNDUP(((_xlfn.XLOOKUP($A488,'[1]DATOS PBI Artículos'!$A:$A,'[1]DATOS PBI Artículos'!$AN:$AN))/(_xlfn.XLOOKUP($AJ$1,[1]CRITERIOS!$S$16:$S$39,[1]CRITERIOS!$Y$16:$Y$39))*$J488+$Z488)/$G488,0)*$G488,
((_xlfn.XLOOKUP($A488,'[1]DATOS PBI Artículos'!$A:$A,'[1]DATOS PBI Artículos'!$AN:$AN))/(_xlfn.XLOOKUP($AJ$1,[1]CRITERIOS!$S$16:$S$39,[1]CRITERIOS!$Y$16:$Y$39))*$J488+$Z488)))</f>
        <v>#N/A</v>
      </c>
      <c r="AK488" s="39" t="e">
        <f>IF($R488="MTO","",
IF($H488=0,ROUNDUP(((_xlfn.XLOOKUP($A488,'[1]DATOS PBI Artículos'!$A:$A,'[1]DATOS PBI Artículos'!$AO:$AO))/(_xlfn.XLOOKUP($AL$1,[1]CRITERIOS!$S$16:$S$39,[1]CRITERIOS!$Y$16:$Y$39))*$J488+$Z488)/$G488,0)*$G488,
((_xlfn.XLOOKUP($A488,'[1]DATOS PBI Artículos'!$A:$A,'[1]DATOS PBI Artículos'!$AO:$AO))/(_xlfn.XLOOKUP($AL$1,[1]CRITERIOS!$S$16:$S$39,[1]CRITERIOS!$Y$16:$Y$39))*$J488+$Z488)))</f>
        <v>#N/A</v>
      </c>
    </row>
    <row r="489" spans="1:37" ht="25.8" hidden="1" x14ac:dyDescent="0.4">
      <c r="A489" s="41"/>
      <c r="B489" s="33">
        <f>_xlfn.XLOOKUP($A489,'[1]DATOS PBI Artículos'!A:A,'[1]DATOS PBI Artículos'!B:B)</f>
        <v>0</v>
      </c>
      <c r="C489" s="33">
        <f>_xlfn.XLOOKUP($A489,'[1]DATOS PBI Artículos'!A:A,'[1]DATOS PBI Artículos'!C:C)</f>
        <v>0</v>
      </c>
      <c r="D489" s="33">
        <f>_xlfn.XLOOKUP(A489,'[1]DATOS PBI Artículos'!A:A,'[1]DATOS PBI Artículos'!T:T)</f>
        <v>0</v>
      </c>
      <c r="E489" s="34">
        <f>IF(_xlfn.XLOOKUP($A489,'[1]DATOS PBI Artículos'!A:A,'[1]DATOS PBI Artículos'!AK:AK)="",_xlfn.XLOOKUP($A489,'[1]DATOS PBI Artículos'!A:A,'[1]DATOS PBI Artículos'!AJ:AJ),_xlfn.XLOOKUP($A489,'[1]DATOS PBI Artículos'!A:A,'[1]DATOS PBI Artículos'!AK:AK))</f>
        <v>0</v>
      </c>
      <c r="F489" s="35">
        <f>_xlfn.XLOOKUP($A489,'[1]DATOS PBI Artículos'!A:A,'[1]DATOS PBI Artículos'!AP:AP)</f>
        <v>0</v>
      </c>
      <c r="G489" s="34">
        <f>_xlfn.XLOOKUP($A489,'[1]DATOS PBI Artículos'!A:A,'[1]DATOS PBI Artículos'!AR:AR)</f>
        <v>0</v>
      </c>
      <c r="H489" s="34">
        <f>_xlfn.XLOOKUP($A489,'[1]DATOS PBI Artículos'!A:A,'[1]DATOS PBI Artículos'!AT:AT)</f>
        <v>0</v>
      </c>
      <c r="I489" s="34">
        <f>_xlfn.XLOOKUP($A489,'[1]DATOS PBI Artículos'!A:A,'[1]DATOS PBI Artículos'!AS:AS)</f>
        <v>0</v>
      </c>
      <c r="J489" s="35">
        <f>IF(COUNTIF([1]CRITERIOS!$F$179:$F$199,$A489)&gt;=1,
 IF(O489&lt;&gt;"",
    (O489/_xlfn.XLOOKUP(CONCATENATE(A489,L489),[1]MÁQUINAS!A:A,[1]MÁQUINAS!D:D))/24,
    (N489/_xlfn.XLOOKUP(CONCATENATE(A489,L489),[1]MÁQUINAS!A:A,[1]MÁQUINAS!D:D))/24),
  _xlfn.XLOOKUP($A489,'[1]DATOS PBI Artículos'!A:A,'[1]DATOS PBI Artículos'!AU:AU))</f>
        <v>0</v>
      </c>
      <c r="K489" s="36">
        <f>_xlfn.XLOOKUP($A489,'[1]DATOS PBI Artículos'!A:A,'[1]DATOS PBI Artículos'!AV:AV)</f>
        <v>0</v>
      </c>
      <c r="L489" s="33">
        <f>_xlfn.XLOOKUP(A489,[1]MÁQUINAS!B:B,[1]MÁQUINAS!C:C)</f>
        <v>0</v>
      </c>
      <c r="M489" s="34">
        <f t="array" ref="M489">_xlfn.XLOOKUP(A489,'[1]DATOS PBI Artículos'!A:A,'[1]DATOS PBI Artículos'!AX:$AX)</f>
        <v>0</v>
      </c>
      <c r="N489" s="37" t="e">
        <f>IF(I489="DV",
E489,
IF(COUNTIF([1]CRITERIOS!$I$179:$I$199,$A489)&gt;=1,
_xlfn.XLOOKUP($A489,[1]CRITERIOS!$I$179:$I$199,[1]CRITERIOS!$J$179:$J$199),
IF(COUNTIF([1]CRITERIOS!$L$179:$L$199,$A489)&gt;=1,
_xlfn.CEILING.MATH(IF($M489&gt;$E489,
$E489,
IF($M489&lt;$E489/ROUNDDOWN([1]CRITERIOS!$M$16/_xlfn.XLOOKUP($C489,[1]CRITERIOS!$K$25:$K$42,[1]CRITERIOS!$M$25:$M$42),
1),
E489/ROUNDDOWN([1]CRITERIOS!$M$16/_xlfn.XLOOKUP($C489,[1]CRITERIOS!$K$25:$K$42,[1]CRITERIOS!$M$25:$M$42),
1),
$M489)),
_xlfn.XLOOKUP($A489,[1]CRITERIOS!$L$179:$L$200,[1]CRITERIOS!$M$179:$M$200)),
_xlfn.CEILING.MATH(IF($M489&gt;$E489,
$E489,
IF($M489&lt;$E489/ROUNDDOWN([1]CRITERIOS!$M$16/_xlfn.XLOOKUP($C489,[1]CRITERIOS!$K$25:$K$42,[1]CRITERIOS!$M$25:$M$42),
1),
E489/ROUNDDOWN([1]CRITERIOS!$M$16/_xlfn.XLOOKUP($C489,[1]CRITERIOS!$K$25:$K$42,[1]CRITERIOS!$M$25:$M$42),
1),
$M489)),_xlfn.XLOOKUP(A489,'[1]DATOS PBI Artículos'!A:A,'[1]DATOS PBI Artículos'!Z:Z
)))))</f>
        <v>#N/A</v>
      </c>
      <c r="Q489" s="38" t="e">
        <f>IF(AND(O489="",N489=0),
0,
   IF(COUNTIF([1]CRITERIOS!$F$179:$F$199,$A489)&gt;=1,
   1,
   IF(R489="MTO",
      $D489,
      ROUNDUP(
                    IF(($E489-SUMIF('[1]DATOS PBI Artículos'!A:A,A489,'[1]DATOS PBI Artículos'!X:X)+($V489-_xlfn.XLOOKUP(A489,'[1]DATOS PBI Artículos'!A:A,'[1]DATOS PBI Artículos'!W:W)))&lt;0,
                    0,
                    IF(($E489-SUMIF('[1]DATOS PBI Artículos'!A:A,A489,'[1]DATOS PBI Artículos'!X:X)+$V489-_xlfn.XLOOKUP($A489,'[1]DATOS PBI Artículos'!A:A,'[1]DATOS PBI Artículos'!W:W))/IF($O489="",$N489,$O489)&gt;ROUNDUP([1]CRITERIOS!$M$16/(IF(COUNTIF([1]CRITERIOS!$BG$11:$BG$201,L489)&gt;=1,_xlfn.XLOOKUP($C489,[1]CRITERIOS!$K$25:$K$42,[1]CRITERIOS!$M$25:$M$42),_xlfn.XLOOKUP($C489,[1]CRITERIOS!$K$25:$K$42,[1]CRITERIOS!$M$25:$M$42))),0),
                    ROUNDUP([1]CRITERIOS!$M$16/(IF(COUNTIF([1]CRITERIOS!$BG$11:$BG$201,$L489)&gt;=1,_xlfn.XLOOKUP($C489,[1]CRITERIOS!$K$25:$K$42,[1]CRITERIOS!$M$25:$M$42),_xlfn.XLOOKUP($C489,[1]CRITERIOS!$K$25:$K$42,[1]CRITERIOS!$M$25:$M$42))),0),
                    (E489+V489-SUMIF('[1]DATOS PBI Artículos'!A:A,A489,'[1]DATOS PBI Artículos'!X:X)-_xlfn.XLOOKUP(A489,'[1]DATOS PBI Artículos'!A:A,'[1]DATOS PBI Artículos'!W:W))/IF($O489="",$N489,$O489))),0))))</f>
        <v>#N/A</v>
      </c>
      <c r="R489" s="33" t="e">
        <f>IF(U489&lt;&gt;"",U489,IF(F489="DV","MTO",IF(N489=0,"MTO",_xlfn.XLOOKUP(CONCATENATE(S489,T489),[1]CRITERIOS!$K$160:$K$168,[1]CRITERIOS!$N$160:$N$168))))</f>
        <v>#N/A</v>
      </c>
      <c r="S489" s="33" t="e">
        <f>IF(G489="DV","MTO",IF(N489=0,"MTO",IF(OR(AND(N489=0,O489=""),IF(O489="",G489/N489,G489/O489)&gt;[1]CRITERIOS!$G$163),"MTO",IF(IF(O489="",G489/N489,G489/O489)&lt;[1]CRITERIOS!$H$161,"MTS","MTOS"))))</f>
        <v>#N/A</v>
      </c>
      <c r="T489" s="33" t="e">
        <f>IF(F489="DV","MTO",IF(OR(AND($N489=0,O489=""),$F489/$J489&gt;[1]CRITERIOS!$G$170,$F489="DV"),"MTO",IF($F489/$J489&lt;[1]CRITERIOS!$H$168,"MTS","MTOS")))</f>
        <v>#N/A</v>
      </c>
      <c r="V489" s="34" t="e">
        <f t="shared" si="25"/>
        <v>#N/A</v>
      </c>
      <c r="X489" s="34" t="e">
        <f t="shared" si="23"/>
        <v>#N/A</v>
      </c>
      <c r="Y489" s="34" t="e">
        <f t="shared" si="24"/>
        <v>#N/A</v>
      </c>
      <c r="Z489" s="34" t="e">
        <f>IF($R489="MTO",
0,
($H489+$K489*($E489/[1]CRITERIOS!$M$16))/[1]CRITERIOS!$X$48)</f>
        <v>#N/A</v>
      </c>
      <c r="AA489" s="34" t="e">
        <f>ROUNDUP(($Y489/_xlfn.XLOOKUP($A489,'[1]DATOS PBI Artículos'!$A$4:$A$4,'[1]DATOS PBI Artículos'!$Z$4:$Z$4))/_xlfn.XLOOKUP(_xlfn.XLOOKUP($A489,'[1]DATOS PBI Artículos'!$A$4:$A$4,'[1]DATOS PBI Artículos'!$Y$4:$Y$4),[1]CRITERIOS!$P$79:$P$123,[1]CRITERIOS!$S$79:$S$123,),0)</f>
        <v>#N/A</v>
      </c>
      <c r="AB489" s="33" t="e">
        <f t="array" ref="AB489">IF((E489+V489-_xlfn.XLOOKUP(A489,'[1]DATOS PBI Artículos'!$A$4:$A$4,'[1]DATOS PBI Artículos'!$W$4:$W$4))/N489&gt;ROUNDUP([1]CRITERIOS!$M$16/(IF(COUNTIF([1]CRITERIOS!$BG$11:$BG$201,L489)&gt;=1,_xlfn.XLOOKUP(ARTÍCULOS!L489,[1]CRITERIOS!$BG$11:$BG$201,[1]CRITERIOS!$BJ$11:$BJ$201),_xlfn.XLOOKUP(ARTÍCULOS!C489,[1]CRITERIOS!$K$25:$K$42,[1]CRITERIOS!$M$25:$M$42))),0),ROUNDUP([1]CRITERIOS!$M$16/(IF(COUNTIF([1]CRITERIOS!$BG$11:$BG$201,L489)&gt;=1,_xlfn.XLOOKUP(ARTÍCULOS!L489,[1]CRITERIOS!$BG$11:$BG$201:#REF!,[1]CRITERIOS!$BJ$11:$BJ$201),_xlfn.XLOOKUP(ARTÍCULOS!C489,[1]CRITERIOS!$K$25:$K$42,[1]CRITERIOS!$M$25:$M$42))),0),(E489+V489-_xlfn.XLOOKUP(A489,'[1]DATOS PBI Artículos'!$A$4:$A$4,'[1]DATOS PBI Artículos'!$W$4:$W$4))/N489)</f>
        <v>#N/A</v>
      </c>
      <c r="AC489" s="33" t="e">
        <f>IF(N489=0,"",(ROUNDUP((N489/2)/(_xlfn.XLOOKUP(A489,'[1]DATOS PBI Artículos'!$A$4:$A$4,'[1]DATOS PBI Artículos'!$Z$4:$Z$4)*_xlfn.XLOOKUP(_xlfn.XLOOKUP(A489,'[1]DATOS PBI Artículos'!$A$4:$A$4,'[1]DATOS PBI Artículos'!$Y$4:$Y$4),[1]CRITERIOS!$P$79:$P$123,[1]CRITERIOS!$S$79:$S$123)),0)*[1]CRITERIOS!$M$80*([1]CRITERIOS!$M$110/[1]CRITERIOS!$M$86)+(_xlfn.XLOOKUP(A489,'[1]DATOS PBI Artículos'!$A$4:$A$4,'[1]DATOS PBI Artículos'!$AA$4:$AA$4)*([1]CRITERIOS!$M$95+[1]CRITERIOS!$M$98)))/N489)</f>
        <v>#N/A</v>
      </c>
      <c r="AD489" s="33" t="e">
        <f>IF(N489=0,"",(ROUNDUP((N489/2)/(_xlfn.XLOOKUP(A489,'[1]DATOS PBI Artículos'!$A$4:$A$4,'[1]DATOS PBI Artículos'!$Z$4:$Z$4)*_xlfn.XLOOKUP(_xlfn.XLOOKUP(A489,'[1]DATOS PBI Artículos'!$A$4:$A$4,'[1]DATOS PBI Artículos'!$Y$4:$Y$4),[1]CRITERIOS!$P$79:$P$123,[1]CRITERIOS!$S$79:$S$123)),0)*[1]CRITERIOS!$M$80*([1]CRITERIOS!$M$89*[1]CRITERIOS!$M$92)+((_xlfn.XLOOKUP(A489,'[1]DATOS PBI Artículos'!$A$4:$A$4,'[1]DATOS PBI Artículos'!$AA$4:$AA$4)/2)*([1]CRITERIOS!$M$95+[1]CRITERIOS!$M$98)))/N489)</f>
        <v>#N/A</v>
      </c>
      <c r="AE489" s="39" t="e">
        <f>IF($R489="MTO","",
IF($H489=0,ROUNDUP(((_xlfn.XLOOKUP($A489,'[1]DATOS PBI Artículos'!$A:$A,'[1]DATOS PBI Artículos'!$AL:$AL))/(_xlfn.XLOOKUP($AF$1,[1]CRITERIOS!$S$16:$S$39,[1]CRITERIOS!$Y$16:$Y$39))*$J489+$Z489)/$G489,0)*$G489,
((_xlfn.XLOOKUP($A489,'[1]DATOS PBI Artículos'!$A:$A,'[1]DATOS PBI Artículos'!$AL:$AL))/(_xlfn.XLOOKUP($AF$1,[1]CRITERIOS!$S$16:$S$39,[1]CRITERIOS!$Y$16:$Y$39))*$J489+$Z489)))</f>
        <v>#N/A</v>
      </c>
      <c r="AG489" s="39" t="e">
        <f>IF($R489="MTO","",
IF($H489=0,ROUNDUP(((_xlfn.XLOOKUP($A489,'[1]DATOS PBI Artículos'!$A:$A,'[1]DATOS PBI Artículos'!$AM:$AM))/(_xlfn.XLOOKUP($AH$1,[1]CRITERIOS!$S$16:$S$39,[1]CRITERIOS!$Y$16:$Y$39))*$J489+$Z489)/$G489,0)*$G489,
((_xlfn.XLOOKUP($A489,'[1]DATOS PBI Artículos'!$A:$A,'[1]DATOS PBI Artículos'!$AM:$AM))/(_xlfn.XLOOKUP($AH$1,[1]CRITERIOS!$S$16:$S$39,[1]CRITERIOS!$Y$16:$Y$39))*$J489+$Z489)))</f>
        <v>#N/A</v>
      </c>
      <c r="AI489" s="39" t="e">
        <f>IF($R489="MTO","",
IF($H489=0,ROUNDUP(((_xlfn.XLOOKUP($A489,'[1]DATOS PBI Artículos'!$A:$A,'[1]DATOS PBI Artículos'!$AN:$AN))/(_xlfn.XLOOKUP($AJ$1,[1]CRITERIOS!$S$16:$S$39,[1]CRITERIOS!$Y$16:$Y$39))*$J489+$Z489)/$G489,0)*$G489,
((_xlfn.XLOOKUP($A489,'[1]DATOS PBI Artículos'!$A:$A,'[1]DATOS PBI Artículos'!$AN:$AN))/(_xlfn.XLOOKUP($AJ$1,[1]CRITERIOS!$S$16:$S$39,[1]CRITERIOS!$Y$16:$Y$39))*$J489+$Z489)))</f>
        <v>#N/A</v>
      </c>
      <c r="AK489" s="39" t="e">
        <f>IF($R489="MTO","",
IF($H489=0,ROUNDUP(((_xlfn.XLOOKUP($A489,'[1]DATOS PBI Artículos'!$A:$A,'[1]DATOS PBI Artículos'!$AO:$AO))/(_xlfn.XLOOKUP($AL$1,[1]CRITERIOS!$S$16:$S$39,[1]CRITERIOS!$Y$16:$Y$39))*$J489+$Z489)/$G489,0)*$G489,
((_xlfn.XLOOKUP($A489,'[1]DATOS PBI Artículos'!$A:$A,'[1]DATOS PBI Artículos'!$AO:$AO))/(_xlfn.XLOOKUP($AL$1,[1]CRITERIOS!$S$16:$S$39,[1]CRITERIOS!$Y$16:$Y$39))*$J489+$Z489)))</f>
        <v>#N/A</v>
      </c>
    </row>
    <row r="490" spans="1:37" ht="25.8" hidden="1" x14ac:dyDescent="0.4">
      <c r="A490" s="41"/>
      <c r="B490" s="33">
        <f>_xlfn.XLOOKUP($A490,'[1]DATOS PBI Artículos'!A:A,'[1]DATOS PBI Artículos'!B:B)</f>
        <v>0</v>
      </c>
      <c r="C490" s="33">
        <f>_xlfn.XLOOKUP($A490,'[1]DATOS PBI Artículos'!A:A,'[1]DATOS PBI Artículos'!C:C)</f>
        <v>0</v>
      </c>
      <c r="D490" s="33">
        <f>_xlfn.XLOOKUP(A490,'[1]DATOS PBI Artículos'!A:A,'[1]DATOS PBI Artículos'!T:T)</f>
        <v>0</v>
      </c>
      <c r="E490" s="34">
        <f>IF(_xlfn.XLOOKUP($A490,'[1]DATOS PBI Artículos'!A:A,'[1]DATOS PBI Artículos'!AK:AK)="",_xlfn.XLOOKUP($A490,'[1]DATOS PBI Artículos'!A:A,'[1]DATOS PBI Artículos'!AJ:AJ),_xlfn.XLOOKUP($A490,'[1]DATOS PBI Artículos'!A:A,'[1]DATOS PBI Artículos'!AK:AK))</f>
        <v>0</v>
      </c>
      <c r="F490" s="35">
        <f>_xlfn.XLOOKUP($A490,'[1]DATOS PBI Artículos'!A:A,'[1]DATOS PBI Artículos'!AP:AP)</f>
        <v>0</v>
      </c>
      <c r="G490" s="34">
        <f>_xlfn.XLOOKUP($A490,'[1]DATOS PBI Artículos'!A:A,'[1]DATOS PBI Artículos'!AR:AR)</f>
        <v>0</v>
      </c>
      <c r="H490" s="34">
        <f>_xlfn.XLOOKUP($A490,'[1]DATOS PBI Artículos'!A:A,'[1]DATOS PBI Artículos'!AT:AT)</f>
        <v>0</v>
      </c>
      <c r="I490" s="34">
        <f>_xlfn.XLOOKUP($A490,'[1]DATOS PBI Artículos'!A:A,'[1]DATOS PBI Artículos'!AS:AS)</f>
        <v>0</v>
      </c>
      <c r="J490" s="35">
        <f>IF(COUNTIF([1]CRITERIOS!$F$179:$F$199,$A490)&gt;=1,
 IF(O490&lt;&gt;"",
    (O490/_xlfn.XLOOKUP(CONCATENATE(A490,L490),[1]MÁQUINAS!A:A,[1]MÁQUINAS!D:D))/24,
    (N490/_xlfn.XLOOKUP(CONCATENATE(A490,L490),[1]MÁQUINAS!A:A,[1]MÁQUINAS!D:D))/24),
  _xlfn.XLOOKUP($A490,'[1]DATOS PBI Artículos'!A:A,'[1]DATOS PBI Artículos'!AU:AU))</f>
        <v>0</v>
      </c>
      <c r="K490" s="36">
        <f>_xlfn.XLOOKUP($A490,'[1]DATOS PBI Artículos'!A:A,'[1]DATOS PBI Artículos'!AV:AV)</f>
        <v>0</v>
      </c>
      <c r="L490" s="33">
        <f>_xlfn.XLOOKUP(A490,[1]MÁQUINAS!B:B,[1]MÁQUINAS!C:C)</f>
        <v>0</v>
      </c>
      <c r="M490" s="34">
        <f t="array" ref="M490">_xlfn.XLOOKUP(A490,'[1]DATOS PBI Artículos'!A:A,'[1]DATOS PBI Artículos'!AX:$AX)</f>
        <v>0</v>
      </c>
      <c r="N490" s="37" t="e">
        <f>IF(I490="DV",
E490,
IF(COUNTIF([1]CRITERIOS!$I$179:$I$199,$A490)&gt;=1,
_xlfn.XLOOKUP($A490,[1]CRITERIOS!$I$179:$I$199,[1]CRITERIOS!$J$179:$J$199),
IF(COUNTIF([1]CRITERIOS!$L$179:$L$199,$A490)&gt;=1,
_xlfn.CEILING.MATH(IF($M490&gt;$E490,
$E490,
IF($M490&lt;$E490/ROUNDDOWN([1]CRITERIOS!$M$16/_xlfn.XLOOKUP($C490,[1]CRITERIOS!$K$25:$K$42,[1]CRITERIOS!$M$25:$M$42),
1),
E490/ROUNDDOWN([1]CRITERIOS!$M$16/_xlfn.XLOOKUP($C490,[1]CRITERIOS!$K$25:$K$42,[1]CRITERIOS!$M$25:$M$42),
1),
$M490)),
_xlfn.XLOOKUP($A490,[1]CRITERIOS!$L$179:$L$200,[1]CRITERIOS!$M$179:$M$200)),
_xlfn.CEILING.MATH(IF($M490&gt;$E490,
$E490,
IF($M490&lt;$E490/ROUNDDOWN([1]CRITERIOS!$M$16/_xlfn.XLOOKUP($C490,[1]CRITERIOS!$K$25:$K$42,[1]CRITERIOS!$M$25:$M$42),
1),
E490/ROUNDDOWN([1]CRITERIOS!$M$16/_xlfn.XLOOKUP($C490,[1]CRITERIOS!$K$25:$K$42,[1]CRITERIOS!$M$25:$M$42),
1),
$M490)),_xlfn.XLOOKUP(A490,'[1]DATOS PBI Artículos'!A:A,'[1]DATOS PBI Artículos'!Z:Z
)))))</f>
        <v>#N/A</v>
      </c>
      <c r="Q490" s="38" t="e">
        <f>IF(AND(O490="",N490=0),
0,
   IF(COUNTIF([1]CRITERIOS!$F$179:$F$199,$A490)&gt;=1,
   1,
   IF(R490="MTO",
      $D490,
      ROUNDUP(
                    IF(($E490-SUMIF('[1]DATOS PBI Artículos'!A:A,A490,'[1]DATOS PBI Artículos'!X:X)+($V490-_xlfn.XLOOKUP(A490,'[1]DATOS PBI Artículos'!A:A,'[1]DATOS PBI Artículos'!W:W)))&lt;0,
                    0,
                    IF(($E490-SUMIF('[1]DATOS PBI Artículos'!A:A,A490,'[1]DATOS PBI Artículos'!X:X)+$V490-_xlfn.XLOOKUP($A490,'[1]DATOS PBI Artículos'!A:A,'[1]DATOS PBI Artículos'!W:W))/IF($O490="",$N490,$O490)&gt;ROUNDUP([1]CRITERIOS!$M$16/(IF(COUNTIF([1]CRITERIOS!$BG$11:$BG$201,L490)&gt;=1,_xlfn.XLOOKUP($C490,[1]CRITERIOS!$K$25:$K$42,[1]CRITERIOS!$M$25:$M$42),_xlfn.XLOOKUP($C490,[1]CRITERIOS!$K$25:$K$42,[1]CRITERIOS!$M$25:$M$42))),0),
                    ROUNDUP([1]CRITERIOS!$M$16/(IF(COUNTIF([1]CRITERIOS!$BG$11:$BG$201,$L490)&gt;=1,_xlfn.XLOOKUP($C490,[1]CRITERIOS!$K$25:$K$42,[1]CRITERIOS!$M$25:$M$42),_xlfn.XLOOKUP($C490,[1]CRITERIOS!$K$25:$K$42,[1]CRITERIOS!$M$25:$M$42))),0),
                    (E490+V490-SUMIF('[1]DATOS PBI Artículos'!A:A,A490,'[1]DATOS PBI Artículos'!X:X)-_xlfn.XLOOKUP(A490,'[1]DATOS PBI Artículos'!A:A,'[1]DATOS PBI Artículos'!W:W))/IF($O490="",$N490,$O490))),0))))</f>
        <v>#N/A</v>
      </c>
      <c r="R490" s="33" t="e">
        <f>IF(U490&lt;&gt;"",U490,IF(F490="DV","MTO",IF(N490=0,"MTO",_xlfn.XLOOKUP(CONCATENATE(S490,T490),[1]CRITERIOS!$K$160:$K$168,[1]CRITERIOS!$N$160:$N$168))))</f>
        <v>#N/A</v>
      </c>
      <c r="S490" s="33" t="e">
        <f>IF(G490="DV","MTO",IF(N490=0,"MTO",IF(OR(AND(N490=0,O490=""),IF(O490="",G490/N490,G490/O490)&gt;[1]CRITERIOS!$G$163),"MTO",IF(IF(O490="",G490/N490,G490/O490)&lt;[1]CRITERIOS!$H$161,"MTS","MTOS"))))</f>
        <v>#N/A</v>
      </c>
      <c r="T490" s="33" t="e">
        <f>IF(F490="DV","MTO",IF(OR(AND($N490=0,O490=""),$F490/$J490&gt;[1]CRITERIOS!$G$170,$F490="DV"),"MTO",IF($F490/$J490&lt;[1]CRITERIOS!$H$168,"MTS","MTOS")))</f>
        <v>#N/A</v>
      </c>
      <c r="V490" s="34" t="e">
        <f t="shared" si="25"/>
        <v>#N/A</v>
      </c>
      <c r="X490" s="34" t="e">
        <f t="shared" si="23"/>
        <v>#N/A</v>
      </c>
      <c r="Y490" s="34" t="e">
        <f t="shared" si="24"/>
        <v>#N/A</v>
      </c>
      <c r="Z490" s="34" t="e">
        <f>IF($R490="MTO",
0,
($H490+$K490*($E490/[1]CRITERIOS!$M$16))/[1]CRITERIOS!$X$48)</f>
        <v>#N/A</v>
      </c>
      <c r="AA490" s="34" t="e">
        <f>ROUNDUP(($Y490/_xlfn.XLOOKUP($A490,'[1]DATOS PBI Artículos'!$A$4:$A$4,'[1]DATOS PBI Artículos'!$Z$4:$Z$4))/_xlfn.XLOOKUP(_xlfn.XLOOKUP($A490,'[1]DATOS PBI Artículos'!$A$4:$A$4,'[1]DATOS PBI Artículos'!$Y$4:$Y$4),[1]CRITERIOS!$P$79:$P$123,[1]CRITERIOS!$S$79:$S$123,),0)</f>
        <v>#N/A</v>
      </c>
      <c r="AB490" s="33" t="e">
        <f t="array" ref="AB490">IF((E490+V490-_xlfn.XLOOKUP(A490,'[1]DATOS PBI Artículos'!$A$4:$A$4,'[1]DATOS PBI Artículos'!$W$4:$W$4))/N490&gt;ROUNDUP([1]CRITERIOS!$M$16/(IF(COUNTIF([1]CRITERIOS!$BG$11:$BG$201,L490)&gt;=1,_xlfn.XLOOKUP(ARTÍCULOS!L490,[1]CRITERIOS!$BG$11:$BG$201,[1]CRITERIOS!$BJ$11:$BJ$201),_xlfn.XLOOKUP(ARTÍCULOS!C490,[1]CRITERIOS!$K$25:$K$42,[1]CRITERIOS!$M$25:$M$42))),0),ROUNDUP([1]CRITERIOS!$M$16/(IF(COUNTIF([1]CRITERIOS!$BG$11:$BG$201,L490)&gt;=1,_xlfn.XLOOKUP(ARTÍCULOS!L490,[1]CRITERIOS!$BG$11:$BG$201:#REF!,[1]CRITERIOS!$BJ$11:$BJ$201),_xlfn.XLOOKUP(ARTÍCULOS!C490,[1]CRITERIOS!$K$25:$K$42,[1]CRITERIOS!$M$25:$M$42))),0),(E490+V490-_xlfn.XLOOKUP(A490,'[1]DATOS PBI Artículos'!$A$4:$A$4,'[1]DATOS PBI Artículos'!$W$4:$W$4))/N490)</f>
        <v>#N/A</v>
      </c>
      <c r="AC490" s="33" t="e">
        <f>IF(N490=0,"",(ROUNDUP((N490/2)/(_xlfn.XLOOKUP(A490,'[1]DATOS PBI Artículos'!$A$4:$A$4,'[1]DATOS PBI Artículos'!$Z$4:$Z$4)*_xlfn.XLOOKUP(_xlfn.XLOOKUP(A490,'[1]DATOS PBI Artículos'!$A$4:$A$4,'[1]DATOS PBI Artículos'!$Y$4:$Y$4),[1]CRITERIOS!$P$79:$P$123,[1]CRITERIOS!$S$79:$S$123)),0)*[1]CRITERIOS!$M$80*([1]CRITERIOS!$M$110/[1]CRITERIOS!$M$86)+(_xlfn.XLOOKUP(A490,'[1]DATOS PBI Artículos'!$A$4:$A$4,'[1]DATOS PBI Artículos'!$AA$4:$AA$4)*([1]CRITERIOS!$M$95+[1]CRITERIOS!$M$98)))/N490)</f>
        <v>#N/A</v>
      </c>
      <c r="AD490" s="33" t="e">
        <f>IF(N490=0,"",(ROUNDUP((N490/2)/(_xlfn.XLOOKUP(A490,'[1]DATOS PBI Artículos'!$A$4:$A$4,'[1]DATOS PBI Artículos'!$Z$4:$Z$4)*_xlfn.XLOOKUP(_xlfn.XLOOKUP(A490,'[1]DATOS PBI Artículos'!$A$4:$A$4,'[1]DATOS PBI Artículos'!$Y$4:$Y$4),[1]CRITERIOS!$P$79:$P$123,[1]CRITERIOS!$S$79:$S$123)),0)*[1]CRITERIOS!$M$80*([1]CRITERIOS!$M$89*[1]CRITERIOS!$M$92)+((_xlfn.XLOOKUP(A490,'[1]DATOS PBI Artículos'!$A$4:$A$4,'[1]DATOS PBI Artículos'!$AA$4:$AA$4)/2)*([1]CRITERIOS!$M$95+[1]CRITERIOS!$M$98)))/N490)</f>
        <v>#N/A</v>
      </c>
      <c r="AE490" s="39" t="e">
        <f>IF($R490="MTO","",
IF($H490=0,ROUNDUP(((_xlfn.XLOOKUP($A490,'[1]DATOS PBI Artículos'!$A:$A,'[1]DATOS PBI Artículos'!$AL:$AL))/(_xlfn.XLOOKUP($AF$1,[1]CRITERIOS!$S$16:$S$39,[1]CRITERIOS!$Y$16:$Y$39))*$J490+$Z490)/$G490,0)*$G490,
((_xlfn.XLOOKUP($A490,'[1]DATOS PBI Artículos'!$A:$A,'[1]DATOS PBI Artículos'!$AL:$AL))/(_xlfn.XLOOKUP($AF$1,[1]CRITERIOS!$S$16:$S$39,[1]CRITERIOS!$Y$16:$Y$39))*$J490+$Z490)))</f>
        <v>#N/A</v>
      </c>
      <c r="AG490" s="39" t="e">
        <f>IF($R490="MTO","",
IF($H490=0,ROUNDUP(((_xlfn.XLOOKUP($A490,'[1]DATOS PBI Artículos'!$A:$A,'[1]DATOS PBI Artículos'!$AM:$AM))/(_xlfn.XLOOKUP($AH$1,[1]CRITERIOS!$S$16:$S$39,[1]CRITERIOS!$Y$16:$Y$39))*$J490+$Z490)/$G490,0)*$G490,
((_xlfn.XLOOKUP($A490,'[1]DATOS PBI Artículos'!$A:$A,'[1]DATOS PBI Artículos'!$AM:$AM))/(_xlfn.XLOOKUP($AH$1,[1]CRITERIOS!$S$16:$S$39,[1]CRITERIOS!$Y$16:$Y$39))*$J490+$Z490)))</f>
        <v>#N/A</v>
      </c>
      <c r="AI490" s="39" t="e">
        <f>IF($R490="MTO","",
IF($H490=0,ROUNDUP(((_xlfn.XLOOKUP($A490,'[1]DATOS PBI Artículos'!$A:$A,'[1]DATOS PBI Artículos'!$AN:$AN))/(_xlfn.XLOOKUP($AJ$1,[1]CRITERIOS!$S$16:$S$39,[1]CRITERIOS!$Y$16:$Y$39))*$J490+$Z490)/$G490,0)*$G490,
((_xlfn.XLOOKUP($A490,'[1]DATOS PBI Artículos'!$A:$A,'[1]DATOS PBI Artículos'!$AN:$AN))/(_xlfn.XLOOKUP($AJ$1,[1]CRITERIOS!$S$16:$S$39,[1]CRITERIOS!$Y$16:$Y$39))*$J490+$Z490)))</f>
        <v>#N/A</v>
      </c>
      <c r="AK490" s="39" t="e">
        <f>IF($R490="MTO","",
IF($H490=0,ROUNDUP(((_xlfn.XLOOKUP($A490,'[1]DATOS PBI Artículos'!$A:$A,'[1]DATOS PBI Artículos'!$AO:$AO))/(_xlfn.XLOOKUP($AL$1,[1]CRITERIOS!$S$16:$S$39,[1]CRITERIOS!$Y$16:$Y$39))*$J490+$Z490)/$G490,0)*$G490,
((_xlfn.XLOOKUP($A490,'[1]DATOS PBI Artículos'!$A:$A,'[1]DATOS PBI Artículos'!$AO:$AO))/(_xlfn.XLOOKUP($AL$1,[1]CRITERIOS!$S$16:$S$39,[1]CRITERIOS!$Y$16:$Y$39))*$J490+$Z490)))</f>
        <v>#N/A</v>
      </c>
    </row>
    <row r="491" spans="1:37" ht="25.8" hidden="1" x14ac:dyDescent="0.4">
      <c r="A491" s="41"/>
      <c r="B491" s="33">
        <f>_xlfn.XLOOKUP($A491,'[1]DATOS PBI Artículos'!A:A,'[1]DATOS PBI Artículos'!B:B)</f>
        <v>0</v>
      </c>
      <c r="C491" s="33">
        <f>_xlfn.XLOOKUP($A491,'[1]DATOS PBI Artículos'!A:A,'[1]DATOS PBI Artículos'!C:C)</f>
        <v>0</v>
      </c>
      <c r="D491" s="33">
        <f>_xlfn.XLOOKUP(A491,'[1]DATOS PBI Artículos'!A:A,'[1]DATOS PBI Artículos'!T:T)</f>
        <v>0</v>
      </c>
      <c r="E491" s="34">
        <f>IF(_xlfn.XLOOKUP($A491,'[1]DATOS PBI Artículos'!A:A,'[1]DATOS PBI Artículos'!AK:AK)="",_xlfn.XLOOKUP($A491,'[1]DATOS PBI Artículos'!A:A,'[1]DATOS PBI Artículos'!AJ:AJ),_xlfn.XLOOKUP($A491,'[1]DATOS PBI Artículos'!A:A,'[1]DATOS PBI Artículos'!AK:AK))</f>
        <v>0</v>
      </c>
      <c r="F491" s="35">
        <f>_xlfn.XLOOKUP($A491,'[1]DATOS PBI Artículos'!A:A,'[1]DATOS PBI Artículos'!AP:AP)</f>
        <v>0</v>
      </c>
      <c r="G491" s="34">
        <f>_xlfn.XLOOKUP($A491,'[1]DATOS PBI Artículos'!A:A,'[1]DATOS PBI Artículos'!AR:AR)</f>
        <v>0</v>
      </c>
      <c r="H491" s="34">
        <f>_xlfn.XLOOKUP($A491,'[1]DATOS PBI Artículos'!A:A,'[1]DATOS PBI Artículos'!AT:AT)</f>
        <v>0</v>
      </c>
      <c r="I491" s="34">
        <f>_xlfn.XLOOKUP($A491,'[1]DATOS PBI Artículos'!A:A,'[1]DATOS PBI Artículos'!AS:AS)</f>
        <v>0</v>
      </c>
      <c r="J491" s="35">
        <f>IF(COUNTIF([1]CRITERIOS!$F$179:$F$199,$A491)&gt;=1,
 IF(O491&lt;&gt;"",
    (O491/_xlfn.XLOOKUP(CONCATENATE(A491,L491),[1]MÁQUINAS!A:A,[1]MÁQUINAS!D:D))/24,
    (N491/_xlfn.XLOOKUP(CONCATENATE(A491,L491),[1]MÁQUINAS!A:A,[1]MÁQUINAS!D:D))/24),
  _xlfn.XLOOKUP($A491,'[1]DATOS PBI Artículos'!A:A,'[1]DATOS PBI Artículos'!AU:AU))</f>
        <v>0</v>
      </c>
      <c r="K491" s="36">
        <f>_xlfn.XLOOKUP($A491,'[1]DATOS PBI Artículos'!A:A,'[1]DATOS PBI Artículos'!AV:AV)</f>
        <v>0</v>
      </c>
      <c r="L491" s="33">
        <f>_xlfn.XLOOKUP(A491,[1]MÁQUINAS!B:B,[1]MÁQUINAS!C:C)</f>
        <v>0</v>
      </c>
      <c r="M491" s="34">
        <f t="array" ref="M491">_xlfn.XLOOKUP(A491,'[1]DATOS PBI Artículos'!A:A,'[1]DATOS PBI Artículos'!AX:$AX)</f>
        <v>0</v>
      </c>
      <c r="N491" s="37" t="e">
        <f>IF(I491="DV",
E491,
IF(COUNTIF([1]CRITERIOS!$I$179:$I$199,$A491)&gt;=1,
_xlfn.XLOOKUP($A491,[1]CRITERIOS!$I$179:$I$199,[1]CRITERIOS!$J$179:$J$199),
IF(COUNTIF([1]CRITERIOS!$L$179:$L$199,$A491)&gt;=1,
_xlfn.CEILING.MATH(IF($M491&gt;$E491,
$E491,
IF($M491&lt;$E491/ROUNDDOWN([1]CRITERIOS!$M$16/_xlfn.XLOOKUP($C491,[1]CRITERIOS!$K$25:$K$42,[1]CRITERIOS!$M$25:$M$42),
1),
E491/ROUNDDOWN([1]CRITERIOS!$M$16/_xlfn.XLOOKUP($C491,[1]CRITERIOS!$K$25:$K$42,[1]CRITERIOS!$M$25:$M$42),
1),
$M491)),
_xlfn.XLOOKUP($A491,[1]CRITERIOS!$L$179:$L$200,[1]CRITERIOS!$M$179:$M$200)),
_xlfn.CEILING.MATH(IF($M491&gt;$E491,
$E491,
IF($M491&lt;$E491/ROUNDDOWN([1]CRITERIOS!$M$16/_xlfn.XLOOKUP($C491,[1]CRITERIOS!$K$25:$K$42,[1]CRITERIOS!$M$25:$M$42),
1),
E491/ROUNDDOWN([1]CRITERIOS!$M$16/_xlfn.XLOOKUP($C491,[1]CRITERIOS!$K$25:$K$42,[1]CRITERIOS!$M$25:$M$42),
1),
$M491)),_xlfn.XLOOKUP(A491,'[1]DATOS PBI Artículos'!A:A,'[1]DATOS PBI Artículos'!Z:Z
)))))</f>
        <v>#N/A</v>
      </c>
      <c r="Q491" s="38" t="e">
        <f>IF(AND(O491="",N491=0),
0,
   IF(COUNTIF([1]CRITERIOS!$F$179:$F$199,$A491)&gt;=1,
   1,
   IF(R491="MTO",
      $D491,
      ROUNDUP(
                    IF(($E491-SUMIF('[1]DATOS PBI Artículos'!A:A,A491,'[1]DATOS PBI Artículos'!X:X)+($V491-_xlfn.XLOOKUP(A491,'[1]DATOS PBI Artículos'!A:A,'[1]DATOS PBI Artículos'!W:W)))&lt;0,
                    0,
                    IF(($E491-SUMIF('[1]DATOS PBI Artículos'!A:A,A491,'[1]DATOS PBI Artículos'!X:X)+$V491-_xlfn.XLOOKUP($A491,'[1]DATOS PBI Artículos'!A:A,'[1]DATOS PBI Artículos'!W:W))/IF($O491="",$N491,$O491)&gt;ROUNDUP([1]CRITERIOS!$M$16/(IF(COUNTIF([1]CRITERIOS!$BG$11:$BG$201,L491)&gt;=1,_xlfn.XLOOKUP($C491,[1]CRITERIOS!$K$25:$K$42,[1]CRITERIOS!$M$25:$M$42),_xlfn.XLOOKUP($C491,[1]CRITERIOS!$K$25:$K$42,[1]CRITERIOS!$M$25:$M$42))),0),
                    ROUNDUP([1]CRITERIOS!$M$16/(IF(COUNTIF([1]CRITERIOS!$BG$11:$BG$201,$L491)&gt;=1,_xlfn.XLOOKUP($C491,[1]CRITERIOS!$K$25:$K$42,[1]CRITERIOS!$M$25:$M$42),_xlfn.XLOOKUP($C491,[1]CRITERIOS!$K$25:$K$42,[1]CRITERIOS!$M$25:$M$42))),0),
                    (E491+V491-SUMIF('[1]DATOS PBI Artículos'!A:A,A491,'[1]DATOS PBI Artículos'!X:X)-_xlfn.XLOOKUP(A491,'[1]DATOS PBI Artículos'!A:A,'[1]DATOS PBI Artículos'!W:W))/IF($O491="",$N491,$O491))),0))))</f>
        <v>#N/A</v>
      </c>
      <c r="R491" s="33" t="e">
        <f>IF(U491&lt;&gt;"",U491,IF(F491="DV","MTO",IF(N491=0,"MTO",_xlfn.XLOOKUP(CONCATENATE(S491,T491),[1]CRITERIOS!$K$160:$K$168,[1]CRITERIOS!$N$160:$N$168))))</f>
        <v>#N/A</v>
      </c>
      <c r="S491" s="33" t="e">
        <f>IF(G491="DV","MTO",IF(N491=0,"MTO",IF(OR(AND(N491=0,O491=""),IF(O491="",G491/N491,G491/O491)&gt;[1]CRITERIOS!$G$163),"MTO",IF(IF(O491="",G491/N491,G491/O491)&lt;[1]CRITERIOS!$H$161,"MTS","MTOS"))))</f>
        <v>#N/A</v>
      </c>
      <c r="T491" s="33" t="e">
        <f>IF(F491="DV","MTO",IF(OR(AND($N491=0,O491=""),$F491/$J491&gt;[1]CRITERIOS!$G$170,$F491="DV"),"MTO",IF($F491/$J491&lt;[1]CRITERIOS!$H$168,"MTS","MTOS")))</f>
        <v>#N/A</v>
      </c>
      <c r="V491" s="34" t="e">
        <f t="shared" si="25"/>
        <v>#N/A</v>
      </c>
      <c r="X491" s="34" t="e">
        <f t="shared" si="23"/>
        <v>#N/A</v>
      </c>
      <c r="Y491" s="34" t="e">
        <f t="shared" si="24"/>
        <v>#N/A</v>
      </c>
      <c r="Z491" s="34" t="e">
        <f>IF($R491="MTO",
0,
($H491+$K491*($E491/[1]CRITERIOS!$M$16))/[1]CRITERIOS!$X$48)</f>
        <v>#N/A</v>
      </c>
      <c r="AA491" s="34" t="e">
        <f>ROUNDUP(($Y491/_xlfn.XLOOKUP($A491,'[1]DATOS PBI Artículos'!$A$4:$A$4,'[1]DATOS PBI Artículos'!$Z$4:$Z$4))/_xlfn.XLOOKUP(_xlfn.XLOOKUP($A491,'[1]DATOS PBI Artículos'!$A$4:$A$4,'[1]DATOS PBI Artículos'!$Y$4:$Y$4),[1]CRITERIOS!$P$79:$P$123,[1]CRITERIOS!$S$79:$S$123,),0)</f>
        <v>#N/A</v>
      </c>
      <c r="AB491" s="33" t="e">
        <f t="array" ref="AB491">IF((E491+V491-_xlfn.XLOOKUP(A491,'[1]DATOS PBI Artículos'!$A$4:$A$4,'[1]DATOS PBI Artículos'!$W$4:$W$4))/N491&gt;ROUNDUP([1]CRITERIOS!$M$16/(IF(COUNTIF([1]CRITERIOS!$BG$11:$BG$201,L491)&gt;=1,_xlfn.XLOOKUP(ARTÍCULOS!L491,[1]CRITERIOS!$BG$11:$BG$201,[1]CRITERIOS!$BJ$11:$BJ$201),_xlfn.XLOOKUP(ARTÍCULOS!C491,[1]CRITERIOS!$K$25:$K$42,[1]CRITERIOS!$M$25:$M$42))),0),ROUNDUP([1]CRITERIOS!$M$16/(IF(COUNTIF([1]CRITERIOS!$BG$11:$BG$201,L491)&gt;=1,_xlfn.XLOOKUP(ARTÍCULOS!L491,[1]CRITERIOS!$BG$11:$BG$201:#REF!,[1]CRITERIOS!$BJ$11:$BJ$201),_xlfn.XLOOKUP(ARTÍCULOS!C491,[1]CRITERIOS!$K$25:$K$42,[1]CRITERIOS!$M$25:$M$42))),0),(E491+V491-_xlfn.XLOOKUP(A491,'[1]DATOS PBI Artículos'!$A$4:$A$4,'[1]DATOS PBI Artículos'!$W$4:$W$4))/N491)</f>
        <v>#N/A</v>
      </c>
      <c r="AC491" s="33" t="e">
        <f>IF(N491=0,"",(ROUNDUP((N491/2)/(_xlfn.XLOOKUP(A491,'[1]DATOS PBI Artículos'!$A$4:$A$4,'[1]DATOS PBI Artículos'!$Z$4:$Z$4)*_xlfn.XLOOKUP(_xlfn.XLOOKUP(A491,'[1]DATOS PBI Artículos'!$A$4:$A$4,'[1]DATOS PBI Artículos'!$Y$4:$Y$4),[1]CRITERIOS!$P$79:$P$123,[1]CRITERIOS!$S$79:$S$123)),0)*[1]CRITERIOS!$M$80*([1]CRITERIOS!$M$110/[1]CRITERIOS!$M$86)+(_xlfn.XLOOKUP(A491,'[1]DATOS PBI Artículos'!$A$4:$A$4,'[1]DATOS PBI Artículos'!$AA$4:$AA$4)*([1]CRITERIOS!$M$95+[1]CRITERIOS!$M$98)))/N491)</f>
        <v>#N/A</v>
      </c>
      <c r="AD491" s="33" t="e">
        <f>IF(N491=0,"",(ROUNDUP((N491/2)/(_xlfn.XLOOKUP(A491,'[1]DATOS PBI Artículos'!$A$4:$A$4,'[1]DATOS PBI Artículos'!$Z$4:$Z$4)*_xlfn.XLOOKUP(_xlfn.XLOOKUP(A491,'[1]DATOS PBI Artículos'!$A$4:$A$4,'[1]DATOS PBI Artículos'!$Y$4:$Y$4),[1]CRITERIOS!$P$79:$P$123,[1]CRITERIOS!$S$79:$S$123)),0)*[1]CRITERIOS!$M$80*([1]CRITERIOS!$M$89*[1]CRITERIOS!$M$92)+((_xlfn.XLOOKUP(A491,'[1]DATOS PBI Artículos'!$A$4:$A$4,'[1]DATOS PBI Artículos'!$AA$4:$AA$4)/2)*([1]CRITERIOS!$M$95+[1]CRITERIOS!$M$98)))/N491)</f>
        <v>#N/A</v>
      </c>
      <c r="AE491" s="39" t="e">
        <f>IF($R491="MTO","",
IF($H491=0,ROUNDUP(((_xlfn.XLOOKUP($A491,'[1]DATOS PBI Artículos'!$A:$A,'[1]DATOS PBI Artículos'!$AL:$AL))/(_xlfn.XLOOKUP($AF$1,[1]CRITERIOS!$S$16:$S$39,[1]CRITERIOS!$Y$16:$Y$39))*$J491+$Z491)/$G491,0)*$G491,
((_xlfn.XLOOKUP($A491,'[1]DATOS PBI Artículos'!$A:$A,'[1]DATOS PBI Artículos'!$AL:$AL))/(_xlfn.XLOOKUP($AF$1,[1]CRITERIOS!$S$16:$S$39,[1]CRITERIOS!$Y$16:$Y$39))*$J491+$Z491)))</f>
        <v>#N/A</v>
      </c>
      <c r="AG491" s="39" t="e">
        <f>IF($R491="MTO","",
IF($H491=0,ROUNDUP(((_xlfn.XLOOKUP($A491,'[1]DATOS PBI Artículos'!$A:$A,'[1]DATOS PBI Artículos'!$AM:$AM))/(_xlfn.XLOOKUP($AH$1,[1]CRITERIOS!$S$16:$S$39,[1]CRITERIOS!$Y$16:$Y$39))*$J491+$Z491)/$G491,0)*$G491,
((_xlfn.XLOOKUP($A491,'[1]DATOS PBI Artículos'!$A:$A,'[1]DATOS PBI Artículos'!$AM:$AM))/(_xlfn.XLOOKUP($AH$1,[1]CRITERIOS!$S$16:$S$39,[1]CRITERIOS!$Y$16:$Y$39))*$J491+$Z491)))</f>
        <v>#N/A</v>
      </c>
      <c r="AI491" s="39" t="e">
        <f>IF($R491="MTO","",
IF($H491=0,ROUNDUP(((_xlfn.XLOOKUP($A491,'[1]DATOS PBI Artículos'!$A:$A,'[1]DATOS PBI Artículos'!$AN:$AN))/(_xlfn.XLOOKUP($AJ$1,[1]CRITERIOS!$S$16:$S$39,[1]CRITERIOS!$Y$16:$Y$39))*$J491+$Z491)/$G491,0)*$G491,
((_xlfn.XLOOKUP($A491,'[1]DATOS PBI Artículos'!$A:$A,'[1]DATOS PBI Artículos'!$AN:$AN))/(_xlfn.XLOOKUP($AJ$1,[1]CRITERIOS!$S$16:$S$39,[1]CRITERIOS!$Y$16:$Y$39))*$J491+$Z491)))</f>
        <v>#N/A</v>
      </c>
      <c r="AK491" s="39" t="e">
        <f>IF($R491="MTO","",
IF($H491=0,ROUNDUP(((_xlfn.XLOOKUP($A491,'[1]DATOS PBI Artículos'!$A:$A,'[1]DATOS PBI Artículos'!$AO:$AO))/(_xlfn.XLOOKUP($AL$1,[1]CRITERIOS!$S$16:$S$39,[1]CRITERIOS!$Y$16:$Y$39))*$J491+$Z491)/$G491,0)*$G491,
((_xlfn.XLOOKUP($A491,'[1]DATOS PBI Artículos'!$A:$A,'[1]DATOS PBI Artículos'!$AO:$AO))/(_xlfn.XLOOKUP($AL$1,[1]CRITERIOS!$S$16:$S$39,[1]CRITERIOS!$Y$16:$Y$39))*$J491+$Z491)))</f>
        <v>#N/A</v>
      </c>
    </row>
    <row r="492" spans="1:37" ht="25.8" hidden="1" x14ac:dyDescent="0.4">
      <c r="A492" s="41"/>
      <c r="B492" s="33">
        <f>_xlfn.XLOOKUP($A492,'[1]DATOS PBI Artículos'!A:A,'[1]DATOS PBI Artículos'!B:B)</f>
        <v>0</v>
      </c>
      <c r="C492" s="33">
        <f>_xlfn.XLOOKUP($A492,'[1]DATOS PBI Artículos'!A:A,'[1]DATOS PBI Artículos'!C:C)</f>
        <v>0</v>
      </c>
      <c r="D492" s="33">
        <f>_xlfn.XLOOKUP(A492,'[1]DATOS PBI Artículos'!A:A,'[1]DATOS PBI Artículos'!T:T)</f>
        <v>0</v>
      </c>
      <c r="E492" s="34">
        <f>IF(_xlfn.XLOOKUP($A492,'[1]DATOS PBI Artículos'!A:A,'[1]DATOS PBI Artículos'!AK:AK)="",_xlfn.XLOOKUP($A492,'[1]DATOS PBI Artículos'!A:A,'[1]DATOS PBI Artículos'!AJ:AJ),_xlfn.XLOOKUP($A492,'[1]DATOS PBI Artículos'!A:A,'[1]DATOS PBI Artículos'!AK:AK))</f>
        <v>0</v>
      </c>
      <c r="F492" s="35">
        <f>_xlfn.XLOOKUP($A492,'[1]DATOS PBI Artículos'!A:A,'[1]DATOS PBI Artículos'!AP:AP)</f>
        <v>0</v>
      </c>
      <c r="G492" s="34">
        <f>_xlfn.XLOOKUP($A492,'[1]DATOS PBI Artículos'!A:A,'[1]DATOS PBI Artículos'!AR:AR)</f>
        <v>0</v>
      </c>
      <c r="H492" s="34">
        <f>_xlfn.XLOOKUP($A492,'[1]DATOS PBI Artículos'!A:A,'[1]DATOS PBI Artículos'!AT:AT)</f>
        <v>0</v>
      </c>
      <c r="I492" s="34">
        <f>_xlfn.XLOOKUP($A492,'[1]DATOS PBI Artículos'!A:A,'[1]DATOS PBI Artículos'!AS:AS)</f>
        <v>0</v>
      </c>
      <c r="J492" s="35">
        <f>IF(COUNTIF([1]CRITERIOS!$F$179:$F$199,$A492)&gt;=1,
 IF(O492&lt;&gt;"",
    (O492/_xlfn.XLOOKUP(CONCATENATE(A492,L492),[1]MÁQUINAS!A:A,[1]MÁQUINAS!D:D))/24,
    (N492/_xlfn.XLOOKUP(CONCATENATE(A492,L492),[1]MÁQUINAS!A:A,[1]MÁQUINAS!D:D))/24),
  _xlfn.XLOOKUP($A492,'[1]DATOS PBI Artículos'!A:A,'[1]DATOS PBI Artículos'!AU:AU))</f>
        <v>0</v>
      </c>
      <c r="K492" s="36">
        <f>_xlfn.XLOOKUP($A492,'[1]DATOS PBI Artículos'!A:A,'[1]DATOS PBI Artículos'!AV:AV)</f>
        <v>0</v>
      </c>
      <c r="L492" s="33">
        <f>_xlfn.XLOOKUP(A492,[1]MÁQUINAS!B:B,[1]MÁQUINAS!C:C)</f>
        <v>0</v>
      </c>
      <c r="M492" s="34">
        <f t="array" ref="M492">_xlfn.XLOOKUP(A492,'[1]DATOS PBI Artículos'!A:A,'[1]DATOS PBI Artículos'!AX:$AX)</f>
        <v>0</v>
      </c>
      <c r="N492" s="37" t="e">
        <f>IF(I492="DV",
E492,
IF(COUNTIF([1]CRITERIOS!$I$179:$I$199,$A492)&gt;=1,
_xlfn.XLOOKUP($A492,[1]CRITERIOS!$I$179:$I$199,[1]CRITERIOS!$J$179:$J$199),
IF(COUNTIF([1]CRITERIOS!$L$179:$L$199,$A492)&gt;=1,
_xlfn.CEILING.MATH(IF($M492&gt;$E492,
$E492,
IF($M492&lt;$E492/ROUNDDOWN([1]CRITERIOS!$M$16/_xlfn.XLOOKUP($C492,[1]CRITERIOS!$K$25:$K$42,[1]CRITERIOS!$M$25:$M$42),
1),
E492/ROUNDDOWN([1]CRITERIOS!$M$16/_xlfn.XLOOKUP($C492,[1]CRITERIOS!$K$25:$K$42,[1]CRITERIOS!$M$25:$M$42),
1),
$M492)),
_xlfn.XLOOKUP($A492,[1]CRITERIOS!$L$179:$L$200,[1]CRITERIOS!$M$179:$M$200)),
_xlfn.CEILING.MATH(IF($M492&gt;$E492,
$E492,
IF($M492&lt;$E492/ROUNDDOWN([1]CRITERIOS!$M$16/_xlfn.XLOOKUP($C492,[1]CRITERIOS!$K$25:$K$42,[1]CRITERIOS!$M$25:$M$42),
1),
E492/ROUNDDOWN([1]CRITERIOS!$M$16/_xlfn.XLOOKUP($C492,[1]CRITERIOS!$K$25:$K$42,[1]CRITERIOS!$M$25:$M$42),
1),
$M492)),_xlfn.XLOOKUP(A492,'[1]DATOS PBI Artículos'!A:A,'[1]DATOS PBI Artículos'!Z:Z
)))))</f>
        <v>#N/A</v>
      </c>
      <c r="Q492" s="38" t="e">
        <f>IF(AND(O492="",N492=0),
0,
   IF(COUNTIF([1]CRITERIOS!$F$179:$F$199,$A492)&gt;=1,
   1,
   IF(R492="MTO",
      $D492,
      ROUNDUP(
                    IF(($E492-SUMIF('[1]DATOS PBI Artículos'!A:A,A492,'[1]DATOS PBI Artículos'!X:X)+($V492-_xlfn.XLOOKUP(A492,'[1]DATOS PBI Artículos'!A:A,'[1]DATOS PBI Artículos'!W:W)))&lt;0,
                    0,
                    IF(($E492-SUMIF('[1]DATOS PBI Artículos'!A:A,A492,'[1]DATOS PBI Artículos'!X:X)+$V492-_xlfn.XLOOKUP($A492,'[1]DATOS PBI Artículos'!A:A,'[1]DATOS PBI Artículos'!W:W))/IF($O492="",$N492,$O492)&gt;ROUNDUP([1]CRITERIOS!$M$16/(IF(COUNTIF([1]CRITERIOS!$BG$11:$BG$201,L492)&gt;=1,_xlfn.XLOOKUP($C492,[1]CRITERIOS!$K$25:$K$42,[1]CRITERIOS!$M$25:$M$42),_xlfn.XLOOKUP($C492,[1]CRITERIOS!$K$25:$K$42,[1]CRITERIOS!$M$25:$M$42))),0),
                    ROUNDUP([1]CRITERIOS!$M$16/(IF(COUNTIF([1]CRITERIOS!$BG$11:$BG$201,$L492)&gt;=1,_xlfn.XLOOKUP($C492,[1]CRITERIOS!$K$25:$K$42,[1]CRITERIOS!$M$25:$M$42),_xlfn.XLOOKUP($C492,[1]CRITERIOS!$K$25:$K$42,[1]CRITERIOS!$M$25:$M$42))),0),
                    (E492+V492-SUMIF('[1]DATOS PBI Artículos'!A:A,A492,'[1]DATOS PBI Artículos'!X:X)-_xlfn.XLOOKUP(A492,'[1]DATOS PBI Artículos'!A:A,'[1]DATOS PBI Artículos'!W:W))/IF($O492="",$N492,$O492))),0))))</f>
        <v>#N/A</v>
      </c>
      <c r="R492" s="33" t="e">
        <f>IF(U492&lt;&gt;"",U492,IF(F492="DV","MTO",IF(N492=0,"MTO",_xlfn.XLOOKUP(CONCATENATE(S492,T492),[1]CRITERIOS!$K$160:$K$168,[1]CRITERIOS!$N$160:$N$168))))</f>
        <v>#N/A</v>
      </c>
      <c r="S492" s="33" t="e">
        <f>IF(G492="DV","MTO",IF(N492=0,"MTO",IF(OR(AND(N492=0,O492=""),IF(O492="",G492/N492,G492/O492)&gt;[1]CRITERIOS!$G$163),"MTO",IF(IF(O492="",G492/N492,G492/O492)&lt;[1]CRITERIOS!$H$161,"MTS","MTOS"))))</f>
        <v>#N/A</v>
      </c>
      <c r="T492" s="33" t="e">
        <f>IF(F492="DV","MTO",IF(OR(AND($N492=0,O492=""),$F492/$J492&gt;[1]CRITERIOS!$G$170,$F492="DV"),"MTO",IF($F492/$J492&lt;[1]CRITERIOS!$H$168,"MTS","MTOS")))</f>
        <v>#N/A</v>
      </c>
      <c r="V492" s="34" t="e">
        <f t="shared" si="25"/>
        <v>#N/A</v>
      </c>
      <c r="X492" s="34" t="e">
        <f t="shared" si="23"/>
        <v>#N/A</v>
      </c>
      <c r="Y492" s="34" t="e">
        <f t="shared" si="24"/>
        <v>#N/A</v>
      </c>
      <c r="Z492" s="34" t="e">
        <f>IF($R492="MTO",
0,
($H492+$K492*($E492/[1]CRITERIOS!$M$16))/[1]CRITERIOS!$X$48)</f>
        <v>#N/A</v>
      </c>
      <c r="AA492" s="34" t="e">
        <f>ROUNDUP(($Y492/_xlfn.XLOOKUP($A492,'[1]DATOS PBI Artículos'!$A$4:$A$4,'[1]DATOS PBI Artículos'!$Z$4:$Z$4))/_xlfn.XLOOKUP(_xlfn.XLOOKUP($A492,'[1]DATOS PBI Artículos'!$A$4:$A$4,'[1]DATOS PBI Artículos'!$Y$4:$Y$4),[1]CRITERIOS!$P$79:$P$123,[1]CRITERIOS!$S$79:$S$123,),0)</f>
        <v>#N/A</v>
      </c>
      <c r="AB492" s="33" t="e">
        <f t="array" ref="AB492">IF((E492+V492-_xlfn.XLOOKUP(A492,'[1]DATOS PBI Artículos'!$A$4:$A$4,'[1]DATOS PBI Artículos'!$W$4:$W$4))/N492&gt;ROUNDUP([1]CRITERIOS!$M$16/(IF(COUNTIF([1]CRITERIOS!$BG$11:$BG$201,L492)&gt;=1,_xlfn.XLOOKUP(ARTÍCULOS!L492,[1]CRITERIOS!$BG$11:$BG$201,[1]CRITERIOS!$BJ$11:$BJ$201),_xlfn.XLOOKUP(ARTÍCULOS!C492,[1]CRITERIOS!$K$25:$K$42,[1]CRITERIOS!$M$25:$M$42))),0),ROUNDUP([1]CRITERIOS!$M$16/(IF(COUNTIF([1]CRITERIOS!$BG$11:$BG$201,L492)&gt;=1,_xlfn.XLOOKUP(ARTÍCULOS!L492,[1]CRITERIOS!$BG$11:$BG$201:#REF!,[1]CRITERIOS!$BJ$11:$BJ$201),_xlfn.XLOOKUP(ARTÍCULOS!C492,[1]CRITERIOS!$K$25:$K$42,[1]CRITERIOS!$M$25:$M$42))),0),(E492+V492-_xlfn.XLOOKUP(A492,'[1]DATOS PBI Artículos'!$A$4:$A$4,'[1]DATOS PBI Artículos'!$W$4:$W$4))/N492)</f>
        <v>#N/A</v>
      </c>
      <c r="AC492" s="33" t="e">
        <f>IF(N492=0,"",(ROUNDUP((N492/2)/(_xlfn.XLOOKUP(A492,'[1]DATOS PBI Artículos'!$A$4:$A$4,'[1]DATOS PBI Artículos'!$Z$4:$Z$4)*_xlfn.XLOOKUP(_xlfn.XLOOKUP(A492,'[1]DATOS PBI Artículos'!$A$4:$A$4,'[1]DATOS PBI Artículos'!$Y$4:$Y$4),[1]CRITERIOS!$P$79:$P$123,[1]CRITERIOS!$S$79:$S$123)),0)*[1]CRITERIOS!$M$80*([1]CRITERIOS!$M$110/[1]CRITERIOS!$M$86)+(_xlfn.XLOOKUP(A492,'[1]DATOS PBI Artículos'!$A$4:$A$4,'[1]DATOS PBI Artículos'!$AA$4:$AA$4)*([1]CRITERIOS!$M$95+[1]CRITERIOS!$M$98)))/N492)</f>
        <v>#N/A</v>
      </c>
      <c r="AD492" s="33" t="e">
        <f>IF(N492=0,"",(ROUNDUP((N492/2)/(_xlfn.XLOOKUP(A492,'[1]DATOS PBI Artículos'!$A$4:$A$4,'[1]DATOS PBI Artículos'!$Z$4:$Z$4)*_xlfn.XLOOKUP(_xlfn.XLOOKUP(A492,'[1]DATOS PBI Artículos'!$A$4:$A$4,'[1]DATOS PBI Artículos'!$Y$4:$Y$4),[1]CRITERIOS!$P$79:$P$123,[1]CRITERIOS!$S$79:$S$123)),0)*[1]CRITERIOS!$M$80*([1]CRITERIOS!$M$89*[1]CRITERIOS!$M$92)+((_xlfn.XLOOKUP(A492,'[1]DATOS PBI Artículos'!$A$4:$A$4,'[1]DATOS PBI Artículos'!$AA$4:$AA$4)/2)*([1]CRITERIOS!$M$95+[1]CRITERIOS!$M$98)))/N492)</f>
        <v>#N/A</v>
      </c>
      <c r="AE492" s="39" t="e">
        <f>IF($R492="MTO","",
IF($H492=0,ROUNDUP(((_xlfn.XLOOKUP($A492,'[1]DATOS PBI Artículos'!$A:$A,'[1]DATOS PBI Artículos'!$AL:$AL))/(_xlfn.XLOOKUP($AF$1,[1]CRITERIOS!$S$16:$S$39,[1]CRITERIOS!$Y$16:$Y$39))*$J492+$Z492)/$G492,0)*$G492,
((_xlfn.XLOOKUP($A492,'[1]DATOS PBI Artículos'!$A:$A,'[1]DATOS PBI Artículos'!$AL:$AL))/(_xlfn.XLOOKUP($AF$1,[1]CRITERIOS!$S$16:$S$39,[1]CRITERIOS!$Y$16:$Y$39))*$J492+$Z492)))</f>
        <v>#N/A</v>
      </c>
      <c r="AG492" s="39" t="e">
        <f>IF($R492="MTO","",
IF($H492=0,ROUNDUP(((_xlfn.XLOOKUP($A492,'[1]DATOS PBI Artículos'!$A:$A,'[1]DATOS PBI Artículos'!$AM:$AM))/(_xlfn.XLOOKUP($AH$1,[1]CRITERIOS!$S$16:$S$39,[1]CRITERIOS!$Y$16:$Y$39))*$J492+$Z492)/$G492,0)*$G492,
((_xlfn.XLOOKUP($A492,'[1]DATOS PBI Artículos'!$A:$A,'[1]DATOS PBI Artículos'!$AM:$AM))/(_xlfn.XLOOKUP($AH$1,[1]CRITERIOS!$S$16:$S$39,[1]CRITERIOS!$Y$16:$Y$39))*$J492+$Z492)))</f>
        <v>#N/A</v>
      </c>
      <c r="AI492" s="39" t="e">
        <f>IF($R492="MTO","",
IF($H492=0,ROUNDUP(((_xlfn.XLOOKUP($A492,'[1]DATOS PBI Artículos'!$A:$A,'[1]DATOS PBI Artículos'!$AN:$AN))/(_xlfn.XLOOKUP($AJ$1,[1]CRITERIOS!$S$16:$S$39,[1]CRITERIOS!$Y$16:$Y$39))*$J492+$Z492)/$G492,0)*$G492,
((_xlfn.XLOOKUP($A492,'[1]DATOS PBI Artículos'!$A:$A,'[1]DATOS PBI Artículos'!$AN:$AN))/(_xlfn.XLOOKUP($AJ$1,[1]CRITERIOS!$S$16:$S$39,[1]CRITERIOS!$Y$16:$Y$39))*$J492+$Z492)))</f>
        <v>#N/A</v>
      </c>
      <c r="AK492" s="39" t="e">
        <f>IF($R492="MTO","",
IF($H492=0,ROUNDUP(((_xlfn.XLOOKUP($A492,'[1]DATOS PBI Artículos'!$A:$A,'[1]DATOS PBI Artículos'!$AO:$AO))/(_xlfn.XLOOKUP($AL$1,[1]CRITERIOS!$S$16:$S$39,[1]CRITERIOS!$Y$16:$Y$39))*$J492+$Z492)/$G492,0)*$G492,
((_xlfn.XLOOKUP($A492,'[1]DATOS PBI Artículos'!$A:$A,'[1]DATOS PBI Artículos'!$AO:$AO))/(_xlfn.XLOOKUP($AL$1,[1]CRITERIOS!$S$16:$S$39,[1]CRITERIOS!$Y$16:$Y$39))*$J492+$Z492)))</f>
        <v>#N/A</v>
      </c>
    </row>
    <row r="493" spans="1:37" ht="25.8" hidden="1" x14ac:dyDescent="0.4">
      <c r="A493" s="41"/>
      <c r="B493" s="33">
        <f>_xlfn.XLOOKUP($A493,'[1]DATOS PBI Artículos'!A:A,'[1]DATOS PBI Artículos'!B:B)</f>
        <v>0</v>
      </c>
      <c r="C493" s="33">
        <f>_xlfn.XLOOKUP($A493,'[1]DATOS PBI Artículos'!A:A,'[1]DATOS PBI Artículos'!C:C)</f>
        <v>0</v>
      </c>
      <c r="D493" s="33">
        <f>_xlfn.XLOOKUP(A493,'[1]DATOS PBI Artículos'!A:A,'[1]DATOS PBI Artículos'!T:T)</f>
        <v>0</v>
      </c>
      <c r="E493" s="34">
        <f>IF(_xlfn.XLOOKUP($A493,'[1]DATOS PBI Artículos'!A:A,'[1]DATOS PBI Artículos'!AK:AK)="",_xlfn.XLOOKUP($A493,'[1]DATOS PBI Artículos'!A:A,'[1]DATOS PBI Artículos'!AJ:AJ),_xlfn.XLOOKUP($A493,'[1]DATOS PBI Artículos'!A:A,'[1]DATOS PBI Artículos'!AK:AK))</f>
        <v>0</v>
      </c>
      <c r="F493" s="35">
        <f>_xlfn.XLOOKUP($A493,'[1]DATOS PBI Artículos'!A:A,'[1]DATOS PBI Artículos'!AP:AP)</f>
        <v>0</v>
      </c>
      <c r="G493" s="34">
        <f>_xlfn.XLOOKUP($A493,'[1]DATOS PBI Artículos'!A:A,'[1]DATOS PBI Artículos'!AR:AR)</f>
        <v>0</v>
      </c>
      <c r="H493" s="34">
        <f>_xlfn.XLOOKUP($A493,'[1]DATOS PBI Artículos'!A:A,'[1]DATOS PBI Artículos'!AT:AT)</f>
        <v>0</v>
      </c>
      <c r="I493" s="34">
        <f>_xlfn.XLOOKUP($A493,'[1]DATOS PBI Artículos'!A:A,'[1]DATOS PBI Artículos'!AS:AS)</f>
        <v>0</v>
      </c>
      <c r="J493" s="35">
        <f>IF(COUNTIF([1]CRITERIOS!$F$179:$F$199,$A493)&gt;=1,
 IF(O493&lt;&gt;"",
    (O493/_xlfn.XLOOKUP(CONCATENATE(A493,L493),[1]MÁQUINAS!A:A,[1]MÁQUINAS!D:D))/24,
    (N493/_xlfn.XLOOKUP(CONCATENATE(A493,L493),[1]MÁQUINAS!A:A,[1]MÁQUINAS!D:D))/24),
  _xlfn.XLOOKUP($A493,'[1]DATOS PBI Artículos'!A:A,'[1]DATOS PBI Artículos'!AU:AU))</f>
        <v>0</v>
      </c>
      <c r="K493" s="36">
        <f>_xlfn.XLOOKUP($A493,'[1]DATOS PBI Artículos'!A:A,'[1]DATOS PBI Artículos'!AV:AV)</f>
        <v>0</v>
      </c>
      <c r="L493" s="33">
        <f>_xlfn.XLOOKUP(A493,[1]MÁQUINAS!B:B,[1]MÁQUINAS!C:C)</f>
        <v>0</v>
      </c>
      <c r="M493" s="34">
        <f t="array" ref="M493">_xlfn.XLOOKUP(A493,'[1]DATOS PBI Artículos'!A:A,'[1]DATOS PBI Artículos'!AX:$AX)</f>
        <v>0</v>
      </c>
      <c r="N493" s="37" t="e">
        <f>IF(I493="DV",
E493,
IF(COUNTIF([1]CRITERIOS!$I$179:$I$199,$A493)&gt;=1,
_xlfn.XLOOKUP($A493,[1]CRITERIOS!$I$179:$I$199,[1]CRITERIOS!$J$179:$J$199),
IF(COUNTIF([1]CRITERIOS!$L$179:$L$199,$A493)&gt;=1,
_xlfn.CEILING.MATH(IF($M493&gt;$E493,
$E493,
IF($M493&lt;$E493/ROUNDDOWN([1]CRITERIOS!$M$16/_xlfn.XLOOKUP($C493,[1]CRITERIOS!$K$25:$K$42,[1]CRITERIOS!$M$25:$M$42),
1),
E493/ROUNDDOWN([1]CRITERIOS!$M$16/_xlfn.XLOOKUP($C493,[1]CRITERIOS!$K$25:$K$42,[1]CRITERIOS!$M$25:$M$42),
1),
$M493)),
_xlfn.XLOOKUP($A493,[1]CRITERIOS!$L$179:$L$200,[1]CRITERIOS!$M$179:$M$200)),
_xlfn.CEILING.MATH(IF($M493&gt;$E493,
$E493,
IF($M493&lt;$E493/ROUNDDOWN([1]CRITERIOS!$M$16/_xlfn.XLOOKUP($C493,[1]CRITERIOS!$K$25:$K$42,[1]CRITERIOS!$M$25:$M$42),
1),
E493/ROUNDDOWN([1]CRITERIOS!$M$16/_xlfn.XLOOKUP($C493,[1]CRITERIOS!$K$25:$K$42,[1]CRITERIOS!$M$25:$M$42),
1),
$M493)),_xlfn.XLOOKUP(A493,'[1]DATOS PBI Artículos'!A:A,'[1]DATOS PBI Artículos'!Z:Z
)))))</f>
        <v>#N/A</v>
      </c>
      <c r="Q493" s="38" t="e">
        <f>IF(AND(O493="",N493=0),
0,
   IF(COUNTIF([1]CRITERIOS!$F$179:$F$199,$A493)&gt;=1,
   1,
   IF(R493="MTO",
      $D493,
      ROUNDUP(
                    IF(($E493-SUMIF('[1]DATOS PBI Artículos'!A:A,A493,'[1]DATOS PBI Artículos'!X:X)+($V493-_xlfn.XLOOKUP(A493,'[1]DATOS PBI Artículos'!A:A,'[1]DATOS PBI Artículos'!W:W)))&lt;0,
                    0,
                    IF(($E493-SUMIF('[1]DATOS PBI Artículos'!A:A,A493,'[1]DATOS PBI Artículos'!X:X)+$V493-_xlfn.XLOOKUP($A493,'[1]DATOS PBI Artículos'!A:A,'[1]DATOS PBI Artículos'!W:W))/IF($O493="",$N493,$O493)&gt;ROUNDUP([1]CRITERIOS!$M$16/(IF(COUNTIF([1]CRITERIOS!$BG$11:$BG$201,L493)&gt;=1,_xlfn.XLOOKUP($C493,[1]CRITERIOS!$K$25:$K$42,[1]CRITERIOS!$M$25:$M$42),_xlfn.XLOOKUP($C493,[1]CRITERIOS!$K$25:$K$42,[1]CRITERIOS!$M$25:$M$42))),0),
                    ROUNDUP([1]CRITERIOS!$M$16/(IF(COUNTIF([1]CRITERIOS!$BG$11:$BG$201,$L493)&gt;=1,_xlfn.XLOOKUP($C493,[1]CRITERIOS!$K$25:$K$42,[1]CRITERIOS!$M$25:$M$42),_xlfn.XLOOKUP($C493,[1]CRITERIOS!$K$25:$K$42,[1]CRITERIOS!$M$25:$M$42))),0),
                    (E493+V493-SUMIF('[1]DATOS PBI Artículos'!A:A,A493,'[1]DATOS PBI Artículos'!X:X)-_xlfn.XLOOKUP(A493,'[1]DATOS PBI Artículos'!A:A,'[1]DATOS PBI Artículos'!W:W))/IF($O493="",$N493,$O493))),0))))</f>
        <v>#N/A</v>
      </c>
      <c r="R493" s="33" t="e">
        <f>IF(U493&lt;&gt;"",U493,IF(F493="DV","MTO",IF(N493=0,"MTO",_xlfn.XLOOKUP(CONCATENATE(S493,T493),[1]CRITERIOS!$K$160:$K$168,[1]CRITERIOS!$N$160:$N$168))))</f>
        <v>#N/A</v>
      </c>
      <c r="S493" s="33" t="e">
        <f>IF(G493="DV","MTO",IF(N493=0,"MTO",IF(OR(AND(N493=0,O493=""),IF(O493="",G493/N493,G493/O493)&gt;[1]CRITERIOS!$G$163),"MTO",IF(IF(O493="",G493/N493,G493/O493)&lt;[1]CRITERIOS!$H$161,"MTS","MTOS"))))</f>
        <v>#N/A</v>
      </c>
      <c r="T493" s="33" t="e">
        <f>IF(F493="DV","MTO",IF(OR(AND($N493=0,O493=""),$F493/$J493&gt;[1]CRITERIOS!$G$170,$F493="DV"),"MTO",IF($F493/$J493&lt;[1]CRITERIOS!$H$168,"MTS","MTOS")))</f>
        <v>#N/A</v>
      </c>
      <c r="V493" s="34" t="e">
        <f t="shared" si="25"/>
        <v>#N/A</v>
      </c>
      <c r="X493" s="34" t="e">
        <f t="shared" si="23"/>
        <v>#N/A</v>
      </c>
      <c r="Y493" s="34" t="e">
        <f t="shared" si="24"/>
        <v>#N/A</v>
      </c>
      <c r="Z493" s="34" t="e">
        <f>IF($R493="MTO",
0,
($H493+$K493*($E493/[1]CRITERIOS!$M$16))/[1]CRITERIOS!$X$48)</f>
        <v>#N/A</v>
      </c>
      <c r="AA493" s="34" t="e">
        <f>ROUNDUP(($Y493/_xlfn.XLOOKUP($A493,'[1]DATOS PBI Artículos'!$A$4:$A$4,'[1]DATOS PBI Artículos'!$Z$4:$Z$4))/_xlfn.XLOOKUP(_xlfn.XLOOKUP($A493,'[1]DATOS PBI Artículos'!$A$4:$A$4,'[1]DATOS PBI Artículos'!$Y$4:$Y$4),[1]CRITERIOS!$P$79:$P$123,[1]CRITERIOS!$S$79:$S$123,),0)</f>
        <v>#N/A</v>
      </c>
      <c r="AB493" s="33" t="e">
        <f t="array" ref="AB493">IF((E493+V493-_xlfn.XLOOKUP(A493,'[1]DATOS PBI Artículos'!$A$4:$A$4,'[1]DATOS PBI Artículos'!$W$4:$W$4))/N493&gt;ROUNDUP([1]CRITERIOS!$M$16/(IF(COUNTIF([1]CRITERIOS!$BG$11:$BG$201,L493)&gt;=1,_xlfn.XLOOKUP(ARTÍCULOS!L493,[1]CRITERIOS!$BG$11:$BG$201,[1]CRITERIOS!$BJ$11:$BJ$201),_xlfn.XLOOKUP(ARTÍCULOS!C493,[1]CRITERIOS!$K$25:$K$42,[1]CRITERIOS!$M$25:$M$42))),0),ROUNDUP([1]CRITERIOS!$M$16/(IF(COUNTIF([1]CRITERIOS!$BG$11:$BG$201,L493)&gt;=1,_xlfn.XLOOKUP(ARTÍCULOS!L493,[1]CRITERIOS!$BG$11:$BG$201:#REF!,[1]CRITERIOS!$BJ$11:$BJ$201),_xlfn.XLOOKUP(ARTÍCULOS!C493,[1]CRITERIOS!$K$25:$K$42,[1]CRITERIOS!$M$25:$M$42))),0),(E493+V493-_xlfn.XLOOKUP(A493,'[1]DATOS PBI Artículos'!$A$4:$A$4,'[1]DATOS PBI Artículos'!$W$4:$W$4))/N493)</f>
        <v>#N/A</v>
      </c>
      <c r="AC493" s="33" t="e">
        <f>IF(N493=0,"",(ROUNDUP((N493/2)/(_xlfn.XLOOKUP(A493,'[1]DATOS PBI Artículos'!$A$4:$A$4,'[1]DATOS PBI Artículos'!$Z$4:$Z$4)*_xlfn.XLOOKUP(_xlfn.XLOOKUP(A493,'[1]DATOS PBI Artículos'!$A$4:$A$4,'[1]DATOS PBI Artículos'!$Y$4:$Y$4),[1]CRITERIOS!$P$79:$P$123,[1]CRITERIOS!$S$79:$S$123)),0)*[1]CRITERIOS!$M$80*([1]CRITERIOS!$M$110/[1]CRITERIOS!$M$86)+(_xlfn.XLOOKUP(A493,'[1]DATOS PBI Artículos'!$A$4:$A$4,'[1]DATOS PBI Artículos'!$AA$4:$AA$4)*([1]CRITERIOS!$M$95+[1]CRITERIOS!$M$98)))/N493)</f>
        <v>#N/A</v>
      </c>
      <c r="AD493" s="33" t="e">
        <f>IF(N493=0,"",(ROUNDUP((N493/2)/(_xlfn.XLOOKUP(A493,'[1]DATOS PBI Artículos'!$A$4:$A$4,'[1]DATOS PBI Artículos'!$Z$4:$Z$4)*_xlfn.XLOOKUP(_xlfn.XLOOKUP(A493,'[1]DATOS PBI Artículos'!$A$4:$A$4,'[1]DATOS PBI Artículos'!$Y$4:$Y$4),[1]CRITERIOS!$P$79:$P$123,[1]CRITERIOS!$S$79:$S$123)),0)*[1]CRITERIOS!$M$80*([1]CRITERIOS!$M$89*[1]CRITERIOS!$M$92)+((_xlfn.XLOOKUP(A493,'[1]DATOS PBI Artículos'!$A$4:$A$4,'[1]DATOS PBI Artículos'!$AA$4:$AA$4)/2)*([1]CRITERIOS!$M$95+[1]CRITERIOS!$M$98)))/N493)</f>
        <v>#N/A</v>
      </c>
      <c r="AE493" s="39" t="e">
        <f>IF($R493="MTO","",
IF($H493=0,ROUNDUP(((_xlfn.XLOOKUP($A493,'[1]DATOS PBI Artículos'!$A:$A,'[1]DATOS PBI Artículos'!$AL:$AL))/(_xlfn.XLOOKUP($AF$1,[1]CRITERIOS!$S$16:$S$39,[1]CRITERIOS!$Y$16:$Y$39))*$J493+$Z493)/$G493,0)*$G493,
((_xlfn.XLOOKUP($A493,'[1]DATOS PBI Artículos'!$A:$A,'[1]DATOS PBI Artículos'!$AL:$AL))/(_xlfn.XLOOKUP($AF$1,[1]CRITERIOS!$S$16:$S$39,[1]CRITERIOS!$Y$16:$Y$39))*$J493+$Z493)))</f>
        <v>#N/A</v>
      </c>
      <c r="AG493" s="39" t="e">
        <f>IF($R493="MTO","",
IF($H493=0,ROUNDUP(((_xlfn.XLOOKUP($A493,'[1]DATOS PBI Artículos'!$A:$A,'[1]DATOS PBI Artículos'!$AM:$AM))/(_xlfn.XLOOKUP($AH$1,[1]CRITERIOS!$S$16:$S$39,[1]CRITERIOS!$Y$16:$Y$39))*$J493+$Z493)/$G493,0)*$G493,
((_xlfn.XLOOKUP($A493,'[1]DATOS PBI Artículos'!$A:$A,'[1]DATOS PBI Artículos'!$AM:$AM))/(_xlfn.XLOOKUP($AH$1,[1]CRITERIOS!$S$16:$S$39,[1]CRITERIOS!$Y$16:$Y$39))*$J493+$Z493)))</f>
        <v>#N/A</v>
      </c>
      <c r="AI493" s="39" t="e">
        <f>IF($R493="MTO","",
IF($H493=0,ROUNDUP(((_xlfn.XLOOKUP($A493,'[1]DATOS PBI Artículos'!$A:$A,'[1]DATOS PBI Artículos'!$AN:$AN))/(_xlfn.XLOOKUP($AJ$1,[1]CRITERIOS!$S$16:$S$39,[1]CRITERIOS!$Y$16:$Y$39))*$J493+$Z493)/$G493,0)*$G493,
((_xlfn.XLOOKUP($A493,'[1]DATOS PBI Artículos'!$A:$A,'[1]DATOS PBI Artículos'!$AN:$AN))/(_xlfn.XLOOKUP($AJ$1,[1]CRITERIOS!$S$16:$S$39,[1]CRITERIOS!$Y$16:$Y$39))*$J493+$Z493)))</f>
        <v>#N/A</v>
      </c>
      <c r="AK493" s="39" t="e">
        <f>IF($R493="MTO","",
IF($H493=0,ROUNDUP(((_xlfn.XLOOKUP($A493,'[1]DATOS PBI Artículos'!$A:$A,'[1]DATOS PBI Artículos'!$AO:$AO))/(_xlfn.XLOOKUP($AL$1,[1]CRITERIOS!$S$16:$S$39,[1]CRITERIOS!$Y$16:$Y$39))*$J493+$Z493)/$G493,0)*$G493,
((_xlfn.XLOOKUP($A493,'[1]DATOS PBI Artículos'!$A:$A,'[1]DATOS PBI Artículos'!$AO:$AO))/(_xlfn.XLOOKUP($AL$1,[1]CRITERIOS!$S$16:$S$39,[1]CRITERIOS!$Y$16:$Y$39))*$J493+$Z493)))</f>
        <v>#N/A</v>
      </c>
    </row>
    <row r="494" spans="1:37" ht="25.8" hidden="1" x14ac:dyDescent="0.4">
      <c r="A494" s="41"/>
      <c r="B494" s="33">
        <f>_xlfn.XLOOKUP($A494,'[1]DATOS PBI Artículos'!A:A,'[1]DATOS PBI Artículos'!B:B)</f>
        <v>0</v>
      </c>
      <c r="C494" s="33">
        <f>_xlfn.XLOOKUP($A494,'[1]DATOS PBI Artículos'!A:A,'[1]DATOS PBI Artículos'!C:C)</f>
        <v>0</v>
      </c>
      <c r="D494" s="33">
        <f>_xlfn.XLOOKUP(A494,'[1]DATOS PBI Artículos'!A:A,'[1]DATOS PBI Artículos'!T:T)</f>
        <v>0</v>
      </c>
      <c r="E494" s="34">
        <f>IF(_xlfn.XLOOKUP($A494,'[1]DATOS PBI Artículos'!A:A,'[1]DATOS PBI Artículos'!AK:AK)="",_xlfn.XLOOKUP($A494,'[1]DATOS PBI Artículos'!A:A,'[1]DATOS PBI Artículos'!AJ:AJ),_xlfn.XLOOKUP($A494,'[1]DATOS PBI Artículos'!A:A,'[1]DATOS PBI Artículos'!AK:AK))</f>
        <v>0</v>
      </c>
      <c r="F494" s="35">
        <f>_xlfn.XLOOKUP($A494,'[1]DATOS PBI Artículos'!A:A,'[1]DATOS PBI Artículos'!AP:AP)</f>
        <v>0</v>
      </c>
      <c r="G494" s="34">
        <f>_xlfn.XLOOKUP($A494,'[1]DATOS PBI Artículos'!A:A,'[1]DATOS PBI Artículos'!AR:AR)</f>
        <v>0</v>
      </c>
      <c r="H494" s="34">
        <f>_xlfn.XLOOKUP($A494,'[1]DATOS PBI Artículos'!A:A,'[1]DATOS PBI Artículos'!AT:AT)</f>
        <v>0</v>
      </c>
      <c r="I494" s="34">
        <f>_xlfn.XLOOKUP($A494,'[1]DATOS PBI Artículos'!A:A,'[1]DATOS PBI Artículos'!AS:AS)</f>
        <v>0</v>
      </c>
      <c r="J494" s="35">
        <f>IF(COUNTIF([1]CRITERIOS!$F$179:$F$199,$A494)&gt;=1,
 IF(O494&lt;&gt;"",
    (O494/_xlfn.XLOOKUP(CONCATENATE(A494,L494),[1]MÁQUINAS!A:A,[1]MÁQUINAS!D:D))/24,
    (N494/_xlfn.XLOOKUP(CONCATENATE(A494,L494),[1]MÁQUINAS!A:A,[1]MÁQUINAS!D:D))/24),
  _xlfn.XLOOKUP($A494,'[1]DATOS PBI Artículos'!A:A,'[1]DATOS PBI Artículos'!AU:AU))</f>
        <v>0</v>
      </c>
      <c r="K494" s="36">
        <f>_xlfn.XLOOKUP($A494,'[1]DATOS PBI Artículos'!A:A,'[1]DATOS PBI Artículos'!AV:AV)</f>
        <v>0</v>
      </c>
      <c r="L494" s="33">
        <f>_xlfn.XLOOKUP(A494,[1]MÁQUINAS!B:B,[1]MÁQUINAS!C:C)</f>
        <v>0</v>
      </c>
      <c r="M494" s="34">
        <f t="array" ref="M494">_xlfn.XLOOKUP(A494,'[1]DATOS PBI Artículos'!A:A,'[1]DATOS PBI Artículos'!AX:$AX)</f>
        <v>0</v>
      </c>
      <c r="N494" s="37" t="e">
        <f>IF(I494="DV",
E494,
IF(COUNTIF([1]CRITERIOS!$I$179:$I$199,$A494)&gt;=1,
_xlfn.XLOOKUP($A494,[1]CRITERIOS!$I$179:$I$199,[1]CRITERIOS!$J$179:$J$199),
IF(COUNTIF([1]CRITERIOS!$L$179:$L$199,$A494)&gt;=1,
_xlfn.CEILING.MATH(IF($M494&gt;$E494,
$E494,
IF($M494&lt;$E494/ROUNDDOWN([1]CRITERIOS!$M$16/_xlfn.XLOOKUP($C494,[1]CRITERIOS!$K$25:$K$42,[1]CRITERIOS!$M$25:$M$42),
1),
E494/ROUNDDOWN([1]CRITERIOS!$M$16/_xlfn.XLOOKUP($C494,[1]CRITERIOS!$K$25:$K$42,[1]CRITERIOS!$M$25:$M$42),
1),
$M494)),
_xlfn.XLOOKUP($A494,[1]CRITERIOS!$L$179:$L$200,[1]CRITERIOS!$M$179:$M$200)),
_xlfn.CEILING.MATH(IF($M494&gt;$E494,
$E494,
IF($M494&lt;$E494/ROUNDDOWN([1]CRITERIOS!$M$16/_xlfn.XLOOKUP($C494,[1]CRITERIOS!$K$25:$K$42,[1]CRITERIOS!$M$25:$M$42),
1),
E494/ROUNDDOWN([1]CRITERIOS!$M$16/_xlfn.XLOOKUP($C494,[1]CRITERIOS!$K$25:$K$42,[1]CRITERIOS!$M$25:$M$42),
1),
$M494)),_xlfn.XLOOKUP(A494,'[1]DATOS PBI Artículos'!A:A,'[1]DATOS PBI Artículos'!Z:Z
)))))</f>
        <v>#N/A</v>
      </c>
      <c r="Q494" s="38" t="e">
        <f>IF(AND(O494="",N494=0),
0,
   IF(COUNTIF([1]CRITERIOS!$F$179:$F$199,$A494)&gt;=1,
   1,
   IF(R494="MTO",
      $D494,
      ROUNDUP(
                    IF(($E494-SUMIF('[1]DATOS PBI Artículos'!A:A,A494,'[1]DATOS PBI Artículos'!X:X)+($V494-_xlfn.XLOOKUP(A494,'[1]DATOS PBI Artículos'!A:A,'[1]DATOS PBI Artículos'!W:W)))&lt;0,
                    0,
                    IF(($E494-SUMIF('[1]DATOS PBI Artículos'!A:A,A494,'[1]DATOS PBI Artículos'!X:X)+$V494-_xlfn.XLOOKUP($A494,'[1]DATOS PBI Artículos'!A:A,'[1]DATOS PBI Artículos'!W:W))/IF($O494="",$N494,$O494)&gt;ROUNDUP([1]CRITERIOS!$M$16/(IF(COUNTIF([1]CRITERIOS!$BG$11:$BG$201,L494)&gt;=1,_xlfn.XLOOKUP($C494,[1]CRITERIOS!$K$25:$K$42,[1]CRITERIOS!$M$25:$M$42),_xlfn.XLOOKUP($C494,[1]CRITERIOS!$K$25:$K$42,[1]CRITERIOS!$M$25:$M$42))),0),
                    ROUNDUP([1]CRITERIOS!$M$16/(IF(COUNTIF([1]CRITERIOS!$BG$11:$BG$201,$L494)&gt;=1,_xlfn.XLOOKUP($C494,[1]CRITERIOS!$K$25:$K$42,[1]CRITERIOS!$M$25:$M$42),_xlfn.XLOOKUP($C494,[1]CRITERIOS!$K$25:$K$42,[1]CRITERIOS!$M$25:$M$42))),0),
                    (E494+V494-SUMIF('[1]DATOS PBI Artículos'!A:A,A494,'[1]DATOS PBI Artículos'!X:X)-_xlfn.XLOOKUP(A494,'[1]DATOS PBI Artículos'!A:A,'[1]DATOS PBI Artículos'!W:W))/IF($O494="",$N494,$O494))),0))))</f>
        <v>#N/A</v>
      </c>
      <c r="R494" s="33" t="e">
        <f>IF(U494&lt;&gt;"",U494,IF(F494="DV","MTO",IF(N494=0,"MTO",_xlfn.XLOOKUP(CONCATENATE(S494,T494),[1]CRITERIOS!$K$160:$K$168,[1]CRITERIOS!$N$160:$N$168))))</f>
        <v>#N/A</v>
      </c>
      <c r="S494" s="33" t="e">
        <f>IF(G494="DV","MTO",IF(N494=0,"MTO",IF(OR(AND(N494=0,O494=""),IF(O494="",G494/N494,G494/O494)&gt;[1]CRITERIOS!$G$163),"MTO",IF(IF(O494="",G494/N494,G494/O494)&lt;[1]CRITERIOS!$H$161,"MTS","MTOS"))))</f>
        <v>#N/A</v>
      </c>
      <c r="T494" s="33" t="e">
        <f>IF(F494="DV","MTO",IF(OR(AND($N494=0,O494=""),$F494/$J494&gt;[1]CRITERIOS!$G$170,$F494="DV"),"MTO",IF($F494/$J494&lt;[1]CRITERIOS!$H$168,"MTS","MTOS")))</f>
        <v>#N/A</v>
      </c>
      <c r="V494" s="34" t="e">
        <f t="shared" si="25"/>
        <v>#N/A</v>
      </c>
      <c r="X494" s="34" t="e">
        <f t="shared" si="23"/>
        <v>#N/A</v>
      </c>
      <c r="Y494" s="34" t="e">
        <f t="shared" si="24"/>
        <v>#N/A</v>
      </c>
      <c r="Z494" s="34" t="e">
        <f>IF($R494="MTO",
0,
($H494+$K494*($E494/[1]CRITERIOS!$M$16))/[1]CRITERIOS!$X$48)</f>
        <v>#N/A</v>
      </c>
      <c r="AA494" s="34" t="e">
        <f>ROUNDUP(($Y494/_xlfn.XLOOKUP($A494,'[1]DATOS PBI Artículos'!$A$4:$A$4,'[1]DATOS PBI Artículos'!$Z$4:$Z$4))/_xlfn.XLOOKUP(_xlfn.XLOOKUP($A494,'[1]DATOS PBI Artículos'!$A$4:$A$4,'[1]DATOS PBI Artículos'!$Y$4:$Y$4),[1]CRITERIOS!$P$79:$P$123,[1]CRITERIOS!$S$79:$S$123,),0)</f>
        <v>#N/A</v>
      </c>
      <c r="AB494" s="33" t="e">
        <f t="array" ref="AB494">IF((E494+V494-_xlfn.XLOOKUP(A494,'[1]DATOS PBI Artículos'!$A$4:$A$4,'[1]DATOS PBI Artículos'!$W$4:$W$4))/N494&gt;ROUNDUP([1]CRITERIOS!$M$16/(IF(COUNTIF([1]CRITERIOS!$BG$11:$BG$201,L494)&gt;=1,_xlfn.XLOOKUP(ARTÍCULOS!L494,[1]CRITERIOS!$BG$11:$BG$201,[1]CRITERIOS!$BJ$11:$BJ$201),_xlfn.XLOOKUP(ARTÍCULOS!C494,[1]CRITERIOS!$K$25:$K$42,[1]CRITERIOS!$M$25:$M$42))),0),ROUNDUP([1]CRITERIOS!$M$16/(IF(COUNTIF([1]CRITERIOS!$BG$11:$BG$201,L494)&gt;=1,_xlfn.XLOOKUP(ARTÍCULOS!L494,[1]CRITERIOS!$BG$11:$BG$201:#REF!,[1]CRITERIOS!$BJ$11:$BJ$201),_xlfn.XLOOKUP(ARTÍCULOS!C494,[1]CRITERIOS!$K$25:$K$42,[1]CRITERIOS!$M$25:$M$42))),0),(E494+V494-_xlfn.XLOOKUP(A494,'[1]DATOS PBI Artículos'!$A$4:$A$4,'[1]DATOS PBI Artículos'!$W$4:$W$4))/N494)</f>
        <v>#N/A</v>
      </c>
      <c r="AC494" s="33" t="e">
        <f>IF(N494=0,"",(ROUNDUP((N494/2)/(_xlfn.XLOOKUP(A494,'[1]DATOS PBI Artículos'!$A$4:$A$4,'[1]DATOS PBI Artículos'!$Z$4:$Z$4)*_xlfn.XLOOKUP(_xlfn.XLOOKUP(A494,'[1]DATOS PBI Artículos'!$A$4:$A$4,'[1]DATOS PBI Artículos'!$Y$4:$Y$4),[1]CRITERIOS!$P$79:$P$123,[1]CRITERIOS!$S$79:$S$123)),0)*[1]CRITERIOS!$M$80*([1]CRITERIOS!$M$110/[1]CRITERIOS!$M$86)+(_xlfn.XLOOKUP(A494,'[1]DATOS PBI Artículos'!$A$4:$A$4,'[1]DATOS PBI Artículos'!$AA$4:$AA$4)*([1]CRITERIOS!$M$95+[1]CRITERIOS!$M$98)))/N494)</f>
        <v>#N/A</v>
      </c>
      <c r="AD494" s="33" t="e">
        <f>IF(N494=0,"",(ROUNDUP((N494/2)/(_xlfn.XLOOKUP(A494,'[1]DATOS PBI Artículos'!$A$4:$A$4,'[1]DATOS PBI Artículos'!$Z$4:$Z$4)*_xlfn.XLOOKUP(_xlfn.XLOOKUP(A494,'[1]DATOS PBI Artículos'!$A$4:$A$4,'[1]DATOS PBI Artículos'!$Y$4:$Y$4),[1]CRITERIOS!$P$79:$P$123,[1]CRITERIOS!$S$79:$S$123)),0)*[1]CRITERIOS!$M$80*([1]CRITERIOS!$M$89*[1]CRITERIOS!$M$92)+((_xlfn.XLOOKUP(A494,'[1]DATOS PBI Artículos'!$A$4:$A$4,'[1]DATOS PBI Artículos'!$AA$4:$AA$4)/2)*([1]CRITERIOS!$M$95+[1]CRITERIOS!$M$98)))/N494)</f>
        <v>#N/A</v>
      </c>
      <c r="AE494" s="39" t="e">
        <f>IF($R494="MTO","",
IF($H494=0,ROUNDUP(((_xlfn.XLOOKUP($A494,'[1]DATOS PBI Artículos'!$A:$A,'[1]DATOS PBI Artículos'!$AL:$AL))/(_xlfn.XLOOKUP($AF$1,[1]CRITERIOS!$S$16:$S$39,[1]CRITERIOS!$Y$16:$Y$39))*$J494+$Z494)/$G494,0)*$G494,
((_xlfn.XLOOKUP($A494,'[1]DATOS PBI Artículos'!$A:$A,'[1]DATOS PBI Artículos'!$AL:$AL))/(_xlfn.XLOOKUP($AF$1,[1]CRITERIOS!$S$16:$S$39,[1]CRITERIOS!$Y$16:$Y$39))*$J494+$Z494)))</f>
        <v>#N/A</v>
      </c>
      <c r="AG494" s="39" t="e">
        <f>IF($R494="MTO","",
IF($H494=0,ROUNDUP(((_xlfn.XLOOKUP($A494,'[1]DATOS PBI Artículos'!$A:$A,'[1]DATOS PBI Artículos'!$AM:$AM))/(_xlfn.XLOOKUP($AH$1,[1]CRITERIOS!$S$16:$S$39,[1]CRITERIOS!$Y$16:$Y$39))*$J494+$Z494)/$G494,0)*$G494,
((_xlfn.XLOOKUP($A494,'[1]DATOS PBI Artículos'!$A:$A,'[1]DATOS PBI Artículos'!$AM:$AM))/(_xlfn.XLOOKUP($AH$1,[1]CRITERIOS!$S$16:$S$39,[1]CRITERIOS!$Y$16:$Y$39))*$J494+$Z494)))</f>
        <v>#N/A</v>
      </c>
      <c r="AI494" s="39" t="e">
        <f>IF($R494="MTO","",
IF($H494=0,ROUNDUP(((_xlfn.XLOOKUP($A494,'[1]DATOS PBI Artículos'!$A:$A,'[1]DATOS PBI Artículos'!$AN:$AN))/(_xlfn.XLOOKUP($AJ$1,[1]CRITERIOS!$S$16:$S$39,[1]CRITERIOS!$Y$16:$Y$39))*$J494+$Z494)/$G494,0)*$G494,
((_xlfn.XLOOKUP($A494,'[1]DATOS PBI Artículos'!$A:$A,'[1]DATOS PBI Artículos'!$AN:$AN))/(_xlfn.XLOOKUP($AJ$1,[1]CRITERIOS!$S$16:$S$39,[1]CRITERIOS!$Y$16:$Y$39))*$J494+$Z494)))</f>
        <v>#N/A</v>
      </c>
      <c r="AK494" s="39" t="e">
        <f>IF($R494="MTO","",
IF($H494=0,ROUNDUP(((_xlfn.XLOOKUP($A494,'[1]DATOS PBI Artículos'!$A:$A,'[1]DATOS PBI Artículos'!$AO:$AO))/(_xlfn.XLOOKUP($AL$1,[1]CRITERIOS!$S$16:$S$39,[1]CRITERIOS!$Y$16:$Y$39))*$J494+$Z494)/$G494,0)*$G494,
((_xlfn.XLOOKUP($A494,'[1]DATOS PBI Artículos'!$A:$A,'[1]DATOS PBI Artículos'!$AO:$AO))/(_xlfn.XLOOKUP($AL$1,[1]CRITERIOS!$S$16:$S$39,[1]CRITERIOS!$Y$16:$Y$39))*$J494+$Z494)))</f>
        <v>#N/A</v>
      </c>
    </row>
    <row r="495" spans="1:37" ht="25.8" hidden="1" x14ac:dyDescent="0.4">
      <c r="A495" s="41"/>
      <c r="B495" s="33">
        <f>_xlfn.XLOOKUP($A495,'[1]DATOS PBI Artículos'!A:A,'[1]DATOS PBI Artículos'!B:B)</f>
        <v>0</v>
      </c>
      <c r="C495" s="33">
        <f>_xlfn.XLOOKUP($A495,'[1]DATOS PBI Artículos'!A:A,'[1]DATOS PBI Artículos'!C:C)</f>
        <v>0</v>
      </c>
      <c r="D495" s="33">
        <f>_xlfn.XLOOKUP(A495,'[1]DATOS PBI Artículos'!A:A,'[1]DATOS PBI Artículos'!T:T)</f>
        <v>0</v>
      </c>
      <c r="E495" s="34">
        <f>IF(_xlfn.XLOOKUP($A495,'[1]DATOS PBI Artículos'!A:A,'[1]DATOS PBI Artículos'!AK:AK)="",_xlfn.XLOOKUP($A495,'[1]DATOS PBI Artículos'!A:A,'[1]DATOS PBI Artículos'!AJ:AJ),_xlfn.XLOOKUP($A495,'[1]DATOS PBI Artículos'!A:A,'[1]DATOS PBI Artículos'!AK:AK))</f>
        <v>0</v>
      </c>
      <c r="F495" s="35">
        <f>_xlfn.XLOOKUP($A495,'[1]DATOS PBI Artículos'!A:A,'[1]DATOS PBI Artículos'!AP:AP)</f>
        <v>0</v>
      </c>
      <c r="G495" s="34">
        <f>_xlfn.XLOOKUP($A495,'[1]DATOS PBI Artículos'!A:A,'[1]DATOS PBI Artículos'!AR:AR)</f>
        <v>0</v>
      </c>
      <c r="H495" s="34">
        <f>_xlfn.XLOOKUP($A495,'[1]DATOS PBI Artículos'!A:A,'[1]DATOS PBI Artículos'!AT:AT)</f>
        <v>0</v>
      </c>
      <c r="I495" s="34">
        <f>_xlfn.XLOOKUP($A495,'[1]DATOS PBI Artículos'!A:A,'[1]DATOS PBI Artículos'!AS:AS)</f>
        <v>0</v>
      </c>
      <c r="J495" s="35">
        <f>IF(COUNTIF([1]CRITERIOS!$F$179:$F$199,$A495)&gt;=1,
 IF(O495&lt;&gt;"",
    (O495/_xlfn.XLOOKUP(CONCATENATE(A495,L495),[1]MÁQUINAS!A:A,[1]MÁQUINAS!D:D))/24,
    (N495/_xlfn.XLOOKUP(CONCATENATE(A495,L495),[1]MÁQUINAS!A:A,[1]MÁQUINAS!D:D))/24),
  _xlfn.XLOOKUP($A495,'[1]DATOS PBI Artículos'!A:A,'[1]DATOS PBI Artículos'!AU:AU))</f>
        <v>0</v>
      </c>
      <c r="K495" s="36">
        <f>_xlfn.XLOOKUP($A495,'[1]DATOS PBI Artículos'!A:A,'[1]DATOS PBI Artículos'!AV:AV)</f>
        <v>0</v>
      </c>
      <c r="L495" s="33">
        <f>_xlfn.XLOOKUP(A495,[1]MÁQUINAS!B:B,[1]MÁQUINAS!C:C)</f>
        <v>0</v>
      </c>
      <c r="M495" s="34">
        <f t="array" ref="M495">_xlfn.XLOOKUP(A495,'[1]DATOS PBI Artículos'!A:A,'[1]DATOS PBI Artículos'!AX:$AX)</f>
        <v>0</v>
      </c>
      <c r="N495" s="37" t="e">
        <f>IF(I495="DV",
E495,
IF(COUNTIF([1]CRITERIOS!$I$179:$I$199,$A495)&gt;=1,
_xlfn.XLOOKUP($A495,[1]CRITERIOS!$I$179:$I$199,[1]CRITERIOS!$J$179:$J$199),
IF(COUNTIF([1]CRITERIOS!$L$179:$L$199,$A495)&gt;=1,
_xlfn.CEILING.MATH(IF($M495&gt;$E495,
$E495,
IF($M495&lt;$E495/ROUNDDOWN([1]CRITERIOS!$M$16/_xlfn.XLOOKUP($C495,[1]CRITERIOS!$K$25:$K$42,[1]CRITERIOS!$M$25:$M$42),
1),
E495/ROUNDDOWN([1]CRITERIOS!$M$16/_xlfn.XLOOKUP($C495,[1]CRITERIOS!$K$25:$K$42,[1]CRITERIOS!$M$25:$M$42),
1),
$M495)),
_xlfn.XLOOKUP($A495,[1]CRITERIOS!$L$179:$L$200,[1]CRITERIOS!$M$179:$M$200)),
_xlfn.CEILING.MATH(IF($M495&gt;$E495,
$E495,
IF($M495&lt;$E495/ROUNDDOWN([1]CRITERIOS!$M$16/_xlfn.XLOOKUP($C495,[1]CRITERIOS!$K$25:$K$42,[1]CRITERIOS!$M$25:$M$42),
1),
E495/ROUNDDOWN([1]CRITERIOS!$M$16/_xlfn.XLOOKUP($C495,[1]CRITERIOS!$K$25:$K$42,[1]CRITERIOS!$M$25:$M$42),
1),
$M495)),_xlfn.XLOOKUP(A495,'[1]DATOS PBI Artículos'!A:A,'[1]DATOS PBI Artículos'!Z:Z
)))))</f>
        <v>#N/A</v>
      </c>
      <c r="Q495" s="38" t="e">
        <f>IF(AND(O495="",N495=0),
0,
   IF(COUNTIF([1]CRITERIOS!$F$179:$F$199,$A495)&gt;=1,
   1,
   IF(R495="MTO",
      $D495,
      ROUNDUP(
                    IF(($E495-SUMIF('[1]DATOS PBI Artículos'!A:A,A495,'[1]DATOS PBI Artículos'!X:X)+($V495-_xlfn.XLOOKUP(A495,'[1]DATOS PBI Artículos'!A:A,'[1]DATOS PBI Artículos'!W:W)))&lt;0,
                    0,
                    IF(($E495-SUMIF('[1]DATOS PBI Artículos'!A:A,A495,'[1]DATOS PBI Artículos'!X:X)+$V495-_xlfn.XLOOKUP($A495,'[1]DATOS PBI Artículos'!A:A,'[1]DATOS PBI Artículos'!W:W))/IF($O495="",$N495,$O495)&gt;ROUNDUP([1]CRITERIOS!$M$16/(IF(COUNTIF([1]CRITERIOS!$BG$11:$BG$201,L495)&gt;=1,_xlfn.XLOOKUP($C495,[1]CRITERIOS!$K$25:$K$42,[1]CRITERIOS!$M$25:$M$42),_xlfn.XLOOKUP($C495,[1]CRITERIOS!$K$25:$K$42,[1]CRITERIOS!$M$25:$M$42))),0),
                    ROUNDUP([1]CRITERIOS!$M$16/(IF(COUNTIF([1]CRITERIOS!$BG$11:$BG$201,$L495)&gt;=1,_xlfn.XLOOKUP($C495,[1]CRITERIOS!$K$25:$K$42,[1]CRITERIOS!$M$25:$M$42),_xlfn.XLOOKUP($C495,[1]CRITERIOS!$K$25:$K$42,[1]CRITERIOS!$M$25:$M$42))),0),
                    (E495+V495-SUMIF('[1]DATOS PBI Artículos'!A:A,A495,'[1]DATOS PBI Artículos'!X:X)-_xlfn.XLOOKUP(A495,'[1]DATOS PBI Artículos'!A:A,'[1]DATOS PBI Artículos'!W:W))/IF($O495="",$N495,$O495))),0))))</f>
        <v>#N/A</v>
      </c>
      <c r="R495" s="33" t="e">
        <f>IF(U495&lt;&gt;"",U495,IF(F495="DV","MTO",IF(N495=0,"MTO",_xlfn.XLOOKUP(CONCATENATE(S495,T495),[1]CRITERIOS!$K$160:$K$168,[1]CRITERIOS!$N$160:$N$168))))</f>
        <v>#N/A</v>
      </c>
      <c r="S495" s="33" t="e">
        <f>IF(G495="DV","MTO",IF(N495=0,"MTO",IF(OR(AND(N495=0,O495=""),IF(O495="",G495/N495,G495/O495)&gt;[1]CRITERIOS!$G$163),"MTO",IF(IF(O495="",G495/N495,G495/O495)&lt;[1]CRITERIOS!$H$161,"MTS","MTOS"))))</f>
        <v>#N/A</v>
      </c>
      <c r="T495" s="33" t="e">
        <f>IF(F495="DV","MTO",IF(OR(AND($N495=0,O495=""),$F495/$J495&gt;[1]CRITERIOS!$G$170,$F495="DV"),"MTO",IF($F495/$J495&lt;[1]CRITERIOS!$H$168,"MTS","MTOS")))</f>
        <v>#N/A</v>
      </c>
      <c r="V495" s="34" t="e">
        <f t="shared" si="25"/>
        <v>#N/A</v>
      </c>
      <c r="X495" s="34" t="e">
        <f t="shared" si="23"/>
        <v>#N/A</v>
      </c>
      <c r="Y495" s="34" t="e">
        <f t="shared" si="24"/>
        <v>#N/A</v>
      </c>
      <c r="Z495" s="34" t="e">
        <f>IF($R495="MTO",
0,
($H495+$K495*($E495/[1]CRITERIOS!$M$16))/[1]CRITERIOS!$X$48)</f>
        <v>#N/A</v>
      </c>
      <c r="AA495" s="34" t="e">
        <f>ROUNDUP(($Y495/_xlfn.XLOOKUP($A495,'[1]DATOS PBI Artículos'!$A$4:$A$4,'[1]DATOS PBI Artículos'!$Z$4:$Z$4))/_xlfn.XLOOKUP(_xlfn.XLOOKUP($A495,'[1]DATOS PBI Artículos'!$A$4:$A$4,'[1]DATOS PBI Artículos'!$Y$4:$Y$4),[1]CRITERIOS!$P$79:$P$123,[1]CRITERIOS!$S$79:$S$123,),0)</f>
        <v>#N/A</v>
      </c>
      <c r="AB495" s="33" t="e">
        <f t="array" ref="AB495">IF((E495+V495-_xlfn.XLOOKUP(A495,'[1]DATOS PBI Artículos'!$A$4:$A$4,'[1]DATOS PBI Artículos'!$W$4:$W$4))/N495&gt;ROUNDUP([1]CRITERIOS!$M$16/(IF(COUNTIF([1]CRITERIOS!$BG$11:$BG$201,L495)&gt;=1,_xlfn.XLOOKUP(ARTÍCULOS!L495,[1]CRITERIOS!$BG$11:$BG$201,[1]CRITERIOS!$BJ$11:$BJ$201),_xlfn.XLOOKUP(ARTÍCULOS!C495,[1]CRITERIOS!$K$25:$K$42,[1]CRITERIOS!$M$25:$M$42))),0),ROUNDUP([1]CRITERIOS!$M$16/(IF(COUNTIF([1]CRITERIOS!$BG$11:$BG$201,L495)&gt;=1,_xlfn.XLOOKUP(ARTÍCULOS!L495,[1]CRITERIOS!$BG$11:$BG$201:#REF!,[1]CRITERIOS!$BJ$11:$BJ$201),_xlfn.XLOOKUP(ARTÍCULOS!C495,[1]CRITERIOS!$K$25:$K$42,[1]CRITERIOS!$M$25:$M$42))),0),(E495+V495-_xlfn.XLOOKUP(A495,'[1]DATOS PBI Artículos'!$A$4:$A$4,'[1]DATOS PBI Artículos'!$W$4:$W$4))/N495)</f>
        <v>#N/A</v>
      </c>
      <c r="AC495" s="33" t="e">
        <f>IF(N495=0,"",(ROUNDUP((N495/2)/(_xlfn.XLOOKUP(A495,'[1]DATOS PBI Artículos'!$A$4:$A$4,'[1]DATOS PBI Artículos'!$Z$4:$Z$4)*_xlfn.XLOOKUP(_xlfn.XLOOKUP(A495,'[1]DATOS PBI Artículos'!$A$4:$A$4,'[1]DATOS PBI Artículos'!$Y$4:$Y$4),[1]CRITERIOS!$P$79:$P$123,[1]CRITERIOS!$S$79:$S$123)),0)*[1]CRITERIOS!$M$80*([1]CRITERIOS!$M$110/[1]CRITERIOS!$M$86)+(_xlfn.XLOOKUP(A495,'[1]DATOS PBI Artículos'!$A$4:$A$4,'[1]DATOS PBI Artículos'!$AA$4:$AA$4)*([1]CRITERIOS!$M$95+[1]CRITERIOS!$M$98)))/N495)</f>
        <v>#N/A</v>
      </c>
      <c r="AD495" s="33" t="e">
        <f>IF(N495=0,"",(ROUNDUP((N495/2)/(_xlfn.XLOOKUP(A495,'[1]DATOS PBI Artículos'!$A$4:$A$4,'[1]DATOS PBI Artículos'!$Z$4:$Z$4)*_xlfn.XLOOKUP(_xlfn.XLOOKUP(A495,'[1]DATOS PBI Artículos'!$A$4:$A$4,'[1]DATOS PBI Artículos'!$Y$4:$Y$4),[1]CRITERIOS!$P$79:$P$123,[1]CRITERIOS!$S$79:$S$123)),0)*[1]CRITERIOS!$M$80*([1]CRITERIOS!$M$89*[1]CRITERIOS!$M$92)+((_xlfn.XLOOKUP(A495,'[1]DATOS PBI Artículos'!$A$4:$A$4,'[1]DATOS PBI Artículos'!$AA$4:$AA$4)/2)*([1]CRITERIOS!$M$95+[1]CRITERIOS!$M$98)))/N495)</f>
        <v>#N/A</v>
      </c>
      <c r="AE495" s="39" t="e">
        <f>IF($R495="MTO","",
IF($H495=0,ROUNDUP(((_xlfn.XLOOKUP($A495,'[1]DATOS PBI Artículos'!$A:$A,'[1]DATOS PBI Artículos'!$AL:$AL))/(_xlfn.XLOOKUP($AF$1,[1]CRITERIOS!$S$16:$S$39,[1]CRITERIOS!$Y$16:$Y$39))*$J495+$Z495)/$G495,0)*$G495,
((_xlfn.XLOOKUP($A495,'[1]DATOS PBI Artículos'!$A:$A,'[1]DATOS PBI Artículos'!$AL:$AL))/(_xlfn.XLOOKUP($AF$1,[1]CRITERIOS!$S$16:$S$39,[1]CRITERIOS!$Y$16:$Y$39))*$J495+$Z495)))</f>
        <v>#N/A</v>
      </c>
      <c r="AG495" s="39" t="e">
        <f>IF($R495="MTO","",
IF($H495=0,ROUNDUP(((_xlfn.XLOOKUP($A495,'[1]DATOS PBI Artículos'!$A:$A,'[1]DATOS PBI Artículos'!$AM:$AM))/(_xlfn.XLOOKUP($AH$1,[1]CRITERIOS!$S$16:$S$39,[1]CRITERIOS!$Y$16:$Y$39))*$J495+$Z495)/$G495,0)*$G495,
((_xlfn.XLOOKUP($A495,'[1]DATOS PBI Artículos'!$A:$A,'[1]DATOS PBI Artículos'!$AM:$AM))/(_xlfn.XLOOKUP($AH$1,[1]CRITERIOS!$S$16:$S$39,[1]CRITERIOS!$Y$16:$Y$39))*$J495+$Z495)))</f>
        <v>#N/A</v>
      </c>
      <c r="AI495" s="39" t="e">
        <f>IF($R495="MTO","",
IF($H495=0,ROUNDUP(((_xlfn.XLOOKUP($A495,'[1]DATOS PBI Artículos'!$A:$A,'[1]DATOS PBI Artículos'!$AN:$AN))/(_xlfn.XLOOKUP($AJ$1,[1]CRITERIOS!$S$16:$S$39,[1]CRITERIOS!$Y$16:$Y$39))*$J495+$Z495)/$G495,0)*$G495,
((_xlfn.XLOOKUP($A495,'[1]DATOS PBI Artículos'!$A:$A,'[1]DATOS PBI Artículos'!$AN:$AN))/(_xlfn.XLOOKUP($AJ$1,[1]CRITERIOS!$S$16:$S$39,[1]CRITERIOS!$Y$16:$Y$39))*$J495+$Z495)))</f>
        <v>#N/A</v>
      </c>
      <c r="AK495" s="39" t="e">
        <f>IF($R495="MTO","",
IF($H495=0,ROUNDUP(((_xlfn.XLOOKUP($A495,'[1]DATOS PBI Artículos'!$A:$A,'[1]DATOS PBI Artículos'!$AO:$AO))/(_xlfn.XLOOKUP($AL$1,[1]CRITERIOS!$S$16:$S$39,[1]CRITERIOS!$Y$16:$Y$39))*$J495+$Z495)/$G495,0)*$G495,
((_xlfn.XLOOKUP($A495,'[1]DATOS PBI Artículos'!$A:$A,'[1]DATOS PBI Artículos'!$AO:$AO))/(_xlfn.XLOOKUP($AL$1,[1]CRITERIOS!$S$16:$S$39,[1]CRITERIOS!$Y$16:$Y$39))*$J495+$Z495)))</f>
        <v>#N/A</v>
      </c>
    </row>
    <row r="496" spans="1:37" ht="25.8" hidden="1" x14ac:dyDescent="0.4">
      <c r="A496" s="41"/>
      <c r="B496" s="33">
        <f>_xlfn.XLOOKUP($A496,'[1]DATOS PBI Artículos'!A:A,'[1]DATOS PBI Artículos'!B:B)</f>
        <v>0</v>
      </c>
      <c r="C496" s="33">
        <f>_xlfn.XLOOKUP($A496,'[1]DATOS PBI Artículos'!A:A,'[1]DATOS PBI Artículos'!C:C)</f>
        <v>0</v>
      </c>
      <c r="D496" s="33">
        <f>_xlfn.XLOOKUP(A496,'[1]DATOS PBI Artículos'!A:A,'[1]DATOS PBI Artículos'!T:T)</f>
        <v>0</v>
      </c>
      <c r="E496" s="34">
        <f>IF(_xlfn.XLOOKUP($A496,'[1]DATOS PBI Artículos'!A:A,'[1]DATOS PBI Artículos'!AK:AK)="",_xlfn.XLOOKUP($A496,'[1]DATOS PBI Artículos'!A:A,'[1]DATOS PBI Artículos'!AJ:AJ),_xlfn.XLOOKUP($A496,'[1]DATOS PBI Artículos'!A:A,'[1]DATOS PBI Artículos'!AK:AK))</f>
        <v>0</v>
      </c>
      <c r="F496" s="35">
        <f>_xlfn.XLOOKUP($A496,'[1]DATOS PBI Artículos'!A:A,'[1]DATOS PBI Artículos'!AP:AP)</f>
        <v>0</v>
      </c>
      <c r="G496" s="34">
        <f>_xlfn.XLOOKUP($A496,'[1]DATOS PBI Artículos'!A:A,'[1]DATOS PBI Artículos'!AR:AR)</f>
        <v>0</v>
      </c>
      <c r="H496" s="34">
        <f>_xlfn.XLOOKUP($A496,'[1]DATOS PBI Artículos'!A:A,'[1]DATOS PBI Artículos'!AT:AT)</f>
        <v>0</v>
      </c>
      <c r="I496" s="34">
        <f>_xlfn.XLOOKUP($A496,'[1]DATOS PBI Artículos'!A:A,'[1]DATOS PBI Artículos'!AS:AS)</f>
        <v>0</v>
      </c>
      <c r="J496" s="35">
        <f>IF(COUNTIF([1]CRITERIOS!$F$179:$F$199,$A496)&gt;=1,
 IF(O496&lt;&gt;"",
    (O496/_xlfn.XLOOKUP(CONCATENATE(A496,L496),[1]MÁQUINAS!A:A,[1]MÁQUINAS!D:D))/24,
    (N496/_xlfn.XLOOKUP(CONCATENATE(A496,L496),[1]MÁQUINAS!A:A,[1]MÁQUINAS!D:D))/24),
  _xlfn.XLOOKUP($A496,'[1]DATOS PBI Artículos'!A:A,'[1]DATOS PBI Artículos'!AU:AU))</f>
        <v>0</v>
      </c>
      <c r="K496" s="36">
        <f>_xlfn.XLOOKUP($A496,'[1]DATOS PBI Artículos'!A:A,'[1]DATOS PBI Artículos'!AV:AV)</f>
        <v>0</v>
      </c>
      <c r="L496" s="33">
        <f>_xlfn.XLOOKUP(A496,[1]MÁQUINAS!B:B,[1]MÁQUINAS!C:C)</f>
        <v>0</v>
      </c>
      <c r="M496" s="34">
        <f t="array" ref="M496">_xlfn.XLOOKUP(A496,'[1]DATOS PBI Artículos'!A:A,'[1]DATOS PBI Artículos'!AX:$AX)</f>
        <v>0</v>
      </c>
      <c r="N496" s="37" t="e">
        <f>IF(I496="DV",
E496,
IF(COUNTIF([1]CRITERIOS!$I$179:$I$199,$A496)&gt;=1,
_xlfn.XLOOKUP($A496,[1]CRITERIOS!$I$179:$I$199,[1]CRITERIOS!$J$179:$J$199),
IF(COUNTIF([1]CRITERIOS!$L$179:$L$199,$A496)&gt;=1,
_xlfn.CEILING.MATH(IF($M496&gt;$E496,
$E496,
IF($M496&lt;$E496/ROUNDDOWN([1]CRITERIOS!$M$16/_xlfn.XLOOKUP($C496,[1]CRITERIOS!$K$25:$K$42,[1]CRITERIOS!$M$25:$M$42),
1),
E496/ROUNDDOWN([1]CRITERIOS!$M$16/_xlfn.XLOOKUP($C496,[1]CRITERIOS!$K$25:$K$42,[1]CRITERIOS!$M$25:$M$42),
1),
$M496)),
_xlfn.XLOOKUP($A496,[1]CRITERIOS!$L$179:$L$200,[1]CRITERIOS!$M$179:$M$200)),
_xlfn.CEILING.MATH(IF($M496&gt;$E496,
$E496,
IF($M496&lt;$E496/ROUNDDOWN([1]CRITERIOS!$M$16/_xlfn.XLOOKUP($C496,[1]CRITERIOS!$K$25:$K$42,[1]CRITERIOS!$M$25:$M$42),
1),
E496/ROUNDDOWN([1]CRITERIOS!$M$16/_xlfn.XLOOKUP($C496,[1]CRITERIOS!$K$25:$K$42,[1]CRITERIOS!$M$25:$M$42),
1),
$M496)),_xlfn.XLOOKUP(A496,'[1]DATOS PBI Artículos'!A:A,'[1]DATOS PBI Artículos'!Z:Z
)))))</f>
        <v>#N/A</v>
      </c>
      <c r="Q496" s="38" t="e">
        <f>IF(AND(O496="",N496=0),
0,
   IF(COUNTIF([1]CRITERIOS!$F$179:$F$199,$A496)&gt;=1,
   1,
   IF(R496="MTO",
      $D496,
      ROUNDUP(
                    IF(($E496-SUMIF('[1]DATOS PBI Artículos'!A:A,A496,'[1]DATOS PBI Artículos'!X:X)+($V496-_xlfn.XLOOKUP(A496,'[1]DATOS PBI Artículos'!A:A,'[1]DATOS PBI Artículos'!W:W)))&lt;0,
                    0,
                    IF(($E496-SUMIF('[1]DATOS PBI Artículos'!A:A,A496,'[1]DATOS PBI Artículos'!X:X)+$V496-_xlfn.XLOOKUP($A496,'[1]DATOS PBI Artículos'!A:A,'[1]DATOS PBI Artículos'!W:W))/IF($O496="",$N496,$O496)&gt;ROUNDUP([1]CRITERIOS!$M$16/(IF(COUNTIF([1]CRITERIOS!$BG$11:$BG$201,L496)&gt;=1,_xlfn.XLOOKUP($C496,[1]CRITERIOS!$K$25:$K$42,[1]CRITERIOS!$M$25:$M$42),_xlfn.XLOOKUP($C496,[1]CRITERIOS!$K$25:$K$42,[1]CRITERIOS!$M$25:$M$42))),0),
                    ROUNDUP([1]CRITERIOS!$M$16/(IF(COUNTIF([1]CRITERIOS!$BG$11:$BG$201,$L496)&gt;=1,_xlfn.XLOOKUP($C496,[1]CRITERIOS!$K$25:$K$42,[1]CRITERIOS!$M$25:$M$42),_xlfn.XLOOKUP($C496,[1]CRITERIOS!$K$25:$K$42,[1]CRITERIOS!$M$25:$M$42))),0),
                    (E496+V496-SUMIF('[1]DATOS PBI Artículos'!A:A,A496,'[1]DATOS PBI Artículos'!X:X)-_xlfn.XLOOKUP(A496,'[1]DATOS PBI Artículos'!A:A,'[1]DATOS PBI Artículos'!W:W))/IF($O496="",$N496,$O496))),0))))</f>
        <v>#N/A</v>
      </c>
      <c r="R496" s="33" t="e">
        <f>IF(U496&lt;&gt;"",U496,IF(F496="DV","MTO",IF(N496=0,"MTO",_xlfn.XLOOKUP(CONCATENATE(S496,T496),[1]CRITERIOS!$K$160:$K$168,[1]CRITERIOS!$N$160:$N$168))))</f>
        <v>#N/A</v>
      </c>
      <c r="S496" s="33" t="e">
        <f>IF(G496="DV","MTO",IF(N496=0,"MTO",IF(OR(AND(N496=0,O496=""),IF(O496="",G496/N496,G496/O496)&gt;[1]CRITERIOS!$G$163),"MTO",IF(IF(O496="",G496/N496,G496/O496)&lt;[1]CRITERIOS!$H$161,"MTS","MTOS"))))</f>
        <v>#N/A</v>
      </c>
      <c r="T496" s="33" t="e">
        <f>IF(F496="DV","MTO",IF(OR(AND($N496=0,O496=""),$F496/$J496&gt;[1]CRITERIOS!$G$170,$F496="DV"),"MTO",IF($F496/$J496&lt;[1]CRITERIOS!$H$168,"MTS","MTOS")))</f>
        <v>#N/A</v>
      </c>
      <c r="V496" s="34" t="e">
        <f t="shared" si="25"/>
        <v>#N/A</v>
      </c>
      <c r="X496" s="34" t="e">
        <f t="shared" si="23"/>
        <v>#N/A</v>
      </c>
      <c r="Y496" s="34" t="e">
        <f t="shared" si="24"/>
        <v>#N/A</v>
      </c>
      <c r="Z496" s="34" t="e">
        <f>IF($R496="MTO",
0,
($H496+$K496*($E496/[1]CRITERIOS!$M$16))/[1]CRITERIOS!$X$48)</f>
        <v>#N/A</v>
      </c>
      <c r="AA496" s="34" t="e">
        <f>ROUNDUP(($Y496/_xlfn.XLOOKUP($A496,'[1]DATOS PBI Artículos'!$A$4:$A$4,'[1]DATOS PBI Artículos'!$Z$4:$Z$4))/_xlfn.XLOOKUP(_xlfn.XLOOKUP($A496,'[1]DATOS PBI Artículos'!$A$4:$A$4,'[1]DATOS PBI Artículos'!$Y$4:$Y$4),[1]CRITERIOS!$P$79:$P$123,[1]CRITERIOS!$S$79:$S$123,),0)</f>
        <v>#N/A</v>
      </c>
      <c r="AB496" s="33" t="e">
        <f t="array" ref="AB496">IF((E496+V496-_xlfn.XLOOKUP(A496,'[1]DATOS PBI Artículos'!$A$4:$A$4,'[1]DATOS PBI Artículos'!$W$4:$W$4))/N496&gt;ROUNDUP([1]CRITERIOS!$M$16/(IF(COUNTIF([1]CRITERIOS!$BG$11:$BG$201,L496)&gt;=1,_xlfn.XLOOKUP(ARTÍCULOS!L496,[1]CRITERIOS!$BG$11:$BG$201,[1]CRITERIOS!$BJ$11:$BJ$201),_xlfn.XLOOKUP(ARTÍCULOS!C496,[1]CRITERIOS!$K$25:$K$42,[1]CRITERIOS!$M$25:$M$42))),0),ROUNDUP([1]CRITERIOS!$M$16/(IF(COUNTIF([1]CRITERIOS!$BG$11:$BG$201,L496)&gt;=1,_xlfn.XLOOKUP(ARTÍCULOS!L496,[1]CRITERIOS!$BG$11:$BG$201:#REF!,[1]CRITERIOS!$BJ$11:$BJ$201),_xlfn.XLOOKUP(ARTÍCULOS!C496,[1]CRITERIOS!$K$25:$K$42,[1]CRITERIOS!$M$25:$M$42))),0),(E496+V496-_xlfn.XLOOKUP(A496,'[1]DATOS PBI Artículos'!$A$4:$A$4,'[1]DATOS PBI Artículos'!$W$4:$W$4))/N496)</f>
        <v>#N/A</v>
      </c>
      <c r="AC496" s="33" t="e">
        <f>IF(N496=0,"",(ROUNDUP((N496/2)/(_xlfn.XLOOKUP(A496,'[1]DATOS PBI Artículos'!$A$4:$A$4,'[1]DATOS PBI Artículos'!$Z$4:$Z$4)*_xlfn.XLOOKUP(_xlfn.XLOOKUP(A496,'[1]DATOS PBI Artículos'!$A$4:$A$4,'[1]DATOS PBI Artículos'!$Y$4:$Y$4),[1]CRITERIOS!$P$79:$P$123,[1]CRITERIOS!$S$79:$S$123)),0)*[1]CRITERIOS!$M$80*([1]CRITERIOS!$M$110/[1]CRITERIOS!$M$86)+(_xlfn.XLOOKUP(A496,'[1]DATOS PBI Artículos'!$A$4:$A$4,'[1]DATOS PBI Artículos'!$AA$4:$AA$4)*([1]CRITERIOS!$M$95+[1]CRITERIOS!$M$98)))/N496)</f>
        <v>#N/A</v>
      </c>
      <c r="AD496" s="33" t="e">
        <f>IF(N496=0,"",(ROUNDUP((N496/2)/(_xlfn.XLOOKUP(A496,'[1]DATOS PBI Artículos'!$A$4:$A$4,'[1]DATOS PBI Artículos'!$Z$4:$Z$4)*_xlfn.XLOOKUP(_xlfn.XLOOKUP(A496,'[1]DATOS PBI Artículos'!$A$4:$A$4,'[1]DATOS PBI Artículos'!$Y$4:$Y$4),[1]CRITERIOS!$P$79:$P$123,[1]CRITERIOS!$S$79:$S$123)),0)*[1]CRITERIOS!$M$80*([1]CRITERIOS!$M$89*[1]CRITERIOS!$M$92)+((_xlfn.XLOOKUP(A496,'[1]DATOS PBI Artículos'!$A$4:$A$4,'[1]DATOS PBI Artículos'!$AA$4:$AA$4)/2)*([1]CRITERIOS!$M$95+[1]CRITERIOS!$M$98)))/N496)</f>
        <v>#N/A</v>
      </c>
      <c r="AE496" s="39" t="e">
        <f>IF($R496="MTO","",
IF($H496=0,ROUNDUP(((_xlfn.XLOOKUP($A496,'[1]DATOS PBI Artículos'!$A:$A,'[1]DATOS PBI Artículos'!$AL:$AL))/(_xlfn.XLOOKUP($AF$1,[1]CRITERIOS!$S$16:$S$39,[1]CRITERIOS!$Y$16:$Y$39))*$J496+$Z496)/$G496,0)*$G496,
((_xlfn.XLOOKUP($A496,'[1]DATOS PBI Artículos'!$A:$A,'[1]DATOS PBI Artículos'!$AL:$AL))/(_xlfn.XLOOKUP($AF$1,[1]CRITERIOS!$S$16:$S$39,[1]CRITERIOS!$Y$16:$Y$39))*$J496+$Z496)))</f>
        <v>#N/A</v>
      </c>
      <c r="AG496" s="39" t="e">
        <f>IF($R496="MTO","",
IF($H496=0,ROUNDUP(((_xlfn.XLOOKUP($A496,'[1]DATOS PBI Artículos'!$A:$A,'[1]DATOS PBI Artículos'!$AM:$AM))/(_xlfn.XLOOKUP($AH$1,[1]CRITERIOS!$S$16:$S$39,[1]CRITERIOS!$Y$16:$Y$39))*$J496+$Z496)/$G496,0)*$G496,
((_xlfn.XLOOKUP($A496,'[1]DATOS PBI Artículos'!$A:$A,'[1]DATOS PBI Artículos'!$AM:$AM))/(_xlfn.XLOOKUP($AH$1,[1]CRITERIOS!$S$16:$S$39,[1]CRITERIOS!$Y$16:$Y$39))*$J496+$Z496)))</f>
        <v>#N/A</v>
      </c>
      <c r="AI496" s="39" t="e">
        <f>IF($R496="MTO","",
IF($H496=0,ROUNDUP(((_xlfn.XLOOKUP($A496,'[1]DATOS PBI Artículos'!$A:$A,'[1]DATOS PBI Artículos'!$AN:$AN))/(_xlfn.XLOOKUP($AJ$1,[1]CRITERIOS!$S$16:$S$39,[1]CRITERIOS!$Y$16:$Y$39))*$J496+$Z496)/$G496,0)*$G496,
((_xlfn.XLOOKUP($A496,'[1]DATOS PBI Artículos'!$A:$A,'[1]DATOS PBI Artículos'!$AN:$AN))/(_xlfn.XLOOKUP($AJ$1,[1]CRITERIOS!$S$16:$S$39,[1]CRITERIOS!$Y$16:$Y$39))*$J496+$Z496)))</f>
        <v>#N/A</v>
      </c>
      <c r="AK496" s="39" t="e">
        <f>IF($R496="MTO","",
IF($H496=0,ROUNDUP(((_xlfn.XLOOKUP($A496,'[1]DATOS PBI Artículos'!$A:$A,'[1]DATOS PBI Artículos'!$AO:$AO))/(_xlfn.XLOOKUP($AL$1,[1]CRITERIOS!$S$16:$S$39,[1]CRITERIOS!$Y$16:$Y$39))*$J496+$Z496)/$G496,0)*$G496,
((_xlfn.XLOOKUP($A496,'[1]DATOS PBI Artículos'!$A:$A,'[1]DATOS PBI Artículos'!$AO:$AO))/(_xlfn.XLOOKUP($AL$1,[1]CRITERIOS!$S$16:$S$39,[1]CRITERIOS!$Y$16:$Y$39))*$J496+$Z496)))</f>
        <v>#N/A</v>
      </c>
    </row>
    <row r="497" spans="1:37" ht="25.8" hidden="1" x14ac:dyDescent="0.4">
      <c r="A497" s="41"/>
      <c r="B497" s="33">
        <f>_xlfn.XLOOKUP($A497,'[1]DATOS PBI Artículos'!A:A,'[1]DATOS PBI Artículos'!B:B)</f>
        <v>0</v>
      </c>
      <c r="C497" s="33">
        <f>_xlfn.XLOOKUP($A497,'[1]DATOS PBI Artículos'!A:A,'[1]DATOS PBI Artículos'!C:C)</f>
        <v>0</v>
      </c>
      <c r="D497" s="33">
        <f>_xlfn.XLOOKUP(A497,'[1]DATOS PBI Artículos'!A:A,'[1]DATOS PBI Artículos'!T:T)</f>
        <v>0</v>
      </c>
      <c r="E497" s="34">
        <f>IF(_xlfn.XLOOKUP($A497,'[1]DATOS PBI Artículos'!A:A,'[1]DATOS PBI Artículos'!AK:AK)="",_xlfn.XLOOKUP($A497,'[1]DATOS PBI Artículos'!A:A,'[1]DATOS PBI Artículos'!AJ:AJ),_xlfn.XLOOKUP($A497,'[1]DATOS PBI Artículos'!A:A,'[1]DATOS PBI Artículos'!AK:AK))</f>
        <v>0</v>
      </c>
      <c r="F497" s="35">
        <f>_xlfn.XLOOKUP($A497,'[1]DATOS PBI Artículos'!A:A,'[1]DATOS PBI Artículos'!AP:AP)</f>
        <v>0</v>
      </c>
      <c r="G497" s="34">
        <f>_xlfn.XLOOKUP($A497,'[1]DATOS PBI Artículos'!A:A,'[1]DATOS PBI Artículos'!AR:AR)</f>
        <v>0</v>
      </c>
      <c r="H497" s="34">
        <f>_xlfn.XLOOKUP($A497,'[1]DATOS PBI Artículos'!A:A,'[1]DATOS PBI Artículos'!AT:AT)</f>
        <v>0</v>
      </c>
      <c r="I497" s="34">
        <f>_xlfn.XLOOKUP($A497,'[1]DATOS PBI Artículos'!A:A,'[1]DATOS PBI Artículos'!AS:AS)</f>
        <v>0</v>
      </c>
      <c r="J497" s="35">
        <f>IF(COUNTIF([1]CRITERIOS!$F$179:$F$199,$A497)&gt;=1,
 IF(O497&lt;&gt;"",
    (O497/_xlfn.XLOOKUP(CONCATENATE(A497,L497),[1]MÁQUINAS!A:A,[1]MÁQUINAS!D:D))/24,
    (N497/_xlfn.XLOOKUP(CONCATENATE(A497,L497),[1]MÁQUINAS!A:A,[1]MÁQUINAS!D:D))/24),
  _xlfn.XLOOKUP($A497,'[1]DATOS PBI Artículos'!A:A,'[1]DATOS PBI Artículos'!AU:AU))</f>
        <v>0</v>
      </c>
      <c r="K497" s="36">
        <f>_xlfn.XLOOKUP($A497,'[1]DATOS PBI Artículos'!A:A,'[1]DATOS PBI Artículos'!AV:AV)</f>
        <v>0</v>
      </c>
      <c r="L497" s="33">
        <f>_xlfn.XLOOKUP(A497,[1]MÁQUINAS!B:B,[1]MÁQUINAS!C:C)</f>
        <v>0</v>
      </c>
      <c r="M497" s="34">
        <f t="array" ref="M497">_xlfn.XLOOKUP(A497,'[1]DATOS PBI Artículos'!A:A,'[1]DATOS PBI Artículos'!AX:$AX)</f>
        <v>0</v>
      </c>
      <c r="N497" s="37" t="e">
        <f>IF(I497="DV",
E497,
IF(COUNTIF([1]CRITERIOS!$I$179:$I$199,$A497)&gt;=1,
_xlfn.XLOOKUP($A497,[1]CRITERIOS!$I$179:$I$199,[1]CRITERIOS!$J$179:$J$199),
IF(COUNTIF([1]CRITERIOS!$L$179:$L$199,$A497)&gt;=1,
_xlfn.CEILING.MATH(IF($M497&gt;$E497,
$E497,
IF($M497&lt;$E497/ROUNDDOWN([1]CRITERIOS!$M$16/_xlfn.XLOOKUP($C497,[1]CRITERIOS!$K$25:$K$42,[1]CRITERIOS!$M$25:$M$42),
1),
E497/ROUNDDOWN([1]CRITERIOS!$M$16/_xlfn.XLOOKUP($C497,[1]CRITERIOS!$K$25:$K$42,[1]CRITERIOS!$M$25:$M$42),
1),
$M497)),
_xlfn.XLOOKUP($A497,[1]CRITERIOS!$L$179:$L$200,[1]CRITERIOS!$M$179:$M$200)),
_xlfn.CEILING.MATH(IF($M497&gt;$E497,
$E497,
IF($M497&lt;$E497/ROUNDDOWN([1]CRITERIOS!$M$16/_xlfn.XLOOKUP($C497,[1]CRITERIOS!$K$25:$K$42,[1]CRITERIOS!$M$25:$M$42),
1),
E497/ROUNDDOWN([1]CRITERIOS!$M$16/_xlfn.XLOOKUP($C497,[1]CRITERIOS!$K$25:$K$42,[1]CRITERIOS!$M$25:$M$42),
1),
$M497)),_xlfn.XLOOKUP(A497,'[1]DATOS PBI Artículos'!A:A,'[1]DATOS PBI Artículos'!Z:Z
)))))</f>
        <v>#N/A</v>
      </c>
      <c r="Q497" s="38" t="e">
        <f>IF(AND(O497="",N497=0),
0,
   IF(COUNTIF([1]CRITERIOS!$F$179:$F$199,$A497)&gt;=1,
   1,
   IF(R497="MTO",
      $D497,
      ROUNDUP(
                    IF(($E497-SUMIF('[1]DATOS PBI Artículos'!A:A,A497,'[1]DATOS PBI Artículos'!X:X)+($V497-_xlfn.XLOOKUP(A497,'[1]DATOS PBI Artículos'!A:A,'[1]DATOS PBI Artículos'!W:W)))&lt;0,
                    0,
                    IF(($E497-SUMIF('[1]DATOS PBI Artículos'!A:A,A497,'[1]DATOS PBI Artículos'!X:X)+$V497-_xlfn.XLOOKUP($A497,'[1]DATOS PBI Artículos'!A:A,'[1]DATOS PBI Artículos'!W:W))/IF($O497="",$N497,$O497)&gt;ROUNDUP([1]CRITERIOS!$M$16/(IF(COUNTIF([1]CRITERIOS!$BG$11:$BG$201,L497)&gt;=1,_xlfn.XLOOKUP($C497,[1]CRITERIOS!$K$25:$K$42,[1]CRITERIOS!$M$25:$M$42),_xlfn.XLOOKUP($C497,[1]CRITERIOS!$K$25:$K$42,[1]CRITERIOS!$M$25:$M$42))),0),
                    ROUNDUP([1]CRITERIOS!$M$16/(IF(COUNTIF([1]CRITERIOS!$BG$11:$BG$201,$L497)&gt;=1,_xlfn.XLOOKUP($C497,[1]CRITERIOS!$K$25:$K$42,[1]CRITERIOS!$M$25:$M$42),_xlfn.XLOOKUP($C497,[1]CRITERIOS!$K$25:$K$42,[1]CRITERIOS!$M$25:$M$42))),0),
                    (E497+V497-SUMIF('[1]DATOS PBI Artículos'!A:A,A497,'[1]DATOS PBI Artículos'!X:X)-_xlfn.XLOOKUP(A497,'[1]DATOS PBI Artículos'!A:A,'[1]DATOS PBI Artículos'!W:W))/IF($O497="",$N497,$O497))),0))))</f>
        <v>#N/A</v>
      </c>
      <c r="R497" s="33" t="e">
        <f>IF(U497&lt;&gt;"",U497,IF(F497="DV","MTO",IF(N497=0,"MTO",_xlfn.XLOOKUP(CONCATENATE(S497,T497),[1]CRITERIOS!$K$160:$K$168,[1]CRITERIOS!$N$160:$N$168))))</f>
        <v>#N/A</v>
      </c>
      <c r="S497" s="33" t="e">
        <f>IF(G497="DV","MTO",IF(N497=0,"MTO",IF(OR(AND(N497=0,O497=""),IF(O497="",G497/N497,G497/O497)&gt;[1]CRITERIOS!$G$163),"MTO",IF(IF(O497="",G497/N497,G497/O497)&lt;[1]CRITERIOS!$H$161,"MTS","MTOS"))))</f>
        <v>#N/A</v>
      </c>
      <c r="T497" s="33" t="e">
        <f>IF(F497="DV","MTO",IF(OR(AND($N497=0,O497=""),$F497/$J497&gt;[1]CRITERIOS!$G$170,$F497="DV"),"MTO",IF($F497/$J497&lt;[1]CRITERIOS!$H$168,"MTS","MTOS")))</f>
        <v>#N/A</v>
      </c>
      <c r="V497" s="34" t="e">
        <f t="shared" si="25"/>
        <v>#N/A</v>
      </c>
      <c r="X497" s="34" t="e">
        <f t="shared" si="23"/>
        <v>#N/A</v>
      </c>
      <c r="Y497" s="34" t="e">
        <f t="shared" si="24"/>
        <v>#N/A</v>
      </c>
      <c r="Z497" s="34" t="e">
        <f>IF($R497="MTO",
0,
($H497+$K497*($E497/[1]CRITERIOS!$M$16))/[1]CRITERIOS!$X$48)</f>
        <v>#N/A</v>
      </c>
      <c r="AA497" s="34" t="e">
        <f>ROUNDUP(($Y497/_xlfn.XLOOKUP($A497,'[1]DATOS PBI Artículos'!$A$4:$A$4,'[1]DATOS PBI Artículos'!$Z$4:$Z$4))/_xlfn.XLOOKUP(_xlfn.XLOOKUP($A497,'[1]DATOS PBI Artículos'!$A$4:$A$4,'[1]DATOS PBI Artículos'!$Y$4:$Y$4),[1]CRITERIOS!$P$79:$P$123,[1]CRITERIOS!$S$79:$S$123,),0)</f>
        <v>#N/A</v>
      </c>
      <c r="AB497" s="33" t="e">
        <f t="array" ref="AB497">IF((E497+V497-_xlfn.XLOOKUP(A497,'[1]DATOS PBI Artículos'!$A$4:$A$4,'[1]DATOS PBI Artículos'!$W$4:$W$4))/N497&gt;ROUNDUP([1]CRITERIOS!$M$16/(IF(COUNTIF([1]CRITERIOS!$BG$11:$BG$201,L497)&gt;=1,_xlfn.XLOOKUP(ARTÍCULOS!L497,[1]CRITERIOS!$BG$11:$BG$201,[1]CRITERIOS!$BJ$11:$BJ$201),_xlfn.XLOOKUP(ARTÍCULOS!C497,[1]CRITERIOS!$K$25:$K$42,[1]CRITERIOS!$M$25:$M$42))),0),ROUNDUP([1]CRITERIOS!$M$16/(IF(COUNTIF([1]CRITERIOS!$BG$11:$BG$201,L497)&gt;=1,_xlfn.XLOOKUP(ARTÍCULOS!L497,[1]CRITERIOS!$BG$11:$BG$201:#REF!,[1]CRITERIOS!$BJ$11:$BJ$201),_xlfn.XLOOKUP(ARTÍCULOS!C497,[1]CRITERIOS!$K$25:$K$42,[1]CRITERIOS!$M$25:$M$42))),0),(E497+V497-_xlfn.XLOOKUP(A497,'[1]DATOS PBI Artículos'!$A$4:$A$4,'[1]DATOS PBI Artículos'!$W$4:$W$4))/N497)</f>
        <v>#N/A</v>
      </c>
      <c r="AC497" s="33" t="e">
        <f>IF(N497=0,"",(ROUNDUP((N497/2)/(_xlfn.XLOOKUP(A497,'[1]DATOS PBI Artículos'!$A$4:$A$4,'[1]DATOS PBI Artículos'!$Z$4:$Z$4)*_xlfn.XLOOKUP(_xlfn.XLOOKUP(A497,'[1]DATOS PBI Artículos'!$A$4:$A$4,'[1]DATOS PBI Artículos'!$Y$4:$Y$4),[1]CRITERIOS!$P$79:$P$123,[1]CRITERIOS!$S$79:$S$123)),0)*[1]CRITERIOS!$M$80*([1]CRITERIOS!$M$110/[1]CRITERIOS!$M$86)+(_xlfn.XLOOKUP(A497,'[1]DATOS PBI Artículos'!$A$4:$A$4,'[1]DATOS PBI Artículos'!$AA$4:$AA$4)*([1]CRITERIOS!$M$95+[1]CRITERIOS!$M$98)))/N497)</f>
        <v>#N/A</v>
      </c>
      <c r="AD497" s="33" t="e">
        <f>IF(N497=0,"",(ROUNDUP((N497/2)/(_xlfn.XLOOKUP(A497,'[1]DATOS PBI Artículos'!$A$4:$A$4,'[1]DATOS PBI Artículos'!$Z$4:$Z$4)*_xlfn.XLOOKUP(_xlfn.XLOOKUP(A497,'[1]DATOS PBI Artículos'!$A$4:$A$4,'[1]DATOS PBI Artículos'!$Y$4:$Y$4),[1]CRITERIOS!$P$79:$P$123,[1]CRITERIOS!$S$79:$S$123)),0)*[1]CRITERIOS!$M$80*([1]CRITERIOS!$M$89*[1]CRITERIOS!$M$92)+((_xlfn.XLOOKUP(A497,'[1]DATOS PBI Artículos'!$A$4:$A$4,'[1]DATOS PBI Artículos'!$AA$4:$AA$4)/2)*([1]CRITERIOS!$M$95+[1]CRITERIOS!$M$98)))/N497)</f>
        <v>#N/A</v>
      </c>
      <c r="AE497" s="39" t="e">
        <f>IF($R497="MTO","",
IF($H497=0,ROUNDUP(((_xlfn.XLOOKUP($A497,'[1]DATOS PBI Artículos'!$A:$A,'[1]DATOS PBI Artículos'!$AL:$AL))/(_xlfn.XLOOKUP($AF$1,[1]CRITERIOS!$S$16:$S$39,[1]CRITERIOS!$Y$16:$Y$39))*$J497+$Z497)/$G497,0)*$G497,
((_xlfn.XLOOKUP($A497,'[1]DATOS PBI Artículos'!$A:$A,'[1]DATOS PBI Artículos'!$AL:$AL))/(_xlfn.XLOOKUP($AF$1,[1]CRITERIOS!$S$16:$S$39,[1]CRITERIOS!$Y$16:$Y$39))*$J497+$Z497)))</f>
        <v>#N/A</v>
      </c>
      <c r="AG497" s="39" t="e">
        <f>IF($R497="MTO","",
IF($H497=0,ROUNDUP(((_xlfn.XLOOKUP($A497,'[1]DATOS PBI Artículos'!$A:$A,'[1]DATOS PBI Artículos'!$AM:$AM))/(_xlfn.XLOOKUP($AH$1,[1]CRITERIOS!$S$16:$S$39,[1]CRITERIOS!$Y$16:$Y$39))*$J497+$Z497)/$G497,0)*$G497,
((_xlfn.XLOOKUP($A497,'[1]DATOS PBI Artículos'!$A:$A,'[1]DATOS PBI Artículos'!$AM:$AM))/(_xlfn.XLOOKUP($AH$1,[1]CRITERIOS!$S$16:$S$39,[1]CRITERIOS!$Y$16:$Y$39))*$J497+$Z497)))</f>
        <v>#N/A</v>
      </c>
      <c r="AI497" s="39" t="e">
        <f>IF($R497="MTO","",
IF($H497=0,ROUNDUP(((_xlfn.XLOOKUP($A497,'[1]DATOS PBI Artículos'!$A:$A,'[1]DATOS PBI Artículos'!$AN:$AN))/(_xlfn.XLOOKUP($AJ$1,[1]CRITERIOS!$S$16:$S$39,[1]CRITERIOS!$Y$16:$Y$39))*$J497+$Z497)/$G497,0)*$G497,
((_xlfn.XLOOKUP($A497,'[1]DATOS PBI Artículos'!$A:$A,'[1]DATOS PBI Artículos'!$AN:$AN))/(_xlfn.XLOOKUP($AJ$1,[1]CRITERIOS!$S$16:$S$39,[1]CRITERIOS!$Y$16:$Y$39))*$J497+$Z497)))</f>
        <v>#N/A</v>
      </c>
      <c r="AK497" s="39" t="e">
        <f>IF($R497="MTO","",
IF($H497=0,ROUNDUP(((_xlfn.XLOOKUP($A497,'[1]DATOS PBI Artículos'!$A:$A,'[1]DATOS PBI Artículos'!$AO:$AO))/(_xlfn.XLOOKUP($AL$1,[1]CRITERIOS!$S$16:$S$39,[1]CRITERIOS!$Y$16:$Y$39))*$J497+$Z497)/$G497,0)*$G497,
((_xlfn.XLOOKUP($A497,'[1]DATOS PBI Artículos'!$A:$A,'[1]DATOS PBI Artículos'!$AO:$AO))/(_xlfn.XLOOKUP($AL$1,[1]CRITERIOS!$S$16:$S$39,[1]CRITERIOS!$Y$16:$Y$39))*$J497+$Z497)))</f>
        <v>#N/A</v>
      </c>
    </row>
    <row r="498" spans="1:37" ht="25.8" hidden="1" x14ac:dyDescent="0.4">
      <c r="A498" s="41"/>
      <c r="B498" s="33">
        <f>_xlfn.XLOOKUP($A498,'[1]DATOS PBI Artículos'!A:A,'[1]DATOS PBI Artículos'!B:B)</f>
        <v>0</v>
      </c>
      <c r="C498" s="33">
        <f>_xlfn.XLOOKUP($A498,'[1]DATOS PBI Artículos'!A:A,'[1]DATOS PBI Artículos'!C:C)</f>
        <v>0</v>
      </c>
      <c r="D498" s="33">
        <f>_xlfn.XLOOKUP(A498,'[1]DATOS PBI Artículos'!A:A,'[1]DATOS PBI Artículos'!T:T)</f>
        <v>0</v>
      </c>
      <c r="E498" s="34">
        <f>IF(_xlfn.XLOOKUP($A498,'[1]DATOS PBI Artículos'!A:A,'[1]DATOS PBI Artículos'!AK:AK)="",_xlfn.XLOOKUP($A498,'[1]DATOS PBI Artículos'!A:A,'[1]DATOS PBI Artículos'!AJ:AJ),_xlfn.XLOOKUP($A498,'[1]DATOS PBI Artículos'!A:A,'[1]DATOS PBI Artículos'!AK:AK))</f>
        <v>0</v>
      </c>
      <c r="F498" s="35">
        <f>_xlfn.XLOOKUP($A498,'[1]DATOS PBI Artículos'!A:A,'[1]DATOS PBI Artículos'!AP:AP)</f>
        <v>0</v>
      </c>
      <c r="G498" s="34">
        <f>_xlfn.XLOOKUP($A498,'[1]DATOS PBI Artículos'!A:A,'[1]DATOS PBI Artículos'!AR:AR)</f>
        <v>0</v>
      </c>
      <c r="H498" s="34">
        <f>_xlfn.XLOOKUP($A498,'[1]DATOS PBI Artículos'!A:A,'[1]DATOS PBI Artículos'!AT:AT)</f>
        <v>0</v>
      </c>
      <c r="I498" s="34">
        <f>_xlfn.XLOOKUP($A498,'[1]DATOS PBI Artículos'!A:A,'[1]DATOS PBI Artículos'!AS:AS)</f>
        <v>0</v>
      </c>
      <c r="J498" s="35">
        <f>IF(COUNTIF([1]CRITERIOS!$F$179:$F$199,$A498)&gt;=1,
 IF(O498&lt;&gt;"",
    (O498/_xlfn.XLOOKUP(CONCATENATE(A498,L498),[1]MÁQUINAS!A:A,[1]MÁQUINAS!D:D))/24,
    (N498/_xlfn.XLOOKUP(CONCATENATE(A498,L498),[1]MÁQUINAS!A:A,[1]MÁQUINAS!D:D))/24),
  _xlfn.XLOOKUP($A498,'[1]DATOS PBI Artículos'!A:A,'[1]DATOS PBI Artículos'!AU:AU))</f>
        <v>0</v>
      </c>
      <c r="K498" s="36">
        <f>_xlfn.XLOOKUP($A498,'[1]DATOS PBI Artículos'!A:A,'[1]DATOS PBI Artículos'!AV:AV)</f>
        <v>0</v>
      </c>
      <c r="L498" s="33">
        <f>_xlfn.XLOOKUP(A498,[1]MÁQUINAS!B:B,[1]MÁQUINAS!C:C)</f>
        <v>0</v>
      </c>
      <c r="M498" s="34">
        <f t="array" ref="M498">_xlfn.XLOOKUP(A498,'[1]DATOS PBI Artículos'!A:A,'[1]DATOS PBI Artículos'!AX:$AX)</f>
        <v>0</v>
      </c>
      <c r="N498" s="37" t="e">
        <f>IF(I498="DV",
E498,
IF(COUNTIF([1]CRITERIOS!$I$179:$I$199,$A498)&gt;=1,
_xlfn.XLOOKUP($A498,[1]CRITERIOS!$I$179:$I$199,[1]CRITERIOS!$J$179:$J$199),
IF(COUNTIF([1]CRITERIOS!$L$179:$L$199,$A498)&gt;=1,
_xlfn.CEILING.MATH(IF($M498&gt;$E498,
$E498,
IF($M498&lt;$E498/ROUNDDOWN([1]CRITERIOS!$M$16/_xlfn.XLOOKUP($C498,[1]CRITERIOS!$K$25:$K$42,[1]CRITERIOS!$M$25:$M$42),
1),
E498/ROUNDDOWN([1]CRITERIOS!$M$16/_xlfn.XLOOKUP($C498,[1]CRITERIOS!$K$25:$K$42,[1]CRITERIOS!$M$25:$M$42),
1),
$M498)),
_xlfn.XLOOKUP($A498,[1]CRITERIOS!$L$179:$L$200,[1]CRITERIOS!$M$179:$M$200)),
_xlfn.CEILING.MATH(IF($M498&gt;$E498,
$E498,
IF($M498&lt;$E498/ROUNDDOWN([1]CRITERIOS!$M$16/_xlfn.XLOOKUP($C498,[1]CRITERIOS!$K$25:$K$42,[1]CRITERIOS!$M$25:$M$42),
1),
E498/ROUNDDOWN([1]CRITERIOS!$M$16/_xlfn.XLOOKUP($C498,[1]CRITERIOS!$K$25:$K$42,[1]CRITERIOS!$M$25:$M$42),
1),
$M498)),_xlfn.XLOOKUP(A498,'[1]DATOS PBI Artículos'!A:A,'[1]DATOS PBI Artículos'!Z:Z
)))))</f>
        <v>#N/A</v>
      </c>
      <c r="Q498" s="38" t="e">
        <f>IF(AND(O498="",N498=0),
0,
   IF(COUNTIF([1]CRITERIOS!$F$179:$F$199,$A498)&gt;=1,
   1,
   IF(R498="MTO",
      $D498,
      ROUNDUP(
                    IF(($E498-SUMIF('[1]DATOS PBI Artículos'!A:A,A498,'[1]DATOS PBI Artículos'!X:X)+($V498-_xlfn.XLOOKUP(A498,'[1]DATOS PBI Artículos'!A:A,'[1]DATOS PBI Artículos'!W:W)))&lt;0,
                    0,
                    IF(($E498-SUMIF('[1]DATOS PBI Artículos'!A:A,A498,'[1]DATOS PBI Artículos'!X:X)+$V498-_xlfn.XLOOKUP($A498,'[1]DATOS PBI Artículos'!A:A,'[1]DATOS PBI Artículos'!W:W))/IF($O498="",$N498,$O498)&gt;ROUNDUP([1]CRITERIOS!$M$16/(IF(COUNTIF([1]CRITERIOS!$BG$11:$BG$201,L498)&gt;=1,_xlfn.XLOOKUP($C498,[1]CRITERIOS!$K$25:$K$42,[1]CRITERIOS!$M$25:$M$42),_xlfn.XLOOKUP($C498,[1]CRITERIOS!$K$25:$K$42,[1]CRITERIOS!$M$25:$M$42))),0),
                    ROUNDUP([1]CRITERIOS!$M$16/(IF(COUNTIF([1]CRITERIOS!$BG$11:$BG$201,$L498)&gt;=1,_xlfn.XLOOKUP($C498,[1]CRITERIOS!$K$25:$K$42,[1]CRITERIOS!$M$25:$M$42),_xlfn.XLOOKUP($C498,[1]CRITERIOS!$K$25:$K$42,[1]CRITERIOS!$M$25:$M$42))),0),
                    (E498+V498-SUMIF('[1]DATOS PBI Artículos'!A:A,A498,'[1]DATOS PBI Artículos'!X:X)-_xlfn.XLOOKUP(A498,'[1]DATOS PBI Artículos'!A:A,'[1]DATOS PBI Artículos'!W:W))/IF($O498="",$N498,$O498))),0))))</f>
        <v>#N/A</v>
      </c>
      <c r="R498" s="33" t="e">
        <f>IF(U498&lt;&gt;"",U498,IF(F498="DV","MTO",IF(N498=0,"MTO",_xlfn.XLOOKUP(CONCATENATE(S498,T498),[1]CRITERIOS!$K$160:$K$168,[1]CRITERIOS!$N$160:$N$168))))</f>
        <v>#N/A</v>
      </c>
      <c r="S498" s="33" t="e">
        <f>IF(G498="DV","MTO",IF(N498=0,"MTO",IF(OR(AND(N498=0,O498=""),IF(O498="",G498/N498,G498/O498)&gt;[1]CRITERIOS!$G$163),"MTO",IF(IF(O498="",G498/N498,G498/O498)&lt;[1]CRITERIOS!$H$161,"MTS","MTOS"))))</f>
        <v>#N/A</v>
      </c>
      <c r="T498" s="33" t="e">
        <f>IF(F498="DV","MTO",IF(OR(AND($N498=0,O498=""),$F498/$J498&gt;[1]CRITERIOS!$G$170,$F498="DV"),"MTO",IF($F498/$J498&lt;[1]CRITERIOS!$H$168,"MTS","MTOS")))</f>
        <v>#N/A</v>
      </c>
      <c r="V498" s="34" t="e">
        <f t="shared" si="25"/>
        <v>#N/A</v>
      </c>
      <c r="X498" s="34" t="e">
        <f t="shared" si="23"/>
        <v>#N/A</v>
      </c>
      <c r="Y498" s="34" t="e">
        <f t="shared" si="24"/>
        <v>#N/A</v>
      </c>
      <c r="Z498" s="34" t="e">
        <f>IF($R498="MTO",
0,
($H498+$K498*($E498/[1]CRITERIOS!$M$16))/[1]CRITERIOS!$X$48)</f>
        <v>#N/A</v>
      </c>
      <c r="AA498" s="34" t="e">
        <f>ROUNDUP(($Y498/_xlfn.XLOOKUP($A498,'[1]DATOS PBI Artículos'!$A$4:$A$4,'[1]DATOS PBI Artículos'!$Z$4:$Z$4))/_xlfn.XLOOKUP(_xlfn.XLOOKUP($A498,'[1]DATOS PBI Artículos'!$A$4:$A$4,'[1]DATOS PBI Artículos'!$Y$4:$Y$4),[1]CRITERIOS!$P$79:$P$123,[1]CRITERIOS!$S$79:$S$123,),0)</f>
        <v>#N/A</v>
      </c>
      <c r="AB498" s="33" t="e">
        <f t="array" ref="AB498">IF((E498+V498-_xlfn.XLOOKUP(A498,'[1]DATOS PBI Artículos'!$A$4:$A$4,'[1]DATOS PBI Artículos'!$W$4:$W$4))/N498&gt;ROUNDUP([1]CRITERIOS!$M$16/(IF(COUNTIF([1]CRITERIOS!$BG$11:$BG$201,L498)&gt;=1,_xlfn.XLOOKUP(ARTÍCULOS!L498,[1]CRITERIOS!$BG$11:$BG$201,[1]CRITERIOS!$BJ$11:$BJ$201),_xlfn.XLOOKUP(ARTÍCULOS!C498,[1]CRITERIOS!$K$25:$K$42,[1]CRITERIOS!$M$25:$M$42))),0),ROUNDUP([1]CRITERIOS!$M$16/(IF(COUNTIF([1]CRITERIOS!$BG$11:$BG$201,L498)&gt;=1,_xlfn.XLOOKUP(ARTÍCULOS!L498,[1]CRITERIOS!$BG$11:$BG$201:#REF!,[1]CRITERIOS!$BJ$11:$BJ$201),_xlfn.XLOOKUP(ARTÍCULOS!C498,[1]CRITERIOS!$K$25:$K$42,[1]CRITERIOS!$M$25:$M$42))),0),(E498+V498-_xlfn.XLOOKUP(A498,'[1]DATOS PBI Artículos'!$A$4:$A$4,'[1]DATOS PBI Artículos'!$W$4:$W$4))/N498)</f>
        <v>#N/A</v>
      </c>
      <c r="AC498" s="33" t="e">
        <f>IF(N498=0,"",(ROUNDUP((N498/2)/(_xlfn.XLOOKUP(A498,'[1]DATOS PBI Artículos'!$A$4:$A$4,'[1]DATOS PBI Artículos'!$Z$4:$Z$4)*_xlfn.XLOOKUP(_xlfn.XLOOKUP(A498,'[1]DATOS PBI Artículos'!$A$4:$A$4,'[1]DATOS PBI Artículos'!$Y$4:$Y$4),[1]CRITERIOS!$P$79:$P$123,[1]CRITERIOS!$S$79:$S$123)),0)*[1]CRITERIOS!$M$80*([1]CRITERIOS!$M$110/[1]CRITERIOS!$M$86)+(_xlfn.XLOOKUP(A498,'[1]DATOS PBI Artículos'!$A$4:$A$4,'[1]DATOS PBI Artículos'!$AA$4:$AA$4)*([1]CRITERIOS!$M$95+[1]CRITERIOS!$M$98)))/N498)</f>
        <v>#N/A</v>
      </c>
      <c r="AD498" s="33" t="e">
        <f>IF(N498=0,"",(ROUNDUP((N498/2)/(_xlfn.XLOOKUP(A498,'[1]DATOS PBI Artículos'!$A$4:$A$4,'[1]DATOS PBI Artículos'!$Z$4:$Z$4)*_xlfn.XLOOKUP(_xlfn.XLOOKUP(A498,'[1]DATOS PBI Artículos'!$A$4:$A$4,'[1]DATOS PBI Artículos'!$Y$4:$Y$4),[1]CRITERIOS!$P$79:$P$123,[1]CRITERIOS!$S$79:$S$123)),0)*[1]CRITERIOS!$M$80*([1]CRITERIOS!$M$89*[1]CRITERIOS!$M$92)+((_xlfn.XLOOKUP(A498,'[1]DATOS PBI Artículos'!$A$4:$A$4,'[1]DATOS PBI Artículos'!$AA$4:$AA$4)/2)*([1]CRITERIOS!$M$95+[1]CRITERIOS!$M$98)))/N498)</f>
        <v>#N/A</v>
      </c>
      <c r="AE498" s="39" t="e">
        <f>IF($R498="MTO","",
IF($H498=0,ROUNDUP(((_xlfn.XLOOKUP($A498,'[1]DATOS PBI Artículos'!$A:$A,'[1]DATOS PBI Artículos'!$AL:$AL))/(_xlfn.XLOOKUP($AF$1,[1]CRITERIOS!$S$16:$S$39,[1]CRITERIOS!$Y$16:$Y$39))*$J498+$Z498)/$G498,0)*$G498,
((_xlfn.XLOOKUP($A498,'[1]DATOS PBI Artículos'!$A:$A,'[1]DATOS PBI Artículos'!$AL:$AL))/(_xlfn.XLOOKUP($AF$1,[1]CRITERIOS!$S$16:$S$39,[1]CRITERIOS!$Y$16:$Y$39))*$J498+$Z498)))</f>
        <v>#N/A</v>
      </c>
      <c r="AG498" s="39" t="e">
        <f>IF($R498="MTO","",
IF($H498=0,ROUNDUP(((_xlfn.XLOOKUP($A498,'[1]DATOS PBI Artículos'!$A:$A,'[1]DATOS PBI Artículos'!$AM:$AM))/(_xlfn.XLOOKUP($AH$1,[1]CRITERIOS!$S$16:$S$39,[1]CRITERIOS!$Y$16:$Y$39))*$J498+$Z498)/$G498,0)*$G498,
((_xlfn.XLOOKUP($A498,'[1]DATOS PBI Artículos'!$A:$A,'[1]DATOS PBI Artículos'!$AM:$AM))/(_xlfn.XLOOKUP($AH$1,[1]CRITERIOS!$S$16:$S$39,[1]CRITERIOS!$Y$16:$Y$39))*$J498+$Z498)))</f>
        <v>#N/A</v>
      </c>
      <c r="AI498" s="39" t="e">
        <f>IF($R498="MTO","",
IF($H498=0,ROUNDUP(((_xlfn.XLOOKUP($A498,'[1]DATOS PBI Artículos'!$A:$A,'[1]DATOS PBI Artículos'!$AN:$AN))/(_xlfn.XLOOKUP($AJ$1,[1]CRITERIOS!$S$16:$S$39,[1]CRITERIOS!$Y$16:$Y$39))*$J498+$Z498)/$G498,0)*$G498,
((_xlfn.XLOOKUP($A498,'[1]DATOS PBI Artículos'!$A:$A,'[1]DATOS PBI Artículos'!$AN:$AN))/(_xlfn.XLOOKUP($AJ$1,[1]CRITERIOS!$S$16:$S$39,[1]CRITERIOS!$Y$16:$Y$39))*$J498+$Z498)))</f>
        <v>#N/A</v>
      </c>
      <c r="AK498" s="39" t="e">
        <f>IF($R498="MTO","",
IF($H498=0,ROUNDUP(((_xlfn.XLOOKUP($A498,'[1]DATOS PBI Artículos'!$A:$A,'[1]DATOS PBI Artículos'!$AO:$AO))/(_xlfn.XLOOKUP($AL$1,[1]CRITERIOS!$S$16:$S$39,[1]CRITERIOS!$Y$16:$Y$39))*$J498+$Z498)/$G498,0)*$G498,
((_xlfn.XLOOKUP($A498,'[1]DATOS PBI Artículos'!$A:$A,'[1]DATOS PBI Artículos'!$AO:$AO))/(_xlfn.XLOOKUP($AL$1,[1]CRITERIOS!$S$16:$S$39,[1]CRITERIOS!$Y$16:$Y$39))*$J498+$Z498)))</f>
        <v>#N/A</v>
      </c>
    </row>
    <row r="499" spans="1:37" ht="25.8" hidden="1" x14ac:dyDescent="0.4">
      <c r="A499" s="41"/>
      <c r="B499" s="33">
        <f>_xlfn.XLOOKUP($A499,'[1]DATOS PBI Artículos'!A:A,'[1]DATOS PBI Artículos'!B:B)</f>
        <v>0</v>
      </c>
      <c r="C499" s="33">
        <f>_xlfn.XLOOKUP($A499,'[1]DATOS PBI Artículos'!A:A,'[1]DATOS PBI Artículos'!C:C)</f>
        <v>0</v>
      </c>
      <c r="D499" s="33">
        <f>_xlfn.XLOOKUP(A499,'[1]DATOS PBI Artículos'!A:A,'[1]DATOS PBI Artículos'!T:T)</f>
        <v>0</v>
      </c>
      <c r="E499" s="34">
        <f>IF(_xlfn.XLOOKUP($A499,'[1]DATOS PBI Artículos'!A:A,'[1]DATOS PBI Artículos'!AK:AK)="",_xlfn.XLOOKUP($A499,'[1]DATOS PBI Artículos'!A:A,'[1]DATOS PBI Artículos'!AJ:AJ),_xlfn.XLOOKUP($A499,'[1]DATOS PBI Artículos'!A:A,'[1]DATOS PBI Artículos'!AK:AK))</f>
        <v>0</v>
      </c>
      <c r="F499" s="35">
        <f>_xlfn.XLOOKUP($A499,'[1]DATOS PBI Artículos'!A:A,'[1]DATOS PBI Artículos'!AP:AP)</f>
        <v>0</v>
      </c>
      <c r="G499" s="34">
        <f>_xlfn.XLOOKUP($A499,'[1]DATOS PBI Artículos'!A:A,'[1]DATOS PBI Artículos'!AR:AR)</f>
        <v>0</v>
      </c>
      <c r="H499" s="34">
        <f>_xlfn.XLOOKUP($A499,'[1]DATOS PBI Artículos'!A:A,'[1]DATOS PBI Artículos'!AT:AT)</f>
        <v>0</v>
      </c>
      <c r="I499" s="34">
        <f>_xlfn.XLOOKUP($A499,'[1]DATOS PBI Artículos'!A:A,'[1]DATOS PBI Artículos'!AS:AS)</f>
        <v>0</v>
      </c>
      <c r="J499" s="35">
        <f>IF(COUNTIF([1]CRITERIOS!$F$179:$F$199,$A499)&gt;=1,
 IF(O499&lt;&gt;"",
    (O499/_xlfn.XLOOKUP(CONCATENATE(A499,L499),[1]MÁQUINAS!A:A,[1]MÁQUINAS!D:D))/24,
    (N499/_xlfn.XLOOKUP(CONCATENATE(A499,L499),[1]MÁQUINAS!A:A,[1]MÁQUINAS!D:D))/24),
  _xlfn.XLOOKUP($A499,'[1]DATOS PBI Artículos'!A:A,'[1]DATOS PBI Artículos'!AU:AU))</f>
        <v>0</v>
      </c>
      <c r="K499" s="36">
        <f>_xlfn.XLOOKUP($A499,'[1]DATOS PBI Artículos'!A:A,'[1]DATOS PBI Artículos'!AV:AV)</f>
        <v>0</v>
      </c>
      <c r="L499" s="33">
        <f>_xlfn.XLOOKUP(A499,[1]MÁQUINAS!B:B,[1]MÁQUINAS!C:C)</f>
        <v>0</v>
      </c>
      <c r="M499" s="34">
        <f t="array" ref="M499">_xlfn.XLOOKUP(A499,'[1]DATOS PBI Artículos'!A:A,'[1]DATOS PBI Artículos'!AX:$AX)</f>
        <v>0</v>
      </c>
      <c r="N499" s="37" t="e">
        <f>IF(I499="DV",
E499,
IF(COUNTIF([1]CRITERIOS!$I$179:$I$199,$A499)&gt;=1,
_xlfn.XLOOKUP($A499,[1]CRITERIOS!$I$179:$I$199,[1]CRITERIOS!$J$179:$J$199),
IF(COUNTIF([1]CRITERIOS!$L$179:$L$199,$A499)&gt;=1,
_xlfn.CEILING.MATH(IF($M499&gt;$E499,
$E499,
IF($M499&lt;$E499/ROUNDDOWN([1]CRITERIOS!$M$16/_xlfn.XLOOKUP($C499,[1]CRITERIOS!$K$25:$K$42,[1]CRITERIOS!$M$25:$M$42),
1),
E499/ROUNDDOWN([1]CRITERIOS!$M$16/_xlfn.XLOOKUP($C499,[1]CRITERIOS!$K$25:$K$42,[1]CRITERIOS!$M$25:$M$42),
1),
$M499)),
_xlfn.XLOOKUP($A499,[1]CRITERIOS!$L$179:$L$200,[1]CRITERIOS!$M$179:$M$200)),
_xlfn.CEILING.MATH(IF($M499&gt;$E499,
$E499,
IF($M499&lt;$E499/ROUNDDOWN([1]CRITERIOS!$M$16/_xlfn.XLOOKUP($C499,[1]CRITERIOS!$K$25:$K$42,[1]CRITERIOS!$M$25:$M$42),
1),
E499/ROUNDDOWN([1]CRITERIOS!$M$16/_xlfn.XLOOKUP($C499,[1]CRITERIOS!$K$25:$K$42,[1]CRITERIOS!$M$25:$M$42),
1),
$M499)),_xlfn.XLOOKUP(A499,'[1]DATOS PBI Artículos'!A:A,'[1]DATOS PBI Artículos'!Z:Z
)))))</f>
        <v>#N/A</v>
      </c>
      <c r="Q499" s="38" t="e">
        <f>IF(AND(O499="",N499=0),
0,
   IF(COUNTIF([1]CRITERIOS!$F$179:$F$199,$A499)&gt;=1,
   1,
   IF(R499="MTO",
      $D499,
      ROUNDUP(
                    IF(($E499-SUMIF('[1]DATOS PBI Artículos'!A:A,A499,'[1]DATOS PBI Artículos'!X:X)+($V499-_xlfn.XLOOKUP(A499,'[1]DATOS PBI Artículos'!A:A,'[1]DATOS PBI Artículos'!W:W)))&lt;0,
                    0,
                    IF(($E499-SUMIF('[1]DATOS PBI Artículos'!A:A,A499,'[1]DATOS PBI Artículos'!X:X)+$V499-_xlfn.XLOOKUP($A499,'[1]DATOS PBI Artículos'!A:A,'[1]DATOS PBI Artículos'!W:W))/IF($O499="",$N499,$O499)&gt;ROUNDUP([1]CRITERIOS!$M$16/(IF(COUNTIF([1]CRITERIOS!$BG$11:$BG$201,L499)&gt;=1,_xlfn.XLOOKUP($C499,[1]CRITERIOS!$K$25:$K$42,[1]CRITERIOS!$M$25:$M$42),_xlfn.XLOOKUP($C499,[1]CRITERIOS!$K$25:$K$42,[1]CRITERIOS!$M$25:$M$42))),0),
                    ROUNDUP([1]CRITERIOS!$M$16/(IF(COUNTIF([1]CRITERIOS!$BG$11:$BG$201,$L499)&gt;=1,_xlfn.XLOOKUP($C499,[1]CRITERIOS!$K$25:$K$42,[1]CRITERIOS!$M$25:$M$42),_xlfn.XLOOKUP($C499,[1]CRITERIOS!$K$25:$K$42,[1]CRITERIOS!$M$25:$M$42))),0),
                    (E499+V499-SUMIF('[1]DATOS PBI Artículos'!A:A,A499,'[1]DATOS PBI Artículos'!X:X)-_xlfn.XLOOKUP(A499,'[1]DATOS PBI Artículos'!A:A,'[1]DATOS PBI Artículos'!W:W))/IF($O499="",$N499,$O499))),0))))</f>
        <v>#N/A</v>
      </c>
      <c r="R499" s="33" t="e">
        <f>IF(U499&lt;&gt;"",U499,IF(F499="DV","MTO",IF(N499=0,"MTO",_xlfn.XLOOKUP(CONCATENATE(S499,T499),[1]CRITERIOS!$K$160:$K$168,[1]CRITERIOS!$N$160:$N$168))))</f>
        <v>#N/A</v>
      </c>
      <c r="S499" s="33" t="e">
        <f>IF(G499="DV","MTO",IF(N499=0,"MTO",IF(OR(AND(N499=0,O499=""),IF(O499="",G499/N499,G499/O499)&gt;[1]CRITERIOS!$G$163),"MTO",IF(IF(O499="",G499/N499,G499/O499)&lt;[1]CRITERIOS!$H$161,"MTS","MTOS"))))</f>
        <v>#N/A</v>
      </c>
      <c r="T499" s="33" t="e">
        <f>IF(F499="DV","MTO",IF(OR(AND($N499=0,O499=""),$F499/$J499&gt;[1]CRITERIOS!$G$170,$F499="DV"),"MTO",IF($F499/$J499&lt;[1]CRITERIOS!$H$168,"MTS","MTOS")))</f>
        <v>#N/A</v>
      </c>
      <c r="V499" s="34" t="e">
        <f t="shared" si="25"/>
        <v>#N/A</v>
      </c>
      <c r="X499" s="34" t="e">
        <f t="shared" si="23"/>
        <v>#N/A</v>
      </c>
      <c r="Y499" s="34" t="e">
        <f t="shared" si="24"/>
        <v>#N/A</v>
      </c>
      <c r="Z499" s="34" t="e">
        <f>IF($R499="MTO",
0,
($H499+$K499*($E499/[1]CRITERIOS!$M$16))/[1]CRITERIOS!$X$48)</f>
        <v>#N/A</v>
      </c>
      <c r="AA499" s="34" t="e">
        <f>ROUNDUP(($Y499/_xlfn.XLOOKUP($A499,'[1]DATOS PBI Artículos'!$A$4:$A$4,'[1]DATOS PBI Artículos'!$Z$4:$Z$4))/_xlfn.XLOOKUP(_xlfn.XLOOKUP($A499,'[1]DATOS PBI Artículos'!$A$4:$A$4,'[1]DATOS PBI Artículos'!$Y$4:$Y$4),[1]CRITERIOS!$P$79:$P$123,[1]CRITERIOS!$S$79:$S$123,),0)</f>
        <v>#N/A</v>
      </c>
      <c r="AB499" s="33" t="e">
        <f t="array" ref="AB499">IF((E499+V499-_xlfn.XLOOKUP(A499,'[1]DATOS PBI Artículos'!$A$4:$A$4,'[1]DATOS PBI Artículos'!$W$4:$W$4))/N499&gt;ROUNDUP([1]CRITERIOS!$M$16/(IF(COUNTIF([1]CRITERIOS!$BG$11:$BG$201,L499)&gt;=1,_xlfn.XLOOKUP(ARTÍCULOS!L499,[1]CRITERIOS!$BG$11:$BG$201,[1]CRITERIOS!$BJ$11:$BJ$201),_xlfn.XLOOKUP(ARTÍCULOS!C499,[1]CRITERIOS!$K$25:$K$42,[1]CRITERIOS!$M$25:$M$42))),0),ROUNDUP([1]CRITERIOS!$M$16/(IF(COUNTIF([1]CRITERIOS!$BG$11:$BG$201,L499)&gt;=1,_xlfn.XLOOKUP(ARTÍCULOS!L499,[1]CRITERIOS!$BG$11:$BG$201:#REF!,[1]CRITERIOS!$BJ$11:$BJ$201),_xlfn.XLOOKUP(ARTÍCULOS!C499,[1]CRITERIOS!$K$25:$K$42,[1]CRITERIOS!$M$25:$M$42))),0),(E499+V499-_xlfn.XLOOKUP(A499,'[1]DATOS PBI Artículos'!$A$4:$A$4,'[1]DATOS PBI Artículos'!$W$4:$W$4))/N499)</f>
        <v>#N/A</v>
      </c>
      <c r="AC499" s="33" t="e">
        <f>IF(N499=0,"",(ROUNDUP((N499/2)/(_xlfn.XLOOKUP(A499,'[1]DATOS PBI Artículos'!$A$4:$A$4,'[1]DATOS PBI Artículos'!$Z$4:$Z$4)*_xlfn.XLOOKUP(_xlfn.XLOOKUP(A499,'[1]DATOS PBI Artículos'!$A$4:$A$4,'[1]DATOS PBI Artículos'!$Y$4:$Y$4),[1]CRITERIOS!$P$79:$P$123,[1]CRITERIOS!$S$79:$S$123)),0)*[1]CRITERIOS!$M$80*([1]CRITERIOS!$M$110/[1]CRITERIOS!$M$86)+(_xlfn.XLOOKUP(A499,'[1]DATOS PBI Artículos'!$A$4:$A$4,'[1]DATOS PBI Artículos'!$AA$4:$AA$4)*([1]CRITERIOS!$M$95+[1]CRITERIOS!$M$98)))/N499)</f>
        <v>#N/A</v>
      </c>
      <c r="AD499" s="33" t="e">
        <f>IF(N499=0,"",(ROUNDUP((N499/2)/(_xlfn.XLOOKUP(A499,'[1]DATOS PBI Artículos'!$A$4:$A$4,'[1]DATOS PBI Artículos'!$Z$4:$Z$4)*_xlfn.XLOOKUP(_xlfn.XLOOKUP(A499,'[1]DATOS PBI Artículos'!$A$4:$A$4,'[1]DATOS PBI Artículos'!$Y$4:$Y$4),[1]CRITERIOS!$P$79:$P$123,[1]CRITERIOS!$S$79:$S$123)),0)*[1]CRITERIOS!$M$80*([1]CRITERIOS!$M$89*[1]CRITERIOS!$M$92)+((_xlfn.XLOOKUP(A499,'[1]DATOS PBI Artículos'!$A$4:$A$4,'[1]DATOS PBI Artículos'!$AA$4:$AA$4)/2)*([1]CRITERIOS!$M$95+[1]CRITERIOS!$M$98)))/N499)</f>
        <v>#N/A</v>
      </c>
      <c r="AE499" s="39" t="e">
        <f>IF($R499="MTO","",
IF($H499=0,ROUNDUP(((_xlfn.XLOOKUP($A499,'[1]DATOS PBI Artículos'!$A:$A,'[1]DATOS PBI Artículos'!$AL:$AL))/(_xlfn.XLOOKUP($AF$1,[1]CRITERIOS!$S$16:$S$39,[1]CRITERIOS!$Y$16:$Y$39))*$J499+$Z499)/$G499,0)*$G499,
((_xlfn.XLOOKUP($A499,'[1]DATOS PBI Artículos'!$A:$A,'[1]DATOS PBI Artículos'!$AL:$AL))/(_xlfn.XLOOKUP($AF$1,[1]CRITERIOS!$S$16:$S$39,[1]CRITERIOS!$Y$16:$Y$39))*$J499+$Z499)))</f>
        <v>#N/A</v>
      </c>
      <c r="AG499" s="39" t="e">
        <f>IF($R499="MTO","",
IF($H499=0,ROUNDUP(((_xlfn.XLOOKUP($A499,'[1]DATOS PBI Artículos'!$A:$A,'[1]DATOS PBI Artículos'!$AM:$AM))/(_xlfn.XLOOKUP($AH$1,[1]CRITERIOS!$S$16:$S$39,[1]CRITERIOS!$Y$16:$Y$39))*$J499+$Z499)/$G499,0)*$G499,
((_xlfn.XLOOKUP($A499,'[1]DATOS PBI Artículos'!$A:$A,'[1]DATOS PBI Artículos'!$AM:$AM))/(_xlfn.XLOOKUP($AH$1,[1]CRITERIOS!$S$16:$S$39,[1]CRITERIOS!$Y$16:$Y$39))*$J499+$Z499)))</f>
        <v>#N/A</v>
      </c>
      <c r="AI499" s="39" t="e">
        <f>IF($R499="MTO","",
IF($H499=0,ROUNDUP(((_xlfn.XLOOKUP($A499,'[1]DATOS PBI Artículos'!$A:$A,'[1]DATOS PBI Artículos'!$AN:$AN))/(_xlfn.XLOOKUP($AJ$1,[1]CRITERIOS!$S$16:$S$39,[1]CRITERIOS!$Y$16:$Y$39))*$J499+$Z499)/$G499,0)*$G499,
((_xlfn.XLOOKUP($A499,'[1]DATOS PBI Artículos'!$A:$A,'[1]DATOS PBI Artículos'!$AN:$AN))/(_xlfn.XLOOKUP($AJ$1,[1]CRITERIOS!$S$16:$S$39,[1]CRITERIOS!$Y$16:$Y$39))*$J499+$Z499)))</f>
        <v>#N/A</v>
      </c>
      <c r="AK499" s="39" t="e">
        <f>IF($R499="MTO","",
IF($H499=0,ROUNDUP(((_xlfn.XLOOKUP($A499,'[1]DATOS PBI Artículos'!$A:$A,'[1]DATOS PBI Artículos'!$AO:$AO))/(_xlfn.XLOOKUP($AL$1,[1]CRITERIOS!$S$16:$S$39,[1]CRITERIOS!$Y$16:$Y$39))*$J499+$Z499)/$G499,0)*$G499,
((_xlfn.XLOOKUP($A499,'[1]DATOS PBI Artículos'!$A:$A,'[1]DATOS PBI Artículos'!$AO:$AO))/(_xlfn.XLOOKUP($AL$1,[1]CRITERIOS!$S$16:$S$39,[1]CRITERIOS!$Y$16:$Y$39))*$J499+$Z499)))</f>
        <v>#N/A</v>
      </c>
    </row>
    <row r="500" spans="1:37" ht="25.8" hidden="1" x14ac:dyDescent="0.4">
      <c r="A500" s="41"/>
      <c r="B500" s="33">
        <f>_xlfn.XLOOKUP($A500,'[1]DATOS PBI Artículos'!A:A,'[1]DATOS PBI Artículos'!B:B)</f>
        <v>0</v>
      </c>
      <c r="C500" s="33">
        <f>_xlfn.XLOOKUP($A500,'[1]DATOS PBI Artículos'!A:A,'[1]DATOS PBI Artículos'!C:C)</f>
        <v>0</v>
      </c>
      <c r="D500" s="33">
        <f>_xlfn.XLOOKUP(A500,'[1]DATOS PBI Artículos'!A:A,'[1]DATOS PBI Artículos'!T:T)</f>
        <v>0</v>
      </c>
      <c r="E500" s="34">
        <f>IF(_xlfn.XLOOKUP($A500,'[1]DATOS PBI Artículos'!A:A,'[1]DATOS PBI Artículos'!AK:AK)="",_xlfn.XLOOKUP($A500,'[1]DATOS PBI Artículos'!A:A,'[1]DATOS PBI Artículos'!AJ:AJ),_xlfn.XLOOKUP($A500,'[1]DATOS PBI Artículos'!A:A,'[1]DATOS PBI Artículos'!AK:AK))</f>
        <v>0</v>
      </c>
      <c r="F500" s="35">
        <f>_xlfn.XLOOKUP($A500,'[1]DATOS PBI Artículos'!A:A,'[1]DATOS PBI Artículos'!AP:AP)</f>
        <v>0</v>
      </c>
      <c r="G500" s="34">
        <f>_xlfn.XLOOKUP($A500,'[1]DATOS PBI Artículos'!A:A,'[1]DATOS PBI Artículos'!AR:AR)</f>
        <v>0</v>
      </c>
      <c r="H500" s="34">
        <f>_xlfn.XLOOKUP($A500,'[1]DATOS PBI Artículos'!A:A,'[1]DATOS PBI Artículos'!AT:AT)</f>
        <v>0</v>
      </c>
      <c r="I500" s="34">
        <f>_xlfn.XLOOKUP($A500,'[1]DATOS PBI Artículos'!A:A,'[1]DATOS PBI Artículos'!AS:AS)</f>
        <v>0</v>
      </c>
      <c r="J500" s="35">
        <f>IF(COUNTIF([1]CRITERIOS!$F$179:$F$199,$A500)&gt;=1,
 IF(O500&lt;&gt;"",
    (O500/_xlfn.XLOOKUP(CONCATENATE(A500,L500),[1]MÁQUINAS!A:A,[1]MÁQUINAS!D:D))/24,
    (N500/_xlfn.XLOOKUP(CONCATENATE(A500,L500),[1]MÁQUINAS!A:A,[1]MÁQUINAS!D:D))/24),
  _xlfn.XLOOKUP($A500,'[1]DATOS PBI Artículos'!A:A,'[1]DATOS PBI Artículos'!AU:AU))</f>
        <v>0</v>
      </c>
      <c r="K500" s="36">
        <f>_xlfn.XLOOKUP($A500,'[1]DATOS PBI Artículos'!A:A,'[1]DATOS PBI Artículos'!AV:AV)</f>
        <v>0</v>
      </c>
      <c r="L500" s="33">
        <f>_xlfn.XLOOKUP(A500,[1]MÁQUINAS!B:B,[1]MÁQUINAS!C:C)</f>
        <v>0</v>
      </c>
      <c r="M500" s="34">
        <f t="array" ref="M500">_xlfn.XLOOKUP(A500,'[1]DATOS PBI Artículos'!A:A,'[1]DATOS PBI Artículos'!AX:$AX)</f>
        <v>0</v>
      </c>
      <c r="N500" s="37" t="e">
        <f>IF(I500="DV",
E500,
IF(COUNTIF([1]CRITERIOS!$I$179:$I$199,$A500)&gt;=1,
_xlfn.XLOOKUP($A500,[1]CRITERIOS!$I$179:$I$199,[1]CRITERIOS!$J$179:$J$199),
IF(COUNTIF([1]CRITERIOS!$L$179:$L$199,$A500)&gt;=1,
_xlfn.CEILING.MATH(IF($M500&gt;$E500,
$E500,
IF($M500&lt;$E500/ROUNDDOWN([1]CRITERIOS!$M$16/_xlfn.XLOOKUP($C500,[1]CRITERIOS!$K$25:$K$42,[1]CRITERIOS!$M$25:$M$42),
1),
E500/ROUNDDOWN([1]CRITERIOS!$M$16/_xlfn.XLOOKUP($C500,[1]CRITERIOS!$K$25:$K$42,[1]CRITERIOS!$M$25:$M$42),
1),
$M500)),
_xlfn.XLOOKUP($A500,[1]CRITERIOS!$L$179:$L$200,[1]CRITERIOS!$M$179:$M$200)),
_xlfn.CEILING.MATH(IF($M500&gt;$E500,
$E500,
IF($M500&lt;$E500/ROUNDDOWN([1]CRITERIOS!$M$16/_xlfn.XLOOKUP($C500,[1]CRITERIOS!$K$25:$K$42,[1]CRITERIOS!$M$25:$M$42),
1),
E500/ROUNDDOWN([1]CRITERIOS!$M$16/_xlfn.XLOOKUP($C500,[1]CRITERIOS!$K$25:$K$42,[1]CRITERIOS!$M$25:$M$42),
1),
$M500)),_xlfn.XLOOKUP(A500,'[1]DATOS PBI Artículos'!A:A,'[1]DATOS PBI Artículos'!Z:Z
)))))</f>
        <v>#N/A</v>
      </c>
      <c r="Q500" s="38" t="e">
        <f>IF(AND(O500="",N500=0),
0,
   IF(COUNTIF([1]CRITERIOS!$F$179:$F$199,$A500)&gt;=1,
   1,
   IF(R500="MTO",
      $D500,
      ROUNDUP(
                    IF(($E500-SUMIF('[1]DATOS PBI Artículos'!A:A,A500,'[1]DATOS PBI Artículos'!X:X)+($V500-_xlfn.XLOOKUP(A500,'[1]DATOS PBI Artículos'!A:A,'[1]DATOS PBI Artículos'!W:W)))&lt;0,
                    0,
                    IF(($E500-SUMIF('[1]DATOS PBI Artículos'!A:A,A500,'[1]DATOS PBI Artículos'!X:X)+$V500-_xlfn.XLOOKUP($A500,'[1]DATOS PBI Artículos'!A:A,'[1]DATOS PBI Artículos'!W:W))/IF($O500="",$N500,$O500)&gt;ROUNDUP([1]CRITERIOS!$M$16/(IF(COUNTIF([1]CRITERIOS!$BG$11:$BG$201,L500)&gt;=1,_xlfn.XLOOKUP($C500,[1]CRITERIOS!$K$25:$K$42,[1]CRITERIOS!$M$25:$M$42),_xlfn.XLOOKUP($C500,[1]CRITERIOS!$K$25:$K$42,[1]CRITERIOS!$M$25:$M$42))),0),
                    ROUNDUP([1]CRITERIOS!$M$16/(IF(COUNTIF([1]CRITERIOS!$BG$11:$BG$201,$L500)&gt;=1,_xlfn.XLOOKUP($C500,[1]CRITERIOS!$K$25:$K$42,[1]CRITERIOS!$M$25:$M$42),_xlfn.XLOOKUP($C500,[1]CRITERIOS!$K$25:$K$42,[1]CRITERIOS!$M$25:$M$42))),0),
                    (E500+V500-SUMIF('[1]DATOS PBI Artículos'!A:A,A500,'[1]DATOS PBI Artículos'!X:X)-_xlfn.XLOOKUP(A500,'[1]DATOS PBI Artículos'!A:A,'[1]DATOS PBI Artículos'!W:W))/IF($O500="",$N500,$O500))),0))))</f>
        <v>#N/A</v>
      </c>
      <c r="R500" s="33" t="e">
        <f>IF(U500&lt;&gt;"",U500,IF(F500="DV","MTO",IF(N500=0,"MTO",_xlfn.XLOOKUP(CONCATENATE(S500,T500),[1]CRITERIOS!$K$160:$K$168,[1]CRITERIOS!$N$160:$N$168))))</f>
        <v>#N/A</v>
      </c>
      <c r="S500" s="33" t="e">
        <f>IF(G500="DV","MTO",IF(N500=0,"MTO",IF(OR(AND(N500=0,O500=""),IF(O500="",G500/N500,G500/O500)&gt;[1]CRITERIOS!$G$163),"MTO",IF(IF(O500="",G500/N500,G500/O500)&lt;[1]CRITERIOS!$H$161,"MTS","MTOS"))))</f>
        <v>#N/A</v>
      </c>
      <c r="T500" s="33" t="e">
        <f>IF(F500="DV","MTO",IF(OR(AND($N500=0,O500=""),$F500/$J500&gt;[1]CRITERIOS!$G$170,$F500="DV"),"MTO",IF($F500/$J500&lt;[1]CRITERIOS!$H$168,"MTS","MTOS")))</f>
        <v>#N/A</v>
      </c>
      <c r="V500" s="34" t="e">
        <f t="shared" si="25"/>
        <v>#N/A</v>
      </c>
      <c r="X500" s="34" t="e">
        <f t="shared" si="23"/>
        <v>#N/A</v>
      </c>
      <c r="Y500" s="34" t="e">
        <f t="shared" si="24"/>
        <v>#N/A</v>
      </c>
      <c r="Z500" s="34" t="e">
        <f>IF($R500="MTO",
0,
($H500+$K500*($E500/[1]CRITERIOS!$M$16))/[1]CRITERIOS!$X$48)</f>
        <v>#N/A</v>
      </c>
      <c r="AA500" s="34" t="e">
        <f>ROUNDUP(($Y500/_xlfn.XLOOKUP($A500,'[1]DATOS PBI Artículos'!$A$4:$A$4,'[1]DATOS PBI Artículos'!$Z$4:$Z$4))/_xlfn.XLOOKUP(_xlfn.XLOOKUP($A500,'[1]DATOS PBI Artículos'!$A$4:$A$4,'[1]DATOS PBI Artículos'!$Y$4:$Y$4),[1]CRITERIOS!$P$79:$P$123,[1]CRITERIOS!$S$79:$S$123,),0)</f>
        <v>#N/A</v>
      </c>
      <c r="AB500" s="33" t="e">
        <f t="array" ref="AB500">IF((E500+V500-_xlfn.XLOOKUP(A500,'[1]DATOS PBI Artículos'!$A$4:$A$4,'[1]DATOS PBI Artículos'!$W$4:$W$4))/N500&gt;ROUNDUP([1]CRITERIOS!$M$16/(IF(COUNTIF([1]CRITERIOS!$BG$11:$BG$201,L500)&gt;=1,_xlfn.XLOOKUP(ARTÍCULOS!L500,[1]CRITERIOS!$BG$11:$BG$201,[1]CRITERIOS!$BJ$11:$BJ$201),_xlfn.XLOOKUP(ARTÍCULOS!C500,[1]CRITERIOS!$K$25:$K$42,[1]CRITERIOS!$M$25:$M$42))),0),ROUNDUP([1]CRITERIOS!$M$16/(IF(COUNTIF([1]CRITERIOS!$BG$11:$BG$201,L500)&gt;=1,_xlfn.XLOOKUP(ARTÍCULOS!L500,[1]CRITERIOS!$BG$11:$BG$201:#REF!,[1]CRITERIOS!$BJ$11:$BJ$201),_xlfn.XLOOKUP(ARTÍCULOS!C500,[1]CRITERIOS!$K$25:$K$42,[1]CRITERIOS!$M$25:$M$42))),0),(E500+V500-_xlfn.XLOOKUP(A500,'[1]DATOS PBI Artículos'!$A$4:$A$4,'[1]DATOS PBI Artículos'!$W$4:$W$4))/N500)</f>
        <v>#N/A</v>
      </c>
      <c r="AC500" s="33" t="e">
        <f>IF(N500=0,"",(ROUNDUP((N500/2)/(_xlfn.XLOOKUP(A500,'[1]DATOS PBI Artículos'!$A$4:$A$4,'[1]DATOS PBI Artículos'!$Z$4:$Z$4)*_xlfn.XLOOKUP(_xlfn.XLOOKUP(A500,'[1]DATOS PBI Artículos'!$A$4:$A$4,'[1]DATOS PBI Artículos'!$Y$4:$Y$4),[1]CRITERIOS!$P$79:$P$123,[1]CRITERIOS!$S$79:$S$123)),0)*[1]CRITERIOS!$M$80*([1]CRITERIOS!$M$110/[1]CRITERIOS!$M$86)+(_xlfn.XLOOKUP(A500,'[1]DATOS PBI Artículos'!$A$4:$A$4,'[1]DATOS PBI Artículos'!$AA$4:$AA$4)*([1]CRITERIOS!$M$95+[1]CRITERIOS!$M$98)))/N500)</f>
        <v>#N/A</v>
      </c>
      <c r="AD500" s="33" t="e">
        <f>IF(N500=0,"",(ROUNDUP((N500/2)/(_xlfn.XLOOKUP(A500,'[1]DATOS PBI Artículos'!$A$4:$A$4,'[1]DATOS PBI Artículos'!$Z$4:$Z$4)*_xlfn.XLOOKUP(_xlfn.XLOOKUP(A500,'[1]DATOS PBI Artículos'!$A$4:$A$4,'[1]DATOS PBI Artículos'!$Y$4:$Y$4),[1]CRITERIOS!$P$79:$P$123,[1]CRITERIOS!$S$79:$S$123)),0)*[1]CRITERIOS!$M$80*([1]CRITERIOS!$M$89*[1]CRITERIOS!$M$92)+((_xlfn.XLOOKUP(A500,'[1]DATOS PBI Artículos'!$A$4:$A$4,'[1]DATOS PBI Artículos'!$AA$4:$AA$4)/2)*([1]CRITERIOS!$M$95+[1]CRITERIOS!$M$98)))/N500)</f>
        <v>#N/A</v>
      </c>
      <c r="AE500" s="39" t="e">
        <f>IF($R500="MTO","",
IF($H500=0,ROUNDUP(((_xlfn.XLOOKUP($A500,'[1]DATOS PBI Artículos'!$A:$A,'[1]DATOS PBI Artículos'!$AL:$AL))/(_xlfn.XLOOKUP($AF$1,[1]CRITERIOS!$S$16:$S$39,[1]CRITERIOS!$Y$16:$Y$39))*$J500+$Z500)/$G500,0)*$G500,
((_xlfn.XLOOKUP($A500,'[1]DATOS PBI Artículos'!$A:$A,'[1]DATOS PBI Artículos'!$AL:$AL))/(_xlfn.XLOOKUP($AF$1,[1]CRITERIOS!$S$16:$S$39,[1]CRITERIOS!$Y$16:$Y$39))*$J500+$Z500)))</f>
        <v>#N/A</v>
      </c>
      <c r="AG500" s="39" t="e">
        <f>IF($R500="MTO","",
IF($H500=0,ROUNDUP(((_xlfn.XLOOKUP($A500,'[1]DATOS PBI Artículos'!$A:$A,'[1]DATOS PBI Artículos'!$AM:$AM))/(_xlfn.XLOOKUP($AH$1,[1]CRITERIOS!$S$16:$S$39,[1]CRITERIOS!$Y$16:$Y$39))*$J500+$Z500)/$G500,0)*$G500,
((_xlfn.XLOOKUP($A500,'[1]DATOS PBI Artículos'!$A:$A,'[1]DATOS PBI Artículos'!$AM:$AM))/(_xlfn.XLOOKUP($AH$1,[1]CRITERIOS!$S$16:$S$39,[1]CRITERIOS!$Y$16:$Y$39))*$J500+$Z500)))</f>
        <v>#N/A</v>
      </c>
      <c r="AI500" s="39" t="e">
        <f>IF($R500="MTO","",
IF($H500=0,ROUNDUP(((_xlfn.XLOOKUP($A500,'[1]DATOS PBI Artículos'!$A:$A,'[1]DATOS PBI Artículos'!$AN:$AN))/(_xlfn.XLOOKUP($AJ$1,[1]CRITERIOS!$S$16:$S$39,[1]CRITERIOS!$Y$16:$Y$39))*$J500+$Z500)/$G500,0)*$G500,
((_xlfn.XLOOKUP($A500,'[1]DATOS PBI Artículos'!$A:$A,'[1]DATOS PBI Artículos'!$AN:$AN))/(_xlfn.XLOOKUP($AJ$1,[1]CRITERIOS!$S$16:$S$39,[1]CRITERIOS!$Y$16:$Y$39))*$J500+$Z500)))</f>
        <v>#N/A</v>
      </c>
      <c r="AK500" s="39" t="e">
        <f>IF($R500="MTO","",
IF($H500=0,ROUNDUP(((_xlfn.XLOOKUP($A500,'[1]DATOS PBI Artículos'!$A:$A,'[1]DATOS PBI Artículos'!$AO:$AO))/(_xlfn.XLOOKUP($AL$1,[1]CRITERIOS!$S$16:$S$39,[1]CRITERIOS!$Y$16:$Y$39))*$J500+$Z500)/$G500,0)*$G500,
((_xlfn.XLOOKUP($A500,'[1]DATOS PBI Artículos'!$A:$A,'[1]DATOS PBI Artículos'!$AO:$AO))/(_xlfn.XLOOKUP($AL$1,[1]CRITERIOS!$S$16:$S$39,[1]CRITERIOS!$Y$16:$Y$39))*$J500+$Z500)))</f>
        <v>#N/A</v>
      </c>
    </row>
    <row r="501" spans="1:37" ht="25.8" hidden="1" x14ac:dyDescent="0.4">
      <c r="A501" s="41"/>
      <c r="B501" s="33">
        <f>_xlfn.XLOOKUP($A501,'[1]DATOS PBI Artículos'!A:A,'[1]DATOS PBI Artículos'!B:B)</f>
        <v>0</v>
      </c>
      <c r="C501" s="33">
        <f>_xlfn.XLOOKUP($A501,'[1]DATOS PBI Artículos'!A:A,'[1]DATOS PBI Artículos'!C:C)</f>
        <v>0</v>
      </c>
      <c r="D501" s="33">
        <f>_xlfn.XLOOKUP(A501,'[1]DATOS PBI Artículos'!A:A,'[1]DATOS PBI Artículos'!T:T)</f>
        <v>0</v>
      </c>
      <c r="E501" s="34">
        <f>IF(_xlfn.XLOOKUP($A501,'[1]DATOS PBI Artículos'!A:A,'[1]DATOS PBI Artículos'!AK:AK)="",_xlfn.XLOOKUP($A501,'[1]DATOS PBI Artículos'!A:A,'[1]DATOS PBI Artículos'!AJ:AJ),_xlfn.XLOOKUP($A501,'[1]DATOS PBI Artículos'!A:A,'[1]DATOS PBI Artículos'!AK:AK))</f>
        <v>0</v>
      </c>
      <c r="F501" s="35">
        <f>_xlfn.XLOOKUP($A501,'[1]DATOS PBI Artículos'!A:A,'[1]DATOS PBI Artículos'!AP:AP)</f>
        <v>0</v>
      </c>
      <c r="G501" s="34">
        <f>_xlfn.XLOOKUP($A501,'[1]DATOS PBI Artículos'!A:A,'[1]DATOS PBI Artículos'!AR:AR)</f>
        <v>0</v>
      </c>
      <c r="H501" s="34">
        <f>_xlfn.XLOOKUP($A501,'[1]DATOS PBI Artículos'!A:A,'[1]DATOS PBI Artículos'!AT:AT)</f>
        <v>0</v>
      </c>
      <c r="I501" s="34">
        <f>_xlfn.XLOOKUP($A501,'[1]DATOS PBI Artículos'!A:A,'[1]DATOS PBI Artículos'!AS:AS)</f>
        <v>0</v>
      </c>
      <c r="J501" s="35">
        <f>IF(COUNTIF([1]CRITERIOS!$F$179:$F$199,$A501)&gt;=1,
 IF(O501&lt;&gt;"",
    (O501/_xlfn.XLOOKUP(CONCATENATE(A501,L501),[1]MÁQUINAS!A:A,[1]MÁQUINAS!D:D))/24,
    (N501/_xlfn.XLOOKUP(CONCATENATE(A501,L501),[1]MÁQUINAS!A:A,[1]MÁQUINAS!D:D))/24),
  _xlfn.XLOOKUP($A501,'[1]DATOS PBI Artículos'!A:A,'[1]DATOS PBI Artículos'!AU:AU))</f>
        <v>0</v>
      </c>
      <c r="K501" s="36">
        <f>_xlfn.XLOOKUP($A501,'[1]DATOS PBI Artículos'!A:A,'[1]DATOS PBI Artículos'!AV:AV)</f>
        <v>0</v>
      </c>
      <c r="L501" s="33">
        <f>_xlfn.XLOOKUP(A501,[1]MÁQUINAS!B:B,[1]MÁQUINAS!C:C)</f>
        <v>0</v>
      </c>
      <c r="M501" s="34">
        <f t="array" ref="M501">_xlfn.XLOOKUP(A501,'[1]DATOS PBI Artículos'!A:A,'[1]DATOS PBI Artículos'!AX:$AX)</f>
        <v>0</v>
      </c>
      <c r="N501" s="37" t="e">
        <f>IF(I501="DV",
E501,
IF(COUNTIF([1]CRITERIOS!$I$179:$I$199,$A501)&gt;=1,
_xlfn.XLOOKUP($A501,[1]CRITERIOS!$I$179:$I$199,[1]CRITERIOS!$J$179:$J$199),
IF(COUNTIF([1]CRITERIOS!$L$179:$L$199,$A501)&gt;=1,
_xlfn.CEILING.MATH(IF($M501&gt;$E501,
$E501,
IF($M501&lt;$E501/ROUNDDOWN([1]CRITERIOS!$M$16/_xlfn.XLOOKUP($C501,[1]CRITERIOS!$K$25:$K$42,[1]CRITERIOS!$M$25:$M$42),
1),
E501/ROUNDDOWN([1]CRITERIOS!$M$16/_xlfn.XLOOKUP($C501,[1]CRITERIOS!$K$25:$K$42,[1]CRITERIOS!$M$25:$M$42),
1),
$M501)),
_xlfn.XLOOKUP($A501,[1]CRITERIOS!$L$179:$L$200,[1]CRITERIOS!$M$179:$M$200)),
_xlfn.CEILING.MATH(IF($M501&gt;$E501,
$E501,
IF($M501&lt;$E501/ROUNDDOWN([1]CRITERIOS!$M$16/_xlfn.XLOOKUP($C501,[1]CRITERIOS!$K$25:$K$42,[1]CRITERIOS!$M$25:$M$42),
1),
E501/ROUNDDOWN([1]CRITERIOS!$M$16/_xlfn.XLOOKUP($C501,[1]CRITERIOS!$K$25:$K$42,[1]CRITERIOS!$M$25:$M$42),
1),
$M501)),_xlfn.XLOOKUP(A501,'[1]DATOS PBI Artículos'!A:A,'[1]DATOS PBI Artículos'!Z:Z
)))))</f>
        <v>#N/A</v>
      </c>
      <c r="Q501" s="38" t="e">
        <f>IF(AND(O501="",N501=0),
0,
   IF(COUNTIF([1]CRITERIOS!$F$179:$F$199,$A501)&gt;=1,
   1,
   IF(R501="MTO",
      $D501,
      ROUNDUP(
                    IF(($E501-SUMIF('[1]DATOS PBI Artículos'!A:A,A501,'[1]DATOS PBI Artículos'!X:X)+($V501-_xlfn.XLOOKUP(A501,'[1]DATOS PBI Artículos'!A:A,'[1]DATOS PBI Artículos'!W:W)))&lt;0,
                    0,
                    IF(($E501-SUMIF('[1]DATOS PBI Artículos'!A:A,A501,'[1]DATOS PBI Artículos'!X:X)+$V501-_xlfn.XLOOKUP($A501,'[1]DATOS PBI Artículos'!A:A,'[1]DATOS PBI Artículos'!W:W))/IF($O501="",$N501,$O501)&gt;ROUNDUP([1]CRITERIOS!$M$16/(IF(COUNTIF([1]CRITERIOS!$BG$11:$BG$201,L501)&gt;=1,_xlfn.XLOOKUP($C501,[1]CRITERIOS!$K$25:$K$42,[1]CRITERIOS!$M$25:$M$42),_xlfn.XLOOKUP($C501,[1]CRITERIOS!$K$25:$K$42,[1]CRITERIOS!$M$25:$M$42))),0),
                    ROUNDUP([1]CRITERIOS!$M$16/(IF(COUNTIF([1]CRITERIOS!$BG$11:$BG$201,$L501)&gt;=1,_xlfn.XLOOKUP($C501,[1]CRITERIOS!$K$25:$K$42,[1]CRITERIOS!$M$25:$M$42),_xlfn.XLOOKUP($C501,[1]CRITERIOS!$K$25:$K$42,[1]CRITERIOS!$M$25:$M$42))),0),
                    (E501+V501-SUMIF('[1]DATOS PBI Artículos'!A:A,A501,'[1]DATOS PBI Artículos'!X:X)-_xlfn.XLOOKUP(A501,'[1]DATOS PBI Artículos'!A:A,'[1]DATOS PBI Artículos'!W:W))/IF($O501="",$N501,$O501))),0))))</f>
        <v>#N/A</v>
      </c>
      <c r="R501" s="33" t="e">
        <f>IF(U501&lt;&gt;"",U501,IF(F501="DV","MTO",IF(N501=0,"MTO",_xlfn.XLOOKUP(CONCATENATE(S501,T501),[1]CRITERIOS!$K$160:$K$168,[1]CRITERIOS!$N$160:$N$168))))</f>
        <v>#N/A</v>
      </c>
      <c r="S501" s="33" t="e">
        <f>IF(G501="DV","MTO",IF(N501=0,"MTO",IF(OR(AND(N501=0,O501=""),IF(O501="",G501/N501,G501/O501)&gt;[1]CRITERIOS!$G$163),"MTO",IF(IF(O501="",G501/N501,G501/O501)&lt;[1]CRITERIOS!$H$161,"MTS","MTOS"))))</f>
        <v>#N/A</v>
      </c>
      <c r="T501" s="33" t="e">
        <f>IF(F501="DV","MTO",IF(OR(AND($N501=0,O501=""),$F501/$J501&gt;[1]CRITERIOS!$G$170,$F501="DV"),"MTO",IF($F501/$J501&lt;[1]CRITERIOS!$H$168,"MTS","MTOS")))</f>
        <v>#N/A</v>
      </c>
      <c r="V501" s="34" t="e">
        <f t="shared" si="25"/>
        <v>#N/A</v>
      </c>
      <c r="X501" s="34" t="e">
        <f t="shared" si="23"/>
        <v>#N/A</v>
      </c>
      <c r="Y501" s="34" t="e">
        <f t="shared" si="24"/>
        <v>#N/A</v>
      </c>
      <c r="Z501" s="34" t="e">
        <f>IF($R501="MTO",
0,
($H501+$K501*($E501/[1]CRITERIOS!$M$16))/[1]CRITERIOS!$X$48)</f>
        <v>#N/A</v>
      </c>
      <c r="AA501" s="34" t="e">
        <f>ROUNDUP(($Y501/_xlfn.XLOOKUP($A501,'[1]DATOS PBI Artículos'!$A$4:$A$4,'[1]DATOS PBI Artículos'!$Z$4:$Z$4))/_xlfn.XLOOKUP(_xlfn.XLOOKUP($A501,'[1]DATOS PBI Artículos'!$A$4:$A$4,'[1]DATOS PBI Artículos'!$Y$4:$Y$4),[1]CRITERIOS!$P$79:$P$123,[1]CRITERIOS!$S$79:$S$123,),0)</f>
        <v>#N/A</v>
      </c>
      <c r="AB501" s="33" t="e">
        <f t="array" ref="AB501">IF((E501+V501-_xlfn.XLOOKUP(A501,'[1]DATOS PBI Artículos'!$A$4:$A$4,'[1]DATOS PBI Artículos'!$W$4:$W$4))/N501&gt;ROUNDUP([1]CRITERIOS!$M$16/(IF(COUNTIF([1]CRITERIOS!$BG$11:$BG$201,L501)&gt;=1,_xlfn.XLOOKUP(ARTÍCULOS!L501,[1]CRITERIOS!$BG$11:$BG$201,[1]CRITERIOS!$BJ$11:$BJ$201),_xlfn.XLOOKUP(ARTÍCULOS!C501,[1]CRITERIOS!$K$25:$K$42,[1]CRITERIOS!$M$25:$M$42))),0),ROUNDUP([1]CRITERIOS!$M$16/(IF(COUNTIF([1]CRITERIOS!$BG$11:$BG$201,L501)&gt;=1,_xlfn.XLOOKUP(ARTÍCULOS!L501,[1]CRITERIOS!$BG$11:$BG$201:#REF!,[1]CRITERIOS!$BJ$11:$BJ$201),_xlfn.XLOOKUP(ARTÍCULOS!C501,[1]CRITERIOS!$K$25:$K$42,[1]CRITERIOS!$M$25:$M$42))),0),(E501+V501-_xlfn.XLOOKUP(A501,'[1]DATOS PBI Artículos'!$A$4:$A$4,'[1]DATOS PBI Artículos'!$W$4:$W$4))/N501)</f>
        <v>#N/A</v>
      </c>
      <c r="AC501" s="33" t="e">
        <f>IF(N501=0,"",(ROUNDUP((N501/2)/(_xlfn.XLOOKUP(A501,'[1]DATOS PBI Artículos'!$A$4:$A$4,'[1]DATOS PBI Artículos'!$Z$4:$Z$4)*_xlfn.XLOOKUP(_xlfn.XLOOKUP(A501,'[1]DATOS PBI Artículos'!$A$4:$A$4,'[1]DATOS PBI Artículos'!$Y$4:$Y$4),[1]CRITERIOS!$P$79:$P$123,[1]CRITERIOS!$S$79:$S$123)),0)*[1]CRITERIOS!$M$80*([1]CRITERIOS!$M$110/[1]CRITERIOS!$M$86)+(_xlfn.XLOOKUP(A501,'[1]DATOS PBI Artículos'!$A$4:$A$4,'[1]DATOS PBI Artículos'!$AA$4:$AA$4)*([1]CRITERIOS!$M$95+[1]CRITERIOS!$M$98)))/N501)</f>
        <v>#N/A</v>
      </c>
      <c r="AD501" s="33" t="e">
        <f>IF(N501=0,"",(ROUNDUP((N501/2)/(_xlfn.XLOOKUP(A501,'[1]DATOS PBI Artículos'!$A$4:$A$4,'[1]DATOS PBI Artículos'!$Z$4:$Z$4)*_xlfn.XLOOKUP(_xlfn.XLOOKUP(A501,'[1]DATOS PBI Artículos'!$A$4:$A$4,'[1]DATOS PBI Artículos'!$Y$4:$Y$4),[1]CRITERIOS!$P$79:$P$123,[1]CRITERIOS!$S$79:$S$123)),0)*[1]CRITERIOS!$M$80*([1]CRITERIOS!$M$89*[1]CRITERIOS!$M$92)+((_xlfn.XLOOKUP(A501,'[1]DATOS PBI Artículos'!$A$4:$A$4,'[1]DATOS PBI Artículos'!$AA$4:$AA$4)/2)*([1]CRITERIOS!$M$95+[1]CRITERIOS!$M$98)))/N501)</f>
        <v>#N/A</v>
      </c>
      <c r="AE501" s="39" t="e">
        <f>IF($R501="MTO","",
IF($H501=0,ROUNDUP(((_xlfn.XLOOKUP($A501,'[1]DATOS PBI Artículos'!$A:$A,'[1]DATOS PBI Artículos'!$AL:$AL))/(_xlfn.XLOOKUP($AF$1,[1]CRITERIOS!$S$16:$S$39,[1]CRITERIOS!$Y$16:$Y$39))*$J501+$Z501)/$G501,0)*$G501,
((_xlfn.XLOOKUP($A501,'[1]DATOS PBI Artículos'!$A:$A,'[1]DATOS PBI Artículos'!$AL:$AL))/(_xlfn.XLOOKUP($AF$1,[1]CRITERIOS!$S$16:$S$39,[1]CRITERIOS!$Y$16:$Y$39))*$J501+$Z501)))</f>
        <v>#N/A</v>
      </c>
      <c r="AG501" s="39" t="e">
        <f>IF($R501="MTO","",
IF($H501=0,ROUNDUP(((_xlfn.XLOOKUP($A501,'[1]DATOS PBI Artículos'!$A:$A,'[1]DATOS PBI Artículos'!$AM:$AM))/(_xlfn.XLOOKUP($AH$1,[1]CRITERIOS!$S$16:$S$39,[1]CRITERIOS!$Y$16:$Y$39))*$J501+$Z501)/$G501,0)*$G501,
((_xlfn.XLOOKUP($A501,'[1]DATOS PBI Artículos'!$A:$A,'[1]DATOS PBI Artículos'!$AM:$AM))/(_xlfn.XLOOKUP($AH$1,[1]CRITERIOS!$S$16:$S$39,[1]CRITERIOS!$Y$16:$Y$39))*$J501+$Z501)))</f>
        <v>#N/A</v>
      </c>
      <c r="AI501" s="39" t="e">
        <f>IF($R501="MTO","",
IF($H501=0,ROUNDUP(((_xlfn.XLOOKUP($A501,'[1]DATOS PBI Artículos'!$A:$A,'[1]DATOS PBI Artículos'!$AN:$AN))/(_xlfn.XLOOKUP($AJ$1,[1]CRITERIOS!$S$16:$S$39,[1]CRITERIOS!$Y$16:$Y$39))*$J501+$Z501)/$G501,0)*$G501,
((_xlfn.XLOOKUP($A501,'[1]DATOS PBI Artículos'!$A:$A,'[1]DATOS PBI Artículos'!$AN:$AN))/(_xlfn.XLOOKUP($AJ$1,[1]CRITERIOS!$S$16:$S$39,[1]CRITERIOS!$Y$16:$Y$39))*$J501+$Z501)))</f>
        <v>#N/A</v>
      </c>
      <c r="AK501" s="39" t="e">
        <f>IF($R501="MTO","",
IF($H501=0,ROUNDUP(((_xlfn.XLOOKUP($A501,'[1]DATOS PBI Artículos'!$A:$A,'[1]DATOS PBI Artículos'!$AO:$AO))/(_xlfn.XLOOKUP($AL$1,[1]CRITERIOS!$S$16:$S$39,[1]CRITERIOS!$Y$16:$Y$39))*$J501+$Z501)/$G501,0)*$G501,
((_xlfn.XLOOKUP($A501,'[1]DATOS PBI Artículos'!$A:$A,'[1]DATOS PBI Artículos'!$AO:$AO))/(_xlfn.XLOOKUP($AL$1,[1]CRITERIOS!$S$16:$S$39,[1]CRITERIOS!$Y$16:$Y$39))*$J501+$Z501)))</f>
        <v>#N/A</v>
      </c>
    </row>
    <row r="502" spans="1:37" ht="25.8" hidden="1" x14ac:dyDescent="0.4">
      <c r="A502" s="41"/>
      <c r="B502" s="33">
        <f>_xlfn.XLOOKUP($A502,'[1]DATOS PBI Artículos'!A:A,'[1]DATOS PBI Artículos'!B:B)</f>
        <v>0</v>
      </c>
      <c r="C502" s="33">
        <f>_xlfn.XLOOKUP($A502,'[1]DATOS PBI Artículos'!A:A,'[1]DATOS PBI Artículos'!C:C)</f>
        <v>0</v>
      </c>
      <c r="D502" s="33">
        <f>_xlfn.XLOOKUP(A502,'[1]DATOS PBI Artículos'!A:A,'[1]DATOS PBI Artículos'!T:T)</f>
        <v>0</v>
      </c>
      <c r="E502" s="34">
        <f>IF(_xlfn.XLOOKUP($A502,'[1]DATOS PBI Artículos'!A:A,'[1]DATOS PBI Artículos'!AK:AK)="",_xlfn.XLOOKUP($A502,'[1]DATOS PBI Artículos'!A:A,'[1]DATOS PBI Artículos'!AJ:AJ),_xlfn.XLOOKUP($A502,'[1]DATOS PBI Artículos'!A:A,'[1]DATOS PBI Artículos'!AK:AK))</f>
        <v>0</v>
      </c>
      <c r="F502" s="35">
        <f>_xlfn.XLOOKUP($A502,'[1]DATOS PBI Artículos'!A:A,'[1]DATOS PBI Artículos'!AP:AP)</f>
        <v>0</v>
      </c>
      <c r="G502" s="34">
        <f>_xlfn.XLOOKUP($A502,'[1]DATOS PBI Artículos'!A:A,'[1]DATOS PBI Artículos'!AR:AR)</f>
        <v>0</v>
      </c>
      <c r="H502" s="34">
        <f>_xlfn.XLOOKUP($A502,'[1]DATOS PBI Artículos'!A:A,'[1]DATOS PBI Artículos'!AT:AT)</f>
        <v>0</v>
      </c>
      <c r="I502" s="34">
        <f>_xlfn.XLOOKUP($A502,'[1]DATOS PBI Artículos'!A:A,'[1]DATOS PBI Artículos'!AS:AS)</f>
        <v>0</v>
      </c>
      <c r="J502" s="35">
        <f>IF(COUNTIF([1]CRITERIOS!$F$179:$F$199,$A502)&gt;=1,
 IF(O502&lt;&gt;"",
    (O502/_xlfn.XLOOKUP(CONCATENATE(A502,L502),[1]MÁQUINAS!A:A,[1]MÁQUINAS!D:D))/24,
    (N502/_xlfn.XLOOKUP(CONCATENATE(A502,L502),[1]MÁQUINAS!A:A,[1]MÁQUINAS!D:D))/24),
  _xlfn.XLOOKUP($A502,'[1]DATOS PBI Artículos'!A:A,'[1]DATOS PBI Artículos'!AU:AU))</f>
        <v>0</v>
      </c>
      <c r="K502" s="36">
        <f>_xlfn.XLOOKUP($A502,'[1]DATOS PBI Artículos'!A:A,'[1]DATOS PBI Artículos'!AV:AV)</f>
        <v>0</v>
      </c>
      <c r="L502" s="33">
        <f>_xlfn.XLOOKUP(A502,[1]MÁQUINAS!B:B,[1]MÁQUINAS!C:C)</f>
        <v>0</v>
      </c>
      <c r="M502" s="34">
        <f t="array" ref="M502">_xlfn.XLOOKUP(A502,'[1]DATOS PBI Artículos'!A:A,'[1]DATOS PBI Artículos'!AX:$AX)</f>
        <v>0</v>
      </c>
      <c r="N502" s="37" t="e">
        <f>IF(I502="DV",
E502,
IF(COUNTIF([1]CRITERIOS!$I$179:$I$199,$A502)&gt;=1,
_xlfn.XLOOKUP($A502,[1]CRITERIOS!$I$179:$I$199,[1]CRITERIOS!$J$179:$J$199),
IF(COUNTIF([1]CRITERIOS!$L$179:$L$199,$A502)&gt;=1,
_xlfn.CEILING.MATH(IF($M502&gt;$E502,
$E502,
IF($M502&lt;$E502/ROUNDDOWN([1]CRITERIOS!$M$16/_xlfn.XLOOKUP($C502,[1]CRITERIOS!$K$25:$K$42,[1]CRITERIOS!$M$25:$M$42),
1),
E502/ROUNDDOWN([1]CRITERIOS!$M$16/_xlfn.XLOOKUP($C502,[1]CRITERIOS!$K$25:$K$42,[1]CRITERIOS!$M$25:$M$42),
1),
$M502)),
_xlfn.XLOOKUP($A502,[1]CRITERIOS!$L$179:$L$200,[1]CRITERIOS!$M$179:$M$200)),
_xlfn.CEILING.MATH(IF($M502&gt;$E502,
$E502,
IF($M502&lt;$E502/ROUNDDOWN([1]CRITERIOS!$M$16/_xlfn.XLOOKUP($C502,[1]CRITERIOS!$K$25:$K$42,[1]CRITERIOS!$M$25:$M$42),
1),
E502/ROUNDDOWN([1]CRITERIOS!$M$16/_xlfn.XLOOKUP($C502,[1]CRITERIOS!$K$25:$K$42,[1]CRITERIOS!$M$25:$M$42),
1),
$M502)),_xlfn.XLOOKUP(A502,'[1]DATOS PBI Artículos'!A:A,'[1]DATOS PBI Artículos'!Z:Z
)))))</f>
        <v>#N/A</v>
      </c>
      <c r="Q502" s="38" t="e">
        <f>IF(AND(O502="",N502=0),
0,
   IF(COUNTIF([1]CRITERIOS!$F$179:$F$199,$A502)&gt;=1,
   1,
   IF(R502="MTO",
      $D502,
      ROUNDUP(
                    IF(($E502-SUMIF('[1]DATOS PBI Artículos'!A:A,A502,'[1]DATOS PBI Artículos'!X:X)+($V502-_xlfn.XLOOKUP(A502,'[1]DATOS PBI Artículos'!A:A,'[1]DATOS PBI Artículos'!W:W)))&lt;0,
                    0,
                    IF(($E502-SUMIF('[1]DATOS PBI Artículos'!A:A,A502,'[1]DATOS PBI Artículos'!X:X)+$V502-_xlfn.XLOOKUP($A502,'[1]DATOS PBI Artículos'!A:A,'[1]DATOS PBI Artículos'!W:W))/IF($O502="",$N502,$O502)&gt;ROUNDUP([1]CRITERIOS!$M$16/(IF(COUNTIF([1]CRITERIOS!$BG$11:$BG$201,L502)&gt;=1,_xlfn.XLOOKUP($C502,[1]CRITERIOS!$K$25:$K$42,[1]CRITERIOS!$M$25:$M$42),_xlfn.XLOOKUP($C502,[1]CRITERIOS!$K$25:$K$42,[1]CRITERIOS!$M$25:$M$42))),0),
                    ROUNDUP([1]CRITERIOS!$M$16/(IF(COUNTIF([1]CRITERIOS!$BG$11:$BG$201,$L502)&gt;=1,_xlfn.XLOOKUP($C502,[1]CRITERIOS!$K$25:$K$42,[1]CRITERIOS!$M$25:$M$42),_xlfn.XLOOKUP($C502,[1]CRITERIOS!$K$25:$K$42,[1]CRITERIOS!$M$25:$M$42))),0),
                    (E502+V502-SUMIF('[1]DATOS PBI Artículos'!A:A,A502,'[1]DATOS PBI Artículos'!X:X)-_xlfn.XLOOKUP(A502,'[1]DATOS PBI Artículos'!A:A,'[1]DATOS PBI Artículos'!W:W))/IF($O502="",$N502,$O502))),0))))</f>
        <v>#N/A</v>
      </c>
      <c r="R502" s="33" t="e">
        <f>IF(U502&lt;&gt;"",U502,IF(F502="DV","MTO",IF(N502=0,"MTO",_xlfn.XLOOKUP(CONCATENATE(S502,T502),[1]CRITERIOS!$K$160:$K$168,[1]CRITERIOS!$N$160:$N$168))))</f>
        <v>#N/A</v>
      </c>
      <c r="S502" s="33" t="e">
        <f>IF(G502="DV","MTO",IF(N502=0,"MTO",IF(OR(AND(N502=0,O502=""),IF(O502="",G502/N502,G502/O502)&gt;[1]CRITERIOS!$G$163),"MTO",IF(IF(O502="",G502/N502,G502/O502)&lt;[1]CRITERIOS!$H$161,"MTS","MTOS"))))</f>
        <v>#N/A</v>
      </c>
      <c r="T502" s="33" t="e">
        <f>IF(F502="DV","MTO",IF(OR(AND($N502=0,O502=""),$F502/$J502&gt;[1]CRITERIOS!$G$170,$F502="DV"),"MTO",IF($F502/$J502&lt;[1]CRITERIOS!$H$168,"MTS","MTOS")))</f>
        <v>#N/A</v>
      </c>
      <c r="V502" s="34" t="e">
        <f t="shared" si="25"/>
        <v>#N/A</v>
      </c>
      <c r="X502" s="34" t="e">
        <f t="shared" si="23"/>
        <v>#N/A</v>
      </c>
      <c r="Y502" s="34" t="e">
        <f t="shared" si="24"/>
        <v>#N/A</v>
      </c>
      <c r="Z502" s="34" t="e">
        <f>IF($R502="MTO",
0,
($H502+$K502*($E502/[1]CRITERIOS!$M$16))/[1]CRITERIOS!$X$48)</f>
        <v>#N/A</v>
      </c>
      <c r="AA502" s="34" t="e">
        <f>ROUNDUP(($Y502/_xlfn.XLOOKUP($A502,'[1]DATOS PBI Artículos'!$A$4:$A$4,'[1]DATOS PBI Artículos'!$Z$4:$Z$4))/_xlfn.XLOOKUP(_xlfn.XLOOKUP($A502,'[1]DATOS PBI Artículos'!$A$4:$A$4,'[1]DATOS PBI Artículos'!$Y$4:$Y$4),[1]CRITERIOS!$P$79:$P$123,[1]CRITERIOS!$S$79:$S$123,),0)</f>
        <v>#N/A</v>
      </c>
      <c r="AB502" s="33" t="e">
        <f t="array" ref="AB502">IF((E502+V502-_xlfn.XLOOKUP(A502,'[1]DATOS PBI Artículos'!$A$4:$A$4,'[1]DATOS PBI Artículos'!$W$4:$W$4))/N502&gt;ROUNDUP([1]CRITERIOS!$M$16/(IF(COUNTIF([1]CRITERIOS!$BG$11:$BG$201,L502)&gt;=1,_xlfn.XLOOKUP(ARTÍCULOS!L502,[1]CRITERIOS!$BG$11:$BG$201,[1]CRITERIOS!$BJ$11:$BJ$201),_xlfn.XLOOKUP(ARTÍCULOS!C502,[1]CRITERIOS!$K$25:$K$42,[1]CRITERIOS!$M$25:$M$42))),0),ROUNDUP([1]CRITERIOS!$M$16/(IF(COUNTIF([1]CRITERIOS!$BG$11:$BG$201,L502)&gt;=1,_xlfn.XLOOKUP(ARTÍCULOS!L502,[1]CRITERIOS!$BG$11:$BG$201:#REF!,[1]CRITERIOS!$BJ$11:$BJ$201),_xlfn.XLOOKUP(ARTÍCULOS!C502,[1]CRITERIOS!$K$25:$K$42,[1]CRITERIOS!$M$25:$M$42))),0),(E502+V502-_xlfn.XLOOKUP(A502,'[1]DATOS PBI Artículos'!$A$4:$A$4,'[1]DATOS PBI Artículos'!$W$4:$W$4))/N502)</f>
        <v>#N/A</v>
      </c>
      <c r="AC502" s="33" t="e">
        <f>IF(N502=0,"",(ROUNDUP((N502/2)/(_xlfn.XLOOKUP(A502,'[1]DATOS PBI Artículos'!$A$4:$A$4,'[1]DATOS PBI Artículos'!$Z$4:$Z$4)*_xlfn.XLOOKUP(_xlfn.XLOOKUP(A502,'[1]DATOS PBI Artículos'!$A$4:$A$4,'[1]DATOS PBI Artículos'!$Y$4:$Y$4),[1]CRITERIOS!$P$79:$P$123,[1]CRITERIOS!$S$79:$S$123)),0)*[1]CRITERIOS!$M$80*([1]CRITERIOS!$M$110/[1]CRITERIOS!$M$86)+(_xlfn.XLOOKUP(A502,'[1]DATOS PBI Artículos'!$A$4:$A$4,'[1]DATOS PBI Artículos'!$AA$4:$AA$4)*([1]CRITERIOS!$M$95+[1]CRITERIOS!$M$98)))/N502)</f>
        <v>#N/A</v>
      </c>
      <c r="AD502" s="33" t="e">
        <f>IF(N502=0,"",(ROUNDUP((N502/2)/(_xlfn.XLOOKUP(A502,'[1]DATOS PBI Artículos'!$A$4:$A$4,'[1]DATOS PBI Artículos'!$Z$4:$Z$4)*_xlfn.XLOOKUP(_xlfn.XLOOKUP(A502,'[1]DATOS PBI Artículos'!$A$4:$A$4,'[1]DATOS PBI Artículos'!$Y$4:$Y$4),[1]CRITERIOS!$P$79:$P$123,[1]CRITERIOS!$S$79:$S$123)),0)*[1]CRITERIOS!$M$80*([1]CRITERIOS!$M$89*[1]CRITERIOS!$M$92)+((_xlfn.XLOOKUP(A502,'[1]DATOS PBI Artículos'!$A$4:$A$4,'[1]DATOS PBI Artículos'!$AA$4:$AA$4)/2)*([1]CRITERIOS!$M$95+[1]CRITERIOS!$M$98)))/N502)</f>
        <v>#N/A</v>
      </c>
      <c r="AE502" s="39" t="e">
        <f>IF($R502="MTO","",
IF($H502=0,ROUNDUP(((_xlfn.XLOOKUP($A502,'[1]DATOS PBI Artículos'!$A:$A,'[1]DATOS PBI Artículos'!$AL:$AL))/(_xlfn.XLOOKUP($AF$1,[1]CRITERIOS!$S$16:$S$39,[1]CRITERIOS!$Y$16:$Y$39))*$J502+$Z502)/$G502,0)*$G502,
((_xlfn.XLOOKUP($A502,'[1]DATOS PBI Artículos'!$A:$A,'[1]DATOS PBI Artículos'!$AL:$AL))/(_xlfn.XLOOKUP($AF$1,[1]CRITERIOS!$S$16:$S$39,[1]CRITERIOS!$Y$16:$Y$39))*$J502+$Z502)))</f>
        <v>#N/A</v>
      </c>
      <c r="AG502" s="39" t="e">
        <f>IF($R502="MTO","",
IF($H502=0,ROUNDUP(((_xlfn.XLOOKUP($A502,'[1]DATOS PBI Artículos'!$A:$A,'[1]DATOS PBI Artículos'!$AM:$AM))/(_xlfn.XLOOKUP($AH$1,[1]CRITERIOS!$S$16:$S$39,[1]CRITERIOS!$Y$16:$Y$39))*$J502+$Z502)/$G502,0)*$G502,
((_xlfn.XLOOKUP($A502,'[1]DATOS PBI Artículos'!$A:$A,'[1]DATOS PBI Artículos'!$AM:$AM))/(_xlfn.XLOOKUP($AH$1,[1]CRITERIOS!$S$16:$S$39,[1]CRITERIOS!$Y$16:$Y$39))*$J502+$Z502)))</f>
        <v>#N/A</v>
      </c>
      <c r="AI502" s="39" t="e">
        <f>IF($R502="MTO","",
IF($H502=0,ROUNDUP(((_xlfn.XLOOKUP($A502,'[1]DATOS PBI Artículos'!$A:$A,'[1]DATOS PBI Artículos'!$AN:$AN))/(_xlfn.XLOOKUP($AJ$1,[1]CRITERIOS!$S$16:$S$39,[1]CRITERIOS!$Y$16:$Y$39))*$J502+$Z502)/$G502,0)*$G502,
((_xlfn.XLOOKUP($A502,'[1]DATOS PBI Artículos'!$A:$A,'[1]DATOS PBI Artículos'!$AN:$AN))/(_xlfn.XLOOKUP($AJ$1,[1]CRITERIOS!$S$16:$S$39,[1]CRITERIOS!$Y$16:$Y$39))*$J502+$Z502)))</f>
        <v>#N/A</v>
      </c>
      <c r="AK502" s="39" t="e">
        <f>IF($R502="MTO","",
IF($H502=0,ROUNDUP(((_xlfn.XLOOKUP($A502,'[1]DATOS PBI Artículos'!$A:$A,'[1]DATOS PBI Artículos'!$AO:$AO))/(_xlfn.XLOOKUP($AL$1,[1]CRITERIOS!$S$16:$S$39,[1]CRITERIOS!$Y$16:$Y$39))*$J502+$Z502)/$G502,0)*$G502,
((_xlfn.XLOOKUP($A502,'[1]DATOS PBI Artículos'!$A:$A,'[1]DATOS PBI Artículos'!$AO:$AO))/(_xlfn.XLOOKUP($AL$1,[1]CRITERIOS!$S$16:$S$39,[1]CRITERIOS!$Y$16:$Y$39))*$J502+$Z502)))</f>
        <v>#N/A</v>
      </c>
    </row>
    <row r="503" spans="1:37" ht="25.8" hidden="1" x14ac:dyDescent="0.4">
      <c r="A503" s="41"/>
      <c r="B503" s="33">
        <f>_xlfn.XLOOKUP($A503,'[1]DATOS PBI Artículos'!A:A,'[1]DATOS PBI Artículos'!B:B)</f>
        <v>0</v>
      </c>
      <c r="C503" s="33">
        <f>_xlfn.XLOOKUP($A503,'[1]DATOS PBI Artículos'!A:A,'[1]DATOS PBI Artículos'!C:C)</f>
        <v>0</v>
      </c>
      <c r="D503" s="33">
        <f>_xlfn.XLOOKUP(A503,'[1]DATOS PBI Artículos'!A:A,'[1]DATOS PBI Artículos'!T:T)</f>
        <v>0</v>
      </c>
      <c r="E503" s="34">
        <f>IF(_xlfn.XLOOKUP($A503,'[1]DATOS PBI Artículos'!A:A,'[1]DATOS PBI Artículos'!AK:AK)="",_xlfn.XLOOKUP($A503,'[1]DATOS PBI Artículos'!A:A,'[1]DATOS PBI Artículos'!AJ:AJ),_xlfn.XLOOKUP($A503,'[1]DATOS PBI Artículos'!A:A,'[1]DATOS PBI Artículos'!AK:AK))</f>
        <v>0</v>
      </c>
      <c r="F503" s="35">
        <f>_xlfn.XLOOKUP($A503,'[1]DATOS PBI Artículos'!A:A,'[1]DATOS PBI Artículos'!AP:AP)</f>
        <v>0</v>
      </c>
      <c r="G503" s="34">
        <f>_xlfn.XLOOKUP($A503,'[1]DATOS PBI Artículos'!A:A,'[1]DATOS PBI Artículos'!AR:AR)</f>
        <v>0</v>
      </c>
      <c r="H503" s="34">
        <f>_xlfn.XLOOKUP($A503,'[1]DATOS PBI Artículos'!A:A,'[1]DATOS PBI Artículos'!AT:AT)</f>
        <v>0</v>
      </c>
      <c r="I503" s="34">
        <f>_xlfn.XLOOKUP($A503,'[1]DATOS PBI Artículos'!A:A,'[1]DATOS PBI Artículos'!AS:AS)</f>
        <v>0</v>
      </c>
      <c r="J503" s="35">
        <f>IF(COUNTIF([1]CRITERIOS!$F$179:$F$199,$A503)&gt;=1,
 IF(O503&lt;&gt;"",
    (O503/_xlfn.XLOOKUP(CONCATENATE(A503,L503),[1]MÁQUINAS!A:A,[1]MÁQUINAS!D:D))/24,
    (N503/_xlfn.XLOOKUP(CONCATENATE(A503,L503),[1]MÁQUINAS!A:A,[1]MÁQUINAS!D:D))/24),
  _xlfn.XLOOKUP($A503,'[1]DATOS PBI Artículos'!A:A,'[1]DATOS PBI Artículos'!AU:AU))</f>
        <v>0</v>
      </c>
      <c r="K503" s="36">
        <f>_xlfn.XLOOKUP($A503,'[1]DATOS PBI Artículos'!A:A,'[1]DATOS PBI Artículos'!AV:AV)</f>
        <v>0</v>
      </c>
      <c r="L503" s="33">
        <f>_xlfn.XLOOKUP(A503,[1]MÁQUINAS!B:B,[1]MÁQUINAS!C:C)</f>
        <v>0</v>
      </c>
      <c r="M503" s="34">
        <f t="array" ref="M503">_xlfn.XLOOKUP(A503,'[1]DATOS PBI Artículos'!A:A,'[1]DATOS PBI Artículos'!AX:$AX)</f>
        <v>0</v>
      </c>
      <c r="N503" s="37" t="e">
        <f>IF(I503="DV",
E503,
IF(COUNTIF([1]CRITERIOS!$I$179:$I$199,$A503)&gt;=1,
_xlfn.XLOOKUP($A503,[1]CRITERIOS!$I$179:$I$199,[1]CRITERIOS!$J$179:$J$199),
IF(COUNTIF([1]CRITERIOS!$L$179:$L$199,$A503)&gt;=1,
_xlfn.CEILING.MATH(IF($M503&gt;$E503,
$E503,
IF($M503&lt;$E503/ROUNDDOWN([1]CRITERIOS!$M$16/_xlfn.XLOOKUP($C503,[1]CRITERIOS!$K$25:$K$42,[1]CRITERIOS!$M$25:$M$42),
1),
E503/ROUNDDOWN([1]CRITERIOS!$M$16/_xlfn.XLOOKUP($C503,[1]CRITERIOS!$K$25:$K$42,[1]CRITERIOS!$M$25:$M$42),
1),
$M503)),
_xlfn.XLOOKUP($A503,[1]CRITERIOS!$L$179:$L$200,[1]CRITERIOS!$M$179:$M$200)),
_xlfn.CEILING.MATH(IF($M503&gt;$E503,
$E503,
IF($M503&lt;$E503/ROUNDDOWN([1]CRITERIOS!$M$16/_xlfn.XLOOKUP($C503,[1]CRITERIOS!$K$25:$K$42,[1]CRITERIOS!$M$25:$M$42),
1),
E503/ROUNDDOWN([1]CRITERIOS!$M$16/_xlfn.XLOOKUP($C503,[1]CRITERIOS!$K$25:$K$42,[1]CRITERIOS!$M$25:$M$42),
1),
$M503)),_xlfn.XLOOKUP(A503,'[1]DATOS PBI Artículos'!A:A,'[1]DATOS PBI Artículos'!Z:Z
)))))</f>
        <v>#N/A</v>
      </c>
      <c r="Q503" s="38" t="e">
        <f>IF(AND(O503="",N503=0),
0,
   IF(COUNTIF([1]CRITERIOS!$F$179:$F$199,$A503)&gt;=1,
   1,
   IF(R503="MTO",
      $D503,
      ROUNDUP(
                    IF(($E503-SUMIF('[1]DATOS PBI Artículos'!A:A,A503,'[1]DATOS PBI Artículos'!X:X)+($V503-_xlfn.XLOOKUP(A503,'[1]DATOS PBI Artículos'!A:A,'[1]DATOS PBI Artículos'!W:W)))&lt;0,
                    0,
                    IF(($E503-SUMIF('[1]DATOS PBI Artículos'!A:A,A503,'[1]DATOS PBI Artículos'!X:X)+$V503-_xlfn.XLOOKUP($A503,'[1]DATOS PBI Artículos'!A:A,'[1]DATOS PBI Artículos'!W:W))/IF($O503="",$N503,$O503)&gt;ROUNDUP([1]CRITERIOS!$M$16/(IF(COUNTIF([1]CRITERIOS!$BG$11:$BG$201,L503)&gt;=1,_xlfn.XLOOKUP($C503,[1]CRITERIOS!$K$25:$K$42,[1]CRITERIOS!$M$25:$M$42),_xlfn.XLOOKUP($C503,[1]CRITERIOS!$K$25:$K$42,[1]CRITERIOS!$M$25:$M$42))),0),
                    ROUNDUP([1]CRITERIOS!$M$16/(IF(COUNTIF([1]CRITERIOS!$BG$11:$BG$201,$L503)&gt;=1,_xlfn.XLOOKUP($C503,[1]CRITERIOS!$K$25:$K$42,[1]CRITERIOS!$M$25:$M$42),_xlfn.XLOOKUP($C503,[1]CRITERIOS!$K$25:$K$42,[1]CRITERIOS!$M$25:$M$42))),0),
                    (E503+V503-SUMIF('[1]DATOS PBI Artículos'!A:A,A503,'[1]DATOS PBI Artículos'!X:X)-_xlfn.XLOOKUP(A503,'[1]DATOS PBI Artículos'!A:A,'[1]DATOS PBI Artículos'!W:W))/IF($O503="",$N503,$O503))),0))))</f>
        <v>#N/A</v>
      </c>
      <c r="R503" s="33" t="e">
        <f>IF(U503&lt;&gt;"",U503,IF(F503="DV","MTO",IF(N503=0,"MTO",_xlfn.XLOOKUP(CONCATENATE(S503,T503),[1]CRITERIOS!$K$160:$K$168,[1]CRITERIOS!$N$160:$N$168))))</f>
        <v>#N/A</v>
      </c>
      <c r="S503" s="33" t="e">
        <f>IF(G503="DV","MTO",IF(N503=0,"MTO",IF(OR(AND(N503=0,O503=""),IF(O503="",G503/N503,G503/O503)&gt;[1]CRITERIOS!$G$163),"MTO",IF(IF(O503="",G503/N503,G503/O503)&lt;[1]CRITERIOS!$H$161,"MTS","MTOS"))))</f>
        <v>#N/A</v>
      </c>
      <c r="T503" s="33" t="e">
        <f>IF(F503="DV","MTO",IF(OR(AND($N503=0,O503=""),$F503/$J503&gt;[1]CRITERIOS!$G$170,$F503="DV"),"MTO",IF($F503/$J503&lt;[1]CRITERIOS!$H$168,"MTS","MTOS")))</f>
        <v>#N/A</v>
      </c>
      <c r="V503" s="34" t="e">
        <f t="shared" si="25"/>
        <v>#N/A</v>
      </c>
      <c r="X503" s="34" t="e">
        <f t="shared" si="23"/>
        <v>#N/A</v>
      </c>
      <c r="Y503" s="34" t="e">
        <f t="shared" si="24"/>
        <v>#N/A</v>
      </c>
      <c r="Z503" s="34" t="e">
        <f>IF($R503="MTO",
0,
($H503+$K503*($E503/[1]CRITERIOS!$M$16))/[1]CRITERIOS!$X$48)</f>
        <v>#N/A</v>
      </c>
      <c r="AA503" s="34" t="e">
        <f>ROUNDUP(($Y503/_xlfn.XLOOKUP($A503,'[1]DATOS PBI Artículos'!$A$4:$A$4,'[1]DATOS PBI Artículos'!$Z$4:$Z$4))/_xlfn.XLOOKUP(_xlfn.XLOOKUP($A503,'[1]DATOS PBI Artículos'!$A$4:$A$4,'[1]DATOS PBI Artículos'!$Y$4:$Y$4),[1]CRITERIOS!$P$79:$P$123,[1]CRITERIOS!$S$79:$S$123,),0)</f>
        <v>#N/A</v>
      </c>
      <c r="AB503" s="33" t="e">
        <f t="array" ref="AB503">IF((E503+V503-_xlfn.XLOOKUP(A503,'[1]DATOS PBI Artículos'!$A$4:$A$4,'[1]DATOS PBI Artículos'!$W$4:$W$4))/N503&gt;ROUNDUP([1]CRITERIOS!$M$16/(IF(COUNTIF([1]CRITERIOS!$BG$11:$BG$201,L503)&gt;=1,_xlfn.XLOOKUP(ARTÍCULOS!L503,[1]CRITERIOS!$BG$11:$BG$201,[1]CRITERIOS!$BJ$11:$BJ$201),_xlfn.XLOOKUP(ARTÍCULOS!C503,[1]CRITERIOS!$K$25:$K$42,[1]CRITERIOS!$M$25:$M$42))),0),ROUNDUP([1]CRITERIOS!$M$16/(IF(COUNTIF([1]CRITERIOS!$BG$11:$BG$201,L503)&gt;=1,_xlfn.XLOOKUP(ARTÍCULOS!L503,[1]CRITERIOS!$BG$11:$BG$201:#REF!,[1]CRITERIOS!$BJ$11:$BJ$201),_xlfn.XLOOKUP(ARTÍCULOS!C503,[1]CRITERIOS!$K$25:$K$42,[1]CRITERIOS!$M$25:$M$42))),0),(E503+V503-_xlfn.XLOOKUP(A503,'[1]DATOS PBI Artículos'!$A$4:$A$4,'[1]DATOS PBI Artículos'!$W$4:$W$4))/N503)</f>
        <v>#N/A</v>
      </c>
      <c r="AC503" s="33" t="e">
        <f>IF(N503=0,"",(ROUNDUP((N503/2)/(_xlfn.XLOOKUP(A503,'[1]DATOS PBI Artículos'!$A$4:$A$4,'[1]DATOS PBI Artículos'!$Z$4:$Z$4)*_xlfn.XLOOKUP(_xlfn.XLOOKUP(A503,'[1]DATOS PBI Artículos'!$A$4:$A$4,'[1]DATOS PBI Artículos'!$Y$4:$Y$4),[1]CRITERIOS!$P$79:$P$123,[1]CRITERIOS!$S$79:$S$123)),0)*[1]CRITERIOS!$M$80*([1]CRITERIOS!$M$110/[1]CRITERIOS!$M$86)+(_xlfn.XLOOKUP(A503,'[1]DATOS PBI Artículos'!$A$4:$A$4,'[1]DATOS PBI Artículos'!$AA$4:$AA$4)*([1]CRITERIOS!$M$95+[1]CRITERIOS!$M$98)))/N503)</f>
        <v>#N/A</v>
      </c>
      <c r="AD503" s="33" t="e">
        <f>IF(N503=0,"",(ROUNDUP((N503/2)/(_xlfn.XLOOKUP(A503,'[1]DATOS PBI Artículos'!$A$4:$A$4,'[1]DATOS PBI Artículos'!$Z$4:$Z$4)*_xlfn.XLOOKUP(_xlfn.XLOOKUP(A503,'[1]DATOS PBI Artículos'!$A$4:$A$4,'[1]DATOS PBI Artículos'!$Y$4:$Y$4),[1]CRITERIOS!$P$79:$P$123,[1]CRITERIOS!$S$79:$S$123)),0)*[1]CRITERIOS!$M$80*([1]CRITERIOS!$M$89*[1]CRITERIOS!$M$92)+((_xlfn.XLOOKUP(A503,'[1]DATOS PBI Artículos'!$A$4:$A$4,'[1]DATOS PBI Artículos'!$AA$4:$AA$4)/2)*([1]CRITERIOS!$M$95+[1]CRITERIOS!$M$98)))/N503)</f>
        <v>#N/A</v>
      </c>
      <c r="AE503" s="39" t="e">
        <f>IF($R503="MTO","",
IF($H503=0,ROUNDUP(((_xlfn.XLOOKUP($A503,'[1]DATOS PBI Artículos'!$A:$A,'[1]DATOS PBI Artículos'!$AL:$AL))/(_xlfn.XLOOKUP($AF$1,[1]CRITERIOS!$S$16:$S$39,[1]CRITERIOS!$Y$16:$Y$39))*$J503+$Z503)/$G503,0)*$G503,
((_xlfn.XLOOKUP($A503,'[1]DATOS PBI Artículos'!$A:$A,'[1]DATOS PBI Artículos'!$AL:$AL))/(_xlfn.XLOOKUP($AF$1,[1]CRITERIOS!$S$16:$S$39,[1]CRITERIOS!$Y$16:$Y$39))*$J503+$Z503)))</f>
        <v>#N/A</v>
      </c>
      <c r="AG503" s="39" t="e">
        <f>IF($R503="MTO","",
IF($H503=0,ROUNDUP(((_xlfn.XLOOKUP($A503,'[1]DATOS PBI Artículos'!$A:$A,'[1]DATOS PBI Artículos'!$AM:$AM))/(_xlfn.XLOOKUP($AH$1,[1]CRITERIOS!$S$16:$S$39,[1]CRITERIOS!$Y$16:$Y$39))*$J503+$Z503)/$G503,0)*$G503,
((_xlfn.XLOOKUP($A503,'[1]DATOS PBI Artículos'!$A:$A,'[1]DATOS PBI Artículos'!$AM:$AM))/(_xlfn.XLOOKUP($AH$1,[1]CRITERIOS!$S$16:$S$39,[1]CRITERIOS!$Y$16:$Y$39))*$J503+$Z503)))</f>
        <v>#N/A</v>
      </c>
      <c r="AI503" s="39" t="e">
        <f>IF($R503="MTO","",
IF($H503=0,ROUNDUP(((_xlfn.XLOOKUP($A503,'[1]DATOS PBI Artículos'!$A:$A,'[1]DATOS PBI Artículos'!$AN:$AN))/(_xlfn.XLOOKUP($AJ$1,[1]CRITERIOS!$S$16:$S$39,[1]CRITERIOS!$Y$16:$Y$39))*$J503+$Z503)/$G503,0)*$G503,
((_xlfn.XLOOKUP($A503,'[1]DATOS PBI Artículos'!$A:$A,'[1]DATOS PBI Artículos'!$AN:$AN))/(_xlfn.XLOOKUP($AJ$1,[1]CRITERIOS!$S$16:$S$39,[1]CRITERIOS!$Y$16:$Y$39))*$J503+$Z503)))</f>
        <v>#N/A</v>
      </c>
      <c r="AK503" s="39" t="e">
        <f>IF($R503="MTO","",
IF($H503=0,ROUNDUP(((_xlfn.XLOOKUP($A503,'[1]DATOS PBI Artículos'!$A:$A,'[1]DATOS PBI Artículos'!$AO:$AO))/(_xlfn.XLOOKUP($AL$1,[1]CRITERIOS!$S$16:$S$39,[1]CRITERIOS!$Y$16:$Y$39))*$J503+$Z503)/$G503,0)*$G503,
((_xlfn.XLOOKUP($A503,'[1]DATOS PBI Artículos'!$A:$A,'[1]DATOS PBI Artículos'!$AO:$AO))/(_xlfn.XLOOKUP($AL$1,[1]CRITERIOS!$S$16:$S$39,[1]CRITERIOS!$Y$16:$Y$39))*$J503+$Z503)))</f>
        <v>#N/A</v>
      </c>
    </row>
    <row r="504" spans="1:37" ht="25.8" hidden="1" x14ac:dyDescent="0.4">
      <c r="A504" s="41"/>
      <c r="B504" s="33">
        <f>_xlfn.XLOOKUP($A504,'[1]DATOS PBI Artículos'!A:A,'[1]DATOS PBI Artículos'!B:B)</f>
        <v>0</v>
      </c>
      <c r="C504" s="33">
        <f>_xlfn.XLOOKUP($A504,'[1]DATOS PBI Artículos'!A:A,'[1]DATOS PBI Artículos'!C:C)</f>
        <v>0</v>
      </c>
      <c r="D504" s="33">
        <f>_xlfn.XLOOKUP(A504,'[1]DATOS PBI Artículos'!A:A,'[1]DATOS PBI Artículos'!T:T)</f>
        <v>0</v>
      </c>
      <c r="E504" s="34">
        <f>IF(_xlfn.XLOOKUP($A504,'[1]DATOS PBI Artículos'!A:A,'[1]DATOS PBI Artículos'!AK:AK)="",_xlfn.XLOOKUP($A504,'[1]DATOS PBI Artículos'!A:A,'[1]DATOS PBI Artículos'!AJ:AJ),_xlfn.XLOOKUP($A504,'[1]DATOS PBI Artículos'!A:A,'[1]DATOS PBI Artículos'!AK:AK))</f>
        <v>0</v>
      </c>
      <c r="F504" s="35">
        <f>_xlfn.XLOOKUP($A504,'[1]DATOS PBI Artículos'!A:A,'[1]DATOS PBI Artículos'!AP:AP)</f>
        <v>0</v>
      </c>
      <c r="G504" s="34">
        <f>_xlfn.XLOOKUP($A504,'[1]DATOS PBI Artículos'!A:A,'[1]DATOS PBI Artículos'!AR:AR)</f>
        <v>0</v>
      </c>
      <c r="H504" s="34">
        <f>_xlfn.XLOOKUP($A504,'[1]DATOS PBI Artículos'!A:A,'[1]DATOS PBI Artículos'!AT:AT)</f>
        <v>0</v>
      </c>
      <c r="I504" s="34">
        <f>_xlfn.XLOOKUP($A504,'[1]DATOS PBI Artículos'!A:A,'[1]DATOS PBI Artículos'!AS:AS)</f>
        <v>0</v>
      </c>
      <c r="J504" s="35">
        <f>IF(COUNTIF([1]CRITERIOS!$F$179:$F$199,$A504)&gt;=1,
 IF(O504&lt;&gt;"",
    (O504/_xlfn.XLOOKUP(CONCATENATE(A504,L504),[1]MÁQUINAS!A:A,[1]MÁQUINAS!D:D))/24,
    (N504/_xlfn.XLOOKUP(CONCATENATE(A504,L504),[1]MÁQUINAS!A:A,[1]MÁQUINAS!D:D))/24),
  _xlfn.XLOOKUP($A504,'[1]DATOS PBI Artículos'!A:A,'[1]DATOS PBI Artículos'!AU:AU))</f>
        <v>0</v>
      </c>
      <c r="K504" s="36">
        <f>_xlfn.XLOOKUP($A504,'[1]DATOS PBI Artículos'!A:A,'[1]DATOS PBI Artículos'!AV:AV)</f>
        <v>0</v>
      </c>
      <c r="L504" s="33">
        <f>_xlfn.XLOOKUP(A504,[1]MÁQUINAS!B:B,[1]MÁQUINAS!C:C)</f>
        <v>0</v>
      </c>
      <c r="M504" s="34">
        <f t="array" ref="M504">_xlfn.XLOOKUP(A504,'[1]DATOS PBI Artículos'!A:A,'[1]DATOS PBI Artículos'!AX:$AX)</f>
        <v>0</v>
      </c>
      <c r="N504" s="37" t="e">
        <f>IF(I504="DV",
E504,
IF(COUNTIF([1]CRITERIOS!$I$179:$I$199,$A504)&gt;=1,
_xlfn.XLOOKUP($A504,[1]CRITERIOS!$I$179:$I$199,[1]CRITERIOS!$J$179:$J$199),
IF(COUNTIF([1]CRITERIOS!$L$179:$L$199,$A504)&gt;=1,
_xlfn.CEILING.MATH(IF($M504&gt;$E504,
$E504,
IF($M504&lt;$E504/ROUNDDOWN([1]CRITERIOS!$M$16/_xlfn.XLOOKUP($C504,[1]CRITERIOS!$K$25:$K$42,[1]CRITERIOS!$M$25:$M$42),
1),
E504/ROUNDDOWN([1]CRITERIOS!$M$16/_xlfn.XLOOKUP($C504,[1]CRITERIOS!$K$25:$K$42,[1]CRITERIOS!$M$25:$M$42),
1),
$M504)),
_xlfn.XLOOKUP($A504,[1]CRITERIOS!$L$179:$L$200,[1]CRITERIOS!$M$179:$M$200)),
_xlfn.CEILING.MATH(IF($M504&gt;$E504,
$E504,
IF($M504&lt;$E504/ROUNDDOWN([1]CRITERIOS!$M$16/_xlfn.XLOOKUP($C504,[1]CRITERIOS!$K$25:$K$42,[1]CRITERIOS!$M$25:$M$42),
1),
E504/ROUNDDOWN([1]CRITERIOS!$M$16/_xlfn.XLOOKUP($C504,[1]CRITERIOS!$K$25:$K$42,[1]CRITERIOS!$M$25:$M$42),
1),
$M504)),_xlfn.XLOOKUP(A504,'[1]DATOS PBI Artículos'!A:A,'[1]DATOS PBI Artículos'!Z:Z
)))))</f>
        <v>#N/A</v>
      </c>
      <c r="Q504" s="38" t="e">
        <f>IF(AND(O504="",N504=0),
0,
   IF(COUNTIF([1]CRITERIOS!$F$179:$F$199,$A504)&gt;=1,
   1,
   IF(R504="MTO",
      $D504,
      ROUNDUP(
                    IF(($E504-SUMIF('[1]DATOS PBI Artículos'!A:A,A504,'[1]DATOS PBI Artículos'!X:X)+($V504-_xlfn.XLOOKUP(A504,'[1]DATOS PBI Artículos'!A:A,'[1]DATOS PBI Artículos'!W:W)))&lt;0,
                    0,
                    IF(($E504-SUMIF('[1]DATOS PBI Artículos'!A:A,A504,'[1]DATOS PBI Artículos'!X:X)+$V504-_xlfn.XLOOKUP($A504,'[1]DATOS PBI Artículos'!A:A,'[1]DATOS PBI Artículos'!W:W))/IF($O504="",$N504,$O504)&gt;ROUNDUP([1]CRITERIOS!$M$16/(IF(COUNTIF([1]CRITERIOS!$BG$11:$BG$201,L504)&gt;=1,_xlfn.XLOOKUP($C504,[1]CRITERIOS!$K$25:$K$42,[1]CRITERIOS!$M$25:$M$42),_xlfn.XLOOKUP($C504,[1]CRITERIOS!$K$25:$K$42,[1]CRITERIOS!$M$25:$M$42))),0),
                    ROUNDUP([1]CRITERIOS!$M$16/(IF(COUNTIF([1]CRITERIOS!$BG$11:$BG$201,$L504)&gt;=1,_xlfn.XLOOKUP($C504,[1]CRITERIOS!$K$25:$K$42,[1]CRITERIOS!$M$25:$M$42),_xlfn.XLOOKUP($C504,[1]CRITERIOS!$K$25:$K$42,[1]CRITERIOS!$M$25:$M$42))),0),
                    (E504+V504-SUMIF('[1]DATOS PBI Artículos'!A:A,A504,'[1]DATOS PBI Artículos'!X:X)-_xlfn.XLOOKUP(A504,'[1]DATOS PBI Artículos'!A:A,'[1]DATOS PBI Artículos'!W:W))/IF($O504="",$N504,$O504))),0))))</f>
        <v>#N/A</v>
      </c>
      <c r="R504" s="33" t="e">
        <f>IF(U504&lt;&gt;"",U504,IF(F504="DV","MTO",IF(N504=0,"MTO",_xlfn.XLOOKUP(CONCATENATE(S504,T504),[1]CRITERIOS!$K$160:$K$168,[1]CRITERIOS!$N$160:$N$168))))</f>
        <v>#N/A</v>
      </c>
      <c r="S504" s="33" t="e">
        <f>IF(G504="DV","MTO",IF(N504=0,"MTO",IF(OR(AND(N504=0,O504=""),IF(O504="",G504/N504,G504/O504)&gt;[1]CRITERIOS!$G$163),"MTO",IF(IF(O504="",G504/N504,G504/O504)&lt;[1]CRITERIOS!$H$161,"MTS","MTOS"))))</f>
        <v>#N/A</v>
      </c>
      <c r="T504" s="33" t="e">
        <f>IF(F504="DV","MTO",IF(OR(AND($N504=0,O504=""),$F504/$J504&gt;[1]CRITERIOS!$G$170,$F504="DV"),"MTO",IF($F504/$J504&lt;[1]CRITERIOS!$H$168,"MTS","MTOS")))</f>
        <v>#N/A</v>
      </c>
      <c r="V504" s="34" t="e">
        <f t="shared" si="25"/>
        <v>#N/A</v>
      </c>
      <c r="X504" s="34" t="e">
        <f t="shared" si="23"/>
        <v>#N/A</v>
      </c>
      <c r="Y504" s="34" t="e">
        <f t="shared" si="24"/>
        <v>#N/A</v>
      </c>
      <c r="Z504" s="34" t="e">
        <f>IF($R504="MTO",
0,
($H504+$K504*($E504/[1]CRITERIOS!$M$16))/[1]CRITERIOS!$X$48)</f>
        <v>#N/A</v>
      </c>
      <c r="AA504" s="34" t="e">
        <f>ROUNDUP(($Y504/_xlfn.XLOOKUP($A504,'[1]DATOS PBI Artículos'!$A$4:$A$4,'[1]DATOS PBI Artículos'!$Z$4:$Z$4))/_xlfn.XLOOKUP(_xlfn.XLOOKUP($A504,'[1]DATOS PBI Artículos'!$A$4:$A$4,'[1]DATOS PBI Artículos'!$Y$4:$Y$4),[1]CRITERIOS!$P$79:$P$123,[1]CRITERIOS!$S$79:$S$123,),0)</f>
        <v>#N/A</v>
      </c>
      <c r="AB504" s="33" t="e">
        <f t="array" ref="AB504">IF((E504+V504-_xlfn.XLOOKUP(A504,'[1]DATOS PBI Artículos'!$A$4:$A$4,'[1]DATOS PBI Artículos'!$W$4:$W$4))/N504&gt;ROUNDUP([1]CRITERIOS!$M$16/(IF(COUNTIF([1]CRITERIOS!$BG$11:$BG$201,L504)&gt;=1,_xlfn.XLOOKUP(ARTÍCULOS!L504,[1]CRITERIOS!$BG$11:$BG$201,[1]CRITERIOS!$BJ$11:$BJ$201),_xlfn.XLOOKUP(ARTÍCULOS!C504,[1]CRITERIOS!$K$25:$K$42,[1]CRITERIOS!$M$25:$M$42))),0),ROUNDUP([1]CRITERIOS!$M$16/(IF(COUNTIF([1]CRITERIOS!$BG$11:$BG$201,L504)&gt;=1,_xlfn.XLOOKUP(ARTÍCULOS!L504,[1]CRITERIOS!$BG$11:$BG$201:#REF!,[1]CRITERIOS!$BJ$11:$BJ$201),_xlfn.XLOOKUP(ARTÍCULOS!C504,[1]CRITERIOS!$K$25:$K$42,[1]CRITERIOS!$M$25:$M$42))),0),(E504+V504-_xlfn.XLOOKUP(A504,'[1]DATOS PBI Artículos'!$A$4:$A$4,'[1]DATOS PBI Artículos'!$W$4:$W$4))/N504)</f>
        <v>#N/A</v>
      </c>
      <c r="AC504" s="33" t="e">
        <f>IF(N504=0,"",(ROUNDUP((N504/2)/(_xlfn.XLOOKUP(A504,'[1]DATOS PBI Artículos'!$A$4:$A$4,'[1]DATOS PBI Artículos'!$Z$4:$Z$4)*_xlfn.XLOOKUP(_xlfn.XLOOKUP(A504,'[1]DATOS PBI Artículos'!$A$4:$A$4,'[1]DATOS PBI Artículos'!$Y$4:$Y$4),[1]CRITERIOS!$P$79:$P$123,[1]CRITERIOS!$S$79:$S$123)),0)*[1]CRITERIOS!$M$80*([1]CRITERIOS!$M$110/[1]CRITERIOS!$M$86)+(_xlfn.XLOOKUP(A504,'[1]DATOS PBI Artículos'!$A$4:$A$4,'[1]DATOS PBI Artículos'!$AA$4:$AA$4)*([1]CRITERIOS!$M$95+[1]CRITERIOS!$M$98)))/N504)</f>
        <v>#N/A</v>
      </c>
      <c r="AD504" s="33" t="e">
        <f>IF(N504=0,"",(ROUNDUP((N504/2)/(_xlfn.XLOOKUP(A504,'[1]DATOS PBI Artículos'!$A$4:$A$4,'[1]DATOS PBI Artículos'!$Z$4:$Z$4)*_xlfn.XLOOKUP(_xlfn.XLOOKUP(A504,'[1]DATOS PBI Artículos'!$A$4:$A$4,'[1]DATOS PBI Artículos'!$Y$4:$Y$4),[1]CRITERIOS!$P$79:$P$123,[1]CRITERIOS!$S$79:$S$123)),0)*[1]CRITERIOS!$M$80*([1]CRITERIOS!$M$89*[1]CRITERIOS!$M$92)+((_xlfn.XLOOKUP(A504,'[1]DATOS PBI Artículos'!$A$4:$A$4,'[1]DATOS PBI Artículos'!$AA$4:$AA$4)/2)*([1]CRITERIOS!$M$95+[1]CRITERIOS!$M$98)))/N504)</f>
        <v>#N/A</v>
      </c>
      <c r="AE504" s="39" t="e">
        <f>IF($R504="MTO","",
IF($H504=0,ROUNDUP(((_xlfn.XLOOKUP($A504,'[1]DATOS PBI Artículos'!$A:$A,'[1]DATOS PBI Artículos'!$AL:$AL))/(_xlfn.XLOOKUP($AF$1,[1]CRITERIOS!$S$16:$S$39,[1]CRITERIOS!$Y$16:$Y$39))*$J504+$Z504)/$G504,0)*$G504,
((_xlfn.XLOOKUP($A504,'[1]DATOS PBI Artículos'!$A:$A,'[1]DATOS PBI Artículos'!$AL:$AL))/(_xlfn.XLOOKUP($AF$1,[1]CRITERIOS!$S$16:$S$39,[1]CRITERIOS!$Y$16:$Y$39))*$J504+$Z504)))</f>
        <v>#N/A</v>
      </c>
      <c r="AG504" s="39" t="e">
        <f>IF($R504="MTO","",
IF($H504=0,ROUNDUP(((_xlfn.XLOOKUP($A504,'[1]DATOS PBI Artículos'!$A:$A,'[1]DATOS PBI Artículos'!$AM:$AM))/(_xlfn.XLOOKUP($AH$1,[1]CRITERIOS!$S$16:$S$39,[1]CRITERIOS!$Y$16:$Y$39))*$J504+$Z504)/$G504,0)*$G504,
((_xlfn.XLOOKUP($A504,'[1]DATOS PBI Artículos'!$A:$A,'[1]DATOS PBI Artículos'!$AM:$AM))/(_xlfn.XLOOKUP($AH$1,[1]CRITERIOS!$S$16:$S$39,[1]CRITERIOS!$Y$16:$Y$39))*$J504+$Z504)))</f>
        <v>#N/A</v>
      </c>
      <c r="AI504" s="39" t="e">
        <f>IF($R504="MTO","",
IF($H504=0,ROUNDUP(((_xlfn.XLOOKUP($A504,'[1]DATOS PBI Artículos'!$A:$A,'[1]DATOS PBI Artículos'!$AN:$AN))/(_xlfn.XLOOKUP($AJ$1,[1]CRITERIOS!$S$16:$S$39,[1]CRITERIOS!$Y$16:$Y$39))*$J504+$Z504)/$G504,0)*$G504,
((_xlfn.XLOOKUP($A504,'[1]DATOS PBI Artículos'!$A:$A,'[1]DATOS PBI Artículos'!$AN:$AN))/(_xlfn.XLOOKUP($AJ$1,[1]CRITERIOS!$S$16:$S$39,[1]CRITERIOS!$Y$16:$Y$39))*$J504+$Z504)))</f>
        <v>#N/A</v>
      </c>
      <c r="AK504" s="39" t="e">
        <f>IF($R504="MTO","",
IF($H504=0,ROUNDUP(((_xlfn.XLOOKUP($A504,'[1]DATOS PBI Artículos'!$A:$A,'[1]DATOS PBI Artículos'!$AO:$AO))/(_xlfn.XLOOKUP($AL$1,[1]CRITERIOS!$S$16:$S$39,[1]CRITERIOS!$Y$16:$Y$39))*$J504+$Z504)/$G504,0)*$G504,
((_xlfn.XLOOKUP($A504,'[1]DATOS PBI Artículos'!$A:$A,'[1]DATOS PBI Artículos'!$AO:$AO))/(_xlfn.XLOOKUP($AL$1,[1]CRITERIOS!$S$16:$S$39,[1]CRITERIOS!$Y$16:$Y$39))*$J504+$Z504)))</f>
        <v>#N/A</v>
      </c>
    </row>
    <row r="505" spans="1:37" ht="25.8" hidden="1" x14ac:dyDescent="0.4">
      <c r="A505" s="41"/>
      <c r="B505" s="33">
        <f>_xlfn.XLOOKUP($A505,'[1]DATOS PBI Artículos'!A:A,'[1]DATOS PBI Artículos'!B:B)</f>
        <v>0</v>
      </c>
      <c r="C505" s="33">
        <f>_xlfn.XLOOKUP($A505,'[1]DATOS PBI Artículos'!A:A,'[1]DATOS PBI Artículos'!C:C)</f>
        <v>0</v>
      </c>
      <c r="D505" s="33">
        <f>_xlfn.XLOOKUP(A505,'[1]DATOS PBI Artículos'!A:A,'[1]DATOS PBI Artículos'!T:T)</f>
        <v>0</v>
      </c>
      <c r="E505" s="34">
        <f>IF(_xlfn.XLOOKUP($A505,'[1]DATOS PBI Artículos'!A:A,'[1]DATOS PBI Artículos'!AK:AK)="",_xlfn.XLOOKUP($A505,'[1]DATOS PBI Artículos'!A:A,'[1]DATOS PBI Artículos'!AJ:AJ),_xlfn.XLOOKUP($A505,'[1]DATOS PBI Artículos'!A:A,'[1]DATOS PBI Artículos'!AK:AK))</f>
        <v>0</v>
      </c>
      <c r="F505" s="35">
        <f>_xlfn.XLOOKUP($A505,'[1]DATOS PBI Artículos'!A:A,'[1]DATOS PBI Artículos'!AP:AP)</f>
        <v>0</v>
      </c>
      <c r="G505" s="34">
        <f>_xlfn.XLOOKUP($A505,'[1]DATOS PBI Artículos'!A:A,'[1]DATOS PBI Artículos'!AR:AR)</f>
        <v>0</v>
      </c>
      <c r="H505" s="34">
        <f>_xlfn.XLOOKUP($A505,'[1]DATOS PBI Artículos'!A:A,'[1]DATOS PBI Artículos'!AT:AT)</f>
        <v>0</v>
      </c>
      <c r="I505" s="34">
        <f>_xlfn.XLOOKUP($A505,'[1]DATOS PBI Artículos'!A:A,'[1]DATOS PBI Artículos'!AS:AS)</f>
        <v>0</v>
      </c>
      <c r="J505" s="35">
        <f>IF(COUNTIF([1]CRITERIOS!$F$179:$F$199,$A505)&gt;=1,
 IF(O505&lt;&gt;"",
    (O505/_xlfn.XLOOKUP(CONCATENATE(A505,L505),[1]MÁQUINAS!A:A,[1]MÁQUINAS!D:D))/24,
    (N505/_xlfn.XLOOKUP(CONCATENATE(A505,L505),[1]MÁQUINAS!A:A,[1]MÁQUINAS!D:D))/24),
  _xlfn.XLOOKUP($A505,'[1]DATOS PBI Artículos'!A:A,'[1]DATOS PBI Artículos'!AU:AU))</f>
        <v>0</v>
      </c>
      <c r="K505" s="36">
        <f>_xlfn.XLOOKUP($A505,'[1]DATOS PBI Artículos'!A:A,'[1]DATOS PBI Artículos'!AV:AV)</f>
        <v>0</v>
      </c>
      <c r="L505" s="33">
        <f>_xlfn.XLOOKUP(A505,[1]MÁQUINAS!B:B,[1]MÁQUINAS!C:C)</f>
        <v>0</v>
      </c>
      <c r="M505" s="34">
        <f t="array" ref="M505">_xlfn.XLOOKUP(A505,'[1]DATOS PBI Artículos'!A:A,'[1]DATOS PBI Artículos'!AX:$AX)</f>
        <v>0</v>
      </c>
      <c r="N505" s="37" t="e">
        <f>IF(I505="DV",
E505,
IF(COUNTIF([1]CRITERIOS!$I$179:$I$199,$A505)&gt;=1,
_xlfn.XLOOKUP($A505,[1]CRITERIOS!$I$179:$I$199,[1]CRITERIOS!$J$179:$J$199),
IF(COUNTIF([1]CRITERIOS!$L$179:$L$199,$A505)&gt;=1,
_xlfn.CEILING.MATH(IF($M505&gt;$E505,
$E505,
IF($M505&lt;$E505/ROUNDDOWN([1]CRITERIOS!$M$16/_xlfn.XLOOKUP($C505,[1]CRITERIOS!$K$25:$K$42,[1]CRITERIOS!$M$25:$M$42),
1),
E505/ROUNDDOWN([1]CRITERIOS!$M$16/_xlfn.XLOOKUP($C505,[1]CRITERIOS!$K$25:$K$42,[1]CRITERIOS!$M$25:$M$42),
1),
$M505)),
_xlfn.XLOOKUP($A505,[1]CRITERIOS!$L$179:$L$200,[1]CRITERIOS!$M$179:$M$200)),
_xlfn.CEILING.MATH(IF($M505&gt;$E505,
$E505,
IF($M505&lt;$E505/ROUNDDOWN([1]CRITERIOS!$M$16/_xlfn.XLOOKUP($C505,[1]CRITERIOS!$K$25:$K$42,[1]CRITERIOS!$M$25:$M$42),
1),
E505/ROUNDDOWN([1]CRITERIOS!$M$16/_xlfn.XLOOKUP($C505,[1]CRITERIOS!$K$25:$K$42,[1]CRITERIOS!$M$25:$M$42),
1),
$M505)),_xlfn.XLOOKUP(A505,'[1]DATOS PBI Artículos'!A:A,'[1]DATOS PBI Artículos'!Z:Z
)))))</f>
        <v>#N/A</v>
      </c>
      <c r="Q505" s="38" t="e">
        <f>IF(AND(O505="",N505=0),
0,
   IF(COUNTIF([1]CRITERIOS!$F$179:$F$199,$A505)&gt;=1,
   1,
   IF(R505="MTO",
      $D505,
      ROUNDUP(
                    IF(($E505-SUMIF('[1]DATOS PBI Artículos'!A:A,A505,'[1]DATOS PBI Artículos'!X:X)+($V505-_xlfn.XLOOKUP(A505,'[1]DATOS PBI Artículos'!A:A,'[1]DATOS PBI Artículos'!W:W)))&lt;0,
                    0,
                    IF(($E505-SUMIF('[1]DATOS PBI Artículos'!A:A,A505,'[1]DATOS PBI Artículos'!X:X)+$V505-_xlfn.XLOOKUP($A505,'[1]DATOS PBI Artículos'!A:A,'[1]DATOS PBI Artículos'!W:W))/IF($O505="",$N505,$O505)&gt;ROUNDUP([1]CRITERIOS!$M$16/(IF(COUNTIF([1]CRITERIOS!$BG$11:$BG$201,L505)&gt;=1,_xlfn.XLOOKUP($C505,[1]CRITERIOS!$K$25:$K$42,[1]CRITERIOS!$M$25:$M$42),_xlfn.XLOOKUP($C505,[1]CRITERIOS!$K$25:$K$42,[1]CRITERIOS!$M$25:$M$42))),0),
                    ROUNDUP([1]CRITERIOS!$M$16/(IF(COUNTIF([1]CRITERIOS!$BG$11:$BG$201,$L505)&gt;=1,_xlfn.XLOOKUP($C505,[1]CRITERIOS!$K$25:$K$42,[1]CRITERIOS!$M$25:$M$42),_xlfn.XLOOKUP($C505,[1]CRITERIOS!$K$25:$K$42,[1]CRITERIOS!$M$25:$M$42))),0),
                    (E505+V505-SUMIF('[1]DATOS PBI Artículos'!A:A,A505,'[1]DATOS PBI Artículos'!X:X)-_xlfn.XLOOKUP(A505,'[1]DATOS PBI Artículos'!A:A,'[1]DATOS PBI Artículos'!W:W))/IF($O505="",$N505,$O505))),0))))</f>
        <v>#N/A</v>
      </c>
      <c r="R505" s="33" t="e">
        <f>IF(U505&lt;&gt;"",U505,IF(F505="DV","MTO",IF(N505=0,"MTO",_xlfn.XLOOKUP(CONCATENATE(S505,T505),[1]CRITERIOS!$K$160:$K$168,[1]CRITERIOS!$N$160:$N$168))))</f>
        <v>#N/A</v>
      </c>
      <c r="S505" s="33" t="e">
        <f>IF(G505="DV","MTO",IF(N505=0,"MTO",IF(OR(AND(N505=0,O505=""),IF(O505="",G505/N505,G505/O505)&gt;[1]CRITERIOS!$G$163),"MTO",IF(IF(O505="",G505/N505,G505/O505)&lt;[1]CRITERIOS!$H$161,"MTS","MTOS"))))</f>
        <v>#N/A</v>
      </c>
      <c r="T505" s="33" t="e">
        <f>IF(F505="DV","MTO",IF(OR(AND($N505=0,O505=""),$F505/$J505&gt;[1]CRITERIOS!$G$170,$F505="DV"),"MTO",IF($F505/$J505&lt;[1]CRITERIOS!$H$168,"MTS","MTOS")))</f>
        <v>#N/A</v>
      </c>
      <c r="V505" s="34" t="e">
        <f t="shared" si="25"/>
        <v>#N/A</v>
      </c>
      <c r="X505" s="34" t="e">
        <f t="shared" si="23"/>
        <v>#N/A</v>
      </c>
      <c r="Y505" s="34" t="e">
        <f t="shared" si="24"/>
        <v>#N/A</v>
      </c>
      <c r="Z505" s="34" t="e">
        <f>IF($R505="MTO",
0,
($H505+$K505*($E505/[1]CRITERIOS!$M$16))/[1]CRITERIOS!$X$48)</f>
        <v>#N/A</v>
      </c>
      <c r="AA505" s="34" t="e">
        <f>ROUNDUP(($Y505/_xlfn.XLOOKUP($A505,'[1]DATOS PBI Artículos'!$A$4:$A$4,'[1]DATOS PBI Artículos'!$Z$4:$Z$4))/_xlfn.XLOOKUP(_xlfn.XLOOKUP($A505,'[1]DATOS PBI Artículos'!$A$4:$A$4,'[1]DATOS PBI Artículos'!$Y$4:$Y$4),[1]CRITERIOS!$P$79:$P$123,[1]CRITERIOS!$S$79:$S$123,),0)</f>
        <v>#N/A</v>
      </c>
      <c r="AB505" s="33" t="e">
        <f t="array" ref="AB505">IF((E505+V505-_xlfn.XLOOKUP(A505,'[1]DATOS PBI Artículos'!$A$4:$A$4,'[1]DATOS PBI Artículos'!$W$4:$W$4))/N505&gt;ROUNDUP([1]CRITERIOS!$M$16/(IF(COUNTIF([1]CRITERIOS!$BG$11:$BG$201,L505)&gt;=1,_xlfn.XLOOKUP(ARTÍCULOS!L505,[1]CRITERIOS!$BG$11:$BG$201,[1]CRITERIOS!$BJ$11:$BJ$201),_xlfn.XLOOKUP(ARTÍCULOS!C505,[1]CRITERIOS!$K$25:$K$42,[1]CRITERIOS!$M$25:$M$42))),0),ROUNDUP([1]CRITERIOS!$M$16/(IF(COUNTIF([1]CRITERIOS!$BG$11:$BG$201,L505)&gt;=1,_xlfn.XLOOKUP(ARTÍCULOS!L505,[1]CRITERIOS!$BG$11:$BG$201:#REF!,[1]CRITERIOS!$BJ$11:$BJ$201),_xlfn.XLOOKUP(ARTÍCULOS!C505,[1]CRITERIOS!$K$25:$K$42,[1]CRITERIOS!$M$25:$M$42))),0),(E505+V505-_xlfn.XLOOKUP(A505,'[1]DATOS PBI Artículos'!$A$4:$A$4,'[1]DATOS PBI Artículos'!$W$4:$W$4))/N505)</f>
        <v>#N/A</v>
      </c>
      <c r="AC505" s="33" t="e">
        <f>IF(N505=0,"",(ROUNDUP((N505/2)/(_xlfn.XLOOKUP(A505,'[1]DATOS PBI Artículos'!$A$4:$A$4,'[1]DATOS PBI Artículos'!$Z$4:$Z$4)*_xlfn.XLOOKUP(_xlfn.XLOOKUP(A505,'[1]DATOS PBI Artículos'!$A$4:$A$4,'[1]DATOS PBI Artículos'!$Y$4:$Y$4),[1]CRITERIOS!$P$79:$P$123,[1]CRITERIOS!$S$79:$S$123)),0)*[1]CRITERIOS!$M$80*([1]CRITERIOS!$M$110/[1]CRITERIOS!$M$86)+(_xlfn.XLOOKUP(A505,'[1]DATOS PBI Artículos'!$A$4:$A$4,'[1]DATOS PBI Artículos'!$AA$4:$AA$4)*([1]CRITERIOS!$M$95+[1]CRITERIOS!$M$98)))/N505)</f>
        <v>#N/A</v>
      </c>
      <c r="AD505" s="33" t="e">
        <f>IF(N505=0,"",(ROUNDUP((N505/2)/(_xlfn.XLOOKUP(A505,'[1]DATOS PBI Artículos'!$A$4:$A$4,'[1]DATOS PBI Artículos'!$Z$4:$Z$4)*_xlfn.XLOOKUP(_xlfn.XLOOKUP(A505,'[1]DATOS PBI Artículos'!$A$4:$A$4,'[1]DATOS PBI Artículos'!$Y$4:$Y$4),[1]CRITERIOS!$P$79:$P$123,[1]CRITERIOS!$S$79:$S$123)),0)*[1]CRITERIOS!$M$80*([1]CRITERIOS!$M$89*[1]CRITERIOS!$M$92)+((_xlfn.XLOOKUP(A505,'[1]DATOS PBI Artículos'!$A$4:$A$4,'[1]DATOS PBI Artículos'!$AA$4:$AA$4)/2)*([1]CRITERIOS!$M$95+[1]CRITERIOS!$M$98)))/N505)</f>
        <v>#N/A</v>
      </c>
      <c r="AE505" s="39" t="e">
        <f>IF($R505="MTO","",
IF($H505=0,ROUNDUP(((_xlfn.XLOOKUP($A505,'[1]DATOS PBI Artículos'!$A:$A,'[1]DATOS PBI Artículos'!$AL:$AL))/(_xlfn.XLOOKUP($AF$1,[1]CRITERIOS!$S$16:$S$39,[1]CRITERIOS!$Y$16:$Y$39))*$J505+$Z505)/$G505,0)*$G505,
((_xlfn.XLOOKUP($A505,'[1]DATOS PBI Artículos'!$A:$A,'[1]DATOS PBI Artículos'!$AL:$AL))/(_xlfn.XLOOKUP($AF$1,[1]CRITERIOS!$S$16:$S$39,[1]CRITERIOS!$Y$16:$Y$39))*$J505+$Z505)))</f>
        <v>#N/A</v>
      </c>
      <c r="AG505" s="39" t="e">
        <f>IF($R505="MTO","",
IF($H505=0,ROUNDUP(((_xlfn.XLOOKUP($A505,'[1]DATOS PBI Artículos'!$A:$A,'[1]DATOS PBI Artículos'!$AM:$AM))/(_xlfn.XLOOKUP($AH$1,[1]CRITERIOS!$S$16:$S$39,[1]CRITERIOS!$Y$16:$Y$39))*$J505+$Z505)/$G505,0)*$G505,
((_xlfn.XLOOKUP($A505,'[1]DATOS PBI Artículos'!$A:$A,'[1]DATOS PBI Artículos'!$AM:$AM))/(_xlfn.XLOOKUP($AH$1,[1]CRITERIOS!$S$16:$S$39,[1]CRITERIOS!$Y$16:$Y$39))*$J505+$Z505)))</f>
        <v>#N/A</v>
      </c>
      <c r="AI505" s="39" t="e">
        <f>IF($R505="MTO","",
IF($H505=0,ROUNDUP(((_xlfn.XLOOKUP($A505,'[1]DATOS PBI Artículos'!$A:$A,'[1]DATOS PBI Artículos'!$AN:$AN))/(_xlfn.XLOOKUP($AJ$1,[1]CRITERIOS!$S$16:$S$39,[1]CRITERIOS!$Y$16:$Y$39))*$J505+$Z505)/$G505,0)*$G505,
((_xlfn.XLOOKUP($A505,'[1]DATOS PBI Artículos'!$A:$A,'[1]DATOS PBI Artículos'!$AN:$AN))/(_xlfn.XLOOKUP($AJ$1,[1]CRITERIOS!$S$16:$S$39,[1]CRITERIOS!$Y$16:$Y$39))*$J505+$Z505)))</f>
        <v>#N/A</v>
      </c>
      <c r="AK505" s="39" t="e">
        <f>IF($R505="MTO","",
IF($H505=0,ROUNDUP(((_xlfn.XLOOKUP($A505,'[1]DATOS PBI Artículos'!$A:$A,'[1]DATOS PBI Artículos'!$AO:$AO))/(_xlfn.XLOOKUP($AL$1,[1]CRITERIOS!$S$16:$S$39,[1]CRITERIOS!$Y$16:$Y$39))*$J505+$Z505)/$G505,0)*$G505,
((_xlfn.XLOOKUP($A505,'[1]DATOS PBI Artículos'!$A:$A,'[1]DATOS PBI Artículos'!$AO:$AO))/(_xlfn.XLOOKUP($AL$1,[1]CRITERIOS!$S$16:$S$39,[1]CRITERIOS!$Y$16:$Y$39))*$J505+$Z505)))</f>
        <v>#N/A</v>
      </c>
    </row>
    <row r="506" spans="1:37" ht="25.8" hidden="1" x14ac:dyDescent="0.4">
      <c r="A506" s="41"/>
      <c r="B506" s="33">
        <f>_xlfn.XLOOKUP($A506,'[1]DATOS PBI Artículos'!A:A,'[1]DATOS PBI Artículos'!B:B)</f>
        <v>0</v>
      </c>
      <c r="C506" s="33">
        <f>_xlfn.XLOOKUP($A506,'[1]DATOS PBI Artículos'!A:A,'[1]DATOS PBI Artículos'!C:C)</f>
        <v>0</v>
      </c>
      <c r="D506" s="33">
        <f>_xlfn.XLOOKUP(A506,'[1]DATOS PBI Artículos'!A:A,'[1]DATOS PBI Artículos'!T:T)</f>
        <v>0</v>
      </c>
      <c r="E506" s="34">
        <f>IF(_xlfn.XLOOKUP($A506,'[1]DATOS PBI Artículos'!A:A,'[1]DATOS PBI Artículos'!AK:AK)="",_xlfn.XLOOKUP($A506,'[1]DATOS PBI Artículos'!A:A,'[1]DATOS PBI Artículos'!AJ:AJ),_xlfn.XLOOKUP($A506,'[1]DATOS PBI Artículos'!A:A,'[1]DATOS PBI Artículos'!AK:AK))</f>
        <v>0</v>
      </c>
      <c r="F506" s="35">
        <f>_xlfn.XLOOKUP($A506,'[1]DATOS PBI Artículos'!A:A,'[1]DATOS PBI Artículos'!AP:AP)</f>
        <v>0</v>
      </c>
      <c r="G506" s="34">
        <f>_xlfn.XLOOKUP($A506,'[1]DATOS PBI Artículos'!A:A,'[1]DATOS PBI Artículos'!AR:AR)</f>
        <v>0</v>
      </c>
      <c r="H506" s="34">
        <f>_xlfn.XLOOKUP($A506,'[1]DATOS PBI Artículos'!A:A,'[1]DATOS PBI Artículos'!AT:AT)</f>
        <v>0</v>
      </c>
      <c r="I506" s="34">
        <f>_xlfn.XLOOKUP($A506,'[1]DATOS PBI Artículos'!A:A,'[1]DATOS PBI Artículos'!AS:AS)</f>
        <v>0</v>
      </c>
      <c r="J506" s="35">
        <f>IF(COUNTIF([1]CRITERIOS!$F$179:$F$199,$A506)&gt;=1,
 IF(O506&lt;&gt;"",
    (O506/_xlfn.XLOOKUP(CONCATENATE(A506,L506),[1]MÁQUINAS!A:A,[1]MÁQUINAS!D:D))/24,
    (N506/_xlfn.XLOOKUP(CONCATENATE(A506,L506),[1]MÁQUINAS!A:A,[1]MÁQUINAS!D:D))/24),
  _xlfn.XLOOKUP($A506,'[1]DATOS PBI Artículos'!A:A,'[1]DATOS PBI Artículos'!AU:AU))</f>
        <v>0</v>
      </c>
      <c r="K506" s="36">
        <f>_xlfn.XLOOKUP($A506,'[1]DATOS PBI Artículos'!A:A,'[1]DATOS PBI Artículos'!AV:AV)</f>
        <v>0</v>
      </c>
      <c r="L506" s="33">
        <f>_xlfn.XLOOKUP(A506,[1]MÁQUINAS!B:B,[1]MÁQUINAS!C:C)</f>
        <v>0</v>
      </c>
      <c r="M506" s="34">
        <f t="array" ref="M506">_xlfn.XLOOKUP(A506,'[1]DATOS PBI Artículos'!A:A,'[1]DATOS PBI Artículos'!AX:$AX)</f>
        <v>0</v>
      </c>
      <c r="N506" s="37" t="e">
        <f>IF(I506="DV",
E506,
IF(COUNTIF([1]CRITERIOS!$I$179:$I$199,$A506)&gt;=1,
_xlfn.XLOOKUP($A506,[1]CRITERIOS!$I$179:$I$199,[1]CRITERIOS!$J$179:$J$199),
IF(COUNTIF([1]CRITERIOS!$L$179:$L$199,$A506)&gt;=1,
_xlfn.CEILING.MATH(IF($M506&gt;$E506,
$E506,
IF($M506&lt;$E506/ROUNDDOWN([1]CRITERIOS!$M$16/_xlfn.XLOOKUP($C506,[1]CRITERIOS!$K$25:$K$42,[1]CRITERIOS!$M$25:$M$42),
1),
E506/ROUNDDOWN([1]CRITERIOS!$M$16/_xlfn.XLOOKUP($C506,[1]CRITERIOS!$K$25:$K$42,[1]CRITERIOS!$M$25:$M$42),
1),
$M506)),
_xlfn.XLOOKUP($A506,[1]CRITERIOS!$L$179:$L$200,[1]CRITERIOS!$M$179:$M$200)),
_xlfn.CEILING.MATH(IF($M506&gt;$E506,
$E506,
IF($M506&lt;$E506/ROUNDDOWN([1]CRITERIOS!$M$16/_xlfn.XLOOKUP($C506,[1]CRITERIOS!$K$25:$K$42,[1]CRITERIOS!$M$25:$M$42),
1),
E506/ROUNDDOWN([1]CRITERIOS!$M$16/_xlfn.XLOOKUP($C506,[1]CRITERIOS!$K$25:$K$42,[1]CRITERIOS!$M$25:$M$42),
1),
$M506)),_xlfn.XLOOKUP(A506,'[1]DATOS PBI Artículos'!A:A,'[1]DATOS PBI Artículos'!Z:Z
)))))</f>
        <v>#N/A</v>
      </c>
      <c r="Q506" s="38" t="e">
        <f>IF(AND(O506="",N506=0),
0,
   IF(COUNTIF([1]CRITERIOS!$F$179:$F$199,$A506)&gt;=1,
   1,
   IF(R506="MTO",
      $D506,
      ROUNDUP(
                    IF(($E506-SUMIF('[1]DATOS PBI Artículos'!A:A,A506,'[1]DATOS PBI Artículos'!X:X)+($V506-_xlfn.XLOOKUP(A506,'[1]DATOS PBI Artículos'!A:A,'[1]DATOS PBI Artículos'!W:W)))&lt;0,
                    0,
                    IF(($E506-SUMIF('[1]DATOS PBI Artículos'!A:A,A506,'[1]DATOS PBI Artículos'!X:X)+$V506-_xlfn.XLOOKUP($A506,'[1]DATOS PBI Artículos'!A:A,'[1]DATOS PBI Artículos'!W:W))/IF($O506="",$N506,$O506)&gt;ROUNDUP([1]CRITERIOS!$M$16/(IF(COUNTIF([1]CRITERIOS!$BG$11:$BG$201,L506)&gt;=1,_xlfn.XLOOKUP($C506,[1]CRITERIOS!$K$25:$K$42,[1]CRITERIOS!$M$25:$M$42),_xlfn.XLOOKUP($C506,[1]CRITERIOS!$K$25:$K$42,[1]CRITERIOS!$M$25:$M$42))),0),
                    ROUNDUP([1]CRITERIOS!$M$16/(IF(COUNTIF([1]CRITERIOS!$BG$11:$BG$201,$L506)&gt;=1,_xlfn.XLOOKUP($C506,[1]CRITERIOS!$K$25:$K$42,[1]CRITERIOS!$M$25:$M$42),_xlfn.XLOOKUP($C506,[1]CRITERIOS!$K$25:$K$42,[1]CRITERIOS!$M$25:$M$42))),0),
                    (E506+V506-SUMIF('[1]DATOS PBI Artículos'!A:A,A506,'[1]DATOS PBI Artículos'!X:X)-_xlfn.XLOOKUP(A506,'[1]DATOS PBI Artículos'!A:A,'[1]DATOS PBI Artículos'!W:W))/IF($O506="",$N506,$O506))),0))))</f>
        <v>#N/A</v>
      </c>
      <c r="R506" s="33" t="e">
        <f>IF(U506&lt;&gt;"",U506,IF(F506="DV","MTO",IF(N506=0,"MTO",_xlfn.XLOOKUP(CONCATENATE(S506,T506),[1]CRITERIOS!$K$160:$K$168,[1]CRITERIOS!$N$160:$N$168))))</f>
        <v>#N/A</v>
      </c>
      <c r="S506" s="33" t="e">
        <f>IF(G506="DV","MTO",IF(N506=0,"MTO",IF(OR(AND(N506=0,O506=""),IF(O506="",G506/N506,G506/O506)&gt;[1]CRITERIOS!$G$163),"MTO",IF(IF(O506="",G506/N506,G506/O506)&lt;[1]CRITERIOS!$H$161,"MTS","MTOS"))))</f>
        <v>#N/A</v>
      </c>
      <c r="T506" s="33" t="e">
        <f>IF(F506="DV","MTO",IF(OR(AND($N506=0,O506=""),$F506/$J506&gt;[1]CRITERIOS!$G$170,$F506="DV"),"MTO",IF($F506/$J506&lt;[1]CRITERIOS!$H$168,"MTS","MTOS")))</f>
        <v>#N/A</v>
      </c>
      <c r="V506" s="34" t="e">
        <f t="shared" si="25"/>
        <v>#N/A</v>
      </c>
      <c r="X506" s="34" t="e">
        <f t="shared" si="23"/>
        <v>#N/A</v>
      </c>
      <c r="Y506" s="34" t="e">
        <f t="shared" si="24"/>
        <v>#N/A</v>
      </c>
      <c r="Z506" s="34" t="e">
        <f>IF($R506="MTO",
0,
($H506+$K506*($E506/[1]CRITERIOS!$M$16))/[1]CRITERIOS!$X$48)</f>
        <v>#N/A</v>
      </c>
      <c r="AA506" s="34" t="e">
        <f>ROUNDUP(($Y506/_xlfn.XLOOKUP($A506,'[1]DATOS PBI Artículos'!$A$4:$A$4,'[1]DATOS PBI Artículos'!$Z$4:$Z$4))/_xlfn.XLOOKUP(_xlfn.XLOOKUP($A506,'[1]DATOS PBI Artículos'!$A$4:$A$4,'[1]DATOS PBI Artículos'!$Y$4:$Y$4),[1]CRITERIOS!$P$79:$P$123,[1]CRITERIOS!$S$79:$S$123,),0)</f>
        <v>#N/A</v>
      </c>
      <c r="AB506" s="33" t="e">
        <f t="array" ref="AB506">IF((E506+V506-_xlfn.XLOOKUP(A506,'[1]DATOS PBI Artículos'!$A$4:$A$4,'[1]DATOS PBI Artículos'!$W$4:$W$4))/N506&gt;ROUNDUP([1]CRITERIOS!$M$16/(IF(COUNTIF([1]CRITERIOS!$BG$11:$BG$201,L506)&gt;=1,_xlfn.XLOOKUP(ARTÍCULOS!L506,[1]CRITERIOS!$BG$11:$BG$201,[1]CRITERIOS!$BJ$11:$BJ$201),_xlfn.XLOOKUP(ARTÍCULOS!C506,[1]CRITERIOS!$K$25:$K$42,[1]CRITERIOS!$M$25:$M$42))),0),ROUNDUP([1]CRITERIOS!$M$16/(IF(COUNTIF([1]CRITERIOS!$BG$11:$BG$201,L506)&gt;=1,_xlfn.XLOOKUP(ARTÍCULOS!L506,[1]CRITERIOS!$BG$11:$BG$201:#REF!,[1]CRITERIOS!$BJ$11:$BJ$201),_xlfn.XLOOKUP(ARTÍCULOS!C506,[1]CRITERIOS!$K$25:$K$42,[1]CRITERIOS!$M$25:$M$42))),0),(E506+V506-_xlfn.XLOOKUP(A506,'[1]DATOS PBI Artículos'!$A$4:$A$4,'[1]DATOS PBI Artículos'!$W$4:$W$4))/N506)</f>
        <v>#N/A</v>
      </c>
      <c r="AC506" s="33" t="e">
        <f>IF(N506=0,"",(ROUNDUP((N506/2)/(_xlfn.XLOOKUP(A506,'[1]DATOS PBI Artículos'!$A$4:$A$4,'[1]DATOS PBI Artículos'!$Z$4:$Z$4)*_xlfn.XLOOKUP(_xlfn.XLOOKUP(A506,'[1]DATOS PBI Artículos'!$A$4:$A$4,'[1]DATOS PBI Artículos'!$Y$4:$Y$4),[1]CRITERIOS!$P$79:$P$123,[1]CRITERIOS!$S$79:$S$123)),0)*[1]CRITERIOS!$M$80*([1]CRITERIOS!$M$110/[1]CRITERIOS!$M$86)+(_xlfn.XLOOKUP(A506,'[1]DATOS PBI Artículos'!$A$4:$A$4,'[1]DATOS PBI Artículos'!$AA$4:$AA$4)*([1]CRITERIOS!$M$95+[1]CRITERIOS!$M$98)))/N506)</f>
        <v>#N/A</v>
      </c>
      <c r="AD506" s="33" t="e">
        <f>IF(N506=0,"",(ROUNDUP((N506/2)/(_xlfn.XLOOKUP(A506,'[1]DATOS PBI Artículos'!$A$4:$A$4,'[1]DATOS PBI Artículos'!$Z$4:$Z$4)*_xlfn.XLOOKUP(_xlfn.XLOOKUP(A506,'[1]DATOS PBI Artículos'!$A$4:$A$4,'[1]DATOS PBI Artículos'!$Y$4:$Y$4),[1]CRITERIOS!$P$79:$P$123,[1]CRITERIOS!$S$79:$S$123)),0)*[1]CRITERIOS!$M$80*([1]CRITERIOS!$M$89*[1]CRITERIOS!$M$92)+((_xlfn.XLOOKUP(A506,'[1]DATOS PBI Artículos'!$A$4:$A$4,'[1]DATOS PBI Artículos'!$AA$4:$AA$4)/2)*([1]CRITERIOS!$M$95+[1]CRITERIOS!$M$98)))/N506)</f>
        <v>#N/A</v>
      </c>
      <c r="AE506" s="39" t="e">
        <f>IF($R506="MTO","",
IF($H506=0,ROUNDUP(((_xlfn.XLOOKUP($A506,'[1]DATOS PBI Artículos'!$A:$A,'[1]DATOS PBI Artículos'!$AL:$AL))/(_xlfn.XLOOKUP($AF$1,[1]CRITERIOS!$S$16:$S$39,[1]CRITERIOS!$Y$16:$Y$39))*$J506+$Z506)/$G506,0)*$G506,
((_xlfn.XLOOKUP($A506,'[1]DATOS PBI Artículos'!$A:$A,'[1]DATOS PBI Artículos'!$AL:$AL))/(_xlfn.XLOOKUP($AF$1,[1]CRITERIOS!$S$16:$S$39,[1]CRITERIOS!$Y$16:$Y$39))*$J506+$Z506)))</f>
        <v>#N/A</v>
      </c>
      <c r="AG506" s="39" t="e">
        <f>IF($R506="MTO","",
IF($H506=0,ROUNDUP(((_xlfn.XLOOKUP($A506,'[1]DATOS PBI Artículos'!$A:$A,'[1]DATOS PBI Artículos'!$AM:$AM))/(_xlfn.XLOOKUP($AH$1,[1]CRITERIOS!$S$16:$S$39,[1]CRITERIOS!$Y$16:$Y$39))*$J506+$Z506)/$G506,0)*$G506,
((_xlfn.XLOOKUP($A506,'[1]DATOS PBI Artículos'!$A:$A,'[1]DATOS PBI Artículos'!$AM:$AM))/(_xlfn.XLOOKUP($AH$1,[1]CRITERIOS!$S$16:$S$39,[1]CRITERIOS!$Y$16:$Y$39))*$J506+$Z506)))</f>
        <v>#N/A</v>
      </c>
      <c r="AI506" s="39" t="e">
        <f>IF($R506="MTO","",
IF($H506=0,ROUNDUP(((_xlfn.XLOOKUP($A506,'[1]DATOS PBI Artículos'!$A:$A,'[1]DATOS PBI Artículos'!$AN:$AN))/(_xlfn.XLOOKUP($AJ$1,[1]CRITERIOS!$S$16:$S$39,[1]CRITERIOS!$Y$16:$Y$39))*$J506+$Z506)/$G506,0)*$G506,
((_xlfn.XLOOKUP($A506,'[1]DATOS PBI Artículos'!$A:$A,'[1]DATOS PBI Artículos'!$AN:$AN))/(_xlfn.XLOOKUP($AJ$1,[1]CRITERIOS!$S$16:$S$39,[1]CRITERIOS!$Y$16:$Y$39))*$J506+$Z506)))</f>
        <v>#N/A</v>
      </c>
      <c r="AK506" s="39" t="e">
        <f>IF($R506="MTO","",
IF($H506=0,ROUNDUP(((_xlfn.XLOOKUP($A506,'[1]DATOS PBI Artículos'!$A:$A,'[1]DATOS PBI Artículos'!$AO:$AO))/(_xlfn.XLOOKUP($AL$1,[1]CRITERIOS!$S$16:$S$39,[1]CRITERIOS!$Y$16:$Y$39))*$J506+$Z506)/$G506,0)*$G506,
((_xlfn.XLOOKUP($A506,'[1]DATOS PBI Artículos'!$A:$A,'[1]DATOS PBI Artículos'!$AO:$AO))/(_xlfn.XLOOKUP($AL$1,[1]CRITERIOS!$S$16:$S$39,[1]CRITERIOS!$Y$16:$Y$39))*$J506+$Z506)))</f>
        <v>#N/A</v>
      </c>
    </row>
    <row r="507" spans="1:37" ht="25.8" hidden="1" x14ac:dyDescent="0.4">
      <c r="A507" s="41"/>
      <c r="B507" s="33">
        <f>_xlfn.XLOOKUP($A507,'[1]DATOS PBI Artículos'!A:A,'[1]DATOS PBI Artículos'!B:B)</f>
        <v>0</v>
      </c>
      <c r="C507" s="33">
        <f>_xlfn.XLOOKUP($A507,'[1]DATOS PBI Artículos'!A:A,'[1]DATOS PBI Artículos'!C:C)</f>
        <v>0</v>
      </c>
      <c r="D507" s="33">
        <f>_xlfn.XLOOKUP(A507,'[1]DATOS PBI Artículos'!A:A,'[1]DATOS PBI Artículos'!T:T)</f>
        <v>0</v>
      </c>
      <c r="E507" s="34">
        <f>IF(_xlfn.XLOOKUP($A507,'[1]DATOS PBI Artículos'!A:A,'[1]DATOS PBI Artículos'!AK:AK)="",_xlfn.XLOOKUP($A507,'[1]DATOS PBI Artículos'!A:A,'[1]DATOS PBI Artículos'!AJ:AJ),_xlfn.XLOOKUP($A507,'[1]DATOS PBI Artículos'!A:A,'[1]DATOS PBI Artículos'!AK:AK))</f>
        <v>0</v>
      </c>
      <c r="F507" s="35">
        <f>_xlfn.XLOOKUP($A507,'[1]DATOS PBI Artículos'!A:A,'[1]DATOS PBI Artículos'!AP:AP)</f>
        <v>0</v>
      </c>
      <c r="G507" s="34">
        <f>_xlfn.XLOOKUP($A507,'[1]DATOS PBI Artículos'!A:A,'[1]DATOS PBI Artículos'!AR:AR)</f>
        <v>0</v>
      </c>
      <c r="H507" s="34">
        <f>_xlfn.XLOOKUP($A507,'[1]DATOS PBI Artículos'!A:A,'[1]DATOS PBI Artículos'!AT:AT)</f>
        <v>0</v>
      </c>
      <c r="I507" s="34">
        <f>_xlfn.XLOOKUP($A507,'[1]DATOS PBI Artículos'!A:A,'[1]DATOS PBI Artículos'!AS:AS)</f>
        <v>0</v>
      </c>
      <c r="J507" s="35">
        <f>IF(COUNTIF([1]CRITERIOS!$F$179:$F$199,$A507)&gt;=1,
 IF(O507&lt;&gt;"",
    (O507/_xlfn.XLOOKUP(CONCATENATE(A507,L507),[1]MÁQUINAS!A:A,[1]MÁQUINAS!D:D))/24,
    (N507/_xlfn.XLOOKUP(CONCATENATE(A507,L507),[1]MÁQUINAS!A:A,[1]MÁQUINAS!D:D))/24),
  _xlfn.XLOOKUP($A507,'[1]DATOS PBI Artículos'!A:A,'[1]DATOS PBI Artículos'!AU:AU))</f>
        <v>0</v>
      </c>
      <c r="K507" s="36">
        <f>_xlfn.XLOOKUP($A507,'[1]DATOS PBI Artículos'!A:A,'[1]DATOS PBI Artículos'!AV:AV)</f>
        <v>0</v>
      </c>
      <c r="L507" s="33">
        <f>_xlfn.XLOOKUP(A507,[1]MÁQUINAS!B:B,[1]MÁQUINAS!C:C)</f>
        <v>0</v>
      </c>
      <c r="M507" s="34">
        <f t="array" ref="M507">_xlfn.XLOOKUP(A507,'[1]DATOS PBI Artículos'!A:A,'[1]DATOS PBI Artículos'!AX:$AX)</f>
        <v>0</v>
      </c>
      <c r="N507" s="37" t="e">
        <f>IF(I507="DV",
E507,
IF(COUNTIF([1]CRITERIOS!$I$179:$I$199,$A507)&gt;=1,
_xlfn.XLOOKUP($A507,[1]CRITERIOS!$I$179:$I$199,[1]CRITERIOS!$J$179:$J$199),
IF(COUNTIF([1]CRITERIOS!$L$179:$L$199,$A507)&gt;=1,
_xlfn.CEILING.MATH(IF($M507&gt;$E507,
$E507,
IF($M507&lt;$E507/ROUNDDOWN([1]CRITERIOS!$M$16/_xlfn.XLOOKUP($C507,[1]CRITERIOS!$K$25:$K$42,[1]CRITERIOS!$M$25:$M$42),
1),
E507/ROUNDDOWN([1]CRITERIOS!$M$16/_xlfn.XLOOKUP($C507,[1]CRITERIOS!$K$25:$K$42,[1]CRITERIOS!$M$25:$M$42),
1),
$M507)),
_xlfn.XLOOKUP($A507,[1]CRITERIOS!$L$179:$L$200,[1]CRITERIOS!$M$179:$M$200)),
_xlfn.CEILING.MATH(IF($M507&gt;$E507,
$E507,
IF($M507&lt;$E507/ROUNDDOWN([1]CRITERIOS!$M$16/_xlfn.XLOOKUP($C507,[1]CRITERIOS!$K$25:$K$42,[1]CRITERIOS!$M$25:$M$42),
1),
E507/ROUNDDOWN([1]CRITERIOS!$M$16/_xlfn.XLOOKUP($C507,[1]CRITERIOS!$K$25:$K$42,[1]CRITERIOS!$M$25:$M$42),
1),
$M507)),_xlfn.XLOOKUP(A507,'[1]DATOS PBI Artículos'!A:A,'[1]DATOS PBI Artículos'!Z:Z
)))))</f>
        <v>#N/A</v>
      </c>
      <c r="Q507" s="38" t="e">
        <f>IF(AND(O507="",N507=0),
0,
   IF(COUNTIF([1]CRITERIOS!$F$179:$F$199,$A507)&gt;=1,
   1,
   IF(R507="MTO",
      $D507,
      ROUNDUP(
                    IF(($E507-SUMIF('[1]DATOS PBI Artículos'!A:A,A507,'[1]DATOS PBI Artículos'!X:X)+($V507-_xlfn.XLOOKUP(A507,'[1]DATOS PBI Artículos'!A:A,'[1]DATOS PBI Artículos'!W:W)))&lt;0,
                    0,
                    IF(($E507-SUMIF('[1]DATOS PBI Artículos'!A:A,A507,'[1]DATOS PBI Artículos'!X:X)+$V507-_xlfn.XLOOKUP($A507,'[1]DATOS PBI Artículos'!A:A,'[1]DATOS PBI Artículos'!W:W))/IF($O507="",$N507,$O507)&gt;ROUNDUP([1]CRITERIOS!$M$16/(IF(COUNTIF([1]CRITERIOS!$BG$11:$BG$201,L507)&gt;=1,_xlfn.XLOOKUP($C507,[1]CRITERIOS!$K$25:$K$42,[1]CRITERIOS!$M$25:$M$42),_xlfn.XLOOKUP($C507,[1]CRITERIOS!$K$25:$K$42,[1]CRITERIOS!$M$25:$M$42))),0),
                    ROUNDUP([1]CRITERIOS!$M$16/(IF(COUNTIF([1]CRITERIOS!$BG$11:$BG$201,$L507)&gt;=1,_xlfn.XLOOKUP($C507,[1]CRITERIOS!$K$25:$K$42,[1]CRITERIOS!$M$25:$M$42),_xlfn.XLOOKUP($C507,[1]CRITERIOS!$K$25:$K$42,[1]CRITERIOS!$M$25:$M$42))),0),
                    (E507+V507-SUMIF('[1]DATOS PBI Artículos'!A:A,A507,'[1]DATOS PBI Artículos'!X:X)-_xlfn.XLOOKUP(A507,'[1]DATOS PBI Artículos'!A:A,'[1]DATOS PBI Artículos'!W:W))/IF($O507="",$N507,$O507))),0))))</f>
        <v>#N/A</v>
      </c>
      <c r="R507" s="33" t="e">
        <f>IF(U507&lt;&gt;"",U507,IF(F507="DV","MTO",IF(N507=0,"MTO",_xlfn.XLOOKUP(CONCATENATE(S507,T507),[1]CRITERIOS!$K$160:$K$168,[1]CRITERIOS!$N$160:$N$168))))</f>
        <v>#N/A</v>
      </c>
      <c r="S507" s="33" t="e">
        <f>IF(G507="DV","MTO",IF(N507=0,"MTO",IF(OR(AND(N507=0,O507=""),IF(O507="",G507/N507,G507/O507)&gt;[1]CRITERIOS!$G$163),"MTO",IF(IF(O507="",G507/N507,G507/O507)&lt;[1]CRITERIOS!$H$161,"MTS","MTOS"))))</f>
        <v>#N/A</v>
      </c>
      <c r="T507" s="33" t="e">
        <f>IF(F507="DV","MTO",IF(OR(AND($N507=0,O507=""),$F507/$J507&gt;[1]CRITERIOS!$G$170,$F507="DV"),"MTO",IF($F507/$J507&lt;[1]CRITERIOS!$H$168,"MTS","MTOS")))</f>
        <v>#N/A</v>
      </c>
      <c r="V507" s="34" t="e">
        <f t="shared" si="25"/>
        <v>#N/A</v>
      </c>
      <c r="X507" s="34" t="e">
        <f t="shared" si="23"/>
        <v>#N/A</v>
      </c>
      <c r="Y507" s="34" t="e">
        <f t="shared" si="24"/>
        <v>#N/A</v>
      </c>
      <c r="Z507" s="34" t="e">
        <f>IF($R507="MTO",
0,
($H507+$K507*($E507/[1]CRITERIOS!$M$16))/[1]CRITERIOS!$X$48)</f>
        <v>#N/A</v>
      </c>
      <c r="AA507" s="34" t="e">
        <f>ROUNDUP(($Y507/_xlfn.XLOOKUP($A507,'[1]DATOS PBI Artículos'!$A$4:$A$4,'[1]DATOS PBI Artículos'!$Z$4:$Z$4))/_xlfn.XLOOKUP(_xlfn.XLOOKUP($A507,'[1]DATOS PBI Artículos'!$A$4:$A$4,'[1]DATOS PBI Artículos'!$Y$4:$Y$4),[1]CRITERIOS!$P$79:$P$123,[1]CRITERIOS!$S$79:$S$123,),0)</f>
        <v>#N/A</v>
      </c>
      <c r="AB507" s="33" t="e">
        <f t="array" ref="AB507">IF((E507+V507-_xlfn.XLOOKUP(A507,'[1]DATOS PBI Artículos'!$A$4:$A$4,'[1]DATOS PBI Artículos'!$W$4:$W$4))/N507&gt;ROUNDUP([1]CRITERIOS!$M$16/(IF(COUNTIF([1]CRITERIOS!$BG$11:$BG$201,L507)&gt;=1,_xlfn.XLOOKUP(ARTÍCULOS!L507,[1]CRITERIOS!$BG$11:$BG$201,[1]CRITERIOS!$BJ$11:$BJ$201),_xlfn.XLOOKUP(ARTÍCULOS!C507,[1]CRITERIOS!$K$25:$K$42,[1]CRITERIOS!$M$25:$M$42))),0),ROUNDUP([1]CRITERIOS!$M$16/(IF(COUNTIF([1]CRITERIOS!$BG$11:$BG$201,L507)&gt;=1,_xlfn.XLOOKUP(ARTÍCULOS!L507,[1]CRITERIOS!$BG$11:$BG$201:#REF!,[1]CRITERIOS!$BJ$11:$BJ$201),_xlfn.XLOOKUP(ARTÍCULOS!C507,[1]CRITERIOS!$K$25:$K$42,[1]CRITERIOS!$M$25:$M$42))),0),(E507+V507-_xlfn.XLOOKUP(A507,'[1]DATOS PBI Artículos'!$A$4:$A$4,'[1]DATOS PBI Artículos'!$W$4:$W$4))/N507)</f>
        <v>#N/A</v>
      </c>
      <c r="AC507" s="33" t="e">
        <f>IF(N507=0,"",(ROUNDUP((N507/2)/(_xlfn.XLOOKUP(A507,'[1]DATOS PBI Artículos'!$A$4:$A$4,'[1]DATOS PBI Artículos'!$Z$4:$Z$4)*_xlfn.XLOOKUP(_xlfn.XLOOKUP(A507,'[1]DATOS PBI Artículos'!$A$4:$A$4,'[1]DATOS PBI Artículos'!$Y$4:$Y$4),[1]CRITERIOS!$P$79:$P$123,[1]CRITERIOS!$S$79:$S$123)),0)*[1]CRITERIOS!$M$80*([1]CRITERIOS!$M$110/[1]CRITERIOS!$M$86)+(_xlfn.XLOOKUP(A507,'[1]DATOS PBI Artículos'!$A$4:$A$4,'[1]DATOS PBI Artículos'!$AA$4:$AA$4)*([1]CRITERIOS!$M$95+[1]CRITERIOS!$M$98)))/N507)</f>
        <v>#N/A</v>
      </c>
      <c r="AD507" s="33" t="e">
        <f>IF(N507=0,"",(ROUNDUP((N507/2)/(_xlfn.XLOOKUP(A507,'[1]DATOS PBI Artículos'!$A$4:$A$4,'[1]DATOS PBI Artículos'!$Z$4:$Z$4)*_xlfn.XLOOKUP(_xlfn.XLOOKUP(A507,'[1]DATOS PBI Artículos'!$A$4:$A$4,'[1]DATOS PBI Artículos'!$Y$4:$Y$4),[1]CRITERIOS!$P$79:$P$123,[1]CRITERIOS!$S$79:$S$123)),0)*[1]CRITERIOS!$M$80*([1]CRITERIOS!$M$89*[1]CRITERIOS!$M$92)+((_xlfn.XLOOKUP(A507,'[1]DATOS PBI Artículos'!$A$4:$A$4,'[1]DATOS PBI Artículos'!$AA$4:$AA$4)/2)*([1]CRITERIOS!$M$95+[1]CRITERIOS!$M$98)))/N507)</f>
        <v>#N/A</v>
      </c>
      <c r="AE507" s="39" t="e">
        <f>IF($R507="MTO","",
IF($H507=0,ROUNDUP(((_xlfn.XLOOKUP($A507,'[1]DATOS PBI Artículos'!$A:$A,'[1]DATOS PBI Artículos'!$AL:$AL))/(_xlfn.XLOOKUP($AF$1,[1]CRITERIOS!$S$16:$S$39,[1]CRITERIOS!$Y$16:$Y$39))*$J507+$Z507)/$G507,0)*$G507,
((_xlfn.XLOOKUP($A507,'[1]DATOS PBI Artículos'!$A:$A,'[1]DATOS PBI Artículos'!$AL:$AL))/(_xlfn.XLOOKUP($AF$1,[1]CRITERIOS!$S$16:$S$39,[1]CRITERIOS!$Y$16:$Y$39))*$J507+$Z507)))</f>
        <v>#N/A</v>
      </c>
      <c r="AG507" s="39" t="e">
        <f>IF($R507="MTO","",
IF($H507=0,ROUNDUP(((_xlfn.XLOOKUP($A507,'[1]DATOS PBI Artículos'!$A:$A,'[1]DATOS PBI Artículos'!$AM:$AM))/(_xlfn.XLOOKUP($AH$1,[1]CRITERIOS!$S$16:$S$39,[1]CRITERIOS!$Y$16:$Y$39))*$J507+$Z507)/$G507,0)*$G507,
((_xlfn.XLOOKUP($A507,'[1]DATOS PBI Artículos'!$A:$A,'[1]DATOS PBI Artículos'!$AM:$AM))/(_xlfn.XLOOKUP($AH$1,[1]CRITERIOS!$S$16:$S$39,[1]CRITERIOS!$Y$16:$Y$39))*$J507+$Z507)))</f>
        <v>#N/A</v>
      </c>
      <c r="AI507" s="39" t="e">
        <f>IF($R507="MTO","",
IF($H507=0,ROUNDUP(((_xlfn.XLOOKUP($A507,'[1]DATOS PBI Artículos'!$A:$A,'[1]DATOS PBI Artículos'!$AN:$AN))/(_xlfn.XLOOKUP($AJ$1,[1]CRITERIOS!$S$16:$S$39,[1]CRITERIOS!$Y$16:$Y$39))*$J507+$Z507)/$G507,0)*$G507,
((_xlfn.XLOOKUP($A507,'[1]DATOS PBI Artículos'!$A:$A,'[1]DATOS PBI Artículos'!$AN:$AN))/(_xlfn.XLOOKUP($AJ$1,[1]CRITERIOS!$S$16:$S$39,[1]CRITERIOS!$Y$16:$Y$39))*$J507+$Z507)))</f>
        <v>#N/A</v>
      </c>
      <c r="AK507" s="39" t="e">
        <f>IF($R507="MTO","",
IF($H507=0,ROUNDUP(((_xlfn.XLOOKUP($A507,'[1]DATOS PBI Artículos'!$A:$A,'[1]DATOS PBI Artículos'!$AO:$AO))/(_xlfn.XLOOKUP($AL$1,[1]CRITERIOS!$S$16:$S$39,[1]CRITERIOS!$Y$16:$Y$39))*$J507+$Z507)/$G507,0)*$G507,
((_xlfn.XLOOKUP($A507,'[1]DATOS PBI Artículos'!$A:$A,'[1]DATOS PBI Artículos'!$AO:$AO))/(_xlfn.XLOOKUP($AL$1,[1]CRITERIOS!$S$16:$S$39,[1]CRITERIOS!$Y$16:$Y$39))*$J507+$Z507)))</f>
        <v>#N/A</v>
      </c>
    </row>
    <row r="508" spans="1:37" ht="25.8" hidden="1" x14ac:dyDescent="0.4">
      <c r="A508" s="41"/>
      <c r="B508" s="33">
        <f>_xlfn.XLOOKUP($A508,'[1]DATOS PBI Artículos'!A:A,'[1]DATOS PBI Artículos'!B:B)</f>
        <v>0</v>
      </c>
      <c r="C508" s="33">
        <f>_xlfn.XLOOKUP($A508,'[1]DATOS PBI Artículos'!A:A,'[1]DATOS PBI Artículos'!C:C)</f>
        <v>0</v>
      </c>
      <c r="D508" s="33">
        <f>_xlfn.XLOOKUP(A508,'[1]DATOS PBI Artículos'!A:A,'[1]DATOS PBI Artículos'!T:T)</f>
        <v>0</v>
      </c>
      <c r="E508" s="34">
        <f>IF(_xlfn.XLOOKUP($A508,'[1]DATOS PBI Artículos'!A:A,'[1]DATOS PBI Artículos'!AK:AK)="",_xlfn.XLOOKUP($A508,'[1]DATOS PBI Artículos'!A:A,'[1]DATOS PBI Artículos'!AJ:AJ),_xlfn.XLOOKUP($A508,'[1]DATOS PBI Artículos'!A:A,'[1]DATOS PBI Artículos'!AK:AK))</f>
        <v>0</v>
      </c>
      <c r="F508" s="35">
        <f>_xlfn.XLOOKUP($A508,'[1]DATOS PBI Artículos'!A:A,'[1]DATOS PBI Artículos'!AP:AP)</f>
        <v>0</v>
      </c>
      <c r="G508" s="34">
        <f>_xlfn.XLOOKUP($A508,'[1]DATOS PBI Artículos'!A:A,'[1]DATOS PBI Artículos'!AR:AR)</f>
        <v>0</v>
      </c>
      <c r="H508" s="34">
        <f>_xlfn.XLOOKUP($A508,'[1]DATOS PBI Artículos'!A:A,'[1]DATOS PBI Artículos'!AT:AT)</f>
        <v>0</v>
      </c>
      <c r="I508" s="34">
        <f>_xlfn.XLOOKUP($A508,'[1]DATOS PBI Artículos'!A:A,'[1]DATOS PBI Artículos'!AS:AS)</f>
        <v>0</v>
      </c>
      <c r="J508" s="35">
        <f>IF(COUNTIF([1]CRITERIOS!$F$179:$F$199,$A508)&gt;=1,
 IF(O508&lt;&gt;"",
    (O508/_xlfn.XLOOKUP(CONCATENATE(A508,L508),[1]MÁQUINAS!A:A,[1]MÁQUINAS!D:D))/24,
    (N508/_xlfn.XLOOKUP(CONCATENATE(A508,L508),[1]MÁQUINAS!A:A,[1]MÁQUINAS!D:D))/24),
  _xlfn.XLOOKUP($A508,'[1]DATOS PBI Artículos'!A:A,'[1]DATOS PBI Artículos'!AU:AU))</f>
        <v>0</v>
      </c>
      <c r="K508" s="36">
        <f>_xlfn.XLOOKUP($A508,'[1]DATOS PBI Artículos'!A:A,'[1]DATOS PBI Artículos'!AV:AV)</f>
        <v>0</v>
      </c>
      <c r="L508" s="33">
        <f>_xlfn.XLOOKUP(A508,[1]MÁQUINAS!B:B,[1]MÁQUINAS!C:C)</f>
        <v>0</v>
      </c>
      <c r="M508" s="34">
        <f t="array" ref="M508">_xlfn.XLOOKUP(A508,'[1]DATOS PBI Artículos'!A:A,'[1]DATOS PBI Artículos'!AX:$AX)</f>
        <v>0</v>
      </c>
      <c r="N508" s="37" t="e">
        <f>IF(I508="DV",
E508,
IF(COUNTIF([1]CRITERIOS!$I$179:$I$199,$A508)&gt;=1,
_xlfn.XLOOKUP($A508,[1]CRITERIOS!$I$179:$I$199,[1]CRITERIOS!$J$179:$J$199),
IF(COUNTIF([1]CRITERIOS!$L$179:$L$199,$A508)&gt;=1,
_xlfn.CEILING.MATH(IF($M508&gt;$E508,
$E508,
IF($M508&lt;$E508/ROUNDDOWN([1]CRITERIOS!$M$16/_xlfn.XLOOKUP($C508,[1]CRITERIOS!$K$25:$K$42,[1]CRITERIOS!$M$25:$M$42),
1),
E508/ROUNDDOWN([1]CRITERIOS!$M$16/_xlfn.XLOOKUP($C508,[1]CRITERIOS!$K$25:$K$42,[1]CRITERIOS!$M$25:$M$42),
1),
$M508)),
_xlfn.XLOOKUP($A508,[1]CRITERIOS!$L$179:$L$200,[1]CRITERIOS!$M$179:$M$200)),
_xlfn.CEILING.MATH(IF($M508&gt;$E508,
$E508,
IF($M508&lt;$E508/ROUNDDOWN([1]CRITERIOS!$M$16/_xlfn.XLOOKUP($C508,[1]CRITERIOS!$K$25:$K$42,[1]CRITERIOS!$M$25:$M$42),
1),
E508/ROUNDDOWN([1]CRITERIOS!$M$16/_xlfn.XLOOKUP($C508,[1]CRITERIOS!$K$25:$K$42,[1]CRITERIOS!$M$25:$M$42),
1),
$M508)),_xlfn.XLOOKUP(A508,'[1]DATOS PBI Artículos'!A:A,'[1]DATOS PBI Artículos'!Z:Z
)))))</f>
        <v>#N/A</v>
      </c>
      <c r="Q508" s="38" t="e">
        <f>IF(AND(O508="",N508=0),
0,
   IF(COUNTIF([1]CRITERIOS!$F$179:$F$199,$A508)&gt;=1,
   1,
   IF(R508="MTO",
      $D508,
      ROUNDUP(
                    IF(($E508-SUMIF('[1]DATOS PBI Artículos'!A:A,A508,'[1]DATOS PBI Artículos'!X:X)+($V508-_xlfn.XLOOKUP(A508,'[1]DATOS PBI Artículos'!A:A,'[1]DATOS PBI Artículos'!W:W)))&lt;0,
                    0,
                    IF(($E508-SUMIF('[1]DATOS PBI Artículos'!A:A,A508,'[1]DATOS PBI Artículos'!X:X)+$V508-_xlfn.XLOOKUP($A508,'[1]DATOS PBI Artículos'!A:A,'[1]DATOS PBI Artículos'!W:W))/IF($O508="",$N508,$O508)&gt;ROUNDUP([1]CRITERIOS!$M$16/(IF(COUNTIF([1]CRITERIOS!$BG$11:$BG$201,L508)&gt;=1,_xlfn.XLOOKUP($C508,[1]CRITERIOS!$K$25:$K$42,[1]CRITERIOS!$M$25:$M$42),_xlfn.XLOOKUP($C508,[1]CRITERIOS!$K$25:$K$42,[1]CRITERIOS!$M$25:$M$42))),0),
                    ROUNDUP([1]CRITERIOS!$M$16/(IF(COUNTIF([1]CRITERIOS!$BG$11:$BG$201,$L508)&gt;=1,_xlfn.XLOOKUP($C508,[1]CRITERIOS!$K$25:$K$42,[1]CRITERIOS!$M$25:$M$42),_xlfn.XLOOKUP($C508,[1]CRITERIOS!$K$25:$K$42,[1]CRITERIOS!$M$25:$M$42))),0),
                    (E508+V508-SUMIF('[1]DATOS PBI Artículos'!A:A,A508,'[1]DATOS PBI Artículos'!X:X)-_xlfn.XLOOKUP(A508,'[1]DATOS PBI Artículos'!A:A,'[1]DATOS PBI Artículos'!W:W))/IF($O508="",$N508,$O508))),0))))</f>
        <v>#N/A</v>
      </c>
      <c r="R508" s="33" t="e">
        <f>IF(U508&lt;&gt;"",U508,IF(F508="DV","MTO",IF(N508=0,"MTO",_xlfn.XLOOKUP(CONCATENATE(S508,T508),[1]CRITERIOS!$K$160:$K$168,[1]CRITERIOS!$N$160:$N$168))))</f>
        <v>#N/A</v>
      </c>
      <c r="S508" s="33" t="e">
        <f>IF(G508="DV","MTO",IF(N508=0,"MTO",IF(OR(AND(N508=0,O508=""),IF(O508="",G508/N508,G508/O508)&gt;[1]CRITERIOS!$G$163),"MTO",IF(IF(O508="",G508/N508,G508/O508)&lt;[1]CRITERIOS!$H$161,"MTS","MTOS"))))</f>
        <v>#N/A</v>
      </c>
      <c r="T508" s="33" t="e">
        <f>IF(F508="DV","MTO",IF(OR(AND($N508=0,O508=""),$F508/$J508&gt;[1]CRITERIOS!$G$170,$F508="DV"),"MTO",IF($F508/$J508&lt;[1]CRITERIOS!$H$168,"MTS","MTOS")))</f>
        <v>#N/A</v>
      </c>
      <c r="V508" s="34" t="e">
        <f t="shared" si="25"/>
        <v>#N/A</v>
      </c>
      <c r="X508" s="34" t="e">
        <f t="shared" si="23"/>
        <v>#N/A</v>
      </c>
      <c r="Y508" s="34" t="e">
        <f t="shared" si="24"/>
        <v>#N/A</v>
      </c>
      <c r="Z508" s="34" t="e">
        <f>IF($R508="MTO",
0,
($H508+$K508*($E508/[1]CRITERIOS!$M$16))/[1]CRITERIOS!$X$48)</f>
        <v>#N/A</v>
      </c>
      <c r="AA508" s="34" t="e">
        <f>ROUNDUP(($Y508/_xlfn.XLOOKUP($A508,'[1]DATOS PBI Artículos'!$A$4:$A$4,'[1]DATOS PBI Artículos'!$Z$4:$Z$4))/_xlfn.XLOOKUP(_xlfn.XLOOKUP($A508,'[1]DATOS PBI Artículos'!$A$4:$A$4,'[1]DATOS PBI Artículos'!$Y$4:$Y$4),[1]CRITERIOS!$P$79:$P$123,[1]CRITERIOS!$S$79:$S$123,),0)</f>
        <v>#N/A</v>
      </c>
      <c r="AB508" s="33" t="e">
        <f t="array" ref="AB508">IF((E508+V508-_xlfn.XLOOKUP(A508,'[1]DATOS PBI Artículos'!$A$4:$A$4,'[1]DATOS PBI Artículos'!$W$4:$W$4))/N508&gt;ROUNDUP([1]CRITERIOS!$M$16/(IF(COUNTIF([1]CRITERIOS!$BG$11:$BG$201,L508)&gt;=1,_xlfn.XLOOKUP(ARTÍCULOS!L508,[1]CRITERIOS!$BG$11:$BG$201,[1]CRITERIOS!$BJ$11:$BJ$201),_xlfn.XLOOKUP(ARTÍCULOS!C508,[1]CRITERIOS!$K$25:$K$42,[1]CRITERIOS!$M$25:$M$42))),0),ROUNDUP([1]CRITERIOS!$M$16/(IF(COUNTIF([1]CRITERIOS!$BG$11:$BG$201,L508)&gt;=1,_xlfn.XLOOKUP(ARTÍCULOS!L508,[1]CRITERIOS!$BG$11:$BG$201:#REF!,[1]CRITERIOS!$BJ$11:$BJ$201),_xlfn.XLOOKUP(ARTÍCULOS!C508,[1]CRITERIOS!$K$25:$K$42,[1]CRITERIOS!$M$25:$M$42))),0),(E508+V508-_xlfn.XLOOKUP(A508,'[1]DATOS PBI Artículos'!$A$4:$A$4,'[1]DATOS PBI Artículos'!$W$4:$W$4))/N508)</f>
        <v>#N/A</v>
      </c>
      <c r="AC508" s="33" t="e">
        <f>IF(N508=0,"",(ROUNDUP((N508/2)/(_xlfn.XLOOKUP(A508,'[1]DATOS PBI Artículos'!$A$4:$A$4,'[1]DATOS PBI Artículos'!$Z$4:$Z$4)*_xlfn.XLOOKUP(_xlfn.XLOOKUP(A508,'[1]DATOS PBI Artículos'!$A$4:$A$4,'[1]DATOS PBI Artículos'!$Y$4:$Y$4),[1]CRITERIOS!$P$79:$P$123,[1]CRITERIOS!$S$79:$S$123)),0)*[1]CRITERIOS!$M$80*([1]CRITERIOS!$M$110/[1]CRITERIOS!$M$86)+(_xlfn.XLOOKUP(A508,'[1]DATOS PBI Artículos'!$A$4:$A$4,'[1]DATOS PBI Artículos'!$AA$4:$AA$4)*([1]CRITERIOS!$M$95+[1]CRITERIOS!$M$98)))/N508)</f>
        <v>#N/A</v>
      </c>
      <c r="AD508" s="33" t="e">
        <f>IF(N508=0,"",(ROUNDUP((N508/2)/(_xlfn.XLOOKUP(A508,'[1]DATOS PBI Artículos'!$A$4:$A$4,'[1]DATOS PBI Artículos'!$Z$4:$Z$4)*_xlfn.XLOOKUP(_xlfn.XLOOKUP(A508,'[1]DATOS PBI Artículos'!$A$4:$A$4,'[1]DATOS PBI Artículos'!$Y$4:$Y$4),[1]CRITERIOS!$P$79:$P$123,[1]CRITERIOS!$S$79:$S$123)),0)*[1]CRITERIOS!$M$80*([1]CRITERIOS!$M$89*[1]CRITERIOS!$M$92)+((_xlfn.XLOOKUP(A508,'[1]DATOS PBI Artículos'!$A$4:$A$4,'[1]DATOS PBI Artículos'!$AA$4:$AA$4)/2)*([1]CRITERIOS!$M$95+[1]CRITERIOS!$M$98)))/N508)</f>
        <v>#N/A</v>
      </c>
      <c r="AE508" s="39" t="e">
        <f>IF($R508="MTO","",
IF($H508=0,ROUNDUP(((_xlfn.XLOOKUP($A508,'[1]DATOS PBI Artículos'!$A:$A,'[1]DATOS PBI Artículos'!$AL:$AL))/(_xlfn.XLOOKUP($AF$1,[1]CRITERIOS!$S$16:$S$39,[1]CRITERIOS!$Y$16:$Y$39))*$J508+$Z508)/$G508,0)*$G508,
((_xlfn.XLOOKUP($A508,'[1]DATOS PBI Artículos'!$A:$A,'[1]DATOS PBI Artículos'!$AL:$AL))/(_xlfn.XLOOKUP($AF$1,[1]CRITERIOS!$S$16:$S$39,[1]CRITERIOS!$Y$16:$Y$39))*$J508+$Z508)))</f>
        <v>#N/A</v>
      </c>
      <c r="AG508" s="39" t="e">
        <f>IF($R508="MTO","",
IF($H508=0,ROUNDUP(((_xlfn.XLOOKUP($A508,'[1]DATOS PBI Artículos'!$A:$A,'[1]DATOS PBI Artículos'!$AM:$AM))/(_xlfn.XLOOKUP($AH$1,[1]CRITERIOS!$S$16:$S$39,[1]CRITERIOS!$Y$16:$Y$39))*$J508+$Z508)/$G508,0)*$G508,
((_xlfn.XLOOKUP($A508,'[1]DATOS PBI Artículos'!$A:$A,'[1]DATOS PBI Artículos'!$AM:$AM))/(_xlfn.XLOOKUP($AH$1,[1]CRITERIOS!$S$16:$S$39,[1]CRITERIOS!$Y$16:$Y$39))*$J508+$Z508)))</f>
        <v>#N/A</v>
      </c>
      <c r="AI508" s="39" t="e">
        <f>IF($R508="MTO","",
IF($H508=0,ROUNDUP(((_xlfn.XLOOKUP($A508,'[1]DATOS PBI Artículos'!$A:$A,'[1]DATOS PBI Artículos'!$AN:$AN))/(_xlfn.XLOOKUP($AJ$1,[1]CRITERIOS!$S$16:$S$39,[1]CRITERIOS!$Y$16:$Y$39))*$J508+$Z508)/$G508,0)*$G508,
((_xlfn.XLOOKUP($A508,'[1]DATOS PBI Artículos'!$A:$A,'[1]DATOS PBI Artículos'!$AN:$AN))/(_xlfn.XLOOKUP($AJ$1,[1]CRITERIOS!$S$16:$S$39,[1]CRITERIOS!$Y$16:$Y$39))*$J508+$Z508)))</f>
        <v>#N/A</v>
      </c>
      <c r="AK508" s="39" t="e">
        <f>IF($R508="MTO","",
IF($H508=0,ROUNDUP(((_xlfn.XLOOKUP($A508,'[1]DATOS PBI Artículos'!$A:$A,'[1]DATOS PBI Artículos'!$AO:$AO))/(_xlfn.XLOOKUP($AL$1,[1]CRITERIOS!$S$16:$S$39,[1]CRITERIOS!$Y$16:$Y$39))*$J508+$Z508)/$G508,0)*$G508,
((_xlfn.XLOOKUP($A508,'[1]DATOS PBI Artículos'!$A:$A,'[1]DATOS PBI Artículos'!$AO:$AO))/(_xlfn.XLOOKUP($AL$1,[1]CRITERIOS!$S$16:$S$39,[1]CRITERIOS!$Y$16:$Y$39))*$J508+$Z508)))</f>
        <v>#N/A</v>
      </c>
    </row>
    <row r="509" spans="1:37" ht="25.8" hidden="1" x14ac:dyDescent="0.4">
      <c r="A509" s="41"/>
      <c r="B509" s="33">
        <f>_xlfn.XLOOKUP($A509,'[1]DATOS PBI Artículos'!A:A,'[1]DATOS PBI Artículos'!B:B)</f>
        <v>0</v>
      </c>
      <c r="C509" s="33">
        <f>_xlfn.XLOOKUP($A509,'[1]DATOS PBI Artículos'!A:A,'[1]DATOS PBI Artículos'!C:C)</f>
        <v>0</v>
      </c>
      <c r="D509" s="33">
        <f>_xlfn.XLOOKUP(A509,'[1]DATOS PBI Artículos'!A:A,'[1]DATOS PBI Artículos'!T:T)</f>
        <v>0</v>
      </c>
      <c r="E509" s="34">
        <f>IF(_xlfn.XLOOKUP($A509,'[1]DATOS PBI Artículos'!A:A,'[1]DATOS PBI Artículos'!AK:AK)="",_xlfn.XLOOKUP($A509,'[1]DATOS PBI Artículos'!A:A,'[1]DATOS PBI Artículos'!AJ:AJ),_xlfn.XLOOKUP($A509,'[1]DATOS PBI Artículos'!A:A,'[1]DATOS PBI Artículos'!AK:AK))</f>
        <v>0</v>
      </c>
      <c r="F509" s="35">
        <f>_xlfn.XLOOKUP($A509,'[1]DATOS PBI Artículos'!A:A,'[1]DATOS PBI Artículos'!AP:AP)</f>
        <v>0</v>
      </c>
      <c r="G509" s="34">
        <f>_xlfn.XLOOKUP($A509,'[1]DATOS PBI Artículos'!A:A,'[1]DATOS PBI Artículos'!AR:AR)</f>
        <v>0</v>
      </c>
      <c r="H509" s="34">
        <f>_xlfn.XLOOKUP($A509,'[1]DATOS PBI Artículos'!A:A,'[1]DATOS PBI Artículos'!AT:AT)</f>
        <v>0</v>
      </c>
      <c r="I509" s="34">
        <f>_xlfn.XLOOKUP($A509,'[1]DATOS PBI Artículos'!A:A,'[1]DATOS PBI Artículos'!AS:AS)</f>
        <v>0</v>
      </c>
      <c r="J509" s="35">
        <f>IF(COUNTIF([1]CRITERIOS!$F$179:$F$199,$A509)&gt;=1,
 IF(O509&lt;&gt;"",
    (O509/_xlfn.XLOOKUP(CONCATENATE(A509,L509),[1]MÁQUINAS!A:A,[1]MÁQUINAS!D:D))/24,
    (N509/_xlfn.XLOOKUP(CONCATENATE(A509,L509),[1]MÁQUINAS!A:A,[1]MÁQUINAS!D:D))/24),
  _xlfn.XLOOKUP($A509,'[1]DATOS PBI Artículos'!A:A,'[1]DATOS PBI Artículos'!AU:AU))</f>
        <v>0</v>
      </c>
      <c r="K509" s="36">
        <f>_xlfn.XLOOKUP($A509,'[1]DATOS PBI Artículos'!A:A,'[1]DATOS PBI Artículos'!AV:AV)</f>
        <v>0</v>
      </c>
      <c r="L509" s="33">
        <f>_xlfn.XLOOKUP(A509,[1]MÁQUINAS!B:B,[1]MÁQUINAS!C:C)</f>
        <v>0</v>
      </c>
      <c r="M509" s="34">
        <f t="array" ref="M509">_xlfn.XLOOKUP(A509,'[1]DATOS PBI Artículos'!A:A,'[1]DATOS PBI Artículos'!AX:$AX)</f>
        <v>0</v>
      </c>
      <c r="N509" s="37" t="e">
        <f>IF(I509="DV",
E509,
IF(COUNTIF([1]CRITERIOS!$I$179:$I$199,$A509)&gt;=1,
_xlfn.XLOOKUP($A509,[1]CRITERIOS!$I$179:$I$199,[1]CRITERIOS!$J$179:$J$199),
IF(COUNTIF([1]CRITERIOS!$L$179:$L$199,$A509)&gt;=1,
_xlfn.CEILING.MATH(IF($M509&gt;$E509,
$E509,
IF($M509&lt;$E509/ROUNDDOWN([1]CRITERIOS!$M$16/_xlfn.XLOOKUP($C509,[1]CRITERIOS!$K$25:$K$42,[1]CRITERIOS!$M$25:$M$42),
1),
E509/ROUNDDOWN([1]CRITERIOS!$M$16/_xlfn.XLOOKUP($C509,[1]CRITERIOS!$K$25:$K$42,[1]CRITERIOS!$M$25:$M$42),
1),
$M509)),
_xlfn.XLOOKUP($A509,[1]CRITERIOS!$L$179:$L$200,[1]CRITERIOS!$M$179:$M$200)),
_xlfn.CEILING.MATH(IF($M509&gt;$E509,
$E509,
IF($M509&lt;$E509/ROUNDDOWN([1]CRITERIOS!$M$16/_xlfn.XLOOKUP($C509,[1]CRITERIOS!$K$25:$K$42,[1]CRITERIOS!$M$25:$M$42),
1),
E509/ROUNDDOWN([1]CRITERIOS!$M$16/_xlfn.XLOOKUP($C509,[1]CRITERIOS!$K$25:$K$42,[1]CRITERIOS!$M$25:$M$42),
1),
$M509)),_xlfn.XLOOKUP(A509,'[1]DATOS PBI Artículos'!A:A,'[1]DATOS PBI Artículos'!Z:Z
)))))</f>
        <v>#N/A</v>
      </c>
      <c r="Q509" s="38" t="e">
        <f>IF(AND(O509="",N509=0),
0,
   IF(COUNTIF([1]CRITERIOS!$F$179:$F$199,$A509)&gt;=1,
   1,
   IF(R509="MTO",
      $D509,
      ROUNDUP(
                    IF(($E509-SUMIF('[1]DATOS PBI Artículos'!A:A,A509,'[1]DATOS PBI Artículos'!X:X)+($V509-_xlfn.XLOOKUP(A509,'[1]DATOS PBI Artículos'!A:A,'[1]DATOS PBI Artículos'!W:W)))&lt;0,
                    0,
                    IF(($E509-SUMIF('[1]DATOS PBI Artículos'!A:A,A509,'[1]DATOS PBI Artículos'!X:X)+$V509-_xlfn.XLOOKUP($A509,'[1]DATOS PBI Artículos'!A:A,'[1]DATOS PBI Artículos'!W:W))/IF($O509="",$N509,$O509)&gt;ROUNDUP([1]CRITERIOS!$M$16/(IF(COUNTIF([1]CRITERIOS!$BG$11:$BG$201,L509)&gt;=1,_xlfn.XLOOKUP($C509,[1]CRITERIOS!$K$25:$K$42,[1]CRITERIOS!$M$25:$M$42),_xlfn.XLOOKUP($C509,[1]CRITERIOS!$K$25:$K$42,[1]CRITERIOS!$M$25:$M$42))),0),
                    ROUNDUP([1]CRITERIOS!$M$16/(IF(COUNTIF([1]CRITERIOS!$BG$11:$BG$201,$L509)&gt;=1,_xlfn.XLOOKUP($C509,[1]CRITERIOS!$K$25:$K$42,[1]CRITERIOS!$M$25:$M$42),_xlfn.XLOOKUP($C509,[1]CRITERIOS!$K$25:$K$42,[1]CRITERIOS!$M$25:$M$42))),0),
                    (E509+V509-SUMIF('[1]DATOS PBI Artículos'!A:A,A509,'[1]DATOS PBI Artículos'!X:X)-_xlfn.XLOOKUP(A509,'[1]DATOS PBI Artículos'!A:A,'[1]DATOS PBI Artículos'!W:W))/IF($O509="",$N509,$O509))),0))))</f>
        <v>#N/A</v>
      </c>
      <c r="R509" s="33" t="e">
        <f>IF(U509&lt;&gt;"",U509,IF(F509="DV","MTO",IF(N509=0,"MTO",_xlfn.XLOOKUP(CONCATENATE(S509,T509),[1]CRITERIOS!$K$160:$K$168,[1]CRITERIOS!$N$160:$N$168))))</f>
        <v>#N/A</v>
      </c>
      <c r="S509" s="33" t="e">
        <f>IF(G509="DV","MTO",IF(N509=0,"MTO",IF(OR(AND(N509=0,O509=""),IF(O509="",G509/N509,G509/O509)&gt;[1]CRITERIOS!$G$163),"MTO",IF(IF(O509="",G509/N509,G509/O509)&lt;[1]CRITERIOS!$H$161,"MTS","MTOS"))))</f>
        <v>#N/A</v>
      </c>
      <c r="T509" s="33" t="e">
        <f>IF(F509="DV","MTO",IF(OR(AND($N509=0,O509=""),$F509/$J509&gt;[1]CRITERIOS!$G$170,$F509="DV"),"MTO",IF($F509/$J509&lt;[1]CRITERIOS!$H$168,"MTS","MTOS")))</f>
        <v>#N/A</v>
      </c>
      <c r="V509" s="34" t="e">
        <f t="shared" si="25"/>
        <v>#N/A</v>
      </c>
      <c r="X509" s="34" t="e">
        <f t="shared" si="23"/>
        <v>#N/A</v>
      </c>
      <c r="Y509" s="34" t="e">
        <f t="shared" si="24"/>
        <v>#N/A</v>
      </c>
      <c r="Z509" s="34" t="e">
        <f>IF($R509="MTO",
0,
($H509+$K509*($E509/[1]CRITERIOS!$M$16))/[1]CRITERIOS!$X$48)</f>
        <v>#N/A</v>
      </c>
      <c r="AA509" s="34" t="e">
        <f>ROUNDUP(($Y509/_xlfn.XLOOKUP($A509,'[1]DATOS PBI Artículos'!$A$4:$A$4,'[1]DATOS PBI Artículos'!$Z$4:$Z$4))/_xlfn.XLOOKUP(_xlfn.XLOOKUP($A509,'[1]DATOS PBI Artículos'!$A$4:$A$4,'[1]DATOS PBI Artículos'!$Y$4:$Y$4),[1]CRITERIOS!$P$79:$P$123,[1]CRITERIOS!$S$79:$S$123,),0)</f>
        <v>#N/A</v>
      </c>
      <c r="AB509" s="33" t="e">
        <f t="array" ref="AB509">IF((E509+V509-_xlfn.XLOOKUP(A509,'[1]DATOS PBI Artículos'!$A$4:$A$4,'[1]DATOS PBI Artículos'!$W$4:$W$4))/N509&gt;ROUNDUP([1]CRITERIOS!$M$16/(IF(COUNTIF([1]CRITERIOS!$BG$11:$BG$201,L509)&gt;=1,_xlfn.XLOOKUP(ARTÍCULOS!L509,[1]CRITERIOS!$BG$11:$BG$201,[1]CRITERIOS!$BJ$11:$BJ$201),_xlfn.XLOOKUP(ARTÍCULOS!C509,[1]CRITERIOS!$K$25:$K$42,[1]CRITERIOS!$M$25:$M$42))),0),ROUNDUP([1]CRITERIOS!$M$16/(IF(COUNTIF([1]CRITERIOS!$BG$11:$BG$201,L509)&gt;=1,_xlfn.XLOOKUP(ARTÍCULOS!L509,[1]CRITERIOS!$BG$11:$BG$201:#REF!,[1]CRITERIOS!$BJ$11:$BJ$201),_xlfn.XLOOKUP(ARTÍCULOS!C509,[1]CRITERIOS!$K$25:$K$42,[1]CRITERIOS!$M$25:$M$42))),0),(E509+V509-_xlfn.XLOOKUP(A509,'[1]DATOS PBI Artículos'!$A$4:$A$4,'[1]DATOS PBI Artículos'!$W$4:$W$4))/N509)</f>
        <v>#N/A</v>
      </c>
      <c r="AC509" s="33" t="e">
        <f>IF(N509=0,"",(ROUNDUP((N509/2)/(_xlfn.XLOOKUP(A509,'[1]DATOS PBI Artículos'!$A$4:$A$4,'[1]DATOS PBI Artículos'!$Z$4:$Z$4)*_xlfn.XLOOKUP(_xlfn.XLOOKUP(A509,'[1]DATOS PBI Artículos'!$A$4:$A$4,'[1]DATOS PBI Artículos'!$Y$4:$Y$4),[1]CRITERIOS!$P$79:$P$123,[1]CRITERIOS!$S$79:$S$123)),0)*[1]CRITERIOS!$M$80*([1]CRITERIOS!$M$110/[1]CRITERIOS!$M$86)+(_xlfn.XLOOKUP(A509,'[1]DATOS PBI Artículos'!$A$4:$A$4,'[1]DATOS PBI Artículos'!$AA$4:$AA$4)*([1]CRITERIOS!$M$95+[1]CRITERIOS!$M$98)))/N509)</f>
        <v>#N/A</v>
      </c>
      <c r="AD509" s="33" t="e">
        <f>IF(N509=0,"",(ROUNDUP((N509/2)/(_xlfn.XLOOKUP(A509,'[1]DATOS PBI Artículos'!$A$4:$A$4,'[1]DATOS PBI Artículos'!$Z$4:$Z$4)*_xlfn.XLOOKUP(_xlfn.XLOOKUP(A509,'[1]DATOS PBI Artículos'!$A$4:$A$4,'[1]DATOS PBI Artículos'!$Y$4:$Y$4),[1]CRITERIOS!$P$79:$P$123,[1]CRITERIOS!$S$79:$S$123)),0)*[1]CRITERIOS!$M$80*([1]CRITERIOS!$M$89*[1]CRITERIOS!$M$92)+((_xlfn.XLOOKUP(A509,'[1]DATOS PBI Artículos'!$A$4:$A$4,'[1]DATOS PBI Artículos'!$AA$4:$AA$4)/2)*([1]CRITERIOS!$M$95+[1]CRITERIOS!$M$98)))/N509)</f>
        <v>#N/A</v>
      </c>
      <c r="AE509" s="39" t="e">
        <f>IF($R509="MTO","",
IF($H509=0,ROUNDUP(((_xlfn.XLOOKUP($A509,'[1]DATOS PBI Artículos'!$A:$A,'[1]DATOS PBI Artículos'!$AL:$AL))/(_xlfn.XLOOKUP($AF$1,[1]CRITERIOS!$S$16:$S$39,[1]CRITERIOS!$Y$16:$Y$39))*$J509+$Z509)/$G509,0)*$G509,
((_xlfn.XLOOKUP($A509,'[1]DATOS PBI Artículos'!$A:$A,'[1]DATOS PBI Artículos'!$AL:$AL))/(_xlfn.XLOOKUP($AF$1,[1]CRITERIOS!$S$16:$S$39,[1]CRITERIOS!$Y$16:$Y$39))*$J509+$Z509)))</f>
        <v>#N/A</v>
      </c>
      <c r="AG509" s="39" t="e">
        <f>IF($R509="MTO","",
IF($H509=0,ROUNDUP(((_xlfn.XLOOKUP($A509,'[1]DATOS PBI Artículos'!$A:$A,'[1]DATOS PBI Artículos'!$AM:$AM))/(_xlfn.XLOOKUP($AH$1,[1]CRITERIOS!$S$16:$S$39,[1]CRITERIOS!$Y$16:$Y$39))*$J509+$Z509)/$G509,0)*$G509,
((_xlfn.XLOOKUP($A509,'[1]DATOS PBI Artículos'!$A:$A,'[1]DATOS PBI Artículos'!$AM:$AM))/(_xlfn.XLOOKUP($AH$1,[1]CRITERIOS!$S$16:$S$39,[1]CRITERIOS!$Y$16:$Y$39))*$J509+$Z509)))</f>
        <v>#N/A</v>
      </c>
      <c r="AI509" s="39" t="e">
        <f>IF($R509="MTO","",
IF($H509=0,ROUNDUP(((_xlfn.XLOOKUP($A509,'[1]DATOS PBI Artículos'!$A:$A,'[1]DATOS PBI Artículos'!$AN:$AN))/(_xlfn.XLOOKUP($AJ$1,[1]CRITERIOS!$S$16:$S$39,[1]CRITERIOS!$Y$16:$Y$39))*$J509+$Z509)/$G509,0)*$G509,
((_xlfn.XLOOKUP($A509,'[1]DATOS PBI Artículos'!$A:$A,'[1]DATOS PBI Artículos'!$AN:$AN))/(_xlfn.XLOOKUP($AJ$1,[1]CRITERIOS!$S$16:$S$39,[1]CRITERIOS!$Y$16:$Y$39))*$J509+$Z509)))</f>
        <v>#N/A</v>
      </c>
      <c r="AK509" s="39" t="e">
        <f>IF($R509="MTO","",
IF($H509=0,ROUNDUP(((_xlfn.XLOOKUP($A509,'[1]DATOS PBI Artículos'!$A:$A,'[1]DATOS PBI Artículos'!$AO:$AO))/(_xlfn.XLOOKUP($AL$1,[1]CRITERIOS!$S$16:$S$39,[1]CRITERIOS!$Y$16:$Y$39))*$J509+$Z509)/$G509,0)*$G509,
((_xlfn.XLOOKUP($A509,'[1]DATOS PBI Artículos'!$A:$A,'[1]DATOS PBI Artículos'!$AO:$AO))/(_xlfn.XLOOKUP($AL$1,[1]CRITERIOS!$S$16:$S$39,[1]CRITERIOS!$Y$16:$Y$39))*$J509+$Z509)))</f>
        <v>#N/A</v>
      </c>
    </row>
    <row r="510" spans="1:37" ht="25.8" hidden="1" x14ac:dyDescent="0.4">
      <c r="A510" s="41"/>
      <c r="B510" s="33">
        <f>_xlfn.XLOOKUP($A510,'[1]DATOS PBI Artículos'!A:A,'[1]DATOS PBI Artículos'!B:B)</f>
        <v>0</v>
      </c>
      <c r="C510" s="33">
        <f>_xlfn.XLOOKUP($A510,'[1]DATOS PBI Artículos'!A:A,'[1]DATOS PBI Artículos'!C:C)</f>
        <v>0</v>
      </c>
      <c r="D510" s="33">
        <f>_xlfn.XLOOKUP(A510,'[1]DATOS PBI Artículos'!A:A,'[1]DATOS PBI Artículos'!T:T)</f>
        <v>0</v>
      </c>
      <c r="E510" s="34">
        <f>IF(_xlfn.XLOOKUP($A510,'[1]DATOS PBI Artículos'!A:A,'[1]DATOS PBI Artículos'!AK:AK)="",_xlfn.XLOOKUP($A510,'[1]DATOS PBI Artículos'!A:A,'[1]DATOS PBI Artículos'!AJ:AJ),_xlfn.XLOOKUP($A510,'[1]DATOS PBI Artículos'!A:A,'[1]DATOS PBI Artículos'!AK:AK))</f>
        <v>0</v>
      </c>
      <c r="F510" s="35">
        <f>_xlfn.XLOOKUP($A510,'[1]DATOS PBI Artículos'!A:A,'[1]DATOS PBI Artículos'!AP:AP)</f>
        <v>0</v>
      </c>
      <c r="G510" s="34">
        <f>_xlfn.XLOOKUP($A510,'[1]DATOS PBI Artículos'!A:A,'[1]DATOS PBI Artículos'!AR:AR)</f>
        <v>0</v>
      </c>
      <c r="H510" s="34">
        <f>_xlfn.XLOOKUP($A510,'[1]DATOS PBI Artículos'!A:A,'[1]DATOS PBI Artículos'!AT:AT)</f>
        <v>0</v>
      </c>
      <c r="I510" s="34">
        <f>_xlfn.XLOOKUP($A510,'[1]DATOS PBI Artículos'!A:A,'[1]DATOS PBI Artículos'!AS:AS)</f>
        <v>0</v>
      </c>
      <c r="J510" s="35">
        <f>IF(COUNTIF([1]CRITERIOS!$F$179:$F$199,$A510)&gt;=1,
 IF(O510&lt;&gt;"",
    (O510/_xlfn.XLOOKUP(CONCATENATE(A510,L510),[1]MÁQUINAS!A:A,[1]MÁQUINAS!D:D))/24,
    (N510/_xlfn.XLOOKUP(CONCATENATE(A510,L510),[1]MÁQUINAS!A:A,[1]MÁQUINAS!D:D))/24),
  _xlfn.XLOOKUP($A510,'[1]DATOS PBI Artículos'!A:A,'[1]DATOS PBI Artículos'!AU:AU))</f>
        <v>0</v>
      </c>
      <c r="K510" s="36">
        <f>_xlfn.XLOOKUP($A510,'[1]DATOS PBI Artículos'!A:A,'[1]DATOS PBI Artículos'!AV:AV)</f>
        <v>0</v>
      </c>
      <c r="L510" s="33">
        <f>_xlfn.XLOOKUP(A510,[1]MÁQUINAS!B:B,[1]MÁQUINAS!C:C)</f>
        <v>0</v>
      </c>
      <c r="M510" s="34">
        <f t="array" ref="M510">_xlfn.XLOOKUP(A510,'[1]DATOS PBI Artículos'!A:A,'[1]DATOS PBI Artículos'!AX:$AX)</f>
        <v>0</v>
      </c>
      <c r="N510" s="37" t="e">
        <f>IF(I510="DV",
E510,
IF(COUNTIF([1]CRITERIOS!$I$179:$I$199,$A510)&gt;=1,
_xlfn.XLOOKUP($A510,[1]CRITERIOS!$I$179:$I$199,[1]CRITERIOS!$J$179:$J$199),
IF(COUNTIF([1]CRITERIOS!$L$179:$L$199,$A510)&gt;=1,
_xlfn.CEILING.MATH(IF($M510&gt;$E510,
$E510,
IF($M510&lt;$E510/ROUNDDOWN([1]CRITERIOS!$M$16/_xlfn.XLOOKUP($C510,[1]CRITERIOS!$K$25:$K$42,[1]CRITERIOS!$M$25:$M$42),
1),
E510/ROUNDDOWN([1]CRITERIOS!$M$16/_xlfn.XLOOKUP($C510,[1]CRITERIOS!$K$25:$K$42,[1]CRITERIOS!$M$25:$M$42),
1),
$M510)),
_xlfn.XLOOKUP($A510,[1]CRITERIOS!$L$179:$L$200,[1]CRITERIOS!$M$179:$M$200)),
_xlfn.CEILING.MATH(IF($M510&gt;$E510,
$E510,
IF($M510&lt;$E510/ROUNDDOWN([1]CRITERIOS!$M$16/_xlfn.XLOOKUP($C510,[1]CRITERIOS!$K$25:$K$42,[1]CRITERIOS!$M$25:$M$42),
1),
E510/ROUNDDOWN([1]CRITERIOS!$M$16/_xlfn.XLOOKUP($C510,[1]CRITERIOS!$K$25:$K$42,[1]CRITERIOS!$M$25:$M$42),
1),
$M510)),_xlfn.XLOOKUP(A510,'[1]DATOS PBI Artículos'!A:A,'[1]DATOS PBI Artículos'!Z:Z
)))))</f>
        <v>#N/A</v>
      </c>
      <c r="Q510" s="38" t="e">
        <f>IF(AND(O510="",N510=0),
0,
   IF(COUNTIF([1]CRITERIOS!$F$179:$F$199,$A510)&gt;=1,
   1,
   IF(R510="MTO",
      $D510,
      ROUNDUP(
                    IF(($E510-SUMIF('[1]DATOS PBI Artículos'!A:A,A510,'[1]DATOS PBI Artículos'!X:X)+($V510-_xlfn.XLOOKUP(A510,'[1]DATOS PBI Artículos'!A:A,'[1]DATOS PBI Artículos'!W:W)))&lt;0,
                    0,
                    IF(($E510-SUMIF('[1]DATOS PBI Artículos'!A:A,A510,'[1]DATOS PBI Artículos'!X:X)+$V510-_xlfn.XLOOKUP($A510,'[1]DATOS PBI Artículos'!A:A,'[1]DATOS PBI Artículos'!W:W))/IF($O510="",$N510,$O510)&gt;ROUNDUP([1]CRITERIOS!$M$16/(IF(COUNTIF([1]CRITERIOS!$BG$11:$BG$201,L510)&gt;=1,_xlfn.XLOOKUP($C510,[1]CRITERIOS!$K$25:$K$42,[1]CRITERIOS!$M$25:$M$42),_xlfn.XLOOKUP($C510,[1]CRITERIOS!$K$25:$K$42,[1]CRITERIOS!$M$25:$M$42))),0),
                    ROUNDUP([1]CRITERIOS!$M$16/(IF(COUNTIF([1]CRITERIOS!$BG$11:$BG$201,$L510)&gt;=1,_xlfn.XLOOKUP($C510,[1]CRITERIOS!$K$25:$K$42,[1]CRITERIOS!$M$25:$M$42),_xlfn.XLOOKUP($C510,[1]CRITERIOS!$K$25:$K$42,[1]CRITERIOS!$M$25:$M$42))),0),
                    (E510+V510-SUMIF('[1]DATOS PBI Artículos'!A:A,A510,'[1]DATOS PBI Artículos'!X:X)-_xlfn.XLOOKUP(A510,'[1]DATOS PBI Artículos'!A:A,'[1]DATOS PBI Artículos'!W:W))/IF($O510="",$N510,$O510))),0))))</f>
        <v>#N/A</v>
      </c>
      <c r="R510" s="33" t="e">
        <f>IF(U510&lt;&gt;"",U510,IF(F510="DV","MTO",IF(N510=0,"MTO",_xlfn.XLOOKUP(CONCATENATE(S510,T510),[1]CRITERIOS!$K$160:$K$168,[1]CRITERIOS!$N$160:$N$168))))</f>
        <v>#N/A</v>
      </c>
      <c r="S510" s="33" t="e">
        <f>IF(G510="DV","MTO",IF(N510=0,"MTO",IF(OR(AND(N510=0,O510=""),IF(O510="",G510/N510,G510/O510)&gt;[1]CRITERIOS!$G$163),"MTO",IF(IF(O510="",G510/N510,G510/O510)&lt;[1]CRITERIOS!$H$161,"MTS","MTOS"))))</f>
        <v>#N/A</v>
      </c>
      <c r="T510" s="33" t="e">
        <f>IF(F510="DV","MTO",IF(OR(AND($N510=0,O510=""),$F510/$J510&gt;[1]CRITERIOS!$G$170,$F510="DV"),"MTO",IF($F510/$J510&lt;[1]CRITERIOS!$H$168,"MTS","MTOS")))</f>
        <v>#N/A</v>
      </c>
      <c r="V510" s="34" t="e">
        <f t="shared" si="25"/>
        <v>#N/A</v>
      </c>
      <c r="X510" s="34" t="e">
        <f t="shared" si="23"/>
        <v>#N/A</v>
      </c>
      <c r="Y510" s="34" t="e">
        <f t="shared" si="24"/>
        <v>#N/A</v>
      </c>
      <c r="Z510" s="34" t="e">
        <f>IF($R510="MTO",
0,
($H510+$K510*($E510/[1]CRITERIOS!$M$16))/[1]CRITERIOS!$X$48)</f>
        <v>#N/A</v>
      </c>
      <c r="AA510" s="34" t="e">
        <f>ROUNDUP(($Y510/_xlfn.XLOOKUP($A510,'[1]DATOS PBI Artículos'!$A$4:$A$4,'[1]DATOS PBI Artículos'!$Z$4:$Z$4))/_xlfn.XLOOKUP(_xlfn.XLOOKUP($A510,'[1]DATOS PBI Artículos'!$A$4:$A$4,'[1]DATOS PBI Artículos'!$Y$4:$Y$4),[1]CRITERIOS!$P$79:$P$123,[1]CRITERIOS!$S$79:$S$123,),0)</f>
        <v>#N/A</v>
      </c>
      <c r="AB510" s="33" t="e">
        <f t="array" ref="AB510">IF((E510+V510-_xlfn.XLOOKUP(A510,'[1]DATOS PBI Artículos'!$A$4:$A$4,'[1]DATOS PBI Artículos'!$W$4:$W$4))/N510&gt;ROUNDUP([1]CRITERIOS!$M$16/(IF(COUNTIF([1]CRITERIOS!$BG$11:$BG$201,L510)&gt;=1,_xlfn.XLOOKUP(ARTÍCULOS!L510,[1]CRITERIOS!$BG$11:$BG$201,[1]CRITERIOS!$BJ$11:$BJ$201),_xlfn.XLOOKUP(ARTÍCULOS!C510,[1]CRITERIOS!$K$25:$K$42,[1]CRITERIOS!$M$25:$M$42))),0),ROUNDUP([1]CRITERIOS!$M$16/(IF(COUNTIF([1]CRITERIOS!$BG$11:$BG$201,L510)&gt;=1,_xlfn.XLOOKUP(ARTÍCULOS!L510,[1]CRITERIOS!$BG$11:$BG$201:#REF!,[1]CRITERIOS!$BJ$11:$BJ$201),_xlfn.XLOOKUP(ARTÍCULOS!C510,[1]CRITERIOS!$K$25:$K$42,[1]CRITERIOS!$M$25:$M$42))),0),(E510+V510-_xlfn.XLOOKUP(A510,'[1]DATOS PBI Artículos'!$A$4:$A$4,'[1]DATOS PBI Artículos'!$W$4:$W$4))/N510)</f>
        <v>#N/A</v>
      </c>
      <c r="AC510" s="33" t="e">
        <f>IF(N510=0,"",(ROUNDUP((N510/2)/(_xlfn.XLOOKUP(A510,'[1]DATOS PBI Artículos'!$A$4:$A$4,'[1]DATOS PBI Artículos'!$Z$4:$Z$4)*_xlfn.XLOOKUP(_xlfn.XLOOKUP(A510,'[1]DATOS PBI Artículos'!$A$4:$A$4,'[1]DATOS PBI Artículos'!$Y$4:$Y$4),[1]CRITERIOS!$P$79:$P$123,[1]CRITERIOS!$S$79:$S$123)),0)*[1]CRITERIOS!$M$80*([1]CRITERIOS!$M$110/[1]CRITERIOS!$M$86)+(_xlfn.XLOOKUP(A510,'[1]DATOS PBI Artículos'!$A$4:$A$4,'[1]DATOS PBI Artículos'!$AA$4:$AA$4)*([1]CRITERIOS!$M$95+[1]CRITERIOS!$M$98)))/N510)</f>
        <v>#N/A</v>
      </c>
      <c r="AD510" s="33" t="e">
        <f>IF(N510=0,"",(ROUNDUP((N510/2)/(_xlfn.XLOOKUP(A510,'[1]DATOS PBI Artículos'!$A$4:$A$4,'[1]DATOS PBI Artículos'!$Z$4:$Z$4)*_xlfn.XLOOKUP(_xlfn.XLOOKUP(A510,'[1]DATOS PBI Artículos'!$A$4:$A$4,'[1]DATOS PBI Artículos'!$Y$4:$Y$4),[1]CRITERIOS!$P$79:$P$123,[1]CRITERIOS!$S$79:$S$123)),0)*[1]CRITERIOS!$M$80*([1]CRITERIOS!$M$89*[1]CRITERIOS!$M$92)+((_xlfn.XLOOKUP(A510,'[1]DATOS PBI Artículos'!$A$4:$A$4,'[1]DATOS PBI Artículos'!$AA$4:$AA$4)/2)*([1]CRITERIOS!$M$95+[1]CRITERIOS!$M$98)))/N510)</f>
        <v>#N/A</v>
      </c>
      <c r="AE510" s="39" t="e">
        <f>IF($R510="MTO","",
IF($H510=0,ROUNDUP(((_xlfn.XLOOKUP($A510,'[1]DATOS PBI Artículos'!$A:$A,'[1]DATOS PBI Artículos'!$AL:$AL))/(_xlfn.XLOOKUP($AF$1,[1]CRITERIOS!$S$16:$S$39,[1]CRITERIOS!$Y$16:$Y$39))*$J510+$Z510)/$G510,0)*$G510,
((_xlfn.XLOOKUP($A510,'[1]DATOS PBI Artículos'!$A:$A,'[1]DATOS PBI Artículos'!$AL:$AL))/(_xlfn.XLOOKUP($AF$1,[1]CRITERIOS!$S$16:$S$39,[1]CRITERIOS!$Y$16:$Y$39))*$J510+$Z510)))</f>
        <v>#N/A</v>
      </c>
      <c r="AG510" s="39" t="e">
        <f>IF($R510="MTO","",
IF($H510=0,ROUNDUP(((_xlfn.XLOOKUP($A510,'[1]DATOS PBI Artículos'!$A:$A,'[1]DATOS PBI Artículos'!$AM:$AM))/(_xlfn.XLOOKUP($AH$1,[1]CRITERIOS!$S$16:$S$39,[1]CRITERIOS!$Y$16:$Y$39))*$J510+$Z510)/$G510,0)*$G510,
((_xlfn.XLOOKUP($A510,'[1]DATOS PBI Artículos'!$A:$A,'[1]DATOS PBI Artículos'!$AM:$AM))/(_xlfn.XLOOKUP($AH$1,[1]CRITERIOS!$S$16:$S$39,[1]CRITERIOS!$Y$16:$Y$39))*$J510+$Z510)))</f>
        <v>#N/A</v>
      </c>
      <c r="AI510" s="39" t="e">
        <f>IF($R510="MTO","",
IF($H510=0,ROUNDUP(((_xlfn.XLOOKUP($A510,'[1]DATOS PBI Artículos'!$A:$A,'[1]DATOS PBI Artículos'!$AN:$AN))/(_xlfn.XLOOKUP($AJ$1,[1]CRITERIOS!$S$16:$S$39,[1]CRITERIOS!$Y$16:$Y$39))*$J510+$Z510)/$G510,0)*$G510,
((_xlfn.XLOOKUP($A510,'[1]DATOS PBI Artículos'!$A:$A,'[1]DATOS PBI Artículos'!$AN:$AN))/(_xlfn.XLOOKUP($AJ$1,[1]CRITERIOS!$S$16:$S$39,[1]CRITERIOS!$Y$16:$Y$39))*$J510+$Z510)))</f>
        <v>#N/A</v>
      </c>
      <c r="AK510" s="39" t="e">
        <f>IF($R510="MTO","",
IF($H510=0,ROUNDUP(((_xlfn.XLOOKUP($A510,'[1]DATOS PBI Artículos'!$A:$A,'[1]DATOS PBI Artículos'!$AO:$AO))/(_xlfn.XLOOKUP($AL$1,[1]CRITERIOS!$S$16:$S$39,[1]CRITERIOS!$Y$16:$Y$39))*$J510+$Z510)/$G510,0)*$G510,
((_xlfn.XLOOKUP($A510,'[1]DATOS PBI Artículos'!$A:$A,'[1]DATOS PBI Artículos'!$AO:$AO))/(_xlfn.XLOOKUP($AL$1,[1]CRITERIOS!$S$16:$S$39,[1]CRITERIOS!$Y$16:$Y$39))*$J510+$Z510)))</f>
        <v>#N/A</v>
      </c>
    </row>
    <row r="511" spans="1:37" ht="25.8" hidden="1" x14ac:dyDescent="0.4">
      <c r="A511" s="41"/>
      <c r="B511" s="33">
        <f>_xlfn.XLOOKUP($A511,'[1]DATOS PBI Artículos'!A:A,'[1]DATOS PBI Artículos'!B:B)</f>
        <v>0</v>
      </c>
      <c r="C511" s="33">
        <f>_xlfn.XLOOKUP($A511,'[1]DATOS PBI Artículos'!A:A,'[1]DATOS PBI Artículos'!C:C)</f>
        <v>0</v>
      </c>
      <c r="D511" s="33">
        <f>_xlfn.XLOOKUP(A511,'[1]DATOS PBI Artículos'!A:A,'[1]DATOS PBI Artículos'!T:T)</f>
        <v>0</v>
      </c>
      <c r="E511" s="34">
        <f>IF(_xlfn.XLOOKUP($A511,'[1]DATOS PBI Artículos'!A:A,'[1]DATOS PBI Artículos'!AK:AK)="",_xlfn.XLOOKUP($A511,'[1]DATOS PBI Artículos'!A:A,'[1]DATOS PBI Artículos'!AJ:AJ),_xlfn.XLOOKUP($A511,'[1]DATOS PBI Artículos'!A:A,'[1]DATOS PBI Artículos'!AK:AK))</f>
        <v>0</v>
      </c>
      <c r="F511" s="35">
        <f>_xlfn.XLOOKUP($A511,'[1]DATOS PBI Artículos'!A:A,'[1]DATOS PBI Artículos'!AP:AP)</f>
        <v>0</v>
      </c>
      <c r="G511" s="34">
        <f>_xlfn.XLOOKUP($A511,'[1]DATOS PBI Artículos'!A:A,'[1]DATOS PBI Artículos'!AR:AR)</f>
        <v>0</v>
      </c>
      <c r="H511" s="34">
        <f>_xlfn.XLOOKUP($A511,'[1]DATOS PBI Artículos'!A:A,'[1]DATOS PBI Artículos'!AT:AT)</f>
        <v>0</v>
      </c>
      <c r="I511" s="34">
        <f>_xlfn.XLOOKUP($A511,'[1]DATOS PBI Artículos'!A:A,'[1]DATOS PBI Artículos'!AS:AS)</f>
        <v>0</v>
      </c>
      <c r="J511" s="35">
        <f>IF(COUNTIF([1]CRITERIOS!$F$179:$F$199,$A511)&gt;=1,
 IF(O511&lt;&gt;"",
    (O511/_xlfn.XLOOKUP(CONCATENATE(A511,L511),[1]MÁQUINAS!A:A,[1]MÁQUINAS!D:D))/24,
    (N511/_xlfn.XLOOKUP(CONCATENATE(A511,L511),[1]MÁQUINAS!A:A,[1]MÁQUINAS!D:D))/24),
  _xlfn.XLOOKUP($A511,'[1]DATOS PBI Artículos'!A:A,'[1]DATOS PBI Artículos'!AU:AU))</f>
        <v>0</v>
      </c>
      <c r="K511" s="36">
        <f>_xlfn.XLOOKUP($A511,'[1]DATOS PBI Artículos'!A:A,'[1]DATOS PBI Artículos'!AV:AV)</f>
        <v>0</v>
      </c>
      <c r="L511" s="33">
        <f>_xlfn.XLOOKUP(A511,[1]MÁQUINAS!B:B,[1]MÁQUINAS!C:C)</f>
        <v>0</v>
      </c>
      <c r="M511" s="34">
        <f t="array" ref="M511">_xlfn.XLOOKUP(A511,'[1]DATOS PBI Artículos'!A:A,'[1]DATOS PBI Artículos'!AX:$AX)</f>
        <v>0</v>
      </c>
      <c r="N511" s="37" t="e">
        <f>IF(I511="DV",
E511,
IF(COUNTIF([1]CRITERIOS!$I$179:$I$199,$A511)&gt;=1,
_xlfn.XLOOKUP($A511,[1]CRITERIOS!$I$179:$I$199,[1]CRITERIOS!$J$179:$J$199),
IF(COUNTIF([1]CRITERIOS!$L$179:$L$199,$A511)&gt;=1,
_xlfn.CEILING.MATH(IF($M511&gt;$E511,
$E511,
IF($M511&lt;$E511/ROUNDDOWN([1]CRITERIOS!$M$16/_xlfn.XLOOKUP($C511,[1]CRITERIOS!$K$25:$K$42,[1]CRITERIOS!$M$25:$M$42),
1),
E511/ROUNDDOWN([1]CRITERIOS!$M$16/_xlfn.XLOOKUP($C511,[1]CRITERIOS!$K$25:$K$42,[1]CRITERIOS!$M$25:$M$42),
1),
$M511)),
_xlfn.XLOOKUP($A511,[1]CRITERIOS!$L$179:$L$200,[1]CRITERIOS!$M$179:$M$200)),
_xlfn.CEILING.MATH(IF($M511&gt;$E511,
$E511,
IF($M511&lt;$E511/ROUNDDOWN([1]CRITERIOS!$M$16/_xlfn.XLOOKUP($C511,[1]CRITERIOS!$K$25:$K$42,[1]CRITERIOS!$M$25:$M$42),
1),
E511/ROUNDDOWN([1]CRITERIOS!$M$16/_xlfn.XLOOKUP($C511,[1]CRITERIOS!$K$25:$K$42,[1]CRITERIOS!$M$25:$M$42),
1),
$M511)),_xlfn.XLOOKUP(A511,'[1]DATOS PBI Artículos'!A:A,'[1]DATOS PBI Artículos'!Z:Z
)))))</f>
        <v>#N/A</v>
      </c>
      <c r="Q511" s="38" t="e">
        <f>IF(AND(O511="",N511=0),
0,
   IF(COUNTIF([1]CRITERIOS!$F$179:$F$199,$A511)&gt;=1,
   1,
   IF(R511="MTO",
      $D511,
      ROUNDUP(
                    IF(($E511-SUMIF('[1]DATOS PBI Artículos'!A:A,A511,'[1]DATOS PBI Artículos'!X:X)+($V511-_xlfn.XLOOKUP(A511,'[1]DATOS PBI Artículos'!A:A,'[1]DATOS PBI Artículos'!W:W)))&lt;0,
                    0,
                    IF(($E511-SUMIF('[1]DATOS PBI Artículos'!A:A,A511,'[1]DATOS PBI Artículos'!X:X)+$V511-_xlfn.XLOOKUP($A511,'[1]DATOS PBI Artículos'!A:A,'[1]DATOS PBI Artículos'!W:W))/IF($O511="",$N511,$O511)&gt;ROUNDUP([1]CRITERIOS!$M$16/(IF(COUNTIF([1]CRITERIOS!$BG$11:$BG$201,L511)&gt;=1,_xlfn.XLOOKUP($C511,[1]CRITERIOS!$K$25:$K$42,[1]CRITERIOS!$M$25:$M$42),_xlfn.XLOOKUP($C511,[1]CRITERIOS!$K$25:$K$42,[1]CRITERIOS!$M$25:$M$42))),0),
                    ROUNDUP([1]CRITERIOS!$M$16/(IF(COUNTIF([1]CRITERIOS!$BG$11:$BG$201,$L511)&gt;=1,_xlfn.XLOOKUP($C511,[1]CRITERIOS!$K$25:$K$42,[1]CRITERIOS!$M$25:$M$42),_xlfn.XLOOKUP($C511,[1]CRITERIOS!$K$25:$K$42,[1]CRITERIOS!$M$25:$M$42))),0),
                    (E511+V511-SUMIF('[1]DATOS PBI Artículos'!A:A,A511,'[1]DATOS PBI Artículos'!X:X)-_xlfn.XLOOKUP(A511,'[1]DATOS PBI Artículos'!A:A,'[1]DATOS PBI Artículos'!W:W))/IF($O511="",$N511,$O511))),0))))</f>
        <v>#N/A</v>
      </c>
      <c r="R511" s="33" t="e">
        <f>IF(U511&lt;&gt;"",U511,IF(F511="DV","MTO",IF(N511=0,"MTO",_xlfn.XLOOKUP(CONCATENATE(S511,T511),[1]CRITERIOS!$K$160:$K$168,[1]CRITERIOS!$N$160:$N$168))))</f>
        <v>#N/A</v>
      </c>
      <c r="S511" s="33" t="e">
        <f>IF(G511="DV","MTO",IF(N511=0,"MTO",IF(OR(AND(N511=0,O511=""),IF(O511="",G511/N511,G511/O511)&gt;[1]CRITERIOS!$G$163),"MTO",IF(IF(O511="",G511/N511,G511/O511)&lt;[1]CRITERIOS!$H$161,"MTS","MTOS"))))</f>
        <v>#N/A</v>
      </c>
      <c r="T511" s="33" t="e">
        <f>IF(F511="DV","MTO",IF(OR(AND($N511=0,O511=""),$F511/$J511&gt;[1]CRITERIOS!$G$170,$F511="DV"),"MTO",IF($F511/$J511&lt;[1]CRITERIOS!$H$168,"MTS","MTOS")))</f>
        <v>#N/A</v>
      </c>
      <c r="V511" s="34" t="e">
        <f t="shared" si="25"/>
        <v>#N/A</v>
      </c>
      <c r="X511" s="34" t="e">
        <f t="shared" si="23"/>
        <v>#N/A</v>
      </c>
      <c r="Y511" s="34" t="e">
        <f t="shared" si="24"/>
        <v>#N/A</v>
      </c>
      <c r="Z511" s="34" t="e">
        <f>IF($R511="MTO",
0,
($H511+$K511*($E511/[1]CRITERIOS!$M$16))/[1]CRITERIOS!$X$48)</f>
        <v>#N/A</v>
      </c>
      <c r="AA511" s="34" t="e">
        <f>ROUNDUP(($Y511/_xlfn.XLOOKUP($A511,'[1]DATOS PBI Artículos'!$A$4:$A$4,'[1]DATOS PBI Artículos'!$Z$4:$Z$4))/_xlfn.XLOOKUP(_xlfn.XLOOKUP($A511,'[1]DATOS PBI Artículos'!$A$4:$A$4,'[1]DATOS PBI Artículos'!$Y$4:$Y$4),[1]CRITERIOS!$P$79:$P$123,[1]CRITERIOS!$S$79:$S$123,),0)</f>
        <v>#N/A</v>
      </c>
      <c r="AB511" s="33" t="e">
        <f t="array" ref="AB511">IF((E511+V511-_xlfn.XLOOKUP(A511,'[1]DATOS PBI Artículos'!$A$4:$A$4,'[1]DATOS PBI Artículos'!$W$4:$W$4))/N511&gt;ROUNDUP([1]CRITERIOS!$M$16/(IF(COUNTIF([1]CRITERIOS!$BG$11:$BG$201,L511)&gt;=1,_xlfn.XLOOKUP(ARTÍCULOS!L511,[1]CRITERIOS!$BG$11:$BG$201,[1]CRITERIOS!$BJ$11:$BJ$201),_xlfn.XLOOKUP(ARTÍCULOS!C511,[1]CRITERIOS!$K$25:$K$42,[1]CRITERIOS!$M$25:$M$42))),0),ROUNDUP([1]CRITERIOS!$M$16/(IF(COUNTIF([1]CRITERIOS!$BG$11:$BG$201,L511)&gt;=1,_xlfn.XLOOKUP(ARTÍCULOS!L511,[1]CRITERIOS!$BG$11:$BG$201:#REF!,[1]CRITERIOS!$BJ$11:$BJ$201),_xlfn.XLOOKUP(ARTÍCULOS!C511,[1]CRITERIOS!$K$25:$K$42,[1]CRITERIOS!$M$25:$M$42))),0),(E511+V511-_xlfn.XLOOKUP(A511,'[1]DATOS PBI Artículos'!$A$4:$A$4,'[1]DATOS PBI Artículos'!$W$4:$W$4))/N511)</f>
        <v>#N/A</v>
      </c>
      <c r="AC511" s="33" t="e">
        <f>IF(N511=0,"",(ROUNDUP((N511/2)/(_xlfn.XLOOKUP(A511,'[1]DATOS PBI Artículos'!$A$4:$A$4,'[1]DATOS PBI Artículos'!$Z$4:$Z$4)*_xlfn.XLOOKUP(_xlfn.XLOOKUP(A511,'[1]DATOS PBI Artículos'!$A$4:$A$4,'[1]DATOS PBI Artículos'!$Y$4:$Y$4),[1]CRITERIOS!$P$79:$P$123,[1]CRITERIOS!$S$79:$S$123)),0)*[1]CRITERIOS!$M$80*([1]CRITERIOS!$M$110/[1]CRITERIOS!$M$86)+(_xlfn.XLOOKUP(A511,'[1]DATOS PBI Artículos'!$A$4:$A$4,'[1]DATOS PBI Artículos'!$AA$4:$AA$4)*([1]CRITERIOS!$M$95+[1]CRITERIOS!$M$98)))/N511)</f>
        <v>#N/A</v>
      </c>
      <c r="AD511" s="33" t="e">
        <f>IF(N511=0,"",(ROUNDUP((N511/2)/(_xlfn.XLOOKUP(A511,'[1]DATOS PBI Artículos'!$A$4:$A$4,'[1]DATOS PBI Artículos'!$Z$4:$Z$4)*_xlfn.XLOOKUP(_xlfn.XLOOKUP(A511,'[1]DATOS PBI Artículos'!$A$4:$A$4,'[1]DATOS PBI Artículos'!$Y$4:$Y$4),[1]CRITERIOS!$P$79:$P$123,[1]CRITERIOS!$S$79:$S$123)),0)*[1]CRITERIOS!$M$80*([1]CRITERIOS!$M$89*[1]CRITERIOS!$M$92)+((_xlfn.XLOOKUP(A511,'[1]DATOS PBI Artículos'!$A$4:$A$4,'[1]DATOS PBI Artículos'!$AA$4:$AA$4)/2)*([1]CRITERIOS!$M$95+[1]CRITERIOS!$M$98)))/N511)</f>
        <v>#N/A</v>
      </c>
      <c r="AE511" s="39" t="e">
        <f>IF($R511="MTO","",
IF($H511=0,ROUNDUP(((_xlfn.XLOOKUP($A511,'[1]DATOS PBI Artículos'!$A:$A,'[1]DATOS PBI Artículos'!$AL:$AL))/(_xlfn.XLOOKUP($AF$1,[1]CRITERIOS!$S$16:$S$39,[1]CRITERIOS!$Y$16:$Y$39))*$J511+$Z511)/$G511,0)*$G511,
((_xlfn.XLOOKUP($A511,'[1]DATOS PBI Artículos'!$A:$A,'[1]DATOS PBI Artículos'!$AL:$AL))/(_xlfn.XLOOKUP($AF$1,[1]CRITERIOS!$S$16:$S$39,[1]CRITERIOS!$Y$16:$Y$39))*$J511+$Z511)))</f>
        <v>#N/A</v>
      </c>
      <c r="AG511" s="39" t="e">
        <f>IF($R511="MTO","",
IF($H511=0,ROUNDUP(((_xlfn.XLOOKUP($A511,'[1]DATOS PBI Artículos'!$A:$A,'[1]DATOS PBI Artículos'!$AM:$AM))/(_xlfn.XLOOKUP($AH$1,[1]CRITERIOS!$S$16:$S$39,[1]CRITERIOS!$Y$16:$Y$39))*$J511+$Z511)/$G511,0)*$G511,
((_xlfn.XLOOKUP($A511,'[1]DATOS PBI Artículos'!$A:$A,'[1]DATOS PBI Artículos'!$AM:$AM))/(_xlfn.XLOOKUP($AH$1,[1]CRITERIOS!$S$16:$S$39,[1]CRITERIOS!$Y$16:$Y$39))*$J511+$Z511)))</f>
        <v>#N/A</v>
      </c>
      <c r="AI511" s="39" t="e">
        <f>IF($R511="MTO","",
IF($H511=0,ROUNDUP(((_xlfn.XLOOKUP($A511,'[1]DATOS PBI Artículos'!$A:$A,'[1]DATOS PBI Artículos'!$AN:$AN))/(_xlfn.XLOOKUP($AJ$1,[1]CRITERIOS!$S$16:$S$39,[1]CRITERIOS!$Y$16:$Y$39))*$J511+$Z511)/$G511,0)*$G511,
((_xlfn.XLOOKUP($A511,'[1]DATOS PBI Artículos'!$A:$A,'[1]DATOS PBI Artículos'!$AN:$AN))/(_xlfn.XLOOKUP($AJ$1,[1]CRITERIOS!$S$16:$S$39,[1]CRITERIOS!$Y$16:$Y$39))*$J511+$Z511)))</f>
        <v>#N/A</v>
      </c>
      <c r="AK511" s="39" t="e">
        <f>IF($R511="MTO","",
IF($H511=0,ROUNDUP(((_xlfn.XLOOKUP($A511,'[1]DATOS PBI Artículos'!$A:$A,'[1]DATOS PBI Artículos'!$AO:$AO))/(_xlfn.XLOOKUP($AL$1,[1]CRITERIOS!$S$16:$S$39,[1]CRITERIOS!$Y$16:$Y$39))*$J511+$Z511)/$G511,0)*$G511,
((_xlfn.XLOOKUP($A511,'[1]DATOS PBI Artículos'!$A:$A,'[1]DATOS PBI Artículos'!$AO:$AO))/(_xlfn.XLOOKUP($AL$1,[1]CRITERIOS!$S$16:$S$39,[1]CRITERIOS!$Y$16:$Y$39))*$J511+$Z511)))</f>
        <v>#N/A</v>
      </c>
    </row>
    <row r="512" spans="1:37" ht="25.8" hidden="1" x14ac:dyDescent="0.4">
      <c r="A512" s="41"/>
      <c r="B512" s="33">
        <f>_xlfn.XLOOKUP($A512,'[1]DATOS PBI Artículos'!A:A,'[1]DATOS PBI Artículos'!B:B)</f>
        <v>0</v>
      </c>
      <c r="C512" s="33">
        <f>_xlfn.XLOOKUP($A512,'[1]DATOS PBI Artículos'!A:A,'[1]DATOS PBI Artículos'!C:C)</f>
        <v>0</v>
      </c>
      <c r="D512" s="33">
        <f>_xlfn.XLOOKUP(A512,'[1]DATOS PBI Artículos'!A:A,'[1]DATOS PBI Artículos'!T:T)</f>
        <v>0</v>
      </c>
      <c r="E512" s="34">
        <f>IF(_xlfn.XLOOKUP($A512,'[1]DATOS PBI Artículos'!A:A,'[1]DATOS PBI Artículos'!AK:AK)="",_xlfn.XLOOKUP($A512,'[1]DATOS PBI Artículos'!A:A,'[1]DATOS PBI Artículos'!AJ:AJ),_xlfn.XLOOKUP($A512,'[1]DATOS PBI Artículos'!A:A,'[1]DATOS PBI Artículos'!AK:AK))</f>
        <v>0</v>
      </c>
      <c r="F512" s="35">
        <f>_xlfn.XLOOKUP($A512,'[1]DATOS PBI Artículos'!A:A,'[1]DATOS PBI Artículos'!AP:AP)</f>
        <v>0</v>
      </c>
      <c r="G512" s="34">
        <f>_xlfn.XLOOKUP($A512,'[1]DATOS PBI Artículos'!A:A,'[1]DATOS PBI Artículos'!AR:AR)</f>
        <v>0</v>
      </c>
      <c r="H512" s="34">
        <f>_xlfn.XLOOKUP($A512,'[1]DATOS PBI Artículos'!A:A,'[1]DATOS PBI Artículos'!AT:AT)</f>
        <v>0</v>
      </c>
      <c r="I512" s="34">
        <f>_xlfn.XLOOKUP($A512,'[1]DATOS PBI Artículos'!A:A,'[1]DATOS PBI Artículos'!AS:AS)</f>
        <v>0</v>
      </c>
      <c r="J512" s="35">
        <f>IF(COUNTIF([1]CRITERIOS!$F$179:$F$199,$A512)&gt;=1,
 IF(O512&lt;&gt;"",
    (O512/_xlfn.XLOOKUP(CONCATENATE(A512,L512),[1]MÁQUINAS!A:A,[1]MÁQUINAS!D:D))/24,
    (N512/_xlfn.XLOOKUP(CONCATENATE(A512,L512),[1]MÁQUINAS!A:A,[1]MÁQUINAS!D:D))/24),
  _xlfn.XLOOKUP($A512,'[1]DATOS PBI Artículos'!A:A,'[1]DATOS PBI Artículos'!AU:AU))</f>
        <v>0</v>
      </c>
      <c r="K512" s="36">
        <f>_xlfn.XLOOKUP($A512,'[1]DATOS PBI Artículos'!A:A,'[1]DATOS PBI Artículos'!AV:AV)</f>
        <v>0</v>
      </c>
      <c r="L512" s="33">
        <f>_xlfn.XLOOKUP(A512,[1]MÁQUINAS!B:B,[1]MÁQUINAS!C:C)</f>
        <v>0</v>
      </c>
      <c r="M512" s="34">
        <f t="array" ref="M512">_xlfn.XLOOKUP(A512,'[1]DATOS PBI Artículos'!A:A,'[1]DATOS PBI Artículos'!AX:$AX)</f>
        <v>0</v>
      </c>
      <c r="N512" s="37" t="e">
        <f>IF(I512="DV",
E512,
IF(COUNTIF([1]CRITERIOS!$I$179:$I$199,$A512)&gt;=1,
_xlfn.XLOOKUP($A512,[1]CRITERIOS!$I$179:$I$199,[1]CRITERIOS!$J$179:$J$199),
IF(COUNTIF([1]CRITERIOS!$L$179:$L$199,$A512)&gt;=1,
_xlfn.CEILING.MATH(IF($M512&gt;$E512,
$E512,
IF($M512&lt;$E512/ROUNDDOWN([1]CRITERIOS!$M$16/_xlfn.XLOOKUP($C512,[1]CRITERIOS!$K$25:$K$42,[1]CRITERIOS!$M$25:$M$42),
1),
E512/ROUNDDOWN([1]CRITERIOS!$M$16/_xlfn.XLOOKUP($C512,[1]CRITERIOS!$K$25:$K$42,[1]CRITERIOS!$M$25:$M$42),
1),
$M512)),
_xlfn.XLOOKUP($A512,[1]CRITERIOS!$L$179:$L$200,[1]CRITERIOS!$M$179:$M$200)),
_xlfn.CEILING.MATH(IF($M512&gt;$E512,
$E512,
IF($M512&lt;$E512/ROUNDDOWN([1]CRITERIOS!$M$16/_xlfn.XLOOKUP($C512,[1]CRITERIOS!$K$25:$K$42,[1]CRITERIOS!$M$25:$M$42),
1),
E512/ROUNDDOWN([1]CRITERIOS!$M$16/_xlfn.XLOOKUP($C512,[1]CRITERIOS!$K$25:$K$42,[1]CRITERIOS!$M$25:$M$42),
1),
$M512)),_xlfn.XLOOKUP(A512,'[1]DATOS PBI Artículos'!A:A,'[1]DATOS PBI Artículos'!Z:Z
)))))</f>
        <v>#N/A</v>
      </c>
      <c r="Q512" s="38" t="e">
        <f>IF(AND(O512="",N512=0),
0,
   IF(COUNTIF([1]CRITERIOS!$F$179:$F$199,$A512)&gt;=1,
   1,
   IF(R512="MTO",
      $D512,
      ROUNDUP(
                    IF(($E512-SUMIF('[1]DATOS PBI Artículos'!A:A,A512,'[1]DATOS PBI Artículos'!X:X)+($V512-_xlfn.XLOOKUP(A512,'[1]DATOS PBI Artículos'!A:A,'[1]DATOS PBI Artículos'!W:W)))&lt;0,
                    0,
                    IF(($E512-SUMIF('[1]DATOS PBI Artículos'!A:A,A512,'[1]DATOS PBI Artículos'!X:X)+$V512-_xlfn.XLOOKUP($A512,'[1]DATOS PBI Artículos'!A:A,'[1]DATOS PBI Artículos'!W:W))/IF($O512="",$N512,$O512)&gt;ROUNDUP([1]CRITERIOS!$M$16/(IF(COUNTIF([1]CRITERIOS!$BG$11:$BG$201,L512)&gt;=1,_xlfn.XLOOKUP($C512,[1]CRITERIOS!$K$25:$K$42,[1]CRITERIOS!$M$25:$M$42),_xlfn.XLOOKUP($C512,[1]CRITERIOS!$K$25:$K$42,[1]CRITERIOS!$M$25:$M$42))),0),
                    ROUNDUP([1]CRITERIOS!$M$16/(IF(COUNTIF([1]CRITERIOS!$BG$11:$BG$201,$L512)&gt;=1,_xlfn.XLOOKUP($C512,[1]CRITERIOS!$K$25:$K$42,[1]CRITERIOS!$M$25:$M$42),_xlfn.XLOOKUP($C512,[1]CRITERIOS!$K$25:$K$42,[1]CRITERIOS!$M$25:$M$42))),0),
                    (E512+V512-SUMIF('[1]DATOS PBI Artículos'!A:A,A512,'[1]DATOS PBI Artículos'!X:X)-_xlfn.XLOOKUP(A512,'[1]DATOS PBI Artículos'!A:A,'[1]DATOS PBI Artículos'!W:W))/IF($O512="",$N512,$O512))),0))))</f>
        <v>#N/A</v>
      </c>
      <c r="R512" s="33" t="e">
        <f>IF(U512&lt;&gt;"",U512,IF(F512="DV","MTO",IF(N512=0,"MTO",_xlfn.XLOOKUP(CONCATENATE(S512,T512),[1]CRITERIOS!$K$160:$K$168,[1]CRITERIOS!$N$160:$N$168))))</f>
        <v>#N/A</v>
      </c>
      <c r="S512" s="33" t="e">
        <f>IF(G512="DV","MTO",IF(N512=0,"MTO",IF(OR(AND(N512=0,O512=""),IF(O512="",G512/N512,G512/O512)&gt;[1]CRITERIOS!$G$163),"MTO",IF(IF(O512="",G512/N512,G512/O512)&lt;[1]CRITERIOS!$H$161,"MTS","MTOS"))))</f>
        <v>#N/A</v>
      </c>
      <c r="T512" s="33" t="e">
        <f>IF(F512="DV","MTO",IF(OR(AND($N512=0,O512=""),$F512/$J512&gt;[1]CRITERIOS!$G$170,$F512="DV"),"MTO",IF($F512/$J512&lt;[1]CRITERIOS!$H$168,"MTS","MTOS")))</f>
        <v>#N/A</v>
      </c>
      <c r="V512" s="34" t="e">
        <f t="shared" si="25"/>
        <v>#N/A</v>
      </c>
      <c r="X512" s="34" t="e">
        <f t="shared" si="23"/>
        <v>#N/A</v>
      </c>
      <c r="Y512" s="34" t="e">
        <f t="shared" si="24"/>
        <v>#N/A</v>
      </c>
      <c r="Z512" s="34" t="e">
        <f>IF($R512="MTO",
0,
($H512+$K512*($E512/[1]CRITERIOS!$M$16))/[1]CRITERIOS!$X$48)</f>
        <v>#N/A</v>
      </c>
      <c r="AA512" s="34" t="e">
        <f>ROUNDUP(($Y512/_xlfn.XLOOKUP($A512,'[1]DATOS PBI Artículos'!$A$4:$A$4,'[1]DATOS PBI Artículos'!$Z$4:$Z$4))/_xlfn.XLOOKUP(_xlfn.XLOOKUP($A512,'[1]DATOS PBI Artículos'!$A$4:$A$4,'[1]DATOS PBI Artículos'!$Y$4:$Y$4),[1]CRITERIOS!$P$79:$P$123,[1]CRITERIOS!$S$79:$S$123,),0)</f>
        <v>#N/A</v>
      </c>
      <c r="AB512" s="33" t="e">
        <f t="array" ref="AB512">IF((E512+V512-_xlfn.XLOOKUP(A512,'[1]DATOS PBI Artículos'!$A$4:$A$4,'[1]DATOS PBI Artículos'!$W$4:$W$4))/N512&gt;ROUNDUP([1]CRITERIOS!$M$16/(IF(COUNTIF([1]CRITERIOS!$BG$11:$BG$201,L512)&gt;=1,_xlfn.XLOOKUP(ARTÍCULOS!L512,[1]CRITERIOS!$BG$11:$BG$201,[1]CRITERIOS!$BJ$11:$BJ$201),_xlfn.XLOOKUP(ARTÍCULOS!C512,[1]CRITERIOS!$K$25:$K$42,[1]CRITERIOS!$M$25:$M$42))),0),ROUNDUP([1]CRITERIOS!$M$16/(IF(COUNTIF([1]CRITERIOS!$BG$11:$BG$201,L512)&gt;=1,_xlfn.XLOOKUP(ARTÍCULOS!L512,[1]CRITERIOS!$BG$11:$BG$201:#REF!,[1]CRITERIOS!$BJ$11:$BJ$201),_xlfn.XLOOKUP(ARTÍCULOS!C512,[1]CRITERIOS!$K$25:$K$42,[1]CRITERIOS!$M$25:$M$42))),0),(E512+V512-_xlfn.XLOOKUP(A512,'[1]DATOS PBI Artículos'!$A$4:$A$4,'[1]DATOS PBI Artículos'!$W$4:$W$4))/N512)</f>
        <v>#N/A</v>
      </c>
      <c r="AC512" s="33" t="e">
        <f>IF(N512=0,"",(ROUNDUP((N512/2)/(_xlfn.XLOOKUP(A512,'[1]DATOS PBI Artículos'!$A$4:$A$4,'[1]DATOS PBI Artículos'!$Z$4:$Z$4)*_xlfn.XLOOKUP(_xlfn.XLOOKUP(A512,'[1]DATOS PBI Artículos'!$A$4:$A$4,'[1]DATOS PBI Artículos'!$Y$4:$Y$4),[1]CRITERIOS!$P$79:$P$123,[1]CRITERIOS!$S$79:$S$123)),0)*[1]CRITERIOS!$M$80*([1]CRITERIOS!$M$110/[1]CRITERIOS!$M$86)+(_xlfn.XLOOKUP(A512,'[1]DATOS PBI Artículos'!$A$4:$A$4,'[1]DATOS PBI Artículos'!$AA$4:$AA$4)*([1]CRITERIOS!$M$95+[1]CRITERIOS!$M$98)))/N512)</f>
        <v>#N/A</v>
      </c>
      <c r="AD512" s="33" t="e">
        <f>IF(N512=0,"",(ROUNDUP((N512/2)/(_xlfn.XLOOKUP(A512,'[1]DATOS PBI Artículos'!$A$4:$A$4,'[1]DATOS PBI Artículos'!$Z$4:$Z$4)*_xlfn.XLOOKUP(_xlfn.XLOOKUP(A512,'[1]DATOS PBI Artículos'!$A$4:$A$4,'[1]DATOS PBI Artículos'!$Y$4:$Y$4),[1]CRITERIOS!$P$79:$P$123,[1]CRITERIOS!$S$79:$S$123)),0)*[1]CRITERIOS!$M$80*([1]CRITERIOS!$M$89*[1]CRITERIOS!$M$92)+((_xlfn.XLOOKUP(A512,'[1]DATOS PBI Artículos'!$A$4:$A$4,'[1]DATOS PBI Artículos'!$AA$4:$AA$4)/2)*([1]CRITERIOS!$M$95+[1]CRITERIOS!$M$98)))/N512)</f>
        <v>#N/A</v>
      </c>
      <c r="AE512" s="39" t="e">
        <f>IF($R512="MTO","",
IF($H512=0,ROUNDUP(((_xlfn.XLOOKUP($A512,'[1]DATOS PBI Artículos'!$A:$A,'[1]DATOS PBI Artículos'!$AL:$AL))/(_xlfn.XLOOKUP($AF$1,[1]CRITERIOS!$S$16:$S$39,[1]CRITERIOS!$Y$16:$Y$39))*$J512+$Z512)/$G512,0)*$G512,
((_xlfn.XLOOKUP($A512,'[1]DATOS PBI Artículos'!$A:$A,'[1]DATOS PBI Artículos'!$AL:$AL))/(_xlfn.XLOOKUP($AF$1,[1]CRITERIOS!$S$16:$S$39,[1]CRITERIOS!$Y$16:$Y$39))*$J512+$Z512)))</f>
        <v>#N/A</v>
      </c>
      <c r="AG512" s="39" t="e">
        <f>IF($R512="MTO","",
IF($H512=0,ROUNDUP(((_xlfn.XLOOKUP($A512,'[1]DATOS PBI Artículos'!$A:$A,'[1]DATOS PBI Artículos'!$AM:$AM))/(_xlfn.XLOOKUP($AH$1,[1]CRITERIOS!$S$16:$S$39,[1]CRITERIOS!$Y$16:$Y$39))*$J512+$Z512)/$G512,0)*$G512,
((_xlfn.XLOOKUP($A512,'[1]DATOS PBI Artículos'!$A:$A,'[1]DATOS PBI Artículos'!$AM:$AM))/(_xlfn.XLOOKUP($AH$1,[1]CRITERIOS!$S$16:$S$39,[1]CRITERIOS!$Y$16:$Y$39))*$J512+$Z512)))</f>
        <v>#N/A</v>
      </c>
      <c r="AI512" s="39" t="e">
        <f>IF($R512="MTO","",
IF($H512=0,ROUNDUP(((_xlfn.XLOOKUP($A512,'[1]DATOS PBI Artículos'!$A:$A,'[1]DATOS PBI Artículos'!$AN:$AN))/(_xlfn.XLOOKUP($AJ$1,[1]CRITERIOS!$S$16:$S$39,[1]CRITERIOS!$Y$16:$Y$39))*$J512+$Z512)/$G512,0)*$G512,
((_xlfn.XLOOKUP($A512,'[1]DATOS PBI Artículos'!$A:$A,'[1]DATOS PBI Artículos'!$AN:$AN))/(_xlfn.XLOOKUP($AJ$1,[1]CRITERIOS!$S$16:$S$39,[1]CRITERIOS!$Y$16:$Y$39))*$J512+$Z512)))</f>
        <v>#N/A</v>
      </c>
      <c r="AK512" s="39" t="e">
        <f>IF($R512="MTO","",
IF($H512=0,ROUNDUP(((_xlfn.XLOOKUP($A512,'[1]DATOS PBI Artículos'!$A:$A,'[1]DATOS PBI Artículos'!$AO:$AO))/(_xlfn.XLOOKUP($AL$1,[1]CRITERIOS!$S$16:$S$39,[1]CRITERIOS!$Y$16:$Y$39))*$J512+$Z512)/$G512,0)*$G512,
((_xlfn.XLOOKUP($A512,'[1]DATOS PBI Artículos'!$A:$A,'[1]DATOS PBI Artículos'!$AO:$AO))/(_xlfn.XLOOKUP($AL$1,[1]CRITERIOS!$S$16:$S$39,[1]CRITERIOS!$Y$16:$Y$39))*$J512+$Z512)))</f>
        <v>#N/A</v>
      </c>
    </row>
    <row r="513" spans="1:37" ht="25.8" hidden="1" x14ac:dyDescent="0.4">
      <c r="A513" s="41"/>
      <c r="B513" s="33">
        <f>_xlfn.XLOOKUP($A513,'[1]DATOS PBI Artículos'!A:A,'[1]DATOS PBI Artículos'!B:B)</f>
        <v>0</v>
      </c>
      <c r="C513" s="33">
        <f>_xlfn.XLOOKUP($A513,'[1]DATOS PBI Artículos'!A:A,'[1]DATOS PBI Artículos'!C:C)</f>
        <v>0</v>
      </c>
      <c r="D513" s="33">
        <f>_xlfn.XLOOKUP(A513,'[1]DATOS PBI Artículos'!A:A,'[1]DATOS PBI Artículos'!T:T)</f>
        <v>0</v>
      </c>
      <c r="E513" s="34">
        <f>IF(_xlfn.XLOOKUP($A513,'[1]DATOS PBI Artículos'!A:A,'[1]DATOS PBI Artículos'!AK:AK)="",_xlfn.XLOOKUP($A513,'[1]DATOS PBI Artículos'!A:A,'[1]DATOS PBI Artículos'!AJ:AJ),_xlfn.XLOOKUP($A513,'[1]DATOS PBI Artículos'!A:A,'[1]DATOS PBI Artículos'!AK:AK))</f>
        <v>0</v>
      </c>
      <c r="F513" s="35">
        <f>_xlfn.XLOOKUP($A513,'[1]DATOS PBI Artículos'!A:A,'[1]DATOS PBI Artículos'!AP:AP)</f>
        <v>0</v>
      </c>
      <c r="G513" s="34">
        <f>_xlfn.XLOOKUP($A513,'[1]DATOS PBI Artículos'!A:A,'[1]DATOS PBI Artículos'!AR:AR)</f>
        <v>0</v>
      </c>
      <c r="H513" s="34">
        <f>_xlfn.XLOOKUP($A513,'[1]DATOS PBI Artículos'!A:A,'[1]DATOS PBI Artículos'!AT:AT)</f>
        <v>0</v>
      </c>
      <c r="I513" s="34">
        <f>_xlfn.XLOOKUP($A513,'[1]DATOS PBI Artículos'!A:A,'[1]DATOS PBI Artículos'!AS:AS)</f>
        <v>0</v>
      </c>
      <c r="J513" s="35">
        <f>IF(COUNTIF([1]CRITERIOS!$F$179:$F$199,$A513)&gt;=1,
 IF(O513&lt;&gt;"",
    (O513/_xlfn.XLOOKUP(CONCATENATE(A513,L513),[1]MÁQUINAS!A:A,[1]MÁQUINAS!D:D))/24,
    (N513/_xlfn.XLOOKUP(CONCATENATE(A513,L513),[1]MÁQUINAS!A:A,[1]MÁQUINAS!D:D))/24),
  _xlfn.XLOOKUP($A513,'[1]DATOS PBI Artículos'!A:A,'[1]DATOS PBI Artículos'!AU:AU))</f>
        <v>0</v>
      </c>
      <c r="K513" s="36">
        <f>_xlfn.XLOOKUP($A513,'[1]DATOS PBI Artículos'!A:A,'[1]DATOS PBI Artículos'!AV:AV)</f>
        <v>0</v>
      </c>
      <c r="L513" s="33">
        <f>_xlfn.XLOOKUP(A513,[1]MÁQUINAS!B:B,[1]MÁQUINAS!C:C)</f>
        <v>0</v>
      </c>
      <c r="M513" s="34">
        <f t="array" ref="M513">_xlfn.XLOOKUP(A513,'[1]DATOS PBI Artículos'!A:A,'[1]DATOS PBI Artículos'!AX:$AX)</f>
        <v>0</v>
      </c>
      <c r="N513" s="37" t="e">
        <f>IF(I513="DV",
E513,
IF(COUNTIF([1]CRITERIOS!$I$179:$I$199,$A513)&gt;=1,
_xlfn.XLOOKUP($A513,[1]CRITERIOS!$I$179:$I$199,[1]CRITERIOS!$J$179:$J$199),
IF(COUNTIF([1]CRITERIOS!$L$179:$L$199,$A513)&gt;=1,
_xlfn.CEILING.MATH(IF($M513&gt;$E513,
$E513,
IF($M513&lt;$E513/ROUNDDOWN([1]CRITERIOS!$M$16/_xlfn.XLOOKUP($C513,[1]CRITERIOS!$K$25:$K$42,[1]CRITERIOS!$M$25:$M$42),
1),
E513/ROUNDDOWN([1]CRITERIOS!$M$16/_xlfn.XLOOKUP($C513,[1]CRITERIOS!$K$25:$K$42,[1]CRITERIOS!$M$25:$M$42),
1),
$M513)),
_xlfn.XLOOKUP($A513,[1]CRITERIOS!$L$179:$L$200,[1]CRITERIOS!$M$179:$M$200)),
_xlfn.CEILING.MATH(IF($M513&gt;$E513,
$E513,
IF($M513&lt;$E513/ROUNDDOWN([1]CRITERIOS!$M$16/_xlfn.XLOOKUP($C513,[1]CRITERIOS!$K$25:$K$42,[1]CRITERIOS!$M$25:$M$42),
1),
E513/ROUNDDOWN([1]CRITERIOS!$M$16/_xlfn.XLOOKUP($C513,[1]CRITERIOS!$K$25:$K$42,[1]CRITERIOS!$M$25:$M$42),
1),
$M513)),_xlfn.XLOOKUP(A513,'[1]DATOS PBI Artículos'!A:A,'[1]DATOS PBI Artículos'!Z:Z
)))))</f>
        <v>#N/A</v>
      </c>
      <c r="Q513" s="38" t="e">
        <f>IF(AND(O513="",N513=0),
0,
   IF(COUNTIF([1]CRITERIOS!$F$179:$F$199,$A513)&gt;=1,
   1,
   IF(R513="MTO",
      $D513,
      ROUNDUP(
                    IF(($E513-SUMIF('[1]DATOS PBI Artículos'!A:A,A513,'[1]DATOS PBI Artículos'!X:X)+($V513-_xlfn.XLOOKUP(A513,'[1]DATOS PBI Artículos'!A:A,'[1]DATOS PBI Artículos'!W:W)))&lt;0,
                    0,
                    IF(($E513-SUMIF('[1]DATOS PBI Artículos'!A:A,A513,'[1]DATOS PBI Artículos'!X:X)+$V513-_xlfn.XLOOKUP($A513,'[1]DATOS PBI Artículos'!A:A,'[1]DATOS PBI Artículos'!W:W))/IF($O513="",$N513,$O513)&gt;ROUNDUP([1]CRITERIOS!$M$16/(IF(COUNTIF([1]CRITERIOS!$BG$11:$BG$201,L513)&gt;=1,_xlfn.XLOOKUP($C513,[1]CRITERIOS!$K$25:$K$42,[1]CRITERIOS!$M$25:$M$42),_xlfn.XLOOKUP($C513,[1]CRITERIOS!$K$25:$K$42,[1]CRITERIOS!$M$25:$M$42))),0),
                    ROUNDUP([1]CRITERIOS!$M$16/(IF(COUNTIF([1]CRITERIOS!$BG$11:$BG$201,$L513)&gt;=1,_xlfn.XLOOKUP($C513,[1]CRITERIOS!$K$25:$K$42,[1]CRITERIOS!$M$25:$M$42),_xlfn.XLOOKUP($C513,[1]CRITERIOS!$K$25:$K$42,[1]CRITERIOS!$M$25:$M$42))),0),
                    (E513+V513-SUMIF('[1]DATOS PBI Artículos'!A:A,A513,'[1]DATOS PBI Artículos'!X:X)-_xlfn.XLOOKUP(A513,'[1]DATOS PBI Artículos'!A:A,'[1]DATOS PBI Artículos'!W:W))/IF($O513="",$N513,$O513))),0))))</f>
        <v>#N/A</v>
      </c>
      <c r="R513" s="33" t="e">
        <f>IF(U513&lt;&gt;"",U513,IF(F513="DV","MTO",IF(N513=0,"MTO",_xlfn.XLOOKUP(CONCATENATE(S513,T513),[1]CRITERIOS!$K$160:$K$168,[1]CRITERIOS!$N$160:$N$168))))</f>
        <v>#N/A</v>
      </c>
      <c r="S513" s="33" t="e">
        <f>IF(G513="DV","MTO",IF(N513=0,"MTO",IF(OR(AND(N513=0,O513=""),IF(O513="",G513/N513,G513/O513)&gt;[1]CRITERIOS!$G$163),"MTO",IF(IF(O513="",G513/N513,G513/O513)&lt;[1]CRITERIOS!$H$161,"MTS","MTOS"))))</f>
        <v>#N/A</v>
      </c>
      <c r="T513" s="33" t="e">
        <f>IF(F513="DV","MTO",IF(OR(AND($N513=0,O513=""),$F513/$J513&gt;[1]CRITERIOS!$G$170,$F513="DV"),"MTO",IF($F513/$J513&lt;[1]CRITERIOS!$H$168,"MTS","MTOS")))</f>
        <v>#N/A</v>
      </c>
      <c r="V513" s="34" t="e">
        <f t="shared" si="25"/>
        <v>#N/A</v>
      </c>
      <c r="X513" s="34" t="e">
        <f t="shared" si="23"/>
        <v>#N/A</v>
      </c>
      <c r="Y513" s="34" t="e">
        <f t="shared" si="24"/>
        <v>#N/A</v>
      </c>
      <c r="Z513" s="34" t="e">
        <f>IF($R513="MTO",
0,
($H513+$K513*($E513/[1]CRITERIOS!$M$16))/[1]CRITERIOS!$X$48)</f>
        <v>#N/A</v>
      </c>
      <c r="AA513" s="34" t="e">
        <f>ROUNDUP(($Y513/_xlfn.XLOOKUP($A513,'[1]DATOS PBI Artículos'!$A$4:$A$4,'[1]DATOS PBI Artículos'!$Z$4:$Z$4))/_xlfn.XLOOKUP(_xlfn.XLOOKUP($A513,'[1]DATOS PBI Artículos'!$A$4:$A$4,'[1]DATOS PBI Artículos'!$Y$4:$Y$4),[1]CRITERIOS!$P$79:$P$123,[1]CRITERIOS!$S$79:$S$123,),0)</f>
        <v>#N/A</v>
      </c>
      <c r="AB513" s="33" t="e">
        <f t="array" ref="AB513">IF((E513+V513-_xlfn.XLOOKUP(A513,'[1]DATOS PBI Artículos'!$A$4:$A$4,'[1]DATOS PBI Artículos'!$W$4:$W$4))/N513&gt;ROUNDUP([1]CRITERIOS!$M$16/(IF(COUNTIF([1]CRITERIOS!$BG$11:$BG$201,L513)&gt;=1,_xlfn.XLOOKUP(ARTÍCULOS!L513,[1]CRITERIOS!$BG$11:$BG$201,[1]CRITERIOS!$BJ$11:$BJ$201),_xlfn.XLOOKUP(ARTÍCULOS!C513,[1]CRITERIOS!$K$25:$K$42,[1]CRITERIOS!$M$25:$M$42))),0),ROUNDUP([1]CRITERIOS!$M$16/(IF(COUNTIF([1]CRITERIOS!$BG$11:$BG$201,L513)&gt;=1,_xlfn.XLOOKUP(ARTÍCULOS!L513,[1]CRITERIOS!$BG$11:$BG$201:#REF!,[1]CRITERIOS!$BJ$11:$BJ$201),_xlfn.XLOOKUP(ARTÍCULOS!C513,[1]CRITERIOS!$K$25:$K$42,[1]CRITERIOS!$M$25:$M$42))),0),(E513+V513-_xlfn.XLOOKUP(A513,'[1]DATOS PBI Artículos'!$A$4:$A$4,'[1]DATOS PBI Artículos'!$W$4:$W$4))/N513)</f>
        <v>#N/A</v>
      </c>
      <c r="AC513" s="33" t="e">
        <f>IF(N513=0,"",(ROUNDUP((N513/2)/(_xlfn.XLOOKUP(A513,'[1]DATOS PBI Artículos'!$A$4:$A$4,'[1]DATOS PBI Artículos'!$Z$4:$Z$4)*_xlfn.XLOOKUP(_xlfn.XLOOKUP(A513,'[1]DATOS PBI Artículos'!$A$4:$A$4,'[1]DATOS PBI Artículos'!$Y$4:$Y$4),[1]CRITERIOS!$P$79:$P$123,[1]CRITERIOS!$S$79:$S$123)),0)*[1]CRITERIOS!$M$80*([1]CRITERIOS!$M$110/[1]CRITERIOS!$M$86)+(_xlfn.XLOOKUP(A513,'[1]DATOS PBI Artículos'!$A$4:$A$4,'[1]DATOS PBI Artículos'!$AA$4:$AA$4)*([1]CRITERIOS!$M$95+[1]CRITERIOS!$M$98)))/N513)</f>
        <v>#N/A</v>
      </c>
      <c r="AD513" s="33" t="e">
        <f>IF(N513=0,"",(ROUNDUP((N513/2)/(_xlfn.XLOOKUP(A513,'[1]DATOS PBI Artículos'!$A$4:$A$4,'[1]DATOS PBI Artículos'!$Z$4:$Z$4)*_xlfn.XLOOKUP(_xlfn.XLOOKUP(A513,'[1]DATOS PBI Artículos'!$A$4:$A$4,'[1]DATOS PBI Artículos'!$Y$4:$Y$4),[1]CRITERIOS!$P$79:$P$123,[1]CRITERIOS!$S$79:$S$123)),0)*[1]CRITERIOS!$M$80*([1]CRITERIOS!$M$89*[1]CRITERIOS!$M$92)+((_xlfn.XLOOKUP(A513,'[1]DATOS PBI Artículos'!$A$4:$A$4,'[1]DATOS PBI Artículos'!$AA$4:$AA$4)/2)*([1]CRITERIOS!$M$95+[1]CRITERIOS!$M$98)))/N513)</f>
        <v>#N/A</v>
      </c>
      <c r="AE513" s="39" t="e">
        <f>IF($R513="MTO","",
IF($H513=0,ROUNDUP(((_xlfn.XLOOKUP($A513,'[1]DATOS PBI Artículos'!$A:$A,'[1]DATOS PBI Artículos'!$AL:$AL))/(_xlfn.XLOOKUP($AF$1,[1]CRITERIOS!$S$16:$S$39,[1]CRITERIOS!$Y$16:$Y$39))*$J513+$Z513)/$G513,0)*$G513,
((_xlfn.XLOOKUP($A513,'[1]DATOS PBI Artículos'!$A:$A,'[1]DATOS PBI Artículos'!$AL:$AL))/(_xlfn.XLOOKUP($AF$1,[1]CRITERIOS!$S$16:$S$39,[1]CRITERIOS!$Y$16:$Y$39))*$J513+$Z513)))</f>
        <v>#N/A</v>
      </c>
      <c r="AG513" s="39" t="e">
        <f>IF($R513="MTO","",
IF($H513=0,ROUNDUP(((_xlfn.XLOOKUP($A513,'[1]DATOS PBI Artículos'!$A:$A,'[1]DATOS PBI Artículos'!$AM:$AM))/(_xlfn.XLOOKUP($AH$1,[1]CRITERIOS!$S$16:$S$39,[1]CRITERIOS!$Y$16:$Y$39))*$J513+$Z513)/$G513,0)*$G513,
((_xlfn.XLOOKUP($A513,'[1]DATOS PBI Artículos'!$A:$A,'[1]DATOS PBI Artículos'!$AM:$AM))/(_xlfn.XLOOKUP($AH$1,[1]CRITERIOS!$S$16:$S$39,[1]CRITERIOS!$Y$16:$Y$39))*$J513+$Z513)))</f>
        <v>#N/A</v>
      </c>
      <c r="AI513" s="39" t="e">
        <f>IF($R513="MTO","",
IF($H513=0,ROUNDUP(((_xlfn.XLOOKUP($A513,'[1]DATOS PBI Artículos'!$A:$A,'[1]DATOS PBI Artículos'!$AN:$AN))/(_xlfn.XLOOKUP($AJ$1,[1]CRITERIOS!$S$16:$S$39,[1]CRITERIOS!$Y$16:$Y$39))*$J513+$Z513)/$G513,0)*$G513,
((_xlfn.XLOOKUP($A513,'[1]DATOS PBI Artículos'!$A:$A,'[1]DATOS PBI Artículos'!$AN:$AN))/(_xlfn.XLOOKUP($AJ$1,[1]CRITERIOS!$S$16:$S$39,[1]CRITERIOS!$Y$16:$Y$39))*$J513+$Z513)))</f>
        <v>#N/A</v>
      </c>
      <c r="AK513" s="39" t="e">
        <f>IF($R513="MTO","",
IF($H513=0,ROUNDUP(((_xlfn.XLOOKUP($A513,'[1]DATOS PBI Artículos'!$A:$A,'[1]DATOS PBI Artículos'!$AO:$AO))/(_xlfn.XLOOKUP($AL$1,[1]CRITERIOS!$S$16:$S$39,[1]CRITERIOS!$Y$16:$Y$39))*$J513+$Z513)/$G513,0)*$G513,
((_xlfn.XLOOKUP($A513,'[1]DATOS PBI Artículos'!$A:$A,'[1]DATOS PBI Artículos'!$AO:$AO))/(_xlfn.XLOOKUP($AL$1,[1]CRITERIOS!$S$16:$S$39,[1]CRITERIOS!$Y$16:$Y$39))*$J513+$Z513)))</f>
        <v>#N/A</v>
      </c>
    </row>
    <row r="514" spans="1:37" ht="25.8" hidden="1" x14ac:dyDescent="0.4">
      <c r="A514" s="41"/>
      <c r="B514" s="33">
        <f>_xlfn.XLOOKUP($A514,'[1]DATOS PBI Artículos'!A:A,'[1]DATOS PBI Artículos'!B:B)</f>
        <v>0</v>
      </c>
      <c r="C514" s="33">
        <f>_xlfn.XLOOKUP($A514,'[1]DATOS PBI Artículos'!A:A,'[1]DATOS PBI Artículos'!C:C)</f>
        <v>0</v>
      </c>
      <c r="D514" s="33">
        <f>_xlfn.XLOOKUP(A514,'[1]DATOS PBI Artículos'!A:A,'[1]DATOS PBI Artículos'!T:T)</f>
        <v>0</v>
      </c>
      <c r="E514" s="34">
        <f>IF(_xlfn.XLOOKUP($A514,'[1]DATOS PBI Artículos'!A:A,'[1]DATOS PBI Artículos'!AK:AK)="",_xlfn.XLOOKUP($A514,'[1]DATOS PBI Artículos'!A:A,'[1]DATOS PBI Artículos'!AJ:AJ),_xlfn.XLOOKUP($A514,'[1]DATOS PBI Artículos'!A:A,'[1]DATOS PBI Artículos'!AK:AK))</f>
        <v>0</v>
      </c>
      <c r="F514" s="35">
        <f>_xlfn.XLOOKUP($A514,'[1]DATOS PBI Artículos'!A:A,'[1]DATOS PBI Artículos'!AP:AP)</f>
        <v>0</v>
      </c>
      <c r="G514" s="34">
        <f>_xlfn.XLOOKUP($A514,'[1]DATOS PBI Artículos'!A:A,'[1]DATOS PBI Artículos'!AR:AR)</f>
        <v>0</v>
      </c>
      <c r="H514" s="34">
        <f>_xlfn.XLOOKUP($A514,'[1]DATOS PBI Artículos'!A:A,'[1]DATOS PBI Artículos'!AT:AT)</f>
        <v>0</v>
      </c>
      <c r="I514" s="34">
        <f>_xlfn.XLOOKUP($A514,'[1]DATOS PBI Artículos'!A:A,'[1]DATOS PBI Artículos'!AS:AS)</f>
        <v>0</v>
      </c>
      <c r="J514" s="35">
        <f>IF(COUNTIF([1]CRITERIOS!$F$179:$F$199,$A514)&gt;=1,
 IF(O514&lt;&gt;"",
    (O514/_xlfn.XLOOKUP(CONCATENATE(A514,L514),[1]MÁQUINAS!A:A,[1]MÁQUINAS!D:D))/24,
    (N514/_xlfn.XLOOKUP(CONCATENATE(A514,L514),[1]MÁQUINAS!A:A,[1]MÁQUINAS!D:D))/24),
  _xlfn.XLOOKUP($A514,'[1]DATOS PBI Artículos'!A:A,'[1]DATOS PBI Artículos'!AU:AU))</f>
        <v>0</v>
      </c>
      <c r="K514" s="36">
        <f>_xlfn.XLOOKUP($A514,'[1]DATOS PBI Artículos'!A:A,'[1]DATOS PBI Artículos'!AV:AV)</f>
        <v>0</v>
      </c>
      <c r="L514" s="33">
        <f>_xlfn.XLOOKUP(A514,[1]MÁQUINAS!B:B,[1]MÁQUINAS!C:C)</f>
        <v>0</v>
      </c>
      <c r="M514" s="34">
        <f t="array" ref="M514">_xlfn.XLOOKUP(A514,'[1]DATOS PBI Artículos'!A:A,'[1]DATOS PBI Artículos'!AX:$AX)</f>
        <v>0</v>
      </c>
      <c r="N514" s="37" t="e">
        <f>IF(I514="DV",
E514,
IF(COUNTIF([1]CRITERIOS!$I$179:$I$199,$A514)&gt;=1,
_xlfn.XLOOKUP($A514,[1]CRITERIOS!$I$179:$I$199,[1]CRITERIOS!$J$179:$J$199),
IF(COUNTIF([1]CRITERIOS!$L$179:$L$199,$A514)&gt;=1,
_xlfn.CEILING.MATH(IF($M514&gt;$E514,
$E514,
IF($M514&lt;$E514/ROUNDDOWN([1]CRITERIOS!$M$16/_xlfn.XLOOKUP($C514,[1]CRITERIOS!$K$25:$K$42,[1]CRITERIOS!$M$25:$M$42),
1),
E514/ROUNDDOWN([1]CRITERIOS!$M$16/_xlfn.XLOOKUP($C514,[1]CRITERIOS!$K$25:$K$42,[1]CRITERIOS!$M$25:$M$42),
1),
$M514)),
_xlfn.XLOOKUP($A514,[1]CRITERIOS!$L$179:$L$200,[1]CRITERIOS!$M$179:$M$200)),
_xlfn.CEILING.MATH(IF($M514&gt;$E514,
$E514,
IF($M514&lt;$E514/ROUNDDOWN([1]CRITERIOS!$M$16/_xlfn.XLOOKUP($C514,[1]CRITERIOS!$K$25:$K$42,[1]CRITERIOS!$M$25:$M$42),
1),
E514/ROUNDDOWN([1]CRITERIOS!$M$16/_xlfn.XLOOKUP($C514,[1]CRITERIOS!$K$25:$K$42,[1]CRITERIOS!$M$25:$M$42),
1),
$M514)),_xlfn.XLOOKUP(A514,'[1]DATOS PBI Artículos'!A:A,'[1]DATOS PBI Artículos'!Z:Z
)))))</f>
        <v>#N/A</v>
      </c>
      <c r="Q514" s="38" t="e">
        <f>IF(AND(O514="",N514=0),
0,
   IF(COUNTIF([1]CRITERIOS!$F$179:$F$199,$A514)&gt;=1,
   1,
   IF(R514="MTO",
      $D514,
      ROUNDUP(
                    IF(($E514-SUMIF('[1]DATOS PBI Artículos'!A:A,A514,'[1]DATOS PBI Artículos'!X:X)+($V514-_xlfn.XLOOKUP(A514,'[1]DATOS PBI Artículos'!A:A,'[1]DATOS PBI Artículos'!W:W)))&lt;0,
                    0,
                    IF(($E514-SUMIF('[1]DATOS PBI Artículos'!A:A,A514,'[1]DATOS PBI Artículos'!X:X)+$V514-_xlfn.XLOOKUP($A514,'[1]DATOS PBI Artículos'!A:A,'[1]DATOS PBI Artículos'!W:W))/IF($O514="",$N514,$O514)&gt;ROUNDUP([1]CRITERIOS!$M$16/(IF(COUNTIF([1]CRITERIOS!$BG$11:$BG$201,L514)&gt;=1,_xlfn.XLOOKUP($C514,[1]CRITERIOS!$K$25:$K$42,[1]CRITERIOS!$M$25:$M$42),_xlfn.XLOOKUP($C514,[1]CRITERIOS!$K$25:$K$42,[1]CRITERIOS!$M$25:$M$42))),0),
                    ROUNDUP([1]CRITERIOS!$M$16/(IF(COUNTIF([1]CRITERIOS!$BG$11:$BG$201,$L514)&gt;=1,_xlfn.XLOOKUP($C514,[1]CRITERIOS!$K$25:$K$42,[1]CRITERIOS!$M$25:$M$42),_xlfn.XLOOKUP($C514,[1]CRITERIOS!$K$25:$K$42,[1]CRITERIOS!$M$25:$M$42))),0),
                    (E514+V514-SUMIF('[1]DATOS PBI Artículos'!A:A,A514,'[1]DATOS PBI Artículos'!X:X)-_xlfn.XLOOKUP(A514,'[1]DATOS PBI Artículos'!A:A,'[1]DATOS PBI Artículos'!W:W))/IF($O514="",$N514,$O514))),0))))</f>
        <v>#N/A</v>
      </c>
      <c r="R514" s="33" t="e">
        <f>IF(U514&lt;&gt;"",U514,IF(F514="DV","MTO",IF(N514=0,"MTO",_xlfn.XLOOKUP(CONCATENATE(S514,T514),[1]CRITERIOS!$K$160:$K$168,[1]CRITERIOS!$N$160:$N$168))))</f>
        <v>#N/A</v>
      </c>
      <c r="S514" s="33" t="e">
        <f>IF(G514="DV","MTO",IF(N514=0,"MTO",IF(OR(AND(N514=0,O514=""),IF(O514="",G514/N514,G514/O514)&gt;[1]CRITERIOS!$G$163),"MTO",IF(IF(O514="",G514/N514,G514/O514)&lt;[1]CRITERIOS!$H$161,"MTS","MTOS"))))</f>
        <v>#N/A</v>
      </c>
      <c r="T514" s="33" t="e">
        <f>IF(F514="DV","MTO",IF(OR(AND($N514=0,O514=""),$F514/$J514&gt;[1]CRITERIOS!$G$170,$F514="DV"),"MTO",IF($F514/$J514&lt;[1]CRITERIOS!$H$168,"MTS","MTOS")))</f>
        <v>#N/A</v>
      </c>
      <c r="V514" s="34" t="e">
        <f t="shared" si="25"/>
        <v>#N/A</v>
      </c>
      <c r="X514" s="34" t="e">
        <f t="shared" si="23"/>
        <v>#N/A</v>
      </c>
      <c r="Y514" s="34" t="e">
        <f t="shared" si="24"/>
        <v>#N/A</v>
      </c>
      <c r="Z514" s="34" t="e">
        <f>IF($R514="MTO",
0,
($H514+$K514*($E514/[1]CRITERIOS!$M$16))/[1]CRITERIOS!$X$48)</f>
        <v>#N/A</v>
      </c>
      <c r="AA514" s="34" t="e">
        <f>ROUNDUP(($Y514/_xlfn.XLOOKUP($A514,'[1]DATOS PBI Artículos'!$A$4:$A$4,'[1]DATOS PBI Artículos'!$Z$4:$Z$4))/_xlfn.XLOOKUP(_xlfn.XLOOKUP($A514,'[1]DATOS PBI Artículos'!$A$4:$A$4,'[1]DATOS PBI Artículos'!$Y$4:$Y$4),[1]CRITERIOS!$P$79:$P$123,[1]CRITERIOS!$S$79:$S$123,),0)</f>
        <v>#N/A</v>
      </c>
      <c r="AB514" s="33" t="e">
        <f t="array" ref="AB514">IF((E514+V514-_xlfn.XLOOKUP(A514,'[1]DATOS PBI Artículos'!$A$4:$A$4,'[1]DATOS PBI Artículos'!$W$4:$W$4))/N514&gt;ROUNDUP([1]CRITERIOS!$M$16/(IF(COUNTIF([1]CRITERIOS!$BG$11:$BG$201,L514)&gt;=1,_xlfn.XLOOKUP(ARTÍCULOS!L514,[1]CRITERIOS!$BG$11:$BG$201,[1]CRITERIOS!$BJ$11:$BJ$201),_xlfn.XLOOKUP(ARTÍCULOS!C514,[1]CRITERIOS!$K$25:$K$42,[1]CRITERIOS!$M$25:$M$42))),0),ROUNDUP([1]CRITERIOS!$M$16/(IF(COUNTIF([1]CRITERIOS!$BG$11:$BG$201,L514)&gt;=1,_xlfn.XLOOKUP(ARTÍCULOS!L514,[1]CRITERIOS!$BG$11:$BG$201:#REF!,[1]CRITERIOS!$BJ$11:$BJ$201),_xlfn.XLOOKUP(ARTÍCULOS!C514,[1]CRITERIOS!$K$25:$K$42,[1]CRITERIOS!$M$25:$M$42))),0),(E514+V514-_xlfn.XLOOKUP(A514,'[1]DATOS PBI Artículos'!$A$4:$A$4,'[1]DATOS PBI Artículos'!$W$4:$W$4))/N514)</f>
        <v>#N/A</v>
      </c>
      <c r="AC514" s="33" t="e">
        <f>IF(N514=0,"",(ROUNDUP((N514/2)/(_xlfn.XLOOKUP(A514,'[1]DATOS PBI Artículos'!$A$4:$A$4,'[1]DATOS PBI Artículos'!$Z$4:$Z$4)*_xlfn.XLOOKUP(_xlfn.XLOOKUP(A514,'[1]DATOS PBI Artículos'!$A$4:$A$4,'[1]DATOS PBI Artículos'!$Y$4:$Y$4),[1]CRITERIOS!$P$79:$P$123,[1]CRITERIOS!$S$79:$S$123)),0)*[1]CRITERIOS!$M$80*([1]CRITERIOS!$M$110/[1]CRITERIOS!$M$86)+(_xlfn.XLOOKUP(A514,'[1]DATOS PBI Artículos'!$A$4:$A$4,'[1]DATOS PBI Artículos'!$AA$4:$AA$4)*([1]CRITERIOS!$M$95+[1]CRITERIOS!$M$98)))/N514)</f>
        <v>#N/A</v>
      </c>
      <c r="AD514" s="33" t="e">
        <f>IF(N514=0,"",(ROUNDUP((N514/2)/(_xlfn.XLOOKUP(A514,'[1]DATOS PBI Artículos'!$A$4:$A$4,'[1]DATOS PBI Artículos'!$Z$4:$Z$4)*_xlfn.XLOOKUP(_xlfn.XLOOKUP(A514,'[1]DATOS PBI Artículos'!$A$4:$A$4,'[1]DATOS PBI Artículos'!$Y$4:$Y$4),[1]CRITERIOS!$P$79:$P$123,[1]CRITERIOS!$S$79:$S$123)),0)*[1]CRITERIOS!$M$80*([1]CRITERIOS!$M$89*[1]CRITERIOS!$M$92)+((_xlfn.XLOOKUP(A514,'[1]DATOS PBI Artículos'!$A$4:$A$4,'[1]DATOS PBI Artículos'!$AA$4:$AA$4)/2)*([1]CRITERIOS!$M$95+[1]CRITERIOS!$M$98)))/N514)</f>
        <v>#N/A</v>
      </c>
      <c r="AE514" s="39" t="e">
        <f>IF($R514="MTO","",
IF($H514=0,ROUNDUP(((_xlfn.XLOOKUP($A514,'[1]DATOS PBI Artículos'!$A:$A,'[1]DATOS PBI Artículos'!$AL:$AL))/(_xlfn.XLOOKUP($AF$1,[1]CRITERIOS!$S$16:$S$39,[1]CRITERIOS!$Y$16:$Y$39))*$J514+$Z514)/$G514,0)*$G514,
((_xlfn.XLOOKUP($A514,'[1]DATOS PBI Artículos'!$A:$A,'[1]DATOS PBI Artículos'!$AL:$AL))/(_xlfn.XLOOKUP($AF$1,[1]CRITERIOS!$S$16:$S$39,[1]CRITERIOS!$Y$16:$Y$39))*$J514+$Z514)))</f>
        <v>#N/A</v>
      </c>
      <c r="AG514" s="39" t="e">
        <f>IF($R514="MTO","",
IF($H514=0,ROUNDUP(((_xlfn.XLOOKUP($A514,'[1]DATOS PBI Artículos'!$A:$A,'[1]DATOS PBI Artículos'!$AM:$AM))/(_xlfn.XLOOKUP($AH$1,[1]CRITERIOS!$S$16:$S$39,[1]CRITERIOS!$Y$16:$Y$39))*$J514+$Z514)/$G514,0)*$G514,
((_xlfn.XLOOKUP($A514,'[1]DATOS PBI Artículos'!$A:$A,'[1]DATOS PBI Artículos'!$AM:$AM))/(_xlfn.XLOOKUP($AH$1,[1]CRITERIOS!$S$16:$S$39,[1]CRITERIOS!$Y$16:$Y$39))*$J514+$Z514)))</f>
        <v>#N/A</v>
      </c>
      <c r="AI514" s="39" t="e">
        <f>IF($R514="MTO","",
IF($H514=0,ROUNDUP(((_xlfn.XLOOKUP($A514,'[1]DATOS PBI Artículos'!$A:$A,'[1]DATOS PBI Artículos'!$AN:$AN))/(_xlfn.XLOOKUP($AJ$1,[1]CRITERIOS!$S$16:$S$39,[1]CRITERIOS!$Y$16:$Y$39))*$J514+$Z514)/$G514,0)*$G514,
((_xlfn.XLOOKUP($A514,'[1]DATOS PBI Artículos'!$A:$A,'[1]DATOS PBI Artículos'!$AN:$AN))/(_xlfn.XLOOKUP($AJ$1,[1]CRITERIOS!$S$16:$S$39,[1]CRITERIOS!$Y$16:$Y$39))*$J514+$Z514)))</f>
        <v>#N/A</v>
      </c>
      <c r="AK514" s="39" t="e">
        <f>IF($R514="MTO","",
IF($H514=0,ROUNDUP(((_xlfn.XLOOKUP($A514,'[1]DATOS PBI Artículos'!$A:$A,'[1]DATOS PBI Artículos'!$AO:$AO))/(_xlfn.XLOOKUP($AL$1,[1]CRITERIOS!$S$16:$S$39,[1]CRITERIOS!$Y$16:$Y$39))*$J514+$Z514)/$G514,0)*$G514,
((_xlfn.XLOOKUP($A514,'[1]DATOS PBI Artículos'!$A:$A,'[1]DATOS PBI Artículos'!$AO:$AO))/(_xlfn.XLOOKUP($AL$1,[1]CRITERIOS!$S$16:$S$39,[1]CRITERIOS!$Y$16:$Y$39))*$J514+$Z514)))</f>
        <v>#N/A</v>
      </c>
    </row>
    <row r="515" spans="1:37" ht="25.8" hidden="1" x14ac:dyDescent="0.4">
      <c r="A515" s="41"/>
      <c r="B515" s="33">
        <f>_xlfn.XLOOKUP($A515,'[1]DATOS PBI Artículos'!A:A,'[1]DATOS PBI Artículos'!B:B)</f>
        <v>0</v>
      </c>
      <c r="C515" s="33">
        <f>_xlfn.XLOOKUP($A515,'[1]DATOS PBI Artículos'!A:A,'[1]DATOS PBI Artículos'!C:C)</f>
        <v>0</v>
      </c>
      <c r="D515" s="33">
        <f>_xlfn.XLOOKUP(A515,'[1]DATOS PBI Artículos'!A:A,'[1]DATOS PBI Artículos'!T:T)</f>
        <v>0</v>
      </c>
      <c r="E515" s="34">
        <f>IF(_xlfn.XLOOKUP($A515,'[1]DATOS PBI Artículos'!A:A,'[1]DATOS PBI Artículos'!AK:AK)="",_xlfn.XLOOKUP($A515,'[1]DATOS PBI Artículos'!A:A,'[1]DATOS PBI Artículos'!AJ:AJ),_xlfn.XLOOKUP($A515,'[1]DATOS PBI Artículos'!A:A,'[1]DATOS PBI Artículos'!AK:AK))</f>
        <v>0</v>
      </c>
      <c r="F515" s="35">
        <f>_xlfn.XLOOKUP($A515,'[1]DATOS PBI Artículos'!A:A,'[1]DATOS PBI Artículos'!AP:AP)</f>
        <v>0</v>
      </c>
      <c r="G515" s="34">
        <f>_xlfn.XLOOKUP($A515,'[1]DATOS PBI Artículos'!A:A,'[1]DATOS PBI Artículos'!AR:AR)</f>
        <v>0</v>
      </c>
      <c r="H515" s="34">
        <f>_xlfn.XLOOKUP($A515,'[1]DATOS PBI Artículos'!A:A,'[1]DATOS PBI Artículos'!AT:AT)</f>
        <v>0</v>
      </c>
      <c r="I515" s="34">
        <f>_xlfn.XLOOKUP($A515,'[1]DATOS PBI Artículos'!A:A,'[1]DATOS PBI Artículos'!AS:AS)</f>
        <v>0</v>
      </c>
      <c r="J515" s="35">
        <f>IF(COUNTIF([1]CRITERIOS!$F$179:$F$199,$A515)&gt;=1,
 IF(O515&lt;&gt;"",
    (O515/_xlfn.XLOOKUP(CONCATENATE(A515,L515),[1]MÁQUINAS!A:A,[1]MÁQUINAS!D:D))/24,
    (N515/_xlfn.XLOOKUP(CONCATENATE(A515,L515),[1]MÁQUINAS!A:A,[1]MÁQUINAS!D:D))/24),
  _xlfn.XLOOKUP($A515,'[1]DATOS PBI Artículos'!A:A,'[1]DATOS PBI Artículos'!AU:AU))</f>
        <v>0</v>
      </c>
      <c r="K515" s="36">
        <f>_xlfn.XLOOKUP($A515,'[1]DATOS PBI Artículos'!A:A,'[1]DATOS PBI Artículos'!AV:AV)</f>
        <v>0</v>
      </c>
      <c r="L515" s="33">
        <f>_xlfn.XLOOKUP(A515,[1]MÁQUINAS!B:B,[1]MÁQUINAS!C:C)</f>
        <v>0</v>
      </c>
      <c r="M515" s="34">
        <f t="array" ref="M515">_xlfn.XLOOKUP(A515,'[1]DATOS PBI Artículos'!A:A,'[1]DATOS PBI Artículos'!AX:$AX)</f>
        <v>0</v>
      </c>
      <c r="N515" s="37" t="e">
        <f>IF(I515="DV",
E515,
IF(COUNTIF([1]CRITERIOS!$I$179:$I$199,$A515)&gt;=1,
_xlfn.XLOOKUP($A515,[1]CRITERIOS!$I$179:$I$199,[1]CRITERIOS!$J$179:$J$199),
IF(COUNTIF([1]CRITERIOS!$L$179:$L$199,$A515)&gt;=1,
_xlfn.CEILING.MATH(IF($M515&gt;$E515,
$E515,
IF($M515&lt;$E515/ROUNDDOWN([1]CRITERIOS!$M$16/_xlfn.XLOOKUP($C515,[1]CRITERIOS!$K$25:$K$42,[1]CRITERIOS!$M$25:$M$42),
1),
E515/ROUNDDOWN([1]CRITERIOS!$M$16/_xlfn.XLOOKUP($C515,[1]CRITERIOS!$K$25:$K$42,[1]CRITERIOS!$M$25:$M$42),
1),
$M515)),
_xlfn.XLOOKUP($A515,[1]CRITERIOS!$L$179:$L$200,[1]CRITERIOS!$M$179:$M$200)),
_xlfn.CEILING.MATH(IF($M515&gt;$E515,
$E515,
IF($M515&lt;$E515/ROUNDDOWN([1]CRITERIOS!$M$16/_xlfn.XLOOKUP($C515,[1]CRITERIOS!$K$25:$K$42,[1]CRITERIOS!$M$25:$M$42),
1),
E515/ROUNDDOWN([1]CRITERIOS!$M$16/_xlfn.XLOOKUP($C515,[1]CRITERIOS!$K$25:$K$42,[1]CRITERIOS!$M$25:$M$42),
1),
$M515)),_xlfn.XLOOKUP(A515,'[1]DATOS PBI Artículos'!A:A,'[1]DATOS PBI Artículos'!Z:Z
)))))</f>
        <v>#N/A</v>
      </c>
      <c r="Q515" s="38" t="e">
        <f>IF(AND(O515="",N515=0),
0,
   IF(COUNTIF([1]CRITERIOS!$F$179:$F$199,$A515)&gt;=1,
   1,
   IF(R515="MTO",
      $D515,
      ROUNDUP(
                    IF(($E515-SUMIF('[1]DATOS PBI Artículos'!A:A,A515,'[1]DATOS PBI Artículos'!X:X)+($V515-_xlfn.XLOOKUP(A515,'[1]DATOS PBI Artículos'!A:A,'[1]DATOS PBI Artículos'!W:W)))&lt;0,
                    0,
                    IF(($E515-SUMIF('[1]DATOS PBI Artículos'!A:A,A515,'[1]DATOS PBI Artículos'!X:X)+$V515-_xlfn.XLOOKUP($A515,'[1]DATOS PBI Artículos'!A:A,'[1]DATOS PBI Artículos'!W:W))/IF($O515="",$N515,$O515)&gt;ROUNDUP([1]CRITERIOS!$M$16/(IF(COUNTIF([1]CRITERIOS!$BG$11:$BG$201,L515)&gt;=1,_xlfn.XLOOKUP($C515,[1]CRITERIOS!$K$25:$K$42,[1]CRITERIOS!$M$25:$M$42),_xlfn.XLOOKUP($C515,[1]CRITERIOS!$K$25:$K$42,[1]CRITERIOS!$M$25:$M$42))),0),
                    ROUNDUP([1]CRITERIOS!$M$16/(IF(COUNTIF([1]CRITERIOS!$BG$11:$BG$201,$L515)&gt;=1,_xlfn.XLOOKUP($C515,[1]CRITERIOS!$K$25:$K$42,[1]CRITERIOS!$M$25:$M$42),_xlfn.XLOOKUP($C515,[1]CRITERIOS!$K$25:$K$42,[1]CRITERIOS!$M$25:$M$42))),0),
                    (E515+V515-SUMIF('[1]DATOS PBI Artículos'!A:A,A515,'[1]DATOS PBI Artículos'!X:X)-_xlfn.XLOOKUP(A515,'[1]DATOS PBI Artículos'!A:A,'[1]DATOS PBI Artículos'!W:W))/IF($O515="",$N515,$O515))),0))))</f>
        <v>#N/A</v>
      </c>
      <c r="R515" s="33" t="e">
        <f>IF(U515&lt;&gt;"",U515,IF(F515="DV","MTO",IF(N515=0,"MTO",_xlfn.XLOOKUP(CONCATENATE(S515,T515),[1]CRITERIOS!$K$160:$K$168,[1]CRITERIOS!$N$160:$N$168))))</f>
        <v>#N/A</v>
      </c>
      <c r="S515" s="33" t="e">
        <f>IF(G515="DV","MTO",IF(N515=0,"MTO",IF(OR(AND(N515=0,O515=""),IF(O515="",G515/N515,G515/O515)&gt;[1]CRITERIOS!$G$163),"MTO",IF(IF(O515="",G515/N515,G515/O515)&lt;[1]CRITERIOS!$H$161,"MTS","MTOS"))))</f>
        <v>#N/A</v>
      </c>
      <c r="T515" s="33" t="e">
        <f>IF(F515="DV","MTO",IF(OR(AND($N515=0,O515=""),$F515/$J515&gt;[1]CRITERIOS!$G$170,$F515="DV"),"MTO",IF($F515/$J515&lt;[1]CRITERIOS!$H$168,"MTS","MTOS")))</f>
        <v>#N/A</v>
      </c>
      <c r="V515" s="34" t="e">
        <f t="shared" si="25"/>
        <v>#N/A</v>
      </c>
      <c r="X515" s="34" t="e">
        <f t="shared" ref="X515:X578" si="26">IF(R515="MTO",0,V515+N515)</f>
        <v>#N/A</v>
      </c>
      <c r="Y515" s="34" t="e">
        <f t="shared" ref="Y515:Y578" si="27">IF(R515="MTO",0,Z515+(N515/2))</f>
        <v>#N/A</v>
      </c>
      <c r="Z515" s="34" t="e">
        <f>IF($R515="MTO",
0,
($H515+$K515*($E515/[1]CRITERIOS!$M$16))/[1]CRITERIOS!$X$48)</f>
        <v>#N/A</v>
      </c>
      <c r="AA515" s="34" t="e">
        <f>ROUNDUP(($Y515/_xlfn.XLOOKUP($A515,'[1]DATOS PBI Artículos'!$A$4:$A$4,'[1]DATOS PBI Artículos'!$Z$4:$Z$4))/_xlfn.XLOOKUP(_xlfn.XLOOKUP($A515,'[1]DATOS PBI Artículos'!$A$4:$A$4,'[1]DATOS PBI Artículos'!$Y$4:$Y$4),[1]CRITERIOS!$P$79:$P$123,[1]CRITERIOS!$S$79:$S$123,),0)</f>
        <v>#N/A</v>
      </c>
      <c r="AB515" s="33" t="e">
        <f t="array" ref="AB515">IF((E515+V515-_xlfn.XLOOKUP(A515,'[1]DATOS PBI Artículos'!$A$4:$A$4,'[1]DATOS PBI Artículos'!$W$4:$W$4))/N515&gt;ROUNDUP([1]CRITERIOS!$M$16/(IF(COUNTIF([1]CRITERIOS!$BG$11:$BG$201,L515)&gt;=1,_xlfn.XLOOKUP(ARTÍCULOS!L515,[1]CRITERIOS!$BG$11:$BG$201,[1]CRITERIOS!$BJ$11:$BJ$201),_xlfn.XLOOKUP(ARTÍCULOS!C515,[1]CRITERIOS!$K$25:$K$42,[1]CRITERIOS!$M$25:$M$42))),0),ROUNDUP([1]CRITERIOS!$M$16/(IF(COUNTIF([1]CRITERIOS!$BG$11:$BG$201,L515)&gt;=1,_xlfn.XLOOKUP(ARTÍCULOS!L515,[1]CRITERIOS!$BG$11:$BG$201:#REF!,[1]CRITERIOS!$BJ$11:$BJ$201),_xlfn.XLOOKUP(ARTÍCULOS!C515,[1]CRITERIOS!$K$25:$K$42,[1]CRITERIOS!$M$25:$M$42))),0),(E515+V515-_xlfn.XLOOKUP(A515,'[1]DATOS PBI Artículos'!$A$4:$A$4,'[1]DATOS PBI Artículos'!$W$4:$W$4))/N515)</f>
        <v>#N/A</v>
      </c>
      <c r="AC515" s="33" t="e">
        <f>IF(N515=0,"",(ROUNDUP((N515/2)/(_xlfn.XLOOKUP(A515,'[1]DATOS PBI Artículos'!$A$4:$A$4,'[1]DATOS PBI Artículos'!$Z$4:$Z$4)*_xlfn.XLOOKUP(_xlfn.XLOOKUP(A515,'[1]DATOS PBI Artículos'!$A$4:$A$4,'[1]DATOS PBI Artículos'!$Y$4:$Y$4),[1]CRITERIOS!$P$79:$P$123,[1]CRITERIOS!$S$79:$S$123)),0)*[1]CRITERIOS!$M$80*([1]CRITERIOS!$M$110/[1]CRITERIOS!$M$86)+(_xlfn.XLOOKUP(A515,'[1]DATOS PBI Artículos'!$A$4:$A$4,'[1]DATOS PBI Artículos'!$AA$4:$AA$4)*([1]CRITERIOS!$M$95+[1]CRITERIOS!$M$98)))/N515)</f>
        <v>#N/A</v>
      </c>
      <c r="AD515" s="33" t="e">
        <f>IF(N515=0,"",(ROUNDUP((N515/2)/(_xlfn.XLOOKUP(A515,'[1]DATOS PBI Artículos'!$A$4:$A$4,'[1]DATOS PBI Artículos'!$Z$4:$Z$4)*_xlfn.XLOOKUP(_xlfn.XLOOKUP(A515,'[1]DATOS PBI Artículos'!$A$4:$A$4,'[1]DATOS PBI Artículos'!$Y$4:$Y$4),[1]CRITERIOS!$P$79:$P$123,[1]CRITERIOS!$S$79:$S$123)),0)*[1]CRITERIOS!$M$80*([1]CRITERIOS!$M$89*[1]CRITERIOS!$M$92)+((_xlfn.XLOOKUP(A515,'[1]DATOS PBI Artículos'!$A$4:$A$4,'[1]DATOS PBI Artículos'!$AA$4:$AA$4)/2)*([1]CRITERIOS!$M$95+[1]CRITERIOS!$M$98)))/N515)</f>
        <v>#N/A</v>
      </c>
      <c r="AE515" s="39" t="e">
        <f>IF($R515="MTO","",
IF($H515=0,ROUNDUP(((_xlfn.XLOOKUP($A515,'[1]DATOS PBI Artículos'!$A:$A,'[1]DATOS PBI Artículos'!$AL:$AL))/(_xlfn.XLOOKUP($AF$1,[1]CRITERIOS!$S$16:$S$39,[1]CRITERIOS!$Y$16:$Y$39))*$J515+$Z515)/$G515,0)*$G515,
((_xlfn.XLOOKUP($A515,'[1]DATOS PBI Artículos'!$A:$A,'[1]DATOS PBI Artículos'!$AL:$AL))/(_xlfn.XLOOKUP($AF$1,[1]CRITERIOS!$S$16:$S$39,[1]CRITERIOS!$Y$16:$Y$39))*$J515+$Z515)))</f>
        <v>#N/A</v>
      </c>
      <c r="AG515" s="39" t="e">
        <f>IF($R515="MTO","",
IF($H515=0,ROUNDUP(((_xlfn.XLOOKUP($A515,'[1]DATOS PBI Artículos'!$A:$A,'[1]DATOS PBI Artículos'!$AM:$AM))/(_xlfn.XLOOKUP($AH$1,[1]CRITERIOS!$S$16:$S$39,[1]CRITERIOS!$Y$16:$Y$39))*$J515+$Z515)/$G515,0)*$G515,
((_xlfn.XLOOKUP($A515,'[1]DATOS PBI Artículos'!$A:$A,'[1]DATOS PBI Artículos'!$AM:$AM))/(_xlfn.XLOOKUP($AH$1,[1]CRITERIOS!$S$16:$S$39,[1]CRITERIOS!$Y$16:$Y$39))*$J515+$Z515)))</f>
        <v>#N/A</v>
      </c>
      <c r="AI515" s="39" t="e">
        <f>IF($R515="MTO","",
IF($H515=0,ROUNDUP(((_xlfn.XLOOKUP($A515,'[1]DATOS PBI Artículos'!$A:$A,'[1]DATOS PBI Artículos'!$AN:$AN))/(_xlfn.XLOOKUP($AJ$1,[1]CRITERIOS!$S$16:$S$39,[1]CRITERIOS!$Y$16:$Y$39))*$J515+$Z515)/$G515,0)*$G515,
((_xlfn.XLOOKUP($A515,'[1]DATOS PBI Artículos'!$A:$A,'[1]DATOS PBI Artículos'!$AN:$AN))/(_xlfn.XLOOKUP($AJ$1,[1]CRITERIOS!$S$16:$S$39,[1]CRITERIOS!$Y$16:$Y$39))*$J515+$Z515)))</f>
        <v>#N/A</v>
      </c>
      <c r="AK515" s="39" t="e">
        <f>IF($R515="MTO","",
IF($H515=0,ROUNDUP(((_xlfn.XLOOKUP($A515,'[1]DATOS PBI Artículos'!$A:$A,'[1]DATOS PBI Artículos'!$AO:$AO))/(_xlfn.XLOOKUP($AL$1,[1]CRITERIOS!$S$16:$S$39,[1]CRITERIOS!$Y$16:$Y$39))*$J515+$Z515)/$G515,0)*$G515,
((_xlfn.XLOOKUP($A515,'[1]DATOS PBI Artículos'!$A:$A,'[1]DATOS PBI Artículos'!$AO:$AO))/(_xlfn.XLOOKUP($AL$1,[1]CRITERIOS!$S$16:$S$39,[1]CRITERIOS!$Y$16:$Y$39))*$J515+$Z515)))</f>
        <v>#N/A</v>
      </c>
    </row>
    <row r="516" spans="1:37" ht="25.8" hidden="1" x14ac:dyDescent="0.4">
      <c r="A516" s="41"/>
      <c r="B516" s="33">
        <f>_xlfn.XLOOKUP($A516,'[1]DATOS PBI Artículos'!A:A,'[1]DATOS PBI Artículos'!B:B)</f>
        <v>0</v>
      </c>
      <c r="C516" s="33">
        <f>_xlfn.XLOOKUP($A516,'[1]DATOS PBI Artículos'!A:A,'[1]DATOS PBI Artículos'!C:C)</f>
        <v>0</v>
      </c>
      <c r="D516" s="33">
        <f>_xlfn.XLOOKUP(A516,'[1]DATOS PBI Artículos'!A:A,'[1]DATOS PBI Artículos'!T:T)</f>
        <v>0</v>
      </c>
      <c r="E516" s="34">
        <f>IF(_xlfn.XLOOKUP($A516,'[1]DATOS PBI Artículos'!A:A,'[1]DATOS PBI Artículos'!AK:AK)="",_xlfn.XLOOKUP($A516,'[1]DATOS PBI Artículos'!A:A,'[1]DATOS PBI Artículos'!AJ:AJ),_xlfn.XLOOKUP($A516,'[1]DATOS PBI Artículos'!A:A,'[1]DATOS PBI Artículos'!AK:AK))</f>
        <v>0</v>
      </c>
      <c r="F516" s="35">
        <f>_xlfn.XLOOKUP($A516,'[1]DATOS PBI Artículos'!A:A,'[1]DATOS PBI Artículos'!AP:AP)</f>
        <v>0</v>
      </c>
      <c r="G516" s="34">
        <f>_xlfn.XLOOKUP($A516,'[1]DATOS PBI Artículos'!A:A,'[1]DATOS PBI Artículos'!AR:AR)</f>
        <v>0</v>
      </c>
      <c r="H516" s="34">
        <f>_xlfn.XLOOKUP($A516,'[1]DATOS PBI Artículos'!A:A,'[1]DATOS PBI Artículos'!AT:AT)</f>
        <v>0</v>
      </c>
      <c r="I516" s="34">
        <f>_xlfn.XLOOKUP($A516,'[1]DATOS PBI Artículos'!A:A,'[1]DATOS PBI Artículos'!AS:AS)</f>
        <v>0</v>
      </c>
      <c r="J516" s="35">
        <f>IF(COUNTIF([1]CRITERIOS!$F$179:$F$199,$A516)&gt;=1,
 IF(O516&lt;&gt;"",
    (O516/_xlfn.XLOOKUP(CONCATENATE(A516,L516),[1]MÁQUINAS!A:A,[1]MÁQUINAS!D:D))/24,
    (N516/_xlfn.XLOOKUP(CONCATENATE(A516,L516),[1]MÁQUINAS!A:A,[1]MÁQUINAS!D:D))/24),
  _xlfn.XLOOKUP($A516,'[1]DATOS PBI Artículos'!A:A,'[1]DATOS PBI Artículos'!AU:AU))</f>
        <v>0</v>
      </c>
      <c r="K516" s="36">
        <f>_xlfn.XLOOKUP($A516,'[1]DATOS PBI Artículos'!A:A,'[1]DATOS PBI Artículos'!AV:AV)</f>
        <v>0</v>
      </c>
      <c r="L516" s="33">
        <f>_xlfn.XLOOKUP(A516,[1]MÁQUINAS!B:B,[1]MÁQUINAS!C:C)</f>
        <v>0</v>
      </c>
      <c r="M516" s="34">
        <f t="array" ref="M516">_xlfn.XLOOKUP(A516,'[1]DATOS PBI Artículos'!A:A,'[1]DATOS PBI Artículos'!AX:$AX)</f>
        <v>0</v>
      </c>
      <c r="N516" s="37" t="e">
        <f>IF(I516="DV",
E516,
IF(COUNTIF([1]CRITERIOS!$I$179:$I$199,$A516)&gt;=1,
_xlfn.XLOOKUP($A516,[1]CRITERIOS!$I$179:$I$199,[1]CRITERIOS!$J$179:$J$199),
IF(COUNTIF([1]CRITERIOS!$L$179:$L$199,$A516)&gt;=1,
_xlfn.CEILING.MATH(IF($M516&gt;$E516,
$E516,
IF($M516&lt;$E516/ROUNDDOWN([1]CRITERIOS!$M$16/_xlfn.XLOOKUP($C516,[1]CRITERIOS!$K$25:$K$42,[1]CRITERIOS!$M$25:$M$42),
1),
E516/ROUNDDOWN([1]CRITERIOS!$M$16/_xlfn.XLOOKUP($C516,[1]CRITERIOS!$K$25:$K$42,[1]CRITERIOS!$M$25:$M$42),
1),
$M516)),
_xlfn.XLOOKUP($A516,[1]CRITERIOS!$L$179:$L$200,[1]CRITERIOS!$M$179:$M$200)),
_xlfn.CEILING.MATH(IF($M516&gt;$E516,
$E516,
IF($M516&lt;$E516/ROUNDDOWN([1]CRITERIOS!$M$16/_xlfn.XLOOKUP($C516,[1]CRITERIOS!$K$25:$K$42,[1]CRITERIOS!$M$25:$M$42),
1),
E516/ROUNDDOWN([1]CRITERIOS!$M$16/_xlfn.XLOOKUP($C516,[1]CRITERIOS!$K$25:$K$42,[1]CRITERIOS!$M$25:$M$42),
1),
$M516)),_xlfn.XLOOKUP(A516,'[1]DATOS PBI Artículos'!A:A,'[1]DATOS PBI Artículos'!Z:Z
)))))</f>
        <v>#N/A</v>
      </c>
      <c r="Q516" s="38" t="e">
        <f>IF(AND(O516="",N516=0),
0,
   IF(COUNTIF([1]CRITERIOS!$F$179:$F$199,$A516)&gt;=1,
   1,
   IF(R516="MTO",
      $D516,
      ROUNDUP(
                    IF(($E516-SUMIF('[1]DATOS PBI Artículos'!A:A,A516,'[1]DATOS PBI Artículos'!X:X)+($V516-_xlfn.XLOOKUP(A516,'[1]DATOS PBI Artículos'!A:A,'[1]DATOS PBI Artículos'!W:W)))&lt;0,
                    0,
                    IF(($E516-SUMIF('[1]DATOS PBI Artículos'!A:A,A516,'[1]DATOS PBI Artículos'!X:X)+$V516-_xlfn.XLOOKUP($A516,'[1]DATOS PBI Artículos'!A:A,'[1]DATOS PBI Artículos'!W:W))/IF($O516="",$N516,$O516)&gt;ROUNDUP([1]CRITERIOS!$M$16/(IF(COUNTIF([1]CRITERIOS!$BG$11:$BG$201,L516)&gt;=1,_xlfn.XLOOKUP($C516,[1]CRITERIOS!$K$25:$K$42,[1]CRITERIOS!$M$25:$M$42),_xlfn.XLOOKUP($C516,[1]CRITERIOS!$K$25:$K$42,[1]CRITERIOS!$M$25:$M$42))),0),
                    ROUNDUP([1]CRITERIOS!$M$16/(IF(COUNTIF([1]CRITERIOS!$BG$11:$BG$201,$L516)&gt;=1,_xlfn.XLOOKUP($C516,[1]CRITERIOS!$K$25:$K$42,[1]CRITERIOS!$M$25:$M$42),_xlfn.XLOOKUP($C516,[1]CRITERIOS!$K$25:$K$42,[1]CRITERIOS!$M$25:$M$42))),0),
                    (E516+V516-SUMIF('[1]DATOS PBI Artículos'!A:A,A516,'[1]DATOS PBI Artículos'!X:X)-_xlfn.XLOOKUP(A516,'[1]DATOS PBI Artículos'!A:A,'[1]DATOS PBI Artículos'!W:W))/IF($O516="",$N516,$O516))),0))))</f>
        <v>#N/A</v>
      </c>
      <c r="R516" s="33" t="e">
        <f>IF(U516&lt;&gt;"",U516,IF(F516="DV","MTO",IF(N516=0,"MTO",_xlfn.XLOOKUP(CONCATENATE(S516,T516),[1]CRITERIOS!$K$160:$K$168,[1]CRITERIOS!$N$160:$N$168))))</f>
        <v>#N/A</v>
      </c>
      <c r="S516" s="33" t="e">
        <f>IF(G516="DV","MTO",IF(N516=0,"MTO",IF(OR(AND(N516=0,O516=""),IF(O516="",G516/N516,G516/O516)&gt;[1]CRITERIOS!$G$163),"MTO",IF(IF(O516="",G516/N516,G516/O516)&lt;[1]CRITERIOS!$H$161,"MTS","MTOS"))))</f>
        <v>#N/A</v>
      </c>
      <c r="T516" s="33" t="e">
        <f>IF(F516="DV","MTO",IF(OR(AND($N516=0,O516=""),$F516/$J516&gt;[1]CRITERIOS!$G$170,$F516="DV"),"MTO",IF($F516/$J516&lt;[1]CRITERIOS!$H$168,"MTS","MTOS")))</f>
        <v>#N/A</v>
      </c>
      <c r="V516" s="34" t="e">
        <f t="shared" si="25"/>
        <v>#N/A</v>
      </c>
      <c r="X516" s="34" t="e">
        <f t="shared" si="26"/>
        <v>#N/A</v>
      </c>
      <c r="Y516" s="34" t="e">
        <f t="shared" si="27"/>
        <v>#N/A</v>
      </c>
      <c r="Z516" s="34" t="e">
        <f>IF($R516="MTO",
0,
($H516+$K516*($E516/[1]CRITERIOS!$M$16))/[1]CRITERIOS!$X$48)</f>
        <v>#N/A</v>
      </c>
      <c r="AA516" s="34" t="e">
        <f>ROUNDUP(($Y516/_xlfn.XLOOKUP($A516,'[1]DATOS PBI Artículos'!$A$4:$A$4,'[1]DATOS PBI Artículos'!$Z$4:$Z$4))/_xlfn.XLOOKUP(_xlfn.XLOOKUP($A516,'[1]DATOS PBI Artículos'!$A$4:$A$4,'[1]DATOS PBI Artículos'!$Y$4:$Y$4),[1]CRITERIOS!$P$79:$P$123,[1]CRITERIOS!$S$79:$S$123,),0)</f>
        <v>#N/A</v>
      </c>
      <c r="AB516" s="33" t="e">
        <f t="array" ref="AB516">IF((E516+V516-_xlfn.XLOOKUP(A516,'[1]DATOS PBI Artículos'!$A$4:$A$4,'[1]DATOS PBI Artículos'!$W$4:$W$4))/N516&gt;ROUNDUP([1]CRITERIOS!$M$16/(IF(COUNTIF([1]CRITERIOS!$BG$11:$BG$201,L516)&gt;=1,_xlfn.XLOOKUP(ARTÍCULOS!L516,[1]CRITERIOS!$BG$11:$BG$201,[1]CRITERIOS!$BJ$11:$BJ$201),_xlfn.XLOOKUP(ARTÍCULOS!C516,[1]CRITERIOS!$K$25:$K$42,[1]CRITERIOS!$M$25:$M$42))),0),ROUNDUP([1]CRITERIOS!$M$16/(IF(COUNTIF([1]CRITERIOS!$BG$11:$BG$201,L516)&gt;=1,_xlfn.XLOOKUP(ARTÍCULOS!L516,[1]CRITERIOS!$BG$11:$BG$201:#REF!,[1]CRITERIOS!$BJ$11:$BJ$201),_xlfn.XLOOKUP(ARTÍCULOS!C516,[1]CRITERIOS!$K$25:$K$42,[1]CRITERIOS!$M$25:$M$42))),0),(E516+V516-_xlfn.XLOOKUP(A516,'[1]DATOS PBI Artículos'!$A$4:$A$4,'[1]DATOS PBI Artículos'!$W$4:$W$4))/N516)</f>
        <v>#N/A</v>
      </c>
      <c r="AC516" s="33" t="e">
        <f>IF(N516=0,"",(ROUNDUP((N516/2)/(_xlfn.XLOOKUP(A516,'[1]DATOS PBI Artículos'!$A$4:$A$4,'[1]DATOS PBI Artículos'!$Z$4:$Z$4)*_xlfn.XLOOKUP(_xlfn.XLOOKUP(A516,'[1]DATOS PBI Artículos'!$A$4:$A$4,'[1]DATOS PBI Artículos'!$Y$4:$Y$4),[1]CRITERIOS!$P$79:$P$123,[1]CRITERIOS!$S$79:$S$123)),0)*[1]CRITERIOS!$M$80*([1]CRITERIOS!$M$110/[1]CRITERIOS!$M$86)+(_xlfn.XLOOKUP(A516,'[1]DATOS PBI Artículos'!$A$4:$A$4,'[1]DATOS PBI Artículos'!$AA$4:$AA$4)*([1]CRITERIOS!$M$95+[1]CRITERIOS!$M$98)))/N516)</f>
        <v>#N/A</v>
      </c>
      <c r="AD516" s="33" t="e">
        <f>IF(N516=0,"",(ROUNDUP((N516/2)/(_xlfn.XLOOKUP(A516,'[1]DATOS PBI Artículos'!$A$4:$A$4,'[1]DATOS PBI Artículos'!$Z$4:$Z$4)*_xlfn.XLOOKUP(_xlfn.XLOOKUP(A516,'[1]DATOS PBI Artículos'!$A$4:$A$4,'[1]DATOS PBI Artículos'!$Y$4:$Y$4),[1]CRITERIOS!$P$79:$P$123,[1]CRITERIOS!$S$79:$S$123)),0)*[1]CRITERIOS!$M$80*([1]CRITERIOS!$M$89*[1]CRITERIOS!$M$92)+((_xlfn.XLOOKUP(A516,'[1]DATOS PBI Artículos'!$A$4:$A$4,'[1]DATOS PBI Artículos'!$AA$4:$AA$4)/2)*([1]CRITERIOS!$M$95+[1]CRITERIOS!$M$98)))/N516)</f>
        <v>#N/A</v>
      </c>
      <c r="AE516" s="39" t="e">
        <f>IF($R516="MTO","",
IF($H516=0,ROUNDUP(((_xlfn.XLOOKUP($A516,'[1]DATOS PBI Artículos'!$A:$A,'[1]DATOS PBI Artículos'!$AL:$AL))/(_xlfn.XLOOKUP($AF$1,[1]CRITERIOS!$S$16:$S$39,[1]CRITERIOS!$Y$16:$Y$39))*$J516+$Z516)/$G516,0)*$G516,
((_xlfn.XLOOKUP($A516,'[1]DATOS PBI Artículos'!$A:$A,'[1]DATOS PBI Artículos'!$AL:$AL))/(_xlfn.XLOOKUP($AF$1,[1]CRITERIOS!$S$16:$S$39,[1]CRITERIOS!$Y$16:$Y$39))*$J516+$Z516)))</f>
        <v>#N/A</v>
      </c>
      <c r="AG516" s="39" t="e">
        <f>IF($R516="MTO","",
IF($H516=0,ROUNDUP(((_xlfn.XLOOKUP($A516,'[1]DATOS PBI Artículos'!$A:$A,'[1]DATOS PBI Artículos'!$AM:$AM))/(_xlfn.XLOOKUP($AH$1,[1]CRITERIOS!$S$16:$S$39,[1]CRITERIOS!$Y$16:$Y$39))*$J516+$Z516)/$G516,0)*$G516,
((_xlfn.XLOOKUP($A516,'[1]DATOS PBI Artículos'!$A:$A,'[1]DATOS PBI Artículos'!$AM:$AM))/(_xlfn.XLOOKUP($AH$1,[1]CRITERIOS!$S$16:$S$39,[1]CRITERIOS!$Y$16:$Y$39))*$J516+$Z516)))</f>
        <v>#N/A</v>
      </c>
      <c r="AI516" s="39" t="e">
        <f>IF($R516="MTO","",
IF($H516=0,ROUNDUP(((_xlfn.XLOOKUP($A516,'[1]DATOS PBI Artículos'!$A:$A,'[1]DATOS PBI Artículos'!$AN:$AN))/(_xlfn.XLOOKUP($AJ$1,[1]CRITERIOS!$S$16:$S$39,[1]CRITERIOS!$Y$16:$Y$39))*$J516+$Z516)/$G516,0)*$G516,
((_xlfn.XLOOKUP($A516,'[1]DATOS PBI Artículos'!$A:$A,'[1]DATOS PBI Artículos'!$AN:$AN))/(_xlfn.XLOOKUP($AJ$1,[1]CRITERIOS!$S$16:$S$39,[1]CRITERIOS!$Y$16:$Y$39))*$J516+$Z516)))</f>
        <v>#N/A</v>
      </c>
      <c r="AK516" s="39" t="e">
        <f>IF($R516="MTO","",
IF($H516=0,ROUNDUP(((_xlfn.XLOOKUP($A516,'[1]DATOS PBI Artículos'!$A:$A,'[1]DATOS PBI Artículos'!$AO:$AO))/(_xlfn.XLOOKUP($AL$1,[1]CRITERIOS!$S$16:$S$39,[1]CRITERIOS!$Y$16:$Y$39))*$J516+$Z516)/$G516,0)*$G516,
((_xlfn.XLOOKUP($A516,'[1]DATOS PBI Artículos'!$A:$A,'[1]DATOS PBI Artículos'!$AO:$AO))/(_xlfn.XLOOKUP($AL$1,[1]CRITERIOS!$S$16:$S$39,[1]CRITERIOS!$Y$16:$Y$39))*$J516+$Z516)))</f>
        <v>#N/A</v>
      </c>
    </row>
    <row r="517" spans="1:37" ht="25.8" hidden="1" x14ac:dyDescent="0.4">
      <c r="A517" s="41"/>
      <c r="B517" s="33">
        <f>_xlfn.XLOOKUP($A517,'[1]DATOS PBI Artículos'!A:A,'[1]DATOS PBI Artículos'!B:B)</f>
        <v>0</v>
      </c>
      <c r="C517" s="33">
        <f>_xlfn.XLOOKUP($A517,'[1]DATOS PBI Artículos'!A:A,'[1]DATOS PBI Artículos'!C:C)</f>
        <v>0</v>
      </c>
      <c r="D517" s="33">
        <f>_xlfn.XLOOKUP(A517,'[1]DATOS PBI Artículos'!A:A,'[1]DATOS PBI Artículos'!T:T)</f>
        <v>0</v>
      </c>
      <c r="E517" s="34">
        <f>IF(_xlfn.XLOOKUP($A517,'[1]DATOS PBI Artículos'!A:A,'[1]DATOS PBI Artículos'!AK:AK)="",_xlfn.XLOOKUP($A517,'[1]DATOS PBI Artículos'!A:A,'[1]DATOS PBI Artículos'!AJ:AJ),_xlfn.XLOOKUP($A517,'[1]DATOS PBI Artículos'!A:A,'[1]DATOS PBI Artículos'!AK:AK))</f>
        <v>0</v>
      </c>
      <c r="F517" s="35">
        <f>_xlfn.XLOOKUP($A517,'[1]DATOS PBI Artículos'!A:A,'[1]DATOS PBI Artículos'!AP:AP)</f>
        <v>0</v>
      </c>
      <c r="G517" s="34">
        <f>_xlfn.XLOOKUP($A517,'[1]DATOS PBI Artículos'!A:A,'[1]DATOS PBI Artículos'!AR:AR)</f>
        <v>0</v>
      </c>
      <c r="H517" s="34">
        <f>_xlfn.XLOOKUP($A517,'[1]DATOS PBI Artículos'!A:A,'[1]DATOS PBI Artículos'!AT:AT)</f>
        <v>0</v>
      </c>
      <c r="I517" s="34">
        <f>_xlfn.XLOOKUP($A517,'[1]DATOS PBI Artículos'!A:A,'[1]DATOS PBI Artículos'!AS:AS)</f>
        <v>0</v>
      </c>
      <c r="J517" s="35">
        <f>IF(COUNTIF([1]CRITERIOS!$F$179:$F$199,$A517)&gt;=1,
 IF(O517&lt;&gt;"",
    (O517/_xlfn.XLOOKUP(CONCATENATE(A517,L517),[1]MÁQUINAS!A:A,[1]MÁQUINAS!D:D))/24,
    (N517/_xlfn.XLOOKUP(CONCATENATE(A517,L517),[1]MÁQUINAS!A:A,[1]MÁQUINAS!D:D))/24),
  _xlfn.XLOOKUP($A517,'[1]DATOS PBI Artículos'!A:A,'[1]DATOS PBI Artículos'!AU:AU))</f>
        <v>0</v>
      </c>
      <c r="K517" s="36">
        <f>_xlfn.XLOOKUP($A517,'[1]DATOS PBI Artículos'!A:A,'[1]DATOS PBI Artículos'!AV:AV)</f>
        <v>0</v>
      </c>
      <c r="L517" s="33">
        <f>_xlfn.XLOOKUP(A517,[1]MÁQUINAS!B:B,[1]MÁQUINAS!C:C)</f>
        <v>0</v>
      </c>
      <c r="M517" s="34">
        <f t="array" ref="M517">_xlfn.XLOOKUP(A517,'[1]DATOS PBI Artículos'!A:A,'[1]DATOS PBI Artículos'!AX:$AX)</f>
        <v>0</v>
      </c>
      <c r="N517" s="37" t="e">
        <f>IF(I517="DV",
E517,
IF(COUNTIF([1]CRITERIOS!$I$179:$I$199,$A517)&gt;=1,
_xlfn.XLOOKUP($A517,[1]CRITERIOS!$I$179:$I$199,[1]CRITERIOS!$J$179:$J$199),
IF(COUNTIF([1]CRITERIOS!$L$179:$L$199,$A517)&gt;=1,
_xlfn.CEILING.MATH(IF($M517&gt;$E517,
$E517,
IF($M517&lt;$E517/ROUNDDOWN([1]CRITERIOS!$M$16/_xlfn.XLOOKUP($C517,[1]CRITERIOS!$K$25:$K$42,[1]CRITERIOS!$M$25:$M$42),
1),
E517/ROUNDDOWN([1]CRITERIOS!$M$16/_xlfn.XLOOKUP($C517,[1]CRITERIOS!$K$25:$K$42,[1]CRITERIOS!$M$25:$M$42),
1),
$M517)),
_xlfn.XLOOKUP($A517,[1]CRITERIOS!$L$179:$L$200,[1]CRITERIOS!$M$179:$M$200)),
_xlfn.CEILING.MATH(IF($M517&gt;$E517,
$E517,
IF($M517&lt;$E517/ROUNDDOWN([1]CRITERIOS!$M$16/_xlfn.XLOOKUP($C517,[1]CRITERIOS!$K$25:$K$42,[1]CRITERIOS!$M$25:$M$42),
1),
E517/ROUNDDOWN([1]CRITERIOS!$M$16/_xlfn.XLOOKUP($C517,[1]CRITERIOS!$K$25:$K$42,[1]CRITERIOS!$M$25:$M$42),
1),
$M517)),_xlfn.XLOOKUP(A517,'[1]DATOS PBI Artículos'!A:A,'[1]DATOS PBI Artículos'!Z:Z
)))))</f>
        <v>#N/A</v>
      </c>
      <c r="Q517" s="38" t="e">
        <f>IF(AND(O517="",N517=0),
0,
   IF(COUNTIF([1]CRITERIOS!$F$179:$F$199,$A517)&gt;=1,
   1,
   IF(R517="MTO",
      $D517,
      ROUNDUP(
                    IF(($E517-SUMIF('[1]DATOS PBI Artículos'!A:A,A517,'[1]DATOS PBI Artículos'!X:X)+($V517-_xlfn.XLOOKUP(A517,'[1]DATOS PBI Artículos'!A:A,'[1]DATOS PBI Artículos'!W:W)))&lt;0,
                    0,
                    IF(($E517-SUMIF('[1]DATOS PBI Artículos'!A:A,A517,'[1]DATOS PBI Artículos'!X:X)+$V517-_xlfn.XLOOKUP($A517,'[1]DATOS PBI Artículos'!A:A,'[1]DATOS PBI Artículos'!W:W))/IF($O517="",$N517,$O517)&gt;ROUNDUP([1]CRITERIOS!$M$16/(IF(COUNTIF([1]CRITERIOS!$BG$11:$BG$201,L517)&gt;=1,_xlfn.XLOOKUP($C517,[1]CRITERIOS!$K$25:$K$42,[1]CRITERIOS!$M$25:$M$42),_xlfn.XLOOKUP($C517,[1]CRITERIOS!$K$25:$K$42,[1]CRITERIOS!$M$25:$M$42))),0),
                    ROUNDUP([1]CRITERIOS!$M$16/(IF(COUNTIF([1]CRITERIOS!$BG$11:$BG$201,$L517)&gt;=1,_xlfn.XLOOKUP($C517,[1]CRITERIOS!$K$25:$K$42,[1]CRITERIOS!$M$25:$M$42),_xlfn.XLOOKUP($C517,[1]CRITERIOS!$K$25:$K$42,[1]CRITERIOS!$M$25:$M$42))),0),
                    (E517+V517-SUMIF('[1]DATOS PBI Artículos'!A:A,A517,'[1]DATOS PBI Artículos'!X:X)-_xlfn.XLOOKUP(A517,'[1]DATOS PBI Artículos'!A:A,'[1]DATOS PBI Artículos'!W:W))/IF($O517="",$N517,$O517))),0))))</f>
        <v>#N/A</v>
      </c>
      <c r="R517" s="33" t="e">
        <f>IF(U517&lt;&gt;"",U517,IF(F517="DV","MTO",IF(N517=0,"MTO",_xlfn.XLOOKUP(CONCATENATE(S517,T517),[1]CRITERIOS!$K$160:$K$168,[1]CRITERIOS!$N$160:$N$168))))</f>
        <v>#N/A</v>
      </c>
      <c r="S517" s="33" t="e">
        <f>IF(G517="DV","MTO",IF(N517=0,"MTO",IF(OR(AND(N517=0,O517=""),IF(O517="",G517/N517,G517/O517)&gt;[1]CRITERIOS!$G$163),"MTO",IF(IF(O517="",G517/N517,G517/O517)&lt;[1]CRITERIOS!$H$161,"MTS","MTOS"))))</f>
        <v>#N/A</v>
      </c>
      <c r="T517" s="33" t="e">
        <f>IF(F517="DV","MTO",IF(OR(AND($N517=0,O517=""),$F517/$J517&gt;[1]CRITERIOS!$G$170,$F517="DV"),"MTO",IF($F517/$J517&lt;[1]CRITERIOS!$H$168,"MTS","MTOS")))</f>
        <v>#N/A</v>
      </c>
      <c r="V517" s="34" t="e">
        <f t="shared" si="25"/>
        <v>#N/A</v>
      </c>
      <c r="X517" s="34" t="e">
        <f t="shared" si="26"/>
        <v>#N/A</v>
      </c>
      <c r="Y517" s="34" t="e">
        <f t="shared" si="27"/>
        <v>#N/A</v>
      </c>
      <c r="Z517" s="34" t="e">
        <f>IF($R517="MTO",
0,
($H517+$K517*($E517/[1]CRITERIOS!$M$16))/[1]CRITERIOS!$X$48)</f>
        <v>#N/A</v>
      </c>
      <c r="AA517" s="34" t="e">
        <f>ROUNDUP(($Y517/_xlfn.XLOOKUP($A517,'[1]DATOS PBI Artículos'!$A$4:$A$4,'[1]DATOS PBI Artículos'!$Z$4:$Z$4))/_xlfn.XLOOKUP(_xlfn.XLOOKUP($A517,'[1]DATOS PBI Artículos'!$A$4:$A$4,'[1]DATOS PBI Artículos'!$Y$4:$Y$4),[1]CRITERIOS!$P$79:$P$123,[1]CRITERIOS!$S$79:$S$123,),0)</f>
        <v>#N/A</v>
      </c>
      <c r="AB517" s="33" t="e">
        <f t="array" ref="AB517">IF((E517+V517-_xlfn.XLOOKUP(A517,'[1]DATOS PBI Artículos'!$A$4:$A$4,'[1]DATOS PBI Artículos'!$W$4:$W$4))/N517&gt;ROUNDUP([1]CRITERIOS!$M$16/(IF(COUNTIF([1]CRITERIOS!$BG$11:$BG$201,L517)&gt;=1,_xlfn.XLOOKUP(ARTÍCULOS!L517,[1]CRITERIOS!$BG$11:$BG$201,[1]CRITERIOS!$BJ$11:$BJ$201),_xlfn.XLOOKUP(ARTÍCULOS!C517,[1]CRITERIOS!$K$25:$K$42,[1]CRITERIOS!$M$25:$M$42))),0),ROUNDUP([1]CRITERIOS!$M$16/(IF(COUNTIF([1]CRITERIOS!$BG$11:$BG$201,L517)&gt;=1,_xlfn.XLOOKUP(ARTÍCULOS!L517,[1]CRITERIOS!$BG$11:$BG$201:#REF!,[1]CRITERIOS!$BJ$11:$BJ$201),_xlfn.XLOOKUP(ARTÍCULOS!C517,[1]CRITERIOS!$K$25:$K$42,[1]CRITERIOS!$M$25:$M$42))),0),(E517+V517-_xlfn.XLOOKUP(A517,'[1]DATOS PBI Artículos'!$A$4:$A$4,'[1]DATOS PBI Artículos'!$W$4:$W$4))/N517)</f>
        <v>#N/A</v>
      </c>
      <c r="AC517" s="33" t="e">
        <f>IF(N517=0,"",(ROUNDUP((N517/2)/(_xlfn.XLOOKUP(A517,'[1]DATOS PBI Artículos'!$A$4:$A$4,'[1]DATOS PBI Artículos'!$Z$4:$Z$4)*_xlfn.XLOOKUP(_xlfn.XLOOKUP(A517,'[1]DATOS PBI Artículos'!$A$4:$A$4,'[1]DATOS PBI Artículos'!$Y$4:$Y$4),[1]CRITERIOS!$P$79:$P$123,[1]CRITERIOS!$S$79:$S$123)),0)*[1]CRITERIOS!$M$80*([1]CRITERIOS!$M$110/[1]CRITERIOS!$M$86)+(_xlfn.XLOOKUP(A517,'[1]DATOS PBI Artículos'!$A$4:$A$4,'[1]DATOS PBI Artículos'!$AA$4:$AA$4)*([1]CRITERIOS!$M$95+[1]CRITERIOS!$M$98)))/N517)</f>
        <v>#N/A</v>
      </c>
      <c r="AD517" s="33" t="e">
        <f>IF(N517=0,"",(ROUNDUP((N517/2)/(_xlfn.XLOOKUP(A517,'[1]DATOS PBI Artículos'!$A$4:$A$4,'[1]DATOS PBI Artículos'!$Z$4:$Z$4)*_xlfn.XLOOKUP(_xlfn.XLOOKUP(A517,'[1]DATOS PBI Artículos'!$A$4:$A$4,'[1]DATOS PBI Artículos'!$Y$4:$Y$4),[1]CRITERIOS!$P$79:$P$123,[1]CRITERIOS!$S$79:$S$123)),0)*[1]CRITERIOS!$M$80*([1]CRITERIOS!$M$89*[1]CRITERIOS!$M$92)+((_xlfn.XLOOKUP(A517,'[1]DATOS PBI Artículos'!$A$4:$A$4,'[1]DATOS PBI Artículos'!$AA$4:$AA$4)/2)*([1]CRITERIOS!$M$95+[1]CRITERIOS!$M$98)))/N517)</f>
        <v>#N/A</v>
      </c>
      <c r="AE517" s="39" t="e">
        <f>IF($R517="MTO","",
IF($H517=0,ROUNDUP(((_xlfn.XLOOKUP($A517,'[1]DATOS PBI Artículos'!$A:$A,'[1]DATOS PBI Artículos'!$AL:$AL))/(_xlfn.XLOOKUP($AF$1,[1]CRITERIOS!$S$16:$S$39,[1]CRITERIOS!$Y$16:$Y$39))*$J517+$Z517)/$G517,0)*$G517,
((_xlfn.XLOOKUP($A517,'[1]DATOS PBI Artículos'!$A:$A,'[1]DATOS PBI Artículos'!$AL:$AL))/(_xlfn.XLOOKUP($AF$1,[1]CRITERIOS!$S$16:$S$39,[1]CRITERIOS!$Y$16:$Y$39))*$J517+$Z517)))</f>
        <v>#N/A</v>
      </c>
      <c r="AG517" s="39" t="e">
        <f>IF($R517="MTO","",
IF($H517=0,ROUNDUP(((_xlfn.XLOOKUP($A517,'[1]DATOS PBI Artículos'!$A:$A,'[1]DATOS PBI Artículos'!$AM:$AM))/(_xlfn.XLOOKUP($AH$1,[1]CRITERIOS!$S$16:$S$39,[1]CRITERIOS!$Y$16:$Y$39))*$J517+$Z517)/$G517,0)*$G517,
((_xlfn.XLOOKUP($A517,'[1]DATOS PBI Artículos'!$A:$A,'[1]DATOS PBI Artículos'!$AM:$AM))/(_xlfn.XLOOKUP($AH$1,[1]CRITERIOS!$S$16:$S$39,[1]CRITERIOS!$Y$16:$Y$39))*$J517+$Z517)))</f>
        <v>#N/A</v>
      </c>
      <c r="AI517" s="39" t="e">
        <f>IF($R517="MTO","",
IF($H517=0,ROUNDUP(((_xlfn.XLOOKUP($A517,'[1]DATOS PBI Artículos'!$A:$A,'[1]DATOS PBI Artículos'!$AN:$AN))/(_xlfn.XLOOKUP($AJ$1,[1]CRITERIOS!$S$16:$S$39,[1]CRITERIOS!$Y$16:$Y$39))*$J517+$Z517)/$G517,0)*$G517,
((_xlfn.XLOOKUP($A517,'[1]DATOS PBI Artículos'!$A:$A,'[1]DATOS PBI Artículos'!$AN:$AN))/(_xlfn.XLOOKUP($AJ$1,[1]CRITERIOS!$S$16:$S$39,[1]CRITERIOS!$Y$16:$Y$39))*$J517+$Z517)))</f>
        <v>#N/A</v>
      </c>
      <c r="AK517" s="39" t="e">
        <f>IF($R517="MTO","",
IF($H517=0,ROUNDUP(((_xlfn.XLOOKUP($A517,'[1]DATOS PBI Artículos'!$A:$A,'[1]DATOS PBI Artículos'!$AO:$AO))/(_xlfn.XLOOKUP($AL$1,[1]CRITERIOS!$S$16:$S$39,[1]CRITERIOS!$Y$16:$Y$39))*$J517+$Z517)/$G517,0)*$G517,
((_xlfn.XLOOKUP($A517,'[1]DATOS PBI Artículos'!$A:$A,'[1]DATOS PBI Artículos'!$AO:$AO))/(_xlfn.XLOOKUP($AL$1,[1]CRITERIOS!$S$16:$S$39,[1]CRITERIOS!$Y$16:$Y$39))*$J517+$Z517)))</f>
        <v>#N/A</v>
      </c>
    </row>
    <row r="518" spans="1:37" ht="25.8" hidden="1" x14ac:dyDescent="0.4">
      <c r="A518" s="41"/>
      <c r="B518" s="33">
        <f>_xlfn.XLOOKUP($A518,'[1]DATOS PBI Artículos'!A:A,'[1]DATOS PBI Artículos'!B:B)</f>
        <v>0</v>
      </c>
      <c r="C518" s="33">
        <f>_xlfn.XLOOKUP($A518,'[1]DATOS PBI Artículos'!A:A,'[1]DATOS PBI Artículos'!C:C)</f>
        <v>0</v>
      </c>
      <c r="D518" s="33">
        <f>_xlfn.XLOOKUP(A518,'[1]DATOS PBI Artículos'!A:A,'[1]DATOS PBI Artículos'!T:T)</f>
        <v>0</v>
      </c>
      <c r="E518" s="34">
        <f>IF(_xlfn.XLOOKUP($A518,'[1]DATOS PBI Artículos'!A:A,'[1]DATOS PBI Artículos'!AK:AK)="",_xlfn.XLOOKUP($A518,'[1]DATOS PBI Artículos'!A:A,'[1]DATOS PBI Artículos'!AJ:AJ),_xlfn.XLOOKUP($A518,'[1]DATOS PBI Artículos'!A:A,'[1]DATOS PBI Artículos'!AK:AK))</f>
        <v>0</v>
      </c>
      <c r="F518" s="35">
        <f>_xlfn.XLOOKUP($A518,'[1]DATOS PBI Artículos'!A:A,'[1]DATOS PBI Artículos'!AP:AP)</f>
        <v>0</v>
      </c>
      <c r="G518" s="34">
        <f>_xlfn.XLOOKUP($A518,'[1]DATOS PBI Artículos'!A:A,'[1]DATOS PBI Artículos'!AR:AR)</f>
        <v>0</v>
      </c>
      <c r="H518" s="34">
        <f>_xlfn.XLOOKUP($A518,'[1]DATOS PBI Artículos'!A:A,'[1]DATOS PBI Artículos'!AT:AT)</f>
        <v>0</v>
      </c>
      <c r="I518" s="34">
        <f>_xlfn.XLOOKUP($A518,'[1]DATOS PBI Artículos'!A:A,'[1]DATOS PBI Artículos'!AS:AS)</f>
        <v>0</v>
      </c>
      <c r="J518" s="35">
        <f>IF(COUNTIF([1]CRITERIOS!$F$179:$F$199,$A518)&gt;=1,
 IF(O518&lt;&gt;"",
    (O518/_xlfn.XLOOKUP(CONCATENATE(A518,L518),[1]MÁQUINAS!A:A,[1]MÁQUINAS!D:D))/24,
    (N518/_xlfn.XLOOKUP(CONCATENATE(A518,L518),[1]MÁQUINAS!A:A,[1]MÁQUINAS!D:D))/24),
  _xlfn.XLOOKUP($A518,'[1]DATOS PBI Artículos'!A:A,'[1]DATOS PBI Artículos'!AU:AU))</f>
        <v>0</v>
      </c>
      <c r="K518" s="36">
        <f>_xlfn.XLOOKUP($A518,'[1]DATOS PBI Artículos'!A:A,'[1]DATOS PBI Artículos'!AV:AV)</f>
        <v>0</v>
      </c>
      <c r="L518" s="33">
        <f>_xlfn.XLOOKUP(A518,[1]MÁQUINAS!B:B,[1]MÁQUINAS!C:C)</f>
        <v>0</v>
      </c>
      <c r="M518" s="34">
        <f t="array" ref="M518">_xlfn.XLOOKUP(A518,'[1]DATOS PBI Artículos'!A:A,'[1]DATOS PBI Artículos'!AX:$AX)</f>
        <v>0</v>
      </c>
      <c r="N518" s="37" t="e">
        <f>IF(I518="DV",
E518,
IF(COUNTIF([1]CRITERIOS!$I$179:$I$199,$A518)&gt;=1,
_xlfn.XLOOKUP($A518,[1]CRITERIOS!$I$179:$I$199,[1]CRITERIOS!$J$179:$J$199),
IF(COUNTIF([1]CRITERIOS!$L$179:$L$199,$A518)&gt;=1,
_xlfn.CEILING.MATH(IF($M518&gt;$E518,
$E518,
IF($M518&lt;$E518/ROUNDDOWN([1]CRITERIOS!$M$16/_xlfn.XLOOKUP($C518,[1]CRITERIOS!$K$25:$K$42,[1]CRITERIOS!$M$25:$M$42),
1),
E518/ROUNDDOWN([1]CRITERIOS!$M$16/_xlfn.XLOOKUP($C518,[1]CRITERIOS!$K$25:$K$42,[1]CRITERIOS!$M$25:$M$42),
1),
$M518)),
_xlfn.XLOOKUP($A518,[1]CRITERIOS!$L$179:$L$200,[1]CRITERIOS!$M$179:$M$200)),
_xlfn.CEILING.MATH(IF($M518&gt;$E518,
$E518,
IF($M518&lt;$E518/ROUNDDOWN([1]CRITERIOS!$M$16/_xlfn.XLOOKUP($C518,[1]CRITERIOS!$K$25:$K$42,[1]CRITERIOS!$M$25:$M$42),
1),
E518/ROUNDDOWN([1]CRITERIOS!$M$16/_xlfn.XLOOKUP($C518,[1]CRITERIOS!$K$25:$K$42,[1]CRITERIOS!$M$25:$M$42),
1),
$M518)),_xlfn.XLOOKUP(A518,'[1]DATOS PBI Artículos'!A:A,'[1]DATOS PBI Artículos'!Z:Z
)))))</f>
        <v>#N/A</v>
      </c>
      <c r="Q518" s="38" t="e">
        <f>IF(AND(O518="",N518=0),
0,
   IF(COUNTIF([1]CRITERIOS!$F$179:$F$199,$A518)&gt;=1,
   1,
   IF(R518="MTO",
      $D518,
      ROUNDUP(
                    IF(($E518-SUMIF('[1]DATOS PBI Artículos'!A:A,A518,'[1]DATOS PBI Artículos'!X:X)+($V518-_xlfn.XLOOKUP(A518,'[1]DATOS PBI Artículos'!A:A,'[1]DATOS PBI Artículos'!W:W)))&lt;0,
                    0,
                    IF(($E518-SUMIF('[1]DATOS PBI Artículos'!A:A,A518,'[1]DATOS PBI Artículos'!X:X)+$V518-_xlfn.XLOOKUP($A518,'[1]DATOS PBI Artículos'!A:A,'[1]DATOS PBI Artículos'!W:W))/IF($O518="",$N518,$O518)&gt;ROUNDUP([1]CRITERIOS!$M$16/(IF(COUNTIF([1]CRITERIOS!$BG$11:$BG$201,L518)&gt;=1,_xlfn.XLOOKUP($C518,[1]CRITERIOS!$K$25:$K$42,[1]CRITERIOS!$M$25:$M$42),_xlfn.XLOOKUP($C518,[1]CRITERIOS!$K$25:$K$42,[1]CRITERIOS!$M$25:$M$42))),0),
                    ROUNDUP([1]CRITERIOS!$M$16/(IF(COUNTIF([1]CRITERIOS!$BG$11:$BG$201,$L518)&gt;=1,_xlfn.XLOOKUP($C518,[1]CRITERIOS!$K$25:$K$42,[1]CRITERIOS!$M$25:$M$42),_xlfn.XLOOKUP($C518,[1]CRITERIOS!$K$25:$K$42,[1]CRITERIOS!$M$25:$M$42))),0),
                    (E518+V518-SUMIF('[1]DATOS PBI Artículos'!A:A,A518,'[1]DATOS PBI Artículos'!X:X)-_xlfn.XLOOKUP(A518,'[1]DATOS PBI Artículos'!A:A,'[1]DATOS PBI Artículos'!W:W))/IF($O518="",$N518,$O518))),0))))</f>
        <v>#N/A</v>
      </c>
      <c r="R518" s="33" t="e">
        <f>IF(U518&lt;&gt;"",U518,IF(F518="DV","MTO",IF(N518=0,"MTO",_xlfn.XLOOKUP(CONCATENATE(S518,T518),[1]CRITERIOS!$K$160:$K$168,[1]CRITERIOS!$N$160:$N$168))))</f>
        <v>#N/A</v>
      </c>
      <c r="S518" s="33" t="e">
        <f>IF(G518="DV","MTO",IF(N518=0,"MTO",IF(OR(AND(N518=0,O518=""),IF(O518="",G518/N518,G518/O518)&gt;[1]CRITERIOS!$G$163),"MTO",IF(IF(O518="",G518/N518,G518/O518)&lt;[1]CRITERIOS!$H$161,"MTS","MTOS"))))</f>
        <v>#N/A</v>
      </c>
      <c r="T518" s="33" t="e">
        <f>IF(F518="DV","MTO",IF(OR(AND($N518=0,O518=""),$F518/$J518&gt;[1]CRITERIOS!$G$170,$F518="DV"),"MTO",IF($F518/$J518&lt;[1]CRITERIOS!$H$168,"MTS","MTOS")))</f>
        <v>#N/A</v>
      </c>
      <c r="V518" s="34" t="e">
        <f t="shared" si="25"/>
        <v>#N/A</v>
      </c>
      <c r="X518" s="34" t="e">
        <f t="shared" si="26"/>
        <v>#N/A</v>
      </c>
      <c r="Y518" s="34" t="e">
        <f t="shared" si="27"/>
        <v>#N/A</v>
      </c>
      <c r="Z518" s="34" t="e">
        <f>IF($R518="MTO",
0,
($H518+$K518*($E518/[1]CRITERIOS!$M$16))/[1]CRITERIOS!$X$48)</f>
        <v>#N/A</v>
      </c>
      <c r="AA518" s="34" t="e">
        <f>ROUNDUP(($Y518/_xlfn.XLOOKUP($A518,'[1]DATOS PBI Artículos'!$A$4:$A$4,'[1]DATOS PBI Artículos'!$Z$4:$Z$4))/_xlfn.XLOOKUP(_xlfn.XLOOKUP($A518,'[1]DATOS PBI Artículos'!$A$4:$A$4,'[1]DATOS PBI Artículos'!$Y$4:$Y$4),[1]CRITERIOS!$P$79:$P$123,[1]CRITERIOS!$S$79:$S$123,),0)</f>
        <v>#N/A</v>
      </c>
      <c r="AB518" s="33" t="e">
        <f t="array" ref="AB518">IF((E518+V518-_xlfn.XLOOKUP(A518,'[1]DATOS PBI Artículos'!$A$4:$A$4,'[1]DATOS PBI Artículos'!$W$4:$W$4))/N518&gt;ROUNDUP([1]CRITERIOS!$M$16/(IF(COUNTIF([1]CRITERIOS!$BG$11:$BG$201,L518)&gt;=1,_xlfn.XLOOKUP(ARTÍCULOS!L518,[1]CRITERIOS!$BG$11:$BG$201,[1]CRITERIOS!$BJ$11:$BJ$201),_xlfn.XLOOKUP(ARTÍCULOS!C518,[1]CRITERIOS!$K$25:$K$42,[1]CRITERIOS!$M$25:$M$42))),0),ROUNDUP([1]CRITERIOS!$M$16/(IF(COUNTIF([1]CRITERIOS!$BG$11:$BG$201,L518)&gt;=1,_xlfn.XLOOKUP(ARTÍCULOS!L518,[1]CRITERIOS!$BG$11:$BG$201:#REF!,[1]CRITERIOS!$BJ$11:$BJ$201),_xlfn.XLOOKUP(ARTÍCULOS!C518,[1]CRITERIOS!$K$25:$K$42,[1]CRITERIOS!$M$25:$M$42))),0),(E518+V518-_xlfn.XLOOKUP(A518,'[1]DATOS PBI Artículos'!$A$4:$A$4,'[1]DATOS PBI Artículos'!$W$4:$W$4))/N518)</f>
        <v>#N/A</v>
      </c>
      <c r="AC518" s="33" t="e">
        <f>IF(N518=0,"",(ROUNDUP((N518/2)/(_xlfn.XLOOKUP(A518,'[1]DATOS PBI Artículos'!$A$4:$A$4,'[1]DATOS PBI Artículos'!$Z$4:$Z$4)*_xlfn.XLOOKUP(_xlfn.XLOOKUP(A518,'[1]DATOS PBI Artículos'!$A$4:$A$4,'[1]DATOS PBI Artículos'!$Y$4:$Y$4),[1]CRITERIOS!$P$79:$P$123,[1]CRITERIOS!$S$79:$S$123)),0)*[1]CRITERIOS!$M$80*([1]CRITERIOS!$M$110/[1]CRITERIOS!$M$86)+(_xlfn.XLOOKUP(A518,'[1]DATOS PBI Artículos'!$A$4:$A$4,'[1]DATOS PBI Artículos'!$AA$4:$AA$4)*([1]CRITERIOS!$M$95+[1]CRITERIOS!$M$98)))/N518)</f>
        <v>#N/A</v>
      </c>
      <c r="AD518" s="33" t="e">
        <f>IF(N518=0,"",(ROUNDUP((N518/2)/(_xlfn.XLOOKUP(A518,'[1]DATOS PBI Artículos'!$A$4:$A$4,'[1]DATOS PBI Artículos'!$Z$4:$Z$4)*_xlfn.XLOOKUP(_xlfn.XLOOKUP(A518,'[1]DATOS PBI Artículos'!$A$4:$A$4,'[1]DATOS PBI Artículos'!$Y$4:$Y$4),[1]CRITERIOS!$P$79:$P$123,[1]CRITERIOS!$S$79:$S$123)),0)*[1]CRITERIOS!$M$80*([1]CRITERIOS!$M$89*[1]CRITERIOS!$M$92)+((_xlfn.XLOOKUP(A518,'[1]DATOS PBI Artículos'!$A$4:$A$4,'[1]DATOS PBI Artículos'!$AA$4:$AA$4)/2)*([1]CRITERIOS!$M$95+[1]CRITERIOS!$M$98)))/N518)</f>
        <v>#N/A</v>
      </c>
      <c r="AE518" s="39" t="e">
        <f>IF($R518="MTO","",
IF($H518=0,ROUNDUP(((_xlfn.XLOOKUP($A518,'[1]DATOS PBI Artículos'!$A:$A,'[1]DATOS PBI Artículos'!$AL:$AL))/(_xlfn.XLOOKUP($AF$1,[1]CRITERIOS!$S$16:$S$39,[1]CRITERIOS!$Y$16:$Y$39))*$J518+$Z518)/$G518,0)*$G518,
((_xlfn.XLOOKUP($A518,'[1]DATOS PBI Artículos'!$A:$A,'[1]DATOS PBI Artículos'!$AL:$AL))/(_xlfn.XLOOKUP($AF$1,[1]CRITERIOS!$S$16:$S$39,[1]CRITERIOS!$Y$16:$Y$39))*$J518+$Z518)))</f>
        <v>#N/A</v>
      </c>
      <c r="AG518" s="39" t="e">
        <f>IF($R518="MTO","",
IF($H518=0,ROUNDUP(((_xlfn.XLOOKUP($A518,'[1]DATOS PBI Artículos'!$A:$A,'[1]DATOS PBI Artículos'!$AM:$AM))/(_xlfn.XLOOKUP($AH$1,[1]CRITERIOS!$S$16:$S$39,[1]CRITERIOS!$Y$16:$Y$39))*$J518+$Z518)/$G518,0)*$G518,
((_xlfn.XLOOKUP($A518,'[1]DATOS PBI Artículos'!$A:$A,'[1]DATOS PBI Artículos'!$AM:$AM))/(_xlfn.XLOOKUP($AH$1,[1]CRITERIOS!$S$16:$S$39,[1]CRITERIOS!$Y$16:$Y$39))*$J518+$Z518)))</f>
        <v>#N/A</v>
      </c>
      <c r="AI518" s="39" t="e">
        <f>IF($R518="MTO","",
IF($H518=0,ROUNDUP(((_xlfn.XLOOKUP($A518,'[1]DATOS PBI Artículos'!$A:$A,'[1]DATOS PBI Artículos'!$AN:$AN))/(_xlfn.XLOOKUP($AJ$1,[1]CRITERIOS!$S$16:$S$39,[1]CRITERIOS!$Y$16:$Y$39))*$J518+$Z518)/$G518,0)*$G518,
((_xlfn.XLOOKUP($A518,'[1]DATOS PBI Artículos'!$A:$A,'[1]DATOS PBI Artículos'!$AN:$AN))/(_xlfn.XLOOKUP($AJ$1,[1]CRITERIOS!$S$16:$S$39,[1]CRITERIOS!$Y$16:$Y$39))*$J518+$Z518)))</f>
        <v>#N/A</v>
      </c>
      <c r="AK518" s="39" t="e">
        <f>IF($R518="MTO","",
IF($H518=0,ROUNDUP(((_xlfn.XLOOKUP($A518,'[1]DATOS PBI Artículos'!$A:$A,'[1]DATOS PBI Artículos'!$AO:$AO))/(_xlfn.XLOOKUP($AL$1,[1]CRITERIOS!$S$16:$S$39,[1]CRITERIOS!$Y$16:$Y$39))*$J518+$Z518)/$G518,0)*$G518,
((_xlfn.XLOOKUP($A518,'[1]DATOS PBI Artículos'!$A:$A,'[1]DATOS PBI Artículos'!$AO:$AO))/(_xlfn.XLOOKUP($AL$1,[1]CRITERIOS!$S$16:$S$39,[1]CRITERIOS!$Y$16:$Y$39))*$J518+$Z518)))</f>
        <v>#N/A</v>
      </c>
    </row>
    <row r="519" spans="1:37" ht="25.8" hidden="1" x14ac:dyDescent="0.4">
      <c r="A519" s="41"/>
      <c r="B519" s="33">
        <f>_xlfn.XLOOKUP($A519,'[1]DATOS PBI Artículos'!A:A,'[1]DATOS PBI Artículos'!B:B)</f>
        <v>0</v>
      </c>
      <c r="C519" s="33">
        <f>_xlfn.XLOOKUP($A519,'[1]DATOS PBI Artículos'!A:A,'[1]DATOS PBI Artículos'!C:C)</f>
        <v>0</v>
      </c>
      <c r="D519" s="33">
        <f>_xlfn.XLOOKUP(A519,'[1]DATOS PBI Artículos'!A:A,'[1]DATOS PBI Artículos'!T:T)</f>
        <v>0</v>
      </c>
      <c r="E519" s="34">
        <f>IF(_xlfn.XLOOKUP($A519,'[1]DATOS PBI Artículos'!A:A,'[1]DATOS PBI Artículos'!AK:AK)="",_xlfn.XLOOKUP($A519,'[1]DATOS PBI Artículos'!A:A,'[1]DATOS PBI Artículos'!AJ:AJ),_xlfn.XLOOKUP($A519,'[1]DATOS PBI Artículos'!A:A,'[1]DATOS PBI Artículos'!AK:AK))</f>
        <v>0</v>
      </c>
      <c r="F519" s="35">
        <f>_xlfn.XLOOKUP($A519,'[1]DATOS PBI Artículos'!A:A,'[1]DATOS PBI Artículos'!AP:AP)</f>
        <v>0</v>
      </c>
      <c r="G519" s="34">
        <f>_xlfn.XLOOKUP($A519,'[1]DATOS PBI Artículos'!A:A,'[1]DATOS PBI Artículos'!AR:AR)</f>
        <v>0</v>
      </c>
      <c r="H519" s="34">
        <f>_xlfn.XLOOKUP($A519,'[1]DATOS PBI Artículos'!A:A,'[1]DATOS PBI Artículos'!AT:AT)</f>
        <v>0</v>
      </c>
      <c r="I519" s="34">
        <f>_xlfn.XLOOKUP($A519,'[1]DATOS PBI Artículos'!A:A,'[1]DATOS PBI Artículos'!AS:AS)</f>
        <v>0</v>
      </c>
      <c r="J519" s="35">
        <f>IF(COUNTIF([1]CRITERIOS!$F$179:$F$199,$A519)&gt;=1,
 IF(O519&lt;&gt;"",
    (O519/_xlfn.XLOOKUP(CONCATENATE(A519,L519),[1]MÁQUINAS!A:A,[1]MÁQUINAS!D:D))/24,
    (N519/_xlfn.XLOOKUP(CONCATENATE(A519,L519),[1]MÁQUINAS!A:A,[1]MÁQUINAS!D:D))/24),
  _xlfn.XLOOKUP($A519,'[1]DATOS PBI Artículos'!A:A,'[1]DATOS PBI Artículos'!AU:AU))</f>
        <v>0</v>
      </c>
      <c r="K519" s="36">
        <f>_xlfn.XLOOKUP($A519,'[1]DATOS PBI Artículos'!A:A,'[1]DATOS PBI Artículos'!AV:AV)</f>
        <v>0</v>
      </c>
      <c r="L519" s="33">
        <f>_xlfn.XLOOKUP(A519,[1]MÁQUINAS!B:B,[1]MÁQUINAS!C:C)</f>
        <v>0</v>
      </c>
      <c r="M519" s="34">
        <f t="array" ref="M519">_xlfn.XLOOKUP(A519,'[1]DATOS PBI Artículos'!A:A,'[1]DATOS PBI Artículos'!AX:$AX)</f>
        <v>0</v>
      </c>
      <c r="N519" s="37" t="e">
        <f>IF(I519="DV",
E519,
IF(COUNTIF([1]CRITERIOS!$I$179:$I$199,$A519)&gt;=1,
_xlfn.XLOOKUP($A519,[1]CRITERIOS!$I$179:$I$199,[1]CRITERIOS!$J$179:$J$199),
IF(COUNTIF([1]CRITERIOS!$L$179:$L$199,$A519)&gt;=1,
_xlfn.CEILING.MATH(IF($M519&gt;$E519,
$E519,
IF($M519&lt;$E519/ROUNDDOWN([1]CRITERIOS!$M$16/_xlfn.XLOOKUP($C519,[1]CRITERIOS!$K$25:$K$42,[1]CRITERIOS!$M$25:$M$42),
1),
E519/ROUNDDOWN([1]CRITERIOS!$M$16/_xlfn.XLOOKUP($C519,[1]CRITERIOS!$K$25:$K$42,[1]CRITERIOS!$M$25:$M$42),
1),
$M519)),
_xlfn.XLOOKUP($A519,[1]CRITERIOS!$L$179:$L$200,[1]CRITERIOS!$M$179:$M$200)),
_xlfn.CEILING.MATH(IF($M519&gt;$E519,
$E519,
IF($M519&lt;$E519/ROUNDDOWN([1]CRITERIOS!$M$16/_xlfn.XLOOKUP($C519,[1]CRITERIOS!$K$25:$K$42,[1]CRITERIOS!$M$25:$M$42),
1),
E519/ROUNDDOWN([1]CRITERIOS!$M$16/_xlfn.XLOOKUP($C519,[1]CRITERIOS!$K$25:$K$42,[1]CRITERIOS!$M$25:$M$42),
1),
$M519)),_xlfn.XLOOKUP(A519,'[1]DATOS PBI Artículos'!A:A,'[1]DATOS PBI Artículos'!Z:Z
)))))</f>
        <v>#N/A</v>
      </c>
      <c r="Q519" s="38" t="e">
        <f>IF(AND(O519="",N519=0),
0,
   IF(COUNTIF([1]CRITERIOS!$F$179:$F$199,$A519)&gt;=1,
   1,
   IF(R519="MTO",
      $D519,
      ROUNDUP(
                    IF(($E519-SUMIF('[1]DATOS PBI Artículos'!A:A,A519,'[1]DATOS PBI Artículos'!X:X)+($V519-_xlfn.XLOOKUP(A519,'[1]DATOS PBI Artículos'!A:A,'[1]DATOS PBI Artículos'!W:W)))&lt;0,
                    0,
                    IF(($E519-SUMIF('[1]DATOS PBI Artículos'!A:A,A519,'[1]DATOS PBI Artículos'!X:X)+$V519-_xlfn.XLOOKUP($A519,'[1]DATOS PBI Artículos'!A:A,'[1]DATOS PBI Artículos'!W:W))/IF($O519="",$N519,$O519)&gt;ROUNDUP([1]CRITERIOS!$M$16/(IF(COUNTIF([1]CRITERIOS!$BG$11:$BG$201,L519)&gt;=1,_xlfn.XLOOKUP($C519,[1]CRITERIOS!$K$25:$K$42,[1]CRITERIOS!$M$25:$M$42),_xlfn.XLOOKUP($C519,[1]CRITERIOS!$K$25:$K$42,[1]CRITERIOS!$M$25:$M$42))),0),
                    ROUNDUP([1]CRITERIOS!$M$16/(IF(COUNTIF([1]CRITERIOS!$BG$11:$BG$201,$L519)&gt;=1,_xlfn.XLOOKUP($C519,[1]CRITERIOS!$K$25:$K$42,[1]CRITERIOS!$M$25:$M$42),_xlfn.XLOOKUP($C519,[1]CRITERIOS!$K$25:$K$42,[1]CRITERIOS!$M$25:$M$42))),0),
                    (E519+V519-SUMIF('[1]DATOS PBI Artículos'!A:A,A519,'[1]DATOS PBI Artículos'!X:X)-_xlfn.XLOOKUP(A519,'[1]DATOS PBI Artículos'!A:A,'[1]DATOS PBI Artículos'!W:W))/IF($O519="",$N519,$O519))),0))))</f>
        <v>#N/A</v>
      </c>
      <c r="R519" s="33" t="e">
        <f>IF(U519&lt;&gt;"",U519,IF(F519="DV","MTO",IF(N519=0,"MTO",_xlfn.XLOOKUP(CONCATENATE(S519,T519),[1]CRITERIOS!$K$160:$K$168,[1]CRITERIOS!$N$160:$N$168))))</f>
        <v>#N/A</v>
      </c>
      <c r="S519" s="33" t="e">
        <f>IF(G519="DV","MTO",IF(N519=0,"MTO",IF(OR(AND(N519=0,O519=""),IF(O519="",G519/N519,G519/O519)&gt;[1]CRITERIOS!$G$163),"MTO",IF(IF(O519="",G519/N519,G519/O519)&lt;[1]CRITERIOS!$H$161,"MTS","MTOS"))))</f>
        <v>#N/A</v>
      </c>
      <c r="T519" s="33" t="e">
        <f>IF(F519="DV","MTO",IF(OR(AND($N519=0,O519=""),$F519/$J519&gt;[1]CRITERIOS!$G$170,$F519="DV"),"MTO",IF($F519/$J519&lt;[1]CRITERIOS!$H$168,"MTS","MTOS")))</f>
        <v>#N/A</v>
      </c>
      <c r="V519" s="34" t="e">
        <f t="shared" si="25"/>
        <v>#N/A</v>
      </c>
      <c r="X519" s="34" t="e">
        <f t="shared" si="26"/>
        <v>#N/A</v>
      </c>
      <c r="Y519" s="34" t="e">
        <f t="shared" si="27"/>
        <v>#N/A</v>
      </c>
      <c r="Z519" s="34" t="e">
        <f>IF($R519="MTO",
0,
($H519+$K519*($E519/[1]CRITERIOS!$M$16))/[1]CRITERIOS!$X$48)</f>
        <v>#N/A</v>
      </c>
      <c r="AA519" s="34" t="e">
        <f>ROUNDUP(($Y519/_xlfn.XLOOKUP($A519,'[1]DATOS PBI Artículos'!$A$4:$A$4,'[1]DATOS PBI Artículos'!$Z$4:$Z$4))/_xlfn.XLOOKUP(_xlfn.XLOOKUP($A519,'[1]DATOS PBI Artículos'!$A$4:$A$4,'[1]DATOS PBI Artículos'!$Y$4:$Y$4),[1]CRITERIOS!$P$79:$P$123,[1]CRITERIOS!$S$79:$S$123,),0)</f>
        <v>#N/A</v>
      </c>
      <c r="AB519" s="33" t="e">
        <f t="array" ref="AB519">IF((E519+V519-_xlfn.XLOOKUP(A519,'[1]DATOS PBI Artículos'!$A$4:$A$4,'[1]DATOS PBI Artículos'!$W$4:$W$4))/N519&gt;ROUNDUP([1]CRITERIOS!$M$16/(IF(COUNTIF([1]CRITERIOS!$BG$11:$BG$201,L519)&gt;=1,_xlfn.XLOOKUP(ARTÍCULOS!L519,[1]CRITERIOS!$BG$11:$BG$201,[1]CRITERIOS!$BJ$11:$BJ$201),_xlfn.XLOOKUP(ARTÍCULOS!C519,[1]CRITERIOS!$K$25:$K$42,[1]CRITERIOS!$M$25:$M$42))),0),ROUNDUP([1]CRITERIOS!$M$16/(IF(COUNTIF([1]CRITERIOS!$BG$11:$BG$201,L519)&gt;=1,_xlfn.XLOOKUP(ARTÍCULOS!L519,[1]CRITERIOS!$BG$11:$BG$201:#REF!,[1]CRITERIOS!$BJ$11:$BJ$201),_xlfn.XLOOKUP(ARTÍCULOS!C519,[1]CRITERIOS!$K$25:$K$42,[1]CRITERIOS!$M$25:$M$42))),0),(E519+V519-_xlfn.XLOOKUP(A519,'[1]DATOS PBI Artículos'!$A$4:$A$4,'[1]DATOS PBI Artículos'!$W$4:$W$4))/N519)</f>
        <v>#N/A</v>
      </c>
      <c r="AC519" s="33" t="e">
        <f>IF(N519=0,"",(ROUNDUP((N519/2)/(_xlfn.XLOOKUP(A519,'[1]DATOS PBI Artículos'!$A$4:$A$4,'[1]DATOS PBI Artículos'!$Z$4:$Z$4)*_xlfn.XLOOKUP(_xlfn.XLOOKUP(A519,'[1]DATOS PBI Artículos'!$A$4:$A$4,'[1]DATOS PBI Artículos'!$Y$4:$Y$4),[1]CRITERIOS!$P$79:$P$123,[1]CRITERIOS!$S$79:$S$123)),0)*[1]CRITERIOS!$M$80*([1]CRITERIOS!$M$110/[1]CRITERIOS!$M$86)+(_xlfn.XLOOKUP(A519,'[1]DATOS PBI Artículos'!$A$4:$A$4,'[1]DATOS PBI Artículos'!$AA$4:$AA$4)*([1]CRITERIOS!$M$95+[1]CRITERIOS!$M$98)))/N519)</f>
        <v>#N/A</v>
      </c>
      <c r="AD519" s="33" t="e">
        <f>IF(N519=0,"",(ROUNDUP((N519/2)/(_xlfn.XLOOKUP(A519,'[1]DATOS PBI Artículos'!$A$4:$A$4,'[1]DATOS PBI Artículos'!$Z$4:$Z$4)*_xlfn.XLOOKUP(_xlfn.XLOOKUP(A519,'[1]DATOS PBI Artículos'!$A$4:$A$4,'[1]DATOS PBI Artículos'!$Y$4:$Y$4),[1]CRITERIOS!$P$79:$P$123,[1]CRITERIOS!$S$79:$S$123)),0)*[1]CRITERIOS!$M$80*([1]CRITERIOS!$M$89*[1]CRITERIOS!$M$92)+((_xlfn.XLOOKUP(A519,'[1]DATOS PBI Artículos'!$A$4:$A$4,'[1]DATOS PBI Artículos'!$AA$4:$AA$4)/2)*([1]CRITERIOS!$M$95+[1]CRITERIOS!$M$98)))/N519)</f>
        <v>#N/A</v>
      </c>
      <c r="AE519" s="39" t="e">
        <f>IF($R519="MTO","",
IF($H519=0,ROUNDUP(((_xlfn.XLOOKUP($A519,'[1]DATOS PBI Artículos'!$A:$A,'[1]DATOS PBI Artículos'!$AL:$AL))/(_xlfn.XLOOKUP($AF$1,[1]CRITERIOS!$S$16:$S$39,[1]CRITERIOS!$Y$16:$Y$39))*$J519+$Z519)/$G519,0)*$G519,
((_xlfn.XLOOKUP($A519,'[1]DATOS PBI Artículos'!$A:$A,'[1]DATOS PBI Artículos'!$AL:$AL))/(_xlfn.XLOOKUP($AF$1,[1]CRITERIOS!$S$16:$S$39,[1]CRITERIOS!$Y$16:$Y$39))*$J519+$Z519)))</f>
        <v>#N/A</v>
      </c>
      <c r="AG519" s="39" t="e">
        <f>IF($R519="MTO","",
IF($H519=0,ROUNDUP(((_xlfn.XLOOKUP($A519,'[1]DATOS PBI Artículos'!$A:$A,'[1]DATOS PBI Artículos'!$AM:$AM))/(_xlfn.XLOOKUP($AH$1,[1]CRITERIOS!$S$16:$S$39,[1]CRITERIOS!$Y$16:$Y$39))*$J519+$Z519)/$G519,0)*$G519,
((_xlfn.XLOOKUP($A519,'[1]DATOS PBI Artículos'!$A:$A,'[1]DATOS PBI Artículos'!$AM:$AM))/(_xlfn.XLOOKUP($AH$1,[1]CRITERIOS!$S$16:$S$39,[1]CRITERIOS!$Y$16:$Y$39))*$J519+$Z519)))</f>
        <v>#N/A</v>
      </c>
      <c r="AI519" s="39" t="e">
        <f>IF($R519="MTO","",
IF($H519=0,ROUNDUP(((_xlfn.XLOOKUP($A519,'[1]DATOS PBI Artículos'!$A:$A,'[1]DATOS PBI Artículos'!$AN:$AN))/(_xlfn.XLOOKUP($AJ$1,[1]CRITERIOS!$S$16:$S$39,[1]CRITERIOS!$Y$16:$Y$39))*$J519+$Z519)/$G519,0)*$G519,
((_xlfn.XLOOKUP($A519,'[1]DATOS PBI Artículos'!$A:$A,'[1]DATOS PBI Artículos'!$AN:$AN))/(_xlfn.XLOOKUP($AJ$1,[1]CRITERIOS!$S$16:$S$39,[1]CRITERIOS!$Y$16:$Y$39))*$J519+$Z519)))</f>
        <v>#N/A</v>
      </c>
      <c r="AK519" s="39" t="e">
        <f>IF($R519="MTO","",
IF($H519=0,ROUNDUP(((_xlfn.XLOOKUP($A519,'[1]DATOS PBI Artículos'!$A:$A,'[1]DATOS PBI Artículos'!$AO:$AO))/(_xlfn.XLOOKUP($AL$1,[1]CRITERIOS!$S$16:$S$39,[1]CRITERIOS!$Y$16:$Y$39))*$J519+$Z519)/$G519,0)*$G519,
((_xlfn.XLOOKUP($A519,'[1]DATOS PBI Artículos'!$A:$A,'[1]DATOS PBI Artículos'!$AO:$AO))/(_xlfn.XLOOKUP($AL$1,[1]CRITERIOS!$S$16:$S$39,[1]CRITERIOS!$Y$16:$Y$39))*$J519+$Z519)))</f>
        <v>#N/A</v>
      </c>
    </row>
    <row r="520" spans="1:37" ht="25.8" hidden="1" x14ac:dyDescent="0.4">
      <c r="A520" s="41"/>
      <c r="B520" s="33">
        <f>_xlfn.XLOOKUP($A520,'[1]DATOS PBI Artículos'!A:A,'[1]DATOS PBI Artículos'!B:B)</f>
        <v>0</v>
      </c>
      <c r="C520" s="33">
        <f>_xlfn.XLOOKUP($A520,'[1]DATOS PBI Artículos'!A:A,'[1]DATOS PBI Artículos'!C:C)</f>
        <v>0</v>
      </c>
      <c r="D520" s="33">
        <f>_xlfn.XLOOKUP(A520,'[1]DATOS PBI Artículos'!A:A,'[1]DATOS PBI Artículos'!T:T)</f>
        <v>0</v>
      </c>
      <c r="E520" s="34">
        <f>IF(_xlfn.XLOOKUP($A520,'[1]DATOS PBI Artículos'!A:A,'[1]DATOS PBI Artículos'!AK:AK)="",_xlfn.XLOOKUP($A520,'[1]DATOS PBI Artículos'!A:A,'[1]DATOS PBI Artículos'!AJ:AJ),_xlfn.XLOOKUP($A520,'[1]DATOS PBI Artículos'!A:A,'[1]DATOS PBI Artículos'!AK:AK))</f>
        <v>0</v>
      </c>
      <c r="F520" s="35">
        <f>_xlfn.XLOOKUP($A520,'[1]DATOS PBI Artículos'!A:A,'[1]DATOS PBI Artículos'!AP:AP)</f>
        <v>0</v>
      </c>
      <c r="G520" s="34">
        <f>_xlfn.XLOOKUP($A520,'[1]DATOS PBI Artículos'!A:A,'[1]DATOS PBI Artículos'!AR:AR)</f>
        <v>0</v>
      </c>
      <c r="H520" s="34">
        <f>_xlfn.XLOOKUP($A520,'[1]DATOS PBI Artículos'!A:A,'[1]DATOS PBI Artículos'!AT:AT)</f>
        <v>0</v>
      </c>
      <c r="I520" s="34">
        <f>_xlfn.XLOOKUP($A520,'[1]DATOS PBI Artículos'!A:A,'[1]DATOS PBI Artículos'!AS:AS)</f>
        <v>0</v>
      </c>
      <c r="J520" s="35">
        <f>IF(COUNTIF([1]CRITERIOS!$F$179:$F$199,$A520)&gt;=1,
 IF(O520&lt;&gt;"",
    (O520/_xlfn.XLOOKUP(CONCATENATE(A520,L520),[1]MÁQUINAS!A:A,[1]MÁQUINAS!D:D))/24,
    (N520/_xlfn.XLOOKUP(CONCATENATE(A520,L520),[1]MÁQUINAS!A:A,[1]MÁQUINAS!D:D))/24),
  _xlfn.XLOOKUP($A520,'[1]DATOS PBI Artículos'!A:A,'[1]DATOS PBI Artículos'!AU:AU))</f>
        <v>0</v>
      </c>
      <c r="K520" s="36">
        <f>_xlfn.XLOOKUP($A520,'[1]DATOS PBI Artículos'!A:A,'[1]DATOS PBI Artículos'!AV:AV)</f>
        <v>0</v>
      </c>
      <c r="L520" s="33">
        <f>_xlfn.XLOOKUP(A520,[1]MÁQUINAS!B:B,[1]MÁQUINAS!C:C)</f>
        <v>0</v>
      </c>
      <c r="M520" s="34">
        <f t="array" ref="M520">_xlfn.XLOOKUP(A520,'[1]DATOS PBI Artículos'!A:A,'[1]DATOS PBI Artículos'!AX:$AX)</f>
        <v>0</v>
      </c>
      <c r="N520" s="37" t="e">
        <f>IF(I520="DV",
E520,
IF(COUNTIF([1]CRITERIOS!$I$179:$I$199,$A520)&gt;=1,
_xlfn.XLOOKUP($A520,[1]CRITERIOS!$I$179:$I$199,[1]CRITERIOS!$J$179:$J$199),
IF(COUNTIF([1]CRITERIOS!$L$179:$L$199,$A520)&gt;=1,
_xlfn.CEILING.MATH(IF($M520&gt;$E520,
$E520,
IF($M520&lt;$E520/ROUNDDOWN([1]CRITERIOS!$M$16/_xlfn.XLOOKUP($C520,[1]CRITERIOS!$K$25:$K$42,[1]CRITERIOS!$M$25:$M$42),
1),
E520/ROUNDDOWN([1]CRITERIOS!$M$16/_xlfn.XLOOKUP($C520,[1]CRITERIOS!$K$25:$K$42,[1]CRITERIOS!$M$25:$M$42),
1),
$M520)),
_xlfn.XLOOKUP($A520,[1]CRITERIOS!$L$179:$L$200,[1]CRITERIOS!$M$179:$M$200)),
_xlfn.CEILING.MATH(IF($M520&gt;$E520,
$E520,
IF($M520&lt;$E520/ROUNDDOWN([1]CRITERIOS!$M$16/_xlfn.XLOOKUP($C520,[1]CRITERIOS!$K$25:$K$42,[1]CRITERIOS!$M$25:$M$42),
1),
E520/ROUNDDOWN([1]CRITERIOS!$M$16/_xlfn.XLOOKUP($C520,[1]CRITERIOS!$K$25:$K$42,[1]CRITERIOS!$M$25:$M$42),
1),
$M520)),_xlfn.XLOOKUP(A520,'[1]DATOS PBI Artículos'!A:A,'[1]DATOS PBI Artículos'!Z:Z
)))))</f>
        <v>#N/A</v>
      </c>
      <c r="Q520" s="38" t="e">
        <f>IF(AND(O520="",N520=0),
0,
   IF(COUNTIF([1]CRITERIOS!$F$179:$F$199,$A520)&gt;=1,
   1,
   IF(R520="MTO",
      $D520,
      ROUNDUP(
                    IF(($E520-SUMIF('[1]DATOS PBI Artículos'!A:A,A520,'[1]DATOS PBI Artículos'!X:X)+($V520-_xlfn.XLOOKUP(A520,'[1]DATOS PBI Artículos'!A:A,'[1]DATOS PBI Artículos'!W:W)))&lt;0,
                    0,
                    IF(($E520-SUMIF('[1]DATOS PBI Artículos'!A:A,A520,'[1]DATOS PBI Artículos'!X:X)+$V520-_xlfn.XLOOKUP($A520,'[1]DATOS PBI Artículos'!A:A,'[1]DATOS PBI Artículos'!W:W))/IF($O520="",$N520,$O520)&gt;ROUNDUP([1]CRITERIOS!$M$16/(IF(COUNTIF([1]CRITERIOS!$BG$11:$BG$201,L520)&gt;=1,_xlfn.XLOOKUP($C520,[1]CRITERIOS!$K$25:$K$42,[1]CRITERIOS!$M$25:$M$42),_xlfn.XLOOKUP($C520,[1]CRITERIOS!$K$25:$K$42,[1]CRITERIOS!$M$25:$M$42))),0),
                    ROUNDUP([1]CRITERIOS!$M$16/(IF(COUNTIF([1]CRITERIOS!$BG$11:$BG$201,$L520)&gt;=1,_xlfn.XLOOKUP($C520,[1]CRITERIOS!$K$25:$K$42,[1]CRITERIOS!$M$25:$M$42),_xlfn.XLOOKUP($C520,[1]CRITERIOS!$K$25:$K$42,[1]CRITERIOS!$M$25:$M$42))),0),
                    (E520+V520-SUMIF('[1]DATOS PBI Artículos'!A:A,A520,'[1]DATOS PBI Artículos'!X:X)-_xlfn.XLOOKUP(A520,'[1]DATOS PBI Artículos'!A:A,'[1]DATOS PBI Artículos'!W:W))/IF($O520="",$N520,$O520))),0))))</f>
        <v>#N/A</v>
      </c>
      <c r="R520" s="33" t="e">
        <f>IF(U520&lt;&gt;"",U520,IF(F520="DV","MTO",IF(N520=0,"MTO",_xlfn.XLOOKUP(CONCATENATE(S520,T520),[1]CRITERIOS!$K$160:$K$168,[1]CRITERIOS!$N$160:$N$168))))</f>
        <v>#N/A</v>
      </c>
      <c r="S520" s="33" t="e">
        <f>IF(G520="DV","MTO",IF(N520=0,"MTO",IF(OR(AND(N520=0,O520=""),IF(O520="",G520/N520,G520/O520)&gt;[1]CRITERIOS!$G$163),"MTO",IF(IF(O520="",G520/N520,G520/O520)&lt;[1]CRITERIOS!$H$161,"MTS","MTOS"))))</f>
        <v>#N/A</v>
      </c>
      <c r="T520" s="33" t="e">
        <f>IF(F520="DV","MTO",IF(OR(AND($N520=0,O520=""),$F520/$J520&gt;[1]CRITERIOS!$G$170,$F520="DV"),"MTO",IF($F520/$J520&lt;[1]CRITERIOS!$H$168,"MTS","MTOS")))</f>
        <v>#N/A</v>
      </c>
      <c r="V520" s="34" t="e">
        <f t="shared" si="25"/>
        <v>#N/A</v>
      </c>
      <c r="X520" s="34" t="e">
        <f t="shared" si="26"/>
        <v>#N/A</v>
      </c>
      <c r="Y520" s="34" t="e">
        <f t="shared" si="27"/>
        <v>#N/A</v>
      </c>
      <c r="Z520" s="34" t="e">
        <f>IF($R520="MTO",
0,
($H520+$K520*($E520/[1]CRITERIOS!$M$16))/[1]CRITERIOS!$X$48)</f>
        <v>#N/A</v>
      </c>
      <c r="AA520" s="34" t="e">
        <f>ROUNDUP(($Y520/_xlfn.XLOOKUP($A520,'[1]DATOS PBI Artículos'!$A$4:$A$4,'[1]DATOS PBI Artículos'!$Z$4:$Z$4))/_xlfn.XLOOKUP(_xlfn.XLOOKUP($A520,'[1]DATOS PBI Artículos'!$A$4:$A$4,'[1]DATOS PBI Artículos'!$Y$4:$Y$4),[1]CRITERIOS!$P$79:$P$123,[1]CRITERIOS!$S$79:$S$123,),0)</f>
        <v>#N/A</v>
      </c>
      <c r="AB520" s="33" t="e">
        <f t="array" ref="AB520">IF((E520+V520-_xlfn.XLOOKUP(A520,'[1]DATOS PBI Artículos'!$A$4:$A$4,'[1]DATOS PBI Artículos'!$W$4:$W$4))/N520&gt;ROUNDUP([1]CRITERIOS!$M$16/(IF(COUNTIF([1]CRITERIOS!$BG$11:$BG$201,L520)&gt;=1,_xlfn.XLOOKUP(ARTÍCULOS!L520,[1]CRITERIOS!$BG$11:$BG$201,[1]CRITERIOS!$BJ$11:$BJ$201),_xlfn.XLOOKUP(ARTÍCULOS!C520,[1]CRITERIOS!$K$25:$K$42,[1]CRITERIOS!$M$25:$M$42))),0),ROUNDUP([1]CRITERIOS!$M$16/(IF(COUNTIF([1]CRITERIOS!$BG$11:$BG$201,L520)&gt;=1,_xlfn.XLOOKUP(ARTÍCULOS!L520,[1]CRITERIOS!$BG$11:$BG$201:#REF!,[1]CRITERIOS!$BJ$11:$BJ$201),_xlfn.XLOOKUP(ARTÍCULOS!C520,[1]CRITERIOS!$K$25:$K$42,[1]CRITERIOS!$M$25:$M$42))),0),(E520+V520-_xlfn.XLOOKUP(A520,'[1]DATOS PBI Artículos'!$A$4:$A$4,'[1]DATOS PBI Artículos'!$W$4:$W$4))/N520)</f>
        <v>#N/A</v>
      </c>
      <c r="AC520" s="33" t="e">
        <f>IF(N520=0,"",(ROUNDUP((N520/2)/(_xlfn.XLOOKUP(A520,'[1]DATOS PBI Artículos'!$A$4:$A$4,'[1]DATOS PBI Artículos'!$Z$4:$Z$4)*_xlfn.XLOOKUP(_xlfn.XLOOKUP(A520,'[1]DATOS PBI Artículos'!$A$4:$A$4,'[1]DATOS PBI Artículos'!$Y$4:$Y$4),[1]CRITERIOS!$P$79:$P$123,[1]CRITERIOS!$S$79:$S$123)),0)*[1]CRITERIOS!$M$80*([1]CRITERIOS!$M$110/[1]CRITERIOS!$M$86)+(_xlfn.XLOOKUP(A520,'[1]DATOS PBI Artículos'!$A$4:$A$4,'[1]DATOS PBI Artículos'!$AA$4:$AA$4)*([1]CRITERIOS!$M$95+[1]CRITERIOS!$M$98)))/N520)</f>
        <v>#N/A</v>
      </c>
      <c r="AD520" s="33" t="e">
        <f>IF(N520=0,"",(ROUNDUP((N520/2)/(_xlfn.XLOOKUP(A520,'[1]DATOS PBI Artículos'!$A$4:$A$4,'[1]DATOS PBI Artículos'!$Z$4:$Z$4)*_xlfn.XLOOKUP(_xlfn.XLOOKUP(A520,'[1]DATOS PBI Artículos'!$A$4:$A$4,'[1]DATOS PBI Artículos'!$Y$4:$Y$4),[1]CRITERIOS!$P$79:$P$123,[1]CRITERIOS!$S$79:$S$123)),0)*[1]CRITERIOS!$M$80*([1]CRITERIOS!$M$89*[1]CRITERIOS!$M$92)+((_xlfn.XLOOKUP(A520,'[1]DATOS PBI Artículos'!$A$4:$A$4,'[1]DATOS PBI Artículos'!$AA$4:$AA$4)/2)*([1]CRITERIOS!$M$95+[1]CRITERIOS!$M$98)))/N520)</f>
        <v>#N/A</v>
      </c>
      <c r="AE520" s="39" t="e">
        <f>IF($R520="MTO","",
IF($H520=0,ROUNDUP(((_xlfn.XLOOKUP($A520,'[1]DATOS PBI Artículos'!$A:$A,'[1]DATOS PBI Artículos'!$AL:$AL))/(_xlfn.XLOOKUP($AF$1,[1]CRITERIOS!$S$16:$S$39,[1]CRITERIOS!$Y$16:$Y$39))*$J520+$Z520)/$G520,0)*$G520,
((_xlfn.XLOOKUP($A520,'[1]DATOS PBI Artículos'!$A:$A,'[1]DATOS PBI Artículos'!$AL:$AL))/(_xlfn.XLOOKUP($AF$1,[1]CRITERIOS!$S$16:$S$39,[1]CRITERIOS!$Y$16:$Y$39))*$J520+$Z520)))</f>
        <v>#N/A</v>
      </c>
      <c r="AG520" s="39" t="e">
        <f>IF($R520="MTO","",
IF($H520=0,ROUNDUP(((_xlfn.XLOOKUP($A520,'[1]DATOS PBI Artículos'!$A:$A,'[1]DATOS PBI Artículos'!$AM:$AM))/(_xlfn.XLOOKUP($AH$1,[1]CRITERIOS!$S$16:$S$39,[1]CRITERIOS!$Y$16:$Y$39))*$J520+$Z520)/$G520,0)*$G520,
((_xlfn.XLOOKUP($A520,'[1]DATOS PBI Artículos'!$A:$A,'[1]DATOS PBI Artículos'!$AM:$AM))/(_xlfn.XLOOKUP($AH$1,[1]CRITERIOS!$S$16:$S$39,[1]CRITERIOS!$Y$16:$Y$39))*$J520+$Z520)))</f>
        <v>#N/A</v>
      </c>
      <c r="AI520" s="39" t="e">
        <f>IF($R520="MTO","",
IF($H520=0,ROUNDUP(((_xlfn.XLOOKUP($A520,'[1]DATOS PBI Artículos'!$A:$A,'[1]DATOS PBI Artículos'!$AN:$AN))/(_xlfn.XLOOKUP($AJ$1,[1]CRITERIOS!$S$16:$S$39,[1]CRITERIOS!$Y$16:$Y$39))*$J520+$Z520)/$G520,0)*$G520,
((_xlfn.XLOOKUP($A520,'[1]DATOS PBI Artículos'!$A:$A,'[1]DATOS PBI Artículos'!$AN:$AN))/(_xlfn.XLOOKUP($AJ$1,[1]CRITERIOS!$S$16:$S$39,[1]CRITERIOS!$Y$16:$Y$39))*$J520+$Z520)))</f>
        <v>#N/A</v>
      </c>
      <c r="AK520" s="39" t="e">
        <f>IF($R520="MTO","",
IF($H520=0,ROUNDUP(((_xlfn.XLOOKUP($A520,'[1]DATOS PBI Artículos'!$A:$A,'[1]DATOS PBI Artículos'!$AO:$AO))/(_xlfn.XLOOKUP($AL$1,[1]CRITERIOS!$S$16:$S$39,[1]CRITERIOS!$Y$16:$Y$39))*$J520+$Z520)/$G520,0)*$G520,
((_xlfn.XLOOKUP($A520,'[1]DATOS PBI Artículos'!$A:$A,'[1]DATOS PBI Artículos'!$AO:$AO))/(_xlfn.XLOOKUP($AL$1,[1]CRITERIOS!$S$16:$S$39,[1]CRITERIOS!$Y$16:$Y$39))*$J520+$Z520)))</f>
        <v>#N/A</v>
      </c>
    </row>
    <row r="521" spans="1:37" ht="25.8" hidden="1" x14ac:dyDescent="0.4">
      <c r="A521" s="41"/>
      <c r="B521" s="33">
        <f>_xlfn.XLOOKUP($A521,'[1]DATOS PBI Artículos'!A:A,'[1]DATOS PBI Artículos'!B:B)</f>
        <v>0</v>
      </c>
      <c r="C521" s="33">
        <f>_xlfn.XLOOKUP($A521,'[1]DATOS PBI Artículos'!A:A,'[1]DATOS PBI Artículos'!C:C)</f>
        <v>0</v>
      </c>
      <c r="D521" s="33">
        <f>_xlfn.XLOOKUP(A521,'[1]DATOS PBI Artículos'!A:A,'[1]DATOS PBI Artículos'!T:T)</f>
        <v>0</v>
      </c>
      <c r="E521" s="34">
        <f>IF(_xlfn.XLOOKUP($A521,'[1]DATOS PBI Artículos'!A:A,'[1]DATOS PBI Artículos'!AK:AK)="",_xlfn.XLOOKUP($A521,'[1]DATOS PBI Artículos'!A:A,'[1]DATOS PBI Artículos'!AJ:AJ),_xlfn.XLOOKUP($A521,'[1]DATOS PBI Artículos'!A:A,'[1]DATOS PBI Artículos'!AK:AK))</f>
        <v>0</v>
      </c>
      <c r="F521" s="35">
        <f>_xlfn.XLOOKUP($A521,'[1]DATOS PBI Artículos'!A:A,'[1]DATOS PBI Artículos'!AP:AP)</f>
        <v>0</v>
      </c>
      <c r="G521" s="34">
        <f>_xlfn.XLOOKUP($A521,'[1]DATOS PBI Artículos'!A:A,'[1]DATOS PBI Artículos'!AR:AR)</f>
        <v>0</v>
      </c>
      <c r="H521" s="34">
        <f>_xlfn.XLOOKUP($A521,'[1]DATOS PBI Artículos'!A:A,'[1]DATOS PBI Artículos'!AT:AT)</f>
        <v>0</v>
      </c>
      <c r="I521" s="34">
        <f>_xlfn.XLOOKUP($A521,'[1]DATOS PBI Artículos'!A:A,'[1]DATOS PBI Artículos'!AS:AS)</f>
        <v>0</v>
      </c>
      <c r="J521" s="35">
        <f>IF(COUNTIF([1]CRITERIOS!$F$179:$F$199,$A521)&gt;=1,
 IF(O521&lt;&gt;"",
    (O521/_xlfn.XLOOKUP(CONCATENATE(A521,L521),[1]MÁQUINAS!A:A,[1]MÁQUINAS!D:D))/24,
    (N521/_xlfn.XLOOKUP(CONCATENATE(A521,L521),[1]MÁQUINAS!A:A,[1]MÁQUINAS!D:D))/24),
  _xlfn.XLOOKUP($A521,'[1]DATOS PBI Artículos'!A:A,'[1]DATOS PBI Artículos'!AU:AU))</f>
        <v>0</v>
      </c>
      <c r="K521" s="36">
        <f>_xlfn.XLOOKUP($A521,'[1]DATOS PBI Artículos'!A:A,'[1]DATOS PBI Artículos'!AV:AV)</f>
        <v>0</v>
      </c>
      <c r="L521" s="33">
        <f>_xlfn.XLOOKUP(A521,[1]MÁQUINAS!B:B,[1]MÁQUINAS!C:C)</f>
        <v>0</v>
      </c>
      <c r="M521" s="34">
        <f t="array" ref="M521">_xlfn.XLOOKUP(A521,'[1]DATOS PBI Artículos'!A:A,'[1]DATOS PBI Artículos'!AX:$AX)</f>
        <v>0</v>
      </c>
      <c r="N521" s="37" t="e">
        <f>IF(I521="DV",
E521,
IF(COUNTIF([1]CRITERIOS!$I$179:$I$199,$A521)&gt;=1,
_xlfn.XLOOKUP($A521,[1]CRITERIOS!$I$179:$I$199,[1]CRITERIOS!$J$179:$J$199),
IF(COUNTIF([1]CRITERIOS!$L$179:$L$199,$A521)&gt;=1,
_xlfn.CEILING.MATH(IF($M521&gt;$E521,
$E521,
IF($M521&lt;$E521/ROUNDDOWN([1]CRITERIOS!$M$16/_xlfn.XLOOKUP($C521,[1]CRITERIOS!$K$25:$K$42,[1]CRITERIOS!$M$25:$M$42),
1),
E521/ROUNDDOWN([1]CRITERIOS!$M$16/_xlfn.XLOOKUP($C521,[1]CRITERIOS!$K$25:$K$42,[1]CRITERIOS!$M$25:$M$42),
1),
$M521)),
_xlfn.XLOOKUP($A521,[1]CRITERIOS!$L$179:$L$200,[1]CRITERIOS!$M$179:$M$200)),
_xlfn.CEILING.MATH(IF($M521&gt;$E521,
$E521,
IF($M521&lt;$E521/ROUNDDOWN([1]CRITERIOS!$M$16/_xlfn.XLOOKUP($C521,[1]CRITERIOS!$K$25:$K$42,[1]CRITERIOS!$M$25:$M$42),
1),
E521/ROUNDDOWN([1]CRITERIOS!$M$16/_xlfn.XLOOKUP($C521,[1]CRITERIOS!$K$25:$K$42,[1]CRITERIOS!$M$25:$M$42),
1),
$M521)),_xlfn.XLOOKUP(A521,'[1]DATOS PBI Artículos'!A:A,'[1]DATOS PBI Artículos'!Z:Z
)))))</f>
        <v>#N/A</v>
      </c>
      <c r="Q521" s="38" t="e">
        <f>IF(AND(O521="",N521=0),
0,
   IF(COUNTIF([1]CRITERIOS!$F$179:$F$199,$A521)&gt;=1,
   1,
   IF(R521="MTO",
      $D521,
      ROUNDUP(
                    IF(($E521-SUMIF('[1]DATOS PBI Artículos'!A:A,A521,'[1]DATOS PBI Artículos'!X:X)+($V521-_xlfn.XLOOKUP(A521,'[1]DATOS PBI Artículos'!A:A,'[1]DATOS PBI Artículos'!W:W)))&lt;0,
                    0,
                    IF(($E521-SUMIF('[1]DATOS PBI Artículos'!A:A,A521,'[1]DATOS PBI Artículos'!X:X)+$V521-_xlfn.XLOOKUP($A521,'[1]DATOS PBI Artículos'!A:A,'[1]DATOS PBI Artículos'!W:W))/IF($O521="",$N521,$O521)&gt;ROUNDUP([1]CRITERIOS!$M$16/(IF(COUNTIF([1]CRITERIOS!$BG$11:$BG$201,L521)&gt;=1,_xlfn.XLOOKUP($C521,[1]CRITERIOS!$K$25:$K$42,[1]CRITERIOS!$M$25:$M$42),_xlfn.XLOOKUP($C521,[1]CRITERIOS!$K$25:$K$42,[1]CRITERIOS!$M$25:$M$42))),0),
                    ROUNDUP([1]CRITERIOS!$M$16/(IF(COUNTIF([1]CRITERIOS!$BG$11:$BG$201,$L521)&gt;=1,_xlfn.XLOOKUP($C521,[1]CRITERIOS!$K$25:$K$42,[1]CRITERIOS!$M$25:$M$42),_xlfn.XLOOKUP($C521,[1]CRITERIOS!$K$25:$K$42,[1]CRITERIOS!$M$25:$M$42))),0),
                    (E521+V521-SUMIF('[1]DATOS PBI Artículos'!A:A,A521,'[1]DATOS PBI Artículos'!X:X)-_xlfn.XLOOKUP(A521,'[1]DATOS PBI Artículos'!A:A,'[1]DATOS PBI Artículos'!W:W))/IF($O521="",$N521,$O521))),0))))</f>
        <v>#N/A</v>
      </c>
      <c r="R521" s="33" t="e">
        <f>IF(U521&lt;&gt;"",U521,IF(F521="DV","MTO",IF(N521=0,"MTO",_xlfn.XLOOKUP(CONCATENATE(S521,T521),[1]CRITERIOS!$K$160:$K$168,[1]CRITERIOS!$N$160:$N$168))))</f>
        <v>#N/A</v>
      </c>
      <c r="S521" s="33" t="e">
        <f>IF(G521="DV","MTO",IF(N521=0,"MTO",IF(OR(AND(N521=0,O521=""),IF(O521="",G521/N521,G521/O521)&gt;[1]CRITERIOS!$G$163),"MTO",IF(IF(O521="",G521/N521,G521/O521)&lt;[1]CRITERIOS!$H$161,"MTS","MTOS"))))</f>
        <v>#N/A</v>
      </c>
      <c r="T521" s="33" t="e">
        <f>IF(F521="DV","MTO",IF(OR(AND($N521=0,O521=""),$F521/$J521&gt;[1]CRITERIOS!$G$170,$F521="DV"),"MTO",IF($F521/$J521&lt;[1]CRITERIOS!$H$168,"MTS","MTOS")))</f>
        <v>#N/A</v>
      </c>
      <c r="V521" s="34" t="e">
        <f t="shared" si="25"/>
        <v>#N/A</v>
      </c>
      <c r="X521" s="34" t="e">
        <f t="shared" si="26"/>
        <v>#N/A</v>
      </c>
      <c r="Y521" s="34" t="e">
        <f t="shared" si="27"/>
        <v>#N/A</v>
      </c>
      <c r="Z521" s="34" t="e">
        <f>IF($R521="MTO",
0,
($H521+$K521*($E521/[1]CRITERIOS!$M$16))/[1]CRITERIOS!$X$48)</f>
        <v>#N/A</v>
      </c>
      <c r="AA521" s="34" t="e">
        <f>ROUNDUP(($Y521/_xlfn.XLOOKUP($A521,'[1]DATOS PBI Artículos'!$A$4:$A$4,'[1]DATOS PBI Artículos'!$Z$4:$Z$4))/_xlfn.XLOOKUP(_xlfn.XLOOKUP($A521,'[1]DATOS PBI Artículos'!$A$4:$A$4,'[1]DATOS PBI Artículos'!$Y$4:$Y$4),[1]CRITERIOS!$P$79:$P$123,[1]CRITERIOS!$S$79:$S$123,),0)</f>
        <v>#N/A</v>
      </c>
      <c r="AB521" s="33" t="e">
        <f t="array" ref="AB521">IF((E521+V521-_xlfn.XLOOKUP(A521,'[1]DATOS PBI Artículos'!$A$4:$A$4,'[1]DATOS PBI Artículos'!$W$4:$W$4))/N521&gt;ROUNDUP([1]CRITERIOS!$M$16/(IF(COUNTIF([1]CRITERIOS!$BG$11:$BG$201,L521)&gt;=1,_xlfn.XLOOKUP(ARTÍCULOS!L521,[1]CRITERIOS!$BG$11:$BG$201,[1]CRITERIOS!$BJ$11:$BJ$201),_xlfn.XLOOKUP(ARTÍCULOS!C521,[1]CRITERIOS!$K$25:$K$42,[1]CRITERIOS!$M$25:$M$42))),0),ROUNDUP([1]CRITERIOS!$M$16/(IF(COUNTIF([1]CRITERIOS!$BG$11:$BG$201,L521)&gt;=1,_xlfn.XLOOKUP(ARTÍCULOS!L521,[1]CRITERIOS!$BG$11:$BG$201:#REF!,[1]CRITERIOS!$BJ$11:$BJ$201),_xlfn.XLOOKUP(ARTÍCULOS!C521,[1]CRITERIOS!$K$25:$K$42,[1]CRITERIOS!$M$25:$M$42))),0),(E521+V521-_xlfn.XLOOKUP(A521,'[1]DATOS PBI Artículos'!$A$4:$A$4,'[1]DATOS PBI Artículos'!$W$4:$W$4))/N521)</f>
        <v>#N/A</v>
      </c>
      <c r="AC521" s="33" t="e">
        <f>IF(N521=0,"",(ROUNDUP((N521/2)/(_xlfn.XLOOKUP(A521,'[1]DATOS PBI Artículos'!$A$4:$A$4,'[1]DATOS PBI Artículos'!$Z$4:$Z$4)*_xlfn.XLOOKUP(_xlfn.XLOOKUP(A521,'[1]DATOS PBI Artículos'!$A$4:$A$4,'[1]DATOS PBI Artículos'!$Y$4:$Y$4),[1]CRITERIOS!$P$79:$P$123,[1]CRITERIOS!$S$79:$S$123)),0)*[1]CRITERIOS!$M$80*([1]CRITERIOS!$M$110/[1]CRITERIOS!$M$86)+(_xlfn.XLOOKUP(A521,'[1]DATOS PBI Artículos'!$A$4:$A$4,'[1]DATOS PBI Artículos'!$AA$4:$AA$4)*([1]CRITERIOS!$M$95+[1]CRITERIOS!$M$98)))/N521)</f>
        <v>#N/A</v>
      </c>
      <c r="AD521" s="33" t="e">
        <f>IF(N521=0,"",(ROUNDUP((N521/2)/(_xlfn.XLOOKUP(A521,'[1]DATOS PBI Artículos'!$A$4:$A$4,'[1]DATOS PBI Artículos'!$Z$4:$Z$4)*_xlfn.XLOOKUP(_xlfn.XLOOKUP(A521,'[1]DATOS PBI Artículos'!$A$4:$A$4,'[1]DATOS PBI Artículos'!$Y$4:$Y$4),[1]CRITERIOS!$P$79:$P$123,[1]CRITERIOS!$S$79:$S$123)),0)*[1]CRITERIOS!$M$80*([1]CRITERIOS!$M$89*[1]CRITERIOS!$M$92)+((_xlfn.XLOOKUP(A521,'[1]DATOS PBI Artículos'!$A$4:$A$4,'[1]DATOS PBI Artículos'!$AA$4:$AA$4)/2)*([1]CRITERIOS!$M$95+[1]CRITERIOS!$M$98)))/N521)</f>
        <v>#N/A</v>
      </c>
      <c r="AE521" s="39" t="e">
        <f>IF($R521="MTO","",
IF($H521=0,ROUNDUP(((_xlfn.XLOOKUP($A521,'[1]DATOS PBI Artículos'!$A:$A,'[1]DATOS PBI Artículos'!$AL:$AL))/(_xlfn.XLOOKUP($AF$1,[1]CRITERIOS!$S$16:$S$39,[1]CRITERIOS!$Y$16:$Y$39))*$J521+$Z521)/$G521,0)*$G521,
((_xlfn.XLOOKUP($A521,'[1]DATOS PBI Artículos'!$A:$A,'[1]DATOS PBI Artículos'!$AL:$AL))/(_xlfn.XLOOKUP($AF$1,[1]CRITERIOS!$S$16:$S$39,[1]CRITERIOS!$Y$16:$Y$39))*$J521+$Z521)))</f>
        <v>#N/A</v>
      </c>
      <c r="AG521" s="39" t="e">
        <f>IF($R521="MTO","",
IF($H521=0,ROUNDUP(((_xlfn.XLOOKUP($A521,'[1]DATOS PBI Artículos'!$A:$A,'[1]DATOS PBI Artículos'!$AM:$AM))/(_xlfn.XLOOKUP($AH$1,[1]CRITERIOS!$S$16:$S$39,[1]CRITERIOS!$Y$16:$Y$39))*$J521+$Z521)/$G521,0)*$G521,
((_xlfn.XLOOKUP($A521,'[1]DATOS PBI Artículos'!$A:$A,'[1]DATOS PBI Artículos'!$AM:$AM))/(_xlfn.XLOOKUP($AH$1,[1]CRITERIOS!$S$16:$S$39,[1]CRITERIOS!$Y$16:$Y$39))*$J521+$Z521)))</f>
        <v>#N/A</v>
      </c>
      <c r="AI521" s="39" t="e">
        <f>IF($R521="MTO","",
IF($H521=0,ROUNDUP(((_xlfn.XLOOKUP($A521,'[1]DATOS PBI Artículos'!$A:$A,'[1]DATOS PBI Artículos'!$AN:$AN))/(_xlfn.XLOOKUP($AJ$1,[1]CRITERIOS!$S$16:$S$39,[1]CRITERIOS!$Y$16:$Y$39))*$J521+$Z521)/$G521,0)*$G521,
((_xlfn.XLOOKUP($A521,'[1]DATOS PBI Artículos'!$A:$A,'[1]DATOS PBI Artículos'!$AN:$AN))/(_xlfn.XLOOKUP($AJ$1,[1]CRITERIOS!$S$16:$S$39,[1]CRITERIOS!$Y$16:$Y$39))*$J521+$Z521)))</f>
        <v>#N/A</v>
      </c>
      <c r="AK521" s="39" t="e">
        <f>IF($R521="MTO","",
IF($H521=0,ROUNDUP(((_xlfn.XLOOKUP($A521,'[1]DATOS PBI Artículos'!$A:$A,'[1]DATOS PBI Artículos'!$AO:$AO))/(_xlfn.XLOOKUP($AL$1,[1]CRITERIOS!$S$16:$S$39,[1]CRITERIOS!$Y$16:$Y$39))*$J521+$Z521)/$G521,0)*$G521,
((_xlfn.XLOOKUP($A521,'[1]DATOS PBI Artículos'!$A:$A,'[1]DATOS PBI Artículos'!$AO:$AO))/(_xlfn.XLOOKUP($AL$1,[1]CRITERIOS!$S$16:$S$39,[1]CRITERIOS!$Y$16:$Y$39))*$J521+$Z521)))</f>
        <v>#N/A</v>
      </c>
    </row>
    <row r="522" spans="1:37" ht="25.8" hidden="1" x14ac:dyDescent="0.4">
      <c r="A522" s="41"/>
      <c r="B522" s="33">
        <f>_xlfn.XLOOKUP($A522,'[1]DATOS PBI Artículos'!A:A,'[1]DATOS PBI Artículos'!B:B)</f>
        <v>0</v>
      </c>
      <c r="C522" s="33">
        <f>_xlfn.XLOOKUP($A522,'[1]DATOS PBI Artículos'!A:A,'[1]DATOS PBI Artículos'!C:C)</f>
        <v>0</v>
      </c>
      <c r="D522" s="33">
        <f>_xlfn.XLOOKUP(A522,'[1]DATOS PBI Artículos'!A:A,'[1]DATOS PBI Artículos'!T:T)</f>
        <v>0</v>
      </c>
      <c r="E522" s="34">
        <f>IF(_xlfn.XLOOKUP($A522,'[1]DATOS PBI Artículos'!A:A,'[1]DATOS PBI Artículos'!AK:AK)="",_xlfn.XLOOKUP($A522,'[1]DATOS PBI Artículos'!A:A,'[1]DATOS PBI Artículos'!AJ:AJ),_xlfn.XLOOKUP($A522,'[1]DATOS PBI Artículos'!A:A,'[1]DATOS PBI Artículos'!AK:AK))</f>
        <v>0</v>
      </c>
      <c r="F522" s="35">
        <f>_xlfn.XLOOKUP($A522,'[1]DATOS PBI Artículos'!A:A,'[1]DATOS PBI Artículos'!AP:AP)</f>
        <v>0</v>
      </c>
      <c r="G522" s="34">
        <f>_xlfn.XLOOKUP($A522,'[1]DATOS PBI Artículos'!A:A,'[1]DATOS PBI Artículos'!AR:AR)</f>
        <v>0</v>
      </c>
      <c r="H522" s="34">
        <f>_xlfn.XLOOKUP($A522,'[1]DATOS PBI Artículos'!A:A,'[1]DATOS PBI Artículos'!AT:AT)</f>
        <v>0</v>
      </c>
      <c r="I522" s="34">
        <f>_xlfn.XLOOKUP($A522,'[1]DATOS PBI Artículos'!A:A,'[1]DATOS PBI Artículos'!AS:AS)</f>
        <v>0</v>
      </c>
      <c r="J522" s="35">
        <f>IF(COUNTIF([1]CRITERIOS!$F$179:$F$199,$A522)&gt;=1,
 IF(O522&lt;&gt;"",
    (O522/_xlfn.XLOOKUP(CONCATENATE(A522,L522),[1]MÁQUINAS!A:A,[1]MÁQUINAS!D:D))/24,
    (N522/_xlfn.XLOOKUP(CONCATENATE(A522,L522),[1]MÁQUINAS!A:A,[1]MÁQUINAS!D:D))/24),
  _xlfn.XLOOKUP($A522,'[1]DATOS PBI Artículos'!A:A,'[1]DATOS PBI Artículos'!AU:AU))</f>
        <v>0</v>
      </c>
      <c r="K522" s="36">
        <f>_xlfn.XLOOKUP($A522,'[1]DATOS PBI Artículos'!A:A,'[1]DATOS PBI Artículos'!AV:AV)</f>
        <v>0</v>
      </c>
      <c r="L522" s="33">
        <f>_xlfn.XLOOKUP(A522,[1]MÁQUINAS!B:B,[1]MÁQUINAS!C:C)</f>
        <v>0</v>
      </c>
      <c r="M522" s="34">
        <f t="array" ref="M522">_xlfn.XLOOKUP(A522,'[1]DATOS PBI Artículos'!A:A,'[1]DATOS PBI Artículos'!AX:$AX)</f>
        <v>0</v>
      </c>
      <c r="N522" s="37" t="e">
        <f>IF(I522="DV",
E522,
IF(COUNTIF([1]CRITERIOS!$I$179:$I$199,$A522)&gt;=1,
_xlfn.XLOOKUP($A522,[1]CRITERIOS!$I$179:$I$199,[1]CRITERIOS!$J$179:$J$199),
IF(COUNTIF([1]CRITERIOS!$L$179:$L$199,$A522)&gt;=1,
_xlfn.CEILING.MATH(IF($M522&gt;$E522,
$E522,
IF($M522&lt;$E522/ROUNDDOWN([1]CRITERIOS!$M$16/_xlfn.XLOOKUP($C522,[1]CRITERIOS!$K$25:$K$42,[1]CRITERIOS!$M$25:$M$42),
1),
E522/ROUNDDOWN([1]CRITERIOS!$M$16/_xlfn.XLOOKUP($C522,[1]CRITERIOS!$K$25:$K$42,[1]CRITERIOS!$M$25:$M$42),
1),
$M522)),
_xlfn.XLOOKUP($A522,[1]CRITERIOS!$L$179:$L$200,[1]CRITERIOS!$M$179:$M$200)),
_xlfn.CEILING.MATH(IF($M522&gt;$E522,
$E522,
IF($M522&lt;$E522/ROUNDDOWN([1]CRITERIOS!$M$16/_xlfn.XLOOKUP($C522,[1]CRITERIOS!$K$25:$K$42,[1]CRITERIOS!$M$25:$M$42),
1),
E522/ROUNDDOWN([1]CRITERIOS!$M$16/_xlfn.XLOOKUP($C522,[1]CRITERIOS!$K$25:$K$42,[1]CRITERIOS!$M$25:$M$42),
1),
$M522)),_xlfn.XLOOKUP(A522,'[1]DATOS PBI Artículos'!A:A,'[1]DATOS PBI Artículos'!Z:Z
)))))</f>
        <v>#N/A</v>
      </c>
      <c r="Q522" s="38" t="e">
        <f>IF(AND(O522="",N522=0),
0,
   IF(COUNTIF([1]CRITERIOS!$F$179:$F$199,$A522)&gt;=1,
   1,
   IF(R522="MTO",
      $D522,
      ROUNDUP(
                    IF(($E522-SUMIF('[1]DATOS PBI Artículos'!A:A,A522,'[1]DATOS PBI Artículos'!X:X)+($V522-_xlfn.XLOOKUP(A522,'[1]DATOS PBI Artículos'!A:A,'[1]DATOS PBI Artículos'!W:W)))&lt;0,
                    0,
                    IF(($E522-SUMIF('[1]DATOS PBI Artículos'!A:A,A522,'[1]DATOS PBI Artículos'!X:X)+$V522-_xlfn.XLOOKUP($A522,'[1]DATOS PBI Artículos'!A:A,'[1]DATOS PBI Artículos'!W:W))/IF($O522="",$N522,$O522)&gt;ROUNDUP([1]CRITERIOS!$M$16/(IF(COUNTIF([1]CRITERIOS!$BG$11:$BG$201,L522)&gt;=1,_xlfn.XLOOKUP($C522,[1]CRITERIOS!$K$25:$K$42,[1]CRITERIOS!$M$25:$M$42),_xlfn.XLOOKUP($C522,[1]CRITERIOS!$K$25:$K$42,[1]CRITERIOS!$M$25:$M$42))),0),
                    ROUNDUP([1]CRITERIOS!$M$16/(IF(COUNTIF([1]CRITERIOS!$BG$11:$BG$201,$L522)&gt;=1,_xlfn.XLOOKUP($C522,[1]CRITERIOS!$K$25:$K$42,[1]CRITERIOS!$M$25:$M$42),_xlfn.XLOOKUP($C522,[1]CRITERIOS!$K$25:$K$42,[1]CRITERIOS!$M$25:$M$42))),0),
                    (E522+V522-SUMIF('[1]DATOS PBI Artículos'!A:A,A522,'[1]DATOS PBI Artículos'!X:X)-_xlfn.XLOOKUP(A522,'[1]DATOS PBI Artículos'!A:A,'[1]DATOS PBI Artículos'!W:W))/IF($O522="",$N522,$O522))),0))))</f>
        <v>#N/A</v>
      </c>
      <c r="R522" s="33" t="e">
        <f>IF(U522&lt;&gt;"",U522,IF(F522="DV","MTO",IF(N522=0,"MTO",_xlfn.XLOOKUP(CONCATENATE(S522,T522),[1]CRITERIOS!$K$160:$K$168,[1]CRITERIOS!$N$160:$N$168))))</f>
        <v>#N/A</v>
      </c>
      <c r="S522" s="33" t="e">
        <f>IF(G522="DV","MTO",IF(N522=0,"MTO",IF(OR(AND(N522=0,O522=""),IF(O522="",G522/N522,G522/O522)&gt;[1]CRITERIOS!$G$163),"MTO",IF(IF(O522="",G522/N522,G522/O522)&lt;[1]CRITERIOS!$H$161,"MTS","MTOS"))))</f>
        <v>#N/A</v>
      </c>
      <c r="T522" s="33" t="e">
        <f>IF(F522="DV","MTO",IF(OR(AND($N522=0,O522=""),$F522/$J522&gt;[1]CRITERIOS!$G$170,$F522="DV"),"MTO",IF($F522/$J522&lt;[1]CRITERIOS!$H$168,"MTS","MTOS")))</f>
        <v>#N/A</v>
      </c>
      <c r="V522" s="34" t="e">
        <f t="shared" si="25"/>
        <v>#N/A</v>
      </c>
      <c r="X522" s="34" t="e">
        <f t="shared" si="26"/>
        <v>#N/A</v>
      </c>
      <c r="Y522" s="34" t="e">
        <f t="shared" si="27"/>
        <v>#N/A</v>
      </c>
      <c r="Z522" s="34" t="e">
        <f>IF($R522="MTO",
0,
($H522+$K522*($E522/[1]CRITERIOS!$M$16))/[1]CRITERIOS!$X$48)</f>
        <v>#N/A</v>
      </c>
      <c r="AA522" s="34" t="e">
        <f>ROUNDUP(($Y522/_xlfn.XLOOKUP($A522,'[1]DATOS PBI Artículos'!$A$4:$A$4,'[1]DATOS PBI Artículos'!$Z$4:$Z$4))/_xlfn.XLOOKUP(_xlfn.XLOOKUP($A522,'[1]DATOS PBI Artículos'!$A$4:$A$4,'[1]DATOS PBI Artículos'!$Y$4:$Y$4),[1]CRITERIOS!$P$79:$P$123,[1]CRITERIOS!$S$79:$S$123,),0)</f>
        <v>#N/A</v>
      </c>
      <c r="AB522" s="33" t="e">
        <f t="array" ref="AB522">IF((E522+V522-_xlfn.XLOOKUP(A522,'[1]DATOS PBI Artículos'!$A$4:$A$4,'[1]DATOS PBI Artículos'!$W$4:$W$4))/N522&gt;ROUNDUP([1]CRITERIOS!$M$16/(IF(COUNTIF([1]CRITERIOS!$BG$11:$BG$201,L522)&gt;=1,_xlfn.XLOOKUP(ARTÍCULOS!L522,[1]CRITERIOS!$BG$11:$BG$201,[1]CRITERIOS!$BJ$11:$BJ$201),_xlfn.XLOOKUP(ARTÍCULOS!C522,[1]CRITERIOS!$K$25:$K$42,[1]CRITERIOS!$M$25:$M$42))),0),ROUNDUP([1]CRITERIOS!$M$16/(IF(COUNTIF([1]CRITERIOS!$BG$11:$BG$201,L522)&gt;=1,_xlfn.XLOOKUP(ARTÍCULOS!L522,[1]CRITERIOS!$BG$11:$BG$201:#REF!,[1]CRITERIOS!$BJ$11:$BJ$201),_xlfn.XLOOKUP(ARTÍCULOS!C522,[1]CRITERIOS!$K$25:$K$42,[1]CRITERIOS!$M$25:$M$42))),0),(E522+V522-_xlfn.XLOOKUP(A522,'[1]DATOS PBI Artículos'!$A$4:$A$4,'[1]DATOS PBI Artículos'!$W$4:$W$4))/N522)</f>
        <v>#N/A</v>
      </c>
      <c r="AC522" s="33" t="e">
        <f>IF(N522=0,"",(ROUNDUP((N522/2)/(_xlfn.XLOOKUP(A522,'[1]DATOS PBI Artículos'!$A$4:$A$4,'[1]DATOS PBI Artículos'!$Z$4:$Z$4)*_xlfn.XLOOKUP(_xlfn.XLOOKUP(A522,'[1]DATOS PBI Artículos'!$A$4:$A$4,'[1]DATOS PBI Artículos'!$Y$4:$Y$4),[1]CRITERIOS!$P$79:$P$123,[1]CRITERIOS!$S$79:$S$123)),0)*[1]CRITERIOS!$M$80*([1]CRITERIOS!$M$110/[1]CRITERIOS!$M$86)+(_xlfn.XLOOKUP(A522,'[1]DATOS PBI Artículos'!$A$4:$A$4,'[1]DATOS PBI Artículos'!$AA$4:$AA$4)*([1]CRITERIOS!$M$95+[1]CRITERIOS!$M$98)))/N522)</f>
        <v>#N/A</v>
      </c>
      <c r="AD522" s="33" t="e">
        <f>IF(N522=0,"",(ROUNDUP((N522/2)/(_xlfn.XLOOKUP(A522,'[1]DATOS PBI Artículos'!$A$4:$A$4,'[1]DATOS PBI Artículos'!$Z$4:$Z$4)*_xlfn.XLOOKUP(_xlfn.XLOOKUP(A522,'[1]DATOS PBI Artículos'!$A$4:$A$4,'[1]DATOS PBI Artículos'!$Y$4:$Y$4),[1]CRITERIOS!$P$79:$P$123,[1]CRITERIOS!$S$79:$S$123)),0)*[1]CRITERIOS!$M$80*([1]CRITERIOS!$M$89*[1]CRITERIOS!$M$92)+((_xlfn.XLOOKUP(A522,'[1]DATOS PBI Artículos'!$A$4:$A$4,'[1]DATOS PBI Artículos'!$AA$4:$AA$4)/2)*([1]CRITERIOS!$M$95+[1]CRITERIOS!$M$98)))/N522)</f>
        <v>#N/A</v>
      </c>
      <c r="AE522" s="39" t="e">
        <f>IF($R522="MTO","",
IF($H522=0,ROUNDUP(((_xlfn.XLOOKUP($A522,'[1]DATOS PBI Artículos'!$A:$A,'[1]DATOS PBI Artículos'!$AL:$AL))/(_xlfn.XLOOKUP($AF$1,[1]CRITERIOS!$S$16:$S$39,[1]CRITERIOS!$Y$16:$Y$39))*$J522+$Z522)/$G522,0)*$G522,
((_xlfn.XLOOKUP($A522,'[1]DATOS PBI Artículos'!$A:$A,'[1]DATOS PBI Artículos'!$AL:$AL))/(_xlfn.XLOOKUP($AF$1,[1]CRITERIOS!$S$16:$S$39,[1]CRITERIOS!$Y$16:$Y$39))*$J522+$Z522)))</f>
        <v>#N/A</v>
      </c>
      <c r="AG522" s="39" t="e">
        <f>IF($R522="MTO","",
IF($H522=0,ROUNDUP(((_xlfn.XLOOKUP($A522,'[1]DATOS PBI Artículos'!$A:$A,'[1]DATOS PBI Artículos'!$AM:$AM))/(_xlfn.XLOOKUP($AH$1,[1]CRITERIOS!$S$16:$S$39,[1]CRITERIOS!$Y$16:$Y$39))*$J522+$Z522)/$G522,0)*$G522,
((_xlfn.XLOOKUP($A522,'[1]DATOS PBI Artículos'!$A:$A,'[1]DATOS PBI Artículos'!$AM:$AM))/(_xlfn.XLOOKUP($AH$1,[1]CRITERIOS!$S$16:$S$39,[1]CRITERIOS!$Y$16:$Y$39))*$J522+$Z522)))</f>
        <v>#N/A</v>
      </c>
      <c r="AI522" s="39" t="e">
        <f>IF($R522="MTO","",
IF($H522=0,ROUNDUP(((_xlfn.XLOOKUP($A522,'[1]DATOS PBI Artículos'!$A:$A,'[1]DATOS PBI Artículos'!$AN:$AN))/(_xlfn.XLOOKUP($AJ$1,[1]CRITERIOS!$S$16:$S$39,[1]CRITERIOS!$Y$16:$Y$39))*$J522+$Z522)/$G522,0)*$G522,
((_xlfn.XLOOKUP($A522,'[1]DATOS PBI Artículos'!$A:$A,'[1]DATOS PBI Artículos'!$AN:$AN))/(_xlfn.XLOOKUP($AJ$1,[1]CRITERIOS!$S$16:$S$39,[1]CRITERIOS!$Y$16:$Y$39))*$J522+$Z522)))</f>
        <v>#N/A</v>
      </c>
      <c r="AK522" s="39" t="e">
        <f>IF($R522="MTO","",
IF($H522=0,ROUNDUP(((_xlfn.XLOOKUP($A522,'[1]DATOS PBI Artículos'!$A:$A,'[1]DATOS PBI Artículos'!$AO:$AO))/(_xlfn.XLOOKUP($AL$1,[1]CRITERIOS!$S$16:$S$39,[1]CRITERIOS!$Y$16:$Y$39))*$J522+$Z522)/$G522,0)*$G522,
((_xlfn.XLOOKUP($A522,'[1]DATOS PBI Artículos'!$A:$A,'[1]DATOS PBI Artículos'!$AO:$AO))/(_xlfn.XLOOKUP($AL$1,[1]CRITERIOS!$S$16:$S$39,[1]CRITERIOS!$Y$16:$Y$39))*$J522+$Z522)))</f>
        <v>#N/A</v>
      </c>
    </row>
    <row r="523" spans="1:37" ht="25.8" hidden="1" x14ac:dyDescent="0.4">
      <c r="A523" s="41"/>
      <c r="B523" s="33">
        <f>_xlfn.XLOOKUP($A523,'[1]DATOS PBI Artículos'!A:A,'[1]DATOS PBI Artículos'!B:B)</f>
        <v>0</v>
      </c>
      <c r="C523" s="33">
        <f>_xlfn.XLOOKUP($A523,'[1]DATOS PBI Artículos'!A:A,'[1]DATOS PBI Artículos'!C:C)</f>
        <v>0</v>
      </c>
      <c r="D523" s="33">
        <f>_xlfn.XLOOKUP(A523,'[1]DATOS PBI Artículos'!A:A,'[1]DATOS PBI Artículos'!T:T)</f>
        <v>0</v>
      </c>
      <c r="E523" s="34">
        <f>IF(_xlfn.XLOOKUP($A523,'[1]DATOS PBI Artículos'!A:A,'[1]DATOS PBI Artículos'!AK:AK)="",_xlfn.XLOOKUP($A523,'[1]DATOS PBI Artículos'!A:A,'[1]DATOS PBI Artículos'!AJ:AJ),_xlfn.XLOOKUP($A523,'[1]DATOS PBI Artículos'!A:A,'[1]DATOS PBI Artículos'!AK:AK))</f>
        <v>0</v>
      </c>
      <c r="F523" s="35">
        <f>_xlfn.XLOOKUP($A523,'[1]DATOS PBI Artículos'!A:A,'[1]DATOS PBI Artículos'!AP:AP)</f>
        <v>0</v>
      </c>
      <c r="G523" s="34">
        <f>_xlfn.XLOOKUP($A523,'[1]DATOS PBI Artículos'!A:A,'[1]DATOS PBI Artículos'!AR:AR)</f>
        <v>0</v>
      </c>
      <c r="H523" s="34">
        <f>_xlfn.XLOOKUP($A523,'[1]DATOS PBI Artículos'!A:A,'[1]DATOS PBI Artículos'!AT:AT)</f>
        <v>0</v>
      </c>
      <c r="I523" s="34">
        <f>_xlfn.XLOOKUP($A523,'[1]DATOS PBI Artículos'!A:A,'[1]DATOS PBI Artículos'!AS:AS)</f>
        <v>0</v>
      </c>
      <c r="J523" s="35">
        <f>IF(COUNTIF([1]CRITERIOS!$F$179:$F$199,$A523)&gt;=1,
 IF(O523&lt;&gt;"",
    (O523/_xlfn.XLOOKUP(CONCATENATE(A523,L523),[1]MÁQUINAS!A:A,[1]MÁQUINAS!D:D))/24,
    (N523/_xlfn.XLOOKUP(CONCATENATE(A523,L523),[1]MÁQUINAS!A:A,[1]MÁQUINAS!D:D))/24),
  _xlfn.XLOOKUP($A523,'[1]DATOS PBI Artículos'!A:A,'[1]DATOS PBI Artículos'!AU:AU))</f>
        <v>0</v>
      </c>
      <c r="K523" s="36">
        <f>_xlfn.XLOOKUP($A523,'[1]DATOS PBI Artículos'!A:A,'[1]DATOS PBI Artículos'!AV:AV)</f>
        <v>0</v>
      </c>
      <c r="L523" s="33">
        <f>_xlfn.XLOOKUP(A523,[1]MÁQUINAS!B:B,[1]MÁQUINAS!C:C)</f>
        <v>0</v>
      </c>
      <c r="M523" s="34">
        <f t="array" ref="M523">_xlfn.XLOOKUP(A523,'[1]DATOS PBI Artículos'!A:A,'[1]DATOS PBI Artículos'!AX:$AX)</f>
        <v>0</v>
      </c>
      <c r="N523" s="37" t="e">
        <f>IF(I523="DV",
E523,
IF(COUNTIF([1]CRITERIOS!$I$179:$I$199,$A523)&gt;=1,
_xlfn.XLOOKUP($A523,[1]CRITERIOS!$I$179:$I$199,[1]CRITERIOS!$J$179:$J$199),
IF(COUNTIF([1]CRITERIOS!$L$179:$L$199,$A523)&gt;=1,
_xlfn.CEILING.MATH(IF($M523&gt;$E523,
$E523,
IF($M523&lt;$E523/ROUNDDOWN([1]CRITERIOS!$M$16/_xlfn.XLOOKUP($C523,[1]CRITERIOS!$K$25:$K$42,[1]CRITERIOS!$M$25:$M$42),
1),
E523/ROUNDDOWN([1]CRITERIOS!$M$16/_xlfn.XLOOKUP($C523,[1]CRITERIOS!$K$25:$K$42,[1]CRITERIOS!$M$25:$M$42),
1),
$M523)),
_xlfn.XLOOKUP($A523,[1]CRITERIOS!$L$179:$L$200,[1]CRITERIOS!$M$179:$M$200)),
_xlfn.CEILING.MATH(IF($M523&gt;$E523,
$E523,
IF($M523&lt;$E523/ROUNDDOWN([1]CRITERIOS!$M$16/_xlfn.XLOOKUP($C523,[1]CRITERIOS!$K$25:$K$42,[1]CRITERIOS!$M$25:$M$42),
1),
E523/ROUNDDOWN([1]CRITERIOS!$M$16/_xlfn.XLOOKUP($C523,[1]CRITERIOS!$K$25:$K$42,[1]CRITERIOS!$M$25:$M$42),
1),
$M523)),_xlfn.XLOOKUP(A523,'[1]DATOS PBI Artículos'!A:A,'[1]DATOS PBI Artículos'!Z:Z
)))))</f>
        <v>#N/A</v>
      </c>
      <c r="Q523" s="38" t="e">
        <f>IF(AND(O523="",N523=0),
0,
   IF(COUNTIF([1]CRITERIOS!$F$179:$F$199,$A523)&gt;=1,
   1,
   IF(R523="MTO",
      $D523,
      ROUNDUP(
                    IF(($E523-SUMIF('[1]DATOS PBI Artículos'!A:A,A523,'[1]DATOS PBI Artículos'!X:X)+($V523-_xlfn.XLOOKUP(A523,'[1]DATOS PBI Artículos'!A:A,'[1]DATOS PBI Artículos'!W:W)))&lt;0,
                    0,
                    IF(($E523-SUMIF('[1]DATOS PBI Artículos'!A:A,A523,'[1]DATOS PBI Artículos'!X:X)+$V523-_xlfn.XLOOKUP($A523,'[1]DATOS PBI Artículos'!A:A,'[1]DATOS PBI Artículos'!W:W))/IF($O523="",$N523,$O523)&gt;ROUNDUP([1]CRITERIOS!$M$16/(IF(COUNTIF([1]CRITERIOS!$BG$11:$BG$201,L523)&gt;=1,_xlfn.XLOOKUP($C523,[1]CRITERIOS!$K$25:$K$42,[1]CRITERIOS!$M$25:$M$42),_xlfn.XLOOKUP($C523,[1]CRITERIOS!$K$25:$K$42,[1]CRITERIOS!$M$25:$M$42))),0),
                    ROUNDUP([1]CRITERIOS!$M$16/(IF(COUNTIF([1]CRITERIOS!$BG$11:$BG$201,$L523)&gt;=1,_xlfn.XLOOKUP($C523,[1]CRITERIOS!$K$25:$K$42,[1]CRITERIOS!$M$25:$M$42),_xlfn.XLOOKUP($C523,[1]CRITERIOS!$K$25:$K$42,[1]CRITERIOS!$M$25:$M$42))),0),
                    (E523+V523-SUMIF('[1]DATOS PBI Artículos'!A:A,A523,'[1]DATOS PBI Artículos'!X:X)-_xlfn.XLOOKUP(A523,'[1]DATOS PBI Artículos'!A:A,'[1]DATOS PBI Artículos'!W:W))/IF($O523="",$N523,$O523))),0))))</f>
        <v>#N/A</v>
      </c>
      <c r="R523" s="33" t="e">
        <f>IF(U523&lt;&gt;"",U523,IF(F523="DV","MTO",IF(N523=0,"MTO",_xlfn.XLOOKUP(CONCATENATE(S523,T523),[1]CRITERIOS!$K$160:$K$168,[1]CRITERIOS!$N$160:$N$168))))</f>
        <v>#N/A</v>
      </c>
      <c r="S523" s="33" t="e">
        <f>IF(G523="DV","MTO",IF(N523=0,"MTO",IF(OR(AND(N523=0,O523=""),IF(O523="",G523/N523,G523/O523)&gt;[1]CRITERIOS!$G$163),"MTO",IF(IF(O523="",G523/N523,G523/O523)&lt;[1]CRITERIOS!$H$161,"MTS","MTOS"))))</f>
        <v>#N/A</v>
      </c>
      <c r="T523" s="33" t="e">
        <f>IF(F523="DV","MTO",IF(OR(AND($N523=0,O523=""),$F523/$J523&gt;[1]CRITERIOS!$G$170,$F523="DV"),"MTO",IF($F523/$J523&lt;[1]CRITERIOS!$H$168,"MTS","MTOS")))</f>
        <v>#N/A</v>
      </c>
      <c r="V523" s="34" t="e">
        <f t="shared" si="25"/>
        <v>#N/A</v>
      </c>
      <c r="X523" s="34" t="e">
        <f t="shared" si="26"/>
        <v>#N/A</v>
      </c>
      <c r="Y523" s="34" t="e">
        <f t="shared" si="27"/>
        <v>#N/A</v>
      </c>
      <c r="Z523" s="34" t="e">
        <f>IF($R523="MTO",
0,
($H523+$K523*($E523/[1]CRITERIOS!$M$16))/[1]CRITERIOS!$X$48)</f>
        <v>#N/A</v>
      </c>
      <c r="AA523" s="34" t="e">
        <f>ROUNDUP(($Y523/_xlfn.XLOOKUP($A523,'[1]DATOS PBI Artículos'!$A$4:$A$4,'[1]DATOS PBI Artículos'!$Z$4:$Z$4))/_xlfn.XLOOKUP(_xlfn.XLOOKUP($A523,'[1]DATOS PBI Artículos'!$A$4:$A$4,'[1]DATOS PBI Artículos'!$Y$4:$Y$4),[1]CRITERIOS!$P$79:$P$123,[1]CRITERIOS!$S$79:$S$123,),0)</f>
        <v>#N/A</v>
      </c>
      <c r="AB523" s="33" t="e">
        <f t="array" ref="AB523">IF((E523+V523-_xlfn.XLOOKUP(A523,'[1]DATOS PBI Artículos'!$A$4:$A$4,'[1]DATOS PBI Artículos'!$W$4:$W$4))/N523&gt;ROUNDUP([1]CRITERIOS!$M$16/(IF(COUNTIF([1]CRITERIOS!$BG$11:$BG$201,L523)&gt;=1,_xlfn.XLOOKUP(ARTÍCULOS!L523,[1]CRITERIOS!$BG$11:$BG$201,[1]CRITERIOS!$BJ$11:$BJ$201),_xlfn.XLOOKUP(ARTÍCULOS!C523,[1]CRITERIOS!$K$25:$K$42,[1]CRITERIOS!$M$25:$M$42))),0),ROUNDUP([1]CRITERIOS!$M$16/(IF(COUNTIF([1]CRITERIOS!$BG$11:$BG$201,L523)&gt;=1,_xlfn.XLOOKUP(ARTÍCULOS!L523,[1]CRITERIOS!$BG$11:$BG$201:#REF!,[1]CRITERIOS!$BJ$11:$BJ$201),_xlfn.XLOOKUP(ARTÍCULOS!C523,[1]CRITERIOS!$K$25:$K$42,[1]CRITERIOS!$M$25:$M$42))),0),(E523+V523-_xlfn.XLOOKUP(A523,'[1]DATOS PBI Artículos'!$A$4:$A$4,'[1]DATOS PBI Artículos'!$W$4:$W$4))/N523)</f>
        <v>#N/A</v>
      </c>
      <c r="AC523" s="33" t="e">
        <f>IF(N523=0,"",(ROUNDUP((N523/2)/(_xlfn.XLOOKUP(A523,'[1]DATOS PBI Artículos'!$A$4:$A$4,'[1]DATOS PBI Artículos'!$Z$4:$Z$4)*_xlfn.XLOOKUP(_xlfn.XLOOKUP(A523,'[1]DATOS PBI Artículos'!$A$4:$A$4,'[1]DATOS PBI Artículos'!$Y$4:$Y$4),[1]CRITERIOS!$P$79:$P$123,[1]CRITERIOS!$S$79:$S$123)),0)*[1]CRITERIOS!$M$80*([1]CRITERIOS!$M$110/[1]CRITERIOS!$M$86)+(_xlfn.XLOOKUP(A523,'[1]DATOS PBI Artículos'!$A$4:$A$4,'[1]DATOS PBI Artículos'!$AA$4:$AA$4)*([1]CRITERIOS!$M$95+[1]CRITERIOS!$M$98)))/N523)</f>
        <v>#N/A</v>
      </c>
      <c r="AD523" s="33" t="e">
        <f>IF(N523=0,"",(ROUNDUP((N523/2)/(_xlfn.XLOOKUP(A523,'[1]DATOS PBI Artículos'!$A$4:$A$4,'[1]DATOS PBI Artículos'!$Z$4:$Z$4)*_xlfn.XLOOKUP(_xlfn.XLOOKUP(A523,'[1]DATOS PBI Artículos'!$A$4:$A$4,'[1]DATOS PBI Artículos'!$Y$4:$Y$4),[1]CRITERIOS!$P$79:$P$123,[1]CRITERIOS!$S$79:$S$123)),0)*[1]CRITERIOS!$M$80*([1]CRITERIOS!$M$89*[1]CRITERIOS!$M$92)+((_xlfn.XLOOKUP(A523,'[1]DATOS PBI Artículos'!$A$4:$A$4,'[1]DATOS PBI Artículos'!$AA$4:$AA$4)/2)*([1]CRITERIOS!$M$95+[1]CRITERIOS!$M$98)))/N523)</f>
        <v>#N/A</v>
      </c>
      <c r="AE523" s="39" t="e">
        <f>IF($R523="MTO","",
IF($H523=0,ROUNDUP(((_xlfn.XLOOKUP($A523,'[1]DATOS PBI Artículos'!$A:$A,'[1]DATOS PBI Artículos'!$AL:$AL))/(_xlfn.XLOOKUP($AF$1,[1]CRITERIOS!$S$16:$S$39,[1]CRITERIOS!$Y$16:$Y$39))*$J523+$Z523)/$G523,0)*$G523,
((_xlfn.XLOOKUP($A523,'[1]DATOS PBI Artículos'!$A:$A,'[1]DATOS PBI Artículos'!$AL:$AL))/(_xlfn.XLOOKUP($AF$1,[1]CRITERIOS!$S$16:$S$39,[1]CRITERIOS!$Y$16:$Y$39))*$J523+$Z523)))</f>
        <v>#N/A</v>
      </c>
      <c r="AG523" s="39" t="e">
        <f>IF($R523="MTO","",
IF($H523=0,ROUNDUP(((_xlfn.XLOOKUP($A523,'[1]DATOS PBI Artículos'!$A:$A,'[1]DATOS PBI Artículos'!$AM:$AM))/(_xlfn.XLOOKUP($AH$1,[1]CRITERIOS!$S$16:$S$39,[1]CRITERIOS!$Y$16:$Y$39))*$J523+$Z523)/$G523,0)*$G523,
((_xlfn.XLOOKUP($A523,'[1]DATOS PBI Artículos'!$A:$A,'[1]DATOS PBI Artículos'!$AM:$AM))/(_xlfn.XLOOKUP($AH$1,[1]CRITERIOS!$S$16:$S$39,[1]CRITERIOS!$Y$16:$Y$39))*$J523+$Z523)))</f>
        <v>#N/A</v>
      </c>
      <c r="AI523" s="39" t="e">
        <f>IF($R523="MTO","",
IF($H523=0,ROUNDUP(((_xlfn.XLOOKUP($A523,'[1]DATOS PBI Artículos'!$A:$A,'[1]DATOS PBI Artículos'!$AN:$AN))/(_xlfn.XLOOKUP($AJ$1,[1]CRITERIOS!$S$16:$S$39,[1]CRITERIOS!$Y$16:$Y$39))*$J523+$Z523)/$G523,0)*$G523,
((_xlfn.XLOOKUP($A523,'[1]DATOS PBI Artículos'!$A:$A,'[1]DATOS PBI Artículos'!$AN:$AN))/(_xlfn.XLOOKUP($AJ$1,[1]CRITERIOS!$S$16:$S$39,[1]CRITERIOS!$Y$16:$Y$39))*$J523+$Z523)))</f>
        <v>#N/A</v>
      </c>
      <c r="AK523" s="39" t="e">
        <f>IF($R523="MTO","",
IF($H523=0,ROUNDUP(((_xlfn.XLOOKUP($A523,'[1]DATOS PBI Artículos'!$A:$A,'[1]DATOS PBI Artículos'!$AO:$AO))/(_xlfn.XLOOKUP($AL$1,[1]CRITERIOS!$S$16:$S$39,[1]CRITERIOS!$Y$16:$Y$39))*$J523+$Z523)/$G523,0)*$G523,
((_xlfn.XLOOKUP($A523,'[1]DATOS PBI Artículos'!$A:$A,'[1]DATOS PBI Artículos'!$AO:$AO))/(_xlfn.XLOOKUP($AL$1,[1]CRITERIOS!$S$16:$S$39,[1]CRITERIOS!$Y$16:$Y$39))*$J523+$Z523)))</f>
        <v>#N/A</v>
      </c>
    </row>
    <row r="524" spans="1:37" ht="25.8" hidden="1" x14ac:dyDescent="0.4">
      <c r="A524" s="41"/>
      <c r="B524" s="33">
        <f>_xlfn.XLOOKUP($A524,'[1]DATOS PBI Artículos'!A:A,'[1]DATOS PBI Artículos'!B:B)</f>
        <v>0</v>
      </c>
      <c r="C524" s="33">
        <f>_xlfn.XLOOKUP($A524,'[1]DATOS PBI Artículos'!A:A,'[1]DATOS PBI Artículos'!C:C)</f>
        <v>0</v>
      </c>
      <c r="D524" s="33">
        <f>_xlfn.XLOOKUP(A524,'[1]DATOS PBI Artículos'!A:A,'[1]DATOS PBI Artículos'!T:T)</f>
        <v>0</v>
      </c>
      <c r="E524" s="34">
        <f>IF(_xlfn.XLOOKUP($A524,'[1]DATOS PBI Artículos'!A:A,'[1]DATOS PBI Artículos'!AK:AK)="",_xlfn.XLOOKUP($A524,'[1]DATOS PBI Artículos'!A:A,'[1]DATOS PBI Artículos'!AJ:AJ),_xlfn.XLOOKUP($A524,'[1]DATOS PBI Artículos'!A:A,'[1]DATOS PBI Artículos'!AK:AK))</f>
        <v>0</v>
      </c>
      <c r="F524" s="35">
        <f>_xlfn.XLOOKUP($A524,'[1]DATOS PBI Artículos'!A:A,'[1]DATOS PBI Artículos'!AP:AP)</f>
        <v>0</v>
      </c>
      <c r="G524" s="34">
        <f>_xlfn.XLOOKUP($A524,'[1]DATOS PBI Artículos'!A:A,'[1]DATOS PBI Artículos'!AR:AR)</f>
        <v>0</v>
      </c>
      <c r="H524" s="34">
        <f>_xlfn.XLOOKUP($A524,'[1]DATOS PBI Artículos'!A:A,'[1]DATOS PBI Artículos'!AT:AT)</f>
        <v>0</v>
      </c>
      <c r="I524" s="34">
        <f>_xlfn.XLOOKUP($A524,'[1]DATOS PBI Artículos'!A:A,'[1]DATOS PBI Artículos'!AS:AS)</f>
        <v>0</v>
      </c>
      <c r="J524" s="35">
        <f>IF(COUNTIF([1]CRITERIOS!$F$179:$F$199,$A524)&gt;=1,
 IF(O524&lt;&gt;"",
    (O524/_xlfn.XLOOKUP(CONCATENATE(A524,L524),[1]MÁQUINAS!A:A,[1]MÁQUINAS!D:D))/24,
    (N524/_xlfn.XLOOKUP(CONCATENATE(A524,L524),[1]MÁQUINAS!A:A,[1]MÁQUINAS!D:D))/24),
  _xlfn.XLOOKUP($A524,'[1]DATOS PBI Artículos'!A:A,'[1]DATOS PBI Artículos'!AU:AU))</f>
        <v>0</v>
      </c>
      <c r="K524" s="36">
        <f>_xlfn.XLOOKUP($A524,'[1]DATOS PBI Artículos'!A:A,'[1]DATOS PBI Artículos'!AV:AV)</f>
        <v>0</v>
      </c>
      <c r="L524" s="33">
        <f>_xlfn.XLOOKUP(A524,[1]MÁQUINAS!B:B,[1]MÁQUINAS!C:C)</f>
        <v>0</v>
      </c>
      <c r="M524" s="34">
        <f t="array" ref="M524">_xlfn.XLOOKUP(A524,'[1]DATOS PBI Artículos'!A:A,'[1]DATOS PBI Artículos'!AX:$AX)</f>
        <v>0</v>
      </c>
      <c r="N524" s="37" t="e">
        <f>IF(I524="DV",
E524,
IF(COUNTIF([1]CRITERIOS!$I$179:$I$199,$A524)&gt;=1,
_xlfn.XLOOKUP($A524,[1]CRITERIOS!$I$179:$I$199,[1]CRITERIOS!$J$179:$J$199),
IF(COUNTIF([1]CRITERIOS!$L$179:$L$199,$A524)&gt;=1,
_xlfn.CEILING.MATH(IF($M524&gt;$E524,
$E524,
IF($M524&lt;$E524/ROUNDDOWN([1]CRITERIOS!$M$16/_xlfn.XLOOKUP($C524,[1]CRITERIOS!$K$25:$K$42,[1]CRITERIOS!$M$25:$M$42),
1),
E524/ROUNDDOWN([1]CRITERIOS!$M$16/_xlfn.XLOOKUP($C524,[1]CRITERIOS!$K$25:$K$42,[1]CRITERIOS!$M$25:$M$42),
1),
$M524)),
_xlfn.XLOOKUP($A524,[1]CRITERIOS!$L$179:$L$200,[1]CRITERIOS!$M$179:$M$200)),
_xlfn.CEILING.MATH(IF($M524&gt;$E524,
$E524,
IF($M524&lt;$E524/ROUNDDOWN([1]CRITERIOS!$M$16/_xlfn.XLOOKUP($C524,[1]CRITERIOS!$K$25:$K$42,[1]CRITERIOS!$M$25:$M$42),
1),
E524/ROUNDDOWN([1]CRITERIOS!$M$16/_xlfn.XLOOKUP($C524,[1]CRITERIOS!$K$25:$K$42,[1]CRITERIOS!$M$25:$M$42),
1),
$M524)),_xlfn.XLOOKUP(A524,'[1]DATOS PBI Artículos'!A:A,'[1]DATOS PBI Artículos'!Z:Z
)))))</f>
        <v>#N/A</v>
      </c>
      <c r="Q524" s="38" t="e">
        <f>IF(AND(O524="",N524=0),
0,
   IF(COUNTIF([1]CRITERIOS!$F$179:$F$199,$A524)&gt;=1,
   1,
   IF(R524="MTO",
      $D524,
      ROUNDUP(
                    IF(($E524-SUMIF('[1]DATOS PBI Artículos'!A:A,A524,'[1]DATOS PBI Artículos'!X:X)+($V524-_xlfn.XLOOKUP(A524,'[1]DATOS PBI Artículos'!A:A,'[1]DATOS PBI Artículos'!W:W)))&lt;0,
                    0,
                    IF(($E524-SUMIF('[1]DATOS PBI Artículos'!A:A,A524,'[1]DATOS PBI Artículos'!X:X)+$V524-_xlfn.XLOOKUP($A524,'[1]DATOS PBI Artículos'!A:A,'[1]DATOS PBI Artículos'!W:W))/IF($O524="",$N524,$O524)&gt;ROUNDUP([1]CRITERIOS!$M$16/(IF(COUNTIF([1]CRITERIOS!$BG$11:$BG$201,L524)&gt;=1,_xlfn.XLOOKUP($C524,[1]CRITERIOS!$K$25:$K$42,[1]CRITERIOS!$M$25:$M$42),_xlfn.XLOOKUP($C524,[1]CRITERIOS!$K$25:$K$42,[1]CRITERIOS!$M$25:$M$42))),0),
                    ROUNDUP([1]CRITERIOS!$M$16/(IF(COUNTIF([1]CRITERIOS!$BG$11:$BG$201,$L524)&gt;=1,_xlfn.XLOOKUP($C524,[1]CRITERIOS!$K$25:$K$42,[1]CRITERIOS!$M$25:$M$42),_xlfn.XLOOKUP($C524,[1]CRITERIOS!$K$25:$K$42,[1]CRITERIOS!$M$25:$M$42))),0),
                    (E524+V524-SUMIF('[1]DATOS PBI Artículos'!A:A,A524,'[1]DATOS PBI Artículos'!X:X)-_xlfn.XLOOKUP(A524,'[1]DATOS PBI Artículos'!A:A,'[1]DATOS PBI Artículos'!W:W))/IF($O524="",$N524,$O524))),0))))</f>
        <v>#N/A</v>
      </c>
      <c r="R524" s="33" t="e">
        <f>IF(U524&lt;&gt;"",U524,IF(F524="DV","MTO",IF(N524=0,"MTO",_xlfn.XLOOKUP(CONCATENATE(S524,T524),[1]CRITERIOS!$K$160:$K$168,[1]CRITERIOS!$N$160:$N$168))))</f>
        <v>#N/A</v>
      </c>
      <c r="S524" s="33" t="e">
        <f>IF(G524="DV","MTO",IF(N524=0,"MTO",IF(OR(AND(N524=0,O524=""),IF(O524="",G524/N524,G524/O524)&gt;[1]CRITERIOS!$G$163),"MTO",IF(IF(O524="",G524/N524,G524/O524)&lt;[1]CRITERIOS!$H$161,"MTS","MTOS"))))</f>
        <v>#N/A</v>
      </c>
      <c r="T524" s="33" t="e">
        <f>IF(F524="DV","MTO",IF(OR(AND($N524=0,O524=""),$F524/$J524&gt;[1]CRITERIOS!$G$170,$F524="DV"),"MTO",IF($F524/$J524&lt;[1]CRITERIOS!$H$168,"MTS","MTOS")))</f>
        <v>#N/A</v>
      </c>
      <c r="V524" s="34" t="e">
        <f t="shared" si="25"/>
        <v>#N/A</v>
      </c>
      <c r="X524" s="34" t="e">
        <f t="shared" si="26"/>
        <v>#N/A</v>
      </c>
      <c r="Y524" s="34" t="e">
        <f t="shared" si="27"/>
        <v>#N/A</v>
      </c>
      <c r="Z524" s="34" t="e">
        <f>IF($R524="MTO",
0,
($H524+$K524*($E524/[1]CRITERIOS!$M$16))/[1]CRITERIOS!$X$48)</f>
        <v>#N/A</v>
      </c>
      <c r="AA524" s="34" t="e">
        <f>ROUNDUP(($Y524/_xlfn.XLOOKUP($A524,'[1]DATOS PBI Artículos'!$A$4:$A$4,'[1]DATOS PBI Artículos'!$Z$4:$Z$4))/_xlfn.XLOOKUP(_xlfn.XLOOKUP($A524,'[1]DATOS PBI Artículos'!$A$4:$A$4,'[1]DATOS PBI Artículos'!$Y$4:$Y$4),[1]CRITERIOS!$P$79:$P$123,[1]CRITERIOS!$S$79:$S$123,),0)</f>
        <v>#N/A</v>
      </c>
      <c r="AB524" s="33" t="e">
        <f t="array" ref="AB524">IF((E524+V524-_xlfn.XLOOKUP(A524,'[1]DATOS PBI Artículos'!$A$4:$A$4,'[1]DATOS PBI Artículos'!$W$4:$W$4))/N524&gt;ROUNDUP([1]CRITERIOS!$M$16/(IF(COUNTIF([1]CRITERIOS!$BG$11:$BG$201,L524)&gt;=1,_xlfn.XLOOKUP(ARTÍCULOS!L524,[1]CRITERIOS!$BG$11:$BG$201,[1]CRITERIOS!$BJ$11:$BJ$201),_xlfn.XLOOKUP(ARTÍCULOS!C524,[1]CRITERIOS!$K$25:$K$42,[1]CRITERIOS!$M$25:$M$42))),0),ROUNDUP([1]CRITERIOS!$M$16/(IF(COUNTIF([1]CRITERIOS!$BG$11:$BG$201,L524)&gt;=1,_xlfn.XLOOKUP(ARTÍCULOS!L524,[1]CRITERIOS!$BG$11:$BG$201:#REF!,[1]CRITERIOS!$BJ$11:$BJ$201),_xlfn.XLOOKUP(ARTÍCULOS!C524,[1]CRITERIOS!$K$25:$K$42,[1]CRITERIOS!$M$25:$M$42))),0),(E524+V524-_xlfn.XLOOKUP(A524,'[1]DATOS PBI Artículos'!$A$4:$A$4,'[1]DATOS PBI Artículos'!$W$4:$W$4))/N524)</f>
        <v>#N/A</v>
      </c>
      <c r="AC524" s="33" t="e">
        <f>IF(N524=0,"",(ROUNDUP((N524/2)/(_xlfn.XLOOKUP(A524,'[1]DATOS PBI Artículos'!$A$4:$A$4,'[1]DATOS PBI Artículos'!$Z$4:$Z$4)*_xlfn.XLOOKUP(_xlfn.XLOOKUP(A524,'[1]DATOS PBI Artículos'!$A$4:$A$4,'[1]DATOS PBI Artículos'!$Y$4:$Y$4),[1]CRITERIOS!$P$79:$P$123,[1]CRITERIOS!$S$79:$S$123)),0)*[1]CRITERIOS!$M$80*([1]CRITERIOS!$M$110/[1]CRITERIOS!$M$86)+(_xlfn.XLOOKUP(A524,'[1]DATOS PBI Artículos'!$A$4:$A$4,'[1]DATOS PBI Artículos'!$AA$4:$AA$4)*([1]CRITERIOS!$M$95+[1]CRITERIOS!$M$98)))/N524)</f>
        <v>#N/A</v>
      </c>
      <c r="AD524" s="33" t="e">
        <f>IF(N524=0,"",(ROUNDUP((N524/2)/(_xlfn.XLOOKUP(A524,'[1]DATOS PBI Artículos'!$A$4:$A$4,'[1]DATOS PBI Artículos'!$Z$4:$Z$4)*_xlfn.XLOOKUP(_xlfn.XLOOKUP(A524,'[1]DATOS PBI Artículos'!$A$4:$A$4,'[1]DATOS PBI Artículos'!$Y$4:$Y$4),[1]CRITERIOS!$P$79:$P$123,[1]CRITERIOS!$S$79:$S$123)),0)*[1]CRITERIOS!$M$80*([1]CRITERIOS!$M$89*[1]CRITERIOS!$M$92)+((_xlfn.XLOOKUP(A524,'[1]DATOS PBI Artículos'!$A$4:$A$4,'[1]DATOS PBI Artículos'!$AA$4:$AA$4)/2)*([1]CRITERIOS!$M$95+[1]CRITERIOS!$M$98)))/N524)</f>
        <v>#N/A</v>
      </c>
      <c r="AE524" s="39" t="e">
        <f>IF($R524="MTO","",
IF($H524=0,ROUNDUP(((_xlfn.XLOOKUP($A524,'[1]DATOS PBI Artículos'!$A:$A,'[1]DATOS PBI Artículos'!$AL:$AL))/(_xlfn.XLOOKUP($AF$1,[1]CRITERIOS!$S$16:$S$39,[1]CRITERIOS!$Y$16:$Y$39))*$J524+$Z524)/$G524,0)*$G524,
((_xlfn.XLOOKUP($A524,'[1]DATOS PBI Artículos'!$A:$A,'[1]DATOS PBI Artículos'!$AL:$AL))/(_xlfn.XLOOKUP($AF$1,[1]CRITERIOS!$S$16:$S$39,[1]CRITERIOS!$Y$16:$Y$39))*$J524+$Z524)))</f>
        <v>#N/A</v>
      </c>
      <c r="AG524" s="39" t="e">
        <f>IF($R524="MTO","",
IF($H524=0,ROUNDUP(((_xlfn.XLOOKUP($A524,'[1]DATOS PBI Artículos'!$A:$A,'[1]DATOS PBI Artículos'!$AM:$AM))/(_xlfn.XLOOKUP($AH$1,[1]CRITERIOS!$S$16:$S$39,[1]CRITERIOS!$Y$16:$Y$39))*$J524+$Z524)/$G524,0)*$G524,
((_xlfn.XLOOKUP($A524,'[1]DATOS PBI Artículos'!$A:$A,'[1]DATOS PBI Artículos'!$AM:$AM))/(_xlfn.XLOOKUP($AH$1,[1]CRITERIOS!$S$16:$S$39,[1]CRITERIOS!$Y$16:$Y$39))*$J524+$Z524)))</f>
        <v>#N/A</v>
      </c>
      <c r="AI524" s="39" t="e">
        <f>IF($R524="MTO","",
IF($H524=0,ROUNDUP(((_xlfn.XLOOKUP($A524,'[1]DATOS PBI Artículos'!$A:$A,'[1]DATOS PBI Artículos'!$AN:$AN))/(_xlfn.XLOOKUP($AJ$1,[1]CRITERIOS!$S$16:$S$39,[1]CRITERIOS!$Y$16:$Y$39))*$J524+$Z524)/$G524,0)*$G524,
((_xlfn.XLOOKUP($A524,'[1]DATOS PBI Artículos'!$A:$A,'[1]DATOS PBI Artículos'!$AN:$AN))/(_xlfn.XLOOKUP($AJ$1,[1]CRITERIOS!$S$16:$S$39,[1]CRITERIOS!$Y$16:$Y$39))*$J524+$Z524)))</f>
        <v>#N/A</v>
      </c>
      <c r="AK524" s="39" t="e">
        <f>IF($R524="MTO","",
IF($H524=0,ROUNDUP(((_xlfn.XLOOKUP($A524,'[1]DATOS PBI Artículos'!$A:$A,'[1]DATOS PBI Artículos'!$AO:$AO))/(_xlfn.XLOOKUP($AL$1,[1]CRITERIOS!$S$16:$S$39,[1]CRITERIOS!$Y$16:$Y$39))*$J524+$Z524)/$G524,0)*$G524,
((_xlfn.XLOOKUP($A524,'[1]DATOS PBI Artículos'!$A:$A,'[1]DATOS PBI Artículos'!$AO:$AO))/(_xlfn.XLOOKUP($AL$1,[1]CRITERIOS!$S$16:$S$39,[1]CRITERIOS!$Y$16:$Y$39))*$J524+$Z524)))</f>
        <v>#N/A</v>
      </c>
    </row>
    <row r="525" spans="1:37" ht="25.8" hidden="1" x14ac:dyDescent="0.4">
      <c r="A525" s="41"/>
      <c r="B525" s="33">
        <f>_xlfn.XLOOKUP($A525,'[1]DATOS PBI Artículos'!A:A,'[1]DATOS PBI Artículos'!B:B)</f>
        <v>0</v>
      </c>
      <c r="C525" s="33">
        <f>_xlfn.XLOOKUP($A525,'[1]DATOS PBI Artículos'!A:A,'[1]DATOS PBI Artículos'!C:C)</f>
        <v>0</v>
      </c>
      <c r="D525" s="33">
        <f>_xlfn.XLOOKUP(A525,'[1]DATOS PBI Artículos'!A:A,'[1]DATOS PBI Artículos'!T:T)</f>
        <v>0</v>
      </c>
      <c r="E525" s="34">
        <f>IF(_xlfn.XLOOKUP($A525,'[1]DATOS PBI Artículos'!A:A,'[1]DATOS PBI Artículos'!AK:AK)="",_xlfn.XLOOKUP($A525,'[1]DATOS PBI Artículos'!A:A,'[1]DATOS PBI Artículos'!AJ:AJ),_xlfn.XLOOKUP($A525,'[1]DATOS PBI Artículos'!A:A,'[1]DATOS PBI Artículos'!AK:AK))</f>
        <v>0</v>
      </c>
      <c r="F525" s="35">
        <f>_xlfn.XLOOKUP($A525,'[1]DATOS PBI Artículos'!A:A,'[1]DATOS PBI Artículos'!AP:AP)</f>
        <v>0</v>
      </c>
      <c r="G525" s="34">
        <f>_xlfn.XLOOKUP($A525,'[1]DATOS PBI Artículos'!A:A,'[1]DATOS PBI Artículos'!AR:AR)</f>
        <v>0</v>
      </c>
      <c r="H525" s="34">
        <f>_xlfn.XLOOKUP($A525,'[1]DATOS PBI Artículos'!A:A,'[1]DATOS PBI Artículos'!AT:AT)</f>
        <v>0</v>
      </c>
      <c r="I525" s="34">
        <f>_xlfn.XLOOKUP($A525,'[1]DATOS PBI Artículos'!A:A,'[1]DATOS PBI Artículos'!AS:AS)</f>
        <v>0</v>
      </c>
      <c r="J525" s="35">
        <f>IF(COUNTIF([1]CRITERIOS!$F$179:$F$199,$A525)&gt;=1,
 IF(O525&lt;&gt;"",
    (O525/_xlfn.XLOOKUP(CONCATENATE(A525,L525),[1]MÁQUINAS!A:A,[1]MÁQUINAS!D:D))/24,
    (N525/_xlfn.XLOOKUP(CONCATENATE(A525,L525),[1]MÁQUINAS!A:A,[1]MÁQUINAS!D:D))/24),
  _xlfn.XLOOKUP($A525,'[1]DATOS PBI Artículos'!A:A,'[1]DATOS PBI Artículos'!AU:AU))</f>
        <v>0</v>
      </c>
      <c r="K525" s="36">
        <f>_xlfn.XLOOKUP($A525,'[1]DATOS PBI Artículos'!A:A,'[1]DATOS PBI Artículos'!AV:AV)</f>
        <v>0</v>
      </c>
      <c r="L525" s="33">
        <f>_xlfn.XLOOKUP(A525,[1]MÁQUINAS!B:B,[1]MÁQUINAS!C:C)</f>
        <v>0</v>
      </c>
      <c r="M525" s="34">
        <f t="array" ref="M525">_xlfn.XLOOKUP(A525,'[1]DATOS PBI Artículos'!A:A,'[1]DATOS PBI Artículos'!AX:$AX)</f>
        <v>0</v>
      </c>
      <c r="N525" s="37" t="e">
        <f>IF(I525="DV",
E525,
IF(COUNTIF([1]CRITERIOS!$I$179:$I$199,$A525)&gt;=1,
_xlfn.XLOOKUP($A525,[1]CRITERIOS!$I$179:$I$199,[1]CRITERIOS!$J$179:$J$199),
IF(COUNTIF([1]CRITERIOS!$L$179:$L$199,$A525)&gt;=1,
_xlfn.CEILING.MATH(IF($M525&gt;$E525,
$E525,
IF($M525&lt;$E525/ROUNDDOWN([1]CRITERIOS!$M$16/_xlfn.XLOOKUP($C525,[1]CRITERIOS!$K$25:$K$42,[1]CRITERIOS!$M$25:$M$42),
1),
E525/ROUNDDOWN([1]CRITERIOS!$M$16/_xlfn.XLOOKUP($C525,[1]CRITERIOS!$K$25:$K$42,[1]CRITERIOS!$M$25:$M$42),
1),
$M525)),
_xlfn.XLOOKUP($A525,[1]CRITERIOS!$L$179:$L$200,[1]CRITERIOS!$M$179:$M$200)),
_xlfn.CEILING.MATH(IF($M525&gt;$E525,
$E525,
IF($M525&lt;$E525/ROUNDDOWN([1]CRITERIOS!$M$16/_xlfn.XLOOKUP($C525,[1]CRITERIOS!$K$25:$K$42,[1]CRITERIOS!$M$25:$M$42),
1),
E525/ROUNDDOWN([1]CRITERIOS!$M$16/_xlfn.XLOOKUP($C525,[1]CRITERIOS!$K$25:$K$42,[1]CRITERIOS!$M$25:$M$42),
1),
$M525)),_xlfn.XLOOKUP(A525,'[1]DATOS PBI Artículos'!A:A,'[1]DATOS PBI Artículos'!Z:Z
)))))</f>
        <v>#N/A</v>
      </c>
      <c r="Q525" s="38" t="e">
        <f>IF(AND(O525="",N525=0),
0,
   IF(COUNTIF([1]CRITERIOS!$F$179:$F$199,$A525)&gt;=1,
   1,
   IF(R525="MTO",
      $D525,
      ROUNDUP(
                    IF(($E525-SUMIF('[1]DATOS PBI Artículos'!A:A,A525,'[1]DATOS PBI Artículos'!X:X)+($V525-_xlfn.XLOOKUP(A525,'[1]DATOS PBI Artículos'!A:A,'[1]DATOS PBI Artículos'!W:W)))&lt;0,
                    0,
                    IF(($E525-SUMIF('[1]DATOS PBI Artículos'!A:A,A525,'[1]DATOS PBI Artículos'!X:X)+$V525-_xlfn.XLOOKUP($A525,'[1]DATOS PBI Artículos'!A:A,'[1]DATOS PBI Artículos'!W:W))/IF($O525="",$N525,$O525)&gt;ROUNDUP([1]CRITERIOS!$M$16/(IF(COUNTIF([1]CRITERIOS!$BG$11:$BG$201,L525)&gt;=1,_xlfn.XLOOKUP($C525,[1]CRITERIOS!$K$25:$K$42,[1]CRITERIOS!$M$25:$M$42),_xlfn.XLOOKUP($C525,[1]CRITERIOS!$K$25:$K$42,[1]CRITERIOS!$M$25:$M$42))),0),
                    ROUNDUP([1]CRITERIOS!$M$16/(IF(COUNTIF([1]CRITERIOS!$BG$11:$BG$201,$L525)&gt;=1,_xlfn.XLOOKUP($C525,[1]CRITERIOS!$K$25:$K$42,[1]CRITERIOS!$M$25:$M$42),_xlfn.XLOOKUP($C525,[1]CRITERIOS!$K$25:$K$42,[1]CRITERIOS!$M$25:$M$42))),0),
                    (E525+V525-SUMIF('[1]DATOS PBI Artículos'!A:A,A525,'[1]DATOS PBI Artículos'!X:X)-_xlfn.XLOOKUP(A525,'[1]DATOS PBI Artículos'!A:A,'[1]DATOS PBI Artículos'!W:W))/IF($O525="",$N525,$O525))),0))))</f>
        <v>#N/A</v>
      </c>
      <c r="R525" s="33" t="e">
        <f>IF(U525&lt;&gt;"",U525,IF(F525="DV","MTO",IF(N525=0,"MTO",_xlfn.XLOOKUP(CONCATENATE(S525,T525),[1]CRITERIOS!$K$160:$K$168,[1]CRITERIOS!$N$160:$N$168))))</f>
        <v>#N/A</v>
      </c>
      <c r="S525" s="33" t="e">
        <f>IF(G525="DV","MTO",IF(N525=0,"MTO",IF(OR(AND(N525=0,O525=""),IF(O525="",G525/N525,G525/O525)&gt;[1]CRITERIOS!$G$163),"MTO",IF(IF(O525="",G525/N525,G525/O525)&lt;[1]CRITERIOS!$H$161,"MTS","MTOS"))))</f>
        <v>#N/A</v>
      </c>
      <c r="T525" s="33" t="e">
        <f>IF(F525="DV","MTO",IF(OR(AND($N525=0,O525=""),$F525/$J525&gt;[1]CRITERIOS!$G$170,$F525="DV"),"MTO",IF($F525/$J525&lt;[1]CRITERIOS!$H$168,"MTS","MTOS")))</f>
        <v>#N/A</v>
      </c>
      <c r="V525" s="34" t="e">
        <f t="shared" si="25"/>
        <v>#N/A</v>
      </c>
      <c r="X525" s="34" t="e">
        <f t="shared" si="26"/>
        <v>#N/A</v>
      </c>
      <c r="Y525" s="34" t="e">
        <f t="shared" si="27"/>
        <v>#N/A</v>
      </c>
      <c r="Z525" s="34" t="e">
        <f>IF($R525="MTO",
0,
($H525+$K525*($E525/[1]CRITERIOS!$M$16))/[1]CRITERIOS!$X$48)</f>
        <v>#N/A</v>
      </c>
      <c r="AA525" s="34" t="e">
        <f>ROUNDUP(($Y525/_xlfn.XLOOKUP($A525,'[1]DATOS PBI Artículos'!$A$4:$A$4,'[1]DATOS PBI Artículos'!$Z$4:$Z$4))/_xlfn.XLOOKUP(_xlfn.XLOOKUP($A525,'[1]DATOS PBI Artículos'!$A$4:$A$4,'[1]DATOS PBI Artículos'!$Y$4:$Y$4),[1]CRITERIOS!$P$79:$P$123,[1]CRITERIOS!$S$79:$S$123,),0)</f>
        <v>#N/A</v>
      </c>
      <c r="AB525" s="33" t="e">
        <f t="array" ref="AB525">IF((E525+V525-_xlfn.XLOOKUP(A525,'[1]DATOS PBI Artículos'!$A$4:$A$4,'[1]DATOS PBI Artículos'!$W$4:$W$4))/N525&gt;ROUNDUP([1]CRITERIOS!$M$16/(IF(COUNTIF([1]CRITERIOS!$BG$11:$BG$201,L525)&gt;=1,_xlfn.XLOOKUP(ARTÍCULOS!L525,[1]CRITERIOS!$BG$11:$BG$201,[1]CRITERIOS!$BJ$11:$BJ$201),_xlfn.XLOOKUP(ARTÍCULOS!C525,[1]CRITERIOS!$K$25:$K$42,[1]CRITERIOS!$M$25:$M$42))),0),ROUNDUP([1]CRITERIOS!$M$16/(IF(COUNTIF([1]CRITERIOS!$BG$11:$BG$201,L525)&gt;=1,_xlfn.XLOOKUP(ARTÍCULOS!L525,[1]CRITERIOS!$BG$11:$BG$201:#REF!,[1]CRITERIOS!$BJ$11:$BJ$201),_xlfn.XLOOKUP(ARTÍCULOS!C525,[1]CRITERIOS!$K$25:$K$42,[1]CRITERIOS!$M$25:$M$42))),0),(E525+V525-_xlfn.XLOOKUP(A525,'[1]DATOS PBI Artículos'!$A$4:$A$4,'[1]DATOS PBI Artículos'!$W$4:$W$4))/N525)</f>
        <v>#N/A</v>
      </c>
      <c r="AC525" s="33" t="e">
        <f>IF(N525=0,"",(ROUNDUP((N525/2)/(_xlfn.XLOOKUP(A525,'[1]DATOS PBI Artículos'!$A$4:$A$4,'[1]DATOS PBI Artículos'!$Z$4:$Z$4)*_xlfn.XLOOKUP(_xlfn.XLOOKUP(A525,'[1]DATOS PBI Artículos'!$A$4:$A$4,'[1]DATOS PBI Artículos'!$Y$4:$Y$4),[1]CRITERIOS!$P$79:$P$123,[1]CRITERIOS!$S$79:$S$123)),0)*[1]CRITERIOS!$M$80*([1]CRITERIOS!$M$110/[1]CRITERIOS!$M$86)+(_xlfn.XLOOKUP(A525,'[1]DATOS PBI Artículos'!$A$4:$A$4,'[1]DATOS PBI Artículos'!$AA$4:$AA$4)*([1]CRITERIOS!$M$95+[1]CRITERIOS!$M$98)))/N525)</f>
        <v>#N/A</v>
      </c>
      <c r="AD525" s="33" t="e">
        <f>IF(N525=0,"",(ROUNDUP((N525/2)/(_xlfn.XLOOKUP(A525,'[1]DATOS PBI Artículos'!$A$4:$A$4,'[1]DATOS PBI Artículos'!$Z$4:$Z$4)*_xlfn.XLOOKUP(_xlfn.XLOOKUP(A525,'[1]DATOS PBI Artículos'!$A$4:$A$4,'[1]DATOS PBI Artículos'!$Y$4:$Y$4),[1]CRITERIOS!$P$79:$P$123,[1]CRITERIOS!$S$79:$S$123)),0)*[1]CRITERIOS!$M$80*([1]CRITERIOS!$M$89*[1]CRITERIOS!$M$92)+((_xlfn.XLOOKUP(A525,'[1]DATOS PBI Artículos'!$A$4:$A$4,'[1]DATOS PBI Artículos'!$AA$4:$AA$4)/2)*([1]CRITERIOS!$M$95+[1]CRITERIOS!$M$98)))/N525)</f>
        <v>#N/A</v>
      </c>
      <c r="AE525" s="39" t="e">
        <f>IF($R525="MTO","",
IF($H525=0,ROUNDUP(((_xlfn.XLOOKUP($A525,'[1]DATOS PBI Artículos'!$A:$A,'[1]DATOS PBI Artículos'!$AL:$AL))/(_xlfn.XLOOKUP($AF$1,[1]CRITERIOS!$S$16:$S$39,[1]CRITERIOS!$Y$16:$Y$39))*$J525+$Z525)/$G525,0)*$G525,
((_xlfn.XLOOKUP($A525,'[1]DATOS PBI Artículos'!$A:$A,'[1]DATOS PBI Artículos'!$AL:$AL))/(_xlfn.XLOOKUP($AF$1,[1]CRITERIOS!$S$16:$S$39,[1]CRITERIOS!$Y$16:$Y$39))*$J525+$Z525)))</f>
        <v>#N/A</v>
      </c>
      <c r="AG525" s="39" t="e">
        <f>IF($R525="MTO","",
IF($H525=0,ROUNDUP(((_xlfn.XLOOKUP($A525,'[1]DATOS PBI Artículos'!$A:$A,'[1]DATOS PBI Artículos'!$AM:$AM))/(_xlfn.XLOOKUP($AH$1,[1]CRITERIOS!$S$16:$S$39,[1]CRITERIOS!$Y$16:$Y$39))*$J525+$Z525)/$G525,0)*$G525,
((_xlfn.XLOOKUP($A525,'[1]DATOS PBI Artículos'!$A:$A,'[1]DATOS PBI Artículos'!$AM:$AM))/(_xlfn.XLOOKUP($AH$1,[1]CRITERIOS!$S$16:$S$39,[1]CRITERIOS!$Y$16:$Y$39))*$J525+$Z525)))</f>
        <v>#N/A</v>
      </c>
      <c r="AI525" s="39" t="e">
        <f>IF($R525="MTO","",
IF($H525=0,ROUNDUP(((_xlfn.XLOOKUP($A525,'[1]DATOS PBI Artículos'!$A:$A,'[1]DATOS PBI Artículos'!$AN:$AN))/(_xlfn.XLOOKUP($AJ$1,[1]CRITERIOS!$S$16:$S$39,[1]CRITERIOS!$Y$16:$Y$39))*$J525+$Z525)/$G525,0)*$G525,
((_xlfn.XLOOKUP($A525,'[1]DATOS PBI Artículos'!$A:$A,'[1]DATOS PBI Artículos'!$AN:$AN))/(_xlfn.XLOOKUP($AJ$1,[1]CRITERIOS!$S$16:$S$39,[1]CRITERIOS!$Y$16:$Y$39))*$J525+$Z525)))</f>
        <v>#N/A</v>
      </c>
      <c r="AK525" s="39" t="e">
        <f>IF($R525="MTO","",
IF($H525=0,ROUNDUP(((_xlfn.XLOOKUP($A525,'[1]DATOS PBI Artículos'!$A:$A,'[1]DATOS PBI Artículos'!$AO:$AO))/(_xlfn.XLOOKUP($AL$1,[1]CRITERIOS!$S$16:$S$39,[1]CRITERIOS!$Y$16:$Y$39))*$J525+$Z525)/$G525,0)*$G525,
((_xlfn.XLOOKUP($A525,'[1]DATOS PBI Artículos'!$A:$A,'[1]DATOS PBI Artículos'!$AO:$AO))/(_xlfn.XLOOKUP($AL$1,[1]CRITERIOS!$S$16:$S$39,[1]CRITERIOS!$Y$16:$Y$39))*$J525+$Z525)))</f>
        <v>#N/A</v>
      </c>
    </row>
    <row r="526" spans="1:37" ht="25.8" hidden="1" x14ac:dyDescent="0.4">
      <c r="A526" s="41"/>
      <c r="B526" s="33">
        <f>_xlfn.XLOOKUP($A526,'[1]DATOS PBI Artículos'!A:A,'[1]DATOS PBI Artículos'!B:B)</f>
        <v>0</v>
      </c>
      <c r="C526" s="33">
        <f>_xlfn.XLOOKUP($A526,'[1]DATOS PBI Artículos'!A:A,'[1]DATOS PBI Artículos'!C:C)</f>
        <v>0</v>
      </c>
      <c r="D526" s="33">
        <f>_xlfn.XLOOKUP(A526,'[1]DATOS PBI Artículos'!A:A,'[1]DATOS PBI Artículos'!T:T)</f>
        <v>0</v>
      </c>
      <c r="E526" s="34">
        <f>IF(_xlfn.XLOOKUP($A526,'[1]DATOS PBI Artículos'!A:A,'[1]DATOS PBI Artículos'!AK:AK)="",_xlfn.XLOOKUP($A526,'[1]DATOS PBI Artículos'!A:A,'[1]DATOS PBI Artículos'!AJ:AJ),_xlfn.XLOOKUP($A526,'[1]DATOS PBI Artículos'!A:A,'[1]DATOS PBI Artículos'!AK:AK))</f>
        <v>0</v>
      </c>
      <c r="F526" s="35">
        <f>_xlfn.XLOOKUP($A526,'[1]DATOS PBI Artículos'!A:A,'[1]DATOS PBI Artículos'!AP:AP)</f>
        <v>0</v>
      </c>
      <c r="G526" s="34">
        <f>_xlfn.XLOOKUP($A526,'[1]DATOS PBI Artículos'!A:A,'[1]DATOS PBI Artículos'!AR:AR)</f>
        <v>0</v>
      </c>
      <c r="H526" s="34">
        <f>_xlfn.XLOOKUP($A526,'[1]DATOS PBI Artículos'!A:A,'[1]DATOS PBI Artículos'!AT:AT)</f>
        <v>0</v>
      </c>
      <c r="I526" s="34">
        <f>_xlfn.XLOOKUP($A526,'[1]DATOS PBI Artículos'!A:A,'[1]DATOS PBI Artículos'!AS:AS)</f>
        <v>0</v>
      </c>
      <c r="J526" s="35">
        <f>IF(COUNTIF([1]CRITERIOS!$F$179:$F$199,$A526)&gt;=1,
 IF(O526&lt;&gt;"",
    (O526/_xlfn.XLOOKUP(CONCATENATE(A526,L526),[1]MÁQUINAS!A:A,[1]MÁQUINAS!D:D))/24,
    (N526/_xlfn.XLOOKUP(CONCATENATE(A526,L526),[1]MÁQUINAS!A:A,[1]MÁQUINAS!D:D))/24),
  _xlfn.XLOOKUP($A526,'[1]DATOS PBI Artículos'!A:A,'[1]DATOS PBI Artículos'!AU:AU))</f>
        <v>0</v>
      </c>
      <c r="K526" s="36">
        <f>_xlfn.XLOOKUP($A526,'[1]DATOS PBI Artículos'!A:A,'[1]DATOS PBI Artículos'!AV:AV)</f>
        <v>0</v>
      </c>
      <c r="L526" s="33">
        <f>_xlfn.XLOOKUP(A526,[1]MÁQUINAS!B:B,[1]MÁQUINAS!C:C)</f>
        <v>0</v>
      </c>
      <c r="M526" s="34">
        <f t="array" ref="M526">_xlfn.XLOOKUP(A526,'[1]DATOS PBI Artículos'!A:A,'[1]DATOS PBI Artículos'!AX:$AX)</f>
        <v>0</v>
      </c>
      <c r="N526" s="37" t="e">
        <f>IF(I526="DV",
E526,
IF(COUNTIF([1]CRITERIOS!$I$179:$I$199,$A526)&gt;=1,
_xlfn.XLOOKUP($A526,[1]CRITERIOS!$I$179:$I$199,[1]CRITERIOS!$J$179:$J$199),
IF(COUNTIF([1]CRITERIOS!$L$179:$L$199,$A526)&gt;=1,
_xlfn.CEILING.MATH(IF($M526&gt;$E526,
$E526,
IF($M526&lt;$E526/ROUNDDOWN([1]CRITERIOS!$M$16/_xlfn.XLOOKUP($C526,[1]CRITERIOS!$K$25:$K$42,[1]CRITERIOS!$M$25:$M$42),
1),
E526/ROUNDDOWN([1]CRITERIOS!$M$16/_xlfn.XLOOKUP($C526,[1]CRITERIOS!$K$25:$K$42,[1]CRITERIOS!$M$25:$M$42),
1),
$M526)),
_xlfn.XLOOKUP($A526,[1]CRITERIOS!$L$179:$L$200,[1]CRITERIOS!$M$179:$M$200)),
_xlfn.CEILING.MATH(IF($M526&gt;$E526,
$E526,
IF($M526&lt;$E526/ROUNDDOWN([1]CRITERIOS!$M$16/_xlfn.XLOOKUP($C526,[1]CRITERIOS!$K$25:$K$42,[1]CRITERIOS!$M$25:$M$42),
1),
E526/ROUNDDOWN([1]CRITERIOS!$M$16/_xlfn.XLOOKUP($C526,[1]CRITERIOS!$K$25:$K$42,[1]CRITERIOS!$M$25:$M$42),
1),
$M526)),_xlfn.XLOOKUP(A526,'[1]DATOS PBI Artículos'!A:A,'[1]DATOS PBI Artículos'!Z:Z
)))))</f>
        <v>#N/A</v>
      </c>
      <c r="Q526" s="38" t="e">
        <f>IF(AND(O526="",N526=0),
0,
   IF(COUNTIF([1]CRITERIOS!$F$179:$F$199,$A526)&gt;=1,
   1,
   IF(R526="MTO",
      $D526,
      ROUNDUP(
                    IF(($E526-SUMIF('[1]DATOS PBI Artículos'!A:A,A526,'[1]DATOS PBI Artículos'!X:X)+($V526-_xlfn.XLOOKUP(A526,'[1]DATOS PBI Artículos'!A:A,'[1]DATOS PBI Artículos'!W:W)))&lt;0,
                    0,
                    IF(($E526-SUMIF('[1]DATOS PBI Artículos'!A:A,A526,'[1]DATOS PBI Artículos'!X:X)+$V526-_xlfn.XLOOKUP($A526,'[1]DATOS PBI Artículos'!A:A,'[1]DATOS PBI Artículos'!W:W))/IF($O526="",$N526,$O526)&gt;ROUNDUP([1]CRITERIOS!$M$16/(IF(COUNTIF([1]CRITERIOS!$BG$11:$BG$201,L526)&gt;=1,_xlfn.XLOOKUP($C526,[1]CRITERIOS!$K$25:$K$42,[1]CRITERIOS!$M$25:$M$42),_xlfn.XLOOKUP($C526,[1]CRITERIOS!$K$25:$K$42,[1]CRITERIOS!$M$25:$M$42))),0),
                    ROUNDUP([1]CRITERIOS!$M$16/(IF(COUNTIF([1]CRITERIOS!$BG$11:$BG$201,$L526)&gt;=1,_xlfn.XLOOKUP($C526,[1]CRITERIOS!$K$25:$K$42,[1]CRITERIOS!$M$25:$M$42),_xlfn.XLOOKUP($C526,[1]CRITERIOS!$K$25:$K$42,[1]CRITERIOS!$M$25:$M$42))),0),
                    (E526+V526-SUMIF('[1]DATOS PBI Artículos'!A:A,A526,'[1]DATOS PBI Artículos'!X:X)-_xlfn.XLOOKUP(A526,'[1]DATOS PBI Artículos'!A:A,'[1]DATOS PBI Artículos'!W:W))/IF($O526="",$N526,$O526))),0))))</f>
        <v>#N/A</v>
      </c>
      <c r="R526" s="33" t="e">
        <f>IF(U526&lt;&gt;"",U526,IF(F526="DV","MTO",IF(N526=0,"MTO",_xlfn.XLOOKUP(CONCATENATE(S526,T526),[1]CRITERIOS!$K$160:$K$168,[1]CRITERIOS!$N$160:$N$168))))</f>
        <v>#N/A</v>
      </c>
      <c r="S526" s="33" t="e">
        <f>IF(G526="DV","MTO",IF(N526=0,"MTO",IF(OR(AND(N526=0,O526=""),IF(O526="",G526/N526,G526/O526)&gt;[1]CRITERIOS!$G$163),"MTO",IF(IF(O526="",G526/N526,G526/O526)&lt;[1]CRITERIOS!$H$161,"MTS","MTOS"))))</f>
        <v>#N/A</v>
      </c>
      <c r="T526" s="33" t="e">
        <f>IF(F526="DV","MTO",IF(OR(AND($N526=0,O526=""),$F526/$J526&gt;[1]CRITERIOS!$G$170,$F526="DV"),"MTO",IF($F526/$J526&lt;[1]CRITERIOS!$H$168,"MTS","MTOS")))</f>
        <v>#N/A</v>
      </c>
      <c r="V526" s="34" t="e">
        <f t="shared" si="25"/>
        <v>#N/A</v>
      </c>
      <c r="X526" s="34" t="e">
        <f t="shared" si="26"/>
        <v>#N/A</v>
      </c>
      <c r="Y526" s="34" t="e">
        <f t="shared" si="27"/>
        <v>#N/A</v>
      </c>
      <c r="Z526" s="34" t="e">
        <f>IF($R526="MTO",
0,
($H526+$K526*($E526/[1]CRITERIOS!$M$16))/[1]CRITERIOS!$X$48)</f>
        <v>#N/A</v>
      </c>
      <c r="AA526" s="34" t="e">
        <f>ROUNDUP(($Y526/_xlfn.XLOOKUP($A526,'[1]DATOS PBI Artículos'!$A$4:$A$4,'[1]DATOS PBI Artículos'!$Z$4:$Z$4))/_xlfn.XLOOKUP(_xlfn.XLOOKUP($A526,'[1]DATOS PBI Artículos'!$A$4:$A$4,'[1]DATOS PBI Artículos'!$Y$4:$Y$4),[1]CRITERIOS!$P$79:$P$123,[1]CRITERIOS!$S$79:$S$123,),0)</f>
        <v>#N/A</v>
      </c>
      <c r="AB526" s="33" t="e">
        <f t="array" ref="AB526">IF((E526+V526-_xlfn.XLOOKUP(A526,'[1]DATOS PBI Artículos'!$A$4:$A$4,'[1]DATOS PBI Artículos'!$W$4:$W$4))/N526&gt;ROUNDUP([1]CRITERIOS!$M$16/(IF(COUNTIF([1]CRITERIOS!$BG$11:$BG$201,L526)&gt;=1,_xlfn.XLOOKUP(ARTÍCULOS!L526,[1]CRITERIOS!$BG$11:$BG$201,[1]CRITERIOS!$BJ$11:$BJ$201),_xlfn.XLOOKUP(ARTÍCULOS!C526,[1]CRITERIOS!$K$25:$K$42,[1]CRITERIOS!$M$25:$M$42))),0),ROUNDUP([1]CRITERIOS!$M$16/(IF(COUNTIF([1]CRITERIOS!$BG$11:$BG$201,L526)&gt;=1,_xlfn.XLOOKUP(ARTÍCULOS!L526,[1]CRITERIOS!$BG$11:$BG$201:#REF!,[1]CRITERIOS!$BJ$11:$BJ$201),_xlfn.XLOOKUP(ARTÍCULOS!C526,[1]CRITERIOS!$K$25:$K$42,[1]CRITERIOS!$M$25:$M$42))),0),(E526+V526-_xlfn.XLOOKUP(A526,'[1]DATOS PBI Artículos'!$A$4:$A$4,'[1]DATOS PBI Artículos'!$W$4:$W$4))/N526)</f>
        <v>#N/A</v>
      </c>
      <c r="AC526" s="33" t="e">
        <f>IF(N526=0,"",(ROUNDUP((N526/2)/(_xlfn.XLOOKUP(A526,'[1]DATOS PBI Artículos'!$A$4:$A$4,'[1]DATOS PBI Artículos'!$Z$4:$Z$4)*_xlfn.XLOOKUP(_xlfn.XLOOKUP(A526,'[1]DATOS PBI Artículos'!$A$4:$A$4,'[1]DATOS PBI Artículos'!$Y$4:$Y$4),[1]CRITERIOS!$P$79:$P$123,[1]CRITERIOS!$S$79:$S$123)),0)*[1]CRITERIOS!$M$80*([1]CRITERIOS!$M$110/[1]CRITERIOS!$M$86)+(_xlfn.XLOOKUP(A526,'[1]DATOS PBI Artículos'!$A$4:$A$4,'[1]DATOS PBI Artículos'!$AA$4:$AA$4)*([1]CRITERIOS!$M$95+[1]CRITERIOS!$M$98)))/N526)</f>
        <v>#N/A</v>
      </c>
      <c r="AD526" s="33" t="e">
        <f>IF(N526=0,"",(ROUNDUP((N526/2)/(_xlfn.XLOOKUP(A526,'[1]DATOS PBI Artículos'!$A$4:$A$4,'[1]DATOS PBI Artículos'!$Z$4:$Z$4)*_xlfn.XLOOKUP(_xlfn.XLOOKUP(A526,'[1]DATOS PBI Artículos'!$A$4:$A$4,'[1]DATOS PBI Artículos'!$Y$4:$Y$4),[1]CRITERIOS!$P$79:$P$123,[1]CRITERIOS!$S$79:$S$123)),0)*[1]CRITERIOS!$M$80*([1]CRITERIOS!$M$89*[1]CRITERIOS!$M$92)+((_xlfn.XLOOKUP(A526,'[1]DATOS PBI Artículos'!$A$4:$A$4,'[1]DATOS PBI Artículos'!$AA$4:$AA$4)/2)*([1]CRITERIOS!$M$95+[1]CRITERIOS!$M$98)))/N526)</f>
        <v>#N/A</v>
      </c>
      <c r="AE526" s="39" t="e">
        <f>IF($R526="MTO","",
IF($H526=0,ROUNDUP(((_xlfn.XLOOKUP($A526,'[1]DATOS PBI Artículos'!$A:$A,'[1]DATOS PBI Artículos'!$AL:$AL))/(_xlfn.XLOOKUP($AF$1,[1]CRITERIOS!$S$16:$S$39,[1]CRITERIOS!$Y$16:$Y$39))*$J526+$Z526)/$G526,0)*$G526,
((_xlfn.XLOOKUP($A526,'[1]DATOS PBI Artículos'!$A:$A,'[1]DATOS PBI Artículos'!$AL:$AL))/(_xlfn.XLOOKUP($AF$1,[1]CRITERIOS!$S$16:$S$39,[1]CRITERIOS!$Y$16:$Y$39))*$J526+$Z526)))</f>
        <v>#N/A</v>
      </c>
      <c r="AG526" s="39" t="e">
        <f>IF($R526="MTO","",
IF($H526=0,ROUNDUP(((_xlfn.XLOOKUP($A526,'[1]DATOS PBI Artículos'!$A:$A,'[1]DATOS PBI Artículos'!$AM:$AM))/(_xlfn.XLOOKUP($AH$1,[1]CRITERIOS!$S$16:$S$39,[1]CRITERIOS!$Y$16:$Y$39))*$J526+$Z526)/$G526,0)*$G526,
((_xlfn.XLOOKUP($A526,'[1]DATOS PBI Artículos'!$A:$A,'[1]DATOS PBI Artículos'!$AM:$AM))/(_xlfn.XLOOKUP($AH$1,[1]CRITERIOS!$S$16:$S$39,[1]CRITERIOS!$Y$16:$Y$39))*$J526+$Z526)))</f>
        <v>#N/A</v>
      </c>
      <c r="AI526" s="39" t="e">
        <f>IF($R526="MTO","",
IF($H526=0,ROUNDUP(((_xlfn.XLOOKUP($A526,'[1]DATOS PBI Artículos'!$A:$A,'[1]DATOS PBI Artículos'!$AN:$AN))/(_xlfn.XLOOKUP($AJ$1,[1]CRITERIOS!$S$16:$S$39,[1]CRITERIOS!$Y$16:$Y$39))*$J526+$Z526)/$G526,0)*$G526,
((_xlfn.XLOOKUP($A526,'[1]DATOS PBI Artículos'!$A:$A,'[1]DATOS PBI Artículos'!$AN:$AN))/(_xlfn.XLOOKUP($AJ$1,[1]CRITERIOS!$S$16:$S$39,[1]CRITERIOS!$Y$16:$Y$39))*$J526+$Z526)))</f>
        <v>#N/A</v>
      </c>
      <c r="AK526" s="39" t="e">
        <f>IF($R526="MTO","",
IF($H526=0,ROUNDUP(((_xlfn.XLOOKUP($A526,'[1]DATOS PBI Artículos'!$A:$A,'[1]DATOS PBI Artículos'!$AO:$AO))/(_xlfn.XLOOKUP($AL$1,[1]CRITERIOS!$S$16:$S$39,[1]CRITERIOS!$Y$16:$Y$39))*$J526+$Z526)/$G526,0)*$G526,
((_xlfn.XLOOKUP($A526,'[1]DATOS PBI Artículos'!$A:$A,'[1]DATOS PBI Artículos'!$AO:$AO))/(_xlfn.XLOOKUP($AL$1,[1]CRITERIOS!$S$16:$S$39,[1]CRITERIOS!$Y$16:$Y$39))*$J526+$Z526)))</f>
        <v>#N/A</v>
      </c>
    </row>
    <row r="527" spans="1:37" ht="25.8" hidden="1" x14ac:dyDescent="0.4">
      <c r="A527" s="41"/>
      <c r="B527" s="33">
        <f>_xlfn.XLOOKUP($A527,'[1]DATOS PBI Artículos'!A:A,'[1]DATOS PBI Artículos'!B:B)</f>
        <v>0</v>
      </c>
      <c r="C527" s="33">
        <f>_xlfn.XLOOKUP($A527,'[1]DATOS PBI Artículos'!A:A,'[1]DATOS PBI Artículos'!C:C)</f>
        <v>0</v>
      </c>
      <c r="D527" s="33">
        <f>_xlfn.XLOOKUP(A527,'[1]DATOS PBI Artículos'!A:A,'[1]DATOS PBI Artículos'!T:T)</f>
        <v>0</v>
      </c>
      <c r="E527" s="34">
        <f>IF(_xlfn.XLOOKUP($A527,'[1]DATOS PBI Artículos'!A:A,'[1]DATOS PBI Artículos'!AK:AK)="",_xlfn.XLOOKUP($A527,'[1]DATOS PBI Artículos'!A:A,'[1]DATOS PBI Artículos'!AJ:AJ),_xlfn.XLOOKUP($A527,'[1]DATOS PBI Artículos'!A:A,'[1]DATOS PBI Artículos'!AK:AK))</f>
        <v>0</v>
      </c>
      <c r="F527" s="35">
        <f>_xlfn.XLOOKUP($A527,'[1]DATOS PBI Artículos'!A:A,'[1]DATOS PBI Artículos'!AP:AP)</f>
        <v>0</v>
      </c>
      <c r="G527" s="34">
        <f>_xlfn.XLOOKUP($A527,'[1]DATOS PBI Artículos'!A:A,'[1]DATOS PBI Artículos'!AR:AR)</f>
        <v>0</v>
      </c>
      <c r="H527" s="34">
        <f>_xlfn.XLOOKUP($A527,'[1]DATOS PBI Artículos'!A:A,'[1]DATOS PBI Artículos'!AT:AT)</f>
        <v>0</v>
      </c>
      <c r="I527" s="34">
        <f>_xlfn.XLOOKUP($A527,'[1]DATOS PBI Artículos'!A:A,'[1]DATOS PBI Artículos'!AS:AS)</f>
        <v>0</v>
      </c>
      <c r="J527" s="35">
        <f>IF(COUNTIF([1]CRITERIOS!$F$179:$F$199,$A527)&gt;=1,
 IF(O527&lt;&gt;"",
    (O527/_xlfn.XLOOKUP(CONCATENATE(A527,L527),[1]MÁQUINAS!A:A,[1]MÁQUINAS!D:D))/24,
    (N527/_xlfn.XLOOKUP(CONCATENATE(A527,L527),[1]MÁQUINAS!A:A,[1]MÁQUINAS!D:D))/24),
  _xlfn.XLOOKUP($A527,'[1]DATOS PBI Artículos'!A:A,'[1]DATOS PBI Artículos'!AU:AU))</f>
        <v>0</v>
      </c>
      <c r="K527" s="36">
        <f>_xlfn.XLOOKUP($A527,'[1]DATOS PBI Artículos'!A:A,'[1]DATOS PBI Artículos'!AV:AV)</f>
        <v>0</v>
      </c>
      <c r="L527" s="33">
        <f>_xlfn.XLOOKUP(A527,[1]MÁQUINAS!B:B,[1]MÁQUINAS!C:C)</f>
        <v>0</v>
      </c>
      <c r="M527" s="34">
        <f t="array" ref="M527">_xlfn.XLOOKUP(A527,'[1]DATOS PBI Artículos'!A:A,'[1]DATOS PBI Artículos'!AX:$AX)</f>
        <v>0</v>
      </c>
      <c r="N527" s="37" t="e">
        <f>IF(I527="DV",
E527,
IF(COUNTIF([1]CRITERIOS!$I$179:$I$199,$A527)&gt;=1,
_xlfn.XLOOKUP($A527,[1]CRITERIOS!$I$179:$I$199,[1]CRITERIOS!$J$179:$J$199),
IF(COUNTIF([1]CRITERIOS!$L$179:$L$199,$A527)&gt;=1,
_xlfn.CEILING.MATH(IF($M527&gt;$E527,
$E527,
IF($M527&lt;$E527/ROUNDDOWN([1]CRITERIOS!$M$16/_xlfn.XLOOKUP($C527,[1]CRITERIOS!$K$25:$K$42,[1]CRITERIOS!$M$25:$M$42),
1),
E527/ROUNDDOWN([1]CRITERIOS!$M$16/_xlfn.XLOOKUP($C527,[1]CRITERIOS!$K$25:$K$42,[1]CRITERIOS!$M$25:$M$42),
1),
$M527)),
_xlfn.XLOOKUP($A527,[1]CRITERIOS!$L$179:$L$200,[1]CRITERIOS!$M$179:$M$200)),
_xlfn.CEILING.MATH(IF($M527&gt;$E527,
$E527,
IF($M527&lt;$E527/ROUNDDOWN([1]CRITERIOS!$M$16/_xlfn.XLOOKUP($C527,[1]CRITERIOS!$K$25:$K$42,[1]CRITERIOS!$M$25:$M$42),
1),
E527/ROUNDDOWN([1]CRITERIOS!$M$16/_xlfn.XLOOKUP($C527,[1]CRITERIOS!$K$25:$K$42,[1]CRITERIOS!$M$25:$M$42),
1),
$M527)),_xlfn.XLOOKUP(A527,'[1]DATOS PBI Artículos'!A:A,'[1]DATOS PBI Artículos'!Z:Z
)))))</f>
        <v>#N/A</v>
      </c>
      <c r="Q527" s="38" t="e">
        <f>IF(AND(O527="",N527=0),
0,
   IF(COUNTIF([1]CRITERIOS!$F$179:$F$199,$A527)&gt;=1,
   1,
   IF(R527="MTO",
      $D527,
      ROUNDUP(
                    IF(($E527-SUMIF('[1]DATOS PBI Artículos'!A:A,A527,'[1]DATOS PBI Artículos'!X:X)+($V527-_xlfn.XLOOKUP(A527,'[1]DATOS PBI Artículos'!A:A,'[1]DATOS PBI Artículos'!W:W)))&lt;0,
                    0,
                    IF(($E527-SUMIF('[1]DATOS PBI Artículos'!A:A,A527,'[1]DATOS PBI Artículos'!X:X)+$V527-_xlfn.XLOOKUP($A527,'[1]DATOS PBI Artículos'!A:A,'[1]DATOS PBI Artículos'!W:W))/IF($O527="",$N527,$O527)&gt;ROUNDUP([1]CRITERIOS!$M$16/(IF(COUNTIF([1]CRITERIOS!$BG$11:$BG$201,L527)&gt;=1,_xlfn.XLOOKUP($C527,[1]CRITERIOS!$K$25:$K$42,[1]CRITERIOS!$M$25:$M$42),_xlfn.XLOOKUP($C527,[1]CRITERIOS!$K$25:$K$42,[1]CRITERIOS!$M$25:$M$42))),0),
                    ROUNDUP([1]CRITERIOS!$M$16/(IF(COUNTIF([1]CRITERIOS!$BG$11:$BG$201,$L527)&gt;=1,_xlfn.XLOOKUP($C527,[1]CRITERIOS!$K$25:$K$42,[1]CRITERIOS!$M$25:$M$42),_xlfn.XLOOKUP($C527,[1]CRITERIOS!$K$25:$K$42,[1]CRITERIOS!$M$25:$M$42))),0),
                    (E527+V527-SUMIF('[1]DATOS PBI Artículos'!A:A,A527,'[1]DATOS PBI Artículos'!X:X)-_xlfn.XLOOKUP(A527,'[1]DATOS PBI Artículos'!A:A,'[1]DATOS PBI Artículos'!W:W))/IF($O527="",$N527,$O527))),0))))</f>
        <v>#N/A</v>
      </c>
      <c r="R527" s="33" t="e">
        <f>IF(U527&lt;&gt;"",U527,IF(F527="DV","MTO",IF(N527=0,"MTO",_xlfn.XLOOKUP(CONCATENATE(S527,T527),[1]CRITERIOS!$K$160:$K$168,[1]CRITERIOS!$N$160:$N$168))))</f>
        <v>#N/A</v>
      </c>
      <c r="S527" s="33" t="e">
        <f>IF(G527="DV","MTO",IF(N527=0,"MTO",IF(OR(AND(N527=0,O527=""),IF(O527="",G527/N527,G527/O527)&gt;[1]CRITERIOS!$G$163),"MTO",IF(IF(O527="",G527/N527,G527/O527)&lt;[1]CRITERIOS!$H$161,"MTS","MTOS"))))</f>
        <v>#N/A</v>
      </c>
      <c r="T527" s="33" t="e">
        <f>IF(F527="DV","MTO",IF(OR(AND($N527=0,O527=""),$F527/$J527&gt;[1]CRITERIOS!$G$170,$F527="DV"),"MTO",IF($F527/$J527&lt;[1]CRITERIOS!$H$168,"MTS","MTOS")))</f>
        <v>#N/A</v>
      </c>
      <c r="V527" s="34" t="e">
        <f t="shared" si="25"/>
        <v>#N/A</v>
      </c>
      <c r="X527" s="34" t="e">
        <f t="shared" si="26"/>
        <v>#N/A</v>
      </c>
      <c r="Y527" s="34" t="e">
        <f t="shared" si="27"/>
        <v>#N/A</v>
      </c>
      <c r="Z527" s="34" t="e">
        <f>IF($R527="MTO",
0,
($H527+$K527*($E527/[1]CRITERIOS!$M$16))/[1]CRITERIOS!$X$48)</f>
        <v>#N/A</v>
      </c>
      <c r="AA527" s="34" t="e">
        <f>ROUNDUP(($Y527/_xlfn.XLOOKUP($A527,'[1]DATOS PBI Artículos'!$A$4:$A$4,'[1]DATOS PBI Artículos'!$Z$4:$Z$4))/_xlfn.XLOOKUP(_xlfn.XLOOKUP($A527,'[1]DATOS PBI Artículos'!$A$4:$A$4,'[1]DATOS PBI Artículos'!$Y$4:$Y$4),[1]CRITERIOS!$P$79:$P$123,[1]CRITERIOS!$S$79:$S$123,),0)</f>
        <v>#N/A</v>
      </c>
      <c r="AB527" s="33" t="e">
        <f t="array" ref="AB527">IF((E527+V527-_xlfn.XLOOKUP(A527,'[1]DATOS PBI Artículos'!$A$4:$A$4,'[1]DATOS PBI Artículos'!$W$4:$W$4))/N527&gt;ROUNDUP([1]CRITERIOS!$M$16/(IF(COUNTIF([1]CRITERIOS!$BG$11:$BG$201,L527)&gt;=1,_xlfn.XLOOKUP(ARTÍCULOS!L527,[1]CRITERIOS!$BG$11:$BG$201,[1]CRITERIOS!$BJ$11:$BJ$201),_xlfn.XLOOKUP(ARTÍCULOS!C527,[1]CRITERIOS!$K$25:$K$42,[1]CRITERIOS!$M$25:$M$42))),0),ROUNDUP([1]CRITERIOS!$M$16/(IF(COUNTIF([1]CRITERIOS!$BG$11:$BG$201,L527)&gt;=1,_xlfn.XLOOKUP(ARTÍCULOS!L527,[1]CRITERIOS!$BG$11:$BG$201:#REF!,[1]CRITERIOS!$BJ$11:$BJ$201),_xlfn.XLOOKUP(ARTÍCULOS!C527,[1]CRITERIOS!$K$25:$K$42,[1]CRITERIOS!$M$25:$M$42))),0),(E527+V527-_xlfn.XLOOKUP(A527,'[1]DATOS PBI Artículos'!$A$4:$A$4,'[1]DATOS PBI Artículos'!$W$4:$W$4))/N527)</f>
        <v>#N/A</v>
      </c>
      <c r="AC527" s="33" t="e">
        <f>IF(N527=0,"",(ROUNDUP((N527/2)/(_xlfn.XLOOKUP(A527,'[1]DATOS PBI Artículos'!$A$4:$A$4,'[1]DATOS PBI Artículos'!$Z$4:$Z$4)*_xlfn.XLOOKUP(_xlfn.XLOOKUP(A527,'[1]DATOS PBI Artículos'!$A$4:$A$4,'[1]DATOS PBI Artículos'!$Y$4:$Y$4),[1]CRITERIOS!$P$79:$P$123,[1]CRITERIOS!$S$79:$S$123)),0)*[1]CRITERIOS!$M$80*([1]CRITERIOS!$M$110/[1]CRITERIOS!$M$86)+(_xlfn.XLOOKUP(A527,'[1]DATOS PBI Artículos'!$A$4:$A$4,'[1]DATOS PBI Artículos'!$AA$4:$AA$4)*([1]CRITERIOS!$M$95+[1]CRITERIOS!$M$98)))/N527)</f>
        <v>#N/A</v>
      </c>
      <c r="AD527" s="33" t="e">
        <f>IF(N527=0,"",(ROUNDUP((N527/2)/(_xlfn.XLOOKUP(A527,'[1]DATOS PBI Artículos'!$A$4:$A$4,'[1]DATOS PBI Artículos'!$Z$4:$Z$4)*_xlfn.XLOOKUP(_xlfn.XLOOKUP(A527,'[1]DATOS PBI Artículos'!$A$4:$A$4,'[1]DATOS PBI Artículos'!$Y$4:$Y$4),[1]CRITERIOS!$P$79:$P$123,[1]CRITERIOS!$S$79:$S$123)),0)*[1]CRITERIOS!$M$80*([1]CRITERIOS!$M$89*[1]CRITERIOS!$M$92)+((_xlfn.XLOOKUP(A527,'[1]DATOS PBI Artículos'!$A$4:$A$4,'[1]DATOS PBI Artículos'!$AA$4:$AA$4)/2)*([1]CRITERIOS!$M$95+[1]CRITERIOS!$M$98)))/N527)</f>
        <v>#N/A</v>
      </c>
      <c r="AE527" s="39" t="e">
        <f>IF($R527="MTO","",
IF($H527=0,ROUNDUP(((_xlfn.XLOOKUP($A527,'[1]DATOS PBI Artículos'!$A:$A,'[1]DATOS PBI Artículos'!$AL:$AL))/(_xlfn.XLOOKUP($AF$1,[1]CRITERIOS!$S$16:$S$39,[1]CRITERIOS!$Y$16:$Y$39))*$J527+$Z527)/$G527,0)*$G527,
((_xlfn.XLOOKUP($A527,'[1]DATOS PBI Artículos'!$A:$A,'[1]DATOS PBI Artículos'!$AL:$AL))/(_xlfn.XLOOKUP($AF$1,[1]CRITERIOS!$S$16:$S$39,[1]CRITERIOS!$Y$16:$Y$39))*$J527+$Z527)))</f>
        <v>#N/A</v>
      </c>
      <c r="AG527" s="39" t="e">
        <f>IF($R527="MTO","",
IF($H527=0,ROUNDUP(((_xlfn.XLOOKUP($A527,'[1]DATOS PBI Artículos'!$A:$A,'[1]DATOS PBI Artículos'!$AM:$AM))/(_xlfn.XLOOKUP($AH$1,[1]CRITERIOS!$S$16:$S$39,[1]CRITERIOS!$Y$16:$Y$39))*$J527+$Z527)/$G527,0)*$G527,
((_xlfn.XLOOKUP($A527,'[1]DATOS PBI Artículos'!$A:$A,'[1]DATOS PBI Artículos'!$AM:$AM))/(_xlfn.XLOOKUP($AH$1,[1]CRITERIOS!$S$16:$S$39,[1]CRITERIOS!$Y$16:$Y$39))*$J527+$Z527)))</f>
        <v>#N/A</v>
      </c>
      <c r="AI527" s="39" t="e">
        <f>IF($R527="MTO","",
IF($H527=0,ROUNDUP(((_xlfn.XLOOKUP($A527,'[1]DATOS PBI Artículos'!$A:$A,'[1]DATOS PBI Artículos'!$AN:$AN))/(_xlfn.XLOOKUP($AJ$1,[1]CRITERIOS!$S$16:$S$39,[1]CRITERIOS!$Y$16:$Y$39))*$J527+$Z527)/$G527,0)*$G527,
((_xlfn.XLOOKUP($A527,'[1]DATOS PBI Artículos'!$A:$A,'[1]DATOS PBI Artículos'!$AN:$AN))/(_xlfn.XLOOKUP($AJ$1,[1]CRITERIOS!$S$16:$S$39,[1]CRITERIOS!$Y$16:$Y$39))*$J527+$Z527)))</f>
        <v>#N/A</v>
      </c>
      <c r="AK527" s="39" t="e">
        <f>IF($R527="MTO","",
IF($H527=0,ROUNDUP(((_xlfn.XLOOKUP($A527,'[1]DATOS PBI Artículos'!$A:$A,'[1]DATOS PBI Artículos'!$AO:$AO))/(_xlfn.XLOOKUP($AL$1,[1]CRITERIOS!$S$16:$S$39,[1]CRITERIOS!$Y$16:$Y$39))*$J527+$Z527)/$G527,0)*$G527,
((_xlfn.XLOOKUP($A527,'[1]DATOS PBI Artículos'!$A:$A,'[1]DATOS PBI Artículos'!$AO:$AO))/(_xlfn.XLOOKUP($AL$1,[1]CRITERIOS!$S$16:$S$39,[1]CRITERIOS!$Y$16:$Y$39))*$J527+$Z527)))</f>
        <v>#N/A</v>
      </c>
    </row>
    <row r="528" spans="1:37" ht="25.8" hidden="1" x14ac:dyDescent="0.4">
      <c r="A528" s="41"/>
      <c r="B528" s="33">
        <f>_xlfn.XLOOKUP($A528,'[1]DATOS PBI Artículos'!A:A,'[1]DATOS PBI Artículos'!B:B)</f>
        <v>0</v>
      </c>
      <c r="C528" s="33">
        <f>_xlfn.XLOOKUP($A528,'[1]DATOS PBI Artículos'!A:A,'[1]DATOS PBI Artículos'!C:C)</f>
        <v>0</v>
      </c>
      <c r="D528" s="33">
        <f>_xlfn.XLOOKUP(A528,'[1]DATOS PBI Artículos'!A:A,'[1]DATOS PBI Artículos'!T:T)</f>
        <v>0</v>
      </c>
      <c r="E528" s="34">
        <f>IF(_xlfn.XLOOKUP($A528,'[1]DATOS PBI Artículos'!A:A,'[1]DATOS PBI Artículos'!AK:AK)="",_xlfn.XLOOKUP($A528,'[1]DATOS PBI Artículos'!A:A,'[1]DATOS PBI Artículos'!AJ:AJ),_xlfn.XLOOKUP($A528,'[1]DATOS PBI Artículos'!A:A,'[1]DATOS PBI Artículos'!AK:AK))</f>
        <v>0</v>
      </c>
      <c r="F528" s="35">
        <f>_xlfn.XLOOKUP($A528,'[1]DATOS PBI Artículos'!A:A,'[1]DATOS PBI Artículos'!AP:AP)</f>
        <v>0</v>
      </c>
      <c r="G528" s="34">
        <f>_xlfn.XLOOKUP($A528,'[1]DATOS PBI Artículos'!A:A,'[1]DATOS PBI Artículos'!AR:AR)</f>
        <v>0</v>
      </c>
      <c r="H528" s="34">
        <f>_xlfn.XLOOKUP($A528,'[1]DATOS PBI Artículos'!A:A,'[1]DATOS PBI Artículos'!AT:AT)</f>
        <v>0</v>
      </c>
      <c r="I528" s="34">
        <f>_xlfn.XLOOKUP($A528,'[1]DATOS PBI Artículos'!A:A,'[1]DATOS PBI Artículos'!AS:AS)</f>
        <v>0</v>
      </c>
      <c r="J528" s="35">
        <f>IF(COUNTIF([1]CRITERIOS!$F$179:$F$199,$A528)&gt;=1,
 IF(O528&lt;&gt;"",
    (O528/_xlfn.XLOOKUP(CONCATENATE(A528,L528),[1]MÁQUINAS!A:A,[1]MÁQUINAS!D:D))/24,
    (N528/_xlfn.XLOOKUP(CONCATENATE(A528,L528),[1]MÁQUINAS!A:A,[1]MÁQUINAS!D:D))/24),
  _xlfn.XLOOKUP($A528,'[1]DATOS PBI Artículos'!A:A,'[1]DATOS PBI Artículos'!AU:AU))</f>
        <v>0</v>
      </c>
      <c r="K528" s="36">
        <f>_xlfn.XLOOKUP($A528,'[1]DATOS PBI Artículos'!A:A,'[1]DATOS PBI Artículos'!AV:AV)</f>
        <v>0</v>
      </c>
      <c r="L528" s="33">
        <f>_xlfn.XLOOKUP(A528,[1]MÁQUINAS!B:B,[1]MÁQUINAS!C:C)</f>
        <v>0</v>
      </c>
      <c r="M528" s="34">
        <f t="array" ref="M528">_xlfn.XLOOKUP(A528,'[1]DATOS PBI Artículos'!A:A,'[1]DATOS PBI Artículos'!AX:$AX)</f>
        <v>0</v>
      </c>
      <c r="N528" s="37" t="e">
        <f>IF(I528="DV",
E528,
IF(COUNTIF([1]CRITERIOS!$I$179:$I$199,$A528)&gt;=1,
_xlfn.XLOOKUP($A528,[1]CRITERIOS!$I$179:$I$199,[1]CRITERIOS!$J$179:$J$199),
IF(COUNTIF([1]CRITERIOS!$L$179:$L$199,$A528)&gt;=1,
_xlfn.CEILING.MATH(IF($M528&gt;$E528,
$E528,
IF($M528&lt;$E528/ROUNDDOWN([1]CRITERIOS!$M$16/_xlfn.XLOOKUP($C528,[1]CRITERIOS!$K$25:$K$42,[1]CRITERIOS!$M$25:$M$42),
1),
E528/ROUNDDOWN([1]CRITERIOS!$M$16/_xlfn.XLOOKUP($C528,[1]CRITERIOS!$K$25:$K$42,[1]CRITERIOS!$M$25:$M$42),
1),
$M528)),
_xlfn.XLOOKUP($A528,[1]CRITERIOS!$L$179:$L$200,[1]CRITERIOS!$M$179:$M$200)),
_xlfn.CEILING.MATH(IF($M528&gt;$E528,
$E528,
IF($M528&lt;$E528/ROUNDDOWN([1]CRITERIOS!$M$16/_xlfn.XLOOKUP($C528,[1]CRITERIOS!$K$25:$K$42,[1]CRITERIOS!$M$25:$M$42),
1),
E528/ROUNDDOWN([1]CRITERIOS!$M$16/_xlfn.XLOOKUP($C528,[1]CRITERIOS!$K$25:$K$42,[1]CRITERIOS!$M$25:$M$42),
1),
$M528)),_xlfn.XLOOKUP(A528,'[1]DATOS PBI Artículos'!A:A,'[1]DATOS PBI Artículos'!Z:Z
)))))</f>
        <v>#N/A</v>
      </c>
      <c r="Q528" s="38" t="e">
        <f>IF(AND(O528="",N528=0),
0,
   IF(COUNTIF([1]CRITERIOS!$F$179:$F$199,$A528)&gt;=1,
   1,
   IF(R528="MTO",
      $D528,
      ROUNDUP(
                    IF(($E528-SUMIF('[1]DATOS PBI Artículos'!A:A,A528,'[1]DATOS PBI Artículos'!X:X)+($V528-_xlfn.XLOOKUP(A528,'[1]DATOS PBI Artículos'!A:A,'[1]DATOS PBI Artículos'!W:W)))&lt;0,
                    0,
                    IF(($E528-SUMIF('[1]DATOS PBI Artículos'!A:A,A528,'[1]DATOS PBI Artículos'!X:X)+$V528-_xlfn.XLOOKUP($A528,'[1]DATOS PBI Artículos'!A:A,'[1]DATOS PBI Artículos'!W:W))/IF($O528="",$N528,$O528)&gt;ROUNDUP([1]CRITERIOS!$M$16/(IF(COUNTIF([1]CRITERIOS!$BG$11:$BG$201,L528)&gt;=1,_xlfn.XLOOKUP($C528,[1]CRITERIOS!$K$25:$K$42,[1]CRITERIOS!$M$25:$M$42),_xlfn.XLOOKUP($C528,[1]CRITERIOS!$K$25:$K$42,[1]CRITERIOS!$M$25:$M$42))),0),
                    ROUNDUP([1]CRITERIOS!$M$16/(IF(COUNTIF([1]CRITERIOS!$BG$11:$BG$201,$L528)&gt;=1,_xlfn.XLOOKUP($C528,[1]CRITERIOS!$K$25:$K$42,[1]CRITERIOS!$M$25:$M$42),_xlfn.XLOOKUP($C528,[1]CRITERIOS!$K$25:$K$42,[1]CRITERIOS!$M$25:$M$42))),0),
                    (E528+V528-SUMIF('[1]DATOS PBI Artículos'!A:A,A528,'[1]DATOS PBI Artículos'!X:X)-_xlfn.XLOOKUP(A528,'[1]DATOS PBI Artículos'!A:A,'[1]DATOS PBI Artículos'!W:W))/IF($O528="",$N528,$O528))),0))))</f>
        <v>#N/A</v>
      </c>
      <c r="R528" s="33" t="e">
        <f>IF(U528&lt;&gt;"",U528,IF(F528="DV","MTO",IF(N528=0,"MTO",_xlfn.XLOOKUP(CONCATENATE(S528,T528),[1]CRITERIOS!$K$160:$K$168,[1]CRITERIOS!$N$160:$N$168))))</f>
        <v>#N/A</v>
      </c>
      <c r="S528" s="33" t="e">
        <f>IF(G528="DV","MTO",IF(N528=0,"MTO",IF(OR(AND(N528=0,O528=""),IF(O528="",G528/N528,G528/O528)&gt;[1]CRITERIOS!$G$163),"MTO",IF(IF(O528="",G528/N528,G528/O528)&lt;[1]CRITERIOS!$H$161,"MTS","MTOS"))))</f>
        <v>#N/A</v>
      </c>
      <c r="T528" s="33" t="e">
        <f>IF(F528="DV","MTO",IF(OR(AND($N528=0,O528=""),$F528/$J528&gt;[1]CRITERIOS!$G$170,$F528="DV"),"MTO",IF($F528/$J528&lt;[1]CRITERIOS!$H$168,"MTS","MTOS")))</f>
        <v>#N/A</v>
      </c>
      <c r="V528" s="34" t="e">
        <f t="shared" si="25"/>
        <v>#N/A</v>
      </c>
      <c r="X528" s="34" t="e">
        <f t="shared" si="26"/>
        <v>#N/A</v>
      </c>
      <c r="Y528" s="34" t="e">
        <f t="shared" si="27"/>
        <v>#N/A</v>
      </c>
      <c r="Z528" s="34" t="e">
        <f>IF($R528="MTO",
0,
($H528+$K528*($E528/[1]CRITERIOS!$M$16))/[1]CRITERIOS!$X$48)</f>
        <v>#N/A</v>
      </c>
      <c r="AA528" s="34" t="e">
        <f>ROUNDUP(($Y528/_xlfn.XLOOKUP($A528,'[1]DATOS PBI Artículos'!$A$4:$A$4,'[1]DATOS PBI Artículos'!$Z$4:$Z$4))/_xlfn.XLOOKUP(_xlfn.XLOOKUP($A528,'[1]DATOS PBI Artículos'!$A$4:$A$4,'[1]DATOS PBI Artículos'!$Y$4:$Y$4),[1]CRITERIOS!$P$79:$P$123,[1]CRITERIOS!$S$79:$S$123,),0)</f>
        <v>#N/A</v>
      </c>
      <c r="AB528" s="33" t="e">
        <f t="array" ref="AB528">IF((E528+V528-_xlfn.XLOOKUP(A528,'[1]DATOS PBI Artículos'!$A$4:$A$4,'[1]DATOS PBI Artículos'!$W$4:$W$4))/N528&gt;ROUNDUP([1]CRITERIOS!$M$16/(IF(COUNTIF([1]CRITERIOS!$BG$11:$BG$201,L528)&gt;=1,_xlfn.XLOOKUP(ARTÍCULOS!L528,[1]CRITERIOS!$BG$11:$BG$201,[1]CRITERIOS!$BJ$11:$BJ$201),_xlfn.XLOOKUP(ARTÍCULOS!C528,[1]CRITERIOS!$K$25:$K$42,[1]CRITERIOS!$M$25:$M$42))),0),ROUNDUP([1]CRITERIOS!$M$16/(IF(COUNTIF([1]CRITERIOS!$BG$11:$BG$201,L528)&gt;=1,_xlfn.XLOOKUP(ARTÍCULOS!L528,[1]CRITERIOS!$BG$11:$BG$201:#REF!,[1]CRITERIOS!$BJ$11:$BJ$201),_xlfn.XLOOKUP(ARTÍCULOS!C528,[1]CRITERIOS!$K$25:$K$42,[1]CRITERIOS!$M$25:$M$42))),0),(E528+V528-_xlfn.XLOOKUP(A528,'[1]DATOS PBI Artículos'!$A$4:$A$4,'[1]DATOS PBI Artículos'!$W$4:$W$4))/N528)</f>
        <v>#N/A</v>
      </c>
      <c r="AC528" s="33" t="e">
        <f>IF(N528=0,"",(ROUNDUP((N528/2)/(_xlfn.XLOOKUP(A528,'[1]DATOS PBI Artículos'!$A$4:$A$4,'[1]DATOS PBI Artículos'!$Z$4:$Z$4)*_xlfn.XLOOKUP(_xlfn.XLOOKUP(A528,'[1]DATOS PBI Artículos'!$A$4:$A$4,'[1]DATOS PBI Artículos'!$Y$4:$Y$4),[1]CRITERIOS!$P$79:$P$123,[1]CRITERIOS!$S$79:$S$123)),0)*[1]CRITERIOS!$M$80*([1]CRITERIOS!$M$110/[1]CRITERIOS!$M$86)+(_xlfn.XLOOKUP(A528,'[1]DATOS PBI Artículos'!$A$4:$A$4,'[1]DATOS PBI Artículos'!$AA$4:$AA$4)*([1]CRITERIOS!$M$95+[1]CRITERIOS!$M$98)))/N528)</f>
        <v>#N/A</v>
      </c>
      <c r="AD528" s="33" t="e">
        <f>IF(N528=0,"",(ROUNDUP((N528/2)/(_xlfn.XLOOKUP(A528,'[1]DATOS PBI Artículos'!$A$4:$A$4,'[1]DATOS PBI Artículos'!$Z$4:$Z$4)*_xlfn.XLOOKUP(_xlfn.XLOOKUP(A528,'[1]DATOS PBI Artículos'!$A$4:$A$4,'[1]DATOS PBI Artículos'!$Y$4:$Y$4),[1]CRITERIOS!$P$79:$P$123,[1]CRITERIOS!$S$79:$S$123)),0)*[1]CRITERIOS!$M$80*([1]CRITERIOS!$M$89*[1]CRITERIOS!$M$92)+((_xlfn.XLOOKUP(A528,'[1]DATOS PBI Artículos'!$A$4:$A$4,'[1]DATOS PBI Artículos'!$AA$4:$AA$4)/2)*([1]CRITERIOS!$M$95+[1]CRITERIOS!$M$98)))/N528)</f>
        <v>#N/A</v>
      </c>
      <c r="AE528" s="39" t="e">
        <f>IF($R528="MTO","",
IF($H528=0,ROUNDUP(((_xlfn.XLOOKUP($A528,'[1]DATOS PBI Artículos'!$A:$A,'[1]DATOS PBI Artículos'!$AL:$AL))/(_xlfn.XLOOKUP($AF$1,[1]CRITERIOS!$S$16:$S$39,[1]CRITERIOS!$Y$16:$Y$39))*$J528+$Z528)/$G528,0)*$G528,
((_xlfn.XLOOKUP($A528,'[1]DATOS PBI Artículos'!$A:$A,'[1]DATOS PBI Artículos'!$AL:$AL))/(_xlfn.XLOOKUP($AF$1,[1]CRITERIOS!$S$16:$S$39,[1]CRITERIOS!$Y$16:$Y$39))*$J528+$Z528)))</f>
        <v>#N/A</v>
      </c>
      <c r="AG528" s="39" t="e">
        <f>IF($R528="MTO","",
IF($H528=0,ROUNDUP(((_xlfn.XLOOKUP($A528,'[1]DATOS PBI Artículos'!$A:$A,'[1]DATOS PBI Artículos'!$AM:$AM))/(_xlfn.XLOOKUP($AH$1,[1]CRITERIOS!$S$16:$S$39,[1]CRITERIOS!$Y$16:$Y$39))*$J528+$Z528)/$G528,0)*$G528,
((_xlfn.XLOOKUP($A528,'[1]DATOS PBI Artículos'!$A:$A,'[1]DATOS PBI Artículos'!$AM:$AM))/(_xlfn.XLOOKUP($AH$1,[1]CRITERIOS!$S$16:$S$39,[1]CRITERIOS!$Y$16:$Y$39))*$J528+$Z528)))</f>
        <v>#N/A</v>
      </c>
      <c r="AI528" s="39" t="e">
        <f>IF($R528="MTO","",
IF($H528=0,ROUNDUP(((_xlfn.XLOOKUP($A528,'[1]DATOS PBI Artículos'!$A:$A,'[1]DATOS PBI Artículos'!$AN:$AN))/(_xlfn.XLOOKUP($AJ$1,[1]CRITERIOS!$S$16:$S$39,[1]CRITERIOS!$Y$16:$Y$39))*$J528+$Z528)/$G528,0)*$G528,
((_xlfn.XLOOKUP($A528,'[1]DATOS PBI Artículos'!$A:$A,'[1]DATOS PBI Artículos'!$AN:$AN))/(_xlfn.XLOOKUP($AJ$1,[1]CRITERIOS!$S$16:$S$39,[1]CRITERIOS!$Y$16:$Y$39))*$J528+$Z528)))</f>
        <v>#N/A</v>
      </c>
      <c r="AK528" s="39" t="e">
        <f>IF($R528="MTO","",
IF($H528=0,ROUNDUP(((_xlfn.XLOOKUP($A528,'[1]DATOS PBI Artículos'!$A:$A,'[1]DATOS PBI Artículos'!$AO:$AO))/(_xlfn.XLOOKUP($AL$1,[1]CRITERIOS!$S$16:$S$39,[1]CRITERIOS!$Y$16:$Y$39))*$J528+$Z528)/$G528,0)*$G528,
((_xlfn.XLOOKUP($A528,'[1]DATOS PBI Artículos'!$A:$A,'[1]DATOS PBI Artículos'!$AO:$AO))/(_xlfn.XLOOKUP($AL$1,[1]CRITERIOS!$S$16:$S$39,[1]CRITERIOS!$Y$16:$Y$39))*$J528+$Z528)))</f>
        <v>#N/A</v>
      </c>
    </row>
    <row r="529" spans="1:37" ht="25.8" hidden="1" x14ac:dyDescent="0.4">
      <c r="A529" s="41"/>
      <c r="B529" s="33">
        <f>_xlfn.XLOOKUP($A529,'[1]DATOS PBI Artículos'!A:A,'[1]DATOS PBI Artículos'!B:B)</f>
        <v>0</v>
      </c>
      <c r="C529" s="33">
        <f>_xlfn.XLOOKUP($A529,'[1]DATOS PBI Artículos'!A:A,'[1]DATOS PBI Artículos'!C:C)</f>
        <v>0</v>
      </c>
      <c r="D529" s="33">
        <f>_xlfn.XLOOKUP(A529,'[1]DATOS PBI Artículos'!A:A,'[1]DATOS PBI Artículos'!T:T)</f>
        <v>0</v>
      </c>
      <c r="E529" s="34">
        <f>IF(_xlfn.XLOOKUP($A529,'[1]DATOS PBI Artículos'!A:A,'[1]DATOS PBI Artículos'!AK:AK)="",_xlfn.XLOOKUP($A529,'[1]DATOS PBI Artículos'!A:A,'[1]DATOS PBI Artículos'!AJ:AJ),_xlfn.XLOOKUP($A529,'[1]DATOS PBI Artículos'!A:A,'[1]DATOS PBI Artículos'!AK:AK))</f>
        <v>0</v>
      </c>
      <c r="F529" s="35">
        <f>_xlfn.XLOOKUP($A529,'[1]DATOS PBI Artículos'!A:A,'[1]DATOS PBI Artículos'!AP:AP)</f>
        <v>0</v>
      </c>
      <c r="G529" s="34">
        <f>_xlfn.XLOOKUP($A529,'[1]DATOS PBI Artículos'!A:A,'[1]DATOS PBI Artículos'!AR:AR)</f>
        <v>0</v>
      </c>
      <c r="H529" s="34">
        <f>_xlfn.XLOOKUP($A529,'[1]DATOS PBI Artículos'!A:A,'[1]DATOS PBI Artículos'!AT:AT)</f>
        <v>0</v>
      </c>
      <c r="I529" s="34">
        <f>_xlfn.XLOOKUP($A529,'[1]DATOS PBI Artículos'!A:A,'[1]DATOS PBI Artículos'!AS:AS)</f>
        <v>0</v>
      </c>
      <c r="J529" s="35">
        <f>IF(COUNTIF([1]CRITERIOS!$F$179:$F$199,$A529)&gt;=1,
 IF(O529&lt;&gt;"",
    (O529/_xlfn.XLOOKUP(CONCATENATE(A529,L529),[1]MÁQUINAS!A:A,[1]MÁQUINAS!D:D))/24,
    (N529/_xlfn.XLOOKUP(CONCATENATE(A529,L529),[1]MÁQUINAS!A:A,[1]MÁQUINAS!D:D))/24),
  _xlfn.XLOOKUP($A529,'[1]DATOS PBI Artículos'!A:A,'[1]DATOS PBI Artículos'!AU:AU))</f>
        <v>0</v>
      </c>
      <c r="K529" s="36">
        <f>_xlfn.XLOOKUP($A529,'[1]DATOS PBI Artículos'!A:A,'[1]DATOS PBI Artículos'!AV:AV)</f>
        <v>0</v>
      </c>
      <c r="L529" s="33">
        <f>_xlfn.XLOOKUP(A529,[1]MÁQUINAS!B:B,[1]MÁQUINAS!C:C)</f>
        <v>0</v>
      </c>
      <c r="M529" s="34">
        <f t="array" ref="M529">_xlfn.XLOOKUP(A529,'[1]DATOS PBI Artículos'!A:A,'[1]DATOS PBI Artículos'!AX:$AX)</f>
        <v>0</v>
      </c>
      <c r="N529" s="37" t="e">
        <f>IF(I529="DV",
E529,
IF(COUNTIF([1]CRITERIOS!$I$179:$I$199,$A529)&gt;=1,
_xlfn.XLOOKUP($A529,[1]CRITERIOS!$I$179:$I$199,[1]CRITERIOS!$J$179:$J$199),
IF(COUNTIF([1]CRITERIOS!$L$179:$L$199,$A529)&gt;=1,
_xlfn.CEILING.MATH(IF($M529&gt;$E529,
$E529,
IF($M529&lt;$E529/ROUNDDOWN([1]CRITERIOS!$M$16/_xlfn.XLOOKUP($C529,[1]CRITERIOS!$K$25:$K$42,[1]CRITERIOS!$M$25:$M$42),
1),
E529/ROUNDDOWN([1]CRITERIOS!$M$16/_xlfn.XLOOKUP($C529,[1]CRITERIOS!$K$25:$K$42,[1]CRITERIOS!$M$25:$M$42),
1),
$M529)),
_xlfn.XLOOKUP($A529,[1]CRITERIOS!$L$179:$L$200,[1]CRITERIOS!$M$179:$M$200)),
_xlfn.CEILING.MATH(IF($M529&gt;$E529,
$E529,
IF($M529&lt;$E529/ROUNDDOWN([1]CRITERIOS!$M$16/_xlfn.XLOOKUP($C529,[1]CRITERIOS!$K$25:$K$42,[1]CRITERIOS!$M$25:$M$42),
1),
E529/ROUNDDOWN([1]CRITERIOS!$M$16/_xlfn.XLOOKUP($C529,[1]CRITERIOS!$K$25:$K$42,[1]CRITERIOS!$M$25:$M$42),
1),
$M529)),_xlfn.XLOOKUP(A529,'[1]DATOS PBI Artículos'!A:A,'[1]DATOS PBI Artículos'!Z:Z
)))))</f>
        <v>#N/A</v>
      </c>
      <c r="Q529" s="38" t="e">
        <f>IF(AND(O529="",N529=0),
0,
   IF(COUNTIF([1]CRITERIOS!$F$179:$F$199,$A529)&gt;=1,
   1,
   IF(R529="MTO",
      $D529,
      ROUNDUP(
                    IF(($E529-SUMIF('[1]DATOS PBI Artículos'!A:A,A529,'[1]DATOS PBI Artículos'!X:X)+($V529-_xlfn.XLOOKUP(A529,'[1]DATOS PBI Artículos'!A:A,'[1]DATOS PBI Artículos'!W:W)))&lt;0,
                    0,
                    IF(($E529-SUMIF('[1]DATOS PBI Artículos'!A:A,A529,'[1]DATOS PBI Artículos'!X:X)+$V529-_xlfn.XLOOKUP($A529,'[1]DATOS PBI Artículos'!A:A,'[1]DATOS PBI Artículos'!W:W))/IF($O529="",$N529,$O529)&gt;ROUNDUP([1]CRITERIOS!$M$16/(IF(COUNTIF([1]CRITERIOS!$BG$11:$BG$201,L529)&gt;=1,_xlfn.XLOOKUP($C529,[1]CRITERIOS!$K$25:$K$42,[1]CRITERIOS!$M$25:$M$42),_xlfn.XLOOKUP($C529,[1]CRITERIOS!$K$25:$K$42,[1]CRITERIOS!$M$25:$M$42))),0),
                    ROUNDUP([1]CRITERIOS!$M$16/(IF(COUNTIF([1]CRITERIOS!$BG$11:$BG$201,$L529)&gt;=1,_xlfn.XLOOKUP($C529,[1]CRITERIOS!$K$25:$K$42,[1]CRITERIOS!$M$25:$M$42),_xlfn.XLOOKUP($C529,[1]CRITERIOS!$K$25:$K$42,[1]CRITERIOS!$M$25:$M$42))),0),
                    (E529+V529-SUMIF('[1]DATOS PBI Artículos'!A:A,A529,'[1]DATOS PBI Artículos'!X:X)-_xlfn.XLOOKUP(A529,'[1]DATOS PBI Artículos'!A:A,'[1]DATOS PBI Artículos'!W:W))/IF($O529="",$N529,$O529))),0))))</f>
        <v>#N/A</v>
      </c>
      <c r="R529" s="33" t="e">
        <f>IF(U529&lt;&gt;"",U529,IF(F529="DV","MTO",IF(N529=0,"MTO",_xlfn.XLOOKUP(CONCATENATE(S529,T529),[1]CRITERIOS!$K$160:$K$168,[1]CRITERIOS!$N$160:$N$168))))</f>
        <v>#N/A</v>
      </c>
      <c r="S529" s="33" t="e">
        <f>IF(G529="DV","MTO",IF(N529=0,"MTO",IF(OR(AND(N529=0,O529=""),IF(O529="",G529/N529,G529/O529)&gt;[1]CRITERIOS!$G$163),"MTO",IF(IF(O529="",G529/N529,G529/O529)&lt;[1]CRITERIOS!$H$161,"MTS","MTOS"))))</f>
        <v>#N/A</v>
      </c>
      <c r="T529" s="33" t="e">
        <f>IF(F529="DV","MTO",IF(OR(AND($N529=0,O529=""),$F529/$J529&gt;[1]CRITERIOS!$G$170,$F529="DV"),"MTO",IF($F529/$J529&lt;[1]CRITERIOS!$H$168,"MTS","MTOS")))</f>
        <v>#N/A</v>
      </c>
      <c r="V529" s="34" t="e">
        <f t="shared" si="25"/>
        <v>#N/A</v>
      </c>
      <c r="X529" s="34" t="e">
        <f t="shared" si="26"/>
        <v>#N/A</v>
      </c>
      <c r="Y529" s="34" t="e">
        <f t="shared" si="27"/>
        <v>#N/A</v>
      </c>
      <c r="Z529" s="34" t="e">
        <f>IF($R529="MTO",
0,
($H529+$K529*($E529/[1]CRITERIOS!$M$16))/[1]CRITERIOS!$X$48)</f>
        <v>#N/A</v>
      </c>
      <c r="AA529" s="34" t="e">
        <f>ROUNDUP(($Y529/_xlfn.XLOOKUP($A529,'[1]DATOS PBI Artículos'!$A$4:$A$4,'[1]DATOS PBI Artículos'!$Z$4:$Z$4))/_xlfn.XLOOKUP(_xlfn.XLOOKUP($A529,'[1]DATOS PBI Artículos'!$A$4:$A$4,'[1]DATOS PBI Artículos'!$Y$4:$Y$4),[1]CRITERIOS!$P$79:$P$123,[1]CRITERIOS!$S$79:$S$123,),0)</f>
        <v>#N/A</v>
      </c>
      <c r="AB529" s="33" t="e">
        <f t="array" ref="AB529">IF((E529+V529-_xlfn.XLOOKUP(A529,'[1]DATOS PBI Artículos'!$A$4:$A$4,'[1]DATOS PBI Artículos'!$W$4:$W$4))/N529&gt;ROUNDUP([1]CRITERIOS!$M$16/(IF(COUNTIF([1]CRITERIOS!$BG$11:$BG$201,L529)&gt;=1,_xlfn.XLOOKUP(ARTÍCULOS!L529,[1]CRITERIOS!$BG$11:$BG$201,[1]CRITERIOS!$BJ$11:$BJ$201),_xlfn.XLOOKUP(ARTÍCULOS!C529,[1]CRITERIOS!$K$25:$K$42,[1]CRITERIOS!$M$25:$M$42))),0),ROUNDUP([1]CRITERIOS!$M$16/(IF(COUNTIF([1]CRITERIOS!$BG$11:$BG$201,L529)&gt;=1,_xlfn.XLOOKUP(ARTÍCULOS!L529,[1]CRITERIOS!$BG$11:$BG$201:#REF!,[1]CRITERIOS!$BJ$11:$BJ$201),_xlfn.XLOOKUP(ARTÍCULOS!C529,[1]CRITERIOS!$K$25:$K$42,[1]CRITERIOS!$M$25:$M$42))),0),(E529+V529-_xlfn.XLOOKUP(A529,'[1]DATOS PBI Artículos'!$A$4:$A$4,'[1]DATOS PBI Artículos'!$W$4:$W$4))/N529)</f>
        <v>#N/A</v>
      </c>
      <c r="AC529" s="33" t="e">
        <f>IF(N529=0,"",(ROUNDUP((N529/2)/(_xlfn.XLOOKUP(A529,'[1]DATOS PBI Artículos'!$A$4:$A$4,'[1]DATOS PBI Artículos'!$Z$4:$Z$4)*_xlfn.XLOOKUP(_xlfn.XLOOKUP(A529,'[1]DATOS PBI Artículos'!$A$4:$A$4,'[1]DATOS PBI Artículos'!$Y$4:$Y$4),[1]CRITERIOS!$P$79:$P$123,[1]CRITERIOS!$S$79:$S$123)),0)*[1]CRITERIOS!$M$80*([1]CRITERIOS!$M$110/[1]CRITERIOS!$M$86)+(_xlfn.XLOOKUP(A529,'[1]DATOS PBI Artículos'!$A$4:$A$4,'[1]DATOS PBI Artículos'!$AA$4:$AA$4)*([1]CRITERIOS!$M$95+[1]CRITERIOS!$M$98)))/N529)</f>
        <v>#N/A</v>
      </c>
      <c r="AD529" s="33" t="e">
        <f>IF(N529=0,"",(ROUNDUP((N529/2)/(_xlfn.XLOOKUP(A529,'[1]DATOS PBI Artículos'!$A$4:$A$4,'[1]DATOS PBI Artículos'!$Z$4:$Z$4)*_xlfn.XLOOKUP(_xlfn.XLOOKUP(A529,'[1]DATOS PBI Artículos'!$A$4:$A$4,'[1]DATOS PBI Artículos'!$Y$4:$Y$4),[1]CRITERIOS!$P$79:$P$123,[1]CRITERIOS!$S$79:$S$123)),0)*[1]CRITERIOS!$M$80*([1]CRITERIOS!$M$89*[1]CRITERIOS!$M$92)+((_xlfn.XLOOKUP(A529,'[1]DATOS PBI Artículos'!$A$4:$A$4,'[1]DATOS PBI Artículos'!$AA$4:$AA$4)/2)*([1]CRITERIOS!$M$95+[1]CRITERIOS!$M$98)))/N529)</f>
        <v>#N/A</v>
      </c>
      <c r="AE529" s="39" t="e">
        <f>IF($R529="MTO","",
IF($H529=0,ROUNDUP(((_xlfn.XLOOKUP($A529,'[1]DATOS PBI Artículos'!$A:$A,'[1]DATOS PBI Artículos'!$AL:$AL))/(_xlfn.XLOOKUP($AF$1,[1]CRITERIOS!$S$16:$S$39,[1]CRITERIOS!$Y$16:$Y$39))*$J529+$Z529)/$G529,0)*$G529,
((_xlfn.XLOOKUP($A529,'[1]DATOS PBI Artículos'!$A:$A,'[1]DATOS PBI Artículos'!$AL:$AL))/(_xlfn.XLOOKUP($AF$1,[1]CRITERIOS!$S$16:$S$39,[1]CRITERIOS!$Y$16:$Y$39))*$J529+$Z529)))</f>
        <v>#N/A</v>
      </c>
      <c r="AG529" s="39" t="e">
        <f>IF($R529="MTO","",
IF($H529=0,ROUNDUP(((_xlfn.XLOOKUP($A529,'[1]DATOS PBI Artículos'!$A:$A,'[1]DATOS PBI Artículos'!$AM:$AM))/(_xlfn.XLOOKUP($AH$1,[1]CRITERIOS!$S$16:$S$39,[1]CRITERIOS!$Y$16:$Y$39))*$J529+$Z529)/$G529,0)*$G529,
((_xlfn.XLOOKUP($A529,'[1]DATOS PBI Artículos'!$A:$A,'[1]DATOS PBI Artículos'!$AM:$AM))/(_xlfn.XLOOKUP($AH$1,[1]CRITERIOS!$S$16:$S$39,[1]CRITERIOS!$Y$16:$Y$39))*$J529+$Z529)))</f>
        <v>#N/A</v>
      </c>
      <c r="AI529" s="39" t="e">
        <f>IF($R529="MTO","",
IF($H529=0,ROUNDUP(((_xlfn.XLOOKUP($A529,'[1]DATOS PBI Artículos'!$A:$A,'[1]DATOS PBI Artículos'!$AN:$AN))/(_xlfn.XLOOKUP($AJ$1,[1]CRITERIOS!$S$16:$S$39,[1]CRITERIOS!$Y$16:$Y$39))*$J529+$Z529)/$G529,0)*$G529,
((_xlfn.XLOOKUP($A529,'[1]DATOS PBI Artículos'!$A:$A,'[1]DATOS PBI Artículos'!$AN:$AN))/(_xlfn.XLOOKUP($AJ$1,[1]CRITERIOS!$S$16:$S$39,[1]CRITERIOS!$Y$16:$Y$39))*$J529+$Z529)))</f>
        <v>#N/A</v>
      </c>
      <c r="AK529" s="39" t="e">
        <f>IF($R529="MTO","",
IF($H529=0,ROUNDUP(((_xlfn.XLOOKUP($A529,'[1]DATOS PBI Artículos'!$A:$A,'[1]DATOS PBI Artículos'!$AO:$AO))/(_xlfn.XLOOKUP($AL$1,[1]CRITERIOS!$S$16:$S$39,[1]CRITERIOS!$Y$16:$Y$39))*$J529+$Z529)/$G529,0)*$G529,
((_xlfn.XLOOKUP($A529,'[1]DATOS PBI Artículos'!$A:$A,'[1]DATOS PBI Artículos'!$AO:$AO))/(_xlfn.XLOOKUP($AL$1,[1]CRITERIOS!$S$16:$S$39,[1]CRITERIOS!$Y$16:$Y$39))*$J529+$Z529)))</f>
        <v>#N/A</v>
      </c>
    </row>
    <row r="530" spans="1:37" ht="25.8" hidden="1" x14ac:dyDescent="0.4">
      <c r="A530" s="41"/>
      <c r="B530" s="33">
        <f>_xlfn.XLOOKUP($A530,'[1]DATOS PBI Artículos'!A:A,'[1]DATOS PBI Artículos'!B:B)</f>
        <v>0</v>
      </c>
      <c r="C530" s="33">
        <f>_xlfn.XLOOKUP($A530,'[1]DATOS PBI Artículos'!A:A,'[1]DATOS PBI Artículos'!C:C)</f>
        <v>0</v>
      </c>
      <c r="D530" s="33">
        <f>_xlfn.XLOOKUP(A530,'[1]DATOS PBI Artículos'!A:A,'[1]DATOS PBI Artículos'!T:T)</f>
        <v>0</v>
      </c>
      <c r="E530" s="34">
        <f>IF(_xlfn.XLOOKUP($A530,'[1]DATOS PBI Artículos'!A:A,'[1]DATOS PBI Artículos'!AK:AK)="",_xlfn.XLOOKUP($A530,'[1]DATOS PBI Artículos'!A:A,'[1]DATOS PBI Artículos'!AJ:AJ),_xlfn.XLOOKUP($A530,'[1]DATOS PBI Artículos'!A:A,'[1]DATOS PBI Artículos'!AK:AK))</f>
        <v>0</v>
      </c>
      <c r="F530" s="35">
        <f>_xlfn.XLOOKUP($A530,'[1]DATOS PBI Artículos'!A:A,'[1]DATOS PBI Artículos'!AP:AP)</f>
        <v>0</v>
      </c>
      <c r="G530" s="34">
        <f>_xlfn.XLOOKUP($A530,'[1]DATOS PBI Artículos'!A:A,'[1]DATOS PBI Artículos'!AR:AR)</f>
        <v>0</v>
      </c>
      <c r="H530" s="34">
        <f>_xlfn.XLOOKUP($A530,'[1]DATOS PBI Artículos'!A:A,'[1]DATOS PBI Artículos'!AT:AT)</f>
        <v>0</v>
      </c>
      <c r="I530" s="34">
        <f>_xlfn.XLOOKUP($A530,'[1]DATOS PBI Artículos'!A:A,'[1]DATOS PBI Artículos'!AS:AS)</f>
        <v>0</v>
      </c>
      <c r="J530" s="35">
        <f>IF(COUNTIF([1]CRITERIOS!$F$179:$F$199,$A530)&gt;=1,
 IF(O530&lt;&gt;"",
    (O530/_xlfn.XLOOKUP(CONCATENATE(A530,L530),[1]MÁQUINAS!A:A,[1]MÁQUINAS!D:D))/24,
    (N530/_xlfn.XLOOKUP(CONCATENATE(A530,L530),[1]MÁQUINAS!A:A,[1]MÁQUINAS!D:D))/24),
  _xlfn.XLOOKUP($A530,'[1]DATOS PBI Artículos'!A:A,'[1]DATOS PBI Artículos'!AU:AU))</f>
        <v>0</v>
      </c>
      <c r="K530" s="36">
        <f>_xlfn.XLOOKUP($A530,'[1]DATOS PBI Artículos'!A:A,'[1]DATOS PBI Artículos'!AV:AV)</f>
        <v>0</v>
      </c>
      <c r="L530" s="33">
        <f>_xlfn.XLOOKUP(A530,[1]MÁQUINAS!B:B,[1]MÁQUINAS!C:C)</f>
        <v>0</v>
      </c>
      <c r="M530" s="34">
        <f t="array" ref="M530">_xlfn.XLOOKUP(A530,'[1]DATOS PBI Artículos'!A:A,'[1]DATOS PBI Artículos'!AX:$AX)</f>
        <v>0</v>
      </c>
      <c r="N530" s="37" t="e">
        <f>IF(I530="DV",
E530,
IF(COUNTIF([1]CRITERIOS!$I$179:$I$199,$A530)&gt;=1,
_xlfn.XLOOKUP($A530,[1]CRITERIOS!$I$179:$I$199,[1]CRITERIOS!$J$179:$J$199),
IF(COUNTIF([1]CRITERIOS!$L$179:$L$199,$A530)&gt;=1,
_xlfn.CEILING.MATH(IF($M530&gt;$E530,
$E530,
IF($M530&lt;$E530/ROUNDDOWN([1]CRITERIOS!$M$16/_xlfn.XLOOKUP($C530,[1]CRITERIOS!$K$25:$K$42,[1]CRITERIOS!$M$25:$M$42),
1),
E530/ROUNDDOWN([1]CRITERIOS!$M$16/_xlfn.XLOOKUP($C530,[1]CRITERIOS!$K$25:$K$42,[1]CRITERIOS!$M$25:$M$42),
1),
$M530)),
_xlfn.XLOOKUP($A530,[1]CRITERIOS!$L$179:$L$200,[1]CRITERIOS!$M$179:$M$200)),
_xlfn.CEILING.MATH(IF($M530&gt;$E530,
$E530,
IF($M530&lt;$E530/ROUNDDOWN([1]CRITERIOS!$M$16/_xlfn.XLOOKUP($C530,[1]CRITERIOS!$K$25:$K$42,[1]CRITERIOS!$M$25:$M$42),
1),
E530/ROUNDDOWN([1]CRITERIOS!$M$16/_xlfn.XLOOKUP($C530,[1]CRITERIOS!$K$25:$K$42,[1]CRITERIOS!$M$25:$M$42),
1),
$M530)),_xlfn.XLOOKUP(A530,'[1]DATOS PBI Artículos'!A:A,'[1]DATOS PBI Artículos'!Z:Z
)))))</f>
        <v>#N/A</v>
      </c>
      <c r="Q530" s="38" t="e">
        <f>IF(AND(O530="",N530=0),
0,
   IF(COUNTIF([1]CRITERIOS!$F$179:$F$199,$A530)&gt;=1,
   1,
   IF(R530="MTO",
      $D530,
      ROUNDUP(
                    IF(($E530-SUMIF('[1]DATOS PBI Artículos'!A:A,A530,'[1]DATOS PBI Artículos'!X:X)+($V530-_xlfn.XLOOKUP(A530,'[1]DATOS PBI Artículos'!A:A,'[1]DATOS PBI Artículos'!W:W)))&lt;0,
                    0,
                    IF(($E530-SUMIF('[1]DATOS PBI Artículos'!A:A,A530,'[1]DATOS PBI Artículos'!X:X)+$V530-_xlfn.XLOOKUP($A530,'[1]DATOS PBI Artículos'!A:A,'[1]DATOS PBI Artículos'!W:W))/IF($O530="",$N530,$O530)&gt;ROUNDUP([1]CRITERIOS!$M$16/(IF(COUNTIF([1]CRITERIOS!$BG$11:$BG$201,L530)&gt;=1,_xlfn.XLOOKUP($C530,[1]CRITERIOS!$K$25:$K$42,[1]CRITERIOS!$M$25:$M$42),_xlfn.XLOOKUP($C530,[1]CRITERIOS!$K$25:$K$42,[1]CRITERIOS!$M$25:$M$42))),0),
                    ROUNDUP([1]CRITERIOS!$M$16/(IF(COUNTIF([1]CRITERIOS!$BG$11:$BG$201,$L530)&gt;=1,_xlfn.XLOOKUP($C530,[1]CRITERIOS!$K$25:$K$42,[1]CRITERIOS!$M$25:$M$42),_xlfn.XLOOKUP($C530,[1]CRITERIOS!$K$25:$K$42,[1]CRITERIOS!$M$25:$M$42))),0),
                    (E530+V530-SUMIF('[1]DATOS PBI Artículos'!A:A,A530,'[1]DATOS PBI Artículos'!X:X)-_xlfn.XLOOKUP(A530,'[1]DATOS PBI Artículos'!A:A,'[1]DATOS PBI Artículos'!W:W))/IF($O530="",$N530,$O530))),0))))</f>
        <v>#N/A</v>
      </c>
      <c r="R530" s="33" t="e">
        <f>IF(U530&lt;&gt;"",U530,IF(F530="DV","MTO",IF(N530=0,"MTO",_xlfn.XLOOKUP(CONCATENATE(S530,T530),[1]CRITERIOS!$K$160:$K$168,[1]CRITERIOS!$N$160:$N$168))))</f>
        <v>#N/A</v>
      </c>
      <c r="S530" s="33" t="e">
        <f>IF(G530="DV","MTO",IF(N530=0,"MTO",IF(OR(AND(N530=0,O530=""),IF(O530="",G530/N530,G530/O530)&gt;[1]CRITERIOS!$G$163),"MTO",IF(IF(O530="",G530/N530,G530/O530)&lt;[1]CRITERIOS!$H$161,"MTS","MTOS"))))</f>
        <v>#N/A</v>
      </c>
      <c r="T530" s="33" t="e">
        <f>IF(F530="DV","MTO",IF(OR(AND($N530=0,O530=""),$F530/$J530&gt;[1]CRITERIOS!$G$170,$F530="DV"),"MTO",IF($F530/$J530&lt;[1]CRITERIOS!$H$168,"MTS","MTOS")))</f>
        <v>#N/A</v>
      </c>
      <c r="V530" s="34" t="e">
        <f t="shared" si="25"/>
        <v>#N/A</v>
      </c>
      <c r="X530" s="34" t="e">
        <f t="shared" si="26"/>
        <v>#N/A</v>
      </c>
      <c r="Y530" s="34" t="e">
        <f t="shared" si="27"/>
        <v>#N/A</v>
      </c>
      <c r="Z530" s="34" t="e">
        <f>IF($R530="MTO",
0,
($H530+$K530*($E530/[1]CRITERIOS!$M$16))/[1]CRITERIOS!$X$48)</f>
        <v>#N/A</v>
      </c>
      <c r="AA530" s="34" t="e">
        <f>ROUNDUP(($Y530/_xlfn.XLOOKUP($A530,'[1]DATOS PBI Artículos'!$A$4:$A$4,'[1]DATOS PBI Artículos'!$Z$4:$Z$4))/_xlfn.XLOOKUP(_xlfn.XLOOKUP($A530,'[1]DATOS PBI Artículos'!$A$4:$A$4,'[1]DATOS PBI Artículos'!$Y$4:$Y$4),[1]CRITERIOS!$P$79:$P$123,[1]CRITERIOS!$S$79:$S$123,),0)</f>
        <v>#N/A</v>
      </c>
      <c r="AB530" s="33" t="e">
        <f t="array" ref="AB530">IF((E530+V530-_xlfn.XLOOKUP(A530,'[1]DATOS PBI Artículos'!$A$4:$A$4,'[1]DATOS PBI Artículos'!$W$4:$W$4))/N530&gt;ROUNDUP([1]CRITERIOS!$M$16/(IF(COUNTIF([1]CRITERIOS!$BG$11:$BG$201,L530)&gt;=1,_xlfn.XLOOKUP(ARTÍCULOS!L530,[1]CRITERIOS!$BG$11:$BG$201,[1]CRITERIOS!$BJ$11:$BJ$201),_xlfn.XLOOKUP(ARTÍCULOS!C530,[1]CRITERIOS!$K$25:$K$42,[1]CRITERIOS!$M$25:$M$42))),0),ROUNDUP([1]CRITERIOS!$M$16/(IF(COUNTIF([1]CRITERIOS!$BG$11:$BG$201,L530)&gt;=1,_xlfn.XLOOKUP(ARTÍCULOS!L530,[1]CRITERIOS!$BG$11:$BG$201:#REF!,[1]CRITERIOS!$BJ$11:$BJ$201),_xlfn.XLOOKUP(ARTÍCULOS!C530,[1]CRITERIOS!$K$25:$K$42,[1]CRITERIOS!$M$25:$M$42))),0),(E530+V530-_xlfn.XLOOKUP(A530,'[1]DATOS PBI Artículos'!$A$4:$A$4,'[1]DATOS PBI Artículos'!$W$4:$W$4))/N530)</f>
        <v>#N/A</v>
      </c>
      <c r="AC530" s="33" t="e">
        <f>IF(N530=0,"",(ROUNDUP((N530/2)/(_xlfn.XLOOKUP(A530,'[1]DATOS PBI Artículos'!$A$4:$A$4,'[1]DATOS PBI Artículos'!$Z$4:$Z$4)*_xlfn.XLOOKUP(_xlfn.XLOOKUP(A530,'[1]DATOS PBI Artículos'!$A$4:$A$4,'[1]DATOS PBI Artículos'!$Y$4:$Y$4),[1]CRITERIOS!$P$79:$P$123,[1]CRITERIOS!$S$79:$S$123)),0)*[1]CRITERIOS!$M$80*([1]CRITERIOS!$M$110/[1]CRITERIOS!$M$86)+(_xlfn.XLOOKUP(A530,'[1]DATOS PBI Artículos'!$A$4:$A$4,'[1]DATOS PBI Artículos'!$AA$4:$AA$4)*([1]CRITERIOS!$M$95+[1]CRITERIOS!$M$98)))/N530)</f>
        <v>#N/A</v>
      </c>
      <c r="AD530" s="33" t="e">
        <f>IF(N530=0,"",(ROUNDUP((N530/2)/(_xlfn.XLOOKUP(A530,'[1]DATOS PBI Artículos'!$A$4:$A$4,'[1]DATOS PBI Artículos'!$Z$4:$Z$4)*_xlfn.XLOOKUP(_xlfn.XLOOKUP(A530,'[1]DATOS PBI Artículos'!$A$4:$A$4,'[1]DATOS PBI Artículos'!$Y$4:$Y$4),[1]CRITERIOS!$P$79:$P$123,[1]CRITERIOS!$S$79:$S$123)),0)*[1]CRITERIOS!$M$80*([1]CRITERIOS!$M$89*[1]CRITERIOS!$M$92)+((_xlfn.XLOOKUP(A530,'[1]DATOS PBI Artículos'!$A$4:$A$4,'[1]DATOS PBI Artículos'!$AA$4:$AA$4)/2)*([1]CRITERIOS!$M$95+[1]CRITERIOS!$M$98)))/N530)</f>
        <v>#N/A</v>
      </c>
      <c r="AE530" s="39" t="e">
        <f>IF($R530="MTO","",
IF($H530=0,ROUNDUP(((_xlfn.XLOOKUP($A530,'[1]DATOS PBI Artículos'!$A:$A,'[1]DATOS PBI Artículos'!$AL:$AL))/(_xlfn.XLOOKUP($AF$1,[1]CRITERIOS!$S$16:$S$39,[1]CRITERIOS!$Y$16:$Y$39))*$J530+$Z530)/$G530,0)*$G530,
((_xlfn.XLOOKUP($A530,'[1]DATOS PBI Artículos'!$A:$A,'[1]DATOS PBI Artículos'!$AL:$AL))/(_xlfn.XLOOKUP($AF$1,[1]CRITERIOS!$S$16:$S$39,[1]CRITERIOS!$Y$16:$Y$39))*$J530+$Z530)))</f>
        <v>#N/A</v>
      </c>
      <c r="AG530" s="39" t="e">
        <f>IF($R530="MTO","",
IF($H530=0,ROUNDUP(((_xlfn.XLOOKUP($A530,'[1]DATOS PBI Artículos'!$A:$A,'[1]DATOS PBI Artículos'!$AM:$AM))/(_xlfn.XLOOKUP($AH$1,[1]CRITERIOS!$S$16:$S$39,[1]CRITERIOS!$Y$16:$Y$39))*$J530+$Z530)/$G530,0)*$G530,
((_xlfn.XLOOKUP($A530,'[1]DATOS PBI Artículos'!$A:$A,'[1]DATOS PBI Artículos'!$AM:$AM))/(_xlfn.XLOOKUP($AH$1,[1]CRITERIOS!$S$16:$S$39,[1]CRITERIOS!$Y$16:$Y$39))*$J530+$Z530)))</f>
        <v>#N/A</v>
      </c>
      <c r="AI530" s="39" t="e">
        <f>IF($R530="MTO","",
IF($H530=0,ROUNDUP(((_xlfn.XLOOKUP($A530,'[1]DATOS PBI Artículos'!$A:$A,'[1]DATOS PBI Artículos'!$AN:$AN))/(_xlfn.XLOOKUP($AJ$1,[1]CRITERIOS!$S$16:$S$39,[1]CRITERIOS!$Y$16:$Y$39))*$J530+$Z530)/$G530,0)*$G530,
((_xlfn.XLOOKUP($A530,'[1]DATOS PBI Artículos'!$A:$A,'[1]DATOS PBI Artículos'!$AN:$AN))/(_xlfn.XLOOKUP($AJ$1,[1]CRITERIOS!$S$16:$S$39,[1]CRITERIOS!$Y$16:$Y$39))*$J530+$Z530)))</f>
        <v>#N/A</v>
      </c>
      <c r="AK530" s="39" t="e">
        <f>IF($R530="MTO","",
IF($H530=0,ROUNDUP(((_xlfn.XLOOKUP($A530,'[1]DATOS PBI Artículos'!$A:$A,'[1]DATOS PBI Artículos'!$AO:$AO))/(_xlfn.XLOOKUP($AL$1,[1]CRITERIOS!$S$16:$S$39,[1]CRITERIOS!$Y$16:$Y$39))*$J530+$Z530)/$G530,0)*$G530,
((_xlfn.XLOOKUP($A530,'[1]DATOS PBI Artículos'!$A:$A,'[1]DATOS PBI Artículos'!$AO:$AO))/(_xlfn.XLOOKUP($AL$1,[1]CRITERIOS!$S$16:$S$39,[1]CRITERIOS!$Y$16:$Y$39))*$J530+$Z530)))</f>
        <v>#N/A</v>
      </c>
    </row>
    <row r="531" spans="1:37" ht="25.8" hidden="1" x14ac:dyDescent="0.4">
      <c r="A531" s="41"/>
      <c r="B531" s="33">
        <f>_xlfn.XLOOKUP($A531,'[1]DATOS PBI Artículos'!A:A,'[1]DATOS PBI Artículos'!B:B)</f>
        <v>0</v>
      </c>
      <c r="C531" s="33">
        <f>_xlfn.XLOOKUP($A531,'[1]DATOS PBI Artículos'!A:A,'[1]DATOS PBI Artículos'!C:C)</f>
        <v>0</v>
      </c>
      <c r="D531" s="33">
        <f>_xlfn.XLOOKUP(A531,'[1]DATOS PBI Artículos'!A:A,'[1]DATOS PBI Artículos'!T:T)</f>
        <v>0</v>
      </c>
      <c r="E531" s="34">
        <f>IF(_xlfn.XLOOKUP($A531,'[1]DATOS PBI Artículos'!A:A,'[1]DATOS PBI Artículos'!AK:AK)="",_xlfn.XLOOKUP($A531,'[1]DATOS PBI Artículos'!A:A,'[1]DATOS PBI Artículos'!AJ:AJ),_xlfn.XLOOKUP($A531,'[1]DATOS PBI Artículos'!A:A,'[1]DATOS PBI Artículos'!AK:AK))</f>
        <v>0</v>
      </c>
      <c r="F531" s="35">
        <f>_xlfn.XLOOKUP($A531,'[1]DATOS PBI Artículos'!A:A,'[1]DATOS PBI Artículos'!AP:AP)</f>
        <v>0</v>
      </c>
      <c r="G531" s="34">
        <f>_xlfn.XLOOKUP($A531,'[1]DATOS PBI Artículos'!A:A,'[1]DATOS PBI Artículos'!AR:AR)</f>
        <v>0</v>
      </c>
      <c r="H531" s="34">
        <f>_xlfn.XLOOKUP($A531,'[1]DATOS PBI Artículos'!A:A,'[1]DATOS PBI Artículos'!AT:AT)</f>
        <v>0</v>
      </c>
      <c r="I531" s="34">
        <f>_xlfn.XLOOKUP($A531,'[1]DATOS PBI Artículos'!A:A,'[1]DATOS PBI Artículos'!AS:AS)</f>
        <v>0</v>
      </c>
      <c r="J531" s="35">
        <f>IF(COUNTIF([1]CRITERIOS!$F$179:$F$199,$A531)&gt;=1,
 IF(O531&lt;&gt;"",
    (O531/_xlfn.XLOOKUP(CONCATENATE(A531,L531),[1]MÁQUINAS!A:A,[1]MÁQUINAS!D:D))/24,
    (N531/_xlfn.XLOOKUP(CONCATENATE(A531,L531),[1]MÁQUINAS!A:A,[1]MÁQUINAS!D:D))/24),
  _xlfn.XLOOKUP($A531,'[1]DATOS PBI Artículos'!A:A,'[1]DATOS PBI Artículos'!AU:AU))</f>
        <v>0</v>
      </c>
      <c r="K531" s="36">
        <f>_xlfn.XLOOKUP($A531,'[1]DATOS PBI Artículos'!A:A,'[1]DATOS PBI Artículos'!AV:AV)</f>
        <v>0</v>
      </c>
      <c r="L531" s="33">
        <f>_xlfn.XLOOKUP(A531,[1]MÁQUINAS!B:B,[1]MÁQUINAS!C:C)</f>
        <v>0</v>
      </c>
      <c r="M531" s="34">
        <f t="array" ref="M531">_xlfn.XLOOKUP(A531,'[1]DATOS PBI Artículos'!A:A,'[1]DATOS PBI Artículos'!AX:$AX)</f>
        <v>0</v>
      </c>
      <c r="N531" s="37" t="e">
        <f>IF(I531="DV",
E531,
IF(COUNTIF([1]CRITERIOS!$I$179:$I$199,$A531)&gt;=1,
_xlfn.XLOOKUP($A531,[1]CRITERIOS!$I$179:$I$199,[1]CRITERIOS!$J$179:$J$199),
IF(COUNTIF([1]CRITERIOS!$L$179:$L$199,$A531)&gt;=1,
_xlfn.CEILING.MATH(IF($M531&gt;$E531,
$E531,
IF($M531&lt;$E531/ROUNDDOWN([1]CRITERIOS!$M$16/_xlfn.XLOOKUP($C531,[1]CRITERIOS!$K$25:$K$42,[1]CRITERIOS!$M$25:$M$42),
1),
E531/ROUNDDOWN([1]CRITERIOS!$M$16/_xlfn.XLOOKUP($C531,[1]CRITERIOS!$K$25:$K$42,[1]CRITERIOS!$M$25:$M$42),
1),
$M531)),
_xlfn.XLOOKUP($A531,[1]CRITERIOS!$L$179:$L$200,[1]CRITERIOS!$M$179:$M$200)),
_xlfn.CEILING.MATH(IF($M531&gt;$E531,
$E531,
IF($M531&lt;$E531/ROUNDDOWN([1]CRITERIOS!$M$16/_xlfn.XLOOKUP($C531,[1]CRITERIOS!$K$25:$K$42,[1]CRITERIOS!$M$25:$M$42),
1),
E531/ROUNDDOWN([1]CRITERIOS!$M$16/_xlfn.XLOOKUP($C531,[1]CRITERIOS!$K$25:$K$42,[1]CRITERIOS!$M$25:$M$42),
1),
$M531)),_xlfn.XLOOKUP(A531,'[1]DATOS PBI Artículos'!A:A,'[1]DATOS PBI Artículos'!Z:Z
)))))</f>
        <v>#N/A</v>
      </c>
      <c r="Q531" s="38" t="e">
        <f>IF(AND(O531="",N531=0),
0,
   IF(COUNTIF([1]CRITERIOS!$F$179:$F$199,$A531)&gt;=1,
   1,
   IF(R531="MTO",
      $D531,
      ROUNDUP(
                    IF(($E531-SUMIF('[1]DATOS PBI Artículos'!A:A,A531,'[1]DATOS PBI Artículos'!X:X)+($V531-_xlfn.XLOOKUP(A531,'[1]DATOS PBI Artículos'!A:A,'[1]DATOS PBI Artículos'!W:W)))&lt;0,
                    0,
                    IF(($E531-SUMIF('[1]DATOS PBI Artículos'!A:A,A531,'[1]DATOS PBI Artículos'!X:X)+$V531-_xlfn.XLOOKUP($A531,'[1]DATOS PBI Artículos'!A:A,'[1]DATOS PBI Artículos'!W:W))/IF($O531="",$N531,$O531)&gt;ROUNDUP([1]CRITERIOS!$M$16/(IF(COUNTIF([1]CRITERIOS!$BG$11:$BG$201,L531)&gt;=1,_xlfn.XLOOKUP($C531,[1]CRITERIOS!$K$25:$K$42,[1]CRITERIOS!$M$25:$M$42),_xlfn.XLOOKUP($C531,[1]CRITERIOS!$K$25:$K$42,[1]CRITERIOS!$M$25:$M$42))),0),
                    ROUNDUP([1]CRITERIOS!$M$16/(IF(COUNTIF([1]CRITERIOS!$BG$11:$BG$201,$L531)&gt;=1,_xlfn.XLOOKUP($C531,[1]CRITERIOS!$K$25:$K$42,[1]CRITERIOS!$M$25:$M$42),_xlfn.XLOOKUP($C531,[1]CRITERIOS!$K$25:$K$42,[1]CRITERIOS!$M$25:$M$42))),0),
                    (E531+V531-SUMIF('[1]DATOS PBI Artículos'!A:A,A531,'[1]DATOS PBI Artículos'!X:X)-_xlfn.XLOOKUP(A531,'[1]DATOS PBI Artículos'!A:A,'[1]DATOS PBI Artículos'!W:W))/IF($O531="",$N531,$O531))),0))))</f>
        <v>#N/A</v>
      </c>
      <c r="R531" s="33" t="e">
        <f>IF(U531&lt;&gt;"",U531,IF(F531="DV","MTO",IF(N531=0,"MTO",_xlfn.XLOOKUP(CONCATENATE(S531,T531),[1]CRITERIOS!$K$160:$K$168,[1]CRITERIOS!$N$160:$N$168))))</f>
        <v>#N/A</v>
      </c>
      <c r="S531" s="33" t="e">
        <f>IF(G531="DV","MTO",IF(N531=0,"MTO",IF(OR(AND(N531=0,O531=""),IF(O531="",G531/N531,G531/O531)&gt;[1]CRITERIOS!$G$163),"MTO",IF(IF(O531="",G531/N531,G531/O531)&lt;[1]CRITERIOS!$H$161,"MTS","MTOS"))))</f>
        <v>#N/A</v>
      </c>
      <c r="T531" s="33" t="e">
        <f>IF(F531="DV","MTO",IF(OR(AND($N531=0,O531=""),$F531/$J531&gt;[1]CRITERIOS!$G$170,$F531="DV"),"MTO",IF($F531/$J531&lt;[1]CRITERIOS!$H$168,"MTS","MTOS")))</f>
        <v>#N/A</v>
      </c>
      <c r="V531" s="34" t="e">
        <f t="shared" si="25"/>
        <v>#N/A</v>
      </c>
      <c r="X531" s="34" t="e">
        <f t="shared" si="26"/>
        <v>#N/A</v>
      </c>
      <c r="Y531" s="34" t="e">
        <f t="shared" si="27"/>
        <v>#N/A</v>
      </c>
      <c r="Z531" s="34" t="e">
        <f>IF($R531="MTO",
0,
($H531+$K531*($E531/[1]CRITERIOS!$M$16))/[1]CRITERIOS!$X$48)</f>
        <v>#N/A</v>
      </c>
      <c r="AA531" s="34" t="e">
        <f>ROUNDUP(($Y531/_xlfn.XLOOKUP($A531,'[1]DATOS PBI Artículos'!$A$4:$A$4,'[1]DATOS PBI Artículos'!$Z$4:$Z$4))/_xlfn.XLOOKUP(_xlfn.XLOOKUP($A531,'[1]DATOS PBI Artículos'!$A$4:$A$4,'[1]DATOS PBI Artículos'!$Y$4:$Y$4),[1]CRITERIOS!$P$79:$P$123,[1]CRITERIOS!$S$79:$S$123,),0)</f>
        <v>#N/A</v>
      </c>
      <c r="AB531" s="33" t="e">
        <f t="array" ref="AB531">IF((E531+V531-_xlfn.XLOOKUP(A531,'[1]DATOS PBI Artículos'!$A$4:$A$4,'[1]DATOS PBI Artículos'!$W$4:$W$4))/N531&gt;ROUNDUP([1]CRITERIOS!$M$16/(IF(COUNTIF([1]CRITERIOS!$BG$11:$BG$201,L531)&gt;=1,_xlfn.XLOOKUP(ARTÍCULOS!L531,[1]CRITERIOS!$BG$11:$BG$201,[1]CRITERIOS!$BJ$11:$BJ$201),_xlfn.XLOOKUP(ARTÍCULOS!C531,[1]CRITERIOS!$K$25:$K$42,[1]CRITERIOS!$M$25:$M$42))),0),ROUNDUP([1]CRITERIOS!$M$16/(IF(COUNTIF([1]CRITERIOS!$BG$11:$BG$201,L531)&gt;=1,_xlfn.XLOOKUP(ARTÍCULOS!L531,[1]CRITERIOS!$BG$11:$BG$201:#REF!,[1]CRITERIOS!$BJ$11:$BJ$201),_xlfn.XLOOKUP(ARTÍCULOS!C531,[1]CRITERIOS!$K$25:$K$42,[1]CRITERIOS!$M$25:$M$42))),0),(E531+V531-_xlfn.XLOOKUP(A531,'[1]DATOS PBI Artículos'!$A$4:$A$4,'[1]DATOS PBI Artículos'!$W$4:$W$4))/N531)</f>
        <v>#N/A</v>
      </c>
      <c r="AC531" s="33" t="e">
        <f>IF(N531=0,"",(ROUNDUP((N531/2)/(_xlfn.XLOOKUP(A531,'[1]DATOS PBI Artículos'!$A$4:$A$4,'[1]DATOS PBI Artículos'!$Z$4:$Z$4)*_xlfn.XLOOKUP(_xlfn.XLOOKUP(A531,'[1]DATOS PBI Artículos'!$A$4:$A$4,'[1]DATOS PBI Artículos'!$Y$4:$Y$4),[1]CRITERIOS!$P$79:$P$123,[1]CRITERIOS!$S$79:$S$123)),0)*[1]CRITERIOS!$M$80*([1]CRITERIOS!$M$110/[1]CRITERIOS!$M$86)+(_xlfn.XLOOKUP(A531,'[1]DATOS PBI Artículos'!$A$4:$A$4,'[1]DATOS PBI Artículos'!$AA$4:$AA$4)*([1]CRITERIOS!$M$95+[1]CRITERIOS!$M$98)))/N531)</f>
        <v>#N/A</v>
      </c>
      <c r="AD531" s="33" t="e">
        <f>IF(N531=0,"",(ROUNDUP((N531/2)/(_xlfn.XLOOKUP(A531,'[1]DATOS PBI Artículos'!$A$4:$A$4,'[1]DATOS PBI Artículos'!$Z$4:$Z$4)*_xlfn.XLOOKUP(_xlfn.XLOOKUP(A531,'[1]DATOS PBI Artículos'!$A$4:$A$4,'[1]DATOS PBI Artículos'!$Y$4:$Y$4),[1]CRITERIOS!$P$79:$P$123,[1]CRITERIOS!$S$79:$S$123)),0)*[1]CRITERIOS!$M$80*([1]CRITERIOS!$M$89*[1]CRITERIOS!$M$92)+((_xlfn.XLOOKUP(A531,'[1]DATOS PBI Artículos'!$A$4:$A$4,'[1]DATOS PBI Artículos'!$AA$4:$AA$4)/2)*([1]CRITERIOS!$M$95+[1]CRITERIOS!$M$98)))/N531)</f>
        <v>#N/A</v>
      </c>
      <c r="AE531" s="39" t="e">
        <f>IF($R531="MTO","",
IF($H531=0,ROUNDUP(((_xlfn.XLOOKUP($A531,'[1]DATOS PBI Artículos'!$A:$A,'[1]DATOS PBI Artículos'!$AL:$AL))/(_xlfn.XLOOKUP($AF$1,[1]CRITERIOS!$S$16:$S$39,[1]CRITERIOS!$Y$16:$Y$39))*$J531+$Z531)/$G531,0)*$G531,
((_xlfn.XLOOKUP($A531,'[1]DATOS PBI Artículos'!$A:$A,'[1]DATOS PBI Artículos'!$AL:$AL))/(_xlfn.XLOOKUP($AF$1,[1]CRITERIOS!$S$16:$S$39,[1]CRITERIOS!$Y$16:$Y$39))*$J531+$Z531)))</f>
        <v>#N/A</v>
      </c>
      <c r="AG531" s="39" t="e">
        <f>IF($R531="MTO","",
IF($H531=0,ROUNDUP(((_xlfn.XLOOKUP($A531,'[1]DATOS PBI Artículos'!$A:$A,'[1]DATOS PBI Artículos'!$AM:$AM))/(_xlfn.XLOOKUP($AH$1,[1]CRITERIOS!$S$16:$S$39,[1]CRITERIOS!$Y$16:$Y$39))*$J531+$Z531)/$G531,0)*$G531,
((_xlfn.XLOOKUP($A531,'[1]DATOS PBI Artículos'!$A:$A,'[1]DATOS PBI Artículos'!$AM:$AM))/(_xlfn.XLOOKUP($AH$1,[1]CRITERIOS!$S$16:$S$39,[1]CRITERIOS!$Y$16:$Y$39))*$J531+$Z531)))</f>
        <v>#N/A</v>
      </c>
      <c r="AI531" s="39" t="e">
        <f>IF($R531="MTO","",
IF($H531=0,ROUNDUP(((_xlfn.XLOOKUP($A531,'[1]DATOS PBI Artículos'!$A:$A,'[1]DATOS PBI Artículos'!$AN:$AN))/(_xlfn.XLOOKUP($AJ$1,[1]CRITERIOS!$S$16:$S$39,[1]CRITERIOS!$Y$16:$Y$39))*$J531+$Z531)/$G531,0)*$G531,
((_xlfn.XLOOKUP($A531,'[1]DATOS PBI Artículos'!$A:$A,'[1]DATOS PBI Artículos'!$AN:$AN))/(_xlfn.XLOOKUP($AJ$1,[1]CRITERIOS!$S$16:$S$39,[1]CRITERIOS!$Y$16:$Y$39))*$J531+$Z531)))</f>
        <v>#N/A</v>
      </c>
      <c r="AK531" s="39" t="e">
        <f>IF($R531="MTO","",
IF($H531=0,ROUNDUP(((_xlfn.XLOOKUP($A531,'[1]DATOS PBI Artículos'!$A:$A,'[1]DATOS PBI Artículos'!$AO:$AO))/(_xlfn.XLOOKUP($AL$1,[1]CRITERIOS!$S$16:$S$39,[1]CRITERIOS!$Y$16:$Y$39))*$J531+$Z531)/$G531,0)*$G531,
((_xlfn.XLOOKUP($A531,'[1]DATOS PBI Artículos'!$A:$A,'[1]DATOS PBI Artículos'!$AO:$AO))/(_xlfn.XLOOKUP($AL$1,[1]CRITERIOS!$S$16:$S$39,[1]CRITERIOS!$Y$16:$Y$39))*$J531+$Z531)))</f>
        <v>#N/A</v>
      </c>
    </row>
    <row r="532" spans="1:37" ht="25.8" hidden="1" x14ac:dyDescent="0.4">
      <c r="A532" s="41"/>
      <c r="B532" s="33">
        <f>_xlfn.XLOOKUP($A532,'[1]DATOS PBI Artículos'!A:A,'[1]DATOS PBI Artículos'!B:B)</f>
        <v>0</v>
      </c>
      <c r="C532" s="33">
        <f>_xlfn.XLOOKUP($A532,'[1]DATOS PBI Artículos'!A:A,'[1]DATOS PBI Artículos'!C:C)</f>
        <v>0</v>
      </c>
      <c r="D532" s="33">
        <f>_xlfn.XLOOKUP(A532,'[1]DATOS PBI Artículos'!A:A,'[1]DATOS PBI Artículos'!T:T)</f>
        <v>0</v>
      </c>
      <c r="E532" s="34">
        <f>IF(_xlfn.XLOOKUP($A532,'[1]DATOS PBI Artículos'!A:A,'[1]DATOS PBI Artículos'!AK:AK)="",_xlfn.XLOOKUP($A532,'[1]DATOS PBI Artículos'!A:A,'[1]DATOS PBI Artículos'!AJ:AJ),_xlfn.XLOOKUP($A532,'[1]DATOS PBI Artículos'!A:A,'[1]DATOS PBI Artículos'!AK:AK))</f>
        <v>0</v>
      </c>
      <c r="F532" s="35">
        <f>_xlfn.XLOOKUP($A532,'[1]DATOS PBI Artículos'!A:A,'[1]DATOS PBI Artículos'!AP:AP)</f>
        <v>0</v>
      </c>
      <c r="G532" s="34">
        <f>_xlfn.XLOOKUP($A532,'[1]DATOS PBI Artículos'!A:A,'[1]DATOS PBI Artículos'!AR:AR)</f>
        <v>0</v>
      </c>
      <c r="H532" s="34">
        <f>_xlfn.XLOOKUP($A532,'[1]DATOS PBI Artículos'!A:A,'[1]DATOS PBI Artículos'!AT:AT)</f>
        <v>0</v>
      </c>
      <c r="I532" s="34">
        <f>_xlfn.XLOOKUP($A532,'[1]DATOS PBI Artículos'!A:A,'[1]DATOS PBI Artículos'!AS:AS)</f>
        <v>0</v>
      </c>
      <c r="J532" s="35">
        <f>IF(COUNTIF([1]CRITERIOS!$F$179:$F$199,$A532)&gt;=1,
 IF(O532&lt;&gt;"",
    (O532/_xlfn.XLOOKUP(CONCATENATE(A532,L532),[1]MÁQUINAS!A:A,[1]MÁQUINAS!D:D))/24,
    (N532/_xlfn.XLOOKUP(CONCATENATE(A532,L532),[1]MÁQUINAS!A:A,[1]MÁQUINAS!D:D))/24),
  _xlfn.XLOOKUP($A532,'[1]DATOS PBI Artículos'!A:A,'[1]DATOS PBI Artículos'!AU:AU))</f>
        <v>0</v>
      </c>
      <c r="K532" s="36">
        <f>_xlfn.XLOOKUP($A532,'[1]DATOS PBI Artículos'!A:A,'[1]DATOS PBI Artículos'!AV:AV)</f>
        <v>0</v>
      </c>
      <c r="L532" s="33">
        <f>_xlfn.XLOOKUP(A532,[1]MÁQUINAS!B:B,[1]MÁQUINAS!C:C)</f>
        <v>0</v>
      </c>
      <c r="M532" s="34">
        <f t="array" ref="M532">_xlfn.XLOOKUP(A532,'[1]DATOS PBI Artículos'!A:A,'[1]DATOS PBI Artículos'!AX:$AX)</f>
        <v>0</v>
      </c>
      <c r="N532" s="37" t="e">
        <f>IF(I532="DV",
E532,
IF(COUNTIF([1]CRITERIOS!$I$179:$I$199,$A532)&gt;=1,
_xlfn.XLOOKUP($A532,[1]CRITERIOS!$I$179:$I$199,[1]CRITERIOS!$J$179:$J$199),
IF(COUNTIF([1]CRITERIOS!$L$179:$L$199,$A532)&gt;=1,
_xlfn.CEILING.MATH(IF($M532&gt;$E532,
$E532,
IF($M532&lt;$E532/ROUNDDOWN([1]CRITERIOS!$M$16/_xlfn.XLOOKUP($C532,[1]CRITERIOS!$K$25:$K$42,[1]CRITERIOS!$M$25:$M$42),
1),
E532/ROUNDDOWN([1]CRITERIOS!$M$16/_xlfn.XLOOKUP($C532,[1]CRITERIOS!$K$25:$K$42,[1]CRITERIOS!$M$25:$M$42),
1),
$M532)),
_xlfn.XLOOKUP($A532,[1]CRITERIOS!$L$179:$L$200,[1]CRITERIOS!$M$179:$M$200)),
_xlfn.CEILING.MATH(IF($M532&gt;$E532,
$E532,
IF($M532&lt;$E532/ROUNDDOWN([1]CRITERIOS!$M$16/_xlfn.XLOOKUP($C532,[1]CRITERIOS!$K$25:$K$42,[1]CRITERIOS!$M$25:$M$42),
1),
E532/ROUNDDOWN([1]CRITERIOS!$M$16/_xlfn.XLOOKUP($C532,[1]CRITERIOS!$K$25:$K$42,[1]CRITERIOS!$M$25:$M$42),
1),
$M532)),_xlfn.XLOOKUP(A532,'[1]DATOS PBI Artículos'!A:A,'[1]DATOS PBI Artículos'!Z:Z
)))))</f>
        <v>#N/A</v>
      </c>
      <c r="Q532" s="38" t="e">
        <f>IF(AND(O532="",N532=0),
0,
   IF(COUNTIF([1]CRITERIOS!$F$179:$F$199,$A532)&gt;=1,
   1,
   IF(R532="MTO",
      $D532,
      ROUNDUP(
                    IF(($E532-SUMIF('[1]DATOS PBI Artículos'!A:A,A532,'[1]DATOS PBI Artículos'!X:X)+($V532-_xlfn.XLOOKUP(A532,'[1]DATOS PBI Artículos'!A:A,'[1]DATOS PBI Artículos'!W:W)))&lt;0,
                    0,
                    IF(($E532-SUMIF('[1]DATOS PBI Artículos'!A:A,A532,'[1]DATOS PBI Artículos'!X:X)+$V532-_xlfn.XLOOKUP($A532,'[1]DATOS PBI Artículos'!A:A,'[1]DATOS PBI Artículos'!W:W))/IF($O532="",$N532,$O532)&gt;ROUNDUP([1]CRITERIOS!$M$16/(IF(COUNTIF([1]CRITERIOS!$BG$11:$BG$201,L532)&gt;=1,_xlfn.XLOOKUP($C532,[1]CRITERIOS!$K$25:$K$42,[1]CRITERIOS!$M$25:$M$42),_xlfn.XLOOKUP($C532,[1]CRITERIOS!$K$25:$K$42,[1]CRITERIOS!$M$25:$M$42))),0),
                    ROUNDUP([1]CRITERIOS!$M$16/(IF(COUNTIF([1]CRITERIOS!$BG$11:$BG$201,$L532)&gt;=1,_xlfn.XLOOKUP($C532,[1]CRITERIOS!$K$25:$K$42,[1]CRITERIOS!$M$25:$M$42),_xlfn.XLOOKUP($C532,[1]CRITERIOS!$K$25:$K$42,[1]CRITERIOS!$M$25:$M$42))),0),
                    (E532+V532-SUMIF('[1]DATOS PBI Artículos'!A:A,A532,'[1]DATOS PBI Artículos'!X:X)-_xlfn.XLOOKUP(A532,'[1]DATOS PBI Artículos'!A:A,'[1]DATOS PBI Artículos'!W:W))/IF($O532="",$N532,$O532))),0))))</f>
        <v>#N/A</v>
      </c>
      <c r="R532" s="33" t="e">
        <f>IF(U532&lt;&gt;"",U532,IF(F532="DV","MTO",IF(N532=0,"MTO",_xlfn.XLOOKUP(CONCATENATE(S532,T532),[1]CRITERIOS!$K$160:$K$168,[1]CRITERIOS!$N$160:$N$168))))</f>
        <v>#N/A</v>
      </c>
      <c r="S532" s="33" t="e">
        <f>IF(G532="DV","MTO",IF(N532=0,"MTO",IF(OR(AND(N532=0,O532=""),IF(O532="",G532/N532,G532/O532)&gt;[1]CRITERIOS!$G$163),"MTO",IF(IF(O532="",G532/N532,G532/O532)&lt;[1]CRITERIOS!$H$161,"MTS","MTOS"))))</f>
        <v>#N/A</v>
      </c>
      <c r="T532" s="33" t="e">
        <f>IF(F532="DV","MTO",IF(OR(AND($N532=0,O532=""),$F532/$J532&gt;[1]CRITERIOS!$G$170,$F532="DV"),"MTO",IF($F532/$J532&lt;[1]CRITERIOS!$H$168,"MTS","MTOS")))</f>
        <v>#N/A</v>
      </c>
      <c r="V532" s="34" t="e">
        <f t="shared" si="25"/>
        <v>#N/A</v>
      </c>
      <c r="X532" s="34" t="e">
        <f t="shared" si="26"/>
        <v>#N/A</v>
      </c>
      <c r="Y532" s="34" t="e">
        <f t="shared" si="27"/>
        <v>#N/A</v>
      </c>
      <c r="Z532" s="34" t="e">
        <f>IF($R532="MTO",
0,
($H532+$K532*($E532/[1]CRITERIOS!$M$16))/[1]CRITERIOS!$X$48)</f>
        <v>#N/A</v>
      </c>
      <c r="AA532" s="34" t="e">
        <f>ROUNDUP(($Y532/_xlfn.XLOOKUP($A532,'[1]DATOS PBI Artículos'!$A$4:$A$4,'[1]DATOS PBI Artículos'!$Z$4:$Z$4))/_xlfn.XLOOKUP(_xlfn.XLOOKUP($A532,'[1]DATOS PBI Artículos'!$A$4:$A$4,'[1]DATOS PBI Artículos'!$Y$4:$Y$4),[1]CRITERIOS!$P$79:$P$123,[1]CRITERIOS!$S$79:$S$123,),0)</f>
        <v>#N/A</v>
      </c>
      <c r="AB532" s="33" t="e">
        <f t="array" ref="AB532">IF((E532+V532-_xlfn.XLOOKUP(A532,'[1]DATOS PBI Artículos'!$A$4:$A$4,'[1]DATOS PBI Artículos'!$W$4:$W$4))/N532&gt;ROUNDUP([1]CRITERIOS!$M$16/(IF(COUNTIF([1]CRITERIOS!$BG$11:$BG$201,L532)&gt;=1,_xlfn.XLOOKUP(ARTÍCULOS!L532,[1]CRITERIOS!$BG$11:$BG$201,[1]CRITERIOS!$BJ$11:$BJ$201),_xlfn.XLOOKUP(ARTÍCULOS!C532,[1]CRITERIOS!$K$25:$K$42,[1]CRITERIOS!$M$25:$M$42))),0),ROUNDUP([1]CRITERIOS!$M$16/(IF(COUNTIF([1]CRITERIOS!$BG$11:$BG$201,L532)&gt;=1,_xlfn.XLOOKUP(ARTÍCULOS!L532,[1]CRITERIOS!$BG$11:$BG$201:#REF!,[1]CRITERIOS!$BJ$11:$BJ$201),_xlfn.XLOOKUP(ARTÍCULOS!C532,[1]CRITERIOS!$K$25:$K$42,[1]CRITERIOS!$M$25:$M$42))),0),(E532+V532-_xlfn.XLOOKUP(A532,'[1]DATOS PBI Artículos'!$A$4:$A$4,'[1]DATOS PBI Artículos'!$W$4:$W$4))/N532)</f>
        <v>#N/A</v>
      </c>
      <c r="AC532" s="33" t="e">
        <f>IF(N532=0,"",(ROUNDUP((N532/2)/(_xlfn.XLOOKUP(A532,'[1]DATOS PBI Artículos'!$A$4:$A$4,'[1]DATOS PBI Artículos'!$Z$4:$Z$4)*_xlfn.XLOOKUP(_xlfn.XLOOKUP(A532,'[1]DATOS PBI Artículos'!$A$4:$A$4,'[1]DATOS PBI Artículos'!$Y$4:$Y$4),[1]CRITERIOS!$P$79:$P$123,[1]CRITERIOS!$S$79:$S$123)),0)*[1]CRITERIOS!$M$80*([1]CRITERIOS!$M$110/[1]CRITERIOS!$M$86)+(_xlfn.XLOOKUP(A532,'[1]DATOS PBI Artículos'!$A$4:$A$4,'[1]DATOS PBI Artículos'!$AA$4:$AA$4)*([1]CRITERIOS!$M$95+[1]CRITERIOS!$M$98)))/N532)</f>
        <v>#N/A</v>
      </c>
      <c r="AD532" s="33" t="e">
        <f>IF(N532=0,"",(ROUNDUP((N532/2)/(_xlfn.XLOOKUP(A532,'[1]DATOS PBI Artículos'!$A$4:$A$4,'[1]DATOS PBI Artículos'!$Z$4:$Z$4)*_xlfn.XLOOKUP(_xlfn.XLOOKUP(A532,'[1]DATOS PBI Artículos'!$A$4:$A$4,'[1]DATOS PBI Artículos'!$Y$4:$Y$4),[1]CRITERIOS!$P$79:$P$123,[1]CRITERIOS!$S$79:$S$123)),0)*[1]CRITERIOS!$M$80*([1]CRITERIOS!$M$89*[1]CRITERIOS!$M$92)+((_xlfn.XLOOKUP(A532,'[1]DATOS PBI Artículos'!$A$4:$A$4,'[1]DATOS PBI Artículos'!$AA$4:$AA$4)/2)*([1]CRITERIOS!$M$95+[1]CRITERIOS!$M$98)))/N532)</f>
        <v>#N/A</v>
      </c>
      <c r="AE532" s="39" t="e">
        <f>IF($R532="MTO","",
IF($H532=0,ROUNDUP(((_xlfn.XLOOKUP($A532,'[1]DATOS PBI Artículos'!$A:$A,'[1]DATOS PBI Artículos'!$AL:$AL))/(_xlfn.XLOOKUP($AF$1,[1]CRITERIOS!$S$16:$S$39,[1]CRITERIOS!$Y$16:$Y$39))*$J532+$Z532)/$G532,0)*$G532,
((_xlfn.XLOOKUP($A532,'[1]DATOS PBI Artículos'!$A:$A,'[1]DATOS PBI Artículos'!$AL:$AL))/(_xlfn.XLOOKUP($AF$1,[1]CRITERIOS!$S$16:$S$39,[1]CRITERIOS!$Y$16:$Y$39))*$J532+$Z532)))</f>
        <v>#N/A</v>
      </c>
      <c r="AG532" s="39" t="e">
        <f>IF($R532="MTO","",
IF($H532=0,ROUNDUP(((_xlfn.XLOOKUP($A532,'[1]DATOS PBI Artículos'!$A:$A,'[1]DATOS PBI Artículos'!$AM:$AM))/(_xlfn.XLOOKUP($AH$1,[1]CRITERIOS!$S$16:$S$39,[1]CRITERIOS!$Y$16:$Y$39))*$J532+$Z532)/$G532,0)*$G532,
((_xlfn.XLOOKUP($A532,'[1]DATOS PBI Artículos'!$A:$A,'[1]DATOS PBI Artículos'!$AM:$AM))/(_xlfn.XLOOKUP($AH$1,[1]CRITERIOS!$S$16:$S$39,[1]CRITERIOS!$Y$16:$Y$39))*$J532+$Z532)))</f>
        <v>#N/A</v>
      </c>
      <c r="AI532" s="39" t="e">
        <f>IF($R532="MTO","",
IF($H532=0,ROUNDUP(((_xlfn.XLOOKUP($A532,'[1]DATOS PBI Artículos'!$A:$A,'[1]DATOS PBI Artículos'!$AN:$AN))/(_xlfn.XLOOKUP($AJ$1,[1]CRITERIOS!$S$16:$S$39,[1]CRITERIOS!$Y$16:$Y$39))*$J532+$Z532)/$G532,0)*$G532,
((_xlfn.XLOOKUP($A532,'[1]DATOS PBI Artículos'!$A:$A,'[1]DATOS PBI Artículos'!$AN:$AN))/(_xlfn.XLOOKUP($AJ$1,[1]CRITERIOS!$S$16:$S$39,[1]CRITERIOS!$Y$16:$Y$39))*$J532+$Z532)))</f>
        <v>#N/A</v>
      </c>
      <c r="AK532" s="39" t="e">
        <f>IF($R532="MTO","",
IF($H532=0,ROUNDUP(((_xlfn.XLOOKUP($A532,'[1]DATOS PBI Artículos'!$A:$A,'[1]DATOS PBI Artículos'!$AO:$AO))/(_xlfn.XLOOKUP($AL$1,[1]CRITERIOS!$S$16:$S$39,[1]CRITERIOS!$Y$16:$Y$39))*$J532+$Z532)/$G532,0)*$G532,
((_xlfn.XLOOKUP($A532,'[1]DATOS PBI Artículos'!$A:$A,'[1]DATOS PBI Artículos'!$AO:$AO))/(_xlfn.XLOOKUP($AL$1,[1]CRITERIOS!$S$16:$S$39,[1]CRITERIOS!$Y$16:$Y$39))*$J532+$Z532)))</f>
        <v>#N/A</v>
      </c>
    </row>
    <row r="533" spans="1:37" ht="25.8" hidden="1" x14ac:dyDescent="0.4">
      <c r="A533" s="41"/>
      <c r="B533" s="33">
        <f>_xlfn.XLOOKUP($A533,'[1]DATOS PBI Artículos'!A:A,'[1]DATOS PBI Artículos'!B:B)</f>
        <v>0</v>
      </c>
      <c r="C533" s="33">
        <f>_xlfn.XLOOKUP($A533,'[1]DATOS PBI Artículos'!A:A,'[1]DATOS PBI Artículos'!C:C)</f>
        <v>0</v>
      </c>
      <c r="D533" s="33">
        <f>_xlfn.XLOOKUP(A533,'[1]DATOS PBI Artículos'!A:A,'[1]DATOS PBI Artículos'!T:T)</f>
        <v>0</v>
      </c>
      <c r="E533" s="34">
        <f>IF(_xlfn.XLOOKUP($A533,'[1]DATOS PBI Artículos'!A:A,'[1]DATOS PBI Artículos'!AK:AK)="",_xlfn.XLOOKUP($A533,'[1]DATOS PBI Artículos'!A:A,'[1]DATOS PBI Artículos'!AJ:AJ),_xlfn.XLOOKUP($A533,'[1]DATOS PBI Artículos'!A:A,'[1]DATOS PBI Artículos'!AK:AK))</f>
        <v>0</v>
      </c>
      <c r="F533" s="35">
        <f>_xlfn.XLOOKUP($A533,'[1]DATOS PBI Artículos'!A:A,'[1]DATOS PBI Artículos'!AP:AP)</f>
        <v>0</v>
      </c>
      <c r="G533" s="34">
        <f>_xlfn.XLOOKUP($A533,'[1]DATOS PBI Artículos'!A:A,'[1]DATOS PBI Artículos'!AR:AR)</f>
        <v>0</v>
      </c>
      <c r="H533" s="34">
        <f>_xlfn.XLOOKUP($A533,'[1]DATOS PBI Artículos'!A:A,'[1]DATOS PBI Artículos'!AT:AT)</f>
        <v>0</v>
      </c>
      <c r="I533" s="34">
        <f>_xlfn.XLOOKUP($A533,'[1]DATOS PBI Artículos'!A:A,'[1]DATOS PBI Artículos'!AS:AS)</f>
        <v>0</v>
      </c>
      <c r="J533" s="35">
        <f>IF(COUNTIF([1]CRITERIOS!$F$179:$F$199,$A533)&gt;=1,
 IF(O533&lt;&gt;"",
    (O533/_xlfn.XLOOKUP(CONCATENATE(A533,L533),[1]MÁQUINAS!A:A,[1]MÁQUINAS!D:D))/24,
    (N533/_xlfn.XLOOKUP(CONCATENATE(A533,L533),[1]MÁQUINAS!A:A,[1]MÁQUINAS!D:D))/24),
  _xlfn.XLOOKUP($A533,'[1]DATOS PBI Artículos'!A:A,'[1]DATOS PBI Artículos'!AU:AU))</f>
        <v>0</v>
      </c>
      <c r="K533" s="36">
        <f>_xlfn.XLOOKUP($A533,'[1]DATOS PBI Artículos'!A:A,'[1]DATOS PBI Artículos'!AV:AV)</f>
        <v>0</v>
      </c>
      <c r="L533" s="33">
        <f>_xlfn.XLOOKUP(A533,[1]MÁQUINAS!B:B,[1]MÁQUINAS!C:C)</f>
        <v>0</v>
      </c>
      <c r="M533" s="34">
        <f t="array" ref="M533">_xlfn.XLOOKUP(A533,'[1]DATOS PBI Artículos'!A:A,'[1]DATOS PBI Artículos'!AX:$AX)</f>
        <v>0</v>
      </c>
      <c r="N533" s="37" t="e">
        <f>IF(I533="DV",
E533,
IF(COUNTIF([1]CRITERIOS!$I$179:$I$199,$A533)&gt;=1,
_xlfn.XLOOKUP($A533,[1]CRITERIOS!$I$179:$I$199,[1]CRITERIOS!$J$179:$J$199),
IF(COUNTIF([1]CRITERIOS!$L$179:$L$199,$A533)&gt;=1,
_xlfn.CEILING.MATH(IF($M533&gt;$E533,
$E533,
IF($M533&lt;$E533/ROUNDDOWN([1]CRITERIOS!$M$16/_xlfn.XLOOKUP($C533,[1]CRITERIOS!$K$25:$K$42,[1]CRITERIOS!$M$25:$M$42),
1),
E533/ROUNDDOWN([1]CRITERIOS!$M$16/_xlfn.XLOOKUP($C533,[1]CRITERIOS!$K$25:$K$42,[1]CRITERIOS!$M$25:$M$42),
1),
$M533)),
_xlfn.XLOOKUP($A533,[1]CRITERIOS!$L$179:$L$200,[1]CRITERIOS!$M$179:$M$200)),
_xlfn.CEILING.MATH(IF($M533&gt;$E533,
$E533,
IF($M533&lt;$E533/ROUNDDOWN([1]CRITERIOS!$M$16/_xlfn.XLOOKUP($C533,[1]CRITERIOS!$K$25:$K$42,[1]CRITERIOS!$M$25:$M$42),
1),
E533/ROUNDDOWN([1]CRITERIOS!$M$16/_xlfn.XLOOKUP($C533,[1]CRITERIOS!$K$25:$K$42,[1]CRITERIOS!$M$25:$M$42),
1),
$M533)),_xlfn.XLOOKUP(A533,'[1]DATOS PBI Artículos'!A:A,'[1]DATOS PBI Artículos'!Z:Z
)))))</f>
        <v>#N/A</v>
      </c>
      <c r="Q533" s="38" t="e">
        <f>IF(AND(O533="",N533=0),
0,
   IF(COUNTIF([1]CRITERIOS!$F$179:$F$199,$A533)&gt;=1,
   1,
   IF(R533="MTO",
      $D533,
      ROUNDUP(
                    IF(($E533-SUMIF('[1]DATOS PBI Artículos'!A:A,A533,'[1]DATOS PBI Artículos'!X:X)+($V533-_xlfn.XLOOKUP(A533,'[1]DATOS PBI Artículos'!A:A,'[1]DATOS PBI Artículos'!W:W)))&lt;0,
                    0,
                    IF(($E533-SUMIF('[1]DATOS PBI Artículos'!A:A,A533,'[1]DATOS PBI Artículos'!X:X)+$V533-_xlfn.XLOOKUP($A533,'[1]DATOS PBI Artículos'!A:A,'[1]DATOS PBI Artículos'!W:W))/IF($O533="",$N533,$O533)&gt;ROUNDUP([1]CRITERIOS!$M$16/(IF(COUNTIF([1]CRITERIOS!$BG$11:$BG$201,L533)&gt;=1,_xlfn.XLOOKUP($C533,[1]CRITERIOS!$K$25:$K$42,[1]CRITERIOS!$M$25:$M$42),_xlfn.XLOOKUP($C533,[1]CRITERIOS!$K$25:$K$42,[1]CRITERIOS!$M$25:$M$42))),0),
                    ROUNDUP([1]CRITERIOS!$M$16/(IF(COUNTIF([1]CRITERIOS!$BG$11:$BG$201,$L533)&gt;=1,_xlfn.XLOOKUP($C533,[1]CRITERIOS!$K$25:$K$42,[1]CRITERIOS!$M$25:$M$42),_xlfn.XLOOKUP($C533,[1]CRITERIOS!$K$25:$K$42,[1]CRITERIOS!$M$25:$M$42))),0),
                    (E533+V533-SUMIF('[1]DATOS PBI Artículos'!A:A,A533,'[1]DATOS PBI Artículos'!X:X)-_xlfn.XLOOKUP(A533,'[1]DATOS PBI Artículos'!A:A,'[1]DATOS PBI Artículos'!W:W))/IF($O533="",$N533,$O533))),0))))</f>
        <v>#N/A</v>
      </c>
      <c r="R533" s="33" t="e">
        <f>IF(U533&lt;&gt;"",U533,IF(F533="DV","MTO",IF(N533=0,"MTO",_xlfn.XLOOKUP(CONCATENATE(S533,T533),[1]CRITERIOS!$K$160:$K$168,[1]CRITERIOS!$N$160:$N$168))))</f>
        <v>#N/A</v>
      </c>
      <c r="S533" s="33" t="e">
        <f>IF(G533="DV","MTO",IF(N533=0,"MTO",IF(OR(AND(N533=0,O533=""),IF(O533="",G533/N533,G533/O533)&gt;[1]CRITERIOS!$G$163),"MTO",IF(IF(O533="",G533/N533,G533/O533)&lt;[1]CRITERIOS!$H$161,"MTS","MTOS"))))</f>
        <v>#N/A</v>
      </c>
      <c r="T533" s="33" t="e">
        <f>IF(F533="DV","MTO",IF(OR(AND($N533=0,O533=""),$F533/$J533&gt;[1]CRITERIOS!$G$170,$F533="DV"),"MTO",IF($F533/$J533&lt;[1]CRITERIOS!$H$168,"MTS","MTOS")))</f>
        <v>#N/A</v>
      </c>
      <c r="V533" s="34" t="e">
        <f t="shared" si="25"/>
        <v>#N/A</v>
      </c>
      <c r="X533" s="34" t="e">
        <f t="shared" si="26"/>
        <v>#N/A</v>
      </c>
      <c r="Y533" s="34" t="e">
        <f t="shared" si="27"/>
        <v>#N/A</v>
      </c>
      <c r="Z533" s="34" t="e">
        <f>IF($R533="MTO",
0,
($H533+$K533*($E533/[1]CRITERIOS!$M$16))/[1]CRITERIOS!$X$48)</f>
        <v>#N/A</v>
      </c>
      <c r="AA533" s="34" t="e">
        <f>ROUNDUP(($Y533/_xlfn.XLOOKUP($A533,'[1]DATOS PBI Artículos'!$A$4:$A$4,'[1]DATOS PBI Artículos'!$Z$4:$Z$4))/_xlfn.XLOOKUP(_xlfn.XLOOKUP($A533,'[1]DATOS PBI Artículos'!$A$4:$A$4,'[1]DATOS PBI Artículos'!$Y$4:$Y$4),[1]CRITERIOS!$P$79:$P$123,[1]CRITERIOS!$S$79:$S$123,),0)</f>
        <v>#N/A</v>
      </c>
      <c r="AB533" s="33" t="e">
        <f t="array" ref="AB533">IF((E533+V533-_xlfn.XLOOKUP(A533,'[1]DATOS PBI Artículos'!$A$4:$A$4,'[1]DATOS PBI Artículos'!$W$4:$W$4))/N533&gt;ROUNDUP([1]CRITERIOS!$M$16/(IF(COUNTIF([1]CRITERIOS!$BG$11:$BG$201,L533)&gt;=1,_xlfn.XLOOKUP(ARTÍCULOS!L533,[1]CRITERIOS!$BG$11:$BG$201,[1]CRITERIOS!$BJ$11:$BJ$201),_xlfn.XLOOKUP(ARTÍCULOS!C533,[1]CRITERIOS!$K$25:$K$42,[1]CRITERIOS!$M$25:$M$42))),0),ROUNDUP([1]CRITERIOS!$M$16/(IF(COUNTIF([1]CRITERIOS!$BG$11:$BG$201,L533)&gt;=1,_xlfn.XLOOKUP(ARTÍCULOS!L533,[1]CRITERIOS!$BG$11:$BG$201:#REF!,[1]CRITERIOS!$BJ$11:$BJ$201),_xlfn.XLOOKUP(ARTÍCULOS!C533,[1]CRITERIOS!$K$25:$K$42,[1]CRITERIOS!$M$25:$M$42))),0),(E533+V533-_xlfn.XLOOKUP(A533,'[1]DATOS PBI Artículos'!$A$4:$A$4,'[1]DATOS PBI Artículos'!$W$4:$W$4))/N533)</f>
        <v>#N/A</v>
      </c>
      <c r="AC533" s="33" t="e">
        <f>IF(N533=0,"",(ROUNDUP((N533/2)/(_xlfn.XLOOKUP(A533,'[1]DATOS PBI Artículos'!$A$4:$A$4,'[1]DATOS PBI Artículos'!$Z$4:$Z$4)*_xlfn.XLOOKUP(_xlfn.XLOOKUP(A533,'[1]DATOS PBI Artículos'!$A$4:$A$4,'[1]DATOS PBI Artículos'!$Y$4:$Y$4),[1]CRITERIOS!$P$79:$P$123,[1]CRITERIOS!$S$79:$S$123)),0)*[1]CRITERIOS!$M$80*([1]CRITERIOS!$M$110/[1]CRITERIOS!$M$86)+(_xlfn.XLOOKUP(A533,'[1]DATOS PBI Artículos'!$A$4:$A$4,'[1]DATOS PBI Artículos'!$AA$4:$AA$4)*([1]CRITERIOS!$M$95+[1]CRITERIOS!$M$98)))/N533)</f>
        <v>#N/A</v>
      </c>
      <c r="AD533" s="33" t="e">
        <f>IF(N533=0,"",(ROUNDUP((N533/2)/(_xlfn.XLOOKUP(A533,'[1]DATOS PBI Artículos'!$A$4:$A$4,'[1]DATOS PBI Artículos'!$Z$4:$Z$4)*_xlfn.XLOOKUP(_xlfn.XLOOKUP(A533,'[1]DATOS PBI Artículos'!$A$4:$A$4,'[1]DATOS PBI Artículos'!$Y$4:$Y$4),[1]CRITERIOS!$P$79:$P$123,[1]CRITERIOS!$S$79:$S$123)),0)*[1]CRITERIOS!$M$80*([1]CRITERIOS!$M$89*[1]CRITERIOS!$M$92)+((_xlfn.XLOOKUP(A533,'[1]DATOS PBI Artículos'!$A$4:$A$4,'[1]DATOS PBI Artículos'!$AA$4:$AA$4)/2)*([1]CRITERIOS!$M$95+[1]CRITERIOS!$M$98)))/N533)</f>
        <v>#N/A</v>
      </c>
      <c r="AE533" s="39" t="e">
        <f>IF($R533="MTO","",
IF($H533=0,ROUNDUP(((_xlfn.XLOOKUP($A533,'[1]DATOS PBI Artículos'!$A:$A,'[1]DATOS PBI Artículos'!$AL:$AL))/(_xlfn.XLOOKUP($AF$1,[1]CRITERIOS!$S$16:$S$39,[1]CRITERIOS!$Y$16:$Y$39))*$J533+$Z533)/$G533,0)*$G533,
((_xlfn.XLOOKUP($A533,'[1]DATOS PBI Artículos'!$A:$A,'[1]DATOS PBI Artículos'!$AL:$AL))/(_xlfn.XLOOKUP($AF$1,[1]CRITERIOS!$S$16:$S$39,[1]CRITERIOS!$Y$16:$Y$39))*$J533+$Z533)))</f>
        <v>#N/A</v>
      </c>
      <c r="AG533" s="39" t="e">
        <f>IF($R533="MTO","",
IF($H533=0,ROUNDUP(((_xlfn.XLOOKUP($A533,'[1]DATOS PBI Artículos'!$A:$A,'[1]DATOS PBI Artículos'!$AM:$AM))/(_xlfn.XLOOKUP($AH$1,[1]CRITERIOS!$S$16:$S$39,[1]CRITERIOS!$Y$16:$Y$39))*$J533+$Z533)/$G533,0)*$G533,
((_xlfn.XLOOKUP($A533,'[1]DATOS PBI Artículos'!$A:$A,'[1]DATOS PBI Artículos'!$AM:$AM))/(_xlfn.XLOOKUP($AH$1,[1]CRITERIOS!$S$16:$S$39,[1]CRITERIOS!$Y$16:$Y$39))*$J533+$Z533)))</f>
        <v>#N/A</v>
      </c>
      <c r="AI533" s="39" t="e">
        <f>IF($R533="MTO","",
IF($H533=0,ROUNDUP(((_xlfn.XLOOKUP($A533,'[1]DATOS PBI Artículos'!$A:$A,'[1]DATOS PBI Artículos'!$AN:$AN))/(_xlfn.XLOOKUP($AJ$1,[1]CRITERIOS!$S$16:$S$39,[1]CRITERIOS!$Y$16:$Y$39))*$J533+$Z533)/$G533,0)*$G533,
((_xlfn.XLOOKUP($A533,'[1]DATOS PBI Artículos'!$A:$A,'[1]DATOS PBI Artículos'!$AN:$AN))/(_xlfn.XLOOKUP($AJ$1,[1]CRITERIOS!$S$16:$S$39,[1]CRITERIOS!$Y$16:$Y$39))*$J533+$Z533)))</f>
        <v>#N/A</v>
      </c>
      <c r="AK533" s="39" t="e">
        <f>IF($R533="MTO","",
IF($H533=0,ROUNDUP(((_xlfn.XLOOKUP($A533,'[1]DATOS PBI Artículos'!$A:$A,'[1]DATOS PBI Artículos'!$AO:$AO))/(_xlfn.XLOOKUP($AL$1,[1]CRITERIOS!$S$16:$S$39,[1]CRITERIOS!$Y$16:$Y$39))*$J533+$Z533)/$G533,0)*$G533,
((_xlfn.XLOOKUP($A533,'[1]DATOS PBI Artículos'!$A:$A,'[1]DATOS PBI Artículos'!$AO:$AO))/(_xlfn.XLOOKUP($AL$1,[1]CRITERIOS!$S$16:$S$39,[1]CRITERIOS!$Y$16:$Y$39))*$J533+$Z533)))</f>
        <v>#N/A</v>
      </c>
    </row>
    <row r="534" spans="1:37" ht="25.8" hidden="1" x14ac:dyDescent="0.4">
      <c r="A534" s="41"/>
      <c r="B534" s="33">
        <f>_xlfn.XLOOKUP($A534,'[1]DATOS PBI Artículos'!A:A,'[1]DATOS PBI Artículos'!B:B)</f>
        <v>0</v>
      </c>
      <c r="C534" s="33">
        <f>_xlfn.XLOOKUP($A534,'[1]DATOS PBI Artículos'!A:A,'[1]DATOS PBI Artículos'!C:C)</f>
        <v>0</v>
      </c>
      <c r="D534" s="33">
        <f>_xlfn.XLOOKUP(A534,'[1]DATOS PBI Artículos'!A:A,'[1]DATOS PBI Artículos'!T:T)</f>
        <v>0</v>
      </c>
      <c r="E534" s="34">
        <f>IF(_xlfn.XLOOKUP($A534,'[1]DATOS PBI Artículos'!A:A,'[1]DATOS PBI Artículos'!AK:AK)="",_xlfn.XLOOKUP($A534,'[1]DATOS PBI Artículos'!A:A,'[1]DATOS PBI Artículos'!AJ:AJ),_xlfn.XLOOKUP($A534,'[1]DATOS PBI Artículos'!A:A,'[1]DATOS PBI Artículos'!AK:AK))</f>
        <v>0</v>
      </c>
      <c r="F534" s="35">
        <f>_xlfn.XLOOKUP($A534,'[1]DATOS PBI Artículos'!A:A,'[1]DATOS PBI Artículos'!AP:AP)</f>
        <v>0</v>
      </c>
      <c r="G534" s="34">
        <f>_xlfn.XLOOKUP($A534,'[1]DATOS PBI Artículos'!A:A,'[1]DATOS PBI Artículos'!AR:AR)</f>
        <v>0</v>
      </c>
      <c r="H534" s="34">
        <f>_xlfn.XLOOKUP($A534,'[1]DATOS PBI Artículos'!A:A,'[1]DATOS PBI Artículos'!AT:AT)</f>
        <v>0</v>
      </c>
      <c r="I534" s="34">
        <f>_xlfn.XLOOKUP($A534,'[1]DATOS PBI Artículos'!A:A,'[1]DATOS PBI Artículos'!AS:AS)</f>
        <v>0</v>
      </c>
      <c r="J534" s="35">
        <f>IF(COUNTIF([1]CRITERIOS!$F$179:$F$199,$A534)&gt;=1,
 IF(O534&lt;&gt;"",
    (O534/_xlfn.XLOOKUP(CONCATENATE(A534,L534),[1]MÁQUINAS!A:A,[1]MÁQUINAS!D:D))/24,
    (N534/_xlfn.XLOOKUP(CONCATENATE(A534,L534),[1]MÁQUINAS!A:A,[1]MÁQUINAS!D:D))/24),
  _xlfn.XLOOKUP($A534,'[1]DATOS PBI Artículos'!A:A,'[1]DATOS PBI Artículos'!AU:AU))</f>
        <v>0</v>
      </c>
      <c r="K534" s="36">
        <f>_xlfn.XLOOKUP($A534,'[1]DATOS PBI Artículos'!A:A,'[1]DATOS PBI Artículos'!AV:AV)</f>
        <v>0</v>
      </c>
      <c r="L534" s="33">
        <f>_xlfn.XLOOKUP(A534,[1]MÁQUINAS!B:B,[1]MÁQUINAS!C:C)</f>
        <v>0</v>
      </c>
      <c r="M534" s="34">
        <f t="array" ref="M534">_xlfn.XLOOKUP(A534,'[1]DATOS PBI Artículos'!A:A,'[1]DATOS PBI Artículos'!AX:$AX)</f>
        <v>0</v>
      </c>
      <c r="N534" s="37" t="e">
        <f>IF(I534="DV",
E534,
IF(COUNTIF([1]CRITERIOS!$I$179:$I$199,$A534)&gt;=1,
_xlfn.XLOOKUP($A534,[1]CRITERIOS!$I$179:$I$199,[1]CRITERIOS!$J$179:$J$199),
IF(COUNTIF([1]CRITERIOS!$L$179:$L$199,$A534)&gt;=1,
_xlfn.CEILING.MATH(IF($M534&gt;$E534,
$E534,
IF($M534&lt;$E534/ROUNDDOWN([1]CRITERIOS!$M$16/_xlfn.XLOOKUP($C534,[1]CRITERIOS!$K$25:$K$42,[1]CRITERIOS!$M$25:$M$42),
1),
E534/ROUNDDOWN([1]CRITERIOS!$M$16/_xlfn.XLOOKUP($C534,[1]CRITERIOS!$K$25:$K$42,[1]CRITERIOS!$M$25:$M$42),
1),
$M534)),
_xlfn.XLOOKUP($A534,[1]CRITERIOS!$L$179:$L$200,[1]CRITERIOS!$M$179:$M$200)),
_xlfn.CEILING.MATH(IF($M534&gt;$E534,
$E534,
IF($M534&lt;$E534/ROUNDDOWN([1]CRITERIOS!$M$16/_xlfn.XLOOKUP($C534,[1]CRITERIOS!$K$25:$K$42,[1]CRITERIOS!$M$25:$M$42),
1),
E534/ROUNDDOWN([1]CRITERIOS!$M$16/_xlfn.XLOOKUP($C534,[1]CRITERIOS!$K$25:$K$42,[1]CRITERIOS!$M$25:$M$42),
1),
$M534)),_xlfn.XLOOKUP(A534,'[1]DATOS PBI Artículos'!A:A,'[1]DATOS PBI Artículos'!Z:Z
)))))</f>
        <v>#N/A</v>
      </c>
      <c r="Q534" s="38" t="e">
        <f>IF(AND(O534="",N534=0),
0,
   IF(COUNTIF([1]CRITERIOS!$F$179:$F$199,$A534)&gt;=1,
   1,
   IF(R534="MTO",
      $D534,
      ROUNDUP(
                    IF(($E534-SUMIF('[1]DATOS PBI Artículos'!A:A,A534,'[1]DATOS PBI Artículos'!X:X)+($V534-_xlfn.XLOOKUP(A534,'[1]DATOS PBI Artículos'!A:A,'[1]DATOS PBI Artículos'!W:W)))&lt;0,
                    0,
                    IF(($E534-SUMIF('[1]DATOS PBI Artículos'!A:A,A534,'[1]DATOS PBI Artículos'!X:X)+$V534-_xlfn.XLOOKUP($A534,'[1]DATOS PBI Artículos'!A:A,'[1]DATOS PBI Artículos'!W:W))/IF($O534="",$N534,$O534)&gt;ROUNDUP([1]CRITERIOS!$M$16/(IF(COUNTIF([1]CRITERIOS!$BG$11:$BG$201,L534)&gt;=1,_xlfn.XLOOKUP($C534,[1]CRITERIOS!$K$25:$K$42,[1]CRITERIOS!$M$25:$M$42),_xlfn.XLOOKUP($C534,[1]CRITERIOS!$K$25:$K$42,[1]CRITERIOS!$M$25:$M$42))),0),
                    ROUNDUP([1]CRITERIOS!$M$16/(IF(COUNTIF([1]CRITERIOS!$BG$11:$BG$201,$L534)&gt;=1,_xlfn.XLOOKUP($C534,[1]CRITERIOS!$K$25:$K$42,[1]CRITERIOS!$M$25:$M$42),_xlfn.XLOOKUP($C534,[1]CRITERIOS!$K$25:$K$42,[1]CRITERIOS!$M$25:$M$42))),0),
                    (E534+V534-SUMIF('[1]DATOS PBI Artículos'!A:A,A534,'[1]DATOS PBI Artículos'!X:X)-_xlfn.XLOOKUP(A534,'[1]DATOS PBI Artículos'!A:A,'[1]DATOS PBI Artículos'!W:W))/IF($O534="",$N534,$O534))),0))))</f>
        <v>#N/A</v>
      </c>
      <c r="R534" s="33" t="e">
        <f>IF(U534&lt;&gt;"",U534,IF(F534="DV","MTO",IF(N534=0,"MTO",_xlfn.XLOOKUP(CONCATENATE(S534,T534),[1]CRITERIOS!$K$160:$K$168,[1]CRITERIOS!$N$160:$N$168))))</f>
        <v>#N/A</v>
      </c>
      <c r="S534" s="33" t="e">
        <f>IF(G534="DV","MTO",IF(N534=0,"MTO",IF(OR(AND(N534=0,O534=""),IF(O534="",G534/N534,G534/O534)&gt;[1]CRITERIOS!$G$163),"MTO",IF(IF(O534="",G534/N534,G534/O534)&lt;[1]CRITERIOS!$H$161,"MTS","MTOS"))))</f>
        <v>#N/A</v>
      </c>
      <c r="T534" s="33" t="e">
        <f>IF(F534="DV","MTO",IF(OR(AND($N534=0,O534=""),$F534/$J534&gt;[1]CRITERIOS!$G$170,$F534="DV"),"MTO",IF($F534/$J534&lt;[1]CRITERIOS!$H$168,"MTS","MTOS")))</f>
        <v>#N/A</v>
      </c>
      <c r="V534" s="34" t="e">
        <f t="shared" si="25"/>
        <v>#N/A</v>
      </c>
      <c r="X534" s="34" t="e">
        <f t="shared" si="26"/>
        <v>#N/A</v>
      </c>
      <c r="Y534" s="34" t="e">
        <f t="shared" si="27"/>
        <v>#N/A</v>
      </c>
      <c r="Z534" s="34" t="e">
        <f>IF($R534="MTO",
0,
($H534+$K534*($E534/[1]CRITERIOS!$M$16))/[1]CRITERIOS!$X$48)</f>
        <v>#N/A</v>
      </c>
      <c r="AA534" s="34" t="e">
        <f>ROUNDUP(($Y534/_xlfn.XLOOKUP($A534,'[1]DATOS PBI Artículos'!$A$4:$A$4,'[1]DATOS PBI Artículos'!$Z$4:$Z$4))/_xlfn.XLOOKUP(_xlfn.XLOOKUP($A534,'[1]DATOS PBI Artículos'!$A$4:$A$4,'[1]DATOS PBI Artículos'!$Y$4:$Y$4),[1]CRITERIOS!$P$79:$P$123,[1]CRITERIOS!$S$79:$S$123,),0)</f>
        <v>#N/A</v>
      </c>
      <c r="AB534" s="33" t="e">
        <f t="array" ref="AB534">IF((E534+V534-_xlfn.XLOOKUP(A534,'[1]DATOS PBI Artículos'!$A$4:$A$4,'[1]DATOS PBI Artículos'!$W$4:$W$4))/N534&gt;ROUNDUP([1]CRITERIOS!$M$16/(IF(COUNTIF([1]CRITERIOS!$BG$11:$BG$201,L534)&gt;=1,_xlfn.XLOOKUP(ARTÍCULOS!L534,[1]CRITERIOS!$BG$11:$BG$201,[1]CRITERIOS!$BJ$11:$BJ$201),_xlfn.XLOOKUP(ARTÍCULOS!C534,[1]CRITERIOS!$K$25:$K$42,[1]CRITERIOS!$M$25:$M$42))),0),ROUNDUP([1]CRITERIOS!$M$16/(IF(COUNTIF([1]CRITERIOS!$BG$11:$BG$201,L534)&gt;=1,_xlfn.XLOOKUP(ARTÍCULOS!L534,[1]CRITERIOS!$BG$11:$BG$201:#REF!,[1]CRITERIOS!$BJ$11:$BJ$201),_xlfn.XLOOKUP(ARTÍCULOS!C534,[1]CRITERIOS!$K$25:$K$42,[1]CRITERIOS!$M$25:$M$42))),0),(E534+V534-_xlfn.XLOOKUP(A534,'[1]DATOS PBI Artículos'!$A$4:$A$4,'[1]DATOS PBI Artículos'!$W$4:$W$4))/N534)</f>
        <v>#N/A</v>
      </c>
      <c r="AC534" s="33" t="e">
        <f>IF(N534=0,"",(ROUNDUP((N534/2)/(_xlfn.XLOOKUP(A534,'[1]DATOS PBI Artículos'!$A$4:$A$4,'[1]DATOS PBI Artículos'!$Z$4:$Z$4)*_xlfn.XLOOKUP(_xlfn.XLOOKUP(A534,'[1]DATOS PBI Artículos'!$A$4:$A$4,'[1]DATOS PBI Artículos'!$Y$4:$Y$4),[1]CRITERIOS!$P$79:$P$123,[1]CRITERIOS!$S$79:$S$123)),0)*[1]CRITERIOS!$M$80*([1]CRITERIOS!$M$110/[1]CRITERIOS!$M$86)+(_xlfn.XLOOKUP(A534,'[1]DATOS PBI Artículos'!$A$4:$A$4,'[1]DATOS PBI Artículos'!$AA$4:$AA$4)*([1]CRITERIOS!$M$95+[1]CRITERIOS!$M$98)))/N534)</f>
        <v>#N/A</v>
      </c>
      <c r="AD534" s="33" t="e">
        <f>IF(N534=0,"",(ROUNDUP((N534/2)/(_xlfn.XLOOKUP(A534,'[1]DATOS PBI Artículos'!$A$4:$A$4,'[1]DATOS PBI Artículos'!$Z$4:$Z$4)*_xlfn.XLOOKUP(_xlfn.XLOOKUP(A534,'[1]DATOS PBI Artículos'!$A$4:$A$4,'[1]DATOS PBI Artículos'!$Y$4:$Y$4),[1]CRITERIOS!$P$79:$P$123,[1]CRITERIOS!$S$79:$S$123)),0)*[1]CRITERIOS!$M$80*([1]CRITERIOS!$M$89*[1]CRITERIOS!$M$92)+((_xlfn.XLOOKUP(A534,'[1]DATOS PBI Artículos'!$A$4:$A$4,'[1]DATOS PBI Artículos'!$AA$4:$AA$4)/2)*([1]CRITERIOS!$M$95+[1]CRITERIOS!$M$98)))/N534)</f>
        <v>#N/A</v>
      </c>
      <c r="AE534" s="39" t="e">
        <f>IF($R534="MTO","",
IF($H534=0,ROUNDUP(((_xlfn.XLOOKUP($A534,'[1]DATOS PBI Artículos'!$A:$A,'[1]DATOS PBI Artículos'!$AL:$AL))/(_xlfn.XLOOKUP($AF$1,[1]CRITERIOS!$S$16:$S$39,[1]CRITERIOS!$Y$16:$Y$39))*$J534+$Z534)/$G534,0)*$G534,
((_xlfn.XLOOKUP($A534,'[1]DATOS PBI Artículos'!$A:$A,'[1]DATOS PBI Artículos'!$AL:$AL))/(_xlfn.XLOOKUP($AF$1,[1]CRITERIOS!$S$16:$S$39,[1]CRITERIOS!$Y$16:$Y$39))*$J534+$Z534)))</f>
        <v>#N/A</v>
      </c>
      <c r="AG534" s="39" t="e">
        <f>IF($R534="MTO","",
IF($H534=0,ROUNDUP(((_xlfn.XLOOKUP($A534,'[1]DATOS PBI Artículos'!$A:$A,'[1]DATOS PBI Artículos'!$AM:$AM))/(_xlfn.XLOOKUP($AH$1,[1]CRITERIOS!$S$16:$S$39,[1]CRITERIOS!$Y$16:$Y$39))*$J534+$Z534)/$G534,0)*$G534,
((_xlfn.XLOOKUP($A534,'[1]DATOS PBI Artículos'!$A:$A,'[1]DATOS PBI Artículos'!$AM:$AM))/(_xlfn.XLOOKUP($AH$1,[1]CRITERIOS!$S$16:$S$39,[1]CRITERIOS!$Y$16:$Y$39))*$J534+$Z534)))</f>
        <v>#N/A</v>
      </c>
      <c r="AI534" s="39" t="e">
        <f>IF($R534="MTO","",
IF($H534=0,ROUNDUP(((_xlfn.XLOOKUP($A534,'[1]DATOS PBI Artículos'!$A:$A,'[1]DATOS PBI Artículos'!$AN:$AN))/(_xlfn.XLOOKUP($AJ$1,[1]CRITERIOS!$S$16:$S$39,[1]CRITERIOS!$Y$16:$Y$39))*$J534+$Z534)/$G534,0)*$G534,
((_xlfn.XLOOKUP($A534,'[1]DATOS PBI Artículos'!$A:$A,'[1]DATOS PBI Artículos'!$AN:$AN))/(_xlfn.XLOOKUP($AJ$1,[1]CRITERIOS!$S$16:$S$39,[1]CRITERIOS!$Y$16:$Y$39))*$J534+$Z534)))</f>
        <v>#N/A</v>
      </c>
      <c r="AK534" s="39" t="e">
        <f>IF($R534="MTO","",
IF($H534=0,ROUNDUP(((_xlfn.XLOOKUP($A534,'[1]DATOS PBI Artículos'!$A:$A,'[1]DATOS PBI Artículos'!$AO:$AO))/(_xlfn.XLOOKUP($AL$1,[1]CRITERIOS!$S$16:$S$39,[1]CRITERIOS!$Y$16:$Y$39))*$J534+$Z534)/$G534,0)*$G534,
((_xlfn.XLOOKUP($A534,'[1]DATOS PBI Artículos'!$A:$A,'[1]DATOS PBI Artículos'!$AO:$AO))/(_xlfn.XLOOKUP($AL$1,[1]CRITERIOS!$S$16:$S$39,[1]CRITERIOS!$Y$16:$Y$39))*$J534+$Z534)))</f>
        <v>#N/A</v>
      </c>
    </row>
    <row r="535" spans="1:37" ht="25.8" hidden="1" x14ac:dyDescent="0.4">
      <c r="A535" s="41"/>
      <c r="B535" s="33">
        <f>_xlfn.XLOOKUP($A535,'[1]DATOS PBI Artículos'!A:A,'[1]DATOS PBI Artículos'!B:B)</f>
        <v>0</v>
      </c>
      <c r="C535" s="33">
        <f>_xlfn.XLOOKUP($A535,'[1]DATOS PBI Artículos'!A:A,'[1]DATOS PBI Artículos'!C:C)</f>
        <v>0</v>
      </c>
      <c r="D535" s="33">
        <f>_xlfn.XLOOKUP(A535,'[1]DATOS PBI Artículos'!A:A,'[1]DATOS PBI Artículos'!T:T)</f>
        <v>0</v>
      </c>
      <c r="E535" s="34">
        <f>IF(_xlfn.XLOOKUP($A535,'[1]DATOS PBI Artículos'!A:A,'[1]DATOS PBI Artículos'!AK:AK)="",_xlfn.XLOOKUP($A535,'[1]DATOS PBI Artículos'!A:A,'[1]DATOS PBI Artículos'!AJ:AJ),_xlfn.XLOOKUP($A535,'[1]DATOS PBI Artículos'!A:A,'[1]DATOS PBI Artículos'!AK:AK))</f>
        <v>0</v>
      </c>
      <c r="F535" s="35">
        <f>_xlfn.XLOOKUP($A535,'[1]DATOS PBI Artículos'!A:A,'[1]DATOS PBI Artículos'!AP:AP)</f>
        <v>0</v>
      </c>
      <c r="G535" s="34">
        <f>_xlfn.XLOOKUP($A535,'[1]DATOS PBI Artículos'!A:A,'[1]DATOS PBI Artículos'!AR:AR)</f>
        <v>0</v>
      </c>
      <c r="H535" s="34">
        <f>_xlfn.XLOOKUP($A535,'[1]DATOS PBI Artículos'!A:A,'[1]DATOS PBI Artículos'!AT:AT)</f>
        <v>0</v>
      </c>
      <c r="I535" s="34">
        <f>_xlfn.XLOOKUP($A535,'[1]DATOS PBI Artículos'!A:A,'[1]DATOS PBI Artículos'!AS:AS)</f>
        <v>0</v>
      </c>
      <c r="J535" s="35">
        <f>IF(COUNTIF([1]CRITERIOS!$F$179:$F$199,$A535)&gt;=1,
 IF(O535&lt;&gt;"",
    (O535/_xlfn.XLOOKUP(CONCATENATE(A535,L535),[1]MÁQUINAS!A:A,[1]MÁQUINAS!D:D))/24,
    (N535/_xlfn.XLOOKUP(CONCATENATE(A535,L535),[1]MÁQUINAS!A:A,[1]MÁQUINAS!D:D))/24),
  _xlfn.XLOOKUP($A535,'[1]DATOS PBI Artículos'!A:A,'[1]DATOS PBI Artículos'!AU:AU))</f>
        <v>0</v>
      </c>
      <c r="K535" s="36">
        <f>_xlfn.XLOOKUP($A535,'[1]DATOS PBI Artículos'!A:A,'[1]DATOS PBI Artículos'!AV:AV)</f>
        <v>0</v>
      </c>
      <c r="L535" s="33">
        <f>_xlfn.XLOOKUP(A535,[1]MÁQUINAS!B:B,[1]MÁQUINAS!C:C)</f>
        <v>0</v>
      </c>
      <c r="M535" s="34">
        <f t="array" ref="M535">_xlfn.XLOOKUP(A535,'[1]DATOS PBI Artículos'!A:A,'[1]DATOS PBI Artículos'!AX:$AX)</f>
        <v>0</v>
      </c>
      <c r="N535" s="37" t="e">
        <f>IF(I535="DV",
E535,
IF(COUNTIF([1]CRITERIOS!$I$179:$I$199,$A535)&gt;=1,
_xlfn.XLOOKUP($A535,[1]CRITERIOS!$I$179:$I$199,[1]CRITERIOS!$J$179:$J$199),
IF(COUNTIF([1]CRITERIOS!$L$179:$L$199,$A535)&gt;=1,
_xlfn.CEILING.MATH(IF($M535&gt;$E535,
$E535,
IF($M535&lt;$E535/ROUNDDOWN([1]CRITERIOS!$M$16/_xlfn.XLOOKUP($C535,[1]CRITERIOS!$K$25:$K$42,[1]CRITERIOS!$M$25:$M$42),
1),
E535/ROUNDDOWN([1]CRITERIOS!$M$16/_xlfn.XLOOKUP($C535,[1]CRITERIOS!$K$25:$K$42,[1]CRITERIOS!$M$25:$M$42),
1),
$M535)),
_xlfn.XLOOKUP($A535,[1]CRITERIOS!$L$179:$L$200,[1]CRITERIOS!$M$179:$M$200)),
_xlfn.CEILING.MATH(IF($M535&gt;$E535,
$E535,
IF($M535&lt;$E535/ROUNDDOWN([1]CRITERIOS!$M$16/_xlfn.XLOOKUP($C535,[1]CRITERIOS!$K$25:$K$42,[1]CRITERIOS!$M$25:$M$42),
1),
E535/ROUNDDOWN([1]CRITERIOS!$M$16/_xlfn.XLOOKUP($C535,[1]CRITERIOS!$K$25:$K$42,[1]CRITERIOS!$M$25:$M$42),
1),
$M535)),_xlfn.XLOOKUP(A535,'[1]DATOS PBI Artículos'!A:A,'[1]DATOS PBI Artículos'!Z:Z
)))))</f>
        <v>#N/A</v>
      </c>
      <c r="Q535" s="38" t="e">
        <f>IF(AND(O535="",N535=0),
0,
   IF(COUNTIF([1]CRITERIOS!$F$179:$F$199,$A535)&gt;=1,
   1,
   IF(R535="MTO",
      $D535,
      ROUNDUP(
                    IF(($E535-SUMIF('[1]DATOS PBI Artículos'!A:A,A535,'[1]DATOS PBI Artículos'!X:X)+($V535-_xlfn.XLOOKUP(A535,'[1]DATOS PBI Artículos'!A:A,'[1]DATOS PBI Artículos'!W:W)))&lt;0,
                    0,
                    IF(($E535-SUMIF('[1]DATOS PBI Artículos'!A:A,A535,'[1]DATOS PBI Artículos'!X:X)+$V535-_xlfn.XLOOKUP($A535,'[1]DATOS PBI Artículos'!A:A,'[1]DATOS PBI Artículos'!W:W))/IF($O535="",$N535,$O535)&gt;ROUNDUP([1]CRITERIOS!$M$16/(IF(COUNTIF([1]CRITERIOS!$BG$11:$BG$201,L535)&gt;=1,_xlfn.XLOOKUP($C535,[1]CRITERIOS!$K$25:$K$42,[1]CRITERIOS!$M$25:$M$42),_xlfn.XLOOKUP($C535,[1]CRITERIOS!$K$25:$K$42,[1]CRITERIOS!$M$25:$M$42))),0),
                    ROUNDUP([1]CRITERIOS!$M$16/(IF(COUNTIF([1]CRITERIOS!$BG$11:$BG$201,$L535)&gt;=1,_xlfn.XLOOKUP($C535,[1]CRITERIOS!$K$25:$K$42,[1]CRITERIOS!$M$25:$M$42),_xlfn.XLOOKUP($C535,[1]CRITERIOS!$K$25:$K$42,[1]CRITERIOS!$M$25:$M$42))),0),
                    (E535+V535-SUMIF('[1]DATOS PBI Artículos'!A:A,A535,'[1]DATOS PBI Artículos'!X:X)-_xlfn.XLOOKUP(A535,'[1]DATOS PBI Artículos'!A:A,'[1]DATOS PBI Artículos'!W:W))/IF($O535="",$N535,$O535))),0))))</f>
        <v>#N/A</v>
      </c>
      <c r="R535" s="33" t="e">
        <f>IF(U535&lt;&gt;"",U535,IF(F535="DV","MTO",IF(N535=0,"MTO",_xlfn.XLOOKUP(CONCATENATE(S535,T535),[1]CRITERIOS!$K$160:$K$168,[1]CRITERIOS!$N$160:$N$168))))</f>
        <v>#N/A</v>
      </c>
      <c r="S535" s="33" t="e">
        <f>IF(G535="DV","MTO",IF(N535=0,"MTO",IF(OR(AND(N535=0,O535=""),IF(O535="",G535/N535,G535/O535)&gt;[1]CRITERIOS!$G$163),"MTO",IF(IF(O535="",G535/N535,G535/O535)&lt;[1]CRITERIOS!$H$161,"MTS","MTOS"))))</f>
        <v>#N/A</v>
      </c>
      <c r="T535" s="33" t="e">
        <f>IF(F535="DV","MTO",IF(OR(AND($N535=0,O535=""),$F535/$J535&gt;[1]CRITERIOS!$G$170,$F535="DV"),"MTO",IF($F535/$J535&lt;[1]CRITERIOS!$H$168,"MTS","MTOS")))</f>
        <v>#N/A</v>
      </c>
      <c r="V535" s="34" t="e">
        <f t="shared" si="25"/>
        <v>#N/A</v>
      </c>
      <c r="X535" s="34" t="e">
        <f t="shared" si="26"/>
        <v>#N/A</v>
      </c>
      <c r="Y535" s="34" t="e">
        <f t="shared" si="27"/>
        <v>#N/A</v>
      </c>
      <c r="Z535" s="34" t="e">
        <f>IF($R535="MTO",
0,
($H535+$K535*($E535/[1]CRITERIOS!$M$16))/[1]CRITERIOS!$X$48)</f>
        <v>#N/A</v>
      </c>
      <c r="AA535" s="34" t="e">
        <f>ROUNDUP(($Y535/_xlfn.XLOOKUP($A535,'[1]DATOS PBI Artículos'!$A$4:$A$4,'[1]DATOS PBI Artículos'!$Z$4:$Z$4))/_xlfn.XLOOKUP(_xlfn.XLOOKUP($A535,'[1]DATOS PBI Artículos'!$A$4:$A$4,'[1]DATOS PBI Artículos'!$Y$4:$Y$4),[1]CRITERIOS!$P$79:$P$123,[1]CRITERIOS!$S$79:$S$123,),0)</f>
        <v>#N/A</v>
      </c>
      <c r="AB535" s="33" t="e">
        <f t="array" ref="AB535">IF((E535+V535-_xlfn.XLOOKUP(A535,'[1]DATOS PBI Artículos'!$A$4:$A$4,'[1]DATOS PBI Artículos'!$W$4:$W$4))/N535&gt;ROUNDUP([1]CRITERIOS!$M$16/(IF(COUNTIF([1]CRITERIOS!$BG$11:$BG$201,L535)&gt;=1,_xlfn.XLOOKUP(ARTÍCULOS!L535,[1]CRITERIOS!$BG$11:$BG$201,[1]CRITERIOS!$BJ$11:$BJ$201),_xlfn.XLOOKUP(ARTÍCULOS!C535,[1]CRITERIOS!$K$25:$K$42,[1]CRITERIOS!$M$25:$M$42))),0),ROUNDUP([1]CRITERIOS!$M$16/(IF(COUNTIF([1]CRITERIOS!$BG$11:$BG$201,L535)&gt;=1,_xlfn.XLOOKUP(ARTÍCULOS!L535,[1]CRITERIOS!$BG$11:$BG$201:#REF!,[1]CRITERIOS!$BJ$11:$BJ$201),_xlfn.XLOOKUP(ARTÍCULOS!C535,[1]CRITERIOS!$K$25:$K$42,[1]CRITERIOS!$M$25:$M$42))),0),(E535+V535-_xlfn.XLOOKUP(A535,'[1]DATOS PBI Artículos'!$A$4:$A$4,'[1]DATOS PBI Artículos'!$W$4:$W$4))/N535)</f>
        <v>#N/A</v>
      </c>
      <c r="AC535" s="33" t="e">
        <f>IF(N535=0,"",(ROUNDUP((N535/2)/(_xlfn.XLOOKUP(A535,'[1]DATOS PBI Artículos'!$A$4:$A$4,'[1]DATOS PBI Artículos'!$Z$4:$Z$4)*_xlfn.XLOOKUP(_xlfn.XLOOKUP(A535,'[1]DATOS PBI Artículos'!$A$4:$A$4,'[1]DATOS PBI Artículos'!$Y$4:$Y$4),[1]CRITERIOS!$P$79:$P$123,[1]CRITERIOS!$S$79:$S$123)),0)*[1]CRITERIOS!$M$80*([1]CRITERIOS!$M$110/[1]CRITERIOS!$M$86)+(_xlfn.XLOOKUP(A535,'[1]DATOS PBI Artículos'!$A$4:$A$4,'[1]DATOS PBI Artículos'!$AA$4:$AA$4)*([1]CRITERIOS!$M$95+[1]CRITERIOS!$M$98)))/N535)</f>
        <v>#N/A</v>
      </c>
      <c r="AD535" s="33" t="e">
        <f>IF(N535=0,"",(ROUNDUP((N535/2)/(_xlfn.XLOOKUP(A535,'[1]DATOS PBI Artículos'!$A$4:$A$4,'[1]DATOS PBI Artículos'!$Z$4:$Z$4)*_xlfn.XLOOKUP(_xlfn.XLOOKUP(A535,'[1]DATOS PBI Artículos'!$A$4:$A$4,'[1]DATOS PBI Artículos'!$Y$4:$Y$4),[1]CRITERIOS!$P$79:$P$123,[1]CRITERIOS!$S$79:$S$123)),0)*[1]CRITERIOS!$M$80*([1]CRITERIOS!$M$89*[1]CRITERIOS!$M$92)+((_xlfn.XLOOKUP(A535,'[1]DATOS PBI Artículos'!$A$4:$A$4,'[1]DATOS PBI Artículos'!$AA$4:$AA$4)/2)*([1]CRITERIOS!$M$95+[1]CRITERIOS!$M$98)))/N535)</f>
        <v>#N/A</v>
      </c>
      <c r="AE535" s="39" t="e">
        <f>IF($R535="MTO","",
IF($H535=0,ROUNDUP(((_xlfn.XLOOKUP($A535,'[1]DATOS PBI Artículos'!$A:$A,'[1]DATOS PBI Artículos'!$AL:$AL))/(_xlfn.XLOOKUP($AF$1,[1]CRITERIOS!$S$16:$S$39,[1]CRITERIOS!$Y$16:$Y$39))*$J535+$Z535)/$G535,0)*$G535,
((_xlfn.XLOOKUP($A535,'[1]DATOS PBI Artículos'!$A:$A,'[1]DATOS PBI Artículos'!$AL:$AL))/(_xlfn.XLOOKUP($AF$1,[1]CRITERIOS!$S$16:$S$39,[1]CRITERIOS!$Y$16:$Y$39))*$J535+$Z535)))</f>
        <v>#N/A</v>
      </c>
      <c r="AG535" s="39" t="e">
        <f>IF($R535="MTO","",
IF($H535=0,ROUNDUP(((_xlfn.XLOOKUP($A535,'[1]DATOS PBI Artículos'!$A:$A,'[1]DATOS PBI Artículos'!$AM:$AM))/(_xlfn.XLOOKUP($AH$1,[1]CRITERIOS!$S$16:$S$39,[1]CRITERIOS!$Y$16:$Y$39))*$J535+$Z535)/$G535,0)*$G535,
((_xlfn.XLOOKUP($A535,'[1]DATOS PBI Artículos'!$A:$A,'[1]DATOS PBI Artículos'!$AM:$AM))/(_xlfn.XLOOKUP($AH$1,[1]CRITERIOS!$S$16:$S$39,[1]CRITERIOS!$Y$16:$Y$39))*$J535+$Z535)))</f>
        <v>#N/A</v>
      </c>
      <c r="AI535" s="39" t="e">
        <f>IF($R535="MTO","",
IF($H535=0,ROUNDUP(((_xlfn.XLOOKUP($A535,'[1]DATOS PBI Artículos'!$A:$A,'[1]DATOS PBI Artículos'!$AN:$AN))/(_xlfn.XLOOKUP($AJ$1,[1]CRITERIOS!$S$16:$S$39,[1]CRITERIOS!$Y$16:$Y$39))*$J535+$Z535)/$G535,0)*$G535,
((_xlfn.XLOOKUP($A535,'[1]DATOS PBI Artículos'!$A:$A,'[1]DATOS PBI Artículos'!$AN:$AN))/(_xlfn.XLOOKUP($AJ$1,[1]CRITERIOS!$S$16:$S$39,[1]CRITERIOS!$Y$16:$Y$39))*$J535+$Z535)))</f>
        <v>#N/A</v>
      </c>
      <c r="AK535" s="39" t="e">
        <f>IF($R535="MTO","",
IF($H535=0,ROUNDUP(((_xlfn.XLOOKUP($A535,'[1]DATOS PBI Artículos'!$A:$A,'[1]DATOS PBI Artículos'!$AO:$AO))/(_xlfn.XLOOKUP($AL$1,[1]CRITERIOS!$S$16:$S$39,[1]CRITERIOS!$Y$16:$Y$39))*$J535+$Z535)/$G535,0)*$G535,
((_xlfn.XLOOKUP($A535,'[1]DATOS PBI Artículos'!$A:$A,'[1]DATOS PBI Artículos'!$AO:$AO))/(_xlfn.XLOOKUP($AL$1,[1]CRITERIOS!$S$16:$S$39,[1]CRITERIOS!$Y$16:$Y$39))*$J535+$Z535)))</f>
        <v>#N/A</v>
      </c>
    </row>
    <row r="536" spans="1:37" ht="25.8" hidden="1" x14ac:dyDescent="0.4">
      <c r="A536" s="41"/>
      <c r="B536" s="33">
        <f>_xlfn.XLOOKUP($A536,'[1]DATOS PBI Artículos'!A:A,'[1]DATOS PBI Artículos'!B:B)</f>
        <v>0</v>
      </c>
      <c r="C536" s="33">
        <f>_xlfn.XLOOKUP($A536,'[1]DATOS PBI Artículos'!A:A,'[1]DATOS PBI Artículos'!C:C)</f>
        <v>0</v>
      </c>
      <c r="D536" s="33">
        <f>_xlfn.XLOOKUP(A536,'[1]DATOS PBI Artículos'!A:A,'[1]DATOS PBI Artículos'!T:T)</f>
        <v>0</v>
      </c>
      <c r="E536" s="34">
        <f>IF(_xlfn.XLOOKUP($A536,'[1]DATOS PBI Artículos'!A:A,'[1]DATOS PBI Artículos'!AK:AK)="",_xlfn.XLOOKUP($A536,'[1]DATOS PBI Artículos'!A:A,'[1]DATOS PBI Artículos'!AJ:AJ),_xlfn.XLOOKUP($A536,'[1]DATOS PBI Artículos'!A:A,'[1]DATOS PBI Artículos'!AK:AK))</f>
        <v>0</v>
      </c>
      <c r="F536" s="35">
        <f>_xlfn.XLOOKUP($A536,'[1]DATOS PBI Artículos'!A:A,'[1]DATOS PBI Artículos'!AP:AP)</f>
        <v>0</v>
      </c>
      <c r="G536" s="34">
        <f>_xlfn.XLOOKUP($A536,'[1]DATOS PBI Artículos'!A:A,'[1]DATOS PBI Artículos'!AR:AR)</f>
        <v>0</v>
      </c>
      <c r="H536" s="34">
        <f>_xlfn.XLOOKUP($A536,'[1]DATOS PBI Artículos'!A:A,'[1]DATOS PBI Artículos'!AT:AT)</f>
        <v>0</v>
      </c>
      <c r="I536" s="34">
        <f>_xlfn.XLOOKUP($A536,'[1]DATOS PBI Artículos'!A:A,'[1]DATOS PBI Artículos'!AS:AS)</f>
        <v>0</v>
      </c>
      <c r="J536" s="35">
        <f>IF(COUNTIF([1]CRITERIOS!$F$179:$F$199,$A536)&gt;=1,
 IF(O536&lt;&gt;"",
    (O536/_xlfn.XLOOKUP(CONCATENATE(A536,L536),[1]MÁQUINAS!A:A,[1]MÁQUINAS!D:D))/24,
    (N536/_xlfn.XLOOKUP(CONCATENATE(A536,L536),[1]MÁQUINAS!A:A,[1]MÁQUINAS!D:D))/24),
  _xlfn.XLOOKUP($A536,'[1]DATOS PBI Artículos'!A:A,'[1]DATOS PBI Artículos'!AU:AU))</f>
        <v>0</v>
      </c>
      <c r="K536" s="36">
        <f>_xlfn.XLOOKUP($A536,'[1]DATOS PBI Artículos'!A:A,'[1]DATOS PBI Artículos'!AV:AV)</f>
        <v>0</v>
      </c>
      <c r="L536" s="33">
        <f>_xlfn.XLOOKUP(A536,[1]MÁQUINAS!B:B,[1]MÁQUINAS!C:C)</f>
        <v>0</v>
      </c>
      <c r="M536" s="34">
        <f t="array" ref="M536">_xlfn.XLOOKUP(A536,'[1]DATOS PBI Artículos'!A:A,'[1]DATOS PBI Artículos'!AX:$AX)</f>
        <v>0</v>
      </c>
      <c r="N536" s="37" t="e">
        <f>IF(I536="DV",
E536,
IF(COUNTIF([1]CRITERIOS!$I$179:$I$199,$A536)&gt;=1,
_xlfn.XLOOKUP($A536,[1]CRITERIOS!$I$179:$I$199,[1]CRITERIOS!$J$179:$J$199),
IF(COUNTIF([1]CRITERIOS!$L$179:$L$199,$A536)&gt;=1,
_xlfn.CEILING.MATH(IF($M536&gt;$E536,
$E536,
IF($M536&lt;$E536/ROUNDDOWN([1]CRITERIOS!$M$16/_xlfn.XLOOKUP($C536,[1]CRITERIOS!$K$25:$K$42,[1]CRITERIOS!$M$25:$M$42),
1),
E536/ROUNDDOWN([1]CRITERIOS!$M$16/_xlfn.XLOOKUP($C536,[1]CRITERIOS!$K$25:$K$42,[1]CRITERIOS!$M$25:$M$42),
1),
$M536)),
_xlfn.XLOOKUP($A536,[1]CRITERIOS!$L$179:$L$200,[1]CRITERIOS!$M$179:$M$200)),
_xlfn.CEILING.MATH(IF($M536&gt;$E536,
$E536,
IF($M536&lt;$E536/ROUNDDOWN([1]CRITERIOS!$M$16/_xlfn.XLOOKUP($C536,[1]CRITERIOS!$K$25:$K$42,[1]CRITERIOS!$M$25:$M$42),
1),
E536/ROUNDDOWN([1]CRITERIOS!$M$16/_xlfn.XLOOKUP($C536,[1]CRITERIOS!$K$25:$K$42,[1]CRITERIOS!$M$25:$M$42),
1),
$M536)),_xlfn.XLOOKUP(A536,'[1]DATOS PBI Artículos'!A:A,'[1]DATOS PBI Artículos'!Z:Z
)))))</f>
        <v>#N/A</v>
      </c>
      <c r="Q536" s="38" t="e">
        <f>IF(AND(O536="",N536=0),
0,
   IF(COUNTIF([1]CRITERIOS!$F$179:$F$199,$A536)&gt;=1,
   1,
   IF(R536="MTO",
      $D536,
      ROUNDUP(
                    IF(($E536-SUMIF('[1]DATOS PBI Artículos'!A:A,A536,'[1]DATOS PBI Artículos'!X:X)+($V536-_xlfn.XLOOKUP(A536,'[1]DATOS PBI Artículos'!A:A,'[1]DATOS PBI Artículos'!W:W)))&lt;0,
                    0,
                    IF(($E536-SUMIF('[1]DATOS PBI Artículos'!A:A,A536,'[1]DATOS PBI Artículos'!X:X)+$V536-_xlfn.XLOOKUP($A536,'[1]DATOS PBI Artículos'!A:A,'[1]DATOS PBI Artículos'!W:W))/IF($O536="",$N536,$O536)&gt;ROUNDUP([1]CRITERIOS!$M$16/(IF(COUNTIF([1]CRITERIOS!$BG$11:$BG$201,L536)&gt;=1,_xlfn.XLOOKUP($C536,[1]CRITERIOS!$K$25:$K$42,[1]CRITERIOS!$M$25:$M$42),_xlfn.XLOOKUP($C536,[1]CRITERIOS!$K$25:$K$42,[1]CRITERIOS!$M$25:$M$42))),0),
                    ROUNDUP([1]CRITERIOS!$M$16/(IF(COUNTIF([1]CRITERIOS!$BG$11:$BG$201,$L536)&gt;=1,_xlfn.XLOOKUP($C536,[1]CRITERIOS!$K$25:$K$42,[1]CRITERIOS!$M$25:$M$42),_xlfn.XLOOKUP($C536,[1]CRITERIOS!$K$25:$K$42,[1]CRITERIOS!$M$25:$M$42))),0),
                    (E536+V536-SUMIF('[1]DATOS PBI Artículos'!A:A,A536,'[1]DATOS PBI Artículos'!X:X)-_xlfn.XLOOKUP(A536,'[1]DATOS PBI Artículos'!A:A,'[1]DATOS PBI Artículos'!W:W))/IF($O536="",$N536,$O536))),0))))</f>
        <v>#N/A</v>
      </c>
      <c r="R536" s="33" t="e">
        <f>IF(U536&lt;&gt;"",U536,IF(F536="DV","MTO",IF(N536=0,"MTO",_xlfn.XLOOKUP(CONCATENATE(S536,T536),[1]CRITERIOS!$K$160:$K$168,[1]CRITERIOS!$N$160:$N$168))))</f>
        <v>#N/A</v>
      </c>
      <c r="S536" s="33" t="e">
        <f>IF(G536="DV","MTO",IF(N536=0,"MTO",IF(OR(AND(N536=0,O536=""),IF(O536="",G536/N536,G536/O536)&gt;[1]CRITERIOS!$G$163),"MTO",IF(IF(O536="",G536/N536,G536/O536)&lt;[1]CRITERIOS!$H$161,"MTS","MTOS"))))</f>
        <v>#N/A</v>
      </c>
      <c r="T536" s="33" t="e">
        <f>IF(F536="DV","MTO",IF(OR(AND($N536=0,O536=""),$F536/$J536&gt;[1]CRITERIOS!$G$170,$F536="DV"),"MTO",IF($F536/$J536&lt;[1]CRITERIOS!$H$168,"MTS","MTOS")))</f>
        <v>#N/A</v>
      </c>
      <c r="V536" s="34" t="e">
        <f t="shared" si="25"/>
        <v>#N/A</v>
      </c>
      <c r="X536" s="34" t="e">
        <f t="shared" si="26"/>
        <v>#N/A</v>
      </c>
      <c r="Y536" s="34" t="e">
        <f t="shared" si="27"/>
        <v>#N/A</v>
      </c>
      <c r="Z536" s="34" t="e">
        <f>IF($R536="MTO",
0,
($H536+$K536*($E536/[1]CRITERIOS!$M$16))/[1]CRITERIOS!$X$48)</f>
        <v>#N/A</v>
      </c>
      <c r="AA536" s="34" t="e">
        <f>ROUNDUP(($Y536/_xlfn.XLOOKUP($A536,'[1]DATOS PBI Artículos'!$A$4:$A$4,'[1]DATOS PBI Artículos'!$Z$4:$Z$4))/_xlfn.XLOOKUP(_xlfn.XLOOKUP($A536,'[1]DATOS PBI Artículos'!$A$4:$A$4,'[1]DATOS PBI Artículos'!$Y$4:$Y$4),[1]CRITERIOS!$P$79:$P$123,[1]CRITERIOS!$S$79:$S$123,),0)</f>
        <v>#N/A</v>
      </c>
      <c r="AB536" s="33" t="e">
        <f t="array" ref="AB536">IF((E536+V536-_xlfn.XLOOKUP(A536,'[1]DATOS PBI Artículos'!$A$4:$A$4,'[1]DATOS PBI Artículos'!$W$4:$W$4))/N536&gt;ROUNDUP([1]CRITERIOS!$M$16/(IF(COUNTIF([1]CRITERIOS!$BG$11:$BG$201,L536)&gt;=1,_xlfn.XLOOKUP(ARTÍCULOS!L536,[1]CRITERIOS!$BG$11:$BG$201,[1]CRITERIOS!$BJ$11:$BJ$201),_xlfn.XLOOKUP(ARTÍCULOS!C536,[1]CRITERIOS!$K$25:$K$42,[1]CRITERIOS!$M$25:$M$42))),0),ROUNDUP([1]CRITERIOS!$M$16/(IF(COUNTIF([1]CRITERIOS!$BG$11:$BG$201,L536)&gt;=1,_xlfn.XLOOKUP(ARTÍCULOS!L536,[1]CRITERIOS!$BG$11:$BG$201:#REF!,[1]CRITERIOS!$BJ$11:$BJ$201),_xlfn.XLOOKUP(ARTÍCULOS!C536,[1]CRITERIOS!$K$25:$K$42,[1]CRITERIOS!$M$25:$M$42))),0),(E536+V536-_xlfn.XLOOKUP(A536,'[1]DATOS PBI Artículos'!$A$4:$A$4,'[1]DATOS PBI Artículos'!$W$4:$W$4))/N536)</f>
        <v>#N/A</v>
      </c>
      <c r="AC536" s="33" t="e">
        <f>IF(N536=0,"",(ROUNDUP((N536/2)/(_xlfn.XLOOKUP(A536,'[1]DATOS PBI Artículos'!$A$4:$A$4,'[1]DATOS PBI Artículos'!$Z$4:$Z$4)*_xlfn.XLOOKUP(_xlfn.XLOOKUP(A536,'[1]DATOS PBI Artículos'!$A$4:$A$4,'[1]DATOS PBI Artículos'!$Y$4:$Y$4),[1]CRITERIOS!$P$79:$P$123,[1]CRITERIOS!$S$79:$S$123)),0)*[1]CRITERIOS!$M$80*([1]CRITERIOS!$M$110/[1]CRITERIOS!$M$86)+(_xlfn.XLOOKUP(A536,'[1]DATOS PBI Artículos'!$A$4:$A$4,'[1]DATOS PBI Artículos'!$AA$4:$AA$4)*([1]CRITERIOS!$M$95+[1]CRITERIOS!$M$98)))/N536)</f>
        <v>#N/A</v>
      </c>
      <c r="AD536" s="33" t="e">
        <f>IF(N536=0,"",(ROUNDUP((N536/2)/(_xlfn.XLOOKUP(A536,'[1]DATOS PBI Artículos'!$A$4:$A$4,'[1]DATOS PBI Artículos'!$Z$4:$Z$4)*_xlfn.XLOOKUP(_xlfn.XLOOKUP(A536,'[1]DATOS PBI Artículos'!$A$4:$A$4,'[1]DATOS PBI Artículos'!$Y$4:$Y$4),[1]CRITERIOS!$P$79:$P$123,[1]CRITERIOS!$S$79:$S$123)),0)*[1]CRITERIOS!$M$80*([1]CRITERIOS!$M$89*[1]CRITERIOS!$M$92)+((_xlfn.XLOOKUP(A536,'[1]DATOS PBI Artículos'!$A$4:$A$4,'[1]DATOS PBI Artículos'!$AA$4:$AA$4)/2)*([1]CRITERIOS!$M$95+[1]CRITERIOS!$M$98)))/N536)</f>
        <v>#N/A</v>
      </c>
      <c r="AE536" s="39" t="e">
        <f>IF($R536="MTO","",
IF($H536=0,ROUNDUP(((_xlfn.XLOOKUP($A536,'[1]DATOS PBI Artículos'!$A:$A,'[1]DATOS PBI Artículos'!$AL:$AL))/(_xlfn.XLOOKUP($AF$1,[1]CRITERIOS!$S$16:$S$39,[1]CRITERIOS!$Y$16:$Y$39))*$J536+$Z536)/$G536,0)*$G536,
((_xlfn.XLOOKUP($A536,'[1]DATOS PBI Artículos'!$A:$A,'[1]DATOS PBI Artículos'!$AL:$AL))/(_xlfn.XLOOKUP($AF$1,[1]CRITERIOS!$S$16:$S$39,[1]CRITERIOS!$Y$16:$Y$39))*$J536+$Z536)))</f>
        <v>#N/A</v>
      </c>
      <c r="AG536" s="39" t="e">
        <f>IF($R536="MTO","",
IF($H536=0,ROUNDUP(((_xlfn.XLOOKUP($A536,'[1]DATOS PBI Artículos'!$A:$A,'[1]DATOS PBI Artículos'!$AM:$AM))/(_xlfn.XLOOKUP($AH$1,[1]CRITERIOS!$S$16:$S$39,[1]CRITERIOS!$Y$16:$Y$39))*$J536+$Z536)/$G536,0)*$G536,
((_xlfn.XLOOKUP($A536,'[1]DATOS PBI Artículos'!$A:$A,'[1]DATOS PBI Artículos'!$AM:$AM))/(_xlfn.XLOOKUP($AH$1,[1]CRITERIOS!$S$16:$S$39,[1]CRITERIOS!$Y$16:$Y$39))*$J536+$Z536)))</f>
        <v>#N/A</v>
      </c>
      <c r="AI536" s="39" t="e">
        <f>IF($R536="MTO","",
IF($H536=0,ROUNDUP(((_xlfn.XLOOKUP($A536,'[1]DATOS PBI Artículos'!$A:$A,'[1]DATOS PBI Artículos'!$AN:$AN))/(_xlfn.XLOOKUP($AJ$1,[1]CRITERIOS!$S$16:$S$39,[1]CRITERIOS!$Y$16:$Y$39))*$J536+$Z536)/$G536,0)*$G536,
((_xlfn.XLOOKUP($A536,'[1]DATOS PBI Artículos'!$A:$A,'[1]DATOS PBI Artículos'!$AN:$AN))/(_xlfn.XLOOKUP($AJ$1,[1]CRITERIOS!$S$16:$S$39,[1]CRITERIOS!$Y$16:$Y$39))*$J536+$Z536)))</f>
        <v>#N/A</v>
      </c>
      <c r="AK536" s="39" t="e">
        <f>IF($R536="MTO","",
IF($H536=0,ROUNDUP(((_xlfn.XLOOKUP($A536,'[1]DATOS PBI Artículos'!$A:$A,'[1]DATOS PBI Artículos'!$AO:$AO))/(_xlfn.XLOOKUP($AL$1,[1]CRITERIOS!$S$16:$S$39,[1]CRITERIOS!$Y$16:$Y$39))*$J536+$Z536)/$G536,0)*$G536,
((_xlfn.XLOOKUP($A536,'[1]DATOS PBI Artículos'!$A:$A,'[1]DATOS PBI Artículos'!$AO:$AO))/(_xlfn.XLOOKUP($AL$1,[1]CRITERIOS!$S$16:$S$39,[1]CRITERIOS!$Y$16:$Y$39))*$J536+$Z536)))</f>
        <v>#N/A</v>
      </c>
    </row>
    <row r="537" spans="1:37" ht="25.8" hidden="1" x14ac:dyDescent="0.4">
      <c r="A537" s="41"/>
      <c r="B537" s="33">
        <f>_xlfn.XLOOKUP($A537,'[1]DATOS PBI Artículos'!A:A,'[1]DATOS PBI Artículos'!B:B)</f>
        <v>0</v>
      </c>
      <c r="C537" s="33">
        <f>_xlfn.XLOOKUP($A537,'[1]DATOS PBI Artículos'!A:A,'[1]DATOS PBI Artículos'!C:C)</f>
        <v>0</v>
      </c>
      <c r="D537" s="33">
        <f>_xlfn.XLOOKUP(A537,'[1]DATOS PBI Artículos'!A:A,'[1]DATOS PBI Artículos'!T:T)</f>
        <v>0</v>
      </c>
      <c r="E537" s="34">
        <f>IF(_xlfn.XLOOKUP($A537,'[1]DATOS PBI Artículos'!A:A,'[1]DATOS PBI Artículos'!AK:AK)="",_xlfn.XLOOKUP($A537,'[1]DATOS PBI Artículos'!A:A,'[1]DATOS PBI Artículos'!AJ:AJ),_xlfn.XLOOKUP($A537,'[1]DATOS PBI Artículos'!A:A,'[1]DATOS PBI Artículos'!AK:AK))</f>
        <v>0</v>
      </c>
      <c r="F537" s="35">
        <f>_xlfn.XLOOKUP($A537,'[1]DATOS PBI Artículos'!A:A,'[1]DATOS PBI Artículos'!AP:AP)</f>
        <v>0</v>
      </c>
      <c r="G537" s="34">
        <f>_xlfn.XLOOKUP($A537,'[1]DATOS PBI Artículos'!A:A,'[1]DATOS PBI Artículos'!AR:AR)</f>
        <v>0</v>
      </c>
      <c r="H537" s="34">
        <f>_xlfn.XLOOKUP($A537,'[1]DATOS PBI Artículos'!A:A,'[1]DATOS PBI Artículos'!AT:AT)</f>
        <v>0</v>
      </c>
      <c r="I537" s="34">
        <f>_xlfn.XLOOKUP($A537,'[1]DATOS PBI Artículos'!A:A,'[1]DATOS PBI Artículos'!AS:AS)</f>
        <v>0</v>
      </c>
      <c r="J537" s="35">
        <f>IF(COUNTIF([1]CRITERIOS!$F$179:$F$199,$A537)&gt;=1,
 IF(O537&lt;&gt;"",
    (O537/_xlfn.XLOOKUP(CONCATENATE(A537,L537),[1]MÁQUINAS!A:A,[1]MÁQUINAS!D:D))/24,
    (N537/_xlfn.XLOOKUP(CONCATENATE(A537,L537),[1]MÁQUINAS!A:A,[1]MÁQUINAS!D:D))/24),
  _xlfn.XLOOKUP($A537,'[1]DATOS PBI Artículos'!A:A,'[1]DATOS PBI Artículos'!AU:AU))</f>
        <v>0</v>
      </c>
      <c r="K537" s="36">
        <f>_xlfn.XLOOKUP($A537,'[1]DATOS PBI Artículos'!A:A,'[1]DATOS PBI Artículos'!AV:AV)</f>
        <v>0</v>
      </c>
      <c r="L537" s="33">
        <f>_xlfn.XLOOKUP(A537,[1]MÁQUINAS!B:B,[1]MÁQUINAS!C:C)</f>
        <v>0</v>
      </c>
      <c r="M537" s="34">
        <f t="array" ref="M537">_xlfn.XLOOKUP(A537,'[1]DATOS PBI Artículos'!A:A,'[1]DATOS PBI Artículos'!AX:$AX)</f>
        <v>0</v>
      </c>
      <c r="N537" s="37" t="e">
        <f>IF(I537="DV",
E537,
IF(COUNTIF([1]CRITERIOS!$I$179:$I$199,$A537)&gt;=1,
_xlfn.XLOOKUP($A537,[1]CRITERIOS!$I$179:$I$199,[1]CRITERIOS!$J$179:$J$199),
IF(COUNTIF([1]CRITERIOS!$L$179:$L$199,$A537)&gt;=1,
_xlfn.CEILING.MATH(IF($M537&gt;$E537,
$E537,
IF($M537&lt;$E537/ROUNDDOWN([1]CRITERIOS!$M$16/_xlfn.XLOOKUP($C537,[1]CRITERIOS!$K$25:$K$42,[1]CRITERIOS!$M$25:$M$42),
1),
E537/ROUNDDOWN([1]CRITERIOS!$M$16/_xlfn.XLOOKUP($C537,[1]CRITERIOS!$K$25:$K$42,[1]CRITERIOS!$M$25:$M$42),
1),
$M537)),
_xlfn.XLOOKUP($A537,[1]CRITERIOS!$L$179:$L$200,[1]CRITERIOS!$M$179:$M$200)),
_xlfn.CEILING.MATH(IF($M537&gt;$E537,
$E537,
IF($M537&lt;$E537/ROUNDDOWN([1]CRITERIOS!$M$16/_xlfn.XLOOKUP($C537,[1]CRITERIOS!$K$25:$K$42,[1]CRITERIOS!$M$25:$M$42),
1),
E537/ROUNDDOWN([1]CRITERIOS!$M$16/_xlfn.XLOOKUP($C537,[1]CRITERIOS!$K$25:$K$42,[1]CRITERIOS!$M$25:$M$42),
1),
$M537)),_xlfn.XLOOKUP(A537,'[1]DATOS PBI Artículos'!A:A,'[1]DATOS PBI Artículos'!Z:Z
)))))</f>
        <v>#N/A</v>
      </c>
      <c r="Q537" s="38" t="e">
        <f>IF(AND(O537="",N537=0),
0,
   IF(COUNTIF([1]CRITERIOS!$F$179:$F$199,$A537)&gt;=1,
   1,
   IF(R537="MTO",
      $D537,
      ROUNDUP(
                    IF(($E537-SUMIF('[1]DATOS PBI Artículos'!A:A,A537,'[1]DATOS PBI Artículos'!X:X)+($V537-_xlfn.XLOOKUP(A537,'[1]DATOS PBI Artículos'!A:A,'[1]DATOS PBI Artículos'!W:W)))&lt;0,
                    0,
                    IF(($E537-SUMIF('[1]DATOS PBI Artículos'!A:A,A537,'[1]DATOS PBI Artículos'!X:X)+$V537-_xlfn.XLOOKUP($A537,'[1]DATOS PBI Artículos'!A:A,'[1]DATOS PBI Artículos'!W:W))/IF($O537="",$N537,$O537)&gt;ROUNDUP([1]CRITERIOS!$M$16/(IF(COUNTIF([1]CRITERIOS!$BG$11:$BG$201,L537)&gt;=1,_xlfn.XLOOKUP($C537,[1]CRITERIOS!$K$25:$K$42,[1]CRITERIOS!$M$25:$M$42),_xlfn.XLOOKUP($C537,[1]CRITERIOS!$K$25:$K$42,[1]CRITERIOS!$M$25:$M$42))),0),
                    ROUNDUP([1]CRITERIOS!$M$16/(IF(COUNTIF([1]CRITERIOS!$BG$11:$BG$201,$L537)&gt;=1,_xlfn.XLOOKUP($C537,[1]CRITERIOS!$K$25:$K$42,[1]CRITERIOS!$M$25:$M$42),_xlfn.XLOOKUP($C537,[1]CRITERIOS!$K$25:$K$42,[1]CRITERIOS!$M$25:$M$42))),0),
                    (E537+V537-SUMIF('[1]DATOS PBI Artículos'!A:A,A537,'[1]DATOS PBI Artículos'!X:X)-_xlfn.XLOOKUP(A537,'[1]DATOS PBI Artículos'!A:A,'[1]DATOS PBI Artículos'!W:W))/IF($O537="",$N537,$O537))),0))))</f>
        <v>#N/A</v>
      </c>
      <c r="R537" s="33" t="e">
        <f>IF(U537&lt;&gt;"",U537,IF(F537="DV","MTO",IF(N537=0,"MTO",_xlfn.XLOOKUP(CONCATENATE(S537,T537),[1]CRITERIOS!$K$160:$K$168,[1]CRITERIOS!$N$160:$N$168))))</f>
        <v>#N/A</v>
      </c>
      <c r="S537" s="33" t="e">
        <f>IF(G537="DV","MTO",IF(N537=0,"MTO",IF(OR(AND(N537=0,O537=""),IF(O537="",G537/N537,G537/O537)&gt;[1]CRITERIOS!$G$163),"MTO",IF(IF(O537="",G537/N537,G537/O537)&lt;[1]CRITERIOS!$H$161,"MTS","MTOS"))))</f>
        <v>#N/A</v>
      </c>
      <c r="T537" s="33" t="e">
        <f>IF(F537="DV","MTO",IF(OR(AND($N537=0,O537=""),$F537/$J537&gt;[1]CRITERIOS!$G$170,$F537="DV"),"MTO",IF($F537/$J537&lt;[1]CRITERIOS!$H$168,"MTS","MTOS")))</f>
        <v>#N/A</v>
      </c>
      <c r="V537" s="34" t="e">
        <f t="shared" ref="V537:V600" si="28">IF(R537="MTO","",
IF($H537=0,(((($J537/$F537)*$G537)+$Z537)/$G537)*$G537,
(($J537/$F537)*$G537)+$Z537))</f>
        <v>#N/A</v>
      </c>
      <c r="X537" s="34" t="e">
        <f t="shared" si="26"/>
        <v>#N/A</v>
      </c>
      <c r="Y537" s="34" t="e">
        <f t="shared" si="27"/>
        <v>#N/A</v>
      </c>
      <c r="Z537" s="34" t="e">
        <f>IF($R537="MTO",
0,
($H537+$K537*($E537/[1]CRITERIOS!$M$16))/[1]CRITERIOS!$X$48)</f>
        <v>#N/A</v>
      </c>
      <c r="AA537" s="34" t="e">
        <f>ROUNDUP(($Y537/_xlfn.XLOOKUP($A537,'[1]DATOS PBI Artículos'!$A$4:$A$4,'[1]DATOS PBI Artículos'!$Z$4:$Z$4))/_xlfn.XLOOKUP(_xlfn.XLOOKUP($A537,'[1]DATOS PBI Artículos'!$A$4:$A$4,'[1]DATOS PBI Artículos'!$Y$4:$Y$4),[1]CRITERIOS!$P$79:$P$123,[1]CRITERIOS!$S$79:$S$123,),0)</f>
        <v>#N/A</v>
      </c>
      <c r="AB537" s="33" t="e">
        <f t="array" ref="AB537">IF((E537+V537-_xlfn.XLOOKUP(A537,'[1]DATOS PBI Artículos'!$A$4:$A$4,'[1]DATOS PBI Artículos'!$W$4:$W$4))/N537&gt;ROUNDUP([1]CRITERIOS!$M$16/(IF(COUNTIF([1]CRITERIOS!$BG$11:$BG$201,L537)&gt;=1,_xlfn.XLOOKUP(ARTÍCULOS!L537,[1]CRITERIOS!$BG$11:$BG$201,[1]CRITERIOS!$BJ$11:$BJ$201),_xlfn.XLOOKUP(ARTÍCULOS!C537,[1]CRITERIOS!$K$25:$K$42,[1]CRITERIOS!$M$25:$M$42))),0),ROUNDUP([1]CRITERIOS!$M$16/(IF(COUNTIF([1]CRITERIOS!$BG$11:$BG$201,L537)&gt;=1,_xlfn.XLOOKUP(ARTÍCULOS!L537,[1]CRITERIOS!$BG$11:$BG$201:#REF!,[1]CRITERIOS!$BJ$11:$BJ$201),_xlfn.XLOOKUP(ARTÍCULOS!C537,[1]CRITERIOS!$K$25:$K$42,[1]CRITERIOS!$M$25:$M$42))),0),(E537+V537-_xlfn.XLOOKUP(A537,'[1]DATOS PBI Artículos'!$A$4:$A$4,'[1]DATOS PBI Artículos'!$W$4:$W$4))/N537)</f>
        <v>#N/A</v>
      </c>
      <c r="AC537" s="33" t="e">
        <f>IF(N537=0,"",(ROUNDUP((N537/2)/(_xlfn.XLOOKUP(A537,'[1]DATOS PBI Artículos'!$A$4:$A$4,'[1]DATOS PBI Artículos'!$Z$4:$Z$4)*_xlfn.XLOOKUP(_xlfn.XLOOKUP(A537,'[1]DATOS PBI Artículos'!$A$4:$A$4,'[1]DATOS PBI Artículos'!$Y$4:$Y$4),[1]CRITERIOS!$P$79:$P$123,[1]CRITERIOS!$S$79:$S$123)),0)*[1]CRITERIOS!$M$80*([1]CRITERIOS!$M$110/[1]CRITERIOS!$M$86)+(_xlfn.XLOOKUP(A537,'[1]DATOS PBI Artículos'!$A$4:$A$4,'[1]DATOS PBI Artículos'!$AA$4:$AA$4)*([1]CRITERIOS!$M$95+[1]CRITERIOS!$M$98)))/N537)</f>
        <v>#N/A</v>
      </c>
      <c r="AD537" s="33" t="e">
        <f>IF(N537=0,"",(ROUNDUP((N537/2)/(_xlfn.XLOOKUP(A537,'[1]DATOS PBI Artículos'!$A$4:$A$4,'[1]DATOS PBI Artículos'!$Z$4:$Z$4)*_xlfn.XLOOKUP(_xlfn.XLOOKUP(A537,'[1]DATOS PBI Artículos'!$A$4:$A$4,'[1]DATOS PBI Artículos'!$Y$4:$Y$4),[1]CRITERIOS!$P$79:$P$123,[1]CRITERIOS!$S$79:$S$123)),0)*[1]CRITERIOS!$M$80*([1]CRITERIOS!$M$89*[1]CRITERIOS!$M$92)+((_xlfn.XLOOKUP(A537,'[1]DATOS PBI Artículos'!$A$4:$A$4,'[1]DATOS PBI Artículos'!$AA$4:$AA$4)/2)*([1]CRITERIOS!$M$95+[1]CRITERIOS!$M$98)))/N537)</f>
        <v>#N/A</v>
      </c>
      <c r="AE537" s="39" t="e">
        <f>IF($R537="MTO","",
IF($H537=0,ROUNDUP(((_xlfn.XLOOKUP($A537,'[1]DATOS PBI Artículos'!$A:$A,'[1]DATOS PBI Artículos'!$AL:$AL))/(_xlfn.XLOOKUP($AF$1,[1]CRITERIOS!$S$16:$S$39,[1]CRITERIOS!$Y$16:$Y$39))*$J537+$Z537)/$G537,0)*$G537,
((_xlfn.XLOOKUP($A537,'[1]DATOS PBI Artículos'!$A:$A,'[1]DATOS PBI Artículos'!$AL:$AL))/(_xlfn.XLOOKUP($AF$1,[1]CRITERIOS!$S$16:$S$39,[1]CRITERIOS!$Y$16:$Y$39))*$J537+$Z537)))</f>
        <v>#N/A</v>
      </c>
      <c r="AG537" s="39" t="e">
        <f>IF($R537="MTO","",
IF($H537=0,ROUNDUP(((_xlfn.XLOOKUP($A537,'[1]DATOS PBI Artículos'!$A:$A,'[1]DATOS PBI Artículos'!$AM:$AM))/(_xlfn.XLOOKUP($AH$1,[1]CRITERIOS!$S$16:$S$39,[1]CRITERIOS!$Y$16:$Y$39))*$J537+$Z537)/$G537,0)*$G537,
((_xlfn.XLOOKUP($A537,'[1]DATOS PBI Artículos'!$A:$A,'[1]DATOS PBI Artículos'!$AM:$AM))/(_xlfn.XLOOKUP($AH$1,[1]CRITERIOS!$S$16:$S$39,[1]CRITERIOS!$Y$16:$Y$39))*$J537+$Z537)))</f>
        <v>#N/A</v>
      </c>
      <c r="AI537" s="39" t="e">
        <f>IF($R537="MTO","",
IF($H537=0,ROUNDUP(((_xlfn.XLOOKUP($A537,'[1]DATOS PBI Artículos'!$A:$A,'[1]DATOS PBI Artículos'!$AN:$AN))/(_xlfn.XLOOKUP($AJ$1,[1]CRITERIOS!$S$16:$S$39,[1]CRITERIOS!$Y$16:$Y$39))*$J537+$Z537)/$G537,0)*$G537,
((_xlfn.XLOOKUP($A537,'[1]DATOS PBI Artículos'!$A:$A,'[1]DATOS PBI Artículos'!$AN:$AN))/(_xlfn.XLOOKUP($AJ$1,[1]CRITERIOS!$S$16:$S$39,[1]CRITERIOS!$Y$16:$Y$39))*$J537+$Z537)))</f>
        <v>#N/A</v>
      </c>
      <c r="AK537" s="39" t="e">
        <f>IF($R537="MTO","",
IF($H537=0,ROUNDUP(((_xlfn.XLOOKUP($A537,'[1]DATOS PBI Artículos'!$A:$A,'[1]DATOS PBI Artículos'!$AO:$AO))/(_xlfn.XLOOKUP($AL$1,[1]CRITERIOS!$S$16:$S$39,[1]CRITERIOS!$Y$16:$Y$39))*$J537+$Z537)/$G537,0)*$G537,
((_xlfn.XLOOKUP($A537,'[1]DATOS PBI Artículos'!$A:$A,'[1]DATOS PBI Artículos'!$AO:$AO))/(_xlfn.XLOOKUP($AL$1,[1]CRITERIOS!$S$16:$S$39,[1]CRITERIOS!$Y$16:$Y$39))*$J537+$Z537)))</f>
        <v>#N/A</v>
      </c>
    </row>
    <row r="538" spans="1:37" ht="25.8" hidden="1" x14ac:dyDescent="0.4">
      <c r="A538" s="41"/>
      <c r="B538" s="33">
        <f>_xlfn.XLOOKUP($A538,'[1]DATOS PBI Artículos'!A:A,'[1]DATOS PBI Artículos'!B:B)</f>
        <v>0</v>
      </c>
      <c r="C538" s="33">
        <f>_xlfn.XLOOKUP($A538,'[1]DATOS PBI Artículos'!A:A,'[1]DATOS PBI Artículos'!C:C)</f>
        <v>0</v>
      </c>
      <c r="D538" s="33">
        <f>_xlfn.XLOOKUP(A538,'[1]DATOS PBI Artículos'!A:A,'[1]DATOS PBI Artículos'!T:T)</f>
        <v>0</v>
      </c>
      <c r="E538" s="34">
        <f>IF(_xlfn.XLOOKUP($A538,'[1]DATOS PBI Artículos'!A:A,'[1]DATOS PBI Artículos'!AK:AK)="",_xlfn.XLOOKUP($A538,'[1]DATOS PBI Artículos'!A:A,'[1]DATOS PBI Artículos'!AJ:AJ),_xlfn.XLOOKUP($A538,'[1]DATOS PBI Artículos'!A:A,'[1]DATOS PBI Artículos'!AK:AK))</f>
        <v>0</v>
      </c>
      <c r="F538" s="35">
        <f>_xlfn.XLOOKUP($A538,'[1]DATOS PBI Artículos'!A:A,'[1]DATOS PBI Artículos'!AP:AP)</f>
        <v>0</v>
      </c>
      <c r="G538" s="34">
        <f>_xlfn.XLOOKUP($A538,'[1]DATOS PBI Artículos'!A:A,'[1]DATOS PBI Artículos'!AR:AR)</f>
        <v>0</v>
      </c>
      <c r="H538" s="34">
        <f>_xlfn.XLOOKUP($A538,'[1]DATOS PBI Artículos'!A:A,'[1]DATOS PBI Artículos'!AT:AT)</f>
        <v>0</v>
      </c>
      <c r="I538" s="34">
        <f>_xlfn.XLOOKUP($A538,'[1]DATOS PBI Artículos'!A:A,'[1]DATOS PBI Artículos'!AS:AS)</f>
        <v>0</v>
      </c>
      <c r="J538" s="35">
        <f>IF(COUNTIF([1]CRITERIOS!$F$179:$F$199,$A538)&gt;=1,
 IF(O538&lt;&gt;"",
    (O538/_xlfn.XLOOKUP(CONCATENATE(A538,L538),[1]MÁQUINAS!A:A,[1]MÁQUINAS!D:D))/24,
    (N538/_xlfn.XLOOKUP(CONCATENATE(A538,L538),[1]MÁQUINAS!A:A,[1]MÁQUINAS!D:D))/24),
  _xlfn.XLOOKUP($A538,'[1]DATOS PBI Artículos'!A:A,'[1]DATOS PBI Artículos'!AU:AU))</f>
        <v>0</v>
      </c>
      <c r="K538" s="36">
        <f>_xlfn.XLOOKUP($A538,'[1]DATOS PBI Artículos'!A:A,'[1]DATOS PBI Artículos'!AV:AV)</f>
        <v>0</v>
      </c>
      <c r="L538" s="33">
        <f>_xlfn.XLOOKUP(A538,[1]MÁQUINAS!B:B,[1]MÁQUINAS!C:C)</f>
        <v>0</v>
      </c>
      <c r="M538" s="34">
        <f t="array" ref="M538">_xlfn.XLOOKUP(A538,'[1]DATOS PBI Artículos'!A:A,'[1]DATOS PBI Artículos'!AX:$AX)</f>
        <v>0</v>
      </c>
      <c r="N538" s="37" t="e">
        <f>IF(I538="DV",
E538,
IF(COUNTIF([1]CRITERIOS!$I$179:$I$199,$A538)&gt;=1,
_xlfn.XLOOKUP($A538,[1]CRITERIOS!$I$179:$I$199,[1]CRITERIOS!$J$179:$J$199),
IF(COUNTIF([1]CRITERIOS!$L$179:$L$199,$A538)&gt;=1,
_xlfn.CEILING.MATH(IF($M538&gt;$E538,
$E538,
IF($M538&lt;$E538/ROUNDDOWN([1]CRITERIOS!$M$16/_xlfn.XLOOKUP($C538,[1]CRITERIOS!$K$25:$K$42,[1]CRITERIOS!$M$25:$M$42),
1),
E538/ROUNDDOWN([1]CRITERIOS!$M$16/_xlfn.XLOOKUP($C538,[1]CRITERIOS!$K$25:$K$42,[1]CRITERIOS!$M$25:$M$42),
1),
$M538)),
_xlfn.XLOOKUP($A538,[1]CRITERIOS!$L$179:$L$200,[1]CRITERIOS!$M$179:$M$200)),
_xlfn.CEILING.MATH(IF($M538&gt;$E538,
$E538,
IF($M538&lt;$E538/ROUNDDOWN([1]CRITERIOS!$M$16/_xlfn.XLOOKUP($C538,[1]CRITERIOS!$K$25:$K$42,[1]CRITERIOS!$M$25:$M$42),
1),
E538/ROUNDDOWN([1]CRITERIOS!$M$16/_xlfn.XLOOKUP($C538,[1]CRITERIOS!$K$25:$K$42,[1]CRITERIOS!$M$25:$M$42),
1),
$M538)),_xlfn.XLOOKUP(A538,'[1]DATOS PBI Artículos'!A:A,'[1]DATOS PBI Artículos'!Z:Z
)))))</f>
        <v>#N/A</v>
      </c>
      <c r="Q538" s="38" t="e">
        <f>IF(AND(O538="",N538=0),
0,
   IF(COUNTIF([1]CRITERIOS!$F$179:$F$199,$A538)&gt;=1,
   1,
   IF(R538="MTO",
      $D538,
      ROUNDUP(
                    IF(($E538-SUMIF('[1]DATOS PBI Artículos'!A:A,A538,'[1]DATOS PBI Artículos'!X:X)+($V538-_xlfn.XLOOKUP(A538,'[1]DATOS PBI Artículos'!A:A,'[1]DATOS PBI Artículos'!W:W)))&lt;0,
                    0,
                    IF(($E538-SUMIF('[1]DATOS PBI Artículos'!A:A,A538,'[1]DATOS PBI Artículos'!X:X)+$V538-_xlfn.XLOOKUP($A538,'[1]DATOS PBI Artículos'!A:A,'[1]DATOS PBI Artículos'!W:W))/IF($O538="",$N538,$O538)&gt;ROUNDUP([1]CRITERIOS!$M$16/(IF(COUNTIF([1]CRITERIOS!$BG$11:$BG$201,L538)&gt;=1,_xlfn.XLOOKUP($C538,[1]CRITERIOS!$K$25:$K$42,[1]CRITERIOS!$M$25:$M$42),_xlfn.XLOOKUP($C538,[1]CRITERIOS!$K$25:$K$42,[1]CRITERIOS!$M$25:$M$42))),0),
                    ROUNDUP([1]CRITERIOS!$M$16/(IF(COUNTIF([1]CRITERIOS!$BG$11:$BG$201,$L538)&gt;=1,_xlfn.XLOOKUP($C538,[1]CRITERIOS!$K$25:$K$42,[1]CRITERIOS!$M$25:$M$42),_xlfn.XLOOKUP($C538,[1]CRITERIOS!$K$25:$K$42,[1]CRITERIOS!$M$25:$M$42))),0),
                    (E538+V538-SUMIF('[1]DATOS PBI Artículos'!A:A,A538,'[1]DATOS PBI Artículos'!X:X)-_xlfn.XLOOKUP(A538,'[1]DATOS PBI Artículos'!A:A,'[1]DATOS PBI Artículos'!W:W))/IF($O538="",$N538,$O538))),0))))</f>
        <v>#N/A</v>
      </c>
      <c r="R538" s="33" t="e">
        <f>IF(U538&lt;&gt;"",U538,IF(F538="DV","MTO",IF(N538=0,"MTO",_xlfn.XLOOKUP(CONCATENATE(S538,T538),[1]CRITERIOS!$K$160:$K$168,[1]CRITERIOS!$N$160:$N$168))))</f>
        <v>#N/A</v>
      </c>
      <c r="S538" s="33" t="e">
        <f>IF(G538="DV","MTO",IF(N538=0,"MTO",IF(OR(AND(N538=0,O538=""),IF(O538="",G538/N538,G538/O538)&gt;[1]CRITERIOS!$G$163),"MTO",IF(IF(O538="",G538/N538,G538/O538)&lt;[1]CRITERIOS!$H$161,"MTS","MTOS"))))</f>
        <v>#N/A</v>
      </c>
      <c r="T538" s="33" t="e">
        <f>IF(F538="DV","MTO",IF(OR(AND($N538=0,O538=""),$F538/$J538&gt;[1]CRITERIOS!$G$170,$F538="DV"),"MTO",IF($F538/$J538&lt;[1]CRITERIOS!$H$168,"MTS","MTOS")))</f>
        <v>#N/A</v>
      </c>
      <c r="V538" s="34" t="e">
        <f t="shared" si="28"/>
        <v>#N/A</v>
      </c>
      <c r="X538" s="34" t="e">
        <f t="shared" si="26"/>
        <v>#N/A</v>
      </c>
      <c r="Y538" s="34" t="e">
        <f t="shared" si="27"/>
        <v>#N/A</v>
      </c>
      <c r="Z538" s="34" t="e">
        <f>IF($R538="MTO",
0,
($H538+$K538*($E538/[1]CRITERIOS!$M$16))/[1]CRITERIOS!$X$48)</f>
        <v>#N/A</v>
      </c>
      <c r="AA538" s="34" t="e">
        <f>ROUNDUP(($Y538/_xlfn.XLOOKUP($A538,'[1]DATOS PBI Artículos'!$A$4:$A$4,'[1]DATOS PBI Artículos'!$Z$4:$Z$4))/_xlfn.XLOOKUP(_xlfn.XLOOKUP($A538,'[1]DATOS PBI Artículos'!$A$4:$A$4,'[1]DATOS PBI Artículos'!$Y$4:$Y$4),[1]CRITERIOS!$P$79:$P$123,[1]CRITERIOS!$S$79:$S$123,),0)</f>
        <v>#N/A</v>
      </c>
      <c r="AB538" s="33" t="e">
        <f t="array" ref="AB538">IF((E538+V538-_xlfn.XLOOKUP(A538,'[1]DATOS PBI Artículos'!$A$4:$A$4,'[1]DATOS PBI Artículos'!$W$4:$W$4))/N538&gt;ROUNDUP([1]CRITERIOS!$M$16/(IF(COUNTIF([1]CRITERIOS!$BG$11:$BG$201,L538)&gt;=1,_xlfn.XLOOKUP(ARTÍCULOS!L538,[1]CRITERIOS!$BG$11:$BG$201,[1]CRITERIOS!$BJ$11:$BJ$201),_xlfn.XLOOKUP(ARTÍCULOS!C538,[1]CRITERIOS!$K$25:$K$42,[1]CRITERIOS!$M$25:$M$42))),0),ROUNDUP([1]CRITERIOS!$M$16/(IF(COUNTIF([1]CRITERIOS!$BG$11:$BG$201,L538)&gt;=1,_xlfn.XLOOKUP(ARTÍCULOS!L538,[1]CRITERIOS!$BG$11:$BG$201:#REF!,[1]CRITERIOS!$BJ$11:$BJ$201),_xlfn.XLOOKUP(ARTÍCULOS!C538,[1]CRITERIOS!$K$25:$K$42,[1]CRITERIOS!$M$25:$M$42))),0),(E538+V538-_xlfn.XLOOKUP(A538,'[1]DATOS PBI Artículos'!$A$4:$A$4,'[1]DATOS PBI Artículos'!$W$4:$W$4))/N538)</f>
        <v>#N/A</v>
      </c>
      <c r="AC538" s="33" t="e">
        <f>IF(N538=0,"",(ROUNDUP((N538/2)/(_xlfn.XLOOKUP(A538,'[1]DATOS PBI Artículos'!$A$4:$A$4,'[1]DATOS PBI Artículos'!$Z$4:$Z$4)*_xlfn.XLOOKUP(_xlfn.XLOOKUP(A538,'[1]DATOS PBI Artículos'!$A$4:$A$4,'[1]DATOS PBI Artículos'!$Y$4:$Y$4),[1]CRITERIOS!$P$79:$P$123,[1]CRITERIOS!$S$79:$S$123)),0)*[1]CRITERIOS!$M$80*([1]CRITERIOS!$M$110/[1]CRITERIOS!$M$86)+(_xlfn.XLOOKUP(A538,'[1]DATOS PBI Artículos'!$A$4:$A$4,'[1]DATOS PBI Artículos'!$AA$4:$AA$4)*([1]CRITERIOS!$M$95+[1]CRITERIOS!$M$98)))/N538)</f>
        <v>#N/A</v>
      </c>
      <c r="AD538" s="33" t="e">
        <f>IF(N538=0,"",(ROUNDUP((N538/2)/(_xlfn.XLOOKUP(A538,'[1]DATOS PBI Artículos'!$A$4:$A$4,'[1]DATOS PBI Artículos'!$Z$4:$Z$4)*_xlfn.XLOOKUP(_xlfn.XLOOKUP(A538,'[1]DATOS PBI Artículos'!$A$4:$A$4,'[1]DATOS PBI Artículos'!$Y$4:$Y$4),[1]CRITERIOS!$P$79:$P$123,[1]CRITERIOS!$S$79:$S$123)),0)*[1]CRITERIOS!$M$80*([1]CRITERIOS!$M$89*[1]CRITERIOS!$M$92)+((_xlfn.XLOOKUP(A538,'[1]DATOS PBI Artículos'!$A$4:$A$4,'[1]DATOS PBI Artículos'!$AA$4:$AA$4)/2)*([1]CRITERIOS!$M$95+[1]CRITERIOS!$M$98)))/N538)</f>
        <v>#N/A</v>
      </c>
      <c r="AE538" s="39" t="e">
        <f>IF($R538="MTO","",
IF($H538=0,ROUNDUP(((_xlfn.XLOOKUP($A538,'[1]DATOS PBI Artículos'!$A:$A,'[1]DATOS PBI Artículos'!$AL:$AL))/(_xlfn.XLOOKUP($AF$1,[1]CRITERIOS!$S$16:$S$39,[1]CRITERIOS!$Y$16:$Y$39))*$J538+$Z538)/$G538,0)*$G538,
((_xlfn.XLOOKUP($A538,'[1]DATOS PBI Artículos'!$A:$A,'[1]DATOS PBI Artículos'!$AL:$AL))/(_xlfn.XLOOKUP($AF$1,[1]CRITERIOS!$S$16:$S$39,[1]CRITERIOS!$Y$16:$Y$39))*$J538+$Z538)))</f>
        <v>#N/A</v>
      </c>
      <c r="AG538" s="39" t="e">
        <f>IF($R538="MTO","",
IF($H538=0,ROUNDUP(((_xlfn.XLOOKUP($A538,'[1]DATOS PBI Artículos'!$A:$A,'[1]DATOS PBI Artículos'!$AM:$AM))/(_xlfn.XLOOKUP($AH$1,[1]CRITERIOS!$S$16:$S$39,[1]CRITERIOS!$Y$16:$Y$39))*$J538+$Z538)/$G538,0)*$G538,
((_xlfn.XLOOKUP($A538,'[1]DATOS PBI Artículos'!$A:$A,'[1]DATOS PBI Artículos'!$AM:$AM))/(_xlfn.XLOOKUP($AH$1,[1]CRITERIOS!$S$16:$S$39,[1]CRITERIOS!$Y$16:$Y$39))*$J538+$Z538)))</f>
        <v>#N/A</v>
      </c>
      <c r="AI538" s="39" t="e">
        <f>IF($R538="MTO","",
IF($H538=0,ROUNDUP(((_xlfn.XLOOKUP($A538,'[1]DATOS PBI Artículos'!$A:$A,'[1]DATOS PBI Artículos'!$AN:$AN))/(_xlfn.XLOOKUP($AJ$1,[1]CRITERIOS!$S$16:$S$39,[1]CRITERIOS!$Y$16:$Y$39))*$J538+$Z538)/$G538,0)*$G538,
((_xlfn.XLOOKUP($A538,'[1]DATOS PBI Artículos'!$A:$A,'[1]DATOS PBI Artículos'!$AN:$AN))/(_xlfn.XLOOKUP($AJ$1,[1]CRITERIOS!$S$16:$S$39,[1]CRITERIOS!$Y$16:$Y$39))*$J538+$Z538)))</f>
        <v>#N/A</v>
      </c>
      <c r="AK538" s="39" t="e">
        <f>IF($R538="MTO","",
IF($H538=0,ROUNDUP(((_xlfn.XLOOKUP($A538,'[1]DATOS PBI Artículos'!$A:$A,'[1]DATOS PBI Artículos'!$AO:$AO))/(_xlfn.XLOOKUP($AL$1,[1]CRITERIOS!$S$16:$S$39,[1]CRITERIOS!$Y$16:$Y$39))*$J538+$Z538)/$G538,0)*$G538,
((_xlfn.XLOOKUP($A538,'[1]DATOS PBI Artículos'!$A:$A,'[1]DATOS PBI Artículos'!$AO:$AO))/(_xlfn.XLOOKUP($AL$1,[1]CRITERIOS!$S$16:$S$39,[1]CRITERIOS!$Y$16:$Y$39))*$J538+$Z538)))</f>
        <v>#N/A</v>
      </c>
    </row>
    <row r="539" spans="1:37" ht="25.8" hidden="1" x14ac:dyDescent="0.4">
      <c r="A539" s="41"/>
      <c r="B539" s="33">
        <f>_xlfn.XLOOKUP($A539,'[1]DATOS PBI Artículos'!A:A,'[1]DATOS PBI Artículos'!B:B)</f>
        <v>0</v>
      </c>
      <c r="C539" s="33">
        <f>_xlfn.XLOOKUP($A539,'[1]DATOS PBI Artículos'!A:A,'[1]DATOS PBI Artículos'!C:C)</f>
        <v>0</v>
      </c>
      <c r="D539" s="33">
        <f>_xlfn.XLOOKUP(A539,'[1]DATOS PBI Artículos'!A:A,'[1]DATOS PBI Artículos'!T:T)</f>
        <v>0</v>
      </c>
      <c r="E539" s="34">
        <f>IF(_xlfn.XLOOKUP($A539,'[1]DATOS PBI Artículos'!A:A,'[1]DATOS PBI Artículos'!AK:AK)="",_xlfn.XLOOKUP($A539,'[1]DATOS PBI Artículos'!A:A,'[1]DATOS PBI Artículos'!AJ:AJ),_xlfn.XLOOKUP($A539,'[1]DATOS PBI Artículos'!A:A,'[1]DATOS PBI Artículos'!AK:AK))</f>
        <v>0</v>
      </c>
      <c r="F539" s="35">
        <f>_xlfn.XLOOKUP($A539,'[1]DATOS PBI Artículos'!A:A,'[1]DATOS PBI Artículos'!AP:AP)</f>
        <v>0</v>
      </c>
      <c r="G539" s="34">
        <f>_xlfn.XLOOKUP($A539,'[1]DATOS PBI Artículos'!A:A,'[1]DATOS PBI Artículos'!AR:AR)</f>
        <v>0</v>
      </c>
      <c r="H539" s="34">
        <f>_xlfn.XLOOKUP($A539,'[1]DATOS PBI Artículos'!A:A,'[1]DATOS PBI Artículos'!AT:AT)</f>
        <v>0</v>
      </c>
      <c r="I539" s="34">
        <f>_xlfn.XLOOKUP($A539,'[1]DATOS PBI Artículos'!A:A,'[1]DATOS PBI Artículos'!AS:AS)</f>
        <v>0</v>
      </c>
      <c r="J539" s="35">
        <f>IF(COUNTIF([1]CRITERIOS!$F$179:$F$199,$A539)&gt;=1,
 IF(O539&lt;&gt;"",
    (O539/_xlfn.XLOOKUP(CONCATENATE(A539,L539),[1]MÁQUINAS!A:A,[1]MÁQUINAS!D:D))/24,
    (N539/_xlfn.XLOOKUP(CONCATENATE(A539,L539),[1]MÁQUINAS!A:A,[1]MÁQUINAS!D:D))/24),
  _xlfn.XLOOKUP($A539,'[1]DATOS PBI Artículos'!A:A,'[1]DATOS PBI Artículos'!AU:AU))</f>
        <v>0</v>
      </c>
      <c r="K539" s="36">
        <f>_xlfn.XLOOKUP($A539,'[1]DATOS PBI Artículos'!A:A,'[1]DATOS PBI Artículos'!AV:AV)</f>
        <v>0</v>
      </c>
      <c r="L539" s="33">
        <f>_xlfn.XLOOKUP(A539,[1]MÁQUINAS!B:B,[1]MÁQUINAS!C:C)</f>
        <v>0</v>
      </c>
      <c r="M539" s="34">
        <f t="array" ref="M539">_xlfn.XLOOKUP(A539,'[1]DATOS PBI Artículos'!A:A,'[1]DATOS PBI Artículos'!AX:$AX)</f>
        <v>0</v>
      </c>
      <c r="N539" s="37" t="e">
        <f>IF(I539="DV",
E539,
IF(COUNTIF([1]CRITERIOS!$I$179:$I$199,$A539)&gt;=1,
_xlfn.XLOOKUP($A539,[1]CRITERIOS!$I$179:$I$199,[1]CRITERIOS!$J$179:$J$199),
IF(COUNTIF([1]CRITERIOS!$L$179:$L$199,$A539)&gt;=1,
_xlfn.CEILING.MATH(IF($M539&gt;$E539,
$E539,
IF($M539&lt;$E539/ROUNDDOWN([1]CRITERIOS!$M$16/_xlfn.XLOOKUP($C539,[1]CRITERIOS!$K$25:$K$42,[1]CRITERIOS!$M$25:$M$42),
1),
E539/ROUNDDOWN([1]CRITERIOS!$M$16/_xlfn.XLOOKUP($C539,[1]CRITERIOS!$K$25:$K$42,[1]CRITERIOS!$M$25:$M$42),
1),
$M539)),
_xlfn.XLOOKUP($A539,[1]CRITERIOS!$L$179:$L$200,[1]CRITERIOS!$M$179:$M$200)),
_xlfn.CEILING.MATH(IF($M539&gt;$E539,
$E539,
IF($M539&lt;$E539/ROUNDDOWN([1]CRITERIOS!$M$16/_xlfn.XLOOKUP($C539,[1]CRITERIOS!$K$25:$K$42,[1]CRITERIOS!$M$25:$M$42),
1),
E539/ROUNDDOWN([1]CRITERIOS!$M$16/_xlfn.XLOOKUP($C539,[1]CRITERIOS!$K$25:$K$42,[1]CRITERIOS!$M$25:$M$42),
1),
$M539)),_xlfn.XLOOKUP(A539,'[1]DATOS PBI Artículos'!A:A,'[1]DATOS PBI Artículos'!Z:Z
)))))</f>
        <v>#N/A</v>
      </c>
      <c r="Q539" s="38" t="e">
        <f>IF(AND(O539="",N539=0),
0,
   IF(COUNTIF([1]CRITERIOS!$F$179:$F$199,$A539)&gt;=1,
   1,
   IF(R539="MTO",
      $D539,
      ROUNDUP(
                    IF(($E539-SUMIF('[1]DATOS PBI Artículos'!A:A,A539,'[1]DATOS PBI Artículos'!X:X)+($V539-_xlfn.XLOOKUP(A539,'[1]DATOS PBI Artículos'!A:A,'[1]DATOS PBI Artículos'!W:W)))&lt;0,
                    0,
                    IF(($E539-SUMIF('[1]DATOS PBI Artículos'!A:A,A539,'[1]DATOS PBI Artículos'!X:X)+$V539-_xlfn.XLOOKUP($A539,'[1]DATOS PBI Artículos'!A:A,'[1]DATOS PBI Artículos'!W:W))/IF($O539="",$N539,$O539)&gt;ROUNDUP([1]CRITERIOS!$M$16/(IF(COUNTIF([1]CRITERIOS!$BG$11:$BG$201,L539)&gt;=1,_xlfn.XLOOKUP($C539,[1]CRITERIOS!$K$25:$K$42,[1]CRITERIOS!$M$25:$M$42),_xlfn.XLOOKUP($C539,[1]CRITERIOS!$K$25:$K$42,[1]CRITERIOS!$M$25:$M$42))),0),
                    ROUNDUP([1]CRITERIOS!$M$16/(IF(COUNTIF([1]CRITERIOS!$BG$11:$BG$201,$L539)&gt;=1,_xlfn.XLOOKUP($C539,[1]CRITERIOS!$K$25:$K$42,[1]CRITERIOS!$M$25:$M$42),_xlfn.XLOOKUP($C539,[1]CRITERIOS!$K$25:$K$42,[1]CRITERIOS!$M$25:$M$42))),0),
                    (E539+V539-SUMIF('[1]DATOS PBI Artículos'!A:A,A539,'[1]DATOS PBI Artículos'!X:X)-_xlfn.XLOOKUP(A539,'[1]DATOS PBI Artículos'!A:A,'[1]DATOS PBI Artículos'!W:W))/IF($O539="",$N539,$O539))),0))))</f>
        <v>#N/A</v>
      </c>
      <c r="R539" s="33" t="e">
        <f>IF(U539&lt;&gt;"",U539,IF(F539="DV","MTO",IF(N539=0,"MTO",_xlfn.XLOOKUP(CONCATENATE(S539,T539),[1]CRITERIOS!$K$160:$K$168,[1]CRITERIOS!$N$160:$N$168))))</f>
        <v>#N/A</v>
      </c>
      <c r="S539" s="33" t="e">
        <f>IF(G539="DV","MTO",IF(N539=0,"MTO",IF(OR(AND(N539=0,O539=""),IF(O539="",G539/N539,G539/O539)&gt;[1]CRITERIOS!$G$163),"MTO",IF(IF(O539="",G539/N539,G539/O539)&lt;[1]CRITERIOS!$H$161,"MTS","MTOS"))))</f>
        <v>#N/A</v>
      </c>
      <c r="T539" s="33" t="e">
        <f>IF(F539="DV","MTO",IF(OR(AND($N539=0,O539=""),$F539/$J539&gt;[1]CRITERIOS!$G$170,$F539="DV"),"MTO",IF($F539/$J539&lt;[1]CRITERIOS!$H$168,"MTS","MTOS")))</f>
        <v>#N/A</v>
      </c>
      <c r="V539" s="34" t="e">
        <f t="shared" si="28"/>
        <v>#N/A</v>
      </c>
      <c r="X539" s="34" t="e">
        <f t="shared" si="26"/>
        <v>#N/A</v>
      </c>
      <c r="Y539" s="34" t="e">
        <f t="shared" si="27"/>
        <v>#N/A</v>
      </c>
      <c r="Z539" s="34" t="e">
        <f>IF($R539="MTO",
0,
($H539+$K539*($E539/[1]CRITERIOS!$M$16))/[1]CRITERIOS!$X$48)</f>
        <v>#N/A</v>
      </c>
      <c r="AA539" s="34" t="e">
        <f>ROUNDUP(($Y539/_xlfn.XLOOKUP($A539,'[1]DATOS PBI Artículos'!$A$4:$A$4,'[1]DATOS PBI Artículos'!$Z$4:$Z$4))/_xlfn.XLOOKUP(_xlfn.XLOOKUP($A539,'[1]DATOS PBI Artículos'!$A$4:$A$4,'[1]DATOS PBI Artículos'!$Y$4:$Y$4),[1]CRITERIOS!$P$79:$P$123,[1]CRITERIOS!$S$79:$S$123,),0)</f>
        <v>#N/A</v>
      </c>
      <c r="AB539" s="33" t="e">
        <f t="array" ref="AB539">IF((E539+V539-_xlfn.XLOOKUP(A539,'[1]DATOS PBI Artículos'!$A$4:$A$4,'[1]DATOS PBI Artículos'!$W$4:$W$4))/N539&gt;ROUNDUP([1]CRITERIOS!$M$16/(IF(COUNTIF([1]CRITERIOS!$BG$11:$BG$201,L539)&gt;=1,_xlfn.XLOOKUP(ARTÍCULOS!L539,[1]CRITERIOS!$BG$11:$BG$201,[1]CRITERIOS!$BJ$11:$BJ$201),_xlfn.XLOOKUP(ARTÍCULOS!C539,[1]CRITERIOS!$K$25:$K$42,[1]CRITERIOS!$M$25:$M$42))),0),ROUNDUP([1]CRITERIOS!$M$16/(IF(COUNTIF([1]CRITERIOS!$BG$11:$BG$201,L539)&gt;=1,_xlfn.XLOOKUP(ARTÍCULOS!L539,[1]CRITERIOS!$BG$11:$BG$201:#REF!,[1]CRITERIOS!$BJ$11:$BJ$201),_xlfn.XLOOKUP(ARTÍCULOS!C539,[1]CRITERIOS!$K$25:$K$42,[1]CRITERIOS!$M$25:$M$42))),0),(E539+V539-_xlfn.XLOOKUP(A539,'[1]DATOS PBI Artículos'!$A$4:$A$4,'[1]DATOS PBI Artículos'!$W$4:$W$4))/N539)</f>
        <v>#N/A</v>
      </c>
      <c r="AC539" s="33" t="e">
        <f>IF(N539=0,"",(ROUNDUP((N539/2)/(_xlfn.XLOOKUP(A539,'[1]DATOS PBI Artículos'!$A$4:$A$4,'[1]DATOS PBI Artículos'!$Z$4:$Z$4)*_xlfn.XLOOKUP(_xlfn.XLOOKUP(A539,'[1]DATOS PBI Artículos'!$A$4:$A$4,'[1]DATOS PBI Artículos'!$Y$4:$Y$4),[1]CRITERIOS!$P$79:$P$123,[1]CRITERIOS!$S$79:$S$123)),0)*[1]CRITERIOS!$M$80*([1]CRITERIOS!$M$110/[1]CRITERIOS!$M$86)+(_xlfn.XLOOKUP(A539,'[1]DATOS PBI Artículos'!$A$4:$A$4,'[1]DATOS PBI Artículos'!$AA$4:$AA$4)*([1]CRITERIOS!$M$95+[1]CRITERIOS!$M$98)))/N539)</f>
        <v>#N/A</v>
      </c>
      <c r="AD539" s="33" t="e">
        <f>IF(N539=0,"",(ROUNDUP((N539/2)/(_xlfn.XLOOKUP(A539,'[1]DATOS PBI Artículos'!$A$4:$A$4,'[1]DATOS PBI Artículos'!$Z$4:$Z$4)*_xlfn.XLOOKUP(_xlfn.XLOOKUP(A539,'[1]DATOS PBI Artículos'!$A$4:$A$4,'[1]DATOS PBI Artículos'!$Y$4:$Y$4),[1]CRITERIOS!$P$79:$P$123,[1]CRITERIOS!$S$79:$S$123)),0)*[1]CRITERIOS!$M$80*([1]CRITERIOS!$M$89*[1]CRITERIOS!$M$92)+((_xlfn.XLOOKUP(A539,'[1]DATOS PBI Artículos'!$A$4:$A$4,'[1]DATOS PBI Artículos'!$AA$4:$AA$4)/2)*([1]CRITERIOS!$M$95+[1]CRITERIOS!$M$98)))/N539)</f>
        <v>#N/A</v>
      </c>
      <c r="AE539" s="39" t="e">
        <f>IF($R539="MTO","",
IF($H539=0,ROUNDUP(((_xlfn.XLOOKUP($A539,'[1]DATOS PBI Artículos'!$A:$A,'[1]DATOS PBI Artículos'!$AL:$AL))/(_xlfn.XLOOKUP($AF$1,[1]CRITERIOS!$S$16:$S$39,[1]CRITERIOS!$Y$16:$Y$39))*$J539+$Z539)/$G539,0)*$G539,
((_xlfn.XLOOKUP($A539,'[1]DATOS PBI Artículos'!$A:$A,'[1]DATOS PBI Artículos'!$AL:$AL))/(_xlfn.XLOOKUP($AF$1,[1]CRITERIOS!$S$16:$S$39,[1]CRITERIOS!$Y$16:$Y$39))*$J539+$Z539)))</f>
        <v>#N/A</v>
      </c>
      <c r="AG539" s="39" t="e">
        <f>IF($R539="MTO","",
IF($H539=0,ROUNDUP(((_xlfn.XLOOKUP($A539,'[1]DATOS PBI Artículos'!$A:$A,'[1]DATOS PBI Artículos'!$AM:$AM))/(_xlfn.XLOOKUP($AH$1,[1]CRITERIOS!$S$16:$S$39,[1]CRITERIOS!$Y$16:$Y$39))*$J539+$Z539)/$G539,0)*$G539,
((_xlfn.XLOOKUP($A539,'[1]DATOS PBI Artículos'!$A:$A,'[1]DATOS PBI Artículos'!$AM:$AM))/(_xlfn.XLOOKUP($AH$1,[1]CRITERIOS!$S$16:$S$39,[1]CRITERIOS!$Y$16:$Y$39))*$J539+$Z539)))</f>
        <v>#N/A</v>
      </c>
      <c r="AI539" s="39" t="e">
        <f>IF($R539="MTO","",
IF($H539=0,ROUNDUP(((_xlfn.XLOOKUP($A539,'[1]DATOS PBI Artículos'!$A:$A,'[1]DATOS PBI Artículos'!$AN:$AN))/(_xlfn.XLOOKUP($AJ$1,[1]CRITERIOS!$S$16:$S$39,[1]CRITERIOS!$Y$16:$Y$39))*$J539+$Z539)/$G539,0)*$G539,
((_xlfn.XLOOKUP($A539,'[1]DATOS PBI Artículos'!$A:$A,'[1]DATOS PBI Artículos'!$AN:$AN))/(_xlfn.XLOOKUP($AJ$1,[1]CRITERIOS!$S$16:$S$39,[1]CRITERIOS!$Y$16:$Y$39))*$J539+$Z539)))</f>
        <v>#N/A</v>
      </c>
      <c r="AK539" s="39" t="e">
        <f>IF($R539="MTO","",
IF($H539=0,ROUNDUP(((_xlfn.XLOOKUP($A539,'[1]DATOS PBI Artículos'!$A:$A,'[1]DATOS PBI Artículos'!$AO:$AO))/(_xlfn.XLOOKUP($AL$1,[1]CRITERIOS!$S$16:$S$39,[1]CRITERIOS!$Y$16:$Y$39))*$J539+$Z539)/$G539,0)*$G539,
((_xlfn.XLOOKUP($A539,'[1]DATOS PBI Artículos'!$A:$A,'[1]DATOS PBI Artículos'!$AO:$AO))/(_xlfn.XLOOKUP($AL$1,[1]CRITERIOS!$S$16:$S$39,[1]CRITERIOS!$Y$16:$Y$39))*$J539+$Z539)))</f>
        <v>#N/A</v>
      </c>
    </row>
    <row r="540" spans="1:37" ht="25.8" hidden="1" x14ac:dyDescent="0.4">
      <c r="A540" s="41"/>
      <c r="B540" s="33">
        <f>_xlfn.XLOOKUP($A540,'[1]DATOS PBI Artículos'!A:A,'[1]DATOS PBI Artículos'!B:B)</f>
        <v>0</v>
      </c>
      <c r="C540" s="33">
        <f>_xlfn.XLOOKUP($A540,'[1]DATOS PBI Artículos'!A:A,'[1]DATOS PBI Artículos'!C:C)</f>
        <v>0</v>
      </c>
      <c r="D540" s="33">
        <f>_xlfn.XLOOKUP(A540,'[1]DATOS PBI Artículos'!A:A,'[1]DATOS PBI Artículos'!T:T)</f>
        <v>0</v>
      </c>
      <c r="E540" s="34">
        <f>IF(_xlfn.XLOOKUP($A540,'[1]DATOS PBI Artículos'!A:A,'[1]DATOS PBI Artículos'!AK:AK)="",_xlfn.XLOOKUP($A540,'[1]DATOS PBI Artículos'!A:A,'[1]DATOS PBI Artículos'!AJ:AJ),_xlfn.XLOOKUP($A540,'[1]DATOS PBI Artículos'!A:A,'[1]DATOS PBI Artículos'!AK:AK))</f>
        <v>0</v>
      </c>
      <c r="F540" s="35">
        <f>_xlfn.XLOOKUP($A540,'[1]DATOS PBI Artículos'!A:A,'[1]DATOS PBI Artículos'!AP:AP)</f>
        <v>0</v>
      </c>
      <c r="G540" s="34">
        <f>_xlfn.XLOOKUP($A540,'[1]DATOS PBI Artículos'!A:A,'[1]DATOS PBI Artículos'!AR:AR)</f>
        <v>0</v>
      </c>
      <c r="H540" s="34">
        <f>_xlfn.XLOOKUP($A540,'[1]DATOS PBI Artículos'!A:A,'[1]DATOS PBI Artículos'!AT:AT)</f>
        <v>0</v>
      </c>
      <c r="I540" s="34">
        <f>_xlfn.XLOOKUP($A540,'[1]DATOS PBI Artículos'!A:A,'[1]DATOS PBI Artículos'!AS:AS)</f>
        <v>0</v>
      </c>
      <c r="J540" s="35">
        <f>IF(COUNTIF([1]CRITERIOS!$F$179:$F$199,$A540)&gt;=1,
 IF(O540&lt;&gt;"",
    (O540/_xlfn.XLOOKUP(CONCATENATE(A540,L540),[1]MÁQUINAS!A:A,[1]MÁQUINAS!D:D))/24,
    (N540/_xlfn.XLOOKUP(CONCATENATE(A540,L540),[1]MÁQUINAS!A:A,[1]MÁQUINAS!D:D))/24),
  _xlfn.XLOOKUP($A540,'[1]DATOS PBI Artículos'!A:A,'[1]DATOS PBI Artículos'!AU:AU))</f>
        <v>0</v>
      </c>
      <c r="K540" s="36">
        <f>_xlfn.XLOOKUP($A540,'[1]DATOS PBI Artículos'!A:A,'[1]DATOS PBI Artículos'!AV:AV)</f>
        <v>0</v>
      </c>
      <c r="L540" s="33">
        <f>_xlfn.XLOOKUP(A540,[1]MÁQUINAS!B:B,[1]MÁQUINAS!C:C)</f>
        <v>0</v>
      </c>
      <c r="M540" s="34">
        <f t="array" ref="M540">_xlfn.XLOOKUP(A540,'[1]DATOS PBI Artículos'!A:A,'[1]DATOS PBI Artículos'!AX:$AX)</f>
        <v>0</v>
      </c>
      <c r="N540" s="37" t="e">
        <f>IF(I540="DV",
E540,
IF(COUNTIF([1]CRITERIOS!$I$179:$I$199,$A540)&gt;=1,
_xlfn.XLOOKUP($A540,[1]CRITERIOS!$I$179:$I$199,[1]CRITERIOS!$J$179:$J$199),
IF(COUNTIF([1]CRITERIOS!$L$179:$L$199,$A540)&gt;=1,
_xlfn.CEILING.MATH(IF($M540&gt;$E540,
$E540,
IF($M540&lt;$E540/ROUNDDOWN([1]CRITERIOS!$M$16/_xlfn.XLOOKUP($C540,[1]CRITERIOS!$K$25:$K$42,[1]CRITERIOS!$M$25:$M$42),
1),
E540/ROUNDDOWN([1]CRITERIOS!$M$16/_xlfn.XLOOKUP($C540,[1]CRITERIOS!$K$25:$K$42,[1]CRITERIOS!$M$25:$M$42),
1),
$M540)),
_xlfn.XLOOKUP($A540,[1]CRITERIOS!$L$179:$L$200,[1]CRITERIOS!$M$179:$M$200)),
_xlfn.CEILING.MATH(IF($M540&gt;$E540,
$E540,
IF($M540&lt;$E540/ROUNDDOWN([1]CRITERIOS!$M$16/_xlfn.XLOOKUP($C540,[1]CRITERIOS!$K$25:$K$42,[1]CRITERIOS!$M$25:$M$42),
1),
E540/ROUNDDOWN([1]CRITERIOS!$M$16/_xlfn.XLOOKUP($C540,[1]CRITERIOS!$K$25:$K$42,[1]CRITERIOS!$M$25:$M$42),
1),
$M540)),_xlfn.XLOOKUP(A540,'[1]DATOS PBI Artículos'!A:A,'[1]DATOS PBI Artículos'!Z:Z
)))))</f>
        <v>#N/A</v>
      </c>
      <c r="Q540" s="38" t="e">
        <f>IF(AND(O540="",N540=0),
0,
   IF(COUNTIF([1]CRITERIOS!$F$179:$F$199,$A540)&gt;=1,
   1,
   IF(R540="MTO",
      $D540,
      ROUNDUP(
                    IF(($E540-SUMIF('[1]DATOS PBI Artículos'!A:A,A540,'[1]DATOS PBI Artículos'!X:X)+($V540-_xlfn.XLOOKUP(A540,'[1]DATOS PBI Artículos'!A:A,'[1]DATOS PBI Artículos'!W:W)))&lt;0,
                    0,
                    IF(($E540-SUMIF('[1]DATOS PBI Artículos'!A:A,A540,'[1]DATOS PBI Artículos'!X:X)+$V540-_xlfn.XLOOKUP($A540,'[1]DATOS PBI Artículos'!A:A,'[1]DATOS PBI Artículos'!W:W))/IF($O540="",$N540,$O540)&gt;ROUNDUP([1]CRITERIOS!$M$16/(IF(COUNTIF([1]CRITERIOS!$BG$11:$BG$201,L540)&gt;=1,_xlfn.XLOOKUP($C540,[1]CRITERIOS!$K$25:$K$42,[1]CRITERIOS!$M$25:$M$42),_xlfn.XLOOKUP($C540,[1]CRITERIOS!$K$25:$K$42,[1]CRITERIOS!$M$25:$M$42))),0),
                    ROUNDUP([1]CRITERIOS!$M$16/(IF(COUNTIF([1]CRITERIOS!$BG$11:$BG$201,$L540)&gt;=1,_xlfn.XLOOKUP($C540,[1]CRITERIOS!$K$25:$K$42,[1]CRITERIOS!$M$25:$M$42),_xlfn.XLOOKUP($C540,[1]CRITERIOS!$K$25:$K$42,[1]CRITERIOS!$M$25:$M$42))),0),
                    (E540+V540-SUMIF('[1]DATOS PBI Artículos'!A:A,A540,'[1]DATOS PBI Artículos'!X:X)-_xlfn.XLOOKUP(A540,'[1]DATOS PBI Artículos'!A:A,'[1]DATOS PBI Artículos'!W:W))/IF($O540="",$N540,$O540))),0))))</f>
        <v>#N/A</v>
      </c>
      <c r="R540" s="33" t="e">
        <f>IF(U540&lt;&gt;"",U540,IF(F540="DV","MTO",IF(N540=0,"MTO",_xlfn.XLOOKUP(CONCATENATE(S540,T540),[1]CRITERIOS!$K$160:$K$168,[1]CRITERIOS!$N$160:$N$168))))</f>
        <v>#N/A</v>
      </c>
      <c r="S540" s="33" t="e">
        <f>IF(G540="DV","MTO",IF(N540=0,"MTO",IF(OR(AND(N540=0,O540=""),IF(O540="",G540/N540,G540/O540)&gt;[1]CRITERIOS!$G$163),"MTO",IF(IF(O540="",G540/N540,G540/O540)&lt;[1]CRITERIOS!$H$161,"MTS","MTOS"))))</f>
        <v>#N/A</v>
      </c>
      <c r="T540" s="33" t="e">
        <f>IF(F540="DV","MTO",IF(OR(AND($N540=0,O540=""),$F540/$J540&gt;[1]CRITERIOS!$G$170,$F540="DV"),"MTO",IF($F540/$J540&lt;[1]CRITERIOS!$H$168,"MTS","MTOS")))</f>
        <v>#N/A</v>
      </c>
      <c r="V540" s="34" t="e">
        <f t="shared" si="28"/>
        <v>#N/A</v>
      </c>
      <c r="X540" s="34" t="e">
        <f t="shared" si="26"/>
        <v>#N/A</v>
      </c>
      <c r="Y540" s="34" t="e">
        <f t="shared" si="27"/>
        <v>#N/A</v>
      </c>
      <c r="Z540" s="34" t="e">
        <f>IF($R540="MTO",
0,
($H540+$K540*($E540/[1]CRITERIOS!$M$16))/[1]CRITERIOS!$X$48)</f>
        <v>#N/A</v>
      </c>
      <c r="AA540" s="34" t="e">
        <f>ROUNDUP(($Y540/_xlfn.XLOOKUP($A540,'[1]DATOS PBI Artículos'!$A$4:$A$4,'[1]DATOS PBI Artículos'!$Z$4:$Z$4))/_xlfn.XLOOKUP(_xlfn.XLOOKUP($A540,'[1]DATOS PBI Artículos'!$A$4:$A$4,'[1]DATOS PBI Artículos'!$Y$4:$Y$4),[1]CRITERIOS!$P$79:$P$123,[1]CRITERIOS!$S$79:$S$123,),0)</f>
        <v>#N/A</v>
      </c>
      <c r="AB540" s="33" t="e">
        <f t="array" ref="AB540">IF((E540+V540-_xlfn.XLOOKUP(A540,'[1]DATOS PBI Artículos'!$A$4:$A$4,'[1]DATOS PBI Artículos'!$W$4:$W$4))/N540&gt;ROUNDUP([1]CRITERIOS!$M$16/(IF(COUNTIF([1]CRITERIOS!$BG$11:$BG$201,L540)&gt;=1,_xlfn.XLOOKUP(ARTÍCULOS!L540,[1]CRITERIOS!$BG$11:$BG$201,[1]CRITERIOS!$BJ$11:$BJ$201),_xlfn.XLOOKUP(ARTÍCULOS!C540,[1]CRITERIOS!$K$25:$K$42,[1]CRITERIOS!$M$25:$M$42))),0),ROUNDUP([1]CRITERIOS!$M$16/(IF(COUNTIF([1]CRITERIOS!$BG$11:$BG$201,L540)&gt;=1,_xlfn.XLOOKUP(ARTÍCULOS!L540,[1]CRITERIOS!$BG$11:$BG$201:#REF!,[1]CRITERIOS!$BJ$11:$BJ$201),_xlfn.XLOOKUP(ARTÍCULOS!C540,[1]CRITERIOS!$K$25:$K$42,[1]CRITERIOS!$M$25:$M$42))),0),(E540+V540-_xlfn.XLOOKUP(A540,'[1]DATOS PBI Artículos'!$A$4:$A$4,'[1]DATOS PBI Artículos'!$W$4:$W$4))/N540)</f>
        <v>#N/A</v>
      </c>
      <c r="AC540" s="33" t="e">
        <f>IF(N540=0,"",(ROUNDUP((N540/2)/(_xlfn.XLOOKUP(A540,'[1]DATOS PBI Artículos'!$A$4:$A$4,'[1]DATOS PBI Artículos'!$Z$4:$Z$4)*_xlfn.XLOOKUP(_xlfn.XLOOKUP(A540,'[1]DATOS PBI Artículos'!$A$4:$A$4,'[1]DATOS PBI Artículos'!$Y$4:$Y$4),[1]CRITERIOS!$P$79:$P$123,[1]CRITERIOS!$S$79:$S$123)),0)*[1]CRITERIOS!$M$80*([1]CRITERIOS!$M$110/[1]CRITERIOS!$M$86)+(_xlfn.XLOOKUP(A540,'[1]DATOS PBI Artículos'!$A$4:$A$4,'[1]DATOS PBI Artículos'!$AA$4:$AA$4)*([1]CRITERIOS!$M$95+[1]CRITERIOS!$M$98)))/N540)</f>
        <v>#N/A</v>
      </c>
      <c r="AD540" s="33" t="e">
        <f>IF(N540=0,"",(ROUNDUP((N540/2)/(_xlfn.XLOOKUP(A540,'[1]DATOS PBI Artículos'!$A$4:$A$4,'[1]DATOS PBI Artículos'!$Z$4:$Z$4)*_xlfn.XLOOKUP(_xlfn.XLOOKUP(A540,'[1]DATOS PBI Artículos'!$A$4:$A$4,'[1]DATOS PBI Artículos'!$Y$4:$Y$4),[1]CRITERIOS!$P$79:$P$123,[1]CRITERIOS!$S$79:$S$123)),0)*[1]CRITERIOS!$M$80*([1]CRITERIOS!$M$89*[1]CRITERIOS!$M$92)+((_xlfn.XLOOKUP(A540,'[1]DATOS PBI Artículos'!$A$4:$A$4,'[1]DATOS PBI Artículos'!$AA$4:$AA$4)/2)*([1]CRITERIOS!$M$95+[1]CRITERIOS!$M$98)))/N540)</f>
        <v>#N/A</v>
      </c>
      <c r="AE540" s="39" t="e">
        <f>IF($R540="MTO","",
IF($H540=0,ROUNDUP(((_xlfn.XLOOKUP($A540,'[1]DATOS PBI Artículos'!$A:$A,'[1]DATOS PBI Artículos'!$AL:$AL))/(_xlfn.XLOOKUP($AF$1,[1]CRITERIOS!$S$16:$S$39,[1]CRITERIOS!$Y$16:$Y$39))*$J540+$Z540)/$G540,0)*$G540,
((_xlfn.XLOOKUP($A540,'[1]DATOS PBI Artículos'!$A:$A,'[1]DATOS PBI Artículos'!$AL:$AL))/(_xlfn.XLOOKUP($AF$1,[1]CRITERIOS!$S$16:$S$39,[1]CRITERIOS!$Y$16:$Y$39))*$J540+$Z540)))</f>
        <v>#N/A</v>
      </c>
      <c r="AG540" s="39" t="e">
        <f>IF($R540="MTO","",
IF($H540=0,ROUNDUP(((_xlfn.XLOOKUP($A540,'[1]DATOS PBI Artículos'!$A:$A,'[1]DATOS PBI Artículos'!$AM:$AM))/(_xlfn.XLOOKUP($AH$1,[1]CRITERIOS!$S$16:$S$39,[1]CRITERIOS!$Y$16:$Y$39))*$J540+$Z540)/$G540,0)*$G540,
((_xlfn.XLOOKUP($A540,'[1]DATOS PBI Artículos'!$A:$A,'[1]DATOS PBI Artículos'!$AM:$AM))/(_xlfn.XLOOKUP($AH$1,[1]CRITERIOS!$S$16:$S$39,[1]CRITERIOS!$Y$16:$Y$39))*$J540+$Z540)))</f>
        <v>#N/A</v>
      </c>
      <c r="AI540" s="39" t="e">
        <f>IF($R540="MTO","",
IF($H540=0,ROUNDUP(((_xlfn.XLOOKUP($A540,'[1]DATOS PBI Artículos'!$A:$A,'[1]DATOS PBI Artículos'!$AN:$AN))/(_xlfn.XLOOKUP($AJ$1,[1]CRITERIOS!$S$16:$S$39,[1]CRITERIOS!$Y$16:$Y$39))*$J540+$Z540)/$G540,0)*$G540,
((_xlfn.XLOOKUP($A540,'[1]DATOS PBI Artículos'!$A:$A,'[1]DATOS PBI Artículos'!$AN:$AN))/(_xlfn.XLOOKUP($AJ$1,[1]CRITERIOS!$S$16:$S$39,[1]CRITERIOS!$Y$16:$Y$39))*$J540+$Z540)))</f>
        <v>#N/A</v>
      </c>
      <c r="AK540" s="39" t="e">
        <f>IF($R540="MTO","",
IF($H540=0,ROUNDUP(((_xlfn.XLOOKUP($A540,'[1]DATOS PBI Artículos'!$A:$A,'[1]DATOS PBI Artículos'!$AO:$AO))/(_xlfn.XLOOKUP($AL$1,[1]CRITERIOS!$S$16:$S$39,[1]CRITERIOS!$Y$16:$Y$39))*$J540+$Z540)/$G540,0)*$G540,
((_xlfn.XLOOKUP($A540,'[1]DATOS PBI Artículos'!$A:$A,'[1]DATOS PBI Artículos'!$AO:$AO))/(_xlfn.XLOOKUP($AL$1,[1]CRITERIOS!$S$16:$S$39,[1]CRITERIOS!$Y$16:$Y$39))*$J540+$Z540)))</f>
        <v>#N/A</v>
      </c>
    </row>
    <row r="541" spans="1:37" ht="25.8" hidden="1" x14ac:dyDescent="0.4">
      <c r="A541" s="41"/>
      <c r="B541" s="33">
        <f>_xlfn.XLOOKUP($A541,'[1]DATOS PBI Artículos'!A:A,'[1]DATOS PBI Artículos'!B:B)</f>
        <v>0</v>
      </c>
      <c r="C541" s="33">
        <f>_xlfn.XLOOKUP($A541,'[1]DATOS PBI Artículos'!A:A,'[1]DATOS PBI Artículos'!C:C)</f>
        <v>0</v>
      </c>
      <c r="D541" s="33">
        <f>_xlfn.XLOOKUP(A541,'[1]DATOS PBI Artículos'!A:A,'[1]DATOS PBI Artículos'!T:T)</f>
        <v>0</v>
      </c>
      <c r="E541" s="34">
        <f>IF(_xlfn.XLOOKUP($A541,'[1]DATOS PBI Artículos'!A:A,'[1]DATOS PBI Artículos'!AK:AK)="",_xlfn.XLOOKUP($A541,'[1]DATOS PBI Artículos'!A:A,'[1]DATOS PBI Artículos'!AJ:AJ),_xlfn.XLOOKUP($A541,'[1]DATOS PBI Artículos'!A:A,'[1]DATOS PBI Artículos'!AK:AK))</f>
        <v>0</v>
      </c>
      <c r="F541" s="35">
        <f>_xlfn.XLOOKUP($A541,'[1]DATOS PBI Artículos'!A:A,'[1]DATOS PBI Artículos'!AP:AP)</f>
        <v>0</v>
      </c>
      <c r="G541" s="34">
        <f>_xlfn.XLOOKUP($A541,'[1]DATOS PBI Artículos'!A:A,'[1]DATOS PBI Artículos'!AR:AR)</f>
        <v>0</v>
      </c>
      <c r="H541" s="34">
        <f>_xlfn.XLOOKUP($A541,'[1]DATOS PBI Artículos'!A:A,'[1]DATOS PBI Artículos'!AT:AT)</f>
        <v>0</v>
      </c>
      <c r="I541" s="34">
        <f>_xlfn.XLOOKUP($A541,'[1]DATOS PBI Artículos'!A:A,'[1]DATOS PBI Artículos'!AS:AS)</f>
        <v>0</v>
      </c>
      <c r="J541" s="35">
        <f>IF(COUNTIF([1]CRITERIOS!$F$179:$F$199,$A541)&gt;=1,
 IF(O541&lt;&gt;"",
    (O541/_xlfn.XLOOKUP(CONCATENATE(A541,L541),[1]MÁQUINAS!A:A,[1]MÁQUINAS!D:D))/24,
    (N541/_xlfn.XLOOKUP(CONCATENATE(A541,L541),[1]MÁQUINAS!A:A,[1]MÁQUINAS!D:D))/24),
  _xlfn.XLOOKUP($A541,'[1]DATOS PBI Artículos'!A:A,'[1]DATOS PBI Artículos'!AU:AU))</f>
        <v>0</v>
      </c>
      <c r="K541" s="36">
        <f>_xlfn.XLOOKUP($A541,'[1]DATOS PBI Artículos'!A:A,'[1]DATOS PBI Artículos'!AV:AV)</f>
        <v>0</v>
      </c>
      <c r="L541" s="33">
        <f>_xlfn.XLOOKUP(A541,[1]MÁQUINAS!B:B,[1]MÁQUINAS!C:C)</f>
        <v>0</v>
      </c>
      <c r="M541" s="34">
        <f t="array" ref="M541">_xlfn.XLOOKUP(A541,'[1]DATOS PBI Artículos'!A:A,'[1]DATOS PBI Artículos'!AX:$AX)</f>
        <v>0</v>
      </c>
      <c r="N541" s="37" t="e">
        <f>IF(I541="DV",
E541,
IF(COUNTIF([1]CRITERIOS!$I$179:$I$199,$A541)&gt;=1,
_xlfn.XLOOKUP($A541,[1]CRITERIOS!$I$179:$I$199,[1]CRITERIOS!$J$179:$J$199),
IF(COUNTIF([1]CRITERIOS!$L$179:$L$199,$A541)&gt;=1,
_xlfn.CEILING.MATH(IF($M541&gt;$E541,
$E541,
IF($M541&lt;$E541/ROUNDDOWN([1]CRITERIOS!$M$16/_xlfn.XLOOKUP($C541,[1]CRITERIOS!$K$25:$K$42,[1]CRITERIOS!$M$25:$M$42),
1),
E541/ROUNDDOWN([1]CRITERIOS!$M$16/_xlfn.XLOOKUP($C541,[1]CRITERIOS!$K$25:$K$42,[1]CRITERIOS!$M$25:$M$42),
1),
$M541)),
_xlfn.XLOOKUP($A541,[1]CRITERIOS!$L$179:$L$200,[1]CRITERIOS!$M$179:$M$200)),
_xlfn.CEILING.MATH(IF($M541&gt;$E541,
$E541,
IF($M541&lt;$E541/ROUNDDOWN([1]CRITERIOS!$M$16/_xlfn.XLOOKUP($C541,[1]CRITERIOS!$K$25:$K$42,[1]CRITERIOS!$M$25:$M$42),
1),
E541/ROUNDDOWN([1]CRITERIOS!$M$16/_xlfn.XLOOKUP($C541,[1]CRITERIOS!$K$25:$K$42,[1]CRITERIOS!$M$25:$M$42),
1),
$M541)),_xlfn.XLOOKUP(A541,'[1]DATOS PBI Artículos'!A:A,'[1]DATOS PBI Artículos'!Z:Z
)))))</f>
        <v>#N/A</v>
      </c>
      <c r="Q541" s="38" t="e">
        <f>IF(AND(O541="",N541=0),
0,
   IF(COUNTIF([1]CRITERIOS!$F$179:$F$199,$A541)&gt;=1,
   1,
   IF(R541="MTO",
      $D541,
      ROUNDUP(
                    IF(($E541-SUMIF('[1]DATOS PBI Artículos'!A:A,A541,'[1]DATOS PBI Artículos'!X:X)+($V541-_xlfn.XLOOKUP(A541,'[1]DATOS PBI Artículos'!A:A,'[1]DATOS PBI Artículos'!W:W)))&lt;0,
                    0,
                    IF(($E541-SUMIF('[1]DATOS PBI Artículos'!A:A,A541,'[1]DATOS PBI Artículos'!X:X)+$V541-_xlfn.XLOOKUP($A541,'[1]DATOS PBI Artículos'!A:A,'[1]DATOS PBI Artículos'!W:W))/IF($O541="",$N541,$O541)&gt;ROUNDUP([1]CRITERIOS!$M$16/(IF(COUNTIF([1]CRITERIOS!$BG$11:$BG$201,L541)&gt;=1,_xlfn.XLOOKUP($C541,[1]CRITERIOS!$K$25:$K$42,[1]CRITERIOS!$M$25:$M$42),_xlfn.XLOOKUP($C541,[1]CRITERIOS!$K$25:$K$42,[1]CRITERIOS!$M$25:$M$42))),0),
                    ROUNDUP([1]CRITERIOS!$M$16/(IF(COUNTIF([1]CRITERIOS!$BG$11:$BG$201,$L541)&gt;=1,_xlfn.XLOOKUP($C541,[1]CRITERIOS!$K$25:$K$42,[1]CRITERIOS!$M$25:$M$42),_xlfn.XLOOKUP($C541,[1]CRITERIOS!$K$25:$K$42,[1]CRITERIOS!$M$25:$M$42))),0),
                    (E541+V541-SUMIF('[1]DATOS PBI Artículos'!A:A,A541,'[1]DATOS PBI Artículos'!X:X)-_xlfn.XLOOKUP(A541,'[1]DATOS PBI Artículos'!A:A,'[1]DATOS PBI Artículos'!W:W))/IF($O541="",$N541,$O541))),0))))</f>
        <v>#N/A</v>
      </c>
      <c r="R541" s="33" t="e">
        <f>IF(U541&lt;&gt;"",U541,IF(F541="DV","MTO",IF(N541=0,"MTO",_xlfn.XLOOKUP(CONCATENATE(S541,T541),[1]CRITERIOS!$K$160:$K$168,[1]CRITERIOS!$N$160:$N$168))))</f>
        <v>#N/A</v>
      </c>
      <c r="S541" s="33" t="e">
        <f>IF(G541="DV","MTO",IF(N541=0,"MTO",IF(OR(AND(N541=0,O541=""),IF(O541="",G541/N541,G541/O541)&gt;[1]CRITERIOS!$G$163),"MTO",IF(IF(O541="",G541/N541,G541/O541)&lt;[1]CRITERIOS!$H$161,"MTS","MTOS"))))</f>
        <v>#N/A</v>
      </c>
      <c r="T541" s="33" t="e">
        <f>IF(F541="DV","MTO",IF(OR(AND($N541=0,O541=""),$F541/$J541&gt;[1]CRITERIOS!$G$170,$F541="DV"),"MTO",IF($F541/$J541&lt;[1]CRITERIOS!$H$168,"MTS","MTOS")))</f>
        <v>#N/A</v>
      </c>
      <c r="V541" s="34" t="e">
        <f t="shared" si="28"/>
        <v>#N/A</v>
      </c>
      <c r="X541" s="34" t="e">
        <f t="shared" si="26"/>
        <v>#N/A</v>
      </c>
      <c r="Y541" s="34" t="e">
        <f t="shared" si="27"/>
        <v>#N/A</v>
      </c>
      <c r="Z541" s="34" t="e">
        <f>IF($R541="MTO",
0,
($H541+$K541*($E541/[1]CRITERIOS!$M$16))/[1]CRITERIOS!$X$48)</f>
        <v>#N/A</v>
      </c>
      <c r="AA541" s="34" t="e">
        <f>ROUNDUP(($Y541/_xlfn.XLOOKUP($A541,'[1]DATOS PBI Artículos'!$A$4:$A$4,'[1]DATOS PBI Artículos'!$Z$4:$Z$4))/_xlfn.XLOOKUP(_xlfn.XLOOKUP($A541,'[1]DATOS PBI Artículos'!$A$4:$A$4,'[1]DATOS PBI Artículos'!$Y$4:$Y$4),[1]CRITERIOS!$P$79:$P$123,[1]CRITERIOS!$S$79:$S$123,),0)</f>
        <v>#N/A</v>
      </c>
      <c r="AB541" s="33" t="e">
        <f t="array" ref="AB541">IF((E541+V541-_xlfn.XLOOKUP(A541,'[1]DATOS PBI Artículos'!$A$4:$A$4,'[1]DATOS PBI Artículos'!$W$4:$W$4))/N541&gt;ROUNDUP([1]CRITERIOS!$M$16/(IF(COUNTIF([1]CRITERIOS!$BG$11:$BG$201,L541)&gt;=1,_xlfn.XLOOKUP(ARTÍCULOS!L541,[1]CRITERIOS!$BG$11:$BG$201,[1]CRITERIOS!$BJ$11:$BJ$201),_xlfn.XLOOKUP(ARTÍCULOS!C541,[1]CRITERIOS!$K$25:$K$42,[1]CRITERIOS!$M$25:$M$42))),0),ROUNDUP([1]CRITERIOS!$M$16/(IF(COUNTIF([1]CRITERIOS!$BG$11:$BG$201,L541)&gt;=1,_xlfn.XLOOKUP(ARTÍCULOS!L541,[1]CRITERIOS!$BG$11:$BG$201:#REF!,[1]CRITERIOS!$BJ$11:$BJ$201),_xlfn.XLOOKUP(ARTÍCULOS!C541,[1]CRITERIOS!$K$25:$K$42,[1]CRITERIOS!$M$25:$M$42))),0),(E541+V541-_xlfn.XLOOKUP(A541,'[1]DATOS PBI Artículos'!$A$4:$A$4,'[1]DATOS PBI Artículos'!$W$4:$W$4))/N541)</f>
        <v>#N/A</v>
      </c>
      <c r="AC541" s="33" t="e">
        <f>IF(N541=0,"",(ROUNDUP((N541/2)/(_xlfn.XLOOKUP(A541,'[1]DATOS PBI Artículos'!$A$4:$A$4,'[1]DATOS PBI Artículos'!$Z$4:$Z$4)*_xlfn.XLOOKUP(_xlfn.XLOOKUP(A541,'[1]DATOS PBI Artículos'!$A$4:$A$4,'[1]DATOS PBI Artículos'!$Y$4:$Y$4),[1]CRITERIOS!$P$79:$P$123,[1]CRITERIOS!$S$79:$S$123)),0)*[1]CRITERIOS!$M$80*([1]CRITERIOS!$M$110/[1]CRITERIOS!$M$86)+(_xlfn.XLOOKUP(A541,'[1]DATOS PBI Artículos'!$A$4:$A$4,'[1]DATOS PBI Artículos'!$AA$4:$AA$4)*([1]CRITERIOS!$M$95+[1]CRITERIOS!$M$98)))/N541)</f>
        <v>#N/A</v>
      </c>
      <c r="AD541" s="33" t="e">
        <f>IF(N541=0,"",(ROUNDUP((N541/2)/(_xlfn.XLOOKUP(A541,'[1]DATOS PBI Artículos'!$A$4:$A$4,'[1]DATOS PBI Artículos'!$Z$4:$Z$4)*_xlfn.XLOOKUP(_xlfn.XLOOKUP(A541,'[1]DATOS PBI Artículos'!$A$4:$A$4,'[1]DATOS PBI Artículos'!$Y$4:$Y$4),[1]CRITERIOS!$P$79:$P$123,[1]CRITERIOS!$S$79:$S$123)),0)*[1]CRITERIOS!$M$80*([1]CRITERIOS!$M$89*[1]CRITERIOS!$M$92)+((_xlfn.XLOOKUP(A541,'[1]DATOS PBI Artículos'!$A$4:$A$4,'[1]DATOS PBI Artículos'!$AA$4:$AA$4)/2)*([1]CRITERIOS!$M$95+[1]CRITERIOS!$M$98)))/N541)</f>
        <v>#N/A</v>
      </c>
      <c r="AE541" s="39" t="e">
        <f>IF($R541="MTO","",
IF($H541=0,ROUNDUP(((_xlfn.XLOOKUP($A541,'[1]DATOS PBI Artículos'!$A:$A,'[1]DATOS PBI Artículos'!$AL:$AL))/(_xlfn.XLOOKUP($AF$1,[1]CRITERIOS!$S$16:$S$39,[1]CRITERIOS!$Y$16:$Y$39))*$J541+$Z541)/$G541,0)*$G541,
((_xlfn.XLOOKUP($A541,'[1]DATOS PBI Artículos'!$A:$A,'[1]DATOS PBI Artículos'!$AL:$AL))/(_xlfn.XLOOKUP($AF$1,[1]CRITERIOS!$S$16:$S$39,[1]CRITERIOS!$Y$16:$Y$39))*$J541+$Z541)))</f>
        <v>#N/A</v>
      </c>
      <c r="AG541" s="39" t="e">
        <f>IF($R541="MTO","",
IF($H541=0,ROUNDUP(((_xlfn.XLOOKUP($A541,'[1]DATOS PBI Artículos'!$A:$A,'[1]DATOS PBI Artículos'!$AM:$AM))/(_xlfn.XLOOKUP($AH$1,[1]CRITERIOS!$S$16:$S$39,[1]CRITERIOS!$Y$16:$Y$39))*$J541+$Z541)/$G541,0)*$G541,
((_xlfn.XLOOKUP($A541,'[1]DATOS PBI Artículos'!$A:$A,'[1]DATOS PBI Artículos'!$AM:$AM))/(_xlfn.XLOOKUP($AH$1,[1]CRITERIOS!$S$16:$S$39,[1]CRITERIOS!$Y$16:$Y$39))*$J541+$Z541)))</f>
        <v>#N/A</v>
      </c>
      <c r="AI541" s="39" t="e">
        <f>IF($R541="MTO","",
IF($H541=0,ROUNDUP(((_xlfn.XLOOKUP($A541,'[1]DATOS PBI Artículos'!$A:$A,'[1]DATOS PBI Artículos'!$AN:$AN))/(_xlfn.XLOOKUP($AJ$1,[1]CRITERIOS!$S$16:$S$39,[1]CRITERIOS!$Y$16:$Y$39))*$J541+$Z541)/$G541,0)*$G541,
((_xlfn.XLOOKUP($A541,'[1]DATOS PBI Artículos'!$A:$A,'[1]DATOS PBI Artículos'!$AN:$AN))/(_xlfn.XLOOKUP($AJ$1,[1]CRITERIOS!$S$16:$S$39,[1]CRITERIOS!$Y$16:$Y$39))*$J541+$Z541)))</f>
        <v>#N/A</v>
      </c>
      <c r="AK541" s="39" t="e">
        <f>IF($R541="MTO","",
IF($H541=0,ROUNDUP(((_xlfn.XLOOKUP($A541,'[1]DATOS PBI Artículos'!$A:$A,'[1]DATOS PBI Artículos'!$AO:$AO))/(_xlfn.XLOOKUP($AL$1,[1]CRITERIOS!$S$16:$S$39,[1]CRITERIOS!$Y$16:$Y$39))*$J541+$Z541)/$G541,0)*$G541,
((_xlfn.XLOOKUP($A541,'[1]DATOS PBI Artículos'!$A:$A,'[1]DATOS PBI Artículos'!$AO:$AO))/(_xlfn.XLOOKUP($AL$1,[1]CRITERIOS!$S$16:$S$39,[1]CRITERIOS!$Y$16:$Y$39))*$J541+$Z541)))</f>
        <v>#N/A</v>
      </c>
    </row>
    <row r="542" spans="1:37" ht="25.8" hidden="1" x14ac:dyDescent="0.4">
      <c r="A542" s="41"/>
      <c r="B542" s="33">
        <f>_xlfn.XLOOKUP($A542,'[1]DATOS PBI Artículos'!A:A,'[1]DATOS PBI Artículos'!B:B)</f>
        <v>0</v>
      </c>
      <c r="C542" s="33">
        <f>_xlfn.XLOOKUP($A542,'[1]DATOS PBI Artículos'!A:A,'[1]DATOS PBI Artículos'!C:C)</f>
        <v>0</v>
      </c>
      <c r="D542" s="33">
        <f>_xlfn.XLOOKUP(A542,'[1]DATOS PBI Artículos'!A:A,'[1]DATOS PBI Artículos'!T:T)</f>
        <v>0</v>
      </c>
      <c r="E542" s="34">
        <f>IF(_xlfn.XLOOKUP($A542,'[1]DATOS PBI Artículos'!A:A,'[1]DATOS PBI Artículos'!AK:AK)="",_xlfn.XLOOKUP($A542,'[1]DATOS PBI Artículos'!A:A,'[1]DATOS PBI Artículos'!AJ:AJ),_xlfn.XLOOKUP($A542,'[1]DATOS PBI Artículos'!A:A,'[1]DATOS PBI Artículos'!AK:AK))</f>
        <v>0</v>
      </c>
      <c r="F542" s="35">
        <f>_xlfn.XLOOKUP($A542,'[1]DATOS PBI Artículos'!A:A,'[1]DATOS PBI Artículos'!AP:AP)</f>
        <v>0</v>
      </c>
      <c r="G542" s="34">
        <f>_xlfn.XLOOKUP($A542,'[1]DATOS PBI Artículos'!A:A,'[1]DATOS PBI Artículos'!AR:AR)</f>
        <v>0</v>
      </c>
      <c r="H542" s="34">
        <f>_xlfn.XLOOKUP($A542,'[1]DATOS PBI Artículos'!A:A,'[1]DATOS PBI Artículos'!AT:AT)</f>
        <v>0</v>
      </c>
      <c r="I542" s="34">
        <f>_xlfn.XLOOKUP($A542,'[1]DATOS PBI Artículos'!A:A,'[1]DATOS PBI Artículos'!AS:AS)</f>
        <v>0</v>
      </c>
      <c r="J542" s="35">
        <f>IF(COUNTIF([1]CRITERIOS!$F$179:$F$199,$A542)&gt;=1,
 IF(O542&lt;&gt;"",
    (O542/_xlfn.XLOOKUP(CONCATENATE(A542,L542),[1]MÁQUINAS!A:A,[1]MÁQUINAS!D:D))/24,
    (N542/_xlfn.XLOOKUP(CONCATENATE(A542,L542),[1]MÁQUINAS!A:A,[1]MÁQUINAS!D:D))/24),
  _xlfn.XLOOKUP($A542,'[1]DATOS PBI Artículos'!A:A,'[1]DATOS PBI Artículos'!AU:AU))</f>
        <v>0</v>
      </c>
      <c r="K542" s="36">
        <f>_xlfn.XLOOKUP($A542,'[1]DATOS PBI Artículos'!A:A,'[1]DATOS PBI Artículos'!AV:AV)</f>
        <v>0</v>
      </c>
      <c r="L542" s="33">
        <f>_xlfn.XLOOKUP(A542,[1]MÁQUINAS!B:B,[1]MÁQUINAS!C:C)</f>
        <v>0</v>
      </c>
      <c r="M542" s="34">
        <f t="array" ref="M542">_xlfn.XLOOKUP(A542,'[1]DATOS PBI Artículos'!A:A,'[1]DATOS PBI Artículos'!AX:$AX)</f>
        <v>0</v>
      </c>
      <c r="N542" s="37" t="e">
        <f>IF(I542="DV",
E542,
IF(COUNTIF([1]CRITERIOS!$I$179:$I$199,$A542)&gt;=1,
_xlfn.XLOOKUP($A542,[1]CRITERIOS!$I$179:$I$199,[1]CRITERIOS!$J$179:$J$199),
IF(COUNTIF([1]CRITERIOS!$L$179:$L$199,$A542)&gt;=1,
_xlfn.CEILING.MATH(IF($M542&gt;$E542,
$E542,
IF($M542&lt;$E542/ROUNDDOWN([1]CRITERIOS!$M$16/_xlfn.XLOOKUP($C542,[1]CRITERIOS!$K$25:$K$42,[1]CRITERIOS!$M$25:$M$42),
1),
E542/ROUNDDOWN([1]CRITERIOS!$M$16/_xlfn.XLOOKUP($C542,[1]CRITERIOS!$K$25:$K$42,[1]CRITERIOS!$M$25:$M$42),
1),
$M542)),
_xlfn.XLOOKUP($A542,[1]CRITERIOS!$L$179:$L$200,[1]CRITERIOS!$M$179:$M$200)),
_xlfn.CEILING.MATH(IF($M542&gt;$E542,
$E542,
IF($M542&lt;$E542/ROUNDDOWN([1]CRITERIOS!$M$16/_xlfn.XLOOKUP($C542,[1]CRITERIOS!$K$25:$K$42,[1]CRITERIOS!$M$25:$M$42),
1),
E542/ROUNDDOWN([1]CRITERIOS!$M$16/_xlfn.XLOOKUP($C542,[1]CRITERIOS!$K$25:$K$42,[1]CRITERIOS!$M$25:$M$42),
1),
$M542)),_xlfn.XLOOKUP(A542,'[1]DATOS PBI Artículos'!A:A,'[1]DATOS PBI Artículos'!Z:Z
)))))</f>
        <v>#N/A</v>
      </c>
      <c r="Q542" s="38" t="e">
        <f>IF(AND(O542="",N542=0),
0,
   IF(COUNTIF([1]CRITERIOS!$F$179:$F$199,$A542)&gt;=1,
   1,
   IF(R542="MTO",
      $D542,
      ROUNDUP(
                    IF(($E542-SUMIF('[1]DATOS PBI Artículos'!A:A,A542,'[1]DATOS PBI Artículos'!X:X)+($V542-_xlfn.XLOOKUP(A542,'[1]DATOS PBI Artículos'!A:A,'[1]DATOS PBI Artículos'!W:W)))&lt;0,
                    0,
                    IF(($E542-SUMIF('[1]DATOS PBI Artículos'!A:A,A542,'[1]DATOS PBI Artículos'!X:X)+$V542-_xlfn.XLOOKUP($A542,'[1]DATOS PBI Artículos'!A:A,'[1]DATOS PBI Artículos'!W:W))/IF($O542="",$N542,$O542)&gt;ROUNDUP([1]CRITERIOS!$M$16/(IF(COUNTIF([1]CRITERIOS!$BG$11:$BG$201,L542)&gt;=1,_xlfn.XLOOKUP($C542,[1]CRITERIOS!$K$25:$K$42,[1]CRITERIOS!$M$25:$M$42),_xlfn.XLOOKUP($C542,[1]CRITERIOS!$K$25:$K$42,[1]CRITERIOS!$M$25:$M$42))),0),
                    ROUNDUP([1]CRITERIOS!$M$16/(IF(COUNTIF([1]CRITERIOS!$BG$11:$BG$201,$L542)&gt;=1,_xlfn.XLOOKUP($C542,[1]CRITERIOS!$K$25:$K$42,[1]CRITERIOS!$M$25:$M$42),_xlfn.XLOOKUP($C542,[1]CRITERIOS!$K$25:$K$42,[1]CRITERIOS!$M$25:$M$42))),0),
                    (E542+V542-SUMIF('[1]DATOS PBI Artículos'!A:A,A542,'[1]DATOS PBI Artículos'!X:X)-_xlfn.XLOOKUP(A542,'[1]DATOS PBI Artículos'!A:A,'[1]DATOS PBI Artículos'!W:W))/IF($O542="",$N542,$O542))),0))))</f>
        <v>#N/A</v>
      </c>
      <c r="R542" s="33" t="e">
        <f>IF(U542&lt;&gt;"",U542,IF(F542="DV","MTO",IF(N542=0,"MTO",_xlfn.XLOOKUP(CONCATENATE(S542,T542),[1]CRITERIOS!$K$160:$K$168,[1]CRITERIOS!$N$160:$N$168))))</f>
        <v>#N/A</v>
      </c>
      <c r="S542" s="33" t="e">
        <f>IF(G542="DV","MTO",IF(N542=0,"MTO",IF(OR(AND(N542=0,O542=""),IF(O542="",G542/N542,G542/O542)&gt;[1]CRITERIOS!$G$163),"MTO",IF(IF(O542="",G542/N542,G542/O542)&lt;[1]CRITERIOS!$H$161,"MTS","MTOS"))))</f>
        <v>#N/A</v>
      </c>
      <c r="T542" s="33" t="e">
        <f>IF(F542="DV","MTO",IF(OR(AND($N542=0,O542=""),$F542/$J542&gt;[1]CRITERIOS!$G$170,$F542="DV"),"MTO",IF($F542/$J542&lt;[1]CRITERIOS!$H$168,"MTS","MTOS")))</f>
        <v>#N/A</v>
      </c>
      <c r="V542" s="34" t="e">
        <f t="shared" si="28"/>
        <v>#N/A</v>
      </c>
      <c r="X542" s="34" t="e">
        <f t="shared" si="26"/>
        <v>#N/A</v>
      </c>
      <c r="Y542" s="34" t="e">
        <f t="shared" si="27"/>
        <v>#N/A</v>
      </c>
      <c r="Z542" s="34" t="e">
        <f>IF($R542="MTO",
0,
($H542+$K542*($E542/[1]CRITERIOS!$M$16))/[1]CRITERIOS!$X$48)</f>
        <v>#N/A</v>
      </c>
      <c r="AA542" s="34" t="e">
        <f>ROUNDUP(($Y542/_xlfn.XLOOKUP($A542,'[1]DATOS PBI Artículos'!$A$4:$A$4,'[1]DATOS PBI Artículos'!$Z$4:$Z$4))/_xlfn.XLOOKUP(_xlfn.XLOOKUP($A542,'[1]DATOS PBI Artículos'!$A$4:$A$4,'[1]DATOS PBI Artículos'!$Y$4:$Y$4),[1]CRITERIOS!$P$79:$P$123,[1]CRITERIOS!$S$79:$S$123,),0)</f>
        <v>#N/A</v>
      </c>
      <c r="AB542" s="33" t="e">
        <f t="array" ref="AB542">IF((E542+V542-_xlfn.XLOOKUP(A542,'[1]DATOS PBI Artículos'!$A$4:$A$4,'[1]DATOS PBI Artículos'!$W$4:$W$4))/N542&gt;ROUNDUP([1]CRITERIOS!$M$16/(IF(COUNTIF([1]CRITERIOS!$BG$11:$BG$201,L542)&gt;=1,_xlfn.XLOOKUP(ARTÍCULOS!L542,[1]CRITERIOS!$BG$11:$BG$201,[1]CRITERIOS!$BJ$11:$BJ$201),_xlfn.XLOOKUP(ARTÍCULOS!C542,[1]CRITERIOS!$K$25:$K$42,[1]CRITERIOS!$M$25:$M$42))),0),ROUNDUP([1]CRITERIOS!$M$16/(IF(COUNTIF([1]CRITERIOS!$BG$11:$BG$201,L542)&gt;=1,_xlfn.XLOOKUP(ARTÍCULOS!L542,[1]CRITERIOS!$BG$11:$BG$201:#REF!,[1]CRITERIOS!$BJ$11:$BJ$201),_xlfn.XLOOKUP(ARTÍCULOS!C542,[1]CRITERIOS!$K$25:$K$42,[1]CRITERIOS!$M$25:$M$42))),0),(E542+V542-_xlfn.XLOOKUP(A542,'[1]DATOS PBI Artículos'!$A$4:$A$4,'[1]DATOS PBI Artículos'!$W$4:$W$4))/N542)</f>
        <v>#N/A</v>
      </c>
      <c r="AC542" s="33" t="e">
        <f>IF(N542=0,"",(ROUNDUP((N542/2)/(_xlfn.XLOOKUP(A542,'[1]DATOS PBI Artículos'!$A$4:$A$4,'[1]DATOS PBI Artículos'!$Z$4:$Z$4)*_xlfn.XLOOKUP(_xlfn.XLOOKUP(A542,'[1]DATOS PBI Artículos'!$A$4:$A$4,'[1]DATOS PBI Artículos'!$Y$4:$Y$4),[1]CRITERIOS!$P$79:$P$123,[1]CRITERIOS!$S$79:$S$123)),0)*[1]CRITERIOS!$M$80*([1]CRITERIOS!$M$110/[1]CRITERIOS!$M$86)+(_xlfn.XLOOKUP(A542,'[1]DATOS PBI Artículos'!$A$4:$A$4,'[1]DATOS PBI Artículos'!$AA$4:$AA$4)*([1]CRITERIOS!$M$95+[1]CRITERIOS!$M$98)))/N542)</f>
        <v>#N/A</v>
      </c>
      <c r="AD542" s="33" t="e">
        <f>IF(N542=0,"",(ROUNDUP((N542/2)/(_xlfn.XLOOKUP(A542,'[1]DATOS PBI Artículos'!$A$4:$A$4,'[1]DATOS PBI Artículos'!$Z$4:$Z$4)*_xlfn.XLOOKUP(_xlfn.XLOOKUP(A542,'[1]DATOS PBI Artículos'!$A$4:$A$4,'[1]DATOS PBI Artículos'!$Y$4:$Y$4),[1]CRITERIOS!$P$79:$P$123,[1]CRITERIOS!$S$79:$S$123)),0)*[1]CRITERIOS!$M$80*([1]CRITERIOS!$M$89*[1]CRITERIOS!$M$92)+((_xlfn.XLOOKUP(A542,'[1]DATOS PBI Artículos'!$A$4:$A$4,'[1]DATOS PBI Artículos'!$AA$4:$AA$4)/2)*([1]CRITERIOS!$M$95+[1]CRITERIOS!$M$98)))/N542)</f>
        <v>#N/A</v>
      </c>
      <c r="AE542" s="39" t="e">
        <f>IF($R542="MTO","",
IF($H542=0,ROUNDUP(((_xlfn.XLOOKUP($A542,'[1]DATOS PBI Artículos'!$A:$A,'[1]DATOS PBI Artículos'!$AL:$AL))/(_xlfn.XLOOKUP($AF$1,[1]CRITERIOS!$S$16:$S$39,[1]CRITERIOS!$Y$16:$Y$39))*$J542+$Z542)/$G542,0)*$G542,
((_xlfn.XLOOKUP($A542,'[1]DATOS PBI Artículos'!$A:$A,'[1]DATOS PBI Artículos'!$AL:$AL))/(_xlfn.XLOOKUP($AF$1,[1]CRITERIOS!$S$16:$S$39,[1]CRITERIOS!$Y$16:$Y$39))*$J542+$Z542)))</f>
        <v>#N/A</v>
      </c>
      <c r="AG542" s="39" t="e">
        <f>IF($R542="MTO","",
IF($H542=0,ROUNDUP(((_xlfn.XLOOKUP($A542,'[1]DATOS PBI Artículos'!$A:$A,'[1]DATOS PBI Artículos'!$AM:$AM))/(_xlfn.XLOOKUP($AH$1,[1]CRITERIOS!$S$16:$S$39,[1]CRITERIOS!$Y$16:$Y$39))*$J542+$Z542)/$G542,0)*$G542,
((_xlfn.XLOOKUP($A542,'[1]DATOS PBI Artículos'!$A:$A,'[1]DATOS PBI Artículos'!$AM:$AM))/(_xlfn.XLOOKUP($AH$1,[1]CRITERIOS!$S$16:$S$39,[1]CRITERIOS!$Y$16:$Y$39))*$J542+$Z542)))</f>
        <v>#N/A</v>
      </c>
      <c r="AI542" s="39" t="e">
        <f>IF($R542="MTO","",
IF($H542=0,ROUNDUP(((_xlfn.XLOOKUP($A542,'[1]DATOS PBI Artículos'!$A:$A,'[1]DATOS PBI Artículos'!$AN:$AN))/(_xlfn.XLOOKUP($AJ$1,[1]CRITERIOS!$S$16:$S$39,[1]CRITERIOS!$Y$16:$Y$39))*$J542+$Z542)/$G542,0)*$G542,
((_xlfn.XLOOKUP($A542,'[1]DATOS PBI Artículos'!$A:$A,'[1]DATOS PBI Artículos'!$AN:$AN))/(_xlfn.XLOOKUP($AJ$1,[1]CRITERIOS!$S$16:$S$39,[1]CRITERIOS!$Y$16:$Y$39))*$J542+$Z542)))</f>
        <v>#N/A</v>
      </c>
      <c r="AK542" s="39" t="e">
        <f>IF($R542="MTO","",
IF($H542=0,ROUNDUP(((_xlfn.XLOOKUP($A542,'[1]DATOS PBI Artículos'!$A:$A,'[1]DATOS PBI Artículos'!$AO:$AO))/(_xlfn.XLOOKUP($AL$1,[1]CRITERIOS!$S$16:$S$39,[1]CRITERIOS!$Y$16:$Y$39))*$J542+$Z542)/$G542,0)*$G542,
((_xlfn.XLOOKUP($A542,'[1]DATOS PBI Artículos'!$A:$A,'[1]DATOS PBI Artículos'!$AO:$AO))/(_xlfn.XLOOKUP($AL$1,[1]CRITERIOS!$S$16:$S$39,[1]CRITERIOS!$Y$16:$Y$39))*$J542+$Z542)))</f>
        <v>#N/A</v>
      </c>
    </row>
    <row r="543" spans="1:37" ht="25.8" hidden="1" x14ac:dyDescent="0.4">
      <c r="A543" s="41"/>
      <c r="B543" s="33">
        <f>_xlfn.XLOOKUP($A543,'[1]DATOS PBI Artículos'!A:A,'[1]DATOS PBI Artículos'!B:B)</f>
        <v>0</v>
      </c>
      <c r="C543" s="33">
        <f>_xlfn.XLOOKUP($A543,'[1]DATOS PBI Artículos'!A:A,'[1]DATOS PBI Artículos'!C:C)</f>
        <v>0</v>
      </c>
      <c r="D543" s="33">
        <f>_xlfn.XLOOKUP(A543,'[1]DATOS PBI Artículos'!A:A,'[1]DATOS PBI Artículos'!T:T)</f>
        <v>0</v>
      </c>
      <c r="E543" s="34">
        <f>IF(_xlfn.XLOOKUP($A543,'[1]DATOS PBI Artículos'!A:A,'[1]DATOS PBI Artículos'!AK:AK)="",_xlfn.XLOOKUP($A543,'[1]DATOS PBI Artículos'!A:A,'[1]DATOS PBI Artículos'!AJ:AJ),_xlfn.XLOOKUP($A543,'[1]DATOS PBI Artículos'!A:A,'[1]DATOS PBI Artículos'!AK:AK))</f>
        <v>0</v>
      </c>
      <c r="F543" s="35">
        <f>_xlfn.XLOOKUP($A543,'[1]DATOS PBI Artículos'!A:A,'[1]DATOS PBI Artículos'!AP:AP)</f>
        <v>0</v>
      </c>
      <c r="G543" s="34">
        <f>_xlfn.XLOOKUP($A543,'[1]DATOS PBI Artículos'!A:A,'[1]DATOS PBI Artículos'!AR:AR)</f>
        <v>0</v>
      </c>
      <c r="H543" s="34">
        <f>_xlfn.XLOOKUP($A543,'[1]DATOS PBI Artículos'!A:A,'[1]DATOS PBI Artículos'!AT:AT)</f>
        <v>0</v>
      </c>
      <c r="I543" s="34">
        <f>_xlfn.XLOOKUP($A543,'[1]DATOS PBI Artículos'!A:A,'[1]DATOS PBI Artículos'!AS:AS)</f>
        <v>0</v>
      </c>
      <c r="J543" s="35">
        <f>IF(COUNTIF([1]CRITERIOS!$F$179:$F$199,$A543)&gt;=1,
 IF(O543&lt;&gt;"",
    (O543/_xlfn.XLOOKUP(CONCATENATE(A543,L543),[1]MÁQUINAS!A:A,[1]MÁQUINAS!D:D))/24,
    (N543/_xlfn.XLOOKUP(CONCATENATE(A543,L543),[1]MÁQUINAS!A:A,[1]MÁQUINAS!D:D))/24),
  _xlfn.XLOOKUP($A543,'[1]DATOS PBI Artículos'!A:A,'[1]DATOS PBI Artículos'!AU:AU))</f>
        <v>0</v>
      </c>
      <c r="K543" s="36">
        <f>_xlfn.XLOOKUP($A543,'[1]DATOS PBI Artículos'!A:A,'[1]DATOS PBI Artículos'!AV:AV)</f>
        <v>0</v>
      </c>
      <c r="L543" s="33">
        <f>_xlfn.XLOOKUP(A543,[1]MÁQUINAS!B:B,[1]MÁQUINAS!C:C)</f>
        <v>0</v>
      </c>
      <c r="M543" s="34">
        <f t="array" ref="M543">_xlfn.XLOOKUP(A543,'[1]DATOS PBI Artículos'!A:A,'[1]DATOS PBI Artículos'!AX:$AX)</f>
        <v>0</v>
      </c>
      <c r="N543" s="37" t="e">
        <f>IF(I543="DV",
E543,
IF(COUNTIF([1]CRITERIOS!$I$179:$I$199,$A543)&gt;=1,
_xlfn.XLOOKUP($A543,[1]CRITERIOS!$I$179:$I$199,[1]CRITERIOS!$J$179:$J$199),
IF(COUNTIF([1]CRITERIOS!$L$179:$L$199,$A543)&gt;=1,
_xlfn.CEILING.MATH(IF($M543&gt;$E543,
$E543,
IF($M543&lt;$E543/ROUNDDOWN([1]CRITERIOS!$M$16/_xlfn.XLOOKUP($C543,[1]CRITERIOS!$K$25:$K$42,[1]CRITERIOS!$M$25:$M$42),
1),
E543/ROUNDDOWN([1]CRITERIOS!$M$16/_xlfn.XLOOKUP($C543,[1]CRITERIOS!$K$25:$K$42,[1]CRITERIOS!$M$25:$M$42),
1),
$M543)),
_xlfn.XLOOKUP($A543,[1]CRITERIOS!$L$179:$L$200,[1]CRITERIOS!$M$179:$M$200)),
_xlfn.CEILING.MATH(IF($M543&gt;$E543,
$E543,
IF($M543&lt;$E543/ROUNDDOWN([1]CRITERIOS!$M$16/_xlfn.XLOOKUP($C543,[1]CRITERIOS!$K$25:$K$42,[1]CRITERIOS!$M$25:$M$42),
1),
E543/ROUNDDOWN([1]CRITERIOS!$M$16/_xlfn.XLOOKUP($C543,[1]CRITERIOS!$K$25:$K$42,[1]CRITERIOS!$M$25:$M$42),
1),
$M543)),_xlfn.XLOOKUP(A543,'[1]DATOS PBI Artículos'!A:A,'[1]DATOS PBI Artículos'!Z:Z
)))))</f>
        <v>#N/A</v>
      </c>
      <c r="Q543" s="38" t="e">
        <f>IF(AND(O543="",N543=0),
0,
   IF(COUNTIF([1]CRITERIOS!$F$179:$F$199,$A543)&gt;=1,
   1,
   IF(R543="MTO",
      $D543,
      ROUNDUP(
                    IF(($E543-SUMIF('[1]DATOS PBI Artículos'!A:A,A543,'[1]DATOS PBI Artículos'!X:X)+($V543-_xlfn.XLOOKUP(A543,'[1]DATOS PBI Artículos'!A:A,'[1]DATOS PBI Artículos'!W:W)))&lt;0,
                    0,
                    IF(($E543-SUMIF('[1]DATOS PBI Artículos'!A:A,A543,'[1]DATOS PBI Artículos'!X:X)+$V543-_xlfn.XLOOKUP($A543,'[1]DATOS PBI Artículos'!A:A,'[1]DATOS PBI Artículos'!W:W))/IF($O543="",$N543,$O543)&gt;ROUNDUP([1]CRITERIOS!$M$16/(IF(COUNTIF([1]CRITERIOS!$BG$11:$BG$201,L543)&gt;=1,_xlfn.XLOOKUP($C543,[1]CRITERIOS!$K$25:$K$42,[1]CRITERIOS!$M$25:$M$42),_xlfn.XLOOKUP($C543,[1]CRITERIOS!$K$25:$K$42,[1]CRITERIOS!$M$25:$M$42))),0),
                    ROUNDUP([1]CRITERIOS!$M$16/(IF(COUNTIF([1]CRITERIOS!$BG$11:$BG$201,$L543)&gt;=1,_xlfn.XLOOKUP($C543,[1]CRITERIOS!$K$25:$K$42,[1]CRITERIOS!$M$25:$M$42),_xlfn.XLOOKUP($C543,[1]CRITERIOS!$K$25:$K$42,[1]CRITERIOS!$M$25:$M$42))),0),
                    (E543+V543-SUMIF('[1]DATOS PBI Artículos'!A:A,A543,'[1]DATOS PBI Artículos'!X:X)-_xlfn.XLOOKUP(A543,'[1]DATOS PBI Artículos'!A:A,'[1]DATOS PBI Artículos'!W:W))/IF($O543="",$N543,$O543))),0))))</f>
        <v>#N/A</v>
      </c>
      <c r="R543" s="33" t="e">
        <f>IF(U543&lt;&gt;"",U543,IF(F543="DV","MTO",IF(N543=0,"MTO",_xlfn.XLOOKUP(CONCATENATE(S543,T543),[1]CRITERIOS!$K$160:$K$168,[1]CRITERIOS!$N$160:$N$168))))</f>
        <v>#N/A</v>
      </c>
      <c r="S543" s="33" t="e">
        <f>IF(G543="DV","MTO",IF(N543=0,"MTO",IF(OR(AND(N543=0,O543=""),IF(O543="",G543/N543,G543/O543)&gt;[1]CRITERIOS!$G$163),"MTO",IF(IF(O543="",G543/N543,G543/O543)&lt;[1]CRITERIOS!$H$161,"MTS","MTOS"))))</f>
        <v>#N/A</v>
      </c>
      <c r="T543" s="33" t="e">
        <f>IF(F543="DV","MTO",IF(OR(AND($N543=0,O543=""),$F543/$J543&gt;[1]CRITERIOS!$G$170,$F543="DV"),"MTO",IF($F543/$J543&lt;[1]CRITERIOS!$H$168,"MTS","MTOS")))</f>
        <v>#N/A</v>
      </c>
      <c r="V543" s="34" t="e">
        <f t="shared" si="28"/>
        <v>#N/A</v>
      </c>
      <c r="X543" s="34" t="e">
        <f t="shared" si="26"/>
        <v>#N/A</v>
      </c>
      <c r="Y543" s="34" t="e">
        <f t="shared" si="27"/>
        <v>#N/A</v>
      </c>
      <c r="Z543" s="34" t="e">
        <f>IF($R543="MTO",
0,
($H543+$K543*($E543/[1]CRITERIOS!$M$16))/[1]CRITERIOS!$X$48)</f>
        <v>#N/A</v>
      </c>
      <c r="AA543" s="34" t="e">
        <f>ROUNDUP(($Y543/_xlfn.XLOOKUP($A543,'[1]DATOS PBI Artículos'!$A$4:$A$4,'[1]DATOS PBI Artículos'!$Z$4:$Z$4))/_xlfn.XLOOKUP(_xlfn.XLOOKUP($A543,'[1]DATOS PBI Artículos'!$A$4:$A$4,'[1]DATOS PBI Artículos'!$Y$4:$Y$4),[1]CRITERIOS!$P$79:$P$123,[1]CRITERIOS!$S$79:$S$123,),0)</f>
        <v>#N/A</v>
      </c>
      <c r="AB543" s="33" t="e">
        <f t="array" ref="AB543">IF((E543+V543-_xlfn.XLOOKUP(A543,'[1]DATOS PBI Artículos'!$A$4:$A$4,'[1]DATOS PBI Artículos'!$W$4:$W$4))/N543&gt;ROUNDUP([1]CRITERIOS!$M$16/(IF(COUNTIF([1]CRITERIOS!$BG$11:$BG$201,L543)&gt;=1,_xlfn.XLOOKUP(ARTÍCULOS!L543,[1]CRITERIOS!$BG$11:$BG$201,[1]CRITERIOS!$BJ$11:$BJ$201),_xlfn.XLOOKUP(ARTÍCULOS!C543,[1]CRITERIOS!$K$25:$K$42,[1]CRITERIOS!$M$25:$M$42))),0),ROUNDUP([1]CRITERIOS!$M$16/(IF(COUNTIF([1]CRITERIOS!$BG$11:$BG$201,L543)&gt;=1,_xlfn.XLOOKUP(ARTÍCULOS!L543,[1]CRITERIOS!$BG$11:$BG$201:#REF!,[1]CRITERIOS!$BJ$11:$BJ$201),_xlfn.XLOOKUP(ARTÍCULOS!C543,[1]CRITERIOS!$K$25:$K$42,[1]CRITERIOS!$M$25:$M$42))),0),(E543+V543-_xlfn.XLOOKUP(A543,'[1]DATOS PBI Artículos'!$A$4:$A$4,'[1]DATOS PBI Artículos'!$W$4:$W$4))/N543)</f>
        <v>#N/A</v>
      </c>
      <c r="AC543" s="33" t="e">
        <f>IF(N543=0,"",(ROUNDUP((N543/2)/(_xlfn.XLOOKUP(A543,'[1]DATOS PBI Artículos'!$A$4:$A$4,'[1]DATOS PBI Artículos'!$Z$4:$Z$4)*_xlfn.XLOOKUP(_xlfn.XLOOKUP(A543,'[1]DATOS PBI Artículos'!$A$4:$A$4,'[1]DATOS PBI Artículos'!$Y$4:$Y$4),[1]CRITERIOS!$P$79:$P$123,[1]CRITERIOS!$S$79:$S$123)),0)*[1]CRITERIOS!$M$80*([1]CRITERIOS!$M$110/[1]CRITERIOS!$M$86)+(_xlfn.XLOOKUP(A543,'[1]DATOS PBI Artículos'!$A$4:$A$4,'[1]DATOS PBI Artículos'!$AA$4:$AA$4)*([1]CRITERIOS!$M$95+[1]CRITERIOS!$M$98)))/N543)</f>
        <v>#N/A</v>
      </c>
      <c r="AD543" s="33" t="e">
        <f>IF(N543=0,"",(ROUNDUP((N543/2)/(_xlfn.XLOOKUP(A543,'[1]DATOS PBI Artículos'!$A$4:$A$4,'[1]DATOS PBI Artículos'!$Z$4:$Z$4)*_xlfn.XLOOKUP(_xlfn.XLOOKUP(A543,'[1]DATOS PBI Artículos'!$A$4:$A$4,'[1]DATOS PBI Artículos'!$Y$4:$Y$4),[1]CRITERIOS!$P$79:$P$123,[1]CRITERIOS!$S$79:$S$123)),0)*[1]CRITERIOS!$M$80*([1]CRITERIOS!$M$89*[1]CRITERIOS!$M$92)+((_xlfn.XLOOKUP(A543,'[1]DATOS PBI Artículos'!$A$4:$A$4,'[1]DATOS PBI Artículos'!$AA$4:$AA$4)/2)*([1]CRITERIOS!$M$95+[1]CRITERIOS!$M$98)))/N543)</f>
        <v>#N/A</v>
      </c>
      <c r="AE543" s="39" t="e">
        <f>IF($R543="MTO","",
IF($H543=0,ROUNDUP(((_xlfn.XLOOKUP($A543,'[1]DATOS PBI Artículos'!$A:$A,'[1]DATOS PBI Artículos'!$AL:$AL))/(_xlfn.XLOOKUP($AF$1,[1]CRITERIOS!$S$16:$S$39,[1]CRITERIOS!$Y$16:$Y$39))*$J543+$Z543)/$G543,0)*$G543,
((_xlfn.XLOOKUP($A543,'[1]DATOS PBI Artículos'!$A:$A,'[1]DATOS PBI Artículos'!$AL:$AL))/(_xlfn.XLOOKUP($AF$1,[1]CRITERIOS!$S$16:$S$39,[1]CRITERIOS!$Y$16:$Y$39))*$J543+$Z543)))</f>
        <v>#N/A</v>
      </c>
      <c r="AG543" s="39" t="e">
        <f>IF($R543="MTO","",
IF($H543=0,ROUNDUP(((_xlfn.XLOOKUP($A543,'[1]DATOS PBI Artículos'!$A:$A,'[1]DATOS PBI Artículos'!$AM:$AM))/(_xlfn.XLOOKUP($AH$1,[1]CRITERIOS!$S$16:$S$39,[1]CRITERIOS!$Y$16:$Y$39))*$J543+$Z543)/$G543,0)*$G543,
((_xlfn.XLOOKUP($A543,'[1]DATOS PBI Artículos'!$A:$A,'[1]DATOS PBI Artículos'!$AM:$AM))/(_xlfn.XLOOKUP($AH$1,[1]CRITERIOS!$S$16:$S$39,[1]CRITERIOS!$Y$16:$Y$39))*$J543+$Z543)))</f>
        <v>#N/A</v>
      </c>
      <c r="AI543" s="39" t="e">
        <f>IF($R543="MTO","",
IF($H543=0,ROUNDUP(((_xlfn.XLOOKUP($A543,'[1]DATOS PBI Artículos'!$A:$A,'[1]DATOS PBI Artículos'!$AN:$AN))/(_xlfn.XLOOKUP($AJ$1,[1]CRITERIOS!$S$16:$S$39,[1]CRITERIOS!$Y$16:$Y$39))*$J543+$Z543)/$G543,0)*$G543,
((_xlfn.XLOOKUP($A543,'[1]DATOS PBI Artículos'!$A:$A,'[1]DATOS PBI Artículos'!$AN:$AN))/(_xlfn.XLOOKUP($AJ$1,[1]CRITERIOS!$S$16:$S$39,[1]CRITERIOS!$Y$16:$Y$39))*$J543+$Z543)))</f>
        <v>#N/A</v>
      </c>
      <c r="AK543" s="39" t="e">
        <f>IF($R543="MTO","",
IF($H543=0,ROUNDUP(((_xlfn.XLOOKUP($A543,'[1]DATOS PBI Artículos'!$A:$A,'[1]DATOS PBI Artículos'!$AO:$AO))/(_xlfn.XLOOKUP($AL$1,[1]CRITERIOS!$S$16:$S$39,[1]CRITERIOS!$Y$16:$Y$39))*$J543+$Z543)/$G543,0)*$G543,
((_xlfn.XLOOKUP($A543,'[1]DATOS PBI Artículos'!$A:$A,'[1]DATOS PBI Artículos'!$AO:$AO))/(_xlfn.XLOOKUP($AL$1,[1]CRITERIOS!$S$16:$S$39,[1]CRITERIOS!$Y$16:$Y$39))*$J543+$Z543)))</f>
        <v>#N/A</v>
      </c>
    </row>
    <row r="544" spans="1:37" ht="25.8" hidden="1" x14ac:dyDescent="0.4">
      <c r="A544" s="41"/>
      <c r="B544" s="33">
        <f>_xlfn.XLOOKUP($A544,'[1]DATOS PBI Artículos'!A:A,'[1]DATOS PBI Artículos'!B:B)</f>
        <v>0</v>
      </c>
      <c r="C544" s="33">
        <f>_xlfn.XLOOKUP($A544,'[1]DATOS PBI Artículos'!A:A,'[1]DATOS PBI Artículos'!C:C)</f>
        <v>0</v>
      </c>
      <c r="D544" s="33">
        <f>_xlfn.XLOOKUP(A544,'[1]DATOS PBI Artículos'!A:A,'[1]DATOS PBI Artículos'!T:T)</f>
        <v>0</v>
      </c>
      <c r="E544" s="34">
        <f>IF(_xlfn.XLOOKUP($A544,'[1]DATOS PBI Artículos'!A:A,'[1]DATOS PBI Artículos'!AK:AK)="",_xlfn.XLOOKUP($A544,'[1]DATOS PBI Artículos'!A:A,'[1]DATOS PBI Artículos'!AJ:AJ),_xlfn.XLOOKUP($A544,'[1]DATOS PBI Artículos'!A:A,'[1]DATOS PBI Artículos'!AK:AK))</f>
        <v>0</v>
      </c>
      <c r="F544" s="35">
        <f>_xlfn.XLOOKUP($A544,'[1]DATOS PBI Artículos'!A:A,'[1]DATOS PBI Artículos'!AP:AP)</f>
        <v>0</v>
      </c>
      <c r="G544" s="34">
        <f>_xlfn.XLOOKUP($A544,'[1]DATOS PBI Artículos'!A:A,'[1]DATOS PBI Artículos'!AR:AR)</f>
        <v>0</v>
      </c>
      <c r="H544" s="34">
        <f>_xlfn.XLOOKUP($A544,'[1]DATOS PBI Artículos'!A:A,'[1]DATOS PBI Artículos'!AT:AT)</f>
        <v>0</v>
      </c>
      <c r="I544" s="34">
        <f>_xlfn.XLOOKUP($A544,'[1]DATOS PBI Artículos'!A:A,'[1]DATOS PBI Artículos'!AS:AS)</f>
        <v>0</v>
      </c>
      <c r="J544" s="35">
        <f>IF(COUNTIF([1]CRITERIOS!$F$179:$F$199,$A544)&gt;=1,
 IF(O544&lt;&gt;"",
    (O544/_xlfn.XLOOKUP(CONCATENATE(A544,L544),[1]MÁQUINAS!A:A,[1]MÁQUINAS!D:D))/24,
    (N544/_xlfn.XLOOKUP(CONCATENATE(A544,L544),[1]MÁQUINAS!A:A,[1]MÁQUINAS!D:D))/24),
  _xlfn.XLOOKUP($A544,'[1]DATOS PBI Artículos'!A:A,'[1]DATOS PBI Artículos'!AU:AU))</f>
        <v>0</v>
      </c>
      <c r="K544" s="36">
        <f>_xlfn.XLOOKUP($A544,'[1]DATOS PBI Artículos'!A:A,'[1]DATOS PBI Artículos'!AV:AV)</f>
        <v>0</v>
      </c>
      <c r="L544" s="33">
        <f>_xlfn.XLOOKUP(A544,[1]MÁQUINAS!B:B,[1]MÁQUINAS!C:C)</f>
        <v>0</v>
      </c>
      <c r="M544" s="34">
        <f t="array" ref="M544">_xlfn.XLOOKUP(A544,'[1]DATOS PBI Artículos'!A:A,'[1]DATOS PBI Artículos'!AX:$AX)</f>
        <v>0</v>
      </c>
      <c r="N544" s="37" t="e">
        <f>IF(I544="DV",
E544,
IF(COUNTIF([1]CRITERIOS!$I$179:$I$199,$A544)&gt;=1,
_xlfn.XLOOKUP($A544,[1]CRITERIOS!$I$179:$I$199,[1]CRITERIOS!$J$179:$J$199),
IF(COUNTIF([1]CRITERIOS!$L$179:$L$199,$A544)&gt;=1,
_xlfn.CEILING.MATH(IF($M544&gt;$E544,
$E544,
IF($M544&lt;$E544/ROUNDDOWN([1]CRITERIOS!$M$16/_xlfn.XLOOKUP($C544,[1]CRITERIOS!$K$25:$K$42,[1]CRITERIOS!$M$25:$M$42),
1),
E544/ROUNDDOWN([1]CRITERIOS!$M$16/_xlfn.XLOOKUP($C544,[1]CRITERIOS!$K$25:$K$42,[1]CRITERIOS!$M$25:$M$42),
1),
$M544)),
_xlfn.XLOOKUP($A544,[1]CRITERIOS!$L$179:$L$200,[1]CRITERIOS!$M$179:$M$200)),
_xlfn.CEILING.MATH(IF($M544&gt;$E544,
$E544,
IF($M544&lt;$E544/ROUNDDOWN([1]CRITERIOS!$M$16/_xlfn.XLOOKUP($C544,[1]CRITERIOS!$K$25:$K$42,[1]CRITERIOS!$M$25:$M$42),
1),
E544/ROUNDDOWN([1]CRITERIOS!$M$16/_xlfn.XLOOKUP($C544,[1]CRITERIOS!$K$25:$K$42,[1]CRITERIOS!$M$25:$M$42),
1),
$M544)),_xlfn.XLOOKUP(A544,'[1]DATOS PBI Artículos'!A:A,'[1]DATOS PBI Artículos'!Z:Z
)))))</f>
        <v>#N/A</v>
      </c>
      <c r="Q544" s="38" t="e">
        <f>IF(AND(O544="",N544=0),
0,
   IF(COUNTIF([1]CRITERIOS!$F$179:$F$199,$A544)&gt;=1,
   1,
   IF(R544="MTO",
      $D544,
      ROUNDUP(
                    IF(($E544-SUMIF('[1]DATOS PBI Artículos'!A:A,A544,'[1]DATOS PBI Artículos'!X:X)+($V544-_xlfn.XLOOKUP(A544,'[1]DATOS PBI Artículos'!A:A,'[1]DATOS PBI Artículos'!W:W)))&lt;0,
                    0,
                    IF(($E544-SUMIF('[1]DATOS PBI Artículos'!A:A,A544,'[1]DATOS PBI Artículos'!X:X)+$V544-_xlfn.XLOOKUP($A544,'[1]DATOS PBI Artículos'!A:A,'[1]DATOS PBI Artículos'!W:W))/IF($O544="",$N544,$O544)&gt;ROUNDUP([1]CRITERIOS!$M$16/(IF(COUNTIF([1]CRITERIOS!$BG$11:$BG$201,L544)&gt;=1,_xlfn.XLOOKUP($C544,[1]CRITERIOS!$K$25:$K$42,[1]CRITERIOS!$M$25:$M$42),_xlfn.XLOOKUP($C544,[1]CRITERIOS!$K$25:$K$42,[1]CRITERIOS!$M$25:$M$42))),0),
                    ROUNDUP([1]CRITERIOS!$M$16/(IF(COUNTIF([1]CRITERIOS!$BG$11:$BG$201,$L544)&gt;=1,_xlfn.XLOOKUP($C544,[1]CRITERIOS!$K$25:$K$42,[1]CRITERIOS!$M$25:$M$42),_xlfn.XLOOKUP($C544,[1]CRITERIOS!$K$25:$K$42,[1]CRITERIOS!$M$25:$M$42))),0),
                    (E544+V544-SUMIF('[1]DATOS PBI Artículos'!A:A,A544,'[1]DATOS PBI Artículos'!X:X)-_xlfn.XLOOKUP(A544,'[1]DATOS PBI Artículos'!A:A,'[1]DATOS PBI Artículos'!W:W))/IF($O544="",$N544,$O544))),0))))</f>
        <v>#N/A</v>
      </c>
      <c r="R544" s="33" t="e">
        <f>IF(U544&lt;&gt;"",U544,IF(F544="DV","MTO",IF(N544=0,"MTO",_xlfn.XLOOKUP(CONCATENATE(S544,T544),[1]CRITERIOS!$K$160:$K$168,[1]CRITERIOS!$N$160:$N$168))))</f>
        <v>#N/A</v>
      </c>
      <c r="S544" s="33" t="e">
        <f>IF(G544="DV","MTO",IF(N544=0,"MTO",IF(OR(AND(N544=0,O544=""),IF(O544="",G544/N544,G544/O544)&gt;[1]CRITERIOS!$G$163),"MTO",IF(IF(O544="",G544/N544,G544/O544)&lt;[1]CRITERIOS!$H$161,"MTS","MTOS"))))</f>
        <v>#N/A</v>
      </c>
      <c r="T544" s="33" t="e">
        <f>IF(F544="DV","MTO",IF(OR(AND($N544=0,O544=""),$F544/$J544&gt;[1]CRITERIOS!$G$170,$F544="DV"),"MTO",IF($F544/$J544&lt;[1]CRITERIOS!$H$168,"MTS","MTOS")))</f>
        <v>#N/A</v>
      </c>
      <c r="V544" s="34" t="e">
        <f t="shared" si="28"/>
        <v>#N/A</v>
      </c>
      <c r="X544" s="34" t="e">
        <f t="shared" si="26"/>
        <v>#N/A</v>
      </c>
      <c r="Y544" s="34" t="e">
        <f t="shared" si="27"/>
        <v>#N/A</v>
      </c>
      <c r="Z544" s="34" t="e">
        <f>IF($R544="MTO",
0,
($H544+$K544*($E544/[1]CRITERIOS!$M$16))/[1]CRITERIOS!$X$48)</f>
        <v>#N/A</v>
      </c>
      <c r="AA544" s="34" t="e">
        <f>ROUNDUP(($Y544/_xlfn.XLOOKUP($A544,'[1]DATOS PBI Artículos'!$A$4:$A$4,'[1]DATOS PBI Artículos'!$Z$4:$Z$4))/_xlfn.XLOOKUP(_xlfn.XLOOKUP($A544,'[1]DATOS PBI Artículos'!$A$4:$A$4,'[1]DATOS PBI Artículos'!$Y$4:$Y$4),[1]CRITERIOS!$P$79:$P$123,[1]CRITERIOS!$S$79:$S$123,),0)</f>
        <v>#N/A</v>
      </c>
      <c r="AB544" s="33" t="e">
        <f t="array" ref="AB544">IF((E544+V544-_xlfn.XLOOKUP(A544,'[1]DATOS PBI Artículos'!$A$4:$A$4,'[1]DATOS PBI Artículos'!$W$4:$W$4))/N544&gt;ROUNDUP([1]CRITERIOS!$M$16/(IF(COUNTIF([1]CRITERIOS!$BG$11:$BG$201,L544)&gt;=1,_xlfn.XLOOKUP(ARTÍCULOS!L544,[1]CRITERIOS!$BG$11:$BG$201,[1]CRITERIOS!$BJ$11:$BJ$201),_xlfn.XLOOKUP(ARTÍCULOS!C544,[1]CRITERIOS!$K$25:$K$42,[1]CRITERIOS!$M$25:$M$42))),0),ROUNDUP([1]CRITERIOS!$M$16/(IF(COUNTIF([1]CRITERIOS!$BG$11:$BG$201,L544)&gt;=1,_xlfn.XLOOKUP(ARTÍCULOS!L544,[1]CRITERIOS!$BG$11:$BG$201:#REF!,[1]CRITERIOS!$BJ$11:$BJ$201),_xlfn.XLOOKUP(ARTÍCULOS!C544,[1]CRITERIOS!$K$25:$K$42,[1]CRITERIOS!$M$25:$M$42))),0),(E544+V544-_xlfn.XLOOKUP(A544,'[1]DATOS PBI Artículos'!$A$4:$A$4,'[1]DATOS PBI Artículos'!$W$4:$W$4))/N544)</f>
        <v>#N/A</v>
      </c>
      <c r="AC544" s="33" t="e">
        <f>IF(N544=0,"",(ROUNDUP((N544/2)/(_xlfn.XLOOKUP(A544,'[1]DATOS PBI Artículos'!$A$4:$A$4,'[1]DATOS PBI Artículos'!$Z$4:$Z$4)*_xlfn.XLOOKUP(_xlfn.XLOOKUP(A544,'[1]DATOS PBI Artículos'!$A$4:$A$4,'[1]DATOS PBI Artículos'!$Y$4:$Y$4),[1]CRITERIOS!$P$79:$P$123,[1]CRITERIOS!$S$79:$S$123)),0)*[1]CRITERIOS!$M$80*([1]CRITERIOS!$M$110/[1]CRITERIOS!$M$86)+(_xlfn.XLOOKUP(A544,'[1]DATOS PBI Artículos'!$A$4:$A$4,'[1]DATOS PBI Artículos'!$AA$4:$AA$4)*([1]CRITERIOS!$M$95+[1]CRITERIOS!$M$98)))/N544)</f>
        <v>#N/A</v>
      </c>
      <c r="AD544" s="33" t="e">
        <f>IF(N544=0,"",(ROUNDUP((N544/2)/(_xlfn.XLOOKUP(A544,'[1]DATOS PBI Artículos'!$A$4:$A$4,'[1]DATOS PBI Artículos'!$Z$4:$Z$4)*_xlfn.XLOOKUP(_xlfn.XLOOKUP(A544,'[1]DATOS PBI Artículos'!$A$4:$A$4,'[1]DATOS PBI Artículos'!$Y$4:$Y$4),[1]CRITERIOS!$P$79:$P$123,[1]CRITERIOS!$S$79:$S$123)),0)*[1]CRITERIOS!$M$80*([1]CRITERIOS!$M$89*[1]CRITERIOS!$M$92)+((_xlfn.XLOOKUP(A544,'[1]DATOS PBI Artículos'!$A$4:$A$4,'[1]DATOS PBI Artículos'!$AA$4:$AA$4)/2)*([1]CRITERIOS!$M$95+[1]CRITERIOS!$M$98)))/N544)</f>
        <v>#N/A</v>
      </c>
      <c r="AE544" s="39" t="e">
        <f>IF($R544="MTO","",
IF($H544=0,ROUNDUP(((_xlfn.XLOOKUP($A544,'[1]DATOS PBI Artículos'!$A:$A,'[1]DATOS PBI Artículos'!$AL:$AL))/(_xlfn.XLOOKUP($AF$1,[1]CRITERIOS!$S$16:$S$39,[1]CRITERIOS!$Y$16:$Y$39))*$J544+$Z544)/$G544,0)*$G544,
((_xlfn.XLOOKUP($A544,'[1]DATOS PBI Artículos'!$A:$A,'[1]DATOS PBI Artículos'!$AL:$AL))/(_xlfn.XLOOKUP($AF$1,[1]CRITERIOS!$S$16:$S$39,[1]CRITERIOS!$Y$16:$Y$39))*$J544+$Z544)))</f>
        <v>#N/A</v>
      </c>
      <c r="AG544" s="39" t="e">
        <f>IF($R544="MTO","",
IF($H544=0,ROUNDUP(((_xlfn.XLOOKUP($A544,'[1]DATOS PBI Artículos'!$A:$A,'[1]DATOS PBI Artículos'!$AM:$AM))/(_xlfn.XLOOKUP($AH$1,[1]CRITERIOS!$S$16:$S$39,[1]CRITERIOS!$Y$16:$Y$39))*$J544+$Z544)/$G544,0)*$G544,
((_xlfn.XLOOKUP($A544,'[1]DATOS PBI Artículos'!$A:$A,'[1]DATOS PBI Artículos'!$AM:$AM))/(_xlfn.XLOOKUP($AH$1,[1]CRITERIOS!$S$16:$S$39,[1]CRITERIOS!$Y$16:$Y$39))*$J544+$Z544)))</f>
        <v>#N/A</v>
      </c>
      <c r="AI544" s="39" t="e">
        <f>IF($R544="MTO","",
IF($H544=0,ROUNDUP(((_xlfn.XLOOKUP($A544,'[1]DATOS PBI Artículos'!$A:$A,'[1]DATOS PBI Artículos'!$AN:$AN))/(_xlfn.XLOOKUP($AJ$1,[1]CRITERIOS!$S$16:$S$39,[1]CRITERIOS!$Y$16:$Y$39))*$J544+$Z544)/$G544,0)*$G544,
((_xlfn.XLOOKUP($A544,'[1]DATOS PBI Artículos'!$A:$A,'[1]DATOS PBI Artículos'!$AN:$AN))/(_xlfn.XLOOKUP($AJ$1,[1]CRITERIOS!$S$16:$S$39,[1]CRITERIOS!$Y$16:$Y$39))*$J544+$Z544)))</f>
        <v>#N/A</v>
      </c>
      <c r="AK544" s="39" t="e">
        <f>IF($R544="MTO","",
IF($H544=0,ROUNDUP(((_xlfn.XLOOKUP($A544,'[1]DATOS PBI Artículos'!$A:$A,'[1]DATOS PBI Artículos'!$AO:$AO))/(_xlfn.XLOOKUP($AL$1,[1]CRITERIOS!$S$16:$S$39,[1]CRITERIOS!$Y$16:$Y$39))*$J544+$Z544)/$G544,0)*$G544,
((_xlfn.XLOOKUP($A544,'[1]DATOS PBI Artículos'!$A:$A,'[1]DATOS PBI Artículos'!$AO:$AO))/(_xlfn.XLOOKUP($AL$1,[1]CRITERIOS!$S$16:$S$39,[1]CRITERIOS!$Y$16:$Y$39))*$J544+$Z544)))</f>
        <v>#N/A</v>
      </c>
    </row>
    <row r="545" spans="1:37" ht="25.8" hidden="1" x14ac:dyDescent="0.4">
      <c r="A545" s="41"/>
      <c r="B545" s="33">
        <f>_xlfn.XLOOKUP($A545,'[1]DATOS PBI Artículos'!A:A,'[1]DATOS PBI Artículos'!B:B)</f>
        <v>0</v>
      </c>
      <c r="C545" s="33">
        <f>_xlfn.XLOOKUP($A545,'[1]DATOS PBI Artículos'!A:A,'[1]DATOS PBI Artículos'!C:C)</f>
        <v>0</v>
      </c>
      <c r="D545" s="33">
        <f>_xlfn.XLOOKUP(A545,'[1]DATOS PBI Artículos'!A:A,'[1]DATOS PBI Artículos'!T:T)</f>
        <v>0</v>
      </c>
      <c r="E545" s="34">
        <f>IF(_xlfn.XLOOKUP($A545,'[1]DATOS PBI Artículos'!A:A,'[1]DATOS PBI Artículos'!AK:AK)="",_xlfn.XLOOKUP($A545,'[1]DATOS PBI Artículos'!A:A,'[1]DATOS PBI Artículos'!AJ:AJ),_xlfn.XLOOKUP($A545,'[1]DATOS PBI Artículos'!A:A,'[1]DATOS PBI Artículos'!AK:AK))</f>
        <v>0</v>
      </c>
      <c r="F545" s="35">
        <f>_xlfn.XLOOKUP($A545,'[1]DATOS PBI Artículos'!A:A,'[1]DATOS PBI Artículos'!AP:AP)</f>
        <v>0</v>
      </c>
      <c r="G545" s="34">
        <f>_xlfn.XLOOKUP($A545,'[1]DATOS PBI Artículos'!A:A,'[1]DATOS PBI Artículos'!AR:AR)</f>
        <v>0</v>
      </c>
      <c r="H545" s="34">
        <f>_xlfn.XLOOKUP($A545,'[1]DATOS PBI Artículos'!A:A,'[1]DATOS PBI Artículos'!AT:AT)</f>
        <v>0</v>
      </c>
      <c r="I545" s="34">
        <f>_xlfn.XLOOKUP($A545,'[1]DATOS PBI Artículos'!A:A,'[1]DATOS PBI Artículos'!AS:AS)</f>
        <v>0</v>
      </c>
      <c r="J545" s="35">
        <f>IF(COUNTIF([1]CRITERIOS!$F$179:$F$199,$A545)&gt;=1,
 IF(O545&lt;&gt;"",
    (O545/_xlfn.XLOOKUP(CONCATENATE(A545,L545),[1]MÁQUINAS!A:A,[1]MÁQUINAS!D:D))/24,
    (N545/_xlfn.XLOOKUP(CONCATENATE(A545,L545),[1]MÁQUINAS!A:A,[1]MÁQUINAS!D:D))/24),
  _xlfn.XLOOKUP($A545,'[1]DATOS PBI Artículos'!A:A,'[1]DATOS PBI Artículos'!AU:AU))</f>
        <v>0</v>
      </c>
      <c r="K545" s="36">
        <f>_xlfn.XLOOKUP($A545,'[1]DATOS PBI Artículos'!A:A,'[1]DATOS PBI Artículos'!AV:AV)</f>
        <v>0</v>
      </c>
      <c r="L545" s="33">
        <f>_xlfn.XLOOKUP(A545,[1]MÁQUINAS!B:B,[1]MÁQUINAS!C:C)</f>
        <v>0</v>
      </c>
      <c r="M545" s="34">
        <f t="array" ref="M545">_xlfn.XLOOKUP(A545,'[1]DATOS PBI Artículos'!A:A,'[1]DATOS PBI Artículos'!AX:$AX)</f>
        <v>0</v>
      </c>
      <c r="N545" s="37" t="e">
        <f>IF(I545="DV",
E545,
IF(COUNTIF([1]CRITERIOS!$I$179:$I$199,$A545)&gt;=1,
_xlfn.XLOOKUP($A545,[1]CRITERIOS!$I$179:$I$199,[1]CRITERIOS!$J$179:$J$199),
IF(COUNTIF([1]CRITERIOS!$L$179:$L$199,$A545)&gt;=1,
_xlfn.CEILING.MATH(IF($M545&gt;$E545,
$E545,
IF($M545&lt;$E545/ROUNDDOWN([1]CRITERIOS!$M$16/_xlfn.XLOOKUP($C545,[1]CRITERIOS!$K$25:$K$42,[1]CRITERIOS!$M$25:$M$42),
1),
E545/ROUNDDOWN([1]CRITERIOS!$M$16/_xlfn.XLOOKUP($C545,[1]CRITERIOS!$K$25:$K$42,[1]CRITERIOS!$M$25:$M$42),
1),
$M545)),
_xlfn.XLOOKUP($A545,[1]CRITERIOS!$L$179:$L$200,[1]CRITERIOS!$M$179:$M$200)),
_xlfn.CEILING.MATH(IF($M545&gt;$E545,
$E545,
IF($M545&lt;$E545/ROUNDDOWN([1]CRITERIOS!$M$16/_xlfn.XLOOKUP($C545,[1]CRITERIOS!$K$25:$K$42,[1]CRITERIOS!$M$25:$M$42),
1),
E545/ROUNDDOWN([1]CRITERIOS!$M$16/_xlfn.XLOOKUP($C545,[1]CRITERIOS!$K$25:$K$42,[1]CRITERIOS!$M$25:$M$42),
1),
$M545)),_xlfn.XLOOKUP(A545,'[1]DATOS PBI Artículos'!A:A,'[1]DATOS PBI Artículos'!Z:Z
)))))</f>
        <v>#N/A</v>
      </c>
      <c r="Q545" s="38" t="e">
        <f>IF(AND(O545="",N545=0),
0,
   IF(COUNTIF([1]CRITERIOS!$F$179:$F$199,$A545)&gt;=1,
   1,
   IF(R545="MTO",
      $D545,
      ROUNDUP(
                    IF(($E545-SUMIF('[1]DATOS PBI Artículos'!A:A,A545,'[1]DATOS PBI Artículos'!X:X)+($V545-_xlfn.XLOOKUP(A545,'[1]DATOS PBI Artículos'!A:A,'[1]DATOS PBI Artículos'!W:W)))&lt;0,
                    0,
                    IF(($E545-SUMIF('[1]DATOS PBI Artículos'!A:A,A545,'[1]DATOS PBI Artículos'!X:X)+$V545-_xlfn.XLOOKUP($A545,'[1]DATOS PBI Artículos'!A:A,'[1]DATOS PBI Artículos'!W:W))/IF($O545="",$N545,$O545)&gt;ROUNDUP([1]CRITERIOS!$M$16/(IF(COUNTIF([1]CRITERIOS!$BG$11:$BG$201,L545)&gt;=1,_xlfn.XLOOKUP($C545,[1]CRITERIOS!$K$25:$K$42,[1]CRITERIOS!$M$25:$M$42),_xlfn.XLOOKUP($C545,[1]CRITERIOS!$K$25:$K$42,[1]CRITERIOS!$M$25:$M$42))),0),
                    ROUNDUP([1]CRITERIOS!$M$16/(IF(COUNTIF([1]CRITERIOS!$BG$11:$BG$201,$L545)&gt;=1,_xlfn.XLOOKUP($C545,[1]CRITERIOS!$K$25:$K$42,[1]CRITERIOS!$M$25:$M$42),_xlfn.XLOOKUP($C545,[1]CRITERIOS!$K$25:$K$42,[1]CRITERIOS!$M$25:$M$42))),0),
                    (E545+V545-SUMIF('[1]DATOS PBI Artículos'!A:A,A545,'[1]DATOS PBI Artículos'!X:X)-_xlfn.XLOOKUP(A545,'[1]DATOS PBI Artículos'!A:A,'[1]DATOS PBI Artículos'!W:W))/IF($O545="",$N545,$O545))),0))))</f>
        <v>#N/A</v>
      </c>
      <c r="R545" s="33" t="e">
        <f>IF(U545&lt;&gt;"",U545,IF(F545="DV","MTO",IF(N545=0,"MTO",_xlfn.XLOOKUP(CONCATENATE(S545,T545),[1]CRITERIOS!$K$160:$K$168,[1]CRITERIOS!$N$160:$N$168))))</f>
        <v>#N/A</v>
      </c>
      <c r="S545" s="33" t="e">
        <f>IF(G545="DV","MTO",IF(N545=0,"MTO",IF(OR(AND(N545=0,O545=""),IF(O545="",G545/N545,G545/O545)&gt;[1]CRITERIOS!$G$163),"MTO",IF(IF(O545="",G545/N545,G545/O545)&lt;[1]CRITERIOS!$H$161,"MTS","MTOS"))))</f>
        <v>#N/A</v>
      </c>
      <c r="T545" s="33" t="e">
        <f>IF(F545="DV","MTO",IF(OR(AND($N545=0,O545=""),$F545/$J545&gt;[1]CRITERIOS!$G$170,$F545="DV"),"MTO",IF($F545/$J545&lt;[1]CRITERIOS!$H$168,"MTS","MTOS")))</f>
        <v>#N/A</v>
      </c>
      <c r="V545" s="34" t="e">
        <f t="shared" si="28"/>
        <v>#N/A</v>
      </c>
      <c r="X545" s="34" t="e">
        <f t="shared" si="26"/>
        <v>#N/A</v>
      </c>
      <c r="Y545" s="34" t="e">
        <f t="shared" si="27"/>
        <v>#N/A</v>
      </c>
      <c r="Z545" s="34" t="e">
        <f>IF($R545="MTO",
0,
($H545+$K545*($E545/[1]CRITERIOS!$M$16))/[1]CRITERIOS!$X$48)</f>
        <v>#N/A</v>
      </c>
      <c r="AA545" s="34" t="e">
        <f>ROUNDUP(($Y545/_xlfn.XLOOKUP($A545,'[1]DATOS PBI Artículos'!$A$4:$A$4,'[1]DATOS PBI Artículos'!$Z$4:$Z$4))/_xlfn.XLOOKUP(_xlfn.XLOOKUP($A545,'[1]DATOS PBI Artículos'!$A$4:$A$4,'[1]DATOS PBI Artículos'!$Y$4:$Y$4),[1]CRITERIOS!$P$79:$P$123,[1]CRITERIOS!$S$79:$S$123,),0)</f>
        <v>#N/A</v>
      </c>
      <c r="AB545" s="33" t="e">
        <f t="array" ref="AB545">IF((E545+V545-_xlfn.XLOOKUP(A545,'[1]DATOS PBI Artículos'!$A$4:$A$4,'[1]DATOS PBI Artículos'!$W$4:$W$4))/N545&gt;ROUNDUP([1]CRITERIOS!$M$16/(IF(COUNTIF([1]CRITERIOS!$BG$11:$BG$201,L545)&gt;=1,_xlfn.XLOOKUP(ARTÍCULOS!L545,[1]CRITERIOS!$BG$11:$BG$201,[1]CRITERIOS!$BJ$11:$BJ$201),_xlfn.XLOOKUP(ARTÍCULOS!C545,[1]CRITERIOS!$K$25:$K$42,[1]CRITERIOS!$M$25:$M$42))),0),ROUNDUP([1]CRITERIOS!$M$16/(IF(COUNTIF([1]CRITERIOS!$BG$11:$BG$201,L545)&gt;=1,_xlfn.XLOOKUP(ARTÍCULOS!L545,[1]CRITERIOS!$BG$11:$BG$201:#REF!,[1]CRITERIOS!$BJ$11:$BJ$201),_xlfn.XLOOKUP(ARTÍCULOS!C545,[1]CRITERIOS!$K$25:$K$42,[1]CRITERIOS!$M$25:$M$42))),0),(E545+V545-_xlfn.XLOOKUP(A545,'[1]DATOS PBI Artículos'!$A$4:$A$4,'[1]DATOS PBI Artículos'!$W$4:$W$4))/N545)</f>
        <v>#N/A</v>
      </c>
      <c r="AC545" s="33" t="e">
        <f>IF(N545=0,"",(ROUNDUP((N545/2)/(_xlfn.XLOOKUP(A545,'[1]DATOS PBI Artículos'!$A$4:$A$4,'[1]DATOS PBI Artículos'!$Z$4:$Z$4)*_xlfn.XLOOKUP(_xlfn.XLOOKUP(A545,'[1]DATOS PBI Artículos'!$A$4:$A$4,'[1]DATOS PBI Artículos'!$Y$4:$Y$4),[1]CRITERIOS!$P$79:$P$123,[1]CRITERIOS!$S$79:$S$123)),0)*[1]CRITERIOS!$M$80*([1]CRITERIOS!$M$110/[1]CRITERIOS!$M$86)+(_xlfn.XLOOKUP(A545,'[1]DATOS PBI Artículos'!$A$4:$A$4,'[1]DATOS PBI Artículos'!$AA$4:$AA$4)*([1]CRITERIOS!$M$95+[1]CRITERIOS!$M$98)))/N545)</f>
        <v>#N/A</v>
      </c>
      <c r="AD545" s="33" t="e">
        <f>IF(N545=0,"",(ROUNDUP((N545/2)/(_xlfn.XLOOKUP(A545,'[1]DATOS PBI Artículos'!$A$4:$A$4,'[1]DATOS PBI Artículos'!$Z$4:$Z$4)*_xlfn.XLOOKUP(_xlfn.XLOOKUP(A545,'[1]DATOS PBI Artículos'!$A$4:$A$4,'[1]DATOS PBI Artículos'!$Y$4:$Y$4),[1]CRITERIOS!$P$79:$P$123,[1]CRITERIOS!$S$79:$S$123)),0)*[1]CRITERIOS!$M$80*([1]CRITERIOS!$M$89*[1]CRITERIOS!$M$92)+((_xlfn.XLOOKUP(A545,'[1]DATOS PBI Artículos'!$A$4:$A$4,'[1]DATOS PBI Artículos'!$AA$4:$AA$4)/2)*([1]CRITERIOS!$M$95+[1]CRITERIOS!$M$98)))/N545)</f>
        <v>#N/A</v>
      </c>
      <c r="AE545" s="39" t="e">
        <f>IF($R545="MTO","",
IF($H545=0,ROUNDUP(((_xlfn.XLOOKUP($A545,'[1]DATOS PBI Artículos'!$A:$A,'[1]DATOS PBI Artículos'!$AL:$AL))/(_xlfn.XLOOKUP($AF$1,[1]CRITERIOS!$S$16:$S$39,[1]CRITERIOS!$Y$16:$Y$39))*$J545+$Z545)/$G545,0)*$G545,
((_xlfn.XLOOKUP($A545,'[1]DATOS PBI Artículos'!$A:$A,'[1]DATOS PBI Artículos'!$AL:$AL))/(_xlfn.XLOOKUP($AF$1,[1]CRITERIOS!$S$16:$S$39,[1]CRITERIOS!$Y$16:$Y$39))*$J545+$Z545)))</f>
        <v>#N/A</v>
      </c>
      <c r="AG545" s="39" t="e">
        <f>IF($R545="MTO","",
IF($H545=0,ROUNDUP(((_xlfn.XLOOKUP($A545,'[1]DATOS PBI Artículos'!$A:$A,'[1]DATOS PBI Artículos'!$AM:$AM))/(_xlfn.XLOOKUP($AH$1,[1]CRITERIOS!$S$16:$S$39,[1]CRITERIOS!$Y$16:$Y$39))*$J545+$Z545)/$G545,0)*$G545,
((_xlfn.XLOOKUP($A545,'[1]DATOS PBI Artículos'!$A:$A,'[1]DATOS PBI Artículos'!$AM:$AM))/(_xlfn.XLOOKUP($AH$1,[1]CRITERIOS!$S$16:$S$39,[1]CRITERIOS!$Y$16:$Y$39))*$J545+$Z545)))</f>
        <v>#N/A</v>
      </c>
      <c r="AI545" s="39" t="e">
        <f>IF($R545="MTO","",
IF($H545=0,ROUNDUP(((_xlfn.XLOOKUP($A545,'[1]DATOS PBI Artículos'!$A:$A,'[1]DATOS PBI Artículos'!$AN:$AN))/(_xlfn.XLOOKUP($AJ$1,[1]CRITERIOS!$S$16:$S$39,[1]CRITERIOS!$Y$16:$Y$39))*$J545+$Z545)/$G545,0)*$G545,
((_xlfn.XLOOKUP($A545,'[1]DATOS PBI Artículos'!$A:$A,'[1]DATOS PBI Artículos'!$AN:$AN))/(_xlfn.XLOOKUP($AJ$1,[1]CRITERIOS!$S$16:$S$39,[1]CRITERIOS!$Y$16:$Y$39))*$J545+$Z545)))</f>
        <v>#N/A</v>
      </c>
      <c r="AK545" s="39" t="e">
        <f>IF($R545="MTO","",
IF($H545=0,ROUNDUP(((_xlfn.XLOOKUP($A545,'[1]DATOS PBI Artículos'!$A:$A,'[1]DATOS PBI Artículos'!$AO:$AO))/(_xlfn.XLOOKUP($AL$1,[1]CRITERIOS!$S$16:$S$39,[1]CRITERIOS!$Y$16:$Y$39))*$J545+$Z545)/$G545,0)*$G545,
((_xlfn.XLOOKUP($A545,'[1]DATOS PBI Artículos'!$A:$A,'[1]DATOS PBI Artículos'!$AO:$AO))/(_xlfn.XLOOKUP($AL$1,[1]CRITERIOS!$S$16:$S$39,[1]CRITERIOS!$Y$16:$Y$39))*$J545+$Z545)))</f>
        <v>#N/A</v>
      </c>
    </row>
    <row r="546" spans="1:37" ht="25.8" hidden="1" x14ac:dyDescent="0.4">
      <c r="A546" s="41"/>
      <c r="B546" s="33">
        <f>_xlfn.XLOOKUP($A546,'[1]DATOS PBI Artículos'!A:A,'[1]DATOS PBI Artículos'!B:B)</f>
        <v>0</v>
      </c>
      <c r="C546" s="33">
        <f>_xlfn.XLOOKUP($A546,'[1]DATOS PBI Artículos'!A:A,'[1]DATOS PBI Artículos'!C:C)</f>
        <v>0</v>
      </c>
      <c r="D546" s="33">
        <f>_xlfn.XLOOKUP(A546,'[1]DATOS PBI Artículos'!A:A,'[1]DATOS PBI Artículos'!T:T)</f>
        <v>0</v>
      </c>
      <c r="E546" s="34">
        <f>IF(_xlfn.XLOOKUP($A546,'[1]DATOS PBI Artículos'!A:A,'[1]DATOS PBI Artículos'!AK:AK)="",_xlfn.XLOOKUP($A546,'[1]DATOS PBI Artículos'!A:A,'[1]DATOS PBI Artículos'!AJ:AJ),_xlfn.XLOOKUP($A546,'[1]DATOS PBI Artículos'!A:A,'[1]DATOS PBI Artículos'!AK:AK))</f>
        <v>0</v>
      </c>
      <c r="F546" s="35">
        <f>_xlfn.XLOOKUP($A546,'[1]DATOS PBI Artículos'!A:A,'[1]DATOS PBI Artículos'!AP:AP)</f>
        <v>0</v>
      </c>
      <c r="G546" s="34">
        <f>_xlfn.XLOOKUP($A546,'[1]DATOS PBI Artículos'!A:A,'[1]DATOS PBI Artículos'!AR:AR)</f>
        <v>0</v>
      </c>
      <c r="H546" s="34">
        <f>_xlfn.XLOOKUP($A546,'[1]DATOS PBI Artículos'!A:A,'[1]DATOS PBI Artículos'!AT:AT)</f>
        <v>0</v>
      </c>
      <c r="I546" s="34">
        <f>_xlfn.XLOOKUP($A546,'[1]DATOS PBI Artículos'!A:A,'[1]DATOS PBI Artículos'!AS:AS)</f>
        <v>0</v>
      </c>
      <c r="J546" s="35">
        <f>IF(COUNTIF([1]CRITERIOS!$F$179:$F$199,$A546)&gt;=1,
 IF(O546&lt;&gt;"",
    (O546/_xlfn.XLOOKUP(CONCATENATE(A546,L546),[1]MÁQUINAS!A:A,[1]MÁQUINAS!D:D))/24,
    (N546/_xlfn.XLOOKUP(CONCATENATE(A546,L546),[1]MÁQUINAS!A:A,[1]MÁQUINAS!D:D))/24),
  _xlfn.XLOOKUP($A546,'[1]DATOS PBI Artículos'!A:A,'[1]DATOS PBI Artículos'!AU:AU))</f>
        <v>0</v>
      </c>
      <c r="K546" s="36">
        <f>_xlfn.XLOOKUP($A546,'[1]DATOS PBI Artículos'!A:A,'[1]DATOS PBI Artículos'!AV:AV)</f>
        <v>0</v>
      </c>
      <c r="L546" s="33">
        <f>_xlfn.XLOOKUP(A546,[1]MÁQUINAS!B:B,[1]MÁQUINAS!C:C)</f>
        <v>0</v>
      </c>
      <c r="M546" s="34">
        <f t="array" ref="M546">_xlfn.XLOOKUP(A546,'[1]DATOS PBI Artículos'!A:A,'[1]DATOS PBI Artículos'!AX:$AX)</f>
        <v>0</v>
      </c>
      <c r="N546" s="37" t="e">
        <f>IF(I546="DV",
E546,
IF(COUNTIF([1]CRITERIOS!$I$179:$I$199,$A546)&gt;=1,
_xlfn.XLOOKUP($A546,[1]CRITERIOS!$I$179:$I$199,[1]CRITERIOS!$J$179:$J$199),
IF(COUNTIF([1]CRITERIOS!$L$179:$L$199,$A546)&gt;=1,
_xlfn.CEILING.MATH(IF($M546&gt;$E546,
$E546,
IF($M546&lt;$E546/ROUNDDOWN([1]CRITERIOS!$M$16/_xlfn.XLOOKUP($C546,[1]CRITERIOS!$K$25:$K$42,[1]CRITERIOS!$M$25:$M$42),
1),
E546/ROUNDDOWN([1]CRITERIOS!$M$16/_xlfn.XLOOKUP($C546,[1]CRITERIOS!$K$25:$K$42,[1]CRITERIOS!$M$25:$M$42),
1),
$M546)),
_xlfn.XLOOKUP($A546,[1]CRITERIOS!$L$179:$L$200,[1]CRITERIOS!$M$179:$M$200)),
_xlfn.CEILING.MATH(IF($M546&gt;$E546,
$E546,
IF($M546&lt;$E546/ROUNDDOWN([1]CRITERIOS!$M$16/_xlfn.XLOOKUP($C546,[1]CRITERIOS!$K$25:$K$42,[1]CRITERIOS!$M$25:$M$42),
1),
E546/ROUNDDOWN([1]CRITERIOS!$M$16/_xlfn.XLOOKUP($C546,[1]CRITERIOS!$K$25:$K$42,[1]CRITERIOS!$M$25:$M$42),
1),
$M546)),_xlfn.XLOOKUP(A546,'[1]DATOS PBI Artículos'!A:A,'[1]DATOS PBI Artículos'!Z:Z
)))))</f>
        <v>#N/A</v>
      </c>
      <c r="Q546" s="38" t="e">
        <f>IF(AND(O546="",N546=0),
0,
   IF(COUNTIF([1]CRITERIOS!$F$179:$F$199,$A546)&gt;=1,
   1,
   IF(R546="MTO",
      $D546,
      ROUNDUP(
                    IF(($E546-SUMIF('[1]DATOS PBI Artículos'!A:A,A546,'[1]DATOS PBI Artículos'!X:X)+($V546-_xlfn.XLOOKUP(A546,'[1]DATOS PBI Artículos'!A:A,'[1]DATOS PBI Artículos'!W:W)))&lt;0,
                    0,
                    IF(($E546-SUMIF('[1]DATOS PBI Artículos'!A:A,A546,'[1]DATOS PBI Artículos'!X:X)+$V546-_xlfn.XLOOKUP($A546,'[1]DATOS PBI Artículos'!A:A,'[1]DATOS PBI Artículos'!W:W))/IF($O546="",$N546,$O546)&gt;ROUNDUP([1]CRITERIOS!$M$16/(IF(COUNTIF([1]CRITERIOS!$BG$11:$BG$201,L546)&gt;=1,_xlfn.XLOOKUP($C546,[1]CRITERIOS!$K$25:$K$42,[1]CRITERIOS!$M$25:$M$42),_xlfn.XLOOKUP($C546,[1]CRITERIOS!$K$25:$K$42,[1]CRITERIOS!$M$25:$M$42))),0),
                    ROUNDUP([1]CRITERIOS!$M$16/(IF(COUNTIF([1]CRITERIOS!$BG$11:$BG$201,$L546)&gt;=1,_xlfn.XLOOKUP($C546,[1]CRITERIOS!$K$25:$K$42,[1]CRITERIOS!$M$25:$M$42),_xlfn.XLOOKUP($C546,[1]CRITERIOS!$K$25:$K$42,[1]CRITERIOS!$M$25:$M$42))),0),
                    (E546+V546-SUMIF('[1]DATOS PBI Artículos'!A:A,A546,'[1]DATOS PBI Artículos'!X:X)-_xlfn.XLOOKUP(A546,'[1]DATOS PBI Artículos'!A:A,'[1]DATOS PBI Artículos'!W:W))/IF($O546="",$N546,$O546))),0))))</f>
        <v>#N/A</v>
      </c>
      <c r="R546" s="33" t="e">
        <f>IF(U546&lt;&gt;"",U546,IF(F546="DV","MTO",IF(N546=0,"MTO",_xlfn.XLOOKUP(CONCATENATE(S546,T546),[1]CRITERIOS!$K$160:$K$168,[1]CRITERIOS!$N$160:$N$168))))</f>
        <v>#N/A</v>
      </c>
      <c r="S546" s="33" t="e">
        <f>IF(G546="DV","MTO",IF(N546=0,"MTO",IF(OR(AND(N546=0,O546=""),IF(O546="",G546/N546,G546/O546)&gt;[1]CRITERIOS!$G$163),"MTO",IF(IF(O546="",G546/N546,G546/O546)&lt;[1]CRITERIOS!$H$161,"MTS","MTOS"))))</f>
        <v>#N/A</v>
      </c>
      <c r="T546" s="33" t="e">
        <f>IF(F546="DV","MTO",IF(OR(AND($N546=0,O546=""),$F546/$J546&gt;[1]CRITERIOS!$G$170,$F546="DV"),"MTO",IF($F546/$J546&lt;[1]CRITERIOS!$H$168,"MTS","MTOS")))</f>
        <v>#N/A</v>
      </c>
      <c r="V546" s="34" t="e">
        <f t="shared" si="28"/>
        <v>#N/A</v>
      </c>
      <c r="X546" s="34" t="e">
        <f t="shared" si="26"/>
        <v>#N/A</v>
      </c>
      <c r="Y546" s="34" t="e">
        <f t="shared" si="27"/>
        <v>#N/A</v>
      </c>
      <c r="Z546" s="34" t="e">
        <f>IF($R546="MTO",
0,
($H546+$K546*($E546/[1]CRITERIOS!$M$16))/[1]CRITERIOS!$X$48)</f>
        <v>#N/A</v>
      </c>
      <c r="AA546" s="34" t="e">
        <f>ROUNDUP(($Y546/_xlfn.XLOOKUP($A546,'[1]DATOS PBI Artículos'!$A$4:$A$4,'[1]DATOS PBI Artículos'!$Z$4:$Z$4))/_xlfn.XLOOKUP(_xlfn.XLOOKUP($A546,'[1]DATOS PBI Artículos'!$A$4:$A$4,'[1]DATOS PBI Artículos'!$Y$4:$Y$4),[1]CRITERIOS!$P$79:$P$123,[1]CRITERIOS!$S$79:$S$123,),0)</f>
        <v>#N/A</v>
      </c>
      <c r="AB546" s="33" t="e">
        <f t="array" ref="AB546">IF((E546+V546-_xlfn.XLOOKUP(A546,'[1]DATOS PBI Artículos'!$A$4:$A$4,'[1]DATOS PBI Artículos'!$W$4:$W$4))/N546&gt;ROUNDUP([1]CRITERIOS!$M$16/(IF(COUNTIF([1]CRITERIOS!$BG$11:$BG$201,L546)&gt;=1,_xlfn.XLOOKUP(ARTÍCULOS!L546,[1]CRITERIOS!$BG$11:$BG$201,[1]CRITERIOS!$BJ$11:$BJ$201),_xlfn.XLOOKUP(ARTÍCULOS!C546,[1]CRITERIOS!$K$25:$K$42,[1]CRITERIOS!$M$25:$M$42))),0),ROUNDUP([1]CRITERIOS!$M$16/(IF(COUNTIF([1]CRITERIOS!$BG$11:$BG$201,L546)&gt;=1,_xlfn.XLOOKUP(ARTÍCULOS!L546,[1]CRITERIOS!$BG$11:$BG$201:#REF!,[1]CRITERIOS!$BJ$11:$BJ$201),_xlfn.XLOOKUP(ARTÍCULOS!C546,[1]CRITERIOS!$K$25:$K$42,[1]CRITERIOS!$M$25:$M$42))),0),(E546+V546-_xlfn.XLOOKUP(A546,'[1]DATOS PBI Artículos'!$A$4:$A$4,'[1]DATOS PBI Artículos'!$W$4:$W$4))/N546)</f>
        <v>#N/A</v>
      </c>
      <c r="AC546" s="33" t="e">
        <f>IF(N546=0,"",(ROUNDUP((N546/2)/(_xlfn.XLOOKUP(A546,'[1]DATOS PBI Artículos'!$A$4:$A$4,'[1]DATOS PBI Artículos'!$Z$4:$Z$4)*_xlfn.XLOOKUP(_xlfn.XLOOKUP(A546,'[1]DATOS PBI Artículos'!$A$4:$A$4,'[1]DATOS PBI Artículos'!$Y$4:$Y$4),[1]CRITERIOS!$P$79:$P$123,[1]CRITERIOS!$S$79:$S$123)),0)*[1]CRITERIOS!$M$80*([1]CRITERIOS!$M$110/[1]CRITERIOS!$M$86)+(_xlfn.XLOOKUP(A546,'[1]DATOS PBI Artículos'!$A$4:$A$4,'[1]DATOS PBI Artículos'!$AA$4:$AA$4)*([1]CRITERIOS!$M$95+[1]CRITERIOS!$M$98)))/N546)</f>
        <v>#N/A</v>
      </c>
      <c r="AD546" s="33" t="e">
        <f>IF(N546=0,"",(ROUNDUP((N546/2)/(_xlfn.XLOOKUP(A546,'[1]DATOS PBI Artículos'!$A$4:$A$4,'[1]DATOS PBI Artículos'!$Z$4:$Z$4)*_xlfn.XLOOKUP(_xlfn.XLOOKUP(A546,'[1]DATOS PBI Artículos'!$A$4:$A$4,'[1]DATOS PBI Artículos'!$Y$4:$Y$4),[1]CRITERIOS!$P$79:$P$123,[1]CRITERIOS!$S$79:$S$123)),0)*[1]CRITERIOS!$M$80*([1]CRITERIOS!$M$89*[1]CRITERIOS!$M$92)+((_xlfn.XLOOKUP(A546,'[1]DATOS PBI Artículos'!$A$4:$A$4,'[1]DATOS PBI Artículos'!$AA$4:$AA$4)/2)*([1]CRITERIOS!$M$95+[1]CRITERIOS!$M$98)))/N546)</f>
        <v>#N/A</v>
      </c>
      <c r="AE546" s="39" t="e">
        <f>IF($R546="MTO","",
IF($H546=0,ROUNDUP(((_xlfn.XLOOKUP($A546,'[1]DATOS PBI Artículos'!$A:$A,'[1]DATOS PBI Artículos'!$AL:$AL))/(_xlfn.XLOOKUP($AF$1,[1]CRITERIOS!$S$16:$S$39,[1]CRITERIOS!$Y$16:$Y$39))*$J546+$Z546)/$G546,0)*$G546,
((_xlfn.XLOOKUP($A546,'[1]DATOS PBI Artículos'!$A:$A,'[1]DATOS PBI Artículos'!$AL:$AL))/(_xlfn.XLOOKUP($AF$1,[1]CRITERIOS!$S$16:$S$39,[1]CRITERIOS!$Y$16:$Y$39))*$J546+$Z546)))</f>
        <v>#N/A</v>
      </c>
      <c r="AG546" s="39" t="e">
        <f>IF($R546="MTO","",
IF($H546=0,ROUNDUP(((_xlfn.XLOOKUP($A546,'[1]DATOS PBI Artículos'!$A:$A,'[1]DATOS PBI Artículos'!$AM:$AM))/(_xlfn.XLOOKUP($AH$1,[1]CRITERIOS!$S$16:$S$39,[1]CRITERIOS!$Y$16:$Y$39))*$J546+$Z546)/$G546,0)*$G546,
((_xlfn.XLOOKUP($A546,'[1]DATOS PBI Artículos'!$A:$A,'[1]DATOS PBI Artículos'!$AM:$AM))/(_xlfn.XLOOKUP($AH$1,[1]CRITERIOS!$S$16:$S$39,[1]CRITERIOS!$Y$16:$Y$39))*$J546+$Z546)))</f>
        <v>#N/A</v>
      </c>
      <c r="AI546" s="39" t="e">
        <f>IF($R546="MTO","",
IF($H546=0,ROUNDUP(((_xlfn.XLOOKUP($A546,'[1]DATOS PBI Artículos'!$A:$A,'[1]DATOS PBI Artículos'!$AN:$AN))/(_xlfn.XLOOKUP($AJ$1,[1]CRITERIOS!$S$16:$S$39,[1]CRITERIOS!$Y$16:$Y$39))*$J546+$Z546)/$G546,0)*$G546,
((_xlfn.XLOOKUP($A546,'[1]DATOS PBI Artículos'!$A:$A,'[1]DATOS PBI Artículos'!$AN:$AN))/(_xlfn.XLOOKUP($AJ$1,[1]CRITERIOS!$S$16:$S$39,[1]CRITERIOS!$Y$16:$Y$39))*$J546+$Z546)))</f>
        <v>#N/A</v>
      </c>
      <c r="AK546" s="39" t="e">
        <f>IF($R546="MTO","",
IF($H546=0,ROUNDUP(((_xlfn.XLOOKUP($A546,'[1]DATOS PBI Artículos'!$A:$A,'[1]DATOS PBI Artículos'!$AO:$AO))/(_xlfn.XLOOKUP($AL$1,[1]CRITERIOS!$S$16:$S$39,[1]CRITERIOS!$Y$16:$Y$39))*$J546+$Z546)/$G546,0)*$G546,
((_xlfn.XLOOKUP($A546,'[1]DATOS PBI Artículos'!$A:$A,'[1]DATOS PBI Artículos'!$AO:$AO))/(_xlfn.XLOOKUP($AL$1,[1]CRITERIOS!$S$16:$S$39,[1]CRITERIOS!$Y$16:$Y$39))*$J546+$Z546)))</f>
        <v>#N/A</v>
      </c>
    </row>
    <row r="547" spans="1:37" ht="25.8" hidden="1" x14ac:dyDescent="0.4">
      <c r="A547" s="41"/>
      <c r="B547" s="33">
        <f>_xlfn.XLOOKUP($A547,'[1]DATOS PBI Artículos'!A:A,'[1]DATOS PBI Artículos'!B:B)</f>
        <v>0</v>
      </c>
      <c r="C547" s="33">
        <f>_xlfn.XLOOKUP($A547,'[1]DATOS PBI Artículos'!A:A,'[1]DATOS PBI Artículos'!C:C)</f>
        <v>0</v>
      </c>
      <c r="D547" s="33">
        <f>_xlfn.XLOOKUP(A547,'[1]DATOS PBI Artículos'!A:A,'[1]DATOS PBI Artículos'!T:T)</f>
        <v>0</v>
      </c>
      <c r="E547" s="34">
        <f>IF(_xlfn.XLOOKUP($A547,'[1]DATOS PBI Artículos'!A:A,'[1]DATOS PBI Artículos'!AK:AK)="",_xlfn.XLOOKUP($A547,'[1]DATOS PBI Artículos'!A:A,'[1]DATOS PBI Artículos'!AJ:AJ),_xlfn.XLOOKUP($A547,'[1]DATOS PBI Artículos'!A:A,'[1]DATOS PBI Artículos'!AK:AK))</f>
        <v>0</v>
      </c>
      <c r="F547" s="35">
        <f>_xlfn.XLOOKUP($A547,'[1]DATOS PBI Artículos'!A:A,'[1]DATOS PBI Artículos'!AP:AP)</f>
        <v>0</v>
      </c>
      <c r="G547" s="34">
        <f>_xlfn.XLOOKUP($A547,'[1]DATOS PBI Artículos'!A:A,'[1]DATOS PBI Artículos'!AR:AR)</f>
        <v>0</v>
      </c>
      <c r="H547" s="34">
        <f>_xlfn.XLOOKUP($A547,'[1]DATOS PBI Artículos'!A:A,'[1]DATOS PBI Artículos'!AT:AT)</f>
        <v>0</v>
      </c>
      <c r="I547" s="34">
        <f>_xlfn.XLOOKUP($A547,'[1]DATOS PBI Artículos'!A:A,'[1]DATOS PBI Artículos'!AS:AS)</f>
        <v>0</v>
      </c>
      <c r="J547" s="35">
        <f>IF(COUNTIF([1]CRITERIOS!$F$179:$F$199,$A547)&gt;=1,
 IF(O547&lt;&gt;"",
    (O547/_xlfn.XLOOKUP(CONCATENATE(A547,L547),[1]MÁQUINAS!A:A,[1]MÁQUINAS!D:D))/24,
    (N547/_xlfn.XLOOKUP(CONCATENATE(A547,L547),[1]MÁQUINAS!A:A,[1]MÁQUINAS!D:D))/24),
  _xlfn.XLOOKUP($A547,'[1]DATOS PBI Artículos'!A:A,'[1]DATOS PBI Artículos'!AU:AU))</f>
        <v>0</v>
      </c>
      <c r="K547" s="36">
        <f>_xlfn.XLOOKUP($A547,'[1]DATOS PBI Artículos'!A:A,'[1]DATOS PBI Artículos'!AV:AV)</f>
        <v>0</v>
      </c>
      <c r="L547" s="33">
        <f>_xlfn.XLOOKUP(A547,[1]MÁQUINAS!B:B,[1]MÁQUINAS!C:C)</f>
        <v>0</v>
      </c>
      <c r="M547" s="34">
        <f t="array" ref="M547">_xlfn.XLOOKUP(A547,'[1]DATOS PBI Artículos'!A:A,'[1]DATOS PBI Artículos'!AX:$AX)</f>
        <v>0</v>
      </c>
      <c r="N547" s="37" t="e">
        <f>IF(I547="DV",
E547,
IF(COUNTIF([1]CRITERIOS!$I$179:$I$199,$A547)&gt;=1,
_xlfn.XLOOKUP($A547,[1]CRITERIOS!$I$179:$I$199,[1]CRITERIOS!$J$179:$J$199),
IF(COUNTIF([1]CRITERIOS!$L$179:$L$199,$A547)&gt;=1,
_xlfn.CEILING.MATH(IF($M547&gt;$E547,
$E547,
IF($M547&lt;$E547/ROUNDDOWN([1]CRITERIOS!$M$16/_xlfn.XLOOKUP($C547,[1]CRITERIOS!$K$25:$K$42,[1]CRITERIOS!$M$25:$M$42),
1),
E547/ROUNDDOWN([1]CRITERIOS!$M$16/_xlfn.XLOOKUP($C547,[1]CRITERIOS!$K$25:$K$42,[1]CRITERIOS!$M$25:$M$42),
1),
$M547)),
_xlfn.XLOOKUP($A547,[1]CRITERIOS!$L$179:$L$200,[1]CRITERIOS!$M$179:$M$200)),
_xlfn.CEILING.MATH(IF($M547&gt;$E547,
$E547,
IF($M547&lt;$E547/ROUNDDOWN([1]CRITERIOS!$M$16/_xlfn.XLOOKUP($C547,[1]CRITERIOS!$K$25:$K$42,[1]CRITERIOS!$M$25:$M$42),
1),
E547/ROUNDDOWN([1]CRITERIOS!$M$16/_xlfn.XLOOKUP($C547,[1]CRITERIOS!$K$25:$K$42,[1]CRITERIOS!$M$25:$M$42),
1),
$M547)),_xlfn.XLOOKUP(A547,'[1]DATOS PBI Artículos'!A:A,'[1]DATOS PBI Artículos'!Z:Z
)))))</f>
        <v>#N/A</v>
      </c>
      <c r="Q547" s="38" t="e">
        <f>IF(AND(O547="",N547=0),
0,
   IF(COUNTIF([1]CRITERIOS!$F$179:$F$199,$A547)&gt;=1,
   1,
   IF(R547="MTO",
      $D547,
      ROUNDUP(
                    IF(($E547-SUMIF('[1]DATOS PBI Artículos'!A:A,A547,'[1]DATOS PBI Artículos'!X:X)+($V547-_xlfn.XLOOKUP(A547,'[1]DATOS PBI Artículos'!A:A,'[1]DATOS PBI Artículos'!W:W)))&lt;0,
                    0,
                    IF(($E547-SUMIF('[1]DATOS PBI Artículos'!A:A,A547,'[1]DATOS PBI Artículos'!X:X)+$V547-_xlfn.XLOOKUP($A547,'[1]DATOS PBI Artículos'!A:A,'[1]DATOS PBI Artículos'!W:W))/IF($O547="",$N547,$O547)&gt;ROUNDUP([1]CRITERIOS!$M$16/(IF(COUNTIF([1]CRITERIOS!$BG$11:$BG$201,L547)&gt;=1,_xlfn.XLOOKUP($C547,[1]CRITERIOS!$K$25:$K$42,[1]CRITERIOS!$M$25:$M$42),_xlfn.XLOOKUP($C547,[1]CRITERIOS!$K$25:$K$42,[1]CRITERIOS!$M$25:$M$42))),0),
                    ROUNDUP([1]CRITERIOS!$M$16/(IF(COUNTIF([1]CRITERIOS!$BG$11:$BG$201,$L547)&gt;=1,_xlfn.XLOOKUP($C547,[1]CRITERIOS!$K$25:$K$42,[1]CRITERIOS!$M$25:$M$42),_xlfn.XLOOKUP($C547,[1]CRITERIOS!$K$25:$K$42,[1]CRITERIOS!$M$25:$M$42))),0),
                    (E547+V547-SUMIF('[1]DATOS PBI Artículos'!A:A,A547,'[1]DATOS PBI Artículos'!X:X)-_xlfn.XLOOKUP(A547,'[1]DATOS PBI Artículos'!A:A,'[1]DATOS PBI Artículos'!W:W))/IF($O547="",$N547,$O547))),0))))</f>
        <v>#N/A</v>
      </c>
      <c r="R547" s="33" t="e">
        <f>IF(U547&lt;&gt;"",U547,IF(F547="DV","MTO",IF(N547=0,"MTO",_xlfn.XLOOKUP(CONCATENATE(S547,T547),[1]CRITERIOS!$K$160:$K$168,[1]CRITERIOS!$N$160:$N$168))))</f>
        <v>#N/A</v>
      </c>
      <c r="S547" s="33" t="e">
        <f>IF(G547="DV","MTO",IF(N547=0,"MTO",IF(OR(AND(N547=0,O547=""),IF(O547="",G547/N547,G547/O547)&gt;[1]CRITERIOS!$G$163),"MTO",IF(IF(O547="",G547/N547,G547/O547)&lt;[1]CRITERIOS!$H$161,"MTS","MTOS"))))</f>
        <v>#N/A</v>
      </c>
      <c r="T547" s="33" t="e">
        <f>IF(F547="DV","MTO",IF(OR(AND($N547=0,O547=""),$F547/$J547&gt;[1]CRITERIOS!$G$170,$F547="DV"),"MTO",IF($F547/$J547&lt;[1]CRITERIOS!$H$168,"MTS","MTOS")))</f>
        <v>#N/A</v>
      </c>
      <c r="V547" s="34" t="e">
        <f t="shared" si="28"/>
        <v>#N/A</v>
      </c>
      <c r="X547" s="34" t="e">
        <f t="shared" si="26"/>
        <v>#N/A</v>
      </c>
      <c r="Y547" s="34" t="e">
        <f t="shared" si="27"/>
        <v>#N/A</v>
      </c>
      <c r="Z547" s="34" t="e">
        <f>IF($R547="MTO",
0,
($H547+$K547*($E547/[1]CRITERIOS!$M$16))/[1]CRITERIOS!$X$48)</f>
        <v>#N/A</v>
      </c>
      <c r="AA547" s="34" t="e">
        <f>ROUNDUP(($Y547/_xlfn.XLOOKUP($A547,'[1]DATOS PBI Artículos'!$A$4:$A$4,'[1]DATOS PBI Artículos'!$Z$4:$Z$4))/_xlfn.XLOOKUP(_xlfn.XLOOKUP($A547,'[1]DATOS PBI Artículos'!$A$4:$A$4,'[1]DATOS PBI Artículos'!$Y$4:$Y$4),[1]CRITERIOS!$P$79:$P$123,[1]CRITERIOS!$S$79:$S$123,),0)</f>
        <v>#N/A</v>
      </c>
      <c r="AB547" s="33" t="e">
        <f t="array" ref="AB547">IF((E547+V547-_xlfn.XLOOKUP(A547,'[1]DATOS PBI Artículos'!$A$4:$A$4,'[1]DATOS PBI Artículos'!$W$4:$W$4))/N547&gt;ROUNDUP([1]CRITERIOS!$M$16/(IF(COUNTIF([1]CRITERIOS!$BG$11:$BG$201,L547)&gt;=1,_xlfn.XLOOKUP(ARTÍCULOS!L547,[1]CRITERIOS!$BG$11:$BG$201,[1]CRITERIOS!$BJ$11:$BJ$201),_xlfn.XLOOKUP(ARTÍCULOS!C547,[1]CRITERIOS!$K$25:$K$42,[1]CRITERIOS!$M$25:$M$42))),0),ROUNDUP([1]CRITERIOS!$M$16/(IF(COUNTIF([1]CRITERIOS!$BG$11:$BG$201,L547)&gt;=1,_xlfn.XLOOKUP(ARTÍCULOS!L547,[1]CRITERIOS!$BG$11:$BG$201:#REF!,[1]CRITERIOS!$BJ$11:$BJ$201),_xlfn.XLOOKUP(ARTÍCULOS!C547,[1]CRITERIOS!$K$25:$K$42,[1]CRITERIOS!$M$25:$M$42))),0),(E547+V547-_xlfn.XLOOKUP(A547,'[1]DATOS PBI Artículos'!$A$4:$A$4,'[1]DATOS PBI Artículos'!$W$4:$W$4))/N547)</f>
        <v>#N/A</v>
      </c>
      <c r="AC547" s="33" t="e">
        <f>IF(N547=0,"",(ROUNDUP((N547/2)/(_xlfn.XLOOKUP(A547,'[1]DATOS PBI Artículos'!$A$4:$A$4,'[1]DATOS PBI Artículos'!$Z$4:$Z$4)*_xlfn.XLOOKUP(_xlfn.XLOOKUP(A547,'[1]DATOS PBI Artículos'!$A$4:$A$4,'[1]DATOS PBI Artículos'!$Y$4:$Y$4),[1]CRITERIOS!$P$79:$P$123,[1]CRITERIOS!$S$79:$S$123)),0)*[1]CRITERIOS!$M$80*([1]CRITERIOS!$M$110/[1]CRITERIOS!$M$86)+(_xlfn.XLOOKUP(A547,'[1]DATOS PBI Artículos'!$A$4:$A$4,'[1]DATOS PBI Artículos'!$AA$4:$AA$4)*([1]CRITERIOS!$M$95+[1]CRITERIOS!$M$98)))/N547)</f>
        <v>#N/A</v>
      </c>
      <c r="AD547" s="33" t="e">
        <f>IF(N547=0,"",(ROUNDUP((N547/2)/(_xlfn.XLOOKUP(A547,'[1]DATOS PBI Artículos'!$A$4:$A$4,'[1]DATOS PBI Artículos'!$Z$4:$Z$4)*_xlfn.XLOOKUP(_xlfn.XLOOKUP(A547,'[1]DATOS PBI Artículos'!$A$4:$A$4,'[1]DATOS PBI Artículos'!$Y$4:$Y$4),[1]CRITERIOS!$P$79:$P$123,[1]CRITERIOS!$S$79:$S$123)),0)*[1]CRITERIOS!$M$80*([1]CRITERIOS!$M$89*[1]CRITERIOS!$M$92)+((_xlfn.XLOOKUP(A547,'[1]DATOS PBI Artículos'!$A$4:$A$4,'[1]DATOS PBI Artículos'!$AA$4:$AA$4)/2)*([1]CRITERIOS!$M$95+[1]CRITERIOS!$M$98)))/N547)</f>
        <v>#N/A</v>
      </c>
      <c r="AE547" s="39" t="e">
        <f>IF($R547="MTO","",
IF($H547=0,ROUNDUP(((_xlfn.XLOOKUP($A547,'[1]DATOS PBI Artículos'!$A:$A,'[1]DATOS PBI Artículos'!$AL:$AL))/(_xlfn.XLOOKUP($AF$1,[1]CRITERIOS!$S$16:$S$39,[1]CRITERIOS!$Y$16:$Y$39))*$J547+$Z547)/$G547,0)*$G547,
((_xlfn.XLOOKUP($A547,'[1]DATOS PBI Artículos'!$A:$A,'[1]DATOS PBI Artículos'!$AL:$AL))/(_xlfn.XLOOKUP($AF$1,[1]CRITERIOS!$S$16:$S$39,[1]CRITERIOS!$Y$16:$Y$39))*$J547+$Z547)))</f>
        <v>#N/A</v>
      </c>
      <c r="AG547" s="39" t="e">
        <f>IF($R547="MTO","",
IF($H547=0,ROUNDUP(((_xlfn.XLOOKUP($A547,'[1]DATOS PBI Artículos'!$A:$A,'[1]DATOS PBI Artículos'!$AM:$AM))/(_xlfn.XLOOKUP($AH$1,[1]CRITERIOS!$S$16:$S$39,[1]CRITERIOS!$Y$16:$Y$39))*$J547+$Z547)/$G547,0)*$G547,
((_xlfn.XLOOKUP($A547,'[1]DATOS PBI Artículos'!$A:$A,'[1]DATOS PBI Artículos'!$AM:$AM))/(_xlfn.XLOOKUP($AH$1,[1]CRITERIOS!$S$16:$S$39,[1]CRITERIOS!$Y$16:$Y$39))*$J547+$Z547)))</f>
        <v>#N/A</v>
      </c>
      <c r="AI547" s="39" t="e">
        <f>IF($R547="MTO","",
IF($H547=0,ROUNDUP(((_xlfn.XLOOKUP($A547,'[1]DATOS PBI Artículos'!$A:$A,'[1]DATOS PBI Artículos'!$AN:$AN))/(_xlfn.XLOOKUP($AJ$1,[1]CRITERIOS!$S$16:$S$39,[1]CRITERIOS!$Y$16:$Y$39))*$J547+$Z547)/$G547,0)*$G547,
((_xlfn.XLOOKUP($A547,'[1]DATOS PBI Artículos'!$A:$A,'[1]DATOS PBI Artículos'!$AN:$AN))/(_xlfn.XLOOKUP($AJ$1,[1]CRITERIOS!$S$16:$S$39,[1]CRITERIOS!$Y$16:$Y$39))*$J547+$Z547)))</f>
        <v>#N/A</v>
      </c>
      <c r="AK547" s="39" t="e">
        <f>IF($R547="MTO","",
IF($H547=0,ROUNDUP(((_xlfn.XLOOKUP($A547,'[1]DATOS PBI Artículos'!$A:$A,'[1]DATOS PBI Artículos'!$AO:$AO))/(_xlfn.XLOOKUP($AL$1,[1]CRITERIOS!$S$16:$S$39,[1]CRITERIOS!$Y$16:$Y$39))*$J547+$Z547)/$G547,0)*$G547,
((_xlfn.XLOOKUP($A547,'[1]DATOS PBI Artículos'!$A:$A,'[1]DATOS PBI Artículos'!$AO:$AO))/(_xlfn.XLOOKUP($AL$1,[1]CRITERIOS!$S$16:$S$39,[1]CRITERIOS!$Y$16:$Y$39))*$J547+$Z547)))</f>
        <v>#N/A</v>
      </c>
    </row>
    <row r="548" spans="1:37" ht="25.8" hidden="1" x14ac:dyDescent="0.4">
      <c r="A548" s="41"/>
      <c r="B548" s="33">
        <f>_xlfn.XLOOKUP($A548,'[1]DATOS PBI Artículos'!A:A,'[1]DATOS PBI Artículos'!B:B)</f>
        <v>0</v>
      </c>
      <c r="C548" s="33">
        <f>_xlfn.XLOOKUP($A548,'[1]DATOS PBI Artículos'!A:A,'[1]DATOS PBI Artículos'!C:C)</f>
        <v>0</v>
      </c>
      <c r="D548" s="33">
        <f>_xlfn.XLOOKUP(A548,'[1]DATOS PBI Artículos'!A:A,'[1]DATOS PBI Artículos'!T:T)</f>
        <v>0</v>
      </c>
      <c r="E548" s="34">
        <f>IF(_xlfn.XLOOKUP($A548,'[1]DATOS PBI Artículos'!A:A,'[1]DATOS PBI Artículos'!AK:AK)="",_xlfn.XLOOKUP($A548,'[1]DATOS PBI Artículos'!A:A,'[1]DATOS PBI Artículos'!AJ:AJ),_xlfn.XLOOKUP($A548,'[1]DATOS PBI Artículos'!A:A,'[1]DATOS PBI Artículos'!AK:AK))</f>
        <v>0</v>
      </c>
      <c r="F548" s="35">
        <f>_xlfn.XLOOKUP($A548,'[1]DATOS PBI Artículos'!A:A,'[1]DATOS PBI Artículos'!AP:AP)</f>
        <v>0</v>
      </c>
      <c r="G548" s="34">
        <f>_xlfn.XLOOKUP($A548,'[1]DATOS PBI Artículos'!A:A,'[1]DATOS PBI Artículos'!AR:AR)</f>
        <v>0</v>
      </c>
      <c r="H548" s="34">
        <f>_xlfn.XLOOKUP($A548,'[1]DATOS PBI Artículos'!A:A,'[1]DATOS PBI Artículos'!AT:AT)</f>
        <v>0</v>
      </c>
      <c r="I548" s="34">
        <f>_xlfn.XLOOKUP($A548,'[1]DATOS PBI Artículos'!A:A,'[1]DATOS PBI Artículos'!AS:AS)</f>
        <v>0</v>
      </c>
      <c r="J548" s="35">
        <f>IF(COUNTIF([1]CRITERIOS!$F$179:$F$199,$A548)&gt;=1,
 IF(O548&lt;&gt;"",
    (O548/_xlfn.XLOOKUP(CONCATENATE(A548,L548),[1]MÁQUINAS!A:A,[1]MÁQUINAS!D:D))/24,
    (N548/_xlfn.XLOOKUP(CONCATENATE(A548,L548),[1]MÁQUINAS!A:A,[1]MÁQUINAS!D:D))/24),
  _xlfn.XLOOKUP($A548,'[1]DATOS PBI Artículos'!A:A,'[1]DATOS PBI Artículos'!AU:AU))</f>
        <v>0</v>
      </c>
      <c r="K548" s="36">
        <f>_xlfn.XLOOKUP($A548,'[1]DATOS PBI Artículos'!A:A,'[1]DATOS PBI Artículos'!AV:AV)</f>
        <v>0</v>
      </c>
      <c r="L548" s="33">
        <f>_xlfn.XLOOKUP(A548,[1]MÁQUINAS!B:B,[1]MÁQUINAS!C:C)</f>
        <v>0</v>
      </c>
      <c r="M548" s="34">
        <f t="array" ref="M548">_xlfn.XLOOKUP(A548,'[1]DATOS PBI Artículos'!A:A,'[1]DATOS PBI Artículos'!AX:$AX)</f>
        <v>0</v>
      </c>
      <c r="N548" s="37" t="e">
        <f>IF(I548="DV",
E548,
IF(COUNTIF([1]CRITERIOS!$I$179:$I$199,$A548)&gt;=1,
_xlfn.XLOOKUP($A548,[1]CRITERIOS!$I$179:$I$199,[1]CRITERIOS!$J$179:$J$199),
IF(COUNTIF([1]CRITERIOS!$L$179:$L$199,$A548)&gt;=1,
_xlfn.CEILING.MATH(IF($M548&gt;$E548,
$E548,
IF($M548&lt;$E548/ROUNDDOWN([1]CRITERIOS!$M$16/_xlfn.XLOOKUP($C548,[1]CRITERIOS!$K$25:$K$42,[1]CRITERIOS!$M$25:$M$42),
1),
E548/ROUNDDOWN([1]CRITERIOS!$M$16/_xlfn.XLOOKUP($C548,[1]CRITERIOS!$K$25:$K$42,[1]CRITERIOS!$M$25:$M$42),
1),
$M548)),
_xlfn.XLOOKUP($A548,[1]CRITERIOS!$L$179:$L$200,[1]CRITERIOS!$M$179:$M$200)),
_xlfn.CEILING.MATH(IF($M548&gt;$E548,
$E548,
IF($M548&lt;$E548/ROUNDDOWN([1]CRITERIOS!$M$16/_xlfn.XLOOKUP($C548,[1]CRITERIOS!$K$25:$K$42,[1]CRITERIOS!$M$25:$M$42),
1),
E548/ROUNDDOWN([1]CRITERIOS!$M$16/_xlfn.XLOOKUP($C548,[1]CRITERIOS!$K$25:$K$42,[1]CRITERIOS!$M$25:$M$42),
1),
$M548)),_xlfn.XLOOKUP(A548,'[1]DATOS PBI Artículos'!A:A,'[1]DATOS PBI Artículos'!Z:Z
)))))</f>
        <v>#N/A</v>
      </c>
      <c r="Q548" s="38" t="e">
        <f>IF(AND(O548="",N548=0),
0,
   IF(COUNTIF([1]CRITERIOS!$F$179:$F$199,$A548)&gt;=1,
   1,
   IF(R548="MTO",
      $D548,
      ROUNDUP(
                    IF(($E548-SUMIF('[1]DATOS PBI Artículos'!A:A,A548,'[1]DATOS PBI Artículos'!X:X)+($V548-_xlfn.XLOOKUP(A548,'[1]DATOS PBI Artículos'!A:A,'[1]DATOS PBI Artículos'!W:W)))&lt;0,
                    0,
                    IF(($E548-SUMIF('[1]DATOS PBI Artículos'!A:A,A548,'[1]DATOS PBI Artículos'!X:X)+$V548-_xlfn.XLOOKUP($A548,'[1]DATOS PBI Artículos'!A:A,'[1]DATOS PBI Artículos'!W:W))/IF($O548="",$N548,$O548)&gt;ROUNDUP([1]CRITERIOS!$M$16/(IF(COUNTIF([1]CRITERIOS!$BG$11:$BG$201,L548)&gt;=1,_xlfn.XLOOKUP($C548,[1]CRITERIOS!$K$25:$K$42,[1]CRITERIOS!$M$25:$M$42),_xlfn.XLOOKUP($C548,[1]CRITERIOS!$K$25:$K$42,[1]CRITERIOS!$M$25:$M$42))),0),
                    ROUNDUP([1]CRITERIOS!$M$16/(IF(COUNTIF([1]CRITERIOS!$BG$11:$BG$201,$L548)&gt;=1,_xlfn.XLOOKUP($C548,[1]CRITERIOS!$K$25:$K$42,[1]CRITERIOS!$M$25:$M$42),_xlfn.XLOOKUP($C548,[1]CRITERIOS!$K$25:$K$42,[1]CRITERIOS!$M$25:$M$42))),0),
                    (E548+V548-SUMIF('[1]DATOS PBI Artículos'!A:A,A548,'[1]DATOS PBI Artículos'!X:X)-_xlfn.XLOOKUP(A548,'[1]DATOS PBI Artículos'!A:A,'[1]DATOS PBI Artículos'!W:W))/IF($O548="",$N548,$O548))),0))))</f>
        <v>#N/A</v>
      </c>
      <c r="R548" s="33" t="e">
        <f>IF(U548&lt;&gt;"",U548,IF(F548="DV","MTO",IF(N548=0,"MTO",_xlfn.XLOOKUP(CONCATENATE(S548,T548),[1]CRITERIOS!$K$160:$K$168,[1]CRITERIOS!$N$160:$N$168))))</f>
        <v>#N/A</v>
      </c>
      <c r="S548" s="33" t="e">
        <f>IF(G548="DV","MTO",IF(N548=0,"MTO",IF(OR(AND(N548=0,O548=""),IF(O548="",G548/N548,G548/O548)&gt;[1]CRITERIOS!$G$163),"MTO",IF(IF(O548="",G548/N548,G548/O548)&lt;[1]CRITERIOS!$H$161,"MTS","MTOS"))))</f>
        <v>#N/A</v>
      </c>
      <c r="T548" s="33" t="e">
        <f>IF(F548="DV","MTO",IF(OR(AND($N548=0,O548=""),$F548/$J548&gt;[1]CRITERIOS!$G$170,$F548="DV"),"MTO",IF($F548/$J548&lt;[1]CRITERIOS!$H$168,"MTS","MTOS")))</f>
        <v>#N/A</v>
      </c>
      <c r="V548" s="34" t="e">
        <f t="shared" si="28"/>
        <v>#N/A</v>
      </c>
      <c r="X548" s="34" t="e">
        <f t="shared" si="26"/>
        <v>#N/A</v>
      </c>
      <c r="Y548" s="34" t="e">
        <f t="shared" si="27"/>
        <v>#N/A</v>
      </c>
      <c r="Z548" s="34" t="e">
        <f>IF($R548="MTO",
0,
($H548+$K548*($E548/[1]CRITERIOS!$M$16))/[1]CRITERIOS!$X$48)</f>
        <v>#N/A</v>
      </c>
      <c r="AA548" s="34" t="e">
        <f>ROUNDUP(($Y548/_xlfn.XLOOKUP($A548,'[1]DATOS PBI Artículos'!$A$4:$A$4,'[1]DATOS PBI Artículos'!$Z$4:$Z$4))/_xlfn.XLOOKUP(_xlfn.XLOOKUP($A548,'[1]DATOS PBI Artículos'!$A$4:$A$4,'[1]DATOS PBI Artículos'!$Y$4:$Y$4),[1]CRITERIOS!$P$79:$P$123,[1]CRITERIOS!$S$79:$S$123,),0)</f>
        <v>#N/A</v>
      </c>
      <c r="AB548" s="33" t="e">
        <f t="array" ref="AB548">IF((E548+V548-_xlfn.XLOOKUP(A548,'[1]DATOS PBI Artículos'!$A$4:$A$4,'[1]DATOS PBI Artículos'!$W$4:$W$4))/N548&gt;ROUNDUP([1]CRITERIOS!$M$16/(IF(COUNTIF([1]CRITERIOS!$BG$11:$BG$201,L548)&gt;=1,_xlfn.XLOOKUP(ARTÍCULOS!L548,[1]CRITERIOS!$BG$11:$BG$201,[1]CRITERIOS!$BJ$11:$BJ$201),_xlfn.XLOOKUP(ARTÍCULOS!C548,[1]CRITERIOS!$K$25:$K$42,[1]CRITERIOS!$M$25:$M$42))),0),ROUNDUP([1]CRITERIOS!$M$16/(IF(COUNTIF([1]CRITERIOS!$BG$11:$BG$201,L548)&gt;=1,_xlfn.XLOOKUP(ARTÍCULOS!L548,[1]CRITERIOS!$BG$11:$BG$201:#REF!,[1]CRITERIOS!$BJ$11:$BJ$201),_xlfn.XLOOKUP(ARTÍCULOS!C548,[1]CRITERIOS!$K$25:$K$42,[1]CRITERIOS!$M$25:$M$42))),0),(E548+V548-_xlfn.XLOOKUP(A548,'[1]DATOS PBI Artículos'!$A$4:$A$4,'[1]DATOS PBI Artículos'!$W$4:$W$4))/N548)</f>
        <v>#N/A</v>
      </c>
      <c r="AC548" s="33" t="e">
        <f>IF(N548=0,"",(ROUNDUP((N548/2)/(_xlfn.XLOOKUP(A548,'[1]DATOS PBI Artículos'!$A$4:$A$4,'[1]DATOS PBI Artículos'!$Z$4:$Z$4)*_xlfn.XLOOKUP(_xlfn.XLOOKUP(A548,'[1]DATOS PBI Artículos'!$A$4:$A$4,'[1]DATOS PBI Artículos'!$Y$4:$Y$4),[1]CRITERIOS!$P$79:$P$123,[1]CRITERIOS!$S$79:$S$123)),0)*[1]CRITERIOS!$M$80*([1]CRITERIOS!$M$110/[1]CRITERIOS!$M$86)+(_xlfn.XLOOKUP(A548,'[1]DATOS PBI Artículos'!$A$4:$A$4,'[1]DATOS PBI Artículos'!$AA$4:$AA$4)*([1]CRITERIOS!$M$95+[1]CRITERIOS!$M$98)))/N548)</f>
        <v>#N/A</v>
      </c>
      <c r="AD548" s="33" t="e">
        <f>IF(N548=0,"",(ROUNDUP((N548/2)/(_xlfn.XLOOKUP(A548,'[1]DATOS PBI Artículos'!$A$4:$A$4,'[1]DATOS PBI Artículos'!$Z$4:$Z$4)*_xlfn.XLOOKUP(_xlfn.XLOOKUP(A548,'[1]DATOS PBI Artículos'!$A$4:$A$4,'[1]DATOS PBI Artículos'!$Y$4:$Y$4),[1]CRITERIOS!$P$79:$P$123,[1]CRITERIOS!$S$79:$S$123)),0)*[1]CRITERIOS!$M$80*([1]CRITERIOS!$M$89*[1]CRITERIOS!$M$92)+((_xlfn.XLOOKUP(A548,'[1]DATOS PBI Artículos'!$A$4:$A$4,'[1]DATOS PBI Artículos'!$AA$4:$AA$4)/2)*([1]CRITERIOS!$M$95+[1]CRITERIOS!$M$98)))/N548)</f>
        <v>#N/A</v>
      </c>
      <c r="AE548" s="39" t="e">
        <f>IF($R548="MTO","",
IF($H548=0,ROUNDUP(((_xlfn.XLOOKUP($A548,'[1]DATOS PBI Artículos'!$A:$A,'[1]DATOS PBI Artículos'!$AL:$AL))/(_xlfn.XLOOKUP($AF$1,[1]CRITERIOS!$S$16:$S$39,[1]CRITERIOS!$Y$16:$Y$39))*$J548+$Z548)/$G548,0)*$G548,
((_xlfn.XLOOKUP($A548,'[1]DATOS PBI Artículos'!$A:$A,'[1]DATOS PBI Artículos'!$AL:$AL))/(_xlfn.XLOOKUP($AF$1,[1]CRITERIOS!$S$16:$S$39,[1]CRITERIOS!$Y$16:$Y$39))*$J548+$Z548)))</f>
        <v>#N/A</v>
      </c>
      <c r="AG548" s="39" t="e">
        <f>IF($R548="MTO","",
IF($H548=0,ROUNDUP(((_xlfn.XLOOKUP($A548,'[1]DATOS PBI Artículos'!$A:$A,'[1]DATOS PBI Artículos'!$AM:$AM))/(_xlfn.XLOOKUP($AH$1,[1]CRITERIOS!$S$16:$S$39,[1]CRITERIOS!$Y$16:$Y$39))*$J548+$Z548)/$G548,0)*$G548,
((_xlfn.XLOOKUP($A548,'[1]DATOS PBI Artículos'!$A:$A,'[1]DATOS PBI Artículos'!$AM:$AM))/(_xlfn.XLOOKUP($AH$1,[1]CRITERIOS!$S$16:$S$39,[1]CRITERIOS!$Y$16:$Y$39))*$J548+$Z548)))</f>
        <v>#N/A</v>
      </c>
      <c r="AI548" s="39" t="e">
        <f>IF($R548="MTO","",
IF($H548=0,ROUNDUP(((_xlfn.XLOOKUP($A548,'[1]DATOS PBI Artículos'!$A:$A,'[1]DATOS PBI Artículos'!$AN:$AN))/(_xlfn.XLOOKUP($AJ$1,[1]CRITERIOS!$S$16:$S$39,[1]CRITERIOS!$Y$16:$Y$39))*$J548+$Z548)/$G548,0)*$G548,
((_xlfn.XLOOKUP($A548,'[1]DATOS PBI Artículos'!$A:$A,'[1]DATOS PBI Artículos'!$AN:$AN))/(_xlfn.XLOOKUP($AJ$1,[1]CRITERIOS!$S$16:$S$39,[1]CRITERIOS!$Y$16:$Y$39))*$J548+$Z548)))</f>
        <v>#N/A</v>
      </c>
      <c r="AK548" s="39" t="e">
        <f>IF($R548="MTO","",
IF($H548=0,ROUNDUP(((_xlfn.XLOOKUP($A548,'[1]DATOS PBI Artículos'!$A:$A,'[1]DATOS PBI Artículos'!$AO:$AO))/(_xlfn.XLOOKUP($AL$1,[1]CRITERIOS!$S$16:$S$39,[1]CRITERIOS!$Y$16:$Y$39))*$J548+$Z548)/$G548,0)*$G548,
((_xlfn.XLOOKUP($A548,'[1]DATOS PBI Artículos'!$A:$A,'[1]DATOS PBI Artículos'!$AO:$AO))/(_xlfn.XLOOKUP($AL$1,[1]CRITERIOS!$S$16:$S$39,[1]CRITERIOS!$Y$16:$Y$39))*$J548+$Z548)))</f>
        <v>#N/A</v>
      </c>
    </row>
    <row r="549" spans="1:37" ht="25.8" hidden="1" x14ac:dyDescent="0.4">
      <c r="A549" s="41"/>
      <c r="B549" s="33">
        <f>_xlfn.XLOOKUP($A549,'[1]DATOS PBI Artículos'!A:A,'[1]DATOS PBI Artículos'!B:B)</f>
        <v>0</v>
      </c>
      <c r="C549" s="33">
        <f>_xlfn.XLOOKUP($A549,'[1]DATOS PBI Artículos'!A:A,'[1]DATOS PBI Artículos'!C:C)</f>
        <v>0</v>
      </c>
      <c r="D549" s="33">
        <f>_xlfn.XLOOKUP(A549,'[1]DATOS PBI Artículos'!A:A,'[1]DATOS PBI Artículos'!T:T)</f>
        <v>0</v>
      </c>
      <c r="E549" s="34">
        <f>IF(_xlfn.XLOOKUP($A549,'[1]DATOS PBI Artículos'!A:A,'[1]DATOS PBI Artículos'!AK:AK)="",_xlfn.XLOOKUP($A549,'[1]DATOS PBI Artículos'!A:A,'[1]DATOS PBI Artículos'!AJ:AJ),_xlfn.XLOOKUP($A549,'[1]DATOS PBI Artículos'!A:A,'[1]DATOS PBI Artículos'!AK:AK))</f>
        <v>0</v>
      </c>
      <c r="F549" s="35">
        <f>_xlfn.XLOOKUP($A549,'[1]DATOS PBI Artículos'!A:A,'[1]DATOS PBI Artículos'!AP:AP)</f>
        <v>0</v>
      </c>
      <c r="G549" s="34">
        <f>_xlfn.XLOOKUP($A549,'[1]DATOS PBI Artículos'!A:A,'[1]DATOS PBI Artículos'!AR:AR)</f>
        <v>0</v>
      </c>
      <c r="H549" s="34">
        <f>_xlfn.XLOOKUP($A549,'[1]DATOS PBI Artículos'!A:A,'[1]DATOS PBI Artículos'!AT:AT)</f>
        <v>0</v>
      </c>
      <c r="I549" s="34">
        <f>_xlfn.XLOOKUP($A549,'[1]DATOS PBI Artículos'!A:A,'[1]DATOS PBI Artículos'!AS:AS)</f>
        <v>0</v>
      </c>
      <c r="J549" s="35">
        <f>IF(COUNTIF([1]CRITERIOS!$F$179:$F$199,$A549)&gt;=1,
 IF(O549&lt;&gt;"",
    (O549/_xlfn.XLOOKUP(CONCATENATE(A549,L549),[1]MÁQUINAS!A:A,[1]MÁQUINAS!D:D))/24,
    (N549/_xlfn.XLOOKUP(CONCATENATE(A549,L549),[1]MÁQUINAS!A:A,[1]MÁQUINAS!D:D))/24),
  _xlfn.XLOOKUP($A549,'[1]DATOS PBI Artículos'!A:A,'[1]DATOS PBI Artículos'!AU:AU))</f>
        <v>0</v>
      </c>
      <c r="K549" s="36">
        <f>_xlfn.XLOOKUP($A549,'[1]DATOS PBI Artículos'!A:A,'[1]DATOS PBI Artículos'!AV:AV)</f>
        <v>0</v>
      </c>
      <c r="L549" s="33">
        <f>_xlfn.XLOOKUP(A549,[1]MÁQUINAS!B:B,[1]MÁQUINAS!C:C)</f>
        <v>0</v>
      </c>
      <c r="M549" s="34">
        <f t="array" ref="M549">_xlfn.XLOOKUP(A549,'[1]DATOS PBI Artículos'!A:A,'[1]DATOS PBI Artículos'!AX:$AX)</f>
        <v>0</v>
      </c>
      <c r="N549" s="37" t="e">
        <f>IF(I549="DV",
E549,
IF(COUNTIF([1]CRITERIOS!$I$179:$I$199,$A549)&gt;=1,
_xlfn.XLOOKUP($A549,[1]CRITERIOS!$I$179:$I$199,[1]CRITERIOS!$J$179:$J$199),
IF(COUNTIF([1]CRITERIOS!$L$179:$L$199,$A549)&gt;=1,
_xlfn.CEILING.MATH(IF($M549&gt;$E549,
$E549,
IF($M549&lt;$E549/ROUNDDOWN([1]CRITERIOS!$M$16/_xlfn.XLOOKUP($C549,[1]CRITERIOS!$K$25:$K$42,[1]CRITERIOS!$M$25:$M$42),
1),
E549/ROUNDDOWN([1]CRITERIOS!$M$16/_xlfn.XLOOKUP($C549,[1]CRITERIOS!$K$25:$K$42,[1]CRITERIOS!$M$25:$M$42),
1),
$M549)),
_xlfn.XLOOKUP($A549,[1]CRITERIOS!$L$179:$L$200,[1]CRITERIOS!$M$179:$M$200)),
_xlfn.CEILING.MATH(IF($M549&gt;$E549,
$E549,
IF($M549&lt;$E549/ROUNDDOWN([1]CRITERIOS!$M$16/_xlfn.XLOOKUP($C549,[1]CRITERIOS!$K$25:$K$42,[1]CRITERIOS!$M$25:$M$42),
1),
E549/ROUNDDOWN([1]CRITERIOS!$M$16/_xlfn.XLOOKUP($C549,[1]CRITERIOS!$K$25:$K$42,[1]CRITERIOS!$M$25:$M$42),
1),
$M549)),_xlfn.XLOOKUP(A549,'[1]DATOS PBI Artículos'!A:A,'[1]DATOS PBI Artículos'!Z:Z
)))))</f>
        <v>#N/A</v>
      </c>
      <c r="Q549" s="38" t="e">
        <f>IF(AND(O549="",N549=0),
0,
   IF(COUNTIF([1]CRITERIOS!$F$179:$F$199,$A549)&gt;=1,
   1,
   IF(R549="MTO",
      $D549,
      ROUNDUP(
                    IF(($E549-SUMIF('[1]DATOS PBI Artículos'!A:A,A549,'[1]DATOS PBI Artículos'!X:X)+($V549-_xlfn.XLOOKUP(A549,'[1]DATOS PBI Artículos'!A:A,'[1]DATOS PBI Artículos'!W:W)))&lt;0,
                    0,
                    IF(($E549-SUMIF('[1]DATOS PBI Artículos'!A:A,A549,'[1]DATOS PBI Artículos'!X:X)+$V549-_xlfn.XLOOKUP($A549,'[1]DATOS PBI Artículos'!A:A,'[1]DATOS PBI Artículos'!W:W))/IF($O549="",$N549,$O549)&gt;ROUNDUP([1]CRITERIOS!$M$16/(IF(COUNTIF([1]CRITERIOS!$BG$11:$BG$201,L549)&gt;=1,_xlfn.XLOOKUP($C549,[1]CRITERIOS!$K$25:$K$42,[1]CRITERIOS!$M$25:$M$42),_xlfn.XLOOKUP($C549,[1]CRITERIOS!$K$25:$K$42,[1]CRITERIOS!$M$25:$M$42))),0),
                    ROUNDUP([1]CRITERIOS!$M$16/(IF(COUNTIF([1]CRITERIOS!$BG$11:$BG$201,$L549)&gt;=1,_xlfn.XLOOKUP($C549,[1]CRITERIOS!$K$25:$K$42,[1]CRITERIOS!$M$25:$M$42),_xlfn.XLOOKUP($C549,[1]CRITERIOS!$K$25:$K$42,[1]CRITERIOS!$M$25:$M$42))),0),
                    (E549+V549-SUMIF('[1]DATOS PBI Artículos'!A:A,A549,'[1]DATOS PBI Artículos'!X:X)-_xlfn.XLOOKUP(A549,'[1]DATOS PBI Artículos'!A:A,'[1]DATOS PBI Artículos'!W:W))/IF($O549="",$N549,$O549))),0))))</f>
        <v>#N/A</v>
      </c>
      <c r="R549" s="33" t="e">
        <f>IF(U549&lt;&gt;"",U549,IF(F549="DV","MTO",IF(N549=0,"MTO",_xlfn.XLOOKUP(CONCATENATE(S549,T549),[1]CRITERIOS!$K$160:$K$168,[1]CRITERIOS!$N$160:$N$168))))</f>
        <v>#N/A</v>
      </c>
      <c r="S549" s="33" t="e">
        <f>IF(G549="DV","MTO",IF(N549=0,"MTO",IF(OR(AND(N549=0,O549=""),IF(O549="",G549/N549,G549/O549)&gt;[1]CRITERIOS!$G$163),"MTO",IF(IF(O549="",G549/N549,G549/O549)&lt;[1]CRITERIOS!$H$161,"MTS","MTOS"))))</f>
        <v>#N/A</v>
      </c>
      <c r="T549" s="33" t="e">
        <f>IF(F549="DV","MTO",IF(OR(AND($N549=0,O549=""),$F549/$J549&gt;[1]CRITERIOS!$G$170,$F549="DV"),"MTO",IF($F549/$J549&lt;[1]CRITERIOS!$H$168,"MTS","MTOS")))</f>
        <v>#N/A</v>
      </c>
      <c r="V549" s="34" t="e">
        <f t="shared" si="28"/>
        <v>#N/A</v>
      </c>
      <c r="X549" s="34" t="e">
        <f t="shared" si="26"/>
        <v>#N/A</v>
      </c>
      <c r="Y549" s="34" t="e">
        <f t="shared" si="27"/>
        <v>#N/A</v>
      </c>
      <c r="Z549" s="34" t="e">
        <f>IF($R549="MTO",
0,
($H549+$K549*($E549/[1]CRITERIOS!$M$16))/[1]CRITERIOS!$X$48)</f>
        <v>#N/A</v>
      </c>
      <c r="AA549" s="34" t="e">
        <f>ROUNDUP(($Y549/_xlfn.XLOOKUP($A549,'[1]DATOS PBI Artículos'!$A$4:$A$4,'[1]DATOS PBI Artículos'!$Z$4:$Z$4))/_xlfn.XLOOKUP(_xlfn.XLOOKUP($A549,'[1]DATOS PBI Artículos'!$A$4:$A$4,'[1]DATOS PBI Artículos'!$Y$4:$Y$4),[1]CRITERIOS!$P$79:$P$123,[1]CRITERIOS!$S$79:$S$123,),0)</f>
        <v>#N/A</v>
      </c>
      <c r="AB549" s="33" t="e">
        <f t="array" ref="AB549">IF((E549+V549-_xlfn.XLOOKUP(A549,'[1]DATOS PBI Artículos'!$A$4:$A$4,'[1]DATOS PBI Artículos'!$W$4:$W$4))/N549&gt;ROUNDUP([1]CRITERIOS!$M$16/(IF(COUNTIF([1]CRITERIOS!$BG$11:$BG$201,L549)&gt;=1,_xlfn.XLOOKUP(ARTÍCULOS!L549,[1]CRITERIOS!$BG$11:$BG$201,[1]CRITERIOS!$BJ$11:$BJ$201),_xlfn.XLOOKUP(ARTÍCULOS!C549,[1]CRITERIOS!$K$25:$K$42,[1]CRITERIOS!$M$25:$M$42))),0),ROUNDUP([1]CRITERIOS!$M$16/(IF(COUNTIF([1]CRITERIOS!$BG$11:$BG$201,L549)&gt;=1,_xlfn.XLOOKUP(ARTÍCULOS!L549,[1]CRITERIOS!$BG$11:$BG$201:#REF!,[1]CRITERIOS!$BJ$11:$BJ$201),_xlfn.XLOOKUP(ARTÍCULOS!C549,[1]CRITERIOS!$K$25:$K$42,[1]CRITERIOS!$M$25:$M$42))),0),(E549+V549-_xlfn.XLOOKUP(A549,'[1]DATOS PBI Artículos'!$A$4:$A$4,'[1]DATOS PBI Artículos'!$W$4:$W$4))/N549)</f>
        <v>#N/A</v>
      </c>
      <c r="AC549" s="33" t="e">
        <f>IF(N549=0,"",(ROUNDUP((N549/2)/(_xlfn.XLOOKUP(A549,'[1]DATOS PBI Artículos'!$A$4:$A$4,'[1]DATOS PBI Artículos'!$Z$4:$Z$4)*_xlfn.XLOOKUP(_xlfn.XLOOKUP(A549,'[1]DATOS PBI Artículos'!$A$4:$A$4,'[1]DATOS PBI Artículos'!$Y$4:$Y$4),[1]CRITERIOS!$P$79:$P$123,[1]CRITERIOS!$S$79:$S$123)),0)*[1]CRITERIOS!$M$80*([1]CRITERIOS!$M$110/[1]CRITERIOS!$M$86)+(_xlfn.XLOOKUP(A549,'[1]DATOS PBI Artículos'!$A$4:$A$4,'[1]DATOS PBI Artículos'!$AA$4:$AA$4)*([1]CRITERIOS!$M$95+[1]CRITERIOS!$M$98)))/N549)</f>
        <v>#N/A</v>
      </c>
      <c r="AD549" s="33" t="e">
        <f>IF(N549=0,"",(ROUNDUP((N549/2)/(_xlfn.XLOOKUP(A549,'[1]DATOS PBI Artículos'!$A$4:$A$4,'[1]DATOS PBI Artículos'!$Z$4:$Z$4)*_xlfn.XLOOKUP(_xlfn.XLOOKUP(A549,'[1]DATOS PBI Artículos'!$A$4:$A$4,'[1]DATOS PBI Artículos'!$Y$4:$Y$4),[1]CRITERIOS!$P$79:$P$123,[1]CRITERIOS!$S$79:$S$123)),0)*[1]CRITERIOS!$M$80*([1]CRITERIOS!$M$89*[1]CRITERIOS!$M$92)+((_xlfn.XLOOKUP(A549,'[1]DATOS PBI Artículos'!$A$4:$A$4,'[1]DATOS PBI Artículos'!$AA$4:$AA$4)/2)*([1]CRITERIOS!$M$95+[1]CRITERIOS!$M$98)))/N549)</f>
        <v>#N/A</v>
      </c>
      <c r="AE549" s="39" t="e">
        <f>IF($R549="MTO","",
IF($H549=0,ROUNDUP(((_xlfn.XLOOKUP($A549,'[1]DATOS PBI Artículos'!$A:$A,'[1]DATOS PBI Artículos'!$AL:$AL))/(_xlfn.XLOOKUP($AF$1,[1]CRITERIOS!$S$16:$S$39,[1]CRITERIOS!$Y$16:$Y$39))*$J549+$Z549)/$G549,0)*$G549,
((_xlfn.XLOOKUP($A549,'[1]DATOS PBI Artículos'!$A:$A,'[1]DATOS PBI Artículos'!$AL:$AL))/(_xlfn.XLOOKUP($AF$1,[1]CRITERIOS!$S$16:$S$39,[1]CRITERIOS!$Y$16:$Y$39))*$J549+$Z549)))</f>
        <v>#N/A</v>
      </c>
      <c r="AG549" s="39" t="e">
        <f>IF($R549="MTO","",
IF($H549=0,ROUNDUP(((_xlfn.XLOOKUP($A549,'[1]DATOS PBI Artículos'!$A:$A,'[1]DATOS PBI Artículos'!$AM:$AM))/(_xlfn.XLOOKUP($AH$1,[1]CRITERIOS!$S$16:$S$39,[1]CRITERIOS!$Y$16:$Y$39))*$J549+$Z549)/$G549,0)*$G549,
((_xlfn.XLOOKUP($A549,'[1]DATOS PBI Artículos'!$A:$A,'[1]DATOS PBI Artículos'!$AM:$AM))/(_xlfn.XLOOKUP($AH$1,[1]CRITERIOS!$S$16:$S$39,[1]CRITERIOS!$Y$16:$Y$39))*$J549+$Z549)))</f>
        <v>#N/A</v>
      </c>
      <c r="AI549" s="39" t="e">
        <f>IF($R549="MTO","",
IF($H549=0,ROUNDUP(((_xlfn.XLOOKUP($A549,'[1]DATOS PBI Artículos'!$A:$A,'[1]DATOS PBI Artículos'!$AN:$AN))/(_xlfn.XLOOKUP($AJ$1,[1]CRITERIOS!$S$16:$S$39,[1]CRITERIOS!$Y$16:$Y$39))*$J549+$Z549)/$G549,0)*$G549,
((_xlfn.XLOOKUP($A549,'[1]DATOS PBI Artículos'!$A:$A,'[1]DATOS PBI Artículos'!$AN:$AN))/(_xlfn.XLOOKUP($AJ$1,[1]CRITERIOS!$S$16:$S$39,[1]CRITERIOS!$Y$16:$Y$39))*$J549+$Z549)))</f>
        <v>#N/A</v>
      </c>
      <c r="AK549" s="39" t="e">
        <f>IF($R549="MTO","",
IF($H549=0,ROUNDUP(((_xlfn.XLOOKUP($A549,'[1]DATOS PBI Artículos'!$A:$A,'[1]DATOS PBI Artículos'!$AO:$AO))/(_xlfn.XLOOKUP($AL$1,[1]CRITERIOS!$S$16:$S$39,[1]CRITERIOS!$Y$16:$Y$39))*$J549+$Z549)/$G549,0)*$G549,
((_xlfn.XLOOKUP($A549,'[1]DATOS PBI Artículos'!$A:$A,'[1]DATOS PBI Artículos'!$AO:$AO))/(_xlfn.XLOOKUP($AL$1,[1]CRITERIOS!$S$16:$S$39,[1]CRITERIOS!$Y$16:$Y$39))*$J549+$Z549)))</f>
        <v>#N/A</v>
      </c>
    </row>
    <row r="550" spans="1:37" ht="25.8" hidden="1" x14ac:dyDescent="0.4">
      <c r="A550" s="41"/>
      <c r="B550" s="33">
        <f>_xlfn.XLOOKUP($A550,'[1]DATOS PBI Artículos'!A:A,'[1]DATOS PBI Artículos'!B:B)</f>
        <v>0</v>
      </c>
      <c r="C550" s="33">
        <f>_xlfn.XLOOKUP($A550,'[1]DATOS PBI Artículos'!A:A,'[1]DATOS PBI Artículos'!C:C)</f>
        <v>0</v>
      </c>
      <c r="D550" s="33">
        <f>_xlfn.XLOOKUP(A550,'[1]DATOS PBI Artículos'!A:A,'[1]DATOS PBI Artículos'!T:T)</f>
        <v>0</v>
      </c>
      <c r="E550" s="34">
        <f>IF(_xlfn.XLOOKUP($A550,'[1]DATOS PBI Artículos'!A:A,'[1]DATOS PBI Artículos'!AK:AK)="",_xlfn.XLOOKUP($A550,'[1]DATOS PBI Artículos'!A:A,'[1]DATOS PBI Artículos'!AJ:AJ),_xlfn.XLOOKUP($A550,'[1]DATOS PBI Artículos'!A:A,'[1]DATOS PBI Artículos'!AK:AK))</f>
        <v>0</v>
      </c>
      <c r="F550" s="35">
        <f>_xlfn.XLOOKUP($A550,'[1]DATOS PBI Artículos'!A:A,'[1]DATOS PBI Artículos'!AP:AP)</f>
        <v>0</v>
      </c>
      <c r="G550" s="34">
        <f>_xlfn.XLOOKUP($A550,'[1]DATOS PBI Artículos'!A:A,'[1]DATOS PBI Artículos'!AR:AR)</f>
        <v>0</v>
      </c>
      <c r="H550" s="34">
        <f>_xlfn.XLOOKUP($A550,'[1]DATOS PBI Artículos'!A:A,'[1]DATOS PBI Artículos'!AT:AT)</f>
        <v>0</v>
      </c>
      <c r="I550" s="34">
        <f>_xlfn.XLOOKUP($A550,'[1]DATOS PBI Artículos'!A:A,'[1]DATOS PBI Artículos'!AS:AS)</f>
        <v>0</v>
      </c>
      <c r="J550" s="35">
        <f>IF(COUNTIF([1]CRITERIOS!$F$179:$F$199,$A550)&gt;=1,
 IF(O550&lt;&gt;"",
    (O550/_xlfn.XLOOKUP(CONCATENATE(A550,L550),[1]MÁQUINAS!A:A,[1]MÁQUINAS!D:D))/24,
    (N550/_xlfn.XLOOKUP(CONCATENATE(A550,L550),[1]MÁQUINAS!A:A,[1]MÁQUINAS!D:D))/24),
  _xlfn.XLOOKUP($A550,'[1]DATOS PBI Artículos'!A:A,'[1]DATOS PBI Artículos'!AU:AU))</f>
        <v>0</v>
      </c>
      <c r="K550" s="36">
        <f>_xlfn.XLOOKUP($A550,'[1]DATOS PBI Artículos'!A:A,'[1]DATOS PBI Artículos'!AV:AV)</f>
        <v>0</v>
      </c>
      <c r="L550" s="33">
        <f>_xlfn.XLOOKUP(A550,[1]MÁQUINAS!B:B,[1]MÁQUINAS!C:C)</f>
        <v>0</v>
      </c>
      <c r="M550" s="34">
        <f t="array" ref="M550">_xlfn.XLOOKUP(A550,'[1]DATOS PBI Artículos'!A:A,'[1]DATOS PBI Artículos'!AX:$AX)</f>
        <v>0</v>
      </c>
      <c r="N550" s="37" t="e">
        <f>IF(I550="DV",
E550,
IF(COUNTIF([1]CRITERIOS!$I$179:$I$199,$A550)&gt;=1,
_xlfn.XLOOKUP($A550,[1]CRITERIOS!$I$179:$I$199,[1]CRITERIOS!$J$179:$J$199),
IF(COUNTIF([1]CRITERIOS!$L$179:$L$199,$A550)&gt;=1,
_xlfn.CEILING.MATH(IF($M550&gt;$E550,
$E550,
IF($M550&lt;$E550/ROUNDDOWN([1]CRITERIOS!$M$16/_xlfn.XLOOKUP($C550,[1]CRITERIOS!$K$25:$K$42,[1]CRITERIOS!$M$25:$M$42),
1),
E550/ROUNDDOWN([1]CRITERIOS!$M$16/_xlfn.XLOOKUP($C550,[1]CRITERIOS!$K$25:$K$42,[1]CRITERIOS!$M$25:$M$42),
1),
$M550)),
_xlfn.XLOOKUP($A550,[1]CRITERIOS!$L$179:$L$200,[1]CRITERIOS!$M$179:$M$200)),
_xlfn.CEILING.MATH(IF($M550&gt;$E550,
$E550,
IF($M550&lt;$E550/ROUNDDOWN([1]CRITERIOS!$M$16/_xlfn.XLOOKUP($C550,[1]CRITERIOS!$K$25:$K$42,[1]CRITERIOS!$M$25:$M$42),
1),
E550/ROUNDDOWN([1]CRITERIOS!$M$16/_xlfn.XLOOKUP($C550,[1]CRITERIOS!$K$25:$K$42,[1]CRITERIOS!$M$25:$M$42),
1),
$M550)),_xlfn.XLOOKUP(A550,'[1]DATOS PBI Artículos'!A:A,'[1]DATOS PBI Artículos'!Z:Z
)))))</f>
        <v>#N/A</v>
      </c>
      <c r="Q550" s="38" t="e">
        <f>IF(AND(O550="",N550=0),
0,
   IF(COUNTIF([1]CRITERIOS!$F$179:$F$199,$A550)&gt;=1,
   1,
   IF(R550="MTO",
      $D550,
      ROUNDUP(
                    IF(($E550-SUMIF('[1]DATOS PBI Artículos'!A:A,A550,'[1]DATOS PBI Artículos'!X:X)+($V550-_xlfn.XLOOKUP(A550,'[1]DATOS PBI Artículos'!A:A,'[1]DATOS PBI Artículos'!W:W)))&lt;0,
                    0,
                    IF(($E550-SUMIF('[1]DATOS PBI Artículos'!A:A,A550,'[1]DATOS PBI Artículos'!X:X)+$V550-_xlfn.XLOOKUP($A550,'[1]DATOS PBI Artículos'!A:A,'[1]DATOS PBI Artículos'!W:W))/IF($O550="",$N550,$O550)&gt;ROUNDUP([1]CRITERIOS!$M$16/(IF(COUNTIF([1]CRITERIOS!$BG$11:$BG$201,L550)&gt;=1,_xlfn.XLOOKUP($C550,[1]CRITERIOS!$K$25:$K$42,[1]CRITERIOS!$M$25:$M$42),_xlfn.XLOOKUP($C550,[1]CRITERIOS!$K$25:$K$42,[1]CRITERIOS!$M$25:$M$42))),0),
                    ROUNDUP([1]CRITERIOS!$M$16/(IF(COUNTIF([1]CRITERIOS!$BG$11:$BG$201,$L550)&gt;=1,_xlfn.XLOOKUP($C550,[1]CRITERIOS!$K$25:$K$42,[1]CRITERIOS!$M$25:$M$42),_xlfn.XLOOKUP($C550,[1]CRITERIOS!$K$25:$K$42,[1]CRITERIOS!$M$25:$M$42))),0),
                    (E550+V550-SUMIF('[1]DATOS PBI Artículos'!A:A,A550,'[1]DATOS PBI Artículos'!X:X)-_xlfn.XLOOKUP(A550,'[1]DATOS PBI Artículos'!A:A,'[1]DATOS PBI Artículos'!W:W))/IF($O550="",$N550,$O550))),0))))</f>
        <v>#N/A</v>
      </c>
      <c r="R550" s="33" t="e">
        <f>IF(U550&lt;&gt;"",U550,IF(F550="DV","MTO",IF(N550=0,"MTO",_xlfn.XLOOKUP(CONCATENATE(S550,T550),[1]CRITERIOS!$K$160:$K$168,[1]CRITERIOS!$N$160:$N$168))))</f>
        <v>#N/A</v>
      </c>
      <c r="S550" s="33" t="e">
        <f>IF(G550="DV","MTO",IF(N550=0,"MTO",IF(OR(AND(N550=0,O550=""),IF(O550="",G550/N550,G550/O550)&gt;[1]CRITERIOS!$G$163),"MTO",IF(IF(O550="",G550/N550,G550/O550)&lt;[1]CRITERIOS!$H$161,"MTS","MTOS"))))</f>
        <v>#N/A</v>
      </c>
      <c r="T550" s="33" t="e">
        <f>IF(F550="DV","MTO",IF(OR(AND($N550=0,O550=""),$F550/$J550&gt;[1]CRITERIOS!$G$170,$F550="DV"),"MTO",IF($F550/$J550&lt;[1]CRITERIOS!$H$168,"MTS","MTOS")))</f>
        <v>#N/A</v>
      </c>
      <c r="V550" s="34" t="e">
        <f t="shared" si="28"/>
        <v>#N/A</v>
      </c>
      <c r="X550" s="34" t="e">
        <f t="shared" si="26"/>
        <v>#N/A</v>
      </c>
      <c r="Y550" s="34" t="e">
        <f t="shared" si="27"/>
        <v>#N/A</v>
      </c>
      <c r="Z550" s="34" t="e">
        <f>IF($R550="MTO",
0,
($H550+$K550*($E550/[1]CRITERIOS!$M$16))/[1]CRITERIOS!$X$48)</f>
        <v>#N/A</v>
      </c>
      <c r="AA550" s="34" t="e">
        <f>ROUNDUP(($Y550/_xlfn.XLOOKUP($A550,'[1]DATOS PBI Artículos'!$A$4:$A$4,'[1]DATOS PBI Artículos'!$Z$4:$Z$4))/_xlfn.XLOOKUP(_xlfn.XLOOKUP($A550,'[1]DATOS PBI Artículos'!$A$4:$A$4,'[1]DATOS PBI Artículos'!$Y$4:$Y$4),[1]CRITERIOS!$P$79:$P$123,[1]CRITERIOS!$S$79:$S$123,),0)</f>
        <v>#N/A</v>
      </c>
      <c r="AB550" s="33" t="e">
        <f t="array" ref="AB550">IF((E550+V550-_xlfn.XLOOKUP(A550,'[1]DATOS PBI Artículos'!$A$4:$A$4,'[1]DATOS PBI Artículos'!$W$4:$W$4))/N550&gt;ROUNDUP([1]CRITERIOS!$M$16/(IF(COUNTIF([1]CRITERIOS!$BG$11:$BG$201,L550)&gt;=1,_xlfn.XLOOKUP(ARTÍCULOS!L550,[1]CRITERIOS!$BG$11:$BG$201,[1]CRITERIOS!$BJ$11:$BJ$201),_xlfn.XLOOKUP(ARTÍCULOS!C550,[1]CRITERIOS!$K$25:$K$42,[1]CRITERIOS!$M$25:$M$42))),0),ROUNDUP([1]CRITERIOS!$M$16/(IF(COUNTIF([1]CRITERIOS!$BG$11:$BG$201,L550)&gt;=1,_xlfn.XLOOKUP(ARTÍCULOS!L550,[1]CRITERIOS!$BG$11:$BG$201:#REF!,[1]CRITERIOS!$BJ$11:$BJ$201),_xlfn.XLOOKUP(ARTÍCULOS!C550,[1]CRITERIOS!$K$25:$K$42,[1]CRITERIOS!$M$25:$M$42))),0),(E550+V550-_xlfn.XLOOKUP(A550,'[1]DATOS PBI Artículos'!$A$4:$A$4,'[1]DATOS PBI Artículos'!$W$4:$W$4))/N550)</f>
        <v>#N/A</v>
      </c>
      <c r="AC550" s="33" t="e">
        <f>IF(N550=0,"",(ROUNDUP((N550/2)/(_xlfn.XLOOKUP(A550,'[1]DATOS PBI Artículos'!$A$4:$A$4,'[1]DATOS PBI Artículos'!$Z$4:$Z$4)*_xlfn.XLOOKUP(_xlfn.XLOOKUP(A550,'[1]DATOS PBI Artículos'!$A$4:$A$4,'[1]DATOS PBI Artículos'!$Y$4:$Y$4),[1]CRITERIOS!$P$79:$P$123,[1]CRITERIOS!$S$79:$S$123)),0)*[1]CRITERIOS!$M$80*([1]CRITERIOS!$M$110/[1]CRITERIOS!$M$86)+(_xlfn.XLOOKUP(A550,'[1]DATOS PBI Artículos'!$A$4:$A$4,'[1]DATOS PBI Artículos'!$AA$4:$AA$4)*([1]CRITERIOS!$M$95+[1]CRITERIOS!$M$98)))/N550)</f>
        <v>#N/A</v>
      </c>
      <c r="AD550" s="33" t="e">
        <f>IF(N550=0,"",(ROUNDUP((N550/2)/(_xlfn.XLOOKUP(A550,'[1]DATOS PBI Artículos'!$A$4:$A$4,'[1]DATOS PBI Artículos'!$Z$4:$Z$4)*_xlfn.XLOOKUP(_xlfn.XLOOKUP(A550,'[1]DATOS PBI Artículos'!$A$4:$A$4,'[1]DATOS PBI Artículos'!$Y$4:$Y$4),[1]CRITERIOS!$P$79:$P$123,[1]CRITERIOS!$S$79:$S$123)),0)*[1]CRITERIOS!$M$80*([1]CRITERIOS!$M$89*[1]CRITERIOS!$M$92)+((_xlfn.XLOOKUP(A550,'[1]DATOS PBI Artículos'!$A$4:$A$4,'[1]DATOS PBI Artículos'!$AA$4:$AA$4)/2)*([1]CRITERIOS!$M$95+[1]CRITERIOS!$M$98)))/N550)</f>
        <v>#N/A</v>
      </c>
      <c r="AE550" s="39" t="e">
        <f>IF($R550="MTO","",
IF($H550=0,ROUNDUP(((_xlfn.XLOOKUP($A550,'[1]DATOS PBI Artículos'!$A:$A,'[1]DATOS PBI Artículos'!$AL:$AL))/(_xlfn.XLOOKUP($AF$1,[1]CRITERIOS!$S$16:$S$39,[1]CRITERIOS!$Y$16:$Y$39))*$J550+$Z550)/$G550,0)*$G550,
((_xlfn.XLOOKUP($A550,'[1]DATOS PBI Artículos'!$A:$A,'[1]DATOS PBI Artículos'!$AL:$AL))/(_xlfn.XLOOKUP($AF$1,[1]CRITERIOS!$S$16:$S$39,[1]CRITERIOS!$Y$16:$Y$39))*$J550+$Z550)))</f>
        <v>#N/A</v>
      </c>
      <c r="AG550" s="39" t="e">
        <f>IF($R550="MTO","",
IF($H550=0,ROUNDUP(((_xlfn.XLOOKUP($A550,'[1]DATOS PBI Artículos'!$A:$A,'[1]DATOS PBI Artículos'!$AM:$AM))/(_xlfn.XLOOKUP($AH$1,[1]CRITERIOS!$S$16:$S$39,[1]CRITERIOS!$Y$16:$Y$39))*$J550+$Z550)/$G550,0)*$G550,
((_xlfn.XLOOKUP($A550,'[1]DATOS PBI Artículos'!$A:$A,'[1]DATOS PBI Artículos'!$AM:$AM))/(_xlfn.XLOOKUP($AH$1,[1]CRITERIOS!$S$16:$S$39,[1]CRITERIOS!$Y$16:$Y$39))*$J550+$Z550)))</f>
        <v>#N/A</v>
      </c>
      <c r="AI550" s="39" t="e">
        <f>IF($R550="MTO","",
IF($H550=0,ROUNDUP(((_xlfn.XLOOKUP($A550,'[1]DATOS PBI Artículos'!$A:$A,'[1]DATOS PBI Artículos'!$AN:$AN))/(_xlfn.XLOOKUP($AJ$1,[1]CRITERIOS!$S$16:$S$39,[1]CRITERIOS!$Y$16:$Y$39))*$J550+$Z550)/$G550,0)*$G550,
((_xlfn.XLOOKUP($A550,'[1]DATOS PBI Artículos'!$A:$A,'[1]DATOS PBI Artículos'!$AN:$AN))/(_xlfn.XLOOKUP($AJ$1,[1]CRITERIOS!$S$16:$S$39,[1]CRITERIOS!$Y$16:$Y$39))*$J550+$Z550)))</f>
        <v>#N/A</v>
      </c>
      <c r="AK550" s="39" t="e">
        <f>IF($R550="MTO","",
IF($H550=0,ROUNDUP(((_xlfn.XLOOKUP($A550,'[1]DATOS PBI Artículos'!$A:$A,'[1]DATOS PBI Artículos'!$AO:$AO))/(_xlfn.XLOOKUP($AL$1,[1]CRITERIOS!$S$16:$S$39,[1]CRITERIOS!$Y$16:$Y$39))*$J550+$Z550)/$G550,0)*$G550,
((_xlfn.XLOOKUP($A550,'[1]DATOS PBI Artículos'!$A:$A,'[1]DATOS PBI Artículos'!$AO:$AO))/(_xlfn.XLOOKUP($AL$1,[1]CRITERIOS!$S$16:$S$39,[1]CRITERIOS!$Y$16:$Y$39))*$J550+$Z550)))</f>
        <v>#N/A</v>
      </c>
    </row>
    <row r="551" spans="1:37" ht="25.8" hidden="1" x14ac:dyDescent="0.4">
      <c r="A551" s="41"/>
      <c r="B551" s="33">
        <f>_xlfn.XLOOKUP($A551,'[1]DATOS PBI Artículos'!A:A,'[1]DATOS PBI Artículos'!B:B)</f>
        <v>0</v>
      </c>
      <c r="C551" s="33">
        <f>_xlfn.XLOOKUP($A551,'[1]DATOS PBI Artículos'!A:A,'[1]DATOS PBI Artículos'!C:C)</f>
        <v>0</v>
      </c>
      <c r="D551" s="33">
        <f>_xlfn.XLOOKUP(A551,'[1]DATOS PBI Artículos'!A:A,'[1]DATOS PBI Artículos'!T:T)</f>
        <v>0</v>
      </c>
      <c r="E551" s="34">
        <f>IF(_xlfn.XLOOKUP($A551,'[1]DATOS PBI Artículos'!A:A,'[1]DATOS PBI Artículos'!AK:AK)="",_xlfn.XLOOKUP($A551,'[1]DATOS PBI Artículos'!A:A,'[1]DATOS PBI Artículos'!AJ:AJ),_xlfn.XLOOKUP($A551,'[1]DATOS PBI Artículos'!A:A,'[1]DATOS PBI Artículos'!AK:AK))</f>
        <v>0</v>
      </c>
      <c r="F551" s="35">
        <f>_xlfn.XLOOKUP($A551,'[1]DATOS PBI Artículos'!A:A,'[1]DATOS PBI Artículos'!AP:AP)</f>
        <v>0</v>
      </c>
      <c r="G551" s="34">
        <f>_xlfn.XLOOKUP($A551,'[1]DATOS PBI Artículos'!A:A,'[1]DATOS PBI Artículos'!AR:AR)</f>
        <v>0</v>
      </c>
      <c r="H551" s="34">
        <f>_xlfn.XLOOKUP($A551,'[1]DATOS PBI Artículos'!A:A,'[1]DATOS PBI Artículos'!AT:AT)</f>
        <v>0</v>
      </c>
      <c r="I551" s="34">
        <f>_xlfn.XLOOKUP($A551,'[1]DATOS PBI Artículos'!A:A,'[1]DATOS PBI Artículos'!AS:AS)</f>
        <v>0</v>
      </c>
      <c r="J551" s="35">
        <f>IF(COUNTIF([1]CRITERIOS!$F$179:$F$199,$A551)&gt;=1,
 IF(O551&lt;&gt;"",
    (O551/_xlfn.XLOOKUP(CONCATENATE(A551,L551),[1]MÁQUINAS!A:A,[1]MÁQUINAS!D:D))/24,
    (N551/_xlfn.XLOOKUP(CONCATENATE(A551,L551),[1]MÁQUINAS!A:A,[1]MÁQUINAS!D:D))/24),
  _xlfn.XLOOKUP($A551,'[1]DATOS PBI Artículos'!A:A,'[1]DATOS PBI Artículos'!AU:AU))</f>
        <v>0</v>
      </c>
      <c r="K551" s="36">
        <f>_xlfn.XLOOKUP($A551,'[1]DATOS PBI Artículos'!A:A,'[1]DATOS PBI Artículos'!AV:AV)</f>
        <v>0</v>
      </c>
      <c r="L551" s="33">
        <f>_xlfn.XLOOKUP(A551,[1]MÁQUINAS!B:B,[1]MÁQUINAS!C:C)</f>
        <v>0</v>
      </c>
      <c r="M551" s="34">
        <f t="array" ref="M551">_xlfn.XLOOKUP(A551,'[1]DATOS PBI Artículos'!A:A,'[1]DATOS PBI Artículos'!AX:$AX)</f>
        <v>0</v>
      </c>
      <c r="N551" s="37" t="e">
        <f>IF(I551="DV",
E551,
IF(COUNTIF([1]CRITERIOS!$I$179:$I$199,$A551)&gt;=1,
_xlfn.XLOOKUP($A551,[1]CRITERIOS!$I$179:$I$199,[1]CRITERIOS!$J$179:$J$199),
IF(COUNTIF([1]CRITERIOS!$L$179:$L$199,$A551)&gt;=1,
_xlfn.CEILING.MATH(IF($M551&gt;$E551,
$E551,
IF($M551&lt;$E551/ROUNDDOWN([1]CRITERIOS!$M$16/_xlfn.XLOOKUP($C551,[1]CRITERIOS!$K$25:$K$42,[1]CRITERIOS!$M$25:$M$42),
1),
E551/ROUNDDOWN([1]CRITERIOS!$M$16/_xlfn.XLOOKUP($C551,[1]CRITERIOS!$K$25:$K$42,[1]CRITERIOS!$M$25:$M$42),
1),
$M551)),
_xlfn.XLOOKUP($A551,[1]CRITERIOS!$L$179:$L$200,[1]CRITERIOS!$M$179:$M$200)),
_xlfn.CEILING.MATH(IF($M551&gt;$E551,
$E551,
IF($M551&lt;$E551/ROUNDDOWN([1]CRITERIOS!$M$16/_xlfn.XLOOKUP($C551,[1]CRITERIOS!$K$25:$K$42,[1]CRITERIOS!$M$25:$M$42),
1),
E551/ROUNDDOWN([1]CRITERIOS!$M$16/_xlfn.XLOOKUP($C551,[1]CRITERIOS!$K$25:$K$42,[1]CRITERIOS!$M$25:$M$42),
1),
$M551)),_xlfn.XLOOKUP(A551,'[1]DATOS PBI Artículos'!A:A,'[1]DATOS PBI Artículos'!Z:Z
)))))</f>
        <v>#N/A</v>
      </c>
      <c r="Q551" s="38" t="e">
        <f>IF(AND(O551="",N551=0),
0,
   IF(COUNTIF([1]CRITERIOS!$F$179:$F$199,$A551)&gt;=1,
   1,
   IF(R551="MTO",
      $D551,
      ROUNDUP(
                    IF(($E551-SUMIF('[1]DATOS PBI Artículos'!A:A,A551,'[1]DATOS PBI Artículos'!X:X)+($V551-_xlfn.XLOOKUP(A551,'[1]DATOS PBI Artículos'!A:A,'[1]DATOS PBI Artículos'!W:W)))&lt;0,
                    0,
                    IF(($E551-SUMIF('[1]DATOS PBI Artículos'!A:A,A551,'[1]DATOS PBI Artículos'!X:X)+$V551-_xlfn.XLOOKUP($A551,'[1]DATOS PBI Artículos'!A:A,'[1]DATOS PBI Artículos'!W:W))/IF($O551="",$N551,$O551)&gt;ROUNDUP([1]CRITERIOS!$M$16/(IF(COUNTIF([1]CRITERIOS!$BG$11:$BG$201,L551)&gt;=1,_xlfn.XLOOKUP($C551,[1]CRITERIOS!$K$25:$K$42,[1]CRITERIOS!$M$25:$M$42),_xlfn.XLOOKUP($C551,[1]CRITERIOS!$K$25:$K$42,[1]CRITERIOS!$M$25:$M$42))),0),
                    ROUNDUP([1]CRITERIOS!$M$16/(IF(COUNTIF([1]CRITERIOS!$BG$11:$BG$201,$L551)&gt;=1,_xlfn.XLOOKUP($C551,[1]CRITERIOS!$K$25:$K$42,[1]CRITERIOS!$M$25:$M$42),_xlfn.XLOOKUP($C551,[1]CRITERIOS!$K$25:$K$42,[1]CRITERIOS!$M$25:$M$42))),0),
                    (E551+V551-SUMIF('[1]DATOS PBI Artículos'!A:A,A551,'[1]DATOS PBI Artículos'!X:X)-_xlfn.XLOOKUP(A551,'[1]DATOS PBI Artículos'!A:A,'[1]DATOS PBI Artículos'!W:W))/IF($O551="",$N551,$O551))),0))))</f>
        <v>#N/A</v>
      </c>
      <c r="R551" s="33" t="e">
        <f>IF(U551&lt;&gt;"",U551,IF(F551="DV","MTO",IF(N551=0,"MTO",_xlfn.XLOOKUP(CONCATENATE(S551,T551),[1]CRITERIOS!$K$160:$K$168,[1]CRITERIOS!$N$160:$N$168))))</f>
        <v>#N/A</v>
      </c>
      <c r="S551" s="33" t="e">
        <f>IF(G551="DV","MTO",IF(N551=0,"MTO",IF(OR(AND(N551=0,O551=""),IF(O551="",G551/N551,G551/O551)&gt;[1]CRITERIOS!$G$163),"MTO",IF(IF(O551="",G551/N551,G551/O551)&lt;[1]CRITERIOS!$H$161,"MTS","MTOS"))))</f>
        <v>#N/A</v>
      </c>
      <c r="T551" s="33" t="e">
        <f>IF(F551="DV","MTO",IF(OR(AND($N551=0,O551=""),$F551/$J551&gt;[1]CRITERIOS!$G$170,$F551="DV"),"MTO",IF($F551/$J551&lt;[1]CRITERIOS!$H$168,"MTS","MTOS")))</f>
        <v>#N/A</v>
      </c>
      <c r="V551" s="34" t="e">
        <f t="shared" si="28"/>
        <v>#N/A</v>
      </c>
      <c r="X551" s="34" t="e">
        <f t="shared" si="26"/>
        <v>#N/A</v>
      </c>
      <c r="Y551" s="34" t="e">
        <f t="shared" si="27"/>
        <v>#N/A</v>
      </c>
      <c r="Z551" s="34" t="e">
        <f>IF($R551="MTO",
0,
($H551+$K551*($E551/[1]CRITERIOS!$M$16))/[1]CRITERIOS!$X$48)</f>
        <v>#N/A</v>
      </c>
      <c r="AA551" s="34" t="e">
        <f>ROUNDUP(($Y551/_xlfn.XLOOKUP($A551,'[1]DATOS PBI Artículos'!$A$4:$A$4,'[1]DATOS PBI Artículos'!$Z$4:$Z$4))/_xlfn.XLOOKUP(_xlfn.XLOOKUP($A551,'[1]DATOS PBI Artículos'!$A$4:$A$4,'[1]DATOS PBI Artículos'!$Y$4:$Y$4),[1]CRITERIOS!$P$79:$P$123,[1]CRITERIOS!$S$79:$S$123,),0)</f>
        <v>#N/A</v>
      </c>
      <c r="AB551" s="33" t="e">
        <f t="array" ref="AB551">IF((E551+V551-_xlfn.XLOOKUP(A551,'[1]DATOS PBI Artículos'!$A$4:$A$4,'[1]DATOS PBI Artículos'!$W$4:$W$4))/N551&gt;ROUNDUP([1]CRITERIOS!$M$16/(IF(COUNTIF([1]CRITERIOS!$BG$11:$BG$201,L551)&gt;=1,_xlfn.XLOOKUP(ARTÍCULOS!L551,[1]CRITERIOS!$BG$11:$BG$201,[1]CRITERIOS!$BJ$11:$BJ$201),_xlfn.XLOOKUP(ARTÍCULOS!C551,[1]CRITERIOS!$K$25:$K$42,[1]CRITERIOS!$M$25:$M$42))),0),ROUNDUP([1]CRITERIOS!$M$16/(IF(COUNTIF([1]CRITERIOS!$BG$11:$BG$201,L551)&gt;=1,_xlfn.XLOOKUP(ARTÍCULOS!L551,[1]CRITERIOS!$BG$11:$BG$201:#REF!,[1]CRITERIOS!$BJ$11:$BJ$201),_xlfn.XLOOKUP(ARTÍCULOS!C551,[1]CRITERIOS!$K$25:$K$42,[1]CRITERIOS!$M$25:$M$42))),0),(E551+V551-_xlfn.XLOOKUP(A551,'[1]DATOS PBI Artículos'!$A$4:$A$4,'[1]DATOS PBI Artículos'!$W$4:$W$4))/N551)</f>
        <v>#N/A</v>
      </c>
      <c r="AC551" s="33" t="e">
        <f>IF(N551=0,"",(ROUNDUP((N551/2)/(_xlfn.XLOOKUP(A551,'[1]DATOS PBI Artículos'!$A$4:$A$4,'[1]DATOS PBI Artículos'!$Z$4:$Z$4)*_xlfn.XLOOKUP(_xlfn.XLOOKUP(A551,'[1]DATOS PBI Artículos'!$A$4:$A$4,'[1]DATOS PBI Artículos'!$Y$4:$Y$4),[1]CRITERIOS!$P$79:$P$123,[1]CRITERIOS!$S$79:$S$123)),0)*[1]CRITERIOS!$M$80*([1]CRITERIOS!$M$110/[1]CRITERIOS!$M$86)+(_xlfn.XLOOKUP(A551,'[1]DATOS PBI Artículos'!$A$4:$A$4,'[1]DATOS PBI Artículos'!$AA$4:$AA$4)*([1]CRITERIOS!$M$95+[1]CRITERIOS!$M$98)))/N551)</f>
        <v>#N/A</v>
      </c>
      <c r="AD551" s="33" t="e">
        <f>IF(N551=0,"",(ROUNDUP((N551/2)/(_xlfn.XLOOKUP(A551,'[1]DATOS PBI Artículos'!$A$4:$A$4,'[1]DATOS PBI Artículos'!$Z$4:$Z$4)*_xlfn.XLOOKUP(_xlfn.XLOOKUP(A551,'[1]DATOS PBI Artículos'!$A$4:$A$4,'[1]DATOS PBI Artículos'!$Y$4:$Y$4),[1]CRITERIOS!$P$79:$P$123,[1]CRITERIOS!$S$79:$S$123)),0)*[1]CRITERIOS!$M$80*([1]CRITERIOS!$M$89*[1]CRITERIOS!$M$92)+((_xlfn.XLOOKUP(A551,'[1]DATOS PBI Artículos'!$A$4:$A$4,'[1]DATOS PBI Artículos'!$AA$4:$AA$4)/2)*([1]CRITERIOS!$M$95+[1]CRITERIOS!$M$98)))/N551)</f>
        <v>#N/A</v>
      </c>
      <c r="AE551" s="39" t="e">
        <f>IF($R551="MTO","",
IF($H551=0,ROUNDUP(((_xlfn.XLOOKUP($A551,'[1]DATOS PBI Artículos'!$A:$A,'[1]DATOS PBI Artículos'!$AL:$AL))/(_xlfn.XLOOKUP($AF$1,[1]CRITERIOS!$S$16:$S$39,[1]CRITERIOS!$Y$16:$Y$39))*$J551+$Z551)/$G551,0)*$G551,
((_xlfn.XLOOKUP($A551,'[1]DATOS PBI Artículos'!$A:$A,'[1]DATOS PBI Artículos'!$AL:$AL))/(_xlfn.XLOOKUP($AF$1,[1]CRITERIOS!$S$16:$S$39,[1]CRITERIOS!$Y$16:$Y$39))*$J551+$Z551)))</f>
        <v>#N/A</v>
      </c>
      <c r="AG551" s="39" t="e">
        <f>IF($R551="MTO","",
IF($H551=0,ROUNDUP(((_xlfn.XLOOKUP($A551,'[1]DATOS PBI Artículos'!$A:$A,'[1]DATOS PBI Artículos'!$AM:$AM))/(_xlfn.XLOOKUP($AH$1,[1]CRITERIOS!$S$16:$S$39,[1]CRITERIOS!$Y$16:$Y$39))*$J551+$Z551)/$G551,0)*$G551,
((_xlfn.XLOOKUP($A551,'[1]DATOS PBI Artículos'!$A:$A,'[1]DATOS PBI Artículos'!$AM:$AM))/(_xlfn.XLOOKUP($AH$1,[1]CRITERIOS!$S$16:$S$39,[1]CRITERIOS!$Y$16:$Y$39))*$J551+$Z551)))</f>
        <v>#N/A</v>
      </c>
      <c r="AI551" s="39" t="e">
        <f>IF($R551="MTO","",
IF($H551=0,ROUNDUP(((_xlfn.XLOOKUP($A551,'[1]DATOS PBI Artículos'!$A:$A,'[1]DATOS PBI Artículos'!$AN:$AN))/(_xlfn.XLOOKUP($AJ$1,[1]CRITERIOS!$S$16:$S$39,[1]CRITERIOS!$Y$16:$Y$39))*$J551+$Z551)/$G551,0)*$G551,
((_xlfn.XLOOKUP($A551,'[1]DATOS PBI Artículos'!$A:$A,'[1]DATOS PBI Artículos'!$AN:$AN))/(_xlfn.XLOOKUP($AJ$1,[1]CRITERIOS!$S$16:$S$39,[1]CRITERIOS!$Y$16:$Y$39))*$J551+$Z551)))</f>
        <v>#N/A</v>
      </c>
      <c r="AK551" s="39" t="e">
        <f>IF($R551="MTO","",
IF($H551=0,ROUNDUP(((_xlfn.XLOOKUP($A551,'[1]DATOS PBI Artículos'!$A:$A,'[1]DATOS PBI Artículos'!$AO:$AO))/(_xlfn.XLOOKUP($AL$1,[1]CRITERIOS!$S$16:$S$39,[1]CRITERIOS!$Y$16:$Y$39))*$J551+$Z551)/$G551,0)*$G551,
((_xlfn.XLOOKUP($A551,'[1]DATOS PBI Artículos'!$A:$A,'[1]DATOS PBI Artículos'!$AO:$AO))/(_xlfn.XLOOKUP($AL$1,[1]CRITERIOS!$S$16:$S$39,[1]CRITERIOS!$Y$16:$Y$39))*$J551+$Z551)))</f>
        <v>#N/A</v>
      </c>
    </row>
    <row r="552" spans="1:37" ht="25.8" hidden="1" x14ac:dyDescent="0.4">
      <c r="A552" s="41"/>
      <c r="B552" s="33">
        <f>_xlfn.XLOOKUP($A552,'[1]DATOS PBI Artículos'!A:A,'[1]DATOS PBI Artículos'!B:B)</f>
        <v>0</v>
      </c>
      <c r="C552" s="33">
        <f>_xlfn.XLOOKUP($A552,'[1]DATOS PBI Artículos'!A:A,'[1]DATOS PBI Artículos'!C:C)</f>
        <v>0</v>
      </c>
      <c r="D552" s="33">
        <f>_xlfn.XLOOKUP(A552,'[1]DATOS PBI Artículos'!A:A,'[1]DATOS PBI Artículos'!T:T)</f>
        <v>0</v>
      </c>
      <c r="E552" s="34">
        <f>IF(_xlfn.XLOOKUP($A552,'[1]DATOS PBI Artículos'!A:A,'[1]DATOS PBI Artículos'!AK:AK)="",_xlfn.XLOOKUP($A552,'[1]DATOS PBI Artículos'!A:A,'[1]DATOS PBI Artículos'!AJ:AJ),_xlfn.XLOOKUP($A552,'[1]DATOS PBI Artículos'!A:A,'[1]DATOS PBI Artículos'!AK:AK))</f>
        <v>0</v>
      </c>
      <c r="F552" s="35">
        <f>_xlfn.XLOOKUP($A552,'[1]DATOS PBI Artículos'!A:A,'[1]DATOS PBI Artículos'!AP:AP)</f>
        <v>0</v>
      </c>
      <c r="G552" s="34">
        <f>_xlfn.XLOOKUP($A552,'[1]DATOS PBI Artículos'!A:A,'[1]DATOS PBI Artículos'!AR:AR)</f>
        <v>0</v>
      </c>
      <c r="H552" s="34">
        <f>_xlfn.XLOOKUP($A552,'[1]DATOS PBI Artículos'!A:A,'[1]DATOS PBI Artículos'!AT:AT)</f>
        <v>0</v>
      </c>
      <c r="I552" s="34">
        <f>_xlfn.XLOOKUP($A552,'[1]DATOS PBI Artículos'!A:A,'[1]DATOS PBI Artículos'!AS:AS)</f>
        <v>0</v>
      </c>
      <c r="J552" s="35">
        <f>IF(COUNTIF([1]CRITERIOS!$F$179:$F$199,$A552)&gt;=1,
 IF(O552&lt;&gt;"",
    (O552/_xlfn.XLOOKUP(CONCATENATE(A552,L552),[1]MÁQUINAS!A:A,[1]MÁQUINAS!D:D))/24,
    (N552/_xlfn.XLOOKUP(CONCATENATE(A552,L552),[1]MÁQUINAS!A:A,[1]MÁQUINAS!D:D))/24),
  _xlfn.XLOOKUP($A552,'[1]DATOS PBI Artículos'!A:A,'[1]DATOS PBI Artículos'!AU:AU))</f>
        <v>0</v>
      </c>
      <c r="K552" s="36">
        <f>_xlfn.XLOOKUP($A552,'[1]DATOS PBI Artículos'!A:A,'[1]DATOS PBI Artículos'!AV:AV)</f>
        <v>0</v>
      </c>
      <c r="L552" s="33">
        <f>_xlfn.XLOOKUP(A552,[1]MÁQUINAS!B:B,[1]MÁQUINAS!C:C)</f>
        <v>0</v>
      </c>
      <c r="M552" s="34">
        <f t="array" ref="M552">_xlfn.XLOOKUP(A552,'[1]DATOS PBI Artículos'!A:A,'[1]DATOS PBI Artículos'!AX:$AX)</f>
        <v>0</v>
      </c>
      <c r="N552" s="37" t="e">
        <f>IF(I552="DV",
E552,
IF(COUNTIF([1]CRITERIOS!$I$179:$I$199,$A552)&gt;=1,
_xlfn.XLOOKUP($A552,[1]CRITERIOS!$I$179:$I$199,[1]CRITERIOS!$J$179:$J$199),
IF(COUNTIF([1]CRITERIOS!$L$179:$L$199,$A552)&gt;=1,
_xlfn.CEILING.MATH(IF($M552&gt;$E552,
$E552,
IF($M552&lt;$E552/ROUNDDOWN([1]CRITERIOS!$M$16/_xlfn.XLOOKUP($C552,[1]CRITERIOS!$K$25:$K$42,[1]CRITERIOS!$M$25:$M$42),
1),
E552/ROUNDDOWN([1]CRITERIOS!$M$16/_xlfn.XLOOKUP($C552,[1]CRITERIOS!$K$25:$K$42,[1]CRITERIOS!$M$25:$M$42),
1),
$M552)),
_xlfn.XLOOKUP($A552,[1]CRITERIOS!$L$179:$L$200,[1]CRITERIOS!$M$179:$M$200)),
_xlfn.CEILING.MATH(IF($M552&gt;$E552,
$E552,
IF($M552&lt;$E552/ROUNDDOWN([1]CRITERIOS!$M$16/_xlfn.XLOOKUP($C552,[1]CRITERIOS!$K$25:$K$42,[1]CRITERIOS!$M$25:$M$42),
1),
E552/ROUNDDOWN([1]CRITERIOS!$M$16/_xlfn.XLOOKUP($C552,[1]CRITERIOS!$K$25:$K$42,[1]CRITERIOS!$M$25:$M$42),
1),
$M552)),_xlfn.XLOOKUP(A552,'[1]DATOS PBI Artículos'!A:A,'[1]DATOS PBI Artículos'!Z:Z
)))))</f>
        <v>#N/A</v>
      </c>
      <c r="Q552" s="38" t="e">
        <f>IF(AND(O552="",N552=0),
0,
   IF(COUNTIF([1]CRITERIOS!$F$179:$F$199,$A552)&gt;=1,
   1,
   IF(R552="MTO",
      $D552,
      ROUNDUP(
                    IF(($E552-SUMIF('[1]DATOS PBI Artículos'!A:A,A552,'[1]DATOS PBI Artículos'!X:X)+($V552-_xlfn.XLOOKUP(A552,'[1]DATOS PBI Artículos'!A:A,'[1]DATOS PBI Artículos'!W:W)))&lt;0,
                    0,
                    IF(($E552-SUMIF('[1]DATOS PBI Artículos'!A:A,A552,'[1]DATOS PBI Artículos'!X:X)+$V552-_xlfn.XLOOKUP($A552,'[1]DATOS PBI Artículos'!A:A,'[1]DATOS PBI Artículos'!W:W))/IF($O552="",$N552,$O552)&gt;ROUNDUP([1]CRITERIOS!$M$16/(IF(COUNTIF([1]CRITERIOS!$BG$11:$BG$201,L552)&gt;=1,_xlfn.XLOOKUP($C552,[1]CRITERIOS!$K$25:$K$42,[1]CRITERIOS!$M$25:$M$42),_xlfn.XLOOKUP($C552,[1]CRITERIOS!$K$25:$K$42,[1]CRITERIOS!$M$25:$M$42))),0),
                    ROUNDUP([1]CRITERIOS!$M$16/(IF(COUNTIF([1]CRITERIOS!$BG$11:$BG$201,$L552)&gt;=1,_xlfn.XLOOKUP($C552,[1]CRITERIOS!$K$25:$K$42,[1]CRITERIOS!$M$25:$M$42),_xlfn.XLOOKUP($C552,[1]CRITERIOS!$K$25:$K$42,[1]CRITERIOS!$M$25:$M$42))),0),
                    (E552+V552-SUMIF('[1]DATOS PBI Artículos'!A:A,A552,'[1]DATOS PBI Artículos'!X:X)-_xlfn.XLOOKUP(A552,'[1]DATOS PBI Artículos'!A:A,'[1]DATOS PBI Artículos'!W:W))/IF($O552="",$N552,$O552))),0))))</f>
        <v>#N/A</v>
      </c>
      <c r="R552" s="33" t="e">
        <f>IF(U552&lt;&gt;"",U552,IF(F552="DV","MTO",IF(N552=0,"MTO",_xlfn.XLOOKUP(CONCATENATE(S552,T552),[1]CRITERIOS!$K$160:$K$168,[1]CRITERIOS!$N$160:$N$168))))</f>
        <v>#N/A</v>
      </c>
      <c r="S552" s="33" t="e">
        <f>IF(G552="DV","MTO",IF(N552=0,"MTO",IF(OR(AND(N552=0,O552=""),IF(O552="",G552/N552,G552/O552)&gt;[1]CRITERIOS!$G$163),"MTO",IF(IF(O552="",G552/N552,G552/O552)&lt;[1]CRITERIOS!$H$161,"MTS","MTOS"))))</f>
        <v>#N/A</v>
      </c>
      <c r="T552" s="33" t="e">
        <f>IF(F552="DV","MTO",IF(OR(AND($N552=0,O552=""),$F552/$J552&gt;[1]CRITERIOS!$G$170,$F552="DV"),"MTO",IF($F552/$J552&lt;[1]CRITERIOS!$H$168,"MTS","MTOS")))</f>
        <v>#N/A</v>
      </c>
      <c r="V552" s="34" t="e">
        <f t="shared" si="28"/>
        <v>#N/A</v>
      </c>
      <c r="X552" s="34" t="e">
        <f t="shared" si="26"/>
        <v>#N/A</v>
      </c>
      <c r="Y552" s="34" t="e">
        <f t="shared" si="27"/>
        <v>#N/A</v>
      </c>
      <c r="Z552" s="34" t="e">
        <f>IF($R552="MTO",
0,
($H552+$K552*($E552/[1]CRITERIOS!$M$16))/[1]CRITERIOS!$X$48)</f>
        <v>#N/A</v>
      </c>
      <c r="AA552" s="34" t="e">
        <f>ROUNDUP(($Y552/_xlfn.XLOOKUP($A552,'[1]DATOS PBI Artículos'!$A$4:$A$4,'[1]DATOS PBI Artículos'!$Z$4:$Z$4))/_xlfn.XLOOKUP(_xlfn.XLOOKUP($A552,'[1]DATOS PBI Artículos'!$A$4:$A$4,'[1]DATOS PBI Artículos'!$Y$4:$Y$4),[1]CRITERIOS!$P$79:$P$123,[1]CRITERIOS!$S$79:$S$123,),0)</f>
        <v>#N/A</v>
      </c>
      <c r="AB552" s="33" t="e">
        <f t="array" ref="AB552">IF((E552+V552-_xlfn.XLOOKUP(A552,'[1]DATOS PBI Artículos'!$A$4:$A$4,'[1]DATOS PBI Artículos'!$W$4:$W$4))/N552&gt;ROUNDUP([1]CRITERIOS!$M$16/(IF(COUNTIF([1]CRITERIOS!$BG$11:$BG$201,L552)&gt;=1,_xlfn.XLOOKUP(ARTÍCULOS!L552,[1]CRITERIOS!$BG$11:$BG$201,[1]CRITERIOS!$BJ$11:$BJ$201),_xlfn.XLOOKUP(ARTÍCULOS!C552,[1]CRITERIOS!$K$25:$K$42,[1]CRITERIOS!$M$25:$M$42))),0),ROUNDUP([1]CRITERIOS!$M$16/(IF(COUNTIF([1]CRITERIOS!$BG$11:$BG$201,L552)&gt;=1,_xlfn.XLOOKUP(ARTÍCULOS!L552,[1]CRITERIOS!$BG$11:$BG$201:#REF!,[1]CRITERIOS!$BJ$11:$BJ$201),_xlfn.XLOOKUP(ARTÍCULOS!C552,[1]CRITERIOS!$K$25:$K$42,[1]CRITERIOS!$M$25:$M$42))),0),(E552+V552-_xlfn.XLOOKUP(A552,'[1]DATOS PBI Artículos'!$A$4:$A$4,'[1]DATOS PBI Artículos'!$W$4:$W$4))/N552)</f>
        <v>#N/A</v>
      </c>
      <c r="AC552" s="33" t="e">
        <f>IF(N552=0,"",(ROUNDUP((N552/2)/(_xlfn.XLOOKUP(A552,'[1]DATOS PBI Artículos'!$A$4:$A$4,'[1]DATOS PBI Artículos'!$Z$4:$Z$4)*_xlfn.XLOOKUP(_xlfn.XLOOKUP(A552,'[1]DATOS PBI Artículos'!$A$4:$A$4,'[1]DATOS PBI Artículos'!$Y$4:$Y$4),[1]CRITERIOS!$P$79:$P$123,[1]CRITERIOS!$S$79:$S$123)),0)*[1]CRITERIOS!$M$80*([1]CRITERIOS!$M$110/[1]CRITERIOS!$M$86)+(_xlfn.XLOOKUP(A552,'[1]DATOS PBI Artículos'!$A$4:$A$4,'[1]DATOS PBI Artículos'!$AA$4:$AA$4)*([1]CRITERIOS!$M$95+[1]CRITERIOS!$M$98)))/N552)</f>
        <v>#N/A</v>
      </c>
      <c r="AD552" s="33" t="e">
        <f>IF(N552=0,"",(ROUNDUP((N552/2)/(_xlfn.XLOOKUP(A552,'[1]DATOS PBI Artículos'!$A$4:$A$4,'[1]DATOS PBI Artículos'!$Z$4:$Z$4)*_xlfn.XLOOKUP(_xlfn.XLOOKUP(A552,'[1]DATOS PBI Artículos'!$A$4:$A$4,'[1]DATOS PBI Artículos'!$Y$4:$Y$4),[1]CRITERIOS!$P$79:$P$123,[1]CRITERIOS!$S$79:$S$123)),0)*[1]CRITERIOS!$M$80*([1]CRITERIOS!$M$89*[1]CRITERIOS!$M$92)+((_xlfn.XLOOKUP(A552,'[1]DATOS PBI Artículos'!$A$4:$A$4,'[1]DATOS PBI Artículos'!$AA$4:$AA$4)/2)*([1]CRITERIOS!$M$95+[1]CRITERIOS!$M$98)))/N552)</f>
        <v>#N/A</v>
      </c>
      <c r="AE552" s="39" t="e">
        <f>IF($R552="MTO","",
IF($H552=0,ROUNDUP(((_xlfn.XLOOKUP($A552,'[1]DATOS PBI Artículos'!$A:$A,'[1]DATOS PBI Artículos'!$AL:$AL))/(_xlfn.XLOOKUP($AF$1,[1]CRITERIOS!$S$16:$S$39,[1]CRITERIOS!$Y$16:$Y$39))*$J552+$Z552)/$G552,0)*$G552,
((_xlfn.XLOOKUP($A552,'[1]DATOS PBI Artículos'!$A:$A,'[1]DATOS PBI Artículos'!$AL:$AL))/(_xlfn.XLOOKUP($AF$1,[1]CRITERIOS!$S$16:$S$39,[1]CRITERIOS!$Y$16:$Y$39))*$J552+$Z552)))</f>
        <v>#N/A</v>
      </c>
      <c r="AG552" s="39" t="e">
        <f>IF($R552="MTO","",
IF($H552=0,ROUNDUP(((_xlfn.XLOOKUP($A552,'[1]DATOS PBI Artículos'!$A:$A,'[1]DATOS PBI Artículos'!$AM:$AM))/(_xlfn.XLOOKUP($AH$1,[1]CRITERIOS!$S$16:$S$39,[1]CRITERIOS!$Y$16:$Y$39))*$J552+$Z552)/$G552,0)*$G552,
((_xlfn.XLOOKUP($A552,'[1]DATOS PBI Artículos'!$A:$A,'[1]DATOS PBI Artículos'!$AM:$AM))/(_xlfn.XLOOKUP($AH$1,[1]CRITERIOS!$S$16:$S$39,[1]CRITERIOS!$Y$16:$Y$39))*$J552+$Z552)))</f>
        <v>#N/A</v>
      </c>
      <c r="AI552" s="39" t="e">
        <f>IF($R552="MTO","",
IF($H552=0,ROUNDUP(((_xlfn.XLOOKUP($A552,'[1]DATOS PBI Artículos'!$A:$A,'[1]DATOS PBI Artículos'!$AN:$AN))/(_xlfn.XLOOKUP($AJ$1,[1]CRITERIOS!$S$16:$S$39,[1]CRITERIOS!$Y$16:$Y$39))*$J552+$Z552)/$G552,0)*$G552,
((_xlfn.XLOOKUP($A552,'[1]DATOS PBI Artículos'!$A:$A,'[1]DATOS PBI Artículos'!$AN:$AN))/(_xlfn.XLOOKUP($AJ$1,[1]CRITERIOS!$S$16:$S$39,[1]CRITERIOS!$Y$16:$Y$39))*$J552+$Z552)))</f>
        <v>#N/A</v>
      </c>
      <c r="AK552" s="39" t="e">
        <f>IF($R552="MTO","",
IF($H552=0,ROUNDUP(((_xlfn.XLOOKUP($A552,'[1]DATOS PBI Artículos'!$A:$A,'[1]DATOS PBI Artículos'!$AO:$AO))/(_xlfn.XLOOKUP($AL$1,[1]CRITERIOS!$S$16:$S$39,[1]CRITERIOS!$Y$16:$Y$39))*$J552+$Z552)/$G552,0)*$G552,
((_xlfn.XLOOKUP($A552,'[1]DATOS PBI Artículos'!$A:$A,'[1]DATOS PBI Artículos'!$AO:$AO))/(_xlfn.XLOOKUP($AL$1,[1]CRITERIOS!$S$16:$S$39,[1]CRITERIOS!$Y$16:$Y$39))*$J552+$Z552)))</f>
        <v>#N/A</v>
      </c>
    </row>
    <row r="553" spans="1:37" ht="25.8" hidden="1" x14ac:dyDescent="0.4">
      <c r="A553" s="41"/>
      <c r="B553" s="33">
        <f>_xlfn.XLOOKUP($A553,'[1]DATOS PBI Artículos'!A:A,'[1]DATOS PBI Artículos'!B:B)</f>
        <v>0</v>
      </c>
      <c r="C553" s="33">
        <f>_xlfn.XLOOKUP($A553,'[1]DATOS PBI Artículos'!A:A,'[1]DATOS PBI Artículos'!C:C)</f>
        <v>0</v>
      </c>
      <c r="D553" s="33">
        <f>_xlfn.XLOOKUP(A553,'[1]DATOS PBI Artículos'!A:A,'[1]DATOS PBI Artículos'!T:T)</f>
        <v>0</v>
      </c>
      <c r="E553" s="34">
        <f>IF(_xlfn.XLOOKUP($A553,'[1]DATOS PBI Artículos'!A:A,'[1]DATOS PBI Artículos'!AK:AK)="",_xlfn.XLOOKUP($A553,'[1]DATOS PBI Artículos'!A:A,'[1]DATOS PBI Artículos'!AJ:AJ),_xlfn.XLOOKUP($A553,'[1]DATOS PBI Artículos'!A:A,'[1]DATOS PBI Artículos'!AK:AK))</f>
        <v>0</v>
      </c>
      <c r="F553" s="35">
        <f>_xlfn.XLOOKUP($A553,'[1]DATOS PBI Artículos'!A:A,'[1]DATOS PBI Artículos'!AP:AP)</f>
        <v>0</v>
      </c>
      <c r="G553" s="34">
        <f>_xlfn.XLOOKUP($A553,'[1]DATOS PBI Artículos'!A:A,'[1]DATOS PBI Artículos'!AR:AR)</f>
        <v>0</v>
      </c>
      <c r="H553" s="34">
        <f>_xlfn.XLOOKUP($A553,'[1]DATOS PBI Artículos'!A:A,'[1]DATOS PBI Artículos'!AT:AT)</f>
        <v>0</v>
      </c>
      <c r="I553" s="34">
        <f>_xlfn.XLOOKUP($A553,'[1]DATOS PBI Artículos'!A:A,'[1]DATOS PBI Artículos'!AS:AS)</f>
        <v>0</v>
      </c>
      <c r="J553" s="35">
        <f>IF(COUNTIF([1]CRITERIOS!$F$179:$F$199,$A553)&gt;=1,
 IF(O553&lt;&gt;"",
    (O553/_xlfn.XLOOKUP(CONCATENATE(A553,L553),[1]MÁQUINAS!A:A,[1]MÁQUINAS!D:D))/24,
    (N553/_xlfn.XLOOKUP(CONCATENATE(A553,L553),[1]MÁQUINAS!A:A,[1]MÁQUINAS!D:D))/24),
  _xlfn.XLOOKUP($A553,'[1]DATOS PBI Artículos'!A:A,'[1]DATOS PBI Artículos'!AU:AU))</f>
        <v>0</v>
      </c>
      <c r="K553" s="36">
        <f>_xlfn.XLOOKUP($A553,'[1]DATOS PBI Artículos'!A:A,'[1]DATOS PBI Artículos'!AV:AV)</f>
        <v>0</v>
      </c>
      <c r="L553" s="33">
        <f>_xlfn.XLOOKUP(A553,[1]MÁQUINAS!B:B,[1]MÁQUINAS!C:C)</f>
        <v>0</v>
      </c>
      <c r="M553" s="34">
        <f t="array" ref="M553">_xlfn.XLOOKUP(A553,'[1]DATOS PBI Artículos'!A:A,'[1]DATOS PBI Artículos'!AX:$AX)</f>
        <v>0</v>
      </c>
      <c r="N553" s="37" t="e">
        <f>IF(I553="DV",
E553,
IF(COUNTIF([1]CRITERIOS!$I$179:$I$199,$A553)&gt;=1,
_xlfn.XLOOKUP($A553,[1]CRITERIOS!$I$179:$I$199,[1]CRITERIOS!$J$179:$J$199),
IF(COUNTIF([1]CRITERIOS!$L$179:$L$199,$A553)&gt;=1,
_xlfn.CEILING.MATH(IF($M553&gt;$E553,
$E553,
IF($M553&lt;$E553/ROUNDDOWN([1]CRITERIOS!$M$16/_xlfn.XLOOKUP($C553,[1]CRITERIOS!$K$25:$K$42,[1]CRITERIOS!$M$25:$M$42),
1),
E553/ROUNDDOWN([1]CRITERIOS!$M$16/_xlfn.XLOOKUP($C553,[1]CRITERIOS!$K$25:$K$42,[1]CRITERIOS!$M$25:$M$42),
1),
$M553)),
_xlfn.XLOOKUP($A553,[1]CRITERIOS!$L$179:$L$200,[1]CRITERIOS!$M$179:$M$200)),
_xlfn.CEILING.MATH(IF($M553&gt;$E553,
$E553,
IF($M553&lt;$E553/ROUNDDOWN([1]CRITERIOS!$M$16/_xlfn.XLOOKUP($C553,[1]CRITERIOS!$K$25:$K$42,[1]CRITERIOS!$M$25:$M$42),
1),
E553/ROUNDDOWN([1]CRITERIOS!$M$16/_xlfn.XLOOKUP($C553,[1]CRITERIOS!$K$25:$K$42,[1]CRITERIOS!$M$25:$M$42),
1),
$M553)),_xlfn.XLOOKUP(A553,'[1]DATOS PBI Artículos'!A:A,'[1]DATOS PBI Artículos'!Z:Z
)))))</f>
        <v>#N/A</v>
      </c>
      <c r="Q553" s="38" t="e">
        <f>IF(AND(O553="",N553=0),
0,
   IF(COUNTIF([1]CRITERIOS!$F$179:$F$199,$A553)&gt;=1,
   1,
   IF(R553="MTO",
      $D553,
      ROUNDUP(
                    IF(($E553-SUMIF('[1]DATOS PBI Artículos'!A:A,A553,'[1]DATOS PBI Artículos'!X:X)+($V553-_xlfn.XLOOKUP(A553,'[1]DATOS PBI Artículos'!A:A,'[1]DATOS PBI Artículos'!W:W)))&lt;0,
                    0,
                    IF(($E553-SUMIF('[1]DATOS PBI Artículos'!A:A,A553,'[1]DATOS PBI Artículos'!X:X)+$V553-_xlfn.XLOOKUP($A553,'[1]DATOS PBI Artículos'!A:A,'[1]DATOS PBI Artículos'!W:W))/IF($O553="",$N553,$O553)&gt;ROUNDUP([1]CRITERIOS!$M$16/(IF(COUNTIF([1]CRITERIOS!$BG$11:$BG$201,L553)&gt;=1,_xlfn.XLOOKUP($C553,[1]CRITERIOS!$K$25:$K$42,[1]CRITERIOS!$M$25:$M$42),_xlfn.XLOOKUP($C553,[1]CRITERIOS!$K$25:$K$42,[1]CRITERIOS!$M$25:$M$42))),0),
                    ROUNDUP([1]CRITERIOS!$M$16/(IF(COUNTIF([1]CRITERIOS!$BG$11:$BG$201,$L553)&gt;=1,_xlfn.XLOOKUP($C553,[1]CRITERIOS!$K$25:$K$42,[1]CRITERIOS!$M$25:$M$42),_xlfn.XLOOKUP($C553,[1]CRITERIOS!$K$25:$K$42,[1]CRITERIOS!$M$25:$M$42))),0),
                    (E553+V553-SUMIF('[1]DATOS PBI Artículos'!A:A,A553,'[1]DATOS PBI Artículos'!X:X)-_xlfn.XLOOKUP(A553,'[1]DATOS PBI Artículos'!A:A,'[1]DATOS PBI Artículos'!W:W))/IF($O553="",$N553,$O553))),0))))</f>
        <v>#N/A</v>
      </c>
      <c r="R553" s="33" t="e">
        <f>IF(U553&lt;&gt;"",U553,IF(F553="DV","MTO",IF(N553=0,"MTO",_xlfn.XLOOKUP(CONCATENATE(S553,T553),[1]CRITERIOS!$K$160:$K$168,[1]CRITERIOS!$N$160:$N$168))))</f>
        <v>#N/A</v>
      </c>
      <c r="S553" s="33" t="e">
        <f>IF(G553="DV","MTO",IF(N553=0,"MTO",IF(OR(AND(N553=0,O553=""),IF(O553="",G553/N553,G553/O553)&gt;[1]CRITERIOS!$G$163),"MTO",IF(IF(O553="",G553/N553,G553/O553)&lt;[1]CRITERIOS!$H$161,"MTS","MTOS"))))</f>
        <v>#N/A</v>
      </c>
      <c r="T553" s="33" t="e">
        <f>IF(F553="DV","MTO",IF(OR(AND($N553=0,O553=""),$F553/$J553&gt;[1]CRITERIOS!$G$170,$F553="DV"),"MTO",IF($F553/$J553&lt;[1]CRITERIOS!$H$168,"MTS","MTOS")))</f>
        <v>#N/A</v>
      </c>
      <c r="V553" s="34" t="e">
        <f t="shared" si="28"/>
        <v>#N/A</v>
      </c>
      <c r="X553" s="34" t="e">
        <f t="shared" si="26"/>
        <v>#N/A</v>
      </c>
      <c r="Y553" s="34" t="e">
        <f t="shared" si="27"/>
        <v>#N/A</v>
      </c>
      <c r="Z553" s="34" t="e">
        <f>IF($R553="MTO",
0,
($H553+$K553*($E553/[1]CRITERIOS!$M$16))/[1]CRITERIOS!$X$48)</f>
        <v>#N/A</v>
      </c>
      <c r="AA553" s="34" t="e">
        <f>ROUNDUP(($Y553/_xlfn.XLOOKUP($A553,'[1]DATOS PBI Artículos'!$A$4:$A$4,'[1]DATOS PBI Artículos'!$Z$4:$Z$4))/_xlfn.XLOOKUP(_xlfn.XLOOKUP($A553,'[1]DATOS PBI Artículos'!$A$4:$A$4,'[1]DATOS PBI Artículos'!$Y$4:$Y$4),[1]CRITERIOS!$P$79:$P$123,[1]CRITERIOS!$S$79:$S$123,),0)</f>
        <v>#N/A</v>
      </c>
      <c r="AB553" s="33" t="e">
        <f t="array" ref="AB553">IF((E553+V553-_xlfn.XLOOKUP(A553,'[1]DATOS PBI Artículos'!$A$4:$A$4,'[1]DATOS PBI Artículos'!$W$4:$W$4))/N553&gt;ROUNDUP([1]CRITERIOS!$M$16/(IF(COUNTIF([1]CRITERIOS!$BG$11:$BG$201,L553)&gt;=1,_xlfn.XLOOKUP(ARTÍCULOS!L553,[1]CRITERIOS!$BG$11:$BG$201,[1]CRITERIOS!$BJ$11:$BJ$201),_xlfn.XLOOKUP(ARTÍCULOS!C553,[1]CRITERIOS!$K$25:$K$42,[1]CRITERIOS!$M$25:$M$42))),0),ROUNDUP([1]CRITERIOS!$M$16/(IF(COUNTIF([1]CRITERIOS!$BG$11:$BG$201,L553)&gt;=1,_xlfn.XLOOKUP(ARTÍCULOS!L553,[1]CRITERIOS!$BG$11:$BG$201:#REF!,[1]CRITERIOS!$BJ$11:$BJ$201),_xlfn.XLOOKUP(ARTÍCULOS!C553,[1]CRITERIOS!$K$25:$K$42,[1]CRITERIOS!$M$25:$M$42))),0),(E553+V553-_xlfn.XLOOKUP(A553,'[1]DATOS PBI Artículos'!$A$4:$A$4,'[1]DATOS PBI Artículos'!$W$4:$W$4))/N553)</f>
        <v>#N/A</v>
      </c>
      <c r="AC553" s="33" t="e">
        <f>IF(N553=0,"",(ROUNDUP((N553/2)/(_xlfn.XLOOKUP(A553,'[1]DATOS PBI Artículos'!$A$4:$A$4,'[1]DATOS PBI Artículos'!$Z$4:$Z$4)*_xlfn.XLOOKUP(_xlfn.XLOOKUP(A553,'[1]DATOS PBI Artículos'!$A$4:$A$4,'[1]DATOS PBI Artículos'!$Y$4:$Y$4),[1]CRITERIOS!$P$79:$P$123,[1]CRITERIOS!$S$79:$S$123)),0)*[1]CRITERIOS!$M$80*([1]CRITERIOS!$M$110/[1]CRITERIOS!$M$86)+(_xlfn.XLOOKUP(A553,'[1]DATOS PBI Artículos'!$A$4:$A$4,'[1]DATOS PBI Artículos'!$AA$4:$AA$4)*([1]CRITERIOS!$M$95+[1]CRITERIOS!$M$98)))/N553)</f>
        <v>#N/A</v>
      </c>
      <c r="AD553" s="33" t="e">
        <f>IF(N553=0,"",(ROUNDUP((N553/2)/(_xlfn.XLOOKUP(A553,'[1]DATOS PBI Artículos'!$A$4:$A$4,'[1]DATOS PBI Artículos'!$Z$4:$Z$4)*_xlfn.XLOOKUP(_xlfn.XLOOKUP(A553,'[1]DATOS PBI Artículos'!$A$4:$A$4,'[1]DATOS PBI Artículos'!$Y$4:$Y$4),[1]CRITERIOS!$P$79:$P$123,[1]CRITERIOS!$S$79:$S$123)),0)*[1]CRITERIOS!$M$80*([1]CRITERIOS!$M$89*[1]CRITERIOS!$M$92)+((_xlfn.XLOOKUP(A553,'[1]DATOS PBI Artículos'!$A$4:$A$4,'[1]DATOS PBI Artículos'!$AA$4:$AA$4)/2)*([1]CRITERIOS!$M$95+[1]CRITERIOS!$M$98)))/N553)</f>
        <v>#N/A</v>
      </c>
      <c r="AE553" s="39" t="e">
        <f>IF($R553="MTO","",
IF($H553=0,ROUNDUP(((_xlfn.XLOOKUP($A553,'[1]DATOS PBI Artículos'!$A:$A,'[1]DATOS PBI Artículos'!$AL:$AL))/(_xlfn.XLOOKUP($AF$1,[1]CRITERIOS!$S$16:$S$39,[1]CRITERIOS!$Y$16:$Y$39))*$J553+$Z553)/$G553,0)*$G553,
((_xlfn.XLOOKUP($A553,'[1]DATOS PBI Artículos'!$A:$A,'[1]DATOS PBI Artículos'!$AL:$AL))/(_xlfn.XLOOKUP($AF$1,[1]CRITERIOS!$S$16:$S$39,[1]CRITERIOS!$Y$16:$Y$39))*$J553+$Z553)))</f>
        <v>#N/A</v>
      </c>
      <c r="AG553" s="39" t="e">
        <f>IF($R553="MTO","",
IF($H553=0,ROUNDUP(((_xlfn.XLOOKUP($A553,'[1]DATOS PBI Artículos'!$A:$A,'[1]DATOS PBI Artículos'!$AM:$AM))/(_xlfn.XLOOKUP($AH$1,[1]CRITERIOS!$S$16:$S$39,[1]CRITERIOS!$Y$16:$Y$39))*$J553+$Z553)/$G553,0)*$G553,
((_xlfn.XLOOKUP($A553,'[1]DATOS PBI Artículos'!$A:$A,'[1]DATOS PBI Artículos'!$AM:$AM))/(_xlfn.XLOOKUP($AH$1,[1]CRITERIOS!$S$16:$S$39,[1]CRITERIOS!$Y$16:$Y$39))*$J553+$Z553)))</f>
        <v>#N/A</v>
      </c>
      <c r="AI553" s="39" t="e">
        <f>IF($R553="MTO","",
IF($H553=0,ROUNDUP(((_xlfn.XLOOKUP($A553,'[1]DATOS PBI Artículos'!$A:$A,'[1]DATOS PBI Artículos'!$AN:$AN))/(_xlfn.XLOOKUP($AJ$1,[1]CRITERIOS!$S$16:$S$39,[1]CRITERIOS!$Y$16:$Y$39))*$J553+$Z553)/$G553,0)*$G553,
((_xlfn.XLOOKUP($A553,'[1]DATOS PBI Artículos'!$A:$A,'[1]DATOS PBI Artículos'!$AN:$AN))/(_xlfn.XLOOKUP($AJ$1,[1]CRITERIOS!$S$16:$S$39,[1]CRITERIOS!$Y$16:$Y$39))*$J553+$Z553)))</f>
        <v>#N/A</v>
      </c>
      <c r="AK553" s="39" t="e">
        <f>IF($R553="MTO","",
IF($H553=0,ROUNDUP(((_xlfn.XLOOKUP($A553,'[1]DATOS PBI Artículos'!$A:$A,'[1]DATOS PBI Artículos'!$AO:$AO))/(_xlfn.XLOOKUP($AL$1,[1]CRITERIOS!$S$16:$S$39,[1]CRITERIOS!$Y$16:$Y$39))*$J553+$Z553)/$G553,0)*$G553,
((_xlfn.XLOOKUP($A553,'[1]DATOS PBI Artículos'!$A:$A,'[1]DATOS PBI Artículos'!$AO:$AO))/(_xlfn.XLOOKUP($AL$1,[1]CRITERIOS!$S$16:$S$39,[1]CRITERIOS!$Y$16:$Y$39))*$J553+$Z553)))</f>
        <v>#N/A</v>
      </c>
    </row>
    <row r="554" spans="1:37" ht="25.8" hidden="1" x14ac:dyDescent="0.4">
      <c r="A554" s="41"/>
      <c r="B554" s="33">
        <f>_xlfn.XLOOKUP($A554,'[1]DATOS PBI Artículos'!A:A,'[1]DATOS PBI Artículos'!B:B)</f>
        <v>0</v>
      </c>
      <c r="C554" s="33">
        <f>_xlfn.XLOOKUP($A554,'[1]DATOS PBI Artículos'!A:A,'[1]DATOS PBI Artículos'!C:C)</f>
        <v>0</v>
      </c>
      <c r="D554" s="33">
        <f>_xlfn.XLOOKUP(A554,'[1]DATOS PBI Artículos'!A:A,'[1]DATOS PBI Artículos'!T:T)</f>
        <v>0</v>
      </c>
      <c r="E554" s="34">
        <f>IF(_xlfn.XLOOKUP($A554,'[1]DATOS PBI Artículos'!A:A,'[1]DATOS PBI Artículos'!AK:AK)="",_xlfn.XLOOKUP($A554,'[1]DATOS PBI Artículos'!A:A,'[1]DATOS PBI Artículos'!AJ:AJ),_xlfn.XLOOKUP($A554,'[1]DATOS PBI Artículos'!A:A,'[1]DATOS PBI Artículos'!AK:AK))</f>
        <v>0</v>
      </c>
      <c r="F554" s="35">
        <f>_xlfn.XLOOKUP($A554,'[1]DATOS PBI Artículos'!A:A,'[1]DATOS PBI Artículos'!AP:AP)</f>
        <v>0</v>
      </c>
      <c r="G554" s="34">
        <f>_xlfn.XLOOKUP($A554,'[1]DATOS PBI Artículos'!A:A,'[1]DATOS PBI Artículos'!AR:AR)</f>
        <v>0</v>
      </c>
      <c r="H554" s="34">
        <f>_xlfn.XLOOKUP($A554,'[1]DATOS PBI Artículos'!A:A,'[1]DATOS PBI Artículos'!AT:AT)</f>
        <v>0</v>
      </c>
      <c r="I554" s="34">
        <f>_xlfn.XLOOKUP($A554,'[1]DATOS PBI Artículos'!A:A,'[1]DATOS PBI Artículos'!AS:AS)</f>
        <v>0</v>
      </c>
      <c r="J554" s="35">
        <f>IF(COUNTIF([1]CRITERIOS!$F$179:$F$199,$A554)&gt;=1,
 IF(O554&lt;&gt;"",
    (O554/_xlfn.XLOOKUP(CONCATENATE(A554,L554),[1]MÁQUINAS!A:A,[1]MÁQUINAS!D:D))/24,
    (N554/_xlfn.XLOOKUP(CONCATENATE(A554,L554),[1]MÁQUINAS!A:A,[1]MÁQUINAS!D:D))/24),
  _xlfn.XLOOKUP($A554,'[1]DATOS PBI Artículos'!A:A,'[1]DATOS PBI Artículos'!AU:AU))</f>
        <v>0</v>
      </c>
      <c r="K554" s="36">
        <f>_xlfn.XLOOKUP($A554,'[1]DATOS PBI Artículos'!A:A,'[1]DATOS PBI Artículos'!AV:AV)</f>
        <v>0</v>
      </c>
      <c r="L554" s="33">
        <f>_xlfn.XLOOKUP(A554,[1]MÁQUINAS!B:B,[1]MÁQUINAS!C:C)</f>
        <v>0</v>
      </c>
      <c r="M554" s="34">
        <f t="array" ref="M554">_xlfn.XLOOKUP(A554,'[1]DATOS PBI Artículos'!A:A,'[1]DATOS PBI Artículos'!AX:$AX)</f>
        <v>0</v>
      </c>
      <c r="N554" s="37" t="e">
        <f>IF(I554="DV",
E554,
IF(COUNTIF([1]CRITERIOS!$I$179:$I$199,$A554)&gt;=1,
_xlfn.XLOOKUP($A554,[1]CRITERIOS!$I$179:$I$199,[1]CRITERIOS!$J$179:$J$199),
IF(COUNTIF([1]CRITERIOS!$L$179:$L$199,$A554)&gt;=1,
_xlfn.CEILING.MATH(IF($M554&gt;$E554,
$E554,
IF($M554&lt;$E554/ROUNDDOWN([1]CRITERIOS!$M$16/_xlfn.XLOOKUP($C554,[1]CRITERIOS!$K$25:$K$42,[1]CRITERIOS!$M$25:$M$42),
1),
E554/ROUNDDOWN([1]CRITERIOS!$M$16/_xlfn.XLOOKUP($C554,[1]CRITERIOS!$K$25:$K$42,[1]CRITERIOS!$M$25:$M$42),
1),
$M554)),
_xlfn.XLOOKUP($A554,[1]CRITERIOS!$L$179:$L$200,[1]CRITERIOS!$M$179:$M$200)),
_xlfn.CEILING.MATH(IF($M554&gt;$E554,
$E554,
IF($M554&lt;$E554/ROUNDDOWN([1]CRITERIOS!$M$16/_xlfn.XLOOKUP($C554,[1]CRITERIOS!$K$25:$K$42,[1]CRITERIOS!$M$25:$M$42),
1),
E554/ROUNDDOWN([1]CRITERIOS!$M$16/_xlfn.XLOOKUP($C554,[1]CRITERIOS!$K$25:$K$42,[1]CRITERIOS!$M$25:$M$42),
1),
$M554)),_xlfn.XLOOKUP(A554,'[1]DATOS PBI Artículos'!A:A,'[1]DATOS PBI Artículos'!Z:Z
)))))</f>
        <v>#N/A</v>
      </c>
      <c r="Q554" s="38" t="e">
        <f>IF(AND(O554="",N554=0),
0,
   IF(COUNTIF([1]CRITERIOS!$F$179:$F$199,$A554)&gt;=1,
   1,
   IF(R554="MTO",
      $D554,
      ROUNDUP(
                    IF(($E554-SUMIF('[1]DATOS PBI Artículos'!A:A,A554,'[1]DATOS PBI Artículos'!X:X)+($V554-_xlfn.XLOOKUP(A554,'[1]DATOS PBI Artículos'!A:A,'[1]DATOS PBI Artículos'!W:W)))&lt;0,
                    0,
                    IF(($E554-SUMIF('[1]DATOS PBI Artículos'!A:A,A554,'[1]DATOS PBI Artículos'!X:X)+$V554-_xlfn.XLOOKUP($A554,'[1]DATOS PBI Artículos'!A:A,'[1]DATOS PBI Artículos'!W:W))/IF($O554="",$N554,$O554)&gt;ROUNDUP([1]CRITERIOS!$M$16/(IF(COUNTIF([1]CRITERIOS!$BG$11:$BG$201,L554)&gt;=1,_xlfn.XLOOKUP($C554,[1]CRITERIOS!$K$25:$K$42,[1]CRITERIOS!$M$25:$M$42),_xlfn.XLOOKUP($C554,[1]CRITERIOS!$K$25:$K$42,[1]CRITERIOS!$M$25:$M$42))),0),
                    ROUNDUP([1]CRITERIOS!$M$16/(IF(COUNTIF([1]CRITERIOS!$BG$11:$BG$201,$L554)&gt;=1,_xlfn.XLOOKUP($C554,[1]CRITERIOS!$K$25:$K$42,[1]CRITERIOS!$M$25:$M$42),_xlfn.XLOOKUP($C554,[1]CRITERIOS!$K$25:$K$42,[1]CRITERIOS!$M$25:$M$42))),0),
                    (E554+V554-SUMIF('[1]DATOS PBI Artículos'!A:A,A554,'[1]DATOS PBI Artículos'!X:X)-_xlfn.XLOOKUP(A554,'[1]DATOS PBI Artículos'!A:A,'[1]DATOS PBI Artículos'!W:W))/IF($O554="",$N554,$O554))),0))))</f>
        <v>#N/A</v>
      </c>
      <c r="R554" s="33" t="e">
        <f>IF(U554&lt;&gt;"",U554,IF(F554="DV","MTO",IF(N554=0,"MTO",_xlfn.XLOOKUP(CONCATENATE(S554,T554),[1]CRITERIOS!$K$160:$K$168,[1]CRITERIOS!$N$160:$N$168))))</f>
        <v>#N/A</v>
      </c>
      <c r="S554" s="33" t="e">
        <f>IF(G554="DV","MTO",IF(N554=0,"MTO",IF(OR(AND(N554=0,O554=""),IF(O554="",G554/N554,G554/O554)&gt;[1]CRITERIOS!$G$163),"MTO",IF(IF(O554="",G554/N554,G554/O554)&lt;[1]CRITERIOS!$H$161,"MTS","MTOS"))))</f>
        <v>#N/A</v>
      </c>
      <c r="T554" s="33" t="e">
        <f>IF(F554="DV","MTO",IF(OR(AND($N554=0,O554=""),$F554/$J554&gt;[1]CRITERIOS!$G$170,$F554="DV"),"MTO",IF($F554/$J554&lt;[1]CRITERIOS!$H$168,"MTS","MTOS")))</f>
        <v>#N/A</v>
      </c>
      <c r="V554" s="34" t="e">
        <f t="shared" si="28"/>
        <v>#N/A</v>
      </c>
      <c r="X554" s="34" t="e">
        <f t="shared" si="26"/>
        <v>#N/A</v>
      </c>
      <c r="Y554" s="34" t="e">
        <f t="shared" si="27"/>
        <v>#N/A</v>
      </c>
      <c r="Z554" s="34" t="e">
        <f>IF($R554="MTO",
0,
($H554+$K554*($E554/[1]CRITERIOS!$M$16))/[1]CRITERIOS!$X$48)</f>
        <v>#N/A</v>
      </c>
      <c r="AA554" s="34" t="e">
        <f>ROUNDUP(($Y554/_xlfn.XLOOKUP($A554,'[1]DATOS PBI Artículos'!$A$4:$A$4,'[1]DATOS PBI Artículos'!$Z$4:$Z$4))/_xlfn.XLOOKUP(_xlfn.XLOOKUP($A554,'[1]DATOS PBI Artículos'!$A$4:$A$4,'[1]DATOS PBI Artículos'!$Y$4:$Y$4),[1]CRITERIOS!$P$79:$P$123,[1]CRITERIOS!$S$79:$S$123,),0)</f>
        <v>#N/A</v>
      </c>
      <c r="AB554" s="33" t="e">
        <f t="array" ref="AB554">IF((E554+V554-_xlfn.XLOOKUP(A554,'[1]DATOS PBI Artículos'!$A$4:$A$4,'[1]DATOS PBI Artículos'!$W$4:$W$4))/N554&gt;ROUNDUP([1]CRITERIOS!$M$16/(IF(COUNTIF([1]CRITERIOS!$BG$11:$BG$201,L554)&gt;=1,_xlfn.XLOOKUP(ARTÍCULOS!L554,[1]CRITERIOS!$BG$11:$BG$201,[1]CRITERIOS!$BJ$11:$BJ$201),_xlfn.XLOOKUP(ARTÍCULOS!C554,[1]CRITERIOS!$K$25:$K$42,[1]CRITERIOS!$M$25:$M$42))),0),ROUNDUP([1]CRITERIOS!$M$16/(IF(COUNTIF([1]CRITERIOS!$BG$11:$BG$201,L554)&gt;=1,_xlfn.XLOOKUP(ARTÍCULOS!L554,[1]CRITERIOS!$BG$11:$BG$201:#REF!,[1]CRITERIOS!$BJ$11:$BJ$201),_xlfn.XLOOKUP(ARTÍCULOS!C554,[1]CRITERIOS!$K$25:$K$42,[1]CRITERIOS!$M$25:$M$42))),0),(E554+V554-_xlfn.XLOOKUP(A554,'[1]DATOS PBI Artículos'!$A$4:$A$4,'[1]DATOS PBI Artículos'!$W$4:$W$4))/N554)</f>
        <v>#N/A</v>
      </c>
      <c r="AC554" s="33" t="e">
        <f>IF(N554=0,"",(ROUNDUP((N554/2)/(_xlfn.XLOOKUP(A554,'[1]DATOS PBI Artículos'!$A$4:$A$4,'[1]DATOS PBI Artículos'!$Z$4:$Z$4)*_xlfn.XLOOKUP(_xlfn.XLOOKUP(A554,'[1]DATOS PBI Artículos'!$A$4:$A$4,'[1]DATOS PBI Artículos'!$Y$4:$Y$4),[1]CRITERIOS!$P$79:$P$123,[1]CRITERIOS!$S$79:$S$123)),0)*[1]CRITERIOS!$M$80*([1]CRITERIOS!$M$110/[1]CRITERIOS!$M$86)+(_xlfn.XLOOKUP(A554,'[1]DATOS PBI Artículos'!$A$4:$A$4,'[1]DATOS PBI Artículos'!$AA$4:$AA$4)*([1]CRITERIOS!$M$95+[1]CRITERIOS!$M$98)))/N554)</f>
        <v>#N/A</v>
      </c>
      <c r="AD554" s="33" t="e">
        <f>IF(N554=0,"",(ROUNDUP((N554/2)/(_xlfn.XLOOKUP(A554,'[1]DATOS PBI Artículos'!$A$4:$A$4,'[1]DATOS PBI Artículos'!$Z$4:$Z$4)*_xlfn.XLOOKUP(_xlfn.XLOOKUP(A554,'[1]DATOS PBI Artículos'!$A$4:$A$4,'[1]DATOS PBI Artículos'!$Y$4:$Y$4),[1]CRITERIOS!$P$79:$P$123,[1]CRITERIOS!$S$79:$S$123)),0)*[1]CRITERIOS!$M$80*([1]CRITERIOS!$M$89*[1]CRITERIOS!$M$92)+((_xlfn.XLOOKUP(A554,'[1]DATOS PBI Artículos'!$A$4:$A$4,'[1]DATOS PBI Artículos'!$AA$4:$AA$4)/2)*([1]CRITERIOS!$M$95+[1]CRITERIOS!$M$98)))/N554)</f>
        <v>#N/A</v>
      </c>
      <c r="AE554" s="39" t="e">
        <f>IF($R554="MTO","",
IF($H554=0,ROUNDUP(((_xlfn.XLOOKUP($A554,'[1]DATOS PBI Artículos'!$A:$A,'[1]DATOS PBI Artículos'!$AL:$AL))/(_xlfn.XLOOKUP($AF$1,[1]CRITERIOS!$S$16:$S$39,[1]CRITERIOS!$Y$16:$Y$39))*$J554+$Z554)/$G554,0)*$G554,
((_xlfn.XLOOKUP($A554,'[1]DATOS PBI Artículos'!$A:$A,'[1]DATOS PBI Artículos'!$AL:$AL))/(_xlfn.XLOOKUP($AF$1,[1]CRITERIOS!$S$16:$S$39,[1]CRITERIOS!$Y$16:$Y$39))*$J554+$Z554)))</f>
        <v>#N/A</v>
      </c>
      <c r="AG554" s="39" t="e">
        <f>IF($R554="MTO","",
IF($H554=0,ROUNDUP(((_xlfn.XLOOKUP($A554,'[1]DATOS PBI Artículos'!$A:$A,'[1]DATOS PBI Artículos'!$AM:$AM))/(_xlfn.XLOOKUP($AH$1,[1]CRITERIOS!$S$16:$S$39,[1]CRITERIOS!$Y$16:$Y$39))*$J554+$Z554)/$G554,0)*$G554,
((_xlfn.XLOOKUP($A554,'[1]DATOS PBI Artículos'!$A:$A,'[1]DATOS PBI Artículos'!$AM:$AM))/(_xlfn.XLOOKUP($AH$1,[1]CRITERIOS!$S$16:$S$39,[1]CRITERIOS!$Y$16:$Y$39))*$J554+$Z554)))</f>
        <v>#N/A</v>
      </c>
      <c r="AI554" s="39" t="e">
        <f>IF($R554="MTO","",
IF($H554=0,ROUNDUP(((_xlfn.XLOOKUP($A554,'[1]DATOS PBI Artículos'!$A:$A,'[1]DATOS PBI Artículos'!$AN:$AN))/(_xlfn.XLOOKUP($AJ$1,[1]CRITERIOS!$S$16:$S$39,[1]CRITERIOS!$Y$16:$Y$39))*$J554+$Z554)/$G554,0)*$G554,
((_xlfn.XLOOKUP($A554,'[1]DATOS PBI Artículos'!$A:$A,'[1]DATOS PBI Artículos'!$AN:$AN))/(_xlfn.XLOOKUP($AJ$1,[1]CRITERIOS!$S$16:$S$39,[1]CRITERIOS!$Y$16:$Y$39))*$J554+$Z554)))</f>
        <v>#N/A</v>
      </c>
      <c r="AK554" s="39" t="e">
        <f>IF($R554="MTO","",
IF($H554=0,ROUNDUP(((_xlfn.XLOOKUP($A554,'[1]DATOS PBI Artículos'!$A:$A,'[1]DATOS PBI Artículos'!$AO:$AO))/(_xlfn.XLOOKUP($AL$1,[1]CRITERIOS!$S$16:$S$39,[1]CRITERIOS!$Y$16:$Y$39))*$J554+$Z554)/$G554,0)*$G554,
((_xlfn.XLOOKUP($A554,'[1]DATOS PBI Artículos'!$A:$A,'[1]DATOS PBI Artículos'!$AO:$AO))/(_xlfn.XLOOKUP($AL$1,[1]CRITERIOS!$S$16:$S$39,[1]CRITERIOS!$Y$16:$Y$39))*$J554+$Z554)))</f>
        <v>#N/A</v>
      </c>
    </row>
    <row r="555" spans="1:37" ht="25.8" hidden="1" x14ac:dyDescent="0.4">
      <c r="A555" s="41"/>
      <c r="B555" s="33">
        <f>_xlfn.XLOOKUP($A555,'[1]DATOS PBI Artículos'!A:A,'[1]DATOS PBI Artículos'!B:B)</f>
        <v>0</v>
      </c>
      <c r="C555" s="33">
        <f>_xlfn.XLOOKUP($A555,'[1]DATOS PBI Artículos'!A:A,'[1]DATOS PBI Artículos'!C:C)</f>
        <v>0</v>
      </c>
      <c r="D555" s="33">
        <f>_xlfn.XLOOKUP(A555,'[1]DATOS PBI Artículos'!A:A,'[1]DATOS PBI Artículos'!T:T)</f>
        <v>0</v>
      </c>
      <c r="E555" s="34">
        <f>IF(_xlfn.XLOOKUP($A555,'[1]DATOS PBI Artículos'!A:A,'[1]DATOS PBI Artículos'!AK:AK)="",_xlfn.XLOOKUP($A555,'[1]DATOS PBI Artículos'!A:A,'[1]DATOS PBI Artículos'!AJ:AJ),_xlfn.XLOOKUP($A555,'[1]DATOS PBI Artículos'!A:A,'[1]DATOS PBI Artículos'!AK:AK))</f>
        <v>0</v>
      </c>
      <c r="F555" s="35">
        <f>_xlfn.XLOOKUP($A555,'[1]DATOS PBI Artículos'!A:A,'[1]DATOS PBI Artículos'!AP:AP)</f>
        <v>0</v>
      </c>
      <c r="G555" s="34">
        <f>_xlfn.XLOOKUP($A555,'[1]DATOS PBI Artículos'!A:A,'[1]DATOS PBI Artículos'!AR:AR)</f>
        <v>0</v>
      </c>
      <c r="H555" s="34">
        <f>_xlfn.XLOOKUP($A555,'[1]DATOS PBI Artículos'!A:A,'[1]DATOS PBI Artículos'!AT:AT)</f>
        <v>0</v>
      </c>
      <c r="I555" s="34">
        <f>_xlfn.XLOOKUP($A555,'[1]DATOS PBI Artículos'!A:A,'[1]DATOS PBI Artículos'!AS:AS)</f>
        <v>0</v>
      </c>
      <c r="J555" s="35">
        <f>IF(COUNTIF([1]CRITERIOS!$F$179:$F$199,$A555)&gt;=1,
 IF(O555&lt;&gt;"",
    (O555/_xlfn.XLOOKUP(CONCATENATE(A555,L555),[1]MÁQUINAS!A:A,[1]MÁQUINAS!D:D))/24,
    (N555/_xlfn.XLOOKUP(CONCATENATE(A555,L555),[1]MÁQUINAS!A:A,[1]MÁQUINAS!D:D))/24),
  _xlfn.XLOOKUP($A555,'[1]DATOS PBI Artículos'!A:A,'[1]DATOS PBI Artículos'!AU:AU))</f>
        <v>0</v>
      </c>
      <c r="K555" s="36">
        <f>_xlfn.XLOOKUP($A555,'[1]DATOS PBI Artículos'!A:A,'[1]DATOS PBI Artículos'!AV:AV)</f>
        <v>0</v>
      </c>
      <c r="L555" s="33">
        <f>_xlfn.XLOOKUP(A555,[1]MÁQUINAS!B:B,[1]MÁQUINAS!C:C)</f>
        <v>0</v>
      </c>
      <c r="M555" s="34">
        <f t="array" ref="M555">_xlfn.XLOOKUP(A555,'[1]DATOS PBI Artículos'!A:A,'[1]DATOS PBI Artículos'!AX:$AX)</f>
        <v>0</v>
      </c>
      <c r="N555" s="37" t="e">
        <f>IF(I555="DV",
E555,
IF(COUNTIF([1]CRITERIOS!$I$179:$I$199,$A555)&gt;=1,
_xlfn.XLOOKUP($A555,[1]CRITERIOS!$I$179:$I$199,[1]CRITERIOS!$J$179:$J$199),
IF(COUNTIF([1]CRITERIOS!$L$179:$L$199,$A555)&gt;=1,
_xlfn.CEILING.MATH(IF($M555&gt;$E555,
$E555,
IF($M555&lt;$E555/ROUNDDOWN([1]CRITERIOS!$M$16/_xlfn.XLOOKUP($C555,[1]CRITERIOS!$K$25:$K$42,[1]CRITERIOS!$M$25:$M$42),
1),
E555/ROUNDDOWN([1]CRITERIOS!$M$16/_xlfn.XLOOKUP($C555,[1]CRITERIOS!$K$25:$K$42,[1]CRITERIOS!$M$25:$M$42),
1),
$M555)),
_xlfn.XLOOKUP($A555,[1]CRITERIOS!$L$179:$L$200,[1]CRITERIOS!$M$179:$M$200)),
_xlfn.CEILING.MATH(IF($M555&gt;$E555,
$E555,
IF($M555&lt;$E555/ROUNDDOWN([1]CRITERIOS!$M$16/_xlfn.XLOOKUP($C555,[1]CRITERIOS!$K$25:$K$42,[1]CRITERIOS!$M$25:$M$42),
1),
E555/ROUNDDOWN([1]CRITERIOS!$M$16/_xlfn.XLOOKUP($C555,[1]CRITERIOS!$K$25:$K$42,[1]CRITERIOS!$M$25:$M$42),
1),
$M555)),_xlfn.XLOOKUP(A555,'[1]DATOS PBI Artículos'!A:A,'[1]DATOS PBI Artículos'!Z:Z
)))))</f>
        <v>#N/A</v>
      </c>
      <c r="Q555" s="38" t="e">
        <f>IF(AND(O555="",N555=0),
0,
   IF(COUNTIF([1]CRITERIOS!$F$179:$F$199,$A555)&gt;=1,
   1,
   IF(R555="MTO",
      $D555,
      ROUNDUP(
                    IF(($E555-SUMIF('[1]DATOS PBI Artículos'!A:A,A555,'[1]DATOS PBI Artículos'!X:X)+($V555-_xlfn.XLOOKUP(A555,'[1]DATOS PBI Artículos'!A:A,'[1]DATOS PBI Artículos'!W:W)))&lt;0,
                    0,
                    IF(($E555-SUMIF('[1]DATOS PBI Artículos'!A:A,A555,'[1]DATOS PBI Artículos'!X:X)+$V555-_xlfn.XLOOKUP($A555,'[1]DATOS PBI Artículos'!A:A,'[1]DATOS PBI Artículos'!W:W))/IF($O555="",$N555,$O555)&gt;ROUNDUP([1]CRITERIOS!$M$16/(IF(COUNTIF([1]CRITERIOS!$BG$11:$BG$201,L555)&gt;=1,_xlfn.XLOOKUP($C555,[1]CRITERIOS!$K$25:$K$42,[1]CRITERIOS!$M$25:$M$42),_xlfn.XLOOKUP($C555,[1]CRITERIOS!$K$25:$K$42,[1]CRITERIOS!$M$25:$M$42))),0),
                    ROUNDUP([1]CRITERIOS!$M$16/(IF(COUNTIF([1]CRITERIOS!$BG$11:$BG$201,$L555)&gt;=1,_xlfn.XLOOKUP($C555,[1]CRITERIOS!$K$25:$K$42,[1]CRITERIOS!$M$25:$M$42),_xlfn.XLOOKUP($C555,[1]CRITERIOS!$K$25:$K$42,[1]CRITERIOS!$M$25:$M$42))),0),
                    (E555+V555-SUMIF('[1]DATOS PBI Artículos'!A:A,A555,'[1]DATOS PBI Artículos'!X:X)-_xlfn.XLOOKUP(A555,'[1]DATOS PBI Artículos'!A:A,'[1]DATOS PBI Artículos'!W:W))/IF($O555="",$N555,$O555))),0))))</f>
        <v>#N/A</v>
      </c>
      <c r="R555" s="33" t="e">
        <f>IF(U555&lt;&gt;"",U555,IF(F555="DV","MTO",IF(N555=0,"MTO",_xlfn.XLOOKUP(CONCATENATE(S555,T555),[1]CRITERIOS!$K$160:$K$168,[1]CRITERIOS!$N$160:$N$168))))</f>
        <v>#N/A</v>
      </c>
      <c r="S555" s="33" t="e">
        <f>IF(G555="DV","MTO",IF(N555=0,"MTO",IF(OR(AND(N555=0,O555=""),IF(O555="",G555/N555,G555/O555)&gt;[1]CRITERIOS!$G$163),"MTO",IF(IF(O555="",G555/N555,G555/O555)&lt;[1]CRITERIOS!$H$161,"MTS","MTOS"))))</f>
        <v>#N/A</v>
      </c>
      <c r="T555" s="33" t="e">
        <f>IF(F555="DV","MTO",IF(OR(AND($N555=0,O555=""),$F555/$J555&gt;[1]CRITERIOS!$G$170,$F555="DV"),"MTO",IF($F555/$J555&lt;[1]CRITERIOS!$H$168,"MTS","MTOS")))</f>
        <v>#N/A</v>
      </c>
      <c r="V555" s="34" t="e">
        <f t="shared" si="28"/>
        <v>#N/A</v>
      </c>
      <c r="X555" s="34" t="e">
        <f t="shared" si="26"/>
        <v>#N/A</v>
      </c>
      <c r="Y555" s="34" t="e">
        <f t="shared" si="27"/>
        <v>#N/A</v>
      </c>
      <c r="Z555" s="34" t="e">
        <f>IF($R555="MTO",
0,
($H555+$K555*($E555/[1]CRITERIOS!$M$16))/[1]CRITERIOS!$X$48)</f>
        <v>#N/A</v>
      </c>
      <c r="AA555" s="34" t="e">
        <f>ROUNDUP(($Y555/_xlfn.XLOOKUP($A555,'[1]DATOS PBI Artículos'!$A$4:$A$4,'[1]DATOS PBI Artículos'!$Z$4:$Z$4))/_xlfn.XLOOKUP(_xlfn.XLOOKUP($A555,'[1]DATOS PBI Artículos'!$A$4:$A$4,'[1]DATOS PBI Artículos'!$Y$4:$Y$4),[1]CRITERIOS!$P$79:$P$123,[1]CRITERIOS!$S$79:$S$123,),0)</f>
        <v>#N/A</v>
      </c>
      <c r="AB555" s="33" t="e">
        <f t="array" ref="AB555">IF((E555+V555-_xlfn.XLOOKUP(A555,'[1]DATOS PBI Artículos'!$A$4:$A$4,'[1]DATOS PBI Artículos'!$W$4:$W$4))/N555&gt;ROUNDUP([1]CRITERIOS!$M$16/(IF(COUNTIF([1]CRITERIOS!$BG$11:$BG$201,L555)&gt;=1,_xlfn.XLOOKUP(ARTÍCULOS!L555,[1]CRITERIOS!$BG$11:$BG$201,[1]CRITERIOS!$BJ$11:$BJ$201),_xlfn.XLOOKUP(ARTÍCULOS!C555,[1]CRITERIOS!$K$25:$K$42,[1]CRITERIOS!$M$25:$M$42))),0),ROUNDUP([1]CRITERIOS!$M$16/(IF(COUNTIF([1]CRITERIOS!$BG$11:$BG$201,L555)&gt;=1,_xlfn.XLOOKUP(ARTÍCULOS!L555,[1]CRITERIOS!$BG$11:$BG$201:#REF!,[1]CRITERIOS!$BJ$11:$BJ$201),_xlfn.XLOOKUP(ARTÍCULOS!C555,[1]CRITERIOS!$K$25:$K$42,[1]CRITERIOS!$M$25:$M$42))),0),(E555+V555-_xlfn.XLOOKUP(A555,'[1]DATOS PBI Artículos'!$A$4:$A$4,'[1]DATOS PBI Artículos'!$W$4:$W$4))/N555)</f>
        <v>#N/A</v>
      </c>
      <c r="AC555" s="33" t="e">
        <f>IF(N555=0,"",(ROUNDUP((N555/2)/(_xlfn.XLOOKUP(A555,'[1]DATOS PBI Artículos'!$A$4:$A$4,'[1]DATOS PBI Artículos'!$Z$4:$Z$4)*_xlfn.XLOOKUP(_xlfn.XLOOKUP(A555,'[1]DATOS PBI Artículos'!$A$4:$A$4,'[1]DATOS PBI Artículos'!$Y$4:$Y$4),[1]CRITERIOS!$P$79:$P$123,[1]CRITERIOS!$S$79:$S$123)),0)*[1]CRITERIOS!$M$80*([1]CRITERIOS!$M$110/[1]CRITERIOS!$M$86)+(_xlfn.XLOOKUP(A555,'[1]DATOS PBI Artículos'!$A$4:$A$4,'[1]DATOS PBI Artículos'!$AA$4:$AA$4)*([1]CRITERIOS!$M$95+[1]CRITERIOS!$M$98)))/N555)</f>
        <v>#N/A</v>
      </c>
      <c r="AD555" s="33" t="e">
        <f>IF(N555=0,"",(ROUNDUP((N555/2)/(_xlfn.XLOOKUP(A555,'[1]DATOS PBI Artículos'!$A$4:$A$4,'[1]DATOS PBI Artículos'!$Z$4:$Z$4)*_xlfn.XLOOKUP(_xlfn.XLOOKUP(A555,'[1]DATOS PBI Artículos'!$A$4:$A$4,'[1]DATOS PBI Artículos'!$Y$4:$Y$4),[1]CRITERIOS!$P$79:$P$123,[1]CRITERIOS!$S$79:$S$123)),0)*[1]CRITERIOS!$M$80*([1]CRITERIOS!$M$89*[1]CRITERIOS!$M$92)+((_xlfn.XLOOKUP(A555,'[1]DATOS PBI Artículos'!$A$4:$A$4,'[1]DATOS PBI Artículos'!$AA$4:$AA$4)/2)*([1]CRITERIOS!$M$95+[1]CRITERIOS!$M$98)))/N555)</f>
        <v>#N/A</v>
      </c>
      <c r="AE555" s="39" t="e">
        <f>IF($R555="MTO","",
IF($H555=0,ROUNDUP(((_xlfn.XLOOKUP($A555,'[1]DATOS PBI Artículos'!$A:$A,'[1]DATOS PBI Artículos'!$AL:$AL))/(_xlfn.XLOOKUP($AF$1,[1]CRITERIOS!$S$16:$S$39,[1]CRITERIOS!$Y$16:$Y$39))*$J555+$Z555)/$G555,0)*$G555,
((_xlfn.XLOOKUP($A555,'[1]DATOS PBI Artículos'!$A:$A,'[1]DATOS PBI Artículos'!$AL:$AL))/(_xlfn.XLOOKUP($AF$1,[1]CRITERIOS!$S$16:$S$39,[1]CRITERIOS!$Y$16:$Y$39))*$J555+$Z555)))</f>
        <v>#N/A</v>
      </c>
      <c r="AG555" s="39" t="e">
        <f>IF($R555="MTO","",
IF($H555=0,ROUNDUP(((_xlfn.XLOOKUP($A555,'[1]DATOS PBI Artículos'!$A:$A,'[1]DATOS PBI Artículos'!$AM:$AM))/(_xlfn.XLOOKUP($AH$1,[1]CRITERIOS!$S$16:$S$39,[1]CRITERIOS!$Y$16:$Y$39))*$J555+$Z555)/$G555,0)*$G555,
((_xlfn.XLOOKUP($A555,'[1]DATOS PBI Artículos'!$A:$A,'[1]DATOS PBI Artículos'!$AM:$AM))/(_xlfn.XLOOKUP($AH$1,[1]CRITERIOS!$S$16:$S$39,[1]CRITERIOS!$Y$16:$Y$39))*$J555+$Z555)))</f>
        <v>#N/A</v>
      </c>
      <c r="AI555" s="39" t="e">
        <f>IF($R555="MTO","",
IF($H555=0,ROUNDUP(((_xlfn.XLOOKUP($A555,'[1]DATOS PBI Artículos'!$A:$A,'[1]DATOS PBI Artículos'!$AN:$AN))/(_xlfn.XLOOKUP($AJ$1,[1]CRITERIOS!$S$16:$S$39,[1]CRITERIOS!$Y$16:$Y$39))*$J555+$Z555)/$G555,0)*$G555,
((_xlfn.XLOOKUP($A555,'[1]DATOS PBI Artículos'!$A:$A,'[1]DATOS PBI Artículos'!$AN:$AN))/(_xlfn.XLOOKUP($AJ$1,[1]CRITERIOS!$S$16:$S$39,[1]CRITERIOS!$Y$16:$Y$39))*$J555+$Z555)))</f>
        <v>#N/A</v>
      </c>
      <c r="AK555" s="39" t="e">
        <f>IF($R555="MTO","",
IF($H555=0,ROUNDUP(((_xlfn.XLOOKUP($A555,'[1]DATOS PBI Artículos'!$A:$A,'[1]DATOS PBI Artículos'!$AO:$AO))/(_xlfn.XLOOKUP($AL$1,[1]CRITERIOS!$S$16:$S$39,[1]CRITERIOS!$Y$16:$Y$39))*$J555+$Z555)/$G555,0)*$G555,
((_xlfn.XLOOKUP($A555,'[1]DATOS PBI Artículos'!$A:$A,'[1]DATOS PBI Artículos'!$AO:$AO))/(_xlfn.XLOOKUP($AL$1,[1]CRITERIOS!$S$16:$S$39,[1]CRITERIOS!$Y$16:$Y$39))*$J555+$Z555)))</f>
        <v>#N/A</v>
      </c>
    </row>
    <row r="556" spans="1:37" ht="25.8" hidden="1" x14ac:dyDescent="0.4">
      <c r="A556" s="41"/>
      <c r="B556" s="33">
        <f>_xlfn.XLOOKUP($A556,'[1]DATOS PBI Artículos'!A:A,'[1]DATOS PBI Artículos'!B:B)</f>
        <v>0</v>
      </c>
      <c r="C556" s="33">
        <f>_xlfn.XLOOKUP($A556,'[1]DATOS PBI Artículos'!A:A,'[1]DATOS PBI Artículos'!C:C)</f>
        <v>0</v>
      </c>
      <c r="D556" s="33">
        <f>_xlfn.XLOOKUP(A556,'[1]DATOS PBI Artículos'!A:A,'[1]DATOS PBI Artículos'!T:T)</f>
        <v>0</v>
      </c>
      <c r="E556" s="34">
        <f>IF(_xlfn.XLOOKUP($A556,'[1]DATOS PBI Artículos'!A:A,'[1]DATOS PBI Artículos'!AK:AK)="",_xlfn.XLOOKUP($A556,'[1]DATOS PBI Artículos'!A:A,'[1]DATOS PBI Artículos'!AJ:AJ),_xlfn.XLOOKUP($A556,'[1]DATOS PBI Artículos'!A:A,'[1]DATOS PBI Artículos'!AK:AK))</f>
        <v>0</v>
      </c>
      <c r="F556" s="35">
        <f>_xlfn.XLOOKUP($A556,'[1]DATOS PBI Artículos'!A:A,'[1]DATOS PBI Artículos'!AP:AP)</f>
        <v>0</v>
      </c>
      <c r="G556" s="34">
        <f>_xlfn.XLOOKUP($A556,'[1]DATOS PBI Artículos'!A:A,'[1]DATOS PBI Artículos'!AR:AR)</f>
        <v>0</v>
      </c>
      <c r="H556" s="34">
        <f>_xlfn.XLOOKUP($A556,'[1]DATOS PBI Artículos'!A:A,'[1]DATOS PBI Artículos'!AT:AT)</f>
        <v>0</v>
      </c>
      <c r="I556" s="34">
        <f>_xlfn.XLOOKUP($A556,'[1]DATOS PBI Artículos'!A:A,'[1]DATOS PBI Artículos'!AS:AS)</f>
        <v>0</v>
      </c>
      <c r="J556" s="35">
        <f>IF(COUNTIF([1]CRITERIOS!$F$179:$F$199,$A556)&gt;=1,
 IF(O556&lt;&gt;"",
    (O556/_xlfn.XLOOKUP(CONCATENATE(A556,L556),[1]MÁQUINAS!A:A,[1]MÁQUINAS!D:D))/24,
    (N556/_xlfn.XLOOKUP(CONCATENATE(A556,L556),[1]MÁQUINAS!A:A,[1]MÁQUINAS!D:D))/24),
  _xlfn.XLOOKUP($A556,'[1]DATOS PBI Artículos'!A:A,'[1]DATOS PBI Artículos'!AU:AU))</f>
        <v>0</v>
      </c>
      <c r="K556" s="36">
        <f>_xlfn.XLOOKUP($A556,'[1]DATOS PBI Artículos'!A:A,'[1]DATOS PBI Artículos'!AV:AV)</f>
        <v>0</v>
      </c>
      <c r="L556" s="33">
        <f>_xlfn.XLOOKUP(A556,[1]MÁQUINAS!B:B,[1]MÁQUINAS!C:C)</f>
        <v>0</v>
      </c>
      <c r="M556" s="34">
        <f t="array" ref="M556">_xlfn.XLOOKUP(A556,'[1]DATOS PBI Artículos'!A:A,'[1]DATOS PBI Artículos'!AX:$AX)</f>
        <v>0</v>
      </c>
      <c r="N556" s="37" t="e">
        <f>IF(I556="DV",
E556,
IF(COUNTIF([1]CRITERIOS!$I$179:$I$199,$A556)&gt;=1,
_xlfn.XLOOKUP($A556,[1]CRITERIOS!$I$179:$I$199,[1]CRITERIOS!$J$179:$J$199),
IF(COUNTIF([1]CRITERIOS!$L$179:$L$199,$A556)&gt;=1,
_xlfn.CEILING.MATH(IF($M556&gt;$E556,
$E556,
IF($M556&lt;$E556/ROUNDDOWN([1]CRITERIOS!$M$16/_xlfn.XLOOKUP($C556,[1]CRITERIOS!$K$25:$K$42,[1]CRITERIOS!$M$25:$M$42),
1),
E556/ROUNDDOWN([1]CRITERIOS!$M$16/_xlfn.XLOOKUP($C556,[1]CRITERIOS!$K$25:$K$42,[1]CRITERIOS!$M$25:$M$42),
1),
$M556)),
_xlfn.XLOOKUP($A556,[1]CRITERIOS!$L$179:$L$200,[1]CRITERIOS!$M$179:$M$200)),
_xlfn.CEILING.MATH(IF($M556&gt;$E556,
$E556,
IF($M556&lt;$E556/ROUNDDOWN([1]CRITERIOS!$M$16/_xlfn.XLOOKUP($C556,[1]CRITERIOS!$K$25:$K$42,[1]CRITERIOS!$M$25:$M$42),
1),
E556/ROUNDDOWN([1]CRITERIOS!$M$16/_xlfn.XLOOKUP($C556,[1]CRITERIOS!$K$25:$K$42,[1]CRITERIOS!$M$25:$M$42),
1),
$M556)),_xlfn.XLOOKUP(A556,'[1]DATOS PBI Artículos'!A:A,'[1]DATOS PBI Artículos'!Z:Z
)))))</f>
        <v>#N/A</v>
      </c>
      <c r="Q556" s="38" t="e">
        <f>IF(AND(O556="",N556=0),
0,
   IF(COUNTIF([1]CRITERIOS!$F$179:$F$199,$A556)&gt;=1,
   1,
   IF(R556="MTO",
      $D556,
      ROUNDUP(
                    IF(($E556-SUMIF('[1]DATOS PBI Artículos'!A:A,A556,'[1]DATOS PBI Artículos'!X:X)+($V556-_xlfn.XLOOKUP(A556,'[1]DATOS PBI Artículos'!A:A,'[1]DATOS PBI Artículos'!W:W)))&lt;0,
                    0,
                    IF(($E556-SUMIF('[1]DATOS PBI Artículos'!A:A,A556,'[1]DATOS PBI Artículos'!X:X)+$V556-_xlfn.XLOOKUP($A556,'[1]DATOS PBI Artículos'!A:A,'[1]DATOS PBI Artículos'!W:W))/IF($O556="",$N556,$O556)&gt;ROUNDUP([1]CRITERIOS!$M$16/(IF(COUNTIF([1]CRITERIOS!$BG$11:$BG$201,L556)&gt;=1,_xlfn.XLOOKUP($C556,[1]CRITERIOS!$K$25:$K$42,[1]CRITERIOS!$M$25:$M$42),_xlfn.XLOOKUP($C556,[1]CRITERIOS!$K$25:$K$42,[1]CRITERIOS!$M$25:$M$42))),0),
                    ROUNDUP([1]CRITERIOS!$M$16/(IF(COUNTIF([1]CRITERIOS!$BG$11:$BG$201,$L556)&gt;=1,_xlfn.XLOOKUP($C556,[1]CRITERIOS!$K$25:$K$42,[1]CRITERIOS!$M$25:$M$42),_xlfn.XLOOKUP($C556,[1]CRITERIOS!$K$25:$K$42,[1]CRITERIOS!$M$25:$M$42))),0),
                    (E556+V556-SUMIF('[1]DATOS PBI Artículos'!A:A,A556,'[1]DATOS PBI Artículos'!X:X)-_xlfn.XLOOKUP(A556,'[1]DATOS PBI Artículos'!A:A,'[1]DATOS PBI Artículos'!W:W))/IF($O556="",$N556,$O556))),0))))</f>
        <v>#N/A</v>
      </c>
      <c r="R556" s="33" t="e">
        <f>IF(U556&lt;&gt;"",U556,IF(F556="DV","MTO",IF(N556=0,"MTO",_xlfn.XLOOKUP(CONCATENATE(S556,T556),[1]CRITERIOS!$K$160:$K$168,[1]CRITERIOS!$N$160:$N$168))))</f>
        <v>#N/A</v>
      </c>
      <c r="S556" s="33" t="e">
        <f>IF(G556="DV","MTO",IF(N556=0,"MTO",IF(OR(AND(N556=0,O556=""),IF(O556="",G556/N556,G556/O556)&gt;[1]CRITERIOS!$G$163),"MTO",IF(IF(O556="",G556/N556,G556/O556)&lt;[1]CRITERIOS!$H$161,"MTS","MTOS"))))</f>
        <v>#N/A</v>
      </c>
      <c r="T556" s="33" t="e">
        <f>IF(F556="DV","MTO",IF(OR(AND($N556=0,O556=""),$F556/$J556&gt;[1]CRITERIOS!$G$170,$F556="DV"),"MTO",IF($F556/$J556&lt;[1]CRITERIOS!$H$168,"MTS","MTOS")))</f>
        <v>#N/A</v>
      </c>
      <c r="V556" s="34" t="e">
        <f t="shared" si="28"/>
        <v>#N/A</v>
      </c>
      <c r="X556" s="34" t="e">
        <f t="shared" si="26"/>
        <v>#N/A</v>
      </c>
      <c r="Y556" s="34" t="e">
        <f t="shared" si="27"/>
        <v>#N/A</v>
      </c>
      <c r="Z556" s="34" t="e">
        <f>IF($R556="MTO",
0,
($H556+$K556*($E556/[1]CRITERIOS!$M$16))/[1]CRITERIOS!$X$48)</f>
        <v>#N/A</v>
      </c>
      <c r="AA556" s="34" t="e">
        <f>ROUNDUP(($Y556/_xlfn.XLOOKUP($A556,'[1]DATOS PBI Artículos'!$A$4:$A$4,'[1]DATOS PBI Artículos'!$Z$4:$Z$4))/_xlfn.XLOOKUP(_xlfn.XLOOKUP($A556,'[1]DATOS PBI Artículos'!$A$4:$A$4,'[1]DATOS PBI Artículos'!$Y$4:$Y$4),[1]CRITERIOS!$P$79:$P$123,[1]CRITERIOS!$S$79:$S$123,),0)</f>
        <v>#N/A</v>
      </c>
      <c r="AB556" s="33" t="e">
        <f t="array" ref="AB556">IF((E556+V556-_xlfn.XLOOKUP(A556,'[1]DATOS PBI Artículos'!$A$4:$A$4,'[1]DATOS PBI Artículos'!$W$4:$W$4))/N556&gt;ROUNDUP([1]CRITERIOS!$M$16/(IF(COUNTIF([1]CRITERIOS!$BG$11:$BG$201,L556)&gt;=1,_xlfn.XLOOKUP(ARTÍCULOS!L556,[1]CRITERIOS!$BG$11:$BG$201,[1]CRITERIOS!$BJ$11:$BJ$201),_xlfn.XLOOKUP(ARTÍCULOS!C556,[1]CRITERIOS!$K$25:$K$42,[1]CRITERIOS!$M$25:$M$42))),0),ROUNDUP([1]CRITERIOS!$M$16/(IF(COUNTIF([1]CRITERIOS!$BG$11:$BG$201,L556)&gt;=1,_xlfn.XLOOKUP(ARTÍCULOS!L556,[1]CRITERIOS!$BG$11:$BG$201:#REF!,[1]CRITERIOS!$BJ$11:$BJ$201),_xlfn.XLOOKUP(ARTÍCULOS!C556,[1]CRITERIOS!$K$25:$K$42,[1]CRITERIOS!$M$25:$M$42))),0),(E556+V556-_xlfn.XLOOKUP(A556,'[1]DATOS PBI Artículos'!$A$4:$A$4,'[1]DATOS PBI Artículos'!$W$4:$W$4))/N556)</f>
        <v>#N/A</v>
      </c>
      <c r="AC556" s="33" t="e">
        <f>IF(N556=0,"",(ROUNDUP((N556/2)/(_xlfn.XLOOKUP(A556,'[1]DATOS PBI Artículos'!$A$4:$A$4,'[1]DATOS PBI Artículos'!$Z$4:$Z$4)*_xlfn.XLOOKUP(_xlfn.XLOOKUP(A556,'[1]DATOS PBI Artículos'!$A$4:$A$4,'[1]DATOS PBI Artículos'!$Y$4:$Y$4),[1]CRITERIOS!$P$79:$P$123,[1]CRITERIOS!$S$79:$S$123)),0)*[1]CRITERIOS!$M$80*([1]CRITERIOS!$M$110/[1]CRITERIOS!$M$86)+(_xlfn.XLOOKUP(A556,'[1]DATOS PBI Artículos'!$A$4:$A$4,'[1]DATOS PBI Artículos'!$AA$4:$AA$4)*([1]CRITERIOS!$M$95+[1]CRITERIOS!$M$98)))/N556)</f>
        <v>#N/A</v>
      </c>
      <c r="AD556" s="33" t="e">
        <f>IF(N556=0,"",(ROUNDUP((N556/2)/(_xlfn.XLOOKUP(A556,'[1]DATOS PBI Artículos'!$A$4:$A$4,'[1]DATOS PBI Artículos'!$Z$4:$Z$4)*_xlfn.XLOOKUP(_xlfn.XLOOKUP(A556,'[1]DATOS PBI Artículos'!$A$4:$A$4,'[1]DATOS PBI Artículos'!$Y$4:$Y$4),[1]CRITERIOS!$P$79:$P$123,[1]CRITERIOS!$S$79:$S$123)),0)*[1]CRITERIOS!$M$80*([1]CRITERIOS!$M$89*[1]CRITERIOS!$M$92)+((_xlfn.XLOOKUP(A556,'[1]DATOS PBI Artículos'!$A$4:$A$4,'[1]DATOS PBI Artículos'!$AA$4:$AA$4)/2)*([1]CRITERIOS!$M$95+[1]CRITERIOS!$M$98)))/N556)</f>
        <v>#N/A</v>
      </c>
      <c r="AE556" s="39" t="e">
        <f>IF($R556="MTO","",
IF($H556=0,ROUNDUP(((_xlfn.XLOOKUP($A556,'[1]DATOS PBI Artículos'!$A:$A,'[1]DATOS PBI Artículos'!$AL:$AL))/(_xlfn.XLOOKUP($AF$1,[1]CRITERIOS!$S$16:$S$39,[1]CRITERIOS!$Y$16:$Y$39))*$J556+$Z556)/$G556,0)*$G556,
((_xlfn.XLOOKUP($A556,'[1]DATOS PBI Artículos'!$A:$A,'[1]DATOS PBI Artículos'!$AL:$AL))/(_xlfn.XLOOKUP($AF$1,[1]CRITERIOS!$S$16:$S$39,[1]CRITERIOS!$Y$16:$Y$39))*$J556+$Z556)))</f>
        <v>#N/A</v>
      </c>
      <c r="AG556" s="39" t="e">
        <f>IF($R556="MTO","",
IF($H556=0,ROUNDUP(((_xlfn.XLOOKUP($A556,'[1]DATOS PBI Artículos'!$A:$A,'[1]DATOS PBI Artículos'!$AM:$AM))/(_xlfn.XLOOKUP($AH$1,[1]CRITERIOS!$S$16:$S$39,[1]CRITERIOS!$Y$16:$Y$39))*$J556+$Z556)/$G556,0)*$G556,
((_xlfn.XLOOKUP($A556,'[1]DATOS PBI Artículos'!$A:$A,'[1]DATOS PBI Artículos'!$AM:$AM))/(_xlfn.XLOOKUP($AH$1,[1]CRITERIOS!$S$16:$S$39,[1]CRITERIOS!$Y$16:$Y$39))*$J556+$Z556)))</f>
        <v>#N/A</v>
      </c>
      <c r="AI556" s="39" t="e">
        <f>IF($R556="MTO","",
IF($H556=0,ROUNDUP(((_xlfn.XLOOKUP($A556,'[1]DATOS PBI Artículos'!$A:$A,'[1]DATOS PBI Artículos'!$AN:$AN))/(_xlfn.XLOOKUP($AJ$1,[1]CRITERIOS!$S$16:$S$39,[1]CRITERIOS!$Y$16:$Y$39))*$J556+$Z556)/$G556,0)*$G556,
((_xlfn.XLOOKUP($A556,'[1]DATOS PBI Artículos'!$A:$A,'[1]DATOS PBI Artículos'!$AN:$AN))/(_xlfn.XLOOKUP($AJ$1,[1]CRITERIOS!$S$16:$S$39,[1]CRITERIOS!$Y$16:$Y$39))*$J556+$Z556)))</f>
        <v>#N/A</v>
      </c>
      <c r="AK556" s="39" t="e">
        <f>IF($R556="MTO","",
IF($H556=0,ROUNDUP(((_xlfn.XLOOKUP($A556,'[1]DATOS PBI Artículos'!$A:$A,'[1]DATOS PBI Artículos'!$AO:$AO))/(_xlfn.XLOOKUP($AL$1,[1]CRITERIOS!$S$16:$S$39,[1]CRITERIOS!$Y$16:$Y$39))*$J556+$Z556)/$G556,0)*$G556,
((_xlfn.XLOOKUP($A556,'[1]DATOS PBI Artículos'!$A:$A,'[1]DATOS PBI Artículos'!$AO:$AO))/(_xlfn.XLOOKUP($AL$1,[1]CRITERIOS!$S$16:$S$39,[1]CRITERIOS!$Y$16:$Y$39))*$J556+$Z556)))</f>
        <v>#N/A</v>
      </c>
    </row>
    <row r="557" spans="1:37" ht="25.8" hidden="1" x14ac:dyDescent="0.4">
      <c r="A557" s="41"/>
      <c r="B557" s="33">
        <f>_xlfn.XLOOKUP($A557,'[1]DATOS PBI Artículos'!A:A,'[1]DATOS PBI Artículos'!B:B)</f>
        <v>0</v>
      </c>
      <c r="C557" s="33">
        <f>_xlfn.XLOOKUP($A557,'[1]DATOS PBI Artículos'!A:A,'[1]DATOS PBI Artículos'!C:C)</f>
        <v>0</v>
      </c>
      <c r="D557" s="33">
        <f>_xlfn.XLOOKUP(A557,'[1]DATOS PBI Artículos'!A:A,'[1]DATOS PBI Artículos'!T:T)</f>
        <v>0</v>
      </c>
      <c r="E557" s="34">
        <f>IF(_xlfn.XLOOKUP($A557,'[1]DATOS PBI Artículos'!A:A,'[1]DATOS PBI Artículos'!AK:AK)="",_xlfn.XLOOKUP($A557,'[1]DATOS PBI Artículos'!A:A,'[1]DATOS PBI Artículos'!AJ:AJ),_xlfn.XLOOKUP($A557,'[1]DATOS PBI Artículos'!A:A,'[1]DATOS PBI Artículos'!AK:AK))</f>
        <v>0</v>
      </c>
      <c r="F557" s="35">
        <f>_xlfn.XLOOKUP($A557,'[1]DATOS PBI Artículos'!A:A,'[1]DATOS PBI Artículos'!AP:AP)</f>
        <v>0</v>
      </c>
      <c r="G557" s="34">
        <f>_xlfn.XLOOKUP($A557,'[1]DATOS PBI Artículos'!A:A,'[1]DATOS PBI Artículos'!AR:AR)</f>
        <v>0</v>
      </c>
      <c r="H557" s="34">
        <f>_xlfn.XLOOKUP($A557,'[1]DATOS PBI Artículos'!A:A,'[1]DATOS PBI Artículos'!AT:AT)</f>
        <v>0</v>
      </c>
      <c r="I557" s="34">
        <f>_xlfn.XLOOKUP($A557,'[1]DATOS PBI Artículos'!A:A,'[1]DATOS PBI Artículos'!AS:AS)</f>
        <v>0</v>
      </c>
      <c r="J557" s="35">
        <f>IF(COUNTIF([1]CRITERIOS!$F$179:$F$199,$A557)&gt;=1,
 IF(O557&lt;&gt;"",
    (O557/_xlfn.XLOOKUP(CONCATENATE(A557,L557),[1]MÁQUINAS!A:A,[1]MÁQUINAS!D:D))/24,
    (N557/_xlfn.XLOOKUP(CONCATENATE(A557,L557),[1]MÁQUINAS!A:A,[1]MÁQUINAS!D:D))/24),
  _xlfn.XLOOKUP($A557,'[1]DATOS PBI Artículos'!A:A,'[1]DATOS PBI Artículos'!AU:AU))</f>
        <v>0</v>
      </c>
      <c r="K557" s="36">
        <f>_xlfn.XLOOKUP($A557,'[1]DATOS PBI Artículos'!A:A,'[1]DATOS PBI Artículos'!AV:AV)</f>
        <v>0</v>
      </c>
      <c r="L557" s="33">
        <f>_xlfn.XLOOKUP(A557,[1]MÁQUINAS!B:B,[1]MÁQUINAS!C:C)</f>
        <v>0</v>
      </c>
      <c r="M557" s="34">
        <f t="array" ref="M557">_xlfn.XLOOKUP(A557,'[1]DATOS PBI Artículos'!A:A,'[1]DATOS PBI Artículos'!AX:$AX)</f>
        <v>0</v>
      </c>
      <c r="N557" s="37" t="e">
        <f>IF(I557="DV",
E557,
IF(COUNTIF([1]CRITERIOS!$I$179:$I$199,$A557)&gt;=1,
_xlfn.XLOOKUP($A557,[1]CRITERIOS!$I$179:$I$199,[1]CRITERIOS!$J$179:$J$199),
IF(COUNTIF([1]CRITERIOS!$L$179:$L$199,$A557)&gt;=1,
_xlfn.CEILING.MATH(IF($M557&gt;$E557,
$E557,
IF($M557&lt;$E557/ROUNDDOWN([1]CRITERIOS!$M$16/_xlfn.XLOOKUP($C557,[1]CRITERIOS!$K$25:$K$42,[1]CRITERIOS!$M$25:$M$42),
1),
E557/ROUNDDOWN([1]CRITERIOS!$M$16/_xlfn.XLOOKUP($C557,[1]CRITERIOS!$K$25:$K$42,[1]CRITERIOS!$M$25:$M$42),
1),
$M557)),
_xlfn.XLOOKUP($A557,[1]CRITERIOS!$L$179:$L$200,[1]CRITERIOS!$M$179:$M$200)),
_xlfn.CEILING.MATH(IF($M557&gt;$E557,
$E557,
IF($M557&lt;$E557/ROUNDDOWN([1]CRITERIOS!$M$16/_xlfn.XLOOKUP($C557,[1]CRITERIOS!$K$25:$K$42,[1]CRITERIOS!$M$25:$M$42),
1),
E557/ROUNDDOWN([1]CRITERIOS!$M$16/_xlfn.XLOOKUP($C557,[1]CRITERIOS!$K$25:$K$42,[1]CRITERIOS!$M$25:$M$42),
1),
$M557)),_xlfn.XLOOKUP(A557,'[1]DATOS PBI Artículos'!A:A,'[1]DATOS PBI Artículos'!Z:Z
)))))</f>
        <v>#N/A</v>
      </c>
      <c r="Q557" s="38" t="e">
        <f>IF(AND(O557="",N557=0),
0,
   IF(COUNTIF([1]CRITERIOS!$F$179:$F$199,$A557)&gt;=1,
   1,
   IF(R557="MTO",
      $D557,
      ROUNDUP(
                    IF(($E557-SUMIF('[1]DATOS PBI Artículos'!A:A,A557,'[1]DATOS PBI Artículos'!X:X)+($V557-_xlfn.XLOOKUP(A557,'[1]DATOS PBI Artículos'!A:A,'[1]DATOS PBI Artículos'!W:W)))&lt;0,
                    0,
                    IF(($E557-SUMIF('[1]DATOS PBI Artículos'!A:A,A557,'[1]DATOS PBI Artículos'!X:X)+$V557-_xlfn.XLOOKUP($A557,'[1]DATOS PBI Artículos'!A:A,'[1]DATOS PBI Artículos'!W:W))/IF($O557="",$N557,$O557)&gt;ROUNDUP([1]CRITERIOS!$M$16/(IF(COUNTIF([1]CRITERIOS!$BG$11:$BG$201,L557)&gt;=1,_xlfn.XLOOKUP($C557,[1]CRITERIOS!$K$25:$K$42,[1]CRITERIOS!$M$25:$M$42),_xlfn.XLOOKUP($C557,[1]CRITERIOS!$K$25:$K$42,[1]CRITERIOS!$M$25:$M$42))),0),
                    ROUNDUP([1]CRITERIOS!$M$16/(IF(COUNTIF([1]CRITERIOS!$BG$11:$BG$201,$L557)&gt;=1,_xlfn.XLOOKUP($C557,[1]CRITERIOS!$K$25:$K$42,[1]CRITERIOS!$M$25:$M$42),_xlfn.XLOOKUP($C557,[1]CRITERIOS!$K$25:$K$42,[1]CRITERIOS!$M$25:$M$42))),0),
                    (E557+V557-SUMIF('[1]DATOS PBI Artículos'!A:A,A557,'[1]DATOS PBI Artículos'!X:X)-_xlfn.XLOOKUP(A557,'[1]DATOS PBI Artículos'!A:A,'[1]DATOS PBI Artículos'!W:W))/IF($O557="",$N557,$O557))),0))))</f>
        <v>#N/A</v>
      </c>
      <c r="R557" s="33" t="e">
        <f>IF(U557&lt;&gt;"",U557,IF(F557="DV","MTO",IF(N557=0,"MTO",_xlfn.XLOOKUP(CONCATENATE(S557,T557),[1]CRITERIOS!$K$160:$K$168,[1]CRITERIOS!$N$160:$N$168))))</f>
        <v>#N/A</v>
      </c>
      <c r="S557" s="33" t="e">
        <f>IF(G557="DV","MTO",IF(N557=0,"MTO",IF(OR(AND(N557=0,O557=""),IF(O557="",G557/N557,G557/O557)&gt;[1]CRITERIOS!$G$163),"MTO",IF(IF(O557="",G557/N557,G557/O557)&lt;[1]CRITERIOS!$H$161,"MTS","MTOS"))))</f>
        <v>#N/A</v>
      </c>
      <c r="T557" s="33" t="e">
        <f>IF(F557="DV","MTO",IF(OR(AND($N557=0,O557=""),$F557/$J557&gt;[1]CRITERIOS!$G$170,$F557="DV"),"MTO",IF($F557/$J557&lt;[1]CRITERIOS!$H$168,"MTS","MTOS")))</f>
        <v>#N/A</v>
      </c>
      <c r="V557" s="34" t="e">
        <f t="shared" si="28"/>
        <v>#N/A</v>
      </c>
      <c r="X557" s="34" t="e">
        <f t="shared" si="26"/>
        <v>#N/A</v>
      </c>
      <c r="Y557" s="34" t="e">
        <f t="shared" si="27"/>
        <v>#N/A</v>
      </c>
      <c r="Z557" s="34" t="e">
        <f>IF($R557="MTO",
0,
($H557+$K557*($E557/[1]CRITERIOS!$M$16))/[1]CRITERIOS!$X$48)</f>
        <v>#N/A</v>
      </c>
      <c r="AA557" s="34" t="e">
        <f>ROUNDUP(($Y557/_xlfn.XLOOKUP($A557,'[1]DATOS PBI Artículos'!$A$4:$A$4,'[1]DATOS PBI Artículos'!$Z$4:$Z$4))/_xlfn.XLOOKUP(_xlfn.XLOOKUP($A557,'[1]DATOS PBI Artículos'!$A$4:$A$4,'[1]DATOS PBI Artículos'!$Y$4:$Y$4),[1]CRITERIOS!$P$79:$P$123,[1]CRITERIOS!$S$79:$S$123,),0)</f>
        <v>#N/A</v>
      </c>
      <c r="AB557" s="33" t="e">
        <f t="array" ref="AB557">IF((E557+V557-_xlfn.XLOOKUP(A557,'[1]DATOS PBI Artículos'!$A$4:$A$4,'[1]DATOS PBI Artículos'!$W$4:$W$4))/N557&gt;ROUNDUP([1]CRITERIOS!$M$16/(IF(COUNTIF([1]CRITERIOS!$BG$11:$BG$201,L557)&gt;=1,_xlfn.XLOOKUP(ARTÍCULOS!L557,[1]CRITERIOS!$BG$11:$BG$201,[1]CRITERIOS!$BJ$11:$BJ$201),_xlfn.XLOOKUP(ARTÍCULOS!C557,[1]CRITERIOS!$K$25:$K$42,[1]CRITERIOS!$M$25:$M$42))),0),ROUNDUP([1]CRITERIOS!$M$16/(IF(COUNTIF([1]CRITERIOS!$BG$11:$BG$201,L557)&gt;=1,_xlfn.XLOOKUP(ARTÍCULOS!L557,[1]CRITERIOS!$BG$11:$BG$201:#REF!,[1]CRITERIOS!$BJ$11:$BJ$201),_xlfn.XLOOKUP(ARTÍCULOS!C557,[1]CRITERIOS!$K$25:$K$42,[1]CRITERIOS!$M$25:$M$42))),0),(E557+V557-_xlfn.XLOOKUP(A557,'[1]DATOS PBI Artículos'!$A$4:$A$4,'[1]DATOS PBI Artículos'!$W$4:$W$4))/N557)</f>
        <v>#N/A</v>
      </c>
      <c r="AC557" s="33" t="e">
        <f>IF(N557=0,"",(ROUNDUP((N557/2)/(_xlfn.XLOOKUP(A557,'[1]DATOS PBI Artículos'!$A$4:$A$4,'[1]DATOS PBI Artículos'!$Z$4:$Z$4)*_xlfn.XLOOKUP(_xlfn.XLOOKUP(A557,'[1]DATOS PBI Artículos'!$A$4:$A$4,'[1]DATOS PBI Artículos'!$Y$4:$Y$4),[1]CRITERIOS!$P$79:$P$123,[1]CRITERIOS!$S$79:$S$123)),0)*[1]CRITERIOS!$M$80*([1]CRITERIOS!$M$110/[1]CRITERIOS!$M$86)+(_xlfn.XLOOKUP(A557,'[1]DATOS PBI Artículos'!$A$4:$A$4,'[1]DATOS PBI Artículos'!$AA$4:$AA$4)*([1]CRITERIOS!$M$95+[1]CRITERIOS!$M$98)))/N557)</f>
        <v>#N/A</v>
      </c>
      <c r="AD557" s="33" t="e">
        <f>IF(N557=0,"",(ROUNDUP((N557/2)/(_xlfn.XLOOKUP(A557,'[1]DATOS PBI Artículos'!$A$4:$A$4,'[1]DATOS PBI Artículos'!$Z$4:$Z$4)*_xlfn.XLOOKUP(_xlfn.XLOOKUP(A557,'[1]DATOS PBI Artículos'!$A$4:$A$4,'[1]DATOS PBI Artículos'!$Y$4:$Y$4),[1]CRITERIOS!$P$79:$P$123,[1]CRITERIOS!$S$79:$S$123)),0)*[1]CRITERIOS!$M$80*([1]CRITERIOS!$M$89*[1]CRITERIOS!$M$92)+((_xlfn.XLOOKUP(A557,'[1]DATOS PBI Artículos'!$A$4:$A$4,'[1]DATOS PBI Artículos'!$AA$4:$AA$4)/2)*([1]CRITERIOS!$M$95+[1]CRITERIOS!$M$98)))/N557)</f>
        <v>#N/A</v>
      </c>
      <c r="AE557" s="39" t="e">
        <f>IF($R557="MTO","",
IF($H557=0,ROUNDUP(((_xlfn.XLOOKUP($A557,'[1]DATOS PBI Artículos'!$A:$A,'[1]DATOS PBI Artículos'!$AL:$AL))/(_xlfn.XLOOKUP($AF$1,[1]CRITERIOS!$S$16:$S$39,[1]CRITERIOS!$Y$16:$Y$39))*$J557+$Z557)/$G557,0)*$G557,
((_xlfn.XLOOKUP($A557,'[1]DATOS PBI Artículos'!$A:$A,'[1]DATOS PBI Artículos'!$AL:$AL))/(_xlfn.XLOOKUP($AF$1,[1]CRITERIOS!$S$16:$S$39,[1]CRITERIOS!$Y$16:$Y$39))*$J557+$Z557)))</f>
        <v>#N/A</v>
      </c>
      <c r="AG557" s="39" t="e">
        <f>IF($R557="MTO","",
IF($H557=0,ROUNDUP(((_xlfn.XLOOKUP($A557,'[1]DATOS PBI Artículos'!$A:$A,'[1]DATOS PBI Artículos'!$AM:$AM))/(_xlfn.XLOOKUP($AH$1,[1]CRITERIOS!$S$16:$S$39,[1]CRITERIOS!$Y$16:$Y$39))*$J557+$Z557)/$G557,0)*$G557,
((_xlfn.XLOOKUP($A557,'[1]DATOS PBI Artículos'!$A:$A,'[1]DATOS PBI Artículos'!$AM:$AM))/(_xlfn.XLOOKUP($AH$1,[1]CRITERIOS!$S$16:$S$39,[1]CRITERIOS!$Y$16:$Y$39))*$J557+$Z557)))</f>
        <v>#N/A</v>
      </c>
      <c r="AI557" s="39" t="e">
        <f>IF($R557="MTO","",
IF($H557=0,ROUNDUP(((_xlfn.XLOOKUP($A557,'[1]DATOS PBI Artículos'!$A:$A,'[1]DATOS PBI Artículos'!$AN:$AN))/(_xlfn.XLOOKUP($AJ$1,[1]CRITERIOS!$S$16:$S$39,[1]CRITERIOS!$Y$16:$Y$39))*$J557+$Z557)/$G557,0)*$G557,
((_xlfn.XLOOKUP($A557,'[1]DATOS PBI Artículos'!$A:$A,'[1]DATOS PBI Artículos'!$AN:$AN))/(_xlfn.XLOOKUP($AJ$1,[1]CRITERIOS!$S$16:$S$39,[1]CRITERIOS!$Y$16:$Y$39))*$J557+$Z557)))</f>
        <v>#N/A</v>
      </c>
      <c r="AK557" s="39" t="e">
        <f>IF($R557="MTO","",
IF($H557=0,ROUNDUP(((_xlfn.XLOOKUP($A557,'[1]DATOS PBI Artículos'!$A:$A,'[1]DATOS PBI Artículos'!$AO:$AO))/(_xlfn.XLOOKUP($AL$1,[1]CRITERIOS!$S$16:$S$39,[1]CRITERIOS!$Y$16:$Y$39))*$J557+$Z557)/$G557,0)*$G557,
((_xlfn.XLOOKUP($A557,'[1]DATOS PBI Artículos'!$A:$A,'[1]DATOS PBI Artículos'!$AO:$AO))/(_xlfn.XLOOKUP($AL$1,[1]CRITERIOS!$S$16:$S$39,[1]CRITERIOS!$Y$16:$Y$39))*$J557+$Z557)))</f>
        <v>#N/A</v>
      </c>
    </row>
    <row r="558" spans="1:37" ht="25.8" hidden="1" x14ac:dyDescent="0.4">
      <c r="A558" s="41"/>
      <c r="B558" s="33">
        <f>_xlfn.XLOOKUP($A558,'[1]DATOS PBI Artículos'!A:A,'[1]DATOS PBI Artículos'!B:B)</f>
        <v>0</v>
      </c>
      <c r="C558" s="33">
        <f>_xlfn.XLOOKUP($A558,'[1]DATOS PBI Artículos'!A:A,'[1]DATOS PBI Artículos'!C:C)</f>
        <v>0</v>
      </c>
      <c r="D558" s="33">
        <f>_xlfn.XLOOKUP(A558,'[1]DATOS PBI Artículos'!A:A,'[1]DATOS PBI Artículos'!T:T)</f>
        <v>0</v>
      </c>
      <c r="E558" s="34">
        <f>IF(_xlfn.XLOOKUP($A558,'[1]DATOS PBI Artículos'!A:A,'[1]DATOS PBI Artículos'!AK:AK)="",_xlfn.XLOOKUP($A558,'[1]DATOS PBI Artículos'!A:A,'[1]DATOS PBI Artículos'!AJ:AJ),_xlfn.XLOOKUP($A558,'[1]DATOS PBI Artículos'!A:A,'[1]DATOS PBI Artículos'!AK:AK))</f>
        <v>0</v>
      </c>
      <c r="F558" s="35">
        <f>_xlfn.XLOOKUP($A558,'[1]DATOS PBI Artículos'!A:A,'[1]DATOS PBI Artículos'!AP:AP)</f>
        <v>0</v>
      </c>
      <c r="G558" s="34">
        <f>_xlfn.XLOOKUP($A558,'[1]DATOS PBI Artículos'!A:A,'[1]DATOS PBI Artículos'!AR:AR)</f>
        <v>0</v>
      </c>
      <c r="H558" s="34">
        <f>_xlfn.XLOOKUP($A558,'[1]DATOS PBI Artículos'!A:A,'[1]DATOS PBI Artículos'!AT:AT)</f>
        <v>0</v>
      </c>
      <c r="I558" s="34">
        <f>_xlfn.XLOOKUP($A558,'[1]DATOS PBI Artículos'!A:A,'[1]DATOS PBI Artículos'!AS:AS)</f>
        <v>0</v>
      </c>
      <c r="J558" s="35">
        <f>IF(COUNTIF([1]CRITERIOS!$F$179:$F$199,$A558)&gt;=1,
 IF(O558&lt;&gt;"",
    (O558/_xlfn.XLOOKUP(CONCATENATE(A558,L558),[1]MÁQUINAS!A:A,[1]MÁQUINAS!D:D))/24,
    (N558/_xlfn.XLOOKUP(CONCATENATE(A558,L558),[1]MÁQUINAS!A:A,[1]MÁQUINAS!D:D))/24),
  _xlfn.XLOOKUP($A558,'[1]DATOS PBI Artículos'!A:A,'[1]DATOS PBI Artículos'!AU:AU))</f>
        <v>0</v>
      </c>
      <c r="K558" s="36">
        <f>_xlfn.XLOOKUP($A558,'[1]DATOS PBI Artículos'!A:A,'[1]DATOS PBI Artículos'!AV:AV)</f>
        <v>0</v>
      </c>
      <c r="L558" s="33">
        <f>_xlfn.XLOOKUP(A558,[1]MÁQUINAS!B:B,[1]MÁQUINAS!C:C)</f>
        <v>0</v>
      </c>
      <c r="M558" s="34">
        <f t="array" ref="M558">_xlfn.XLOOKUP(A558,'[1]DATOS PBI Artículos'!A:A,'[1]DATOS PBI Artículos'!AX:$AX)</f>
        <v>0</v>
      </c>
      <c r="N558" s="37" t="e">
        <f>IF(I558="DV",
E558,
IF(COUNTIF([1]CRITERIOS!$I$179:$I$199,$A558)&gt;=1,
_xlfn.XLOOKUP($A558,[1]CRITERIOS!$I$179:$I$199,[1]CRITERIOS!$J$179:$J$199),
IF(COUNTIF([1]CRITERIOS!$L$179:$L$199,$A558)&gt;=1,
_xlfn.CEILING.MATH(IF($M558&gt;$E558,
$E558,
IF($M558&lt;$E558/ROUNDDOWN([1]CRITERIOS!$M$16/_xlfn.XLOOKUP($C558,[1]CRITERIOS!$K$25:$K$42,[1]CRITERIOS!$M$25:$M$42),
1),
E558/ROUNDDOWN([1]CRITERIOS!$M$16/_xlfn.XLOOKUP($C558,[1]CRITERIOS!$K$25:$K$42,[1]CRITERIOS!$M$25:$M$42),
1),
$M558)),
_xlfn.XLOOKUP($A558,[1]CRITERIOS!$L$179:$L$200,[1]CRITERIOS!$M$179:$M$200)),
_xlfn.CEILING.MATH(IF($M558&gt;$E558,
$E558,
IF($M558&lt;$E558/ROUNDDOWN([1]CRITERIOS!$M$16/_xlfn.XLOOKUP($C558,[1]CRITERIOS!$K$25:$K$42,[1]CRITERIOS!$M$25:$M$42),
1),
E558/ROUNDDOWN([1]CRITERIOS!$M$16/_xlfn.XLOOKUP($C558,[1]CRITERIOS!$K$25:$K$42,[1]CRITERIOS!$M$25:$M$42),
1),
$M558)),_xlfn.XLOOKUP(A558,'[1]DATOS PBI Artículos'!A:A,'[1]DATOS PBI Artículos'!Z:Z
)))))</f>
        <v>#N/A</v>
      </c>
      <c r="Q558" s="38" t="e">
        <f>IF(AND(O558="",N558=0),
0,
   IF(COUNTIF([1]CRITERIOS!$F$179:$F$199,$A558)&gt;=1,
   1,
   IF(R558="MTO",
      $D558,
      ROUNDUP(
                    IF(($E558-SUMIF('[1]DATOS PBI Artículos'!A:A,A558,'[1]DATOS PBI Artículos'!X:X)+($V558-_xlfn.XLOOKUP(A558,'[1]DATOS PBI Artículos'!A:A,'[1]DATOS PBI Artículos'!W:W)))&lt;0,
                    0,
                    IF(($E558-SUMIF('[1]DATOS PBI Artículos'!A:A,A558,'[1]DATOS PBI Artículos'!X:X)+$V558-_xlfn.XLOOKUP($A558,'[1]DATOS PBI Artículos'!A:A,'[1]DATOS PBI Artículos'!W:W))/IF($O558="",$N558,$O558)&gt;ROUNDUP([1]CRITERIOS!$M$16/(IF(COUNTIF([1]CRITERIOS!$BG$11:$BG$201,L558)&gt;=1,_xlfn.XLOOKUP($C558,[1]CRITERIOS!$K$25:$K$42,[1]CRITERIOS!$M$25:$M$42),_xlfn.XLOOKUP($C558,[1]CRITERIOS!$K$25:$K$42,[1]CRITERIOS!$M$25:$M$42))),0),
                    ROUNDUP([1]CRITERIOS!$M$16/(IF(COUNTIF([1]CRITERIOS!$BG$11:$BG$201,$L558)&gt;=1,_xlfn.XLOOKUP($C558,[1]CRITERIOS!$K$25:$K$42,[1]CRITERIOS!$M$25:$M$42),_xlfn.XLOOKUP($C558,[1]CRITERIOS!$K$25:$K$42,[1]CRITERIOS!$M$25:$M$42))),0),
                    (E558+V558-SUMIF('[1]DATOS PBI Artículos'!A:A,A558,'[1]DATOS PBI Artículos'!X:X)-_xlfn.XLOOKUP(A558,'[1]DATOS PBI Artículos'!A:A,'[1]DATOS PBI Artículos'!W:W))/IF($O558="",$N558,$O558))),0))))</f>
        <v>#N/A</v>
      </c>
      <c r="R558" s="33" t="e">
        <f>IF(U558&lt;&gt;"",U558,IF(F558="DV","MTO",IF(N558=0,"MTO",_xlfn.XLOOKUP(CONCATENATE(S558,T558),[1]CRITERIOS!$K$160:$K$168,[1]CRITERIOS!$N$160:$N$168))))</f>
        <v>#N/A</v>
      </c>
      <c r="S558" s="33" t="e">
        <f>IF(G558="DV","MTO",IF(N558=0,"MTO",IF(OR(AND(N558=0,O558=""),IF(O558="",G558/N558,G558/O558)&gt;[1]CRITERIOS!$G$163),"MTO",IF(IF(O558="",G558/N558,G558/O558)&lt;[1]CRITERIOS!$H$161,"MTS","MTOS"))))</f>
        <v>#N/A</v>
      </c>
      <c r="T558" s="33" t="e">
        <f>IF(F558="DV","MTO",IF(OR(AND($N558=0,O558=""),$F558/$J558&gt;[1]CRITERIOS!$G$170,$F558="DV"),"MTO",IF($F558/$J558&lt;[1]CRITERIOS!$H$168,"MTS","MTOS")))</f>
        <v>#N/A</v>
      </c>
      <c r="V558" s="34" t="e">
        <f t="shared" si="28"/>
        <v>#N/A</v>
      </c>
      <c r="X558" s="34" t="e">
        <f t="shared" si="26"/>
        <v>#N/A</v>
      </c>
      <c r="Y558" s="34" t="e">
        <f t="shared" si="27"/>
        <v>#N/A</v>
      </c>
      <c r="Z558" s="34" t="e">
        <f>IF($R558="MTO",
0,
($H558+$K558*($E558/[1]CRITERIOS!$M$16))/[1]CRITERIOS!$X$48)</f>
        <v>#N/A</v>
      </c>
      <c r="AA558" s="34" t="e">
        <f>ROUNDUP(($Y558/_xlfn.XLOOKUP($A558,'[1]DATOS PBI Artículos'!$A$4:$A$4,'[1]DATOS PBI Artículos'!$Z$4:$Z$4))/_xlfn.XLOOKUP(_xlfn.XLOOKUP($A558,'[1]DATOS PBI Artículos'!$A$4:$A$4,'[1]DATOS PBI Artículos'!$Y$4:$Y$4),[1]CRITERIOS!$P$79:$P$123,[1]CRITERIOS!$S$79:$S$123,),0)</f>
        <v>#N/A</v>
      </c>
      <c r="AB558" s="33" t="e">
        <f t="array" ref="AB558">IF((E558+V558-_xlfn.XLOOKUP(A558,'[1]DATOS PBI Artículos'!$A$4:$A$4,'[1]DATOS PBI Artículos'!$W$4:$W$4))/N558&gt;ROUNDUP([1]CRITERIOS!$M$16/(IF(COUNTIF([1]CRITERIOS!$BG$11:$BG$201,L558)&gt;=1,_xlfn.XLOOKUP(ARTÍCULOS!L558,[1]CRITERIOS!$BG$11:$BG$201,[1]CRITERIOS!$BJ$11:$BJ$201),_xlfn.XLOOKUP(ARTÍCULOS!C558,[1]CRITERIOS!$K$25:$K$42,[1]CRITERIOS!$M$25:$M$42))),0),ROUNDUP([1]CRITERIOS!$M$16/(IF(COUNTIF([1]CRITERIOS!$BG$11:$BG$201,L558)&gt;=1,_xlfn.XLOOKUP(ARTÍCULOS!L558,[1]CRITERIOS!$BG$11:$BG$201:#REF!,[1]CRITERIOS!$BJ$11:$BJ$201),_xlfn.XLOOKUP(ARTÍCULOS!C558,[1]CRITERIOS!$K$25:$K$42,[1]CRITERIOS!$M$25:$M$42))),0),(E558+V558-_xlfn.XLOOKUP(A558,'[1]DATOS PBI Artículos'!$A$4:$A$4,'[1]DATOS PBI Artículos'!$W$4:$W$4))/N558)</f>
        <v>#N/A</v>
      </c>
      <c r="AC558" s="33" t="e">
        <f>IF(N558=0,"",(ROUNDUP((N558/2)/(_xlfn.XLOOKUP(A558,'[1]DATOS PBI Artículos'!$A$4:$A$4,'[1]DATOS PBI Artículos'!$Z$4:$Z$4)*_xlfn.XLOOKUP(_xlfn.XLOOKUP(A558,'[1]DATOS PBI Artículos'!$A$4:$A$4,'[1]DATOS PBI Artículos'!$Y$4:$Y$4),[1]CRITERIOS!$P$79:$P$123,[1]CRITERIOS!$S$79:$S$123)),0)*[1]CRITERIOS!$M$80*([1]CRITERIOS!$M$110/[1]CRITERIOS!$M$86)+(_xlfn.XLOOKUP(A558,'[1]DATOS PBI Artículos'!$A$4:$A$4,'[1]DATOS PBI Artículos'!$AA$4:$AA$4)*([1]CRITERIOS!$M$95+[1]CRITERIOS!$M$98)))/N558)</f>
        <v>#N/A</v>
      </c>
      <c r="AD558" s="33" t="e">
        <f>IF(N558=0,"",(ROUNDUP((N558/2)/(_xlfn.XLOOKUP(A558,'[1]DATOS PBI Artículos'!$A$4:$A$4,'[1]DATOS PBI Artículos'!$Z$4:$Z$4)*_xlfn.XLOOKUP(_xlfn.XLOOKUP(A558,'[1]DATOS PBI Artículos'!$A$4:$A$4,'[1]DATOS PBI Artículos'!$Y$4:$Y$4),[1]CRITERIOS!$P$79:$P$123,[1]CRITERIOS!$S$79:$S$123)),0)*[1]CRITERIOS!$M$80*([1]CRITERIOS!$M$89*[1]CRITERIOS!$M$92)+((_xlfn.XLOOKUP(A558,'[1]DATOS PBI Artículos'!$A$4:$A$4,'[1]DATOS PBI Artículos'!$AA$4:$AA$4)/2)*([1]CRITERIOS!$M$95+[1]CRITERIOS!$M$98)))/N558)</f>
        <v>#N/A</v>
      </c>
      <c r="AE558" s="39" t="e">
        <f>IF($R558="MTO","",
IF($H558=0,ROUNDUP(((_xlfn.XLOOKUP($A558,'[1]DATOS PBI Artículos'!$A:$A,'[1]DATOS PBI Artículos'!$AL:$AL))/(_xlfn.XLOOKUP($AF$1,[1]CRITERIOS!$S$16:$S$39,[1]CRITERIOS!$Y$16:$Y$39))*$J558+$Z558)/$G558,0)*$G558,
((_xlfn.XLOOKUP($A558,'[1]DATOS PBI Artículos'!$A:$A,'[1]DATOS PBI Artículos'!$AL:$AL))/(_xlfn.XLOOKUP($AF$1,[1]CRITERIOS!$S$16:$S$39,[1]CRITERIOS!$Y$16:$Y$39))*$J558+$Z558)))</f>
        <v>#N/A</v>
      </c>
      <c r="AG558" s="39" t="e">
        <f>IF($R558="MTO","",
IF($H558=0,ROUNDUP(((_xlfn.XLOOKUP($A558,'[1]DATOS PBI Artículos'!$A:$A,'[1]DATOS PBI Artículos'!$AM:$AM))/(_xlfn.XLOOKUP($AH$1,[1]CRITERIOS!$S$16:$S$39,[1]CRITERIOS!$Y$16:$Y$39))*$J558+$Z558)/$G558,0)*$G558,
((_xlfn.XLOOKUP($A558,'[1]DATOS PBI Artículos'!$A:$A,'[1]DATOS PBI Artículos'!$AM:$AM))/(_xlfn.XLOOKUP($AH$1,[1]CRITERIOS!$S$16:$S$39,[1]CRITERIOS!$Y$16:$Y$39))*$J558+$Z558)))</f>
        <v>#N/A</v>
      </c>
      <c r="AI558" s="39" t="e">
        <f>IF($R558="MTO","",
IF($H558=0,ROUNDUP(((_xlfn.XLOOKUP($A558,'[1]DATOS PBI Artículos'!$A:$A,'[1]DATOS PBI Artículos'!$AN:$AN))/(_xlfn.XLOOKUP($AJ$1,[1]CRITERIOS!$S$16:$S$39,[1]CRITERIOS!$Y$16:$Y$39))*$J558+$Z558)/$G558,0)*$G558,
((_xlfn.XLOOKUP($A558,'[1]DATOS PBI Artículos'!$A:$A,'[1]DATOS PBI Artículos'!$AN:$AN))/(_xlfn.XLOOKUP($AJ$1,[1]CRITERIOS!$S$16:$S$39,[1]CRITERIOS!$Y$16:$Y$39))*$J558+$Z558)))</f>
        <v>#N/A</v>
      </c>
      <c r="AK558" s="39" t="e">
        <f>IF($R558="MTO","",
IF($H558=0,ROUNDUP(((_xlfn.XLOOKUP($A558,'[1]DATOS PBI Artículos'!$A:$A,'[1]DATOS PBI Artículos'!$AO:$AO))/(_xlfn.XLOOKUP($AL$1,[1]CRITERIOS!$S$16:$S$39,[1]CRITERIOS!$Y$16:$Y$39))*$J558+$Z558)/$G558,0)*$G558,
((_xlfn.XLOOKUP($A558,'[1]DATOS PBI Artículos'!$A:$A,'[1]DATOS PBI Artículos'!$AO:$AO))/(_xlfn.XLOOKUP($AL$1,[1]CRITERIOS!$S$16:$S$39,[1]CRITERIOS!$Y$16:$Y$39))*$J558+$Z558)))</f>
        <v>#N/A</v>
      </c>
    </row>
    <row r="559" spans="1:37" ht="25.8" hidden="1" x14ac:dyDescent="0.4">
      <c r="A559" s="41"/>
      <c r="B559" s="33">
        <f>_xlfn.XLOOKUP($A559,'[1]DATOS PBI Artículos'!A:A,'[1]DATOS PBI Artículos'!B:B)</f>
        <v>0</v>
      </c>
      <c r="C559" s="33">
        <f>_xlfn.XLOOKUP($A559,'[1]DATOS PBI Artículos'!A:A,'[1]DATOS PBI Artículos'!C:C)</f>
        <v>0</v>
      </c>
      <c r="D559" s="33">
        <f>_xlfn.XLOOKUP(A559,'[1]DATOS PBI Artículos'!A:A,'[1]DATOS PBI Artículos'!T:T)</f>
        <v>0</v>
      </c>
      <c r="E559" s="34">
        <f>IF(_xlfn.XLOOKUP($A559,'[1]DATOS PBI Artículos'!A:A,'[1]DATOS PBI Artículos'!AK:AK)="",_xlfn.XLOOKUP($A559,'[1]DATOS PBI Artículos'!A:A,'[1]DATOS PBI Artículos'!AJ:AJ),_xlfn.XLOOKUP($A559,'[1]DATOS PBI Artículos'!A:A,'[1]DATOS PBI Artículos'!AK:AK))</f>
        <v>0</v>
      </c>
      <c r="F559" s="35">
        <f>_xlfn.XLOOKUP($A559,'[1]DATOS PBI Artículos'!A:A,'[1]DATOS PBI Artículos'!AP:AP)</f>
        <v>0</v>
      </c>
      <c r="G559" s="34">
        <f>_xlfn.XLOOKUP($A559,'[1]DATOS PBI Artículos'!A:A,'[1]DATOS PBI Artículos'!AR:AR)</f>
        <v>0</v>
      </c>
      <c r="H559" s="34">
        <f>_xlfn.XLOOKUP($A559,'[1]DATOS PBI Artículos'!A:A,'[1]DATOS PBI Artículos'!AT:AT)</f>
        <v>0</v>
      </c>
      <c r="I559" s="34">
        <f>_xlfn.XLOOKUP($A559,'[1]DATOS PBI Artículos'!A:A,'[1]DATOS PBI Artículos'!AS:AS)</f>
        <v>0</v>
      </c>
      <c r="J559" s="35">
        <f>IF(COUNTIF([1]CRITERIOS!$F$179:$F$199,$A559)&gt;=1,
 IF(O559&lt;&gt;"",
    (O559/_xlfn.XLOOKUP(CONCATENATE(A559,L559),[1]MÁQUINAS!A:A,[1]MÁQUINAS!D:D))/24,
    (N559/_xlfn.XLOOKUP(CONCATENATE(A559,L559),[1]MÁQUINAS!A:A,[1]MÁQUINAS!D:D))/24),
  _xlfn.XLOOKUP($A559,'[1]DATOS PBI Artículos'!A:A,'[1]DATOS PBI Artículos'!AU:AU))</f>
        <v>0</v>
      </c>
      <c r="K559" s="36">
        <f>_xlfn.XLOOKUP($A559,'[1]DATOS PBI Artículos'!A:A,'[1]DATOS PBI Artículos'!AV:AV)</f>
        <v>0</v>
      </c>
      <c r="L559" s="33">
        <f>_xlfn.XLOOKUP(A559,[1]MÁQUINAS!B:B,[1]MÁQUINAS!C:C)</f>
        <v>0</v>
      </c>
      <c r="M559" s="34">
        <f t="array" ref="M559">_xlfn.XLOOKUP(A559,'[1]DATOS PBI Artículos'!A:A,'[1]DATOS PBI Artículos'!AX:$AX)</f>
        <v>0</v>
      </c>
      <c r="N559" s="37" t="e">
        <f>IF(I559="DV",
E559,
IF(COUNTIF([1]CRITERIOS!$I$179:$I$199,$A559)&gt;=1,
_xlfn.XLOOKUP($A559,[1]CRITERIOS!$I$179:$I$199,[1]CRITERIOS!$J$179:$J$199),
IF(COUNTIF([1]CRITERIOS!$L$179:$L$199,$A559)&gt;=1,
_xlfn.CEILING.MATH(IF($M559&gt;$E559,
$E559,
IF($M559&lt;$E559/ROUNDDOWN([1]CRITERIOS!$M$16/_xlfn.XLOOKUP($C559,[1]CRITERIOS!$K$25:$K$42,[1]CRITERIOS!$M$25:$M$42),
1),
E559/ROUNDDOWN([1]CRITERIOS!$M$16/_xlfn.XLOOKUP($C559,[1]CRITERIOS!$K$25:$K$42,[1]CRITERIOS!$M$25:$M$42),
1),
$M559)),
_xlfn.XLOOKUP($A559,[1]CRITERIOS!$L$179:$L$200,[1]CRITERIOS!$M$179:$M$200)),
_xlfn.CEILING.MATH(IF($M559&gt;$E559,
$E559,
IF($M559&lt;$E559/ROUNDDOWN([1]CRITERIOS!$M$16/_xlfn.XLOOKUP($C559,[1]CRITERIOS!$K$25:$K$42,[1]CRITERIOS!$M$25:$M$42),
1),
E559/ROUNDDOWN([1]CRITERIOS!$M$16/_xlfn.XLOOKUP($C559,[1]CRITERIOS!$K$25:$K$42,[1]CRITERIOS!$M$25:$M$42),
1),
$M559)),_xlfn.XLOOKUP(A559,'[1]DATOS PBI Artículos'!A:A,'[1]DATOS PBI Artículos'!Z:Z
)))))</f>
        <v>#N/A</v>
      </c>
      <c r="Q559" s="38" t="e">
        <f>IF(AND(O559="",N559=0),
0,
   IF(COUNTIF([1]CRITERIOS!$F$179:$F$199,$A559)&gt;=1,
   1,
   IF(R559="MTO",
      $D559,
      ROUNDUP(
                    IF(($E559-SUMIF('[1]DATOS PBI Artículos'!A:A,A559,'[1]DATOS PBI Artículos'!X:X)+($V559-_xlfn.XLOOKUP(A559,'[1]DATOS PBI Artículos'!A:A,'[1]DATOS PBI Artículos'!W:W)))&lt;0,
                    0,
                    IF(($E559-SUMIF('[1]DATOS PBI Artículos'!A:A,A559,'[1]DATOS PBI Artículos'!X:X)+$V559-_xlfn.XLOOKUP($A559,'[1]DATOS PBI Artículos'!A:A,'[1]DATOS PBI Artículos'!W:W))/IF($O559="",$N559,$O559)&gt;ROUNDUP([1]CRITERIOS!$M$16/(IF(COUNTIF([1]CRITERIOS!$BG$11:$BG$201,L559)&gt;=1,_xlfn.XLOOKUP($C559,[1]CRITERIOS!$K$25:$K$42,[1]CRITERIOS!$M$25:$M$42),_xlfn.XLOOKUP($C559,[1]CRITERIOS!$K$25:$K$42,[1]CRITERIOS!$M$25:$M$42))),0),
                    ROUNDUP([1]CRITERIOS!$M$16/(IF(COUNTIF([1]CRITERIOS!$BG$11:$BG$201,$L559)&gt;=1,_xlfn.XLOOKUP($C559,[1]CRITERIOS!$K$25:$K$42,[1]CRITERIOS!$M$25:$M$42),_xlfn.XLOOKUP($C559,[1]CRITERIOS!$K$25:$K$42,[1]CRITERIOS!$M$25:$M$42))),0),
                    (E559+V559-SUMIF('[1]DATOS PBI Artículos'!A:A,A559,'[1]DATOS PBI Artículos'!X:X)-_xlfn.XLOOKUP(A559,'[1]DATOS PBI Artículos'!A:A,'[1]DATOS PBI Artículos'!W:W))/IF($O559="",$N559,$O559))),0))))</f>
        <v>#N/A</v>
      </c>
      <c r="R559" s="33" t="e">
        <f>IF(U559&lt;&gt;"",U559,IF(F559="DV","MTO",IF(N559=0,"MTO",_xlfn.XLOOKUP(CONCATENATE(S559,T559),[1]CRITERIOS!$K$160:$K$168,[1]CRITERIOS!$N$160:$N$168))))</f>
        <v>#N/A</v>
      </c>
      <c r="S559" s="33" t="e">
        <f>IF(G559="DV","MTO",IF(N559=0,"MTO",IF(OR(AND(N559=0,O559=""),IF(O559="",G559/N559,G559/O559)&gt;[1]CRITERIOS!$G$163),"MTO",IF(IF(O559="",G559/N559,G559/O559)&lt;[1]CRITERIOS!$H$161,"MTS","MTOS"))))</f>
        <v>#N/A</v>
      </c>
      <c r="T559" s="33" t="e">
        <f>IF(F559="DV","MTO",IF(OR(AND($N559=0,O559=""),$F559/$J559&gt;[1]CRITERIOS!$G$170,$F559="DV"),"MTO",IF($F559/$J559&lt;[1]CRITERIOS!$H$168,"MTS","MTOS")))</f>
        <v>#N/A</v>
      </c>
      <c r="V559" s="34" t="e">
        <f t="shared" si="28"/>
        <v>#N/A</v>
      </c>
      <c r="X559" s="34" t="e">
        <f t="shared" si="26"/>
        <v>#N/A</v>
      </c>
      <c r="Y559" s="34" t="e">
        <f t="shared" si="27"/>
        <v>#N/A</v>
      </c>
      <c r="Z559" s="34" t="e">
        <f>IF($R559="MTO",
0,
($H559+$K559*($E559/[1]CRITERIOS!$M$16))/[1]CRITERIOS!$X$48)</f>
        <v>#N/A</v>
      </c>
      <c r="AA559" s="34" t="e">
        <f>ROUNDUP(($Y559/_xlfn.XLOOKUP($A559,'[1]DATOS PBI Artículos'!$A$4:$A$4,'[1]DATOS PBI Artículos'!$Z$4:$Z$4))/_xlfn.XLOOKUP(_xlfn.XLOOKUP($A559,'[1]DATOS PBI Artículos'!$A$4:$A$4,'[1]DATOS PBI Artículos'!$Y$4:$Y$4),[1]CRITERIOS!$P$79:$P$123,[1]CRITERIOS!$S$79:$S$123,),0)</f>
        <v>#N/A</v>
      </c>
      <c r="AB559" s="33" t="e">
        <f t="array" ref="AB559">IF((E559+V559-_xlfn.XLOOKUP(A559,'[1]DATOS PBI Artículos'!$A$4:$A$4,'[1]DATOS PBI Artículos'!$W$4:$W$4))/N559&gt;ROUNDUP([1]CRITERIOS!$M$16/(IF(COUNTIF([1]CRITERIOS!$BG$11:$BG$201,L559)&gt;=1,_xlfn.XLOOKUP(ARTÍCULOS!L559,[1]CRITERIOS!$BG$11:$BG$201,[1]CRITERIOS!$BJ$11:$BJ$201),_xlfn.XLOOKUP(ARTÍCULOS!C559,[1]CRITERIOS!$K$25:$K$42,[1]CRITERIOS!$M$25:$M$42))),0),ROUNDUP([1]CRITERIOS!$M$16/(IF(COUNTIF([1]CRITERIOS!$BG$11:$BG$201,L559)&gt;=1,_xlfn.XLOOKUP(ARTÍCULOS!L559,[1]CRITERIOS!$BG$11:$BG$201:#REF!,[1]CRITERIOS!$BJ$11:$BJ$201),_xlfn.XLOOKUP(ARTÍCULOS!C559,[1]CRITERIOS!$K$25:$K$42,[1]CRITERIOS!$M$25:$M$42))),0),(E559+V559-_xlfn.XLOOKUP(A559,'[1]DATOS PBI Artículos'!$A$4:$A$4,'[1]DATOS PBI Artículos'!$W$4:$W$4))/N559)</f>
        <v>#N/A</v>
      </c>
      <c r="AC559" s="33" t="e">
        <f>IF(N559=0,"",(ROUNDUP((N559/2)/(_xlfn.XLOOKUP(A559,'[1]DATOS PBI Artículos'!$A$4:$A$4,'[1]DATOS PBI Artículos'!$Z$4:$Z$4)*_xlfn.XLOOKUP(_xlfn.XLOOKUP(A559,'[1]DATOS PBI Artículos'!$A$4:$A$4,'[1]DATOS PBI Artículos'!$Y$4:$Y$4),[1]CRITERIOS!$P$79:$P$123,[1]CRITERIOS!$S$79:$S$123)),0)*[1]CRITERIOS!$M$80*([1]CRITERIOS!$M$110/[1]CRITERIOS!$M$86)+(_xlfn.XLOOKUP(A559,'[1]DATOS PBI Artículos'!$A$4:$A$4,'[1]DATOS PBI Artículos'!$AA$4:$AA$4)*([1]CRITERIOS!$M$95+[1]CRITERIOS!$M$98)))/N559)</f>
        <v>#N/A</v>
      </c>
      <c r="AD559" s="33" t="e">
        <f>IF(N559=0,"",(ROUNDUP((N559/2)/(_xlfn.XLOOKUP(A559,'[1]DATOS PBI Artículos'!$A$4:$A$4,'[1]DATOS PBI Artículos'!$Z$4:$Z$4)*_xlfn.XLOOKUP(_xlfn.XLOOKUP(A559,'[1]DATOS PBI Artículos'!$A$4:$A$4,'[1]DATOS PBI Artículos'!$Y$4:$Y$4),[1]CRITERIOS!$P$79:$P$123,[1]CRITERIOS!$S$79:$S$123)),0)*[1]CRITERIOS!$M$80*([1]CRITERIOS!$M$89*[1]CRITERIOS!$M$92)+((_xlfn.XLOOKUP(A559,'[1]DATOS PBI Artículos'!$A$4:$A$4,'[1]DATOS PBI Artículos'!$AA$4:$AA$4)/2)*([1]CRITERIOS!$M$95+[1]CRITERIOS!$M$98)))/N559)</f>
        <v>#N/A</v>
      </c>
      <c r="AE559" s="39" t="e">
        <f>IF($R559="MTO","",
IF($H559=0,ROUNDUP(((_xlfn.XLOOKUP($A559,'[1]DATOS PBI Artículos'!$A:$A,'[1]DATOS PBI Artículos'!$AL:$AL))/(_xlfn.XLOOKUP($AF$1,[1]CRITERIOS!$S$16:$S$39,[1]CRITERIOS!$Y$16:$Y$39))*$J559+$Z559)/$G559,0)*$G559,
((_xlfn.XLOOKUP($A559,'[1]DATOS PBI Artículos'!$A:$A,'[1]DATOS PBI Artículos'!$AL:$AL))/(_xlfn.XLOOKUP($AF$1,[1]CRITERIOS!$S$16:$S$39,[1]CRITERIOS!$Y$16:$Y$39))*$J559+$Z559)))</f>
        <v>#N/A</v>
      </c>
      <c r="AG559" s="39" t="e">
        <f>IF($R559="MTO","",
IF($H559=0,ROUNDUP(((_xlfn.XLOOKUP($A559,'[1]DATOS PBI Artículos'!$A:$A,'[1]DATOS PBI Artículos'!$AM:$AM))/(_xlfn.XLOOKUP($AH$1,[1]CRITERIOS!$S$16:$S$39,[1]CRITERIOS!$Y$16:$Y$39))*$J559+$Z559)/$G559,0)*$G559,
((_xlfn.XLOOKUP($A559,'[1]DATOS PBI Artículos'!$A:$A,'[1]DATOS PBI Artículos'!$AM:$AM))/(_xlfn.XLOOKUP($AH$1,[1]CRITERIOS!$S$16:$S$39,[1]CRITERIOS!$Y$16:$Y$39))*$J559+$Z559)))</f>
        <v>#N/A</v>
      </c>
      <c r="AI559" s="39" t="e">
        <f>IF($R559="MTO","",
IF($H559=0,ROUNDUP(((_xlfn.XLOOKUP($A559,'[1]DATOS PBI Artículos'!$A:$A,'[1]DATOS PBI Artículos'!$AN:$AN))/(_xlfn.XLOOKUP($AJ$1,[1]CRITERIOS!$S$16:$S$39,[1]CRITERIOS!$Y$16:$Y$39))*$J559+$Z559)/$G559,0)*$G559,
((_xlfn.XLOOKUP($A559,'[1]DATOS PBI Artículos'!$A:$A,'[1]DATOS PBI Artículos'!$AN:$AN))/(_xlfn.XLOOKUP($AJ$1,[1]CRITERIOS!$S$16:$S$39,[1]CRITERIOS!$Y$16:$Y$39))*$J559+$Z559)))</f>
        <v>#N/A</v>
      </c>
      <c r="AK559" s="39" t="e">
        <f>IF($R559="MTO","",
IF($H559=0,ROUNDUP(((_xlfn.XLOOKUP($A559,'[1]DATOS PBI Artículos'!$A:$A,'[1]DATOS PBI Artículos'!$AO:$AO))/(_xlfn.XLOOKUP($AL$1,[1]CRITERIOS!$S$16:$S$39,[1]CRITERIOS!$Y$16:$Y$39))*$J559+$Z559)/$G559,0)*$G559,
((_xlfn.XLOOKUP($A559,'[1]DATOS PBI Artículos'!$A:$A,'[1]DATOS PBI Artículos'!$AO:$AO))/(_xlfn.XLOOKUP($AL$1,[1]CRITERIOS!$S$16:$S$39,[1]CRITERIOS!$Y$16:$Y$39))*$J559+$Z559)))</f>
        <v>#N/A</v>
      </c>
    </row>
    <row r="560" spans="1:37" ht="25.8" hidden="1" x14ac:dyDescent="0.4">
      <c r="A560" s="41"/>
      <c r="B560" s="33">
        <f>_xlfn.XLOOKUP($A560,'[1]DATOS PBI Artículos'!A:A,'[1]DATOS PBI Artículos'!B:B)</f>
        <v>0</v>
      </c>
      <c r="C560" s="33">
        <f>_xlfn.XLOOKUP($A560,'[1]DATOS PBI Artículos'!A:A,'[1]DATOS PBI Artículos'!C:C)</f>
        <v>0</v>
      </c>
      <c r="D560" s="33">
        <f>_xlfn.XLOOKUP(A560,'[1]DATOS PBI Artículos'!A:A,'[1]DATOS PBI Artículos'!T:T)</f>
        <v>0</v>
      </c>
      <c r="E560" s="34">
        <f>IF(_xlfn.XLOOKUP($A560,'[1]DATOS PBI Artículos'!A:A,'[1]DATOS PBI Artículos'!AK:AK)="",_xlfn.XLOOKUP($A560,'[1]DATOS PBI Artículos'!A:A,'[1]DATOS PBI Artículos'!AJ:AJ),_xlfn.XLOOKUP($A560,'[1]DATOS PBI Artículos'!A:A,'[1]DATOS PBI Artículos'!AK:AK))</f>
        <v>0</v>
      </c>
      <c r="F560" s="35">
        <f>_xlfn.XLOOKUP($A560,'[1]DATOS PBI Artículos'!A:A,'[1]DATOS PBI Artículos'!AP:AP)</f>
        <v>0</v>
      </c>
      <c r="G560" s="34">
        <f>_xlfn.XLOOKUP($A560,'[1]DATOS PBI Artículos'!A:A,'[1]DATOS PBI Artículos'!AR:AR)</f>
        <v>0</v>
      </c>
      <c r="H560" s="34">
        <f>_xlfn.XLOOKUP($A560,'[1]DATOS PBI Artículos'!A:A,'[1]DATOS PBI Artículos'!AT:AT)</f>
        <v>0</v>
      </c>
      <c r="I560" s="34">
        <f>_xlfn.XLOOKUP($A560,'[1]DATOS PBI Artículos'!A:A,'[1]DATOS PBI Artículos'!AS:AS)</f>
        <v>0</v>
      </c>
      <c r="J560" s="35">
        <f>IF(COUNTIF([1]CRITERIOS!$F$179:$F$199,$A560)&gt;=1,
 IF(O560&lt;&gt;"",
    (O560/_xlfn.XLOOKUP(CONCATENATE(A560,L560),[1]MÁQUINAS!A:A,[1]MÁQUINAS!D:D))/24,
    (N560/_xlfn.XLOOKUP(CONCATENATE(A560,L560),[1]MÁQUINAS!A:A,[1]MÁQUINAS!D:D))/24),
  _xlfn.XLOOKUP($A560,'[1]DATOS PBI Artículos'!A:A,'[1]DATOS PBI Artículos'!AU:AU))</f>
        <v>0</v>
      </c>
      <c r="K560" s="36">
        <f>_xlfn.XLOOKUP($A560,'[1]DATOS PBI Artículos'!A:A,'[1]DATOS PBI Artículos'!AV:AV)</f>
        <v>0</v>
      </c>
      <c r="L560" s="33">
        <f>_xlfn.XLOOKUP(A560,[1]MÁQUINAS!B:B,[1]MÁQUINAS!C:C)</f>
        <v>0</v>
      </c>
      <c r="M560" s="34">
        <f t="array" ref="M560">_xlfn.XLOOKUP(A560,'[1]DATOS PBI Artículos'!A:A,'[1]DATOS PBI Artículos'!AX:$AX)</f>
        <v>0</v>
      </c>
      <c r="N560" s="37" t="e">
        <f>IF(I560="DV",
E560,
IF(COUNTIF([1]CRITERIOS!$I$179:$I$199,$A560)&gt;=1,
_xlfn.XLOOKUP($A560,[1]CRITERIOS!$I$179:$I$199,[1]CRITERIOS!$J$179:$J$199),
IF(COUNTIF([1]CRITERIOS!$L$179:$L$199,$A560)&gt;=1,
_xlfn.CEILING.MATH(IF($M560&gt;$E560,
$E560,
IF($M560&lt;$E560/ROUNDDOWN([1]CRITERIOS!$M$16/_xlfn.XLOOKUP($C560,[1]CRITERIOS!$K$25:$K$42,[1]CRITERIOS!$M$25:$M$42),
1),
E560/ROUNDDOWN([1]CRITERIOS!$M$16/_xlfn.XLOOKUP($C560,[1]CRITERIOS!$K$25:$K$42,[1]CRITERIOS!$M$25:$M$42),
1),
$M560)),
_xlfn.XLOOKUP($A560,[1]CRITERIOS!$L$179:$L$200,[1]CRITERIOS!$M$179:$M$200)),
_xlfn.CEILING.MATH(IF($M560&gt;$E560,
$E560,
IF($M560&lt;$E560/ROUNDDOWN([1]CRITERIOS!$M$16/_xlfn.XLOOKUP($C560,[1]CRITERIOS!$K$25:$K$42,[1]CRITERIOS!$M$25:$M$42),
1),
E560/ROUNDDOWN([1]CRITERIOS!$M$16/_xlfn.XLOOKUP($C560,[1]CRITERIOS!$K$25:$K$42,[1]CRITERIOS!$M$25:$M$42),
1),
$M560)),_xlfn.XLOOKUP(A560,'[1]DATOS PBI Artículos'!A:A,'[1]DATOS PBI Artículos'!Z:Z
)))))</f>
        <v>#N/A</v>
      </c>
      <c r="Q560" s="38" t="e">
        <f>IF(AND(O560="",N560=0),
0,
   IF(COUNTIF([1]CRITERIOS!$F$179:$F$199,$A560)&gt;=1,
   1,
   IF(R560="MTO",
      $D560,
      ROUNDUP(
                    IF(($E560-SUMIF('[1]DATOS PBI Artículos'!A:A,A560,'[1]DATOS PBI Artículos'!X:X)+($V560-_xlfn.XLOOKUP(A560,'[1]DATOS PBI Artículos'!A:A,'[1]DATOS PBI Artículos'!W:W)))&lt;0,
                    0,
                    IF(($E560-SUMIF('[1]DATOS PBI Artículos'!A:A,A560,'[1]DATOS PBI Artículos'!X:X)+$V560-_xlfn.XLOOKUP($A560,'[1]DATOS PBI Artículos'!A:A,'[1]DATOS PBI Artículos'!W:W))/IF($O560="",$N560,$O560)&gt;ROUNDUP([1]CRITERIOS!$M$16/(IF(COUNTIF([1]CRITERIOS!$BG$11:$BG$201,L560)&gt;=1,_xlfn.XLOOKUP($C560,[1]CRITERIOS!$K$25:$K$42,[1]CRITERIOS!$M$25:$M$42),_xlfn.XLOOKUP($C560,[1]CRITERIOS!$K$25:$K$42,[1]CRITERIOS!$M$25:$M$42))),0),
                    ROUNDUP([1]CRITERIOS!$M$16/(IF(COUNTIF([1]CRITERIOS!$BG$11:$BG$201,$L560)&gt;=1,_xlfn.XLOOKUP($C560,[1]CRITERIOS!$K$25:$K$42,[1]CRITERIOS!$M$25:$M$42),_xlfn.XLOOKUP($C560,[1]CRITERIOS!$K$25:$K$42,[1]CRITERIOS!$M$25:$M$42))),0),
                    (E560+V560-SUMIF('[1]DATOS PBI Artículos'!A:A,A560,'[1]DATOS PBI Artículos'!X:X)-_xlfn.XLOOKUP(A560,'[1]DATOS PBI Artículos'!A:A,'[1]DATOS PBI Artículos'!W:W))/IF($O560="",$N560,$O560))),0))))</f>
        <v>#N/A</v>
      </c>
      <c r="R560" s="33" t="e">
        <f>IF(U560&lt;&gt;"",U560,IF(F560="DV","MTO",IF(N560=0,"MTO",_xlfn.XLOOKUP(CONCATENATE(S560,T560),[1]CRITERIOS!$K$160:$K$168,[1]CRITERIOS!$N$160:$N$168))))</f>
        <v>#N/A</v>
      </c>
      <c r="S560" s="33" t="e">
        <f>IF(G560="DV","MTO",IF(N560=0,"MTO",IF(OR(AND(N560=0,O560=""),IF(O560="",G560/N560,G560/O560)&gt;[1]CRITERIOS!$G$163),"MTO",IF(IF(O560="",G560/N560,G560/O560)&lt;[1]CRITERIOS!$H$161,"MTS","MTOS"))))</f>
        <v>#N/A</v>
      </c>
      <c r="T560" s="33" t="e">
        <f>IF(F560="DV","MTO",IF(OR(AND($N560=0,O560=""),$F560/$J560&gt;[1]CRITERIOS!$G$170,$F560="DV"),"MTO",IF($F560/$J560&lt;[1]CRITERIOS!$H$168,"MTS","MTOS")))</f>
        <v>#N/A</v>
      </c>
      <c r="V560" s="34" t="e">
        <f t="shared" si="28"/>
        <v>#N/A</v>
      </c>
      <c r="X560" s="34" t="e">
        <f t="shared" si="26"/>
        <v>#N/A</v>
      </c>
      <c r="Y560" s="34" t="e">
        <f t="shared" si="27"/>
        <v>#N/A</v>
      </c>
      <c r="Z560" s="34" t="e">
        <f>IF($R560="MTO",
0,
($H560+$K560*($E560/[1]CRITERIOS!$M$16))/[1]CRITERIOS!$X$48)</f>
        <v>#N/A</v>
      </c>
      <c r="AA560" s="34" t="e">
        <f>ROUNDUP(($Y560/_xlfn.XLOOKUP($A560,'[1]DATOS PBI Artículos'!$A$4:$A$4,'[1]DATOS PBI Artículos'!$Z$4:$Z$4))/_xlfn.XLOOKUP(_xlfn.XLOOKUP($A560,'[1]DATOS PBI Artículos'!$A$4:$A$4,'[1]DATOS PBI Artículos'!$Y$4:$Y$4),[1]CRITERIOS!$P$79:$P$123,[1]CRITERIOS!$S$79:$S$123,),0)</f>
        <v>#N/A</v>
      </c>
      <c r="AB560" s="33" t="e">
        <f t="array" ref="AB560">IF((E560+V560-_xlfn.XLOOKUP(A560,'[1]DATOS PBI Artículos'!$A$4:$A$4,'[1]DATOS PBI Artículos'!$W$4:$W$4))/N560&gt;ROUNDUP([1]CRITERIOS!$M$16/(IF(COUNTIF([1]CRITERIOS!$BG$11:$BG$201,L560)&gt;=1,_xlfn.XLOOKUP(ARTÍCULOS!L560,[1]CRITERIOS!$BG$11:$BG$201,[1]CRITERIOS!$BJ$11:$BJ$201),_xlfn.XLOOKUP(ARTÍCULOS!C560,[1]CRITERIOS!$K$25:$K$42,[1]CRITERIOS!$M$25:$M$42))),0),ROUNDUP([1]CRITERIOS!$M$16/(IF(COUNTIF([1]CRITERIOS!$BG$11:$BG$201,L560)&gt;=1,_xlfn.XLOOKUP(ARTÍCULOS!L560,[1]CRITERIOS!$BG$11:$BG$201:#REF!,[1]CRITERIOS!$BJ$11:$BJ$201),_xlfn.XLOOKUP(ARTÍCULOS!C560,[1]CRITERIOS!$K$25:$K$42,[1]CRITERIOS!$M$25:$M$42))),0),(E560+V560-_xlfn.XLOOKUP(A560,'[1]DATOS PBI Artículos'!$A$4:$A$4,'[1]DATOS PBI Artículos'!$W$4:$W$4))/N560)</f>
        <v>#N/A</v>
      </c>
      <c r="AC560" s="33" t="e">
        <f>IF(N560=0,"",(ROUNDUP((N560/2)/(_xlfn.XLOOKUP(A560,'[1]DATOS PBI Artículos'!$A$4:$A$4,'[1]DATOS PBI Artículos'!$Z$4:$Z$4)*_xlfn.XLOOKUP(_xlfn.XLOOKUP(A560,'[1]DATOS PBI Artículos'!$A$4:$A$4,'[1]DATOS PBI Artículos'!$Y$4:$Y$4),[1]CRITERIOS!$P$79:$P$123,[1]CRITERIOS!$S$79:$S$123)),0)*[1]CRITERIOS!$M$80*([1]CRITERIOS!$M$110/[1]CRITERIOS!$M$86)+(_xlfn.XLOOKUP(A560,'[1]DATOS PBI Artículos'!$A$4:$A$4,'[1]DATOS PBI Artículos'!$AA$4:$AA$4)*([1]CRITERIOS!$M$95+[1]CRITERIOS!$M$98)))/N560)</f>
        <v>#N/A</v>
      </c>
      <c r="AD560" s="33" t="e">
        <f>IF(N560=0,"",(ROUNDUP((N560/2)/(_xlfn.XLOOKUP(A560,'[1]DATOS PBI Artículos'!$A$4:$A$4,'[1]DATOS PBI Artículos'!$Z$4:$Z$4)*_xlfn.XLOOKUP(_xlfn.XLOOKUP(A560,'[1]DATOS PBI Artículos'!$A$4:$A$4,'[1]DATOS PBI Artículos'!$Y$4:$Y$4),[1]CRITERIOS!$P$79:$P$123,[1]CRITERIOS!$S$79:$S$123)),0)*[1]CRITERIOS!$M$80*([1]CRITERIOS!$M$89*[1]CRITERIOS!$M$92)+((_xlfn.XLOOKUP(A560,'[1]DATOS PBI Artículos'!$A$4:$A$4,'[1]DATOS PBI Artículos'!$AA$4:$AA$4)/2)*([1]CRITERIOS!$M$95+[1]CRITERIOS!$M$98)))/N560)</f>
        <v>#N/A</v>
      </c>
      <c r="AE560" s="39" t="e">
        <f>IF($R560="MTO","",
IF($H560=0,ROUNDUP(((_xlfn.XLOOKUP($A560,'[1]DATOS PBI Artículos'!$A:$A,'[1]DATOS PBI Artículos'!$AL:$AL))/(_xlfn.XLOOKUP($AF$1,[1]CRITERIOS!$S$16:$S$39,[1]CRITERIOS!$Y$16:$Y$39))*$J560+$Z560)/$G560,0)*$G560,
((_xlfn.XLOOKUP($A560,'[1]DATOS PBI Artículos'!$A:$A,'[1]DATOS PBI Artículos'!$AL:$AL))/(_xlfn.XLOOKUP($AF$1,[1]CRITERIOS!$S$16:$S$39,[1]CRITERIOS!$Y$16:$Y$39))*$J560+$Z560)))</f>
        <v>#N/A</v>
      </c>
      <c r="AG560" s="39" t="e">
        <f>IF($R560="MTO","",
IF($H560=0,ROUNDUP(((_xlfn.XLOOKUP($A560,'[1]DATOS PBI Artículos'!$A:$A,'[1]DATOS PBI Artículos'!$AM:$AM))/(_xlfn.XLOOKUP($AH$1,[1]CRITERIOS!$S$16:$S$39,[1]CRITERIOS!$Y$16:$Y$39))*$J560+$Z560)/$G560,0)*$G560,
((_xlfn.XLOOKUP($A560,'[1]DATOS PBI Artículos'!$A:$A,'[1]DATOS PBI Artículos'!$AM:$AM))/(_xlfn.XLOOKUP($AH$1,[1]CRITERIOS!$S$16:$S$39,[1]CRITERIOS!$Y$16:$Y$39))*$J560+$Z560)))</f>
        <v>#N/A</v>
      </c>
      <c r="AI560" s="39" t="e">
        <f>IF($R560="MTO","",
IF($H560=0,ROUNDUP(((_xlfn.XLOOKUP($A560,'[1]DATOS PBI Artículos'!$A:$A,'[1]DATOS PBI Artículos'!$AN:$AN))/(_xlfn.XLOOKUP($AJ$1,[1]CRITERIOS!$S$16:$S$39,[1]CRITERIOS!$Y$16:$Y$39))*$J560+$Z560)/$G560,0)*$G560,
((_xlfn.XLOOKUP($A560,'[1]DATOS PBI Artículos'!$A:$A,'[1]DATOS PBI Artículos'!$AN:$AN))/(_xlfn.XLOOKUP($AJ$1,[1]CRITERIOS!$S$16:$S$39,[1]CRITERIOS!$Y$16:$Y$39))*$J560+$Z560)))</f>
        <v>#N/A</v>
      </c>
      <c r="AK560" s="39" t="e">
        <f>IF($R560="MTO","",
IF($H560=0,ROUNDUP(((_xlfn.XLOOKUP($A560,'[1]DATOS PBI Artículos'!$A:$A,'[1]DATOS PBI Artículos'!$AO:$AO))/(_xlfn.XLOOKUP($AL$1,[1]CRITERIOS!$S$16:$S$39,[1]CRITERIOS!$Y$16:$Y$39))*$J560+$Z560)/$G560,0)*$G560,
((_xlfn.XLOOKUP($A560,'[1]DATOS PBI Artículos'!$A:$A,'[1]DATOS PBI Artículos'!$AO:$AO))/(_xlfn.XLOOKUP($AL$1,[1]CRITERIOS!$S$16:$S$39,[1]CRITERIOS!$Y$16:$Y$39))*$J560+$Z560)))</f>
        <v>#N/A</v>
      </c>
    </row>
    <row r="561" spans="1:37" ht="25.8" hidden="1" x14ac:dyDescent="0.4">
      <c r="A561" s="41"/>
      <c r="B561" s="33">
        <f>_xlfn.XLOOKUP($A561,'[1]DATOS PBI Artículos'!A:A,'[1]DATOS PBI Artículos'!B:B)</f>
        <v>0</v>
      </c>
      <c r="C561" s="33">
        <f>_xlfn.XLOOKUP($A561,'[1]DATOS PBI Artículos'!A:A,'[1]DATOS PBI Artículos'!C:C)</f>
        <v>0</v>
      </c>
      <c r="D561" s="33">
        <f>_xlfn.XLOOKUP(A561,'[1]DATOS PBI Artículos'!A:A,'[1]DATOS PBI Artículos'!T:T)</f>
        <v>0</v>
      </c>
      <c r="E561" s="34">
        <f>IF(_xlfn.XLOOKUP($A561,'[1]DATOS PBI Artículos'!A:A,'[1]DATOS PBI Artículos'!AK:AK)="",_xlfn.XLOOKUP($A561,'[1]DATOS PBI Artículos'!A:A,'[1]DATOS PBI Artículos'!AJ:AJ),_xlfn.XLOOKUP($A561,'[1]DATOS PBI Artículos'!A:A,'[1]DATOS PBI Artículos'!AK:AK))</f>
        <v>0</v>
      </c>
      <c r="F561" s="35">
        <f>_xlfn.XLOOKUP($A561,'[1]DATOS PBI Artículos'!A:A,'[1]DATOS PBI Artículos'!AP:AP)</f>
        <v>0</v>
      </c>
      <c r="G561" s="34">
        <f>_xlfn.XLOOKUP($A561,'[1]DATOS PBI Artículos'!A:A,'[1]DATOS PBI Artículos'!AR:AR)</f>
        <v>0</v>
      </c>
      <c r="H561" s="34">
        <f>_xlfn.XLOOKUP($A561,'[1]DATOS PBI Artículos'!A:A,'[1]DATOS PBI Artículos'!AT:AT)</f>
        <v>0</v>
      </c>
      <c r="I561" s="34">
        <f>_xlfn.XLOOKUP($A561,'[1]DATOS PBI Artículos'!A:A,'[1]DATOS PBI Artículos'!AS:AS)</f>
        <v>0</v>
      </c>
      <c r="J561" s="35">
        <f>IF(COUNTIF([1]CRITERIOS!$F$179:$F$199,$A561)&gt;=1,
 IF(O561&lt;&gt;"",
    (O561/_xlfn.XLOOKUP(CONCATENATE(A561,L561),[1]MÁQUINAS!A:A,[1]MÁQUINAS!D:D))/24,
    (N561/_xlfn.XLOOKUP(CONCATENATE(A561,L561),[1]MÁQUINAS!A:A,[1]MÁQUINAS!D:D))/24),
  _xlfn.XLOOKUP($A561,'[1]DATOS PBI Artículos'!A:A,'[1]DATOS PBI Artículos'!AU:AU))</f>
        <v>0</v>
      </c>
      <c r="K561" s="36">
        <f>_xlfn.XLOOKUP($A561,'[1]DATOS PBI Artículos'!A:A,'[1]DATOS PBI Artículos'!AV:AV)</f>
        <v>0</v>
      </c>
      <c r="L561" s="33">
        <f>_xlfn.XLOOKUP(A561,[1]MÁQUINAS!B:B,[1]MÁQUINAS!C:C)</f>
        <v>0</v>
      </c>
      <c r="M561" s="34">
        <f t="array" ref="M561">_xlfn.XLOOKUP(A561,'[1]DATOS PBI Artículos'!A:A,'[1]DATOS PBI Artículos'!AX:$AX)</f>
        <v>0</v>
      </c>
      <c r="N561" s="37" t="e">
        <f>IF(I561="DV",
E561,
IF(COUNTIF([1]CRITERIOS!$I$179:$I$199,$A561)&gt;=1,
_xlfn.XLOOKUP($A561,[1]CRITERIOS!$I$179:$I$199,[1]CRITERIOS!$J$179:$J$199),
IF(COUNTIF([1]CRITERIOS!$L$179:$L$199,$A561)&gt;=1,
_xlfn.CEILING.MATH(IF($M561&gt;$E561,
$E561,
IF($M561&lt;$E561/ROUNDDOWN([1]CRITERIOS!$M$16/_xlfn.XLOOKUP($C561,[1]CRITERIOS!$K$25:$K$42,[1]CRITERIOS!$M$25:$M$42),
1),
E561/ROUNDDOWN([1]CRITERIOS!$M$16/_xlfn.XLOOKUP($C561,[1]CRITERIOS!$K$25:$K$42,[1]CRITERIOS!$M$25:$M$42),
1),
$M561)),
_xlfn.XLOOKUP($A561,[1]CRITERIOS!$L$179:$L$200,[1]CRITERIOS!$M$179:$M$200)),
_xlfn.CEILING.MATH(IF($M561&gt;$E561,
$E561,
IF($M561&lt;$E561/ROUNDDOWN([1]CRITERIOS!$M$16/_xlfn.XLOOKUP($C561,[1]CRITERIOS!$K$25:$K$42,[1]CRITERIOS!$M$25:$M$42),
1),
E561/ROUNDDOWN([1]CRITERIOS!$M$16/_xlfn.XLOOKUP($C561,[1]CRITERIOS!$K$25:$K$42,[1]CRITERIOS!$M$25:$M$42),
1),
$M561)),_xlfn.XLOOKUP(A561,'[1]DATOS PBI Artículos'!A:A,'[1]DATOS PBI Artículos'!Z:Z
)))))</f>
        <v>#N/A</v>
      </c>
      <c r="Q561" s="38" t="e">
        <f>IF(AND(O561="",N561=0),
0,
   IF(COUNTIF([1]CRITERIOS!$F$179:$F$199,$A561)&gt;=1,
   1,
   IF(R561="MTO",
      $D561,
      ROUNDUP(
                    IF(($E561-SUMIF('[1]DATOS PBI Artículos'!A:A,A561,'[1]DATOS PBI Artículos'!X:X)+($V561-_xlfn.XLOOKUP(A561,'[1]DATOS PBI Artículos'!A:A,'[1]DATOS PBI Artículos'!W:W)))&lt;0,
                    0,
                    IF(($E561-SUMIF('[1]DATOS PBI Artículos'!A:A,A561,'[1]DATOS PBI Artículos'!X:X)+$V561-_xlfn.XLOOKUP($A561,'[1]DATOS PBI Artículos'!A:A,'[1]DATOS PBI Artículos'!W:W))/IF($O561="",$N561,$O561)&gt;ROUNDUP([1]CRITERIOS!$M$16/(IF(COUNTIF([1]CRITERIOS!$BG$11:$BG$201,L561)&gt;=1,_xlfn.XLOOKUP($C561,[1]CRITERIOS!$K$25:$K$42,[1]CRITERIOS!$M$25:$M$42),_xlfn.XLOOKUP($C561,[1]CRITERIOS!$K$25:$K$42,[1]CRITERIOS!$M$25:$M$42))),0),
                    ROUNDUP([1]CRITERIOS!$M$16/(IF(COUNTIF([1]CRITERIOS!$BG$11:$BG$201,$L561)&gt;=1,_xlfn.XLOOKUP($C561,[1]CRITERIOS!$K$25:$K$42,[1]CRITERIOS!$M$25:$M$42),_xlfn.XLOOKUP($C561,[1]CRITERIOS!$K$25:$K$42,[1]CRITERIOS!$M$25:$M$42))),0),
                    (E561+V561-SUMIF('[1]DATOS PBI Artículos'!A:A,A561,'[1]DATOS PBI Artículos'!X:X)-_xlfn.XLOOKUP(A561,'[1]DATOS PBI Artículos'!A:A,'[1]DATOS PBI Artículos'!W:W))/IF($O561="",$N561,$O561))),0))))</f>
        <v>#N/A</v>
      </c>
      <c r="R561" s="33" t="e">
        <f>IF(U561&lt;&gt;"",U561,IF(F561="DV","MTO",IF(N561=0,"MTO",_xlfn.XLOOKUP(CONCATENATE(S561,T561),[1]CRITERIOS!$K$160:$K$168,[1]CRITERIOS!$N$160:$N$168))))</f>
        <v>#N/A</v>
      </c>
      <c r="S561" s="33" t="e">
        <f>IF(G561="DV","MTO",IF(N561=0,"MTO",IF(OR(AND(N561=0,O561=""),IF(O561="",G561/N561,G561/O561)&gt;[1]CRITERIOS!$G$163),"MTO",IF(IF(O561="",G561/N561,G561/O561)&lt;[1]CRITERIOS!$H$161,"MTS","MTOS"))))</f>
        <v>#N/A</v>
      </c>
      <c r="T561" s="33" t="e">
        <f>IF(F561="DV","MTO",IF(OR(AND($N561=0,O561=""),$F561/$J561&gt;[1]CRITERIOS!$G$170,$F561="DV"),"MTO",IF($F561/$J561&lt;[1]CRITERIOS!$H$168,"MTS","MTOS")))</f>
        <v>#N/A</v>
      </c>
      <c r="V561" s="34" t="e">
        <f t="shared" si="28"/>
        <v>#N/A</v>
      </c>
      <c r="X561" s="34" t="e">
        <f t="shared" si="26"/>
        <v>#N/A</v>
      </c>
      <c r="Y561" s="34" t="e">
        <f t="shared" si="27"/>
        <v>#N/A</v>
      </c>
      <c r="Z561" s="34" t="e">
        <f>IF($R561="MTO",
0,
($H561+$K561*($E561/[1]CRITERIOS!$M$16))/[1]CRITERIOS!$X$48)</f>
        <v>#N/A</v>
      </c>
      <c r="AA561" s="34" t="e">
        <f>ROUNDUP(($Y561/_xlfn.XLOOKUP($A561,'[1]DATOS PBI Artículos'!$A$4:$A$4,'[1]DATOS PBI Artículos'!$Z$4:$Z$4))/_xlfn.XLOOKUP(_xlfn.XLOOKUP($A561,'[1]DATOS PBI Artículos'!$A$4:$A$4,'[1]DATOS PBI Artículos'!$Y$4:$Y$4),[1]CRITERIOS!$P$79:$P$123,[1]CRITERIOS!$S$79:$S$123,),0)</f>
        <v>#N/A</v>
      </c>
      <c r="AB561" s="33" t="e">
        <f t="array" ref="AB561">IF((E561+V561-_xlfn.XLOOKUP(A561,'[1]DATOS PBI Artículos'!$A$4:$A$4,'[1]DATOS PBI Artículos'!$W$4:$W$4))/N561&gt;ROUNDUP([1]CRITERIOS!$M$16/(IF(COUNTIF([1]CRITERIOS!$BG$11:$BG$201,L561)&gt;=1,_xlfn.XLOOKUP(ARTÍCULOS!L561,[1]CRITERIOS!$BG$11:$BG$201,[1]CRITERIOS!$BJ$11:$BJ$201),_xlfn.XLOOKUP(ARTÍCULOS!C561,[1]CRITERIOS!$K$25:$K$42,[1]CRITERIOS!$M$25:$M$42))),0),ROUNDUP([1]CRITERIOS!$M$16/(IF(COUNTIF([1]CRITERIOS!$BG$11:$BG$201,L561)&gt;=1,_xlfn.XLOOKUP(ARTÍCULOS!L561,[1]CRITERIOS!$BG$11:$BG$201:#REF!,[1]CRITERIOS!$BJ$11:$BJ$201),_xlfn.XLOOKUP(ARTÍCULOS!C561,[1]CRITERIOS!$K$25:$K$42,[1]CRITERIOS!$M$25:$M$42))),0),(E561+V561-_xlfn.XLOOKUP(A561,'[1]DATOS PBI Artículos'!$A$4:$A$4,'[1]DATOS PBI Artículos'!$W$4:$W$4))/N561)</f>
        <v>#N/A</v>
      </c>
      <c r="AC561" s="33" t="e">
        <f>IF(N561=0,"",(ROUNDUP((N561/2)/(_xlfn.XLOOKUP(A561,'[1]DATOS PBI Artículos'!$A$4:$A$4,'[1]DATOS PBI Artículos'!$Z$4:$Z$4)*_xlfn.XLOOKUP(_xlfn.XLOOKUP(A561,'[1]DATOS PBI Artículos'!$A$4:$A$4,'[1]DATOS PBI Artículos'!$Y$4:$Y$4),[1]CRITERIOS!$P$79:$P$123,[1]CRITERIOS!$S$79:$S$123)),0)*[1]CRITERIOS!$M$80*([1]CRITERIOS!$M$110/[1]CRITERIOS!$M$86)+(_xlfn.XLOOKUP(A561,'[1]DATOS PBI Artículos'!$A$4:$A$4,'[1]DATOS PBI Artículos'!$AA$4:$AA$4)*([1]CRITERIOS!$M$95+[1]CRITERIOS!$M$98)))/N561)</f>
        <v>#N/A</v>
      </c>
      <c r="AD561" s="33" t="e">
        <f>IF(N561=0,"",(ROUNDUP((N561/2)/(_xlfn.XLOOKUP(A561,'[1]DATOS PBI Artículos'!$A$4:$A$4,'[1]DATOS PBI Artículos'!$Z$4:$Z$4)*_xlfn.XLOOKUP(_xlfn.XLOOKUP(A561,'[1]DATOS PBI Artículos'!$A$4:$A$4,'[1]DATOS PBI Artículos'!$Y$4:$Y$4),[1]CRITERIOS!$P$79:$P$123,[1]CRITERIOS!$S$79:$S$123)),0)*[1]CRITERIOS!$M$80*([1]CRITERIOS!$M$89*[1]CRITERIOS!$M$92)+((_xlfn.XLOOKUP(A561,'[1]DATOS PBI Artículos'!$A$4:$A$4,'[1]DATOS PBI Artículos'!$AA$4:$AA$4)/2)*([1]CRITERIOS!$M$95+[1]CRITERIOS!$M$98)))/N561)</f>
        <v>#N/A</v>
      </c>
      <c r="AE561" s="39" t="e">
        <f>IF($R561="MTO","",
IF($H561=0,ROUNDUP(((_xlfn.XLOOKUP($A561,'[1]DATOS PBI Artículos'!$A:$A,'[1]DATOS PBI Artículos'!$AL:$AL))/(_xlfn.XLOOKUP($AF$1,[1]CRITERIOS!$S$16:$S$39,[1]CRITERIOS!$Y$16:$Y$39))*$J561+$Z561)/$G561,0)*$G561,
((_xlfn.XLOOKUP($A561,'[1]DATOS PBI Artículos'!$A:$A,'[1]DATOS PBI Artículos'!$AL:$AL))/(_xlfn.XLOOKUP($AF$1,[1]CRITERIOS!$S$16:$S$39,[1]CRITERIOS!$Y$16:$Y$39))*$J561+$Z561)))</f>
        <v>#N/A</v>
      </c>
      <c r="AG561" s="39" t="e">
        <f>IF($R561="MTO","",
IF($H561=0,ROUNDUP(((_xlfn.XLOOKUP($A561,'[1]DATOS PBI Artículos'!$A:$A,'[1]DATOS PBI Artículos'!$AM:$AM))/(_xlfn.XLOOKUP($AH$1,[1]CRITERIOS!$S$16:$S$39,[1]CRITERIOS!$Y$16:$Y$39))*$J561+$Z561)/$G561,0)*$G561,
((_xlfn.XLOOKUP($A561,'[1]DATOS PBI Artículos'!$A:$A,'[1]DATOS PBI Artículos'!$AM:$AM))/(_xlfn.XLOOKUP($AH$1,[1]CRITERIOS!$S$16:$S$39,[1]CRITERIOS!$Y$16:$Y$39))*$J561+$Z561)))</f>
        <v>#N/A</v>
      </c>
      <c r="AI561" s="39" t="e">
        <f>IF($R561="MTO","",
IF($H561=0,ROUNDUP(((_xlfn.XLOOKUP($A561,'[1]DATOS PBI Artículos'!$A:$A,'[1]DATOS PBI Artículos'!$AN:$AN))/(_xlfn.XLOOKUP($AJ$1,[1]CRITERIOS!$S$16:$S$39,[1]CRITERIOS!$Y$16:$Y$39))*$J561+$Z561)/$G561,0)*$G561,
((_xlfn.XLOOKUP($A561,'[1]DATOS PBI Artículos'!$A:$A,'[1]DATOS PBI Artículos'!$AN:$AN))/(_xlfn.XLOOKUP($AJ$1,[1]CRITERIOS!$S$16:$S$39,[1]CRITERIOS!$Y$16:$Y$39))*$J561+$Z561)))</f>
        <v>#N/A</v>
      </c>
      <c r="AK561" s="39" t="e">
        <f>IF($R561="MTO","",
IF($H561=0,ROUNDUP(((_xlfn.XLOOKUP($A561,'[1]DATOS PBI Artículos'!$A:$A,'[1]DATOS PBI Artículos'!$AO:$AO))/(_xlfn.XLOOKUP($AL$1,[1]CRITERIOS!$S$16:$S$39,[1]CRITERIOS!$Y$16:$Y$39))*$J561+$Z561)/$G561,0)*$G561,
((_xlfn.XLOOKUP($A561,'[1]DATOS PBI Artículos'!$A:$A,'[1]DATOS PBI Artículos'!$AO:$AO))/(_xlfn.XLOOKUP($AL$1,[1]CRITERIOS!$S$16:$S$39,[1]CRITERIOS!$Y$16:$Y$39))*$J561+$Z561)))</f>
        <v>#N/A</v>
      </c>
    </row>
    <row r="562" spans="1:37" ht="25.8" hidden="1" x14ac:dyDescent="0.4">
      <c r="A562" s="41"/>
      <c r="B562" s="33">
        <f>_xlfn.XLOOKUP($A562,'[1]DATOS PBI Artículos'!A:A,'[1]DATOS PBI Artículos'!B:B)</f>
        <v>0</v>
      </c>
      <c r="C562" s="33">
        <f>_xlfn.XLOOKUP($A562,'[1]DATOS PBI Artículos'!A:A,'[1]DATOS PBI Artículos'!C:C)</f>
        <v>0</v>
      </c>
      <c r="D562" s="33">
        <f>_xlfn.XLOOKUP(A562,'[1]DATOS PBI Artículos'!A:A,'[1]DATOS PBI Artículos'!T:T)</f>
        <v>0</v>
      </c>
      <c r="E562" s="34">
        <f>IF(_xlfn.XLOOKUP($A562,'[1]DATOS PBI Artículos'!A:A,'[1]DATOS PBI Artículos'!AK:AK)="",_xlfn.XLOOKUP($A562,'[1]DATOS PBI Artículos'!A:A,'[1]DATOS PBI Artículos'!AJ:AJ),_xlfn.XLOOKUP($A562,'[1]DATOS PBI Artículos'!A:A,'[1]DATOS PBI Artículos'!AK:AK))</f>
        <v>0</v>
      </c>
      <c r="F562" s="35">
        <f>_xlfn.XLOOKUP($A562,'[1]DATOS PBI Artículos'!A:A,'[1]DATOS PBI Artículos'!AP:AP)</f>
        <v>0</v>
      </c>
      <c r="G562" s="34">
        <f>_xlfn.XLOOKUP($A562,'[1]DATOS PBI Artículos'!A:A,'[1]DATOS PBI Artículos'!AR:AR)</f>
        <v>0</v>
      </c>
      <c r="H562" s="34">
        <f>_xlfn.XLOOKUP($A562,'[1]DATOS PBI Artículos'!A:A,'[1]DATOS PBI Artículos'!AT:AT)</f>
        <v>0</v>
      </c>
      <c r="I562" s="34">
        <f>_xlfn.XLOOKUP($A562,'[1]DATOS PBI Artículos'!A:A,'[1]DATOS PBI Artículos'!AS:AS)</f>
        <v>0</v>
      </c>
      <c r="J562" s="35">
        <f>IF(COUNTIF([1]CRITERIOS!$F$179:$F$199,$A562)&gt;=1,
 IF(O562&lt;&gt;"",
    (O562/_xlfn.XLOOKUP(CONCATENATE(A562,L562),[1]MÁQUINAS!A:A,[1]MÁQUINAS!D:D))/24,
    (N562/_xlfn.XLOOKUP(CONCATENATE(A562,L562),[1]MÁQUINAS!A:A,[1]MÁQUINAS!D:D))/24),
  _xlfn.XLOOKUP($A562,'[1]DATOS PBI Artículos'!A:A,'[1]DATOS PBI Artículos'!AU:AU))</f>
        <v>0</v>
      </c>
      <c r="K562" s="36">
        <f>_xlfn.XLOOKUP($A562,'[1]DATOS PBI Artículos'!A:A,'[1]DATOS PBI Artículos'!AV:AV)</f>
        <v>0</v>
      </c>
      <c r="L562" s="33">
        <f>_xlfn.XLOOKUP(A562,[1]MÁQUINAS!B:B,[1]MÁQUINAS!C:C)</f>
        <v>0</v>
      </c>
      <c r="M562" s="34">
        <f t="array" ref="M562">_xlfn.XLOOKUP(A562,'[1]DATOS PBI Artículos'!A:A,'[1]DATOS PBI Artículos'!AX:$AX)</f>
        <v>0</v>
      </c>
      <c r="N562" s="37" t="e">
        <f>IF(I562="DV",
E562,
IF(COUNTIF([1]CRITERIOS!$I$179:$I$199,$A562)&gt;=1,
_xlfn.XLOOKUP($A562,[1]CRITERIOS!$I$179:$I$199,[1]CRITERIOS!$J$179:$J$199),
IF(COUNTIF([1]CRITERIOS!$L$179:$L$199,$A562)&gt;=1,
_xlfn.CEILING.MATH(IF($M562&gt;$E562,
$E562,
IF($M562&lt;$E562/ROUNDDOWN([1]CRITERIOS!$M$16/_xlfn.XLOOKUP($C562,[1]CRITERIOS!$K$25:$K$42,[1]CRITERIOS!$M$25:$M$42),
1),
E562/ROUNDDOWN([1]CRITERIOS!$M$16/_xlfn.XLOOKUP($C562,[1]CRITERIOS!$K$25:$K$42,[1]CRITERIOS!$M$25:$M$42),
1),
$M562)),
_xlfn.XLOOKUP($A562,[1]CRITERIOS!$L$179:$L$200,[1]CRITERIOS!$M$179:$M$200)),
_xlfn.CEILING.MATH(IF($M562&gt;$E562,
$E562,
IF($M562&lt;$E562/ROUNDDOWN([1]CRITERIOS!$M$16/_xlfn.XLOOKUP($C562,[1]CRITERIOS!$K$25:$K$42,[1]CRITERIOS!$M$25:$M$42),
1),
E562/ROUNDDOWN([1]CRITERIOS!$M$16/_xlfn.XLOOKUP($C562,[1]CRITERIOS!$K$25:$K$42,[1]CRITERIOS!$M$25:$M$42),
1),
$M562)),_xlfn.XLOOKUP(A562,'[1]DATOS PBI Artículos'!A:A,'[1]DATOS PBI Artículos'!Z:Z
)))))</f>
        <v>#N/A</v>
      </c>
      <c r="Q562" s="38" t="e">
        <f>IF(AND(O562="",N562=0),
0,
   IF(COUNTIF([1]CRITERIOS!$F$179:$F$199,$A562)&gt;=1,
   1,
   IF(R562="MTO",
      $D562,
      ROUNDUP(
                    IF(($E562-SUMIF('[1]DATOS PBI Artículos'!A:A,A562,'[1]DATOS PBI Artículos'!X:X)+($V562-_xlfn.XLOOKUP(A562,'[1]DATOS PBI Artículos'!A:A,'[1]DATOS PBI Artículos'!W:W)))&lt;0,
                    0,
                    IF(($E562-SUMIF('[1]DATOS PBI Artículos'!A:A,A562,'[1]DATOS PBI Artículos'!X:X)+$V562-_xlfn.XLOOKUP($A562,'[1]DATOS PBI Artículos'!A:A,'[1]DATOS PBI Artículos'!W:W))/IF($O562="",$N562,$O562)&gt;ROUNDUP([1]CRITERIOS!$M$16/(IF(COUNTIF([1]CRITERIOS!$BG$11:$BG$201,L562)&gt;=1,_xlfn.XLOOKUP($C562,[1]CRITERIOS!$K$25:$K$42,[1]CRITERIOS!$M$25:$M$42),_xlfn.XLOOKUP($C562,[1]CRITERIOS!$K$25:$K$42,[1]CRITERIOS!$M$25:$M$42))),0),
                    ROUNDUP([1]CRITERIOS!$M$16/(IF(COUNTIF([1]CRITERIOS!$BG$11:$BG$201,$L562)&gt;=1,_xlfn.XLOOKUP($C562,[1]CRITERIOS!$K$25:$K$42,[1]CRITERIOS!$M$25:$M$42),_xlfn.XLOOKUP($C562,[1]CRITERIOS!$K$25:$K$42,[1]CRITERIOS!$M$25:$M$42))),0),
                    (E562+V562-SUMIF('[1]DATOS PBI Artículos'!A:A,A562,'[1]DATOS PBI Artículos'!X:X)-_xlfn.XLOOKUP(A562,'[1]DATOS PBI Artículos'!A:A,'[1]DATOS PBI Artículos'!W:W))/IF($O562="",$N562,$O562))),0))))</f>
        <v>#N/A</v>
      </c>
      <c r="R562" s="33" t="e">
        <f>IF(U562&lt;&gt;"",U562,IF(F562="DV","MTO",IF(N562=0,"MTO",_xlfn.XLOOKUP(CONCATENATE(S562,T562),[1]CRITERIOS!$K$160:$K$168,[1]CRITERIOS!$N$160:$N$168))))</f>
        <v>#N/A</v>
      </c>
      <c r="S562" s="33" t="e">
        <f>IF(G562="DV","MTO",IF(N562=0,"MTO",IF(OR(AND(N562=0,O562=""),IF(O562="",G562/N562,G562/O562)&gt;[1]CRITERIOS!$G$163),"MTO",IF(IF(O562="",G562/N562,G562/O562)&lt;[1]CRITERIOS!$H$161,"MTS","MTOS"))))</f>
        <v>#N/A</v>
      </c>
      <c r="T562" s="33" t="e">
        <f>IF(F562="DV","MTO",IF(OR(AND($N562=0,O562=""),$F562/$J562&gt;[1]CRITERIOS!$G$170,$F562="DV"),"MTO",IF($F562/$J562&lt;[1]CRITERIOS!$H$168,"MTS","MTOS")))</f>
        <v>#N/A</v>
      </c>
      <c r="V562" s="34" t="e">
        <f t="shared" si="28"/>
        <v>#N/A</v>
      </c>
      <c r="X562" s="34" t="e">
        <f t="shared" si="26"/>
        <v>#N/A</v>
      </c>
      <c r="Y562" s="34" t="e">
        <f t="shared" si="27"/>
        <v>#N/A</v>
      </c>
      <c r="Z562" s="34" t="e">
        <f>IF($R562="MTO",
0,
($H562+$K562*($E562/[1]CRITERIOS!$M$16))/[1]CRITERIOS!$X$48)</f>
        <v>#N/A</v>
      </c>
      <c r="AA562" s="34" t="e">
        <f>ROUNDUP(($Y562/_xlfn.XLOOKUP($A562,'[1]DATOS PBI Artículos'!$A$4:$A$4,'[1]DATOS PBI Artículos'!$Z$4:$Z$4))/_xlfn.XLOOKUP(_xlfn.XLOOKUP($A562,'[1]DATOS PBI Artículos'!$A$4:$A$4,'[1]DATOS PBI Artículos'!$Y$4:$Y$4),[1]CRITERIOS!$P$79:$P$123,[1]CRITERIOS!$S$79:$S$123,),0)</f>
        <v>#N/A</v>
      </c>
      <c r="AB562" s="33" t="e">
        <f t="array" ref="AB562">IF((E562+V562-_xlfn.XLOOKUP(A562,'[1]DATOS PBI Artículos'!$A$4:$A$4,'[1]DATOS PBI Artículos'!$W$4:$W$4))/N562&gt;ROUNDUP([1]CRITERIOS!$M$16/(IF(COUNTIF([1]CRITERIOS!$BG$11:$BG$201,L562)&gt;=1,_xlfn.XLOOKUP(ARTÍCULOS!L562,[1]CRITERIOS!$BG$11:$BG$201,[1]CRITERIOS!$BJ$11:$BJ$201),_xlfn.XLOOKUP(ARTÍCULOS!C562,[1]CRITERIOS!$K$25:$K$42,[1]CRITERIOS!$M$25:$M$42))),0),ROUNDUP([1]CRITERIOS!$M$16/(IF(COUNTIF([1]CRITERIOS!$BG$11:$BG$201,L562)&gt;=1,_xlfn.XLOOKUP(ARTÍCULOS!L562,[1]CRITERIOS!$BG$11:$BG$201:#REF!,[1]CRITERIOS!$BJ$11:$BJ$201),_xlfn.XLOOKUP(ARTÍCULOS!C562,[1]CRITERIOS!$K$25:$K$42,[1]CRITERIOS!$M$25:$M$42))),0),(E562+V562-_xlfn.XLOOKUP(A562,'[1]DATOS PBI Artículos'!$A$4:$A$4,'[1]DATOS PBI Artículos'!$W$4:$W$4))/N562)</f>
        <v>#N/A</v>
      </c>
      <c r="AC562" s="33" t="e">
        <f>IF(N562=0,"",(ROUNDUP((N562/2)/(_xlfn.XLOOKUP(A562,'[1]DATOS PBI Artículos'!$A$4:$A$4,'[1]DATOS PBI Artículos'!$Z$4:$Z$4)*_xlfn.XLOOKUP(_xlfn.XLOOKUP(A562,'[1]DATOS PBI Artículos'!$A$4:$A$4,'[1]DATOS PBI Artículos'!$Y$4:$Y$4),[1]CRITERIOS!$P$79:$P$123,[1]CRITERIOS!$S$79:$S$123)),0)*[1]CRITERIOS!$M$80*([1]CRITERIOS!$M$110/[1]CRITERIOS!$M$86)+(_xlfn.XLOOKUP(A562,'[1]DATOS PBI Artículos'!$A$4:$A$4,'[1]DATOS PBI Artículos'!$AA$4:$AA$4)*([1]CRITERIOS!$M$95+[1]CRITERIOS!$M$98)))/N562)</f>
        <v>#N/A</v>
      </c>
      <c r="AD562" s="33" t="e">
        <f>IF(N562=0,"",(ROUNDUP((N562/2)/(_xlfn.XLOOKUP(A562,'[1]DATOS PBI Artículos'!$A$4:$A$4,'[1]DATOS PBI Artículos'!$Z$4:$Z$4)*_xlfn.XLOOKUP(_xlfn.XLOOKUP(A562,'[1]DATOS PBI Artículos'!$A$4:$A$4,'[1]DATOS PBI Artículos'!$Y$4:$Y$4),[1]CRITERIOS!$P$79:$P$123,[1]CRITERIOS!$S$79:$S$123)),0)*[1]CRITERIOS!$M$80*([1]CRITERIOS!$M$89*[1]CRITERIOS!$M$92)+((_xlfn.XLOOKUP(A562,'[1]DATOS PBI Artículos'!$A$4:$A$4,'[1]DATOS PBI Artículos'!$AA$4:$AA$4)/2)*([1]CRITERIOS!$M$95+[1]CRITERIOS!$M$98)))/N562)</f>
        <v>#N/A</v>
      </c>
      <c r="AE562" s="39" t="e">
        <f>IF($R562="MTO","",
IF($H562=0,ROUNDUP(((_xlfn.XLOOKUP($A562,'[1]DATOS PBI Artículos'!$A:$A,'[1]DATOS PBI Artículos'!$AL:$AL))/(_xlfn.XLOOKUP($AF$1,[1]CRITERIOS!$S$16:$S$39,[1]CRITERIOS!$Y$16:$Y$39))*$J562+$Z562)/$G562,0)*$G562,
((_xlfn.XLOOKUP($A562,'[1]DATOS PBI Artículos'!$A:$A,'[1]DATOS PBI Artículos'!$AL:$AL))/(_xlfn.XLOOKUP($AF$1,[1]CRITERIOS!$S$16:$S$39,[1]CRITERIOS!$Y$16:$Y$39))*$J562+$Z562)))</f>
        <v>#N/A</v>
      </c>
      <c r="AG562" s="39" t="e">
        <f>IF($R562="MTO","",
IF($H562=0,ROUNDUP(((_xlfn.XLOOKUP($A562,'[1]DATOS PBI Artículos'!$A:$A,'[1]DATOS PBI Artículos'!$AM:$AM))/(_xlfn.XLOOKUP($AH$1,[1]CRITERIOS!$S$16:$S$39,[1]CRITERIOS!$Y$16:$Y$39))*$J562+$Z562)/$G562,0)*$G562,
((_xlfn.XLOOKUP($A562,'[1]DATOS PBI Artículos'!$A:$A,'[1]DATOS PBI Artículos'!$AM:$AM))/(_xlfn.XLOOKUP($AH$1,[1]CRITERIOS!$S$16:$S$39,[1]CRITERIOS!$Y$16:$Y$39))*$J562+$Z562)))</f>
        <v>#N/A</v>
      </c>
      <c r="AI562" s="39" t="e">
        <f>IF($R562="MTO","",
IF($H562=0,ROUNDUP(((_xlfn.XLOOKUP($A562,'[1]DATOS PBI Artículos'!$A:$A,'[1]DATOS PBI Artículos'!$AN:$AN))/(_xlfn.XLOOKUP($AJ$1,[1]CRITERIOS!$S$16:$S$39,[1]CRITERIOS!$Y$16:$Y$39))*$J562+$Z562)/$G562,0)*$G562,
((_xlfn.XLOOKUP($A562,'[1]DATOS PBI Artículos'!$A:$A,'[1]DATOS PBI Artículos'!$AN:$AN))/(_xlfn.XLOOKUP($AJ$1,[1]CRITERIOS!$S$16:$S$39,[1]CRITERIOS!$Y$16:$Y$39))*$J562+$Z562)))</f>
        <v>#N/A</v>
      </c>
      <c r="AK562" s="39" t="e">
        <f>IF($R562="MTO","",
IF($H562=0,ROUNDUP(((_xlfn.XLOOKUP($A562,'[1]DATOS PBI Artículos'!$A:$A,'[1]DATOS PBI Artículos'!$AO:$AO))/(_xlfn.XLOOKUP($AL$1,[1]CRITERIOS!$S$16:$S$39,[1]CRITERIOS!$Y$16:$Y$39))*$J562+$Z562)/$G562,0)*$G562,
((_xlfn.XLOOKUP($A562,'[1]DATOS PBI Artículos'!$A:$A,'[1]DATOS PBI Artículos'!$AO:$AO))/(_xlfn.XLOOKUP($AL$1,[1]CRITERIOS!$S$16:$S$39,[1]CRITERIOS!$Y$16:$Y$39))*$J562+$Z562)))</f>
        <v>#N/A</v>
      </c>
    </row>
    <row r="563" spans="1:37" ht="25.8" hidden="1" x14ac:dyDescent="0.4">
      <c r="A563" s="41"/>
      <c r="B563" s="33">
        <f>_xlfn.XLOOKUP($A563,'[1]DATOS PBI Artículos'!A:A,'[1]DATOS PBI Artículos'!B:B)</f>
        <v>0</v>
      </c>
      <c r="C563" s="33">
        <f>_xlfn.XLOOKUP($A563,'[1]DATOS PBI Artículos'!A:A,'[1]DATOS PBI Artículos'!C:C)</f>
        <v>0</v>
      </c>
      <c r="D563" s="33">
        <f>_xlfn.XLOOKUP(A563,'[1]DATOS PBI Artículos'!A:A,'[1]DATOS PBI Artículos'!T:T)</f>
        <v>0</v>
      </c>
      <c r="E563" s="34">
        <f>IF(_xlfn.XLOOKUP($A563,'[1]DATOS PBI Artículos'!A:A,'[1]DATOS PBI Artículos'!AK:AK)="",_xlfn.XLOOKUP($A563,'[1]DATOS PBI Artículos'!A:A,'[1]DATOS PBI Artículos'!AJ:AJ),_xlfn.XLOOKUP($A563,'[1]DATOS PBI Artículos'!A:A,'[1]DATOS PBI Artículos'!AK:AK))</f>
        <v>0</v>
      </c>
      <c r="F563" s="35">
        <f>_xlfn.XLOOKUP($A563,'[1]DATOS PBI Artículos'!A:A,'[1]DATOS PBI Artículos'!AP:AP)</f>
        <v>0</v>
      </c>
      <c r="G563" s="34">
        <f>_xlfn.XLOOKUP($A563,'[1]DATOS PBI Artículos'!A:A,'[1]DATOS PBI Artículos'!AR:AR)</f>
        <v>0</v>
      </c>
      <c r="H563" s="34">
        <f>_xlfn.XLOOKUP($A563,'[1]DATOS PBI Artículos'!A:A,'[1]DATOS PBI Artículos'!AT:AT)</f>
        <v>0</v>
      </c>
      <c r="I563" s="34">
        <f>_xlfn.XLOOKUP($A563,'[1]DATOS PBI Artículos'!A:A,'[1]DATOS PBI Artículos'!AS:AS)</f>
        <v>0</v>
      </c>
      <c r="J563" s="35">
        <f>IF(COUNTIF([1]CRITERIOS!$F$179:$F$199,$A563)&gt;=1,
 IF(O563&lt;&gt;"",
    (O563/_xlfn.XLOOKUP(CONCATENATE(A563,L563),[1]MÁQUINAS!A:A,[1]MÁQUINAS!D:D))/24,
    (N563/_xlfn.XLOOKUP(CONCATENATE(A563,L563),[1]MÁQUINAS!A:A,[1]MÁQUINAS!D:D))/24),
  _xlfn.XLOOKUP($A563,'[1]DATOS PBI Artículos'!A:A,'[1]DATOS PBI Artículos'!AU:AU))</f>
        <v>0</v>
      </c>
      <c r="K563" s="36">
        <f>_xlfn.XLOOKUP($A563,'[1]DATOS PBI Artículos'!A:A,'[1]DATOS PBI Artículos'!AV:AV)</f>
        <v>0</v>
      </c>
      <c r="L563" s="33">
        <f>_xlfn.XLOOKUP(A563,[1]MÁQUINAS!B:B,[1]MÁQUINAS!C:C)</f>
        <v>0</v>
      </c>
      <c r="M563" s="34">
        <f t="array" ref="M563">_xlfn.XLOOKUP(A563,'[1]DATOS PBI Artículos'!A:A,'[1]DATOS PBI Artículos'!AX:$AX)</f>
        <v>0</v>
      </c>
      <c r="N563" s="37" t="e">
        <f>IF(I563="DV",
E563,
IF(COUNTIF([1]CRITERIOS!$I$179:$I$199,$A563)&gt;=1,
_xlfn.XLOOKUP($A563,[1]CRITERIOS!$I$179:$I$199,[1]CRITERIOS!$J$179:$J$199),
IF(COUNTIF([1]CRITERIOS!$L$179:$L$199,$A563)&gt;=1,
_xlfn.CEILING.MATH(IF($M563&gt;$E563,
$E563,
IF($M563&lt;$E563/ROUNDDOWN([1]CRITERIOS!$M$16/_xlfn.XLOOKUP($C563,[1]CRITERIOS!$K$25:$K$42,[1]CRITERIOS!$M$25:$M$42),
1),
E563/ROUNDDOWN([1]CRITERIOS!$M$16/_xlfn.XLOOKUP($C563,[1]CRITERIOS!$K$25:$K$42,[1]CRITERIOS!$M$25:$M$42),
1),
$M563)),
_xlfn.XLOOKUP($A563,[1]CRITERIOS!$L$179:$L$200,[1]CRITERIOS!$M$179:$M$200)),
_xlfn.CEILING.MATH(IF($M563&gt;$E563,
$E563,
IF($M563&lt;$E563/ROUNDDOWN([1]CRITERIOS!$M$16/_xlfn.XLOOKUP($C563,[1]CRITERIOS!$K$25:$K$42,[1]CRITERIOS!$M$25:$M$42),
1),
E563/ROUNDDOWN([1]CRITERIOS!$M$16/_xlfn.XLOOKUP($C563,[1]CRITERIOS!$K$25:$K$42,[1]CRITERIOS!$M$25:$M$42),
1),
$M563)),_xlfn.XLOOKUP(A563,'[1]DATOS PBI Artículos'!A:A,'[1]DATOS PBI Artículos'!Z:Z
)))))</f>
        <v>#N/A</v>
      </c>
      <c r="Q563" s="38" t="e">
        <f>IF(AND(O563="",N563=0),
0,
   IF(COUNTIF([1]CRITERIOS!$F$179:$F$199,$A563)&gt;=1,
   1,
   IF(R563="MTO",
      $D563,
      ROUNDUP(
                    IF(($E563-SUMIF('[1]DATOS PBI Artículos'!A:A,A563,'[1]DATOS PBI Artículos'!X:X)+($V563-_xlfn.XLOOKUP(A563,'[1]DATOS PBI Artículos'!A:A,'[1]DATOS PBI Artículos'!W:W)))&lt;0,
                    0,
                    IF(($E563-SUMIF('[1]DATOS PBI Artículos'!A:A,A563,'[1]DATOS PBI Artículos'!X:X)+$V563-_xlfn.XLOOKUP($A563,'[1]DATOS PBI Artículos'!A:A,'[1]DATOS PBI Artículos'!W:W))/IF($O563="",$N563,$O563)&gt;ROUNDUP([1]CRITERIOS!$M$16/(IF(COUNTIF([1]CRITERIOS!$BG$11:$BG$201,L563)&gt;=1,_xlfn.XLOOKUP($C563,[1]CRITERIOS!$K$25:$K$42,[1]CRITERIOS!$M$25:$M$42),_xlfn.XLOOKUP($C563,[1]CRITERIOS!$K$25:$K$42,[1]CRITERIOS!$M$25:$M$42))),0),
                    ROUNDUP([1]CRITERIOS!$M$16/(IF(COUNTIF([1]CRITERIOS!$BG$11:$BG$201,$L563)&gt;=1,_xlfn.XLOOKUP($C563,[1]CRITERIOS!$K$25:$K$42,[1]CRITERIOS!$M$25:$M$42),_xlfn.XLOOKUP($C563,[1]CRITERIOS!$K$25:$K$42,[1]CRITERIOS!$M$25:$M$42))),0),
                    (E563+V563-SUMIF('[1]DATOS PBI Artículos'!A:A,A563,'[1]DATOS PBI Artículos'!X:X)-_xlfn.XLOOKUP(A563,'[1]DATOS PBI Artículos'!A:A,'[1]DATOS PBI Artículos'!W:W))/IF($O563="",$N563,$O563))),0))))</f>
        <v>#N/A</v>
      </c>
      <c r="R563" s="33" t="e">
        <f>IF(U563&lt;&gt;"",U563,IF(F563="DV","MTO",IF(N563=0,"MTO",_xlfn.XLOOKUP(CONCATENATE(S563,T563),[1]CRITERIOS!$K$160:$K$168,[1]CRITERIOS!$N$160:$N$168))))</f>
        <v>#N/A</v>
      </c>
      <c r="S563" s="33" t="e">
        <f>IF(G563="DV","MTO",IF(N563=0,"MTO",IF(OR(AND(N563=0,O563=""),IF(O563="",G563/N563,G563/O563)&gt;[1]CRITERIOS!$G$163),"MTO",IF(IF(O563="",G563/N563,G563/O563)&lt;[1]CRITERIOS!$H$161,"MTS","MTOS"))))</f>
        <v>#N/A</v>
      </c>
      <c r="T563" s="33" t="e">
        <f>IF(F563="DV","MTO",IF(OR(AND($N563=0,O563=""),$F563/$J563&gt;[1]CRITERIOS!$G$170,$F563="DV"),"MTO",IF($F563/$J563&lt;[1]CRITERIOS!$H$168,"MTS","MTOS")))</f>
        <v>#N/A</v>
      </c>
      <c r="V563" s="34" t="e">
        <f t="shared" si="28"/>
        <v>#N/A</v>
      </c>
      <c r="X563" s="34" t="e">
        <f t="shared" si="26"/>
        <v>#N/A</v>
      </c>
      <c r="Y563" s="34" t="e">
        <f t="shared" si="27"/>
        <v>#N/A</v>
      </c>
      <c r="Z563" s="34" t="e">
        <f>IF($R563="MTO",
0,
($H563+$K563*($E563/[1]CRITERIOS!$M$16))/[1]CRITERIOS!$X$48)</f>
        <v>#N/A</v>
      </c>
      <c r="AA563" s="34" t="e">
        <f>ROUNDUP(($Y563/_xlfn.XLOOKUP($A563,'[1]DATOS PBI Artículos'!$A$4:$A$4,'[1]DATOS PBI Artículos'!$Z$4:$Z$4))/_xlfn.XLOOKUP(_xlfn.XLOOKUP($A563,'[1]DATOS PBI Artículos'!$A$4:$A$4,'[1]DATOS PBI Artículos'!$Y$4:$Y$4),[1]CRITERIOS!$P$79:$P$123,[1]CRITERIOS!$S$79:$S$123,),0)</f>
        <v>#N/A</v>
      </c>
      <c r="AB563" s="33" t="e">
        <f t="array" ref="AB563">IF((E563+V563-_xlfn.XLOOKUP(A563,'[1]DATOS PBI Artículos'!$A$4:$A$4,'[1]DATOS PBI Artículos'!$W$4:$W$4))/N563&gt;ROUNDUP([1]CRITERIOS!$M$16/(IF(COUNTIF([1]CRITERIOS!$BG$11:$BG$201,L563)&gt;=1,_xlfn.XLOOKUP(ARTÍCULOS!L563,[1]CRITERIOS!$BG$11:$BG$201,[1]CRITERIOS!$BJ$11:$BJ$201),_xlfn.XLOOKUP(ARTÍCULOS!C563,[1]CRITERIOS!$K$25:$K$42,[1]CRITERIOS!$M$25:$M$42))),0),ROUNDUP([1]CRITERIOS!$M$16/(IF(COUNTIF([1]CRITERIOS!$BG$11:$BG$201,L563)&gt;=1,_xlfn.XLOOKUP(ARTÍCULOS!L563,[1]CRITERIOS!$BG$11:$BG$201:#REF!,[1]CRITERIOS!$BJ$11:$BJ$201),_xlfn.XLOOKUP(ARTÍCULOS!C563,[1]CRITERIOS!$K$25:$K$42,[1]CRITERIOS!$M$25:$M$42))),0),(E563+V563-_xlfn.XLOOKUP(A563,'[1]DATOS PBI Artículos'!$A$4:$A$4,'[1]DATOS PBI Artículos'!$W$4:$W$4))/N563)</f>
        <v>#N/A</v>
      </c>
      <c r="AC563" s="33" t="e">
        <f>IF(N563=0,"",(ROUNDUP((N563/2)/(_xlfn.XLOOKUP(A563,'[1]DATOS PBI Artículos'!$A$4:$A$4,'[1]DATOS PBI Artículos'!$Z$4:$Z$4)*_xlfn.XLOOKUP(_xlfn.XLOOKUP(A563,'[1]DATOS PBI Artículos'!$A$4:$A$4,'[1]DATOS PBI Artículos'!$Y$4:$Y$4),[1]CRITERIOS!$P$79:$P$123,[1]CRITERIOS!$S$79:$S$123)),0)*[1]CRITERIOS!$M$80*([1]CRITERIOS!$M$110/[1]CRITERIOS!$M$86)+(_xlfn.XLOOKUP(A563,'[1]DATOS PBI Artículos'!$A$4:$A$4,'[1]DATOS PBI Artículos'!$AA$4:$AA$4)*([1]CRITERIOS!$M$95+[1]CRITERIOS!$M$98)))/N563)</f>
        <v>#N/A</v>
      </c>
      <c r="AD563" s="33" t="e">
        <f>IF(N563=0,"",(ROUNDUP((N563/2)/(_xlfn.XLOOKUP(A563,'[1]DATOS PBI Artículos'!$A$4:$A$4,'[1]DATOS PBI Artículos'!$Z$4:$Z$4)*_xlfn.XLOOKUP(_xlfn.XLOOKUP(A563,'[1]DATOS PBI Artículos'!$A$4:$A$4,'[1]DATOS PBI Artículos'!$Y$4:$Y$4),[1]CRITERIOS!$P$79:$P$123,[1]CRITERIOS!$S$79:$S$123)),0)*[1]CRITERIOS!$M$80*([1]CRITERIOS!$M$89*[1]CRITERIOS!$M$92)+((_xlfn.XLOOKUP(A563,'[1]DATOS PBI Artículos'!$A$4:$A$4,'[1]DATOS PBI Artículos'!$AA$4:$AA$4)/2)*([1]CRITERIOS!$M$95+[1]CRITERIOS!$M$98)))/N563)</f>
        <v>#N/A</v>
      </c>
      <c r="AE563" s="39" t="e">
        <f>IF($R563="MTO","",
IF($H563=0,ROUNDUP(((_xlfn.XLOOKUP($A563,'[1]DATOS PBI Artículos'!$A:$A,'[1]DATOS PBI Artículos'!$AL:$AL))/(_xlfn.XLOOKUP($AF$1,[1]CRITERIOS!$S$16:$S$39,[1]CRITERIOS!$Y$16:$Y$39))*$J563+$Z563)/$G563,0)*$G563,
((_xlfn.XLOOKUP($A563,'[1]DATOS PBI Artículos'!$A:$A,'[1]DATOS PBI Artículos'!$AL:$AL))/(_xlfn.XLOOKUP($AF$1,[1]CRITERIOS!$S$16:$S$39,[1]CRITERIOS!$Y$16:$Y$39))*$J563+$Z563)))</f>
        <v>#N/A</v>
      </c>
      <c r="AG563" s="39" t="e">
        <f>IF($R563="MTO","",
IF($H563=0,ROUNDUP(((_xlfn.XLOOKUP($A563,'[1]DATOS PBI Artículos'!$A:$A,'[1]DATOS PBI Artículos'!$AM:$AM))/(_xlfn.XLOOKUP($AH$1,[1]CRITERIOS!$S$16:$S$39,[1]CRITERIOS!$Y$16:$Y$39))*$J563+$Z563)/$G563,0)*$G563,
((_xlfn.XLOOKUP($A563,'[1]DATOS PBI Artículos'!$A:$A,'[1]DATOS PBI Artículos'!$AM:$AM))/(_xlfn.XLOOKUP($AH$1,[1]CRITERIOS!$S$16:$S$39,[1]CRITERIOS!$Y$16:$Y$39))*$J563+$Z563)))</f>
        <v>#N/A</v>
      </c>
      <c r="AI563" s="39" t="e">
        <f>IF($R563="MTO","",
IF($H563=0,ROUNDUP(((_xlfn.XLOOKUP($A563,'[1]DATOS PBI Artículos'!$A:$A,'[1]DATOS PBI Artículos'!$AN:$AN))/(_xlfn.XLOOKUP($AJ$1,[1]CRITERIOS!$S$16:$S$39,[1]CRITERIOS!$Y$16:$Y$39))*$J563+$Z563)/$G563,0)*$G563,
((_xlfn.XLOOKUP($A563,'[1]DATOS PBI Artículos'!$A:$A,'[1]DATOS PBI Artículos'!$AN:$AN))/(_xlfn.XLOOKUP($AJ$1,[1]CRITERIOS!$S$16:$S$39,[1]CRITERIOS!$Y$16:$Y$39))*$J563+$Z563)))</f>
        <v>#N/A</v>
      </c>
      <c r="AK563" s="39" t="e">
        <f>IF($R563="MTO","",
IF($H563=0,ROUNDUP(((_xlfn.XLOOKUP($A563,'[1]DATOS PBI Artículos'!$A:$A,'[1]DATOS PBI Artículos'!$AO:$AO))/(_xlfn.XLOOKUP($AL$1,[1]CRITERIOS!$S$16:$S$39,[1]CRITERIOS!$Y$16:$Y$39))*$J563+$Z563)/$G563,0)*$G563,
((_xlfn.XLOOKUP($A563,'[1]DATOS PBI Artículos'!$A:$A,'[1]DATOS PBI Artículos'!$AO:$AO))/(_xlfn.XLOOKUP($AL$1,[1]CRITERIOS!$S$16:$S$39,[1]CRITERIOS!$Y$16:$Y$39))*$J563+$Z563)))</f>
        <v>#N/A</v>
      </c>
    </row>
    <row r="564" spans="1:37" ht="25.8" hidden="1" x14ac:dyDescent="0.4">
      <c r="A564" s="41"/>
      <c r="B564" s="33">
        <f>_xlfn.XLOOKUP($A564,'[1]DATOS PBI Artículos'!A:A,'[1]DATOS PBI Artículos'!B:B)</f>
        <v>0</v>
      </c>
      <c r="C564" s="33">
        <f>_xlfn.XLOOKUP($A564,'[1]DATOS PBI Artículos'!A:A,'[1]DATOS PBI Artículos'!C:C)</f>
        <v>0</v>
      </c>
      <c r="D564" s="33">
        <f>_xlfn.XLOOKUP(A564,'[1]DATOS PBI Artículos'!A:A,'[1]DATOS PBI Artículos'!T:T)</f>
        <v>0</v>
      </c>
      <c r="E564" s="34">
        <f>IF(_xlfn.XLOOKUP($A564,'[1]DATOS PBI Artículos'!A:A,'[1]DATOS PBI Artículos'!AK:AK)="",_xlfn.XLOOKUP($A564,'[1]DATOS PBI Artículos'!A:A,'[1]DATOS PBI Artículos'!AJ:AJ),_xlfn.XLOOKUP($A564,'[1]DATOS PBI Artículos'!A:A,'[1]DATOS PBI Artículos'!AK:AK))</f>
        <v>0</v>
      </c>
      <c r="F564" s="35">
        <f>_xlfn.XLOOKUP($A564,'[1]DATOS PBI Artículos'!A:A,'[1]DATOS PBI Artículos'!AP:AP)</f>
        <v>0</v>
      </c>
      <c r="G564" s="34">
        <f>_xlfn.XLOOKUP($A564,'[1]DATOS PBI Artículos'!A:A,'[1]DATOS PBI Artículos'!AR:AR)</f>
        <v>0</v>
      </c>
      <c r="H564" s="34">
        <f>_xlfn.XLOOKUP($A564,'[1]DATOS PBI Artículos'!A:A,'[1]DATOS PBI Artículos'!AT:AT)</f>
        <v>0</v>
      </c>
      <c r="I564" s="34">
        <f>_xlfn.XLOOKUP($A564,'[1]DATOS PBI Artículos'!A:A,'[1]DATOS PBI Artículos'!AS:AS)</f>
        <v>0</v>
      </c>
      <c r="J564" s="35">
        <f>IF(COUNTIF([1]CRITERIOS!$F$179:$F$199,$A564)&gt;=1,
 IF(O564&lt;&gt;"",
    (O564/_xlfn.XLOOKUP(CONCATENATE(A564,L564),[1]MÁQUINAS!A:A,[1]MÁQUINAS!D:D))/24,
    (N564/_xlfn.XLOOKUP(CONCATENATE(A564,L564),[1]MÁQUINAS!A:A,[1]MÁQUINAS!D:D))/24),
  _xlfn.XLOOKUP($A564,'[1]DATOS PBI Artículos'!A:A,'[1]DATOS PBI Artículos'!AU:AU))</f>
        <v>0</v>
      </c>
      <c r="K564" s="36">
        <f>_xlfn.XLOOKUP($A564,'[1]DATOS PBI Artículos'!A:A,'[1]DATOS PBI Artículos'!AV:AV)</f>
        <v>0</v>
      </c>
      <c r="L564" s="33">
        <f>_xlfn.XLOOKUP(A564,[1]MÁQUINAS!B:B,[1]MÁQUINAS!C:C)</f>
        <v>0</v>
      </c>
      <c r="M564" s="34">
        <f t="array" ref="M564">_xlfn.XLOOKUP(A564,'[1]DATOS PBI Artículos'!A:A,'[1]DATOS PBI Artículos'!AX:$AX)</f>
        <v>0</v>
      </c>
      <c r="N564" s="37" t="e">
        <f>IF(I564="DV",
E564,
IF(COUNTIF([1]CRITERIOS!$I$179:$I$199,$A564)&gt;=1,
_xlfn.XLOOKUP($A564,[1]CRITERIOS!$I$179:$I$199,[1]CRITERIOS!$J$179:$J$199),
IF(COUNTIF([1]CRITERIOS!$L$179:$L$199,$A564)&gt;=1,
_xlfn.CEILING.MATH(IF($M564&gt;$E564,
$E564,
IF($M564&lt;$E564/ROUNDDOWN([1]CRITERIOS!$M$16/_xlfn.XLOOKUP($C564,[1]CRITERIOS!$K$25:$K$42,[1]CRITERIOS!$M$25:$M$42),
1),
E564/ROUNDDOWN([1]CRITERIOS!$M$16/_xlfn.XLOOKUP($C564,[1]CRITERIOS!$K$25:$K$42,[1]CRITERIOS!$M$25:$M$42),
1),
$M564)),
_xlfn.XLOOKUP($A564,[1]CRITERIOS!$L$179:$L$200,[1]CRITERIOS!$M$179:$M$200)),
_xlfn.CEILING.MATH(IF($M564&gt;$E564,
$E564,
IF($M564&lt;$E564/ROUNDDOWN([1]CRITERIOS!$M$16/_xlfn.XLOOKUP($C564,[1]CRITERIOS!$K$25:$K$42,[1]CRITERIOS!$M$25:$M$42),
1),
E564/ROUNDDOWN([1]CRITERIOS!$M$16/_xlfn.XLOOKUP($C564,[1]CRITERIOS!$K$25:$K$42,[1]CRITERIOS!$M$25:$M$42),
1),
$M564)),_xlfn.XLOOKUP(A564,'[1]DATOS PBI Artículos'!A:A,'[1]DATOS PBI Artículos'!Z:Z
)))))</f>
        <v>#N/A</v>
      </c>
      <c r="Q564" s="38" t="e">
        <f>IF(AND(O564="",N564=0),
0,
   IF(COUNTIF([1]CRITERIOS!$F$179:$F$199,$A564)&gt;=1,
   1,
   IF(R564="MTO",
      $D564,
      ROUNDUP(
                    IF(($E564-SUMIF('[1]DATOS PBI Artículos'!A:A,A564,'[1]DATOS PBI Artículos'!X:X)+($V564-_xlfn.XLOOKUP(A564,'[1]DATOS PBI Artículos'!A:A,'[1]DATOS PBI Artículos'!W:W)))&lt;0,
                    0,
                    IF(($E564-SUMIF('[1]DATOS PBI Artículos'!A:A,A564,'[1]DATOS PBI Artículos'!X:X)+$V564-_xlfn.XLOOKUP($A564,'[1]DATOS PBI Artículos'!A:A,'[1]DATOS PBI Artículos'!W:W))/IF($O564="",$N564,$O564)&gt;ROUNDUP([1]CRITERIOS!$M$16/(IF(COUNTIF([1]CRITERIOS!$BG$11:$BG$201,L564)&gt;=1,_xlfn.XLOOKUP($C564,[1]CRITERIOS!$K$25:$K$42,[1]CRITERIOS!$M$25:$M$42),_xlfn.XLOOKUP($C564,[1]CRITERIOS!$K$25:$K$42,[1]CRITERIOS!$M$25:$M$42))),0),
                    ROUNDUP([1]CRITERIOS!$M$16/(IF(COUNTIF([1]CRITERIOS!$BG$11:$BG$201,$L564)&gt;=1,_xlfn.XLOOKUP($C564,[1]CRITERIOS!$K$25:$K$42,[1]CRITERIOS!$M$25:$M$42),_xlfn.XLOOKUP($C564,[1]CRITERIOS!$K$25:$K$42,[1]CRITERIOS!$M$25:$M$42))),0),
                    (E564+V564-SUMIF('[1]DATOS PBI Artículos'!A:A,A564,'[1]DATOS PBI Artículos'!X:X)-_xlfn.XLOOKUP(A564,'[1]DATOS PBI Artículos'!A:A,'[1]DATOS PBI Artículos'!W:W))/IF($O564="",$N564,$O564))),0))))</f>
        <v>#N/A</v>
      </c>
      <c r="R564" s="33" t="e">
        <f>IF(U564&lt;&gt;"",U564,IF(F564="DV","MTO",IF(N564=0,"MTO",_xlfn.XLOOKUP(CONCATENATE(S564,T564),[1]CRITERIOS!$K$160:$K$168,[1]CRITERIOS!$N$160:$N$168))))</f>
        <v>#N/A</v>
      </c>
      <c r="S564" s="33" t="e">
        <f>IF(G564="DV","MTO",IF(N564=0,"MTO",IF(OR(AND(N564=0,O564=""),IF(O564="",G564/N564,G564/O564)&gt;[1]CRITERIOS!$G$163),"MTO",IF(IF(O564="",G564/N564,G564/O564)&lt;[1]CRITERIOS!$H$161,"MTS","MTOS"))))</f>
        <v>#N/A</v>
      </c>
      <c r="T564" s="33" t="e">
        <f>IF(F564="DV","MTO",IF(OR(AND($N564=0,O564=""),$F564/$J564&gt;[1]CRITERIOS!$G$170,$F564="DV"),"MTO",IF($F564/$J564&lt;[1]CRITERIOS!$H$168,"MTS","MTOS")))</f>
        <v>#N/A</v>
      </c>
      <c r="V564" s="34" t="e">
        <f t="shared" si="28"/>
        <v>#N/A</v>
      </c>
      <c r="X564" s="34" t="e">
        <f t="shared" si="26"/>
        <v>#N/A</v>
      </c>
      <c r="Y564" s="34" t="e">
        <f t="shared" si="27"/>
        <v>#N/A</v>
      </c>
      <c r="Z564" s="34" t="e">
        <f>IF($R564="MTO",
0,
($H564+$K564*($E564/[1]CRITERIOS!$M$16))/[1]CRITERIOS!$X$48)</f>
        <v>#N/A</v>
      </c>
      <c r="AA564" s="34" t="e">
        <f>ROUNDUP(($Y564/_xlfn.XLOOKUP($A564,'[1]DATOS PBI Artículos'!$A$4:$A$4,'[1]DATOS PBI Artículos'!$Z$4:$Z$4))/_xlfn.XLOOKUP(_xlfn.XLOOKUP($A564,'[1]DATOS PBI Artículos'!$A$4:$A$4,'[1]DATOS PBI Artículos'!$Y$4:$Y$4),[1]CRITERIOS!$P$79:$P$123,[1]CRITERIOS!$S$79:$S$123,),0)</f>
        <v>#N/A</v>
      </c>
      <c r="AB564" s="33" t="e">
        <f t="array" ref="AB564">IF((E564+V564-_xlfn.XLOOKUP(A564,'[1]DATOS PBI Artículos'!$A$4:$A$4,'[1]DATOS PBI Artículos'!$W$4:$W$4))/N564&gt;ROUNDUP([1]CRITERIOS!$M$16/(IF(COUNTIF([1]CRITERIOS!$BG$11:$BG$201,L564)&gt;=1,_xlfn.XLOOKUP(ARTÍCULOS!L564,[1]CRITERIOS!$BG$11:$BG$201,[1]CRITERIOS!$BJ$11:$BJ$201),_xlfn.XLOOKUP(ARTÍCULOS!C564,[1]CRITERIOS!$K$25:$K$42,[1]CRITERIOS!$M$25:$M$42))),0),ROUNDUP([1]CRITERIOS!$M$16/(IF(COUNTIF([1]CRITERIOS!$BG$11:$BG$201,L564)&gt;=1,_xlfn.XLOOKUP(ARTÍCULOS!L564,[1]CRITERIOS!$BG$11:$BG$201:#REF!,[1]CRITERIOS!$BJ$11:$BJ$201),_xlfn.XLOOKUP(ARTÍCULOS!C564,[1]CRITERIOS!$K$25:$K$42,[1]CRITERIOS!$M$25:$M$42))),0),(E564+V564-_xlfn.XLOOKUP(A564,'[1]DATOS PBI Artículos'!$A$4:$A$4,'[1]DATOS PBI Artículos'!$W$4:$W$4))/N564)</f>
        <v>#N/A</v>
      </c>
      <c r="AC564" s="33" t="e">
        <f>IF(N564=0,"",(ROUNDUP((N564/2)/(_xlfn.XLOOKUP(A564,'[1]DATOS PBI Artículos'!$A$4:$A$4,'[1]DATOS PBI Artículos'!$Z$4:$Z$4)*_xlfn.XLOOKUP(_xlfn.XLOOKUP(A564,'[1]DATOS PBI Artículos'!$A$4:$A$4,'[1]DATOS PBI Artículos'!$Y$4:$Y$4),[1]CRITERIOS!$P$79:$P$123,[1]CRITERIOS!$S$79:$S$123)),0)*[1]CRITERIOS!$M$80*([1]CRITERIOS!$M$110/[1]CRITERIOS!$M$86)+(_xlfn.XLOOKUP(A564,'[1]DATOS PBI Artículos'!$A$4:$A$4,'[1]DATOS PBI Artículos'!$AA$4:$AA$4)*([1]CRITERIOS!$M$95+[1]CRITERIOS!$M$98)))/N564)</f>
        <v>#N/A</v>
      </c>
      <c r="AD564" s="33" t="e">
        <f>IF(N564=0,"",(ROUNDUP((N564/2)/(_xlfn.XLOOKUP(A564,'[1]DATOS PBI Artículos'!$A$4:$A$4,'[1]DATOS PBI Artículos'!$Z$4:$Z$4)*_xlfn.XLOOKUP(_xlfn.XLOOKUP(A564,'[1]DATOS PBI Artículos'!$A$4:$A$4,'[1]DATOS PBI Artículos'!$Y$4:$Y$4),[1]CRITERIOS!$P$79:$P$123,[1]CRITERIOS!$S$79:$S$123)),0)*[1]CRITERIOS!$M$80*([1]CRITERIOS!$M$89*[1]CRITERIOS!$M$92)+((_xlfn.XLOOKUP(A564,'[1]DATOS PBI Artículos'!$A$4:$A$4,'[1]DATOS PBI Artículos'!$AA$4:$AA$4)/2)*([1]CRITERIOS!$M$95+[1]CRITERIOS!$M$98)))/N564)</f>
        <v>#N/A</v>
      </c>
      <c r="AE564" s="39" t="e">
        <f>IF($R564="MTO","",
IF($H564=0,ROUNDUP(((_xlfn.XLOOKUP($A564,'[1]DATOS PBI Artículos'!$A:$A,'[1]DATOS PBI Artículos'!$AL:$AL))/(_xlfn.XLOOKUP($AF$1,[1]CRITERIOS!$S$16:$S$39,[1]CRITERIOS!$Y$16:$Y$39))*$J564+$Z564)/$G564,0)*$G564,
((_xlfn.XLOOKUP($A564,'[1]DATOS PBI Artículos'!$A:$A,'[1]DATOS PBI Artículos'!$AL:$AL))/(_xlfn.XLOOKUP($AF$1,[1]CRITERIOS!$S$16:$S$39,[1]CRITERIOS!$Y$16:$Y$39))*$J564+$Z564)))</f>
        <v>#N/A</v>
      </c>
      <c r="AG564" s="39" t="e">
        <f>IF($R564="MTO","",
IF($H564=0,ROUNDUP(((_xlfn.XLOOKUP($A564,'[1]DATOS PBI Artículos'!$A:$A,'[1]DATOS PBI Artículos'!$AM:$AM))/(_xlfn.XLOOKUP($AH$1,[1]CRITERIOS!$S$16:$S$39,[1]CRITERIOS!$Y$16:$Y$39))*$J564+$Z564)/$G564,0)*$G564,
((_xlfn.XLOOKUP($A564,'[1]DATOS PBI Artículos'!$A:$A,'[1]DATOS PBI Artículos'!$AM:$AM))/(_xlfn.XLOOKUP($AH$1,[1]CRITERIOS!$S$16:$S$39,[1]CRITERIOS!$Y$16:$Y$39))*$J564+$Z564)))</f>
        <v>#N/A</v>
      </c>
      <c r="AI564" s="39" t="e">
        <f>IF($R564="MTO","",
IF($H564=0,ROUNDUP(((_xlfn.XLOOKUP($A564,'[1]DATOS PBI Artículos'!$A:$A,'[1]DATOS PBI Artículos'!$AN:$AN))/(_xlfn.XLOOKUP($AJ$1,[1]CRITERIOS!$S$16:$S$39,[1]CRITERIOS!$Y$16:$Y$39))*$J564+$Z564)/$G564,0)*$G564,
((_xlfn.XLOOKUP($A564,'[1]DATOS PBI Artículos'!$A:$A,'[1]DATOS PBI Artículos'!$AN:$AN))/(_xlfn.XLOOKUP($AJ$1,[1]CRITERIOS!$S$16:$S$39,[1]CRITERIOS!$Y$16:$Y$39))*$J564+$Z564)))</f>
        <v>#N/A</v>
      </c>
      <c r="AK564" s="39" t="e">
        <f>IF($R564="MTO","",
IF($H564=0,ROUNDUP(((_xlfn.XLOOKUP($A564,'[1]DATOS PBI Artículos'!$A:$A,'[1]DATOS PBI Artículos'!$AO:$AO))/(_xlfn.XLOOKUP($AL$1,[1]CRITERIOS!$S$16:$S$39,[1]CRITERIOS!$Y$16:$Y$39))*$J564+$Z564)/$G564,0)*$G564,
((_xlfn.XLOOKUP($A564,'[1]DATOS PBI Artículos'!$A:$A,'[1]DATOS PBI Artículos'!$AO:$AO))/(_xlfn.XLOOKUP($AL$1,[1]CRITERIOS!$S$16:$S$39,[1]CRITERIOS!$Y$16:$Y$39))*$J564+$Z564)))</f>
        <v>#N/A</v>
      </c>
    </row>
    <row r="565" spans="1:37" ht="25.8" hidden="1" x14ac:dyDescent="0.4">
      <c r="A565" s="41"/>
      <c r="B565" s="33">
        <f>_xlfn.XLOOKUP($A565,'[1]DATOS PBI Artículos'!A:A,'[1]DATOS PBI Artículos'!B:B)</f>
        <v>0</v>
      </c>
      <c r="C565" s="33">
        <f>_xlfn.XLOOKUP($A565,'[1]DATOS PBI Artículos'!A:A,'[1]DATOS PBI Artículos'!C:C)</f>
        <v>0</v>
      </c>
      <c r="D565" s="33">
        <f>_xlfn.XLOOKUP(A565,'[1]DATOS PBI Artículos'!A:A,'[1]DATOS PBI Artículos'!T:T)</f>
        <v>0</v>
      </c>
      <c r="E565" s="34">
        <f>IF(_xlfn.XLOOKUP($A565,'[1]DATOS PBI Artículos'!A:A,'[1]DATOS PBI Artículos'!AK:AK)="",_xlfn.XLOOKUP($A565,'[1]DATOS PBI Artículos'!A:A,'[1]DATOS PBI Artículos'!AJ:AJ),_xlfn.XLOOKUP($A565,'[1]DATOS PBI Artículos'!A:A,'[1]DATOS PBI Artículos'!AK:AK))</f>
        <v>0</v>
      </c>
      <c r="F565" s="35">
        <f>_xlfn.XLOOKUP($A565,'[1]DATOS PBI Artículos'!A:A,'[1]DATOS PBI Artículos'!AP:AP)</f>
        <v>0</v>
      </c>
      <c r="G565" s="34">
        <f>_xlfn.XLOOKUP($A565,'[1]DATOS PBI Artículos'!A:A,'[1]DATOS PBI Artículos'!AR:AR)</f>
        <v>0</v>
      </c>
      <c r="H565" s="34">
        <f>_xlfn.XLOOKUP($A565,'[1]DATOS PBI Artículos'!A:A,'[1]DATOS PBI Artículos'!AT:AT)</f>
        <v>0</v>
      </c>
      <c r="I565" s="34">
        <f>_xlfn.XLOOKUP($A565,'[1]DATOS PBI Artículos'!A:A,'[1]DATOS PBI Artículos'!AS:AS)</f>
        <v>0</v>
      </c>
      <c r="J565" s="35">
        <f>IF(COUNTIF([1]CRITERIOS!$F$179:$F$199,$A565)&gt;=1,
 IF(O565&lt;&gt;"",
    (O565/_xlfn.XLOOKUP(CONCATENATE(A565,L565),[1]MÁQUINAS!A:A,[1]MÁQUINAS!D:D))/24,
    (N565/_xlfn.XLOOKUP(CONCATENATE(A565,L565),[1]MÁQUINAS!A:A,[1]MÁQUINAS!D:D))/24),
  _xlfn.XLOOKUP($A565,'[1]DATOS PBI Artículos'!A:A,'[1]DATOS PBI Artículos'!AU:AU))</f>
        <v>0</v>
      </c>
      <c r="K565" s="36">
        <f>_xlfn.XLOOKUP($A565,'[1]DATOS PBI Artículos'!A:A,'[1]DATOS PBI Artículos'!AV:AV)</f>
        <v>0</v>
      </c>
      <c r="L565" s="33">
        <f>_xlfn.XLOOKUP(A565,[1]MÁQUINAS!B:B,[1]MÁQUINAS!C:C)</f>
        <v>0</v>
      </c>
      <c r="M565" s="34">
        <f t="array" ref="M565">_xlfn.XLOOKUP(A565,'[1]DATOS PBI Artículos'!A:A,'[1]DATOS PBI Artículos'!AX:$AX)</f>
        <v>0</v>
      </c>
      <c r="N565" s="37" t="e">
        <f>IF(I565="DV",
E565,
IF(COUNTIF([1]CRITERIOS!$I$179:$I$199,$A565)&gt;=1,
_xlfn.XLOOKUP($A565,[1]CRITERIOS!$I$179:$I$199,[1]CRITERIOS!$J$179:$J$199),
IF(COUNTIF([1]CRITERIOS!$L$179:$L$199,$A565)&gt;=1,
_xlfn.CEILING.MATH(IF($M565&gt;$E565,
$E565,
IF($M565&lt;$E565/ROUNDDOWN([1]CRITERIOS!$M$16/_xlfn.XLOOKUP($C565,[1]CRITERIOS!$K$25:$K$42,[1]CRITERIOS!$M$25:$M$42),
1),
E565/ROUNDDOWN([1]CRITERIOS!$M$16/_xlfn.XLOOKUP($C565,[1]CRITERIOS!$K$25:$K$42,[1]CRITERIOS!$M$25:$M$42),
1),
$M565)),
_xlfn.XLOOKUP($A565,[1]CRITERIOS!$L$179:$L$200,[1]CRITERIOS!$M$179:$M$200)),
_xlfn.CEILING.MATH(IF($M565&gt;$E565,
$E565,
IF($M565&lt;$E565/ROUNDDOWN([1]CRITERIOS!$M$16/_xlfn.XLOOKUP($C565,[1]CRITERIOS!$K$25:$K$42,[1]CRITERIOS!$M$25:$M$42),
1),
E565/ROUNDDOWN([1]CRITERIOS!$M$16/_xlfn.XLOOKUP($C565,[1]CRITERIOS!$K$25:$K$42,[1]CRITERIOS!$M$25:$M$42),
1),
$M565)),_xlfn.XLOOKUP(A565,'[1]DATOS PBI Artículos'!A:A,'[1]DATOS PBI Artículos'!Z:Z
)))))</f>
        <v>#N/A</v>
      </c>
      <c r="Q565" s="38" t="e">
        <f>IF(AND(O565="",N565=0),
0,
   IF(COUNTIF([1]CRITERIOS!$F$179:$F$199,$A565)&gt;=1,
   1,
   IF(R565="MTO",
      $D565,
      ROUNDUP(
                    IF(($E565-SUMIF('[1]DATOS PBI Artículos'!A:A,A565,'[1]DATOS PBI Artículos'!X:X)+($V565-_xlfn.XLOOKUP(A565,'[1]DATOS PBI Artículos'!A:A,'[1]DATOS PBI Artículos'!W:W)))&lt;0,
                    0,
                    IF(($E565-SUMIF('[1]DATOS PBI Artículos'!A:A,A565,'[1]DATOS PBI Artículos'!X:X)+$V565-_xlfn.XLOOKUP($A565,'[1]DATOS PBI Artículos'!A:A,'[1]DATOS PBI Artículos'!W:W))/IF($O565="",$N565,$O565)&gt;ROUNDUP([1]CRITERIOS!$M$16/(IF(COUNTIF([1]CRITERIOS!$BG$11:$BG$201,L565)&gt;=1,_xlfn.XLOOKUP($C565,[1]CRITERIOS!$K$25:$K$42,[1]CRITERIOS!$M$25:$M$42),_xlfn.XLOOKUP($C565,[1]CRITERIOS!$K$25:$K$42,[1]CRITERIOS!$M$25:$M$42))),0),
                    ROUNDUP([1]CRITERIOS!$M$16/(IF(COUNTIF([1]CRITERIOS!$BG$11:$BG$201,$L565)&gt;=1,_xlfn.XLOOKUP($C565,[1]CRITERIOS!$K$25:$K$42,[1]CRITERIOS!$M$25:$M$42),_xlfn.XLOOKUP($C565,[1]CRITERIOS!$K$25:$K$42,[1]CRITERIOS!$M$25:$M$42))),0),
                    (E565+V565-SUMIF('[1]DATOS PBI Artículos'!A:A,A565,'[1]DATOS PBI Artículos'!X:X)-_xlfn.XLOOKUP(A565,'[1]DATOS PBI Artículos'!A:A,'[1]DATOS PBI Artículos'!W:W))/IF($O565="",$N565,$O565))),0))))</f>
        <v>#N/A</v>
      </c>
      <c r="R565" s="33" t="e">
        <f>IF(U565&lt;&gt;"",U565,IF(F565="DV","MTO",IF(N565=0,"MTO",_xlfn.XLOOKUP(CONCATENATE(S565,T565),[1]CRITERIOS!$K$160:$K$168,[1]CRITERIOS!$N$160:$N$168))))</f>
        <v>#N/A</v>
      </c>
      <c r="S565" s="33" t="e">
        <f>IF(G565="DV","MTO",IF(N565=0,"MTO",IF(OR(AND(N565=0,O565=""),IF(O565="",G565/N565,G565/O565)&gt;[1]CRITERIOS!$G$163),"MTO",IF(IF(O565="",G565/N565,G565/O565)&lt;[1]CRITERIOS!$H$161,"MTS","MTOS"))))</f>
        <v>#N/A</v>
      </c>
      <c r="T565" s="33" t="e">
        <f>IF(F565="DV","MTO",IF(OR(AND($N565=0,O565=""),$F565/$J565&gt;[1]CRITERIOS!$G$170,$F565="DV"),"MTO",IF($F565/$J565&lt;[1]CRITERIOS!$H$168,"MTS","MTOS")))</f>
        <v>#N/A</v>
      </c>
      <c r="V565" s="34" t="e">
        <f t="shared" si="28"/>
        <v>#N/A</v>
      </c>
      <c r="X565" s="34" t="e">
        <f t="shared" si="26"/>
        <v>#N/A</v>
      </c>
      <c r="Y565" s="34" t="e">
        <f t="shared" si="27"/>
        <v>#N/A</v>
      </c>
      <c r="Z565" s="34" t="e">
        <f>IF($R565="MTO",
0,
($H565+$K565*($E565/[1]CRITERIOS!$M$16))/[1]CRITERIOS!$X$48)</f>
        <v>#N/A</v>
      </c>
      <c r="AA565" s="34" t="e">
        <f>ROUNDUP(($Y565/_xlfn.XLOOKUP($A565,'[1]DATOS PBI Artículos'!$A$4:$A$4,'[1]DATOS PBI Artículos'!$Z$4:$Z$4))/_xlfn.XLOOKUP(_xlfn.XLOOKUP($A565,'[1]DATOS PBI Artículos'!$A$4:$A$4,'[1]DATOS PBI Artículos'!$Y$4:$Y$4),[1]CRITERIOS!$P$79:$P$123,[1]CRITERIOS!$S$79:$S$123,),0)</f>
        <v>#N/A</v>
      </c>
      <c r="AB565" s="33" t="e">
        <f t="array" ref="AB565">IF((E565+V565-_xlfn.XLOOKUP(A565,'[1]DATOS PBI Artículos'!$A$4:$A$4,'[1]DATOS PBI Artículos'!$W$4:$W$4))/N565&gt;ROUNDUP([1]CRITERIOS!$M$16/(IF(COUNTIF([1]CRITERIOS!$BG$11:$BG$201,L565)&gt;=1,_xlfn.XLOOKUP(ARTÍCULOS!L565,[1]CRITERIOS!$BG$11:$BG$201,[1]CRITERIOS!$BJ$11:$BJ$201),_xlfn.XLOOKUP(ARTÍCULOS!C565,[1]CRITERIOS!$K$25:$K$42,[1]CRITERIOS!$M$25:$M$42))),0),ROUNDUP([1]CRITERIOS!$M$16/(IF(COUNTIF([1]CRITERIOS!$BG$11:$BG$201,L565)&gt;=1,_xlfn.XLOOKUP(ARTÍCULOS!L565,[1]CRITERIOS!$BG$11:$BG$201:#REF!,[1]CRITERIOS!$BJ$11:$BJ$201),_xlfn.XLOOKUP(ARTÍCULOS!C565,[1]CRITERIOS!$K$25:$K$42,[1]CRITERIOS!$M$25:$M$42))),0),(E565+V565-_xlfn.XLOOKUP(A565,'[1]DATOS PBI Artículos'!$A$4:$A$4,'[1]DATOS PBI Artículos'!$W$4:$W$4))/N565)</f>
        <v>#N/A</v>
      </c>
      <c r="AC565" s="33" t="e">
        <f>IF(N565=0,"",(ROUNDUP((N565/2)/(_xlfn.XLOOKUP(A565,'[1]DATOS PBI Artículos'!$A$4:$A$4,'[1]DATOS PBI Artículos'!$Z$4:$Z$4)*_xlfn.XLOOKUP(_xlfn.XLOOKUP(A565,'[1]DATOS PBI Artículos'!$A$4:$A$4,'[1]DATOS PBI Artículos'!$Y$4:$Y$4),[1]CRITERIOS!$P$79:$P$123,[1]CRITERIOS!$S$79:$S$123)),0)*[1]CRITERIOS!$M$80*([1]CRITERIOS!$M$110/[1]CRITERIOS!$M$86)+(_xlfn.XLOOKUP(A565,'[1]DATOS PBI Artículos'!$A$4:$A$4,'[1]DATOS PBI Artículos'!$AA$4:$AA$4)*([1]CRITERIOS!$M$95+[1]CRITERIOS!$M$98)))/N565)</f>
        <v>#N/A</v>
      </c>
      <c r="AD565" s="33" t="e">
        <f>IF(N565=0,"",(ROUNDUP((N565/2)/(_xlfn.XLOOKUP(A565,'[1]DATOS PBI Artículos'!$A$4:$A$4,'[1]DATOS PBI Artículos'!$Z$4:$Z$4)*_xlfn.XLOOKUP(_xlfn.XLOOKUP(A565,'[1]DATOS PBI Artículos'!$A$4:$A$4,'[1]DATOS PBI Artículos'!$Y$4:$Y$4),[1]CRITERIOS!$P$79:$P$123,[1]CRITERIOS!$S$79:$S$123)),0)*[1]CRITERIOS!$M$80*([1]CRITERIOS!$M$89*[1]CRITERIOS!$M$92)+((_xlfn.XLOOKUP(A565,'[1]DATOS PBI Artículos'!$A$4:$A$4,'[1]DATOS PBI Artículos'!$AA$4:$AA$4)/2)*([1]CRITERIOS!$M$95+[1]CRITERIOS!$M$98)))/N565)</f>
        <v>#N/A</v>
      </c>
      <c r="AE565" s="39" t="e">
        <f>IF($R565="MTO","",
IF($H565=0,ROUNDUP(((_xlfn.XLOOKUP($A565,'[1]DATOS PBI Artículos'!$A:$A,'[1]DATOS PBI Artículos'!$AL:$AL))/(_xlfn.XLOOKUP($AF$1,[1]CRITERIOS!$S$16:$S$39,[1]CRITERIOS!$Y$16:$Y$39))*$J565+$Z565)/$G565,0)*$G565,
((_xlfn.XLOOKUP($A565,'[1]DATOS PBI Artículos'!$A:$A,'[1]DATOS PBI Artículos'!$AL:$AL))/(_xlfn.XLOOKUP($AF$1,[1]CRITERIOS!$S$16:$S$39,[1]CRITERIOS!$Y$16:$Y$39))*$J565+$Z565)))</f>
        <v>#N/A</v>
      </c>
      <c r="AG565" s="39" t="e">
        <f>IF($R565="MTO","",
IF($H565=0,ROUNDUP(((_xlfn.XLOOKUP($A565,'[1]DATOS PBI Artículos'!$A:$A,'[1]DATOS PBI Artículos'!$AM:$AM))/(_xlfn.XLOOKUP($AH$1,[1]CRITERIOS!$S$16:$S$39,[1]CRITERIOS!$Y$16:$Y$39))*$J565+$Z565)/$G565,0)*$G565,
((_xlfn.XLOOKUP($A565,'[1]DATOS PBI Artículos'!$A:$A,'[1]DATOS PBI Artículos'!$AM:$AM))/(_xlfn.XLOOKUP($AH$1,[1]CRITERIOS!$S$16:$S$39,[1]CRITERIOS!$Y$16:$Y$39))*$J565+$Z565)))</f>
        <v>#N/A</v>
      </c>
      <c r="AI565" s="39" t="e">
        <f>IF($R565="MTO","",
IF($H565=0,ROUNDUP(((_xlfn.XLOOKUP($A565,'[1]DATOS PBI Artículos'!$A:$A,'[1]DATOS PBI Artículos'!$AN:$AN))/(_xlfn.XLOOKUP($AJ$1,[1]CRITERIOS!$S$16:$S$39,[1]CRITERIOS!$Y$16:$Y$39))*$J565+$Z565)/$G565,0)*$G565,
((_xlfn.XLOOKUP($A565,'[1]DATOS PBI Artículos'!$A:$A,'[1]DATOS PBI Artículos'!$AN:$AN))/(_xlfn.XLOOKUP($AJ$1,[1]CRITERIOS!$S$16:$S$39,[1]CRITERIOS!$Y$16:$Y$39))*$J565+$Z565)))</f>
        <v>#N/A</v>
      </c>
      <c r="AK565" s="39" t="e">
        <f>IF($R565="MTO","",
IF($H565=0,ROUNDUP(((_xlfn.XLOOKUP($A565,'[1]DATOS PBI Artículos'!$A:$A,'[1]DATOS PBI Artículos'!$AO:$AO))/(_xlfn.XLOOKUP($AL$1,[1]CRITERIOS!$S$16:$S$39,[1]CRITERIOS!$Y$16:$Y$39))*$J565+$Z565)/$G565,0)*$G565,
((_xlfn.XLOOKUP($A565,'[1]DATOS PBI Artículos'!$A:$A,'[1]DATOS PBI Artículos'!$AO:$AO))/(_xlfn.XLOOKUP($AL$1,[1]CRITERIOS!$S$16:$S$39,[1]CRITERIOS!$Y$16:$Y$39))*$J565+$Z565)))</f>
        <v>#N/A</v>
      </c>
    </row>
    <row r="566" spans="1:37" ht="25.8" hidden="1" x14ac:dyDescent="0.4">
      <c r="A566" s="41"/>
      <c r="B566" s="33">
        <f>_xlfn.XLOOKUP($A566,'[1]DATOS PBI Artículos'!A:A,'[1]DATOS PBI Artículos'!B:B)</f>
        <v>0</v>
      </c>
      <c r="C566" s="33">
        <f>_xlfn.XLOOKUP($A566,'[1]DATOS PBI Artículos'!A:A,'[1]DATOS PBI Artículos'!C:C)</f>
        <v>0</v>
      </c>
      <c r="D566" s="33">
        <f>_xlfn.XLOOKUP(A566,'[1]DATOS PBI Artículos'!A:A,'[1]DATOS PBI Artículos'!T:T)</f>
        <v>0</v>
      </c>
      <c r="E566" s="34">
        <f>IF(_xlfn.XLOOKUP($A566,'[1]DATOS PBI Artículos'!A:A,'[1]DATOS PBI Artículos'!AK:AK)="",_xlfn.XLOOKUP($A566,'[1]DATOS PBI Artículos'!A:A,'[1]DATOS PBI Artículos'!AJ:AJ),_xlfn.XLOOKUP($A566,'[1]DATOS PBI Artículos'!A:A,'[1]DATOS PBI Artículos'!AK:AK))</f>
        <v>0</v>
      </c>
      <c r="F566" s="35">
        <f>_xlfn.XLOOKUP($A566,'[1]DATOS PBI Artículos'!A:A,'[1]DATOS PBI Artículos'!AP:AP)</f>
        <v>0</v>
      </c>
      <c r="G566" s="34">
        <f>_xlfn.XLOOKUP($A566,'[1]DATOS PBI Artículos'!A:A,'[1]DATOS PBI Artículos'!AR:AR)</f>
        <v>0</v>
      </c>
      <c r="H566" s="34">
        <f>_xlfn.XLOOKUP($A566,'[1]DATOS PBI Artículos'!A:A,'[1]DATOS PBI Artículos'!AT:AT)</f>
        <v>0</v>
      </c>
      <c r="I566" s="34">
        <f>_xlfn.XLOOKUP($A566,'[1]DATOS PBI Artículos'!A:A,'[1]DATOS PBI Artículos'!AS:AS)</f>
        <v>0</v>
      </c>
      <c r="J566" s="35">
        <f>IF(COUNTIF([1]CRITERIOS!$F$179:$F$199,$A566)&gt;=1,
 IF(O566&lt;&gt;"",
    (O566/_xlfn.XLOOKUP(CONCATENATE(A566,L566),[1]MÁQUINAS!A:A,[1]MÁQUINAS!D:D))/24,
    (N566/_xlfn.XLOOKUP(CONCATENATE(A566,L566),[1]MÁQUINAS!A:A,[1]MÁQUINAS!D:D))/24),
  _xlfn.XLOOKUP($A566,'[1]DATOS PBI Artículos'!A:A,'[1]DATOS PBI Artículos'!AU:AU))</f>
        <v>0</v>
      </c>
      <c r="K566" s="36">
        <f>_xlfn.XLOOKUP($A566,'[1]DATOS PBI Artículos'!A:A,'[1]DATOS PBI Artículos'!AV:AV)</f>
        <v>0</v>
      </c>
      <c r="L566" s="33">
        <f>_xlfn.XLOOKUP(A566,[1]MÁQUINAS!B:B,[1]MÁQUINAS!C:C)</f>
        <v>0</v>
      </c>
      <c r="M566" s="34">
        <f t="array" ref="M566">_xlfn.XLOOKUP(A566,'[1]DATOS PBI Artículos'!A:A,'[1]DATOS PBI Artículos'!AX:$AX)</f>
        <v>0</v>
      </c>
      <c r="N566" s="37" t="e">
        <f>IF(I566="DV",
E566,
IF(COUNTIF([1]CRITERIOS!$I$179:$I$199,$A566)&gt;=1,
_xlfn.XLOOKUP($A566,[1]CRITERIOS!$I$179:$I$199,[1]CRITERIOS!$J$179:$J$199),
IF(COUNTIF([1]CRITERIOS!$L$179:$L$199,$A566)&gt;=1,
_xlfn.CEILING.MATH(IF($M566&gt;$E566,
$E566,
IF($M566&lt;$E566/ROUNDDOWN([1]CRITERIOS!$M$16/_xlfn.XLOOKUP($C566,[1]CRITERIOS!$K$25:$K$42,[1]CRITERIOS!$M$25:$M$42),
1),
E566/ROUNDDOWN([1]CRITERIOS!$M$16/_xlfn.XLOOKUP($C566,[1]CRITERIOS!$K$25:$K$42,[1]CRITERIOS!$M$25:$M$42),
1),
$M566)),
_xlfn.XLOOKUP($A566,[1]CRITERIOS!$L$179:$L$200,[1]CRITERIOS!$M$179:$M$200)),
_xlfn.CEILING.MATH(IF($M566&gt;$E566,
$E566,
IF($M566&lt;$E566/ROUNDDOWN([1]CRITERIOS!$M$16/_xlfn.XLOOKUP($C566,[1]CRITERIOS!$K$25:$K$42,[1]CRITERIOS!$M$25:$M$42),
1),
E566/ROUNDDOWN([1]CRITERIOS!$M$16/_xlfn.XLOOKUP($C566,[1]CRITERIOS!$K$25:$K$42,[1]CRITERIOS!$M$25:$M$42),
1),
$M566)),_xlfn.XLOOKUP(A566,'[1]DATOS PBI Artículos'!A:A,'[1]DATOS PBI Artículos'!Z:Z
)))))</f>
        <v>#N/A</v>
      </c>
      <c r="Q566" s="38" t="e">
        <f>IF(AND(O566="",N566=0),
0,
   IF(COUNTIF([1]CRITERIOS!$F$179:$F$199,$A566)&gt;=1,
   1,
   IF(R566="MTO",
      $D566,
      ROUNDUP(
                    IF(($E566-SUMIF('[1]DATOS PBI Artículos'!A:A,A566,'[1]DATOS PBI Artículos'!X:X)+($V566-_xlfn.XLOOKUP(A566,'[1]DATOS PBI Artículos'!A:A,'[1]DATOS PBI Artículos'!W:W)))&lt;0,
                    0,
                    IF(($E566-SUMIF('[1]DATOS PBI Artículos'!A:A,A566,'[1]DATOS PBI Artículos'!X:X)+$V566-_xlfn.XLOOKUP($A566,'[1]DATOS PBI Artículos'!A:A,'[1]DATOS PBI Artículos'!W:W))/IF($O566="",$N566,$O566)&gt;ROUNDUP([1]CRITERIOS!$M$16/(IF(COUNTIF([1]CRITERIOS!$BG$11:$BG$201,L566)&gt;=1,_xlfn.XLOOKUP($C566,[1]CRITERIOS!$K$25:$K$42,[1]CRITERIOS!$M$25:$M$42),_xlfn.XLOOKUP($C566,[1]CRITERIOS!$K$25:$K$42,[1]CRITERIOS!$M$25:$M$42))),0),
                    ROUNDUP([1]CRITERIOS!$M$16/(IF(COUNTIF([1]CRITERIOS!$BG$11:$BG$201,$L566)&gt;=1,_xlfn.XLOOKUP($C566,[1]CRITERIOS!$K$25:$K$42,[1]CRITERIOS!$M$25:$M$42),_xlfn.XLOOKUP($C566,[1]CRITERIOS!$K$25:$K$42,[1]CRITERIOS!$M$25:$M$42))),0),
                    (E566+V566-SUMIF('[1]DATOS PBI Artículos'!A:A,A566,'[1]DATOS PBI Artículos'!X:X)-_xlfn.XLOOKUP(A566,'[1]DATOS PBI Artículos'!A:A,'[1]DATOS PBI Artículos'!W:W))/IF($O566="",$N566,$O566))),0))))</f>
        <v>#N/A</v>
      </c>
      <c r="R566" s="33" t="e">
        <f>IF(U566&lt;&gt;"",U566,IF(F566="DV","MTO",IF(N566=0,"MTO",_xlfn.XLOOKUP(CONCATENATE(S566,T566),[1]CRITERIOS!$K$160:$K$168,[1]CRITERIOS!$N$160:$N$168))))</f>
        <v>#N/A</v>
      </c>
      <c r="S566" s="33" t="e">
        <f>IF(G566="DV","MTO",IF(N566=0,"MTO",IF(OR(AND(N566=0,O566=""),IF(O566="",G566/N566,G566/O566)&gt;[1]CRITERIOS!$G$163),"MTO",IF(IF(O566="",G566/N566,G566/O566)&lt;[1]CRITERIOS!$H$161,"MTS","MTOS"))))</f>
        <v>#N/A</v>
      </c>
      <c r="T566" s="33" t="e">
        <f>IF(F566="DV","MTO",IF(OR(AND($N566=0,O566=""),$F566/$J566&gt;[1]CRITERIOS!$G$170,$F566="DV"),"MTO",IF($F566/$J566&lt;[1]CRITERIOS!$H$168,"MTS","MTOS")))</f>
        <v>#N/A</v>
      </c>
      <c r="V566" s="34" t="e">
        <f t="shared" si="28"/>
        <v>#N/A</v>
      </c>
      <c r="X566" s="34" t="e">
        <f t="shared" si="26"/>
        <v>#N/A</v>
      </c>
      <c r="Y566" s="34" t="e">
        <f t="shared" si="27"/>
        <v>#N/A</v>
      </c>
      <c r="Z566" s="34" t="e">
        <f>IF($R566="MTO",
0,
($H566+$K566*($E566/[1]CRITERIOS!$M$16))/[1]CRITERIOS!$X$48)</f>
        <v>#N/A</v>
      </c>
      <c r="AA566" s="34" t="e">
        <f>ROUNDUP(($Y566/_xlfn.XLOOKUP($A566,'[1]DATOS PBI Artículos'!$A$4:$A$4,'[1]DATOS PBI Artículos'!$Z$4:$Z$4))/_xlfn.XLOOKUP(_xlfn.XLOOKUP($A566,'[1]DATOS PBI Artículos'!$A$4:$A$4,'[1]DATOS PBI Artículos'!$Y$4:$Y$4),[1]CRITERIOS!$P$79:$P$123,[1]CRITERIOS!$S$79:$S$123,),0)</f>
        <v>#N/A</v>
      </c>
      <c r="AB566" s="33" t="e">
        <f t="array" ref="AB566">IF((E566+V566-_xlfn.XLOOKUP(A566,'[1]DATOS PBI Artículos'!$A$4:$A$4,'[1]DATOS PBI Artículos'!$W$4:$W$4))/N566&gt;ROUNDUP([1]CRITERIOS!$M$16/(IF(COUNTIF([1]CRITERIOS!$BG$11:$BG$201,L566)&gt;=1,_xlfn.XLOOKUP(ARTÍCULOS!L566,[1]CRITERIOS!$BG$11:$BG$201,[1]CRITERIOS!$BJ$11:$BJ$201),_xlfn.XLOOKUP(ARTÍCULOS!C566,[1]CRITERIOS!$K$25:$K$42,[1]CRITERIOS!$M$25:$M$42))),0),ROUNDUP([1]CRITERIOS!$M$16/(IF(COUNTIF([1]CRITERIOS!$BG$11:$BG$201,L566)&gt;=1,_xlfn.XLOOKUP(ARTÍCULOS!L566,[1]CRITERIOS!$BG$11:$BG$201:#REF!,[1]CRITERIOS!$BJ$11:$BJ$201),_xlfn.XLOOKUP(ARTÍCULOS!C566,[1]CRITERIOS!$K$25:$K$42,[1]CRITERIOS!$M$25:$M$42))),0),(E566+V566-_xlfn.XLOOKUP(A566,'[1]DATOS PBI Artículos'!$A$4:$A$4,'[1]DATOS PBI Artículos'!$W$4:$W$4))/N566)</f>
        <v>#N/A</v>
      </c>
      <c r="AC566" s="33" t="e">
        <f>IF(N566=0,"",(ROUNDUP((N566/2)/(_xlfn.XLOOKUP(A566,'[1]DATOS PBI Artículos'!$A$4:$A$4,'[1]DATOS PBI Artículos'!$Z$4:$Z$4)*_xlfn.XLOOKUP(_xlfn.XLOOKUP(A566,'[1]DATOS PBI Artículos'!$A$4:$A$4,'[1]DATOS PBI Artículos'!$Y$4:$Y$4),[1]CRITERIOS!$P$79:$P$123,[1]CRITERIOS!$S$79:$S$123)),0)*[1]CRITERIOS!$M$80*([1]CRITERIOS!$M$110/[1]CRITERIOS!$M$86)+(_xlfn.XLOOKUP(A566,'[1]DATOS PBI Artículos'!$A$4:$A$4,'[1]DATOS PBI Artículos'!$AA$4:$AA$4)*([1]CRITERIOS!$M$95+[1]CRITERIOS!$M$98)))/N566)</f>
        <v>#N/A</v>
      </c>
      <c r="AD566" s="33" t="e">
        <f>IF(N566=0,"",(ROUNDUP((N566/2)/(_xlfn.XLOOKUP(A566,'[1]DATOS PBI Artículos'!$A$4:$A$4,'[1]DATOS PBI Artículos'!$Z$4:$Z$4)*_xlfn.XLOOKUP(_xlfn.XLOOKUP(A566,'[1]DATOS PBI Artículos'!$A$4:$A$4,'[1]DATOS PBI Artículos'!$Y$4:$Y$4),[1]CRITERIOS!$P$79:$P$123,[1]CRITERIOS!$S$79:$S$123)),0)*[1]CRITERIOS!$M$80*([1]CRITERIOS!$M$89*[1]CRITERIOS!$M$92)+((_xlfn.XLOOKUP(A566,'[1]DATOS PBI Artículos'!$A$4:$A$4,'[1]DATOS PBI Artículos'!$AA$4:$AA$4)/2)*([1]CRITERIOS!$M$95+[1]CRITERIOS!$M$98)))/N566)</f>
        <v>#N/A</v>
      </c>
      <c r="AE566" s="39" t="e">
        <f>IF($R566="MTO","",
IF($H566=0,ROUNDUP(((_xlfn.XLOOKUP($A566,'[1]DATOS PBI Artículos'!$A:$A,'[1]DATOS PBI Artículos'!$AL:$AL))/(_xlfn.XLOOKUP($AF$1,[1]CRITERIOS!$S$16:$S$39,[1]CRITERIOS!$Y$16:$Y$39))*$J566+$Z566)/$G566,0)*$G566,
((_xlfn.XLOOKUP($A566,'[1]DATOS PBI Artículos'!$A:$A,'[1]DATOS PBI Artículos'!$AL:$AL))/(_xlfn.XLOOKUP($AF$1,[1]CRITERIOS!$S$16:$S$39,[1]CRITERIOS!$Y$16:$Y$39))*$J566+$Z566)))</f>
        <v>#N/A</v>
      </c>
      <c r="AG566" s="39" t="e">
        <f>IF($R566="MTO","",
IF($H566=0,ROUNDUP(((_xlfn.XLOOKUP($A566,'[1]DATOS PBI Artículos'!$A:$A,'[1]DATOS PBI Artículos'!$AM:$AM))/(_xlfn.XLOOKUP($AH$1,[1]CRITERIOS!$S$16:$S$39,[1]CRITERIOS!$Y$16:$Y$39))*$J566+$Z566)/$G566,0)*$G566,
((_xlfn.XLOOKUP($A566,'[1]DATOS PBI Artículos'!$A:$A,'[1]DATOS PBI Artículos'!$AM:$AM))/(_xlfn.XLOOKUP($AH$1,[1]CRITERIOS!$S$16:$S$39,[1]CRITERIOS!$Y$16:$Y$39))*$J566+$Z566)))</f>
        <v>#N/A</v>
      </c>
      <c r="AI566" s="39" t="e">
        <f>IF($R566="MTO","",
IF($H566=0,ROUNDUP(((_xlfn.XLOOKUP($A566,'[1]DATOS PBI Artículos'!$A:$A,'[1]DATOS PBI Artículos'!$AN:$AN))/(_xlfn.XLOOKUP($AJ$1,[1]CRITERIOS!$S$16:$S$39,[1]CRITERIOS!$Y$16:$Y$39))*$J566+$Z566)/$G566,0)*$G566,
((_xlfn.XLOOKUP($A566,'[1]DATOS PBI Artículos'!$A:$A,'[1]DATOS PBI Artículos'!$AN:$AN))/(_xlfn.XLOOKUP($AJ$1,[1]CRITERIOS!$S$16:$S$39,[1]CRITERIOS!$Y$16:$Y$39))*$J566+$Z566)))</f>
        <v>#N/A</v>
      </c>
      <c r="AK566" s="39" t="e">
        <f>IF($R566="MTO","",
IF($H566=0,ROUNDUP(((_xlfn.XLOOKUP($A566,'[1]DATOS PBI Artículos'!$A:$A,'[1]DATOS PBI Artículos'!$AO:$AO))/(_xlfn.XLOOKUP($AL$1,[1]CRITERIOS!$S$16:$S$39,[1]CRITERIOS!$Y$16:$Y$39))*$J566+$Z566)/$G566,0)*$G566,
((_xlfn.XLOOKUP($A566,'[1]DATOS PBI Artículos'!$A:$A,'[1]DATOS PBI Artículos'!$AO:$AO))/(_xlfn.XLOOKUP($AL$1,[1]CRITERIOS!$S$16:$S$39,[1]CRITERIOS!$Y$16:$Y$39))*$J566+$Z566)))</f>
        <v>#N/A</v>
      </c>
    </row>
    <row r="567" spans="1:37" ht="25.8" hidden="1" x14ac:dyDescent="0.4">
      <c r="A567" s="41"/>
      <c r="B567" s="33">
        <f>_xlfn.XLOOKUP($A567,'[1]DATOS PBI Artículos'!A:A,'[1]DATOS PBI Artículos'!B:B)</f>
        <v>0</v>
      </c>
      <c r="C567" s="33">
        <f>_xlfn.XLOOKUP($A567,'[1]DATOS PBI Artículos'!A:A,'[1]DATOS PBI Artículos'!C:C)</f>
        <v>0</v>
      </c>
      <c r="D567" s="33">
        <f>_xlfn.XLOOKUP(A567,'[1]DATOS PBI Artículos'!A:A,'[1]DATOS PBI Artículos'!T:T)</f>
        <v>0</v>
      </c>
      <c r="E567" s="34">
        <f>IF(_xlfn.XLOOKUP($A567,'[1]DATOS PBI Artículos'!A:A,'[1]DATOS PBI Artículos'!AK:AK)="",_xlfn.XLOOKUP($A567,'[1]DATOS PBI Artículos'!A:A,'[1]DATOS PBI Artículos'!AJ:AJ),_xlfn.XLOOKUP($A567,'[1]DATOS PBI Artículos'!A:A,'[1]DATOS PBI Artículos'!AK:AK))</f>
        <v>0</v>
      </c>
      <c r="F567" s="35">
        <f>_xlfn.XLOOKUP($A567,'[1]DATOS PBI Artículos'!A:A,'[1]DATOS PBI Artículos'!AP:AP)</f>
        <v>0</v>
      </c>
      <c r="G567" s="34">
        <f>_xlfn.XLOOKUP($A567,'[1]DATOS PBI Artículos'!A:A,'[1]DATOS PBI Artículos'!AR:AR)</f>
        <v>0</v>
      </c>
      <c r="H567" s="34">
        <f>_xlfn.XLOOKUP($A567,'[1]DATOS PBI Artículos'!A:A,'[1]DATOS PBI Artículos'!AT:AT)</f>
        <v>0</v>
      </c>
      <c r="I567" s="34">
        <f>_xlfn.XLOOKUP($A567,'[1]DATOS PBI Artículos'!A:A,'[1]DATOS PBI Artículos'!AS:AS)</f>
        <v>0</v>
      </c>
      <c r="J567" s="35">
        <f>IF(COUNTIF([1]CRITERIOS!$F$179:$F$199,$A567)&gt;=1,
 IF(O567&lt;&gt;"",
    (O567/_xlfn.XLOOKUP(CONCATENATE(A567,L567),[1]MÁQUINAS!A:A,[1]MÁQUINAS!D:D))/24,
    (N567/_xlfn.XLOOKUP(CONCATENATE(A567,L567),[1]MÁQUINAS!A:A,[1]MÁQUINAS!D:D))/24),
  _xlfn.XLOOKUP($A567,'[1]DATOS PBI Artículos'!A:A,'[1]DATOS PBI Artículos'!AU:AU))</f>
        <v>0</v>
      </c>
      <c r="K567" s="36">
        <f>_xlfn.XLOOKUP($A567,'[1]DATOS PBI Artículos'!A:A,'[1]DATOS PBI Artículos'!AV:AV)</f>
        <v>0</v>
      </c>
      <c r="L567" s="33">
        <f>_xlfn.XLOOKUP(A567,[1]MÁQUINAS!B:B,[1]MÁQUINAS!C:C)</f>
        <v>0</v>
      </c>
      <c r="M567" s="34">
        <f t="array" ref="M567">_xlfn.XLOOKUP(A567,'[1]DATOS PBI Artículos'!A:A,'[1]DATOS PBI Artículos'!AX:$AX)</f>
        <v>0</v>
      </c>
      <c r="N567" s="37" t="e">
        <f>IF(I567="DV",
E567,
IF(COUNTIF([1]CRITERIOS!$I$179:$I$199,$A567)&gt;=1,
_xlfn.XLOOKUP($A567,[1]CRITERIOS!$I$179:$I$199,[1]CRITERIOS!$J$179:$J$199),
IF(COUNTIF([1]CRITERIOS!$L$179:$L$199,$A567)&gt;=1,
_xlfn.CEILING.MATH(IF($M567&gt;$E567,
$E567,
IF($M567&lt;$E567/ROUNDDOWN([1]CRITERIOS!$M$16/_xlfn.XLOOKUP($C567,[1]CRITERIOS!$K$25:$K$42,[1]CRITERIOS!$M$25:$M$42),
1),
E567/ROUNDDOWN([1]CRITERIOS!$M$16/_xlfn.XLOOKUP($C567,[1]CRITERIOS!$K$25:$K$42,[1]CRITERIOS!$M$25:$M$42),
1),
$M567)),
_xlfn.XLOOKUP($A567,[1]CRITERIOS!$L$179:$L$200,[1]CRITERIOS!$M$179:$M$200)),
_xlfn.CEILING.MATH(IF($M567&gt;$E567,
$E567,
IF($M567&lt;$E567/ROUNDDOWN([1]CRITERIOS!$M$16/_xlfn.XLOOKUP($C567,[1]CRITERIOS!$K$25:$K$42,[1]CRITERIOS!$M$25:$M$42),
1),
E567/ROUNDDOWN([1]CRITERIOS!$M$16/_xlfn.XLOOKUP($C567,[1]CRITERIOS!$K$25:$K$42,[1]CRITERIOS!$M$25:$M$42),
1),
$M567)),_xlfn.XLOOKUP(A567,'[1]DATOS PBI Artículos'!A:A,'[1]DATOS PBI Artículos'!Z:Z
)))))</f>
        <v>#N/A</v>
      </c>
      <c r="Q567" s="38" t="e">
        <f>IF(AND(O567="",N567=0),
0,
   IF(COUNTIF([1]CRITERIOS!$F$179:$F$199,$A567)&gt;=1,
   1,
   IF(R567="MTO",
      $D567,
      ROUNDUP(
                    IF(($E567-SUMIF('[1]DATOS PBI Artículos'!A:A,A567,'[1]DATOS PBI Artículos'!X:X)+($V567-_xlfn.XLOOKUP(A567,'[1]DATOS PBI Artículos'!A:A,'[1]DATOS PBI Artículos'!W:W)))&lt;0,
                    0,
                    IF(($E567-SUMIF('[1]DATOS PBI Artículos'!A:A,A567,'[1]DATOS PBI Artículos'!X:X)+$V567-_xlfn.XLOOKUP($A567,'[1]DATOS PBI Artículos'!A:A,'[1]DATOS PBI Artículos'!W:W))/IF($O567="",$N567,$O567)&gt;ROUNDUP([1]CRITERIOS!$M$16/(IF(COUNTIF([1]CRITERIOS!$BG$11:$BG$201,L567)&gt;=1,_xlfn.XLOOKUP($C567,[1]CRITERIOS!$K$25:$K$42,[1]CRITERIOS!$M$25:$M$42),_xlfn.XLOOKUP($C567,[1]CRITERIOS!$K$25:$K$42,[1]CRITERIOS!$M$25:$M$42))),0),
                    ROUNDUP([1]CRITERIOS!$M$16/(IF(COUNTIF([1]CRITERIOS!$BG$11:$BG$201,$L567)&gt;=1,_xlfn.XLOOKUP($C567,[1]CRITERIOS!$K$25:$K$42,[1]CRITERIOS!$M$25:$M$42),_xlfn.XLOOKUP($C567,[1]CRITERIOS!$K$25:$K$42,[1]CRITERIOS!$M$25:$M$42))),0),
                    (E567+V567-SUMIF('[1]DATOS PBI Artículos'!A:A,A567,'[1]DATOS PBI Artículos'!X:X)-_xlfn.XLOOKUP(A567,'[1]DATOS PBI Artículos'!A:A,'[1]DATOS PBI Artículos'!W:W))/IF($O567="",$N567,$O567))),0))))</f>
        <v>#N/A</v>
      </c>
      <c r="R567" s="33" t="e">
        <f>IF(U567&lt;&gt;"",U567,IF(F567="DV","MTO",IF(N567=0,"MTO",_xlfn.XLOOKUP(CONCATENATE(S567,T567),[1]CRITERIOS!$K$160:$K$168,[1]CRITERIOS!$N$160:$N$168))))</f>
        <v>#N/A</v>
      </c>
      <c r="S567" s="33" t="e">
        <f>IF(G567="DV","MTO",IF(N567=0,"MTO",IF(OR(AND(N567=0,O567=""),IF(O567="",G567/N567,G567/O567)&gt;[1]CRITERIOS!$G$163),"MTO",IF(IF(O567="",G567/N567,G567/O567)&lt;[1]CRITERIOS!$H$161,"MTS","MTOS"))))</f>
        <v>#N/A</v>
      </c>
      <c r="T567" s="33" t="e">
        <f>IF(F567="DV","MTO",IF(OR(AND($N567=0,O567=""),$F567/$J567&gt;[1]CRITERIOS!$G$170,$F567="DV"),"MTO",IF($F567/$J567&lt;[1]CRITERIOS!$H$168,"MTS","MTOS")))</f>
        <v>#N/A</v>
      </c>
      <c r="V567" s="34" t="e">
        <f t="shared" si="28"/>
        <v>#N/A</v>
      </c>
      <c r="X567" s="34" t="e">
        <f t="shared" si="26"/>
        <v>#N/A</v>
      </c>
      <c r="Y567" s="34" t="e">
        <f t="shared" si="27"/>
        <v>#N/A</v>
      </c>
      <c r="Z567" s="34" t="e">
        <f>IF($R567="MTO",
0,
($H567+$K567*($E567/[1]CRITERIOS!$M$16))/[1]CRITERIOS!$X$48)</f>
        <v>#N/A</v>
      </c>
      <c r="AA567" s="34" t="e">
        <f>ROUNDUP(($Y567/_xlfn.XLOOKUP($A567,'[1]DATOS PBI Artículos'!$A$4:$A$4,'[1]DATOS PBI Artículos'!$Z$4:$Z$4))/_xlfn.XLOOKUP(_xlfn.XLOOKUP($A567,'[1]DATOS PBI Artículos'!$A$4:$A$4,'[1]DATOS PBI Artículos'!$Y$4:$Y$4),[1]CRITERIOS!$P$79:$P$123,[1]CRITERIOS!$S$79:$S$123,),0)</f>
        <v>#N/A</v>
      </c>
      <c r="AB567" s="33" t="e">
        <f t="array" ref="AB567">IF((E567+V567-_xlfn.XLOOKUP(A567,'[1]DATOS PBI Artículos'!$A$4:$A$4,'[1]DATOS PBI Artículos'!$W$4:$W$4))/N567&gt;ROUNDUP([1]CRITERIOS!$M$16/(IF(COUNTIF([1]CRITERIOS!$BG$11:$BG$201,L567)&gt;=1,_xlfn.XLOOKUP(ARTÍCULOS!L567,[1]CRITERIOS!$BG$11:$BG$201,[1]CRITERIOS!$BJ$11:$BJ$201),_xlfn.XLOOKUP(ARTÍCULOS!C567,[1]CRITERIOS!$K$25:$K$42,[1]CRITERIOS!$M$25:$M$42))),0),ROUNDUP([1]CRITERIOS!$M$16/(IF(COUNTIF([1]CRITERIOS!$BG$11:$BG$201,L567)&gt;=1,_xlfn.XLOOKUP(ARTÍCULOS!L567,[1]CRITERIOS!$BG$11:$BG$201:#REF!,[1]CRITERIOS!$BJ$11:$BJ$201),_xlfn.XLOOKUP(ARTÍCULOS!C567,[1]CRITERIOS!$K$25:$K$42,[1]CRITERIOS!$M$25:$M$42))),0),(E567+V567-_xlfn.XLOOKUP(A567,'[1]DATOS PBI Artículos'!$A$4:$A$4,'[1]DATOS PBI Artículos'!$W$4:$W$4))/N567)</f>
        <v>#N/A</v>
      </c>
      <c r="AC567" s="33" t="e">
        <f>IF(N567=0,"",(ROUNDUP((N567/2)/(_xlfn.XLOOKUP(A567,'[1]DATOS PBI Artículos'!$A$4:$A$4,'[1]DATOS PBI Artículos'!$Z$4:$Z$4)*_xlfn.XLOOKUP(_xlfn.XLOOKUP(A567,'[1]DATOS PBI Artículos'!$A$4:$A$4,'[1]DATOS PBI Artículos'!$Y$4:$Y$4),[1]CRITERIOS!$P$79:$P$123,[1]CRITERIOS!$S$79:$S$123)),0)*[1]CRITERIOS!$M$80*([1]CRITERIOS!$M$110/[1]CRITERIOS!$M$86)+(_xlfn.XLOOKUP(A567,'[1]DATOS PBI Artículos'!$A$4:$A$4,'[1]DATOS PBI Artículos'!$AA$4:$AA$4)*([1]CRITERIOS!$M$95+[1]CRITERIOS!$M$98)))/N567)</f>
        <v>#N/A</v>
      </c>
      <c r="AD567" s="33" t="e">
        <f>IF(N567=0,"",(ROUNDUP((N567/2)/(_xlfn.XLOOKUP(A567,'[1]DATOS PBI Artículos'!$A$4:$A$4,'[1]DATOS PBI Artículos'!$Z$4:$Z$4)*_xlfn.XLOOKUP(_xlfn.XLOOKUP(A567,'[1]DATOS PBI Artículos'!$A$4:$A$4,'[1]DATOS PBI Artículos'!$Y$4:$Y$4),[1]CRITERIOS!$P$79:$P$123,[1]CRITERIOS!$S$79:$S$123)),0)*[1]CRITERIOS!$M$80*([1]CRITERIOS!$M$89*[1]CRITERIOS!$M$92)+((_xlfn.XLOOKUP(A567,'[1]DATOS PBI Artículos'!$A$4:$A$4,'[1]DATOS PBI Artículos'!$AA$4:$AA$4)/2)*([1]CRITERIOS!$M$95+[1]CRITERIOS!$M$98)))/N567)</f>
        <v>#N/A</v>
      </c>
      <c r="AE567" s="39" t="e">
        <f>IF($R567="MTO","",
IF($H567=0,ROUNDUP(((_xlfn.XLOOKUP($A567,'[1]DATOS PBI Artículos'!$A:$A,'[1]DATOS PBI Artículos'!$AL:$AL))/(_xlfn.XLOOKUP($AF$1,[1]CRITERIOS!$S$16:$S$39,[1]CRITERIOS!$Y$16:$Y$39))*$J567+$Z567)/$G567,0)*$G567,
((_xlfn.XLOOKUP($A567,'[1]DATOS PBI Artículos'!$A:$A,'[1]DATOS PBI Artículos'!$AL:$AL))/(_xlfn.XLOOKUP($AF$1,[1]CRITERIOS!$S$16:$S$39,[1]CRITERIOS!$Y$16:$Y$39))*$J567+$Z567)))</f>
        <v>#N/A</v>
      </c>
      <c r="AG567" s="39" t="e">
        <f>IF($R567="MTO","",
IF($H567=0,ROUNDUP(((_xlfn.XLOOKUP($A567,'[1]DATOS PBI Artículos'!$A:$A,'[1]DATOS PBI Artículos'!$AM:$AM))/(_xlfn.XLOOKUP($AH$1,[1]CRITERIOS!$S$16:$S$39,[1]CRITERIOS!$Y$16:$Y$39))*$J567+$Z567)/$G567,0)*$G567,
((_xlfn.XLOOKUP($A567,'[1]DATOS PBI Artículos'!$A:$A,'[1]DATOS PBI Artículos'!$AM:$AM))/(_xlfn.XLOOKUP($AH$1,[1]CRITERIOS!$S$16:$S$39,[1]CRITERIOS!$Y$16:$Y$39))*$J567+$Z567)))</f>
        <v>#N/A</v>
      </c>
      <c r="AI567" s="39" t="e">
        <f>IF($R567="MTO","",
IF($H567=0,ROUNDUP(((_xlfn.XLOOKUP($A567,'[1]DATOS PBI Artículos'!$A:$A,'[1]DATOS PBI Artículos'!$AN:$AN))/(_xlfn.XLOOKUP($AJ$1,[1]CRITERIOS!$S$16:$S$39,[1]CRITERIOS!$Y$16:$Y$39))*$J567+$Z567)/$G567,0)*$G567,
((_xlfn.XLOOKUP($A567,'[1]DATOS PBI Artículos'!$A:$A,'[1]DATOS PBI Artículos'!$AN:$AN))/(_xlfn.XLOOKUP($AJ$1,[1]CRITERIOS!$S$16:$S$39,[1]CRITERIOS!$Y$16:$Y$39))*$J567+$Z567)))</f>
        <v>#N/A</v>
      </c>
      <c r="AK567" s="39" t="e">
        <f>IF($R567="MTO","",
IF($H567=0,ROUNDUP(((_xlfn.XLOOKUP($A567,'[1]DATOS PBI Artículos'!$A:$A,'[1]DATOS PBI Artículos'!$AO:$AO))/(_xlfn.XLOOKUP($AL$1,[1]CRITERIOS!$S$16:$S$39,[1]CRITERIOS!$Y$16:$Y$39))*$J567+$Z567)/$G567,0)*$G567,
((_xlfn.XLOOKUP($A567,'[1]DATOS PBI Artículos'!$A:$A,'[1]DATOS PBI Artículos'!$AO:$AO))/(_xlfn.XLOOKUP($AL$1,[1]CRITERIOS!$S$16:$S$39,[1]CRITERIOS!$Y$16:$Y$39))*$J567+$Z567)))</f>
        <v>#N/A</v>
      </c>
    </row>
    <row r="568" spans="1:37" ht="25.8" hidden="1" x14ac:dyDescent="0.4">
      <c r="A568" s="41"/>
      <c r="B568" s="33">
        <f>_xlfn.XLOOKUP($A568,'[1]DATOS PBI Artículos'!A:A,'[1]DATOS PBI Artículos'!B:B)</f>
        <v>0</v>
      </c>
      <c r="C568" s="33">
        <f>_xlfn.XLOOKUP($A568,'[1]DATOS PBI Artículos'!A:A,'[1]DATOS PBI Artículos'!C:C)</f>
        <v>0</v>
      </c>
      <c r="D568" s="33">
        <f>_xlfn.XLOOKUP(A568,'[1]DATOS PBI Artículos'!A:A,'[1]DATOS PBI Artículos'!T:T)</f>
        <v>0</v>
      </c>
      <c r="E568" s="34">
        <f>IF(_xlfn.XLOOKUP($A568,'[1]DATOS PBI Artículos'!A:A,'[1]DATOS PBI Artículos'!AK:AK)="",_xlfn.XLOOKUP($A568,'[1]DATOS PBI Artículos'!A:A,'[1]DATOS PBI Artículos'!AJ:AJ),_xlfn.XLOOKUP($A568,'[1]DATOS PBI Artículos'!A:A,'[1]DATOS PBI Artículos'!AK:AK))</f>
        <v>0</v>
      </c>
      <c r="F568" s="35">
        <f>_xlfn.XLOOKUP($A568,'[1]DATOS PBI Artículos'!A:A,'[1]DATOS PBI Artículos'!AP:AP)</f>
        <v>0</v>
      </c>
      <c r="G568" s="34">
        <f>_xlfn.XLOOKUP($A568,'[1]DATOS PBI Artículos'!A:A,'[1]DATOS PBI Artículos'!AR:AR)</f>
        <v>0</v>
      </c>
      <c r="H568" s="34">
        <f>_xlfn.XLOOKUP($A568,'[1]DATOS PBI Artículos'!A:A,'[1]DATOS PBI Artículos'!AT:AT)</f>
        <v>0</v>
      </c>
      <c r="I568" s="34">
        <f>_xlfn.XLOOKUP($A568,'[1]DATOS PBI Artículos'!A:A,'[1]DATOS PBI Artículos'!AS:AS)</f>
        <v>0</v>
      </c>
      <c r="J568" s="35">
        <f>IF(COUNTIF([1]CRITERIOS!$F$179:$F$199,$A568)&gt;=1,
 IF(O568&lt;&gt;"",
    (O568/_xlfn.XLOOKUP(CONCATENATE(A568,L568),[1]MÁQUINAS!A:A,[1]MÁQUINAS!D:D))/24,
    (N568/_xlfn.XLOOKUP(CONCATENATE(A568,L568),[1]MÁQUINAS!A:A,[1]MÁQUINAS!D:D))/24),
  _xlfn.XLOOKUP($A568,'[1]DATOS PBI Artículos'!A:A,'[1]DATOS PBI Artículos'!AU:AU))</f>
        <v>0</v>
      </c>
      <c r="K568" s="36">
        <f>_xlfn.XLOOKUP($A568,'[1]DATOS PBI Artículos'!A:A,'[1]DATOS PBI Artículos'!AV:AV)</f>
        <v>0</v>
      </c>
      <c r="L568" s="33">
        <f>_xlfn.XLOOKUP(A568,[1]MÁQUINAS!B:B,[1]MÁQUINAS!C:C)</f>
        <v>0</v>
      </c>
      <c r="M568" s="34">
        <f t="array" ref="M568">_xlfn.XLOOKUP(A568,'[1]DATOS PBI Artículos'!A:A,'[1]DATOS PBI Artículos'!AX:$AX)</f>
        <v>0</v>
      </c>
      <c r="N568" s="37" t="e">
        <f>IF(I568="DV",
E568,
IF(COUNTIF([1]CRITERIOS!$I$179:$I$199,$A568)&gt;=1,
_xlfn.XLOOKUP($A568,[1]CRITERIOS!$I$179:$I$199,[1]CRITERIOS!$J$179:$J$199),
IF(COUNTIF([1]CRITERIOS!$L$179:$L$199,$A568)&gt;=1,
_xlfn.CEILING.MATH(IF($M568&gt;$E568,
$E568,
IF($M568&lt;$E568/ROUNDDOWN([1]CRITERIOS!$M$16/_xlfn.XLOOKUP($C568,[1]CRITERIOS!$K$25:$K$42,[1]CRITERIOS!$M$25:$M$42),
1),
E568/ROUNDDOWN([1]CRITERIOS!$M$16/_xlfn.XLOOKUP($C568,[1]CRITERIOS!$K$25:$K$42,[1]CRITERIOS!$M$25:$M$42),
1),
$M568)),
_xlfn.XLOOKUP($A568,[1]CRITERIOS!$L$179:$L$200,[1]CRITERIOS!$M$179:$M$200)),
_xlfn.CEILING.MATH(IF($M568&gt;$E568,
$E568,
IF($M568&lt;$E568/ROUNDDOWN([1]CRITERIOS!$M$16/_xlfn.XLOOKUP($C568,[1]CRITERIOS!$K$25:$K$42,[1]CRITERIOS!$M$25:$M$42),
1),
E568/ROUNDDOWN([1]CRITERIOS!$M$16/_xlfn.XLOOKUP($C568,[1]CRITERIOS!$K$25:$K$42,[1]CRITERIOS!$M$25:$M$42),
1),
$M568)),_xlfn.XLOOKUP(A568,'[1]DATOS PBI Artículos'!A:A,'[1]DATOS PBI Artículos'!Z:Z
)))))</f>
        <v>#N/A</v>
      </c>
      <c r="Q568" s="38" t="e">
        <f>IF(AND(O568="",N568=0),
0,
   IF(COUNTIF([1]CRITERIOS!$F$179:$F$199,$A568)&gt;=1,
   1,
   IF(R568="MTO",
      $D568,
      ROUNDUP(
                    IF(($E568-SUMIF('[1]DATOS PBI Artículos'!A:A,A568,'[1]DATOS PBI Artículos'!X:X)+($V568-_xlfn.XLOOKUP(A568,'[1]DATOS PBI Artículos'!A:A,'[1]DATOS PBI Artículos'!W:W)))&lt;0,
                    0,
                    IF(($E568-SUMIF('[1]DATOS PBI Artículos'!A:A,A568,'[1]DATOS PBI Artículos'!X:X)+$V568-_xlfn.XLOOKUP($A568,'[1]DATOS PBI Artículos'!A:A,'[1]DATOS PBI Artículos'!W:W))/IF($O568="",$N568,$O568)&gt;ROUNDUP([1]CRITERIOS!$M$16/(IF(COUNTIF([1]CRITERIOS!$BG$11:$BG$201,L568)&gt;=1,_xlfn.XLOOKUP($C568,[1]CRITERIOS!$K$25:$K$42,[1]CRITERIOS!$M$25:$M$42),_xlfn.XLOOKUP($C568,[1]CRITERIOS!$K$25:$K$42,[1]CRITERIOS!$M$25:$M$42))),0),
                    ROUNDUP([1]CRITERIOS!$M$16/(IF(COUNTIF([1]CRITERIOS!$BG$11:$BG$201,$L568)&gt;=1,_xlfn.XLOOKUP($C568,[1]CRITERIOS!$K$25:$K$42,[1]CRITERIOS!$M$25:$M$42),_xlfn.XLOOKUP($C568,[1]CRITERIOS!$K$25:$K$42,[1]CRITERIOS!$M$25:$M$42))),0),
                    (E568+V568-SUMIF('[1]DATOS PBI Artículos'!A:A,A568,'[1]DATOS PBI Artículos'!X:X)-_xlfn.XLOOKUP(A568,'[1]DATOS PBI Artículos'!A:A,'[1]DATOS PBI Artículos'!W:W))/IF($O568="",$N568,$O568))),0))))</f>
        <v>#N/A</v>
      </c>
      <c r="R568" s="33" t="e">
        <f>IF(U568&lt;&gt;"",U568,IF(F568="DV","MTO",IF(N568=0,"MTO",_xlfn.XLOOKUP(CONCATENATE(S568,T568),[1]CRITERIOS!$K$160:$K$168,[1]CRITERIOS!$N$160:$N$168))))</f>
        <v>#N/A</v>
      </c>
      <c r="S568" s="33" t="e">
        <f>IF(G568="DV","MTO",IF(N568=0,"MTO",IF(OR(AND(N568=0,O568=""),IF(O568="",G568/N568,G568/O568)&gt;[1]CRITERIOS!$G$163),"MTO",IF(IF(O568="",G568/N568,G568/O568)&lt;[1]CRITERIOS!$H$161,"MTS","MTOS"))))</f>
        <v>#N/A</v>
      </c>
      <c r="T568" s="33" t="e">
        <f>IF(F568="DV","MTO",IF(OR(AND($N568=0,O568=""),$F568/$J568&gt;[1]CRITERIOS!$G$170,$F568="DV"),"MTO",IF($F568/$J568&lt;[1]CRITERIOS!$H$168,"MTS","MTOS")))</f>
        <v>#N/A</v>
      </c>
      <c r="V568" s="34" t="e">
        <f t="shared" si="28"/>
        <v>#N/A</v>
      </c>
      <c r="X568" s="34" t="e">
        <f t="shared" si="26"/>
        <v>#N/A</v>
      </c>
      <c r="Y568" s="34" t="e">
        <f t="shared" si="27"/>
        <v>#N/A</v>
      </c>
      <c r="Z568" s="34" t="e">
        <f>IF($R568="MTO",
0,
($H568+$K568*($E568/[1]CRITERIOS!$M$16))/[1]CRITERIOS!$X$48)</f>
        <v>#N/A</v>
      </c>
      <c r="AA568" s="34" t="e">
        <f>ROUNDUP(($Y568/_xlfn.XLOOKUP($A568,'[1]DATOS PBI Artículos'!$A$4:$A$4,'[1]DATOS PBI Artículos'!$Z$4:$Z$4))/_xlfn.XLOOKUP(_xlfn.XLOOKUP($A568,'[1]DATOS PBI Artículos'!$A$4:$A$4,'[1]DATOS PBI Artículos'!$Y$4:$Y$4),[1]CRITERIOS!$P$79:$P$123,[1]CRITERIOS!$S$79:$S$123,),0)</f>
        <v>#N/A</v>
      </c>
      <c r="AB568" s="33" t="e">
        <f t="array" ref="AB568">IF((E568+V568-_xlfn.XLOOKUP(A568,'[1]DATOS PBI Artículos'!$A$4:$A$4,'[1]DATOS PBI Artículos'!$W$4:$W$4))/N568&gt;ROUNDUP([1]CRITERIOS!$M$16/(IF(COUNTIF([1]CRITERIOS!$BG$11:$BG$201,L568)&gt;=1,_xlfn.XLOOKUP(ARTÍCULOS!L568,[1]CRITERIOS!$BG$11:$BG$201,[1]CRITERIOS!$BJ$11:$BJ$201),_xlfn.XLOOKUP(ARTÍCULOS!C568,[1]CRITERIOS!$K$25:$K$42,[1]CRITERIOS!$M$25:$M$42))),0),ROUNDUP([1]CRITERIOS!$M$16/(IF(COUNTIF([1]CRITERIOS!$BG$11:$BG$201,L568)&gt;=1,_xlfn.XLOOKUP(ARTÍCULOS!L568,[1]CRITERIOS!$BG$11:$BG$201:#REF!,[1]CRITERIOS!$BJ$11:$BJ$201),_xlfn.XLOOKUP(ARTÍCULOS!C568,[1]CRITERIOS!$K$25:$K$42,[1]CRITERIOS!$M$25:$M$42))),0),(E568+V568-_xlfn.XLOOKUP(A568,'[1]DATOS PBI Artículos'!$A$4:$A$4,'[1]DATOS PBI Artículos'!$W$4:$W$4))/N568)</f>
        <v>#N/A</v>
      </c>
      <c r="AC568" s="33" t="e">
        <f>IF(N568=0,"",(ROUNDUP((N568/2)/(_xlfn.XLOOKUP(A568,'[1]DATOS PBI Artículos'!$A$4:$A$4,'[1]DATOS PBI Artículos'!$Z$4:$Z$4)*_xlfn.XLOOKUP(_xlfn.XLOOKUP(A568,'[1]DATOS PBI Artículos'!$A$4:$A$4,'[1]DATOS PBI Artículos'!$Y$4:$Y$4),[1]CRITERIOS!$P$79:$P$123,[1]CRITERIOS!$S$79:$S$123)),0)*[1]CRITERIOS!$M$80*([1]CRITERIOS!$M$110/[1]CRITERIOS!$M$86)+(_xlfn.XLOOKUP(A568,'[1]DATOS PBI Artículos'!$A$4:$A$4,'[1]DATOS PBI Artículos'!$AA$4:$AA$4)*([1]CRITERIOS!$M$95+[1]CRITERIOS!$M$98)))/N568)</f>
        <v>#N/A</v>
      </c>
      <c r="AD568" s="33" t="e">
        <f>IF(N568=0,"",(ROUNDUP((N568/2)/(_xlfn.XLOOKUP(A568,'[1]DATOS PBI Artículos'!$A$4:$A$4,'[1]DATOS PBI Artículos'!$Z$4:$Z$4)*_xlfn.XLOOKUP(_xlfn.XLOOKUP(A568,'[1]DATOS PBI Artículos'!$A$4:$A$4,'[1]DATOS PBI Artículos'!$Y$4:$Y$4),[1]CRITERIOS!$P$79:$P$123,[1]CRITERIOS!$S$79:$S$123)),0)*[1]CRITERIOS!$M$80*([1]CRITERIOS!$M$89*[1]CRITERIOS!$M$92)+((_xlfn.XLOOKUP(A568,'[1]DATOS PBI Artículos'!$A$4:$A$4,'[1]DATOS PBI Artículos'!$AA$4:$AA$4)/2)*([1]CRITERIOS!$M$95+[1]CRITERIOS!$M$98)))/N568)</f>
        <v>#N/A</v>
      </c>
      <c r="AE568" s="39" t="e">
        <f>IF($R568="MTO","",
IF($H568=0,ROUNDUP(((_xlfn.XLOOKUP($A568,'[1]DATOS PBI Artículos'!$A:$A,'[1]DATOS PBI Artículos'!$AL:$AL))/(_xlfn.XLOOKUP($AF$1,[1]CRITERIOS!$S$16:$S$39,[1]CRITERIOS!$Y$16:$Y$39))*$J568+$Z568)/$G568,0)*$G568,
((_xlfn.XLOOKUP($A568,'[1]DATOS PBI Artículos'!$A:$A,'[1]DATOS PBI Artículos'!$AL:$AL))/(_xlfn.XLOOKUP($AF$1,[1]CRITERIOS!$S$16:$S$39,[1]CRITERIOS!$Y$16:$Y$39))*$J568+$Z568)))</f>
        <v>#N/A</v>
      </c>
      <c r="AG568" s="39" t="e">
        <f>IF($R568="MTO","",
IF($H568=0,ROUNDUP(((_xlfn.XLOOKUP($A568,'[1]DATOS PBI Artículos'!$A:$A,'[1]DATOS PBI Artículos'!$AM:$AM))/(_xlfn.XLOOKUP($AH$1,[1]CRITERIOS!$S$16:$S$39,[1]CRITERIOS!$Y$16:$Y$39))*$J568+$Z568)/$G568,0)*$G568,
((_xlfn.XLOOKUP($A568,'[1]DATOS PBI Artículos'!$A:$A,'[1]DATOS PBI Artículos'!$AM:$AM))/(_xlfn.XLOOKUP($AH$1,[1]CRITERIOS!$S$16:$S$39,[1]CRITERIOS!$Y$16:$Y$39))*$J568+$Z568)))</f>
        <v>#N/A</v>
      </c>
      <c r="AI568" s="39" t="e">
        <f>IF($R568="MTO","",
IF($H568=0,ROUNDUP(((_xlfn.XLOOKUP($A568,'[1]DATOS PBI Artículos'!$A:$A,'[1]DATOS PBI Artículos'!$AN:$AN))/(_xlfn.XLOOKUP($AJ$1,[1]CRITERIOS!$S$16:$S$39,[1]CRITERIOS!$Y$16:$Y$39))*$J568+$Z568)/$G568,0)*$G568,
((_xlfn.XLOOKUP($A568,'[1]DATOS PBI Artículos'!$A:$A,'[1]DATOS PBI Artículos'!$AN:$AN))/(_xlfn.XLOOKUP($AJ$1,[1]CRITERIOS!$S$16:$S$39,[1]CRITERIOS!$Y$16:$Y$39))*$J568+$Z568)))</f>
        <v>#N/A</v>
      </c>
      <c r="AK568" s="39" t="e">
        <f>IF($R568="MTO","",
IF($H568=0,ROUNDUP(((_xlfn.XLOOKUP($A568,'[1]DATOS PBI Artículos'!$A:$A,'[1]DATOS PBI Artículos'!$AO:$AO))/(_xlfn.XLOOKUP($AL$1,[1]CRITERIOS!$S$16:$S$39,[1]CRITERIOS!$Y$16:$Y$39))*$J568+$Z568)/$G568,0)*$G568,
((_xlfn.XLOOKUP($A568,'[1]DATOS PBI Artículos'!$A:$A,'[1]DATOS PBI Artículos'!$AO:$AO))/(_xlfn.XLOOKUP($AL$1,[1]CRITERIOS!$S$16:$S$39,[1]CRITERIOS!$Y$16:$Y$39))*$J568+$Z568)))</f>
        <v>#N/A</v>
      </c>
    </row>
    <row r="569" spans="1:37" ht="25.8" hidden="1" x14ac:dyDescent="0.4">
      <c r="A569" s="41"/>
      <c r="B569" s="33">
        <f>_xlfn.XLOOKUP($A569,'[1]DATOS PBI Artículos'!A:A,'[1]DATOS PBI Artículos'!B:B)</f>
        <v>0</v>
      </c>
      <c r="C569" s="33">
        <f>_xlfn.XLOOKUP($A569,'[1]DATOS PBI Artículos'!A:A,'[1]DATOS PBI Artículos'!C:C)</f>
        <v>0</v>
      </c>
      <c r="D569" s="33">
        <f>_xlfn.XLOOKUP(A569,'[1]DATOS PBI Artículos'!A:A,'[1]DATOS PBI Artículos'!T:T)</f>
        <v>0</v>
      </c>
      <c r="E569" s="34">
        <f>IF(_xlfn.XLOOKUP($A569,'[1]DATOS PBI Artículos'!A:A,'[1]DATOS PBI Artículos'!AK:AK)="",_xlfn.XLOOKUP($A569,'[1]DATOS PBI Artículos'!A:A,'[1]DATOS PBI Artículos'!AJ:AJ),_xlfn.XLOOKUP($A569,'[1]DATOS PBI Artículos'!A:A,'[1]DATOS PBI Artículos'!AK:AK))</f>
        <v>0</v>
      </c>
      <c r="F569" s="35">
        <f>_xlfn.XLOOKUP($A569,'[1]DATOS PBI Artículos'!A:A,'[1]DATOS PBI Artículos'!AP:AP)</f>
        <v>0</v>
      </c>
      <c r="G569" s="34">
        <f>_xlfn.XLOOKUP($A569,'[1]DATOS PBI Artículos'!A:A,'[1]DATOS PBI Artículos'!AR:AR)</f>
        <v>0</v>
      </c>
      <c r="H569" s="34">
        <f>_xlfn.XLOOKUP($A569,'[1]DATOS PBI Artículos'!A:A,'[1]DATOS PBI Artículos'!AT:AT)</f>
        <v>0</v>
      </c>
      <c r="I569" s="34">
        <f>_xlfn.XLOOKUP($A569,'[1]DATOS PBI Artículos'!A:A,'[1]DATOS PBI Artículos'!AS:AS)</f>
        <v>0</v>
      </c>
      <c r="J569" s="35">
        <f>IF(COUNTIF([1]CRITERIOS!$F$179:$F$199,$A569)&gt;=1,
 IF(O569&lt;&gt;"",
    (O569/_xlfn.XLOOKUP(CONCATENATE(A569,L569),[1]MÁQUINAS!A:A,[1]MÁQUINAS!D:D))/24,
    (N569/_xlfn.XLOOKUP(CONCATENATE(A569,L569),[1]MÁQUINAS!A:A,[1]MÁQUINAS!D:D))/24),
  _xlfn.XLOOKUP($A569,'[1]DATOS PBI Artículos'!A:A,'[1]DATOS PBI Artículos'!AU:AU))</f>
        <v>0</v>
      </c>
      <c r="K569" s="36">
        <f>_xlfn.XLOOKUP($A569,'[1]DATOS PBI Artículos'!A:A,'[1]DATOS PBI Artículos'!AV:AV)</f>
        <v>0</v>
      </c>
      <c r="L569" s="33">
        <f>_xlfn.XLOOKUP(A569,[1]MÁQUINAS!B:B,[1]MÁQUINAS!C:C)</f>
        <v>0</v>
      </c>
      <c r="M569" s="34">
        <f t="array" ref="M569">_xlfn.XLOOKUP(A569,'[1]DATOS PBI Artículos'!A:A,'[1]DATOS PBI Artículos'!AX:$AX)</f>
        <v>0</v>
      </c>
      <c r="N569" s="37" t="e">
        <f>IF(I569="DV",
E569,
IF(COUNTIF([1]CRITERIOS!$I$179:$I$199,$A569)&gt;=1,
_xlfn.XLOOKUP($A569,[1]CRITERIOS!$I$179:$I$199,[1]CRITERIOS!$J$179:$J$199),
IF(COUNTIF([1]CRITERIOS!$L$179:$L$199,$A569)&gt;=1,
_xlfn.CEILING.MATH(IF($M569&gt;$E569,
$E569,
IF($M569&lt;$E569/ROUNDDOWN([1]CRITERIOS!$M$16/_xlfn.XLOOKUP($C569,[1]CRITERIOS!$K$25:$K$42,[1]CRITERIOS!$M$25:$M$42),
1),
E569/ROUNDDOWN([1]CRITERIOS!$M$16/_xlfn.XLOOKUP($C569,[1]CRITERIOS!$K$25:$K$42,[1]CRITERIOS!$M$25:$M$42),
1),
$M569)),
_xlfn.XLOOKUP($A569,[1]CRITERIOS!$L$179:$L$200,[1]CRITERIOS!$M$179:$M$200)),
_xlfn.CEILING.MATH(IF($M569&gt;$E569,
$E569,
IF($M569&lt;$E569/ROUNDDOWN([1]CRITERIOS!$M$16/_xlfn.XLOOKUP($C569,[1]CRITERIOS!$K$25:$K$42,[1]CRITERIOS!$M$25:$M$42),
1),
E569/ROUNDDOWN([1]CRITERIOS!$M$16/_xlfn.XLOOKUP($C569,[1]CRITERIOS!$K$25:$K$42,[1]CRITERIOS!$M$25:$M$42),
1),
$M569)),_xlfn.XLOOKUP(A569,'[1]DATOS PBI Artículos'!A:A,'[1]DATOS PBI Artículos'!Z:Z
)))))</f>
        <v>#N/A</v>
      </c>
      <c r="Q569" s="38" t="e">
        <f>IF(AND(O569="",N569=0),
0,
   IF(COUNTIF([1]CRITERIOS!$F$179:$F$199,$A569)&gt;=1,
   1,
   IF(R569="MTO",
      $D569,
      ROUNDUP(
                    IF(($E569-SUMIF('[1]DATOS PBI Artículos'!A:A,A569,'[1]DATOS PBI Artículos'!X:X)+($V569-_xlfn.XLOOKUP(A569,'[1]DATOS PBI Artículos'!A:A,'[1]DATOS PBI Artículos'!W:W)))&lt;0,
                    0,
                    IF(($E569-SUMIF('[1]DATOS PBI Artículos'!A:A,A569,'[1]DATOS PBI Artículos'!X:X)+$V569-_xlfn.XLOOKUP($A569,'[1]DATOS PBI Artículos'!A:A,'[1]DATOS PBI Artículos'!W:W))/IF($O569="",$N569,$O569)&gt;ROUNDUP([1]CRITERIOS!$M$16/(IF(COUNTIF([1]CRITERIOS!$BG$11:$BG$201,L569)&gt;=1,_xlfn.XLOOKUP($C569,[1]CRITERIOS!$K$25:$K$42,[1]CRITERIOS!$M$25:$M$42),_xlfn.XLOOKUP($C569,[1]CRITERIOS!$K$25:$K$42,[1]CRITERIOS!$M$25:$M$42))),0),
                    ROUNDUP([1]CRITERIOS!$M$16/(IF(COUNTIF([1]CRITERIOS!$BG$11:$BG$201,$L569)&gt;=1,_xlfn.XLOOKUP($C569,[1]CRITERIOS!$K$25:$K$42,[1]CRITERIOS!$M$25:$M$42),_xlfn.XLOOKUP($C569,[1]CRITERIOS!$K$25:$K$42,[1]CRITERIOS!$M$25:$M$42))),0),
                    (E569+V569-SUMIF('[1]DATOS PBI Artículos'!A:A,A569,'[1]DATOS PBI Artículos'!X:X)-_xlfn.XLOOKUP(A569,'[1]DATOS PBI Artículos'!A:A,'[1]DATOS PBI Artículos'!W:W))/IF($O569="",$N569,$O569))),0))))</f>
        <v>#N/A</v>
      </c>
      <c r="R569" s="33" t="e">
        <f>IF(U569&lt;&gt;"",U569,IF(F569="DV","MTO",IF(N569=0,"MTO",_xlfn.XLOOKUP(CONCATENATE(S569,T569),[1]CRITERIOS!$K$160:$K$168,[1]CRITERIOS!$N$160:$N$168))))</f>
        <v>#N/A</v>
      </c>
      <c r="S569" s="33" t="e">
        <f>IF(G569="DV","MTO",IF(N569=0,"MTO",IF(OR(AND(N569=0,O569=""),IF(O569="",G569/N569,G569/O569)&gt;[1]CRITERIOS!$G$163),"MTO",IF(IF(O569="",G569/N569,G569/O569)&lt;[1]CRITERIOS!$H$161,"MTS","MTOS"))))</f>
        <v>#N/A</v>
      </c>
      <c r="T569" s="33" t="e">
        <f>IF(F569="DV","MTO",IF(OR(AND($N569=0,O569=""),$F569/$J569&gt;[1]CRITERIOS!$G$170,$F569="DV"),"MTO",IF($F569/$J569&lt;[1]CRITERIOS!$H$168,"MTS","MTOS")))</f>
        <v>#N/A</v>
      </c>
      <c r="V569" s="34" t="e">
        <f t="shared" si="28"/>
        <v>#N/A</v>
      </c>
      <c r="X569" s="34" t="e">
        <f t="shared" si="26"/>
        <v>#N/A</v>
      </c>
      <c r="Y569" s="34" t="e">
        <f t="shared" si="27"/>
        <v>#N/A</v>
      </c>
      <c r="Z569" s="34" t="e">
        <f>IF($R569="MTO",
0,
($H569+$K569*($E569/[1]CRITERIOS!$M$16))/[1]CRITERIOS!$X$48)</f>
        <v>#N/A</v>
      </c>
      <c r="AA569" s="34" t="e">
        <f>ROUNDUP(($Y569/_xlfn.XLOOKUP($A569,'[1]DATOS PBI Artículos'!$A$4:$A$4,'[1]DATOS PBI Artículos'!$Z$4:$Z$4))/_xlfn.XLOOKUP(_xlfn.XLOOKUP($A569,'[1]DATOS PBI Artículos'!$A$4:$A$4,'[1]DATOS PBI Artículos'!$Y$4:$Y$4),[1]CRITERIOS!$P$79:$P$123,[1]CRITERIOS!$S$79:$S$123,),0)</f>
        <v>#N/A</v>
      </c>
      <c r="AB569" s="33" t="e">
        <f t="array" ref="AB569">IF((E569+V569-_xlfn.XLOOKUP(A569,'[1]DATOS PBI Artículos'!$A$4:$A$4,'[1]DATOS PBI Artículos'!$W$4:$W$4))/N569&gt;ROUNDUP([1]CRITERIOS!$M$16/(IF(COUNTIF([1]CRITERIOS!$BG$11:$BG$201,L569)&gt;=1,_xlfn.XLOOKUP(ARTÍCULOS!L569,[1]CRITERIOS!$BG$11:$BG$201,[1]CRITERIOS!$BJ$11:$BJ$201),_xlfn.XLOOKUP(ARTÍCULOS!C569,[1]CRITERIOS!$K$25:$K$42,[1]CRITERIOS!$M$25:$M$42))),0),ROUNDUP([1]CRITERIOS!$M$16/(IF(COUNTIF([1]CRITERIOS!$BG$11:$BG$201,L569)&gt;=1,_xlfn.XLOOKUP(ARTÍCULOS!L569,[1]CRITERIOS!$BG$11:$BG$201:#REF!,[1]CRITERIOS!$BJ$11:$BJ$201),_xlfn.XLOOKUP(ARTÍCULOS!C569,[1]CRITERIOS!$K$25:$K$42,[1]CRITERIOS!$M$25:$M$42))),0),(E569+V569-_xlfn.XLOOKUP(A569,'[1]DATOS PBI Artículos'!$A$4:$A$4,'[1]DATOS PBI Artículos'!$W$4:$W$4))/N569)</f>
        <v>#N/A</v>
      </c>
      <c r="AC569" s="33" t="e">
        <f>IF(N569=0,"",(ROUNDUP((N569/2)/(_xlfn.XLOOKUP(A569,'[1]DATOS PBI Artículos'!$A$4:$A$4,'[1]DATOS PBI Artículos'!$Z$4:$Z$4)*_xlfn.XLOOKUP(_xlfn.XLOOKUP(A569,'[1]DATOS PBI Artículos'!$A$4:$A$4,'[1]DATOS PBI Artículos'!$Y$4:$Y$4),[1]CRITERIOS!$P$79:$P$123,[1]CRITERIOS!$S$79:$S$123)),0)*[1]CRITERIOS!$M$80*([1]CRITERIOS!$M$110/[1]CRITERIOS!$M$86)+(_xlfn.XLOOKUP(A569,'[1]DATOS PBI Artículos'!$A$4:$A$4,'[1]DATOS PBI Artículos'!$AA$4:$AA$4)*([1]CRITERIOS!$M$95+[1]CRITERIOS!$M$98)))/N569)</f>
        <v>#N/A</v>
      </c>
      <c r="AD569" s="33" t="e">
        <f>IF(N569=0,"",(ROUNDUP((N569/2)/(_xlfn.XLOOKUP(A569,'[1]DATOS PBI Artículos'!$A$4:$A$4,'[1]DATOS PBI Artículos'!$Z$4:$Z$4)*_xlfn.XLOOKUP(_xlfn.XLOOKUP(A569,'[1]DATOS PBI Artículos'!$A$4:$A$4,'[1]DATOS PBI Artículos'!$Y$4:$Y$4),[1]CRITERIOS!$P$79:$P$123,[1]CRITERIOS!$S$79:$S$123)),0)*[1]CRITERIOS!$M$80*([1]CRITERIOS!$M$89*[1]CRITERIOS!$M$92)+((_xlfn.XLOOKUP(A569,'[1]DATOS PBI Artículos'!$A$4:$A$4,'[1]DATOS PBI Artículos'!$AA$4:$AA$4)/2)*([1]CRITERIOS!$M$95+[1]CRITERIOS!$M$98)))/N569)</f>
        <v>#N/A</v>
      </c>
      <c r="AE569" s="39" t="e">
        <f>IF($R569="MTO","",
IF($H569=0,ROUNDUP(((_xlfn.XLOOKUP($A569,'[1]DATOS PBI Artículos'!$A:$A,'[1]DATOS PBI Artículos'!$AL:$AL))/(_xlfn.XLOOKUP($AF$1,[1]CRITERIOS!$S$16:$S$39,[1]CRITERIOS!$Y$16:$Y$39))*$J569+$Z569)/$G569,0)*$G569,
((_xlfn.XLOOKUP($A569,'[1]DATOS PBI Artículos'!$A:$A,'[1]DATOS PBI Artículos'!$AL:$AL))/(_xlfn.XLOOKUP($AF$1,[1]CRITERIOS!$S$16:$S$39,[1]CRITERIOS!$Y$16:$Y$39))*$J569+$Z569)))</f>
        <v>#N/A</v>
      </c>
      <c r="AG569" s="39" t="e">
        <f>IF($R569="MTO","",
IF($H569=0,ROUNDUP(((_xlfn.XLOOKUP($A569,'[1]DATOS PBI Artículos'!$A:$A,'[1]DATOS PBI Artículos'!$AM:$AM))/(_xlfn.XLOOKUP($AH$1,[1]CRITERIOS!$S$16:$S$39,[1]CRITERIOS!$Y$16:$Y$39))*$J569+$Z569)/$G569,0)*$G569,
((_xlfn.XLOOKUP($A569,'[1]DATOS PBI Artículos'!$A:$A,'[1]DATOS PBI Artículos'!$AM:$AM))/(_xlfn.XLOOKUP($AH$1,[1]CRITERIOS!$S$16:$S$39,[1]CRITERIOS!$Y$16:$Y$39))*$J569+$Z569)))</f>
        <v>#N/A</v>
      </c>
      <c r="AI569" s="39" t="e">
        <f>IF($R569="MTO","",
IF($H569=0,ROUNDUP(((_xlfn.XLOOKUP($A569,'[1]DATOS PBI Artículos'!$A:$A,'[1]DATOS PBI Artículos'!$AN:$AN))/(_xlfn.XLOOKUP($AJ$1,[1]CRITERIOS!$S$16:$S$39,[1]CRITERIOS!$Y$16:$Y$39))*$J569+$Z569)/$G569,0)*$G569,
((_xlfn.XLOOKUP($A569,'[1]DATOS PBI Artículos'!$A:$A,'[1]DATOS PBI Artículos'!$AN:$AN))/(_xlfn.XLOOKUP($AJ$1,[1]CRITERIOS!$S$16:$S$39,[1]CRITERIOS!$Y$16:$Y$39))*$J569+$Z569)))</f>
        <v>#N/A</v>
      </c>
      <c r="AK569" s="39" t="e">
        <f>IF($R569="MTO","",
IF($H569=0,ROUNDUP(((_xlfn.XLOOKUP($A569,'[1]DATOS PBI Artículos'!$A:$A,'[1]DATOS PBI Artículos'!$AO:$AO))/(_xlfn.XLOOKUP($AL$1,[1]CRITERIOS!$S$16:$S$39,[1]CRITERIOS!$Y$16:$Y$39))*$J569+$Z569)/$G569,0)*$G569,
((_xlfn.XLOOKUP($A569,'[1]DATOS PBI Artículos'!$A:$A,'[1]DATOS PBI Artículos'!$AO:$AO))/(_xlfn.XLOOKUP($AL$1,[1]CRITERIOS!$S$16:$S$39,[1]CRITERIOS!$Y$16:$Y$39))*$J569+$Z569)))</f>
        <v>#N/A</v>
      </c>
    </row>
    <row r="570" spans="1:37" ht="25.8" hidden="1" x14ac:dyDescent="0.4">
      <c r="A570" s="41"/>
      <c r="B570" s="33">
        <f>_xlfn.XLOOKUP($A570,'[1]DATOS PBI Artículos'!A:A,'[1]DATOS PBI Artículos'!B:B)</f>
        <v>0</v>
      </c>
      <c r="C570" s="33">
        <f>_xlfn.XLOOKUP($A570,'[1]DATOS PBI Artículos'!A:A,'[1]DATOS PBI Artículos'!C:C)</f>
        <v>0</v>
      </c>
      <c r="D570" s="33">
        <f>_xlfn.XLOOKUP(A570,'[1]DATOS PBI Artículos'!A:A,'[1]DATOS PBI Artículos'!T:T)</f>
        <v>0</v>
      </c>
      <c r="E570" s="34">
        <f>IF(_xlfn.XLOOKUP($A570,'[1]DATOS PBI Artículos'!A:A,'[1]DATOS PBI Artículos'!AK:AK)="",_xlfn.XLOOKUP($A570,'[1]DATOS PBI Artículos'!A:A,'[1]DATOS PBI Artículos'!AJ:AJ),_xlfn.XLOOKUP($A570,'[1]DATOS PBI Artículos'!A:A,'[1]DATOS PBI Artículos'!AK:AK))</f>
        <v>0</v>
      </c>
      <c r="F570" s="35">
        <f>_xlfn.XLOOKUP($A570,'[1]DATOS PBI Artículos'!A:A,'[1]DATOS PBI Artículos'!AP:AP)</f>
        <v>0</v>
      </c>
      <c r="G570" s="34">
        <f>_xlfn.XLOOKUP($A570,'[1]DATOS PBI Artículos'!A:A,'[1]DATOS PBI Artículos'!AR:AR)</f>
        <v>0</v>
      </c>
      <c r="H570" s="34">
        <f>_xlfn.XLOOKUP($A570,'[1]DATOS PBI Artículos'!A:A,'[1]DATOS PBI Artículos'!AT:AT)</f>
        <v>0</v>
      </c>
      <c r="I570" s="34">
        <f>_xlfn.XLOOKUP($A570,'[1]DATOS PBI Artículos'!A:A,'[1]DATOS PBI Artículos'!AS:AS)</f>
        <v>0</v>
      </c>
      <c r="J570" s="35">
        <f>IF(COUNTIF([1]CRITERIOS!$F$179:$F$199,$A570)&gt;=1,
 IF(O570&lt;&gt;"",
    (O570/_xlfn.XLOOKUP(CONCATENATE(A570,L570),[1]MÁQUINAS!A:A,[1]MÁQUINAS!D:D))/24,
    (N570/_xlfn.XLOOKUP(CONCATENATE(A570,L570),[1]MÁQUINAS!A:A,[1]MÁQUINAS!D:D))/24),
  _xlfn.XLOOKUP($A570,'[1]DATOS PBI Artículos'!A:A,'[1]DATOS PBI Artículos'!AU:AU))</f>
        <v>0</v>
      </c>
      <c r="K570" s="36">
        <f>_xlfn.XLOOKUP($A570,'[1]DATOS PBI Artículos'!A:A,'[1]DATOS PBI Artículos'!AV:AV)</f>
        <v>0</v>
      </c>
      <c r="L570" s="33">
        <f>_xlfn.XLOOKUP(A570,[1]MÁQUINAS!B:B,[1]MÁQUINAS!C:C)</f>
        <v>0</v>
      </c>
      <c r="M570" s="34">
        <f t="array" ref="M570">_xlfn.XLOOKUP(A570,'[1]DATOS PBI Artículos'!A:A,'[1]DATOS PBI Artículos'!AX:$AX)</f>
        <v>0</v>
      </c>
      <c r="N570" s="37" t="e">
        <f>IF(I570="DV",
E570,
IF(COUNTIF([1]CRITERIOS!$I$179:$I$199,$A570)&gt;=1,
_xlfn.XLOOKUP($A570,[1]CRITERIOS!$I$179:$I$199,[1]CRITERIOS!$J$179:$J$199),
IF(COUNTIF([1]CRITERIOS!$L$179:$L$199,$A570)&gt;=1,
_xlfn.CEILING.MATH(IF($M570&gt;$E570,
$E570,
IF($M570&lt;$E570/ROUNDDOWN([1]CRITERIOS!$M$16/_xlfn.XLOOKUP($C570,[1]CRITERIOS!$K$25:$K$42,[1]CRITERIOS!$M$25:$M$42),
1),
E570/ROUNDDOWN([1]CRITERIOS!$M$16/_xlfn.XLOOKUP($C570,[1]CRITERIOS!$K$25:$K$42,[1]CRITERIOS!$M$25:$M$42),
1),
$M570)),
_xlfn.XLOOKUP($A570,[1]CRITERIOS!$L$179:$L$200,[1]CRITERIOS!$M$179:$M$200)),
_xlfn.CEILING.MATH(IF($M570&gt;$E570,
$E570,
IF($M570&lt;$E570/ROUNDDOWN([1]CRITERIOS!$M$16/_xlfn.XLOOKUP($C570,[1]CRITERIOS!$K$25:$K$42,[1]CRITERIOS!$M$25:$M$42),
1),
E570/ROUNDDOWN([1]CRITERIOS!$M$16/_xlfn.XLOOKUP($C570,[1]CRITERIOS!$K$25:$K$42,[1]CRITERIOS!$M$25:$M$42),
1),
$M570)),_xlfn.XLOOKUP(A570,'[1]DATOS PBI Artículos'!A:A,'[1]DATOS PBI Artículos'!Z:Z
)))))</f>
        <v>#N/A</v>
      </c>
      <c r="Q570" s="38" t="e">
        <f>IF(AND(O570="",N570=0),
0,
   IF(COUNTIF([1]CRITERIOS!$F$179:$F$199,$A570)&gt;=1,
   1,
   IF(R570="MTO",
      $D570,
      ROUNDUP(
                    IF(($E570-SUMIF('[1]DATOS PBI Artículos'!A:A,A570,'[1]DATOS PBI Artículos'!X:X)+($V570-_xlfn.XLOOKUP(A570,'[1]DATOS PBI Artículos'!A:A,'[1]DATOS PBI Artículos'!W:W)))&lt;0,
                    0,
                    IF(($E570-SUMIF('[1]DATOS PBI Artículos'!A:A,A570,'[1]DATOS PBI Artículos'!X:X)+$V570-_xlfn.XLOOKUP($A570,'[1]DATOS PBI Artículos'!A:A,'[1]DATOS PBI Artículos'!W:W))/IF($O570="",$N570,$O570)&gt;ROUNDUP([1]CRITERIOS!$M$16/(IF(COUNTIF([1]CRITERIOS!$BG$11:$BG$201,L570)&gt;=1,_xlfn.XLOOKUP($C570,[1]CRITERIOS!$K$25:$K$42,[1]CRITERIOS!$M$25:$M$42),_xlfn.XLOOKUP($C570,[1]CRITERIOS!$K$25:$K$42,[1]CRITERIOS!$M$25:$M$42))),0),
                    ROUNDUP([1]CRITERIOS!$M$16/(IF(COUNTIF([1]CRITERIOS!$BG$11:$BG$201,$L570)&gt;=1,_xlfn.XLOOKUP($C570,[1]CRITERIOS!$K$25:$K$42,[1]CRITERIOS!$M$25:$M$42),_xlfn.XLOOKUP($C570,[1]CRITERIOS!$K$25:$K$42,[1]CRITERIOS!$M$25:$M$42))),0),
                    (E570+V570-SUMIF('[1]DATOS PBI Artículos'!A:A,A570,'[1]DATOS PBI Artículos'!X:X)-_xlfn.XLOOKUP(A570,'[1]DATOS PBI Artículos'!A:A,'[1]DATOS PBI Artículos'!W:W))/IF($O570="",$N570,$O570))),0))))</f>
        <v>#N/A</v>
      </c>
      <c r="R570" s="33" t="e">
        <f>IF(U570&lt;&gt;"",U570,IF(F570="DV","MTO",IF(N570=0,"MTO",_xlfn.XLOOKUP(CONCATENATE(S570,T570),[1]CRITERIOS!$K$160:$K$168,[1]CRITERIOS!$N$160:$N$168))))</f>
        <v>#N/A</v>
      </c>
      <c r="S570" s="33" t="e">
        <f>IF(G570="DV","MTO",IF(N570=0,"MTO",IF(OR(AND(N570=0,O570=""),IF(O570="",G570/N570,G570/O570)&gt;[1]CRITERIOS!$G$163),"MTO",IF(IF(O570="",G570/N570,G570/O570)&lt;[1]CRITERIOS!$H$161,"MTS","MTOS"))))</f>
        <v>#N/A</v>
      </c>
      <c r="T570" s="33" t="e">
        <f>IF(F570="DV","MTO",IF(OR(AND($N570=0,O570=""),$F570/$J570&gt;[1]CRITERIOS!$G$170,$F570="DV"),"MTO",IF($F570/$J570&lt;[1]CRITERIOS!$H$168,"MTS","MTOS")))</f>
        <v>#N/A</v>
      </c>
      <c r="V570" s="34" t="e">
        <f t="shared" si="28"/>
        <v>#N/A</v>
      </c>
      <c r="X570" s="34" t="e">
        <f t="shared" si="26"/>
        <v>#N/A</v>
      </c>
      <c r="Y570" s="34" t="e">
        <f t="shared" si="27"/>
        <v>#N/A</v>
      </c>
      <c r="Z570" s="34" t="e">
        <f>IF($R570="MTO",
0,
($H570+$K570*($E570/[1]CRITERIOS!$M$16))/[1]CRITERIOS!$X$48)</f>
        <v>#N/A</v>
      </c>
      <c r="AA570" s="34" t="e">
        <f>ROUNDUP(($Y570/_xlfn.XLOOKUP($A570,'[1]DATOS PBI Artículos'!$A$4:$A$4,'[1]DATOS PBI Artículos'!$Z$4:$Z$4))/_xlfn.XLOOKUP(_xlfn.XLOOKUP($A570,'[1]DATOS PBI Artículos'!$A$4:$A$4,'[1]DATOS PBI Artículos'!$Y$4:$Y$4),[1]CRITERIOS!$P$79:$P$123,[1]CRITERIOS!$S$79:$S$123,),0)</f>
        <v>#N/A</v>
      </c>
      <c r="AB570" s="33" t="e">
        <f t="array" ref="AB570">IF((E570+V570-_xlfn.XLOOKUP(A570,'[1]DATOS PBI Artículos'!$A$4:$A$4,'[1]DATOS PBI Artículos'!$W$4:$W$4))/N570&gt;ROUNDUP([1]CRITERIOS!$M$16/(IF(COUNTIF([1]CRITERIOS!$BG$11:$BG$201,L570)&gt;=1,_xlfn.XLOOKUP(ARTÍCULOS!L570,[1]CRITERIOS!$BG$11:$BG$201,[1]CRITERIOS!$BJ$11:$BJ$201),_xlfn.XLOOKUP(ARTÍCULOS!C570,[1]CRITERIOS!$K$25:$K$42,[1]CRITERIOS!$M$25:$M$42))),0),ROUNDUP([1]CRITERIOS!$M$16/(IF(COUNTIF([1]CRITERIOS!$BG$11:$BG$201,L570)&gt;=1,_xlfn.XLOOKUP(ARTÍCULOS!L570,[1]CRITERIOS!$BG$11:$BG$201:#REF!,[1]CRITERIOS!$BJ$11:$BJ$201),_xlfn.XLOOKUP(ARTÍCULOS!C570,[1]CRITERIOS!$K$25:$K$42,[1]CRITERIOS!$M$25:$M$42))),0),(E570+V570-_xlfn.XLOOKUP(A570,'[1]DATOS PBI Artículos'!$A$4:$A$4,'[1]DATOS PBI Artículos'!$W$4:$W$4))/N570)</f>
        <v>#N/A</v>
      </c>
      <c r="AC570" s="33" t="e">
        <f>IF(N570=0,"",(ROUNDUP((N570/2)/(_xlfn.XLOOKUP(A570,'[1]DATOS PBI Artículos'!$A$4:$A$4,'[1]DATOS PBI Artículos'!$Z$4:$Z$4)*_xlfn.XLOOKUP(_xlfn.XLOOKUP(A570,'[1]DATOS PBI Artículos'!$A$4:$A$4,'[1]DATOS PBI Artículos'!$Y$4:$Y$4),[1]CRITERIOS!$P$79:$P$123,[1]CRITERIOS!$S$79:$S$123)),0)*[1]CRITERIOS!$M$80*([1]CRITERIOS!$M$110/[1]CRITERIOS!$M$86)+(_xlfn.XLOOKUP(A570,'[1]DATOS PBI Artículos'!$A$4:$A$4,'[1]DATOS PBI Artículos'!$AA$4:$AA$4)*([1]CRITERIOS!$M$95+[1]CRITERIOS!$M$98)))/N570)</f>
        <v>#N/A</v>
      </c>
      <c r="AD570" s="33" t="e">
        <f>IF(N570=0,"",(ROUNDUP((N570/2)/(_xlfn.XLOOKUP(A570,'[1]DATOS PBI Artículos'!$A$4:$A$4,'[1]DATOS PBI Artículos'!$Z$4:$Z$4)*_xlfn.XLOOKUP(_xlfn.XLOOKUP(A570,'[1]DATOS PBI Artículos'!$A$4:$A$4,'[1]DATOS PBI Artículos'!$Y$4:$Y$4),[1]CRITERIOS!$P$79:$P$123,[1]CRITERIOS!$S$79:$S$123)),0)*[1]CRITERIOS!$M$80*([1]CRITERIOS!$M$89*[1]CRITERIOS!$M$92)+((_xlfn.XLOOKUP(A570,'[1]DATOS PBI Artículos'!$A$4:$A$4,'[1]DATOS PBI Artículos'!$AA$4:$AA$4)/2)*([1]CRITERIOS!$M$95+[1]CRITERIOS!$M$98)))/N570)</f>
        <v>#N/A</v>
      </c>
      <c r="AE570" s="39" t="e">
        <f>IF($R570="MTO","",
IF($H570=0,ROUNDUP(((_xlfn.XLOOKUP($A570,'[1]DATOS PBI Artículos'!$A:$A,'[1]DATOS PBI Artículos'!$AL:$AL))/(_xlfn.XLOOKUP($AF$1,[1]CRITERIOS!$S$16:$S$39,[1]CRITERIOS!$Y$16:$Y$39))*$J570+$Z570)/$G570,0)*$G570,
((_xlfn.XLOOKUP($A570,'[1]DATOS PBI Artículos'!$A:$A,'[1]DATOS PBI Artículos'!$AL:$AL))/(_xlfn.XLOOKUP($AF$1,[1]CRITERIOS!$S$16:$S$39,[1]CRITERIOS!$Y$16:$Y$39))*$J570+$Z570)))</f>
        <v>#N/A</v>
      </c>
      <c r="AG570" s="39" t="e">
        <f>IF($R570="MTO","",
IF($H570=0,ROUNDUP(((_xlfn.XLOOKUP($A570,'[1]DATOS PBI Artículos'!$A:$A,'[1]DATOS PBI Artículos'!$AM:$AM))/(_xlfn.XLOOKUP($AH$1,[1]CRITERIOS!$S$16:$S$39,[1]CRITERIOS!$Y$16:$Y$39))*$J570+$Z570)/$G570,0)*$G570,
((_xlfn.XLOOKUP($A570,'[1]DATOS PBI Artículos'!$A:$A,'[1]DATOS PBI Artículos'!$AM:$AM))/(_xlfn.XLOOKUP($AH$1,[1]CRITERIOS!$S$16:$S$39,[1]CRITERIOS!$Y$16:$Y$39))*$J570+$Z570)))</f>
        <v>#N/A</v>
      </c>
      <c r="AI570" s="39" t="e">
        <f>IF($R570="MTO","",
IF($H570=0,ROUNDUP(((_xlfn.XLOOKUP($A570,'[1]DATOS PBI Artículos'!$A:$A,'[1]DATOS PBI Artículos'!$AN:$AN))/(_xlfn.XLOOKUP($AJ$1,[1]CRITERIOS!$S$16:$S$39,[1]CRITERIOS!$Y$16:$Y$39))*$J570+$Z570)/$G570,0)*$G570,
((_xlfn.XLOOKUP($A570,'[1]DATOS PBI Artículos'!$A:$A,'[1]DATOS PBI Artículos'!$AN:$AN))/(_xlfn.XLOOKUP($AJ$1,[1]CRITERIOS!$S$16:$S$39,[1]CRITERIOS!$Y$16:$Y$39))*$J570+$Z570)))</f>
        <v>#N/A</v>
      </c>
      <c r="AK570" s="39" t="e">
        <f>IF($R570="MTO","",
IF($H570=0,ROUNDUP(((_xlfn.XLOOKUP($A570,'[1]DATOS PBI Artículos'!$A:$A,'[1]DATOS PBI Artículos'!$AO:$AO))/(_xlfn.XLOOKUP($AL$1,[1]CRITERIOS!$S$16:$S$39,[1]CRITERIOS!$Y$16:$Y$39))*$J570+$Z570)/$G570,0)*$G570,
((_xlfn.XLOOKUP($A570,'[1]DATOS PBI Artículos'!$A:$A,'[1]DATOS PBI Artículos'!$AO:$AO))/(_xlfn.XLOOKUP($AL$1,[1]CRITERIOS!$S$16:$S$39,[1]CRITERIOS!$Y$16:$Y$39))*$J570+$Z570)))</f>
        <v>#N/A</v>
      </c>
    </row>
    <row r="571" spans="1:37" ht="25.8" hidden="1" x14ac:dyDescent="0.4">
      <c r="A571" s="41"/>
      <c r="B571" s="33">
        <f>_xlfn.XLOOKUP($A571,'[1]DATOS PBI Artículos'!A:A,'[1]DATOS PBI Artículos'!B:B)</f>
        <v>0</v>
      </c>
      <c r="C571" s="33">
        <f>_xlfn.XLOOKUP($A571,'[1]DATOS PBI Artículos'!A:A,'[1]DATOS PBI Artículos'!C:C)</f>
        <v>0</v>
      </c>
      <c r="D571" s="33">
        <f>_xlfn.XLOOKUP(A571,'[1]DATOS PBI Artículos'!A:A,'[1]DATOS PBI Artículos'!T:T)</f>
        <v>0</v>
      </c>
      <c r="E571" s="34">
        <f>IF(_xlfn.XLOOKUP($A571,'[1]DATOS PBI Artículos'!A:A,'[1]DATOS PBI Artículos'!AK:AK)="",_xlfn.XLOOKUP($A571,'[1]DATOS PBI Artículos'!A:A,'[1]DATOS PBI Artículos'!AJ:AJ),_xlfn.XLOOKUP($A571,'[1]DATOS PBI Artículos'!A:A,'[1]DATOS PBI Artículos'!AK:AK))</f>
        <v>0</v>
      </c>
      <c r="F571" s="35">
        <f>_xlfn.XLOOKUP($A571,'[1]DATOS PBI Artículos'!A:A,'[1]DATOS PBI Artículos'!AP:AP)</f>
        <v>0</v>
      </c>
      <c r="G571" s="34">
        <f>_xlfn.XLOOKUP($A571,'[1]DATOS PBI Artículos'!A:A,'[1]DATOS PBI Artículos'!AR:AR)</f>
        <v>0</v>
      </c>
      <c r="H571" s="34">
        <f>_xlfn.XLOOKUP($A571,'[1]DATOS PBI Artículos'!A:A,'[1]DATOS PBI Artículos'!AT:AT)</f>
        <v>0</v>
      </c>
      <c r="I571" s="34">
        <f>_xlfn.XLOOKUP($A571,'[1]DATOS PBI Artículos'!A:A,'[1]DATOS PBI Artículos'!AS:AS)</f>
        <v>0</v>
      </c>
      <c r="J571" s="35">
        <f>IF(COUNTIF([1]CRITERIOS!$F$179:$F$199,$A571)&gt;=1,
 IF(O571&lt;&gt;"",
    (O571/_xlfn.XLOOKUP(CONCATENATE(A571,L571),[1]MÁQUINAS!A:A,[1]MÁQUINAS!D:D))/24,
    (N571/_xlfn.XLOOKUP(CONCATENATE(A571,L571),[1]MÁQUINAS!A:A,[1]MÁQUINAS!D:D))/24),
  _xlfn.XLOOKUP($A571,'[1]DATOS PBI Artículos'!A:A,'[1]DATOS PBI Artículos'!AU:AU))</f>
        <v>0</v>
      </c>
      <c r="K571" s="36">
        <f>_xlfn.XLOOKUP($A571,'[1]DATOS PBI Artículos'!A:A,'[1]DATOS PBI Artículos'!AV:AV)</f>
        <v>0</v>
      </c>
      <c r="L571" s="33">
        <f>_xlfn.XLOOKUP(A571,[1]MÁQUINAS!B:B,[1]MÁQUINAS!C:C)</f>
        <v>0</v>
      </c>
      <c r="M571" s="34">
        <f t="array" ref="M571">_xlfn.XLOOKUP(A571,'[1]DATOS PBI Artículos'!A:A,'[1]DATOS PBI Artículos'!AX:$AX)</f>
        <v>0</v>
      </c>
      <c r="N571" s="37" t="e">
        <f>IF(I571="DV",
E571,
IF(COUNTIF([1]CRITERIOS!$I$179:$I$199,$A571)&gt;=1,
_xlfn.XLOOKUP($A571,[1]CRITERIOS!$I$179:$I$199,[1]CRITERIOS!$J$179:$J$199),
IF(COUNTIF([1]CRITERIOS!$L$179:$L$199,$A571)&gt;=1,
_xlfn.CEILING.MATH(IF($M571&gt;$E571,
$E571,
IF($M571&lt;$E571/ROUNDDOWN([1]CRITERIOS!$M$16/_xlfn.XLOOKUP($C571,[1]CRITERIOS!$K$25:$K$42,[1]CRITERIOS!$M$25:$M$42),
1),
E571/ROUNDDOWN([1]CRITERIOS!$M$16/_xlfn.XLOOKUP($C571,[1]CRITERIOS!$K$25:$K$42,[1]CRITERIOS!$M$25:$M$42),
1),
$M571)),
_xlfn.XLOOKUP($A571,[1]CRITERIOS!$L$179:$L$200,[1]CRITERIOS!$M$179:$M$200)),
_xlfn.CEILING.MATH(IF($M571&gt;$E571,
$E571,
IF($M571&lt;$E571/ROUNDDOWN([1]CRITERIOS!$M$16/_xlfn.XLOOKUP($C571,[1]CRITERIOS!$K$25:$K$42,[1]CRITERIOS!$M$25:$M$42),
1),
E571/ROUNDDOWN([1]CRITERIOS!$M$16/_xlfn.XLOOKUP($C571,[1]CRITERIOS!$K$25:$K$42,[1]CRITERIOS!$M$25:$M$42),
1),
$M571)),_xlfn.XLOOKUP(A571,'[1]DATOS PBI Artículos'!A:A,'[1]DATOS PBI Artículos'!Z:Z
)))))</f>
        <v>#N/A</v>
      </c>
      <c r="Q571" s="38" t="e">
        <f>IF(AND(O571="",N571=0),
0,
   IF(COUNTIF([1]CRITERIOS!$F$179:$F$199,$A571)&gt;=1,
   1,
   IF(R571="MTO",
      $D571,
      ROUNDUP(
                    IF(($E571-SUMIF('[1]DATOS PBI Artículos'!A:A,A571,'[1]DATOS PBI Artículos'!X:X)+($V571-_xlfn.XLOOKUP(A571,'[1]DATOS PBI Artículos'!A:A,'[1]DATOS PBI Artículos'!W:W)))&lt;0,
                    0,
                    IF(($E571-SUMIF('[1]DATOS PBI Artículos'!A:A,A571,'[1]DATOS PBI Artículos'!X:X)+$V571-_xlfn.XLOOKUP($A571,'[1]DATOS PBI Artículos'!A:A,'[1]DATOS PBI Artículos'!W:W))/IF($O571="",$N571,$O571)&gt;ROUNDUP([1]CRITERIOS!$M$16/(IF(COUNTIF([1]CRITERIOS!$BG$11:$BG$201,L571)&gt;=1,_xlfn.XLOOKUP($C571,[1]CRITERIOS!$K$25:$K$42,[1]CRITERIOS!$M$25:$M$42),_xlfn.XLOOKUP($C571,[1]CRITERIOS!$K$25:$K$42,[1]CRITERIOS!$M$25:$M$42))),0),
                    ROUNDUP([1]CRITERIOS!$M$16/(IF(COUNTIF([1]CRITERIOS!$BG$11:$BG$201,$L571)&gt;=1,_xlfn.XLOOKUP($C571,[1]CRITERIOS!$K$25:$K$42,[1]CRITERIOS!$M$25:$M$42),_xlfn.XLOOKUP($C571,[1]CRITERIOS!$K$25:$K$42,[1]CRITERIOS!$M$25:$M$42))),0),
                    (E571+V571-SUMIF('[1]DATOS PBI Artículos'!A:A,A571,'[1]DATOS PBI Artículos'!X:X)-_xlfn.XLOOKUP(A571,'[1]DATOS PBI Artículos'!A:A,'[1]DATOS PBI Artículos'!W:W))/IF($O571="",$N571,$O571))),0))))</f>
        <v>#N/A</v>
      </c>
      <c r="R571" s="33" t="e">
        <f>IF(U571&lt;&gt;"",U571,IF(F571="DV","MTO",IF(N571=0,"MTO",_xlfn.XLOOKUP(CONCATENATE(S571,T571),[1]CRITERIOS!$K$160:$K$168,[1]CRITERIOS!$N$160:$N$168))))</f>
        <v>#N/A</v>
      </c>
      <c r="S571" s="33" t="e">
        <f>IF(G571="DV","MTO",IF(N571=0,"MTO",IF(OR(AND(N571=0,O571=""),IF(O571="",G571/N571,G571/O571)&gt;[1]CRITERIOS!$G$163),"MTO",IF(IF(O571="",G571/N571,G571/O571)&lt;[1]CRITERIOS!$H$161,"MTS","MTOS"))))</f>
        <v>#N/A</v>
      </c>
      <c r="T571" s="33" t="e">
        <f>IF(F571="DV","MTO",IF(OR(AND($N571=0,O571=""),$F571/$J571&gt;[1]CRITERIOS!$G$170,$F571="DV"),"MTO",IF($F571/$J571&lt;[1]CRITERIOS!$H$168,"MTS","MTOS")))</f>
        <v>#N/A</v>
      </c>
      <c r="V571" s="34" t="e">
        <f t="shared" si="28"/>
        <v>#N/A</v>
      </c>
      <c r="X571" s="34" t="e">
        <f t="shared" si="26"/>
        <v>#N/A</v>
      </c>
      <c r="Y571" s="34" t="e">
        <f t="shared" si="27"/>
        <v>#N/A</v>
      </c>
      <c r="Z571" s="34" t="e">
        <f>IF($R571="MTO",
0,
($H571+$K571*($E571/[1]CRITERIOS!$M$16))/[1]CRITERIOS!$X$48)</f>
        <v>#N/A</v>
      </c>
      <c r="AA571" s="34" t="e">
        <f>ROUNDUP(($Y571/_xlfn.XLOOKUP($A571,'[1]DATOS PBI Artículos'!$A$4:$A$4,'[1]DATOS PBI Artículos'!$Z$4:$Z$4))/_xlfn.XLOOKUP(_xlfn.XLOOKUP($A571,'[1]DATOS PBI Artículos'!$A$4:$A$4,'[1]DATOS PBI Artículos'!$Y$4:$Y$4),[1]CRITERIOS!$P$79:$P$123,[1]CRITERIOS!$S$79:$S$123,),0)</f>
        <v>#N/A</v>
      </c>
      <c r="AB571" s="33" t="e">
        <f t="array" ref="AB571">IF((E571+V571-_xlfn.XLOOKUP(A571,'[1]DATOS PBI Artículos'!$A$4:$A$4,'[1]DATOS PBI Artículos'!$W$4:$W$4))/N571&gt;ROUNDUP([1]CRITERIOS!$M$16/(IF(COUNTIF([1]CRITERIOS!$BG$11:$BG$201,L571)&gt;=1,_xlfn.XLOOKUP(ARTÍCULOS!L571,[1]CRITERIOS!$BG$11:$BG$201,[1]CRITERIOS!$BJ$11:$BJ$201),_xlfn.XLOOKUP(ARTÍCULOS!C571,[1]CRITERIOS!$K$25:$K$42,[1]CRITERIOS!$M$25:$M$42))),0),ROUNDUP([1]CRITERIOS!$M$16/(IF(COUNTIF([1]CRITERIOS!$BG$11:$BG$201,L571)&gt;=1,_xlfn.XLOOKUP(ARTÍCULOS!L571,[1]CRITERIOS!$BG$11:$BG$201:#REF!,[1]CRITERIOS!$BJ$11:$BJ$201),_xlfn.XLOOKUP(ARTÍCULOS!C571,[1]CRITERIOS!$K$25:$K$42,[1]CRITERIOS!$M$25:$M$42))),0),(E571+V571-_xlfn.XLOOKUP(A571,'[1]DATOS PBI Artículos'!$A$4:$A$4,'[1]DATOS PBI Artículos'!$W$4:$W$4))/N571)</f>
        <v>#N/A</v>
      </c>
      <c r="AC571" s="33" t="e">
        <f>IF(N571=0,"",(ROUNDUP((N571/2)/(_xlfn.XLOOKUP(A571,'[1]DATOS PBI Artículos'!$A$4:$A$4,'[1]DATOS PBI Artículos'!$Z$4:$Z$4)*_xlfn.XLOOKUP(_xlfn.XLOOKUP(A571,'[1]DATOS PBI Artículos'!$A$4:$A$4,'[1]DATOS PBI Artículos'!$Y$4:$Y$4),[1]CRITERIOS!$P$79:$P$123,[1]CRITERIOS!$S$79:$S$123)),0)*[1]CRITERIOS!$M$80*([1]CRITERIOS!$M$110/[1]CRITERIOS!$M$86)+(_xlfn.XLOOKUP(A571,'[1]DATOS PBI Artículos'!$A$4:$A$4,'[1]DATOS PBI Artículos'!$AA$4:$AA$4)*([1]CRITERIOS!$M$95+[1]CRITERIOS!$M$98)))/N571)</f>
        <v>#N/A</v>
      </c>
      <c r="AD571" s="33" t="e">
        <f>IF(N571=0,"",(ROUNDUP((N571/2)/(_xlfn.XLOOKUP(A571,'[1]DATOS PBI Artículos'!$A$4:$A$4,'[1]DATOS PBI Artículos'!$Z$4:$Z$4)*_xlfn.XLOOKUP(_xlfn.XLOOKUP(A571,'[1]DATOS PBI Artículos'!$A$4:$A$4,'[1]DATOS PBI Artículos'!$Y$4:$Y$4),[1]CRITERIOS!$P$79:$P$123,[1]CRITERIOS!$S$79:$S$123)),0)*[1]CRITERIOS!$M$80*([1]CRITERIOS!$M$89*[1]CRITERIOS!$M$92)+((_xlfn.XLOOKUP(A571,'[1]DATOS PBI Artículos'!$A$4:$A$4,'[1]DATOS PBI Artículos'!$AA$4:$AA$4)/2)*([1]CRITERIOS!$M$95+[1]CRITERIOS!$M$98)))/N571)</f>
        <v>#N/A</v>
      </c>
      <c r="AE571" s="39" t="e">
        <f>IF($R571="MTO","",
IF($H571=0,ROUNDUP(((_xlfn.XLOOKUP($A571,'[1]DATOS PBI Artículos'!$A:$A,'[1]DATOS PBI Artículos'!$AL:$AL))/(_xlfn.XLOOKUP($AF$1,[1]CRITERIOS!$S$16:$S$39,[1]CRITERIOS!$Y$16:$Y$39))*$J571+$Z571)/$G571,0)*$G571,
((_xlfn.XLOOKUP($A571,'[1]DATOS PBI Artículos'!$A:$A,'[1]DATOS PBI Artículos'!$AL:$AL))/(_xlfn.XLOOKUP($AF$1,[1]CRITERIOS!$S$16:$S$39,[1]CRITERIOS!$Y$16:$Y$39))*$J571+$Z571)))</f>
        <v>#N/A</v>
      </c>
      <c r="AG571" s="39" t="e">
        <f>IF($R571="MTO","",
IF($H571=0,ROUNDUP(((_xlfn.XLOOKUP($A571,'[1]DATOS PBI Artículos'!$A:$A,'[1]DATOS PBI Artículos'!$AM:$AM))/(_xlfn.XLOOKUP($AH$1,[1]CRITERIOS!$S$16:$S$39,[1]CRITERIOS!$Y$16:$Y$39))*$J571+$Z571)/$G571,0)*$G571,
((_xlfn.XLOOKUP($A571,'[1]DATOS PBI Artículos'!$A:$A,'[1]DATOS PBI Artículos'!$AM:$AM))/(_xlfn.XLOOKUP($AH$1,[1]CRITERIOS!$S$16:$S$39,[1]CRITERIOS!$Y$16:$Y$39))*$J571+$Z571)))</f>
        <v>#N/A</v>
      </c>
      <c r="AI571" s="39" t="e">
        <f>IF($R571="MTO","",
IF($H571=0,ROUNDUP(((_xlfn.XLOOKUP($A571,'[1]DATOS PBI Artículos'!$A:$A,'[1]DATOS PBI Artículos'!$AN:$AN))/(_xlfn.XLOOKUP($AJ$1,[1]CRITERIOS!$S$16:$S$39,[1]CRITERIOS!$Y$16:$Y$39))*$J571+$Z571)/$G571,0)*$G571,
((_xlfn.XLOOKUP($A571,'[1]DATOS PBI Artículos'!$A:$A,'[1]DATOS PBI Artículos'!$AN:$AN))/(_xlfn.XLOOKUP($AJ$1,[1]CRITERIOS!$S$16:$S$39,[1]CRITERIOS!$Y$16:$Y$39))*$J571+$Z571)))</f>
        <v>#N/A</v>
      </c>
      <c r="AK571" s="39" t="e">
        <f>IF($R571="MTO","",
IF($H571=0,ROUNDUP(((_xlfn.XLOOKUP($A571,'[1]DATOS PBI Artículos'!$A:$A,'[1]DATOS PBI Artículos'!$AO:$AO))/(_xlfn.XLOOKUP($AL$1,[1]CRITERIOS!$S$16:$S$39,[1]CRITERIOS!$Y$16:$Y$39))*$J571+$Z571)/$G571,0)*$G571,
((_xlfn.XLOOKUP($A571,'[1]DATOS PBI Artículos'!$A:$A,'[1]DATOS PBI Artículos'!$AO:$AO))/(_xlfn.XLOOKUP($AL$1,[1]CRITERIOS!$S$16:$S$39,[1]CRITERIOS!$Y$16:$Y$39))*$J571+$Z571)))</f>
        <v>#N/A</v>
      </c>
    </row>
    <row r="572" spans="1:37" ht="25.8" hidden="1" x14ac:dyDescent="0.4">
      <c r="A572" s="41"/>
      <c r="B572" s="33">
        <f>_xlfn.XLOOKUP($A572,'[1]DATOS PBI Artículos'!A:A,'[1]DATOS PBI Artículos'!B:B)</f>
        <v>0</v>
      </c>
      <c r="C572" s="33">
        <f>_xlfn.XLOOKUP($A572,'[1]DATOS PBI Artículos'!A:A,'[1]DATOS PBI Artículos'!C:C)</f>
        <v>0</v>
      </c>
      <c r="D572" s="33">
        <f>_xlfn.XLOOKUP(A572,'[1]DATOS PBI Artículos'!A:A,'[1]DATOS PBI Artículos'!T:T)</f>
        <v>0</v>
      </c>
      <c r="E572" s="34">
        <f>IF(_xlfn.XLOOKUP($A572,'[1]DATOS PBI Artículos'!A:A,'[1]DATOS PBI Artículos'!AK:AK)="",_xlfn.XLOOKUP($A572,'[1]DATOS PBI Artículos'!A:A,'[1]DATOS PBI Artículos'!AJ:AJ),_xlfn.XLOOKUP($A572,'[1]DATOS PBI Artículos'!A:A,'[1]DATOS PBI Artículos'!AK:AK))</f>
        <v>0</v>
      </c>
      <c r="F572" s="35">
        <f>_xlfn.XLOOKUP($A572,'[1]DATOS PBI Artículos'!A:A,'[1]DATOS PBI Artículos'!AP:AP)</f>
        <v>0</v>
      </c>
      <c r="G572" s="34">
        <f>_xlfn.XLOOKUP($A572,'[1]DATOS PBI Artículos'!A:A,'[1]DATOS PBI Artículos'!AR:AR)</f>
        <v>0</v>
      </c>
      <c r="H572" s="34">
        <f>_xlfn.XLOOKUP($A572,'[1]DATOS PBI Artículos'!A:A,'[1]DATOS PBI Artículos'!AT:AT)</f>
        <v>0</v>
      </c>
      <c r="I572" s="34">
        <f>_xlfn.XLOOKUP($A572,'[1]DATOS PBI Artículos'!A:A,'[1]DATOS PBI Artículos'!AS:AS)</f>
        <v>0</v>
      </c>
      <c r="J572" s="35">
        <f>IF(COUNTIF([1]CRITERIOS!$F$179:$F$199,$A572)&gt;=1,
 IF(O572&lt;&gt;"",
    (O572/_xlfn.XLOOKUP(CONCATENATE(A572,L572),[1]MÁQUINAS!A:A,[1]MÁQUINAS!D:D))/24,
    (N572/_xlfn.XLOOKUP(CONCATENATE(A572,L572),[1]MÁQUINAS!A:A,[1]MÁQUINAS!D:D))/24),
  _xlfn.XLOOKUP($A572,'[1]DATOS PBI Artículos'!A:A,'[1]DATOS PBI Artículos'!AU:AU))</f>
        <v>0</v>
      </c>
      <c r="K572" s="36">
        <f>_xlfn.XLOOKUP($A572,'[1]DATOS PBI Artículos'!A:A,'[1]DATOS PBI Artículos'!AV:AV)</f>
        <v>0</v>
      </c>
      <c r="L572" s="33">
        <f>_xlfn.XLOOKUP(A572,[1]MÁQUINAS!B:B,[1]MÁQUINAS!C:C)</f>
        <v>0</v>
      </c>
      <c r="M572" s="34">
        <f t="array" ref="M572">_xlfn.XLOOKUP(A572,'[1]DATOS PBI Artículos'!A:A,'[1]DATOS PBI Artículos'!AX:$AX)</f>
        <v>0</v>
      </c>
      <c r="N572" s="37" t="e">
        <f>IF(I572="DV",
E572,
IF(COUNTIF([1]CRITERIOS!$I$179:$I$199,$A572)&gt;=1,
_xlfn.XLOOKUP($A572,[1]CRITERIOS!$I$179:$I$199,[1]CRITERIOS!$J$179:$J$199),
IF(COUNTIF([1]CRITERIOS!$L$179:$L$199,$A572)&gt;=1,
_xlfn.CEILING.MATH(IF($M572&gt;$E572,
$E572,
IF($M572&lt;$E572/ROUNDDOWN([1]CRITERIOS!$M$16/_xlfn.XLOOKUP($C572,[1]CRITERIOS!$K$25:$K$42,[1]CRITERIOS!$M$25:$M$42),
1),
E572/ROUNDDOWN([1]CRITERIOS!$M$16/_xlfn.XLOOKUP($C572,[1]CRITERIOS!$K$25:$K$42,[1]CRITERIOS!$M$25:$M$42),
1),
$M572)),
_xlfn.XLOOKUP($A572,[1]CRITERIOS!$L$179:$L$200,[1]CRITERIOS!$M$179:$M$200)),
_xlfn.CEILING.MATH(IF($M572&gt;$E572,
$E572,
IF($M572&lt;$E572/ROUNDDOWN([1]CRITERIOS!$M$16/_xlfn.XLOOKUP($C572,[1]CRITERIOS!$K$25:$K$42,[1]CRITERIOS!$M$25:$M$42),
1),
E572/ROUNDDOWN([1]CRITERIOS!$M$16/_xlfn.XLOOKUP($C572,[1]CRITERIOS!$K$25:$K$42,[1]CRITERIOS!$M$25:$M$42),
1),
$M572)),_xlfn.XLOOKUP(A572,'[1]DATOS PBI Artículos'!A:A,'[1]DATOS PBI Artículos'!Z:Z
)))))</f>
        <v>#N/A</v>
      </c>
      <c r="Q572" s="38" t="e">
        <f>IF(AND(O572="",N572=0),
0,
   IF(COUNTIF([1]CRITERIOS!$F$179:$F$199,$A572)&gt;=1,
   1,
   IF(R572="MTO",
      $D572,
      ROUNDUP(
                    IF(($E572-SUMIF('[1]DATOS PBI Artículos'!A:A,A572,'[1]DATOS PBI Artículos'!X:X)+($V572-_xlfn.XLOOKUP(A572,'[1]DATOS PBI Artículos'!A:A,'[1]DATOS PBI Artículos'!W:W)))&lt;0,
                    0,
                    IF(($E572-SUMIF('[1]DATOS PBI Artículos'!A:A,A572,'[1]DATOS PBI Artículos'!X:X)+$V572-_xlfn.XLOOKUP($A572,'[1]DATOS PBI Artículos'!A:A,'[1]DATOS PBI Artículos'!W:W))/IF($O572="",$N572,$O572)&gt;ROUNDUP([1]CRITERIOS!$M$16/(IF(COUNTIF([1]CRITERIOS!$BG$11:$BG$201,L572)&gt;=1,_xlfn.XLOOKUP($C572,[1]CRITERIOS!$K$25:$K$42,[1]CRITERIOS!$M$25:$M$42),_xlfn.XLOOKUP($C572,[1]CRITERIOS!$K$25:$K$42,[1]CRITERIOS!$M$25:$M$42))),0),
                    ROUNDUP([1]CRITERIOS!$M$16/(IF(COUNTIF([1]CRITERIOS!$BG$11:$BG$201,$L572)&gt;=1,_xlfn.XLOOKUP($C572,[1]CRITERIOS!$K$25:$K$42,[1]CRITERIOS!$M$25:$M$42),_xlfn.XLOOKUP($C572,[1]CRITERIOS!$K$25:$K$42,[1]CRITERIOS!$M$25:$M$42))),0),
                    (E572+V572-SUMIF('[1]DATOS PBI Artículos'!A:A,A572,'[1]DATOS PBI Artículos'!X:X)-_xlfn.XLOOKUP(A572,'[1]DATOS PBI Artículos'!A:A,'[1]DATOS PBI Artículos'!W:W))/IF($O572="",$N572,$O572))),0))))</f>
        <v>#N/A</v>
      </c>
      <c r="R572" s="33" t="e">
        <f>IF(U572&lt;&gt;"",U572,IF(F572="DV","MTO",IF(N572=0,"MTO",_xlfn.XLOOKUP(CONCATENATE(S572,T572),[1]CRITERIOS!$K$160:$K$168,[1]CRITERIOS!$N$160:$N$168))))</f>
        <v>#N/A</v>
      </c>
      <c r="S572" s="33" t="e">
        <f>IF(G572="DV","MTO",IF(N572=0,"MTO",IF(OR(AND(N572=0,O572=""),IF(O572="",G572/N572,G572/O572)&gt;[1]CRITERIOS!$G$163),"MTO",IF(IF(O572="",G572/N572,G572/O572)&lt;[1]CRITERIOS!$H$161,"MTS","MTOS"))))</f>
        <v>#N/A</v>
      </c>
      <c r="T572" s="33" t="e">
        <f>IF(F572="DV","MTO",IF(OR(AND($N572=0,O572=""),$F572/$J572&gt;[1]CRITERIOS!$G$170,$F572="DV"),"MTO",IF($F572/$J572&lt;[1]CRITERIOS!$H$168,"MTS","MTOS")))</f>
        <v>#N/A</v>
      </c>
      <c r="V572" s="34" t="e">
        <f t="shared" si="28"/>
        <v>#N/A</v>
      </c>
      <c r="X572" s="34" t="e">
        <f t="shared" si="26"/>
        <v>#N/A</v>
      </c>
      <c r="Y572" s="34" t="e">
        <f t="shared" si="27"/>
        <v>#N/A</v>
      </c>
      <c r="Z572" s="34" t="e">
        <f>IF($R572="MTO",
0,
($H572+$K572*($E572/[1]CRITERIOS!$M$16))/[1]CRITERIOS!$X$48)</f>
        <v>#N/A</v>
      </c>
      <c r="AA572" s="34" t="e">
        <f>ROUNDUP(($Y572/_xlfn.XLOOKUP($A572,'[1]DATOS PBI Artículos'!$A$4:$A$4,'[1]DATOS PBI Artículos'!$Z$4:$Z$4))/_xlfn.XLOOKUP(_xlfn.XLOOKUP($A572,'[1]DATOS PBI Artículos'!$A$4:$A$4,'[1]DATOS PBI Artículos'!$Y$4:$Y$4),[1]CRITERIOS!$P$79:$P$123,[1]CRITERIOS!$S$79:$S$123,),0)</f>
        <v>#N/A</v>
      </c>
      <c r="AB572" s="33" t="e">
        <f t="array" ref="AB572">IF((E572+V572-_xlfn.XLOOKUP(A572,'[1]DATOS PBI Artículos'!$A$4:$A$4,'[1]DATOS PBI Artículos'!$W$4:$W$4))/N572&gt;ROUNDUP([1]CRITERIOS!$M$16/(IF(COUNTIF([1]CRITERIOS!$BG$11:$BG$201,L572)&gt;=1,_xlfn.XLOOKUP(ARTÍCULOS!L572,[1]CRITERIOS!$BG$11:$BG$201,[1]CRITERIOS!$BJ$11:$BJ$201),_xlfn.XLOOKUP(ARTÍCULOS!C572,[1]CRITERIOS!$K$25:$K$42,[1]CRITERIOS!$M$25:$M$42))),0),ROUNDUP([1]CRITERIOS!$M$16/(IF(COUNTIF([1]CRITERIOS!$BG$11:$BG$201,L572)&gt;=1,_xlfn.XLOOKUP(ARTÍCULOS!L572,[1]CRITERIOS!$BG$11:$BG$201:#REF!,[1]CRITERIOS!$BJ$11:$BJ$201),_xlfn.XLOOKUP(ARTÍCULOS!C572,[1]CRITERIOS!$K$25:$K$42,[1]CRITERIOS!$M$25:$M$42))),0),(E572+V572-_xlfn.XLOOKUP(A572,'[1]DATOS PBI Artículos'!$A$4:$A$4,'[1]DATOS PBI Artículos'!$W$4:$W$4))/N572)</f>
        <v>#N/A</v>
      </c>
      <c r="AC572" s="33" t="e">
        <f>IF(N572=0,"",(ROUNDUP((N572/2)/(_xlfn.XLOOKUP(A572,'[1]DATOS PBI Artículos'!$A$4:$A$4,'[1]DATOS PBI Artículos'!$Z$4:$Z$4)*_xlfn.XLOOKUP(_xlfn.XLOOKUP(A572,'[1]DATOS PBI Artículos'!$A$4:$A$4,'[1]DATOS PBI Artículos'!$Y$4:$Y$4),[1]CRITERIOS!$P$79:$P$123,[1]CRITERIOS!$S$79:$S$123)),0)*[1]CRITERIOS!$M$80*([1]CRITERIOS!$M$110/[1]CRITERIOS!$M$86)+(_xlfn.XLOOKUP(A572,'[1]DATOS PBI Artículos'!$A$4:$A$4,'[1]DATOS PBI Artículos'!$AA$4:$AA$4)*([1]CRITERIOS!$M$95+[1]CRITERIOS!$M$98)))/N572)</f>
        <v>#N/A</v>
      </c>
      <c r="AD572" s="33" t="e">
        <f>IF(N572=0,"",(ROUNDUP((N572/2)/(_xlfn.XLOOKUP(A572,'[1]DATOS PBI Artículos'!$A$4:$A$4,'[1]DATOS PBI Artículos'!$Z$4:$Z$4)*_xlfn.XLOOKUP(_xlfn.XLOOKUP(A572,'[1]DATOS PBI Artículos'!$A$4:$A$4,'[1]DATOS PBI Artículos'!$Y$4:$Y$4),[1]CRITERIOS!$P$79:$P$123,[1]CRITERIOS!$S$79:$S$123)),0)*[1]CRITERIOS!$M$80*([1]CRITERIOS!$M$89*[1]CRITERIOS!$M$92)+((_xlfn.XLOOKUP(A572,'[1]DATOS PBI Artículos'!$A$4:$A$4,'[1]DATOS PBI Artículos'!$AA$4:$AA$4)/2)*([1]CRITERIOS!$M$95+[1]CRITERIOS!$M$98)))/N572)</f>
        <v>#N/A</v>
      </c>
      <c r="AE572" s="39" t="e">
        <f>IF($R572="MTO","",
IF($H572=0,ROUNDUP(((_xlfn.XLOOKUP($A572,'[1]DATOS PBI Artículos'!$A:$A,'[1]DATOS PBI Artículos'!$AL:$AL))/(_xlfn.XLOOKUP($AF$1,[1]CRITERIOS!$S$16:$S$39,[1]CRITERIOS!$Y$16:$Y$39))*$J572+$Z572)/$G572,0)*$G572,
((_xlfn.XLOOKUP($A572,'[1]DATOS PBI Artículos'!$A:$A,'[1]DATOS PBI Artículos'!$AL:$AL))/(_xlfn.XLOOKUP($AF$1,[1]CRITERIOS!$S$16:$S$39,[1]CRITERIOS!$Y$16:$Y$39))*$J572+$Z572)))</f>
        <v>#N/A</v>
      </c>
      <c r="AG572" s="39" t="e">
        <f>IF($R572="MTO","",
IF($H572=0,ROUNDUP(((_xlfn.XLOOKUP($A572,'[1]DATOS PBI Artículos'!$A:$A,'[1]DATOS PBI Artículos'!$AM:$AM))/(_xlfn.XLOOKUP($AH$1,[1]CRITERIOS!$S$16:$S$39,[1]CRITERIOS!$Y$16:$Y$39))*$J572+$Z572)/$G572,0)*$G572,
((_xlfn.XLOOKUP($A572,'[1]DATOS PBI Artículos'!$A:$A,'[1]DATOS PBI Artículos'!$AM:$AM))/(_xlfn.XLOOKUP($AH$1,[1]CRITERIOS!$S$16:$S$39,[1]CRITERIOS!$Y$16:$Y$39))*$J572+$Z572)))</f>
        <v>#N/A</v>
      </c>
      <c r="AI572" s="39" t="e">
        <f>IF($R572="MTO","",
IF($H572=0,ROUNDUP(((_xlfn.XLOOKUP($A572,'[1]DATOS PBI Artículos'!$A:$A,'[1]DATOS PBI Artículos'!$AN:$AN))/(_xlfn.XLOOKUP($AJ$1,[1]CRITERIOS!$S$16:$S$39,[1]CRITERIOS!$Y$16:$Y$39))*$J572+$Z572)/$G572,0)*$G572,
((_xlfn.XLOOKUP($A572,'[1]DATOS PBI Artículos'!$A:$A,'[1]DATOS PBI Artículos'!$AN:$AN))/(_xlfn.XLOOKUP($AJ$1,[1]CRITERIOS!$S$16:$S$39,[1]CRITERIOS!$Y$16:$Y$39))*$J572+$Z572)))</f>
        <v>#N/A</v>
      </c>
      <c r="AK572" s="39" t="e">
        <f>IF($R572="MTO","",
IF($H572=0,ROUNDUP(((_xlfn.XLOOKUP($A572,'[1]DATOS PBI Artículos'!$A:$A,'[1]DATOS PBI Artículos'!$AO:$AO))/(_xlfn.XLOOKUP($AL$1,[1]CRITERIOS!$S$16:$S$39,[1]CRITERIOS!$Y$16:$Y$39))*$J572+$Z572)/$G572,0)*$G572,
((_xlfn.XLOOKUP($A572,'[1]DATOS PBI Artículos'!$A:$A,'[1]DATOS PBI Artículos'!$AO:$AO))/(_xlfn.XLOOKUP($AL$1,[1]CRITERIOS!$S$16:$S$39,[1]CRITERIOS!$Y$16:$Y$39))*$J572+$Z572)))</f>
        <v>#N/A</v>
      </c>
    </row>
    <row r="573" spans="1:37" ht="25.8" hidden="1" x14ac:dyDescent="0.4">
      <c r="A573" s="41"/>
      <c r="B573" s="33">
        <f>_xlfn.XLOOKUP($A573,'[1]DATOS PBI Artículos'!A:A,'[1]DATOS PBI Artículos'!B:B)</f>
        <v>0</v>
      </c>
      <c r="C573" s="33">
        <f>_xlfn.XLOOKUP($A573,'[1]DATOS PBI Artículos'!A:A,'[1]DATOS PBI Artículos'!C:C)</f>
        <v>0</v>
      </c>
      <c r="D573" s="33">
        <f>_xlfn.XLOOKUP(A573,'[1]DATOS PBI Artículos'!A:A,'[1]DATOS PBI Artículos'!T:T)</f>
        <v>0</v>
      </c>
      <c r="E573" s="34">
        <f>IF(_xlfn.XLOOKUP($A573,'[1]DATOS PBI Artículos'!A:A,'[1]DATOS PBI Artículos'!AK:AK)="",_xlfn.XLOOKUP($A573,'[1]DATOS PBI Artículos'!A:A,'[1]DATOS PBI Artículos'!AJ:AJ),_xlfn.XLOOKUP($A573,'[1]DATOS PBI Artículos'!A:A,'[1]DATOS PBI Artículos'!AK:AK))</f>
        <v>0</v>
      </c>
      <c r="F573" s="35">
        <f>_xlfn.XLOOKUP($A573,'[1]DATOS PBI Artículos'!A:A,'[1]DATOS PBI Artículos'!AP:AP)</f>
        <v>0</v>
      </c>
      <c r="G573" s="34">
        <f>_xlfn.XLOOKUP($A573,'[1]DATOS PBI Artículos'!A:A,'[1]DATOS PBI Artículos'!AR:AR)</f>
        <v>0</v>
      </c>
      <c r="H573" s="34">
        <f>_xlfn.XLOOKUP($A573,'[1]DATOS PBI Artículos'!A:A,'[1]DATOS PBI Artículos'!AT:AT)</f>
        <v>0</v>
      </c>
      <c r="I573" s="34">
        <f>_xlfn.XLOOKUP($A573,'[1]DATOS PBI Artículos'!A:A,'[1]DATOS PBI Artículos'!AS:AS)</f>
        <v>0</v>
      </c>
      <c r="J573" s="35">
        <f>IF(COUNTIF([1]CRITERIOS!$F$179:$F$199,$A573)&gt;=1,
 IF(O573&lt;&gt;"",
    (O573/_xlfn.XLOOKUP(CONCATENATE(A573,L573),[1]MÁQUINAS!A:A,[1]MÁQUINAS!D:D))/24,
    (N573/_xlfn.XLOOKUP(CONCATENATE(A573,L573),[1]MÁQUINAS!A:A,[1]MÁQUINAS!D:D))/24),
  _xlfn.XLOOKUP($A573,'[1]DATOS PBI Artículos'!A:A,'[1]DATOS PBI Artículos'!AU:AU))</f>
        <v>0</v>
      </c>
      <c r="K573" s="36">
        <f>_xlfn.XLOOKUP($A573,'[1]DATOS PBI Artículos'!A:A,'[1]DATOS PBI Artículos'!AV:AV)</f>
        <v>0</v>
      </c>
      <c r="L573" s="33">
        <f>_xlfn.XLOOKUP(A573,[1]MÁQUINAS!B:B,[1]MÁQUINAS!C:C)</f>
        <v>0</v>
      </c>
      <c r="M573" s="34">
        <f t="array" ref="M573">_xlfn.XLOOKUP(A573,'[1]DATOS PBI Artículos'!A:A,'[1]DATOS PBI Artículos'!AX:$AX)</f>
        <v>0</v>
      </c>
      <c r="N573" s="37" t="e">
        <f>IF(I573="DV",
E573,
IF(COUNTIF([1]CRITERIOS!$I$179:$I$199,$A573)&gt;=1,
_xlfn.XLOOKUP($A573,[1]CRITERIOS!$I$179:$I$199,[1]CRITERIOS!$J$179:$J$199),
IF(COUNTIF([1]CRITERIOS!$L$179:$L$199,$A573)&gt;=1,
_xlfn.CEILING.MATH(IF($M573&gt;$E573,
$E573,
IF($M573&lt;$E573/ROUNDDOWN([1]CRITERIOS!$M$16/_xlfn.XLOOKUP($C573,[1]CRITERIOS!$K$25:$K$42,[1]CRITERIOS!$M$25:$M$42),
1),
E573/ROUNDDOWN([1]CRITERIOS!$M$16/_xlfn.XLOOKUP($C573,[1]CRITERIOS!$K$25:$K$42,[1]CRITERIOS!$M$25:$M$42),
1),
$M573)),
_xlfn.XLOOKUP($A573,[1]CRITERIOS!$L$179:$L$200,[1]CRITERIOS!$M$179:$M$200)),
_xlfn.CEILING.MATH(IF($M573&gt;$E573,
$E573,
IF($M573&lt;$E573/ROUNDDOWN([1]CRITERIOS!$M$16/_xlfn.XLOOKUP($C573,[1]CRITERIOS!$K$25:$K$42,[1]CRITERIOS!$M$25:$M$42),
1),
E573/ROUNDDOWN([1]CRITERIOS!$M$16/_xlfn.XLOOKUP($C573,[1]CRITERIOS!$K$25:$K$42,[1]CRITERIOS!$M$25:$M$42),
1),
$M573)),_xlfn.XLOOKUP(A573,'[1]DATOS PBI Artículos'!A:A,'[1]DATOS PBI Artículos'!Z:Z
)))))</f>
        <v>#N/A</v>
      </c>
      <c r="Q573" s="38" t="e">
        <f>IF(AND(O573="",N573=0),
0,
   IF(COUNTIF([1]CRITERIOS!$F$179:$F$199,$A573)&gt;=1,
   1,
   IF(R573="MTO",
      $D573,
      ROUNDUP(
                    IF(($E573-SUMIF('[1]DATOS PBI Artículos'!A:A,A573,'[1]DATOS PBI Artículos'!X:X)+($V573-_xlfn.XLOOKUP(A573,'[1]DATOS PBI Artículos'!A:A,'[1]DATOS PBI Artículos'!W:W)))&lt;0,
                    0,
                    IF(($E573-SUMIF('[1]DATOS PBI Artículos'!A:A,A573,'[1]DATOS PBI Artículos'!X:X)+$V573-_xlfn.XLOOKUP($A573,'[1]DATOS PBI Artículos'!A:A,'[1]DATOS PBI Artículos'!W:W))/IF($O573="",$N573,$O573)&gt;ROUNDUP([1]CRITERIOS!$M$16/(IF(COUNTIF([1]CRITERIOS!$BG$11:$BG$201,L573)&gt;=1,_xlfn.XLOOKUP($C573,[1]CRITERIOS!$K$25:$K$42,[1]CRITERIOS!$M$25:$M$42),_xlfn.XLOOKUP($C573,[1]CRITERIOS!$K$25:$K$42,[1]CRITERIOS!$M$25:$M$42))),0),
                    ROUNDUP([1]CRITERIOS!$M$16/(IF(COUNTIF([1]CRITERIOS!$BG$11:$BG$201,$L573)&gt;=1,_xlfn.XLOOKUP($C573,[1]CRITERIOS!$K$25:$K$42,[1]CRITERIOS!$M$25:$M$42),_xlfn.XLOOKUP($C573,[1]CRITERIOS!$K$25:$K$42,[1]CRITERIOS!$M$25:$M$42))),0),
                    (E573+V573-SUMIF('[1]DATOS PBI Artículos'!A:A,A573,'[1]DATOS PBI Artículos'!X:X)-_xlfn.XLOOKUP(A573,'[1]DATOS PBI Artículos'!A:A,'[1]DATOS PBI Artículos'!W:W))/IF($O573="",$N573,$O573))),0))))</f>
        <v>#N/A</v>
      </c>
      <c r="R573" s="33" t="e">
        <f>IF(U573&lt;&gt;"",U573,IF(F573="DV","MTO",IF(N573=0,"MTO",_xlfn.XLOOKUP(CONCATENATE(S573,T573),[1]CRITERIOS!$K$160:$K$168,[1]CRITERIOS!$N$160:$N$168))))</f>
        <v>#N/A</v>
      </c>
      <c r="S573" s="33" t="e">
        <f>IF(G573="DV","MTO",IF(N573=0,"MTO",IF(OR(AND(N573=0,O573=""),IF(O573="",G573/N573,G573/O573)&gt;[1]CRITERIOS!$G$163),"MTO",IF(IF(O573="",G573/N573,G573/O573)&lt;[1]CRITERIOS!$H$161,"MTS","MTOS"))))</f>
        <v>#N/A</v>
      </c>
      <c r="T573" s="33" t="e">
        <f>IF(F573="DV","MTO",IF(OR(AND($N573=0,O573=""),$F573/$J573&gt;[1]CRITERIOS!$G$170,$F573="DV"),"MTO",IF($F573/$J573&lt;[1]CRITERIOS!$H$168,"MTS","MTOS")))</f>
        <v>#N/A</v>
      </c>
      <c r="V573" s="34" t="e">
        <f t="shared" si="28"/>
        <v>#N/A</v>
      </c>
      <c r="X573" s="34" t="e">
        <f t="shared" si="26"/>
        <v>#N/A</v>
      </c>
      <c r="Y573" s="34" t="e">
        <f t="shared" si="27"/>
        <v>#N/A</v>
      </c>
      <c r="Z573" s="34" t="e">
        <f>IF($R573="MTO",
0,
($H573+$K573*($E573/[1]CRITERIOS!$M$16))/[1]CRITERIOS!$X$48)</f>
        <v>#N/A</v>
      </c>
      <c r="AA573" s="34" t="e">
        <f>ROUNDUP(($Y573/_xlfn.XLOOKUP($A573,'[1]DATOS PBI Artículos'!$A$4:$A$4,'[1]DATOS PBI Artículos'!$Z$4:$Z$4))/_xlfn.XLOOKUP(_xlfn.XLOOKUP($A573,'[1]DATOS PBI Artículos'!$A$4:$A$4,'[1]DATOS PBI Artículos'!$Y$4:$Y$4),[1]CRITERIOS!$P$79:$P$123,[1]CRITERIOS!$S$79:$S$123,),0)</f>
        <v>#N/A</v>
      </c>
      <c r="AB573" s="33" t="e">
        <f t="array" ref="AB573">IF((E573+V573-_xlfn.XLOOKUP(A573,'[1]DATOS PBI Artículos'!$A$4:$A$4,'[1]DATOS PBI Artículos'!$W$4:$W$4))/N573&gt;ROUNDUP([1]CRITERIOS!$M$16/(IF(COUNTIF([1]CRITERIOS!$BG$11:$BG$201,L573)&gt;=1,_xlfn.XLOOKUP(ARTÍCULOS!L573,[1]CRITERIOS!$BG$11:$BG$201,[1]CRITERIOS!$BJ$11:$BJ$201),_xlfn.XLOOKUP(ARTÍCULOS!C573,[1]CRITERIOS!$K$25:$K$42,[1]CRITERIOS!$M$25:$M$42))),0),ROUNDUP([1]CRITERIOS!$M$16/(IF(COUNTIF([1]CRITERIOS!$BG$11:$BG$201,L573)&gt;=1,_xlfn.XLOOKUP(ARTÍCULOS!L573,[1]CRITERIOS!$BG$11:$BG$201:#REF!,[1]CRITERIOS!$BJ$11:$BJ$201),_xlfn.XLOOKUP(ARTÍCULOS!C573,[1]CRITERIOS!$K$25:$K$42,[1]CRITERIOS!$M$25:$M$42))),0),(E573+V573-_xlfn.XLOOKUP(A573,'[1]DATOS PBI Artículos'!$A$4:$A$4,'[1]DATOS PBI Artículos'!$W$4:$W$4))/N573)</f>
        <v>#N/A</v>
      </c>
      <c r="AC573" s="33" t="e">
        <f>IF(N573=0,"",(ROUNDUP((N573/2)/(_xlfn.XLOOKUP(A573,'[1]DATOS PBI Artículos'!$A$4:$A$4,'[1]DATOS PBI Artículos'!$Z$4:$Z$4)*_xlfn.XLOOKUP(_xlfn.XLOOKUP(A573,'[1]DATOS PBI Artículos'!$A$4:$A$4,'[1]DATOS PBI Artículos'!$Y$4:$Y$4),[1]CRITERIOS!$P$79:$P$123,[1]CRITERIOS!$S$79:$S$123)),0)*[1]CRITERIOS!$M$80*([1]CRITERIOS!$M$110/[1]CRITERIOS!$M$86)+(_xlfn.XLOOKUP(A573,'[1]DATOS PBI Artículos'!$A$4:$A$4,'[1]DATOS PBI Artículos'!$AA$4:$AA$4)*([1]CRITERIOS!$M$95+[1]CRITERIOS!$M$98)))/N573)</f>
        <v>#N/A</v>
      </c>
      <c r="AD573" s="33" t="e">
        <f>IF(N573=0,"",(ROUNDUP((N573/2)/(_xlfn.XLOOKUP(A573,'[1]DATOS PBI Artículos'!$A$4:$A$4,'[1]DATOS PBI Artículos'!$Z$4:$Z$4)*_xlfn.XLOOKUP(_xlfn.XLOOKUP(A573,'[1]DATOS PBI Artículos'!$A$4:$A$4,'[1]DATOS PBI Artículos'!$Y$4:$Y$4),[1]CRITERIOS!$P$79:$P$123,[1]CRITERIOS!$S$79:$S$123)),0)*[1]CRITERIOS!$M$80*([1]CRITERIOS!$M$89*[1]CRITERIOS!$M$92)+((_xlfn.XLOOKUP(A573,'[1]DATOS PBI Artículos'!$A$4:$A$4,'[1]DATOS PBI Artículos'!$AA$4:$AA$4)/2)*([1]CRITERIOS!$M$95+[1]CRITERIOS!$M$98)))/N573)</f>
        <v>#N/A</v>
      </c>
      <c r="AE573" s="39" t="e">
        <f>IF($R573="MTO","",
IF($H573=0,ROUNDUP(((_xlfn.XLOOKUP($A573,'[1]DATOS PBI Artículos'!$A:$A,'[1]DATOS PBI Artículos'!$AL:$AL))/(_xlfn.XLOOKUP($AF$1,[1]CRITERIOS!$S$16:$S$39,[1]CRITERIOS!$Y$16:$Y$39))*$J573+$Z573)/$G573,0)*$G573,
((_xlfn.XLOOKUP($A573,'[1]DATOS PBI Artículos'!$A:$A,'[1]DATOS PBI Artículos'!$AL:$AL))/(_xlfn.XLOOKUP($AF$1,[1]CRITERIOS!$S$16:$S$39,[1]CRITERIOS!$Y$16:$Y$39))*$J573+$Z573)))</f>
        <v>#N/A</v>
      </c>
      <c r="AG573" s="39" t="e">
        <f>IF($R573="MTO","",
IF($H573=0,ROUNDUP(((_xlfn.XLOOKUP($A573,'[1]DATOS PBI Artículos'!$A:$A,'[1]DATOS PBI Artículos'!$AM:$AM))/(_xlfn.XLOOKUP($AH$1,[1]CRITERIOS!$S$16:$S$39,[1]CRITERIOS!$Y$16:$Y$39))*$J573+$Z573)/$G573,0)*$G573,
((_xlfn.XLOOKUP($A573,'[1]DATOS PBI Artículos'!$A:$A,'[1]DATOS PBI Artículos'!$AM:$AM))/(_xlfn.XLOOKUP($AH$1,[1]CRITERIOS!$S$16:$S$39,[1]CRITERIOS!$Y$16:$Y$39))*$J573+$Z573)))</f>
        <v>#N/A</v>
      </c>
      <c r="AI573" s="39" t="e">
        <f>IF($R573="MTO","",
IF($H573=0,ROUNDUP(((_xlfn.XLOOKUP($A573,'[1]DATOS PBI Artículos'!$A:$A,'[1]DATOS PBI Artículos'!$AN:$AN))/(_xlfn.XLOOKUP($AJ$1,[1]CRITERIOS!$S$16:$S$39,[1]CRITERIOS!$Y$16:$Y$39))*$J573+$Z573)/$G573,0)*$G573,
((_xlfn.XLOOKUP($A573,'[1]DATOS PBI Artículos'!$A:$A,'[1]DATOS PBI Artículos'!$AN:$AN))/(_xlfn.XLOOKUP($AJ$1,[1]CRITERIOS!$S$16:$S$39,[1]CRITERIOS!$Y$16:$Y$39))*$J573+$Z573)))</f>
        <v>#N/A</v>
      </c>
      <c r="AK573" s="39" t="e">
        <f>IF($R573="MTO","",
IF($H573=0,ROUNDUP(((_xlfn.XLOOKUP($A573,'[1]DATOS PBI Artículos'!$A:$A,'[1]DATOS PBI Artículos'!$AO:$AO))/(_xlfn.XLOOKUP($AL$1,[1]CRITERIOS!$S$16:$S$39,[1]CRITERIOS!$Y$16:$Y$39))*$J573+$Z573)/$G573,0)*$G573,
((_xlfn.XLOOKUP($A573,'[1]DATOS PBI Artículos'!$A:$A,'[1]DATOS PBI Artículos'!$AO:$AO))/(_xlfn.XLOOKUP($AL$1,[1]CRITERIOS!$S$16:$S$39,[1]CRITERIOS!$Y$16:$Y$39))*$J573+$Z573)))</f>
        <v>#N/A</v>
      </c>
    </row>
    <row r="574" spans="1:37" ht="25.8" hidden="1" x14ac:dyDescent="0.4">
      <c r="A574" s="41"/>
      <c r="B574" s="33">
        <f>_xlfn.XLOOKUP($A574,'[1]DATOS PBI Artículos'!A:A,'[1]DATOS PBI Artículos'!B:B)</f>
        <v>0</v>
      </c>
      <c r="C574" s="33">
        <f>_xlfn.XLOOKUP($A574,'[1]DATOS PBI Artículos'!A:A,'[1]DATOS PBI Artículos'!C:C)</f>
        <v>0</v>
      </c>
      <c r="D574" s="33">
        <f>_xlfn.XLOOKUP(A574,'[1]DATOS PBI Artículos'!A:A,'[1]DATOS PBI Artículos'!T:T)</f>
        <v>0</v>
      </c>
      <c r="E574" s="34">
        <f>IF(_xlfn.XLOOKUP($A574,'[1]DATOS PBI Artículos'!A:A,'[1]DATOS PBI Artículos'!AK:AK)="",_xlfn.XLOOKUP($A574,'[1]DATOS PBI Artículos'!A:A,'[1]DATOS PBI Artículos'!AJ:AJ),_xlfn.XLOOKUP($A574,'[1]DATOS PBI Artículos'!A:A,'[1]DATOS PBI Artículos'!AK:AK))</f>
        <v>0</v>
      </c>
      <c r="F574" s="35">
        <f>_xlfn.XLOOKUP($A574,'[1]DATOS PBI Artículos'!A:A,'[1]DATOS PBI Artículos'!AP:AP)</f>
        <v>0</v>
      </c>
      <c r="G574" s="34">
        <f>_xlfn.XLOOKUP($A574,'[1]DATOS PBI Artículos'!A:A,'[1]DATOS PBI Artículos'!AR:AR)</f>
        <v>0</v>
      </c>
      <c r="H574" s="34">
        <f>_xlfn.XLOOKUP($A574,'[1]DATOS PBI Artículos'!A:A,'[1]DATOS PBI Artículos'!AT:AT)</f>
        <v>0</v>
      </c>
      <c r="I574" s="34">
        <f>_xlfn.XLOOKUP($A574,'[1]DATOS PBI Artículos'!A:A,'[1]DATOS PBI Artículos'!AS:AS)</f>
        <v>0</v>
      </c>
      <c r="J574" s="35">
        <f>IF(COUNTIF([1]CRITERIOS!$F$179:$F$199,$A574)&gt;=1,
 IF(O574&lt;&gt;"",
    (O574/_xlfn.XLOOKUP(CONCATENATE(A574,L574),[1]MÁQUINAS!A:A,[1]MÁQUINAS!D:D))/24,
    (N574/_xlfn.XLOOKUP(CONCATENATE(A574,L574),[1]MÁQUINAS!A:A,[1]MÁQUINAS!D:D))/24),
  _xlfn.XLOOKUP($A574,'[1]DATOS PBI Artículos'!A:A,'[1]DATOS PBI Artículos'!AU:AU))</f>
        <v>0</v>
      </c>
      <c r="K574" s="36">
        <f>_xlfn.XLOOKUP($A574,'[1]DATOS PBI Artículos'!A:A,'[1]DATOS PBI Artículos'!AV:AV)</f>
        <v>0</v>
      </c>
      <c r="L574" s="33">
        <f>_xlfn.XLOOKUP(A574,[1]MÁQUINAS!B:B,[1]MÁQUINAS!C:C)</f>
        <v>0</v>
      </c>
      <c r="M574" s="34">
        <f t="array" ref="M574">_xlfn.XLOOKUP(A574,'[1]DATOS PBI Artículos'!A:A,'[1]DATOS PBI Artículos'!AX:$AX)</f>
        <v>0</v>
      </c>
      <c r="N574" s="37" t="e">
        <f>IF(I574="DV",
E574,
IF(COUNTIF([1]CRITERIOS!$I$179:$I$199,$A574)&gt;=1,
_xlfn.XLOOKUP($A574,[1]CRITERIOS!$I$179:$I$199,[1]CRITERIOS!$J$179:$J$199),
IF(COUNTIF([1]CRITERIOS!$L$179:$L$199,$A574)&gt;=1,
_xlfn.CEILING.MATH(IF($M574&gt;$E574,
$E574,
IF($M574&lt;$E574/ROUNDDOWN([1]CRITERIOS!$M$16/_xlfn.XLOOKUP($C574,[1]CRITERIOS!$K$25:$K$42,[1]CRITERIOS!$M$25:$M$42),
1),
E574/ROUNDDOWN([1]CRITERIOS!$M$16/_xlfn.XLOOKUP($C574,[1]CRITERIOS!$K$25:$K$42,[1]CRITERIOS!$M$25:$M$42),
1),
$M574)),
_xlfn.XLOOKUP($A574,[1]CRITERIOS!$L$179:$L$200,[1]CRITERIOS!$M$179:$M$200)),
_xlfn.CEILING.MATH(IF($M574&gt;$E574,
$E574,
IF($M574&lt;$E574/ROUNDDOWN([1]CRITERIOS!$M$16/_xlfn.XLOOKUP($C574,[1]CRITERIOS!$K$25:$K$42,[1]CRITERIOS!$M$25:$M$42),
1),
E574/ROUNDDOWN([1]CRITERIOS!$M$16/_xlfn.XLOOKUP($C574,[1]CRITERIOS!$K$25:$K$42,[1]CRITERIOS!$M$25:$M$42),
1),
$M574)),_xlfn.XLOOKUP(A574,'[1]DATOS PBI Artículos'!A:A,'[1]DATOS PBI Artículos'!Z:Z
)))))</f>
        <v>#N/A</v>
      </c>
      <c r="Q574" s="38" t="e">
        <f>IF(AND(O574="",N574=0),
0,
   IF(COUNTIF([1]CRITERIOS!$F$179:$F$199,$A574)&gt;=1,
   1,
   IF(R574="MTO",
      $D574,
      ROUNDUP(
                    IF(($E574-SUMIF('[1]DATOS PBI Artículos'!A:A,A574,'[1]DATOS PBI Artículos'!X:X)+($V574-_xlfn.XLOOKUP(A574,'[1]DATOS PBI Artículos'!A:A,'[1]DATOS PBI Artículos'!W:W)))&lt;0,
                    0,
                    IF(($E574-SUMIF('[1]DATOS PBI Artículos'!A:A,A574,'[1]DATOS PBI Artículos'!X:X)+$V574-_xlfn.XLOOKUP($A574,'[1]DATOS PBI Artículos'!A:A,'[1]DATOS PBI Artículos'!W:W))/IF($O574="",$N574,$O574)&gt;ROUNDUP([1]CRITERIOS!$M$16/(IF(COUNTIF([1]CRITERIOS!$BG$11:$BG$201,L574)&gt;=1,_xlfn.XLOOKUP($C574,[1]CRITERIOS!$K$25:$K$42,[1]CRITERIOS!$M$25:$M$42),_xlfn.XLOOKUP($C574,[1]CRITERIOS!$K$25:$K$42,[1]CRITERIOS!$M$25:$M$42))),0),
                    ROUNDUP([1]CRITERIOS!$M$16/(IF(COUNTIF([1]CRITERIOS!$BG$11:$BG$201,$L574)&gt;=1,_xlfn.XLOOKUP($C574,[1]CRITERIOS!$K$25:$K$42,[1]CRITERIOS!$M$25:$M$42),_xlfn.XLOOKUP($C574,[1]CRITERIOS!$K$25:$K$42,[1]CRITERIOS!$M$25:$M$42))),0),
                    (E574+V574-SUMIF('[1]DATOS PBI Artículos'!A:A,A574,'[1]DATOS PBI Artículos'!X:X)-_xlfn.XLOOKUP(A574,'[1]DATOS PBI Artículos'!A:A,'[1]DATOS PBI Artículos'!W:W))/IF($O574="",$N574,$O574))),0))))</f>
        <v>#N/A</v>
      </c>
      <c r="R574" s="33" t="e">
        <f>IF(U574&lt;&gt;"",U574,IF(F574="DV","MTO",IF(N574=0,"MTO",_xlfn.XLOOKUP(CONCATENATE(S574,T574),[1]CRITERIOS!$K$160:$K$168,[1]CRITERIOS!$N$160:$N$168))))</f>
        <v>#N/A</v>
      </c>
      <c r="S574" s="33" t="e">
        <f>IF(G574="DV","MTO",IF(N574=0,"MTO",IF(OR(AND(N574=0,O574=""),IF(O574="",G574/N574,G574/O574)&gt;[1]CRITERIOS!$G$163),"MTO",IF(IF(O574="",G574/N574,G574/O574)&lt;[1]CRITERIOS!$H$161,"MTS","MTOS"))))</f>
        <v>#N/A</v>
      </c>
      <c r="T574" s="33" t="e">
        <f>IF(F574="DV","MTO",IF(OR(AND($N574=0,O574=""),$F574/$J574&gt;[1]CRITERIOS!$G$170,$F574="DV"),"MTO",IF($F574/$J574&lt;[1]CRITERIOS!$H$168,"MTS","MTOS")))</f>
        <v>#N/A</v>
      </c>
      <c r="V574" s="34" t="e">
        <f t="shared" si="28"/>
        <v>#N/A</v>
      </c>
      <c r="X574" s="34" t="e">
        <f t="shared" si="26"/>
        <v>#N/A</v>
      </c>
      <c r="Y574" s="34" t="e">
        <f t="shared" si="27"/>
        <v>#N/A</v>
      </c>
      <c r="Z574" s="34" t="e">
        <f>IF($R574="MTO",
0,
($H574+$K574*($E574/[1]CRITERIOS!$M$16))/[1]CRITERIOS!$X$48)</f>
        <v>#N/A</v>
      </c>
      <c r="AA574" s="34" t="e">
        <f>ROUNDUP(($Y574/_xlfn.XLOOKUP($A574,'[1]DATOS PBI Artículos'!$A$4:$A$4,'[1]DATOS PBI Artículos'!$Z$4:$Z$4))/_xlfn.XLOOKUP(_xlfn.XLOOKUP($A574,'[1]DATOS PBI Artículos'!$A$4:$A$4,'[1]DATOS PBI Artículos'!$Y$4:$Y$4),[1]CRITERIOS!$P$79:$P$123,[1]CRITERIOS!$S$79:$S$123,),0)</f>
        <v>#N/A</v>
      </c>
      <c r="AB574" s="33" t="e">
        <f t="array" ref="AB574">IF((E574+V574-_xlfn.XLOOKUP(A574,'[1]DATOS PBI Artículos'!$A$4:$A$4,'[1]DATOS PBI Artículos'!$W$4:$W$4))/N574&gt;ROUNDUP([1]CRITERIOS!$M$16/(IF(COUNTIF([1]CRITERIOS!$BG$11:$BG$201,L574)&gt;=1,_xlfn.XLOOKUP(ARTÍCULOS!L574,[1]CRITERIOS!$BG$11:$BG$201,[1]CRITERIOS!$BJ$11:$BJ$201),_xlfn.XLOOKUP(ARTÍCULOS!C574,[1]CRITERIOS!$K$25:$K$42,[1]CRITERIOS!$M$25:$M$42))),0),ROUNDUP([1]CRITERIOS!$M$16/(IF(COUNTIF([1]CRITERIOS!$BG$11:$BG$201,L574)&gt;=1,_xlfn.XLOOKUP(ARTÍCULOS!L574,[1]CRITERIOS!$BG$11:$BG$201:#REF!,[1]CRITERIOS!$BJ$11:$BJ$201),_xlfn.XLOOKUP(ARTÍCULOS!C574,[1]CRITERIOS!$K$25:$K$42,[1]CRITERIOS!$M$25:$M$42))),0),(E574+V574-_xlfn.XLOOKUP(A574,'[1]DATOS PBI Artículos'!$A$4:$A$4,'[1]DATOS PBI Artículos'!$W$4:$W$4))/N574)</f>
        <v>#N/A</v>
      </c>
      <c r="AC574" s="33" t="e">
        <f>IF(N574=0,"",(ROUNDUP((N574/2)/(_xlfn.XLOOKUP(A574,'[1]DATOS PBI Artículos'!$A$4:$A$4,'[1]DATOS PBI Artículos'!$Z$4:$Z$4)*_xlfn.XLOOKUP(_xlfn.XLOOKUP(A574,'[1]DATOS PBI Artículos'!$A$4:$A$4,'[1]DATOS PBI Artículos'!$Y$4:$Y$4),[1]CRITERIOS!$P$79:$P$123,[1]CRITERIOS!$S$79:$S$123)),0)*[1]CRITERIOS!$M$80*([1]CRITERIOS!$M$110/[1]CRITERIOS!$M$86)+(_xlfn.XLOOKUP(A574,'[1]DATOS PBI Artículos'!$A$4:$A$4,'[1]DATOS PBI Artículos'!$AA$4:$AA$4)*([1]CRITERIOS!$M$95+[1]CRITERIOS!$M$98)))/N574)</f>
        <v>#N/A</v>
      </c>
      <c r="AD574" s="33" t="e">
        <f>IF(N574=0,"",(ROUNDUP((N574/2)/(_xlfn.XLOOKUP(A574,'[1]DATOS PBI Artículos'!$A$4:$A$4,'[1]DATOS PBI Artículos'!$Z$4:$Z$4)*_xlfn.XLOOKUP(_xlfn.XLOOKUP(A574,'[1]DATOS PBI Artículos'!$A$4:$A$4,'[1]DATOS PBI Artículos'!$Y$4:$Y$4),[1]CRITERIOS!$P$79:$P$123,[1]CRITERIOS!$S$79:$S$123)),0)*[1]CRITERIOS!$M$80*([1]CRITERIOS!$M$89*[1]CRITERIOS!$M$92)+((_xlfn.XLOOKUP(A574,'[1]DATOS PBI Artículos'!$A$4:$A$4,'[1]DATOS PBI Artículos'!$AA$4:$AA$4)/2)*([1]CRITERIOS!$M$95+[1]CRITERIOS!$M$98)))/N574)</f>
        <v>#N/A</v>
      </c>
      <c r="AE574" s="39" t="e">
        <f>IF($R574="MTO","",
IF($H574=0,ROUNDUP(((_xlfn.XLOOKUP($A574,'[1]DATOS PBI Artículos'!$A:$A,'[1]DATOS PBI Artículos'!$AL:$AL))/(_xlfn.XLOOKUP($AF$1,[1]CRITERIOS!$S$16:$S$39,[1]CRITERIOS!$Y$16:$Y$39))*$J574+$Z574)/$G574,0)*$G574,
((_xlfn.XLOOKUP($A574,'[1]DATOS PBI Artículos'!$A:$A,'[1]DATOS PBI Artículos'!$AL:$AL))/(_xlfn.XLOOKUP($AF$1,[1]CRITERIOS!$S$16:$S$39,[1]CRITERIOS!$Y$16:$Y$39))*$J574+$Z574)))</f>
        <v>#N/A</v>
      </c>
      <c r="AG574" s="39" t="e">
        <f>IF($R574="MTO","",
IF($H574=0,ROUNDUP(((_xlfn.XLOOKUP($A574,'[1]DATOS PBI Artículos'!$A:$A,'[1]DATOS PBI Artículos'!$AM:$AM))/(_xlfn.XLOOKUP($AH$1,[1]CRITERIOS!$S$16:$S$39,[1]CRITERIOS!$Y$16:$Y$39))*$J574+$Z574)/$G574,0)*$G574,
((_xlfn.XLOOKUP($A574,'[1]DATOS PBI Artículos'!$A:$A,'[1]DATOS PBI Artículos'!$AM:$AM))/(_xlfn.XLOOKUP($AH$1,[1]CRITERIOS!$S$16:$S$39,[1]CRITERIOS!$Y$16:$Y$39))*$J574+$Z574)))</f>
        <v>#N/A</v>
      </c>
      <c r="AI574" s="39" t="e">
        <f>IF($R574="MTO","",
IF($H574=0,ROUNDUP(((_xlfn.XLOOKUP($A574,'[1]DATOS PBI Artículos'!$A:$A,'[1]DATOS PBI Artículos'!$AN:$AN))/(_xlfn.XLOOKUP($AJ$1,[1]CRITERIOS!$S$16:$S$39,[1]CRITERIOS!$Y$16:$Y$39))*$J574+$Z574)/$G574,0)*$G574,
((_xlfn.XLOOKUP($A574,'[1]DATOS PBI Artículos'!$A:$A,'[1]DATOS PBI Artículos'!$AN:$AN))/(_xlfn.XLOOKUP($AJ$1,[1]CRITERIOS!$S$16:$S$39,[1]CRITERIOS!$Y$16:$Y$39))*$J574+$Z574)))</f>
        <v>#N/A</v>
      </c>
      <c r="AK574" s="39" t="e">
        <f>IF($R574="MTO","",
IF($H574=0,ROUNDUP(((_xlfn.XLOOKUP($A574,'[1]DATOS PBI Artículos'!$A:$A,'[1]DATOS PBI Artículos'!$AO:$AO))/(_xlfn.XLOOKUP($AL$1,[1]CRITERIOS!$S$16:$S$39,[1]CRITERIOS!$Y$16:$Y$39))*$J574+$Z574)/$G574,0)*$G574,
((_xlfn.XLOOKUP($A574,'[1]DATOS PBI Artículos'!$A:$A,'[1]DATOS PBI Artículos'!$AO:$AO))/(_xlfn.XLOOKUP($AL$1,[1]CRITERIOS!$S$16:$S$39,[1]CRITERIOS!$Y$16:$Y$39))*$J574+$Z574)))</f>
        <v>#N/A</v>
      </c>
    </row>
    <row r="575" spans="1:37" ht="25.8" hidden="1" x14ac:dyDescent="0.4">
      <c r="A575" s="41"/>
      <c r="B575" s="33">
        <f>_xlfn.XLOOKUP($A575,'[1]DATOS PBI Artículos'!A:A,'[1]DATOS PBI Artículos'!B:B)</f>
        <v>0</v>
      </c>
      <c r="C575" s="33">
        <f>_xlfn.XLOOKUP($A575,'[1]DATOS PBI Artículos'!A:A,'[1]DATOS PBI Artículos'!C:C)</f>
        <v>0</v>
      </c>
      <c r="D575" s="33">
        <f>_xlfn.XLOOKUP(A575,'[1]DATOS PBI Artículos'!A:A,'[1]DATOS PBI Artículos'!T:T)</f>
        <v>0</v>
      </c>
      <c r="E575" s="34">
        <f>IF(_xlfn.XLOOKUP($A575,'[1]DATOS PBI Artículos'!A:A,'[1]DATOS PBI Artículos'!AK:AK)="",_xlfn.XLOOKUP($A575,'[1]DATOS PBI Artículos'!A:A,'[1]DATOS PBI Artículos'!AJ:AJ),_xlfn.XLOOKUP($A575,'[1]DATOS PBI Artículos'!A:A,'[1]DATOS PBI Artículos'!AK:AK))</f>
        <v>0</v>
      </c>
      <c r="F575" s="35">
        <f>_xlfn.XLOOKUP($A575,'[1]DATOS PBI Artículos'!A:A,'[1]DATOS PBI Artículos'!AP:AP)</f>
        <v>0</v>
      </c>
      <c r="G575" s="34">
        <f>_xlfn.XLOOKUP($A575,'[1]DATOS PBI Artículos'!A:A,'[1]DATOS PBI Artículos'!AR:AR)</f>
        <v>0</v>
      </c>
      <c r="H575" s="34">
        <f>_xlfn.XLOOKUP($A575,'[1]DATOS PBI Artículos'!A:A,'[1]DATOS PBI Artículos'!AT:AT)</f>
        <v>0</v>
      </c>
      <c r="I575" s="34">
        <f>_xlfn.XLOOKUP($A575,'[1]DATOS PBI Artículos'!A:A,'[1]DATOS PBI Artículos'!AS:AS)</f>
        <v>0</v>
      </c>
      <c r="J575" s="35">
        <f>IF(COUNTIF([1]CRITERIOS!$F$179:$F$199,$A575)&gt;=1,
 IF(O575&lt;&gt;"",
    (O575/_xlfn.XLOOKUP(CONCATENATE(A575,L575),[1]MÁQUINAS!A:A,[1]MÁQUINAS!D:D))/24,
    (N575/_xlfn.XLOOKUP(CONCATENATE(A575,L575),[1]MÁQUINAS!A:A,[1]MÁQUINAS!D:D))/24),
  _xlfn.XLOOKUP($A575,'[1]DATOS PBI Artículos'!A:A,'[1]DATOS PBI Artículos'!AU:AU))</f>
        <v>0</v>
      </c>
      <c r="K575" s="36">
        <f>_xlfn.XLOOKUP($A575,'[1]DATOS PBI Artículos'!A:A,'[1]DATOS PBI Artículos'!AV:AV)</f>
        <v>0</v>
      </c>
      <c r="L575" s="33">
        <f>_xlfn.XLOOKUP(A575,[1]MÁQUINAS!B:B,[1]MÁQUINAS!C:C)</f>
        <v>0</v>
      </c>
      <c r="M575" s="34">
        <f t="array" ref="M575">_xlfn.XLOOKUP(A575,'[1]DATOS PBI Artículos'!A:A,'[1]DATOS PBI Artículos'!AX:$AX)</f>
        <v>0</v>
      </c>
      <c r="N575" s="37" t="e">
        <f>IF(I575="DV",
E575,
IF(COUNTIF([1]CRITERIOS!$I$179:$I$199,$A575)&gt;=1,
_xlfn.XLOOKUP($A575,[1]CRITERIOS!$I$179:$I$199,[1]CRITERIOS!$J$179:$J$199),
IF(COUNTIF([1]CRITERIOS!$L$179:$L$199,$A575)&gt;=1,
_xlfn.CEILING.MATH(IF($M575&gt;$E575,
$E575,
IF($M575&lt;$E575/ROUNDDOWN([1]CRITERIOS!$M$16/_xlfn.XLOOKUP($C575,[1]CRITERIOS!$K$25:$K$42,[1]CRITERIOS!$M$25:$M$42),
1),
E575/ROUNDDOWN([1]CRITERIOS!$M$16/_xlfn.XLOOKUP($C575,[1]CRITERIOS!$K$25:$K$42,[1]CRITERIOS!$M$25:$M$42),
1),
$M575)),
_xlfn.XLOOKUP($A575,[1]CRITERIOS!$L$179:$L$200,[1]CRITERIOS!$M$179:$M$200)),
_xlfn.CEILING.MATH(IF($M575&gt;$E575,
$E575,
IF($M575&lt;$E575/ROUNDDOWN([1]CRITERIOS!$M$16/_xlfn.XLOOKUP($C575,[1]CRITERIOS!$K$25:$K$42,[1]CRITERIOS!$M$25:$M$42),
1),
E575/ROUNDDOWN([1]CRITERIOS!$M$16/_xlfn.XLOOKUP($C575,[1]CRITERIOS!$K$25:$K$42,[1]CRITERIOS!$M$25:$M$42),
1),
$M575)),_xlfn.XLOOKUP(A575,'[1]DATOS PBI Artículos'!A:A,'[1]DATOS PBI Artículos'!Z:Z
)))))</f>
        <v>#N/A</v>
      </c>
      <c r="Q575" s="38" t="e">
        <f>IF(AND(O575="",N575=0),
0,
   IF(COUNTIF([1]CRITERIOS!$F$179:$F$199,$A575)&gt;=1,
   1,
   IF(R575="MTO",
      $D575,
      ROUNDUP(
                    IF(($E575-SUMIF('[1]DATOS PBI Artículos'!A:A,A575,'[1]DATOS PBI Artículos'!X:X)+($V575-_xlfn.XLOOKUP(A575,'[1]DATOS PBI Artículos'!A:A,'[1]DATOS PBI Artículos'!W:W)))&lt;0,
                    0,
                    IF(($E575-SUMIF('[1]DATOS PBI Artículos'!A:A,A575,'[1]DATOS PBI Artículos'!X:X)+$V575-_xlfn.XLOOKUP($A575,'[1]DATOS PBI Artículos'!A:A,'[1]DATOS PBI Artículos'!W:W))/IF($O575="",$N575,$O575)&gt;ROUNDUP([1]CRITERIOS!$M$16/(IF(COUNTIF([1]CRITERIOS!$BG$11:$BG$201,L575)&gt;=1,_xlfn.XLOOKUP($C575,[1]CRITERIOS!$K$25:$K$42,[1]CRITERIOS!$M$25:$M$42),_xlfn.XLOOKUP($C575,[1]CRITERIOS!$K$25:$K$42,[1]CRITERIOS!$M$25:$M$42))),0),
                    ROUNDUP([1]CRITERIOS!$M$16/(IF(COUNTIF([1]CRITERIOS!$BG$11:$BG$201,$L575)&gt;=1,_xlfn.XLOOKUP($C575,[1]CRITERIOS!$K$25:$K$42,[1]CRITERIOS!$M$25:$M$42),_xlfn.XLOOKUP($C575,[1]CRITERIOS!$K$25:$K$42,[1]CRITERIOS!$M$25:$M$42))),0),
                    (E575+V575-SUMIF('[1]DATOS PBI Artículos'!A:A,A575,'[1]DATOS PBI Artículos'!X:X)-_xlfn.XLOOKUP(A575,'[1]DATOS PBI Artículos'!A:A,'[1]DATOS PBI Artículos'!W:W))/IF($O575="",$N575,$O575))),0))))</f>
        <v>#N/A</v>
      </c>
      <c r="R575" s="33" t="e">
        <f>IF(U575&lt;&gt;"",U575,IF(F575="DV","MTO",IF(N575=0,"MTO",_xlfn.XLOOKUP(CONCATENATE(S575,T575),[1]CRITERIOS!$K$160:$K$168,[1]CRITERIOS!$N$160:$N$168))))</f>
        <v>#N/A</v>
      </c>
      <c r="S575" s="33" t="e">
        <f>IF(G575="DV","MTO",IF(N575=0,"MTO",IF(OR(AND(N575=0,O575=""),IF(O575="",G575/N575,G575/O575)&gt;[1]CRITERIOS!$G$163),"MTO",IF(IF(O575="",G575/N575,G575/O575)&lt;[1]CRITERIOS!$H$161,"MTS","MTOS"))))</f>
        <v>#N/A</v>
      </c>
      <c r="T575" s="33" t="e">
        <f>IF(F575="DV","MTO",IF(OR(AND($N575=0,O575=""),$F575/$J575&gt;[1]CRITERIOS!$G$170,$F575="DV"),"MTO",IF($F575/$J575&lt;[1]CRITERIOS!$H$168,"MTS","MTOS")))</f>
        <v>#N/A</v>
      </c>
      <c r="V575" s="34" t="e">
        <f t="shared" si="28"/>
        <v>#N/A</v>
      </c>
      <c r="X575" s="34" t="e">
        <f t="shared" si="26"/>
        <v>#N/A</v>
      </c>
      <c r="Y575" s="34" t="e">
        <f t="shared" si="27"/>
        <v>#N/A</v>
      </c>
      <c r="Z575" s="34" t="e">
        <f>IF($R575="MTO",
0,
($H575+$K575*($E575/[1]CRITERIOS!$M$16))/[1]CRITERIOS!$X$48)</f>
        <v>#N/A</v>
      </c>
      <c r="AA575" s="34" t="e">
        <f>ROUNDUP(($Y575/_xlfn.XLOOKUP($A575,'[1]DATOS PBI Artículos'!$A$4:$A$4,'[1]DATOS PBI Artículos'!$Z$4:$Z$4))/_xlfn.XLOOKUP(_xlfn.XLOOKUP($A575,'[1]DATOS PBI Artículos'!$A$4:$A$4,'[1]DATOS PBI Artículos'!$Y$4:$Y$4),[1]CRITERIOS!$P$79:$P$123,[1]CRITERIOS!$S$79:$S$123,),0)</f>
        <v>#N/A</v>
      </c>
      <c r="AB575" s="33" t="e">
        <f t="array" ref="AB575">IF((E575+V575-_xlfn.XLOOKUP(A575,'[1]DATOS PBI Artículos'!$A$4:$A$4,'[1]DATOS PBI Artículos'!$W$4:$W$4))/N575&gt;ROUNDUP([1]CRITERIOS!$M$16/(IF(COUNTIF([1]CRITERIOS!$BG$11:$BG$201,L575)&gt;=1,_xlfn.XLOOKUP(ARTÍCULOS!L575,[1]CRITERIOS!$BG$11:$BG$201,[1]CRITERIOS!$BJ$11:$BJ$201),_xlfn.XLOOKUP(ARTÍCULOS!C575,[1]CRITERIOS!$K$25:$K$42,[1]CRITERIOS!$M$25:$M$42))),0),ROUNDUP([1]CRITERIOS!$M$16/(IF(COUNTIF([1]CRITERIOS!$BG$11:$BG$201,L575)&gt;=1,_xlfn.XLOOKUP(ARTÍCULOS!L575,[1]CRITERIOS!$BG$11:$BG$201:#REF!,[1]CRITERIOS!$BJ$11:$BJ$201),_xlfn.XLOOKUP(ARTÍCULOS!C575,[1]CRITERIOS!$K$25:$K$42,[1]CRITERIOS!$M$25:$M$42))),0),(E575+V575-_xlfn.XLOOKUP(A575,'[1]DATOS PBI Artículos'!$A$4:$A$4,'[1]DATOS PBI Artículos'!$W$4:$W$4))/N575)</f>
        <v>#N/A</v>
      </c>
      <c r="AC575" s="33" t="e">
        <f>IF(N575=0,"",(ROUNDUP((N575/2)/(_xlfn.XLOOKUP(A575,'[1]DATOS PBI Artículos'!$A$4:$A$4,'[1]DATOS PBI Artículos'!$Z$4:$Z$4)*_xlfn.XLOOKUP(_xlfn.XLOOKUP(A575,'[1]DATOS PBI Artículos'!$A$4:$A$4,'[1]DATOS PBI Artículos'!$Y$4:$Y$4),[1]CRITERIOS!$P$79:$P$123,[1]CRITERIOS!$S$79:$S$123)),0)*[1]CRITERIOS!$M$80*([1]CRITERIOS!$M$110/[1]CRITERIOS!$M$86)+(_xlfn.XLOOKUP(A575,'[1]DATOS PBI Artículos'!$A$4:$A$4,'[1]DATOS PBI Artículos'!$AA$4:$AA$4)*([1]CRITERIOS!$M$95+[1]CRITERIOS!$M$98)))/N575)</f>
        <v>#N/A</v>
      </c>
      <c r="AD575" s="33" t="e">
        <f>IF(N575=0,"",(ROUNDUP((N575/2)/(_xlfn.XLOOKUP(A575,'[1]DATOS PBI Artículos'!$A$4:$A$4,'[1]DATOS PBI Artículos'!$Z$4:$Z$4)*_xlfn.XLOOKUP(_xlfn.XLOOKUP(A575,'[1]DATOS PBI Artículos'!$A$4:$A$4,'[1]DATOS PBI Artículos'!$Y$4:$Y$4),[1]CRITERIOS!$P$79:$P$123,[1]CRITERIOS!$S$79:$S$123)),0)*[1]CRITERIOS!$M$80*([1]CRITERIOS!$M$89*[1]CRITERIOS!$M$92)+((_xlfn.XLOOKUP(A575,'[1]DATOS PBI Artículos'!$A$4:$A$4,'[1]DATOS PBI Artículos'!$AA$4:$AA$4)/2)*([1]CRITERIOS!$M$95+[1]CRITERIOS!$M$98)))/N575)</f>
        <v>#N/A</v>
      </c>
      <c r="AE575" s="39" t="e">
        <f>IF($R575="MTO","",
IF($H575=0,ROUNDUP(((_xlfn.XLOOKUP($A575,'[1]DATOS PBI Artículos'!$A:$A,'[1]DATOS PBI Artículos'!$AL:$AL))/(_xlfn.XLOOKUP($AF$1,[1]CRITERIOS!$S$16:$S$39,[1]CRITERIOS!$Y$16:$Y$39))*$J575+$Z575)/$G575,0)*$G575,
((_xlfn.XLOOKUP($A575,'[1]DATOS PBI Artículos'!$A:$A,'[1]DATOS PBI Artículos'!$AL:$AL))/(_xlfn.XLOOKUP($AF$1,[1]CRITERIOS!$S$16:$S$39,[1]CRITERIOS!$Y$16:$Y$39))*$J575+$Z575)))</f>
        <v>#N/A</v>
      </c>
      <c r="AG575" s="39" t="e">
        <f>IF($R575="MTO","",
IF($H575=0,ROUNDUP(((_xlfn.XLOOKUP($A575,'[1]DATOS PBI Artículos'!$A:$A,'[1]DATOS PBI Artículos'!$AM:$AM))/(_xlfn.XLOOKUP($AH$1,[1]CRITERIOS!$S$16:$S$39,[1]CRITERIOS!$Y$16:$Y$39))*$J575+$Z575)/$G575,0)*$G575,
((_xlfn.XLOOKUP($A575,'[1]DATOS PBI Artículos'!$A:$A,'[1]DATOS PBI Artículos'!$AM:$AM))/(_xlfn.XLOOKUP($AH$1,[1]CRITERIOS!$S$16:$S$39,[1]CRITERIOS!$Y$16:$Y$39))*$J575+$Z575)))</f>
        <v>#N/A</v>
      </c>
      <c r="AI575" s="39" t="e">
        <f>IF($R575="MTO","",
IF($H575=0,ROUNDUP(((_xlfn.XLOOKUP($A575,'[1]DATOS PBI Artículos'!$A:$A,'[1]DATOS PBI Artículos'!$AN:$AN))/(_xlfn.XLOOKUP($AJ$1,[1]CRITERIOS!$S$16:$S$39,[1]CRITERIOS!$Y$16:$Y$39))*$J575+$Z575)/$G575,0)*$G575,
((_xlfn.XLOOKUP($A575,'[1]DATOS PBI Artículos'!$A:$A,'[1]DATOS PBI Artículos'!$AN:$AN))/(_xlfn.XLOOKUP($AJ$1,[1]CRITERIOS!$S$16:$S$39,[1]CRITERIOS!$Y$16:$Y$39))*$J575+$Z575)))</f>
        <v>#N/A</v>
      </c>
      <c r="AK575" s="39" t="e">
        <f>IF($R575="MTO","",
IF($H575=0,ROUNDUP(((_xlfn.XLOOKUP($A575,'[1]DATOS PBI Artículos'!$A:$A,'[1]DATOS PBI Artículos'!$AO:$AO))/(_xlfn.XLOOKUP($AL$1,[1]CRITERIOS!$S$16:$S$39,[1]CRITERIOS!$Y$16:$Y$39))*$J575+$Z575)/$G575,0)*$G575,
((_xlfn.XLOOKUP($A575,'[1]DATOS PBI Artículos'!$A:$A,'[1]DATOS PBI Artículos'!$AO:$AO))/(_xlfn.XLOOKUP($AL$1,[1]CRITERIOS!$S$16:$S$39,[1]CRITERIOS!$Y$16:$Y$39))*$J575+$Z575)))</f>
        <v>#N/A</v>
      </c>
    </row>
    <row r="576" spans="1:37" ht="25.8" hidden="1" x14ac:dyDescent="0.4">
      <c r="A576" s="41"/>
      <c r="B576" s="33">
        <f>_xlfn.XLOOKUP($A576,'[1]DATOS PBI Artículos'!A:A,'[1]DATOS PBI Artículos'!B:B)</f>
        <v>0</v>
      </c>
      <c r="C576" s="33">
        <f>_xlfn.XLOOKUP($A576,'[1]DATOS PBI Artículos'!A:A,'[1]DATOS PBI Artículos'!C:C)</f>
        <v>0</v>
      </c>
      <c r="D576" s="33">
        <f>_xlfn.XLOOKUP(A576,'[1]DATOS PBI Artículos'!A:A,'[1]DATOS PBI Artículos'!T:T)</f>
        <v>0</v>
      </c>
      <c r="E576" s="34">
        <f>IF(_xlfn.XLOOKUP($A576,'[1]DATOS PBI Artículos'!A:A,'[1]DATOS PBI Artículos'!AK:AK)="",_xlfn.XLOOKUP($A576,'[1]DATOS PBI Artículos'!A:A,'[1]DATOS PBI Artículos'!AJ:AJ),_xlfn.XLOOKUP($A576,'[1]DATOS PBI Artículos'!A:A,'[1]DATOS PBI Artículos'!AK:AK))</f>
        <v>0</v>
      </c>
      <c r="F576" s="35">
        <f>_xlfn.XLOOKUP($A576,'[1]DATOS PBI Artículos'!A:A,'[1]DATOS PBI Artículos'!AP:AP)</f>
        <v>0</v>
      </c>
      <c r="G576" s="34">
        <f>_xlfn.XLOOKUP($A576,'[1]DATOS PBI Artículos'!A:A,'[1]DATOS PBI Artículos'!AR:AR)</f>
        <v>0</v>
      </c>
      <c r="H576" s="34">
        <f>_xlfn.XLOOKUP($A576,'[1]DATOS PBI Artículos'!A:A,'[1]DATOS PBI Artículos'!AT:AT)</f>
        <v>0</v>
      </c>
      <c r="I576" s="34">
        <f>_xlfn.XLOOKUP($A576,'[1]DATOS PBI Artículos'!A:A,'[1]DATOS PBI Artículos'!AS:AS)</f>
        <v>0</v>
      </c>
      <c r="J576" s="35">
        <f>IF(COUNTIF([1]CRITERIOS!$F$179:$F$199,$A576)&gt;=1,
 IF(O576&lt;&gt;"",
    (O576/_xlfn.XLOOKUP(CONCATENATE(A576,L576),[1]MÁQUINAS!A:A,[1]MÁQUINAS!D:D))/24,
    (N576/_xlfn.XLOOKUP(CONCATENATE(A576,L576),[1]MÁQUINAS!A:A,[1]MÁQUINAS!D:D))/24),
  _xlfn.XLOOKUP($A576,'[1]DATOS PBI Artículos'!A:A,'[1]DATOS PBI Artículos'!AU:AU))</f>
        <v>0</v>
      </c>
      <c r="K576" s="36">
        <f>_xlfn.XLOOKUP($A576,'[1]DATOS PBI Artículos'!A:A,'[1]DATOS PBI Artículos'!AV:AV)</f>
        <v>0</v>
      </c>
      <c r="L576" s="33">
        <f>_xlfn.XLOOKUP(A576,[1]MÁQUINAS!B:B,[1]MÁQUINAS!C:C)</f>
        <v>0</v>
      </c>
      <c r="M576" s="34">
        <f t="array" ref="M576">_xlfn.XLOOKUP(A576,'[1]DATOS PBI Artículos'!A:A,'[1]DATOS PBI Artículos'!AX:$AX)</f>
        <v>0</v>
      </c>
      <c r="N576" s="37" t="e">
        <f>IF(I576="DV",
E576,
IF(COUNTIF([1]CRITERIOS!$I$179:$I$199,$A576)&gt;=1,
_xlfn.XLOOKUP($A576,[1]CRITERIOS!$I$179:$I$199,[1]CRITERIOS!$J$179:$J$199),
IF(COUNTIF([1]CRITERIOS!$L$179:$L$199,$A576)&gt;=1,
_xlfn.CEILING.MATH(IF($M576&gt;$E576,
$E576,
IF($M576&lt;$E576/ROUNDDOWN([1]CRITERIOS!$M$16/_xlfn.XLOOKUP($C576,[1]CRITERIOS!$K$25:$K$42,[1]CRITERIOS!$M$25:$M$42),
1),
E576/ROUNDDOWN([1]CRITERIOS!$M$16/_xlfn.XLOOKUP($C576,[1]CRITERIOS!$K$25:$K$42,[1]CRITERIOS!$M$25:$M$42),
1),
$M576)),
_xlfn.XLOOKUP($A576,[1]CRITERIOS!$L$179:$L$200,[1]CRITERIOS!$M$179:$M$200)),
_xlfn.CEILING.MATH(IF($M576&gt;$E576,
$E576,
IF($M576&lt;$E576/ROUNDDOWN([1]CRITERIOS!$M$16/_xlfn.XLOOKUP($C576,[1]CRITERIOS!$K$25:$K$42,[1]CRITERIOS!$M$25:$M$42),
1),
E576/ROUNDDOWN([1]CRITERIOS!$M$16/_xlfn.XLOOKUP($C576,[1]CRITERIOS!$K$25:$K$42,[1]CRITERIOS!$M$25:$M$42),
1),
$M576)),_xlfn.XLOOKUP(A576,'[1]DATOS PBI Artículos'!A:A,'[1]DATOS PBI Artículos'!Z:Z
)))))</f>
        <v>#N/A</v>
      </c>
      <c r="Q576" s="38" t="e">
        <f>IF(AND(O576="",N576=0),
0,
   IF(COUNTIF([1]CRITERIOS!$F$179:$F$199,$A576)&gt;=1,
   1,
   IF(R576="MTO",
      $D576,
      ROUNDUP(
                    IF(($E576-SUMIF('[1]DATOS PBI Artículos'!A:A,A576,'[1]DATOS PBI Artículos'!X:X)+($V576-_xlfn.XLOOKUP(A576,'[1]DATOS PBI Artículos'!A:A,'[1]DATOS PBI Artículos'!W:W)))&lt;0,
                    0,
                    IF(($E576-SUMIF('[1]DATOS PBI Artículos'!A:A,A576,'[1]DATOS PBI Artículos'!X:X)+$V576-_xlfn.XLOOKUP($A576,'[1]DATOS PBI Artículos'!A:A,'[1]DATOS PBI Artículos'!W:W))/IF($O576="",$N576,$O576)&gt;ROUNDUP([1]CRITERIOS!$M$16/(IF(COUNTIF([1]CRITERIOS!$BG$11:$BG$201,L576)&gt;=1,_xlfn.XLOOKUP($C576,[1]CRITERIOS!$K$25:$K$42,[1]CRITERIOS!$M$25:$M$42),_xlfn.XLOOKUP($C576,[1]CRITERIOS!$K$25:$K$42,[1]CRITERIOS!$M$25:$M$42))),0),
                    ROUNDUP([1]CRITERIOS!$M$16/(IF(COUNTIF([1]CRITERIOS!$BG$11:$BG$201,$L576)&gt;=1,_xlfn.XLOOKUP($C576,[1]CRITERIOS!$K$25:$K$42,[1]CRITERIOS!$M$25:$M$42),_xlfn.XLOOKUP($C576,[1]CRITERIOS!$K$25:$K$42,[1]CRITERIOS!$M$25:$M$42))),0),
                    (E576+V576-SUMIF('[1]DATOS PBI Artículos'!A:A,A576,'[1]DATOS PBI Artículos'!X:X)-_xlfn.XLOOKUP(A576,'[1]DATOS PBI Artículos'!A:A,'[1]DATOS PBI Artículos'!W:W))/IF($O576="",$N576,$O576))),0))))</f>
        <v>#N/A</v>
      </c>
      <c r="R576" s="33" t="e">
        <f>IF(U576&lt;&gt;"",U576,IF(F576="DV","MTO",IF(N576=0,"MTO",_xlfn.XLOOKUP(CONCATENATE(S576,T576),[1]CRITERIOS!$K$160:$K$168,[1]CRITERIOS!$N$160:$N$168))))</f>
        <v>#N/A</v>
      </c>
      <c r="S576" s="33" t="e">
        <f>IF(G576="DV","MTO",IF(N576=0,"MTO",IF(OR(AND(N576=0,O576=""),IF(O576="",G576/N576,G576/O576)&gt;[1]CRITERIOS!$G$163),"MTO",IF(IF(O576="",G576/N576,G576/O576)&lt;[1]CRITERIOS!$H$161,"MTS","MTOS"))))</f>
        <v>#N/A</v>
      </c>
      <c r="T576" s="33" t="e">
        <f>IF(F576="DV","MTO",IF(OR(AND($N576=0,O576=""),$F576/$J576&gt;[1]CRITERIOS!$G$170,$F576="DV"),"MTO",IF($F576/$J576&lt;[1]CRITERIOS!$H$168,"MTS","MTOS")))</f>
        <v>#N/A</v>
      </c>
      <c r="V576" s="34" t="e">
        <f t="shared" si="28"/>
        <v>#N/A</v>
      </c>
      <c r="X576" s="34" t="e">
        <f t="shared" si="26"/>
        <v>#N/A</v>
      </c>
      <c r="Y576" s="34" t="e">
        <f t="shared" si="27"/>
        <v>#N/A</v>
      </c>
      <c r="Z576" s="34" t="e">
        <f>IF($R576="MTO",
0,
($H576+$K576*($E576/[1]CRITERIOS!$M$16))/[1]CRITERIOS!$X$48)</f>
        <v>#N/A</v>
      </c>
      <c r="AA576" s="34" t="e">
        <f>ROUNDUP(($Y576/_xlfn.XLOOKUP($A576,'[1]DATOS PBI Artículos'!$A$4:$A$4,'[1]DATOS PBI Artículos'!$Z$4:$Z$4))/_xlfn.XLOOKUP(_xlfn.XLOOKUP($A576,'[1]DATOS PBI Artículos'!$A$4:$A$4,'[1]DATOS PBI Artículos'!$Y$4:$Y$4),[1]CRITERIOS!$P$79:$P$123,[1]CRITERIOS!$S$79:$S$123,),0)</f>
        <v>#N/A</v>
      </c>
      <c r="AB576" s="33" t="e">
        <f t="array" ref="AB576">IF((E576+V576-_xlfn.XLOOKUP(A576,'[1]DATOS PBI Artículos'!$A$4:$A$4,'[1]DATOS PBI Artículos'!$W$4:$W$4))/N576&gt;ROUNDUP([1]CRITERIOS!$M$16/(IF(COUNTIF([1]CRITERIOS!$BG$11:$BG$201,L576)&gt;=1,_xlfn.XLOOKUP(ARTÍCULOS!L576,[1]CRITERIOS!$BG$11:$BG$201,[1]CRITERIOS!$BJ$11:$BJ$201),_xlfn.XLOOKUP(ARTÍCULOS!C576,[1]CRITERIOS!$K$25:$K$42,[1]CRITERIOS!$M$25:$M$42))),0),ROUNDUP([1]CRITERIOS!$M$16/(IF(COUNTIF([1]CRITERIOS!$BG$11:$BG$201,L576)&gt;=1,_xlfn.XLOOKUP(ARTÍCULOS!L576,[1]CRITERIOS!$BG$11:$BG$201:#REF!,[1]CRITERIOS!$BJ$11:$BJ$201),_xlfn.XLOOKUP(ARTÍCULOS!C576,[1]CRITERIOS!$K$25:$K$42,[1]CRITERIOS!$M$25:$M$42))),0),(E576+V576-_xlfn.XLOOKUP(A576,'[1]DATOS PBI Artículos'!$A$4:$A$4,'[1]DATOS PBI Artículos'!$W$4:$W$4))/N576)</f>
        <v>#N/A</v>
      </c>
      <c r="AC576" s="33" t="e">
        <f>IF(N576=0,"",(ROUNDUP((N576/2)/(_xlfn.XLOOKUP(A576,'[1]DATOS PBI Artículos'!$A$4:$A$4,'[1]DATOS PBI Artículos'!$Z$4:$Z$4)*_xlfn.XLOOKUP(_xlfn.XLOOKUP(A576,'[1]DATOS PBI Artículos'!$A$4:$A$4,'[1]DATOS PBI Artículos'!$Y$4:$Y$4),[1]CRITERIOS!$P$79:$P$123,[1]CRITERIOS!$S$79:$S$123)),0)*[1]CRITERIOS!$M$80*([1]CRITERIOS!$M$110/[1]CRITERIOS!$M$86)+(_xlfn.XLOOKUP(A576,'[1]DATOS PBI Artículos'!$A$4:$A$4,'[1]DATOS PBI Artículos'!$AA$4:$AA$4)*([1]CRITERIOS!$M$95+[1]CRITERIOS!$M$98)))/N576)</f>
        <v>#N/A</v>
      </c>
      <c r="AD576" s="33" t="e">
        <f>IF(N576=0,"",(ROUNDUP((N576/2)/(_xlfn.XLOOKUP(A576,'[1]DATOS PBI Artículos'!$A$4:$A$4,'[1]DATOS PBI Artículos'!$Z$4:$Z$4)*_xlfn.XLOOKUP(_xlfn.XLOOKUP(A576,'[1]DATOS PBI Artículos'!$A$4:$A$4,'[1]DATOS PBI Artículos'!$Y$4:$Y$4),[1]CRITERIOS!$P$79:$P$123,[1]CRITERIOS!$S$79:$S$123)),0)*[1]CRITERIOS!$M$80*([1]CRITERIOS!$M$89*[1]CRITERIOS!$M$92)+((_xlfn.XLOOKUP(A576,'[1]DATOS PBI Artículos'!$A$4:$A$4,'[1]DATOS PBI Artículos'!$AA$4:$AA$4)/2)*([1]CRITERIOS!$M$95+[1]CRITERIOS!$M$98)))/N576)</f>
        <v>#N/A</v>
      </c>
      <c r="AE576" s="39" t="e">
        <f>IF($R576="MTO","",
IF($H576=0,ROUNDUP(((_xlfn.XLOOKUP($A576,'[1]DATOS PBI Artículos'!$A:$A,'[1]DATOS PBI Artículos'!$AL:$AL))/(_xlfn.XLOOKUP($AF$1,[1]CRITERIOS!$S$16:$S$39,[1]CRITERIOS!$Y$16:$Y$39))*$J576+$Z576)/$G576,0)*$G576,
((_xlfn.XLOOKUP($A576,'[1]DATOS PBI Artículos'!$A:$A,'[1]DATOS PBI Artículos'!$AL:$AL))/(_xlfn.XLOOKUP($AF$1,[1]CRITERIOS!$S$16:$S$39,[1]CRITERIOS!$Y$16:$Y$39))*$J576+$Z576)))</f>
        <v>#N/A</v>
      </c>
      <c r="AG576" s="39" t="e">
        <f>IF($R576="MTO","",
IF($H576=0,ROUNDUP(((_xlfn.XLOOKUP($A576,'[1]DATOS PBI Artículos'!$A:$A,'[1]DATOS PBI Artículos'!$AM:$AM))/(_xlfn.XLOOKUP($AH$1,[1]CRITERIOS!$S$16:$S$39,[1]CRITERIOS!$Y$16:$Y$39))*$J576+$Z576)/$G576,0)*$G576,
((_xlfn.XLOOKUP($A576,'[1]DATOS PBI Artículos'!$A:$A,'[1]DATOS PBI Artículos'!$AM:$AM))/(_xlfn.XLOOKUP($AH$1,[1]CRITERIOS!$S$16:$S$39,[1]CRITERIOS!$Y$16:$Y$39))*$J576+$Z576)))</f>
        <v>#N/A</v>
      </c>
      <c r="AI576" s="39" t="e">
        <f>IF($R576="MTO","",
IF($H576=0,ROUNDUP(((_xlfn.XLOOKUP($A576,'[1]DATOS PBI Artículos'!$A:$A,'[1]DATOS PBI Artículos'!$AN:$AN))/(_xlfn.XLOOKUP($AJ$1,[1]CRITERIOS!$S$16:$S$39,[1]CRITERIOS!$Y$16:$Y$39))*$J576+$Z576)/$G576,0)*$G576,
((_xlfn.XLOOKUP($A576,'[1]DATOS PBI Artículos'!$A:$A,'[1]DATOS PBI Artículos'!$AN:$AN))/(_xlfn.XLOOKUP($AJ$1,[1]CRITERIOS!$S$16:$S$39,[1]CRITERIOS!$Y$16:$Y$39))*$J576+$Z576)))</f>
        <v>#N/A</v>
      </c>
      <c r="AK576" s="39" t="e">
        <f>IF($R576="MTO","",
IF($H576=0,ROUNDUP(((_xlfn.XLOOKUP($A576,'[1]DATOS PBI Artículos'!$A:$A,'[1]DATOS PBI Artículos'!$AO:$AO))/(_xlfn.XLOOKUP($AL$1,[1]CRITERIOS!$S$16:$S$39,[1]CRITERIOS!$Y$16:$Y$39))*$J576+$Z576)/$G576,0)*$G576,
((_xlfn.XLOOKUP($A576,'[1]DATOS PBI Artículos'!$A:$A,'[1]DATOS PBI Artículos'!$AO:$AO))/(_xlfn.XLOOKUP($AL$1,[1]CRITERIOS!$S$16:$S$39,[1]CRITERIOS!$Y$16:$Y$39))*$J576+$Z576)))</f>
        <v>#N/A</v>
      </c>
    </row>
    <row r="577" spans="1:37" ht="25.8" hidden="1" x14ac:dyDescent="0.4">
      <c r="A577" s="41"/>
      <c r="B577" s="33">
        <f>_xlfn.XLOOKUP($A577,'[1]DATOS PBI Artículos'!A:A,'[1]DATOS PBI Artículos'!B:B)</f>
        <v>0</v>
      </c>
      <c r="C577" s="33">
        <f>_xlfn.XLOOKUP($A577,'[1]DATOS PBI Artículos'!A:A,'[1]DATOS PBI Artículos'!C:C)</f>
        <v>0</v>
      </c>
      <c r="D577" s="33">
        <f>_xlfn.XLOOKUP(A577,'[1]DATOS PBI Artículos'!A:A,'[1]DATOS PBI Artículos'!T:T)</f>
        <v>0</v>
      </c>
      <c r="E577" s="34">
        <f>IF(_xlfn.XLOOKUP($A577,'[1]DATOS PBI Artículos'!A:A,'[1]DATOS PBI Artículos'!AK:AK)="",_xlfn.XLOOKUP($A577,'[1]DATOS PBI Artículos'!A:A,'[1]DATOS PBI Artículos'!AJ:AJ),_xlfn.XLOOKUP($A577,'[1]DATOS PBI Artículos'!A:A,'[1]DATOS PBI Artículos'!AK:AK))</f>
        <v>0</v>
      </c>
      <c r="F577" s="35">
        <f>_xlfn.XLOOKUP($A577,'[1]DATOS PBI Artículos'!A:A,'[1]DATOS PBI Artículos'!AP:AP)</f>
        <v>0</v>
      </c>
      <c r="G577" s="34">
        <f>_xlfn.XLOOKUP($A577,'[1]DATOS PBI Artículos'!A:A,'[1]DATOS PBI Artículos'!AR:AR)</f>
        <v>0</v>
      </c>
      <c r="H577" s="34">
        <f>_xlfn.XLOOKUP($A577,'[1]DATOS PBI Artículos'!A:A,'[1]DATOS PBI Artículos'!AT:AT)</f>
        <v>0</v>
      </c>
      <c r="I577" s="34">
        <f>_xlfn.XLOOKUP($A577,'[1]DATOS PBI Artículos'!A:A,'[1]DATOS PBI Artículos'!AS:AS)</f>
        <v>0</v>
      </c>
      <c r="J577" s="35">
        <f>IF(COUNTIF([1]CRITERIOS!$F$179:$F$199,$A577)&gt;=1,
 IF(O577&lt;&gt;"",
    (O577/_xlfn.XLOOKUP(CONCATENATE(A577,L577),[1]MÁQUINAS!A:A,[1]MÁQUINAS!D:D))/24,
    (N577/_xlfn.XLOOKUP(CONCATENATE(A577,L577),[1]MÁQUINAS!A:A,[1]MÁQUINAS!D:D))/24),
  _xlfn.XLOOKUP($A577,'[1]DATOS PBI Artículos'!A:A,'[1]DATOS PBI Artículos'!AU:AU))</f>
        <v>0</v>
      </c>
      <c r="K577" s="36">
        <f>_xlfn.XLOOKUP($A577,'[1]DATOS PBI Artículos'!A:A,'[1]DATOS PBI Artículos'!AV:AV)</f>
        <v>0</v>
      </c>
      <c r="L577" s="33">
        <f>_xlfn.XLOOKUP(A577,[1]MÁQUINAS!B:B,[1]MÁQUINAS!C:C)</f>
        <v>0</v>
      </c>
      <c r="M577" s="34">
        <f t="array" ref="M577">_xlfn.XLOOKUP(A577,'[1]DATOS PBI Artículos'!A:A,'[1]DATOS PBI Artículos'!AX:$AX)</f>
        <v>0</v>
      </c>
      <c r="N577" s="37" t="e">
        <f>IF(I577="DV",
E577,
IF(COUNTIF([1]CRITERIOS!$I$179:$I$199,$A577)&gt;=1,
_xlfn.XLOOKUP($A577,[1]CRITERIOS!$I$179:$I$199,[1]CRITERIOS!$J$179:$J$199),
IF(COUNTIF([1]CRITERIOS!$L$179:$L$199,$A577)&gt;=1,
_xlfn.CEILING.MATH(IF($M577&gt;$E577,
$E577,
IF($M577&lt;$E577/ROUNDDOWN([1]CRITERIOS!$M$16/_xlfn.XLOOKUP($C577,[1]CRITERIOS!$K$25:$K$42,[1]CRITERIOS!$M$25:$M$42),
1),
E577/ROUNDDOWN([1]CRITERIOS!$M$16/_xlfn.XLOOKUP($C577,[1]CRITERIOS!$K$25:$K$42,[1]CRITERIOS!$M$25:$M$42),
1),
$M577)),
_xlfn.XLOOKUP($A577,[1]CRITERIOS!$L$179:$L$200,[1]CRITERIOS!$M$179:$M$200)),
_xlfn.CEILING.MATH(IF($M577&gt;$E577,
$E577,
IF($M577&lt;$E577/ROUNDDOWN([1]CRITERIOS!$M$16/_xlfn.XLOOKUP($C577,[1]CRITERIOS!$K$25:$K$42,[1]CRITERIOS!$M$25:$M$42),
1),
E577/ROUNDDOWN([1]CRITERIOS!$M$16/_xlfn.XLOOKUP($C577,[1]CRITERIOS!$K$25:$K$42,[1]CRITERIOS!$M$25:$M$42),
1),
$M577)),_xlfn.XLOOKUP(A577,'[1]DATOS PBI Artículos'!A:A,'[1]DATOS PBI Artículos'!Z:Z
)))))</f>
        <v>#N/A</v>
      </c>
      <c r="Q577" s="38" t="e">
        <f>IF(AND(O577="",N577=0),
0,
   IF(COUNTIF([1]CRITERIOS!$F$179:$F$199,$A577)&gt;=1,
   1,
   IF(R577="MTO",
      $D577,
      ROUNDUP(
                    IF(($E577-SUMIF('[1]DATOS PBI Artículos'!A:A,A577,'[1]DATOS PBI Artículos'!X:X)+($V577-_xlfn.XLOOKUP(A577,'[1]DATOS PBI Artículos'!A:A,'[1]DATOS PBI Artículos'!W:W)))&lt;0,
                    0,
                    IF(($E577-SUMIF('[1]DATOS PBI Artículos'!A:A,A577,'[1]DATOS PBI Artículos'!X:X)+$V577-_xlfn.XLOOKUP($A577,'[1]DATOS PBI Artículos'!A:A,'[1]DATOS PBI Artículos'!W:W))/IF($O577="",$N577,$O577)&gt;ROUNDUP([1]CRITERIOS!$M$16/(IF(COUNTIF([1]CRITERIOS!$BG$11:$BG$201,L577)&gt;=1,_xlfn.XLOOKUP($C577,[1]CRITERIOS!$K$25:$K$42,[1]CRITERIOS!$M$25:$M$42),_xlfn.XLOOKUP($C577,[1]CRITERIOS!$K$25:$K$42,[1]CRITERIOS!$M$25:$M$42))),0),
                    ROUNDUP([1]CRITERIOS!$M$16/(IF(COUNTIF([1]CRITERIOS!$BG$11:$BG$201,$L577)&gt;=1,_xlfn.XLOOKUP($C577,[1]CRITERIOS!$K$25:$K$42,[1]CRITERIOS!$M$25:$M$42),_xlfn.XLOOKUP($C577,[1]CRITERIOS!$K$25:$K$42,[1]CRITERIOS!$M$25:$M$42))),0),
                    (E577+V577-SUMIF('[1]DATOS PBI Artículos'!A:A,A577,'[1]DATOS PBI Artículos'!X:X)-_xlfn.XLOOKUP(A577,'[1]DATOS PBI Artículos'!A:A,'[1]DATOS PBI Artículos'!W:W))/IF($O577="",$N577,$O577))),0))))</f>
        <v>#N/A</v>
      </c>
      <c r="R577" s="33" t="e">
        <f>IF(U577&lt;&gt;"",U577,IF(F577="DV","MTO",IF(N577=0,"MTO",_xlfn.XLOOKUP(CONCATENATE(S577,T577),[1]CRITERIOS!$K$160:$K$168,[1]CRITERIOS!$N$160:$N$168))))</f>
        <v>#N/A</v>
      </c>
      <c r="S577" s="33" t="e">
        <f>IF(G577="DV","MTO",IF(N577=0,"MTO",IF(OR(AND(N577=0,O577=""),IF(O577="",G577/N577,G577/O577)&gt;[1]CRITERIOS!$G$163),"MTO",IF(IF(O577="",G577/N577,G577/O577)&lt;[1]CRITERIOS!$H$161,"MTS","MTOS"))))</f>
        <v>#N/A</v>
      </c>
      <c r="T577" s="33" t="e">
        <f>IF(F577="DV","MTO",IF(OR(AND($N577=0,O577=""),$F577/$J577&gt;[1]CRITERIOS!$G$170,$F577="DV"),"MTO",IF($F577/$J577&lt;[1]CRITERIOS!$H$168,"MTS","MTOS")))</f>
        <v>#N/A</v>
      </c>
      <c r="V577" s="34" t="e">
        <f t="shared" si="28"/>
        <v>#N/A</v>
      </c>
      <c r="X577" s="34" t="e">
        <f t="shared" si="26"/>
        <v>#N/A</v>
      </c>
      <c r="Y577" s="34" t="e">
        <f t="shared" si="27"/>
        <v>#N/A</v>
      </c>
      <c r="Z577" s="34" t="e">
        <f>IF($R577="MTO",
0,
($H577+$K577*($E577/[1]CRITERIOS!$M$16))/[1]CRITERIOS!$X$48)</f>
        <v>#N/A</v>
      </c>
      <c r="AA577" s="34" t="e">
        <f>ROUNDUP(($Y577/_xlfn.XLOOKUP($A577,'[1]DATOS PBI Artículos'!$A$4:$A$4,'[1]DATOS PBI Artículos'!$Z$4:$Z$4))/_xlfn.XLOOKUP(_xlfn.XLOOKUP($A577,'[1]DATOS PBI Artículos'!$A$4:$A$4,'[1]DATOS PBI Artículos'!$Y$4:$Y$4),[1]CRITERIOS!$P$79:$P$123,[1]CRITERIOS!$S$79:$S$123,),0)</f>
        <v>#N/A</v>
      </c>
      <c r="AB577" s="33" t="e">
        <f t="array" ref="AB577">IF((E577+V577-_xlfn.XLOOKUP(A577,'[1]DATOS PBI Artículos'!$A$4:$A$4,'[1]DATOS PBI Artículos'!$W$4:$W$4))/N577&gt;ROUNDUP([1]CRITERIOS!$M$16/(IF(COUNTIF([1]CRITERIOS!$BG$11:$BG$201,L577)&gt;=1,_xlfn.XLOOKUP(ARTÍCULOS!L577,[1]CRITERIOS!$BG$11:$BG$201,[1]CRITERIOS!$BJ$11:$BJ$201),_xlfn.XLOOKUP(ARTÍCULOS!C577,[1]CRITERIOS!$K$25:$K$42,[1]CRITERIOS!$M$25:$M$42))),0),ROUNDUP([1]CRITERIOS!$M$16/(IF(COUNTIF([1]CRITERIOS!$BG$11:$BG$201,L577)&gt;=1,_xlfn.XLOOKUP(ARTÍCULOS!L577,[1]CRITERIOS!$BG$11:$BG$201:#REF!,[1]CRITERIOS!$BJ$11:$BJ$201),_xlfn.XLOOKUP(ARTÍCULOS!C577,[1]CRITERIOS!$K$25:$K$42,[1]CRITERIOS!$M$25:$M$42))),0),(E577+V577-_xlfn.XLOOKUP(A577,'[1]DATOS PBI Artículos'!$A$4:$A$4,'[1]DATOS PBI Artículos'!$W$4:$W$4))/N577)</f>
        <v>#N/A</v>
      </c>
      <c r="AC577" s="33" t="e">
        <f>IF(N577=0,"",(ROUNDUP((N577/2)/(_xlfn.XLOOKUP(A577,'[1]DATOS PBI Artículos'!$A$4:$A$4,'[1]DATOS PBI Artículos'!$Z$4:$Z$4)*_xlfn.XLOOKUP(_xlfn.XLOOKUP(A577,'[1]DATOS PBI Artículos'!$A$4:$A$4,'[1]DATOS PBI Artículos'!$Y$4:$Y$4),[1]CRITERIOS!$P$79:$P$123,[1]CRITERIOS!$S$79:$S$123)),0)*[1]CRITERIOS!$M$80*([1]CRITERIOS!$M$110/[1]CRITERIOS!$M$86)+(_xlfn.XLOOKUP(A577,'[1]DATOS PBI Artículos'!$A$4:$A$4,'[1]DATOS PBI Artículos'!$AA$4:$AA$4)*([1]CRITERIOS!$M$95+[1]CRITERIOS!$M$98)))/N577)</f>
        <v>#N/A</v>
      </c>
      <c r="AD577" s="33" t="e">
        <f>IF(N577=0,"",(ROUNDUP((N577/2)/(_xlfn.XLOOKUP(A577,'[1]DATOS PBI Artículos'!$A$4:$A$4,'[1]DATOS PBI Artículos'!$Z$4:$Z$4)*_xlfn.XLOOKUP(_xlfn.XLOOKUP(A577,'[1]DATOS PBI Artículos'!$A$4:$A$4,'[1]DATOS PBI Artículos'!$Y$4:$Y$4),[1]CRITERIOS!$P$79:$P$123,[1]CRITERIOS!$S$79:$S$123)),0)*[1]CRITERIOS!$M$80*([1]CRITERIOS!$M$89*[1]CRITERIOS!$M$92)+((_xlfn.XLOOKUP(A577,'[1]DATOS PBI Artículos'!$A$4:$A$4,'[1]DATOS PBI Artículos'!$AA$4:$AA$4)/2)*([1]CRITERIOS!$M$95+[1]CRITERIOS!$M$98)))/N577)</f>
        <v>#N/A</v>
      </c>
      <c r="AE577" s="39" t="e">
        <f>IF($R577="MTO","",
IF($H577=0,ROUNDUP(((_xlfn.XLOOKUP($A577,'[1]DATOS PBI Artículos'!$A:$A,'[1]DATOS PBI Artículos'!$AL:$AL))/(_xlfn.XLOOKUP($AF$1,[1]CRITERIOS!$S$16:$S$39,[1]CRITERIOS!$Y$16:$Y$39))*$J577+$Z577)/$G577,0)*$G577,
((_xlfn.XLOOKUP($A577,'[1]DATOS PBI Artículos'!$A:$A,'[1]DATOS PBI Artículos'!$AL:$AL))/(_xlfn.XLOOKUP($AF$1,[1]CRITERIOS!$S$16:$S$39,[1]CRITERIOS!$Y$16:$Y$39))*$J577+$Z577)))</f>
        <v>#N/A</v>
      </c>
      <c r="AG577" s="39" t="e">
        <f>IF($R577="MTO","",
IF($H577=0,ROUNDUP(((_xlfn.XLOOKUP($A577,'[1]DATOS PBI Artículos'!$A:$A,'[1]DATOS PBI Artículos'!$AM:$AM))/(_xlfn.XLOOKUP($AH$1,[1]CRITERIOS!$S$16:$S$39,[1]CRITERIOS!$Y$16:$Y$39))*$J577+$Z577)/$G577,0)*$G577,
((_xlfn.XLOOKUP($A577,'[1]DATOS PBI Artículos'!$A:$A,'[1]DATOS PBI Artículos'!$AM:$AM))/(_xlfn.XLOOKUP($AH$1,[1]CRITERIOS!$S$16:$S$39,[1]CRITERIOS!$Y$16:$Y$39))*$J577+$Z577)))</f>
        <v>#N/A</v>
      </c>
      <c r="AI577" s="39" t="e">
        <f>IF($R577="MTO","",
IF($H577=0,ROUNDUP(((_xlfn.XLOOKUP($A577,'[1]DATOS PBI Artículos'!$A:$A,'[1]DATOS PBI Artículos'!$AN:$AN))/(_xlfn.XLOOKUP($AJ$1,[1]CRITERIOS!$S$16:$S$39,[1]CRITERIOS!$Y$16:$Y$39))*$J577+$Z577)/$G577,0)*$G577,
((_xlfn.XLOOKUP($A577,'[1]DATOS PBI Artículos'!$A:$A,'[1]DATOS PBI Artículos'!$AN:$AN))/(_xlfn.XLOOKUP($AJ$1,[1]CRITERIOS!$S$16:$S$39,[1]CRITERIOS!$Y$16:$Y$39))*$J577+$Z577)))</f>
        <v>#N/A</v>
      </c>
      <c r="AK577" s="39" t="e">
        <f>IF($R577="MTO","",
IF($H577=0,ROUNDUP(((_xlfn.XLOOKUP($A577,'[1]DATOS PBI Artículos'!$A:$A,'[1]DATOS PBI Artículos'!$AO:$AO))/(_xlfn.XLOOKUP($AL$1,[1]CRITERIOS!$S$16:$S$39,[1]CRITERIOS!$Y$16:$Y$39))*$J577+$Z577)/$G577,0)*$G577,
((_xlfn.XLOOKUP($A577,'[1]DATOS PBI Artículos'!$A:$A,'[1]DATOS PBI Artículos'!$AO:$AO))/(_xlfn.XLOOKUP($AL$1,[1]CRITERIOS!$S$16:$S$39,[1]CRITERIOS!$Y$16:$Y$39))*$J577+$Z577)))</f>
        <v>#N/A</v>
      </c>
    </row>
    <row r="578" spans="1:37" ht="25.8" hidden="1" x14ac:dyDescent="0.4">
      <c r="A578" s="41"/>
      <c r="B578" s="33">
        <f>_xlfn.XLOOKUP($A578,'[1]DATOS PBI Artículos'!A:A,'[1]DATOS PBI Artículos'!B:B)</f>
        <v>0</v>
      </c>
      <c r="C578" s="33">
        <f>_xlfn.XLOOKUP($A578,'[1]DATOS PBI Artículos'!A:A,'[1]DATOS PBI Artículos'!C:C)</f>
        <v>0</v>
      </c>
      <c r="D578" s="33">
        <f>_xlfn.XLOOKUP(A578,'[1]DATOS PBI Artículos'!A:A,'[1]DATOS PBI Artículos'!T:T)</f>
        <v>0</v>
      </c>
      <c r="E578" s="34">
        <f>IF(_xlfn.XLOOKUP($A578,'[1]DATOS PBI Artículos'!A:A,'[1]DATOS PBI Artículos'!AK:AK)="",_xlfn.XLOOKUP($A578,'[1]DATOS PBI Artículos'!A:A,'[1]DATOS PBI Artículos'!AJ:AJ),_xlfn.XLOOKUP($A578,'[1]DATOS PBI Artículos'!A:A,'[1]DATOS PBI Artículos'!AK:AK))</f>
        <v>0</v>
      </c>
      <c r="F578" s="35">
        <f>_xlfn.XLOOKUP($A578,'[1]DATOS PBI Artículos'!A:A,'[1]DATOS PBI Artículos'!AP:AP)</f>
        <v>0</v>
      </c>
      <c r="G578" s="34">
        <f>_xlfn.XLOOKUP($A578,'[1]DATOS PBI Artículos'!A:A,'[1]DATOS PBI Artículos'!AR:AR)</f>
        <v>0</v>
      </c>
      <c r="H578" s="34">
        <f>_xlfn.XLOOKUP($A578,'[1]DATOS PBI Artículos'!A:A,'[1]DATOS PBI Artículos'!AT:AT)</f>
        <v>0</v>
      </c>
      <c r="I578" s="34">
        <f>_xlfn.XLOOKUP($A578,'[1]DATOS PBI Artículos'!A:A,'[1]DATOS PBI Artículos'!AS:AS)</f>
        <v>0</v>
      </c>
      <c r="J578" s="35">
        <f>IF(COUNTIF([1]CRITERIOS!$F$179:$F$199,$A578)&gt;=1,
 IF(O578&lt;&gt;"",
    (O578/_xlfn.XLOOKUP(CONCATENATE(A578,L578),[1]MÁQUINAS!A:A,[1]MÁQUINAS!D:D))/24,
    (N578/_xlfn.XLOOKUP(CONCATENATE(A578,L578),[1]MÁQUINAS!A:A,[1]MÁQUINAS!D:D))/24),
  _xlfn.XLOOKUP($A578,'[1]DATOS PBI Artículos'!A:A,'[1]DATOS PBI Artículos'!AU:AU))</f>
        <v>0</v>
      </c>
      <c r="K578" s="36">
        <f>_xlfn.XLOOKUP($A578,'[1]DATOS PBI Artículos'!A:A,'[1]DATOS PBI Artículos'!AV:AV)</f>
        <v>0</v>
      </c>
      <c r="L578" s="33">
        <f>_xlfn.XLOOKUP(A578,[1]MÁQUINAS!B:B,[1]MÁQUINAS!C:C)</f>
        <v>0</v>
      </c>
      <c r="M578" s="34">
        <f t="array" ref="M578">_xlfn.XLOOKUP(A578,'[1]DATOS PBI Artículos'!A:A,'[1]DATOS PBI Artículos'!AX:$AX)</f>
        <v>0</v>
      </c>
      <c r="N578" s="37" t="e">
        <f>IF(I578="DV",
E578,
IF(COUNTIF([1]CRITERIOS!$I$179:$I$199,$A578)&gt;=1,
_xlfn.XLOOKUP($A578,[1]CRITERIOS!$I$179:$I$199,[1]CRITERIOS!$J$179:$J$199),
IF(COUNTIF([1]CRITERIOS!$L$179:$L$199,$A578)&gt;=1,
_xlfn.CEILING.MATH(IF($M578&gt;$E578,
$E578,
IF($M578&lt;$E578/ROUNDDOWN([1]CRITERIOS!$M$16/_xlfn.XLOOKUP($C578,[1]CRITERIOS!$K$25:$K$42,[1]CRITERIOS!$M$25:$M$42),
1),
E578/ROUNDDOWN([1]CRITERIOS!$M$16/_xlfn.XLOOKUP($C578,[1]CRITERIOS!$K$25:$K$42,[1]CRITERIOS!$M$25:$M$42),
1),
$M578)),
_xlfn.XLOOKUP($A578,[1]CRITERIOS!$L$179:$L$200,[1]CRITERIOS!$M$179:$M$200)),
_xlfn.CEILING.MATH(IF($M578&gt;$E578,
$E578,
IF($M578&lt;$E578/ROUNDDOWN([1]CRITERIOS!$M$16/_xlfn.XLOOKUP($C578,[1]CRITERIOS!$K$25:$K$42,[1]CRITERIOS!$M$25:$M$42),
1),
E578/ROUNDDOWN([1]CRITERIOS!$M$16/_xlfn.XLOOKUP($C578,[1]CRITERIOS!$K$25:$K$42,[1]CRITERIOS!$M$25:$M$42),
1),
$M578)),_xlfn.XLOOKUP(A578,'[1]DATOS PBI Artículos'!A:A,'[1]DATOS PBI Artículos'!Z:Z
)))))</f>
        <v>#N/A</v>
      </c>
      <c r="Q578" s="38" t="e">
        <f>IF(AND(O578="",N578=0),
0,
   IF(COUNTIF([1]CRITERIOS!$F$179:$F$199,$A578)&gt;=1,
   1,
   IF(R578="MTO",
      $D578,
      ROUNDUP(
                    IF(($E578-SUMIF('[1]DATOS PBI Artículos'!A:A,A578,'[1]DATOS PBI Artículos'!X:X)+($V578-_xlfn.XLOOKUP(A578,'[1]DATOS PBI Artículos'!A:A,'[1]DATOS PBI Artículos'!W:W)))&lt;0,
                    0,
                    IF(($E578-SUMIF('[1]DATOS PBI Artículos'!A:A,A578,'[1]DATOS PBI Artículos'!X:X)+$V578-_xlfn.XLOOKUP($A578,'[1]DATOS PBI Artículos'!A:A,'[1]DATOS PBI Artículos'!W:W))/IF($O578="",$N578,$O578)&gt;ROUNDUP([1]CRITERIOS!$M$16/(IF(COUNTIF([1]CRITERIOS!$BG$11:$BG$201,L578)&gt;=1,_xlfn.XLOOKUP($C578,[1]CRITERIOS!$K$25:$K$42,[1]CRITERIOS!$M$25:$M$42),_xlfn.XLOOKUP($C578,[1]CRITERIOS!$K$25:$K$42,[1]CRITERIOS!$M$25:$M$42))),0),
                    ROUNDUP([1]CRITERIOS!$M$16/(IF(COUNTIF([1]CRITERIOS!$BG$11:$BG$201,$L578)&gt;=1,_xlfn.XLOOKUP($C578,[1]CRITERIOS!$K$25:$K$42,[1]CRITERIOS!$M$25:$M$42),_xlfn.XLOOKUP($C578,[1]CRITERIOS!$K$25:$K$42,[1]CRITERIOS!$M$25:$M$42))),0),
                    (E578+V578-SUMIF('[1]DATOS PBI Artículos'!A:A,A578,'[1]DATOS PBI Artículos'!X:X)-_xlfn.XLOOKUP(A578,'[1]DATOS PBI Artículos'!A:A,'[1]DATOS PBI Artículos'!W:W))/IF($O578="",$N578,$O578))),0))))</f>
        <v>#N/A</v>
      </c>
      <c r="R578" s="33" t="e">
        <f>IF(U578&lt;&gt;"",U578,IF(F578="DV","MTO",IF(N578=0,"MTO",_xlfn.XLOOKUP(CONCATENATE(S578,T578),[1]CRITERIOS!$K$160:$K$168,[1]CRITERIOS!$N$160:$N$168))))</f>
        <v>#N/A</v>
      </c>
      <c r="S578" s="33" t="e">
        <f>IF(G578="DV","MTO",IF(N578=0,"MTO",IF(OR(AND(N578=0,O578=""),IF(O578="",G578/N578,G578/O578)&gt;[1]CRITERIOS!$G$163),"MTO",IF(IF(O578="",G578/N578,G578/O578)&lt;[1]CRITERIOS!$H$161,"MTS","MTOS"))))</f>
        <v>#N/A</v>
      </c>
      <c r="T578" s="33" t="e">
        <f>IF(F578="DV","MTO",IF(OR(AND($N578=0,O578=""),$F578/$J578&gt;[1]CRITERIOS!$G$170,$F578="DV"),"MTO",IF($F578/$J578&lt;[1]CRITERIOS!$H$168,"MTS","MTOS")))</f>
        <v>#N/A</v>
      </c>
      <c r="V578" s="34" t="e">
        <f t="shared" si="28"/>
        <v>#N/A</v>
      </c>
      <c r="X578" s="34" t="e">
        <f t="shared" si="26"/>
        <v>#N/A</v>
      </c>
      <c r="Y578" s="34" t="e">
        <f t="shared" si="27"/>
        <v>#N/A</v>
      </c>
      <c r="Z578" s="34" t="e">
        <f>IF($R578="MTO",
0,
($H578+$K578*($E578/[1]CRITERIOS!$M$16))/[1]CRITERIOS!$X$48)</f>
        <v>#N/A</v>
      </c>
      <c r="AA578" s="34" t="e">
        <f>ROUNDUP(($Y578/_xlfn.XLOOKUP($A578,'[1]DATOS PBI Artículos'!$A$4:$A$4,'[1]DATOS PBI Artículos'!$Z$4:$Z$4))/_xlfn.XLOOKUP(_xlfn.XLOOKUP($A578,'[1]DATOS PBI Artículos'!$A$4:$A$4,'[1]DATOS PBI Artículos'!$Y$4:$Y$4),[1]CRITERIOS!$P$79:$P$123,[1]CRITERIOS!$S$79:$S$123,),0)</f>
        <v>#N/A</v>
      </c>
      <c r="AB578" s="33" t="e">
        <f t="array" ref="AB578">IF((E578+V578-_xlfn.XLOOKUP(A578,'[1]DATOS PBI Artículos'!$A$4:$A$4,'[1]DATOS PBI Artículos'!$W$4:$W$4))/N578&gt;ROUNDUP([1]CRITERIOS!$M$16/(IF(COUNTIF([1]CRITERIOS!$BG$11:$BG$201,L578)&gt;=1,_xlfn.XLOOKUP(ARTÍCULOS!L578,[1]CRITERIOS!$BG$11:$BG$201,[1]CRITERIOS!$BJ$11:$BJ$201),_xlfn.XLOOKUP(ARTÍCULOS!C578,[1]CRITERIOS!$K$25:$K$42,[1]CRITERIOS!$M$25:$M$42))),0),ROUNDUP([1]CRITERIOS!$M$16/(IF(COUNTIF([1]CRITERIOS!$BG$11:$BG$201,L578)&gt;=1,_xlfn.XLOOKUP(ARTÍCULOS!L578,[1]CRITERIOS!$BG$11:$BG$201:#REF!,[1]CRITERIOS!$BJ$11:$BJ$201),_xlfn.XLOOKUP(ARTÍCULOS!C578,[1]CRITERIOS!$K$25:$K$42,[1]CRITERIOS!$M$25:$M$42))),0),(E578+V578-_xlfn.XLOOKUP(A578,'[1]DATOS PBI Artículos'!$A$4:$A$4,'[1]DATOS PBI Artículos'!$W$4:$W$4))/N578)</f>
        <v>#N/A</v>
      </c>
      <c r="AC578" s="33" t="e">
        <f>IF(N578=0,"",(ROUNDUP((N578/2)/(_xlfn.XLOOKUP(A578,'[1]DATOS PBI Artículos'!$A$4:$A$4,'[1]DATOS PBI Artículos'!$Z$4:$Z$4)*_xlfn.XLOOKUP(_xlfn.XLOOKUP(A578,'[1]DATOS PBI Artículos'!$A$4:$A$4,'[1]DATOS PBI Artículos'!$Y$4:$Y$4),[1]CRITERIOS!$P$79:$P$123,[1]CRITERIOS!$S$79:$S$123)),0)*[1]CRITERIOS!$M$80*([1]CRITERIOS!$M$110/[1]CRITERIOS!$M$86)+(_xlfn.XLOOKUP(A578,'[1]DATOS PBI Artículos'!$A$4:$A$4,'[1]DATOS PBI Artículos'!$AA$4:$AA$4)*([1]CRITERIOS!$M$95+[1]CRITERIOS!$M$98)))/N578)</f>
        <v>#N/A</v>
      </c>
      <c r="AD578" s="33" t="e">
        <f>IF(N578=0,"",(ROUNDUP((N578/2)/(_xlfn.XLOOKUP(A578,'[1]DATOS PBI Artículos'!$A$4:$A$4,'[1]DATOS PBI Artículos'!$Z$4:$Z$4)*_xlfn.XLOOKUP(_xlfn.XLOOKUP(A578,'[1]DATOS PBI Artículos'!$A$4:$A$4,'[1]DATOS PBI Artículos'!$Y$4:$Y$4),[1]CRITERIOS!$P$79:$P$123,[1]CRITERIOS!$S$79:$S$123)),0)*[1]CRITERIOS!$M$80*([1]CRITERIOS!$M$89*[1]CRITERIOS!$M$92)+((_xlfn.XLOOKUP(A578,'[1]DATOS PBI Artículos'!$A$4:$A$4,'[1]DATOS PBI Artículos'!$AA$4:$AA$4)/2)*([1]CRITERIOS!$M$95+[1]CRITERIOS!$M$98)))/N578)</f>
        <v>#N/A</v>
      </c>
      <c r="AE578" s="39" t="e">
        <f>IF($R578="MTO","",
IF($H578=0,ROUNDUP(((_xlfn.XLOOKUP($A578,'[1]DATOS PBI Artículos'!$A:$A,'[1]DATOS PBI Artículos'!$AL:$AL))/(_xlfn.XLOOKUP($AF$1,[1]CRITERIOS!$S$16:$S$39,[1]CRITERIOS!$Y$16:$Y$39))*$J578+$Z578)/$G578,0)*$G578,
((_xlfn.XLOOKUP($A578,'[1]DATOS PBI Artículos'!$A:$A,'[1]DATOS PBI Artículos'!$AL:$AL))/(_xlfn.XLOOKUP($AF$1,[1]CRITERIOS!$S$16:$S$39,[1]CRITERIOS!$Y$16:$Y$39))*$J578+$Z578)))</f>
        <v>#N/A</v>
      </c>
      <c r="AG578" s="39" t="e">
        <f>IF($R578="MTO","",
IF($H578=0,ROUNDUP(((_xlfn.XLOOKUP($A578,'[1]DATOS PBI Artículos'!$A:$A,'[1]DATOS PBI Artículos'!$AM:$AM))/(_xlfn.XLOOKUP($AH$1,[1]CRITERIOS!$S$16:$S$39,[1]CRITERIOS!$Y$16:$Y$39))*$J578+$Z578)/$G578,0)*$G578,
((_xlfn.XLOOKUP($A578,'[1]DATOS PBI Artículos'!$A:$A,'[1]DATOS PBI Artículos'!$AM:$AM))/(_xlfn.XLOOKUP($AH$1,[1]CRITERIOS!$S$16:$S$39,[1]CRITERIOS!$Y$16:$Y$39))*$J578+$Z578)))</f>
        <v>#N/A</v>
      </c>
      <c r="AI578" s="39" t="e">
        <f>IF($R578="MTO","",
IF($H578=0,ROUNDUP(((_xlfn.XLOOKUP($A578,'[1]DATOS PBI Artículos'!$A:$A,'[1]DATOS PBI Artículos'!$AN:$AN))/(_xlfn.XLOOKUP($AJ$1,[1]CRITERIOS!$S$16:$S$39,[1]CRITERIOS!$Y$16:$Y$39))*$J578+$Z578)/$G578,0)*$G578,
((_xlfn.XLOOKUP($A578,'[1]DATOS PBI Artículos'!$A:$A,'[1]DATOS PBI Artículos'!$AN:$AN))/(_xlfn.XLOOKUP($AJ$1,[1]CRITERIOS!$S$16:$S$39,[1]CRITERIOS!$Y$16:$Y$39))*$J578+$Z578)))</f>
        <v>#N/A</v>
      </c>
      <c r="AK578" s="39" t="e">
        <f>IF($R578="MTO","",
IF($H578=0,ROUNDUP(((_xlfn.XLOOKUP($A578,'[1]DATOS PBI Artículos'!$A:$A,'[1]DATOS PBI Artículos'!$AO:$AO))/(_xlfn.XLOOKUP($AL$1,[1]CRITERIOS!$S$16:$S$39,[1]CRITERIOS!$Y$16:$Y$39))*$J578+$Z578)/$G578,0)*$G578,
((_xlfn.XLOOKUP($A578,'[1]DATOS PBI Artículos'!$A:$A,'[1]DATOS PBI Artículos'!$AO:$AO))/(_xlfn.XLOOKUP($AL$1,[1]CRITERIOS!$S$16:$S$39,[1]CRITERIOS!$Y$16:$Y$39))*$J578+$Z578)))</f>
        <v>#N/A</v>
      </c>
    </row>
    <row r="579" spans="1:37" ht="25.8" hidden="1" x14ac:dyDescent="0.4">
      <c r="A579" s="41"/>
      <c r="B579" s="33">
        <f>_xlfn.XLOOKUP($A579,'[1]DATOS PBI Artículos'!A:A,'[1]DATOS PBI Artículos'!B:B)</f>
        <v>0</v>
      </c>
      <c r="C579" s="33">
        <f>_xlfn.XLOOKUP($A579,'[1]DATOS PBI Artículos'!A:A,'[1]DATOS PBI Artículos'!C:C)</f>
        <v>0</v>
      </c>
      <c r="D579" s="33">
        <f>_xlfn.XLOOKUP(A579,'[1]DATOS PBI Artículos'!A:A,'[1]DATOS PBI Artículos'!T:T)</f>
        <v>0</v>
      </c>
      <c r="E579" s="34">
        <f>IF(_xlfn.XLOOKUP($A579,'[1]DATOS PBI Artículos'!A:A,'[1]DATOS PBI Artículos'!AK:AK)="",_xlfn.XLOOKUP($A579,'[1]DATOS PBI Artículos'!A:A,'[1]DATOS PBI Artículos'!AJ:AJ),_xlfn.XLOOKUP($A579,'[1]DATOS PBI Artículos'!A:A,'[1]DATOS PBI Artículos'!AK:AK))</f>
        <v>0</v>
      </c>
      <c r="F579" s="35">
        <f>_xlfn.XLOOKUP($A579,'[1]DATOS PBI Artículos'!A:A,'[1]DATOS PBI Artículos'!AP:AP)</f>
        <v>0</v>
      </c>
      <c r="G579" s="34">
        <f>_xlfn.XLOOKUP($A579,'[1]DATOS PBI Artículos'!A:A,'[1]DATOS PBI Artículos'!AR:AR)</f>
        <v>0</v>
      </c>
      <c r="H579" s="34">
        <f>_xlfn.XLOOKUP($A579,'[1]DATOS PBI Artículos'!A:A,'[1]DATOS PBI Artículos'!AT:AT)</f>
        <v>0</v>
      </c>
      <c r="I579" s="34">
        <f>_xlfn.XLOOKUP($A579,'[1]DATOS PBI Artículos'!A:A,'[1]DATOS PBI Artículos'!AS:AS)</f>
        <v>0</v>
      </c>
      <c r="J579" s="35">
        <f>IF(COUNTIF([1]CRITERIOS!$F$179:$F$199,$A579)&gt;=1,
 IF(O579&lt;&gt;"",
    (O579/_xlfn.XLOOKUP(CONCATENATE(A579,L579),[1]MÁQUINAS!A:A,[1]MÁQUINAS!D:D))/24,
    (N579/_xlfn.XLOOKUP(CONCATENATE(A579,L579),[1]MÁQUINAS!A:A,[1]MÁQUINAS!D:D))/24),
  _xlfn.XLOOKUP($A579,'[1]DATOS PBI Artículos'!A:A,'[1]DATOS PBI Artículos'!AU:AU))</f>
        <v>0</v>
      </c>
      <c r="K579" s="36">
        <f>_xlfn.XLOOKUP($A579,'[1]DATOS PBI Artículos'!A:A,'[1]DATOS PBI Artículos'!AV:AV)</f>
        <v>0</v>
      </c>
      <c r="L579" s="33">
        <f>_xlfn.XLOOKUP(A579,[1]MÁQUINAS!B:B,[1]MÁQUINAS!C:C)</f>
        <v>0</v>
      </c>
      <c r="M579" s="34">
        <f t="array" ref="M579">_xlfn.XLOOKUP(A579,'[1]DATOS PBI Artículos'!A:A,'[1]DATOS PBI Artículos'!AX:$AX)</f>
        <v>0</v>
      </c>
      <c r="N579" s="37" t="e">
        <f>IF(I579="DV",
E579,
IF(COUNTIF([1]CRITERIOS!$I$179:$I$199,$A579)&gt;=1,
_xlfn.XLOOKUP($A579,[1]CRITERIOS!$I$179:$I$199,[1]CRITERIOS!$J$179:$J$199),
IF(COUNTIF([1]CRITERIOS!$L$179:$L$199,$A579)&gt;=1,
_xlfn.CEILING.MATH(IF($M579&gt;$E579,
$E579,
IF($M579&lt;$E579/ROUNDDOWN([1]CRITERIOS!$M$16/_xlfn.XLOOKUP($C579,[1]CRITERIOS!$K$25:$K$42,[1]CRITERIOS!$M$25:$M$42),
1),
E579/ROUNDDOWN([1]CRITERIOS!$M$16/_xlfn.XLOOKUP($C579,[1]CRITERIOS!$K$25:$K$42,[1]CRITERIOS!$M$25:$M$42),
1),
$M579)),
_xlfn.XLOOKUP($A579,[1]CRITERIOS!$L$179:$L$200,[1]CRITERIOS!$M$179:$M$200)),
_xlfn.CEILING.MATH(IF($M579&gt;$E579,
$E579,
IF($M579&lt;$E579/ROUNDDOWN([1]CRITERIOS!$M$16/_xlfn.XLOOKUP($C579,[1]CRITERIOS!$K$25:$K$42,[1]CRITERIOS!$M$25:$M$42),
1),
E579/ROUNDDOWN([1]CRITERIOS!$M$16/_xlfn.XLOOKUP($C579,[1]CRITERIOS!$K$25:$K$42,[1]CRITERIOS!$M$25:$M$42),
1),
$M579)),_xlfn.XLOOKUP(A579,'[1]DATOS PBI Artículos'!A:A,'[1]DATOS PBI Artículos'!Z:Z
)))))</f>
        <v>#N/A</v>
      </c>
      <c r="Q579" s="38" t="e">
        <f>IF(AND(O579="",N579=0),
0,
   IF(COUNTIF([1]CRITERIOS!$F$179:$F$199,$A579)&gt;=1,
   1,
   IF(R579="MTO",
      $D579,
      ROUNDUP(
                    IF(($E579-SUMIF('[1]DATOS PBI Artículos'!A:A,A579,'[1]DATOS PBI Artículos'!X:X)+($V579-_xlfn.XLOOKUP(A579,'[1]DATOS PBI Artículos'!A:A,'[1]DATOS PBI Artículos'!W:W)))&lt;0,
                    0,
                    IF(($E579-SUMIF('[1]DATOS PBI Artículos'!A:A,A579,'[1]DATOS PBI Artículos'!X:X)+$V579-_xlfn.XLOOKUP($A579,'[1]DATOS PBI Artículos'!A:A,'[1]DATOS PBI Artículos'!W:W))/IF($O579="",$N579,$O579)&gt;ROUNDUP([1]CRITERIOS!$M$16/(IF(COUNTIF([1]CRITERIOS!$BG$11:$BG$201,L579)&gt;=1,_xlfn.XLOOKUP($C579,[1]CRITERIOS!$K$25:$K$42,[1]CRITERIOS!$M$25:$M$42),_xlfn.XLOOKUP($C579,[1]CRITERIOS!$K$25:$K$42,[1]CRITERIOS!$M$25:$M$42))),0),
                    ROUNDUP([1]CRITERIOS!$M$16/(IF(COUNTIF([1]CRITERIOS!$BG$11:$BG$201,$L579)&gt;=1,_xlfn.XLOOKUP($C579,[1]CRITERIOS!$K$25:$K$42,[1]CRITERIOS!$M$25:$M$42),_xlfn.XLOOKUP($C579,[1]CRITERIOS!$K$25:$K$42,[1]CRITERIOS!$M$25:$M$42))),0),
                    (E579+V579-SUMIF('[1]DATOS PBI Artículos'!A:A,A579,'[1]DATOS PBI Artículos'!X:X)-_xlfn.XLOOKUP(A579,'[1]DATOS PBI Artículos'!A:A,'[1]DATOS PBI Artículos'!W:W))/IF($O579="",$N579,$O579))),0))))</f>
        <v>#N/A</v>
      </c>
      <c r="R579" s="33" t="e">
        <f>IF(U579&lt;&gt;"",U579,IF(F579="DV","MTO",IF(N579=0,"MTO",_xlfn.XLOOKUP(CONCATENATE(S579,T579),[1]CRITERIOS!$K$160:$K$168,[1]CRITERIOS!$N$160:$N$168))))</f>
        <v>#N/A</v>
      </c>
      <c r="S579" s="33" t="e">
        <f>IF(G579="DV","MTO",IF(N579=0,"MTO",IF(OR(AND(N579=0,O579=""),IF(O579="",G579/N579,G579/O579)&gt;[1]CRITERIOS!$G$163),"MTO",IF(IF(O579="",G579/N579,G579/O579)&lt;[1]CRITERIOS!$H$161,"MTS","MTOS"))))</f>
        <v>#N/A</v>
      </c>
      <c r="T579" s="33" t="e">
        <f>IF(F579="DV","MTO",IF(OR(AND($N579=0,O579=""),$F579/$J579&gt;[1]CRITERIOS!$G$170,$F579="DV"),"MTO",IF($F579/$J579&lt;[1]CRITERIOS!$H$168,"MTS","MTOS")))</f>
        <v>#N/A</v>
      </c>
      <c r="V579" s="34" t="e">
        <f t="shared" si="28"/>
        <v>#N/A</v>
      </c>
      <c r="X579" s="34" t="e">
        <f t="shared" ref="X579:X642" si="29">IF(R579="MTO",0,V579+N579)</f>
        <v>#N/A</v>
      </c>
      <c r="Y579" s="34" t="e">
        <f t="shared" ref="Y579:Y642" si="30">IF(R579="MTO",0,Z579+(N579/2))</f>
        <v>#N/A</v>
      </c>
      <c r="Z579" s="34" t="e">
        <f>IF($R579="MTO",
0,
($H579+$K579*($E579/[1]CRITERIOS!$M$16))/[1]CRITERIOS!$X$48)</f>
        <v>#N/A</v>
      </c>
      <c r="AA579" s="34" t="e">
        <f>ROUNDUP(($Y579/_xlfn.XLOOKUP($A579,'[1]DATOS PBI Artículos'!$A$4:$A$4,'[1]DATOS PBI Artículos'!$Z$4:$Z$4))/_xlfn.XLOOKUP(_xlfn.XLOOKUP($A579,'[1]DATOS PBI Artículos'!$A$4:$A$4,'[1]DATOS PBI Artículos'!$Y$4:$Y$4),[1]CRITERIOS!$P$79:$P$123,[1]CRITERIOS!$S$79:$S$123,),0)</f>
        <v>#N/A</v>
      </c>
      <c r="AB579" s="33" t="e">
        <f t="array" ref="AB579">IF((E579+V579-_xlfn.XLOOKUP(A579,'[1]DATOS PBI Artículos'!$A$4:$A$4,'[1]DATOS PBI Artículos'!$W$4:$W$4))/N579&gt;ROUNDUP([1]CRITERIOS!$M$16/(IF(COUNTIF([1]CRITERIOS!$BG$11:$BG$201,L579)&gt;=1,_xlfn.XLOOKUP(ARTÍCULOS!L579,[1]CRITERIOS!$BG$11:$BG$201,[1]CRITERIOS!$BJ$11:$BJ$201),_xlfn.XLOOKUP(ARTÍCULOS!C579,[1]CRITERIOS!$K$25:$K$42,[1]CRITERIOS!$M$25:$M$42))),0),ROUNDUP([1]CRITERIOS!$M$16/(IF(COUNTIF([1]CRITERIOS!$BG$11:$BG$201,L579)&gt;=1,_xlfn.XLOOKUP(ARTÍCULOS!L579,[1]CRITERIOS!$BG$11:$BG$201:#REF!,[1]CRITERIOS!$BJ$11:$BJ$201),_xlfn.XLOOKUP(ARTÍCULOS!C579,[1]CRITERIOS!$K$25:$K$42,[1]CRITERIOS!$M$25:$M$42))),0),(E579+V579-_xlfn.XLOOKUP(A579,'[1]DATOS PBI Artículos'!$A$4:$A$4,'[1]DATOS PBI Artículos'!$W$4:$W$4))/N579)</f>
        <v>#N/A</v>
      </c>
      <c r="AC579" s="33" t="e">
        <f>IF(N579=0,"",(ROUNDUP((N579/2)/(_xlfn.XLOOKUP(A579,'[1]DATOS PBI Artículos'!$A$4:$A$4,'[1]DATOS PBI Artículos'!$Z$4:$Z$4)*_xlfn.XLOOKUP(_xlfn.XLOOKUP(A579,'[1]DATOS PBI Artículos'!$A$4:$A$4,'[1]DATOS PBI Artículos'!$Y$4:$Y$4),[1]CRITERIOS!$P$79:$P$123,[1]CRITERIOS!$S$79:$S$123)),0)*[1]CRITERIOS!$M$80*([1]CRITERIOS!$M$110/[1]CRITERIOS!$M$86)+(_xlfn.XLOOKUP(A579,'[1]DATOS PBI Artículos'!$A$4:$A$4,'[1]DATOS PBI Artículos'!$AA$4:$AA$4)*([1]CRITERIOS!$M$95+[1]CRITERIOS!$M$98)))/N579)</f>
        <v>#N/A</v>
      </c>
      <c r="AD579" s="33" t="e">
        <f>IF(N579=0,"",(ROUNDUP((N579/2)/(_xlfn.XLOOKUP(A579,'[1]DATOS PBI Artículos'!$A$4:$A$4,'[1]DATOS PBI Artículos'!$Z$4:$Z$4)*_xlfn.XLOOKUP(_xlfn.XLOOKUP(A579,'[1]DATOS PBI Artículos'!$A$4:$A$4,'[1]DATOS PBI Artículos'!$Y$4:$Y$4),[1]CRITERIOS!$P$79:$P$123,[1]CRITERIOS!$S$79:$S$123)),0)*[1]CRITERIOS!$M$80*([1]CRITERIOS!$M$89*[1]CRITERIOS!$M$92)+((_xlfn.XLOOKUP(A579,'[1]DATOS PBI Artículos'!$A$4:$A$4,'[1]DATOS PBI Artículos'!$AA$4:$AA$4)/2)*([1]CRITERIOS!$M$95+[1]CRITERIOS!$M$98)))/N579)</f>
        <v>#N/A</v>
      </c>
      <c r="AE579" s="39" t="e">
        <f>IF($R579="MTO","",
IF($H579=0,ROUNDUP(((_xlfn.XLOOKUP($A579,'[1]DATOS PBI Artículos'!$A:$A,'[1]DATOS PBI Artículos'!$AL:$AL))/(_xlfn.XLOOKUP($AF$1,[1]CRITERIOS!$S$16:$S$39,[1]CRITERIOS!$Y$16:$Y$39))*$J579+$Z579)/$G579,0)*$G579,
((_xlfn.XLOOKUP($A579,'[1]DATOS PBI Artículos'!$A:$A,'[1]DATOS PBI Artículos'!$AL:$AL))/(_xlfn.XLOOKUP($AF$1,[1]CRITERIOS!$S$16:$S$39,[1]CRITERIOS!$Y$16:$Y$39))*$J579+$Z579)))</f>
        <v>#N/A</v>
      </c>
      <c r="AG579" s="39" t="e">
        <f>IF($R579="MTO","",
IF($H579=0,ROUNDUP(((_xlfn.XLOOKUP($A579,'[1]DATOS PBI Artículos'!$A:$A,'[1]DATOS PBI Artículos'!$AM:$AM))/(_xlfn.XLOOKUP($AH$1,[1]CRITERIOS!$S$16:$S$39,[1]CRITERIOS!$Y$16:$Y$39))*$J579+$Z579)/$G579,0)*$G579,
((_xlfn.XLOOKUP($A579,'[1]DATOS PBI Artículos'!$A:$A,'[1]DATOS PBI Artículos'!$AM:$AM))/(_xlfn.XLOOKUP($AH$1,[1]CRITERIOS!$S$16:$S$39,[1]CRITERIOS!$Y$16:$Y$39))*$J579+$Z579)))</f>
        <v>#N/A</v>
      </c>
      <c r="AI579" s="39" t="e">
        <f>IF($R579="MTO","",
IF($H579=0,ROUNDUP(((_xlfn.XLOOKUP($A579,'[1]DATOS PBI Artículos'!$A:$A,'[1]DATOS PBI Artículos'!$AN:$AN))/(_xlfn.XLOOKUP($AJ$1,[1]CRITERIOS!$S$16:$S$39,[1]CRITERIOS!$Y$16:$Y$39))*$J579+$Z579)/$G579,0)*$G579,
((_xlfn.XLOOKUP($A579,'[1]DATOS PBI Artículos'!$A:$A,'[1]DATOS PBI Artículos'!$AN:$AN))/(_xlfn.XLOOKUP($AJ$1,[1]CRITERIOS!$S$16:$S$39,[1]CRITERIOS!$Y$16:$Y$39))*$J579+$Z579)))</f>
        <v>#N/A</v>
      </c>
      <c r="AK579" s="39" t="e">
        <f>IF($R579="MTO","",
IF($H579=0,ROUNDUP(((_xlfn.XLOOKUP($A579,'[1]DATOS PBI Artículos'!$A:$A,'[1]DATOS PBI Artículos'!$AO:$AO))/(_xlfn.XLOOKUP($AL$1,[1]CRITERIOS!$S$16:$S$39,[1]CRITERIOS!$Y$16:$Y$39))*$J579+$Z579)/$G579,0)*$G579,
((_xlfn.XLOOKUP($A579,'[1]DATOS PBI Artículos'!$A:$A,'[1]DATOS PBI Artículos'!$AO:$AO))/(_xlfn.XLOOKUP($AL$1,[1]CRITERIOS!$S$16:$S$39,[1]CRITERIOS!$Y$16:$Y$39))*$J579+$Z579)))</f>
        <v>#N/A</v>
      </c>
    </row>
    <row r="580" spans="1:37" ht="25.8" hidden="1" x14ac:dyDescent="0.4">
      <c r="A580" s="41"/>
      <c r="B580" s="33">
        <f>_xlfn.XLOOKUP($A580,'[1]DATOS PBI Artículos'!A:A,'[1]DATOS PBI Artículos'!B:B)</f>
        <v>0</v>
      </c>
      <c r="C580" s="33">
        <f>_xlfn.XLOOKUP($A580,'[1]DATOS PBI Artículos'!A:A,'[1]DATOS PBI Artículos'!C:C)</f>
        <v>0</v>
      </c>
      <c r="D580" s="33">
        <f>_xlfn.XLOOKUP(A580,'[1]DATOS PBI Artículos'!A:A,'[1]DATOS PBI Artículos'!T:T)</f>
        <v>0</v>
      </c>
      <c r="E580" s="34">
        <f>IF(_xlfn.XLOOKUP($A580,'[1]DATOS PBI Artículos'!A:A,'[1]DATOS PBI Artículos'!AK:AK)="",_xlfn.XLOOKUP($A580,'[1]DATOS PBI Artículos'!A:A,'[1]DATOS PBI Artículos'!AJ:AJ),_xlfn.XLOOKUP($A580,'[1]DATOS PBI Artículos'!A:A,'[1]DATOS PBI Artículos'!AK:AK))</f>
        <v>0</v>
      </c>
      <c r="F580" s="35">
        <f>_xlfn.XLOOKUP($A580,'[1]DATOS PBI Artículos'!A:A,'[1]DATOS PBI Artículos'!AP:AP)</f>
        <v>0</v>
      </c>
      <c r="G580" s="34">
        <f>_xlfn.XLOOKUP($A580,'[1]DATOS PBI Artículos'!A:A,'[1]DATOS PBI Artículos'!AR:AR)</f>
        <v>0</v>
      </c>
      <c r="H580" s="34">
        <f>_xlfn.XLOOKUP($A580,'[1]DATOS PBI Artículos'!A:A,'[1]DATOS PBI Artículos'!AT:AT)</f>
        <v>0</v>
      </c>
      <c r="I580" s="34">
        <f>_xlfn.XLOOKUP($A580,'[1]DATOS PBI Artículos'!A:A,'[1]DATOS PBI Artículos'!AS:AS)</f>
        <v>0</v>
      </c>
      <c r="J580" s="35">
        <f>IF(COUNTIF([1]CRITERIOS!$F$179:$F$199,$A580)&gt;=1,
 IF(O580&lt;&gt;"",
    (O580/_xlfn.XLOOKUP(CONCATENATE(A580,L580),[1]MÁQUINAS!A:A,[1]MÁQUINAS!D:D))/24,
    (N580/_xlfn.XLOOKUP(CONCATENATE(A580,L580),[1]MÁQUINAS!A:A,[1]MÁQUINAS!D:D))/24),
  _xlfn.XLOOKUP($A580,'[1]DATOS PBI Artículos'!A:A,'[1]DATOS PBI Artículos'!AU:AU))</f>
        <v>0</v>
      </c>
      <c r="K580" s="36">
        <f>_xlfn.XLOOKUP($A580,'[1]DATOS PBI Artículos'!A:A,'[1]DATOS PBI Artículos'!AV:AV)</f>
        <v>0</v>
      </c>
      <c r="L580" s="33">
        <f>_xlfn.XLOOKUP(A580,[1]MÁQUINAS!B:B,[1]MÁQUINAS!C:C)</f>
        <v>0</v>
      </c>
      <c r="M580" s="34">
        <f t="array" ref="M580">_xlfn.XLOOKUP(A580,'[1]DATOS PBI Artículos'!A:A,'[1]DATOS PBI Artículos'!AX:$AX)</f>
        <v>0</v>
      </c>
      <c r="N580" s="37" t="e">
        <f>IF(I580="DV",
E580,
IF(COUNTIF([1]CRITERIOS!$I$179:$I$199,$A580)&gt;=1,
_xlfn.XLOOKUP($A580,[1]CRITERIOS!$I$179:$I$199,[1]CRITERIOS!$J$179:$J$199),
IF(COUNTIF([1]CRITERIOS!$L$179:$L$199,$A580)&gt;=1,
_xlfn.CEILING.MATH(IF($M580&gt;$E580,
$E580,
IF($M580&lt;$E580/ROUNDDOWN([1]CRITERIOS!$M$16/_xlfn.XLOOKUP($C580,[1]CRITERIOS!$K$25:$K$42,[1]CRITERIOS!$M$25:$M$42),
1),
E580/ROUNDDOWN([1]CRITERIOS!$M$16/_xlfn.XLOOKUP($C580,[1]CRITERIOS!$K$25:$K$42,[1]CRITERIOS!$M$25:$M$42),
1),
$M580)),
_xlfn.XLOOKUP($A580,[1]CRITERIOS!$L$179:$L$200,[1]CRITERIOS!$M$179:$M$200)),
_xlfn.CEILING.MATH(IF($M580&gt;$E580,
$E580,
IF($M580&lt;$E580/ROUNDDOWN([1]CRITERIOS!$M$16/_xlfn.XLOOKUP($C580,[1]CRITERIOS!$K$25:$K$42,[1]CRITERIOS!$M$25:$M$42),
1),
E580/ROUNDDOWN([1]CRITERIOS!$M$16/_xlfn.XLOOKUP($C580,[1]CRITERIOS!$K$25:$K$42,[1]CRITERIOS!$M$25:$M$42),
1),
$M580)),_xlfn.XLOOKUP(A580,'[1]DATOS PBI Artículos'!A:A,'[1]DATOS PBI Artículos'!Z:Z
)))))</f>
        <v>#N/A</v>
      </c>
      <c r="Q580" s="38" t="e">
        <f>IF(AND(O580="",N580=0),
0,
   IF(COUNTIF([1]CRITERIOS!$F$179:$F$199,$A580)&gt;=1,
   1,
   IF(R580="MTO",
      $D580,
      ROUNDUP(
                    IF(($E580-SUMIF('[1]DATOS PBI Artículos'!A:A,A580,'[1]DATOS PBI Artículos'!X:X)+($V580-_xlfn.XLOOKUP(A580,'[1]DATOS PBI Artículos'!A:A,'[1]DATOS PBI Artículos'!W:W)))&lt;0,
                    0,
                    IF(($E580-SUMIF('[1]DATOS PBI Artículos'!A:A,A580,'[1]DATOS PBI Artículos'!X:X)+$V580-_xlfn.XLOOKUP($A580,'[1]DATOS PBI Artículos'!A:A,'[1]DATOS PBI Artículos'!W:W))/IF($O580="",$N580,$O580)&gt;ROUNDUP([1]CRITERIOS!$M$16/(IF(COUNTIF([1]CRITERIOS!$BG$11:$BG$201,L580)&gt;=1,_xlfn.XLOOKUP($C580,[1]CRITERIOS!$K$25:$K$42,[1]CRITERIOS!$M$25:$M$42),_xlfn.XLOOKUP($C580,[1]CRITERIOS!$K$25:$K$42,[1]CRITERIOS!$M$25:$M$42))),0),
                    ROUNDUP([1]CRITERIOS!$M$16/(IF(COUNTIF([1]CRITERIOS!$BG$11:$BG$201,$L580)&gt;=1,_xlfn.XLOOKUP($C580,[1]CRITERIOS!$K$25:$K$42,[1]CRITERIOS!$M$25:$M$42),_xlfn.XLOOKUP($C580,[1]CRITERIOS!$K$25:$K$42,[1]CRITERIOS!$M$25:$M$42))),0),
                    (E580+V580-SUMIF('[1]DATOS PBI Artículos'!A:A,A580,'[1]DATOS PBI Artículos'!X:X)-_xlfn.XLOOKUP(A580,'[1]DATOS PBI Artículos'!A:A,'[1]DATOS PBI Artículos'!W:W))/IF($O580="",$N580,$O580))),0))))</f>
        <v>#N/A</v>
      </c>
      <c r="R580" s="33" t="e">
        <f>IF(U580&lt;&gt;"",U580,IF(F580="DV","MTO",IF(N580=0,"MTO",_xlfn.XLOOKUP(CONCATENATE(S580,T580),[1]CRITERIOS!$K$160:$K$168,[1]CRITERIOS!$N$160:$N$168))))</f>
        <v>#N/A</v>
      </c>
      <c r="S580" s="33" t="e">
        <f>IF(G580="DV","MTO",IF(N580=0,"MTO",IF(OR(AND(N580=0,O580=""),IF(O580="",G580/N580,G580/O580)&gt;[1]CRITERIOS!$G$163),"MTO",IF(IF(O580="",G580/N580,G580/O580)&lt;[1]CRITERIOS!$H$161,"MTS","MTOS"))))</f>
        <v>#N/A</v>
      </c>
      <c r="T580" s="33" t="e">
        <f>IF(F580="DV","MTO",IF(OR(AND($N580=0,O580=""),$F580/$J580&gt;[1]CRITERIOS!$G$170,$F580="DV"),"MTO",IF($F580/$J580&lt;[1]CRITERIOS!$H$168,"MTS","MTOS")))</f>
        <v>#N/A</v>
      </c>
      <c r="V580" s="34" t="e">
        <f t="shared" si="28"/>
        <v>#N/A</v>
      </c>
      <c r="X580" s="34" t="e">
        <f t="shared" si="29"/>
        <v>#N/A</v>
      </c>
      <c r="Y580" s="34" t="e">
        <f t="shared" si="30"/>
        <v>#N/A</v>
      </c>
      <c r="Z580" s="34" t="e">
        <f>IF($R580="MTO",
0,
($H580+$K580*($E580/[1]CRITERIOS!$M$16))/[1]CRITERIOS!$X$48)</f>
        <v>#N/A</v>
      </c>
      <c r="AA580" s="34" t="e">
        <f>ROUNDUP(($Y580/_xlfn.XLOOKUP($A580,'[1]DATOS PBI Artículos'!$A$4:$A$4,'[1]DATOS PBI Artículos'!$Z$4:$Z$4))/_xlfn.XLOOKUP(_xlfn.XLOOKUP($A580,'[1]DATOS PBI Artículos'!$A$4:$A$4,'[1]DATOS PBI Artículos'!$Y$4:$Y$4),[1]CRITERIOS!$P$79:$P$123,[1]CRITERIOS!$S$79:$S$123,),0)</f>
        <v>#N/A</v>
      </c>
      <c r="AB580" s="33" t="e">
        <f t="array" ref="AB580">IF((E580+V580-_xlfn.XLOOKUP(A580,'[1]DATOS PBI Artículos'!$A$4:$A$4,'[1]DATOS PBI Artículos'!$W$4:$W$4))/N580&gt;ROUNDUP([1]CRITERIOS!$M$16/(IF(COUNTIF([1]CRITERIOS!$BG$11:$BG$201,L580)&gt;=1,_xlfn.XLOOKUP(ARTÍCULOS!L580,[1]CRITERIOS!$BG$11:$BG$201,[1]CRITERIOS!$BJ$11:$BJ$201),_xlfn.XLOOKUP(ARTÍCULOS!C580,[1]CRITERIOS!$K$25:$K$42,[1]CRITERIOS!$M$25:$M$42))),0),ROUNDUP([1]CRITERIOS!$M$16/(IF(COUNTIF([1]CRITERIOS!$BG$11:$BG$201,L580)&gt;=1,_xlfn.XLOOKUP(ARTÍCULOS!L580,[1]CRITERIOS!$BG$11:$BG$201:#REF!,[1]CRITERIOS!$BJ$11:$BJ$201),_xlfn.XLOOKUP(ARTÍCULOS!C580,[1]CRITERIOS!$K$25:$K$42,[1]CRITERIOS!$M$25:$M$42))),0),(E580+V580-_xlfn.XLOOKUP(A580,'[1]DATOS PBI Artículos'!$A$4:$A$4,'[1]DATOS PBI Artículos'!$W$4:$W$4))/N580)</f>
        <v>#N/A</v>
      </c>
      <c r="AC580" s="33" t="e">
        <f>IF(N580=0,"",(ROUNDUP((N580/2)/(_xlfn.XLOOKUP(A580,'[1]DATOS PBI Artículos'!$A$4:$A$4,'[1]DATOS PBI Artículos'!$Z$4:$Z$4)*_xlfn.XLOOKUP(_xlfn.XLOOKUP(A580,'[1]DATOS PBI Artículos'!$A$4:$A$4,'[1]DATOS PBI Artículos'!$Y$4:$Y$4),[1]CRITERIOS!$P$79:$P$123,[1]CRITERIOS!$S$79:$S$123)),0)*[1]CRITERIOS!$M$80*([1]CRITERIOS!$M$110/[1]CRITERIOS!$M$86)+(_xlfn.XLOOKUP(A580,'[1]DATOS PBI Artículos'!$A$4:$A$4,'[1]DATOS PBI Artículos'!$AA$4:$AA$4)*([1]CRITERIOS!$M$95+[1]CRITERIOS!$M$98)))/N580)</f>
        <v>#N/A</v>
      </c>
      <c r="AD580" s="33" t="e">
        <f>IF(N580=0,"",(ROUNDUP((N580/2)/(_xlfn.XLOOKUP(A580,'[1]DATOS PBI Artículos'!$A$4:$A$4,'[1]DATOS PBI Artículos'!$Z$4:$Z$4)*_xlfn.XLOOKUP(_xlfn.XLOOKUP(A580,'[1]DATOS PBI Artículos'!$A$4:$A$4,'[1]DATOS PBI Artículos'!$Y$4:$Y$4),[1]CRITERIOS!$P$79:$P$123,[1]CRITERIOS!$S$79:$S$123)),0)*[1]CRITERIOS!$M$80*([1]CRITERIOS!$M$89*[1]CRITERIOS!$M$92)+((_xlfn.XLOOKUP(A580,'[1]DATOS PBI Artículos'!$A$4:$A$4,'[1]DATOS PBI Artículos'!$AA$4:$AA$4)/2)*([1]CRITERIOS!$M$95+[1]CRITERIOS!$M$98)))/N580)</f>
        <v>#N/A</v>
      </c>
      <c r="AE580" s="39" t="e">
        <f>IF($R580="MTO","",
IF($H580=0,ROUNDUP(((_xlfn.XLOOKUP($A580,'[1]DATOS PBI Artículos'!$A:$A,'[1]DATOS PBI Artículos'!$AL:$AL))/(_xlfn.XLOOKUP($AF$1,[1]CRITERIOS!$S$16:$S$39,[1]CRITERIOS!$Y$16:$Y$39))*$J580+$Z580)/$G580,0)*$G580,
((_xlfn.XLOOKUP($A580,'[1]DATOS PBI Artículos'!$A:$A,'[1]DATOS PBI Artículos'!$AL:$AL))/(_xlfn.XLOOKUP($AF$1,[1]CRITERIOS!$S$16:$S$39,[1]CRITERIOS!$Y$16:$Y$39))*$J580+$Z580)))</f>
        <v>#N/A</v>
      </c>
      <c r="AG580" s="39" t="e">
        <f>IF($R580="MTO","",
IF($H580=0,ROUNDUP(((_xlfn.XLOOKUP($A580,'[1]DATOS PBI Artículos'!$A:$A,'[1]DATOS PBI Artículos'!$AM:$AM))/(_xlfn.XLOOKUP($AH$1,[1]CRITERIOS!$S$16:$S$39,[1]CRITERIOS!$Y$16:$Y$39))*$J580+$Z580)/$G580,0)*$G580,
((_xlfn.XLOOKUP($A580,'[1]DATOS PBI Artículos'!$A:$A,'[1]DATOS PBI Artículos'!$AM:$AM))/(_xlfn.XLOOKUP($AH$1,[1]CRITERIOS!$S$16:$S$39,[1]CRITERIOS!$Y$16:$Y$39))*$J580+$Z580)))</f>
        <v>#N/A</v>
      </c>
      <c r="AI580" s="39" t="e">
        <f>IF($R580="MTO","",
IF($H580=0,ROUNDUP(((_xlfn.XLOOKUP($A580,'[1]DATOS PBI Artículos'!$A:$A,'[1]DATOS PBI Artículos'!$AN:$AN))/(_xlfn.XLOOKUP($AJ$1,[1]CRITERIOS!$S$16:$S$39,[1]CRITERIOS!$Y$16:$Y$39))*$J580+$Z580)/$G580,0)*$G580,
((_xlfn.XLOOKUP($A580,'[1]DATOS PBI Artículos'!$A:$A,'[1]DATOS PBI Artículos'!$AN:$AN))/(_xlfn.XLOOKUP($AJ$1,[1]CRITERIOS!$S$16:$S$39,[1]CRITERIOS!$Y$16:$Y$39))*$J580+$Z580)))</f>
        <v>#N/A</v>
      </c>
      <c r="AK580" s="39" t="e">
        <f>IF($R580="MTO","",
IF($H580=0,ROUNDUP(((_xlfn.XLOOKUP($A580,'[1]DATOS PBI Artículos'!$A:$A,'[1]DATOS PBI Artículos'!$AO:$AO))/(_xlfn.XLOOKUP($AL$1,[1]CRITERIOS!$S$16:$S$39,[1]CRITERIOS!$Y$16:$Y$39))*$J580+$Z580)/$G580,0)*$G580,
((_xlfn.XLOOKUP($A580,'[1]DATOS PBI Artículos'!$A:$A,'[1]DATOS PBI Artículos'!$AO:$AO))/(_xlfn.XLOOKUP($AL$1,[1]CRITERIOS!$S$16:$S$39,[1]CRITERIOS!$Y$16:$Y$39))*$J580+$Z580)))</f>
        <v>#N/A</v>
      </c>
    </row>
    <row r="581" spans="1:37" ht="25.8" hidden="1" x14ac:dyDescent="0.4">
      <c r="A581" s="41"/>
      <c r="B581" s="33">
        <f>_xlfn.XLOOKUP($A581,'[1]DATOS PBI Artículos'!A:A,'[1]DATOS PBI Artículos'!B:B)</f>
        <v>0</v>
      </c>
      <c r="C581" s="33">
        <f>_xlfn.XLOOKUP($A581,'[1]DATOS PBI Artículos'!A:A,'[1]DATOS PBI Artículos'!C:C)</f>
        <v>0</v>
      </c>
      <c r="D581" s="33">
        <f>_xlfn.XLOOKUP(A581,'[1]DATOS PBI Artículos'!A:A,'[1]DATOS PBI Artículos'!T:T)</f>
        <v>0</v>
      </c>
      <c r="E581" s="34">
        <f>IF(_xlfn.XLOOKUP($A581,'[1]DATOS PBI Artículos'!A:A,'[1]DATOS PBI Artículos'!AK:AK)="",_xlfn.XLOOKUP($A581,'[1]DATOS PBI Artículos'!A:A,'[1]DATOS PBI Artículos'!AJ:AJ),_xlfn.XLOOKUP($A581,'[1]DATOS PBI Artículos'!A:A,'[1]DATOS PBI Artículos'!AK:AK))</f>
        <v>0</v>
      </c>
      <c r="F581" s="35">
        <f>_xlfn.XLOOKUP($A581,'[1]DATOS PBI Artículos'!A:A,'[1]DATOS PBI Artículos'!AP:AP)</f>
        <v>0</v>
      </c>
      <c r="G581" s="34">
        <f>_xlfn.XLOOKUP($A581,'[1]DATOS PBI Artículos'!A:A,'[1]DATOS PBI Artículos'!AR:AR)</f>
        <v>0</v>
      </c>
      <c r="H581" s="34">
        <f>_xlfn.XLOOKUP($A581,'[1]DATOS PBI Artículos'!A:A,'[1]DATOS PBI Artículos'!AT:AT)</f>
        <v>0</v>
      </c>
      <c r="I581" s="34">
        <f>_xlfn.XLOOKUP($A581,'[1]DATOS PBI Artículos'!A:A,'[1]DATOS PBI Artículos'!AS:AS)</f>
        <v>0</v>
      </c>
      <c r="J581" s="35">
        <f>IF(COUNTIF([1]CRITERIOS!$F$179:$F$199,$A581)&gt;=1,
 IF(O581&lt;&gt;"",
    (O581/_xlfn.XLOOKUP(CONCATENATE(A581,L581),[1]MÁQUINAS!A:A,[1]MÁQUINAS!D:D))/24,
    (N581/_xlfn.XLOOKUP(CONCATENATE(A581,L581),[1]MÁQUINAS!A:A,[1]MÁQUINAS!D:D))/24),
  _xlfn.XLOOKUP($A581,'[1]DATOS PBI Artículos'!A:A,'[1]DATOS PBI Artículos'!AU:AU))</f>
        <v>0</v>
      </c>
      <c r="K581" s="36">
        <f>_xlfn.XLOOKUP($A581,'[1]DATOS PBI Artículos'!A:A,'[1]DATOS PBI Artículos'!AV:AV)</f>
        <v>0</v>
      </c>
      <c r="L581" s="33">
        <f>_xlfn.XLOOKUP(A581,[1]MÁQUINAS!B:B,[1]MÁQUINAS!C:C)</f>
        <v>0</v>
      </c>
      <c r="M581" s="34">
        <f t="array" ref="M581">_xlfn.XLOOKUP(A581,'[1]DATOS PBI Artículos'!A:A,'[1]DATOS PBI Artículos'!AX:$AX)</f>
        <v>0</v>
      </c>
      <c r="N581" s="37" t="e">
        <f>IF(I581="DV",
E581,
IF(COUNTIF([1]CRITERIOS!$I$179:$I$199,$A581)&gt;=1,
_xlfn.XLOOKUP($A581,[1]CRITERIOS!$I$179:$I$199,[1]CRITERIOS!$J$179:$J$199),
IF(COUNTIF([1]CRITERIOS!$L$179:$L$199,$A581)&gt;=1,
_xlfn.CEILING.MATH(IF($M581&gt;$E581,
$E581,
IF($M581&lt;$E581/ROUNDDOWN([1]CRITERIOS!$M$16/_xlfn.XLOOKUP($C581,[1]CRITERIOS!$K$25:$K$42,[1]CRITERIOS!$M$25:$M$42),
1),
E581/ROUNDDOWN([1]CRITERIOS!$M$16/_xlfn.XLOOKUP($C581,[1]CRITERIOS!$K$25:$K$42,[1]CRITERIOS!$M$25:$M$42),
1),
$M581)),
_xlfn.XLOOKUP($A581,[1]CRITERIOS!$L$179:$L$200,[1]CRITERIOS!$M$179:$M$200)),
_xlfn.CEILING.MATH(IF($M581&gt;$E581,
$E581,
IF($M581&lt;$E581/ROUNDDOWN([1]CRITERIOS!$M$16/_xlfn.XLOOKUP($C581,[1]CRITERIOS!$K$25:$K$42,[1]CRITERIOS!$M$25:$M$42),
1),
E581/ROUNDDOWN([1]CRITERIOS!$M$16/_xlfn.XLOOKUP($C581,[1]CRITERIOS!$K$25:$K$42,[1]CRITERIOS!$M$25:$M$42),
1),
$M581)),_xlfn.XLOOKUP(A581,'[1]DATOS PBI Artículos'!A:A,'[1]DATOS PBI Artículos'!Z:Z
)))))</f>
        <v>#N/A</v>
      </c>
      <c r="Q581" s="38" t="e">
        <f>IF(AND(O581="",N581=0),
0,
   IF(COUNTIF([1]CRITERIOS!$F$179:$F$199,$A581)&gt;=1,
   1,
   IF(R581="MTO",
      $D581,
      ROUNDUP(
                    IF(($E581-SUMIF('[1]DATOS PBI Artículos'!A:A,A581,'[1]DATOS PBI Artículos'!X:X)+($V581-_xlfn.XLOOKUP(A581,'[1]DATOS PBI Artículos'!A:A,'[1]DATOS PBI Artículos'!W:W)))&lt;0,
                    0,
                    IF(($E581-SUMIF('[1]DATOS PBI Artículos'!A:A,A581,'[1]DATOS PBI Artículos'!X:X)+$V581-_xlfn.XLOOKUP($A581,'[1]DATOS PBI Artículos'!A:A,'[1]DATOS PBI Artículos'!W:W))/IF($O581="",$N581,$O581)&gt;ROUNDUP([1]CRITERIOS!$M$16/(IF(COUNTIF([1]CRITERIOS!$BG$11:$BG$201,L581)&gt;=1,_xlfn.XLOOKUP($C581,[1]CRITERIOS!$K$25:$K$42,[1]CRITERIOS!$M$25:$M$42),_xlfn.XLOOKUP($C581,[1]CRITERIOS!$K$25:$K$42,[1]CRITERIOS!$M$25:$M$42))),0),
                    ROUNDUP([1]CRITERIOS!$M$16/(IF(COUNTIF([1]CRITERIOS!$BG$11:$BG$201,$L581)&gt;=1,_xlfn.XLOOKUP($C581,[1]CRITERIOS!$K$25:$K$42,[1]CRITERIOS!$M$25:$M$42),_xlfn.XLOOKUP($C581,[1]CRITERIOS!$K$25:$K$42,[1]CRITERIOS!$M$25:$M$42))),0),
                    (E581+V581-SUMIF('[1]DATOS PBI Artículos'!A:A,A581,'[1]DATOS PBI Artículos'!X:X)-_xlfn.XLOOKUP(A581,'[1]DATOS PBI Artículos'!A:A,'[1]DATOS PBI Artículos'!W:W))/IF($O581="",$N581,$O581))),0))))</f>
        <v>#N/A</v>
      </c>
      <c r="R581" s="33" t="e">
        <f>IF(U581&lt;&gt;"",U581,IF(F581="DV","MTO",IF(N581=0,"MTO",_xlfn.XLOOKUP(CONCATENATE(S581,T581),[1]CRITERIOS!$K$160:$K$168,[1]CRITERIOS!$N$160:$N$168))))</f>
        <v>#N/A</v>
      </c>
      <c r="S581" s="33" t="e">
        <f>IF(G581="DV","MTO",IF(N581=0,"MTO",IF(OR(AND(N581=0,O581=""),IF(O581="",G581/N581,G581/O581)&gt;[1]CRITERIOS!$G$163),"MTO",IF(IF(O581="",G581/N581,G581/O581)&lt;[1]CRITERIOS!$H$161,"MTS","MTOS"))))</f>
        <v>#N/A</v>
      </c>
      <c r="T581" s="33" t="e">
        <f>IF(F581="DV","MTO",IF(OR(AND($N581=0,O581=""),$F581/$J581&gt;[1]CRITERIOS!$G$170,$F581="DV"),"MTO",IF($F581/$J581&lt;[1]CRITERIOS!$H$168,"MTS","MTOS")))</f>
        <v>#N/A</v>
      </c>
      <c r="V581" s="34" t="e">
        <f t="shared" si="28"/>
        <v>#N/A</v>
      </c>
      <c r="X581" s="34" t="e">
        <f t="shared" si="29"/>
        <v>#N/A</v>
      </c>
      <c r="Y581" s="34" t="e">
        <f t="shared" si="30"/>
        <v>#N/A</v>
      </c>
      <c r="Z581" s="34" t="e">
        <f>IF($R581="MTO",
0,
($H581+$K581*($E581/[1]CRITERIOS!$M$16))/[1]CRITERIOS!$X$48)</f>
        <v>#N/A</v>
      </c>
      <c r="AA581" s="34" t="e">
        <f>ROUNDUP(($Y581/_xlfn.XLOOKUP($A581,'[1]DATOS PBI Artículos'!$A$4:$A$4,'[1]DATOS PBI Artículos'!$Z$4:$Z$4))/_xlfn.XLOOKUP(_xlfn.XLOOKUP($A581,'[1]DATOS PBI Artículos'!$A$4:$A$4,'[1]DATOS PBI Artículos'!$Y$4:$Y$4),[1]CRITERIOS!$P$79:$P$123,[1]CRITERIOS!$S$79:$S$123,),0)</f>
        <v>#N/A</v>
      </c>
      <c r="AB581" s="33" t="e">
        <f t="array" ref="AB581">IF((E581+V581-_xlfn.XLOOKUP(A581,'[1]DATOS PBI Artículos'!$A$4:$A$4,'[1]DATOS PBI Artículos'!$W$4:$W$4))/N581&gt;ROUNDUP([1]CRITERIOS!$M$16/(IF(COUNTIF([1]CRITERIOS!$BG$11:$BG$201,L581)&gt;=1,_xlfn.XLOOKUP(ARTÍCULOS!L581,[1]CRITERIOS!$BG$11:$BG$201,[1]CRITERIOS!$BJ$11:$BJ$201),_xlfn.XLOOKUP(ARTÍCULOS!C581,[1]CRITERIOS!$K$25:$K$42,[1]CRITERIOS!$M$25:$M$42))),0),ROUNDUP([1]CRITERIOS!$M$16/(IF(COUNTIF([1]CRITERIOS!$BG$11:$BG$201,L581)&gt;=1,_xlfn.XLOOKUP(ARTÍCULOS!L581,[1]CRITERIOS!$BG$11:$BG$201:#REF!,[1]CRITERIOS!$BJ$11:$BJ$201),_xlfn.XLOOKUP(ARTÍCULOS!C581,[1]CRITERIOS!$K$25:$K$42,[1]CRITERIOS!$M$25:$M$42))),0),(E581+V581-_xlfn.XLOOKUP(A581,'[1]DATOS PBI Artículos'!$A$4:$A$4,'[1]DATOS PBI Artículos'!$W$4:$W$4))/N581)</f>
        <v>#N/A</v>
      </c>
      <c r="AC581" s="33" t="e">
        <f>IF(N581=0,"",(ROUNDUP((N581/2)/(_xlfn.XLOOKUP(A581,'[1]DATOS PBI Artículos'!$A$4:$A$4,'[1]DATOS PBI Artículos'!$Z$4:$Z$4)*_xlfn.XLOOKUP(_xlfn.XLOOKUP(A581,'[1]DATOS PBI Artículos'!$A$4:$A$4,'[1]DATOS PBI Artículos'!$Y$4:$Y$4),[1]CRITERIOS!$P$79:$P$123,[1]CRITERIOS!$S$79:$S$123)),0)*[1]CRITERIOS!$M$80*([1]CRITERIOS!$M$110/[1]CRITERIOS!$M$86)+(_xlfn.XLOOKUP(A581,'[1]DATOS PBI Artículos'!$A$4:$A$4,'[1]DATOS PBI Artículos'!$AA$4:$AA$4)*([1]CRITERIOS!$M$95+[1]CRITERIOS!$M$98)))/N581)</f>
        <v>#N/A</v>
      </c>
      <c r="AD581" s="33" t="e">
        <f>IF(N581=0,"",(ROUNDUP((N581/2)/(_xlfn.XLOOKUP(A581,'[1]DATOS PBI Artículos'!$A$4:$A$4,'[1]DATOS PBI Artículos'!$Z$4:$Z$4)*_xlfn.XLOOKUP(_xlfn.XLOOKUP(A581,'[1]DATOS PBI Artículos'!$A$4:$A$4,'[1]DATOS PBI Artículos'!$Y$4:$Y$4),[1]CRITERIOS!$P$79:$P$123,[1]CRITERIOS!$S$79:$S$123)),0)*[1]CRITERIOS!$M$80*([1]CRITERIOS!$M$89*[1]CRITERIOS!$M$92)+((_xlfn.XLOOKUP(A581,'[1]DATOS PBI Artículos'!$A$4:$A$4,'[1]DATOS PBI Artículos'!$AA$4:$AA$4)/2)*([1]CRITERIOS!$M$95+[1]CRITERIOS!$M$98)))/N581)</f>
        <v>#N/A</v>
      </c>
      <c r="AE581" s="39" t="e">
        <f>IF($R581="MTO","",
IF($H581=0,ROUNDUP(((_xlfn.XLOOKUP($A581,'[1]DATOS PBI Artículos'!$A:$A,'[1]DATOS PBI Artículos'!$AL:$AL))/(_xlfn.XLOOKUP($AF$1,[1]CRITERIOS!$S$16:$S$39,[1]CRITERIOS!$Y$16:$Y$39))*$J581+$Z581)/$G581,0)*$G581,
((_xlfn.XLOOKUP($A581,'[1]DATOS PBI Artículos'!$A:$A,'[1]DATOS PBI Artículos'!$AL:$AL))/(_xlfn.XLOOKUP($AF$1,[1]CRITERIOS!$S$16:$S$39,[1]CRITERIOS!$Y$16:$Y$39))*$J581+$Z581)))</f>
        <v>#N/A</v>
      </c>
      <c r="AG581" s="39" t="e">
        <f>IF($R581="MTO","",
IF($H581=0,ROUNDUP(((_xlfn.XLOOKUP($A581,'[1]DATOS PBI Artículos'!$A:$A,'[1]DATOS PBI Artículos'!$AM:$AM))/(_xlfn.XLOOKUP($AH$1,[1]CRITERIOS!$S$16:$S$39,[1]CRITERIOS!$Y$16:$Y$39))*$J581+$Z581)/$G581,0)*$G581,
((_xlfn.XLOOKUP($A581,'[1]DATOS PBI Artículos'!$A:$A,'[1]DATOS PBI Artículos'!$AM:$AM))/(_xlfn.XLOOKUP($AH$1,[1]CRITERIOS!$S$16:$S$39,[1]CRITERIOS!$Y$16:$Y$39))*$J581+$Z581)))</f>
        <v>#N/A</v>
      </c>
      <c r="AI581" s="39" t="e">
        <f>IF($R581="MTO","",
IF($H581=0,ROUNDUP(((_xlfn.XLOOKUP($A581,'[1]DATOS PBI Artículos'!$A:$A,'[1]DATOS PBI Artículos'!$AN:$AN))/(_xlfn.XLOOKUP($AJ$1,[1]CRITERIOS!$S$16:$S$39,[1]CRITERIOS!$Y$16:$Y$39))*$J581+$Z581)/$G581,0)*$G581,
((_xlfn.XLOOKUP($A581,'[1]DATOS PBI Artículos'!$A:$A,'[1]DATOS PBI Artículos'!$AN:$AN))/(_xlfn.XLOOKUP($AJ$1,[1]CRITERIOS!$S$16:$S$39,[1]CRITERIOS!$Y$16:$Y$39))*$J581+$Z581)))</f>
        <v>#N/A</v>
      </c>
      <c r="AK581" s="39" t="e">
        <f>IF($R581="MTO","",
IF($H581=0,ROUNDUP(((_xlfn.XLOOKUP($A581,'[1]DATOS PBI Artículos'!$A:$A,'[1]DATOS PBI Artículos'!$AO:$AO))/(_xlfn.XLOOKUP($AL$1,[1]CRITERIOS!$S$16:$S$39,[1]CRITERIOS!$Y$16:$Y$39))*$J581+$Z581)/$G581,0)*$G581,
((_xlfn.XLOOKUP($A581,'[1]DATOS PBI Artículos'!$A:$A,'[1]DATOS PBI Artículos'!$AO:$AO))/(_xlfn.XLOOKUP($AL$1,[1]CRITERIOS!$S$16:$S$39,[1]CRITERIOS!$Y$16:$Y$39))*$J581+$Z581)))</f>
        <v>#N/A</v>
      </c>
    </row>
    <row r="582" spans="1:37" ht="25.8" hidden="1" x14ac:dyDescent="0.4">
      <c r="A582" s="41"/>
      <c r="B582" s="33">
        <f>_xlfn.XLOOKUP($A582,'[1]DATOS PBI Artículos'!A:A,'[1]DATOS PBI Artículos'!B:B)</f>
        <v>0</v>
      </c>
      <c r="C582" s="33">
        <f>_xlfn.XLOOKUP($A582,'[1]DATOS PBI Artículos'!A:A,'[1]DATOS PBI Artículos'!C:C)</f>
        <v>0</v>
      </c>
      <c r="D582" s="33">
        <f>_xlfn.XLOOKUP(A582,'[1]DATOS PBI Artículos'!A:A,'[1]DATOS PBI Artículos'!T:T)</f>
        <v>0</v>
      </c>
      <c r="E582" s="34">
        <f>IF(_xlfn.XLOOKUP($A582,'[1]DATOS PBI Artículos'!A:A,'[1]DATOS PBI Artículos'!AK:AK)="",_xlfn.XLOOKUP($A582,'[1]DATOS PBI Artículos'!A:A,'[1]DATOS PBI Artículos'!AJ:AJ),_xlfn.XLOOKUP($A582,'[1]DATOS PBI Artículos'!A:A,'[1]DATOS PBI Artículos'!AK:AK))</f>
        <v>0</v>
      </c>
      <c r="F582" s="35">
        <f>_xlfn.XLOOKUP($A582,'[1]DATOS PBI Artículos'!A:A,'[1]DATOS PBI Artículos'!AP:AP)</f>
        <v>0</v>
      </c>
      <c r="G582" s="34">
        <f>_xlfn.XLOOKUP($A582,'[1]DATOS PBI Artículos'!A:A,'[1]DATOS PBI Artículos'!AR:AR)</f>
        <v>0</v>
      </c>
      <c r="H582" s="34">
        <f>_xlfn.XLOOKUP($A582,'[1]DATOS PBI Artículos'!A:A,'[1]DATOS PBI Artículos'!AT:AT)</f>
        <v>0</v>
      </c>
      <c r="I582" s="34">
        <f>_xlfn.XLOOKUP($A582,'[1]DATOS PBI Artículos'!A:A,'[1]DATOS PBI Artículos'!AS:AS)</f>
        <v>0</v>
      </c>
      <c r="J582" s="35">
        <f>IF(COUNTIF([1]CRITERIOS!$F$179:$F$199,$A582)&gt;=1,
 IF(O582&lt;&gt;"",
    (O582/_xlfn.XLOOKUP(CONCATENATE(A582,L582),[1]MÁQUINAS!A:A,[1]MÁQUINAS!D:D))/24,
    (N582/_xlfn.XLOOKUP(CONCATENATE(A582,L582),[1]MÁQUINAS!A:A,[1]MÁQUINAS!D:D))/24),
  _xlfn.XLOOKUP($A582,'[1]DATOS PBI Artículos'!A:A,'[1]DATOS PBI Artículos'!AU:AU))</f>
        <v>0</v>
      </c>
      <c r="K582" s="36">
        <f>_xlfn.XLOOKUP($A582,'[1]DATOS PBI Artículos'!A:A,'[1]DATOS PBI Artículos'!AV:AV)</f>
        <v>0</v>
      </c>
      <c r="L582" s="33">
        <f>_xlfn.XLOOKUP(A582,[1]MÁQUINAS!B:B,[1]MÁQUINAS!C:C)</f>
        <v>0</v>
      </c>
      <c r="M582" s="34">
        <f t="array" ref="M582">_xlfn.XLOOKUP(A582,'[1]DATOS PBI Artículos'!A:A,'[1]DATOS PBI Artículos'!AX:$AX)</f>
        <v>0</v>
      </c>
      <c r="N582" s="37" t="e">
        <f>IF(I582="DV",
E582,
IF(COUNTIF([1]CRITERIOS!$I$179:$I$199,$A582)&gt;=1,
_xlfn.XLOOKUP($A582,[1]CRITERIOS!$I$179:$I$199,[1]CRITERIOS!$J$179:$J$199),
IF(COUNTIF([1]CRITERIOS!$L$179:$L$199,$A582)&gt;=1,
_xlfn.CEILING.MATH(IF($M582&gt;$E582,
$E582,
IF($M582&lt;$E582/ROUNDDOWN([1]CRITERIOS!$M$16/_xlfn.XLOOKUP($C582,[1]CRITERIOS!$K$25:$K$42,[1]CRITERIOS!$M$25:$M$42),
1),
E582/ROUNDDOWN([1]CRITERIOS!$M$16/_xlfn.XLOOKUP($C582,[1]CRITERIOS!$K$25:$K$42,[1]CRITERIOS!$M$25:$M$42),
1),
$M582)),
_xlfn.XLOOKUP($A582,[1]CRITERIOS!$L$179:$L$200,[1]CRITERIOS!$M$179:$M$200)),
_xlfn.CEILING.MATH(IF($M582&gt;$E582,
$E582,
IF($M582&lt;$E582/ROUNDDOWN([1]CRITERIOS!$M$16/_xlfn.XLOOKUP($C582,[1]CRITERIOS!$K$25:$K$42,[1]CRITERIOS!$M$25:$M$42),
1),
E582/ROUNDDOWN([1]CRITERIOS!$M$16/_xlfn.XLOOKUP($C582,[1]CRITERIOS!$K$25:$K$42,[1]CRITERIOS!$M$25:$M$42),
1),
$M582)),_xlfn.XLOOKUP(A582,'[1]DATOS PBI Artículos'!A:A,'[1]DATOS PBI Artículos'!Z:Z
)))))</f>
        <v>#N/A</v>
      </c>
      <c r="Q582" s="38" t="e">
        <f>IF(AND(O582="",N582=0),
0,
   IF(COUNTIF([1]CRITERIOS!$F$179:$F$199,$A582)&gt;=1,
   1,
   IF(R582="MTO",
      $D582,
      ROUNDUP(
                    IF(($E582-SUMIF('[1]DATOS PBI Artículos'!A:A,A582,'[1]DATOS PBI Artículos'!X:X)+($V582-_xlfn.XLOOKUP(A582,'[1]DATOS PBI Artículos'!A:A,'[1]DATOS PBI Artículos'!W:W)))&lt;0,
                    0,
                    IF(($E582-SUMIF('[1]DATOS PBI Artículos'!A:A,A582,'[1]DATOS PBI Artículos'!X:X)+$V582-_xlfn.XLOOKUP($A582,'[1]DATOS PBI Artículos'!A:A,'[1]DATOS PBI Artículos'!W:W))/IF($O582="",$N582,$O582)&gt;ROUNDUP([1]CRITERIOS!$M$16/(IF(COUNTIF([1]CRITERIOS!$BG$11:$BG$201,L582)&gt;=1,_xlfn.XLOOKUP($C582,[1]CRITERIOS!$K$25:$K$42,[1]CRITERIOS!$M$25:$M$42),_xlfn.XLOOKUP($C582,[1]CRITERIOS!$K$25:$K$42,[1]CRITERIOS!$M$25:$M$42))),0),
                    ROUNDUP([1]CRITERIOS!$M$16/(IF(COUNTIF([1]CRITERIOS!$BG$11:$BG$201,$L582)&gt;=1,_xlfn.XLOOKUP($C582,[1]CRITERIOS!$K$25:$K$42,[1]CRITERIOS!$M$25:$M$42),_xlfn.XLOOKUP($C582,[1]CRITERIOS!$K$25:$K$42,[1]CRITERIOS!$M$25:$M$42))),0),
                    (E582+V582-SUMIF('[1]DATOS PBI Artículos'!A:A,A582,'[1]DATOS PBI Artículos'!X:X)-_xlfn.XLOOKUP(A582,'[1]DATOS PBI Artículos'!A:A,'[1]DATOS PBI Artículos'!W:W))/IF($O582="",$N582,$O582))),0))))</f>
        <v>#N/A</v>
      </c>
      <c r="R582" s="33" t="e">
        <f>IF(U582&lt;&gt;"",U582,IF(F582="DV","MTO",IF(N582=0,"MTO",_xlfn.XLOOKUP(CONCATENATE(S582,T582),[1]CRITERIOS!$K$160:$K$168,[1]CRITERIOS!$N$160:$N$168))))</f>
        <v>#N/A</v>
      </c>
      <c r="S582" s="33" t="e">
        <f>IF(G582="DV","MTO",IF(N582=0,"MTO",IF(OR(AND(N582=0,O582=""),IF(O582="",G582/N582,G582/O582)&gt;[1]CRITERIOS!$G$163),"MTO",IF(IF(O582="",G582/N582,G582/O582)&lt;[1]CRITERIOS!$H$161,"MTS","MTOS"))))</f>
        <v>#N/A</v>
      </c>
      <c r="T582" s="33" t="e">
        <f>IF(F582="DV","MTO",IF(OR(AND($N582=0,O582=""),$F582/$J582&gt;[1]CRITERIOS!$G$170,$F582="DV"),"MTO",IF($F582/$J582&lt;[1]CRITERIOS!$H$168,"MTS","MTOS")))</f>
        <v>#N/A</v>
      </c>
      <c r="V582" s="34" t="e">
        <f t="shared" si="28"/>
        <v>#N/A</v>
      </c>
      <c r="X582" s="34" t="e">
        <f t="shared" si="29"/>
        <v>#N/A</v>
      </c>
      <c r="Y582" s="34" t="e">
        <f t="shared" si="30"/>
        <v>#N/A</v>
      </c>
      <c r="Z582" s="34" t="e">
        <f>IF($R582="MTO",
0,
($H582+$K582*($E582/[1]CRITERIOS!$M$16))/[1]CRITERIOS!$X$48)</f>
        <v>#N/A</v>
      </c>
      <c r="AA582" s="34" t="e">
        <f>ROUNDUP(($Y582/_xlfn.XLOOKUP($A582,'[1]DATOS PBI Artículos'!$A$4:$A$4,'[1]DATOS PBI Artículos'!$Z$4:$Z$4))/_xlfn.XLOOKUP(_xlfn.XLOOKUP($A582,'[1]DATOS PBI Artículos'!$A$4:$A$4,'[1]DATOS PBI Artículos'!$Y$4:$Y$4),[1]CRITERIOS!$P$79:$P$123,[1]CRITERIOS!$S$79:$S$123,),0)</f>
        <v>#N/A</v>
      </c>
      <c r="AB582" s="33" t="e">
        <f t="array" ref="AB582">IF((E582+V582-_xlfn.XLOOKUP(A582,'[1]DATOS PBI Artículos'!$A$4:$A$4,'[1]DATOS PBI Artículos'!$W$4:$W$4))/N582&gt;ROUNDUP([1]CRITERIOS!$M$16/(IF(COUNTIF([1]CRITERIOS!$BG$11:$BG$201,L582)&gt;=1,_xlfn.XLOOKUP(ARTÍCULOS!L582,[1]CRITERIOS!$BG$11:$BG$201,[1]CRITERIOS!$BJ$11:$BJ$201),_xlfn.XLOOKUP(ARTÍCULOS!C582,[1]CRITERIOS!$K$25:$K$42,[1]CRITERIOS!$M$25:$M$42))),0),ROUNDUP([1]CRITERIOS!$M$16/(IF(COUNTIF([1]CRITERIOS!$BG$11:$BG$201,L582)&gt;=1,_xlfn.XLOOKUP(ARTÍCULOS!L582,[1]CRITERIOS!$BG$11:$BG$201:#REF!,[1]CRITERIOS!$BJ$11:$BJ$201),_xlfn.XLOOKUP(ARTÍCULOS!C582,[1]CRITERIOS!$K$25:$K$42,[1]CRITERIOS!$M$25:$M$42))),0),(E582+V582-_xlfn.XLOOKUP(A582,'[1]DATOS PBI Artículos'!$A$4:$A$4,'[1]DATOS PBI Artículos'!$W$4:$W$4))/N582)</f>
        <v>#N/A</v>
      </c>
      <c r="AC582" s="33" t="e">
        <f>IF(N582=0,"",(ROUNDUP((N582/2)/(_xlfn.XLOOKUP(A582,'[1]DATOS PBI Artículos'!$A$4:$A$4,'[1]DATOS PBI Artículos'!$Z$4:$Z$4)*_xlfn.XLOOKUP(_xlfn.XLOOKUP(A582,'[1]DATOS PBI Artículos'!$A$4:$A$4,'[1]DATOS PBI Artículos'!$Y$4:$Y$4),[1]CRITERIOS!$P$79:$P$123,[1]CRITERIOS!$S$79:$S$123)),0)*[1]CRITERIOS!$M$80*([1]CRITERIOS!$M$110/[1]CRITERIOS!$M$86)+(_xlfn.XLOOKUP(A582,'[1]DATOS PBI Artículos'!$A$4:$A$4,'[1]DATOS PBI Artículos'!$AA$4:$AA$4)*([1]CRITERIOS!$M$95+[1]CRITERIOS!$M$98)))/N582)</f>
        <v>#N/A</v>
      </c>
      <c r="AD582" s="33" t="e">
        <f>IF(N582=0,"",(ROUNDUP((N582/2)/(_xlfn.XLOOKUP(A582,'[1]DATOS PBI Artículos'!$A$4:$A$4,'[1]DATOS PBI Artículos'!$Z$4:$Z$4)*_xlfn.XLOOKUP(_xlfn.XLOOKUP(A582,'[1]DATOS PBI Artículos'!$A$4:$A$4,'[1]DATOS PBI Artículos'!$Y$4:$Y$4),[1]CRITERIOS!$P$79:$P$123,[1]CRITERIOS!$S$79:$S$123)),0)*[1]CRITERIOS!$M$80*([1]CRITERIOS!$M$89*[1]CRITERIOS!$M$92)+((_xlfn.XLOOKUP(A582,'[1]DATOS PBI Artículos'!$A$4:$A$4,'[1]DATOS PBI Artículos'!$AA$4:$AA$4)/2)*([1]CRITERIOS!$M$95+[1]CRITERIOS!$M$98)))/N582)</f>
        <v>#N/A</v>
      </c>
      <c r="AE582" s="39" t="e">
        <f>IF($R582="MTO","",
IF($H582=0,ROUNDUP(((_xlfn.XLOOKUP($A582,'[1]DATOS PBI Artículos'!$A:$A,'[1]DATOS PBI Artículos'!$AL:$AL))/(_xlfn.XLOOKUP($AF$1,[1]CRITERIOS!$S$16:$S$39,[1]CRITERIOS!$Y$16:$Y$39))*$J582+$Z582)/$G582,0)*$G582,
((_xlfn.XLOOKUP($A582,'[1]DATOS PBI Artículos'!$A:$A,'[1]DATOS PBI Artículos'!$AL:$AL))/(_xlfn.XLOOKUP($AF$1,[1]CRITERIOS!$S$16:$S$39,[1]CRITERIOS!$Y$16:$Y$39))*$J582+$Z582)))</f>
        <v>#N/A</v>
      </c>
      <c r="AG582" s="39" t="e">
        <f>IF($R582="MTO","",
IF($H582=0,ROUNDUP(((_xlfn.XLOOKUP($A582,'[1]DATOS PBI Artículos'!$A:$A,'[1]DATOS PBI Artículos'!$AM:$AM))/(_xlfn.XLOOKUP($AH$1,[1]CRITERIOS!$S$16:$S$39,[1]CRITERIOS!$Y$16:$Y$39))*$J582+$Z582)/$G582,0)*$G582,
((_xlfn.XLOOKUP($A582,'[1]DATOS PBI Artículos'!$A:$A,'[1]DATOS PBI Artículos'!$AM:$AM))/(_xlfn.XLOOKUP($AH$1,[1]CRITERIOS!$S$16:$S$39,[1]CRITERIOS!$Y$16:$Y$39))*$J582+$Z582)))</f>
        <v>#N/A</v>
      </c>
      <c r="AI582" s="39" t="e">
        <f>IF($R582="MTO","",
IF($H582=0,ROUNDUP(((_xlfn.XLOOKUP($A582,'[1]DATOS PBI Artículos'!$A:$A,'[1]DATOS PBI Artículos'!$AN:$AN))/(_xlfn.XLOOKUP($AJ$1,[1]CRITERIOS!$S$16:$S$39,[1]CRITERIOS!$Y$16:$Y$39))*$J582+$Z582)/$G582,0)*$G582,
((_xlfn.XLOOKUP($A582,'[1]DATOS PBI Artículos'!$A:$A,'[1]DATOS PBI Artículos'!$AN:$AN))/(_xlfn.XLOOKUP($AJ$1,[1]CRITERIOS!$S$16:$S$39,[1]CRITERIOS!$Y$16:$Y$39))*$J582+$Z582)))</f>
        <v>#N/A</v>
      </c>
      <c r="AK582" s="39" t="e">
        <f>IF($R582="MTO","",
IF($H582=0,ROUNDUP(((_xlfn.XLOOKUP($A582,'[1]DATOS PBI Artículos'!$A:$A,'[1]DATOS PBI Artículos'!$AO:$AO))/(_xlfn.XLOOKUP($AL$1,[1]CRITERIOS!$S$16:$S$39,[1]CRITERIOS!$Y$16:$Y$39))*$J582+$Z582)/$G582,0)*$G582,
((_xlfn.XLOOKUP($A582,'[1]DATOS PBI Artículos'!$A:$A,'[1]DATOS PBI Artículos'!$AO:$AO))/(_xlfn.XLOOKUP($AL$1,[1]CRITERIOS!$S$16:$S$39,[1]CRITERIOS!$Y$16:$Y$39))*$J582+$Z582)))</f>
        <v>#N/A</v>
      </c>
    </row>
    <row r="583" spans="1:37" ht="25.8" hidden="1" x14ac:dyDescent="0.4">
      <c r="A583" s="41"/>
      <c r="B583" s="33">
        <f>_xlfn.XLOOKUP($A583,'[1]DATOS PBI Artículos'!A:A,'[1]DATOS PBI Artículos'!B:B)</f>
        <v>0</v>
      </c>
      <c r="C583" s="33">
        <f>_xlfn.XLOOKUP($A583,'[1]DATOS PBI Artículos'!A:A,'[1]DATOS PBI Artículos'!C:C)</f>
        <v>0</v>
      </c>
      <c r="D583" s="33">
        <f>_xlfn.XLOOKUP(A583,'[1]DATOS PBI Artículos'!A:A,'[1]DATOS PBI Artículos'!T:T)</f>
        <v>0</v>
      </c>
      <c r="E583" s="34">
        <f>IF(_xlfn.XLOOKUP($A583,'[1]DATOS PBI Artículos'!A:A,'[1]DATOS PBI Artículos'!AK:AK)="",_xlfn.XLOOKUP($A583,'[1]DATOS PBI Artículos'!A:A,'[1]DATOS PBI Artículos'!AJ:AJ),_xlfn.XLOOKUP($A583,'[1]DATOS PBI Artículos'!A:A,'[1]DATOS PBI Artículos'!AK:AK))</f>
        <v>0</v>
      </c>
      <c r="F583" s="35">
        <f>_xlfn.XLOOKUP($A583,'[1]DATOS PBI Artículos'!A:A,'[1]DATOS PBI Artículos'!AP:AP)</f>
        <v>0</v>
      </c>
      <c r="G583" s="34">
        <f>_xlfn.XLOOKUP($A583,'[1]DATOS PBI Artículos'!A:A,'[1]DATOS PBI Artículos'!AR:AR)</f>
        <v>0</v>
      </c>
      <c r="H583" s="34">
        <f>_xlfn.XLOOKUP($A583,'[1]DATOS PBI Artículos'!A:A,'[1]DATOS PBI Artículos'!AT:AT)</f>
        <v>0</v>
      </c>
      <c r="I583" s="34">
        <f>_xlfn.XLOOKUP($A583,'[1]DATOS PBI Artículos'!A:A,'[1]DATOS PBI Artículos'!AS:AS)</f>
        <v>0</v>
      </c>
      <c r="J583" s="35">
        <f>IF(COUNTIF([1]CRITERIOS!$F$179:$F$199,$A583)&gt;=1,
 IF(O583&lt;&gt;"",
    (O583/_xlfn.XLOOKUP(CONCATENATE(A583,L583),[1]MÁQUINAS!A:A,[1]MÁQUINAS!D:D))/24,
    (N583/_xlfn.XLOOKUP(CONCATENATE(A583,L583),[1]MÁQUINAS!A:A,[1]MÁQUINAS!D:D))/24),
  _xlfn.XLOOKUP($A583,'[1]DATOS PBI Artículos'!A:A,'[1]DATOS PBI Artículos'!AU:AU))</f>
        <v>0</v>
      </c>
      <c r="K583" s="36">
        <f>_xlfn.XLOOKUP($A583,'[1]DATOS PBI Artículos'!A:A,'[1]DATOS PBI Artículos'!AV:AV)</f>
        <v>0</v>
      </c>
      <c r="L583" s="33">
        <f>_xlfn.XLOOKUP(A583,[1]MÁQUINAS!B:B,[1]MÁQUINAS!C:C)</f>
        <v>0</v>
      </c>
      <c r="M583" s="34">
        <f t="array" ref="M583">_xlfn.XLOOKUP(A583,'[1]DATOS PBI Artículos'!A:A,'[1]DATOS PBI Artículos'!AX:$AX)</f>
        <v>0</v>
      </c>
      <c r="N583" s="37" t="e">
        <f>IF(I583="DV",
E583,
IF(COUNTIF([1]CRITERIOS!$I$179:$I$199,$A583)&gt;=1,
_xlfn.XLOOKUP($A583,[1]CRITERIOS!$I$179:$I$199,[1]CRITERIOS!$J$179:$J$199),
IF(COUNTIF([1]CRITERIOS!$L$179:$L$199,$A583)&gt;=1,
_xlfn.CEILING.MATH(IF($M583&gt;$E583,
$E583,
IF($M583&lt;$E583/ROUNDDOWN([1]CRITERIOS!$M$16/_xlfn.XLOOKUP($C583,[1]CRITERIOS!$K$25:$K$42,[1]CRITERIOS!$M$25:$M$42),
1),
E583/ROUNDDOWN([1]CRITERIOS!$M$16/_xlfn.XLOOKUP($C583,[1]CRITERIOS!$K$25:$K$42,[1]CRITERIOS!$M$25:$M$42),
1),
$M583)),
_xlfn.XLOOKUP($A583,[1]CRITERIOS!$L$179:$L$200,[1]CRITERIOS!$M$179:$M$200)),
_xlfn.CEILING.MATH(IF($M583&gt;$E583,
$E583,
IF($M583&lt;$E583/ROUNDDOWN([1]CRITERIOS!$M$16/_xlfn.XLOOKUP($C583,[1]CRITERIOS!$K$25:$K$42,[1]CRITERIOS!$M$25:$M$42),
1),
E583/ROUNDDOWN([1]CRITERIOS!$M$16/_xlfn.XLOOKUP($C583,[1]CRITERIOS!$K$25:$K$42,[1]CRITERIOS!$M$25:$M$42),
1),
$M583)),_xlfn.XLOOKUP(A583,'[1]DATOS PBI Artículos'!A:A,'[1]DATOS PBI Artículos'!Z:Z
)))))</f>
        <v>#N/A</v>
      </c>
      <c r="Q583" s="38" t="e">
        <f>IF(AND(O583="",N583=0),
0,
   IF(COUNTIF([1]CRITERIOS!$F$179:$F$199,$A583)&gt;=1,
   1,
   IF(R583="MTO",
      $D583,
      ROUNDUP(
                    IF(($E583-SUMIF('[1]DATOS PBI Artículos'!A:A,A583,'[1]DATOS PBI Artículos'!X:X)+($V583-_xlfn.XLOOKUP(A583,'[1]DATOS PBI Artículos'!A:A,'[1]DATOS PBI Artículos'!W:W)))&lt;0,
                    0,
                    IF(($E583-SUMIF('[1]DATOS PBI Artículos'!A:A,A583,'[1]DATOS PBI Artículos'!X:X)+$V583-_xlfn.XLOOKUP($A583,'[1]DATOS PBI Artículos'!A:A,'[1]DATOS PBI Artículos'!W:W))/IF($O583="",$N583,$O583)&gt;ROUNDUP([1]CRITERIOS!$M$16/(IF(COUNTIF([1]CRITERIOS!$BG$11:$BG$201,L583)&gt;=1,_xlfn.XLOOKUP($C583,[1]CRITERIOS!$K$25:$K$42,[1]CRITERIOS!$M$25:$M$42),_xlfn.XLOOKUP($C583,[1]CRITERIOS!$K$25:$K$42,[1]CRITERIOS!$M$25:$M$42))),0),
                    ROUNDUP([1]CRITERIOS!$M$16/(IF(COUNTIF([1]CRITERIOS!$BG$11:$BG$201,$L583)&gt;=1,_xlfn.XLOOKUP($C583,[1]CRITERIOS!$K$25:$K$42,[1]CRITERIOS!$M$25:$M$42),_xlfn.XLOOKUP($C583,[1]CRITERIOS!$K$25:$K$42,[1]CRITERIOS!$M$25:$M$42))),0),
                    (E583+V583-SUMIF('[1]DATOS PBI Artículos'!A:A,A583,'[1]DATOS PBI Artículos'!X:X)-_xlfn.XLOOKUP(A583,'[1]DATOS PBI Artículos'!A:A,'[1]DATOS PBI Artículos'!W:W))/IF($O583="",$N583,$O583))),0))))</f>
        <v>#N/A</v>
      </c>
      <c r="R583" s="33" t="e">
        <f>IF(U583&lt;&gt;"",U583,IF(F583="DV","MTO",IF(N583=0,"MTO",_xlfn.XLOOKUP(CONCATENATE(S583,T583),[1]CRITERIOS!$K$160:$K$168,[1]CRITERIOS!$N$160:$N$168))))</f>
        <v>#N/A</v>
      </c>
      <c r="S583" s="33" t="e">
        <f>IF(G583="DV","MTO",IF(N583=0,"MTO",IF(OR(AND(N583=0,O583=""),IF(O583="",G583/N583,G583/O583)&gt;[1]CRITERIOS!$G$163),"MTO",IF(IF(O583="",G583/N583,G583/O583)&lt;[1]CRITERIOS!$H$161,"MTS","MTOS"))))</f>
        <v>#N/A</v>
      </c>
      <c r="T583" s="33" t="e">
        <f>IF(F583="DV","MTO",IF(OR(AND($N583=0,O583=""),$F583/$J583&gt;[1]CRITERIOS!$G$170,$F583="DV"),"MTO",IF($F583/$J583&lt;[1]CRITERIOS!$H$168,"MTS","MTOS")))</f>
        <v>#N/A</v>
      </c>
      <c r="V583" s="34" t="e">
        <f t="shared" si="28"/>
        <v>#N/A</v>
      </c>
      <c r="X583" s="34" t="e">
        <f t="shared" si="29"/>
        <v>#N/A</v>
      </c>
      <c r="Y583" s="34" t="e">
        <f t="shared" si="30"/>
        <v>#N/A</v>
      </c>
      <c r="Z583" s="34" t="e">
        <f>IF($R583="MTO",
0,
($H583+$K583*($E583/[1]CRITERIOS!$M$16))/[1]CRITERIOS!$X$48)</f>
        <v>#N/A</v>
      </c>
      <c r="AA583" s="34" t="e">
        <f>ROUNDUP(($Y583/_xlfn.XLOOKUP($A583,'[1]DATOS PBI Artículos'!$A$4:$A$4,'[1]DATOS PBI Artículos'!$Z$4:$Z$4))/_xlfn.XLOOKUP(_xlfn.XLOOKUP($A583,'[1]DATOS PBI Artículos'!$A$4:$A$4,'[1]DATOS PBI Artículos'!$Y$4:$Y$4),[1]CRITERIOS!$P$79:$P$123,[1]CRITERIOS!$S$79:$S$123,),0)</f>
        <v>#N/A</v>
      </c>
      <c r="AB583" s="33" t="e">
        <f t="array" ref="AB583">IF((E583+V583-_xlfn.XLOOKUP(A583,'[1]DATOS PBI Artículos'!$A$4:$A$4,'[1]DATOS PBI Artículos'!$W$4:$W$4))/N583&gt;ROUNDUP([1]CRITERIOS!$M$16/(IF(COUNTIF([1]CRITERIOS!$BG$11:$BG$201,L583)&gt;=1,_xlfn.XLOOKUP(ARTÍCULOS!L583,[1]CRITERIOS!$BG$11:$BG$201,[1]CRITERIOS!$BJ$11:$BJ$201),_xlfn.XLOOKUP(ARTÍCULOS!C583,[1]CRITERIOS!$K$25:$K$42,[1]CRITERIOS!$M$25:$M$42))),0),ROUNDUP([1]CRITERIOS!$M$16/(IF(COUNTIF([1]CRITERIOS!$BG$11:$BG$201,L583)&gt;=1,_xlfn.XLOOKUP(ARTÍCULOS!L583,[1]CRITERIOS!$BG$11:$BG$201:#REF!,[1]CRITERIOS!$BJ$11:$BJ$201),_xlfn.XLOOKUP(ARTÍCULOS!C583,[1]CRITERIOS!$K$25:$K$42,[1]CRITERIOS!$M$25:$M$42))),0),(E583+V583-_xlfn.XLOOKUP(A583,'[1]DATOS PBI Artículos'!$A$4:$A$4,'[1]DATOS PBI Artículos'!$W$4:$W$4))/N583)</f>
        <v>#N/A</v>
      </c>
      <c r="AC583" s="33" t="e">
        <f>IF(N583=0,"",(ROUNDUP((N583/2)/(_xlfn.XLOOKUP(A583,'[1]DATOS PBI Artículos'!$A$4:$A$4,'[1]DATOS PBI Artículos'!$Z$4:$Z$4)*_xlfn.XLOOKUP(_xlfn.XLOOKUP(A583,'[1]DATOS PBI Artículos'!$A$4:$A$4,'[1]DATOS PBI Artículos'!$Y$4:$Y$4),[1]CRITERIOS!$P$79:$P$123,[1]CRITERIOS!$S$79:$S$123)),0)*[1]CRITERIOS!$M$80*([1]CRITERIOS!$M$110/[1]CRITERIOS!$M$86)+(_xlfn.XLOOKUP(A583,'[1]DATOS PBI Artículos'!$A$4:$A$4,'[1]DATOS PBI Artículos'!$AA$4:$AA$4)*([1]CRITERIOS!$M$95+[1]CRITERIOS!$M$98)))/N583)</f>
        <v>#N/A</v>
      </c>
      <c r="AD583" s="33" t="e">
        <f>IF(N583=0,"",(ROUNDUP((N583/2)/(_xlfn.XLOOKUP(A583,'[1]DATOS PBI Artículos'!$A$4:$A$4,'[1]DATOS PBI Artículos'!$Z$4:$Z$4)*_xlfn.XLOOKUP(_xlfn.XLOOKUP(A583,'[1]DATOS PBI Artículos'!$A$4:$A$4,'[1]DATOS PBI Artículos'!$Y$4:$Y$4),[1]CRITERIOS!$P$79:$P$123,[1]CRITERIOS!$S$79:$S$123)),0)*[1]CRITERIOS!$M$80*([1]CRITERIOS!$M$89*[1]CRITERIOS!$M$92)+((_xlfn.XLOOKUP(A583,'[1]DATOS PBI Artículos'!$A$4:$A$4,'[1]DATOS PBI Artículos'!$AA$4:$AA$4)/2)*([1]CRITERIOS!$M$95+[1]CRITERIOS!$M$98)))/N583)</f>
        <v>#N/A</v>
      </c>
      <c r="AE583" s="39" t="e">
        <f>IF($R583="MTO","",
IF($H583=0,ROUNDUP(((_xlfn.XLOOKUP($A583,'[1]DATOS PBI Artículos'!$A:$A,'[1]DATOS PBI Artículos'!$AL:$AL))/(_xlfn.XLOOKUP($AF$1,[1]CRITERIOS!$S$16:$S$39,[1]CRITERIOS!$Y$16:$Y$39))*$J583+$Z583)/$G583,0)*$G583,
((_xlfn.XLOOKUP($A583,'[1]DATOS PBI Artículos'!$A:$A,'[1]DATOS PBI Artículos'!$AL:$AL))/(_xlfn.XLOOKUP($AF$1,[1]CRITERIOS!$S$16:$S$39,[1]CRITERIOS!$Y$16:$Y$39))*$J583+$Z583)))</f>
        <v>#N/A</v>
      </c>
      <c r="AG583" s="39" t="e">
        <f>IF($R583="MTO","",
IF($H583=0,ROUNDUP(((_xlfn.XLOOKUP($A583,'[1]DATOS PBI Artículos'!$A:$A,'[1]DATOS PBI Artículos'!$AM:$AM))/(_xlfn.XLOOKUP($AH$1,[1]CRITERIOS!$S$16:$S$39,[1]CRITERIOS!$Y$16:$Y$39))*$J583+$Z583)/$G583,0)*$G583,
((_xlfn.XLOOKUP($A583,'[1]DATOS PBI Artículos'!$A:$A,'[1]DATOS PBI Artículos'!$AM:$AM))/(_xlfn.XLOOKUP($AH$1,[1]CRITERIOS!$S$16:$S$39,[1]CRITERIOS!$Y$16:$Y$39))*$J583+$Z583)))</f>
        <v>#N/A</v>
      </c>
      <c r="AI583" s="39" t="e">
        <f>IF($R583="MTO","",
IF($H583=0,ROUNDUP(((_xlfn.XLOOKUP($A583,'[1]DATOS PBI Artículos'!$A:$A,'[1]DATOS PBI Artículos'!$AN:$AN))/(_xlfn.XLOOKUP($AJ$1,[1]CRITERIOS!$S$16:$S$39,[1]CRITERIOS!$Y$16:$Y$39))*$J583+$Z583)/$G583,0)*$G583,
((_xlfn.XLOOKUP($A583,'[1]DATOS PBI Artículos'!$A:$A,'[1]DATOS PBI Artículos'!$AN:$AN))/(_xlfn.XLOOKUP($AJ$1,[1]CRITERIOS!$S$16:$S$39,[1]CRITERIOS!$Y$16:$Y$39))*$J583+$Z583)))</f>
        <v>#N/A</v>
      </c>
      <c r="AK583" s="39" t="e">
        <f>IF($R583="MTO","",
IF($H583=0,ROUNDUP(((_xlfn.XLOOKUP($A583,'[1]DATOS PBI Artículos'!$A:$A,'[1]DATOS PBI Artículos'!$AO:$AO))/(_xlfn.XLOOKUP($AL$1,[1]CRITERIOS!$S$16:$S$39,[1]CRITERIOS!$Y$16:$Y$39))*$J583+$Z583)/$G583,0)*$G583,
((_xlfn.XLOOKUP($A583,'[1]DATOS PBI Artículos'!$A:$A,'[1]DATOS PBI Artículos'!$AO:$AO))/(_xlfn.XLOOKUP($AL$1,[1]CRITERIOS!$S$16:$S$39,[1]CRITERIOS!$Y$16:$Y$39))*$J583+$Z583)))</f>
        <v>#N/A</v>
      </c>
    </row>
    <row r="584" spans="1:37" ht="25.8" hidden="1" x14ac:dyDescent="0.4">
      <c r="A584" s="41"/>
      <c r="B584" s="33">
        <f>_xlfn.XLOOKUP($A584,'[1]DATOS PBI Artículos'!A:A,'[1]DATOS PBI Artículos'!B:B)</f>
        <v>0</v>
      </c>
      <c r="C584" s="33">
        <f>_xlfn.XLOOKUP($A584,'[1]DATOS PBI Artículos'!A:A,'[1]DATOS PBI Artículos'!C:C)</f>
        <v>0</v>
      </c>
      <c r="D584" s="33">
        <f>_xlfn.XLOOKUP(A584,'[1]DATOS PBI Artículos'!A:A,'[1]DATOS PBI Artículos'!T:T)</f>
        <v>0</v>
      </c>
      <c r="E584" s="34">
        <f>IF(_xlfn.XLOOKUP($A584,'[1]DATOS PBI Artículos'!A:A,'[1]DATOS PBI Artículos'!AK:AK)="",_xlfn.XLOOKUP($A584,'[1]DATOS PBI Artículos'!A:A,'[1]DATOS PBI Artículos'!AJ:AJ),_xlfn.XLOOKUP($A584,'[1]DATOS PBI Artículos'!A:A,'[1]DATOS PBI Artículos'!AK:AK))</f>
        <v>0</v>
      </c>
      <c r="F584" s="35">
        <f>_xlfn.XLOOKUP($A584,'[1]DATOS PBI Artículos'!A:A,'[1]DATOS PBI Artículos'!AP:AP)</f>
        <v>0</v>
      </c>
      <c r="G584" s="34">
        <f>_xlfn.XLOOKUP($A584,'[1]DATOS PBI Artículos'!A:A,'[1]DATOS PBI Artículos'!AR:AR)</f>
        <v>0</v>
      </c>
      <c r="H584" s="34">
        <f>_xlfn.XLOOKUP($A584,'[1]DATOS PBI Artículos'!A:A,'[1]DATOS PBI Artículos'!AT:AT)</f>
        <v>0</v>
      </c>
      <c r="I584" s="34">
        <f>_xlfn.XLOOKUP($A584,'[1]DATOS PBI Artículos'!A:A,'[1]DATOS PBI Artículos'!AS:AS)</f>
        <v>0</v>
      </c>
      <c r="J584" s="35">
        <f>IF(COUNTIF([1]CRITERIOS!$F$179:$F$199,$A584)&gt;=1,
 IF(O584&lt;&gt;"",
    (O584/_xlfn.XLOOKUP(CONCATENATE(A584,L584),[1]MÁQUINAS!A:A,[1]MÁQUINAS!D:D))/24,
    (N584/_xlfn.XLOOKUP(CONCATENATE(A584,L584),[1]MÁQUINAS!A:A,[1]MÁQUINAS!D:D))/24),
  _xlfn.XLOOKUP($A584,'[1]DATOS PBI Artículos'!A:A,'[1]DATOS PBI Artículos'!AU:AU))</f>
        <v>0</v>
      </c>
      <c r="K584" s="36">
        <f>_xlfn.XLOOKUP($A584,'[1]DATOS PBI Artículos'!A:A,'[1]DATOS PBI Artículos'!AV:AV)</f>
        <v>0</v>
      </c>
      <c r="L584" s="33">
        <f>_xlfn.XLOOKUP(A584,[1]MÁQUINAS!B:B,[1]MÁQUINAS!C:C)</f>
        <v>0</v>
      </c>
      <c r="M584" s="34">
        <f t="array" ref="M584">_xlfn.XLOOKUP(A584,'[1]DATOS PBI Artículos'!A:A,'[1]DATOS PBI Artículos'!AX:$AX)</f>
        <v>0</v>
      </c>
      <c r="N584" s="37" t="e">
        <f>IF(I584="DV",
E584,
IF(COUNTIF([1]CRITERIOS!$I$179:$I$199,$A584)&gt;=1,
_xlfn.XLOOKUP($A584,[1]CRITERIOS!$I$179:$I$199,[1]CRITERIOS!$J$179:$J$199),
IF(COUNTIF([1]CRITERIOS!$L$179:$L$199,$A584)&gt;=1,
_xlfn.CEILING.MATH(IF($M584&gt;$E584,
$E584,
IF($M584&lt;$E584/ROUNDDOWN([1]CRITERIOS!$M$16/_xlfn.XLOOKUP($C584,[1]CRITERIOS!$K$25:$K$42,[1]CRITERIOS!$M$25:$M$42),
1),
E584/ROUNDDOWN([1]CRITERIOS!$M$16/_xlfn.XLOOKUP($C584,[1]CRITERIOS!$K$25:$K$42,[1]CRITERIOS!$M$25:$M$42),
1),
$M584)),
_xlfn.XLOOKUP($A584,[1]CRITERIOS!$L$179:$L$200,[1]CRITERIOS!$M$179:$M$200)),
_xlfn.CEILING.MATH(IF($M584&gt;$E584,
$E584,
IF($M584&lt;$E584/ROUNDDOWN([1]CRITERIOS!$M$16/_xlfn.XLOOKUP($C584,[1]CRITERIOS!$K$25:$K$42,[1]CRITERIOS!$M$25:$M$42),
1),
E584/ROUNDDOWN([1]CRITERIOS!$M$16/_xlfn.XLOOKUP($C584,[1]CRITERIOS!$K$25:$K$42,[1]CRITERIOS!$M$25:$M$42),
1),
$M584)),_xlfn.XLOOKUP(A584,'[1]DATOS PBI Artículos'!A:A,'[1]DATOS PBI Artículos'!Z:Z
)))))</f>
        <v>#N/A</v>
      </c>
      <c r="Q584" s="38" t="e">
        <f>IF(AND(O584="",N584=0),
0,
   IF(COUNTIF([1]CRITERIOS!$F$179:$F$199,$A584)&gt;=1,
   1,
   IF(R584="MTO",
      $D584,
      ROUNDUP(
                    IF(($E584-SUMIF('[1]DATOS PBI Artículos'!A:A,A584,'[1]DATOS PBI Artículos'!X:X)+($V584-_xlfn.XLOOKUP(A584,'[1]DATOS PBI Artículos'!A:A,'[1]DATOS PBI Artículos'!W:W)))&lt;0,
                    0,
                    IF(($E584-SUMIF('[1]DATOS PBI Artículos'!A:A,A584,'[1]DATOS PBI Artículos'!X:X)+$V584-_xlfn.XLOOKUP($A584,'[1]DATOS PBI Artículos'!A:A,'[1]DATOS PBI Artículos'!W:W))/IF($O584="",$N584,$O584)&gt;ROUNDUP([1]CRITERIOS!$M$16/(IF(COUNTIF([1]CRITERIOS!$BG$11:$BG$201,L584)&gt;=1,_xlfn.XLOOKUP($C584,[1]CRITERIOS!$K$25:$K$42,[1]CRITERIOS!$M$25:$M$42),_xlfn.XLOOKUP($C584,[1]CRITERIOS!$K$25:$K$42,[1]CRITERIOS!$M$25:$M$42))),0),
                    ROUNDUP([1]CRITERIOS!$M$16/(IF(COUNTIF([1]CRITERIOS!$BG$11:$BG$201,$L584)&gt;=1,_xlfn.XLOOKUP($C584,[1]CRITERIOS!$K$25:$K$42,[1]CRITERIOS!$M$25:$M$42),_xlfn.XLOOKUP($C584,[1]CRITERIOS!$K$25:$K$42,[1]CRITERIOS!$M$25:$M$42))),0),
                    (E584+V584-SUMIF('[1]DATOS PBI Artículos'!A:A,A584,'[1]DATOS PBI Artículos'!X:X)-_xlfn.XLOOKUP(A584,'[1]DATOS PBI Artículos'!A:A,'[1]DATOS PBI Artículos'!W:W))/IF($O584="",$N584,$O584))),0))))</f>
        <v>#N/A</v>
      </c>
      <c r="R584" s="33" t="e">
        <f>IF(U584&lt;&gt;"",U584,IF(F584="DV","MTO",IF(N584=0,"MTO",_xlfn.XLOOKUP(CONCATENATE(S584,T584),[1]CRITERIOS!$K$160:$K$168,[1]CRITERIOS!$N$160:$N$168))))</f>
        <v>#N/A</v>
      </c>
      <c r="S584" s="33" t="e">
        <f>IF(G584="DV","MTO",IF(N584=0,"MTO",IF(OR(AND(N584=0,O584=""),IF(O584="",G584/N584,G584/O584)&gt;[1]CRITERIOS!$G$163),"MTO",IF(IF(O584="",G584/N584,G584/O584)&lt;[1]CRITERIOS!$H$161,"MTS","MTOS"))))</f>
        <v>#N/A</v>
      </c>
      <c r="T584" s="33" t="e">
        <f>IF(F584="DV","MTO",IF(OR(AND($N584=0,O584=""),$F584/$J584&gt;[1]CRITERIOS!$G$170,$F584="DV"),"MTO",IF($F584/$J584&lt;[1]CRITERIOS!$H$168,"MTS","MTOS")))</f>
        <v>#N/A</v>
      </c>
      <c r="V584" s="34" t="e">
        <f t="shared" si="28"/>
        <v>#N/A</v>
      </c>
      <c r="X584" s="34" t="e">
        <f t="shared" si="29"/>
        <v>#N/A</v>
      </c>
      <c r="Y584" s="34" t="e">
        <f t="shared" si="30"/>
        <v>#N/A</v>
      </c>
      <c r="Z584" s="34" t="e">
        <f>IF($R584="MTO",
0,
($H584+$K584*($E584/[1]CRITERIOS!$M$16))/[1]CRITERIOS!$X$48)</f>
        <v>#N/A</v>
      </c>
      <c r="AA584" s="34" t="e">
        <f>ROUNDUP(($Y584/_xlfn.XLOOKUP($A584,'[1]DATOS PBI Artículos'!$A$4:$A$4,'[1]DATOS PBI Artículos'!$Z$4:$Z$4))/_xlfn.XLOOKUP(_xlfn.XLOOKUP($A584,'[1]DATOS PBI Artículos'!$A$4:$A$4,'[1]DATOS PBI Artículos'!$Y$4:$Y$4),[1]CRITERIOS!$P$79:$P$123,[1]CRITERIOS!$S$79:$S$123,),0)</f>
        <v>#N/A</v>
      </c>
      <c r="AB584" s="33" t="e">
        <f t="array" ref="AB584">IF((E584+V584-_xlfn.XLOOKUP(A584,'[1]DATOS PBI Artículos'!$A$4:$A$4,'[1]DATOS PBI Artículos'!$W$4:$W$4))/N584&gt;ROUNDUP([1]CRITERIOS!$M$16/(IF(COUNTIF([1]CRITERIOS!$BG$11:$BG$201,L584)&gt;=1,_xlfn.XLOOKUP(ARTÍCULOS!L584,[1]CRITERIOS!$BG$11:$BG$201,[1]CRITERIOS!$BJ$11:$BJ$201),_xlfn.XLOOKUP(ARTÍCULOS!C584,[1]CRITERIOS!$K$25:$K$42,[1]CRITERIOS!$M$25:$M$42))),0),ROUNDUP([1]CRITERIOS!$M$16/(IF(COUNTIF([1]CRITERIOS!$BG$11:$BG$201,L584)&gt;=1,_xlfn.XLOOKUP(ARTÍCULOS!L584,[1]CRITERIOS!$BG$11:$BG$201:#REF!,[1]CRITERIOS!$BJ$11:$BJ$201),_xlfn.XLOOKUP(ARTÍCULOS!C584,[1]CRITERIOS!$K$25:$K$42,[1]CRITERIOS!$M$25:$M$42))),0),(E584+V584-_xlfn.XLOOKUP(A584,'[1]DATOS PBI Artículos'!$A$4:$A$4,'[1]DATOS PBI Artículos'!$W$4:$W$4))/N584)</f>
        <v>#N/A</v>
      </c>
      <c r="AC584" s="33" t="e">
        <f>IF(N584=0,"",(ROUNDUP((N584/2)/(_xlfn.XLOOKUP(A584,'[1]DATOS PBI Artículos'!$A$4:$A$4,'[1]DATOS PBI Artículos'!$Z$4:$Z$4)*_xlfn.XLOOKUP(_xlfn.XLOOKUP(A584,'[1]DATOS PBI Artículos'!$A$4:$A$4,'[1]DATOS PBI Artículos'!$Y$4:$Y$4),[1]CRITERIOS!$P$79:$P$123,[1]CRITERIOS!$S$79:$S$123)),0)*[1]CRITERIOS!$M$80*([1]CRITERIOS!$M$110/[1]CRITERIOS!$M$86)+(_xlfn.XLOOKUP(A584,'[1]DATOS PBI Artículos'!$A$4:$A$4,'[1]DATOS PBI Artículos'!$AA$4:$AA$4)*([1]CRITERIOS!$M$95+[1]CRITERIOS!$M$98)))/N584)</f>
        <v>#N/A</v>
      </c>
      <c r="AD584" s="33" t="e">
        <f>IF(N584=0,"",(ROUNDUP((N584/2)/(_xlfn.XLOOKUP(A584,'[1]DATOS PBI Artículos'!$A$4:$A$4,'[1]DATOS PBI Artículos'!$Z$4:$Z$4)*_xlfn.XLOOKUP(_xlfn.XLOOKUP(A584,'[1]DATOS PBI Artículos'!$A$4:$A$4,'[1]DATOS PBI Artículos'!$Y$4:$Y$4),[1]CRITERIOS!$P$79:$P$123,[1]CRITERIOS!$S$79:$S$123)),0)*[1]CRITERIOS!$M$80*([1]CRITERIOS!$M$89*[1]CRITERIOS!$M$92)+((_xlfn.XLOOKUP(A584,'[1]DATOS PBI Artículos'!$A$4:$A$4,'[1]DATOS PBI Artículos'!$AA$4:$AA$4)/2)*([1]CRITERIOS!$M$95+[1]CRITERIOS!$M$98)))/N584)</f>
        <v>#N/A</v>
      </c>
      <c r="AE584" s="39" t="e">
        <f>IF($R584="MTO","",
IF($H584=0,ROUNDUP(((_xlfn.XLOOKUP($A584,'[1]DATOS PBI Artículos'!$A:$A,'[1]DATOS PBI Artículos'!$AL:$AL))/(_xlfn.XLOOKUP($AF$1,[1]CRITERIOS!$S$16:$S$39,[1]CRITERIOS!$Y$16:$Y$39))*$J584+$Z584)/$G584,0)*$G584,
((_xlfn.XLOOKUP($A584,'[1]DATOS PBI Artículos'!$A:$A,'[1]DATOS PBI Artículos'!$AL:$AL))/(_xlfn.XLOOKUP($AF$1,[1]CRITERIOS!$S$16:$S$39,[1]CRITERIOS!$Y$16:$Y$39))*$J584+$Z584)))</f>
        <v>#N/A</v>
      </c>
      <c r="AG584" s="39" t="e">
        <f>IF($R584="MTO","",
IF($H584=0,ROUNDUP(((_xlfn.XLOOKUP($A584,'[1]DATOS PBI Artículos'!$A:$A,'[1]DATOS PBI Artículos'!$AM:$AM))/(_xlfn.XLOOKUP($AH$1,[1]CRITERIOS!$S$16:$S$39,[1]CRITERIOS!$Y$16:$Y$39))*$J584+$Z584)/$G584,0)*$G584,
((_xlfn.XLOOKUP($A584,'[1]DATOS PBI Artículos'!$A:$A,'[1]DATOS PBI Artículos'!$AM:$AM))/(_xlfn.XLOOKUP($AH$1,[1]CRITERIOS!$S$16:$S$39,[1]CRITERIOS!$Y$16:$Y$39))*$J584+$Z584)))</f>
        <v>#N/A</v>
      </c>
      <c r="AI584" s="39" t="e">
        <f>IF($R584="MTO","",
IF($H584=0,ROUNDUP(((_xlfn.XLOOKUP($A584,'[1]DATOS PBI Artículos'!$A:$A,'[1]DATOS PBI Artículos'!$AN:$AN))/(_xlfn.XLOOKUP($AJ$1,[1]CRITERIOS!$S$16:$S$39,[1]CRITERIOS!$Y$16:$Y$39))*$J584+$Z584)/$G584,0)*$G584,
((_xlfn.XLOOKUP($A584,'[1]DATOS PBI Artículos'!$A:$A,'[1]DATOS PBI Artículos'!$AN:$AN))/(_xlfn.XLOOKUP($AJ$1,[1]CRITERIOS!$S$16:$S$39,[1]CRITERIOS!$Y$16:$Y$39))*$J584+$Z584)))</f>
        <v>#N/A</v>
      </c>
      <c r="AK584" s="39" t="e">
        <f>IF($R584="MTO","",
IF($H584=0,ROUNDUP(((_xlfn.XLOOKUP($A584,'[1]DATOS PBI Artículos'!$A:$A,'[1]DATOS PBI Artículos'!$AO:$AO))/(_xlfn.XLOOKUP($AL$1,[1]CRITERIOS!$S$16:$S$39,[1]CRITERIOS!$Y$16:$Y$39))*$J584+$Z584)/$G584,0)*$G584,
((_xlfn.XLOOKUP($A584,'[1]DATOS PBI Artículos'!$A:$A,'[1]DATOS PBI Artículos'!$AO:$AO))/(_xlfn.XLOOKUP($AL$1,[1]CRITERIOS!$S$16:$S$39,[1]CRITERIOS!$Y$16:$Y$39))*$J584+$Z584)))</f>
        <v>#N/A</v>
      </c>
    </row>
    <row r="585" spans="1:37" ht="25.8" hidden="1" x14ac:dyDescent="0.4">
      <c r="A585" s="41"/>
      <c r="B585" s="33">
        <f>_xlfn.XLOOKUP($A585,'[1]DATOS PBI Artículos'!A:A,'[1]DATOS PBI Artículos'!B:B)</f>
        <v>0</v>
      </c>
      <c r="C585" s="33">
        <f>_xlfn.XLOOKUP($A585,'[1]DATOS PBI Artículos'!A:A,'[1]DATOS PBI Artículos'!C:C)</f>
        <v>0</v>
      </c>
      <c r="D585" s="33">
        <f>_xlfn.XLOOKUP(A585,'[1]DATOS PBI Artículos'!A:A,'[1]DATOS PBI Artículos'!T:T)</f>
        <v>0</v>
      </c>
      <c r="E585" s="34">
        <f>IF(_xlfn.XLOOKUP($A585,'[1]DATOS PBI Artículos'!A:A,'[1]DATOS PBI Artículos'!AK:AK)="",_xlfn.XLOOKUP($A585,'[1]DATOS PBI Artículos'!A:A,'[1]DATOS PBI Artículos'!AJ:AJ),_xlfn.XLOOKUP($A585,'[1]DATOS PBI Artículos'!A:A,'[1]DATOS PBI Artículos'!AK:AK))</f>
        <v>0</v>
      </c>
      <c r="F585" s="35">
        <f>_xlfn.XLOOKUP($A585,'[1]DATOS PBI Artículos'!A:A,'[1]DATOS PBI Artículos'!AP:AP)</f>
        <v>0</v>
      </c>
      <c r="G585" s="34">
        <f>_xlfn.XLOOKUP($A585,'[1]DATOS PBI Artículos'!A:A,'[1]DATOS PBI Artículos'!AR:AR)</f>
        <v>0</v>
      </c>
      <c r="H585" s="34">
        <f>_xlfn.XLOOKUP($A585,'[1]DATOS PBI Artículos'!A:A,'[1]DATOS PBI Artículos'!AT:AT)</f>
        <v>0</v>
      </c>
      <c r="I585" s="34">
        <f>_xlfn.XLOOKUP($A585,'[1]DATOS PBI Artículos'!A:A,'[1]DATOS PBI Artículos'!AS:AS)</f>
        <v>0</v>
      </c>
      <c r="J585" s="35">
        <f>IF(COUNTIF([1]CRITERIOS!$F$179:$F$199,$A585)&gt;=1,
 IF(O585&lt;&gt;"",
    (O585/_xlfn.XLOOKUP(CONCATENATE(A585,L585),[1]MÁQUINAS!A:A,[1]MÁQUINAS!D:D))/24,
    (N585/_xlfn.XLOOKUP(CONCATENATE(A585,L585),[1]MÁQUINAS!A:A,[1]MÁQUINAS!D:D))/24),
  _xlfn.XLOOKUP($A585,'[1]DATOS PBI Artículos'!A:A,'[1]DATOS PBI Artículos'!AU:AU))</f>
        <v>0</v>
      </c>
      <c r="K585" s="36">
        <f>_xlfn.XLOOKUP($A585,'[1]DATOS PBI Artículos'!A:A,'[1]DATOS PBI Artículos'!AV:AV)</f>
        <v>0</v>
      </c>
      <c r="L585" s="33">
        <f>_xlfn.XLOOKUP(A585,[1]MÁQUINAS!B:B,[1]MÁQUINAS!C:C)</f>
        <v>0</v>
      </c>
      <c r="M585" s="34">
        <f t="array" ref="M585">_xlfn.XLOOKUP(A585,'[1]DATOS PBI Artículos'!A:A,'[1]DATOS PBI Artículos'!AX:$AX)</f>
        <v>0</v>
      </c>
      <c r="N585" s="37" t="e">
        <f>IF(I585="DV",
E585,
IF(COUNTIF([1]CRITERIOS!$I$179:$I$199,$A585)&gt;=1,
_xlfn.XLOOKUP($A585,[1]CRITERIOS!$I$179:$I$199,[1]CRITERIOS!$J$179:$J$199),
IF(COUNTIF([1]CRITERIOS!$L$179:$L$199,$A585)&gt;=1,
_xlfn.CEILING.MATH(IF($M585&gt;$E585,
$E585,
IF($M585&lt;$E585/ROUNDDOWN([1]CRITERIOS!$M$16/_xlfn.XLOOKUP($C585,[1]CRITERIOS!$K$25:$K$42,[1]CRITERIOS!$M$25:$M$42),
1),
E585/ROUNDDOWN([1]CRITERIOS!$M$16/_xlfn.XLOOKUP($C585,[1]CRITERIOS!$K$25:$K$42,[1]CRITERIOS!$M$25:$M$42),
1),
$M585)),
_xlfn.XLOOKUP($A585,[1]CRITERIOS!$L$179:$L$200,[1]CRITERIOS!$M$179:$M$200)),
_xlfn.CEILING.MATH(IF($M585&gt;$E585,
$E585,
IF($M585&lt;$E585/ROUNDDOWN([1]CRITERIOS!$M$16/_xlfn.XLOOKUP($C585,[1]CRITERIOS!$K$25:$K$42,[1]CRITERIOS!$M$25:$M$42),
1),
E585/ROUNDDOWN([1]CRITERIOS!$M$16/_xlfn.XLOOKUP($C585,[1]CRITERIOS!$K$25:$K$42,[1]CRITERIOS!$M$25:$M$42),
1),
$M585)),_xlfn.XLOOKUP(A585,'[1]DATOS PBI Artículos'!A:A,'[1]DATOS PBI Artículos'!Z:Z
)))))</f>
        <v>#N/A</v>
      </c>
      <c r="Q585" s="38" t="e">
        <f>IF(AND(O585="",N585=0),
0,
   IF(COUNTIF([1]CRITERIOS!$F$179:$F$199,$A585)&gt;=1,
   1,
   IF(R585="MTO",
      $D585,
      ROUNDUP(
                    IF(($E585-SUMIF('[1]DATOS PBI Artículos'!A:A,A585,'[1]DATOS PBI Artículos'!X:X)+($V585-_xlfn.XLOOKUP(A585,'[1]DATOS PBI Artículos'!A:A,'[1]DATOS PBI Artículos'!W:W)))&lt;0,
                    0,
                    IF(($E585-SUMIF('[1]DATOS PBI Artículos'!A:A,A585,'[1]DATOS PBI Artículos'!X:X)+$V585-_xlfn.XLOOKUP($A585,'[1]DATOS PBI Artículos'!A:A,'[1]DATOS PBI Artículos'!W:W))/IF($O585="",$N585,$O585)&gt;ROUNDUP([1]CRITERIOS!$M$16/(IF(COUNTIF([1]CRITERIOS!$BG$11:$BG$201,L585)&gt;=1,_xlfn.XLOOKUP($C585,[1]CRITERIOS!$K$25:$K$42,[1]CRITERIOS!$M$25:$M$42),_xlfn.XLOOKUP($C585,[1]CRITERIOS!$K$25:$K$42,[1]CRITERIOS!$M$25:$M$42))),0),
                    ROUNDUP([1]CRITERIOS!$M$16/(IF(COUNTIF([1]CRITERIOS!$BG$11:$BG$201,$L585)&gt;=1,_xlfn.XLOOKUP($C585,[1]CRITERIOS!$K$25:$K$42,[1]CRITERIOS!$M$25:$M$42),_xlfn.XLOOKUP($C585,[1]CRITERIOS!$K$25:$K$42,[1]CRITERIOS!$M$25:$M$42))),0),
                    (E585+V585-SUMIF('[1]DATOS PBI Artículos'!A:A,A585,'[1]DATOS PBI Artículos'!X:X)-_xlfn.XLOOKUP(A585,'[1]DATOS PBI Artículos'!A:A,'[1]DATOS PBI Artículos'!W:W))/IF($O585="",$N585,$O585))),0))))</f>
        <v>#N/A</v>
      </c>
      <c r="R585" s="33" t="e">
        <f>IF(U585&lt;&gt;"",U585,IF(F585="DV","MTO",IF(N585=0,"MTO",_xlfn.XLOOKUP(CONCATENATE(S585,T585),[1]CRITERIOS!$K$160:$K$168,[1]CRITERIOS!$N$160:$N$168))))</f>
        <v>#N/A</v>
      </c>
      <c r="S585" s="33" t="e">
        <f>IF(G585="DV","MTO",IF(N585=0,"MTO",IF(OR(AND(N585=0,O585=""),IF(O585="",G585/N585,G585/O585)&gt;[1]CRITERIOS!$G$163),"MTO",IF(IF(O585="",G585/N585,G585/O585)&lt;[1]CRITERIOS!$H$161,"MTS","MTOS"))))</f>
        <v>#N/A</v>
      </c>
      <c r="T585" s="33" t="e">
        <f>IF(F585="DV","MTO",IF(OR(AND($N585=0,O585=""),$F585/$J585&gt;[1]CRITERIOS!$G$170,$F585="DV"),"MTO",IF($F585/$J585&lt;[1]CRITERIOS!$H$168,"MTS","MTOS")))</f>
        <v>#N/A</v>
      </c>
      <c r="V585" s="34" t="e">
        <f t="shared" si="28"/>
        <v>#N/A</v>
      </c>
      <c r="X585" s="34" t="e">
        <f t="shared" si="29"/>
        <v>#N/A</v>
      </c>
      <c r="Y585" s="34" t="e">
        <f t="shared" si="30"/>
        <v>#N/A</v>
      </c>
      <c r="Z585" s="34" t="e">
        <f>IF($R585="MTO",
0,
($H585+$K585*($E585/[1]CRITERIOS!$M$16))/[1]CRITERIOS!$X$48)</f>
        <v>#N/A</v>
      </c>
      <c r="AA585" s="34" t="e">
        <f>ROUNDUP(($Y585/_xlfn.XLOOKUP($A585,'[1]DATOS PBI Artículos'!$A$4:$A$4,'[1]DATOS PBI Artículos'!$Z$4:$Z$4))/_xlfn.XLOOKUP(_xlfn.XLOOKUP($A585,'[1]DATOS PBI Artículos'!$A$4:$A$4,'[1]DATOS PBI Artículos'!$Y$4:$Y$4),[1]CRITERIOS!$P$79:$P$123,[1]CRITERIOS!$S$79:$S$123,),0)</f>
        <v>#N/A</v>
      </c>
      <c r="AB585" s="33" t="e">
        <f t="array" ref="AB585">IF((E585+V585-_xlfn.XLOOKUP(A585,'[1]DATOS PBI Artículos'!$A$4:$A$4,'[1]DATOS PBI Artículos'!$W$4:$W$4))/N585&gt;ROUNDUP([1]CRITERIOS!$M$16/(IF(COUNTIF([1]CRITERIOS!$BG$11:$BG$201,L585)&gt;=1,_xlfn.XLOOKUP(ARTÍCULOS!L585,[1]CRITERIOS!$BG$11:$BG$201,[1]CRITERIOS!$BJ$11:$BJ$201),_xlfn.XLOOKUP(ARTÍCULOS!C585,[1]CRITERIOS!$K$25:$K$42,[1]CRITERIOS!$M$25:$M$42))),0),ROUNDUP([1]CRITERIOS!$M$16/(IF(COUNTIF([1]CRITERIOS!$BG$11:$BG$201,L585)&gt;=1,_xlfn.XLOOKUP(ARTÍCULOS!L585,[1]CRITERIOS!$BG$11:$BG$201:#REF!,[1]CRITERIOS!$BJ$11:$BJ$201),_xlfn.XLOOKUP(ARTÍCULOS!C585,[1]CRITERIOS!$K$25:$K$42,[1]CRITERIOS!$M$25:$M$42))),0),(E585+V585-_xlfn.XLOOKUP(A585,'[1]DATOS PBI Artículos'!$A$4:$A$4,'[1]DATOS PBI Artículos'!$W$4:$W$4))/N585)</f>
        <v>#N/A</v>
      </c>
      <c r="AC585" s="33" t="e">
        <f>IF(N585=0,"",(ROUNDUP((N585/2)/(_xlfn.XLOOKUP(A585,'[1]DATOS PBI Artículos'!$A$4:$A$4,'[1]DATOS PBI Artículos'!$Z$4:$Z$4)*_xlfn.XLOOKUP(_xlfn.XLOOKUP(A585,'[1]DATOS PBI Artículos'!$A$4:$A$4,'[1]DATOS PBI Artículos'!$Y$4:$Y$4),[1]CRITERIOS!$P$79:$P$123,[1]CRITERIOS!$S$79:$S$123)),0)*[1]CRITERIOS!$M$80*([1]CRITERIOS!$M$110/[1]CRITERIOS!$M$86)+(_xlfn.XLOOKUP(A585,'[1]DATOS PBI Artículos'!$A$4:$A$4,'[1]DATOS PBI Artículos'!$AA$4:$AA$4)*([1]CRITERIOS!$M$95+[1]CRITERIOS!$M$98)))/N585)</f>
        <v>#N/A</v>
      </c>
      <c r="AD585" s="33" t="e">
        <f>IF(N585=0,"",(ROUNDUP((N585/2)/(_xlfn.XLOOKUP(A585,'[1]DATOS PBI Artículos'!$A$4:$A$4,'[1]DATOS PBI Artículos'!$Z$4:$Z$4)*_xlfn.XLOOKUP(_xlfn.XLOOKUP(A585,'[1]DATOS PBI Artículos'!$A$4:$A$4,'[1]DATOS PBI Artículos'!$Y$4:$Y$4),[1]CRITERIOS!$P$79:$P$123,[1]CRITERIOS!$S$79:$S$123)),0)*[1]CRITERIOS!$M$80*([1]CRITERIOS!$M$89*[1]CRITERIOS!$M$92)+((_xlfn.XLOOKUP(A585,'[1]DATOS PBI Artículos'!$A$4:$A$4,'[1]DATOS PBI Artículos'!$AA$4:$AA$4)/2)*([1]CRITERIOS!$M$95+[1]CRITERIOS!$M$98)))/N585)</f>
        <v>#N/A</v>
      </c>
      <c r="AE585" s="39" t="e">
        <f>IF($R585="MTO","",
IF($H585=0,ROUNDUP(((_xlfn.XLOOKUP($A585,'[1]DATOS PBI Artículos'!$A:$A,'[1]DATOS PBI Artículos'!$AL:$AL))/(_xlfn.XLOOKUP($AF$1,[1]CRITERIOS!$S$16:$S$39,[1]CRITERIOS!$Y$16:$Y$39))*$J585+$Z585)/$G585,0)*$G585,
((_xlfn.XLOOKUP($A585,'[1]DATOS PBI Artículos'!$A:$A,'[1]DATOS PBI Artículos'!$AL:$AL))/(_xlfn.XLOOKUP($AF$1,[1]CRITERIOS!$S$16:$S$39,[1]CRITERIOS!$Y$16:$Y$39))*$J585+$Z585)))</f>
        <v>#N/A</v>
      </c>
      <c r="AG585" s="39" t="e">
        <f>IF($R585="MTO","",
IF($H585=0,ROUNDUP(((_xlfn.XLOOKUP($A585,'[1]DATOS PBI Artículos'!$A:$A,'[1]DATOS PBI Artículos'!$AM:$AM))/(_xlfn.XLOOKUP($AH$1,[1]CRITERIOS!$S$16:$S$39,[1]CRITERIOS!$Y$16:$Y$39))*$J585+$Z585)/$G585,0)*$G585,
((_xlfn.XLOOKUP($A585,'[1]DATOS PBI Artículos'!$A:$A,'[1]DATOS PBI Artículos'!$AM:$AM))/(_xlfn.XLOOKUP($AH$1,[1]CRITERIOS!$S$16:$S$39,[1]CRITERIOS!$Y$16:$Y$39))*$J585+$Z585)))</f>
        <v>#N/A</v>
      </c>
      <c r="AI585" s="39" t="e">
        <f>IF($R585="MTO","",
IF($H585=0,ROUNDUP(((_xlfn.XLOOKUP($A585,'[1]DATOS PBI Artículos'!$A:$A,'[1]DATOS PBI Artículos'!$AN:$AN))/(_xlfn.XLOOKUP($AJ$1,[1]CRITERIOS!$S$16:$S$39,[1]CRITERIOS!$Y$16:$Y$39))*$J585+$Z585)/$G585,0)*$G585,
((_xlfn.XLOOKUP($A585,'[1]DATOS PBI Artículos'!$A:$A,'[1]DATOS PBI Artículos'!$AN:$AN))/(_xlfn.XLOOKUP($AJ$1,[1]CRITERIOS!$S$16:$S$39,[1]CRITERIOS!$Y$16:$Y$39))*$J585+$Z585)))</f>
        <v>#N/A</v>
      </c>
      <c r="AK585" s="39" t="e">
        <f>IF($R585="MTO","",
IF($H585=0,ROUNDUP(((_xlfn.XLOOKUP($A585,'[1]DATOS PBI Artículos'!$A:$A,'[1]DATOS PBI Artículos'!$AO:$AO))/(_xlfn.XLOOKUP($AL$1,[1]CRITERIOS!$S$16:$S$39,[1]CRITERIOS!$Y$16:$Y$39))*$J585+$Z585)/$G585,0)*$G585,
((_xlfn.XLOOKUP($A585,'[1]DATOS PBI Artículos'!$A:$A,'[1]DATOS PBI Artículos'!$AO:$AO))/(_xlfn.XLOOKUP($AL$1,[1]CRITERIOS!$S$16:$S$39,[1]CRITERIOS!$Y$16:$Y$39))*$J585+$Z585)))</f>
        <v>#N/A</v>
      </c>
    </row>
    <row r="586" spans="1:37" ht="25.8" hidden="1" x14ac:dyDescent="0.4">
      <c r="A586" s="41"/>
      <c r="B586" s="33">
        <f>_xlfn.XLOOKUP($A586,'[1]DATOS PBI Artículos'!A:A,'[1]DATOS PBI Artículos'!B:B)</f>
        <v>0</v>
      </c>
      <c r="C586" s="33">
        <f>_xlfn.XLOOKUP($A586,'[1]DATOS PBI Artículos'!A:A,'[1]DATOS PBI Artículos'!C:C)</f>
        <v>0</v>
      </c>
      <c r="D586" s="33">
        <f>_xlfn.XLOOKUP(A586,'[1]DATOS PBI Artículos'!A:A,'[1]DATOS PBI Artículos'!T:T)</f>
        <v>0</v>
      </c>
      <c r="E586" s="34">
        <f>IF(_xlfn.XLOOKUP($A586,'[1]DATOS PBI Artículos'!A:A,'[1]DATOS PBI Artículos'!AK:AK)="",_xlfn.XLOOKUP($A586,'[1]DATOS PBI Artículos'!A:A,'[1]DATOS PBI Artículos'!AJ:AJ),_xlfn.XLOOKUP($A586,'[1]DATOS PBI Artículos'!A:A,'[1]DATOS PBI Artículos'!AK:AK))</f>
        <v>0</v>
      </c>
      <c r="F586" s="35">
        <f>_xlfn.XLOOKUP($A586,'[1]DATOS PBI Artículos'!A:A,'[1]DATOS PBI Artículos'!AP:AP)</f>
        <v>0</v>
      </c>
      <c r="G586" s="34">
        <f>_xlfn.XLOOKUP($A586,'[1]DATOS PBI Artículos'!A:A,'[1]DATOS PBI Artículos'!AR:AR)</f>
        <v>0</v>
      </c>
      <c r="H586" s="34">
        <f>_xlfn.XLOOKUP($A586,'[1]DATOS PBI Artículos'!A:A,'[1]DATOS PBI Artículos'!AT:AT)</f>
        <v>0</v>
      </c>
      <c r="I586" s="34">
        <f>_xlfn.XLOOKUP($A586,'[1]DATOS PBI Artículos'!A:A,'[1]DATOS PBI Artículos'!AS:AS)</f>
        <v>0</v>
      </c>
      <c r="J586" s="35">
        <f>IF(COUNTIF([1]CRITERIOS!$F$179:$F$199,$A586)&gt;=1,
 IF(O586&lt;&gt;"",
    (O586/_xlfn.XLOOKUP(CONCATENATE(A586,L586),[1]MÁQUINAS!A:A,[1]MÁQUINAS!D:D))/24,
    (N586/_xlfn.XLOOKUP(CONCATENATE(A586,L586),[1]MÁQUINAS!A:A,[1]MÁQUINAS!D:D))/24),
  _xlfn.XLOOKUP($A586,'[1]DATOS PBI Artículos'!A:A,'[1]DATOS PBI Artículos'!AU:AU))</f>
        <v>0</v>
      </c>
      <c r="K586" s="36">
        <f>_xlfn.XLOOKUP($A586,'[1]DATOS PBI Artículos'!A:A,'[1]DATOS PBI Artículos'!AV:AV)</f>
        <v>0</v>
      </c>
      <c r="L586" s="33">
        <f>_xlfn.XLOOKUP(A586,[1]MÁQUINAS!B:B,[1]MÁQUINAS!C:C)</f>
        <v>0</v>
      </c>
      <c r="M586" s="34">
        <f t="array" ref="M586">_xlfn.XLOOKUP(A586,'[1]DATOS PBI Artículos'!A:A,'[1]DATOS PBI Artículos'!AX:$AX)</f>
        <v>0</v>
      </c>
      <c r="N586" s="37" t="e">
        <f>IF(I586="DV",
E586,
IF(COUNTIF([1]CRITERIOS!$I$179:$I$199,$A586)&gt;=1,
_xlfn.XLOOKUP($A586,[1]CRITERIOS!$I$179:$I$199,[1]CRITERIOS!$J$179:$J$199),
IF(COUNTIF([1]CRITERIOS!$L$179:$L$199,$A586)&gt;=1,
_xlfn.CEILING.MATH(IF($M586&gt;$E586,
$E586,
IF($M586&lt;$E586/ROUNDDOWN([1]CRITERIOS!$M$16/_xlfn.XLOOKUP($C586,[1]CRITERIOS!$K$25:$K$42,[1]CRITERIOS!$M$25:$M$42),
1),
E586/ROUNDDOWN([1]CRITERIOS!$M$16/_xlfn.XLOOKUP($C586,[1]CRITERIOS!$K$25:$K$42,[1]CRITERIOS!$M$25:$M$42),
1),
$M586)),
_xlfn.XLOOKUP($A586,[1]CRITERIOS!$L$179:$L$200,[1]CRITERIOS!$M$179:$M$200)),
_xlfn.CEILING.MATH(IF($M586&gt;$E586,
$E586,
IF($M586&lt;$E586/ROUNDDOWN([1]CRITERIOS!$M$16/_xlfn.XLOOKUP($C586,[1]CRITERIOS!$K$25:$K$42,[1]CRITERIOS!$M$25:$M$42),
1),
E586/ROUNDDOWN([1]CRITERIOS!$M$16/_xlfn.XLOOKUP($C586,[1]CRITERIOS!$K$25:$K$42,[1]CRITERIOS!$M$25:$M$42),
1),
$M586)),_xlfn.XLOOKUP(A586,'[1]DATOS PBI Artículos'!A:A,'[1]DATOS PBI Artículos'!Z:Z
)))))</f>
        <v>#N/A</v>
      </c>
      <c r="Q586" s="38" t="e">
        <f>IF(AND(O586="",N586=0),
0,
   IF(COUNTIF([1]CRITERIOS!$F$179:$F$199,$A586)&gt;=1,
   1,
   IF(R586="MTO",
      $D586,
      ROUNDUP(
                    IF(($E586-SUMIF('[1]DATOS PBI Artículos'!A:A,A586,'[1]DATOS PBI Artículos'!X:X)+($V586-_xlfn.XLOOKUP(A586,'[1]DATOS PBI Artículos'!A:A,'[1]DATOS PBI Artículos'!W:W)))&lt;0,
                    0,
                    IF(($E586-SUMIF('[1]DATOS PBI Artículos'!A:A,A586,'[1]DATOS PBI Artículos'!X:X)+$V586-_xlfn.XLOOKUP($A586,'[1]DATOS PBI Artículos'!A:A,'[1]DATOS PBI Artículos'!W:W))/IF($O586="",$N586,$O586)&gt;ROUNDUP([1]CRITERIOS!$M$16/(IF(COUNTIF([1]CRITERIOS!$BG$11:$BG$201,L586)&gt;=1,_xlfn.XLOOKUP($C586,[1]CRITERIOS!$K$25:$K$42,[1]CRITERIOS!$M$25:$M$42),_xlfn.XLOOKUP($C586,[1]CRITERIOS!$K$25:$K$42,[1]CRITERIOS!$M$25:$M$42))),0),
                    ROUNDUP([1]CRITERIOS!$M$16/(IF(COUNTIF([1]CRITERIOS!$BG$11:$BG$201,$L586)&gt;=1,_xlfn.XLOOKUP($C586,[1]CRITERIOS!$K$25:$K$42,[1]CRITERIOS!$M$25:$M$42),_xlfn.XLOOKUP($C586,[1]CRITERIOS!$K$25:$K$42,[1]CRITERIOS!$M$25:$M$42))),0),
                    (E586+V586-SUMIF('[1]DATOS PBI Artículos'!A:A,A586,'[1]DATOS PBI Artículos'!X:X)-_xlfn.XLOOKUP(A586,'[1]DATOS PBI Artículos'!A:A,'[1]DATOS PBI Artículos'!W:W))/IF($O586="",$N586,$O586))),0))))</f>
        <v>#N/A</v>
      </c>
      <c r="R586" s="33" t="e">
        <f>IF(U586&lt;&gt;"",U586,IF(F586="DV","MTO",IF(N586=0,"MTO",_xlfn.XLOOKUP(CONCATENATE(S586,T586),[1]CRITERIOS!$K$160:$K$168,[1]CRITERIOS!$N$160:$N$168))))</f>
        <v>#N/A</v>
      </c>
      <c r="S586" s="33" t="e">
        <f>IF(G586="DV","MTO",IF(N586=0,"MTO",IF(OR(AND(N586=0,O586=""),IF(O586="",G586/N586,G586/O586)&gt;[1]CRITERIOS!$G$163),"MTO",IF(IF(O586="",G586/N586,G586/O586)&lt;[1]CRITERIOS!$H$161,"MTS","MTOS"))))</f>
        <v>#N/A</v>
      </c>
      <c r="T586" s="33" t="e">
        <f>IF(F586="DV","MTO",IF(OR(AND($N586=0,O586=""),$F586/$J586&gt;[1]CRITERIOS!$G$170,$F586="DV"),"MTO",IF($F586/$J586&lt;[1]CRITERIOS!$H$168,"MTS","MTOS")))</f>
        <v>#N/A</v>
      </c>
      <c r="V586" s="34" t="e">
        <f t="shared" si="28"/>
        <v>#N/A</v>
      </c>
      <c r="X586" s="34" t="e">
        <f t="shared" si="29"/>
        <v>#N/A</v>
      </c>
      <c r="Y586" s="34" t="e">
        <f t="shared" si="30"/>
        <v>#N/A</v>
      </c>
      <c r="Z586" s="34" t="e">
        <f>IF($R586="MTO",
0,
($H586+$K586*($E586/[1]CRITERIOS!$M$16))/[1]CRITERIOS!$X$48)</f>
        <v>#N/A</v>
      </c>
      <c r="AA586" s="34" t="e">
        <f>ROUNDUP(($Y586/_xlfn.XLOOKUP($A586,'[1]DATOS PBI Artículos'!$A$4:$A$4,'[1]DATOS PBI Artículos'!$Z$4:$Z$4))/_xlfn.XLOOKUP(_xlfn.XLOOKUP($A586,'[1]DATOS PBI Artículos'!$A$4:$A$4,'[1]DATOS PBI Artículos'!$Y$4:$Y$4),[1]CRITERIOS!$P$79:$P$123,[1]CRITERIOS!$S$79:$S$123,),0)</f>
        <v>#N/A</v>
      </c>
      <c r="AB586" s="33" t="e">
        <f t="array" ref="AB586">IF((E586+V586-_xlfn.XLOOKUP(A586,'[1]DATOS PBI Artículos'!$A$4:$A$4,'[1]DATOS PBI Artículos'!$W$4:$W$4))/N586&gt;ROUNDUP([1]CRITERIOS!$M$16/(IF(COUNTIF([1]CRITERIOS!$BG$11:$BG$201,L586)&gt;=1,_xlfn.XLOOKUP(ARTÍCULOS!L586,[1]CRITERIOS!$BG$11:$BG$201,[1]CRITERIOS!$BJ$11:$BJ$201),_xlfn.XLOOKUP(ARTÍCULOS!C586,[1]CRITERIOS!$K$25:$K$42,[1]CRITERIOS!$M$25:$M$42))),0),ROUNDUP([1]CRITERIOS!$M$16/(IF(COUNTIF([1]CRITERIOS!$BG$11:$BG$201,L586)&gt;=1,_xlfn.XLOOKUP(ARTÍCULOS!L586,[1]CRITERIOS!$BG$11:$BG$201:#REF!,[1]CRITERIOS!$BJ$11:$BJ$201),_xlfn.XLOOKUP(ARTÍCULOS!C586,[1]CRITERIOS!$K$25:$K$42,[1]CRITERIOS!$M$25:$M$42))),0),(E586+V586-_xlfn.XLOOKUP(A586,'[1]DATOS PBI Artículos'!$A$4:$A$4,'[1]DATOS PBI Artículos'!$W$4:$W$4))/N586)</f>
        <v>#N/A</v>
      </c>
      <c r="AC586" s="33" t="e">
        <f>IF(N586=0,"",(ROUNDUP((N586/2)/(_xlfn.XLOOKUP(A586,'[1]DATOS PBI Artículos'!$A$4:$A$4,'[1]DATOS PBI Artículos'!$Z$4:$Z$4)*_xlfn.XLOOKUP(_xlfn.XLOOKUP(A586,'[1]DATOS PBI Artículos'!$A$4:$A$4,'[1]DATOS PBI Artículos'!$Y$4:$Y$4),[1]CRITERIOS!$P$79:$P$123,[1]CRITERIOS!$S$79:$S$123)),0)*[1]CRITERIOS!$M$80*([1]CRITERIOS!$M$110/[1]CRITERIOS!$M$86)+(_xlfn.XLOOKUP(A586,'[1]DATOS PBI Artículos'!$A$4:$A$4,'[1]DATOS PBI Artículos'!$AA$4:$AA$4)*([1]CRITERIOS!$M$95+[1]CRITERIOS!$M$98)))/N586)</f>
        <v>#N/A</v>
      </c>
      <c r="AD586" s="33" t="e">
        <f>IF(N586=0,"",(ROUNDUP((N586/2)/(_xlfn.XLOOKUP(A586,'[1]DATOS PBI Artículos'!$A$4:$A$4,'[1]DATOS PBI Artículos'!$Z$4:$Z$4)*_xlfn.XLOOKUP(_xlfn.XLOOKUP(A586,'[1]DATOS PBI Artículos'!$A$4:$A$4,'[1]DATOS PBI Artículos'!$Y$4:$Y$4),[1]CRITERIOS!$P$79:$P$123,[1]CRITERIOS!$S$79:$S$123)),0)*[1]CRITERIOS!$M$80*([1]CRITERIOS!$M$89*[1]CRITERIOS!$M$92)+((_xlfn.XLOOKUP(A586,'[1]DATOS PBI Artículos'!$A$4:$A$4,'[1]DATOS PBI Artículos'!$AA$4:$AA$4)/2)*([1]CRITERIOS!$M$95+[1]CRITERIOS!$M$98)))/N586)</f>
        <v>#N/A</v>
      </c>
      <c r="AE586" s="39" t="e">
        <f>IF($R586="MTO","",
IF($H586=0,ROUNDUP(((_xlfn.XLOOKUP($A586,'[1]DATOS PBI Artículos'!$A:$A,'[1]DATOS PBI Artículos'!$AL:$AL))/(_xlfn.XLOOKUP($AF$1,[1]CRITERIOS!$S$16:$S$39,[1]CRITERIOS!$Y$16:$Y$39))*$J586+$Z586)/$G586,0)*$G586,
((_xlfn.XLOOKUP($A586,'[1]DATOS PBI Artículos'!$A:$A,'[1]DATOS PBI Artículos'!$AL:$AL))/(_xlfn.XLOOKUP($AF$1,[1]CRITERIOS!$S$16:$S$39,[1]CRITERIOS!$Y$16:$Y$39))*$J586+$Z586)))</f>
        <v>#N/A</v>
      </c>
      <c r="AG586" s="39" t="e">
        <f>IF($R586="MTO","",
IF($H586=0,ROUNDUP(((_xlfn.XLOOKUP($A586,'[1]DATOS PBI Artículos'!$A:$A,'[1]DATOS PBI Artículos'!$AM:$AM))/(_xlfn.XLOOKUP($AH$1,[1]CRITERIOS!$S$16:$S$39,[1]CRITERIOS!$Y$16:$Y$39))*$J586+$Z586)/$G586,0)*$G586,
((_xlfn.XLOOKUP($A586,'[1]DATOS PBI Artículos'!$A:$A,'[1]DATOS PBI Artículos'!$AM:$AM))/(_xlfn.XLOOKUP($AH$1,[1]CRITERIOS!$S$16:$S$39,[1]CRITERIOS!$Y$16:$Y$39))*$J586+$Z586)))</f>
        <v>#N/A</v>
      </c>
      <c r="AI586" s="39" t="e">
        <f>IF($R586="MTO","",
IF($H586=0,ROUNDUP(((_xlfn.XLOOKUP($A586,'[1]DATOS PBI Artículos'!$A:$A,'[1]DATOS PBI Artículos'!$AN:$AN))/(_xlfn.XLOOKUP($AJ$1,[1]CRITERIOS!$S$16:$S$39,[1]CRITERIOS!$Y$16:$Y$39))*$J586+$Z586)/$G586,0)*$G586,
((_xlfn.XLOOKUP($A586,'[1]DATOS PBI Artículos'!$A:$A,'[1]DATOS PBI Artículos'!$AN:$AN))/(_xlfn.XLOOKUP($AJ$1,[1]CRITERIOS!$S$16:$S$39,[1]CRITERIOS!$Y$16:$Y$39))*$J586+$Z586)))</f>
        <v>#N/A</v>
      </c>
      <c r="AK586" s="39" t="e">
        <f>IF($R586="MTO","",
IF($H586=0,ROUNDUP(((_xlfn.XLOOKUP($A586,'[1]DATOS PBI Artículos'!$A:$A,'[1]DATOS PBI Artículos'!$AO:$AO))/(_xlfn.XLOOKUP($AL$1,[1]CRITERIOS!$S$16:$S$39,[1]CRITERIOS!$Y$16:$Y$39))*$J586+$Z586)/$G586,0)*$G586,
((_xlfn.XLOOKUP($A586,'[1]DATOS PBI Artículos'!$A:$A,'[1]DATOS PBI Artículos'!$AO:$AO))/(_xlfn.XLOOKUP($AL$1,[1]CRITERIOS!$S$16:$S$39,[1]CRITERIOS!$Y$16:$Y$39))*$J586+$Z586)))</f>
        <v>#N/A</v>
      </c>
    </row>
    <row r="587" spans="1:37" ht="25.8" hidden="1" x14ac:dyDescent="0.4">
      <c r="A587" s="41"/>
      <c r="B587" s="33">
        <f>_xlfn.XLOOKUP($A587,'[1]DATOS PBI Artículos'!A:A,'[1]DATOS PBI Artículos'!B:B)</f>
        <v>0</v>
      </c>
      <c r="C587" s="33">
        <f>_xlfn.XLOOKUP($A587,'[1]DATOS PBI Artículos'!A:A,'[1]DATOS PBI Artículos'!C:C)</f>
        <v>0</v>
      </c>
      <c r="D587" s="33">
        <f>_xlfn.XLOOKUP(A587,'[1]DATOS PBI Artículos'!A:A,'[1]DATOS PBI Artículos'!T:T)</f>
        <v>0</v>
      </c>
      <c r="E587" s="34">
        <f>IF(_xlfn.XLOOKUP($A587,'[1]DATOS PBI Artículos'!A:A,'[1]DATOS PBI Artículos'!AK:AK)="",_xlfn.XLOOKUP($A587,'[1]DATOS PBI Artículos'!A:A,'[1]DATOS PBI Artículos'!AJ:AJ),_xlfn.XLOOKUP($A587,'[1]DATOS PBI Artículos'!A:A,'[1]DATOS PBI Artículos'!AK:AK))</f>
        <v>0</v>
      </c>
      <c r="F587" s="35">
        <f>_xlfn.XLOOKUP($A587,'[1]DATOS PBI Artículos'!A:A,'[1]DATOS PBI Artículos'!AP:AP)</f>
        <v>0</v>
      </c>
      <c r="G587" s="34">
        <f>_xlfn.XLOOKUP($A587,'[1]DATOS PBI Artículos'!A:A,'[1]DATOS PBI Artículos'!AR:AR)</f>
        <v>0</v>
      </c>
      <c r="H587" s="34">
        <f>_xlfn.XLOOKUP($A587,'[1]DATOS PBI Artículos'!A:A,'[1]DATOS PBI Artículos'!AT:AT)</f>
        <v>0</v>
      </c>
      <c r="I587" s="34">
        <f>_xlfn.XLOOKUP($A587,'[1]DATOS PBI Artículos'!A:A,'[1]DATOS PBI Artículos'!AS:AS)</f>
        <v>0</v>
      </c>
      <c r="J587" s="35">
        <f>IF(COUNTIF([1]CRITERIOS!$F$179:$F$199,$A587)&gt;=1,
 IF(O587&lt;&gt;"",
    (O587/_xlfn.XLOOKUP(CONCATENATE(A587,L587),[1]MÁQUINAS!A:A,[1]MÁQUINAS!D:D))/24,
    (N587/_xlfn.XLOOKUP(CONCATENATE(A587,L587),[1]MÁQUINAS!A:A,[1]MÁQUINAS!D:D))/24),
  _xlfn.XLOOKUP($A587,'[1]DATOS PBI Artículos'!A:A,'[1]DATOS PBI Artículos'!AU:AU))</f>
        <v>0</v>
      </c>
      <c r="K587" s="36">
        <f>_xlfn.XLOOKUP($A587,'[1]DATOS PBI Artículos'!A:A,'[1]DATOS PBI Artículos'!AV:AV)</f>
        <v>0</v>
      </c>
      <c r="L587" s="33">
        <f>_xlfn.XLOOKUP(A587,[1]MÁQUINAS!B:B,[1]MÁQUINAS!C:C)</f>
        <v>0</v>
      </c>
      <c r="M587" s="34">
        <f t="array" ref="M587">_xlfn.XLOOKUP(A587,'[1]DATOS PBI Artículos'!A:A,'[1]DATOS PBI Artículos'!AX:$AX)</f>
        <v>0</v>
      </c>
      <c r="N587" s="37" t="e">
        <f>IF(I587="DV",
E587,
IF(COUNTIF([1]CRITERIOS!$I$179:$I$199,$A587)&gt;=1,
_xlfn.XLOOKUP($A587,[1]CRITERIOS!$I$179:$I$199,[1]CRITERIOS!$J$179:$J$199),
IF(COUNTIF([1]CRITERIOS!$L$179:$L$199,$A587)&gt;=1,
_xlfn.CEILING.MATH(IF($M587&gt;$E587,
$E587,
IF($M587&lt;$E587/ROUNDDOWN([1]CRITERIOS!$M$16/_xlfn.XLOOKUP($C587,[1]CRITERIOS!$K$25:$K$42,[1]CRITERIOS!$M$25:$M$42),
1),
E587/ROUNDDOWN([1]CRITERIOS!$M$16/_xlfn.XLOOKUP($C587,[1]CRITERIOS!$K$25:$K$42,[1]CRITERIOS!$M$25:$M$42),
1),
$M587)),
_xlfn.XLOOKUP($A587,[1]CRITERIOS!$L$179:$L$200,[1]CRITERIOS!$M$179:$M$200)),
_xlfn.CEILING.MATH(IF($M587&gt;$E587,
$E587,
IF($M587&lt;$E587/ROUNDDOWN([1]CRITERIOS!$M$16/_xlfn.XLOOKUP($C587,[1]CRITERIOS!$K$25:$K$42,[1]CRITERIOS!$M$25:$M$42),
1),
E587/ROUNDDOWN([1]CRITERIOS!$M$16/_xlfn.XLOOKUP($C587,[1]CRITERIOS!$K$25:$K$42,[1]CRITERIOS!$M$25:$M$42),
1),
$M587)),_xlfn.XLOOKUP(A587,'[1]DATOS PBI Artículos'!A:A,'[1]DATOS PBI Artículos'!Z:Z
)))))</f>
        <v>#N/A</v>
      </c>
      <c r="Q587" s="38" t="e">
        <f>IF(AND(O587="",N587=0),
0,
   IF(COUNTIF([1]CRITERIOS!$F$179:$F$199,$A587)&gt;=1,
   1,
   IF(R587="MTO",
      $D587,
      ROUNDUP(
                    IF(($E587-SUMIF('[1]DATOS PBI Artículos'!A:A,A587,'[1]DATOS PBI Artículos'!X:X)+($V587-_xlfn.XLOOKUP(A587,'[1]DATOS PBI Artículos'!A:A,'[1]DATOS PBI Artículos'!W:W)))&lt;0,
                    0,
                    IF(($E587-SUMIF('[1]DATOS PBI Artículos'!A:A,A587,'[1]DATOS PBI Artículos'!X:X)+$V587-_xlfn.XLOOKUP($A587,'[1]DATOS PBI Artículos'!A:A,'[1]DATOS PBI Artículos'!W:W))/IF($O587="",$N587,$O587)&gt;ROUNDUP([1]CRITERIOS!$M$16/(IF(COUNTIF([1]CRITERIOS!$BG$11:$BG$201,L587)&gt;=1,_xlfn.XLOOKUP($C587,[1]CRITERIOS!$K$25:$K$42,[1]CRITERIOS!$M$25:$M$42),_xlfn.XLOOKUP($C587,[1]CRITERIOS!$K$25:$K$42,[1]CRITERIOS!$M$25:$M$42))),0),
                    ROUNDUP([1]CRITERIOS!$M$16/(IF(COUNTIF([1]CRITERIOS!$BG$11:$BG$201,$L587)&gt;=1,_xlfn.XLOOKUP($C587,[1]CRITERIOS!$K$25:$K$42,[1]CRITERIOS!$M$25:$M$42),_xlfn.XLOOKUP($C587,[1]CRITERIOS!$K$25:$K$42,[1]CRITERIOS!$M$25:$M$42))),0),
                    (E587+V587-SUMIF('[1]DATOS PBI Artículos'!A:A,A587,'[1]DATOS PBI Artículos'!X:X)-_xlfn.XLOOKUP(A587,'[1]DATOS PBI Artículos'!A:A,'[1]DATOS PBI Artículos'!W:W))/IF($O587="",$N587,$O587))),0))))</f>
        <v>#N/A</v>
      </c>
      <c r="R587" s="33" t="e">
        <f>IF(U587&lt;&gt;"",U587,IF(F587="DV","MTO",IF(N587=0,"MTO",_xlfn.XLOOKUP(CONCATENATE(S587,T587),[1]CRITERIOS!$K$160:$K$168,[1]CRITERIOS!$N$160:$N$168))))</f>
        <v>#N/A</v>
      </c>
      <c r="S587" s="33" t="e">
        <f>IF(G587="DV","MTO",IF(N587=0,"MTO",IF(OR(AND(N587=0,O587=""),IF(O587="",G587/N587,G587/O587)&gt;[1]CRITERIOS!$G$163),"MTO",IF(IF(O587="",G587/N587,G587/O587)&lt;[1]CRITERIOS!$H$161,"MTS","MTOS"))))</f>
        <v>#N/A</v>
      </c>
      <c r="T587" s="33" t="e">
        <f>IF(F587="DV","MTO",IF(OR(AND($N587=0,O587=""),$F587/$J587&gt;[1]CRITERIOS!$G$170,$F587="DV"),"MTO",IF($F587/$J587&lt;[1]CRITERIOS!$H$168,"MTS","MTOS")))</f>
        <v>#N/A</v>
      </c>
      <c r="V587" s="34" t="e">
        <f t="shared" si="28"/>
        <v>#N/A</v>
      </c>
      <c r="X587" s="34" t="e">
        <f t="shared" si="29"/>
        <v>#N/A</v>
      </c>
      <c r="Y587" s="34" t="e">
        <f t="shared" si="30"/>
        <v>#N/A</v>
      </c>
      <c r="Z587" s="34" t="e">
        <f>IF($R587="MTO",
0,
($H587+$K587*($E587/[1]CRITERIOS!$M$16))/[1]CRITERIOS!$X$48)</f>
        <v>#N/A</v>
      </c>
      <c r="AA587" s="34" t="e">
        <f>ROUNDUP(($Y587/_xlfn.XLOOKUP($A587,'[1]DATOS PBI Artículos'!$A$4:$A$4,'[1]DATOS PBI Artículos'!$Z$4:$Z$4))/_xlfn.XLOOKUP(_xlfn.XLOOKUP($A587,'[1]DATOS PBI Artículos'!$A$4:$A$4,'[1]DATOS PBI Artículos'!$Y$4:$Y$4),[1]CRITERIOS!$P$79:$P$123,[1]CRITERIOS!$S$79:$S$123,),0)</f>
        <v>#N/A</v>
      </c>
      <c r="AB587" s="33" t="e">
        <f t="array" ref="AB587">IF((E587+V587-_xlfn.XLOOKUP(A587,'[1]DATOS PBI Artículos'!$A$4:$A$4,'[1]DATOS PBI Artículos'!$W$4:$W$4))/N587&gt;ROUNDUP([1]CRITERIOS!$M$16/(IF(COUNTIF([1]CRITERIOS!$BG$11:$BG$201,L587)&gt;=1,_xlfn.XLOOKUP(ARTÍCULOS!L587,[1]CRITERIOS!$BG$11:$BG$201,[1]CRITERIOS!$BJ$11:$BJ$201),_xlfn.XLOOKUP(ARTÍCULOS!C587,[1]CRITERIOS!$K$25:$K$42,[1]CRITERIOS!$M$25:$M$42))),0),ROUNDUP([1]CRITERIOS!$M$16/(IF(COUNTIF([1]CRITERIOS!$BG$11:$BG$201,L587)&gt;=1,_xlfn.XLOOKUP(ARTÍCULOS!L587,[1]CRITERIOS!$BG$11:$BG$201:#REF!,[1]CRITERIOS!$BJ$11:$BJ$201),_xlfn.XLOOKUP(ARTÍCULOS!C587,[1]CRITERIOS!$K$25:$K$42,[1]CRITERIOS!$M$25:$M$42))),0),(E587+V587-_xlfn.XLOOKUP(A587,'[1]DATOS PBI Artículos'!$A$4:$A$4,'[1]DATOS PBI Artículos'!$W$4:$W$4))/N587)</f>
        <v>#N/A</v>
      </c>
      <c r="AC587" s="33" t="e">
        <f>IF(N587=0,"",(ROUNDUP((N587/2)/(_xlfn.XLOOKUP(A587,'[1]DATOS PBI Artículos'!$A$4:$A$4,'[1]DATOS PBI Artículos'!$Z$4:$Z$4)*_xlfn.XLOOKUP(_xlfn.XLOOKUP(A587,'[1]DATOS PBI Artículos'!$A$4:$A$4,'[1]DATOS PBI Artículos'!$Y$4:$Y$4),[1]CRITERIOS!$P$79:$P$123,[1]CRITERIOS!$S$79:$S$123)),0)*[1]CRITERIOS!$M$80*([1]CRITERIOS!$M$110/[1]CRITERIOS!$M$86)+(_xlfn.XLOOKUP(A587,'[1]DATOS PBI Artículos'!$A$4:$A$4,'[1]DATOS PBI Artículos'!$AA$4:$AA$4)*([1]CRITERIOS!$M$95+[1]CRITERIOS!$M$98)))/N587)</f>
        <v>#N/A</v>
      </c>
      <c r="AD587" s="33" t="e">
        <f>IF(N587=0,"",(ROUNDUP((N587/2)/(_xlfn.XLOOKUP(A587,'[1]DATOS PBI Artículos'!$A$4:$A$4,'[1]DATOS PBI Artículos'!$Z$4:$Z$4)*_xlfn.XLOOKUP(_xlfn.XLOOKUP(A587,'[1]DATOS PBI Artículos'!$A$4:$A$4,'[1]DATOS PBI Artículos'!$Y$4:$Y$4),[1]CRITERIOS!$P$79:$P$123,[1]CRITERIOS!$S$79:$S$123)),0)*[1]CRITERIOS!$M$80*([1]CRITERIOS!$M$89*[1]CRITERIOS!$M$92)+((_xlfn.XLOOKUP(A587,'[1]DATOS PBI Artículos'!$A$4:$A$4,'[1]DATOS PBI Artículos'!$AA$4:$AA$4)/2)*([1]CRITERIOS!$M$95+[1]CRITERIOS!$M$98)))/N587)</f>
        <v>#N/A</v>
      </c>
      <c r="AE587" s="39" t="e">
        <f>IF($R587="MTO","",
IF($H587=0,ROUNDUP(((_xlfn.XLOOKUP($A587,'[1]DATOS PBI Artículos'!$A:$A,'[1]DATOS PBI Artículos'!$AL:$AL))/(_xlfn.XLOOKUP($AF$1,[1]CRITERIOS!$S$16:$S$39,[1]CRITERIOS!$Y$16:$Y$39))*$J587+$Z587)/$G587,0)*$G587,
((_xlfn.XLOOKUP($A587,'[1]DATOS PBI Artículos'!$A:$A,'[1]DATOS PBI Artículos'!$AL:$AL))/(_xlfn.XLOOKUP($AF$1,[1]CRITERIOS!$S$16:$S$39,[1]CRITERIOS!$Y$16:$Y$39))*$J587+$Z587)))</f>
        <v>#N/A</v>
      </c>
      <c r="AG587" s="39" t="e">
        <f>IF($R587="MTO","",
IF($H587=0,ROUNDUP(((_xlfn.XLOOKUP($A587,'[1]DATOS PBI Artículos'!$A:$A,'[1]DATOS PBI Artículos'!$AM:$AM))/(_xlfn.XLOOKUP($AH$1,[1]CRITERIOS!$S$16:$S$39,[1]CRITERIOS!$Y$16:$Y$39))*$J587+$Z587)/$G587,0)*$G587,
((_xlfn.XLOOKUP($A587,'[1]DATOS PBI Artículos'!$A:$A,'[1]DATOS PBI Artículos'!$AM:$AM))/(_xlfn.XLOOKUP($AH$1,[1]CRITERIOS!$S$16:$S$39,[1]CRITERIOS!$Y$16:$Y$39))*$J587+$Z587)))</f>
        <v>#N/A</v>
      </c>
      <c r="AI587" s="39" t="e">
        <f>IF($R587="MTO","",
IF($H587=0,ROUNDUP(((_xlfn.XLOOKUP($A587,'[1]DATOS PBI Artículos'!$A:$A,'[1]DATOS PBI Artículos'!$AN:$AN))/(_xlfn.XLOOKUP($AJ$1,[1]CRITERIOS!$S$16:$S$39,[1]CRITERIOS!$Y$16:$Y$39))*$J587+$Z587)/$G587,0)*$G587,
((_xlfn.XLOOKUP($A587,'[1]DATOS PBI Artículos'!$A:$A,'[1]DATOS PBI Artículos'!$AN:$AN))/(_xlfn.XLOOKUP($AJ$1,[1]CRITERIOS!$S$16:$S$39,[1]CRITERIOS!$Y$16:$Y$39))*$J587+$Z587)))</f>
        <v>#N/A</v>
      </c>
      <c r="AK587" s="39" t="e">
        <f>IF($R587="MTO","",
IF($H587=0,ROUNDUP(((_xlfn.XLOOKUP($A587,'[1]DATOS PBI Artículos'!$A:$A,'[1]DATOS PBI Artículos'!$AO:$AO))/(_xlfn.XLOOKUP($AL$1,[1]CRITERIOS!$S$16:$S$39,[1]CRITERIOS!$Y$16:$Y$39))*$J587+$Z587)/$G587,0)*$G587,
((_xlfn.XLOOKUP($A587,'[1]DATOS PBI Artículos'!$A:$A,'[1]DATOS PBI Artículos'!$AO:$AO))/(_xlfn.XLOOKUP($AL$1,[1]CRITERIOS!$S$16:$S$39,[1]CRITERIOS!$Y$16:$Y$39))*$J587+$Z587)))</f>
        <v>#N/A</v>
      </c>
    </row>
    <row r="588" spans="1:37" ht="25.8" hidden="1" x14ac:dyDescent="0.4">
      <c r="A588" s="41"/>
      <c r="B588" s="33">
        <f>_xlfn.XLOOKUP($A588,'[1]DATOS PBI Artículos'!A:A,'[1]DATOS PBI Artículos'!B:B)</f>
        <v>0</v>
      </c>
      <c r="C588" s="33">
        <f>_xlfn.XLOOKUP($A588,'[1]DATOS PBI Artículos'!A:A,'[1]DATOS PBI Artículos'!C:C)</f>
        <v>0</v>
      </c>
      <c r="D588" s="33">
        <f>_xlfn.XLOOKUP(A588,'[1]DATOS PBI Artículos'!A:A,'[1]DATOS PBI Artículos'!T:T)</f>
        <v>0</v>
      </c>
      <c r="E588" s="34">
        <f>IF(_xlfn.XLOOKUP($A588,'[1]DATOS PBI Artículos'!A:A,'[1]DATOS PBI Artículos'!AK:AK)="",_xlfn.XLOOKUP($A588,'[1]DATOS PBI Artículos'!A:A,'[1]DATOS PBI Artículos'!AJ:AJ),_xlfn.XLOOKUP($A588,'[1]DATOS PBI Artículos'!A:A,'[1]DATOS PBI Artículos'!AK:AK))</f>
        <v>0</v>
      </c>
      <c r="F588" s="35">
        <f>_xlfn.XLOOKUP($A588,'[1]DATOS PBI Artículos'!A:A,'[1]DATOS PBI Artículos'!AP:AP)</f>
        <v>0</v>
      </c>
      <c r="G588" s="34">
        <f>_xlfn.XLOOKUP($A588,'[1]DATOS PBI Artículos'!A:A,'[1]DATOS PBI Artículos'!AR:AR)</f>
        <v>0</v>
      </c>
      <c r="H588" s="34">
        <f>_xlfn.XLOOKUP($A588,'[1]DATOS PBI Artículos'!A:A,'[1]DATOS PBI Artículos'!AT:AT)</f>
        <v>0</v>
      </c>
      <c r="I588" s="34">
        <f>_xlfn.XLOOKUP($A588,'[1]DATOS PBI Artículos'!A:A,'[1]DATOS PBI Artículos'!AS:AS)</f>
        <v>0</v>
      </c>
      <c r="J588" s="35">
        <f>IF(COUNTIF([1]CRITERIOS!$F$179:$F$199,$A588)&gt;=1,
 IF(O588&lt;&gt;"",
    (O588/_xlfn.XLOOKUP(CONCATENATE(A588,L588),[1]MÁQUINAS!A:A,[1]MÁQUINAS!D:D))/24,
    (N588/_xlfn.XLOOKUP(CONCATENATE(A588,L588),[1]MÁQUINAS!A:A,[1]MÁQUINAS!D:D))/24),
  _xlfn.XLOOKUP($A588,'[1]DATOS PBI Artículos'!A:A,'[1]DATOS PBI Artículos'!AU:AU))</f>
        <v>0</v>
      </c>
      <c r="K588" s="36">
        <f>_xlfn.XLOOKUP($A588,'[1]DATOS PBI Artículos'!A:A,'[1]DATOS PBI Artículos'!AV:AV)</f>
        <v>0</v>
      </c>
      <c r="L588" s="33">
        <f>_xlfn.XLOOKUP(A588,[1]MÁQUINAS!B:B,[1]MÁQUINAS!C:C)</f>
        <v>0</v>
      </c>
      <c r="M588" s="34">
        <f t="array" ref="M588">_xlfn.XLOOKUP(A588,'[1]DATOS PBI Artículos'!A:A,'[1]DATOS PBI Artículos'!AX:$AX)</f>
        <v>0</v>
      </c>
      <c r="N588" s="37" t="e">
        <f>IF(I588="DV",
E588,
IF(COUNTIF([1]CRITERIOS!$I$179:$I$199,$A588)&gt;=1,
_xlfn.XLOOKUP($A588,[1]CRITERIOS!$I$179:$I$199,[1]CRITERIOS!$J$179:$J$199),
IF(COUNTIF([1]CRITERIOS!$L$179:$L$199,$A588)&gt;=1,
_xlfn.CEILING.MATH(IF($M588&gt;$E588,
$E588,
IF($M588&lt;$E588/ROUNDDOWN([1]CRITERIOS!$M$16/_xlfn.XLOOKUP($C588,[1]CRITERIOS!$K$25:$K$42,[1]CRITERIOS!$M$25:$M$42),
1),
E588/ROUNDDOWN([1]CRITERIOS!$M$16/_xlfn.XLOOKUP($C588,[1]CRITERIOS!$K$25:$K$42,[1]CRITERIOS!$M$25:$M$42),
1),
$M588)),
_xlfn.XLOOKUP($A588,[1]CRITERIOS!$L$179:$L$200,[1]CRITERIOS!$M$179:$M$200)),
_xlfn.CEILING.MATH(IF($M588&gt;$E588,
$E588,
IF($M588&lt;$E588/ROUNDDOWN([1]CRITERIOS!$M$16/_xlfn.XLOOKUP($C588,[1]CRITERIOS!$K$25:$K$42,[1]CRITERIOS!$M$25:$M$42),
1),
E588/ROUNDDOWN([1]CRITERIOS!$M$16/_xlfn.XLOOKUP($C588,[1]CRITERIOS!$K$25:$K$42,[1]CRITERIOS!$M$25:$M$42),
1),
$M588)),_xlfn.XLOOKUP(A588,'[1]DATOS PBI Artículos'!A:A,'[1]DATOS PBI Artículos'!Z:Z
)))))</f>
        <v>#N/A</v>
      </c>
      <c r="Q588" s="38" t="e">
        <f>IF(AND(O588="",N588=0),
0,
   IF(COUNTIF([1]CRITERIOS!$F$179:$F$199,$A588)&gt;=1,
   1,
   IF(R588="MTO",
      $D588,
      ROUNDUP(
                    IF(($E588-SUMIF('[1]DATOS PBI Artículos'!A:A,A588,'[1]DATOS PBI Artículos'!X:X)+($V588-_xlfn.XLOOKUP(A588,'[1]DATOS PBI Artículos'!A:A,'[1]DATOS PBI Artículos'!W:W)))&lt;0,
                    0,
                    IF(($E588-SUMIF('[1]DATOS PBI Artículos'!A:A,A588,'[1]DATOS PBI Artículos'!X:X)+$V588-_xlfn.XLOOKUP($A588,'[1]DATOS PBI Artículos'!A:A,'[1]DATOS PBI Artículos'!W:W))/IF($O588="",$N588,$O588)&gt;ROUNDUP([1]CRITERIOS!$M$16/(IF(COUNTIF([1]CRITERIOS!$BG$11:$BG$201,L588)&gt;=1,_xlfn.XLOOKUP($C588,[1]CRITERIOS!$K$25:$K$42,[1]CRITERIOS!$M$25:$M$42),_xlfn.XLOOKUP($C588,[1]CRITERIOS!$K$25:$K$42,[1]CRITERIOS!$M$25:$M$42))),0),
                    ROUNDUP([1]CRITERIOS!$M$16/(IF(COUNTIF([1]CRITERIOS!$BG$11:$BG$201,$L588)&gt;=1,_xlfn.XLOOKUP($C588,[1]CRITERIOS!$K$25:$K$42,[1]CRITERIOS!$M$25:$M$42),_xlfn.XLOOKUP($C588,[1]CRITERIOS!$K$25:$K$42,[1]CRITERIOS!$M$25:$M$42))),0),
                    (E588+V588-SUMIF('[1]DATOS PBI Artículos'!A:A,A588,'[1]DATOS PBI Artículos'!X:X)-_xlfn.XLOOKUP(A588,'[1]DATOS PBI Artículos'!A:A,'[1]DATOS PBI Artículos'!W:W))/IF($O588="",$N588,$O588))),0))))</f>
        <v>#N/A</v>
      </c>
      <c r="R588" s="33" t="e">
        <f>IF(U588&lt;&gt;"",U588,IF(F588="DV","MTO",IF(N588=0,"MTO",_xlfn.XLOOKUP(CONCATENATE(S588,T588),[1]CRITERIOS!$K$160:$K$168,[1]CRITERIOS!$N$160:$N$168))))</f>
        <v>#N/A</v>
      </c>
      <c r="S588" s="33" t="e">
        <f>IF(G588="DV","MTO",IF(N588=0,"MTO",IF(OR(AND(N588=0,O588=""),IF(O588="",G588/N588,G588/O588)&gt;[1]CRITERIOS!$G$163),"MTO",IF(IF(O588="",G588/N588,G588/O588)&lt;[1]CRITERIOS!$H$161,"MTS","MTOS"))))</f>
        <v>#N/A</v>
      </c>
      <c r="T588" s="33" t="e">
        <f>IF(F588="DV","MTO",IF(OR(AND($N588=0,O588=""),$F588/$J588&gt;[1]CRITERIOS!$G$170,$F588="DV"),"MTO",IF($F588/$J588&lt;[1]CRITERIOS!$H$168,"MTS","MTOS")))</f>
        <v>#N/A</v>
      </c>
      <c r="V588" s="34" t="e">
        <f t="shared" si="28"/>
        <v>#N/A</v>
      </c>
      <c r="X588" s="34" t="e">
        <f t="shared" si="29"/>
        <v>#N/A</v>
      </c>
      <c r="Y588" s="34" t="e">
        <f t="shared" si="30"/>
        <v>#N/A</v>
      </c>
      <c r="Z588" s="34" t="e">
        <f>IF($R588="MTO",
0,
($H588+$K588*($E588/[1]CRITERIOS!$M$16))/[1]CRITERIOS!$X$48)</f>
        <v>#N/A</v>
      </c>
      <c r="AA588" s="34" t="e">
        <f>ROUNDUP(($Y588/_xlfn.XLOOKUP($A588,'[1]DATOS PBI Artículos'!$A$4:$A$4,'[1]DATOS PBI Artículos'!$Z$4:$Z$4))/_xlfn.XLOOKUP(_xlfn.XLOOKUP($A588,'[1]DATOS PBI Artículos'!$A$4:$A$4,'[1]DATOS PBI Artículos'!$Y$4:$Y$4),[1]CRITERIOS!$P$79:$P$123,[1]CRITERIOS!$S$79:$S$123,),0)</f>
        <v>#N/A</v>
      </c>
      <c r="AB588" s="33" t="e">
        <f t="array" ref="AB588">IF((E588+V588-_xlfn.XLOOKUP(A588,'[1]DATOS PBI Artículos'!$A$4:$A$4,'[1]DATOS PBI Artículos'!$W$4:$W$4))/N588&gt;ROUNDUP([1]CRITERIOS!$M$16/(IF(COUNTIF([1]CRITERIOS!$BG$11:$BG$201,L588)&gt;=1,_xlfn.XLOOKUP(ARTÍCULOS!L588,[1]CRITERIOS!$BG$11:$BG$201,[1]CRITERIOS!$BJ$11:$BJ$201),_xlfn.XLOOKUP(ARTÍCULOS!C588,[1]CRITERIOS!$K$25:$K$42,[1]CRITERIOS!$M$25:$M$42))),0),ROUNDUP([1]CRITERIOS!$M$16/(IF(COUNTIF([1]CRITERIOS!$BG$11:$BG$201,L588)&gt;=1,_xlfn.XLOOKUP(ARTÍCULOS!L588,[1]CRITERIOS!$BG$11:$BG$201:#REF!,[1]CRITERIOS!$BJ$11:$BJ$201),_xlfn.XLOOKUP(ARTÍCULOS!C588,[1]CRITERIOS!$K$25:$K$42,[1]CRITERIOS!$M$25:$M$42))),0),(E588+V588-_xlfn.XLOOKUP(A588,'[1]DATOS PBI Artículos'!$A$4:$A$4,'[1]DATOS PBI Artículos'!$W$4:$W$4))/N588)</f>
        <v>#N/A</v>
      </c>
      <c r="AC588" s="33" t="e">
        <f>IF(N588=0,"",(ROUNDUP((N588/2)/(_xlfn.XLOOKUP(A588,'[1]DATOS PBI Artículos'!$A$4:$A$4,'[1]DATOS PBI Artículos'!$Z$4:$Z$4)*_xlfn.XLOOKUP(_xlfn.XLOOKUP(A588,'[1]DATOS PBI Artículos'!$A$4:$A$4,'[1]DATOS PBI Artículos'!$Y$4:$Y$4),[1]CRITERIOS!$P$79:$P$123,[1]CRITERIOS!$S$79:$S$123)),0)*[1]CRITERIOS!$M$80*([1]CRITERIOS!$M$110/[1]CRITERIOS!$M$86)+(_xlfn.XLOOKUP(A588,'[1]DATOS PBI Artículos'!$A$4:$A$4,'[1]DATOS PBI Artículos'!$AA$4:$AA$4)*([1]CRITERIOS!$M$95+[1]CRITERIOS!$M$98)))/N588)</f>
        <v>#N/A</v>
      </c>
      <c r="AD588" s="33" t="e">
        <f>IF(N588=0,"",(ROUNDUP((N588/2)/(_xlfn.XLOOKUP(A588,'[1]DATOS PBI Artículos'!$A$4:$A$4,'[1]DATOS PBI Artículos'!$Z$4:$Z$4)*_xlfn.XLOOKUP(_xlfn.XLOOKUP(A588,'[1]DATOS PBI Artículos'!$A$4:$A$4,'[1]DATOS PBI Artículos'!$Y$4:$Y$4),[1]CRITERIOS!$P$79:$P$123,[1]CRITERIOS!$S$79:$S$123)),0)*[1]CRITERIOS!$M$80*([1]CRITERIOS!$M$89*[1]CRITERIOS!$M$92)+((_xlfn.XLOOKUP(A588,'[1]DATOS PBI Artículos'!$A$4:$A$4,'[1]DATOS PBI Artículos'!$AA$4:$AA$4)/2)*([1]CRITERIOS!$M$95+[1]CRITERIOS!$M$98)))/N588)</f>
        <v>#N/A</v>
      </c>
      <c r="AE588" s="39" t="e">
        <f>IF($R588="MTO","",
IF($H588=0,ROUNDUP(((_xlfn.XLOOKUP($A588,'[1]DATOS PBI Artículos'!$A:$A,'[1]DATOS PBI Artículos'!$AL:$AL))/(_xlfn.XLOOKUP($AF$1,[1]CRITERIOS!$S$16:$S$39,[1]CRITERIOS!$Y$16:$Y$39))*$J588+$Z588)/$G588,0)*$G588,
((_xlfn.XLOOKUP($A588,'[1]DATOS PBI Artículos'!$A:$A,'[1]DATOS PBI Artículos'!$AL:$AL))/(_xlfn.XLOOKUP($AF$1,[1]CRITERIOS!$S$16:$S$39,[1]CRITERIOS!$Y$16:$Y$39))*$J588+$Z588)))</f>
        <v>#N/A</v>
      </c>
      <c r="AG588" s="39" t="e">
        <f>IF($R588="MTO","",
IF($H588=0,ROUNDUP(((_xlfn.XLOOKUP($A588,'[1]DATOS PBI Artículos'!$A:$A,'[1]DATOS PBI Artículos'!$AM:$AM))/(_xlfn.XLOOKUP($AH$1,[1]CRITERIOS!$S$16:$S$39,[1]CRITERIOS!$Y$16:$Y$39))*$J588+$Z588)/$G588,0)*$G588,
((_xlfn.XLOOKUP($A588,'[1]DATOS PBI Artículos'!$A:$A,'[1]DATOS PBI Artículos'!$AM:$AM))/(_xlfn.XLOOKUP($AH$1,[1]CRITERIOS!$S$16:$S$39,[1]CRITERIOS!$Y$16:$Y$39))*$J588+$Z588)))</f>
        <v>#N/A</v>
      </c>
      <c r="AI588" s="39" t="e">
        <f>IF($R588="MTO","",
IF($H588=0,ROUNDUP(((_xlfn.XLOOKUP($A588,'[1]DATOS PBI Artículos'!$A:$A,'[1]DATOS PBI Artículos'!$AN:$AN))/(_xlfn.XLOOKUP($AJ$1,[1]CRITERIOS!$S$16:$S$39,[1]CRITERIOS!$Y$16:$Y$39))*$J588+$Z588)/$G588,0)*$G588,
((_xlfn.XLOOKUP($A588,'[1]DATOS PBI Artículos'!$A:$A,'[1]DATOS PBI Artículos'!$AN:$AN))/(_xlfn.XLOOKUP($AJ$1,[1]CRITERIOS!$S$16:$S$39,[1]CRITERIOS!$Y$16:$Y$39))*$J588+$Z588)))</f>
        <v>#N/A</v>
      </c>
      <c r="AK588" s="39" t="e">
        <f>IF($R588="MTO","",
IF($H588=0,ROUNDUP(((_xlfn.XLOOKUP($A588,'[1]DATOS PBI Artículos'!$A:$A,'[1]DATOS PBI Artículos'!$AO:$AO))/(_xlfn.XLOOKUP($AL$1,[1]CRITERIOS!$S$16:$S$39,[1]CRITERIOS!$Y$16:$Y$39))*$J588+$Z588)/$G588,0)*$G588,
((_xlfn.XLOOKUP($A588,'[1]DATOS PBI Artículos'!$A:$A,'[1]DATOS PBI Artículos'!$AO:$AO))/(_xlfn.XLOOKUP($AL$1,[1]CRITERIOS!$S$16:$S$39,[1]CRITERIOS!$Y$16:$Y$39))*$J588+$Z588)))</f>
        <v>#N/A</v>
      </c>
    </row>
    <row r="589" spans="1:37" ht="25.8" hidden="1" x14ac:dyDescent="0.4">
      <c r="A589" s="41"/>
      <c r="B589" s="33">
        <f>_xlfn.XLOOKUP($A589,'[1]DATOS PBI Artículos'!A:A,'[1]DATOS PBI Artículos'!B:B)</f>
        <v>0</v>
      </c>
      <c r="C589" s="33">
        <f>_xlfn.XLOOKUP($A589,'[1]DATOS PBI Artículos'!A:A,'[1]DATOS PBI Artículos'!C:C)</f>
        <v>0</v>
      </c>
      <c r="D589" s="33">
        <f>_xlfn.XLOOKUP(A589,'[1]DATOS PBI Artículos'!A:A,'[1]DATOS PBI Artículos'!T:T)</f>
        <v>0</v>
      </c>
      <c r="E589" s="34">
        <f>IF(_xlfn.XLOOKUP($A589,'[1]DATOS PBI Artículos'!A:A,'[1]DATOS PBI Artículos'!AK:AK)="",_xlfn.XLOOKUP($A589,'[1]DATOS PBI Artículos'!A:A,'[1]DATOS PBI Artículos'!AJ:AJ),_xlfn.XLOOKUP($A589,'[1]DATOS PBI Artículos'!A:A,'[1]DATOS PBI Artículos'!AK:AK))</f>
        <v>0</v>
      </c>
      <c r="F589" s="35">
        <f>_xlfn.XLOOKUP($A589,'[1]DATOS PBI Artículos'!A:A,'[1]DATOS PBI Artículos'!AP:AP)</f>
        <v>0</v>
      </c>
      <c r="G589" s="34">
        <f>_xlfn.XLOOKUP($A589,'[1]DATOS PBI Artículos'!A:A,'[1]DATOS PBI Artículos'!AR:AR)</f>
        <v>0</v>
      </c>
      <c r="H589" s="34">
        <f>_xlfn.XLOOKUP($A589,'[1]DATOS PBI Artículos'!A:A,'[1]DATOS PBI Artículos'!AT:AT)</f>
        <v>0</v>
      </c>
      <c r="I589" s="34">
        <f>_xlfn.XLOOKUP($A589,'[1]DATOS PBI Artículos'!A:A,'[1]DATOS PBI Artículos'!AS:AS)</f>
        <v>0</v>
      </c>
      <c r="J589" s="35">
        <f>IF(COUNTIF([1]CRITERIOS!$F$179:$F$199,$A589)&gt;=1,
 IF(O589&lt;&gt;"",
    (O589/_xlfn.XLOOKUP(CONCATENATE(A589,L589),[1]MÁQUINAS!A:A,[1]MÁQUINAS!D:D))/24,
    (N589/_xlfn.XLOOKUP(CONCATENATE(A589,L589),[1]MÁQUINAS!A:A,[1]MÁQUINAS!D:D))/24),
  _xlfn.XLOOKUP($A589,'[1]DATOS PBI Artículos'!A:A,'[1]DATOS PBI Artículos'!AU:AU))</f>
        <v>0</v>
      </c>
      <c r="K589" s="36">
        <f>_xlfn.XLOOKUP($A589,'[1]DATOS PBI Artículos'!A:A,'[1]DATOS PBI Artículos'!AV:AV)</f>
        <v>0</v>
      </c>
      <c r="L589" s="33">
        <f>_xlfn.XLOOKUP(A589,[1]MÁQUINAS!B:B,[1]MÁQUINAS!C:C)</f>
        <v>0</v>
      </c>
      <c r="M589" s="34">
        <f t="array" ref="M589">_xlfn.XLOOKUP(A589,'[1]DATOS PBI Artículos'!A:A,'[1]DATOS PBI Artículos'!AX:$AX)</f>
        <v>0</v>
      </c>
      <c r="N589" s="37" t="e">
        <f>IF(I589="DV",
E589,
IF(COUNTIF([1]CRITERIOS!$I$179:$I$199,$A589)&gt;=1,
_xlfn.XLOOKUP($A589,[1]CRITERIOS!$I$179:$I$199,[1]CRITERIOS!$J$179:$J$199),
IF(COUNTIF([1]CRITERIOS!$L$179:$L$199,$A589)&gt;=1,
_xlfn.CEILING.MATH(IF($M589&gt;$E589,
$E589,
IF($M589&lt;$E589/ROUNDDOWN([1]CRITERIOS!$M$16/_xlfn.XLOOKUP($C589,[1]CRITERIOS!$K$25:$K$42,[1]CRITERIOS!$M$25:$M$42),
1),
E589/ROUNDDOWN([1]CRITERIOS!$M$16/_xlfn.XLOOKUP($C589,[1]CRITERIOS!$K$25:$K$42,[1]CRITERIOS!$M$25:$M$42),
1),
$M589)),
_xlfn.XLOOKUP($A589,[1]CRITERIOS!$L$179:$L$200,[1]CRITERIOS!$M$179:$M$200)),
_xlfn.CEILING.MATH(IF($M589&gt;$E589,
$E589,
IF($M589&lt;$E589/ROUNDDOWN([1]CRITERIOS!$M$16/_xlfn.XLOOKUP($C589,[1]CRITERIOS!$K$25:$K$42,[1]CRITERIOS!$M$25:$M$42),
1),
E589/ROUNDDOWN([1]CRITERIOS!$M$16/_xlfn.XLOOKUP($C589,[1]CRITERIOS!$K$25:$K$42,[1]CRITERIOS!$M$25:$M$42),
1),
$M589)),_xlfn.XLOOKUP(A589,'[1]DATOS PBI Artículos'!A:A,'[1]DATOS PBI Artículos'!Z:Z
)))))</f>
        <v>#N/A</v>
      </c>
      <c r="Q589" s="38" t="e">
        <f>IF(AND(O589="",N589=0),
0,
   IF(COUNTIF([1]CRITERIOS!$F$179:$F$199,$A589)&gt;=1,
   1,
   IF(R589="MTO",
      $D589,
      ROUNDUP(
                    IF(($E589-SUMIF('[1]DATOS PBI Artículos'!A:A,A589,'[1]DATOS PBI Artículos'!X:X)+($V589-_xlfn.XLOOKUP(A589,'[1]DATOS PBI Artículos'!A:A,'[1]DATOS PBI Artículos'!W:W)))&lt;0,
                    0,
                    IF(($E589-SUMIF('[1]DATOS PBI Artículos'!A:A,A589,'[1]DATOS PBI Artículos'!X:X)+$V589-_xlfn.XLOOKUP($A589,'[1]DATOS PBI Artículos'!A:A,'[1]DATOS PBI Artículos'!W:W))/IF($O589="",$N589,$O589)&gt;ROUNDUP([1]CRITERIOS!$M$16/(IF(COUNTIF([1]CRITERIOS!$BG$11:$BG$201,L589)&gt;=1,_xlfn.XLOOKUP($C589,[1]CRITERIOS!$K$25:$K$42,[1]CRITERIOS!$M$25:$M$42),_xlfn.XLOOKUP($C589,[1]CRITERIOS!$K$25:$K$42,[1]CRITERIOS!$M$25:$M$42))),0),
                    ROUNDUP([1]CRITERIOS!$M$16/(IF(COUNTIF([1]CRITERIOS!$BG$11:$BG$201,$L589)&gt;=1,_xlfn.XLOOKUP($C589,[1]CRITERIOS!$K$25:$K$42,[1]CRITERIOS!$M$25:$M$42),_xlfn.XLOOKUP($C589,[1]CRITERIOS!$K$25:$K$42,[1]CRITERIOS!$M$25:$M$42))),0),
                    (E589+V589-SUMIF('[1]DATOS PBI Artículos'!A:A,A589,'[1]DATOS PBI Artículos'!X:X)-_xlfn.XLOOKUP(A589,'[1]DATOS PBI Artículos'!A:A,'[1]DATOS PBI Artículos'!W:W))/IF($O589="",$N589,$O589))),0))))</f>
        <v>#N/A</v>
      </c>
      <c r="R589" s="33" t="e">
        <f>IF(U589&lt;&gt;"",U589,IF(F589="DV","MTO",IF(N589=0,"MTO",_xlfn.XLOOKUP(CONCATENATE(S589,T589),[1]CRITERIOS!$K$160:$K$168,[1]CRITERIOS!$N$160:$N$168))))</f>
        <v>#N/A</v>
      </c>
      <c r="S589" s="33" t="e">
        <f>IF(G589="DV","MTO",IF(N589=0,"MTO",IF(OR(AND(N589=0,O589=""),IF(O589="",G589/N589,G589/O589)&gt;[1]CRITERIOS!$G$163),"MTO",IF(IF(O589="",G589/N589,G589/O589)&lt;[1]CRITERIOS!$H$161,"MTS","MTOS"))))</f>
        <v>#N/A</v>
      </c>
      <c r="T589" s="33" t="e">
        <f>IF(F589="DV","MTO",IF(OR(AND($N589=0,O589=""),$F589/$J589&gt;[1]CRITERIOS!$G$170,$F589="DV"),"MTO",IF($F589/$J589&lt;[1]CRITERIOS!$H$168,"MTS","MTOS")))</f>
        <v>#N/A</v>
      </c>
      <c r="V589" s="34" t="e">
        <f t="shared" si="28"/>
        <v>#N/A</v>
      </c>
      <c r="X589" s="34" t="e">
        <f t="shared" si="29"/>
        <v>#N/A</v>
      </c>
      <c r="Y589" s="34" t="e">
        <f t="shared" si="30"/>
        <v>#N/A</v>
      </c>
      <c r="Z589" s="34" t="e">
        <f>IF($R589="MTO",
0,
($H589+$K589*($E589/[1]CRITERIOS!$M$16))/[1]CRITERIOS!$X$48)</f>
        <v>#N/A</v>
      </c>
      <c r="AA589" s="34" t="e">
        <f>ROUNDUP(($Y589/_xlfn.XLOOKUP($A589,'[1]DATOS PBI Artículos'!$A$4:$A$4,'[1]DATOS PBI Artículos'!$Z$4:$Z$4))/_xlfn.XLOOKUP(_xlfn.XLOOKUP($A589,'[1]DATOS PBI Artículos'!$A$4:$A$4,'[1]DATOS PBI Artículos'!$Y$4:$Y$4),[1]CRITERIOS!$P$79:$P$123,[1]CRITERIOS!$S$79:$S$123,),0)</f>
        <v>#N/A</v>
      </c>
      <c r="AB589" s="33" t="e">
        <f t="array" ref="AB589">IF((E589+V589-_xlfn.XLOOKUP(A589,'[1]DATOS PBI Artículos'!$A$4:$A$4,'[1]DATOS PBI Artículos'!$W$4:$W$4))/N589&gt;ROUNDUP([1]CRITERIOS!$M$16/(IF(COUNTIF([1]CRITERIOS!$BG$11:$BG$201,L589)&gt;=1,_xlfn.XLOOKUP(ARTÍCULOS!L589,[1]CRITERIOS!$BG$11:$BG$201,[1]CRITERIOS!$BJ$11:$BJ$201),_xlfn.XLOOKUP(ARTÍCULOS!C589,[1]CRITERIOS!$K$25:$K$42,[1]CRITERIOS!$M$25:$M$42))),0),ROUNDUP([1]CRITERIOS!$M$16/(IF(COUNTIF([1]CRITERIOS!$BG$11:$BG$201,L589)&gt;=1,_xlfn.XLOOKUP(ARTÍCULOS!L589,[1]CRITERIOS!$BG$11:$BG$201:#REF!,[1]CRITERIOS!$BJ$11:$BJ$201),_xlfn.XLOOKUP(ARTÍCULOS!C589,[1]CRITERIOS!$K$25:$K$42,[1]CRITERIOS!$M$25:$M$42))),0),(E589+V589-_xlfn.XLOOKUP(A589,'[1]DATOS PBI Artículos'!$A$4:$A$4,'[1]DATOS PBI Artículos'!$W$4:$W$4))/N589)</f>
        <v>#N/A</v>
      </c>
      <c r="AC589" s="33" t="e">
        <f>IF(N589=0,"",(ROUNDUP((N589/2)/(_xlfn.XLOOKUP(A589,'[1]DATOS PBI Artículos'!$A$4:$A$4,'[1]DATOS PBI Artículos'!$Z$4:$Z$4)*_xlfn.XLOOKUP(_xlfn.XLOOKUP(A589,'[1]DATOS PBI Artículos'!$A$4:$A$4,'[1]DATOS PBI Artículos'!$Y$4:$Y$4),[1]CRITERIOS!$P$79:$P$123,[1]CRITERIOS!$S$79:$S$123)),0)*[1]CRITERIOS!$M$80*([1]CRITERIOS!$M$110/[1]CRITERIOS!$M$86)+(_xlfn.XLOOKUP(A589,'[1]DATOS PBI Artículos'!$A$4:$A$4,'[1]DATOS PBI Artículos'!$AA$4:$AA$4)*([1]CRITERIOS!$M$95+[1]CRITERIOS!$M$98)))/N589)</f>
        <v>#N/A</v>
      </c>
      <c r="AD589" s="33" t="e">
        <f>IF(N589=0,"",(ROUNDUP((N589/2)/(_xlfn.XLOOKUP(A589,'[1]DATOS PBI Artículos'!$A$4:$A$4,'[1]DATOS PBI Artículos'!$Z$4:$Z$4)*_xlfn.XLOOKUP(_xlfn.XLOOKUP(A589,'[1]DATOS PBI Artículos'!$A$4:$A$4,'[1]DATOS PBI Artículos'!$Y$4:$Y$4),[1]CRITERIOS!$P$79:$P$123,[1]CRITERIOS!$S$79:$S$123)),0)*[1]CRITERIOS!$M$80*([1]CRITERIOS!$M$89*[1]CRITERIOS!$M$92)+((_xlfn.XLOOKUP(A589,'[1]DATOS PBI Artículos'!$A$4:$A$4,'[1]DATOS PBI Artículos'!$AA$4:$AA$4)/2)*([1]CRITERIOS!$M$95+[1]CRITERIOS!$M$98)))/N589)</f>
        <v>#N/A</v>
      </c>
      <c r="AE589" s="39" t="e">
        <f>IF($R589="MTO","",
IF($H589=0,ROUNDUP(((_xlfn.XLOOKUP($A589,'[1]DATOS PBI Artículos'!$A:$A,'[1]DATOS PBI Artículos'!$AL:$AL))/(_xlfn.XLOOKUP($AF$1,[1]CRITERIOS!$S$16:$S$39,[1]CRITERIOS!$Y$16:$Y$39))*$J589+$Z589)/$G589,0)*$G589,
((_xlfn.XLOOKUP($A589,'[1]DATOS PBI Artículos'!$A:$A,'[1]DATOS PBI Artículos'!$AL:$AL))/(_xlfn.XLOOKUP($AF$1,[1]CRITERIOS!$S$16:$S$39,[1]CRITERIOS!$Y$16:$Y$39))*$J589+$Z589)))</f>
        <v>#N/A</v>
      </c>
      <c r="AG589" s="39" t="e">
        <f>IF($R589="MTO","",
IF($H589=0,ROUNDUP(((_xlfn.XLOOKUP($A589,'[1]DATOS PBI Artículos'!$A:$A,'[1]DATOS PBI Artículos'!$AM:$AM))/(_xlfn.XLOOKUP($AH$1,[1]CRITERIOS!$S$16:$S$39,[1]CRITERIOS!$Y$16:$Y$39))*$J589+$Z589)/$G589,0)*$G589,
((_xlfn.XLOOKUP($A589,'[1]DATOS PBI Artículos'!$A:$A,'[1]DATOS PBI Artículos'!$AM:$AM))/(_xlfn.XLOOKUP($AH$1,[1]CRITERIOS!$S$16:$S$39,[1]CRITERIOS!$Y$16:$Y$39))*$J589+$Z589)))</f>
        <v>#N/A</v>
      </c>
      <c r="AI589" s="39" t="e">
        <f>IF($R589="MTO","",
IF($H589=0,ROUNDUP(((_xlfn.XLOOKUP($A589,'[1]DATOS PBI Artículos'!$A:$A,'[1]DATOS PBI Artículos'!$AN:$AN))/(_xlfn.XLOOKUP($AJ$1,[1]CRITERIOS!$S$16:$S$39,[1]CRITERIOS!$Y$16:$Y$39))*$J589+$Z589)/$G589,0)*$G589,
((_xlfn.XLOOKUP($A589,'[1]DATOS PBI Artículos'!$A:$A,'[1]DATOS PBI Artículos'!$AN:$AN))/(_xlfn.XLOOKUP($AJ$1,[1]CRITERIOS!$S$16:$S$39,[1]CRITERIOS!$Y$16:$Y$39))*$J589+$Z589)))</f>
        <v>#N/A</v>
      </c>
      <c r="AK589" s="39" t="e">
        <f>IF($R589="MTO","",
IF($H589=0,ROUNDUP(((_xlfn.XLOOKUP($A589,'[1]DATOS PBI Artículos'!$A:$A,'[1]DATOS PBI Artículos'!$AO:$AO))/(_xlfn.XLOOKUP($AL$1,[1]CRITERIOS!$S$16:$S$39,[1]CRITERIOS!$Y$16:$Y$39))*$J589+$Z589)/$G589,0)*$G589,
((_xlfn.XLOOKUP($A589,'[1]DATOS PBI Artículos'!$A:$A,'[1]DATOS PBI Artículos'!$AO:$AO))/(_xlfn.XLOOKUP($AL$1,[1]CRITERIOS!$S$16:$S$39,[1]CRITERIOS!$Y$16:$Y$39))*$J589+$Z589)))</f>
        <v>#N/A</v>
      </c>
    </row>
    <row r="590" spans="1:37" ht="25.8" hidden="1" x14ac:dyDescent="0.4">
      <c r="A590" s="41"/>
      <c r="B590" s="33">
        <f>_xlfn.XLOOKUP($A590,'[1]DATOS PBI Artículos'!A:A,'[1]DATOS PBI Artículos'!B:B)</f>
        <v>0</v>
      </c>
      <c r="C590" s="33">
        <f>_xlfn.XLOOKUP($A590,'[1]DATOS PBI Artículos'!A:A,'[1]DATOS PBI Artículos'!C:C)</f>
        <v>0</v>
      </c>
      <c r="D590" s="33">
        <f>_xlfn.XLOOKUP(A590,'[1]DATOS PBI Artículos'!A:A,'[1]DATOS PBI Artículos'!T:T)</f>
        <v>0</v>
      </c>
      <c r="E590" s="34">
        <f>IF(_xlfn.XLOOKUP($A590,'[1]DATOS PBI Artículos'!A:A,'[1]DATOS PBI Artículos'!AK:AK)="",_xlfn.XLOOKUP($A590,'[1]DATOS PBI Artículos'!A:A,'[1]DATOS PBI Artículos'!AJ:AJ),_xlfn.XLOOKUP($A590,'[1]DATOS PBI Artículos'!A:A,'[1]DATOS PBI Artículos'!AK:AK))</f>
        <v>0</v>
      </c>
      <c r="F590" s="35">
        <f>_xlfn.XLOOKUP($A590,'[1]DATOS PBI Artículos'!A:A,'[1]DATOS PBI Artículos'!AP:AP)</f>
        <v>0</v>
      </c>
      <c r="G590" s="34">
        <f>_xlfn.XLOOKUP($A590,'[1]DATOS PBI Artículos'!A:A,'[1]DATOS PBI Artículos'!AR:AR)</f>
        <v>0</v>
      </c>
      <c r="H590" s="34">
        <f>_xlfn.XLOOKUP($A590,'[1]DATOS PBI Artículos'!A:A,'[1]DATOS PBI Artículos'!AT:AT)</f>
        <v>0</v>
      </c>
      <c r="I590" s="34">
        <f>_xlfn.XLOOKUP($A590,'[1]DATOS PBI Artículos'!A:A,'[1]DATOS PBI Artículos'!AS:AS)</f>
        <v>0</v>
      </c>
      <c r="J590" s="35">
        <f>IF(COUNTIF([1]CRITERIOS!$F$179:$F$199,$A590)&gt;=1,
 IF(O590&lt;&gt;"",
    (O590/_xlfn.XLOOKUP(CONCATENATE(A590,L590),[1]MÁQUINAS!A:A,[1]MÁQUINAS!D:D))/24,
    (N590/_xlfn.XLOOKUP(CONCATENATE(A590,L590),[1]MÁQUINAS!A:A,[1]MÁQUINAS!D:D))/24),
  _xlfn.XLOOKUP($A590,'[1]DATOS PBI Artículos'!A:A,'[1]DATOS PBI Artículos'!AU:AU))</f>
        <v>0</v>
      </c>
      <c r="K590" s="36">
        <f>_xlfn.XLOOKUP($A590,'[1]DATOS PBI Artículos'!A:A,'[1]DATOS PBI Artículos'!AV:AV)</f>
        <v>0</v>
      </c>
      <c r="L590" s="33">
        <f>_xlfn.XLOOKUP(A590,[1]MÁQUINAS!B:B,[1]MÁQUINAS!C:C)</f>
        <v>0</v>
      </c>
      <c r="M590" s="34">
        <f t="array" ref="M590">_xlfn.XLOOKUP(A590,'[1]DATOS PBI Artículos'!A:A,'[1]DATOS PBI Artículos'!AX:$AX)</f>
        <v>0</v>
      </c>
      <c r="N590" s="37" t="e">
        <f>IF(I590="DV",
E590,
IF(COUNTIF([1]CRITERIOS!$I$179:$I$199,$A590)&gt;=1,
_xlfn.XLOOKUP($A590,[1]CRITERIOS!$I$179:$I$199,[1]CRITERIOS!$J$179:$J$199),
IF(COUNTIF([1]CRITERIOS!$L$179:$L$199,$A590)&gt;=1,
_xlfn.CEILING.MATH(IF($M590&gt;$E590,
$E590,
IF($M590&lt;$E590/ROUNDDOWN([1]CRITERIOS!$M$16/_xlfn.XLOOKUP($C590,[1]CRITERIOS!$K$25:$K$42,[1]CRITERIOS!$M$25:$M$42),
1),
E590/ROUNDDOWN([1]CRITERIOS!$M$16/_xlfn.XLOOKUP($C590,[1]CRITERIOS!$K$25:$K$42,[1]CRITERIOS!$M$25:$M$42),
1),
$M590)),
_xlfn.XLOOKUP($A590,[1]CRITERIOS!$L$179:$L$200,[1]CRITERIOS!$M$179:$M$200)),
_xlfn.CEILING.MATH(IF($M590&gt;$E590,
$E590,
IF($M590&lt;$E590/ROUNDDOWN([1]CRITERIOS!$M$16/_xlfn.XLOOKUP($C590,[1]CRITERIOS!$K$25:$K$42,[1]CRITERIOS!$M$25:$M$42),
1),
E590/ROUNDDOWN([1]CRITERIOS!$M$16/_xlfn.XLOOKUP($C590,[1]CRITERIOS!$K$25:$K$42,[1]CRITERIOS!$M$25:$M$42),
1),
$M590)),_xlfn.XLOOKUP(A590,'[1]DATOS PBI Artículos'!A:A,'[1]DATOS PBI Artículos'!Z:Z
)))))</f>
        <v>#N/A</v>
      </c>
      <c r="Q590" s="38" t="e">
        <f>IF(AND(O590="",N590=0),
0,
   IF(COUNTIF([1]CRITERIOS!$F$179:$F$199,$A590)&gt;=1,
   1,
   IF(R590="MTO",
      $D590,
      ROUNDUP(
                    IF(($E590-SUMIF('[1]DATOS PBI Artículos'!A:A,A590,'[1]DATOS PBI Artículos'!X:X)+($V590-_xlfn.XLOOKUP(A590,'[1]DATOS PBI Artículos'!A:A,'[1]DATOS PBI Artículos'!W:W)))&lt;0,
                    0,
                    IF(($E590-SUMIF('[1]DATOS PBI Artículos'!A:A,A590,'[1]DATOS PBI Artículos'!X:X)+$V590-_xlfn.XLOOKUP($A590,'[1]DATOS PBI Artículos'!A:A,'[1]DATOS PBI Artículos'!W:W))/IF($O590="",$N590,$O590)&gt;ROUNDUP([1]CRITERIOS!$M$16/(IF(COUNTIF([1]CRITERIOS!$BG$11:$BG$201,L590)&gt;=1,_xlfn.XLOOKUP($C590,[1]CRITERIOS!$K$25:$K$42,[1]CRITERIOS!$M$25:$M$42),_xlfn.XLOOKUP($C590,[1]CRITERIOS!$K$25:$K$42,[1]CRITERIOS!$M$25:$M$42))),0),
                    ROUNDUP([1]CRITERIOS!$M$16/(IF(COUNTIF([1]CRITERIOS!$BG$11:$BG$201,$L590)&gt;=1,_xlfn.XLOOKUP($C590,[1]CRITERIOS!$K$25:$K$42,[1]CRITERIOS!$M$25:$M$42),_xlfn.XLOOKUP($C590,[1]CRITERIOS!$K$25:$K$42,[1]CRITERIOS!$M$25:$M$42))),0),
                    (E590+V590-SUMIF('[1]DATOS PBI Artículos'!A:A,A590,'[1]DATOS PBI Artículos'!X:X)-_xlfn.XLOOKUP(A590,'[1]DATOS PBI Artículos'!A:A,'[1]DATOS PBI Artículos'!W:W))/IF($O590="",$N590,$O590))),0))))</f>
        <v>#N/A</v>
      </c>
      <c r="R590" s="33" t="e">
        <f>IF(U590&lt;&gt;"",U590,IF(F590="DV","MTO",IF(N590=0,"MTO",_xlfn.XLOOKUP(CONCATENATE(S590,T590),[1]CRITERIOS!$K$160:$K$168,[1]CRITERIOS!$N$160:$N$168))))</f>
        <v>#N/A</v>
      </c>
      <c r="S590" s="33" t="e">
        <f>IF(G590="DV","MTO",IF(N590=0,"MTO",IF(OR(AND(N590=0,O590=""),IF(O590="",G590/N590,G590/O590)&gt;[1]CRITERIOS!$G$163),"MTO",IF(IF(O590="",G590/N590,G590/O590)&lt;[1]CRITERIOS!$H$161,"MTS","MTOS"))))</f>
        <v>#N/A</v>
      </c>
      <c r="T590" s="33" t="e">
        <f>IF(F590="DV","MTO",IF(OR(AND($N590=0,O590=""),$F590/$J590&gt;[1]CRITERIOS!$G$170,$F590="DV"),"MTO",IF($F590/$J590&lt;[1]CRITERIOS!$H$168,"MTS","MTOS")))</f>
        <v>#N/A</v>
      </c>
      <c r="V590" s="34" t="e">
        <f t="shared" si="28"/>
        <v>#N/A</v>
      </c>
      <c r="X590" s="34" t="e">
        <f t="shared" si="29"/>
        <v>#N/A</v>
      </c>
      <c r="Y590" s="34" t="e">
        <f t="shared" si="30"/>
        <v>#N/A</v>
      </c>
      <c r="Z590" s="34" t="e">
        <f>IF($R590="MTO",
0,
($H590+$K590*($E590/[1]CRITERIOS!$M$16))/[1]CRITERIOS!$X$48)</f>
        <v>#N/A</v>
      </c>
      <c r="AA590" s="34" t="e">
        <f>ROUNDUP(($Y590/_xlfn.XLOOKUP($A590,'[1]DATOS PBI Artículos'!$A$4:$A$4,'[1]DATOS PBI Artículos'!$Z$4:$Z$4))/_xlfn.XLOOKUP(_xlfn.XLOOKUP($A590,'[1]DATOS PBI Artículos'!$A$4:$A$4,'[1]DATOS PBI Artículos'!$Y$4:$Y$4),[1]CRITERIOS!$P$79:$P$123,[1]CRITERIOS!$S$79:$S$123,),0)</f>
        <v>#N/A</v>
      </c>
      <c r="AB590" s="33" t="e">
        <f t="array" ref="AB590">IF((E590+V590-_xlfn.XLOOKUP(A590,'[1]DATOS PBI Artículos'!$A$4:$A$4,'[1]DATOS PBI Artículos'!$W$4:$W$4))/N590&gt;ROUNDUP([1]CRITERIOS!$M$16/(IF(COUNTIF([1]CRITERIOS!$BG$11:$BG$201,L590)&gt;=1,_xlfn.XLOOKUP(ARTÍCULOS!L590,[1]CRITERIOS!$BG$11:$BG$201,[1]CRITERIOS!$BJ$11:$BJ$201),_xlfn.XLOOKUP(ARTÍCULOS!C590,[1]CRITERIOS!$K$25:$K$42,[1]CRITERIOS!$M$25:$M$42))),0),ROUNDUP([1]CRITERIOS!$M$16/(IF(COUNTIF([1]CRITERIOS!$BG$11:$BG$201,L590)&gt;=1,_xlfn.XLOOKUP(ARTÍCULOS!L590,[1]CRITERIOS!$BG$11:$BG$201:#REF!,[1]CRITERIOS!$BJ$11:$BJ$201),_xlfn.XLOOKUP(ARTÍCULOS!C590,[1]CRITERIOS!$K$25:$K$42,[1]CRITERIOS!$M$25:$M$42))),0),(E590+V590-_xlfn.XLOOKUP(A590,'[1]DATOS PBI Artículos'!$A$4:$A$4,'[1]DATOS PBI Artículos'!$W$4:$W$4))/N590)</f>
        <v>#N/A</v>
      </c>
      <c r="AC590" s="33" t="e">
        <f>IF(N590=0,"",(ROUNDUP((N590/2)/(_xlfn.XLOOKUP(A590,'[1]DATOS PBI Artículos'!$A$4:$A$4,'[1]DATOS PBI Artículos'!$Z$4:$Z$4)*_xlfn.XLOOKUP(_xlfn.XLOOKUP(A590,'[1]DATOS PBI Artículos'!$A$4:$A$4,'[1]DATOS PBI Artículos'!$Y$4:$Y$4),[1]CRITERIOS!$P$79:$P$123,[1]CRITERIOS!$S$79:$S$123)),0)*[1]CRITERIOS!$M$80*([1]CRITERIOS!$M$110/[1]CRITERIOS!$M$86)+(_xlfn.XLOOKUP(A590,'[1]DATOS PBI Artículos'!$A$4:$A$4,'[1]DATOS PBI Artículos'!$AA$4:$AA$4)*([1]CRITERIOS!$M$95+[1]CRITERIOS!$M$98)))/N590)</f>
        <v>#N/A</v>
      </c>
      <c r="AD590" s="33" t="e">
        <f>IF(N590=0,"",(ROUNDUP((N590/2)/(_xlfn.XLOOKUP(A590,'[1]DATOS PBI Artículos'!$A$4:$A$4,'[1]DATOS PBI Artículos'!$Z$4:$Z$4)*_xlfn.XLOOKUP(_xlfn.XLOOKUP(A590,'[1]DATOS PBI Artículos'!$A$4:$A$4,'[1]DATOS PBI Artículos'!$Y$4:$Y$4),[1]CRITERIOS!$P$79:$P$123,[1]CRITERIOS!$S$79:$S$123)),0)*[1]CRITERIOS!$M$80*([1]CRITERIOS!$M$89*[1]CRITERIOS!$M$92)+((_xlfn.XLOOKUP(A590,'[1]DATOS PBI Artículos'!$A$4:$A$4,'[1]DATOS PBI Artículos'!$AA$4:$AA$4)/2)*([1]CRITERIOS!$M$95+[1]CRITERIOS!$M$98)))/N590)</f>
        <v>#N/A</v>
      </c>
      <c r="AE590" s="39" t="e">
        <f>IF($R590="MTO","",
IF($H590=0,ROUNDUP(((_xlfn.XLOOKUP($A590,'[1]DATOS PBI Artículos'!$A:$A,'[1]DATOS PBI Artículos'!$AL:$AL))/(_xlfn.XLOOKUP($AF$1,[1]CRITERIOS!$S$16:$S$39,[1]CRITERIOS!$Y$16:$Y$39))*$J590+$Z590)/$G590,0)*$G590,
((_xlfn.XLOOKUP($A590,'[1]DATOS PBI Artículos'!$A:$A,'[1]DATOS PBI Artículos'!$AL:$AL))/(_xlfn.XLOOKUP($AF$1,[1]CRITERIOS!$S$16:$S$39,[1]CRITERIOS!$Y$16:$Y$39))*$J590+$Z590)))</f>
        <v>#N/A</v>
      </c>
      <c r="AG590" s="39" t="e">
        <f>IF($R590="MTO","",
IF($H590=0,ROUNDUP(((_xlfn.XLOOKUP($A590,'[1]DATOS PBI Artículos'!$A:$A,'[1]DATOS PBI Artículos'!$AM:$AM))/(_xlfn.XLOOKUP($AH$1,[1]CRITERIOS!$S$16:$S$39,[1]CRITERIOS!$Y$16:$Y$39))*$J590+$Z590)/$G590,0)*$G590,
((_xlfn.XLOOKUP($A590,'[1]DATOS PBI Artículos'!$A:$A,'[1]DATOS PBI Artículos'!$AM:$AM))/(_xlfn.XLOOKUP($AH$1,[1]CRITERIOS!$S$16:$S$39,[1]CRITERIOS!$Y$16:$Y$39))*$J590+$Z590)))</f>
        <v>#N/A</v>
      </c>
      <c r="AI590" s="39" t="e">
        <f>IF($R590="MTO","",
IF($H590=0,ROUNDUP(((_xlfn.XLOOKUP($A590,'[1]DATOS PBI Artículos'!$A:$A,'[1]DATOS PBI Artículos'!$AN:$AN))/(_xlfn.XLOOKUP($AJ$1,[1]CRITERIOS!$S$16:$S$39,[1]CRITERIOS!$Y$16:$Y$39))*$J590+$Z590)/$G590,0)*$G590,
((_xlfn.XLOOKUP($A590,'[1]DATOS PBI Artículos'!$A:$A,'[1]DATOS PBI Artículos'!$AN:$AN))/(_xlfn.XLOOKUP($AJ$1,[1]CRITERIOS!$S$16:$S$39,[1]CRITERIOS!$Y$16:$Y$39))*$J590+$Z590)))</f>
        <v>#N/A</v>
      </c>
      <c r="AK590" s="39" t="e">
        <f>IF($R590="MTO","",
IF($H590=0,ROUNDUP(((_xlfn.XLOOKUP($A590,'[1]DATOS PBI Artículos'!$A:$A,'[1]DATOS PBI Artículos'!$AO:$AO))/(_xlfn.XLOOKUP($AL$1,[1]CRITERIOS!$S$16:$S$39,[1]CRITERIOS!$Y$16:$Y$39))*$J590+$Z590)/$G590,0)*$G590,
((_xlfn.XLOOKUP($A590,'[1]DATOS PBI Artículos'!$A:$A,'[1]DATOS PBI Artículos'!$AO:$AO))/(_xlfn.XLOOKUP($AL$1,[1]CRITERIOS!$S$16:$S$39,[1]CRITERIOS!$Y$16:$Y$39))*$J590+$Z590)))</f>
        <v>#N/A</v>
      </c>
    </row>
    <row r="591" spans="1:37" ht="25.8" hidden="1" x14ac:dyDescent="0.4">
      <c r="A591" s="41"/>
      <c r="B591" s="33">
        <f>_xlfn.XLOOKUP($A591,'[1]DATOS PBI Artículos'!A:A,'[1]DATOS PBI Artículos'!B:B)</f>
        <v>0</v>
      </c>
      <c r="C591" s="33">
        <f>_xlfn.XLOOKUP($A591,'[1]DATOS PBI Artículos'!A:A,'[1]DATOS PBI Artículos'!C:C)</f>
        <v>0</v>
      </c>
      <c r="D591" s="33">
        <f>_xlfn.XLOOKUP(A591,'[1]DATOS PBI Artículos'!A:A,'[1]DATOS PBI Artículos'!T:T)</f>
        <v>0</v>
      </c>
      <c r="E591" s="34">
        <f>IF(_xlfn.XLOOKUP($A591,'[1]DATOS PBI Artículos'!A:A,'[1]DATOS PBI Artículos'!AK:AK)="",_xlfn.XLOOKUP($A591,'[1]DATOS PBI Artículos'!A:A,'[1]DATOS PBI Artículos'!AJ:AJ),_xlfn.XLOOKUP($A591,'[1]DATOS PBI Artículos'!A:A,'[1]DATOS PBI Artículos'!AK:AK))</f>
        <v>0</v>
      </c>
      <c r="F591" s="35">
        <f>_xlfn.XLOOKUP($A591,'[1]DATOS PBI Artículos'!A:A,'[1]DATOS PBI Artículos'!AP:AP)</f>
        <v>0</v>
      </c>
      <c r="G591" s="34">
        <f>_xlfn.XLOOKUP($A591,'[1]DATOS PBI Artículos'!A:A,'[1]DATOS PBI Artículos'!AR:AR)</f>
        <v>0</v>
      </c>
      <c r="H591" s="34">
        <f>_xlfn.XLOOKUP($A591,'[1]DATOS PBI Artículos'!A:A,'[1]DATOS PBI Artículos'!AT:AT)</f>
        <v>0</v>
      </c>
      <c r="I591" s="34">
        <f>_xlfn.XLOOKUP($A591,'[1]DATOS PBI Artículos'!A:A,'[1]DATOS PBI Artículos'!AS:AS)</f>
        <v>0</v>
      </c>
      <c r="J591" s="35">
        <f>IF(COUNTIF([1]CRITERIOS!$F$179:$F$199,$A591)&gt;=1,
 IF(O591&lt;&gt;"",
    (O591/_xlfn.XLOOKUP(CONCATENATE(A591,L591),[1]MÁQUINAS!A:A,[1]MÁQUINAS!D:D))/24,
    (N591/_xlfn.XLOOKUP(CONCATENATE(A591,L591),[1]MÁQUINAS!A:A,[1]MÁQUINAS!D:D))/24),
  _xlfn.XLOOKUP($A591,'[1]DATOS PBI Artículos'!A:A,'[1]DATOS PBI Artículos'!AU:AU))</f>
        <v>0</v>
      </c>
      <c r="K591" s="36">
        <f>_xlfn.XLOOKUP($A591,'[1]DATOS PBI Artículos'!A:A,'[1]DATOS PBI Artículos'!AV:AV)</f>
        <v>0</v>
      </c>
      <c r="L591" s="33">
        <f>_xlfn.XLOOKUP(A591,[1]MÁQUINAS!B:B,[1]MÁQUINAS!C:C)</f>
        <v>0</v>
      </c>
      <c r="M591" s="34">
        <f t="array" ref="M591">_xlfn.XLOOKUP(A591,'[1]DATOS PBI Artículos'!A:A,'[1]DATOS PBI Artículos'!AX:$AX)</f>
        <v>0</v>
      </c>
      <c r="N591" s="37" t="e">
        <f>IF(I591="DV",
E591,
IF(COUNTIF([1]CRITERIOS!$I$179:$I$199,$A591)&gt;=1,
_xlfn.XLOOKUP($A591,[1]CRITERIOS!$I$179:$I$199,[1]CRITERIOS!$J$179:$J$199),
IF(COUNTIF([1]CRITERIOS!$L$179:$L$199,$A591)&gt;=1,
_xlfn.CEILING.MATH(IF($M591&gt;$E591,
$E591,
IF($M591&lt;$E591/ROUNDDOWN([1]CRITERIOS!$M$16/_xlfn.XLOOKUP($C591,[1]CRITERIOS!$K$25:$K$42,[1]CRITERIOS!$M$25:$M$42),
1),
E591/ROUNDDOWN([1]CRITERIOS!$M$16/_xlfn.XLOOKUP($C591,[1]CRITERIOS!$K$25:$K$42,[1]CRITERIOS!$M$25:$M$42),
1),
$M591)),
_xlfn.XLOOKUP($A591,[1]CRITERIOS!$L$179:$L$200,[1]CRITERIOS!$M$179:$M$200)),
_xlfn.CEILING.MATH(IF($M591&gt;$E591,
$E591,
IF($M591&lt;$E591/ROUNDDOWN([1]CRITERIOS!$M$16/_xlfn.XLOOKUP($C591,[1]CRITERIOS!$K$25:$K$42,[1]CRITERIOS!$M$25:$M$42),
1),
E591/ROUNDDOWN([1]CRITERIOS!$M$16/_xlfn.XLOOKUP($C591,[1]CRITERIOS!$K$25:$K$42,[1]CRITERIOS!$M$25:$M$42),
1),
$M591)),_xlfn.XLOOKUP(A591,'[1]DATOS PBI Artículos'!A:A,'[1]DATOS PBI Artículos'!Z:Z
)))))</f>
        <v>#N/A</v>
      </c>
      <c r="Q591" s="38" t="e">
        <f>IF(AND(O591="",N591=0),
0,
   IF(COUNTIF([1]CRITERIOS!$F$179:$F$199,$A591)&gt;=1,
   1,
   IF(R591="MTO",
      $D591,
      ROUNDUP(
                    IF(($E591-SUMIF('[1]DATOS PBI Artículos'!A:A,A591,'[1]DATOS PBI Artículos'!X:X)+($V591-_xlfn.XLOOKUP(A591,'[1]DATOS PBI Artículos'!A:A,'[1]DATOS PBI Artículos'!W:W)))&lt;0,
                    0,
                    IF(($E591-SUMIF('[1]DATOS PBI Artículos'!A:A,A591,'[1]DATOS PBI Artículos'!X:X)+$V591-_xlfn.XLOOKUP($A591,'[1]DATOS PBI Artículos'!A:A,'[1]DATOS PBI Artículos'!W:W))/IF($O591="",$N591,$O591)&gt;ROUNDUP([1]CRITERIOS!$M$16/(IF(COUNTIF([1]CRITERIOS!$BG$11:$BG$201,L591)&gt;=1,_xlfn.XLOOKUP($C591,[1]CRITERIOS!$K$25:$K$42,[1]CRITERIOS!$M$25:$M$42),_xlfn.XLOOKUP($C591,[1]CRITERIOS!$K$25:$K$42,[1]CRITERIOS!$M$25:$M$42))),0),
                    ROUNDUP([1]CRITERIOS!$M$16/(IF(COUNTIF([1]CRITERIOS!$BG$11:$BG$201,$L591)&gt;=1,_xlfn.XLOOKUP($C591,[1]CRITERIOS!$K$25:$K$42,[1]CRITERIOS!$M$25:$M$42),_xlfn.XLOOKUP($C591,[1]CRITERIOS!$K$25:$K$42,[1]CRITERIOS!$M$25:$M$42))),0),
                    (E591+V591-SUMIF('[1]DATOS PBI Artículos'!A:A,A591,'[1]DATOS PBI Artículos'!X:X)-_xlfn.XLOOKUP(A591,'[1]DATOS PBI Artículos'!A:A,'[1]DATOS PBI Artículos'!W:W))/IF($O591="",$N591,$O591))),0))))</f>
        <v>#N/A</v>
      </c>
      <c r="R591" s="33" t="e">
        <f>IF(U591&lt;&gt;"",U591,IF(F591="DV","MTO",IF(N591=0,"MTO",_xlfn.XLOOKUP(CONCATENATE(S591,T591),[1]CRITERIOS!$K$160:$K$168,[1]CRITERIOS!$N$160:$N$168))))</f>
        <v>#N/A</v>
      </c>
      <c r="S591" s="33" t="e">
        <f>IF(G591="DV","MTO",IF(N591=0,"MTO",IF(OR(AND(N591=0,O591=""),IF(O591="",G591/N591,G591/O591)&gt;[1]CRITERIOS!$G$163),"MTO",IF(IF(O591="",G591/N591,G591/O591)&lt;[1]CRITERIOS!$H$161,"MTS","MTOS"))))</f>
        <v>#N/A</v>
      </c>
      <c r="T591" s="33" t="e">
        <f>IF(F591="DV","MTO",IF(OR(AND($N591=0,O591=""),$F591/$J591&gt;[1]CRITERIOS!$G$170,$F591="DV"),"MTO",IF($F591/$J591&lt;[1]CRITERIOS!$H$168,"MTS","MTOS")))</f>
        <v>#N/A</v>
      </c>
      <c r="V591" s="34" t="e">
        <f t="shared" si="28"/>
        <v>#N/A</v>
      </c>
      <c r="X591" s="34" t="e">
        <f t="shared" si="29"/>
        <v>#N/A</v>
      </c>
      <c r="Y591" s="34" t="e">
        <f t="shared" si="30"/>
        <v>#N/A</v>
      </c>
      <c r="Z591" s="34" t="e">
        <f>IF($R591="MTO",
0,
($H591+$K591*($E591/[1]CRITERIOS!$M$16))/[1]CRITERIOS!$X$48)</f>
        <v>#N/A</v>
      </c>
      <c r="AA591" s="34" t="e">
        <f>ROUNDUP(($Y591/_xlfn.XLOOKUP($A591,'[1]DATOS PBI Artículos'!$A$4:$A$4,'[1]DATOS PBI Artículos'!$Z$4:$Z$4))/_xlfn.XLOOKUP(_xlfn.XLOOKUP($A591,'[1]DATOS PBI Artículos'!$A$4:$A$4,'[1]DATOS PBI Artículos'!$Y$4:$Y$4),[1]CRITERIOS!$P$79:$P$123,[1]CRITERIOS!$S$79:$S$123,),0)</f>
        <v>#N/A</v>
      </c>
      <c r="AB591" s="33" t="e">
        <f t="array" ref="AB591">IF((E591+V591-_xlfn.XLOOKUP(A591,'[1]DATOS PBI Artículos'!$A$4:$A$4,'[1]DATOS PBI Artículos'!$W$4:$W$4))/N591&gt;ROUNDUP([1]CRITERIOS!$M$16/(IF(COUNTIF([1]CRITERIOS!$BG$11:$BG$201,L591)&gt;=1,_xlfn.XLOOKUP(ARTÍCULOS!L591,[1]CRITERIOS!$BG$11:$BG$201,[1]CRITERIOS!$BJ$11:$BJ$201),_xlfn.XLOOKUP(ARTÍCULOS!C591,[1]CRITERIOS!$K$25:$K$42,[1]CRITERIOS!$M$25:$M$42))),0),ROUNDUP([1]CRITERIOS!$M$16/(IF(COUNTIF([1]CRITERIOS!$BG$11:$BG$201,L591)&gt;=1,_xlfn.XLOOKUP(ARTÍCULOS!L591,[1]CRITERIOS!$BG$11:$BG$201:#REF!,[1]CRITERIOS!$BJ$11:$BJ$201),_xlfn.XLOOKUP(ARTÍCULOS!C591,[1]CRITERIOS!$K$25:$K$42,[1]CRITERIOS!$M$25:$M$42))),0),(E591+V591-_xlfn.XLOOKUP(A591,'[1]DATOS PBI Artículos'!$A$4:$A$4,'[1]DATOS PBI Artículos'!$W$4:$W$4))/N591)</f>
        <v>#N/A</v>
      </c>
      <c r="AC591" s="33" t="e">
        <f>IF(N591=0,"",(ROUNDUP((N591/2)/(_xlfn.XLOOKUP(A591,'[1]DATOS PBI Artículos'!$A$4:$A$4,'[1]DATOS PBI Artículos'!$Z$4:$Z$4)*_xlfn.XLOOKUP(_xlfn.XLOOKUP(A591,'[1]DATOS PBI Artículos'!$A$4:$A$4,'[1]DATOS PBI Artículos'!$Y$4:$Y$4),[1]CRITERIOS!$P$79:$P$123,[1]CRITERIOS!$S$79:$S$123)),0)*[1]CRITERIOS!$M$80*([1]CRITERIOS!$M$110/[1]CRITERIOS!$M$86)+(_xlfn.XLOOKUP(A591,'[1]DATOS PBI Artículos'!$A$4:$A$4,'[1]DATOS PBI Artículos'!$AA$4:$AA$4)*([1]CRITERIOS!$M$95+[1]CRITERIOS!$M$98)))/N591)</f>
        <v>#N/A</v>
      </c>
      <c r="AD591" s="33" t="e">
        <f>IF(N591=0,"",(ROUNDUP((N591/2)/(_xlfn.XLOOKUP(A591,'[1]DATOS PBI Artículos'!$A$4:$A$4,'[1]DATOS PBI Artículos'!$Z$4:$Z$4)*_xlfn.XLOOKUP(_xlfn.XLOOKUP(A591,'[1]DATOS PBI Artículos'!$A$4:$A$4,'[1]DATOS PBI Artículos'!$Y$4:$Y$4),[1]CRITERIOS!$P$79:$P$123,[1]CRITERIOS!$S$79:$S$123)),0)*[1]CRITERIOS!$M$80*([1]CRITERIOS!$M$89*[1]CRITERIOS!$M$92)+((_xlfn.XLOOKUP(A591,'[1]DATOS PBI Artículos'!$A$4:$A$4,'[1]DATOS PBI Artículos'!$AA$4:$AA$4)/2)*([1]CRITERIOS!$M$95+[1]CRITERIOS!$M$98)))/N591)</f>
        <v>#N/A</v>
      </c>
      <c r="AE591" s="39" t="e">
        <f>IF($R591="MTO","",
IF($H591=0,ROUNDUP(((_xlfn.XLOOKUP($A591,'[1]DATOS PBI Artículos'!$A:$A,'[1]DATOS PBI Artículos'!$AL:$AL))/(_xlfn.XLOOKUP($AF$1,[1]CRITERIOS!$S$16:$S$39,[1]CRITERIOS!$Y$16:$Y$39))*$J591+$Z591)/$G591,0)*$G591,
((_xlfn.XLOOKUP($A591,'[1]DATOS PBI Artículos'!$A:$A,'[1]DATOS PBI Artículos'!$AL:$AL))/(_xlfn.XLOOKUP($AF$1,[1]CRITERIOS!$S$16:$S$39,[1]CRITERIOS!$Y$16:$Y$39))*$J591+$Z591)))</f>
        <v>#N/A</v>
      </c>
      <c r="AG591" s="39" t="e">
        <f>IF($R591="MTO","",
IF($H591=0,ROUNDUP(((_xlfn.XLOOKUP($A591,'[1]DATOS PBI Artículos'!$A:$A,'[1]DATOS PBI Artículos'!$AM:$AM))/(_xlfn.XLOOKUP($AH$1,[1]CRITERIOS!$S$16:$S$39,[1]CRITERIOS!$Y$16:$Y$39))*$J591+$Z591)/$G591,0)*$G591,
((_xlfn.XLOOKUP($A591,'[1]DATOS PBI Artículos'!$A:$A,'[1]DATOS PBI Artículos'!$AM:$AM))/(_xlfn.XLOOKUP($AH$1,[1]CRITERIOS!$S$16:$S$39,[1]CRITERIOS!$Y$16:$Y$39))*$J591+$Z591)))</f>
        <v>#N/A</v>
      </c>
      <c r="AI591" s="39" t="e">
        <f>IF($R591="MTO","",
IF($H591=0,ROUNDUP(((_xlfn.XLOOKUP($A591,'[1]DATOS PBI Artículos'!$A:$A,'[1]DATOS PBI Artículos'!$AN:$AN))/(_xlfn.XLOOKUP($AJ$1,[1]CRITERIOS!$S$16:$S$39,[1]CRITERIOS!$Y$16:$Y$39))*$J591+$Z591)/$G591,0)*$G591,
((_xlfn.XLOOKUP($A591,'[1]DATOS PBI Artículos'!$A:$A,'[1]DATOS PBI Artículos'!$AN:$AN))/(_xlfn.XLOOKUP($AJ$1,[1]CRITERIOS!$S$16:$S$39,[1]CRITERIOS!$Y$16:$Y$39))*$J591+$Z591)))</f>
        <v>#N/A</v>
      </c>
      <c r="AK591" s="39" t="e">
        <f>IF($R591="MTO","",
IF($H591=0,ROUNDUP(((_xlfn.XLOOKUP($A591,'[1]DATOS PBI Artículos'!$A:$A,'[1]DATOS PBI Artículos'!$AO:$AO))/(_xlfn.XLOOKUP($AL$1,[1]CRITERIOS!$S$16:$S$39,[1]CRITERIOS!$Y$16:$Y$39))*$J591+$Z591)/$G591,0)*$G591,
((_xlfn.XLOOKUP($A591,'[1]DATOS PBI Artículos'!$A:$A,'[1]DATOS PBI Artículos'!$AO:$AO))/(_xlfn.XLOOKUP($AL$1,[1]CRITERIOS!$S$16:$S$39,[1]CRITERIOS!$Y$16:$Y$39))*$J591+$Z591)))</f>
        <v>#N/A</v>
      </c>
    </row>
    <row r="592" spans="1:37" ht="25.8" hidden="1" x14ac:dyDescent="0.4">
      <c r="A592" s="41"/>
      <c r="B592" s="33">
        <f>_xlfn.XLOOKUP($A592,'[1]DATOS PBI Artículos'!A:A,'[1]DATOS PBI Artículos'!B:B)</f>
        <v>0</v>
      </c>
      <c r="C592" s="33">
        <f>_xlfn.XLOOKUP($A592,'[1]DATOS PBI Artículos'!A:A,'[1]DATOS PBI Artículos'!C:C)</f>
        <v>0</v>
      </c>
      <c r="D592" s="33">
        <f>_xlfn.XLOOKUP(A592,'[1]DATOS PBI Artículos'!A:A,'[1]DATOS PBI Artículos'!T:T)</f>
        <v>0</v>
      </c>
      <c r="E592" s="34">
        <f>IF(_xlfn.XLOOKUP($A592,'[1]DATOS PBI Artículos'!A:A,'[1]DATOS PBI Artículos'!AK:AK)="",_xlfn.XLOOKUP($A592,'[1]DATOS PBI Artículos'!A:A,'[1]DATOS PBI Artículos'!AJ:AJ),_xlfn.XLOOKUP($A592,'[1]DATOS PBI Artículos'!A:A,'[1]DATOS PBI Artículos'!AK:AK))</f>
        <v>0</v>
      </c>
      <c r="F592" s="35">
        <f>_xlfn.XLOOKUP($A592,'[1]DATOS PBI Artículos'!A:A,'[1]DATOS PBI Artículos'!AP:AP)</f>
        <v>0</v>
      </c>
      <c r="G592" s="34">
        <f>_xlfn.XLOOKUP($A592,'[1]DATOS PBI Artículos'!A:A,'[1]DATOS PBI Artículos'!AR:AR)</f>
        <v>0</v>
      </c>
      <c r="H592" s="34">
        <f>_xlfn.XLOOKUP($A592,'[1]DATOS PBI Artículos'!A:A,'[1]DATOS PBI Artículos'!AT:AT)</f>
        <v>0</v>
      </c>
      <c r="I592" s="34">
        <f>_xlfn.XLOOKUP($A592,'[1]DATOS PBI Artículos'!A:A,'[1]DATOS PBI Artículos'!AS:AS)</f>
        <v>0</v>
      </c>
      <c r="J592" s="35">
        <f>IF(COUNTIF([1]CRITERIOS!$F$179:$F$199,$A592)&gt;=1,
 IF(O592&lt;&gt;"",
    (O592/_xlfn.XLOOKUP(CONCATENATE(A592,L592),[1]MÁQUINAS!A:A,[1]MÁQUINAS!D:D))/24,
    (N592/_xlfn.XLOOKUP(CONCATENATE(A592,L592),[1]MÁQUINAS!A:A,[1]MÁQUINAS!D:D))/24),
  _xlfn.XLOOKUP($A592,'[1]DATOS PBI Artículos'!A:A,'[1]DATOS PBI Artículos'!AU:AU))</f>
        <v>0</v>
      </c>
      <c r="K592" s="36">
        <f>_xlfn.XLOOKUP($A592,'[1]DATOS PBI Artículos'!A:A,'[1]DATOS PBI Artículos'!AV:AV)</f>
        <v>0</v>
      </c>
      <c r="L592" s="33">
        <f>_xlfn.XLOOKUP(A592,[1]MÁQUINAS!B:B,[1]MÁQUINAS!C:C)</f>
        <v>0</v>
      </c>
      <c r="M592" s="34">
        <f t="array" ref="M592">_xlfn.XLOOKUP(A592,'[1]DATOS PBI Artículos'!A:A,'[1]DATOS PBI Artículos'!AX:$AX)</f>
        <v>0</v>
      </c>
      <c r="N592" s="37" t="e">
        <f>IF(I592="DV",
E592,
IF(COUNTIF([1]CRITERIOS!$I$179:$I$199,$A592)&gt;=1,
_xlfn.XLOOKUP($A592,[1]CRITERIOS!$I$179:$I$199,[1]CRITERIOS!$J$179:$J$199),
IF(COUNTIF([1]CRITERIOS!$L$179:$L$199,$A592)&gt;=1,
_xlfn.CEILING.MATH(IF($M592&gt;$E592,
$E592,
IF($M592&lt;$E592/ROUNDDOWN([1]CRITERIOS!$M$16/_xlfn.XLOOKUP($C592,[1]CRITERIOS!$K$25:$K$42,[1]CRITERIOS!$M$25:$M$42),
1),
E592/ROUNDDOWN([1]CRITERIOS!$M$16/_xlfn.XLOOKUP($C592,[1]CRITERIOS!$K$25:$K$42,[1]CRITERIOS!$M$25:$M$42),
1),
$M592)),
_xlfn.XLOOKUP($A592,[1]CRITERIOS!$L$179:$L$200,[1]CRITERIOS!$M$179:$M$200)),
_xlfn.CEILING.MATH(IF($M592&gt;$E592,
$E592,
IF($M592&lt;$E592/ROUNDDOWN([1]CRITERIOS!$M$16/_xlfn.XLOOKUP($C592,[1]CRITERIOS!$K$25:$K$42,[1]CRITERIOS!$M$25:$M$42),
1),
E592/ROUNDDOWN([1]CRITERIOS!$M$16/_xlfn.XLOOKUP($C592,[1]CRITERIOS!$K$25:$K$42,[1]CRITERIOS!$M$25:$M$42),
1),
$M592)),_xlfn.XLOOKUP(A592,'[1]DATOS PBI Artículos'!A:A,'[1]DATOS PBI Artículos'!Z:Z
)))))</f>
        <v>#N/A</v>
      </c>
      <c r="Q592" s="38" t="e">
        <f>IF(AND(O592="",N592=0),
0,
   IF(COUNTIF([1]CRITERIOS!$F$179:$F$199,$A592)&gt;=1,
   1,
   IF(R592="MTO",
      $D592,
      ROUNDUP(
                    IF(($E592-SUMIF('[1]DATOS PBI Artículos'!A:A,A592,'[1]DATOS PBI Artículos'!X:X)+($V592-_xlfn.XLOOKUP(A592,'[1]DATOS PBI Artículos'!A:A,'[1]DATOS PBI Artículos'!W:W)))&lt;0,
                    0,
                    IF(($E592-SUMIF('[1]DATOS PBI Artículos'!A:A,A592,'[1]DATOS PBI Artículos'!X:X)+$V592-_xlfn.XLOOKUP($A592,'[1]DATOS PBI Artículos'!A:A,'[1]DATOS PBI Artículos'!W:W))/IF($O592="",$N592,$O592)&gt;ROUNDUP([1]CRITERIOS!$M$16/(IF(COUNTIF([1]CRITERIOS!$BG$11:$BG$201,L592)&gt;=1,_xlfn.XLOOKUP($C592,[1]CRITERIOS!$K$25:$K$42,[1]CRITERIOS!$M$25:$M$42),_xlfn.XLOOKUP($C592,[1]CRITERIOS!$K$25:$K$42,[1]CRITERIOS!$M$25:$M$42))),0),
                    ROUNDUP([1]CRITERIOS!$M$16/(IF(COUNTIF([1]CRITERIOS!$BG$11:$BG$201,$L592)&gt;=1,_xlfn.XLOOKUP($C592,[1]CRITERIOS!$K$25:$K$42,[1]CRITERIOS!$M$25:$M$42),_xlfn.XLOOKUP($C592,[1]CRITERIOS!$K$25:$K$42,[1]CRITERIOS!$M$25:$M$42))),0),
                    (E592+V592-SUMIF('[1]DATOS PBI Artículos'!A:A,A592,'[1]DATOS PBI Artículos'!X:X)-_xlfn.XLOOKUP(A592,'[1]DATOS PBI Artículos'!A:A,'[1]DATOS PBI Artículos'!W:W))/IF($O592="",$N592,$O592))),0))))</f>
        <v>#N/A</v>
      </c>
      <c r="R592" s="33" t="e">
        <f>IF(U592&lt;&gt;"",U592,IF(F592="DV","MTO",IF(N592=0,"MTO",_xlfn.XLOOKUP(CONCATENATE(S592,T592),[1]CRITERIOS!$K$160:$K$168,[1]CRITERIOS!$N$160:$N$168))))</f>
        <v>#N/A</v>
      </c>
      <c r="S592" s="33" t="e">
        <f>IF(G592="DV","MTO",IF(N592=0,"MTO",IF(OR(AND(N592=0,O592=""),IF(O592="",G592/N592,G592/O592)&gt;[1]CRITERIOS!$G$163),"MTO",IF(IF(O592="",G592/N592,G592/O592)&lt;[1]CRITERIOS!$H$161,"MTS","MTOS"))))</f>
        <v>#N/A</v>
      </c>
      <c r="T592" s="33" t="e">
        <f>IF(F592="DV","MTO",IF(OR(AND($N592=0,O592=""),$F592/$J592&gt;[1]CRITERIOS!$G$170,$F592="DV"),"MTO",IF($F592/$J592&lt;[1]CRITERIOS!$H$168,"MTS","MTOS")))</f>
        <v>#N/A</v>
      </c>
      <c r="V592" s="34" t="e">
        <f t="shared" si="28"/>
        <v>#N/A</v>
      </c>
      <c r="X592" s="34" t="e">
        <f t="shared" si="29"/>
        <v>#N/A</v>
      </c>
      <c r="Y592" s="34" t="e">
        <f t="shared" si="30"/>
        <v>#N/A</v>
      </c>
      <c r="Z592" s="34" t="e">
        <f>IF($R592="MTO",
0,
($H592+$K592*($E592/[1]CRITERIOS!$M$16))/[1]CRITERIOS!$X$48)</f>
        <v>#N/A</v>
      </c>
      <c r="AA592" s="34" t="e">
        <f>ROUNDUP(($Y592/_xlfn.XLOOKUP($A592,'[1]DATOS PBI Artículos'!$A$4:$A$4,'[1]DATOS PBI Artículos'!$Z$4:$Z$4))/_xlfn.XLOOKUP(_xlfn.XLOOKUP($A592,'[1]DATOS PBI Artículos'!$A$4:$A$4,'[1]DATOS PBI Artículos'!$Y$4:$Y$4),[1]CRITERIOS!$P$79:$P$123,[1]CRITERIOS!$S$79:$S$123,),0)</f>
        <v>#N/A</v>
      </c>
      <c r="AB592" s="33" t="e">
        <f t="array" ref="AB592">IF((E592+V592-_xlfn.XLOOKUP(A592,'[1]DATOS PBI Artículos'!$A$4:$A$4,'[1]DATOS PBI Artículos'!$W$4:$W$4))/N592&gt;ROUNDUP([1]CRITERIOS!$M$16/(IF(COUNTIF([1]CRITERIOS!$BG$11:$BG$201,L592)&gt;=1,_xlfn.XLOOKUP(ARTÍCULOS!L592,[1]CRITERIOS!$BG$11:$BG$201,[1]CRITERIOS!$BJ$11:$BJ$201),_xlfn.XLOOKUP(ARTÍCULOS!C592,[1]CRITERIOS!$K$25:$K$42,[1]CRITERIOS!$M$25:$M$42))),0),ROUNDUP([1]CRITERIOS!$M$16/(IF(COUNTIF([1]CRITERIOS!$BG$11:$BG$201,L592)&gt;=1,_xlfn.XLOOKUP(ARTÍCULOS!L592,[1]CRITERIOS!$BG$11:$BG$201:#REF!,[1]CRITERIOS!$BJ$11:$BJ$201),_xlfn.XLOOKUP(ARTÍCULOS!C592,[1]CRITERIOS!$K$25:$K$42,[1]CRITERIOS!$M$25:$M$42))),0),(E592+V592-_xlfn.XLOOKUP(A592,'[1]DATOS PBI Artículos'!$A$4:$A$4,'[1]DATOS PBI Artículos'!$W$4:$W$4))/N592)</f>
        <v>#N/A</v>
      </c>
      <c r="AC592" s="33" t="e">
        <f>IF(N592=0,"",(ROUNDUP((N592/2)/(_xlfn.XLOOKUP(A592,'[1]DATOS PBI Artículos'!$A$4:$A$4,'[1]DATOS PBI Artículos'!$Z$4:$Z$4)*_xlfn.XLOOKUP(_xlfn.XLOOKUP(A592,'[1]DATOS PBI Artículos'!$A$4:$A$4,'[1]DATOS PBI Artículos'!$Y$4:$Y$4),[1]CRITERIOS!$P$79:$P$123,[1]CRITERIOS!$S$79:$S$123)),0)*[1]CRITERIOS!$M$80*([1]CRITERIOS!$M$110/[1]CRITERIOS!$M$86)+(_xlfn.XLOOKUP(A592,'[1]DATOS PBI Artículos'!$A$4:$A$4,'[1]DATOS PBI Artículos'!$AA$4:$AA$4)*([1]CRITERIOS!$M$95+[1]CRITERIOS!$M$98)))/N592)</f>
        <v>#N/A</v>
      </c>
      <c r="AD592" s="33" t="e">
        <f>IF(N592=0,"",(ROUNDUP((N592/2)/(_xlfn.XLOOKUP(A592,'[1]DATOS PBI Artículos'!$A$4:$A$4,'[1]DATOS PBI Artículos'!$Z$4:$Z$4)*_xlfn.XLOOKUP(_xlfn.XLOOKUP(A592,'[1]DATOS PBI Artículos'!$A$4:$A$4,'[1]DATOS PBI Artículos'!$Y$4:$Y$4),[1]CRITERIOS!$P$79:$P$123,[1]CRITERIOS!$S$79:$S$123)),0)*[1]CRITERIOS!$M$80*([1]CRITERIOS!$M$89*[1]CRITERIOS!$M$92)+((_xlfn.XLOOKUP(A592,'[1]DATOS PBI Artículos'!$A$4:$A$4,'[1]DATOS PBI Artículos'!$AA$4:$AA$4)/2)*([1]CRITERIOS!$M$95+[1]CRITERIOS!$M$98)))/N592)</f>
        <v>#N/A</v>
      </c>
      <c r="AE592" s="39" t="e">
        <f>IF($R592="MTO","",
IF($H592=0,ROUNDUP(((_xlfn.XLOOKUP($A592,'[1]DATOS PBI Artículos'!$A:$A,'[1]DATOS PBI Artículos'!$AL:$AL))/(_xlfn.XLOOKUP($AF$1,[1]CRITERIOS!$S$16:$S$39,[1]CRITERIOS!$Y$16:$Y$39))*$J592+$Z592)/$G592,0)*$G592,
((_xlfn.XLOOKUP($A592,'[1]DATOS PBI Artículos'!$A:$A,'[1]DATOS PBI Artículos'!$AL:$AL))/(_xlfn.XLOOKUP($AF$1,[1]CRITERIOS!$S$16:$S$39,[1]CRITERIOS!$Y$16:$Y$39))*$J592+$Z592)))</f>
        <v>#N/A</v>
      </c>
      <c r="AG592" s="39" t="e">
        <f>IF($R592="MTO","",
IF($H592=0,ROUNDUP(((_xlfn.XLOOKUP($A592,'[1]DATOS PBI Artículos'!$A:$A,'[1]DATOS PBI Artículos'!$AM:$AM))/(_xlfn.XLOOKUP($AH$1,[1]CRITERIOS!$S$16:$S$39,[1]CRITERIOS!$Y$16:$Y$39))*$J592+$Z592)/$G592,0)*$G592,
((_xlfn.XLOOKUP($A592,'[1]DATOS PBI Artículos'!$A:$A,'[1]DATOS PBI Artículos'!$AM:$AM))/(_xlfn.XLOOKUP($AH$1,[1]CRITERIOS!$S$16:$S$39,[1]CRITERIOS!$Y$16:$Y$39))*$J592+$Z592)))</f>
        <v>#N/A</v>
      </c>
      <c r="AI592" s="39" t="e">
        <f>IF($R592="MTO","",
IF($H592=0,ROUNDUP(((_xlfn.XLOOKUP($A592,'[1]DATOS PBI Artículos'!$A:$A,'[1]DATOS PBI Artículos'!$AN:$AN))/(_xlfn.XLOOKUP($AJ$1,[1]CRITERIOS!$S$16:$S$39,[1]CRITERIOS!$Y$16:$Y$39))*$J592+$Z592)/$G592,0)*$G592,
((_xlfn.XLOOKUP($A592,'[1]DATOS PBI Artículos'!$A:$A,'[1]DATOS PBI Artículos'!$AN:$AN))/(_xlfn.XLOOKUP($AJ$1,[1]CRITERIOS!$S$16:$S$39,[1]CRITERIOS!$Y$16:$Y$39))*$J592+$Z592)))</f>
        <v>#N/A</v>
      </c>
      <c r="AK592" s="39" t="e">
        <f>IF($R592="MTO","",
IF($H592=0,ROUNDUP(((_xlfn.XLOOKUP($A592,'[1]DATOS PBI Artículos'!$A:$A,'[1]DATOS PBI Artículos'!$AO:$AO))/(_xlfn.XLOOKUP($AL$1,[1]CRITERIOS!$S$16:$S$39,[1]CRITERIOS!$Y$16:$Y$39))*$J592+$Z592)/$G592,0)*$G592,
((_xlfn.XLOOKUP($A592,'[1]DATOS PBI Artículos'!$A:$A,'[1]DATOS PBI Artículos'!$AO:$AO))/(_xlfn.XLOOKUP($AL$1,[1]CRITERIOS!$S$16:$S$39,[1]CRITERIOS!$Y$16:$Y$39))*$J592+$Z592)))</f>
        <v>#N/A</v>
      </c>
    </row>
    <row r="593" spans="1:37" ht="25.8" hidden="1" x14ac:dyDescent="0.4">
      <c r="A593" s="41"/>
      <c r="B593" s="33">
        <f>_xlfn.XLOOKUP($A593,'[1]DATOS PBI Artículos'!A:A,'[1]DATOS PBI Artículos'!B:B)</f>
        <v>0</v>
      </c>
      <c r="C593" s="33">
        <f>_xlfn.XLOOKUP($A593,'[1]DATOS PBI Artículos'!A:A,'[1]DATOS PBI Artículos'!C:C)</f>
        <v>0</v>
      </c>
      <c r="D593" s="33">
        <f>_xlfn.XLOOKUP(A593,'[1]DATOS PBI Artículos'!A:A,'[1]DATOS PBI Artículos'!T:T)</f>
        <v>0</v>
      </c>
      <c r="E593" s="34">
        <f>IF(_xlfn.XLOOKUP($A593,'[1]DATOS PBI Artículos'!A:A,'[1]DATOS PBI Artículos'!AK:AK)="",_xlfn.XLOOKUP($A593,'[1]DATOS PBI Artículos'!A:A,'[1]DATOS PBI Artículos'!AJ:AJ),_xlfn.XLOOKUP($A593,'[1]DATOS PBI Artículos'!A:A,'[1]DATOS PBI Artículos'!AK:AK))</f>
        <v>0</v>
      </c>
      <c r="F593" s="35">
        <f>_xlfn.XLOOKUP($A593,'[1]DATOS PBI Artículos'!A:A,'[1]DATOS PBI Artículos'!AP:AP)</f>
        <v>0</v>
      </c>
      <c r="G593" s="34">
        <f>_xlfn.XLOOKUP($A593,'[1]DATOS PBI Artículos'!A:A,'[1]DATOS PBI Artículos'!AR:AR)</f>
        <v>0</v>
      </c>
      <c r="H593" s="34">
        <f>_xlfn.XLOOKUP($A593,'[1]DATOS PBI Artículos'!A:A,'[1]DATOS PBI Artículos'!AT:AT)</f>
        <v>0</v>
      </c>
      <c r="I593" s="34">
        <f>_xlfn.XLOOKUP($A593,'[1]DATOS PBI Artículos'!A:A,'[1]DATOS PBI Artículos'!AS:AS)</f>
        <v>0</v>
      </c>
      <c r="J593" s="35">
        <f>IF(COUNTIF([1]CRITERIOS!$F$179:$F$199,$A593)&gt;=1,
 IF(O593&lt;&gt;"",
    (O593/_xlfn.XLOOKUP(CONCATENATE(A593,L593),[1]MÁQUINAS!A:A,[1]MÁQUINAS!D:D))/24,
    (N593/_xlfn.XLOOKUP(CONCATENATE(A593,L593),[1]MÁQUINAS!A:A,[1]MÁQUINAS!D:D))/24),
  _xlfn.XLOOKUP($A593,'[1]DATOS PBI Artículos'!A:A,'[1]DATOS PBI Artículos'!AU:AU))</f>
        <v>0</v>
      </c>
      <c r="K593" s="36">
        <f>_xlfn.XLOOKUP($A593,'[1]DATOS PBI Artículos'!A:A,'[1]DATOS PBI Artículos'!AV:AV)</f>
        <v>0</v>
      </c>
      <c r="L593" s="33">
        <f>_xlfn.XLOOKUP(A593,[1]MÁQUINAS!B:B,[1]MÁQUINAS!C:C)</f>
        <v>0</v>
      </c>
      <c r="M593" s="34">
        <f t="array" ref="M593">_xlfn.XLOOKUP(A593,'[1]DATOS PBI Artículos'!A:A,'[1]DATOS PBI Artículos'!AX:$AX)</f>
        <v>0</v>
      </c>
      <c r="N593" s="37" t="e">
        <f>IF(I593="DV",
E593,
IF(COUNTIF([1]CRITERIOS!$I$179:$I$199,$A593)&gt;=1,
_xlfn.XLOOKUP($A593,[1]CRITERIOS!$I$179:$I$199,[1]CRITERIOS!$J$179:$J$199),
IF(COUNTIF([1]CRITERIOS!$L$179:$L$199,$A593)&gt;=1,
_xlfn.CEILING.MATH(IF($M593&gt;$E593,
$E593,
IF($M593&lt;$E593/ROUNDDOWN([1]CRITERIOS!$M$16/_xlfn.XLOOKUP($C593,[1]CRITERIOS!$K$25:$K$42,[1]CRITERIOS!$M$25:$M$42),
1),
E593/ROUNDDOWN([1]CRITERIOS!$M$16/_xlfn.XLOOKUP($C593,[1]CRITERIOS!$K$25:$K$42,[1]CRITERIOS!$M$25:$M$42),
1),
$M593)),
_xlfn.XLOOKUP($A593,[1]CRITERIOS!$L$179:$L$200,[1]CRITERIOS!$M$179:$M$200)),
_xlfn.CEILING.MATH(IF($M593&gt;$E593,
$E593,
IF($M593&lt;$E593/ROUNDDOWN([1]CRITERIOS!$M$16/_xlfn.XLOOKUP($C593,[1]CRITERIOS!$K$25:$K$42,[1]CRITERIOS!$M$25:$M$42),
1),
E593/ROUNDDOWN([1]CRITERIOS!$M$16/_xlfn.XLOOKUP($C593,[1]CRITERIOS!$K$25:$K$42,[1]CRITERIOS!$M$25:$M$42),
1),
$M593)),_xlfn.XLOOKUP(A593,'[1]DATOS PBI Artículos'!A:A,'[1]DATOS PBI Artículos'!Z:Z
)))))</f>
        <v>#N/A</v>
      </c>
      <c r="Q593" s="38" t="e">
        <f>IF(AND(O593="",N593=0),
0,
   IF(COUNTIF([1]CRITERIOS!$F$179:$F$199,$A593)&gt;=1,
   1,
   IF(R593="MTO",
      $D593,
      ROUNDUP(
                    IF(($E593-SUMIF('[1]DATOS PBI Artículos'!A:A,A593,'[1]DATOS PBI Artículos'!X:X)+($V593-_xlfn.XLOOKUP(A593,'[1]DATOS PBI Artículos'!A:A,'[1]DATOS PBI Artículos'!W:W)))&lt;0,
                    0,
                    IF(($E593-SUMIF('[1]DATOS PBI Artículos'!A:A,A593,'[1]DATOS PBI Artículos'!X:X)+$V593-_xlfn.XLOOKUP($A593,'[1]DATOS PBI Artículos'!A:A,'[1]DATOS PBI Artículos'!W:W))/IF($O593="",$N593,$O593)&gt;ROUNDUP([1]CRITERIOS!$M$16/(IF(COUNTIF([1]CRITERIOS!$BG$11:$BG$201,L593)&gt;=1,_xlfn.XLOOKUP($C593,[1]CRITERIOS!$K$25:$K$42,[1]CRITERIOS!$M$25:$M$42),_xlfn.XLOOKUP($C593,[1]CRITERIOS!$K$25:$K$42,[1]CRITERIOS!$M$25:$M$42))),0),
                    ROUNDUP([1]CRITERIOS!$M$16/(IF(COUNTIF([1]CRITERIOS!$BG$11:$BG$201,$L593)&gt;=1,_xlfn.XLOOKUP($C593,[1]CRITERIOS!$K$25:$K$42,[1]CRITERIOS!$M$25:$M$42),_xlfn.XLOOKUP($C593,[1]CRITERIOS!$K$25:$K$42,[1]CRITERIOS!$M$25:$M$42))),0),
                    (E593+V593-SUMIF('[1]DATOS PBI Artículos'!A:A,A593,'[1]DATOS PBI Artículos'!X:X)-_xlfn.XLOOKUP(A593,'[1]DATOS PBI Artículos'!A:A,'[1]DATOS PBI Artículos'!W:W))/IF($O593="",$N593,$O593))),0))))</f>
        <v>#N/A</v>
      </c>
      <c r="R593" s="33" t="e">
        <f>IF(U593&lt;&gt;"",U593,IF(F593="DV","MTO",IF(N593=0,"MTO",_xlfn.XLOOKUP(CONCATENATE(S593,T593),[1]CRITERIOS!$K$160:$K$168,[1]CRITERIOS!$N$160:$N$168))))</f>
        <v>#N/A</v>
      </c>
      <c r="S593" s="33" t="e">
        <f>IF(G593="DV","MTO",IF(N593=0,"MTO",IF(OR(AND(N593=0,O593=""),IF(O593="",G593/N593,G593/O593)&gt;[1]CRITERIOS!$G$163),"MTO",IF(IF(O593="",G593/N593,G593/O593)&lt;[1]CRITERIOS!$H$161,"MTS","MTOS"))))</f>
        <v>#N/A</v>
      </c>
      <c r="T593" s="33" t="e">
        <f>IF(F593="DV","MTO",IF(OR(AND($N593=0,O593=""),$F593/$J593&gt;[1]CRITERIOS!$G$170,$F593="DV"),"MTO",IF($F593/$J593&lt;[1]CRITERIOS!$H$168,"MTS","MTOS")))</f>
        <v>#N/A</v>
      </c>
      <c r="V593" s="34" t="e">
        <f t="shared" si="28"/>
        <v>#N/A</v>
      </c>
      <c r="X593" s="34" t="e">
        <f t="shared" si="29"/>
        <v>#N/A</v>
      </c>
      <c r="Y593" s="34" t="e">
        <f t="shared" si="30"/>
        <v>#N/A</v>
      </c>
      <c r="Z593" s="34" t="e">
        <f>IF($R593="MTO",
0,
($H593+$K593*($E593/[1]CRITERIOS!$M$16))/[1]CRITERIOS!$X$48)</f>
        <v>#N/A</v>
      </c>
      <c r="AA593" s="34" t="e">
        <f>ROUNDUP(($Y593/_xlfn.XLOOKUP($A593,'[1]DATOS PBI Artículos'!$A$4:$A$4,'[1]DATOS PBI Artículos'!$Z$4:$Z$4))/_xlfn.XLOOKUP(_xlfn.XLOOKUP($A593,'[1]DATOS PBI Artículos'!$A$4:$A$4,'[1]DATOS PBI Artículos'!$Y$4:$Y$4),[1]CRITERIOS!$P$79:$P$123,[1]CRITERIOS!$S$79:$S$123,),0)</f>
        <v>#N/A</v>
      </c>
      <c r="AB593" s="33" t="e">
        <f t="array" ref="AB593">IF((E593+V593-_xlfn.XLOOKUP(A593,'[1]DATOS PBI Artículos'!$A$4:$A$4,'[1]DATOS PBI Artículos'!$W$4:$W$4))/N593&gt;ROUNDUP([1]CRITERIOS!$M$16/(IF(COUNTIF([1]CRITERIOS!$BG$11:$BG$201,L593)&gt;=1,_xlfn.XLOOKUP(ARTÍCULOS!L593,[1]CRITERIOS!$BG$11:$BG$201,[1]CRITERIOS!$BJ$11:$BJ$201),_xlfn.XLOOKUP(ARTÍCULOS!C593,[1]CRITERIOS!$K$25:$K$42,[1]CRITERIOS!$M$25:$M$42))),0),ROUNDUP([1]CRITERIOS!$M$16/(IF(COUNTIF([1]CRITERIOS!$BG$11:$BG$201,L593)&gt;=1,_xlfn.XLOOKUP(ARTÍCULOS!L593,[1]CRITERIOS!$BG$11:$BG$201:#REF!,[1]CRITERIOS!$BJ$11:$BJ$201),_xlfn.XLOOKUP(ARTÍCULOS!C593,[1]CRITERIOS!$K$25:$K$42,[1]CRITERIOS!$M$25:$M$42))),0),(E593+V593-_xlfn.XLOOKUP(A593,'[1]DATOS PBI Artículos'!$A$4:$A$4,'[1]DATOS PBI Artículos'!$W$4:$W$4))/N593)</f>
        <v>#N/A</v>
      </c>
      <c r="AC593" s="33" t="e">
        <f>IF(N593=0,"",(ROUNDUP((N593/2)/(_xlfn.XLOOKUP(A593,'[1]DATOS PBI Artículos'!$A$4:$A$4,'[1]DATOS PBI Artículos'!$Z$4:$Z$4)*_xlfn.XLOOKUP(_xlfn.XLOOKUP(A593,'[1]DATOS PBI Artículos'!$A$4:$A$4,'[1]DATOS PBI Artículos'!$Y$4:$Y$4),[1]CRITERIOS!$P$79:$P$123,[1]CRITERIOS!$S$79:$S$123)),0)*[1]CRITERIOS!$M$80*([1]CRITERIOS!$M$110/[1]CRITERIOS!$M$86)+(_xlfn.XLOOKUP(A593,'[1]DATOS PBI Artículos'!$A$4:$A$4,'[1]DATOS PBI Artículos'!$AA$4:$AA$4)*([1]CRITERIOS!$M$95+[1]CRITERIOS!$M$98)))/N593)</f>
        <v>#N/A</v>
      </c>
      <c r="AD593" s="33" t="e">
        <f>IF(N593=0,"",(ROUNDUP((N593/2)/(_xlfn.XLOOKUP(A593,'[1]DATOS PBI Artículos'!$A$4:$A$4,'[1]DATOS PBI Artículos'!$Z$4:$Z$4)*_xlfn.XLOOKUP(_xlfn.XLOOKUP(A593,'[1]DATOS PBI Artículos'!$A$4:$A$4,'[1]DATOS PBI Artículos'!$Y$4:$Y$4),[1]CRITERIOS!$P$79:$P$123,[1]CRITERIOS!$S$79:$S$123)),0)*[1]CRITERIOS!$M$80*([1]CRITERIOS!$M$89*[1]CRITERIOS!$M$92)+((_xlfn.XLOOKUP(A593,'[1]DATOS PBI Artículos'!$A$4:$A$4,'[1]DATOS PBI Artículos'!$AA$4:$AA$4)/2)*([1]CRITERIOS!$M$95+[1]CRITERIOS!$M$98)))/N593)</f>
        <v>#N/A</v>
      </c>
      <c r="AE593" s="39" t="e">
        <f>IF($R593="MTO","",
IF($H593=0,ROUNDUP(((_xlfn.XLOOKUP($A593,'[1]DATOS PBI Artículos'!$A:$A,'[1]DATOS PBI Artículos'!$AL:$AL))/(_xlfn.XLOOKUP($AF$1,[1]CRITERIOS!$S$16:$S$39,[1]CRITERIOS!$Y$16:$Y$39))*$J593+$Z593)/$G593,0)*$G593,
((_xlfn.XLOOKUP($A593,'[1]DATOS PBI Artículos'!$A:$A,'[1]DATOS PBI Artículos'!$AL:$AL))/(_xlfn.XLOOKUP($AF$1,[1]CRITERIOS!$S$16:$S$39,[1]CRITERIOS!$Y$16:$Y$39))*$J593+$Z593)))</f>
        <v>#N/A</v>
      </c>
      <c r="AG593" s="39" t="e">
        <f>IF($R593="MTO","",
IF($H593=0,ROUNDUP(((_xlfn.XLOOKUP($A593,'[1]DATOS PBI Artículos'!$A:$A,'[1]DATOS PBI Artículos'!$AM:$AM))/(_xlfn.XLOOKUP($AH$1,[1]CRITERIOS!$S$16:$S$39,[1]CRITERIOS!$Y$16:$Y$39))*$J593+$Z593)/$G593,0)*$G593,
((_xlfn.XLOOKUP($A593,'[1]DATOS PBI Artículos'!$A:$A,'[1]DATOS PBI Artículos'!$AM:$AM))/(_xlfn.XLOOKUP($AH$1,[1]CRITERIOS!$S$16:$S$39,[1]CRITERIOS!$Y$16:$Y$39))*$J593+$Z593)))</f>
        <v>#N/A</v>
      </c>
      <c r="AI593" s="39" t="e">
        <f>IF($R593="MTO","",
IF($H593=0,ROUNDUP(((_xlfn.XLOOKUP($A593,'[1]DATOS PBI Artículos'!$A:$A,'[1]DATOS PBI Artículos'!$AN:$AN))/(_xlfn.XLOOKUP($AJ$1,[1]CRITERIOS!$S$16:$S$39,[1]CRITERIOS!$Y$16:$Y$39))*$J593+$Z593)/$G593,0)*$G593,
((_xlfn.XLOOKUP($A593,'[1]DATOS PBI Artículos'!$A:$A,'[1]DATOS PBI Artículos'!$AN:$AN))/(_xlfn.XLOOKUP($AJ$1,[1]CRITERIOS!$S$16:$S$39,[1]CRITERIOS!$Y$16:$Y$39))*$J593+$Z593)))</f>
        <v>#N/A</v>
      </c>
      <c r="AK593" s="39" t="e">
        <f>IF($R593="MTO","",
IF($H593=0,ROUNDUP(((_xlfn.XLOOKUP($A593,'[1]DATOS PBI Artículos'!$A:$A,'[1]DATOS PBI Artículos'!$AO:$AO))/(_xlfn.XLOOKUP($AL$1,[1]CRITERIOS!$S$16:$S$39,[1]CRITERIOS!$Y$16:$Y$39))*$J593+$Z593)/$G593,0)*$G593,
((_xlfn.XLOOKUP($A593,'[1]DATOS PBI Artículos'!$A:$A,'[1]DATOS PBI Artículos'!$AO:$AO))/(_xlfn.XLOOKUP($AL$1,[1]CRITERIOS!$S$16:$S$39,[1]CRITERIOS!$Y$16:$Y$39))*$J593+$Z593)))</f>
        <v>#N/A</v>
      </c>
    </row>
    <row r="594" spans="1:37" ht="25.8" hidden="1" x14ac:dyDescent="0.4">
      <c r="A594" s="41"/>
      <c r="B594" s="33">
        <f>_xlfn.XLOOKUP($A594,'[1]DATOS PBI Artículos'!A:A,'[1]DATOS PBI Artículos'!B:B)</f>
        <v>0</v>
      </c>
      <c r="C594" s="33">
        <f>_xlfn.XLOOKUP($A594,'[1]DATOS PBI Artículos'!A:A,'[1]DATOS PBI Artículos'!C:C)</f>
        <v>0</v>
      </c>
      <c r="D594" s="33">
        <f>_xlfn.XLOOKUP(A594,'[1]DATOS PBI Artículos'!A:A,'[1]DATOS PBI Artículos'!T:T)</f>
        <v>0</v>
      </c>
      <c r="E594" s="34">
        <f>IF(_xlfn.XLOOKUP($A594,'[1]DATOS PBI Artículos'!A:A,'[1]DATOS PBI Artículos'!AK:AK)="",_xlfn.XLOOKUP($A594,'[1]DATOS PBI Artículos'!A:A,'[1]DATOS PBI Artículos'!AJ:AJ),_xlfn.XLOOKUP($A594,'[1]DATOS PBI Artículos'!A:A,'[1]DATOS PBI Artículos'!AK:AK))</f>
        <v>0</v>
      </c>
      <c r="F594" s="35">
        <f>_xlfn.XLOOKUP($A594,'[1]DATOS PBI Artículos'!A:A,'[1]DATOS PBI Artículos'!AP:AP)</f>
        <v>0</v>
      </c>
      <c r="G594" s="34">
        <f>_xlfn.XLOOKUP($A594,'[1]DATOS PBI Artículos'!A:A,'[1]DATOS PBI Artículos'!AR:AR)</f>
        <v>0</v>
      </c>
      <c r="H594" s="34">
        <f>_xlfn.XLOOKUP($A594,'[1]DATOS PBI Artículos'!A:A,'[1]DATOS PBI Artículos'!AT:AT)</f>
        <v>0</v>
      </c>
      <c r="I594" s="34">
        <f>_xlfn.XLOOKUP($A594,'[1]DATOS PBI Artículos'!A:A,'[1]DATOS PBI Artículos'!AS:AS)</f>
        <v>0</v>
      </c>
      <c r="J594" s="35">
        <f>IF(COUNTIF([1]CRITERIOS!$F$179:$F$199,$A594)&gt;=1,
 IF(O594&lt;&gt;"",
    (O594/_xlfn.XLOOKUP(CONCATENATE(A594,L594),[1]MÁQUINAS!A:A,[1]MÁQUINAS!D:D))/24,
    (N594/_xlfn.XLOOKUP(CONCATENATE(A594,L594),[1]MÁQUINAS!A:A,[1]MÁQUINAS!D:D))/24),
  _xlfn.XLOOKUP($A594,'[1]DATOS PBI Artículos'!A:A,'[1]DATOS PBI Artículos'!AU:AU))</f>
        <v>0</v>
      </c>
      <c r="K594" s="36">
        <f>_xlfn.XLOOKUP($A594,'[1]DATOS PBI Artículos'!A:A,'[1]DATOS PBI Artículos'!AV:AV)</f>
        <v>0</v>
      </c>
      <c r="L594" s="33">
        <f>_xlfn.XLOOKUP(A594,[1]MÁQUINAS!B:B,[1]MÁQUINAS!C:C)</f>
        <v>0</v>
      </c>
      <c r="M594" s="34">
        <f t="array" ref="M594">_xlfn.XLOOKUP(A594,'[1]DATOS PBI Artículos'!A:A,'[1]DATOS PBI Artículos'!AX:$AX)</f>
        <v>0</v>
      </c>
      <c r="N594" s="37" t="e">
        <f>IF(I594="DV",
E594,
IF(COUNTIF([1]CRITERIOS!$I$179:$I$199,$A594)&gt;=1,
_xlfn.XLOOKUP($A594,[1]CRITERIOS!$I$179:$I$199,[1]CRITERIOS!$J$179:$J$199),
IF(COUNTIF([1]CRITERIOS!$L$179:$L$199,$A594)&gt;=1,
_xlfn.CEILING.MATH(IF($M594&gt;$E594,
$E594,
IF($M594&lt;$E594/ROUNDDOWN([1]CRITERIOS!$M$16/_xlfn.XLOOKUP($C594,[1]CRITERIOS!$K$25:$K$42,[1]CRITERIOS!$M$25:$M$42),
1),
E594/ROUNDDOWN([1]CRITERIOS!$M$16/_xlfn.XLOOKUP($C594,[1]CRITERIOS!$K$25:$K$42,[1]CRITERIOS!$M$25:$M$42),
1),
$M594)),
_xlfn.XLOOKUP($A594,[1]CRITERIOS!$L$179:$L$200,[1]CRITERIOS!$M$179:$M$200)),
_xlfn.CEILING.MATH(IF($M594&gt;$E594,
$E594,
IF($M594&lt;$E594/ROUNDDOWN([1]CRITERIOS!$M$16/_xlfn.XLOOKUP($C594,[1]CRITERIOS!$K$25:$K$42,[1]CRITERIOS!$M$25:$M$42),
1),
E594/ROUNDDOWN([1]CRITERIOS!$M$16/_xlfn.XLOOKUP($C594,[1]CRITERIOS!$K$25:$K$42,[1]CRITERIOS!$M$25:$M$42),
1),
$M594)),_xlfn.XLOOKUP(A594,'[1]DATOS PBI Artículos'!A:A,'[1]DATOS PBI Artículos'!Z:Z
)))))</f>
        <v>#N/A</v>
      </c>
      <c r="Q594" s="38" t="e">
        <f>IF(AND(O594="",N594=0),
0,
   IF(COUNTIF([1]CRITERIOS!$F$179:$F$199,$A594)&gt;=1,
   1,
   IF(R594="MTO",
      $D594,
      ROUNDUP(
                    IF(($E594-SUMIF('[1]DATOS PBI Artículos'!A:A,A594,'[1]DATOS PBI Artículos'!X:X)+($V594-_xlfn.XLOOKUP(A594,'[1]DATOS PBI Artículos'!A:A,'[1]DATOS PBI Artículos'!W:W)))&lt;0,
                    0,
                    IF(($E594-SUMIF('[1]DATOS PBI Artículos'!A:A,A594,'[1]DATOS PBI Artículos'!X:X)+$V594-_xlfn.XLOOKUP($A594,'[1]DATOS PBI Artículos'!A:A,'[1]DATOS PBI Artículos'!W:W))/IF($O594="",$N594,$O594)&gt;ROUNDUP([1]CRITERIOS!$M$16/(IF(COUNTIF([1]CRITERIOS!$BG$11:$BG$201,L594)&gt;=1,_xlfn.XLOOKUP($C594,[1]CRITERIOS!$K$25:$K$42,[1]CRITERIOS!$M$25:$M$42),_xlfn.XLOOKUP($C594,[1]CRITERIOS!$K$25:$K$42,[1]CRITERIOS!$M$25:$M$42))),0),
                    ROUNDUP([1]CRITERIOS!$M$16/(IF(COUNTIF([1]CRITERIOS!$BG$11:$BG$201,$L594)&gt;=1,_xlfn.XLOOKUP($C594,[1]CRITERIOS!$K$25:$K$42,[1]CRITERIOS!$M$25:$M$42),_xlfn.XLOOKUP($C594,[1]CRITERIOS!$K$25:$K$42,[1]CRITERIOS!$M$25:$M$42))),0),
                    (E594+V594-SUMIF('[1]DATOS PBI Artículos'!A:A,A594,'[1]DATOS PBI Artículos'!X:X)-_xlfn.XLOOKUP(A594,'[1]DATOS PBI Artículos'!A:A,'[1]DATOS PBI Artículos'!W:W))/IF($O594="",$N594,$O594))),0))))</f>
        <v>#N/A</v>
      </c>
      <c r="R594" s="33" t="e">
        <f>IF(U594&lt;&gt;"",U594,IF(F594="DV","MTO",IF(N594=0,"MTO",_xlfn.XLOOKUP(CONCATENATE(S594,T594),[1]CRITERIOS!$K$160:$K$168,[1]CRITERIOS!$N$160:$N$168))))</f>
        <v>#N/A</v>
      </c>
      <c r="S594" s="33" t="e">
        <f>IF(G594="DV","MTO",IF(N594=0,"MTO",IF(OR(AND(N594=0,O594=""),IF(O594="",G594/N594,G594/O594)&gt;[1]CRITERIOS!$G$163),"MTO",IF(IF(O594="",G594/N594,G594/O594)&lt;[1]CRITERIOS!$H$161,"MTS","MTOS"))))</f>
        <v>#N/A</v>
      </c>
      <c r="T594" s="33" t="e">
        <f>IF(F594="DV","MTO",IF(OR(AND($N594=0,O594=""),$F594/$J594&gt;[1]CRITERIOS!$G$170,$F594="DV"),"MTO",IF($F594/$J594&lt;[1]CRITERIOS!$H$168,"MTS","MTOS")))</f>
        <v>#N/A</v>
      </c>
      <c r="V594" s="34" t="e">
        <f t="shared" si="28"/>
        <v>#N/A</v>
      </c>
      <c r="X594" s="34" t="e">
        <f t="shared" si="29"/>
        <v>#N/A</v>
      </c>
      <c r="Y594" s="34" t="e">
        <f t="shared" si="30"/>
        <v>#N/A</v>
      </c>
      <c r="Z594" s="34" t="e">
        <f>IF($R594="MTO",
0,
($H594+$K594*($E594/[1]CRITERIOS!$M$16))/[1]CRITERIOS!$X$48)</f>
        <v>#N/A</v>
      </c>
      <c r="AA594" s="34" t="e">
        <f>ROUNDUP(($Y594/_xlfn.XLOOKUP($A594,'[1]DATOS PBI Artículos'!$A$4:$A$4,'[1]DATOS PBI Artículos'!$Z$4:$Z$4))/_xlfn.XLOOKUP(_xlfn.XLOOKUP($A594,'[1]DATOS PBI Artículos'!$A$4:$A$4,'[1]DATOS PBI Artículos'!$Y$4:$Y$4),[1]CRITERIOS!$P$79:$P$123,[1]CRITERIOS!$S$79:$S$123,),0)</f>
        <v>#N/A</v>
      </c>
      <c r="AB594" s="33" t="e">
        <f t="array" ref="AB594">IF((E594+V594-_xlfn.XLOOKUP(A594,'[1]DATOS PBI Artículos'!$A$4:$A$4,'[1]DATOS PBI Artículos'!$W$4:$W$4))/N594&gt;ROUNDUP([1]CRITERIOS!$M$16/(IF(COUNTIF([1]CRITERIOS!$BG$11:$BG$201,L594)&gt;=1,_xlfn.XLOOKUP(ARTÍCULOS!L594,[1]CRITERIOS!$BG$11:$BG$201,[1]CRITERIOS!$BJ$11:$BJ$201),_xlfn.XLOOKUP(ARTÍCULOS!C594,[1]CRITERIOS!$K$25:$K$42,[1]CRITERIOS!$M$25:$M$42))),0),ROUNDUP([1]CRITERIOS!$M$16/(IF(COUNTIF([1]CRITERIOS!$BG$11:$BG$201,L594)&gt;=1,_xlfn.XLOOKUP(ARTÍCULOS!L594,[1]CRITERIOS!$BG$11:$BG$201:#REF!,[1]CRITERIOS!$BJ$11:$BJ$201),_xlfn.XLOOKUP(ARTÍCULOS!C594,[1]CRITERIOS!$K$25:$K$42,[1]CRITERIOS!$M$25:$M$42))),0),(E594+V594-_xlfn.XLOOKUP(A594,'[1]DATOS PBI Artículos'!$A$4:$A$4,'[1]DATOS PBI Artículos'!$W$4:$W$4))/N594)</f>
        <v>#N/A</v>
      </c>
      <c r="AC594" s="33" t="e">
        <f>IF(N594=0,"",(ROUNDUP((N594/2)/(_xlfn.XLOOKUP(A594,'[1]DATOS PBI Artículos'!$A$4:$A$4,'[1]DATOS PBI Artículos'!$Z$4:$Z$4)*_xlfn.XLOOKUP(_xlfn.XLOOKUP(A594,'[1]DATOS PBI Artículos'!$A$4:$A$4,'[1]DATOS PBI Artículos'!$Y$4:$Y$4),[1]CRITERIOS!$P$79:$P$123,[1]CRITERIOS!$S$79:$S$123)),0)*[1]CRITERIOS!$M$80*([1]CRITERIOS!$M$110/[1]CRITERIOS!$M$86)+(_xlfn.XLOOKUP(A594,'[1]DATOS PBI Artículos'!$A$4:$A$4,'[1]DATOS PBI Artículos'!$AA$4:$AA$4)*([1]CRITERIOS!$M$95+[1]CRITERIOS!$M$98)))/N594)</f>
        <v>#N/A</v>
      </c>
      <c r="AD594" s="33" t="e">
        <f>IF(N594=0,"",(ROUNDUP((N594/2)/(_xlfn.XLOOKUP(A594,'[1]DATOS PBI Artículos'!$A$4:$A$4,'[1]DATOS PBI Artículos'!$Z$4:$Z$4)*_xlfn.XLOOKUP(_xlfn.XLOOKUP(A594,'[1]DATOS PBI Artículos'!$A$4:$A$4,'[1]DATOS PBI Artículos'!$Y$4:$Y$4),[1]CRITERIOS!$P$79:$P$123,[1]CRITERIOS!$S$79:$S$123)),0)*[1]CRITERIOS!$M$80*([1]CRITERIOS!$M$89*[1]CRITERIOS!$M$92)+((_xlfn.XLOOKUP(A594,'[1]DATOS PBI Artículos'!$A$4:$A$4,'[1]DATOS PBI Artículos'!$AA$4:$AA$4)/2)*([1]CRITERIOS!$M$95+[1]CRITERIOS!$M$98)))/N594)</f>
        <v>#N/A</v>
      </c>
      <c r="AE594" s="39" t="e">
        <f>IF($R594="MTO","",
IF($H594=0,ROUNDUP(((_xlfn.XLOOKUP($A594,'[1]DATOS PBI Artículos'!$A:$A,'[1]DATOS PBI Artículos'!$AL:$AL))/(_xlfn.XLOOKUP($AF$1,[1]CRITERIOS!$S$16:$S$39,[1]CRITERIOS!$Y$16:$Y$39))*$J594+$Z594)/$G594,0)*$G594,
((_xlfn.XLOOKUP($A594,'[1]DATOS PBI Artículos'!$A:$A,'[1]DATOS PBI Artículos'!$AL:$AL))/(_xlfn.XLOOKUP($AF$1,[1]CRITERIOS!$S$16:$S$39,[1]CRITERIOS!$Y$16:$Y$39))*$J594+$Z594)))</f>
        <v>#N/A</v>
      </c>
      <c r="AG594" s="39" t="e">
        <f>IF($R594="MTO","",
IF($H594=0,ROUNDUP(((_xlfn.XLOOKUP($A594,'[1]DATOS PBI Artículos'!$A:$A,'[1]DATOS PBI Artículos'!$AM:$AM))/(_xlfn.XLOOKUP($AH$1,[1]CRITERIOS!$S$16:$S$39,[1]CRITERIOS!$Y$16:$Y$39))*$J594+$Z594)/$G594,0)*$G594,
((_xlfn.XLOOKUP($A594,'[1]DATOS PBI Artículos'!$A:$A,'[1]DATOS PBI Artículos'!$AM:$AM))/(_xlfn.XLOOKUP($AH$1,[1]CRITERIOS!$S$16:$S$39,[1]CRITERIOS!$Y$16:$Y$39))*$J594+$Z594)))</f>
        <v>#N/A</v>
      </c>
      <c r="AI594" s="39" t="e">
        <f>IF($R594="MTO","",
IF($H594=0,ROUNDUP(((_xlfn.XLOOKUP($A594,'[1]DATOS PBI Artículos'!$A:$A,'[1]DATOS PBI Artículos'!$AN:$AN))/(_xlfn.XLOOKUP($AJ$1,[1]CRITERIOS!$S$16:$S$39,[1]CRITERIOS!$Y$16:$Y$39))*$J594+$Z594)/$G594,0)*$G594,
((_xlfn.XLOOKUP($A594,'[1]DATOS PBI Artículos'!$A:$A,'[1]DATOS PBI Artículos'!$AN:$AN))/(_xlfn.XLOOKUP($AJ$1,[1]CRITERIOS!$S$16:$S$39,[1]CRITERIOS!$Y$16:$Y$39))*$J594+$Z594)))</f>
        <v>#N/A</v>
      </c>
      <c r="AK594" s="39" t="e">
        <f>IF($R594="MTO","",
IF($H594=0,ROUNDUP(((_xlfn.XLOOKUP($A594,'[1]DATOS PBI Artículos'!$A:$A,'[1]DATOS PBI Artículos'!$AO:$AO))/(_xlfn.XLOOKUP($AL$1,[1]CRITERIOS!$S$16:$S$39,[1]CRITERIOS!$Y$16:$Y$39))*$J594+$Z594)/$G594,0)*$G594,
((_xlfn.XLOOKUP($A594,'[1]DATOS PBI Artículos'!$A:$A,'[1]DATOS PBI Artículos'!$AO:$AO))/(_xlfn.XLOOKUP($AL$1,[1]CRITERIOS!$S$16:$S$39,[1]CRITERIOS!$Y$16:$Y$39))*$J594+$Z594)))</f>
        <v>#N/A</v>
      </c>
    </row>
    <row r="595" spans="1:37" ht="25.8" hidden="1" x14ac:dyDescent="0.4">
      <c r="A595" s="41"/>
      <c r="B595" s="33">
        <f>_xlfn.XLOOKUP($A595,'[1]DATOS PBI Artículos'!A:A,'[1]DATOS PBI Artículos'!B:B)</f>
        <v>0</v>
      </c>
      <c r="C595" s="33">
        <f>_xlfn.XLOOKUP($A595,'[1]DATOS PBI Artículos'!A:A,'[1]DATOS PBI Artículos'!C:C)</f>
        <v>0</v>
      </c>
      <c r="D595" s="33">
        <f>_xlfn.XLOOKUP(A595,'[1]DATOS PBI Artículos'!A:A,'[1]DATOS PBI Artículos'!T:T)</f>
        <v>0</v>
      </c>
      <c r="E595" s="34">
        <f>IF(_xlfn.XLOOKUP($A595,'[1]DATOS PBI Artículos'!A:A,'[1]DATOS PBI Artículos'!AK:AK)="",_xlfn.XLOOKUP($A595,'[1]DATOS PBI Artículos'!A:A,'[1]DATOS PBI Artículos'!AJ:AJ),_xlfn.XLOOKUP($A595,'[1]DATOS PBI Artículos'!A:A,'[1]DATOS PBI Artículos'!AK:AK))</f>
        <v>0</v>
      </c>
      <c r="F595" s="35">
        <f>_xlfn.XLOOKUP($A595,'[1]DATOS PBI Artículos'!A:A,'[1]DATOS PBI Artículos'!AP:AP)</f>
        <v>0</v>
      </c>
      <c r="G595" s="34">
        <f>_xlfn.XLOOKUP($A595,'[1]DATOS PBI Artículos'!A:A,'[1]DATOS PBI Artículos'!AR:AR)</f>
        <v>0</v>
      </c>
      <c r="H595" s="34">
        <f>_xlfn.XLOOKUP($A595,'[1]DATOS PBI Artículos'!A:A,'[1]DATOS PBI Artículos'!AT:AT)</f>
        <v>0</v>
      </c>
      <c r="I595" s="34">
        <f>_xlfn.XLOOKUP($A595,'[1]DATOS PBI Artículos'!A:A,'[1]DATOS PBI Artículos'!AS:AS)</f>
        <v>0</v>
      </c>
      <c r="J595" s="35">
        <f>IF(COUNTIF([1]CRITERIOS!$F$179:$F$199,$A595)&gt;=1,
 IF(O595&lt;&gt;"",
    (O595/_xlfn.XLOOKUP(CONCATENATE(A595,L595),[1]MÁQUINAS!A:A,[1]MÁQUINAS!D:D))/24,
    (N595/_xlfn.XLOOKUP(CONCATENATE(A595,L595),[1]MÁQUINAS!A:A,[1]MÁQUINAS!D:D))/24),
  _xlfn.XLOOKUP($A595,'[1]DATOS PBI Artículos'!A:A,'[1]DATOS PBI Artículos'!AU:AU))</f>
        <v>0</v>
      </c>
      <c r="K595" s="36">
        <f>_xlfn.XLOOKUP($A595,'[1]DATOS PBI Artículos'!A:A,'[1]DATOS PBI Artículos'!AV:AV)</f>
        <v>0</v>
      </c>
      <c r="L595" s="33">
        <f>_xlfn.XLOOKUP(A595,[1]MÁQUINAS!B:B,[1]MÁQUINAS!C:C)</f>
        <v>0</v>
      </c>
      <c r="M595" s="34">
        <f t="array" ref="M595">_xlfn.XLOOKUP(A595,'[1]DATOS PBI Artículos'!A:A,'[1]DATOS PBI Artículos'!AX:$AX)</f>
        <v>0</v>
      </c>
      <c r="N595" s="37" t="e">
        <f>IF(I595="DV",
E595,
IF(COUNTIF([1]CRITERIOS!$I$179:$I$199,$A595)&gt;=1,
_xlfn.XLOOKUP($A595,[1]CRITERIOS!$I$179:$I$199,[1]CRITERIOS!$J$179:$J$199),
IF(COUNTIF([1]CRITERIOS!$L$179:$L$199,$A595)&gt;=1,
_xlfn.CEILING.MATH(IF($M595&gt;$E595,
$E595,
IF($M595&lt;$E595/ROUNDDOWN([1]CRITERIOS!$M$16/_xlfn.XLOOKUP($C595,[1]CRITERIOS!$K$25:$K$42,[1]CRITERIOS!$M$25:$M$42),
1),
E595/ROUNDDOWN([1]CRITERIOS!$M$16/_xlfn.XLOOKUP($C595,[1]CRITERIOS!$K$25:$K$42,[1]CRITERIOS!$M$25:$M$42),
1),
$M595)),
_xlfn.XLOOKUP($A595,[1]CRITERIOS!$L$179:$L$200,[1]CRITERIOS!$M$179:$M$200)),
_xlfn.CEILING.MATH(IF($M595&gt;$E595,
$E595,
IF($M595&lt;$E595/ROUNDDOWN([1]CRITERIOS!$M$16/_xlfn.XLOOKUP($C595,[1]CRITERIOS!$K$25:$K$42,[1]CRITERIOS!$M$25:$M$42),
1),
E595/ROUNDDOWN([1]CRITERIOS!$M$16/_xlfn.XLOOKUP($C595,[1]CRITERIOS!$K$25:$K$42,[1]CRITERIOS!$M$25:$M$42),
1),
$M595)),_xlfn.XLOOKUP(A595,'[1]DATOS PBI Artículos'!A:A,'[1]DATOS PBI Artículos'!Z:Z
)))))</f>
        <v>#N/A</v>
      </c>
      <c r="Q595" s="38" t="e">
        <f>IF(AND(O595="",N595=0),
0,
   IF(COUNTIF([1]CRITERIOS!$F$179:$F$199,$A595)&gt;=1,
   1,
   IF(R595="MTO",
      $D595,
      ROUNDUP(
                    IF(($E595-SUMIF('[1]DATOS PBI Artículos'!A:A,A595,'[1]DATOS PBI Artículos'!X:X)+($V595-_xlfn.XLOOKUP(A595,'[1]DATOS PBI Artículos'!A:A,'[1]DATOS PBI Artículos'!W:W)))&lt;0,
                    0,
                    IF(($E595-SUMIF('[1]DATOS PBI Artículos'!A:A,A595,'[1]DATOS PBI Artículos'!X:X)+$V595-_xlfn.XLOOKUP($A595,'[1]DATOS PBI Artículos'!A:A,'[1]DATOS PBI Artículos'!W:W))/IF($O595="",$N595,$O595)&gt;ROUNDUP([1]CRITERIOS!$M$16/(IF(COUNTIF([1]CRITERIOS!$BG$11:$BG$201,L595)&gt;=1,_xlfn.XLOOKUP($C595,[1]CRITERIOS!$K$25:$K$42,[1]CRITERIOS!$M$25:$M$42),_xlfn.XLOOKUP($C595,[1]CRITERIOS!$K$25:$K$42,[1]CRITERIOS!$M$25:$M$42))),0),
                    ROUNDUP([1]CRITERIOS!$M$16/(IF(COUNTIF([1]CRITERIOS!$BG$11:$BG$201,$L595)&gt;=1,_xlfn.XLOOKUP($C595,[1]CRITERIOS!$K$25:$K$42,[1]CRITERIOS!$M$25:$M$42),_xlfn.XLOOKUP($C595,[1]CRITERIOS!$K$25:$K$42,[1]CRITERIOS!$M$25:$M$42))),0),
                    (E595+V595-SUMIF('[1]DATOS PBI Artículos'!A:A,A595,'[1]DATOS PBI Artículos'!X:X)-_xlfn.XLOOKUP(A595,'[1]DATOS PBI Artículos'!A:A,'[1]DATOS PBI Artículos'!W:W))/IF($O595="",$N595,$O595))),0))))</f>
        <v>#N/A</v>
      </c>
      <c r="R595" s="33" t="e">
        <f>IF(U595&lt;&gt;"",U595,IF(F595="DV","MTO",IF(N595=0,"MTO",_xlfn.XLOOKUP(CONCATENATE(S595,T595),[1]CRITERIOS!$K$160:$K$168,[1]CRITERIOS!$N$160:$N$168))))</f>
        <v>#N/A</v>
      </c>
      <c r="S595" s="33" t="e">
        <f>IF(G595="DV","MTO",IF(N595=0,"MTO",IF(OR(AND(N595=0,O595=""),IF(O595="",G595/N595,G595/O595)&gt;[1]CRITERIOS!$G$163),"MTO",IF(IF(O595="",G595/N595,G595/O595)&lt;[1]CRITERIOS!$H$161,"MTS","MTOS"))))</f>
        <v>#N/A</v>
      </c>
      <c r="T595" s="33" t="e">
        <f>IF(F595="DV","MTO",IF(OR(AND($N595=0,O595=""),$F595/$J595&gt;[1]CRITERIOS!$G$170,$F595="DV"),"MTO",IF($F595/$J595&lt;[1]CRITERIOS!$H$168,"MTS","MTOS")))</f>
        <v>#N/A</v>
      </c>
      <c r="V595" s="34" t="e">
        <f t="shared" si="28"/>
        <v>#N/A</v>
      </c>
      <c r="X595" s="34" t="e">
        <f t="shared" si="29"/>
        <v>#N/A</v>
      </c>
      <c r="Y595" s="34" t="e">
        <f t="shared" si="30"/>
        <v>#N/A</v>
      </c>
      <c r="Z595" s="34" t="e">
        <f>IF($R595="MTO",
0,
($H595+$K595*($E595/[1]CRITERIOS!$M$16))/[1]CRITERIOS!$X$48)</f>
        <v>#N/A</v>
      </c>
      <c r="AA595" s="34" t="e">
        <f>ROUNDUP(($Y595/_xlfn.XLOOKUP($A595,'[1]DATOS PBI Artículos'!$A$4:$A$4,'[1]DATOS PBI Artículos'!$Z$4:$Z$4))/_xlfn.XLOOKUP(_xlfn.XLOOKUP($A595,'[1]DATOS PBI Artículos'!$A$4:$A$4,'[1]DATOS PBI Artículos'!$Y$4:$Y$4),[1]CRITERIOS!$P$79:$P$123,[1]CRITERIOS!$S$79:$S$123,),0)</f>
        <v>#N/A</v>
      </c>
      <c r="AB595" s="33" t="e">
        <f t="array" ref="AB595">IF((E595+V595-_xlfn.XLOOKUP(A595,'[1]DATOS PBI Artículos'!$A$4:$A$4,'[1]DATOS PBI Artículos'!$W$4:$W$4))/N595&gt;ROUNDUP([1]CRITERIOS!$M$16/(IF(COUNTIF([1]CRITERIOS!$BG$11:$BG$201,L595)&gt;=1,_xlfn.XLOOKUP(ARTÍCULOS!L595,[1]CRITERIOS!$BG$11:$BG$201,[1]CRITERIOS!$BJ$11:$BJ$201),_xlfn.XLOOKUP(ARTÍCULOS!C595,[1]CRITERIOS!$K$25:$K$42,[1]CRITERIOS!$M$25:$M$42))),0),ROUNDUP([1]CRITERIOS!$M$16/(IF(COUNTIF([1]CRITERIOS!$BG$11:$BG$201,L595)&gt;=1,_xlfn.XLOOKUP(ARTÍCULOS!L595,[1]CRITERIOS!$BG$11:$BG$201:#REF!,[1]CRITERIOS!$BJ$11:$BJ$201),_xlfn.XLOOKUP(ARTÍCULOS!C595,[1]CRITERIOS!$K$25:$K$42,[1]CRITERIOS!$M$25:$M$42))),0),(E595+V595-_xlfn.XLOOKUP(A595,'[1]DATOS PBI Artículos'!$A$4:$A$4,'[1]DATOS PBI Artículos'!$W$4:$W$4))/N595)</f>
        <v>#N/A</v>
      </c>
      <c r="AC595" s="33" t="e">
        <f>IF(N595=0,"",(ROUNDUP((N595/2)/(_xlfn.XLOOKUP(A595,'[1]DATOS PBI Artículos'!$A$4:$A$4,'[1]DATOS PBI Artículos'!$Z$4:$Z$4)*_xlfn.XLOOKUP(_xlfn.XLOOKUP(A595,'[1]DATOS PBI Artículos'!$A$4:$A$4,'[1]DATOS PBI Artículos'!$Y$4:$Y$4),[1]CRITERIOS!$P$79:$P$123,[1]CRITERIOS!$S$79:$S$123)),0)*[1]CRITERIOS!$M$80*([1]CRITERIOS!$M$110/[1]CRITERIOS!$M$86)+(_xlfn.XLOOKUP(A595,'[1]DATOS PBI Artículos'!$A$4:$A$4,'[1]DATOS PBI Artículos'!$AA$4:$AA$4)*([1]CRITERIOS!$M$95+[1]CRITERIOS!$M$98)))/N595)</f>
        <v>#N/A</v>
      </c>
      <c r="AD595" s="33" t="e">
        <f>IF(N595=0,"",(ROUNDUP((N595/2)/(_xlfn.XLOOKUP(A595,'[1]DATOS PBI Artículos'!$A$4:$A$4,'[1]DATOS PBI Artículos'!$Z$4:$Z$4)*_xlfn.XLOOKUP(_xlfn.XLOOKUP(A595,'[1]DATOS PBI Artículos'!$A$4:$A$4,'[1]DATOS PBI Artículos'!$Y$4:$Y$4),[1]CRITERIOS!$P$79:$P$123,[1]CRITERIOS!$S$79:$S$123)),0)*[1]CRITERIOS!$M$80*([1]CRITERIOS!$M$89*[1]CRITERIOS!$M$92)+((_xlfn.XLOOKUP(A595,'[1]DATOS PBI Artículos'!$A$4:$A$4,'[1]DATOS PBI Artículos'!$AA$4:$AA$4)/2)*([1]CRITERIOS!$M$95+[1]CRITERIOS!$M$98)))/N595)</f>
        <v>#N/A</v>
      </c>
      <c r="AE595" s="39" t="e">
        <f>IF($R595="MTO","",
IF($H595=0,ROUNDUP(((_xlfn.XLOOKUP($A595,'[1]DATOS PBI Artículos'!$A:$A,'[1]DATOS PBI Artículos'!$AL:$AL))/(_xlfn.XLOOKUP($AF$1,[1]CRITERIOS!$S$16:$S$39,[1]CRITERIOS!$Y$16:$Y$39))*$J595+$Z595)/$G595,0)*$G595,
((_xlfn.XLOOKUP($A595,'[1]DATOS PBI Artículos'!$A:$A,'[1]DATOS PBI Artículos'!$AL:$AL))/(_xlfn.XLOOKUP($AF$1,[1]CRITERIOS!$S$16:$S$39,[1]CRITERIOS!$Y$16:$Y$39))*$J595+$Z595)))</f>
        <v>#N/A</v>
      </c>
      <c r="AG595" s="39" t="e">
        <f>IF($R595="MTO","",
IF($H595=0,ROUNDUP(((_xlfn.XLOOKUP($A595,'[1]DATOS PBI Artículos'!$A:$A,'[1]DATOS PBI Artículos'!$AM:$AM))/(_xlfn.XLOOKUP($AH$1,[1]CRITERIOS!$S$16:$S$39,[1]CRITERIOS!$Y$16:$Y$39))*$J595+$Z595)/$G595,0)*$G595,
((_xlfn.XLOOKUP($A595,'[1]DATOS PBI Artículos'!$A:$A,'[1]DATOS PBI Artículos'!$AM:$AM))/(_xlfn.XLOOKUP($AH$1,[1]CRITERIOS!$S$16:$S$39,[1]CRITERIOS!$Y$16:$Y$39))*$J595+$Z595)))</f>
        <v>#N/A</v>
      </c>
      <c r="AI595" s="39" t="e">
        <f>IF($R595="MTO","",
IF($H595=0,ROUNDUP(((_xlfn.XLOOKUP($A595,'[1]DATOS PBI Artículos'!$A:$A,'[1]DATOS PBI Artículos'!$AN:$AN))/(_xlfn.XLOOKUP($AJ$1,[1]CRITERIOS!$S$16:$S$39,[1]CRITERIOS!$Y$16:$Y$39))*$J595+$Z595)/$G595,0)*$G595,
((_xlfn.XLOOKUP($A595,'[1]DATOS PBI Artículos'!$A:$A,'[1]DATOS PBI Artículos'!$AN:$AN))/(_xlfn.XLOOKUP($AJ$1,[1]CRITERIOS!$S$16:$S$39,[1]CRITERIOS!$Y$16:$Y$39))*$J595+$Z595)))</f>
        <v>#N/A</v>
      </c>
      <c r="AK595" s="39" t="e">
        <f>IF($R595="MTO","",
IF($H595=0,ROUNDUP(((_xlfn.XLOOKUP($A595,'[1]DATOS PBI Artículos'!$A:$A,'[1]DATOS PBI Artículos'!$AO:$AO))/(_xlfn.XLOOKUP($AL$1,[1]CRITERIOS!$S$16:$S$39,[1]CRITERIOS!$Y$16:$Y$39))*$J595+$Z595)/$G595,0)*$G595,
((_xlfn.XLOOKUP($A595,'[1]DATOS PBI Artículos'!$A:$A,'[1]DATOS PBI Artículos'!$AO:$AO))/(_xlfn.XLOOKUP($AL$1,[1]CRITERIOS!$S$16:$S$39,[1]CRITERIOS!$Y$16:$Y$39))*$J595+$Z595)))</f>
        <v>#N/A</v>
      </c>
    </row>
    <row r="596" spans="1:37" ht="25.8" hidden="1" x14ac:dyDescent="0.4">
      <c r="A596" s="41"/>
      <c r="B596" s="33">
        <f>_xlfn.XLOOKUP($A596,'[1]DATOS PBI Artículos'!A:A,'[1]DATOS PBI Artículos'!B:B)</f>
        <v>0</v>
      </c>
      <c r="C596" s="33">
        <f>_xlfn.XLOOKUP($A596,'[1]DATOS PBI Artículos'!A:A,'[1]DATOS PBI Artículos'!C:C)</f>
        <v>0</v>
      </c>
      <c r="D596" s="33">
        <f>_xlfn.XLOOKUP(A596,'[1]DATOS PBI Artículos'!A:A,'[1]DATOS PBI Artículos'!T:T)</f>
        <v>0</v>
      </c>
      <c r="E596" s="34">
        <f>IF(_xlfn.XLOOKUP($A596,'[1]DATOS PBI Artículos'!A:A,'[1]DATOS PBI Artículos'!AK:AK)="",_xlfn.XLOOKUP($A596,'[1]DATOS PBI Artículos'!A:A,'[1]DATOS PBI Artículos'!AJ:AJ),_xlfn.XLOOKUP($A596,'[1]DATOS PBI Artículos'!A:A,'[1]DATOS PBI Artículos'!AK:AK))</f>
        <v>0</v>
      </c>
      <c r="F596" s="35">
        <f>_xlfn.XLOOKUP($A596,'[1]DATOS PBI Artículos'!A:A,'[1]DATOS PBI Artículos'!AP:AP)</f>
        <v>0</v>
      </c>
      <c r="G596" s="34">
        <f>_xlfn.XLOOKUP($A596,'[1]DATOS PBI Artículos'!A:A,'[1]DATOS PBI Artículos'!AR:AR)</f>
        <v>0</v>
      </c>
      <c r="H596" s="34">
        <f>_xlfn.XLOOKUP($A596,'[1]DATOS PBI Artículos'!A:A,'[1]DATOS PBI Artículos'!AT:AT)</f>
        <v>0</v>
      </c>
      <c r="I596" s="34">
        <f>_xlfn.XLOOKUP($A596,'[1]DATOS PBI Artículos'!A:A,'[1]DATOS PBI Artículos'!AS:AS)</f>
        <v>0</v>
      </c>
      <c r="J596" s="35">
        <f>IF(COUNTIF([1]CRITERIOS!$F$179:$F$199,$A596)&gt;=1,
 IF(O596&lt;&gt;"",
    (O596/_xlfn.XLOOKUP(CONCATENATE(A596,L596),[1]MÁQUINAS!A:A,[1]MÁQUINAS!D:D))/24,
    (N596/_xlfn.XLOOKUP(CONCATENATE(A596,L596),[1]MÁQUINAS!A:A,[1]MÁQUINAS!D:D))/24),
  _xlfn.XLOOKUP($A596,'[1]DATOS PBI Artículos'!A:A,'[1]DATOS PBI Artículos'!AU:AU))</f>
        <v>0</v>
      </c>
      <c r="K596" s="36">
        <f>_xlfn.XLOOKUP($A596,'[1]DATOS PBI Artículos'!A:A,'[1]DATOS PBI Artículos'!AV:AV)</f>
        <v>0</v>
      </c>
      <c r="L596" s="33">
        <f>_xlfn.XLOOKUP(A596,[1]MÁQUINAS!B:B,[1]MÁQUINAS!C:C)</f>
        <v>0</v>
      </c>
      <c r="M596" s="34">
        <f t="array" ref="M596">_xlfn.XLOOKUP(A596,'[1]DATOS PBI Artículos'!A:A,'[1]DATOS PBI Artículos'!AX:$AX)</f>
        <v>0</v>
      </c>
      <c r="N596" s="37" t="e">
        <f>IF(I596="DV",
E596,
IF(COUNTIF([1]CRITERIOS!$I$179:$I$199,$A596)&gt;=1,
_xlfn.XLOOKUP($A596,[1]CRITERIOS!$I$179:$I$199,[1]CRITERIOS!$J$179:$J$199),
IF(COUNTIF([1]CRITERIOS!$L$179:$L$199,$A596)&gt;=1,
_xlfn.CEILING.MATH(IF($M596&gt;$E596,
$E596,
IF($M596&lt;$E596/ROUNDDOWN([1]CRITERIOS!$M$16/_xlfn.XLOOKUP($C596,[1]CRITERIOS!$K$25:$K$42,[1]CRITERIOS!$M$25:$M$42),
1),
E596/ROUNDDOWN([1]CRITERIOS!$M$16/_xlfn.XLOOKUP($C596,[1]CRITERIOS!$K$25:$K$42,[1]CRITERIOS!$M$25:$M$42),
1),
$M596)),
_xlfn.XLOOKUP($A596,[1]CRITERIOS!$L$179:$L$200,[1]CRITERIOS!$M$179:$M$200)),
_xlfn.CEILING.MATH(IF($M596&gt;$E596,
$E596,
IF($M596&lt;$E596/ROUNDDOWN([1]CRITERIOS!$M$16/_xlfn.XLOOKUP($C596,[1]CRITERIOS!$K$25:$K$42,[1]CRITERIOS!$M$25:$M$42),
1),
E596/ROUNDDOWN([1]CRITERIOS!$M$16/_xlfn.XLOOKUP($C596,[1]CRITERIOS!$K$25:$K$42,[1]CRITERIOS!$M$25:$M$42),
1),
$M596)),_xlfn.XLOOKUP(A596,'[1]DATOS PBI Artículos'!A:A,'[1]DATOS PBI Artículos'!Z:Z
)))))</f>
        <v>#N/A</v>
      </c>
      <c r="Q596" s="38" t="e">
        <f>IF(AND(O596="",N596=0),
0,
   IF(COUNTIF([1]CRITERIOS!$F$179:$F$199,$A596)&gt;=1,
   1,
   IF(R596="MTO",
      $D596,
      ROUNDUP(
                    IF(($E596-SUMIF('[1]DATOS PBI Artículos'!A:A,A596,'[1]DATOS PBI Artículos'!X:X)+($V596-_xlfn.XLOOKUP(A596,'[1]DATOS PBI Artículos'!A:A,'[1]DATOS PBI Artículos'!W:W)))&lt;0,
                    0,
                    IF(($E596-SUMIF('[1]DATOS PBI Artículos'!A:A,A596,'[1]DATOS PBI Artículos'!X:X)+$V596-_xlfn.XLOOKUP($A596,'[1]DATOS PBI Artículos'!A:A,'[1]DATOS PBI Artículos'!W:W))/IF($O596="",$N596,$O596)&gt;ROUNDUP([1]CRITERIOS!$M$16/(IF(COUNTIF([1]CRITERIOS!$BG$11:$BG$201,L596)&gt;=1,_xlfn.XLOOKUP($C596,[1]CRITERIOS!$K$25:$K$42,[1]CRITERIOS!$M$25:$M$42),_xlfn.XLOOKUP($C596,[1]CRITERIOS!$K$25:$K$42,[1]CRITERIOS!$M$25:$M$42))),0),
                    ROUNDUP([1]CRITERIOS!$M$16/(IF(COUNTIF([1]CRITERIOS!$BG$11:$BG$201,$L596)&gt;=1,_xlfn.XLOOKUP($C596,[1]CRITERIOS!$K$25:$K$42,[1]CRITERIOS!$M$25:$M$42),_xlfn.XLOOKUP($C596,[1]CRITERIOS!$K$25:$K$42,[1]CRITERIOS!$M$25:$M$42))),0),
                    (E596+V596-SUMIF('[1]DATOS PBI Artículos'!A:A,A596,'[1]DATOS PBI Artículos'!X:X)-_xlfn.XLOOKUP(A596,'[1]DATOS PBI Artículos'!A:A,'[1]DATOS PBI Artículos'!W:W))/IF($O596="",$N596,$O596))),0))))</f>
        <v>#N/A</v>
      </c>
      <c r="R596" s="33" t="e">
        <f>IF(U596&lt;&gt;"",U596,IF(F596="DV","MTO",IF(N596=0,"MTO",_xlfn.XLOOKUP(CONCATENATE(S596,T596),[1]CRITERIOS!$K$160:$K$168,[1]CRITERIOS!$N$160:$N$168))))</f>
        <v>#N/A</v>
      </c>
      <c r="S596" s="33" t="e">
        <f>IF(G596="DV","MTO",IF(N596=0,"MTO",IF(OR(AND(N596=0,O596=""),IF(O596="",G596/N596,G596/O596)&gt;[1]CRITERIOS!$G$163),"MTO",IF(IF(O596="",G596/N596,G596/O596)&lt;[1]CRITERIOS!$H$161,"MTS","MTOS"))))</f>
        <v>#N/A</v>
      </c>
      <c r="T596" s="33" t="e">
        <f>IF(F596="DV","MTO",IF(OR(AND($N596=0,O596=""),$F596/$J596&gt;[1]CRITERIOS!$G$170,$F596="DV"),"MTO",IF($F596/$J596&lt;[1]CRITERIOS!$H$168,"MTS","MTOS")))</f>
        <v>#N/A</v>
      </c>
      <c r="V596" s="34" t="e">
        <f t="shared" si="28"/>
        <v>#N/A</v>
      </c>
      <c r="X596" s="34" t="e">
        <f t="shared" si="29"/>
        <v>#N/A</v>
      </c>
      <c r="Y596" s="34" t="e">
        <f t="shared" si="30"/>
        <v>#N/A</v>
      </c>
      <c r="Z596" s="34" t="e">
        <f>IF($R596="MTO",
0,
($H596+$K596*($E596/[1]CRITERIOS!$M$16))/[1]CRITERIOS!$X$48)</f>
        <v>#N/A</v>
      </c>
      <c r="AA596" s="34" t="e">
        <f>ROUNDUP(($Y596/_xlfn.XLOOKUP($A596,'[1]DATOS PBI Artículos'!$A$4:$A$4,'[1]DATOS PBI Artículos'!$Z$4:$Z$4))/_xlfn.XLOOKUP(_xlfn.XLOOKUP($A596,'[1]DATOS PBI Artículos'!$A$4:$A$4,'[1]DATOS PBI Artículos'!$Y$4:$Y$4),[1]CRITERIOS!$P$79:$P$123,[1]CRITERIOS!$S$79:$S$123,),0)</f>
        <v>#N/A</v>
      </c>
      <c r="AB596" s="33" t="e">
        <f t="array" ref="AB596">IF((E596+V596-_xlfn.XLOOKUP(A596,'[1]DATOS PBI Artículos'!$A$4:$A$4,'[1]DATOS PBI Artículos'!$W$4:$W$4))/N596&gt;ROUNDUP([1]CRITERIOS!$M$16/(IF(COUNTIF([1]CRITERIOS!$BG$11:$BG$201,L596)&gt;=1,_xlfn.XLOOKUP(ARTÍCULOS!L596,[1]CRITERIOS!$BG$11:$BG$201,[1]CRITERIOS!$BJ$11:$BJ$201),_xlfn.XLOOKUP(ARTÍCULOS!C596,[1]CRITERIOS!$K$25:$K$42,[1]CRITERIOS!$M$25:$M$42))),0),ROUNDUP([1]CRITERIOS!$M$16/(IF(COUNTIF([1]CRITERIOS!$BG$11:$BG$201,L596)&gt;=1,_xlfn.XLOOKUP(ARTÍCULOS!L596,[1]CRITERIOS!$BG$11:$BG$201:#REF!,[1]CRITERIOS!$BJ$11:$BJ$201),_xlfn.XLOOKUP(ARTÍCULOS!C596,[1]CRITERIOS!$K$25:$K$42,[1]CRITERIOS!$M$25:$M$42))),0),(E596+V596-_xlfn.XLOOKUP(A596,'[1]DATOS PBI Artículos'!$A$4:$A$4,'[1]DATOS PBI Artículos'!$W$4:$W$4))/N596)</f>
        <v>#N/A</v>
      </c>
      <c r="AC596" s="33" t="e">
        <f>IF(N596=0,"",(ROUNDUP((N596/2)/(_xlfn.XLOOKUP(A596,'[1]DATOS PBI Artículos'!$A$4:$A$4,'[1]DATOS PBI Artículos'!$Z$4:$Z$4)*_xlfn.XLOOKUP(_xlfn.XLOOKUP(A596,'[1]DATOS PBI Artículos'!$A$4:$A$4,'[1]DATOS PBI Artículos'!$Y$4:$Y$4),[1]CRITERIOS!$P$79:$P$123,[1]CRITERIOS!$S$79:$S$123)),0)*[1]CRITERIOS!$M$80*([1]CRITERIOS!$M$110/[1]CRITERIOS!$M$86)+(_xlfn.XLOOKUP(A596,'[1]DATOS PBI Artículos'!$A$4:$A$4,'[1]DATOS PBI Artículos'!$AA$4:$AA$4)*([1]CRITERIOS!$M$95+[1]CRITERIOS!$M$98)))/N596)</f>
        <v>#N/A</v>
      </c>
      <c r="AD596" s="33" t="e">
        <f>IF(N596=0,"",(ROUNDUP((N596/2)/(_xlfn.XLOOKUP(A596,'[1]DATOS PBI Artículos'!$A$4:$A$4,'[1]DATOS PBI Artículos'!$Z$4:$Z$4)*_xlfn.XLOOKUP(_xlfn.XLOOKUP(A596,'[1]DATOS PBI Artículos'!$A$4:$A$4,'[1]DATOS PBI Artículos'!$Y$4:$Y$4),[1]CRITERIOS!$P$79:$P$123,[1]CRITERIOS!$S$79:$S$123)),0)*[1]CRITERIOS!$M$80*([1]CRITERIOS!$M$89*[1]CRITERIOS!$M$92)+((_xlfn.XLOOKUP(A596,'[1]DATOS PBI Artículos'!$A$4:$A$4,'[1]DATOS PBI Artículos'!$AA$4:$AA$4)/2)*([1]CRITERIOS!$M$95+[1]CRITERIOS!$M$98)))/N596)</f>
        <v>#N/A</v>
      </c>
      <c r="AE596" s="39" t="e">
        <f>IF($R596="MTO","",
IF($H596=0,ROUNDUP(((_xlfn.XLOOKUP($A596,'[1]DATOS PBI Artículos'!$A:$A,'[1]DATOS PBI Artículos'!$AL:$AL))/(_xlfn.XLOOKUP($AF$1,[1]CRITERIOS!$S$16:$S$39,[1]CRITERIOS!$Y$16:$Y$39))*$J596+$Z596)/$G596,0)*$G596,
((_xlfn.XLOOKUP($A596,'[1]DATOS PBI Artículos'!$A:$A,'[1]DATOS PBI Artículos'!$AL:$AL))/(_xlfn.XLOOKUP($AF$1,[1]CRITERIOS!$S$16:$S$39,[1]CRITERIOS!$Y$16:$Y$39))*$J596+$Z596)))</f>
        <v>#N/A</v>
      </c>
      <c r="AG596" s="39" t="e">
        <f>IF($R596="MTO","",
IF($H596=0,ROUNDUP(((_xlfn.XLOOKUP($A596,'[1]DATOS PBI Artículos'!$A:$A,'[1]DATOS PBI Artículos'!$AM:$AM))/(_xlfn.XLOOKUP($AH$1,[1]CRITERIOS!$S$16:$S$39,[1]CRITERIOS!$Y$16:$Y$39))*$J596+$Z596)/$G596,0)*$G596,
((_xlfn.XLOOKUP($A596,'[1]DATOS PBI Artículos'!$A:$A,'[1]DATOS PBI Artículos'!$AM:$AM))/(_xlfn.XLOOKUP($AH$1,[1]CRITERIOS!$S$16:$S$39,[1]CRITERIOS!$Y$16:$Y$39))*$J596+$Z596)))</f>
        <v>#N/A</v>
      </c>
      <c r="AI596" s="39" t="e">
        <f>IF($R596="MTO","",
IF($H596=0,ROUNDUP(((_xlfn.XLOOKUP($A596,'[1]DATOS PBI Artículos'!$A:$A,'[1]DATOS PBI Artículos'!$AN:$AN))/(_xlfn.XLOOKUP($AJ$1,[1]CRITERIOS!$S$16:$S$39,[1]CRITERIOS!$Y$16:$Y$39))*$J596+$Z596)/$G596,0)*$G596,
((_xlfn.XLOOKUP($A596,'[1]DATOS PBI Artículos'!$A:$A,'[1]DATOS PBI Artículos'!$AN:$AN))/(_xlfn.XLOOKUP($AJ$1,[1]CRITERIOS!$S$16:$S$39,[1]CRITERIOS!$Y$16:$Y$39))*$J596+$Z596)))</f>
        <v>#N/A</v>
      </c>
      <c r="AK596" s="39" t="e">
        <f>IF($R596="MTO","",
IF($H596=0,ROUNDUP(((_xlfn.XLOOKUP($A596,'[1]DATOS PBI Artículos'!$A:$A,'[1]DATOS PBI Artículos'!$AO:$AO))/(_xlfn.XLOOKUP($AL$1,[1]CRITERIOS!$S$16:$S$39,[1]CRITERIOS!$Y$16:$Y$39))*$J596+$Z596)/$G596,0)*$G596,
((_xlfn.XLOOKUP($A596,'[1]DATOS PBI Artículos'!$A:$A,'[1]DATOS PBI Artículos'!$AO:$AO))/(_xlfn.XLOOKUP($AL$1,[1]CRITERIOS!$S$16:$S$39,[1]CRITERIOS!$Y$16:$Y$39))*$J596+$Z596)))</f>
        <v>#N/A</v>
      </c>
    </row>
    <row r="597" spans="1:37" ht="25.8" hidden="1" x14ac:dyDescent="0.4">
      <c r="A597" s="41"/>
      <c r="B597" s="33">
        <f>_xlfn.XLOOKUP($A597,'[1]DATOS PBI Artículos'!A:A,'[1]DATOS PBI Artículos'!B:B)</f>
        <v>0</v>
      </c>
      <c r="C597" s="33">
        <f>_xlfn.XLOOKUP($A597,'[1]DATOS PBI Artículos'!A:A,'[1]DATOS PBI Artículos'!C:C)</f>
        <v>0</v>
      </c>
      <c r="D597" s="33">
        <f>_xlfn.XLOOKUP(A597,'[1]DATOS PBI Artículos'!A:A,'[1]DATOS PBI Artículos'!T:T)</f>
        <v>0</v>
      </c>
      <c r="E597" s="34">
        <f>IF(_xlfn.XLOOKUP($A597,'[1]DATOS PBI Artículos'!A:A,'[1]DATOS PBI Artículos'!AK:AK)="",_xlfn.XLOOKUP($A597,'[1]DATOS PBI Artículos'!A:A,'[1]DATOS PBI Artículos'!AJ:AJ),_xlfn.XLOOKUP($A597,'[1]DATOS PBI Artículos'!A:A,'[1]DATOS PBI Artículos'!AK:AK))</f>
        <v>0</v>
      </c>
      <c r="F597" s="35">
        <f>_xlfn.XLOOKUP($A597,'[1]DATOS PBI Artículos'!A:A,'[1]DATOS PBI Artículos'!AP:AP)</f>
        <v>0</v>
      </c>
      <c r="G597" s="34">
        <f>_xlfn.XLOOKUP($A597,'[1]DATOS PBI Artículos'!A:A,'[1]DATOS PBI Artículos'!AR:AR)</f>
        <v>0</v>
      </c>
      <c r="H597" s="34">
        <f>_xlfn.XLOOKUP($A597,'[1]DATOS PBI Artículos'!A:A,'[1]DATOS PBI Artículos'!AT:AT)</f>
        <v>0</v>
      </c>
      <c r="I597" s="34">
        <f>_xlfn.XLOOKUP($A597,'[1]DATOS PBI Artículos'!A:A,'[1]DATOS PBI Artículos'!AS:AS)</f>
        <v>0</v>
      </c>
      <c r="J597" s="35">
        <f>IF(COUNTIF([1]CRITERIOS!$F$179:$F$199,$A597)&gt;=1,
 IF(O597&lt;&gt;"",
    (O597/_xlfn.XLOOKUP(CONCATENATE(A597,L597),[1]MÁQUINAS!A:A,[1]MÁQUINAS!D:D))/24,
    (N597/_xlfn.XLOOKUP(CONCATENATE(A597,L597),[1]MÁQUINAS!A:A,[1]MÁQUINAS!D:D))/24),
  _xlfn.XLOOKUP($A597,'[1]DATOS PBI Artículos'!A:A,'[1]DATOS PBI Artículos'!AU:AU))</f>
        <v>0</v>
      </c>
      <c r="K597" s="36">
        <f>_xlfn.XLOOKUP($A597,'[1]DATOS PBI Artículos'!A:A,'[1]DATOS PBI Artículos'!AV:AV)</f>
        <v>0</v>
      </c>
      <c r="L597" s="33">
        <f>_xlfn.XLOOKUP(A597,[1]MÁQUINAS!B:B,[1]MÁQUINAS!C:C)</f>
        <v>0</v>
      </c>
      <c r="M597" s="34">
        <f t="array" ref="M597">_xlfn.XLOOKUP(A597,'[1]DATOS PBI Artículos'!A:A,'[1]DATOS PBI Artículos'!AX:$AX)</f>
        <v>0</v>
      </c>
      <c r="N597" s="37" t="e">
        <f>IF(I597="DV",
E597,
IF(COUNTIF([1]CRITERIOS!$I$179:$I$199,$A597)&gt;=1,
_xlfn.XLOOKUP($A597,[1]CRITERIOS!$I$179:$I$199,[1]CRITERIOS!$J$179:$J$199),
IF(COUNTIF([1]CRITERIOS!$L$179:$L$199,$A597)&gt;=1,
_xlfn.CEILING.MATH(IF($M597&gt;$E597,
$E597,
IF($M597&lt;$E597/ROUNDDOWN([1]CRITERIOS!$M$16/_xlfn.XLOOKUP($C597,[1]CRITERIOS!$K$25:$K$42,[1]CRITERIOS!$M$25:$M$42),
1),
E597/ROUNDDOWN([1]CRITERIOS!$M$16/_xlfn.XLOOKUP($C597,[1]CRITERIOS!$K$25:$K$42,[1]CRITERIOS!$M$25:$M$42),
1),
$M597)),
_xlfn.XLOOKUP($A597,[1]CRITERIOS!$L$179:$L$200,[1]CRITERIOS!$M$179:$M$200)),
_xlfn.CEILING.MATH(IF($M597&gt;$E597,
$E597,
IF($M597&lt;$E597/ROUNDDOWN([1]CRITERIOS!$M$16/_xlfn.XLOOKUP($C597,[1]CRITERIOS!$K$25:$K$42,[1]CRITERIOS!$M$25:$M$42),
1),
E597/ROUNDDOWN([1]CRITERIOS!$M$16/_xlfn.XLOOKUP($C597,[1]CRITERIOS!$K$25:$K$42,[1]CRITERIOS!$M$25:$M$42),
1),
$M597)),_xlfn.XLOOKUP(A597,'[1]DATOS PBI Artículos'!A:A,'[1]DATOS PBI Artículos'!Z:Z
)))))</f>
        <v>#N/A</v>
      </c>
      <c r="Q597" s="38" t="e">
        <f>IF(AND(O597="",N597=0),
0,
   IF(COUNTIF([1]CRITERIOS!$F$179:$F$199,$A597)&gt;=1,
   1,
   IF(R597="MTO",
      $D597,
      ROUNDUP(
                    IF(($E597-SUMIF('[1]DATOS PBI Artículos'!A:A,A597,'[1]DATOS PBI Artículos'!X:X)+($V597-_xlfn.XLOOKUP(A597,'[1]DATOS PBI Artículos'!A:A,'[1]DATOS PBI Artículos'!W:W)))&lt;0,
                    0,
                    IF(($E597-SUMIF('[1]DATOS PBI Artículos'!A:A,A597,'[1]DATOS PBI Artículos'!X:X)+$V597-_xlfn.XLOOKUP($A597,'[1]DATOS PBI Artículos'!A:A,'[1]DATOS PBI Artículos'!W:W))/IF($O597="",$N597,$O597)&gt;ROUNDUP([1]CRITERIOS!$M$16/(IF(COUNTIF([1]CRITERIOS!$BG$11:$BG$201,L597)&gt;=1,_xlfn.XLOOKUP($C597,[1]CRITERIOS!$K$25:$K$42,[1]CRITERIOS!$M$25:$M$42),_xlfn.XLOOKUP($C597,[1]CRITERIOS!$K$25:$K$42,[1]CRITERIOS!$M$25:$M$42))),0),
                    ROUNDUP([1]CRITERIOS!$M$16/(IF(COUNTIF([1]CRITERIOS!$BG$11:$BG$201,$L597)&gt;=1,_xlfn.XLOOKUP($C597,[1]CRITERIOS!$K$25:$K$42,[1]CRITERIOS!$M$25:$M$42),_xlfn.XLOOKUP($C597,[1]CRITERIOS!$K$25:$K$42,[1]CRITERIOS!$M$25:$M$42))),0),
                    (E597+V597-SUMIF('[1]DATOS PBI Artículos'!A:A,A597,'[1]DATOS PBI Artículos'!X:X)-_xlfn.XLOOKUP(A597,'[1]DATOS PBI Artículos'!A:A,'[1]DATOS PBI Artículos'!W:W))/IF($O597="",$N597,$O597))),0))))</f>
        <v>#N/A</v>
      </c>
      <c r="R597" s="33" t="e">
        <f>IF(U597&lt;&gt;"",U597,IF(F597="DV","MTO",IF(N597=0,"MTO",_xlfn.XLOOKUP(CONCATENATE(S597,T597),[1]CRITERIOS!$K$160:$K$168,[1]CRITERIOS!$N$160:$N$168))))</f>
        <v>#N/A</v>
      </c>
      <c r="S597" s="33" t="e">
        <f>IF(G597="DV","MTO",IF(N597=0,"MTO",IF(OR(AND(N597=0,O597=""),IF(O597="",G597/N597,G597/O597)&gt;[1]CRITERIOS!$G$163),"MTO",IF(IF(O597="",G597/N597,G597/O597)&lt;[1]CRITERIOS!$H$161,"MTS","MTOS"))))</f>
        <v>#N/A</v>
      </c>
      <c r="T597" s="33" t="e">
        <f>IF(F597="DV","MTO",IF(OR(AND($N597=0,O597=""),$F597/$J597&gt;[1]CRITERIOS!$G$170,$F597="DV"),"MTO",IF($F597/$J597&lt;[1]CRITERIOS!$H$168,"MTS","MTOS")))</f>
        <v>#N/A</v>
      </c>
      <c r="V597" s="34" t="e">
        <f t="shared" si="28"/>
        <v>#N/A</v>
      </c>
      <c r="X597" s="34" t="e">
        <f t="shared" si="29"/>
        <v>#N/A</v>
      </c>
      <c r="Y597" s="34" t="e">
        <f t="shared" si="30"/>
        <v>#N/A</v>
      </c>
      <c r="Z597" s="34" t="e">
        <f>IF($R597="MTO",
0,
($H597+$K597*($E597/[1]CRITERIOS!$M$16))/[1]CRITERIOS!$X$48)</f>
        <v>#N/A</v>
      </c>
      <c r="AA597" s="34" t="e">
        <f>ROUNDUP(($Y597/_xlfn.XLOOKUP($A597,'[1]DATOS PBI Artículos'!$A$4:$A$4,'[1]DATOS PBI Artículos'!$Z$4:$Z$4))/_xlfn.XLOOKUP(_xlfn.XLOOKUP($A597,'[1]DATOS PBI Artículos'!$A$4:$A$4,'[1]DATOS PBI Artículos'!$Y$4:$Y$4),[1]CRITERIOS!$P$79:$P$123,[1]CRITERIOS!$S$79:$S$123,),0)</f>
        <v>#N/A</v>
      </c>
      <c r="AB597" s="33" t="e">
        <f t="array" ref="AB597">IF((E597+V597-_xlfn.XLOOKUP(A597,'[1]DATOS PBI Artículos'!$A$4:$A$4,'[1]DATOS PBI Artículos'!$W$4:$W$4))/N597&gt;ROUNDUP([1]CRITERIOS!$M$16/(IF(COUNTIF([1]CRITERIOS!$BG$11:$BG$201,L597)&gt;=1,_xlfn.XLOOKUP(ARTÍCULOS!L597,[1]CRITERIOS!$BG$11:$BG$201,[1]CRITERIOS!$BJ$11:$BJ$201),_xlfn.XLOOKUP(ARTÍCULOS!C597,[1]CRITERIOS!$K$25:$K$42,[1]CRITERIOS!$M$25:$M$42))),0),ROUNDUP([1]CRITERIOS!$M$16/(IF(COUNTIF([1]CRITERIOS!$BG$11:$BG$201,L597)&gt;=1,_xlfn.XLOOKUP(ARTÍCULOS!L597,[1]CRITERIOS!$BG$11:$BG$201:#REF!,[1]CRITERIOS!$BJ$11:$BJ$201),_xlfn.XLOOKUP(ARTÍCULOS!C597,[1]CRITERIOS!$K$25:$K$42,[1]CRITERIOS!$M$25:$M$42))),0),(E597+V597-_xlfn.XLOOKUP(A597,'[1]DATOS PBI Artículos'!$A$4:$A$4,'[1]DATOS PBI Artículos'!$W$4:$W$4))/N597)</f>
        <v>#N/A</v>
      </c>
      <c r="AC597" s="33" t="e">
        <f>IF(N597=0,"",(ROUNDUP((N597/2)/(_xlfn.XLOOKUP(A597,'[1]DATOS PBI Artículos'!$A$4:$A$4,'[1]DATOS PBI Artículos'!$Z$4:$Z$4)*_xlfn.XLOOKUP(_xlfn.XLOOKUP(A597,'[1]DATOS PBI Artículos'!$A$4:$A$4,'[1]DATOS PBI Artículos'!$Y$4:$Y$4),[1]CRITERIOS!$P$79:$P$123,[1]CRITERIOS!$S$79:$S$123)),0)*[1]CRITERIOS!$M$80*([1]CRITERIOS!$M$110/[1]CRITERIOS!$M$86)+(_xlfn.XLOOKUP(A597,'[1]DATOS PBI Artículos'!$A$4:$A$4,'[1]DATOS PBI Artículos'!$AA$4:$AA$4)*([1]CRITERIOS!$M$95+[1]CRITERIOS!$M$98)))/N597)</f>
        <v>#N/A</v>
      </c>
      <c r="AD597" s="33" t="e">
        <f>IF(N597=0,"",(ROUNDUP((N597/2)/(_xlfn.XLOOKUP(A597,'[1]DATOS PBI Artículos'!$A$4:$A$4,'[1]DATOS PBI Artículos'!$Z$4:$Z$4)*_xlfn.XLOOKUP(_xlfn.XLOOKUP(A597,'[1]DATOS PBI Artículos'!$A$4:$A$4,'[1]DATOS PBI Artículos'!$Y$4:$Y$4),[1]CRITERIOS!$P$79:$P$123,[1]CRITERIOS!$S$79:$S$123)),0)*[1]CRITERIOS!$M$80*([1]CRITERIOS!$M$89*[1]CRITERIOS!$M$92)+((_xlfn.XLOOKUP(A597,'[1]DATOS PBI Artículos'!$A$4:$A$4,'[1]DATOS PBI Artículos'!$AA$4:$AA$4)/2)*([1]CRITERIOS!$M$95+[1]CRITERIOS!$M$98)))/N597)</f>
        <v>#N/A</v>
      </c>
      <c r="AE597" s="39" t="e">
        <f>IF($R597="MTO","",
IF($H597=0,ROUNDUP(((_xlfn.XLOOKUP($A597,'[1]DATOS PBI Artículos'!$A:$A,'[1]DATOS PBI Artículos'!$AL:$AL))/(_xlfn.XLOOKUP($AF$1,[1]CRITERIOS!$S$16:$S$39,[1]CRITERIOS!$Y$16:$Y$39))*$J597+$Z597)/$G597,0)*$G597,
((_xlfn.XLOOKUP($A597,'[1]DATOS PBI Artículos'!$A:$A,'[1]DATOS PBI Artículos'!$AL:$AL))/(_xlfn.XLOOKUP($AF$1,[1]CRITERIOS!$S$16:$S$39,[1]CRITERIOS!$Y$16:$Y$39))*$J597+$Z597)))</f>
        <v>#N/A</v>
      </c>
      <c r="AG597" s="39" t="e">
        <f>IF($R597="MTO","",
IF($H597=0,ROUNDUP(((_xlfn.XLOOKUP($A597,'[1]DATOS PBI Artículos'!$A:$A,'[1]DATOS PBI Artículos'!$AM:$AM))/(_xlfn.XLOOKUP($AH$1,[1]CRITERIOS!$S$16:$S$39,[1]CRITERIOS!$Y$16:$Y$39))*$J597+$Z597)/$G597,0)*$G597,
((_xlfn.XLOOKUP($A597,'[1]DATOS PBI Artículos'!$A:$A,'[1]DATOS PBI Artículos'!$AM:$AM))/(_xlfn.XLOOKUP($AH$1,[1]CRITERIOS!$S$16:$S$39,[1]CRITERIOS!$Y$16:$Y$39))*$J597+$Z597)))</f>
        <v>#N/A</v>
      </c>
      <c r="AI597" s="39" t="e">
        <f>IF($R597="MTO","",
IF($H597=0,ROUNDUP(((_xlfn.XLOOKUP($A597,'[1]DATOS PBI Artículos'!$A:$A,'[1]DATOS PBI Artículos'!$AN:$AN))/(_xlfn.XLOOKUP($AJ$1,[1]CRITERIOS!$S$16:$S$39,[1]CRITERIOS!$Y$16:$Y$39))*$J597+$Z597)/$G597,0)*$G597,
((_xlfn.XLOOKUP($A597,'[1]DATOS PBI Artículos'!$A:$A,'[1]DATOS PBI Artículos'!$AN:$AN))/(_xlfn.XLOOKUP($AJ$1,[1]CRITERIOS!$S$16:$S$39,[1]CRITERIOS!$Y$16:$Y$39))*$J597+$Z597)))</f>
        <v>#N/A</v>
      </c>
      <c r="AK597" s="39" t="e">
        <f>IF($R597="MTO","",
IF($H597=0,ROUNDUP(((_xlfn.XLOOKUP($A597,'[1]DATOS PBI Artículos'!$A:$A,'[1]DATOS PBI Artículos'!$AO:$AO))/(_xlfn.XLOOKUP($AL$1,[1]CRITERIOS!$S$16:$S$39,[1]CRITERIOS!$Y$16:$Y$39))*$J597+$Z597)/$G597,0)*$G597,
((_xlfn.XLOOKUP($A597,'[1]DATOS PBI Artículos'!$A:$A,'[1]DATOS PBI Artículos'!$AO:$AO))/(_xlfn.XLOOKUP($AL$1,[1]CRITERIOS!$S$16:$S$39,[1]CRITERIOS!$Y$16:$Y$39))*$J597+$Z597)))</f>
        <v>#N/A</v>
      </c>
    </row>
    <row r="598" spans="1:37" ht="25.8" hidden="1" x14ac:dyDescent="0.4">
      <c r="A598" s="41"/>
      <c r="B598" s="33">
        <f>_xlfn.XLOOKUP($A598,'[1]DATOS PBI Artículos'!A:A,'[1]DATOS PBI Artículos'!B:B)</f>
        <v>0</v>
      </c>
      <c r="C598" s="33">
        <f>_xlfn.XLOOKUP($A598,'[1]DATOS PBI Artículos'!A:A,'[1]DATOS PBI Artículos'!C:C)</f>
        <v>0</v>
      </c>
      <c r="D598" s="33">
        <f>_xlfn.XLOOKUP(A598,'[1]DATOS PBI Artículos'!A:A,'[1]DATOS PBI Artículos'!T:T)</f>
        <v>0</v>
      </c>
      <c r="E598" s="34">
        <f>IF(_xlfn.XLOOKUP($A598,'[1]DATOS PBI Artículos'!A:A,'[1]DATOS PBI Artículos'!AK:AK)="",_xlfn.XLOOKUP($A598,'[1]DATOS PBI Artículos'!A:A,'[1]DATOS PBI Artículos'!AJ:AJ),_xlfn.XLOOKUP($A598,'[1]DATOS PBI Artículos'!A:A,'[1]DATOS PBI Artículos'!AK:AK))</f>
        <v>0</v>
      </c>
      <c r="F598" s="35">
        <f>_xlfn.XLOOKUP($A598,'[1]DATOS PBI Artículos'!A:A,'[1]DATOS PBI Artículos'!AP:AP)</f>
        <v>0</v>
      </c>
      <c r="G598" s="34">
        <f>_xlfn.XLOOKUP($A598,'[1]DATOS PBI Artículos'!A:A,'[1]DATOS PBI Artículos'!AR:AR)</f>
        <v>0</v>
      </c>
      <c r="H598" s="34">
        <f>_xlfn.XLOOKUP($A598,'[1]DATOS PBI Artículos'!A:A,'[1]DATOS PBI Artículos'!AT:AT)</f>
        <v>0</v>
      </c>
      <c r="I598" s="34">
        <f>_xlfn.XLOOKUP($A598,'[1]DATOS PBI Artículos'!A:A,'[1]DATOS PBI Artículos'!AS:AS)</f>
        <v>0</v>
      </c>
      <c r="J598" s="35">
        <f>IF(COUNTIF([1]CRITERIOS!$F$179:$F$199,$A598)&gt;=1,
 IF(O598&lt;&gt;"",
    (O598/_xlfn.XLOOKUP(CONCATENATE(A598,L598),[1]MÁQUINAS!A:A,[1]MÁQUINAS!D:D))/24,
    (N598/_xlfn.XLOOKUP(CONCATENATE(A598,L598),[1]MÁQUINAS!A:A,[1]MÁQUINAS!D:D))/24),
  _xlfn.XLOOKUP($A598,'[1]DATOS PBI Artículos'!A:A,'[1]DATOS PBI Artículos'!AU:AU))</f>
        <v>0</v>
      </c>
      <c r="K598" s="36">
        <f>_xlfn.XLOOKUP($A598,'[1]DATOS PBI Artículos'!A:A,'[1]DATOS PBI Artículos'!AV:AV)</f>
        <v>0</v>
      </c>
      <c r="L598" s="33">
        <f>_xlfn.XLOOKUP(A598,[1]MÁQUINAS!B:B,[1]MÁQUINAS!C:C)</f>
        <v>0</v>
      </c>
      <c r="M598" s="34">
        <f t="array" ref="M598">_xlfn.XLOOKUP(A598,'[1]DATOS PBI Artículos'!A:A,'[1]DATOS PBI Artículos'!AX:$AX)</f>
        <v>0</v>
      </c>
      <c r="N598" s="37" t="e">
        <f>IF(I598="DV",
E598,
IF(COUNTIF([1]CRITERIOS!$I$179:$I$199,$A598)&gt;=1,
_xlfn.XLOOKUP($A598,[1]CRITERIOS!$I$179:$I$199,[1]CRITERIOS!$J$179:$J$199),
IF(COUNTIF([1]CRITERIOS!$L$179:$L$199,$A598)&gt;=1,
_xlfn.CEILING.MATH(IF($M598&gt;$E598,
$E598,
IF($M598&lt;$E598/ROUNDDOWN([1]CRITERIOS!$M$16/_xlfn.XLOOKUP($C598,[1]CRITERIOS!$K$25:$K$42,[1]CRITERIOS!$M$25:$M$42),
1),
E598/ROUNDDOWN([1]CRITERIOS!$M$16/_xlfn.XLOOKUP($C598,[1]CRITERIOS!$K$25:$K$42,[1]CRITERIOS!$M$25:$M$42),
1),
$M598)),
_xlfn.XLOOKUP($A598,[1]CRITERIOS!$L$179:$L$200,[1]CRITERIOS!$M$179:$M$200)),
_xlfn.CEILING.MATH(IF($M598&gt;$E598,
$E598,
IF($M598&lt;$E598/ROUNDDOWN([1]CRITERIOS!$M$16/_xlfn.XLOOKUP($C598,[1]CRITERIOS!$K$25:$K$42,[1]CRITERIOS!$M$25:$M$42),
1),
E598/ROUNDDOWN([1]CRITERIOS!$M$16/_xlfn.XLOOKUP($C598,[1]CRITERIOS!$K$25:$K$42,[1]CRITERIOS!$M$25:$M$42),
1),
$M598)),_xlfn.XLOOKUP(A598,'[1]DATOS PBI Artículos'!A:A,'[1]DATOS PBI Artículos'!Z:Z
)))))</f>
        <v>#N/A</v>
      </c>
      <c r="Q598" s="38" t="e">
        <f>IF(AND(O598="",N598=0),
0,
   IF(COUNTIF([1]CRITERIOS!$F$179:$F$199,$A598)&gt;=1,
   1,
   IF(R598="MTO",
      $D598,
      ROUNDUP(
                    IF(($E598-SUMIF('[1]DATOS PBI Artículos'!A:A,A598,'[1]DATOS PBI Artículos'!X:X)+($V598-_xlfn.XLOOKUP(A598,'[1]DATOS PBI Artículos'!A:A,'[1]DATOS PBI Artículos'!W:W)))&lt;0,
                    0,
                    IF(($E598-SUMIF('[1]DATOS PBI Artículos'!A:A,A598,'[1]DATOS PBI Artículos'!X:X)+$V598-_xlfn.XLOOKUP($A598,'[1]DATOS PBI Artículos'!A:A,'[1]DATOS PBI Artículos'!W:W))/IF($O598="",$N598,$O598)&gt;ROUNDUP([1]CRITERIOS!$M$16/(IF(COUNTIF([1]CRITERIOS!$BG$11:$BG$201,L598)&gt;=1,_xlfn.XLOOKUP($C598,[1]CRITERIOS!$K$25:$K$42,[1]CRITERIOS!$M$25:$M$42),_xlfn.XLOOKUP($C598,[1]CRITERIOS!$K$25:$K$42,[1]CRITERIOS!$M$25:$M$42))),0),
                    ROUNDUP([1]CRITERIOS!$M$16/(IF(COUNTIF([1]CRITERIOS!$BG$11:$BG$201,$L598)&gt;=1,_xlfn.XLOOKUP($C598,[1]CRITERIOS!$K$25:$K$42,[1]CRITERIOS!$M$25:$M$42),_xlfn.XLOOKUP($C598,[1]CRITERIOS!$K$25:$K$42,[1]CRITERIOS!$M$25:$M$42))),0),
                    (E598+V598-SUMIF('[1]DATOS PBI Artículos'!A:A,A598,'[1]DATOS PBI Artículos'!X:X)-_xlfn.XLOOKUP(A598,'[1]DATOS PBI Artículos'!A:A,'[1]DATOS PBI Artículos'!W:W))/IF($O598="",$N598,$O598))),0))))</f>
        <v>#N/A</v>
      </c>
      <c r="R598" s="33" t="e">
        <f>IF(U598&lt;&gt;"",U598,IF(F598="DV","MTO",IF(N598=0,"MTO",_xlfn.XLOOKUP(CONCATENATE(S598,T598),[1]CRITERIOS!$K$160:$K$168,[1]CRITERIOS!$N$160:$N$168))))</f>
        <v>#N/A</v>
      </c>
      <c r="S598" s="33" t="e">
        <f>IF(G598="DV","MTO",IF(N598=0,"MTO",IF(OR(AND(N598=0,O598=""),IF(O598="",G598/N598,G598/O598)&gt;[1]CRITERIOS!$G$163),"MTO",IF(IF(O598="",G598/N598,G598/O598)&lt;[1]CRITERIOS!$H$161,"MTS","MTOS"))))</f>
        <v>#N/A</v>
      </c>
      <c r="T598" s="33" t="e">
        <f>IF(F598="DV","MTO",IF(OR(AND($N598=0,O598=""),$F598/$J598&gt;[1]CRITERIOS!$G$170,$F598="DV"),"MTO",IF($F598/$J598&lt;[1]CRITERIOS!$H$168,"MTS","MTOS")))</f>
        <v>#N/A</v>
      </c>
      <c r="V598" s="34" t="e">
        <f t="shared" si="28"/>
        <v>#N/A</v>
      </c>
      <c r="X598" s="34" t="e">
        <f t="shared" si="29"/>
        <v>#N/A</v>
      </c>
      <c r="Y598" s="34" t="e">
        <f t="shared" si="30"/>
        <v>#N/A</v>
      </c>
      <c r="Z598" s="34" t="e">
        <f>IF($R598="MTO",
0,
($H598+$K598*($E598/[1]CRITERIOS!$M$16))/[1]CRITERIOS!$X$48)</f>
        <v>#N/A</v>
      </c>
      <c r="AA598" s="34" t="e">
        <f>ROUNDUP(($Y598/_xlfn.XLOOKUP($A598,'[1]DATOS PBI Artículos'!$A$4:$A$4,'[1]DATOS PBI Artículos'!$Z$4:$Z$4))/_xlfn.XLOOKUP(_xlfn.XLOOKUP($A598,'[1]DATOS PBI Artículos'!$A$4:$A$4,'[1]DATOS PBI Artículos'!$Y$4:$Y$4),[1]CRITERIOS!$P$79:$P$123,[1]CRITERIOS!$S$79:$S$123,),0)</f>
        <v>#N/A</v>
      </c>
      <c r="AB598" s="33" t="e">
        <f t="array" ref="AB598">IF((E598+V598-_xlfn.XLOOKUP(A598,'[1]DATOS PBI Artículos'!$A$4:$A$4,'[1]DATOS PBI Artículos'!$W$4:$W$4))/N598&gt;ROUNDUP([1]CRITERIOS!$M$16/(IF(COUNTIF([1]CRITERIOS!$BG$11:$BG$201,L598)&gt;=1,_xlfn.XLOOKUP(ARTÍCULOS!L598,[1]CRITERIOS!$BG$11:$BG$201,[1]CRITERIOS!$BJ$11:$BJ$201),_xlfn.XLOOKUP(ARTÍCULOS!C598,[1]CRITERIOS!$K$25:$K$42,[1]CRITERIOS!$M$25:$M$42))),0),ROUNDUP([1]CRITERIOS!$M$16/(IF(COUNTIF([1]CRITERIOS!$BG$11:$BG$201,L598)&gt;=1,_xlfn.XLOOKUP(ARTÍCULOS!L598,[1]CRITERIOS!$BG$11:$BG$201:#REF!,[1]CRITERIOS!$BJ$11:$BJ$201),_xlfn.XLOOKUP(ARTÍCULOS!C598,[1]CRITERIOS!$K$25:$K$42,[1]CRITERIOS!$M$25:$M$42))),0),(E598+V598-_xlfn.XLOOKUP(A598,'[1]DATOS PBI Artículos'!$A$4:$A$4,'[1]DATOS PBI Artículos'!$W$4:$W$4))/N598)</f>
        <v>#N/A</v>
      </c>
      <c r="AC598" s="33" t="e">
        <f>IF(N598=0,"",(ROUNDUP((N598/2)/(_xlfn.XLOOKUP(A598,'[1]DATOS PBI Artículos'!$A$4:$A$4,'[1]DATOS PBI Artículos'!$Z$4:$Z$4)*_xlfn.XLOOKUP(_xlfn.XLOOKUP(A598,'[1]DATOS PBI Artículos'!$A$4:$A$4,'[1]DATOS PBI Artículos'!$Y$4:$Y$4),[1]CRITERIOS!$P$79:$P$123,[1]CRITERIOS!$S$79:$S$123)),0)*[1]CRITERIOS!$M$80*([1]CRITERIOS!$M$110/[1]CRITERIOS!$M$86)+(_xlfn.XLOOKUP(A598,'[1]DATOS PBI Artículos'!$A$4:$A$4,'[1]DATOS PBI Artículos'!$AA$4:$AA$4)*([1]CRITERIOS!$M$95+[1]CRITERIOS!$M$98)))/N598)</f>
        <v>#N/A</v>
      </c>
      <c r="AD598" s="33" t="e">
        <f>IF(N598=0,"",(ROUNDUP((N598/2)/(_xlfn.XLOOKUP(A598,'[1]DATOS PBI Artículos'!$A$4:$A$4,'[1]DATOS PBI Artículos'!$Z$4:$Z$4)*_xlfn.XLOOKUP(_xlfn.XLOOKUP(A598,'[1]DATOS PBI Artículos'!$A$4:$A$4,'[1]DATOS PBI Artículos'!$Y$4:$Y$4),[1]CRITERIOS!$P$79:$P$123,[1]CRITERIOS!$S$79:$S$123)),0)*[1]CRITERIOS!$M$80*([1]CRITERIOS!$M$89*[1]CRITERIOS!$M$92)+((_xlfn.XLOOKUP(A598,'[1]DATOS PBI Artículos'!$A$4:$A$4,'[1]DATOS PBI Artículos'!$AA$4:$AA$4)/2)*([1]CRITERIOS!$M$95+[1]CRITERIOS!$M$98)))/N598)</f>
        <v>#N/A</v>
      </c>
      <c r="AE598" s="39" t="e">
        <f>IF($R598="MTO","",
IF($H598=0,ROUNDUP(((_xlfn.XLOOKUP($A598,'[1]DATOS PBI Artículos'!$A:$A,'[1]DATOS PBI Artículos'!$AL:$AL))/(_xlfn.XLOOKUP($AF$1,[1]CRITERIOS!$S$16:$S$39,[1]CRITERIOS!$Y$16:$Y$39))*$J598+$Z598)/$G598,0)*$G598,
((_xlfn.XLOOKUP($A598,'[1]DATOS PBI Artículos'!$A:$A,'[1]DATOS PBI Artículos'!$AL:$AL))/(_xlfn.XLOOKUP($AF$1,[1]CRITERIOS!$S$16:$S$39,[1]CRITERIOS!$Y$16:$Y$39))*$J598+$Z598)))</f>
        <v>#N/A</v>
      </c>
      <c r="AG598" s="39" t="e">
        <f>IF($R598="MTO","",
IF($H598=0,ROUNDUP(((_xlfn.XLOOKUP($A598,'[1]DATOS PBI Artículos'!$A:$A,'[1]DATOS PBI Artículos'!$AM:$AM))/(_xlfn.XLOOKUP($AH$1,[1]CRITERIOS!$S$16:$S$39,[1]CRITERIOS!$Y$16:$Y$39))*$J598+$Z598)/$G598,0)*$G598,
((_xlfn.XLOOKUP($A598,'[1]DATOS PBI Artículos'!$A:$A,'[1]DATOS PBI Artículos'!$AM:$AM))/(_xlfn.XLOOKUP($AH$1,[1]CRITERIOS!$S$16:$S$39,[1]CRITERIOS!$Y$16:$Y$39))*$J598+$Z598)))</f>
        <v>#N/A</v>
      </c>
      <c r="AI598" s="39" t="e">
        <f>IF($R598="MTO","",
IF($H598=0,ROUNDUP(((_xlfn.XLOOKUP($A598,'[1]DATOS PBI Artículos'!$A:$A,'[1]DATOS PBI Artículos'!$AN:$AN))/(_xlfn.XLOOKUP($AJ$1,[1]CRITERIOS!$S$16:$S$39,[1]CRITERIOS!$Y$16:$Y$39))*$J598+$Z598)/$G598,0)*$G598,
((_xlfn.XLOOKUP($A598,'[1]DATOS PBI Artículos'!$A:$A,'[1]DATOS PBI Artículos'!$AN:$AN))/(_xlfn.XLOOKUP($AJ$1,[1]CRITERIOS!$S$16:$S$39,[1]CRITERIOS!$Y$16:$Y$39))*$J598+$Z598)))</f>
        <v>#N/A</v>
      </c>
      <c r="AK598" s="39" t="e">
        <f>IF($R598="MTO","",
IF($H598=0,ROUNDUP(((_xlfn.XLOOKUP($A598,'[1]DATOS PBI Artículos'!$A:$A,'[1]DATOS PBI Artículos'!$AO:$AO))/(_xlfn.XLOOKUP($AL$1,[1]CRITERIOS!$S$16:$S$39,[1]CRITERIOS!$Y$16:$Y$39))*$J598+$Z598)/$G598,0)*$G598,
((_xlfn.XLOOKUP($A598,'[1]DATOS PBI Artículos'!$A:$A,'[1]DATOS PBI Artículos'!$AO:$AO))/(_xlfn.XLOOKUP($AL$1,[1]CRITERIOS!$S$16:$S$39,[1]CRITERIOS!$Y$16:$Y$39))*$J598+$Z598)))</f>
        <v>#N/A</v>
      </c>
    </row>
    <row r="599" spans="1:37" ht="25.8" hidden="1" x14ac:dyDescent="0.4">
      <c r="A599" s="41"/>
      <c r="B599" s="33">
        <f>_xlfn.XLOOKUP($A599,'[1]DATOS PBI Artículos'!A:A,'[1]DATOS PBI Artículos'!B:B)</f>
        <v>0</v>
      </c>
      <c r="C599" s="33">
        <f>_xlfn.XLOOKUP($A599,'[1]DATOS PBI Artículos'!A:A,'[1]DATOS PBI Artículos'!C:C)</f>
        <v>0</v>
      </c>
      <c r="D599" s="33">
        <f>_xlfn.XLOOKUP(A599,'[1]DATOS PBI Artículos'!A:A,'[1]DATOS PBI Artículos'!T:T)</f>
        <v>0</v>
      </c>
      <c r="E599" s="34">
        <f>IF(_xlfn.XLOOKUP($A599,'[1]DATOS PBI Artículos'!A:A,'[1]DATOS PBI Artículos'!AK:AK)="",_xlfn.XLOOKUP($A599,'[1]DATOS PBI Artículos'!A:A,'[1]DATOS PBI Artículos'!AJ:AJ),_xlfn.XLOOKUP($A599,'[1]DATOS PBI Artículos'!A:A,'[1]DATOS PBI Artículos'!AK:AK))</f>
        <v>0</v>
      </c>
      <c r="F599" s="35">
        <f>_xlfn.XLOOKUP($A599,'[1]DATOS PBI Artículos'!A:A,'[1]DATOS PBI Artículos'!AP:AP)</f>
        <v>0</v>
      </c>
      <c r="G599" s="34">
        <f>_xlfn.XLOOKUP($A599,'[1]DATOS PBI Artículos'!A:A,'[1]DATOS PBI Artículos'!AR:AR)</f>
        <v>0</v>
      </c>
      <c r="H599" s="34">
        <f>_xlfn.XLOOKUP($A599,'[1]DATOS PBI Artículos'!A:A,'[1]DATOS PBI Artículos'!AT:AT)</f>
        <v>0</v>
      </c>
      <c r="I599" s="34">
        <f>_xlfn.XLOOKUP($A599,'[1]DATOS PBI Artículos'!A:A,'[1]DATOS PBI Artículos'!AS:AS)</f>
        <v>0</v>
      </c>
      <c r="J599" s="35">
        <f>IF(COUNTIF([1]CRITERIOS!$F$179:$F$199,$A599)&gt;=1,
 IF(O599&lt;&gt;"",
    (O599/_xlfn.XLOOKUP(CONCATENATE(A599,L599),[1]MÁQUINAS!A:A,[1]MÁQUINAS!D:D))/24,
    (N599/_xlfn.XLOOKUP(CONCATENATE(A599,L599),[1]MÁQUINAS!A:A,[1]MÁQUINAS!D:D))/24),
  _xlfn.XLOOKUP($A599,'[1]DATOS PBI Artículos'!A:A,'[1]DATOS PBI Artículos'!AU:AU))</f>
        <v>0</v>
      </c>
      <c r="K599" s="36">
        <f>_xlfn.XLOOKUP($A599,'[1]DATOS PBI Artículos'!A:A,'[1]DATOS PBI Artículos'!AV:AV)</f>
        <v>0</v>
      </c>
      <c r="L599" s="33">
        <f>_xlfn.XLOOKUP(A599,[1]MÁQUINAS!B:B,[1]MÁQUINAS!C:C)</f>
        <v>0</v>
      </c>
      <c r="M599" s="34">
        <f t="array" ref="M599">_xlfn.XLOOKUP(A599,'[1]DATOS PBI Artículos'!A:A,'[1]DATOS PBI Artículos'!AX:$AX)</f>
        <v>0</v>
      </c>
      <c r="N599" s="37" t="e">
        <f>IF(I599="DV",
E599,
IF(COUNTIF([1]CRITERIOS!$I$179:$I$199,$A599)&gt;=1,
_xlfn.XLOOKUP($A599,[1]CRITERIOS!$I$179:$I$199,[1]CRITERIOS!$J$179:$J$199),
IF(COUNTIF([1]CRITERIOS!$L$179:$L$199,$A599)&gt;=1,
_xlfn.CEILING.MATH(IF($M599&gt;$E599,
$E599,
IF($M599&lt;$E599/ROUNDDOWN([1]CRITERIOS!$M$16/_xlfn.XLOOKUP($C599,[1]CRITERIOS!$K$25:$K$42,[1]CRITERIOS!$M$25:$M$42),
1),
E599/ROUNDDOWN([1]CRITERIOS!$M$16/_xlfn.XLOOKUP($C599,[1]CRITERIOS!$K$25:$K$42,[1]CRITERIOS!$M$25:$M$42),
1),
$M599)),
_xlfn.XLOOKUP($A599,[1]CRITERIOS!$L$179:$L$200,[1]CRITERIOS!$M$179:$M$200)),
_xlfn.CEILING.MATH(IF($M599&gt;$E599,
$E599,
IF($M599&lt;$E599/ROUNDDOWN([1]CRITERIOS!$M$16/_xlfn.XLOOKUP($C599,[1]CRITERIOS!$K$25:$K$42,[1]CRITERIOS!$M$25:$M$42),
1),
E599/ROUNDDOWN([1]CRITERIOS!$M$16/_xlfn.XLOOKUP($C599,[1]CRITERIOS!$K$25:$K$42,[1]CRITERIOS!$M$25:$M$42),
1),
$M599)),_xlfn.XLOOKUP(A599,'[1]DATOS PBI Artículos'!A:A,'[1]DATOS PBI Artículos'!Z:Z
)))))</f>
        <v>#N/A</v>
      </c>
      <c r="Q599" s="38" t="e">
        <f>IF(AND(O599="",N599=0),
0,
   IF(COUNTIF([1]CRITERIOS!$F$179:$F$199,$A599)&gt;=1,
   1,
   IF(R599="MTO",
      $D599,
      ROUNDUP(
                    IF(($E599-SUMIF('[1]DATOS PBI Artículos'!A:A,A599,'[1]DATOS PBI Artículos'!X:X)+($V599-_xlfn.XLOOKUP(A599,'[1]DATOS PBI Artículos'!A:A,'[1]DATOS PBI Artículos'!W:W)))&lt;0,
                    0,
                    IF(($E599-SUMIF('[1]DATOS PBI Artículos'!A:A,A599,'[1]DATOS PBI Artículos'!X:X)+$V599-_xlfn.XLOOKUP($A599,'[1]DATOS PBI Artículos'!A:A,'[1]DATOS PBI Artículos'!W:W))/IF($O599="",$N599,$O599)&gt;ROUNDUP([1]CRITERIOS!$M$16/(IF(COUNTIF([1]CRITERIOS!$BG$11:$BG$201,L599)&gt;=1,_xlfn.XLOOKUP($C599,[1]CRITERIOS!$K$25:$K$42,[1]CRITERIOS!$M$25:$M$42),_xlfn.XLOOKUP($C599,[1]CRITERIOS!$K$25:$K$42,[1]CRITERIOS!$M$25:$M$42))),0),
                    ROUNDUP([1]CRITERIOS!$M$16/(IF(COUNTIF([1]CRITERIOS!$BG$11:$BG$201,$L599)&gt;=1,_xlfn.XLOOKUP($C599,[1]CRITERIOS!$K$25:$K$42,[1]CRITERIOS!$M$25:$M$42),_xlfn.XLOOKUP($C599,[1]CRITERIOS!$K$25:$K$42,[1]CRITERIOS!$M$25:$M$42))),0),
                    (E599+V599-SUMIF('[1]DATOS PBI Artículos'!A:A,A599,'[1]DATOS PBI Artículos'!X:X)-_xlfn.XLOOKUP(A599,'[1]DATOS PBI Artículos'!A:A,'[1]DATOS PBI Artículos'!W:W))/IF($O599="",$N599,$O599))),0))))</f>
        <v>#N/A</v>
      </c>
      <c r="R599" s="33" t="e">
        <f>IF(U599&lt;&gt;"",U599,IF(F599="DV","MTO",IF(N599=0,"MTO",_xlfn.XLOOKUP(CONCATENATE(S599,T599),[1]CRITERIOS!$K$160:$K$168,[1]CRITERIOS!$N$160:$N$168))))</f>
        <v>#N/A</v>
      </c>
      <c r="S599" s="33" t="e">
        <f>IF(G599="DV","MTO",IF(N599=0,"MTO",IF(OR(AND(N599=0,O599=""),IF(O599="",G599/N599,G599/O599)&gt;[1]CRITERIOS!$G$163),"MTO",IF(IF(O599="",G599/N599,G599/O599)&lt;[1]CRITERIOS!$H$161,"MTS","MTOS"))))</f>
        <v>#N/A</v>
      </c>
      <c r="T599" s="33" t="e">
        <f>IF(F599="DV","MTO",IF(OR(AND($N599=0,O599=""),$F599/$J599&gt;[1]CRITERIOS!$G$170,$F599="DV"),"MTO",IF($F599/$J599&lt;[1]CRITERIOS!$H$168,"MTS","MTOS")))</f>
        <v>#N/A</v>
      </c>
      <c r="V599" s="34" t="e">
        <f t="shared" si="28"/>
        <v>#N/A</v>
      </c>
      <c r="X599" s="34" t="e">
        <f t="shared" si="29"/>
        <v>#N/A</v>
      </c>
      <c r="Y599" s="34" t="e">
        <f t="shared" si="30"/>
        <v>#N/A</v>
      </c>
      <c r="Z599" s="34" t="e">
        <f>IF($R599="MTO",
0,
($H599+$K599*($E599/[1]CRITERIOS!$M$16))/[1]CRITERIOS!$X$48)</f>
        <v>#N/A</v>
      </c>
      <c r="AA599" s="34" t="e">
        <f>ROUNDUP(($Y599/_xlfn.XLOOKUP($A599,'[1]DATOS PBI Artículos'!$A$4:$A$4,'[1]DATOS PBI Artículos'!$Z$4:$Z$4))/_xlfn.XLOOKUP(_xlfn.XLOOKUP($A599,'[1]DATOS PBI Artículos'!$A$4:$A$4,'[1]DATOS PBI Artículos'!$Y$4:$Y$4),[1]CRITERIOS!$P$79:$P$123,[1]CRITERIOS!$S$79:$S$123,),0)</f>
        <v>#N/A</v>
      </c>
      <c r="AB599" s="33" t="e">
        <f t="array" ref="AB599">IF((E599+V599-_xlfn.XLOOKUP(A599,'[1]DATOS PBI Artículos'!$A$4:$A$4,'[1]DATOS PBI Artículos'!$W$4:$W$4))/N599&gt;ROUNDUP([1]CRITERIOS!$M$16/(IF(COUNTIF([1]CRITERIOS!$BG$11:$BG$201,L599)&gt;=1,_xlfn.XLOOKUP(ARTÍCULOS!L599,[1]CRITERIOS!$BG$11:$BG$201,[1]CRITERIOS!$BJ$11:$BJ$201),_xlfn.XLOOKUP(ARTÍCULOS!C599,[1]CRITERIOS!$K$25:$K$42,[1]CRITERIOS!$M$25:$M$42))),0),ROUNDUP([1]CRITERIOS!$M$16/(IF(COUNTIF([1]CRITERIOS!$BG$11:$BG$201,L599)&gt;=1,_xlfn.XLOOKUP(ARTÍCULOS!L599,[1]CRITERIOS!$BG$11:$BG$201:#REF!,[1]CRITERIOS!$BJ$11:$BJ$201),_xlfn.XLOOKUP(ARTÍCULOS!C599,[1]CRITERIOS!$K$25:$K$42,[1]CRITERIOS!$M$25:$M$42))),0),(E599+V599-_xlfn.XLOOKUP(A599,'[1]DATOS PBI Artículos'!$A$4:$A$4,'[1]DATOS PBI Artículos'!$W$4:$W$4))/N599)</f>
        <v>#N/A</v>
      </c>
      <c r="AC599" s="33" t="e">
        <f>IF(N599=0,"",(ROUNDUP((N599/2)/(_xlfn.XLOOKUP(A599,'[1]DATOS PBI Artículos'!$A$4:$A$4,'[1]DATOS PBI Artículos'!$Z$4:$Z$4)*_xlfn.XLOOKUP(_xlfn.XLOOKUP(A599,'[1]DATOS PBI Artículos'!$A$4:$A$4,'[1]DATOS PBI Artículos'!$Y$4:$Y$4),[1]CRITERIOS!$P$79:$P$123,[1]CRITERIOS!$S$79:$S$123)),0)*[1]CRITERIOS!$M$80*([1]CRITERIOS!$M$110/[1]CRITERIOS!$M$86)+(_xlfn.XLOOKUP(A599,'[1]DATOS PBI Artículos'!$A$4:$A$4,'[1]DATOS PBI Artículos'!$AA$4:$AA$4)*([1]CRITERIOS!$M$95+[1]CRITERIOS!$M$98)))/N599)</f>
        <v>#N/A</v>
      </c>
      <c r="AD599" s="33" t="e">
        <f>IF(N599=0,"",(ROUNDUP((N599/2)/(_xlfn.XLOOKUP(A599,'[1]DATOS PBI Artículos'!$A$4:$A$4,'[1]DATOS PBI Artículos'!$Z$4:$Z$4)*_xlfn.XLOOKUP(_xlfn.XLOOKUP(A599,'[1]DATOS PBI Artículos'!$A$4:$A$4,'[1]DATOS PBI Artículos'!$Y$4:$Y$4),[1]CRITERIOS!$P$79:$P$123,[1]CRITERIOS!$S$79:$S$123)),0)*[1]CRITERIOS!$M$80*([1]CRITERIOS!$M$89*[1]CRITERIOS!$M$92)+((_xlfn.XLOOKUP(A599,'[1]DATOS PBI Artículos'!$A$4:$A$4,'[1]DATOS PBI Artículos'!$AA$4:$AA$4)/2)*([1]CRITERIOS!$M$95+[1]CRITERIOS!$M$98)))/N599)</f>
        <v>#N/A</v>
      </c>
      <c r="AE599" s="39" t="e">
        <f>IF($R599="MTO","",
IF($H599=0,ROUNDUP(((_xlfn.XLOOKUP($A599,'[1]DATOS PBI Artículos'!$A:$A,'[1]DATOS PBI Artículos'!$AL:$AL))/(_xlfn.XLOOKUP($AF$1,[1]CRITERIOS!$S$16:$S$39,[1]CRITERIOS!$Y$16:$Y$39))*$J599+$Z599)/$G599,0)*$G599,
((_xlfn.XLOOKUP($A599,'[1]DATOS PBI Artículos'!$A:$A,'[1]DATOS PBI Artículos'!$AL:$AL))/(_xlfn.XLOOKUP($AF$1,[1]CRITERIOS!$S$16:$S$39,[1]CRITERIOS!$Y$16:$Y$39))*$J599+$Z599)))</f>
        <v>#N/A</v>
      </c>
      <c r="AG599" s="39" t="e">
        <f>IF($R599="MTO","",
IF($H599=0,ROUNDUP(((_xlfn.XLOOKUP($A599,'[1]DATOS PBI Artículos'!$A:$A,'[1]DATOS PBI Artículos'!$AM:$AM))/(_xlfn.XLOOKUP($AH$1,[1]CRITERIOS!$S$16:$S$39,[1]CRITERIOS!$Y$16:$Y$39))*$J599+$Z599)/$G599,0)*$G599,
((_xlfn.XLOOKUP($A599,'[1]DATOS PBI Artículos'!$A:$A,'[1]DATOS PBI Artículos'!$AM:$AM))/(_xlfn.XLOOKUP($AH$1,[1]CRITERIOS!$S$16:$S$39,[1]CRITERIOS!$Y$16:$Y$39))*$J599+$Z599)))</f>
        <v>#N/A</v>
      </c>
      <c r="AI599" s="39" t="e">
        <f>IF($R599="MTO","",
IF($H599=0,ROUNDUP(((_xlfn.XLOOKUP($A599,'[1]DATOS PBI Artículos'!$A:$A,'[1]DATOS PBI Artículos'!$AN:$AN))/(_xlfn.XLOOKUP($AJ$1,[1]CRITERIOS!$S$16:$S$39,[1]CRITERIOS!$Y$16:$Y$39))*$J599+$Z599)/$G599,0)*$G599,
((_xlfn.XLOOKUP($A599,'[1]DATOS PBI Artículos'!$A:$A,'[1]DATOS PBI Artículos'!$AN:$AN))/(_xlfn.XLOOKUP($AJ$1,[1]CRITERIOS!$S$16:$S$39,[1]CRITERIOS!$Y$16:$Y$39))*$J599+$Z599)))</f>
        <v>#N/A</v>
      </c>
      <c r="AK599" s="39" t="e">
        <f>IF($R599="MTO","",
IF($H599=0,ROUNDUP(((_xlfn.XLOOKUP($A599,'[1]DATOS PBI Artículos'!$A:$A,'[1]DATOS PBI Artículos'!$AO:$AO))/(_xlfn.XLOOKUP($AL$1,[1]CRITERIOS!$S$16:$S$39,[1]CRITERIOS!$Y$16:$Y$39))*$J599+$Z599)/$G599,0)*$G599,
((_xlfn.XLOOKUP($A599,'[1]DATOS PBI Artículos'!$A:$A,'[1]DATOS PBI Artículos'!$AO:$AO))/(_xlfn.XLOOKUP($AL$1,[1]CRITERIOS!$S$16:$S$39,[1]CRITERIOS!$Y$16:$Y$39))*$J599+$Z599)))</f>
        <v>#N/A</v>
      </c>
    </row>
    <row r="600" spans="1:37" ht="25.8" hidden="1" x14ac:dyDescent="0.4">
      <c r="A600" s="41"/>
      <c r="B600" s="33">
        <f>_xlfn.XLOOKUP($A600,'[1]DATOS PBI Artículos'!A:A,'[1]DATOS PBI Artículos'!B:B)</f>
        <v>0</v>
      </c>
      <c r="C600" s="33">
        <f>_xlfn.XLOOKUP($A600,'[1]DATOS PBI Artículos'!A:A,'[1]DATOS PBI Artículos'!C:C)</f>
        <v>0</v>
      </c>
      <c r="D600" s="33">
        <f>_xlfn.XLOOKUP(A600,'[1]DATOS PBI Artículos'!A:A,'[1]DATOS PBI Artículos'!T:T)</f>
        <v>0</v>
      </c>
      <c r="E600" s="34">
        <f>IF(_xlfn.XLOOKUP($A600,'[1]DATOS PBI Artículos'!A:A,'[1]DATOS PBI Artículos'!AK:AK)="",_xlfn.XLOOKUP($A600,'[1]DATOS PBI Artículos'!A:A,'[1]DATOS PBI Artículos'!AJ:AJ),_xlfn.XLOOKUP($A600,'[1]DATOS PBI Artículos'!A:A,'[1]DATOS PBI Artículos'!AK:AK))</f>
        <v>0</v>
      </c>
      <c r="F600" s="35">
        <f>_xlfn.XLOOKUP($A600,'[1]DATOS PBI Artículos'!A:A,'[1]DATOS PBI Artículos'!AP:AP)</f>
        <v>0</v>
      </c>
      <c r="G600" s="34">
        <f>_xlfn.XLOOKUP($A600,'[1]DATOS PBI Artículos'!A:A,'[1]DATOS PBI Artículos'!AR:AR)</f>
        <v>0</v>
      </c>
      <c r="H600" s="34">
        <f>_xlfn.XLOOKUP($A600,'[1]DATOS PBI Artículos'!A:A,'[1]DATOS PBI Artículos'!AT:AT)</f>
        <v>0</v>
      </c>
      <c r="I600" s="34">
        <f>_xlfn.XLOOKUP($A600,'[1]DATOS PBI Artículos'!A:A,'[1]DATOS PBI Artículos'!AS:AS)</f>
        <v>0</v>
      </c>
      <c r="J600" s="35">
        <f>IF(COUNTIF([1]CRITERIOS!$F$179:$F$199,$A600)&gt;=1,
 IF(O600&lt;&gt;"",
    (O600/_xlfn.XLOOKUP(CONCATENATE(A600,L600),[1]MÁQUINAS!A:A,[1]MÁQUINAS!D:D))/24,
    (N600/_xlfn.XLOOKUP(CONCATENATE(A600,L600),[1]MÁQUINAS!A:A,[1]MÁQUINAS!D:D))/24),
  _xlfn.XLOOKUP($A600,'[1]DATOS PBI Artículos'!A:A,'[1]DATOS PBI Artículos'!AU:AU))</f>
        <v>0</v>
      </c>
      <c r="K600" s="36">
        <f>_xlfn.XLOOKUP($A600,'[1]DATOS PBI Artículos'!A:A,'[1]DATOS PBI Artículos'!AV:AV)</f>
        <v>0</v>
      </c>
      <c r="L600" s="33">
        <f>_xlfn.XLOOKUP(A600,[1]MÁQUINAS!B:B,[1]MÁQUINAS!C:C)</f>
        <v>0</v>
      </c>
      <c r="M600" s="34">
        <f t="array" ref="M600">_xlfn.XLOOKUP(A600,'[1]DATOS PBI Artículos'!A:A,'[1]DATOS PBI Artículos'!AX:$AX)</f>
        <v>0</v>
      </c>
      <c r="N600" s="37" t="e">
        <f>IF(I600="DV",
E600,
IF(COUNTIF([1]CRITERIOS!$I$179:$I$199,$A600)&gt;=1,
_xlfn.XLOOKUP($A600,[1]CRITERIOS!$I$179:$I$199,[1]CRITERIOS!$J$179:$J$199),
IF(COUNTIF([1]CRITERIOS!$L$179:$L$199,$A600)&gt;=1,
_xlfn.CEILING.MATH(IF($M600&gt;$E600,
$E600,
IF($M600&lt;$E600/ROUNDDOWN([1]CRITERIOS!$M$16/_xlfn.XLOOKUP($C600,[1]CRITERIOS!$K$25:$K$42,[1]CRITERIOS!$M$25:$M$42),
1),
E600/ROUNDDOWN([1]CRITERIOS!$M$16/_xlfn.XLOOKUP($C600,[1]CRITERIOS!$K$25:$K$42,[1]CRITERIOS!$M$25:$M$42),
1),
$M600)),
_xlfn.XLOOKUP($A600,[1]CRITERIOS!$L$179:$L$200,[1]CRITERIOS!$M$179:$M$200)),
_xlfn.CEILING.MATH(IF($M600&gt;$E600,
$E600,
IF($M600&lt;$E600/ROUNDDOWN([1]CRITERIOS!$M$16/_xlfn.XLOOKUP($C600,[1]CRITERIOS!$K$25:$K$42,[1]CRITERIOS!$M$25:$M$42),
1),
E600/ROUNDDOWN([1]CRITERIOS!$M$16/_xlfn.XLOOKUP($C600,[1]CRITERIOS!$K$25:$K$42,[1]CRITERIOS!$M$25:$M$42),
1),
$M600)),_xlfn.XLOOKUP(A600,'[1]DATOS PBI Artículos'!A:A,'[1]DATOS PBI Artículos'!Z:Z
)))))</f>
        <v>#N/A</v>
      </c>
      <c r="Q600" s="38" t="e">
        <f>IF(AND(O600="",N600=0),
0,
   IF(COUNTIF([1]CRITERIOS!$F$179:$F$199,$A600)&gt;=1,
   1,
   IF(R600="MTO",
      $D600,
      ROUNDUP(
                    IF(($E600-SUMIF('[1]DATOS PBI Artículos'!A:A,A600,'[1]DATOS PBI Artículos'!X:X)+($V600-_xlfn.XLOOKUP(A600,'[1]DATOS PBI Artículos'!A:A,'[1]DATOS PBI Artículos'!W:W)))&lt;0,
                    0,
                    IF(($E600-SUMIF('[1]DATOS PBI Artículos'!A:A,A600,'[1]DATOS PBI Artículos'!X:X)+$V600-_xlfn.XLOOKUP($A600,'[1]DATOS PBI Artículos'!A:A,'[1]DATOS PBI Artículos'!W:W))/IF($O600="",$N600,$O600)&gt;ROUNDUP([1]CRITERIOS!$M$16/(IF(COUNTIF([1]CRITERIOS!$BG$11:$BG$201,L600)&gt;=1,_xlfn.XLOOKUP($C600,[1]CRITERIOS!$K$25:$K$42,[1]CRITERIOS!$M$25:$M$42),_xlfn.XLOOKUP($C600,[1]CRITERIOS!$K$25:$K$42,[1]CRITERIOS!$M$25:$M$42))),0),
                    ROUNDUP([1]CRITERIOS!$M$16/(IF(COUNTIF([1]CRITERIOS!$BG$11:$BG$201,$L600)&gt;=1,_xlfn.XLOOKUP($C600,[1]CRITERIOS!$K$25:$K$42,[1]CRITERIOS!$M$25:$M$42),_xlfn.XLOOKUP($C600,[1]CRITERIOS!$K$25:$K$42,[1]CRITERIOS!$M$25:$M$42))),0),
                    (E600+V600-SUMIF('[1]DATOS PBI Artículos'!A:A,A600,'[1]DATOS PBI Artículos'!X:X)-_xlfn.XLOOKUP(A600,'[1]DATOS PBI Artículos'!A:A,'[1]DATOS PBI Artículos'!W:W))/IF($O600="",$N600,$O600))),0))))</f>
        <v>#N/A</v>
      </c>
      <c r="R600" s="33" t="e">
        <f>IF(U600&lt;&gt;"",U600,IF(F600="DV","MTO",IF(N600=0,"MTO",_xlfn.XLOOKUP(CONCATENATE(S600,T600),[1]CRITERIOS!$K$160:$K$168,[1]CRITERIOS!$N$160:$N$168))))</f>
        <v>#N/A</v>
      </c>
      <c r="S600" s="33" t="e">
        <f>IF(G600="DV","MTO",IF(N600=0,"MTO",IF(OR(AND(N600=0,O600=""),IF(O600="",G600/N600,G600/O600)&gt;[1]CRITERIOS!$G$163),"MTO",IF(IF(O600="",G600/N600,G600/O600)&lt;[1]CRITERIOS!$H$161,"MTS","MTOS"))))</f>
        <v>#N/A</v>
      </c>
      <c r="T600" s="33" t="e">
        <f>IF(F600="DV","MTO",IF(OR(AND($N600=0,O600=""),$F600/$J600&gt;[1]CRITERIOS!$G$170,$F600="DV"),"MTO",IF($F600/$J600&lt;[1]CRITERIOS!$H$168,"MTS","MTOS")))</f>
        <v>#N/A</v>
      </c>
      <c r="V600" s="34" t="e">
        <f t="shared" si="28"/>
        <v>#N/A</v>
      </c>
      <c r="X600" s="34" t="e">
        <f t="shared" si="29"/>
        <v>#N/A</v>
      </c>
      <c r="Y600" s="34" t="e">
        <f t="shared" si="30"/>
        <v>#N/A</v>
      </c>
      <c r="Z600" s="34" t="e">
        <f>IF($R600="MTO",
0,
($H600+$K600*($E600/[1]CRITERIOS!$M$16))/[1]CRITERIOS!$X$48)</f>
        <v>#N/A</v>
      </c>
      <c r="AA600" s="34" t="e">
        <f>ROUNDUP(($Y600/_xlfn.XLOOKUP($A600,'[1]DATOS PBI Artículos'!$A$4:$A$4,'[1]DATOS PBI Artículos'!$Z$4:$Z$4))/_xlfn.XLOOKUP(_xlfn.XLOOKUP($A600,'[1]DATOS PBI Artículos'!$A$4:$A$4,'[1]DATOS PBI Artículos'!$Y$4:$Y$4),[1]CRITERIOS!$P$79:$P$123,[1]CRITERIOS!$S$79:$S$123,),0)</f>
        <v>#N/A</v>
      </c>
      <c r="AB600" s="33" t="e">
        <f t="array" ref="AB600">IF((E600+V600-_xlfn.XLOOKUP(A600,'[1]DATOS PBI Artículos'!$A$4:$A$4,'[1]DATOS PBI Artículos'!$W$4:$W$4))/N600&gt;ROUNDUP([1]CRITERIOS!$M$16/(IF(COUNTIF([1]CRITERIOS!$BG$11:$BG$201,L600)&gt;=1,_xlfn.XLOOKUP(ARTÍCULOS!L600,[1]CRITERIOS!$BG$11:$BG$201,[1]CRITERIOS!$BJ$11:$BJ$201),_xlfn.XLOOKUP(ARTÍCULOS!C600,[1]CRITERIOS!$K$25:$K$42,[1]CRITERIOS!$M$25:$M$42))),0),ROUNDUP([1]CRITERIOS!$M$16/(IF(COUNTIF([1]CRITERIOS!$BG$11:$BG$201,L600)&gt;=1,_xlfn.XLOOKUP(ARTÍCULOS!L600,[1]CRITERIOS!$BG$11:$BG$201:#REF!,[1]CRITERIOS!$BJ$11:$BJ$201),_xlfn.XLOOKUP(ARTÍCULOS!C600,[1]CRITERIOS!$K$25:$K$42,[1]CRITERIOS!$M$25:$M$42))),0),(E600+V600-_xlfn.XLOOKUP(A600,'[1]DATOS PBI Artículos'!$A$4:$A$4,'[1]DATOS PBI Artículos'!$W$4:$W$4))/N600)</f>
        <v>#N/A</v>
      </c>
      <c r="AC600" s="33" t="e">
        <f>IF(N600=0,"",(ROUNDUP((N600/2)/(_xlfn.XLOOKUP(A600,'[1]DATOS PBI Artículos'!$A$4:$A$4,'[1]DATOS PBI Artículos'!$Z$4:$Z$4)*_xlfn.XLOOKUP(_xlfn.XLOOKUP(A600,'[1]DATOS PBI Artículos'!$A$4:$A$4,'[1]DATOS PBI Artículos'!$Y$4:$Y$4),[1]CRITERIOS!$P$79:$P$123,[1]CRITERIOS!$S$79:$S$123)),0)*[1]CRITERIOS!$M$80*([1]CRITERIOS!$M$110/[1]CRITERIOS!$M$86)+(_xlfn.XLOOKUP(A600,'[1]DATOS PBI Artículos'!$A$4:$A$4,'[1]DATOS PBI Artículos'!$AA$4:$AA$4)*([1]CRITERIOS!$M$95+[1]CRITERIOS!$M$98)))/N600)</f>
        <v>#N/A</v>
      </c>
      <c r="AD600" s="33" t="e">
        <f>IF(N600=0,"",(ROUNDUP((N600/2)/(_xlfn.XLOOKUP(A600,'[1]DATOS PBI Artículos'!$A$4:$A$4,'[1]DATOS PBI Artículos'!$Z$4:$Z$4)*_xlfn.XLOOKUP(_xlfn.XLOOKUP(A600,'[1]DATOS PBI Artículos'!$A$4:$A$4,'[1]DATOS PBI Artículos'!$Y$4:$Y$4),[1]CRITERIOS!$P$79:$P$123,[1]CRITERIOS!$S$79:$S$123)),0)*[1]CRITERIOS!$M$80*([1]CRITERIOS!$M$89*[1]CRITERIOS!$M$92)+((_xlfn.XLOOKUP(A600,'[1]DATOS PBI Artículos'!$A$4:$A$4,'[1]DATOS PBI Artículos'!$AA$4:$AA$4)/2)*([1]CRITERIOS!$M$95+[1]CRITERIOS!$M$98)))/N600)</f>
        <v>#N/A</v>
      </c>
      <c r="AE600" s="39" t="e">
        <f>IF($R600="MTO","",
IF($H600=0,ROUNDUP(((_xlfn.XLOOKUP($A600,'[1]DATOS PBI Artículos'!$A:$A,'[1]DATOS PBI Artículos'!$AL:$AL))/(_xlfn.XLOOKUP($AF$1,[1]CRITERIOS!$S$16:$S$39,[1]CRITERIOS!$Y$16:$Y$39))*$J600+$Z600)/$G600,0)*$G600,
((_xlfn.XLOOKUP($A600,'[1]DATOS PBI Artículos'!$A:$A,'[1]DATOS PBI Artículos'!$AL:$AL))/(_xlfn.XLOOKUP($AF$1,[1]CRITERIOS!$S$16:$S$39,[1]CRITERIOS!$Y$16:$Y$39))*$J600+$Z600)))</f>
        <v>#N/A</v>
      </c>
      <c r="AG600" s="39" t="e">
        <f>IF($R600="MTO","",
IF($H600=0,ROUNDUP(((_xlfn.XLOOKUP($A600,'[1]DATOS PBI Artículos'!$A:$A,'[1]DATOS PBI Artículos'!$AM:$AM))/(_xlfn.XLOOKUP($AH$1,[1]CRITERIOS!$S$16:$S$39,[1]CRITERIOS!$Y$16:$Y$39))*$J600+$Z600)/$G600,0)*$G600,
((_xlfn.XLOOKUP($A600,'[1]DATOS PBI Artículos'!$A:$A,'[1]DATOS PBI Artículos'!$AM:$AM))/(_xlfn.XLOOKUP($AH$1,[1]CRITERIOS!$S$16:$S$39,[1]CRITERIOS!$Y$16:$Y$39))*$J600+$Z600)))</f>
        <v>#N/A</v>
      </c>
      <c r="AI600" s="39" t="e">
        <f>IF($R600="MTO","",
IF($H600=0,ROUNDUP(((_xlfn.XLOOKUP($A600,'[1]DATOS PBI Artículos'!$A:$A,'[1]DATOS PBI Artículos'!$AN:$AN))/(_xlfn.XLOOKUP($AJ$1,[1]CRITERIOS!$S$16:$S$39,[1]CRITERIOS!$Y$16:$Y$39))*$J600+$Z600)/$G600,0)*$G600,
((_xlfn.XLOOKUP($A600,'[1]DATOS PBI Artículos'!$A:$A,'[1]DATOS PBI Artículos'!$AN:$AN))/(_xlfn.XLOOKUP($AJ$1,[1]CRITERIOS!$S$16:$S$39,[1]CRITERIOS!$Y$16:$Y$39))*$J600+$Z600)))</f>
        <v>#N/A</v>
      </c>
      <c r="AK600" s="39" t="e">
        <f>IF($R600="MTO","",
IF($H600=0,ROUNDUP(((_xlfn.XLOOKUP($A600,'[1]DATOS PBI Artículos'!$A:$A,'[1]DATOS PBI Artículos'!$AO:$AO))/(_xlfn.XLOOKUP($AL$1,[1]CRITERIOS!$S$16:$S$39,[1]CRITERIOS!$Y$16:$Y$39))*$J600+$Z600)/$G600,0)*$G600,
((_xlfn.XLOOKUP($A600,'[1]DATOS PBI Artículos'!$A:$A,'[1]DATOS PBI Artículos'!$AO:$AO))/(_xlfn.XLOOKUP($AL$1,[1]CRITERIOS!$S$16:$S$39,[1]CRITERIOS!$Y$16:$Y$39))*$J600+$Z600)))</f>
        <v>#N/A</v>
      </c>
    </row>
    <row r="601" spans="1:37" ht="25.8" hidden="1" x14ac:dyDescent="0.4">
      <c r="A601" s="41"/>
      <c r="B601" s="33">
        <f>_xlfn.XLOOKUP($A601,'[1]DATOS PBI Artículos'!A:A,'[1]DATOS PBI Artículos'!B:B)</f>
        <v>0</v>
      </c>
      <c r="C601" s="33">
        <f>_xlfn.XLOOKUP($A601,'[1]DATOS PBI Artículos'!A:A,'[1]DATOS PBI Artículos'!C:C)</f>
        <v>0</v>
      </c>
      <c r="D601" s="33">
        <f>_xlfn.XLOOKUP(A601,'[1]DATOS PBI Artículos'!A:A,'[1]DATOS PBI Artículos'!T:T)</f>
        <v>0</v>
      </c>
      <c r="E601" s="34">
        <f>IF(_xlfn.XLOOKUP($A601,'[1]DATOS PBI Artículos'!A:A,'[1]DATOS PBI Artículos'!AK:AK)="",_xlfn.XLOOKUP($A601,'[1]DATOS PBI Artículos'!A:A,'[1]DATOS PBI Artículos'!AJ:AJ),_xlfn.XLOOKUP($A601,'[1]DATOS PBI Artículos'!A:A,'[1]DATOS PBI Artículos'!AK:AK))</f>
        <v>0</v>
      </c>
      <c r="F601" s="35">
        <f>_xlfn.XLOOKUP($A601,'[1]DATOS PBI Artículos'!A:A,'[1]DATOS PBI Artículos'!AP:AP)</f>
        <v>0</v>
      </c>
      <c r="G601" s="34">
        <f>_xlfn.XLOOKUP($A601,'[1]DATOS PBI Artículos'!A:A,'[1]DATOS PBI Artículos'!AR:AR)</f>
        <v>0</v>
      </c>
      <c r="H601" s="34">
        <f>_xlfn.XLOOKUP($A601,'[1]DATOS PBI Artículos'!A:A,'[1]DATOS PBI Artículos'!AT:AT)</f>
        <v>0</v>
      </c>
      <c r="I601" s="34">
        <f>_xlfn.XLOOKUP($A601,'[1]DATOS PBI Artículos'!A:A,'[1]DATOS PBI Artículos'!AS:AS)</f>
        <v>0</v>
      </c>
      <c r="J601" s="35">
        <f>IF(COUNTIF([1]CRITERIOS!$F$179:$F$199,$A601)&gt;=1,
 IF(O601&lt;&gt;"",
    (O601/_xlfn.XLOOKUP(CONCATENATE(A601,L601),[1]MÁQUINAS!A:A,[1]MÁQUINAS!D:D))/24,
    (N601/_xlfn.XLOOKUP(CONCATENATE(A601,L601),[1]MÁQUINAS!A:A,[1]MÁQUINAS!D:D))/24),
  _xlfn.XLOOKUP($A601,'[1]DATOS PBI Artículos'!A:A,'[1]DATOS PBI Artículos'!AU:AU))</f>
        <v>0</v>
      </c>
      <c r="K601" s="36">
        <f>_xlfn.XLOOKUP($A601,'[1]DATOS PBI Artículos'!A:A,'[1]DATOS PBI Artículos'!AV:AV)</f>
        <v>0</v>
      </c>
      <c r="L601" s="33">
        <f>_xlfn.XLOOKUP(A601,[1]MÁQUINAS!B:B,[1]MÁQUINAS!C:C)</f>
        <v>0</v>
      </c>
      <c r="M601" s="34">
        <f t="array" ref="M601">_xlfn.XLOOKUP(A601,'[1]DATOS PBI Artículos'!A:A,'[1]DATOS PBI Artículos'!AX:$AX)</f>
        <v>0</v>
      </c>
      <c r="N601" s="37" t="e">
        <f>IF(I601="DV",
E601,
IF(COUNTIF([1]CRITERIOS!$I$179:$I$199,$A601)&gt;=1,
_xlfn.XLOOKUP($A601,[1]CRITERIOS!$I$179:$I$199,[1]CRITERIOS!$J$179:$J$199),
IF(COUNTIF([1]CRITERIOS!$L$179:$L$199,$A601)&gt;=1,
_xlfn.CEILING.MATH(IF($M601&gt;$E601,
$E601,
IF($M601&lt;$E601/ROUNDDOWN([1]CRITERIOS!$M$16/_xlfn.XLOOKUP($C601,[1]CRITERIOS!$K$25:$K$42,[1]CRITERIOS!$M$25:$M$42),
1),
E601/ROUNDDOWN([1]CRITERIOS!$M$16/_xlfn.XLOOKUP($C601,[1]CRITERIOS!$K$25:$K$42,[1]CRITERIOS!$M$25:$M$42),
1),
$M601)),
_xlfn.XLOOKUP($A601,[1]CRITERIOS!$L$179:$L$200,[1]CRITERIOS!$M$179:$M$200)),
_xlfn.CEILING.MATH(IF($M601&gt;$E601,
$E601,
IF($M601&lt;$E601/ROUNDDOWN([1]CRITERIOS!$M$16/_xlfn.XLOOKUP($C601,[1]CRITERIOS!$K$25:$K$42,[1]CRITERIOS!$M$25:$M$42),
1),
E601/ROUNDDOWN([1]CRITERIOS!$M$16/_xlfn.XLOOKUP($C601,[1]CRITERIOS!$K$25:$K$42,[1]CRITERIOS!$M$25:$M$42),
1),
$M601)),_xlfn.XLOOKUP(A601,'[1]DATOS PBI Artículos'!A:A,'[1]DATOS PBI Artículos'!Z:Z
)))))</f>
        <v>#N/A</v>
      </c>
      <c r="Q601" s="38" t="e">
        <f>IF(AND(O601="",N601=0),
0,
   IF(COUNTIF([1]CRITERIOS!$F$179:$F$199,$A601)&gt;=1,
   1,
   IF(R601="MTO",
      $D601,
      ROUNDUP(
                    IF(($E601-SUMIF('[1]DATOS PBI Artículos'!A:A,A601,'[1]DATOS PBI Artículos'!X:X)+($V601-_xlfn.XLOOKUP(A601,'[1]DATOS PBI Artículos'!A:A,'[1]DATOS PBI Artículos'!W:W)))&lt;0,
                    0,
                    IF(($E601-SUMIF('[1]DATOS PBI Artículos'!A:A,A601,'[1]DATOS PBI Artículos'!X:X)+$V601-_xlfn.XLOOKUP($A601,'[1]DATOS PBI Artículos'!A:A,'[1]DATOS PBI Artículos'!W:W))/IF($O601="",$N601,$O601)&gt;ROUNDUP([1]CRITERIOS!$M$16/(IF(COUNTIF([1]CRITERIOS!$BG$11:$BG$201,L601)&gt;=1,_xlfn.XLOOKUP($C601,[1]CRITERIOS!$K$25:$K$42,[1]CRITERIOS!$M$25:$M$42),_xlfn.XLOOKUP($C601,[1]CRITERIOS!$K$25:$K$42,[1]CRITERIOS!$M$25:$M$42))),0),
                    ROUNDUP([1]CRITERIOS!$M$16/(IF(COUNTIF([1]CRITERIOS!$BG$11:$BG$201,$L601)&gt;=1,_xlfn.XLOOKUP($C601,[1]CRITERIOS!$K$25:$K$42,[1]CRITERIOS!$M$25:$M$42),_xlfn.XLOOKUP($C601,[1]CRITERIOS!$K$25:$K$42,[1]CRITERIOS!$M$25:$M$42))),0),
                    (E601+V601-SUMIF('[1]DATOS PBI Artículos'!A:A,A601,'[1]DATOS PBI Artículos'!X:X)-_xlfn.XLOOKUP(A601,'[1]DATOS PBI Artículos'!A:A,'[1]DATOS PBI Artículos'!W:W))/IF($O601="",$N601,$O601))),0))))</f>
        <v>#N/A</v>
      </c>
      <c r="R601" s="33" t="e">
        <f>IF(U601&lt;&gt;"",U601,IF(F601="DV","MTO",IF(N601=0,"MTO",_xlfn.XLOOKUP(CONCATENATE(S601,T601),[1]CRITERIOS!$K$160:$K$168,[1]CRITERIOS!$N$160:$N$168))))</f>
        <v>#N/A</v>
      </c>
      <c r="S601" s="33" t="e">
        <f>IF(G601="DV","MTO",IF(N601=0,"MTO",IF(OR(AND(N601=0,O601=""),IF(O601="",G601/N601,G601/O601)&gt;[1]CRITERIOS!$G$163),"MTO",IF(IF(O601="",G601/N601,G601/O601)&lt;[1]CRITERIOS!$H$161,"MTS","MTOS"))))</f>
        <v>#N/A</v>
      </c>
      <c r="T601" s="33" t="e">
        <f>IF(F601="DV","MTO",IF(OR(AND($N601=0,O601=""),$F601/$J601&gt;[1]CRITERIOS!$G$170,$F601="DV"),"MTO",IF($F601/$J601&lt;[1]CRITERIOS!$H$168,"MTS","MTOS")))</f>
        <v>#N/A</v>
      </c>
      <c r="V601" s="34" t="e">
        <f t="shared" ref="V601:V664" si="31">IF(R601="MTO","",
IF($H601=0,(((($J601/$F601)*$G601)+$Z601)/$G601)*$G601,
(($J601/$F601)*$G601)+$Z601))</f>
        <v>#N/A</v>
      </c>
      <c r="X601" s="34" t="e">
        <f t="shared" si="29"/>
        <v>#N/A</v>
      </c>
      <c r="Y601" s="34" t="e">
        <f t="shared" si="30"/>
        <v>#N/A</v>
      </c>
      <c r="Z601" s="34" t="e">
        <f>IF($R601="MTO",
0,
($H601+$K601*($E601/[1]CRITERIOS!$M$16))/[1]CRITERIOS!$X$48)</f>
        <v>#N/A</v>
      </c>
      <c r="AA601" s="34" t="e">
        <f>ROUNDUP(($Y601/_xlfn.XLOOKUP($A601,'[1]DATOS PBI Artículos'!$A$4:$A$4,'[1]DATOS PBI Artículos'!$Z$4:$Z$4))/_xlfn.XLOOKUP(_xlfn.XLOOKUP($A601,'[1]DATOS PBI Artículos'!$A$4:$A$4,'[1]DATOS PBI Artículos'!$Y$4:$Y$4),[1]CRITERIOS!$P$79:$P$123,[1]CRITERIOS!$S$79:$S$123,),0)</f>
        <v>#N/A</v>
      </c>
      <c r="AB601" s="33" t="e">
        <f t="array" ref="AB601">IF((E601+V601-_xlfn.XLOOKUP(A601,'[1]DATOS PBI Artículos'!$A$4:$A$4,'[1]DATOS PBI Artículos'!$W$4:$W$4))/N601&gt;ROUNDUP([1]CRITERIOS!$M$16/(IF(COUNTIF([1]CRITERIOS!$BG$11:$BG$201,L601)&gt;=1,_xlfn.XLOOKUP(ARTÍCULOS!L601,[1]CRITERIOS!$BG$11:$BG$201,[1]CRITERIOS!$BJ$11:$BJ$201),_xlfn.XLOOKUP(ARTÍCULOS!C601,[1]CRITERIOS!$K$25:$K$42,[1]CRITERIOS!$M$25:$M$42))),0),ROUNDUP([1]CRITERIOS!$M$16/(IF(COUNTIF([1]CRITERIOS!$BG$11:$BG$201,L601)&gt;=1,_xlfn.XLOOKUP(ARTÍCULOS!L601,[1]CRITERIOS!$BG$11:$BG$201:#REF!,[1]CRITERIOS!$BJ$11:$BJ$201),_xlfn.XLOOKUP(ARTÍCULOS!C601,[1]CRITERIOS!$K$25:$K$42,[1]CRITERIOS!$M$25:$M$42))),0),(E601+V601-_xlfn.XLOOKUP(A601,'[1]DATOS PBI Artículos'!$A$4:$A$4,'[1]DATOS PBI Artículos'!$W$4:$W$4))/N601)</f>
        <v>#N/A</v>
      </c>
      <c r="AC601" s="33" t="e">
        <f>IF(N601=0,"",(ROUNDUP((N601/2)/(_xlfn.XLOOKUP(A601,'[1]DATOS PBI Artículos'!$A$4:$A$4,'[1]DATOS PBI Artículos'!$Z$4:$Z$4)*_xlfn.XLOOKUP(_xlfn.XLOOKUP(A601,'[1]DATOS PBI Artículos'!$A$4:$A$4,'[1]DATOS PBI Artículos'!$Y$4:$Y$4),[1]CRITERIOS!$P$79:$P$123,[1]CRITERIOS!$S$79:$S$123)),0)*[1]CRITERIOS!$M$80*([1]CRITERIOS!$M$110/[1]CRITERIOS!$M$86)+(_xlfn.XLOOKUP(A601,'[1]DATOS PBI Artículos'!$A$4:$A$4,'[1]DATOS PBI Artículos'!$AA$4:$AA$4)*([1]CRITERIOS!$M$95+[1]CRITERIOS!$M$98)))/N601)</f>
        <v>#N/A</v>
      </c>
      <c r="AD601" s="33" t="e">
        <f>IF(N601=0,"",(ROUNDUP((N601/2)/(_xlfn.XLOOKUP(A601,'[1]DATOS PBI Artículos'!$A$4:$A$4,'[1]DATOS PBI Artículos'!$Z$4:$Z$4)*_xlfn.XLOOKUP(_xlfn.XLOOKUP(A601,'[1]DATOS PBI Artículos'!$A$4:$A$4,'[1]DATOS PBI Artículos'!$Y$4:$Y$4),[1]CRITERIOS!$P$79:$P$123,[1]CRITERIOS!$S$79:$S$123)),0)*[1]CRITERIOS!$M$80*([1]CRITERIOS!$M$89*[1]CRITERIOS!$M$92)+((_xlfn.XLOOKUP(A601,'[1]DATOS PBI Artículos'!$A$4:$A$4,'[1]DATOS PBI Artículos'!$AA$4:$AA$4)/2)*([1]CRITERIOS!$M$95+[1]CRITERIOS!$M$98)))/N601)</f>
        <v>#N/A</v>
      </c>
      <c r="AE601" s="39" t="e">
        <f>IF($R601="MTO","",
IF($H601=0,ROUNDUP(((_xlfn.XLOOKUP($A601,'[1]DATOS PBI Artículos'!$A:$A,'[1]DATOS PBI Artículos'!$AL:$AL))/(_xlfn.XLOOKUP($AF$1,[1]CRITERIOS!$S$16:$S$39,[1]CRITERIOS!$Y$16:$Y$39))*$J601+$Z601)/$G601,0)*$G601,
((_xlfn.XLOOKUP($A601,'[1]DATOS PBI Artículos'!$A:$A,'[1]DATOS PBI Artículos'!$AL:$AL))/(_xlfn.XLOOKUP($AF$1,[1]CRITERIOS!$S$16:$S$39,[1]CRITERIOS!$Y$16:$Y$39))*$J601+$Z601)))</f>
        <v>#N/A</v>
      </c>
      <c r="AG601" s="39" t="e">
        <f>IF($R601="MTO","",
IF($H601=0,ROUNDUP(((_xlfn.XLOOKUP($A601,'[1]DATOS PBI Artículos'!$A:$A,'[1]DATOS PBI Artículos'!$AM:$AM))/(_xlfn.XLOOKUP($AH$1,[1]CRITERIOS!$S$16:$S$39,[1]CRITERIOS!$Y$16:$Y$39))*$J601+$Z601)/$G601,0)*$G601,
((_xlfn.XLOOKUP($A601,'[1]DATOS PBI Artículos'!$A:$A,'[1]DATOS PBI Artículos'!$AM:$AM))/(_xlfn.XLOOKUP($AH$1,[1]CRITERIOS!$S$16:$S$39,[1]CRITERIOS!$Y$16:$Y$39))*$J601+$Z601)))</f>
        <v>#N/A</v>
      </c>
      <c r="AI601" s="39" t="e">
        <f>IF($R601="MTO","",
IF($H601=0,ROUNDUP(((_xlfn.XLOOKUP($A601,'[1]DATOS PBI Artículos'!$A:$A,'[1]DATOS PBI Artículos'!$AN:$AN))/(_xlfn.XLOOKUP($AJ$1,[1]CRITERIOS!$S$16:$S$39,[1]CRITERIOS!$Y$16:$Y$39))*$J601+$Z601)/$G601,0)*$G601,
((_xlfn.XLOOKUP($A601,'[1]DATOS PBI Artículos'!$A:$A,'[1]DATOS PBI Artículos'!$AN:$AN))/(_xlfn.XLOOKUP($AJ$1,[1]CRITERIOS!$S$16:$S$39,[1]CRITERIOS!$Y$16:$Y$39))*$J601+$Z601)))</f>
        <v>#N/A</v>
      </c>
      <c r="AK601" s="39" t="e">
        <f>IF($R601="MTO","",
IF($H601=0,ROUNDUP(((_xlfn.XLOOKUP($A601,'[1]DATOS PBI Artículos'!$A:$A,'[1]DATOS PBI Artículos'!$AO:$AO))/(_xlfn.XLOOKUP($AL$1,[1]CRITERIOS!$S$16:$S$39,[1]CRITERIOS!$Y$16:$Y$39))*$J601+$Z601)/$G601,0)*$G601,
((_xlfn.XLOOKUP($A601,'[1]DATOS PBI Artículos'!$A:$A,'[1]DATOS PBI Artículos'!$AO:$AO))/(_xlfn.XLOOKUP($AL$1,[1]CRITERIOS!$S$16:$S$39,[1]CRITERIOS!$Y$16:$Y$39))*$J601+$Z601)))</f>
        <v>#N/A</v>
      </c>
    </row>
    <row r="602" spans="1:37" ht="25.8" hidden="1" x14ac:dyDescent="0.4">
      <c r="A602" s="41"/>
      <c r="B602" s="33">
        <f>_xlfn.XLOOKUP($A602,'[1]DATOS PBI Artículos'!A:A,'[1]DATOS PBI Artículos'!B:B)</f>
        <v>0</v>
      </c>
      <c r="C602" s="33">
        <f>_xlfn.XLOOKUP($A602,'[1]DATOS PBI Artículos'!A:A,'[1]DATOS PBI Artículos'!C:C)</f>
        <v>0</v>
      </c>
      <c r="D602" s="33">
        <f>_xlfn.XLOOKUP(A602,'[1]DATOS PBI Artículos'!A:A,'[1]DATOS PBI Artículos'!T:T)</f>
        <v>0</v>
      </c>
      <c r="E602" s="34">
        <f>IF(_xlfn.XLOOKUP($A602,'[1]DATOS PBI Artículos'!A:A,'[1]DATOS PBI Artículos'!AK:AK)="",_xlfn.XLOOKUP($A602,'[1]DATOS PBI Artículos'!A:A,'[1]DATOS PBI Artículos'!AJ:AJ),_xlfn.XLOOKUP($A602,'[1]DATOS PBI Artículos'!A:A,'[1]DATOS PBI Artículos'!AK:AK))</f>
        <v>0</v>
      </c>
      <c r="F602" s="35">
        <f>_xlfn.XLOOKUP($A602,'[1]DATOS PBI Artículos'!A:A,'[1]DATOS PBI Artículos'!AP:AP)</f>
        <v>0</v>
      </c>
      <c r="G602" s="34">
        <f>_xlfn.XLOOKUP($A602,'[1]DATOS PBI Artículos'!A:A,'[1]DATOS PBI Artículos'!AR:AR)</f>
        <v>0</v>
      </c>
      <c r="H602" s="34">
        <f>_xlfn.XLOOKUP($A602,'[1]DATOS PBI Artículos'!A:A,'[1]DATOS PBI Artículos'!AT:AT)</f>
        <v>0</v>
      </c>
      <c r="I602" s="34">
        <f>_xlfn.XLOOKUP($A602,'[1]DATOS PBI Artículos'!A:A,'[1]DATOS PBI Artículos'!AS:AS)</f>
        <v>0</v>
      </c>
      <c r="J602" s="35">
        <f>IF(COUNTIF([1]CRITERIOS!$F$179:$F$199,$A602)&gt;=1,
 IF(O602&lt;&gt;"",
    (O602/_xlfn.XLOOKUP(CONCATENATE(A602,L602),[1]MÁQUINAS!A:A,[1]MÁQUINAS!D:D))/24,
    (N602/_xlfn.XLOOKUP(CONCATENATE(A602,L602),[1]MÁQUINAS!A:A,[1]MÁQUINAS!D:D))/24),
  _xlfn.XLOOKUP($A602,'[1]DATOS PBI Artículos'!A:A,'[1]DATOS PBI Artículos'!AU:AU))</f>
        <v>0</v>
      </c>
      <c r="K602" s="36">
        <f>_xlfn.XLOOKUP($A602,'[1]DATOS PBI Artículos'!A:A,'[1]DATOS PBI Artículos'!AV:AV)</f>
        <v>0</v>
      </c>
      <c r="L602" s="33">
        <f>_xlfn.XLOOKUP(A602,[1]MÁQUINAS!B:B,[1]MÁQUINAS!C:C)</f>
        <v>0</v>
      </c>
      <c r="M602" s="34">
        <f t="array" ref="M602">_xlfn.XLOOKUP(A602,'[1]DATOS PBI Artículos'!A:A,'[1]DATOS PBI Artículos'!AX:$AX)</f>
        <v>0</v>
      </c>
      <c r="N602" s="37" t="e">
        <f>IF(I602="DV",
E602,
IF(COUNTIF([1]CRITERIOS!$I$179:$I$199,$A602)&gt;=1,
_xlfn.XLOOKUP($A602,[1]CRITERIOS!$I$179:$I$199,[1]CRITERIOS!$J$179:$J$199),
IF(COUNTIF([1]CRITERIOS!$L$179:$L$199,$A602)&gt;=1,
_xlfn.CEILING.MATH(IF($M602&gt;$E602,
$E602,
IF($M602&lt;$E602/ROUNDDOWN([1]CRITERIOS!$M$16/_xlfn.XLOOKUP($C602,[1]CRITERIOS!$K$25:$K$42,[1]CRITERIOS!$M$25:$M$42),
1),
E602/ROUNDDOWN([1]CRITERIOS!$M$16/_xlfn.XLOOKUP($C602,[1]CRITERIOS!$K$25:$K$42,[1]CRITERIOS!$M$25:$M$42),
1),
$M602)),
_xlfn.XLOOKUP($A602,[1]CRITERIOS!$L$179:$L$200,[1]CRITERIOS!$M$179:$M$200)),
_xlfn.CEILING.MATH(IF($M602&gt;$E602,
$E602,
IF($M602&lt;$E602/ROUNDDOWN([1]CRITERIOS!$M$16/_xlfn.XLOOKUP($C602,[1]CRITERIOS!$K$25:$K$42,[1]CRITERIOS!$M$25:$M$42),
1),
E602/ROUNDDOWN([1]CRITERIOS!$M$16/_xlfn.XLOOKUP($C602,[1]CRITERIOS!$K$25:$K$42,[1]CRITERIOS!$M$25:$M$42),
1),
$M602)),_xlfn.XLOOKUP(A602,'[1]DATOS PBI Artículos'!A:A,'[1]DATOS PBI Artículos'!Z:Z
)))))</f>
        <v>#N/A</v>
      </c>
      <c r="Q602" s="38" t="e">
        <f>IF(AND(O602="",N602=0),
0,
   IF(COUNTIF([1]CRITERIOS!$F$179:$F$199,$A602)&gt;=1,
   1,
   IF(R602="MTO",
      $D602,
      ROUNDUP(
                    IF(($E602-SUMIF('[1]DATOS PBI Artículos'!A:A,A602,'[1]DATOS PBI Artículos'!X:X)+($V602-_xlfn.XLOOKUP(A602,'[1]DATOS PBI Artículos'!A:A,'[1]DATOS PBI Artículos'!W:W)))&lt;0,
                    0,
                    IF(($E602-SUMIF('[1]DATOS PBI Artículos'!A:A,A602,'[1]DATOS PBI Artículos'!X:X)+$V602-_xlfn.XLOOKUP($A602,'[1]DATOS PBI Artículos'!A:A,'[1]DATOS PBI Artículos'!W:W))/IF($O602="",$N602,$O602)&gt;ROUNDUP([1]CRITERIOS!$M$16/(IF(COUNTIF([1]CRITERIOS!$BG$11:$BG$201,L602)&gt;=1,_xlfn.XLOOKUP($C602,[1]CRITERIOS!$K$25:$K$42,[1]CRITERIOS!$M$25:$M$42),_xlfn.XLOOKUP($C602,[1]CRITERIOS!$K$25:$K$42,[1]CRITERIOS!$M$25:$M$42))),0),
                    ROUNDUP([1]CRITERIOS!$M$16/(IF(COUNTIF([1]CRITERIOS!$BG$11:$BG$201,$L602)&gt;=1,_xlfn.XLOOKUP($C602,[1]CRITERIOS!$K$25:$K$42,[1]CRITERIOS!$M$25:$M$42),_xlfn.XLOOKUP($C602,[1]CRITERIOS!$K$25:$K$42,[1]CRITERIOS!$M$25:$M$42))),0),
                    (E602+V602-SUMIF('[1]DATOS PBI Artículos'!A:A,A602,'[1]DATOS PBI Artículos'!X:X)-_xlfn.XLOOKUP(A602,'[1]DATOS PBI Artículos'!A:A,'[1]DATOS PBI Artículos'!W:W))/IF($O602="",$N602,$O602))),0))))</f>
        <v>#N/A</v>
      </c>
      <c r="R602" s="33" t="e">
        <f>IF(U602&lt;&gt;"",U602,IF(F602="DV","MTO",IF(N602=0,"MTO",_xlfn.XLOOKUP(CONCATENATE(S602,T602),[1]CRITERIOS!$K$160:$K$168,[1]CRITERIOS!$N$160:$N$168))))</f>
        <v>#N/A</v>
      </c>
      <c r="S602" s="33" t="e">
        <f>IF(G602="DV","MTO",IF(N602=0,"MTO",IF(OR(AND(N602=0,O602=""),IF(O602="",G602/N602,G602/O602)&gt;[1]CRITERIOS!$G$163),"MTO",IF(IF(O602="",G602/N602,G602/O602)&lt;[1]CRITERIOS!$H$161,"MTS","MTOS"))))</f>
        <v>#N/A</v>
      </c>
      <c r="T602" s="33" t="e">
        <f>IF(F602="DV","MTO",IF(OR(AND($N602=0,O602=""),$F602/$J602&gt;[1]CRITERIOS!$G$170,$F602="DV"),"MTO",IF($F602/$J602&lt;[1]CRITERIOS!$H$168,"MTS","MTOS")))</f>
        <v>#N/A</v>
      </c>
      <c r="V602" s="34" t="e">
        <f t="shared" si="31"/>
        <v>#N/A</v>
      </c>
      <c r="X602" s="34" t="e">
        <f t="shared" si="29"/>
        <v>#N/A</v>
      </c>
      <c r="Y602" s="34" t="e">
        <f t="shared" si="30"/>
        <v>#N/A</v>
      </c>
      <c r="Z602" s="34" t="e">
        <f>IF($R602="MTO",
0,
($H602+$K602*($E602/[1]CRITERIOS!$M$16))/[1]CRITERIOS!$X$48)</f>
        <v>#N/A</v>
      </c>
      <c r="AA602" s="34" t="e">
        <f>ROUNDUP(($Y602/_xlfn.XLOOKUP($A602,'[1]DATOS PBI Artículos'!$A$4:$A$4,'[1]DATOS PBI Artículos'!$Z$4:$Z$4))/_xlfn.XLOOKUP(_xlfn.XLOOKUP($A602,'[1]DATOS PBI Artículos'!$A$4:$A$4,'[1]DATOS PBI Artículos'!$Y$4:$Y$4),[1]CRITERIOS!$P$79:$P$123,[1]CRITERIOS!$S$79:$S$123,),0)</f>
        <v>#N/A</v>
      </c>
      <c r="AB602" s="33" t="e">
        <f t="array" ref="AB602">IF((E602+V602-_xlfn.XLOOKUP(A602,'[1]DATOS PBI Artículos'!$A$4:$A$4,'[1]DATOS PBI Artículos'!$W$4:$W$4))/N602&gt;ROUNDUP([1]CRITERIOS!$M$16/(IF(COUNTIF([1]CRITERIOS!$BG$11:$BG$201,L602)&gt;=1,_xlfn.XLOOKUP(ARTÍCULOS!L602,[1]CRITERIOS!$BG$11:$BG$201,[1]CRITERIOS!$BJ$11:$BJ$201),_xlfn.XLOOKUP(ARTÍCULOS!C602,[1]CRITERIOS!$K$25:$K$42,[1]CRITERIOS!$M$25:$M$42))),0),ROUNDUP([1]CRITERIOS!$M$16/(IF(COUNTIF([1]CRITERIOS!$BG$11:$BG$201,L602)&gt;=1,_xlfn.XLOOKUP(ARTÍCULOS!L602,[1]CRITERIOS!$BG$11:$BG$201:#REF!,[1]CRITERIOS!$BJ$11:$BJ$201),_xlfn.XLOOKUP(ARTÍCULOS!C602,[1]CRITERIOS!$K$25:$K$42,[1]CRITERIOS!$M$25:$M$42))),0),(E602+V602-_xlfn.XLOOKUP(A602,'[1]DATOS PBI Artículos'!$A$4:$A$4,'[1]DATOS PBI Artículos'!$W$4:$W$4))/N602)</f>
        <v>#N/A</v>
      </c>
      <c r="AC602" s="33" t="e">
        <f>IF(N602=0,"",(ROUNDUP((N602/2)/(_xlfn.XLOOKUP(A602,'[1]DATOS PBI Artículos'!$A$4:$A$4,'[1]DATOS PBI Artículos'!$Z$4:$Z$4)*_xlfn.XLOOKUP(_xlfn.XLOOKUP(A602,'[1]DATOS PBI Artículos'!$A$4:$A$4,'[1]DATOS PBI Artículos'!$Y$4:$Y$4),[1]CRITERIOS!$P$79:$P$123,[1]CRITERIOS!$S$79:$S$123)),0)*[1]CRITERIOS!$M$80*([1]CRITERIOS!$M$110/[1]CRITERIOS!$M$86)+(_xlfn.XLOOKUP(A602,'[1]DATOS PBI Artículos'!$A$4:$A$4,'[1]DATOS PBI Artículos'!$AA$4:$AA$4)*([1]CRITERIOS!$M$95+[1]CRITERIOS!$M$98)))/N602)</f>
        <v>#N/A</v>
      </c>
      <c r="AD602" s="33" t="e">
        <f>IF(N602=0,"",(ROUNDUP((N602/2)/(_xlfn.XLOOKUP(A602,'[1]DATOS PBI Artículos'!$A$4:$A$4,'[1]DATOS PBI Artículos'!$Z$4:$Z$4)*_xlfn.XLOOKUP(_xlfn.XLOOKUP(A602,'[1]DATOS PBI Artículos'!$A$4:$A$4,'[1]DATOS PBI Artículos'!$Y$4:$Y$4),[1]CRITERIOS!$P$79:$P$123,[1]CRITERIOS!$S$79:$S$123)),0)*[1]CRITERIOS!$M$80*([1]CRITERIOS!$M$89*[1]CRITERIOS!$M$92)+((_xlfn.XLOOKUP(A602,'[1]DATOS PBI Artículos'!$A$4:$A$4,'[1]DATOS PBI Artículos'!$AA$4:$AA$4)/2)*([1]CRITERIOS!$M$95+[1]CRITERIOS!$M$98)))/N602)</f>
        <v>#N/A</v>
      </c>
      <c r="AE602" s="39" t="e">
        <f>IF($R602="MTO","",
IF($H602=0,ROUNDUP(((_xlfn.XLOOKUP($A602,'[1]DATOS PBI Artículos'!$A:$A,'[1]DATOS PBI Artículos'!$AL:$AL))/(_xlfn.XLOOKUP($AF$1,[1]CRITERIOS!$S$16:$S$39,[1]CRITERIOS!$Y$16:$Y$39))*$J602+$Z602)/$G602,0)*$G602,
((_xlfn.XLOOKUP($A602,'[1]DATOS PBI Artículos'!$A:$A,'[1]DATOS PBI Artículos'!$AL:$AL))/(_xlfn.XLOOKUP($AF$1,[1]CRITERIOS!$S$16:$S$39,[1]CRITERIOS!$Y$16:$Y$39))*$J602+$Z602)))</f>
        <v>#N/A</v>
      </c>
      <c r="AG602" s="39" t="e">
        <f>IF($R602="MTO","",
IF($H602=0,ROUNDUP(((_xlfn.XLOOKUP($A602,'[1]DATOS PBI Artículos'!$A:$A,'[1]DATOS PBI Artículos'!$AM:$AM))/(_xlfn.XLOOKUP($AH$1,[1]CRITERIOS!$S$16:$S$39,[1]CRITERIOS!$Y$16:$Y$39))*$J602+$Z602)/$G602,0)*$G602,
((_xlfn.XLOOKUP($A602,'[1]DATOS PBI Artículos'!$A:$A,'[1]DATOS PBI Artículos'!$AM:$AM))/(_xlfn.XLOOKUP($AH$1,[1]CRITERIOS!$S$16:$S$39,[1]CRITERIOS!$Y$16:$Y$39))*$J602+$Z602)))</f>
        <v>#N/A</v>
      </c>
      <c r="AI602" s="39" t="e">
        <f>IF($R602="MTO","",
IF($H602=0,ROUNDUP(((_xlfn.XLOOKUP($A602,'[1]DATOS PBI Artículos'!$A:$A,'[1]DATOS PBI Artículos'!$AN:$AN))/(_xlfn.XLOOKUP($AJ$1,[1]CRITERIOS!$S$16:$S$39,[1]CRITERIOS!$Y$16:$Y$39))*$J602+$Z602)/$G602,0)*$G602,
((_xlfn.XLOOKUP($A602,'[1]DATOS PBI Artículos'!$A:$A,'[1]DATOS PBI Artículos'!$AN:$AN))/(_xlfn.XLOOKUP($AJ$1,[1]CRITERIOS!$S$16:$S$39,[1]CRITERIOS!$Y$16:$Y$39))*$J602+$Z602)))</f>
        <v>#N/A</v>
      </c>
      <c r="AK602" s="39" t="e">
        <f>IF($R602="MTO","",
IF($H602=0,ROUNDUP(((_xlfn.XLOOKUP($A602,'[1]DATOS PBI Artículos'!$A:$A,'[1]DATOS PBI Artículos'!$AO:$AO))/(_xlfn.XLOOKUP($AL$1,[1]CRITERIOS!$S$16:$S$39,[1]CRITERIOS!$Y$16:$Y$39))*$J602+$Z602)/$G602,0)*$G602,
((_xlfn.XLOOKUP($A602,'[1]DATOS PBI Artículos'!$A:$A,'[1]DATOS PBI Artículos'!$AO:$AO))/(_xlfn.XLOOKUP($AL$1,[1]CRITERIOS!$S$16:$S$39,[1]CRITERIOS!$Y$16:$Y$39))*$J602+$Z602)))</f>
        <v>#N/A</v>
      </c>
    </row>
    <row r="603" spans="1:37" ht="25.8" hidden="1" x14ac:dyDescent="0.4">
      <c r="A603" s="41"/>
      <c r="B603" s="33">
        <f>_xlfn.XLOOKUP($A603,'[1]DATOS PBI Artículos'!A:A,'[1]DATOS PBI Artículos'!B:B)</f>
        <v>0</v>
      </c>
      <c r="C603" s="33">
        <f>_xlfn.XLOOKUP($A603,'[1]DATOS PBI Artículos'!A:A,'[1]DATOS PBI Artículos'!C:C)</f>
        <v>0</v>
      </c>
      <c r="D603" s="33">
        <f>_xlfn.XLOOKUP(A603,'[1]DATOS PBI Artículos'!A:A,'[1]DATOS PBI Artículos'!T:T)</f>
        <v>0</v>
      </c>
      <c r="E603" s="34">
        <f>IF(_xlfn.XLOOKUP($A603,'[1]DATOS PBI Artículos'!A:A,'[1]DATOS PBI Artículos'!AK:AK)="",_xlfn.XLOOKUP($A603,'[1]DATOS PBI Artículos'!A:A,'[1]DATOS PBI Artículos'!AJ:AJ),_xlfn.XLOOKUP($A603,'[1]DATOS PBI Artículos'!A:A,'[1]DATOS PBI Artículos'!AK:AK))</f>
        <v>0</v>
      </c>
      <c r="F603" s="35">
        <f>_xlfn.XLOOKUP($A603,'[1]DATOS PBI Artículos'!A:A,'[1]DATOS PBI Artículos'!AP:AP)</f>
        <v>0</v>
      </c>
      <c r="G603" s="34">
        <f>_xlfn.XLOOKUP($A603,'[1]DATOS PBI Artículos'!A:A,'[1]DATOS PBI Artículos'!AR:AR)</f>
        <v>0</v>
      </c>
      <c r="H603" s="34">
        <f>_xlfn.XLOOKUP($A603,'[1]DATOS PBI Artículos'!A:A,'[1]DATOS PBI Artículos'!AT:AT)</f>
        <v>0</v>
      </c>
      <c r="I603" s="34">
        <f>_xlfn.XLOOKUP($A603,'[1]DATOS PBI Artículos'!A:A,'[1]DATOS PBI Artículos'!AS:AS)</f>
        <v>0</v>
      </c>
      <c r="J603" s="35">
        <f>IF(COUNTIF([1]CRITERIOS!$F$179:$F$199,$A603)&gt;=1,
 IF(O603&lt;&gt;"",
    (O603/_xlfn.XLOOKUP(CONCATENATE(A603,L603),[1]MÁQUINAS!A:A,[1]MÁQUINAS!D:D))/24,
    (N603/_xlfn.XLOOKUP(CONCATENATE(A603,L603),[1]MÁQUINAS!A:A,[1]MÁQUINAS!D:D))/24),
  _xlfn.XLOOKUP($A603,'[1]DATOS PBI Artículos'!A:A,'[1]DATOS PBI Artículos'!AU:AU))</f>
        <v>0</v>
      </c>
      <c r="K603" s="36">
        <f>_xlfn.XLOOKUP($A603,'[1]DATOS PBI Artículos'!A:A,'[1]DATOS PBI Artículos'!AV:AV)</f>
        <v>0</v>
      </c>
      <c r="L603" s="33">
        <f>_xlfn.XLOOKUP(A603,[1]MÁQUINAS!B:B,[1]MÁQUINAS!C:C)</f>
        <v>0</v>
      </c>
      <c r="M603" s="34">
        <f t="array" ref="M603">_xlfn.XLOOKUP(A603,'[1]DATOS PBI Artículos'!A:A,'[1]DATOS PBI Artículos'!AX:$AX)</f>
        <v>0</v>
      </c>
      <c r="N603" s="37" t="e">
        <f>IF(I603="DV",
E603,
IF(COUNTIF([1]CRITERIOS!$I$179:$I$199,$A603)&gt;=1,
_xlfn.XLOOKUP($A603,[1]CRITERIOS!$I$179:$I$199,[1]CRITERIOS!$J$179:$J$199),
IF(COUNTIF([1]CRITERIOS!$L$179:$L$199,$A603)&gt;=1,
_xlfn.CEILING.MATH(IF($M603&gt;$E603,
$E603,
IF($M603&lt;$E603/ROUNDDOWN([1]CRITERIOS!$M$16/_xlfn.XLOOKUP($C603,[1]CRITERIOS!$K$25:$K$42,[1]CRITERIOS!$M$25:$M$42),
1),
E603/ROUNDDOWN([1]CRITERIOS!$M$16/_xlfn.XLOOKUP($C603,[1]CRITERIOS!$K$25:$K$42,[1]CRITERIOS!$M$25:$M$42),
1),
$M603)),
_xlfn.XLOOKUP($A603,[1]CRITERIOS!$L$179:$L$200,[1]CRITERIOS!$M$179:$M$200)),
_xlfn.CEILING.MATH(IF($M603&gt;$E603,
$E603,
IF($M603&lt;$E603/ROUNDDOWN([1]CRITERIOS!$M$16/_xlfn.XLOOKUP($C603,[1]CRITERIOS!$K$25:$K$42,[1]CRITERIOS!$M$25:$M$42),
1),
E603/ROUNDDOWN([1]CRITERIOS!$M$16/_xlfn.XLOOKUP($C603,[1]CRITERIOS!$K$25:$K$42,[1]CRITERIOS!$M$25:$M$42),
1),
$M603)),_xlfn.XLOOKUP(A603,'[1]DATOS PBI Artículos'!A:A,'[1]DATOS PBI Artículos'!Z:Z
)))))</f>
        <v>#N/A</v>
      </c>
      <c r="Q603" s="38" t="e">
        <f>IF(AND(O603="",N603=0),
0,
   IF(COUNTIF([1]CRITERIOS!$F$179:$F$199,$A603)&gt;=1,
   1,
   IF(R603="MTO",
      $D603,
      ROUNDUP(
                    IF(($E603-SUMIF('[1]DATOS PBI Artículos'!A:A,A603,'[1]DATOS PBI Artículos'!X:X)+($V603-_xlfn.XLOOKUP(A603,'[1]DATOS PBI Artículos'!A:A,'[1]DATOS PBI Artículos'!W:W)))&lt;0,
                    0,
                    IF(($E603-SUMIF('[1]DATOS PBI Artículos'!A:A,A603,'[1]DATOS PBI Artículos'!X:X)+$V603-_xlfn.XLOOKUP($A603,'[1]DATOS PBI Artículos'!A:A,'[1]DATOS PBI Artículos'!W:W))/IF($O603="",$N603,$O603)&gt;ROUNDUP([1]CRITERIOS!$M$16/(IF(COUNTIF([1]CRITERIOS!$BG$11:$BG$201,L603)&gt;=1,_xlfn.XLOOKUP($C603,[1]CRITERIOS!$K$25:$K$42,[1]CRITERIOS!$M$25:$M$42),_xlfn.XLOOKUP($C603,[1]CRITERIOS!$K$25:$K$42,[1]CRITERIOS!$M$25:$M$42))),0),
                    ROUNDUP([1]CRITERIOS!$M$16/(IF(COUNTIF([1]CRITERIOS!$BG$11:$BG$201,$L603)&gt;=1,_xlfn.XLOOKUP($C603,[1]CRITERIOS!$K$25:$K$42,[1]CRITERIOS!$M$25:$M$42),_xlfn.XLOOKUP($C603,[1]CRITERIOS!$K$25:$K$42,[1]CRITERIOS!$M$25:$M$42))),0),
                    (E603+V603-SUMIF('[1]DATOS PBI Artículos'!A:A,A603,'[1]DATOS PBI Artículos'!X:X)-_xlfn.XLOOKUP(A603,'[1]DATOS PBI Artículos'!A:A,'[1]DATOS PBI Artículos'!W:W))/IF($O603="",$N603,$O603))),0))))</f>
        <v>#N/A</v>
      </c>
      <c r="R603" s="33" t="e">
        <f>IF(U603&lt;&gt;"",U603,IF(F603="DV","MTO",IF(N603=0,"MTO",_xlfn.XLOOKUP(CONCATENATE(S603,T603),[1]CRITERIOS!$K$160:$K$168,[1]CRITERIOS!$N$160:$N$168))))</f>
        <v>#N/A</v>
      </c>
      <c r="S603" s="33" t="e">
        <f>IF(G603="DV","MTO",IF(N603=0,"MTO",IF(OR(AND(N603=0,O603=""),IF(O603="",G603/N603,G603/O603)&gt;[1]CRITERIOS!$G$163),"MTO",IF(IF(O603="",G603/N603,G603/O603)&lt;[1]CRITERIOS!$H$161,"MTS","MTOS"))))</f>
        <v>#N/A</v>
      </c>
      <c r="T603" s="33" t="e">
        <f>IF(F603="DV","MTO",IF(OR(AND($N603=0,O603=""),$F603/$J603&gt;[1]CRITERIOS!$G$170,$F603="DV"),"MTO",IF($F603/$J603&lt;[1]CRITERIOS!$H$168,"MTS","MTOS")))</f>
        <v>#N/A</v>
      </c>
      <c r="V603" s="34" t="e">
        <f t="shared" si="31"/>
        <v>#N/A</v>
      </c>
      <c r="X603" s="34" t="e">
        <f t="shared" si="29"/>
        <v>#N/A</v>
      </c>
      <c r="Y603" s="34" t="e">
        <f t="shared" si="30"/>
        <v>#N/A</v>
      </c>
      <c r="Z603" s="34" t="e">
        <f>IF($R603="MTO",
0,
($H603+$K603*($E603/[1]CRITERIOS!$M$16))/[1]CRITERIOS!$X$48)</f>
        <v>#N/A</v>
      </c>
      <c r="AA603" s="34" t="e">
        <f>ROUNDUP(($Y603/_xlfn.XLOOKUP($A603,'[1]DATOS PBI Artículos'!$A$4:$A$4,'[1]DATOS PBI Artículos'!$Z$4:$Z$4))/_xlfn.XLOOKUP(_xlfn.XLOOKUP($A603,'[1]DATOS PBI Artículos'!$A$4:$A$4,'[1]DATOS PBI Artículos'!$Y$4:$Y$4),[1]CRITERIOS!$P$79:$P$123,[1]CRITERIOS!$S$79:$S$123,),0)</f>
        <v>#N/A</v>
      </c>
      <c r="AB603" s="33" t="e">
        <f t="array" ref="AB603">IF((E603+V603-_xlfn.XLOOKUP(A603,'[1]DATOS PBI Artículos'!$A$4:$A$4,'[1]DATOS PBI Artículos'!$W$4:$W$4))/N603&gt;ROUNDUP([1]CRITERIOS!$M$16/(IF(COUNTIF([1]CRITERIOS!$BG$11:$BG$201,L603)&gt;=1,_xlfn.XLOOKUP(ARTÍCULOS!L603,[1]CRITERIOS!$BG$11:$BG$201,[1]CRITERIOS!$BJ$11:$BJ$201),_xlfn.XLOOKUP(ARTÍCULOS!C603,[1]CRITERIOS!$K$25:$K$42,[1]CRITERIOS!$M$25:$M$42))),0),ROUNDUP([1]CRITERIOS!$M$16/(IF(COUNTIF([1]CRITERIOS!$BG$11:$BG$201,L603)&gt;=1,_xlfn.XLOOKUP(ARTÍCULOS!L603,[1]CRITERIOS!$BG$11:$BG$201:#REF!,[1]CRITERIOS!$BJ$11:$BJ$201),_xlfn.XLOOKUP(ARTÍCULOS!C603,[1]CRITERIOS!$K$25:$K$42,[1]CRITERIOS!$M$25:$M$42))),0),(E603+V603-_xlfn.XLOOKUP(A603,'[1]DATOS PBI Artículos'!$A$4:$A$4,'[1]DATOS PBI Artículos'!$W$4:$W$4))/N603)</f>
        <v>#N/A</v>
      </c>
      <c r="AC603" s="33" t="e">
        <f>IF(N603=0,"",(ROUNDUP((N603/2)/(_xlfn.XLOOKUP(A603,'[1]DATOS PBI Artículos'!$A$4:$A$4,'[1]DATOS PBI Artículos'!$Z$4:$Z$4)*_xlfn.XLOOKUP(_xlfn.XLOOKUP(A603,'[1]DATOS PBI Artículos'!$A$4:$A$4,'[1]DATOS PBI Artículos'!$Y$4:$Y$4),[1]CRITERIOS!$P$79:$P$123,[1]CRITERIOS!$S$79:$S$123)),0)*[1]CRITERIOS!$M$80*([1]CRITERIOS!$M$110/[1]CRITERIOS!$M$86)+(_xlfn.XLOOKUP(A603,'[1]DATOS PBI Artículos'!$A$4:$A$4,'[1]DATOS PBI Artículos'!$AA$4:$AA$4)*([1]CRITERIOS!$M$95+[1]CRITERIOS!$M$98)))/N603)</f>
        <v>#N/A</v>
      </c>
      <c r="AD603" s="33" t="e">
        <f>IF(N603=0,"",(ROUNDUP((N603/2)/(_xlfn.XLOOKUP(A603,'[1]DATOS PBI Artículos'!$A$4:$A$4,'[1]DATOS PBI Artículos'!$Z$4:$Z$4)*_xlfn.XLOOKUP(_xlfn.XLOOKUP(A603,'[1]DATOS PBI Artículos'!$A$4:$A$4,'[1]DATOS PBI Artículos'!$Y$4:$Y$4),[1]CRITERIOS!$P$79:$P$123,[1]CRITERIOS!$S$79:$S$123)),0)*[1]CRITERIOS!$M$80*([1]CRITERIOS!$M$89*[1]CRITERIOS!$M$92)+((_xlfn.XLOOKUP(A603,'[1]DATOS PBI Artículos'!$A$4:$A$4,'[1]DATOS PBI Artículos'!$AA$4:$AA$4)/2)*([1]CRITERIOS!$M$95+[1]CRITERIOS!$M$98)))/N603)</f>
        <v>#N/A</v>
      </c>
      <c r="AE603" s="39" t="e">
        <f>IF($R603="MTO","",
IF($H603=0,ROUNDUP(((_xlfn.XLOOKUP($A603,'[1]DATOS PBI Artículos'!$A:$A,'[1]DATOS PBI Artículos'!$AL:$AL))/(_xlfn.XLOOKUP($AF$1,[1]CRITERIOS!$S$16:$S$39,[1]CRITERIOS!$Y$16:$Y$39))*$J603+$Z603)/$G603,0)*$G603,
((_xlfn.XLOOKUP($A603,'[1]DATOS PBI Artículos'!$A:$A,'[1]DATOS PBI Artículos'!$AL:$AL))/(_xlfn.XLOOKUP($AF$1,[1]CRITERIOS!$S$16:$S$39,[1]CRITERIOS!$Y$16:$Y$39))*$J603+$Z603)))</f>
        <v>#N/A</v>
      </c>
      <c r="AG603" s="39" t="e">
        <f>IF($R603="MTO","",
IF($H603=0,ROUNDUP(((_xlfn.XLOOKUP($A603,'[1]DATOS PBI Artículos'!$A:$A,'[1]DATOS PBI Artículos'!$AM:$AM))/(_xlfn.XLOOKUP($AH$1,[1]CRITERIOS!$S$16:$S$39,[1]CRITERIOS!$Y$16:$Y$39))*$J603+$Z603)/$G603,0)*$G603,
((_xlfn.XLOOKUP($A603,'[1]DATOS PBI Artículos'!$A:$A,'[1]DATOS PBI Artículos'!$AM:$AM))/(_xlfn.XLOOKUP($AH$1,[1]CRITERIOS!$S$16:$S$39,[1]CRITERIOS!$Y$16:$Y$39))*$J603+$Z603)))</f>
        <v>#N/A</v>
      </c>
      <c r="AI603" s="39" t="e">
        <f>IF($R603="MTO","",
IF($H603=0,ROUNDUP(((_xlfn.XLOOKUP($A603,'[1]DATOS PBI Artículos'!$A:$A,'[1]DATOS PBI Artículos'!$AN:$AN))/(_xlfn.XLOOKUP($AJ$1,[1]CRITERIOS!$S$16:$S$39,[1]CRITERIOS!$Y$16:$Y$39))*$J603+$Z603)/$G603,0)*$G603,
((_xlfn.XLOOKUP($A603,'[1]DATOS PBI Artículos'!$A:$A,'[1]DATOS PBI Artículos'!$AN:$AN))/(_xlfn.XLOOKUP($AJ$1,[1]CRITERIOS!$S$16:$S$39,[1]CRITERIOS!$Y$16:$Y$39))*$J603+$Z603)))</f>
        <v>#N/A</v>
      </c>
      <c r="AK603" s="39" t="e">
        <f>IF($R603="MTO","",
IF($H603=0,ROUNDUP(((_xlfn.XLOOKUP($A603,'[1]DATOS PBI Artículos'!$A:$A,'[1]DATOS PBI Artículos'!$AO:$AO))/(_xlfn.XLOOKUP($AL$1,[1]CRITERIOS!$S$16:$S$39,[1]CRITERIOS!$Y$16:$Y$39))*$J603+$Z603)/$G603,0)*$G603,
((_xlfn.XLOOKUP($A603,'[1]DATOS PBI Artículos'!$A:$A,'[1]DATOS PBI Artículos'!$AO:$AO))/(_xlfn.XLOOKUP($AL$1,[1]CRITERIOS!$S$16:$S$39,[1]CRITERIOS!$Y$16:$Y$39))*$J603+$Z603)))</f>
        <v>#N/A</v>
      </c>
    </row>
    <row r="604" spans="1:37" ht="25.8" hidden="1" x14ac:dyDescent="0.4">
      <c r="A604" s="41"/>
      <c r="B604" s="33">
        <f>_xlfn.XLOOKUP($A604,'[1]DATOS PBI Artículos'!A:A,'[1]DATOS PBI Artículos'!B:B)</f>
        <v>0</v>
      </c>
      <c r="C604" s="33">
        <f>_xlfn.XLOOKUP($A604,'[1]DATOS PBI Artículos'!A:A,'[1]DATOS PBI Artículos'!C:C)</f>
        <v>0</v>
      </c>
      <c r="D604" s="33">
        <f>_xlfn.XLOOKUP(A604,'[1]DATOS PBI Artículos'!A:A,'[1]DATOS PBI Artículos'!T:T)</f>
        <v>0</v>
      </c>
      <c r="E604" s="34">
        <f>IF(_xlfn.XLOOKUP($A604,'[1]DATOS PBI Artículos'!A:A,'[1]DATOS PBI Artículos'!AK:AK)="",_xlfn.XLOOKUP($A604,'[1]DATOS PBI Artículos'!A:A,'[1]DATOS PBI Artículos'!AJ:AJ),_xlfn.XLOOKUP($A604,'[1]DATOS PBI Artículos'!A:A,'[1]DATOS PBI Artículos'!AK:AK))</f>
        <v>0</v>
      </c>
      <c r="F604" s="35">
        <f>_xlfn.XLOOKUP($A604,'[1]DATOS PBI Artículos'!A:A,'[1]DATOS PBI Artículos'!AP:AP)</f>
        <v>0</v>
      </c>
      <c r="G604" s="34">
        <f>_xlfn.XLOOKUP($A604,'[1]DATOS PBI Artículos'!A:A,'[1]DATOS PBI Artículos'!AR:AR)</f>
        <v>0</v>
      </c>
      <c r="H604" s="34">
        <f>_xlfn.XLOOKUP($A604,'[1]DATOS PBI Artículos'!A:A,'[1]DATOS PBI Artículos'!AT:AT)</f>
        <v>0</v>
      </c>
      <c r="I604" s="34">
        <f>_xlfn.XLOOKUP($A604,'[1]DATOS PBI Artículos'!A:A,'[1]DATOS PBI Artículos'!AS:AS)</f>
        <v>0</v>
      </c>
      <c r="J604" s="35">
        <f>IF(COUNTIF([1]CRITERIOS!$F$179:$F$199,$A604)&gt;=1,
 IF(O604&lt;&gt;"",
    (O604/_xlfn.XLOOKUP(CONCATENATE(A604,L604),[1]MÁQUINAS!A:A,[1]MÁQUINAS!D:D))/24,
    (N604/_xlfn.XLOOKUP(CONCATENATE(A604,L604),[1]MÁQUINAS!A:A,[1]MÁQUINAS!D:D))/24),
  _xlfn.XLOOKUP($A604,'[1]DATOS PBI Artículos'!A:A,'[1]DATOS PBI Artículos'!AU:AU))</f>
        <v>0</v>
      </c>
      <c r="K604" s="36">
        <f>_xlfn.XLOOKUP($A604,'[1]DATOS PBI Artículos'!A:A,'[1]DATOS PBI Artículos'!AV:AV)</f>
        <v>0</v>
      </c>
      <c r="L604" s="33">
        <f>_xlfn.XLOOKUP(A604,[1]MÁQUINAS!B:B,[1]MÁQUINAS!C:C)</f>
        <v>0</v>
      </c>
      <c r="M604" s="34">
        <f t="array" ref="M604">_xlfn.XLOOKUP(A604,'[1]DATOS PBI Artículos'!A:A,'[1]DATOS PBI Artículos'!AX:$AX)</f>
        <v>0</v>
      </c>
      <c r="N604" s="37" t="e">
        <f>IF(I604="DV",
E604,
IF(COUNTIF([1]CRITERIOS!$I$179:$I$199,$A604)&gt;=1,
_xlfn.XLOOKUP($A604,[1]CRITERIOS!$I$179:$I$199,[1]CRITERIOS!$J$179:$J$199),
IF(COUNTIF([1]CRITERIOS!$L$179:$L$199,$A604)&gt;=1,
_xlfn.CEILING.MATH(IF($M604&gt;$E604,
$E604,
IF($M604&lt;$E604/ROUNDDOWN([1]CRITERIOS!$M$16/_xlfn.XLOOKUP($C604,[1]CRITERIOS!$K$25:$K$42,[1]CRITERIOS!$M$25:$M$42),
1),
E604/ROUNDDOWN([1]CRITERIOS!$M$16/_xlfn.XLOOKUP($C604,[1]CRITERIOS!$K$25:$K$42,[1]CRITERIOS!$M$25:$M$42),
1),
$M604)),
_xlfn.XLOOKUP($A604,[1]CRITERIOS!$L$179:$L$200,[1]CRITERIOS!$M$179:$M$200)),
_xlfn.CEILING.MATH(IF($M604&gt;$E604,
$E604,
IF($M604&lt;$E604/ROUNDDOWN([1]CRITERIOS!$M$16/_xlfn.XLOOKUP($C604,[1]CRITERIOS!$K$25:$K$42,[1]CRITERIOS!$M$25:$M$42),
1),
E604/ROUNDDOWN([1]CRITERIOS!$M$16/_xlfn.XLOOKUP($C604,[1]CRITERIOS!$K$25:$K$42,[1]CRITERIOS!$M$25:$M$42),
1),
$M604)),_xlfn.XLOOKUP(A604,'[1]DATOS PBI Artículos'!A:A,'[1]DATOS PBI Artículos'!Z:Z
)))))</f>
        <v>#N/A</v>
      </c>
      <c r="Q604" s="38" t="e">
        <f>IF(AND(O604="",N604=0),
0,
   IF(COUNTIF([1]CRITERIOS!$F$179:$F$199,$A604)&gt;=1,
   1,
   IF(R604="MTO",
      $D604,
      ROUNDUP(
                    IF(($E604-SUMIF('[1]DATOS PBI Artículos'!A:A,A604,'[1]DATOS PBI Artículos'!X:X)+($V604-_xlfn.XLOOKUP(A604,'[1]DATOS PBI Artículos'!A:A,'[1]DATOS PBI Artículos'!W:W)))&lt;0,
                    0,
                    IF(($E604-SUMIF('[1]DATOS PBI Artículos'!A:A,A604,'[1]DATOS PBI Artículos'!X:X)+$V604-_xlfn.XLOOKUP($A604,'[1]DATOS PBI Artículos'!A:A,'[1]DATOS PBI Artículos'!W:W))/IF($O604="",$N604,$O604)&gt;ROUNDUP([1]CRITERIOS!$M$16/(IF(COUNTIF([1]CRITERIOS!$BG$11:$BG$201,L604)&gt;=1,_xlfn.XLOOKUP($C604,[1]CRITERIOS!$K$25:$K$42,[1]CRITERIOS!$M$25:$M$42),_xlfn.XLOOKUP($C604,[1]CRITERIOS!$K$25:$K$42,[1]CRITERIOS!$M$25:$M$42))),0),
                    ROUNDUP([1]CRITERIOS!$M$16/(IF(COUNTIF([1]CRITERIOS!$BG$11:$BG$201,$L604)&gt;=1,_xlfn.XLOOKUP($C604,[1]CRITERIOS!$K$25:$K$42,[1]CRITERIOS!$M$25:$M$42),_xlfn.XLOOKUP($C604,[1]CRITERIOS!$K$25:$K$42,[1]CRITERIOS!$M$25:$M$42))),0),
                    (E604+V604-SUMIF('[1]DATOS PBI Artículos'!A:A,A604,'[1]DATOS PBI Artículos'!X:X)-_xlfn.XLOOKUP(A604,'[1]DATOS PBI Artículos'!A:A,'[1]DATOS PBI Artículos'!W:W))/IF($O604="",$N604,$O604))),0))))</f>
        <v>#N/A</v>
      </c>
      <c r="R604" s="33" t="e">
        <f>IF(U604&lt;&gt;"",U604,IF(F604="DV","MTO",IF(N604=0,"MTO",_xlfn.XLOOKUP(CONCATENATE(S604,T604),[1]CRITERIOS!$K$160:$K$168,[1]CRITERIOS!$N$160:$N$168))))</f>
        <v>#N/A</v>
      </c>
      <c r="S604" s="33" t="e">
        <f>IF(G604="DV","MTO",IF(N604=0,"MTO",IF(OR(AND(N604=0,O604=""),IF(O604="",G604/N604,G604/O604)&gt;[1]CRITERIOS!$G$163),"MTO",IF(IF(O604="",G604/N604,G604/O604)&lt;[1]CRITERIOS!$H$161,"MTS","MTOS"))))</f>
        <v>#N/A</v>
      </c>
      <c r="T604" s="33" t="e">
        <f>IF(F604="DV","MTO",IF(OR(AND($N604=0,O604=""),$F604/$J604&gt;[1]CRITERIOS!$G$170,$F604="DV"),"MTO",IF($F604/$J604&lt;[1]CRITERIOS!$H$168,"MTS","MTOS")))</f>
        <v>#N/A</v>
      </c>
      <c r="V604" s="34" t="e">
        <f t="shared" si="31"/>
        <v>#N/A</v>
      </c>
      <c r="X604" s="34" t="e">
        <f t="shared" si="29"/>
        <v>#N/A</v>
      </c>
      <c r="Y604" s="34" t="e">
        <f t="shared" si="30"/>
        <v>#N/A</v>
      </c>
      <c r="Z604" s="34" t="e">
        <f>IF($R604="MTO",
0,
($H604+$K604*($E604/[1]CRITERIOS!$M$16))/[1]CRITERIOS!$X$48)</f>
        <v>#N/A</v>
      </c>
      <c r="AA604" s="34" t="e">
        <f>ROUNDUP(($Y604/_xlfn.XLOOKUP($A604,'[1]DATOS PBI Artículos'!$A$4:$A$4,'[1]DATOS PBI Artículos'!$Z$4:$Z$4))/_xlfn.XLOOKUP(_xlfn.XLOOKUP($A604,'[1]DATOS PBI Artículos'!$A$4:$A$4,'[1]DATOS PBI Artículos'!$Y$4:$Y$4),[1]CRITERIOS!$P$79:$P$123,[1]CRITERIOS!$S$79:$S$123,),0)</f>
        <v>#N/A</v>
      </c>
      <c r="AB604" s="33" t="e">
        <f t="array" ref="AB604">IF((E604+V604-_xlfn.XLOOKUP(A604,'[1]DATOS PBI Artículos'!$A$4:$A$4,'[1]DATOS PBI Artículos'!$W$4:$W$4))/N604&gt;ROUNDUP([1]CRITERIOS!$M$16/(IF(COUNTIF([1]CRITERIOS!$BG$11:$BG$201,L604)&gt;=1,_xlfn.XLOOKUP(ARTÍCULOS!L604,[1]CRITERIOS!$BG$11:$BG$201,[1]CRITERIOS!$BJ$11:$BJ$201),_xlfn.XLOOKUP(ARTÍCULOS!C604,[1]CRITERIOS!$K$25:$K$42,[1]CRITERIOS!$M$25:$M$42))),0),ROUNDUP([1]CRITERIOS!$M$16/(IF(COUNTIF([1]CRITERIOS!$BG$11:$BG$201,L604)&gt;=1,_xlfn.XLOOKUP(ARTÍCULOS!L604,[1]CRITERIOS!$BG$11:$BG$201:#REF!,[1]CRITERIOS!$BJ$11:$BJ$201),_xlfn.XLOOKUP(ARTÍCULOS!C604,[1]CRITERIOS!$K$25:$K$42,[1]CRITERIOS!$M$25:$M$42))),0),(E604+V604-_xlfn.XLOOKUP(A604,'[1]DATOS PBI Artículos'!$A$4:$A$4,'[1]DATOS PBI Artículos'!$W$4:$W$4))/N604)</f>
        <v>#N/A</v>
      </c>
      <c r="AC604" s="33" t="e">
        <f>IF(N604=0,"",(ROUNDUP((N604/2)/(_xlfn.XLOOKUP(A604,'[1]DATOS PBI Artículos'!$A$4:$A$4,'[1]DATOS PBI Artículos'!$Z$4:$Z$4)*_xlfn.XLOOKUP(_xlfn.XLOOKUP(A604,'[1]DATOS PBI Artículos'!$A$4:$A$4,'[1]DATOS PBI Artículos'!$Y$4:$Y$4),[1]CRITERIOS!$P$79:$P$123,[1]CRITERIOS!$S$79:$S$123)),0)*[1]CRITERIOS!$M$80*([1]CRITERIOS!$M$110/[1]CRITERIOS!$M$86)+(_xlfn.XLOOKUP(A604,'[1]DATOS PBI Artículos'!$A$4:$A$4,'[1]DATOS PBI Artículos'!$AA$4:$AA$4)*([1]CRITERIOS!$M$95+[1]CRITERIOS!$M$98)))/N604)</f>
        <v>#N/A</v>
      </c>
      <c r="AD604" s="33" t="e">
        <f>IF(N604=0,"",(ROUNDUP((N604/2)/(_xlfn.XLOOKUP(A604,'[1]DATOS PBI Artículos'!$A$4:$A$4,'[1]DATOS PBI Artículos'!$Z$4:$Z$4)*_xlfn.XLOOKUP(_xlfn.XLOOKUP(A604,'[1]DATOS PBI Artículos'!$A$4:$A$4,'[1]DATOS PBI Artículos'!$Y$4:$Y$4),[1]CRITERIOS!$P$79:$P$123,[1]CRITERIOS!$S$79:$S$123)),0)*[1]CRITERIOS!$M$80*([1]CRITERIOS!$M$89*[1]CRITERIOS!$M$92)+((_xlfn.XLOOKUP(A604,'[1]DATOS PBI Artículos'!$A$4:$A$4,'[1]DATOS PBI Artículos'!$AA$4:$AA$4)/2)*([1]CRITERIOS!$M$95+[1]CRITERIOS!$M$98)))/N604)</f>
        <v>#N/A</v>
      </c>
      <c r="AE604" s="39" t="e">
        <f>IF($R604="MTO","",
IF($H604=0,ROUNDUP(((_xlfn.XLOOKUP($A604,'[1]DATOS PBI Artículos'!$A:$A,'[1]DATOS PBI Artículos'!$AL:$AL))/(_xlfn.XLOOKUP($AF$1,[1]CRITERIOS!$S$16:$S$39,[1]CRITERIOS!$Y$16:$Y$39))*$J604+$Z604)/$G604,0)*$G604,
((_xlfn.XLOOKUP($A604,'[1]DATOS PBI Artículos'!$A:$A,'[1]DATOS PBI Artículos'!$AL:$AL))/(_xlfn.XLOOKUP($AF$1,[1]CRITERIOS!$S$16:$S$39,[1]CRITERIOS!$Y$16:$Y$39))*$J604+$Z604)))</f>
        <v>#N/A</v>
      </c>
      <c r="AG604" s="39" t="e">
        <f>IF($R604="MTO","",
IF($H604=0,ROUNDUP(((_xlfn.XLOOKUP($A604,'[1]DATOS PBI Artículos'!$A:$A,'[1]DATOS PBI Artículos'!$AM:$AM))/(_xlfn.XLOOKUP($AH$1,[1]CRITERIOS!$S$16:$S$39,[1]CRITERIOS!$Y$16:$Y$39))*$J604+$Z604)/$G604,0)*$G604,
((_xlfn.XLOOKUP($A604,'[1]DATOS PBI Artículos'!$A:$A,'[1]DATOS PBI Artículos'!$AM:$AM))/(_xlfn.XLOOKUP($AH$1,[1]CRITERIOS!$S$16:$S$39,[1]CRITERIOS!$Y$16:$Y$39))*$J604+$Z604)))</f>
        <v>#N/A</v>
      </c>
      <c r="AI604" s="39" t="e">
        <f>IF($R604="MTO","",
IF($H604=0,ROUNDUP(((_xlfn.XLOOKUP($A604,'[1]DATOS PBI Artículos'!$A:$A,'[1]DATOS PBI Artículos'!$AN:$AN))/(_xlfn.XLOOKUP($AJ$1,[1]CRITERIOS!$S$16:$S$39,[1]CRITERIOS!$Y$16:$Y$39))*$J604+$Z604)/$G604,0)*$G604,
((_xlfn.XLOOKUP($A604,'[1]DATOS PBI Artículos'!$A:$A,'[1]DATOS PBI Artículos'!$AN:$AN))/(_xlfn.XLOOKUP($AJ$1,[1]CRITERIOS!$S$16:$S$39,[1]CRITERIOS!$Y$16:$Y$39))*$J604+$Z604)))</f>
        <v>#N/A</v>
      </c>
      <c r="AK604" s="39" t="e">
        <f>IF($R604="MTO","",
IF($H604=0,ROUNDUP(((_xlfn.XLOOKUP($A604,'[1]DATOS PBI Artículos'!$A:$A,'[1]DATOS PBI Artículos'!$AO:$AO))/(_xlfn.XLOOKUP($AL$1,[1]CRITERIOS!$S$16:$S$39,[1]CRITERIOS!$Y$16:$Y$39))*$J604+$Z604)/$G604,0)*$G604,
((_xlfn.XLOOKUP($A604,'[1]DATOS PBI Artículos'!$A:$A,'[1]DATOS PBI Artículos'!$AO:$AO))/(_xlfn.XLOOKUP($AL$1,[1]CRITERIOS!$S$16:$S$39,[1]CRITERIOS!$Y$16:$Y$39))*$J604+$Z604)))</f>
        <v>#N/A</v>
      </c>
    </row>
    <row r="605" spans="1:37" ht="25.8" hidden="1" x14ac:dyDescent="0.4">
      <c r="A605" s="41"/>
      <c r="B605" s="33">
        <f>_xlfn.XLOOKUP($A605,'[1]DATOS PBI Artículos'!A:A,'[1]DATOS PBI Artículos'!B:B)</f>
        <v>0</v>
      </c>
      <c r="C605" s="33">
        <f>_xlfn.XLOOKUP($A605,'[1]DATOS PBI Artículos'!A:A,'[1]DATOS PBI Artículos'!C:C)</f>
        <v>0</v>
      </c>
      <c r="D605" s="33">
        <f>_xlfn.XLOOKUP(A605,'[1]DATOS PBI Artículos'!A:A,'[1]DATOS PBI Artículos'!T:T)</f>
        <v>0</v>
      </c>
      <c r="E605" s="34">
        <f>IF(_xlfn.XLOOKUP($A605,'[1]DATOS PBI Artículos'!A:A,'[1]DATOS PBI Artículos'!AK:AK)="",_xlfn.XLOOKUP($A605,'[1]DATOS PBI Artículos'!A:A,'[1]DATOS PBI Artículos'!AJ:AJ),_xlfn.XLOOKUP($A605,'[1]DATOS PBI Artículos'!A:A,'[1]DATOS PBI Artículos'!AK:AK))</f>
        <v>0</v>
      </c>
      <c r="F605" s="35">
        <f>_xlfn.XLOOKUP($A605,'[1]DATOS PBI Artículos'!A:A,'[1]DATOS PBI Artículos'!AP:AP)</f>
        <v>0</v>
      </c>
      <c r="G605" s="34">
        <f>_xlfn.XLOOKUP($A605,'[1]DATOS PBI Artículos'!A:A,'[1]DATOS PBI Artículos'!AR:AR)</f>
        <v>0</v>
      </c>
      <c r="H605" s="34">
        <f>_xlfn.XLOOKUP($A605,'[1]DATOS PBI Artículos'!A:A,'[1]DATOS PBI Artículos'!AT:AT)</f>
        <v>0</v>
      </c>
      <c r="I605" s="34">
        <f>_xlfn.XLOOKUP($A605,'[1]DATOS PBI Artículos'!A:A,'[1]DATOS PBI Artículos'!AS:AS)</f>
        <v>0</v>
      </c>
      <c r="J605" s="35">
        <f>IF(COUNTIF([1]CRITERIOS!$F$179:$F$199,$A605)&gt;=1,
 IF(O605&lt;&gt;"",
    (O605/_xlfn.XLOOKUP(CONCATENATE(A605,L605),[1]MÁQUINAS!A:A,[1]MÁQUINAS!D:D))/24,
    (N605/_xlfn.XLOOKUP(CONCATENATE(A605,L605),[1]MÁQUINAS!A:A,[1]MÁQUINAS!D:D))/24),
  _xlfn.XLOOKUP($A605,'[1]DATOS PBI Artículos'!A:A,'[1]DATOS PBI Artículos'!AU:AU))</f>
        <v>0</v>
      </c>
      <c r="K605" s="36">
        <f>_xlfn.XLOOKUP($A605,'[1]DATOS PBI Artículos'!A:A,'[1]DATOS PBI Artículos'!AV:AV)</f>
        <v>0</v>
      </c>
      <c r="L605" s="33">
        <f>_xlfn.XLOOKUP(A605,[1]MÁQUINAS!B:B,[1]MÁQUINAS!C:C)</f>
        <v>0</v>
      </c>
      <c r="M605" s="34">
        <f t="array" ref="M605">_xlfn.XLOOKUP(A605,'[1]DATOS PBI Artículos'!A:A,'[1]DATOS PBI Artículos'!AX:$AX)</f>
        <v>0</v>
      </c>
      <c r="N605" s="37" t="e">
        <f>IF(I605="DV",
E605,
IF(COUNTIF([1]CRITERIOS!$I$179:$I$199,$A605)&gt;=1,
_xlfn.XLOOKUP($A605,[1]CRITERIOS!$I$179:$I$199,[1]CRITERIOS!$J$179:$J$199),
IF(COUNTIF([1]CRITERIOS!$L$179:$L$199,$A605)&gt;=1,
_xlfn.CEILING.MATH(IF($M605&gt;$E605,
$E605,
IF($M605&lt;$E605/ROUNDDOWN([1]CRITERIOS!$M$16/_xlfn.XLOOKUP($C605,[1]CRITERIOS!$K$25:$K$42,[1]CRITERIOS!$M$25:$M$42),
1),
E605/ROUNDDOWN([1]CRITERIOS!$M$16/_xlfn.XLOOKUP($C605,[1]CRITERIOS!$K$25:$K$42,[1]CRITERIOS!$M$25:$M$42),
1),
$M605)),
_xlfn.XLOOKUP($A605,[1]CRITERIOS!$L$179:$L$200,[1]CRITERIOS!$M$179:$M$200)),
_xlfn.CEILING.MATH(IF($M605&gt;$E605,
$E605,
IF($M605&lt;$E605/ROUNDDOWN([1]CRITERIOS!$M$16/_xlfn.XLOOKUP($C605,[1]CRITERIOS!$K$25:$K$42,[1]CRITERIOS!$M$25:$M$42),
1),
E605/ROUNDDOWN([1]CRITERIOS!$M$16/_xlfn.XLOOKUP($C605,[1]CRITERIOS!$K$25:$K$42,[1]CRITERIOS!$M$25:$M$42),
1),
$M605)),_xlfn.XLOOKUP(A605,'[1]DATOS PBI Artículos'!A:A,'[1]DATOS PBI Artículos'!Z:Z
)))))</f>
        <v>#N/A</v>
      </c>
      <c r="Q605" s="38" t="e">
        <f>IF(AND(O605="",N605=0),
0,
   IF(COUNTIF([1]CRITERIOS!$F$179:$F$199,$A605)&gt;=1,
   1,
   IF(R605="MTO",
      $D605,
      ROUNDUP(
                    IF(($E605-SUMIF('[1]DATOS PBI Artículos'!A:A,A605,'[1]DATOS PBI Artículos'!X:X)+($V605-_xlfn.XLOOKUP(A605,'[1]DATOS PBI Artículos'!A:A,'[1]DATOS PBI Artículos'!W:W)))&lt;0,
                    0,
                    IF(($E605-SUMIF('[1]DATOS PBI Artículos'!A:A,A605,'[1]DATOS PBI Artículos'!X:X)+$V605-_xlfn.XLOOKUP($A605,'[1]DATOS PBI Artículos'!A:A,'[1]DATOS PBI Artículos'!W:W))/IF($O605="",$N605,$O605)&gt;ROUNDUP([1]CRITERIOS!$M$16/(IF(COUNTIF([1]CRITERIOS!$BG$11:$BG$201,L605)&gt;=1,_xlfn.XLOOKUP($C605,[1]CRITERIOS!$K$25:$K$42,[1]CRITERIOS!$M$25:$M$42),_xlfn.XLOOKUP($C605,[1]CRITERIOS!$K$25:$K$42,[1]CRITERIOS!$M$25:$M$42))),0),
                    ROUNDUP([1]CRITERIOS!$M$16/(IF(COUNTIF([1]CRITERIOS!$BG$11:$BG$201,$L605)&gt;=1,_xlfn.XLOOKUP($C605,[1]CRITERIOS!$K$25:$K$42,[1]CRITERIOS!$M$25:$M$42),_xlfn.XLOOKUP($C605,[1]CRITERIOS!$K$25:$K$42,[1]CRITERIOS!$M$25:$M$42))),0),
                    (E605+V605-SUMIF('[1]DATOS PBI Artículos'!A:A,A605,'[1]DATOS PBI Artículos'!X:X)-_xlfn.XLOOKUP(A605,'[1]DATOS PBI Artículos'!A:A,'[1]DATOS PBI Artículos'!W:W))/IF($O605="",$N605,$O605))),0))))</f>
        <v>#N/A</v>
      </c>
      <c r="R605" s="33" t="e">
        <f>IF(U605&lt;&gt;"",U605,IF(F605="DV","MTO",IF(N605=0,"MTO",_xlfn.XLOOKUP(CONCATENATE(S605,T605),[1]CRITERIOS!$K$160:$K$168,[1]CRITERIOS!$N$160:$N$168))))</f>
        <v>#N/A</v>
      </c>
      <c r="S605" s="33" t="e">
        <f>IF(G605="DV","MTO",IF(N605=0,"MTO",IF(OR(AND(N605=0,O605=""),IF(O605="",G605/N605,G605/O605)&gt;[1]CRITERIOS!$G$163),"MTO",IF(IF(O605="",G605/N605,G605/O605)&lt;[1]CRITERIOS!$H$161,"MTS","MTOS"))))</f>
        <v>#N/A</v>
      </c>
      <c r="T605" s="33" t="e">
        <f>IF(F605="DV","MTO",IF(OR(AND($N605=0,O605=""),$F605/$J605&gt;[1]CRITERIOS!$G$170,$F605="DV"),"MTO",IF($F605/$J605&lt;[1]CRITERIOS!$H$168,"MTS","MTOS")))</f>
        <v>#N/A</v>
      </c>
      <c r="V605" s="34" t="e">
        <f t="shared" si="31"/>
        <v>#N/A</v>
      </c>
      <c r="X605" s="34" t="e">
        <f t="shared" si="29"/>
        <v>#N/A</v>
      </c>
      <c r="Y605" s="34" t="e">
        <f t="shared" si="30"/>
        <v>#N/A</v>
      </c>
      <c r="Z605" s="34" t="e">
        <f>IF($R605="MTO",
0,
($H605+$K605*($E605/[1]CRITERIOS!$M$16))/[1]CRITERIOS!$X$48)</f>
        <v>#N/A</v>
      </c>
      <c r="AA605" s="34" t="e">
        <f>ROUNDUP(($Y605/_xlfn.XLOOKUP($A605,'[1]DATOS PBI Artículos'!$A$4:$A$4,'[1]DATOS PBI Artículos'!$Z$4:$Z$4))/_xlfn.XLOOKUP(_xlfn.XLOOKUP($A605,'[1]DATOS PBI Artículos'!$A$4:$A$4,'[1]DATOS PBI Artículos'!$Y$4:$Y$4),[1]CRITERIOS!$P$79:$P$123,[1]CRITERIOS!$S$79:$S$123,),0)</f>
        <v>#N/A</v>
      </c>
      <c r="AB605" s="33" t="e">
        <f t="array" ref="AB605">IF((E605+V605-_xlfn.XLOOKUP(A605,'[1]DATOS PBI Artículos'!$A$4:$A$4,'[1]DATOS PBI Artículos'!$W$4:$W$4))/N605&gt;ROUNDUP([1]CRITERIOS!$M$16/(IF(COUNTIF([1]CRITERIOS!$BG$11:$BG$201,L605)&gt;=1,_xlfn.XLOOKUP(ARTÍCULOS!L605,[1]CRITERIOS!$BG$11:$BG$201,[1]CRITERIOS!$BJ$11:$BJ$201),_xlfn.XLOOKUP(ARTÍCULOS!C605,[1]CRITERIOS!$K$25:$K$42,[1]CRITERIOS!$M$25:$M$42))),0),ROUNDUP([1]CRITERIOS!$M$16/(IF(COUNTIF([1]CRITERIOS!$BG$11:$BG$201,L605)&gt;=1,_xlfn.XLOOKUP(ARTÍCULOS!L605,[1]CRITERIOS!$BG$11:$BG$201:#REF!,[1]CRITERIOS!$BJ$11:$BJ$201),_xlfn.XLOOKUP(ARTÍCULOS!C605,[1]CRITERIOS!$K$25:$K$42,[1]CRITERIOS!$M$25:$M$42))),0),(E605+V605-_xlfn.XLOOKUP(A605,'[1]DATOS PBI Artículos'!$A$4:$A$4,'[1]DATOS PBI Artículos'!$W$4:$W$4))/N605)</f>
        <v>#N/A</v>
      </c>
      <c r="AC605" s="33" t="e">
        <f>IF(N605=0,"",(ROUNDUP((N605/2)/(_xlfn.XLOOKUP(A605,'[1]DATOS PBI Artículos'!$A$4:$A$4,'[1]DATOS PBI Artículos'!$Z$4:$Z$4)*_xlfn.XLOOKUP(_xlfn.XLOOKUP(A605,'[1]DATOS PBI Artículos'!$A$4:$A$4,'[1]DATOS PBI Artículos'!$Y$4:$Y$4),[1]CRITERIOS!$P$79:$P$123,[1]CRITERIOS!$S$79:$S$123)),0)*[1]CRITERIOS!$M$80*([1]CRITERIOS!$M$110/[1]CRITERIOS!$M$86)+(_xlfn.XLOOKUP(A605,'[1]DATOS PBI Artículos'!$A$4:$A$4,'[1]DATOS PBI Artículos'!$AA$4:$AA$4)*([1]CRITERIOS!$M$95+[1]CRITERIOS!$M$98)))/N605)</f>
        <v>#N/A</v>
      </c>
      <c r="AD605" s="33" t="e">
        <f>IF(N605=0,"",(ROUNDUP((N605/2)/(_xlfn.XLOOKUP(A605,'[1]DATOS PBI Artículos'!$A$4:$A$4,'[1]DATOS PBI Artículos'!$Z$4:$Z$4)*_xlfn.XLOOKUP(_xlfn.XLOOKUP(A605,'[1]DATOS PBI Artículos'!$A$4:$A$4,'[1]DATOS PBI Artículos'!$Y$4:$Y$4),[1]CRITERIOS!$P$79:$P$123,[1]CRITERIOS!$S$79:$S$123)),0)*[1]CRITERIOS!$M$80*([1]CRITERIOS!$M$89*[1]CRITERIOS!$M$92)+((_xlfn.XLOOKUP(A605,'[1]DATOS PBI Artículos'!$A$4:$A$4,'[1]DATOS PBI Artículos'!$AA$4:$AA$4)/2)*([1]CRITERIOS!$M$95+[1]CRITERIOS!$M$98)))/N605)</f>
        <v>#N/A</v>
      </c>
      <c r="AE605" s="39" t="e">
        <f>IF($R605="MTO","",
IF($H605=0,ROUNDUP(((_xlfn.XLOOKUP($A605,'[1]DATOS PBI Artículos'!$A:$A,'[1]DATOS PBI Artículos'!$AL:$AL))/(_xlfn.XLOOKUP($AF$1,[1]CRITERIOS!$S$16:$S$39,[1]CRITERIOS!$Y$16:$Y$39))*$J605+$Z605)/$G605,0)*$G605,
((_xlfn.XLOOKUP($A605,'[1]DATOS PBI Artículos'!$A:$A,'[1]DATOS PBI Artículos'!$AL:$AL))/(_xlfn.XLOOKUP($AF$1,[1]CRITERIOS!$S$16:$S$39,[1]CRITERIOS!$Y$16:$Y$39))*$J605+$Z605)))</f>
        <v>#N/A</v>
      </c>
      <c r="AG605" s="39" t="e">
        <f>IF($R605="MTO","",
IF($H605=0,ROUNDUP(((_xlfn.XLOOKUP($A605,'[1]DATOS PBI Artículos'!$A:$A,'[1]DATOS PBI Artículos'!$AM:$AM))/(_xlfn.XLOOKUP($AH$1,[1]CRITERIOS!$S$16:$S$39,[1]CRITERIOS!$Y$16:$Y$39))*$J605+$Z605)/$G605,0)*$G605,
((_xlfn.XLOOKUP($A605,'[1]DATOS PBI Artículos'!$A:$A,'[1]DATOS PBI Artículos'!$AM:$AM))/(_xlfn.XLOOKUP($AH$1,[1]CRITERIOS!$S$16:$S$39,[1]CRITERIOS!$Y$16:$Y$39))*$J605+$Z605)))</f>
        <v>#N/A</v>
      </c>
      <c r="AI605" s="39" t="e">
        <f>IF($R605="MTO","",
IF($H605=0,ROUNDUP(((_xlfn.XLOOKUP($A605,'[1]DATOS PBI Artículos'!$A:$A,'[1]DATOS PBI Artículos'!$AN:$AN))/(_xlfn.XLOOKUP($AJ$1,[1]CRITERIOS!$S$16:$S$39,[1]CRITERIOS!$Y$16:$Y$39))*$J605+$Z605)/$G605,0)*$G605,
((_xlfn.XLOOKUP($A605,'[1]DATOS PBI Artículos'!$A:$A,'[1]DATOS PBI Artículos'!$AN:$AN))/(_xlfn.XLOOKUP($AJ$1,[1]CRITERIOS!$S$16:$S$39,[1]CRITERIOS!$Y$16:$Y$39))*$J605+$Z605)))</f>
        <v>#N/A</v>
      </c>
      <c r="AK605" s="39" t="e">
        <f>IF($R605="MTO","",
IF($H605=0,ROUNDUP(((_xlfn.XLOOKUP($A605,'[1]DATOS PBI Artículos'!$A:$A,'[1]DATOS PBI Artículos'!$AO:$AO))/(_xlfn.XLOOKUP($AL$1,[1]CRITERIOS!$S$16:$S$39,[1]CRITERIOS!$Y$16:$Y$39))*$J605+$Z605)/$G605,0)*$G605,
((_xlfn.XLOOKUP($A605,'[1]DATOS PBI Artículos'!$A:$A,'[1]DATOS PBI Artículos'!$AO:$AO))/(_xlfn.XLOOKUP($AL$1,[1]CRITERIOS!$S$16:$S$39,[1]CRITERIOS!$Y$16:$Y$39))*$J605+$Z605)))</f>
        <v>#N/A</v>
      </c>
    </row>
    <row r="606" spans="1:37" ht="25.8" hidden="1" x14ac:dyDescent="0.4">
      <c r="A606" s="41"/>
      <c r="B606" s="33">
        <f>_xlfn.XLOOKUP($A606,'[1]DATOS PBI Artículos'!A:A,'[1]DATOS PBI Artículos'!B:B)</f>
        <v>0</v>
      </c>
      <c r="C606" s="33">
        <f>_xlfn.XLOOKUP($A606,'[1]DATOS PBI Artículos'!A:A,'[1]DATOS PBI Artículos'!C:C)</f>
        <v>0</v>
      </c>
      <c r="D606" s="33">
        <f>_xlfn.XLOOKUP(A606,'[1]DATOS PBI Artículos'!A:A,'[1]DATOS PBI Artículos'!T:T)</f>
        <v>0</v>
      </c>
      <c r="E606" s="34">
        <f>IF(_xlfn.XLOOKUP($A606,'[1]DATOS PBI Artículos'!A:A,'[1]DATOS PBI Artículos'!AK:AK)="",_xlfn.XLOOKUP($A606,'[1]DATOS PBI Artículos'!A:A,'[1]DATOS PBI Artículos'!AJ:AJ),_xlfn.XLOOKUP($A606,'[1]DATOS PBI Artículos'!A:A,'[1]DATOS PBI Artículos'!AK:AK))</f>
        <v>0</v>
      </c>
      <c r="F606" s="35">
        <f>_xlfn.XLOOKUP($A606,'[1]DATOS PBI Artículos'!A:A,'[1]DATOS PBI Artículos'!AP:AP)</f>
        <v>0</v>
      </c>
      <c r="G606" s="34">
        <f>_xlfn.XLOOKUP($A606,'[1]DATOS PBI Artículos'!A:A,'[1]DATOS PBI Artículos'!AR:AR)</f>
        <v>0</v>
      </c>
      <c r="H606" s="34">
        <f>_xlfn.XLOOKUP($A606,'[1]DATOS PBI Artículos'!A:A,'[1]DATOS PBI Artículos'!AT:AT)</f>
        <v>0</v>
      </c>
      <c r="I606" s="34">
        <f>_xlfn.XLOOKUP($A606,'[1]DATOS PBI Artículos'!A:A,'[1]DATOS PBI Artículos'!AS:AS)</f>
        <v>0</v>
      </c>
      <c r="J606" s="35">
        <f>IF(COUNTIF([1]CRITERIOS!$F$179:$F$199,$A606)&gt;=1,
 IF(O606&lt;&gt;"",
    (O606/_xlfn.XLOOKUP(CONCATENATE(A606,L606),[1]MÁQUINAS!A:A,[1]MÁQUINAS!D:D))/24,
    (N606/_xlfn.XLOOKUP(CONCATENATE(A606,L606),[1]MÁQUINAS!A:A,[1]MÁQUINAS!D:D))/24),
  _xlfn.XLOOKUP($A606,'[1]DATOS PBI Artículos'!A:A,'[1]DATOS PBI Artículos'!AU:AU))</f>
        <v>0</v>
      </c>
      <c r="K606" s="36">
        <f>_xlfn.XLOOKUP($A606,'[1]DATOS PBI Artículos'!A:A,'[1]DATOS PBI Artículos'!AV:AV)</f>
        <v>0</v>
      </c>
      <c r="L606" s="33">
        <f>_xlfn.XLOOKUP(A606,[1]MÁQUINAS!B:B,[1]MÁQUINAS!C:C)</f>
        <v>0</v>
      </c>
      <c r="M606" s="34">
        <f t="array" ref="M606">_xlfn.XLOOKUP(A606,'[1]DATOS PBI Artículos'!A:A,'[1]DATOS PBI Artículos'!AX:$AX)</f>
        <v>0</v>
      </c>
      <c r="N606" s="37" t="e">
        <f>IF(I606="DV",
E606,
IF(COUNTIF([1]CRITERIOS!$I$179:$I$199,$A606)&gt;=1,
_xlfn.XLOOKUP($A606,[1]CRITERIOS!$I$179:$I$199,[1]CRITERIOS!$J$179:$J$199),
IF(COUNTIF([1]CRITERIOS!$L$179:$L$199,$A606)&gt;=1,
_xlfn.CEILING.MATH(IF($M606&gt;$E606,
$E606,
IF($M606&lt;$E606/ROUNDDOWN([1]CRITERIOS!$M$16/_xlfn.XLOOKUP($C606,[1]CRITERIOS!$K$25:$K$42,[1]CRITERIOS!$M$25:$M$42),
1),
E606/ROUNDDOWN([1]CRITERIOS!$M$16/_xlfn.XLOOKUP($C606,[1]CRITERIOS!$K$25:$K$42,[1]CRITERIOS!$M$25:$M$42),
1),
$M606)),
_xlfn.XLOOKUP($A606,[1]CRITERIOS!$L$179:$L$200,[1]CRITERIOS!$M$179:$M$200)),
_xlfn.CEILING.MATH(IF($M606&gt;$E606,
$E606,
IF($M606&lt;$E606/ROUNDDOWN([1]CRITERIOS!$M$16/_xlfn.XLOOKUP($C606,[1]CRITERIOS!$K$25:$K$42,[1]CRITERIOS!$M$25:$M$42),
1),
E606/ROUNDDOWN([1]CRITERIOS!$M$16/_xlfn.XLOOKUP($C606,[1]CRITERIOS!$K$25:$K$42,[1]CRITERIOS!$M$25:$M$42),
1),
$M606)),_xlfn.XLOOKUP(A606,'[1]DATOS PBI Artículos'!A:A,'[1]DATOS PBI Artículos'!Z:Z
)))))</f>
        <v>#N/A</v>
      </c>
      <c r="Q606" s="38" t="e">
        <f>IF(AND(O606="",N606=0),
0,
   IF(COUNTIF([1]CRITERIOS!$F$179:$F$199,$A606)&gt;=1,
   1,
   IF(R606="MTO",
      $D606,
      ROUNDUP(
                    IF(($E606-SUMIF('[1]DATOS PBI Artículos'!A:A,A606,'[1]DATOS PBI Artículos'!X:X)+($V606-_xlfn.XLOOKUP(A606,'[1]DATOS PBI Artículos'!A:A,'[1]DATOS PBI Artículos'!W:W)))&lt;0,
                    0,
                    IF(($E606-SUMIF('[1]DATOS PBI Artículos'!A:A,A606,'[1]DATOS PBI Artículos'!X:X)+$V606-_xlfn.XLOOKUP($A606,'[1]DATOS PBI Artículos'!A:A,'[1]DATOS PBI Artículos'!W:W))/IF($O606="",$N606,$O606)&gt;ROUNDUP([1]CRITERIOS!$M$16/(IF(COUNTIF([1]CRITERIOS!$BG$11:$BG$201,L606)&gt;=1,_xlfn.XLOOKUP($C606,[1]CRITERIOS!$K$25:$K$42,[1]CRITERIOS!$M$25:$M$42),_xlfn.XLOOKUP($C606,[1]CRITERIOS!$K$25:$K$42,[1]CRITERIOS!$M$25:$M$42))),0),
                    ROUNDUP([1]CRITERIOS!$M$16/(IF(COUNTIF([1]CRITERIOS!$BG$11:$BG$201,$L606)&gt;=1,_xlfn.XLOOKUP($C606,[1]CRITERIOS!$K$25:$K$42,[1]CRITERIOS!$M$25:$M$42),_xlfn.XLOOKUP($C606,[1]CRITERIOS!$K$25:$K$42,[1]CRITERIOS!$M$25:$M$42))),0),
                    (E606+V606-SUMIF('[1]DATOS PBI Artículos'!A:A,A606,'[1]DATOS PBI Artículos'!X:X)-_xlfn.XLOOKUP(A606,'[1]DATOS PBI Artículos'!A:A,'[1]DATOS PBI Artículos'!W:W))/IF($O606="",$N606,$O606))),0))))</f>
        <v>#N/A</v>
      </c>
      <c r="R606" s="33" t="e">
        <f>IF(U606&lt;&gt;"",U606,IF(F606="DV","MTO",IF(N606=0,"MTO",_xlfn.XLOOKUP(CONCATENATE(S606,T606),[1]CRITERIOS!$K$160:$K$168,[1]CRITERIOS!$N$160:$N$168))))</f>
        <v>#N/A</v>
      </c>
      <c r="S606" s="33" t="e">
        <f>IF(G606="DV","MTO",IF(N606=0,"MTO",IF(OR(AND(N606=0,O606=""),IF(O606="",G606/N606,G606/O606)&gt;[1]CRITERIOS!$G$163),"MTO",IF(IF(O606="",G606/N606,G606/O606)&lt;[1]CRITERIOS!$H$161,"MTS","MTOS"))))</f>
        <v>#N/A</v>
      </c>
      <c r="T606" s="33" t="e">
        <f>IF(F606="DV","MTO",IF(OR(AND($N606=0,O606=""),$F606/$J606&gt;[1]CRITERIOS!$G$170,$F606="DV"),"MTO",IF($F606/$J606&lt;[1]CRITERIOS!$H$168,"MTS","MTOS")))</f>
        <v>#N/A</v>
      </c>
      <c r="V606" s="34" t="e">
        <f t="shared" si="31"/>
        <v>#N/A</v>
      </c>
      <c r="X606" s="34" t="e">
        <f t="shared" si="29"/>
        <v>#N/A</v>
      </c>
      <c r="Y606" s="34" t="e">
        <f t="shared" si="30"/>
        <v>#N/A</v>
      </c>
      <c r="Z606" s="34" t="e">
        <f>IF($R606="MTO",
0,
($H606+$K606*($E606/[1]CRITERIOS!$M$16))/[1]CRITERIOS!$X$48)</f>
        <v>#N/A</v>
      </c>
      <c r="AA606" s="34" t="e">
        <f>ROUNDUP(($Y606/_xlfn.XLOOKUP($A606,'[1]DATOS PBI Artículos'!$A$4:$A$4,'[1]DATOS PBI Artículos'!$Z$4:$Z$4))/_xlfn.XLOOKUP(_xlfn.XLOOKUP($A606,'[1]DATOS PBI Artículos'!$A$4:$A$4,'[1]DATOS PBI Artículos'!$Y$4:$Y$4),[1]CRITERIOS!$P$79:$P$123,[1]CRITERIOS!$S$79:$S$123,),0)</f>
        <v>#N/A</v>
      </c>
      <c r="AB606" s="33" t="e">
        <f t="array" ref="AB606">IF((E606+V606-_xlfn.XLOOKUP(A606,'[1]DATOS PBI Artículos'!$A$4:$A$4,'[1]DATOS PBI Artículos'!$W$4:$W$4))/N606&gt;ROUNDUP([1]CRITERIOS!$M$16/(IF(COUNTIF([1]CRITERIOS!$BG$11:$BG$201,L606)&gt;=1,_xlfn.XLOOKUP(ARTÍCULOS!L606,[1]CRITERIOS!$BG$11:$BG$201,[1]CRITERIOS!$BJ$11:$BJ$201),_xlfn.XLOOKUP(ARTÍCULOS!C606,[1]CRITERIOS!$K$25:$K$42,[1]CRITERIOS!$M$25:$M$42))),0),ROUNDUP([1]CRITERIOS!$M$16/(IF(COUNTIF([1]CRITERIOS!$BG$11:$BG$201,L606)&gt;=1,_xlfn.XLOOKUP(ARTÍCULOS!L606,[1]CRITERIOS!$BG$11:$BG$201:#REF!,[1]CRITERIOS!$BJ$11:$BJ$201),_xlfn.XLOOKUP(ARTÍCULOS!C606,[1]CRITERIOS!$K$25:$K$42,[1]CRITERIOS!$M$25:$M$42))),0),(E606+V606-_xlfn.XLOOKUP(A606,'[1]DATOS PBI Artículos'!$A$4:$A$4,'[1]DATOS PBI Artículos'!$W$4:$W$4))/N606)</f>
        <v>#N/A</v>
      </c>
      <c r="AC606" s="33" t="e">
        <f>IF(N606=0,"",(ROUNDUP((N606/2)/(_xlfn.XLOOKUP(A606,'[1]DATOS PBI Artículos'!$A$4:$A$4,'[1]DATOS PBI Artículos'!$Z$4:$Z$4)*_xlfn.XLOOKUP(_xlfn.XLOOKUP(A606,'[1]DATOS PBI Artículos'!$A$4:$A$4,'[1]DATOS PBI Artículos'!$Y$4:$Y$4),[1]CRITERIOS!$P$79:$P$123,[1]CRITERIOS!$S$79:$S$123)),0)*[1]CRITERIOS!$M$80*([1]CRITERIOS!$M$110/[1]CRITERIOS!$M$86)+(_xlfn.XLOOKUP(A606,'[1]DATOS PBI Artículos'!$A$4:$A$4,'[1]DATOS PBI Artículos'!$AA$4:$AA$4)*([1]CRITERIOS!$M$95+[1]CRITERIOS!$M$98)))/N606)</f>
        <v>#N/A</v>
      </c>
      <c r="AD606" s="33" t="e">
        <f>IF(N606=0,"",(ROUNDUP((N606/2)/(_xlfn.XLOOKUP(A606,'[1]DATOS PBI Artículos'!$A$4:$A$4,'[1]DATOS PBI Artículos'!$Z$4:$Z$4)*_xlfn.XLOOKUP(_xlfn.XLOOKUP(A606,'[1]DATOS PBI Artículos'!$A$4:$A$4,'[1]DATOS PBI Artículos'!$Y$4:$Y$4),[1]CRITERIOS!$P$79:$P$123,[1]CRITERIOS!$S$79:$S$123)),0)*[1]CRITERIOS!$M$80*([1]CRITERIOS!$M$89*[1]CRITERIOS!$M$92)+((_xlfn.XLOOKUP(A606,'[1]DATOS PBI Artículos'!$A$4:$A$4,'[1]DATOS PBI Artículos'!$AA$4:$AA$4)/2)*([1]CRITERIOS!$M$95+[1]CRITERIOS!$M$98)))/N606)</f>
        <v>#N/A</v>
      </c>
      <c r="AE606" s="39" t="e">
        <f>IF($R606="MTO","",
IF($H606=0,ROUNDUP(((_xlfn.XLOOKUP($A606,'[1]DATOS PBI Artículos'!$A:$A,'[1]DATOS PBI Artículos'!$AL:$AL))/(_xlfn.XLOOKUP($AF$1,[1]CRITERIOS!$S$16:$S$39,[1]CRITERIOS!$Y$16:$Y$39))*$J606+$Z606)/$G606,0)*$G606,
((_xlfn.XLOOKUP($A606,'[1]DATOS PBI Artículos'!$A:$A,'[1]DATOS PBI Artículos'!$AL:$AL))/(_xlfn.XLOOKUP($AF$1,[1]CRITERIOS!$S$16:$S$39,[1]CRITERIOS!$Y$16:$Y$39))*$J606+$Z606)))</f>
        <v>#N/A</v>
      </c>
      <c r="AG606" s="39" t="e">
        <f>IF($R606="MTO","",
IF($H606=0,ROUNDUP(((_xlfn.XLOOKUP($A606,'[1]DATOS PBI Artículos'!$A:$A,'[1]DATOS PBI Artículos'!$AM:$AM))/(_xlfn.XLOOKUP($AH$1,[1]CRITERIOS!$S$16:$S$39,[1]CRITERIOS!$Y$16:$Y$39))*$J606+$Z606)/$G606,0)*$G606,
((_xlfn.XLOOKUP($A606,'[1]DATOS PBI Artículos'!$A:$A,'[1]DATOS PBI Artículos'!$AM:$AM))/(_xlfn.XLOOKUP($AH$1,[1]CRITERIOS!$S$16:$S$39,[1]CRITERIOS!$Y$16:$Y$39))*$J606+$Z606)))</f>
        <v>#N/A</v>
      </c>
      <c r="AI606" s="39" t="e">
        <f>IF($R606="MTO","",
IF($H606=0,ROUNDUP(((_xlfn.XLOOKUP($A606,'[1]DATOS PBI Artículos'!$A:$A,'[1]DATOS PBI Artículos'!$AN:$AN))/(_xlfn.XLOOKUP($AJ$1,[1]CRITERIOS!$S$16:$S$39,[1]CRITERIOS!$Y$16:$Y$39))*$J606+$Z606)/$G606,0)*$G606,
((_xlfn.XLOOKUP($A606,'[1]DATOS PBI Artículos'!$A:$A,'[1]DATOS PBI Artículos'!$AN:$AN))/(_xlfn.XLOOKUP($AJ$1,[1]CRITERIOS!$S$16:$S$39,[1]CRITERIOS!$Y$16:$Y$39))*$J606+$Z606)))</f>
        <v>#N/A</v>
      </c>
      <c r="AK606" s="39" t="e">
        <f>IF($R606="MTO","",
IF($H606=0,ROUNDUP(((_xlfn.XLOOKUP($A606,'[1]DATOS PBI Artículos'!$A:$A,'[1]DATOS PBI Artículos'!$AO:$AO))/(_xlfn.XLOOKUP($AL$1,[1]CRITERIOS!$S$16:$S$39,[1]CRITERIOS!$Y$16:$Y$39))*$J606+$Z606)/$G606,0)*$G606,
((_xlfn.XLOOKUP($A606,'[1]DATOS PBI Artículos'!$A:$A,'[1]DATOS PBI Artículos'!$AO:$AO))/(_xlfn.XLOOKUP($AL$1,[1]CRITERIOS!$S$16:$S$39,[1]CRITERIOS!$Y$16:$Y$39))*$J606+$Z606)))</f>
        <v>#N/A</v>
      </c>
    </row>
    <row r="607" spans="1:37" ht="25.8" hidden="1" x14ac:dyDescent="0.4">
      <c r="A607" s="41"/>
      <c r="B607" s="33">
        <f>_xlfn.XLOOKUP($A607,'[1]DATOS PBI Artículos'!A:A,'[1]DATOS PBI Artículos'!B:B)</f>
        <v>0</v>
      </c>
      <c r="C607" s="33">
        <f>_xlfn.XLOOKUP($A607,'[1]DATOS PBI Artículos'!A:A,'[1]DATOS PBI Artículos'!C:C)</f>
        <v>0</v>
      </c>
      <c r="D607" s="33">
        <f>_xlfn.XLOOKUP(A607,'[1]DATOS PBI Artículos'!A:A,'[1]DATOS PBI Artículos'!T:T)</f>
        <v>0</v>
      </c>
      <c r="E607" s="34">
        <f>IF(_xlfn.XLOOKUP($A607,'[1]DATOS PBI Artículos'!A:A,'[1]DATOS PBI Artículos'!AK:AK)="",_xlfn.XLOOKUP($A607,'[1]DATOS PBI Artículos'!A:A,'[1]DATOS PBI Artículos'!AJ:AJ),_xlfn.XLOOKUP($A607,'[1]DATOS PBI Artículos'!A:A,'[1]DATOS PBI Artículos'!AK:AK))</f>
        <v>0</v>
      </c>
      <c r="F607" s="35">
        <f>_xlfn.XLOOKUP($A607,'[1]DATOS PBI Artículos'!A:A,'[1]DATOS PBI Artículos'!AP:AP)</f>
        <v>0</v>
      </c>
      <c r="G607" s="34">
        <f>_xlfn.XLOOKUP($A607,'[1]DATOS PBI Artículos'!A:A,'[1]DATOS PBI Artículos'!AR:AR)</f>
        <v>0</v>
      </c>
      <c r="H607" s="34">
        <f>_xlfn.XLOOKUP($A607,'[1]DATOS PBI Artículos'!A:A,'[1]DATOS PBI Artículos'!AT:AT)</f>
        <v>0</v>
      </c>
      <c r="I607" s="34">
        <f>_xlfn.XLOOKUP($A607,'[1]DATOS PBI Artículos'!A:A,'[1]DATOS PBI Artículos'!AS:AS)</f>
        <v>0</v>
      </c>
      <c r="J607" s="35">
        <f>IF(COUNTIF([1]CRITERIOS!$F$179:$F$199,$A607)&gt;=1,
 IF(O607&lt;&gt;"",
    (O607/_xlfn.XLOOKUP(CONCATENATE(A607,L607),[1]MÁQUINAS!A:A,[1]MÁQUINAS!D:D))/24,
    (N607/_xlfn.XLOOKUP(CONCATENATE(A607,L607),[1]MÁQUINAS!A:A,[1]MÁQUINAS!D:D))/24),
  _xlfn.XLOOKUP($A607,'[1]DATOS PBI Artículos'!A:A,'[1]DATOS PBI Artículos'!AU:AU))</f>
        <v>0</v>
      </c>
      <c r="K607" s="36">
        <f>_xlfn.XLOOKUP($A607,'[1]DATOS PBI Artículos'!A:A,'[1]DATOS PBI Artículos'!AV:AV)</f>
        <v>0</v>
      </c>
      <c r="L607" s="33">
        <f>_xlfn.XLOOKUP(A607,[1]MÁQUINAS!B:B,[1]MÁQUINAS!C:C)</f>
        <v>0</v>
      </c>
      <c r="M607" s="34">
        <f t="array" ref="M607">_xlfn.XLOOKUP(A607,'[1]DATOS PBI Artículos'!A:A,'[1]DATOS PBI Artículos'!AX:$AX)</f>
        <v>0</v>
      </c>
      <c r="N607" s="37" t="e">
        <f>IF(I607="DV",
E607,
IF(COUNTIF([1]CRITERIOS!$I$179:$I$199,$A607)&gt;=1,
_xlfn.XLOOKUP($A607,[1]CRITERIOS!$I$179:$I$199,[1]CRITERIOS!$J$179:$J$199),
IF(COUNTIF([1]CRITERIOS!$L$179:$L$199,$A607)&gt;=1,
_xlfn.CEILING.MATH(IF($M607&gt;$E607,
$E607,
IF($M607&lt;$E607/ROUNDDOWN([1]CRITERIOS!$M$16/_xlfn.XLOOKUP($C607,[1]CRITERIOS!$K$25:$K$42,[1]CRITERIOS!$M$25:$M$42),
1),
E607/ROUNDDOWN([1]CRITERIOS!$M$16/_xlfn.XLOOKUP($C607,[1]CRITERIOS!$K$25:$K$42,[1]CRITERIOS!$M$25:$M$42),
1),
$M607)),
_xlfn.XLOOKUP($A607,[1]CRITERIOS!$L$179:$L$200,[1]CRITERIOS!$M$179:$M$200)),
_xlfn.CEILING.MATH(IF($M607&gt;$E607,
$E607,
IF($M607&lt;$E607/ROUNDDOWN([1]CRITERIOS!$M$16/_xlfn.XLOOKUP($C607,[1]CRITERIOS!$K$25:$K$42,[1]CRITERIOS!$M$25:$M$42),
1),
E607/ROUNDDOWN([1]CRITERIOS!$M$16/_xlfn.XLOOKUP($C607,[1]CRITERIOS!$K$25:$K$42,[1]CRITERIOS!$M$25:$M$42),
1),
$M607)),_xlfn.XLOOKUP(A607,'[1]DATOS PBI Artículos'!A:A,'[1]DATOS PBI Artículos'!Z:Z
)))))</f>
        <v>#N/A</v>
      </c>
      <c r="Q607" s="38" t="e">
        <f>IF(AND(O607="",N607=0),
0,
   IF(COUNTIF([1]CRITERIOS!$F$179:$F$199,$A607)&gt;=1,
   1,
   IF(R607="MTO",
      $D607,
      ROUNDUP(
                    IF(($E607-SUMIF('[1]DATOS PBI Artículos'!A:A,A607,'[1]DATOS PBI Artículos'!X:X)+($V607-_xlfn.XLOOKUP(A607,'[1]DATOS PBI Artículos'!A:A,'[1]DATOS PBI Artículos'!W:W)))&lt;0,
                    0,
                    IF(($E607-SUMIF('[1]DATOS PBI Artículos'!A:A,A607,'[1]DATOS PBI Artículos'!X:X)+$V607-_xlfn.XLOOKUP($A607,'[1]DATOS PBI Artículos'!A:A,'[1]DATOS PBI Artículos'!W:W))/IF($O607="",$N607,$O607)&gt;ROUNDUP([1]CRITERIOS!$M$16/(IF(COUNTIF([1]CRITERIOS!$BG$11:$BG$201,L607)&gt;=1,_xlfn.XLOOKUP($C607,[1]CRITERIOS!$K$25:$K$42,[1]CRITERIOS!$M$25:$M$42),_xlfn.XLOOKUP($C607,[1]CRITERIOS!$K$25:$K$42,[1]CRITERIOS!$M$25:$M$42))),0),
                    ROUNDUP([1]CRITERIOS!$M$16/(IF(COUNTIF([1]CRITERIOS!$BG$11:$BG$201,$L607)&gt;=1,_xlfn.XLOOKUP($C607,[1]CRITERIOS!$K$25:$K$42,[1]CRITERIOS!$M$25:$M$42),_xlfn.XLOOKUP($C607,[1]CRITERIOS!$K$25:$K$42,[1]CRITERIOS!$M$25:$M$42))),0),
                    (E607+V607-SUMIF('[1]DATOS PBI Artículos'!A:A,A607,'[1]DATOS PBI Artículos'!X:X)-_xlfn.XLOOKUP(A607,'[1]DATOS PBI Artículos'!A:A,'[1]DATOS PBI Artículos'!W:W))/IF($O607="",$N607,$O607))),0))))</f>
        <v>#N/A</v>
      </c>
      <c r="R607" s="33" t="e">
        <f>IF(U607&lt;&gt;"",U607,IF(F607="DV","MTO",IF(N607=0,"MTO",_xlfn.XLOOKUP(CONCATENATE(S607,T607),[1]CRITERIOS!$K$160:$K$168,[1]CRITERIOS!$N$160:$N$168))))</f>
        <v>#N/A</v>
      </c>
      <c r="S607" s="33" t="e">
        <f>IF(G607="DV","MTO",IF(N607=0,"MTO",IF(OR(AND(N607=0,O607=""),IF(O607="",G607/N607,G607/O607)&gt;[1]CRITERIOS!$G$163),"MTO",IF(IF(O607="",G607/N607,G607/O607)&lt;[1]CRITERIOS!$H$161,"MTS","MTOS"))))</f>
        <v>#N/A</v>
      </c>
      <c r="T607" s="33" t="e">
        <f>IF(F607="DV","MTO",IF(OR(AND($N607=0,O607=""),$F607/$J607&gt;[1]CRITERIOS!$G$170,$F607="DV"),"MTO",IF($F607/$J607&lt;[1]CRITERIOS!$H$168,"MTS","MTOS")))</f>
        <v>#N/A</v>
      </c>
      <c r="V607" s="34" t="e">
        <f t="shared" si="31"/>
        <v>#N/A</v>
      </c>
      <c r="X607" s="34" t="e">
        <f t="shared" si="29"/>
        <v>#N/A</v>
      </c>
      <c r="Y607" s="34" t="e">
        <f t="shared" si="30"/>
        <v>#N/A</v>
      </c>
      <c r="Z607" s="34" t="e">
        <f>IF($R607="MTO",
0,
($H607+$K607*($E607/[1]CRITERIOS!$M$16))/[1]CRITERIOS!$X$48)</f>
        <v>#N/A</v>
      </c>
      <c r="AA607" s="34" t="e">
        <f>ROUNDUP(($Y607/_xlfn.XLOOKUP($A607,'[1]DATOS PBI Artículos'!$A$4:$A$4,'[1]DATOS PBI Artículos'!$Z$4:$Z$4))/_xlfn.XLOOKUP(_xlfn.XLOOKUP($A607,'[1]DATOS PBI Artículos'!$A$4:$A$4,'[1]DATOS PBI Artículos'!$Y$4:$Y$4),[1]CRITERIOS!$P$79:$P$123,[1]CRITERIOS!$S$79:$S$123,),0)</f>
        <v>#N/A</v>
      </c>
      <c r="AB607" s="33" t="e">
        <f t="array" ref="AB607">IF((E607+V607-_xlfn.XLOOKUP(A607,'[1]DATOS PBI Artículos'!$A$4:$A$4,'[1]DATOS PBI Artículos'!$W$4:$W$4))/N607&gt;ROUNDUP([1]CRITERIOS!$M$16/(IF(COUNTIF([1]CRITERIOS!$BG$11:$BG$201,L607)&gt;=1,_xlfn.XLOOKUP(ARTÍCULOS!L607,[1]CRITERIOS!$BG$11:$BG$201,[1]CRITERIOS!$BJ$11:$BJ$201),_xlfn.XLOOKUP(ARTÍCULOS!C607,[1]CRITERIOS!$K$25:$K$42,[1]CRITERIOS!$M$25:$M$42))),0),ROUNDUP([1]CRITERIOS!$M$16/(IF(COUNTIF([1]CRITERIOS!$BG$11:$BG$201,L607)&gt;=1,_xlfn.XLOOKUP(ARTÍCULOS!L607,[1]CRITERIOS!$BG$11:$BG$201:#REF!,[1]CRITERIOS!$BJ$11:$BJ$201),_xlfn.XLOOKUP(ARTÍCULOS!C607,[1]CRITERIOS!$K$25:$K$42,[1]CRITERIOS!$M$25:$M$42))),0),(E607+V607-_xlfn.XLOOKUP(A607,'[1]DATOS PBI Artículos'!$A$4:$A$4,'[1]DATOS PBI Artículos'!$W$4:$W$4))/N607)</f>
        <v>#N/A</v>
      </c>
      <c r="AC607" s="33" t="e">
        <f>IF(N607=0,"",(ROUNDUP((N607/2)/(_xlfn.XLOOKUP(A607,'[1]DATOS PBI Artículos'!$A$4:$A$4,'[1]DATOS PBI Artículos'!$Z$4:$Z$4)*_xlfn.XLOOKUP(_xlfn.XLOOKUP(A607,'[1]DATOS PBI Artículos'!$A$4:$A$4,'[1]DATOS PBI Artículos'!$Y$4:$Y$4),[1]CRITERIOS!$P$79:$P$123,[1]CRITERIOS!$S$79:$S$123)),0)*[1]CRITERIOS!$M$80*([1]CRITERIOS!$M$110/[1]CRITERIOS!$M$86)+(_xlfn.XLOOKUP(A607,'[1]DATOS PBI Artículos'!$A$4:$A$4,'[1]DATOS PBI Artículos'!$AA$4:$AA$4)*([1]CRITERIOS!$M$95+[1]CRITERIOS!$M$98)))/N607)</f>
        <v>#N/A</v>
      </c>
      <c r="AD607" s="33" t="e">
        <f>IF(N607=0,"",(ROUNDUP((N607/2)/(_xlfn.XLOOKUP(A607,'[1]DATOS PBI Artículos'!$A$4:$A$4,'[1]DATOS PBI Artículos'!$Z$4:$Z$4)*_xlfn.XLOOKUP(_xlfn.XLOOKUP(A607,'[1]DATOS PBI Artículos'!$A$4:$A$4,'[1]DATOS PBI Artículos'!$Y$4:$Y$4),[1]CRITERIOS!$P$79:$P$123,[1]CRITERIOS!$S$79:$S$123)),0)*[1]CRITERIOS!$M$80*([1]CRITERIOS!$M$89*[1]CRITERIOS!$M$92)+((_xlfn.XLOOKUP(A607,'[1]DATOS PBI Artículos'!$A$4:$A$4,'[1]DATOS PBI Artículos'!$AA$4:$AA$4)/2)*([1]CRITERIOS!$M$95+[1]CRITERIOS!$M$98)))/N607)</f>
        <v>#N/A</v>
      </c>
      <c r="AE607" s="39" t="e">
        <f>IF($R607="MTO","",
IF($H607=0,ROUNDUP(((_xlfn.XLOOKUP($A607,'[1]DATOS PBI Artículos'!$A:$A,'[1]DATOS PBI Artículos'!$AL:$AL))/(_xlfn.XLOOKUP($AF$1,[1]CRITERIOS!$S$16:$S$39,[1]CRITERIOS!$Y$16:$Y$39))*$J607+$Z607)/$G607,0)*$G607,
((_xlfn.XLOOKUP($A607,'[1]DATOS PBI Artículos'!$A:$A,'[1]DATOS PBI Artículos'!$AL:$AL))/(_xlfn.XLOOKUP($AF$1,[1]CRITERIOS!$S$16:$S$39,[1]CRITERIOS!$Y$16:$Y$39))*$J607+$Z607)))</f>
        <v>#N/A</v>
      </c>
      <c r="AG607" s="39" t="e">
        <f>IF($R607="MTO","",
IF($H607=0,ROUNDUP(((_xlfn.XLOOKUP($A607,'[1]DATOS PBI Artículos'!$A:$A,'[1]DATOS PBI Artículos'!$AM:$AM))/(_xlfn.XLOOKUP($AH$1,[1]CRITERIOS!$S$16:$S$39,[1]CRITERIOS!$Y$16:$Y$39))*$J607+$Z607)/$G607,0)*$G607,
((_xlfn.XLOOKUP($A607,'[1]DATOS PBI Artículos'!$A:$A,'[1]DATOS PBI Artículos'!$AM:$AM))/(_xlfn.XLOOKUP($AH$1,[1]CRITERIOS!$S$16:$S$39,[1]CRITERIOS!$Y$16:$Y$39))*$J607+$Z607)))</f>
        <v>#N/A</v>
      </c>
      <c r="AI607" s="39" t="e">
        <f>IF($R607="MTO","",
IF($H607=0,ROUNDUP(((_xlfn.XLOOKUP($A607,'[1]DATOS PBI Artículos'!$A:$A,'[1]DATOS PBI Artículos'!$AN:$AN))/(_xlfn.XLOOKUP($AJ$1,[1]CRITERIOS!$S$16:$S$39,[1]CRITERIOS!$Y$16:$Y$39))*$J607+$Z607)/$G607,0)*$G607,
((_xlfn.XLOOKUP($A607,'[1]DATOS PBI Artículos'!$A:$A,'[1]DATOS PBI Artículos'!$AN:$AN))/(_xlfn.XLOOKUP($AJ$1,[1]CRITERIOS!$S$16:$S$39,[1]CRITERIOS!$Y$16:$Y$39))*$J607+$Z607)))</f>
        <v>#N/A</v>
      </c>
      <c r="AK607" s="39" t="e">
        <f>IF($R607="MTO","",
IF($H607=0,ROUNDUP(((_xlfn.XLOOKUP($A607,'[1]DATOS PBI Artículos'!$A:$A,'[1]DATOS PBI Artículos'!$AO:$AO))/(_xlfn.XLOOKUP($AL$1,[1]CRITERIOS!$S$16:$S$39,[1]CRITERIOS!$Y$16:$Y$39))*$J607+$Z607)/$G607,0)*$G607,
((_xlfn.XLOOKUP($A607,'[1]DATOS PBI Artículos'!$A:$A,'[1]DATOS PBI Artículos'!$AO:$AO))/(_xlfn.XLOOKUP($AL$1,[1]CRITERIOS!$S$16:$S$39,[1]CRITERIOS!$Y$16:$Y$39))*$J607+$Z607)))</f>
        <v>#N/A</v>
      </c>
    </row>
    <row r="608" spans="1:37" ht="25.8" hidden="1" x14ac:dyDescent="0.4">
      <c r="A608" s="41"/>
      <c r="B608" s="33">
        <f>_xlfn.XLOOKUP($A608,'[1]DATOS PBI Artículos'!A:A,'[1]DATOS PBI Artículos'!B:B)</f>
        <v>0</v>
      </c>
      <c r="C608" s="33">
        <f>_xlfn.XLOOKUP($A608,'[1]DATOS PBI Artículos'!A:A,'[1]DATOS PBI Artículos'!C:C)</f>
        <v>0</v>
      </c>
      <c r="D608" s="33">
        <f>_xlfn.XLOOKUP(A608,'[1]DATOS PBI Artículos'!A:A,'[1]DATOS PBI Artículos'!T:T)</f>
        <v>0</v>
      </c>
      <c r="E608" s="34">
        <f>IF(_xlfn.XLOOKUP($A608,'[1]DATOS PBI Artículos'!A:A,'[1]DATOS PBI Artículos'!AK:AK)="",_xlfn.XLOOKUP($A608,'[1]DATOS PBI Artículos'!A:A,'[1]DATOS PBI Artículos'!AJ:AJ),_xlfn.XLOOKUP($A608,'[1]DATOS PBI Artículos'!A:A,'[1]DATOS PBI Artículos'!AK:AK))</f>
        <v>0</v>
      </c>
      <c r="F608" s="35">
        <f>_xlfn.XLOOKUP($A608,'[1]DATOS PBI Artículos'!A:A,'[1]DATOS PBI Artículos'!AP:AP)</f>
        <v>0</v>
      </c>
      <c r="G608" s="34">
        <f>_xlfn.XLOOKUP($A608,'[1]DATOS PBI Artículos'!A:A,'[1]DATOS PBI Artículos'!AR:AR)</f>
        <v>0</v>
      </c>
      <c r="H608" s="34">
        <f>_xlfn.XLOOKUP($A608,'[1]DATOS PBI Artículos'!A:A,'[1]DATOS PBI Artículos'!AT:AT)</f>
        <v>0</v>
      </c>
      <c r="I608" s="34">
        <f>_xlfn.XLOOKUP($A608,'[1]DATOS PBI Artículos'!A:A,'[1]DATOS PBI Artículos'!AS:AS)</f>
        <v>0</v>
      </c>
      <c r="J608" s="35">
        <f>IF(COUNTIF([1]CRITERIOS!$F$179:$F$199,$A608)&gt;=1,
 IF(O608&lt;&gt;"",
    (O608/_xlfn.XLOOKUP(CONCATENATE(A608,L608),[1]MÁQUINAS!A:A,[1]MÁQUINAS!D:D))/24,
    (N608/_xlfn.XLOOKUP(CONCATENATE(A608,L608),[1]MÁQUINAS!A:A,[1]MÁQUINAS!D:D))/24),
  _xlfn.XLOOKUP($A608,'[1]DATOS PBI Artículos'!A:A,'[1]DATOS PBI Artículos'!AU:AU))</f>
        <v>0</v>
      </c>
      <c r="K608" s="36">
        <f>_xlfn.XLOOKUP($A608,'[1]DATOS PBI Artículos'!A:A,'[1]DATOS PBI Artículos'!AV:AV)</f>
        <v>0</v>
      </c>
      <c r="L608" s="33">
        <f>_xlfn.XLOOKUP(A608,[1]MÁQUINAS!B:B,[1]MÁQUINAS!C:C)</f>
        <v>0</v>
      </c>
      <c r="M608" s="34">
        <f t="array" ref="M608">_xlfn.XLOOKUP(A608,'[1]DATOS PBI Artículos'!A:A,'[1]DATOS PBI Artículos'!AX:$AX)</f>
        <v>0</v>
      </c>
      <c r="N608" s="37" t="e">
        <f>IF(I608="DV",
E608,
IF(COUNTIF([1]CRITERIOS!$I$179:$I$199,$A608)&gt;=1,
_xlfn.XLOOKUP($A608,[1]CRITERIOS!$I$179:$I$199,[1]CRITERIOS!$J$179:$J$199),
IF(COUNTIF([1]CRITERIOS!$L$179:$L$199,$A608)&gt;=1,
_xlfn.CEILING.MATH(IF($M608&gt;$E608,
$E608,
IF($M608&lt;$E608/ROUNDDOWN([1]CRITERIOS!$M$16/_xlfn.XLOOKUP($C608,[1]CRITERIOS!$K$25:$K$42,[1]CRITERIOS!$M$25:$M$42),
1),
E608/ROUNDDOWN([1]CRITERIOS!$M$16/_xlfn.XLOOKUP($C608,[1]CRITERIOS!$K$25:$K$42,[1]CRITERIOS!$M$25:$M$42),
1),
$M608)),
_xlfn.XLOOKUP($A608,[1]CRITERIOS!$L$179:$L$200,[1]CRITERIOS!$M$179:$M$200)),
_xlfn.CEILING.MATH(IF($M608&gt;$E608,
$E608,
IF($M608&lt;$E608/ROUNDDOWN([1]CRITERIOS!$M$16/_xlfn.XLOOKUP($C608,[1]CRITERIOS!$K$25:$K$42,[1]CRITERIOS!$M$25:$M$42),
1),
E608/ROUNDDOWN([1]CRITERIOS!$M$16/_xlfn.XLOOKUP($C608,[1]CRITERIOS!$K$25:$K$42,[1]CRITERIOS!$M$25:$M$42),
1),
$M608)),_xlfn.XLOOKUP(A608,'[1]DATOS PBI Artículos'!A:A,'[1]DATOS PBI Artículos'!Z:Z
)))))</f>
        <v>#N/A</v>
      </c>
      <c r="Q608" s="38" t="e">
        <f>IF(AND(O608="",N608=0),
0,
   IF(COUNTIF([1]CRITERIOS!$F$179:$F$199,$A608)&gt;=1,
   1,
   IF(R608="MTO",
      $D608,
      ROUNDUP(
                    IF(($E608-SUMIF('[1]DATOS PBI Artículos'!A:A,A608,'[1]DATOS PBI Artículos'!X:X)+($V608-_xlfn.XLOOKUP(A608,'[1]DATOS PBI Artículos'!A:A,'[1]DATOS PBI Artículos'!W:W)))&lt;0,
                    0,
                    IF(($E608-SUMIF('[1]DATOS PBI Artículos'!A:A,A608,'[1]DATOS PBI Artículos'!X:X)+$V608-_xlfn.XLOOKUP($A608,'[1]DATOS PBI Artículos'!A:A,'[1]DATOS PBI Artículos'!W:W))/IF($O608="",$N608,$O608)&gt;ROUNDUP([1]CRITERIOS!$M$16/(IF(COUNTIF([1]CRITERIOS!$BG$11:$BG$201,L608)&gt;=1,_xlfn.XLOOKUP($C608,[1]CRITERIOS!$K$25:$K$42,[1]CRITERIOS!$M$25:$M$42),_xlfn.XLOOKUP($C608,[1]CRITERIOS!$K$25:$K$42,[1]CRITERIOS!$M$25:$M$42))),0),
                    ROUNDUP([1]CRITERIOS!$M$16/(IF(COUNTIF([1]CRITERIOS!$BG$11:$BG$201,$L608)&gt;=1,_xlfn.XLOOKUP($C608,[1]CRITERIOS!$K$25:$K$42,[1]CRITERIOS!$M$25:$M$42),_xlfn.XLOOKUP($C608,[1]CRITERIOS!$K$25:$K$42,[1]CRITERIOS!$M$25:$M$42))),0),
                    (E608+V608-SUMIF('[1]DATOS PBI Artículos'!A:A,A608,'[1]DATOS PBI Artículos'!X:X)-_xlfn.XLOOKUP(A608,'[1]DATOS PBI Artículos'!A:A,'[1]DATOS PBI Artículos'!W:W))/IF($O608="",$N608,$O608))),0))))</f>
        <v>#N/A</v>
      </c>
      <c r="R608" s="33" t="e">
        <f>IF(U608&lt;&gt;"",U608,IF(F608="DV","MTO",IF(N608=0,"MTO",_xlfn.XLOOKUP(CONCATENATE(S608,T608),[1]CRITERIOS!$K$160:$K$168,[1]CRITERIOS!$N$160:$N$168))))</f>
        <v>#N/A</v>
      </c>
      <c r="S608" s="33" t="e">
        <f>IF(G608="DV","MTO",IF(N608=0,"MTO",IF(OR(AND(N608=0,O608=""),IF(O608="",G608/N608,G608/O608)&gt;[1]CRITERIOS!$G$163),"MTO",IF(IF(O608="",G608/N608,G608/O608)&lt;[1]CRITERIOS!$H$161,"MTS","MTOS"))))</f>
        <v>#N/A</v>
      </c>
      <c r="T608" s="33" t="e">
        <f>IF(F608="DV","MTO",IF(OR(AND($N608=0,O608=""),$F608/$J608&gt;[1]CRITERIOS!$G$170,$F608="DV"),"MTO",IF($F608/$J608&lt;[1]CRITERIOS!$H$168,"MTS","MTOS")))</f>
        <v>#N/A</v>
      </c>
      <c r="V608" s="34" t="e">
        <f t="shared" si="31"/>
        <v>#N/A</v>
      </c>
      <c r="X608" s="34" t="e">
        <f t="shared" si="29"/>
        <v>#N/A</v>
      </c>
      <c r="Y608" s="34" t="e">
        <f t="shared" si="30"/>
        <v>#N/A</v>
      </c>
      <c r="Z608" s="34" t="e">
        <f>IF($R608="MTO",
0,
($H608+$K608*($E608/[1]CRITERIOS!$M$16))/[1]CRITERIOS!$X$48)</f>
        <v>#N/A</v>
      </c>
      <c r="AA608" s="34" t="e">
        <f>ROUNDUP(($Y608/_xlfn.XLOOKUP($A608,'[1]DATOS PBI Artículos'!$A$4:$A$4,'[1]DATOS PBI Artículos'!$Z$4:$Z$4))/_xlfn.XLOOKUP(_xlfn.XLOOKUP($A608,'[1]DATOS PBI Artículos'!$A$4:$A$4,'[1]DATOS PBI Artículos'!$Y$4:$Y$4),[1]CRITERIOS!$P$79:$P$123,[1]CRITERIOS!$S$79:$S$123,),0)</f>
        <v>#N/A</v>
      </c>
      <c r="AB608" s="33" t="e">
        <f t="array" ref="AB608">IF((E608+V608-_xlfn.XLOOKUP(A608,'[1]DATOS PBI Artículos'!$A$4:$A$4,'[1]DATOS PBI Artículos'!$W$4:$W$4))/N608&gt;ROUNDUP([1]CRITERIOS!$M$16/(IF(COUNTIF([1]CRITERIOS!$BG$11:$BG$201,L608)&gt;=1,_xlfn.XLOOKUP(ARTÍCULOS!L608,[1]CRITERIOS!$BG$11:$BG$201,[1]CRITERIOS!$BJ$11:$BJ$201),_xlfn.XLOOKUP(ARTÍCULOS!C608,[1]CRITERIOS!$K$25:$K$42,[1]CRITERIOS!$M$25:$M$42))),0),ROUNDUP([1]CRITERIOS!$M$16/(IF(COUNTIF([1]CRITERIOS!$BG$11:$BG$201,L608)&gt;=1,_xlfn.XLOOKUP(ARTÍCULOS!L608,[1]CRITERIOS!$BG$11:$BG$201:#REF!,[1]CRITERIOS!$BJ$11:$BJ$201),_xlfn.XLOOKUP(ARTÍCULOS!C608,[1]CRITERIOS!$K$25:$K$42,[1]CRITERIOS!$M$25:$M$42))),0),(E608+V608-_xlfn.XLOOKUP(A608,'[1]DATOS PBI Artículos'!$A$4:$A$4,'[1]DATOS PBI Artículos'!$W$4:$W$4))/N608)</f>
        <v>#N/A</v>
      </c>
      <c r="AC608" s="33" t="e">
        <f>IF(N608=0,"",(ROUNDUP((N608/2)/(_xlfn.XLOOKUP(A608,'[1]DATOS PBI Artículos'!$A$4:$A$4,'[1]DATOS PBI Artículos'!$Z$4:$Z$4)*_xlfn.XLOOKUP(_xlfn.XLOOKUP(A608,'[1]DATOS PBI Artículos'!$A$4:$A$4,'[1]DATOS PBI Artículos'!$Y$4:$Y$4),[1]CRITERIOS!$P$79:$P$123,[1]CRITERIOS!$S$79:$S$123)),0)*[1]CRITERIOS!$M$80*([1]CRITERIOS!$M$110/[1]CRITERIOS!$M$86)+(_xlfn.XLOOKUP(A608,'[1]DATOS PBI Artículos'!$A$4:$A$4,'[1]DATOS PBI Artículos'!$AA$4:$AA$4)*([1]CRITERIOS!$M$95+[1]CRITERIOS!$M$98)))/N608)</f>
        <v>#N/A</v>
      </c>
      <c r="AD608" s="33" t="e">
        <f>IF(N608=0,"",(ROUNDUP((N608/2)/(_xlfn.XLOOKUP(A608,'[1]DATOS PBI Artículos'!$A$4:$A$4,'[1]DATOS PBI Artículos'!$Z$4:$Z$4)*_xlfn.XLOOKUP(_xlfn.XLOOKUP(A608,'[1]DATOS PBI Artículos'!$A$4:$A$4,'[1]DATOS PBI Artículos'!$Y$4:$Y$4),[1]CRITERIOS!$P$79:$P$123,[1]CRITERIOS!$S$79:$S$123)),0)*[1]CRITERIOS!$M$80*([1]CRITERIOS!$M$89*[1]CRITERIOS!$M$92)+((_xlfn.XLOOKUP(A608,'[1]DATOS PBI Artículos'!$A$4:$A$4,'[1]DATOS PBI Artículos'!$AA$4:$AA$4)/2)*([1]CRITERIOS!$M$95+[1]CRITERIOS!$M$98)))/N608)</f>
        <v>#N/A</v>
      </c>
      <c r="AE608" s="39" t="e">
        <f>IF($R608="MTO","",
IF($H608=0,ROUNDUP(((_xlfn.XLOOKUP($A608,'[1]DATOS PBI Artículos'!$A:$A,'[1]DATOS PBI Artículos'!$AL:$AL))/(_xlfn.XLOOKUP($AF$1,[1]CRITERIOS!$S$16:$S$39,[1]CRITERIOS!$Y$16:$Y$39))*$J608+$Z608)/$G608,0)*$G608,
((_xlfn.XLOOKUP($A608,'[1]DATOS PBI Artículos'!$A:$A,'[1]DATOS PBI Artículos'!$AL:$AL))/(_xlfn.XLOOKUP($AF$1,[1]CRITERIOS!$S$16:$S$39,[1]CRITERIOS!$Y$16:$Y$39))*$J608+$Z608)))</f>
        <v>#N/A</v>
      </c>
      <c r="AG608" s="39" t="e">
        <f>IF($R608="MTO","",
IF($H608=0,ROUNDUP(((_xlfn.XLOOKUP($A608,'[1]DATOS PBI Artículos'!$A:$A,'[1]DATOS PBI Artículos'!$AM:$AM))/(_xlfn.XLOOKUP($AH$1,[1]CRITERIOS!$S$16:$S$39,[1]CRITERIOS!$Y$16:$Y$39))*$J608+$Z608)/$G608,0)*$G608,
((_xlfn.XLOOKUP($A608,'[1]DATOS PBI Artículos'!$A:$A,'[1]DATOS PBI Artículos'!$AM:$AM))/(_xlfn.XLOOKUP($AH$1,[1]CRITERIOS!$S$16:$S$39,[1]CRITERIOS!$Y$16:$Y$39))*$J608+$Z608)))</f>
        <v>#N/A</v>
      </c>
      <c r="AI608" s="39" t="e">
        <f>IF($R608="MTO","",
IF($H608=0,ROUNDUP(((_xlfn.XLOOKUP($A608,'[1]DATOS PBI Artículos'!$A:$A,'[1]DATOS PBI Artículos'!$AN:$AN))/(_xlfn.XLOOKUP($AJ$1,[1]CRITERIOS!$S$16:$S$39,[1]CRITERIOS!$Y$16:$Y$39))*$J608+$Z608)/$G608,0)*$G608,
((_xlfn.XLOOKUP($A608,'[1]DATOS PBI Artículos'!$A:$A,'[1]DATOS PBI Artículos'!$AN:$AN))/(_xlfn.XLOOKUP($AJ$1,[1]CRITERIOS!$S$16:$S$39,[1]CRITERIOS!$Y$16:$Y$39))*$J608+$Z608)))</f>
        <v>#N/A</v>
      </c>
      <c r="AK608" s="39" t="e">
        <f>IF($R608="MTO","",
IF($H608=0,ROUNDUP(((_xlfn.XLOOKUP($A608,'[1]DATOS PBI Artículos'!$A:$A,'[1]DATOS PBI Artículos'!$AO:$AO))/(_xlfn.XLOOKUP($AL$1,[1]CRITERIOS!$S$16:$S$39,[1]CRITERIOS!$Y$16:$Y$39))*$J608+$Z608)/$G608,0)*$G608,
((_xlfn.XLOOKUP($A608,'[1]DATOS PBI Artículos'!$A:$A,'[1]DATOS PBI Artículos'!$AO:$AO))/(_xlfn.XLOOKUP($AL$1,[1]CRITERIOS!$S$16:$S$39,[1]CRITERIOS!$Y$16:$Y$39))*$J608+$Z608)))</f>
        <v>#N/A</v>
      </c>
    </row>
    <row r="609" spans="1:37" ht="25.8" hidden="1" x14ac:dyDescent="0.4">
      <c r="A609" s="41"/>
      <c r="B609" s="33">
        <f>_xlfn.XLOOKUP($A609,'[1]DATOS PBI Artículos'!A:A,'[1]DATOS PBI Artículos'!B:B)</f>
        <v>0</v>
      </c>
      <c r="C609" s="33">
        <f>_xlfn.XLOOKUP($A609,'[1]DATOS PBI Artículos'!A:A,'[1]DATOS PBI Artículos'!C:C)</f>
        <v>0</v>
      </c>
      <c r="D609" s="33">
        <f>_xlfn.XLOOKUP(A609,'[1]DATOS PBI Artículos'!A:A,'[1]DATOS PBI Artículos'!T:T)</f>
        <v>0</v>
      </c>
      <c r="E609" s="34">
        <f>IF(_xlfn.XLOOKUP($A609,'[1]DATOS PBI Artículos'!A:A,'[1]DATOS PBI Artículos'!AK:AK)="",_xlfn.XLOOKUP($A609,'[1]DATOS PBI Artículos'!A:A,'[1]DATOS PBI Artículos'!AJ:AJ),_xlfn.XLOOKUP($A609,'[1]DATOS PBI Artículos'!A:A,'[1]DATOS PBI Artículos'!AK:AK))</f>
        <v>0</v>
      </c>
      <c r="F609" s="35">
        <f>_xlfn.XLOOKUP($A609,'[1]DATOS PBI Artículos'!A:A,'[1]DATOS PBI Artículos'!AP:AP)</f>
        <v>0</v>
      </c>
      <c r="G609" s="34">
        <f>_xlfn.XLOOKUP($A609,'[1]DATOS PBI Artículos'!A:A,'[1]DATOS PBI Artículos'!AR:AR)</f>
        <v>0</v>
      </c>
      <c r="H609" s="34">
        <f>_xlfn.XLOOKUP($A609,'[1]DATOS PBI Artículos'!A:A,'[1]DATOS PBI Artículos'!AT:AT)</f>
        <v>0</v>
      </c>
      <c r="I609" s="34">
        <f>_xlfn.XLOOKUP($A609,'[1]DATOS PBI Artículos'!A:A,'[1]DATOS PBI Artículos'!AS:AS)</f>
        <v>0</v>
      </c>
      <c r="J609" s="35">
        <f>IF(COUNTIF([1]CRITERIOS!$F$179:$F$199,$A609)&gt;=1,
 IF(O609&lt;&gt;"",
    (O609/_xlfn.XLOOKUP(CONCATENATE(A609,L609),[1]MÁQUINAS!A:A,[1]MÁQUINAS!D:D))/24,
    (N609/_xlfn.XLOOKUP(CONCATENATE(A609,L609),[1]MÁQUINAS!A:A,[1]MÁQUINAS!D:D))/24),
  _xlfn.XLOOKUP($A609,'[1]DATOS PBI Artículos'!A:A,'[1]DATOS PBI Artículos'!AU:AU))</f>
        <v>0</v>
      </c>
      <c r="K609" s="36">
        <f>_xlfn.XLOOKUP($A609,'[1]DATOS PBI Artículos'!A:A,'[1]DATOS PBI Artículos'!AV:AV)</f>
        <v>0</v>
      </c>
      <c r="L609" s="33">
        <f>_xlfn.XLOOKUP(A609,[1]MÁQUINAS!B:B,[1]MÁQUINAS!C:C)</f>
        <v>0</v>
      </c>
      <c r="M609" s="34">
        <f t="array" ref="M609">_xlfn.XLOOKUP(A609,'[1]DATOS PBI Artículos'!A:A,'[1]DATOS PBI Artículos'!AX:$AX)</f>
        <v>0</v>
      </c>
      <c r="N609" s="37" t="e">
        <f>IF(I609="DV",
E609,
IF(COUNTIF([1]CRITERIOS!$I$179:$I$199,$A609)&gt;=1,
_xlfn.XLOOKUP($A609,[1]CRITERIOS!$I$179:$I$199,[1]CRITERIOS!$J$179:$J$199),
IF(COUNTIF([1]CRITERIOS!$L$179:$L$199,$A609)&gt;=1,
_xlfn.CEILING.MATH(IF($M609&gt;$E609,
$E609,
IF($M609&lt;$E609/ROUNDDOWN([1]CRITERIOS!$M$16/_xlfn.XLOOKUP($C609,[1]CRITERIOS!$K$25:$K$42,[1]CRITERIOS!$M$25:$M$42),
1),
E609/ROUNDDOWN([1]CRITERIOS!$M$16/_xlfn.XLOOKUP($C609,[1]CRITERIOS!$K$25:$K$42,[1]CRITERIOS!$M$25:$M$42),
1),
$M609)),
_xlfn.XLOOKUP($A609,[1]CRITERIOS!$L$179:$L$200,[1]CRITERIOS!$M$179:$M$200)),
_xlfn.CEILING.MATH(IF($M609&gt;$E609,
$E609,
IF($M609&lt;$E609/ROUNDDOWN([1]CRITERIOS!$M$16/_xlfn.XLOOKUP($C609,[1]CRITERIOS!$K$25:$K$42,[1]CRITERIOS!$M$25:$M$42),
1),
E609/ROUNDDOWN([1]CRITERIOS!$M$16/_xlfn.XLOOKUP($C609,[1]CRITERIOS!$K$25:$K$42,[1]CRITERIOS!$M$25:$M$42),
1),
$M609)),_xlfn.XLOOKUP(A609,'[1]DATOS PBI Artículos'!A:A,'[1]DATOS PBI Artículos'!Z:Z
)))))</f>
        <v>#N/A</v>
      </c>
      <c r="Q609" s="38" t="e">
        <f>IF(AND(O609="",N609=0),
0,
   IF(COUNTIF([1]CRITERIOS!$F$179:$F$199,$A609)&gt;=1,
   1,
   IF(R609="MTO",
      $D609,
      ROUNDUP(
                    IF(($E609-SUMIF('[1]DATOS PBI Artículos'!A:A,A609,'[1]DATOS PBI Artículos'!X:X)+($V609-_xlfn.XLOOKUP(A609,'[1]DATOS PBI Artículos'!A:A,'[1]DATOS PBI Artículos'!W:W)))&lt;0,
                    0,
                    IF(($E609-SUMIF('[1]DATOS PBI Artículos'!A:A,A609,'[1]DATOS PBI Artículos'!X:X)+$V609-_xlfn.XLOOKUP($A609,'[1]DATOS PBI Artículos'!A:A,'[1]DATOS PBI Artículos'!W:W))/IF($O609="",$N609,$O609)&gt;ROUNDUP([1]CRITERIOS!$M$16/(IF(COUNTIF([1]CRITERIOS!$BG$11:$BG$201,L609)&gt;=1,_xlfn.XLOOKUP($C609,[1]CRITERIOS!$K$25:$K$42,[1]CRITERIOS!$M$25:$M$42),_xlfn.XLOOKUP($C609,[1]CRITERIOS!$K$25:$K$42,[1]CRITERIOS!$M$25:$M$42))),0),
                    ROUNDUP([1]CRITERIOS!$M$16/(IF(COUNTIF([1]CRITERIOS!$BG$11:$BG$201,$L609)&gt;=1,_xlfn.XLOOKUP($C609,[1]CRITERIOS!$K$25:$K$42,[1]CRITERIOS!$M$25:$M$42),_xlfn.XLOOKUP($C609,[1]CRITERIOS!$K$25:$K$42,[1]CRITERIOS!$M$25:$M$42))),0),
                    (E609+V609-SUMIF('[1]DATOS PBI Artículos'!A:A,A609,'[1]DATOS PBI Artículos'!X:X)-_xlfn.XLOOKUP(A609,'[1]DATOS PBI Artículos'!A:A,'[1]DATOS PBI Artículos'!W:W))/IF($O609="",$N609,$O609))),0))))</f>
        <v>#N/A</v>
      </c>
      <c r="R609" s="33" t="e">
        <f>IF(U609&lt;&gt;"",U609,IF(F609="DV","MTO",IF(N609=0,"MTO",_xlfn.XLOOKUP(CONCATENATE(S609,T609),[1]CRITERIOS!$K$160:$K$168,[1]CRITERIOS!$N$160:$N$168))))</f>
        <v>#N/A</v>
      </c>
      <c r="S609" s="33" t="e">
        <f>IF(G609="DV","MTO",IF(N609=0,"MTO",IF(OR(AND(N609=0,O609=""),IF(O609="",G609/N609,G609/O609)&gt;[1]CRITERIOS!$G$163),"MTO",IF(IF(O609="",G609/N609,G609/O609)&lt;[1]CRITERIOS!$H$161,"MTS","MTOS"))))</f>
        <v>#N/A</v>
      </c>
      <c r="T609" s="33" t="e">
        <f>IF(F609="DV","MTO",IF(OR(AND($N609=0,O609=""),$F609/$J609&gt;[1]CRITERIOS!$G$170,$F609="DV"),"MTO",IF($F609/$J609&lt;[1]CRITERIOS!$H$168,"MTS","MTOS")))</f>
        <v>#N/A</v>
      </c>
      <c r="V609" s="34" t="e">
        <f t="shared" si="31"/>
        <v>#N/A</v>
      </c>
      <c r="X609" s="34" t="e">
        <f t="shared" si="29"/>
        <v>#N/A</v>
      </c>
      <c r="Y609" s="34" t="e">
        <f t="shared" si="30"/>
        <v>#N/A</v>
      </c>
      <c r="Z609" s="34" t="e">
        <f>IF($R609="MTO",
0,
($H609+$K609*($E609/[1]CRITERIOS!$M$16))/[1]CRITERIOS!$X$48)</f>
        <v>#N/A</v>
      </c>
      <c r="AA609" s="34" t="e">
        <f>ROUNDUP(($Y609/_xlfn.XLOOKUP($A609,'[1]DATOS PBI Artículos'!$A$4:$A$4,'[1]DATOS PBI Artículos'!$Z$4:$Z$4))/_xlfn.XLOOKUP(_xlfn.XLOOKUP($A609,'[1]DATOS PBI Artículos'!$A$4:$A$4,'[1]DATOS PBI Artículos'!$Y$4:$Y$4),[1]CRITERIOS!$P$79:$P$123,[1]CRITERIOS!$S$79:$S$123,),0)</f>
        <v>#N/A</v>
      </c>
      <c r="AB609" s="33" t="e">
        <f t="array" ref="AB609">IF((E609+V609-_xlfn.XLOOKUP(A609,'[1]DATOS PBI Artículos'!$A$4:$A$4,'[1]DATOS PBI Artículos'!$W$4:$W$4))/N609&gt;ROUNDUP([1]CRITERIOS!$M$16/(IF(COUNTIF([1]CRITERIOS!$BG$11:$BG$201,L609)&gt;=1,_xlfn.XLOOKUP(ARTÍCULOS!L609,[1]CRITERIOS!$BG$11:$BG$201,[1]CRITERIOS!$BJ$11:$BJ$201),_xlfn.XLOOKUP(ARTÍCULOS!C609,[1]CRITERIOS!$K$25:$K$42,[1]CRITERIOS!$M$25:$M$42))),0),ROUNDUP([1]CRITERIOS!$M$16/(IF(COUNTIF([1]CRITERIOS!$BG$11:$BG$201,L609)&gt;=1,_xlfn.XLOOKUP(ARTÍCULOS!L609,[1]CRITERIOS!$BG$11:$BG$201:#REF!,[1]CRITERIOS!$BJ$11:$BJ$201),_xlfn.XLOOKUP(ARTÍCULOS!C609,[1]CRITERIOS!$K$25:$K$42,[1]CRITERIOS!$M$25:$M$42))),0),(E609+V609-_xlfn.XLOOKUP(A609,'[1]DATOS PBI Artículos'!$A$4:$A$4,'[1]DATOS PBI Artículos'!$W$4:$W$4))/N609)</f>
        <v>#N/A</v>
      </c>
      <c r="AC609" s="33" t="e">
        <f>IF(N609=0,"",(ROUNDUP((N609/2)/(_xlfn.XLOOKUP(A609,'[1]DATOS PBI Artículos'!$A$4:$A$4,'[1]DATOS PBI Artículos'!$Z$4:$Z$4)*_xlfn.XLOOKUP(_xlfn.XLOOKUP(A609,'[1]DATOS PBI Artículos'!$A$4:$A$4,'[1]DATOS PBI Artículos'!$Y$4:$Y$4),[1]CRITERIOS!$P$79:$P$123,[1]CRITERIOS!$S$79:$S$123)),0)*[1]CRITERIOS!$M$80*([1]CRITERIOS!$M$110/[1]CRITERIOS!$M$86)+(_xlfn.XLOOKUP(A609,'[1]DATOS PBI Artículos'!$A$4:$A$4,'[1]DATOS PBI Artículos'!$AA$4:$AA$4)*([1]CRITERIOS!$M$95+[1]CRITERIOS!$M$98)))/N609)</f>
        <v>#N/A</v>
      </c>
      <c r="AD609" s="33" t="e">
        <f>IF(N609=0,"",(ROUNDUP((N609/2)/(_xlfn.XLOOKUP(A609,'[1]DATOS PBI Artículos'!$A$4:$A$4,'[1]DATOS PBI Artículos'!$Z$4:$Z$4)*_xlfn.XLOOKUP(_xlfn.XLOOKUP(A609,'[1]DATOS PBI Artículos'!$A$4:$A$4,'[1]DATOS PBI Artículos'!$Y$4:$Y$4),[1]CRITERIOS!$P$79:$P$123,[1]CRITERIOS!$S$79:$S$123)),0)*[1]CRITERIOS!$M$80*([1]CRITERIOS!$M$89*[1]CRITERIOS!$M$92)+((_xlfn.XLOOKUP(A609,'[1]DATOS PBI Artículos'!$A$4:$A$4,'[1]DATOS PBI Artículos'!$AA$4:$AA$4)/2)*([1]CRITERIOS!$M$95+[1]CRITERIOS!$M$98)))/N609)</f>
        <v>#N/A</v>
      </c>
      <c r="AE609" s="39" t="e">
        <f>IF($R609="MTO","",
IF($H609=0,ROUNDUP(((_xlfn.XLOOKUP($A609,'[1]DATOS PBI Artículos'!$A:$A,'[1]DATOS PBI Artículos'!$AL:$AL))/(_xlfn.XLOOKUP($AF$1,[1]CRITERIOS!$S$16:$S$39,[1]CRITERIOS!$Y$16:$Y$39))*$J609+$Z609)/$G609,0)*$G609,
((_xlfn.XLOOKUP($A609,'[1]DATOS PBI Artículos'!$A:$A,'[1]DATOS PBI Artículos'!$AL:$AL))/(_xlfn.XLOOKUP($AF$1,[1]CRITERIOS!$S$16:$S$39,[1]CRITERIOS!$Y$16:$Y$39))*$J609+$Z609)))</f>
        <v>#N/A</v>
      </c>
      <c r="AG609" s="39" t="e">
        <f>IF($R609="MTO","",
IF($H609=0,ROUNDUP(((_xlfn.XLOOKUP($A609,'[1]DATOS PBI Artículos'!$A:$A,'[1]DATOS PBI Artículos'!$AM:$AM))/(_xlfn.XLOOKUP($AH$1,[1]CRITERIOS!$S$16:$S$39,[1]CRITERIOS!$Y$16:$Y$39))*$J609+$Z609)/$G609,0)*$G609,
((_xlfn.XLOOKUP($A609,'[1]DATOS PBI Artículos'!$A:$A,'[1]DATOS PBI Artículos'!$AM:$AM))/(_xlfn.XLOOKUP($AH$1,[1]CRITERIOS!$S$16:$S$39,[1]CRITERIOS!$Y$16:$Y$39))*$J609+$Z609)))</f>
        <v>#N/A</v>
      </c>
      <c r="AI609" s="39" t="e">
        <f>IF($R609="MTO","",
IF($H609=0,ROUNDUP(((_xlfn.XLOOKUP($A609,'[1]DATOS PBI Artículos'!$A:$A,'[1]DATOS PBI Artículos'!$AN:$AN))/(_xlfn.XLOOKUP($AJ$1,[1]CRITERIOS!$S$16:$S$39,[1]CRITERIOS!$Y$16:$Y$39))*$J609+$Z609)/$G609,0)*$G609,
((_xlfn.XLOOKUP($A609,'[1]DATOS PBI Artículos'!$A:$A,'[1]DATOS PBI Artículos'!$AN:$AN))/(_xlfn.XLOOKUP($AJ$1,[1]CRITERIOS!$S$16:$S$39,[1]CRITERIOS!$Y$16:$Y$39))*$J609+$Z609)))</f>
        <v>#N/A</v>
      </c>
      <c r="AK609" s="39" t="e">
        <f>IF($R609="MTO","",
IF($H609=0,ROUNDUP(((_xlfn.XLOOKUP($A609,'[1]DATOS PBI Artículos'!$A:$A,'[1]DATOS PBI Artículos'!$AO:$AO))/(_xlfn.XLOOKUP($AL$1,[1]CRITERIOS!$S$16:$S$39,[1]CRITERIOS!$Y$16:$Y$39))*$J609+$Z609)/$G609,0)*$G609,
((_xlfn.XLOOKUP($A609,'[1]DATOS PBI Artículos'!$A:$A,'[1]DATOS PBI Artículos'!$AO:$AO))/(_xlfn.XLOOKUP($AL$1,[1]CRITERIOS!$S$16:$S$39,[1]CRITERIOS!$Y$16:$Y$39))*$J609+$Z609)))</f>
        <v>#N/A</v>
      </c>
    </row>
    <row r="610" spans="1:37" ht="25.8" hidden="1" x14ac:dyDescent="0.4">
      <c r="A610" s="41"/>
      <c r="B610" s="33">
        <f>_xlfn.XLOOKUP($A610,'[1]DATOS PBI Artículos'!A:A,'[1]DATOS PBI Artículos'!B:B)</f>
        <v>0</v>
      </c>
      <c r="C610" s="33">
        <f>_xlfn.XLOOKUP($A610,'[1]DATOS PBI Artículos'!A:A,'[1]DATOS PBI Artículos'!C:C)</f>
        <v>0</v>
      </c>
      <c r="D610" s="33">
        <f>_xlfn.XLOOKUP(A610,'[1]DATOS PBI Artículos'!A:A,'[1]DATOS PBI Artículos'!T:T)</f>
        <v>0</v>
      </c>
      <c r="E610" s="34">
        <f>IF(_xlfn.XLOOKUP($A610,'[1]DATOS PBI Artículos'!A:A,'[1]DATOS PBI Artículos'!AK:AK)="",_xlfn.XLOOKUP($A610,'[1]DATOS PBI Artículos'!A:A,'[1]DATOS PBI Artículos'!AJ:AJ),_xlfn.XLOOKUP($A610,'[1]DATOS PBI Artículos'!A:A,'[1]DATOS PBI Artículos'!AK:AK))</f>
        <v>0</v>
      </c>
      <c r="F610" s="35">
        <f>_xlfn.XLOOKUP($A610,'[1]DATOS PBI Artículos'!A:A,'[1]DATOS PBI Artículos'!AP:AP)</f>
        <v>0</v>
      </c>
      <c r="G610" s="34">
        <f>_xlfn.XLOOKUP($A610,'[1]DATOS PBI Artículos'!A:A,'[1]DATOS PBI Artículos'!AR:AR)</f>
        <v>0</v>
      </c>
      <c r="H610" s="34">
        <f>_xlfn.XLOOKUP($A610,'[1]DATOS PBI Artículos'!A:A,'[1]DATOS PBI Artículos'!AT:AT)</f>
        <v>0</v>
      </c>
      <c r="I610" s="34">
        <f>_xlfn.XLOOKUP($A610,'[1]DATOS PBI Artículos'!A:A,'[1]DATOS PBI Artículos'!AS:AS)</f>
        <v>0</v>
      </c>
      <c r="J610" s="35">
        <f>IF(COUNTIF([1]CRITERIOS!$F$179:$F$199,$A610)&gt;=1,
 IF(O610&lt;&gt;"",
    (O610/_xlfn.XLOOKUP(CONCATENATE(A610,L610),[1]MÁQUINAS!A:A,[1]MÁQUINAS!D:D))/24,
    (N610/_xlfn.XLOOKUP(CONCATENATE(A610,L610),[1]MÁQUINAS!A:A,[1]MÁQUINAS!D:D))/24),
  _xlfn.XLOOKUP($A610,'[1]DATOS PBI Artículos'!A:A,'[1]DATOS PBI Artículos'!AU:AU))</f>
        <v>0</v>
      </c>
      <c r="K610" s="36">
        <f>_xlfn.XLOOKUP($A610,'[1]DATOS PBI Artículos'!A:A,'[1]DATOS PBI Artículos'!AV:AV)</f>
        <v>0</v>
      </c>
      <c r="L610" s="33">
        <f>_xlfn.XLOOKUP(A610,[1]MÁQUINAS!B:B,[1]MÁQUINAS!C:C)</f>
        <v>0</v>
      </c>
      <c r="M610" s="34">
        <f t="array" ref="M610">_xlfn.XLOOKUP(A610,'[1]DATOS PBI Artículos'!A:A,'[1]DATOS PBI Artículos'!AX:$AX)</f>
        <v>0</v>
      </c>
      <c r="N610" s="37" t="e">
        <f>IF(I610="DV",
E610,
IF(COUNTIF([1]CRITERIOS!$I$179:$I$199,$A610)&gt;=1,
_xlfn.XLOOKUP($A610,[1]CRITERIOS!$I$179:$I$199,[1]CRITERIOS!$J$179:$J$199),
IF(COUNTIF([1]CRITERIOS!$L$179:$L$199,$A610)&gt;=1,
_xlfn.CEILING.MATH(IF($M610&gt;$E610,
$E610,
IF($M610&lt;$E610/ROUNDDOWN([1]CRITERIOS!$M$16/_xlfn.XLOOKUP($C610,[1]CRITERIOS!$K$25:$K$42,[1]CRITERIOS!$M$25:$M$42),
1),
E610/ROUNDDOWN([1]CRITERIOS!$M$16/_xlfn.XLOOKUP($C610,[1]CRITERIOS!$K$25:$K$42,[1]CRITERIOS!$M$25:$M$42),
1),
$M610)),
_xlfn.XLOOKUP($A610,[1]CRITERIOS!$L$179:$L$200,[1]CRITERIOS!$M$179:$M$200)),
_xlfn.CEILING.MATH(IF($M610&gt;$E610,
$E610,
IF($M610&lt;$E610/ROUNDDOWN([1]CRITERIOS!$M$16/_xlfn.XLOOKUP($C610,[1]CRITERIOS!$K$25:$K$42,[1]CRITERIOS!$M$25:$M$42),
1),
E610/ROUNDDOWN([1]CRITERIOS!$M$16/_xlfn.XLOOKUP($C610,[1]CRITERIOS!$K$25:$K$42,[1]CRITERIOS!$M$25:$M$42),
1),
$M610)),_xlfn.XLOOKUP(A610,'[1]DATOS PBI Artículos'!A:A,'[1]DATOS PBI Artículos'!Z:Z
)))))</f>
        <v>#N/A</v>
      </c>
      <c r="Q610" s="38" t="e">
        <f>IF(AND(O610="",N610=0),
0,
   IF(COUNTIF([1]CRITERIOS!$F$179:$F$199,$A610)&gt;=1,
   1,
   IF(R610="MTO",
      $D610,
      ROUNDUP(
                    IF(($E610-SUMIF('[1]DATOS PBI Artículos'!A:A,A610,'[1]DATOS PBI Artículos'!X:X)+($V610-_xlfn.XLOOKUP(A610,'[1]DATOS PBI Artículos'!A:A,'[1]DATOS PBI Artículos'!W:W)))&lt;0,
                    0,
                    IF(($E610-SUMIF('[1]DATOS PBI Artículos'!A:A,A610,'[1]DATOS PBI Artículos'!X:X)+$V610-_xlfn.XLOOKUP($A610,'[1]DATOS PBI Artículos'!A:A,'[1]DATOS PBI Artículos'!W:W))/IF($O610="",$N610,$O610)&gt;ROUNDUP([1]CRITERIOS!$M$16/(IF(COUNTIF([1]CRITERIOS!$BG$11:$BG$201,L610)&gt;=1,_xlfn.XLOOKUP($C610,[1]CRITERIOS!$K$25:$K$42,[1]CRITERIOS!$M$25:$M$42),_xlfn.XLOOKUP($C610,[1]CRITERIOS!$K$25:$K$42,[1]CRITERIOS!$M$25:$M$42))),0),
                    ROUNDUP([1]CRITERIOS!$M$16/(IF(COUNTIF([1]CRITERIOS!$BG$11:$BG$201,$L610)&gt;=1,_xlfn.XLOOKUP($C610,[1]CRITERIOS!$K$25:$K$42,[1]CRITERIOS!$M$25:$M$42),_xlfn.XLOOKUP($C610,[1]CRITERIOS!$K$25:$K$42,[1]CRITERIOS!$M$25:$M$42))),0),
                    (E610+V610-SUMIF('[1]DATOS PBI Artículos'!A:A,A610,'[1]DATOS PBI Artículos'!X:X)-_xlfn.XLOOKUP(A610,'[1]DATOS PBI Artículos'!A:A,'[1]DATOS PBI Artículos'!W:W))/IF($O610="",$N610,$O610))),0))))</f>
        <v>#N/A</v>
      </c>
      <c r="R610" s="33" t="e">
        <f>IF(U610&lt;&gt;"",U610,IF(F610="DV","MTO",IF(N610=0,"MTO",_xlfn.XLOOKUP(CONCATENATE(S610,T610),[1]CRITERIOS!$K$160:$K$168,[1]CRITERIOS!$N$160:$N$168))))</f>
        <v>#N/A</v>
      </c>
      <c r="S610" s="33" t="e">
        <f>IF(G610="DV","MTO",IF(N610=0,"MTO",IF(OR(AND(N610=0,O610=""),IF(O610="",G610/N610,G610/O610)&gt;[1]CRITERIOS!$G$163),"MTO",IF(IF(O610="",G610/N610,G610/O610)&lt;[1]CRITERIOS!$H$161,"MTS","MTOS"))))</f>
        <v>#N/A</v>
      </c>
      <c r="T610" s="33" t="e">
        <f>IF(F610="DV","MTO",IF(OR(AND($N610=0,O610=""),$F610/$J610&gt;[1]CRITERIOS!$G$170,$F610="DV"),"MTO",IF($F610/$J610&lt;[1]CRITERIOS!$H$168,"MTS","MTOS")))</f>
        <v>#N/A</v>
      </c>
      <c r="V610" s="34" t="e">
        <f t="shared" si="31"/>
        <v>#N/A</v>
      </c>
      <c r="X610" s="34" t="e">
        <f t="shared" si="29"/>
        <v>#N/A</v>
      </c>
      <c r="Y610" s="34" t="e">
        <f t="shared" si="30"/>
        <v>#N/A</v>
      </c>
      <c r="Z610" s="34" t="e">
        <f>IF($R610="MTO",
0,
($H610+$K610*($E610/[1]CRITERIOS!$M$16))/[1]CRITERIOS!$X$48)</f>
        <v>#N/A</v>
      </c>
      <c r="AA610" s="34" t="e">
        <f>ROUNDUP(($Y610/_xlfn.XLOOKUP($A610,'[1]DATOS PBI Artículos'!$A$4:$A$4,'[1]DATOS PBI Artículos'!$Z$4:$Z$4))/_xlfn.XLOOKUP(_xlfn.XLOOKUP($A610,'[1]DATOS PBI Artículos'!$A$4:$A$4,'[1]DATOS PBI Artículos'!$Y$4:$Y$4),[1]CRITERIOS!$P$79:$P$123,[1]CRITERIOS!$S$79:$S$123,),0)</f>
        <v>#N/A</v>
      </c>
      <c r="AB610" s="33" t="e">
        <f t="array" ref="AB610">IF((E610+V610-_xlfn.XLOOKUP(A610,'[1]DATOS PBI Artículos'!$A$4:$A$4,'[1]DATOS PBI Artículos'!$W$4:$W$4))/N610&gt;ROUNDUP([1]CRITERIOS!$M$16/(IF(COUNTIF([1]CRITERIOS!$BG$11:$BG$201,L610)&gt;=1,_xlfn.XLOOKUP(ARTÍCULOS!L610,[1]CRITERIOS!$BG$11:$BG$201,[1]CRITERIOS!$BJ$11:$BJ$201),_xlfn.XLOOKUP(ARTÍCULOS!C610,[1]CRITERIOS!$K$25:$K$42,[1]CRITERIOS!$M$25:$M$42))),0),ROUNDUP([1]CRITERIOS!$M$16/(IF(COUNTIF([1]CRITERIOS!$BG$11:$BG$201,L610)&gt;=1,_xlfn.XLOOKUP(ARTÍCULOS!L610,[1]CRITERIOS!$BG$11:$BG$201:#REF!,[1]CRITERIOS!$BJ$11:$BJ$201),_xlfn.XLOOKUP(ARTÍCULOS!C610,[1]CRITERIOS!$K$25:$K$42,[1]CRITERIOS!$M$25:$M$42))),0),(E610+V610-_xlfn.XLOOKUP(A610,'[1]DATOS PBI Artículos'!$A$4:$A$4,'[1]DATOS PBI Artículos'!$W$4:$W$4))/N610)</f>
        <v>#N/A</v>
      </c>
      <c r="AC610" s="33" t="e">
        <f>IF(N610=0,"",(ROUNDUP((N610/2)/(_xlfn.XLOOKUP(A610,'[1]DATOS PBI Artículos'!$A$4:$A$4,'[1]DATOS PBI Artículos'!$Z$4:$Z$4)*_xlfn.XLOOKUP(_xlfn.XLOOKUP(A610,'[1]DATOS PBI Artículos'!$A$4:$A$4,'[1]DATOS PBI Artículos'!$Y$4:$Y$4),[1]CRITERIOS!$P$79:$P$123,[1]CRITERIOS!$S$79:$S$123)),0)*[1]CRITERIOS!$M$80*([1]CRITERIOS!$M$110/[1]CRITERIOS!$M$86)+(_xlfn.XLOOKUP(A610,'[1]DATOS PBI Artículos'!$A$4:$A$4,'[1]DATOS PBI Artículos'!$AA$4:$AA$4)*([1]CRITERIOS!$M$95+[1]CRITERIOS!$M$98)))/N610)</f>
        <v>#N/A</v>
      </c>
      <c r="AD610" s="33" t="e">
        <f>IF(N610=0,"",(ROUNDUP((N610/2)/(_xlfn.XLOOKUP(A610,'[1]DATOS PBI Artículos'!$A$4:$A$4,'[1]DATOS PBI Artículos'!$Z$4:$Z$4)*_xlfn.XLOOKUP(_xlfn.XLOOKUP(A610,'[1]DATOS PBI Artículos'!$A$4:$A$4,'[1]DATOS PBI Artículos'!$Y$4:$Y$4),[1]CRITERIOS!$P$79:$P$123,[1]CRITERIOS!$S$79:$S$123)),0)*[1]CRITERIOS!$M$80*([1]CRITERIOS!$M$89*[1]CRITERIOS!$M$92)+((_xlfn.XLOOKUP(A610,'[1]DATOS PBI Artículos'!$A$4:$A$4,'[1]DATOS PBI Artículos'!$AA$4:$AA$4)/2)*([1]CRITERIOS!$M$95+[1]CRITERIOS!$M$98)))/N610)</f>
        <v>#N/A</v>
      </c>
      <c r="AE610" s="39" t="e">
        <f>IF($R610="MTO","",
IF($H610=0,ROUNDUP(((_xlfn.XLOOKUP($A610,'[1]DATOS PBI Artículos'!$A:$A,'[1]DATOS PBI Artículos'!$AL:$AL))/(_xlfn.XLOOKUP($AF$1,[1]CRITERIOS!$S$16:$S$39,[1]CRITERIOS!$Y$16:$Y$39))*$J610+$Z610)/$G610,0)*$G610,
((_xlfn.XLOOKUP($A610,'[1]DATOS PBI Artículos'!$A:$A,'[1]DATOS PBI Artículos'!$AL:$AL))/(_xlfn.XLOOKUP($AF$1,[1]CRITERIOS!$S$16:$S$39,[1]CRITERIOS!$Y$16:$Y$39))*$J610+$Z610)))</f>
        <v>#N/A</v>
      </c>
      <c r="AG610" s="39" t="e">
        <f>IF($R610="MTO","",
IF($H610=0,ROUNDUP(((_xlfn.XLOOKUP($A610,'[1]DATOS PBI Artículos'!$A:$A,'[1]DATOS PBI Artículos'!$AM:$AM))/(_xlfn.XLOOKUP($AH$1,[1]CRITERIOS!$S$16:$S$39,[1]CRITERIOS!$Y$16:$Y$39))*$J610+$Z610)/$G610,0)*$G610,
((_xlfn.XLOOKUP($A610,'[1]DATOS PBI Artículos'!$A:$A,'[1]DATOS PBI Artículos'!$AM:$AM))/(_xlfn.XLOOKUP($AH$1,[1]CRITERIOS!$S$16:$S$39,[1]CRITERIOS!$Y$16:$Y$39))*$J610+$Z610)))</f>
        <v>#N/A</v>
      </c>
      <c r="AI610" s="39" t="e">
        <f>IF($R610="MTO","",
IF($H610=0,ROUNDUP(((_xlfn.XLOOKUP($A610,'[1]DATOS PBI Artículos'!$A:$A,'[1]DATOS PBI Artículos'!$AN:$AN))/(_xlfn.XLOOKUP($AJ$1,[1]CRITERIOS!$S$16:$S$39,[1]CRITERIOS!$Y$16:$Y$39))*$J610+$Z610)/$G610,0)*$G610,
((_xlfn.XLOOKUP($A610,'[1]DATOS PBI Artículos'!$A:$A,'[1]DATOS PBI Artículos'!$AN:$AN))/(_xlfn.XLOOKUP($AJ$1,[1]CRITERIOS!$S$16:$S$39,[1]CRITERIOS!$Y$16:$Y$39))*$J610+$Z610)))</f>
        <v>#N/A</v>
      </c>
      <c r="AK610" s="39" t="e">
        <f>IF($R610="MTO","",
IF($H610=0,ROUNDUP(((_xlfn.XLOOKUP($A610,'[1]DATOS PBI Artículos'!$A:$A,'[1]DATOS PBI Artículos'!$AO:$AO))/(_xlfn.XLOOKUP($AL$1,[1]CRITERIOS!$S$16:$S$39,[1]CRITERIOS!$Y$16:$Y$39))*$J610+$Z610)/$G610,0)*$G610,
((_xlfn.XLOOKUP($A610,'[1]DATOS PBI Artículos'!$A:$A,'[1]DATOS PBI Artículos'!$AO:$AO))/(_xlfn.XLOOKUP($AL$1,[1]CRITERIOS!$S$16:$S$39,[1]CRITERIOS!$Y$16:$Y$39))*$J610+$Z610)))</f>
        <v>#N/A</v>
      </c>
    </row>
    <row r="611" spans="1:37" ht="25.8" hidden="1" x14ac:dyDescent="0.4">
      <c r="A611" s="41"/>
      <c r="B611" s="33">
        <f>_xlfn.XLOOKUP($A611,'[1]DATOS PBI Artículos'!A:A,'[1]DATOS PBI Artículos'!B:B)</f>
        <v>0</v>
      </c>
      <c r="C611" s="33">
        <f>_xlfn.XLOOKUP($A611,'[1]DATOS PBI Artículos'!A:A,'[1]DATOS PBI Artículos'!C:C)</f>
        <v>0</v>
      </c>
      <c r="D611" s="33">
        <f>_xlfn.XLOOKUP(A611,'[1]DATOS PBI Artículos'!A:A,'[1]DATOS PBI Artículos'!T:T)</f>
        <v>0</v>
      </c>
      <c r="E611" s="34">
        <f>IF(_xlfn.XLOOKUP($A611,'[1]DATOS PBI Artículos'!A:A,'[1]DATOS PBI Artículos'!AK:AK)="",_xlfn.XLOOKUP($A611,'[1]DATOS PBI Artículos'!A:A,'[1]DATOS PBI Artículos'!AJ:AJ),_xlfn.XLOOKUP($A611,'[1]DATOS PBI Artículos'!A:A,'[1]DATOS PBI Artículos'!AK:AK))</f>
        <v>0</v>
      </c>
      <c r="F611" s="35">
        <f>_xlfn.XLOOKUP($A611,'[1]DATOS PBI Artículos'!A:A,'[1]DATOS PBI Artículos'!AP:AP)</f>
        <v>0</v>
      </c>
      <c r="G611" s="34">
        <f>_xlfn.XLOOKUP($A611,'[1]DATOS PBI Artículos'!A:A,'[1]DATOS PBI Artículos'!AR:AR)</f>
        <v>0</v>
      </c>
      <c r="H611" s="34">
        <f>_xlfn.XLOOKUP($A611,'[1]DATOS PBI Artículos'!A:A,'[1]DATOS PBI Artículos'!AT:AT)</f>
        <v>0</v>
      </c>
      <c r="I611" s="34">
        <f>_xlfn.XLOOKUP($A611,'[1]DATOS PBI Artículos'!A:A,'[1]DATOS PBI Artículos'!AS:AS)</f>
        <v>0</v>
      </c>
      <c r="J611" s="35">
        <f>IF(COUNTIF([1]CRITERIOS!$F$179:$F$199,$A611)&gt;=1,
 IF(O611&lt;&gt;"",
    (O611/_xlfn.XLOOKUP(CONCATENATE(A611,L611),[1]MÁQUINAS!A:A,[1]MÁQUINAS!D:D))/24,
    (N611/_xlfn.XLOOKUP(CONCATENATE(A611,L611),[1]MÁQUINAS!A:A,[1]MÁQUINAS!D:D))/24),
  _xlfn.XLOOKUP($A611,'[1]DATOS PBI Artículos'!A:A,'[1]DATOS PBI Artículos'!AU:AU))</f>
        <v>0</v>
      </c>
      <c r="K611" s="36">
        <f>_xlfn.XLOOKUP($A611,'[1]DATOS PBI Artículos'!A:A,'[1]DATOS PBI Artículos'!AV:AV)</f>
        <v>0</v>
      </c>
      <c r="L611" s="33">
        <f>_xlfn.XLOOKUP(A611,[1]MÁQUINAS!B:B,[1]MÁQUINAS!C:C)</f>
        <v>0</v>
      </c>
      <c r="M611" s="34">
        <f t="array" ref="M611">_xlfn.XLOOKUP(A611,'[1]DATOS PBI Artículos'!A:A,'[1]DATOS PBI Artículos'!AX:$AX)</f>
        <v>0</v>
      </c>
      <c r="N611" s="37" t="e">
        <f>IF(I611="DV",
E611,
IF(COUNTIF([1]CRITERIOS!$I$179:$I$199,$A611)&gt;=1,
_xlfn.XLOOKUP($A611,[1]CRITERIOS!$I$179:$I$199,[1]CRITERIOS!$J$179:$J$199),
IF(COUNTIF([1]CRITERIOS!$L$179:$L$199,$A611)&gt;=1,
_xlfn.CEILING.MATH(IF($M611&gt;$E611,
$E611,
IF($M611&lt;$E611/ROUNDDOWN([1]CRITERIOS!$M$16/_xlfn.XLOOKUP($C611,[1]CRITERIOS!$K$25:$K$42,[1]CRITERIOS!$M$25:$M$42),
1),
E611/ROUNDDOWN([1]CRITERIOS!$M$16/_xlfn.XLOOKUP($C611,[1]CRITERIOS!$K$25:$K$42,[1]CRITERIOS!$M$25:$M$42),
1),
$M611)),
_xlfn.XLOOKUP($A611,[1]CRITERIOS!$L$179:$L$200,[1]CRITERIOS!$M$179:$M$200)),
_xlfn.CEILING.MATH(IF($M611&gt;$E611,
$E611,
IF($M611&lt;$E611/ROUNDDOWN([1]CRITERIOS!$M$16/_xlfn.XLOOKUP($C611,[1]CRITERIOS!$K$25:$K$42,[1]CRITERIOS!$M$25:$M$42),
1),
E611/ROUNDDOWN([1]CRITERIOS!$M$16/_xlfn.XLOOKUP($C611,[1]CRITERIOS!$K$25:$K$42,[1]CRITERIOS!$M$25:$M$42),
1),
$M611)),_xlfn.XLOOKUP(A611,'[1]DATOS PBI Artículos'!A:A,'[1]DATOS PBI Artículos'!Z:Z
)))))</f>
        <v>#N/A</v>
      </c>
      <c r="Q611" s="38" t="e">
        <f>IF(AND(O611="",N611=0),
0,
   IF(COUNTIF([1]CRITERIOS!$F$179:$F$199,$A611)&gt;=1,
   1,
   IF(R611="MTO",
      $D611,
      ROUNDUP(
                    IF(($E611-SUMIF('[1]DATOS PBI Artículos'!A:A,A611,'[1]DATOS PBI Artículos'!X:X)+($V611-_xlfn.XLOOKUP(A611,'[1]DATOS PBI Artículos'!A:A,'[1]DATOS PBI Artículos'!W:W)))&lt;0,
                    0,
                    IF(($E611-SUMIF('[1]DATOS PBI Artículos'!A:A,A611,'[1]DATOS PBI Artículos'!X:X)+$V611-_xlfn.XLOOKUP($A611,'[1]DATOS PBI Artículos'!A:A,'[1]DATOS PBI Artículos'!W:W))/IF($O611="",$N611,$O611)&gt;ROUNDUP([1]CRITERIOS!$M$16/(IF(COUNTIF([1]CRITERIOS!$BG$11:$BG$201,L611)&gt;=1,_xlfn.XLOOKUP($C611,[1]CRITERIOS!$K$25:$K$42,[1]CRITERIOS!$M$25:$M$42),_xlfn.XLOOKUP($C611,[1]CRITERIOS!$K$25:$K$42,[1]CRITERIOS!$M$25:$M$42))),0),
                    ROUNDUP([1]CRITERIOS!$M$16/(IF(COUNTIF([1]CRITERIOS!$BG$11:$BG$201,$L611)&gt;=1,_xlfn.XLOOKUP($C611,[1]CRITERIOS!$K$25:$K$42,[1]CRITERIOS!$M$25:$M$42),_xlfn.XLOOKUP($C611,[1]CRITERIOS!$K$25:$K$42,[1]CRITERIOS!$M$25:$M$42))),0),
                    (E611+V611-SUMIF('[1]DATOS PBI Artículos'!A:A,A611,'[1]DATOS PBI Artículos'!X:X)-_xlfn.XLOOKUP(A611,'[1]DATOS PBI Artículos'!A:A,'[1]DATOS PBI Artículos'!W:W))/IF($O611="",$N611,$O611))),0))))</f>
        <v>#N/A</v>
      </c>
      <c r="R611" s="33" t="e">
        <f>IF(U611&lt;&gt;"",U611,IF(F611="DV","MTO",IF(N611=0,"MTO",_xlfn.XLOOKUP(CONCATENATE(S611,T611),[1]CRITERIOS!$K$160:$K$168,[1]CRITERIOS!$N$160:$N$168))))</f>
        <v>#N/A</v>
      </c>
      <c r="S611" s="33" t="e">
        <f>IF(G611="DV","MTO",IF(N611=0,"MTO",IF(OR(AND(N611=0,O611=""),IF(O611="",G611/N611,G611/O611)&gt;[1]CRITERIOS!$G$163),"MTO",IF(IF(O611="",G611/N611,G611/O611)&lt;[1]CRITERIOS!$H$161,"MTS","MTOS"))))</f>
        <v>#N/A</v>
      </c>
      <c r="T611" s="33" t="e">
        <f>IF(F611="DV","MTO",IF(OR(AND($N611=0,O611=""),$F611/$J611&gt;[1]CRITERIOS!$G$170,$F611="DV"),"MTO",IF($F611/$J611&lt;[1]CRITERIOS!$H$168,"MTS","MTOS")))</f>
        <v>#N/A</v>
      </c>
      <c r="V611" s="34" t="e">
        <f t="shared" si="31"/>
        <v>#N/A</v>
      </c>
      <c r="X611" s="34" t="e">
        <f t="shared" si="29"/>
        <v>#N/A</v>
      </c>
      <c r="Y611" s="34" t="e">
        <f t="shared" si="30"/>
        <v>#N/A</v>
      </c>
      <c r="Z611" s="34" t="e">
        <f>IF($R611="MTO",
0,
($H611+$K611*($E611/[1]CRITERIOS!$M$16))/[1]CRITERIOS!$X$48)</f>
        <v>#N/A</v>
      </c>
      <c r="AA611" s="34" t="e">
        <f>ROUNDUP(($Y611/_xlfn.XLOOKUP($A611,'[1]DATOS PBI Artículos'!$A$4:$A$4,'[1]DATOS PBI Artículos'!$Z$4:$Z$4))/_xlfn.XLOOKUP(_xlfn.XLOOKUP($A611,'[1]DATOS PBI Artículos'!$A$4:$A$4,'[1]DATOS PBI Artículos'!$Y$4:$Y$4),[1]CRITERIOS!$P$79:$P$123,[1]CRITERIOS!$S$79:$S$123,),0)</f>
        <v>#N/A</v>
      </c>
      <c r="AB611" s="33" t="e">
        <f t="array" ref="AB611">IF((E611+V611-_xlfn.XLOOKUP(A611,'[1]DATOS PBI Artículos'!$A$4:$A$4,'[1]DATOS PBI Artículos'!$W$4:$W$4))/N611&gt;ROUNDUP([1]CRITERIOS!$M$16/(IF(COUNTIF([1]CRITERIOS!$BG$11:$BG$201,L611)&gt;=1,_xlfn.XLOOKUP(ARTÍCULOS!L611,[1]CRITERIOS!$BG$11:$BG$201,[1]CRITERIOS!$BJ$11:$BJ$201),_xlfn.XLOOKUP(ARTÍCULOS!C611,[1]CRITERIOS!$K$25:$K$42,[1]CRITERIOS!$M$25:$M$42))),0),ROUNDUP([1]CRITERIOS!$M$16/(IF(COUNTIF([1]CRITERIOS!$BG$11:$BG$201,L611)&gt;=1,_xlfn.XLOOKUP(ARTÍCULOS!L611,[1]CRITERIOS!$BG$11:$BG$201:#REF!,[1]CRITERIOS!$BJ$11:$BJ$201),_xlfn.XLOOKUP(ARTÍCULOS!C611,[1]CRITERIOS!$K$25:$K$42,[1]CRITERIOS!$M$25:$M$42))),0),(E611+V611-_xlfn.XLOOKUP(A611,'[1]DATOS PBI Artículos'!$A$4:$A$4,'[1]DATOS PBI Artículos'!$W$4:$W$4))/N611)</f>
        <v>#N/A</v>
      </c>
      <c r="AC611" s="33" t="e">
        <f>IF(N611=0,"",(ROUNDUP((N611/2)/(_xlfn.XLOOKUP(A611,'[1]DATOS PBI Artículos'!$A$4:$A$4,'[1]DATOS PBI Artículos'!$Z$4:$Z$4)*_xlfn.XLOOKUP(_xlfn.XLOOKUP(A611,'[1]DATOS PBI Artículos'!$A$4:$A$4,'[1]DATOS PBI Artículos'!$Y$4:$Y$4),[1]CRITERIOS!$P$79:$P$123,[1]CRITERIOS!$S$79:$S$123)),0)*[1]CRITERIOS!$M$80*([1]CRITERIOS!$M$110/[1]CRITERIOS!$M$86)+(_xlfn.XLOOKUP(A611,'[1]DATOS PBI Artículos'!$A$4:$A$4,'[1]DATOS PBI Artículos'!$AA$4:$AA$4)*([1]CRITERIOS!$M$95+[1]CRITERIOS!$M$98)))/N611)</f>
        <v>#N/A</v>
      </c>
      <c r="AD611" s="33" t="e">
        <f>IF(N611=0,"",(ROUNDUP((N611/2)/(_xlfn.XLOOKUP(A611,'[1]DATOS PBI Artículos'!$A$4:$A$4,'[1]DATOS PBI Artículos'!$Z$4:$Z$4)*_xlfn.XLOOKUP(_xlfn.XLOOKUP(A611,'[1]DATOS PBI Artículos'!$A$4:$A$4,'[1]DATOS PBI Artículos'!$Y$4:$Y$4),[1]CRITERIOS!$P$79:$P$123,[1]CRITERIOS!$S$79:$S$123)),0)*[1]CRITERIOS!$M$80*([1]CRITERIOS!$M$89*[1]CRITERIOS!$M$92)+((_xlfn.XLOOKUP(A611,'[1]DATOS PBI Artículos'!$A$4:$A$4,'[1]DATOS PBI Artículos'!$AA$4:$AA$4)/2)*([1]CRITERIOS!$M$95+[1]CRITERIOS!$M$98)))/N611)</f>
        <v>#N/A</v>
      </c>
      <c r="AE611" s="39" t="e">
        <f>IF($R611="MTO","",
IF($H611=0,ROUNDUP(((_xlfn.XLOOKUP($A611,'[1]DATOS PBI Artículos'!$A:$A,'[1]DATOS PBI Artículos'!$AL:$AL))/(_xlfn.XLOOKUP($AF$1,[1]CRITERIOS!$S$16:$S$39,[1]CRITERIOS!$Y$16:$Y$39))*$J611+$Z611)/$G611,0)*$G611,
((_xlfn.XLOOKUP($A611,'[1]DATOS PBI Artículos'!$A:$A,'[1]DATOS PBI Artículos'!$AL:$AL))/(_xlfn.XLOOKUP($AF$1,[1]CRITERIOS!$S$16:$S$39,[1]CRITERIOS!$Y$16:$Y$39))*$J611+$Z611)))</f>
        <v>#N/A</v>
      </c>
      <c r="AG611" s="39" t="e">
        <f>IF($R611="MTO","",
IF($H611=0,ROUNDUP(((_xlfn.XLOOKUP($A611,'[1]DATOS PBI Artículos'!$A:$A,'[1]DATOS PBI Artículos'!$AM:$AM))/(_xlfn.XLOOKUP($AH$1,[1]CRITERIOS!$S$16:$S$39,[1]CRITERIOS!$Y$16:$Y$39))*$J611+$Z611)/$G611,0)*$G611,
((_xlfn.XLOOKUP($A611,'[1]DATOS PBI Artículos'!$A:$A,'[1]DATOS PBI Artículos'!$AM:$AM))/(_xlfn.XLOOKUP($AH$1,[1]CRITERIOS!$S$16:$S$39,[1]CRITERIOS!$Y$16:$Y$39))*$J611+$Z611)))</f>
        <v>#N/A</v>
      </c>
      <c r="AI611" s="39" t="e">
        <f>IF($R611="MTO","",
IF($H611=0,ROUNDUP(((_xlfn.XLOOKUP($A611,'[1]DATOS PBI Artículos'!$A:$A,'[1]DATOS PBI Artículos'!$AN:$AN))/(_xlfn.XLOOKUP($AJ$1,[1]CRITERIOS!$S$16:$S$39,[1]CRITERIOS!$Y$16:$Y$39))*$J611+$Z611)/$G611,0)*$G611,
((_xlfn.XLOOKUP($A611,'[1]DATOS PBI Artículos'!$A:$A,'[1]DATOS PBI Artículos'!$AN:$AN))/(_xlfn.XLOOKUP($AJ$1,[1]CRITERIOS!$S$16:$S$39,[1]CRITERIOS!$Y$16:$Y$39))*$J611+$Z611)))</f>
        <v>#N/A</v>
      </c>
      <c r="AK611" s="39" t="e">
        <f>IF($R611="MTO","",
IF($H611=0,ROUNDUP(((_xlfn.XLOOKUP($A611,'[1]DATOS PBI Artículos'!$A:$A,'[1]DATOS PBI Artículos'!$AO:$AO))/(_xlfn.XLOOKUP($AL$1,[1]CRITERIOS!$S$16:$S$39,[1]CRITERIOS!$Y$16:$Y$39))*$J611+$Z611)/$G611,0)*$G611,
((_xlfn.XLOOKUP($A611,'[1]DATOS PBI Artículos'!$A:$A,'[1]DATOS PBI Artículos'!$AO:$AO))/(_xlfn.XLOOKUP($AL$1,[1]CRITERIOS!$S$16:$S$39,[1]CRITERIOS!$Y$16:$Y$39))*$J611+$Z611)))</f>
        <v>#N/A</v>
      </c>
    </row>
    <row r="612" spans="1:37" ht="25.8" hidden="1" x14ac:dyDescent="0.4">
      <c r="A612" s="41"/>
      <c r="B612" s="33">
        <f>_xlfn.XLOOKUP($A612,'[1]DATOS PBI Artículos'!A:A,'[1]DATOS PBI Artículos'!B:B)</f>
        <v>0</v>
      </c>
      <c r="C612" s="33">
        <f>_xlfn.XLOOKUP($A612,'[1]DATOS PBI Artículos'!A:A,'[1]DATOS PBI Artículos'!C:C)</f>
        <v>0</v>
      </c>
      <c r="D612" s="33">
        <f>_xlfn.XLOOKUP(A612,'[1]DATOS PBI Artículos'!A:A,'[1]DATOS PBI Artículos'!T:T)</f>
        <v>0</v>
      </c>
      <c r="E612" s="34">
        <f>IF(_xlfn.XLOOKUP($A612,'[1]DATOS PBI Artículos'!A:A,'[1]DATOS PBI Artículos'!AK:AK)="",_xlfn.XLOOKUP($A612,'[1]DATOS PBI Artículos'!A:A,'[1]DATOS PBI Artículos'!AJ:AJ),_xlfn.XLOOKUP($A612,'[1]DATOS PBI Artículos'!A:A,'[1]DATOS PBI Artículos'!AK:AK))</f>
        <v>0</v>
      </c>
      <c r="F612" s="35">
        <f>_xlfn.XLOOKUP($A612,'[1]DATOS PBI Artículos'!A:A,'[1]DATOS PBI Artículos'!AP:AP)</f>
        <v>0</v>
      </c>
      <c r="G612" s="34">
        <f>_xlfn.XLOOKUP($A612,'[1]DATOS PBI Artículos'!A:A,'[1]DATOS PBI Artículos'!AR:AR)</f>
        <v>0</v>
      </c>
      <c r="H612" s="34">
        <f>_xlfn.XLOOKUP($A612,'[1]DATOS PBI Artículos'!A:A,'[1]DATOS PBI Artículos'!AT:AT)</f>
        <v>0</v>
      </c>
      <c r="I612" s="34">
        <f>_xlfn.XLOOKUP($A612,'[1]DATOS PBI Artículos'!A:A,'[1]DATOS PBI Artículos'!AS:AS)</f>
        <v>0</v>
      </c>
      <c r="J612" s="35">
        <f>IF(COUNTIF([1]CRITERIOS!$F$179:$F$199,$A612)&gt;=1,
 IF(O612&lt;&gt;"",
    (O612/_xlfn.XLOOKUP(CONCATENATE(A612,L612),[1]MÁQUINAS!A:A,[1]MÁQUINAS!D:D))/24,
    (N612/_xlfn.XLOOKUP(CONCATENATE(A612,L612),[1]MÁQUINAS!A:A,[1]MÁQUINAS!D:D))/24),
  _xlfn.XLOOKUP($A612,'[1]DATOS PBI Artículos'!A:A,'[1]DATOS PBI Artículos'!AU:AU))</f>
        <v>0</v>
      </c>
      <c r="K612" s="36">
        <f>_xlfn.XLOOKUP($A612,'[1]DATOS PBI Artículos'!A:A,'[1]DATOS PBI Artículos'!AV:AV)</f>
        <v>0</v>
      </c>
      <c r="L612" s="33">
        <f>_xlfn.XLOOKUP(A612,[1]MÁQUINAS!B:B,[1]MÁQUINAS!C:C)</f>
        <v>0</v>
      </c>
      <c r="M612" s="34">
        <f t="array" ref="M612">_xlfn.XLOOKUP(A612,'[1]DATOS PBI Artículos'!A:A,'[1]DATOS PBI Artículos'!AX:$AX)</f>
        <v>0</v>
      </c>
      <c r="N612" s="37" t="e">
        <f>IF(I612="DV",
E612,
IF(COUNTIF([1]CRITERIOS!$I$179:$I$199,$A612)&gt;=1,
_xlfn.XLOOKUP($A612,[1]CRITERIOS!$I$179:$I$199,[1]CRITERIOS!$J$179:$J$199),
IF(COUNTIF([1]CRITERIOS!$L$179:$L$199,$A612)&gt;=1,
_xlfn.CEILING.MATH(IF($M612&gt;$E612,
$E612,
IF($M612&lt;$E612/ROUNDDOWN([1]CRITERIOS!$M$16/_xlfn.XLOOKUP($C612,[1]CRITERIOS!$K$25:$K$42,[1]CRITERIOS!$M$25:$M$42),
1),
E612/ROUNDDOWN([1]CRITERIOS!$M$16/_xlfn.XLOOKUP($C612,[1]CRITERIOS!$K$25:$K$42,[1]CRITERIOS!$M$25:$M$42),
1),
$M612)),
_xlfn.XLOOKUP($A612,[1]CRITERIOS!$L$179:$L$200,[1]CRITERIOS!$M$179:$M$200)),
_xlfn.CEILING.MATH(IF($M612&gt;$E612,
$E612,
IF($M612&lt;$E612/ROUNDDOWN([1]CRITERIOS!$M$16/_xlfn.XLOOKUP($C612,[1]CRITERIOS!$K$25:$K$42,[1]CRITERIOS!$M$25:$M$42),
1),
E612/ROUNDDOWN([1]CRITERIOS!$M$16/_xlfn.XLOOKUP($C612,[1]CRITERIOS!$K$25:$K$42,[1]CRITERIOS!$M$25:$M$42),
1),
$M612)),_xlfn.XLOOKUP(A612,'[1]DATOS PBI Artículos'!A:A,'[1]DATOS PBI Artículos'!Z:Z
)))))</f>
        <v>#N/A</v>
      </c>
      <c r="Q612" s="38" t="e">
        <f>IF(AND(O612="",N612=0),
0,
   IF(COUNTIF([1]CRITERIOS!$F$179:$F$199,$A612)&gt;=1,
   1,
   IF(R612="MTO",
      $D612,
      ROUNDUP(
                    IF(($E612-SUMIF('[1]DATOS PBI Artículos'!A:A,A612,'[1]DATOS PBI Artículos'!X:X)+($V612-_xlfn.XLOOKUP(A612,'[1]DATOS PBI Artículos'!A:A,'[1]DATOS PBI Artículos'!W:W)))&lt;0,
                    0,
                    IF(($E612-SUMIF('[1]DATOS PBI Artículos'!A:A,A612,'[1]DATOS PBI Artículos'!X:X)+$V612-_xlfn.XLOOKUP($A612,'[1]DATOS PBI Artículos'!A:A,'[1]DATOS PBI Artículos'!W:W))/IF($O612="",$N612,$O612)&gt;ROUNDUP([1]CRITERIOS!$M$16/(IF(COUNTIF([1]CRITERIOS!$BG$11:$BG$201,L612)&gt;=1,_xlfn.XLOOKUP($C612,[1]CRITERIOS!$K$25:$K$42,[1]CRITERIOS!$M$25:$M$42),_xlfn.XLOOKUP($C612,[1]CRITERIOS!$K$25:$K$42,[1]CRITERIOS!$M$25:$M$42))),0),
                    ROUNDUP([1]CRITERIOS!$M$16/(IF(COUNTIF([1]CRITERIOS!$BG$11:$BG$201,$L612)&gt;=1,_xlfn.XLOOKUP($C612,[1]CRITERIOS!$K$25:$K$42,[1]CRITERIOS!$M$25:$M$42),_xlfn.XLOOKUP($C612,[1]CRITERIOS!$K$25:$K$42,[1]CRITERIOS!$M$25:$M$42))),0),
                    (E612+V612-SUMIF('[1]DATOS PBI Artículos'!A:A,A612,'[1]DATOS PBI Artículos'!X:X)-_xlfn.XLOOKUP(A612,'[1]DATOS PBI Artículos'!A:A,'[1]DATOS PBI Artículos'!W:W))/IF($O612="",$N612,$O612))),0))))</f>
        <v>#N/A</v>
      </c>
      <c r="R612" s="33" t="e">
        <f>IF(U612&lt;&gt;"",U612,IF(F612="DV","MTO",IF(N612=0,"MTO",_xlfn.XLOOKUP(CONCATENATE(S612,T612),[1]CRITERIOS!$K$160:$K$168,[1]CRITERIOS!$N$160:$N$168))))</f>
        <v>#N/A</v>
      </c>
      <c r="S612" s="33" t="e">
        <f>IF(G612="DV","MTO",IF(N612=0,"MTO",IF(OR(AND(N612=0,O612=""),IF(O612="",G612/N612,G612/O612)&gt;[1]CRITERIOS!$G$163),"MTO",IF(IF(O612="",G612/N612,G612/O612)&lt;[1]CRITERIOS!$H$161,"MTS","MTOS"))))</f>
        <v>#N/A</v>
      </c>
      <c r="T612" s="33" t="e">
        <f>IF(F612="DV","MTO",IF(OR(AND($N612=0,O612=""),$F612/$J612&gt;[1]CRITERIOS!$G$170,$F612="DV"),"MTO",IF($F612/$J612&lt;[1]CRITERIOS!$H$168,"MTS","MTOS")))</f>
        <v>#N/A</v>
      </c>
      <c r="V612" s="34" t="e">
        <f t="shared" si="31"/>
        <v>#N/A</v>
      </c>
      <c r="X612" s="34" t="e">
        <f t="shared" si="29"/>
        <v>#N/A</v>
      </c>
      <c r="Y612" s="34" t="e">
        <f t="shared" si="30"/>
        <v>#N/A</v>
      </c>
      <c r="Z612" s="34" t="e">
        <f>IF($R612="MTO",
0,
($H612+$K612*($E612/[1]CRITERIOS!$M$16))/[1]CRITERIOS!$X$48)</f>
        <v>#N/A</v>
      </c>
      <c r="AA612" s="34" t="e">
        <f>ROUNDUP(($Y612/_xlfn.XLOOKUP($A612,'[1]DATOS PBI Artículos'!$A$4:$A$4,'[1]DATOS PBI Artículos'!$Z$4:$Z$4))/_xlfn.XLOOKUP(_xlfn.XLOOKUP($A612,'[1]DATOS PBI Artículos'!$A$4:$A$4,'[1]DATOS PBI Artículos'!$Y$4:$Y$4),[1]CRITERIOS!$P$79:$P$123,[1]CRITERIOS!$S$79:$S$123,),0)</f>
        <v>#N/A</v>
      </c>
      <c r="AB612" s="33" t="e">
        <f t="array" ref="AB612">IF((E612+V612-_xlfn.XLOOKUP(A612,'[1]DATOS PBI Artículos'!$A$4:$A$4,'[1]DATOS PBI Artículos'!$W$4:$W$4))/N612&gt;ROUNDUP([1]CRITERIOS!$M$16/(IF(COUNTIF([1]CRITERIOS!$BG$11:$BG$201,L612)&gt;=1,_xlfn.XLOOKUP(ARTÍCULOS!L612,[1]CRITERIOS!$BG$11:$BG$201,[1]CRITERIOS!$BJ$11:$BJ$201),_xlfn.XLOOKUP(ARTÍCULOS!C612,[1]CRITERIOS!$K$25:$K$42,[1]CRITERIOS!$M$25:$M$42))),0),ROUNDUP([1]CRITERIOS!$M$16/(IF(COUNTIF([1]CRITERIOS!$BG$11:$BG$201,L612)&gt;=1,_xlfn.XLOOKUP(ARTÍCULOS!L612,[1]CRITERIOS!$BG$11:$BG$201:#REF!,[1]CRITERIOS!$BJ$11:$BJ$201),_xlfn.XLOOKUP(ARTÍCULOS!C612,[1]CRITERIOS!$K$25:$K$42,[1]CRITERIOS!$M$25:$M$42))),0),(E612+V612-_xlfn.XLOOKUP(A612,'[1]DATOS PBI Artículos'!$A$4:$A$4,'[1]DATOS PBI Artículos'!$W$4:$W$4))/N612)</f>
        <v>#N/A</v>
      </c>
      <c r="AC612" s="33" t="e">
        <f>IF(N612=0,"",(ROUNDUP((N612/2)/(_xlfn.XLOOKUP(A612,'[1]DATOS PBI Artículos'!$A$4:$A$4,'[1]DATOS PBI Artículos'!$Z$4:$Z$4)*_xlfn.XLOOKUP(_xlfn.XLOOKUP(A612,'[1]DATOS PBI Artículos'!$A$4:$A$4,'[1]DATOS PBI Artículos'!$Y$4:$Y$4),[1]CRITERIOS!$P$79:$P$123,[1]CRITERIOS!$S$79:$S$123)),0)*[1]CRITERIOS!$M$80*([1]CRITERIOS!$M$110/[1]CRITERIOS!$M$86)+(_xlfn.XLOOKUP(A612,'[1]DATOS PBI Artículos'!$A$4:$A$4,'[1]DATOS PBI Artículos'!$AA$4:$AA$4)*([1]CRITERIOS!$M$95+[1]CRITERIOS!$M$98)))/N612)</f>
        <v>#N/A</v>
      </c>
      <c r="AD612" s="33" t="e">
        <f>IF(N612=0,"",(ROUNDUP((N612/2)/(_xlfn.XLOOKUP(A612,'[1]DATOS PBI Artículos'!$A$4:$A$4,'[1]DATOS PBI Artículos'!$Z$4:$Z$4)*_xlfn.XLOOKUP(_xlfn.XLOOKUP(A612,'[1]DATOS PBI Artículos'!$A$4:$A$4,'[1]DATOS PBI Artículos'!$Y$4:$Y$4),[1]CRITERIOS!$P$79:$P$123,[1]CRITERIOS!$S$79:$S$123)),0)*[1]CRITERIOS!$M$80*([1]CRITERIOS!$M$89*[1]CRITERIOS!$M$92)+((_xlfn.XLOOKUP(A612,'[1]DATOS PBI Artículos'!$A$4:$A$4,'[1]DATOS PBI Artículos'!$AA$4:$AA$4)/2)*([1]CRITERIOS!$M$95+[1]CRITERIOS!$M$98)))/N612)</f>
        <v>#N/A</v>
      </c>
      <c r="AE612" s="39" t="e">
        <f>IF($R612="MTO","",
IF($H612=0,ROUNDUP(((_xlfn.XLOOKUP($A612,'[1]DATOS PBI Artículos'!$A:$A,'[1]DATOS PBI Artículos'!$AL:$AL))/(_xlfn.XLOOKUP($AF$1,[1]CRITERIOS!$S$16:$S$39,[1]CRITERIOS!$Y$16:$Y$39))*$J612+$Z612)/$G612,0)*$G612,
((_xlfn.XLOOKUP($A612,'[1]DATOS PBI Artículos'!$A:$A,'[1]DATOS PBI Artículos'!$AL:$AL))/(_xlfn.XLOOKUP($AF$1,[1]CRITERIOS!$S$16:$S$39,[1]CRITERIOS!$Y$16:$Y$39))*$J612+$Z612)))</f>
        <v>#N/A</v>
      </c>
      <c r="AG612" s="39" t="e">
        <f>IF($R612="MTO","",
IF($H612=0,ROUNDUP(((_xlfn.XLOOKUP($A612,'[1]DATOS PBI Artículos'!$A:$A,'[1]DATOS PBI Artículos'!$AM:$AM))/(_xlfn.XLOOKUP($AH$1,[1]CRITERIOS!$S$16:$S$39,[1]CRITERIOS!$Y$16:$Y$39))*$J612+$Z612)/$G612,0)*$G612,
((_xlfn.XLOOKUP($A612,'[1]DATOS PBI Artículos'!$A:$A,'[1]DATOS PBI Artículos'!$AM:$AM))/(_xlfn.XLOOKUP($AH$1,[1]CRITERIOS!$S$16:$S$39,[1]CRITERIOS!$Y$16:$Y$39))*$J612+$Z612)))</f>
        <v>#N/A</v>
      </c>
      <c r="AI612" s="39" t="e">
        <f>IF($R612="MTO","",
IF($H612=0,ROUNDUP(((_xlfn.XLOOKUP($A612,'[1]DATOS PBI Artículos'!$A:$A,'[1]DATOS PBI Artículos'!$AN:$AN))/(_xlfn.XLOOKUP($AJ$1,[1]CRITERIOS!$S$16:$S$39,[1]CRITERIOS!$Y$16:$Y$39))*$J612+$Z612)/$G612,0)*$G612,
((_xlfn.XLOOKUP($A612,'[1]DATOS PBI Artículos'!$A:$A,'[1]DATOS PBI Artículos'!$AN:$AN))/(_xlfn.XLOOKUP($AJ$1,[1]CRITERIOS!$S$16:$S$39,[1]CRITERIOS!$Y$16:$Y$39))*$J612+$Z612)))</f>
        <v>#N/A</v>
      </c>
      <c r="AK612" s="39" t="e">
        <f>IF($R612="MTO","",
IF($H612=0,ROUNDUP(((_xlfn.XLOOKUP($A612,'[1]DATOS PBI Artículos'!$A:$A,'[1]DATOS PBI Artículos'!$AO:$AO))/(_xlfn.XLOOKUP($AL$1,[1]CRITERIOS!$S$16:$S$39,[1]CRITERIOS!$Y$16:$Y$39))*$J612+$Z612)/$G612,0)*$G612,
((_xlfn.XLOOKUP($A612,'[1]DATOS PBI Artículos'!$A:$A,'[1]DATOS PBI Artículos'!$AO:$AO))/(_xlfn.XLOOKUP($AL$1,[1]CRITERIOS!$S$16:$S$39,[1]CRITERIOS!$Y$16:$Y$39))*$J612+$Z612)))</f>
        <v>#N/A</v>
      </c>
    </row>
    <row r="613" spans="1:37" ht="25.8" hidden="1" x14ac:dyDescent="0.4">
      <c r="A613" s="41"/>
      <c r="B613" s="33">
        <f>_xlfn.XLOOKUP($A613,'[1]DATOS PBI Artículos'!A:A,'[1]DATOS PBI Artículos'!B:B)</f>
        <v>0</v>
      </c>
      <c r="C613" s="33">
        <f>_xlfn.XLOOKUP($A613,'[1]DATOS PBI Artículos'!A:A,'[1]DATOS PBI Artículos'!C:C)</f>
        <v>0</v>
      </c>
      <c r="D613" s="33">
        <f>_xlfn.XLOOKUP(A613,'[1]DATOS PBI Artículos'!A:A,'[1]DATOS PBI Artículos'!T:T)</f>
        <v>0</v>
      </c>
      <c r="E613" s="34">
        <f>IF(_xlfn.XLOOKUP($A613,'[1]DATOS PBI Artículos'!A:A,'[1]DATOS PBI Artículos'!AK:AK)="",_xlfn.XLOOKUP($A613,'[1]DATOS PBI Artículos'!A:A,'[1]DATOS PBI Artículos'!AJ:AJ),_xlfn.XLOOKUP($A613,'[1]DATOS PBI Artículos'!A:A,'[1]DATOS PBI Artículos'!AK:AK))</f>
        <v>0</v>
      </c>
      <c r="F613" s="35">
        <f>_xlfn.XLOOKUP($A613,'[1]DATOS PBI Artículos'!A:A,'[1]DATOS PBI Artículos'!AP:AP)</f>
        <v>0</v>
      </c>
      <c r="G613" s="34">
        <f>_xlfn.XLOOKUP($A613,'[1]DATOS PBI Artículos'!A:A,'[1]DATOS PBI Artículos'!AR:AR)</f>
        <v>0</v>
      </c>
      <c r="H613" s="34">
        <f>_xlfn.XLOOKUP($A613,'[1]DATOS PBI Artículos'!A:A,'[1]DATOS PBI Artículos'!AT:AT)</f>
        <v>0</v>
      </c>
      <c r="I613" s="34">
        <f>_xlfn.XLOOKUP($A613,'[1]DATOS PBI Artículos'!A:A,'[1]DATOS PBI Artículos'!AS:AS)</f>
        <v>0</v>
      </c>
      <c r="J613" s="35">
        <f>IF(COUNTIF([1]CRITERIOS!$F$179:$F$199,$A613)&gt;=1,
 IF(O613&lt;&gt;"",
    (O613/_xlfn.XLOOKUP(CONCATENATE(A613,L613),[1]MÁQUINAS!A:A,[1]MÁQUINAS!D:D))/24,
    (N613/_xlfn.XLOOKUP(CONCATENATE(A613,L613),[1]MÁQUINAS!A:A,[1]MÁQUINAS!D:D))/24),
  _xlfn.XLOOKUP($A613,'[1]DATOS PBI Artículos'!A:A,'[1]DATOS PBI Artículos'!AU:AU))</f>
        <v>0</v>
      </c>
      <c r="K613" s="36">
        <f>_xlfn.XLOOKUP($A613,'[1]DATOS PBI Artículos'!A:A,'[1]DATOS PBI Artículos'!AV:AV)</f>
        <v>0</v>
      </c>
      <c r="L613" s="33">
        <f>_xlfn.XLOOKUP(A613,[1]MÁQUINAS!B:B,[1]MÁQUINAS!C:C)</f>
        <v>0</v>
      </c>
      <c r="M613" s="34">
        <f t="array" ref="M613">_xlfn.XLOOKUP(A613,'[1]DATOS PBI Artículos'!A:A,'[1]DATOS PBI Artículos'!AX:$AX)</f>
        <v>0</v>
      </c>
      <c r="N613" s="37" t="e">
        <f>IF(I613="DV",
E613,
IF(COUNTIF([1]CRITERIOS!$I$179:$I$199,$A613)&gt;=1,
_xlfn.XLOOKUP($A613,[1]CRITERIOS!$I$179:$I$199,[1]CRITERIOS!$J$179:$J$199),
IF(COUNTIF([1]CRITERIOS!$L$179:$L$199,$A613)&gt;=1,
_xlfn.CEILING.MATH(IF($M613&gt;$E613,
$E613,
IF($M613&lt;$E613/ROUNDDOWN([1]CRITERIOS!$M$16/_xlfn.XLOOKUP($C613,[1]CRITERIOS!$K$25:$K$42,[1]CRITERIOS!$M$25:$M$42),
1),
E613/ROUNDDOWN([1]CRITERIOS!$M$16/_xlfn.XLOOKUP($C613,[1]CRITERIOS!$K$25:$K$42,[1]CRITERIOS!$M$25:$M$42),
1),
$M613)),
_xlfn.XLOOKUP($A613,[1]CRITERIOS!$L$179:$L$200,[1]CRITERIOS!$M$179:$M$200)),
_xlfn.CEILING.MATH(IF($M613&gt;$E613,
$E613,
IF($M613&lt;$E613/ROUNDDOWN([1]CRITERIOS!$M$16/_xlfn.XLOOKUP($C613,[1]CRITERIOS!$K$25:$K$42,[1]CRITERIOS!$M$25:$M$42),
1),
E613/ROUNDDOWN([1]CRITERIOS!$M$16/_xlfn.XLOOKUP($C613,[1]CRITERIOS!$K$25:$K$42,[1]CRITERIOS!$M$25:$M$42),
1),
$M613)),_xlfn.XLOOKUP(A613,'[1]DATOS PBI Artículos'!A:A,'[1]DATOS PBI Artículos'!Z:Z
)))))</f>
        <v>#N/A</v>
      </c>
      <c r="Q613" s="38" t="e">
        <f>IF(AND(O613="",N613=0),
0,
   IF(COUNTIF([1]CRITERIOS!$F$179:$F$199,$A613)&gt;=1,
   1,
   IF(R613="MTO",
      $D613,
      ROUNDUP(
                    IF(($E613-SUMIF('[1]DATOS PBI Artículos'!A:A,A613,'[1]DATOS PBI Artículos'!X:X)+($V613-_xlfn.XLOOKUP(A613,'[1]DATOS PBI Artículos'!A:A,'[1]DATOS PBI Artículos'!W:W)))&lt;0,
                    0,
                    IF(($E613-SUMIF('[1]DATOS PBI Artículos'!A:A,A613,'[1]DATOS PBI Artículos'!X:X)+$V613-_xlfn.XLOOKUP($A613,'[1]DATOS PBI Artículos'!A:A,'[1]DATOS PBI Artículos'!W:W))/IF($O613="",$N613,$O613)&gt;ROUNDUP([1]CRITERIOS!$M$16/(IF(COUNTIF([1]CRITERIOS!$BG$11:$BG$201,L613)&gt;=1,_xlfn.XLOOKUP($C613,[1]CRITERIOS!$K$25:$K$42,[1]CRITERIOS!$M$25:$M$42),_xlfn.XLOOKUP($C613,[1]CRITERIOS!$K$25:$K$42,[1]CRITERIOS!$M$25:$M$42))),0),
                    ROUNDUP([1]CRITERIOS!$M$16/(IF(COUNTIF([1]CRITERIOS!$BG$11:$BG$201,$L613)&gt;=1,_xlfn.XLOOKUP($C613,[1]CRITERIOS!$K$25:$K$42,[1]CRITERIOS!$M$25:$M$42),_xlfn.XLOOKUP($C613,[1]CRITERIOS!$K$25:$K$42,[1]CRITERIOS!$M$25:$M$42))),0),
                    (E613+V613-SUMIF('[1]DATOS PBI Artículos'!A:A,A613,'[1]DATOS PBI Artículos'!X:X)-_xlfn.XLOOKUP(A613,'[1]DATOS PBI Artículos'!A:A,'[1]DATOS PBI Artículos'!W:W))/IF($O613="",$N613,$O613))),0))))</f>
        <v>#N/A</v>
      </c>
      <c r="R613" s="33" t="e">
        <f>IF(U613&lt;&gt;"",U613,IF(F613="DV","MTO",IF(N613=0,"MTO",_xlfn.XLOOKUP(CONCATENATE(S613,T613),[1]CRITERIOS!$K$160:$K$168,[1]CRITERIOS!$N$160:$N$168))))</f>
        <v>#N/A</v>
      </c>
      <c r="S613" s="33" t="e">
        <f>IF(G613="DV","MTO",IF(N613=0,"MTO",IF(OR(AND(N613=0,O613=""),IF(O613="",G613/N613,G613/O613)&gt;[1]CRITERIOS!$G$163),"MTO",IF(IF(O613="",G613/N613,G613/O613)&lt;[1]CRITERIOS!$H$161,"MTS","MTOS"))))</f>
        <v>#N/A</v>
      </c>
      <c r="T613" s="33" t="e">
        <f>IF(F613="DV","MTO",IF(OR(AND($N613=0,O613=""),$F613/$J613&gt;[1]CRITERIOS!$G$170,$F613="DV"),"MTO",IF($F613/$J613&lt;[1]CRITERIOS!$H$168,"MTS","MTOS")))</f>
        <v>#N/A</v>
      </c>
      <c r="V613" s="34" t="e">
        <f t="shared" si="31"/>
        <v>#N/A</v>
      </c>
      <c r="X613" s="34" t="e">
        <f t="shared" si="29"/>
        <v>#N/A</v>
      </c>
      <c r="Y613" s="34" t="e">
        <f t="shared" si="30"/>
        <v>#N/A</v>
      </c>
      <c r="Z613" s="34" t="e">
        <f>IF($R613="MTO",
0,
($H613+$K613*($E613/[1]CRITERIOS!$M$16))/[1]CRITERIOS!$X$48)</f>
        <v>#N/A</v>
      </c>
      <c r="AA613" s="34" t="e">
        <f>ROUNDUP(($Y613/_xlfn.XLOOKUP($A613,'[1]DATOS PBI Artículos'!$A$4:$A$4,'[1]DATOS PBI Artículos'!$Z$4:$Z$4))/_xlfn.XLOOKUP(_xlfn.XLOOKUP($A613,'[1]DATOS PBI Artículos'!$A$4:$A$4,'[1]DATOS PBI Artículos'!$Y$4:$Y$4),[1]CRITERIOS!$P$79:$P$123,[1]CRITERIOS!$S$79:$S$123,),0)</f>
        <v>#N/A</v>
      </c>
      <c r="AB613" s="33" t="e">
        <f t="array" ref="AB613">IF((E613+V613-_xlfn.XLOOKUP(A613,'[1]DATOS PBI Artículos'!$A$4:$A$4,'[1]DATOS PBI Artículos'!$W$4:$W$4))/N613&gt;ROUNDUP([1]CRITERIOS!$M$16/(IF(COUNTIF([1]CRITERIOS!$BG$11:$BG$201,L613)&gt;=1,_xlfn.XLOOKUP(ARTÍCULOS!L613,[1]CRITERIOS!$BG$11:$BG$201,[1]CRITERIOS!$BJ$11:$BJ$201),_xlfn.XLOOKUP(ARTÍCULOS!C613,[1]CRITERIOS!$K$25:$K$42,[1]CRITERIOS!$M$25:$M$42))),0),ROUNDUP([1]CRITERIOS!$M$16/(IF(COUNTIF([1]CRITERIOS!$BG$11:$BG$201,L613)&gt;=1,_xlfn.XLOOKUP(ARTÍCULOS!L613,[1]CRITERIOS!$BG$11:$BG$201:#REF!,[1]CRITERIOS!$BJ$11:$BJ$201),_xlfn.XLOOKUP(ARTÍCULOS!C613,[1]CRITERIOS!$K$25:$K$42,[1]CRITERIOS!$M$25:$M$42))),0),(E613+V613-_xlfn.XLOOKUP(A613,'[1]DATOS PBI Artículos'!$A$4:$A$4,'[1]DATOS PBI Artículos'!$W$4:$W$4))/N613)</f>
        <v>#N/A</v>
      </c>
      <c r="AC613" s="33" t="e">
        <f>IF(N613=0,"",(ROUNDUP((N613/2)/(_xlfn.XLOOKUP(A613,'[1]DATOS PBI Artículos'!$A$4:$A$4,'[1]DATOS PBI Artículos'!$Z$4:$Z$4)*_xlfn.XLOOKUP(_xlfn.XLOOKUP(A613,'[1]DATOS PBI Artículos'!$A$4:$A$4,'[1]DATOS PBI Artículos'!$Y$4:$Y$4),[1]CRITERIOS!$P$79:$P$123,[1]CRITERIOS!$S$79:$S$123)),0)*[1]CRITERIOS!$M$80*([1]CRITERIOS!$M$110/[1]CRITERIOS!$M$86)+(_xlfn.XLOOKUP(A613,'[1]DATOS PBI Artículos'!$A$4:$A$4,'[1]DATOS PBI Artículos'!$AA$4:$AA$4)*([1]CRITERIOS!$M$95+[1]CRITERIOS!$M$98)))/N613)</f>
        <v>#N/A</v>
      </c>
      <c r="AD613" s="33" t="e">
        <f>IF(N613=0,"",(ROUNDUP((N613/2)/(_xlfn.XLOOKUP(A613,'[1]DATOS PBI Artículos'!$A$4:$A$4,'[1]DATOS PBI Artículos'!$Z$4:$Z$4)*_xlfn.XLOOKUP(_xlfn.XLOOKUP(A613,'[1]DATOS PBI Artículos'!$A$4:$A$4,'[1]DATOS PBI Artículos'!$Y$4:$Y$4),[1]CRITERIOS!$P$79:$P$123,[1]CRITERIOS!$S$79:$S$123)),0)*[1]CRITERIOS!$M$80*([1]CRITERIOS!$M$89*[1]CRITERIOS!$M$92)+((_xlfn.XLOOKUP(A613,'[1]DATOS PBI Artículos'!$A$4:$A$4,'[1]DATOS PBI Artículos'!$AA$4:$AA$4)/2)*([1]CRITERIOS!$M$95+[1]CRITERIOS!$M$98)))/N613)</f>
        <v>#N/A</v>
      </c>
      <c r="AE613" s="39" t="e">
        <f>IF($R613="MTO","",
IF($H613=0,ROUNDUP(((_xlfn.XLOOKUP($A613,'[1]DATOS PBI Artículos'!$A:$A,'[1]DATOS PBI Artículos'!$AL:$AL))/(_xlfn.XLOOKUP($AF$1,[1]CRITERIOS!$S$16:$S$39,[1]CRITERIOS!$Y$16:$Y$39))*$J613+$Z613)/$G613,0)*$G613,
((_xlfn.XLOOKUP($A613,'[1]DATOS PBI Artículos'!$A:$A,'[1]DATOS PBI Artículos'!$AL:$AL))/(_xlfn.XLOOKUP($AF$1,[1]CRITERIOS!$S$16:$S$39,[1]CRITERIOS!$Y$16:$Y$39))*$J613+$Z613)))</f>
        <v>#N/A</v>
      </c>
      <c r="AG613" s="39" t="e">
        <f>IF($R613="MTO","",
IF($H613=0,ROUNDUP(((_xlfn.XLOOKUP($A613,'[1]DATOS PBI Artículos'!$A:$A,'[1]DATOS PBI Artículos'!$AM:$AM))/(_xlfn.XLOOKUP($AH$1,[1]CRITERIOS!$S$16:$S$39,[1]CRITERIOS!$Y$16:$Y$39))*$J613+$Z613)/$G613,0)*$G613,
((_xlfn.XLOOKUP($A613,'[1]DATOS PBI Artículos'!$A:$A,'[1]DATOS PBI Artículos'!$AM:$AM))/(_xlfn.XLOOKUP($AH$1,[1]CRITERIOS!$S$16:$S$39,[1]CRITERIOS!$Y$16:$Y$39))*$J613+$Z613)))</f>
        <v>#N/A</v>
      </c>
      <c r="AI613" s="39" t="e">
        <f>IF($R613="MTO","",
IF($H613=0,ROUNDUP(((_xlfn.XLOOKUP($A613,'[1]DATOS PBI Artículos'!$A:$A,'[1]DATOS PBI Artículos'!$AN:$AN))/(_xlfn.XLOOKUP($AJ$1,[1]CRITERIOS!$S$16:$S$39,[1]CRITERIOS!$Y$16:$Y$39))*$J613+$Z613)/$G613,0)*$G613,
((_xlfn.XLOOKUP($A613,'[1]DATOS PBI Artículos'!$A:$A,'[1]DATOS PBI Artículos'!$AN:$AN))/(_xlfn.XLOOKUP($AJ$1,[1]CRITERIOS!$S$16:$S$39,[1]CRITERIOS!$Y$16:$Y$39))*$J613+$Z613)))</f>
        <v>#N/A</v>
      </c>
      <c r="AK613" s="39" t="e">
        <f>IF($R613="MTO","",
IF($H613=0,ROUNDUP(((_xlfn.XLOOKUP($A613,'[1]DATOS PBI Artículos'!$A:$A,'[1]DATOS PBI Artículos'!$AO:$AO))/(_xlfn.XLOOKUP($AL$1,[1]CRITERIOS!$S$16:$S$39,[1]CRITERIOS!$Y$16:$Y$39))*$J613+$Z613)/$G613,0)*$G613,
((_xlfn.XLOOKUP($A613,'[1]DATOS PBI Artículos'!$A:$A,'[1]DATOS PBI Artículos'!$AO:$AO))/(_xlfn.XLOOKUP($AL$1,[1]CRITERIOS!$S$16:$S$39,[1]CRITERIOS!$Y$16:$Y$39))*$J613+$Z613)))</f>
        <v>#N/A</v>
      </c>
    </row>
    <row r="614" spans="1:37" ht="25.8" hidden="1" x14ac:dyDescent="0.4">
      <c r="A614" s="41"/>
      <c r="B614" s="33">
        <f>_xlfn.XLOOKUP($A614,'[1]DATOS PBI Artículos'!A:A,'[1]DATOS PBI Artículos'!B:B)</f>
        <v>0</v>
      </c>
      <c r="C614" s="33">
        <f>_xlfn.XLOOKUP($A614,'[1]DATOS PBI Artículos'!A:A,'[1]DATOS PBI Artículos'!C:C)</f>
        <v>0</v>
      </c>
      <c r="D614" s="33">
        <f>_xlfn.XLOOKUP(A614,'[1]DATOS PBI Artículos'!A:A,'[1]DATOS PBI Artículos'!T:T)</f>
        <v>0</v>
      </c>
      <c r="E614" s="34">
        <f>IF(_xlfn.XLOOKUP($A614,'[1]DATOS PBI Artículos'!A:A,'[1]DATOS PBI Artículos'!AK:AK)="",_xlfn.XLOOKUP($A614,'[1]DATOS PBI Artículos'!A:A,'[1]DATOS PBI Artículos'!AJ:AJ),_xlfn.XLOOKUP($A614,'[1]DATOS PBI Artículos'!A:A,'[1]DATOS PBI Artículos'!AK:AK))</f>
        <v>0</v>
      </c>
      <c r="F614" s="35">
        <f>_xlfn.XLOOKUP($A614,'[1]DATOS PBI Artículos'!A:A,'[1]DATOS PBI Artículos'!AP:AP)</f>
        <v>0</v>
      </c>
      <c r="G614" s="34">
        <f>_xlfn.XLOOKUP($A614,'[1]DATOS PBI Artículos'!A:A,'[1]DATOS PBI Artículos'!AR:AR)</f>
        <v>0</v>
      </c>
      <c r="H614" s="34">
        <f>_xlfn.XLOOKUP($A614,'[1]DATOS PBI Artículos'!A:A,'[1]DATOS PBI Artículos'!AT:AT)</f>
        <v>0</v>
      </c>
      <c r="I614" s="34">
        <f>_xlfn.XLOOKUP($A614,'[1]DATOS PBI Artículos'!A:A,'[1]DATOS PBI Artículos'!AS:AS)</f>
        <v>0</v>
      </c>
      <c r="J614" s="35">
        <f>IF(COUNTIF([1]CRITERIOS!$F$179:$F$199,$A614)&gt;=1,
 IF(O614&lt;&gt;"",
    (O614/_xlfn.XLOOKUP(CONCATENATE(A614,L614),[1]MÁQUINAS!A:A,[1]MÁQUINAS!D:D))/24,
    (N614/_xlfn.XLOOKUP(CONCATENATE(A614,L614),[1]MÁQUINAS!A:A,[1]MÁQUINAS!D:D))/24),
  _xlfn.XLOOKUP($A614,'[1]DATOS PBI Artículos'!A:A,'[1]DATOS PBI Artículos'!AU:AU))</f>
        <v>0</v>
      </c>
      <c r="K614" s="36">
        <f>_xlfn.XLOOKUP($A614,'[1]DATOS PBI Artículos'!A:A,'[1]DATOS PBI Artículos'!AV:AV)</f>
        <v>0</v>
      </c>
      <c r="L614" s="33">
        <f>_xlfn.XLOOKUP(A614,[1]MÁQUINAS!B:B,[1]MÁQUINAS!C:C)</f>
        <v>0</v>
      </c>
      <c r="M614" s="34">
        <f t="array" ref="M614">_xlfn.XLOOKUP(A614,'[1]DATOS PBI Artículos'!A:A,'[1]DATOS PBI Artículos'!AX:$AX)</f>
        <v>0</v>
      </c>
      <c r="N614" s="37" t="e">
        <f>IF(I614="DV",
E614,
IF(COUNTIF([1]CRITERIOS!$I$179:$I$199,$A614)&gt;=1,
_xlfn.XLOOKUP($A614,[1]CRITERIOS!$I$179:$I$199,[1]CRITERIOS!$J$179:$J$199),
IF(COUNTIF([1]CRITERIOS!$L$179:$L$199,$A614)&gt;=1,
_xlfn.CEILING.MATH(IF($M614&gt;$E614,
$E614,
IF($M614&lt;$E614/ROUNDDOWN([1]CRITERIOS!$M$16/_xlfn.XLOOKUP($C614,[1]CRITERIOS!$K$25:$K$42,[1]CRITERIOS!$M$25:$M$42),
1),
E614/ROUNDDOWN([1]CRITERIOS!$M$16/_xlfn.XLOOKUP($C614,[1]CRITERIOS!$K$25:$K$42,[1]CRITERIOS!$M$25:$M$42),
1),
$M614)),
_xlfn.XLOOKUP($A614,[1]CRITERIOS!$L$179:$L$200,[1]CRITERIOS!$M$179:$M$200)),
_xlfn.CEILING.MATH(IF($M614&gt;$E614,
$E614,
IF($M614&lt;$E614/ROUNDDOWN([1]CRITERIOS!$M$16/_xlfn.XLOOKUP($C614,[1]CRITERIOS!$K$25:$K$42,[1]CRITERIOS!$M$25:$M$42),
1),
E614/ROUNDDOWN([1]CRITERIOS!$M$16/_xlfn.XLOOKUP($C614,[1]CRITERIOS!$K$25:$K$42,[1]CRITERIOS!$M$25:$M$42),
1),
$M614)),_xlfn.XLOOKUP(A614,'[1]DATOS PBI Artículos'!A:A,'[1]DATOS PBI Artículos'!Z:Z
)))))</f>
        <v>#N/A</v>
      </c>
      <c r="Q614" s="38" t="e">
        <f>IF(AND(O614="",N614=0),
0,
   IF(COUNTIF([1]CRITERIOS!$F$179:$F$199,$A614)&gt;=1,
   1,
   IF(R614="MTO",
      $D614,
      ROUNDUP(
                    IF(($E614-SUMIF('[1]DATOS PBI Artículos'!A:A,A614,'[1]DATOS PBI Artículos'!X:X)+($V614-_xlfn.XLOOKUP(A614,'[1]DATOS PBI Artículos'!A:A,'[1]DATOS PBI Artículos'!W:W)))&lt;0,
                    0,
                    IF(($E614-SUMIF('[1]DATOS PBI Artículos'!A:A,A614,'[1]DATOS PBI Artículos'!X:X)+$V614-_xlfn.XLOOKUP($A614,'[1]DATOS PBI Artículos'!A:A,'[1]DATOS PBI Artículos'!W:W))/IF($O614="",$N614,$O614)&gt;ROUNDUP([1]CRITERIOS!$M$16/(IF(COUNTIF([1]CRITERIOS!$BG$11:$BG$201,L614)&gt;=1,_xlfn.XLOOKUP($C614,[1]CRITERIOS!$K$25:$K$42,[1]CRITERIOS!$M$25:$M$42),_xlfn.XLOOKUP($C614,[1]CRITERIOS!$K$25:$K$42,[1]CRITERIOS!$M$25:$M$42))),0),
                    ROUNDUP([1]CRITERIOS!$M$16/(IF(COUNTIF([1]CRITERIOS!$BG$11:$BG$201,$L614)&gt;=1,_xlfn.XLOOKUP($C614,[1]CRITERIOS!$K$25:$K$42,[1]CRITERIOS!$M$25:$M$42),_xlfn.XLOOKUP($C614,[1]CRITERIOS!$K$25:$K$42,[1]CRITERIOS!$M$25:$M$42))),0),
                    (E614+V614-SUMIF('[1]DATOS PBI Artículos'!A:A,A614,'[1]DATOS PBI Artículos'!X:X)-_xlfn.XLOOKUP(A614,'[1]DATOS PBI Artículos'!A:A,'[1]DATOS PBI Artículos'!W:W))/IF($O614="",$N614,$O614))),0))))</f>
        <v>#N/A</v>
      </c>
      <c r="R614" s="33" t="e">
        <f>IF(U614&lt;&gt;"",U614,IF(F614="DV","MTO",IF(N614=0,"MTO",_xlfn.XLOOKUP(CONCATENATE(S614,T614),[1]CRITERIOS!$K$160:$K$168,[1]CRITERIOS!$N$160:$N$168))))</f>
        <v>#N/A</v>
      </c>
      <c r="S614" s="33" t="e">
        <f>IF(G614="DV","MTO",IF(N614=0,"MTO",IF(OR(AND(N614=0,O614=""),IF(O614="",G614/N614,G614/O614)&gt;[1]CRITERIOS!$G$163),"MTO",IF(IF(O614="",G614/N614,G614/O614)&lt;[1]CRITERIOS!$H$161,"MTS","MTOS"))))</f>
        <v>#N/A</v>
      </c>
      <c r="T614" s="33" t="e">
        <f>IF(F614="DV","MTO",IF(OR(AND($N614=0,O614=""),$F614/$J614&gt;[1]CRITERIOS!$G$170,$F614="DV"),"MTO",IF($F614/$J614&lt;[1]CRITERIOS!$H$168,"MTS","MTOS")))</f>
        <v>#N/A</v>
      </c>
      <c r="V614" s="34" t="e">
        <f t="shared" si="31"/>
        <v>#N/A</v>
      </c>
      <c r="X614" s="34" t="e">
        <f t="shared" si="29"/>
        <v>#N/A</v>
      </c>
      <c r="Y614" s="34" t="e">
        <f t="shared" si="30"/>
        <v>#N/A</v>
      </c>
      <c r="Z614" s="34" t="e">
        <f>IF($R614="MTO",
0,
($H614+$K614*($E614/[1]CRITERIOS!$M$16))/[1]CRITERIOS!$X$48)</f>
        <v>#N/A</v>
      </c>
      <c r="AA614" s="34" t="e">
        <f>ROUNDUP(($Y614/_xlfn.XLOOKUP($A614,'[1]DATOS PBI Artículos'!$A$4:$A$4,'[1]DATOS PBI Artículos'!$Z$4:$Z$4))/_xlfn.XLOOKUP(_xlfn.XLOOKUP($A614,'[1]DATOS PBI Artículos'!$A$4:$A$4,'[1]DATOS PBI Artículos'!$Y$4:$Y$4),[1]CRITERIOS!$P$79:$P$123,[1]CRITERIOS!$S$79:$S$123,),0)</f>
        <v>#N/A</v>
      </c>
      <c r="AB614" s="33" t="e">
        <f t="array" ref="AB614">IF((E614+V614-_xlfn.XLOOKUP(A614,'[1]DATOS PBI Artículos'!$A$4:$A$4,'[1]DATOS PBI Artículos'!$W$4:$W$4))/N614&gt;ROUNDUP([1]CRITERIOS!$M$16/(IF(COUNTIF([1]CRITERIOS!$BG$11:$BG$201,L614)&gt;=1,_xlfn.XLOOKUP(ARTÍCULOS!L614,[1]CRITERIOS!$BG$11:$BG$201,[1]CRITERIOS!$BJ$11:$BJ$201),_xlfn.XLOOKUP(ARTÍCULOS!C614,[1]CRITERIOS!$K$25:$K$42,[1]CRITERIOS!$M$25:$M$42))),0),ROUNDUP([1]CRITERIOS!$M$16/(IF(COUNTIF([1]CRITERIOS!$BG$11:$BG$201,L614)&gt;=1,_xlfn.XLOOKUP(ARTÍCULOS!L614,[1]CRITERIOS!$BG$11:$BG$201:#REF!,[1]CRITERIOS!$BJ$11:$BJ$201),_xlfn.XLOOKUP(ARTÍCULOS!C614,[1]CRITERIOS!$K$25:$K$42,[1]CRITERIOS!$M$25:$M$42))),0),(E614+V614-_xlfn.XLOOKUP(A614,'[1]DATOS PBI Artículos'!$A$4:$A$4,'[1]DATOS PBI Artículos'!$W$4:$W$4))/N614)</f>
        <v>#N/A</v>
      </c>
      <c r="AC614" s="33" t="e">
        <f>IF(N614=0,"",(ROUNDUP((N614/2)/(_xlfn.XLOOKUP(A614,'[1]DATOS PBI Artículos'!$A$4:$A$4,'[1]DATOS PBI Artículos'!$Z$4:$Z$4)*_xlfn.XLOOKUP(_xlfn.XLOOKUP(A614,'[1]DATOS PBI Artículos'!$A$4:$A$4,'[1]DATOS PBI Artículos'!$Y$4:$Y$4),[1]CRITERIOS!$P$79:$P$123,[1]CRITERIOS!$S$79:$S$123)),0)*[1]CRITERIOS!$M$80*([1]CRITERIOS!$M$110/[1]CRITERIOS!$M$86)+(_xlfn.XLOOKUP(A614,'[1]DATOS PBI Artículos'!$A$4:$A$4,'[1]DATOS PBI Artículos'!$AA$4:$AA$4)*([1]CRITERIOS!$M$95+[1]CRITERIOS!$M$98)))/N614)</f>
        <v>#N/A</v>
      </c>
      <c r="AD614" s="33" t="e">
        <f>IF(N614=0,"",(ROUNDUP((N614/2)/(_xlfn.XLOOKUP(A614,'[1]DATOS PBI Artículos'!$A$4:$A$4,'[1]DATOS PBI Artículos'!$Z$4:$Z$4)*_xlfn.XLOOKUP(_xlfn.XLOOKUP(A614,'[1]DATOS PBI Artículos'!$A$4:$A$4,'[1]DATOS PBI Artículos'!$Y$4:$Y$4),[1]CRITERIOS!$P$79:$P$123,[1]CRITERIOS!$S$79:$S$123)),0)*[1]CRITERIOS!$M$80*([1]CRITERIOS!$M$89*[1]CRITERIOS!$M$92)+((_xlfn.XLOOKUP(A614,'[1]DATOS PBI Artículos'!$A$4:$A$4,'[1]DATOS PBI Artículos'!$AA$4:$AA$4)/2)*([1]CRITERIOS!$M$95+[1]CRITERIOS!$M$98)))/N614)</f>
        <v>#N/A</v>
      </c>
      <c r="AE614" s="39" t="e">
        <f>IF($R614="MTO","",
IF($H614=0,ROUNDUP(((_xlfn.XLOOKUP($A614,'[1]DATOS PBI Artículos'!$A:$A,'[1]DATOS PBI Artículos'!$AL:$AL))/(_xlfn.XLOOKUP($AF$1,[1]CRITERIOS!$S$16:$S$39,[1]CRITERIOS!$Y$16:$Y$39))*$J614+$Z614)/$G614,0)*$G614,
((_xlfn.XLOOKUP($A614,'[1]DATOS PBI Artículos'!$A:$A,'[1]DATOS PBI Artículos'!$AL:$AL))/(_xlfn.XLOOKUP($AF$1,[1]CRITERIOS!$S$16:$S$39,[1]CRITERIOS!$Y$16:$Y$39))*$J614+$Z614)))</f>
        <v>#N/A</v>
      </c>
      <c r="AG614" s="39" t="e">
        <f>IF($R614="MTO","",
IF($H614=0,ROUNDUP(((_xlfn.XLOOKUP($A614,'[1]DATOS PBI Artículos'!$A:$A,'[1]DATOS PBI Artículos'!$AM:$AM))/(_xlfn.XLOOKUP($AH$1,[1]CRITERIOS!$S$16:$S$39,[1]CRITERIOS!$Y$16:$Y$39))*$J614+$Z614)/$G614,0)*$G614,
((_xlfn.XLOOKUP($A614,'[1]DATOS PBI Artículos'!$A:$A,'[1]DATOS PBI Artículos'!$AM:$AM))/(_xlfn.XLOOKUP($AH$1,[1]CRITERIOS!$S$16:$S$39,[1]CRITERIOS!$Y$16:$Y$39))*$J614+$Z614)))</f>
        <v>#N/A</v>
      </c>
      <c r="AI614" s="39" t="e">
        <f>IF($R614="MTO","",
IF($H614=0,ROUNDUP(((_xlfn.XLOOKUP($A614,'[1]DATOS PBI Artículos'!$A:$A,'[1]DATOS PBI Artículos'!$AN:$AN))/(_xlfn.XLOOKUP($AJ$1,[1]CRITERIOS!$S$16:$S$39,[1]CRITERIOS!$Y$16:$Y$39))*$J614+$Z614)/$G614,0)*$G614,
((_xlfn.XLOOKUP($A614,'[1]DATOS PBI Artículos'!$A:$A,'[1]DATOS PBI Artículos'!$AN:$AN))/(_xlfn.XLOOKUP($AJ$1,[1]CRITERIOS!$S$16:$S$39,[1]CRITERIOS!$Y$16:$Y$39))*$J614+$Z614)))</f>
        <v>#N/A</v>
      </c>
      <c r="AK614" s="39" t="e">
        <f>IF($R614="MTO","",
IF($H614=0,ROUNDUP(((_xlfn.XLOOKUP($A614,'[1]DATOS PBI Artículos'!$A:$A,'[1]DATOS PBI Artículos'!$AO:$AO))/(_xlfn.XLOOKUP($AL$1,[1]CRITERIOS!$S$16:$S$39,[1]CRITERIOS!$Y$16:$Y$39))*$J614+$Z614)/$G614,0)*$G614,
((_xlfn.XLOOKUP($A614,'[1]DATOS PBI Artículos'!$A:$A,'[1]DATOS PBI Artículos'!$AO:$AO))/(_xlfn.XLOOKUP($AL$1,[1]CRITERIOS!$S$16:$S$39,[1]CRITERIOS!$Y$16:$Y$39))*$J614+$Z614)))</f>
        <v>#N/A</v>
      </c>
    </row>
    <row r="615" spans="1:37" ht="25.8" hidden="1" x14ac:dyDescent="0.4">
      <c r="A615" s="41"/>
      <c r="B615" s="33">
        <f>_xlfn.XLOOKUP($A615,'[1]DATOS PBI Artículos'!A:A,'[1]DATOS PBI Artículos'!B:B)</f>
        <v>0</v>
      </c>
      <c r="C615" s="33">
        <f>_xlfn.XLOOKUP($A615,'[1]DATOS PBI Artículos'!A:A,'[1]DATOS PBI Artículos'!C:C)</f>
        <v>0</v>
      </c>
      <c r="D615" s="33">
        <f>_xlfn.XLOOKUP(A615,'[1]DATOS PBI Artículos'!A:A,'[1]DATOS PBI Artículos'!T:T)</f>
        <v>0</v>
      </c>
      <c r="E615" s="34">
        <f>IF(_xlfn.XLOOKUP($A615,'[1]DATOS PBI Artículos'!A:A,'[1]DATOS PBI Artículos'!AK:AK)="",_xlfn.XLOOKUP($A615,'[1]DATOS PBI Artículos'!A:A,'[1]DATOS PBI Artículos'!AJ:AJ),_xlfn.XLOOKUP($A615,'[1]DATOS PBI Artículos'!A:A,'[1]DATOS PBI Artículos'!AK:AK))</f>
        <v>0</v>
      </c>
      <c r="F615" s="35">
        <f>_xlfn.XLOOKUP($A615,'[1]DATOS PBI Artículos'!A:A,'[1]DATOS PBI Artículos'!AP:AP)</f>
        <v>0</v>
      </c>
      <c r="G615" s="34">
        <f>_xlfn.XLOOKUP($A615,'[1]DATOS PBI Artículos'!A:A,'[1]DATOS PBI Artículos'!AR:AR)</f>
        <v>0</v>
      </c>
      <c r="H615" s="34">
        <f>_xlfn.XLOOKUP($A615,'[1]DATOS PBI Artículos'!A:A,'[1]DATOS PBI Artículos'!AT:AT)</f>
        <v>0</v>
      </c>
      <c r="I615" s="34">
        <f>_xlfn.XLOOKUP($A615,'[1]DATOS PBI Artículos'!A:A,'[1]DATOS PBI Artículos'!AS:AS)</f>
        <v>0</v>
      </c>
      <c r="J615" s="35">
        <f>IF(COUNTIF([1]CRITERIOS!$F$179:$F$199,$A615)&gt;=1,
 IF(O615&lt;&gt;"",
    (O615/_xlfn.XLOOKUP(CONCATENATE(A615,L615),[1]MÁQUINAS!A:A,[1]MÁQUINAS!D:D))/24,
    (N615/_xlfn.XLOOKUP(CONCATENATE(A615,L615),[1]MÁQUINAS!A:A,[1]MÁQUINAS!D:D))/24),
  _xlfn.XLOOKUP($A615,'[1]DATOS PBI Artículos'!A:A,'[1]DATOS PBI Artículos'!AU:AU))</f>
        <v>0</v>
      </c>
      <c r="K615" s="36">
        <f>_xlfn.XLOOKUP($A615,'[1]DATOS PBI Artículos'!A:A,'[1]DATOS PBI Artículos'!AV:AV)</f>
        <v>0</v>
      </c>
      <c r="L615" s="33">
        <f>_xlfn.XLOOKUP(A615,[1]MÁQUINAS!B:B,[1]MÁQUINAS!C:C)</f>
        <v>0</v>
      </c>
      <c r="M615" s="34">
        <f t="array" ref="M615">_xlfn.XLOOKUP(A615,'[1]DATOS PBI Artículos'!A:A,'[1]DATOS PBI Artículos'!AX:$AX)</f>
        <v>0</v>
      </c>
      <c r="N615" s="37" t="e">
        <f>IF(I615="DV",
E615,
IF(COUNTIF([1]CRITERIOS!$I$179:$I$199,$A615)&gt;=1,
_xlfn.XLOOKUP($A615,[1]CRITERIOS!$I$179:$I$199,[1]CRITERIOS!$J$179:$J$199),
IF(COUNTIF([1]CRITERIOS!$L$179:$L$199,$A615)&gt;=1,
_xlfn.CEILING.MATH(IF($M615&gt;$E615,
$E615,
IF($M615&lt;$E615/ROUNDDOWN([1]CRITERIOS!$M$16/_xlfn.XLOOKUP($C615,[1]CRITERIOS!$K$25:$K$42,[1]CRITERIOS!$M$25:$M$42),
1),
E615/ROUNDDOWN([1]CRITERIOS!$M$16/_xlfn.XLOOKUP($C615,[1]CRITERIOS!$K$25:$K$42,[1]CRITERIOS!$M$25:$M$42),
1),
$M615)),
_xlfn.XLOOKUP($A615,[1]CRITERIOS!$L$179:$L$200,[1]CRITERIOS!$M$179:$M$200)),
_xlfn.CEILING.MATH(IF($M615&gt;$E615,
$E615,
IF($M615&lt;$E615/ROUNDDOWN([1]CRITERIOS!$M$16/_xlfn.XLOOKUP($C615,[1]CRITERIOS!$K$25:$K$42,[1]CRITERIOS!$M$25:$M$42),
1),
E615/ROUNDDOWN([1]CRITERIOS!$M$16/_xlfn.XLOOKUP($C615,[1]CRITERIOS!$K$25:$K$42,[1]CRITERIOS!$M$25:$M$42),
1),
$M615)),_xlfn.XLOOKUP(A615,'[1]DATOS PBI Artículos'!A:A,'[1]DATOS PBI Artículos'!Z:Z
)))))</f>
        <v>#N/A</v>
      </c>
      <c r="Q615" s="38" t="e">
        <f>IF(AND(O615="",N615=0),
0,
   IF(COUNTIF([1]CRITERIOS!$F$179:$F$199,$A615)&gt;=1,
   1,
   IF(R615="MTO",
      $D615,
      ROUNDUP(
                    IF(($E615-SUMIF('[1]DATOS PBI Artículos'!A:A,A615,'[1]DATOS PBI Artículos'!X:X)+($V615-_xlfn.XLOOKUP(A615,'[1]DATOS PBI Artículos'!A:A,'[1]DATOS PBI Artículos'!W:W)))&lt;0,
                    0,
                    IF(($E615-SUMIF('[1]DATOS PBI Artículos'!A:A,A615,'[1]DATOS PBI Artículos'!X:X)+$V615-_xlfn.XLOOKUP($A615,'[1]DATOS PBI Artículos'!A:A,'[1]DATOS PBI Artículos'!W:W))/IF($O615="",$N615,$O615)&gt;ROUNDUP([1]CRITERIOS!$M$16/(IF(COUNTIF([1]CRITERIOS!$BG$11:$BG$201,L615)&gt;=1,_xlfn.XLOOKUP($C615,[1]CRITERIOS!$K$25:$K$42,[1]CRITERIOS!$M$25:$M$42),_xlfn.XLOOKUP($C615,[1]CRITERIOS!$K$25:$K$42,[1]CRITERIOS!$M$25:$M$42))),0),
                    ROUNDUP([1]CRITERIOS!$M$16/(IF(COUNTIF([1]CRITERIOS!$BG$11:$BG$201,$L615)&gt;=1,_xlfn.XLOOKUP($C615,[1]CRITERIOS!$K$25:$K$42,[1]CRITERIOS!$M$25:$M$42),_xlfn.XLOOKUP($C615,[1]CRITERIOS!$K$25:$K$42,[1]CRITERIOS!$M$25:$M$42))),0),
                    (E615+V615-SUMIF('[1]DATOS PBI Artículos'!A:A,A615,'[1]DATOS PBI Artículos'!X:X)-_xlfn.XLOOKUP(A615,'[1]DATOS PBI Artículos'!A:A,'[1]DATOS PBI Artículos'!W:W))/IF($O615="",$N615,$O615))),0))))</f>
        <v>#N/A</v>
      </c>
      <c r="R615" s="33" t="e">
        <f>IF(U615&lt;&gt;"",U615,IF(F615="DV","MTO",IF(N615=0,"MTO",_xlfn.XLOOKUP(CONCATENATE(S615,T615),[1]CRITERIOS!$K$160:$K$168,[1]CRITERIOS!$N$160:$N$168))))</f>
        <v>#N/A</v>
      </c>
      <c r="S615" s="33" t="e">
        <f>IF(G615="DV","MTO",IF(N615=0,"MTO",IF(OR(AND(N615=0,O615=""),IF(O615="",G615/N615,G615/O615)&gt;[1]CRITERIOS!$G$163),"MTO",IF(IF(O615="",G615/N615,G615/O615)&lt;[1]CRITERIOS!$H$161,"MTS","MTOS"))))</f>
        <v>#N/A</v>
      </c>
      <c r="T615" s="33" t="e">
        <f>IF(F615="DV","MTO",IF(OR(AND($N615=0,O615=""),$F615/$J615&gt;[1]CRITERIOS!$G$170,$F615="DV"),"MTO",IF($F615/$J615&lt;[1]CRITERIOS!$H$168,"MTS","MTOS")))</f>
        <v>#N/A</v>
      </c>
      <c r="V615" s="34" t="e">
        <f t="shared" si="31"/>
        <v>#N/A</v>
      </c>
      <c r="X615" s="34" t="e">
        <f t="shared" si="29"/>
        <v>#N/A</v>
      </c>
      <c r="Y615" s="34" t="e">
        <f t="shared" si="30"/>
        <v>#N/A</v>
      </c>
      <c r="Z615" s="34" t="e">
        <f>IF($R615="MTO",
0,
($H615+$K615*($E615/[1]CRITERIOS!$M$16))/[1]CRITERIOS!$X$48)</f>
        <v>#N/A</v>
      </c>
      <c r="AA615" s="34" t="e">
        <f>ROUNDUP(($Y615/_xlfn.XLOOKUP($A615,'[1]DATOS PBI Artículos'!$A$4:$A$4,'[1]DATOS PBI Artículos'!$Z$4:$Z$4))/_xlfn.XLOOKUP(_xlfn.XLOOKUP($A615,'[1]DATOS PBI Artículos'!$A$4:$A$4,'[1]DATOS PBI Artículos'!$Y$4:$Y$4),[1]CRITERIOS!$P$79:$P$123,[1]CRITERIOS!$S$79:$S$123,),0)</f>
        <v>#N/A</v>
      </c>
      <c r="AB615" s="33" t="e">
        <f t="array" ref="AB615">IF((E615+V615-_xlfn.XLOOKUP(A615,'[1]DATOS PBI Artículos'!$A$4:$A$4,'[1]DATOS PBI Artículos'!$W$4:$W$4))/N615&gt;ROUNDUP([1]CRITERIOS!$M$16/(IF(COUNTIF([1]CRITERIOS!$BG$11:$BG$201,L615)&gt;=1,_xlfn.XLOOKUP(ARTÍCULOS!L615,[1]CRITERIOS!$BG$11:$BG$201,[1]CRITERIOS!$BJ$11:$BJ$201),_xlfn.XLOOKUP(ARTÍCULOS!C615,[1]CRITERIOS!$K$25:$K$42,[1]CRITERIOS!$M$25:$M$42))),0),ROUNDUP([1]CRITERIOS!$M$16/(IF(COUNTIF([1]CRITERIOS!$BG$11:$BG$201,L615)&gt;=1,_xlfn.XLOOKUP(ARTÍCULOS!L615,[1]CRITERIOS!$BG$11:$BG$201:#REF!,[1]CRITERIOS!$BJ$11:$BJ$201),_xlfn.XLOOKUP(ARTÍCULOS!C615,[1]CRITERIOS!$K$25:$K$42,[1]CRITERIOS!$M$25:$M$42))),0),(E615+V615-_xlfn.XLOOKUP(A615,'[1]DATOS PBI Artículos'!$A$4:$A$4,'[1]DATOS PBI Artículos'!$W$4:$W$4))/N615)</f>
        <v>#N/A</v>
      </c>
      <c r="AC615" s="33" t="e">
        <f>IF(N615=0,"",(ROUNDUP((N615/2)/(_xlfn.XLOOKUP(A615,'[1]DATOS PBI Artículos'!$A$4:$A$4,'[1]DATOS PBI Artículos'!$Z$4:$Z$4)*_xlfn.XLOOKUP(_xlfn.XLOOKUP(A615,'[1]DATOS PBI Artículos'!$A$4:$A$4,'[1]DATOS PBI Artículos'!$Y$4:$Y$4),[1]CRITERIOS!$P$79:$P$123,[1]CRITERIOS!$S$79:$S$123)),0)*[1]CRITERIOS!$M$80*([1]CRITERIOS!$M$110/[1]CRITERIOS!$M$86)+(_xlfn.XLOOKUP(A615,'[1]DATOS PBI Artículos'!$A$4:$A$4,'[1]DATOS PBI Artículos'!$AA$4:$AA$4)*([1]CRITERIOS!$M$95+[1]CRITERIOS!$M$98)))/N615)</f>
        <v>#N/A</v>
      </c>
      <c r="AD615" s="33" t="e">
        <f>IF(N615=0,"",(ROUNDUP((N615/2)/(_xlfn.XLOOKUP(A615,'[1]DATOS PBI Artículos'!$A$4:$A$4,'[1]DATOS PBI Artículos'!$Z$4:$Z$4)*_xlfn.XLOOKUP(_xlfn.XLOOKUP(A615,'[1]DATOS PBI Artículos'!$A$4:$A$4,'[1]DATOS PBI Artículos'!$Y$4:$Y$4),[1]CRITERIOS!$P$79:$P$123,[1]CRITERIOS!$S$79:$S$123)),0)*[1]CRITERIOS!$M$80*([1]CRITERIOS!$M$89*[1]CRITERIOS!$M$92)+((_xlfn.XLOOKUP(A615,'[1]DATOS PBI Artículos'!$A$4:$A$4,'[1]DATOS PBI Artículos'!$AA$4:$AA$4)/2)*([1]CRITERIOS!$M$95+[1]CRITERIOS!$M$98)))/N615)</f>
        <v>#N/A</v>
      </c>
      <c r="AE615" s="39" t="e">
        <f>IF($R615="MTO","",
IF($H615=0,ROUNDUP(((_xlfn.XLOOKUP($A615,'[1]DATOS PBI Artículos'!$A:$A,'[1]DATOS PBI Artículos'!$AL:$AL))/(_xlfn.XLOOKUP($AF$1,[1]CRITERIOS!$S$16:$S$39,[1]CRITERIOS!$Y$16:$Y$39))*$J615+$Z615)/$G615,0)*$G615,
((_xlfn.XLOOKUP($A615,'[1]DATOS PBI Artículos'!$A:$A,'[1]DATOS PBI Artículos'!$AL:$AL))/(_xlfn.XLOOKUP($AF$1,[1]CRITERIOS!$S$16:$S$39,[1]CRITERIOS!$Y$16:$Y$39))*$J615+$Z615)))</f>
        <v>#N/A</v>
      </c>
      <c r="AG615" s="39" t="e">
        <f>IF($R615="MTO","",
IF($H615=0,ROUNDUP(((_xlfn.XLOOKUP($A615,'[1]DATOS PBI Artículos'!$A:$A,'[1]DATOS PBI Artículos'!$AM:$AM))/(_xlfn.XLOOKUP($AH$1,[1]CRITERIOS!$S$16:$S$39,[1]CRITERIOS!$Y$16:$Y$39))*$J615+$Z615)/$G615,0)*$G615,
((_xlfn.XLOOKUP($A615,'[1]DATOS PBI Artículos'!$A:$A,'[1]DATOS PBI Artículos'!$AM:$AM))/(_xlfn.XLOOKUP($AH$1,[1]CRITERIOS!$S$16:$S$39,[1]CRITERIOS!$Y$16:$Y$39))*$J615+$Z615)))</f>
        <v>#N/A</v>
      </c>
      <c r="AI615" s="39" t="e">
        <f>IF($R615="MTO","",
IF($H615=0,ROUNDUP(((_xlfn.XLOOKUP($A615,'[1]DATOS PBI Artículos'!$A:$A,'[1]DATOS PBI Artículos'!$AN:$AN))/(_xlfn.XLOOKUP($AJ$1,[1]CRITERIOS!$S$16:$S$39,[1]CRITERIOS!$Y$16:$Y$39))*$J615+$Z615)/$G615,0)*$G615,
((_xlfn.XLOOKUP($A615,'[1]DATOS PBI Artículos'!$A:$A,'[1]DATOS PBI Artículos'!$AN:$AN))/(_xlfn.XLOOKUP($AJ$1,[1]CRITERIOS!$S$16:$S$39,[1]CRITERIOS!$Y$16:$Y$39))*$J615+$Z615)))</f>
        <v>#N/A</v>
      </c>
      <c r="AK615" s="39" t="e">
        <f>IF($R615="MTO","",
IF($H615=0,ROUNDUP(((_xlfn.XLOOKUP($A615,'[1]DATOS PBI Artículos'!$A:$A,'[1]DATOS PBI Artículos'!$AO:$AO))/(_xlfn.XLOOKUP($AL$1,[1]CRITERIOS!$S$16:$S$39,[1]CRITERIOS!$Y$16:$Y$39))*$J615+$Z615)/$G615,0)*$G615,
((_xlfn.XLOOKUP($A615,'[1]DATOS PBI Artículos'!$A:$A,'[1]DATOS PBI Artículos'!$AO:$AO))/(_xlfn.XLOOKUP($AL$1,[1]CRITERIOS!$S$16:$S$39,[1]CRITERIOS!$Y$16:$Y$39))*$J615+$Z615)))</f>
        <v>#N/A</v>
      </c>
    </row>
    <row r="616" spans="1:37" ht="25.8" hidden="1" x14ac:dyDescent="0.4">
      <c r="A616" s="41"/>
      <c r="B616" s="33">
        <f>_xlfn.XLOOKUP($A616,'[1]DATOS PBI Artículos'!A:A,'[1]DATOS PBI Artículos'!B:B)</f>
        <v>0</v>
      </c>
      <c r="C616" s="33">
        <f>_xlfn.XLOOKUP($A616,'[1]DATOS PBI Artículos'!A:A,'[1]DATOS PBI Artículos'!C:C)</f>
        <v>0</v>
      </c>
      <c r="D616" s="33">
        <f>_xlfn.XLOOKUP(A616,'[1]DATOS PBI Artículos'!A:A,'[1]DATOS PBI Artículos'!T:T)</f>
        <v>0</v>
      </c>
      <c r="E616" s="34">
        <f>IF(_xlfn.XLOOKUP($A616,'[1]DATOS PBI Artículos'!A:A,'[1]DATOS PBI Artículos'!AK:AK)="",_xlfn.XLOOKUP($A616,'[1]DATOS PBI Artículos'!A:A,'[1]DATOS PBI Artículos'!AJ:AJ),_xlfn.XLOOKUP($A616,'[1]DATOS PBI Artículos'!A:A,'[1]DATOS PBI Artículos'!AK:AK))</f>
        <v>0</v>
      </c>
      <c r="F616" s="35">
        <f>_xlfn.XLOOKUP($A616,'[1]DATOS PBI Artículos'!A:A,'[1]DATOS PBI Artículos'!AP:AP)</f>
        <v>0</v>
      </c>
      <c r="G616" s="34">
        <f>_xlfn.XLOOKUP($A616,'[1]DATOS PBI Artículos'!A:A,'[1]DATOS PBI Artículos'!AR:AR)</f>
        <v>0</v>
      </c>
      <c r="H616" s="34">
        <f>_xlfn.XLOOKUP($A616,'[1]DATOS PBI Artículos'!A:A,'[1]DATOS PBI Artículos'!AT:AT)</f>
        <v>0</v>
      </c>
      <c r="I616" s="34">
        <f>_xlfn.XLOOKUP($A616,'[1]DATOS PBI Artículos'!A:A,'[1]DATOS PBI Artículos'!AS:AS)</f>
        <v>0</v>
      </c>
      <c r="J616" s="35">
        <f>IF(COUNTIF([1]CRITERIOS!$F$179:$F$199,$A616)&gt;=1,
 IF(O616&lt;&gt;"",
    (O616/_xlfn.XLOOKUP(CONCATENATE(A616,L616),[1]MÁQUINAS!A:A,[1]MÁQUINAS!D:D))/24,
    (N616/_xlfn.XLOOKUP(CONCATENATE(A616,L616),[1]MÁQUINAS!A:A,[1]MÁQUINAS!D:D))/24),
  _xlfn.XLOOKUP($A616,'[1]DATOS PBI Artículos'!A:A,'[1]DATOS PBI Artículos'!AU:AU))</f>
        <v>0</v>
      </c>
      <c r="K616" s="36">
        <f>_xlfn.XLOOKUP($A616,'[1]DATOS PBI Artículos'!A:A,'[1]DATOS PBI Artículos'!AV:AV)</f>
        <v>0</v>
      </c>
      <c r="L616" s="33">
        <f>_xlfn.XLOOKUP(A616,[1]MÁQUINAS!B:B,[1]MÁQUINAS!C:C)</f>
        <v>0</v>
      </c>
      <c r="M616" s="34">
        <f t="array" ref="M616">_xlfn.XLOOKUP(A616,'[1]DATOS PBI Artículos'!A:A,'[1]DATOS PBI Artículos'!AX:$AX)</f>
        <v>0</v>
      </c>
      <c r="N616" s="37" t="e">
        <f>IF(I616="DV",
E616,
IF(COUNTIF([1]CRITERIOS!$I$179:$I$199,$A616)&gt;=1,
_xlfn.XLOOKUP($A616,[1]CRITERIOS!$I$179:$I$199,[1]CRITERIOS!$J$179:$J$199),
IF(COUNTIF([1]CRITERIOS!$L$179:$L$199,$A616)&gt;=1,
_xlfn.CEILING.MATH(IF($M616&gt;$E616,
$E616,
IF($M616&lt;$E616/ROUNDDOWN([1]CRITERIOS!$M$16/_xlfn.XLOOKUP($C616,[1]CRITERIOS!$K$25:$K$42,[1]CRITERIOS!$M$25:$M$42),
1),
E616/ROUNDDOWN([1]CRITERIOS!$M$16/_xlfn.XLOOKUP($C616,[1]CRITERIOS!$K$25:$K$42,[1]CRITERIOS!$M$25:$M$42),
1),
$M616)),
_xlfn.XLOOKUP($A616,[1]CRITERIOS!$L$179:$L$200,[1]CRITERIOS!$M$179:$M$200)),
_xlfn.CEILING.MATH(IF($M616&gt;$E616,
$E616,
IF($M616&lt;$E616/ROUNDDOWN([1]CRITERIOS!$M$16/_xlfn.XLOOKUP($C616,[1]CRITERIOS!$K$25:$K$42,[1]CRITERIOS!$M$25:$M$42),
1),
E616/ROUNDDOWN([1]CRITERIOS!$M$16/_xlfn.XLOOKUP($C616,[1]CRITERIOS!$K$25:$K$42,[1]CRITERIOS!$M$25:$M$42),
1),
$M616)),_xlfn.XLOOKUP(A616,'[1]DATOS PBI Artículos'!A:A,'[1]DATOS PBI Artículos'!Z:Z
)))))</f>
        <v>#N/A</v>
      </c>
      <c r="Q616" s="38" t="e">
        <f>IF(AND(O616="",N616=0),
0,
   IF(COUNTIF([1]CRITERIOS!$F$179:$F$199,$A616)&gt;=1,
   1,
   IF(R616="MTO",
      $D616,
      ROUNDUP(
                    IF(($E616-SUMIF('[1]DATOS PBI Artículos'!A:A,A616,'[1]DATOS PBI Artículos'!X:X)+($V616-_xlfn.XLOOKUP(A616,'[1]DATOS PBI Artículos'!A:A,'[1]DATOS PBI Artículos'!W:W)))&lt;0,
                    0,
                    IF(($E616-SUMIF('[1]DATOS PBI Artículos'!A:A,A616,'[1]DATOS PBI Artículos'!X:X)+$V616-_xlfn.XLOOKUP($A616,'[1]DATOS PBI Artículos'!A:A,'[1]DATOS PBI Artículos'!W:W))/IF($O616="",$N616,$O616)&gt;ROUNDUP([1]CRITERIOS!$M$16/(IF(COUNTIF([1]CRITERIOS!$BG$11:$BG$201,L616)&gt;=1,_xlfn.XLOOKUP($C616,[1]CRITERIOS!$K$25:$K$42,[1]CRITERIOS!$M$25:$M$42),_xlfn.XLOOKUP($C616,[1]CRITERIOS!$K$25:$K$42,[1]CRITERIOS!$M$25:$M$42))),0),
                    ROUNDUP([1]CRITERIOS!$M$16/(IF(COUNTIF([1]CRITERIOS!$BG$11:$BG$201,$L616)&gt;=1,_xlfn.XLOOKUP($C616,[1]CRITERIOS!$K$25:$K$42,[1]CRITERIOS!$M$25:$M$42),_xlfn.XLOOKUP($C616,[1]CRITERIOS!$K$25:$K$42,[1]CRITERIOS!$M$25:$M$42))),0),
                    (E616+V616-SUMIF('[1]DATOS PBI Artículos'!A:A,A616,'[1]DATOS PBI Artículos'!X:X)-_xlfn.XLOOKUP(A616,'[1]DATOS PBI Artículos'!A:A,'[1]DATOS PBI Artículos'!W:W))/IF($O616="",$N616,$O616))),0))))</f>
        <v>#N/A</v>
      </c>
      <c r="R616" s="33" t="e">
        <f>IF(U616&lt;&gt;"",U616,IF(F616="DV","MTO",IF(N616=0,"MTO",_xlfn.XLOOKUP(CONCATENATE(S616,T616),[1]CRITERIOS!$K$160:$K$168,[1]CRITERIOS!$N$160:$N$168))))</f>
        <v>#N/A</v>
      </c>
      <c r="S616" s="33" t="e">
        <f>IF(G616="DV","MTO",IF(N616=0,"MTO",IF(OR(AND(N616=0,O616=""),IF(O616="",G616/N616,G616/O616)&gt;[1]CRITERIOS!$G$163),"MTO",IF(IF(O616="",G616/N616,G616/O616)&lt;[1]CRITERIOS!$H$161,"MTS","MTOS"))))</f>
        <v>#N/A</v>
      </c>
      <c r="T616" s="33" t="e">
        <f>IF(F616="DV","MTO",IF(OR(AND($N616=0,O616=""),$F616/$J616&gt;[1]CRITERIOS!$G$170,$F616="DV"),"MTO",IF($F616/$J616&lt;[1]CRITERIOS!$H$168,"MTS","MTOS")))</f>
        <v>#N/A</v>
      </c>
      <c r="V616" s="34" t="e">
        <f t="shared" si="31"/>
        <v>#N/A</v>
      </c>
      <c r="X616" s="34" t="e">
        <f t="shared" si="29"/>
        <v>#N/A</v>
      </c>
      <c r="Y616" s="34" t="e">
        <f t="shared" si="30"/>
        <v>#N/A</v>
      </c>
      <c r="Z616" s="34" t="e">
        <f>IF($R616="MTO",
0,
($H616+$K616*($E616/[1]CRITERIOS!$M$16))/[1]CRITERIOS!$X$48)</f>
        <v>#N/A</v>
      </c>
      <c r="AA616" s="34" t="e">
        <f>ROUNDUP(($Y616/_xlfn.XLOOKUP($A616,'[1]DATOS PBI Artículos'!$A$4:$A$4,'[1]DATOS PBI Artículos'!$Z$4:$Z$4))/_xlfn.XLOOKUP(_xlfn.XLOOKUP($A616,'[1]DATOS PBI Artículos'!$A$4:$A$4,'[1]DATOS PBI Artículos'!$Y$4:$Y$4),[1]CRITERIOS!$P$79:$P$123,[1]CRITERIOS!$S$79:$S$123,),0)</f>
        <v>#N/A</v>
      </c>
      <c r="AB616" s="33" t="e">
        <f t="array" ref="AB616">IF((E616+V616-_xlfn.XLOOKUP(A616,'[1]DATOS PBI Artículos'!$A$4:$A$4,'[1]DATOS PBI Artículos'!$W$4:$W$4))/N616&gt;ROUNDUP([1]CRITERIOS!$M$16/(IF(COUNTIF([1]CRITERIOS!$BG$11:$BG$201,L616)&gt;=1,_xlfn.XLOOKUP(ARTÍCULOS!L616,[1]CRITERIOS!$BG$11:$BG$201,[1]CRITERIOS!$BJ$11:$BJ$201),_xlfn.XLOOKUP(ARTÍCULOS!C616,[1]CRITERIOS!$K$25:$K$42,[1]CRITERIOS!$M$25:$M$42))),0),ROUNDUP([1]CRITERIOS!$M$16/(IF(COUNTIF([1]CRITERIOS!$BG$11:$BG$201,L616)&gt;=1,_xlfn.XLOOKUP(ARTÍCULOS!L616,[1]CRITERIOS!$BG$11:$BG$201:#REF!,[1]CRITERIOS!$BJ$11:$BJ$201),_xlfn.XLOOKUP(ARTÍCULOS!C616,[1]CRITERIOS!$K$25:$K$42,[1]CRITERIOS!$M$25:$M$42))),0),(E616+V616-_xlfn.XLOOKUP(A616,'[1]DATOS PBI Artículos'!$A$4:$A$4,'[1]DATOS PBI Artículos'!$W$4:$W$4))/N616)</f>
        <v>#N/A</v>
      </c>
      <c r="AC616" s="33" t="e">
        <f>IF(N616=0,"",(ROUNDUP((N616/2)/(_xlfn.XLOOKUP(A616,'[1]DATOS PBI Artículos'!$A$4:$A$4,'[1]DATOS PBI Artículos'!$Z$4:$Z$4)*_xlfn.XLOOKUP(_xlfn.XLOOKUP(A616,'[1]DATOS PBI Artículos'!$A$4:$A$4,'[1]DATOS PBI Artículos'!$Y$4:$Y$4),[1]CRITERIOS!$P$79:$P$123,[1]CRITERIOS!$S$79:$S$123)),0)*[1]CRITERIOS!$M$80*([1]CRITERIOS!$M$110/[1]CRITERIOS!$M$86)+(_xlfn.XLOOKUP(A616,'[1]DATOS PBI Artículos'!$A$4:$A$4,'[1]DATOS PBI Artículos'!$AA$4:$AA$4)*([1]CRITERIOS!$M$95+[1]CRITERIOS!$M$98)))/N616)</f>
        <v>#N/A</v>
      </c>
      <c r="AD616" s="33" t="e">
        <f>IF(N616=0,"",(ROUNDUP((N616/2)/(_xlfn.XLOOKUP(A616,'[1]DATOS PBI Artículos'!$A$4:$A$4,'[1]DATOS PBI Artículos'!$Z$4:$Z$4)*_xlfn.XLOOKUP(_xlfn.XLOOKUP(A616,'[1]DATOS PBI Artículos'!$A$4:$A$4,'[1]DATOS PBI Artículos'!$Y$4:$Y$4),[1]CRITERIOS!$P$79:$P$123,[1]CRITERIOS!$S$79:$S$123)),0)*[1]CRITERIOS!$M$80*([1]CRITERIOS!$M$89*[1]CRITERIOS!$M$92)+((_xlfn.XLOOKUP(A616,'[1]DATOS PBI Artículos'!$A$4:$A$4,'[1]DATOS PBI Artículos'!$AA$4:$AA$4)/2)*([1]CRITERIOS!$M$95+[1]CRITERIOS!$M$98)))/N616)</f>
        <v>#N/A</v>
      </c>
      <c r="AE616" s="39" t="e">
        <f>IF($R616="MTO","",
IF($H616=0,ROUNDUP(((_xlfn.XLOOKUP($A616,'[1]DATOS PBI Artículos'!$A:$A,'[1]DATOS PBI Artículos'!$AL:$AL))/(_xlfn.XLOOKUP($AF$1,[1]CRITERIOS!$S$16:$S$39,[1]CRITERIOS!$Y$16:$Y$39))*$J616+$Z616)/$G616,0)*$G616,
((_xlfn.XLOOKUP($A616,'[1]DATOS PBI Artículos'!$A:$A,'[1]DATOS PBI Artículos'!$AL:$AL))/(_xlfn.XLOOKUP($AF$1,[1]CRITERIOS!$S$16:$S$39,[1]CRITERIOS!$Y$16:$Y$39))*$J616+$Z616)))</f>
        <v>#N/A</v>
      </c>
      <c r="AG616" s="39" t="e">
        <f>IF($R616="MTO","",
IF($H616=0,ROUNDUP(((_xlfn.XLOOKUP($A616,'[1]DATOS PBI Artículos'!$A:$A,'[1]DATOS PBI Artículos'!$AM:$AM))/(_xlfn.XLOOKUP($AH$1,[1]CRITERIOS!$S$16:$S$39,[1]CRITERIOS!$Y$16:$Y$39))*$J616+$Z616)/$G616,0)*$G616,
((_xlfn.XLOOKUP($A616,'[1]DATOS PBI Artículos'!$A:$A,'[1]DATOS PBI Artículos'!$AM:$AM))/(_xlfn.XLOOKUP($AH$1,[1]CRITERIOS!$S$16:$S$39,[1]CRITERIOS!$Y$16:$Y$39))*$J616+$Z616)))</f>
        <v>#N/A</v>
      </c>
      <c r="AI616" s="39" t="e">
        <f>IF($R616="MTO","",
IF($H616=0,ROUNDUP(((_xlfn.XLOOKUP($A616,'[1]DATOS PBI Artículos'!$A:$A,'[1]DATOS PBI Artículos'!$AN:$AN))/(_xlfn.XLOOKUP($AJ$1,[1]CRITERIOS!$S$16:$S$39,[1]CRITERIOS!$Y$16:$Y$39))*$J616+$Z616)/$G616,0)*$G616,
((_xlfn.XLOOKUP($A616,'[1]DATOS PBI Artículos'!$A:$A,'[1]DATOS PBI Artículos'!$AN:$AN))/(_xlfn.XLOOKUP($AJ$1,[1]CRITERIOS!$S$16:$S$39,[1]CRITERIOS!$Y$16:$Y$39))*$J616+$Z616)))</f>
        <v>#N/A</v>
      </c>
      <c r="AK616" s="39" t="e">
        <f>IF($R616="MTO","",
IF($H616=0,ROUNDUP(((_xlfn.XLOOKUP($A616,'[1]DATOS PBI Artículos'!$A:$A,'[1]DATOS PBI Artículos'!$AO:$AO))/(_xlfn.XLOOKUP($AL$1,[1]CRITERIOS!$S$16:$S$39,[1]CRITERIOS!$Y$16:$Y$39))*$J616+$Z616)/$G616,0)*$G616,
((_xlfn.XLOOKUP($A616,'[1]DATOS PBI Artículos'!$A:$A,'[1]DATOS PBI Artículos'!$AO:$AO))/(_xlfn.XLOOKUP($AL$1,[1]CRITERIOS!$S$16:$S$39,[1]CRITERIOS!$Y$16:$Y$39))*$J616+$Z616)))</f>
        <v>#N/A</v>
      </c>
    </row>
    <row r="617" spans="1:37" ht="25.8" hidden="1" x14ac:dyDescent="0.4">
      <c r="A617" s="41"/>
      <c r="B617" s="33">
        <f>_xlfn.XLOOKUP($A617,'[1]DATOS PBI Artículos'!A:A,'[1]DATOS PBI Artículos'!B:B)</f>
        <v>0</v>
      </c>
      <c r="C617" s="33">
        <f>_xlfn.XLOOKUP($A617,'[1]DATOS PBI Artículos'!A:A,'[1]DATOS PBI Artículos'!C:C)</f>
        <v>0</v>
      </c>
      <c r="D617" s="33">
        <f>_xlfn.XLOOKUP(A617,'[1]DATOS PBI Artículos'!A:A,'[1]DATOS PBI Artículos'!T:T)</f>
        <v>0</v>
      </c>
      <c r="E617" s="34">
        <f>IF(_xlfn.XLOOKUP($A617,'[1]DATOS PBI Artículos'!A:A,'[1]DATOS PBI Artículos'!AK:AK)="",_xlfn.XLOOKUP($A617,'[1]DATOS PBI Artículos'!A:A,'[1]DATOS PBI Artículos'!AJ:AJ),_xlfn.XLOOKUP($A617,'[1]DATOS PBI Artículos'!A:A,'[1]DATOS PBI Artículos'!AK:AK))</f>
        <v>0</v>
      </c>
      <c r="F617" s="35">
        <f>_xlfn.XLOOKUP($A617,'[1]DATOS PBI Artículos'!A:A,'[1]DATOS PBI Artículos'!AP:AP)</f>
        <v>0</v>
      </c>
      <c r="G617" s="34">
        <f>_xlfn.XLOOKUP($A617,'[1]DATOS PBI Artículos'!A:A,'[1]DATOS PBI Artículos'!AR:AR)</f>
        <v>0</v>
      </c>
      <c r="H617" s="34">
        <f>_xlfn.XLOOKUP($A617,'[1]DATOS PBI Artículos'!A:A,'[1]DATOS PBI Artículos'!AT:AT)</f>
        <v>0</v>
      </c>
      <c r="I617" s="34">
        <f>_xlfn.XLOOKUP($A617,'[1]DATOS PBI Artículos'!A:A,'[1]DATOS PBI Artículos'!AS:AS)</f>
        <v>0</v>
      </c>
      <c r="J617" s="35">
        <f>IF(COUNTIF([1]CRITERIOS!$F$179:$F$199,$A617)&gt;=1,
 IF(O617&lt;&gt;"",
    (O617/_xlfn.XLOOKUP(CONCATENATE(A617,L617),[1]MÁQUINAS!A:A,[1]MÁQUINAS!D:D))/24,
    (N617/_xlfn.XLOOKUP(CONCATENATE(A617,L617),[1]MÁQUINAS!A:A,[1]MÁQUINAS!D:D))/24),
  _xlfn.XLOOKUP($A617,'[1]DATOS PBI Artículos'!A:A,'[1]DATOS PBI Artículos'!AU:AU))</f>
        <v>0</v>
      </c>
      <c r="K617" s="36">
        <f>_xlfn.XLOOKUP($A617,'[1]DATOS PBI Artículos'!A:A,'[1]DATOS PBI Artículos'!AV:AV)</f>
        <v>0</v>
      </c>
      <c r="L617" s="33">
        <f>_xlfn.XLOOKUP(A617,[1]MÁQUINAS!B:B,[1]MÁQUINAS!C:C)</f>
        <v>0</v>
      </c>
      <c r="M617" s="34">
        <f t="array" ref="M617">_xlfn.XLOOKUP(A617,'[1]DATOS PBI Artículos'!A:A,'[1]DATOS PBI Artículos'!AX:$AX)</f>
        <v>0</v>
      </c>
      <c r="N617" s="37" t="e">
        <f>IF(I617="DV",
E617,
IF(COUNTIF([1]CRITERIOS!$I$179:$I$199,$A617)&gt;=1,
_xlfn.XLOOKUP($A617,[1]CRITERIOS!$I$179:$I$199,[1]CRITERIOS!$J$179:$J$199),
IF(COUNTIF([1]CRITERIOS!$L$179:$L$199,$A617)&gt;=1,
_xlfn.CEILING.MATH(IF($M617&gt;$E617,
$E617,
IF($M617&lt;$E617/ROUNDDOWN([1]CRITERIOS!$M$16/_xlfn.XLOOKUP($C617,[1]CRITERIOS!$K$25:$K$42,[1]CRITERIOS!$M$25:$M$42),
1),
E617/ROUNDDOWN([1]CRITERIOS!$M$16/_xlfn.XLOOKUP($C617,[1]CRITERIOS!$K$25:$K$42,[1]CRITERIOS!$M$25:$M$42),
1),
$M617)),
_xlfn.XLOOKUP($A617,[1]CRITERIOS!$L$179:$L$200,[1]CRITERIOS!$M$179:$M$200)),
_xlfn.CEILING.MATH(IF($M617&gt;$E617,
$E617,
IF($M617&lt;$E617/ROUNDDOWN([1]CRITERIOS!$M$16/_xlfn.XLOOKUP($C617,[1]CRITERIOS!$K$25:$K$42,[1]CRITERIOS!$M$25:$M$42),
1),
E617/ROUNDDOWN([1]CRITERIOS!$M$16/_xlfn.XLOOKUP($C617,[1]CRITERIOS!$K$25:$K$42,[1]CRITERIOS!$M$25:$M$42),
1),
$M617)),_xlfn.XLOOKUP(A617,'[1]DATOS PBI Artículos'!A:A,'[1]DATOS PBI Artículos'!Z:Z
)))))</f>
        <v>#N/A</v>
      </c>
      <c r="Q617" s="38" t="e">
        <f>IF(AND(O617="",N617=0),
0,
   IF(COUNTIF([1]CRITERIOS!$F$179:$F$199,$A617)&gt;=1,
   1,
   IF(R617="MTO",
      $D617,
      ROUNDUP(
                    IF(($E617-SUMIF('[1]DATOS PBI Artículos'!A:A,A617,'[1]DATOS PBI Artículos'!X:X)+($V617-_xlfn.XLOOKUP(A617,'[1]DATOS PBI Artículos'!A:A,'[1]DATOS PBI Artículos'!W:W)))&lt;0,
                    0,
                    IF(($E617-SUMIF('[1]DATOS PBI Artículos'!A:A,A617,'[1]DATOS PBI Artículos'!X:X)+$V617-_xlfn.XLOOKUP($A617,'[1]DATOS PBI Artículos'!A:A,'[1]DATOS PBI Artículos'!W:W))/IF($O617="",$N617,$O617)&gt;ROUNDUP([1]CRITERIOS!$M$16/(IF(COUNTIF([1]CRITERIOS!$BG$11:$BG$201,L617)&gt;=1,_xlfn.XLOOKUP($C617,[1]CRITERIOS!$K$25:$K$42,[1]CRITERIOS!$M$25:$M$42),_xlfn.XLOOKUP($C617,[1]CRITERIOS!$K$25:$K$42,[1]CRITERIOS!$M$25:$M$42))),0),
                    ROUNDUP([1]CRITERIOS!$M$16/(IF(COUNTIF([1]CRITERIOS!$BG$11:$BG$201,$L617)&gt;=1,_xlfn.XLOOKUP($C617,[1]CRITERIOS!$K$25:$K$42,[1]CRITERIOS!$M$25:$M$42),_xlfn.XLOOKUP($C617,[1]CRITERIOS!$K$25:$K$42,[1]CRITERIOS!$M$25:$M$42))),0),
                    (E617+V617-SUMIF('[1]DATOS PBI Artículos'!A:A,A617,'[1]DATOS PBI Artículos'!X:X)-_xlfn.XLOOKUP(A617,'[1]DATOS PBI Artículos'!A:A,'[1]DATOS PBI Artículos'!W:W))/IF($O617="",$N617,$O617))),0))))</f>
        <v>#N/A</v>
      </c>
      <c r="R617" s="33" t="e">
        <f>IF(U617&lt;&gt;"",U617,IF(F617="DV","MTO",IF(N617=0,"MTO",_xlfn.XLOOKUP(CONCATENATE(S617,T617),[1]CRITERIOS!$K$160:$K$168,[1]CRITERIOS!$N$160:$N$168))))</f>
        <v>#N/A</v>
      </c>
      <c r="S617" s="33" t="e">
        <f>IF(G617="DV","MTO",IF(N617=0,"MTO",IF(OR(AND(N617=0,O617=""),IF(O617="",G617/N617,G617/O617)&gt;[1]CRITERIOS!$G$163),"MTO",IF(IF(O617="",G617/N617,G617/O617)&lt;[1]CRITERIOS!$H$161,"MTS","MTOS"))))</f>
        <v>#N/A</v>
      </c>
      <c r="T617" s="33" t="e">
        <f>IF(F617="DV","MTO",IF(OR(AND($N617=0,O617=""),$F617/$J617&gt;[1]CRITERIOS!$G$170,$F617="DV"),"MTO",IF($F617/$J617&lt;[1]CRITERIOS!$H$168,"MTS","MTOS")))</f>
        <v>#N/A</v>
      </c>
      <c r="V617" s="34" t="e">
        <f t="shared" si="31"/>
        <v>#N/A</v>
      </c>
      <c r="X617" s="34" t="e">
        <f t="shared" si="29"/>
        <v>#N/A</v>
      </c>
      <c r="Y617" s="34" t="e">
        <f t="shared" si="30"/>
        <v>#N/A</v>
      </c>
      <c r="Z617" s="34" t="e">
        <f>IF($R617="MTO",
0,
($H617+$K617*($E617/[1]CRITERIOS!$M$16))/[1]CRITERIOS!$X$48)</f>
        <v>#N/A</v>
      </c>
      <c r="AA617" s="34" t="e">
        <f>ROUNDUP(($Y617/_xlfn.XLOOKUP($A617,'[1]DATOS PBI Artículos'!$A$4:$A$4,'[1]DATOS PBI Artículos'!$Z$4:$Z$4))/_xlfn.XLOOKUP(_xlfn.XLOOKUP($A617,'[1]DATOS PBI Artículos'!$A$4:$A$4,'[1]DATOS PBI Artículos'!$Y$4:$Y$4),[1]CRITERIOS!$P$79:$P$123,[1]CRITERIOS!$S$79:$S$123,),0)</f>
        <v>#N/A</v>
      </c>
      <c r="AB617" s="33" t="e">
        <f t="array" ref="AB617">IF((E617+V617-_xlfn.XLOOKUP(A617,'[1]DATOS PBI Artículos'!$A$4:$A$4,'[1]DATOS PBI Artículos'!$W$4:$W$4))/N617&gt;ROUNDUP([1]CRITERIOS!$M$16/(IF(COUNTIF([1]CRITERIOS!$BG$11:$BG$201,L617)&gt;=1,_xlfn.XLOOKUP(ARTÍCULOS!L617,[1]CRITERIOS!$BG$11:$BG$201,[1]CRITERIOS!$BJ$11:$BJ$201),_xlfn.XLOOKUP(ARTÍCULOS!C617,[1]CRITERIOS!$K$25:$K$42,[1]CRITERIOS!$M$25:$M$42))),0),ROUNDUP([1]CRITERIOS!$M$16/(IF(COUNTIF([1]CRITERIOS!$BG$11:$BG$201,L617)&gt;=1,_xlfn.XLOOKUP(ARTÍCULOS!L617,[1]CRITERIOS!$BG$11:$BG$201:#REF!,[1]CRITERIOS!$BJ$11:$BJ$201),_xlfn.XLOOKUP(ARTÍCULOS!C617,[1]CRITERIOS!$K$25:$K$42,[1]CRITERIOS!$M$25:$M$42))),0),(E617+V617-_xlfn.XLOOKUP(A617,'[1]DATOS PBI Artículos'!$A$4:$A$4,'[1]DATOS PBI Artículos'!$W$4:$W$4))/N617)</f>
        <v>#N/A</v>
      </c>
      <c r="AC617" s="33" t="e">
        <f>IF(N617=0,"",(ROUNDUP((N617/2)/(_xlfn.XLOOKUP(A617,'[1]DATOS PBI Artículos'!$A$4:$A$4,'[1]DATOS PBI Artículos'!$Z$4:$Z$4)*_xlfn.XLOOKUP(_xlfn.XLOOKUP(A617,'[1]DATOS PBI Artículos'!$A$4:$A$4,'[1]DATOS PBI Artículos'!$Y$4:$Y$4),[1]CRITERIOS!$P$79:$P$123,[1]CRITERIOS!$S$79:$S$123)),0)*[1]CRITERIOS!$M$80*([1]CRITERIOS!$M$110/[1]CRITERIOS!$M$86)+(_xlfn.XLOOKUP(A617,'[1]DATOS PBI Artículos'!$A$4:$A$4,'[1]DATOS PBI Artículos'!$AA$4:$AA$4)*([1]CRITERIOS!$M$95+[1]CRITERIOS!$M$98)))/N617)</f>
        <v>#N/A</v>
      </c>
      <c r="AD617" s="33" t="e">
        <f>IF(N617=0,"",(ROUNDUP((N617/2)/(_xlfn.XLOOKUP(A617,'[1]DATOS PBI Artículos'!$A$4:$A$4,'[1]DATOS PBI Artículos'!$Z$4:$Z$4)*_xlfn.XLOOKUP(_xlfn.XLOOKUP(A617,'[1]DATOS PBI Artículos'!$A$4:$A$4,'[1]DATOS PBI Artículos'!$Y$4:$Y$4),[1]CRITERIOS!$P$79:$P$123,[1]CRITERIOS!$S$79:$S$123)),0)*[1]CRITERIOS!$M$80*([1]CRITERIOS!$M$89*[1]CRITERIOS!$M$92)+((_xlfn.XLOOKUP(A617,'[1]DATOS PBI Artículos'!$A$4:$A$4,'[1]DATOS PBI Artículos'!$AA$4:$AA$4)/2)*([1]CRITERIOS!$M$95+[1]CRITERIOS!$M$98)))/N617)</f>
        <v>#N/A</v>
      </c>
      <c r="AE617" s="39" t="e">
        <f>IF($R617="MTO","",
IF($H617=0,ROUNDUP(((_xlfn.XLOOKUP($A617,'[1]DATOS PBI Artículos'!$A:$A,'[1]DATOS PBI Artículos'!$AL:$AL))/(_xlfn.XLOOKUP($AF$1,[1]CRITERIOS!$S$16:$S$39,[1]CRITERIOS!$Y$16:$Y$39))*$J617+$Z617)/$G617,0)*$G617,
((_xlfn.XLOOKUP($A617,'[1]DATOS PBI Artículos'!$A:$A,'[1]DATOS PBI Artículos'!$AL:$AL))/(_xlfn.XLOOKUP($AF$1,[1]CRITERIOS!$S$16:$S$39,[1]CRITERIOS!$Y$16:$Y$39))*$J617+$Z617)))</f>
        <v>#N/A</v>
      </c>
      <c r="AG617" s="39" t="e">
        <f>IF($R617="MTO","",
IF($H617=0,ROUNDUP(((_xlfn.XLOOKUP($A617,'[1]DATOS PBI Artículos'!$A:$A,'[1]DATOS PBI Artículos'!$AM:$AM))/(_xlfn.XLOOKUP($AH$1,[1]CRITERIOS!$S$16:$S$39,[1]CRITERIOS!$Y$16:$Y$39))*$J617+$Z617)/$G617,0)*$G617,
((_xlfn.XLOOKUP($A617,'[1]DATOS PBI Artículos'!$A:$A,'[1]DATOS PBI Artículos'!$AM:$AM))/(_xlfn.XLOOKUP($AH$1,[1]CRITERIOS!$S$16:$S$39,[1]CRITERIOS!$Y$16:$Y$39))*$J617+$Z617)))</f>
        <v>#N/A</v>
      </c>
      <c r="AI617" s="39" t="e">
        <f>IF($R617="MTO","",
IF($H617=0,ROUNDUP(((_xlfn.XLOOKUP($A617,'[1]DATOS PBI Artículos'!$A:$A,'[1]DATOS PBI Artículos'!$AN:$AN))/(_xlfn.XLOOKUP($AJ$1,[1]CRITERIOS!$S$16:$S$39,[1]CRITERIOS!$Y$16:$Y$39))*$J617+$Z617)/$G617,0)*$G617,
((_xlfn.XLOOKUP($A617,'[1]DATOS PBI Artículos'!$A:$A,'[1]DATOS PBI Artículos'!$AN:$AN))/(_xlfn.XLOOKUP($AJ$1,[1]CRITERIOS!$S$16:$S$39,[1]CRITERIOS!$Y$16:$Y$39))*$J617+$Z617)))</f>
        <v>#N/A</v>
      </c>
      <c r="AK617" s="39" t="e">
        <f>IF($R617="MTO","",
IF($H617=0,ROUNDUP(((_xlfn.XLOOKUP($A617,'[1]DATOS PBI Artículos'!$A:$A,'[1]DATOS PBI Artículos'!$AO:$AO))/(_xlfn.XLOOKUP($AL$1,[1]CRITERIOS!$S$16:$S$39,[1]CRITERIOS!$Y$16:$Y$39))*$J617+$Z617)/$G617,0)*$G617,
((_xlfn.XLOOKUP($A617,'[1]DATOS PBI Artículos'!$A:$A,'[1]DATOS PBI Artículos'!$AO:$AO))/(_xlfn.XLOOKUP($AL$1,[1]CRITERIOS!$S$16:$S$39,[1]CRITERIOS!$Y$16:$Y$39))*$J617+$Z617)))</f>
        <v>#N/A</v>
      </c>
    </row>
    <row r="618" spans="1:37" ht="25.8" hidden="1" x14ac:dyDescent="0.4">
      <c r="A618" s="41"/>
      <c r="B618" s="33">
        <f>_xlfn.XLOOKUP($A618,'[1]DATOS PBI Artículos'!A:A,'[1]DATOS PBI Artículos'!B:B)</f>
        <v>0</v>
      </c>
      <c r="C618" s="33">
        <f>_xlfn.XLOOKUP($A618,'[1]DATOS PBI Artículos'!A:A,'[1]DATOS PBI Artículos'!C:C)</f>
        <v>0</v>
      </c>
      <c r="D618" s="33">
        <f>_xlfn.XLOOKUP(A618,'[1]DATOS PBI Artículos'!A:A,'[1]DATOS PBI Artículos'!T:T)</f>
        <v>0</v>
      </c>
      <c r="E618" s="34">
        <f>IF(_xlfn.XLOOKUP($A618,'[1]DATOS PBI Artículos'!A:A,'[1]DATOS PBI Artículos'!AK:AK)="",_xlfn.XLOOKUP($A618,'[1]DATOS PBI Artículos'!A:A,'[1]DATOS PBI Artículos'!AJ:AJ),_xlfn.XLOOKUP($A618,'[1]DATOS PBI Artículos'!A:A,'[1]DATOS PBI Artículos'!AK:AK))</f>
        <v>0</v>
      </c>
      <c r="F618" s="35">
        <f>_xlfn.XLOOKUP($A618,'[1]DATOS PBI Artículos'!A:A,'[1]DATOS PBI Artículos'!AP:AP)</f>
        <v>0</v>
      </c>
      <c r="G618" s="34">
        <f>_xlfn.XLOOKUP($A618,'[1]DATOS PBI Artículos'!A:A,'[1]DATOS PBI Artículos'!AR:AR)</f>
        <v>0</v>
      </c>
      <c r="H618" s="34">
        <f>_xlfn.XLOOKUP($A618,'[1]DATOS PBI Artículos'!A:A,'[1]DATOS PBI Artículos'!AT:AT)</f>
        <v>0</v>
      </c>
      <c r="I618" s="34">
        <f>_xlfn.XLOOKUP($A618,'[1]DATOS PBI Artículos'!A:A,'[1]DATOS PBI Artículos'!AS:AS)</f>
        <v>0</v>
      </c>
      <c r="J618" s="35">
        <f>IF(COUNTIF([1]CRITERIOS!$F$179:$F$199,$A618)&gt;=1,
 IF(O618&lt;&gt;"",
    (O618/_xlfn.XLOOKUP(CONCATENATE(A618,L618),[1]MÁQUINAS!A:A,[1]MÁQUINAS!D:D))/24,
    (N618/_xlfn.XLOOKUP(CONCATENATE(A618,L618),[1]MÁQUINAS!A:A,[1]MÁQUINAS!D:D))/24),
  _xlfn.XLOOKUP($A618,'[1]DATOS PBI Artículos'!A:A,'[1]DATOS PBI Artículos'!AU:AU))</f>
        <v>0</v>
      </c>
      <c r="K618" s="36">
        <f>_xlfn.XLOOKUP($A618,'[1]DATOS PBI Artículos'!A:A,'[1]DATOS PBI Artículos'!AV:AV)</f>
        <v>0</v>
      </c>
      <c r="L618" s="33">
        <f>_xlfn.XLOOKUP(A618,[1]MÁQUINAS!B:B,[1]MÁQUINAS!C:C)</f>
        <v>0</v>
      </c>
      <c r="M618" s="34">
        <f t="array" ref="M618">_xlfn.XLOOKUP(A618,'[1]DATOS PBI Artículos'!A:A,'[1]DATOS PBI Artículos'!AX:$AX)</f>
        <v>0</v>
      </c>
      <c r="N618" s="37" t="e">
        <f>IF(I618="DV",
E618,
IF(COUNTIF([1]CRITERIOS!$I$179:$I$199,$A618)&gt;=1,
_xlfn.XLOOKUP($A618,[1]CRITERIOS!$I$179:$I$199,[1]CRITERIOS!$J$179:$J$199),
IF(COUNTIF([1]CRITERIOS!$L$179:$L$199,$A618)&gt;=1,
_xlfn.CEILING.MATH(IF($M618&gt;$E618,
$E618,
IF($M618&lt;$E618/ROUNDDOWN([1]CRITERIOS!$M$16/_xlfn.XLOOKUP($C618,[1]CRITERIOS!$K$25:$K$42,[1]CRITERIOS!$M$25:$M$42),
1),
E618/ROUNDDOWN([1]CRITERIOS!$M$16/_xlfn.XLOOKUP($C618,[1]CRITERIOS!$K$25:$K$42,[1]CRITERIOS!$M$25:$M$42),
1),
$M618)),
_xlfn.XLOOKUP($A618,[1]CRITERIOS!$L$179:$L$200,[1]CRITERIOS!$M$179:$M$200)),
_xlfn.CEILING.MATH(IF($M618&gt;$E618,
$E618,
IF($M618&lt;$E618/ROUNDDOWN([1]CRITERIOS!$M$16/_xlfn.XLOOKUP($C618,[1]CRITERIOS!$K$25:$K$42,[1]CRITERIOS!$M$25:$M$42),
1),
E618/ROUNDDOWN([1]CRITERIOS!$M$16/_xlfn.XLOOKUP($C618,[1]CRITERIOS!$K$25:$K$42,[1]CRITERIOS!$M$25:$M$42),
1),
$M618)),_xlfn.XLOOKUP(A618,'[1]DATOS PBI Artículos'!A:A,'[1]DATOS PBI Artículos'!Z:Z
)))))</f>
        <v>#N/A</v>
      </c>
      <c r="Q618" s="38" t="e">
        <f>IF(AND(O618="",N618=0),
0,
   IF(COUNTIF([1]CRITERIOS!$F$179:$F$199,$A618)&gt;=1,
   1,
   IF(R618="MTO",
      $D618,
      ROUNDUP(
                    IF(($E618-SUMIF('[1]DATOS PBI Artículos'!A:A,A618,'[1]DATOS PBI Artículos'!X:X)+($V618-_xlfn.XLOOKUP(A618,'[1]DATOS PBI Artículos'!A:A,'[1]DATOS PBI Artículos'!W:W)))&lt;0,
                    0,
                    IF(($E618-SUMIF('[1]DATOS PBI Artículos'!A:A,A618,'[1]DATOS PBI Artículos'!X:X)+$V618-_xlfn.XLOOKUP($A618,'[1]DATOS PBI Artículos'!A:A,'[1]DATOS PBI Artículos'!W:W))/IF($O618="",$N618,$O618)&gt;ROUNDUP([1]CRITERIOS!$M$16/(IF(COUNTIF([1]CRITERIOS!$BG$11:$BG$201,L618)&gt;=1,_xlfn.XLOOKUP($C618,[1]CRITERIOS!$K$25:$K$42,[1]CRITERIOS!$M$25:$M$42),_xlfn.XLOOKUP($C618,[1]CRITERIOS!$K$25:$K$42,[1]CRITERIOS!$M$25:$M$42))),0),
                    ROUNDUP([1]CRITERIOS!$M$16/(IF(COUNTIF([1]CRITERIOS!$BG$11:$BG$201,$L618)&gt;=1,_xlfn.XLOOKUP($C618,[1]CRITERIOS!$K$25:$K$42,[1]CRITERIOS!$M$25:$M$42),_xlfn.XLOOKUP($C618,[1]CRITERIOS!$K$25:$K$42,[1]CRITERIOS!$M$25:$M$42))),0),
                    (E618+V618-SUMIF('[1]DATOS PBI Artículos'!A:A,A618,'[1]DATOS PBI Artículos'!X:X)-_xlfn.XLOOKUP(A618,'[1]DATOS PBI Artículos'!A:A,'[1]DATOS PBI Artículos'!W:W))/IF($O618="",$N618,$O618))),0))))</f>
        <v>#N/A</v>
      </c>
      <c r="R618" s="33" t="e">
        <f>IF(U618&lt;&gt;"",U618,IF(F618="DV","MTO",IF(N618=0,"MTO",_xlfn.XLOOKUP(CONCATENATE(S618,T618),[1]CRITERIOS!$K$160:$K$168,[1]CRITERIOS!$N$160:$N$168))))</f>
        <v>#N/A</v>
      </c>
      <c r="S618" s="33" t="e">
        <f>IF(G618="DV","MTO",IF(N618=0,"MTO",IF(OR(AND(N618=0,O618=""),IF(O618="",G618/N618,G618/O618)&gt;[1]CRITERIOS!$G$163),"MTO",IF(IF(O618="",G618/N618,G618/O618)&lt;[1]CRITERIOS!$H$161,"MTS","MTOS"))))</f>
        <v>#N/A</v>
      </c>
      <c r="T618" s="33" t="e">
        <f>IF(F618="DV","MTO",IF(OR(AND($N618=0,O618=""),$F618/$J618&gt;[1]CRITERIOS!$G$170,$F618="DV"),"MTO",IF($F618/$J618&lt;[1]CRITERIOS!$H$168,"MTS","MTOS")))</f>
        <v>#N/A</v>
      </c>
      <c r="V618" s="34" t="e">
        <f t="shared" si="31"/>
        <v>#N/A</v>
      </c>
      <c r="X618" s="34" t="e">
        <f t="shared" si="29"/>
        <v>#N/A</v>
      </c>
      <c r="Y618" s="34" t="e">
        <f t="shared" si="30"/>
        <v>#N/A</v>
      </c>
      <c r="Z618" s="34" t="e">
        <f>IF($R618="MTO",
0,
($H618+$K618*($E618/[1]CRITERIOS!$M$16))/[1]CRITERIOS!$X$48)</f>
        <v>#N/A</v>
      </c>
      <c r="AA618" s="34" t="e">
        <f>ROUNDUP(($Y618/_xlfn.XLOOKUP($A618,'[1]DATOS PBI Artículos'!$A$4:$A$4,'[1]DATOS PBI Artículos'!$Z$4:$Z$4))/_xlfn.XLOOKUP(_xlfn.XLOOKUP($A618,'[1]DATOS PBI Artículos'!$A$4:$A$4,'[1]DATOS PBI Artículos'!$Y$4:$Y$4),[1]CRITERIOS!$P$79:$P$123,[1]CRITERIOS!$S$79:$S$123,),0)</f>
        <v>#N/A</v>
      </c>
      <c r="AB618" s="33" t="e">
        <f t="array" ref="AB618">IF((E618+V618-_xlfn.XLOOKUP(A618,'[1]DATOS PBI Artículos'!$A$4:$A$4,'[1]DATOS PBI Artículos'!$W$4:$W$4))/N618&gt;ROUNDUP([1]CRITERIOS!$M$16/(IF(COUNTIF([1]CRITERIOS!$BG$11:$BG$201,L618)&gt;=1,_xlfn.XLOOKUP(ARTÍCULOS!L618,[1]CRITERIOS!$BG$11:$BG$201,[1]CRITERIOS!$BJ$11:$BJ$201),_xlfn.XLOOKUP(ARTÍCULOS!C618,[1]CRITERIOS!$K$25:$K$42,[1]CRITERIOS!$M$25:$M$42))),0),ROUNDUP([1]CRITERIOS!$M$16/(IF(COUNTIF([1]CRITERIOS!$BG$11:$BG$201,L618)&gt;=1,_xlfn.XLOOKUP(ARTÍCULOS!L618,[1]CRITERIOS!$BG$11:$BG$201:#REF!,[1]CRITERIOS!$BJ$11:$BJ$201),_xlfn.XLOOKUP(ARTÍCULOS!C618,[1]CRITERIOS!$K$25:$K$42,[1]CRITERIOS!$M$25:$M$42))),0),(E618+V618-_xlfn.XLOOKUP(A618,'[1]DATOS PBI Artículos'!$A$4:$A$4,'[1]DATOS PBI Artículos'!$W$4:$W$4))/N618)</f>
        <v>#N/A</v>
      </c>
      <c r="AC618" s="33" t="e">
        <f>IF(N618=0,"",(ROUNDUP((N618/2)/(_xlfn.XLOOKUP(A618,'[1]DATOS PBI Artículos'!$A$4:$A$4,'[1]DATOS PBI Artículos'!$Z$4:$Z$4)*_xlfn.XLOOKUP(_xlfn.XLOOKUP(A618,'[1]DATOS PBI Artículos'!$A$4:$A$4,'[1]DATOS PBI Artículos'!$Y$4:$Y$4),[1]CRITERIOS!$P$79:$P$123,[1]CRITERIOS!$S$79:$S$123)),0)*[1]CRITERIOS!$M$80*([1]CRITERIOS!$M$110/[1]CRITERIOS!$M$86)+(_xlfn.XLOOKUP(A618,'[1]DATOS PBI Artículos'!$A$4:$A$4,'[1]DATOS PBI Artículos'!$AA$4:$AA$4)*([1]CRITERIOS!$M$95+[1]CRITERIOS!$M$98)))/N618)</f>
        <v>#N/A</v>
      </c>
      <c r="AD618" s="33" t="e">
        <f>IF(N618=0,"",(ROUNDUP((N618/2)/(_xlfn.XLOOKUP(A618,'[1]DATOS PBI Artículos'!$A$4:$A$4,'[1]DATOS PBI Artículos'!$Z$4:$Z$4)*_xlfn.XLOOKUP(_xlfn.XLOOKUP(A618,'[1]DATOS PBI Artículos'!$A$4:$A$4,'[1]DATOS PBI Artículos'!$Y$4:$Y$4),[1]CRITERIOS!$P$79:$P$123,[1]CRITERIOS!$S$79:$S$123)),0)*[1]CRITERIOS!$M$80*([1]CRITERIOS!$M$89*[1]CRITERIOS!$M$92)+((_xlfn.XLOOKUP(A618,'[1]DATOS PBI Artículos'!$A$4:$A$4,'[1]DATOS PBI Artículos'!$AA$4:$AA$4)/2)*([1]CRITERIOS!$M$95+[1]CRITERIOS!$M$98)))/N618)</f>
        <v>#N/A</v>
      </c>
      <c r="AE618" s="39" t="e">
        <f>IF($R618="MTO","",
IF($H618=0,ROUNDUP(((_xlfn.XLOOKUP($A618,'[1]DATOS PBI Artículos'!$A:$A,'[1]DATOS PBI Artículos'!$AL:$AL))/(_xlfn.XLOOKUP($AF$1,[1]CRITERIOS!$S$16:$S$39,[1]CRITERIOS!$Y$16:$Y$39))*$J618+$Z618)/$G618,0)*$G618,
((_xlfn.XLOOKUP($A618,'[1]DATOS PBI Artículos'!$A:$A,'[1]DATOS PBI Artículos'!$AL:$AL))/(_xlfn.XLOOKUP($AF$1,[1]CRITERIOS!$S$16:$S$39,[1]CRITERIOS!$Y$16:$Y$39))*$J618+$Z618)))</f>
        <v>#N/A</v>
      </c>
      <c r="AG618" s="39" t="e">
        <f>IF($R618="MTO","",
IF($H618=0,ROUNDUP(((_xlfn.XLOOKUP($A618,'[1]DATOS PBI Artículos'!$A:$A,'[1]DATOS PBI Artículos'!$AM:$AM))/(_xlfn.XLOOKUP($AH$1,[1]CRITERIOS!$S$16:$S$39,[1]CRITERIOS!$Y$16:$Y$39))*$J618+$Z618)/$G618,0)*$G618,
((_xlfn.XLOOKUP($A618,'[1]DATOS PBI Artículos'!$A:$A,'[1]DATOS PBI Artículos'!$AM:$AM))/(_xlfn.XLOOKUP($AH$1,[1]CRITERIOS!$S$16:$S$39,[1]CRITERIOS!$Y$16:$Y$39))*$J618+$Z618)))</f>
        <v>#N/A</v>
      </c>
      <c r="AI618" s="39" t="e">
        <f>IF($R618="MTO","",
IF($H618=0,ROUNDUP(((_xlfn.XLOOKUP($A618,'[1]DATOS PBI Artículos'!$A:$A,'[1]DATOS PBI Artículos'!$AN:$AN))/(_xlfn.XLOOKUP($AJ$1,[1]CRITERIOS!$S$16:$S$39,[1]CRITERIOS!$Y$16:$Y$39))*$J618+$Z618)/$G618,0)*$G618,
((_xlfn.XLOOKUP($A618,'[1]DATOS PBI Artículos'!$A:$A,'[1]DATOS PBI Artículos'!$AN:$AN))/(_xlfn.XLOOKUP($AJ$1,[1]CRITERIOS!$S$16:$S$39,[1]CRITERIOS!$Y$16:$Y$39))*$J618+$Z618)))</f>
        <v>#N/A</v>
      </c>
      <c r="AK618" s="39" t="e">
        <f>IF($R618="MTO","",
IF($H618=0,ROUNDUP(((_xlfn.XLOOKUP($A618,'[1]DATOS PBI Artículos'!$A:$A,'[1]DATOS PBI Artículos'!$AO:$AO))/(_xlfn.XLOOKUP($AL$1,[1]CRITERIOS!$S$16:$S$39,[1]CRITERIOS!$Y$16:$Y$39))*$J618+$Z618)/$G618,0)*$G618,
((_xlfn.XLOOKUP($A618,'[1]DATOS PBI Artículos'!$A:$A,'[1]DATOS PBI Artículos'!$AO:$AO))/(_xlfn.XLOOKUP($AL$1,[1]CRITERIOS!$S$16:$S$39,[1]CRITERIOS!$Y$16:$Y$39))*$J618+$Z618)))</f>
        <v>#N/A</v>
      </c>
    </row>
    <row r="619" spans="1:37" ht="25.8" hidden="1" x14ac:dyDescent="0.4">
      <c r="A619" s="41"/>
      <c r="B619" s="33">
        <f>_xlfn.XLOOKUP($A619,'[1]DATOS PBI Artículos'!A:A,'[1]DATOS PBI Artículos'!B:B)</f>
        <v>0</v>
      </c>
      <c r="C619" s="33">
        <f>_xlfn.XLOOKUP($A619,'[1]DATOS PBI Artículos'!A:A,'[1]DATOS PBI Artículos'!C:C)</f>
        <v>0</v>
      </c>
      <c r="D619" s="33">
        <f>_xlfn.XLOOKUP(A619,'[1]DATOS PBI Artículos'!A:A,'[1]DATOS PBI Artículos'!T:T)</f>
        <v>0</v>
      </c>
      <c r="E619" s="34">
        <f>IF(_xlfn.XLOOKUP($A619,'[1]DATOS PBI Artículos'!A:A,'[1]DATOS PBI Artículos'!AK:AK)="",_xlfn.XLOOKUP($A619,'[1]DATOS PBI Artículos'!A:A,'[1]DATOS PBI Artículos'!AJ:AJ),_xlfn.XLOOKUP($A619,'[1]DATOS PBI Artículos'!A:A,'[1]DATOS PBI Artículos'!AK:AK))</f>
        <v>0</v>
      </c>
      <c r="F619" s="35">
        <f>_xlfn.XLOOKUP($A619,'[1]DATOS PBI Artículos'!A:A,'[1]DATOS PBI Artículos'!AP:AP)</f>
        <v>0</v>
      </c>
      <c r="G619" s="34">
        <f>_xlfn.XLOOKUP($A619,'[1]DATOS PBI Artículos'!A:A,'[1]DATOS PBI Artículos'!AR:AR)</f>
        <v>0</v>
      </c>
      <c r="H619" s="34">
        <f>_xlfn.XLOOKUP($A619,'[1]DATOS PBI Artículos'!A:A,'[1]DATOS PBI Artículos'!AT:AT)</f>
        <v>0</v>
      </c>
      <c r="I619" s="34">
        <f>_xlfn.XLOOKUP($A619,'[1]DATOS PBI Artículos'!A:A,'[1]DATOS PBI Artículos'!AS:AS)</f>
        <v>0</v>
      </c>
      <c r="J619" s="35">
        <f>IF(COUNTIF([1]CRITERIOS!$F$179:$F$199,$A619)&gt;=1,
 IF(O619&lt;&gt;"",
    (O619/_xlfn.XLOOKUP(CONCATENATE(A619,L619),[1]MÁQUINAS!A:A,[1]MÁQUINAS!D:D))/24,
    (N619/_xlfn.XLOOKUP(CONCATENATE(A619,L619),[1]MÁQUINAS!A:A,[1]MÁQUINAS!D:D))/24),
  _xlfn.XLOOKUP($A619,'[1]DATOS PBI Artículos'!A:A,'[1]DATOS PBI Artículos'!AU:AU))</f>
        <v>0</v>
      </c>
      <c r="K619" s="36">
        <f>_xlfn.XLOOKUP($A619,'[1]DATOS PBI Artículos'!A:A,'[1]DATOS PBI Artículos'!AV:AV)</f>
        <v>0</v>
      </c>
      <c r="L619" s="33">
        <f>_xlfn.XLOOKUP(A619,[1]MÁQUINAS!B:B,[1]MÁQUINAS!C:C)</f>
        <v>0</v>
      </c>
      <c r="M619" s="34">
        <f t="array" ref="M619">_xlfn.XLOOKUP(A619,'[1]DATOS PBI Artículos'!A:A,'[1]DATOS PBI Artículos'!AX:$AX)</f>
        <v>0</v>
      </c>
      <c r="N619" s="37" t="e">
        <f>IF(I619="DV",
E619,
IF(COUNTIF([1]CRITERIOS!$I$179:$I$199,$A619)&gt;=1,
_xlfn.XLOOKUP($A619,[1]CRITERIOS!$I$179:$I$199,[1]CRITERIOS!$J$179:$J$199),
IF(COUNTIF([1]CRITERIOS!$L$179:$L$199,$A619)&gt;=1,
_xlfn.CEILING.MATH(IF($M619&gt;$E619,
$E619,
IF($M619&lt;$E619/ROUNDDOWN([1]CRITERIOS!$M$16/_xlfn.XLOOKUP($C619,[1]CRITERIOS!$K$25:$K$42,[1]CRITERIOS!$M$25:$M$42),
1),
E619/ROUNDDOWN([1]CRITERIOS!$M$16/_xlfn.XLOOKUP($C619,[1]CRITERIOS!$K$25:$K$42,[1]CRITERIOS!$M$25:$M$42),
1),
$M619)),
_xlfn.XLOOKUP($A619,[1]CRITERIOS!$L$179:$L$200,[1]CRITERIOS!$M$179:$M$200)),
_xlfn.CEILING.MATH(IF($M619&gt;$E619,
$E619,
IF($M619&lt;$E619/ROUNDDOWN([1]CRITERIOS!$M$16/_xlfn.XLOOKUP($C619,[1]CRITERIOS!$K$25:$K$42,[1]CRITERIOS!$M$25:$M$42),
1),
E619/ROUNDDOWN([1]CRITERIOS!$M$16/_xlfn.XLOOKUP($C619,[1]CRITERIOS!$K$25:$K$42,[1]CRITERIOS!$M$25:$M$42),
1),
$M619)),_xlfn.XLOOKUP(A619,'[1]DATOS PBI Artículos'!A:A,'[1]DATOS PBI Artículos'!Z:Z
)))))</f>
        <v>#N/A</v>
      </c>
      <c r="Q619" s="38" t="e">
        <f>IF(AND(O619="",N619=0),
0,
   IF(COUNTIF([1]CRITERIOS!$F$179:$F$199,$A619)&gt;=1,
   1,
   IF(R619="MTO",
      $D619,
      ROUNDUP(
                    IF(($E619-SUMIF('[1]DATOS PBI Artículos'!A:A,A619,'[1]DATOS PBI Artículos'!X:X)+($V619-_xlfn.XLOOKUP(A619,'[1]DATOS PBI Artículos'!A:A,'[1]DATOS PBI Artículos'!W:W)))&lt;0,
                    0,
                    IF(($E619-SUMIF('[1]DATOS PBI Artículos'!A:A,A619,'[1]DATOS PBI Artículos'!X:X)+$V619-_xlfn.XLOOKUP($A619,'[1]DATOS PBI Artículos'!A:A,'[1]DATOS PBI Artículos'!W:W))/IF($O619="",$N619,$O619)&gt;ROUNDUP([1]CRITERIOS!$M$16/(IF(COUNTIF([1]CRITERIOS!$BG$11:$BG$201,L619)&gt;=1,_xlfn.XLOOKUP($C619,[1]CRITERIOS!$K$25:$K$42,[1]CRITERIOS!$M$25:$M$42),_xlfn.XLOOKUP($C619,[1]CRITERIOS!$K$25:$K$42,[1]CRITERIOS!$M$25:$M$42))),0),
                    ROUNDUP([1]CRITERIOS!$M$16/(IF(COUNTIF([1]CRITERIOS!$BG$11:$BG$201,$L619)&gt;=1,_xlfn.XLOOKUP($C619,[1]CRITERIOS!$K$25:$K$42,[1]CRITERIOS!$M$25:$M$42),_xlfn.XLOOKUP($C619,[1]CRITERIOS!$K$25:$K$42,[1]CRITERIOS!$M$25:$M$42))),0),
                    (E619+V619-SUMIF('[1]DATOS PBI Artículos'!A:A,A619,'[1]DATOS PBI Artículos'!X:X)-_xlfn.XLOOKUP(A619,'[1]DATOS PBI Artículos'!A:A,'[1]DATOS PBI Artículos'!W:W))/IF($O619="",$N619,$O619))),0))))</f>
        <v>#N/A</v>
      </c>
      <c r="R619" s="33" t="e">
        <f>IF(U619&lt;&gt;"",U619,IF(F619="DV","MTO",IF(N619=0,"MTO",_xlfn.XLOOKUP(CONCATENATE(S619,T619),[1]CRITERIOS!$K$160:$K$168,[1]CRITERIOS!$N$160:$N$168))))</f>
        <v>#N/A</v>
      </c>
      <c r="S619" s="33" t="e">
        <f>IF(G619="DV","MTO",IF(N619=0,"MTO",IF(OR(AND(N619=0,O619=""),IF(O619="",G619/N619,G619/O619)&gt;[1]CRITERIOS!$G$163),"MTO",IF(IF(O619="",G619/N619,G619/O619)&lt;[1]CRITERIOS!$H$161,"MTS","MTOS"))))</f>
        <v>#N/A</v>
      </c>
      <c r="T619" s="33" t="e">
        <f>IF(F619="DV","MTO",IF(OR(AND($N619=0,O619=""),$F619/$J619&gt;[1]CRITERIOS!$G$170,$F619="DV"),"MTO",IF($F619/$J619&lt;[1]CRITERIOS!$H$168,"MTS","MTOS")))</f>
        <v>#N/A</v>
      </c>
      <c r="V619" s="34" t="e">
        <f t="shared" si="31"/>
        <v>#N/A</v>
      </c>
      <c r="X619" s="34" t="e">
        <f t="shared" si="29"/>
        <v>#N/A</v>
      </c>
      <c r="Y619" s="34" t="e">
        <f t="shared" si="30"/>
        <v>#N/A</v>
      </c>
      <c r="Z619" s="34" t="e">
        <f>IF($R619="MTO",
0,
($H619+$K619*($E619/[1]CRITERIOS!$M$16))/[1]CRITERIOS!$X$48)</f>
        <v>#N/A</v>
      </c>
      <c r="AA619" s="34" t="e">
        <f>ROUNDUP(($Y619/_xlfn.XLOOKUP($A619,'[1]DATOS PBI Artículos'!$A$4:$A$4,'[1]DATOS PBI Artículos'!$Z$4:$Z$4))/_xlfn.XLOOKUP(_xlfn.XLOOKUP($A619,'[1]DATOS PBI Artículos'!$A$4:$A$4,'[1]DATOS PBI Artículos'!$Y$4:$Y$4),[1]CRITERIOS!$P$79:$P$123,[1]CRITERIOS!$S$79:$S$123,),0)</f>
        <v>#N/A</v>
      </c>
      <c r="AB619" s="33" t="e">
        <f t="array" ref="AB619">IF((E619+V619-_xlfn.XLOOKUP(A619,'[1]DATOS PBI Artículos'!$A$4:$A$4,'[1]DATOS PBI Artículos'!$W$4:$W$4))/N619&gt;ROUNDUP([1]CRITERIOS!$M$16/(IF(COUNTIF([1]CRITERIOS!$BG$11:$BG$201,L619)&gt;=1,_xlfn.XLOOKUP(ARTÍCULOS!L619,[1]CRITERIOS!$BG$11:$BG$201,[1]CRITERIOS!$BJ$11:$BJ$201),_xlfn.XLOOKUP(ARTÍCULOS!C619,[1]CRITERIOS!$K$25:$K$42,[1]CRITERIOS!$M$25:$M$42))),0),ROUNDUP([1]CRITERIOS!$M$16/(IF(COUNTIF([1]CRITERIOS!$BG$11:$BG$201,L619)&gt;=1,_xlfn.XLOOKUP(ARTÍCULOS!L619,[1]CRITERIOS!$BG$11:$BG$201:#REF!,[1]CRITERIOS!$BJ$11:$BJ$201),_xlfn.XLOOKUP(ARTÍCULOS!C619,[1]CRITERIOS!$K$25:$K$42,[1]CRITERIOS!$M$25:$M$42))),0),(E619+V619-_xlfn.XLOOKUP(A619,'[1]DATOS PBI Artículos'!$A$4:$A$4,'[1]DATOS PBI Artículos'!$W$4:$W$4))/N619)</f>
        <v>#N/A</v>
      </c>
      <c r="AC619" s="33" t="e">
        <f>IF(N619=0,"",(ROUNDUP((N619/2)/(_xlfn.XLOOKUP(A619,'[1]DATOS PBI Artículos'!$A$4:$A$4,'[1]DATOS PBI Artículos'!$Z$4:$Z$4)*_xlfn.XLOOKUP(_xlfn.XLOOKUP(A619,'[1]DATOS PBI Artículos'!$A$4:$A$4,'[1]DATOS PBI Artículos'!$Y$4:$Y$4),[1]CRITERIOS!$P$79:$P$123,[1]CRITERIOS!$S$79:$S$123)),0)*[1]CRITERIOS!$M$80*([1]CRITERIOS!$M$110/[1]CRITERIOS!$M$86)+(_xlfn.XLOOKUP(A619,'[1]DATOS PBI Artículos'!$A$4:$A$4,'[1]DATOS PBI Artículos'!$AA$4:$AA$4)*([1]CRITERIOS!$M$95+[1]CRITERIOS!$M$98)))/N619)</f>
        <v>#N/A</v>
      </c>
      <c r="AD619" s="33" t="e">
        <f>IF(N619=0,"",(ROUNDUP((N619/2)/(_xlfn.XLOOKUP(A619,'[1]DATOS PBI Artículos'!$A$4:$A$4,'[1]DATOS PBI Artículos'!$Z$4:$Z$4)*_xlfn.XLOOKUP(_xlfn.XLOOKUP(A619,'[1]DATOS PBI Artículos'!$A$4:$A$4,'[1]DATOS PBI Artículos'!$Y$4:$Y$4),[1]CRITERIOS!$P$79:$P$123,[1]CRITERIOS!$S$79:$S$123)),0)*[1]CRITERIOS!$M$80*([1]CRITERIOS!$M$89*[1]CRITERIOS!$M$92)+((_xlfn.XLOOKUP(A619,'[1]DATOS PBI Artículos'!$A$4:$A$4,'[1]DATOS PBI Artículos'!$AA$4:$AA$4)/2)*([1]CRITERIOS!$M$95+[1]CRITERIOS!$M$98)))/N619)</f>
        <v>#N/A</v>
      </c>
      <c r="AE619" s="39" t="e">
        <f>IF($R619="MTO","",
IF($H619=0,ROUNDUP(((_xlfn.XLOOKUP($A619,'[1]DATOS PBI Artículos'!$A:$A,'[1]DATOS PBI Artículos'!$AL:$AL))/(_xlfn.XLOOKUP($AF$1,[1]CRITERIOS!$S$16:$S$39,[1]CRITERIOS!$Y$16:$Y$39))*$J619+$Z619)/$G619,0)*$G619,
((_xlfn.XLOOKUP($A619,'[1]DATOS PBI Artículos'!$A:$A,'[1]DATOS PBI Artículos'!$AL:$AL))/(_xlfn.XLOOKUP($AF$1,[1]CRITERIOS!$S$16:$S$39,[1]CRITERIOS!$Y$16:$Y$39))*$J619+$Z619)))</f>
        <v>#N/A</v>
      </c>
      <c r="AG619" s="39" t="e">
        <f>IF($R619="MTO","",
IF($H619=0,ROUNDUP(((_xlfn.XLOOKUP($A619,'[1]DATOS PBI Artículos'!$A:$A,'[1]DATOS PBI Artículos'!$AM:$AM))/(_xlfn.XLOOKUP($AH$1,[1]CRITERIOS!$S$16:$S$39,[1]CRITERIOS!$Y$16:$Y$39))*$J619+$Z619)/$G619,0)*$G619,
((_xlfn.XLOOKUP($A619,'[1]DATOS PBI Artículos'!$A:$A,'[1]DATOS PBI Artículos'!$AM:$AM))/(_xlfn.XLOOKUP($AH$1,[1]CRITERIOS!$S$16:$S$39,[1]CRITERIOS!$Y$16:$Y$39))*$J619+$Z619)))</f>
        <v>#N/A</v>
      </c>
      <c r="AI619" s="39" t="e">
        <f>IF($R619="MTO","",
IF($H619=0,ROUNDUP(((_xlfn.XLOOKUP($A619,'[1]DATOS PBI Artículos'!$A:$A,'[1]DATOS PBI Artículos'!$AN:$AN))/(_xlfn.XLOOKUP($AJ$1,[1]CRITERIOS!$S$16:$S$39,[1]CRITERIOS!$Y$16:$Y$39))*$J619+$Z619)/$G619,0)*$G619,
((_xlfn.XLOOKUP($A619,'[1]DATOS PBI Artículos'!$A:$A,'[1]DATOS PBI Artículos'!$AN:$AN))/(_xlfn.XLOOKUP($AJ$1,[1]CRITERIOS!$S$16:$S$39,[1]CRITERIOS!$Y$16:$Y$39))*$J619+$Z619)))</f>
        <v>#N/A</v>
      </c>
      <c r="AK619" s="39" t="e">
        <f>IF($R619="MTO","",
IF($H619=0,ROUNDUP(((_xlfn.XLOOKUP($A619,'[1]DATOS PBI Artículos'!$A:$A,'[1]DATOS PBI Artículos'!$AO:$AO))/(_xlfn.XLOOKUP($AL$1,[1]CRITERIOS!$S$16:$S$39,[1]CRITERIOS!$Y$16:$Y$39))*$J619+$Z619)/$G619,0)*$G619,
((_xlfn.XLOOKUP($A619,'[1]DATOS PBI Artículos'!$A:$A,'[1]DATOS PBI Artículos'!$AO:$AO))/(_xlfn.XLOOKUP($AL$1,[1]CRITERIOS!$S$16:$S$39,[1]CRITERIOS!$Y$16:$Y$39))*$J619+$Z619)))</f>
        <v>#N/A</v>
      </c>
    </row>
    <row r="620" spans="1:37" ht="25.8" hidden="1" x14ac:dyDescent="0.4">
      <c r="A620" s="41"/>
      <c r="B620" s="33">
        <f>_xlfn.XLOOKUP($A620,'[1]DATOS PBI Artículos'!A:A,'[1]DATOS PBI Artículos'!B:B)</f>
        <v>0</v>
      </c>
      <c r="C620" s="33">
        <f>_xlfn.XLOOKUP($A620,'[1]DATOS PBI Artículos'!A:A,'[1]DATOS PBI Artículos'!C:C)</f>
        <v>0</v>
      </c>
      <c r="D620" s="33">
        <f>_xlfn.XLOOKUP(A620,'[1]DATOS PBI Artículos'!A:A,'[1]DATOS PBI Artículos'!T:T)</f>
        <v>0</v>
      </c>
      <c r="E620" s="34">
        <f>IF(_xlfn.XLOOKUP($A620,'[1]DATOS PBI Artículos'!A:A,'[1]DATOS PBI Artículos'!AK:AK)="",_xlfn.XLOOKUP($A620,'[1]DATOS PBI Artículos'!A:A,'[1]DATOS PBI Artículos'!AJ:AJ),_xlfn.XLOOKUP($A620,'[1]DATOS PBI Artículos'!A:A,'[1]DATOS PBI Artículos'!AK:AK))</f>
        <v>0</v>
      </c>
      <c r="F620" s="35">
        <f>_xlfn.XLOOKUP($A620,'[1]DATOS PBI Artículos'!A:A,'[1]DATOS PBI Artículos'!AP:AP)</f>
        <v>0</v>
      </c>
      <c r="G620" s="34">
        <f>_xlfn.XLOOKUP($A620,'[1]DATOS PBI Artículos'!A:A,'[1]DATOS PBI Artículos'!AR:AR)</f>
        <v>0</v>
      </c>
      <c r="H620" s="34">
        <f>_xlfn.XLOOKUP($A620,'[1]DATOS PBI Artículos'!A:A,'[1]DATOS PBI Artículos'!AT:AT)</f>
        <v>0</v>
      </c>
      <c r="I620" s="34">
        <f>_xlfn.XLOOKUP($A620,'[1]DATOS PBI Artículos'!A:A,'[1]DATOS PBI Artículos'!AS:AS)</f>
        <v>0</v>
      </c>
      <c r="J620" s="35">
        <f>IF(COUNTIF([1]CRITERIOS!$F$179:$F$199,$A620)&gt;=1,
 IF(O620&lt;&gt;"",
    (O620/_xlfn.XLOOKUP(CONCATENATE(A620,L620),[1]MÁQUINAS!A:A,[1]MÁQUINAS!D:D))/24,
    (N620/_xlfn.XLOOKUP(CONCATENATE(A620,L620),[1]MÁQUINAS!A:A,[1]MÁQUINAS!D:D))/24),
  _xlfn.XLOOKUP($A620,'[1]DATOS PBI Artículos'!A:A,'[1]DATOS PBI Artículos'!AU:AU))</f>
        <v>0</v>
      </c>
      <c r="K620" s="36">
        <f>_xlfn.XLOOKUP($A620,'[1]DATOS PBI Artículos'!A:A,'[1]DATOS PBI Artículos'!AV:AV)</f>
        <v>0</v>
      </c>
      <c r="L620" s="33">
        <f>_xlfn.XLOOKUP(A620,[1]MÁQUINAS!B:B,[1]MÁQUINAS!C:C)</f>
        <v>0</v>
      </c>
      <c r="M620" s="34">
        <f t="array" ref="M620">_xlfn.XLOOKUP(A620,'[1]DATOS PBI Artículos'!A:A,'[1]DATOS PBI Artículos'!AX:$AX)</f>
        <v>0</v>
      </c>
      <c r="N620" s="37" t="e">
        <f>IF(I620="DV",
E620,
IF(COUNTIF([1]CRITERIOS!$I$179:$I$199,$A620)&gt;=1,
_xlfn.XLOOKUP($A620,[1]CRITERIOS!$I$179:$I$199,[1]CRITERIOS!$J$179:$J$199),
IF(COUNTIF([1]CRITERIOS!$L$179:$L$199,$A620)&gt;=1,
_xlfn.CEILING.MATH(IF($M620&gt;$E620,
$E620,
IF($M620&lt;$E620/ROUNDDOWN([1]CRITERIOS!$M$16/_xlfn.XLOOKUP($C620,[1]CRITERIOS!$K$25:$K$42,[1]CRITERIOS!$M$25:$M$42),
1),
E620/ROUNDDOWN([1]CRITERIOS!$M$16/_xlfn.XLOOKUP($C620,[1]CRITERIOS!$K$25:$K$42,[1]CRITERIOS!$M$25:$M$42),
1),
$M620)),
_xlfn.XLOOKUP($A620,[1]CRITERIOS!$L$179:$L$200,[1]CRITERIOS!$M$179:$M$200)),
_xlfn.CEILING.MATH(IF($M620&gt;$E620,
$E620,
IF($M620&lt;$E620/ROUNDDOWN([1]CRITERIOS!$M$16/_xlfn.XLOOKUP($C620,[1]CRITERIOS!$K$25:$K$42,[1]CRITERIOS!$M$25:$M$42),
1),
E620/ROUNDDOWN([1]CRITERIOS!$M$16/_xlfn.XLOOKUP($C620,[1]CRITERIOS!$K$25:$K$42,[1]CRITERIOS!$M$25:$M$42),
1),
$M620)),_xlfn.XLOOKUP(A620,'[1]DATOS PBI Artículos'!A:A,'[1]DATOS PBI Artículos'!Z:Z
)))))</f>
        <v>#N/A</v>
      </c>
      <c r="Q620" s="38" t="e">
        <f>IF(AND(O620="",N620=0),
0,
   IF(COUNTIF([1]CRITERIOS!$F$179:$F$199,$A620)&gt;=1,
   1,
   IF(R620="MTO",
      $D620,
      ROUNDUP(
                    IF(($E620-SUMIF('[1]DATOS PBI Artículos'!A:A,A620,'[1]DATOS PBI Artículos'!X:X)+($V620-_xlfn.XLOOKUP(A620,'[1]DATOS PBI Artículos'!A:A,'[1]DATOS PBI Artículos'!W:W)))&lt;0,
                    0,
                    IF(($E620-SUMIF('[1]DATOS PBI Artículos'!A:A,A620,'[1]DATOS PBI Artículos'!X:X)+$V620-_xlfn.XLOOKUP($A620,'[1]DATOS PBI Artículos'!A:A,'[1]DATOS PBI Artículos'!W:W))/IF($O620="",$N620,$O620)&gt;ROUNDUP([1]CRITERIOS!$M$16/(IF(COUNTIF([1]CRITERIOS!$BG$11:$BG$201,L620)&gt;=1,_xlfn.XLOOKUP($C620,[1]CRITERIOS!$K$25:$K$42,[1]CRITERIOS!$M$25:$M$42),_xlfn.XLOOKUP($C620,[1]CRITERIOS!$K$25:$K$42,[1]CRITERIOS!$M$25:$M$42))),0),
                    ROUNDUP([1]CRITERIOS!$M$16/(IF(COUNTIF([1]CRITERIOS!$BG$11:$BG$201,$L620)&gt;=1,_xlfn.XLOOKUP($C620,[1]CRITERIOS!$K$25:$K$42,[1]CRITERIOS!$M$25:$M$42),_xlfn.XLOOKUP($C620,[1]CRITERIOS!$K$25:$K$42,[1]CRITERIOS!$M$25:$M$42))),0),
                    (E620+V620-SUMIF('[1]DATOS PBI Artículos'!A:A,A620,'[1]DATOS PBI Artículos'!X:X)-_xlfn.XLOOKUP(A620,'[1]DATOS PBI Artículos'!A:A,'[1]DATOS PBI Artículos'!W:W))/IF($O620="",$N620,$O620))),0))))</f>
        <v>#N/A</v>
      </c>
      <c r="R620" s="33" t="e">
        <f>IF(U620&lt;&gt;"",U620,IF(F620="DV","MTO",IF(N620=0,"MTO",_xlfn.XLOOKUP(CONCATENATE(S620,T620),[1]CRITERIOS!$K$160:$K$168,[1]CRITERIOS!$N$160:$N$168))))</f>
        <v>#N/A</v>
      </c>
      <c r="S620" s="33" t="e">
        <f>IF(G620="DV","MTO",IF(N620=0,"MTO",IF(OR(AND(N620=0,O620=""),IF(O620="",G620/N620,G620/O620)&gt;[1]CRITERIOS!$G$163),"MTO",IF(IF(O620="",G620/N620,G620/O620)&lt;[1]CRITERIOS!$H$161,"MTS","MTOS"))))</f>
        <v>#N/A</v>
      </c>
      <c r="T620" s="33" t="e">
        <f>IF(F620="DV","MTO",IF(OR(AND($N620=0,O620=""),$F620/$J620&gt;[1]CRITERIOS!$G$170,$F620="DV"),"MTO",IF($F620/$J620&lt;[1]CRITERIOS!$H$168,"MTS","MTOS")))</f>
        <v>#N/A</v>
      </c>
      <c r="V620" s="34" t="e">
        <f t="shared" si="31"/>
        <v>#N/A</v>
      </c>
      <c r="X620" s="34" t="e">
        <f t="shared" si="29"/>
        <v>#N/A</v>
      </c>
      <c r="Y620" s="34" t="e">
        <f t="shared" si="30"/>
        <v>#N/A</v>
      </c>
      <c r="Z620" s="34" t="e">
        <f>IF($R620="MTO",
0,
($H620+$K620*($E620/[1]CRITERIOS!$M$16))/[1]CRITERIOS!$X$48)</f>
        <v>#N/A</v>
      </c>
      <c r="AA620" s="34" t="e">
        <f>ROUNDUP(($Y620/_xlfn.XLOOKUP($A620,'[1]DATOS PBI Artículos'!$A$4:$A$4,'[1]DATOS PBI Artículos'!$Z$4:$Z$4))/_xlfn.XLOOKUP(_xlfn.XLOOKUP($A620,'[1]DATOS PBI Artículos'!$A$4:$A$4,'[1]DATOS PBI Artículos'!$Y$4:$Y$4),[1]CRITERIOS!$P$79:$P$123,[1]CRITERIOS!$S$79:$S$123,),0)</f>
        <v>#N/A</v>
      </c>
      <c r="AB620" s="33" t="e">
        <f t="array" ref="AB620">IF((E620+V620-_xlfn.XLOOKUP(A620,'[1]DATOS PBI Artículos'!$A$4:$A$4,'[1]DATOS PBI Artículos'!$W$4:$W$4))/N620&gt;ROUNDUP([1]CRITERIOS!$M$16/(IF(COUNTIF([1]CRITERIOS!$BG$11:$BG$201,L620)&gt;=1,_xlfn.XLOOKUP(ARTÍCULOS!L620,[1]CRITERIOS!$BG$11:$BG$201,[1]CRITERIOS!$BJ$11:$BJ$201),_xlfn.XLOOKUP(ARTÍCULOS!C620,[1]CRITERIOS!$K$25:$K$42,[1]CRITERIOS!$M$25:$M$42))),0),ROUNDUP([1]CRITERIOS!$M$16/(IF(COUNTIF([1]CRITERIOS!$BG$11:$BG$201,L620)&gt;=1,_xlfn.XLOOKUP(ARTÍCULOS!L620,[1]CRITERIOS!$BG$11:$BG$201:#REF!,[1]CRITERIOS!$BJ$11:$BJ$201),_xlfn.XLOOKUP(ARTÍCULOS!C620,[1]CRITERIOS!$K$25:$K$42,[1]CRITERIOS!$M$25:$M$42))),0),(E620+V620-_xlfn.XLOOKUP(A620,'[1]DATOS PBI Artículos'!$A$4:$A$4,'[1]DATOS PBI Artículos'!$W$4:$W$4))/N620)</f>
        <v>#N/A</v>
      </c>
      <c r="AC620" s="33" t="e">
        <f>IF(N620=0,"",(ROUNDUP((N620/2)/(_xlfn.XLOOKUP(A620,'[1]DATOS PBI Artículos'!$A$4:$A$4,'[1]DATOS PBI Artículos'!$Z$4:$Z$4)*_xlfn.XLOOKUP(_xlfn.XLOOKUP(A620,'[1]DATOS PBI Artículos'!$A$4:$A$4,'[1]DATOS PBI Artículos'!$Y$4:$Y$4),[1]CRITERIOS!$P$79:$P$123,[1]CRITERIOS!$S$79:$S$123)),0)*[1]CRITERIOS!$M$80*([1]CRITERIOS!$M$110/[1]CRITERIOS!$M$86)+(_xlfn.XLOOKUP(A620,'[1]DATOS PBI Artículos'!$A$4:$A$4,'[1]DATOS PBI Artículos'!$AA$4:$AA$4)*([1]CRITERIOS!$M$95+[1]CRITERIOS!$M$98)))/N620)</f>
        <v>#N/A</v>
      </c>
      <c r="AD620" s="33" t="e">
        <f>IF(N620=0,"",(ROUNDUP((N620/2)/(_xlfn.XLOOKUP(A620,'[1]DATOS PBI Artículos'!$A$4:$A$4,'[1]DATOS PBI Artículos'!$Z$4:$Z$4)*_xlfn.XLOOKUP(_xlfn.XLOOKUP(A620,'[1]DATOS PBI Artículos'!$A$4:$A$4,'[1]DATOS PBI Artículos'!$Y$4:$Y$4),[1]CRITERIOS!$P$79:$P$123,[1]CRITERIOS!$S$79:$S$123)),0)*[1]CRITERIOS!$M$80*([1]CRITERIOS!$M$89*[1]CRITERIOS!$M$92)+((_xlfn.XLOOKUP(A620,'[1]DATOS PBI Artículos'!$A$4:$A$4,'[1]DATOS PBI Artículos'!$AA$4:$AA$4)/2)*([1]CRITERIOS!$M$95+[1]CRITERIOS!$M$98)))/N620)</f>
        <v>#N/A</v>
      </c>
      <c r="AE620" s="39" t="e">
        <f>IF($R620="MTO","",
IF($H620=0,ROUNDUP(((_xlfn.XLOOKUP($A620,'[1]DATOS PBI Artículos'!$A:$A,'[1]DATOS PBI Artículos'!$AL:$AL))/(_xlfn.XLOOKUP($AF$1,[1]CRITERIOS!$S$16:$S$39,[1]CRITERIOS!$Y$16:$Y$39))*$J620+$Z620)/$G620,0)*$G620,
((_xlfn.XLOOKUP($A620,'[1]DATOS PBI Artículos'!$A:$A,'[1]DATOS PBI Artículos'!$AL:$AL))/(_xlfn.XLOOKUP($AF$1,[1]CRITERIOS!$S$16:$S$39,[1]CRITERIOS!$Y$16:$Y$39))*$J620+$Z620)))</f>
        <v>#N/A</v>
      </c>
      <c r="AG620" s="39" t="e">
        <f>IF($R620="MTO","",
IF($H620=0,ROUNDUP(((_xlfn.XLOOKUP($A620,'[1]DATOS PBI Artículos'!$A:$A,'[1]DATOS PBI Artículos'!$AM:$AM))/(_xlfn.XLOOKUP($AH$1,[1]CRITERIOS!$S$16:$S$39,[1]CRITERIOS!$Y$16:$Y$39))*$J620+$Z620)/$G620,0)*$G620,
((_xlfn.XLOOKUP($A620,'[1]DATOS PBI Artículos'!$A:$A,'[1]DATOS PBI Artículos'!$AM:$AM))/(_xlfn.XLOOKUP($AH$1,[1]CRITERIOS!$S$16:$S$39,[1]CRITERIOS!$Y$16:$Y$39))*$J620+$Z620)))</f>
        <v>#N/A</v>
      </c>
      <c r="AI620" s="39" t="e">
        <f>IF($R620="MTO","",
IF($H620=0,ROUNDUP(((_xlfn.XLOOKUP($A620,'[1]DATOS PBI Artículos'!$A:$A,'[1]DATOS PBI Artículos'!$AN:$AN))/(_xlfn.XLOOKUP($AJ$1,[1]CRITERIOS!$S$16:$S$39,[1]CRITERIOS!$Y$16:$Y$39))*$J620+$Z620)/$G620,0)*$G620,
((_xlfn.XLOOKUP($A620,'[1]DATOS PBI Artículos'!$A:$A,'[1]DATOS PBI Artículos'!$AN:$AN))/(_xlfn.XLOOKUP($AJ$1,[1]CRITERIOS!$S$16:$S$39,[1]CRITERIOS!$Y$16:$Y$39))*$J620+$Z620)))</f>
        <v>#N/A</v>
      </c>
      <c r="AK620" s="39" t="e">
        <f>IF($R620="MTO","",
IF($H620=0,ROUNDUP(((_xlfn.XLOOKUP($A620,'[1]DATOS PBI Artículos'!$A:$A,'[1]DATOS PBI Artículos'!$AO:$AO))/(_xlfn.XLOOKUP($AL$1,[1]CRITERIOS!$S$16:$S$39,[1]CRITERIOS!$Y$16:$Y$39))*$J620+$Z620)/$G620,0)*$G620,
((_xlfn.XLOOKUP($A620,'[1]DATOS PBI Artículos'!$A:$A,'[1]DATOS PBI Artículos'!$AO:$AO))/(_xlfn.XLOOKUP($AL$1,[1]CRITERIOS!$S$16:$S$39,[1]CRITERIOS!$Y$16:$Y$39))*$J620+$Z620)))</f>
        <v>#N/A</v>
      </c>
    </row>
    <row r="621" spans="1:37" ht="25.8" hidden="1" x14ac:dyDescent="0.4">
      <c r="A621" s="41"/>
      <c r="B621" s="33">
        <f>_xlfn.XLOOKUP($A621,'[1]DATOS PBI Artículos'!A:A,'[1]DATOS PBI Artículos'!B:B)</f>
        <v>0</v>
      </c>
      <c r="C621" s="33">
        <f>_xlfn.XLOOKUP($A621,'[1]DATOS PBI Artículos'!A:A,'[1]DATOS PBI Artículos'!C:C)</f>
        <v>0</v>
      </c>
      <c r="D621" s="33">
        <f>_xlfn.XLOOKUP(A621,'[1]DATOS PBI Artículos'!A:A,'[1]DATOS PBI Artículos'!T:T)</f>
        <v>0</v>
      </c>
      <c r="E621" s="34">
        <f>IF(_xlfn.XLOOKUP($A621,'[1]DATOS PBI Artículos'!A:A,'[1]DATOS PBI Artículos'!AK:AK)="",_xlfn.XLOOKUP($A621,'[1]DATOS PBI Artículos'!A:A,'[1]DATOS PBI Artículos'!AJ:AJ),_xlfn.XLOOKUP($A621,'[1]DATOS PBI Artículos'!A:A,'[1]DATOS PBI Artículos'!AK:AK))</f>
        <v>0</v>
      </c>
      <c r="F621" s="35">
        <f>_xlfn.XLOOKUP($A621,'[1]DATOS PBI Artículos'!A:A,'[1]DATOS PBI Artículos'!AP:AP)</f>
        <v>0</v>
      </c>
      <c r="G621" s="34">
        <f>_xlfn.XLOOKUP($A621,'[1]DATOS PBI Artículos'!A:A,'[1]DATOS PBI Artículos'!AR:AR)</f>
        <v>0</v>
      </c>
      <c r="H621" s="34">
        <f>_xlfn.XLOOKUP($A621,'[1]DATOS PBI Artículos'!A:A,'[1]DATOS PBI Artículos'!AT:AT)</f>
        <v>0</v>
      </c>
      <c r="I621" s="34">
        <f>_xlfn.XLOOKUP($A621,'[1]DATOS PBI Artículos'!A:A,'[1]DATOS PBI Artículos'!AS:AS)</f>
        <v>0</v>
      </c>
      <c r="J621" s="35">
        <f>IF(COUNTIF([1]CRITERIOS!$F$179:$F$199,$A621)&gt;=1,
 IF(O621&lt;&gt;"",
    (O621/_xlfn.XLOOKUP(CONCATENATE(A621,L621),[1]MÁQUINAS!A:A,[1]MÁQUINAS!D:D))/24,
    (N621/_xlfn.XLOOKUP(CONCATENATE(A621,L621),[1]MÁQUINAS!A:A,[1]MÁQUINAS!D:D))/24),
  _xlfn.XLOOKUP($A621,'[1]DATOS PBI Artículos'!A:A,'[1]DATOS PBI Artículos'!AU:AU))</f>
        <v>0</v>
      </c>
      <c r="K621" s="36">
        <f>_xlfn.XLOOKUP($A621,'[1]DATOS PBI Artículos'!A:A,'[1]DATOS PBI Artículos'!AV:AV)</f>
        <v>0</v>
      </c>
      <c r="L621" s="33">
        <f>_xlfn.XLOOKUP(A621,[1]MÁQUINAS!B:B,[1]MÁQUINAS!C:C)</f>
        <v>0</v>
      </c>
      <c r="M621" s="34">
        <f t="array" ref="M621">_xlfn.XLOOKUP(A621,'[1]DATOS PBI Artículos'!A:A,'[1]DATOS PBI Artículos'!AX:$AX)</f>
        <v>0</v>
      </c>
      <c r="N621" s="37" t="e">
        <f>IF(I621="DV",
E621,
IF(COUNTIF([1]CRITERIOS!$I$179:$I$199,$A621)&gt;=1,
_xlfn.XLOOKUP($A621,[1]CRITERIOS!$I$179:$I$199,[1]CRITERIOS!$J$179:$J$199),
IF(COUNTIF([1]CRITERIOS!$L$179:$L$199,$A621)&gt;=1,
_xlfn.CEILING.MATH(IF($M621&gt;$E621,
$E621,
IF($M621&lt;$E621/ROUNDDOWN([1]CRITERIOS!$M$16/_xlfn.XLOOKUP($C621,[1]CRITERIOS!$K$25:$K$42,[1]CRITERIOS!$M$25:$M$42),
1),
E621/ROUNDDOWN([1]CRITERIOS!$M$16/_xlfn.XLOOKUP($C621,[1]CRITERIOS!$K$25:$K$42,[1]CRITERIOS!$M$25:$M$42),
1),
$M621)),
_xlfn.XLOOKUP($A621,[1]CRITERIOS!$L$179:$L$200,[1]CRITERIOS!$M$179:$M$200)),
_xlfn.CEILING.MATH(IF($M621&gt;$E621,
$E621,
IF($M621&lt;$E621/ROUNDDOWN([1]CRITERIOS!$M$16/_xlfn.XLOOKUP($C621,[1]CRITERIOS!$K$25:$K$42,[1]CRITERIOS!$M$25:$M$42),
1),
E621/ROUNDDOWN([1]CRITERIOS!$M$16/_xlfn.XLOOKUP($C621,[1]CRITERIOS!$K$25:$K$42,[1]CRITERIOS!$M$25:$M$42),
1),
$M621)),_xlfn.XLOOKUP(A621,'[1]DATOS PBI Artículos'!A:A,'[1]DATOS PBI Artículos'!Z:Z
)))))</f>
        <v>#N/A</v>
      </c>
      <c r="Q621" s="38" t="e">
        <f>IF(AND(O621="",N621=0),
0,
   IF(COUNTIF([1]CRITERIOS!$F$179:$F$199,$A621)&gt;=1,
   1,
   IF(R621="MTO",
      $D621,
      ROUNDUP(
                    IF(($E621-SUMIF('[1]DATOS PBI Artículos'!A:A,A621,'[1]DATOS PBI Artículos'!X:X)+($V621-_xlfn.XLOOKUP(A621,'[1]DATOS PBI Artículos'!A:A,'[1]DATOS PBI Artículos'!W:W)))&lt;0,
                    0,
                    IF(($E621-SUMIF('[1]DATOS PBI Artículos'!A:A,A621,'[1]DATOS PBI Artículos'!X:X)+$V621-_xlfn.XLOOKUP($A621,'[1]DATOS PBI Artículos'!A:A,'[1]DATOS PBI Artículos'!W:W))/IF($O621="",$N621,$O621)&gt;ROUNDUP([1]CRITERIOS!$M$16/(IF(COUNTIF([1]CRITERIOS!$BG$11:$BG$201,L621)&gt;=1,_xlfn.XLOOKUP($C621,[1]CRITERIOS!$K$25:$K$42,[1]CRITERIOS!$M$25:$M$42),_xlfn.XLOOKUP($C621,[1]CRITERIOS!$K$25:$K$42,[1]CRITERIOS!$M$25:$M$42))),0),
                    ROUNDUP([1]CRITERIOS!$M$16/(IF(COUNTIF([1]CRITERIOS!$BG$11:$BG$201,$L621)&gt;=1,_xlfn.XLOOKUP($C621,[1]CRITERIOS!$K$25:$K$42,[1]CRITERIOS!$M$25:$M$42),_xlfn.XLOOKUP($C621,[1]CRITERIOS!$K$25:$K$42,[1]CRITERIOS!$M$25:$M$42))),0),
                    (E621+V621-SUMIF('[1]DATOS PBI Artículos'!A:A,A621,'[1]DATOS PBI Artículos'!X:X)-_xlfn.XLOOKUP(A621,'[1]DATOS PBI Artículos'!A:A,'[1]DATOS PBI Artículos'!W:W))/IF($O621="",$N621,$O621))),0))))</f>
        <v>#N/A</v>
      </c>
      <c r="R621" s="33" t="e">
        <f>IF(U621&lt;&gt;"",U621,IF(F621="DV","MTO",IF(N621=0,"MTO",_xlfn.XLOOKUP(CONCATENATE(S621,T621),[1]CRITERIOS!$K$160:$K$168,[1]CRITERIOS!$N$160:$N$168))))</f>
        <v>#N/A</v>
      </c>
      <c r="S621" s="33" t="e">
        <f>IF(G621="DV","MTO",IF(N621=0,"MTO",IF(OR(AND(N621=0,O621=""),IF(O621="",G621/N621,G621/O621)&gt;[1]CRITERIOS!$G$163),"MTO",IF(IF(O621="",G621/N621,G621/O621)&lt;[1]CRITERIOS!$H$161,"MTS","MTOS"))))</f>
        <v>#N/A</v>
      </c>
      <c r="T621" s="33" t="e">
        <f>IF(F621="DV","MTO",IF(OR(AND($N621=0,O621=""),$F621/$J621&gt;[1]CRITERIOS!$G$170,$F621="DV"),"MTO",IF($F621/$J621&lt;[1]CRITERIOS!$H$168,"MTS","MTOS")))</f>
        <v>#N/A</v>
      </c>
      <c r="V621" s="34" t="e">
        <f t="shared" si="31"/>
        <v>#N/A</v>
      </c>
      <c r="X621" s="34" t="e">
        <f t="shared" si="29"/>
        <v>#N/A</v>
      </c>
      <c r="Y621" s="34" t="e">
        <f t="shared" si="30"/>
        <v>#N/A</v>
      </c>
      <c r="Z621" s="34" t="e">
        <f>IF($R621="MTO",
0,
($H621+$K621*($E621/[1]CRITERIOS!$M$16))/[1]CRITERIOS!$X$48)</f>
        <v>#N/A</v>
      </c>
      <c r="AA621" s="34" t="e">
        <f>ROUNDUP(($Y621/_xlfn.XLOOKUP($A621,'[1]DATOS PBI Artículos'!$A$4:$A$4,'[1]DATOS PBI Artículos'!$Z$4:$Z$4))/_xlfn.XLOOKUP(_xlfn.XLOOKUP($A621,'[1]DATOS PBI Artículos'!$A$4:$A$4,'[1]DATOS PBI Artículos'!$Y$4:$Y$4),[1]CRITERIOS!$P$79:$P$123,[1]CRITERIOS!$S$79:$S$123,),0)</f>
        <v>#N/A</v>
      </c>
      <c r="AB621" s="33" t="e">
        <f t="array" ref="AB621">IF((E621+V621-_xlfn.XLOOKUP(A621,'[1]DATOS PBI Artículos'!$A$4:$A$4,'[1]DATOS PBI Artículos'!$W$4:$W$4))/N621&gt;ROUNDUP([1]CRITERIOS!$M$16/(IF(COUNTIF([1]CRITERIOS!$BG$11:$BG$201,L621)&gt;=1,_xlfn.XLOOKUP(ARTÍCULOS!L621,[1]CRITERIOS!$BG$11:$BG$201,[1]CRITERIOS!$BJ$11:$BJ$201),_xlfn.XLOOKUP(ARTÍCULOS!C621,[1]CRITERIOS!$K$25:$K$42,[1]CRITERIOS!$M$25:$M$42))),0),ROUNDUP([1]CRITERIOS!$M$16/(IF(COUNTIF([1]CRITERIOS!$BG$11:$BG$201,L621)&gt;=1,_xlfn.XLOOKUP(ARTÍCULOS!L621,[1]CRITERIOS!$BG$11:$BG$201:#REF!,[1]CRITERIOS!$BJ$11:$BJ$201),_xlfn.XLOOKUP(ARTÍCULOS!C621,[1]CRITERIOS!$K$25:$K$42,[1]CRITERIOS!$M$25:$M$42))),0),(E621+V621-_xlfn.XLOOKUP(A621,'[1]DATOS PBI Artículos'!$A$4:$A$4,'[1]DATOS PBI Artículos'!$W$4:$W$4))/N621)</f>
        <v>#N/A</v>
      </c>
      <c r="AC621" s="33" t="e">
        <f>IF(N621=0,"",(ROUNDUP((N621/2)/(_xlfn.XLOOKUP(A621,'[1]DATOS PBI Artículos'!$A$4:$A$4,'[1]DATOS PBI Artículos'!$Z$4:$Z$4)*_xlfn.XLOOKUP(_xlfn.XLOOKUP(A621,'[1]DATOS PBI Artículos'!$A$4:$A$4,'[1]DATOS PBI Artículos'!$Y$4:$Y$4),[1]CRITERIOS!$P$79:$P$123,[1]CRITERIOS!$S$79:$S$123)),0)*[1]CRITERIOS!$M$80*([1]CRITERIOS!$M$110/[1]CRITERIOS!$M$86)+(_xlfn.XLOOKUP(A621,'[1]DATOS PBI Artículos'!$A$4:$A$4,'[1]DATOS PBI Artículos'!$AA$4:$AA$4)*([1]CRITERIOS!$M$95+[1]CRITERIOS!$M$98)))/N621)</f>
        <v>#N/A</v>
      </c>
      <c r="AD621" s="33" t="e">
        <f>IF(N621=0,"",(ROUNDUP((N621/2)/(_xlfn.XLOOKUP(A621,'[1]DATOS PBI Artículos'!$A$4:$A$4,'[1]DATOS PBI Artículos'!$Z$4:$Z$4)*_xlfn.XLOOKUP(_xlfn.XLOOKUP(A621,'[1]DATOS PBI Artículos'!$A$4:$A$4,'[1]DATOS PBI Artículos'!$Y$4:$Y$4),[1]CRITERIOS!$P$79:$P$123,[1]CRITERIOS!$S$79:$S$123)),0)*[1]CRITERIOS!$M$80*([1]CRITERIOS!$M$89*[1]CRITERIOS!$M$92)+((_xlfn.XLOOKUP(A621,'[1]DATOS PBI Artículos'!$A$4:$A$4,'[1]DATOS PBI Artículos'!$AA$4:$AA$4)/2)*([1]CRITERIOS!$M$95+[1]CRITERIOS!$M$98)))/N621)</f>
        <v>#N/A</v>
      </c>
      <c r="AE621" s="39" t="e">
        <f>IF($R621="MTO","",
IF($H621=0,ROUNDUP(((_xlfn.XLOOKUP($A621,'[1]DATOS PBI Artículos'!$A:$A,'[1]DATOS PBI Artículos'!$AL:$AL))/(_xlfn.XLOOKUP($AF$1,[1]CRITERIOS!$S$16:$S$39,[1]CRITERIOS!$Y$16:$Y$39))*$J621+$Z621)/$G621,0)*$G621,
((_xlfn.XLOOKUP($A621,'[1]DATOS PBI Artículos'!$A:$A,'[1]DATOS PBI Artículos'!$AL:$AL))/(_xlfn.XLOOKUP($AF$1,[1]CRITERIOS!$S$16:$S$39,[1]CRITERIOS!$Y$16:$Y$39))*$J621+$Z621)))</f>
        <v>#N/A</v>
      </c>
      <c r="AG621" s="39" t="e">
        <f>IF($R621="MTO","",
IF($H621=0,ROUNDUP(((_xlfn.XLOOKUP($A621,'[1]DATOS PBI Artículos'!$A:$A,'[1]DATOS PBI Artículos'!$AM:$AM))/(_xlfn.XLOOKUP($AH$1,[1]CRITERIOS!$S$16:$S$39,[1]CRITERIOS!$Y$16:$Y$39))*$J621+$Z621)/$G621,0)*$G621,
((_xlfn.XLOOKUP($A621,'[1]DATOS PBI Artículos'!$A:$A,'[1]DATOS PBI Artículos'!$AM:$AM))/(_xlfn.XLOOKUP($AH$1,[1]CRITERIOS!$S$16:$S$39,[1]CRITERIOS!$Y$16:$Y$39))*$J621+$Z621)))</f>
        <v>#N/A</v>
      </c>
      <c r="AI621" s="39" t="e">
        <f>IF($R621="MTO","",
IF($H621=0,ROUNDUP(((_xlfn.XLOOKUP($A621,'[1]DATOS PBI Artículos'!$A:$A,'[1]DATOS PBI Artículos'!$AN:$AN))/(_xlfn.XLOOKUP($AJ$1,[1]CRITERIOS!$S$16:$S$39,[1]CRITERIOS!$Y$16:$Y$39))*$J621+$Z621)/$G621,0)*$G621,
((_xlfn.XLOOKUP($A621,'[1]DATOS PBI Artículos'!$A:$A,'[1]DATOS PBI Artículos'!$AN:$AN))/(_xlfn.XLOOKUP($AJ$1,[1]CRITERIOS!$S$16:$S$39,[1]CRITERIOS!$Y$16:$Y$39))*$J621+$Z621)))</f>
        <v>#N/A</v>
      </c>
      <c r="AK621" s="39" t="e">
        <f>IF($R621="MTO","",
IF($H621=0,ROUNDUP(((_xlfn.XLOOKUP($A621,'[1]DATOS PBI Artículos'!$A:$A,'[1]DATOS PBI Artículos'!$AO:$AO))/(_xlfn.XLOOKUP($AL$1,[1]CRITERIOS!$S$16:$S$39,[1]CRITERIOS!$Y$16:$Y$39))*$J621+$Z621)/$G621,0)*$G621,
((_xlfn.XLOOKUP($A621,'[1]DATOS PBI Artículos'!$A:$A,'[1]DATOS PBI Artículos'!$AO:$AO))/(_xlfn.XLOOKUP($AL$1,[1]CRITERIOS!$S$16:$S$39,[1]CRITERIOS!$Y$16:$Y$39))*$J621+$Z621)))</f>
        <v>#N/A</v>
      </c>
    </row>
    <row r="622" spans="1:37" ht="25.8" hidden="1" x14ac:dyDescent="0.4">
      <c r="A622" s="41"/>
      <c r="B622" s="33">
        <f>_xlfn.XLOOKUP($A622,'[1]DATOS PBI Artículos'!A:A,'[1]DATOS PBI Artículos'!B:B)</f>
        <v>0</v>
      </c>
      <c r="C622" s="33">
        <f>_xlfn.XLOOKUP($A622,'[1]DATOS PBI Artículos'!A:A,'[1]DATOS PBI Artículos'!C:C)</f>
        <v>0</v>
      </c>
      <c r="D622" s="33">
        <f>_xlfn.XLOOKUP(A622,'[1]DATOS PBI Artículos'!A:A,'[1]DATOS PBI Artículos'!T:T)</f>
        <v>0</v>
      </c>
      <c r="E622" s="34">
        <f>IF(_xlfn.XLOOKUP($A622,'[1]DATOS PBI Artículos'!A:A,'[1]DATOS PBI Artículos'!AK:AK)="",_xlfn.XLOOKUP($A622,'[1]DATOS PBI Artículos'!A:A,'[1]DATOS PBI Artículos'!AJ:AJ),_xlfn.XLOOKUP($A622,'[1]DATOS PBI Artículos'!A:A,'[1]DATOS PBI Artículos'!AK:AK))</f>
        <v>0</v>
      </c>
      <c r="F622" s="35">
        <f>_xlfn.XLOOKUP($A622,'[1]DATOS PBI Artículos'!A:A,'[1]DATOS PBI Artículos'!AP:AP)</f>
        <v>0</v>
      </c>
      <c r="G622" s="34">
        <f>_xlfn.XLOOKUP($A622,'[1]DATOS PBI Artículos'!A:A,'[1]DATOS PBI Artículos'!AR:AR)</f>
        <v>0</v>
      </c>
      <c r="H622" s="34">
        <f>_xlfn.XLOOKUP($A622,'[1]DATOS PBI Artículos'!A:A,'[1]DATOS PBI Artículos'!AT:AT)</f>
        <v>0</v>
      </c>
      <c r="I622" s="34">
        <f>_xlfn.XLOOKUP($A622,'[1]DATOS PBI Artículos'!A:A,'[1]DATOS PBI Artículos'!AS:AS)</f>
        <v>0</v>
      </c>
      <c r="J622" s="35">
        <f>IF(COUNTIF([1]CRITERIOS!$F$179:$F$199,$A622)&gt;=1,
 IF(O622&lt;&gt;"",
    (O622/_xlfn.XLOOKUP(CONCATENATE(A622,L622),[1]MÁQUINAS!A:A,[1]MÁQUINAS!D:D))/24,
    (N622/_xlfn.XLOOKUP(CONCATENATE(A622,L622),[1]MÁQUINAS!A:A,[1]MÁQUINAS!D:D))/24),
  _xlfn.XLOOKUP($A622,'[1]DATOS PBI Artículos'!A:A,'[1]DATOS PBI Artículos'!AU:AU))</f>
        <v>0</v>
      </c>
      <c r="K622" s="36">
        <f>_xlfn.XLOOKUP($A622,'[1]DATOS PBI Artículos'!A:A,'[1]DATOS PBI Artículos'!AV:AV)</f>
        <v>0</v>
      </c>
      <c r="L622" s="33">
        <f>_xlfn.XLOOKUP(A622,[1]MÁQUINAS!B:B,[1]MÁQUINAS!C:C)</f>
        <v>0</v>
      </c>
      <c r="M622" s="34">
        <f t="array" ref="M622">_xlfn.XLOOKUP(A622,'[1]DATOS PBI Artículos'!A:A,'[1]DATOS PBI Artículos'!AX:$AX)</f>
        <v>0</v>
      </c>
      <c r="N622" s="37" t="e">
        <f>IF(I622="DV",
E622,
IF(COUNTIF([1]CRITERIOS!$I$179:$I$199,$A622)&gt;=1,
_xlfn.XLOOKUP($A622,[1]CRITERIOS!$I$179:$I$199,[1]CRITERIOS!$J$179:$J$199),
IF(COUNTIF([1]CRITERIOS!$L$179:$L$199,$A622)&gt;=1,
_xlfn.CEILING.MATH(IF($M622&gt;$E622,
$E622,
IF($M622&lt;$E622/ROUNDDOWN([1]CRITERIOS!$M$16/_xlfn.XLOOKUP($C622,[1]CRITERIOS!$K$25:$K$42,[1]CRITERIOS!$M$25:$M$42),
1),
E622/ROUNDDOWN([1]CRITERIOS!$M$16/_xlfn.XLOOKUP($C622,[1]CRITERIOS!$K$25:$K$42,[1]CRITERIOS!$M$25:$M$42),
1),
$M622)),
_xlfn.XLOOKUP($A622,[1]CRITERIOS!$L$179:$L$200,[1]CRITERIOS!$M$179:$M$200)),
_xlfn.CEILING.MATH(IF($M622&gt;$E622,
$E622,
IF($M622&lt;$E622/ROUNDDOWN([1]CRITERIOS!$M$16/_xlfn.XLOOKUP($C622,[1]CRITERIOS!$K$25:$K$42,[1]CRITERIOS!$M$25:$M$42),
1),
E622/ROUNDDOWN([1]CRITERIOS!$M$16/_xlfn.XLOOKUP($C622,[1]CRITERIOS!$K$25:$K$42,[1]CRITERIOS!$M$25:$M$42),
1),
$M622)),_xlfn.XLOOKUP(A622,'[1]DATOS PBI Artículos'!A:A,'[1]DATOS PBI Artículos'!Z:Z
)))))</f>
        <v>#N/A</v>
      </c>
      <c r="Q622" s="38" t="e">
        <f>IF(AND(O622="",N622=0),
0,
   IF(COUNTIF([1]CRITERIOS!$F$179:$F$199,$A622)&gt;=1,
   1,
   IF(R622="MTO",
      $D622,
      ROUNDUP(
                    IF(($E622-SUMIF('[1]DATOS PBI Artículos'!A:A,A622,'[1]DATOS PBI Artículos'!X:X)+($V622-_xlfn.XLOOKUP(A622,'[1]DATOS PBI Artículos'!A:A,'[1]DATOS PBI Artículos'!W:W)))&lt;0,
                    0,
                    IF(($E622-SUMIF('[1]DATOS PBI Artículos'!A:A,A622,'[1]DATOS PBI Artículos'!X:X)+$V622-_xlfn.XLOOKUP($A622,'[1]DATOS PBI Artículos'!A:A,'[1]DATOS PBI Artículos'!W:W))/IF($O622="",$N622,$O622)&gt;ROUNDUP([1]CRITERIOS!$M$16/(IF(COUNTIF([1]CRITERIOS!$BG$11:$BG$201,L622)&gt;=1,_xlfn.XLOOKUP($C622,[1]CRITERIOS!$K$25:$K$42,[1]CRITERIOS!$M$25:$M$42),_xlfn.XLOOKUP($C622,[1]CRITERIOS!$K$25:$K$42,[1]CRITERIOS!$M$25:$M$42))),0),
                    ROUNDUP([1]CRITERIOS!$M$16/(IF(COUNTIF([1]CRITERIOS!$BG$11:$BG$201,$L622)&gt;=1,_xlfn.XLOOKUP($C622,[1]CRITERIOS!$K$25:$K$42,[1]CRITERIOS!$M$25:$M$42),_xlfn.XLOOKUP($C622,[1]CRITERIOS!$K$25:$K$42,[1]CRITERIOS!$M$25:$M$42))),0),
                    (E622+V622-SUMIF('[1]DATOS PBI Artículos'!A:A,A622,'[1]DATOS PBI Artículos'!X:X)-_xlfn.XLOOKUP(A622,'[1]DATOS PBI Artículos'!A:A,'[1]DATOS PBI Artículos'!W:W))/IF($O622="",$N622,$O622))),0))))</f>
        <v>#N/A</v>
      </c>
      <c r="R622" s="33" t="e">
        <f>IF(U622&lt;&gt;"",U622,IF(F622="DV","MTO",IF(N622=0,"MTO",_xlfn.XLOOKUP(CONCATENATE(S622,T622),[1]CRITERIOS!$K$160:$K$168,[1]CRITERIOS!$N$160:$N$168))))</f>
        <v>#N/A</v>
      </c>
      <c r="S622" s="33" t="e">
        <f>IF(G622="DV","MTO",IF(N622=0,"MTO",IF(OR(AND(N622=0,O622=""),IF(O622="",G622/N622,G622/O622)&gt;[1]CRITERIOS!$G$163),"MTO",IF(IF(O622="",G622/N622,G622/O622)&lt;[1]CRITERIOS!$H$161,"MTS","MTOS"))))</f>
        <v>#N/A</v>
      </c>
      <c r="T622" s="33" t="e">
        <f>IF(F622="DV","MTO",IF(OR(AND($N622=0,O622=""),$F622/$J622&gt;[1]CRITERIOS!$G$170,$F622="DV"),"MTO",IF($F622/$J622&lt;[1]CRITERIOS!$H$168,"MTS","MTOS")))</f>
        <v>#N/A</v>
      </c>
      <c r="V622" s="34" t="e">
        <f t="shared" si="31"/>
        <v>#N/A</v>
      </c>
      <c r="X622" s="34" t="e">
        <f t="shared" si="29"/>
        <v>#N/A</v>
      </c>
      <c r="Y622" s="34" t="e">
        <f t="shared" si="30"/>
        <v>#N/A</v>
      </c>
      <c r="Z622" s="34" t="e">
        <f>IF($R622="MTO",
0,
($H622+$K622*($E622/[1]CRITERIOS!$M$16))/[1]CRITERIOS!$X$48)</f>
        <v>#N/A</v>
      </c>
      <c r="AA622" s="34" t="e">
        <f>ROUNDUP(($Y622/_xlfn.XLOOKUP($A622,'[1]DATOS PBI Artículos'!$A$4:$A$4,'[1]DATOS PBI Artículos'!$Z$4:$Z$4))/_xlfn.XLOOKUP(_xlfn.XLOOKUP($A622,'[1]DATOS PBI Artículos'!$A$4:$A$4,'[1]DATOS PBI Artículos'!$Y$4:$Y$4),[1]CRITERIOS!$P$79:$P$123,[1]CRITERIOS!$S$79:$S$123,),0)</f>
        <v>#N/A</v>
      </c>
      <c r="AB622" s="33" t="e">
        <f t="array" ref="AB622">IF((E622+V622-_xlfn.XLOOKUP(A622,'[1]DATOS PBI Artículos'!$A$4:$A$4,'[1]DATOS PBI Artículos'!$W$4:$W$4))/N622&gt;ROUNDUP([1]CRITERIOS!$M$16/(IF(COUNTIF([1]CRITERIOS!$BG$11:$BG$201,L622)&gt;=1,_xlfn.XLOOKUP(ARTÍCULOS!L622,[1]CRITERIOS!$BG$11:$BG$201,[1]CRITERIOS!$BJ$11:$BJ$201),_xlfn.XLOOKUP(ARTÍCULOS!C622,[1]CRITERIOS!$K$25:$K$42,[1]CRITERIOS!$M$25:$M$42))),0),ROUNDUP([1]CRITERIOS!$M$16/(IF(COUNTIF([1]CRITERIOS!$BG$11:$BG$201,L622)&gt;=1,_xlfn.XLOOKUP(ARTÍCULOS!L622,[1]CRITERIOS!$BG$11:$BG$201:#REF!,[1]CRITERIOS!$BJ$11:$BJ$201),_xlfn.XLOOKUP(ARTÍCULOS!C622,[1]CRITERIOS!$K$25:$K$42,[1]CRITERIOS!$M$25:$M$42))),0),(E622+V622-_xlfn.XLOOKUP(A622,'[1]DATOS PBI Artículos'!$A$4:$A$4,'[1]DATOS PBI Artículos'!$W$4:$W$4))/N622)</f>
        <v>#N/A</v>
      </c>
      <c r="AC622" s="33" t="e">
        <f>IF(N622=0,"",(ROUNDUP((N622/2)/(_xlfn.XLOOKUP(A622,'[1]DATOS PBI Artículos'!$A$4:$A$4,'[1]DATOS PBI Artículos'!$Z$4:$Z$4)*_xlfn.XLOOKUP(_xlfn.XLOOKUP(A622,'[1]DATOS PBI Artículos'!$A$4:$A$4,'[1]DATOS PBI Artículos'!$Y$4:$Y$4),[1]CRITERIOS!$P$79:$P$123,[1]CRITERIOS!$S$79:$S$123)),0)*[1]CRITERIOS!$M$80*([1]CRITERIOS!$M$110/[1]CRITERIOS!$M$86)+(_xlfn.XLOOKUP(A622,'[1]DATOS PBI Artículos'!$A$4:$A$4,'[1]DATOS PBI Artículos'!$AA$4:$AA$4)*([1]CRITERIOS!$M$95+[1]CRITERIOS!$M$98)))/N622)</f>
        <v>#N/A</v>
      </c>
      <c r="AD622" s="33" t="e">
        <f>IF(N622=0,"",(ROUNDUP((N622/2)/(_xlfn.XLOOKUP(A622,'[1]DATOS PBI Artículos'!$A$4:$A$4,'[1]DATOS PBI Artículos'!$Z$4:$Z$4)*_xlfn.XLOOKUP(_xlfn.XLOOKUP(A622,'[1]DATOS PBI Artículos'!$A$4:$A$4,'[1]DATOS PBI Artículos'!$Y$4:$Y$4),[1]CRITERIOS!$P$79:$P$123,[1]CRITERIOS!$S$79:$S$123)),0)*[1]CRITERIOS!$M$80*([1]CRITERIOS!$M$89*[1]CRITERIOS!$M$92)+((_xlfn.XLOOKUP(A622,'[1]DATOS PBI Artículos'!$A$4:$A$4,'[1]DATOS PBI Artículos'!$AA$4:$AA$4)/2)*([1]CRITERIOS!$M$95+[1]CRITERIOS!$M$98)))/N622)</f>
        <v>#N/A</v>
      </c>
      <c r="AE622" s="39" t="e">
        <f>IF($R622="MTO","",
IF($H622=0,ROUNDUP(((_xlfn.XLOOKUP($A622,'[1]DATOS PBI Artículos'!$A:$A,'[1]DATOS PBI Artículos'!$AL:$AL))/(_xlfn.XLOOKUP($AF$1,[1]CRITERIOS!$S$16:$S$39,[1]CRITERIOS!$Y$16:$Y$39))*$J622+$Z622)/$G622,0)*$G622,
((_xlfn.XLOOKUP($A622,'[1]DATOS PBI Artículos'!$A:$A,'[1]DATOS PBI Artículos'!$AL:$AL))/(_xlfn.XLOOKUP($AF$1,[1]CRITERIOS!$S$16:$S$39,[1]CRITERIOS!$Y$16:$Y$39))*$J622+$Z622)))</f>
        <v>#N/A</v>
      </c>
      <c r="AG622" s="39" t="e">
        <f>IF($R622="MTO","",
IF($H622=0,ROUNDUP(((_xlfn.XLOOKUP($A622,'[1]DATOS PBI Artículos'!$A:$A,'[1]DATOS PBI Artículos'!$AM:$AM))/(_xlfn.XLOOKUP($AH$1,[1]CRITERIOS!$S$16:$S$39,[1]CRITERIOS!$Y$16:$Y$39))*$J622+$Z622)/$G622,0)*$G622,
((_xlfn.XLOOKUP($A622,'[1]DATOS PBI Artículos'!$A:$A,'[1]DATOS PBI Artículos'!$AM:$AM))/(_xlfn.XLOOKUP($AH$1,[1]CRITERIOS!$S$16:$S$39,[1]CRITERIOS!$Y$16:$Y$39))*$J622+$Z622)))</f>
        <v>#N/A</v>
      </c>
      <c r="AI622" s="39" t="e">
        <f>IF($R622="MTO","",
IF($H622=0,ROUNDUP(((_xlfn.XLOOKUP($A622,'[1]DATOS PBI Artículos'!$A:$A,'[1]DATOS PBI Artículos'!$AN:$AN))/(_xlfn.XLOOKUP($AJ$1,[1]CRITERIOS!$S$16:$S$39,[1]CRITERIOS!$Y$16:$Y$39))*$J622+$Z622)/$G622,0)*$G622,
((_xlfn.XLOOKUP($A622,'[1]DATOS PBI Artículos'!$A:$A,'[1]DATOS PBI Artículos'!$AN:$AN))/(_xlfn.XLOOKUP($AJ$1,[1]CRITERIOS!$S$16:$S$39,[1]CRITERIOS!$Y$16:$Y$39))*$J622+$Z622)))</f>
        <v>#N/A</v>
      </c>
      <c r="AK622" s="39" t="e">
        <f>IF($R622="MTO","",
IF($H622=0,ROUNDUP(((_xlfn.XLOOKUP($A622,'[1]DATOS PBI Artículos'!$A:$A,'[1]DATOS PBI Artículos'!$AO:$AO))/(_xlfn.XLOOKUP($AL$1,[1]CRITERIOS!$S$16:$S$39,[1]CRITERIOS!$Y$16:$Y$39))*$J622+$Z622)/$G622,0)*$G622,
((_xlfn.XLOOKUP($A622,'[1]DATOS PBI Artículos'!$A:$A,'[1]DATOS PBI Artículos'!$AO:$AO))/(_xlfn.XLOOKUP($AL$1,[1]CRITERIOS!$S$16:$S$39,[1]CRITERIOS!$Y$16:$Y$39))*$J622+$Z622)))</f>
        <v>#N/A</v>
      </c>
    </row>
    <row r="623" spans="1:37" ht="25.8" hidden="1" x14ac:dyDescent="0.4">
      <c r="A623" s="41"/>
      <c r="B623" s="33">
        <f>_xlfn.XLOOKUP($A623,'[1]DATOS PBI Artículos'!A:A,'[1]DATOS PBI Artículos'!B:B)</f>
        <v>0</v>
      </c>
      <c r="C623" s="33">
        <f>_xlfn.XLOOKUP($A623,'[1]DATOS PBI Artículos'!A:A,'[1]DATOS PBI Artículos'!C:C)</f>
        <v>0</v>
      </c>
      <c r="D623" s="33">
        <f>_xlfn.XLOOKUP(A623,'[1]DATOS PBI Artículos'!A:A,'[1]DATOS PBI Artículos'!T:T)</f>
        <v>0</v>
      </c>
      <c r="E623" s="34">
        <f>IF(_xlfn.XLOOKUP($A623,'[1]DATOS PBI Artículos'!A:A,'[1]DATOS PBI Artículos'!AK:AK)="",_xlfn.XLOOKUP($A623,'[1]DATOS PBI Artículos'!A:A,'[1]DATOS PBI Artículos'!AJ:AJ),_xlfn.XLOOKUP($A623,'[1]DATOS PBI Artículos'!A:A,'[1]DATOS PBI Artículos'!AK:AK))</f>
        <v>0</v>
      </c>
      <c r="F623" s="35">
        <f>_xlfn.XLOOKUP($A623,'[1]DATOS PBI Artículos'!A:A,'[1]DATOS PBI Artículos'!AP:AP)</f>
        <v>0</v>
      </c>
      <c r="G623" s="34">
        <f>_xlfn.XLOOKUP($A623,'[1]DATOS PBI Artículos'!A:A,'[1]DATOS PBI Artículos'!AR:AR)</f>
        <v>0</v>
      </c>
      <c r="H623" s="34">
        <f>_xlfn.XLOOKUP($A623,'[1]DATOS PBI Artículos'!A:A,'[1]DATOS PBI Artículos'!AT:AT)</f>
        <v>0</v>
      </c>
      <c r="I623" s="34">
        <f>_xlfn.XLOOKUP($A623,'[1]DATOS PBI Artículos'!A:A,'[1]DATOS PBI Artículos'!AS:AS)</f>
        <v>0</v>
      </c>
      <c r="J623" s="35">
        <f>IF(COUNTIF([1]CRITERIOS!$F$179:$F$199,$A623)&gt;=1,
 IF(O623&lt;&gt;"",
    (O623/_xlfn.XLOOKUP(CONCATENATE(A623,L623),[1]MÁQUINAS!A:A,[1]MÁQUINAS!D:D))/24,
    (N623/_xlfn.XLOOKUP(CONCATENATE(A623,L623),[1]MÁQUINAS!A:A,[1]MÁQUINAS!D:D))/24),
  _xlfn.XLOOKUP($A623,'[1]DATOS PBI Artículos'!A:A,'[1]DATOS PBI Artículos'!AU:AU))</f>
        <v>0</v>
      </c>
      <c r="K623" s="36">
        <f>_xlfn.XLOOKUP($A623,'[1]DATOS PBI Artículos'!A:A,'[1]DATOS PBI Artículos'!AV:AV)</f>
        <v>0</v>
      </c>
      <c r="L623" s="33">
        <f>_xlfn.XLOOKUP(A623,[1]MÁQUINAS!B:B,[1]MÁQUINAS!C:C)</f>
        <v>0</v>
      </c>
      <c r="M623" s="34">
        <f t="array" ref="M623">_xlfn.XLOOKUP(A623,'[1]DATOS PBI Artículos'!A:A,'[1]DATOS PBI Artículos'!AX:$AX)</f>
        <v>0</v>
      </c>
      <c r="N623" s="37" t="e">
        <f>IF(I623="DV",
E623,
IF(COUNTIF([1]CRITERIOS!$I$179:$I$199,$A623)&gt;=1,
_xlfn.XLOOKUP($A623,[1]CRITERIOS!$I$179:$I$199,[1]CRITERIOS!$J$179:$J$199),
IF(COUNTIF([1]CRITERIOS!$L$179:$L$199,$A623)&gt;=1,
_xlfn.CEILING.MATH(IF($M623&gt;$E623,
$E623,
IF($M623&lt;$E623/ROUNDDOWN([1]CRITERIOS!$M$16/_xlfn.XLOOKUP($C623,[1]CRITERIOS!$K$25:$K$42,[1]CRITERIOS!$M$25:$M$42),
1),
E623/ROUNDDOWN([1]CRITERIOS!$M$16/_xlfn.XLOOKUP($C623,[1]CRITERIOS!$K$25:$K$42,[1]CRITERIOS!$M$25:$M$42),
1),
$M623)),
_xlfn.XLOOKUP($A623,[1]CRITERIOS!$L$179:$L$200,[1]CRITERIOS!$M$179:$M$200)),
_xlfn.CEILING.MATH(IF($M623&gt;$E623,
$E623,
IF($M623&lt;$E623/ROUNDDOWN([1]CRITERIOS!$M$16/_xlfn.XLOOKUP($C623,[1]CRITERIOS!$K$25:$K$42,[1]CRITERIOS!$M$25:$M$42),
1),
E623/ROUNDDOWN([1]CRITERIOS!$M$16/_xlfn.XLOOKUP($C623,[1]CRITERIOS!$K$25:$K$42,[1]CRITERIOS!$M$25:$M$42),
1),
$M623)),_xlfn.XLOOKUP(A623,'[1]DATOS PBI Artículos'!A:A,'[1]DATOS PBI Artículos'!Z:Z
)))))</f>
        <v>#N/A</v>
      </c>
      <c r="Q623" s="38" t="e">
        <f>IF(AND(O623="",N623=0),
0,
   IF(COUNTIF([1]CRITERIOS!$F$179:$F$199,$A623)&gt;=1,
   1,
   IF(R623="MTO",
      $D623,
      ROUNDUP(
                    IF(($E623-SUMIF('[1]DATOS PBI Artículos'!A:A,A623,'[1]DATOS PBI Artículos'!X:X)+($V623-_xlfn.XLOOKUP(A623,'[1]DATOS PBI Artículos'!A:A,'[1]DATOS PBI Artículos'!W:W)))&lt;0,
                    0,
                    IF(($E623-SUMIF('[1]DATOS PBI Artículos'!A:A,A623,'[1]DATOS PBI Artículos'!X:X)+$V623-_xlfn.XLOOKUP($A623,'[1]DATOS PBI Artículos'!A:A,'[1]DATOS PBI Artículos'!W:W))/IF($O623="",$N623,$O623)&gt;ROUNDUP([1]CRITERIOS!$M$16/(IF(COUNTIF([1]CRITERIOS!$BG$11:$BG$201,L623)&gt;=1,_xlfn.XLOOKUP($C623,[1]CRITERIOS!$K$25:$K$42,[1]CRITERIOS!$M$25:$M$42),_xlfn.XLOOKUP($C623,[1]CRITERIOS!$K$25:$K$42,[1]CRITERIOS!$M$25:$M$42))),0),
                    ROUNDUP([1]CRITERIOS!$M$16/(IF(COUNTIF([1]CRITERIOS!$BG$11:$BG$201,$L623)&gt;=1,_xlfn.XLOOKUP($C623,[1]CRITERIOS!$K$25:$K$42,[1]CRITERIOS!$M$25:$M$42),_xlfn.XLOOKUP($C623,[1]CRITERIOS!$K$25:$K$42,[1]CRITERIOS!$M$25:$M$42))),0),
                    (E623+V623-SUMIF('[1]DATOS PBI Artículos'!A:A,A623,'[1]DATOS PBI Artículos'!X:X)-_xlfn.XLOOKUP(A623,'[1]DATOS PBI Artículos'!A:A,'[1]DATOS PBI Artículos'!W:W))/IF($O623="",$N623,$O623))),0))))</f>
        <v>#N/A</v>
      </c>
      <c r="R623" s="33" t="e">
        <f>IF(U623&lt;&gt;"",U623,IF(F623="DV","MTO",IF(N623=0,"MTO",_xlfn.XLOOKUP(CONCATENATE(S623,T623),[1]CRITERIOS!$K$160:$K$168,[1]CRITERIOS!$N$160:$N$168))))</f>
        <v>#N/A</v>
      </c>
      <c r="S623" s="33" t="e">
        <f>IF(G623="DV","MTO",IF(N623=0,"MTO",IF(OR(AND(N623=0,O623=""),IF(O623="",G623/N623,G623/O623)&gt;[1]CRITERIOS!$G$163),"MTO",IF(IF(O623="",G623/N623,G623/O623)&lt;[1]CRITERIOS!$H$161,"MTS","MTOS"))))</f>
        <v>#N/A</v>
      </c>
      <c r="T623" s="33" t="e">
        <f>IF(F623="DV","MTO",IF(OR(AND($N623=0,O623=""),$F623/$J623&gt;[1]CRITERIOS!$G$170,$F623="DV"),"MTO",IF($F623/$J623&lt;[1]CRITERIOS!$H$168,"MTS","MTOS")))</f>
        <v>#N/A</v>
      </c>
      <c r="V623" s="34" t="e">
        <f t="shared" si="31"/>
        <v>#N/A</v>
      </c>
      <c r="X623" s="34" t="e">
        <f t="shared" si="29"/>
        <v>#N/A</v>
      </c>
      <c r="Y623" s="34" t="e">
        <f t="shared" si="30"/>
        <v>#N/A</v>
      </c>
      <c r="Z623" s="34" t="e">
        <f>IF($R623="MTO",
0,
($H623+$K623*($E623/[1]CRITERIOS!$M$16))/[1]CRITERIOS!$X$48)</f>
        <v>#N/A</v>
      </c>
      <c r="AA623" s="34" t="e">
        <f>ROUNDUP(($Y623/_xlfn.XLOOKUP($A623,'[1]DATOS PBI Artículos'!$A$4:$A$4,'[1]DATOS PBI Artículos'!$Z$4:$Z$4))/_xlfn.XLOOKUP(_xlfn.XLOOKUP($A623,'[1]DATOS PBI Artículos'!$A$4:$A$4,'[1]DATOS PBI Artículos'!$Y$4:$Y$4),[1]CRITERIOS!$P$79:$P$123,[1]CRITERIOS!$S$79:$S$123,),0)</f>
        <v>#N/A</v>
      </c>
      <c r="AB623" s="33" t="e">
        <f t="array" ref="AB623">IF((E623+V623-_xlfn.XLOOKUP(A623,'[1]DATOS PBI Artículos'!$A$4:$A$4,'[1]DATOS PBI Artículos'!$W$4:$W$4))/N623&gt;ROUNDUP([1]CRITERIOS!$M$16/(IF(COUNTIF([1]CRITERIOS!$BG$11:$BG$201,L623)&gt;=1,_xlfn.XLOOKUP(ARTÍCULOS!L623,[1]CRITERIOS!$BG$11:$BG$201,[1]CRITERIOS!$BJ$11:$BJ$201),_xlfn.XLOOKUP(ARTÍCULOS!C623,[1]CRITERIOS!$K$25:$K$42,[1]CRITERIOS!$M$25:$M$42))),0),ROUNDUP([1]CRITERIOS!$M$16/(IF(COUNTIF([1]CRITERIOS!$BG$11:$BG$201,L623)&gt;=1,_xlfn.XLOOKUP(ARTÍCULOS!L623,[1]CRITERIOS!$BG$11:$BG$201:#REF!,[1]CRITERIOS!$BJ$11:$BJ$201),_xlfn.XLOOKUP(ARTÍCULOS!C623,[1]CRITERIOS!$K$25:$K$42,[1]CRITERIOS!$M$25:$M$42))),0),(E623+V623-_xlfn.XLOOKUP(A623,'[1]DATOS PBI Artículos'!$A$4:$A$4,'[1]DATOS PBI Artículos'!$W$4:$W$4))/N623)</f>
        <v>#N/A</v>
      </c>
      <c r="AC623" s="33" t="e">
        <f>IF(N623=0,"",(ROUNDUP((N623/2)/(_xlfn.XLOOKUP(A623,'[1]DATOS PBI Artículos'!$A$4:$A$4,'[1]DATOS PBI Artículos'!$Z$4:$Z$4)*_xlfn.XLOOKUP(_xlfn.XLOOKUP(A623,'[1]DATOS PBI Artículos'!$A$4:$A$4,'[1]DATOS PBI Artículos'!$Y$4:$Y$4),[1]CRITERIOS!$P$79:$P$123,[1]CRITERIOS!$S$79:$S$123)),0)*[1]CRITERIOS!$M$80*([1]CRITERIOS!$M$110/[1]CRITERIOS!$M$86)+(_xlfn.XLOOKUP(A623,'[1]DATOS PBI Artículos'!$A$4:$A$4,'[1]DATOS PBI Artículos'!$AA$4:$AA$4)*([1]CRITERIOS!$M$95+[1]CRITERIOS!$M$98)))/N623)</f>
        <v>#N/A</v>
      </c>
      <c r="AD623" s="33" t="e">
        <f>IF(N623=0,"",(ROUNDUP((N623/2)/(_xlfn.XLOOKUP(A623,'[1]DATOS PBI Artículos'!$A$4:$A$4,'[1]DATOS PBI Artículos'!$Z$4:$Z$4)*_xlfn.XLOOKUP(_xlfn.XLOOKUP(A623,'[1]DATOS PBI Artículos'!$A$4:$A$4,'[1]DATOS PBI Artículos'!$Y$4:$Y$4),[1]CRITERIOS!$P$79:$P$123,[1]CRITERIOS!$S$79:$S$123)),0)*[1]CRITERIOS!$M$80*([1]CRITERIOS!$M$89*[1]CRITERIOS!$M$92)+((_xlfn.XLOOKUP(A623,'[1]DATOS PBI Artículos'!$A$4:$A$4,'[1]DATOS PBI Artículos'!$AA$4:$AA$4)/2)*([1]CRITERIOS!$M$95+[1]CRITERIOS!$M$98)))/N623)</f>
        <v>#N/A</v>
      </c>
      <c r="AE623" s="39" t="e">
        <f>IF($R623="MTO","",
IF($H623=0,ROUNDUP(((_xlfn.XLOOKUP($A623,'[1]DATOS PBI Artículos'!$A:$A,'[1]DATOS PBI Artículos'!$AL:$AL))/(_xlfn.XLOOKUP($AF$1,[1]CRITERIOS!$S$16:$S$39,[1]CRITERIOS!$Y$16:$Y$39))*$J623+$Z623)/$G623,0)*$G623,
((_xlfn.XLOOKUP($A623,'[1]DATOS PBI Artículos'!$A:$A,'[1]DATOS PBI Artículos'!$AL:$AL))/(_xlfn.XLOOKUP($AF$1,[1]CRITERIOS!$S$16:$S$39,[1]CRITERIOS!$Y$16:$Y$39))*$J623+$Z623)))</f>
        <v>#N/A</v>
      </c>
      <c r="AG623" s="39" t="e">
        <f>IF($R623="MTO","",
IF($H623=0,ROUNDUP(((_xlfn.XLOOKUP($A623,'[1]DATOS PBI Artículos'!$A:$A,'[1]DATOS PBI Artículos'!$AM:$AM))/(_xlfn.XLOOKUP($AH$1,[1]CRITERIOS!$S$16:$S$39,[1]CRITERIOS!$Y$16:$Y$39))*$J623+$Z623)/$G623,0)*$G623,
((_xlfn.XLOOKUP($A623,'[1]DATOS PBI Artículos'!$A:$A,'[1]DATOS PBI Artículos'!$AM:$AM))/(_xlfn.XLOOKUP($AH$1,[1]CRITERIOS!$S$16:$S$39,[1]CRITERIOS!$Y$16:$Y$39))*$J623+$Z623)))</f>
        <v>#N/A</v>
      </c>
      <c r="AI623" s="39" t="e">
        <f>IF($R623="MTO","",
IF($H623=0,ROUNDUP(((_xlfn.XLOOKUP($A623,'[1]DATOS PBI Artículos'!$A:$A,'[1]DATOS PBI Artículos'!$AN:$AN))/(_xlfn.XLOOKUP($AJ$1,[1]CRITERIOS!$S$16:$S$39,[1]CRITERIOS!$Y$16:$Y$39))*$J623+$Z623)/$G623,0)*$G623,
((_xlfn.XLOOKUP($A623,'[1]DATOS PBI Artículos'!$A:$A,'[1]DATOS PBI Artículos'!$AN:$AN))/(_xlfn.XLOOKUP($AJ$1,[1]CRITERIOS!$S$16:$S$39,[1]CRITERIOS!$Y$16:$Y$39))*$J623+$Z623)))</f>
        <v>#N/A</v>
      </c>
      <c r="AK623" s="39" t="e">
        <f>IF($R623="MTO","",
IF($H623=0,ROUNDUP(((_xlfn.XLOOKUP($A623,'[1]DATOS PBI Artículos'!$A:$A,'[1]DATOS PBI Artículos'!$AO:$AO))/(_xlfn.XLOOKUP($AL$1,[1]CRITERIOS!$S$16:$S$39,[1]CRITERIOS!$Y$16:$Y$39))*$J623+$Z623)/$G623,0)*$G623,
((_xlfn.XLOOKUP($A623,'[1]DATOS PBI Artículos'!$A:$A,'[1]DATOS PBI Artículos'!$AO:$AO))/(_xlfn.XLOOKUP($AL$1,[1]CRITERIOS!$S$16:$S$39,[1]CRITERIOS!$Y$16:$Y$39))*$J623+$Z623)))</f>
        <v>#N/A</v>
      </c>
    </row>
    <row r="624" spans="1:37" ht="25.8" hidden="1" x14ac:dyDescent="0.4">
      <c r="A624" s="41"/>
      <c r="B624" s="33">
        <f>_xlfn.XLOOKUP($A624,'[1]DATOS PBI Artículos'!A:A,'[1]DATOS PBI Artículos'!B:B)</f>
        <v>0</v>
      </c>
      <c r="C624" s="33">
        <f>_xlfn.XLOOKUP($A624,'[1]DATOS PBI Artículos'!A:A,'[1]DATOS PBI Artículos'!C:C)</f>
        <v>0</v>
      </c>
      <c r="D624" s="33">
        <f>_xlfn.XLOOKUP(A624,'[1]DATOS PBI Artículos'!A:A,'[1]DATOS PBI Artículos'!T:T)</f>
        <v>0</v>
      </c>
      <c r="E624" s="34">
        <f>IF(_xlfn.XLOOKUP($A624,'[1]DATOS PBI Artículos'!A:A,'[1]DATOS PBI Artículos'!AK:AK)="",_xlfn.XLOOKUP($A624,'[1]DATOS PBI Artículos'!A:A,'[1]DATOS PBI Artículos'!AJ:AJ),_xlfn.XLOOKUP($A624,'[1]DATOS PBI Artículos'!A:A,'[1]DATOS PBI Artículos'!AK:AK))</f>
        <v>0</v>
      </c>
      <c r="F624" s="35">
        <f>_xlfn.XLOOKUP($A624,'[1]DATOS PBI Artículos'!A:A,'[1]DATOS PBI Artículos'!AP:AP)</f>
        <v>0</v>
      </c>
      <c r="G624" s="34">
        <f>_xlfn.XLOOKUP($A624,'[1]DATOS PBI Artículos'!A:A,'[1]DATOS PBI Artículos'!AR:AR)</f>
        <v>0</v>
      </c>
      <c r="H624" s="34">
        <f>_xlfn.XLOOKUP($A624,'[1]DATOS PBI Artículos'!A:A,'[1]DATOS PBI Artículos'!AT:AT)</f>
        <v>0</v>
      </c>
      <c r="I624" s="34">
        <f>_xlfn.XLOOKUP($A624,'[1]DATOS PBI Artículos'!A:A,'[1]DATOS PBI Artículos'!AS:AS)</f>
        <v>0</v>
      </c>
      <c r="J624" s="35">
        <f>IF(COUNTIF([1]CRITERIOS!$F$179:$F$199,$A624)&gt;=1,
 IF(O624&lt;&gt;"",
    (O624/_xlfn.XLOOKUP(CONCATENATE(A624,L624),[1]MÁQUINAS!A:A,[1]MÁQUINAS!D:D))/24,
    (N624/_xlfn.XLOOKUP(CONCATENATE(A624,L624),[1]MÁQUINAS!A:A,[1]MÁQUINAS!D:D))/24),
  _xlfn.XLOOKUP($A624,'[1]DATOS PBI Artículos'!A:A,'[1]DATOS PBI Artículos'!AU:AU))</f>
        <v>0</v>
      </c>
      <c r="K624" s="36">
        <f>_xlfn.XLOOKUP($A624,'[1]DATOS PBI Artículos'!A:A,'[1]DATOS PBI Artículos'!AV:AV)</f>
        <v>0</v>
      </c>
      <c r="L624" s="33">
        <f>_xlfn.XLOOKUP(A624,[1]MÁQUINAS!B:B,[1]MÁQUINAS!C:C)</f>
        <v>0</v>
      </c>
      <c r="M624" s="34">
        <f t="array" ref="M624">_xlfn.XLOOKUP(A624,'[1]DATOS PBI Artículos'!A:A,'[1]DATOS PBI Artículos'!AX:$AX)</f>
        <v>0</v>
      </c>
      <c r="N624" s="37" t="e">
        <f>IF(I624="DV",
E624,
IF(COUNTIF([1]CRITERIOS!$I$179:$I$199,$A624)&gt;=1,
_xlfn.XLOOKUP($A624,[1]CRITERIOS!$I$179:$I$199,[1]CRITERIOS!$J$179:$J$199),
IF(COUNTIF([1]CRITERIOS!$L$179:$L$199,$A624)&gt;=1,
_xlfn.CEILING.MATH(IF($M624&gt;$E624,
$E624,
IF($M624&lt;$E624/ROUNDDOWN([1]CRITERIOS!$M$16/_xlfn.XLOOKUP($C624,[1]CRITERIOS!$K$25:$K$42,[1]CRITERIOS!$M$25:$M$42),
1),
E624/ROUNDDOWN([1]CRITERIOS!$M$16/_xlfn.XLOOKUP($C624,[1]CRITERIOS!$K$25:$K$42,[1]CRITERIOS!$M$25:$M$42),
1),
$M624)),
_xlfn.XLOOKUP($A624,[1]CRITERIOS!$L$179:$L$200,[1]CRITERIOS!$M$179:$M$200)),
_xlfn.CEILING.MATH(IF($M624&gt;$E624,
$E624,
IF($M624&lt;$E624/ROUNDDOWN([1]CRITERIOS!$M$16/_xlfn.XLOOKUP($C624,[1]CRITERIOS!$K$25:$K$42,[1]CRITERIOS!$M$25:$M$42),
1),
E624/ROUNDDOWN([1]CRITERIOS!$M$16/_xlfn.XLOOKUP($C624,[1]CRITERIOS!$K$25:$K$42,[1]CRITERIOS!$M$25:$M$42),
1),
$M624)),_xlfn.XLOOKUP(A624,'[1]DATOS PBI Artículos'!A:A,'[1]DATOS PBI Artículos'!Z:Z
)))))</f>
        <v>#N/A</v>
      </c>
      <c r="Q624" s="38" t="e">
        <f>IF(AND(O624="",N624=0),
0,
   IF(COUNTIF([1]CRITERIOS!$F$179:$F$199,$A624)&gt;=1,
   1,
   IF(R624="MTO",
      $D624,
      ROUNDUP(
                    IF(($E624-SUMIF('[1]DATOS PBI Artículos'!A:A,A624,'[1]DATOS PBI Artículos'!X:X)+($V624-_xlfn.XLOOKUP(A624,'[1]DATOS PBI Artículos'!A:A,'[1]DATOS PBI Artículos'!W:W)))&lt;0,
                    0,
                    IF(($E624-SUMIF('[1]DATOS PBI Artículos'!A:A,A624,'[1]DATOS PBI Artículos'!X:X)+$V624-_xlfn.XLOOKUP($A624,'[1]DATOS PBI Artículos'!A:A,'[1]DATOS PBI Artículos'!W:W))/IF($O624="",$N624,$O624)&gt;ROUNDUP([1]CRITERIOS!$M$16/(IF(COUNTIF([1]CRITERIOS!$BG$11:$BG$201,L624)&gt;=1,_xlfn.XLOOKUP($C624,[1]CRITERIOS!$K$25:$K$42,[1]CRITERIOS!$M$25:$M$42),_xlfn.XLOOKUP($C624,[1]CRITERIOS!$K$25:$K$42,[1]CRITERIOS!$M$25:$M$42))),0),
                    ROUNDUP([1]CRITERIOS!$M$16/(IF(COUNTIF([1]CRITERIOS!$BG$11:$BG$201,$L624)&gt;=1,_xlfn.XLOOKUP($C624,[1]CRITERIOS!$K$25:$K$42,[1]CRITERIOS!$M$25:$M$42),_xlfn.XLOOKUP($C624,[1]CRITERIOS!$K$25:$K$42,[1]CRITERIOS!$M$25:$M$42))),0),
                    (E624+V624-SUMIF('[1]DATOS PBI Artículos'!A:A,A624,'[1]DATOS PBI Artículos'!X:X)-_xlfn.XLOOKUP(A624,'[1]DATOS PBI Artículos'!A:A,'[1]DATOS PBI Artículos'!W:W))/IF($O624="",$N624,$O624))),0))))</f>
        <v>#N/A</v>
      </c>
      <c r="R624" s="33" t="e">
        <f>IF(U624&lt;&gt;"",U624,IF(F624="DV","MTO",IF(N624=0,"MTO",_xlfn.XLOOKUP(CONCATENATE(S624,T624),[1]CRITERIOS!$K$160:$K$168,[1]CRITERIOS!$N$160:$N$168))))</f>
        <v>#N/A</v>
      </c>
      <c r="S624" s="33" t="e">
        <f>IF(G624="DV","MTO",IF(N624=0,"MTO",IF(OR(AND(N624=0,O624=""),IF(O624="",G624/N624,G624/O624)&gt;[1]CRITERIOS!$G$163),"MTO",IF(IF(O624="",G624/N624,G624/O624)&lt;[1]CRITERIOS!$H$161,"MTS","MTOS"))))</f>
        <v>#N/A</v>
      </c>
      <c r="T624" s="33" t="e">
        <f>IF(F624="DV","MTO",IF(OR(AND($N624=0,O624=""),$F624/$J624&gt;[1]CRITERIOS!$G$170,$F624="DV"),"MTO",IF($F624/$J624&lt;[1]CRITERIOS!$H$168,"MTS","MTOS")))</f>
        <v>#N/A</v>
      </c>
      <c r="V624" s="34" t="e">
        <f t="shared" si="31"/>
        <v>#N/A</v>
      </c>
      <c r="X624" s="34" t="e">
        <f t="shared" si="29"/>
        <v>#N/A</v>
      </c>
      <c r="Y624" s="34" t="e">
        <f t="shared" si="30"/>
        <v>#N/A</v>
      </c>
      <c r="Z624" s="34" t="e">
        <f>IF($R624="MTO",
0,
($H624+$K624*($E624/[1]CRITERIOS!$M$16))/[1]CRITERIOS!$X$48)</f>
        <v>#N/A</v>
      </c>
      <c r="AA624" s="34" t="e">
        <f>ROUNDUP(($Y624/_xlfn.XLOOKUP($A624,'[1]DATOS PBI Artículos'!$A$4:$A$4,'[1]DATOS PBI Artículos'!$Z$4:$Z$4))/_xlfn.XLOOKUP(_xlfn.XLOOKUP($A624,'[1]DATOS PBI Artículos'!$A$4:$A$4,'[1]DATOS PBI Artículos'!$Y$4:$Y$4),[1]CRITERIOS!$P$79:$P$123,[1]CRITERIOS!$S$79:$S$123,),0)</f>
        <v>#N/A</v>
      </c>
      <c r="AB624" s="33" t="e">
        <f t="array" ref="AB624">IF((E624+V624-_xlfn.XLOOKUP(A624,'[1]DATOS PBI Artículos'!$A$4:$A$4,'[1]DATOS PBI Artículos'!$W$4:$W$4))/N624&gt;ROUNDUP([1]CRITERIOS!$M$16/(IF(COUNTIF([1]CRITERIOS!$BG$11:$BG$201,L624)&gt;=1,_xlfn.XLOOKUP(ARTÍCULOS!L624,[1]CRITERIOS!$BG$11:$BG$201,[1]CRITERIOS!$BJ$11:$BJ$201),_xlfn.XLOOKUP(ARTÍCULOS!C624,[1]CRITERIOS!$K$25:$K$42,[1]CRITERIOS!$M$25:$M$42))),0),ROUNDUP([1]CRITERIOS!$M$16/(IF(COUNTIF([1]CRITERIOS!$BG$11:$BG$201,L624)&gt;=1,_xlfn.XLOOKUP(ARTÍCULOS!L624,[1]CRITERIOS!$BG$11:$BG$201:#REF!,[1]CRITERIOS!$BJ$11:$BJ$201),_xlfn.XLOOKUP(ARTÍCULOS!C624,[1]CRITERIOS!$K$25:$K$42,[1]CRITERIOS!$M$25:$M$42))),0),(E624+V624-_xlfn.XLOOKUP(A624,'[1]DATOS PBI Artículos'!$A$4:$A$4,'[1]DATOS PBI Artículos'!$W$4:$W$4))/N624)</f>
        <v>#N/A</v>
      </c>
      <c r="AC624" s="33" t="e">
        <f>IF(N624=0,"",(ROUNDUP((N624/2)/(_xlfn.XLOOKUP(A624,'[1]DATOS PBI Artículos'!$A$4:$A$4,'[1]DATOS PBI Artículos'!$Z$4:$Z$4)*_xlfn.XLOOKUP(_xlfn.XLOOKUP(A624,'[1]DATOS PBI Artículos'!$A$4:$A$4,'[1]DATOS PBI Artículos'!$Y$4:$Y$4),[1]CRITERIOS!$P$79:$P$123,[1]CRITERIOS!$S$79:$S$123)),0)*[1]CRITERIOS!$M$80*([1]CRITERIOS!$M$110/[1]CRITERIOS!$M$86)+(_xlfn.XLOOKUP(A624,'[1]DATOS PBI Artículos'!$A$4:$A$4,'[1]DATOS PBI Artículos'!$AA$4:$AA$4)*([1]CRITERIOS!$M$95+[1]CRITERIOS!$M$98)))/N624)</f>
        <v>#N/A</v>
      </c>
      <c r="AD624" s="33" t="e">
        <f>IF(N624=0,"",(ROUNDUP((N624/2)/(_xlfn.XLOOKUP(A624,'[1]DATOS PBI Artículos'!$A$4:$A$4,'[1]DATOS PBI Artículos'!$Z$4:$Z$4)*_xlfn.XLOOKUP(_xlfn.XLOOKUP(A624,'[1]DATOS PBI Artículos'!$A$4:$A$4,'[1]DATOS PBI Artículos'!$Y$4:$Y$4),[1]CRITERIOS!$P$79:$P$123,[1]CRITERIOS!$S$79:$S$123)),0)*[1]CRITERIOS!$M$80*([1]CRITERIOS!$M$89*[1]CRITERIOS!$M$92)+((_xlfn.XLOOKUP(A624,'[1]DATOS PBI Artículos'!$A$4:$A$4,'[1]DATOS PBI Artículos'!$AA$4:$AA$4)/2)*([1]CRITERIOS!$M$95+[1]CRITERIOS!$M$98)))/N624)</f>
        <v>#N/A</v>
      </c>
      <c r="AE624" s="39" t="e">
        <f>IF($R624="MTO","",
IF($H624=0,ROUNDUP(((_xlfn.XLOOKUP($A624,'[1]DATOS PBI Artículos'!$A:$A,'[1]DATOS PBI Artículos'!$AL:$AL))/(_xlfn.XLOOKUP($AF$1,[1]CRITERIOS!$S$16:$S$39,[1]CRITERIOS!$Y$16:$Y$39))*$J624+$Z624)/$G624,0)*$G624,
((_xlfn.XLOOKUP($A624,'[1]DATOS PBI Artículos'!$A:$A,'[1]DATOS PBI Artículos'!$AL:$AL))/(_xlfn.XLOOKUP($AF$1,[1]CRITERIOS!$S$16:$S$39,[1]CRITERIOS!$Y$16:$Y$39))*$J624+$Z624)))</f>
        <v>#N/A</v>
      </c>
      <c r="AG624" s="39" t="e">
        <f>IF($R624="MTO","",
IF($H624=0,ROUNDUP(((_xlfn.XLOOKUP($A624,'[1]DATOS PBI Artículos'!$A:$A,'[1]DATOS PBI Artículos'!$AM:$AM))/(_xlfn.XLOOKUP($AH$1,[1]CRITERIOS!$S$16:$S$39,[1]CRITERIOS!$Y$16:$Y$39))*$J624+$Z624)/$G624,0)*$G624,
((_xlfn.XLOOKUP($A624,'[1]DATOS PBI Artículos'!$A:$A,'[1]DATOS PBI Artículos'!$AM:$AM))/(_xlfn.XLOOKUP($AH$1,[1]CRITERIOS!$S$16:$S$39,[1]CRITERIOS!$Y$16:$Y$39))*$J624+$Z624)))</f>
        <v>#N/A</v>
      </c>
      <c r="AI624" s="39" t="e">
        <f>IF($R624="MTO","",
IF($H624=0,ROUNDUP(((_xlfn.XLOOKUP($A624,'[1]DATOS PBI Artículos'!$A:$A,'[1]DATOS PBI Artículos'!$AN:$AN))/(_xlfn.XLOOKUP($AJ$1,[1]CRITERIOS!$S$16:$S$39,[1]CRITERIOS!$Y$16:$Y$39))*$J624+$Z624)/$G624,0)*$G624,
((_xlfn.XLOOKUP($A624,'[1]DATOS PBI Artículos'!$A:$A,'[1]DATOS PBI Artículos'!$AN:$AN))/(_xlfn.XLOOKUP($AJ$1,[1]CRITERIOS!$S$16:$S$39,[1]CRITERIOS!$Y$16:$Y$39))*$J624+$Z624)))</f>
        <v>#N/A</v>
      </c>
      <c r="AK624" s="39" t="e">
        <f>IF($R624="MTO","",
IF($H624=0,ROUNDUP(((_xlfn.XLOOKUP($A624,'[1]DATOS PBI Artículos'!$A:$A,'[1]DATOS PBI Artículos'!$AO:$AO))/(_xlfn.XLOOKUP($AL$1,[1]CRITERIOS!$S$16:$S$39,[1]CRITERIOS!$Y$16:$Y$39))*$J624+$Z624)/$G624,0)*$G624,
((_xlfn.XLOOKUP($A624,'[1]DATOS PBI Artículos'!$A:$A,'[1]DATOS PBI Artículos'!$AO:$AO))/(_xlfn.XLOOKUP($AL$1,[1]CRITERIOS!$S$16:$S$39,[1]CRITERIOS!$Y$16:$Y$39))*$J624+$Z624)))</f>
        <v>#N/A</v>
      </c>
    </row>
    <row r="625" spans="1:37" ht="25.8" hidden="1" x14ac:dyDescent="0.4">
      <c r="A625" s="41"/>
      <c r="B625" s="33">
        <f>_xlfn.XLOOKUP($A625,'[1]DATOS PBI Artículos'!A:A,'[1]DATOS PBI Artículos'!B:B)</f>
        <v>0</v>
      </c>
      <c r="C625" s="33">
        <f>_xlfn.XLOOKUP($A625,'[1]DATOS PBI Artículos'!A:A,'[1]DATOS PBI Artículos'!C:C)</f>
        <v>0</v>
      </c>
      <c r="D625" s="33">
        <f>_xlfn.XLOOKUP(A625,'[1]DATOS PBI Artículos'!A:A,'[1]DATOS PBI Artículos'!T:T)</f>
        <v>0</v>
      </c>
      <c r="E625" s="34">
        <f>IF(_xlfn.XLOOKUP($A625,'[1]DATOS PBI Artículos'!A:A,'[1]DATOS PBI Artículos'!AK:AK)="",_xlfn.XLOOKUP($A625,'[1]DATOS PBI Artículos'!A:A,'[1]DATOS PBI Artículos'!AJ:AJ),_xlfn.XLOOKUP($A625,'[1]DATOS PBI Artículos'!A:A,'[1]DATOS PBI Artículos'!AK:AK))</f>
        <v>0</v>
      </c>
      <c r="F625" s="35">
        <f>_xlfn.XLOOKUP($A625,'[1]DATOS PBI Artículos'!A:A,'[1]DATOS PBI Artículos'!AP:AP)</f>
        <v>0</v>
      </c>
      <c r="G625" s="34">
        <f>_xlfn.XLOOKUP($A625,'[1]DATOS PBI Artículos'!A:A,'[1]DATOS PBI Artículos'!AR:AR)</f>
        <v>0</v>
      </c>
      <c r="H625" s="34">
        <f>_xlfn.XLOOKUP($A625,'[1]DATOS PBI Artículos'!A:A,'[1]DATOS PBI Artículos'!AT:AT)</f>
        <v>0</v>
      </c>
      <c r="I625" s="34">
        <f>_xlfn.XLOOKUP($A625,'[1]DATOS PBI Artículos'!A:A,'[1]DATOS PBI Artículos'!AS:AS)</f>
        <v>0</v>
      </c>
      <c r="J625" s="35">
        <f>IF(COUNTIF([1]CRITERIOS!$F$179:$F$199,$A625)&gt;=1,
 IF(O625&lt;&gt;"",
    (O625/_xlfn.XLOOKUP(CONCATENATE(A625,L625),[1]MÁQUINAS!A:A,[1]MÁQUINAS!D:D))/24,
    (N625/_xlfn.XLOOKUP(CONCATENATE(A625,L625),[1]MÁQUINAS!A:A,[1]MÁQUINAS!D:D))/24),
  _xlfn.XLOOKUP($A625,'[1]DATOS PBI Artículos'!A:A,'[1]DATOS PBI Artículos'!AU:AU))</f>
        <v>0</v>
      </c>
      <c r="K625" s="36">
        <f>_xlfn.XLOOKUP($A625,'[1]DATOS PBI Artículos'!A:A,'[1]DATOS PBI Artículos'!AV:AV)</f>
        <v>0</v>
      </c>
      <c r="L625" s="33">
        <f>_xlfn.XLOOKUP(A625,[1]MÁQUINAS!B:B,[1]MÁQUINAS!C:C)</f>
        <v>0</v>
      </c>
      <c r="M625" s="34">
        <f t="array" ref="M625">_xlfn.XLOOKUP(A625,'[1]DATOS PBI Artículos'!A:A,'[1]DATOS PBI Artículos'!AX:$AX)</f>
        <v>0</v>
      </c>
      <c r="N625" s="37" t="e">
        <f>IF(I625="DV",
E625,
IF(COUNTIF([1]CRITERIOS!$I$179:$I$199,$A625)&gt;=1,
_xlfn.XLOOKUP($A625,[1]CRITERIOS!$I$179:$I$199,[1]CRITERIOS!$J$179:$J$199),
IF(COUNTIF([1]CRITERIOS!$L$179:$L$199,$A625)&gt;=1,
_xlfn.CEILING.MATH(IF($M625&gt;$E625,
$E625,
IF($M625&lt;$E625/ROUNDDOWN([1]CRITERIOS!$M$16/_xlfn.XLOOKUP($C625,[1]CRITERIOS!$K$25:$K$42,[1]CRITERIOS!$M$25:$M$42),
1),
E625/ROUNDDOWN([1]CRITERIOS!$M$16/_xlfn.XLOOKUP($C625,[1]CRITERIOS!$K$25:$K$42,[1]CRITERIOS!$M$25:$M$42),
1),
$M625)),
_xlfn.XLOOKUP($A625,[1]CRITERIOS!$L$179:$L$200,[1]CRITERIOS!$M$179:$M$200)),
_xlfn.CEILING.MATH(IF($M625&gt;$E625,
$E625,
IF($M625&lt;$E625/ROUNDDOWN([1]CRITERIOS!$M$16/_xlfn.XLOOKUP($C625,[1]CRITERIOS!$K$25:$K$42,[1]CRITERIOS!$M$25:$M$42),
1),
E625/ROUNDDOWN([1]CRITERIOS!$M$16/_xlfn.XLOOKUP($C625,[1]CRITERIOS!$K$25:$K$42,[1]CRITERIOS!$M$25:$M$42),
1),
$M625)),_xlfn.XLOOKUP(A625,'[1]DATOS PBI Artículos'!A:A,'[1]DATOS PBI Artículos'!Z:Z
)))))</f>
        <v>#N/A</v>
      </c>
      <c r="Q625" s="38" t="e">
        <f>IF(AND(O625="",N625=0),
0,
   IF(COUNTIF([1]CRITERIOS!$F$179:$F$199,$A625)&gt;=1,
   1,
   IF(R625="MTO",
      $D625,
      ROUNDUP(
                    IF(($E625-SUMIF('[1]DATOS PBI Artículos'!A:A,A625,'[1]DATOS PBI Artículos'!X:X)+($V625-_xlfn.XLOOKUP(A625,'[1]DATOS PBI Artículos'!A:A,'[1]DATOS PBI Artículos'!W:W)))&lt;0,
                    0,
                    IF(($E625-SUMIF('[1]DATOS PBI Artículos'!A:A,A625,'[1]DATOS PBI Artículos'!X:X)+$V625-_xlfn.XLOOKUP($A625,'[1]DATOS PBI Artículos'!A:A,'[1]DATOS PBI Artículos'!W:W))/IF($O625="",$N625,$O625)&gt;ROUNDUP([1]CRITERIOS!$M$16/(IF(COUNTIF([1]CRITERIOS!$BG$11:$BG$201,L625)&gt;=1,_xlfn.XLOOKUP($C625,[1]CRITERIOS!$K$25:$K$42,[1]CRITERIOS!$M$25:$M$42),_xlfn.XLOOKUP($C625,[1]CRITERIOS!$K$25:$K$42,[1]CRITERIOS!$M$25:$M$42))),0),
                    ROUNDUP([1]CRITERIOS!$M$16/(IF(COUNTIF([1]CRITERIOS!$BG$11:$BG$201,$L625)&gt;=1,_xlfn.XLOOKUP($C625,[1]CRITERIOS!$K$25:$K$42,[1]CRITERIOS!$M$25:$M$42),_xlfn.XLOOKUP($C625,[1]CRITERIOS!$K$25:$K$42,[1]CRITERIOS!$M$25:$M$42))),0),
                    (E625+V625-SUMIF('[1]DATOS PBI Artículos'!A:A,A625,'[1]DATOS PBI Artículos'!X:X)-_xlfn.XLOOKUP(A625,'[1]DATOS PBI Artículos'!A:A,'[1]DATOS PBI Artículos'!W:W))/IF($O625="",$N625,$O625))),0))))</f>
        <v>#N/A</v>
      </c>
      <c r="R625" s="33" t="e">
        <f>IF(U625&lt;&gt;"",U625,IF(F625="DV","MTO",IF(N625=0,"MTO",_xlfn.XLOOKUP(CONCATENATE(S625,T625),[1]CRITERIOS!$K$160:$K$168,[1]CRITERIOS!$N$160:$N$168))))</f>
        <v>#N/A</v>
      </c>
      <c r="S625" s="33" t="e">
        <f>IF(G625="DV","MTO",IF(N625=0,"MTO",IF(OR(AND(N625=0,O625=""),IF(O625="",G625/N625,G625/O625)&gt;[1]CRITERIOS!$G$163),"MTO",IF(IF(O625="",G625/N625,G625/O625)&lt;[1]CRITERIOS!$H$161,"MTS","MTOS"))))</f>
        <v>#N/A</v>
      </c>
      <c r="T625" s="33" t="e">
        <f>IF(F625="DV","MTO",IF(OR(AND($N625=0,O625=""),$F625/$J625&gt;[1]CRITERIOS!$G$170,$F625="DV"),"MTO",IF($F625/$J625&lt;[1]CRITERIOS!$H$168,"MTS","MTOS")))</f>
        <v>#N/A</v>
      </c>
      <c r="V625" s="34" t="e">
        <f t="shared" si="31"/>
        <v>#N/A</v>
      </c>
      <c r="X625" s="34" t="e">
        <f t="shared" si="29"/>
        <v>#N/A</v>
      </c>
      <c r="Y625" s="34" t="e">
        <f t="shared" si="30"/>
        <v>#N/A</v>
      </c>
      <c r="Z625" s="34" t="e">
        <f>IF($R625="MTO",
0,
($H625+$K625*($E625/[1]CRITERIOS!$M$16))/[1]CRITERIOS!$X$48)</f>
        <v>#N/A</v>
      </c>
      <c r="AA625" s="34" t="e">
        <f>ROUNDUP(($Y625/_xlfn.XLOOKUP($A625,'[1]DATOS PBI Artículos'!$A$4:$A$4,'[1]DATOS PBI Artículos'!$Z$4:$Z$4))/_xlfn.XLOOKUP(_xlfn.XLOOKUP($A625,'[1]DATOS PBI Artículos'!$A$4:$A$4,'[1]DATOS PBI Artículos'!$Y$4:$Y$4),[1]CRITERIOS!$P$79:$P$123,[1]CRITERIOS!$S$79:$S$123,),0)</f>
        <v>#N/A</v>
      </c>
      <c r="AB625" s="33" t="e">
        <f t="array" ref="AB625">IF((E625+V625-_xlfn.XLOOKUP(A625,'[1]DATOS PBI Artículos'!$A$4:$A$4,'[1]DATOS PBI Artículos'!$W$4:$W$4))/N625&gt;ROUNDUP([1]CRITERIOS!$M$16/(IF(COUNTIF([1]CRITERIOS!$BG$11:$BG$201,L625)&gt;=1,_xlfn.XLOOKUP(ARTÍCULOS!L625,[1]CRITERIOS!$BG$11:$BG$201,[1]CRITERIOS!$BJ$11:$BJ$201),_xlfn.XLOOKUP(ARTÍCULOS!C625,[1]CRITERIOS!$K$25:$K$42,[1]CRITERIOS!$M$25:$M$42))),0),ROUNDUP([1]CRITERIOS!$M$16/(IF(COUNTIF([1]CRITERIOS!$BG$11:$BG$201,L625)&gt;=1,_xlfn.XLOOKUP(ARTÍCULOS!L625,[1]CRITERIOS!$BG$11:$BG$201:#REF!,[1]CRITERIOS!$BJ$11:$BJ$201),_xlfn.XLOOKUP(ARTÍCULOS!C625,[1]CRITERIOS!$K$25:$K$42,[1]CRITERIOS!$M$25:$M$42))),0),(E625+V625-_xlfn.XLOOKUP(A625,'[1]DATOS PBI Artículos'!$A$4:$A$4,'[1]DATOS PBI Artículos'!$W$4:$W$4))/N625)</f>
        <v>#N/A</v>
      </c>
      <c r="AC625" s="33" t="e">
        <f>IF(N625=0,"",(ROUNDUP((N625/2)/(_xlfn.XLOOKUP(A625,'[1]DATOS PBI Artículos'!$A$4:$A$4,'[1]DATOS PBI Artículos'!$Z$4:$Z$4)*_xlfn.XLOOKUP(_xlfn.XLOOKUP(A625,'[1]DATOS PBI Artículos'!$A$4:$A$4,'[1]DATOS PBI Artículos'!$Y$4:$Y$4),[1]CRITERIOS!$P$79:$P$123,[1]CRITERIOS!$S$79:$S$123)),0)*[1]CRITERIOS!$M$80*([1]CRITERIOS!$M$110/[1]CRITERIOS!$M$86)+(_xlfn.XLOOKUP(A625,'[1]DATOS PBI Artículos'!$A$4:$A$4,'[1]DATOS PBI Artículos'!$AA$4:$AA$4)*([1]CRITERIOS!$M$95+[1]CRITERIOS!$M$98)))/N625)</f>
        <v>#N/A</v>
      </c>
      <c r="AD625" s="33" t="e">
        <f>IF(N625=0,"",(ROUNDUP((N625/2)/(_xlfn.XLOOKUP(A625,'[1]DATOS PBI Artículos'!$A$4:$A$4,'[1]DATOS PBI Artículos'!$Z$4:$Z$4)*_xlfn.XLOOKUP(_xlfn.XLOOKUP(A625,'[1]DATOS PBI Artículos'!$A$4:$A$4,'[1]DATOS PBI Artículos'!$Y$4:$Y$4),[1]CRITERIOS!$P$79:$P$123,[1]CRITERIOS!$S$79:$S$123)),0)*[1]CRITERIOS!$M$80*([1]CRITERIOS!$M$89*[1]CRITERIOS!$M$92)+((_xlfn.XLOOKUP(A625,'[1]DATOS PBI Artículos'!$A$4:$A$4,'[1]DATOS PBI Artículos'!$AA$4:$AA$4)/2)*([1]CRITERIOS!$M$95+[1]CRITERIOS!$M$98)))/N625)</f>
        <v>#N/A</v>
      </c>
      <c r="AE625" s="39" t="e">
        <f>IF($R625="MTO","",
IF($H625=0,ROUNDUP(((_xlfn.XLOOKUP($A625,'[1]DATOS PBI Artículos'!$A:$A,'[1]DATOS PBI Artículos'!$AL:$AL))/(_xlfn.XLOOKUP($AF$1,[1]CRITERIOS!$S$16:$S$39,[1]CRITERIOS!$Y$16:$Y$39))*$J625+$Z625)/$G625,0)*$G625,
((_xlfn.XLOOKUP($A625,'[1]DATOS PBI Artículos'!$A:$A,'[1]DATOS PBI Artículos'!$AL:$AL))/(_xlfn.XLOOKUP($AF$1,[1]CRITERIOS!$S$16:$S$39,[1]CRITERIOS!$Y$16:$Y$39))*$J625+$Z625)))</f>
        <v>#N/A</v>
      </c>
      <c r="AG625" s="39" t="e">
        <f>IF($R625="MTO","",
IF($H625=0,ROUNDUP(((_xlfn.XLOOKUP($A625,'[1]DATOS PBI Artículos'!$A:$A,'[1]DATOS PBI Artículos'!$AM:$AM))/(_xlfn.XLOOKUP($AH$1,[1]CRITERIOS!$S$16:$S$39,[1]CRITERIOS!$Y$16:$Y$39))*$J625+$Z625)/$G625,0)*$G625,
((_xlfn.XLOOKUP($A625,'[1]DATOS PBI Artículos'!$A:$A,'[1]DATOS PBI Artículos'!$AM:$AM))/(_xlfn.XLOOKUP($AH$1,[1]CRITERIOS!$S$16:$S$39,[1]CRITERIOS!$Y$16:$Y$39))*$J625+$Z625)))</f>
        <v>#N/A</v>
      </c>
      <c r="AI625" s="39" t="e">
        <f>IF($R625="MTO","",
IF($H625=0,ROUNDUP(((_xlfn.XLOOKUP($A625,'[1]DATOS PBI Artículos'!$A:$A,'[1]DATOS PBI Artículos'!$AN:$AN))/(_xlfn.XLOOKUP($AJ$1,[1]CRITERIOS!$S$16:$S$39,[1]CRITERIOS!$Y$16:$Y$39))*$J625+$Z625)/$G625,0)*$G625,
((_xlfn.XLOOKUP($A625,'[1]DATOS PBI Artículos'!$A:$A,'[1]DATOS PBI Artículos'!$AN:$AN))/(_xlfn.XLOOKUP($AJ$1,[1]CRITERIOS!$S$16:$S$39,[1]CRITERIOS!$Y$16:$Y$39))*$J625+$Z625)))</f>
        <v>#N/A</v>
      </c>
      <c r="AK625" s="39" t="e">
        <f>IF($R625="MTO","",
IF($H625=0,ROUNDUP(((_xlfn.XLOOKUP($A625,'[1]DATOS PBI Artículos'!$A:$A,'[1]DATOS PBI Artículos'!$AO:$AO))/(_xlfn.XLOOKUP($AL$1,[1]CRITERIOS!$S$16:$S$39,[1]CRITERIOS!$Y$16:$Y$39))*$J625+$Z625)/$G625,0)*$G625,
((_xlfn.XLOOKUP($A625,'[1]DATOS PBI Artículos'!$A:$A,'[1]DATOS PBI Artículos'!$AO:$AO))/(_xlfn.XLOOKUP($AL$1,[1]CRITERIOS!$S$16:$S$39,[1]CRITERIOS!$Y$16:$Y$39))*$J625+$Z625)))</f>
        <v>#N/A</v>
      </c>
    </row>
    <row r="626" spans="1:37" ht="25.8" hidden="1" x14ac:dyDescent="0.4">
      <c r="A626" s="41"/>
      <c r="B626" s="33">
        <f>_xlfn.XLOOKUP($A626,'[1]DATOS PBI Artículos'!A:A,'[1]DATOS PBI Artículos'!B:B)</f>
        <v>0</v>
      </c>
      <c r="C626" s="33">
        <f>_xlfn.XLOOKUP($A626,'[1]DATOS PBI Artículos'!A:A,'[1]DATOS PBI Artículos'!C:C)</f>
        <v>0</v>
      </c>
      <c r="D626" s="33">
        <f>_xlfn.XLOOKUP(A626,'[1]DATOS PBI Artículos'!A:A,'[1]DATOS PBI Artículos'!T:T)</f>
        <v>0</v>
      </c>
      <c r="E626" s="34">
        <f>IF(_xlfn.XLOOKUP($A626,'[1]DATOS PBI Artículos'!A:A,'[1]DATOS PBI Artículos'!AK:AK)="",_xlfn.XLOOKUP($A626,'[1]DATOS PBI Artículos'!A:A,'[1]DATOS PBI Artículos'!AJ:AJ),_xlfn.XLOOKUP($A626,'[1]DATOS PBI Artículos'!A:A,'[1]DATOS PBI Artículos'!AK:AK))</f>
        <v>0</v>
      </c>
      <c r="F626" s="35">
        <f>_xlfn.XLOOKUP($A626,'[1]DATOS PBI Artículos'!A:A,'[1]DATOS PBI Artículos'!AP:AP)</f>
        <v>0</v>
      </c>
      <c r="G626" s="34">
        <f>_xlfn.XLOOKUP($A626,'[1]DATOS PBI Artículos'!A:A,'[1]DATOS PBI Artículos'!AR:AR)</f>
        <v>0</v>
      </c>
      <c r="H626" s="34">
        <f>_xlfn.XLOOKUP($A626,'[1]DATOS PBI Artículos'!A:A,'[1]DATOS PBI Artículos'!AT:AT)</f>
        <v>0</v>
      </c>
      <c r="I626" s="34">
        <f>_xlfn.XLOOKUP($A626,'[1]DATOS PBI Artículos'!A:A,'[1]DATOS PBI Artículos'!AS:AS)</f>
        <v>0</v>
      </c>
      <c r="J626" s="35">
        <f>IF(COUNTIF([1]CRITERIOS!$F$179:$F$199,$A626)&gt;=1,
 IF(O626&lt;&gt;"",
    (O626/_xlfn.XLOOKUP(CONCATENATE(A626,L626),[1]MÁQUINAS!A:A,[1]MÁQUINAS!D:D))/24,
    (N626/_xlfn.XLOOKUP(CONCATENATE(A626,L626),[1]MÁQUINAS!A:A,[1]MÁQUINAS!D:D))/24),
  _xlfn.XLOOKUP($A626,'[1]DATOS PBI Artículos'!A:A,'[1]DATOS PBI Artículos'!AU:AU))</f>
        <v>0</v>
      </c>
      <c r="K626" s="36">
        <f>_xlfn.XLOOKUP($A626,'[1]DATOS PBI Artículos'!A:A,'[1]DATOS PBI Artículos'!AV:AV)</f>
        <v>0</v>
      </c>
      <c r="L626" s="33">
        <f>_xlfn.XLOOKUP(A626,[1]MÁQUINAS!B:B,[1]MÁQUINAS!C:C)</f>
        <v>0</v>
      </c>
      <c r="M626" s="34">
        <f t="array" ref="M626">_xlfn.XLOOKUP(A626,'[1]DATOS PBI Artículos'!A:A,'[1]DATOS PBI Artículos'!AX:$AX)</f>
        <v>0</v>
      </c>
      <c r="N626" s="37" t="e">
        <f>IF(I626="DV",
E626,
IF(COUNTIF([1]CRITERIOS!$I$179:$I$199,$A626)&gt;=1,
_xlfn.XLOOKUP($A626,[1]CRITERIOS!$I$179:$I$199,[1]CRITERIOS!$J$179:$J$199),
IF(COUNTIF([1]CRITERIOS!$L$179:$L$199,$A626)&gt;=1,
_xlfn.CEILING.MATH(IF($M626&gt;$E626,
$E626,
IF($M626&lt;$E626/ROUNDDOWN([1]CRITERIOS!$M$16/_xlfn.XLOOKUP($C626,[1]CRITERIOS!$K$25:$K$42,[1]CRITERIOS!$M$25:$M$42),
1),
E626/ROUNDDOWN([1]CRITERIOS!$M$16/_xlfn.XLOOKUP($C626,[1]CRITERIOS!$K$25:$K$42,[1]CRITERIOS!$M$25:$M$42),
1),
$M626)),
_xlfn.XLOOKUP($A626,[1]CRITERIOS!$L$179:$L$200,[1]CRITERIOS!$M$179:$M$200)),
_xlfn.CEILING.MATH(IF($M626&gt;$E626,
$E626,
IF($M626&lt;$E626/ROUNDDOWN([1]CRITERIOS!$M$16/_xlfn.XLOOKUP($C626,[1]CRITERIOS!$K$25:$K$42,[1]CRITERIOS!$M$25:$M$42),
1),
E626/ROUNDDOWN([1]CRITERIOS!$M$16/_xlfn.XLOOKUP($C626,[1]CRITERIOS!$K$25:$K$42,[1]CRITERIOS!$M$25:$M$42),
1),
$M626)),_xlfn.XLOOKUP(A626,'[1]DATOS PBI Artículos'!A:A,'[1]DATOS PBI Artículos'!Z:Z
)))))</f>
        <v>#N/A</v>
      </c>
      <c r="Q626" s="38" t="e">
        <f>IF(AND(O626="",N626=0),
0,
   IF(COUNTIF([1]CRITERIOS!$F$179:$F$199,$A626)&gt;=1,
   1,
   IF(R626="MTO",
      $D626,
      ROUNDUP(
                    IF(($E626-SUMIF('[1]DATOS PBI Artículos'!A:A,A626,'[1]DATOS PBI Artículos'!X:X)+($V626-_xlfn.XLOOKUP(A626,'[1]DATOS PBI Artículos'!A:A,'[1]DATOS PBI Artículos'!W:W)))&lt;0,
                    0,
                    IF(($E626-SUMIF('[1]DATOS PBI Artículos'!A:A,A626,'[1]DATOS PBI Artículos'!X:X)+$V626-_xlfn.XLOOKUP($A626,'[1]DATOS PBI Artículos'!A:A,'[1]DATOS PBI Artículos'!W:W))/IF($O626="",$N626,$O626)&gt;ROUNDUP([1]CRITERIOS!$M$16/(IF(COUNTIF([1]CRITERIOS!$BG$11:$BG$201,L626)&gt;=1,_xlfn.XLOOKUP($C626,[1]CRITERIOS!$K$25:$K$42,[1]CRITERIOS!$M$25:$M$42),_xlfn.XLOOKUP($C626,[1]CRITERIOS!$K$25:$K$42,[1]CRITERIOS!$M$25:$M$42))),0),
                    ROUNDUP([1]CRITERIOS!$M$16/(IF(COUNTIF([1]CRITERIOS!$BG$11:$BG$201,$L626)&gt;=1,_xlfn.XLOOKUP($C626,[1]CRITERIOS!$K$25:$K$42,[1]CRITERIOS!$M$25:$M$42),_xlfn.XLOOKUP($C626,[1]CRITERIOS!$K$25:$K$42,[1]CRITERIOS!$M$25:$M$42))),0),
                    (E626+V626-SUMIF('[1]DATOS PBI Artículos'!A:A,A626,'[1]DATOS PBI Artículos'!X:X)-_xlfn.XLOOKUP(A626,'[1]DATOS PBI Artículos'!A:A,'[1]DATOS PBI Artículos'!W:W))/IF($O626="",$N626,$O626))),0))))</f>
        <v>#N/A</v>
      </c>
      <c r="R626" s="33" t="e">
        <f>IF(U626&lt;&gt;"",U626,IF(F626="DV","MTO",IF(N626=0,"MTO",_xlfn.XLOOKUP(CONCATENATE(S626,T626),[1]CRITERIOS!$K$160:$K$168,[1]CRITERIOS!$N$160:$N$168))))</f>
        <v>#N/A</v>
      </c>
      <c r="S626" s="33" t="e">
        <f>IF(G626="DV","MTO",IF(N626=0,"MTO",IF(OR(AND(N626=0,O626=""),IF(O626="",G626/N626,G626/O626)&gt;[1]CRITERIOS!$G$163),"MTO",IF(IF(O626="",G626/N626,G626/O626)&lt;[1]CRITERIOS!$H$161,"MTS","MTOS"))))</f>
        <v>#N/A</v>
      </c>
      <c r="T626" s="33" t="e">
        <f>IF(F626="DV","MTO",IF(OR(AND($N626=0,O626=""),$F626/$J626&gt;[1]CRITERIOS!$G$170,$F626="DV"),"MTO",IF($F626/$J626&lt;[1]CRITERIOS!$H$168,"MTS","MTOS")))</f>
        <v>#N/A</v>
      </c>
      <c r="V626" s="34" t="e">
        <f t="shared" si="31"/>
        <v>#N/A</v>
      </c>
      <c r="X626" s="34" t="e">
        <f t="shared" si="29"/>
        <v>#N/A</v>
      </c>
      <c r="Y626" s="34" t="e">
        <f t="shared" si="30"/>
        <v>#N/A</v>
      </c>
      <c r="Z626" s="34" t="e">
        <f>IF($R626="MTO",
0,
($H626+$K626*($E626/[1]CRITERIOS!$M$16))/[1]CRITERIOS!$X$48)</f>
        <v>#N/A</v>
      </c>
      <c r="AA626" s="34" t="e">
        <f>ROUNDUP(($Y626/_xlfn.XLOOKUP($A626,'[1]DATOS PBI Artículos'!$A$4:$A$4,'[1]DATOS PBI Artículos'!$Z$4:$Z$4))/_xlfn.XLOOKUP(_xlfn.XLOOKUP($A626,'[1]DATOS PBI Artículos'!$A$4:$A$4,'[1]DATOS PBI Artículos'!$Y$4:$Y$4),[1]CRITERIOS!$P$79:$P$123,[1]CRITERIOS!$S$79:$S$123,),0)</f>
        <v>#N/A</v>
      </c>
      <c r="AB626" s="33" t="e">
        <f t="array" ref="AB626">IF((E626+V626-_xlfn.XLOOKUP(A626,'[1]DATOS PBI Artículos'!$A$4:$A$4,'[1]DATOS PBI Artículos'!$W$4:$W$4))/N626&gt;ROUNDUP([1]CRITERIOS!$M$16/(IF(COUNTIF([1]CRITERIOS!$BG$11:$BG$201,L626)&gt;=1,_xlfn.XLOOKUP(ARTÍCULOS!L626,[1]CRITERIOS!$BG$11:$BG$201,[1]CRITERIOS!$BJ$11:$BJ$201),_xlfn.XLOOKUP(ARTÍCULOS!C626,[1]CRITERIOS!$K$25:$K$42,[1]CRITERIOS!$M$25:$M$42))),0),ROUNDUP([1]CRITERIOS!$M$16/(IF(COUNTIF([1]CRITERIOS!$BG$11:$BG$201,L626)&gt;=1,_xlfn.XLOOKUP(ARTÍCULOS!L626,[1]CRITERIOS!$BG$11:$BG$201:#REF!,[1]CRITERIOS!$BJ$11:$BJ$201),_xlfn.XLOOKUP(ARTÍCULOS!C626,[1]CRITERIOS!$K$25:$K$42,[1]CRITERIOS!$M$25:$M$42))),0),(E626+V626-_xlfn.XLOOKUP(A626,'[1]DATOS PBI Artículos'!$A$4:$A$4,'[1]DATOS PBI Artículos'!$W$4:$W$4))/N626)</f>
        <v>#N/A</v>
      </c>
      <c r="AC626" s="33" t="e">
        <f>IF(N626=0,"",(ROUNDUP((N626/2)/(_xlfn.XLOOKUP(A626,'[1]DATOS PBI Artículos'!$A$4:$A$4,'[1]DATOS PBI Artículos'!$Z$4:$Z$4)*_xlfn.XLOOKUP(_xlfn.XLOOKUP(A626,'[1]DATOS PBI Artículos'!$A$4:$A$4,'[1]DATOS PBI Artículos'!$Y$4:$Y$4),[1]CRITERIOS!$P$79:$P$123,[1]CRITERIOS!$S$79:$S$123)),0)*[1]CRITERIOS!$M$80*([1]CRITERIOS!$M$110/[1]CRITERIOS!$M$86)+(_xlfn.XLOOKUP(A626,'[1]DATOS PBI Artículos'!$A$4:$A$4,'[1]DATOS PBI Artículos'!$AA$4:$AA$4)*([1]CRITERIOS!$M$95+[1]CRITERIOS!$M$98)))/N626)</f>
        <v>#N/A</v>
      </c>
      <c r="AD626" s="33" t="e">
        <f>IF(N626=0,"",(ROUNDUP((N626/2)/(_xlfn.XLOOKUP(A626,'[1]DATOS PBI Artículos'!$A$4:$A$4,'[1]DATOS PBI Artículos'!$Z$4:$Z$4)*_xlfn.XLOOKUP(_xlfn.XLOOKUP(A626,'[1]DATOS PBI Artículos'!$A$4:$A$4,'[1]DATOS PBI Artículos'!$Y$4:$Y$4),[1]CRITERIOS!$P$79:$P$123,[1]CRITERIOS!$S$79:$S$123)),0)*[1]CRITERIOS!$M$80*([1]CRITERIOS!$M$89*[1]CRITERIOS!$M$92)+((_xlfn.XLOOKUP(A626,'[1]DATOS PBI Artículos'!$A$4:$A$4,'[1]DATOS PBI Artículos'!$AA$4:$AA$4)/2)*([1]CRITERIOS!$M$95+[1]CRITERIOS!$M$98)))/N626)</f>
        <v>#N/A</v>
      </c>
      <c r="AE626" s="39" t="e">
        <f>IF($R626="MTO","",
IF($H626=0,ROUNDUP(((_xlfn.XLOOKUP($A626,'[1]DATOS PBI Artículos'!$A:$A,'[1]DATOS PBI Artículos'!$AL:$AL))/(_xlfn.XLOOKUP($AF$1,[1]CRITERIOS!$S$16:$S$39,[1]CRITERIOS!$Y$16:$Y$39))*$J626+$Z626)/$G626,0)*$G626,
((_xlfn.XLOOKUP($A626,'[1]DATOS PBI Artículos'!$A:$A,'[1]DATOS PBI Artículos'!$AL:$AL))/(_xlfn.XLOOKUP($AF$1,[1]CRITERIOS!$S$16:$S$39,[1]CRITERIOS!$Y$16:$Y$39))*$J626+$Z626)))</f>
        <v>#N/A</v>
      </c>
      <c r="AG626" s="39" t="e">
        <f>IF($R626="MTO","",
IF($H626=0,ROUNDUP(((_xlfn.XLOOKUP($A626,'[1]DATOS PBI Artículos'!$A:$A,'[1]DATOS PBI Artículos'!$AM:$AM))/(_xlfn.XLOOKUP($AH$1,[1]CRITERIOS!$S$16:$S$39,[1]CRITERIOS!$Y$16:$Y$39))*$J626+$Z626)/$G626,0)*$G626,
((_xlfn.XLOOKUP($A626,'[1]DATOS PBI Artículos'!$A:$A,'[1]DATOS PBI Artículos'!$AM:$AM))/(_xlfn.XLOOKUP($AH$1,[1]CRITERIOS!$S$16:$S$39,[1]CRITERIOS!$Y$16:$Y$39))*$J626+$Z626)))</f>
        <v>#N/A</v>
      </c>
      <c r="AI626" s="39" t="e">
        <f>IF($R626="MTO","",
IF($H626=0,ROUNDUP(((_xlfn.XLOOKUP($A626,'[1]DATOS PBI Artículos'!$A:$A,'[1]DATOS PBI Artículos'!$AN:$AN))/(_xlfn.XLOOKUP($AJ$1,[1]CRITERIOS!$S$16:$S$39,[1]CRITERIOS!$Y$16:$Y$39))*$J626+$Z626)/$G626,0)*$G626,
((_xlfn.XLOOKUP($A626,'[1]DATOS PBI Artículos'!$A:$A,'[1]DATOS PBI Artículos'!$AN:$AN))/(_xlfn.XLOOKUP($AJ$1,[1]CRITERIOS!$S$16:$S$39,[1]CRITERIOS!$Y$16:$Y$39))*$J626+$Z626)))</f>
        <v>#N/A</v>
      </c>
      <c r="AK626" s="39" t="e">
        <f>IF($R626="MTO","",
IF($H626=0,ROUNDUP(((_xlfn.XLOOKUP($A626,'[1]DATOS PBI Artículos'!$A:$A,'[1]DATOS PBI Artículos'!$AO:$AO))/(_xlfn.XLOOKUP($AL$1,[1]CRITERIOS!$S$16:$S$39,[1]CRITERIOS!$Y$16:$Y$39))*$J626+$Z626)/$G626,0)*$G626,
((_xlfn.XLOOKUP($A626,'[1]DATOS PBI Artículos'!$A:$A,'[1]DATOS PBI Artículos'!$AO:$AO))/(_xlfn.XLOOKUP($AL$1,[1]CRITERIOS!$S$16:$S$39,[1]CRITERIOS!$Y$16:$Y$39))*$J626+$Z626)))</f>
        <v>#N/A</v>
      </c>
    </row>
    <row r="627" spans="1:37" ht="25.8" hidden="1" x14ac:dyDescent="0.4">
      <c r="A627" s="41"/>
      <c r="B627" s="33">
        <f>_xlfn.XLOOKUP($A627,'[1]DATOS PBI Artículos'!A:A,'[1]DATOS PBI Artículos'!B:B)</f>
        <v>0</v>
      </c>
      <c r="C627" s="33">
        <f>_xlfn.XLOOKUP($A627,'[1]DATOS PBI Artículos'!A:A,'[1]DATOS PBI Artículos'!C:C)</f>
        <v>0</v>
      </c>
      <c r="D627" s="33">
        <f>_xlfn.XLOOKUP(A627,'[1]DATOS PBI Artículos'!A:A,'[1]DATOS PBI Artículos'!T:T)</f>
        <v>0</v>
      </c>
      <c r="E627" s="34">
        <f>IF(_xlfn.XLOOKUP($A627,'[1]DATOS PBI Artículos'!A:A,'[1]DATOS PBI Artículos'!AK:AK)="",_xlfn.XLOOKUP($A627,'[1]DATOS PBI Artículos'!A:A,'[1]DATOS PBI Artículos'!AJ:AJ),_xlfn.XLOOKUP($A627,'[1]DATOS PBI Artículos'!A:A,'[1]DATOS PBI Artículos'!AK:AK))</f>
        <v>0</v>
      </c>
      <c r="F627" s="35">
        <f>_xlfn.XLOOKUP($A627,'[1]DATOS PBI Artículos'!A:A,'[1]DATOS PBI Artículos'!AP:AP)</f>
        <v>0</v>
      </c>
      <c r="G627" s="34">
        <f>_xlfn.XLOOKUP($A627,'[1]DATOS PBI Artículos'!A:A,'[1]DATOS PBI Artículos'!AR:AR)</f>
        <v>0</v>
      </c>
      <c r="H627" s="34">
        <f>_xlfn.XLOOKUP($A627,'[1]DATOS PBI Artículos'!A:A,'[1]DATOS PBI Artículos'!AT:AT)</f>
        <v>0</v>
      </c>
      <c r="I627" s="34">
        <f>_xlfn.XLOOKUP($A627,'[1]DATOS PBI Artículos'!A:A,'[1]DATOS PBI Artículos'!AS:AS)</f>
        <v>0</v>
      </c>
      <c r="J627" s="35">
        <f>IF(COUNTIF([1]CRITERIOS!$F$179:$F$199,$A627)&gt;=1,
 IF(O627&lt;&gt;"",
    (O627/_xlfn.XLOOKUP(CONCATENATE(A627,L627),[1]MÁQUINAS!A:A,[1]MÁQUINAS!D:D))/24,
    (N627/_xlfn.XLOOKUP(CONCATENATE(A627,L627),[1]MÁQUINAS!A:A,[1]MÁQUINAS!D:D))/24),
  _xlfn.XLOOKUP($A627,'[1]DATOS PBI Artículos'!A:A,'[1]DATOS PBI Artículos'!AU:AU))</f>
        <v>0</v>
      </c>
      <c r="K627" s="36">
        <f>_xlfn.XLOOKUP($A627,'[1]DATOS PBI Artículos'!A:A,'[1]DATOS PBI Artículos'!AV:AV)</f>
        <v>0</v>
      </c>
      <c r="L627" s="33">
        <f>_xlfn.XLOOKUP(A627,[1]MÁQUINAS!B:B,[1]MÁQUINAS!C:C)</f>
        <v>0</v>
      </c>
      <c r="M627" s="34">
        <f t="array" ref="M627">_xlfn.XLOOKUP(A627,'[1]DATOS PBI Artículos'!A:A,'[1]DATOS PBI Artículos'!AX:$AX)</f>
        <v>0</v>
      </c>
      <c r="N627" s="37" t="e">
        <f>IF(I627="DV",
E627,
IF(COUNTIF([1]CRITERIOS!$I$179:$I$199,$A627)&gt;=1,
_xlfn.XLOOKUP($A627,[1]CRITERIOS!$I$179:$I$199,[1]CRITERIOS!$J$179:$J$199),
IF(COUNTIF([1]CRITERIOS!$L$179:$L$199,$A627)&gt;=1,
_xlfn.CEILING.MATH(IF($M627&gt;$E627,
$E627,
IF($M627&lt;$E627/ROUNDDOWN([1]CRITERIOS!$M$16/_xlfn.XLOOKUP($C627,[1]CRITERIOS!$K$25:$K$42,[1]CRITERIOS!$M$25:$M$42),
1),
E627/ROUNDDOWN([1]CRITERIOS!$M$16/_xlfn.XLOOKUP($C627,[1]CRITERIOS!$K$25:$K$42,[1]CRITERIOS!$M$25:$M$42),
1),
$M627)),
_xlfn.XLOOKUP($A627,[1]CRITERIOS!$L$179:$L$200,[1]CRITERIOS!$M$179:$M$200)),
_xlfn.CEILING.MATH(IF($M627&gt;$E627,
$E627,
IF($M627&lt;$E627/ROUNDDOWN([1]CRITERIOS!$M$16/_xlfn.XLOOKUP($C627,[1]CRITERIOS!$K$25:$K$42,[1]CRITERIOS!$M$25:$M$42),
1),
E627/ROUNDDOWN([1]CRITERIOS!$M$16/_xlfn.XLOOKUP($C627,[1]CRITERIOS!$K$25:$K$42,[1]CRITERIOS!$M$25:$M$42),
1),
$M627)),_xlfn.XLOOKUP(A627,'[1]DATOS PBI Artículos'!A:A,'[1]DATOS PBI Artículos'!Z:Z
)))))</f>
        <v>#N/A</v>
      </c>
      <c r="Q627" s="38" t="e">
        <f>IF(AND(O627="",N627=0),
0,
   IF(COUNTIF([1]CRITERIOS!$F$179:$F$199,$A627)&gt;=1,
   1,
   IF(R627="MTO",
      $D627,
      ROUNDUP(
                    IF(($E627-SUMIF('[1]DATOS PBI Artículos'!A:A,A627,'[1]DATOS PBI Artículos'!X:X)+($V627-_xlfn.XLOOKUP(A627,'[1]DATOS PBI Artículos'!A:A,'[1]DATOS PBI Artículos'!W:W)))&lt;0,
                    0,
                    IF(($E627-SUMIF('[1]DATOS PBI Artículos'!A:A,A627,'[1]DATOS PBI Artículos'!X:X)+$V627-_xlfn.XLOOKUP($A627,'[1]DATOS PBI Artículos'!A:A,'[1]DATOS PBI Artículos'!W:W))/IF($O627="",$N627,$O627)&gt;ROUNDUP([1]CRITERIOS!$M$16/(IF(COUNTIF([1]CRITERIOS!$BG$11:$BG$201,L627)&gt;=1,_xlfn.XLOOKUP($C627,[1]CRITERIOS!$K$25:$K$42,[1]CRITERIOS!$M$25:$M$42),_xlfn.XLOOKUP($C627,[1]CRITERIOS!$K$25:$K$42,[1]CRITERIOS!$M$25:$M$42))),0),
                    ROUNDUP([1]CRITERIOS!$M$16/(IF(COUNTIF([1]CRITERIOS!$BG$11:$BG$201,$L627)&gt;=1,_xlfn.XLOOKUP($C627,[1]CRITERIOS!$K$25:$K$42,[1]CRITERIOS!$M$25:$M$42),_xlfn.XLOOKUP($C627,[1]CRITERIOS!$K$25:$K$42,[1]CRITERIOS!$M$25:$M$42))),0),
                    (E627+V627-SUMIF('[1]DATOS PBI Artículos'!A:A,A627,'[1]DATOS PBI Artículos'!X:X)-_xlfn.XLOOKUP(A627,'[1]DATOS PBI Artículos'!A:A,'[1]DATOS PBI Artículos'!W:W))/IF($O627="",$N627,$O627))),0))))</f>
        <v>#N/A</v>
      </c>
      <c r="R627" s="33" t="e">
        <f>IF(U627&lt;&gt;"",U627,IF(F627="DV","MTO",IF(N627=0,"MTO",_xlfn.XLOOKUP(CONCATENATE(S627,T627),[1]CRITERIOS!$K$160:$K$168,[1]CRITERIOS!$N$160:$N$168))))</f>
        <v>#N/A</v>
      </c>
      <c r="S627" s="33" t="e">
        <f>IF(G627="DV","MTO",IF(N627=0,"MTO",IF(OR(AND(N627=0,O627=""),IF(O627="",G627/N627,G627/O627)&gt;[1]CRITERIOS!$G$163),"MTO",IF(IF(O627="",G627/N627,G627/O627)&lt;[1]CRITERIOS!$H$161,"MTS","MTOS"))))</f>
        <v>#N/A</v>
      </c>
      <c r="T627" s="33" t="e">
        <f>IF(F627="DV","MTO",IF(OR(AND($N627=0,O627=""),$F627/$J627&gt;[1]CRITERIOS!$G$170,$F627="DV"),"MTO",IF($F627/$J627&lt;[1]CRITERIOS!$H$168,"MTS","MTOS")))</f>
        <v>#N/A</v>
      </c>
      <c r="V627" s="34" t="e">
        <f t="shared" si="31"/>
        <v>#N/A</v>
      </c>
      <c r="X627" s="34" t="e">
        <f t="shared" si="29"/>
        <v>#N/A</v>
      </c>
      <c r="Y627" s="34" t="e">
        <f t="shared" si="30"/>
        <v>#N/A</v>
      </c>
      <c r="Z627" s="34" t="e">
        <f>IF($R627="MTO",
0,
($H627+$K627*($E627/[1]CRITERIOS!$M$16))/[1]CRITERIOS!$X$48)</f>
        <v>#N/A</v>
      </c>
      <c r="AA627" s="34" t="e">
        <f>ROUNDUP(($Y627/_xlfn.XLOOKUP($A627,'[1]DATOS PBI Artículos'!$A$4:$A$4,'[1]DATOS PBI Artículos'!$Z$4:$Z$4))/_xlfn.XLOOKUP(_xlfn.XLOOKUP($A627,'[1]DATOS PBI Artículos'!$A$4:$A$4,'[1]DATOS PBI Artículos'!$Y$4:$Y$4),[1]CRITERIOS!$P$79:$P$123,[1]CRITERIOS!$S$79:$S$123,),0)</f>
        <v>#N/A</v>
      </c>
      <c r="AB627" s="33" t="e">
        <f t="array" ref="AB627">IF((E627+V627-_xlfn.XLOOKUP(A627,'[1]DATOS PBI Artículos'!$A$4:$A$4,'[1]DATOS PBI Artículos'!$W$4:$W$4))/N627&gt;ROUNDUP([1]CRITERIOS!$M$16/(IF(COUNTIF([1]CRITERIOS!$BG$11:$BG$201,L627)&gt;=1,_xlfn.XLOOKUP(ARTÍCULOS!L627,[1]CRITERIOS!$BG$11:$BG$201,[1]CRITERIOS!$BJ$11:$BJ$201),_xlfn.XLOOKUP(ARTÍCULOS!C627,[1]CRITERIOS!$K$25:$K$42,[1]CRITERIOS!$M$25:$M$42))),0),ROUNDUP([1]CRITERIOS!$M$16/(IF(COUNTIF([1]CRITERIOS!$BG$11:$BG$201,L627)&gt;=1,_xlfn.XLOOKUP(ARTÍCULOS!L627,[1]CRITERIOS!$BG$11:$BG$201:#REF!,[1]CRITERIOS!$BJ$11:$BJ$201),_xlfn.XLOOKUP(ARTÍCULOS!C627,[1]CRITERIOS!$K$25:$K$42,[1]CRITERIOS!$M$25:$M$42))),0),(E627+V627-_xlfn.XLOOKUP(A627,'[1]DATOS PBI Artículos'!$A$4:$A$4,'[1]DATOS PBI Artículos'!$W$4:$W$4))/N627)</f>
        <v>#N/A</v>
      </c>
      <c r="AC627" s="33" t="e">
        <f>IF(N627=0,"",(ROUNDUP((N627/2)/(_xlfn.XLOOKUP(A627,'[1]DATOS PBI Artículos'!$A$4:$A$4,'[1]DATOS PBI Artículos'!$Z$4:$Z$4)*_xlfn.XLOOKUP(_xlfn.XLOOKUP(A627,'[1]DATOS PBI Artículos'!$A$4:$A$4,'[1]DATOS PBI Artículos'!$Y$4:$Y$4),[1]CRITERIOS!$P$79:$P$123,[1]CRITERIOS!$S$79:$S$123)),0)*[1]CRITERIOS!$M$80*([1]CRITERIOS!$M$110/[1]CRITERIOS!$M$86)+(_xlfn.XLOOKUP(A627,'[1]DATOS PBI Artículos'!$A$4:$A$4,'[1]DATOS PBI Artículos'!$AA$4:$AA$4)*([1]CRITERIOS!$M$95+[1]CRITERIOS!$M$98)))/N627)</f>
        <v>#N/A</v>
      </c>
      <c r="AD627" s="33" t="e">
        <f>IF(N627=0,"",(ROUNDUP((N627/2)/(_xlfn.XLOOKUP(A627,'[1]DATOS PBI Artículos'!$A$4:$A$4,'[1]DATOS PBI Artículos'!$Z$4:$Z$4)*_xlfn.XLOOKUP(_xlfn.XLOOKUP(A627,'[1]DATOS PBI Artículos'!$A$4:$A$4,'[1]DATOS PBI Artículos'!$Y$4:$Y$4),[1]CRITERIOS!$P$79:$P$123,[1]CRITERIOS!$S$79:$S$123)),0)*[1]CRITERIOS!$M$80*([1]CRITERIOS!$M$89*[1]CRITERIOS!$M$92)+((_xlfn.XLOOKUP(A627,'[1]DATOS PBI Artículos'!$A$4:$A$4,'[1]DATOS PBI Artículos'!$AA$4:$AA$4)/2)*([1]CRITERIOS!$M$95+[1]CRITERIOS!$M$98)))/N627)</f>
        <v>#N/A</v>
      </c>
      <c r="AE627" s="39" t="e">
        <f>IF($R627="MTO","",
IF($H627=0,ROUNDUP(((_xlfn.XLOOKUP($A627,'[1]DATOS PBI Artículos'!$A:$A,'[1]DATOS PBI Artículos'!$AL:$AL))/(_xlfn.XLOOKUP($AF$1,[1]CRITERIOS!$S$16:$S$39,[1]CRITERIOS!$Y$16:$Y$39))*$J627+$Z627)/$G627,0)*$G627,
((_xlfn.XLOOKUP($A627,'[1]DATOS PBI Artículos'!$A:$A,'[1]DATOS PBI Artículos'!$AL:$AL))/(_xlfn.XLOOKUP($AF$1,[1]CRITERIOS!$S$16:$S$39,[1]CRITERIOS!$Y$16:$Y$39))*$J627+$Z627)))</f>
        <v>#N/A</v>
      </c>
      <c r="AG627" s="39" t="e">
        <f>IF($R627="MTO","",
IF($H627=0,ROUNDUP(((_xlfn.XLOOKUP($A627,'[1]DATOS PBI Artículos'!$A:$A,'[1]DATOS PBI Artículos'!$AM:$AM))/(_xlfn.XLOOKUP($AH$1,[1]CRITERIOS!$S$16:$S$39,[1]CRITERIOS!$Y$16:$Y$39))*$J627+$Z627)/$G627,0)*$G627,
((_xlfn.XLOOKUP($A627,'[1]DATOS PBI Artículos'!$A:$A,'[1]DATOS PBI Artículos'!$AM:$AM))/(_xlfn.XLOOKUP($AH$1,[1]CRITERIOS!$S$16:$S$39,[1]CRITERIOS!$Y$16:$Y$39))*$J627+$Z627)))</f>
        <v>#N/A</v>
      </c>
      <c r="AI627" s="39" t="e">
        <f>IF($R627="MTO","",
IF($H627=0,ROUNDUP(((_xlfn.XLOOKUP($A627,'[1]DATOS PBI Artículos'!$A:$A,'[1]DATOS PBI Artículos'!$AN:$AN))/(_xlfn.XLOOKUP($AJ$1,[1]CRITERIOS!$S$16:$S$39,[1]CRITERIOS!$Y$16:$Y$39))*$J627+$Z627)/$G627,0)*$G627,
((_xlfn.XLOOKUP($A627,'[1]DATOS PBI Artículos'!$A:$A,'[1]DATOS PBI Artículos'!$AN:$AN))/(_xlfn.XLOOKUP($AJ$1,[1]CRITERIOS!$S$16:$S$39,[1]CRITERIOS!$Y$16:$Y$39))*$J627+$Z627)))</f>
        <v>#N/A</v>
      </c>
      <c r="AK627" s="39" t="e">
        <f>IF($R627="MTO","",
IF($H627=0,ROUNDUP(((_xlfn.XLOOKUP($A627,'[1]DATOS PBI Artículos'!$A:$A,'[1]DATOS PBI Artículos'!$AO:$AO))/(_xlfn.XLOOKUP($AL$1,[1]CRITERIOS!$S$16:$S$39,[1]CRITERIOS!$Y$16:$Y$39))*$J627+$Z627)/$G627,0)*$G627,
((_xlfn.XLOOKUP($A627,'[1]DATOS PBI Artículos'!$A:$A,'[1]DATOS PBI Artículos'!$AO:$AO))/(_xlfn.XLOOKUP($AL$1,[1]CRITERIOS!$S$16:$S$39,[1]CRITERIOS!$Y$16:$Y$39))*$J627+$Z627)))</f>
        <v>#N/A</v>
      </c>
    </row>
    <row r="628" spans="1:37" ht="25.8" hidden="1" x14ac:dyDescent="0.4">
      <c r="A628" s="41"/>
      <c r="B628" s="33">
        <f>_xlfn.XLOOKUP($A628,'[1]DATOS PBI Artículos'!A:A,'[1]DATOS PBI Artículos'!B:B)</f>
        <v>0</v>
      </c>
      <c r="C628" s="33">
        <f>_xlfn.XLOOKUP($A628,'[1]DATOS PBI Artículos'!A:A,'[1]DATOS PBI Artículos'!C:C)</f>
        <v>0</v>
      </c>
      <c r="D628" s="33">
        <f>_xlfn.XLOOKUP(A628,'[1]DATOS PBI Artículos'!A:A,'[1]DATOS PBI Artículos'!T:T)</f>
        <v>0</v>
      </c>
      <c r="E628" s="34">
        <f>IF(_xlfn.XLOOKUP($A628,'[1]DATOS PBI Artículos'!A:A,'[1]DATOS PBI Artículos'!AK:AK)="",_xlfn.XLOOKUP($A628,'[1]DATOS PBI Artículos'!A:A,'[1]DATOS PBI Artículos'!AJ:AJ),_xlfn.XLOOKUP($A628,'[1]DATOS PBI Artículos'!A:A,'[1]DATOS PBI Artículos'!AK:AK))</f>
        <v>0</v>
      </c>
      <c r="F628" s="35">
        <f>_xlfn.XLOOKUP($A628,'[1]DATOS PBI Artículos'!A:A,'[1]DATOS PBI Artículos'!AP:AP)</f>
        <v>0</v>
      </c>
      <c r="G628" s="34">
        <f>_xlfn.XLOOKUP($A628,'[1]DATOS PBI Artículos'!A:A,'[1]DATOS PBI Artículos'!AR:AR)</f>
        <v>0</v>
      </c>
      <c r="H628" s="34">
        <f>_xlfn.XLOOKUP($A628,'[1]DATOS PBI Artículos'!A:A,'[1]DATOS PBI Artículos'!AT:AT)</f>
        <v>0</v>
      </c>
      <c r="I628" s="34">
        <f>_xlfn.XLOOKUP($A628,'[1]DATOS PBI Artículos'!A:A,'[1]DATOS PBI Artículos'!AS:AS)</f>
        <v>0</v>
      </c>
      <c r="J628" s="35">
        <f>IF(COUNTIF([1]CRITERIOS!$F$179:$F$199,$A628)&gt;=1,
 IF(O628&lt;&gt;"",
    (O628/_xlfn.XLOOKUP(CONCATENATE(A628,L628),[1]MÁQUINAS!A:A,[1]MÁQUINAS!D:D))/24,
    (N628/_xlfn.XLOOKUP(CONCATENATE(A628,L628),[1]MÁQUINAS!A:A,[1]MÁQUINAS!D:D))/24),
  _xlfn.XLOOKUP($A628,'[1]DATOS PBI Artículos'!A:A,'[1]DATOS PBI Artículos'!AU:AU))</f>
        <v>0</v>
      </c>
      <c r="K628" s="36">
        <f>_xlfn.XLOOKUP($A628,'[1]DATOS PBI Artículos'!A:A,'[1]DATOS PBI Artículos'!AV:AV)</f>
        <v>0</v>
      </c>
      <c r="L628" s="33">
        <f>_xlfn.XLOOKUP(A628,[1]MÁQUINAS!B:B,[1]MÁQUINAS!C:C)</f>
        <v>0</v>
      </c>
      <c r="M628" s="34">
        <f t="array" ref="M628">_xlfn.XLOOKUP(A628,'[1]DATOS PBI Artículos'!A:A,'[1]DATOS PBI Artículos'!AX:$AX)</f>
        <v>0</v>
      </c>
      <c r="N628" s="37" t="e">
        <f>IF(I628="DV",
E628,
IF(COUNTIF([1]CRITERIOS!$I$179:$I$199,$A628)&gt;=1,
_xlfn.XLOOKUP($A628,[1]CRITERIOS!$I$179:$I$199,[1]CRITERIOS!$J$179:$J$199),
IF(COUNTIF([1]CRITERIOS!$L$179:$L$199,$A628)&gt;=1,
_xlfn.CEILING.MATH(IF($M628&gt;$E628,
$E628,
IF($M628&lt;$E628/ROUNDDOWN([1]CRITERIOS!$M$16/_xlfn.XLOOKUP($C628,[1]CRITERIOS!$K$25:$K$42,[1]CRITERIOS!$M$25:$M$42),
1),
E628/ROUNDDOWN([1]CRITERIOS!$M$16/_xlfn.XLOOKUP($C628,[1]CRITERIOS!$K$25:$K$42,[1]CRITERIOS!$M$25:$M$42),
1),
$M628)),
_xlfn.XLOOKUP($A628,[1]CRITERIOS!$L$179:$L$200,[1]CRITERIOS!$M$179:$M$200)),
_xlfn.CEILING.MATH(IF($M628&gt;$E628,
$E628,
IF($M628&lt;$E628/ROUNDDOWN([1]CRITERIOS!$M$16/_xlfn.XLOOKUP($C628,[1]CRITERIOS!$K$25:$K$42,[1]CRITERIOS!$M$25:$M$42),
1),
E628/ROUNDDOWN([1]CRITERIOS!$M$16/_xlfn.XLOOKUP($C628,[1]CRITERIOS!$K$25:$K$42,[1]CRITERIOS!$M$25:$M$42),
1),
$M628)),_xlfn.XLOOKUP(A628,'[1]DATOS PBI Artículos'!A:A,'[1]DATOS PBI Artículos'!Z:Z
)))))</f>
        <v>#N/A</v>
      </c>
      <c r="Q628" s="38" t="e">
        <f>IF(AND(O628="",N628=0),
0,
   IF(COUNTIF([1]CRITERIOS!$F$179:$F$199,$A628)&gt;=1,
   1,
   IF(R628="MTO",
      $D628,
      ROUNDUP(
                    IF(($E628-SUMIF('[1]DATOS PBI Artículos'!A:A,A628,'[1]DATOS PBI Artículos'!X:X)+($V628-_xlfn.XLOOKUP(A628,'[1]DATOS PBI Artículos'!A:A,'[1]DATOS PBI Artículos'!W:W)))&lt;0,
                    0,
                    IF(($E628-SUMIF('[1]DATOS PBI Artículos'!A:A,A628,'[1]DATOS PBI Artículos'!X:X)+$V628-_xlfn.XLOOKUP($A628,'[1]DATOS PBI Artículos'!A:A,'[1]DATOS PBI Artículos'!W:W))/IF($O628="",$N628,$O628)&gt;ROUNDUP([1]CRITERIOS!$M$16/(IF(COUNTIF([1]CRITERIOS!$BG$11:$BG$201,L628)&gt;=1,_xlfn.XLOOKUP($C628,[1]CRITERIOS!$K$25:$K$42,[1]CRITERIOS!$M$25:$M$42),_xlfn.XLOOKUP($C628,[1]CRITERIOS!$K$25:$K$42,[1]CRITERIOS!$M$25:$M$42))),0),
                    ROUNDUP([1]CRITERIOS!$M$16/(IF(COUNTIF([1]CRITERIOS!$BG$11:$BG$201,$L628)&gt;=1,_xlfn.XLOOKUP($C628,[1]CRITERIOS!$K$25:$K$42,[1]CRITERIOS!$M$25:$M$42),_xlfn.XLOOKUP($C628,[1]CRITERIOS!$K$25:$K$42,[1]CRITERIOS!$M$25:$M$42))),0),
                    (E628+V628-SUMIF('[1]DATOS PBI Artículos'!A:A,A628,'[1]DATOS PBI Artículos'!X:X)-_xlfn.XLOOKUP(A628,'[1]DATOS PBI Artículos'!A:A,'[1]DATOS PBI Artículos'!W:W))/IF($O628="",$N628,$O628))),0))))</f>
        <v>#N/A</v>
      </c>
      <c r="R628" s="33" t="e">
        <f>IF(U628&lt;&gt;"",U628,IF(F628="DV","MTO",IF(N628=0,"MTO",_xlfn.XLOOKUP(CONCATENATE(S628,T628),[1]CRITERIOS!$K$160:$K$168,[1]CRITERIOS!$N$160:$N$168))))</f>
        <v>#N/A</v>
      </c>
      <c r="S628" s="33" t="e">
        <f>IF(G628="DV","MTO",IF(N628=0,"MTO",IF(OR(AND(N628=0,O628=""),IF(O628="",G628/N628,G628/O628)&gt;[1]CRITERIOS!$G$163),"MTO",IF(IF(O628="",G628/N628,G628/O628)&lt;[1]CRITERIOS!$H$161,"MTS","MTOS"))))</f>
        <v>#N/A</v>
      </c>
      <c r="T628" s="33" t="e">
        <f>IF(F628="DV","MTO",IF(OR(AND($N628=0,O628=""),$F628/$J628&gt;[1]CRITERIOS!$G$170,$F628="DV"),"MTO",IF($F628/$J628&lt;[1]CRITERIOS!$H$168,"MTS","MTOS")))</f>
        <v>#N/A</v>
      </c>
      <c r="V628" s="34" t="e">
        <f t="shared" si="31"/>
        <v>#N/A</v>
      </c>
      <c r="X628" s="34" t="e">
        <f t="shared" si="29"/>
        <v>#N/A</v>
      </c>
      <c r="Y628" s="34" t="e">
        <f t="shared" si="30"/>
        <v>#N/A</v>
      </c>
      <c r="Z628" s="34" t="e">
        <f>IF($R628="MTO",
0,
($H628+$K628*($E628/[1]CRITERIOS!$M$16))/[1]CRITERIOS!$X$48)</f>
        <v>#N/A</v>
      </c>
      <c r="AA628" s="34" t="e">
        <f>ROUNDUP(($Y628/_xlfn.XLOOKUP($A628,'[1]DATOS PBI Artículos'!$A$4:$A$4,'[1]DATOS PBI Artículos'!$Z$4:$Z$4))/_xlfn.XLOOKUP(_xlfn.XLOOKUP($A628,'[1]DATOS PBI Artículos'!$A$4:$A$4,'[1]DATOS PBI Artículos'!$Y$4:$Y$4),[1]CRITERIOS!$P$79:$P$123,[1]CRITERIOS!$S$79:$S$123,),0)</f>
        <v>#N/A</v>
      </c>
      <c r="AB628" s="33" t="e">
        <f t="array" ref="AB628">IF((E628+V628-_xlfn.XLOOKUP(A628,'[1]DATOS PBI Artículos'!$A$4:$A$4,'[1]DATOS PBI Artículos'!$W$4:$W$4))/N628&gt;ROUNDUP([1]CRITERIOS!$M$16/(IF(COUNTIF([1]CRITERIOS!$BG$11:$BG$201,L628)&gt;=1,_xlfn.XLOOKUP(ARTÍCULOS!L628,[1]CRITERIOS!$BG$11:$BG$201,[1]CRITERIOS!$BJ$11:$BJ$201),_xlfn.XLOOKUP(ARTÍCULOS!C628,[1]CRITERIOS!$K$25:$K$42,[1]CRITERIOS!$M$25:$M$42))),0),ROUNDUP([1]CRITERIOS!$M$16/(IF(COUNTIF([1]CRITERIOS!$BG$11:$BG$201,L628)&gt;=1,_xlfn.XLOOKUP(ARTÍCULOS!L628,[1]CRITERIOS!$BG$11:$BG$201:#REF!,[1]CRITERIOS!$BJ$11:$BJ$201),_xlfn.XLOOKUP(ARTÍCULOS!C628,[1]CRITERIOS!$K$25:$K$42,[1]CRITERIOS!$M$25:$M$42))),0),(E628+V628-_xlfn.XLOOKUP(A628,'[1]DATOS PBI Artículos'!$A$4:$A$4,'[1]DATOS PBI Artículos'!$W$4:$W$4))/N628)</f>
        <v>#N/A</v>
      </c>
      <c r="AC628" s="33" t="e">
        <f>IF(N628=0,"",(ROUNDUP((N628/2)/(_xlfn.XLOOKUP(A628,'[1]DATOS PBI Artículos'!$A$4:$A$4,'[1]DATOS PBI Artículos'!$Z$4:$Z$4)*_xlfn.XLOOKUP(_xlfn.XLOOKUP(A628,'[1]DATOS PBI Artículos'!$A$4:$A$4,'[1]DATOS PBI Artículos'!$Y$4:$Y$4),[1]CRITERIOS!$P$79:$P$123,[1]CRITERIOS!$S$79:$S$123)),0)*[1]CRITERIOS!$M$80*([1]CRITERIOS!$M$110/[1]CRITERIOS!$M$86)+(_xlfn.XLOOKUP(A628,'[1]DATOS PBI Artículos'!$A$4:$A$4,'[1]DATOS PBI Artículos'!$AA$4:$AA$4)*([1]CRITERIOS!$M$95+[1]CRITERIOS!$M$98)))/N628)</f>
        <v>#N/A</v>
      </c>
      <c r="AD628" s="33" t="e">
        <f>IF(N628=0,"",(ROUNDUP((N628/2)/(_xlfn.XLOOKUP(A628,'[1]DATOS PBI Artículos'!$A$4:$A$4,'[1]DATOS PBI Artículos'!$Z$4:$Z$4)*_xlfn.XLOOKUP(_xlfn.XLOOKUP(A628,'[1]DATOS PBI Artículos'!$A$4:$A$4,'[1]DATOS PBI Artículos'!$Y$4:$Y$4),[1]CRITERIOS!$P$79:$P$123,[1]CRITERIOS!$S$79:$S$123)),0)*[1]CRITERIOS!$M$80*([1]CRITERIOS!$M$89*[1]CRITERIOS!$M$92)+((_xlfn.XLOOKUP(A628,'[1]DATOS PBI Artículos'!$A$4:$A$4,'[1]DATOS PBI Artículos'!$AA$4:$AA$4)/2)*([1]CRITERIOS!$M$95+[1]CRITERIOS!$M$98)))/N628)</f>
        <v>#N/A</v>
      </c>
      <c r="AE628" s="39" t="e">
        <f>IF($R628="MTO","",
IF($H628=0,ROUNDUP(((_xlfn.XLOOKUP($A628,'[1]DATOS PBI Artículos'!$A:$A,'[1]DATOS PBI Artículos'!$AL:$AL))/(_xlfn.XLOOKUP($AF$1,[1]CRITERIOS!$S$16:$S$39,[1]CRITERIOS!$Y$16:$Y$39))*$J628+$Z628)/$G628,0)*$G628,
((_xlfn.XLOOKUP($A628,'[1]DATOS PBI Artículos'!$A:$A,'[1]DATOS PBI Artículos'!$AL:$AL))/(_xlfn.XLOOKUP($AF$1,[1]CRITERIOS!$S$16:$S$39,[1]CRITERIOS!$Y$16:$Y$39))*$J628+$Z628)))</f>
        <v>#N/A</v>
      </c>
      <c r="AG628" s="39" t="e">
        <f>IF($R628="MTO","",
IF($H628=0,ROUNDUP(((_xlfn.XLOOKUP($A628,'[1]DATOS PBI Artículos'!$A:$A,'[1]DATOS PBI Artículos'!$AM:$AM))/(_xlfn.XLOOKUP($AH$1,[1]CRITERIOS!$S$16:$S$39,[1]CRITERIOS!$Y$16:$Y$39))*$J628+$Z628)/$G628,0)*$G628,
((_xlfn.XLOOKUP($A628,'[1]DATOS PBI Artículos'!$A:$A,'[1]DATOS PBI Artículos'!$AM:$AM))/(_xlfn.XLOOKUP($AH$1,[1]CRITERIOS!$S$16:$S$39,[1]CRITERIOS!$Y$16:$Y$39))*$J628+$Z628)))</f>
        <v>#N/A</v>
      </c>
      <c r="AI628" s="39" t="e">
        <f>IF($R628="MTO","",
IF($H628=0,ROUNDUP(((_xlfn.XLOOKUP($A628,'[1]DATOS PBI Artículos'!$A:$A,'[1]DATOS PBI Artículos'!$AN:$AN))/(_xlfn.XLOOKUP($AJ$1,[1]CRITERIOS!$S$16:$S$39,[1]CRITERIOS!$Y$16:$Y$39))*$J628+$Z628)/$G628,0)*$G628,
((_xlfn.XLOOKUP($A628,'[1]DATOS PBI Artículos'!$A:$A,'[1]DATOS PBI Artículos'!$AN:$AN))/(_xlfn.XLOOKUP($AJ$1,[1]CRITERIOS!$S$16:$S$39,[1]CRITERIOS!$Y$16:$Y$39))*$J628+$Z628)))</f>
        <v>#N/A</v>
      </c>
      <c r="AK628" s="39" t="e">
        <f>IF($R628="MTO","",
IF($H628=0,ROUNDUP(((_xlfn.XLOOKUP($A628,'[1]DATOS PBI Artículos'!$A:$A,'[1]DATOS PBI Artículos'!$AO:$AO))/(_xlfn.XLOOKUP($AL$1,[1]CRITERIOS!$S$16:$S$39,[1]CRITERIOS!$Y$16:$Y$39))*$J628+$Z628)/$G628,0)*$G628,
((_xlfn.XLOOKUP($A628,'[1]DATOS PBI Artículos'!$A:$A,'[1]DATOS PBI Artículos'!$AO:$AO))/(_xlfn.XLOOKUP($AL$1,[1]CRITERIOS!$S$16:$S$39,[1]CRITERIOS!$Y$16:$Y$39))*$J628+$Z628)))</f>
        <v>#N/A</v>
      </c>
    </row>
    <row r="629" spans="1:37" ht="25.8" hidden="1" x14ac:dyDescent="0.4">
      <c r="A629" s="41"/>
      <c r="B629" s="33">
        <f>_xlfn.XLOOKUP($A629,'[1]DATOS PBI Artículos'!A:A,'[1]DATOS PBI Artículos'!B:B)</f>
        <v>0</v>
      </c>
      <c r="C629" s="33">
        <f>_xlfn.XLOOKUP($A629,'[1]DATOS PBI Artículos'!A:A,'[1]DATOS PBI Artículos'!C:C)</f>
        <v>0</v>
      </c>
      <c r="D629" s="33">
        <f>_xlfn.XLOOKUP(A629,'[1]DATOS PBI Artículos'!A:A,'[1]DATOS PBI Artículos'!T:T)</f>
        <v>0</v>
      </c>
      <c r="E629" s="34">
        <f>IF(_xlfn.XLOOKUP($A629,'[1]DATOS PBI Artículos'!A:A,'[1]DATOS PBI Artículos'!AK:AK)="",_xlfn.XLOOKUP($A629,'[1]DATOS PBI Artículos'!A:A,'[1]DATOS PBI Artículos'!AJ:AJ),_xlfn.XLOOKUP($A629,'[1]DATOS PBI Artículos'!A:A,'[1]DATOS PBI Artículos'!AK:AK))</f>
        <v>0</v>
      </c>
      <c r="F629" s="35">
        <f>_xlfn.XLOOKUP($A629,'[1]DATOS PBI Artículos'!A:A,'[1]DATOS PBI Artículos'!AP:AP)</f>
        <v>0</v>
      </c>
      <c r="G629" s="34">
        <f>_xlfn.XLOOKUP($A629,'[1]DATOS PBI Artículos'!A:A,'[1]DATOS PBI Artículos'!AR:AR)</f>
        <v>0</v>
      </c>
      <c r="H629" s="34">
        <f>_xlfn.XLOOKUP($A629,'[1]DATOS PBI Artículos'!A:A,'[1]DATOS PBI Artículos'!AT:AT)</f>
        <v>0</v>
      </c>
      <c r="I629" s="34">
        <f>_xlfn.XLOOKUP($A629,'[1]DATOS PBI Artículos'!A:A,'[1]DATOS PBI Artículos'!AS:AS)</f>
        <v>0</v>
      </c>
      <c r="J629" s="35">
        <f>IF(COUNTIF([1]CRITERIOS!$F$179:$F$199,$A629)&gt;=1,
 IF(O629&lt;&gt;"",
    (O629/_xlfn.XLOOKUP(CONCATENATE(A629,L629),[1]MÁQUINAS!A:A,[1]MÁQUINAS!D:D))/24,
    (N629/_xlfn.XLOOKUP(CONCATENATE(A629,L629),[1]MÁQUINAS!A:A,[1]MÁQUINAS!D:D))/24),
  _xlfn.XLOOKUP($A629,'[1]DATOS PBI Artículos'!A:A,'[1]DATOS PBI Artículos'!AU:AU))</f>
        <v>0</v>
      </c>
      <c r="K629" s="36">
        <f>_xlfn.XLOOKUP($A629,'[1]DATOS PBI Artículos'!A:A,'[1]DATOS PBI Artículos'!AV:AV)</f>
        <v>0</v>
      </c>
      <c r="L629" s="33">
        <f>_xlfn.XLOOKUP(A629,[1]MÁQUINAS!B:B,[1]MÁQUINAS!C:C)</f>
        <v>0</v>
      </c>
      <c r="M629" s="34">
        <f t="array" ref="M629">_xlfn.XLOOKUP(A629,'[1]DATOS PBI Artículos'!A:A,'[1]DATOS PBI Artículos'!AX:$AX)</f>
        <v>0</v>
      </c>
      <c r="N629" s="37" t="e">
        <f>IF(I629="DV",
E629,
IF(COUNTIF([1]CRITERIOS!$I$179:$I$199,$A629)&gt;=1,
_xlfn.XLOOKUP($A629,[1]CRITERIOS!$I$179:$I$199,[1]CRITERIOS!$J$179:$J$199),
IF(COUNTIF([1]CRITERIOS!$L$179:$L$199,$A629)&gt;=1,
_xlfn.CEILING.MATH(IF($M629&gt;$E629,
$E629,
IF($M629&lt;$E629/ROUNDDOWN([1]CRITERIOS!$M$16/_xlfn.XLOOKUP($C629,[1]CRITERIOS!$K$25:$K$42,[1]CRITERIOS!$M$25:$M$42),
1),
E629/ROUNDDOWN([1]CRITERIOS!$M$16/_xlfn.XLOOKUP($C629,[1]CRITERIOS!$K$25:$K$42,[1]CRITERIOS!$M$25:$M$42),
1),
$M629)),
_xlfn.XLOOKUP($A629,[1]CRITERIOS!$L$179:$L$200,[1]CRITERIOS!$M$179:$M$200)),
_xlfn.CEILING.MATH(IF($M629&gt;$E629,
$E629,
IF($M629&lt;$E629/ROUNDDOWN([1]CRITERIOS!$M$16/_xlfn.XLOOKUP($C629,[1]CRITERIOS!$K$25:$K$42,[1]CRITERIOS!$M$25:$M$42),
1),
E629/ROUNDDOWN([1]CRITERIOS!$M$16/_xlfn.XLOOKUP($C629,[1]CRITERIOS!$K$25:$K$42,[1]CRITERIOS!$M$25:$M$42),
1),
$M629)),_xlfn.XLOOKUP(A629,'[1]DATOS PBI Artículos'!A:A,'[1]DATOS PBI Artículos'!Z:Z
)))))</f>
        <v>#N/A</v>
      </c>
      <c r="Q629" s="38" t="e">
        <f>IF(AND(O629="",N629=0),
0,
   IF(COUNTIF([1]CRITERIOS!$F$179:$F$199,$A629)&gt;=1,
   1,
   IF(R629="MTO",
      $D629,
      ROUNDUP(
                    IF(($E629-SUMIF('[1]DATOS PBI Artículos'!A:A,A629,'[1]DATOS PBI Artículos'!X:X)+($V629-_xlfn.XLOOKUP(A629,'[1]DATOS PBI Artículos'!A:A,'[1]DATOS PBI Artículos'!W:W)))&lt;0,
                    0,
                    IF(($E629-SUMIF('[1]DATOS PBI Artículos'!A:A,A629,'[1]DATOS PBI Artículos'!X:X)+$V629-_xlfn.XLOOKUP($A629,'[1]DATOS PBI Artículos'!A:A,'[1]DATOS PBI Artículos'!W:W))/IF($O629="",$N629,$O629)&gt;ROUNDUP([1]CRITERIOS!$M$16/(IF(COUNTIF([1]CRITERIOS!$BG$11:$BG$201,L629)&gt;=1,_xlfn.XLOOKUP($C629,[1]CRITERIOS!$K$25:$K$42,[1]CRITERIOS!$M$25:$M$42),_xlfn.XLOOKUP($C629,[1]CRITERIOS!$K$25:$K$42,[1]CRITERIOS!$M$25:$M$42))),0),
                    ROUNDUP([1]CRITERIOS!$M$16/(IF(COUNTIF([1]CRITERIOS!$BG$11:$BG$201,$L629)&gt;=1,_xlfn.XLOOKUP($C629,[1]CRITERIOS!$K$25:$K$42,[1]CRITERIOS!$M$25:$M$42),_xlfn.XLOOKUP($C629,[1]CRITERIOS!$K$25:$K$42,[1]CRITERIOS!$M$25:$M$42))),0),
                    (E629+V629-SUMIF('[1]DATOS PBI Artículos'!A:A,A629,'[1]DATOS PBI Artículos'!X:X)-_xlfn.XLOOKUP(A629,'[1]DATOS PBI Artículos'!A:A,'[1]DATOS PBI Artículos'!W:W))/IF($O629="",$N629,$O629))),0))))</f>
        <v>#N/A</v>
      </c>
      <c r="R629" s="33" t="e">
        <f>IF(U629&lt;&gt;"",U629,IF(F629="DV","MTO",IF(N629=0,"MTO",_xlfn.XLOOKUP(CONCATENATE(S629,T629),[1]CRITERIOS!$K$160:$K$168,[1]CRITERIOS!$N$160:$N$168))))</f>
        <v>#N/A</v>
      </c>
      <c r="S629" s="33" t="e">
        <f>IF(G629="DV","MTO",IF(N629=0,"MTO",IF(OR(AND(N629=0,O629=""),IF(O629="",G629/N629,G629/O629)&gt;[1]CRITERIOS!$G$163),"MTO",IF(IF(O629="",G629/N629,G629/O629)&lt;[1]CRITERIOS!$H$161,"MTS","MTOS"))))</f>
        <v>#N/A</v>
      </c>
      <c r="T629" s="33" t="e">
        <f>IF(F629="DV","MTO",IF(OR(AND($N629=0,O629=""),$F629/$J629&gt;[1]CRITERIOS!$G$170,$F629="DV"),"MTO",IF($F629/$J629&lt;[1]CRITERIOS!$H$168,"MTS","MTOS")))</f>
        <v>#N/A</v>
      </c>
      <c r="V629" s="34" t="e">
        <f t="shared" si="31"/>
        <v>#N/A</v>
      </c>
      <c r="X629" s="34" t="e">
        <f t="shared" si="29"/>
        <v>#N/A</v>
      </c>
      <c r="Y629" s="34" t="e">
        <f t="shared" si="30"/>
        <v>#N/A</v>
      </c>
      <c r="Z629" s="34" t="e">
        <f>IF($R629="MTO",
0,
($H629+$K629*($E629/[1]CRITERIOS!$M$16))/[1]CRITERIOS!$X$48)</f>
        <v>#N/A</v>
      </c>
      <c r="AA629" s="34" t="e">
        <f>ROUNDUP(($Y629/_xlfn.XLOOKUP($A629,'[1]DATOS PBI Artículos'!$A$4:$A$4,'[1]DATOS PBI Artículos'!$Z$4:$Z$4))/_xlfn.XLOOKUP(_xlfn.XLOOKUP($A629,'[1]DATOS PBI Artículos'!$A$4:$A$4,'[1]DATOS PBI Artículos'!$Y$4:$Y$4),[1]CRITERIOS!$P$79:$P$123,[1]CRITERIOS!$S$79:$S$123,),0)</f>
        <v>#N/A</v>
      </c>
      <c r="AB629" s="33" t="e">
        <f t="array" ref="AB629">IF((E629+V629-_xlfn.XLOOKUP(A629,'[1]DATOS PBI Artículos'!$A$4:$A$4,'[1]DATOS PBI Artículos'!$W$4:$W$4))/N629&gt;ROUNDUP([1]CRITERIOS!$M$16/(IF(COUNTIF([1]CRITERIOS!$BG$11:$BG$201,L629)&gt;=1,_xlfn.XLOOKUP(ARTÍCULOS!L629,[1]CRITERIOS!$BG$11:$BG$201,[1]CRITERIOS!$BJ$11:$BJ$201),_xlfn.XLOOKUP(ARTÍCULOS!C629,[1]CRITERIOS!$K$25:$K$42,[1]CRITERIOS!$M$25:$M$42))),0),ROUNDUP([1]CRITERIOS!$M$16/(IF(COUNTIF([1]CRITERIOS!$BG$11:$BG$201,L629)&gt;=1,_xlfn.XLOOKUP(ARTÍCULOS!L629,[1]CRITERIOS!$BG$11:$BG$201:#REF!,[1]CRITERIOS!$BJ$11:$BJ$201),_xlfn.XLOOKUP(ARTÍCULOS!C629,[1]CRITERIOS!$K$25:$K$42,[1]CRITERIOS!$M$25:$M$42))),0),(E629+V629-_xlfn.XLOOKUP(A629,'[1]DATOS PBI Artículos'!$A$4:$A$4,'[1]DATOS PBI Artículos'!$W$4:$W$4))/N629)</f>
        <v>#N/A</v>
      </c>
      <c r="AC629" s="33" t="e">
        <f>IF(N629=0,"",(ROUNDUP((N629/2)/(_xlfn.XLOOKUP(A629,'[1]DATOS PBI Artículos'!$A$4:$A$4,'[1]DATOS PBI Artículos'!$Z$4:$Z$4)*_xlfn.XLOOKUP(_xlfn.XLOOKUP(A629,'[1]DATOS PBI Artículos'!$A$4:$A$4,'[1]DATOS PBI Artículos'!$Y$4:$Y$4),[1]CRITERIOS!$P$79:$P$123,[1]CRITERIOS!$S$79:$S$123)),0)*[1]CRITERIOS!$M$80*([1]CRITERIOS!$M$110/[1]CRITERIOS!$M$86)+(_xlfn.XLOOKUP(A629,'[1]DATOS PBI Artículos'!$A$4:$A$4,'[1]DATOS PBI Artículos'!$AA$4:$AA$4)*([1]CRITERIOS!$M$95+[1]CRITERIOS!$M$98)))/N629)</f>
        <v>#N/A</v>
      </c>
      <c r="AD629" s="33" t="e">
        <f>IF(N629=0,"",(ROUNDUP((N629/2)/(_xlfn.XLOOKUP(A629,'[1]DATOS PBI Artículos'!$A$4:$A$4,'[1]DATOS PBI Artículos'!$Z$4:$Z$4)*_xlfn.XLOOKUP(_xlfn.XLOOKUP(A629,'[1]DATOS PBI Artículos'!$A$4:$A$4,'[1]DATOS PBI Artículos'!$Y$4:$Y$4),[1]CRITERIOS!$P$79:$P$123,[1]CRITERIOS!$S$79:$S$123)),0)*[1]CRITERIOS!$M$80*([1]CRITERIOS!$M$89*[1]CRITERIOS!$M$92)+((_xlfn.XLOOKUP(A629,'[1]DATOS PBI Artículos'!$A$4:$A$4,'[1]DATOS PBI Artículos'!$AA$4:$AA$4)/2)*([1]CRITERIOS!$M$95+[1]CRITERIOS!$M$98)))/N629)</f>
        <v>#N/A</v>
      </c>
      <c r="AE629" s="39" t="e">
        <f>IF($R629="MTO","",
IF($H629=0,ROUNDUP(((_xlfn.XLOOKUP($A629,'[1]DATOS PBI Artículos'!$A:$A,'[1]DATOS PBI Artículos'!$AL:$AL))/(_xlfn.XLOOKUP($AF$1,[1]CRITERIOS!$S$16:$S$39,[1]CRITERIOS!$Y$16:$Y$39))*$J629+$Z629)/$G629,0)*$G629,
((_xlfn.XLOOKUP($A629,'[1]DATOS PBI Artículos'!$A:$A,'[1]DATOS PBI Artículos'!$AL:$AL))/(_xlfn.XLOOKUP($AF$1,[1]CRITERIOS!$S$16:$S$39,[1]CRITERIOS!$Y$16:$Y$39))*$J629+$Z629)))</f>
        <v>#N/A</v>
      </c>
      <c r="AG629" s="39" t="e">
        <f>IF($R629="MTO","",
IF($H629=0,ROUNDUP(((_xlfn.XLOOKUP($A629,'[1]DATOS PBI Artículos'!$A:$A,'[1]DATOS PBI Artículos'!$AM:$AM))/(_xlfn.XLOOKUP($AH$1,[1]CRITERIOS!$S$16:$S$39,[1]CRITERIOS!$Y$16:$Y$39))*$J629+$Z629)/$G629,0)*$G629,
((_xlfn.XLOOKUP($A629,'[1]DATOS PBI Artículos'!$A:$A,'[1]DATOS PBI Artículos'!$AM:$AM))/(_xlfn.XLOOKUP($AH$1,[1]CRITERIOS!$S$16:$S$39,[1]CRITERIOS!$Y$16:$Y$39))*$J629+$Z629)))</f>
        <v>#N/A</v>
      </c>
      <c r="AI629" s="39" t="e">
        <f>IF($R629="MTO","",
IF($H629=0,ROUNDUP(((_xlfn.XLOOKUP($A629,'[1]DATOS PBI Artículos'!$A:$A,'[1]DATOS PBI Artículos'!$AN:$AN))/(_xlfn.XLOOKUP($AJ$1,[1]CRITERIOS!$S$16:$S$39,[1]CRITERIOS!$Y$16:$Y$39))*$J629+$Z629)/$G629,0)*$G629,
((_xlfn.XLOOKUP($A629,'[1]DATOS PBI Artículos'!$A:$A,'[1]DATOS PBI Artículos'!$AN:$AN))/(_xlfn.XLOOKUP($AJ$1,[1]CRITERIOS!$S$16:$S$39,[1]CRITERIOS!$Y$16:$Y$39))*$J629+$Z629)))</f>
        <v>#N/A</v>
      </c>
      <c r="AK629" s="39" t="e">
        <f>IF($R629="MTO","",
IF($H629=0,ROUNDUP(((_xlfn.XLOOKUP($A629,'[1]DATOS PBI Artículos'!$A:$A,'[1]DATOS PBI Artículos'!$AO:$AO))/(_xlfn.XLOOKUP($AL$1,[1]CRITERIOS!$S$16:$S$39,[1]CRITERIOS!$Y$16:$Y$39))*$J629+$Z629)/$G629,0)*$G629,
((_xlfn.XLOOKUP($A629,'[1]DATOS PBI Artículos'!$A:$A,'[1]DATOS PBI Artículos'!$AO:$AO))/(_xlfn.XLOOKUP($AL$1,[1]CRITERIOS!$S$16:$S$39,[1]CRITERIOS!$Y$16:$Y$39))*$J629+$Z629)))</f>
        <v>#N/A</v>
      </c>
    </row>
    <row r="630" spans="1:37" ht="25.8" hidden="1" x14ac:dyDescent="0.4">
      <c r="A630" s="41"/>
      <c r="B630" s="33">
        <f>_xlfn.XLOOKUP($A630,'[1]DATOS PBI Artículos'!A:A,'[1]DATOS PBI Artículos'!B:B)</f>
        <v>0</v>
      </c>
      <c r="C630" s="33">
        <f>_xlfn.XLOOKUP($A630,'[1]DATOS PBI Artículos'!A:A,'[1]DATOS PBI Artículos'!C:C)</f>
        <v>0</v>
      </c>
      <c r="D630" s="33">
        <f>_xlfn.XLOOKUP(A630,'[1]DATOS PBI Artículos'!A:A,'[1]DATOS PBI Artículos'!T:T)</f>
        <v>0</v>
      </c>
      <c r="E630" s="34">
        <f>IF(_xlfn.XLOOKUP($A630,'[1]DATOS PBI Artículos'!A:A,'[1]DATOS PBI Artículos'!AK:AK)="",_xlfn.XLOOKUP($A630,'[1]DATOS PBI Artículos'!A:A,'[1]DATOS PBI Artículos'!AJ:AJ),_xlfn.XLOOKUP($A630,'[1]DATOS PBI Artículos'!A:A,'[1]DATOS PBI Artículos'!AK:AK))</f>
        <v>0</v>
      </c>
      <c r="F630" s="35">
        <f>_xlfn.XLOOKUP($A630,'[1]DATOS PBI Artículos'!A:A,'[1]DATOS PBI Artículos'!AP:AP)</f>
        <v>0</v>
      </c>
      <c r="G630" s="34">
        <f>_xlfn.XLOOKUP($A630,'[1]DATOS PBI Artículos'!A:A,'[1]DATOS PBI Artículos'!AR:AR)</f>
        <v>0</v>
      </c>
      <c r="H630" s="34">
        <f>_xlfn.XLOOKUP($A630,'[1]DATOS PBI Artículos'!A:A,'[1]DATOS PBI Artículos'!AT:AT)</f>
        <v>0</v>
      </c>
      <c r="I630" s="34">
        <f>_xlfn.XLOOKUP($A630,'[1]DATOS PBI Artículos'!A:A,'[1]DATOS PBI Artículos'!AS:AS)</f>
        <v>0</v>
      </c>
      <c r="J630" s="35">
        <f>IF(COUNTIF([1]CRITERIOS!$F$179:$F$199,$A630)&gt;=1,
 IF(O630&lt;&gt;"",
    (O630/_xlfn.XLOOKUP(CONCATENATE(A630,L630),[1]MÁQUINAS!A:A,[1]MÁQUINAS!D:D))/24,
    (N630/_xlfn.XLOOKUP(CONCATENATE(A630,L630),[1]MÁQUINAS!A:A,[1]MÁQUINAS!D:D))/24),
  _xlfn.XLOOKUP($A630,'[1]DATOS PBI Artículos'!A:A,'[1]DATOS PBI Artículos'!AU:AU))</f>
        <v>0</v>
      </c>
      <c r="K630" s="36">
        <f>_xlfn.XLOOKUP($A630,'[1]DATOS PBI Artículos'!A:A,'[1]DATOS PBI Artículos'!AV:AV)</f>
        <v>0</v>
      </c>
      <c r="L630" s="33">
        <f>_xlfn.XLOOKUP(A630,[1]MÁQUINAS!B:B,[1]MÁQUINAS!C:C)</f>
        <v>0</v>
      </c>
      <c r="M630" s="34">
        <f t="array" ref="M630">_xlfn.XLOOKUP(A630,'[1]DATOS PBI Artículos'!A:A,'[1]DATOS PBI Artículos'!AX:$AX)</f>
        <v>0</v>
      </c>
      <c r="N630" s="37" t="e">
        <f>IF(I630="DV",
E630,
IF(COUNTIF([1]CRITERIOS!$I$179:$I$199,$A630)&gt;=1,
_xlfn.XLOOKUP($A630,[1]CRITERIOS!$I$179:$I$199,[1]CRITERIOS!$J$179:$J$199),
IF(COUNTIF([1]CRITERIOS!$L$179:$L$199,$A630)&gt;=1,
_xlfn.CEILING.MATH(IF($M630&gt;$E630,
$E630,
IF($M630&lt;$E630/ROUNDDOWN([1]CRITERIOS!$M$16/_xlfn.XLOOKUP($C630,[1]CRITERIOS!$K$25:$K$42,[1]CRITERIOS!$M$25:$M$42),
1),
E630/ROUNDDOWN([1]CRITERIOS!$M$16/_xlfn.XLOOKUP($C630,[1]CRITERIOS!$K$25:$K$42,[1]CRITERIOS!$M$25:$M$42),
1),
$M630)),
_xlfn.XLOOKUP($A630,[1]CRITERIOS!$L$179:$L$200,[1]CRITERIOS!$M$179:$M$200)),
_xlfn.CEILING.MATH(IF($M630&gt;$E630,
$E630,
IF($M630&lt;$E630/ROUNDDOWN([1]CRITERIOS!$M$16/_xlfn.XLOOKUP($C630,[1]CRITERIOS!$K$25:$K$42,[1]CRITERIOS!$M$25:$M$42),
1),
E630/ROUNDDOWN([1]CRITERIOS!$M$16/_xlfn.XLOOKUP($C630,[1]CRITERIOS!$K$25:$K$42,[1]CRITERIOS!$M$25:$M$42),
1),
$M630)),_xlfn.XLOOKUP(A630,'[1]DATOS PBI Artículos'!A:A,'[1]DATOS PBI Artículos'!Z:Z
)))))</f>
        <v>#N/A</v>
      </c>
      <c r="Q630" s="38" t="e">
        <f>IF(AND(O630="",N630=0),
0,
   IF(COUNTIF([1]CRITERIOS!$F$179:$F$199,$A630)&gt;=1,
   1,
   IF(R630="MTO",
      $D630,
      ROUNDUP(
                    IF(($E630-SUMIF('[1]DATOS PBI Artículos'!A:A,A630,'[1]DATOS PBI Artículos'!X:X)+($V630-_xlfn.XLOOKUP(A630,'[1]DATOS PBI Artículos'!A:A,'[1]DATOS PBI Artículos'!W:W)))&lt;0,
                    0,
                    IF(($E630-SUMIF('[1]DATOS PBI Artículos'!A:A,A630,'[1]DATOS PBI Artículos'!X:X)+$V630-_xlfn.XLOOKUP($A630,'[1]DATOS PBI Artículos'!A:A,'[1]DATOS PBI Artículos'!W:W))/IF($O630="",$N630,$O630)&gt;ROUNDUP([1]CRITERIOS!$M$16/(IF(COUNTIF([1]CRITERIOS!$BG$11:$BG$201,L630)&gt;=1,_xlfn.XLOOKUP($C630,[1]CRITERIOS!$K$25:$K$42,[1]CRITERIOS!$M$25:$M$42),_xlfn.XLOOKUP($C630,[1]CRITERIOS!$K$25:$K$42,[1]CRITERIOS!$M$25:$M$42))),0),
                    ROUNDUP([1]CRITERIOS!$M$16/(IF(COUNTIF([1]CRITERIOS!$BG$11:$BG$201,$L630)&gt;=1,_xlfn.XLOOKUP($C630,[1]CRITERIOS!$K$25:$K$42,[1]CRITERIOS!$M$25:$M$42),_xlfn.XLOOKUP($C630,[1]CRITERIOS!$K$25:$K$42,[1]CRITERIOS!$M$25:$M$42))),0),
                    (E630+V630-SUMIF('[1]DATOS PBI Artículos'!A:A,A630,'[1]DATOS PBI Artículos'!X:X)-_xlfn.XLOOKUP(A630,'[1]DATOS PBI Artículos'!A:A,'[1]DATOS PBI Artículos'!W:W))/IF($O630="",$N630,$O630))),0))))</f>
        <v>#N/A</v>
      </c>
      <c r="R630" s="33" t="e">
        <f>IF(U630&lt;&gt;"",U630,IF(F630="DV","MTO",IF(N630=0,"MTO",_xlfn.XLOOKUP(CONCATENATE(S630,T630),[1]CRITERIOS!$K$160:$K$168,[1]CRITERIOS!$N$160:$N$168))))</f>
        <v>#N/A</v>
      </c>
      <c r="S630" s="33" t="e">
        <f>IF(G630="DV","MTO",IF(N630=0,"MTO",IF(OR(AND(N630=0,O630=""),IF(O630="",G630/N630,G630/O630)&gt;[1]CRITERIOS!$G$163),"MTO",IF(IF(O630="",G630/N630,G630/O630)&lt;[1]CRITERIOS!$H$161,"MTS","MTOS"))))</f>
        <v>#N/A</v>
      </c>
      <c r="T630" s="33" t="e">
        <f>IF(F630="DV","MTO",IF(OR(AND($N630=0,O630=""),$F630/$J630&gt;[1]CRITERIOS!$G$170,$F630="DV"),"MTO",IF($F630/$J630&lt;[1]CRITERIOS!$H$168,"MTS","MTOS")))</f>
        <v>#N/A</v>
      </c>
      <c r="V630" s="34" t="e">
        <f t="shared" si="31"/>
        <v>#N/A</v>
      </c>
      <c r="X630" s="34" t="e">
        <f t="shared" si="29"/>
        <v>#N/A</v>
      </c>
      <c r="Y630" s="34" t="e">
        <f t="shared" si="30"/>
        <v>#N/A</v>
      </c>
      <c r="Z630" s="34" t="e">
        <f>IF($R630="MTO",
0,
($H630+$K630*($E630/[1]CRITERIOS!$M$16))/[1]CRITERIOS!$X$48)</f>
        <v>#N/A</v>
      </c>
      <c r="AA630" s="34" t="e">
        <f>ROUNDUP(($Y630/_xlfn.XLOOKUP($A630,'[1]DATOS PBI Artículos'!$A$4:$A$4,'[1]DATOS PBI Artículos'!$Z$4:$Z$4))/_xlfn.XLOOKUP(_xlfn.XLOOKUP($A630,'[1]DATOS PBI Artículos'!$A$4:$A$4,'[1]DATOS PBI Artículos'!$Y$4:$Y$4),[1]CRITERIOS!$P$79:$P$123,[1]CRITERIOS!$S$79:$S$123,),0)</f>
        <v>#N/A</v>
      </c>
      <c r="AB630" s="33" t="e">
        <f t="array" ref="AB630">IF((E630+V630-_xlfn.XLOOKUP(A630,'[1]DATOS PBI Artículos'!$A$4:$A$4,'[1]DATOS PBI Artículos'!$W$4:$W$4))/N630&gt;ROUNDUP([1]CRITERIOS!$M$16/(IF(COUNTIF([1]CRITERIOS!$BG$11:$BG$201,L630)&gt;=1,_xlfn.XLOOKUP(ARTÍCULOS!L630,[1]CRITERIOS!$BG$11:$BG$201,[1]CRITERIOS!$BJ$11:$BJ$201),_xlfn.XLOOKUP(ARTÍCULOS!C630,[1]CRITERIOS!$K$25:$K$42,[1]CRITERIOS!$M$25:$M$42))),0),ROUNDUP([1]CRITERIOS!$M$16/(IF(COUNTIF([1]CRITERIOS!$BG$11:$BG$201,L630)&gt;=1,_xlfn.XLOOKUP(ARTÍCULOS!L630,[1]CRITERIOS!$BG$11:$BG$201:#REF!,[1]CRITERIOS!$BJ$11:$BJ$201),_xlfn.XLOOKUP(ARTÍCULOS!C630,[1]CRITERIOS!$K$25:$K$42,[1]CRITERIOS!$M$25:$M$42))),0),(E630+V630-_xlfn.XLOOKUP(A630,'[1]DATOS PBI Artículos'!$A$4:$A$4,'[1]DATOS PBI Artículos'!$W$4:$W$4))/N630)</f>
        <v>#N/A</v>
      </c>
      <c r="AC630" s="33" t="e">
        <f>IF(N630=0,"",(ROUNDUP((N630/2)/(_xlfn.XLOOKUP(A630,'[1]DATOS PBI Artículos'!$A$4:$A$4,'[1]DATOS PBI Artículos'!$Z$4:$Z$4)*_xlfn.XLOOKUP(_xlfn.XLOOKUP(A630,'[1]DATOS PBI Artículos'!$A$4:$A$4,'[1]DATOS PBI Artículos'!$Y$4:$Y$4),[1]CRITERIOS!$P$79:$P$123,[1]CRITERIOS!$S$79:$S$123)),0)*[1]CRITERIOS!$M$80*([1]CRITERIOS!$M$110/[1]CRITERIOS!$M$86)+(_xlfn.XLOOKUP(A630,'[1]DATOS PBI Artículos'!$A$4:$A$4,'[1]DATOS PBI Artículos'!$AA$4:$AA$4)*([1]CRITERIOS!$M$95+[1]CRITERIOS!$M$98)))/N630)</f>
        <v>#N/A</v>
      </c>
      <c r="AD630" s="33" t="e">
        <f>IF(N630=0,"",(ROUNDUP((N630/2)/(_xlfn.XLOOKUP(A630,'[1]DATOS PBI Artículos'!$A$4:$A$4,'[1]DATOS PBI Artículos'!$Z$4:$Z$4)*_xlfn.XLOOKUP(_xlfn.XLOOKUP(A630,'[1]DATOS PBI Artículos'!$A$4:$A$4,'[1]DATOS PBI Artículos'!$Y$4:$Y$4),[1]CRITERIOS!$P$79:$P$123,[1]CRITERIOS!$S$79:$S$123)),0)*[1]CRITERIOS!$M$80*([1]CRITERIOS!$M$89*[1]CRITERIOS!$M$92)+((_xlfn.XLOOKUP(A630,'[1]DATOS PBI Artículos'!$A$4:$A$4,'[1]DATOS PBI Artículos'!$AA$4:$AA$4)/2)*([1]CRITERIOS!$M$95+[1]CRITERIOS!$M$98)))/N630)</f>
        <v>#N/A</v>
      </c>
      <c r="AE630" s="39" t="e">
        <f>IF($R630="MTO","",
IF($H630=0,ROUNDUP(((_xlfn.XLOOKUP($A630,'[1]DATOS PBI Artículos'!$A:$A,'[1]DATOS PBI Artículos'!$AL:$AL))/(_xlfn.XLOOKUP($AF$1,[1]CRITERIOS!$S$16:$S$39,[1]CRITERIOS!$Y$16:$Y$39))*$J630+$Z630)/$G630,0)*$G630,
((_xlfn.XLOOKUP($A630,'[1]DATOS PBI Artículos'!$A:$A,'[1]DATOS PBI Artículos'!$AL:$AL))/(_xlfn.XLOOKUP($AF$1,[1]CRITERIOS!$S$16:$S$39,[1]CRITERIOS!$Y$16:$Y$39))*$J630+$Z630)))</f>
        <v>#N/A</v>
      </c>
      <c r="AG630" s="39" t="e">
        <f>IF($R630="MTO","",
IF($H630=0,ROUNDUP(((_xlfn.XLOOKUP($A630,'[1]DATOS PBI Artículos'!$A:$A,'[1]DATOS PBI Artículos'!$AM:$AM))/(_xlfn.XLOOKUP($AH$1,[1]CRITERIOS!$S$16:$S$39,[1]CRITERIOS!$Y$16:$Y$39))*$J630+$Z630)/$G630,0)*$G630,
((_xlfn.XLOOKUP($A630,'[1]DATOS PBI Artículos'!$A:$A,'[1]DATOS PBI Artículos'!$AM:$AM))/(_xlfn.XLOOKUP($AH$1,[1]CRITERIOS!$S$16:$S$39,[1]CRITERIOS!$Y$16:$Y$39))*$J630+$Z630)))</f>
        <v>#N/A</v>
      </c>
      <c r="AI630" s="39" t="e">
        <f>IF($R630="MTO","",
IF($H630=0,ROUNDUP(((_xlfn.XLOOKUP($A630,'[1]DATOS PBI Artículos'!$A:$A,'[1]DATOS PBI Artículos'!$AN:$AN))/(_xlfn.XLOOKUP($AJ$1,[1]CRITERIOS!$S$16:$S$39,[1]CRITERIOS!$Y$16:$Y$39))*$J630+$Z630)/$G630,0)*$G630,
((_xlfn.XLOOKUP($A630,'[1]DATOS PBI Artículos'!$A:$A,'[1]DATOS PBI Artículos'!$AN:$AN))/(_xlfn.XLOOKUP($AJ$1,[1]CRITERIOS!$S$16:$S$39,[1]CRITERIOS!$Y$16:$Y$39))*$J630+$Z630)))</f>
        <v>#N/A</v>
      </c>
      <c r="AK630" s="39" t="e">
        <f>IF($R630="MTO","",
IF($H630=0,ROUNDUP(((_xlfn.XLOOKUP($A630,'[1]DATOS PBI Artículos'!$A:$A,'[1]DATOS PBI Artículos'!$AO:$AO))/(_xlfn.XLOOKUP($AL$1,[1]CRITERIOS!$S$16:$S$39,[1]CRITERIOS!$Y$16:$Y$39))*$J630+$Z630)/$G630,0)*$G630,
((_xlfn.XLOOKUP($A630,'[1]DATOS PBI Artículos'!$A:$A,'[1]DATOS PBI Artículos'!$AO:$AO))/(_xlfn.XLOOKUP($AL$1,[1]CRITERIOS!$S$16:$S$39,[1]CRITERIOS!$Y$16:$Y$39))*$J630+$Z630)))</f>
        <v>#N/A</v>
      </c>
    </row>
    <row r="631" spans="1:37" ht="25.8" hidden="1" x14ac:dyDescent="0.4">
      <c r="A631" s="41"/>
      <c r="B631" s="33">
        <f>_xlfn.XLOOKUP($A631,'[1]DATOS PBI Artículos'!A:A,'[1]DATOS PBI Artículos'!B:B)</f>
        <v>0</v>
      </c>
      <c r="C631" s="33">
        <f>_xlfn.XLOOKUP($A631,'[1]DATOS PBI Artículos'!A:A,'[1]DATOS PBI Artículos'!C:C)</f>
        <v>0</v>
      </c>
      <c r="D631" s="33">
        <f>_xlfn.XLOOKUP(A631,'[1]DATOS PBI Artículos'!A:A,'[1]DATOS PBI Artículos'!T:T)</f>
        <v>0</v>
      </c>
      <c r="E631" s="34">
        <f>IF(_xlfn.XLOOKUP($A631,'[1]DATOS PBI Artículos'!A:A,'[1]DATOS PBI Artículos'!AK:AK)="",_xlfn.XLOOKUP($A631,'[1]DATOS PBI Artículos'!A:A,'[1]DATOS PBI Artículos'!AJ:AJ),_xlfn.XLOOKUP($A631,'[1]DATOS PBI Artículos'!A:A,'[1]DATOS PBI Artículos'!AK:AK))</f>
        <v>0</v>
      </c>
      <c r="F631" s="35">
        <f>_xlfn.XLOOKUP($A631,'[1]DATOS PBI Artículos'!A:A,'[1]DATOS PBI Artículos'!AP:AP)</f>
        <v>0</v>
      </c>
      <c r="G631" s="34">
        <f>_xlfn.XLOOKUP($A631,'[1]DATOS PBI Artículos'!A:A,'[1]DATOS PBI Artículos'!AR:AR)</f>
        <v>0</v>
      </c>
      <c r="H631" s="34">
        <f>_xlfn.XLOOKUP($A631,'[1]DATOS PBI Artículos'!A:A,'[1]DATOS PBI Artículos'!AT:AT)</f>
        <v>0</v>
      </c>
      <c r="I631" s="34">
        <f>_xlfn.XLOOKUP($A631,'[1]DATOS PBI Artículos'!A:A,'[1]DATOS PBI Artículos'!AS:AS)</f>
        <v>0</v>
      </c>
      <c r="J631" s="35">
        <f>IF(COUNTIF([1]CRITERIOS!$F$179:$F$199,$A631)&gt;=1,
 IF(O631&lt;&gt;"",
    (O631/_xlfn.XLOOKUP(CONCATENATE(A631,L631),[1]MÁQUINAS!A:A,[1]MÁQUINAS!D:D))/24,
    (N631/_xlfn.XLOOKUP(CONCATENATE(A631,L631),[1]MÁQUINAS!A:A,[1]MÁQUINAS!D:D))/24),
  _xlfn.XLOOKUP($A631,'[1]DATOS PBI Artículos'!A:A,'[1]DATOS PBI Artículos'!AU:AU))</f>
        <v>0</v>
      </c>
      <c r="K631" s="36">
        <f>_xlfn.XLOOKUP($A631,'[1]DATOS PBI Artículos'!A:A,'[1]DATOS PBI Artículos'!AV:AV)</f>
        <v>0</v>
      </c>
      <c r="L631" s="33">
        <f>_xlfn.XLOOKUP(A631,[1]MÁQUINAS!B:B,[1]MÁQUINAS!C:C)</f>
        <v>0</v>
      </c>
      <c r="M631" s="34">
        <f t="array" ref="M631">_xlfn.XLOOKUP(A631,'[1]DATOS PBI Artículos'!A:A,'[1]DATOS PBI Artículos'!AX:$AX)</f>
        <v>0</v>
      </c>
      <c r="N631" s="37" t="e">
        <f>IF(I631="DV",
E631,
IF(COUNTIF([1]CRITERIOS!$I$179:$I$199,$A631)&gt;=1,
_xlfn.XLOOKUP($A631,[1]CRITERIOS!$I$179:$I$199,[1]CRITERIOS!$J$179:$J$199),
IF(COUNTIF([1]CRITERIOS!$L$179:$L$199,$A631)&gt;=1,
_xlfn.CEILING.MATH(IF($M631&gt;$E631,
$E631,
IF($M631&lt;$E631/ROUNDDOWN([1]CRITERIOS!$M$16/_xlfn.XLOOKUP($C631,[1]CRITERIOS!$K$25:$K$42,[1]CRITERIOS!$M$25:$M$42),
1),
E631/ROUNDDOWN([1]CRITERIOS!$M$16/_xlfn.XLOOKUP($C631,[1]CRITERIOS!$K$25:$K$42,[1]CRITERIOS!$M$25:$M$42),
1),
$M631)),
_xlfn.XLOOKUP($A631,[1]CRITERIOS!$L$179:$L$200,[1]CRITERIOS!$M$179:$M$200)),
_xlfn.CEILING.MATH(IF($M631&gt;$E631,
$E631,
IF($M631&lt;$E631/ROUNDDOWN([1]CRITERIOS!$M$16/_xlfn.XLOOKUP($C631,[1]CRITERIOS!$K$25:$K$42,[1]CRITERIOS!$M$25:$M$42),
1),
E631/ROUNDDOWN([1]CRITERIOS!$M$16/_xlfn.XLOOKUP($C631,[1]CRITERIOS!$K$25:$K$42,[1]CRITERIOS!$M$25:$M$42),
1),
$M631)),_xlfn.XLOOKUP(A631,'[1]DATOS PBI Artículos'!A:A,'[1]DATOS PBI Artículos'!Z:Z
)))))</f>
        <v>#N/A</v>
      </c>
      <c r="Q631" s="38" t="e">
        <f>IF(AND(O631="",N631=0),
0,
   IF(COUNTIF([1]CRITERIOS!$F$179:$F$199,$A631)&gt;=1,
   1,
   IF(R631="MTO",
      $D631,
      ROUNDUP(
                    IF(($E631-SUMIF('[1]DATOS PBI Artículos'!A:A,A631,'[1]DATOS PBI Artículos'!X:X)+($V631-_xlfn.XLOOKUP(A631,'[1]DATOS PBI Artículos'!A:A,'[1]DATOS PBI Artículos'!W:W)))&lt;0,
                    0,
                    IF(($E631-SUMIF('[1]DATOS PBI Artículos'!A:A,A631,'[1]DATOS PBI Artículos'!X:X)+$V631-_xlfn.XLOOKUP($A631,'[1]DATOS PBI Artículos'!A:A,'[1]DATOS PBI Artículos'!W:W))/IF($O631="",$N631,$O631)&gt;ROUNDUP([1]CRITERIOS!$M$16/(IF(COUNTIF([1]CRITERIOS!$BG$11:$BG$201,L631)&gt;=1,_xlfn.XLOOKUP($C631,[1]CRITERIOS!$K$25:$K$42,[1]CRITERIOS!$M$25:$M$42),_xlfn.XLOOKUP($C631,[1]CRITERIOS!$K$25:$K$42,[1]CRITERIOS!$M$25:$M$42))),0),
                    ROUNDUP([1]CRITERIOS!$M$16/(IF(COUNTIF([1]CRITERIOS!$BG$11:$BG$201,$L631)&gt;=1,_xlfn.XLOOKUP($C631,[1]CRITERIOS!$K$25:$K$42,[1]CRITERIOS!$M$25:$M$42),_xlfn.XLOOKUP($C631,[1]CRITERIOS!$K$25:$K$42,[1]CRITERIOS!$M$25:$M$42))),0),
                    (E631+V631-SUMIF('[1]DATOS PBI Artículos'!A:A,A631,'[1]DATOS PBI Artículos'!X:X)-_xlfn.XLOOKUP(A631,'[1]DATOS PBI Artículos'!A:A,'[1]DATOS PBI Artículos'!W:W))/IF($O631="",$N631,$O631))),0))))</f>
        <v>#N/A</v>
      </c>
      <c r="R631" s="33" t="e">
        <f>IF(U631&lt;&gt;"",U631,IF(F631="DV","MTO",IF(N631=0,"MTO",_xlfn.XLOOKUP(CONCATENATE(S631,T631),[1]CRITERIOS!$K$160:$K$168,[1]CRITERIOS!$N$160:$N$168))))</f>
        <v>#N/A</v>
      </c>
      <c r="S631" s="33" t="e">
        <f>IF(G631="DV","MTO",IF(N631=0,"MTO",IF(OR(AND(N631=0,O631=""),IF(O631="",G631/N631,G631/O631)&gt;[1]CRITERIOS!$G$163),"MTO",IF(IF(O631="",G631/N631,G631/O631)&lt;[1]CRITERIOS!$H$161,"MTS","MTOS"))))</f>
        <v>#N/A</v>
      </c>
      <c r="T631" s="33" t="e">
        <f>IF(F631="DV","MTO",IF(OR(AND($N631=0,O631=""),$F631/$J631&gt;[1]CRITERIOS!$G$170,$F631="DV"),"MTO",IF($F631/$J631&lt;[1]CRITERIOS!$H$168,"MTS","MTOS")))</f>
        <v>#N/A</v>
      </c>
      <c r="V631" s="34" t="e">
        <f t="shared" si="31"/>
        <v>#N/A</v>
      </c>
      <c r="X631" s="34" t="e">
        <f t="shared" si="29"/>
        <v>#N/A</v>
      </c>
      <c r="Y631" s="34" t="e">
        <f t="shared" si="30"/>
        <v>#N/A</v>
      </c>
      <c r="Z631" s="34" t="e">
        <f>IF($R631="MTO",
0,
($H631+$K631*($E631/[1]CRITERIOS!$M$16))/[1]CRITERIOS!$X$48)</f>
        <v>#N/A</v>
      </c>
      <c r="AA631" s="34" t="e">
        <f>ROUNDUP(($Y631/_xlfn.XLOOKUP($A631,'[1]DATOS PBI Artículos'!$A$4:$A$4,'[1]DATOS PBI Artículos'!$Z$4:$Z$4))/_xlfn.XLOOKUP(_xlfn.XLOOKUP($A631,'[1]DATOS PBI Artículos'!$A$4:$A$4,'[1]DATOS PBI Artículos'!$Y$4:$Y$4),[1]CRITERIOS!$P$79:$P$123,[1]CRITERIOS!$S$79:$S$123,),0)</f>
        <v>#N/A</v>
      </c>
      <c r="AB631" s="33" t="e">
        <f t="array" ref="AB631">IF((E631+V631-_xlfn.XLOOKUP(A631,'[1]DATOS PBI Artículos'!$A$4:$A$4,'[1]DATOS PBI Artículos'!$W$4:$W$4))/N631&gt;ROUNDUP([1]CRITERIOS!$M$16/(IF(COUNTIF([1]CRITERIOS!$BG$11:$BG$201,L631)&gt;=1,_xlfn.XLOOKUP(ARTÍCULOS!L631,[1]CRITERIOS!$BG$11:$BG$201,[1]CRITERIOS!$BJ$11:$BJ$201),_xlfn.XLOOKUP(ARTÍCULOS!C631,[1]CRITERIOS!$K$25:$K$42,[1]CRITERIOS!$M$25:$M$42))),0),ROUNDUP([1]CRITERIOS!$M$16/(IF(COUNTIF([1]CRITERIOS!$BG$11:$BG$201,L631)&gt;=1,_xlfn.XLOOKUP(ARTÍCULOS!L631,[1]CRITERIOS!$BG$11:$BG$201:#REF!,[1]CRITERIOS!$BJ$11:$BJ$201),_xlfn.XLOOKUP(ARTÍCULOS!C631,[1]CRITERIOS!$K$25:$K$42,[1]CRITERIOS!$M$25:$M$42))),0),(E631+V631-_xlfn.XLOOKUP(A631,'[1]DATOS PBI Artículos'!$A$4:$A$4,'[1]DATOS PBI Artículos'!$W$4:$W$4))/N631)</f>
        <v>#N/A</v>
      </c>
      <c r="AC631" s="33" t="e">
        <f>IF(N631=0,"",(ROUNDUP((N631/2)/(_xlfn.XLOOKUP(A631,'[1]DATOS PBI Artículos'!$A$4:$A$4,'[1]DATOS PBI Artículos'!$Z$4:$Z$4)*_xlfn.XLOOKUP(_xlfn.XLOOKUP(A631,'[1]DATOS PBI Artículos'!$A$4:$A$4,'[1]DATOS PBI Artículos'!$Y$4:$Y$4),[1]CRITERIOS!$P$79:$P$123,[1]CRITERIOS!$S$79:$S$123)),0)*[1]CRITERIOS!$M$80*([1]CRITERIOS!$M$110/[1]CRITERIOS!$M$86)+(_xlfn.XLOOKUP(A631,'[1]DATOS PBI Artículos'!$A$4:$A$4,'[1]DATOS PBI Artículos'!$AA$4:$AA$4)*([1]CRITERIOS!$M$95+[1]CRITERIOS!$M$98)))/N631)</f>
        <v>#N/A</v>
      </c>
      <c r="AD631" s="33" t="e">
        <f>IF(N631=0,"",(ROUNDUP((N631/2)/(_xlfn.XLOOKUP(A631,'[1]DATOS PBI Artículos'!$A$4:$A$4,'[1]DATOS PBI Artículos'!$Z$4:$Z$4)*_xlfn.XLOOKUP(_xlfn.XLOOKUP(A631,'[1]DATOS PBI Artículos'!$A$4:$A$4,'[1]DATOS PBI Artículos'!$Y$4:$Y$4),[1]CRITERIOS!$P$79:$P$123,[1]CRITERIOS!$S$79:$S$123)),0)*[1]CRITERIOS!$M$80*([1]CRITERIOS!$M$89*[1]CRITERIOS!$M$92)+((_xlfn.XLOOKUP(A631,'[1]DATOS PBI Artículos'!$A$4:$A$4,'[1]DATOS PBI Artículos'!$AA$4:$AA$4)/2)*([1]CRITERIOS!$M$95+[1]CRITERIOS!$M$98)))/N631)</f>
        <v>#N/A</v>
      </c>
      <c r="AE631" s="39" t="e">
        <f>IF($R631="MTO","",
IF($H631=0,ROUNDUP(((_xlfn.XLOOKUP($A631,'[1]DATOS PBI Artículos'!$A:$A,'[1]DATOS PBI Artículos'!$AL:$AL))/(_xlfn.XLOOKUP($AF$1,[1]CRITERIOS!$S$16:$S$39,[1]CRITERIOS!$Y$16:$Y$39))*$J631+$Z631)/$G631,0)*$G631,
((_xlfn.XLOOKUP($A631,'[1]DATOS PBI Artículos'!$A:$A,'[1]DATOS PBI Artículos'!$AL:$AL))/(_xlfn.XLOOKUP($AF$1,[1]CRITERIOS!$S$16:$S$39,[1]CRITERIOS!$Y$16:$Y$39))*$J631+$Z631)))</f>
        <v>#N/A</v>
      </c>
      <c r="AG631" s="39" t="e">
        <f>IF($R631="MTO","",
IF($H631=0,ROUNDUP(((_xlfn.XLOOKUP($A631,'[1]DATOS PBI Artículos'!$A:$A,'[1]DATOS PBI Artículos'!$AM:$AM))/(_xlfn.XLOOKUP($AH$1,[1]CRITERIOS!$S$16:$S$39,[1]CRITERIOS!$Y$16:$Y$39))*$J631+$Z631)/$G631,0)*$G631,
((_xlfn.XLOOKUP($A631,'[1]DATOS PBI Artículos'!$A:$A,'[1]DATOS PBI Artículos'!$AM:$AM))/(_xlfn.XLOOKUP($AH$1,[1]CRITERIOS!$S$16:$S$39,[1]CRITERIOS!$Y$16:$Y$39))*$J631+$Z631)))</f>
        <v>#N/A</v>
      </c>
      <c r="AI631" s="39" t="e">
        <f>IF($R631="MTO","",
IF($H631=0,ROUNDUP(((_xlfn.XLOOKUP($A631,'[1]DATOS PBI Artículos'!$A:$A,'[1]DATOS PBI Artículos'!$AN:$AN))/(_xlfn.XLOOKUP($AJ$1,[1]CRITERIOS!$S$16:$S$39,[1]CRITERIOS!$Y$16:$Y$39))*$J631+$Z631)/$G631,0)*$G631,
((_xlfn.XLOOKUP($A631,'[1]DATOS PBI Artículos'!$A:$A,'[1]DATOS PBI Artículos'!$AN:$AN))/(_xlfn.XLOOKUP($AJ$1,[1]CRITERIOS!$S$16:$S$39,[1]CRITERIOS!$Y$16:$Y$39))*$J631+$Z631)))</f>
        <v>#N/A</v>
      </c>
      <c r="AK631" s="39" t="e">
        <f>IF($R631="MTO","",
IF($H631=0,ROUNDUP(((_xlfn.XLOOKUP($A631,'[1]DATOS PBI Artículos'!$A:$A,'[1]DATOS PBI Artículos'!$AO:$AO))/(_xlfn.XLOOKUP($AL$1,[1]CRITERIOS!$S$16:$S$39,[1]CRITERIOS!$Y$16:$Y$39))*$J631+$Z631)/$G631,0)*$G631,
((_xlfn.XLOOKUP($A631,'[1]DATOS PBI Artículos'!$A:$A,'[1]DATOS PBI Artículos'!$AO:$AO))/(_xlfn.XLOOKUP($AL$1,[1]CRITERIOS!$S$16:$S$39,[1]CRITERIOS!$Y$16:$Y$39))*$J631+$Z631)))</f>
        <v>#N/A</v>
      </c>
    </row>
    <row r="632" spans="1:37" ht="25.8" hidden="1" x14ac:dyDescent="0.4">
      <c r="A632" s="41"/>
      <c r="B632" s="33">
        <f>_xlfn.XLOOKUP($A632,'[1]DATOS PBI Artículos'!A:A,'[1]DATOS PBI Artículos'!B:B)</f>
        <v>0</v>
      </c>
      <c r="C632" s="33">
        <f>_xlfn.XLOOKUP($A632,'[1]DATOS PBI Artículos'!A:A,'[1]DATOS PBI Artículos'!C:C)</f>
        <v>0</v>
      </c>
      <c r="D632" s="33">
        <f>_xlfn.XLOOKUP(A632,'[1]DATOS PBI Artículos'!A:A,'[1]DATOS PBI Artículos'!T:T)</f>
        <v>0</v>
      </c>
      <c r="E632" s="34">
        <f>IF(_xlfn.XLOOKUP($A632,'[1]DATOS PBI Artículos'!A:A,'[1]DATOS PBI Artículos'!AK:AK)="",_xlfn.XLOOKUP($A632,'[1]DATOS PBI Artículos'!A:A,'[1]DATOS PBI Artículos'!AJ:AJ),_xlfn.XLOOKUP($A632,'[1]DATOS PBI Artículos'!A:A,'[1]DATOS PBI Artículos'!AK:AK))</f>
        <v>0</v>
      </c>
      <c r="F632" s="35">
        <f>_xlfn.XLOOKUP($A632,'[1]DATOS PBI Artículos'!A:A,'[1]DATOS PBI Artículos'!AP:AP)</f>
        <v>0</v>
      </c>
      <c r="G632" s="34">
        <f>_xlfn.XLOOKUP($A632,'[1]DATOS PBI Artículos'!A:A,'[1]DATOS PBI Artículos'!AR:AR)</f>
        <v>0</v>
      </c>
      <c r="H632" s="34">
        <f>_xlfn.XLOOKUP($A632,'[1]DATOS PBI Artículos'!A:A,'[1]DATOS PBI Artículos'!AT:AT)</f>
        <v>0</v>
      </c>
      <c r="I632" s="34">
        <f>_xlfn.XLOOKUP($A632,'[1]DATOS PBI Artículos'!A:A,'[1]DATOS PBI Artículos'!AS:AS)</f>
        <v>0</v>
      </c>
      <c r="J632" s="35">
        <f>IF(COUNTIF([1]CRITERIOS!$F$179:$F$199,$A632)&gt;=1,
 IF(O632&lt;&gt;"",
    (O632/_xlfn.XLOOKUP(CONCATENATE(A632,L632),[1]MÁQUINAS!A:A,[1]MÁQUINAS!D:D))/24,
    (N632/_xlfn.XLOOKUP(CONCATENATE(A632,L632),[1]MÁQUINAS!A:A,[1]MÁQUINAS!D:D))/24),
  _xlfn.XLOOKUP($A632,'[1]DATOS PBI Artículos'!A:A,'[1]DATOS PBI Artículos'!AU:AU))</f>
        <v>0</v>
      </c>
      <c r="K632" s="36">
        <f>_xlfn.XLOOKUP($A632,'[1]DATOS PBI Artículos'!A:A,'[1]DATOS PBI Artículos'!AV:AV)</f>
        <v>0</v>
      </c>
      <c r="L632" s="33">
        <f>_xlfn.XLOOKUP(A632,[1]MÁQUINAS!B:B,[1]MÁQUINAS!C:C)</f>
        <v>0</v>
      </c>
      <c r="M632" s="34">
        <f t="array" ref="M632">_xlfn.XLOOKUP(A632,'[1]DATOS PBI Artículos'!A:A,'[1]DATOS PBI Artículos'!AX:$AX)</f>
        <v>0</v>
      </c>
      <c r="N632" s="37" t="e">
        <f>IF(I632="DV",
E632,
IF(COUNTIF([1]CRITERIOS!$I$179:$I$199,$A632)&gt;=1,
_xlfn.XLOOKUP($A632,[1]CRITERIOS!$I$179:$I$199,[1]CRITERIOS!$J$179:$J$199),
IF(COUNTIF([1]CRITERIOS!$L$179:$L$199,$A632)&gt;=1,
_xlfn.CEILING.MATH(IF($M632&gt;$E632,
$E632,
IF($M632&lt;$E632/ROUNDDOWN([1]CRITERIOS!$M$16/_xlfn.XLOOKUP($C632,[1]CRITERIOS!$K$25:$K$42,[1]CRITERIOS!$M$25:$M$42),
1),
E632/ROUNDDOWN([1]CRITERIOS!$M$16/_xlfn.XLOOKUP($C632,[1]CRITERIOS!$K$25:$K$42,[1]CRITERIOS!$M$25:$M$42),
1),
$M632)),
_xlfn.XLOOKUP($A632,[1]CRITERIOS!$L$179:$L$200,[1]CRITERIOS!$M$179:$M$200)),
_xlfn.CEILING.MATH(IF($M632&gt;$E632,
$E632,
IF($M632&lt;$E632/ROUNDDOWN([1]CRITERIOS!$M$16/_xlfn.XLOOKUP($C632,[1]CRITERIOS!$K$25:$K$42,[1]CRITERIOS!$M$25:$M$42),
1),
E632/ROUNDDOWN([1]CRITERIOS!$M$16/_xlfn.XLOOKUP($C632,[1]CRITERIOS!$K$25:$K$42,[1]CRITERIOS!$M$25:$M$42),
1),
$M632)),_xlfn.XLOOKUP(A632,'[1]DATOS PBI Artículos'!A:A,'[1]DATOS PBI Artículos'!Z:Z
)))))</f>
        <v>#N/A</v>
      </c>
      <c r="Q632" s="38" t="e">
        <f>IF(AND(O632="",N632=0),
0,
   IF(COUNTIF([1]CRITERIOS!$F$179:$F$199,$A632)&gt;=1,
   1,
   IF(R632="MTO",
      $D632,
      ROUNDUP(
                    IF(($E632-SUMIF('[1]DATOS PBI Artículos'!A:A,A632,'[1]DATOS PBI Artículos'!X:X)+($V632-_xlfn.XLOOKUP(A632,'[1]DATOS PBI Artículos'!A:A,'[1]DATOS PBI Artículos'!W:W)))&lt;0,
                    0,
                    IF(($E632-SUMIF('[1]DATOS PBI Artículos'!A:A,A632,'[1]DATOS PBI Artículos'!X:X)+$V632-_xlfn.XLOOKUP($A632,'[1]DATOS PBI Artículos'!A:A,'[1]DATOS PBI Artículos'!W:W))/IF($O632="",$N632,$O632)&gt;ROUNDUP([1]CRITERIOS!$M$16/(IF(COUNTIF([1]CRITERIOS!$BG$11:$BG$201,L632)&gt;=1,_xlfn.XLOOKUP($C632,[1]CRITERIOS!$K$25:$K$42,[1]CRITERIOS!$M$25:$M$42),_xlfn.XLOOKUP($C632,[1]CRITERIOS!$K$25:$K$42,[1]CRITERIOS!$M$25:$M$42))),0),
                    ROUNDUP([1]CRITERIOS!$M$16/(IF(COUNTIF([1]CRITERIOS!$BG$11:$BG$201,$L632)&gt;=1,_xlfn.XLOOKUP($C632,[1]CRITERIOS!$K$25:$K$42,[1]CRITERIOS!$M$25:$M$42),_xlfn.XLOOKUP($C632,[1]CRITERIOS!$K$25:$K$42,[1]CRITERIOS!$M$25:$M$42))),0),
                    (E632+V632-SUMIF('[1]DATOS PBI Artículos'!A:A,A632,'[1]DATOS PBI Artículos'!X:X)-_xlfn.XLOOKUP(A632,'[1]DATOS PBI Artículos'!A:A,'[1]DATOS PBI Artículos'!W:W))/IF($O632="",$N632,$O632))),0))))</f>
        <v>#N/A</v>
      </c>
      <c r="R632" s="33" t="e">
        <f>IF(U632&lt;&gt;"",U632,IF(F632="DV","MTO",IF(N632=0,"MTO",_xlfn.XLOOKUP(CONCATENATE(S632,T632),[1]CRITERIOS!$K$160:$K$168,[1]CRITERIOS!$N$160:$N$168))))</f>
        <v>#N/A</v>
      </c>
      <c r="S632" s="33" t="e">
        <f>IF(G632="DV","MTO",IF(N632=0,"MTO",IF(OR(AND(N632=0,O632=""),IF(O632="",G632/N632,G632/O632)&gt;[1]CRITERIOS!$G$163),"MTO",IF(IF(O632="",G632/N632,G632/O632)&lt;[1]CRITERIOS!$H$161,"MTS","MTOS"))))</f>
        <v>#N/A</v>
      </c>
      <c r="T632" s="33" t="e">
        <f>IF(F632="DV","MTO",IF(OR(AND($N632=0,O632=""),$F632/$J632&gt;[1]CRITERIOS!$G$170,$F632="DV"),"MTO",IF($F632/$J632&lt;[1]CRITERIOS!$H$168,"MTS","MTOS")))</f>
        <v>#N/A</v>
      </c>
      <c r="V632" s="34" t="e">
        <f t="shared" si="31"/>
        <v>#N/A</v>
      </c>
      <c r="X632" s="34" t="e">
        <f t="shared" si="29"/>
        <v>#N/A</v>
      </c>
      <c r="Y632" s="34" t="e">
        <f t="shared" si="30"/>
        <v>#N/A</v>
      </c>
      <c r="Z632" s="34" t="e">
        <f>IF($R632="MTO",
0,
($H632+$K632*($E632/[1]CRITERIOS!$M$16))/[1]CRITERIOS!$X$48)</f>
        <v>#N/A</v>
      </c>
      <c r="AA632" s="34" t="e">
        <f>ROUNDUP(($Y632/_xlfn.XLOOKUP($A632,'[1]DATOS PBI Artículos'!$A$4:$A$4,'[1]DATOS PBI Artículos'!$Z$4:$Z$4))/_xlfn.XLOOKUP(_xlfn.XLOOKUP($A632,'[1]DATOS PBI Artículos'!$A$4:$A$4,'[1]DATOS PBI Artículos'!$Y$4:$Y$4),[1]CRITERIOS!$P$79:$P$123,[1]CRITERIOS!$S$79:$S$123,),0)</f>
        <v>#N/A</v>
      </c>
      <c r="AB632" s="33" t="e">
        <f t="array" ref="AB632">IF((E632+V632-_xlfn.XLOOKUP(A632,'[1]DATOS PBI Artículos'!$A$4:$A$4,'[1]DATOS PBI Artículos'!$W$4:$W$4))/N632&gt;ROUNDUP([1]CRITERIOS!$M$16/(IF(COUNTIF([1]CRITERIOS!$BG$11:$BG$201,L632)&gt;=1,_xlfn.XLOOKUP(ARTÍCULOS!L632,[1]CRITERIOS!$BG$11:$BG$201,[1]CRITERIOS!$BJ$11:$BJ$201),_xlfn.XLOOKUP(ARTÍCULOS!C632,[1]CRITERIOS!$K$25:$K$42,[1]CRITERIOS!$M$25:$M$42))),0),ROUNDUP([1]CRITERIOS!$M$16/(IF(COUNTIF([1]CRITERIOS!$BG$11:$BG$201,L632)&gt;=1,_xlfn.XLOOKUP(ARTÍCULOS!L632,[1]CRITERIOS!$BG$11:$BG$201:#REF!,[1]CRITERIOS!$BJ$11:$BJ$201),_xlfn.XLOOKUP(ARTÍCULOS!C632,[1]CRITERIOS!$K$25:$K$42,[1]CRITERIOS!$M$25:$M$42))),0),(E632+V632-_xlfn.XLOOKUP(A632,'[1]DATOS PBI Artículos'!$A$4:$A$4,'[1]DATOS PBI Artículos'!$W$4:$W$4))/N632)</f>
        <v>#N/A</v>
      </c>
      <c r="AC632" s="33" t="e">
        <f>IF(N632=0,"",(ROUNDUP((N632/2)/(_xlfn.XLOOKUP(A632,'[1]DATOS PBI Artículos'!$A$4:$A$4,'[1]DATOS PBI Artículos'!$Z$4:$Z$4)*_xlfn.XLOOKUP(_xlfn.XLOOKUP(A632,'[1]DATOS PBI Artículos'!$A$4:$A$4,'[1]DATOS PBI Artículos'!$Y$4:$Y$4),[1]CRITERIOS!$P$79:$P$123,[1]CRITERIOS!$S$79:$S$123)),0)*[1]CRITERIOS!$M$80*([1]CRITERIOS!$M$110/[1]CRITERIOS!$M$86)+(_xlfn.XLOOKUP(A632,'[1]DATOS PBI Artículos'!$A$4:$A$4,'[1]DATOS PBI Artículos'!$AA$4:$AA$4)*([1]CRITERIOS!$M$95+[1]CRITERIOS!$M$98)))/N632)</f>
        <v>#N/A</v>
      </c>
      <c r="AD632" s="33" t="e">
        <f>IF(N632=0,"",(ROUNDUP((N632/2)/(_xlfn.XLOOKUP(A632,'[1]DATOS PBI Artículos'!$A$4:$A$4,'[1]DATOS PBI Artículos'!$Z$4:$Z$4)*_xlfn.XLOOKUP(_xlfn.XLOOKUP(A632,'[1]DATOS PBI Artículos'!$A$4:$A$4,'[1]DATOS PBI Artículos'!$Y$4:$Y$4),[1]CRITERIOS!$P$79:$P$123,[1]CRITERIOS!$S$79:$S$123)),0)*[1]CRITERIOS!$M$80*([1]CRITERIOS!$M$89*[1]CRITERIOS!$M$92)+((_xlfn.XLOOKUP(A632,'[1]DATOS PBI Artículos'!$A$4:$A$4,'[1]DATOS PBI Artículos'!$AA$4:$AA$4)/2)*([1]CRITERIOS!$M$95+[1]CRITERIOS!$M$98)))/N632)</f>
        <v>#N/A</v>
      </c>
      <c r="AE632" s="39" t="e">
        <f>IF($R632="MTO","",
IF($H632=0,ROUNDUP(((_xlfn.XLOOKUP($A632,'[1]DATOS PBI Artículos'!$A:$A,'[1]DATOS PBI Artículos'!$AL:$AL))/(_xlfn.XLOOKUP($AF$1,[1]CRITERIOS!$S$16:$S$39,[1]CRITERIOS!$Y$16:$Y$39))*$J632+$Z632)/$G632,0)*$G632,
((_xlfn.XLOOKUP($A632,'[1]DATOS PBI Artículos'!$A:$A,'[1]DATOS PBI Artículos'!$AL:$AL))/(_xlfn.XLOOKUP($AF$1,[1]CRITERIOS!$S$16:$S$39,[1]CRITERIOS!$Y$16:$Y$39))*$J632+$Z632)))</f>
        <v>#N/A</v>
      </c>
      <c r="AG632" s="39" t="e">
        <f>IF($R632="MTO","",
IF($H632=0,ROUNDUP(((_xlfn.XLOOKUP($A632,'[1]DATOS PBI Artículos'!$A:$A,'[1]DATOS PBI Artículos'!$AM:$AM))/(_xlfn.XLOOKUP($AH$1,[1]CRITERIOS!$S$16:$S$39,[1]CRITERIOS!$Y$16:$Y$39))*$J632+$Z632)/$G632,0)*$G632,
((_xlfn.XLOOKUP($A632,'[1]DATOS PBI Artículos'!$A:$A,'[1]DATOS PBI Artículos'!$AM:$AM))/(_xlfn.XLOOKUP($AH$1,[1]CRITERIOS!$S$16:$S$39,[1]CRITERIOS!$Y$16:$Y$39))*$J632+$Z632)))</f>
        <v>#N/A</v>
      </c>
      <c r="AI632" s="39" t="e">
        <f>IF($R632="MTO","",
IF($H632=0,ROUNDUP(((_xlfn.XLOOKUP($A632,'[1]DATOS PBI Artículos'!$A:$A,'[1]DATOS PBI Artículos'!$AN:$AN))/(_xlfn.XLOOKUP($AJ$1,[1]CRITERIOS!$S$16:$S$39,[1]CRITERIOS!$Y$16:$Y$39))*$J632+$Z632)/$G632,0)*$G632,
((_xlfn.XLOOKUP($A632,'[1]DATOS PBI Artículos'!$A:$A,'[1]DATOS PBI Artículos'!$AN:$AN))/(_xlfn.XLOOKUP($AJ$1,[1]CRITERIOS!$S$16:$S$39,[1]CRITERIOS!$Y$16:$Y$39))*$J632+$Z632)))</f>
        <v>#N/A</v>
      </c>
      <c r="AK632" s="39" t="e">
        <f>IF($R632="MTO","",
IF($H632=0,ROUNDUP(((_xlfn.XLOOKUP($A632,'[1]DATOS PBI Artículos'!$A:$A,'[1]DATOS PBI Artículos'!$AO:$AO))/(_xlfn.XLOOKUP($AL$1,[1]CRITERIOS!$S$16:$S$39,[1]CRITERIOS!$Y$16:$Y$39))*$J632+$Z632)/$G632,0)*$G632,
((_xlfn.XLOOKUP($A632,'[1]DATOS PBI Artículos'!$A:$A,'[1]DATOS PBI Artículos'!$AO:$AO))/(_xlfn.XLOOKUP($AL$1,[1]CRITERIOS!$S$16:$S$39,[1]CRITERIOS!$Y$16:$Y$39))*$J632+$Z632)))</f>
        <v>#N/A</v>
      </c>
    </row>
    <row r="633" spans="1:37" ht="25.8" hidden="1" x14ac:dyDescent="0.4">
      <c r="A633" s="41"/>
      <c r="B633" s="33">
        <f>_xlfn.XLOOKUP($A633,'[1]DATOS PBI Artículos'!A:A,'[1]DATOS PBI Artículos'!B:B)</f>
        <v>0</v>
      </c>
      <c r="C633" s="33">
        <f>_xlfn.XLOOKUP($A633,'[1]DATOS PBI Artículos'!A:A,'[1]DATOS PBI Artículos'!C:C)</f>
        <v>0</v>
      </c>
      <c r="D633" s="33">
        <f>_xlfn.XLOOKUP(A633,'[1]DATOS PBI Artículos'!A:A,'[1]DATOS PBI Artículos'!T:T)</f>
        <v>0</v>
      </c>
      <c r="E633" s="34">
        <f>IF(_xlfn.XLOOKUP($A633,'[1]DATOS PBI Artículos'!A:A,'[1]DATOS PBI Artículos'!AK:AK)="",_xlfn.XLOOKUP($A633,'[1]DATOS PBI Artículos'!A:A,'[1]DATOS PBI Artículos'!AJ:AJ),_xlfn.XLOOKUP($A633,'[1]DATOS PBI Artículos'!A:A,'[1]DATOS PBI Artículos'!AK:AK))</f>
        <v>0</v>
      </c>
      <c r="F633" s="35">
        <f>_xlfn.XLOOKUP($A633,'[1]DATOS PBI Artículos'!A:A,'[1]DATOS PBI Artículos'!AP:AP)</f>
        <v>0</v>
      </c>
      <c r="G633" s="34">
        <f>_xlfn.XLOOKUP($A633,'[1]DATOS PBI Artículos'!A:A,'[1]DATOS PBI Artículos'!AR:AR)</f>
        <v>0</v>
      </c>
      <c r="H633" s="34">
        <f>_xlfn.XLOOKUP($A633,'[1]DATOS PBI Artículos'!A:A,'[1]DATOS PBI Artículos'!AT:AT)</f>
        <v>0</v>
      </c>
      <c r="I633" s="34">
        <f>_xlfn.XLOOKUP($A633,'[1]DATOS PBI Artículos'!A:A,'[1]DATOS PBI Artículos'!AS:AS)</f>
        <v>0</v>
      </c>
      <c r="J633" s="35">
        <f>IF(COUNTIF([1]CRITERIOS!$F$179:$F$199,$A633)&gt;=1,
 IF(O633&lt;&gt;"",
    (O633/_xlfn.XLOOKUP(CONCATENATE(A633,L633),[1]MÁQUINAS!A:A,[1]MÁQUINAS!D:D))/24,
    (N633/_xlfn.XLOOKUP(CONCATENATE(A633,L633),[1]MÁQUINAS!A:A,[1]MÁQUINAS!D:D))/24),
  _xlfn.XLOOKUP($A633,'[1]DATOS PBI Artículos'!A:A,'[1]DATOS PBI Artículos'!AU:AU))</f>
        <v>0</v>
      </c>
      <c r="K633" s="36">
        <f>_xlfn.XLOOKUP($A633,'[1]DATOS PBI Artículos'!A:A,'[1]DATOS PBI Artículos'!AV:AV)</f>
        <v>0</v>
      </c>
      <c r="L633" s="33">
        <f>_xlfn.XLOOKUP(A633,[1]MÁQUINAS!B:B,[1]MÁQUINAS!C:C)</f>
        <v>0</v>
      </c>
      <c r="M633" s="34">
        <f t="array" ref="M633">_xlfn.XLOOKUP(A633,'[1]DATOS PBI Artículos'!A:A,'[1]DATOS PBI Artículos'!AX:$AX)</f>
        <v>0</v>
      </c>
      <c r="N633" s="37" t="e">
        <f>IF(I633="DV",
E633,
IF(COUNTIF([1]CRITERIOS!$I$179:$I$199,$A633)&gt;=1,
_xlfn.XLOOKUP($A633,[1]CRITERIOS!$I$179:$I$199,[1]CRITERIOS!$J$179:$J$199),
IF(COUNTIF([1]CRITERIOS!$L$179:$L$199,$A633)&gt;=1,
_xlfn.CEILING.MATH(IF($M633&gt;$E633,
$E633,
IF($M633&lt;$E633/ROUNDDOWN([1]CRITERIOS!$M$16/_xlfn.XLOOKUP($C633,[1]CRITERIOS!$K$25:$K$42,[1]CRITERIOS!$M$25:$M$42),
1),
E633/ROUNDDOWN([1]CRITERIOS!$M$16/_xlfn.XLOOKUP($C633,[1]CRITERIOS!$K$25:$K$42,[1]CRITERIOS!$M$25:$M$42),
1),
$M633)),
_xlfn.XLOOKUP($A633,[1]CRITERIOS!$L$179:$L$200,[1]CRITERIOS!$M$179:$M$200)),
_xlfn.CEILING.MATH(IF($M633&gt;$E633,
$E633,
IF($M633&lt;$E633/ROUNDDOWN([1]CRITERIOS!$M$16/_xlfn.XLOOKUP($C633,[1]CRITERIOS!$K$25:$K$42,[1]CRITERIOS!$M$25:$M$42),
1),
E633/ROUNDDOWN([1]CRITERIOS!$M$16/_xlfn.XLOOKUP($C633,[1]CRITERIOS!$K$25:$K$42,[1]CRITERIOS!$M$25:$M$42),
1),
$M633)),_xlfn.XLOOKUP(A633,'[1]DATOS PBI Artículos'!A:A,'[1]DATOS PBI Artículos'!Z:Z
)))))</f>
        <v>#N/A</v>
      </c>
      <c r="Q633" s="38" t="e">
        <f>IF(AND(O633="",N633=0),
0,
   IF(COUNTIF([1]CRITERIOS!$F$179:$F$199,$A633)&gt;=1,
   1,
   IF(R633="MTO",
      $D633,
      ROUNDUP(
                    IF(($E633-SUMIF('[1]DATOS PBI Artículos'!A:A,A633,'[1]DATOS PBI Artículos'!X:X)+($V633-_xlfn.XLOOKUP(A633,'[1]DATOS PBI Artículos'!A:A,'[1]DATOS PBI Artículos'!W:W)))&lt;0,
                    0,
                    IF(($E633-SUMIF('[1]DATOS PBI Artículos'!A:A,A633,'[1]DATOS PBI Artículos'!X:X)+$V633-_xlfn.XLOOKUP($A633,'[1]DATOS PBI Artículos'!A:A,'[1]DATOS PBI Artículos'!W:W))/IF($O633="",$N633,$O633)&gt;ROUNDUP([1]CRITERIOS!$M$16/(IF(COUNTIF([1]CRITERIOS!$BG$11:$BG$201,L633)&gt;=1,_xlfn.XLOOKUP($C633,[1]CRITERIOS!$K$25:$K$42,[1]CRITERIOS!$M$25:$M$42),_xlfn.XLOOKUP($C633,[1]CRITERIOS!$K$25:$K$42,[1]CRITERIOS!$M$25:$M$42))),0),
                    ROUNDUP([1]CRITERIOS!$M$16/(IF(COUNTIF([1]CRITERIOS!$BG$11:$BG$201,$L633)&gt;=1,_xlfn.XLOOKUP($C633,[1]CRITERIOS!$K$25:$K$42,[1]CRITERIOS!$M$25:$M$42),_xlfn.XLOOKUP($C633,[1]CRITERIOS!$K$25:$K$42,[1]CRITERIOS!$M$25:$M$42))),0),
                    (E633+V633-SUMIF('[1]DATOS PBI Artículos'!A:A,A633,'[1]DATOS PBI Artículos'!X:X)-_xlfn.XLOOKUP(A633,'[1]DATOS PBI Artículos'!A:A,'[1]DATOS PBI Artículos'!W:W))/IF($O633="",$N633,$O633))),0))))</f>
        <v>#N/A</v>
      </c>
      <c r="R633" s="33" t="e">
        <f>IF(U633&lt;&gt;"",U633,IF(F633="DV","MTO",IF(N633=0,"MTO",_xlfn.XLOOKUP(CONCATENATE(S633,T633),[1]CRITERIOS!$K$160:$K$168,[1]CRITERIOS!$N$160:$N$168))))</f>
        <v>#N/A</v>
      </c>
      <c r="S633" s="33" t="e">
        <f>IF(G633="DV","MTO",IF(N633=0,"MTO",IF(OR(AND(N633=0,O633=""),IF(O633="",G633/N633,G633/O633)&gt;[1]CRITERIOS!$G$163),"MTO",IF(IF(O633="",G633/N633,G633/O633)&lt;[1]CRITERIOS!$H$161,"MTS","MTOS"))))</f>
        <v>#N/A</v>
      </c>
      <c r="T633" s="33" t="e">
        <f>IF(F633="DV","MTO",IF(OR(AND($N633=0,O633=""),$F633/$J633&gt;[1]CRITERIOS!$G$170,$F633="DV"),"MTO",IF($F633/$J633&lt;[1]CRITERIOS!$H$168,"MTS","MTOS")))</f>
        <v>#N/A</v>
      </c>
      <c r="V633" s="34" t="e">
        <f t="shared" si="31"/>
        <v>#N/A</v>
      </c>
      <c r="X633" s="34" t="e">
        <f t="shared" si="29"/>
        <v>#N/A</v>
      </c>
      <c r="Y633" s="34" t="e">
        <f t="shared" si="30"/>
        <v>#N/A</v>
      </c>
      <c r="Z633" s="34" t="e">
        <f>IF($R633="MTO",
0,
($H633+$K633*($E633/[1]CRITERIOS!$M$16))/[1]CRITERIOS!$X$48)</f>
        <v>#N/A</v>
      </c>
      <c r="AA633" s="34" t="e">
        <f>ROUNDUP(($Y633/_xlfn.XLOOKUP($A633,'[1]DATOS PBI Artículos'!$A$4:$A$4,'[1]DATOS PBI Artículos'!$Z$4:$Z$4))/_xlfn.XLOOKUP(_xlfn.XLOOKUP($A633,'[1]DATOS PBI Artículos'!$A$4:$A$4,'[1]DATOS PBI Artículos'!$Y$4:$Y$4),[1]CRITERIOS!$P$79:$P$123,[1]CRITERIOS!$S$79:$S$123,),0)</f>
        <v>#N/A</v>
      </c>
      <c r="AB633" s="33" t="e">
        <f t="array" ref="AB633">IF((E633+V633-_xlfn.XLOOKUP(A633,'[1]DATOS PBI Artículos'!$A$4:$A$4,'[1]DATOS PBI Artículos'!$W$4:$W$4))/N633&gt;ROUNDUP([1]CRITERIOS!$M$16/(IF(COUNTIF([1]CRITERIOS!$BG$11:$BG$201,L633)&gt;=1,_xlfn.XLOOKUP(ARTÍCULOS!L633,[1]CRITERIOS!$BG$11:$BG$201,[1]CRITERIOS!$BJ$11:$BJ$201),_xlfn.XLOOKUP(ARTÍCULOS!C633,[1]CRITERIOS!$K$25:$K$42,[1]CRITERIOS!$M$25:$M$42))),0),ROUNDUP([1]CRITERIOS!$M$16/(IF(COUNTIF([1]CRITERIOS!$BG$11:$BG$201,L633)&gt;=1,_xlfn.XLOOKUP(ARTÍCULOS!L633,[1]CRITERIOS!$BG$11:$BG$201:#REF!,[1]CRITERIOS!$BJ$11:$BJ$201),_xlfn.XLOOKUP(ARTÍCULOS!C633,[1]CRITERIOS!$K$25:$K$42,[1]CRITERIOS!$M$25:$M$42))),0),(E633+V633-_xlfn.XLOOKUP(A633,'[1]DATOS PBI Artículos'!$A$4:$A$4,'[1]DATOS PBI Artículos'!$W$4:$W$4))/N633)</f>
        <v>#N/A</v>
      </c>
      <c r="AC633" s="33" t="e">
        <f>IF(N633=0,"",(ROUNDUP((N633/2)/(_xlfn.XLOOKUP(A633,'[1]DATOS PBI Artículos'!$A$4:$A$4,'[1]DATOS PBI Artículos'!$Z$4:$Z$4)*_xlfn.XLOOKUP(_xlfn.XLOOKUP(A633,'[1]DATOS PBI Artículos'!$A$4:$A$4,'[1]DATOS PBI Artículos'!$Y$4:$Y$4),[1]CRITERIOS!$P$79:$P$123,[1]CRITERIOS!$S$79:$S$123)),0)*[1]CRITERIOS!$M$80*([1]CRITERIOS!$M$110/[1]CRITERIOS!$M$86)+(_xlfn.XLOOKUP(A633,'[1]DATOS PBI Artículos'!$A$4:$A$4,'[1]DATOS PBI Artículos'!$AA$4:$AA$4)*([1]CRITERIOS!$M$95+[1]CRITERIOS!$M$98)))/N633)</f>
        <v>#N/A</v>
      </c>
      <c r="AD633" s="33" t="e">
        <f>IF(N633=0,"",(ROUNDUP((N633/2)/(_xlfn.XLOOKUP(A633,'[1]DATOS PBI Artículos'!$A$4:$A$4,'[1]DATOS PBI Artículos'!$Z$4:$Z$4)*_xlfn.XLOOKUP(_xlfn.XLOOKUP(A633,'[1]DATOS PBI Artículos'!$A$4:$A$4,'[1]DATOS PBI Artículos'!$Y$4:$Y$4),[1]CRITERIOS!$P$79:$P$123,[1]CRITERIOS!$S$79:$S$123)),0)*[1]CRITERIOS!$M$80*([1]CRITERIOS!$M$89*[1]CRITERIOS!$M$92)+((_xlfn.XLOOKUP(A633,'[1]DATOS PBI Artículos'!$A$4:$A$4,'[1]DATOS PBI Artículos'!$AA$4:$AA$4)/2)*([1]CRITERIOS!$M$95+[1]CRITERIOS!$M$98)))/N633)</f>
        <v>#N/A</v>
      </c>
      <c r="AE633" s="39" t="e">
        <f>IF($R633="MTO","",
IF($H633=0,ROUNDUP(((_xlfn.XLOOKUP($A633,'[1]DATOS PBI Artículos'!$A:$A,'[1]DATOS PBI Artículos'!$AL:$AL))/(_xlfn.XLOOKUP($AF$1,[1]CRITERIOS!$S$16:$S$39,[1]CRITERIOS!$Y$16:$Y$39))*$J633+$Z633)/$G633,0)*$G633,
((_xlfn.XLOOKUP($A633,'[1]DATOS PBI Artículos'!$A:$A,'[1]DATOS PBI Artículos'!$AL:$AL))/(_xlfn.XLOOKUP($AF$1,[1]CRITERIOS!$S$16:$S$39,[1]CRITERIOS!$Y$16:$Y$39))*$J633+$Z633)))</f>
        <v>#N/A</v>
      </c>
      <c r="AG633" s="39" t="e">
        <f>IF($R633="MTO","",
IF($H633=0,ROUNDUP(((_xlfn.XLOOKUP($A633,'[1]DATOS PBI Artículos'!$A:$A,'[1]DATOS PBI Artículos'!$AM:$AM))/(_xlfn.XLOOKUP($AH$1,[1]CRITERIOS!$S$16:$S$39,[1]CRITERIOS!$Y$16:$Y$39))*$J633+$Z633)/$G633,0)*$G633,
((_xlfn.XLOOKUP($A633,'[1]DATOS PBI Artículos'!$A:$A,'[1]DATOS PBI Artículos'!$AM:$AM))/(_xlfn.XLOOKUP($AH$1,[1]CRITERIOS!$S$16:$S$39,[1]CRITERIOS!$Y$16:$Y$39))*$J633+$Z633)))</f>
        <v>#N/A</v>
      </c>
      <c r="AI633" s="39" t="e">
        <f>IF($R633="MTO","",
IF($H633=0,ROUNDUP(((_xlfn.XLOOKUP($A633,'[1]DATOS PBI Artículos'!$A:$A,'[1]DATOS PBI Artículos'!$AN:$AN))/(_xlfn.XLOOKUP($AJ$1,[1]CRITERIOS!$S$16:$S$39,[1]CRITERIOS!$Y$16:$Y$39))*$J633+$Z633)/$G633,0)*$G633,
((_xlfn.XLOOKUP($A633,'[1]DATOS PBI Artículos'!$A:$A,'[1]DATOS PBI Artículos'!$AN:$AN))/(_xlfn.XLOOKUP($AJ$1,[1]CRITERIOS!$S$16:$S$39,[1]CRITERIOS!$Y$16:$Y$39))*$J633+$Z633)))</f>
        <v>#N/A</v>
      </c>
      <c r="AK633" s="39" t="e">
        <f>IF($R633="MTO","",
IF($H633=0,ROUNDUP(((_xlfn.XLOOKUP($A633,'[1]DATOS PBI Artículos'!$A:$A,'[1]DATOS PBI Artículos'!$AO:$AO))/(_xlfn.XLOOKUP($AL$1,[1]CRITERIOS!$S$16:$S$39,[1]CRITERIOS!$Y$16:$Y$39))*$J633+$Z633)/$G633,0)*$G633,
((_xlfn.XLOOKUP($A633,'[1]DATOS PBI Artículos'!$A:$A,'[1]DATOS PBI Artículos'!$AO:$AO))/(_xlfn.XLOOKUP($AL$1,[1]CRITERIOS!$S$16:$S$39,[1]CRITERIOS!$Y$16:$Y$39))*$J633+$Z633)))</f>
        <v>#N/A</v>
      </c>
    </row>
    <row r="634" spans="1:37" ht="25.8" hidden="1" x14ac:dyDescent="0.4">
      <c r="A634" s="41"/>
      <c r="B634" s="33">
        <f>_xlfn.XLOOKUP($A634,'[1]DATOS PBI Artículos'!A:A,'[1]DATOS PBI Artículos'!B:B)</f>
        <v>0</v>
      </c>
      <c r="C634" s="33">
        <f>_xlfn.XLOOKUP($A634,'[1]DATOS PBI Artículos'!A:A,'[1]DATOS PBI Artículos'!C:C)</f>
        <v>0</v>
      </c>
      <c r="D634" s="33">
        <f>_xlfn.XLOOKUP(A634,'[1]DATOS PBI Artículos'!A:A,'[1]DATOS PBI Artículos'!T:T)</f>
        <v>0</v>
      </c>
      <c r="E634" s="34">
        <f>IF(_xlfn.XLOOKUP($A634,'[1]DATOS PBI Artículos'!A:A,'[1]DATOS PBI Artículos'!AK:AK)="",_xlfn.XLOOKUP($A634,'[1]DATOS PBI Artículos'!A:A,'[1]DATOS PBI Artículos'!AJ:AJ),_xlfn.XLOOKUP($A634,'[1]DATOS PBI Artículos'!A:A,'[1]DATOS PBI Artículos'!AK:AK))</f>
        <v>0</v>
      </c>
      <c r="F634" s="35">
        <f>_xlfn.XLOOKUP($A634,'[1]DATOS PBI Artículos'!A:A,'[1]DATOS PBI Artículos'!AP:AP)</f>
        <v>0</v>
      </c>
      <c r="G634" s="34">
        <f>_xlfn.XLOOKUP($A634,'[1]DATOS PBI Artículos'!A:A,'[1]DATOS PBI Artículos'!AR:AR)</f>
        <v>0</v>
      </c>
      <c r="H634" s="34">
        <f>_xlfn.XLOOKUP($A634,'[1]DATOS PBI Artículos'!A:A,'[1]DATOS PBI Artículos'!AT:AT)</f>
        <v>0</v>
      </c>
      <c r="I634" s="34">
        <f>_xlfn.XLOOKUP($A634,'[1]DATOS PBI Artículos'!A:A,'[1]DATOS PBI Artículos'!AS:AS)</f>
        <v>0</v>
      </c>
      <c r="J634" s="35">
        <f>IF(COUNTIF([1]CRITERIOS!$F$179:$F$199,$A634)&gt;=1,
 IF(O634&lt;&gt;"",
    (O634/_xlfn.XLOOKUP(CONCATENATE(A634,L634),[1]MÁQUINAS!A:A,[1]MÁQUINAS!D:D))/24,
    (N634/_xlfn.XLOOKUP(CONCATENATE(A634,L634),[1]MÁQUINAS!A:A,[1]MÁQUINAS!D:D))/24),
  _xlfn.XLOOKUP($A634,'[1]DATOS PBI Artículos'!A:A,'[1]DATOS PBI Artículos'!AU:AU))</f>
        <v>0</v>
      </c>
      <c r="K634" s="36">
        <f>_xlfn.XLOOKUP($A634,'[1]DATOS PBI Artículos'!A:A,'[1]DATOS PBI Artículos'!AV:AV)</f>
        <v>0</v>
      </c>
      <c r="L634" s="33">
        <f>_xlfn.XLOOKUP(A634,[1]MÁQUINAS!B:B,[1]MÁQUINAS!C:C)</f>
        <v>0</v>
      </c>
      <c r="M634" s="34">
        <f t="array" ref="M634">_xlfn.XLOOKUP(A634,'[1]DATOS PBI Artículos'!A:A,'[1]DATOS PBI Artículos'!AX:$AX)</f>
        <v>0</v>
      </c>
      <c r="N634" s="37" t="e">
        <f>IF(I634="DV",
E634,
IF(COUNTIF([1]CRITERIOS!$I$179:$I$199,$A634)&gt;=1,
_xlfn.XLOOKUP($A634,[1]CRITERIOS!$I$179:$I$199,[1]CRITERIOS!$J$179:$J$199),
IF(COUNTIF([1]CRITERIOS!$L$179:$L$199,$A634)&gt;=1,
_xlfn.CEILING.MATH(IF($M634&gt;$E634,
$E634,
IF($M634&lt;$E634/ROUNDDOWN([1]CRITERIOS!$M$16/_xlfn.XLOOKUP($C634,[1]CRITERIOS!$K$25:$K$42,[1]CRITERIOS!$M$25:$M$42),
1),
E634/ROUNDDOWN([1]CRITERIOS!$M$16/_xlfn.XLOOKUP($C634,[1]CRITERIOS!$K$25:$K$42,[1]CRITERIOS!$M$25:$M$42),
1),
$M634)),
_xlfn.XLOOKUP($A634,[1]CRITERIOS!$L$179:$L$200,[1]CRITERIOS!$M$179:$M$200)),
_xlfn.CEILING.MATH(IF($M634&gt;$E634,
$E634,
IF($M634&lt;$E634/ROUNDDOWN([1]CRITERIOS!$M$16/_xlfn.XLOOKUP($C634,[1]CRITERIOS!$K$25:$K$42,[1]CRITERIOS!$M$25:$M$42),
1),
E634/ROUNDDOWN([1]CRITERIOS!$M$16/_xlfn.XLOOKUP($C634,[1]CRITERIOS!$K$25:$K$42,[1]CRITERIOS!$M$25:$M$42),
1),
$M634)),_xlfn.XLOOKUP(A634,'[1]DATOS PBI Artículos'!A:A,'[1]DATOS PBI Artículos'!Z:Z
)))))</f>
        <v>#N/A</v>
      </c>
      <c r="Q634" s="38" t="e">
        <f>IF(AND(O634="",N634=0),
0,
   IF(COUNTIF([1]CRITERIOS!$F$179:$F$199,$A634)&gt;=1,
   1,
   IF(R634="MTO",
      $D634,
      ROUNDUP(
                    IF(($E634-SUMIF('[1]DATOS PBI Artículos'!A:A,A634,'[1]DATOS PBI Artículos'!X:X)+($V634-_xlfn.XLOOKUP(A634,'[1]DATOS PBI Artículos'!A:A,'[1]DATOS PBI Artículos'!W:W)))&lt;0,
                    0,
                    IF(($E634-SUMIF('[1]DATOS PBI Artículos'!A:A,A634,'[1]DATOS PBI Artículos'!X:X)+$V634-_xlfn.XLOOKUP($A634,'[1]DATOS PBI Artículos'!A:A,'[1]DATOS PBI Artículos'!W:W))/IF($O634="",$N634,$O634)&gt;ROUNDUP([1]CRITERIOS!$M$16/(IF(COUNTIF([1]CRITERIOS!$BG$11:$BG$201,L634)&gt;=1,_xlfn.XLOOKUP($C634,[1]CRITERIOS!$K$25:$K$42,[1]CRITERIOS!$M$25:$M$42),_xlfn.XLOOKUP($C634,[1]CRITERIOS!$K$25:$K$42,[1]CRITERIOS!$M$25:$M$42))),0),
                    ROUNDUP([1]CRITERIOS!$M$16/(IF(COUNTIF([1]CRITERIOS!$BG$11:$BG$201,$L634)&gt;=1,_xlfn.XLOOKUP($C634,[1]CRITERIOS!$K$25:$K$42,[1]CRITERIOS!$M$25:$M$42),_xlfn.XLOOKUP($C634,[1]CRITERIOS!$K$25:$K$42,[1]CRITERIOS!$M$25:$M$42))),0),
                    (E634+V634-SUMIF('[1]DATOS PBI Artículos'!A:A,A634,'[1]DATOS PBI Artículos'!X:X)-_xlfn.XLOOKUP(A634,'[1]DATOS PBI Artículos'!A:A,'[1]DATOS PBI Artículos'!W:W))/IF($O634="",$N634,$O634))),0))))</f>
        <v>#N/A</v>
      </c>
      <c r="R634" s="33" t="e">
        <f>IF(U634&lt;&gt;"",U634,IF(F634="DV","MTO",IF(N634=0,"MTO",_xlfn.XLOOKUP(CONCATENATE(S634,T634),[1]CRITERIOS!$K$160:$K$168,[1]CRITERIOS!$N$160:$N$168))))</f>
        <v>#N/A</v>
      </c>
      <c r="S634" s="33" t="e">
        <f>IF(G634="DV","MTO",IF(N634=0,"MTO",IF(OR(AND(N634=0,O634=""),IF(O634="",G634/N634,G634/O634)&gt;[1]CRITERIOS!$G$163),"MTO",IF(IF(O634="",G634/N634,G634/O634)&lt;[1]CRITERIOS!$H$161,"MTS","MTOS"))))</f>
        <v>#N/A</v>
      </c>
      <c r="T634" s="33" t="e">
        <f>IF(F634="DV","MTO",IF(OR(AND($N634=0,O634=""),$F634/$J634&gt;[1]CRITERIOS!$G$170,$F634="DV"),"MTO",IF($F634/$J634&lt;[1]CRITERIOS!$H$168,"MTS","MTOS")))</f>
        <v>#N/A</v>
      </c>
      <c r="V634" s="34" t="e">
        <f t="shared" si="31"/>
        <v>#N/A</v>
      </c>
      <c r="X634" s="34" t="e">
        <f t="shared" si="29"/>
        <v>#N/A</v>
      </c>
      <c r="Y634" s="34" t="e">
        <f t="shared" si="30"/>
        <v>#N/A</v>
      </c>
      <c r="Z634" s="34" t="e">
        <f>IF($R634="MTO",
0,
($H634+$K634*($E634/[1]CRITERIOS!$M$16))/[1]CRITERIOS!$X$48)</f>
        <v>#N/A</v>
      </c>
      <c r="AA634" s="34" t="e">
        <f>ROUNDUP(($Y634/_xlfn.XLOOKUP($A634,'[1]DATOS PBI Artículos'!$A$4:$A$4,'[1]DATOS PBI Artículos'!$Z$4:$Z$4))/_xlfn.XLOOKUP(_xlfn.XLOOKUP($A634,'[1]DATOS PBI Artículos'!$A$4:$A$4,'[1]DATOS PBI Artículos'!$Y$4:$Y$4),[1]CRITERIOS!$P$79:$P$123,[1]CRITERIOS!$S$79:$S$123,),0)</f>
        <v>#N/A</v>
      </c>
      <c r="AB634" s="33" t="e">
        <f t="array" ref="AB634">IF((E634+V634-_xlfn.XLOOKUP(A634,'[1]DATOS PBI Artículos'!$A$4:$A$4,'[1]DATOS PBI Artículos'!$W$4:$W$4))/N634&gt;ROUNDUP([1]CRITERIOS!$M$16/(IF(COUNTIF([1]CRITERIOS!$BG$11:$BG$201,L634)&gt;=1,_xlfn.XLOOKUP(ARTÍCULOS!L634,[1]CRITERIOS!$BG$11:$BG$201,[1]CRITERIOS!$BJ$11:$BJ$201),_xlfn.XLOOKUP(ARTÍCULOS!C634,[1]CRITERIOS!$K$25:$K$42,[1]CRITERIOS!$M$25:$M$42))),0),ROUNDUP([1]CRITERIOS!$M$16/(IF(COUNTIF([1]CRITERIOS!$BG$11:$BG$201,L634)&gt;=1,_xlfn.XLOOKUP(ARTÍCULOS!L634,[1]CRITERIOS!$BG$11:$BG$201:#REF!,[1]CRITERIOS!$BJ$11:$BJ$201),_xlfn.XLOOKUP(ARTÍCULOS!C634,[1]CRITERIOS!$K$25:$K$42,[1]CRITERIOS!$M$25:$M$42))),0),(E634+V634-_xlfn.XLOOKUP(A634,'[1]DATOS PBI Artículos'!$A$4:$A$4,'[1]DATOS PBI Artículos'!$W$4:$W$4))/N634)</f>
        <v>#N/A</v>
      </c>
      <c r="AC634" s="33" t="e">
        <f>IF(N634=0,"",(ROUNDUP((N634/2)/(_xlfn.XLOOKUP(A634,'[1]DATOS PBI Artículos'!$A$4:$A$4,'[1]DATOS PBI Artículos'!$Z$4:$Z$4)*_xlfn.XLOOKUP(_xlfn.XLOOKUP(A634,'[1]DATOS PBI Artículos'!$A$4:$A$4,'[1]DATOS PBI Artículos'!$Y$4:$Y$4),[1]CRITERIOS!$P$79:$P$123,[1]CRITERIOS!$S$79:$S$123)),0)*[1]CRITERIOS!$M$80*([1]CRITERIOS!$M$110/[1]CRITERIOS!$M$86)+(_xlfn.XLOOKUP(A634,'[1]DATOS PBI Artículos'!$A$4:$A$4,'[1]DATOS PBI Artículos'!$AA$4:$AA$4)*([1]CRITERIOS!$M$95+[1]CRITERIOS!$M$98)))/N634)</f>
        <v>#N/A</v>
      </c>
      <c r="AD634" s="33" t="e">
        <f>IF(N634=0,"",(ROUNDUP((N634/2)/(_xlfn.XLOOKUP(A634,'[1]DATOS PBI Artículos'!$A$4:$A$4,'[1]DATOS PBI Artículos'!$Z$4:$Z$4)*_xlfn.XLOOKUP(_xlfn.XLOOKUP(A634,'[1]DATOS PBI Artículos'!$A$4:$A$4,'[1]DATOS PBI Artículos'!$Y$4:$Y$4),[1]CRITERIOS!$P$79:$P$123,[1]CRITERIOS!$S$79:$S$123)),0)*[1]CRITERIOS!$M$80*([1]CRITERIOS!$M$89*[1]CRITERIOS!$M$92)+((_xlfn.XLOOKUP(A634,'[1]DATOS PBI Artículos'!$A$4:$A$4,'[1]DATOS PBI Artículos'!$AA$4:$AA$4)/2)*([1]CRITERIOS!$M$95+[1]CRITERIOS!$M$98)))/N634)</f>
        <v>#N/A</v>
      </c>
      <c r="AE634" s="39" t="e">
        <f>IF($R634="MTO","",
IF($H634=0,ROUNDUP(((_xlfn.XLOOKUP($A634,'[1]DATOS PBI Artículos'!$A:$A,'[1]DATOS PBI Artículos'!$AL:$AL))/(_xlfn.XLOOKUP($AF$1,[1]CRITERIOS!$S$16:$S$39,[1]CRITERIOS!$Y$16:$Y$39))*$J634+$Z634)/$G634,0)*$G634,
((_xlfn.XLOOKUP($A634,'[1]DATOS PBI Artículos'!$A:$A,'[1]DATOS PBI Artículos'!$AL:$AL))/(_xlfn.XLOOKUP($AF$1,[1]CRITERIOS!$S$16:$S$39,[1]CRITERIOS!$Y$16:$Y$39))*$J634+$Z634)))</f>
        <v>#N/A</v>
      </c>
      <c r="AG634" s="39" t="e">
        <f>IF($R634="MTO","",
IF($H634=0,ROUNDUP(((_xlfn.XLOOKUP($A634,'[1]DATOS PBI Artículos'!$A:$A,'[1]DATOS PBI Artículos'!$AM:$AM))/(_xlfn.XLOOKUP($AH$1,[1]CRITERIOS!$S$16:$S$39,[1]CRITERIOS!$Y$16:$Y$39))*$J634+$Z634)/$G634,0)*$G634,
((_xlfn.XLOOKUP($A634,'[1]DATOS PBI Artículos'!$A:$A,'[1]DATOS PBI Artículos'!$AM:$AM))/(_xlfn.XLOOKUP($AH$1,[1]CRITERIOS!$S$16:$S$39,[1]CRITERIOS!$Y$16:$Y$39))*$J634+$Z634)))</f>
        <v>#N/A</v>
      </c>
      <c r="AI634" s="39" t="e">
        <f>IF($R634="MTO","",
IF($H634=0,ROUNDUP(((_xlfn.XLOOKUP($A634,'[1]DATOS PBI Artículos'!$A:$A,'[1]DATOS PBI Artículos'!$AN:$AN))/(_xlfn.XLOOKUP($AJ$1,[1]CRITERIOS!$S$16:$S$39,[1]CRITERIOS!$Y$16:$Y$39))*$J634+$Z634)/$G634,0)*$G634,
((_xlfn.XLOOKUP($A634,'[1]DATOS PBI Artículos'!$A:$A,'[1]DATOS PBI Artículos'!$AN:$AN))/(_xlfn.XLOOKUP($AJ$1,[1]CRITERIOS!$S$16:$S$39,[1]CRITERIOS!$Y$16:$Y$39))*$J634+$Z634)))</f>
        <v>#N/A</v>
      </c>
      <c r="AK634" s="39" t="e">
        <f>IF($R634="MTO","",
IF($H634=0,ROUNDUP(((_xlfn.XLOOKUP($A634,'[1]DATOS PBI Artículos'!$A:$A,'[1]DATOS PBI Artículos'!$AO:$AO))/(_xlfn.XLOOKUP($AL$1,[1]CRITERIOS!$S$16:$S$39,[1]CRITERIOS!$Y$16:$Y$39))*$J634+$Z634)/$G634,0)*$G634,
((_xlfn.XLOOKUP($A634,'[1]DATOS PBI Artículos'!$A:$A,'[1]DATOS PBI Artículos'!$AO:$AO))/(_xlfn.XLOOKUP($AL$1,[1]CRITERIOS!$S$16:$S$39,[1]CRITERIOS!$Y$16:$Y$39))*$J634+$Z634)))</f>
        <v>#N/A</v>
      </c>
    </row>
    <row r="635" spans="1:37" ht="25.8" hidden="1" x14ac:dyDescent="0.4">
      <c r="A635" s="41"/>
      <c r="B635" s="33">
        <f>_xlfn.XLOOKUP($A635,'[1]DATOS PBI Artículos'!A:A,'[1]DATOS PBI Artículos'!B:B)</f>
        <v>0</v>
      </c>
      <c r="C635" s="33">
        <f>_xlfn.XLOOKUP($A635,'[1]DATOS PBI Artículos'!A:A,'[1]DATOS PBI Artículos'!C:C)</f>
        <v>0</v>
      </c>
      <c r="D635" s="33">
        <f>_xlfn.XLOOKUP(A635,'[1]DATOS PBI Artículos'!A:A,'[1]DATOS PBI Artículos'!T:T)</f>
        <v>0</v>
      </c>
      <c r="E635" s="34">
        <f>IF(_xlfn.XLOOKUP($A635,'[1]DATOS PBI Artículos'!A:A,'[1]DATOS PBI Artículos'!AK:AK)="",_xlfn.XLOOKUP($A635,'[1]DATOS PBI Artículos'!A:A,'[1]DATOS PBI Artículos'!AJ:AJ),_xlfn.XLOOKUP($A635,'[1]DATOS PBI Artículos'!A:A,'[1]DATOS PBI Artículos'!AK:AK))</f>
        <v>0</v>
      </c>
      <c r="F635" s="35">
        <f>_xlfn.XLOOKUP($A635,'[1]DATOS PBI Artículos'!A:A,'[1]DATOS PBI Artículos'!AP:AP)</f>
        <v>0</v>
      </c>
      <c r="G635" s="34">
        <f>_xlfn.XLOOKUP($A635,'[1]DATOS PBI Artículos'!A:A,'[1]DATOS PBI Artículos'!AR:AR)</f>
        <v>0</v>
      </c>
      <c r="H635" s="34">
        <f>_xlfn.XLOOKUP($A635,'[1]DATOS PBI Artículos'!A:A,'[1]DATOS PBI Artículos'!AT:AT)</f>
        <v>0</v>
      </c>
      <c r="I635" s="34">
        <f>_xlfn.XLOOKUP($A635,'[1]DATOS PBI Artículos'!A:A,'[1]DATOS PBI Artículos'!AS:AS)</f>
        <v>0</v>
      </c>
      <c r="J635" s="35">
        <f>IF(COUNTIF([1]CRITERIOS!$F$179:$F$199,$A635)&gt;=1,
 IF(O635&lt;&gt;"",
    (O635/_xlfn.XLOOKUP(CONCATENATE(A635,L635),[1]MÁQUINAS!A:A,[1]MÁQUINAS!D:D))/24,
    (N635/_xlfn.XLOOKUP(CONCATENATE(A635,L635),[1]MÁQUINAS!A:A,[1]MÁQUINAS!D:D))/24),
  _xlfn.XLOOKUP($A635,'[1]DATOS PBI Artículos'!A:A,'[1]DATOS PBI Artículos'!AU:AU))</f>
        <v>0</v>
      </c>
      <c r="K635" s="36">
        <f>_xlfn.XLOOKUP($A635,'[1]DATOS PBI Artículos'!A:A,'[1]DATOS PBI Artículos'!AV:AV)</f>
        <v>0</v>
      </c>
      <c r="L635" s="33">
        <f>_xlfn.XLOOKUP(A635,[1]MÁQUINAS!B:B,[1]MÁQUINAS!C:C)</f>
        <v>0</v>
      </c>
      <c r="M635" s="34">
        <f t="array" ref="M635">_xlfn.XLOOKUP(A635,'[1]DATOS PBI Artículos'!A:A,'[1]DATOS PBI Artículos'!AX:$AX)</f>
        <v>0</v>
      </c>
      <c r="N635" s="37" t="e">
        <f>IF(I635="DV",
E635,
IF(COUNTIF([1]CRITERIOS!$I$179:$I$199,$A635)&gt;=1,
_xlfn.XLOOKUP($A635,[1]CRITERIOS!$I$179:$I$199,[1]CRITERIOS!$J$179:$J$199),
IF(COUNTIF([1]CRITERIOS!$L$179:$L$199,$A635)&gt;=1,
_xlfn.CEILING.MATH(IF($M635&gt;$E635,
$E635,
IF($M635&lt;$E635/ROUNDDOWN([1]CRITERIOS!$M$16/_xlfn.XLOOKUP($C635,[1]CRITERIOS!$K$25:$K$42,[1]CRITERIOS!$M$25:$M$42),
1),
E635/ROUNDDOWN([1]CRITERIOS!$M$16/_xlfn.XLOOKUP($C635,[1]CRITERIOS!$K$25:$K$42,[1]CRITERIOS!$M$25:$M$42),
1),
$M635)),
_xlfn.XLOOKUP($A635,[1]CRITERIOS!$L$179:$L$200,[1]CRITERIOS!$M$179:$M$200)),
_xlfn.CEILING.MATH(IF($M635&gt;$E635,
$E635,
IF($M635&lt;$E635/ROUNDDOWN([1]CRITERIOS!$M$16/_xlfn.XLOOKUP($C635,[1]CRITERIOS!$K$25:$K$42,[1]CRITERIOS!$M$25:$M$42),
1),
E635/ROUNDDOWN([1]CRITERIOS!$M$16/_xlfn.XLOOKUP($C635,[1]CRITERIOS!$K$25:$K$42,[1]CRITERIOS!$M$25:$M$42),
1),
$M635)),_xlfn.XLOOKUP(A635,'[1]DATOS PBI Artículos'!A:A,'[1]DATOS PBI Artículos'!Z:Z
)))))</f>
        <v>#N/A</v>
      </c>
      <c r="Q635" s="38" t="e">
        <f>IF(AND(O635="",N635=0),
0,
   IF(COUNTIF([1]CRITERIOS!$F$179:$F$199,$A635)&gt;=1,
   1,
   IF(R635="MTO",
      $D635,
      ROUNDUP(
                    IF(($E635-SUMIF('[1]DATOS PBI Artículos'!A:A,A635,'[1]DATOS PBI Artículos'!X:X)+($V635-_xlfn.XLOOKUP(A635,'[1]DATOS PBI Artículos'!A:A,'[1]DATOS PBI Artículos'!W:W)))&lt;0,
                    0,
                    IF(($E635-SUMIF('[1]DATOS PBI Artículos'!A:A,A635,'[1]DATOS PBI Artículos'!X:X)+$V635-_xlfn.XLOOKUP($A635,'[1]DATOS PBI Artículos'!A:A,'[1]DATOS PBI Artículos'!W:W))/IF($O635="",$N635,$O635)&gt;ROUNDUP([1]CRITERIOS!$M$16/(IF(COUNTIF([1]CRITERIOS!$BG$11:$BG$201,L635)&gt;=1,_xlfn.XLOOKUP($C635,[1]CRITERIOS!$K$25:$K$42,[1]CRITERIOS!$M$25:$M$42),_xlfn.XLOOKUP($C635,[1]CRITERIOS!$K$25:$K$42,[1]CRITERIOS!$M$25:$M$42))),0),
                    ROUNDUP([1]CRITERIOS!$M$16/(IF(COUNTIF([1]CRITERIOS!$BG$11:$BG$201,$L635)&gt;=1,_xlfn.XLOOKUP($C635,[1]CRITERIOS!$K$25:$K$42,[1]CRITERIOS!$M$25:$M$42),_xlfn.XLOOKUP($C635,[1]CRITERIOS!$K$25:$K$42,[1]CRITERIOS!$M$25:$M$42))),0),
                    (E635+V635-SUMIF('[1]DATOS PBI Artículos'!A:A,A635,'[1]DATOS PBI Artículos'!X:X)-_xlfn.XLOOKUP(A635,'[1]DATOS PBI Artículos'!A:A,'[1]DATOS PBI Artículos'!W:W))/IF($O635="",$N635,$O635))),0))))</f>
        <v>#N/A</v>
      </c>
      <c r="R635" s="33" t="e">
        <f>IF(U635&lt;&gt;"",U635,IF(F635="DV","MTO",IF(N635=0,"MTO",_xlfn.XLOOKUP(CONCATENATE(S635,T635),[1]CRITERIOS!$K$160:$K$168,[1]CRITERIOS!$N$160:$N$168))))</f>
        <v>#N/A</v>
      </c>
      <c r="S635" s="33" t="e">
        <f>IF(G635="DV","MTO",IF(N635=0,"MTO",IF(OR(AND(N635=0,O635=""),IF(O635="",G635/N635,G635/O635)&gt;[1]CRITERIOS!$G$163),"MTO",IF(IF(O635="",G635/N635,G635/O635)&lt;[1]CRITERIOS!$H$161,"MTS","MTOS"))))</f>
        <v>#N/A</v>
      </c>
      <c r="T635" s="33" t="e">
        <f>IF(F635="DV","MTO",IF(OR(AND($N635=0,O635=""),$F635/$J635&gt;[1]CRITERIOS!$G$170,$F635="DV"),"MTO",IF($F635/$J635&lt;[1]CRITERIOS!$H$168,"MTS","MTOS")))</f>
        <v>#N/A</v>
      </c>
      <c r="V635" s="34" t="e">
        <f t="shared" si="31"/>
        <v>#N/A</v>
      </c>
      <c r="X635" s="34" t="e">
        <f t="shared" si="29"/>
        <v>#N/A</v>
      </c>
      <c r="Y635" s="34" t="e">
        <f t="shared" si="30"/>
        <v>#N/A</v>
      </c>
      <c r="Z635" s="34" t="e">
        <f>IF($R635="MTO",
0,
($H635+$K635*($E635/[1]CRITERIOS!$M$16))/[1]CRITERIOS!$X$48)</f>
        <v>#N/A</v>
      </c>
      <c r="AA635" s="34" t="e">
        <f>ROUNDUP(($Y635/_xlfn.XLOOKUP($A635,'[1]DATOS PBI Artículos'!$A$4:$A$4,'[1]DATOS PBI Artículos'!$Z$4:$Z$4))/_xlfn.XLOOKUP(_xlfn.XLOOKUP($A635,'[1]DATOS PBI Artículos'!$A$4:$A$4,'[1]DATOS PBI Artículos'!$Y$4:$Y$4),[1]CRITERIOS!$P$79:$P$123,[1]CRITERIOS!$S$79:$S$123,),0)</f>
        <v>#N/A</v>
      </c>
      <c r="AB635" s="33" t="e">
        <f t="array" ref="AB635">IF((E635+V635-_xlfn.XLOOKUP(A635,'[1]DATOS PBI Artículos'!$A$4:$A$4,'[1]DATOS PBI Artículos'!$W$4:$W$4))/N635&gt;ROUNDUP([1]CRITERIOS!$M$16/(IF(COUNTIF([1]CRITERIOS!$BG$11:$BG$201,L635)&gt;=1,_xlfn.XLOOKUP(ARTÍCULOS!L635,[1]CRITERIOS!$BG$11:$BG$201,[1]CRITERIOS!$BJ$11:$BJ$201),_xlfn.XLOOKUP(ARTÍCULOS!C635,[1]CRITERIOS!$K$25:$K$42,[1]CRITERIOS!$M$25:$M$42))),0),ROUNDUP([1]CRITERIOS!$M$16/(IF(COUNTIF([1]CRITERIOS!$BG$11:$BG$201,L635)&gt;=1,_xlfn.XLOOKUP(ARTÍCULOS!L635,[1]CRITERIOS!$BG$11:$BG$201:#REF!,[1]CRITERIOS!$BJ$11:$BJ$201),_xlfn.XLOOKUP(ARTÍCULOS!C635,[1]CRITERIOS!$K$25:$K$42,[1]CRITERIOS!$M$25:$M$42))),0),(E635+V635-_xlfn.XLOOKUP(A635,'[1]DATOS PBI Artículos'!$A$4:$A$4,'[1]DATOS PBI Artículos'!$W$4:$W$4))/N635)</f>
        <v>#N/A</v>
      </c>
      <c r="AC635" s="33" t="e">
        <f>IF(N635=0,"",(ROUNDUP((N635/2)/(_xlfn.XLOOKUP(A635,'[1]DATOS PBI Artículos'!$A$4:$A$4,'[1]DATOS PBI Artículos'!$Z$4:$Z$4)*_xlfn.XLOOKUP(_xlfn.XLOOKUP(A635,'[1]DATOS PBI Artículos'!$A$4:$A$4,'[1]DATOS PBI Artículos'!$Y$4:$Y$4),[1]CRITERIOS!$P$79:$P$123,[1]CRITERIOS!$S$79:$S$123)),0)*[1]CRITERIOS!$M$80*([1]CRITERIOS!$M$110/[1]CRITERIOS!$M$86)+(_xlfn.XLOOKUP(A635,'[1]DATOS PBI Artículos'!$A$4:$A$4,'[1]DATOS PBI Artículos'!$AA$4:$AA$4)*([1]CRITERIOS!$M$95+[1]CRITERIOS!$M$98)))/N635)</f>
        <v>#N/A</v>
      </c>
      <c r="AD635" s="33" t="e">
        <f>IF(N635=0,"",(ROUNDUP((N635/2)/(_xlfn.XLOOKUP(A635,'[1]DATOS PBI Artículos'!$A$4:$A$4,'[1]DATOS PBI Artículos'!$Z$4:$Z$4)*_xlfn.XLOOKUP(_xlfn.XLOOKUP(A635,'[1]DATOS PBI Artículos'!$A$4:$A$4,'[1]DATOS PBI Artículos'!$Y$4:$Y$4),[1]CRITERIOS!$P$79:$P$123,[1]CRITERIOS!$S$79:$S$123)),0)*[1]CRITERIOS!$M$80*([1]CRITERIOS!$M$89*[1]CRITERIOS!$M$92)+((_xlfn.XLOOKUP(A635,'[1]DATOS PBI Artículos'!$A$4:$A$4,'[1]DATOS PBI Artículos'!$AA$4:$AA$4)/2)*([1]CRITERIOS!$M$95+[1]CRITERIOS!$M$98)))/N635)</f>
        <v>#N/A</v>
      </c>
      <c r="AE635" s="39" t="e">
        <f>IF($R635="MTO","",
IF($H635=0,ROUNDUP(((_xlfn.XLOOKUP($A635,'[1]DATOS PBI Artículos'!$A:$A,'[1]DATOS PBI Artículos'!$AL:$AL))/(_xlfn.XLOOKUP($AF$1,[1]CRITERIOS!$S$16:$S$39,[1]CRITERIOS!$Y$16:$Y$39))*$J635+$Z635)/$G635,0)*$G635,
((_xlfn.XLOOKUP($A635,'[1]DATOS PBI Artículos'!$A:$A,'[1]DATOS PBI Artículos'!$AL:$AL))/(_xlfn.XLOOKUP($AF$1,[1]CRITERIOS!$S$16:$S$39,[1]CRITERIOS!$Y$16:$Y$39))*$J635+$Z635)))</f>
        <v>#N/A</v>
      </c>
      <c r="AG635" s="39" t="e">
        <f>IF($R635="MTO","",
IF($H635=0,ROUNDUP(((_xlfn.XLOOKUP($A635,'[1]DATOS PBI Artículos'!$A:$A,'[1]DATOS PBI Artículos'!$AM:$AM))/(_xlfn.XLOOKUP($AH$1,[1]CRITERIOS!$S$16:$S$39,[1]CRITERIOS!$Y$16:$Y$39))*$J635+$Z635)/$G635,0)*$G635,
((_xlfn.XLOOKUP($A635,'[1]DATOS PBI Artículos'!$A:$A,'[1]DATOS PBI Artículos'!$AM:$AM))/(_xlfn.XLOOKUP($AH$1,[1]CRITERIOS!$S$16:$S$39,[1]CRITERIOS!$Y$16:$Y$39))*$J635+$Z635)))</f>
        <v>#N/A</v>
      </c>
      <c r="AI635" s="39" t="e">
        <f>IF($R635="MTO","",
IF($H635=0,ROUNDUP(((_xlfn.XLOOKUP($A635,'[1]DATOS PBI Artículos'!$A:$A,'[1]DATOS PBI Artículos'!$AN:$AN))/(_xlfn.XLOOKUP($AJ$1,[1]CRITERIOS!$S$16:$S$39,[1]CRITERIOS!$Y$16:$Y$39))*$J635+$Z635)/$G635,0)*$G635,
((_xlfn.XLOOKUP($A635,'[1]DATOS PBI Artículos'!$A:$A,'[1]DATOS PBI Artículos'!$AN:$AN))/(_xlfn.XLOOKUP($AJ$1,[1]CRITERIOS!$S$16:$S$39,[1]CRITERIOS!$Y$16:$Y$39))*$J635+$Z635)))</f>
        <v>#N/A</v>
      </c>
      <c r="AK635" s="39" t="e">
        <f>IF($R635="MTO","",
IF($H635=0,ROUNDUP(((_xlfn.XLOOKUP($A635,'[1]DATOS PBI Artículos'!$A:$A,'[1]DATOS PBI Artículos'!$AO:$AO))/(_xlfn.XLOOKUP($AL$1,[1]CRITERIOS!$S$16:$S$39,[1]CRITERIOS!$Y$16:$Y$39))*$J635+$Z635)/$G635,0)*$G635,
((_xlfn.XLOOKUP($A635,'[1]DATOS PBI Artículos'!$A:$A,'[1]DATOS PBI Artículos'!$AO:$AO))/(_xlfn.XLOOKUP($AL$1,[1]CRITERIOS!$S$16:$S$39,[1]CRITERIOS!$Y$16:$Y$39))*$J635+$Z635)))</f>
        <v>#N/A</v>
      </c>
    </row>
    <row r="636" spans="1:37" ht="25.8" hidden="1" x14ac:dyDescent="0.4">
      <c r="A636" s="41"/>
      <c r="B636" s="33">
        <f>_xlfn.XLOOKUP($A636,'[1]DATOS PBI Artículos'!A:A,'[1]DATOS PBI Artículos'!B:B)</f>
        <v>0</v>
      </c>
      <c r="C636" s="33">
        <f>_xlfn.XLOOKUP($A636,'[1]DATOS PBI Artículos'!A:A,'[1]DATOS PBI Artículos'!C:C)</f>
        <v>0</v>
      </c>
      <c r="D636" s="33">
        <f>_xlfn.XLOOKUP(A636,'[1]DATOS PBI Artículos'!A:A,'[1]DATOS PBI Artículos'!T:T)</f>
        <v>0</v>
      </c>
      <c r="E636" s="34">
        <f>IF(_xlfn.XLOOKUP($A636,'[1]DATOS PBI Artículos'!A:A,'[1]DATOS PBI Artículos'!AK:AK)="",_xlfn.XLOOKUP($A636,'[1]DATOS PBI Artículos'!A:A,'[1]DATOS PBI Artículos'!AJ:AJ),_xlfn.XLOOKUP($A636,'[1]DATOS PBI Artículos'!A:A,'[1]DATOS PBI Artículos'!AK:AK))</f>
        <v>0</v>
      </c>
      <c r="F636" s="35">
        <f>_xlfn.XLOOKUP($A636,'[1]DATOS PBI Artículos'!A:A,'[1]DATOS PBI Artículos'!AP:AP)</f>
        <v>0</v>
      </c>
      <c r="G636" s="34">
        <f>_xlfn.XLOOKUP($A636,'[1]DATOS PBI Artículos'!A:A,'[1]DATOS PBI Artículos'!AR:AR)</f>
        <v>0</v>
      </c>
      <c r="H636" s="34">
        <f>_xlfn.XLOOKUP($A636,'[1]DATOS PBI Artículos'!A:A,'[1]DATOS PBI Artículos'!AT:AT)</f>
        <v>0</v>
      </c>
      <c r="I636" s="34">
        <f>_xlfn.XLOOKUP($A636,'[1]DATOS PBI Artículos'!A:A,'[1]DATOS PBI Artículos'!AS:AS)</f>
        <v>0</v>
      </c>
      <c r="J636" s="35">
        <f>IF(COUNTIF([1]CRITERIOS!$F$179:$F$199,$A636)&gt;=1,
 IF(O636&lt;&gt;"",
    (O636/_xlfn.XLOOKUP(CONCATENATE(A636,L636),[1]MÁQUINAS!A:A,[1]MÁQUINAS!D:D))/24,
    (N636/_xlfn.XLOOKUP(CONCATENATE(A636,L636),[1]MÁQUINAS!A:A,[1]MÁQUINAS!D:D))/24),
  _xlfn.XLOOKUP($A636,'[1]DATOS PBI Artículos'!A:A,'[1]DATOS PBI Artículos'!AU:AU))</f>
        <v>0</v>
      </c>
      <c r="K636" s="36">
        <f>_xlfn.XLOOKUP($A636,'[1]DATOS PBI Artículos'!A:A,'[1]DATOS PBI Artículos'!AV:AV)</f>
        <v>0</v>
      </c>
      <c r="L636" s="33">
        <f>_xlfn.XLOOKUP(A636,[1]MÁQUINAS!B:B,[1]MÁQUINAS!C:C)</f>
        <v>0</v>
      </c>
      <c r="M636" s="34">
        <f t="array" ref="M636">_xlfn.XLOOKUP(A636,'[1]DATOS PBI Artículos'!A:A,'[1]DATOS PBI Artículos'!AX:$AX)</f>
        <v>0</v>
      </c>
      <c r="N636" s="37" t="e">
        <f>IF(I636="DV",
E636,
IF(COUNTIF([1]CRITERIOS!$I$179:$I$199,$A636)&gt;=1,
_xlfn.XLOOKUP($A636,[1]CRITERIOS!$I$179:$I$199,[1]CRITERIOS!$J$179:$J$199),
IF(COUNTIF([1]CRITERIOS!$L$179:$L$199,$A636)&gt;=1,
_xlfn.CEILING.MATH(IF($M636&gt;$E636,
$E636,
IF($M636&lt;$E636/ROUNDDOWN([1]CRITERIOS!$M$16/_xlfn.XLOOKUP($C636,[1]CRITERIOS!$K$25:$K$42,[1]CRITERIOS!$M$25:$M$42),
1),
E636/ROUNDDOWN([1]CRITERIOS!$M$16/_xlfn.XLOOKUP($C636,[1]CRITERIOS!$K$25:$K$42,[1]CRITERIOS!$M$25:$M$42),
1),
$M636)),
_xlfn.XLOOKUP($A636,[1]CRITERIOS!$L$179:$L$200,[1]CRITERIOS!$M$179:$M$200)),
_xlfn.CEILING.MATH(IF($M636&gt;$E636,
$E636,
IF($M636&lt;$E636/ROUNDDOWN([1]CRITERIOS!$M$16/_xlfn.XLOOKUP($C636,[1]CRITERIOS!$K$25:$K$42,[1]CRITERIOS!$M$25:$M$42),
1),
E636/ROUNDDOWN([1]CRITERIOS!$M$16/_xlfn.XLOOKUP($C636,[1]CRITERIOS!$K$25:$K$42,[1]CRITERIOS!$M$25:$M$42),
1),
$M636)),_xlfn.XLOOKUP(A636,'[1]DATOS PBI Artículos'!A:A,'[1]DATOS PBI Artículos'!Z:Z
)))))</f>
        <v>#N/A</v>
      </c>
      <c r="Q636" s="38" t="e">
        <f>IF(AND(O636="",N636=0),
0,
   IF(COUNTIF([1]CRITERIOS!$F$179:$F$199,$A636)&gt;=1,
   1,
   IF(R636="MTO",
      $D636,
      ROUNDUP(
                    IF(($E636-SUMIF('[1]DATOS PBI Artículos'!A:A,A636,'[1]DATOS PBI Artículos'!X:X)+($V636-_xlfn.XLOOKUP(A636,'[1]DATOS PBI Artículos'!A:A,'[1]DATOS PBI Artículos'!W:W)))&lt;0,
                    0,
                    IF(($E636-SUMIF('[1]DATOS PBI Artículos'!A:A,A636,'[1]DATOS PBI Artículos'!X:X)+$V636-_xlfn.XLOOKUP($A636,'[1]DATOS PBI Artículos'!A:A,'[1]DATOS PBI Artículos'!W:W))/IF($O636="",$N636,$O636)&gt;ROUNDUP([1]CRITERIOS!$M$16/(IF(COUNTIF([1]CRITERIOS!$BG$11:$BG$201,L636)&gt;=1,_xlfn.XLOOKUP($C636,[1]CRITERIOS!$K$25:$K$42,[1]CRITERIOS!$M$25:$M$42),_xlfn.XLOOKUP($C636,[1]CRITERIOS!$K$25:$K$42,[1]CRITERIOS!$M$25:$M$42))),0),
                    ROUNDUP([1]CRITERIOS!$M$16/(IF(COUNTIF([1]CRITERIOS!$BG$11:$BG$201,$L636)&gt;=1,_xlfn.XLOOKUP($C636,[1]CRITERIOS!$K$25:$K$42,[1]CRITERIOS!$M$25:$M$42),_xlfn.XLOOKUP($C636,[1]CRITERIOS!$K$25:$K$42,[1]CRITERIOS!$M$25:$M$42))),0),
                    (E636+V636-SUMIF('[1]DATOS PBI Artículos'!A:A,A636,'[1]DATOS PBI Artículos'!X:X)-_xlfn.XLOOKUP(A636,'[1]DATOS PBI Artículos'!A:A,'[1]DATOS PBI Artículos'!W:W))/IF($O636="",$N636,$O636))),0))))</f>
        <v>#N/A</v>
      </c>
      <c r="R636" s="33" t="e">
        <f>IF(U636&lt;&gt;"",U636,IF(F636="DV","MTO",IF(N636=0,"MTO",_xlfn.XLOOKUP(CONCATENATE(S636,T636),[1]CRITERIOS!$K$160:$K$168,[1]CRITERIOS!$N$160:$N$168))))</f>
        <v>#N/A</v>
      </c>
      <c r="S636" s="33" t="e">
        <f>IF(G636="DV","MTO",IF(N636=0,"MTO",IF(OR(AND(N636=0,O636=""),IF(O636="",G636/N636,G636/O636)&gt;[1]CRITERIOS!$G$163),"MTO",IF(IF(O636="",G636/N636,G636/O636)&lt;[1]CRITERIOS!$H$161,"MTS","MTOS"))))</f>
        <v>#N/A</v>
      </c>
      <c r="T636" s="33" t="e">
        <f>IF(F636="DV","MTO",IF(OR(AND($N636=0,O636=""),$F636/$J636&gt;[1]CRITERIOS!$G$170,$F636="DV"),"MTO",IF($F636/$J636&lt;[1]CRITERIOS!$H$168,"MTS","MTOS")))</f>
        <v>#N/A</v>
      </c>
      <c r="V636" s="34" t="e">
        <f t="shared" si="31"/>
        <v>#N/A</v>
      </c>
      <c r="X636" s="34" t="e">
        <f t="shared" si="29"/>
        <v>#N/A</v>
      </c>
      <c r="Y636" s="34" t="e">
        <f t="shared" si="30"/>
        <v>#N/A</v>
      </c>
      <c r="Z636" s="34" t="e">
        <f>IF($R636="MTO",
0,
($H636+$K636*($E636/[1]CRITERIOS!$M$16))/[1]CRITERIOS!$X$48)</f>
        <v>#N/A</v>
      </c>
      <c r="AA636" s="34" t="e">
        <f>ROUNDUP(($Y636/_xlfn.XLOOKUP($A636,'[1]DATOS PBI Artículos'!$A$4:$A$4,'[1]DATOS PBI Artículos'!$Z$4:$Z$4))/_xlfn.XLOOKUP(_xlfn.XLOOKUP($A636,'[1]DATOS PBI Artículos'!$A$4:$A$4,'[1]DATOS PBI Artículos'!$Y$4:$Y$4),[1]CRITERIOS!$P$79:$P$123,[1]CRITERIOS!$S$79:$S$123,),0)</f>
        <v>#N/A</v>
      </c>
      <c r="AB636" s="33" t="e">
        <f t="array" ref="AB636">IF((E636+V636-_xlfn.XLOOKUP(A636,'[1]DATOS PBI Artículos'!$A$4:$A$4,'[1]DATOS PBI Artículos'!$W$4:$W$4))/N636&gt;ROUNDUP([1]CRITERIOS!$M$16/(IF(COUNTIF([1]CRITERIOS!$BG$11:$BG$201,L636)&gt;=1,_xlfn.XLOOKUP(ARTÍCULOS!L636,[1]CRITERIOS!$BG$11:$BG$201,[1]CRITERIOS!$BJ$11:$BJ$201),_xlfn.XLOOKUP(ARTÍCULOS!C636,[1]CRITERIOS!$K$25:$K$42,[1]CRITERIOS!$M$25:$M$42))),0),ROUNDUP([1]CRITERIOS!$M$16/(IF(COUNTIF([1]CRITERIOS!$BG$11:$BG$201,L636)&gt;=1,_xlfn.XLOOKUP(ARTÍCULOS!L636,[1]CRITERIOS!$BG$11:$BG$201:#REF!,[1]CRITERIOS!$BJ$11:$BJ$201),_xlfn.XLOOKUP(ARTÍCULOS!C636,[1]CRITERIOS!$K$25:$K$42,[1]CRITERIOS!$M$25:$M$42))),0),(E636+V636-_xlfn.XLOOKUP(A636,'[1]DATOS PBI Artículos'!$A$4:$A$4,'[1]DATOS PBI Artículos'!$W$4:$W$4))/N636)</f>
        <v>#N/A</v>
      </c>
      <c r="AC636" s="33" t="e">
        <f>IF(N636=0,"",(ROUNDUP((N636/2)/(_xlfn.XLOOKUP(A636,'[1]DATOS PBI Artículos'!$A$4:$A$4,'[1]DATOS PBI Artículos'!$Z$4:$Z$4)*_xlfn.XLOOKUP(_xlfn.XLOOKUP(A636,'[1]DATOS PBI Artículos'!$A$4:$A$4,'[1]DATOS PBI Artículos'!$Y$4:$Y$4),[1]CRITERIOS!$P$79:$P$123,[1]CRITERIOS!$S$79:$S$123)),0)*[1]CRITERIOS!$M$80*([1]CRITERIOS!$M$110/[1]CRITERIOS!$M$86)+(_xlfn.XLOOKUP(A636,'[1]DATOS PBI Artículos'!$A$4:$A$4,'[1]DATOS PBI Artículos'!$AA$4:$AA$4)*([1]CRITERIOS!$M$95+[1]CRITERIOS!$M$98)))/N636)</f>
        <v>#N/A</v>
      </c>
      <c r="AD636" s="33" t="e">
        <f>IF(N636=0,"",(ROUNDUP((N636/2)/(_xlfn.XLOOKUP(A636,'[1]DATOS PBI Artículos'!$A$4:$A$4,'[1]DATOS PBI Artículos'!$Z$4:$Z$4)*_xlfn.XLOOKUP(_xlfn.XLOOKUP(A636,'[1]DATOS PBI Artículos'!$A$4:$A$4,'[1]DATOS PBI Artículos'!$Y$4:$Y$4),[1]CRITERIOS!$P$79:$P$123,[1]CRITERIOS!$S$79:$S$123)),0)*[1]CRITERIOS!$M$80*([1]CRITERIOS!$M$89*[1]CRITERIOS!$M$92)+((_xlfn.XLOOKUP(A636,'[1]DATOS PBI Artículos'!$A$4:$A$4,'[1]DATOS PBI Artículos'!$AA$4:$AA$4)/2)*([1]CRITERIOS!$M$95+[1]CRITERIOS!$M$98)))/N636)</f>
        <v>#N/A</v>
      </c>
      <c r="AE636" s="39" t="e">
        <f>IF($R636="MTO","",
IF($H636=0,ROUNDUP(((_xlfn.XLOOKUP($A636,'[1]DATOS PBI Artículos'!$A:$A,'[1]DATOS PBI Artículos'!$AL:$AL))/(_xlfn.XLOOKUP($AF$1,[1]CRITERIOS!$S$16:$S$39,[1]CRITERIOS!$Y$16:$Y$39))*$J636+$Z636)/$G636,0)*$G636,
((_xlfn.XLOOKUP($A636,'[1]DATOS PBI Artículos'!$A:$A,'[1]DATOS PBI Artículos'!$AL:$AL))/(_xlfn.XLOOKUP($AF$1,[1]CRITERIOS!$S$16:$S$39,[1]CRITERIOS!$Y$16:$Y$39))*$J636+$Z636)))</f>
        <v>#N/A</v>
      </c>
      <c r="AG636" s="39" t="e">
        <f>IF($R636="MTO","",
IF($H636=0,ROUNDUP(((_xlfn.XLOOKUP($A636,'[1]DATOS PBI Artículos'!$A:$A,'[1]DATOS PBI Artículos'!$AM:$AM))/(_xlfn.XLOOKUP($AH$1,[1]CRITERIOS!$S$16:$S$39,[1]CRITERIOS!$Y$16:$Y$39))*$J636+$Z636)/$G636,0)*$G636,
((_xlfn.XLOOKUP($A636,'[1]DATOS PBI Artículos'!$A:$A,'[1]DATOS PBI Artículos'!$AM:$AM))/(_xlfn.XLOOKUP($AH$1,[1]CRITERIOS!$S$16:$S$39,[1]CRITERIOS!$Y$16:$Y$39))*$J636+$Z636)))</f>
        <v>#N/A</v>
      </c>
      <c r="AI636" s="39" t="e">
        <f>IF($R636="MTO","",
IF($H636=0,ROUNDUP(((_xlfn.XLOOKUP($A636,'[1]DATOS PBI Artículos'!$A:$A,'[1]DATOS PBI Artículos'!$AN:$AN))/(_xlfn.XLOOKUP($AJ$1,[1]CRITERIOS!$S$16:$S$39,[1]CRITERIOS!$Y$16:$Y$39))*$J636+$Z636)/$G636,0)*$G636,
((_xlfn.XLOOKUP($A636,'[1]DATOS PBI Artículos'!$A:$A,'[1]DATOS PBI Artículos'!$AN:$AN))/(_xlfn.XLOOKUP($AJ$1,[1]CRITERIOS!$S$16:$S$39,[1]CRITERIOS!$Y$16:$Y$39))*$J636+$Z636)))</f>
        <v>#N/A</v>
      </c>
      <c r="AK636" s="39" t="e">
        <f>IF($R636="MTO","",
IF($H636=0,ROUNDUP(((_xlfn.XLOOKUP($A636,'[1]DATOS PBI Artículos'!$A:$A,'[1]DATOS PBI Artículos'!$AO:$AO))/(_xlfn.XLOOKUP($AL$1,[1]CRITERIOS!$S$16:$S$39,[1]CRITERIOS!$Y$16:$Y$39))*$J636+$Z636)/$G636,0)*$G636,
((_xlfn.XLOOKUP($A636,'[1]DATOS PBI Artículos'!$A:$A,'[1]DATOS PBI Artículos'!$AO:$AO))/(_xlfn.XLOOKUP($AL$1,[1]CRITERIOS!$S$16:$S$39,[1]CRITERIOS!$Y$16:$Y$39))*$J636+$Z636)))</f>
        <v>#N/A</v>
      </c>
    </row>
    <row r="637" spans="1:37" ht="25.8" hidden="1" x14ac:dyDescent="0.4">
      <c r="A637" s="41"/>
      <c r="B637" s="33">
        <f>_xlfn.XLOOKUP($A637,'[1]DATOS PBI Artículos'!A:A,'[1]DATOS PBI Artículos'!B:B)</f>
        <v>0</v>
      </c>
      <c r="C637" s="33">
        <f>_xlfn.XLOOKUP($A637,'[1]DATOS PBI Artículos'!A:A,'[1]DATOS PBI Artículos'!C:C)</f>
        <v>0</v>
      </c>
      <c r="D637" s="33">
        <f>_xlfn.XLOOKUP(A637,'[1]DATOS PBI Artículos'!A:A,'[1]DATOS PBI Artículos'!T:T)</f>
        <v>0</v>
      </c>
      <c r="E637" s="34">
        <f>IF(_xlfn.XLOOKUP($A637,'[1]DATOS PBI Artículos'!A:A,'[1]DATOS PBI Artículos'!AK:AK)="",_xlfn.XLOOKUP($A637,'[1]DATOS PBI Artículos'!A:A,'[1]DATOS PBI Artículos'!AJ:AJ),_xlfn.XLOOKUP($A637,'[1]DATOS PBI Artículos'!A:A,'[1]DATOS PBI Artículos'!AK:AK))</f>
        <v>0</v>
      </c>
      <c r="F637" s="35">
        <f>_xlfn.XLOOKUP($A637,'[1]DATOS PBI Artículos'!A:A,'[1]DATOS PBI Artículos'!AP:AP)</f>
        <v>0</v>
      </c>
      <c r="G637" s="34">
        <f>_xlfn.XLOOKUP($A637,'[1]DATOS PBI Artículos'!A:A,'[1]DATOS PBI Artículos'!AR:AR)</f>
        <v>0</v>
      </c>
      <c r="H637" s="34">
        <f>_xlfn.XLOOKUP($A637,'[1]DATOS PBI Artículos'!A:A,'[1]DATOS PBI Artículos'!AT:AT)</f>
        <v>0</v>
      </c>
      <c r="I637" s="34">
        <f>_xlfn.XLOOKUP($A637,'[1]DATOS PBI Artículos'!A:A,'[1]DATOS PBI Artículos'!AS:AS)</f>
        <v>0</v>
      </c>
      <c r="J637" s="35">
        <f>IF(COUNTIF([1]CRITERIOS!$F$179:$F$199,$A637)&gt;=1,
 IF(O637&lt;&gt;"",
    (O637/_xlfn.XLOOKUP(CONCATENATE(A637,L637),[1]MÁQUINAS!A:A,[1]MÁQUINAS!D:D))/24,
    (N637/_xlfn.XLOOKUP(CONCATENATE(A637,L637),[1]MÁQUINAS!A:A,[1]MÁQUINAS!D:D))/24),
  _xlfn.XLOOKUP($A637,'[1]DATOS PBI Artículos'!A:A,'[1]DATOS PBI Artículos'!AU:AU))</f>
        <v>0</v>
      </c>
      <c r="K637" s="36">
        <f>_xlfn.XLOOKUP($A637,'[1]DATOS PBI Artículos'!A:A,'[1]DATOS PBI Artículos'!AV:AV)</f>
        <v>0</v>
      </c>
      <c r="L637" s="33">
        <f>_xlfn.XLOOKUP(A637,[1]MÁQUINAS!B:B,[1]MÁQUINAS!C:C)</f>
        <v>0</v>
      </c>
      <c r="M637" s="34">
        <f t="array" ref="M637">_xlfn.XLOOKUP(A637,'[1]DATOS PBI Artículos'!A:A,'[1]DATOS PBI Artículos'!AX:$AX)</f>
        <v>0</v>
      </c>
      <c r="N637" s="37" t="e">
        <f>IF(I637="DV",
E637,
IF(COUNTIF([1]CRITERIOS!$I$179:$I$199,$A637)&gt;=1,
_xlfn.XLOOKUP($A637,[1]CRITERIOS!$I$179:$I$199,[1]CRITERIOS!$J$179:$J$199),
IF(COUNTIF([1]CRITERIOS!$L$179:$L$199,$A637)&gt;=1,
_xlfn.CEILING.MATH(IF($M637&gt;$E637,
$E637,
IF($M637&lt;$E637/ROUNDDOWN([1]CRITERIOS!$M$16/_xlfn.XLOOKUP($C637,[1]CRITERIOS!$K$25:$K$42,[1]CRITERIOS!$M$25:$M$42),
1),
E637/ROUNDDOWN([1]CRITERIOS!$M$16/_xlfn.XLOOKUP($C637,[1]CRITERIOS!$K$25:$K$42,[1]CRITERIOS!$M$25:$M$42),
1),
$M637)),
_xlfn.XLOOKUP($A637,[1]CRITERIOS!$L$179:$L$200,[1]CRITERIOS!$M$179:$M$200)),
_xlfn.CEILING.MATH(IF($M637&gt;$E637,
$E637,
IF($M637&lt;$E637/ROUNDDOWN([1]CRITERIOS!$M$16/_xlfn.XLOOKUP($C637,[1]CRITERIOS!$K$25:$K$42,[1]CRITERIOS!$M$25:$M$42),
1),
E637/ROUNDDOWN([1]CRITERIOS!$M$16/_xlfn.XLOOKUP($C637,[1]CRITERIOS!$K$25:$K$42,[1]CRITERIOS!$M$25:$M$42),
1),
$M637)),_xlfn.XLOOKUP(A637,'[1]DATOS PBI Artículos'!A:A,'[1]DATOS PBI Artículos'!Z:Z
)))))</f>
        <v>#N/A</v>
      </c>
      <c r="Q637" s="38" t="e">
        <f>IF(AND(O637="",N637=0),
0,
   IF(COUNTIF([1]CRITERIOS!$F$179:$F$199,$A637)&gt;=1,
   1,
   IF(R637="MTO",
      $D637,
      ROUNDUP(
                    IF(($E637-SUMIF('[1]DATOS PBI Artículos'!A:A,A637,'[1]DATOS PBI Artículos'!X:X)+($V637-_xlfn.XLOOKUP(A637,'[1]DATOS PBI Artículos'!A:A,'[1]DATOS PBI Artículos'!W:W)))&lt;0,
                    0,
                    IF(($E637-SUMIF('[1]DATOS PBI Artículos'!A:A,A637,'[1]DATOS PBI Artículos'!X:X)+$V637-_xlfn.XLOOKUP($A637,'[1]DATOS PBI Artículos'!A:A,'[1]DATOS PBI Artículos'!W:W))/IF($O637="",$N637,$O637)&gt;ROUNDUP([1]CRITERIOS!$M$16/(IF(COUNTIF([1]CRITERIOS!$BG$11:$BG$201,L637)&gt;=1,_xlfn.XLOOKUP($C637,[1]CRITERIOS!$K$25:$K$42,[1]CRITERIOS!$M$25:$M$42),_xlfn.XLOOKUP($C637,[1]CRITERIOS!$K$25:$K$42,[1]CRITERIOS!$M$25:$M$42))),0),
                    ROUNDUP([1]CRITERIOS!$M$16/(IF(COUNTIF([1]CRITERIOS!$BG$11:$BG$201,$L637)&gt;=1,_xlfn.XLOOKUP($C637,[1]CRITERIOS!$K$25:$K$42,[1]CRITERIOS!$M$25:$M$42),_xlfn.XLOOKUP($C637,[1]CRITERIOS!$K$25:$K$42,[1]CRITERIOS!$M$25:$M$42))),0),
                    (E637+V637-SUMIF('[1]DATOS PBI Artículos'!A:A,A637,'[1]DATOS PBI Artículos'!X:X)-_xlfn.XLOOKUP(A637,'[1]DATOS PBI Artículos'!A:A,'[1]DATOS PBI Artículos'!W:W))/IF($O637="",$N637,$O637))),0))))</f>
        <v>#N/A</v>
      </c>
      <c r="R637" s="33" t="e">
        <f>IF(U637&lt;&gt;"",U637,IF(F637="DV","MTO",IF(N637=0,"MTO",_xlfn.XLOOKUP(CONCATENATE(S637,T637),[1]CRITERIOS!$K$160:$K$168,[1]CRITERIOS!$N$160:$N$168))))</f>
        <v>#N/A</v>
      </c>
      <c r="S637" s="33" t="e">
        <f>IF(G637="DV","MTO",IF(N637=0,"MTO",IF(OR(AND(N637=0,O637=""),IF(O637="",G637/N637,G637/O637)&gt;[1]CRITERIOS!$G$163),"MTO",IF(IF(O637="",G637/N637,G637/O637)&lt;[1]CRITERIOS!$H$161,"MTS","MTOS"))))</f>
        <v>#N/A</v>
      </c>
      <c r="T637" s="33" t="e">
        <f>IF(F637="DV","MTO",IF(OR(AND($N637=0,O637=""),$F637/$J637&gt;[1]CRITERIOS!$G$170,$F637="DV"),"MTO",IF($F637/$J637&lt;[1]CRITERIOS!$H$168,"MTS","MTOS")))</f>
        <v>#N/A</v>
      </c>
      <c r="V637" s="34" t="e">
        <f t="shared" si="31"/>
        <v>#N/A</v>
      </c>
      <c r="X637" s="34" t="e">
        <f t="shared" si="29"/>
        <v>#N/A</v>
      </c>
      <c r="Y637" s="34" t="e">
        <f t="shared" si="30"/>
        <v>#N/A</v>
      </c>
      <c r="Z637" s="34" t="e">
        <f>IF($R637="MTO",
0,
($H637+$K637*($E637/[1]CRITERIOS!$M$16))/[1]CRITERIOS!$X$48)</f>
        <v>#N/A</v>
      </c>
      <c r="AA637" s="34" t="e">
        <f>ROUNDUP(($Y637/_xlfn.XLOOKUP($A637,'[1]DATOS PBI Artículos'!$A$4:$A$4,'[1]DATOS PBI Artículos'!$Z$4:$Z$4))/_xlfn.XLOOKUP(_xlfn.XLOOKUP($A637,'[1]DATOS PBI Artículos'!$A$4:$A$4,'[1]DATOS PBI Artículos'!$Y$4:$Y$4),[1]CRITERIOS!$P$79:$P$123,[1]CRITERIOS!$S$79:$S$123,),0)</f>
        <v>#N/A</v>
      </c>
      <c r="AB637" s="33" t="e">
        <f t="array" ref="AB637">IF((E637+V637-_xlfn.XLOOKUP(A637,'[1]DATOS PBI Artículos'!$A$4:$A$4,'[1]DATOS PBI Artículos'!$W$4:$W$4))/N637&gt;ROUNDUP([1]CRITERIOS!$M$16/(IF(COUNTIF([1]CRITERIOS!$BG$11:$BG$201,L637)&gt;=1,_xlfn.XLOOKUP(ARTÍCULOS!L637,[1]CRITERIOS!$BG$11:$BG$201,[1]CRITERIOS!$BJ$11:$BJ$201),_xlfn.XLOOKUP(ARTÍCULOS!C637,[1]CRITERIOS!$K$25:$K$42,[1]CRITERIOS!$M$25:$M$42))),0),ROUNDUP([1]CRITERIOS!$M$16/(IF(COUNTIF([1]CRITERIOS!$BG$11:$BG$201,L637)&gt;=1,_xlfn.XLOOKUP(ARTÍCULOS!L637,[1]CRITERIOS!$BG$11:$BG$201:#REF!,[1]CRITERIOS!$BJ$11:$BJ$201),_xlfn.XLOOKUP(ARTÍCULOS!C637,[1]CRITERIOS!$K$25:$K$42,[1]CRITERIOS!$M$25:$M$42))),0),(E637+V637-_xlfn.XLOOKUP(A637,'[1]DATOS PBI Artículos'!$A$4:$A$4,'[1]DATOS PBI Artículos'!$W$4:$W$4))/N637)</f>
        <v>#N/A</v>
      </c>
      <c r="AC637" s="33" t="e">
        <f>IF(N637=0,"",(ROUNDUP((N637/2)/(_xlfn.XLOOKUP(A637,'[1]DATOS PBI Artículos'!$A$4:$A$4,'[1]DATOS PBI Artículos'!$Z$4:$Z$4)*_xlfn.XLOOKUP(_xlfn.XLOOKUP(A637,'[1]DATOS PBI Artículos'!$A$4:$A$4,'[1]DATOS PBI Artículos'!$Y$4:$Y$4),[1]CRITERIOS!$P$79:$P$123,[1]CRITERIOS!$S$79:$S$123)),0)*[1]CRITERIOS!$M$80*([1]CRITERIOS!$M$110/[1]CRITERIOS!$M$86)+(_xlfn.XLOOKUP(A637,'[1]DATOS PBI Artículos'!$A$4:$A$4,'[1]DATOS PBI Artículos'!$AA$4:$AA$4)*([1]CRITERIOS!$M$95+[1]CRITERIOS!$M$98)))/N637)</f>
        <v>#N/A</v>
      </c>
      <c r="AD637" s="33" t="e">
        <f>IF(N637=0,"",(ROUNDUP((N637/2)/(_xlfn.XLOOKUP(A637,'[1]DATOS PBI Artículos'!$A$4:$A$4,'[1]DATOS PBI Artículos'!$Z$4:$Z$4)*_xlfn.XLOOKUP(_xlfn.XLOOKUP(A637,'[1]DATOS PBI Artículos'!$A$4:$A$4,'[1]DATOS PBI Artículos'!$Y$4:$Y$4),[1]CRITERIOS!$P$79:$P$123,[1]CRITERIOS!$S$79:$S$123)),0)*[1]CRITERIOS!$M$80*([1]CRITERIOS!$M$89*[1]CRITERIOS!$M$92)+((_xlfn.XLOOKUP(A637,'[1]DATOS PBI Artículos'!$A$4:$A$4,'[1]DATOS PBI Artículos'!$AA$4:$AA$4)/2)*([1]CRITERIOS!$M$95+[1]CRITERIOS!$M$98)))/N637)</f>
        <v>#N/A</v>
      </c>
      <c r="AE637" s="39" t="e">
        <f>IF($R637="MTO","",
IF($H637=0,ROUNDUP(((_xlfn.XLOOKUP($A637,'[1]DATOS PBI Artículos'!$A:$A,'[1]DATOS PBI Artículos'!$AL:$AL))/(_xlfn.XLOOKUP($AF$1,[1]CRITERIOS!$S$16:$S$39,[1]CRITERIOS!$Y$16:$Y$39))*$J637+$Z637)/$G637,0)*$G637,
((_xlfn.XLOOKUP($A637,'[1]DATOS PBI Artículos'!$A:$A,'[1]DATOS PBI Artículos'!$AL:$AL))/(_xlfn.XLOOKUP($AF$1,[1]CRITERIOS!$S$16:$S$39,[1]CRITERIOS!$Y$16:$Y$39))*$J637+$Z637)))</f>
        <v>#N/A</v>
      </c>
      <c r="AG637" s="39" t="e">
        <f>IF($R637="MTO","",
IF($H637=0,ROUNDUP(((_xlfn.XLOOKUP($A637,'[1]DATOS PBI Artículos'!$A:$A,'[1]DATOS PBI Artículos'!$AM:$AM))/(_xlfn.XLOOKUP($AH$1,[1]CRITERIOS!$S$16:$S$39,[1]CRITERIOS!$Y$16:$Y$39))*$J637+$Z637)/$G637,0)*$G637,
((_xlfn.XLOOKUP($A637,'[1]DATOS PBI Artículos'!$A:$A,'[1]DATOS PBI Artículos'!$AM:$AM))/(_xlfn.XLOOKUP($AH$1,[1]CRITERIOS!$S$16:$S$39,[1]CRITERIOS!$Y$16:$Y$39))*$J637+$Z637)))</f>
        <v>#N/A</v>
      </c>
      <c r="AI637" s="39" t="e">
        <f>IF($R637="MTO","",
IF($H637=0,ROUNDUP(((_xlfn.XLOOKUP($A637,'[1]DATOS PBI Artículos'!$A:$A,'[1]DATOS PBI Artículos'!$AN:$AN))/(_xlfn.XLOOKUP($AJ$1,[1]CRITERIOS!$S$16:$S$39,[1]CRITERIOS!$Y$16:$Y$39))*$J637+$Z637)/$G637,0)*$G637,
((_xlfn.XLOOKUP($A637,'[1]DATOS PBI Artículos'!$A:$A,'[1]DATOS PBI Artículos'!$AN:$AN))/(_xlfn.XLOOKUP($AJ$1,[1]CRITERIOS!$S$16:$S$39,[1]CRITERIOS!$Y$16:$Y$39))*$J637+$Z637)))</f>
        <v>#N/A</v>
      </c>
      <c r="AK637" s="39" t="e">
        <f>IF($R637="MTO","",
IF($H637=0,ROUNDUP(((_xlfn.XLOOKUP($A637,'[1]DATOS PBI Artículos'!$A:$A,'[1]DATOS PBI Artículos'!$AO:$AO))/(_xlfn.XLOOKUP($AL$1,[1]CRITERIOS!$S$16:$S$39,[1]CRITERIOS!$Y$16:$Y$39))*$J637+$Z637)/$G637,0)*$G637,
((_xlfn.XLOOKUP($A637,'[1]DATOS PBI Artículos'!$A:$A,'[1]DATOS PBI Artículos'!$AO:$AO))/(_xlfn.XLOOKUP($AL$1,[1]CRITERIOS!$S$16:$S$39,[1]CRITERIOS!$Y$16:$Y$39))*$J637+$Z637)))</f>
        <v>#N/A</v>
      </c>
    </row>
    <row r="638" spans="1:37" ht="25.8" hidden="1" x14ac:dyDescent="0.4">
      <c r="A638" s="41"/>
      <c r="B638" s="33">
        <f>_xlfn.XLOOKUP($A638,'[1]DATOS PBI Artículos'!A:A,'[1]DATOS PBI Artículos'!B:B)</f>
        <v>0</v>
      </c>
      <c r="C638" s="33">
        <f>_xlfn.XLOOKUP($A638,'[1]DATOS PBI Artículos'!A:A,'[1]DATOS PBI Artículos'!C:C)</f>
        <v>0</v>
      </c>
      <c r="D638" s="33">
        <f>_xlfn.XLOOKUP(A638,'[1]DATOS PBI Artículos'!A:A,'[1]DATOS PBI Artículos'!T:T)</f>
        <v>0</v>
      </c>
      <c r="E638" s="34">
        <f>IF(_xlfn.XLOOKUP($A638,'[1]DATOS PBI Artículos'!A:A,'[1]DATOS PBI Artículos'!AK:AK)="",_xlfn.XLOOKUP($A638,'[1]DATOS PBI Artículos'!A:A,'[1]DATOS PBI Artículos'!AJ:AJ),_xlfn.XLOOKUP($A638,'[1]DATOS PBI Artículos'!A:A,'[1]DATOS PBI Artículos'!AK:AK))</f>
        <v>0</v>
      </c>
      <c r="F638" s="35">
        <f>_xlfn.XLOOKUP($A638,'[1]DATOS PBI Artículos'!A:A,'[1]DATOS PBI Artículos'!AP:AP)</f>
        <v>0</v>
      </c>
      <c r="G638" s="34">
        <f>_xlfn.XLOOKUP($A638,'[1]DATOS PBI Artículos'!A:A,'[1]DATOS PBI Artículos'!AR:AR)</f>
        <v>0</v>
      </c>
      <c r="H638" s="34">
        <f>_xlfn.XLOOKUP($A638,'[1]DATOS PBI Artículos'!A:A,'[1]DATOS PBI Artículos'!AT:AT)</f>
        <v>0</v>
      </c>
      <c r="I638" s="34">
        <f>_xlfn.XLOOKUP($A638,'[1]DATOS PBI Artículos'!A:A,'[1]DATOS PBI Artículos'!AS:AS)</f>
        <v>0</v>
      </c>
      <c r="J638" s="35">
        <f>IF(COUNTIF([1]CRITERIOS!$F$179:$F$199,$A638)&gt;=1,
 IF(O638&lt;&gt;"",
    (O638/_xlfn.XLOOKUP(CONCATENATE(A638,L638),[1]MÁQUINAS!A:A,[1]MÁQUINAS!D:D))/24,
    (N638/_xlfn.XLOOKUP(CONCATENATE(A638,L638),[1]MÁQUINAS!A:A,[1]MÁQUINAS!D:D))/24),
  _xlfn.XLOOKUP($A638,'[1]DATOS PBI Artículos'!A:A,'[1]DATOS PBI Artículos'!AU:AU))</f>
        <v>0</v>
      </c>
      <c r="K638" s="36">
        <f>_xlfn.XLOOKUP($A638,'[1]DATOS PBI Artículos'!A:A,'[1]DATOS PBI Artículos'!AV:AV)</f>
        <v>0</v>
      </c>
      <c r="L638" s="33">
        <f>_xlfn.XLOOKUP(A638,[1]MÁQUINAS!B:B,[1]MÁQUINAS!C:C)</f>
        <v>0</v>
      </c>
      <c r="M638" s="34">
        <f t="array" ref="M638">_xlfn.XLOOKUP(A638,'[1]DATOS PBI Artículos'!A:A,'[1]DATOS PBI Artículos'!AX:$AX)</f>
        <v>0</v>
      </c>
      <c r="N638" s="37" t="e">
        <f>IF(I638="DV",
E638,
IF(COUNTIF([1]CRITERIOS!$I$179:$I$199,$A638)&gt;=1,
_xlfn.XLOOKUP($A638,[1]CRITERIOS!$I$179:$I$199,[1]CRITERIOS!$J$179:$J$199),
IF(COUNTIF([1]CRITERIOS!$L$179:$L$199,$A638)&gt;=1,
_xlfn.CEILING.MATH(IF($M638&gt;$E638,
$E638,
IF($M638&lt;$E638/ROUNDDOWN([1]CRITERIOS!$M$16/_xlfn.XLOOKUP($C638,[1]CRITERIOS!$K$25:$K$42,[1]CRITERIOS!$M$25:$M$42),
1),
E638/ROUNDDOWN([1]CRITERIOS!$M$16/_xlfn.XLOOKUP($C638,[1]CRITERIOS!$K$25:$K$42,[1]CRITERIOS!$M$25:$M$42),
1),
$M638)),
_xlfn.XLOOKUP($A638,[1]CRITERIOS!$L$179:$L$200,[1]CRITERIOS!$M$179:$M$200)),
_xlfn.CEILING.MATH(IF($M638&gt;$E638,
$E638,
IF($M638&lt;$E638/ROUNDDOWN([1]CRITERIOS!$M$16/_xlfn.XLOOKUP($C638,[1]CRITERIOS!$K$25:$K$42,[1]CRITERIOS!$M$25:$M$42),
1),
E638/ROUNDDOWN([1]CRITERIOS!$M$16/_xlfn.XLOOKUP($C638,[1]CRITERIOS!$K$25:$K$42,[1]CRITERIOS!$M$25:$M$42),
1),
$M638)),_xlfn.XLOOKUP(A638,'[1]DATOS PBI Artículos'!A:A,'[1]DATOS PBI Artículos'!Z:Z
)))))</f>
        <v>#N/A</v>
      </c>
      <c r="Q638" s="38" t="e">
        <f>IF(AND(O638="",N638=0),
0,
   IF(COUNTIF([1]CRITERIOS!$F$179:$F$199,$A638)&gt;=1,
   1,
   IF(R638="MTO",
      $D638,
      ROUNDUP(
                    IF(($E638-SUMIF('[1]DATOS PBI Artículos'!A:A,A638,'[1]DATOS PBI Artículos'!X:X)+($V638-_xlfn.XLOOKUP(A638,'[1]DATOS PBI Artículos'!A:A,'[1]DATOS PBI Artículos'!W:W)))&lt;0,
                    0,
                    IF(($E638-SUMIF('[1]DATOS PBI Artículos'!A:A,A638,'[1]DATOS PBI Artículos'!X:X)+$V638-_xlfn.XLOOKUP($A638,'[1]DATOS PBI Artículos'!A:A,'[1]DATOS PBI Artículos'!W:W))/IF($O638="",$N638,$O638)&gt;ROUNDUP([1]CRITERIOS!$M$16/(IF(COUNTIF([1]CRITERIOS!$BG$11:$BG$201,L638)&gt;=1,_xlfn.XLOOKUP($C638,[1]CRITERIOS!$K$25:$K$42,[1]CRITERIOS!$M$25:$M$42),_xlfn.XLOOKUP($C638,[1]CRITERIOS!$K$25:$K$42,[1]CRITERIOS!$M$25:$M$42))),0),
                    ROUNDUP([1]CRITERIOS!$M$16/(IF(COUNTIF([1]CRITERIOS!$BG$11:$BG$201,$L638)&gt;=1,_xlfn.XLOOKUP($C638,[1]CRITERIOS!$K$25:$K$42,[1]CRITERIOS!$M$25:$M$42),_xlfn.XLOOKUP($C638,[1]CRITERIOS!$K$25:$K$42,[1]CRITERIOS!$M$25:$M$42))),0),
                    (E638+V638-SUMIF('[1]DATOS PBI Artículos'!A:A,A638,'[1]DATOS PBI Artículos'!X:X)-_xlfn.XLOOKUP(A638,'[1]DATOS PBI Artículos'!A:A,'[1]DATOS PBI Artículos'!W:W))/IF($O638="",$N638,$O638))),0))))</f>
        <v>#N/A</v>
      </c>
      <c r="R638" s="33" t="e">
        <f>IF(U638&lt;&gt;"",U638,IF(F638="DV","MTO",IF(N638=0,"MTO",_xlfn.XLOOKUP(CONCATENATE(S638,T638),[1]CRITERIOS!$K$160:$K$168,[1]CRITERIOS!$N$160:$N$168))))</f>
        <v>#N/A</v>
      </c>
      <c r="S638" s="33" t="e">
        <f>IF(G638="DV","MTO",IF(N638=0,"MTO",IF(OR(AND(N638=0,O638=""),IF(O638="",G638/N638,G638/O638)&gt;[1]CRITERIOS!$G$163),"MTO",IF(IF(O638="",G638/N638,G638/O638)&lt;[1]CRITERIOS!$H$161,"MTS","MTOS"))))</f>
        <v>#N/A</v>
      </c>
      <c r="T638" s="33" t="e">
        <f>IF(F638="DV","MTO",IF(OR(AND($N638=0,O638=""),$F638/$J638&gt;[1]CRITERIOS!$G$170,$F638="DV"),"MTO",IF($F638/$J638&lt;[1]CRITERIOS!$H$168,"MTS","MTOS")))</f>
        <v>#N/A</v>
      </c>
      <c r="V638" s="34" t="e">
        <f t="shared" si="31"/>
        <v>#N/A</v>
      </c>
      <c r="X638" s="34" t="e">
        <f t="shared" si="29"/>
        <v>#N/A</v>
      </c>
      <c r="Y638" s="34" t="e">
        <f t="shared" si="30"/>
        <v>#N/A</v>
      </c>
      <c r="Z638" s="34" t="e">
        <f>IF($R638="MTO",
0,
($H638+$K638*($E638/[1]CRITERIOS!$M$16))/[1]CRITERIOS!$X$48)</f>
        <v>#N/A</v>
      </c>
      <c r="AA638" s="34" t="e">
        <f>ROUNDUP(($Y638/_xlfn.XLOOKUP($A638,'[1]DATOS PBI Artículos'!$A$4:$A$4,'[1]DATOS PBI Artículos'!$Z$4:$Z$4))/_xlfn.XLOOKUP(_xlfn.XLOOKUP($A638,'[1]DATOS PBI Artículos'!$A$4:$A$4,'[1]DATOS PBI Artículos'!$Y$4:$Y$4),[1]CRITERIOS!$P$79:$P$123,[1]CRITERIOS!$S$79:$S$123,),0)</f>
        <v>#N/A</v>
      </c>
      <c r="AB638" s="33" t="e">
        <f t="array" ref="AB638">IF((E638+V638-_xlfn.XLOOKUP(A638,'[1]DATOS PBI Artículos'!$A$4:$A$4,'[1]DATOS PBI Artículos'!$W$4:$W$4))/N638&gt;ROUNDUP([1]CRITERIOS!$M$16/(IF(COUNTIF([1]CRITERIOS!$BG$11:$BG$201,L638)&gt;=1,_xlfn.XLOOKUP(ARTÍCULOS!L638,[1]CRITERIOS!$BG$11:$BG$201,[1]CRITERIOS!$BJ$11:$BJ$201),_xlfn.XLOOKUP(ARTÍCULOS!C638,[1]CRITERIOS!$K$25:$K$42,[1]CRITERIOS!$M$25:$M$42))),0),ROUNDUP([1]CRITERIOS!$M$16/(IF(COUNTIF([1]CRITERIOS!$BG$11:$BG$201,L638)&gt;=1,_xlfn.XLOOKUP(ARTÍCULOS!L638,[1]CRITERIOS!$BG$11:$BG$201:#REF!,[1]CRITERIOS!$BJ$11:$BJ$201),_xlfn.XLOOKUP(ARTÍCULOS!C638,[1]CRITERIOS!$K$25:$K$42,[1]CRITERIOS!$M$25:$M$42))),0),(E638+V638-_xlfn.XLOOKUP(A638,'[1]DATOS PBI Artículos'!$A$4:$A$4,'[1]DATOS PBI Artículos'!$W$4:$W$4))/N638)</f>
        <v>#N/A</v>
      </c>
      <c r="AC638" s="33" t="e">
        <f>IF(N638=0,"",(ROUNDUP((N638/2)/(_xlfn.XLOOKUP(A638,'[1]DATOS PBI Artículos'!$A$4:$A$4,'[1]DATOS PBI Artículos'!$Z$4:$Z$4)*_xlfn.XLOOKUP(_xlfn.XLOOKUP(A638,'[1]DATOS PBI Artículos'!$A$4:$A$4,'[1]DATOS PBI Artículos'!$Y$4:$Y$4),[1]CRITERIOS!$P$79:$P$123,[1]CRITERIOS!$S$79:$S$123)),0)*[1]CRITERIOS!$M$80*([1]CRITERIOS!$M$110/[1]CRITERIOS!$M$86)+(_xlfn.XLOOKUP(A638,'[1]DATOS PBI Artículos'!$A$4:$A$4,'[1]DATOS PBI Artículos'!$AA$4:$AA$4)*([1]CRITERIOS!$M$95+[1]CRITERIOS!$M$98)))/N638)</f>
        <v>#N/A</v>
      </c>
      <c r="AD638" s="33" t="e">
        <f>IF(N638=0,"",(ROUNDUP((N638/2)/(_xlfn.XLOOKUP(A638,'[1]DATOS PBI Artículos'!$A$4:$A$4,'[1]DATOS PBI Artículos'!$Z$4:$Z$4)*_xlfn.XLOOKUP(_xlfn.XLOOKUP(A638,'[1]DATOS PBI Artículos'!$A$4:$A$4,'[1]DATOS PBI Artículos'!$Y$4:$Y$4),[1]CRITERIOS!$P$79:$P$123,[1]CRITERIOS!$S$79:$S$123)),0)*[1]CRITERIOS!$M$80*([1]CRITERIOS!$M$89*[1]CRITERIOS!$M$92)+((_xlfn.XLOOKUP(A638,'[1]DATOS PBI Artículos'!$A$4:$A$4,'[1]DATOS PBI Artículos'!$AA$4:$AA$4)/2)*([1]CRITERIOS!$M$95+[1]CRITERIOS!$M$98)))/N638)</f>
        <v>#N/A</v>
      </c>
      <c r="AE638" s="39" t="e">
        <f>IF($R638="MTO","",
IF($H638=0,ROUNDUP(((_xlfn.XLOOKUP($A638,'[1]DATOS PBI Artículos'!$A:$A,'[1]DATOS PBI Artículos'!$AL:$AL))/(_xlfn.XLOOKUP($AF$1,[1]CRITERIOS!$S$16:$S$39,[1]CRITERIOS!$Y$16:$Y$39))*$J638+$Z638)/$G638,0)*$G638,
((_xlfn.XLOOKUP($A638,'[1]DATOS PBI Artículos'!$A:$A,'[1]DATOS PBI Artículos'!$AL:$AL))/(_xlfn.XLOOKUP($AF$1,[1]CRITERIOS!$S$16:$S$39,[1]CRITERIOS!$Y$16:$Y$39))*$J638+$Z638)))</f>
        <v>#N/A</v>
      </c>
      <c r="AG638" s="39" t="e">
        <f>IF($R638="MTO","",
IF($H638=0,ROUNDUP(((_xlfn.XLOOKUP($A638,'[1]DATOS PBI Artículos'!$A:$A,'[1]DATOS PBI Artículos'!$AM:$AM))/(_xlfn.XLOOKUP($AH$1,[1]CRITERIOS!$S$16:$S$39,[1]CRITERIOS!$Y$16:$Y$39))*$J638+$Z638)/$G638,0)*$G638,
((_xlfn.XLOOKUP($A638,'[1]DATOS PBI Artículos'!$A:$A,'[1]DATOS PBI Artículos'!$AM:$AM))/(_xlfn.XLOOKUP($AH$1,[1]CRITERIOS!$S$16:$S$39,[1]CRITERIOS!$Y$16:$Y$39))*$J638+$Z638)))</f>
        <v>#N/A</v>
      </c>
      <c r="AI638" s="39" t="e">
        <f>IF($R638="MTO","",
IF($H638=0,ROUNDUP(((_xlfn.XLOOKUP($A638,'[1]DATOS PBI Artículos'!$A:$A,'[1]DATOS PBI Artículos'!$AN:$AN))/(_xlfn.XLOOKUP($AJ$1,[1]CRITERIOS!$S$16:$S$39,[1]CRITERIOS!$Y$16:$Y$39))*$J638+$Z638)/$G638,0)*$G638,
((_xlfn.XLOOKUP($A638,'[1]DATOS PBI Artículos'!$A:$A,'[1]DATOS PBI Artículos'!$AN:$AN))/(_xlfn.XLOOKUP($AJ$1,[1]CRITERIOS!$S$16:$S$39,[1]CRITERIOS!$Y$16:$Y$39))*$J638+$Z638)))</f>
        <v>#N/A</v>
      </c>
      <c r="AK638" s="39" t="e">
        <f>IF($R638="MTO","",
IF($H638=0,ROUNDUP(((_xlfn.XLOOKUP($A638,'[1]DATOS PBI Artículos'!$A:$A,'[1]DATOS PBI Artículos'!$AO:$AO))/(_xlfn.XLOOKUP($AL$1,[1]CRITERIOS!$S$16:$S$39,[1]CRITERIOS!$Y$16:$Y$39))*$J638+$Z638)/$G638,0)*$G638,
((_xlfn.XLOOKUP($A638,'[1]DATOS PBI Artículos'!$A:$A,'[1]DATOS PBI Artículos'!$AO:$AO))/(_xlfn.XLOOKUP($AL$1,[1]CRITERIOS!$S$16:$S$39,[1]CRITERIOS!$Y$16:$Y$39))*$J638+$Z638)))</f>
        <v>#N/A</v>
      </c>
    </row>
    <row r="639" spans="1:37" ht="25.8" hidden="1" x14ac:dyDescent="0.4">
      <c r="A639" s="41"/>
      <c r="B639" s="33">
        <f>_xlfn.XLOOKUP($A639,'[1]DATOS PBI Artículos'!A:A,'[1]DATOS PBI Artículos'!B:B)</f>
        <v>0</v>
      </c>
      <c r="C639" s="33">
        <f>_xlfn.XLOOKUP($A639,'[1]DATOS PBI Artículos'!A:A,'[1]DATOS PBI Artículos'!C:C)</f>
        <v>0</v>
      </c>
      <c r="D639" s="33">
        <f>_xlfn.XLOOKUP(A639,'[1]DATOS PBI Artículos'!A:A,'[1]DATOS PBI Artículos'!T:T)</f>
        <v>0</v>
      </c>
      <c r="E639" s="34">
        <f>IF(_xlfn.XLOOKUP($A639,'[1]DATOS PBI Artículos'!A:A,'[1]DATOS PBI Artículos'!AK:AK)="",_xlfn.XLOOKUP($A639,'[1]DATOS PBI Artículos'!A:A,'[1]DATOS PBI Artículos'!AJ:AJ),_xlfn.XLOOKUP($A639,'[1]DATOS PBI Artículos'!A:A,'[1]DATOS PBI Artículos'!AK:AK))</f>
        <v>0</v>
      </c>
      <c r="F639" s="35">
        <f>_xlfn.XLOOKUP($A639,'[1]DATOS PBI Artículos'!A:A,'[1]DATOS PBI Artículos'!AP:AP)</f>
        <v>0</v>
      </c>
      <c r="G639" s="34">
        <f>_xlfn.XLOOKUP($A639,'[1]DATOS PBI Artículos'!A:A,'[1]DATOS PBI Artículos'!AR:AR)</f>
        <v>0</v>
      </c>
      <c r="H639" s="34">
        <f>_xlfn.XLOOKUP($A639,'[1]DATOS PBI Artículos'!A:A,'[1]DATOS PBI Artículos'!AT:AT)</f>
        <v>0</v>
      </c>
      <c r="I639" s="34">
        <f>_xlfn.XLOOKUP($A639,'[1]DATOS PBI Artículos'!A:A,'[1]DATOS PBI Artículos'!AS:AS)</f>
        <v>0</v>
      </c>
      <c r="J639" s="35">
        <f>IF(COUNTIF([1]CRITERIOS!$F$179:$F$199,$A639)&gt;=1,
 IF(O639&lt;&gt;"",
    (O639/_xlfn.XLOOKUP(CONCATENATE(A639,L639),[1]MÁQUINAS!A:A,[1]MÁQUINAS!D:D))/24,
    (N639/_xlfn.XLOOKUP(CONCATENATE(A639,L639),[1]MÁQUINAS!A:A,[1]MÁQUINAS!D:D))/24),
  _xlfn.XLOOKUP($A639,'[1]DATOS PBI Artículos'!A:A,'[1]DATOS PBI Artículos'!AU:AU))</f>
        <v>0</v>
      </c>
      <c r="K639" s="36">
        <f>_xlfn.XLOOKUP($A639,'[1]DATOS PBI Artículos'!A:A,'[1]DATOS PBI Artículos'!AV:AV)</f>
        <v>0</v>
      </c>
      <c r="L639" s="33">
        <f>_xlfn.XLOOKUP(A639,[1]MÁQUINAS!B:B,[1]MÁQUINAS!C:C)</f>
        <v>0</v>
      </c>
      <c r="M639" s="34">
        <f t="array" ref="M639">_xlfn.XLOOKUP(A639,'[1]DATOS PBI Artículos'!A:A,'[1]DATOS PBI Artículos'!AX:$AX)</f>
        <v>0</v>
      </c>
      <c r="N639" s="37" t="e">
        <f>IF(I639="DV",
E639,
IF(COUNTIF([1]CRITERIOS!$I$179:$I$199,$A639)&gt;=1,
_xlfn.XLOOKUP($A639,[1]CRITERIOS!$I$179:$I$199,[1]CRITERIOS!$J$179:$J$199),
IF(COUNTIF([1]CRITERIOS!$L$179:$L$199,$A639)&gt;=1,
_xlfn.CEILING.MATH(IF($M639&gt;$E639,
$E639,
IF($M639&lt;$E639/ROUNDDOWN([1]CRITERIOS!$M$16/_xlfn.XLOOKUP($C639,[1]CRITERIOS!$K$25:$K$42,[1]CRITERIOS!$M$25:$M$42),
1),
E639/ROUNDDOWN([1]CRITERIOS!$M$16/_xlfn.XLOOKUP($C639,[1]CRITERIOS!$K$25:$K$42,[1]CRITERIOS!$M$25:$M$42),
1),
$M639)),
_xlfn.XLOOKUP($A639,[1]CRITERIOS!$L$179:$L$200,[1]CRITERIOS!$M$179:$M$200)),
_xlfn.CEILING.MATH(IF($M639&gt;$E639,
$E639,
IF($M639&lt;$E639/ROUNDDOWN([1]CRITERIOS!$M$16/_xlfn.XLOOKUP($C639,[1]CRITERIOS!$K$25:$K$42,[1]CRITERIOS!$M$25:$M$42),
1),
E639/ROUNDDOWN([1]CRITERIOS!$M$16/_xlfn.XLOOKUP($C639,[1]CRITERIOS!$K$25:$K$42,[1]CRITERIOS!$M$25:$M$42),
1),
$M639)),_xlfn.XLOOKUP(A639,'[1]DATOS PBI Artículos'!A:A,'[1]DATOS PBI Artículos'!Z:Z
)))))</f>
        <v>#N/A</v>
      </c>
      <c r="Q639" s="38" t="e">
        <f>IF(AND(O639="",N639=0),
0,
   IF(COUNTIF([1]CRITERIOS!$F$179:$F$199,$A639)&gt;=1,
   1,
   IF(R639="MTO",
      $D639,
      ROUNDUP(
                    IF(($E639-SUMIF('[1]DATOS PBI Artículos'!A:A,A639,'[1]DATOS PBI Artículos'!X:X)+($V639-_xlfn.XLOOKUP(A639,'[1]DATOS PBI Artículos'!A:A,'[1]DATOS PBI Artículos'!W:W)))&lt;0,
                    0,
                    IF(($E639-SUMIF('[1]DATOS PBI Artículos'!A:A,A639,'[1]DATOS PBI Artículos'!X:X)+$V639-_xlfn.XLOOKUP($A639,'[1]DATOS PBI Artículos'!A:A,'[1]DATOS PBI Artículos'!W:W))/IF($O639="",$N639,$O639)&gt;ROUNDUP([1]CRITERIOS!$M$16/(IF(COUNTIF([1]CRITERIOS!$BG$11:$BG$201,L639)&gt;=1,_xlfn.XLOOKUP($C639,[1]CRITERIOS!$K$25:$K$42,[1]CRITERIOS!$M$25:$M$42),_xlfn.XLOOKUP($C639,[1]CRITERIOS!$K$25:$K$42,[1]CRITERIOS!$M$25:$M$42))),0),
                    ROUNDUP([1]CRITERIOS!$M$16/(IF(COUNTIF([1]CRITERIOS!$BG$11:$BG$201,$L639)&gt;=1,_xlfn.XLOOKUP($C639,[1]CRITERIOS!$K$25:$K$42,[1]CRITERIOS!$M$25:$M$42),_xlfn.XLOOKUP($C639,[1]CRITERIOS!$K$25:$K$42,[1]CRITERIOS!$M$25:$M$42))),0),
                    (E639+V639-SUMIF('[1]DATOS PBI Artículos'!A:A,A639,'[1]DATOS PBI Artículos'!X:X)-_xlfn.XLOOKUP(A639,'[1]DATOS PBI Artículos'!A:A,'[1]DATOS PBI Artículos'!W:W))/IF($O639="",$N639,$O639))),0))))</f>
        <v>#N/A</v>
      </c>
      <c r="R639" s="33" t="e">
        <f>IF(U639&lt;&gt;"",U639,IF(F639="DV","MTO",IF(N639=0,"MTO",_xlfn.XLOOKUP(CONCATENATE(S639,T639),[1]CRITERIOS!$K$160:$K$168,[1]CRITERIOS!$N$160:$N$168))))</f>
        <v>#N/A</v>
      </c>
      <c r="S639" s="33" t="e">
        <f>IF(G639="DV","MTO",IF(N639=0,"MTO",IF(OR(AND(N639=0,O639=""),IF(O639="",G639/N639,G639/O639)&gt;[1]CRITERIOS!$G$163),"MTO",IF(IF(O639="",G639/N639,G639/O639)&lt;[1]CRITERIOS!$H$161,"MTS","MTOS"))))</f>
        <v>#N/A</v>
      </c>
      <c r="T639" s="33" t="e">
        <f>IF(F639="DV","MTO",IF(OR(AND($N639=0,O639=""),$F639/$J639&gt;[1]CRITERIOS!$G$170,$F639="DV"),"MTO",IF($F639/$J639&lt;[1]CRITERIOS!$H$168,"MTS","MTOS")))</f>
        <v>#N/A</v>
      </c>
      <c r="V639" s="34" t="e">
        <f t="shared" si="31"/>
        <v>#N/A</v>
      </c>
      <c r="X639" s="34" t="e">
        <f t="shared" si="29"/>
        <v>#N/A</v>
      </c>
      <c r="Y639" s="34" t="e">
        <f t="shared" si="30"/>
        <v>#N/A</v>
      </c>
      <c r="Z639" s="34" t="e">
        <f>IF($R639="MTO",
0,
($H639+$K639*($E639/[1]CRITERIOS!$M$16))/[1]CRITERIOS!$X$48)</f>
        <v>#N/A</v>
      </c>
      <c r="AA639" s="34" t="e">
        <f>ROUNDUP(($Y639/_xlfn.XLOOKUP($A639,'[1]DATOS PBI Artículos'!$A$4:$A$4,'[1]DATOS PBI Artículos'!$Z$4:$Z$4))/_xlfn.XLOOKUP(_xlfn.XLOOKUP($A639,'[1]DATOS PBI Artículos'!$A$4:$A$4,'[1]DATOS PBI Artículos'!$Y$4:$Y$4),[1]CRITERIOS!$P$79:$P$123,[1]CRITERIOS!$S$79:$S$123,),0)</f>
        <v>#N/A</v>
      </c>
      <c r="AB639" s="33" t="e">
        <f t="array" ref="AB639">IF((E639+V639-_xlfn.XLOOKUP(A639,'[1]DATOS PBI Artículos'!$A$4:$A$4,'[1]DATOS PBI Artículos'!$W$4:$W$4))/N639&gt;ROUNDUP([1]CRITERIOS!$M$16/(IF(COUNTIF([1]CRITERIOS!$BG$11:$BG$201,L639)&gt;=1,_xlfn.XLOOKUP(ARTÍCULOS!L639,[1]CRITERIOS!$BG$11:$BG$201,[1]CRITERIOS!$BJ$11:$BJ$201),_xlfn.XLOOKUP(ARTÍCULOS!C639,[1]CRITERIOS!$K$25:$K$42,[1]CRITERIOS!$M$25:$M$42))),0),ROUNDUP([1]CRITERIOS!$M$16/(IF(COUNTIF([1]CRITERIOS!$BG$11:$BG$201,L639)&gt;=1,_xlfn.XLOOKUP(ARTÍCULOS!L639,[1]CRITERIOS!$BG$11:$BG$201:#REF!,[1]CRITERIOS!$BJ$11:$BJ$201),_xlfn.XLOOKUP(ARTÍCULOS!C639,[1]CRITERIOS!$K$25:$K$42,[1]CRITERIOS!$M$25:$M$42))),0),(E639+V639-_xlfn.XLOOKUP(A639,'[1]DATOS PBI Artículos'!$A$4:$A$4,'[1]DATOS PBI Artículos'!$W$4:$W$4))/N639)</f>
        <v>#N/A</v>
      </c>
      <c r="AC639" s="33" t="e">
        <f>IF(N639=0,"",(ROUNDUP((N639/2)/(_xlfn.XLOOKUP(A639,'[1]DATOS PBI Artículos'!$A$4:$A$4,'[1]DATOS PBI Artículos'!$Z$4:$Z$4)*_xlfn.XLOOKUP(_xlfn.XLOOKUP(A639,'[1]DATOS PBI Artículos'!$A$4:$A$4,'[1]DATOS PBI Artículos'!$Y$4:$Y$4),[1]CRITERIOS!$P$79:$P$123,[1]CRITERIOS!$S$79:$S$123)),0)*[1]CRITERIOS!$M$80*([1]CRITERIOS!$M$110/[1]CRITERIOS!$M$86)+(_xlfn.XLOOKUP(A639,'[1]DATOS PBI Artículos'!$A$4:$A$4,'[1]DATOS PBI Artículos'!$AA$4:$AA$4)*([1]CRITERIOS!$M$95+[1]CRITERIOS!$M$98)))/N639)</f>
        <v>#N/A</v>
      </c>
      <c r="AD639" s="33" t="e">
        <f>IF(N639=0,"",(ROUNDUP((N639/2)/(_xlfn.XLOOKUP(A639,'[1]DATOS PBI Artículos'!$A$4:$A$4,'[1]DATOS PBI Artículos'!$Z$4:$Z$4)*_xlfn.XLOOKUP(_xlfn.XLOOKUP(A639,'[1]DATOS PBI Artículos'!$A$4:$A$4,'[1]DATOS PBI Artículos'!$Y$4:$Y$4),[1]CRITERIOS!$P$79:$P$123,[1]CRITERIOS!$S$79:$S$123)),0)*[1]CRITERIOS!$M$80*([1]CRITERIOS!$M$89*[1]CRITERIOS!$M$92)+((_xlfn.XLOOKUP(A639,'[1]DATOS PBI Artículos'!$A$4:$A$4,'[1]DATOS PBI Artículos'!$AA$4:$AA$4)/2)*([1]CRITERIOS!$M$95+[1]CRITERIOS!$M$98)))/N639)</f>
        <v>#N/A</v>
      </c>
      <c r="AE639" s="39" t="e">
        <f>IF($R639="MTO","",
IF($H639=0,ROUNDUP(((_xlfn.XLOOKUP($A639,'[1]DATOS PBI Artículos'!$A:$A,'[1]DATOS PBI Artículos'!$AL:$AL))/(_xlfn.XLOOKUP($AF$1,[1]CRITERIOS!$S$16:$S$39,[1]CRITERIOS!$Y$16:$Y$39))*$J639+$Z639)/$G639,0)*$G639,
((_xlfn.XLOOKUP($A639,'[1]DATOS PBI Artículos'!$A:$A,'[1]DATOS PBI Artículos'!$AL:$AL))/(_xlfn.XLOOKUP($AF$1,[1]CRITERIOS!$S$16:$S$39,[1]CRITERIOS!$Y$16:$Y$39))*$J639+$Z639)))</f>
        <v>#N/A</v>
      </c>
      <c r="AG639" s="39" t="e">
        <f>IF($R639="MTO","",
IF($H639=0,ROUNDUP(((_xlfn.XLOOKUP($A639,'[1]DATOS PBI Artículos'!$A:$A,'[1]DATOS PBI Artículos'!$AM:$AM))/(_xlfn.XLOOKUP($AH$1,[1]CRITERIOS!$S$16:$S$39,[1]CRITERIOS!$Y$16:$Y$39))*$J639+$Z639)/$G639,0)*$G639,
((_xlfn.XLOOKUP($A639,'[1]DATOS PBI Artículos'!$A:$A,'[1]DATOS PBI Artículos'!$AM:$AM))/(_xlfn.XLOOKUP($AH$1,[1]CRITERIOS!$S$16:$S$39,[1]CRITERIOS!$Y$16:$Y$39))*$J639+$Z639)))</f>
        <v>#N/A</v>
      </c>
      <c r="AI639" s="39" t="e">
        <f>IF($R639="MTO","",
IF($H639=0,ROUNDUP(((_xlfn.XLOOKUP($A639,'[1]DATOS PBI Artículos'!$A:$A,'[1]DATOS PBI Artículos'!$AN:$AN))/(_xlfn.XLOOKUP($AJ$1,[1]CRITERIOS!$S$16:$S$39,[1]CRITERIOS!$Y$16:$Y$39))*$J639+$Z639)/$G639,0)*$G639,
((_xlfn.XLOOKUP($A639,'[1]DATOS PBI Artículos'!$A:$A,'[1]DATOS PBI Artículos'!$AN:$AN))/(_xlfn.XLOOKUP($AJ$1,[1]CRITERIOS!$S$16:$S$39,[1]CRITERIOS!$Y$16:$Y$39))*$J639+$Z639)))</f>
        <v>#N/A</v>
      </c>
      <c r="AK639" s="39" t="e">
        <f>IF($R639="MTO","",
IF($H639=0,ROUNDUP(((_xlfn.XLOOKUP($A639,'[1]DATOS PBI Artículos'!$A:$A,'[1]DATOS PBI Artículos'!$AO:$AO))/(_xlfn.XLOOKUP($AL$1,[1]CRITERIOS!$S$16:$S$39,[1]CRITERIOS!$Y$16:$Y$39))*$J639+$Z639)/$G639,0)*$G639,
((_xlfn.XLOOKUP($A639,'[1]DATOS PBI Artículos'!$A:$A,'[1]DATOS PBI Artículos'!$AO:$AO))/(_xlfn.XLOOKUP($AL$1,[1]CRITERIOS!$S$16:$S$39,[1]CRITERIOS!$Y$16:$Y$39))*$J639+$Z639)))</f>
        <v>#N/A</v>
      </c>
    </row>
    <row r="640" spans="1:37" ht="25.8" hidden="1" x14ac:dyDescent="0.4">
      <c r="A640" s="41"/>
      <c r="B640" s="33">
        <f>_xlfn.XLOOKUP($A640,'[1]DATOS PBI Artículos'!A:A,'[1]DATOS PBI Artículos'!B:B)</f>
        <v>0</v>
      </c>
      <c r="C640" s="33">
        <f>_xlfn.XLOOKUP($A640,'[1]DATOS PBI Artículos'!A:A,'[1]DATOS PBI Artículos'!C:C)</f>
        <v>0</v>
      </c>
      <c r="D640" s="33">
        <f>_xlfn.XLOOKUP(A640,'[1]DATOS PBI Artículos'!A:A,'[1]DATOS PBI Artículos'!T:T)</f>
        <v>0</v>
      </c>
      <c r="E640" s="34">
        <f>IF(_xlfn.XLOOKUP($A640,'[1]DATOS PBI Artículos'!A:A,'[1]DATOS PBI Artículos'!AK:AK)="",_xlfn.XLOOKUP($A640,'[1]DATOS PBI Artículos'!A:A,'[1]DATOS PBI Artículos'!AJ:AJ),_xlfn.XLOOKUP($A640,'[1]DATOS PBI Artículos'!A:A,'[1]DATOS PBI Artículos'!AK:AK))</f>
        <v>0</v>
      </c>
      <c r="F640" s="35">
        <f>_xlfn.XLOOKUP($A640,'[1]DATOS PBI Artículos'!A:A,'[1]DATOS PBI Artículos'!AP:AP)</f>
        <v>0</v>
      </c>
      <c r="G640" s="34">
        <f>_xlfn.XLOOKUP($A640,'[1]DATOS PBI Artículos'!A:A,'[1]DATOS PBI Artículos'!AR:AR)</f>
        <v>0</v>
      </c>
      <c r="H640" s="34">
        <f>_xlfn.XLOOKUP($A640,'[1]DATOS PBI Artículos'!A:A,'[1]DATOS PBI Artículos'!AT:AT)</f>
        <v>0</v>
      </c>
      <c r="I640" s="34">
        <f>_xlfn.XLOOKUP($A640,'[1]DATOS PBI Artículos'!A:A,'[1]DATOS PBI Artículos'!AS:AS)</f>
        <v>0</v>
      </c>
      <c r="J640" s="35">
        <f>IF(COUNTIF([1]CRITERIOS!$F$179:$F$199,$A640)&gt;=1,
 IF(O640&lt;&gt;"",
    (O640/_xlfn.XLOOKUP(CONCATENATE(A640,L640),[1]MÁQUINAS!A:A,[1]MÁQUINAS!D:D))/24,
    (N640/_xlfn.XLOOKUP(CONCATENATE(A640,L640),[1]MÁQUINAS!A:A,[1]MÁQUINAS!D:D))/24),
  _xlfn.XLOOKUP($A640,'[1]DATOS PBI Artículos'!A:A,'[1]DATOS PBI Artículos'!AU:AU))</f>
        <v>0</v>
      </c>
      <c r="K640" s="36">
        <f>_xlfn.XLOOKUP($A640,'[1]DATOS PBI Artículos'!A:A,'[1]DATOS PBI Artículos'!AV:AV)</f>
        <v>0</v>
      </c>
      <c r="L640" s="33">
        <f>_xlfn.XLOOKUP(A640,[1]MÁQUINAS!B:B,[1]MÁQUINAS!C:C)</f>
        <v>0</v>
      </c>
      <c r="M640" s="34">
        <f t="array" ref="M640">_xlfn.XLOOKUP(A640,'[1]DATOS PBI Artículos'!A:A,'[1]DATOS PBI Artículos'!AX:$AX)</f>
        <v>0</v>
      </c>
      <c r="N640" s="37" t="e">
        <f>IF(I640="DV",
E640,
IF(COUNTIF([1]CRITERIOS!$I$179:$I$199,$A640)&gt;=1,
_xlfn.XLOOKUP($A640,[1]CRITERIOS!$I$179:$I$199,[1]CRITERIOS!$J$179:$J$199),
IF(COUNTIF([1]CRITERIOS!$L$179:$L$199,$A640)&gt;=1,
_xlfn.CEILING.MATH(IF($M640&gt;$E640,
$E640,
IF($M640&lt;$E640/ROUNDDOWN([1]CRITERIOS!$M$16/_xlfn.XLOOKUP($C640,[1]CRITERIOS!$K$25:$K$42,[1]CRITERIOS!$M$25:$M$42),
1),
E640/ROUNDDOWN([1]CRITERIOS!$M$16/_xlfn.XLOOKUP($C640,[1]CRITERIOS!$K$25:$K$42,[1]CRITERIOS!$M$25:$M$42),
1),
$M640)),
_xlfn.XLOOKUP($A640,[1]CRITERIOS!$L$179:$L$200,[1]CRITERIOS!$M$179:$M$200)),
_xlfn.CEILING.MATH(IF($M640&gt;$E640,
$E640,
IF($M640&lt;$E640/ROUNDDOWN([1]CRITERIOS!$M$16/_xlfn.XLOOKUP($C640,[1]CRITERIOS!$K$25:$K$42,[1]CRITERIOS!$M$25:$M$42),
1),
E640/ROUNDDOWN([1]CRITERIOS!$M$16/_xlfn.XLOOKUP($C640,[1]CRITERIOS!$K$25:$K$42,[1]CRITERIOS!$M$25:$M$42),
1),
$M640)),_xlfn.XLOOKUP(A640,'[1]DATOS PBI Artículos'!A:A,'[1]DATOS PBI Artículos'!Z:Z
)))))</f>
        <v>#N/A</v>
      </c>
      <c r="Q640" s="38" t="e">
        <f>IF(AND(O640="",N640=0),
0,
   IF(COUNTIF([1]CRITERIOS!$F$179:$F$199,$A640)&gt;=1,
   1,
   IF(R640="MTO",
      $D640,
      ROUNDUP(
                    IF(($E640-SUMIF('[1]DATOS PBI Artículos'!A:A,A640,'[1]DATOS PBI Artículos'!X:X)+($V640-_xlfn.XLOOKUP(A640,'[1]DATOS PBI Artículos'!A:A,'[1]DATOS PBI Artículos'!W:W)))&lt;0,
                    0,
                    IF(($E640-SUMIF('[1]DATOS PBI Artículos'!A:A,A640,'[1]DATOS PBI Artículos'!X:X)+$V640-_xlfn.XLOOKUP($A640,'[1]DATOS PBI Artículos'!A:A,'[1]DATOS PBI Artículos'!W:W))/IF($O640="",$N640,$O640)&gt;ROUNDUP([1]CRITERIOS!$M$16/(IF(COUNTIF([1]CRITERIOS!$BG$11:$BG$201,L640)&gt;=1,_xlfn.XLOOKUP($C640,[1]CRITERIOS!$K$25:$K$42,[1]CRITERIOS!$M$25:$M$42),_xlfn.XLOOKUP($C640,[1]CRITERIOS!$K$25:$K$42,[1]CRITERIOS!$M$25:$M$42))),0),
                    ROUNDUP([1]CRITERIOS!$M$16/(IF(COUNTIF([1]CRITERIOS!$BG$11:$BG$201,$L640)&gt;=1,_xlfn.XLOOKUP($C640,[1]CRITERIOS!$K$25:$K$42,[1]CRITERIOS!$M$25:$M$42),_xlfn.XLOOKUP($C640,[1]CRITERIOS!$K$25:$K$42,[1]CRITERIOS!$M$25:$M$42))),0),
                    (E640+V640-SUMIF('[1]DATOS PBI Artículos'!A:A,A640,'[1]DATOS PBI Artículos'!X:X)-_xlfn.XLOOKUP(A640,'[1]DATOS PBI Artículos'!A:A,'[1]DATOS PBI Artículos'!W:W))/IF($O640="",$N640,$O640))),0))))</f>
        <v>#N/A</v>
      </c>
      <c r="R640" s="33" t="e">
        <f>IF(U640&lt;&gt;"",U640,IF(F640="DV","MTO",IF(N640=0,"MTO",_xlfn.XLOOKUP(CONCATENATE(S640,T640),[1]CRITERIOS!$K$160:$K$168,[1]CRITERIOS!$N$160:$N$168))))</f>
        <v>#N/A</v>
      </c>
      <c r="S640" s="33" t="e">
        <f>IF(G640="DV","MTO",IF(N640=0,"MTO",IF(OR(AND(N640=0,O640=""),IF(O640="",G640/N640,G640/O640)&gt;[1]CRITERIOS!$G$163),"MTO",IF(IF(O640="",G640/N640,G640/O640)&lt;[1]CRITERIOS!$H$161,"MTS","MTOS"))))</f>
        <v>#N/A</v>
      </c>
      <c r="T640" s="33" t="e">
        <f>IF(F640="DV","MTO",IF(OR(AND($N640=0,O640=""),$F640/$J640&gt;[1]CRITERIOS!$G$170,$F640="DV"),"MTO",IF($F640/$J640&lt;[1]CRITERIOS!$H$168,"MTS","MTOS")))</f>
        <v>#N/A</v>
      </c>
      <c r="V640" s="34" t="e">
        <f t="shared" si="31"/>
        <v>#N/A</v>
      </c>
      <c r="X640" s="34" t="e">
        <f t="shared" si="29"/>
        <v>#N/A</v>
      </c>
      <c r="Y640" s="34" t="e">
        <f t="shared" si="30"/>
        <v>#N/A</v>
      </c>
      <c r="Z640" s="34" t="e">
        <f>IF($R640="MTO",
0,
($H640+$K640*($E640/[1]CRITERIOS!$M$16))/[1]CRITERIOS!$X$48)</f>
        <v>#N/A</v>
      </c>
      <c r="AA640" s="34" t="e">
        <f>ROUNDUP(($Y640/_xlfn.XLOOKUP($A640,'[1]DATOS PBI Artículos'!$A$4:$A$4,'[1]DATOS PBI Artículos'!$Z$4:$Z$4))/_xlfn.XLOOKUP(_xlfn.XLOOKUP($A640,'[1]DATOS PBI Artículos'!$A$4:$A$4,'[1]DATOS PBI Artículos'!$Y$4:$Y$4),[1]CRITERIOS!$P$79:$P$123,[1]CRITERIOS!$S$79:$S$123,),0)</f>
        <v>#N/A</v>
      </c>
      <c r="AB640" s="33" t="e">
        <f t="array" ref="AB640">IF((E640+V640-_xlfn.XLOOKUP(A640,'[1]DATOS PBI Artículos'!$A$4:$A$4,'[1]DATOS PBI Artículos'!$W$4:$W$4))/N640&gt;ROUNDUP([1]CRITERIOS!$M$16/(IF(COUNTIF([1]CRITERIOS!$BG$11:$BG$201,L640)&gt;=1,_xlfn.XLOOKUP(ARTÍCULOS!L640,[1]CRITERIOS!$BG$11:$BG$201,[1]CRITERIOS!$BJ$11:$BJ$201),_xlfn.XLOOKUP(ARTÍCULOS!C640,[1]CRITERIOS!$K$25:$K$42,[1]CRITERIOS!$M$25:$M$42))),0),ROUNDUP([1]CRITERIOS!$M$16/(IF(COUNTIF([1]CRITERIOS!$BG$11:$BG$201,L640)&gt;=1,_xlfn.XLOOKUP(ARTÍCULOS!L640,[1]CRITERIOS!$BG$11:$BG$201:#REF!,[1]CRITERIOS!$BJ$11:$BJ$201),_xlfn.XLOOKUP(ARTÍCULOS!C640,[1]CRITERIOS!$K$25:$K$42,[1]CRITERIOS!$M$25:$M$42))),0),(E640+V640-_xlfn.XLOOKUP(A640,'[1]DATOS PBI Artículos'!$A$4:$A$4,'[1]DATOS PBI Artículos'!$W$4:$W$4))/N640)</f>
        <v>#N/A</v>
      </c>
      <c r="AC640" s="33" t="e">
        <f>IF(N640=0,"",(ROUNDUP((N640/2)/(_xlfn.XLOOKUP(A640,'[1]DATOS PBI Artículos'!$A$4:$A$4,'[1]DATOS PBI Artículos'!$Z$4:$Z$4)*_xlfn.XLOOKUP(_xlfn.XLOOKUP(A640,'[1]DATOS PBI Artículos'!$A$4:$A$4,'[1]DATOS PBI Artículos'!$Y$4:$Y$4),[1]CRITERIOS!$P$79:$P$123,[1]CRITERIOS!$S$79:$S$123)),0)*[1]CRITERIOS!$M$80*([1]CRITERIOS!$M$110/[1]CRITERIOS!$M$86)+(_xlfn.XLOOKUP(A640,'[1]DATOS PBI Artículos'!$A$4:$A$4,'[1]DATOS PBI Artículos'!$AA$4:$AA$4)*([1]CRITERIOS!$M$95+[1]CRITERIOS!$M$98)))/N640)</f>
        <v>#N/A</v>
      </c>
      <c r="AD640" s="33" t="e">
        <f>IF(N640=0,"",(ROUNDUP((N640/2)/(_xlfn.XLOOKUP(A640,'[1]DATOS PBI Artículos'!$A$4:$A$4,'[1]DATOS PBI Artículos'!$Z$4:$Z$4)*_xlfn.XLOOKUP(_xlfn.XLOOKUP(A640,'[1]DATOS PBI Artículos'!$A$4:$A$4,'[1]DATOS PBI Artículos'!$Y$4:$Y$4),[1]CRITERIOS!$P$79:$P$123,[1]CRITERIOS!$S$79:$S$123)),0)*[1]CRITERIOS!$M$80*([1]CRITERIOS!$M$89*[1]CRITERIOS!$M$92)+((_xlfn.XLOOKUP(A640,'[1]DATOS PBI Artículos'!$A$4:$A$4,'[1]DATOS PBI Artículos'!$AA$4:$AA$4)/2)*([1]CRITERIOS!$M$95+[1]CRITERIOS!$M$98)))/N640)</f>
        <v>#N/A</v>
      </c>
      <c r="AE640" s="39" t="e">
        <f>IF($R640="MTO","",
IF($H640=0,ROUNDUP(((_xlfn.XLOOKUP($A640,'[1]DATOS PBI Artículos'!$A:$A,'[1]DATOS PBI Artículos'!$AL:$AL))/(_xlfn.XLOOKUP($AF$1,[1]CRITERIOS!$S$16:$S$39,[1]CRITERIOS!$Y$16:$Y$39))*$J640+$Z640)/$G640,0)*$G640,
((_xlfn.XLOOKUP($A640,'[1]DATOS PBI Artículos'!$A:$A,'[1]DATOS PBI Artículos'!$AL:$AL))/(_xlfn.XLOOKUP($AF$1,[1]CRITERIOS!$S$16:$S$39,[1]CRITERIOS!$Y$16:$Y$39))*$J640+$Z640)))</f>
        <v>#N/A</v>
      </c>
      <c r="AG640" s="39" t="e">
        <f>IF($R640="MTO","",
IF($H640=0,ROUNDUP(((_xlfn.XLOOKUP($A640,'[1]DATOS PBI Artículos'!$A:$A,'[1]DATOS PBI Artículos'!$AM:$AM))/(_xlfn.XLOOKUP($AH$1,[1]CRITERIOS!$S$16:$S$39,[1]CRITERIOS!$Y$16:$Y$39))*$J640+$Z640)/$G640,0)*$G640,
((_xlfn.XLOOKUP($A640,'[1]DATOS PBI Artículos'!$A:$A,'[1]DATOS PBI Artículos'!$AM:$AM))/(_xlfn.XLOOKUP($AH$1,[1]CRITERIOS!$S$16:$S$39,[1]CRITERIOS!$Y$16:$Y$39))*$J640+$Z640)))</f>
        <v>#N/A</v>
      </c>
      <c r="AI640" s="39" t="e">
        <f>IF($R640="MTO","",
IF($H640=0,ROUNDUP(((_xlfn.XLOOKUP($A640,'[1]DATOS PBI Artículos'!$A:$A,'[1]DATOS PBI Artículos'!$AN:$AN))/(_xlfn.XLOOKUP($AJ$1,[1]CRITERIOS!$S$16:$S$39,[1]CRITERIOS!$Y$16:$Y$39))*$J640+$Z640)/$G640,0)*$G640,
((_xlfn.XLOOKUP($A640,'[1]DATOS PBI Artículos'!$A:$A,'[1]DATOS PBI Artículos'!$AN:$AN))/(_xlfn.XLOOKUP($AJ$1,[1]CRITERIOS!$S$16:$S$39,[1]CRITERIOS!$Y$16:$Y$39))*$J640+$Z640)))</f>
        <v>#N/A</v>
      </c>
      <c r="AK640" s="39" t="e">
        <f>IF($R640="MTO","",
IF($H640=0,ROUNDUP(((_xlfn.XLOOKUP($A640,'[1]DATOS PBI Artículos'!$A:$A,'[1]DATOS PBI Artículos'!$AO:$AO))/(_xlfn.XLOOKUP($AL$1,[1]CRITERIOS!$S$16:$S$39,[1]CRITERIOS!$Y$16:$Y$39))*$J640+$Z640)/$G640,0)*$G640,
((_xlfn.XLOOKUP($A640,'[1]DATOS PBI Artículos'!$A:$A,'[1]DATOS PBI Artículos'!$AO:$AO))/(_xlfn.XLOOKUP($AL$1,[1]CRITERIOS!$S$16:$S$39,[1]CRITERIOS!$Y$16:$Y$39))*$J640+$Z640)))</f>
        <v>#N/A</v>
      </c>
    </row>
    <row r="641" spans="1:37" ht="25.8" hidden="1" x14ac:dyDescent="0.4">
      <c r="A641" s="41"/>
      <c r="B641" s="33">
        <f>_xlfn.XLOOKUP($A641,'[1]DATOS PBI Artículos'!A:A,'[1]DATOS PBI Artículos'!B:B)</f>
        <v>0</v>
      </c>
      <c r="C641" s="33">
        <f>_xlfn.XLOOKUP($A641,'[1]DATOS PBI Artículos'!A:A,'[1]DATOS PBI Artículos'!C:C)</f>
        <v>0</v>
      </c>
      <c r="D641" s="33">
        <f>_xlfn.XLOOKUP(A641,'[1]DATOS PBI Artículos'!A:A,'[1]DATOS PBI Artículos'!T:T)</f>
        <v>0</v>
      </c>
      <c r="E641" s="34">
        <f>IF(_xlfn.XLOOKUP($A641,'[1]DATOS PBI Artículos'!A:A,'[1]DATOS PBI Artículos'!AK:AK)="",_xlfn.XLOOKUP($A641,'[1]DATOS PBI Artículos'!A:A,'[1]DATOS PBI Artículos'!AJ:AJ),_xlfn.XLOOKUP($A641,'[1]DATOS PBI Artículos'!A:A,'[1]DATOS PBI Artículos'!AK:AK))</f>
        <v>0</v>
      </c>
      <c r="F641" s="35">
        <f>_xlfn.XLOOKUP($A641,'[1]DATOS PBI Artículos'!A:A,'[1]DATOS PBI Artículos'!AP:AP)</f>
        <v>0</v>
      </c>
      <c r="G641" s="34">
        <f>_xlfn.XLOOKUP($A641,'[1]DATOS PBI Artículos'!A:A,'[1]DATOS PBI Artículos'!AR:AR)</f>
        <v>0</v>
      </c>
      <c r="H641" s="34">
        <f>_xlfn.XLOOKUP($A641,'[1]DATOS PBI Artículos'!A:A,'[1]DATOS PBI Artículos'!AT:AT)</f>
        <v>0</v>
      </c>
      <c r="I641" s="34">
        <f>_xlfn.XLOOKUP($A641,'[1]DATOS PBI Artículos'!A:A,'[1]DATOS PBI Artículos'!AS:AS)</f>
        <v>0</v>
      </c>
      <c r="J641" s="35">
        <f>IF(COUNTIF([1]CRITERIOS!$F$179:$F$199,$A641)&gt;=1,
 IF(O641&lt;&gt;"",
    (O641/_xlfn.XLOOKUP(CONCATENATE(A641,L641),[1]MÁQUINAS!A:A,[1]MÁQUINAS!D:D))/24,
    (N641/_xlfn.XLOOKUP(CONCATENATE(A641,L641),[1]MÁQUINAS!A:A,[1]MÁQUINAS!D:D))/24),
  _xlfn.XLOOKUP($A641,'[1]DATOS PBI Artículos'!A:A,'[1]DATOS PBI Artículos'!AU:AU))</f>
        <v>0</v>
      </c>
      <c r="K641" s="36">
        <f>_xlfn.XLOOKUP($A641,'[1]DATOS PBI Artículos'!A:A,'[1]DATOS PBI Artículos'!AV:AV)</f>
        <v>0</v>
      </c>
      <c r="L641" s="33">
        <f>_xlfn.XLOOKUP(A641,[1]MÁQUINAS!B:B,[1]MÁQUINAS!C:C)</f>
        <v>0</v>
      </c>
      <c r="M641" s="34">
        <f t="array" ref="M641">_xlfn.XLOOKUP(A641,'[1]DATOS PBI Artículos'!A:A,'[1]DATOS PBI Artículos'!AX:$AX)</f>
        <v>0</v>
      </c>
      <c r="N641" s="37" t="e">
        <f>IF(I641="DV",
E641,
IF(COUNTIF([1]CRITERIOS!$I$179:$I$199,$A641)&gt;=1,
_xlfn.XLOOKUP($A641,[1]CRITERIOS!$I$179:$I$199,[1]CRITERIOS!$J$179:$J$199),
IF(COUNTIF([1]CRITERIOS!$L$179:$L$199,$A641)&gt;=1,
_xlfn.CEILING.MATH(IF($M641&gt;$E641,
$E641,
IF($M641&lt;$E641/ROUNDDOWN([1]CRITERIOS!$M$16/_xlfn.XLOOKUP($C641,[1]CRITERIOS!$K$25:$K$42,[1]CRITERIOS!$M$25:$M$42),
1),
E641/ROUNDDOWN([1]CRITERIOS!$M$16/_xlfn.XLOOKUP($C641,[1]CRITERIOS!$K$25:$K$42,[1]CRITERIOS!$M$25:$M$42),
1),
$M641)),
_xlfn.XLOOKUP($A641,[1]CRITERIOS!$L$179:$L$200,[1]CRITERIOS!$M$179:$M$200)),
_xlfn.CEILING.MATH(IF($M641&gt;$E641,
$E641,
IF($M641&lt;$E641/ROUNDDOWN([1]CRITERIOS!$M$16/_xlfn.XLOOKUP($C641,[1]CRITERIOS!$K$25:$K$42,[1]CRITERIOS!$M$25:$M$42),
1),
E641/ROUNDDOWN([1]CRITERIOS!$M$16/_xlfn.XLOOKUP($C641,[1]CRITERIOS!$K$25:$K$42,[1]CRITERIOS!$M$25:$M$42),
1),
$M641)),_xlfn.XLOOKUP(A641,'[1]DATOS PBI Artículos'!A:A,'[1]DATOS PBI Artículos'!Z:Z
)))))</f>
        <v>#N/A</v>
      </c>
      <c r="Q641" s="38" t="e">
        <f>IF(AND(O641="",N641=0),
0,
   IF(COUNTIF([1]CRITERIOS!$F$179:$F$199,$A641)&gt;=1,
   1,
   IF(R641="MTO",
      $D641,
      ROUNDUP(
                    IF(($E641-SUMIF('[1]DATOS PBI Artículos'!A:A,A641,'[1]DATOS PBI Artículos'!X:X)+($V641-_xlfn.XLOOKUP(A641,'[1]DATOS PBI Artículos'!A:A,'[1]DATOS PBI Artículos'!W:W)))&lt;0,
                    0,
                    IF(($E641-SUMIF('[1]DATOS PBI Artículos'!A:A,A641,'[1]DATOS PBI Artículos'!X:X)+$V641-_xlfn.XLOOKUP($A641,'[1]DATOS PBI Artículos'!A:A,'[1]DATOS PBI Artículos'!W:W))/IF($O641="",$N641,$O641)&gt;ROUNDUP([1]CRITERIOS!$M$16/(IF(COUNTIF([1]CRITERIOS!$BG$11:$BG$201,L641)&gt;=1,_xlfn.XLOOKUP($C641,[1]CRITERIOS!$K$25:$K$42,[1]CRITERIOS!$M$25:$M$42),_xlfn.XLOOKUP($C641,[1]CRITERIOS!$K$25:$K$42,[1]CRITERIOS!$M$25:$M$42))),0),
                    ROUNDUP([1]CRITERIOS!$M$16/(IF(COUNTIF([1]CRITERIOS!$BG$11:$BG$201,$L641)&gt;=1,_xlfn.XLOOKUP($C641,[1]CRITERIOS!$K$25:$K$42,[1]CRITERIOS!$M$25:$M$42),_xlfn.XLOOKUP($C641,[1]CRITERIOS!$K$25:$K$42,[1]CRITERIOS!$M$25:$M$42))),0),
                    (E641+V641-SUMIF('[1]DATOS PBI Artículos'!A:A,A641,'[1]DATOS PBI Artículos'!X:X)-_xlfn.XLOOKUP(A641,'[1]DATOS PBI Artículos'!A:A,'[1]DATOS PBI Artículos'!W:W))/IF($O641="",$N641,$O641))),0))))</f>
        <v>#N/A</v>
      </c>
      <c r="R641" s="33" t="e">
        <f>IF(U641&lt;&gt;"",U641,IF(F641="DV","MTO",IF(N641=0,"MTO",_xlfn.XLOOKUP(CONCATENATE(S641,T641),[1]CRITERIOS!$K$160:$K$168,[1]CRITERIOS!$N$160:$N$168))))</f>
        <v>#N/A</v>
      </c>
      <c r="S641" s="33" t="e">
        <f>IF(G641="DV","MTO",IF(N641=0,"MTO",IF(OR(AND(N641=0,O641=""),IF(O641="",G641/N641,G641/O641)&gt;[1]CRITERIOS!$G$163),"MTO",IF(IF(O641="",G641/N641,G641/O641)&lt;[1]CRITERIOS!$H$161,"MTS","MTOS"))))</f>
        <v>#N/A</v>
      </c>
      <c r="T641" s="33" t="e">
        <f>IF(F641="DV","MTO",IF(OR(AND($N641=0,O641=""),$F641/$J641&gt;[1]CRITERIOS!$G$170,$F641="DV"),"MTO",IF($F641/$J641&lt;[1]CRITERIOS!$H$168,"MTS","MTOS")))</f>
        <v>#N/A</v>
      </c>
      <c r="V641" s="34" t="e">
        <f t="shared" si="31"/>
        <v>#N/A</v>
      </c>
      <c r="X641" s="34" t="e">
        <f t="shared" si="29"/>
        <v>#N/A</v>
      </c>
      <c r="Y641" s="34" t="e">
        <f t="shared" si="30"/>
        <v>#N/A</v>
      </c>
      <c r="Z641" s="34" t="e">
        <f>IF($R641="MTO",
0,
($H641+$K641*($E641/[1]CRITERIOS!$M$16))/[1]CRITERIOS!$X$48)</f>
        <v>#N/A</v>
      </c>
      <c r="AA641" s="34" t="e">
        <f>ROUNDUP(($Y641/_xlfn.XLOOKUP($A641,'[1]DATOS PBI Artículos'!$A$4:$A$4,'[1]DATOS PBI Artículos'!$Z$4:$Z$4))/_xlfn.XLOOKUP(_xlfn.XLOOKUP($A641,'[1]DATOS PBI Artículos'!$A$4:$A$4,'[1]DATOS PBI Artículos'!$Y$4:$Y$4),[1]CRITERIOS!$P$79:$P$123,[1]CRITERIOS!$S$79:$S$123,),0)</f>
        <v>#N/A</v>
      </c>
      <c r="AB641" s="33" t="e">
        <f t="array" ref="AB641">IF((E641+V641-_xlfn.XLOOKUP(A641,'[1]DATOS PBI Artículos'!$A$4:$A$4,'[1]DATOS PBI Artículos'!$W$4:$W$4))/N641&gt;ROUNDUP([1]CRITERIOS!$M$16/(IF(COUNTIF([1]CRITERIOS!$BG$11:$BG$201,L641)&gt;=1,_xlfn.XLOOKUP(ARTÍCULOS!L641,[1]CRITERIOS!$BG$11:$BG$201,[1]CRITERIOS!$BJ$11:$BJ$201),_xlfn.XLOOKUP(ARTÍCULOS!C641,[1]CRITERIOS!$K$25:$K$42,[1]CRITERIOS!$M$25:$M$42))),0),ROUNDUP([1]CRITERIOS!$M$16/(IF(COUNTIF([1]CRITERIOS!$BG$11:$BG$201,L641)&gt;=1,_xlfn.XLOOKUP(ARTÍCULOS!L641,[1]CRITERIOS!$BG$11:$BG$201:#REF!,[1]CRITERIOS!$BJ$11:$BJ$201),_xlfn.XLOOKUP(ARTÍCULOS!C641,[1]CRITERIOS!$K$25:$K$42,[1]CRITERIOS!$M$25:$M$42))),0),(E641+V641-_xlfn.XLOOKUP(A641,'[1]DATOS PBI Artículos'!$A$4:$A$4,'[1]DATOS PBI Artículos'!$W$4:$W$4))/N641)</f>
        <v>#N/A</v>
      </c>
      <c r="AC641" s="33" t="e">
        <f>IF(N641=0,"",(ROUNDUP((N641/2)/(_xlfn.XLOOKUP(A641,'[1]DATOS PBI Artículos'!$A$4:$A$4,'[1]DATOS PBI Artículos'!$Z$4:$Z$4)*_xlfn.XLOOKUP(_xlfn.XLOOKUP(A641,'[1]DATOS PBI Artículos'!$A$4:$A$4,'[1]DATOS PBI Artículos'!$Y$4:$Y$4),[1]CRITERIOS!$P$79:$P$123,[1]CRITERIOS!$S$79:$S$123)),0)*[1]CRITERIOS!$M$80*([1]CRITERIOS!$M$110/[1]CRITERIOS!$M$86)+(_xlfn.XLOOKUP(A641,'[1]DATOS PBI Artículos'!$A$4:$A$4,'[1]DATOS PBI Artículos'!$AA$4:$AA$4)*([1]CRITERIOS!$M$95+[1]CRITERIOS!$M$98)))/N641)</f>
        <v>#N/A</v>
      </c>
      <c r="AD641" s="33" t="e">
        <f>IF(N641=0,"",(ROUNDUP((N641/2)/(_xlfn.XLOOKUP(A641,'[1]DATOS PBI Artículos'!$A$4:$A$4,'[1]DATOS PBI Artículos'!$Z$4:$Z$4)*_xlfn.XLOOKUP(_xlfn.XLOOKUP(A641,'[1]DATOS PBI Artículos'!$A$4:$A$4,'[1]DATOS PBI Artículos'!$Y$4:$Y$4),[1]CRITERIOS!$P$79:$P$123,[1]CRITERIOS!$S$79:$S$123)),0)*[1]CRITERIOS!$M$80*([1]CRITERIOS!$M$89*[1]CRITERIOS!$M$92)+((_xlfn.XLOOKUP(A641,'[1]DATOS PBI Artículos'!$A$4:$A$4,'[1]DATOS PBI Artículos'!$AA$4:$AA$4)/2)*([1]CRITERIOS!$M$95+[1]CRITERIOS!$M$98)))/N641)</f>
        <v>#N/A</v>
      </c>
      <c r="AE641" s="39" t="e">
        <f>IF($R641="MTO","",
IF($H641=0,ROUNDUP(((_xlfn.XLOOKUP($A641,'[1]DATOS PBI Artículos'!$A:$A,'[1]DATOS PBI Artículos'!$AL:$AL))/(_xlfn.XLOOKUP($AF$1,[1]CRITERIOS!$S$16:$S$39,[1]CRITERIOS!$Y$16:$Y$39))*$J641+$Z641)/$G641,0)*$G641,
((_xlfn.XLOOKUP($A641,'[1]DATOS PBI Artículos'!$A:$A,'[1]DATOS PBI Artículos'!$AL:$AL))/(_xlfn.XLOOKUP($AF$1,[1]CRITERIOS!$S$16:$S$39,[1]CRITERIOS!$Y$16:$Y$39))*$J641+$Z641)))</f>
        <v>#N/A</v>
      </c>
      <c r="AG641" s="39" t="e">
        <f>IF($R641="MTO","",
IF($H641=0,ROUNDUP(((_xlfn.XLOOKUP($A641,'[1]DATOS PBI Artículos'!$A:$A,'[1]DATOS PBI Artículos'!$AM:$AM))/(_xlfn.XLOOKUP($AH$1,[1]CRITERIOS!$S$16:$S$39,[1]CRITERIOS!$Y$16:$Y$39))*$J641+$Z641)/$G641,0)*$G641,
((_xlfn.XLOOKUP($A641,'[1]DATOS PBI Artículos'!$A:$A,'[1]DATOS PBI Artículos'!$AM:$AM))/(_xlfn.XLOOKUP($AH$1,[1]CRITERIOS!$S$16:$S$39,[1]CRITERIOS!$Y$16:$Y$39))*$J641+$Z641)))</f>
        <v>#N/A</v>
      </c>
      <c r="AI641" s="39" t="e">
        <f>IF($R641="MTO","",
IF($H641=0,ROUNDUP(((_xlfn.XLOOKUP($A641,'[1]DATOS PBI Artículos'!$A:$A,'[1]DATOS PBI Artículos'!$AN:$AN))/(_xlfn.XLOOKUP($AJ$1,[1]CRITERIOS!$S$16:$S$39,[1]CRITERIOS!$Y$16:$Y$39))*$J641+$Z641)/$G641,0)*$G641,
((_xlfn.XLOOKUP($A641,'[1]DATOS PBI Artículos'!$A:$A,'[1]DATOS PBI Artículos'!$AN:$AN))/(_xlfn.XLOOKUP($AJ$1,[1]CRITERIOS!$S$16:$S$39,[1]CRITERIOS!$Y$16:$Y$39))*$J641+$Z641)))</f>
        <v>#N/A</v>
      </c>
      <c r="AK641" s="39" t="e">
        <f>IF($R641="MTO","",
IF($H641=0,ROUNDUP(((_xlfn.XLOOKUP($A641,'[1]DATOS PBI Artículos'!$A:$A,'[1]DATOS PBI Artículos'!$AO:$AO))/(_xlfn.XLOOKUP($AL$1,[1]CRITERIOS!$S$16:$S$39,[1]CRITERIOS!$Y$16:$Y$39))*$J641+$Z641)/$G641,0)*$G641,
((_xlfn.XLOOKUP($A641,'[1]DATOS PBI Artículos'!$A:$A,'[1]DATOS PBI Artículos'!$AO:$AO))/(_xlfn.XLOOKUP($AL$1,[1]CRITERIOS!$S$16:$S$39,[1]CRITERIOS!$Y$16:$Y$39))*$J641+$Z641)))</f>
        <v>#N/A</v>
      </c>
    </row>
    <row r="642" spans="1:37" ht="25.8" hidden="1" x14ac:dyDescent="0.4">
      <c r="A642" s="41"/>
      <c r="B642" s="33">
        <f>_xlfn.XLOOKUP($A642,'[1]DATOS PBI Artículos'!A:A,'[1]DATOS PBI Artículos'!B:B)</f>
        <v>0</v>
      </c>
      <c r="C642" s="33">
        <f>_xlfn.XLOOKUP($A642,'[1]DATOS PBI Artículos'!A:A,'[1]DATOS PBI Artículos'!C:C)</f>
        <v>0</v>
      </c>
      <c r="D642" s="33">
        <f>_xlfn.XLOOKUP(A642,'[1]DATOS PBI Artículos'!A:A,'[1]DATOS PBI Artículos'!T:T)</f>
        <v>0</v>
      </c>
      <c r="E642" s="34">
        <f>IF(_xlfn.XLOOKUP($A642,'[1]DATOS PBI Artículos'!A:A,'[1]DATOS PBI Artículos'!AK:AK)="",_xlfn.XLOOKUP($A642,'[1]DATOS PBI Artículos'!A:A,'[1]DATOS PBI Artículos'!AJ:AJ),_xlfn.XLOOKUP($A642,'[1]DATOS PBI Artículos'!A:A,'[1]DATOS PBI Artículos'!AK:AK))</f>
        <v>0</v>
      </c>
      <c r="F642" s="35">
        <f>_xlfn.XLOOKUP($A642,'[1]DATOS PBI Artículos'!A:A,'[1]DATOS PBI Artículos'!AP:AP)</f>
        <v>0</v>
      </c>
      <c r="G642" s="34">
        <f>_xlfn.XLOOKUP($A642,'[1]DATOS PBI Artículos'!A:A,'[1]DATOS PBI Artículos'!AR:AR)</f>
        <v>0</v>
      </c>
      <c r="H642" s="34">
        <f>_xlfn.XLOOKUP($A642,'[1]DATOS PBI Artículos'!A:A,'[1]DATOS PBI Artículos'!AT:AT)</f>
        <v>0</v>
      </c>
      <c r="I642" s="34">
        <f>_xlfn.XLOOKUP($A642,'[1]DATOS PBI Artículos'!A:A,'[1]DATOS PBI Artículos'!AS:AS)</f>
        <v>0</v>
      </c>
      <c r="J642" s="35">
        <f>IF(COUNTIF([1]CRITERIOS!$F$179:$F$199,$A642)&gt;=1,
 IF(O642&lt;&gt;"",
    (O642/_xlfn.XLOOKUP(CONCATENATE(A642,L642),[1]MÁQUINAS!A:A,[1]MÁQUINAS!D:D))/24,
    (N642/_xlfn.XLOOKUP(CONCATENATE(A642,L642),[1]MÁQUINAS!A:A,[1]MÁQUINAS!D:D))/24),
  _xlfn.XLOOKUP($A642,'[1]DATOS PBI Artículos'!A:A,'[1]DATOS PBI Artículos'!AU:AU))</f>
        <v>0</v>
      </c>
      <c r="K642" s="36">
        <f>_xlfn.XLOOKUP($A642,'[1]DATOS PBI Artículos'!A:A,'[1]DATOS PBI Artículos'!AV:AV)</f>
        <v>0</v>
      </c>
      <c r="L642" s="33">
        <f>_xlfn.XLOOKUP(A642,[1]MÁQUINAS!B:B,[1]MÁQUINAS!C:C)</f>
        <v>0</v>
      </c>
      <c r="M642" s="34">
        <f t="array" ref="M642">_xlfn.XLOOKUP(A642,'[1]DATOS PBI Artículos'!A:A,'[1]DATOS PBI Artículos'!AX:$AX)</f>
        <v>0</v>
      </c>
      <c r="N642" s="37" t="e">
        <f>IF(I642="DV",
E642,
IF(COUNTIF([1]CRITERIOS!$I$179:$I$199,$A642)&gt;=1,
_xlfn.XLOOKUP($A642,[1]CRITERIOS!$I$179:$I$199,[1]CRITERIOS!$J$179:$J$199),
IF(COUNTIF([1]CRITERIOS!$L$179:$L$199,$A642)&gt;=1,
_xlfn.CEILING.MATH(IF($M642&gt;$E642,
$E642,
IF($M642&lt;$E642/ROUNDDOWN([1]CRITERIOS!$M$16/_xlfn.XLOOKUP($C642,[1]CRITERIOS!$K$25:$K$42,[1]CRITERIOS!$M$25:$M$42),
1),
E642/ROUNDDOWN([1]CRITERIOS!$M$16/_xlfn.XLOOKUP($C642,[1]CRITERIOS!$K$25:$K$42,[1]CRITERIOS!$M$25:$M$42),
1),
$M642)),
_xlfn.XLOOKUP($A642,[1]CRITERIOS!$L$179:$L$200,[1]CRITERIOS!$M$179:$M$200)),
_xlfn.CEILING.MATH(IF($M642&gt;$E642,
$E642,
IF($M642&lt;$E642/ROUNDDOWN([1]CRITERIOS!$M$16/_xlfn.XLOOKUP($C642,[1]CRITERIOS!$K$25:$K$42,[1]CRITERIOS!$M$25:$M$42),
1),
E642/ROUNDDOWN([1]CRITERIOS!$M$16/_xlfn.XLOOKUP($C642,[1]CRITERIOS!$K$25:$K$42,[1]CRITERIOS!$M$25:$M$42),
1),
$M642)),_xlfn.XLOOKUP(A642,'[1]DATOS PBI Artículos'!A:A,'[1]DATOS PBI Artículos'!Z:Z
)))))</f>
        <v>#N/A</v>
      </c>
      <c r="Q642" s="38" t="e">
        <f>IF(AND(O642="",N642=0),
0,
   IF(COUNTIF([1]CRITERIOS!$F$179:$F$199,$A642)&gt;=1,
   1,
   IF(R642="MTO",
      $D642,
      ROUNDUP(
                    IF(($E642-SUMIF('[1]DATOS PBI Artículos'!A:A,A642,'[1]DATOS PBI Artículos'!X:X)+($V642-_xlfn.XLOOKUP(A642,'[1]DATOS PBI Artículos'!A:A,'[1]DATOS PBI Artículos'!W:W)))&lt;0,
                    0,
                    IF(($E642-SUMIF('[1]DATOS PBI Artículos'!A:A,A642,'[1]DATOS PBI Artículos'!X:X)+$V642-_xlfn.XLOOKUP($A642,'[1]DATOS PBI Artículos'!A:A,'[1]DATOS PBI Artículos'!W:W))/IF($O642="",$N642,$O642)&gt;ROUNDUP([1]CRITERIOS!$M$16/(IF(COUNTIF([1]CRITERIOS!$BG$11:$BG$201,L642)&gt;=1,_xlfn.XLOOKUP($C642,[1]CRITERIOS!$K$25:$K$42,[1]CRITERIOS!$M$25:$M$42),_xlfn.XLOOKUP($C642,[1]CRITERIOS!$K$25:$K$42,[1]CRITERIOS!$M$25:$M$42))),0),
                    ROUNDUP([1]CRITERIOS!$M$16/(IF(COUNTIF([1]CRITERIOS!$BG$11:$BG$201,$L642)&gt;=1,_xlfn.XLOOKUP($C642,[1]CRITERIOS!$K$25:$K$42,[1]CRITERIOS!$M$25:$M$42),_xlfn.XLOOKUP($C642,[1]CRITERIOS!$K$25:$K$42,[1]CRITERIOS!$M$25:$M$42))),0),
                    (E642+V642-SUMIF('[1]DATOS PBI Artículos'!A:A,A642,'[1]DATOS PBI Artículos'!X:X)-_xlfn.XLOOKUP(A642,'[1]DATOS PBI Artículos'!A:A,'[1]DATOS PBI Artículos'!W:W))/IF($O642="",$N642,$O642))),0))))</f>
        <v>#N/A</v>
      </c>
      <c r="R642" s="33" t="e">
        <f>IF(U642&lt;&gt;"",U642,IF(F642="DV","MTO",IF(N642=0,"MTO",_xlfn.XLOOKUP(CONCATENATE(S642,T642),[1]CRITERIOS!$K$160:$K$168,[1]CRITERIOS!$N$160:$N$168))))</f>
        <v>#N/A</v>
      </c>
      <c r="S642" s="33" t="e">
        <f>IF(G642="DV","MTO",IF(N642=0,"MTO",IF(OR(AND(N642=0,O642=""),IF(O642="",G642/N642,G642/O642)&gt;[1]CRITERIOS!$G$163),"MTO",IF(IF(O642="",G642/N642,G642/O642)&lt;[1]CRITERIOS!$H$161,"MTS","MTOS"))))</f>
        <v>#N/A</v>
      </c>
      <c r="T642" s="33" t="e">
        <f>IF(F642="DV","MTO",IF(OR(AND($N642=0,O642=""),$F642/$J642&gt;[1]CRITERIOS!$G$170,$F642="DV"),"MTO",IF($F642/$J642&lt;[1]CRITERIOS!$H$168,"MTS","MTOS")))</f>
        <v>#N/A</v>
      </c>
      <c r="V642" s="34" t="e">
        <f t="shared" si="31"/>
        <v>#N/A</v>
      </c>
      <c r="X642" s="34" t="e">
        <f t="shared" si="29"/>
        <v>#N/A</v>
      </c>
      <c r="Y642" s="34" t="e">
        <f t="shared" si="30"/>
        <v>#N/A</v>
      </c>
      <c r="Z642" s="34" t="e">
        <f>IF($R642="MTO",
0,
($H642+$K642*($E642/[1]CRITERIOS!$M$16))/[1]CRITERIOS!$X$48)</f>
        <v>#N/A</v>
      </c>
      <c r="AA642" s="34" t="e">
        <f>ROUNDUP(($Y642/_xlfn.XLOOKUP($A642,'[1]DATOS PBI Artículos'!$A$4:$A$4,'[1]DATOS PBI Artículos'!$Z$4:$Z$4))/_xlfn.XLOOKUP(_xlfn.XLOOKUP($A642,'[1]DATOS PBI Artículos'!$A$4:$A$4,'[1]DATOS PBI Artículos'!$Y$4:$Y$4),[1]CRITERIOS!$P$79:$P$123,[1]CRITERIOS!$S$79:$S$123,),0)</f>
        <v>#N/A</v>
      </c>
      <c r="AB642" s="33" t="e">
        <f t="array" ref="AB642">IF((E642+V642-_xlfn.XLOOKUP(A642,'[1]DATOS PBI Artículos'!$A$4:$A$4,'[1]DATOS PBI Artículos'!$W$4:$W$4))/N642&gt;ROUNDUP([1]CRITERIOS!$M$16/(IF(COUNTIF([1]CRITERIOS!$BG$11:$BG$201,L642)&gt;=1,_xlfn.XLOOKUP(ARTÍCULOS!L642,[1]CRITERIOS!$BG$11:$BG$201,[1]CRITERIOS!$BJ$11:$BJ$201),_xlfn.XLOOKUP(ARTÍCULOS!C642,[1]CRITERIOS!$K$25:$K$42,[1]CRITERIOS!$M$25:$M$42))),0),ROUNDUP([1]CRITERIOS!$M$16/(IF(COUNTIF([1]CRITERIOS!$BG$11:$BG$201,L642)&gt;=1,_xlfn.XLOOKUP(ARTÍCULOS!L642,[1]CRITERIOS!$BG$11:$BG$201:#REF!,[1]CRITERIOS!$BJ$11:$BJ$201),_xlfn.XLOOKUP(ARTÍCULOS!C642,[1]CRITERIOS!$K$25:$K$42,[1]CRITERIOS!$M$25:$M$42))),0),(E642+V642-_xlfn.XLOOKUP(A642,'[1]DATOS PBI Artículos'!$A$4:$A$4,'[1]DATOS PBI Artículos'!$W$4:$W$4))/N642)</f>
        <v>#N/A</v>
      </c>
      <c r="AC642" s="33" t="e">
        <f>IF(N642=0,"",(ROUNDUP((N642/2)/(_xlfn.XLOOKUP(A642,'[1]DATOS PBI Artículos'!$A$4:$A$4,'[1]DATOS PBI Artículos'!$Z$4:$Z$4)*_xlfn.XLOOKUP(_xlfn.XLOOKUP(A642,'[1]DATOS PBI Artículos'!$A$4:$A$4,'[1]DATOS PBI Artículos'!$Y$4:$Y$4),[1]CRITERIOS!$P$79:$P$123,[1]CRITERIOS!$S$79:$S$123)),0)*[1]CRITERIOS!$M$80*([1]CRITERIOS!$M$110/[1]CRITERIOS!$M$86)+(_xlfn.XLOOKUP(A642,'[1]DATOS PBI Artículos'!$A$4:$A$4,'[1]DATOS PBI Artículos'!$AA$4:$AA$4)*([1]CRITERIOS!$M$95+[1]CRITERIOS!$M$98)))/N642)</f>
        <v>#N/A</v>
      </c>
      <c r="AD642" s="33" t="e">
        <f>IF(N642=0,"",(ROUNDUP((N642/2)/(_xlfn.XLOOKUP(A642,'[1]DATOS PBI Artículos'!$A$4:$A$4,'[1]DATOS PBI Artículos'!$Z$4:$Z$4)*_xlfn.XLOOKUP(_xlfn.XLOOKUP(A642,'[1]DATOS PBI Artículos'!$A$4:$A$4,'[1]DATOS PBI Artículos'!$Y$4:$Y$4),[1]CRITERIOS!$P$79:$P$123,[1]CRITERIOS!$S$79:$S$123)),0)*[1]CRITERIOS!$M$80*([1]CRITERIOS!$M$89*[1]CRITERIOS!$M$92)+((_xlfn.XLOOKUP(A642,'[1]DATOS PBI Artículos'!$A$4:$A$4,'[1]DATOS PBI Artículos'!$AA$4:$AA$4)/2)*([1]CRITERIOS!$M$95+[1]CRITERIOS!$M$98)))/N642)</f>
        <v>#N/A</v>
      </c>
      <c r="AE642" s="39" t="e">
        <f>IF($R642="MTO","",
IF($H642=0,ROUNDUP(((_xlfn.XLOOKUP($A642,'[1]DATOS PBI Artículos'!$A:$A,'[1]DATOS PBI Artículos'!$AL:$AL))/(_xlfn.XLOOKUP($AF$1,[1]CRITERIOS!$S$16:$S$39,[1]CRITERIOS!$Y$16:$Y$39))*$J642+$Z642)/$G642,0)*$G642,
((_xlfn.XLOOKUP($A642,'[1]DATOS PBI Artículos'!$A:$A,'[1]DATOS PBI Artículos'!$AL:$AL))/(_xlfn.XLOOKUP($AF$1,[1]CRITERIOS!$S$16:$S$39,[1]CRITERIOS!$Y$16:$Y$39))*$J642+$Z642)))</f>
        <v>#N/A</v>
      </c>
      <c r="AG642" s="39" t="e">
        <f>IF($R642="MTO","",
IF($H642=0,ROUNDUP(((_xlfn.XLOOKUP($A642,'[1]DATOS PBI Artículos'!$A:$A,'[1]DATOS PBI Artículos'!$AM:$AM))/(_xlfn.XLOOKUP($AH$1,[1]CRITERIOS!$S$16:$S$39,[1]CRITERIOS!$Y$16:$Y$39))*$J642+$Z642)/$G642,0)*$G642,
((_xlfn.XLOOKUP($A642,'[1]DATOS PBI Artículos'!$A:$A,'[1]DATOS PBI Artículos'!$AM:$AM))/(_xlfn.XLOOKUP($AH$1,[1]CRITERIOS!$S$16:$S$39,[1]CRITERIOS!$Y$16:$Y$39))*$J642+$Z642)))</f>
        <v>#N/A</v>
      </c>
      <c r="AI642" s="39" t="e">
        <f>IF($R642="MTO","",
IF($H642=0,ROUNDUP(((_xlfn.XLOOKUP($A642,'[1]DATOS PBI Artículos'!$A:$A,'[1]DATOS PBI Artículos'!$AN:$AN))/(_xlfn.XLOOKUP($AJ$1,[1]CRITERIOS!$S$16:$S$39,[1]CRITERIOS!$Y$16:$Y$39))*$J642+$Z642)/$G642,0)*$G642,
((_xlfn.XLOOKUP($A642,'[1]DATOS PBI Artículos'!$A:$A,'[1]DATOS PBI Artículos'!$AN:$AN))/(_xlfn.XLOOKUP($AJ$1,[1]CRITERIOS!$S$16:$S$39,[1]CRITERIOS!$Y$16:$Y$39))*$J642+$Z642)))</f>
        <v>#N/A</v>
      </c>
      <c r="AK642" s="39" t="e">
        <f>IF($R642="MTO","",
IF($H642=0,ROUNDUP(((_xlfn.XLOOKUP($A642,'[1]DATOS PBI Artículos'!$A:$A,'[1]DATOS PBI Artículos'!$AO:$AO))/(_xlfn.XLOOKUP($AL$1,[1]CRITERIOS!$S$16:$S$39,[1]CRITERIOS!$Y$16:$Y$39))*$J642+$Z642)/$G642,0)*$G642,
((_xlfn.XLOOKUP($A642,'[1]DATOS PBI Artículos'!$A:$A,'[1]DATOS PBI Artículos'!$AO:$AO))/(_xlfn.XLOOKUP($AL$1,[1]CRITERIOS!$S$16:$S$39,[1]CRITERIOS!$Y$16:$Y$39))*$J642+$Z642)))</f>
        <v>#N/A</v>
      </c>
    </row>
    <row r="643" spans="1:37" ht="25.8" hidden="1" x14ac:dyDescent="0.4">
      <c r="A643" s="41"/>
      <c r="B643" s="33">
        <f>_xlfn.XLOOKUP($A643,'[1]DATOS PBI Artículos'!A:A,'[1]DATOS PBI Artículos'!B:B)</f>
        <v>0</v>
      </c>
      <c r="C643" s="33">
        <f>_xlfn.XLOOKUP($A643,'[1]DATOS PBI Artículos'!A:A,'[1]DATOS PBI Artículos'!C:C)</f>
        <v>0</v>
      </c>
      <c r="D643" s="33">
        <f>_xlfn.XLOOKUP(A643,'[1]DATOS PBI Artículos'!A:A,'[1]DATOS PBI Artículos'!T:T)</f>
        <v>0</v>
      </c>
      <c r="E643" s="34">
        <f>IF(_xlfn.XLOOKUP($A643,'[1]DATOS PBI Artículos'!A:A,'[1]DATOS PBI Artículos'!AK:AK)="",_xlfn.XLOOKUP($A643,'[1]DATOS PBI Artículos'!A:A,'[1]DATOS PBI Artículos'!AJ:AJ),_xlfn.XLOOKUP($A643,'[1]DATOS PBI Artículos'!A:A,'[1]DATOS PBI Artículos'!AK:AK))</f>
        <v>0</v>
      </c>
      <c r="F643" s="35">
        <f>_xlfn.XLOOKUP($A643,'[1]DATOS PBI Artículos'!A:A,'[1]DATOS PBI Artículos'!AP:AP)</f>
        <v>0</v>
      </c>
      <c r="G643" s="34">
        <f>_xlfn.XLOOKUP($A643,'[1]DATOS PBI Artículos'!A:A,'[1]DATOS PBI Artículos'!AR:AR)</f>
        <v>0</v>
      </c>
      <c r="H643" s="34">
        <f>_xlfn.XLOOKUP($A643,'[1]DATOS PBI Artículos'!A:A,'[1]DATOS PBI Artículos'!AT:AT)</f>
        <v>0</v>
      </c>
      <c r="I643" s="34">
        <f>_xlfn.XLOOKUP($A643,'[1]DATOS PBI Artículos'!A:A,'[1]DATOS PBI Artículos'!AS:AS)</f>
        <v>0</v>
      </c>
      <c r="J643" s="35">
        <f>IF(COUNTIF([1]CRITERIOS!$F$179:$F$199,$A643)&gt;=1,
 IF(O643&lt;&gt;"",
    (O643/_xlfn.XLOOKUP(CONCATENATE(A643,L643),[1]MÁQUINAS!A:A,[1]MÁQUINAS!D:D))/24,
    (N643/_xlfn.XLOOKUP(CONCATENATE(A643,L643),[1]MÁQUINAS!A:A,[1]MÁQUINAS!D:D))/24),
  _xlfn.XLOOKUP($A643,'[1]DATOS PBI Artículos'!A:A,'[1]DATOS PBI Artículos'!AU:AU))</f>
        <v>0</v>
      </c>
      <c r="K643" s="36">
        <f>_xlfn.XLOOKUP($A643,'[1]DATOS PBI Artículos'!A:A,'[1]DATOS PBI Artículos'!AV:AV)</f>
        <v>0</v>
      </c>
      <c r="L643" s="33">
        <f>_xlfn.XLOOKUP(A643,[1]MÁQUINAS!B:B,[1]MÁQUINAS!C:C)</f>
        <v>0</v>
      </c>
      <c r="M643" s="34">
        <f t="array" ref="M643">_xlfn.XLOOKUP(A643,'[1]DATOS PBI Artículos'!A:A,'[1]DATOS PBI Artículos'!AX:$AX)</f>
        <v>0</v>
      </c>
      <c r="N643" s="37" t="e">
        <f>IF(I643="DV",
E643,
IF(COUNTIF([1]CRITERIOS!$I$179:$I$199,$A643)&gt;=1,
_xlfn.XLOOKUP($A643,[1]CRITERIOS!$I$179:$I$199,[1]CRITERIOS!$J$179:$J$199),
IF(COUNTIF([1]CRITERIOS!$L$179:$L$199,$A643)&gt;=1,
_xlfn.CEILING.MATH(IF($M643&gt;$E643,
$E643,
IF($M643&lt;$E643/ROUNDDOWN([1]CRITERIOS!$M$16/_xlfn.XLOOKUP($C643,[1]CRITERIOS!$K$25:$K$42,[1]CRITERIOS!$M$25:$M$42),
1),
E643/ROUNDDOWN([1]CRITERIOS!$M$16/_xlfn.XLOOKUP($C643,[1]CRITERIOS!$K$25:$K$42,[1]CRITERIOS!$M$25:$M$42),
1),
$M643)),
_xlfn.XLOOKUP($A643,[1]CRITERIOS!$L$179:$L$200,[1]CRITERIOS!$M$179:$M$200)),
_xlfn.CEILING.MATH(IF($M643&gt;$E643,
$E643,
IF($M643&lt;$E643/ROUNDDOWN([1]CRITERIOS!$M$16/_xlfn.XLOOKUP($C643,[1]CRITERIOS!$K$25:$K$42,[1]CRITERIOS!$M$25:$M$42),
1),
E643/ROUNDDOWN([1]CRITERIOS!$M$16/_xlfn.XLOOKUP($C643,[1]CRITERIOS!$K$25:$K$42,[1]CRITERIOS!$M$25:$M$42),
1),
$M643)),_xlfn.XLOOKUP(A643,'[1]DATOS PBI Artículos'!A:A,'[1]DATOS PBI Artículos'!Z:Z
)))))</f>
        <v>#N/A</v>
      </c>
      <c r="Q643" s="38" t="e">
        <f>IF(AND(O643="",N643=0),
0,
   IF(COUNTIF([1]CRITERIOS!$F$179:$F$199,$A643)&gt;=1,
   1,
   IF(R643="MTO",
      $D643,
      ROUNDUP(
                    IF(($E643-SUMIF('[1]DATOS PBI Artículos'!A:A,A643,'[1]DATOS PBI Artículos'!X:X)+($V643-_xlfn.XLOOKUP(A643,'[1]DATOS PBI Artículos'!A:A,'[1]DATOS PBI Artículos'!W:W)))&lt;0,
                    0,
                    IF(($E643-SUMIF('[1]DATOS PBI Artículos'!A:A,A643,'[1]DATOS PBI Artículos'!X:X)+$V643-_xlfn.XLOOKUP($A643,'[1]DATOS PBI Artículos'!A:A,'[1]DATOS PBI Artículos'!W:W))/IF($O643="",$N643,$O643)&gt;ROUNDUP([1]CRITERIOS!$M$16/(IF(COUNTIF([1]CRITERIOS!$BG$11:$BG$201,L643)&gt;=1,_xlfn.XLOOKUP($C643,[1]CRITERIOS!$K$25:$K$42,[1]CRITERIOS!$M$25:$M$42),_xlfn.XLOOKUP($C643,[1]CRITERIOS!$K$25:$K$42,[1]CRITERIOS!$M$25:$M$42))),0),
                    ROUNDUP([1]CRITERIOS!$M$16/(IF(COUNTIF([1]CRITERIOS!$BG$11:$BG$201,$L643)&gt;=1,_xlfn.XLOOKUP($C643,[1]CRITERIOS!$K$25:$K$42,[1]CRITERIOS!$M$25:$M$42),_xlfn.XLOOKUP($C643,[1]CRITERIOS!$K$25:$K$42,[1]CRITERIOS!$M$25:$M$42))),0),
                    (E643+V643-SUMIF('[1]DATOS PBI Artículos'!A:A,A643,'[1]DATOS PBI Artículos'!X:X)-_xlfn.XLOOKUP(A643,'[1]DATOS PBI Artículos'!A:A,'[1]DATOS PBI Artículos'!W:W))/IF($O643="",$N643,$O643))),0))))</f>
        <v>#N/A</v>
      </c>
      <c r="R643" s="33" t="e">
        <f>IF(U643&lt;&gt;"",U643,IF(F643="DV","MTO",IF(N643=0,"MTO",_xlfn.XLOOKUP(CONCATENATE(S643,T643),[1]CRITERIOS!$K$160:$K$168,[1]CRITERIOS!$N$160:$N$168))))</f>
        <v>#N/A</v>
      </c>
      <c r="S643" s="33" t="e">
        <f>IF(G643="DV","MTO",IF(N643=0,"MTO",IF(OR(AND(N643=0,O643=""),IF(O643="",G643/N643,G643/O643)&gt;[1]CRITERIOS!$G$163),"MTO",IF(IF(O643="",G643/N643,G643/O643)&lt;[1]CRITERIOS!$H$161,"MTS","MTOS"))))</f>
        <v>#N/A</v>
      </c>
      <c r="T643" s="33" t="e">
        <f>IF(F643="DV","MTO",IF(OR(AND($N643=0,O643=""),$F643/$J643&gt;[1]CRITERIOS!$G$170,$F643="DV"),"MTO",IF($F643/$J643&lt;[1]CRITERIOS!$H$168,"MTS","MTOS")))</f>
        <v>#N/A</v>
      </c>
      <c r="V643" s="34" t="e">
        <f t="shared" si="31"/>
        <v>#N/A</v>
      </c>
      <c r="X643" s="34" t="e">
        <f t="shared" ref="X643:X706" si="32">IF(R643="MTO",0,V643+N643)</f>
        <v>#N/A</v>
      </c>
      <c r="Y643" s="34" t="e">
        <f t="shared" ref="Y643:Y706" si="33">IF(R643="MTO",0,Z643+(N643/2))</f>
        <v>#N/A</v>
      </c>
      <c r="Z643" s="34" t="e">
        <f>IF($R643="MTO",
0,
($H643+$K643*($E643/[1]CRITERIOS!$M$16))/[1]CRITERIOS!$X$48)</f>
        <v>#N/A</v>
      </c>
      <c r="AA643" s="34" t="e">
        <f>ROUNDUP(($Y643/_xlfn.XLOOKUP($A643,'[1]DATOS PBI Artículos'!$A$4:$A$4,'[1]DATOS PBI Artículos'!$Z$4:$Z$4))/_xlfn.XLOOKUP(_xlfn.XLOOKUP($A643,'[1]DATOS PBI Artículos'!$A$4:$A$4,'[1]DATOS PBI Artículos'!$Y$4:$Y$4),[1]CRITERIOS!$P$79:$P$123,[1]CRITERIOS!$S$79:$S$123,),0)</f>
        <v>#N/A</v>
      </c>
      <c r="AB643" s="33" t="e">
        <f t="array" ref="AB643">IF((E643+V643-_xlfn.XLOOKUP(A643,'[1]DATOS PBI Artículos'!$A$4:$A$4,'[1]DATOS PBI Artículos'!$W$4:$W$4))/N643&gt;ROUNDUP([1]CRITERIOS!$M$16/(IF(COUNTIF([1]CRITERIOS!$BG$11:$BG$201,L643)&gt;=1,_xlfn.XLOOKUP(ARTÍCULOS!L643,[1]CRITERIOS!$BG$11:$BG$201,[1]CRITERIOS!$BJ$11:$BJ$201),_xlfn.XLOOKUP(ARTÍCULOS!C643,[1]CRITERIOS!$K$25:$K$42,[1]CRITERIOS!$M$25:$M$42))),0),ROUNDUP([1]CRITERIOS!$M$16/(IF(COUNTIF([1]CRITERIOS!$BG$11:$BG$201,L643)&gt;=1,_xlfn.XLOOKUP(ARTÍCULOS!L643,[1]CRITERIOS!$BG$11:$BG$201:#REF!,[1]CRITERIOS!$BJ$11:$BJ$201),_xlfn.XLOOKUP(ARTÍCULOS!C643,[1]CRITERIOS!$K$25:$K$42,[1]CRITERIOS!$M$25:$M$42))),0),(E643+V643-_xlfn.XLOOKUP(A643,'[1]DATOS PBI Artículos'!$A$4:$A$4,'[1]DATOS PBI Artículos'!$W$4:$W$4))/N643)</f>
        <v>#N/A</v>
      </c>
      <c r="AC643" s="33" t="e">
        <f>IF(N643=0,"",(ROUNDUP((N643/2)/(_xlfn.XLOOKUP(A643,'[1]DATOS PBI Artículos'!$A$4:$A$4,'[1]DATOS PBI Artículos'!$Z$4:$Z$4)*_xlfn.XLOOKUP(_xlfn.XLOOKUP(A643,'[1]DATOS PBI Artículos'!$A$4:$A$4,'[1]DATOS PBI Artículos'!$Y$4:$Y$4),[1]CRITERIOS!$P$79:$P$123,[1]CRITERIOS!$S$79:$S$123)),0)*[1]CRITERIOS!$M$80*([1]CRITERIOS!$M$110/[1]CRITERIOS!$M$86)+(_xlfn.XLOOKUP(A643,'[1]DATOS PBI Artículos'!$A$4:$A$4,'[1]DATOS PBI Artículos'!$AA$4:$AA$4)*([1]CRITERIOS!$M$95+[1]CRITERIOS!$M$98)))/N643)</f>
        <v>#N/A</v>
      </c>
      <c r="AD643" s="33" t="e">
        <f>IF(N643=0,"",(ROUNDUP((N643/2)/(_xlfn.XLOOKUP(A643,'[1]DATOS PBI Artículos'!$A$4:$A$4,'[1]DATOS PBI Artículos'!$Z$4:$Z$4)*_xlfn.XLOOKUP(_xlfn.XLOOKUP(A643,'[1]DATOS PBI Artículos'!$A$4:$A$4,'[1]DATOS PBI Artículos'!$Y$4:$Y$4),[1]CRITERIOS!$P$79:$P$123,[1]CRITERIOS!$S$79:$S$123)),0)*[1]CRITERIOS!$M$80*([1]CRITERIOS!$M$89*[1]CRITERIOS!$M$92)+((_xlfn.XLOOKUP(A643,'[1]DATOS PBI Artículos'!$A$4:$A$4,'[1]DATOS PBI Artículos'!$AA$4:$AA$4)/2)*([1]CRITERIOS!$M$95+[1]CRITERIOS!$M$98)))/N643)</f>
        <v>#N/A</v>
      </c>
      <c r="AE643" s="39" t="e">
        <f>IF($R643="MTO","",
IF($H643=0,ROUNDUP(((_xlfn.XLOOKUP($A643,'[1]DATOS PBI Artículos'!$A:$A,'[1]DATOS PBI Artículos'!$AL:$AL))/(_xlfn.XLOOKUP($AF$1,[1]CRITERIOS!$S$16:$S$39,[1]CRITERIOS!$Y$16:$Y$39))*$J643+$Z643)/$G643,0)*$G643,
((_xlfn.XLOOKUP($A643,'[1]DATOS PBI Artículos'!$A:$A,'[1]DATOS PBI Artículos'!$AL:$AL))/(_xlfn.XLOOKUP($AF$1,[1]CRITERIOS!$S$16:$S$39,[1]CRITERIOS!$Y$16:$Y$39))*$J643+$Z643)))</f>
        <v>#N/A</v>
      </c>
      <c r="AG643" s="39" t="e">
        <f>IF($R643="MTO","",
IF($H643=0,ROUNDUP(((_xlfn.XLOOKUP($A643,'[1]DATOS PBI Artículos'!$A:$A,'[1]DATOS PBI Artículos'!$AM:$AM))/(_xlfn.XLOOKUP($AH$1,[1]CRITERIOS!$S$16:$S$39,[1]CRITERIOS!$Y$16:$Y$39))*$J643+$Z643)/$G643,0)*$G643,
((_xlfn.XLOOKUP($A643,'[1]DATOS PBI Artículos'!$A:$A,'[1]DATOS PBI Artículos'!$AM:$AM))/(_xlfn.XLOOKUP($AH$1,[1]CRITERIOS!$S$16:$S$39,[1]CRITERIOS!$Y$16:$Y$39))*$J643+$Z643)))</f>
        <v>#N/A</v>
      </c>
      <c r="AI643" s="39" t="e">
        <f>IF($R643="MTO","",
IF($H643=0,ROUNDUP(((_xlfn.XLOOKUP($A643,'[1]DATOS PBI Artículos'!$A:$A,'[1]DATOS PBI Artículos'!$AN:$AN))/(_xlfn.XLOOKUP($AJ$1,[1]CRITERIOS!$S$16:$S$39,[1]CRITERIOS!$Y$16:$Y$39))*$J643+$Z643)/$G643,0)*$G643,
((_xlfn.XLOOKUP($A643,'[1]DATOS PBI Artículos'!$A:$A,'[1]DATOS PBI Artículos'!$AN:$AN))/(_xlfn.XLOOKUP($AJ$1,[1]CRITERIOS!$S$16:$S$39,[1]CRITERIOS!$Y$16:$Y$39))*$J643+$Z643)))</f>
        <v>#N/A</v>
      </c>
      <c r="AK643" s="39" t="e">
        <f>IF($R643="MTO","",
IF($H643=0,ROUNDUP(((_xlfn.XLOOKUP($A643,'[1]DATOS PBI Artículos'!$A:$A,'[1]DATOS PBI Artículos'!$AO:$AO))/(_xlfn.XLOOKUP($AL$1,[1]CRITERIOS!$S$16:$S$39,[1]CRITERIOS!$Y$16:$Y$39))*$J643+$Z643)/$G643,0)*$G643,
((_xlfn.XLOOKUP($A643,'[1]DATOS PBI Artículos'!$A:$A,'[1]DATOS PBI Artículos'!$AO:$AO))/(_xlfn.XLOOKUP($AL$1,[1]CRITERIOS!$S$16:$S$39,[1]CRITERIOS!$Y$16:$Y$39))*$J643+$Z643)))</f>
        <v>#N/A</v>
      </c>
    </row>
    <row r="644" spans="1:37" ht="25.8" hidden="1" x14ac:dyDescent="0.4">
      <c r="A644" s="41"/>
      <c r="B644" s="33">
        <f>_xlfn.XLOOKUP($A644,'[1]DATOS PBI Artículos'!A:A,'[1]DATOS PBI Artículos'!B:B)</f>
        <v>0</v>
      </c>
      <c r="C644" s="33">
        <f>_xlfn.XLOOKUP($A644,'[1]DATOS PBI Artículos'!A:A,'[1]DATOS PBI Artículos'!C:C)</f>
        <v>0</v>
      </c>
      <c r="D644" s="33">
        <f>_xlfn.XLOOKUP(A644,'[1]DATOS PBI Artículos'!A:A,'[1]DATOS PBI Artículos'!T:T)</f>
        <v>0</v>
      </c>
      <c r="E644" s="34">
        <f>IF(_xlfn.XLOOKUP($A644,'[1]DATOS PBI Artículos'!A:A,'[1]DATOS PBI Artículos'!AK:AK)="",_xlfn.XLOOKUP($A644,'[1]DATOS PBI Artículos'!A:A,'[1]DATOS PBI Artículos'!AJ:AJ),_xlfn.XLOOKUP($A644,'[1]DATOS PBI Artículos'!A:A,'[1]DATOS PBI Artículos'!AK:AK))</f>
        <v>0</v>
      </c>
      <c r="F644" s="35">
        <f>_xlfn.XLOOKUP($A644,'[1]DATOS PBI Artículos'!A:A,'[1]DATOS PBI Artículos'!AP:AP)</f>
        <v>0</v>
      </c>
      <c r="G644" s="34">
        <f>_xlfn.XLOOKUP($A644,'[1]DATOS PBI Artículos'!A:A,'[1]DATOS PBI Artículos'!AR:AR)</f>
        <v>0</v>
      </c>
      <c r="H644" s="34">
        <f>_xlfn.XLOOKUP($A644,'[1]DATOS PBI Artículos'!A:A,'[1]DATOS PBI Artículos'!AT:AT)</f>
        <v>0</v>
      </c>
      <c r="I644" s="34">
        <f>_xlfn.XLOOKUP($A644,'[1]DATOS PBI Artículos'!A:A,'[1]DATOS PBI Artículos'!AS:AS)</f>
        <v>0</v>
      </c>
      <c r="J644" s="35">
        <f>IF(COUNTIF([1]CRITERIOS!$F$179:$F$199,$A644)&gt;=1,
 IF(O644&lt;&gt;"",
    (O644/_xlfn.XLOOKUP(CONCATENATE(A644,L644),[1]MÁQUINAS!A:A,[1]MÁQUINAS!D:D))/24,
    (N644/_xlfn.XLOOKUP(CONCATENATE(A644,L644),[1]MÁQUINAS!A:A,[1]MÁQUINAS!D:D))/24),
  _xlfn.XLOOKUP($A644,'[1]DATOS PBI Artículos'!A:A,'[1]DATOS PBI Artículos'!AU:AU))</f>
        <v>0</v>
      </c>
      <c r="K644" s="36">
        <f>_xlfn.XLOOKUP($A644,'[1]DATOS PBI Artículos'!A:A,'[1]DATOS PBI Artículos'!AV:AV)</f>
        <v>0</v>
      </c>
      <c r="L644" s="33">
        <f>_xlfn.XLOOKUP(A644,[1]MÁQUINAS!B:B,[1]MÁQUINAS!C:C)</f>
        <v>0</v>
      </c>
      <c r="M644" s="34">
        <f t="array" ref="M644">_xlfn.XLOOKUP(A644,'[1]DATOS PBI Artículos'!A:A,'[1]DATOS PBI Artículos'!AX:$AX)</f>
        <v>0</v>
      </c>
      <c r="N644" s="37" t="e">
        <f>IF(I644="DV",
E644,
IF(COUNTIF([1]CRITERIOS!$I$179:$I$199,$A644)&gt;=1,
_xlfn.XLOOKUP($A644,[1]CRITERIOS!$I$179:$I$199,[1]CRITERIOS!$J$179:$J$199),
IF(COUNTIF([1]CRITERIOS!$L$179:$L$199,$A644)&gt;=1,
_xlfn.CEILING.MATH(IF($M644&gt;$E644,
$E644,
IF($M644&lt;$E644/ROUNDDOWN([1]CRITERIOS!$M$16/_xlfn.XLOOKUP($C644,[1]CRITERIOS!$K$25:$K$42,[1]CRITERIOS!$M$25:$M$42),
1),
E644/ROUNDDOWN([1]CRITERIOS!$M$16/_xlfn.XLOOKUP($C644,[1]CRITERIOS!$K$25:$K$42,[1]CRITERIOS!$M$25:$M$42),
1),
$M644)),
_xlfn.XLOOKUP($A644,[1]CRITERIOS!$L$179:$L$200,[1]CRITERIOS!$M$179:$M$200)),
_xlfn.CEILING.MATH(IF($M644&gt;$E644,
$E644,
IF($M644&lt;$E644/ROUNDDOWN([1]CRITERIOS!$M$16/_xlfn.XLOOKUP($C644,[1]CRITERIOS!$K$25:$K$42,[1]CRITERIOS!$M$25:$M$42),
1),
E644/ROUNDDOWN([1]CRITERIOS!$M$16/_xlfn.XLOOKUP($C644,[1]CRITERIOS!$K$25:$K$42,[1]CRITERIOS!$M$25:$M$42),
1),
$M644)),_xlfn.XLOOKUP(A644,'[1]DATOS PBI Artículos'!A:A,'[1]DATOS PBI Artículos'!Z:Z
)))))</f>
        <v>#N/A</v>
      </c>
      <c r="Q644" s="38" t="e">
        <f>IF(AND(O644="",N644=0),
0,
   IF(COUNTIF([1]CRITERIOS!$F$179:$F$199,$A644)&gt;=1,
   1,
   IF(R644="MTO",
      $D644,
      ROUNDUP(
                    IF(($E644-SUMIF('[1]DATOS PBI Artículos'!A:A,A644,'[1]DATOS PBI Artículos'!X:X)+($V644-_xlfn.XLOOKUP(A644,'[1]DATOS PBI Artículos'!A:A,'[1]DATOS PBI Artículos'!W:W)))&lt;0,
                    0,
                    IF(($E644-SUMIF('[1]DATOS PBI Artículos'!A:A,A644,'[1]DATOS PBI Artículos'!X:X)+$V644-_xlfn.XLOOKUP($A644,'[1]DATOS PBI Artículos'!A:A,'[1]DATOS PBI Artículos'!W:W))/IF($O644="",$N644,$O644)&gt;ROUNDUP([1]CRITERIOS!$M$16/(IF(COUNTIF([1]CRITERIOS!$BG$11:$BG$201,L644)&gt;=1,_xlfn.XLOOKUP($C644,[1]CRITERIOS!$K$25:$K$42,[1]CRITERIOS!$M$25:$M$42),_xlfn.XLOOKUP($C644,[1]CRITERIOS!$K$25:$K$42,[1]CRITERIOS!$M$25:$M$42))),0),
                    ROUNDUP([1]CRITERIOS!$M$16/(IF(COUNTIF([1]CRITERIOS!$BG$11:$BG$201,$L644)&gt;=1,_xlfn.XLOOKUP($C644,[1]CRITERIOS!$K$25:$K$42,[1]CRITERIOS!$M$25:$M$42),_xlfn.XLOOKUP($C644,[1]CRITERIOS!$K$25:$K$42,[1]CRITERIOS!$M$25:$M$42))),0),
                    (E644+V644-SUMIF('[1]DATOS PBI Artículos'!A:A,A644,'[1]DATOS PBI Artículos'!X:X)-_xlfn.XLOOKUP(A644,'[1]DATOS PBI Artículos'!A:A,'[1]DATOS PBI Artículos'!W:W))/IF($O644="",$N644,$O644))),0))))</f>
        <v>#N/A</v>
      </c>
      <c r="R644" s="33" t="e">
        <f>IF(U644&lt;&gt;"",U644,IF(F644="DV","MTO",IF(N644=0,"MTO",_xlfn.XLOOKUP(CONCATENATE(S644,T644),[1]CRITERIOS!$K$160:$K$168,[1]CRITERIOS!$N$160:$N$168))))</f>
        <v>#N/A</v>
      </c>
      <c r="S644" s="33" t="e">
        <f>IF(G644="DV","MTO",IF(N644=0,"MTO",IF(OR(AND(N644=0,O644=""),IF(O644="",G644/N644,G644/O644)&gt;[1]CRITERIOS!$G$163),"MTO",IF(IF(O644="",G644/N644,G644/O644)&lt;[1]CRITERIOS!$H$161,"MTS","MTOS"))))</f>
        <v>#N/A</v>
      </c>
      <c r="T644" s="33" t="e">
        <f>IF(F644="DV","MTO",IF(OR(AND($N644=0,O644=""),$F644/$J644&gt;[1]CRITERIOS!$G$170,$F644="DV"),"MTO",IF($F644/$J644&lt;[1]CRITERIOS!$H$168,"MTS","MTOS")))</f>
        <v>#N/A</v>
      </c>
      <c r="V644" s="34" t="e">
        <f t="shared" si="31"/>
        <v>#N/A</v>
      </c>
      <c r="X644" s="34" t="e">
        <f t="shared" si="32"/>
        <v>#N/A</v>
      </c>
      <c r="Y644" s="34" t="e">
        <f t="shared" si="33"/>
        <v>#N/A</v>
      </c>
      <c r="Z644" s="34" t="e">
        <f>IF($R644="MTO",
0,
($H644+$K644*($E644/[1]CRITERIOS!$M$16))/[1]CRITERIOS!$X$48)</f>
        <v>#N/A</v>
      </c>
      <c r="AA644" s="34" t="e">
        <f>ROUNDUP(($Y644/_xlfn.XLOOKUP($A644,'[1]DATOS PBI Artículos'!$A$4:$A$4,'[1]DATOS PBI Artículos'!$Z$4:$Z$4))/_xlfn.XLOOKUP(_xlfn.XLOOKUP($A644,'[1]DATOS PBI Artículos'!$A$4:$A$4,'[1]DATOS PBI Artículos'!$Y$4:$Y$4),[1]CRITERIOS!$P$79:$P$123,[1]CRITERIOS!$S$79:$S$123,),0)</f>
        <v>#N/A</v>
      </c>
      <c r="AB644" s="33" t="e">
        <f t="array" ref="AB644">IF((E644+V644-_xlfn.XLOOKUP(A644,'[1]DATOS PBI Artículos'!$A$4:$A$4,'[1]DATOS PBI Artículos'!$W$4:$W$4))/N644&gt;ROUNDUP([1]CRITERIOS!$M$16/(IF(COUNTIF([1]CRITERIOS!$BG$11:$BG$201,L644)&gt;=1,_xlfn.XLOOKUP(ARTÍCULOS!L644,[1]CRITERIOS!$BG$11:$BG$201,[1]CRITERIOS!$BJ$11:$BJ$201),_xlfn.XLOOKUP(ARTÍCULOS!C644,[1]CRITERIOS!$K$25:$K$42,[1]CRITERIOS!$M$25:$M$42))),0),ROUNDUP([1]CRITERIOS!$M$16/(IF(COUNTIF([1]CRITERIOS!$BG$11:$BG$201,L644)&gt;=1,_xlfn.XLOOKUP(ARTÍCULOS!L644,[1]CRITERIOS!$BG$11:$BG$201:#REF!,[1]CRITERIOS!$BJ$11:$BJ$201),_xlfn.XLOOKUP(ARTÍCULOS!C644,[1]CRITERIOS!$K$25:$K$42,[1]CRITERIOS!$M$25:$M$42))),0),(E644+V644-_xlfn.XLOOKUP(A644,'[1]DATOS PBI Artículos'!$A$4:$A$4,'[1]DATOS PBI Artículos'!$W$4:$W$4))/N644)</f>
        <v>#N/A</v>
      </c>
      <c r="AC644" s="33" t="e">
        <f>IF(N644=0,"",(ROUNDUP((N644/2)/(_xlfn.XLOOKUP(A644,'[1]DATOS PBI Artículos'!$A$4:$A$4,'[1]DATOS PBI Artículos'!$Z$4:$Z$4)*_xlfn.XLOOKUP(_xlfn.XLOOKUP(A644,'[1]DATOS PBI Artículos'!$A$4:$A$4,'[1]DATOS PBI Artículos'!$Y$4:$Y$4),[1]CRITERIOS!$P$79:$P$123,[1]CRITERIOS!$S$79:$S$123)),0)*[1]CRITERIOS!$M$80*([1]CRITERIOS!$M$110/[1]CRITERIOS!$M$86)+(_xlfn.XLOOKUP(A644,'[1]DATOS PBI Artículos'!$A$4:$A$4,'[1]DATOS PBI Artículos'!$AA$4:$AA$4)*([1]CRITERIOS!$M$95+[1]CRITERIOS!$M$98)))/N644)</f>
        <v>#N/A</v>
      </c>
      <c r="AD644" s="33" t="e">
        <f>IF(N644=0,"",(ROUNDUP((N644/2)/(_xlfn.XLOOKUP(A644,'[1]DATOS PBI Artículos'!$A$4:$A$4,'[1]DATOS PBI Artículos'!$Z$4:$Z$4)*_xlfn.XLOOKUP(_xlfn.XLOOKUP(A644,'[1]DATOS PBI Artículos'!$A$4:$A$4,'[1]DATOS PBI Artículos'!$Y$4:$Y$4),[1]CRITERIOS!$P$79:$P$123,[1]CRITERIOS!$S$79:$S$123)),0)*[1]CRITERIOS!$M$80*([1]CRITERIOS!$M$89*[1]CRITERIOS!$M$92)+((_xlfn.XLOOKUP(A644,'[1]DATOS PBI Artículos'!$A$4:$A$4,'[1]DATOS PBI Artículos'!$AA$4:$AA$4)/2)*([1]CRITERIOS!$M$95+[1]CRITERIOS!$M$98)))/N644)</f>
        <v>#N/A</v>
      </c>
      <c r="AE644" s="39" t="e">
        <f>IF($R644="MTO","",
IF($H644=0,ROUNDUP(((_xlfn.XLOOKUP($A644,'[1]DATOS PBI Artículos'!$A:$A,'[1]DATOS PBI Artículos'!$AL:$AL))/(_xlfn.XLOOKUP($AF$1,[1]CRITERIOS!$S$16:$S$39,[1]CRITERIOS!$Y$16:$Y$39))*$J644+$Z644)/$G644,0)*$G644,
((_xlfn.XLOOKUP($A644,'[1]DATOS PBI Artículos'!$A:$A,'[1]DATOS PBI Artículos'!$AL:$AL))/(_xlfn.XLOOKUP($AF$1,[1]CRITERIOS!$S$16:$S$39,[1]CRITERIOS!$Y$16:$Y$39))*$J644+$Z644)))</f>
        <v>#N/A</v>
      </c>
      <c r="AG644" s="39" t="e">
        <f>IF($R644="MTO","",
IF($H644=0,ROUNDUP(((_xlfn.XLOOKUP($A644,'[1]DATOS PBI Artículos'!$A:$A,'[1]DATOS PBI Artículos'!$AM:$AM))/(_xlfn.XLOOKUP($AH$1,[1]CRITERIOS!$S$16:$S$39,[1]CRITERIOS!$Y$16:$Y$39))*$J644+$Z644)/$G644,0)*$G644,
((_xlfn.XLOOKUP($A644,'[1]DATOS PBI Artículos'!$A:$A,'[1]DATOS PBI Artículos'!$AM:$AM))/(_xlfn.XLOOKUP($AH$1,[1]CRITERIOS!$S$16:$S$39,[1]CRITERIOS!$Y$16:$Y$39))*$J644+$Z644)))</f>
        <v>#N/A</v>
      </c>
      <c r="AI644" s="39" t="e">
        <f>IF($R644="MTO","",
IF($H644=0,ROUNDUP(((_xlfn.XLOOKUP($A644,'[1]DATOS PBI Artículos'!$A:$A,'[1]DATOS PBI Artículos'!$AN:$AN))/(_xlfn.XLOOKUP($AJ$1,[1]CRITERIOS!$S$16:$S$39,[1]CRITERIOS!$Y$16:$Y$39))*$J644+$Z644)/$G644,0)*$G644,
((_xlfn.XLOOKUP($A644,'[1]DATOS PBI Artículos'!$A:$A,'[1]DATOS PBI Artículos'!$AN:$AN))/(_xlfn.XLOOKUP($AJ$1,[1]CRITERIOS!$S$16:$S$39,[1]CRITERIOS!$Y$16:$Y$39))*$J644+$Z644)))</f>
        <v>#N/A</v>
      </c>
      <c r="AK644" s="39" t="e">
        <f>IF($R644="MTO","",
IF($H644=0,ROUNDUP(((_xlfn.XLOOKUP($A644,'[1]DATOS PBI Artículos'!$A:$A,'[1]DATOS PBI Artículos'!$AO:$AO))/(_xlfn.XLOOKUP($AL$1,[1]CRITERIOS!$S$16:$S$39,[1]CRITERIOS!$Y$16:$Y$39))*$J644+$Z644)/$G644,0)*$G644,
((_xlfn.XLOOKUP($A644,'[1]DATOS PBI Artículos'!$A:$A,'[1]DATOS PBI Artículos'!$AO:$AO))/(_xlfn.XLOOKUP($AL$1,[1]CRITERIOS!$S$16:$S$39,[1]CRITERIOS!$Y$16:$Y$39))*$J644+$Z644)))</f>
        <v>#N/A</v>
      </c>
    </row>
    <row r="645" spans="1:37" ht="25.8" hidden="1" x14ac:dyDescent="0.4">
      <c r="A645" s="41"/>
      <c r="B645" s="33">
        <f>_xlfn.XLOOKUP($A645,'[1]DATOS PBI Artículos'!A:A,'[1]DATOS PBI Artículos'!B:B)</f>
        <v>0</v>
      </c>
      <c r="C645" s="33">
        <f>_xlfn.XLOOKUP($A645,'[1]DATOS PBI Artículos'!A:A,'[1]DATOS PBI Artículos'!C:C)</f>
        <v>0</v>
      </c>
      <c r="D645" s="33">
        <f>_xlfn.XLOOKUP(A645,'[1]DATOS PBI Artículos'!A:A,'[1]DATOS PBI Artículos'!T:T)</f>
        <v>0</v>
      </c>
      <c r="E645" s="34">
        <f>IF(_xlfn.XLOOKUP($A645,'[1]DATOS PBI Artículos'!A:A,'[1]DATOS PBI Artículos'!AK:AK)="",_xlfn.XLOOKUP($A645,'[1]DATOS PBI Artículos'!A:A,'[1]DATOS PBI Artículos'!AJ:AJ),_xlfn.XLOOKUP($A645,'[1]DATOS PBI Artículos'!A:A,'[1]DATOS PBI Artículos'!AK:AK))</f>
        <v>0</v>
      </c>
      <c r="F645" s="35">
        <f>_xlfn.XLOOKUP($A645,'[1]DATOS PBI Artículos'!A:A,'[1]DATOS PBI Artículos'!AP:AP)</f>
        <v>0</v>
      </c>
      <c r="G645" s="34">
        <f>_xlfn.XLOOKUP($A645,'[1]DATOS PBI Artículos'!A:A,'[1]DATOS PBI Artículos'!AR:AR)</f>
        <v>0</v>
      </c>
      <c r="H645" s="34">
        <f>_xlfn.XLOOKUP($A645,'[1]DATOS PBI Artículos'!A:A,'[1]DATOS PBI Artículos'!AT:AT)</f>
        <v>0</v>
      </c>
      <c r="I645" s="34">
        <f>_xlfn.XLOOKUP($A645,'[1]DATOS PBI Artículos'!A:A,'[1]DATOS PBI Artículos'!AS:AS)</f>
        <v>0</v>
      </c>
      <c r="J645" s="35">
        <f>IF(COUNTIF([1]CRITERIOS!$F$179:$F$199,$A645)&gt;=1,
 IF(O645&lt;&gt;"",
    (O645/_xlfn.XLOOKUP(CONCATENATE(A645,L645),[1]MÁQUINAS!A:A,[1]MÁQUINAS!D:D))/24,
    (N645/_xlfn.XLOOKUP(CONCATENATE(A645,L645),[1]MÁQUINAS!A:A,[1]MÁQUINAS!D:D))/24),
  _xlfn.XLOOKUP($A645,'[1]DATOS PBI Artículos'!A:A,'[1]DATOS PBI Artículos'!AU:AU))</f>
        <v>0</v>
      </c>
      <c r="K645" s="36">
        <f>_xlfn.XLOOKUP($A645,'[1]DATOS PBI Artículos'!A:A,'[1]DATOS PBI Artículos'!AV:AV)</f>
        <v>0</v>
      </c>
      <c r="L645" s="33">
        <f>_xlfn.XLOOKUP(A645,[1]MÁQUINAS!B:B,[1]MÁQUINAS!C:C)</f>
        <v>0</v>
      </c>
      <c r="M645" s="34">
        <f t="array" ref="M645">_xlfn.XLOOKUP(A645,'[1]DATOS PBI Artículos'!A:A,'[1]DATOS PBI Artículos'!AX:$AX)</f>
        <v>0</v>
      </c>
      <c r="N645" s="37" t="e">
        <f>IF(I645="DV",
E645,
IF(COUNTIF([1]CRITERIOS!$I$179:$I$199,$A645)&gt;=1,
_xlfn.XLOOKUP($A645,[1]CRITERIOS!$I$179:$I$199,[1]CRITERIOS!$J$179:$J$199),
IF(COUNTIF([1]CRITERIOS!$L$179:$L$199,$A645)&gt;=1,
_xlfn.CEILING.MATH(IF($M645&gt;$E645,
$E645,
IF($M645&lt;$E645/ROUNDDOWN([1]CRITERIOS!$M$16/_xlfn.XLOOKUP($C645,[1]CRITERIOS!$K$25:$K$42,[1]CRITERIOS!$M$25:$M$42),
1),
E645/ROUNDDOWN([1]CRITERIOS!$M$16/_xlfn.XLOOKUP($C645,[1]CRITERIOS!$K$25:$K$42,[1]CRITERIOS!$M$25:$M$42),
1),
$M645)),
_xlfn.XLOOKUP($A645,[1]CRITERIOS!$L$179:$L$200,[1]CRITERIOS!$M$179:$M$200)),
_xlfn.CEILING.MATH(IF($M645&gt;$E645,
$E645,
IF($M645&lt;$E645/ROUNDDOWN([1]CRITERIOS!$M$16/_xlfn.XLOOKUP($C645,[1]CRITERIOS!$K$25:$K$42,[1]CRITERIOS!$M$25:$M$42),
1),
E645/ROUNDDOWN([1]CRITERIOS!$M$16/_xlfn.XLOOKUP($C645,[1]CRITERIOS!$K$25:$K$42,[1]CRITERIOS!$M$25:$M$42),
1),
$M645)),_xlfn.XLOOKUP(A645,'[1]DATOS PBI Artículos'!A:A,'[1]DATOS PBI Artículos'!Z:Z
)))))</f>
        <v>#N/A</v>
      </c>
      <c r="Q645" s="38" t="e">
        <f>IF(AND(O645="",N645=0),
0,
   IF(COUNTIF([1]CRITERIOS!$F$179:$F$199,$A645)&gt;=1,
   1,
   IF(R645="MTO",
      $D645,
      ROUNDUP(
                    IF(($E645-SUMIF('[1]DATOS PBI Artículos'!A:A,A645,'[1]DATOS PBI Artículos'!X:X)+($V645-_xlfn.XLOOKUP(A645,'[1]DATOS PBI Artículos'!A:A,'[1]DATOS PBI Artículos'!W:W)))&lt;0,
                    0,
                    IF(($E645-SUMIF('[1]DATOS PBI Artículos'!A:A,A645,'[1]DATOS PBI Artículos'!X:X)+$V645-_xlfn.XLOOKUP($A645,'[1]DATOS PBI Artículos'!A:A,'[1]DATOS PBI Artículos'!W:W))/IF($O645="",$N645,$O645)&gt;ROUNDUP([1]CRITERIOS!$M$16/(IF(COUNTIF([1]CRITERIOS!$BG$11:$BG$201,L645)&gt;=1,_xlfn.XLOOKUP($C645,[1]CRITERIOS!$K$25:$K$42,[1]CRITERIOS!$M$25:$M$42),_xlfn.XLOOKUP($C645,[1]CRITERIOS!$K$25:$K$42,[1]CRITERIOS!$M$25:$M$42))),0),
                    ROUNDUP([1]CRITERIOS!$M$16/(IF(COUNTIF([1]CRITERIOS!$BG$11:$BG$201,$L645)&gt;=1,_xlfn.XLOOKUP($C645,[1]CRITERIOS!$K$25:$K$42,[1]CRITERIOS!$M$25:$M$42),_xlfn.XLOOKUP($C645,[1]CRITERIOS!$K$25:$K$42,[1]CRITERIOS!$M$25:$M$42))),0),
                    (E645+V645-SUMIF('[1]DATOS PBI Artículos'!A:A,A645,'[1]DATOS PBI Artículos'!X:X)-_xlfn.XLOOKUP(A645,'[1]DATOS PBI Artículos'!A:A,'[1]DATOS PBI Artículos'!W:W))/IF($O645="",$N645,$O645))),0))))</f>
        <v>#N/A</v>
      </c>
      <c r="R645" s="33" t="e">
        <f>IF(U645&lt;&gt;"",U645,IF(F645="DV","MTO",IF(N645=0,"MTO",_xlfn.XLOOKUP(CONCATENATE(S645,T645),[1]CRITERIOS!$K$160:$K$168,[1]CRITERIOS!$N$160:$N$168))))</f>
        <v>#N/A</v>
      </c>
      <c r="S645" s="33" t="e">
        <f>IF(G645="DV","MTO",IF(N645=0,"MTO",IF(OR(AND(N645=0,O645=""),IF(O645="",G645/N645,G645/O645)&gt;[1]CRITERIOS!$G$163),"MTO",IF(IF(O645="",G645/N645,G645/O645)&lt;[1]CRITERIOS!$H$161,"MTS","MTOS"))))</f>
        <v>#N/A</v>
      </c>
      <c r="T645" s="33" t="e">
        <f>IF(F645="DV","MTO",IF(OR(AND($N645=0,O645=""),$F645/$J645&gt;[1]CRITERIOS!$G$170,$F645="DV"),"MTO",IF($F645/$J645&lt;[1]CRITERIOS!$H$168,"MTS","MTOS")))</f>
        <v>#N/A</v>
      </c>
      <c r="V645" s="34" t="e">
        <f t="shared" si="31"/>
        <v>#N/A</v>
      </c>
      <c r="X645" s="34" t="e">
        <f t="shared" si="32"/>
        <v>#N/A</v>
      </c>
      <c r="Y645" s="34" t="e">
        <f t="shared" si="33"/>
        <v>#N/A</v>
      </c>
      <c r="Z645" s="34" t="e">
        <f>IF($R645="MTO",
0,
($H645+$K645*($E645/[1]CRITERIOS!$M$16))/[1]CRITERIOS!$X$48)</f>
        <v>#N/A</v>
      </c>
      <c r="AA645" s="34" t="e">
        <f>ROUNDUP(($Y645/_xlfn.XLOOKUP($A645,'[1]DATOS PBI Artículos'!$A$4:$A$4,'[1]DATOS PBI Artículos'!$Z$4:$Z$4))/_xlfn.XLOOKUP(_xlfn.XLOOKUP($A645,'[1]DATOS PBI Artículos'!$A$4:$A$4,'[1]DATOS PBI Artículos'!$Y$4:$Y$4),[1]CRITERIOS!$P$79:$P$123,[1]CRITERIOS!$S$79:$S$123,),0)</f>
        <v>#N/A</v>
      </c>
      <c r="AB645" s="33" t="e">
        <f t="array" ref="AB645">IF((E645+V645-_xlfn.XLOOKUP(A645,'[1]DATOS PBI Artículos'!$A$4:$A$4,'[1]DATOS PBI Artículos'!$W$4:$W$4))/N645&gt;ROUNDUP([1]CRITERIOS!$M$16/(IF(COUNTIF([1]CRITERIOS!$BG$11:$BG$201,L645)&gt;=1,_xlfn.XLOOKUP(ARTÍCULOS!L645,[1]CRITERIOS!$BG$11:$BG$201,[1]CRITERIOS!$BJ$11:$BJ$201),_xlfn.XLOOKUP(ARTÍCULOS!C645,[1]CRITERIOS!$K$25:$K$42,[1]CRITERIOS!$M$25:$M$42))),0),ROUNDUP([1]CRITERIOS!$M$16/(IF(COUNTIF([1]CRITERIOS!$BG$11:$BG$201,L645)&gt;=1,_xlfn.XLOOKUP(ARTÍCULOS!L645,[1]CRITERIOS!$BG$11:$BG$201:#REF!,[1]CRITERIOS!$BJ$11:$BJ$201),_xlfn.XLOOKUP(ARTÍCULOS!C645,[1]CRITERIOS!$K$25:$K$42,[1]CRITERIOS!$M$25:$M$42))),0),(E645+V645-_xlfn.XLOOKUP(A645,'[1]DATOS PBI Artículos'!$A$4:$A$4,'[1]DATOS PBI Artículos'!$W$4:$W$4))/N645)</f>
        <v>#N/A</v>
      </c>
      <c r="AC645" s="33" t="e">
        <f>IF(N645=0,"",(ROUNDUP((N645/2)/(_xlfn.XLOOKUP(A645,'[1]DATOS PBI Artículos'!$A$4:$A$4,'[1]DATOS PBI Artículos'!$Z$4:$Z$4)*_xlfn.XLOOKUP(_xlfn.XLOOKUP(A645,'[1]DATOS PBI Artículos'!$A$4:$A$4,'[1]DATOS PBI Artículos'!$Y$4:$Y$4),[1]CRITERIOS!$P$79:$P$123,[1]CRITERIOS!$S$79:$S$123)),0)*[1]CRITERIOS!$M$80*([1]CRITERIOS!$M$110/[1]CRITERIOS!$M$86)+(_xlfn.XLOOKUP(A645,'[1]DATOS PBI Artículos'!$A$4:$A$4,'[1]DATOS PBI Artículos'!$AA$4:$AA$4)*([1]CRITERIOS!$M$95+[1]CRITERIOS!$M$98)))/N645)</f>
        <v>#N/A</v>
      </c>
      <c r="AD645" s="33" t="e">
        <f>IF(N645=0,"",(ROUNDUP((N645/2)/(_xlfn.XLOOKUP(A645,'[1]DATOS PBI Artículos'!$A$4:$A$4,'[1]DATOS PBI Artículos'!$Z$4:$Z$4)*_xlfn.XLOOKUP(_xlfn.XLOOKUP(A645,'[1]DATOS PBI Artículos'!$A$4:$A$4,'[1]DATOS PBI Artículos'!$Y$4:$Y$4),[1]CRITERIOS!$P$79:$P$123,[1]CRITERIOS!$S$79:$S$123)),0)*[1]CRITERIOS!$M$80*([1]CRITERIOS!$M$89*[1]CRITERIOS!$M$92)+((_xlfn.XLOOKUP(A645,'[1]DATOS PBI Artículos'!$A$4:$A$4,'[1]DATOS PBI Artículos'!$AA$4:$AA$4)/2)*([1]CRITERIOS!$M$95+[1]CRITERIOS!$M$98)))/N645)</f>
        <v>#N/A</v>
      </c>
      <c r="AE645" s="39" t="e">
        <f>IF($R645="MTO","",
IF($H645=0,ROUNDUP(((_xlfn.XLOOKUP($A645,'[1]DATOS PBI Artículos'!$A:$A,'[1]DATOS PBI Artículos'!$AL:$AL))/(_xlfn.XLOOKUP($AF$1,[1]CRITERIOS!$S$16:$S$39,[1]CRITERIOS!$Y$16:$Y$39))*$J645+$Z645)/$G645,0)*$G645,
((_xlfn.XLOOKUP($A645,'[1]DATOS PBI Artículos'!$A:$A,'[1]DATOS PBI Artículos'!$AL:$AL))/(_xlfn.XLOOKUP($AF$1,[1]CRITERIOS!$S$16:$S$39,[1]CRITERIOS!$Y$16:$Y$39))*$J645+$Z645)))</f>
        <v>#N/A</v>
      </c>
      <c r="AG645" s="39" t="e">
        <f>IF($R645="MTO","",
IF($H645=0,ROUNDUP(((_xlfn.XLOOKUP($A645,'[1]DATOS PBI Artículos'!$A:$A,'[1]DATOS PBI Artículos'!$AM:$AM))/(_xlfn.XLOOKUP($AH$1,[1]CRITERIOS!$S$16:$S$39,[1]CRITERIOS!$Y$16:$Y$39))*$J645+$Z645)/$G645,0)*$G645,
((_xlfn.XLOOKUP($A645,'[1]DATOS PBI Artículos'!$A:$A,'[1]DATOS PBI Artículos'!$AM:$AM))/(_xlfn.XLOOKUP($AH$1,[1]CRITERIOS!$S$16:$S$39,[1]CRITERIOS!$Y$16:$Y$39))*$J645+$Z645)))</f>
        <v>#N/A</v>
      </c>
      <c r="AI645" s="39" t="e">
        <f>IF($R645="MTO","",
IF($H645=0,ROUNDUP(((_xlfn.XLOOKUP($A645,'[1]DATOS PBI Artículos'!$A:$A,'[1]DATOS PBI Artículos'!$AN:$AN))/(_xlfn.XLOOKUP($AJ$1,[1]CRITERIOS!$S$16:$S$39,[1]CRITERIOS!$Y$16:$Y$39))*$J645+$Z645)/$G645,0)*$G645,
((_xlfn.XLOOKUP($A645,'[1]DATOS PBI Artículos'!$A:$A,'[1]DATOS PBI Artículos'!$AN:$AN))/(_xlfn.XLOOKUP($AJ$1,[1]CRITERIOS!$S$16:$S$39,[1]CRITERIOS!$Y$16:$Y$39))*$J645+$Z645)))</f>
        <v>#N/A</v>
      </c>
      <c r="AK645" s="39" t="e">
        <f>IF($R645="MTO","",
IF($H645=0,ROUNDUP(((_xlfn.XLOOKUP($A645,'[1]DATOS PBI Artículos'!$A:$A,'[1]DATOS PBI Artículos'!$AO:$AO))/(_xlfn.XLOOKUP($AL$1,[1]CRITERIOS!$S$16:$S$39,[1]CRITERIOS!$Y$16:$Y$39))*$J645+$Z645)/$G645,0)*$G645,
((_xlfn.XLOOKUP($A645,'[1]DATOS PBI Artículos'!$A:$A,'[1]DATOS PBI Artículos'!$AO:$AO))/(_xlfn.XLOOKUP($AL$1,[1]CRITERIOS!$S$16:$S$39,[1]CRITERIOS!$Y$16:$Y$39))*$J645+$Z645)))</f>
        <v>#N/A</v>
      </c>
    </row>
    <row r="646" spans="1:37" ht="25.8" hidden="1" x14ac:dyDescent="0.4">
      <c r="A646" s="41"/>
      <c r="B646" s="33">
        <f>_xlfn.XLOOKUP($A646,'[1]DATOS PBI Artículos'!A:A,'[1]DATOS PBI Artículos'!B:B)</f>
        <v>0</v>
      </c>
      <c r="C646" s="33">
        <f>_xlfn.XLOOKUP($A646,'[1]DATOS PBI Artículos'!A:A,'[1]DATOS PBI Artículos'!C:C)</f>
        <v>0</v>
      </c>
      <c r="D646" s="33">
        <f>_xlfn.XLOOKUP(A646,'[1]DATOS PBI Artículos'!A:A,'[1]DATOS PBI Artículos'!T:T)</f>
        <v>0</v>
      </c>
      <c r="E646" s="34">
        <f>IF(_xlfn.XLOOKUP($A646,'[1]DATOS PBI Artículos'!A:A,'[1]DATOS PBI Artículos'!AK:AK)="",_xlfn.XLOOKUP($A646,'[1]DATOS PBI Artículos'!A:A,'[1]DATOS PBI Artículos'!AJ:AJ),_xlfn.XLOOKUP($A646,'[1]DATOS PBI Artículos'!A:A,'[1]DATOS PBI Artículos'!AK:AK))</f>
        <v>0</v>
      </c>
      <c r="F646" s="35">
        <f>_xlfn.XLOOKUP($A646,'[1]DATOS PBI Artículos'!A:A,'[1]DATOS PBI Artículos'!AP:AP)</f>
        <v>0</v>
      </c>
      <c r="G646" s="34">
        <f>_xlfn.XLOOKUP($A646,'[1]DATOS PBI Artículos'!A:A,'[1]DATOS PBI Artículos'!AR:AR)</f>
        <v>0</v>
      </c>
      <c r="H646" s="34">
        <f>_xlfn.XLOOKUP($A646,'[1]DATOS PBI Artículos'!A:A,'[1]DATOS PBI Artículos'!AT:AT)</f>
        <v>0</v>
      </c>
      <c r="I646" s="34">
        <f>_xlfn.XLOOKUP($A646,'[1]DATOS PBI Artículos'!A:A,'[1]DATOS PBI Artículos'!AS:AS)</f>
        <v>0</v>
      </c>
      <c r="J646" s="35">
        <f>IF(COUNTIF([1]CRITERIOS!$F$179:$F$199,$A646)&gt;=1,
 IF(O646&lt;&gt;"",
    (O646/_xlfn.XLOOKUP(CONCATENATE(A646,L646),[1]MÁQUINAS!A:A,[1]MÁQUINAS!D:D))/24,
    (N646/_xlfn.XLOOKUP(CONCATENATE(A646,L646),[1]MÁQUINAS!A:A,[1]MÁQUINAS!D:D))/24),
  _xlfn.XLOOKUP($A646,'[1]DATOS PBI Artículos'!A:A,'[1]DATOS PBI Artículos'!AU:AU))</f>
        <v>0</v>
      </c>
      <c r="K646" s="36">
        <f>_xlfn.XLOOKUP($A646,'[1]DATOS PBI Artículos'!A:A,'[1]DATOS PBI Artículos'!AV:AV)</f>
        <v>0</v>
      </c>
      <c r="L646" s="33">
        <f>_xlfn.XLOOKUP(A646,[1]MÁQUINAS!B:B,[1]MÁQUINAS!C:C)</f>
        <v>0</v>
      </c>
      <c r="M646" s="34">
        <f t="array" ref="M646">_xlfn.XLOOKUP(A646,'[1]DATOS PBI Artículos'!A:A,'[1]DATOS PBI Artículos'!AX:$AX)</f>
        <v>0</v>
      </c>
      <c r="N646" s="37" t="e">
        <f>IF(I646="DV",
E646,
IF(COUNTIF([1]CRITERIOS!$I$179:$I$199,$A646)&gt;=1,
_xlfn.XLOOKUP($A646,[1]CRITERIOS!$I$179:$I$199,[1]CRITERIOS!$J$179:$J$199),
IF(COUNTIF([1]CRITERIOS!$L$179:$L$199,$A646)&gt;=1,
_xlfn.CEILING.MATH(IF($M646&gt;$E646,
$E646,
IF($M646&lt;$E646/ROUNDDOWN([1]CRITERIOS!$M$16/_xlfn.XLOOKUP($C646,[1]CRITERIOS!$K$25:$K$42,[1]CRITERIOS!$M$25:$M$42),
1),
E646/ROUNDDOWN([1]CRITERIOS!$M$16/_xlfn.XLOOKUP($C646,[1]CRITERIOS!$K$25:$K$42,[1]CRITERIOS!$M$25:$M$42),
1),
$M646)),
_xlfn.XLOOKUP($A646,[1]CRITERIOS!$L$179:$L$200,[1]CRITERIOS!$M$179:$M$200)),
_xlfn.CEILING.MATH(IF($M646&gt;$E646,
$E646,
IF($M646&lt;$E646/ROUNDDOWN([1]CRITERIOS!$M$16/_xlfn.XLOOKUP($C646,[1]CRITERIOS!$K$25:$K$42,[1]CRITERIOS!$M$25:$M$42),
1),
E646/ROUNDDOWN([1]CRITERIOS!$M$16/_xlfn.XLOOKUP($C646,[1]CRITERIOS!$K$25:$K$42,[1]CRITERIOS!$M$25:$M$42),
1),
$M646)),_xlfn.XLOOKUP(A646,'[1]DATOS PBI Artículos'!A:A,'[1]DATOS PBI Artículos'!Z:Z
)))))</f>
        <v>#N/A</v>
      </c>
      <c r="Q646" s="38" t="e">
        <f>IF(AND(O646="",N646=0),
0,
   IF(COUNTIF([1]CRITERIOS!$F$179:$F$199,$A646)&gt;=1,
   1,
   IF(R646="MTO",
      $D646,
      ROUNDUP(
                    IF(($E646-SUMIF('[1]DATOS PBI Artículos'!A:A,A646,'[1]DATOS PBI Artículos'!X:X)+($V646-_xlfn.XLOOKUP(A646,'[1]DATOS PBI Artículos'!A:A,'[1]DATOS PBI Artículos'!W:W)))&lt;0,
                    0,
                    IF(($E646-SUMIF('[1]DATOS PBI Artículos'!A:A,A646,'[1]DATOS PBI Artículos'!X:X)+$V646-_xlfn.XLOOKUP($A646,'[1]DATOS PBI Artículos'!A:A,'[1]DATOS PBI Artículos'!W:W))/IF($O646="",$N646,$O646)&gt;ROUNDUP([1]CRITERIOS!$M$16/(IF(COUNTIF([1]CRITERIOS!$BG$11:$BG$201,L646)&gt;=1,_xlfn.XLOOKUP($C646,[1]CRITERIOS!$K$25:$K$42,[1]CRITERIOS!$M$25:$M$42),_xlfn.XLOOKUP($C646,[1]CRITERIOS!$K$25:$K$42,[1]CRITERIOS!$M$25:$M$42))),0),
                    ROUNDUP([1]CRITERIOS!$M$16/(IF(COUNTIF([1]CRITERIOS!$BG$11:$BG$201,$L646)&gt;=1,_xlfn.XLOOKUP($C646,[1]CRITERIOS!$K$25:$K$42,[1]CRITERIOS!$M$25:$M$42),_xlfn.XLOOKUP($C646,[1]CRITERIOS!$K$25:$K$42,[1]CRITERIOS!$M$25:$M$42))),0),
                    (E646+V646-SUMIF('[1]DATOS PBI Artículos'!A:A,A646,'[1]DATOS PBI Artículos'!X:X)-_xlfn.XLOOKUP(A646,'[1]DATOS PBI Artículos'!A:A,'[1]DATOS PBI Artículos'!W:W))/IF($O646="",$N646,$O646))),0))))</f>
        <v>#N/A</v>
      </c>
      <c r="R646" s="33" t="e">
        <f>IF(U646&lt;&gt;"",U646,IF(F646="DV","MTO",IF(N646=0,"MTO",_xlfn.XLOOKUP(CONCATENATE(S646,T646),[1]CRITERIOS!$K$160:$K$168,[1]CRITERIOS!$N$160:$N$168))))</f>
        <v>#N/A</v>
      </c>
      <c r="S646" s="33" t="e">
        <f>IF(G646="DV","MTO",IF(N646=0,"MTO",IF(OR(AND(N646=0,O646=""),IF(O646="",G646/N646,G646/O646)&gt;[1]CRITERIOS!$G$163),"MTO",IF(IF(O646="",G646/N646,G646/O646)&lt;[1]CRITERIOS!$H$161,"MTS","MTOS"))))</f>
        <v>#N/A</v>
      </c>
      <c r="T646" s="33" t="e">
        <f>IF(F646="DV","MTO",IF(OR(AND($N646=0,O646=""),$F646/$J646&gt;[1]CRITERIOS!$G$170,$F646="DV"),"MTO",IF($F646/$J646&lt;[1]CRITERIOS!$H$168,"MTS","MTOS")))</f>
        <v>#N/A</v>
      </c>
      <c r="V646" s="34" t="e">
        <f t="shared" si="31"/>
        <v>#N/A</v>
      </c>
      <c r="X646" s="34" t="e">
        <f t="shared" si="32"/>
        <v>#N/A</v>
      </c>
      <c r="Y646" s="34" t="e">
        <f t="shared" si="33"/>
        <v>#N/A</v>
      </c>
      <c r="Z646" s="34" t="e">
        <f>IF($R646="MTO",
0,
($H646+$K646*($E646/[1]CRITERIOS!$M$16))/[1]CRITERIOS!$X$48)</f>
        <v>#N/A</v>
      </c>
      <c r="AA646" s="34" t="e">
        <f>ROUNDUP(($Y646/_xlfn.XLOOKUP($A646,'[1]DATOS PBI Artículos'!$A$4:$A$4,'[1]DATOS PBI Artículos'!$Z$4:$Z$4))/_xlfn.XLOOKUP(_xlfn.XLOOKUP($A646,'[1]DATOS PBI Artículos'!$A$4:$A$4,'[1]DATOS PBI Artículos'!$Y$4:$Y$4),[1]CRITERIOS!$P$79:$P$123,[1]CRITERIOS!$S$79:$S$123,),0)</f>
        <v>#N/A</v>
      </c>
      <c r="AB646" s="33" t="e">
        <f t="array" ref="AB646">IF((E646+V646-_xlfn.XLOOKUP(A646,'[1]DATOS PBI Artículos'!$A$4:$A$4,'[1]DATOS PBI Artículos'!$W$4:$W$4))/N646&gt;ROUNDUP([1]CRITERIOS!$M$16/(IF(COUNTIF([1]CRITERIOS!$BG$11:$BG$201,L646)&gt;=1,_xlfn.XLOOKUP(ARTÍCULOS!L646,[1]CRITERIOS!$BG$11:$BG$201,[1]CRITERIOS!$BJ$11:$BJ$201),_xlfn.XLOOKUP(ARTÍCULOS!C646,[1]CRITERIOS!$K$25:$K$42,[1]CRITERIOS!$M$25:$M$42))),0),ROUNDUP([1]CRITERIOS!$M$16/(IF(COUNTIF([1]CRITERIOS!$BG$11:$BG$201,L646)&gt;=1,_xlfn.XLOOKUP(ARTÍCULOS!L646,[1]CRITERIOS!$BG$11:$BG$201:#REF!,[1]CRITERIOS!$BJ$11:$BJ$201),_xlfn.XLOOKUP(ARTÍCULOS!C646,[1]CRITERIOS!$K$25:$K$42,[1]CRITERIOS!$M$25:$M$42))),0),(E646+V646-_xlfn.XLOOKUP(A646,'[1]DATOS PBI Artículos'!$A$4:$A$4,'[1]DATOS PBI Artículos'!$W$4:$W$4))/N646)</f>
        <v>#N/A</v>
      </c>
      <c r="AC646" s="33" t="e">
        <f>IF(N646=0,"",(ROUNDUP((N646/2)/(_xlfn.XLOOKUP(A646,'[1]DATOS PBI Artículos'!$A$4:$A$4,'[1]DATOS PBI Artículos'!$Z$4:$Z$4)*_xlfn.XLOOKUP(_xlfn.XLOOKUP(A646,'[1]DATOS PBI Artículos'!$A$4:$A$4,'[1]DATOS PBI Artículos'!$Y$4:$Y$4),[1]CRITERIOS!$P$79:$P$123,[1]CRITERIOS!$S$79:$S$123)),0)*[1]CRITERIOS!$M$80*([1]CRITERIOS!$M$110/[1]CRITERIOS!$M$86)+(_xlfn.XLOOKUP(A646,'[1]DATOS PBI Artículos'!$A$4:$A$4,'[1]DATOS PBI Artículos'!$AA$4:$AA$4)*([1]CRITERIOS!$M$95+[1]CRITERIOS!$M$98)))/N646)</f>
        <v>#N/A</v>
      </c>
      <c r="AD646" s="33" t="e">
        <f>IF(N646=0,"",(ROUNDUP((N646/2)/(_xlfn.XLOOKUP(A646,'[1]DATOS PBI Artículos'!$A$4:$A$4,'[1]DATOS PBI Artículos'!$Z$4:$Z$4)*_xlfn.XLOOKUP(_xlfn.XLOOKUP(A646,'[1]DATOS PBI Artículos'!$A$4:$A$4,'[1]DATOS PBI Artículos'!$Y$4:$Y$4),[1]CRITERIOS!$P$79:$P$123,[1]CRITERIOS!$S$79:$S$123)),0)*[1]CRITERIOS!$M$80*([1]CRITERIOS!$M$89*[1]CRITERIOS!$M$92)+((_xlfn.XLOOKUP(A646,'[1]DATOS PBI Artículos'!$A$4:$A$4,'[1]DATOS PBI Artículos'!$AA$4:$AA$4)/2)*([1]CRITERIOS!$M$95+[1]CRITERIOS!$M$98)))/N646)</f>
        <v>#N/A</v>
      </c>
      <c r="AE646" s="39" t="e">
        <f>IF($R646="MTO","",
IF($H646=0,ROUNDUP(((_xlfn.XLOOKUP($A646,'[1]DATOS PBI Artículos'!$A:$A,'[1]DATOS PBI Artículos'!$AL:$AL))/(_xlfn.XLOOKUP($AF$1,[1]CRITERIOS!$S$16:$S$39,[1]CRITERIOS!$Y$16:$Y$39))*$J646+$Z646)/$G646,0)*$G646,
((_xlfn.XLOOKUP($A646,'[1]DATOS PBI Artículos'!$A:$A,'[1]DATOS PBI Artículos'!$AL:$AL))/(_xlfn.XLOOKUP($AF$1,[1]CRITERIOS!$S$16:$S$39,[1]CRITERIOS!$Y$16:$Y$39))*$J646+$Z646)))</f>
        <v>#N/A</v>
      </c>
      <c r="AG646" s="39" t="e">
        <f>IF($R646="MTO","",
IF($H646=0,ROUNDUP(((_xlfn.XLOOKUP($A646,'[1]DATOS PBI Artículos'!$A:$A,'[1]DATOS PBI Artículos'!$AM:$AM))/(_xlfn.XLOOKUP($AH$1,[1]CRITERIOS!$S$16:$S$39,[1]CRITERIOS!$Y$16:$Y$39))*$J646+$Z646)/$G646,0)*$G646,
((_xlfn.XLOOKUP($A646,'[1]DATOS PBI Artículos'!$A:$A,'[1]DATOS PBI Artículos'!$AM:$AM))/(_xlfn.XLOOKUP($AH$1,[1]CRITERIOS!$S$16:$S$39,[1]CRITERIOS!$Y$16:$Y$39))*$J646+$Z646)))</f>
        <v>#N/A</v>
      </c>
      <c r="AI646" s="39" t="e">
        <f>IF($R646="MTO","",
IF($H646=0,ROUNDUP(((_xlfn.XLOOKUP($A646,'[1]DATOS PBI Artículos'!$A:$A,'[1]DATOS PBI Artículos'!$AN:$AN))/(_xlfn.XLOOKUP($AJ$1,[1]CRITERIOS!$S$16:$S$39,[1]CRITERIOS!$Y$16:$Y$39))*$J646+$Z646)/$G646,0)*$G646,
((_xlfn.XLOOKUP($A646,'[1]DATOS PBI Artículos'!$A:$A,'[1]DATOS PBI Artículos'!$AN:$AN))/(_xlfn.XLOOKUP($AJ$1,[1]CRITERIOS!$S$16:$S$39,[1]CRITERIOS!$Y$16:$Y$39))*$J646+$Z646)))</f>
        <v>#N/A</v>
      </c>
      <c r="AK646" s="39" t="e">
        <f>IF($R646="MTO","",
IF($H646=0,ROUNDUP(((_xlfn.XLOOKUP($A646,'[1]DATOS PBI Artículos'!$A:$A,'[1]DATOS PBI Artículos'!$AO:$AO))/(_xlfn.XLOOKUP($AL$1,[1]CRITERIOS!$S$16:$S$39,[1]CRITERIOS!$Y$16:$Y$39))*$J646+$Z646)/$G646,0)*$G646,
((_xlfn.XLOOKUP($A646,'[1]DATOS PBI Artículos'!$A:$A,'[1]DATOS PBI Artículos'!$AO:$AO))/(_xlfn.XLOOKUP($AL$1,[1]CRITERIOS!$S$16:$S$39,[1]CRITERIOS!$Y$16:$Y$39))*$J646+$Z646)))</f>
        <v>#N/A</v>
      </c>
    </row>
    <row r="647" spans="1:37" ht="25.8" hidden="1" x14ac:dyDescent="0.4">
      <c r="A647" s="41"/>
      <c r="B647" s="33">
        <f>_xlfn.XLOOKUP($A647,'[1]DATOS PBI Artículos'!A:A,'[1]DATOS PBI Artículos'!B:B)</f>
        <v>0</v>
      </c>
      <c r="C647" s="33">
        <f>_xlfn.XLOOKUP($A647,'[1]DATOS PBI Artículos'!A:A,'[1]DATOS PBI Artículos'!C:C)</f>
        <v>0</v>
      </c>
      <c r="D647" s="33">
        <f>_xlfn.XLOOKUP(A647,'[1]DATOS PBI Artículos'!A:A,'[1]DATOS PBI Artículos'!T:T)</f>
        <v>0</v>
      </c>
      <c r="E647" s="34">
        <f>IF(_xlfn.XLOOKUP($A647,'[1]DATOS PBI Artículos'!A:A,'[1]DATOS PBI Artículos'!AK:AK)="",_xlfn.XLOOKUP($A647,'[1]DATOS PBI Artículos'!A:A,'[1]DATOS PBI Artículos'!AJ:AJ),_xlfn.XLOOKUP($A647,'[1]DATOS PBI Artículos'!A:A,'[1]DATOS PBI Artículos'!AK:AK))</f>
        <v>0</v>
      </c>
      <c r="F647" s="35">
        <f>_xlfn.XLOOKUP($A647,'[1]DATOS PBI Artículos'!A:A,'[1]DATOS PBI Artículos'!AP:AP)</f>
        <v>0</v>
      </c>
      <c r="G647" s="34">
        <f>_xlfn.XLOOKUP($A647,'[1]DATOS PBI Artículos'!A:A,'[1]DATOS PBI Artículos'!AR:AR)</f>
        <v>0</v>
      </c>
      <c r="H647" s="34">
        <f>_xlfn.XLOOKUP($A647,'[1]DATOS PBI Artículos'!A:A,'[1]DATOS PBI Artículos'!AT:AT)</f>
        <v>0</v>
      </c>
      <c r="I647" s="34">
        <f>_xlfn.XLOOKUP($A647,'[1]DATOS PBI Artículos'!A:A,'[1]DATOS PBI Artículos'!AS:AS)</f>
        <v>0</v>
      </c>
      <c r="J647" s="35">
        <f>IF(COUNTIF([1]CRITERIOS!$F$179:$F$199,$A647)&gt;=1,
 IF(O647&lt;&gt;"",
    (O647/_xlfn.XLOOKUP(CONCATENATE(A647,L647),[1]MÁQUINAS!A:A,[1]MÁQUINAS!D:D))/24,
    (N647/_xlfn.XLOOKUP(CONCATENATE(A647,L647),[1]MÁQUINAS!A:A,[1]MÁQUINAS!D:D))/24),
  _xlfn.XLOOKUP($A647,'[1]DATOS PBI Artículos'!A:A,'[1]DATOS PBI Artículos'!AU:AU))</f>
        <v>0</v>
      </c>
      <c r="K647" s="36">
        <f>_xlfn.XLOOKUP($A647,'[1]DATOS PBI Artículos'!A:A,'[1]DATOS PBI Artículos'!AV:AV)</f>
        <v>0</v>
      </c>
      <c r="L647" s="33">
        <f>_xlfn.XLOOKUP(A647,[1]MÁQUINAS!B:B,[1]MÁQUINAS!C:C)</f>
        <v>0</v>
      </c>
      <c r="M647" s="34">
        <f t="array" ref="M647">_xlfn.XLOOKUP(A647,'[1]DATOS PBI Artículos'!A:A,'[1]DATOS PBI Artículos'!AX:$AX)</f>
        <v>0</v>
      </c>
      <c r="N647" s="37" t="e">
        <f>IF(I647="DV",
E647,
IF(COUNTIF([1]CRITERIOS!$I$179:$I$199,$A647)&gt;=1,
_xlfn.XLOOKUP($A647,[1]CRITERIOS!$I$179:$I$199,[1]CRITERIOS!$J$179:$J$199),
IF(COUNTIF([1]CRITERIOS!$L$179:$L$199,$A647)&gt;=1,
_xlfn.CEILING.MATH(IF($M647&gt;$E647,
$E647,
IF($M647&lt;$E647/ROUNDDOWN([1]CRITERIOS!$M$16/_xlfn.XLOOKUP($C647,[1]CRITERIOS!$K$25:$K$42,[1]CRITERIOS!$M$25:$M$42),
1),
E647/ROUNDDOWN([1]CRITERIOS!$M$16/_xlfn.XLOOKUP($C647,[1]CRITERIOS!$K$25:$K$42,[1]CRITERIOS!$M$25:$M$42),
1),
$M647)),
_xlfn.XLOOKUP($A647,[1]CRITERIOS!$L$179:$L$200,[1]CRITERIOS!$M$179:$M$200)),
_xlfn.CEILING.MATH(IF($M647&gt;$E647,
$E647,
IF($M647&lt;$E647/ROUNDDOWN([1]CRITERIOS!$M$16/_xlfn.XLOOKUP($C647,[1]CRITERIOS!$K$25:$K$42,[1]CRITERIOS!$M$25:$M$42),
1),
E647/ROUNDDOWN([1]CRITERIOS!$M$16/_xlfn.XLOOKUP($C647,[1]CRITERIOS!$K$25:$K$42,[1]CRITERIOS!$M$25:$M$42),
1),
$M647)),_xlfn.XLOOKUP(A647,'[1]DATOS PBI Artículos'!A:A,'[1]DATOS PBI Artículos'!Z:Z
)))))</f>
        <v>#N/A</v>
      </c>
      <c r="Q647" s="38" t="e">
        <f>IF(AND(O647="",N647=0),
0,
   IF(COUNTIF([1]CRITERIOS!$F$179:$F$199,$A647)&gt;=1,
   1,
   IF(R647="MTO",
      $D647,
      ROUNDUP(
                    IF(($E647-SUMIF('[1]DATOS PBI Artículos'!A:A,A647,'[1]DATOS PBI Artículos'!X:X)+($V647-_xlfn.XLOOKUP(A647,'[1]DATOS PBI Artículos'!A:A,'[1]DATOS PBI Artículos'!W:W)))&lt;0,
                    0,
                    IF(($E647-SUMIF('[1]DATOS PBI Artículos'!A:A,A647,'[1]DATOS PBI Artículos'!X:X)+$V647-_xlfn.XLOOKUP($A647,'[1]DATOS PBI Artículos'!A:A,'[1]DATOS PBI Artículos'!W:W))/IF($O647="",$N647,$O647)&gt;ROUNDUP([1]CRITERIOS!$M$16/(IF(COUNTIF([1]CRITERIOS!$BG$11:$BG$201,L647)&gt;=1,_xlfn.XLOOKUP($C647,[1]CRITERIOS!$K$25:$K$42,[1]CRITERIOS!$M$25:$M$42),_xlfn.XLOOKUP($C647,[1]CRITERIOS!$K$25:$K$42,[1]CRITERIOS!$M$25:$M$42))),0),
                    ROUNDUP([1]CRITERIOS!$M$16/(IF(COUNTIF([1]CRITERIOS!$BG$11:$BG$201,$L647)&gt;=1,_xlfn.XLOOKUP($C647,[1]CRITERIOS!$K$25:$K$42,[1]CRITERIOS!$M$25:$M$42),_xlfn.XLOOKUP($C647,[1]CRITERIOS!$K$25:$K$42,[1]CRITERIOS!$M$25:$M$42))),0),
                    (E647+V647-SUMIF('[1]DATOS PBI Artículos'!A:A,A647,'[1]DATOS PBI Artículos'!X:X)-_xlfn.XLOOKUP(A647,'[1]DATOS PBI Artículos'!A:A,'[1]DATOS PBI Artículos'!W:W))/IF($O647="",$N647,$O647))),0))))</f>
        <v>#N/A</v>
      </c>
      <c r="R647" s="33" t="e">
        <f>IF(U647&lt;&gt;"",U647,IF(F647="DV","MTO",IF(N647=0,"MTO",_xlfn.XLOOKUP(CONCATENATE(S647,T647),[1]CRITERIOS!$K$160:$K$168,[1]CRITERIOS!$N$160:$N$168))))</f>
        <v>#N/A</v>
      </c>
      <c r="S647" s="33" t="e">
        <f>IF(G647="DV","MTO",IF(N647=0,"MTO",IF(OR(AND(N647=0,O647=""),IF(O647="",G647/N647,G647/O647)&gt;[1]CRITERIOS!$G$163),"MTO",IF(IF(O647="",G647/N647,G647/O647)&lt;[1]CRITERIOS!$H$161,"MTS","MTOS"))))</f>
        <v>#N/A</v>
      </c>
      <c r="T647" s="33" t="e">
        <f>IF(F647="DV","MTO",IF(OR(AND($N647=0,O647=""),$F647/$J647&gt;[1]CRITERIOS!$G$170,$F647="DV"),"MTO",IF($F647/$J647&lt;[1]CRITERIOS!$H$168,"MTS","MTOS")))</f>
        <v>#N/A</v>
      </c>
      <c r="V647" s="34" t="e">
        <f t="shared" si="31"/>
        <v>#N/A</v>
      </c>
      <c r="X647" s="34" t="e">
        <f t="shared" si="32"/>
        <v>#N/A</v>
      </c>
      <c r="Y647" s="34" t="e">
        <f t="shared" si="33"/>
        <v>#N/A</v>
      </c>
      <c r="Z647" s="34" t="e">
        <f>IF($R647="MTO",
0,
($H647+$K647*($E647/[1]CRITERIOS!$M$16))/[1]CRITERIOS!$X$48)</f>
        <v>#N/A</v>
      </c>
      <c r="AA647" s="34" t="e">
        <f>ROUNDUP(($Y647/_xlfn.XLOOKUP($A647,'[1]DATOS PBI Artículos'!$A$4:$A$4,'[1]DATOS PBI Artículos'!$Z$4:$Z$4))/_xlfn.XLOOKUP(_xlfn.XLOOKUP($A647,'[1]DATOS PBI Artículos'!$A$4:$A$4,'[1]DATOS PBI Artículos'!$Y$4:$Y$4),[1]CRITERIOS!$P$79:$P$123,[1]CRITERIOS!$S$79:$S$123,),0)</f>
        <v>#N/A</v>
      </c>
      <c r="AB647" s="33" t="e">
        <f t="array" ref="AB647">IF((E647+V647-_xlfn.XLOOKUP(A647,'[1]DATOS PBI Artículos'!$A$4:$A$4,'[1]DATOS PBI Artículos'!$W$4:$W$4))/N647&gt;ROUNDUP([1]CRITERIOS!$M$16/(IF(COUNTIF([1]CRITERIOS!$BG$11:$BG$201,L647)&gt;=1,_xlfn.XLOOKUP(ARTÍCULOS!L647,[1]CRITERIOS!$BG$11:$BG$201,[1]CRITERIOS!$BJ$11:$BJ$201),_xlfn.XLOOKUP(ARTÍCULOS!C647,[1]CRITERIOS!$K$25:$K$42,[1]CRITERIOS!$M$25:$M$42))),0),ROUNDUP([1]CRITERIOS!$M$16/(IF(COUNTIF([1]CRITERIOS!$BG$11:$BG$201,L647)&gt;=1,_xlfn.XLOOKUP(ARTÍCULOS!L647,[1]CRITERIOS!$BG$11:$BG$201:#REF!,[1]CRITERIOS!$BJ$11:$BJ$201),_xlfn.XLOOKUP(ARTÍCULOS!C647,[1]CRITERIOS!$K$25:$K$42,[1]CRITERIOS!$M$25:$M$42))),0),(E647+V647-_xlfn.XLOOKUP(A647,'[1]DATOS PBI Artículos'!$A$4:$A$4,'[1]DATOS PBI Artículos'!$W$4:$W$4))/N647)</f>
        <v>#N/A</v>
      </c>
      <c r="AC647" s="33" t="e">
        <f>IF(N647=0,"",(ROUNDUP((N647/2)/(_xlfn.XLOOKUP(A647,'[1]DATOS PBI Artículos'!$A$4:$A$4,'[1]DATOS PBI Artículos'!$Z$4:$Z$4)*_xlfn.XLOOKUP(_xlfn.XLOOKUP(A647,'[1]DATOS PBI Artículos'!$A$4:$A$4,'[1]DATOS PBI Artículos'!$Y$4:$Y$4),[1]CRITERIOS!$P$79:$P$123,[1]CRITERIOS!$S$79:$S$123)),0)*[1]CRITERIOS!$M$80*([1]CRITERIOS!$M$110/[1]CRITERIOS!$M$86)+(_xlfn.XLOOKUP(A647,'[1]DATOS PBI Artículos'!$A$4:$A$4,'[1]DATOS PBI Artículos'!$AA$4:$AA$4)*([1]CRITERIOS!$M$95+[1]CRITERIOS!$M$98)))/N647)</f>
        <v>#N/A</v>
      </c>
      <c r="AD647" s="33" t="e">
        <f>IF(N647=0,"",(ROUNDUP((N647/2)/(_xlfn.XLOOKUP(A647,'[1]DATOS PBI Artículos'!$A$4:$A$4,'[1]DATOS PBI Artículos'!$Z$4:$Z$4)*_xlfn.XLOOKUP(_xlfn.XLOOKUP(A647,'[1]DATOS PBI Artículos'!$A$4:$A$4,'[1]DATOS PBI Artículos'!$Y$4:$Y$4),[1]CRITERIOS!$P$79:$P$123,[1]CRITERIOS!$S$79:$S$123)),0)*[1]CRITERIOS!$M$80*([1]CRITERIOS!$M$89*[1]CRITERIOS!$M$92)+((_xlfn.XLOOKUP(A647,'[1]DATOS PBI Artículos'!$A$4:$A$4,'[1]DATOS PBI Artículos'!$AA$4:$AA$4)/2)*([1]CRITERIOS!$M$95+[1]CRITERIOS!$M$98)))/N647)</f>
        <v>#N/A</v>
      </c>
      <c r="AE647" s="39" t="e">
        <f>IF($R647="MTO","",
IF($H647=0,ROUNDUP(((_xlfn.XLOOKUP($A647,'[1]DATOS PBI Artículos'!$A:$A,'[1]DATOS PBI Artículos'!$AL:$AL))/(_xlfn.XLOOKUP($AF$1,[1]CRITERIOS!$S$16:$S$39,[1]CRITERIOS!$Y$16:$Y$39))*$J647+$Z647)/$G647,0)*$G647,
((_xlfn.XLOOKUP($A647,'[1]DATOS PBI Artículos'!$A:$A,'[1]DATOS PBI Artículos'!$AL:$AL))/(_xlfn.XLOOKUP($AF$1,[1]CRITERIOS!$S$16:$S$39,[1]CRITERIOS!$Y$16:$Y$39))*$J647+$Z647)))</f>
        <v>#N/A</v>
      </c>
      <c r="AG647" s="39" t="e">
        <f>IF($R647="MTO","",
IF($H647=0,ROUNDUP(((_xlfn.XLOOKUP($A647,'[1]DATOS PBI Artículos'!$A:$A,'[1]DATOS PBI Artículos'!$AM:$AM))/(_xlfn.XLOOKUP($AH$1,[1]CRITERIOS!$S$16:$S$39,[1]CRITERIOS!$Y$16:$Y$39))*$J647+$Z647)/$G647,0)*$G647,
((_xlfn.XLOOKUP($A647,'[1]DATOS PBI Artículos'!$A:$A,'[1]DATOS PBI Artículos'!$AM:$AM))/(_xlfn.XLOOKUP($AH$1,[1]CRITERIOS!$S$16:$S$39,[1]CRITERIOS!$Y$16:$Y$39))*$J647+$Z647)))</f>
        <v>#N/A</v>
      </c>
      <c r="AI647" s="39" t="e">
        <f>IF($R647="MTO","",
IF($H647=0,ROUNDUP(((_xlfn.XLOOKUP($A647,'[1]DATOS PBI Artículos'!$A:$A,'[1]DATOS PBI Artículos'!$AN:$AN))/(_xlfn.XLOOKUP($AJ$1,[1]CRITERIOS!$S$16:$S$39,[1]CRITERIOS!$Y$16:$Y$39))*$J647+$Z647)/$G647,0)*$G647,
((_xlfn.XLOOKUP($A647,'[1]DATOS PBI Artículos'!$A:$A,'[1]DATOS PBI Artículos'!$AN:$AN))/(_xlfn.XLOOKUP($AJ$1,[1]CRITERIOS!$S$16:$S$39,[1]CRITERIOS!$Y$16:$Y$39))*$J647+$Z647)))</f>
        <v>#N/A</v>
      </c>
      <c r="AK647" s="39" t="e">
        <f>IF($R647="MTO","",
IF($H647=0,ROUNDUP(((_xlfn.XLOOKUP($A647,'[1]DATOS PBI Artículos'!$A:$A,'[1]DATOS PBI Artículos'!$AO:$AO))/(_xlfn.XLOOKUP($AL$1,[1]CRITERIOS!$S$16:$S$39,[1]CRITERIOS!$Y$16:$Y$39))*$J647+$Z647)/$G647,0)*$G647,
((_xlfn.XLOOKUP($A647,'[1]DATOS PBI Artículos'!$A:$A,'[1]DATOS PBI Artículos'!$AO:$AO))/(_xlfn.XLOOKUP($AL$1,[1]CRITERIOS!$S$16:$S$39,[1]CRITERIOS!$Y$16:$Y$39))*$J647+$Z647)))</f>
        <v>#N/A</v>
      </c>
    </row>
    <row r="648" spans="1:37" ht="25.8" hidden="1" x14ac:dyDescent="0.4">
      <c r="A648" s="41"/>
      <c r="B648" s="33">
        <f>_xlfn.XLOOKUP($A648,'[1]DATOS PBI Artículos'!A:A,'[1]DATOS PBI Artículos'!B:B)</f>
        <v>0</v>
      </c>
      <c r="C648" s="33">
        <f>_xlfn.XLOOKUP($A648,'[1]DATOS PBI Artículos'!A:A,'[1]DATOS PBI Artículos'!C:C)</f>
        <v>0</v>
      </c>
      <c r="D648" s="33">
        <f>_xlfn.XLOOKUP(A648,'[1]DATOS PBI Artículos'!A:A,'[1]DATOS PBI Artículos'!T:T)</f>
        <v>0</v>
      </c>
      <c r="E648" s="34">
        <f>IF(_xlfn.XLOOKUP($A648,'[1]DATOS PBI Artículos'!A:A,'[1]DATOS PBI Artículos'!AK:AK)="",_xlfn.XLOOKUP($A648,'[1]DATOS PBI Artículos'!A:A,'[1]DATOS PBI Artículos'!AJ:AJ),_xlfn.XLOOKUP($A648,'[1]DATOS PBI Artículos'!A:A,'[1]DATOS PBI Artículos'!AK:AK))</f>
        <v>0</v>
      </c>
      <c r="F648" s="35">
        <f>_xlfn.XLOOKUP($A648,'[1]DATOS PBI Artículos'!A:A,'[1]DATOS PBI Artículos'!AP:AP)</f>
        <v>0</v>
      </c>
      <c r="G648" s="34">
        <f>_xlfn.XLOOKUP($A648,'[1]DATOS PBI Artículos'!A:A,'[1]DATOS PBI Artículos'!AR:AR)</f>
        <v>0</v>
      </c>
      <c r="H648" s="34">
        <f>_xlfn.XLOOKUP($A648,'[1]DATOS PBI Artículos'!A:A,'[1]DATOS PBI Artículos'!AT:AT)</f>
        <v>0</v>
      </c>
      <c r="I648" s="34">
        <f>_xlfn.XLOOKUP($A648,'[1]DATOS PBI Artículos'!A:A,'[1]DATOS PBI Artículos'!AS:AS)</f>
        <v>0</v>
      </c>
      <c r="J648" s="35">
        <f>IF(COUNTIF([1]CRITERIOS!$F$179:$F$199,$A648)&gt;=1,
 IF(O648&lt;&gt;"",
    (O648/_xlfn.XLOOKUP(CONCATENATE(A648,L648),[1]MÁQUINAS!A:A,[1]MÁQUINAS!D:D))/24,
    (N648/_xlfn.XLOOKUP(CONCATENATE(A648,L648),[1]MÁQUINAS!A:A,[1]MÁQUINAS!D:D))/24),
  _xlfn.XLOOKUP($A648,'[1]DATOS PBI Artículos'!A:A,'[1]DATOS PBI Artículos'!AU:AU))</f>
        <v>0</v>
      </c>
      <c r="K648" s="36">
        <f>_xlfn.XLOOKUP($A648,'[1]DATOS PBI Artículos'!A:A,'[1]DATOS PBI Artículos'!AV:AV)</f>
        <v>0</v>
      </c>
      <c r="L648" s="33">
        <f>_xlfn.XLOOKUP(A648,[1]MÁQUINAS!B:B,[1]MÁQUINAS!C:C)</f>
        <v>0</v>
      </c>
      <c r="M648" s="34">
        <f t="array" ref="M648">_xlfn.XLOOKUP(A648,'[1]DATOS PBI Artículos'!A:A,'[1]DATOS PBI Artículos'!AX:$AX)</f>
        <v>0</v>
      </c>
      <c r="N648" s="37" t="e">
        <f>IF(I648="DV",
E648,
IF(COUNTIF([1]CRITERIOS!$I$179:$I$199,$A648)&gt;=1,
_xlfn.XLOOKUP($A648,[1]CRITERIOS!$I$179:$I$199,[1]CRITERIOS!$J$179:$J$199),
IF(COUNTIF([1]CRITERIOS!$L$179:$L$199,$A648)&gt;=1,
_xlfn.CEILING.MATH(IF($M648&gt;$E648,
$E648,
IF($M648&lt;$E648/ROUNDDOWN([1]CRITERIOS!$M$16/_xlfn.XLOOKUP($C648,[1]CRITERIOS!$K$25:$K$42,[1]CRITERIOS!$M$25:$M$42),
1),
E648/ROUNDDOWN([1]CRITERIOS!$M$16/_xlfn.XLOOKUP($C648,[1]CRITERIOS!$K$25:$K$42,[1]CRITERIOS!$M$25:$M$42),
1),
$M648)),
_xlfn.XLOOKUP($A648,[1]CRITERIOS!$L$179:$L$200,[1]CRITERIOS!$M$179:$M$200)),
_xlfn.CEILING.MATH(IF($M648&gt;$E648,
$E648,
IF($M648&lt;$E648/ROUNDDOWN([1]CRITERIOS!$M$16/_xlfn.XLOOKUP($C648,[1]CRITERIOS!$K$25:$K$42,[1]CRITERIOS!$M$25:$M$42),
1),
E648/ROUNDDOWN([1]CRITERIOS!$M$16/_xlfn.XLOOKUP($C648,[1]CRITERIOS!$K$25:$K$42,[1]CRITERIOS!$M$25:$M$42),
1),
$M648)),_xlfn.XLOOKUP(A648,'[1]DATOS PBI Artículos'!A:A,'[1]DATOS PBI Artículos'!Z:Z
)))))</f>
        <v>#N/A</v>
      </c>
      <c r="Q648" s="38" t="e">
        <f>IF(AND(O648="",N648=0),
0,
   IF(COUNTIF([1]CRITERIOS!$F$179:$F$199,$A648)&gt;=1,
   1,
   IF(R648="MTO",
      $D648,
      ROUNDUP(
                    IF(($E648-SUMIF('[1]DATOS PBI Artículos'!A:A,A648,'[1]DATOS PBI Artículos'!X:X)+($V648-_xlfn.XLOOKUP(A648,'[1]DATOS PBI Artículos'!A:A,'[1]DATOS PBI Artículos'!W:W)))&lt;0,
                    0,
                    IF(($E648-SUMIF('[1]DATOS PBI Artículos'!A:A,A648,'[1]DATOS PBI Artículos'!X:X)+$V648-_xlfn.XLOOKUP($A648,'[1]DATOS PBI Artículos'!A:A,'[1]DATOS PBI Artículos'!W:W))/IF($O648="",$N648,$O648)&gt;ROUNDUP([1]CRITERIOS!$M$16/(IF(COUNTIF([1]CRITERIOS!$BG$11:$BG$201,L648)&gt;=1,_xlfn.XLOOKUP($C648,[1]CRITERIOS!$K$25:$K$42,[1]CRITERIOS!$M$25:$M$42),_xlfn.XLOOKUP($C648,[1]CRITERIOS!$K$25:$K$42,[1]CRITERIOS!$M$25:$M$42))),0),
                    ROUNDUP([1]CRITERIOS!$M$16/(IF(COUNTIF([1]CRITERIOS!$BG$11:$BG$201,$L648)&gt;=1,_xlfn.XLOOKUP($C648,[1]CRITERIOS!$K$25:$K$42,[1]CRITERIOS!$M$25:$M$42),_xlfn.XLOOKUP($C648,[1]CRITERIOS!$K$25:$K$42,[1]CRITERIOS!$M$25:$M$42))),0),
                    (E648+V648-SUMIF('[1]DATOS PBI Artículos'!A:A,A648,'[1]DATOS PBI Artículos'!X:X)-_xlfn.XLOOKUP(A648,'[1]DATOS PBI Artículos'!A:A,'[1]DATOS PBI Artículos'!W:W))/IF($O648="",$N648,$O648))),0))))</f>
        <v>#N/A</v>
      </c>
      <c r="R648" s="33" t="e">
        <f>IF(U648&lt;&gt;"",U648,IF(F648="DV","MTO",IF(N648=0,"MTO",_xlfn.XLOOKUP(CONCATENATE(S648,T648),[1]CRITERIOS!$K$160:$K$168,[1]CRITERIOS!$N$160:$N$168))))</f>
        <v>#N/A</v>
      </c>
      <c r="S648" s="33" t="e">
        <f>IF(G648="DV","MTO",IF(N648=0,"MTO",IF(OR(AND(N648=0,O648=""),IF(O648="",G648/N648,G648/O648)&gt;[1]CRITERIOS!$G$163),"MTO",IF(IF(O648="",G648/N648,G648/O648)&lt;[1]CRITERIOS!$H$161,"MTS","MTOS"))))</f>
        <v>#N/A</v>
      </c>
      <c r="T648" s="33" t="e">
        <f>IF(F648="DV","MTO",IF(OR(AND($N648=0,O648=""),$F648/$J648&gt;[1]CRITERIOS!$G$170,$F648="DV"),"MTO",IF($F648/$J648&lt;[1]CRITERIOS!$H$168,"MTS","MTOS")))</f>
        <v>#N/A</v>
      </c>
      <c r="V648" s="34" t="e">
        <f t="shared" si="31"/>
        <v>#N/A</v>
      </c>
      <c r="X648" s="34" t="e">
        <f t="shared" si="32"/>
        <v>#N/A</v>
      </c>
      <c r="Y648" s="34" t="e">
        <f t="shared" si="33"/>
        <v>#N/A</v>
      </c>
      <c r="Z648" s="34" t="e">
        <f>IF($R648="MTO",
0,
($H648+$K648*($E648/[1]CRITERIOS!$M$16))/[1]CRITERIOS!$X$48)</f>
        <v>#N/A</v>
      </c>
      <c r="AA648" s="34" t="e">
        <f>ROUNDUP(($Y648/_xlfn.XLOOKUP($A648,'[1]DATOS PBI Artículos'!$A$4:$A$4,'[1]DATOS PBI Artículos'!$Z$4:$Z$4))/_xlfn.XLOOKUP(_xlfn.XLOOKUP($A648,'[1]DATOS PBI Artículos'!$A$4:$A$4,'[1]DATOS PBI Artículos'!$Y$4:$Y$4),[1]CRITERIOS!$P$79:$P$123,[1]CRITERIOS!$S$79:$S$123,),0)</f>
        <v>#N/A</v>
      </c>
      <c r="AB648" s="33" t="e">
        <f t="array" ref="AB648">IF((E648+V648-_xlfn.XLOOKUP(A648,'[1]DATOS PBI Artículos'!$A$4:$A$4,'[1]DATOS PBI Artículos'!$W$4:$W$4))/N648&gt;ROUNDUP([1]CRITERIOS!$M$16/(IF(COUNTIF([1]CRITERIOS!$BG$11:$BG$201,L648)&gt;=1,_xlfn.XLOOKUP(ARTÍCULOS!L648,[1]CRITERIOS!$BG$11:$BG$201,[1]CRITERIOS!$BJ$11:$BJ$201),_xlfn.XLOOKUP(ARTÍCULOS!C648,[1]CRITERIOS!$K$25:$K$42,[1]CRITERIOS!$M$25:$M$42))),0),ROUNDUP([1]CRITERIOS!$M$16/(IF(COUNTIF([1]CRITERIOS!$BG$11:$BG$201,L648)&gt;=1,_xlfn.XLOOKUP(ARTÍCULOS!L648,[1]CRITERIOS!$BG$11:$BG$201:#REF!,[1]CRITERIOS!$BJ$11:$BJ$201),_xlfn.XLOOKUP(ARTÍCULOS!C648,[1]CRITERIOS!$K$25:$K$42,[1]CRITERIOS!$M$25:$M$42))),0),(E648+V648-_xlfn.XLOOKUP(A648,'[1]DATOS PBI Artículos'!$A$4:$A$4,'[1]DATOS PBI Artículos'!$W$4:$W$4))/N648)</f>
        <v>#N/A</v>
      </c>
      <c r="AC648" s="33" t="e">
        <f>IF(N648=0,"",(ROUNDUP((N648/2)/(_xlfn.XLOOKUP(A648,'[1]DATOS PBI Artículos'!$A$4:$A$4,'[1]DATOS PBI Artículos'!$Z$4:$Z$4)*_xlfn.XLOOKUP(_xlfn.XLOOKUP(A648,'[1]DATOS PBI Artículos'!$A$4:$A$4,'[1]DATOS PBI Artículos'!$Y$4:$Y$4),[1]CRITERIOS!$P$79:$P$123,[1]CRITERIOS!$S$79:$S$123)),0)*[1]CRITERIOS!$M$80*([1]CRITERIOS!$M$110/[1]CRITERIOS!$M$86)+(_xlfn.XLOOKUP(A648,'[1]DATOS PBI Artículos'!$A$4:$A$4,'[1]DATOS PBI Artículos'!$AA$4:$AA$4)*([1]CRITERIOS!$M$95+[1]CRITERIOS!$M$98)))/N648)</f>
        <v>#N/A</v>
      </c>
      <c r="AD648" s="33" t="e">
        <f>IF(N648=0,"",(ROUNDUP((N648/2)/(_xlfn.XLOOKUP(A648,'[1]DATOS PBI Artículos'!$A$4:$A$4,'[1]DATOS PBI Artículos'!$Z$4:$Z$4)*_xlfn.XLOOKUP(_xlfn.XLOOKUP(A648,'[1]DATOS PBI Artículos'!$A$4:$A$4,'[1]DATOS PBI Artículos'!$Y$4:$Y$4),[1]CRITERIOS!$P$79:$P$123,[1]CRITERIOS!$S$79:$S$123)),0)*[1]CRITERIOS!$M$80*([1]CRITERIOS!$M$89*[1]CRITERIOS!$M$92)+((_xlfn.XLOOKUP(A648,'[1]DATOS PBI Artículos'!$A$4:$A$4,'[1]DATOS PBI Artículos'!$AA$4:$AA$4)/2)*([1]CRITERIOS!$M$95+[1]CRITERIOS!$M$98)))/N648)</f>
        <v>#N/A</v>
      </c>
      <c r="AE648" s="39" t="e">
        <f>IF($R648="MTO","",
IF($H648=0,ROUNDUP(((_xlfn.XLOOKUP($A648,'[1]DATOS PBI Artículos'!$A:$A,'[1]DATOS PBI Artículos'!$AL:$AL))/(_xlfn.XLOOKUP($AF$1,[1]CRITERIOS!$S$16:$S$39,[1]CRITERIOS!$Y$16:$Y$39))*$J648+$Z648)/$G648,0)*$G648,
((_xlfn.XLOOKUP($A648,'[1]DATOS PBI Artículos'!$A:$A,'[1]DATOS PBI Artículos'!$AL:$AL))/(_xlfn.XLOOKUP($AF$1,[1]CRITERIOS!$S$16:$S$39,[1]CRITERIOS!$Y$16:$Y$39))*$J648+$Z648)))</f>
        <v>#N/A</v>
      </c>
      <c r="AG648" s="39" t="e">
        <f>IF($R648="MTO","",
IF($H648=0,ROUNDUP(((_xlfn.XLOOKUP($A648,'[1]DATOS PBI Artículos'!$A:$A,'[1]DATOS PBI Artículos'!$AM:$AM))/(_xlfn.XLOOKUP($AH$1,[1]CRITERIOS!$S$16:$S$39,[1]CRITERIOS!$Y$16:$Y$39))*$J648+$Z648)/$G648,0)*$G648,
((_xlfn.XLOOKUP($A648,'[1]DATOS PBI Artículos'!$A:$A,'[1]DATOS PBI Artículos'!$AM:$AM))/(_xlfn.XLOOKUP($AH$1,[1]CRITERIOS!$S$16:$S$39,[1]CRITERIOS!$Y$16:$Y$39))*$J648+$Z648)))</f>
        <v>#N/A</v>
      </c>
      <c r="AI648" s="39" t="e">
        <f>IF($R648="MTO","",
IF($H648=0,ROUNDUP(((_xlfn.XLOOKUP($A648,'[1]DATOS PBI Artículos'!$A:$A,'[1]DATOS PBI Artículos'!$AN:$AN))/(_xlfn.XLOOKUP($AJ$1,[1]CRITERIOS!$S$16:$S$39,[1]CRITERIOS!$Y$16:$Y$39))*$J648+$Z648)/$G648,0)*$G648,
((_xlfn.XLOOKUP($A648,'[1]DATOS PBI Artículos'!$A:$A,'[1]DATOS PBI Artículos'!$AN:$AN))/(_xlfn.XLOOKUP($AJ$1,[1]CRITERIOS!$S$16:$S$39,[1]CRITERIOS!$Y$16:$Y$39))*$J648+$Z648)))</f>
        <v>#N/A</v>
      </c>
      <c r="AK648" s="39" t="e">
        <f>IF($R648="MTO","",
IF($H648=0,ROUNDUP(((_xlfn.XLOOKUP($A648,'[1]DATOS PBI Artículos'!$A:$A,'[1]DATOS PBI Artículos'!$AO:$AO))/(_xlfn.XLOOKUP($AL$1,[1]CRITERIOS!$S$16:$S$39,[1]CRITERIOS!$Y$16:$Y$39))*$J648+$Z648)/$G648,0)*$G648,
((_xlfn.XLOOKUP($A648,'[1]DATOS PBI Artículos'!$A:$A,'[1]DATOS PBI Artículos'!$AO:$AO))/(_xlfn.XLOOKUP($AL$1,[1]CRITERIOS!$S$16:$S$39,[1]CRITERIOS!$Y$16:$Y$39))*$J648+$Z648)))</f>
        <v>#N/A</v>
      </c>
    </row>
    <row r="649" spans="1:37" ht="25.8" hidden="1" x14ac:dyDescent="0.4">
      <c r="A649" s="41"/>
      <c r="B649" s="33">
        <f>_xlfn.XLOOKUP($A649,'[1]DATOS PBI Artículos'!A:A,'[1]DATOS PBI Artículos'!B:B)</f>
        <v>0</v>
      </c>
      <c r="C649" s="33">
        <f>_xlfn.XLOOKUP($A649,'[1]DATOS PBI Artículos'!A:A,'[1]DATOS PBI Artículos'!C:C)</f>
        <v>0</v>
      </c>
      <c r="D649" s="33">
        <f>_xlfn.XLOOKUP(A649,'[1]DATOS PBI Artículos'!A:A,'[1]DATOS PBI Artículos'!T:T)</f>
        <v>0</v>
      </c>
      <c r="E649" s="34">
        <f>IF(_xlfn.XLOOKUP($A649,'[1]DATOS PBI Artículos'!A:A,'[1]DATOS PBI Artículos'!AK:AK)="",_xlfn.XLOOKUP($A649,'[1]DATOS PBI Artículos'!A:A,'[1]DATOS PBI Artículos'!AJ:AJ),_xlfn.XLOOKUP($A649,'[1]DATOS PBI Artículos'!A:A,'[1]DATOS PBI Artículos'!AK:AK))</f>
        <v>0</v>
      </c>
      <c r="F649" s="35">
        <f>_xlfn.XLOOKUP($A649,'[1]DATOS PBI Artículos'!A:A,'[1]DATOS PBI Artículos'!AP:AP)</f>
        <v>0</v>
      </c>
      <c r="G649" s="34">
        <f>_xlfn.XLOOKUP($A649,'[1]DATOS PBI Artículos'!A:A,'[1]DATOS PBI Artículos'!AR:AR)</f>
        <v>0</v>
      </c>
      <c r="H649" s="34">
        <f>_xlfn.XLOOKUP($A649,'[1]DATOS PBI Artículos'!A:A,'[1]DATOS PBI Artículos'!AT:AT)</f>
        <v>0</v>
      </c>
      <c r="I649" s="34">
        <f>_xlfn.XLOOKUP($A649,'[1]DATOS PBI Artículos'!A:A,'[1]DATOS PBI Artículos'!AS:AS)</f>
        <v>0</v>
      </c>
      <c r="J649" s="35">
        <f>IF(COUNTIF([1]CRITERIOS!$F$179:$F$199,$A649)&gt;=1,
 IF(O649&lt;&gt;"",
    (O649/_xlfn.XLOOKUP(CONCATENATE(A649,L649),[1]MÁQUINAS!A:A,[1]MÁQUINAS!D:D))/24,
    (N649/_xlfn.XLOOKUP(CONCATENATE(A649,L649),[1]MÁQUINAS!A:A,[1]MÁQUINAS!D:D))/24),
  _xlfn.XLOOKUP($A649,'[1]DATOS PBI Artículos'!A:A,'[1]DATOS PBI Artículos'!AU:AU))</f>
        <v>0</v>
      </c>
      <c r="K649" s="36">
        <f>_xlfn.XLOOKUP($A649,'[1]DATOS PBI Artículos'!A:A,'[1]DATOS PBI Artículos'!AV:AV)</f>
        <v>0</v>
      </c>
      <c r="L649" s="33">
        <f>_xlfn.XLOOKUP(A649,[1]MÁQUINAS!B:B,[1]MÁQUINAS!C:C)</f>
        <v>0</v>
      </c>
      <c r="M649" s="34">
        <f t="array" ref="M649">_xlfn.XLOOKUP(A649,'[1]DATOS PBI Artículos'!A:A,'[1]DATOS PBI Artículos'!AX:$AX)</f>
        <v>0</v>
      </c>
      <c r="N649" s="37" t="e">
        <f>IF(I649="DV",
E649,
IF(COUNTIF([1]CRITERIOS!$I$179:$I$199,$A649)&gt;=1,
_xlfn.XLOOKUP($A649,[1]CRITERIOS!$I$179:$I$199,[1]CRITERIOS!$J$179:$J$199),
IF(COUNTIF([1]CRITERIOS!$L$179:$L$199,$A649)&gt;=1,
_xlfn.CEILING.MATH(IF($M649&gt;$E649,
$E649,
IF($M649&lt;$E649/ROUNDDOWN([1]CRITERIOS!$M$16/_xlfn.XLOOKUP($C649,[1]CRITERIOS!$K$25:$K$42,[1]CRITERIOS!$M$25:$M$42),
1),
E649/ROUNDDOWN([1]CRITERIOS!$M$16/_xlfn.XLOOKUP($C649,[1]CRITERIOS!$K$25:$K$42,[1]CRITERIOS!$M$25:$M$42),
1),
$M649)),
_xlfn.XLOOKUP($A649,[1]CRITERIOS!$L$179:$L$200,[1]CRITERIOS!$M$179:$M$200)),
_xlfn.CEILING.MATH(IF($M649&gt;$E649,
$E649,
IF($M649&lt;$E649/ROUNDDOWN([1]CRITERIOS!$M$16/_xlfn.XLOOKUP($C649,[1]CRITERIOS!$K$25:$K$42,[1]CRITERIOS!$M$25:$M$42),
1),
E649/ROUNDDOWN([1]CRITERIOS!$M$16/_xlfn.XLOOKUP($C649,[1]CRITERIOS!$K$25:$K$42,[1]CRITERIOS!$M$25:$M$42),
1),
$M649)),_xlfn.XLOOKUP(A649,'[1]DATOS PBI Artículos'!A:A,'[1]DATOS PBI Artículos'!Z:Z
)))))</f>
        <v>#N/A</v>
      </c>
      <c r="Q649" s="38" t="e">
        <f>IF(AND(O649="",N649=0),
0,
   IF(COUNTIF([1]CRITERIOS!$F$179:$F$199,$A649)&gt;=1,
   1,
   IF(R649="MTO",
      $D649,
      ROUNDUP(
                    IF(($E649-SUMIF('[1]DATOS PBI Artículos'!A:A,A649,'[1]DATOS PBI Artículos'!X:X)+($V649-_xlfn.XLOOKUP(A649,'[1]DATOS PBI Artículos'!A:A,'[1]DATOS PBI Artículos'!W:W)))&lt;0,
                    0,
                    IF(($E649-SUMIF('[1]DATOS PBI Artículos'!A:A,A649,'[1]DATOS PBI Artículos'!X:X)+$V649-_xlfn.XLOOKUP($A649,'[1]DATOS PBI Artículos'!A:A,'[1]DATOS PBI Artículos'!W:W))/IF($O649="",$N649,$O649)&gt;ROUNDUP([1]CRITERIOS!$M$16/(IF(COUNTIF([1]CRITERIOS!$BG$11:$BG$201,L649)&gt;=1,_xlfn.XLOOKUP($C649,[1]CRITERIOS!$K$25:$K$42,[1]CRITERIOS!$M$25:$M$42),_xlfn.XLOOKUP($C649,[1]CRITERIOS!$K$25:$K$42,[1]CRITERIOS!$M$25:$M$42))),0),
                    ROUNDUP([1]CRITERIOS!$M$16/(IF(COUNTIF([1]CRITERIOS!$BG$11:$BG$201,$L649)&gt;=1,_xlfn.XLOOKUP($C649,[1]CRITERIOS!$K$25:$K$42,[1]CRITERIOS!$M$25:$M$42),_xlfn.XLOOKUP($C649,[1]CRITERIOS!$K$25:$K$42,[1]CRITERIOS!$M$25:$M$42))),0),
                    (E649+V649-SUMIF('[1]DATOS PBI Artículos'!A:A,A649,'[1]DATOS PBI Artículos'!X:X)-_xlfn.XLOOKUP(A649,'[1]DATOS PBI Artículos'!A:A,'[1]DATOS PBI Artículos'!W:W))/IF($O649="",$N649,$O649))),0))))</f>
        <v>#N/A</v>
      </c>
      <c r="R649" s="33" t="e">
        <f>IF(U649&lt;&gt;"",U649,IF(F649="DV","MTO",IF(N649=0,"MTO",_xlfn.XLOOKUP(CONCATENATE(S649,T649),[1]CRITERIOS!$K$160:$K$168,[1]CRITERIOS!$N$160:$N$168))))</f>
        <v>#N/A</v>
      </c>
      <c r="S649" s="33" t="e">
        <f>IF(G649="DV","MTO",IF(N649=0,"MTO",IF(OR(AND(N649=0,O649=""),IF(O649="",G649/N649,G649/O649)&gt;[1]CRITERIOS!$G$163),"MTO",IF(IF(O649="",G649/N649,G649/O649)&lt;[1]CRITERIOS!$H$161,"MTS","MTOS"))))</f>
        <v>#N/A</v>
      </c>
      <c r="T649" s="33" t="e">
        <f>IF(F649="DV","MTO",IF(OR(AND($N649=0,O649=""),$F649/$J649&gt;[1]CRITERIOS!$G$170,$F649="DV"),"MTO",IF($F649/$J649&lt;[1]CRITERIOS!$H$168,"MTS","MTOS")))</f>
        <v>#N/A</v>
      </c>
      <c r="V649" s="34" t="e">
        <f t="shared" si="31"/>
        <v>#N/A</v>
      </c>
      <c r="X649" s="34" t="e">
        <f t="shared" si="32"/>
        <v>#N/A</v>
      </c>
      <c r="Y649" s="34" t="e">
        <f t="shared" si="33"/>
        <v>#N/A</v>
      </c>
      <c r="Z649" s="34" t="e">
        <f>IF($R649="MTO",
0,
($H649+$K649*($E649/[1]CRITERIOS!$M$16))/[1]CRITERIOS!$X$48)</f>
        <v>#N/A</v>
      </c>
      <c r="AA649" s="34" t="e">
        <f>ROUNDUP(($Y649/_xlfn.XLOOKUP($A649,'[1]DATOS PBI Artículos'!$A$4:$A$4,'[1]DATOS PBI Artículos'!$Z$4:$Z$4))/_xlfn.XLOOKUP(_xlfn.XLOOKUP($A649,'[1]DATOS PBI Artículos'!$A$4:$A$4,'[1]DATOS PBI Artículos'!$Y$4:$Y$4),[1]CRITERIOS!$P$79:$P$123,[1]CRITERIOS!$S$79:$S$123,),0)</f>
        <v>#N/A</v>
      </c>
      <c r="AB649" s="33" t="e">
        <f t="array" ref="AB649">IF((E649+V649-_xlfn.XLOOKUP(A649,'[1]DATOS PBI Artículos'!$A$4:$A$4,'[1]DATOS PBI Artículos'!$W$4:$W$4))/N649&gt;ROUNDUP([1]CRITERIOS!$M$16/(IF(COUNTIF([1]CRITERIOS!$BG$11:$BG$201,L649)&gt;=1,_xlfn.XLOOKUP(ARTÍCULOS!L649,[1]CRITERIOS!$BG$11:$BG$201,[1]CRITERIOS!$BJ$11:$BJ$201),_xlfn.XLOOKUP(ARTÍCULOS!C649,[1]CRITERIOS!$K$25:$K$42,[1]CRITERIOS!$M$25:$M$42))),0),ROUNDUP([1]CRITERIOS!$M$16/(IF(COUNTIF([1]CRITERIOS!$BG$11:$BG$201,L649)&gt;=1,_xlfn.XLOOKUP(ARTÍCULOS!L649,[1]CRITERIOS!$BG$11:$BG$201:#REF!,[1]CRITERIOS!$BJ$11:$BJ$201),_xlfn.XLOOKUP(ARTÍCULOS!C649,[1]CRITERIOS!$K$25:$K$42,[1]CRITERIOS!$M$25:$M$42))),0),(E649+V649-_xlfn.XLOOKUP(A649,'[1]DATOS PBI Artículos'!$A$4:$A$4,'[1]DATOS PBI Artículos'!$W$4:$W$4))/N649)</f>
        <v>#N/A</v>
      </c>
      <c r="AC649" s="33" t="e">
        <f>IF(N649=0,"",(ROUNDUP((N649/2)/(_xlfn.XLOOKUP(A649,'[1]DATOS PBI Artículos'!$A$4:$A$4,'[1]DATOS PBI Artículos'!$Z$4:$Z$4)*_xlfn.XLOOKUP(_xlfn.XLOOKUP(A649,'[1]DATOS PBI Artículos'!$A$4:$A$4,'[1]DATOS PBI Artículos'!$Y$4:$Y$4),[1]CRITERIOS!$P$79:$P$123,[1]CRITERIOS!$S$79:$S$123)),0)*[1]CRITERIOS!$M$80*([1]CRITERIOS!$M$110/[1]CRITERIOS!$M$86)+(_xlfn.XLOOKUP(A649,'[1]DATOS PBI Artículos'!$A$4:$A$4,'[1]DATOS PBI Artículos'!$AA$4:$AA$4)*([1]CRITERIOS!$M$95+[1]CRITERIOS!$M$98)))/N649)</f>
        <v>#N/A</v>
      </c>
      <c r="AD649" s="33" t="e">
        <f>IF(N649=0,"",(ROUNDUP((N649/2)/(_xlfn.XLOOKUP(A649,'[1]DATOS PBI Artículos'!$A$4:$A$4,'[1]DATOS PBI Artículos'!$Z$4:$Z$4)*_xlfn.XLOOKUP(_xlfn.XLOOKUP(A649,'[1]DATOS PBI Artículos'!$A$4:$A$4,'[1]DATOS PBI Artículos'!$Y$4:$Y$4),[1]CRITERIOS!$P$79:$P$123,[1]CRITERIOS!$S$79:$S$123)),0)*[1]CRITERIOS!$M$80*([1]CRITERIOS!$M$89*[1]CRITERIOS!$M$92)+((_xlfn.XLOOKUP(A649,'[1]DATOS PBI Artículos'!$A$4:$A$4,'[1]DATOS PBI Artículos'!$AA$4:$AA$4)/2)*([1]CRITERIOS!$M$95+[1]CRITERIOS!$M$98)))/N649)</f>
        <v>#N/A</v>
      </c>
      <c r="AE649" s="39" t="e">
        <f>IF($R649="MTO","",
IF($H649=0,ROUNDUP(((_xlfn.XLOOKUP($A649,'[1]DATOS PBI Artículos'!$A:$A,'[1]DATOS PBI Artículos'!$AL:$AL))/(_xlfn.XLOOKUP($AF$1,[1]CRITERIOS!$S$16:$S$39,[1]CRITERIOS!$Y$16:$Y$39))*$J649+$Z649)/$G649,0)*$G649,
((_xlfn.XLOOKUP($A649,'[1]DATOS PBI Artículos'!$A:$A,'[1]DATOS PBI Artículos'!$AL:$AL))/(_xlfn.XLOOKUP($AF$1,[1]CRITERIOS!$S$16:$S$39,[1]CRITERIOS!$Y$16:$Y$39))*$J649+$Z649)))</f>
        <v>#N/A</v>
      </c>
      <c r="AG649" s="39" t="e">
        <f>IF($R649="MTO","",
IF($H649=0,ROUNDUP(((_xlfn.XLOOKUP($A649,'[1]DATOS PBI Artículos'!$A:$A,'[1]DATOS PBI Artículos'!$AM:$AM))/(_xlfn.XLOOKUP($AH$1,[1]CRITERIOS!$S$16:$S$39,[1]CRITERIOS!$Y$16:$Y$39))*$J649+$Z649)/$G649,0)*$G649,
((_xlfn.XLOOKUP($A649,'[1]DATOS PBI Artículos'!$A:$A,'[1]DATOS PBI Artículos'!$AM:$AM))/(_xlfn.XLOOKUP($AH$1,[1]CRITERIOS!$S$16:$S$39,[1]CRITERIOS!$Y$16:$Y$39))*$J649+$Z649)))</f>
        <v>#N/A</v>
      </c>
      <c r="AI649" s="39" t="e">
        <f>IF($R649="MTO","",
IF($H649=0,ROUNDUP(((_xlfn.XLOOKUP($A649,'[1]DATOS PBI Artículos'!$A:$A,'[1]DATOS PBI Artículos'!$AN:$AN))/(_xlfn.XLOOKUP($AJ$1,[1]CRITERIOS!$S$16:$S$39,[1]CRITERIOS!$Y$16:$Y$39))*$J649+$Z649)/$G649,0)*$G649,
((_xlfn.XLOOKUP($A649,'[1]DATOS PBI Artículos'!$A:$A,'[1]DATOS PBI Artículos'!$AN:$AN))/(_xlfn.XLOOKUP($AJ$1,[1]CRITERIOS!$S$16:$S$39,[1]CRITERIOS!$Y$16:$Y$39))*$J649+$Z649)))</f>
        <v>#N/A</v>
      </c>
      <c r="AK649" s="39" t="e">
        <f>IF($R649="MTO","",
IF($H649=0,ROUNDUP(((_xlfn.XLOOKUP($A649,'[1]DATOS PBI Artículos'!$A:$A,'[1]DATOS PBI Artículos'!$AO:$AO))/(_xlfn.XLOOKUP($AL$1,[1]CRITERIOS!$S$16:$S$39,[1]CRITERIOS!$Y$16:$Y$39))*$J649+$Z649)/$G649,0)*$G649,
((_xlfn.XLOOKUP($A649,'[1]DATOS PBI Artículos'!$A:$A,'[1]DATOS PBI Artículos'!$AO:$AO))/(_xlfn.XLOOKUP($AL$1,[1]CRITERIOS!$S$16:$S$39,[1]CRITERIOS!$Y$16:$Y$39))*$J649+$Z649)))</f>
        <v>#N/A</v>
      </c>
    </row>
    <row r="650" spans="1:37" ht="25.8" hidden="1" x14ac:dyDescent="0.4">
      <c r="A650" s="41"/>
      <c r="B650" s="33">
        <f>_xlfn.XLOOKUP($A650,'[1]DATOS PBI Artículos'!A:A,'[1]DATOS PBI Artículos'!B:B)</f>
        <v>0</v>
      </c>
      <c r="C650" s="33">
        <f>_xlfn.XLOOKUP($A650,'[1]DATOS PBI Artículos'!A:A,'[1]DATOS PBI Artículos'!C:C)</f>
        <v>0</v>
      </c>
      <c r="D650" s="33">
        <f>_xlfn.XLOOKUP(A650,'[1]DATOS PBI Artículos'!A:A,'[1]DATOS PBI Artículos'!T:T)</f>
        <v>0</v>
      </c>
      <c r="E650" s="34">
        <f>IF(_xlfn.XLOOKUP($A650,'[1]DATOS PBI Artículos'!A:A,'[1]DATOS PBI Artículos'!AK:AK)="",_xlfn.XLOOKUP($A650,'[1]DATOS PBI Artículos'!A:A,'[1]DATOS PBI Artículos'!AJ:AJ),_xlfn.XLOOKUP($A650,'[1]DATOS PBI Artículos'!A:A,'[1]DATOS PBI Artículos'!AK:AK))</f>
        <v>0</v>
      </c>
      <c r="F650" s="35">
        <f>_xlfn.XLOOKUP($A650,'[1]DATOS PBI Artículos'!A:A,'[1]DATOS PBI Artículos'!AP:AP)</f>
        <v>0</v>
      </c>
      <c r="G650" s="34">
        <f>_xlfn.XLOOKUP($A650,'[1]DATOS PBI Artículos'!A:A,'[1]DATOS PBI Artículos'!AR:AR)</f>
        <v>0</v>
      </c>
      <c r="H650" s="34">
        <f>_xlfn.XLOOKUP($A650,'[1]DATOS PBI Artículos'!A:A,'[1]DATOS PBI Artículos'!AT:AT)</f>
        <v>0</v>
      </c>
      <c r="I650" s="34">
        <f>_xlfn.XLOOKUP($A650,'[1]DATOS PBI Artículos'!A:A,'[1]DATOS PBI Artículos'!AS:AS)</f>
        <v>0</v>
      </c>
      <c r="J650" s="35">
        <f>IF(COUNTIF([1]CRITERIOS!$F$179:$F$199,$A650)&gt;=1,
 IF(O650&lt;&gt;"",
    (O650/_xlfn.XLOOKUP(CONCATENATE(A650,L650),[1]MÁQUINAS!A:A,[1]MÁQUINAS!D:D))/24,
    (N650/_xlfn.XLOOKUP(CONCATENATE(A650,L650),[1]MÁQUINAS!A:A,[1]MÁQUINAS!D:D))/24),
  _xlfn.XLOOKUP($A650,'[1]DATOS PBI Artículos'!A:A,'[1]DATOS PBI Artículos'!AU:AU))</f>
        <v>0</v>
      </c>
      <c r="K650" s="36">
        <f>_xlfn.XLOOKUP($A650,'[1]DATOS PBI Artículos'!A:A,'[1]DATOS PBI Artículos'!AV:AV)</f>
        <v>0</v>
      </c>
      <c r="L650" s="33">
        <f>_xlfn.XLOOKUP(A650,[1]MÁQUINAS!B:B,[1]MÁQUINAS!C:C)</f>
        <v>0</v>
      </c>
      <c r="M650" s="34">
        <f t="array" ref="M650">_xlfn.XLOOKUP(A650,'[1]DATOS PBI Artículos'!A:A,'[1]DATOS PBI Artículos'!AX:$AX)</f>
        <v>0</v>
      </c>
      <c r="N650" s="37" t="e">
        <f>IF(I650="DV",
E650,
IF(COUNTIF([1]CRITERIOS!$I$179:$I$199,$A650)&gt;=1,
_xlfn.XLOOKUP($A650,[1]CRITERIOS!$I$179:$I$199,[1]CRITERIOS!$J$179:$J$199),
IF(COUNTIF([1]CRITERIOS!$L$179:$L$199,$A650)&gt;=1,
_xlfn.CEILING.MATH(IF($M650&gt;$E650,
$E650,
IF($M650&lt;$E650/ROUNDDOWN([1]CRITERIOS!$M$16/_xlfn.XLOOKUP($C650,[1]CRITERIOS!$K$25:$K$42,[1]CRITERIOS!$M$25:$M$42),
1),
E650/ROUNDDOWN([1]CRITERIOS!$M$16/_xlfn.XLOOKUP($C650,[1]CRITERIOS!$K$25:$K$42,[1]CRITERIOS!$M$25:$M$42),
1),
$M650)),
_xlfn.XLOOKUP($A650,[1]CRITERIOS!$L$179:$L$200,[1]CRITERIOS!$M$179:$M$200)),
_xlfn.CEILING.MATH(IF($M650&gt;$E650,
$E650,
IF($M650&lt;$E650/ROUNDDOWN([1]CRITERIOS!$M$16/_xlfn.XLOOKUP($C650,[1]CRITERIOS!$K$25:$K$42,[1]CRITERIOS!$M$25:$M$42),
1),
E650/ROUNDDOWN([1]CRITERIOS!$M$16/_xlfn.XLOOKUP($C650,[1]CRITERIOS!$K$25:$K$42,[1]CRITERIOS!$M$25:$M$42),
1),
$M650)),_xlfn.XLOOKUP(A650,'[1]DATOS PBI Artículos'!A:A,'[1]DATOS PBI Artículos'!Z:Z
)))))</f>
        <v>#N/A</v>
      </c>
      <c r="Q650" s="38" t="e">
        <f>IF(AND(O650="",N650=0),
0,
   IF(COUNTIF([1]CRITERIOS!$F$179:$F$199,$A650)&gt;=1,
   1,
   IF(R650="MTO",
      $D650,
      ROUNDUP(
                    IF(($E650-SUMIF('[1]DATOS PBI Artículos'!A:A,A650,'[1]DATOS PBI Artículos'!X:X)+($V650-_xlfn.XLOOKUP(A650,'[1]DATOS PBI Artículos'!A:A,'[1]DATOS PBI Artículos'!W:W)))&lt;0,
                    0,
                    IF(($E650-SUMIF('[1]DATOS PBI Artículos'!A:A,A650,'[1]DATOS PBI Artículos'!X:X)+$V650-_xlfn.XLOOKUP($A650,'[1]DATOS PBI Artículos'!A:A,'[1]DATOS PBI Artículos'!W:W))/IF($O650="",$N650,$O650)&gt;ROUNDUP([1]CRITERIOS!$M$16/(IF(COUNTIF([1]CRITERIOS!$BG$11:$BG$201,L650)&gt;=1,_xlfn.XLOOKUP($C650,[1]CRITERIOS!$K$25:$K$42,[1]CRITERIOS!$M$25:$M$42),_xlfn.XLOOKUP($C650,[1]CRITERIOS!$K$25:$K$42,[1]CRITERIOS!$M$25:$M$42))),0),
                    ROUNDUP([1]CRITERIOS!$M$16/(IF(COUNTIF([1]CRITERIOS!$BG$11:$BG$201,$L650)&gt;=1,_xlfn.XLOOKUP($C650,[1]CRITERIOS!$K$25:$K$42,[1]CRITERIOS!$M$25:$M$42),_xlfn.XLOOKUP($C650,[1]CRITERIOS!$K$25:$K$42,[1]CRITERIOS!$M$25:$M$42))),0),
                    (E650+V650-SUMIF('[1]DATOS PBI Artículos'!A:A,A650,'[1]DATOS PBI Artículos'!X:X)-_xlfn.XLOOKUP(A650,'[1]DATOS PBI Artículos'!A:A,'[1]DATOS PBI Artículos'!W:W))/IF($O650="",$N650,$O650))),0))))</f>
        <v>#N/A</v>
      </c>
      <c r="R650" s="33" t="e">
        <f>IF(U650&lt;&gt;"",U650,IF(F650="DV","MTO",IF(N650=0,"MTO",_xlfn.XLOOKUP(CONCATENATE(S650,T650),[1]CRITERIOS!$K$160:$K$168,[1]CRITERIOS!$N$160:$N$168))))</f>
        <v>#N/A</v>
      </c>
      <c r="S650" s="33" t="e">
        <f>IF(G650="DV","MTO",IF(N650=0,"MTO",IF(OR(AND(N650=0,O650=""),IF(O650="",G650/N650,G650/O650)&gt;[1]CRITERIOS!$G$163),"MTO",IF(IF(O650="",G650/N650,G650/O650)&lt;[1]CRITERIOS!$H$161,"MTS","MTOS"))))</f>
        <v>#N/A</v>
      </c>
      <c r="T650" s="33" t="e">
        <f>IF(F650="DV","MTO",IF(OR(AND($N650=0,O650=""),$F650/$J650&gt;[1]CRITERIOS!$G$170,$F650="DV"),"MTO",IF($F650/$J650&lt;[1]CRITERIOS!$H$168,"MTS","MTOS")))</f>
        <v>#N/A</v>
      </c>
      <c r="V650" s="34" t="e">
        <f t="shared" si="31"/>
        <v>#N/A</v>
      </c>
      <c r="X650" s="34" t="e">
        <f t="shared" si="32"/>
        <v>#N/A</v>
      </c>
      <c r="Y650" s="34" t="e">
        <f t="shared" si="33"/>
        <v>#N/A</v>
      </c>
      <c r="Z650" s="34" t="e">
        <f>IF($R650="MTO",
0,
($H650+$K650*($E650/[1]CRITERIOS!$M$16))/[1]CRITERIOS!$X$48)</f>
        <v>#N/A</v>
      </c>
      <c r="AA650" s="34" t="e">
        <f>ROUNDUP(($Y650/_xlfn.XLOOKUP($A650,'[1]DATOS PBI Artículos'!$A$4:$A$4,'[1]DATOS PBI Artículos'!$Z$4:$Z$4))/_xlfn.XLOOKUP(_xlfn.XLOOKUP($A650,'[1]DATOS PBI Artículos'!$A$4:$A$4,'[1]DATOS PBI Artículos'!$Y$4:$Y$4),[1]CRITERIOS!$P$79:$P$123,[1]CRITERIOS!$S$79:$S$123,),0)</f>
        <v>#N/A</v>
      </c>
      <c r="AB650" s="33" t="e">
        <f t="array" ref="AB650">IF((E650+V650-_xlfn.XLOOKUP(A650,'[1]DATOS PBI Artículos'!$A$4:$A$4,'[1]DATOS PBI Artículos'!$W$4:$W$4))/N650&gt;ROUNDUP([1]CRITERIOS!$M$16/(IF(COUNTIF([1]CRITERIOS!$BG$11:$BG$201,L650)&gt;=1,_xlfn.XLOOKUP(ARTÍCULOS!L650,[1]CRITERIOS!$BG$11:$BG$201,[1]CRITERIOS!$BJ$11:$BJ$201),_xlfn.XLOOKUP(ARTÍCULOS!C650,[1]CRITERIOS!$K$25:$K$42,[1]CRITERIOS!$M$25:$M$42))),0),ROUNDUP([1]CRITERIOS!$M$16/(IF(COUNTIF([1]CRITERIOS!$BG$11:$BG$201,L650)&gt;=1,_xlfn.XLOOKUP(ARTÍCULOS!L650,[1]CRITERIOS!$BG$11:$BG$201:#REF!,[1]CRITERIOS!$BJ$11:$BJ$201),_xlfn.XLOOKUP(ARTÍCULOS!C650,[1]CRITERIOS!$K$25:$K$42,[1]CRITERIOS!$M$25:$M$42))),0),(E650+V650-_xlfn.XLOOKUP(A650,'[1]DATOS PBI Artículos'!$A$4:$A$4,'[1]DATOS PBI Artículos'!$W$4:$W$4))/N650)</f>
        <v>#N/A</v>
      </c>
      <c r="AC650" s="33" t="e">
        <f>IF(N650=0,"",(ROUNDUP((N650/2)/(_xlfn.XLOOKUP(A650,'[1]DATOS PBI Artículos'!$A$4:$A$4,'[1]DATOS PBI Artículos'!$Z$4:$Z$4)*_xlfn.XLOOKUP(_xlfn.XLOOKUP(A650,'[1]DATOS PBI Artículos'!$A$4:$A$4,'[1]DATOS PBI Artículos'!$Y$4:$Y$4),[1]CRITERIOS!$P$79:$P$123,[1]CRITERIOS!$S$79:$S$123)),0)*[1]CRITERIOS!$M$80*([1]CRITERIOS!$M$110/[1]CRITERIOS!$M$86)+(_xlfn.XLOOKUP(A650,'[1]DATOS PBI Artículos'!$A$4:$A$4,'[1]DATOS PBI Artículos'!$AA$4:$AA$4)*([1]CRITERIOS!$M$95+[1]CRITERIOS!$M$98)))/N650)</f>
        <v>#N/A</v>
      </c>
      <c r="AD650" s="33" t="e">
        <f>IF(N650=0,"",(ROUNDUP((N650/2)/(_xlfn.XLOOKUP(A650,'[1]DATOS PBI Artículos'!$A$4:$A$4,'[1]DATOS PBI Artículos'!$Z$4:$Z$4)*_xlfn.XLOOKUP(_xlfn.XLOOKUP(A650,'[1]DATOS PBI Artículos'!$A$4:$A$4,'[1]DATOS PBI Artículos'!$Y$4:$Y$4),[1]CRITERIOS!$P$79:$P$123,[1]CRITERIOS!$S$79:$S$123)),0)*[1]CRITERIOS!$M$80*([1]CRITERIOS!$M$89*[1]CRITERIOS!$M$92)+((_xlfn.XLOOKUP(A650,'[1]DATOS PBI Artículos'!$A$4:$A$4,'[1]DATOS PBI Artículos'!$AA$4:$AA$4)/2)*([1]CRITERIOS!$M$95+[1]CRITERIOS!$M$98)))/N650)</f>
        <v>#N/A</v>
      </c>
      <c r="AE650" s="39" t="e">
        <f>IF($R650="MTO","",
IF($H650=0,ROUNDUP(((_xlfn.XLOOKUP($A650,'[1]DATOS PBI Artículos'!$A:$A,'[1]DATOS PBI Artículos'!$AL:$AL))/(_xlfn.XLOOKUP($AF$1,[1]CRITERIOS!$S$16:$S$39,[1]CRITERIOS!$Y$16:$Y$39))*$J650+$Z650)/$G650,0)*$G650,
((_xlfn.XLOOKUP($A650,'[1]DATOS PBI Artículos'!$A:$A,'[1]DATOS PBI Artículos'!$AL:$AL))/(_xlfn.XLOOKUP($AF$1,[1]CRITERIOS!$S$16:$S$39,[1]CRITERIOS!$Y$16:$Y$39))*$J650+$Z650)))</f>
        <v>#N/A</v>
      </c>
      <c r="AG650" s="39" t="e">
        <f>IF($R650="MTO","",
IF($H650=0,ROUNDUP(((_xlfn.XLOOKUP($A650,'[1]DATOS PBI Artículos'!$A:$A,'[1]DATOS PBI Artículos'!$AM:$AM))/(_xlfn.XLOOKUP($AH$1,[1]CRITERIOS!$S$16:$S$39,[1]CRITERIOS!$Y$16:$Y$39))*$J650+$Z650)/$G650,0)*$G650,
((_xlfn.XLOOKUP($A650,'[1]DATOS PBI Artículos'!$A:$A,'[1]DATOS PBI Artículos'!$AM:$AM))/(_xlfn.XLOOKUP($AH$1,[1]CRITERIOS!$S$16:$S$39,[1]CRITERIOS!$Y$16:$Y$39))*$J650+$Z650)))</f>
        <v>#N/A</v>
      </c>
      <c r="AI650" s="39" t="e">
        <f>IF($R650="MTO","",
IF($H650=0,ROUNDUP(((_xlfn.XLOOKUP($A650,'[1]DATOS PBI Artículos'!$A:$A,'[1]DATOS PBI Artículos'!$AN:$AN))/(_xlfn.XLOOKUP($AJ$1,[1]CRITERIOS!$S$16:$S$39,[1]CRITERIOS!$Y$16:$Y$39))*$J650+$Z650)/$G650,0)*$G650,
((_xlfn.XLOOKUP($A650,'[1]DATOS PBI Artículos'!$A:$A,'[1]DATOS PBI Artículos'!$AN:$AN))/(_xlfn.XLOOKUP($AJ$1,[1]CRITERIOS!$S$16:$S$39,[1]CRITERIOS!$Y$16:$Y$39))*$J650+$Z650)))</f>
        <v>#N/A</v>
      </c>
      <c r="AK650" s="39" t="e">
        <f>IF($R650="MTO","",
IF($H650=0,ROUNDUP(((_xlfn.XLOOKUP($A650,'[1]DATOS PBI Artículos'!$A:$A,'[1]DATOS PBI Artículos'!$AO:$AO))/(_xlfn.XLOOKUP($AL$1,[1]CRITERIOS!$S$16:$S$39,[1]CRITERIOS!$Y$16:$Y$39))*$J650+$Z650)/$G650,0)*$G650,
((_xlfn.XLOOKUP($A650,'[1]DATOS PBI Artículos'!$A:$A,'[1]DATOS PBI Artículos'!$AO:$AO))/(_xlfn.XLOOKUP($AL$1,[1]CRITERIOS!$S$16:$S$39,[1]CRITERIOS!$Y$16:$Y$39))*$J650+$Z650)))</f>
        <v>#N/A</v>
      </c>
    </row>
    <row r="651" spans="1:37" ht="25.8" hidden="1" x14ac:dyDescent="0.4">
      <c r="A651" s="41"/>
      <c r="B651" s="33">
        <f>_xlfn.XLOOKUP($A651,'[1]DATOS PBI Artículos'!A:A,'[1]DATOS PBI Artículos'!B:B)</f>
        <v>0</v>
      </c>
      <c r="C651" s="33">
        <f>_xlfn.XLOOKUP($A651,'[1]DATOS PBI Artículos'!A:A,'[1]DATOS PBI Artículos'!C:C)</f>
        <v>0</v>
      </c>
      <c r="D651" s="33">
        <f>_xlfn.XLOOKUP(A651,'[1]DATOS PBI Artículos'!A:A,'[1]DATOS PBI Artículos'!T:T)</f>
        <v>0</v>
      </c>
      <c r="E651" s="34">
        <f>IF(_xlfn.XLOOKUP($A651,'[1]DATOS PBI Artículos'!A:A,'[1]DATOS PBI Artículos'!AK:AK)="",_xlfn.XLOOKUP($A651,'[1]DATOS PBI Artículos'!A:A,'[1]DATOS PBI Artículos'!AJ:AJ),_xlfn.XLOOKUP($A651,'[1]DATOS PBI Artículos'!A:A,'[1]DATOS PBI Artículos'!AK:AK))</f>
        <v>0</v>
      </c>
      <c r="F651" s="35">
        <f>_xlfn.XLOOKUP($A651,'[1]DATOS PBI Artículos'!A:A,'[1]DATOS PBI Artículos'!AP:AP)</f>
        <v>0</v>
      </c>
      <c r="G651" s="34">
        <f>_xlfn.XLOOKUP($A651,'[1]DATOS PBI Artículos'!A:A,'[1]DATOS PBI Artículos'!AR:AR)</f>
        <v>0</v>
      </c>
      <c r="H651" s="34">
        <f>_xlfn.XLOOKUP($A651,'[1]DATOS PBI Artículos'!A:A,'[1]DATOS PBI Artículos'!AT:AT)</f>
        <v>0</v>
      </c>
      <c r="I651" s="34">
        <f>_xlfn.XLOOKUP($A651,'[1]DATOS PBI Artículos'!A:A,'[1]DATOS PBI Artículos'!AS:AS)</f>
        <v>0</v>
      </c>
      <c r="J651" s="35">
        <f>IF(COUNTIF([1]CRITERIOS!$F$179:$F$199,$A651)&gt;=1,
 IF(O651&lt;&gt;"",
    (O651/_xlfn.XLOOKUP(CONCATENATE(A651,L651),[1]MÁQUINAS!A:A,[1]MÁQUINAS!D:D))/24,
    (N651/_xlfn.XLOOKUP(CONCATENATE(A651,L651),[1]MÁQUINAS!A:A,[1]MÁQUINAS!D:D))/24),
  _xlfn.XLOOKUP($A651,'[1]DATOS PBI Artículos'!A:A,'[1]DATOS PBI Artículos'!AU:AU))</f>
        <v>0</v>
      </c>
      <c r="K651" s="36">
        <f>_xlfn.XLOOKUP($A651,'[1]DATOS PBI Artículos'!A:A,'[1]DATOS PBI Artículos'!AV:AV)</f>
        <v>0</v>
      </c>
      <c r="L651" s="33">
        <f>_xlfn.XLOOKUP(A651,[1]MÁQUINAS!B:B,[1]MÁQUINAS!C:C)</f>
        <v>0</v>
      </c>
      <c r="M651" s="34">
        <f t="array" ref="M651">_xlfn.XLOOKUP(A651,'[1]DATOS PBI Artículos'!A:A,'[1]DATOS PBI Artículos'!AX:$AX)</f>
        <v>0</v>
      </c>
      <c r="N651" s="37" t="e">
        <f>IF(I651="DV",
E651,
IF(COUNTIF([1]CRITERIOS!$I$179:$I$199,$A651)&gt;=1,
_xlfn.XLOOKUP($A651,[1]CRITERIOS!$I$179:$I$199,[1]CRITERIOS!$J$179:$J$199),
IF(COUNTIF([1]CRITERIOS!$L$179:$L$199,$A651)&gt;=1,
_xlfn.CEILING.MATH(IF($M651&gt;$E651,
$E651,
IF($M651&lt;$E651/ROUNDDOWN([1]CRITERIOS!$M$16/_xlfn.XLOOKUP($C651,[1]CRITERIOS!$K$25:$K$42,[1]CRITERIOS!$M$25:$M$42),
1),
E651/ROUNDDOWN([1]CRITERIOS!$M$16/_xlfn.XLOOKUP($C651,[1]CRITERIOS!$K$25:$K$42,[1]CRITERIOS!$M$25:$M$42),
1),
$M651)),
_xlfn.XLOOKUP($A651,[1]CRITERIOS!$L$179:$L$200,[1]CRITERIOS!$M$179:$M$200)),
_xlfn.CEILING.MATH(IF($M651&gt;$E651,
$E651,
IF($M651&lt;$E651/ROUNDDOWN([1]CRITERIOS!$M$16/_xlfn.XLOOKUP($C651,[1]CRITERIOS!$K$25:$K$42,[1]CRITERIOS!$M$25:$M$42),
1),
E651/ROUNDDOWN([1]CRITERIOS!$M$16/_xlfn.XLOOKUP($C651,[1]CRITERIOS!$K$25:$K$42,[1]CRITERIOS!$M$25:$M$42),
1),
$M651)),_xlfn.XLOOKUP(A651,'[1]DATOS PBI Artículos'!A:A,'[1]DATOS PBI Artículos'!Z:Z
)))))</f>
        <v>#N/A</v>
      </c>
      <c r="Q651" s="38" t="e">
        <f>IF(AND(O651="",N651=0),
0,
   IF(COUNTIF([1]CRITERIOS!$F$179:$F$199,$A651)&gt;=1,
   1,
   IF(R651="MTO",
      $D651,
      ROUNDUP(
                    IF(($E651-SUMIF('[1]DATOS PBI Artículos'!A:A,A651,'[1]DATOS PBI Artículos'!X:X)+($V651-_xlfn.XLOOKUP(A651,'[1]DATOS PBI Artículos'!A:A,'[1]DATOS PBI Artículos'!W:W)))&lt;0,
                    0,
                    IF(($E651-SUMIF('[1]DATOS PBI Artículos'!A:A,A651,'[1]DATOS PBI Artículos'!X:X)+$V651-_xlfn.XLOOKUP($A651,'[1]DATOS PBI Artículos'!A:A,'[1]DATOS PBI Artículos'!W:W))/IF($O651="",$N651,$O651)&gt;ROUNDUP([1]CRITERIOS!$M$16/(IF(COUNTIF([1]CRITERIOS!$BG$11:$BG$201,L651)&gt;=1,_xlfn.XLOOKUP($C651,[1]CRITERIOS!$K$25:$K$42,[1]CRITERIOS!$M$25:$M$42),_xlfn.XLOOKUP($C651,[1]CRITERIOS!$K$25:$K$42,[1]CRITERIOS!$M$25:$M$42))),0),
                    ROUNDUP([1]CRITERIOS!$M$16/(IF(COUNTIF([1]CRITERIOS!$BG$11:$BG$201,$L651)&gt;=1,_xlfn.XLOOKUP($C651,[1]CRITERIOS!$K$25:$K$42,[1]CRITERIOS!$M$25:$M$42),_xlfn.XLOOKUP($C651,[1]CRITERIOS!$K$25:$K$42,[1]CRITERIOS!$M$25:$M$42))),0),
                    (E651+V651-SUMIF('[1]DATOS PBI Artículos'!A:A,A651,'[1]DATOS PBI Artículos'!X:X)-_xlfn.XLOOKUP(A651,'[1]DATOS PBI Artículos'!A:A,'[1]DATOS PBI Artículos'!W:W))/IF($O651="",$N651,$O651))),0))))</f>
        <v>#N/A</v>
      </c>
      <c r="R651" s="33" t="e">
        <f>IF(U651&lt;&gt;"",U651,IF(F651="DV","MTO",IF(N651=0,"MTO",_xlfn.XLOOKUP(CONCATENATE(S651,T651),[1]CRITERIOS!$K$160:$K$168,[1]CRITERIOS!$N$160:$N$168))))</f>
        <v>#N/A</v>
      </c>
      <c r="S651" s="33" t="e">
        <f>IF(G651="DV","MTO",IF(N651=0,"MTO",IF(OR(AND(N651=0,O651=""),IF(O651="",G651/N651,G651/O651)&gt;[1]CRITERIOS!$G$163),"MTO",IF(IF(O651="",G651/N651,G651/O651)&lt;[1]CRITERIOS!$H$161,"MTS","MTOS"))))</f>
        <v>#N/A</v>
      </c>
      <c r="T651" s="33" t="e">
        <f>IF(F651="DV","MTO",IF(OR(AND($N651=0,O651=""),$F651/$J651&gt;[1]CRITERIOS!$G$170,$F651="DV"),"MTO",IF($F651/$J651&lt;[1]CRITERIOS!$H$168,"MTS","MTOS")))</f>
        <v>#N/A</v>
      </c>
      <c r="V651" s="34" t="e">
        <f t="shared" si="31"/>
        <v>#N/A</v>
      </c>
      <c r="X651" s="34" t="e">
        <f t="shared" si="32"/>
        <v>#N/A</v>
      </c>
      <c r="Y651" s="34" t="e">
        <f t="shared" si="33"/>
        <v>#N/A</v>
      </c>
      <c r="Z651" s="34" t="e">
        <f>IF($R651="MTO",
0,
($H651+$K651*($E651/[1]CRITERIOS!$M$16))/[1]CRITERIOS!$X$48)</f>
        <v>#N/A</v>
      </c>
      <c r="AA651" s="34" t="e">
        <f>ROUNDUP(($Y651/_xlfn.XLOOKUP($A651,'[1]DATOS PBI Artículos'!$A$4:$A$4,'[1]DATOS PBI Artículos'!$Z$4:$Z$4))/_xlfn.XLOOKUP(_xlfn.XLOOKUP($A651,'[1]DATOS PBI Artículos'!$A$4:$A$4,'[1]DATOS PBI Artículos'!$Y$4:$Y$4),[1]CRITERIOS!$P$79:$P$123,[1]CRITERIOS!$S$79:$S$123,),0)</f>
        <v>#N/A</v>
      </c>
      <c r="AB651" s="33" t="e">
        <f t="array" ref="AB651">IF((E651+V651-_xlfn.XLOOKUP(A651,'[1]DATOS PBI Artículos'!$A$4:$A$4,'[1]DATOS PBI Artículos'!$W$4:$W$4))/N651&gt;ROUNDUP([1]CRITERIOS!$M$16/(IF(COUNTIF([1]CRITERIOS!$BG$11:$BG$201,L651)&gt;=1,_xlfn.XLOOKUP(ARTÍCULOS!L651,[1]CRITERIOS!$BG$11:$BG$201,[1]CRITERIOS!$BJ$11:$BJ$201),_xlfn.XLOOKUP(ARTÍCULOS!C651,[1]CRITERIOS!$K$25:$K$42,[1]CRITERIOS!$M$25:$M$42))),0),ROUNDUP([1]CRITERIOS!$M$16/(IF(COUNTIF([1]CRITERIOS!$BG$11:$BG$201,L651)&gt;=1,_xlfn.XLOOKUP(ARTÍCULOS!L651,[1]CRITERIOS!$BG$11:$BG$201:#REF!,[1]CRITERIOS!$BJ$11:$BJ$201),_xlfn.XLOOKUP(ARTÍCULOS!C651,[1]CRITERIOS!$K$25:$K$42,[1]CRITERIOS!$M$25:$M$42))),0),(E651+V651-_xlfn.XLOOKUP(A651,'[1]DATOS PBI Artículos'!$A$4:$A$4,'[1]DATOS PBI Artículos'!$W$4:$W$4))/N651)</f>
        <v>#N/A</v>
      </c>
      <c r="AC651" s="33" t="e">
        <f>IF(N651=0,"",(ROUNDUP((N651/2)/(_xlfn.XLOOKUP(A651,'[1]DATOS PBI Artículos'!$A$4:$A$4,'[1]DATOS PBI Artículos'!$Z$4:$Z$4)*_xlfn.XLOOKUP(_xlfn.XLOOKUP(A651,'[1]DATOS PBI Artículos'!$A$4:$A$4,'[1]DATOS PBI Artículos'!$Y$4:$Y$4),[1]CRITERIOS!$P$79:$P$123,[1]CRITERIOS!$S$79:$S$123)),0)*[1]CRITERIOS!$M$80*([1]CRITERIOS!$M$110/[1]CRITERIOS!$M$86)+(_xlfn.XLOOKUP(A651,'[1]DATOS PBI Artículos'!$A$4:$A$4,'[1]DATOS PBI Artículos'!$AA$4:$AA$4)*([1]CRITERIOS!$M$95+[1]CRITERIOS!$M$98)))/N651)</f>
        <v>#N/A</v>
      </c>
      <c r="AD651" s="33" t="e">
        <f>IF(N651=0,"",(ROUNDUP((N651/2)/(_xlfn.XLOOKUP(A651,'[1]DATOS PBI Artículos'!$A$4:$A$4,'[1]DATOS PBI Artículos'!$Z$4:$Z$4)*_xlfn.XLOOKUP(_xlfn.XLOOKUP(A651,'[1]DATOS PBI Artículos'!$A$4:$A$4,'[1]DATOS PBI Artículos'!$Y$4:$Y$4),[1]CRITERIOS!$P$79:$P$123,[1]CRITERIOS!$S$79:$S$123)),0)*[1]CRITERIOS!$M$80*([1]CRITERIOS!$M$89*[1]CRITERIOS!$M$92)+((_xlfn.XLOOKUP(A651,'[1]DATOS PBI Artículos'!$A$4:$A$4,'[1]DATOS PBI Artículos'!$AA$4:$AA$4)/2)*([1]CRITERIOS!$M$95+[1]CRITERIOS!$M$98)))/N651)</f>
        <v>#N/A</v>
      </c>
      <c r="AE651" s="39" t="e">
        <f>IF($R651="MTO","",
IF($H651=0,ROUNDUP(((_xlfn.XLOOKUP($A651,'[1]DATOS PBI Artículos'!$A:$A,'[1]DATOS PBI Artículos'!$AL:$AL))/(_xlfn.XLOOKUP($AF$1,[1]CRITERIOS!$S$16:$S$39,[1]CRITERIOS!$Y$16:$Y$39))*$J651+$Z651)/$G651,0)*$G651,
((_xlfn.XLOOKUP($A651,'[1]DATOS PBI Artículos'!$A:$A,'[1]DATOS PBI Artículos'!$AL:$AL))/(_xlfn.XLOOKUP($AF$1,[1]CRITERIOS!$S$16:$S$39,[1]CRITERIOS!$Y$16:$Y$39))*$J651+$Z651)))</f>
        <v>#N/A</v>
      </c>
      <c r="AG651" s="39" t="e">
        <f>IF($R651="MTO","",
IF($H651=0,ROUNDUP(((_xlfn.XLOOKUP($A651,'[1]DATOS PBI Artículos'!$A:$A,'[1]DATOS PBI Artículos'!$AM:$AM))/(_xlfn.XLOOKUP($AH$1,[1]CRITERIOS!$S$16:$S$39,[1]CRITERIOS!$Y$16:$Y$39))*$J651+$Z651)/$G651,0)*$G651,
((_xlfn.XLOOKUP($A651,'[1]DATOS PBI Artículos'!$A:$A,'[1]DATOS PBI Artículos'!$AM:$AM))/(_xlfn.XLOOKUP($AH$1,[1]CRITERIOS!$S$16:$S$39,[1]CRITERIOS!$Y$16:$Y$39))*$J651+$Z651)))</f>
        <v>#N/A</v>
      </c>
      <c r="AI651" s="39" t="e">
        <f>IF($R651="MTO","",
IF($H651=0,ROUNDUP(((_xlfn.XLOOKUP($A651,'[1]DATOS PBI Artículos'!$A:$A,'[1]DATOS PBI Artículos'!$AN:$AN))/(_xlfn.XLOOKUP($AJ$1,[1]CRITERIOS!$S$16:$S$39,[1]CRITERIOS!$Y$16:$Y$39))*$J651+$Z651)/$G651,0)*$G651,
((_xlfn.XLOOKUP($A651,'[1]DATOS PBI Artículos'!$A:$A,'[1]DATOS PBI Artículos'!$AN:$AN))/(_xlfn.XLOOKUP($AJ$1,[1]CRITERIOS!$S$16:$S$39,[1]CRITERIOS!$Y$16:$Y$39))*$J651+$Z651)))</f>
        <v>#N/A</v>
      </c>
      <c r="AK651" s="39" t="e">
        <f>IF($R651="MTO","",
IF($H651=0,ROUNDUP(((_xlfn.XLOOKUP($A651,'[1]DATOS PBI Artículos'!$A:$A,'[1]DATOS PBI Artículos'!$AO:$AO))/(_xlfn.XLOOKUP($AL$1,[1]CRITERIOS!$S$16:$S$39,[1]CRITERIOS!$Y$16:$Y$39))*$J651+$Z651)/$G651,0)*$G651,
((_xlfn.XLOOKUP($A651,'[1]DATOS PBI Artículos'!$A:$A,'[1]DATOS PBI Artículos'!$AO:$AO))/(_xlfn.XLOOKUP($AL$1,[1]CRITERIOS!$S$16:$S$39,[1]CRITERIOS!$Y$16:$Y$39))*$J651+$Z651)))</f>
        <v>#N/A</v>
      </c>
    </row>
    <row r="652" spans="1:37" ht="25.8" hidden="1" x14ac:dyDescent="0.4">
      <c r="A652" s="41"/>
      <c r="B652" s="33">
        <f>_xlfn.XLOOKUP($A652,'[1]DATOS PBI Artículos'!A:A,'[1]DATOS PBI Artículos'!B:B)</f>
        <v>0</v>
      </c>
      <c r="C652" s="33">
        <f>_xlfn.XLOOKUP($A652,'[1]DATOS PBI Artículos'!A:A,'[1]DATOS PBI Artículos'!C:C)</f>
        <v>0</v>
      </c>
      <c r="D652" s="33">
        <f>_xlfn.XLOOKUP(A652,'[1]DATOS PBI Artículos'!A:A,'[1]DATOS PBI Artículos'!T:T)</f>
        <v>0</v>
      </c>
      <c r="E652" s="34">
        <f>IF(_xlfn.XLOOKUP($A652,'[1]DATOS PBI Artículos'!A:A,'[1]DATOS PBI Artículos'!AK:AK)="",_xlfn.XLOOKUP($A652,'[1]DATOS PBI Artículos'!A:A,'[1]DATOS PBI Artículos'!AJ:AJ),_xlfn.XLOOKUP($A652,'[1]DATOS PBI Artículos'!A:A,'[1]DATOS PBI Artículos'!AK:AK))</f>
        <v>0</v>
      </c>
      <c r="F652" s="35">
        <f>_xlfn.XLOOKUP($A652,'[1]DATOS PBI Artículos'!A:A,'[1]DATOS PBI Artículos'!AP:AP)</f>
        <v>0</v>
      </c>
      <c r="G652" s="34">
        <f>_xlfn.XLOOKUP($A652,'[1]DATOS PBI Artículos'!A:A,'[1]DATOS PBI Artículos'!AR:AR)</f>
        <v>0</v>
      </c>
      <c r="H652" s="34">
        <f>_xlfn.XLOOKUP($A652,'[1]DATOS PBI Artículos'!A:A,'[1]DATOS PBI Artículos'!AT:AT)</f>
        <v>0</v>
      </c>
      <c r="I652" s="34">
        <f>_xlfn.XLOOKUP($A652,'[1]DATOS PBI Artículos'!A:A,'[1]DATOS PBI Artículos'!AS:AS)</f>
        <v>0</v>
      </c>
      <c r="J652" s="35">
        <f>IF(COUNTIF([1]CRITERIOS!$F$179:$F$199,$A652)&gt;=1,
 IF(O652&lt;&gt;"",
    (O652/_xlfn.XLOOKUP(CONCATENATE(A652,L652),[1]MÁQUINAS!A:A,[1]MÁQUINAS!D:D))/24,
    (N652/_xlfn.XLOOKUP(CONCATENATE(A652,L652),[1]MÁQUINAS!A:A,[1]MÁQUINAS!D:D))/24),
  _xlfn.XLOOKUP($A652,'[1]DATOS PBI Artículos'!A:A,'[1]DATOS PBI Artículos'!AU:AU))</f>
        <v>0</v>
      </c>
      <c r="K652" s="36">
        <f>_xlfn.XLOOKUP($A652,'[1]DATOS PBI Artículos'!A:A,'[1]DATOS PBI Artículos'!AV:AV)</f>
        <v>0</v>
      </c>
      <c r="L652" s="33">
        <f>_xlfn.XLOOKUP(A652,[1]MÁQUINAS!B:B,[1]MÁQUINAS!C:C)</f>
        <v>0</v>
      </c>
      <c r="M652" s="34">
        <f t="array" ref="M652">_xlfn.XLOOKUP(A652,'[1]DATOS PBI Artículos'!A:A,'[1]DATOS PBI Artículos'!AX:$AX)</f>
        <v>0</v>
      </c>
      <c r="N652" s="37" t="e">
        <f>IF(I652="DV",
E652,
IF(COUNTIF([1]CRITERIOS!$I$179:$I$199,$A652)&gt;=1,
_xlfn.XLOOKUP($A652,[1]CRITERIOS!$I$179:$I$199,[1]CRITERIOS!$J$179:$J$199),
IF(COUNTIF([1]CRITERIOS!$L$179:$L$199,$A652)&gt;=1,
_xlfn.CEILING.MATH(IF($M652&gt;$E652,
$E652,
IF($M652&lt;$E652/ROUNDDOWN([1]CRITERIOS!$M$16/_xlfn.XLOOKUP($C652,[1]CRITERIOS!$K$25:$K$42,[1]CRITERIOS!$M$25:$M$42),
1),
E652/ROUNDDOWN([1]CRITERIOS!$M$16/_xlfn.XLOOKUP($C652,[1]CRITERIOS!$K$25:$K$42,[1]CRITERIOS!$M$25:$M$42),
1),
$M652)),
_xlfn.XLOOKUP($A652,[1]CRITERIOS!$L$179:$L$200,[1]CRITERIOS!$M$179:$M$200)),
_xlfn.CEILING.MATH(IF($M652&gt;$E652,
$E652,
IF($M652&lt;$E652/ROUNDDOWN([1]CRITERIOS!$M$16/_xlfn.XLOOKUP($C652,[1]CRITERIOS!$K$25:$K$42,[1]CRITERIOS!$M$25:$M$42),
1),
E652/ROUNDDOWN([1]CRITERIOS!$M$16/_xlfn.XLOOKUP($C652,[1]CRITERIOS!$K$25:$K$42,[1]CRITERIOS!$M$25:$M$42),
1),
$M652)),_xlfn.XLOOKUP(A652,'[1]DATOS PBI Artículos'!A:A,'[1]DATOS PBI Artículos'!Z:Z
)))))</f>
        <v>#N/A</v>
      </c>
      <c r="Q652" s="38" t="e">
        <f>IF(AND(O652="",N652=0),
0,
   IF(COUNTIF([1]CRITERIOS!$F$179:$F$199,$A652)&gt;=1,
   1,
   IF(R652="MTO",
      $D652,
      ROUNDUP(
                    IF(($E652-SUMIF('[1]DATOS PBI Artículos'!A:A,A652,'[1]DATOS PBI Artículos'!X:X)+($V652-_xlfn.XLOOKUP(A652,'[1]DATOS PBI Artículos'!A:A,'[1]DATOS PBI Artículos'!W:W)))&lt;0,
                    0,
                    IF(($E652-SUMIF('[1]DATOS PBI Artículos'!A:A,A652,'[1]DATOS PBI Artículos'!X:X)+$V652-_xlfn.XLOOKUP($A652,'[1]DATOS PBI Artículos'!A:A,'[1]DATOS PBI Artículos'!W:W))/IF($O652="",$N652,$O652)&gt;ROUNDUP([1]CRITERIOS!$M$16/(IF(COUNTIF([1]CRITERIOS!$BG$11:$BG$201,L652)&gt;=1,_xlfn.XLOOKUP($C652,[1]CRITERIOS!$K$25:$K$42,[1]CRITERIOS!$M$25:$M$42),_xlfn.XLOOKUP($C652,[1]CRITERIOS!$K$25:$K$42,[1]CRITERIOS!$M$25:$M$42))),0),
                    ROUNDUP([1]CRITERIOS!$M$16/(IF(COUNTIF([1]CRITERIOS!$BG$11:$BG$201,$L652)&gt;=1,_xlfn.XLOOKUP($C652,[1]CRITERIOS!$K$25:$K$42,[1]CRITERIOS!$M$25:$M$42),_xlfn.XLOOKUP($C652,[1]CRITERIOS!$K$25:$K$42,[1]CRITERIOS!$M$25:$M$42))),0),
                    (E652+V652-SUMIF('[1]DATOS PBI Artículos'!A:A,A652,'[1]DATOS PBI Artículos'!X:X)-_xlfn.XLOOKUP(A652,'[1]DATOS PBI Artículos'!A:A,'[1]DATOS PBI Artículos'!W:W))/IF($O652="",$N652,$O652))),0))))</f>
        <v>#N/A</v>
      </c>
      <c r="R652" s="33" t="e">
        <f>IF(U652&lt;&gt;"",U652,IF(F652="DV","MTO",IF(N652=0,"MTO",_xlfn.XLOOKUP(CONCATENATE(S652,T652),[1]CRITERIOS!$K$160:$K$168,[1]CRITERIOS!$N$160:$N$168))))</f>
        <v>#N/A</v>
      </c>
      <c r="S652" s="33" t="e">
        <f>IF(G652="DV","MTO",IF(N652=0,"MTO",IF(OR(AND(N652=0,O652=""),IF(O652="",G652/N652,G652/O652)&gt;[1]CRITERIOS!$G$163),"MTO",IF(IF(O652="",G652/N652,G652/O652)&lt;[1]CRITERIOS!$H$161,"MTS","MTOS"))))</f>
        <v>#N/A</v>
      </c>
      <c r="T652" s="33" t="e">
        <f>IF(F652="DV","MTO",IF(OR(AND($N652=0,O652=""),$F652/$J652&gt;[1]CRITERIOS!$G$170,$F652="DV"),"MTO",IF($F652/$J652&lt;[1]CRITERIOS!$H$168,"MTS","MTOS")))</f>
        <v>#N/A</v>
      </c>
      <c r="V652" s="34" t="e">
        <f t="shared" si="31"/>
        <v>#N/A</v>
      </c>
      <c r="X652" s="34" t="e">
        <f t="shared" si="32"/>
        <v>#N/A</v>
      </c>
      <c r="Y652" s="34" t="e">
        <f t="shared" si="33"/>
        <v>#N/A</v>
      </c>
      <c r="Z652" s="34" t="e">
        <f>IF($R652="MTO",
0,
($H652+$K652*($E652/[1]CRITERIOS!$M$16))/[1]CRITERIOS!$X$48)</f>
        <v>#N/A</v>
      </c>
      <c r="AA652" s="34" t="e">
        <f>ROUNDUP(($Y652/_xlfn.XLOOKUP($A652,'[1]DATOS PBI Artículos'!$A$4:$A$4,'[1]DATOS PBI Artículos'!$Z$4:$Z$4))/_xlfn.XLOOKUP(_xlfn.XLOOKUP($A652,'[1]DATOS PBI Artículos'!$A$4:$A$4,'[1]DATOS PBI Artículos'!$Y$4:$Y$4),[1]CRITERIOS!$P$79:$P$123,[1]CRITERIOS!$S$79:$S$123,),0)</f>
        <v>#N/A</v>
      </c>
      <c r="AB652" s="33" t="e">
        <f t="array" ref="AB652">IF((E652+V652-_xlfn.XLOOKUP(A652,'[1]DATOS PBI Artículos'!$A$4:$A$4,'[1]DATOS PBI Artículos'!$W$4:$W$4))/N652&gt;ROUNDUP([1]CRITERIOS!$M$16/(IF(COUNTIF([1]CRITERIOS!$BG$11:$BG$201,L652)&gt;=1,_xlfn.XLOOKUP(ARTÍCULOS!L652,[1]CRITERIOS!$BG$11:$BG$201,[1]CRITERIOS!$BJ$11:$BJ$201),_xlfn.XLOOKUP(ARTÍCULOS!C652,[1]CRITERIOS!$K$25:$K$42,[1]CRITERIOS!$M$25:$M$42))),0),ROUNDUP([1]CRITERIOS!$M$16/(IF(COUNTIF([1]CRITERIOS!$BG$11:$BG$201,L652)&gt;=1,_xlfn.XLOOKUP(ARTÍCULOS!L652,[1]CRITERIOS!$BG$11:$BG$201:#REF!,[1]CRITERIOS!$BJ$11:$BJ$201),_xlfn.XLOOKUP(ARTÍCULOS!C652,[1]CRITERIOS!$K$25:$K$42,[1]CRITERIOS!$M$25:$M$42))),0),(E652+V652-_xlfn.XLOOKUP(A652,'[1]DATOS PBI Artículos'!$A$4:$A$4,'[1]DATOS PBI Artículos'!$W$4:$W$4))/N652)</f>
        <v>#N/A</v>
      </c>
      <c r="AC652" s="33" t="e">
        <f>IF(N652=0,"",(ROUNDUP((N652/2)/(_xlfn.XLOOKUP(A652,'[1]DATOS PBI Artículos'!$A$4:$A$4,'[1]DATOS PBI Artículos'!$Z$4:$Z$4)*_xlfn.XLOOKUP(_xlfn.XLOOKUP(A652,'[1]DATOS PBI Artículos'!$A$4:$A$4,'[1]DATOS PBI Artículos'!$Y$4:$Y$4),[1]CRITERIOS!$P$79:$P$123,[1]CRITERIOS!$S$79:$S$123)),0)*[1]CRITERIOS!$M$80*([1]CRITERIOS!$M$110/[1]CRITERIOS!$M$86)+(_xlfn.XLOOKUP(A652,'[1]DATOS PBI Artículos'!$A$4:$A$4,'[1]DATOS PBI Artículos'!$AA$4:$AA$4)*([1]CRITERIOS!$M$95+[1]CRITERIOS!$M$98)))/N652)</f>
        <v>#N/A</v>
      </c>
      <c r="AD652" s="33" t="e">
        <f>IF(N652=0,"",(ROUNDUP((N652/2)/(_xlfn.XLOOKUP(A652,'[1]DATOS PBI Artículos'!$A$4:$A$4,'[1]DATOS PBI Artículos'!$Z$4:$Z$4)*_xlfn.XLOOKUP(_xlfn.XLOOKUP(A652,'[1]DATOS PBI Artículos'!$A$4:$A$4,'[1]DATOS PBI Artículos'!$Y$4:$Y$4),[1]CRITERIOS!$P$79:$P$123,[1]CRITERIOS!$S$79:$S$123)),0)*[1]CRITERIOS!$M$80*([1]CRITERIOS!$M$89*[1]CRITERIOS!$M$92)+((_xlfn.XLOOKUP(A652,'[1]DATOS PBI Artículos'!$A$4:$A$4,'[1]DATOS PBI Artículos'!$AA$4:$AA$4)/2)*([1]CRITERIOS!$M$95+[1]CRITERIOS!$M$98)))/N652)</f>
        <v>#N/A</v>
      </c>
      <c r="AE652" s="39" t="e">
        <f>IF($R652="MTO","",
IF($H652=0,ROUNDUP(((_xlfn.XLOOKUP($A652,'[1]DATOS PBI Artículos'!$A:$A,'[1]DATOS PBI Artículos'!$AL:$AL))/(_xlfn.XLOOKUP($AF$1,[1]CRITERIOS!$S$16:$S$39,[1]CRITERIOS!$Y$16:$Y$39))*$J652+$Z652)/$G652,0)*$G652,
((_xlfn.XLOOKUP($A652,'[1]DATOS PBI Artículos'!$A:$A,'[1]DATOS PBI Artículos'!$AL:$AL))/(_xlfn.XLOOKUP($AF$1,[1]CRITERIOS!$S$16:$S$39,[1]CRITERIOS!$Y$16:$Y$39))*$J652+$Z652)))</f>
        <v>#N/A</v>
      </c>
      <c r="AG652" s="39" t="e">
        <f>IF($R652="MTO","",
IF($H652=0,ROUNDUP(((_xlfn.XLOOKUP($A652,'[1]DATOS PBI Artículos'!$A:$A,'[1]DATOS PBI Artículos'!$AM:$AM))/(_xlfn.XLOOKUP($AH$1,[1]CRITERIOS!$S$16:$S$39,[1]CRITERIOS!$Y$16:$Y$39))*$J652+$Z652)/$G652,0)*$G652,
((_xlfn.XLOOKUP($A652,'[1]DATOS PBI Artículos'!$A:$A,'[1]DATOS PBI Artículos'!$AM:$AM))/(_xlfn.XLOOKUP($AH$1,[1]CRITERIOS!$S$16:$S$39,[1]CRITERIOS!$Y$16:$Y$39))*$J652+$Z652)))</f>
        <v>#N/A</v>
      </c>
      <c r="AI652" s="39" t="e">
        <f>IF($R652="MTO","",
IF($H652=0,ROUNDUP(((_xlfn.XLOOKUP($A652,'[1]DATOS PBI Artículos'!$A:$A,'[1]DATOS PBI Artículos'!$AN:$AN))/(_xlfn.XLOOKUP($AJ$1,[1]CRITERIOS!$S$16:$S$39,[1]CRITERIOS!$Y$16:$Y$39))*$J652+$Z652)/$G652,0)*$G652,
((_xlfn.XLOOKUP($A652,'[1]DATOS PBI Artículos'!$A:$A,'[1]DATOS PBI Artículos'!$AN:$AN))/(_xlfn.XLOOKUP($AJ$1,[1]CRITERIOS!$S$16:$S$39,[1]CRITERIOS!$Y$16:$Y$39))*$J652+$Z652)))</f>
        <v>#N/A</v>
      </c>
      <c r="AK652" s="39" t="e">
        <f>IF($R652="MTO","",
IF($H652=0,ROUNDUP(((_xlfn.XLOOKUP($A652,'[1]DATOS PBI Artículos'!$A:$A,'[1]DATOS PBI Artículos'!$AO:$AO))/(_xlfn.XLOOKUP($AL$1,[1]CRITERIOS!$S$16:$S$39,[1]CRITERIOS!$Y$16:$Y$39))*$J652+$Z652)/$G652,0)*$G652,
((_xlfn.XLOOKUP($A652,'[1]DATOS PBI Artículos'!$A:$A,'[1]DATOS PBI Artículos'!$AO:$AO))/(_xlfn.XLOOKUP($AL$1,[1]CRITERIOS!$S$16:$S$39,[1]CRITERIOS!$Y$16:$Y$39))*$J652+$Z652)))</f>
        <v>#N/A</v>
      </c>
    </row>
    <row r="653" spans="1:37" ht="25.8" hidden="1" x14ac:dyDescent="0.4">
      <c r="A653" s="41"/>
      <c r="B653" s="33">
        <f>_xlfn.XLOOKUP($A653,'[1]DATOS PBI Artículos'!A:A,'[1]DATOS PBI Artículos'!B:B)</f>
        <v>0</v>
      </c>
      <c r="C653" s="33">
        <f>_xlfn.XLOOKUP($A653,'[1]DATOS PBI Artículos'!A:A,'[1]DATOS PBI Artículos'!C:C)</f>
        <v>0</v>
      </c>
      <c r="D653" s="33">
        <f>_xlfn.XLOOKUP(A653,'[1]DATOS PBI Artículos'!A:A,'[1]DATOS PBI Artículos'!T:T)</f>
        <v>0</v>
      </c>
      <c r="E653" s="34">
        <f>IF(_xlfn.XLOOKUP($A653,'[1]DATOS PBI Artículos'!A:A,'[1]DATOS PBI Artículos'!AK:AK)="",_xlfn.XLOOKUP($A653,'[1]DATOS PBI Artículos'!A:A,'[1]DATOS PBI Artículos'!AJ:AJ),_xlfn.XLOOKUP($A653,'[1]DATOS PBI Artículos'!A:A,'[1]DATOS PBI Artículos'!AK:AK))</f>
        <v>0</v>
      </c>
      <c r="F653" s="35">
        <f>_xlfn.XLOOKUP($A653,'[1]DATOS PBI Artículos'!A:A,'[1]DATOS PBI Artículos'!AP:AP)</f>
        <v>0</v>
      </c>
      <c r="G653" s="34">
        <f>_xlfn.XLOOKUP($A653,'[1]DATOS PBI Artículos'!A:A,'[1]DATOS PBI Artículos'!AR:AR)</f>
        <v>0</v>
      </c>
      <c r="H653" s="34">
        <f>_xlfn.XLOOKUP($A653,'[1]DATOS PBI Artículos'!A:A,'[1]DATOS PBI Artículos'!AT:AT)</f>
        <v>0</v>
      </c>
      <c r="I653" s="34">
        <f>_xlfn.XLOOKUP($A653,'[1]DATOS PBI Artículos'!A:A,'[1]DATOS PBI Artículos'!AS:AS)</f>
        <v>0</v>
      </c>
      <c r="J653" s="35">
        <f>IF(COUNTIF([1]CRITERIOS!$F$179:$F$199,$A653)&gt;=1,
 IF(O653&lt;&gt;"",
    (O653/_xlfn.XLOOKUP(CONCATENATE(A653,L653),[1]MÁQUINAS!A:A,[1]MÁQUINAS!D:D))/24,
    (N653/_xlfn.XLOOKUP(CONCATENATE(A653,L653),[1]MÁQUINAS!A:A,[1]MÁQUINAS!D:D))/24),
  _xlfn.XLOOKUP($A653,'[1]DATOS PBI Artículos'!A:A,'[1]DATOS PBI Artículos'!AU:AU))</f>
        <v>0</v>
      </c>
      <c r="K653" s="36">
        <f>_xlfn.XLOOKUP($A653,'[1]DATOS PBI Artículos'!A:A,'[1]DATOS PBI Artículos'!AV:AV)</f>
        <v>0</v>
      </c>
      <c r="L653" s="33">
        <f>_xlfn.XLOOKUP(A653,[1]MÁQUINAS!B:B,[1]MÁQUINAS!C:C)</f>
        <v>0</v>
      </c>
      <c r="M653" s="34">
        <f t="array" ref="M653">_xlfn.XLOOKUP(A653,'[1]DATOS PBI Artículos'!A:A,'[1]DATOS PBI Artículos'!AX:$AX)</f>
        <v>0</v>
      </c>
      <c r="N653" s="37" t="e">
        <f>IF(I653="DV",
E653,
IF(COUNTIF([1]CRITERIOS!$I$179:$I$199,$A653)&gt;=1,
_xlfn.XLOOKUP($A653,[1]CRITERIOS!$I$179:$I$199,[1]CRITERIOS!$J$179:$J$199),
IF(COUNTIF([1]CRITERIOS!$L$179:$L$199,$A653)&gt;=1,
_xlfn.CEILING.MATH(IF($M653&gt;$E653,
$E653,
IF($M653&lt;$E653/ROUNDDOWN([1]CRITERIOS!$M$16/_xlfn.XLOOKUP($C653,[1]CRITERIOS!$K$25:$K$42,[1]CRITERIOS!$M$25:$M$42),
1),
E653/ROUNDDOWN([1]CRITERIOS!$M$16/_xlfn.XLOOKUP($C653,[1]CRITERIOS!$K$25:$K$42,[1]CRITERIOS!$M$25:$M$42),
1),
$M653)),
_xlfn.XLOOKUP($A653,[1]CRITERIOS!$L$179:$L$200,[1]CRITERIOS!$M$179:$M$200)),
_xlfn.CEILING.MATH(IF($M653&gt;$E653,
$E653,
IF($M653&lt;$E653/ROUNDDOWN([1]CRITERIOS!$M$16/_xlfn.XLOOKUP($C653,[1]CRITERIOS!$K$25:$K$42,[1]CRITERIOS!$M$25:$M$42),
1),
E653/ROUNDDOWN([1]CRITERIOS!$M$16/_xlfn.XLOOKUP($C653,[1]CRITERIOS!$K$25:$K$42,[1]CRITERIOS!$M$25:$M$42),
1),
$M653)),_xlfn.XLOOKUP(A653,'[1]DATOS PBI Artículos'!A:A,'[1]DATOS PBI Artículos'!Z:Z
)))))</f>
        <v>#N/A</v>
      </c>
      <c r="Q653" s="38" t="e">
        <f>IF(AND(O653="",N653=0),
0,
   IF(COUNTIF([1]CRITERIOS!$F$179:$F$199,$A653)&gt;=1,
   1,
   IF(R653="MTO",
      $D653,
      ROUNDUP(
                    IF(($E653-SUMIF('[1]DATOS PBI Artículos'!A:A,A653,'[1]DATOS PBI Artículos'!X:X)+($V653-_xlfn.XLOOKUP(A653,'[1]DATOS PBI Artículos'!A:A,'[1]DATOS PBI Artículos'!W:W)))&lt;0,
                    0,
                    IF(($E653-SUMIF('[1]DATOS PBI Artículos'!A:A,A653,'[1]DATOS PBI Artículos'!X:X)+$V653-_xlfn.XLOOKUP($A653,'[1]DATOS PBI Artículos'!A:A,'[1]DATOS PBI Artículos'!W:W))/IF($O653="",$N653,$O653)&gt;ROUNDUP([1]CRITERIOS!$M$16/(IF(COUNTIF([1]CRITERIOS!$BG$11:$BG$201,L653)&gt;=1,_xlfn.XLOOKUP($C653,[1]CRITERIOS!$K$25:$K$42,[1]CRITERIOS!$M$25:$M$42),_xlfn.XLOOKUP($C653,[1]CRITERIOS!$K$25:$K$42,[1]CRITERIOS!$M$25:$M$42))),0),
                    ROUNDUP([1]CRITERIOS!$M$16/(IF(COUNTIF([1]CRITERIOS!$BG$11:$BG$201,$L653)&gt;=1,_xlfn.XLOOKUP($C653,[1]CRITERIOS!$K$25:$K$42,[1]CRITERIOS!$M$25:$M$42),_xlfn.XLOOKUP($C653,[1]CRITERIOS!$K$25:$K$42,[1]CRITERIOS!$M$25:$M$42))),0),
                    (E653+V653-SUMIF('[1]DATOS PBI Artículos'!A:A,A653,'[1]DATOS PBI Artículos'!X:X)-_xlfn.XLOOKUP(A653,'[1]DATOS PBI Artículos'!A:A,'[1]DATOS PBI Artículos'!W:W))/IF($O653="",$N653,$O653))),0))))</f>
        <v>#N/A</v>
      </c>
      <c r="R653" s="33" t="e">
        <f>IF(U653&lt;&gt;"",U653,IF(F653="DV","MTO",IF(N653=0,"MTO",_xlfn.XLOOKUP(CONCATENATE(S653,T653),[1]CRITERIOS!$K$160:$K$168,[1]CRITERIOS!$N$160:$N$168))))</f>
        <v>#N/A</v>
      </c>
      <c r="S653" s="33" t="e">
        <f>IF(G653="DV","MTO",IF(N653=0,"MTO",IF(OR(AND(N653=0,O653=""),IF(O653="",G653/N653,G653/O653)&gt;[1]CRITERIOS!$G$163),"MTO",IF(IF(O653="",G653/N653,G653/O653)&lt;[1]CRITERIOS!$H$161,"MTS","MTOS"))))</f>
        <v>#N/A</v>
      </c>
      <c r="T653" s="33" t="e">
        <f>IF(F653="DV","MTO",IF(OR(AND($N653=0,O653=""),$F653/$J653&gt;[1]CRITERIOS!$G$170,$F653="DV"),"MTO",IF($F653/$J653&lt;[1]CRITERIOS!$H$168,"MTS","MTOS")))</f>
        <v>#N/A</v>
      </c>
      <c r="V653" s="34" t="e">
        <f t="shared" si="31"/>
        <v>#N/A</v>
      </c>
      <c r="X653" s="34" t="e">
        <f t="shared" si="32"/>
        <v>#N/A</v>
      </c>
      <c r="Y653" s="34" t="e">
        <f t="shared" si="33"/>
        <v>#N/A</v>
      </c>
      <c r="Z653" s="34" t="e">
        <f>IF($R653="MTO",
0,
($H653+$K653*($E653/[1]CRITERIOS!$M$16))/[1]CRITERIOS!$X$48)</f>
        <v>#N/A</v>
      </c>
      <c r="AA653" s="34" t="e">
        <f>ROUNDUP(($Y653/_xlfn.XLOOKUP($A653,'[1]DATOS PBI Artículos'!$A$4:$A$4,'[1]DATOS PBI Artículos'!$Z$4:$Z$4))/_xlfn.XLOOKUP(_xlfn.XLOOKUP($A653,'[1]DATOS PBI Artículos'!$A$4:$A$4,'[1]DATOS PBI Artículos'!$Y$4:$Y$4),[1]CRITERIOS!$P$79:$P$123,[1]CRITERIOS!$S$79:$S$123,),0)</f>
        <v>#N/A</v>
      </c>
      <c r="AB653" s="33" t="e">
        <f t="array" ref="AB653">IF((E653+V653-_xlfn.XLOOKUP(A653,'[1]DATOS PBI Artículos'!$A$4:$A$4,'[1]DATOS PBI Artículos'!$W$4:$W$4))/N653&gt;ROUNDUP([1]CRITERIOS!$M$16/(IF(COUNTIF([1]CRITERIOS!$BG$11:$BG$201,L653)&gt;=1,_xlfn.XLOOKUP(ARTÍCULOS!L653,[1]CRITERIOS!$BG$11:$BG$201,[1]CRITERIOS!$BJ$11:$BJ$201),_xlfn.XLOOKUP(ARTÍCULOS!C653,[1]CRITERIOS!$K$25:$K$42,[1]CRITERIOS!$M$25:$M$42))),0),ROUNDUP([1]CRITERIOS!$M$16/(IF(COUNTIF([1]CRITERIOS!$BG$11:$BG$201,L653)&gt;=1,_xlfn.XLOOKUP(ARTÍCULOS!L653,[1]CRITERIOS!$BG$11:$BG$201:#REF!,[1]CRITERIOS!$BJ$11:$BJ$201),_xlfn.XLOOKUP(ARTÍCULOS!C653,[1]CRITERIOS!$K$25:$K$42,[1]CRITERIOS!$M$25:$M$42))),0),(E653+V653-_xlfn.XLOOKUP(A653,'[1]DATOS PBI Artículos'!$A$4:$A$4,'[1]DATOS PBI Artículos'!$W$4:$W$4))/N653)</f>
        <v>#N/A</v>
      </c>
      <c r="AC653" s="33" t="e">
        <f>IF(N653=0,"",(ROUNDUP((N653/2)/(_xlfn.XLOOKUP(A653,'[1]DATOS PBI Artículos'!$A$4:$A$4,'[1]DATOS PBI Artículos'!$Z$4:$Z$4)*_xlfn.XLOOKUP(_xlfn.XLOOKUP(A653,'[1]DATOS PBI Artículos'!$A$4:$A$4,'[1]DATOS PBI Artículos'!$Y$4:$Y$4),[1]CRITERIOS!$P$79:$P$123,[1]CRITERIOS!$S$79:$S$123)),0)*[1]CRITERIOS!$M$80*([1]CRITERIOS!$M$110/[1]CRITERIOS!$M$86)+(_xlfn.XLOOKUP(A653,'[1]DATOS PBI Artículos'!$A$4:$A$4,'[1]DATOS PBI Artículos'!$AA$4:$AA$4)*([1]CRITERIOS!$M$95+[1]CRITERIOS!$M$98)))/N653)</f>
        <v>#N/A</v>
      </c>
      <c r="AD653" s="33" t="e">
        <f>IF(N653=0,"",(ROUNDUP((N653/2)/(_xlfn.XLOOKUP(A653,'[1]DATOS PBI Artículos'!$A$4:$A$4,'[1]DATOS PBI Artículos'!$Z$4:$Z$4)*_xlfn.XLOOKUP(_xlfn.XLOOKUP(A653,'[1]DATOS PBI Artículos'!$A$4:$A$4,'[1]DATOS PBI Artículos'!$Y$4:$Y$4),[1]CRITERIOS!$P$79:$P$123,[1]CRITERIOS!$S$79:$S$123)),0)*[1]CRITERIOS!$M$80*([1]CRITERIOS!$M$89*[1]CRITERIOS!$M$92)+((_xlfn.XLOOKUP(A653,'[1]DATOS PBI Artículos'!$A$4:$A$4,'[1]DATOS PBI Artículos'!$AA$4:$AA$4)/2)*([1]CRITERIOS!$M$95+[1]CRITERIOS!$M$98)))/N653)</f>
        <v>#N/A</v>
      </c>
      <c r="AE653" s="39" t="e">
        <f>IF($R653="MTO","",
IF($H653=0,ROUNDUP(((_xlfn.XLOOKUP($A653,'[1]DATOS PBI Artículos'!$A:$A,'[1]DATOS PBI Artículos'!$AL:$AL))/(_xlfn.XLOOKUP($AF$1,[1]CRITERIOS!$S$16:$S$39,[1]CRITERIOS!$Y$16:$Y$39))*$J653+$Z653)/$G653,0)*$G653,
((_xlfn.XLOOKUP($A653,'[1]DATOS PBI Artículos'!$A:$A,'[1]DATOS PBI Artículos'!$AL:$AL))/(_xlfn.XLOOKUP($AF$1,[1]CRITERIOS!$S$16:$S$39,[1]CRITERIOS!$Y$16:$Y$39))*$J653+$Z653)))</f>
        <v>#N/A</v>
      </c>
      <c r="AG653" s="39" t="e">
        <f>IF($R653="MTO","",
IF($H653=0,ROUNDUP(((_xlfn.XLOOKUP($A653,'[1]DATOS PBI Artículos'!$A:$A,'[1]DATOS PBI Artículos'!$AM:$AM))/(_xlfn.XLOOKUP($AH$1,[1]CRITERIOS!$S$16:$S$39,[1]CRITERIOS!$Y$16:$Y$39))*$J653+$Z653)/$G653,0)*$G653,
((_xlfn.XLOOKUP($A653,'[1]DATOS PBI Artículos'!$A:$A,'[1]DATOS PBI Artículos'!$AM:$AM))/(_xlfn.XLOOKUP($AH$1,[1]CRITERIOS!$S$16:$S$39,[1]CRITERIOS!$Y$16:$Y$39))*$J653+$Z653)))</f>
        <v>#N/A</v>
      </c>
      <c r="AI653" s="39" t="e">
        <f>IF($R653="MTO","",
IF($H653=0,ROUNDUP(((_xlfn.XLOOKUP($A653,'[1]DATOS PBI Artículos'!$A:$A,'[1]DATOS PBI Artículos'!$AN:$AN))/(_xlfn.XLOOKUP($AJ$1,[1]CRITERIOS!$S$16:$S$39,[1]CRITERIOS!$Y$16:$Y$39))*$J653+$Z653)/$G653,0)*$G653,
((_xlfn.XLOOKUP($A653,'[1]DATOS PBI Artículos'!$A:$A,'[1]DATOS PBI Artículos'!$AN:$AN))/(_xlfn.XLOOKUP($AJ$1,[1]CRITERIOS!$S$16:$S$39,[1]CRITERIOS!$Y$16:$Y$39))*$J653+$Z653)))</f>
        <v>#N/A</v>
      </c>
      <c r="AK653" s="39" t="e">
        <f>IF($R653="MTO","",
IF($H653=0,ROUNDUP(((_xlfn.XLOOKUP($A653,'[1]DATOS PBI Artículos'!$A:$A,'[1]DATOS PBI Artículos'!$AO:$AO))/(_xlfn.XLOOKUP($AL$1,[1]CRITERIOS!$S$16:$S$39,[1]CRITERIOS!$Y$16:$Y$39))*$J653+$Z653)/$G653,0)*$G653,
((_xlfn.XLOOKUP($A653,'[1]DATOS PBI Artículos'!$A:$A,'[1]DATOS PBI Artículos'!$AO:$AO))/(_xlfn.XLOOKUP($AL$1,[1]CRITERIOS!$S$16:$S$39,[1]CRITERIOS!$Y$16:$Y$39))*$J653+$Z653)))</f>
        <v>#N/A</v>
      </c>
    </row>
    <row r="654" spans="1:37" ht="25.8" hidden="1" x14ac:dyDescent="0.4">
      <c r="A654" s="41"/>
      <c r="B654" s="33">
        <f>_xlfn.XLOOKUP($A654,'[1]DATOS PBI Artículos'!A:A,'[1]DATOS PBI Artículos'!B:B)</f>
        <v>0</v>
      </c>
      <c r="C654" s="33">
        <f>_xlfn.XLOOKUP($A654,'[1]DATOS PBI Artículos'!A:A,'[1]DATOS PBI Artículos'!C:C)</f>
        <v>0</v>
      </c>
      <c r="D654" s="33">
        <f>_xlfn.XLOOKUP(A654,'[1]DATOS PBI Artículos'!A:A,'[1]DATOS PBI Artículos'!T:T)</f>
        <v>0</v>
      </c>
      <c r="E654" s="34">
        <f>IF(_xlfn.XLOOKUP($A654,'[1]DATOS PBI Artículos'!A:A,'[1]DATOS PBI Artículos'!AK:AK)="",_xlfn.XLOOKUP($A654,'[1]DATOS PBI Artículos'!A:A,'[1]DATOS PBI Artículos'!AJ:AJ),_xlfn.XLOOKUP($A654,'[1]DATOS PBI Artículos'!A:A,'[1]DATOS PBI Artículos'!AK:AK))</f>
        <v>0</v>
      </c>
      <c r="F654" s="35">
        <f>_xlfn.XLOOKUP($A654,'[1]DATOS PBI Artículos'!A:A,'[1]DATOS PBI Artículos'!AP:AP)</f>
        <v>0</v>
      </c>
      <c r="G654" s="34">
        <f>_xlfn.XLOOKUP($A654,'[1]DATOS PBI Artículos'!A:A,'[1]DATOS PBI Artículos'!AR:AR)</f>
        <v>0</v>
      </c>
      <c r="H654" s="34">
        <f>_xlfn.XLOOKUP($A654,'[1]DATOS PBI Artículos'!A:A,'[1]DATOS PBI Artículos'!AT:AT)</f>
        <v>0</v>
      </c>
      <c r="I654" s="34">
        <f>_xlfn.XLOOKUP($A654,'[1]DATOS PBI Artículos'!A:A,'[1]DATOS PBI Artículos'!AS:AS)</f>
        <v>0</v>
      </c>
      <c r="J654" s="35">
        <f>IF(COUNTIF([1]CRITERIOS!$F$179:$F$199,$A654)&gt;=1,
 IF(O654&lt;&gt;"",
    (O654/_xlfn.XLOOKUP(CONCATENATE(A654,L654),[1]MÁQUINAS!A:A,[1]MÁQUINAS!D:D))/24,
    (N654/_xlfn.XLOOKUP(CONCATENATE(A654,L654),[1]MÁQUINAS!A:A,[1]MÁQUINAS!D:D))/24),
  _xlfn.XLOOKUP($A654,'[1]DATOS PBI Artículos'!A:A,'[1]DATOS PBI Artículos'!AU:AU))</f>
        <v>0</v>
      </c>
      <c r="K654" s="36">
        <f>_xlfn.XLOOKUP($A654,'[1]DATOS PBI Artículos'!A:A,'[1]DATOS PBI Artículos'!AV:AV)</f>
        <v>0</v>
      </c>
      <c r="L654" s="33">
        <f>_xlfn.XLOOKUP(A654,[1]MÁQUINAS!B:B,[1]MÁQUINAS!C:C)</f>
        <v>0</v>
      </c>
      <c r="M654" s="34">
        <f t="array" ref="M654">_xlfn.XLOOKUP(A654,'[1]DATOS PBI Artículos'!A:A,'[1]DATOS PBI Artículos'!AX:$AX)</f>
        <v>0</v>
      </c>
      <c r="N654" s="37" t="e">
        <f>IF(I654="DV",
E654,
IF(COUNTIF([1]CRITERIOS!$I$179:$I$199,$A654)&gt;=1,
_xlfn.XLOOKUP($A654,[1]CRITERIOS!$I$179:$I$199,[1]CRITERIOS!$J$179:$J$199),
IF(COUNTIF([1]CRITERIOS!$L$179:$L$199,$A654)&gt;=1,
_xlfn.CEILING.MATH(IF($M654&gt;$E654,
$E654,
IF($M654&lt;$E654/ROUNDDOWN([1]CRITERIOS!$M$16/_xlfn.XLOOKUP($C654,[1]CRITERIOS!$K$25:$K$42,[1]CRITERIOS!$M$25:$M$42),
1),
E654/ROUNDDOWN([1]CRITERIOS!$M$16/_xlfn.XLOOKUP($C654,[1]CRITERIOS!$K$25:$K$42,[1]CRITERIOS!$M$25:$M$42),
1),
$M654)),
_xlfn.XLOOKUP($A654,[1]CRITERIOS!$L$179:$L$200,[1]CRITERIOS!$M$179:$M$200)),
_xlfn.CEILING.MATH(IF($M654&gt;$E654,
$E654,
IF($M654&lt;$E654/ROUNDDOWN([1]CRITERIOS!$M$16/_xlfn.XLOOKUP($C654,[1]CRITERIOS!$K$25:$K$42,[1]CRITERIOS!$M$25:$M$42),
1),
E654/ROUNDDOWN([1]CRITERIOS!$M$16/_xlfn.XLOOKUP($C654,[1]CRITERIOS!$K$25:$K$42,[1]CRITERIOS!$M$25:$M$42),
1),
$M654)),_xlfn.XLOOKUP(A654,'[1]DATOS PBI Artículos'!A:A,'[1]DATOS PBI Artículos'!Z:Z
)))))</f>
        <v>#N/A</v>
      </c>
      <c r="Q654" s="38" t="e">
        <f>IF(AND(O654="",N654=0),
0,
   IF(COUNTIF([1]CRITERIOS!$F$179:$F$199,$A654)&gt;=1,
   1,
   IF(R654="MTO",
      $D654,
      ROUNDUP(
                    IF(($E654-SUMIF('[1]DATOS PBI Artículos'!A:A,A654,'[1]DATOS PBI Artículos'!X:X)+($V654-_xlfn.XLOOKUP(A654,'[1]DATOS PBI Artículos'!A:A,'[1]DATOS PBI Artículos'!W:W)))&lt;0,
                    0,
                    IF(($E654-SUMIF('[1]DATOS PBI Artículos'!A:A,A654,'[1]DATOS PBI Artículos'!X:X)+$V654-_xlfn.XLOOKUP($A654,'[1]DATOS PBI Artículos'!A:A,'[1]DATOS PBI Artículos'!W:W))/IF($O654="",$N654,$O654)&gt;ROUNDUP([1]CRITERIOS!$M$16/(IF(COUNTIF([1]CRITERIOS!$BG$11:$BG$201,L654)&gt;=1,_xlfn.XLOOKUP($C654,[1]CRITERIOS!$K$25:$K$42,[1]CRITERIOS!$M$25:$M$42),_xlfn.XLOOKUP($C654,[1]CRITERIOS!$K$25:$K$42,[1]CRITERIOS!$M$25:$M$42))),0),
                    ROUNDUP([1]CRITERIOS!$M$16/(IF(COUNTIF([1]CRITERIOS!$BG$11:$BG$201,$L654)&gt;=1,_xlfn.XLOOKUP($C654,[1]CRITERIOS!$K$25:$K$42,[1]CRITERIOS!$M$25:$M$42),_xlfn.XLOOKUP($C654,[1]CRITERIOS!$K$25:$K$42,[1]CRITERIOS!$M$25:$M$42))),0),
                    (E654+V654-SUMIF('[1]DATOS PBI Artículos'!A:A,A654,'[1]DATOS PBI Artículos'!X:X)-_xlfn.XLOOKUP(A654,'[1]DATOS PBI Artículos'!A:A,'[1]DATOS PBI Artículos'!W:W))/IF($O654="",$N654,$O654))),0))))</f>
        <v>#N/A</v>
      </c>
      <c r="R654" s="33" t="e">
        <f>IF(U654&lt;&gt;"",U654,IF(F654="DV","MTO",IF(N654=0,"MTO",_xlfn.XLOOKUP(CONCATENATE(S654,T654),[1]CRITERIOS!$K$160:$K$168,[1]CRITERIOS!$N$160:$N$168))))</f>
        <v>#N/A</v>
      </c>
      <c r="S654" s="33" t="e">
        <f>IF(G654="DV","MTO",IF(N654=0,"MTO",IF(OR(AND(N654=0,O654=""),IF(O654="",G654/N654,G654/O654)&gt;[1]CRITERIOS!$G$163),"MTO",IF(IF(O654="",G654/N654,G654/O654)&lt;[1]CRITERIOS!$H$161,"MTS","MTOS"))))</f>
        <v>#N/A</v>
      </c>
      <c r="T654" s="33" t="e">
        <f>IF(F654="DV","MTO",IF(OR(AND($N654=0,O654=""),$F654/$J654&gt;[1]CRITERIOS!$G$170,$F654="DV"),"MTO",IF($F654/$J654&lt;[1]CRITERIOS!$H$168,"MTS","MTOS")))</f>
        <v>#N/A</v>
      </c>
      <c r="V654" s="34" t="e">
        <f t="shared" si="31"/>
        <v>#N/A</v>
      </c>
      <c r="X654" s="34" t="e">
        <f t="shared" si="32"/>
        <v>#N/A</v>
      </c>
      <c r="Y654" s="34" t="e">
        <f t="shared" si="33"/>
        <v>#N/A</v>
      </c>
      <c r="Z654" s="34" t="e">
        <f>IF($R654="MTO",
0,
($H654+$K654*($E654/[1]CRITERIOS!$M$16))/[1]CRITERIOS!$X$48)</f>
        <v>#N/A</v>
      </c>
      <c r="AA654" s="34" t="e">
        <f>ROUNDUP(($Y654/_xlfn.XLOOKUP($A654,'[1]DATOS PBI Artículos'!$A$4:$A$4,'[1]DATOS PBI Artículos'!$Z$4:$Z$4))/_xlfn.XLOOKUP(_xlfn.XLOOKUP($A654,'[1]DATOS PBI Artículos'!$A$4:$A$4,'[1]DATOS PBI Artículos'!$Y$4:$Y$4),[1]CRITERIOS!$P$79:$P$123,[1]CRITERIOS!$S$79:$S$123,),0)</f>
        <v>#N/A</v>
      </c>
      <c r="AB654" s="33" t="e">
        <f t="array" ref="AB654">IF((E654+V654-_xlfn.XLOOKUP(A654,'[1]DATOS PBI Artículos'!$A$4:$A$4,'[1]DATOS PBI Artículos'!$W$4:$W$4))/N654&gt;ROUNDUP([1]CRITERIOS!$M$16/(IF(COUNTIF([1]CRITERIOS!$BG$11:$BG$201,L654)&gt;=1,_xlfn.XLOOKUP(ARTÍCULOS!L654,[1]CRITERIOS!$BG$11:$BG$201,[1]CRITERIOS!$BJ$11:$BJ$201),_xlfn.XLOOKUP(ARTÍCULOS!C654,[1]CRITERIOS!$K$25:$K$42,[1]CRITERIOS!$M$25:$M$42))),0),ROUNDUP([1]CRITERIOS!$M$16/(IF(COUNTIF([1]CRITERIOS!$BG$11:$BG$201,L654)&gt;=1,_xlfn.XLOOKUP(ARTÍCULOS!L654,[1]CRITERIOS!$BG$11:$BG$201:#REF!,[1]CRITERIOS!$BJ$11:$BJ$201),_xlfn.XLOOKUP(ARTÍCULOS!C654,[1]CRITERIOS!$K$25:$K$42,[1]CRITERIOS!$M$25:$M$42))),0),(E654+V654-_xlfn.XLOOKUP(A654,'[1]DATOS PBI Artículos'!$A$4:$A$4,'[1]DATOS PBI Artículos'!$W$4:$W$4))/N654)</f>
        <v>#N/A</v>
      </c>
      <c r="AC654" s="33" t="e">
        <f>IF(N654=0,"",(ROUNDUP((N654/2)/(_xlfn.XLOOKUP(A654,'[1]DATOS PBI Artículos'!$A$4:$A$4,'[1]DATOS PBI Artículos'!$Z$4:$Z$4)*_xlfn.XLOOKUP(_xlfn.XLOOKUP(A654,'[1]DATOS PBI Artículos'!$A$4:$A$4,'[1]DATOS PBI Artículos'!$Y$4:$Y$4),[1]CRITERIOS!$P$79:$P$123,[1]CRITERIOS!$S$79:$S$123)),0)*[1]CRITERIOS!$M$80*([1]CRITERIOS!$M$110/[1]CRITERIOS!$M$86)+(_xlfn.XLOOKUP(A654,'[1]DATOS PBI Artículos'!$A$4:$A$4,'[1]DATOS PBI Artículos'!$AA$4:$AA$4)*([1]CRITERIOS!$M$95+[1]CRITERIOS!$M$98)))/N654)</f>
        <v>#N/A</v>
      </c>
      <c r="AD654" s="33" t="e">
        <f>IF(N654=0,"",(ROUNDUP((N654/2)/(_xlfn.XLOOKUP(A654,'[1]DATOS PBI Artículos'!$A$4:$A$4,'[1]DATOS PBI Artículos'!$Z$4:$Z$4)*_xlfn.XLOOKUP(_xlfn.XLOOKUP(A654,'[1]DATOS PBI Artículos'!$A$4:$A$4,'[1]DATOS PBI Artículos'!$Y$4:$Y$4),[1]CRITERIOS!$P$79:$P$123,[1]CRITERIOS!$S$79:$S$123)),0)*[1]CRITERIOS!$M$80*([1]CRITERIOS!$M$89*[1]CRITERIOS!$M$92)+((_xlfn.XLOOKUP(A654,'[1]DATOS PBI Artículos'!$A$4:$A$4,'[1]DATOS PBI Artículos'!$AA$4:$AA$4)/2)*([1]CRITERIOS!$M$95+[1]CRITERIOS!$M$98)))/N654)</f>
        <v>#N/A</v>
      </c>
      <c r="AE654" s="39" t="e">
        <f>IF($R654="MTO","",
IF($H654=0,ROUNDUP(((_xlfn.XLOOKUP($A654,'[1]DATOS PBI Artículos'!$A:$A,'[1]DATOS PBI Artículos'!$AL:$AL))/(_xlfn.XLOOKUP($AF$1,[1]CRITERIOS!$S$16:$S$39,[1]CRITERIOS!$Y$16:$Y$39))*$J654+$Z654)/$G654,0)*$G654,
((_xlfn.XLOOKUP($A654,'[1]DATOS PBI Artículos'!$A:$A,'[1]DATOS PBI Artículos'!$AL:$AL))/(_xlfn.XLOOKUP($AF$1,[1]CRITERIOS!$S$16:$S$39,[1]CRITERIOS!$Y$16:$Y$39))*$J654+$Z654)))</f>
        <v>#N/A</v>
      </c>
      <c r="AG654" s="39" t="e">
        <f>IF($R654="MTO","",
IF($H654=0,ROUNDUP(((_xlfn.XLOOKUP($A654,'[1]DATOS PBI Artículos'!$A:$A,'[1]DATOS PBI Artículos'!$AM:$AM))/(_xlfn.XLOOKUP($AH$1,[1]CRITERIOS!$S$16:$S$39,[1]CRITERIOS!$Y$16:$Y$39))*$J654+$Z654)/$G654,0)*$G654,
((_xlfn.XLOOKUP($A654,'[1]DATOS PBI Artículos'!$A:$A,'[1]DATOS PBI Artículos'!$AM:$AM))/(_xlfn.XLOOKUP($AH$1,[1]CRITERIOS!$S$16:$S$39,[1]CRITERIOS!$Y$16:$Y$39))*$J654+$Z654)))</f>
        <v>#N/A</v>
      </c>
      <c r="AI654" s="39" t="e">
        <f>IF($R654="MTO","",
IF($H654=0,ROUNDUP(((_xlfn.XLOOKUP($A654,'[1]DATOS PBI Artículos'!$A:$A,'[1]DATOS PBI Artículos'!$AN:$AN))/(_xlfn.XLOOKUP($AJ$1,[1]CRITERIOS!$S$16:$S$39,[1]CRITERIOS!$Y$16:$Y$39))*$J654+$Z654)/$G654,0)*$G654,
((_xlfn.XLOOKUP($A654,'[1]DATOS PBI Artículos'!$A:$A,'[1]DATOS PBI Artículos'!$AN:$AN))/(_xlfn.XLOOKUP($AJ$1,[1]CRITERIOS!$S$16:$S$39,[1]CRITERIOS!$Y$16:$Y$39))*$J654+$Z654)))</f>
        <v>#N/A</v>
      </c>
      <c r="AK654" s="39" t="e">
        <f>IF($R654="MTO","",
IF($H654=0,ROUNDUP(((_xlfn.XLOOKUP($A654,'[1]DATOS PBI Artículos'!$A:$A,'[1]DATOS PBI Artículos'!$AO:$AO))/(_xlfn.XLOOKUP($AL$1,[1]CRITERIOS!$S$16:$S$39,[1]CRITERIOS!$Y$16:$Y$39))*$J654+$Z654)/$G654,0)*$G654,
((_xlfn.XLOOKUP($A654,'[1]DATOS PBI Artículos'!$A:$A,'[1]DATOS PBI Artículos'!$AO:$AO))/(_xlfn.XLOOKUP($AL$1,[1]CRITERIOS!$S$16:$S$39,[1]CRITERIOS!$Y$16:$Y$39))*$J654+$Z654)))</f>
        <v>#N/A</v>
      </c>
    </row>
    <row r="655" spans="1:37" ht="25.8" hidden="1" x14ac:dyDescent="0.4">
      <c r="A655" s="41"/>
      <c r="B655" s="33">
        <f>_xlfn.XLOOKUP($A655,'[1]DATOS PBI Artículos'!A:A,'[1]DATOS PBI Artículos'!B:B)</f>
        <v>0</v>
      </c>
      <c r="C655" s="33">
        <f>_xlfn.XLOOKUP($A655,'[1]DATOS PBI Artículos'!A:A,'[1]DATOS PBI Artículos'!C:C)</f>
        <v>0</v>
      </c>
      <c r="D655" s="33">
        <f>_xlfn.XLOOKUP(A655,'[1]DATOS PBI Artículos'!A:A,'[1]DATOS PBI Artículos'!T:T)</f>
        <v>0</v>
      </c>
      <c r="E655" s="34">
        <f>IF(_xlfn.XLOOKUP($A655,'[1]DATOS PBI Artículos'!A:A,'[1]DATOS PBI Artículos'!AK:AK)="",_xlfn.XLOOKUP($A655,'[1]DATOS PBI Artículos'!A:A,'[1]DATOS PBI Artículos'!AJ:AJ),_xlfn.XLOOKUP($A655,'[1]DATOS PBI Artículos'!A:A,'[1]DATOS PBI Artículos'!AK:AK))</f>
        <v>0</v>
      </c>
      <c r="F655" s="35">
        <f>_xlfn.XLOOKUP($A655,'[1]DATOS PBI Artículos'!A:A,'[1]DATOS PBI Artículos'!AP:AP)</f>
        <v>0</v>
      </c>
      <c r="G655" s="34">
        <f>_xlfn.XLOOKUP($A655,'[1]DATOS PBI Artículos'!A:A,'[1]DATOS PBI Artículos'!AR:AR)</f>
        <v>0</v>
      </c>
      <c r="H655" s="34">
        <f>_xlfn.XLOOKUP($A655,'[1]DATOS PBI Artículos'!A:A,'[1]DATOS PBI Artículos'!AT:AT)</f>
        <v>0</v>
      </c>
      <c r="I655" s="34">
        <f>_xlfn.XLOOKUP($A655,'[1]DATOS PBI Artículos'!A:A,'[1]DATOS PBI Artículos'!AS:AS)</f>
        <v>0</v>
      </c>
      <c r="J655" s="35">
        <f>IF(COUNTIF([1]CRITERIOS!$F$179:$F$199,$A655)&gt;=1,
 IF(O655&lt;&gt;"",
    (O655/_xlfn.XLOOKUP(CONCATENATE(A655,L655),[1]MÁQUINAS!A:A,[1]MÁQUINAS!D:D))/24,
    (N655/_xlfn.XLOOKUP(CONCATENATE(A655,L655),[1]MÁQUINAS!A:A,[1]MÁQUINAS!D:D))/24),
  _xlfn.XLOOKUP($A655,'[1]DATOS PBI Artículos'!A:A,'[1]DATOS PBI Artículos'!AU:AU))</f>
        <v>0</v>
      </c>
      <c r="K655" s="36">
        <f>_xlfn.XLOOKUP($A655,'[1]DATOS PBI Artículos'!A:A,'[1]DATOS PBI Artículos'!AV:AV)</f>
        <v>0</v>
      </c>
      <c r="L655" s="33">
        <f>_xlfn.XLOOKUP(A655,[1]MÁQUINAS!B:B,[1]MÁQUINAS!C:C)</f>
        <v>0</v>
      </c>
      <c r="M655" s="34">
        <f t="array" ref="M655">_xlfn.XLOOKUP(A655,'[1]DATOS PBI Artículos'!A:A,'[1]DATOS PBI Artículos'!AX:$AX)</f>
        <v>0</v>
      </c>
      <c r="N655" s="37" t="e">
        <f>IF(I655="DV",
E655,
IF(COUNTIF([1]CRITERIOS!$I$179:$I$199,$A655)&gt;=1,
_xlfn.XLOOKUP($A655,[1]CRITERIOS!$I$179:$I$199,[1]CRITERIOS!$J$179:$J$199),
IF(COUNTIF([1]CRITERIOS!$L$179:$L$199,$A655)&gt;=1,
_xlfn.CEILING.MATH(IF($M655&gt;$E655,
$E655,
IF($M655&lt;$E655/ROUNDDOWN([1]CRITERIOS!$M$16/_xlfn.XLOOKUP($C655,[1]CRITERIOS!$K$25:$K$42,[1]CRITERIOS!$M$25:$M$42),
1),
E655/ROUNDDOWN([1]CRITERIOS!$M$16/_xlfn.XLOOKUP($C655,[1]CRITERIOS!$K$25:$K$42,[1]CRITERIOS!$M$25:$M$42),
1),
$M655)),
_xlfn.XLOOKUP($A655,[1]CRITERIOS!$L$179:$L$200,[1]CRITERIOS!$M$179:$M$200)),
_xlfn.CEILING.MATH(IF($M655&gt;$E655,
$E655,
IF($M655&lt;$E655/ROUNDDOWN([1]CRITERIOS!$M$16/_xlfn.XLOOKUP($C655,[1]CRITERIOS!$K$25:$K$42,[1]CRITERIOS!$M$25:$M$42),
1),
E655/ROUNDDOWN([1]CRITERIOS!$M$16/_xlfn.XLOOKUP($C655,[1]CRITERIOS!$K$25:$K$42,[1]CRITERIOS!$M$25:$M$42),
1),
$M655)),_xlfn.XLOOKUP(A655,'[1]DATOS PBI Artículos'!A:A,'[1]DATOS PBI Artículos'!Z:Z
)))))</f>
        <v>#N/A</v>
      </c>
      <c r="Q655" s="38" t="e">
        <f>IF(AND(O655="",N655=0),
0,
   IF(COUNTIF([1]CRITERIOS!$F$179:$F$199,$A655)&gt;=1,
   1,
   IF(R655="MTO",
      $D655,
      ROUNDUP(
                    IF(($E655-SUMIF('[1]DATOS PBI Artículos'!A:A,A655,'[1]DATOS PBI Artículos'!X:X)+($V655-_xlfn.XLOOKUP(A655,'[1]DATOS PBI Artículos'!A:A,'[1]DATOS PBI Artículos'!W:W)))&lt;0,
                    0,
                    IF(($E655-SUMIF('[1]DATOS PBI Artículos'!A:A,A655,'[1]DATOS PBI Artículos'!X:X)+$V655-_xlfn.XLOOKUP($A655,'[1]DATOS PBI Artículos'!A:A,'[1]DATOS PBI Artículos'!W:W))/IF($O655="",$N655,$O655)&gt;ROUNDUP([1]CRITERIOS!$M$16/(IF(COUNTIF([1]CRITERIOS!$BG$11:$BG$201,L655)&gt;=1,_xlfn.XLOOKUP($C655,[1]CRITERIOS!$K$25:$K$42,[1]CRITERIOS!$M$25:$M$42),_xlfn.XLOOKUP($C655,[1]CRITERIOS!$K$25:$K$42,[1]CRITERIOS!$M$25:$M$42))),0),
                    ROUNDUP([1]CRITERIOS!$M$16/(IF(COUNTIF([1]CRITERIOS!$BG$11:$BG$201,$L655)&gt;=1,_xlfn.XLOOKUP($C655,[1]CRITERIOS!$K$25:$K$42,[1]CRITERIOS!$M$25:$M$42),_xlfn.XLOOKUP($C655,[1]CRITERIOS!$K$25:$K$42,[1]CRITERIOS!$M$25:$M$42))),0),
                    (E655+V655-SUMIF('[1]DATOS PBI Artículos'!A:A,A655,'[1]DATOS PBI Artículos'!X:X)-_xlfn.XLOOKUP(A655,'[1]DATOS PBI Artículos'!A:A,'[1]DATOS PBI Artículos'!W:W))/IF($O655="",$N655,$O655))),0))))</f>
        <v>#N/A</v>
      </c>
      <c r="R655" s="33" t="e">
        <f>IF(U655&lt;&gt;"",U655,IF(F655="DV","MTO",IF(N655=0,"MTO",_xlfn.XLOOKUP(CONCATENATE(S655,T655),[1]CRITERIOS!$K$160:$K$168,[1]CRITERIOS!$N$160:$N$168))))</f>
        <v>#N/A</v>
      </c>
      <c r="S655" s="33" t="e">
        <f>IF(G655="DV","MTO",IF(N655=0,"MTO",IF(OR(AND(N655=0,O655=""),IF(O655="",G655/N655,G655/O655)&gt;[1]CRITERIOS!$G$163),"MTO",IF(IF(O655="",G655/N655,G655/O655)&lt;[1]CRITERIOS!$H$161,"MTS","MTOS"))))</f>
        <v>#N/A</v>
      </c>
      <c r="T655" s="33" t="e">
        <f>IF(F655="DV","MTO",IF(OR(AND($N655=0,O655=""),$F655/$J655&gt;[1]CRITERIOS!$G$170,$F655="DV"),"MTO",IF($F655/$J655&lt;[1]CRITERIOS!$H$168,"MTS","MTOS")))</f>
        <v>#N/A</v>
      </c>
      <c r="V655" s="34" t="e">
        <f t="shared" si="31"/>
        <v>#N/A</v>
      </c>
      <c r="X655" s="34" t="e">
        <f t="shared" si="32"/>
        <v>#N/A</v>
      </c>
      <c r="Y655" s="34" t="e">
        <f t="shared" si="33"/>
        <v>#N/A</v>
      </c>
      <c r="Z655" s="34" t="e">
        <f>IF($R655="MTO",
0,
($H655+$K655*($E655/[1]CRITERIOS!$M$16))/[1]CRITERIOS!$X$48)</f>
        <v>#N/A</v>
      </c>
      <c r="AA655" s="34" t="e">
        <f>ROUNDUP(($Y655/_xlfn.XLOOKUP($A655,'[1]DATOS PBI Artículos'!$A$4:$A$4,'[1]DATOS PBI Artículos'!$Z$4:$Z$4))/_xlfn.XLOOKUP(_xlfn.XLOOKUP($A655,'[1]DATOS PBI Artículos'!$A$4:$A$4,'[1]DATOS PBI Artículos'!$Y$4:$Y$4),[1]CRITERIOS!$P$79:$P$123,[1]CRITERIOS!$S$79:$S$123,),0)</f>
        <v>#N/A</v>
      </c>
      <c r="AB655" s="33" t="e">
        <f t="array" ref="AB655">IF((E655+V655-_xlfn.XLOOKUP(A655,'[1]DATOS PBI Artículos'!$A$4:$A$4,'[1]DATOS PBI Artículos'!$W$4:$W$4))/N655&gt;ROUNDUP([1]CRITERIOS!$M$16/(IF(COUNTIF([1]CRITERIOS!$BG$11:$BG$201,L655)&gt;=1,_xlfn.XLOOKUP(ARTÍCULOS!L655,[1]CRITERIOS!$BG$11:$BG$201,[1]CRITERIOS!$BJ$11:$BJ$201),_xlfn.XLOOKUP(ARTÍCULOS!C655,[1]CRITERIOS!$K$25:$K$42,[1]CRITERIOS!$M$25:$M$42))),0),ROUNDUP([1]CRITERIOS!$M$16/(IF(COUNTIF([1]CRITERIOS!$BG$11:$BG$201,L655)&gt;=1,_xlfn.XLOOKUP(ARTÍCULOS!L655,[1]CRITERIOS!$BG$11:$BG$201:#REF!,[1]CRITERIOS!$BJ$11:$BJ$201),_xlfn.XLOOKUP(ARTÍCULOS!C655,[1]CRITERIOS!$K$25:$K$42,[1]CRITERIOS!$M$25:$M$42))),0),(E655+V655-_xlfn.XLOOKUP(A655,'[1]DATOS PBI Artículos'!$A$4:$A$4,'[1]DATOS PBI Artículos'!$W$4:$W$4))/N655)</f>
        <v>#N/A</v>
      </c>
      <c r="AC655" s="33" t="e">
        <f>IF(N655=0,"",(ROUNDUP((N655/2)/(_xlfn.XLOOKUP(A655,'[1]DATOS PBI Artículos'!$A$4:$A$4,'[1]DATOS PBI Artículos'!$Z$4:$Z$4)*_xlfn.XLOOKUP(_xlfn.XLOOKUP(A655,'[1]DATOS PBI Artículos'!$A$4:$A$4,'[1]DATOS PBI Artículos'!$Y$4:$Y$4),[1]CRITERIOS!$P$79:$P$123,[1]CRITERIOS!$S$79:$S$123)),0)*[1]CRITERIOS!$M$80*([1]CRITERIOS!$M$110/[1]CRITERIOS!$M$86)+(_xlfn.XLOOKUP(A655,'[1]DATOS PBI Artículos'!$A$4:$A$4,'[1]DATOS PBI Artículos'!$AA$4:$AA$4)*([1]CRITERIOS!$M$95+[1]CRITERIOS!$M$98)))/N655)</f>
        <v>#N/A</v>
      </c>
      <c r="AD655" s="33" t="e">
        <f>IF(N655=0,"",(ROUNDUP((N655/2)/(_xlfn.XLOOKUP(A655,'[1]DATOS PBI Artículos'!$A$4:$A$4,'[1]DATOS PBI Artículos'!$Z$4:$Z$4)*_xlfn.XLOOKUP(_xlfn.XLOOKUP(A655,'[1]DATOS PBI Artículos'!$A$4:$A$4,'[1]DATOS PBI Artículos'!$Y$4:$Y$4),[1]CRITERIOS!$P$79:$P$123,[1]CRITERIOS!$S$79:$S$123)),0)*[1]CRITERIOS!$M$80*([1]CRITERIOS!$M$89*[1]CRITERIOS!$M$92)+((_xlfn.XLOOKUP(A655,'[1]DATOS PBI Artículos'!$A$4:$A$4,'[1]DATOS PBI Artículos'!$AA$4:$AA$4)/2)*([1]CRITERIOS!$M$95+[1]CRITERIOS!$M$98)))/N655)</f>
        <v>#N/A</v>
      </c>
      <c r="AE655" s="39" t="e">
        <f>IF($R655="MTO","",
IF($H655=0,ROUNDUP(((_xlfn.XLOOKUP($A655,'[1]DATOS PBI Artículos'!$A:$A,'[1]DATOS PBI Artículos'!$AL:$AL))/(_xlfn.XLOOKUP($AF$1,[1]CRITERIOS!$S$16:$S$39,[1]CRITERIOS!$Y$16:$Y$39))*$J655+$Z655)/$G655,0)*$G655,
((_xlfn.XLOOKUP($A655,'[1]DATOS PBI Artículos'!$A:$A,'[1]DATOS PBI Artículos'!$AL:$AL))/(_xlfn.XLOOKUP($AF$1,[1]CRITERIOS!$S$16:$S$39,[1]CRITERIOS!$Y$16:$Y$39))*$J655+$Z655)))</f>
        <v>#N/A</v>
      </c>
      <c r="AG655" s="39" t="e">
        <f>IF($R655="MTO","",
IF($H655=0,ROUNDUP(((_xlfn.XLOOKUP($A655,'[1]DATOS PBI Artículos'!$A:$A,'[1]DATOS PBI Artículos'!$AM:$AM))/(_xlfn.XLOOKUP($AH$1,[1]CRITERIOS!$S$16:$S$39,[1]CRITERIOS!$Y$16:$Y$39))*$J655+$Z655)/$G655,0)*$G655,
((_xlfn.XLOOKUP($A655,'[1]DATOS PBI Artículos'!$A:$A,'[1]DATOS PBI Artículos'!$AM:$AM))/(_xlfn.XLOOKUP($AH$1,[1]CRITERIOS!$S$16:$S$39,[1]CRITERIOS!$Y$16:$Y$39))*$J655+$Z655)))</f>
        <v>#N/A</v>
      </c>
      <c r="AI655" s="39" t="e">
        <f>IF($R655="MTO","",
IF($H655=0,ROUNDUP(((_xlfn.XLOOKUP($A655,'[1]DATOS PBI Artículos'!$A:$A,'[1]DATOS PBI Artículos'!$AN:$AN))/(_xlfn.XLOOKUP($AJ$1,[1]CRITERIOS!$S$16:$S$39,[1]CRITERIOS!$Y$16:$Y$39))*$J655+$Z655)/$G655,0)*$G655,
((_xlfn.XLOOKUP($A655,'[1]DATOS PBI Artículos'!$A:$A,'[1]DATOS PBI Artículos'!$AN:$AN))/(_xlfn.XLOOKUP($AJ$1,[1]CRITERIOS!$S$16:$S$39,[1]CRITERIOS!$Y$16:$Y$39))*$J655+$Z655)))</f>
        <v>#N/A</v>
      </c>
      <c r="AK655" s="39" t="e">
        <f>IF($R655="MTO","",
IF($H655=0,ROUNDUP(((_xlfn.XLOOKUP($A655,'[1]DATOS PBI Artículos'!$A:$A,'[1]DATOS PBI Artículos'!$AO:$AO))/(_xlfn.XLOOKUP($AL$1,[1]CRITERIOS!$S$16:$S$39,[1]CRITERIOS!$Y$16:$Y$39))*$J655+$Z655)/$G655,0)*$G655,
((_xlfn.XLOOKUP($A655,'[1]DATOS PBI Artículos'!$A:$A,'[1]DATOS PBI Artículos'!$AO:$AO))/(_xlfn.XLOOKUP($AL$1,[1]CRITERIOS!$S$16:$S$39,[1]CRITERIOS!$Y$16:$Y$39))*$J655+$Z655)))</f>
        <v>#N/A</v>
      </c>
    </row>
    <row r="656" spans="1:37" ht="25.8" hidden="1" x14ac:dyDescent="0.4">
      <c r="A656" s="41"/>
      <c r="B656" s="33">
        <f>_xlfn.XLOOKUP($A656,'[1]DATOS PBI Artículos'!A:A,'[1]DATOS PBI Artículos'!B:B)</f>
        <v>0</v>
      </c>
      <c r="C656" s="33">
        <f>_xlfn.XLOOKUP($A656,'[1]DATOS PBI Artículos'!A:A,'[1]DATOS PBI Artículos'!C:C)</f>
        <v>0</v>
      </c>
      <c r="D656" s="33">
        <f>_xlfn.XLOOKUP(A656,'[1]DATOS PBI Artículos'!A:A,'[1]DATOS PBI Artículos'!T:T)</f>
        <v>0</v>
      </c>
      <c r="E656" s="34">
        <f>IF(_xlfn.XLOOKUP($A656,'[1]DATOS PBI Artículos'!A:A,'[1]DATOS PBI Artículos'!AK:AK)="",_xlfn.XLOOKUP($A656,'[1]DATOS PBI Artículos'!A:A,'[1]DATOS PBI Artículos'!AJ:AJ),_xlfn.XLOOKUP($A656,'[1]DATOS PBI Artículos'!A:A,'[1]DATOS PBI Artículos'!AK:AK))</f>
        <v>0</v>
      </c>
      <c r="F656" s="35">
        <f>_xlfn.XLOOKUP($A656,'[1]DATOS PBI Artículos'!A:A,'[1]DATOS PBI Artículos'!AP:AP)</f>
        <v>0</v>
      </c>
      <c r="G656" s="34">
        <f>_xlfn.XLOOKUP($A656,'[1]DATOS PBI Artículos'!A:A,'[1]DATOS PBI Artículos'!AR:AR)</f>
        <v>0</v>
      </c>
      <c r="H656" s="34">
        <f>_xlfn.XLOOKUP($A656,'[1]DATOS PBI Artículos'!A:A,'[1]DATOS PBI Artículos'!AT:AT)</f>
        <v>0</v>
      </c>
      <c r="I656" s="34">
        <f>_xlfn.XLOOKUP($A656,'[1]DATOS PBI Artículos'!A:A,'[1]DATOS PBI Artículos'!AS:AS)</f>
        <v>0</v>
      </c>
      <c r="J656" s="35">
        <f>IF(COUNTIF([1]CRITERIOS!$F$179:$F$199,$A656)&gt;=1,
 IF(O656&lt;&gt;"",
    (O656/_xlfn.XLOOKUP(CONCATENATE(A656,L656),[1]MÁQUINAS!A:A,[1]MÁQUINAS!D:D))/24,
    (N656/_xlfn.XLOOKUP(CONCATENATE(A656,L656),[1]MÁQUINAS!A:A,[1]MÁQUINAS!D:D))/24),
  _xlfn.XLOOKUP($A656,'[1]DATOS PBI Artículos'!A:A,'[1]DATOS PBI Artículos'!AU:AU))</f>
        <v>0</v>
      </c>
      <c r="K656" s="36">
        <f>_xlfn.XLOOKUP($A656,'[1]DATOS PBI Artículos'!A:A,'[1]DATOS PBI Artículos'!AV:AV)</f>
        <v>0</v>
      </c>
      <c r="L656" s="33">
        <f>_xlfn.XLOOKUP(A656,[1]MÁQUINAS!B:B,[1]MÁQUINAS!C:C)</f>
        <v>0</v>
      </c>
      <c r="M656" s="34">
        <f t="array" ref="M656">_xlfn.XLOOKUP(A656,'[1]DATOS PBI Artículos'!A:A,'[1]DATOS PBI Artículos'!AX:$AX)</f>
        <v>0</v>
      </c>
      <c r="N656" s="37" t="e">
        <f>IF(I656="DV",
E656,
IF(COUNTIF([1]CRITERIOS!$I$179:$I$199,$A656)&gt;=1,
_xlfn.XLOOKUP($A656,[1]CRITERIOS!$I$179:$I$199,[1]CRITERIOS!$J$179:$J$199),
IF(COUNTIF([1]CRITERIOS!$L$179:$L$199,$A656)&gt;=1,
_xlfn.CEILING.MATH(IF($M656&gt;$E656,
$E656,
IF($M656&lt;$E656/ROUNDDOWN([1]CRITERIOS!$M$16/_xlfn.XLOOKUP($C656,[1]CRITERIOS!$K$25:$K$42,[1]CRITERIOS!$M$25:$M$42),
1),
E656/ROUNDDOWN([1]CRITERIOS!$M$16/_xlfn.XLOOKUP($C656,[1]CRITERIOS!$K$25:$K$42,[1]CRITERIOS!$M$25:$M$42),
1),
$M656)),
_xlfn.XLOOKUP($A656,[1]CRITERIOS!$L$179:$L$200,[1]CRITERIOS!$M$179:$M$200)),
_xlfn.CEILING.MATH(IF($M656&gt;$E656,
$E656,
IF($M656&lt;$E656/ROUNDDOWN([1]CRITERIOS!$M$16/_xlfn.XLOOKUP($C656,[1]CRITERIOS!$K$25:$K$42,[1]CRITERIOS!$M$25:$M$42),
1),
E656/ROUNDDOWN([1]CRITERIOS!$M$16/_xlfn.XLOOKUP($C656,[1]CRITERIOS!$K$25:$K$42,[1]CRITERIOS!$M$25:$M$42),
1),
$M656)),_xlfn.XLOOKUP(A656,'[1]DATOS PBI Artículos'!A:A,'[1]DATOS PBI Artículos'!Z:Z
)))))</f>
        <v>#N/A</v>
      </c>
      <c r="Q656" s="38" t="e">
        <f>IF(AND(O656="",N656=0),
0,
   IF(COUNTIF([1]CRITERIOS!$F$179:$F$199,$A656)&gt;=1,
   1,
   IF(R656="MTO",
      $D656,
      ROUNDUP(
                    IF(($E656-SUMIF('[1]DATOS PBI Artículos'!A:A,A656,'[1]DATOS PBI Artículos'!X:X)+($V656-_xlfn.XLOOKUP(A656,'[1]DATOS PBI Artículos'!A:A,'[1]DATOS PBI Artículos'!W:W)))&lt;0,
                    0,
                    IF(($E656-SUMIF('[1]DATOS PBI Artículos'!A:A,A656,'[1]DATOS PBI Artículos'!X:X)+$V656-_xlfn.XLOOKUP($A656,'[1]DATOS PBI Artículos'!A:A,'[1]DATOS PBI Artículos'!W:W))/IF($O656="",$N656,$O656)&gt;ROUNDUP([1]CRITERIOS!$M$16/(IF(COUNTIF([1]CRITERIOS!$BG$11:$BG$201,L656)&gt;=1,_xlfn.XLOOKUP($C656,[1]CRITERIOS!$K$25:$K$42,[1]CRITERIOS!$M$25:$M$42),_xlfn.XLOOKUP($C656,[1]CRITERIOS!$K$25:$K$42,[1]CRITERIOS!$M$25:$M$42))),0),
                    ROUNDUP([1]CRITERIOS!$M$16/(IF(COUNTIF([1]CRITERIOS!$BG$11:$BG$201,$L656)&gt;=1,_xlfn.XLOOKUP($C656,[1]CRITERIOS!$K$25:$K$42,[1]CRITERIOS!$M$25:$M$42),_xlfn.XLOOKUP($C656,[1]CRITERIOS!$K$25:$K$42,[1]CRITERIOS!$M$25:$M$42))),0),
                    (E656+V656-SUMIF('[1]DATOS PBI Artículos'!A:A,A656,'[1]DATOS PBI Artículos'!X:X)-_xlfn.XLOOKUP(A656,'[1]DATOS PBI Artículos'!A:A,'[1]DATOS PBI Artículos'!W:W))/IF($O656="",$N656,$O656))),0))))</f>
        <v>#N/A</v>
      </c>
      <c r="R656" s="33" t="e">
        <f>IF(U656&lt;&gt;"",U656,IF(F656="DV","MTO",IF(N656=0,"MTO",_xlfn.XLOOKUP(CONCATENATE(S656,T656),[1]CRITERIOS!$K$160:$K$168,[1]CRITERIOS!$N$160:$N$168))))</f>
        <v>#N/A</v>
      </c>
      <c r="S656" s="33" t="e">
        <f>IF(G656="DV","MTO",IF(N656=0,"MTO",IF(OR(AND(N656=0,O656=""),IF(O656="",G656/N656,G656/O656)&gt;[1]CRITERIOS!$G$163),"MTO",IF(IF(O656="",G656/N656,G656/O656)&lt;[1]CRITERIOS!$H$161,"MTS","MTOS"))))</f>
        <v>#N/A</v>
      </c>
      <c r="T656" s="33" t="e">
        <f>IF(F656="DV","MTO",IF(OR(AND($N656=0,O656=""),$F656/$J656&gt;[1]CRITERIOS!$G$170,$F656="DV"),"MTO",IF($F656/$J656&lt;[1]CRITERIOS!$H$168,"MTS","MTOS")))</f>
        <v>#N/A</v>
      </c>
      <c r="V656" s="34" t="e">
        <f t="shared" si="31"/>
        <v>#N/A</v>
      </c>
      <c r="X656" s="34" t="e">
        <f t="shared" si="32"/>
        <v>#N/A</v>
      </c>
      <c r="Y656" s="34" t="e">
        <f t="shared" si="33"/>
        <v>#N/A</v>
      </c>
      <c r="Z656" s="34" t="e">
        <f>IF($R656="MTO",
0,
($H656+$K656*($E656/[1]CRITERIOS!$M$16))/[1]CRITERIOS!$X$48)</f>
        <v>#N/A</v>
      </c>
      <c r="AA656" s="34" t="e">
        <f>ROUNDUP(($Y656/_xlfn.XLOOKUP($A656,'[1]DATOS PBI Artículos'!$A$4:$A$4,'[1]DATOS PBI Artículos'!$Z$4:$Z$4))/_xlfn.XLOOKUP(_xlfn.XLOOKUP($A656,'[1]DATOS PBI Artículos'!$A$4:$A$4,'[1]DATOS PBI Artículos'!$Y$4:$Y$4),[1]CRITERIOS!$P$79:$P$123,[1]CRITERIOS!$S$79:$S$123,),0)</f>
        <v>#N/A</v>
      </c>
      <c r="AB656" s="33" t="e">
        <f t="array" ref="AB656">IF((E656+V656-_xlfn.XLOOKUP(A656,'[1]DATOS PBI Artículos'!$A$4:$A$4,'[1]DATOS PBI Artículos'!$W$4:$W$4))/N656&gt;ROUNDUP([1]CRITERIOS!$M$16/(IF(COUNTIF([1]CRITERIOS!$BG$11:$BG$201,L656)&gt;=1,_xlfn.XLOOKUP(ARTÍCULOS!L656,[1]CRITERIOS!$BG$11:$BG$201,[1]CRITERIOS!$BJ$11:$BJ$201),_xlfn.XLOOKUP(ARTÍCULOS!C656,[1]CRITERIOS!$K$25:$K$42,[1]CRITERIOS!$M$25:$M$42))),0),ROUNDUP([1]CRITERIOS!$M$16/(IF(COUNTIF([1]CRITERIOS!$BG$11:$BG$201,L656)&gt;=1,_xlfn.XLOOKUP(ARTÍCULOS!L656,[1]CRITERIOS!$BG$11:$BG$201:#REF!,[1]CRITERIOS!$BJ$11:$BJ$201),_xlfn.XLOOKUP(ARTÍCULOS!C656,[1]CRITERIOS!$K$25:$K$42,[1]CRITERIOS!$M$25:$M$42))),0),(E656+V656-_xlfn.XLOOKUP(A656,'[1]DATOS PBI Artículos'!$A$4:$A$4,'[1]DATOS PBI Artículos'!$W$4:$W$4))/N656)</f>
        <v>#N/A</v>
      </c>
      <c r="AC656" s="33" t="e">
        <f>IF(N656=0,"",(ROUNDUP((N656/2)/(_xlfn.XLOOKUP(A656,'[1]DATOS PBI Artículos'!$A$4:$A$4,'[1]DATOS PBI Artículos'!$Z$4:$Z$4)*_xlfn.XLOOKUP(_xlfn.XLOOKUP(A656,'[1]DATOS PBI Artículos'!$A$4:$A$4,'[1]DATOS PBI Artículos'!$Y$4:$Y$4),[1]CRITERIOS!$P$79:$P$123,[1]CRITERIOS!$S$79:$S$123)),0)*[1]CRITERIOS!$M$80*([1]CRITERIOS!$M$110/[1]CRITERIOS!$M$86)+(_xlfn.XLOOKUP(A656,'[1]DATOS PBI Artículos'!$A$4:$A$4,'[1]DATOS PBI Artículos'!$AA$4:$AA$4)*([1]CRITERIOS!$M$95+[1]CRITERIOS!$M$98)))/N656)</f>
        <v>#N/A</v>
      </c>
      <c r="AD656" s="33" t="e">
        <f>IF(N656=0,"",(ROUNDUP((N656/2)/(_xlfn.XLOOKUP(A656,'[1]DATOS PBI Artículos'!$A$4:$A$4,'[1]DATOS PBI Artículos'!$Z$4:$Z$4)*_xlfn.XLOOKUP(_xlfn.XLOOKUP(A656,'[1]DATOS PBI Artículos'!$A$4:$A$4,'[1]DATOS PBI Artículos'!$Y$4:$Y$4),[1]CRITERIOS!$P$79:$P$123,[1]CRITERIOS!$S$79:$S$123)),0)*[1]CRITERIOS!$M$80*([1]CRITERIOS!$M$89*[1]CRITERIOS!$M$92)+((_xlfn.XLOOKUP(A656,'[1]DATOS PBI Artículos'!$A$4:$A$4,'[1]DATOS PBI Artículos'!$AA$4:$AA$4)/2)*([1]CRITERIOS!$M$95+[1]CRITERIOS!$M$98)))/N656)</f>
        <v>#N/A</v>
      </c>
      <c r="AE656" s="39" t="e">
        <f>IF($R656="MTO","",
IF($H656=0,ROUNDUP(((_xlfn.XLOOKUP($A656,'[1]DATOS PBI Artículos'!$A:$A,'[1]DATOS PBI Artículos'!$AL:$AL))/(_xlfn.XLOOKUP($AF$1,[1]CRITERIOS!$S$16:$S$39,[1]CRITERIOS!$Y$16:$Y$39))*$J656+$Z656)/$G656,0)*$G656,
((_xlfn.XLOOKUP($A656,'[1]DATOS PBI Artículos'!$A:$A,'[1]DATOS PBI Artículos'!$AL:$AL))/(_xlfn.XLOOKUP($AF$1,[1]CRITERIOS!$S$16:$S$39,[1]CRITERIOS!$Y$16:$Y$39))*$J656+$Z656)))</f>
        <v>#N/A</v>
      </c>
      <c r="AG656" s="39" t="e">
        <f>IF($R656="MTO","",
IF($H656=0,ROUNDUP(((_xlfn.XLOOKUP($A656,'[1]DATOS PBI Artículos'!$A:$A,'[1]DATOS PBI Artículos'!$AM:$AM))/(_xlfn.XLOOKUP($AH$1,[1]CRITERIOS!$S$16:$S$39,[1]CRITERIOS!$Y$16:$Y$39))*$J656+$Z656)/$G656,0)*$G656,
((_xlfn.XLOOKUP($A656,'[1]DATOS PBI Artículos'!$A:$A,'[1]DATOS PBI Artículos'!$AM:$AM))/(_xlfn.XLOOKUP($AH$1,[1]CRITERIOS!$S$16:$S$39,[1]CRITERIOS!$Y$16:$Y$39))*$J656+$Z656)))</f>
        <v>#N/A</v>
      </c>
      <c r="AI656" s="39" t="e">
        <f>IF($R656="MTO","",
IF($H656=0,ROUNDUP(((_xlfn.XLOOKUP($A656,'[1]DATOS PBI Artículos'!$A:$A,'[1]DATOS PBI Artículos'!$AN:$AN))/(_xlfn.XLOOKUP($AJ$1,[1]CRITERIOS!$S$16:$S$39,[1]CRITERIOS!$Y$16:$Y$39))*$J656+$Z656)/$G656,0)*$G656,
((_xlfn.XLOOKUP($A656,'[1]DATOS PBI Artículos'!$A:$A,'[1]DATOS PBI Artículos'!$AN:$AN))/(_xlfn.XLOOKUP($AJ$1,[1]CRITERIOS!$S$16:$S$39,[1]CRITERIOS!$Y$16:$Y$39))*$J656+$Z656)))</f>
        <v>#N/A</v>
      </c>
      <c r="AK656" s="39" t="e">
        <f>IF($R656="MTO","",
IF($H656=0,ROUNDUP(((_xlfn.XLOOKUP($A656,'[1]DATOS PBI Artículos'!$A:$A,'[1]DATOS PBI Artículos'!$AO:$AO))/(_xlfn.XLOOKUP($AL$1,[1]CRITERIOS!$S$16:$S$39,[1]CRITERIOS!$Y$16:$Y$39))*$J656+$Z656)/$G656,0)*$G656,
((_xlfn.XLOOKUP($A656,'[1]DATOS PBI Artículos'!$A:$A,'[1]DATOS PBI Artículos'!$AO:$AO))/(_xlfn.XLOOKUP($AL$1,[1]CRITERIOS!$S$16:$S$39,[1]CRITERIOS!$Y$16:$Y$39))*$J656+$Z656)))</f>
        <v>#N/A</v>
      </c>
    </row>
    <row r="657" spans="1:37" ht="25.8" hidden="1" x14ac:dyDescent="0.4">
      <c r="A657" s="41"/>
      <c r="B657" s="33">
        <f>_xlfn.XLOOKUP($A657,'[1]DATOS PBI Artículos'!A:A,'[1]DATOS PBI Artículos'!B:B)</f>
        <v>0</v>
      </c>
      <c r="C657" s="33">
        <f>_xlfn.XLOOKUP($A657,'[1]DATOS PBI Artículos'!A:A,'[1]DATOS PBI Artículos'!C:C)</f>
        <v>0</v>
      </c>
      <c r="D657" s="33">
        <f>_xlfn.XLOOKUP(A657,'[1]DATOS PBI Artículos'!A:A,'[1]DATOS PBI Artículos'!T:T)</f>
        <v>0</v>
      </c>
      <c r="E657" s="34">
        <f>IF(_xlfn.XLOOKUP($A657,'[1]DATOS PBI Artículos'!A:A,'[1]DATOS PBI Artículos'!AK:AK)="",_xlfn.XLOOKUP($A657,'[1]DATOS PBI Artículos'!A:A,'[1]DATOS PBI Artículos'!AJ:AJ),_xlfn.XLOOKUP($A657,'[1]DATOS PBI Artículos'!A:A,'[1]DATOS PBI Artículos'!AK:AK))</f>
        <v>0</v>
      </c>
      <c r="F657" s="35">
        <f>_xlfn.XLOOKUP($A657,'[1]DATOS PBI Artículos'!A:A,'[1]DATOS PBI Artículos'!AP:AP)</f>
        <v>0</v>
      </c>
      <c r="G657" s="34">
        <f>_xlfn.XLOOKUP($A657,'[1]DATOS PBI Artículos'!A:A,'[1]DATOS PBI Artículos'!AR:AR)</f>
        <v>0</v>
      </c>
      <c r="H657" s="34">
        <f>_xlfn.XLOOKUP($A657,'[1]DATOS PBI Artículos'!A:A,'[1]DATOS PBI Artículos'!AT:AT)</f>
        <v>0</v>
      </c>
      <c r="I657" s="34">
        <f>_xlfn.XLOOKUP($A657,'[1]DATOS PBI Artículos'!A:A,'[1]DATOS PBI Artículos'!AS:AS)</f>
        <v>0</v>
      </c>
      <c r="J657" s="35">
        <f>IF(COUNTIF([1]CRITERIOS!$F$179:$F$199,$A657)&gt;=1,
 IF(O657&lt;&gt;"",
    (O657/_xlfn.XLOOKUP(CONCATENATE(A657,L657),[1]MÁQUINAS!A:A,[1]MÁQUINAS!D:D))/24,
    (N657/_xlfn.XLOOKUP(CONCATENATE(A657,L657),[1]MÁQUINAS!A:A,[1]MÁQUINAS!D:D))/24),
  _xlfn.XLOOKUP($A657,'[1]DATOS PBI Artículos'!A:A,'[1]DATOS PBI Artículos'!AU:AU))</f>
        <v>0</v>
      </c>
      <c r="K657" s="36">
        <f>_xlfn.XLOOKUP($A657,'[1]DATOS PBI Artículos'!A:A,'[1]DATOS PBI Artículos'!AV:AV)</f>
        <v>0</v>
      </c>
      <c r="L657" s="33">
        <f>_xlfn.XLOOKUP(A657,[1]MÁQUINAS!B:B,[1]MÁQUINAS!C:C)</f>
        <v>0</v>
      </c>
      <c r="M657" s="34">
        <f t="array" ref="M657">_xlfn.XLOOKUP(A657,'[1]DATOS PBI Artículos'!A:A,'[1]DATOS PBI Artículos'!AX:$AX)</f>
        <v>0</v>
      </c>
      <c r="N657" s="37" t="e">
        <f>IF(I657="DV",
E657,
IF(COUNTIF([1]CRITERIOS!$I$179:$I$199,$A657)&gt;=1,
_xlfn.XLOOKUP($A657,[1]CRITERIOS!$I$179:$I$199,[1]CRITERIOS!$J$179:$J$199),
IF(COUNTIF([1]CRITERIOS!$L$179:$L$199,$A657)&gt;=1,
_xlfn.CEILING.MATH(IF($M657&gt;$E657,
$E657,
IF($M657&lt;$E657/ROUNDDOWN([1]CRITERIOS!$M$16/_xlfn.XLOOKUP($C657,[1]CRITERIOS!$K$25:$K$42,[1]CRITERIOS!$M$25:$M$42),
1),
E657/ROUNDDOWN([1]CRITERIOS!$M$16/_xlfn.XLOOKUP($C657,[1]CRITERIOS!$K$25:$K$42,[1]CRITERIOS!$M$25:$M$42),
1),
$M657)),
_xlfn.XLOOKUP($A657,[1]CRITERIOS!$L$179:$L$200,[1]CRITERIOS!$M$179:$M$200)),
_xlfn.CEILING.MATH(IF($M657&gt;$E657,
$E657,
IF($M657&lt;$E657/ROUNDDOWN([1]CRITERIOS!$M$16/_xlfn.XLOOKUP($C657,[1]CRITERIOS!$K$25:$K$42,[1]CRITERIOS!$M$25:$M$42),
1),
E657/ROUNDDOWN([1]CRITERIOS!$M$16/_xlfn.XLOOKUP($C657,[1]CRITERIOS!$K$25:$K$42,[1]CRITERIOS!$M$25:$M$42),
1),
$M657)),_xlfn.XLOOKUP(A657,'[1]DATOS PBI Artículos'!A:A,'[1]DATOS PBI Artículos'!Z:Z
)))))</f>
        <v>#N/A</v>
      </c>
      <c r="Q657" s="38" t="e">
        <f>IF(AND(O657="",N657=0),
0,
   IF(COUNTIF([1]CRITERIOS!$F$179:$F$199,$A657)&gt;=1,
   1,
   IF(R657="MTO",
      $D657,
      ROUNDUP(
                    IF(($E657-SUMIF('[1]DATOS PBI Artículos'!A:A,A657,'[1]DATOS PBI Artículos'!X:X)+($V657-_xlfn.XLOOKUP(A657,'[1]DATOS PBI Artículos'!A:A,'[1]DATOS PBI Artículos'!W:W)))&lt;0,
                    0,
                    IF(($E657-SUMIF('[1]DATOS PBI Artículos'!A:A,A657,'[1]DATOS PBI Artículos'!X:X)+$V657-_xlfn.XLOOKUP($A657,'[1]DATOS PBI Artículos'!A:A,'[1]DATOS PBI Artículos'!W:W))/IF($O657="",$N657,$O657)&gt;ROUNDUP([1]CRITERIOS!$M$16/(IF(COUNTIF([1]CRITERIOS!$BG$11:$BG$201,L657)&gt;=1,_xlfn.XLOOKUP($C657,[1]CRITERIOS!$K$25:$K$42,[1]CRITERIOS!$M$25:$M$42),_xlfn.XLOOKUP($C657,[1]CRITERIOS!$K$25:$K$42,[1]CRITERIOS!$M$25:$M$42))),0),
                    ROUNDUP([1]CRITERIOS!$M$16/(IF(COUNTIF([1]CRITERIOS!$BG$11:$BG$201,$L657)&gt;=1,_xlfn.XLOOKUP($C657,[1]CRITERIOS!$K$25:$K$42,[1]CRITERIOS!$M$25:$M$42),_xlfn.XLOOKUP($C657,[1]CRITERIOS!$K$25:$K$42,[1]CRITERIOS!$M$25:$M$42))),0),
                    (E657+V657-SUMIF('[1]DATOS PBI Artículos'!A:A,A657,'[1]DATOS PBI Artículos'!X:X)-_xlfn.XLOOKUP(A657,'[1]DATOS PBI Artículos'!A:A,'[1]DATOS PBI Artículos'!W:W))/IF($O657="",$N657,$O657))),0))))</f>
        <v>#N/A</v>
      </c>
      <c r="R657" s="33" t="e">
        <f>IF(U657&lt;&gt;"",U657,IF(F657="DV","MTO",IF(N657=0,"MTO",_xlfn.XLOOKUP(CONCATENATE(S657,T657),[1]CRITERIOS!$K$160:$K$168,[1]CRITERIOS!$N$160:$N$168))))</f>
        <v>#N/A</v>
      </c>
      <c r="S657" s="33" t="e">
        <f>IF(G657="DV","MTO",IF(N657=0,"MTO",IF(OR(AND(N657=0,O657=""),IF(O657="",G657/N657,G657/O657)&gt;[1]CRITERIOS!$G$163),"MTO",IF(IF(O657="",G657/N657,G657/O657)&lt;[1]CRITERIOS!$H$161,"MTS","MTOS"))))</f>
        <v>#N/A</v>
      </c>
      <c r="T657" s="33" t="e">
        <f>IF(F657="DV","MTO",IF(OR(AND($N657=0,O657=""),$F657/$J657&gt;[1]CRITERIOS!$G$170,$F657="DV"),"MTO",IF($F657/$J657&lt;[1]CRITERIOS!$H$168,"MTS","MTOS")))</f>
        <v>#N/A</v>
      </c>
      <c r="V657" s="34" t="e">
        <f t="shared" si="31"/>
        <v>#N/A</v>
      </c>
      <c r="X657" s="34" t="e">
        <f t="shared" si="32"/>
        <v>#N/A</v>
      </c>
      <c r="Y657" s="34" t="e">
        <f t="shared" si="33"/>
        <v>#N/A</v>
      </c>
      <c r="Z657" s="34" t="e">
        <f>IF($R657="MTO",
0,
($H657+$K657*($E657/[1]CRITERIOS!$M$16))/[1]CRITERIOS!$X$48)</f>
        <v>#N/A</v>
      </c>
      <c r="AA657" s="34" t="e">
        <f>ROUNDUP(($Y657/_xlfn.XLOOKUP($A657,'[1]DATOS PBI Artículos'!$A$4:$A$4,'[1]DATOS PBI Artículos'!$Z$4:$Z$4))/_xlfn.XLOOKUP(_xlfn.XLOOKUP($A657,'[1]DATOS PBI Artículos'!$A$4:$A$4,'[1]DATOS PBI Artículos'!$Y$4:$Y$4),[1]CRITERIOS!$P$79:$P$123,[1]CRITERIOS!$S$79:$S$123,),0)</f>
        <v>#N/A</v>
      </c>
      <c r="AB657" s="33" t="e">
        <f t="array" ref="AB657">IF((E657+V657-_xlfn.XLOOKUP(A657,'[1]DATOS PBI Artículos'!$A$4:$A$4,'[1]DATOS PBI Artículos'!$W$4:$W$4))/N657&gt;ROUNDUP([1]CRITERIOS!$M$16/(IF(COUNTIF([1]CRITERIOS!$BG$11:$BG$201,L657)&gt;=1,_xlfn.XLOOKUP(ARTÍCULOS!L657,[1]CRITERIOS!$BG$11:$BG$201,[1]CRITERIOS!$BJ$11:$BJ$201),_xlfn.XLOOKUP(ARTÍCULOS!C657,[1]CRITERIOS!$K$25:$K$42,[1]CRITERIOS!$M$25:$M$42))),0),ROUNDUP([1]CRITERIOS!$M$16/(IF(COUNTIF([1]CRITERIOS!$BG$11:$BG$201,L657)&gt;=1,_xlfn.XLOOKUP(ARTÍCULOS!L657,[1]CRITERIOS!$BG$11:$BG$201:#REF!,[1]CRITERIOS!$BJ$11:$BJ$201),_xlfn.XLOOKUP(ARTÍCULOS!C657,[1]CRITERIOS!$K$25:$K$42,[1]CRITERIOS!$M$25:$M$42))),0),(E657+V657-_xlfn.XLOOKUP(A657,'[1]DATOS PBI Artículos'!$A$4:$A$4,'[1]DATOS PBI Artículos'!$W$4:$W$4))/N657)</f>
        <v>#N/A</v>
      </c>
      <c r="AC657" s="33" t="e">
        <f>IF(N657=0,"",(ROUNDUP((N657/2)/(_xlfn.XLOOKUP(A657,'[1]DATOS PBI Artículos'!$A$4:$A$4,'[1]DATOS PBI Artículos'!$Z$4:$Z$4)*_xlfn.XLOOKUP(_xlfn.XLOOKUP(A657,'[1]DATOS PBI Artículos'!$A$4:$A$4,'[1]DATOS PBI Artículos'!$Y$4:$Y$4),[1]CRITERIOS!$P$79:$P$123,[1]CRITERIOS!$S$79:$S$123)),0)*[1]CRITERIOS!$M$80*([1]CRITERIOS!$M$110/[1]CRITERIOS!$M$86)+(_xlfn.XLOOKUP(A657,'[1]DATOS PBI Artículos'!$A$4:$A$4,'[1]DATOS PBI Artículos'!$AA$4:$AA$4)*([1]CRITERIOS!$M$95+[1]CRITERIOS!$M$98)))/N657)</f>
        <v>#N/A</v>
      </c>
      <c r="AD657" s="33" t="e">
        <f>IF(N657=0,"",(ROUNDUP((N657/2)/(_xlfn.XLOOKUP(A657,'[1]DATOS PBI Artículos'!$A$4:$A$4,'[1]DATOS PBI Artículos'!$Z$4:$Z$4)*_xlfn.XLOOKUP(_xlfn.XLOOKUP(A657,'[1]DATOS PBI Artículos'!$A$4:$A$4,'[1]DATOS PBI Artículos'!$Y$4:$Y$4),[1]CRITERIOS!$P$79:$P$123,[1]CRITERIOS!$S$79:$S$123)),0)*[1]CRITERIOS!$M$80*([1]CRITERIOS!$M$89*[1]CRITERIOS!$M$92)+((_xlfn.XLOOKUP(A657,'[1]DATOS PBI Artículos'!$A$4:$A$4,'[1]DATOS PBI Artículos'!$AA$4:$AA$4)/2)*([1]CRITERIOS!$M$95+[1]CRITERIOS!$M$98)))/N657)</f>
        <v>#N/A</v>
      </c>
      <c r="AE657" s="39" t="e">
        <f>IF($R657="MTO","",
IF($H657=0,ROUNDUP(((_xlfn.XLOOKUP($A657,'[1]DATOS PBI Artículos'!$A:$A,'[1]DATOS PBI Artículos'!$AL:$AL))/(_xlfn.XLOOKUP($AF$1,[1]CRITERIOS!$S$16:$S$39,[1]CRITERIOS!$Y$16:$Y$39))*$J657+$Z657)/$G657,0)*$G657,
((_xlfn.XLOOKUP($A657,'[1]DATOS PBI Artículos'!$A:$A,'[1]DATOS PBI Artículos'!$AL:$AL))/(_xlfn.XLOOKUP($AF$1,[1]CRITERIOS!$S$16:$S$39,[1]CRITERIOS!$Y$16:$Y$39))*$J657+$Z657)))</f>
        <v>#N/A</v>
      </c>
      <c r="AG657" s="39" t="e">
        <f>IF($R657="MTO","",
IF($H657=0,ROUNDUP(((_xlfn.XLOOKUP($A657,'[1]DATOS PBI Artículos'!$A:$A,'[1]DATOS PBI Artículos'!$AM:$AM))/(_xlfn.XLOOKUP($AH$1,[1]CRITERIOS!$S$16:$S$39,[1]CRITERIOS!$Y$16:$Y$39))*$J657+$Z657)/$G657,0)*$G657,
((_xlfn.XLOOKUP($A657,'[1]DATOS PBI Artículos'!$A:$A,'[1]DATOS PBI Artículos'!$AM:$AM))/(_xlfn.XLOOKUP($AH$1,[1]CRITERIOS!$S$16:$S$39,[1]CRITERIOS!$Y$16:$Y$39))*$J657+$Z657)))</f>
        <v>#N/A</v>
      </c>
      <c r="AI657" s="39" t="e">
        <f>IF($R657="MTO","",
IF($H657=0,ROUNDUP(((_xlfn.XLOOKUP($A657,'[1]DATOS PBI Artículos'!$A:$A,'[1]DATOS PBI Artículos'!$AN:$AN))/(_xlfn.XLOOKUP($AJ$1,[1]CRITERIOS!$S$16:$S$39,[1]CRITERIOS!$Y$16:$Y$39))*$J657+$Z657)/$G657,0)*$G657,
((_xlfn.XLOOKUP($A657,'[1]DATOS PBI Artículos'!$A:$A,'[1]DATOS PBI Artículos'!$AN:$AN))/(_xlfn.XLOOKUP($AJ$1,[1]CRITERIOS!$S$16:$S$39,[1]CRITERIOS!$Y$16:$Y$39))*$J657+$Z657)))</f>
        <v>#N/A</v>
      </c>
      <c r="AK657" s="39" t="e">
        <f>IF($R657="MTO","",
IF($H657=0,ROUNDUP(((_xlfn.XLOOKUP($A657,'[1]DATOS PBI Artículos'!$A:$A,'[1]DATOS PBI Artículos'!$AO:$AO))/(_xlfn.XLOOKUP($AL$1,[1]CRITERIOS!$S$16:$S$39,[1]CRITERIOS!$Y$16:$Y$39))*$J657+$Z657)/$G657,0)*$G657,
((_xlfn.XLOOKUP($A657,'[1]DATOS PBI Artículos'!$A:$A,'[1]DATOS PBI Artículos'!$AO:$AO))/(_xlfn.XLOOKUP($AL$1,[1]CRITERIOS!$S$16:$S$39,[1]CRITERIOS!$Y$16:$Y$39))*$J657+$Z657)))</f>
        <v>#N/A</v>
      </c>
    </row>
    <row r="658" spans="1:37" ht="25.8" hidden="1" x14ac:dyDescent="0.4">
      <c r="A658" s="41"/>
      <c r="B658" s="33">
        <f>_xlfn.XLOOKUP($A658,'[1]DATOS PBI Artículos'!A:A,'[1]DATOS PBI Artículos'!B:B)</f>
        <v>0</v>
      </c>
      <c r="C658" s="33">
        <f>_xlfn.XLOOKUP($A658,'[1]DATOS PBI Artículos'!A:A,'[1]DATOS PBI Artículos'!C:C)</f>
        <v>0</v>
      </c>
      <c r="D658" s="33">
        <f>_xlfn.XLOOKUP(A658,'[1]DATOS PBI Artículos'!A:A,'[1]DATOS PBI Artículos'!T:T)</f>
        <v>0</v>
      </c>
      <c r="E658" s="34">
        <f>IF(_xlfn.XLOOKUP($A658,'[1]DATOS PBI Artículos'!A:A,'[1]DATOS PBI Artículos'!AK:AK)="",_xlfn.XLOOKUP($A658,'[1]DATOS PBI Artículos'!A:A,'[1]DATOS PBI Artículos'!AJ:AJ),_xlfn.XLOOKUP($A658,'[1]DATOS PBI Artículos'!A:A,'[1]DATOS PBI Artículos'!AK:AK))</f>
        <v>0</v>
      </c>
      <c r="F658" s="35">
        <f>_xlfn.XLOOKUP($A658,'[1]DATOS PBI Artículos'!A:A,'[1]DATOS PBI Artículos'!AP:AP)</f>
        <v>0</v>
      </c>
      <c r="G658" s="34">
        <f>_xlfn.XLOOKUP($A658,'[1]DATOS PBI Artículos'!A:A,'[1]DATOS PBI Artículos'!AR:AR)</f>
        <v>0</v>
      </c>
      <c r="H658" s="34">
        <f>_xlfn.XLOOKUP($A658,'[1]DATOS PBI Artículos'!A:A,'[1]DATOS PBI Artículos'!AT:AT)</f>
        <v>0</v>
      </c>
      <c r="I658" s="34">
        <f>_xlfn.XLOOKUP($A658,'[1]DATOS PBI Artículos'!A:A,'[1]DATOS PBI Artículos'!AS:AS)</f>
        <v>0</v>
      </c>
      <c r="J658" s="35">
        <f>IF(COUNTIF([1]CRITERIOS!$F$179:$F$199,$A658)&gt;=1,
 IF(O658&lt;&gt;"",
    (O658/_xlfn.XLOOKUP(CONCATENATE(A658,L658),[1]MÁQUINAS!A:A,[1]MÁQUINAS!D:D))/24,
    (N658/_xlfn.XLOOKUP(CONCATENATE(A658,L658),[1]MÁQUINAS!A:A,[1]MÁQUINAS!D:D))/24),
  _xlfn.XLOOKUP($A658,'[1]DATOS PBI Artículos'!A:A,'[1]DATOS PBI Artículos'!AU:AU))</f>
        <v>0</v>
      </c>
      <c r="K658" s="36">
        <f>_xlfn.XLOOKUP($A658,'[1]DATOS PBI Artículos'!A:A,'[1]DATOS PBI Artículos'!AV:AV)</f>
        <v>0</v>
      </c>
      <c r="L658" s="33">
        <f>_xlfn.XLOOKUP(A658,[1]MÁQUINAS!B:B,[1]MÁQUINAS!C:C)</f>
        <v>0</v>
      </c>
      <c r="M658" s="34">
        <f t="array" ref="M658">_xlfn.XLOOKUP(A658,'[1]DATOS PBI Artículos'!A:A,'[1]DATOS PBI Artículos'!AX:$AX)</f>
        <v>0</v>
      </c>
      <c r="N658" s="37" t="e">
        <f>IF(I658="DV",
E658,
IF(COUNTIF([1]CRITERIOS!$I$179:$I$199,$A658)&gt;=1,
_xlfn.XLOOKUP($A658,[1]CRITERIOS!$I$179:$I$199,[1]CRITERIOS!$J$179:$J$199),
IF(COUNTIF([1]CRITERIOS!$L$179:$L$199,$A658)&gt;=1,
_xlfn.CEILING.MATH(IF($M658&gt;$E658,
$E658,
IF($M658&lt;$E658/ROUNDDOWN([1]CRITERIOS!$M$16/_xlfn.XLOOKUP($C658,[1]CRITERIOS!$K$25:$K$42,[1]CRITERIOS!$M$25:$M$42),
1),
E658/ROUNDDOWN([1]CRITERIOS!$M$16/_xlfn.XLOOKUP($C658,[1]CRITERIOS!$K$25:$K$42,[1]CRITERIOS!$M$25:$M$42),
1),
$M658)),
_xlfn.XLOOKUP($A658,[1]CRITERIOS!$L$179:$L$200,[1]CRITERIOS!$M$179:$M$200)),
_xlfn.CEILING.MATH(IF($M658&gt;$E658,
$E658,
IF($M658&lt;$E658/ROUNDDOWN([1]CRITERIOS!$M$16/_xlfn.XLOOKUP($C658,[1]CRITERIOS!$K$25:$K$42,[1]CRITERIOS!$M$25:$M$42),
1),
E658/ROUNDDOWN([1]CRITERIOS!$M$16/_xlfn.XLOOKUP($C658,[1]CRITERIOS!$K$25:$K$42,[1]CRITERIOS!$M$25:$M$42),
1),
$M658)),_xlfn.XLOOKUP(A658,'[1]DATOS PBI Artículos'!A:A,'[1]DATOS PBI Artículos'!Z:Z
)))))</f>
        <v>#N/A</v>
      </c>
      <c r="Q658" s="38" t="e">
        <f>IF(AND(O658="",N658=0),
0,
   IF(COUNTIF([1]CRITERIOS!$F$179:$F$199,$A658)&gt;=1,
   1,
   IF(R658="MTO",
      $D658,
      ROUNDUP(
                    IF(($E658-SUMIF('[1]DATOS PBI Artículos'!A:A,A658,'[1]DATOS PBI Artículos'!X:X)+($V658-_xlfn.XLOOKUP(A658,'[1]DATOS PBI Artículos'!A:A,'[1]DATOS PBI Artículos'!W:W)))&lt;0,
                    0,
                    IF(($E658-SUMIF('[1]DATOS PBI Artículos'!A:A,A658,'[1]DATOS PBI Artículos'!X:X)+$V658-_xlfn.XLOOKUP($A658,'[1]DATOS PBI Artículos'!A:A,'[1]DATOS PBI Artículos'!W:W))/IF($O658="",$N658,$O658)&gt;ROUNDUP([1]CRITERIOS!$M$16/(IF(COUNTIF([1]CRITERIOS!$BG$11:$BG$201,L658)&gt;=1,_xlfn.XLOOKUP($C658,[1]CRITERIOS!$K$25:$K$42,[1]CRITERIOS!$M$25:$M$42),_xlfn.XLOOKUP($C658,[1]CRITERIOS!$K$25:$K$42,[1]CRITERIOS!$M$25:$M$42))),0),
                    ROUNDUP([1]CRITERIOS!$M$16/(IF(COUNTIF([1]CRITERIOS!$BG$11:$BG$201,$L658)&gt;=1,_xlfn.XLOOKUP($C658,[1]CRITERIOS!$K$25:$K$42,[1]CRITERIOS!$M$25:$M$42),_xlfn.XLOOKUP($C658,[1]CRITERIOS!$K$25:$K$42,[1]CRITERIOS!$M$25:$M$42))),0),
                    (E658+V658-SUMIF('[1]DATOS PBI Artículos'!A:A,A658,'[1]DATOS PBI Artículos'!X:X)-_xlfn.XLOOKUP(A658,'[1]DATOS PBI Artículos'!A:A,'[1]DATOS PBI Artículos'!W:W))/IF($O658="",$N658,$O658))),0))))</f>
        <v>#N/A</v>
      </c>
      <c r="R658" s="33" t="e">
        <f>IF(U658&lt;&gt;"",U658,IF(F658="DV","MTO",IF(N658=0,"MTO",_xlfn.XLOOKUP(CONCATENATE(S658,T658),[1]CRITERIOS!$K$160:$K$168,[1]CRITERIOS!$N$160:$N$168))))</f>
        <v>#N/A</v>
      </c>
      <c r="S658" s="33" t="e">
        <f>IF(G658="DV","MTO",IF(N658=0,"MTO",IF(OR(AND(N658=0,O658=""),IF(O658="",G658/N658,G658/O658)&gt;[1]CRITERIOS!$G$163),"MTO",IF(IF(O658="",G658/N658,G658/O658)&lt;[1]CRITERIOS!$H$161,"MTS","MTOS"))))</f>
        <v>#N/A</v>
      </c>
      <c r="T658" s="33" t="e">
        <f>IF(F658="DV","MTO",IF(OR(AND($N658=0,O658=""),$F658/$J658&gt;[1]CRITERIOS!$G$170,$F658="DV"),"MTO",IF($F658/$J658&lt;[1]CRITERIOS!$H$168,"MTS","MTOS")))</f>
        <v>#N/A</v>
      </c>
      <c r="V658" s="34" t="e">
        <f t="shared" si="31"/>
        <v>#N/A</v>
      </c>
      <c r="X658" s="34" t="e">
        <f t="shared" si="32"/>
        <v>#N/A</v>
      </c>
      <c r="Y658" s="34" t="e">
        <f t="shared" si="33"/>
        <v>#N/A</v>
      </c>
      <c r="Z658" s="34" t="e">
        <f>IF($R658="MTO",
0,
($H658+$K658*($E658/[1]CRITERIOS!$M$16))/[1]CRITERIOS!$X$48)</f>
        <v>#N/A</v>
      </c>
      <c r="AA658" s="34" t="e">
        <f>ROUNDUP(($Y658/_xlfn.XLOOKUP($A658,'[1]DATOS PBI Artículos'!$A$4:$A$4,'[1]DATOS PBI Artículos'!$Z$4:$Z$4))/_xlfn.XLOOKUP(_xlfn.XLOOKUP($A658,'[1]DATOS PBI Artículos'!$A$4:$A$4,'[1]DATOS PBI Artículos'!$Y$4:$Y$4),[1]CRITERIOS!$P$79:$P$123,[1]CRITERIOS!$S$79:$S$123,),0)</f>
        <v>#N/A</v>
      </c>
      <c r="AB658" s="33" t="e">
        <f t="array" ref="AB658">IF((E658+V658-_xlfn.XLOOKUP(A658,'[1]DATOS PBI Artículos'!$A$4:$A$4,'[1]DATOS PBI Artículos'!$W$4:$W$4))/N658&gt;ROUNDUP([1]CRITERIOS!$M$16/(IF(COUNTIF([1]CRITERIOS!$BG$11:$BG$201,L658)&gt;=1,_xlfn.XLOOKUP(ARTÍCULOS!L658,[1]CRITERIOS!$BG$11:$BG$201,[1]CRITERIOS!$BJ$11:$BJ$201),_xlfn.XLOOKUP(ARTÍCULOS!C658,[1]CRITERIOS!$K$25:$K$42,[1]CRITERIOS!$M$25:$M$42))),0),ROUNDUP([1]CRITERIOS!$M$16/(IF(COUNTIF([1]CRITERIOS!$BG$11:$BG$201,L658)&gt;=1,_xlfn.XLOOKUP(ARTÍCULOS!L658,[1]CRITERIOS!$BG$11:$BG$201:#REF!,[1]CRITERIOS!$BJ$11:$BJ$201),_xlfn.XLOOKUP(ARTÍCULOS!C658,[1]CRITERIOS!$K$25:$K$42,[1]CRITERIOS!$M$25:$M$42))),0),(E658+V658-_xlfn.XLOOKUP(A658,'[1]DATOS PBI Artículos'!$A$4:$A$4,'[1]DATOS PBI Artículos'!$W$4:$W$4))/N658)</f>
        <v>#N/A</v>
      </c>
      <c r="AC658" s="33" t="e">
        <f>IF(N658=0,"",(ROUNDUP((N658/2)/(_xlfn.XLOOKUP(A658,'[1]DATOS PBI Artículos'!$A$4:$A$4,'[1]DATOS PBI Artículos'!$Z$4:$Z$4)*_xlfn.XLOOKUP(_xlfn.XLOOKUP(A658,'[1]DATOS PBI Artículos'!$A$4:$A$4,'[1]DATOS PBI Artículos'!$Y$4:$Y$4),[1]CRITERIOS!$P$79:$P$123,[1]CRITERIOS!$S$79:$S$123)),0)*[1]CRITERIOS!$M$80*([1]CRITERIOS!$M$110/[1]CRITERIOS!$M$86)+(_xlfn.XLOOKUP(A658,'[1]DATOS PBI Artículos'!$A$4:$A$4,'[1]DATOS PBI Artículos'!$AA$4:$AA$4)*([1]CRITERIOS!$M$95+[1]CRITERIOS!$M$98)))/N658)</f>
        <v>#N/A</v>
      </c>
      <c r="AD658" s="33" t="e">
        <f>IF(N658=0,"",(ROUNDUP((N658/2)/(_xlfn.XLOOKUP(A658,'[1]DATOS PBI Artículos'!$A$4:$A$4,'[1]DATOS PBI Artículos'!$Z$4:$Z$4)*_xlfn.XLOOKUP(_xlfn.XLOOKUP(A658,'[1]DATOS PBI Artículos'!$A$4:$A$4,'[1]DATOS PBI Artículos'!$Y$4:$Y$4),[1]CRITERIOS!$P$79:$P$123,[1]CRITERIOS!$S$79:$S$123)),0)*[1]CRITERIOS!$M$80*([1]CRITERIOS!$M$89*[1]CRITERIOS!$M$92)+((_xlfn.XLOOKUP(A658,'[1]DATOS PBI Artículos'!$A$4:$A$4,'[1]DATOS PBI Artículos'!$AA$4:$AA$4)/2)*([1]CRITERIOS!$M$95+[1]CRITERIOS!$M$98)))/N658)</f>
        <v>#N/A</v>
      </c>
      <c r="AE658" s="39" t="e">
        <f>IF($R658="MTO","",
IF($H658=0,ROUNDUP(((_xlfn.XLOOKUP($A658,'[1]DATOS PBI Artículos'!$A:$A,'[1]DATOS PBI Artículos'!$AL:$AL))/(_xlfn.XLOOKUP($AF$1,[1]CRITERIOS!$S$16:$S$39,[1]CRITERIOS!$Y$16:$Y$39))*$J658+$Z658)/$G658,0)*$G658,
((_xlfn.XLOOKUP($A658,'[1]DATOS PBI Artículos'!$A:$A,'[1]DATOS PBI Artículos'!$AL:$AL))/(_xlfn.XLOOKUP($AF$1,[1]CRITERIOS!$S$16:$S$39,[1]CRITERIOS!$Y$16:$Y$39))*$J658+$Z658)))</f>
        <v>#N/A</v>
      </c>
      <c r="AG658" s="39" t="e">
        <f>IF($R658="MTO","",
IF($H658=0,ROUNDUP(((_xlfn.XLOOKUP($A658,'[1]DATOS PBI Artículos'!$A:$A,'[1]DATOS PBI Artículos'!$AM:$AM))/(_xlfn.XLOOKUP($AH$1,[1]CRITERIOS!$S$16:$S$39,[1]CRITERIOS!$Y$16:$Y$39))*$J658+$Z658)/$G658,0)*$G658,
((_xlfn.XLOOKUP($A658,'[1]DATOS PBI Artículos'!$A:$A,'[1]DATOS PBI Artículos'!$AM:$AM))/(_xlfn.XLOOKUP($AH$1,[1]CRITERIOS!$S$16:$S$39,[1]CRITERIOS!$Y$16:$Y$39))*$J658+$Z658)))</f>
        <v>#N/A</v>
      </c>
      <c r="AI658" s="39" t="e">
        <f>IF($R658="MTO","",
IF($H658=0,ROUNDUP(((_xlfn.XLOOKUP($A658,'[1]DATOS PBI Artículos'!$A:$A,'[1]DATOS PBI Artículos'!$AN:$AN))/(_xlfn.XLOOKUP($AJ$1,[1]CRITERIOS!$S$16:$S$39,[1]CRITERIOS!$Y$16:$Y$39))*$J658+$Z658)/$G658,0)*$G658,
((_xlfn.XLOOKUP($A658,'[1]DATOS PBI Artículos'!$A:$A,'[1]DATOS PBI Artículos'!$AN:$AN))/(_xlfn.XLOOKUP($AJ$1,[1]CRITERIOS!$S$16:$S$39,[1]CRITERIOS!$Y$16:$Y$39))*$J658+$Z658)))</f>
        <v>#N/A</v>
      </c>
      <c r="AK658" s="39" t="e">
        <f>IF($R658="MTO","",
IF($H658=0,ROUNDUP(((_xlfn.XLOOKUP($A658,'[1]DATOS PBI Artículos'!$A:$A,'[1]DATOS PBI Artículos'!$AO:$AO))/(_xlfn.XLOOKUP($AL$1,[1]CRITERIOS!$S$16:$S$39,[1]CRITERIOS!$Y$16:$Y$39))*$J658+$Z658)/$G658,0)*$G658,
((_xlfn.XLOOKUP($A658,'[1]DATOS PBI Artículos'!$A:$A,'[1]DATOS PBI Artículos'!$AO:$AO))/(_xlfn.XLOOKUP($AL$1,[1]CRITERIOS!$S$16:$S$39,[1]CRITERIOS!$Y$16:$Y$39))*$J658+$Z658)))</f>
        <v>#N/A</v>
      </c>
    </row>
    <row r="659" spans="1:37" ht="25.8" hidden="1" x14ac:dyDescent="0.4">
      <c r="A659" s="41"/>
      <c r="B659" s="33">
        <f>_xlfn.XLOOKUP($A659,'[1]DATOS PBI Artículos'!A:A,'[1]DATOS PBI Artículos'!B:B)</f>
        <v>0</v>
      </c>
      <c r="C659" s="33">
        <f>_xlfn.XLOOKUP($A659,'[1]DATOS PBI Artículos'!A:A,'[1]DATOS PBI Artículos'!C:C)</f>
        <v>0</v>
      </c>
      <c r="D659" s="33">
        <f>_xlfn.XLOOKUP(A659,'[1]DATOS PBI Artículos'!A:A,'[1]DATOS PBI Artículos'!T:T)</f>
        <v>0</v>
      </c>
      <c r="E659" s="34">
        <f>IF(_xlfn.XLOOKUP($A659,'[1]DATOS PBI Artículos'!A:A,'[1]DATOS PBI Artículos'!AK:AK)="",_xlfn.XLOOKUP($A659,'[1]DATOS PBI Artículos'!A:A,'[1]DATOS PBI Artículos'!AJ:AJ),_xlfn.XLOOKUP($A659,'[1]DATOS PBI Artículos'!A:A,'[1]DATOS PBI Artículos'!AK:AK))</f>
        <v>0</v>
      </c>
      <c r="F659" s="35">
        <f>_xlfn.XLOOKUP($A659,'[1]DATOS PBI Artículos'!A:A,'[1]DATOS PBI Artículos'!AP:AP)</f>
        <v>0</v>
      </c>
      <c r="G659" s="34">
        <f>_xlfn.XLOOKUP($A659,'[1]DATOS PBI Artículos'!A:A,'[1]DATOS PBI Artículos'!AR:AR)</f>
        <v>0</v>
      </c>
      <c r="H659" s="34">
        <f>_xlfn.XLOOKUP($A659,'[1]DATOS PBI Artículos'!A:A,'[1]DATOS PBI Artículos'!AT:AT)</f>
        <v>0</v>
      </c>
      <c r="I659" s="34">
        <f>_xlfn.XLOOKUP($A659,'[1]DATOS PBI Artículos'!A:A,'[1]DATOS PBI Artículos'!AS:AS)</f>
        <v>0</v>
      </c>
      <c r="J659" s="35">
        <f>IF(COUNTIF([1]CRITERIOS!$F$179:$F$199,$A659)&gt;=1,
 IF(O659&lt;&gt;"",
    (O659/_xlfn.XLOOKUP(CONCATENATE(A659,L659),[1]MÁQUINAS!A:A,[1]MÁQUINAS!D:D))/24,
    (N659/_xlfn.XLOOKUP(CONCATENATE(A659,L659),[1]MÁQUINAS!A:A,[1]MÁQUINAS!D:D))/24),
  _xlfn.XLOOKUP($A659,'[1]DATOS PBI Artículos'!A:A,'[1]DATOS PBI Artículos'!AU:AU))</f>
        <v>0</v>
      </c>
      <c r="K659" s="36">
        <f>_xlfn.XLOOKUP($A659,'[1]DATOS PBI Artículos'!A:A,'[1]DATOS PBI Artículos'!AV:AV)</f>
        <v>0</v>
      </c>
      <c r="L659" s="33">
        <f>_xlfn.XLOOKUP(A659,[1]MÁQUINAS!B:B,[1]MÁQUINAS!C:C)</f>
        <v>0</v>
      </c>
      <c r="M659" s="34">
        <f t="array" ref="M659">_xlfn.XLOOKUP(A659,'[1]DATOS PBI Artículos'!A:A,'[1]DATOS PBI Artículos'!AX:$AX)</f>
        <v>0</v>
      </c>
      <c r="N659" s="37" t="e">
        <f>IF(I659="DV",
E659,
IF(COUNTIF([1]CRITERIOS!$I$179:$I$199,$A659)&gt;=1,
_xlfn.XLOOKUP($A659,[1]CRITERIOS!$I$179:$I$199,[1]CRITERIOS!$J$179:$J$199),
IF(COUNTIF([1]CRITERIOS!$L$179:$L$199,$A659)&gt;=1,
_xlfn.CEILING.MATH(IF($M659&gt;$E659,
$E659,
IF($M659&lt;$E659/ROUNDDOWN([1]CRITERIOS!$M$16/_xlfn.XLOOKUP($C659,[1]CRITERIOS!$K$25:$K$42,[1]CRITERIOS!$M$25:$M$42),
1),
E659/ROUNDDOWN([1]CRITERIOS!$M$16/_xlfn.XLOOKUP($C659,[1]CRITERIOS!$K$25:$K$42,[1]CRITERIOS!$M$25:$M$42),
1),
$M659)),
_xlfn.XLOOKUP($A659,[1]CRITERIOS!$L$179:$L$200,[1]CRITERIOS!$M$179:$M$200)),
_xlfn.CEILING.MATH(IF($M659&gt;$E659,
$E659,
IF($M659&lt;$E659/ROUNDDOWN([1]CRITERIOS!$M$16/_xlfn.XLOOKUP($C659,[1]CRITERIOS!$K$25:$K$42,[1]CRITERIOS!$M$25:$M$42),
1),
E659/ROUNDDOWN([1]CRITERIOS!$M$16/_xlfn.XLOOKUP($C659,[1]CRITERIOS!$K$25:$K$42,[1]CRITERIOS!$M$25:$M$42),
1),
$M659)),_xlfn.XLOOKUP(A659,'[1]DATOS PBI Artículos'!A:A,'[1]DATOS PBI Artículos'!Z:Z
)))))</f>
        <v>#N/A</v>
      </c>
      <c r="Q659" s="38" t="e">
        <f>IF(AND(O659="",N659=0),
0,
   IF(COUNTIF([1]CRITERIOS!$F$179:$F$199,$A659)&gt;=1,
   1,
   IF(R659="MTO",
      $D659,
      ROUNDUP(
                    IF(($E659-SUMIF('[1]DATOS PBI Artículos'!A:A,A659,'[1]DATOS PBI Artículos'!X:X)+($V659-_xlfn.XLOOKUP(A659,'[1]DATOS PBI Artículos'!A:A,'[1]DATOS PBI Artículos'!W:W)))&lt;0,
                    0,
                    IF(($E659-SUMIF('[1]DATOS PBI Artículos'!A:A,A659,'[1]DATOS PBI Artículos'!X:X)+$V659-_xlfn.XLOOKUP($A659,'[1]DATOS PBI Artículos'!A:A,'[1]DATOS PBI Artículos'!W:W))/IF($O659="",$N659,$O659)&gt;ROUNDUP([1]CRITERIOS!$M$16/(IF(COUNTIF([1]CRITERIOS!$BG$11:$BG$201,L659)&gt;=1,_xlfn.XLOOKUP($C659,[1]CRITERIOS!$K$25:$K$42,[1]CRITERIOS!$M$25:$M$42),_xlfn.XLOOKUP($C659,[1]CRITERIOS!$K$25:$K$42,[1]CRITERIOS!$M$25:$M$42))),0),
                    ROUNDUP([1]CRITERIOS!$M$16/(IF(COUNTIF([1]CRITERIOS!$BG$11:$BG$201,$L659)&gt;=1,_xlfn.XLOOKUP($C659,[1]CRITERIOS!$K$25:$K$42,[1]CRITERIOS!$M$25:$M$42),_xlfn.XLOOKUP($C659,[1]CRITERIOS!$K$25:$K$42,[1]CRITERIOS!$M$25:$M$42))),0),
                    (E659+V659-SUMIF('[1]DATOS PBI Artículos'!A:A,A659,'[1]DATOS PBI Artículos'!X:X)-_xlfn.XLOOKUP(A659,'[1]DATOS PBI Artículos'!A:A,'[1]DATOS PBI Artículos'!W:W))/IF($O659="",$N659,$O659))),0))))</f>
        <v>#N/A</v>
      </c>
      <c r="R659" s="33" t="e">
        <f>IF(U659&lt;&gt;"",U659,IF(F659="DV","MTO",IF(N659=0,"MTO",_xlfn.XLOOKUP(CONCATENATE(S659,T659),[1]CRITERIOS!$K$160:$K$168,[1]CRITERIOS!$N$160:$N$168))))</f>
        <v>#N/A</v>
      </c>
      <c r="S659" s="33" t="e">
        <f>IF(G659="DV","MTO",IF(N659=0,"MTO",IF(OR(AND(N659=0,O659=""),IF(O659="",G659/N659,G659/O659)&gt;[1]CRITERIOS!$G$163),"MTO",IF(IF(O659="",G659/N659,G659/O659)&lt;[1]CRITERIOS!$H$161,"MTS","MTOS"))))</f>
        <v>#N/A</v>
      </c>
      <c r="T659" s="33" t="e">
        <f>IF(F659="DV","MTO",IF(OR(AND($N659=0,O659=""),$F659/$J659&gt;[1]CRITERIOS!$G$170,$F659="DV"),"MTO",IF($F659/$J659&lt;[1]CRITERIOS!$H$168,"MTS","MTOS")))</f>
        <v>#N/A</v>
      </c>
      <c r="V659" s="34" t="e">
        <f t="shared" si="31"/>
        <v>#N/A</v>
      </c>
      <c r="X659" s="34" t="e">
        <f t="shared" si="32"/>
        <v>#N/A</v>
      </c>
      <c r="Y659" s="34" t="e">
        <f t="shared" si="33"/>
        <v>#N/A</v>
      </c>
      <c r="Z659" s="34" t="e">
        <f>IF($R659="MTO",
0,
($H659+$K659*($E659/[1]CRITERIOS!$M$16))/[1]CRITERIOS!$X$48)</f>
        <v>#N/A</v>
      </c>
      <c r="AA659" s="34" t="e">
        <f>ROUNDUP(($Y659/_xlfn.XLOOKUP($A659,'[1]DATOS PBI Artículos'!$A$4:$A$4,'[1]DATOS PBI Artículos'!$Z$4:$Z$4))/_xlfn.XLOOKUP(_xlfn.XLOOKUP($A659,'[1]DATOS PBI Artículos'!$A$4:$A$4,'[1]DATOS PBI Artículos'!$Y$4:$Y$4),[1]CRITERIOS!$P$79:$P$123,[1]CRITERIOS!$S$79:$S$123,),0)</f>
        <v>#N/A</v>
      </c>
      <c r="AB659" s="33" t="e">
        <f t="array" ref="AB659">IF((E659+V659-_xlfn.XLOOKUP(A659,'[1]DATOS PBI Artículos'!$A$4:$A$4,'[1]DATOS PBI Artículos'!$W$4:$W$4))/N659&gt;ROUNDUP([1]CRITERIOS!$M$16/(IF(COUNTIF([1]CRITERIOS!$BG$11:$BG$201,L659)&gt;=1,_xlfn.XLOOKUP(ARTÍCULOS!L659,[1]CRITERIOS!$BG$11:$BG$201,[1]CRITERIOS!$BJ$11:$BJ$201),_xlfn.XLOOKUP(ARTÍCULOS!C659,[1]CRITERIOS!$K$25:$K$42,[1]CRITERIOS!$M$25:$M$42))),0),ROUNDUP([1]CRITERIOS!$M$16/(IF(COUNTIF([1]CRITERIOS!$BG$11:$BG$201,L659)&gt;=1,_xlfn.XLOOKUP(ARTÍCULOS!L659,[1]CRITERIOS!$BG$11:$BG$201:#REF!,[1]CRITERIOS!$BJ$11:$BJ$201),_xlfn.XLOOKUP(ARTÍCULOS!C659,[1]CRITERIOS!$K$25:$K$42,[1]CRITERIOS!$M$25:$M$42))),0),(E659+V659-_xlfn.XLOOKUP(A659,'[1]DATOS PBI Artículos'!$A$4:$A$4,'[1]DATOS PBI Artículos'!$W$4:$W$4))/N659)</f>
        <v>#N/A</v>
      </c>
      <c r="AC659" s="33" t="e">
        <f>IF(N659=0,"",(ROUNDUP((N659/2)/(_xlfn.XLOOKUP(A659,'[1]DATOS PBI Artículos'!$A$4:$A$4,'[1]DATOS PBI Artículos'!$Z$4:$Z$4)*_xlfn.XLOOKUP(_xlfn.XLOOKUP(A659,'[1]DATOS PBI Artículos'!$A$4:$A$4,'[1]DATOS PBI Artículos'!$Y$4:$Y$4),[1]CRITERIOS!$P$79:$P$123,[1]CRITERIOS!$S$79:$S$123)),0)*[1]CRITERIOS!$M$80*([1]CRITERIOS!$M$110/[1]CRITERIOS!$M$86)+(_xlfn.XLOOKUP(A659,'[1]DATOS PBI Artículos'!$A$4:$A$4,'[1]DATOS PBI Artículos'!$AA$4:$AA$4)*([1]CRITERIOS!$M$95+[1]CRITERIOS!$M$98)))/N659)</f>
        <v>#N/A</v>
      </c>
      <c r="AD659" s="33" t="e">
        <f>IF(N659=0,"",(ROUNDUP((N659/2)/(_xlfn.XLOOKUP(A659,'[1]DATOS PBI Artículos'!$A$4:$A$4,'[1]DATOS PBI Artículos'!$Z$4:$Z$4)*_xlfn.XLOOKUP(_xlfn.XLOOKUP(A659,'[1]DATOS PBI Artículos'!$A$4:$A$4,'[1]DATOS PBI Artículos'!$Y$4:$Y$4),[1]CRITERIOS!$P$79:$P$123,[1]CRITERIOS!$S$79:$S$123)),0)*[1]CRITERIOS!$M$80*([1]CRITERIOS!$M$89*[1]CRITERIOS!$M$92)+((_xlfn.XLOOKUP(A659,'[1]DATOS PBI Artículos'!$A$4:$A$4,'[1]DATOS PBI Artículos'!$AA$4:$AA$4)/2)*([1]CRITERIOS!$M$95+[1]CRITERIOS!$M$98)))/N659)</f>
        <v>#N/A</v>
      </c>
      <c r="AE659" s="39" t="e">
        <f>IF($R659="MTO","",
IF($H659=0,ROUNDUP(((_xlfn.XLOOKUP($A659,'[1]DATOS PBI Artículos'!$A:$A,'[1]DATOS PBI Artículos'!$AL:$AL))/(_xlfn.XLOOKUP($AF$1,[1]CRITERIOS!$S$16:$S$39,[1]CRITERIOS!$Y$16:$Y$39))*$J659+$Z659)/$G659,0)*$G659,
((_xlfn.XLOOKUP($A659,'[1]DATOS PBI Artículos'!$A:$A,'[1]DATOS PBI Artículos'!$AL:$AL))/(_xlfn.XLOOKUP($AF$1,[1]CRITERIOS!$S$16:$S$39,[1]CRITERIOS!$Y$16:$Y$39))*$J659+$Z659)))</f>
        <v>#N/A</v>
      </c>
      <c r="AG659" s="39" t="e">
        <f>IF($R659="MTO","",
IF($H659=0,ROUNDUP(((_xlfn.XLOOKUP($A659,'[1]DATOS PBI Artículos'!$A:$A,'[1]DATOS PBI Artículos'!$AM:$AM))/(_xlfn.XLOOKUP($AH$1,[1]CRITERIOS!$S$16:$S$39,[1]CRITERIOS!$Y$16:$Y$39))*$J659+$Z659)/$G659,0)*$G659,
((_xlfn.XLOOKUP($A659,'[1]DATOS PBI Artículos'!$A:$A,'[1]DATOS PBI Artículos'!$AM:$AM))/(_xlfn.XLOOKUP($AH$1,[1]CRITERIOS!$S$16:$S$39,[1]CRITERIOS!$Y$16:$Y$39))*$J659+$Z659)))</f>
        <v>#N/A</v>
      </c>
      <c r="AI659" s="39" t="e">
        <f>IF($R659="MTO","",
IF($H659=0,ROUNDUP(((_xlfn.XLOOKUP($A659,'[1]DATOS PBI Artículos'!$A:$A,'[1]DATOS PBI Artículos'!$AN:$AN))/(_xlfn.XLOOKUP($AJ$1,[1]CRITERIOS!$S$16:$S$39,[1]CRITERIOS!$Y$16:$Y$39))*$J659+$Z659)/$G659,0)*$G659,
((_xlfn.XLOOKUP($A659,'[1]DATOS PBI Artículos'!$A:$A,'[1]DATOS PBI Artículos'!$AN:$AN))/(_xlfn.XLOOKUP($AJ$1,[1]CRITERIOS!$S$16:$S$39,[1]CRITERIOS!$Y$16:$Y$39))*$J659+$Z659)))</f>
        <v>#N/A</v>
      </c>
      <c r="AK659" s="39" t="e">
        <f>IF($R659="MTO","",
IF($H659=0,ROUNDUP(((_xlfn.XLOOKUP($A659,'[1]DATOS PBI Artículos'!$A:$A,'[1]DATOS PBI Artículos'!$AO:$AO))/(_xlfn.XLOOKUP($AL$1,[1]CRITERIOS!$S$16:$S$39,[1]CRITERIOS!$Y$16:$Y$39))*$J659+$Z659)/$G659,0)*$G659,
((_xlfn.XLOOKUP($A659,'[1]DATOS PBI Artículos'!$A:$A,'[1]DATOS PBI Artículos'!$AO:$AO))/(_xlfn.XLOOKUP($AL$1,[1]CRITERIOS!$S$16:$S$39,[1]CRITERIOS!$Y$16:$Y$39))*$J659+$Z659)))</f>
        <v>#N/A</v>
      </c>
    </row>
    <row r="660" spans="1:37" ht="25.8" hidden="1" x14ac:dyDescent="0.4">
      <c r="A660" s="41"/>
      <c r="B660" s="33">
        <f>_xlfn.XLOOKUP($A660,'[1]DATOS PBI Artículos'!A:A,'[1]DATOS PBI Artículos'!B:B)</f>
        <v>0</v>
      </c>
      <c r="C660" s="33">
        <f>_xlfn.XLOOKUP($A660,'[1]DATOS PBI Artículos'!A:A,'[1]DATOS PBI Artículos'!C:C)</f>
        <v>0</v>
      </c>
      <c r="D660" s="33">
        <f>_xlfn.XLOOKUP(A660,'[1]DATOS PBI Artículos'!A:A,'[1]DATOS PBI Artículos'!T:T)</f>
        <v>0</v>
      </c>
      <c r="E660" s="34">
        <f>IF(_xlfn.XLOOKUP($A660,'[1]DATOS PBI Artículos'!A:A,'[1]DATOS PBI Artículos'!AK:AK)="",_xlfn.XLOOKUP($A660,'[1]DATOS PBI Artículos'!A:A,'[1]DATOS PBI Artículos'!AJ:AJ),_xlfn.XLOOKUP($A660,'[1]DATOS PBI Artículos'!A:A,'[1]DATOS PBI Artículos'!AK:AK))</f>
        <v>0</v>
      </c>
      <c r="F660" s="35">
        <f>_xlfn.XLOOKUP($A660,'[1]DATOS PBI Artículos'!A:A,'[1]DATOS PBI Artículos'!AP:AP)</f>
        <v>0</v>
      </c>
      <c r="G660" s="34">
        <f>_xlfn.XLOOKUP($A660,'[1]DATOS PBI Artículos'!A:A,'[1]DATOS PBI Artículos'!AR:AR)</f>
        <v>0</v>
      </c>
      <c r="H660" s="34">
        <f>_xlfn.XLOOKUP($A660,'[1]DATOS PBI Artículos'!A:A,'[1]DATOS PBI Artículos'!AT:AT)</f>
        <v>0</v>
      </c>
      <c r="I660" s="34">
        <f>_xlfn.XLOOKUP($A660,'[1]DATOS PBI Artículos'!A:A,'[1]DATOS PBI Artículos'!AS:AS)</f>
        <v>0</v>
      </c>
      <c r="J660" s="35">
        <f>IF(COUNTIF([1]CRITERIOS!$F$179:$F$199,$A660)&gt;=1,
 IF(O660&lt;&gt;"",
    (O660/_xlfn.XLOOKUP(CONCATENATE(A660,L660),[1]MÁQUINAS!A:A,[1]MÁQUINAS!D:D))/24,
    (N660/_xlfn.XLOOKUP(CONCATENATE(A660,L660),[1]MÁQUINAS!A:A,[1]MÁQUINAS!D:D))/24),
  _xlfn.XLOOKUP($A660,'[1]DATOS PBI Artículos'!A:A,'[1]DATOS PBI Artículos'!AU:AU))</f>
        <v>0</v>
      </c>
      <c r="K660" s="36">
        <f>_xlfn.XLOOKUP($A660,'[1]DATOS PBI Artículos'!A:A,'[1]DATOS PBI Artículos'!AV:AV)</f>
        <v>0</v>
      </c>
      <c r="L660" s="33">
        <f>_xlfn.XLOOKUP(A660,[1]MÁQUINAS!B:B,[1]MÁQUINAS!C:C)</f>
        <v>0</v>
      </c>
      <c r="M660" s="34">
        <f t="array" ref="M660">_xlfn.XLOOKUP(A660,'[1]DATOS PBI Artículos'!A:A,'[1]DATOS PBI Artículos'!AX:$AX)</f>
        <v>0</v>
      </c>
      <c r="N660" s="37" t="e">
        <f>IF(I660="DV",
E660,
IF(COUNTIF([1]CRITERIOS!$I$179:$I$199,$A660)&gt;=1,
_xlfn.XLOOKUP($A660,[1]CRITERIOS!$I$179:$I$199,[1]CRITERIOS!$J$179:$J$199),
IF(COUNTIF([1]CRITERIOS!$L$179:$L$199,$A660)&gt;=1,
_xlfn.CEILING.MATH(IF($M660&gt;$E660,
$E660,
IF($M660&lt;$E660/ROUNDDOWN([1]CRITERIOS!$M$16/_xlfn.XLOOKUP($C660,[1]CRITERIOS!$K$25:$K$42,[1]CRITERIOS!$M$25:$M$42),
1),
E660/ROUNDDOWN([1]CRITERIOS!$M$16/_xlfn.XLOOKUP($C660,[1]CRITERIOS!$K$25:$K$42,[1]CRITERIOS!$M$25:$M$42),
1),
$M660)),
_xlfn.XLOOKUP($A660,[1]CRITERIOS!$L$179:$L$200,[1]CRITERIOS!$M$179:$M$200)),
_xlfn.CEILING.MATH(IF($M660&gt;$E660,
$E660,
IF($M660&lt;$E660/ROUNDDOWN([1]CRITERIOS!$M$16/_xlfn.XLOOKUP($C660,[1]CRITERIOS!$K$25:$K$42,[1]CRITERIOS!$M$25:$M$42),
1),
E660/ROUNDDOWN([1]CRITERIOS!$M$16/_xlfn.XLOOKUP($C660,[1]CRITERIOS!$K$25:$K$42,[1]CRITERIOS!$M$25:$M$42),
1),
$M660)),_xlfn.XLOOKUP(A660,'[1]DATOS PBI Artículos'!A:A,'[1]DATOS PBI Artículos'!Z:Z
)))))</f>
        <v>#N/A</v>
      </c>
      <c r="Q660" s="38" t="e">
        <f>IF(AND(O660="",N660=0),
0,
   IF(COUNTIF([1]CRITERIOS!$F$179:$F$199,$A660)&gt;=1,
   1,
   IF(R660="MTO",
      $D660,
      ROUNDUP(
                    IF(($E660-SUMIF('[1]DATOS PBI Artículos'!A:A,A660,'[1]DATOS PBI Artículos'!X:X)+($V660-_xlfn.XLOOKUP(A660,'[1]DATOS PBI Artículos'!A:A,'[1]DATOS PBI Artículos'!W:W)))&lt;0,
                    0,
                    IF(($E660-SUMIF('[1]DATOS PBI Artículos'!A:A,A660,'[1]DATOS PBI Artículos'!X:X)+$V660-_xlfn.XLOOKUP($A660,'[1]DATOS PBI Artículos'!A:A,'[1]DATOS PBI Artículos'!W:W))/IF($O660="",$N660,$O660)&gt;ROUNDUP([1]CRITERIOS!$M$16/(IF(COUNTIF([1]CRITERIOS!$BG$11:$BG$201,L660)&gt;=1,_xlfn.XLOOKUP($C660,[1]CRITERIOS!$K$25:$K$42,[1]CRITERIOS!$M$25:$M$42),_xlfn.XLOOKUP($C660,[1]CRITERIOS!$K$25:$K$42,[1]CRITERIOS!$M$25:$M$42))),0),
                    ROUNDUP([1]CRITERIOS!$M$16/(IF(COUNTIF([1]CRITERIOS!$BG$11:$BG$201,$L660)&gt;=1,_xlfn.XLOOKUP($C660,[1]CRITERIOS!$K$25:$K$42,[1]CRITERIOS!$M$25:$M$42),_xlfn.XLOOKUP($C660,[1]CRITERIOS!$K$25:$K$42,[1]CRITERIOS!$M$25:$M$42))),0),
                    (E660+V660-SUMIF('[1]DATOS PBI Artículos'!A:A,A660,'[1]DATOS PBI Artículos'!X:X)-_xlfn.XLOOKUP(A660,'[1]DATOS PBI Artículos'!A:A,'[1]DATOS PBI Artículos'!W:W))/IF($O660="",$N660,$O660))),0))))</f>
        <v>#N/A</v>
      </c>
      <c r="R660" s="33" t="e">
        <f>IF(U660&lt;&gt;"",U660,IF(F660="DV","MTO",IF(N660=0,"MTO",_xlfn.XLOOKUP(CONCATENATE(S660,T660),[1]CRITERIOS!$K$160:$K$168,[1]CRITERIOS!$N$160:$N$168))))</f>
        <v>#N/A</v>
      </c>
      <c r="S660" s="33" t="e">
        <f>IF(G660="DV","MTO",IF(N660=0,"MTO",IF(OR(AND(N660=0,O660=""),IF(O660="",G660/N660,G660/O660)&gt;[1]CRITERIOS!$G$163),"MTO",IF(IF(O660="",G660/N660,G660/O660)&lt;[1]CRITERIOS!$H$161,"MTS","MTOS"))))</f>
        <v>#N/A</v>
      </c>
      <c r="T660" s="33" t="e">
        <f>IF(F660="DV","MTO",IF(OR(AND($N660=0,O660=""),$F660/$J660&gt;[1]CRITERIOS!$G$170,$F660="DV"),"MTO",IF($F660/$J660&lt;[1]CRITERIOS!$H$168,"MTS","MTOS")))</f>
        <v>#N/A</v>
      </c>
      <c r="V660" s="34" t="e">
        <f t="shared" si="31"/>
        <v>#N/A</v>
      </c>
      <c r="X660" s="34" t="e">
        <f t="shared" si="32"/>
        <v>#N/A</v>
      </c>
      <c r="Y660" s="34" t="e">
        <f t="shared" si="33"/>
        <v>#N/A</v>
      </c>
      <c r="Z660" s="34" t="e">
        <f>IF($R660="MTO",
0,
($H660+$K660*($E660/[1]CRITERIOS!$M$16))/[1]CRITERIOS!$X$48)</f>
        <v>#N/A</v>
      </c>
      <c r="AA660" s="34" t="e">
        <f>ROUNDUP(($Y660/_xlfn.XLOOKUP($A660,'[1]DATOS PBI Artículos'!$A$4:$A$4,'[1]DATOS PBI Artículos'!$Z$4:$Z$4))/_xlfn.XLOOKUP(_xlfn.XLOOKUP($A660,'[1]DATOS PBI Artículos'!$A$4:$A$4,'[1]DATOS PBI Artículos'!$Y$4:$Y$4),[1]CRITERIOS!$P$79:$P$123,[1]CRITERIOS!$S$79:$S$123,),0)</f>
        <v>#N/A</v>
      </c>
      <c r="AB660" s="33" t="e">
        <f t="array" ref="AB660">IF((E660+V660-_xlfn.XLOOKUP(A660,'[1]DATOS PBI Artículos'!$A$4:$A$4,'[1]DATOS PBI Artículos'!$W$4:$W$4))/N660&gt;ROUNDUP([1]CRITERIOS!$M$16/(IF(COUNTIF([1]CRITERIOS!$BG$11:$BG$201,L660)&gt;=1,_xlfn.XLOOKUP(ARTÍCULOS!L660,[1]CRITERIOS!$BG$11:$BG$201,[1]CRITERIOS!$BJ$11:$BJ$201),_xlfn.XLOOKUP(ARTÍCULOS!C660,[1]CRITERIOS!$K$25:$K$42,[1]CRITERIOS!$M$25:$M$42))),0),ROUNDUP([1]CRITERIOS!$M$16/(IF(COUNTIF([1]CRITERIOS!$BG$11:$BG$201,L660)&gt;=1,_xlfn.XLOOKUP(ARTÍCULOS!L660,[1]CRITERIOS!$BG$11:$BG$201:#REF!,[1]CRITERIOS!$BJ$11:$BJ$201),_xlfn.XLOOKUP(ARTÍCULOS!C660,[1]CRITERIOS!$K$25:$K$42,[1]CRITERIOS!$M$25:$M$42))),0),(E660+V660-_xlfn.XLOOKUP(A660,'[1]DATOS PBI Artículos'!$A$4:$A$4,'[1]DATOS PBI Artículos'!$W$4:$W$4))/N660)</f>
        <v>#N/A</v>
      </c>
      <c r="AC660" s="33" t="e">
        <f>IF(N660=0,"",(ROUNDUP((N660/2)/(_xlfn.XLOOKUP(A660,'[1]DATOS PBI Artículos'!$A$4:$A$4,'[1]DATOS PBI Artículos'!$Z$4:$Z$4)*_xlfn.XLOOKUP(_xlfn.XLOOKUP(A660,'[1]DATOS PBI Artículos'!$A$4:$A$4,'[1]DATOS PBI Artículos'!$Y$4:$Y$4),[1]CRITERIOS!$P$79:$P$123,[1]CRITERIOS!$S$79:$S$123)),0)*[1]CRITERIOS!$M$80*([1]CRITERIOS!$M$110/[1]CRITERIOS!$M$86)+(_xlfn.XLOOKUP(A660,'[1]DATOS PBI Artículos'!$A$4:$A$4,'[1]DATOS PBI Artículos'!$AA$4:$AA$4)*([1]CRITERIOS!$M$95+[1]CRITERIOS!$M$98)))/N660)</f>
        <v>#N/A</v>
      </c>
      <c r="AD660" s="33" t="e">
        <f>IF(N660=0,"",(ROUNDUP((N660/2)/(_xlfn.XLOOKUP(A660,'[1]DATOS PBI Artículos'!$A$4:$A$4,'[1]DATOS PBI Artículos'!$Z$4:$Z$4)*_xlfn.XLOOKUP(_xlfn.XLOOKUP(A660,'[1]DATOS PBI Artículos'!$A$4:$A$4,'[1]DATOS PBI Artículos'!$Y$4:$Y$4),[1]CRITERIOS!$P$79:$P$123,[1]CRITERIOS!$S$79:$S$123)),0)*[1]CRITERIOS!$M$80*([1]CRITERIOS!$M$89*[1]CRITERIOS!$M$92)+((_xlfn.XLOOKUP(A660,'[1]DATOS PBI Artículos'!$A$4:$A$4,'[1]DATOS PBI Artículos'!$AA$4:$AA$4)/2)*([1]CRITERIOS!$M$95+[1]CRITERIOS!$M$98)))/N660)</f>
        <v>#N/A</v>
      </c>
      <c r="AE660" s="39" t="e">
        <f>IF($R660="MTO","",
IF($H660=0,ROUNDUP(((_xlfn.XLOOKUP($A660,'[1]DATOS PBI Artículos'!$A:$A,'[1]DATOS PBI Artículos'!$AL:$AL))/(_xlfn.XLOOKUP($AF$1,[1]CRITERIOS!$S$16:$S$39,[1]CRITERIOS!$Y$16:$Y$39))*$J660+$Z660)/$G660,0)*$G660,
((_xlfn.XLOOKUP($A660,'[1]DATOS PBI Artículos'!$A:$A,'[1]DATOS PBI Artículos'!$AL:$AL))/(_xlfn.XLOOKUP($AF$1,[1]CRITERIOS!$S$16:$S$39,[1]CRITERIOS!$Y$16:$Y$39))*$J660+$Z660)))</f>
        <v>#N/A</v>
      </c>
      <c r="AG660" s="39" t="e">
        <f>IF($R660="MTO","",
IF($H660=0,ROUNDUP(((_xlfn.XLOOKUP($A660,'[1]DATOS PBI Artículos'!$A:$A,'[1]DATOS PBI Artículos'!$AM:$AM))/(_xlfn.XLOOKUP($AH$1,[1]CRITERIOS!$S$16:$S$39,[1]CRITERIOS!$Y$16:$Y$39))*$J660+$Z660)/$G660,0)*$G660,
((_xlfn.XLOOKUP($A660,'[1]DATOS PBI Artículos'!$A:$A,'[1]DATOS PBI Artículos'!$AM:$AM))/(_xlfn.XLOOKUP($AH$1,[1]CRITERIOS!$S$16:$S$39,[1]CRITERIOS!$Y$16:$Y$39))*$J660+$Z660)))</f>
        <v>#N/A</v>
      </c>
      <c r="AI660" s="39" t="e">
        <f>IF($R660="MTO","",
IF($H660=0,ROUNDUP(((_xlfn.XLOOKUP($A660,'[1]DATOS PBI Artículos'!$A:$A,'[1]DATOS PBI Artículos'!$AN:$AN))/(_xlfn.XLOOKUP($AJ$1,[1]CRITERIOS!$S$16:$S$39,[1]CRITERIOS!$Y$16:$Y$39))*$J660+$Z660)/$G660,0)*$G660,
((_xlfn.XLOOKUP($A660,'[1]DATOS PBI Artículos'!$A:$A,'[1]DATOS PBI Artículos'!$AN:$AN))/(_xlfn.XLOOKUP($AJ$1,[1]CRITERIOS!$S$16:$S$39,[1]CRITERIOS!$Y$16:$Y$39))*$J660+$Z660)))</f>
        <v>#N/A</v>
      </c>
      <c r="AK660" s="39" t="e">
        <f>IF($R660="MTO","",
IF($H660=0,ROUNDUP(((_xlfn.XLOOKUP($A660,'[1]DATOS PBI Artículos'!$A:$A,'[1]DATOS PBI Artículos'!$AO:$AO))/(_xlfn.XLOOKUP($AL$1,[1]CRITERIOS!$S$16:$S$39,[1]CRITERIOS!$Y$16:$Y$39))*$J660+$Z660)/$G660,0)*$G660,
((_xlfn.XLOOKUP($A660,'[1]DATOS PBI Artículos'!$A:$A,'[1]DATOS PBI Artículos'!$AO:$AO))/(_xlfn.XLOOKUP($AL$1,[1]CRITERIOS!$S$16:$S$39,[1]CRITERIOS!$Y$16:$Y$39))*$J660+$Z660)))</f>
        <v>#N/A</v>
      </c>
    </row>
    <row r="661" spans="1:37" ht="25.8" hidden="1" x14ac:dyDescent="0.4">
      <c r="A661" s="41"/>
      <c r="B661" s="33">
        <f>_xlfn.XLOOKUP($A661,'[1]DATOS PBI Artículos'!A:A,'[1]DATOS PBI Artículos'!B:B)</f>
        <v>0</v>
      </c>
      <c r="C661" s="33">
        <f>_xlfn.XLOOKUP($A661,'[1]DATOS PBI Artículos'!A:A,'[1]DATOS PBI Artículos'!C:C)</f>
        <v>0</v>
      </c>
      <c r="D661" s="33">
        <f>_xlfn.XLOOKUP(A661,'[1]DATOS PBI Artículos'!A:A,'[1]DATOS PBI Artículos'!T:T)</f>
        <v>0</v>
      </c>
      <c r="E661" s="34">
        <f>IF(_xlfn.XLOOKUP($A661,'[1]DATOS PBI Artículos'!A:A,'[1]DATOS PBI Artículos'!AK:AK)="",_xlfn.XLOOKUP($A661,'[1]DATOS PBI Artículos'!A:A,'[1]DATOS PBI Artículos'!AJ:AJ),_xlfn.XLOOKUP($A661,'[1]DATOS PBI Artículos'!A:A,'[1]DATOS PBI Artículos'!AK:AK))</f>
        <v>0</v>
      </c>
      <c r="F661" s="35">
        <f>_xlfn.XLOOKUP($A661,'[1]DATOS PBI Artículos'!A:A,'[1]DATOS PBI Artículos'!AP:AP)</f>
        <v>0</v>
      </c>
      <c r="G661" s="34">
        <f>_xlfn.XLOOKUP($A661,'[1]DATOS PBI Artículos'!A:A,'[1]DATOS PBI Artículos'!AR:AR)</f>
        <v>0</v>
      </c>
      <c r="H661" s="34">
        <f>_xlfn.XLOOKUP($A661,'[1]DATOS PBI Artículos'!A:A,'[1]DATOS PBI Artículos'!AT:AT)</f>
        <v>0</v>
      </c>
      <c r="I661" s="34">
        <f>_xlfn.XLOOKUP($A661,'[1]DATOS PBI Artículos'!A:A,'[1]DATOS PBI Artículos'!AS:AS)</f>
        <v>0</v>
      </c>
      <c r="J661" s="35">
        <f>IF(COUNTIF([1]CRITERIOS!$F$179:$F$199,$A661)&gt;=1,
 IF(O661&lt;&gt;"",
    (O661/_xlfn.XLOOKUP(CONCATENATE(A661,L661),[1]MÁQUINAS!A:A,[1]MÁQUINAS!D:D))/24,
    (N661/_xlfn.XLOOKUP(CONCATENATE(A661,L661),[1]MÁQUINAS!A:A,[1]MÁQUINAS!D:D))/24),
  _xlfn.XLOOKUP($A661,'[1]DATOS PBI Artículos'!A:A,'[1]DATOS PBI Artículos'!AU:AU))</f>
        <v>0</v>
      </c>
      <c r="K661" s="36">
        <f>_xlfn.XLOOKUP($A661,'[1]DATOS PBI Artículos'!A:A,'[1]DATOS PBI Artículos'!AV:AV)</f>
        <v>0</v>
      </c>
      <c r="L661" s="33">
        <f>_xlfn.XLOOKUP(A661,[1]MÁQUINAS!B:B,[1]MÁQUINAS!C:C)</f>
        <v>0</v>
      </c>
      <c r="M661" s="34">
        <f t="array" ref="M661">_xlfn.XLOOKUP(A661,'[1]DATOS PBI Artículos'!A:A,'[1]DATOS PBI Artículos'!AX:$AX)</f>
        <v>0</v>
      </c>
      <c r="N661" s="37" t="e">
        <f>IF(I661="DV",
E661,
IF(COUNTIF([1]CRITERIOS!$I$179:$I$199,$A661)&gt;=1,
_xlfn.XLOOKUP($A661,[1]CRITERIOS!$I$179:$I$199,[1]CRITERIOS!$J$179:$J$199),
IF(COUNTIF([1]CRITERIOS!$L$179:$L$199,$A661)&gt;=1,
_xlfn.CEILING.MATH(IF($M661&gt;$E661,
$E661,
IF($M661&lt;$E661/ROUNDDOWN([1]CRITERIOS!$M$16/_xlfn.XLOOKUP($C661,[1]CRITERIOS!$K$25:$K$42,[1]CRITERIOS!$M$25:$M$42),
1),
E661/ROUNDDOWN([1]CRITERIOS!$M$16/_xlfn.XLOOKUP($C661,[1]CRITERIOS!$K$25:$K$42,[1]CRITERIOS!$M$25:$M$42),
1),
$M661)),
_xlfn.XLOOKUP($A661,[1]CRITERIOS!$L$179:$L$200,[1]CRITERIOS!$M$179:$M$200)),
_xlfn.CEILING.MATH(IF($M661&gt;$E661,
$E661,
IF($M661&lt;$E661/ROUNDDOWN([1]CRITERIOS!$M$16/_xlfn.XLOOKUP($C661,[1]CRITERIOS!$K$25:$K$42,[1]CRITERIOS!$M$25:$M$42),
1),
E661/ROUNDDOWN([1]CRITERIOS!$M$16/_xlfn.XLOOKUP($C661,[1]CRITERIOS!$K$25:$K$42,[1]CRITERIOS!$M$25:$M$42),
1),
$M661)),_xlfn.XLOOKUP(A661,'[1]DATOS PBI Artículos'!A:A,'[1]DATOS PBI Artículos'!Z:Z
)))))</f>
        <v>#N/A</v>
      </c>
      <c r="Q661" s="38" t="e">
        <f>IF(AND(O661="",N661=0),
0,
   IF(COUNTIF([1]CRITERIOS!$F$179:$F$199,$A661)&gt;=1,
   1,
   IF(R661="MTO",
      $D661,
      ROUNDUP(
                    IF(($E661-SUMIF('[1]DATOS PBI Artículos'!A:A,A661,'[1]DATOS PBI Artículos'!X:X)+($V661-_xlfn.XLOOKUP(A661,'[1]DATOS PBI Artículos'!A:A,'[1]DATOS PBI Artículos'!W:W)))&lt;0,
                    0,
                    IF(($E661-SUMIF('[1]DATOS PBI Artículos'!A:A,A661,'[1]DATOS PBI Artículos'!X:X)+$V661-_xlfn.XLOOKUP($A661,'[1]DATOS PBI Artículos'!A:A,'[1]DATOS PBI Artículos'!W:W))/IF($O661="",$N661,$O661)&gt;ROUNDUP([1]CRITERIOS!$M$16/(IF(COUNTIF([1]CRITERIOS!$BG$11:$BG$201,L661)&gt;=1,_xlfn.XLOOKUP($C661,[1]CRITERIOS!$K$25:$K$42,[1]CRITERIOS!$M$25:$M$42),_xlfn.XLOOKUP($C661,[1]CRITERIOS!$K$25:$K$42,[1]CRITERIOS!$M$25:$M$42))),0),
                    ROUNDUP([1]CRITERIOS!$M$16/(IF(COUNTIF([1]CRITERIOS!$BG$11:$BG$201,$L661)&gt;=1,_xlfn.XLOOKUP($C661,[1]CRITERIOS!$K$25:$K$42,[1]CRITERIOS!$M$25:$M$42),_xlfn.XLOOKUP($C661,[1]CRITERIOS!$K$25:$K$42,[1]CRITERIOS!$M$25:$M$42))),0),
                    (E661+V661-SUMIF('[1]DATOS PBI Artículos'!A:A,A661,'[1]DATOS PBI Artículos'!X:X)-_xlfn.XLOOKUP(A661,'[1]DATOS PBI Artículos'!A:A,'[1]DATOS PBI Artículos'!W:W))/IF($O661="",$N661,$O661))),0))))</f>
        <v>#N/A</v>
      </c>
      <c r="R661" s="33" t="e">
        <f>IF(U661&lt;&gt;"",U661,IF(F661="DV","MTO",IF(N661=0,"MTO",_xlfn.XLOOKUP(CONCATENATE(S661,T661),[1]CRITERIOS!$K$160:$K$168,[1]CRITERIOS!$N$160:$N$168))))</f>
        <v>#N/A</v>
      </c>
      <c r="S661" s="33" t="e">
        <f>IF(G661="DV","MTO",IF(N661=0,"MTO",IF(OR(AND(N661=0,O661=""),IF(O661="",G661/N661,G661/O661)&gt;[1]CRITERIOS!$G$163),"MTO",IF(IF(O661="",G661/N661,G661/O661)&lt;[1]CRITERIOS!$H$161,"MTS","MTOS"))))</f>
        <v>#N/A</v>
      </c>
      <c r="T661" s="33" t="e">
        <f>IF(F661="DV","MTO",IF(OR(AND($N661=0,O661=""),$F661/$J661&gt;[1]CRITERIOS!$G$170,$F661="DV"),"MTO",IF($F661/$J661&lt;[1]CRITERIOS!$H$168,"MTS","MTOS")))</f>
        <v>#N/A</v>
      </c>
      <c r="V661" s="34" t="e">
        <f t="shared" si="31"/>
        <v>#N/A</v>
      </c>
      <c r="X661" s="34" t="e">
        <f t="shared" si="32"/>
        <v>#N/A</v>
      </c>
      <c r="Y661" s="34" t="e">
        <f t="shared" si="33"/>
        <v>#N/A</v>
      </c>
      <c r="Z661" s="34" t="e">
        <f>IF($R661="MTO",
0,
($H661+$K661*($E661/[1]CRITERIOS!$M$16))/[1]CRITERIOS!$X$48)</f>
        <v>#N/A</v>
      </c>
      <c r="AA661" s="34" t="e">
        <f>ROUNDUP(($Y661/_xlfn.XLOOKUP($A661,'[1]DATOS PBI Artículos'!$A$4:$A$4,'[1]DATOS PBI Artículos'!$Z$4:$Z$4))/_xlfn.XLOOKUP(_xlfn.XLOOKUP($A661,'[1]DATOS PBI Artículos'!$A$4:$A$4,'[1]DATOS PBI Artículos'!$Y$4:$Y$4),[1]CRITERIOS!$P$79:$P$123,[1]CRITERIOS!$S$79:$S$123,),0)</f>
        <v>#N/A</v>
      </c>
      <c r="AB661" s="33" t="e">
        <f t="array" ref="AB661">IF((E661+V661-_xlfn.XLOOKUP(A661,'[1]DATOS PBI Artículos'!$A$4:$A$4,'[1]DATOS PBI Artículos'!$W$4:$W$4))/N661&gt;ROUNDUP([1]CRITERIOS!$M$16/(IF(COUNTIF([1]CRITERIOS!$BG$11:$BG$201,L661)&gt;=1,_xlfn.XLOOKUP(ARTÍCULOS!L661,[1]CRITERIOS!$BG$11:$BG$201,[1]CRITERIOS!$BJ$11:$BJ$201),_xlfn.XLOOKUP(ARTÍCULOS!C661,[1]CRITERIOS!$K$25:$K$42,[1]CRITERIOS!$M$25:$M$42))),0),ROUNDUP([1]CRITERIOS!$M$16/(IF(COUNTIF([1]CRITERIOS!$BG$11:$BG$201,L661)&gt;=1,_xlfn.XLOOKUP(ARTÍCULOS!L661,[1]CRITERIOS!$BG$11:$BG$201:#REF!,[1]CRITERIOS!$BJ$11:$BJ$201),_xlfn.XLOOKUP(ARTÍCULOS!C661,[1]CRITERIOS!$K$25:$K$42,[1]CRITERIOS!$M$25:$M$42))),0),(E661+V661-_xlfn.XLOOKUP(A661,'[1]DATOS PBI Artículos'!$A$4:$A$4,'[1]DATOS PBI Artículos'!$W$4:$W$4))/N661)</f>
        <v>#N/A</v>
      </c>
      <c r="AC661" s="33" t="e">
        <f>IF(N661=0,"",(ROUNDUP((N661/2)/(_xlfn.XLOOKUP(A661,'[1]DATOS PBI Artículos'!$A$4:$A$4,'[1]DATOS PBI Artículos'!$Z$4:$Z$4)*_xlfn.XLOOKUP(_xlfn.XLOOKUP(A661,'[1]DATOS PBI Artículos'!$A$4:$A$4,'[1]DATOS PBI Artículos'!$Y$4:$Y$4),[1]CRITERIOS!$P$79:$P$123,[1]CRITERIOS!$S$79:$S$123)),0)*[1]CRITERIOS!$M$80*([1]CRITERIOS!$M$110/[1]CRITERIOS!$M$86)+(_xlfn.XLOOKUP(A661,'[1]DATOS PBI Artículos'!$A$4:$A$4,'[1]DATOS PBI Artículos'!$AA$4:$AA$4)*([1]CRITERIOS!$M$95+[1]CRITERIOS!$M$98)))/N661)</f>
        <v>#N/A</v>
      </c>
      <c r="AD661" s="33" t="e">
        <f>IF(N661=0,"",(ROUNDUP((N661/2)/(_xlfn.XLOOKUP(A661,'[1]DATOS PBI Artículos'!$A$4:$A$4,'[1]DATOS PBI Artículos'!$Z$4:$Z$4)*_xlfn.XLOOKUP(_xlfn.XLOOKUP(A661,'[1]DATOS PBI Artículos'!$A$4:$A$4,'[1]DATOS PBI Artículos'!$Y$4:$Y$4),[1]CRITERIOS!$P$79:$P$123,[1]CRITERIOS!$S$79:$S$123)),0)*[1]CRITERIOS!$M$80*([1]CRITERIOS!$M$89*[1]CRITERIOS!$M$92)+((_xlfn.XLOOKUP(A661,'[1]DATOS PBI Artículos'!$A$4:$A$4,'[1]DATOS PBI Artículos'!$AA$4:$AA$4)/2)*([1]CRITERIOS!$M$95+[1]CRITERIOS!$M$98)))/N661)</f>
        <v>#N/A</v>
      </c>
      <c r="AE661" s="39" t="e">
        <f>IF($R661="MTO","",
IF($H661=0,ROUNDUP(((_xlfn.XLOOKUP($A661,'[1]DATOS PBI Artículos'!$A:$A,'[1]DATOS PBI Artículos'!$AL:$AL))/(_xlfn.XLOOKUP($AF$1,[1]CRITERIOS!$S$16:$S$39,[1]CRITERIOS!$Y$16:$Y$39))*$J661+$Z661)/$G661,0)*$G661,
((_xlfn.XLOOKUP($A661,'[1]DATOS PBI Artículos'!$A:$A,'[1]DATOS PBI Artículos'!$AL:$AL))/(_xlfn.XLOOKUP($AF$1,[1]CRITERIOS!$S$16:$S$39,[1]CRITERIOS!$Y$16:$Y$39))*$J661+$Z661)))</f>
        <v>#N/A</v>
      </c>
      <c r="AG661" s="39" t="e">
        <f>IF($R661="MTO","",
IF($H661=0,ROUNDUP(((_xlfn.XLOOKUP($A661,'[1]DATOS PBI Artículos'!$A:$A,'[1]DATOS PBI Artículos'!$AM:$AM))/(_xlfn.XLOOKUP($AH$1,[1]CRITERIOS!$S$16:$S$39,[1]CRITERIOS!$Y$16:$Y$39))*$J661+$Z661)/$G661,0)*$G661,
((_xlfn.XLOOKUP($A661,'[1]DATOS PBI Artículos'!$A:$A,'[1]DATOS PBI Artículos'!$AM:$AM))/(_xlfn.XLOOKUP($AH$1,[1]CRITERIOS!$S$16:$S$39,[1]CRITERIOS!$Y$16:$Y$39))*$J661+$Z661)))</f>
        <v>#N/A</v>
      </c>
      <c r="AI661" s="39" t="e">
        <f>IF($R661="MTO","",
IF($H661=0,ROUNDUP(((_xlfn.XLOOKUP($A661,'[1]DATOS PBI Artículos'!$A:$A,'[1]DATOS PBI Artículos'!$AN:$AN))/(_xlfn.XLOOKUP($AJ$1,[1]CRITERIOS!$S$16:$S$39,[1]CRITERIOS!$Y$16:$Y$39))*$J661+$Z661)/$G661,0)*$G661,
((_xlfn.XLOOKUP($A661,'[1]DATOS PBI Artículos'!$A:$A,'[1]DATOS PBI Artículos'!$AN:$AN))/(_xlfn.XLOOKUP($AJ$1,[1]CRITERIOS!$S$16:$S$39,[1]CRITERIOS!$Y$16:$Y$39))*$J661+$Z661)))</f>
        <v>#N/A</v>
      </c>
      <c r="AK661" s="39" t="e">
        <f>IF($R661="MTO","",
IF($H661=0,ROUNDUP(((_xlfn.XLOOKUP($A661,'[1]DATOS PBI Artículos'!$A:$A,'[1]DATOS PBI Artículos'!$AO:$AO))/(_xlfn.XLOOKUP($AL$1,[1]CRITERIOS!$S$16:$S$39,[1]CRITERIOS!$Y$16:$Y$39))*$J661+$Z661)/$G661,0)*$G661,
((_xlfn.XLOOKUP($A661,'[1]DATOS PBI Artículos'!$A:$A,'[1]DATOS PBI Artículos'!$AO:$AO))/(_xlfn.XLOOKUP($AL$1,[1]CRITERIOS!$S$16:$S$39,[1]CRITERIOS!$Y$16:$Y$39))*$J661+$Z661)))</f>
        <v>#N/A</v>
      </c>
    </row>
    <row r="662" spans="1:37" ht="25.8" hidden="1" x14ac:dyDescent="0.4">
      <c r="A662" s="41"/>
      <c r="B662" s="33">
        <f>_xlfn.XLOOKUP($A662,'[1]DATOS PBI Artículos'!A:A,'[1]DATOS PBI Artículos'!B:B)</f>
        <v>0</v>
      </c>
      <c r="C662" s="33">
        <f>_xlfn.XLOOKUP($A662,'[1]DATOS PBI Artículos'!A:A,'[1]DATOS PBI Artículos'!C:C)</f>
        <v>0</v>
      </c>
      <c r="D662" s="33">
        <f>_xlfn.XLOOKUP(A662,'[1]DATOS PBI Artículos'!A:A,'[1]DATOS PBI Artículos'!T:T)</f>
        <v>0</v>
      </c>
      <c r="E662" s="34">
        <f>IF(_xlfn.XLOOKUP($A662,'[1]DATOS PBI Artículos'!A:A,'[1]DATOS PBI Artículos'!AK:AK)="",_xlfn.XLOOKUP($A662,'[1]DATOS PBI Artículos'!A:A,'[1]DATOS PBI Artículos'!AJ:AJ),_xlfn.XLOOKUP($A662,'[1]DATOS PBI Artículos'!A:A,'[1]DATOS PBI Artículos'!AK:AK))</f>
        <v>0</v>
      </c>
      <c r="F662" s="35">
        <f>_xlfn.XLOOKUP($A662,'[1]DATOS PBI Artículos'!A:A,'[1]DATOS PBI Artículos'!AP:AP)</f>
        <v>0</v>
      </c>
      <c r="G662" s="34">
        <f>_xlfn.XLOOKUP($A662,'[1]DATOS PBI Artículos'!A:A,'[1]DATOS PBI Artículos'!AR:AR)</f>
        <v>0</v>
      </c>
      <c r="H662" s="34">
        <f>_xlfn.XLOOKUP($A662,'[1]DATOS PBI Artículos'!A:A,'[1]DATOS PBI Artículos'!AT:AT)</f>
        <v>0</v>
      </c>
      <c r="I662" s="34">
        <f>_xlfn.XLOOKUP($A662,'[1]DATOS PBI Artículos'!A:A,'[1]DATOS PBI Artículos'!AS:AS)</f>
        <v>0</v>
      </c>
      <c r="J662" s="35">
        <f>IF(COUNTIF([1]CRITERIOS!$F$179:$F$199,$A662)&gt;=1,
 IF(O662&lt;&gt;"",
    (O662/_xlfn.XLOOKUP(CONCATENATE(A662,L662),[1]MÁQUINAS!A:A,[1]MÁQUINAS!D:D))/24,
    (N662/_xlfn.XLOOKUP(CONCATENATE(A662,L662),[1]MÁQUINAS!A:A,[1]MÁQUINAS!D:D))/24),
  _xlfn.XLOOKUP($A662,'[1]DATOS PBI Artículos'!A:A,'[1]DATOS PBI Artículos'!AU:AU))</f>
        <v>0</v>
      </c>
      <c r="K662" s="36">
        <f>_xlfn.XLOOKUP($A662,'[1]DATOS PBI Artículos'!A:A,'[1]DATOS PBI Artículos'!AV:AV)</f>
        <v>0</v>
      </c>
      <c r="L662" s="33">
        <f>_xlfn.XLOOKUP(A662,[1]MÁQUINAS!B:B,[1]MÁQUINAS!C:C)</f>
        <v>0</v>
      </c>
      <c r="M662" s="34">
        <f t="array" ref="M662">_xlfn.XLOOKUP(A662,'[1]DATOS PBI Artículos'!A:A,'[1]DATOS PBI Artículos'!AX:$AX)</f>
        <v>0</v>
      </c>
      <c r="N662" s="37" t="e">
        <f>IF(I662="DV",
E662,
IF(COUNTIF([1]CRITERIOS!$I$179:$I$199,$A662)&gt;=1,
_xlfn.XLOOKUP($A662,[1]CRITERIOS!$I$179:$I$199,[1]CRITERIOS!$J$179:$J$199),
IF(COUNTIF([1]CRITERIOS!$L$179:$L$199,$A662)&gt;=1,
_xlfn.CEILING.MATH(IF($M662&gt;$E662,
$E662,
IF($M662&lt;$E662/ROUNDDOWN([1]CRITERIOS!$M$16/_xlfn.XLOOKUP($C662,[1]CRITERIOS!$K$25:$K$42,[1]CRITERIOS!$M$25:$M$42),
1),
E662/ROUNDDOWN([1]CRITERIOS!$M$16/_xlfn.XLOOKUP($C662,[1]CRITERIOS!$K$25:$K$42,[1]CRITERIOS!$M$25:$M$42),
1),
$M662)),
_xlfn.XLOOKUP($A662,[1]CRITERIOS!$L$179:$L$200,[1]CRITERIOS!$M$179:$M$200)),
_xlfn.CEILING.MATH(IF($M662&gt;$E662,
$E662,
IF($M662&lt;$E662/ROUNDDOWN([1]CRITERIOS!$M$16/_xlfn.XLOOKUP($C662,[1]CRITERIOS!$K$25:$K$42,[1]CRITERIOS!$M$25:$M$42),
1),
E662/ROUNDDOWN([1]CRITERIOS!$M$16/_xlfn.XLOOKUP($C662,[1]CRITERIOS!$K$25:$K$42,[1]CRITERIOS!$M$25:$M$42),
1),
$M662)),_xlfn.XLOOKUP(A662,'[1]DATOS PBI Artículos'!A:A,'[1]DATOS PBI Artículos'!Z:Z
)))))</f>
        <v>#N/A</v>
      </c>
      <c r="Q662" s="38" t="e">
        <f>IF(AND(O662="",N662=0),
0,
   IF(COUNTIF([1]CRITERIOS!$F$179:$F$199,$A662)&gt;=1,
   1,
   IF(R662="MTO",
      $D662,
      ROUNDUP(
                    IF(($E662-SUMIF('[1]DATOS PBI Artículos'!A:A,A662,'[1]DATOS PBI Artículos'!X:X)+($V662-_xlfn.XLOOKUP(A662,'[1]DATOS PBI Artículos'!A:A,'[1]DATOS PBI Artículos'!W:W)))&lt;0,
                    0,
                    IF(($E662-SUMIF('[1]DATOS PBI Artículos'!A:A,A662,'[1]DATOS PBI Artículos'!X:X)+$V662-_xlfn.XLOOKUP($A662,'[1]DATOS PBI Artículos'!A:A,'[1]DATOS PBI Artículos'!W:W))/IF($O662="",$N662,$O662)&gt;ROUNDUP([1]CRITERIOS!$M$16/(IF(COUNTIF([1]CRITERIOS!$BG$11:$BG$201,L662)&gt;=1,_xlfn.XLOOKUP($C662,[1]CRITERIOS!$K$25:$K$42,[1]CRITERIOS!$M$25:$M$42),_xlfn.XLOOKUP($C662,[1]CRITERIOS!$K$25:$K$42,[1]CRITERIOS!$M$25:$M$42))),0),
                    ROUNDUP([1]CRITERIOS!$M$16/(IF(COUNTIF([1]CRITERIOS!$BG$11:$BG$201,$L662)&gt;=1,_xlfn.XLOOKUP($C662,[1]CRITERIOS!$K$25:$K$42,[1]CRITERIOS!$M$25:$M$42),_xlfn.XLOOKUP($C662,[1]CRITERIOS!$K$25:$K$42,[1]CRITERIOS!$M$25:$M$42))),0),
                    (E662+V662-SUMIF('[1]DATOS PBI Artículos'!A:A,A662,'[1]DATOS PBI Artículos'!X:X)-_xlfn.XLOOKUP(A662,'[1]DATOS PBI Artículos'!A:A,'[1]DATOS PBI Artículos'!W:W))/IF($O662="",$N662,$O662))),0))))</f>
        <v>#N/A</v>
      </c>
      <c r="R662" s="33" t="e">
        <f>IF(U662&lt;&gt;"",U662,IF(F662="DV","MTO",IF(N662=0,"MTO",_xlfn.XLOOKUP(CONCATENATE(S662,T662),[1]CRITERIOS!$K$160:$K$168,[1]CRITERIOS!$N$160:$N$168))))</f>
        <v>#N/A</v>
      </c>
      <c r="S662" s="33" t="e">
        <f>IF(G662="DV","MTO",IF(N662=0,"MTO",IF(OR(AND(N662=0,O662=""),IF(O662="",G662/N662,G662/O662)&gt;[1]CRITERIOS!$G$163),"MTO",IF(IF(O662="",G662/N662,G662/O662)&lt;[1]CRITERIOS!$H$161,"MTS","MTOS"))))</f>
        <v>#N/A</v>
      </c>
      <c r="T662" s="33" t="e">
        <f>IF(F662="DV","MTO",IF(OR(AND($N662=0,O662=""),$F662/$J662&gt;[1]CRITERIOS!$G$170,$F662="DV"),"MTO",IF($F662/$J662&lt;[1]CRITERIOS!$H$168,"MTS","MTOS")))</f>
        <v>#N/A</v>
      </c>
      <c r="V662" s="34" t="e">
        <f t="shared" si="31"/>
        <v>#N/A</v>
      </c>
      <c r="X662" s="34" t="e">
        <f t="shared" si="32"/>
        <v>#N/A</v>
      </c>
      <c r="Y662" s="34" t="e">
        <f t="shared" si="33"/>
        <v>#N/A</v>
      </c>
      <c r="Z662" s="34" t="e">
        <f>IF($R662="MTO",
0,
($H662+$K662*($E662/[1]CRITERIOS!$M$16))/[1]CRITERIOS!$X$48)</f>
        <v>#N/A</v>
      </c>
      <c r="AA662" s="34" t="e">
        <f>ROUNDUP(($Y662/_xlfn.XLOOKUP($A662,'[1]DATOS PBI Artículos'!$A$4:$A$4,'[1]DATOS PBI Artículos'!$Z$4:$Z$4))/_xlfn.XLOOKUP(_xlfn.XLOOKUP($A662,'[1]DATOS PBI Artículos'!$A$4:$A$4,'[1]DATOS PBI Artículos'!$Y$4:$Y$4),[1]CRITERIOS!$P$79:$P$123,[1]CRITERIOS!$S$79:$S$123,),0)</f>
        <v>#N/A</v>
      </c>
      <c r="AB662" s="33" t="e">
        <f t="array" ref="AB662">IF((E662+V662-_xlfn.XLOOKUP(A662,'[1]DATOS PBI Artículos'!$A$4:$A$4,'[1]DATOS PBI Artículos'!$W$4:$W$4))/N662&gt;ROUNDUP([1]CRITERIOS!$M$16/(IF(COUNTIF([1]CRITERIOS!$BG$11:$BG$201,L662)&gt;=1,_xlfn.XLOOKUP(ARTÍCULOS!L662,[1]CRITERIOS!$BG$11:$BG$201,[1]CRITERIOS!$BJ$11:$BJ$201),_xlfn.XLOOKUP(ARTÍCULOS!C662,[1]CRITERIOS!$K$25:$K$42,[1]CRITERIOS!$M$25:$M$42))),0),ROUNDUP([1]CRITERIOS!$M$16/(IF(COUNTIF([1]CRITERIOS!$BG$11:$BG$201,L662)&gt;=1,_xlfn.XLOOKUP(ARTÍCULOS!L662,[1]CRITERIOS!$BG$11:$BG$201:#REF!,[1]CRITERIOS!$BJ$11:$BJ$201),_xlfn.XLOOKUP(ARTÍCULOS!C662,[1]CRITERIOS!$K$25:$K$42,[1]CRITERIOS!$M$25:$M$42))),0),(E662+V662-_xlfn.XLOOKUP(A662,'[1]DATOS PBI Artículos'!$A$4:$A$4,'[1]DATOS PBI Artículos'!$W$4:$W$4))/N662)</f>
        <v>#N/A</v>
      </c>
      <c r="AC662" s="33" t="e">
        <f>IF(N662=0,"",(ROUNDUP((N662/2)/(_xlfn.XLOOKUP(A662,'[1]DATOS PBI Artículos'!$A$4:$A$4,'[1]DATOS PBI Artículos'!$Z$4:$Z$4)*_xlfn.XLOOKUP(_xlfn.XLOOKUP(A662,'[1]DATOS PBI Artículos'!$A$4:$A$4,'[1]DATOS PBI Artículos'!$Y$4:$Y$4),[1]CRITERIOS!$P$79:$P$123,[1]CRITERIOS!$S$79:$S$123)),0)*[1]CRITERIOS!$M$80*([1]CRITERIOS!$M$110/[1]CRITERIOS!$M$86)+(_xlfn.XLOOKUP(A662,'[1]DATOS PBI Artículos'!$A$4:$A$4,'[1]DATOS PBI Artículos'!$AA$4:$AA$4)*([1]CRITERIOS!$M$95+[1]CRITERIOS!$M$98)))/N662)</f>
        <v>#N/A</v>
      </c>
      <c r="AD662" s="33" t="e">
        <f>IF(N662=0,"",(ROUNDUP((N662/2)/(_xlfn.XLOOKUP(A662,'[1]DATOS PBI Artículos'!$A$4:$A$4,'[1]DATOS PBI Artículos'!$Z$4:$Z$4)*_xlfn.XLOOKUP(_xlfn.XLOOKUP(A662,'[1]DATOS PBI Artículos'!$A$4:$A$4,'[1]DATOS PBI Artículos'!$Y$4:$Y$4),[1]CRITERIOS!$P$79:$P$123,[1]CRITERIOS!$S$79:$S$123)),0)*[1]CRITERIOS!$M$80*([1]CRITERIOS!$M$89*[1]CRITERIOS!$M$92)+((_xlfn.XLOOKUP(A662,'[1]DATOS PBI Artículos'!$A$4:$A$4,'[1]DATOS PBI Artículos'!$AA$4:$AA$4)/2)*([1]CRITERIOS!$M$95+[1]CRITERIOS!$M$98)))/N662)</f>
        <v>#N/A</v>
      </c>
      <c r="AE662" s="39" t="e">
        <f>IF($R662="MTO","",
IF($H662=0,ROUNDUP(((_xlfn.XLOOKUP($A662,'[1]DATOS PBI Artículos'!$A:$A,'[1]DATOS PBI Artículos'!$AL:$AL))/(_xlfn.XLOOKUP($AF$1,[1]CRITERIOS!$S$16:$S$39,[1]CRITERIOS!$Y$16:$Y$39))*$J662+$Z662)/$G662,0)*$G662,
((_xlfn.XLOOKUP($A662,'[1]DATOS PBI Artículos'!$A:$A,'[1]DATOS PBI Artículos'!$AL:$AL))/(_xlfn.XLOOKUP($AF$1,[1]CRITERIOS!$S$16:$S$39,[1]CRITERIOS!$Y$16:$Y$39))*$J662+$Z662)))</f>
        <v>#N/A</v>
      </c>
      <c r="AG662" s="39" t="e">
        <f>IF($R662="MTO","",
IF($H662=0,ROUNDUP(((_xlfn.XLOOKUP($A662,'[1]DATOS PBI Artículos'!$A:$A,'[1]DATOS PBI Artículos'!$AM:$AM))/(_xlfn.XLOOKUP($AH$1,[1]CRITERIOS!$S$16:$S$39,[1]CRITERIOS!$Y$16:$Y$39))*$J662+$Z662)/$G662,0)*$G662,
((_xlfn.XLOOKUP($A662,'[1]DATOS PBI Artículos'!$A:$A,'[1]DATOS PBI Artículos'!$AM:$AM))/(_xlfn.XLOOKUP($AH$1,[1]CRITERIOS!$S$16:$S$39,[1]CRITERIOS!$Y$16:$Y$39))*$J662+$Z662)))</f>
        <v>#N/A</v>
      </c>
      <c r="AI662" s="39" t="e">
        <f>IF($R662="MTO","",
IF($H662=0,ROUNDUP(((_xlfn.XLOOKUP($A662,'[1]DATOS PBI Artículos'!$A:$A,'[1]DATOS PBI Artículos'!$AN:$AN))/(_xlfn.XLOOKUP($AJ$1,[1]CRITERIOS!$S$16:$S$39,[1]CRITERIOS!$Y$16:$Y$39))*$J662+$Z662)/$G662,0)*$G662,
((_xlfn.XLOOKUP($A662,'[1]DATOS PBI Artículos'!$A:$A,'[1]DATOS PBI Artículos'!$AN:$AN))/(_xlfn.XLOOKUP($AJ$1,[1]CRITERIOS!$S$16:$S$39,[1]CRITERIOS!$Y$16:$Y$39))*$J662+$Z662)))</f>
        <v>#N/A</v>
      </c>
      <c r="AK662" s="39" t="e">
        <f>IF($R662="MTO","",
IF($H662=0,ROUNDUP(((_xlfn.XLOOKUP($A662,'[1]DATOS PBI Artículos'!$A:$A,'[1]DATOS PBI Artículos'!$AO:$AO))/(_xlfn.XLOOKUP($AL$1,[1]CRITERIOS!$S$16:$S$39,[1]CRITERIOS!$Y$16:$Y$39))*$J662+$Z662)/$G662,0)*$G662,
((_xlfn.XLOOKUP($A662,'[1]DATOS PBI Artículos'!$A:$A,'[1]DATOS PBI Artículos'!$AO:$AO))/(_xlfn.XLOOKUP($AL$1,[1]CRITERIOS!$S$16:$S$39,[1]CRITERIOS!$Y$16:$Y$39))*$J662+$Z662)))</f>
        <v>#N/A</v>
      </c>
    </row>
    <row r="663" spans="1:37" ht="25.8" hidden="1" x14ac:dyDescent="0.4">
      <c r="A663" s="41"/>
      <c r="B663" s="33">
        <f>_xlfn.XLOOKUP($A663,'[1]DATOS PBI Artículos'!A:A,'[1]DATOS PBI Artículos'!B:B)</f>
        <v>0</v>
      </c>
      <c r="C663" s="33">
        <f>_xlfn.XLOOKUP($A663,'[1]DATOS PBI Artículos'!A:A,'[1]DATOS PBI Artículos'!C:C)</f>
        <v>0</v>
      </c>
      <c r="D663" s="33">
        <f>_xlfn.XLOOKUP(A663,'[1]DATOS PBI Artículos'!A:A,'[1]DATOS PBI Artículos'!T:T)</f>
        <v>0</v>
      </c>
      <c r="E663" s="34">
        <f>IF(_xlfn.XLOOKUP($A663,'[1]DATOS PBI Artículos'!A:A,'[1]DATOS PBI Artículos'!AK:AK)="",_xlfn.XLOOKUP($A663,'[1]DATOS PBI Artículos'!A:A,'[1]DATOS PBI Artículos'!AJ:AJ),_xlfn.XLOOKUP($A663,'[1]DATOS PBI Artículos'!A:A,'[1]DATOS PBI Artículos'!AK:AK))</f>
        <v>0</v>
      </c>
      <c r="F663" s="35">
        <f>_xlfn.XLOOKUP($A663,'[1]DATOS PBI Artículos'!A:A,'[1]DATOS PBI Artículos'!AP:AP)</f>
        <v>0</v>
      </c>
      <c r="G663" s="34">
        <f>_xlfn.XLOOKUP($A663,'[1]DATOS PBI Artículos'!A:A,'[1]DATOS PBI Artículos'!AR:AR)</f>
        <v>0</v>
      </c>
      <c r="H663" s="34">
        <f>_xlfn.XLOOKUP($A663,'[1]DATOS PBI Artículos'!A:A,'[1]DATOS PBI Artículos'!AT:AT)</f>
        <v>0</v>
      </c>
      <c r="I663" s="34">
        <f>_xlfn.XLOOKUP($A663,'[1]DATOS PBI Artículos'!A:A,'[1]DATOS PBI Artículos'!AS:AS)</f>
        <v>0</v>
      </c>
      <c r="J663" s="35">
        <f>IF(COUNTIF([1]CRITERIOS!$F$179:$F$199,$A663)&gt;=1,
 IF(O663&lt;&gt;"",
    (O663/_xlfn.XLOOKUP(CONCATENATE(A663,L663),[1]MÁQUINAS!A:A,[1]MÁQUINAS!D:D))/24,
    (N663/_xlfn.XLOOKUP(CONCATENATE(A663,L663),[1]MÁQUINAS!A:A,[1]MÁQUINAS!D:D))/24),
  _xlfn.XLOOKUP($A663,'[1]DATOS PBI Artículos'!A:A,'[1]DATOS PBI Artículos'!AU:AU))</f>
        <v>0</v>
      </c>
      <c r="K663" s="36">
        <f>_xlfn.XLOOKUP($A663,'[1]DATOS PBI Artículos'!A:A,'[1]DATOS PBI Artículos'!AV:AV)</f>
        <v>0</v>
      </c>
      <c r="L663" s="33">
        <f>_xlfn.XLOOKUP(A663,[1]MÁQUINAS!B:B,[1]MÁQUINAS!C:C)</f>
        <v>0</v>
      </c>
      <c r="M663" s="34">
        <f t="array" ref="M663">_xlfn.XLOOKUP(A663,'[1]DATOS PBI Artículos'!A:A,'[1]DATOS PBI Artículos'!AX:$AX)</f>
        <v>0</v>
      </c>
      <c r="N663" s="37" t="e">
        <f>IF(I663="DV",
E663,
IF(COUNTIF([1]CRITERIOS!$I$179:$I$199,$A663)&gt;=1,
_xlfn.XLOOKUP($A663,[1]CRITERIOS!$I$179:$I$199,[1]CRITERIOS!$J$179:$J$199),
IF(COUNTIF([1]CRITERIOS!$L$179:$L$199,$A663)&gt;=1,
_xlfn.CEILING.MATH(IF($M663&gt;$E663,
$E663,
IF($M663&lt;$E663/ROUNDDOWN([1]CRITERIOS!$M$16/_xlfn.XLOOKUP($C663,[1]CRITERIOS!$K$25:$K$42,[1]CRITERIOS!$M$25:$M$42),
1),
E663/ROUNDDOWN([1]CRITERIOS!$M$16/_xlfn.XLOOKUP($C663,[1]CRITERIOS!$K$25:$K$42,[1]CRITERIOS!$M$25:$M$42),
1),
$M663)),
_xlfn.XLOOKUP($A663,[1]CRITERIOS!$L$179:$L$200,[1]CRITERIOS!$M$179:$M$200)),
_xlfn.CEILING.MATH(IF($M663&gt;$E663,
$E663,
IF($M663&lt;$E663/ROUNDDOWN([1]CRITERIOS!$M$16/_xlfn.XLOOKUP($C663,[1]CRITERIOS!$K$25:$K$42,[1]CRITERIOS!$M$25:$M$42),
1),
E663/ROUNDDOWN([1]CRITERIOS!$M$16/_xlfn.XLOOKUP($C663,[1]CRITERIOS!$K$25:$K$42,[1]CRITERIOS!$M$25:$M$42),
1),
$M663)),_xlfn.XLOOKUP(A663,'[1]DATOS PBI Artículos'!A:A,'[1]DATOS PBI Artículos'!Z:Z
)))))</f>
        <v>#N/A</v>
      </c>
      <c r="Q663" s="38" t="e">
        <f>IF(AND(O663="",N663=0),
0,
   IF(COUNTIF([1]CRITERIOS!$F$179:$F$199,$A663)&gt;=1,
   1,
   IF(R663="MTO",
      $D663,
      ROUNDUP(
                    IF(($E663-SUMIF('[1]DATOS PBI Artículos'!A:A,A663,'[1]DATOS PBI Artículos'!X:X)+($V663-_xlfn.XLOOKUP(A663,'[1]DATOS PBI Artículos'!A:A,'[1]DATOS PBI Artículos'!W:W)))&lt;0,
                    0,
                    IF(($E663-SUMIF('[1]DATOS PBI Artículos'!A:A,A663,'[1]DATOS PBI Artículos'!X:X)+$V663-_xlfn.XLOOKUP($A663,'[1]DATOS PBI Artículos'!A:A,'[1]DATOS PBI Artículos'!W:W))/IF($O663="",$N663,$O663)&gt;ROUNDUP([1]CRITERIOS!$M$16/(IF(COUNTIF([1]CRITERIOS!$BG$11:$BG$201,L663)&gt;=1,_xlfn.XLOOKUP($C663,[1]CRITERIOS!$K$25:$K$42,[1]CRITERIOS!$M$25:$M$42),_xlfn.XLOOKUP($C663,[1]CRITERIOS!$K$25:$K$42,[1]CRITERIOS!$M$25:$M$42))),0),
                    ROUNDUP([1]CRITERIOS!$M$16/(IF(COUNTIF([1]CRITERIOS!$BG$11:$BG$201,$L663)&gt;=1,_xlfn.XLOOKUP($C663,[1]CRITERIOS!$K$25:$K$42,[1]CRITERIOS!$M$25:$M$42),_xlfn.XLOOKUP($C663,[1]CRITERIOS!$K$25:$K$42,[1]CRITERIOS!$M$25:$M$42))),0),
                    (E663+V663-SUMIF('[1]DATOS PBI Artículos'!A:A,A663,'[1]DATOS PBI Artículos'!X:X)-_xlfn.XLOOKUP(A663,'[1]DATOS PBI Artículos'!A:A,'[1]DATOS PBI Artículos'!W:W))/IF($O663="",$N663,$O663))),0))))</f>
        <v>#N/A</v>
      </c>
      <c r="R663" s="33" t="e">
        <f>IF(U663&lt;&gt;"",U663,IF(F663="DV","MTO",IF(N663=0,"MTO",_xlfn.XLOOKUP(CONCATENATE(S663,T663),[1]CRITERIOS!$K$160:$K$168,[1]CRITERIOS!$N$160:$N$168))))</f>
        <v>#N/A</v>
      </c>
      <c r="S663" s="33" t="e">
        <f>IF(G663="DV","MTO",IF(N663=0,"MTO",IF(OR(AND(N663=0,O663=""),IF(O663="",G663/N663,G663/O663)&gt;[1]CRITERIOS!$G$163),"MTO",IF(IF(O663="",G663/N663,G663/O663)&lt;[1]CRITERIOS!$H$161,"MTS","MTOS"))))</f>
        <v>#N/A</v>
      </c>
      <c r="T663" s="33" t="e">
        <f>IF(F663="DV","MTO",IF(OR(AND($N663=0,O663=""),$F663/$J663&gt;[1]CRITERIOS!$G$170,$F663="DV"),"MTO",IF($F663/$J663&lt;[1]CRITERIOS!$H$168,"MTS","MTOS")))</f>
        <v>#N/A</v>
      </c>
      <c r="V663" s="34" t="e">
        <f t="shared" si="31"/>
        <v>#N/A</v>
      </c>
      <c r="X663" s="34" t="e">
        <f t="shared" si="32"/>
        <v>#N/A</v>
      </c>
      <c r="Y663" s="34" t="e">
        <f t="shared" si="33"/>
        <v>#N/A</v>
      </c>
      <c r="Z663" s="34" t="e">
        <f>IF($R663="MTO",
0,
($H663+$K663*($E663/[1]CRITERIOS!$M$16))/[1]CRITERIOS!$X$48)</f>
        <v>#N/A</v>
      </c>
      <c r="AA663" s="34" t="e">
        <f>ROUNDUP(($Y663/_xlfn.XLOOKUP($A663,'[1]DATOS PBI Artículos'!$A$4:$A$4,'[1]DATOS PBI Artículos'!$Z$4:$Z$4))/_xlfn.XLOOKUP(_xlfn.XLOOKUP($A663,'[1]DATOS PBI Artículos'!$A$4:$A$4,'[1]DATOS PBI Artículos'!$Y$4:$Y$4),[1]CRITERIOS!$P$79:$P$123,[1]CRITERIOS!$S$79:$S$123,),0)</f>
        <v>#N/A</v>
      </c>
      <c r="AB663" s="33" t="e">
        <f t="array" ref="AB663">IF((E663+V663-_xlfn.XLOOKUP(A663,'[1]DATOS PBI Artículos'!$A$4:$A$4,'[1]DATOS PBI Artículos'!$W$4:$W$4))/N663&gt;ROUNDUP([1]CRITERIOS!$M$16/(IF(COUNTIF([1]CRITERIOS!$BG$11:$BG$201,L663)&gt;=1,_xlfn.XLOOKUP(ARTÍCULOS!L663,[1]CRITERIOS!$BG$11:$BG$201,[1]CRITERIOS!$BJ$11:$BJ$201),_xlfn.XLOOKUP(ARTÍCULOS!C663,[1]CRITERIOS!$K$25:$K$42,[1]CRITERIOS!$M$25:$M$42))),0),ROUNDUP([1]CRITERIOS!$M$16/(IF(COUNTIF([1]CRITERIOS!$BG$11:$BG$201,L663)&gt;=1,_xlfn.XLOOKUP(ARTÍCULOS!L663,[1]CRITERIOS!$BG$11:$BG$201:#REF!,[1]CRITERIOS!$BJ$11:$BJ$201),_xlfn.XLOOKUP(ARTÍCULOS!C663,[1]CRITERIOS!$K$25:$K$42,[1]CRITERIOS!$M$25:$M$42))),0),(E663+V663-_xlfn.XLOOKUP(A663,'[1]DATOS PBI Artículos'!$A$4:$A$4,'[1]DATOS PBI Artículos'!$W$4:$W$4))/N663)</f>
        <v>#N/A</v>
      </c>
      <c r="AC663" s="33" t="e">
        <f>IF(N663=0,"",(ROUNDUP((N663/2)/(_xlfn.XLOOKUP(A663,'[1]DATOS PBI Artículos'!$A$4:$A$4,'[1]DATOS PBI Artículos'!$Z$4:$Z$4)*_xlfn.XLOOKUP(_xlfn.XLOOKUP(A663,'[1]DATOS PBI Artículos'!$A$4:$A$4,'[1]DATOS PBI Artículos'!$Y$4:$Y$4),[1]CRITERIOS!$P$79:$P$123,[1]CRITERIOS!$S$79:$S$123)),0)*[1]CRITERIOS!$M$80*([1]CRITERIOS!$M$110/[1]CRITERIOS!$M$86)+(_xlfn.XLOOKUP(A663,'[1]DATOS PBI Artículos'!$A$4:$A$4,'[1]DATOS PBI Artículos'!$AA$4:$AA$4)*([1]CRITERIOS!$M$95+[1]CRITERIOS!$M$98)))/N663)</f>
        <v>#N/A</v>
      </c>
      <c r="AD663" s="33" t="e">
        <f>IF(N663=0,"",(ROUNDUP((N663/2)/(_xlfn.XLOOKUP(A663,'[1]DATOS PBI Artículos'!$A$4:$A$4,'[1]DATOS PBI Artículos'!$Z$4:$Z$4)*_xlfn.XLOOKUP(_xlfn.XLOOKUP(A663,'[1]DATOS PBI Artículos'!$A$4:$A$4,'[1]DATOS PBI Artículos'!$Y$4:$Y$4),[1]CRITERIOS!$P$79:$P$123,[1]CRITERIOS!$S$79:$S$123)),0)*[1]CRITERIOS!$M$80*([1]CRITERIOS!$M$89*[1]CRITERIOS!$M$92)+((_xlfn.XLOOKUP(A663,'[1]DATOS PBI Artículos'!$A$4:$A$4,'[1]DATOS PBI Artículos'!$AA$4:$AA$4)/2)*([1]CRITERIOS!$M$95+[1]CRITERIOS!$M$98)))/N663)</f>
        <v>#N/A</v>
      </c>
      <c r="AE663" s="39" t="e">
        <f>IF($R663="MTO","",
IF($H663=0,ROUNDUP(((_xlfn.XLOOKUP($A663,'[1]DATOS PBI Artículos'!$A:$A,'[1]DATOS PBI Artículos'!$AL:$AL))/(_xlfn.XLOOKUP($AF$1,[1]CRITERIOS!$S$16:$S$39,[1]CRITERIOS!$Y$16:$Y$39))*$J663+$Z663)/$G663,0)*$G663,
((_xlfn.XLOOKUP($A663,'[1]DATOS PBI Artículos'!$A:$A,'[1]DATOS PBI Artículos'!$AL:$AL))/(_xlfn.XLOOKUP($AF$1,[1]CRITERIOS!$S$16:$S$39,[1]CRITERIOS!$Y$16:$Y$39))*$J663+$Z663)))</f>
        <v>#N/A</v>
      </c>
      <c r="AG663" s="39" t="e">
        <f>IF($R663="MTO","",
IF($H663=0,ROUNDUP(((_xlfn.XLOOKUP($A663,'[1]DATOS PBI Artículos'!$A:$A,'[1]DATOS PBI Artículos'!$AM:$AM))/(_xlfn.XLOOKUP($AH$1,[1]CRITERIOS!$S$16:$S$39,[1]CRITERIOS!$Y$16:$Y$39))*$J663+$Z663)/$G663,0)*$G663,
((_xlfn.XLOOKUP($A663,'[1]DATOS PBI Artículos'!$A:$A,'[1]DATOS PBI Artículos'!$AM:$AM))/(_xlfn.XLOOKUP($AH$1,[1]CRITERIOS!$S$16:$S$39,[1]CRITERIOS!$Y$16:$Y$39))*$J663+$Z663)))</f>
        <v>#N/A</v>
      </c>
      <c r="AI663" s="39" t="e">
        <f>IF($R663="MTO","",
IF($H663=0,ROUNDUP(((_xlfn.XLOOKUP($A663,'[1]DATOS PBI Artículos'!$A:$A,'[1]DATOS PBI Artículos'!$AN:$AN))/(_xlfn.XLOOKUP($AJ$1,[1]CRITERIOS!$S$16:$S$39,[1]CRITERIOS!$Y$16:$Y$39))*$J663+$Z663)/$G663,0)*$G663,
((_xlfn.XLOOKUP($A663,'[1]DATOS PBI Artículos'!$A:$A,'[1]DATOS PBI Artículos'!$AN:$AN))/(_xlfn.XLOOKUP($AJ$1,[1]CRITERIOS!$S$16:$S$39,[1]CRITERIOS!$Y$16:$Y$39))*$J663+$Z663)))</f>
        <v>#N/A</v>
      </c>
      <c r="AK663" s="39" t="e">
        <f>IF($R663="MTO","",
IF($H663=0,ROUNDUP(((_xlfn.XLOOKUP($A663,'[1]DATOS PBI Artículos'!$A:$A,'[1]DATOS PBI Artículos'!$AO:$AO))/(_xlfn.XLOOKUP($AL$1,[1]CRITERIOS!$S$16:$S$39,[1]CRITERIOS!$Y$16:$Y$39))*$J663+$Z663)/$G663,0)*$G663,
((_xlfn.XLOOKUP($A663,'[1]DATOS PBI Artículos'!$A:$A,'[1]DATOS PBI Artículos'!$AO:$AO))/(_xlfn.XLOOKUP($AL$1,[1]CRITERIOS!$S$16:$S$39,[1]CRITERIOS!$Y$16:$Y$39))*$J663+$Z663)))</f>
        <v>#N/A</v>
      </c>
    </row>
    <row r="664" spans="1:37" ht="25.8" hidden="1" x14ac:dyDescent="0.4">
      <c r="A664" s="41"/>
      <c r="B664" s="33">
        <f>_xlfn.XLOOKUP($A664,'[1]DATOS PBI Artículos'!A:A,'[1]DATOS PBI Artículos'!B:B)</f>
        <v>0</v>
      </c>
      <c r="C664" s="33">
        <f>_xlfn.XLOOKUP($A664,'[1]DATOS PBI Artículos'!A:A,'[1]DATOS PBI Artículos'!C:C)</f>
        <v>0</v>
      </c>
      <c r="D664" s="33">
        <f>_xlfn.XLOOKUP(A664,'[1]DATOS PBI Artículos'!A:A,'[1]DATOS PBI Artículos'!T:T)</f>
        <v>0</v>
      </c>
      <c r="E664" s="34">
        <f>IF(_xlfn.XLOOKUP($A664,'[1]DATOS PBI Artículos'!A:A,'[1]DATOS PBI Artículos'!AK:AK)="",_xlfn.XLOOKUP($A664,'[1]DATOS PBI Artículos'!A:A,'[1]DATOS PBI Artículos'!AJ:AJ),_xlfn.XLOOKUP($A664,'[1]DATOS PBI Artículos'!A:A,'[1]DATOS PBI Artículos'!AK:AK))</f>
        <v>0</v>
      </c>
      <c r="F664" s="35">
        <f>_xlfn.XLOOKUP($A664,'[1]DATOS PBI Artículos'!A:A,'[1]DATOS PBI Artículos'!AP:AP)</f>
        <v>0</v>
      </c>
      <c r="G664" s="34">
        <f>_xlfn.XLOOKUP($A664,'[1]DATOS PBI Artículos'!A:A,'[1]DATOS PBI Artículos'!AR:AR)</f>
        <v>0</v>
      </c>
      <c r="H664" s="34">
        <f>_xlfn.XLOOKUP($A664,'[1]DATOS PBI Artículos'!A:A,'[1]DATOS PBI Artículos'!AT:AT)</f>
        <v>0</v>
      </c>
      <c r="I664" s="34">
        <f>_xlfn.XLOOKUP($A664,'[1]DATOS PBI Artículos'!A:A,'[1]DATOS PBI Artículos'!AS:AS)</f>
        <v>0</v>
      </c>
      <c r="J664" s="35">
        <f>IF(COUNTIF([1]CRITERIOS!$F$179:$F$199,$A664)&gt;=1,
 IF(O664&lt;&gt;"",
    (O664/_xlfn.XLOOKUP(CONCATENATE(A664,L664),[1]MÁQUINAS!A:A,[1]MÁQUINAS!D:D))/24,
    (N664/_xlfn.XLOOKUP(CONCATENATE(A664,L664),[1]MÁQUINAS!A:A,[1]MÁQUINAS!D:D))/24),
  _xlfn.XLOOKUP($A664,'[1]DATOS PBI Artículos'!A:A,'[1]DATOS PBI Artículos'!AU:AU))</f>
        <v>0</v>
      </c>
      <c r="K664" s="36">
        <f>_xlfn.XLOOKUP($A664,'[1]DATOS PBI Artículos'!A:A,'[1]DATOS PBI Artículos'!AV:AV)</f>
        <v>0</v>
      </c>
      <c r="L664" s="33">
        <f>_xlfn.XLOOKUP(A664,[1]MÁQUINAS!B:B,[1]MÁQUINAS!C:C)</f>
        <v>0</v>
      </c>
      <c r="M664" s="34">
        <f t="array" ref="M664">_xlfn.XLOOKUP(A664,'[1]DATOS PBI Artículos'!A:A,'[1]DATOS PBI Artículos'!AX:$AX)</f>
        <v>0</v>
      </c>
      <c r="N664" s="37" t="e">
        <f>IF(I664="DV",
E664,
IF(COUNTIF([1]CRITERIOS!$I$179:$I$199,$A664)&gt;=1,
_xlfn.XLOOKUP($A664,[1]CRITERIOS!$I$179:$I$199,[1]CRITERIOS!$J$179:$J$199),
IF(COUNTIF([1]CRITERIOS!$L$179:$L$199,$A664)&gt;=1,
_xlfn.CEILING.MATH(IF($M664&gt;$E664,
$E664,
IF($M664&lt;$E664/ROUNDDOWN([1]CRITERIOS!$M$16/_xlfn.XLOOKUP($C664,[1]CRITERIOS!$K$25:$K$42,[1]CRITERIOS!$M$25:$M$42),
1),
E664/ROUNDDOWN([1]CRITERIOS!$M$16/_xlfn.XLOOKUP($C664,[1]CRITERIOS!$K$25:$K$42,[1]CRITERIOS!$M$25:$M$42),
1),
$M664)),
_xlfn.XLOOKUP($A664,[1]CRITERIOS!$L$179:$L$200,[1]CRITERIOS!$M$179:$M$200)),
_xlfn.CEILING.MATH(IF($M664&gt;$E664,
$E664,
IF($M664&lt;$E664/ROUNDDOWN([1]CRITERIOS!$M$16/_xlfn.XLOOKUP($C664,[1]CRITERIOS!$K$25:$K$42,[1]CRITERIOS!$M$25:$M$42),
1),
E664/ROUNDDOWN([1]CRITERIOS!$M$16/_xlfn.XLOOKUP($C664,[1]CRITERIOS!$K$25:$K$42,[1]CRITERIOS!$M$25:$M$42),
1),
$M664)),_xlfn.XLOOKUP(A664,'[1]DATOS PBI Artículos'!A:A,'[1]DATOS PBI Artículos'!Z:Z
)))))</f>
        <v>#N/A</v>
      </c>
      <c r="Q664" s="38" t="e">
        <f>IF(AND(O664="",N664=0),
0,
   IF(COUNTIF([1]CRITERIOS!$F$179:$F$199,$A664)&gt;=1,
   1,
   IF(R664="MTO",
      $D664,
      ROUNDUP(
                    IF(($E664-SUMIF('[1]DATOS PBI Artículos'!A:A,A664,'[1]DATOS PBI Artículos'!X:X)+($V664-_xlfn.XLOOKUP(A664,'[1]DATOS PBI Artículos'!A:A,'[1]DATOS PBI Artículos'!W:W)))&lt;0,
                    0,
                    IF(($E664-SUMIF('[1]DATOS PBI Artículos'!A:A,A664,'[1]DATOS PBI Artículos'!X:X)+$V664-_xlfn.XLOOKUP($A664,'[1]DATOS PBI Artículos'!A:A,'[1]DATOS PBI Artículos'!W:W))/IF($O664="",$N664,$O664)&gt;ROUNDUP([1]CRITERIOS!$M$16/(IF(COUNTIF([1]CRITERIOS!$BG$11:$BG$201,L664)&gt;=1,_xlfn.XLOOKUP($C664,[1]CRITERIOS!$K$25:$K$42,[1]CRITERIOS!$M$25:$M$42),_xlfn.XLOOKUP($C664,[1]CRITERIOS!$K$25:$K$42,[1]CRITERIOS!$M$25:$M$42))),0),
                    ROUNDUP([1]CRITERIOS!$M$16/(IF(COUNTIF([1]CRITERIOS!$BG$11:$BG$201,$L664)&gt;=1,_xlfn.XLOOKUP($C664,[1]CRITERIOS!$K$25:$K$42,[1]CRITERIOS!$M$25:$M$42),_xlfn.XLOOKUP($C664,[1]CRITERIOS!$K$25:$K$42,[1]CRITERIOS!$M$25:$M$42))),0),
                    (E664+V664-SUMIF('[1]DATOS PBI Artículos'!A:A,A664,'[1]DATOS PBI Artículos'!X:X)-_xlfn.XLOOKUP(A664,'[1]DATOS PBI Artículos'!A:A,'[1]DATOS PBI Artículos'!W:W))/IF($O664="",$N664,$O664))),0))))</f>
        <v>#N/A</v>
      </c>
      <c r="R664" s="33" t="e">
        <f>IF(U664&lt;&gt;"",U664,IF(F664="DV","MTO",IF(N664=0,"MTO",_xlfn.XLOOKUP(CONCATENATE(S664,T664),[1]CRITERIOS!$K$160:$K$168,[1]CRITERIOS!$N$160:$N$168))))</f>
        <v>#N/A</v>
      </c>
      <c r="S664" s="33" t="e">
        <f>IF(G664="DV","MTO",IF(N664=0,"MTO",IF(OR(AND(N664=0,O664=""),IF(O664="",G664/N664,G664/O664)&gt;[1]CRITERIOS!$G$163),"MTO",IF(IF(O664="",G664/N664,G664/O664)&lt;[1]CRITERIOS!$H$161,"MTS","MTOS"))))</f>
        <v>#N/A</v>
      </c>
      <c r="T664" s="33" t="e">
        <f>IF(F664="DV","MTO",IF(OR(AND($N664=0,O664=""),$F664/$J664&gt;[1]CRITERIOS!$G$170,$F664="DV"),"MTO",IF($F664/$J664&lt;[1]CRITERIOS!$H$168,"MTS","MTOS")))</f>
        <v>#N/A</v>
      </c>
      <c r="V664" s="34" t="e">
        <f t="shared" si="31"/>
        <v>#N/A</v>
      </c>
      <c r="X664" s="34" t="e">
        <f t="shared" si="32"/>
        <v>#N/A</v>
      </c>
      <c r="Y664" s="34" t="e">
        <f t="shared" si="33"/>
        <v>#N/A</v>
      </c>
      <c r="Z664" s="34" t="e">
        <f>IF($R664="MTO",
0,
($H664+$K664*($E664/[1]CRITERIOS!$M$16))/[1]CRITERIOS!$X$48)</f>
        <v>#N/A</v>
      </c>
      <c r="AA664" s="34" t="e">
        <f>ROUNDUP(($Y664/_xlfn.XLOOKUP($A664,'[1]DATOS PBI Artículos'!$A$4:$A$4,'[1]DATOS PBI Artículos'!$Z$4:$Z$4))/_xlfn.XLOOKUP(_xlfn.XLOOKUP($A664,'[1]DATOS PBI Artículos'!$A$4:$A$4,'[1]DATOS PBI Artículos'!$Y$4:$Y$4),[1]CRITERIOS!$P$79:$P$123,[1]CRITERIOS!$S$79:$S$123,),0)</f>
        <v>#N/A</v>
      </c>
      <c r="AB664" s="33" t="e">
        <f t="array" ref="AB664">IF((E664+V664-_xlfn.XLOOKUP(A664,'[1]DATOS PBI Artículos'!$A$4:$A$4,'[1]DATOS PBI Artículos'!$W$4:$W$4))/N664&gt;ROUNDUP([1]CRITERIOS!$M$16/(IF(COUNTIF([1]CRITERIOS!$BG$11:$BG$201,L664)&gt;=1,_xlfn.XLOOKUP(ARTÍCULOS!L664,[1]CRITERIOS!$BG$11:$BG$201,[1]CRITERIOS!$BJ$11:$BJ$201),_xlfn.XLOOKUP(ARTÍCULOS!C664,[1]CRITERIOS!$K$25:$K$42,[1]CRITERIOS!$M$25:$M$42))),0),ROUNDUP([1]CRITERIOS!$M$16/(IF(COUNTIF([1]CRITERIOS!$BG$11:$BG$201,L664)&gt;=1,_xlfn.XLOOKUP(ARTÍCULOS!L664,[1]CRITERIOS!$BG$11:$BG$201:#REF!,[1]CRITERIOS!$BJ$11:$BJ$201),_xlfn.XLOOKUP(ARTÍCULOS!C664,[1]CRITERIOS!$K$25:$K$42,[1]CRITERIOS!$M$25:$M$42))),0),(E664+V664-_xlfn.XLOOKUP(A664,'[1]DATOS PBI Artículos'!$A$4:$A$4,'[1]DATOS PBI Artículos'!$W$4:$W$4))/N664)</f>
        <v>#N/A</v>
      </c>
      <c r="AC664" s="33" t="e">
        <f>IF(N664=0,"",(ROUNDUP((N664/2)/(_xlfn.XLOOKUP(A664,'[1]DATOS PBI Artículos'!$A$4:$A$4,'[1]DATOS PBI Artículos'!$Z$4:$Z$4)*_xlfn.XLOOKUP(_xlfn.XLOOKUP(A664,'[1]DATOS PBI Artículos'!$A$4:$A$4,'[1]DATOS PBI Artículos'!$Y$4:$Y$4),[1]CRITERIOS!$P$79:$P$123,[1]CRITERIOS!$S$79:$S$123)),0)*[1]CRITERIOS!$M$80*([1]CRITERIOS!$M$110/[1]CRITERIOS!$M$86)+(_xlfn.XLOOKUP(A664,'[1]DATOS PBI Artículos'!$A$4:$A$4,'[1]DATOS PBI Artículos'!$AA$4:$AA$4)*([1]CRITERIOS!$M$95+[1]CRITERIOS!$M$98)))/N664)</f>
        <v>#N/A</v>
      </c>
      <c r="AD664" s="33" t="e">
        <f>IF(N664=0,"",(ROUNDUP((N664/2)/(_xlfn.XLOOKUP(A664,'[1]DATOS PBI Artículos'!$A$4:$A$4,'[1]DATOS PBI Artículos'!$Z$4:$Z$4)*_xlfn.XLOOKUP(_xlfn.XLOOKUP(A664,'[1]DATOS PBI Artículos'!$A$4:$A$4,'[1]DATOS PBI Artículos'!$Y$4:$Y$4),[1]CRITERIOS!$P$79:$P$123,[1]CRITERIOS!$S$79:$S$123)),0)*[1]CRITERIOS!$M$80*([1]CRITERIOS!$M$89*[1]CRITERIOS!$M$92)+((_xlfn.XLOOKUP(A664,'[1]DATOS PBI Artículos'!$A$4:$A$4,'[1]DATOS PBI Artículos'!$AA$4:$AA$4)/2)*([1]CRITERIOS!$M$95+[1]CRITERIOS!$M$98)))/N664)</f>
        <v>#N/A</v>
      </c>
      <c r="AE664" s="39" t="e">
        <f>IF($R664="MTO","",
IF($H664=0,ROUNDUP(((_xlfn.XLOOKUP($A664,'[1]DATOS PBI Artículos'!$A:$A,'[1]DATOS PBI Artículos'!$AL:$AL))/(_xlfn.XLOOKUP($AF$1,[1]CRITERIOS!$S$16:$S$39,[1]CRITERIOS!$Y$16:$Y$39))*$J664+$Z664)/$G664,0)*$G664,
((_xlfn.XLOOKUP($A664,'[1]DATOS PBI Artículos'!$A:$A,'[1]DATOS PBI Artículos'!$AL:$AL))/(_xlfn.XLOOKUP($AF$1,[1]CRITERIOS!$S$16:$S$39,[1]CRITERIOS!$Y$16:$Y$39))*$J664+$Z664)))</f>
        <v>#N/A</v>
      </c>
      <c r="AG664" s="39" t="e">
        <f>IF($R664="MTO","",
IF($H664=0,ROUNDUP(((_xlfn.XLOOKUP($A664,'[1]DATOS PBI Artículos'!$A:$A,'[1]DATOS PBI Artículos'!$AM:$AM))/(_xlfn.XLOOKUP($AH$1,[1]CRITERIOS!$S$16:$S$39,[1]CRITERIOS!$Y$16:$Y$39))*$J664+$Z664)/$G664,0)*$G664,
((_xlfn.XLOOKUP($A664,'[1]DATOS PBI Artículos'!$A:$A,'[1]DATOS PBI Artículos'!$AM:$AM))/(_xlfn.XLOOKUP($AH$1,[1]CRITERIOS!$S$16:$S$39,[1]CRITERIOS!$Y$16:$Y$39))*$J664+$Z664)))</f>
        <v>#N/A</v>
      </c>
      <c r="AI664" s="39" t="e">
        <f>IF($R664="MTO","",
IF($H664=0,ROUNDUP(((_xlfn.XLOOKUP($A664,'[1]DATOS PBI Artículos'!$A:$A,'[1]DATOS PBI Artículos'!$AN:$AN))/(_xlfn.XLOOKUP($AJ$1,[1]CRITERIOS!$S$16:$S$39,[1]CRITERIOS!$Y$16:$Y$39))*$J664+$Z664)/$G664,0)*$G664,
((_xlfn.XLOOKUP($A664,'[1]DATOS PBI Artículos'!$A:$A,'[1]DATOS PBI Artículos'!$AN:$AN))/(_xlfn.XLOOKUP($AJ$1,[1]CRITERIOS!$S$16:$S$39,[1]CRITERIOS!$Y$16:$Y$39))*$J664+$Z664)))</f>
        <v>#N/A</v>
      </c>
      <c r="AK664" s="39" t="e">
        <f>IF($R664="MTO","",
IF($H664=0,ROUNDUP(((_xlfn.XLOOKUP($A664,'[1]DATOS PBI Artículos'!$A:$A,'[1]DATOS PBI Artículos'!$AO:$AO))/(_xlfn.XLOOKUP($AL$1,[1]CRITERIOS!$S$16:$S$39,[1]CRITERIOS!$Y$16:$Y$39))*$J664+$Z664)/$G664,0)*$G664,
((_xlfn.XLOOKUP($A664,'[1]DATOS PBI Artículos'!$A:$A,'[1]DATOS PBI Artículos'!$AO:$AO))/(_xlfn.XLOOKUP($AL$1,[1]CRITERIOS!$S$16:$S$39,[1]CRITERIOS!$Y$16:$Y$39))*$J664+$Z664)))</f>
        <v>#N/A</v>
      </c>
    </row>
    <row r="665" spans="1:37" ht="25.8" hidden="1" x14ac:dyDescent="0.4">
      <c r="A665" s="41"/>
      <c r="B665" s="33">
        <f>_xlfn.XLOOKUP($A665,'[1]DATOS PBI Artículos'!A:A,'[1]DATOS PBI Artículos'!B:B)</f>
        <v>0</v>
      </c>
      <c r="C665" s="33">
        <f>_xlfn.XLOOKUP($A665,'[1]DATOS PBI Artículos'!A:A,'[1]DATOS PBI Artículos'!C:C)</f>
        <v>0</v>
      </c>
      <c r="D665" s="33">
        <f>_xlfn.XLOOKUP(A665,'[1]DATOS PBI Artículos'!A:A,'[1]DATOS PBI Artículos'!T:T)</f>
        <v>0</v>
      </c>
      <c r="E665" s="34">
        <f>IF(_xlfn.XLOOKUP($A665,'[1]DATOS PBI Artículos'!A:A,'[1]DATOS PBI Artículos'!AK:AK)="",_xlfn.XLOOKUP($A665,'[1]DATOS PBI Artículos'!A:A,'[1]DATOS PBI Artículos'!AJ:AJ),_xlfn.XLOOKUP($A665,'[1]DATOS PBI Artículos'!A:A,'[1]DATOS PBI Artículos'!AK:AK))</f>
        <v>0</v>
      </c>
      <c r="F665" s="35">
        <f>_xlfn.XLOOKUP($A665,'[1]DATOS PBI Artículos'!A:A,'[1]DATOS PBI Artículos'!AP:AP)</f>
        <v>0</v>
      </c>
      <c r="G665" s="34">
        <f>_xlfn.XLOOKUP($A665,'[1]DATOS PBI Artículos'!A:A,'[1]DATOS PBI Artículos'!AR:AR)</f>
        <v>0</v>
      </c>
      <c r="H665" s="34">
        <f>_xlfn.XLOOKUP($A665,'[1]DATOS PBI Artículos'!A:A,'[1]DATOS PBI Artículos'!AT:AT)</f>
        <v>0</v>
      </c>
      <c r="I665" s="34">
        <f>_xlfn.XLOOKUP($A665,'[1]DATOS PBI Artículos'!A:A,'[1]DATOS PBI Artículos'!AS:AS)</f>
        <v>0</v>
      </c>
      <c r="J665" s="35">
        <f>IF(COUNTIF([1]CRITERIOS!$F$179:$F$199,$A665)&gt;=1,
 IF(O665&lt;&gt;"",
    (O665/_xlfn.XLOOKUP(CONCATENATE(A665,L665),[1]MÁQUINAS!A:A,[1]MÁQUINAS!D:D))/24,
    (N665/_xlfn.XLOOKUP(CONCATENATE(A665,L665),[1]MÁQUINAS!A:A,[1]MÁQUINAS!D:D))/24),
  _xlfn.XLOOKUP($A665,'[1]DATOS PBI Artículos'!A:A,'[1]DATOS PBI Artículos'!AU:AU))</f>
        <v>0</v>
      </c>
      <c r="K665" s="36">
        <f>_xlfn.XLOOKUP($A665,'[1]DATOS PBI Artículos'!A:A,'[1]DATOS PBI Artículos'!AV:AV)</f>
        <v>0</v>
      </c>
      <c r="L665" s="33">
        <f>_xlfn.XLOOKUP(A665,[1]MÁQUINAS!B:B,[1]MÁQUINAS!C:C)</f>
        <v>0</v>
      </c>
      <c r="M665" s="34">
        <f t="array" ref="M665">_xlfn.XLOOKUP(A665,'[1]DATOS PBI Artículos'!A:A,'[1]DATOS PBI Artículos'!AX:$AX)</f>
        <v>0</v>
      </c>
      <c r="N665" s="37" t="e">
        <f>IF(I665="DV",
E665,
IF(COUNTIF([1]CRITERIOS!$I$179:$I$199,$A665)&gt;=1,
_xlfn.XLOOKUP($A665,[1]CRITERIOS!$I$179:$I$199,[1]CRITERIOS!$J$179:$J$199),
IF(COUNTIF([1]CRITERIOS!$L$179:$L$199,$A665)&gt;=1,
_xlfn.CEILING.MATH(IF($M665&gt;$E665,
$E665,
IF($M665&lt;$E665/ROUNDDOWN([1]CRITERIOS!$M$16/_xlfn.XLOOKUP($C665,[1]CRITERIOS!$K$25:$K$42,[1]CRITERIOS!$M$25:$M$42),
1),
E665/ROUNDDOWN([1]CRITERIOS!$M$16/_xlfn.XLOOKUP($C665,[1]CRITERIOS!$K$25:$K$42,[1]CRITERIOS!$M$25:$M$42),
1),
$M665)),
_xlfn.XLOOKUP($A665,[1]CRITERIOS!$L$179:$L$200,[1]CRITERIOS!$M$179:$M$200)),
_xlfn.CEILING.MATH(IF($M665&gt;$E665,
$E665,
IF($M665&lt;$E665/ROUNDDOWN([1]CRITERIOS!$M$16/_xlfn.XLOOKUP($C665,[1]CRITERIOS!$K$25:$K$42,[1]CRITERIOS!$M$25:$M$42),
1),
E665/ROUNDDOWN([1]CRITERIOS!$M$16/_xlfn.XLOOKUP($C665,[1]CRITERIOS!$K$25:$K$42,[1]CRITERIOS!$M$25:$M$42),
1),
$M665)),_xlfn.XLOOKUP(A665,'[1]DATOS PBI Artículos'!A:A,'[1]DATOS PBI Artículos'!Z:Z
)))))</f>
        <v>#N/A</v>
      </c>
      <c r="Q665" s="38" t="e">
        <f>IF(AND(O665="",N665=0),
0,
   IF(COUNTIF([1]CRITERIOS!$F$179:$F$199,$A665)&gt;=1,
   1,
   IF(R665="MTO",
      $D665,
      ROUNDUP(
                    IF(($E665-SUMIF('[1]DATOS PBI Artículos'!A:A,A665,'[1]DATOS PBI Artículos'!X:X)+($V665-_xlfn.XLOOKUP(A665,'[1]DATOS PBI Artículos'!A:A,'[1]DATOS PBI Artículos'!W:W)))&lt;0,
                    0,
                    IF(($E665-SUMIF('[1]DATOS PBI Artículos'!A:A,A665,'[1]DATOS PBI Artículos'!X:X)+$V665-_xlfn.XLOOKUP($A665,'[1]DATOS PBI Artículos'!A:A,'[1]DATOS PBI Artículos'!W:W))/IF($O665="",$N665,$O665)&gt;ROUNDUP([1]CRITERIOS!$M$16/(IF(COUNTIF([1]CRITERIOS!$BG$11:$BG$201,L665)&gt;=1,_xlfn.XLOOKUP($C665,[1]CRITERIOS!$K$25:$K$42,[1]CRITERIOS!$M$25:$M$42),_xlfn.XLOOKUP($C665,[1]CRITERIOS!$K$25:$K$42,[1]CRITERIOS!$M$25:$M$42))),0),
                    ROUNDUP([1]CRITERIOS!$M$16/(IF(COUNTIF([1]CRITERIOS!$BG$11:$BG$201,$L665)&gt;=1,_xlfn.XLOOKUP($C665,[1]CRITERIOS!$K$25:$K$42,[1]CRITERIOS!$M$25:$M$42),_xlfn.XLOOKUP($C665,[1]CRITERIOS!$K$25:$K$42,[1]CRITERIOS!$M$25:$M$42))),0),
                    (E665+V665-SUMIF('[1]DATOS PBI Artículos'!A:A,A665,'[1]DATOS PBI Artículos'!X:X)-_xlfn.XLOOKUP(A665,'[1]DATOS PBI Artículos'!A:A,'[1]DATOS PBI Artículos'!W:W))/IF($O665="",$N665,$O665))),0))))</f>
        <v>#N/A</v>
      </c>
      <c r="R665" s="33" t="e">
        <f>IF(U665&lt;&gt;"",U665,IF(F665="DV","MTO",IF(N665=0,"MTO",_xlfn.XLOOKUP(CONCATENATE(S665,T665),[1]CRITERIOS!$K$160:$K$168,[1]CRITERIOS!$N$160:$N$168))))</f>
        <v>#N/A</v>
      </c>
      <c r="S665" s="33" t="e">
        <f>IF(G665="DV","MTO",IF(N665=0,"MTO",IF(OR(AND(N665=0,O665=""),IF(O665="",G665/N665,G665/O665)&gt;[1]CRITERIOS!$G$163),"MTO",IF(IF(O665="",G665/N665,G665/O665)&lt;[1]CRITERIOS!$H$161,"MTS","MTOS"))))</f>
        <v>#N/A</v>
      </c>
      <c r="T665" s="33" t="e">
        <f>IF(F665="DV","MTO",IF(OR(AND($N665=0,O665=""),$F665/$J665&gt;[1]CRITERIOS!$G$170,$F665="DV"),"MTO",IF($F665/$J665&lt;[1]CRITERIOS!$H$168,"MTS","MTOS")))</f>
        <v>#N/A</v>
      </c>
      <c r="V665" s="34" t="e">
        <f t="shared" ref="V665:V728" si="34">IF(R665="MTO","",
IF($H665=0,(((($J665/$F665)*$G665)+$Z665)/$G665)*$G665,
(($J665/$F665)*$G665)+$Z665))</f>
        <v>#N/A</v>
      </c>
      <c r="X665" s="34" t="e">
        <f t="shared" si="32"/>
        <v>#N/A</v>
      </c>
      <c r="Y665" s="34" t="e">
        <f t="shared" si="33"/>
        <v>#N/A</v>
      </c>
      <c r="Z665" s="34" t="e">
        <f>IF($R665="MTO",
0,
($H665+$K665*($E665/[1]CRITERIOS!$M$16))/[1]CRITERIOS!$X$48)</f>
        <v>#N/A</v>
      </c>
      <c r="AA665" s="34" t="e">
        <f>ROUNDUP(($Y665/_xlfn.XLOOKUP($A665,'[1]DATOS PBI Artículos'!$A$4:$A$4,'[1]DATOS PBI Artículos'!$Z$4:$Z$4))/_xlfn.XLOOKUP(_xlfn.XLOOKUP($A665,'[1]DATOS PBI Artículos'!$A$4:$A$4,'[1]DATOS PBI Artículos'!$Y$4:$Y$4),[1]CRITERIOS!$P$79:$P$123,[1]CRITERIOS!$S$79:$S$123,),0)</f>
        <v>#N/A</v>
      </c>
      <c r="AB665" s="33" t="e">
        <f t="array" ref="AB665">IF((E665+V665-_xlfn.XLOOKUP(A665,'[1]DATOS PBI Artículos'!$A$4:$A$4,'[1]DATOS PBI Artículos'!$W$4:$W$4))/N665&gt;ROUNDUP([1]CRITERIOS!$M$16/(IF(COUNTIF([1]CRITERIOS!$BG$11:$BG$201,L665)&gt;=1,_xlfn.XLOOKUP(ARTÍCULOS!L665,[1]CRITERIOS!$BG$11:$BG$201,[1]CRITERIOS!$BJ$11:$BJ$201),_xlfn.XLOOKUP(ARTÍCULOS!C665,[1]CRITERIOS!$K$25:$K$42,[1]CRITERIOS!$M$25:$M$42))),0),ROUNDUP([1]CRITERIOS!$M$16/(IF(COUNTIF([1]CRITERIOS!$BG$11:$BG$201,L665)&gt;=1,_xlfn.XLOOKUP(ARTÍCULOS!L665,[1]CRITERIOS!$BG$11:$BG$201:#REF!,[1]CRITERIOS!$BJ$11:$BJ$201),_xlfn.XLOOKUP(ARTÍCULOS!C665,[1]CRITERIOS!$K$25:$K$42,[1]CRITERIOS!$M$25:$M$42))),0),(E665+V665-_xlfn.XLOOKUP(A665,'[1]DATOS PBI Artículos'!$A$4:$A$4,'[1]DATOS PBI Artículos'!$W$4:$W$4))/N665)</f>
        <v>#N/A</v>
      </c>
      <c r="AC665" s="33" t="e">
        <f>IF(N665=0,"",(ROUNDUP((N665/2)/(_xlfn.XLOOKUP(A665,'[1]DATOS PBI Artículos'!$A$4:$A$4,'[1]DATOS PBI Artículos'!$Z$4:$Z$4)*_xlfn.XLOOKUP(_xlfn.XLOOKUP(A665,'[1]DATOS PBI Artículos'!$A$4:$A$4,'[1]DATOS PBI Artículos'!$Y$4:$Y$4),[1]CRITERIOS!$P$79:$P$123,[1]CRITERIOS!$S$79:$S$123)),0)*[1]CRITERIOS!$M$80*([1]CRITERIOS!$M$110/[1]CRITERIOS!$M$86)+(_xlfn.XLOOKUP(A665,'[1]DATOS PBI Artículos'!$A$4:$A$4,'[1]DATOS PBI Artículos'!$AA$4:$AA$4)*([1]CRITERIOS!$M$95+[1]CRITERIOS!$M$98)))/N665)</f>
        <v>#N/A</v>
      </c>
      <c r="AD665" s="33" t="e">
        <f>IF(N665=0,"",(ROUNDUP((N665/2)/(_xlfn.XLOOKUP(A665,'[1]DATOS PBI Artículos'!$A$4:$A$4,'[1]DATOS PBI Artículos'!$Z$4:$Z$4)*_xlfn.XLOOKUP(_xlfn.XLOOKUP(A665,'[1]DATOS PBI Artículos'!$A$4:$A$4,'[1]DATOS PBI Artículos'!$Y$4:$Y$4),[1]CRITERIOS!$P$79:$P$123,[1]CRITERIOS!$S$79:$S$123)),0)*[1]CRITERIOS!$M$80*([1]CRITERIOS!$M$89*[1]CRITERIOS!$M$92)+((_xlfn.XLOOKUP(A665,'[1]DATOS PBI Artículos'!$A$4:$A$4,'[1]DATOS PBI Artículos'!$AA$4:$AA$4)/2)*([1]CRITERIOS!$M$95+[1]CRITERIOS!$M$98)))/N665)</f>
        <v>#N/A</v>
      </c>
      <c r="AE665" s="39" t="e">
        <f>IF($R665="MTO","",
IF($H665=0,ROUNDUP(((_xlfn.XLOOKUP($A665,'[1]DATOS PBI Artículos'!$A:$A,'[1]DATOS PBI Artículos'!$AL:$AL))/(_xlfn.XLOOKUP($AF$1,[1]CRITERIOS!$S$16:$S$39,[1]CRITERIOS!$Y$16:$Y$39))*$J665+$Z665)/$G665,0)*$G665,
((_xlfn.XLOOKUP($A665,'[1]DATOS PBI Artículos'!$A:$A,'[1]DATOS PBI Artículos'!$AL:$AL))/(_xlfn.XLOOKUP($AF$1,[1]CRITERIOS!$S$16:$S$39,[1]CRITERIOS!$Y$16:$Y$39))*$J665+$Z665)))</f>
        <v>#N/A</v>
      </c>
      <c r="AG665" s="39" t="e">
        <f>IF($R665="MTO","",
IF($H665=0,ROUNDUP(((_xlfn.XLOOKUP($A665,'[1]DATOS PBI Artículos'!$A:$A,'[1]DATOS PBI Artículos'!$AM:$AM))/(_xlfn.XLOOKUP($AH$1,[1]CRITERIOS!$S$16:$S$39,[1]CRITERIOS!$Y$16:$Y$39))*$J665+$Z665)/$G665,0)*$G665,
((_xlfn.XLOOKUP($A665,'[1]DATOS PBI Artículos'!$A:$A,'[1]DATOS PBI Artículos'!$AM:$AM))/(_xlfn.XLOOKUP($AH$1,[1]CRITERIOS!$S$16:$S$39,[1]CRITERIOS!$Y$16:$Y$39))*$J665+$Z665)))</f>
        <v>#N/A</v>
      </c>
      <c r="AI665" s="39" t="e">
        <f>IF($R665="MTO","",
IF($H665=0,ROUNDUP(((_xlfn.XLOOKUP($A665,'[1]DATOS PBI Artículos'!$A:$A,'[1]DATOS PBI Artículos'!$AN:$AN))/(_xlfn.XLOOKUP($AJ$1,[1]CRITERIOS!$S$16:$S$39,[1]CRITERIOS!$Y$16:$Y$39))*$J665+$Z665)/$G665,0)*$G665,
((_xlfn.XLOOKUP($A665,'[1]DATOS PBI Artículos'!$A:$A,'[1]DATOS PBI Artículos'!$AN:$AN))/(_xlfn.XLOOKUP($AJ$1,[1]CRITERIOS!$S$16:$S$39,[1]CRITERIOS!$Y$16:$Y$39))*$J665+$Z665)))</f>
        <v>#N/A</v>
      </c>
      <c r="AK665" s="39" t="e">
        <f>IF($R665="MTO","",
IF($H665=0,ROUNDUP(((_xlfn.XLOOKUP($A665,'[1]DATOS PBI Artículos'!$A:$A,'[1]DATOS PBI Artículos'!$AO:$AO))/(_xlfn.XLOOKUP($AL$1,[1]CRITERIOS!$S$16:$S$39,[1]CRITERIOS!$Y$16:$Y$39))*$J665+$Z665)/$G665,0)*$G665,
((_xlfn.XLOOKUP($A665,'[1]DATOS PBI Artículos'!$A:$A,'[1]DATOS PBI Artículos'!$AO:$AO))/(_xlfn.XLOOKUP($AL$1,[1]CRITERIOS!$S$16:$S$39,[1]CRITERIOS!$Y$16:$Y$39))*$J665+$Z665)))</f>
        <v>#N/A</v>
      </c>
    </row>
    <row r="666" spans="1:37" ht="25.8" hidden="1" x14ac:dyDescent="0.4">
      <c r="A666" s="41"/>
      <c r="B666" s="33">
        <f>_xlfn.XLOOKUP($A666,'[1]DATOS PBI Artículos'!A:A,'[1]DATOS PBI Artículos'!B:B)</f>
        <v>0</v>
      </c>
      <c r="C666" s="33">
        <f>_xlfn.XLOOKUP($A666,'[1]DATOS PBI Artículos'!A:A,'[1]DATOS PBI Artículos'!C:C)</f>
        <v>0</v>
      </c>
      <c r="D666" s="33">
        <f>_xlfn.XLOOKUP(A666,'[1]DATOS PBI Artículos'!A:A,'[1]DATOS PBI Artículos'!T:T)</f>
        <v>0</v>
      </c>
      <c r="E666" s="34">
        <f>IF(_xlfn.XLOOKUP($A666,'[1]DATOS PBI Artículos'!A:A,'[1]DATOS PBI Artículos'!AK:AK)="",_xlfn.XLOOKUP($A666,'[1]DATOS PBI Artículos'!A:A,'[1]DATOS PBI Artículos'!AJ:AJ),_xlfn.XLOOKUP($A666,'[1]DATOS PBI Artículos'!A:A,'[1]DATOS PBI Artículos'!AK:AK))</f>
        <v>0</v>
      </c>
      <c r="F666" s="35">
        <f>_xlfn.XLOOKUP($A666,'[1]DATOS PBI Artículos'!A:A,'[1]DATOS PBI Artículos'!AP:AP)</f>
        <v>0</v>
      </c>
      <c r="G666" s="34">
        <f>_xlfn.XLOOKUP($A666,'[1]DATOS PBI Artículos'!A:A,'[1]DATOS PBI Artículos'!AR:AR)</f>
        <v>0</v>
      </c>
      <c r="H666" s="34">
        <f>_xlfn.XLOOKUP($A666,'[1]DATOS PBI Artículos'!A:A,'[1]DATOS PBI Artículos'!AT:AT)</f>
        <v>0</v>
      </c>
      <c r="I666" s="34">
        <f>_xlfn.XLOOKUP($A666,'[1]DATOS PBI Artículos'!A:A,'[1]DATOS PBI Artículos'!AS:AS)</f>
        <v>0</v>
      </c>
      <c r="J666" s="35">
        <f>IF(COUNTIF([1]CRITERIOS!$F$179:$F$199,$A666)&gt;=1,
 IF(O666&lt;&gt;"",
    (O666/_xlfn.XLOOKUP(CONCATENATE(A666,L666),[1]MÁQUINAS!A:A,[1]MÁQUINAS!D:D))/24,
    (N666/_xlfn.XLOOKUP(CONCATENATE(A666,L666),[1]MÁQUINAS!A:A,[1]MÁQUINAS!D:D))/24),
  _xlfn.XLOOKUP($A666,'[1]DATOS PBI Artículos'!A:A,'[1]DATOS PBI Artículos'!AU:AU))</f>
        <v>0</v>
      </c>
      <c r="K666" s="36">
        <f>_xlfn.XLOOKUP($A666,'[1]DATOS PBI Artículos'!A:A,'[1]DATOS PBI Artículos'!AV:AV)</f>
        <v>0</v>
      </c>
      <c r="L666" s="33">
        <f>_xlfn.XLOOKUP(A666,[1]MÁQUINAS!B:B,[1]MÁQUINAS!C:C)</f>
        <v>0</v>
      </c>
      <c r="M666" s="34">
        <f t="array" ref="M666">_xlfn.XLOOKUP(A666,'[1]DATOS PBI Artículos'!A:A,'[1]DATOS PBI Artículos'!AX:$AX)</f>
        <v>0</v>
      </c>
      <c r="N666" s="37" t="e">
        <f>IF(I666="DV",
E666,
IF(COUNTIF([1]CRITERIOS!$I$179:$I$199,$A666)&gt;=1,
_xlfn.XLOOKUP($A666,[1]CRITERIOS!$I$179:$I$199,[1]CRITERIOS!$J$179:$J$199),
IF(COUNTIF([1]CRITERIOS!$L$179:$L$199,$A666)&gt;=1,
_xlfn.CEILING.MATH(IF($M666&gt;$E666,
$E666,
IF($M666&lt;$E666/ROUNDDOWN([1]CRITERIOS!$M$16/_xlfn.XLOOKUP($C666,[1]CRITERIOS!$K$25:$K$42,[1]CRITERIOS!$M$25:$M$42),
1),
E666/ROUNDDOWN([1]CRITERIOS!$M$16/_xlfn.XLOOKUP($C666,[1]CRITERIOS!$K$25:$K$42,[1]CRITERIOS!$M$25:$M$42),
1),
$M666)),
_xlfn.XLOOKUP($A666,[1]CRITERIOS!$L$179:$L$200,[1]CRITERIOS!$M$179:$M$200)),
_xlfn.CEILING.MATH(IF($M666&gt;$E666,
$E666,
IF($M666&lt;$E666/ROUNDDOWN([1]CRITERIOS!$M$16/_xlfn.XLOOKUP($C666,[1]CRITERIOS!$K$25:$K$42,[1]CRITERIOS!$M$25:$M$42),
1),
E666/ROUNDDOWN([1]CRITERIOS!$M$16/_xlfn.XLOOKUP($C666,[1]CRITERIOS!$K$25:$K$42,[1]CRITERIOS!$M$25:$M$42),
1),
$M666)),_xlfn.XLOOKUP(A666,'[1]DATOS PBI Artículos'!A:A,'[1]DATOS PBI Artículos'!Z:Z
)))))</f>
        <v>#N/A</v>
      </c>
      <c r="Q666" s="38" t="e">
        <f>IF(AND(O666="",N666=0),
0,
   IF(COUNTIF([1]CRITERIOS!$F$179:$F$199,$A666)&gt;=1,
   1,
   IF(R666="MTO",
      $D666,
      ROUNDUP(
                    IF(($E666-SUMIF('[1]DATOS PBI Artículos'!A:A,A666,'[1]DATOS PBI Artículos'!X:X)+($V666-_xlfn.XLOOKUP(A666,'[1]DATOS PBI Artículos'!A:A,'[1]DATOS PBI Artículos'!W:W)))&lt;0,
                    0,
                    IF(($E666-SUMIF('[1]DATOS PBI Artículos'!A:A,A666,'[1]DATOS PBI Artículos'!X:X)+$V666-_xlfn.XLOOKUP($A666,'[1]DATOS PBI Artículos'!A:A,'[1]DATOS PBI Artículos'!W:W))/IF($O666="",$N666,$O666)&gt;ROUNDUP([1]CRITERIOS!$M$16/(IF(COUNTIF([1]CRITERIOS!$BG$11:$BG$201,L666)&gt;=1,_xlfn.XLOOKUP($C666,[1]CRITERIOS!$K$25:$K$42,[1]CRITERIOS!$M$25:$M$42),_xlfn.XLOOKUP($C666,[1]CRITERIOS!$K$25:$K$42,[1]CRITERIOS!$M$25:$M$42))),0),
                    ROUNDUP([1]CRITERIOS!$M$16/(IF(COUNTIF([1]CRITERIOS!$BG$11:$BG$201,$L666)&gt;=1,_xlfn.XLOOKUP($C666,[1]CRITERIOS!$K$25:$K$42,[1]CRITERIOS!$M$25:$M$42),_xlfn.XLOOKUP($C666,[1]CRITERIOS!$K$25:$K$42,[1]CRITERIOS!$M$25:$M$42))),0),
                    (E666+V666-SUMIF('[1]DATOS PBI Artículos'!A:A,A666,'[1]DATOS PBI Artículos'!X:X)-_xlfn.XLOOKUP(A666,'[1]DATOS PBI Artículos'!A:A,'[1]DATOS PBI Artículos'!W:W))/IF($O666="",$N666,$O666))),0))))</f>
        <v>#N/A</v>
      </c>
      <c r="R666" s="33" t="e">
        <f>IF(U666&lt;&gt;"",U666,IF(F666="DV","MTO",IF(N666=0,"MTO",_xlfn.XLOOKUP(CONCATENATE(S666,T666),[1]CRITERIOS!$K$160:$K$168,[1]CRITERIOS!$N$160:$N$168))))</f>
        <v>#N/A</v>
      </c>
      <c r="S666" s="33" t="e">
        <f>IF(G666="DV","MTO",IF(N666=0,"MTO",IF(OR(AND(N666=0,O666=""),IF(O666="",G666/N666,G666/O666)&gt;[1]CRITERIOS!$G$163),"MTO",IF(IF(O666="",G666/N666,G666/O666)&lt;[1]CRITERIOS!$H$161,"MTS","MTOS"))))</f>
        <v>#N/A</v>
      </c>
      <c r="T666" s="33" t="e">
        <f>IF(F666="DV","MTO",IF(OR(AND($N666=0,O666=""),$F666/$J666&gt;[1]CRITERIOS!$G$170,$F666="DV"),"MTO",IF($F666/$J666&lt;[1]CRITERIOS!$H$168,"MTS","MTOS")))</f>
        <v>#N/A</v>
      </c>
      <c r="V666" s="34" t="e">
        <f t="shared" si="34"/>
        <v>#N/A</v>
      </c>
      <c r="X666" s="34" t="e">
        <f t="shared" si="32"/>
        <v>#N/A</v>
      </c>
      <c r="Y666" s="34" t="e">
        <f t="shared" si="33"/>
        <v>#N/A</v>
      </c>
      <c r="Z666" s="34" t="e">
        <f>IF($R666="MTO",
0,
($H666+$K666*($E666/[1]CRITERIOS!$M$16))/[1]CRITERIOS!$X$48)</f>
        <v>#N/A</v>
      </c>
      <c r="AA666" s="34" t="e">
        <f>ROUNDUP(($Y666/_xlfn.XLOOKUP($A666,'[1]DATOS PBI Artículos'!$A$4:$A$4,'[1]DATOS PBI Artículos'!$Z$4:$Z$4))/_xlfn.XLOOKUP(_xlfn.XLOOKUP($A666,'[1]DATOS PBI Artículos'!$A$4:$A$4,'[1]DATOS PBI Artículos'!$Y$4:$Y$4),[1]CRITERIOS!$P$79:$P$123,[1]CRITERIOS!$S$79:$S$123,),0)</f>
        <v>#N/A</v>
      </c>
      <c r="AB666" s="33" t="e">
        <f t="array" ref="AB666">IF((E666+V666-_xlfn.XLOOKUP(A666,'[1]DATOS PBI Artículos'!$A$4:$A$4,'[1]DATOS PBI Artículos'!$W$4:$W$4))/N666&gt;ROUNDUP([1]CRITERIOS!$M$16/(IF(COUNTIF([1]CRITERIOS!$BG$11:$BG$201,L666)&gt;=1,_xlfn.XLOOKUP(ARTÍCULOS!L666,[1]CRITERIOS!$BG$11:$BG$201,[1]CRITERIOS!$BJ$11:$BJ$201),_xlfn.XLOOKUP(ARTÍCULOS!C666,[1]CRITERIOS!$K$25:$K$42,[1]CRITERIOS!$M$25:$M$42))),0),ROUNDUP([1]CRITERIOS!$M$16/(IF(COUNTIF([1]CRITERIOS!$BG$11:$BG$201,L666)&gt;=1,_xlfn.XLOOKUP(ARTÍCULOS!L666,[1]CRITERIOS!$BG$11:$BG$201:#REF!,[1]CRITERIOS!$BJ$11:$BJ$201),_xlfn.XLOOKUP(ARTÍCULOS!C666,[1]CRITERIOS!$K$25:$K$42,[1]CRITERIOS!$M$25:$M$42))),0),(E666+V666-_xlfn.XLOOKUP(A666,'[1]DATOS PBI Artículos'!$A$4:$A$4,'[1]DATOS PBI Artículos'!$W$4:$W$4))/N666)</f>
        <v>#N/A</v>
      </c>
      <c r="AC666" s="33" t="e">
        <f>IF(N666=0,"",(ROUNDUP((N666/2)/(_xlfn.XLOOKUP(A666,'[1]DATOS PBI Artículos'!$A$4:$A$4,'[1]DATOS PBI Artículos'!$Z$4:$Z$4)*_xlfn.XLOOKUP(_xlfn.XLOOKUP(A666,'[1]DATOS PBI Artículos'!$A$4:$A$4,'[1]DATOS PBI Artículos'!$Y$4:$Y$4),[1]CRITERIOS!$P$79:$P$123,[1]CRITERIOS!$S$79:$S$123)),0)*[1]CRITERIOS!$M$80*([1]CRITERIOS!$M$110/[1]CRITERIOS!$M$86)+(_xlfn.XLOOKUP(A666,'[1]DATOS PBI Artículos'!$A$4:$A$4,'[1]DATOS PBI Artículos'!$AA$4:$AA$4)*([1]CRITERIOS!$M$95+[1]CRITERIOS!$M$98)))/N666)</f>
        <v>#N/A</v>
      </c>
      <c r="AD666" s="33" t="e">
        <f>IF(N666=0,"",(ROUNDUP((N666/2)/(_xlfn.XLOOKUP(A666,'[1]DATOS PBI Artículos'!$A$4:$A$4,'[1]DATOS PBI Artículos'!$Z$4:$Z$4)*_xlfn.XLOOKUP(_xlfn.XLOOKUP(A666,'[1]DATOS PBI Artículos'!$A$4:$A$4,'[1]DATOS PBI Artículos'!$Y$4:$Y$4),[1]CRITERIOS!$P$79:$P$123,[1]CRITERIOS!$S$79:$S$123)),0)*[1]CRITERIOS!$M$80*([1]CRITERIOS!$M$89*[1]CRITERIOS!$M$92)+((_xlfn.XLOOKUP(A666,'[1]DATOS PBI Artículos'!$A$4:$A$4,'[1]DATOS PBI Artículos'!$AA$4:$AA$4)/2)*([1]CRITERIOS!$M$95+[1]CRITERIOS!$M$98)))/N666)</f>
        <v>#N/A</v>
      </c>
      <c r="AE666" s="39" t="e">
        <f>IF($R666="MTO","",
IF($H666=0,ROUNDUP(((_xlfn.XLOOKUP($A666,'[1]DATOS PBI Artículos'!$A:$A,'[1]DATOS PBI Artículos'!$AL:$AL))/(_xlfn.XLOOKUP($AF$1,[1]CRITERIOS!$S$16:$S$39,[1]CRITERIOS!$Y$16:$Y$39))*$J666+$Z666)/$G666,0)*$G666,
((_xlfn.XLOOKUP($A666,'[1]DATOS PBI Artículos'!$A:$A,'[1]DATOS PBI Artículos'!$AL:$AL))/(_xlfn.XLOOKUP($AF$1,[1]CRITERIOS!$S$16:$S$39,[1]CRITERIOS!$Y$16:$Y$39))*$J666+$Z666)))</f>
        <v>#N/A</v>
      </c>
      <c r="AG666" s="39" t="e">
        <f>IF($R666="MTO","",
IF($H666=0,ROUNDUP(((_xlfn.XLOOKUP($A666,'[1]DATOS PBI Artículos'!$A:$A,'[1]DATOS PBI Artículos'!$AM:$AM))/(_xlfn.XLOOKUP($AH$1,[1]CRITERIOS!$S$16:$S$39,[1]CRITERIOS!$Y$16:$Y$39))*$J666+$Z666)/$G666,0)*$G666,
((_xlfn.XLOOKUP($A666,'[1]DATOS PBI Artículos'!$A:$A,'[1]DATOS PBI Artículos'!$AM:$AM))/(_xlfn.XLOOKUP($AH$1,[1]CRITERIOS!$S$16:$S$39,[1]CRITERIOS!$Y$16:$Y$39))*$J666+$Z666)))</f>
        <v>#N/A</v>
      </c>
      <c r="AI666" s="39" t="e">
        <f>IF($R666="MTO","",
IF($H666=0,ROUNDUP(((_xlfn.XLOOKUP($A666,'[1]DATOS PBI Artículos'!$A:$A,'[1]DATOS PBI Artículos'!$AN:$AN))/(_xlfn.XLOOKUP($AJ$1,[1]CRITERIOS!$S$16:$S$39,[1]CRITERIOS!$Y$16:$Y$39))*$J666+$Z666)/$G666,0)*$G666,
((_xlfn.XLOOKUP($A666,'[1]DATOS PBI Artículos'!$A:$A,'[1]DATOS PBI Artículos'!$AN:$AN))/(_xlfn.XLOOKUP($AJ$1,[1]CRITERIOS!$S$16:$S$39,[1]CRITERIOS!$Y$16:$Y$39))*$J666+$Z666)))</f>
        <v>#N/A</v>
      </c>
      <c r="AK666" s="39" t="e">
        <f>IF($R666="MTO","",
IF($H666=0,ROUNDUP(((_xlfn.XLOOKUP($A666,'[1]DATOS PBI Artículos'!$A:$A,'[1]DATOS PBI Artículos'!$AO:$AO))/(_xlfn.XLOOKUP($AL$1,[1]CRITERIOS!$S$16:$S$39,[1]CRITERIOS!$Y$16:$Y$39))*$J666+$Z666)/$G666,0)*$G666,
((_xlfn.XLOOKUP($A666,'[1]DATOS PBI Artículos'!$A:$A,'[1]DATOS PBI Artículos'!$AO:$AO))/(_xlfn.XLOOKUP($AL$1,[1]CRITERIOS!$S$16:$S$39,[1]CRITERIOS!$Y$16:$Y$39))*$J666+$Z666)))</f>
        <v>#N/A</v>
      </c>
    </row>
    <row r="667" spans="1:37" ht="25.8" hidden="1" x14ac:dyDescent="0.4">
      <c r="A667" s="41"/>
      <c r="B667" s="33">
        <f>_xlfn.XLOOKUP($A667,'[1]DATOS PBI Artículos'!A:A,'[1]DATOS PBI Artículos'!B:B)</f>
        <v>0</v>
      </c>
      <c r="C667" s="33">
        <f>_xlfn.XLOOKUP($A667,'[1]DATOS PBI Artículos'!A:A,'[1]DATOS PBI Artículos'!C:C)</f>
        <v>0</v>
      </c>
      <c r="D667" s="33">
        <f>_xlfn.XLOOKUP(A667,'[1]DATOS PBI Artículos'!A:A,'[1]DATOS PBI Artículos'!T:T)</f>
        <v>0</v>
      </c>
      <c r="E667" s="34">
        <f>IF(_xlfn.XLOOKUP($A667,'[1]DATOS PBI Artículos'!A:A,'[1]DATOS PBI Artículos'!AK:AK)="",_xlfn.XLOOKUP($A667,'[1]DATOS PBI Artículos'!A:A,'[1]DATOS PBI Artículos'!AJ:AJ),_xlfn.XLOOKUP($A667,'[1]DATOS PBI Artículos'!A:A,'[1]DATOS PBI Artículos'!AK:AK))</f>
        <v>0</v>
      </c>
      <c r="F667" s="35">
        <f>_xlfn.XLOOKUP($A667,'[1]DATOS PBI Artículos'!A:A,'[1]DATOS PBI Artículos'!AP:AP)</f>
        <v>0</v>
      </c>
      <c r="G667" s="34">
        <f>_xlfn.XLOOKUP($A667,'[1]DATOS PBI Artículos'!A:A,'[1]DATOS PBI Artículos'!AR:AR)</f>
        <v>0</v>
      </c>
      <c r="H667" s="34">
        <f>_xlfn.XLOOKUP($A667,'[1]DATOS PBI Artículos'!A:A,'[1]DATOS PBI Artículos'!AT:AT)</f>
        <v>0</v>
      </c>
      <c r="I667" s="34">
        <f>_xlfn.XLOOKUP($A667,'[1]DATOS PBI Artículos'!A:A,'[1]DATOS PBI Artículos'!AS:AS)</f>
        <v>0</v>
      </c>
      <c r="J667" s="35">
        <f>IF(COUNTIF([1]CRITERIOS!$F$179:$F$199,$A667)&gt;=1,
 IF(O667&lt;&gt;"",
    (O667/_xlfn.XLOOKUP(CONCATENATE(A667,L667),[1]MÁQUINAS!A:A,[1]MÁQUINAS!D:D))/24,
    (N667/_xlfn.XLOOKUP(CONCATENATE(A667,L667),[1]MÁQUINAS!A:A,[1]MÁQUINAS!D:D))/24),
  _xlfn.XLOOKUP($A667,'[1]DATOS PBI Artículos'!A:A,'[1]DATOS PBI Artículos'!AU:AU))</f>
        <v>0</v>
      </c>
      <c r="K667" s="36">
        <f>_xlfn.XLOOKUP($A667,'[1]DATOS PBI Artículos'!A:A,'[1]DATOS PBI Artículos'!AV:AV)</f>
        <v>0</v>
      </c>
      <c r="L667" s="33">
        <f>_xlfn.XLOOKUP(A667,[1]MÁQUINAS!B:B,[1]MÁQUINAS!C:C)</f>
        <v>0</v>
      </c>
      <c r="M667" s="34">
        <f t="array" ref="M667">_xlfn.XLOOKUP(A667,'[1]DATOS PBI Artículos'!A:A,'[1]DATOS PBI Artículos'!AX:$AX)</f>
        <v>0</v>
      </c>
      <c r="N667" s="37" t="e">
        <f>IF(I667="DV",
E667,
IF(COUNTIF([1]CRITERIOS!$I$179:$I$199,$A667)&gt;=1,
_xlfn.XLOOKUP($A667,[1]CRITERIOS!$I$179:$I$199,[1]CRITERIOS!$J$179:$J$199),
IF(COUNTIF([1]CRITERIOS!$L$179:$L$199,$A667)&gt;=1,
_xlfn.CEILING.MATH(IF($M667&gt;$E667,
$E667,
IF($M667&lt;$E667/ROUNDDOWN([1]CRITERIOS!$M$16/_xlfn.XLOOKUP($C667,[1]CRITERIOS!$K$25:$K$42,[1]CRITERIOS!$M$25:$M$42),
1),
E667/ROUNDDOWN([1]CRITERIOS!$M$16/_xlfn.XLOOKUP($C667,[1]CRITERIOS!$K$25:$K$42,[1]CRITERIOS!$M$25:$M$42),
1),
$M667)),
_xlfn.XLOOKUP($A667,[1]CRITERIOS!$L$179:$L$200,[1]CRITERIOS!$M$179:$M$200)),
_xlfn.CEILING.MATH(IF($M667&gt;$E667,
$E667,
IF($M667&lt;$E667/ROUNDDOWN([1]CRITERIOS!$M$16/_xlfn.XLOOKUP($C667,[1]CRITERIOS!$K$25:$K$42,[1]CRITERIOS!$M$25:$M$42),
1),
E667/ROUNDDOWN([1]CRITERIOS!$M$16/_xlfn.XLOOKUP($C667,[1]CRITERIOS!$K$25:$K$42,[1]CRITERIOS!$M$25:$M$42),
1),
$M667)),_xlfn.XLOOKUP(A667,'[1]DATOS PBI Artículos'!A:A,'[1]DATOS PBI Artículos'!Z:Z
)))))</f>
        <v>#N/A</v>
      </c>
      <c r="Q667" s="38" t="e">
        <f>IF(AND(O667="",N667=0),
0,
   IF(COUNTIF([1]CRITERIOS!$F$179:$F$199,$A667)&gt;=1,
   1,
   IF(R667="MTO",
      $D667,
      ROUNDUP(
                    IF(($E667-SUMIF('[1]DATOS PBI Artículos'!A:A,A667,'[1]DATOS PBI Artículos'!X:X)+($V667-_xlfn.XLOOKUP(A667,'[1]DATOS PBI Artículos'!A:A,'[1]DATOS PBI Artículos'!W:W)))&lt;0,
                    0,
                    IF(($E667-SUMIF('[1]DATOS PBI Artículos'!A:A,A667,'[1]DATOS PBI Artículos'!X:X)+$V667-_xlfn.XLOOKUP($A667,'[1]DATOS PBI Artículos'!A:A,'[1]DATOS PBI Artículos'!W:W))/IF($O667="",$N667,$O667)&gt;ROUNDUP([1]CRITERIOS!$M$16/(IF(COUNTIF([1]CRITERIOS!$BG$11:$BG$201,L667)&gt;=1,_xlfn.XLOOKUP($C667,[1]CRITERIOS!$K$25:$K$42,[1]CRITERIOS!$M$25:$M$42),_xlfn.XLOOKUP($C667,[1]CRITERIOS!$K$25:$K$42,[1]CRITERIOS!$M$25:$M$42))),0),
                    ROUNDUP([1]CRITERIOS!$M$16/(IF(COUNTIF([1]CRITERIOS!$BG$11:$BG$201,$L667)&gt;=1,_xlfn.XLOOKUP($C667,[1]CRITERIOS!$K$25:$K$42,[1]CRITERIOS!$M$25:$M$42),_xlfn.XLOOKUP($C667,[1]CRITERIOS!$K$25:$K$42,[1]CRITERIOS!$M$25:$M$42))),0),
                    (E667+V667-SUMIF('[1]DATOS PBI Artículos'!A:A,A667,'[1]DATOS PBI Artículos'!X:X)-_xlfn.XLOOKUP(A667,'[1]DATOS PBI Artículos'!A:A,'[1]DATOS PBI Artículos'!W:W))/IF($O667="",$N667,$O667))),0))))</f>
        <v>#N/A</v>
      </c>
      <c r="R667" s="33" t="e">
        <f>IF(U667&lt;&gt;"",U667,IF(F667="DV","MTO",IF(N667=0,"MTO",_xlfn.XLOOKUP(CONCATENATE(S667,T667),[1]CRITERIOS!$K$160:$K$168,[1]CRITERIOS!$N$160:$N$168))))</f>
        <v>#N/A</v>
      </c>
      <c r="S667" s="33" t="e">
        <f>IF(G667="DV","MTO",IF(N667=0,"MTO",IF(OR(AND(N667=0,O667=""),IF(O667="",G667/N667,G667/O667)&gt;[1]CRITERIOS!$G$163),"MTO",IF(IF(O667="",G667/N667,G667/O667)&lt;[1]CRITERIOS!$H$161,"MTS","MTOS"))))</f>
        <v>#N/A</v>
      </c>
      <c r="T667" s="33" t="e">
        <f>IF(F667="DV","MTO",IF(OR(AND($N667=0,O667=""),$F667/$J667&gt;[1]CRITERIOS!$G$170,$F667="DV"),"MTO",IF($F667/$J667&lt;[1]CRITERIOS!$H$168,"MTS","MTOS")))</f>
        <v>#N/A</v>
      </c>
      <c r="V667" s="34" t="e">
        <f t="shared" si="34"/>
        <v>#N/A</v>
      </c>
      <c r="X667" s="34" t="e">
        <f t="shared" si="32"/>
        <v>#N/A</v>
      </c>
      <c r="Y667" s="34" t="e">
        <f t="shared" si="33"/>
        <v>#N/A</v>
      </c>
      <c r="Z667" s="34" t="e">
        <f>IF($R667="MTO",
0,
($H667+$K667*($E667/[1]CRITERIOS!$M$16))/[1]CRITERIOS!$X$48)</f>
        <v>#N/A</v>
      </c>
      <c r="AA667" s="34" t="e">
        <f>ROUNDUP(($Y667/_xlfn.XLOOKUP($A667,'[1]DATOS PBI Artículos'!$A$4:$A$4,'[1]DATOS PBI Artículos'!$Z$4:$Z$4))/_xlfn.XLOOKUP(_xlfn.XLOOKUP($A667,'[1]DATOS PBI Artículos'!$A$4:$A$4,'[1]DATOS PBI Artículos'!$Y$4:$Y$4),[1]CRITERIOS!$P$79:$P$123,[1]CRITERIOS!$S$79:$S$123,),0)</f>
        <v>#N/A</v>
      </c>
      <c r="AB667" s="33" t="e">
        <f t="array" ref="AB667">IF((E667+V667-_xlfn.XLOOKUP(A667,'[1]DATOS PBI Artículos'!$A$4:$A$4,'[1]DATOS PBI Artículos'!$W$4:$W$4))/N667&gt;ROUNDUP([1]CRITERIOS!$M$16/(IF(COUNTIF([1]CRITERIOS!$BG$11:$BG$201,L667)&gt;=1,_xlfn.XLOOKUP(ARTÍCULOS!L667,[1]CRITERIOS!$BG$11:$BG$201,[1]CRITERIOS!$BJ$11:$BJ$201),_xlfn.XLOOKUP(ARTÍCULOS!C667,[1]CRITERIOS!$K$25:$K$42,[1]CRITERIOS!$M$25:$M$42))),0),ROUNDUP([1]CRITERIOS!$M$16/(IF(COUNTIF([1]CRITERIOS!$BG$11:$BG$201,L667)&gt;=1,_xlfn.XLOOKUP(ARTÍCULOS!L667,[1]CRITERIOS!$BG$11:$BG$201:#REF!,[1]CRITERIOS!$BJ$11:$BJ$201),_xlfn.XLOOKUP(ARTÍCULOS!C667,[1]CRITERIOS!$K$25:$K$42,[1]CRITERIOS!$M$25:$M$42))),0),(E667+V667-_xlfn.XLOOKUP(A667,'[1]DATOS PBI Artículos'!$A$4:$A$4,'[1]DATOS PBI Artículos'!$W$4:$W$4))/N667)</f>
        <v>#N/A</v>
      </c>
      <c r="AC667" s="33" t="e">
        <f>IF(N667=0,"",(ROUNDUP((N667/2)/(_xlfn.XLOOKUP(A667,'[1]DATOS PBI Artículos'!$A$4:$A$4,'[1]DATOS PBI Artículos'!$Z$4:$Z$4)*_xlfn.XLOOKUP(_xlfn.XLOOKUP(A667,'[1]DATOS PBI Artículos'!$A$4:$A$4,'[1]DATOS PBI Artículos'!$Y$4:$Y$4),[1]CRITERIOS!$P$79:$P$123,[1]CRITERIOS!$S$79:$S$123)),0)*[1]CRITERIOS!$M$80*([1]CRITERIOS!$M$110/[1]CRITERIOS!$M$86)+(_xlfn.XLOOKUP(A667,'[1]DATOS PBI Artículos'!$A$4:$A$4,'[1]DATOS PBI Artículos'!$AA$4:$AA$4)*([1]CRITERIOS!$M$95+[1]CRITERIOS!$M$98)))/N667)</f>
        <v>#N/A</v>
      </c>
      <c r="AD667" s="33" t="e">
        <f>IF(N667=0,"",(ROUNDUP((N667/2)/(_xlfn.XLOOKUP(A667,'[1]DATOS PBI Artículos'!$A$4:$A$4,'[1]DATOS PBI Artículos'!$Z$4:$Z$4)*_xlfn.XLOOKUP(_xlfn.XLOOKUP(A667,'[1]DATOS PBI Artículos'!$A$4:$A$4,'[1]DATOS PBI Artículos'!$Y$4:$Y$4),[1]CRITERIOS!$P$79:$P$123,[1]CRITERIOS!$S$79:$S$123)),0)*[1]CRITERIOS!$M$80*([1]CRITERIOS!$M$89*[1]CRITERIOS!$M$92)+((_xlfn.XLOOKUP(A667,'[1]DATOS PBI Artículos'!$A$4:$A$4,'[1]DATOS PBI Artículos'!$AA$4:$AA$4)/2)*([1]CRITERIOS!$M$95+[1]CRITERIOS!$M$98)))/N667)</f>
        <v>#N/A</v>
      </c>
      <c r="AE667" s="39" t="e">
        <f>IF($R667="MTO","",
IF($H667=0,ROUNDUP(((_xlfn.XLOOKUP($A667,'[1]DATOS PBI Artículos'!$A:$A,'[1]DATOS PBI Artículos'!$AL:$AL))/(_xlfn.XLOOKUP($AF$1,[1]CRITERIOS!$S$16:$S$39,[1]CRITERIOS!$Y$16:$Y$39))*$J667+$Z667)/$G667,0)*$G667,
((_xlfn.XLOOKUP($A667,'[1]DATOS PBI Artículos'!$A:$A,'[1]DATOS PBI Artículos'!$AL:$AL))/(_xlfn.XLOOKUP($AF$1,[1]CRITERIOS!$S$16:$S$39,[1]CRITERIOS!$Y$16:$Y$39))*$J667+$Z667)))</f>
        <v>#N/A</v>
      </c>
      <c r="AG667" s="39" t="e">
        <f>IF($R667="MTO","",
IF($H667=0,ROUNDUP(((_xlfn.XLOOKUP($A667,'[1]DATOS PBI Artículos'!$A:$A,'[1]DATOS PBI Artículos'!$AM:$AM))/(_xlfn.XLOOKUP($AH$1,[1]CRITERIOS!$S$16:$S$39,[1]CRITERIOS!$Y$16:$Y$39))*$J667+$Z667)/$G667,0)*$G667,
((_xlfn.XLOOKUP($A667,'[1]DATOS PBI Artículos'!$A:$A,'[1]DATOS PBI Artículos'!$AM:$AM))/(_xlfn.XLOOKUP($AH$1,[1]CRITERIOS!$S$16:$S$39,[1]CRITERIOS!$Y$16:$Y$39))*$J667+$Z667)))</f>
        <v>#N/A</v>
      </c>
      <c r="AI667" s="39" t="e">
        <f>IF($R667="MTO","",
IF($H667=0,ROUNDUP(((_xlfn.XLOOKUP($A667,'[1]DATOS PBI Artículos'!$A:$A,'[1]DATOS PBI Artículos'!$AN:$AN))/(_xlfn.XLOOKUP($AJ$1,[1]CRITERIOS!$S$16:$S$39,[1]CRITERIOS!$Y$16:$Y$39))*$J667+$Z667)/$G667,0)*$G667,
((_xlfn.XLOOKUP($A667,'[1]DATOS PBI Artículos'!$A:$A,'[1]DATOS PBI Artículos'!$AN:$AN))/(_xlfn.XLOOKUP($AJ$1,[1]CRITERIOS!$S$16:$S$39,[1]CRITERIOS!$Y$16:$Y$39))*$J667+$Z667)))</f>
        <v>#N/A</v>
      </c>
      <c r="AK667" s="39" t="e">
        <f>IF($R667="MTO","",
IF($H667=0,ROUNDUP(((_xlfn.XLOOKUP($A667,'[1]DATOS PBI Artículos'!$A:$A,'[1]DATOS PBI Artículos'!$AO:$AO))/(_xlfn.XLOOKUP($AL$1,[1]CRITERIOS!$S$16:$S$39,[1]CRITERIOS!$Y$16:$Y$39))*$J667+$Z667)/$G667,0)*$G667,
((_xlfn.XLOOKUP($A667,'[1]DATOS PBI Artículos'!$A:$A,'[1]DATOS PBI Artículos'!$AO:$AO))/(_xlfn.XLOOKUP($AL$1,[1]CRITERIOS!$S$16:$S$39,[1]CRITERIOS!$Y$16:$Y$39))*$J667+$Z667)))</f>
        <v>#N/A</v>
      </c>
    </row>
    <row r="668" spans="1:37" ht="25.8" hidden="1" x14ac:dyDescent="0.4">
      <c r="A668" s="41"/>
      <c r="B668" s="33">
        <f>_xlfn.XLOOKUP($A668,'[1]DATOS PBI Artículos'!A:A,'[1]DATOS PBI Artículos'!B:B)</f>
        <v>0</v>
      </c>
      <c r="C668" s="33">
        <f>_xlfn.XLOOKUP($A668,'[1]DATOS PBI Artículos'!A:A,'[1]DATOS PBI Artículos'!C:C)</f>
        <v>0</v>
      </c>
      <c r="D668" s="33">
        <f>_xlfn.XLOOKUP(A668,'[1]DATOS PBI Artículos'!A:A,'[1]DATOS PBI Artículos'!T:T)</f>
        <v>0</v>
      </c>
      <c r="E668" s="34">
        <f>IF(_xlfn.XLOOKUP($A668,'[1]DATOS PBI Artículos'!A:A,'[1]DATOS PBI Artículos'!AK:AK)="",_xlfn.XLOOKUP($A668,'[1]DATOS PBI Artículos'!A:A,'[1]DATOS PBI Artículos'!AJ:AJ),_xlfn.XLOOKUP($A668,'[1]DATOS PBI Artículos'!A:A,'[1]DATOS PBI Artículos'!AK:AK))</f>
        <v>0</v>
      </c>
      <c r="F668" s="35">
        <f>_xlfn.XLOOKUP($A668,'[1]DATOS PBI Artículos'!A:A,'[1]DATOS PBI Artículos'!AP:AP)</f>
        <v>0</v>
      </c>
      <c r="G668" s="34">
        <f>_xlfn.XLOOKUP($A668,'[1]DATOS PBI Artículos'!A:A,'[1]DATOS PBI Artículos'!AR:AR)</f>
        <v>0</v>
      </c>
      <c r="H668" s="34">
        <f>_xlfn.XLOOKUP($A668,'[1]DATOS PBI Artículos'!A:A,'[1]DATOS PBI Artículos'!AT:AT)</f>
        <v>0</v>
      </c>
      <c r="I668" s="34">
        <f>_xlfn.XLOOKUP($A668,'[1]DATOS PBI Artículos'!A:A,'[1]DATOS PBI Artículos'!AS:AS)</f>
        <v>0</v>
      </c>
      <c r="J668" s="35">
        <f>IF(COUNTIF([1]CRITERIOS!$F$179:$F$199,$A668)&gt;=1,
 IF(O668&lt;&gt;"",
    (O668/_xlfn.XLOOKUP(CONCATENATE(A668,L668),[1]MÁQUINAS!A:A,[1]MÁQUINAS!D:D))/24,
    (N668/_xlfn.XLOOKUP(CONCATENATE(A668,L668),[1]MÁQUINAS!A:A,[1]MÁQUINAS!D:D))/24),
  _xlfn.XLOOKUP($A668,'[1]DATOS PBI Artículos'!A:A,'[1]DATOS PBI Artículos'!AU:AU))</f>
        <v>0</v>
      </c>
      <c r="K668" s="36">
        <f>_xlfn.XLOOKUP($A668,'[1]DATOS PBI Artículos'!A:A,'[1]DATOS PBI Artículos'!AV:AV)</f>
        <v>0</v>
      </c>
      <c r="L668" s="33">
        <f>_xlfn.XLOOKUP(A668,[1]MÁQUINAS!B:B,[1]MÁQUINAS!C:C)</f>
        <v>0</v>
      </c>
      <c r="M668" s="34">
        <f t="array" ref="M668">_xlfn.XLOOKUP(A668,'[1]DATOS PBI Artículos'!A:A,'[1]DATOS PBI Artículos'!AX:$AX)</f>
        <v>0</v>
      </c>
      <c r="N668" s="37" t="e">
        <f>IF(I668="DV",
E668,
IF(COUNTIF([1]CRITERIOS!$I$179:$I$199,$A668)&gt;=1,
_xlfn.XLOOKUP($A668,[1]CRITERIOS!$I$179:$I$199,[1]CRITERIOS!$J$179:$J$199),
IF(COUNTIF([1]CRITERIOS!$L$179:$L$199,$A668)&gt;=1,
_xlfn.CEILING.MATH(IF($M668&gt;$E668,
$E668,
IF($M668&lt;$E668/ROUNDDOWN([1]CRITERIOS!$M$16/_xlfn.XLOOKUP($C668,[1]CRITERIOS!$K$25:$K$42,[1]CRITERIOS!$M$25:$M$42),
1),
E668/ROUNDDOWN([1]CRITERIOS!$M$16/_xlfn.XLOOKUP($C668,[1]CRITERIOS!$K$25:$K$42,[1]CRITERIOS!$M$25:$M$42),
1),
$M668)),
_xlfn.XLOOKUP($A668,[1]CRITERIOS!$L$179:$L$200,[1]CRITERIOS!$M$179:$M$200)),
_xlfn.CEILING.MATH(IF($M668&gt;$E668,
$E668,
IF($M668&lt;$E668/ROUNDDOWN([1]CRITERIOS!$M$16/_xlfn.XLOOKUP($C668,[1]CRITERIOS!$K$25:$K$42,[1]CRITERIOS!$M$25:$M$42),
1),
E668/ROUNDDOWN([1]CRITERIOS!$M$16/_xlfn.XLOOKUP($C668,[1]CRITERIOS!$K$25:$K$42,[1]CRITERIOS!$M$25:$M$42),
1),
$M668)),_xlfn.XLOOKUP(A668,'[1]DATOS PBI Artículos'!A:A,'[1]DATOS PBI Artículos'!Z:Z
)))))</f>
        <v>#N/A</v>
      </c>
      <c r="Q668" s="38" t="e">
        <f>IF(AND(O668="",N668=0),
0,
   IF(COUNTIF([1]CRITERIOS!$F$179:$F$199,$A668)&gt;=1,
   1,
   IF(R668="MTO",
      $D668,
      ROUNDUP(
                    IF(($E668-SUMIF('[1]DATOS PBI Artículos'!A:A,A668,'[1]DATOS PBI Artículos'!X:X)+($V668-_xlfn.XLOOKUP(A668,'[1]DATOS PBI Artículos'!A:A,'[1]DATOS PBI Artículos'!W:W)))&lt;0,
                    0,
                    IF(($E668-SUMIF('[1]DATOS PBI Artículos'!A:A,A668,'[1]DATOS PBI Artículos'!X:X)+$V668-_xlfn.XLOOKUP($A668,'[1]DATOS PBI Artículos'!A:A,'[1]DATOS PBI Artículos'!W:W))/IF($O668="",$N668,$O668)&gt;ROUNDUP([1]CRITERIOS!$M$16/(IF(COUNTIF([1]CRITERIOS!$BG$11:$BG$201,L668)&gt;=1,_xlfn.XLOOKUP($C668,[1]CRITERIOS!$K$25:$K$42,[1]CRITERIOS!$M$25:$M$42),_xlfn.XLOOKUP($C668,[1]CRITERIOS!$K$25:$K$42,[1]CRITERIOS!$M$25:$M$42))),0),
                    ROUNDUP([1]CRITERIOS!$M$16/(IF(COUNTIF([1]CRITERIOS!$BG$11:$BG$201,$L668)&gt;=1,_xlfn.XLOOKUP($C668,[1]CRITERIOS!$K$25:$K$42,[1]CRITERIOS!$M$25:$M$42),_xlfn.XLOOKUP($C668,[1]CRITERIOS!$K$25:$K$42,[1]CRITERIOS!$M$25:$M$42))),0),
                    (E668+V668-SUMIF('[1]DATOS PBI Artículos'!A:A,A668,'[1]DATOS PBI Artículos'!X:X)-_xlfn.XLOOKUP(A668,'[1]DATOS PBI Artículos'!A:A,'[1]DATOS PBI Artículos'!W:W))/IF($O668="",$N668,$O668))),0))))</f>
        <v>#N/A</v>
      </c>
      <c r="R668" s="33" t="e">
        <f>IF(U668&lt;&gt;"",U668,IF(F668="DV","MTO",IF(N668=0,"MTO",_xlfn.XLOOKUP(CONCATENATE(S668,T668),[1]CRITERIOS!$K$160:$K$168,[1]CRITERIOS!$N$160:$N$168))))</f>
        <v>#N/A</v>
      </c>
      <c r="S668" s="33" t="e">
        <f>IF(G668="DV","MTO",IF(N668=0,"MTO",IF(OR(AND(N668=0,O668=""),IF(O668="",G668/N668,G668/O668)&gt;[1]CRITERIOS!$G$163),"MTO",IF(IF(O668="",G668/N668,G668/O668)&lt;[1]CRITERIOS!$H$161,"MTS","MTOS"))))</f>
        <v>#N/A</v>
      </c>
      <c r="T668" s="33" t="e">
        <f>IF(F668="DV","MTO",IF(OR(AND($N668=0,O668=""),$F668/$J668&gt;[1]CRITERIOS!$G$170,$F668="DV"),"MTO",IF($F668/$J668&lt;[1]CRITERIOS!$H$168,"MTS","MTOS")))</f>
        <v>#N/A</v>
      </c>
      <c r="V668" s="34" t="e">
        <f t="shared" si="34"/>
        <v>#N/A</v>
      </c>
      <c r="X668" s="34" t="e">
        <f t="shared" si="32"/>
        <v>#N/A</v>
      </c>
      <c r="Y668" s="34" t="e">
        <f t="shared" si="33"/>
        <v>#N/A</v>
      </c>
      <c r="Z668" s="34" t="e">
        <f>IF($R668="MTO",
0,
($H668+$K668*($E668/[1]CRITERIOS!$M$16))/[1]CRITERIOS!$X$48)</f>
        <v>#N/A</v>
      </c>
      <c r="AA668" s="34" t="e">
        <f>ROUNDUP(($Y668/_xlfn.XLOOKUP($A668,'[1]DATOS PBI Artículos'!$A$4:$A$4,'[1]DATOS PBI Artículos'!$Z$4:$Z$4))/_xlfn.XLOOKUP(_xlfn.XLOOKUP($A668,'[1]DATOS PBI Artículos'!$A$4:$A$4,'[1]DATOS PBI Artículos'!$Y$4:$Y$4),[1]CRITERIOS!$P$79:$P$123,[1]CRITERIOS!$S$79:$S$123,),0)</f>
        <v>#N/A</v>
      </c>
      <c r="AB668" s="33" t="e">
        <f t="array" ref="AB668">IF((E668+V668-_xlfn.XLOOKUP(A668,'[1]DATOS PBI Artículos'!$A$4:$A$4,'[1]DATOS PBI Artículos'!$W$4:$W$4))/N668&gt;ROUNDUP([1]CRITERIOS!$M$16/(IF(COUNTIF([1]CRITERIOS!$BG$11:$BG$201,L668)&gt;=1,_xlfn.XLOOKUP(ARTÍCULOS!L668,[1]CRITERIOS!$BG$11:$BG$201,[1]CRITERIOS!$BJ$11:$BJ$201),_xlfn.XLOOKUP(ARTÍCULOS!C668,[1]CRITERIOS!$K$25:$K$42,[1]CRITERIOS!$M$25:$M$42))),0),ROUNDUP([1]CRITERIOS!$M$16/(IF(COUNTIF([1]CRITERIOS!$BG$11:$BG$201,L668)&gt;=1,_xlfn.XLOOKUP(ARTÍCULOS!L668,[1]CRITERIOS!$BG$11:$BG$201:#REF!,[1]CRITERIOS!$BJ$11:$BJ$201),_xlfn.XLOOKUP(ARTÍCULOS!C668,[1]CRITERIOS!$K$25:$K$42,[1]CRITERIOS!$M$25:$M$42))),0),(E668+V668-_xlfn.XLOOKUP(A668,'[1]DATOS PBI Artículos'!$A$4:$A$4,'[1]DATOS PBI Artículos'!$W$4:$W$4))/N668)</f>
        <v>#N/A</v>
      </c>
      <c r="AC668" s="33" t="e">
        <f>IF(N668=0,"",(ROUNDUP((N668/2)/(_xlfn.XLOOKUP(A668,'[1]DATOS PBI Artículos'!$A$4:$A$4,'[1]DATOS PBI Artículos'!$Z$4:$Z$4)*_xlfn.XLOOKUP(_xlfn.XLOOKUP(A668,'[1]DATOS PBI Artículos'!$A$4:$A$4,'[1]DATOS PBI Artículos'!$Y$4:$Y$4),[1]CRITERIOS!$P$79:$P$123,[1]CRITERIOS!$S$79:$S$123)),0)*[1]CRITERIOS!$M$80*([1]CRITERIOS!$M$110/[1]CRITERIOS!$M$86)+(_xlfn.XLOOKUP(A668,'[1]DATOS PBI Artículos'!$A$4:$A$4,'[1]DATOS PBI Artículos'!$AA$4:$AA$4)*([1]CRITERIOS!$M$95+[1]CRITERIOS!$M$98)))/N668)</f>
        <v>#N/A</v>
      </c>
      <c r="AD668" s="33" t="e">
        <f>IF(N668=0,"",(ROUNDUP((N668/2)/(_xlfn.XLOOKUP(A668,'[1]DATOS PBI Artículos'!$A$4:$A$4,'[1]DATOS PBI Artículos'!$Z$4:$Z$4)*_xlfn.XLOOKUP(_xlfn.XLOOKUP(A668,'[1]DATOS PBI Artículos'!$A$4:$A$4,'[1]DATOS PBI Artículos'!$Y$4:$Y$4),[1]CRITERIOS!$P$79:$P$123,[1]CRITERIOS!$S$79:$S$123)),0)*[1]CRITERIOS!$M$80*([1]CRITERIOS!$M$89*[1]CRITERIOS!$M$92)+((_xlfn.XLOOKUP(A668,'[1]DATOS PBI Artículos'!$A$4:$A$4,'[1]DATOS PBI Artículos'!$AA$4:$AA$4)/2)*([1]CRITERIOS!$M$95+[1]CRITERIOS!$M$98)))/N668)</f>
        <v>#N/A</v>
      </c>
      <c r="AE668" s="39" t="e">
        <f>IF($R668="MTO","",
IF($H668=0,ROUNDUP(((_xlfn.XLOOKUP($A668,'[1]DATOS PBI Artículos'!$A:$A,'[1]DATOS PBI Artículos'!$AL:$AL))/(_xlfn.XLOOKUP($AF$1,[1]CRITERIOS!$S$16:$S$39,[1]CRITERIOS!$Y$16:$Y$39))*$J668+$Z668)/$G668,0)*$G668,
((_xlfn.XLOOKUP($A668,'[1]DATOS PBI Artículos'!$A:$A,'[1]DATOS PBI Artículos'!$AL:$AL))/(_xlfn.XLOOKUP($AF$1,[1]CRITERIOS!$S$16:$S$39,[1]CRITERIOS!$Y$16:$Y$39))*$J668+$Z668)))</f>
        <v>#N/A</v>
      </c>
      <c r="AG668" s="39" t="e">
        <f>IF($R668="MTO","",
IF($H668=0,ROUNDUP(((_xlfn.XLOOKUP($A668,'[1]DATOS PBI Artículos'!$A:$A,'[1]DATOS PBI Artículos'!$AM:$AM))/(_xlfn.XLOOKUP($AH$1,[1]CRITERIOS!$S$16:$S$39,[1]CRITERIOS!$Y$16:$Y$39))*$J668+$Z668)/$G668,0)*$G668,
((_xlfn.XLOOKUP($A668,'[1]DATOS PBI Artículos'!$A:$A,'[1]DATOS PBI Artículos'!$AM:$AM))/(_xlfn.XLOOKUP($AH$1,[1]CRITERIOS!$S$16:$S$39,[1]CRITERIOS!$Y$16:$Y$39))*$J668+$Z668)))</f>
        <v>#N/A</v>
      </c>
      <c r="AI668" s="39" t="e">
        <f>IF($R668="MTO","",
IF($H668=0,ROUNDUP(((_xlfn.XLOOKUP($A668,'[1]DATOS PBI Artículos'!$A:$A,'[1]DATOS PBI Artículos'!$AN:$AN))/(_xlfn.XLOOKUP($AJ$1,[1]CRITERIOS!$S$16:$S$39,[1]CRITERIOS!$Y$16:$Y$39))*$J668+$Z668)/$G668,0)*$G668,
((_xlfn.XLOOKUP($A668,'[1]DATOS PBI Artículos'!$A:$A,'[1]DATOS PBI Artículos'!$AN:$AN))/(_xlfn.XLOOKUP($AJ$1,[1]CRITERIOS!$S$16:$S$39,[1]CRITERIOS!$Y$16:$Y$39))*$J668+$Z668)))</f>
        <v>#N/A</v>
      </c>
      <c r="AK668" s="39" t="e">
        <f>IF($R668="MTO","",
IF($H668=0,ROUNDUP(((_xlfn.XLOOKUP($A668,'[1]DATOS PBI Artículos'!$A:$A,'[1]DATOS PBI Artículos'!$AO:$AO))/(_xlfn.XLOOKUP($AL$1,[1]CRITERIOS!$S$16:$S$39,[1]CRITERIOS!$Y$16:$Y$39))*$J668+$Z668)/$G668,0)*$G668,
((_xlfn.XLOOKUP($A668,'[1]DATOS PBI Artículos'!$A:$A,'[1]DATOS PBI Artículos'!$AO:$AO))/(_xlfn.XLOOKUP($AL$1,[1]CRITERIOS!$S$16:$S$39,[1]CRITERIOS!$Y$16:$Y$39))*$J668+$Z668)))</f>
        <v>#N/A</v>
      </c>
    </row>
    <row r="669" spans="1:37" ht="25.8" hidden="1" x14ac:dyDescent="0.4">
      <c r="A669" s="41"/>
      <c r="B669" s="33">
        <f>_xlfn.XLOOKUP($A669,'[1]DATOS PBI Artículos'!A:A,'[1]DATOS PBI Artículos'!B:B)</f>
        <v>0</v>
      </c>
      <c r="C669" s="33">
        <f>_xlfn.XLOOKUP($A669,'[1]DATOS PBI Artículos'!A:A,'[1]DATOS PBI Artículos'!C:C)</f>
        <v>0</v>
      </c>
      <c r="D669" s="33">
        <f>_xlfn.XLOOKUP(A669,'[1]DATOS PBI Artículos'!A:A,'[1]DATOS PBI Artículos'!T:T)</f>
        <v>0</v>
      </c>
      <c r="E669" s="34">
        <f>IF(_xlfn.XLOOKUP($A669,'[1]DATOS PBI Artículos'!A:A,'[1]DATOS PBI Artículos'!AK:AK)="",_xlfn.XLOOKUP($A669,'[1]DATOS PBI Artículos'!A:A,'[1]DATOS PBI Artículos'!AJ:AJ),_xlfn.XLOOKUP($A669,'[1]DATOS PBI Artículos'!A:A,'[1]DATOS PBI Artículos'!AK:AK))</f>
        <v>0</v>
      </c>
      <c r="F669" s="35">
        <f>_xlfn.XLOOKUP($A669,'[1]DATOS PBI Artículos'!A:A,'[1]DATOS PBI Artículos'!AP:AP)</f>
        <v>0</v>
      </c>
      <c r="G669" s="34">
        <f>_xlfn.XLOOKUP($A669,'[1]DATOS PBI Artículos'!A:A,'[1]DATOS PBI Artículos'!AR:AR)</f>
        <v>0</v>
      </c>
      <c r="H669" s="34">
        <f>_xlfn.XLOOKUP($A669,'[1]DATOS PBI Artículos'!A:A,'[1]DATOS PBI Artículos'!AT:AT)</f>
        <v>0</v>
      </c>
      <c r="I669" s="34">
        <f>_xlfn.XLOOKUP($A669,'[1]DATOS PBI Artículos'!A:A,'[1]DATOS PBI Artículos'!AS:AS)</f>
        <v>0</v>
      </c>
      <c r="J669" s="35">
        <f>IF(COUNTIF([1]CRITERIOS!$F$179:$F$199,$A669)&gt;=1,
 IF(O669&lt;&gt;"",
    (O669/_xlfn.XLOOKUP(CONCATENATE(A669,L669),[1]MÁQUINAS!A:A,[1]MÁQUINAS!D:D))/24,
    (N669/_xlfn.XLOOKUP(CONCATENATE(A669,L669),[1]MÁQUINAS!A:A,[1]MÁQUINAS!D:D))/24),
  _xlfn.XLOOKUP($A669,'[1]DATOS PBI Artículos'!A:A,'[1]DATOS PBI Artículos'!AU:AU))</f>
        <v>0</v>
      </c>
      <c r="K669" s="36">
        <f>_xlfn.XLOOKUP($A669,'[1]DATOS PBI Artículos'!A:A,'[1]DATOS PBI Artículos'!AV:AV)</f>
        <v>0</v>
      </c>
      <c r="L669" s="33">
        <f>_xlfn.XLOOKUP(A669,[1]MÁQUINAS!B:B,[1]MÁQUINAS!C:C)</f>
        <v>0</v>
      </c>
      <c r="M669" s="34">
        <f t="array" ref="M669">_xlfn.XLOOKUP(A669,'[1]DATOS PBI Artículos'!A:A,'[1]DATOS PBI Artículos'!AX:$AX)</f>
        <v>0</v>
      </c>
      <c r="N669" s="37" t="e">
        <f>IF(I669="DV",
E669,
IF(COUNTIF([1]CRITERIOS!$I$179:$I$199,$A669)&gt;=1,
_xlfn.XLOOKUP($A669,[1]CRITERIOS!$I$179:$I$199,[1]CRITERIOS!$J$179:$J$199),
IF(COUNTIF([1]CRITERIOS!$L$179:$L$199,$A669)&gt;=1,
_xlfn.CEILING.MATH(IF($M669&gt;$E669,
$E669,
IF($M669&lt;$E669/ROUNDDOWN([1]CRITERIOS!$M$16/_xlfn.XLOOKUP($C669,[1]CRITERIOS!$K$25:$K$42,[1]CRITERIOS!$M$25:$M$42),
1),
E669/ROUNDDOWN([1]CRITERIOS!$M$16/_xlfn.XLOOKUP($C669,[1]CRITERIOS!$K$25:$K$42,[1]CRITERIOS!$M$25:$M$42),
1),
$M669)),
_xlfn.XLOOKUP($A669,[1]CRITERIOS!$L$179:$L$200,[1]CRITERIOS!$M$179:$M$200)),
_xlfn.CEILING.MATH(IF($M669&gt;$E669,
$E669,
IF($M669&lt;$E669/ROUNDDOWN([1]CRITERIOS!$M$16/_xlfn.XLOOKUP($C669,[1]CRITERIOS!$K$25:$K$42,[1]CRITERIOS!$M$25:$M$42),
1),
E669/ROUNDDOWN([1]CRITERIOS!$M$16/_xlfn.XLOOKUP($C669,[1]CRITERIOS!$K$25:$K$42,[1]CRITERIOS!$M$25:$M$42),
1),
$M669)),_xlfn.XLOOKUP(A669,'[1]DATOS PBI Artículos'!A:A,'[1]DATOS PBI Artículos'!Z:Z
)))))</f>
        <v>#N/A</v>
      </c>
      <c r="Q669" s="38" t="e">
        <f>IF(AND(O669="",N669=0),
0,
   IF(COUNTIF([1]CRITERIOS!$F$179:$F$199,$A669)&gt;=1,
   1,
   IF(R669="MTO",
      $D669,
      ROUNDUP(
                    IF(($E669-SUMIF('[1]DATOS PBI Artículos'!A:A,A669,'[1]DATOS PBI Artículos'!X:X)+($V669-_xlfn.XLOOKUP(A669,'[1]DATOS PBI Artículos'!A:A,'[1]DATOS PBI Artículos'!W:W)))&lt;0,
                    0,
                    IF(($E669-SUMIF('[1]DATOS PBI Artículos'!A:A,A669,'[1]DATOS PBI Artículos'!X:X)+$V669-_xlfn.XLOOKUP($A669,'[1]DATOS PBI Artículos'!A:A,'[1]DATOS PBI Artículos'!W:W))/IF($O669="",$N669,$O669)&gt;ROUNDUP([1]CRITERIOS!$M$16/(IF(COUNTIF([1]CRITERIOS!$BG$11:$BG$201,L669)&gt;=1,_xlfn.XLOOKUP($C669,[1]CRITERIOS!$K$25:$K$42,[1]CRITERIOS!$M$25:$M$42),_xlfn.XLOOKUP($C669,[1]CRITERIOS!$K$25:$K$42,[1]CRITERIOS!$M$25:$M$42))),0),
                    ROUNDUP([1]CRITERIOS!$M$16/(IF(COUNTIF([1]CRITERIOS!$BG$11:$BG$201,$L669)&gt;=1,_xlfn.XLOOKUP($C669,[1]CRITERIOS!$K$25:$K$42,[1]CRITERIOS!$M$25:$M$42),_xlfn.XLOOKUP($C669,[1]CRITERIOS!$K$25:$K$42,[1]CRITERIOS!$M$25:$M$42))),0),
                    (E669+V669-SUMIF('[1]DATOS PBI Artículos'!A:A,A669,'[1]DATOS PBI Artículos'!X:X)-_xlfn.XLOOKUP(A669,'[1]DATOS PBI Artículos'!A:A,'[1]DATOS PBI Artículos'!W:W))/IF($O669="",$N669,$O669))),0))))</f>
        <v>#N/A</v>
      </c>
      <c r="R669" s="33" t="e">
        <f>IF(U669&lt;&gt;"",U669,IF(F669="DV","MTO",IF(N669=0,"MTO",_xlfn.XLOOKUP(CONCATENATE(S669,T669),[1]CRITERIOS!$K$160:$K$168,[1]CRITERIOS!$N$160:$N$168))))</f>
        <v>#N/A</v>
      </c>
      <c r="S669" s="33" t="e">
        <f>IF(G669="DV","MTO",IF(N669=0,"MTO",IF(OR(AND(N669=0,O669=""),IF(O669="",G669/N669,G669/O669)&gt;[1]CRITERIOS!$G$163),"MTO",IF(IF(O669="",G669/N669,G669/O669)&lt;[1]CRITERIOS!$H$161,"MTS","MTOS"))))</f>
        <v>#N/A</v>
      </c>
      <c r="T669" s="33" t="e">
        <f>IF(F669="DV","MTO",IF(OR(AND($N669=0,O669=""),$F669/$J669&gt;[1]CRITERIOS!$G$170,$F669="DV"),"MTO",IF($F669/$J669&lt;[1]CRITERIOS!$H$168,"MTS","MTOS")))</f>
        <v>#N/A</v>
      </c>
      <c r="V669" s="34" t="e">
        <f t="shared" si="34"/>
        <v>#N/A</v>
      </c>
      <c r="X669" s="34" t="e">
        <f t="shared" si="32"/>
        <v>#N/A</v>
      </c>
      <c r="Y669" s="34" t="e">
        <f t="shared" si="33"/>
        <v>#N/A</v>
      </c>
      <c r="Z669" s="34" t="e">
        <f>IF($R669="MTO",
0,
($H669+$K669*($E669/[1]CRITERIOS!$M$16))/[1]CRITERIOS!$X$48)</f>
        <v>#N/A</v>
      </c>
      <c r="AA669" s="34" t="e">
        <f>ROUNDUP(($Y669/_xlfn.XLOOKUP($A669,'[1]DATOS PBI Artículos'!$A$4:$A$4,'[1]DATOS PBI Artículos'!$Z$4:$Z$4))/_xlfn.XLOOKUP(_xlfn.XLOOKUP($A669,'[1]DATOS PBI Artículos'!$A$4:$A$4,'[1]DATOS PBI Artículos'!$Y$4:$Y$4),[1]CRITERIOS!$P$79:$P$123,[1]CRITERIOS!$S$79:$S$123,),0)</f>
        <v>#N/A</v>
      </c>
      <c r="AB669" s="33" t="e">
        <f t="array" ref="AB669">IF((E669+V669-_xlfn.XLOOKUP(A669,'[1]DATOS PBI Artículos'!$A$4:$A$4,'[1]DATOS PBI Artículos'!$W$4:$W$4))/N669&gt;ROUNDUP([1]CRITERIOS!$M$16/(IF(COUNTIF([1]CRITERIOS!$BG$11:$BG$201,L669)&gt;=1,_xlfn.XLOOKUP(ARTÍCULOS!L669,[1]CRITERIOS!$BG$11:$BG$201,[1]CRITERIOS!$BJ$11:$BJ$201),_xlfn.XLOOKUP(ARTÍCULOS!C669,[1]CRITERIOS!$K$25:$K$42,[1]CRITERIOS!$M$25:$M$42))),0),ROUNDUP([1]CRITERIOS!$M$16/(IF(COUNTIF([1]CRITERIOS!$BG$11:$BG$201,L669)&gt;=1,_xlfn.XLOOKUP(ARTÍCULOS!L669,[1]CRITERIOS!$BG$11:$BG$201:#REF!,[1]CRITERIOS!$BJ$11:$BJ$201),_xlfn.XLOOKUP(ARTÍCULOS!C669,[1]CRITERIOS!$K$25:$K$42,[1]CRITERIOS!$M$25:$M$42))),0),(E669+V669-_xlfn.XLOOKUP(A669,'[1]DATOS PBI Artículos'!$A$4:$A$4,'[1]DATOS PBI Artículos'!$W$4:$W$4))/N669)</f>
        <v>#N/A</v>
      </c>
      <c r="AC669" s="33" t="e">
        <f>IF(N669=0,"",(ROUNDUP((N669/2)/(_xlfn.XLOOKUP(A669,'[1]DATOS PBI Artículos'!$A$4:$A$4,'[1]DATOS PBI Artículos'!$Z$4:$Z$4)*_xlfn.XLOOKUP(_xlfn.XLOOKUP(A669,'[1]DATOS PBI Artículos'!$A$4:$A$4,'[1]DATOS PBI Artículos'!$Y$4:$Y$4),[1]CRITERIOS!$P$79:$P$123,[1]CRITERIOS!$S$79:$S$123)),0)*[1]CRITERIOS!$M$80*([1]CRITERIOS!$M$110/[1]CRITERIOS!$M$86)+(_xlfn.XLOOKUP(A669,'[1]DATOS PBI Artículos'!$A$4:$A$4,'[1]DATOS PBI Artículos'!$AA$4:$AA$4)*([1]CRITERIOS!$M$95+[1]CRITERIOS!$M$98)))/N669)</f>
        <v>#N/A</v>
      </c>
      <c r="AD669" s="33" t="e">
        <f>IF(N669=0,"",(ROUNDUP((N669/2)/(_xlfn.XLOOKUP(A669,'[1]DATOS PBI Artículos'!$A$4:$A$4,'[1]DATOS PBI Artículos'!$Z$4:$Z$4)*_xlfn.XLOOKUP(_xlfn.XLOOKUP(A669,'[1]DATOS PBI Artículos'!$A$4:$A$4,'[1]DATOS PBI Artículos'!$Y$4:$Y$4),[1]CRITERIOS!$P$79:$P$123,[1]CRITERIOS!$S$79:$S$123)),0)*[1]CRITERIOS!$M$80*([1]CRITERIOS!$M$89*[1]CRITERIOS!$M$92)+((_xlfn.XLOOKUP(A669,'[1]DATOS PBI Artículos'!$A$4:$A$4,'[1]DATOS PBI Artículos'!$AA$4:$AA$4)/2)*([1]CRITERIOS!$M$95+[1]CRITERIOS!$M$98)))/N669)</f>
        <v>#N/A</v>
      </c>
      <c r="AE669" s="39" t="e">
        <f>IF($R669="MTO","",
IF($H669=0,ROUNDUP(((_xlfn.XLOOKUP($A669,'[1]DATOS PBI Artículos'!$A:$A,'[1]DATOS PBI Artículos'!$AL:$AL))/(_xlfn.XLOOKUP($AF$1,[1]CRITERIOS!$S$16:$S$39,[1]CRITERIOS!$Y$16:$Y$39))*$J669+$Z669)/$G669,0)*$G669,
((_xlfn.XLOOKUP($A669,'[1]DATOS PBI Artículos'!$A:$A,'[1]DATOS PBI Artículos'!$AL:$AL))/(_xlfn.XLOOKUP($AF$1,[1]CRITERIOS!$S$16:$S$39,[1]CRITERIOS!$Y$16:$Y$39))*$J669+$Z669)))</f>
        <v>#N/A</v>
      </c>
      <c r="AG669" s="39" t="e">
        <f>IF($R669="MTO","",
IF($H669=0,ROUNDUP(((_xlfn.XLOOKUP($A669,'[1]DATOS PBI Artículos'!$A:$A,'[1]DATOS PBI Artículos'!$AM:$AM))/(_xlfn.XLOOKUP($AH$1,[1]CRITERIOS!$S$16:$S$39,[1]CRITERIOS!$Y$16:$Y$39))*$J669+$Z669)/$G669,0)*$G669,
((_xlfn.XLOOKUP($A669,'[1]DATOS PBI Artículos'!$A:$A,'[1]DATOS PBI Artículos'!$AM:$AM))/(_xlfn.XLOOKUP($AH$1,[1]CRITERIOS!$S$16:$S$39,[1]CRITERIOS!$Y$16:$Y$39))*$J669+$Z669)))</f>
        <v>#N/A</v>
      </c>
      <c r="AI669" s="39" t="e">
        <f>IF($R669="MTO","",
IF($H669=0,ROUNDUP(((_xlfn.XLOOKUP($A669,'[1]DATOS PBI Artículos'!$A:$A,'[1]DATOS PBI Artículos'!$AN:$AN))/(_xlfn.XLOOKUP($AJ$1,[1]CRITERIOS!$S$16:$S$39,[1]CRITERIOS!$Y$16:$Y$39))*$J669+$Z669)/$G669,0)*$G669,
((_xlfn.XLOOKUP($A669,'[1]DATOS PBI Artículos'!$A:$A,'[1]DATOS PBI Artículos'!$AN:$AN))/(_xlfn.XLOOKUP($AJ$1,[1]CRITERIOS!$S$16:$S$39,[1]CRITERIOS!$Y$16:$Y$39))*$J669+$Z669)))</f>
        <v>#N/A</v>
      </c>
      <c r="AK669" s="39" t="e">
        <f>IF($R669="MTO","",
IF($H669=0,ROUNDUP(((_xlfn.XLOOKUP($A669,'[1]DATOS PBI Artículos'!$A:$A,'[1]DATOS PBI Artículos'!$AO:$AO))/(_xlfn.XLOOKUP($AL$1,[1]CRITERIOS!$S$16:$S$39,[1]CRITERIOS!$Y$16:$Y$39))*$J669+$Z669)/$G669,0)*$G669,
((_xlfn.XLOOKUP($A669,'[1]DATOS PBI Artículos'!$A:$A,'[1]DATOS PBI Artículos'!$AO:$AO))/(_xlfn.XLOOKUP($AL$1,[1]CRITERIOS!$S$16:$S$39,[1]CRITERIOS!$Y$16:$Y$39))*$J669+$Z669)))</f>
        <v>#N/A</v>
      </c>
    </row>
    <row r="670" spans="1:37" ht="25.8" hidden="1" x14ac:dyDescent="0.4">
      <c r="A670" s="41"/>
      <c r="B670" s="33">
        <f>_xlfn.XLOOKUP($A670,'[1]DATOS PBI Artículos'!A:A,'[1]DATOS PBI Artículos'!B:B)</f>
        <v>0</v>
      </c>
      <c r="C670" s="33">
        <f>_xlfn.XLOOKUP($A670,'[1]DATOS PBI Artículos'!A:A,'[1]DATOS PBI Artículos'!C:C)</f>
        <v>0</v>
      </c>
      <c r="D670" s="33">
        <f>_xlfn.XLOOKUP(A670,'[1]DATOS PBI Artículos'!A:A,'[1]DATOS PBI Artículos'!T:T)</f>
        <v>0</v>
      </c>
      <c r="E670" s="34">
        <f>IF(_xlfn.XLOOKUP($A670,'[1]DATOS PBI Artículos'!A:A,'[1]DATOS PBI Artículos'!AK:AK)="",_xlfn.XLOOKUP($A670,'[1]DATOS PBI Artículos'!A:A,'[1]DATOS PBI Artículos'!AJ:AJ),_xlfn.XLOOKUP($A670,'[1]DATOS PBI Artículos'!A:A,'[1]DATOS PBI Artículos'!AK:AK))</f>
        <v>0</v>
      </c>
      <c r="F670" s="35">
        <f>_xlfn.XLOOKUP($A670,'[1]DATOS PBI Artículos'!A:A,'[1]DATOS PBI Artículos'!AP:AP)</f>
        <v>0</v>
      </c>
      <c r="G670" s="34">
        <f>_xlfn.XLOOKUP($A670,'[1]DATOS PBI Artículos'!A:A,'[1]DATOS PBI Artículos'!AR:AR)</f>
        <v>0</v>
      </c>
      <c r="H670" s="34">
        <f>_xlfn.XLOOKUP($A670,'[1]DATOS PBI Artículos'!A:A,'[1]DATOS PBI Artículos'!AT:AT)</f>
        <v>0</v>
      </c>
      <c r="I670" s="34">
        <f>_xlfn.XLOOKUP($A670,'[1]DATOS PBI Artículos'!A:A,'[1]DATOS PBI Artículos'!AS:AS)</f>
        <v>0</v>
      </c>
      <c r="J670" s="35">
        <f>IF(COUNTIF([1]CRITERIOS!$F$179:$F$199,$A670)&gt;=1,
 IF(O670&lt;&gt;"",
    (O670/_xlfn.XLOOKUP(CONCATENATE(A670,L670),[1]MÁQUINAS!A:A,[1]MÁQUINAS!D:D))/24,
    (N670/_xlfn.XLOOKUP(CONCATENATE(A670,L670),[1]MÁQUINAS!A:A,[1]MÁQUINAS!D:D))/24),
  _xlfn.XLOOKUP($A670,'[1]DATOS PBI Artículos'!A:A,'[1]DATOS PBI Artículos'!AU:AU))</f>
        <v>0</v>
      </c>
      <c r="K670" s="36">
        <f>_xlfn.XLOOKUP($A670,'[1]DATOS PBI Artículos'!A:A,'[1]DATOS PBI Artículos'!AV:AV)</f>
        <v>0</v>
      </c>
      <c r="L670" s="33">
        <f>_xlfn.XLOOKUP(A670,[1]MÁQUINAS!B:B,[1]MÁQUINAS!C:C)</f>
        <v>0</v>
      </c>
      <c r="M670" s="34">
        <f t="array" ref="M670">_xlfn.XLOOKUP(A670,'[1]DATOS PBI Artículos'!A:A,'[1]DATOS PBI Artículos'!AX:$AX)</f>
        <v>0</v>
      </c>
      <c r="N670" s="37" t="e">
        <f>IF(I670="DV",
E670,
IF(COUNTIF([1]CRITERIOS!$I$179:$I$199,$A670)&gt;=1,
_xlfn.XLOOKUP($A670,[1]CRITERIOS!$I$179:$I$199,[1]CRITERIOS!$J$179:$J$199),
IF(COUNTIF([1]CRITERIOS!$L$179:$L$199,$A670)&gt;=1,
_xlfn.CEILING.MATH(IF($M670&gt;$E670,
$E670,
IF($M670&lt;$E670/ROUNDDOWN([1]CRITERIOS!$M$16/_xlfn.XLOOKUP($C670,[1]CRITERIOS!$K$25:$K$42,[1]CRITERIOS!$M$25:$M$42),
1),
E670/ROUNDDOWN([1]CRITERIOS!$M$16/_xlfn.XLOOKUP($C670,[1]CRITERIOS!$K$25:$K$42,[1]CRITERIOS!$M$25:$M$42),
1),
$M670)),
_xlfn.XLOOKUP($A670,[1]CRITERIOS!$L$179:$L$200,[1]CRITERIOS!$M$179:$M$200)),
_xlfn.CEILING.MATH(IF($M670&gt;$E670,
$E670,
IF($M670&lt;$E670/ROUNDDOWN([1]CRITERIOS!$M$16/_xlfn.XLOOKUP($C670,[1]CRITERIOS!$K$25:$K$42,[1]CRITERIOS!$M$25:$M$42),
1),
E670/ROUNDDOWN([1]CRITERIOS!$M$16/_xlfn.XLOOKUP($C670,[1]CRITERIOS!$K$25:$K$42,[1]CRITERIOS!$M$25:$M$42),
1),
$M670)),_xlfn.XLOOKUP(A670,'[1]DATOS PBI Artículos'!A:A,'[1]DATOS PBI Artículos'!Z:Z
)))))</f>
        <v>#N/A</v>
      </c>
      <c r="Q670" s="38" t="e">
        <f>IF(AND(O670="",N670=0),
0,
   IF(COUNTIF([1]CRITERIOS!$F$179:$F$199,$A670)&gt;=1,
   1,
   IF(R670="MTO",
      $D670,
      ROUNDUP(
                    IF(($E670-SUMIF('[1]DATOS PBI Artículos'!A:A,A670,'[1]DATOS PBI Artículos'!X:X)+($V670-_xlfn.XLOOKUP(A670,'[1]DATOS PBI Artículos'!A:A,'[1]DATOS PBI Artículos'!W:W)))&lt;0,
                    0,
                    IF(($E670-SUMIF('[1]DATOS PBI Artículos'!A:A,A670,'[1]DATOS PBI Artículos'!X:X)+$V670-_xlfn.XLOOKUP($A670,'[1]DATOS PBI Artículos'!A:A,'[1]DATOS PBI Artículos'!W:W))/IF($O670="",$N670,$O670)&gt;ROUNDUP([1]CRITERIOS!$M$16/(IF(COUNTIF([1]CRITERIOS!$BG$11:$BG$201,L670)&gt;=1,_xlfn.XLOOKUP($C670,[1]CRITERIOS!$K$25:$K$42,[1]CRITERIOS!$M$25:$M$42),_xlfn.XLOOKUP($C670,[1]CRITERIOS!$K$25:$K$42,[1]CRITERIOS!$M$25:$M$42))),0),
                    ROUNDUP([1]CRITERIOS!$M$16/(IF(COUNTIF([1]CRITERIOS!$BG$11:$BG$201,$L670)&gt;=1,_xlfn.XLOOKUP($C670,[1]CRITERIOS!$K$25:$K$42,[1]CRITERIOS!$M$25:$M$42),_xlfn.XLOOKUP($C670,[1]CRITERIOS!$K$25:$K$42,[1]CRITERIOS!$M$25:$M$42))),0),
                    (E670+V670-SUMIF('[1]DATOS PBI Artículos'!A:A,A670,'[1]DATOS PBI Artículos'!X:X)-_xlfn.XLOOKUP(A670,'[1]DATOS PBI Artículos'!A:A,'[1]DATOS PBI Artículos'!W:W))/IF($O670="",$N670,$O670))),0))))</f>
        <v>#N/A</v>
      </c>
      <c r="R670" s="33" t="e">
        <f>IF(U670&lt;&gt;"",U670,IF(F670="DV","MTO",IF(N670=0,"MTO",_xlfn.XLOOKUP(CONCATENATE(S670,T670),[1]CRITERIOS!$K$160:$K$168,[1]CRITERIOS!$N$160:$N$168))))</f>
        <v>#N/A</v>
      </c>
      <c r="S670" s="33" t="e">
        <f>IF(G670="DV","MTO",IF(N670=0,"MTO",IF(OR(AND(N670=0,O670=""),IF(O670="",G670/N670,G670/O670)&gt;[1]CRITERIOS!$G$163),"MTO",IF(IF(O670="",G670/N670,G670/O670)&lt;[1]CRITERIOS!$H$161,"MTS","MTOS"))))</f>
        <v>#N/A</v>
      </c>
      <c r="T670" s="33" t="e">
        <f>IF(F670="DV","MTO",IF(OR(AND($N670=0,O670=""),$F670/$J670&gt;[1]CRITERIOS!$G$170,$F670="DV"),"MTO",IF($F670/$J670&lt;[1]CRITERIOS!$H$168,"MTS","MTOS")))</f>
        <v>#N/A</v>
      </c>
      <c r="V670" s="34" t="e">
        <f t="shared" si="34"/>
        <v>#N/A</v>
      </c>
      <c r="X670" s="34" t="e">
        <f t="shared" si="32"/>
        <v>#N/A</v>
      </c>
      <c r="Y670" s="34" t="e">
        <f t="shared" si="33"/>
        <v>#N/A</v>
      </c>
      <c r="Z670" s="34" t="e">
        <f>IF($R670="MTO",
0,
($H670+$K670*($E670/[1]CRITERIOS!$M$16))/[1]CRITERIOS!$X$48)</f>
        <v>#N/A</v>
      </c>
      <c r="AA670" s="34" t="e">
        <f>ROUNDUP(($Y670/_xlfn.XLOOKUP($A670,'[1]DATOS PBI Artículos'!$A$4:$A$4,'[1]DATOS PBI Artículos'!$Z$4:$Z$4))/_xlfn.XLOOKUP(_xlfn.XLOOKUP($A670,'[1]DATOS PBI Artículos'!$A$4:$A$4,'[1]DATOS PBI Artículos'!$Y$4:$Y$4),[1]CRITERIOS!$P$79:$P$123,[1]CRITERIOS!$S$79:$S$123,),0)</f>
        <v>#N/A</v>
      </c>
      <c r="AB670" s="33" t="e">
        <f t="array" ref="AB670">IF((E670+V670-_xlfn.XLOOKUP(A670,'[1]DATOS PBI Artículos'!$A$4:$A$4,'[1]DATOS PBI Artículos'!$W$4:$W$4))/N670&gt;ROUNDUP([1]CRITERIOS!$M$16/(IF(COUNTIF([1]CRITERIOS!$BG$11:$BG$201,L670)&gt;=1,_xlfn.XLOOKUP(ARTÍCULOS!L670,[1]CRITERIOS!$BG$11:$BG$201,[1]CRITERIOS!$BJ$11:$BJ$201),_xlfn.XLOOKUP(ARTÍCULOS!C670,[1]CRITERIOS!$K$25:$K$42,[1]CRITERIOS!$M$25:$M$42))),0),ROUNDUP([1]CRITERIOS!$M$16/(IF(COUNTIF([1]CRITERIOS!$BG$11:$BG$201,L670)&gt;=1,_xlfn.XLOOKUP(ARTÍCULOS!L670,[1]CRITERIOS!$BG$11:$BG$201:#REF!,[1]CRITERIOS!$BJ$11:$BJ$201),_xlfn.XLOOKUP(ARTÍCULOS!C670,[1]CRITERIOS!$K$25:$K$42,[1]CRITERIOS!$M$25:$M$42))),0),(E670+V670-_xlfn.XLOOKUP(A670,'[1]DATOS PBI Artículos'!$A$4:$A$4,'[1]DATOS PBI Artículos'!$W$4:$W$4))/N670)</f>
        <v>#N/A</v>
      </c>
      <c r="AC670" s="33" t="e">
        <f>IF(N670=0,"",(ROUNDUP((N670/2)/(_xlfn.XLOOKUP(A670,'[1]DATOS PBI Artículos'!$A$4:$A$4,'[1]DATOS PBI Artículos'!$Z$4:$Z$4)*_xlfn.XLOOKUP(_xlfn.XLOOKUP(A670,'[1]DATOS PBI Artículos'!$A$4:$A$4,'[1]DATOS PBI Artículos'!$Y$4:$Y$4),[1]CRITERIOS!$P$79:$P$123,[1]CRITERIOS!$S$79:$S$123)),0)*[1]CRITERIOS!$M$80*([1]CRITERIOS!$M$110/[1]CRITERIOS!$M$86)+(_xlfn.XLOOKUP(A670,'[1]DATOS PBI Artículos'!$A$4:$A$4,'[1]DATOS PBI Artículos'!$AA$4:$AA$4)*([1]CRITERIOS!$M$95+[1]CRITERIOS!$M$98)))/N670)</f>
        <v>#N/A</v>
      </c>
      <c r="AD670" s="33" t="e">
        <f>IF(N670=0,"",(ROUNDUP((N670/2)/(_xlfn.XLOOKUP(A670,'[1]DATOS PBI Artículos'!$A$4:$A$4,'[1]DATOS PBI Artículos'!$Z$4:$Z$4)*_xlfn.XLOOKUP(_xlfn.XLOOKUP(A670,'[1]DATOS PBI Artículos'!$A$4:$A$4,'[1]DATOS PBI Artículos'!$Y$4:$Y$4),[1]CRITERIOS!$P$79:$P$123,[1]CRITERIOS!$S$79:$S$123)),0)*[1]CRITERIOS!$M$80*([1]CRITERIOS!$M$89*[1]CRITERIOS!$M$92)+((_xlfn.XLOOKUP(A670,'[1]DATOS PBI Artículos'!$A$4:$A$4,'[1]DATOS PBI Artículos'!$AA$4:$AA$4)/2)*([1]CRITERIOS!$M$95+[1]CRITERIOS!$M$98)))/N670)</f>
        <v>#N/A</v>
      </c>
      <c r="AE670" s="39" t="e">
        <f>IF($R670="MTO","",
IF($H670=0,ROUNDUP(((_xlfn.XLOOKUP($A670,'[1]DATOS PBI Artículos'!$A:$A,'[1]DATOS PBI Artículos'!$AL:$AL))/(_xlfn.XLOOKUP($AF$1,[1]CRITERIOS!$S$16:$S$39,[1]CRITERIOS!$Y$16:$Y$39))*$J670+$Z670)/$G670,0)*$G670,
((_xlfn.XLOOKUP($A670,'[1]DATOS PBI Artículos'!$A:$A,'[1]DATOS PBI Artículos'!$AL:$AL))/(_xlfn.XLOOKUP($AF$1,[1]CRITERIOS!$S$16:$S$39,[1]CRITERIOS!$Y$16:$Y$39))*$J670+$Z670)))</f>
        <v>#N/A</v>
      </c>
      <c r="AG670" s="39" t="e">
        <f>IF($R670="MTO","",
IF($H670=0,ROUNDUP(((_xlfn.XLOOKUP($A670,'[1]DATOS PBI Artículos'!$A:$A,'[1]DATOS PBI Artículos'!$AM:$AM))/(_xlfn.XLOOKUP($AH$1,[1]CRITERIOS!$S$16:$S$39,[1]CRITERIOS!$Y$16:$Y$39))*$J670+$Z670)/$G670,0)*$G670,
((_xlfn.XLOOKUP($A670,'[1]DATOS PBI Artículos'!$A:$A,'[1]DATOS PBI Artículos'!$AM:$AM))/(_xlfn.XLOOKUP($AH$1,[1]CRITERIOS!$S$16:$S$39,[1]CRITERIOS!$Y$16:$Y$39))*$J670+$Z670)))</f>
        <v>#N/A</v>
      </c>
      <c r="AI670" s="39" t="e">
        <f>IF($R670="MTO","",
IF($H670=0,ROUNDUP(((_xlfn.XLOOKUP($A670,'[1]DATOS PBI Artículos'!$A:$A,'[1]DATOS PBI Artículos'!$AN:$AN))/(_xlfn.XLOOKUP($AJ$1,[1]CRITERIOS!$S$16:$S$39,[1]CRITERIOS!$Y$16:$Y$39))*$J670+$Z670)/$G670,0)*$G670,
((_xlfn.XLOOKUP($A670,'[1]DATOS PBI Artículos'!$A:$A,'[1]DATOS PBI Artículos'!$AN:$AN))/(_xlfn.XLOOKUP($AJ$1,[1]CRITERIOS!$S$16:$S$39,[1]CRITERIOS!$Y$16:$Y$39))*$J670+$Z670)))</f>
        <v>#N/A</v>
      </c>
      <c r="AK670" s="39" t="e">
        <f>IF($R670="MTO","",
IF($H670=0,ROUNDUP(((_xlfn.XLOOKUP($A670,'[1]DATOS PBI Artículos'!$A:$A,'[1]DATOS PBI Artículos'!$AO:$AO))/(_xlfn.XLOOKUP($AL$1,[1]CRITERIOS!$S$16:$S$39,[1]CRITERIOS!$Y$16:$Y$39))*$J670+$Z670)/$G670,0)*$G670,
((_xlfn.XLOOKUP($A670,'[1]DATOS PBI Artículos'!$A:$A,'[1]DATOS PBI Artículos'!$AO:$AO))/(_xlfn.XLOOKUP($AL$1,[1]CRITERIOS!$S$16:$S$39,[1]CRITERIOS!$Y$16:$Y$39))*$J670+$Z670)))</f>
        <v>#N/A</v>
      </c>
    </row>
    <row r="671" spans="1:37" ht="25.8" hidden="1" x14ac:dyDescent="0.4">
      <c r="A671" s="41"/>
      <c r="B671" s="33">
        <f>_xlfn.XLOOKUP($A671,'[1]DATOS PBI Artículos'!A:A,'[1]DATOS PBI Artículos'!B:B)</f>
        <v>0</v>
      </c>
      <c r="C671" s="33">
        <f>_xlfn.XLOOKUP($A671,'[1]DATOS PBI Artículos'!A:A,'[1]DATOS PBI Artículos'!C:C)</f>
        <v>0</v>
      </c>
      <c r="D671" s="33">
        <f>_xlfn.XLOOKUP(A671,'[1]DATOS PBI Artículos'!A:A,'[1]DATOS PBI Artículos'!T:T)</f>
        <v>0</v>
      </c>
      <c r="E671" s="34">
        <f>IF(_xlfn.XLOOKUP($A671,'[1]DATOS PBI Artículos'!A:A,'[1]DATOS PBI Artículos'!AK:AK)="",_xlfn.XLOOKUP($A671,'[1]DATOS PBI Artículos'!A:A,'[1]DATOS PBI Artículos'!AJ:AJ),_xlfn.XLOOKUP($A671,'[1]DATOS PBI Artículos'!A:A,'[1]DATOS PBI Artículos'!AK:AK))</f>
        <v>0</v>
      </c>
      <c r="F671" s="35">
        <f>_xlfn.XLOOKUP($A671,'[1]DATOS PBI Artículos'!A:A,'[1]DATOS PBI Artículos'!AP:AP)</f>
        <v>0</v>
      </c>
      <c r="G671" s="34">
        <f>_xlfn.XLOOKUP($A671,'[1]DATOS PBI Artículos'!A:A,'[1]DATOS PBI Artículos'!AR:AR)</f>
        <v>0</v>
      </c>
      <c r="H671" s="34">
        <f>_xlfn.XLOOKUP($A671,'[1]DATOS PBI Artículos'!A:A,'[1]DATOS PBI Artículos'!AT:AT)</f>
        <v>0</v>
      </c>
      <c r="I671" s="34">
        <f>_xlfn.XLOOKUP($A671,'[1]DATOS PBI Artículos'!A:A,'[1]DATOS PBI Artículos'!AS:AS)</f>
        <v>0</v>
      </c>
      <c r="J671" s="35">
        <f>IF(COUNTIF([1]CRITERIOS!$F$179:$F$199,$A671)&gt;=1,
 IF(O671&lt;&gt;"",
    (O671/_xlfn.XLOOKUP(CONCATENATE(A671,L671),[1]MÁQUINAS!A:A,[1]MÁQUINAS!D:D))/24,
    (N671/_xlfn.XLOOKUP(CONCATENATE(A671,L671),[1]MÁQUINAS!A:A,[1]MÁQUINAS!D:D))/24),
  _xlfn.XLOOKUP($A671,'[1]DATOS PBI Artículos'!A:A,'[1]DATOS PBI Artículos'!AU:AU))</f>
        <v>0</v>
      </c>
      <c r="K671" s="36">
        <f>_xlfn.XLOOKUP($A671,'[1]DATOS PBI Artículos'!A:A,'[1]DATOS PBI Artículos'!AV:AV)</f>
        <v>0</v>
      </c>
      <c r="L671" s="33">
        <f>_xlfn.XLOOKUP(A671,[1]MÁQUINAS!B:B,[1]MÁQUINAS!C:C)</f>
        <v>0</v>
      </c>
      <c r="M671" s="34">
        <f t="array" ref="M671">_xlfn.XLOOKUP(A671,'[1]DATOS PBI Artículos'!A:A,'[1]DATOS PBI Artículos'!AX:$AX)</f>
        <v>0</v>
      </c>
      <c r="N671" s="37" t="e">
        <f>IF(I671="DV",
E671,
IF(COUNTIF([1]CRITERIOS!$I$179:$I$199,$A671)&gt;=1,
_xlfn.XLOOKUP($A671,[1]CRITERIOS!$I$179:$I$199,[1]CRITERIOS!$J$179:$J$199),
IF(COUNTIF([1]CRITERIOS!$L$179:$L$199,$A671)&gt;=1,
_xlfn.CEILING.MATH(IF($M671&gt;$E671,
$E671,
IF($M671&lt;$E671/ROUNDDOWN([1]CRITERIOS!$M$16/_xlfn.XLOOKUP($C671,[1]CRITERIOS!$K$25:$K$42,[1]CRITERIOS!$M$25:$M$42),
1),
E671/ROUNDDOWN([1]CRITERIOS!$M$16/_xlfn.XLOOKUP($C671,[1]CRITERIOS!$K$25:$K$42,[1]CRITERIOS!$M$25:$M$42),
1),
$M671)),
_xlfn.XLOOKUP($A671,[1]CRITERIOS!$L$179:$L$200,[1]CRITERIOS!$M$179:$M$200)),
_xlfn.CEILING.MATH(IF($M671&gt;$E671,
$E671,
IF($M671&lt;$E671/ROUNDDOWN([1]CRITERIOS!$M$16/_xlfn.XLOOKUP($C671,[1]CRITERIOS!$K$25:$K$42,[1]CRITERIOS!$M$25:$M$42),
1),
E671/ROUNDDOWN([1]CRITERIOS!$M$16/_xlfn.XLOOKUP($C671,[1]CRITERIOS!$K$25:$K$42,[1]CRITERIOS!$M$25:$M$42),
1),
$M671)),_xlfn.XLOOKUP(A671,'[1]DATOS PBI Artículos'!A:A,'[1]DATOS PBI Artículos'!Z:Z
)))))</f>
        <v>#N/A</v>
      </c>
      <c r="Q671" s="38" t="e">
        <f>IF(AND(O671="",N671=0),
0,
   IF(COUNTIF([1]CRITERIOS!$F$179:$F$199,$A671)&gt;=1,
   1,
   IF(R671="MTO",
      $D671,
      ROUNDUP(
                    IF(($E671-SUMIF('[1]DATOS PBI Artículos'!A:A,A671,'[1]DATOS PBI Artículos'!X:X)+($V671-_xlfn.XLOOKUP(A671,'[1]DATOS PBI Artículos'!A:A,'[1]DATOS PBI Artículos'!W:W)))&lt;0,
                    0,
                    IF(($E671-SUMIF('[1]DATOS PBI Artículos'!A:A,A671,'[1]DATOS PBI Artículos'!X:X)+$V671-_xlfn.XLOOKUP($A671,'[1]DATOS PBI Artículos'!A:A,'[1]DATOS PBI Artículos'!W:W))/IF($O671="",$N671,$O671)&gt;ROUNDUP([1]CRITERIOS!$M$16/(IF(COUNTIF([1]CRITERIOS!$BG$11:$BG$201,L671)&gt;=1,_xlfn.XLOOKUP($C671,[1]CRITERIOS!$K$25:$K$42,[1]CRITERIOS!$M$25:$M$42),_xlfn.XLOOKUP($C671,[1]CRITERIOS!$K$25:$K$42,[1]CRITERIOS!$M$25:$M$42))),0),
                    ROUNDUP([1]CRITERIOS!$M$16/(IF(COUNTIF([1]CRITERIOS!$BG$11:$BG$201,$L671)&gt;=1,_xlfn.XLOOKUP($C671,[1]CRITERIOS!$K$25:$K$42,[1]CRITERIOS!$M$25:$M$42),_xlfn.XLOOKUP($C671,[1]CRITERIOS!$K$25:$K$42,[1]CRITERIOS!$M$25:$M$42))),0),
                    (E671+V671-SUMIF('[1]DATOS PBI Artículos'!A:A,A671,'[1]DATOS PBI Artículos'!X:X)-_xlfn.XLOOKUP(A671,'[1]DATOS PBI Artículos'!A:A,'[1]DATOS PBI Artículos'!W:W))/IF($O671="",$N671,$O671))),0))))</f>
        <v>#N/A</v>
      </c>
      <c r="R671" s="33" t="e">
        <f>IF(U671&lt;&gt;"",U671,IF(F671="DV","MTO",IF(N671=0,"MTO",_xlfn.XLOOKUP(CONCATENATE(S671,T671),[1]CRITERIOS!$K$160:$K$168,[1]CRITERIOS!$N$160:$N$168))))</f>
        <v>#N/A</v>
      </c>
      <c r="S671" s="33" t="e">
        <f>IF(G671="DV","MTO",IF(N671=0,"MTO",IF(OR(AND(N671=0,O671=""),IF(O671="",G671/N671,G671/O671)&gt;[1]CRITERIOS!$G$163),"MTO",IF(IF(O671="",G671/N671,G671/O671)&lt;[1]CRITERIOS!$H$161,"MTS","MTOS"))))</f>
        <v>#N/A</v>
      </c>
      <c r="T671" s="33" t="e">
        <f>IF(F671="DV","MTO",IF(OR(AND($N671=0,O671=""),$F671/$J671&gt;[1]CRITERIOS!$G$170,$F671="DV"),"MTO",IF($F671/$J671&lt;[1]CRITERIOS!$H$168,"MTS","MTOS")))</f>
        <v>#N/A</v>
      </c>
      <c r="V671" s="34" t="e">
        <f t="shared" si="34"/>
        <v>#N/A</v>
      </c>
      <c r="X671" s="34" t="e">
        <f t="shared" si="32"/>
        <v>#N/A</v>
      </c>
      <c r="Y671" s="34" t="e">
        <f t="shared" si="33"/>
        <v>#N/A</v>
      </c>
      <c r="Z671" s="34" t="e">
        <f>IF($R671="MTO",
0,
($H671+$K671*($E671/[1]CRITERIOS!$M$16))/[1]CRITERIOS!$X$48)</f>
        <v>#N/A</v>
      </c>
      <c r="AA671" s="34" t="e">
        <f>ROUNDUP(($Y671/_xlfn.XLOOKUP($A671,'[1]DATOS PBI Artículos'!$A$4:$A$4,'[1]DATOS PBI Artículos'!$Z$4:$Z$4))/_xlfn.XLOOKUP(_xlfn.XLOOKUP($A671,'[1]DATOS PBI Artículos'!$A$4:$A$4,'[1]DATOS PBI Artículos'!$Y$4:$Y$4),[1]CRITERIOS!$P$79:$P$123,[1]CRITERIOS!$S$79:$S$123,),0)</f>
        <v>#N/A</v>
      </c>
      <c r="AB671" s="33" t="e">
        <f t="array" ref="AB671">IF((E671+V671-_xlfn.XLOOKUP(A671,'[1]DATOS PBI Artículos'!$A$4:$A$4,'[1]DATOS PBI Artículos'!$W$4:$W$4))/N671&gt;ROUNDUP([1]CRITERIOS!$M$16/(IF(COUNTIF([1]CRITERIOS!$BG$11:$BG$201,L671)&gt;=1,_xlfn.XLOOKUP(ARTÍCULOS!L671,[1]CRITERIOS!$BG$11:$BG$201,[1]CRITERIOS!$BJ$11:$BJ$201),_xlfn.XLOOKUP(ARTÍCULOS!C671,[1]CRITERIOS!$K$25:$K$42,[1]CRITERIOS!$M$25:$M$42))),0),ROUNDUP([1]CRITERIOS!$M$16/(IF(COUNTIF([1]CRITERIOS!$BG$11:$BG$201,L671)&gt;=1,_xlfn.XLOOKUP(ARTÍCULOS!L671,[1]CRITERIOS!$BG$11:$BG$201:#REF!,[1]CRITERIOS!$BJ$11:$BJ$201),_xlfn.XLOOKUP(ARTÍCULOS!C671,[1]CRITERIOS!$K$25:$K$42,[1]CRITERIOS!$M$25:$M$42))),0),(E671+V671-_xlfn.XLOOKUP(A671,'[1]DATOS PBI Artículos'!$A$4:$A$4,'[1]DATOS PBI Artículos'!$W$4:$W$4))/N671)</f>
        <v>#N/A</v>
      </c>
      <c r="AC671" s="33" t="e">
        <f>IF(N671=0,"",(ROUNDUP((N671/2)/(_xlfn.XLOOKUP(A671,'[1]DATOS PBI Artículos'!$A$4:$A$4,'[1]DATOS PBI Artículos'!$Z$4:$Z$4)*_xlfn.XLOOKUP(_xlfn.XLOOKUP(A671,'[1]DATOS PBI Artículos'!$A$4:$A$4,'[1]DATOS PBI Artículos'!$Y$4:$Y$4),[1]CRITERIOS!$P$79:$P$123,[1]CRITERIOS!$S$79:$S$123)),0)*[1]CRITERIOS!$M$80*([1]CRITERIOS!$M$110/[1]CRITERIOS!$M$86)+(_xlfn.XLOOKUP(A671,'[1]DATOS PBI Artículos'!$A$4:$A$4,'[1]DATOS PBI Artículos'!$AA$4:$AA$4)*([1]CRITERIOS!$M$95+[1]CRITERIOS!$M$98)))/N671)</f>
        <v>#N/A</v>
      </c>
      <c r="AD671" s="33" t="e">
        <f>IF(N671=0,"",(ROUNDUP((N671/2)/(_xlfn.XLOOKUP(A671,'[1]DATOS PBI Artículos'!$A$4:$A$4,'[1]DATOS PBI Artículos'!$Z$4:$Z$4)*_xlfn.XLOOKUP(_xlfn.XLOOKUP(A671,'[1]DATOS PBI Artículos'!$A$4:$A$4,'[1]DATOS PBI Artículos'!$Y$4:$Y$4),[1]CRITERIOS!$P$79:$P$123,[1]CRITERIOS!$S$79:$S$123)),0)*[1]CRITERIOS!$M$80*([1]CRITERIOS!$M$89*[1]CRITERIOS!$M$92)+((_xlfn.XLOOKUP(A671,'[1]DATOS PBI Artículos'!$A$4:$A$4,'[1]DATOS PBI Artículos'!$AA$4:$AA$4)/2)*([1]CRITERIOS!$M$95+[1]CRITERIOS!$M$98)))/N671)</f>
        <v>#N/A</v>
      </c>
      <c r="AE671" s="39" t="e">
        <f>IF($R671="MTO","",
IF($H671=0,ROUNDUP(((_xlfn.XLOOKUP($A671,'[1]DATOS PBI Artículos'!$A:$A,'[1]DATOS PBI Artículos'!$AL:$AL))/(_xlfn.XLOOKUP($AF$1,[1]CRITERIOS!$S$16:$S$39,[1]CRITERIOS!$Y$16:$Y$39))*$J671+$Z671)/$G671,0)*$G671,
((_xlfn.XLOOKUP($A671,'[1]DATOS PBI Artículos'!$A:$A,'[1]DATOS PBI Artículos'!$AL:$AL))/(_xlfn.XLOOKUP($AF$1,[1]CRITERIOS!$S$16:$S$39,[1]CRITERIOS!$Y$16:$Y$39))*$J671+$Z671)))</f>
        <v>#N/A</v>
      </c>
      <c r="AG671" s="39" t="e">
        <f>IF($R671="MTO","",
IF($H671=0,ROUNDUP(((_xlfn.XLOOKUP($A671,'[1]DATOS PBI Artículos'!$A:$A,'[1]DATOS PBI Artículos'!$AM:$AM))/(_xlfn.XLOOKUP($AH$1,[1]CRITERIOS!$S$16:$S$39,[1]CRITERIOS!$Y$16:$Y$39))*$J671+$Z671)/$G671,0)*$G671,
((_xlfn.XLOOKUP($A671,'[1]DATOS PBI Artículos'!$A:$A,'[1]DATOS PBI Artículos'!$AM:$AM))/(_xlfn.XLOOKUP($AH$1,[1]CRITERIOS!$S$16:$S$39,[1]CRITERIOS!$Y$16:$Y$39))*$J671+$Z671)))</f>
        <v>#N/A</v>
      </c>
      <c r="AI671" s="39" t="e">
        <f>IF($R671="MTO","",
IF($H671=0,ROUNDUP(((_xlfn.XLOOKUP($A671,'[1]DATOS PBI Artículos'!$A:$A,'[1]DATOS PBI Artículos'!$AN:$AN))/(_xlfn.XLOOKUP($AJ$1,[1]CRITERIOS!$S$16:$S$39,[1]CRITERIOS!$Y$16:$Y$39))*$J671+$Z671)/$G671,0)*$G671,
((_xlfn.XLOOKUP($A671,'[1]DATOS PBI Artículos'!$A:$A,'[1]DATOS PBI Artículos'!$AN:$AN))/(_xlfn.XLOOKUP($AJ$1,[1]CRITERIOS!$S$16:$S$39,[1]CRITERIOS!$Y$16:$Y$39))*$J671+$Z671)))</f>
        <v>#N/A</v>
      </c>
      <c r="AK671" s="39" t="e">
        <f>IF($R671="MTO","",
IF($H671=0,ROUNDUP(((_xlfn.XLOOKUP($A671,'[1]DATOS PBI Artículos'!$A:$A,'[1]DATOS PBI Artículos'!$AO:$AO))/(_xlfn.XLOOKUP($AL$1,[1]CRITERIOS!$S$16:$S$39,[1]CRITERIOS!$Y$16:$Y$39))*$J671+$Z671)/$G671,0)*$G671,
((_xlfn.XLOOKUP($A671,'[1]DATOS PBI Artículos'!$A:$A,'[1]DATOS PBI Artículos'!$AO:$AO))/(_xlfn.XLOOKUP($AL$1,[1]CRITERIOS!$S$16:$S$39,[1]CRITERIOS!$Y$16:$Y$39))*$J671+$Z671)))</f>
        <v>#N/A</v>
      </c>
    </row>
    <row r="672" spans="1:37" ht="25.8" hidden="1" x14ac:dyDescent="0.4">
      <c r="A672" s="41"/>
      <c r="B672" s="33">
        <f>_xlfn.XLOOKUP($A672,'[1]DATOS PBI Artículos'!A:A,'[1]DATOS PBI Artículos'!B:B)</f>
        <v>0</v>
      </c>
      <c r="C672" s="33">
        <f>_xlfn.XLOOKUP($A672,'[1]DATOS PBI Artículos'!A:A,'[1]DATOS PBI Artículos'!C:C)</f>
        <v>0</v>
      </c>
      <c r="D672" s="33">
        <f>_xlfn.XLOOKUP(A672,'[1]DATOS PBI Artículos'!A:A,'[1]DATOS PBI Artículos'!T:T)</f>
        <v>0</v>
      </c>
      <c r="E672" s="34">
        <f>IF(_xlfn.XLOOKUP($A672,'[1]DATOS PBI Artículos'!A:A,'[1]DATOS PBI Artículos'!AK:AK)="",_xlfn.XLOOKUP($A672,'[1]DATOS PBI Artículos'!A:A,'[1]DATOS PBI Artículos'!AJ:AJ),_xlfn.XLOOKUP($A672,'[1]DATOS PBI Artículos'!A:A,'[1]DATOS PBI Artículos'!AK:AK))</f>
        <v>0</v>
      </c>
      <c r="F672" s="35">
        <f>_xlfn.XLOOKUP($A672,'[1]DATOS PBI Artículos'!A:A,'[1]DATOS PBI Artículos'!AP:AP)</f>
        <v>0</v>
      </c>
      <c r="G672" s="34">
        <f>_xlfn.XLOOKUP($A672,'[1]DATOS PBI Artículos'!A:A,'[1]DATOS PBI Artículos'!AR:AR)</f>
        <v>0</v>
      </c>
      <c r="H672" s="34">
        <f>_xlfn.XLOOKUP($A672,'[1]DATOS PBI Artículos'!A:A,'[1]DATOS PBI Artículos'!AT:AT)</f>
        <v>0</v>
      </c>
      <c r="I672" s="34">
        <f>_xlfn.XLOOKUP($A672,'[1]DATOS PBI Artículos'!A:A,'[1]DATOS PBI Artículos'!AS:AS)</f>
        <v>0</v>
      </c>
      <c r="J672" s="35">
        <f>IF(COUNTIF([1]CRITERIOS!$F$179:$F$199,$A672)&gt;=1,
 IF(O672&lt;&gt;"",
    (O672/_xlfn.XLOOKUP(CONCATENATE(A672,L672),[1]MÁQUINAS!A:A,[1]MÁQUINAS!D:D))/24,
    (N672/_xlfn.XLOOKUP(CONCATENATE(A672,L672),[1]MÁQUINAS!A:A,[1]MÁQUINAS!D:D))/24),
  _xlfn.XLOOKUP($A672,'[1]DATOS PBI Artículos'!A:A,'[1]DATOS PBI Artículos'!AU:AU))</f>
        <v>0</v>
      </c>
      <c r="K672" s="36">
        <f>_xlfn.XLOOKUP($A672,'[1]DATOS PBI Artículos'!A:A,'[1]DATOS PBI Artículos'!AV:AV)</f>
        <v>0</v>
      </c>
      <c r="L672" s="33">
        <f>_xlfn.XLOOKUP(A672,[1]MÁQUINAS!B:B,[1]MÁQUINAS!C:C)</f>
        <v>0</v>
      </c>
      <c r="M672" s="34">
        <f t="array" ref="M672">_xlfn.XLOOKUP(A672,'[1]DATOS PBI Artículos'!A:A,'[1]DATOS PBI Artículos'!AX:$AX)</f>
        <v>0</v>
      </c>
      <c r="N672" s="37" t="e">
        <f>IF(I672="DV",
E672,
IF(COUNTIF([1]CRITERIOS!$I$179:$I$199,$A672)&gt;=1,
_xlfn.XLOOKUP($A672,[1]CRITERIOS!$I$179:$I$199,[1]CRITERIOS!$J$179:$J$199),
IF(COUNTIF([1]CRITERIOS!$L$179:$L$199,$A672)&gt;=1,
_xlfn.CEILING.MATH(IF($M672&gt;$E672,
$E672,
IF($M672&lt;$E672/ROUNDDOWN([1]CRITERIOS!$M$16/_xlfn.XLOOKUP($C672,[1]CRITERIOS!$K$25:$K$42,[1]CRITERIOS!$M$25:$M$42),
1),
E672/ROUNDDOWN([1]CRITERIOS!$M$16/_xlfn.XLOOKUP($C672,[1]CRITERIOS!$K$25:$K$42,[1]CRITERIOS!$M$25:$M$42),
1),
$M672)),
_xlfn.XLOOKUP($A672,[1]CRITERIOS!$L$179:$L$200,[1]CRITERIOS!$M$179:$M$200)),
_xlfn.CEILING.MATH(IF($M672&gt;$E672,
$E672,
IF($M672&lt;$E672/ROUNDDOWN([1]CRITERIOS!$M$16/_xlfn.XLOOKUP($C672,[1]CRITERIOS!$K$25:$K$42,[1]CRITERIOS!$M$25:$M$42),
1),
E672/ROUNDDOWN([1]CRITERIOS!$M$16/_xlfn.XLOOKUP($C672,[1]CRITERIOS!$K$25:$K$42,[1]CRITERIOS!$M$25:$M$42),
1),
$M672)),_xlfn.XLOOKUP(A672,'[1]DATOS PBI Artículos'!A:A,'[1]DATOS PBI Artículos'!Z:Z
)))))</f>
        <v>#N/A</v>
      </c>
      <c r="Q672" s="38" t="e">
        <f>IF(AND(O672="",N672=0),
0,
   IF(COUNTIF([1]CRITERIOS!$F$179:$F$199,$A672)&gt;=1,
   1,
   IF(R672="MTO",
      $D672,
      ROUNDUP(
                    IF(($E672-SUMIF('[1]DATOS PBI Artículos'!A:A,A672,'[1]DATOS PBI Artículos'!X:X)+($V672-_xlfn.XLOOKUP(A672,'[1]DATOS PBI Artículos'!A:A,'[1]DATOS PBI Artículos'!W:W)))&lt;0,
                    0,
                    IF(($E672-SUMIF('[1]DATOS PBI Artículos'!A:A,A672,'[1]DATOS PBI Artículos'!X:X)+$V672-_xlfn.XLOOKUP($A672,'[1]DATOS PBI Artículos'!A:A,'[1]DATOS PBI Artículos'!W:W))/IF($O672="",$N672,$O672)&gt;ROUNDUP([1]CRITERIOS!$M$16/(IF(COUNTIF([1]CRITERIOS!$BG$11:$BG$201,L672)&gt;=1,_xlfn.XLOOKUP($C672,[1]CRITERIOS!$K$25:$K$42,[1]CRITERIOS!$M$25:$M$42),_xlfn.XLOOKUP($C672,[1]CRITERIOS!$K$25:$K$42,[1]CRITERIOS!$M$25:$M$42))),0),
                    ROUNDUP([1]CRITERIOS!$M$16/(IF(COUNTIF([1]CRITERIOS!$BG$11:$BG$201,$L672)&gt;=1,_xlfn.XLOOKUP($C672,[1]CRITERIOS!$K$25:$K$42,[1]CRITERIOS!$M$25:$M$42),_xlfn.XLOOKUP($C672,[1]CRITERIOS!$K$25:$K$42,[1]CRITERIOS!$M$25:$M$42))),0),
                    (E672+V672-SUMIF('[1]DATOS PBI Artículos'!A:A,A672,'[1]DATOS PBI Artículos'!X:X)-_xlfn.XLOOKUP(A672,'[1]DATOS PBI Artículos'!A:A,'[1]DATOS PBI Artículos'!W:W))/IF($O672="",$N672,$O672))),0))))</f>
        <v>#N/A</v>
      </c>
      <c r="R672" s="33" t="e">
        <f>IF(U672&lt;&gt;"",U672,IF(F672="DV","MTO",IF(N672=0,"MTO",_xlfn.XLOOKUP(CONCATENATE(S672,T672),[1]CRITERIOS!$K$160:$K$168,[1]CRITERIOS!$N$160:$N$168))))</f>
        <v>#N/A</v>
      </c>
      <c r="S672" s="33" t="e">
        <f>IF(G672="DV","MTO",IF(N672=0,"MTO",IF(OR(AND(N672=0,O672=""),IF(O672="",G672/N672,G672/O672)&gt;[1]CRITERIOS!$G$163),"MTO",IF(IF(O672="",G672/N672,G672/O672)&lt;[1]CRITERIOS!$H$161,"MTS","MTOS"))))</f>
        <v>#N/A</v>
      </c>
      <c r="T672" s="33" t="e">
        <f>IF(F672="DV","MTO",IF(OR(AND($N672=0,O672=""),$F672/$J672&gt;[1]CRITERIOS!$G$170,$F672="DV"),"MTO",IF($F672/$J672&lt;[1]CRITERIOS!$H$168,"MTS","MTOS")))</f>
        <v>#N/A</v>
      </c>
      <c r="V672" s="34" t="e">
        <f t="shared" si="34"/>
        <v>#N/A</v>
      </c>
      <c r="X672" s="34" t="e">
        <f t="shared" si="32"/>
        <v>#N/A</v>
      </c>
      <c r="Y672" s="34" t="e">
        <f t="shared" si="33"/>
        <v>#N/A</v>
      </c>
      <c r="Z672" s="34" t="e">
        <f>IF($R672="MTO",
0,
($H672+$K672*($E672/[1]CRITERIOS!$M$16))/[1]CRITERIOS!$X$48)</f>
        <v>#N/A</v>
      </c>
      <c r="AA672" s="34" t="e">
        <f>ROUNDUP(($Y672/_xlfn.XLOOKUP($A672,'[1]DATOS PBI Artículos'!$A$4:$A$4,'[1]DATOS PBI Artículos'!$Z$4:$Z$4))/_xlfn.XLOOKUP(_xlfn.XLOOKUP($A672,'[1]DATOS PBI Artículos'!$A$4:$A$4,'[1]DATOS PBI Artículos'!$Y$4:$Y$4),[1]CRITERIOS!$P$79:$P$123,[1]CRITERIOS!$S$79:$S$123,),0)</f>
        <v>#N/A</v>
      </c>
      <c r="AB672" s="33" t="e">
        <f t="array" ref="AB672">IF((E672+V672-_xlfn.XLOOKUP(A672,'[1]DATOS PBI Artículos'!$A$4:$A$4,'[1]DATOS PBI Artículos'!$W$4:$W$4))/N672&gt;ROUNDUP([1]CRITERIOS!$M$16/(IF(COUNTIF([1]CRITERIOS!$BG$11:$BG$201,L672)&gt;=1,_xlfn.XLOOKUP(ARTÍCULOS!L672,[1]CRITERIOS!$BG$11:$BG$201,[1]CRITERIOS!$BJ$11:$BJ$201),_xlfn.XLOOKUP(ARTÍCULOS!C672,[1]CRITERIOS!$K$25:$K$42,[1]CRITERIOS!$M$25:$M$42))),0),ROUNDUP([1]CRITERIOS!$M$16/(IF(COUNTIF([1]CRITERIOS!$BG$11:$BG$201,L672)&gt;=1,_xlfn.XLOOKUP(ARTÍCULOS!L672,[1]CRITERIOS!$BG$11:$BG$201:#REF!,[1]CRITERIOS!$BJ$11:$BJ$201),_xlfn.XLOOKUP(ARTÍCULOS!C672,[1]CRITERIOS!$K$25:$K$42,[1]CRITERIOS!$M$25:$M$42))),0),(E672+V672-_xlfn.XLOOKUP(A672,'[1]DATOS PBI Artículos'!$A$4:$A$4,'[1]DATOS PBI Artículos'!$W$4:$W$4))/N672)</f>
        <v>#N/A</v>
      </c>
      <c r="AC672" s="33" t="e">
        <f>IF(N672=0,"",(ROUNDUP((N672/2)/(_xlfn.XLOOKUP(A672,'[1]DATOS PBI Artículos'!$A$4:$A$4,'[1]DATOS PBI Artículos'!$Z$4:$Z$4)*_xlfn.XLOOKUP(_xlfn.XLOOKUP(A672,'[1]DATOS PBI Artículos'!$A$4:$A$4,'[1]DATOS PBI Artículos'!$Y$4:$Y$4),[1]CRITERIOS!$P$79:$P$123,[1]CRITERIOS!$S$79:$S$123)),0)*[1]CRITERIOS!$M$80*([1]CRITERIOS!$M$110/[1]CRITERIOS!$M$86)+(_xlfn.XLOOKUP(A672,'[1]DATOS PBI Artículos'!$A$4:$A$4,'[1]DATOS PBI Artículos'!$AA$4:$AA$4)*([1]CRITERIOS!$M$95+[1]CRITERIOS!$M$98)))/N672)</f>
        <v>#N/A</v>
      </c>
      <c r="AD672" s="33" t="e">
        <f>IF(N672=0,"",(ROUNDUP((N672/2)/(_xlfn.XLOOKUP(A672,'[1]DATOS PBI Artículos'!$A$4:$A$4,'[1]DATOS PBI Artículos'!$Z$4:$Z$4)*_xlfn.XLOOKUP(_xlfn.XLOOKUP(A672,'[1]DATOS PBI Artículos'!$A$4:$A$4,'[1]DATOS PBI Artículos'!$Y$4:$Y$4),[1]CRITERIOS!$P$79:$P$123,[1]CRITERIOS!$S$79:$S$123)),0)*[1]CRITERIOS!$M$80*([1]CRITERIOS!$M$89*[1]CRITERIOS!$M$92)+((_xlfn.XLOOKUP(A672,'[1]DATOS PBI Artículos'!$A$4:$A$4,'[1]DATOS PBI Artículos'!$AA$4:$AA$4)/2)*([1]CRITERIOS!$M$95+[1]CRITERIOS!$M$98)))/N672)</f>
        <v>#N/A</v>
      </c>
      <c r="AE672" s="39" t="e">
        <f>IF($R672="MTO","",
IF($H672=0,ROUNDUP(((_xlfn.XLOOKUP($A672,'[1]DATOS PBI Artículos'!$A:$A,'[1]DATOS PBI Artículos'!$AL:$AL))/(_xlfn.XLOOKUP($AF$1,[1]CRITERIOS!$S$16:$S$39,[1]CRITERIOS!$Y$16:$Y$39))*$J672+$Z672)/$G672,0)*$G672,
((_xlfn.XLOOKUP($A672,'[1]DATOS PBI Artículos'!$A:$A,'[1]DATOS PBI Artículos'!$AL:$AL))/(_xlfn.XLOOKUP($AF$1,[1]CRITERIOS!$S$16:$S$39,[1]CRITERIOS!$Y$16:$Y$39))*$J672+$Z672)))</f>
        <v>#N/A</v>
      </c>
      <c r="AG672" s="39" t="e">
        <f>IF($R672="MTO","",
IF($H672=0,ROUNDUP(((_xlfn.XLOOKUP($A672,'[1]DATOS PBI Artículos'!$A:$A,'[1]DATOS PBI Artículos'!$AM:$AM))/(_xlfn.XLOOKUP($AH$1,[1]CRITERIOS!$S$16:$S$39,[1]CRITERIOS!$Y$16:$Y$39))*$J672+$Z672)/$G672,0)*$G672,
((_xlfn.XLOOKUP($A672,'[1]DATOS PBI Artículos'!$A:$A,'[1]DATOS PBI Artículos'!$AM:$AM))/(_xlfn.XLOOKUP($AH$1,[1]CRITERIOS!$S$16:$S$39,[1]CRITERIOS!$Y$16:$Y$39))*$J672+$Z672)))</f>
        <v>#N/A</v>
      </c>
      <c r="AI672" s="39" t="e">
        <f>IF($R672="MTO","",
IF($H672=0,ROUNDUP(((_xlfn.XLOOKUP($A672,'[1]DATOS PBI Artículos'!$A:$A,'[1]DATOS PBI Artículos'!$AN:$AN))/(_xlfn.XLOOKUP($AJ$1,[1]CRITERIOS!$S$16:$S$39,[1]CRITERIOS!$Y$16:$Y$39))*$J672+$Z672)/$G672,0)*$G672,
((_xlfn.XLOOKUP($A672,'[1]DATOS PBI Artículos'!$A:$A,'[1]DATOS PBI Artículos'!$AN:$AN))/(_xlfn.XLOOKUP($AJ$1,[1]CRITERIOS!$S$16:$S$39,[1]CRITERIOS!$Y$16:$Y$39))*$J672+$Z672)))</f>
        <v>#N/A</v>
      </c>
      <c r="AK672" s="39" t="e">
        <f>IF($R672="MTO","",
IF($H672=0,ROUNDUP(((_xlfn.XLOOKUP($A672,'[1]DATOS PBI Artículos'!$A:$A,'[1]DATOS PBI Artículos'!$AO:$AO))/(_xlfn.XLOOKUP($AL$1,[1]CRITERIOS!$S$16:$S$39,[1]CRITERIOS!$Y$16:$Y$39))*$J672+$Z672)/$G672,0)*$G672,
((_xlfn.XLOOKUP($A672,'[1]DATOS PBI Artículos'!$A:$A,'[1]DATOS PBI Artículos'!$AO:$AO))/(_xlfn.XLOOKUP($AL$1,[1]CRITERIOS!$S$16:$S$39,[1]CRITERIOS!$Y$16:$Y$39))*$J672+$Z672)))</f>
        <v>#N/A</v>
      </c>
    </row>
    <row r="673" spans="1:37" ht="25.8" hidden="1" x14ac:dyDescent="0.4">
      <c r="A673" s="41"/>
      <c r="B673" s="33">
        <f>_xlfn.XLOOKUP($A673,'[1]DATOS PBI Artículos'!A:A,'[1]DATOS PBI Artículos'!B:B)</f>
        <v>0</v>
      </c>
      <c r="C673" s="33">
        <f>_xlfn.XLOOKUP($A673,'[1]DATOS PBI Artículos'!A:A,'[1]DATOS PBI Artículos'!C:C)</f>
        <v>0</v>
      </c>
      <c r="D673" s="33">
        <f>_xlfn.XLOOKUP(A673,'[1]DATOS PBI Artículos'!A:A,'[1]DATOS PBI Artículos'!T:T)</f>
        <v>0</v>
      </c>
      <c r="E673" s="34">
        <f>IF(_xlfn.XLOOKUP($A673,'[1]DATOS PBI Artículos'!A:A,'[1]DATOS PBI Artículos'!AK:AK)="",_xlfn.XLOOKUP($A673,'[1]DATOS PBI Artículos'!A:A,'[1]DATOS PBI Artículos'!AJ:AJ),_xlfn.XLOOKUP($A673,'[1]DATOS PBI Artículos'!A:A,'[1]DATOS PBI Artículos'!AK:AK))</f>
        <v>0</v>
      </c>
      <c r="F673" s="35">
        <f>_xlfn.XLOOKUP($A673,'[1]DATOS PBI Artículos'!A:A,'[1]DATOS PBI Artículos'!AP:AP)</f>
        <v>0</v>
      </c>
      <c r="G673" s="34">
        <f>_xlfn.XLOOKUP($A673,'[1]DATOS PBI Artículos'!A:A,'[1]DATOS PBI Artículos'!AR:AR)</f>
        <v>0</v>
      </c>
      <c r="H673" s="34">
        <f>_xlfn.XLOOKUP($A673,'[1]DATOS PBI Artículos'!A:A,'[1]DATOS PBI Artículos'!AT:AT)</f>
        <v>0</v>
      </c>
      <c r="I673" s="34">
        <f>_xlfn.XLOOKUP($A673,'[1]DATOS PBI Artículos'!A:A,'[1]DATOS PBI Artículos'!AS:AS)</f>
        <v>0</v>
      </c>
      <c r="J673" s="35">
        <f>IF(COUNTIF([1]CRITERIOS!$F$179:$F$199,$A673)&gt;=1,
 IF(O673&lt;&gt;"",
    (O673/_xlfn.XLOOKUP(CONCATENATE(A673,L673),[1]MÁQUINAS!A:A,[1]MÁQUINAS!D:D))/24,
    (N673/_xlfn.XLOOKUP(CONCATENATE(A673,L673),[1]MÁQUINAS!A:A,[1]MÁQUINAS!D:D))/24),
  _xlfn.XLOOKUP($A673,'[1]DATOS PBI Artículos'!A:A,'[1]DATOS PBI Artículos'!AU:AU))</f>
        <v>0</v>
      </c>
      <c r="K673" s="36">
        <f>_xlfn.XLOOKUP($A673,'[1]DATOS PBI Artículos'!A:A,'[1]DATOS PBI Artículos'!AV:AV)</f>
        <v>0</v>
      </c>
      <c r="L673" s="33">
        <f>_xlfn.XLOOKUP(A673,[1]MÁQUINAS!B:B,[1]MÁQUINAS!C:C)</f>
        <v>0</v>
      </c>
      <c r="M673" s="34">
        <f t="array" ref="M673">_xlfn.XLOOKUP(A673,'[1]DATOS PBI Artículos'!A:A,'[1]DATOS PBI Artículos'!AX:$AX)</f>
        <v>0</v>
      </c>
      <c r="N673" s="37" t="e">
        <f>IF(I673="DV",
E673,
IF(COUNTIF([1]CRITERIOS!$I$179:$I$199,$A673)&gt;=1,
_xlfn.XLOOKUP($A673,[1]CRITERIOS!$I$179:$I$199,[1]CRITERIOS!$J$179:$J$199),
IF(COUNTIF([1]CRITERIOS!$L$179:$L$199,$A673)&gt;=1,
_xlfn.CEILING.MATH(IF($M673&gt;$E673,
$E673,
IF($M673&lt;$E673/ROUNDDOWN([1]CRITERIOS!$M$16/_xlfn.XLOOKUP($C673,[1]CRITERIOS!$K$25:$K$42,[1]CRITERIOS!$M$25:$M$42),
1),
E673/ROUNDDOWN([1]CRITERIOS!$M$16/_xlfn.XLOOKUP($C673,[1]CRITERIOS!$K$25:$K$42,[1]CRITERIOS!$M$25:$M$42),
1),
$M673)),
_xlfn.XLOOKUP($A673,[1]CRITERIOS!$L$179:$L$200,[1]CRITERIOS!$M$179:$M$200)),
_xlfn.CEILING.MATH(IF($M673&gt;$E673,
$E673,
IF($M673&lt;$E673/ROUNDDOWN([1]CRITERIOS!$M$16/_xlfn.XLOOKUP($C673,[1]CRITERIOS!$K$25:$K$42,[1]CRITERIOS!$M$25:$M$42),
1),
E673/ROUNDDOWN([1]CRITERIOS!$M$16/_xlfn.XLOOKUP($C673,[1]CRITERIOS!$K$25:$K$42,[1]CRITERIOS!$M$25:$M$42),
1),
$M673)),_xlfn.XLOOKUP(A673,'[1]DATOS PBI Artículos'!A:A,'[1]DATOS PBI Artículos'!Z:Z
)))))</f>
        <v>#N/A</v>
      </c>
      <c r="Q673" s="38" t="e">
        <f>IF(AND(O673="",N673=0),
0,
   IF(COUNTIF([1]CRITERIOS!$F$179:$F$199,$A673)&gt;=1,
   1,
   IF(R673="MTO",
      $D673,
      ROUNDUP(
                    IF(($E673-SUMIF('[1]DATOS PBI Artículos'!A:A,A673,'[1]DATOS PBI Artículos'!X:X)+($V673-_xlfn.XLOOKUP(A673,'[1]DATOS PBI Artículos'!A:A,'[1]DATOS PBI Artículos'!W:W)))&lt;0,
                    0,
                    IF(($E673-SUMIF('[1]DATOS PBI Artículos'!A:A,A673,'[1]DATOS PBI Artículos'!X:X)+$V673-_xlfn.XLOOKUP($A673,'[1]DATOS PBI Artículos'!A:A,'[1]DATOS PBI Artículos'!W:W))/IF($O673="",$N673,$O673)&gt;ROUNDUP([1]CRITERIOS!$M$16/(IF(COUNTIF([1]CRITERIOS!$BG$11:$BG$201,L673)&gt;=1,_xlfn.XLOOKUP($C673,[1]CRITERIOS!$K$25:$K$42,[1]CRITERIOS!$M$25:$M$42),_xlfn.XLOOKUP($C673,[1]CRITERIOS!$K$25:$K$42,[1]CRITERIOS!$M$25:$M$42))),0),
                    ROUNDUP([1]CRITERIOS!$M$16/(IF(COUNTIF([1]CRITERIOS!$BG$11:$BG$201,$L673)&gt;=1,_xlfn.XLOOKUP($C673,[1]CRITERIOS!$K$25:$K$42,[1]CRITERIOS!$M$25:$M$42),_xlfn.XLOOKUP($C673,[1]CRITERIOS!$K$25:$K$42,[1]CRITERIOS!$M$25:$M$42))),0),
                    (E673+V673-SUMIF('[1]DATOS PBI Artículos'!A:A,A673,'[1]DATOS PBI Artículos'!X:X)-_xlfn.XLOOKUP(A673,'[1]DATOS PBI Artículos'!A:A,'[1]DATOS PBI Artículos'!W:W))/IF($O673="",$N673,$O673))),0))))</f>
        <v>#N/A</v>
      </c>
      <c r="R673" s="33" t="e">
        <f>IF(U673&lt;&gt;"",U673,IF(F673="DV","MTO",IF(N673=0,"MTO",_xlfn.XLOOKUP(CONCATENATE(S673,T673),[1]CRITERIOS!$K$160:$K$168,[1]CRITERIOS!$N$160:$N$168))))</f>
        <v>#N/A</v>
      </c>
      <c r="S673" s="33" t="e">
        <f>IF(G673="DV","MTO",IF(N673=0,"MTO",IF(OR(AND(N673=0,O673=""),IF(O673="",G673/N673,G673/O673)&gt;[1]CRITERIOS!$G$163),"MTO",IF(IF(O673="",G673/N673,G673/O673)&lt;[1]CRITERIOS!$H$161,"MTS","MTOS"))))</f>
        <v>#N/A</v>
      </c>
      <c r="T673" s="33" t="e">
        <f>IF(F673="DV","MTO",IF(OR(AND($N673=0,O673=""),$F673/$J673&gt;[1]CRITERIOS!$G$170,$F673="DV"),"MTO",IF($F673/$J673&lt;[1]CRITERIOS!$H$168,"MTS","MTOS")))</f>
        <v>#N/A</v>
      </c>
      <c r="V673" s="34" t="e">
        <f t="shared" si="34"/>
        <v>#N/A</v>
      </c>
      <c r="X673" s="34" t="e">
        <f t="shared" si="32"/>
        <v>#N/A</v>
      </c>
      <c r="Y673" s="34" t="e">
        <f t="shared" si="33"/>
        <v>#N/A</v>
      </c>
      <c r="Z673" s="34" t="e">
        <f>IF($R673="MTO",
0,
($H673+$K673*($E673/[1]CRITERIOS!$M$16))/[1]CRITERIOS!$X$48)</f>
        <v>#N/A</v>
      </c>
      <c r="AA673" s="34" t="e">
        <f>ROUNDUP(($Y673/_xlfn.XLOOKUP($A673,'[1]DATOS PBI Artículos'!$A$4:$A$4,'[1]DATOS PBI Artículos'!$Z$4:$Z$4))/_xlfn.XLOOKUP(_xlfn.XLOOKUP($A673,'[1]DATOS PBI Artículos'!$A$4:$A$4,'[1]DATOS PBI Artículos'!$Y$4:$Y$4),[1]CRITERIOS!$P$79:$P$123,[1]CRITERIOS!$S$79:$S$123,),0)</f>
        <v>#N/A</v>
      </c>
      <c r="AB673" s="33" t="e">
        <f t="array" ref="AB673">IF((E673+V673-_xlfn.XLOOKUP(A673,'[1]DATOS PBI Artículos'!$A$4:$A$4,'[1]DATOS PBI Artículos'!$W$4:$W$4))/N673&gt;ROUNDUP([1]CRITERIOS!$M$16/(IF(COUNTIF([1]CRITERIOS!$BG$11:$BG$201,L673)&gt;=1,_xlfn.XLOOKUP(ARTÍCULOS!L673,[1]CRITERIOS!$BG$11:$BG$201,[1]CRITERIOS!$BJ$11:$BJ$201),_xlfn.XLOOKUP(ARTÍCULOS!C673,[1]CRITERIOS!$K$25:$K$42,[1]CRITERIOS!$M$25:$M$42))),0),ROUNDUP([1]CRITERIOS!$M$16/(IF(COUNTIF([1]CRITERIOS!$BG$11:$BG$201,L673)&gt;=1,_xlfn.XLOOKUP(ARTÍCULOS!L673,[1]CRITERIOS!$BG$11:$BG$201:#REF!,[1]CRITERIOS!$BJ$11:$BJ$201),_xlfn.XLOOKUP(ARTÍCULOS!C673,[1]CRITERIOS!$K$25:$K$42,[1]CRITERIOS!$M$25:$M$42))),0),(E673+V673-_xlfn.XLOOKUP(A673,'[1]DATOS PBI Artículos'!$A$4:$A$4,'[1]DATOS PBI Artículos'!$W$4:$W$4))/N673)</f>
        <v>#N/A</v>
      </c>
      <c r="AC673" s="33" t="e">
        <f>IF(N673=0,"",(ROUNDUP((N673/2)/(_xlfn.XLOOKUP(A673,'[1]DATOS PBI Artículos'!$A$4:$A$4,'[1]DATOS PBI Artículos'!$Z$4:$Z$4)*_xlfn.XLOOKUP(_xlfn.XLOOKUP(A673,'[1]DATOS PBI Artículos'!$A$4:$A$4,'[1]DATOS PBI Artículos'!$Y$4:$Y$4),[1]CRITERIOS!$P$79:$P$123,[1]CRITERIOS!$S$79:$S$123)),0)*[1]CRITERIOS!$M$80*([1]CRITERIOS!$M$110/[1]CRITERIOS!$M$86)+(_xlfn.XLOOKUP(A673,'[1]DATOS PBI Artículos'!$A$4:$A$4,'[1]DATOS PBI Artículos'!$AA$4:$AA$4)*([1]CRITERIOS!$M$95+[1]CRITERIOS!$M$98)))/N673)</f>
        <v>#N/A</v>
      </c>
      <c r="AD673" s="33" t="e">
        <f>IF(N673=0,"",(ROUNDUP((N673/2)/(_xlfn.XLOOKUP(A673,'[1]DATOS PBI Artículos'!$A$4:$A$4,'[1]DATOS PBI Artículos'!$Z$4:$Z$4)*_xlfn.XLOOKUP(_xlfn.XLOOKUP(A673,'[1]DATOS PBI Artículos'!$A$4:$A$4,'[1]DATOS PBI Artículos'!$Y$4:$Y$4),[1]CRITERIOS!$P$79:$P$123,[1]CRITERIOS!$S$79:$S$123)),0)*[1]CRITERIOS!$M$80*([1]CRITERIOS!$M$89*[1]CRITERIOS!$M$92)+((_xlfn.XLOOKUP(A673,'[1]DATOS PBI Artículos'!$A$4:$A$4,'[1]DATOS PBI Artículos'!$AA$4:$AA$4)/2)*([1]CRITERIOS!$M$95+[1]CRITERIOS!$M$98)))/N673)</f>
        <v>#N/A</v>
      </c>
      <c r="AE673" s="39" t="e">
        <f>IF($R673="MTO","",
IF($H673=0,ROUNDUP(((_xlfn.XLOOKUP($A673,'[1]DATOS PBI Artículos'!$A:$A,'[1]DATOS PBI Artículos'!$AL:$AL))/(_xlfn.XLOOKUP($AF$1,[1]CRITERIOS!$S$16:$S$39,[1]CRITERIOS!$Y$16:$Y$39))*$J673+$Z673)/$G673,0)*$G673,
((_xlfn.XLOOKUP($A673,'[1]DATOS PBI Artículos'!$A:$A,'[1]DATOS PBI Artículos'!$AL:$AL))/(_xlfn.XLOOKUP($AF$1,[1]CRITERIOS!$S$16:$S$39,[1]CRITERIOS!$Y$16:$Y$39))*$J673+$Z673)))</f>
        <v>#N/A</v>
      </c>
      <c r="AG673" s="39" t="e">
        <f>IF($R673="MTO","",
IF($H673=0,ROUNDUP(((_xlfn.XLOOKUP($A673,'[1]DATOS PBI Artículos'!$A:$A,'[1]DATOS PBI Artículos'!$AM:$AM))/(_xlfn.XLOOKUP($AH$1,[1]CRITERIOS!$S$16:$S$39,[1]CRITERIOS!$Y$16:$Y$39))*$J673+$Z673)/$G673,0)*$G673,
((_xlfn.XLOOKUP($A673,'[1]DATOS PBI Artículos'!$A:$A,'[1]DATOS PBI Artículos'!$AM:$AM))/(_xlfn.XLOOKUP($AH$1,[1]CRITERIOS!$S$16:$S$39,[1]CRITERIOS!$Y$16:$Y$39))*$J673+$Z673)))</f>
        <v>#N/A</v>
      </c>
      <c r="AI673" s="39" t="e">
        <f>IF($R673="MTO","",
IF($H673=0,ROUNDUP(((_xlfn.XLOOKUP($A673,'[1]DATOS PBI Artículos'!$A:$A,'[1]DATOS PBI Artículos'!$AN:$AN))/(_xlfn.XLOOKUP($AJ$1,[1]CRITERIOS!$S$16:$S$39,[1]CRITERIOS!$Y$16:$Y$39))*$J673+$Z673)/$G673,0)*$G673,
((_xlfn.XLOOKUP($A673,'[1]DATOS PBI Artículos'!$A:$A,'[1]DATOS PBI Artículos'!$AN:$AN))/(_xlfn.XLOOKUP($AJ$1,[1]CRITERIOS!$S$16:$S$39,[1]CRITERIOS!$Y$16:$Y$39))*$J673+$Z673)))</f>
        <v>#N/A</v>
      </c>
      <c r="AK673" s="39" t="e">
        <f>IF($R673="MTO","",
IF($H673=0,ROUNDUP(((_xlfn.XLOOKUP($A673,'[1]DATOS PBI Artículos'!$A:$A,'[1]DATOS PBI Artículos'!$AO:$AO))/(_xlfn.XLOOKUP($AL$1,[1]CRITERIOS!$S$16:$S$39,[1]CRITERIOS!$Y$16:$Y$39))*$J673+$Z673)/$G673,0)*$G673,
((_xlfn.XLOOKUP($A673,'[1]DATOS PBI Artículos'!$A:$A,'[1]DATOS PBI Artículos'!$AO:$AO))/(_xlfn.XLOOKUP($AL$1,[1]CRITERIOS!$S$16:$S$39,[1]CRITERIOS!$Y$16:$Y$39))*$J673+$Z673)))</f>
        <v>#N/A</v>
      </c>
    </row>
    <row r="674" spans="1:37" ht="25.8" hidden="1" x14ac:dyDescent="0.4">
      <c r="A674" s="41"/>
      <c r="B674" s="33">
        <f>_xlfn.XLOOKUP($A674,'[1]DATOS PBI Artículos'!A:A,'[1]DATOS PBI Artículos'!B:B)</f>
        <v>0</v>
      </c>
      <c r="C674" s="33">
        <f>_xlfn.XLOOKUP($A674,'[1]DATOS PBI Artículos'!A:A,'[1]DATOS PBI Artículos'!C:C)</f>
        <v>0</v>
      </c>
      <c r="D674" s="33">
        <f>_xlfn.XLOOKUP(A674,'[1]DATOS PBI Artículos'!A:A,'[1]DATOS PBI Artículos'!T:T)</f>
        <v>0</v>
      </c>
      <c r="E674" s="34">
        <f>IF(_xlfn.XLOOKUP($A674,'[1]DATOS PBI Artículos'!A:A,'[1]DATOS PBI Artículos'!AK:AK)="",_xlfn.XLOOKUP($A674,'[1]DATOS PBI Artículos'!A:A,'[1]DATOS PBI Artículos'!AJ:AJ),_xlfn.XLOOKUP($A674,'[1]DATOS PBI Artículos'!A:A,'[1]DATOS PBI Artículos'!AK:AK))</f>
        <v>0</v>
      </c>
      <c r="F674" s="35">
        <f>_xlfn.XLOOKUP($A674,'[1]DATOS PBI Artículos'!A:A,'[1]DATOS PBI Artículos'!AP:AP)</f>
        <v>0</v>
      </c>
      <c r="G674" s="34">
        <f>_xlfn.XLOOKUP($A674,'[1]DATOS PBI Artículos'!A:A,'[1]DATOS PBI Artículos'!AR:AR)</f>
        <v>0</v>
      </c>
      <c r="H674" s="34">
        <f>_xlfn.XLOOKUP($A674,'[1]DATOS PBI Artículos'!A:A,'[1]DATOS PBI Artículos'!AT:AT)</f>
        <v>0</v>
      </c>
      <c r="I674" s="34">
        <f>_xlfn.XLOOKUP($A674,'[1]DATOS PBI Artículos'!A:A,'[1]DATOS PBI Artículos'!AS:AS)</f>
        <v>0</v>
      </c>
      <c r="J674" s="35">
        <f>IF(COUNTIF([1]CRITERIOS!$F$179:$F$199,$A674)&gt;=1,
 IF(O674&lt;&gt;"",
    (O674/_xlfn.XLOOKUP(CONCATENATE(A674,L674),[1]MÁQUINAS!A:A,[1]MÁQUINAS!D:D))/24,
    (N674/_xlfn.XLOOKUP(CONCATENATE(A674,L674),[1]MÁQUINAS!A:A,[1]MÁQUINAS!D:D))/24),
  _xlfn.XLOOKUP($A674,'[1]DATOS PBI Artículos'!A:A,'[1]DATOS PBI Artículos'!AU:AU))</f>
        <v>0</v>
      </c>
      <c r="K674" s="36">
        <f>_xlfn.XLOOKUP($A674,'[1]DATOS PBI Artículos'!A:A,'[1]DATOS PBI Artículos'!AV:AV)</f>
        <v>0</v>
      </c>
      <c r="L674" s="33">
        <f>_xlfn.XLOOKUP(A674,[1]MÁQUINAS!B:B,[1]MÁQUINAS!C:C)</f>
        <v>0</v>
      </c>
      <c r="M674" s="34">
        <f t="array" ref="M674">_xlfn.XLOOKUP(A674,'[1]DATOS PBI Artículos'!A:A,'[1]DATOS PBI Artículos'!AX:$AX)</f>
        <v>0</v>
      </c>
      <c r="N674" s="37" t="e">
        <f>IF(I674="DV",
E674,
IF(COUNTIF([1]CRITERIOS!$I$179:$I$199,$A674)&gt;=1,
_xlfn.XLOOKUP($A674,[1]CRITERIOS!$I$179:$I$199,[1]CRITERIOS!$J$179:$J$199),
IF(COUNTIF([1]CRITERIOS!$L$179:$L$199,$A674)&gt;=1,
_xlfn.CEILING.MATH(IF($M674&gt;$E674,
$E674,
IF($M674&lt;$E674/ROUNDDOWN([1]CRITERIOS!$M$16/_xlfn.XLOOKUP($C674,[1]CRITERIOS!$K$25:$K$42,[1]CRITERIOS!$M$25:$M$42),
1),
E674/ROUNDDOWN([1]CRITERIOS!$M$16/_xlfn.XLOOKUP($C674,[1]CRITERIOS!$K$25:$K$42,[1]CRITERIOS!$M$25:$M$42),
1),
$M674)),
_xlfn.XLOOKUP($A674,[1]CRITERIOS!$L$179:$L$200,[1]CRITERIOS!$M$179:$M$200)),
_xlfn.CEILING.MATH(IF($M674&gt;$E674,
$E674,
IF($M674&lt;$E674/ROUNDDOWN([1]CRITERIOS!$M$16/_xlfn.XLOOKUP($C674,[1]CRITERIOS!$K$25:$K$42,[1]CRITERIOS!$M$25:$M$42),
1),
E674/ROUNDDOWN([1]CRITERIOS!$M$16/_xlfn.XLOOKUP($C674,[1]CRITERIOS!$K$25:$K$42,[1]CRITERIOS!$M$25:$M$42),
1),
$M674)),_xlfn.XLOOKUP(A674,'[1]DATOS PBI Artículos'!A:A,'[1]DATOS PBI Artículos'!Z:Z
)))))</f>
        <v>#N/A</v>
      </c>
      <c r="Q674" s="38" t="e">
        <f>IF(AND(O674="",N674=0),
0,
   IF(COUNTIF([1]CRITERIOS!$F$179:$F$199,$A674)&gt;=1,
   1,
   IF(R674="MTO",
      $D674,
      ROUNDUP(
                    IF(($E674-SUMIF('[1]DATOS PBI Artículos'!A:A,A674,'[1]DATOS PBI Artículos'!X:X)+($V674-_xlfn.XLOOKUP(A674,'[1]DATOS PBI Artículos'!A:A,'[1]DATOS PBI Artículos'!W:W)))&lt;0,
                    0,
                    IF(($E674-SUMIF('[1]DATOS PBI Artículos'!A:A,A674,'[1]DATOS PBI Artículos'!X:X)+$V674-_xlfn.XLOOKUP($A674,'[1]DATOS PBI Artículos'!A:A,'[1]DATOS PBI Artículos'!W:W))/IF($O674="",$N674,$O674)&gt;ROUNDUP([1]CRITERIOS!$M$16/(IF(COUNTIF([1]CRITERIOS!$BG$11:$BG$201,L674)&gt;=1,_xlfn.XLOOKUP($C674,[1]CRITERIOS!$K$25:$K$42,[1]CRITERIOS!$M$25:$M$42),_xlfn.XLOOKUP($C674,[1]CRITERIOS!$K$25:$K$42,[1]CRITERIOS!$M$25:$M$42))),0),
                    ROUNDUP([1]CRITERIOS!$M$16/(IF(COUNTIF([1]CRITERIOS!$BG$11:$BG$201,$L674)&gt;=1,_xlfn.XLOOKUP($C674,[1]CRITERIOS!$K$25:$K$42,[1]CRITERIOS!$M$25:$M$42),_xlfn.XLOOKUP($C674,[1]CRITERIOS!$K$25:$K$42,[1]CRITERIOS!$M$25:$M$42))),0),
                    (E674+V674-SUMIF('[1]DATOS PBI Artículos'!A:A,A674,'[1]DATOS PBI Artículos'!X:X)-_xlfn.XLOOKUP(A674,'[1]DATOS PBI Artículos'!A:A,'[1]DATOS PBI Artículos'!W:W))/IF($O674="",$N674,$O674))),0))))</f>
        <v>#N/A</v>
      </c>
      <c r="R674" s="33" t="e">
        <f>IF(U674&lt;&gt;"",U674,IF(F674="DV","MTO",IF(N674=0,"MTO",_xlfn.XLOOKUP(CONCATENATE(S674,T674),[1]CRITERIOS!$K$160:$K$168,[1]CRITERIOS!$N$160:$N$168))))</f>
        <v>#N/A</v>
      </c>
      <c r="S674" s="33" t="e">
        <f>IF(G674="DV","MTO",IF(N674=0,"MTO",IF(OR(AND(N674=0,O674=""),IF(O674="",G674/N674,G674/O674)&gt;[1]CRITERIOS!$G$163),"MTO",IF(IF(O674="",G674/N674,G674/O674)&lt;[1]CRITERIOS!$H$161,"MTS","MTOS"))))</f>
        <v>#N/A</v>
      </c>
      <c r="T674" s="33" t="e">
        <f>IF(F674="DV","MTO",IF(OR(AND($N674=0,O674=""),$F674/$J674&gt;[1]CRITERIOS!$G$170,$F674="DV"),"MTO",IF($F674/$J674&lt;[1]CRITERIOS!$H$168,"MTS","MTOS")))</f>
        <v>#N/A</v>
      </c>
      <c r="V674" s="34" t="e">
        <f t="shared" si="34"/>
        <v>#N/A</v>
      </c>
      <c r="X674" s="34" t="e">
        <f t="shared" si="32"/>
        <v>#N/A</v>
      </c>
      <c r="Y674" s="34" t="e">
        <f t="shared" si="33"/>
        <v>#N/A</v>
      </c>
      <c r="Z674" s="34" t="e">
        <f>IF($R674="MTO",
0,
($H674+$K674*($E674/[1]CRITERIOS!$M$16))/[1]CRITERIOS!$X$48)</f>
        <v>#N/A</v>
      </c>
      <c r="AA674" s="34" t="e">
        <f>ROUNDUP(($Y674/_xlfn.XLOOKUP($A674,'[1]DATOS PBI Artículos'!$A$4:$A$4,'[1]DATOS PBI Artículos'!$Z$4:$Z$4))/_xlfn.XLOOKUP(_xlfn.XLOOKUP($A674,'[1]DATOS PBI Artículos'!$A$4:$A$4,'[1]DATOS PBI Artículos'!$Y$4:$Y$4),[1]CRITERIOS!$P$79:$P$123,[1]CRITERIOS!$S$79:$S$123,),0)</f>
        <v>#N/A</v>
      </c>
      <c r="AB674" s="33" t="e">
        <f t="array" ref="AB674">IF((E674+V674-_xlfn.XLOOKUP(A674,'[1]DATOS PBI Artículos'!$A$4:$A$4,'[1]DATOS PBI Artículos'!$W$4:$W$4))/N674&gt;ROUNDUP([1]CRITERIOS!$M$16/(IF(COUNTIF([1]CRITERIOS!$BG$11:$BG$201,L674)&gt;=1,_xlfn.XLOOKUP(ARTÍCULOS!L674,[1]CRITERIOS!$BG$11:$BG$201,[1]CRITERIOS!$BJ$11:$BJ$201),_xlfn.XLOOKUP(ARTÍCULOS!C674,[1]CRITERIOS!$K$25:$K$42,[1]CRITERIOS!$M$25:$M$42))),0),ROUNDUP([1]CRITERIOS!$M$16/(IF(COUNTIF([1]CRITERIOS!$BG$11:$BG$201,L674)&gt;=1,_xlfn.XLOOKUP(ARTÍCULOS!L674,[1]CRITERIOS!$BG$11:$BG$201:#REF!,[1]CRITERIOS!$BJ$11:$BJ$201),_xlfn.XLOOKUP(ARTÍCULOS!C674,[1]CRITERIOS!$K$25:$K$42,[1]CRITERIOS!$M$25:$M$42))),0),(E674+V674-_xlfn.XLOOKUP(A674,'[1]DATOS PBI Artículos'!$A$4:$A$4,'[1]DATOS PBI Artículos'!$W$4:$W$4))/N674)</f>
        <v>#N/A</v>
      </c>
      <c r="AC674" s="33" t="e">
        <f>IF(N674=0,"",(ROUNDUP((N674/2)/(_xlfn.XLOOKUP(A674,'[1]DATOS PBI Artículos'!$A$4:$A$4,'[1]DATOS PBI Artículos'!$Z$4:$Z$4)*_xlfn.XLOOKUP(_xlfn.XLOOKUP(A674,'[1]DATOS PBI Artículos'!$A$4:$A$4,'[1]DATOS PBI Artículos'!$Y$4:$Y$4),[1]CRITERIOS!$P$79:$P$123,[1]CRITERIOS!$S$79:$S$123)),0)*[1]CRITERIOS!$M$80*([1]CRITERIOS!$M$110/[1]CRITERIOS!$M$86)+(_xlfn.XLOOKUP(A674,'[1]DATOS PBI Artículos'!$A$4:$A$4,'[1]DATOS PBI Artículos'!$AA$4:$AA$4)*([1]CRITERIOS!$M$95+[1]CRITERIOS!$M$98)))/N674)</f>
        <v>#N/A</v>
      </c>
      <c r="AD674" s="33" t="e">
        <f>IF(N674=0,"",(ROUNDUP((N674/2)/(_xlfn.XLOOKUP(A674,'[1]DATOS PBI Artículos'!$A$4:$A$4,'[1]DATOS PBI Artículos'!$Z$4:$Z$4)*_xlfn.XLOOKUP(_xlfn.XLOOKUP(A674,'[1]DATOS PBI Artículos'!$A$4:$A$4,'[1]DATOS PBI Artículos'!$Y$4:$Y$4),[1]CRITERIOS!$P$79:$P$123,[1]CRITERIOS!$S$79:$S$123)),0)*[1]CRITERIOS!$M$80*([1]CRITERIOS!$M$89*[1]CRITERIOS!$M$92)+((_xlfn.XLOOKUP(A674,'[1]DATOS PBI Artículos'!$A$4:$A$4,'[1]DATOS PBI Artículos'!$AA$4:$AA$4)/2)*([1]CRITERIOS!$M$95+[1]CRITERIOS!$M$98)))/N674)</f>
        <v>#N/A</v>
      </c>
      <c r="AE674" s="39" t="e">
        <f>IF($R674="MTO","",
IF($H674=0,ROUNDUP(((_xlfn.XLOOKUP($A674,'[1]DATOS PBI Artículos'!$A:$A,'[1]DATOS PBI Artículos'!$AL:$AL))/(_xlfn.XLOOKUP($AF$1,[1]CRITERIOS!$S$16:$S$39,[1]CRITERIOS!$Y$16:$Y$39))*$J674+$Z674)/$G674,0)*$G674,
((_xlfn.XLOOKUP($A674,'[1]DATOS PBI Artículos'!$A:$A,'[1]DATOS PBI Artículos'!$AL:$AL))/(_xlfn.XLOOKUP($AF$1,[1]CRITERIOS!$S$16:$S$39,[1]CRITERIOS!$Y$16:$Y$39))*$J674+$Z674)))</f>
        <v>#N/A</v>
      </c>
      <c r="AG674" s="39" t="e">
        <f>IF($R674="MTO","",
IF($H674=0,ROUNDUP(((_xlfn.XLOOKUP($A674,'[1]DATOS PBI Artículos'!$A:$A,'[1]DATOS PBI Artículos'!$AM:$AM))/(_xlfn.XLOOKUP($AH$1,[1]CRITERIOS!$S$16:$S$39,[1]CRITERIOS!$Y$16:$Y$39))*$J674+$Z674)/$G674,0)*$G674,
((_xlfn.XLOOKUP($A674,'[1]DATOS PBI Artículos'!$A:$A,'[1]DATOS PBI Artículos'!$AM:$AM))/(_xlfn.XLOOKUP($AH$1,[1]CRITERIOS!$S$16:$S$39,[1]CRITERIOS!$Y$16:$Y$39))*$J674+$Z674)))</f>
        <v>#N/A</v>
      </c>
      <c r="AI674" s="39" t="e">
        <f>IF($R674="MTO","",
IF($H674=0,ROUNDUP(((_xlfn.XLOOKUP($A674,'[1]DATOS PBI Artículos'!$A:$A,'[1]DATOS PBI Artículos'!$AN:$AN))/(_xlfn.XLOOKUP($AJ$1,[1]CRITERIOS!$S$16:$S$39,[1]CRITERIOS!$Y$16:$Y$39))*$J674+$Z674)/$G674,0)*$G674,
((_xlfn.XLOOKUP($A674,'[1]DATOS PBI Artículos'!$A:$A,'[1]DATOS PBI Artículos'!$AN:$AN))/(_xlfn.XLOOKUP($AJ$1,[1]CRITERIOS!$S$16:$S$39,[1]CRITERIOS!$Y$16:$Y$39))*$J674+$Z674)))</f>
        <v>#N/A</v>
      </c>
      <c r="AK674" s="39" t="e">
        <f>IF($R674="MTO","",
IF($H674=0,ROUNDUP(((_xlfn.XLOOKUP($A674,'[1]DATOS PBI Artículos'!$A:$A,'[1]DATOS PBI Artículos'!$AO:$AO))/(_xlfn.XLOOKUP($AL$1,[1]CRITERIOS!$S$16:$S$39,[1]CRITERIOS!$Y$16:$Y$39))*$J674+$Z674)/$G674,0)*$G674,
((_xlfn.XLOOKUP($A674,'[1]DATOS PBI Artículos'!$A:$A,'[1]DATOS PBI Artículos'!$AO:$AO))/(_xlfn.XLOOKUP($AL$1,[1]CRITERIOS!$S$16:$S$39,[1]CRITERIOS!$Y$16:$Y$39))*$J674+$Z674)))</f>
        <v>#N/A</v>
      </c>
    </row>
    <row r="675" spans="1:37" ht="25.8" hidden="1" x14ac:dyDescent="0.4">
      <c r="A675" s="41"/>
      <c r="B675" s="33">
        <f>_xlfn.XLOOKUP($A675,'[1]DATOS PBI Artículos'!A:A,'[1]DATOS PBI Artículos'!B:B)</f>
        <v>0</v>
      </c>
      <c r="C675" s="33">
        <f>_xlfn.XLOOKUP($A675,'[1]DATOS PBI Artículos'!A:A,'[1]DATOS PBI Artículos'!C:C)</f>
        <v>0</v>
      </c>
      <c r="D675" s="33">
        <f>_xlfn.XLOOKUP(A675,'[1]DATOS PBI Artículos'!A:A,'[1]DATOS PBI Artículos'!T:T)</f>
        <v>0</v>
      </c>
      <c r="E675" s="34">
        <f>IF(_xlfn.XLOOKUP($A675,'[1]DATOS PBI Artículos'!A:A,'[1]DATOS PBI Artículos'!AK:AK)="",_xlfn.XLOOKUP($A675,'[1]DATOS PBI Artículos'!A:A,'[1]DATOS PBI Artículos'!AJ:AJ),_xlfn.XLOOKUP($A675,'[1]DATOS PBI Artículos'!A:A,'[1]DATOS PBI Artículos'!AK:AK))</f>
        <v>0</v>
      </c>
      <c r="F675" s="35">
        <f>_xlfn.XLOOKUP($A675,'[1]DATOS PBI Artículos'!A:A,'[1]DATOS PBI Artículos'!AP:AP)</f>
        <v>0</v>
      </c>
      <c r="G675" s="34">
        <f>_xlfn.XLOOKUP($A675,'[1]DATOS PBI Artículos'!A:A,'[1]DATOS PBI Artículos'!AR:AR)</f>
        <v>0</v>
      </c>
      <c r="H675" s="34">
        <f>_xlfn.XLOOKUP($A675,'[1]DATOS PBI Artículos'!A:A,'[1]DATOS PBI Artículos'!AT:AT)</f>
        <v>0</v>
      </c>
      <c r="I675" s="34">
        <f>_xlfn.XLOOKUP($A675,'[1]DATOS PBI Artículos'!A:A,'[1]DATOS PBI Artículos'!AS:AS)</f>
        <v>0</v>
      </c>
      <c r="J675" s="35">
        <f>IF(COUNTIF([1]CRITERIOS!$F$179:$F$199,$A675)&gt;=1,
 IF(O675&lt;&gt;"",
    (O675/_xlfn.XLOOKUP(CONCATENATE(A675,L675),[1]MÁQUINAS!A:A,[1]MÁQUINAS!D:D))/24,
    (N675/_xlfn.XLOOKUP(CONCATENATE(A675,L675),[1]MÁQUINAS!A:A,[1]MÁQUINAS!D:D))/24),
  _xlfn.XLOOKUP($A675,'[1]DATOS PBI Artículos'!A:A,'[1]DATOS PBI Artículos'!AU:AU))</f>
        <v>0</v>
      </c>
      <c r="K675" s="36">
        <f>_xlfn.XLOOKUP($A675,'[1]DATOS PBI Artículos'!A:A,'[1]DATOS PBI Artículos'!AV:AV)</f>
        <v>0</v>
      </c>
      <c r="L675" s="33">
        <f>_xlfn.XLOOKUP(A675,[1]MÁQUINAS!B:B,[1]MÁQUINAS!C:C)</f>
        <v>0</v>
      </c>
      <c r="M675" s="34">
        <f t="array" ref="M675">_xlfn.XLOOKUP(A675,'[1]DATOS PBI Artículos'!A:A,'[1]DATOS PBI Artículos'!AX:$AX)</f>
        <v>0</v>
      </c>
      <c r="N675" s="37" t="e">
        <f>IF(I675="DV",
E675,
IF(COUNTIF([1]CRITERIOS!$I$179:$I$199,$A675)&gt;=1,
_xlfn.XLOOKUP($A675,[1]CRITERIOS!$I$179:$I$199,[1]CRITERIOS!$J$179:$J$199),
IF(COUNTIF([1]CRITERIOS!$L$179:$L$199,$A675)&gt;=1,
_xlfn.CEILING.MATH(IF($M675&gt;$E675,
$E675,
IF($M675&lt;$E675/ROUNDDOWN([1]CRITERIOS!$M$16/_xlfn.XLOOKUP($C675,[1]CRITERIOS!$K$25:$K$42,[1]CRITERIOS!$M$25:$M$42),
1),
E675/ROUNDDOWN([1]CRITERIOS!$M$16/_xlfn.XLOOKUP($C675,[1]CRITERIOS!$K$25:$K$42,[1]CRITERIOS!$M$25:$M$42),
1),
$M675)),
_xlfn.XLOOKUP($A675,[1]CRITERIOS!$L$179:$L$200,[1]CRITERIOS!$M$179:$M$200)),
_xlfn.CEILING.MATH(IF($M675&gt;$E675,
$E675,
IF($M675&lt;$E675/ROUNDDOWN([1]CRITERIOS!$M$16/_xlfn.XLOOKUP($C675,[1]CRITERIOS!$K$25:$K$42,[1]CRITERIOS!$M$25:$M$42),
1),
E675/ROUNDDOWN([1]CRITERIOS!$M$16/_xlfn.XLOOKUP($C675,[1]CRITERIOS!$K$25:$K$42,[1]CRITERIOS!$M$25:$M$42),
1),
$M675)),_xlfn.XLOOKUP(A675,'[1]DATOS PBI Artículos'!A:A,'[1]DATOS PBI Artículos'!Z:Z
)))))</f>
        <v>#N/A</v>
      </c>
      <c r="Q675" s="38" t="e">
        <f>IF(AND(O675="",N675=0),
0,
   IF(COUNTIF([1]CRITERIOS!$F$179:$F$199,$A675)&gt;=1,
   1,
   IF(R675="MTO",
      $D675,
      ROUNDUP(
                    IF(($E675-SUMIF('[1]DATOS PBI Artículos'!A:A,A675,'[1]DATOS PBI Artículos'!X:X)+($V675-_xlfn.XLOOKUP(A675,'[1]DATOS PBI Artículos'!A:A,'[1]DATOS PBI Artículos'!W:W)))&lt;0,
                    0,
                    IF(($E675-SUMIF('[1]DATOS PBI Artículos'!A:A,A675,'[1]DATOS PBI Artículos'!X:X)+$V675-_xlfn.XLOOKUP($A675,'[1]DATOS PBI Artículos'!A:A,'[1]DATOS PBI Artículos'!W:W))/IF($O675="",$N675,$O675)&gt;ROUNDUP([1]CRITERIOS!$M$16/(IF(COUNTIF([1]CRITERIOS!$BG$11:$BG$201,L675)&gt;=1,_xlfn.XLOOKUP($C675,[1]CRITERIOS!$K$25:$K$42,[1]CRITERIOS!$M$25:$M$42),_xlfn.XLOOKUP($C675,[1]CRITERIOS!$K$25:$K$42,[1]CRITERIOS!$M$25:$M$42))),0),
                    ROUNDUP([1]CRITERIOS!$M$16/(IF(COUNTIF([1]CRITERIOS!$BG$11:$BG$201,$L675)&gt;=1,_xlfn.XLOOKUP($C675,[1]CRITERIOS!$K$25:$K$42,[1]CRITERIOS!$M$25:$M$42),_xlfn.XLOOKUP($C675,[1]CRITERIOS!$K$25:$K$42,[1]CRITERIOS!$M$25:$M$42))),0),
                    (E675+V675-SUMIF('[1]DATOS PBI Artículos'!A:A,A675,'[1]DATOS PBI Artículos'!X:X)-_xlfn.XLOOKUP(A675,'[1]DATOS PBI Artículos'!A:A,'[1]DATOS PBI Artículos'!W:W))/IF($O675="",$N675,$O675))),0))))</f>
        <v>#N/A</v>
      </c>
      <c r="R675" s="33" t="e">
        <f>IF(U675&lt;&gt;"",U675,IF(F675="DV","MTO",IF(N675=0,"MTO",_xlfn.XLOOKUP(CONCATENATE(S675,T675),[1]CRITERIOS!$K$160:$K$168,[1]CRITERIOS!$N$160:$N$168))))</f>
        <v>#N/A</v>
      </c>
      <c r="S675" s="33" t="e">
        <f>IF(G675="DV","MTO",IF(N675=0,"MTO",IF(OR(AND(N675=0,O675=""),IF(O675="",G675/N675,G675/O675)&gt;[1]CRITERIOS!$G$163),"MTO",IF(IF(O675="",G675/N675,G675/O675)&lt;[1]CRITERIOS!$H$161,"MTS","MTOS"))))</f>
        <v>#N/A</v>
      </c>
      <c r="T675" s="33" t="e">
        <f>IF(F675="DV","MTO",IF(OR(AND($N675=0,O675=""),$F675/$J675&gt;[1]CRITERIOS!$G$170,$F675="DV"),"MTO",IF($F675/$J675&lt;[1]CRITERIOS!$H$168,"MTS","MTOS")))</f>
        <v>#N/A</v>
      </c>
      <c r="V675" s="34" t="e">
        <f t="shared" si="34"/>
        <v>#N/A</v>
      </c>
      <c r="X675" s="34" t="e">
        <f t="shared" si="32"/>
        <v>#N/A</v>
      </c>
      <c r="Y675" s="34" t="e">
        <f t="shared" si="33"/>
        <v>#N/A</v>
      </c>
      <c r="Z675" s="34" t="e">
        <f>IF($R675="MTO",
0,
($H675+$K675*($E675/[1]CRITERIOS!$M$16))/[1]CRITERIOS!$X$48)</f>
        <v>#N/A</v>
      </c>
      <c r="AA675" s="34" t="e">
        <f>ROUNDUP(($Y675/_xlfn.XLOOKUP($A675,'[1]DATOS PBI Artículos'!$A$4:$A$4,'[1]DATOS PBI Artículos'!$Z$4:$Z$4))/_xlfn.XLOOKUP(_xlfn.XLOOKUP($A675,'[1]DATOS PBI Artículos'!$A$4:$A$4,'[1]DATOS PBI Artículos'!$Y$4:$Y$4),[1]CRITERIOS!$P$79:$P$123,[1]CRITERIOS!$S$79:$S$123,),0)</f>
        <v>#N/A</v>
      </c>
      <c r="AB675" s="33" t="e">
        <f t="array" ref="AB675">IF((E675+V675-_xlfn.XLOOKUP(A675,'[1]DATOS PBI Artículos'!$A$4:$A$4,'[1]DATOS PBI Artículos'!$W$4:$W$4))/N675&gt;ROUNDUP([1]CRITERIOS!$M$16/(IF(COUNTIF([1]CRITERIOS!$BG$11:$BG$201,L675)&gt;=1,_xlfn.XLOOKUP(ARTÍCULOS!L675,[1]CRITERIOS!$BG$11:$BG$201,[1]CRITERIOS!$BJ$11:$BJ$201),_xlfn.XLOOKUP(ARTÍCULOS!C675,[1]CRITERIOS!$K$25:$K$42,[1]CRITERIOS!$M$25:$M$42))),0),ROUNDUP([1]CRITERIOS!$M$16/(IF(COUNTIF([1]CRITERIOS!$BG$11:$BG$201,L675)&gt;=1,_xlfn.XLOOKUP(ARTÍCULOS!L675,[1]CRITERIOS!$BG$11:$BG$201:#REF!,[1]CRITERIOS!$BJ$11:$BJ$201),_xlfn.XLOOKUP(ARTÍCULOS!C675,[1]CRITERIOS!$K$25:$K$42,[1]CRITERIOS!$M$25:$M$42))),0),(E675+V675-_xlfn.XLOOKUP(A675,'[1]DATOS PBI Artículos'!$A$4:$A$4,'[1]DATOS PBI Artículos'!$W$4:$W$4))/N675)</f>
        <v>#N/A</v>
      </c>
      <c r="AC675" s="33" t="e">
        <f>IF(N675=0,"",(ROUNDUP((N675/2)/(_xlfn.XLOOKUP(A675,'[1]DATOS PBI Artículos'!$A$4:$A$4,'[1]DATOS PBI Artículos'!$Z$4:$Z$4)*_xlfn.XLOOKUP(_xlfn.XLOOKUP(A675,'[1]DATOS PBI Artículos'!$A$4:$A$4,'[1]DATOS PBI Artículos'!$Y$4:$Y$4),[1]CRITERIOS!$P$79:$P$123,[1]CRITERIOS!$S$79:$S$123)),0)*[1]CRITERIOS!$M$80*([1]CRITERIOS!$M$110/[1]CRITERIOS!$M$86)+(_xlfn.XLOOKUP(A675,'[1]DATOS PBI Artículos'!$A$4:$A$4,'[1]DATOS PBI Artículos'!$AA$4:$AA$4)*([1]CRITERIOS!$M$95+[1]CRITERIOS!$M$98)))/N675)</f>
        <v>#N/A</v>
      </c>
      <c r="AD675" s="33" t="e">
        <f>IF(N675=0,"",(ROUNDUP((N675/2)/(_xlfn.XLOOKUP(A675,'[1]DATOS PBI Artículos'!$A$4:$A$4,'[1]DATOS PBI Artículos'!$Z$4:$Z$4)*_xlfn.XLOOKUP(_xlfn.XLOOKUP(A675,'[1]DATOS PBI Artículos'!$A$4:$A$4,'[1]DATOS PBI Artículos'!$Y$4:$Y$4),[1]CRITERIOS!$P$79:$P$123,[1]CRITERIOS!$S$79:$S$123)),0)*[1]CRITERIOS!$M$80*([1]CRITERIOS!$M$89*[1]CRITERIOS!$M$92)+((_xlfn.XLOOKUP(A675,'[1]DATOS PBI Artículos'!$A$4:$A$4,'[1]DATOS PBI Artículos'!$AA$4:$AA$4)/2)*([1]CRITERIOS!$M$95+[1]CRITERIOS!$M$98)))/N675)</f>
        <v>#N/A</v>
      </c>
      <c r="AE675" s="39" t="e">
        <f>IF($R675="MTO","",
IF($H675=0,ROUNDUP(((_xlfn.XLOOKUP($A675,'[1]DATOS PBI Artículos'!$A:$A,'[1]DATOS PBI Artículos'!$AL:$AL))/(_xlfn.XLOOKUP($AF$1,[1]CRITERIOS!$S$16:$S$39,[1]CRITERIOS!$Y$16:$Y$39))*$J675+$Z675)/$G675,0)*$G675,
((_xlfn.XLOOKUP($A675,'[1]DATOS PBI Artículos'!$A:$A,'[1]DATOS PBI Artículos'!$AL:$AL))/(_xlfn.XLOOKUP($AF$1,[1]CRITERIOS!$S$16:$S$39,[1]CRITERIOS!$Y$16:$Y$39))*$J675+$Z675)))</f>
        <v>#N/A</v>
      </c>
      <c r="AG675" s="39" t="e">
        <f>IF($R675="MTO","",
IF($H675=0,ROUNDUP(((_xlfn.XLOOKUP($A675,'[1]DATOS PBI Artículos'!$A:$A,'[1]DATOS PBI Artículos'!$AM:$AM))/(_xlfn.XLOOKUP($AH$1,[1]CRITERIOS!$S$16:$S$39,[1]CRITERIOS!$Y$16:$Y$39))*$J675+$Z675)/$G675,0)*$G675,
((_xlfn.XLOOKUP($A675,'[1]DATOS PBI Artículos'!$A:$A,'[1]DATOS PBI Artículos'!$AM:$AM))/(_xlfn.XLOOKUP($AH$1,[1]CRITERIOS!$S$16:$S$39,[1]CRITERIOS!$Y$16:$Y$39))*$J675+$Z675)))</f>
        <v>#N/A</v>
      </c>
      <c r="AI675" s="39" t="e">
        <f>IF($R675="MTO","",
IF($H675=0,ROUNDUP(((_xlfn.XLOOKUP($A675,'[1]DATOS PBI Artículos'!$A:$A,'[1]DATOS PBI Artículos'!$AN:$AN))/(_xlfn.XLOOKUP($AJ$1,[1]CRITERIOS!$S$16:$S$39,[1]CRITERIOS!$Y$16:$Y$39))*$J675+$Z675)/$G675,0)*$G675,
((_xlfn.XLOOKUP($A675,'[1]DATOS PBI Artículos'!$A:$A,'[1]DATOS PBI Artículos'!$AN:$AN))/(_xlfn.XLOOKUP($AJ$1,[1]CRITERIOS!$S$16:$S$39,[1]CRITERIOS!$Y$16:$Y$39))*$J675+$Z675)))</f>
        <v>#N/A</v>
      </c>
      <c r="AK675" s="39" t="e">
        <f>IF($R675="MTO","",
IF($H675=0,ROUNDUP(((_xlfn.XLOOKUP($A675,'[1]DATOS PBI Artículos'!$A:$A,'[1]DATOS PBI Artículos'!$AO:$AO))/(_xlfn.XLOOKUP($AL$1,[1]CRITERIOS!$S$16:$S$39,[1]CRITERIOS!$Y$16:$Y$39))*$J675+$Z675)/$G675,0)*$G675,
((_xlfn.XLOOKUP($A675,'[1]DATOS PBI Artículos'!$A:$A,'[1]DATOS PBI Artículos'!$AO:$AO))/(_xlfn.XLOOKUP($AL$1,[1]CRITERIOS!$S$16:$S$39,[1]CRITERIOS!$Y$16:$Y$39))*$J675+$Z675)))</f>
        <v>#N/A</v>
      </c>
    </row>
    <row r="676" spans="1:37" ht="25.8" hidden="1" x14ac:dyDescent="0.4">
      <c r="A676" s="41"/>
      <c r="B676" s="33">
        <f>_xlfn.XLOOKUP($A676,'[1]DATOS PBI Artículos'!A:A,'[1]DATOS PBI Artículos'!B:B)</f>
        <v>0</v>
      </c>
      <c r="C676" s="33">
        <f>_xlfn.XLOOKUP($A676,'[1]DATOS PBI Artículos'!A:A,'[1]DATOS PBI Artículos'!C:C)</f>
        <v>0</v>
      </c>
      <c r="D676" s="33">
        <f>_xlfn.XLOOKUP(A676,'[1]DATOS PBI Artículos'!A:A,'[1]DATOS PBI Artículos'!T:T)</f>
        <v>0</v>
      </c>
      <c r="E676" s="34">
        <f>IF(_xlfn.XLOOKUP($A676,'[1]DATOS PBI Artículos'!A:A,'[1]DATOS PBI Artículos'!AK:AK)="",_xlfn.XLOOKUP($A676,'[1]DATOS PBI Artículos'!A:A,'[1]DATOS PBI Artículos'!AJ:AJ),_xlfn.XLOOKUP($A676,'[1]DATOS PBI Artículos'!A:A,'[1]DATOS PBI Artículos'!AK:AK))</f>
        <v>0</v>
      </c>
      <c r="F676" s="35">
        <f>_xlfn.XLOOKUP($A676,'[1]DATOS PBI Artículos'!A:A,'[1]DATOS PBI Artículos'!AP:AP)</f>
        <v>0</v>
      </c>
      <c r="G676" s="34">
        <f>_xlfn.XLOOKUP($A676,'[1]DATOS PBI Artículos'!A:A,'[1]DATOS PBI Artículos'!AR:AR)</f>
        <v>0</v>
      </c>
      <c r="H676" s="34">
        <f>_xlfn.XLOOKUP($A676,'[1]DATOS PBI Artículos'!A:A,'[1]DATOS PBI Artículos'!AT:AT)</f>
        <v>0</v>
      </c>
      <c r="I676" s="34">
        <f>_xlfn.XLOOKUP($A676,'[1]DATOS PBI Artículos'!A:A,'[1]DATOS PBI Artículos'!AS:AS)</f>
        <v>0</v>
      </c>
      <c r="J676" s="35">
        <f>IF(COUNTIF([1]CRITERIOS!$F$179:$F$199,$A676)&gt;=1,
 IF(O676&lt;&gt;"",
    (O676/_xlfn.XLOOKUP(CONCATENATE(A676,L676),[1]MÁQUINAS!A:A,[1]MÁQUINAS!D:D))/24,
    (N676/_xlfn.XLOOKUP(CONCATENATE(A676,L676),[1]MÁQUINAS!A:A,[1]MÁQUINAS!D:D))/24),
  _xlfn.XLOOKUP($A676,'[1]DATOS PBI Artículos'!A:A,'[1]DATOS PBI Artículos'!AU:AU))</f>
        <v>0</v>
      </c>
      <c r="K676" s="36">
        <f>_xlfn.XLOOKUP($A676,'[1]DATOS PBI Artículos'!A:A,'[1]DATOS PBI Artículos'!AV:AV)</f>
        <v>0</v>
      </c>
      <c r="L676" s="33">
        <f>_xlfn.XLOOKUP(A676,[1]MÁQUINAS!B:B,[1]MÁQUINAS!C:C)</f>
        <v>0</v>
      </c>
      <c r="M676" s="34">
        <f t="array" ref="M676">_xlfn.XLOOKUP(A676,'[1]DATOS PBI Artículos'!A:A,'[1]DATOS PBI Artículos'!AX:$AX)</f>
        <v>0</v>
      </c>
      <c r="N676" s="37" t="e">
        <f>IF(I676="DV",
E676,
IF(COUNTIF([1]CRITERIOS!$I$179:$I$199,$A676)&gt;=1,
_xlfn.XLOOKUP($A676,[1]CRITERIOS!$I$179:$I$199,[1]CRITERIOS!$J$179:$J$199),
IF(COUNTIF([1]CRITERIOS!$L$179:$L$199,$A676)&gt;=1,
_xlfn.CEILING.MATH(IF($M676&gt;$E676,
$E676,
IF($M676&lt;$E676/ROUNDDOWN([1]CRITERIOS!$M$16/_xlfn.XLOOKUP($C676,[1]CRITERIOS!$K$25:$K$42,[1]CRITERIOS!$M$25:$M$42),
1),
E676/ROUNDDOWN([1]CRITERIOS!$M$16/_xlfn.XLOOKUP($C676,[1]CRITERIOS!$K$25:$K$42,[1]CRITERIOS!$M$25:$M$42),
1),
$M676)),
_xlfn.XLOOKUP($A676,[1]CRITERIOS!$L$179:$L$200,[1]CRITERIOS!$M$179:$M$200)),
_xlfn.CEILING.MATH(IF($M676&gt;$E676,
$E676,
IF($M676&lt;$E676/ROUNDDOWN([1]CRITERIOS!$M$16/_xlfn.XLOOKUP($C676,[1]CRITERIOS!$K$25:$K$42,[1]CRITERIOS!$M$25:$M$42),
1),
E676/ROUNDDOWN([1]CRITERIOS!$M$16/_xlfn.XLOOKUP($C676,[1]CRITERIOS!$K$25:$K$42,[1]CRITERIOS!$M$25:$M$42),
1),
$M676)),_xlfn.XLOOKUP(A676,'[1]DATOS PBI Artículos'!A:A,'[1]DATOS PBI Artículos'!Z:Z
)))))</f>
        <v>#N/A</v>
      </c>
      <c r="Q676" s="38" t="e">
        <f>IF(AND(O676="",N676=0),
0,
   IF(COUNTIF([1]CRITERIOS!$F$179:$F$199,$A676)&gt;=1,
   1,
   IF(R676="MTO",
      $D676,
      ROUNDUP(
                    IF(($E676-SUMIF('[1]DATOS PBI Artículos'!A:A,A676,'[1]DATOS PBI Artículos'!X:X)+($V676-_xlfn.XLOOKUP(A676,'[1]DATOS PBI Artículos'!A:A,'[1]DATOS PBI Artículos'!W:W)))&lt;0,
                    0,
                    IF(($E676-SUMIF('[1]DATOS PBI Artículos'!A:A,A676,'[1]DATOS PBI Artículos'!X:X)+$V676-_xlfn.XLOOKUP($A676,'[1]DATOS PBI Artículos'!A:A,'[1]DATOS PBI Artículos'!W:W))/IF($O676="",$N676,$O676)&gt;ROUNDUP([1]CRITERIOS!$M$16/(IF(COUNTIF([1]CRITERIOS!$BG$11:$BG$201,L676)&gt;=1,_xlfn.XLOOKUP($C676,[1]CRITERIOS!$K$25:$K$42,[1]CRITERIOS!$M$25:$M$42),_xlfn.XLOOKUP($C676,[1]CRITERIOS!$K$25:$K$42,[1]CRITERIOS!$M$25:$M$42))),0),
                    ROUNDUP([1]CRITERIOS!$M$16/(IF(COUNTIF([1]CRITERIOS!$BG$11:$BG$201,$L676)&gt;=1,_xlfn.XLOOKUP($C676,[1]CRITERIOS!$K$25:$K$42,[1]CRITERIOS!$M$25:$M$42),_xlfn.XLOOKUP($C676,[1]CRITERIOS!$K$25:$K$42,[1]CRITERIOS!$M$25:$M$42))),0),
                    (E676+V676-SUMIF('[1]DATOS PBI Artículos'!A:A,A676,'[1]DATOS PBI Artículos'!X:X)-_xlfn.XLOOKUP(A676,'[1]DATOS PBI Artículos'!A:A,'[1]DATOS PBI Artículos'!W:W))/IF($O676="",$N676,$O676))),0))))</f>
        <v>#N/A</v>
      </c>
      <c r="R676" s="33" t="e">
        <f>IF(U676&lt;&gt;"",U676,IF(F676="DV","MTO",IF(N676=0,"MTO",_xlfn.XLOOKUP(CONCATENATE(S676,T676),[1]CRITERIOS!$K$160:$K$168,[1]CRITERIOS!$N$160:$N$168))))</f>
        <v>#N/A</v>
      </c>
      <c r="S676" s="33" t="e">
        <f>IF(G676="DV","MTO",IF(N676=0,"MTO",IF(OR(AND(N676=0,O676=""),IF(O676="",G676/N676,G676/O676)&gt;[1]CRITERIOS!$G$163),"MTO",IF(IF(O676="",G676/N676,G676/O676)&lt;[1]CRITERIOS!$H$161,"MTS","MTOS"))))</f>
        <v>#N/A</v>
      </c>
      <c r="T676" s="33" t="e">
        <f>IF(F676="DV","MTO",IF(OR(AND($N676=0,O676=""),$F676/$J676&gt;[1]CRITERIOS!$G$170,$F676="DV"),"MTO",IF($F676/$J676&lt;[1]CRITERIOS!$H$168,"MTS","MTOS")))</f>
        <v>#N/A</v>
      </c>
      <c r="V676" s="34" t="e">
        <f t="shared" si="34"/>
        <v>#N/A</v>
      </c>
      <c r="X676" s="34" t="e">
        <f t="shared" si="32"/>
        <v>#N/A</v>
      </c>
      <c r="Y676" s="34" t="e">
        <f t="shared" si="33"/>
        <v>#N/A</v>
      </c>
      <c r="Z676" s="34" t="e">
        <f>IF($R676="MTO",
0,
($H676+$K676*($E676/[1]CRITERIOS!$M$16))/[1]CRITERIOS!$X$48)</f>
        <v>#N/A</v>
      </c>
      <c r="AA676" s="34" t="e">
        <f>ROUNDUP(($Y676/_xlfn.XLOOKUP($A676,'[1]DATOS PBI Artículos'!$A$4:$A$4,'[1]DATOS PBI Artículos'!$Z$4:$Z$4))/_xlfn.XLOOKUP(_xlfn.XLOOKUP($A676,'[1]DATOS PBI Artículos'!$A$4:$A$4,'[1]DATOS PBI Artículos'!$Y$4:$Y$4),[1]CRITERIOS!$P$79:$P$123,[1]CRITERIOS!$S$79:$S$123,),0)</f>
        <v>#N/A</v>
      </c>
      <c r="AB676" s="33" t="e">
        <f t="array" ref="AB676">IF((E676+V676-_xlfn.XLOOKUP(A676,'[1]DATOS PBI Artículos'!$A$4:$A$4,'[1]DATOS PBI Artículos'!$W$4:$W$4))/N676&gt;ROUNDUP([1]CRITERIOS!$M$16/(IF(COUNTIF([1]CRITERIOS!$BG$11:$BG$201,L676)&gt;=1,_xlfn.XLOOKUP(ARTÍCULOS!L676,[1]CRITERIOS!$BG$11:$BG$201,[1]CRITERIOS!$BJ$11:$BJ$201),_xlfn.XLOOKUP(ARTÍCULOS!C676,[1]CRITERIOS!$K$25:$K$42,[1]CRITERIOS!$M$25:$M$42))),0),ROUNDUP([1]CRITERIOS!$M$16/(IF(COUNTIF([1]CRITERIOS!$BG$11:$BG$201,L676)&gt;=1,_xlfn.XLOOKUP(ARTÍCULOS!L676,[1]CRITERIOS!$BG$11:$BG$201:#REF!,[1]CRITERIOS!$BJ$11:$BJ$201),_xlfn.XLOOKUP(ARTÍCULOS!C676,[1]CRITERIOS!$K$25:$K$42,[1]CRITERIOS!$M$25:$M$42))),0),(E676+V676-_xlfn.XLOOKUP(A676,'[1]DATOS PBI Artículos'!$A$4:$A$4,'[1]DATOS PBI Artículos'!$W$4:$W$4))/N676)</f>
        <v>#N/A</v>
      </c>
      <c r="AC676" s="33" t="e">
        <f>IF(N676=0,"",(ROUNDUP((N676/2)/(_xlfn.XLOOKUP(A676,'[1]DATOS PBI Artículos'!$A$4:$A$4,'[1]DATOS PBI Artículos'!$Z$4:$Z$4)*_xlfn.XLOOKUP(_xlfn.XLOOKUP(A676,'[1]DATOS PBI Artículos'!$A$4:$A$4,'[1]DATOS PBI Artículos'!$Y$4:$Y$4),[1]CRITERIOS!$P$79:$P$123,[1]CRITERIOS!$S$79:$S$123)),0)*[1]CRITERIOS!$M$80*([1]CRITERIOS!$M$110/[1]CRITERIOS!$M$86)+(_xlfn.XLOOKUP(A676,'[1]DATOS PBI Artículos'!$A$4:$A$4,'[1]DATOS PBI Artículos'!$AA$4:$AA$4)*([1]CRITERIOS!$M$95+[1]CRITERIOS!$M$98)))/N676)</f>
        <v>#N/A</v>
      </c>
      <c r="AD676" s="33" t="e">
        <f>IF(N676=0,"",(ROUNDUP((N676/2)/(_xlfn.XLOOKUP(A676,'[1]DATOS PBI Artículos'!$A$4:$A$4,'[1]DATOS PBI Artículos'!$Z$4:$Z$4)*_xlfn.XLOOKUP(_xlfn.XLOOKUP(A676,'[1]DATOS PBI Artículos'!$A$4:$A$4,'[1]DATOS PBI Artículos'!$Y$4:$Y$4),[1]CRITERIOS!$P$79:$P$123,[1]CRITERIOS!$S$79:$S$123)),0)*[1]CRITERIOS!$M$80*([1]CRITERIOS!$M$89*[1]CRITERIOS!$M$92)+((_xlfn.XLOOKUP(A676,'[1]DATOS PBI Artículos'!$A$4:$A$4,'[1]DATOS PBI Artículos'!$AA$4:$AA$4)/2)*([1]CRITERIOS!$M$95+[1]CRITERIOS!$M$98)))/N676)</f>
        <v>#N/A</v>
      </c>
      <c r="AE676" s="39" t="e">
        <f>IF($R676="MTO","",
IF($H676=0,ROUNDUP(((_xlfn.XLOOKUP($A676,'[1]DATOS PBI Artículos'!$A:$A,'[1]DATOS PBI Artículos'!$AL:$AL))/(_xlfn.XLOOKUP($AF$1,[1]CRITERIOS!$S$16:$S$39,[1]CRITERIOS!$Y$16:$Y$39))*$J676+$Z676)/$G676,0)*$G676,
((_xlfn.XLOOKUP($A676,'[1]DATOS PBI Artículos'!$A:$A,'[1]DATOS PBI Artículos'!$AL:$AL))/(_xlfn.XLOOKUP($AF$1,[1]CRITERIOS!$S$16:$S$39,[1]CRITERIOS!$Y$16:$Y$39))*$J676+$Z676)))</f>
        <v>#N/A</v>
      </c>
      <c r="AG676" s="39" t="e">
        <f>IF($R676="MTO","",
IF($H676=0,ROUNDUP(((_xlfn.XLOOKUP($A676,'[1]DATOS PBI Artículos'!$A:$A,'[1]DATOS PBI Artículos'!$AM:$AM))/(_xlfn.XLOOKUP($AH$1,[1]CRITERIOS!$S$16:$S$39,[1]CRITERIOS!$Y$16:$Y$39))*$J676+$Z676)/$G676,0)*$G676,
((_xlfn.XLOOKUP($A676,'[1]DATOS PBI Artículos'!$A:$A,'[1]DATOS PBI Artículos'!$AM:$AM))/(_xlfn.XLOOKUP($AH$1,[1]CRITERIOS!$S$16:$S$39,[1]CRITERIOS!$Y$16:$Y$39))*$J676+$Z676)))</f>
        <v>#N/A</v>
      </c>
      <c r="AI676" s="39" t="e">
        <f>IF($R676="MTO","",
IF($H676=0,ROUNDUP(((_xlfn.XLOOKUP($A676,'[1]DATOS PBI Artículos'!$A:$A,'[1]DATOS PBI Artículos'!$AN:$AN))/(_xlfn.XLOOKUP($AJ$1,[1]CRITERIOS!$S$16:$S$39,[1]CRITERIOS!$Y$16:$Y$39))*$J676+$Z676)/$G676,0)*$G676,
((_xlfn.XLOOKUP($A676,'[1]DATOS PBI Artículos'!$A:$A,'[1]DATOS PBI Artículos'!$AN:$AN))/(_xlfn.XLOOKUP($AJ$1,[1]CRITERIOS!$S$16:$S$39,[1]CRITERIOS!$Y$16:$Y$39))*$J676+$Z676)))</f>
        <v>#N/A</v>
      </c>
      <c r="AK676" s="39" t="e">
        <f>IF($R676="MTO","",
IF($H676=0,ROUNDUP(((_xlfn.XLOOKUP($A676,'[1]DATOS PBI Artículos'!$A:$A,'[1]DATOS PBI Artículos'!$AO:$AO))/(_xlfn.XLOOKUP($AL$1,[1]CRITERIOS!$S$16:$S$39,[1]CRITERIOS!$Y$16:$Y$39))*$J676+$Z676)/$G676,0)*$G676,
((_xlfn.XLOOKUP($A676,'[1]DATOS PBI Artículos'!$A:$A,'[1]DATOS PBI Artículos'!$AO:$AO))/(_xlfn.XLOOKUP($AL$1,[1]CRITERIOS!$S$16:$S$39,[1]CRITERIOS!$Y$16:$Y$39))*$J676+$Z676)))</f>
        <v>#N/A</v>
      </c>
    </row>
    <row r="677" spans="1:37" ht="25.8" hidden="1" x14ac:dyDescent="0.4">
      <c r="A677" s="41"/>
      <c r="B677" s="33">
        <f>_xlfn.XLOOKUP($A677,'[1]DATOS PBI Artículos'!A:A,'[1]DATOS PBI Artículos'!B:B)</f>
        <v>0</v>
      </c>
      <c r="C677" s="33">
        <f>_xlfn.XLOOKUP($A677,'[1]DATOS PBI Artículos'!A:A,'[1]DATOS PBI Artículos'!C:C)</f>
        <v>0</v>
      </c>
      <c r="D677" s="33">
        <f>_xlfn.XLOOKUP(A677,'[1]DATOS PBI Artículos'!A:A,'[1]DATOS PBI Artículos'!T:T)</f>
        <v>0</v>
      </c>
      <c r="E677" s="34">
        <f>IF(_xlfn.XLOOKUP($A677,'[1]DATOS PBI Artículos'!A:A,'[1]DATOS PBI Artículos'!AK:AK)="",_xlfn.XLOOKUP($A677,'[1]DATOS PBI Artículos'!A:A,'[1]DATOS PBI Artículos'!AJ:AJ),_xlfn.XLOOKUP($A677,'[1]DATOS PBI Artículos'!A:A,'[1]DATOS PBI Artículos'!AK:AK))</f>
        <v>0</v>
      </c>
      <c r="F677" s="35">
        <f>_xlfn.XLOOKUP($A677,'[1]DATOS PBI Artículos'!A:A,'[1]DATOS PBI Artículos'!AP:AP)</f>
        <v>0</v>
      </c>
      <c r="G677" s="34">
        <f>_xlfn.XLOOKUP($A677,'[1]DATOS PBI Artículos'!A:A,'[1]DATOS PBI Artículos'!AR:AR)</f>
        <v>0</v>
      </c>
      <c r="H677" s="34">
        <f>_xlfn.XLOOKUP($A677,'[1]DATOS PBI Artículos'!A:A,'[1]DATOS PBI Artículos'!AT:AT)</f>
        <v>0</v>
      </c>
      <c r="I677" s="34">
        <f>_xlfn.XLOOKUP($A677,'[1]DATOS PBI Artículos'!A:A,'[1]DATOS PBI Artículos'!AS:AS)</f>
        <v>0</v>
      </c>
      <c r="J677" s="35">
        <f>IF(COUNTIF([1]CRITERIOS!$F$179:$F$199,$A677)&gt;=1,
 IF(O677&lt;&gt;"",
    (O677/_xlfn.XLOOKUP(CONCATENATE(A677,L677),[1]MÁQUINAS!A:A,[1]MÁQUINAS!D:D))/24,
    (N677/_xlfn.XLOOKUP(CONCATENATE(A677,L677),[1]MÁQUINAS!A:A,[1]MÁQUINAS!D:D))/24),
  _xlfn.XLOOKUP($A677,'[1]DATOS PBI Artículos'!A:A,'[1]DATOS PBI Artículos'!AU:AU))</f>
        <v>0</v>
      </c>
      <c r="K677" s="36">
        <f>_xlfn.XLOOKUP($A677,'[1]DATOS PBI Artículos'!A:A,'[1]DATOS PBI Artículos'!AV:AV)</f>
        <v>0</v>
      </c>
      <c r="L677" s="33">
        <f>_xlfn.XLOOKUP(A677,[1]MÁQUINAS!B:B,[1]MÁQUINAS!C:C)</f>
        <v>0</v>
      </c>
      <c r="M677" s="34">
        <f t="array" ref="M677">_xlfn.XLOOKUP(A677,'[1]DATOS PBI Artículos'!A:A,'[1]DATOS PBI Artículos'!AX:$AX)</f>
        <v>0</v>
      </c>
      <c r="N677" s="37" t="e">
        <f>IF(I677="DV",
E677,
IF(COUNTIF([1]CRITERIOS!$I$179:$I$199,$A677)&gt;=1,
_xlfn.XLOOKUP($A677,[1]CRITERIOS!$I$179:$I$199,[1]CRITERIOS!$J$179:$J$199),
IF(COUNTIF([1]CRITERIOS!$L$179:$L$199,$A677)&gt;=1,
_xlfn.CEILING.MATH(IF($M677&gt;$E677,
$E677,
IF($M677&lt;$E677/ROUNDDOWN([1]CRITERIOS!$M$16/_xlfn.XLOOKUP($C677,[1]CRITERIOS!$K$25:$K$42,[1]CRITERIOS!$M$25:$M$42),
1),
E677/ROUNDDOWN([1]CRITERIOS!$M$16/_xlfn.XLOOKUP($C677,[1]CRITERIOS!$K$25:$K$42,[1]CRITERIOS!$M$25:$M$42),
1),
$M677)),
_xlfn.XLOOKUP($A677,[1]CRITERIOS!$L$179:$L$200,[1]CRITERIOS!$M$179:$M$200)),
_xlfn.CEILING.MATH(IF($M677&gt;$E677,
$E677,
IF($M677&lt;$E677/ROUNDDOWN([1]CRITERIOS!$M$16/_xlfn.XLOOKUP($C677,[1]CRITERIOS!$K$25:$K$42,[1]CRITERIOS!$M$25:$M$42),
1),
E677/ROUNDDOWN([1]CRITERIOS!$M$16/_xlfn.XLOOKUP($C677,[1]CRITERIOS!$K$25:$K$42,[1]CRITERIOS!$M$25:$M$42),
1),
$M677)),_xlfn.XLOOKUP(A677,'[1]DATOS PBI Artículos'!A:A,'[1]DATOS PBI Artículos'!Z:Z
)))))</f>
        <v>#N/A</v>
      </c>
      <c r="Q677" s="38" t="e">
        <f>IF(AND(O677="",N677=0),
0,
   IF(COUNTIF([1]CRITERIOS!$F$179:$F$199,$A677)&gt;=1,
   1,
   IF(R677="MTO",
      $D677,
      ROUNDUP(
                    IF(($E677-SUMIF('[1]DATOS PBI Artículos'!A:A,A677,'[1]DATOS PBI Artículos'!X:X)+($V677-_xlfn.XLOOKUP(A677,'[1]DATOS PBI Artículos'!A:A,'[1]DATOS PBI Artículos'!W:W)))&lt;0,
                    0,
                    IF(($E677-SUMIF('[1]DATOS PBI Artículos'!A:A,A677,'[1]DATOS PBI Artículos'!X:X)+$V677-_xlfn.XLOOKUP($A677,'[1]DATOS PBI Artículos'!A:A,'[1]DATOS PBI Artículos'!W:W))/IF($O677="",$N677,$O677)&gt;ROUNDUP([1]CRITERIOS!$M$16/(IF(COUNTIF([1]CRITERIOS!$BG$11:$BG$201,L677)&gt;=1,_xlfn.XLOOKUP($C677,[1]CRITERIOS!$K$25:$K$42,[1]CRITERIOS!$M$25:$M$42),_xlfn.XLOOKUP($C677,[1]CRITERIOS!$K$25:$K$42,[1]CRITERIOS!$M$25:$M$42))),0),
                    ROUNDUP([1]CRITERIOS!$M$16/(IF(COUNTIF([1]CRITERIOS!$BG$11:$BG$201,$L677)&gt;=1,_xlfn.XLOOKUP($C677,[1]CRITERIOS!$K$25:$K$42,[1]CRITERIOS!$M$25:$M$42),_xlfn.XLOOKUP($C677,[1]CRITERIOS!$K$25:$K$42,[1]CRITERIOS!$M$25:$M$42))),0),
                    (E677+V677-SUMIF('[1]DATOS PBI Artículos'!A:A,A677,'[1]DATOS PBI Artículos'!X:X)-_xlfn.XLOOKUP(A677,'[1]DATOS PBI Artículos'!A:A,'[1]DATOS PBI Artículos'!W:W))/IF($O677="",$N677,$O677))),0))))</f>
        <v>#N/A</v>
      </c>
      <c r="R677" s="33" t="e">
        <f>IF(U677&lt;&gt;"",U677,IF(F677="DV","MTO",IF(N677=0,"MTO",_xlfn.XLOOKUP(CONCATENATE(S677,T677),[1]CRITERIOS!$K$160:$K$168,[1]CRITERIOS!$N$160:$N$168))))</f>
        <v>#N/A</v>
      </c>
      <c r="S677" s="33" t="e">
        <f>IF(G677="DV","MTO",IF(N677=0,"MTO",IF(OR(AND(N677=0,O677=""),IF(O677="",G677/N677,G677/O677)&gt;[1]CRITERIOS!$G$163),"MTO",IF(IF(O677="",G677/N677,G677/O677)&lt;[1]CRITERIOS!$H$161,"MTS","MTOS"))))</f>
        <v>#N/A</v>
      </c>
      <c r="T677" s="33" t="e">
        <f>IF(F677="DV","MTO",IF(OR(AND($N677=0,O677=""),$F677/$J677&gt;[1]CRITERIOS!$G$170,$F677="DV"),"MTO",IF($F677/$J677&lt;[1]CRITERIOS!$H$168,"MTS","MTOS")))</f>
        <v>#N/A</v>
      </c>
      <c r="V677" s="34" t="e">
        <f t="shared" si="34"/>
        <v>#N/A</v>
      </c>
      <c r="X677" s="34" t="e">
        <f t="shared" si="32"/>
        <v>#N/A</v>
      </c>
      <c r="Y677" s="34" t="e">
        <f t="shared" si="33"/>
        <v>#N/A</v>
      </c>
      <c r="Z677" s="34" t="e">
        <f>IF($R677="MTO",
0,
($H677+$K677*($E677/[1]CRITERIOS!$M$16))/[1]CRITERIOS!$X$48)</f>
        <v>#N/A</v>
      </c>
      <c r="AA677" s="34" t="e">
        <f>ROUNDUP(($Y677/_xlfn.XLOOKUP($A677,'[1]DATOS PBI Artículos'!$A$4:$A$4,'[1]DATOS PBI Artículos'!$Z$4:$Z$4))/_xlfn.XLOOKUP(_xlfn.XLOOKUP($A677,'[1]DATOS PBI Artículos'!$A$4:$A$4,'[1]DATOS PBI Artículos'!$Y$4:$Y$4),[1]CRITERIOS!$P$79:$P$123,[1]CRITERIOS!$S$79:$S$123,),0)</f>
        <v>#N/A</v>
      </c>
      <c r="AB677" s="33" t="e">
        <f t="array" ref="AB677">IF((E677+V677-_xlfn.XLOOKUP(A677,'[1]DATOS PBI Artículos'!$A$4:$A$4,'[1]DATOS PBI Artículos'!$W$4:$W$4))/N677&gt;ROUNDUP([1]CRITERIOS!$M$16/(IF(COUNTIF([1]CRITERIOS!$BG$11:$BG$201,L677)&gt;=1,_xlfn.XLOOKUP(ARTÍCULOS!L677,[1]CRITERIOS!$BG$11:$BG$201,[1]CRITERIOS!$BJ$11:$BJ$201),_xlfn.XLOOKUP(ARTÍCULOS!C677,[1]CRITERIOS!$K$25:$K$42,[1]CRITERIOS!$M$25:$M$42))),0),ROUNDUP([1]CRITERIOS!$M$16/(IF(COUNTIF([1]CRITERIOS!$BG$11:$BG$201,L677)&gt;=1,_xlfn.XLOOKUP(ARTÍCULOS!L677,[1]CRITERIOS!$BG$11:$BG$201:#REF!,[1]CRITERIOS!$BJ$11:$BJ$201),_xlfn.XLOOKUP(ARTÍCULOS!C677,[1]CRITERIOS!$K$25:$K$42,[1]CRITERIOS!$M$25:$M$42))),0),(E677+V677-_xlfn.XLOOKUP(A677,'[1]DATOS PBI Artículos'!$A$4:$A$4,'[1]DATOS PBI Artículos'!$W$4:$W$4))/N677)</f>
        <v>#N/A</v>
      </c>
      <c r="AC677" s="33" t="e">
        <f>IF(N677=0,"",(ROUNDUP((N677/2)/(_xlfn.XLOOKUP(A677,'[1]DATOS PBI Artículos'!$A$4:$A$4,'[1]DATOS PBI Artículos'!$Z$4:$Z$4)*_xlfn.XLOOKUP(_xlfn.XLOOKUP(A677,'[1]DATOS PBI Artículos'!$A$4:$A$4,'[1]DATOS PBI Artículos'!$Y$4:$Y$4),[1]CRITERIOS!$P$79:$P$123,[1]CRITERIOS!$S$79:$S$123)),0)*[1]CRITERIOS!$M$80*([1]CRITERIOS!$M$110/[1]CRITERIOS!$M$86)+(_xlfn.XLOOKUP(A677,'[1]DATOS PBI Artículos'!$A$4:$A$4,'[1]DATOS PBI Artículos'!$AA$4:$AA$4)*([1]CRITERIOS!$M$95+[1]CRITERIOS!$M$98)))/N677)</f>
        <v>#N/A</v>
      </c>
      <c r="AD677" s="33" t="e">
        <f>IF(N677=0,"",(ROUNDUP((N677/2)/(_xlfn.XLOOKUP(A677,'[1]DATOS PBI Artículos'!$A$4:$A$4,'[1]DATOS PBI Artículos'!$Z$4:$Z$4)*_xlfn.XLOOKUP(_xlfn.XLOOKUP(A677,'[1]DATOS PBI Artículos'!$A$4:$A$4,'[1]DATOS PBI Artículos'!$Y$4:$Y$4),[1]CRITERIOS!$P$79:$P$123,[1]CRITERIOS!$S$79:$S$123)),0)*[1]CRITERIOS!$M$80*([1]CRITERIOS!$M$89*[1]CRITERIOS!$M$92)+((_xlfn.XLOOKUP(A677,'[1]DATOS PBI Artículos'!$A$4:$A$4,'[1]DATOS PBI Artículos'!$AA$4:$AA$4)/2)*([1]CRITERIOS!$M$95+[1]CRITERIOS!$M$98)))/N677)</f>
        <v>#N/A</v>
      </c>
      <c r="AE677" s="39" t="e">
        <f>IF($R677="MTO","",
IF($H677=0,ROUNDUP(((_xlfn.XLOOKUP($A677,'[1]DATOS PBI Artículos'!$A:$A,'[1]DATOS PBI Artículos'!$AL:$AL))/(_xlfn.XLOOKUP($AF$1,[1]CRITERIOS!$S$16:$S$39,[1]CRITERIOS!$Y$16:$Y$39))*$J677+$Z677)/$G677,0)*$G677,
((_xlfn.XLOOKUP($A677,'[1]DATOS PBI Artículos'!$A:$A,'[1]DATOS PBI Artículos'!$AL:$AL))/(_xlfn.XLOOKUP($AF$1,[1]CRITERIOS!$S$16:$S$39,[1]CRITERIOS!$Y$16:$Y$39))*$J677+$Z677)))</f>
        <v>#N/A</v>
      </c>
      <c r="AG677" s="39" t="e">
        <f>IF($R677="MTO","",
IF($H677=0,ROUNDUP(((_xlfn.XLOOKUP($A677,'[1]DATOS PBI Artículos'!$A:$A,'[1]DATOS PBI Artículos'!$AM:$AM))/(_xlfn.XLOOKUP($AH$1,[1]CRITERIOS!$S$16:$S$39,[1]CRITERIOS!$Y$16:$Y$39))*$J677+$Z677)/$G677,0)*$G677,
((_xlfn.XLOOKUP($A677,'[1]DATOS PBI Artículos'!$A:$A,'[1]DATOS PBI Artículos'!$AM:$AM))/(_xlfn.XLOOKUP($AH$1,[1]CRITERIOS!$S$16:$S$39,[1]CRITERIOS!$Y$16:$Y$39))*$J677+$Z677)))</f>
        <v>#N/A</v>
      </c>
      <c r="AI677" s="39" t="e">
        <f>IF($R677="MTO","",
IF($H677=0,ROUNDUP(((_xlfn.XLOOKUP($A677,'[1]DATOS PBI Artículos'!$A:$A,'[1]DATOS PBI Artículos'!$AN:$AN))/(_xlfn.XLOOKUP($AJ$1,[1]CRITERIOS!$S$16:$S$39,[1]CRITERIOS!$Y$16:$Y$39))*$J677+$Z677)/$G677,0)*$G677,
((_xlfn.XLOOKUP($A677,'[1]DATOS PBI Artículos'!$A:$A,'[1]DATOS PBI Artículos'!$AN:$AN))/(_xlfn.XLOOKUP($AJ$1,[1]CRITERIOS!$S$16:$S$39,[1]CRITERIOS!$Y$16:$Y$39))*$J677+$Z677)))</f>
        <v>#N/A</v>
      </c>
      <c r="AK677" s="39" t="e">
        <f>IF($R677="MTO","",
IF($H677=0,ROUNDUP(((_xlfn.XLOOKUP($A677,'[1]DATOS PBI Artículos'!$A:$A,'[1]DATOS PBI Artículos'!$AO:$AO))/(_xlfn.XLOOKUP($AL$1,[1]CRITERIOS!$S$16:$S$39,[1]CRITERIOS!$Y$16:$Y$39))*$J677+$Z677)/$G677,0)*$G677,
((_xlfn.XLOOKUP($A677,'[1]DATOS PBI Artículos'!$A:$A,'[1]DATOS PBI Artículos'!$AO:$AO))/(_xlfn.XLOOKUP($AL$1,[1]CRITERIOS!$S$16:$S$39,[1]CRITERIOS!$Y$16:$Y$39))*$J677+$Z677)))</f>
        <v>#N/A</v>
      </c>
    </row>
    <row r="678" spans="1:37" ht="25.8" hidden="1" x14ac:dyDescent="0.4">
      <c r="A678" s="41"/>
      <c r="B678" s="33">
        <f>_xlfn.XLOOKUP($A678,'[1]DATOS PBI Artículos'!A:A,'[1]DATOS PBI Artículos'!B:B)</f>
        <v>0</v>
      </c>
      <c r="C678" s="33">
        <f>_xlfn.XLOOKUP($A678,'[1]DATOS PBI Artículos'!A:A,'[1]DATOS PBI Artículos'!C:C)</f>
        <v>0</v>
      </c>
      <c r="D678" s="33">
        <f>_xlfn.XLOOKUP(A678,'[1]DATOS PBI Artículos'!A:A,'[1]DATOS PBI Artículos'!T:T)</f>
        <v>0</v>
      </c>
      <c r="E678" s="34">
        <f>IF(_xlfn.XLOOKUP($A678,'[1]DATOS PBI Artículos'!A:A,'[1]DATOS PBI Artículos'!AK:AK)="",_xlfn.XLOOKUP($A678,'[1]DATOS PBI Artículos'!A:A,'[1]DATOS PBI Artículos'!AJ:AJ),_xlfn.XLOOKUP($A678,'[1]DATOS PBI Artículos'!A:A,'[1]DATOS PBI Artículos'!AK:AK))</f>
        <v>0</v>
      </c>
      <c r="F678" s="35">
        <f>_xlfn.XLOOKUP($A678,'[1]DATOS PBI Artículos'!A:A,'[1]DATOS PBI Artículos'!AP:AP)</f>
        <v>0</v>
      </c>
      <c r="G678" s="34">
        <f>_xlfn.XLOOKUP($A678,'[1]DATOS PBI Artículos'!A:A,'[1]DATOS PBI Artículos'!AR:AR)</f>
        <v>0</v>
      </c>
      <c r="H678" s="34">
        <f>_xlfn.XLOOKUP($A678,'[1]DATOS PBI Artículos'!A:A,'[1]DATOS PBI Artículos'!AT:AT)</f>
        <v>0</v>
      </c>
      <c r="I678" s="34">
        <f>_xlfn.XLOOKUP($A678,'[1]DATOS PBI Artículos'!A:A,'[1]DATOS PBI Artículos'!AS:AS)</f>
        <v>0</v>
      </c>
      <c r="J678" s="35">
        <f>IF(COUNTIF([1]CRITERIOS!$F$179:$F$199,$A678)&gt;=1,
 IF(O678&lt;&gt;"",
    (O678/_xlfn.XLOOKUP(CONCATENATE(A678,L678),[1]MÁQUINAS!A:A,[1]MÁQUINAS!D:D))/24,
    (N678/_xlfn.XLOOKUP(CONCATENATE(A678,L678),[1]MÁQUINAS!A:A,[1]MÁQUINAS!D:D))/24),
  _xlfn.XLOOKUP($A678,'[1]DATOS PBI Artículos'!A:A,'[1]DATOS PBI Artículos'!AU:AU))</f>
        <v>0</v>
      </c>
      <c r="K678" s="36">
        <f>_xlfn.XLOOKUP($A678,'[1]DATOS PBI Artículos'!A:A,'[1]DATOS PBI Artículos'!AV:AV)</f>
        <v>0</v>
      </c>
      <c r="L678" s="33">
        <f>_xlfn.XLOOKUP(A678,[1]MÁQUINAS!B:B,[1]MÁQUINAS!C:C)</f>
        <v>0</v>
      </c>
      <c r="M678" s="34">
        <f t="array" ref="M678">_xlfn.XLOOKUP(A678,'[1]DATOS PBI Artículos'!A:A,'[1]DATOS PBI Artículos'!AX:$AX)</f>
        <v>0</v>
      </c>
      <c r="N678" s="37" t="e">
        <f>IF(I678="DV",
E678,
IF(COUNTIF([1]CRITERIOS!$I$179:$I$199,$A678)&gt;=1,
_xlfn.XLOOKUP($A678,[1]CRITERIOS!$I$179:$I$199,[1]CRITERIOS!$J$179:$J$199),
IF(COUNTIF([1]CRITERIOS!$L$179:$L$199,$A678)&gt;=1,
_xlfn.CEILING.MATH(IF($M678&gt;$E678,
$E678,
IF($M678&lt;$E678/ROUNDDOWN([1]CRITERIOS!$M$16/_xlfn.XLOOKUP($C678,[1]CRITERIOS!$K$25:$K$42,[1]CRITERIOS!$M$25:$M$42),
1),
E678/ROUNDDOWN([1]CRITERIOS!$M$16/_xlfn.XLOOKUP($C678,[1]CRITERIOS!$K$25:$K$42,[1]CRITERIOS!$M$25:$M$42),
1),
$M678)),
_xlfn.XLOOKUP($A678,[1]CRITERIOS!$L$179:$L$200,[1]CRITERIOS!$M$179:$M$200)),
_xlfn.CEILING.MATH(IF($M678&gt;$E678,
$E678,
IF($M678&lt;$E678/ROUNDDOWN([1]CRITERIOS!$M$16/_xlfn.XLOOKUP($C678,[1]CRITERIOS!$K$25:$K$42,[1]CRITERIOS!$M$25:$M$42),
1),
E678/ROUNDDOWN([1]CRITERIOS!$M$16/_xlfn.XLOOKUP($C678,[1]CRITERIOS!$K$25:$K$42,[1]CRITERIOS!$M$25:$M$42),
1),
$M678)),_xlfn.XLOOKUP(A678,'[1]DATOS PBI Artículos'!A:A,'[1]DATOS PBI Artículos'!Z:Z
)))))</f>
        <v>#N/A</v>
      </c>
      <c r="Q678" s="38" t="e">
        <f>IF(AND(O678="",N678=0),
0,
   IF(COUNTIF([1]CRITERIOS!$F$179:$F$199,$A678)&gt;=1,
   1,
   IF(R678="MTO",
      $D678,
      ROUNDUP(
                    IF(($E678-SUMIF('[1]DATOS PBI Artículos'!A:A,A678,'[1]DATOS PBI Artículos'!X:X)+($V678-_xlfn.XLOOKUP(A678,'[1]DATOS PBI Artículos'!A:A,'[1]DATOS PBI Artículos'!W:W)))&lt;0,
                    0,
                    IF(($E678-SUMIF('[1]DATOS PBI Artículos'!A:A,A678,'[1]DATOS PBI Artículos'!X:X)+$V678-_xlfn.XLOOKUP($A678,'[1]DATOS PBI Artículos'!A:A,'[1]DATOS PBI Artículos'!W:W))/IF($O678="",$N678,$O678)&gt;ROUNDUP([1]CRITERIOS!$M$16/(IF(COUNTIF([1]CRITERIOS!$BG$11:$BG$201,L678)&gt;=1,_xlfn.XLOOKUP($C678,[1]CRITERIOS!$K$25:$K$42,[1]CRITERIOS!$M$25:$M$42),_xlfn.XLOOKUP($C678,[1]CRITERIOS!$K$25:$K$42,[1]CRITERIOS!$M$25:$M$42))),0),
                    ROUNDUP([1]CRITERIOS!$M$16/(IF(COUNTIF([1]CRITERIOS!$BG$11:$BG$201,$L678)&gt;=1,_xlfn.XLOOKUP($C678,[1]CRITERIOS!$K$25:$K$42,[1]CRITERIOS!$M$25:$M$42),_xlfn.XLOOKUP($C678,[1]CRITERIOS!$K$25:$K$42,[1]CRITERIOS!$M$25:$M$42))),0),
                    (E678+V678-SUMIF('[1]DATOS PBI Artículos'!A:A,A678,'[1]DATOS PBI Artículos'!X:X)-_xlfn.XLOOKUP(A678,'[1]DATOS PBI Artículos'!A:A,'[1]DATOS PBI Artículos'!W:W))/IF($O678="",$N678,$O678))),0))))</f>
        <v>#N/A</v>
      </c>
      <c r="R678" s="33" t="e">
        <f>IF(U678&lt;&gt;"",U678,IF(F678="DV","MTO",IF(N678=0,"MTO",_xlfn.XLOOKUP(CONCATENATE(S678,T678),[1]CRITERIOS!$K$160:$K$168,[1]CRITERIOS!$N$160:$N$168))))</f>
        <v>#N/A</v>
      </c>
      <c r="S678" s="33" t="e">
        <f>IF(G678="DV","MTO",IF(N678=0,"MTO",IF(OR(AND(N678=0,O678=""),IF(O678="",G678/N678,G678/O678)&gt;[1]CRITERIOS!$G$163),"MTO",IF(IF(O678="",G678/N678,G678/O678)&lt;[1]CRITERIOS!$H$161,"MTS","MTOS"))))</f>
        <v>#N/A</v>
      </c>
      <c r="T678" s="33" t="e">
        <f>IF(F678="DV","MTO",IF(OR(AND($N678=0,O678=""),$F678/$J678&gt;[1]CRITERIOS!$G$170,$F678="DV"),"MTO",IF($F678/$J678&lt;[1]CRITERIOS!$H$168,"MTS","MTOS")))</f>
        <v>#N/A</v>
      </c>
      <c r="V678" s="34" t="e">
        <f t="shared" si="34"/>
        <v>#N/A</v>
      </c>
      <c r="X678" s="34" t="e">
        <f t="shared" si="32"/>
        <v>#N/A</v>
      </c>
      <c r="Y678" s="34" t="e">
        <f t="shared" si="33"/>
        <v>#N/A</v>
      </c>
      <c r="Z678" s="34" t="e">
        <f>IF($R678="MTO",
0,
($H678+$K678*($E678/[1]CRITERIOS!$M$16))/[1]CRITERIOS!$X$48)</f>
        <v>#N/A</v>
      </c>
      <c r="AA678" s="34" t="e">
        <f>ROUNDUP(($Y678/_xlfn.XLOOKUP($A678,'[1]DATOS PBI Artículos'!$A$4:$A$4,'[1]DATOS PBI Artículos'!$Z$4:$Z$4))/_xlfn.XLOOKUP(_xlfn.XLOOKUP($A678,'[1]DATOS PBI Artículos'!$A$4:$A$4,'[1]DATOS PBI Artículos'!$Y$4:$Y$4),[1]CRITERIOS!$P$79:$P$123,[1]CRITERIOS!$S$79:$S$123,),0)</f>
        <v>#N/A</v>
      </c>
      <c r="AB678" s="33" t="e">
        <f t="array" ref="AB678">IF((E678+V678-_xlfn.XLOOKUP(A678,'[1]DATOS PBI Artículos'!$A$4:$A$4,'[1]DATOS PBI Artículos'!$W$4:$W$4))/N678&gt;ROUNDUP([1]CRITERIOS!$M$16/(IF(COUNTIF([1]CRITERIOS!$BG$11:$BG$201,L678)&gt;=1,_xlfn.XLOOKUP(ARTÍCULOS!L678,[1]CRITERIOS!$BG$11:$BG$201,[1]CRITERIOS!$BJ$11:$BJ$201),_xlfn.XLOOKUP(ARTÍCULOS!C678,[1]CRITERIOS!$K$25:$K$42,[1]CRITERIOS!$M$25:$M$42))),0),ROUNDUP([1]CRITERIOS!$M$16/(IF(COUNTIF([1]CRITERIOS!$BG$11:$BG$201,L678)&gt;=1,_xlfn.XLOOKUP(ARTÍCULOS!L678,[1]CRITERIOS!$BG$11:$BG$201:#REF!,[1]CRITERIOS!$BJ$11:$BJ$201),_xlfn.XLOOKUP(ARTÍCULOS!C678,[1]CRITERIOS!$K$25:$K$42,[1]CRITERIOS!$M$25:$M$42))),0),(E678+V678-_xlfn.XLOOKUP(A678,'[1]DATOS PBI Artículos'!$A$4:$A$4,'[1]DATOS PBI Artículos'!$W$4:$W$4))/N678)</f>
        <v>#N/A</v>
      </c>
      <c r="AC678" s="33" t="e">
        <f>IF(N678=0,"",(ROUNDUP((N678/2)/(_xlfn.XLOOKUP(A678,'[1]DATOS PBI Artículos'!$A$4:$A$4,'[1]DATOS PBI Artículos'!$Z$4:$Z$4)*_xlfn.XLOOKUP(_xlfn.XLOOKUP(A678,'[1]DATOS PBI Artículos'!$A$4:$A$4,'[1]DATOS PBI Artículos'!$Y$4:$Y$4),[1]CRITERIOS!$P$79:$P$123,[1]CRITERIOS!$S$79:$S$123)),0)*[1]CRITERIOS!$M$80*([1]CRITERIOS!$M$110/[1]CRITERIOS!$M$86)+(_xlfn.XLOOKUP(A678,'[1]DATOS PBI Artículos'!$A$4:$A$4,'[1]DATOS PBI Artículos'!$AA$4:$AA$4)*([1]CRITERIOS!$M$95+[1]CRITERIOS!$M$98)))/N678)</f>
        <v>#N/A</v>
      </c>
      <c r="AD678" s="33" t="e">
        <f>IF(N678=0,"",(ROUNDUP((N678/2)/(_xlfn.XLOOKUP(A678,'[1]DATOS PBI Artículos'!$A$4:$A$4,'[1]DATOS PBI Artículos'!$Z$4:$Z$4)*_xlfn.XLOOKUP(_xlfn.XLOOKUP(A678,'[1]DATOS PBI Artículos'!$A$4:$A$4,'[1]DATOS PBI Artículos'!$Y$4:$Y$4),[1]CRITERIOS!$P$79:$P$123,[1]CRITERIOS!$S$79:$S$123)),0)*[1]CRITERIOS!$M$80*([1]CRITERIOS!$M$89*[1]CRITERIOS!$M$92)+((_xlfn.XLOOKUP(A678,'[1]DATOS PBI Artículos'!$A$4:$A$4,'[1]DATOS PBI Artículos'!$AA$4:$AA$4)/2)*([1]CRITERIOS!$M$95+[1]CRITERIOS!$M$98)))/N678)</f>
        <v>#N/A</v>
      </c>
      <c r="AE678" s="39" t="e">
        <f>IF($R678="MTO","",
IF($H678=0,ROUNDUP(((_xlfn.XLOOKUP($A678,'[1]DATOS PBI Artículos'!$A:$A,'[1]DATOS PBI Artículos'!$AL:$AL))/(_xlfn.XLOOKUP($AF$1,[1]CRITERIOS!$S$16:$S$39,[1]CRITERIOS!$Y$16:$Y$39))*$J678+$Z678)/$G678,0)*$G678,
((_xlfn.XLOOKUP($A678,'[1]DATOS PBI Artículos'!$A:$A,'[1]DATOS PBI Artículos'!$AL:$AL))/(_xlfn.XLOOKUP($AF$1,[1]CRITERIOS!$S$16:$S$39,[1]CRITERIOS!$Y$16:$Y$39))*$J678+$Z678)))</f>
        <v>#N/A</v>
      </c>
      <c r="AG678" s="39" t="e">
        <f>IF($R678="MTO","",
IF($H678=0,ROUNDUP(((_xlfn.XLOOKUP($A678,'[1]DATOS PBI Artículos'!$A:$A,'[1]DATOS PBI Artículos'!$AM:$AM))/(_xlfn.XLOOKUP($AH$1,[1]CRITERIOS!$S$16:$S$39,[1]CRITERIOS!$Y$16:$Y$39))*$J678+$Z678)/$G678,0)*$G678,
((_xlfn.XLOOKUP($A678,'[1]DATOS PBI Artículos'!$A:$A,'[1]DATOS PBI Artículos'!$AM:$AM))/(_xlfn.XLOOKUP($AH$1,[1]CRITERIOS!$S$16:$S$39,[1]CRITERIOS!$Y$16:$Y$39))*$J678+$Z678)))</f>
        <v>#N/A</v>
      </c>
      <c r="AI678" s="39" t="e">
        <f>IF($R678="MTO","",
IF($H678=0,ROUNDUP(((_xlfn.XLOOKUP($A678,'[1]DATOS PBI Artículos'!$A:$A,'[1]DATOS PBI Artículos'!$AN:$AN))/(_xlfn.XLOOKUP($AJ$1,[1]CRITERIOS!$S$16:$S$39,[1]CRITERIOS!$Y$16:$Y$39))*$J678+$Z678)/$G678,0)*$G678,
((_xlfn.XLOOKUP($A678,'[1]DATOS PBI Artículos'!$A:$A,'[1]DATOS PBI Artículos'!$AN:$AN))/(_xlfn.XLOOKUP($AJ$1,[1]CRITERIOS!$S$16:$S$39,[1]CRITERIOS!$Y$16:$Y$39))*$J678+$Z678)))</f>
        <v>#N/A</v>
      </c>
      <c r="AK678" s="39" t="e">
        <f>IF($R678="MTO","",
IF($H678=0,ROUNDUP(((_xlfn.XLOOKUP($A678,'[1]DATOS PBI Artículos'!$A:$A,'[1]DATOS PBI Artículos'!$AO:$AO))/(_xlfn.XLOOKUP($AL$1,[1]CRITERIOS!$S$16:$S$39,[1]CRITERIOS!$Y$16:$Y$39))*$J678+$Z678)/$G678,0)*$G678,
((_xlfn.XLOOKUP($A678,'[1]DATOS PBI Artículos'!$A:$A,'[1]DATOS PBI Artículos'!$AO:$AO))/(_xlfn.XLOOKUP($AL$1,[1]CRITERIOS!$S$16:$S$39,[1]CRITERIOS!$Y$16:$Y$39))*$J678+$Z678)))</f>
        <v>#N/A</v>
      </c>
    </row>
    <row r="679" spans="1:37" ht="25.8" hidden="1" x14ac:dyDescent="0.4">
      <c r="A679" s="41"/>
      <c r="B679" s="33">
        <f>_xlfn.XLOOKUP($A679,'[1]DATOS PBI Artículos'!A:A,'[1]DATOS PBI Artículos'!B:B)</f>
        <v>0</v>
      </c>
      <c r="C679" s="33">
        <f>_xlfn.XLOOKUP($A679,'[1]DATOS PBI Artículos'!A:A,'[1]DATOS PBI Artículos'!C:C)</f>
        <v>0</v>
      </c>
      <c r="D679" s="33">
        <f>_xlfn.XLOOKUP(A679,'[1]DATOS PBI Artículos'!A:A,'[1]DATOS PBI Artículos'!T:T)</f>
        <v>0</v>
      </c>
      <c r="E679" s="34">
        <f>IF(_xlfn.XLOOKUP($A679,'[1]DATOS PBI Artículos'!A:A,'[1]DATOS PBI Artículos'!AK:AK)="",_xlfn.XLOOKUP($A679,'[1]DATOS PBI Artículos'!A:A,'[1]DATOS PBI Artículos'!AJ:AJ),_xlfn.XLOOKUP($A679,'[1]DATOS PBI Artículos'!A:A,'[1]DATOS PBI Artículos'!AK:AK))</f>
        <v>0</v>
      </c>
      <c r="F679" s="35">
        <f>_xlfn.XLOOKUP($A679,'[1]DATOS PBI Artículos'!A:A,'[1]DATOS PBI Artículos'!AP:AP)</f>
        <v>0</v>
      </c>
      <c r="G679" s="34">
        <f>_xlfn.XLOOKUP($A679,'[1]DATOS PBI Artículos'!A:A,'[1]DATOS PBI Artículos'!AR:AR)</f>
        <v>0</v>
      </c>
      <c r="H679" s="34">
        <f>_xlfn.XLOOKUP($A679,'[1]DATOS PBI Artículos'!A:A,'[1]DATOS PBI Artículos'!AT:AT)</f>
        <v>0</v>
      </c>
      <c r="I679" s="34">
        <f>_xlfn.XLOOKUP($A679,'[1]DATOS PBI Artículos'!A:A,'[1]DATOS PBI Artículos'!AS:AS)</f>
        <v>0</v>
      </c>
      <c r="J679" s="35">
        <f>IF(COUNTIF([1]CRITERIOS!$F$179:$F$199,$A679)&gt;=1,
 IF(O679&lt;&gt;"",
    (O679/_xlfn.XLOOKUP(CONCATENATE(A679,L679),[1]MÁQUINAS!A:A,[1]MÁQUINAS!D:D))/24,
    (N679/_xlfn.XLOOKUP(CONCATENATE(A679,L679),[1]MÁQUINAS!A:A,[1]MÁQUINAS!D:D))/24),
  _xlfn.XLOOKUP($A679,'[1]DATOS PBI Artículos'!A:A,'[1]DATOS PBI Artículos'!AU:AU))</f>
        <v>0</v>
      </c>
      <c r="K679" s="36">
        <f>_xlfn.XLOOKUP($A679,'[1]DATOS PBI Artículos'!A:A,'[1]DATOS PBI Artículos'!AV:AV)</f>
        <v>0</v>
      </c>
      <c r="L679" s="33">
        <f>_xlfn.XLOOKUP(A679,[1]MÁQUINAS!B:B,[1]MÁQUINAS!C:C)</f>
        <v>0</v>
      </c>
      <c r="M679" s="34">
        <f t="array" ref="M679">_xlfn.XLOOKUP(A679,'[1]DATOS PBI Artículos'!A:A,'[1]DATOS PBI Artículos'!AX:$AX)</f>
        <v>0</v>
      </c>
      <c r="N679" s="37" t="e">
        <f>IF(I679="DV",
E679,
IF(COUNTIF([1]CRITERIOS!$I$179:$I$199,$A679)&gt;=1,
_xlfn.XLOOKUP($A679,[1]CRITERIOS!$I$179:$I$199,[1]CRITERIOS!$J$179:$J$199),
IF(COUNTIF([1]CRITERIOS!$L$179:$L$199,$A679)&gt;=1,
_xlfn.CEILING.MATH(IF($M679&gt;$E679,
$E679,
IF($M679&lt;$E679/ROUNDDOWN([1]CRITERIOS!$M$16/_xlfn.XLOOKUP($C679,[1]CRITERIOS!$K$25:$K$42,[1]CRITERIOS!$M$25:$M$42),
1),
E679/ROUNDDOWN([1]CRITERIOS!$M$16/_xlfn.XLOOKUP($C679,[1]CRITERIOS!$K$25:$K$42,[1]CRITERIOS!$M$25:$M$42),
1),
$M679)),
_xlfn.XLOOKUP($A679,[1]CRITERIOS!$L$179:$L$200,[1]CRITERIOS!$M$179:$M$200)),
_xlfn.CEILING.MATH(IF($M679&gt;$E679,
$E679,
IF($M679&lt;$E679/ROUNDDOWN([1]CRITERIOS!$M$16/_xlfn.XLOOKUP($C679,[1]CRITERIOS!$K$25:$K$42,[1]CRITERIOS!$M$25:$M$42),
1),
E679/ROUNDDOWN([1]CRITERIOS!$M$16/_xlfn.XLOOKUP($C679,[1]CRITERIOS!$K$25:$K$42,[1]CRITERIOS!$M$25:$M$42),
1),
$M679)),_xlfn.XLOOKUP(A679,'[1]DATOS PBI Artículos'!A:A,'[1]DATOS PBI Artículos'!Z:Z
)))))</f>
        <v>#N/A</v>
      </c>
      <c r="Q679" s="38" t="e">
        <f>IF(AND(O679="",N679=0),
0,
   IF(COUNTIF([1]CRITERIOS!$F$179:$F$199,$A679)&gt;=1,
   1,
   IF(R679="MTO",
      $D679,
      ROUNDUP(
                    IF(($E679-SUMIF('[1]DATOS PBI Artículos'!A:A,A679,'[1]DATOS PBI Artículos'!X:X)+($V679-_xlfn.XLOOKUP(A679,'[1]DATOS PBI Artículos'!A:A,'[1]DATOS PBI Artículos'!W:W)))&lt;0,
                    0,
                    IF(($E679-SUMIF('[1]DATOS PBI Artículos'!A:A,A679,'[1]DATOS PBI Artículos'!X:X)+$V679-_xlfn.XLOOKUP($A679,'[1]DATOS PBI Artículos'!A:A,'[1]DATOS PBI Artículos'!W:W))/IF($O679="",$N679,$O679)&gt;ROUNDUP([1]CRITERIOS!$M$16/(IF(COUNTIF([1]CRITERIOS!$BG$11:$BG$201,L679)&gt;=1,_xlfn.XLOOKUP($C679,[1]CRITERIOS!$K$25:$K$42,[1]CRITERIOS!$M$25:$M$42),_xlfn.XLOOKUP($C679,[1]CRITERIOS!$K$25:$K$42,[1]CRITERIOS!$M$25:$M$42))),0),
                    ROUNDUP([1]CRITERIOS!$M$16/(IF(COUNTIF([1]CRITERIOS!$BG$11:$BG$201,$L679)&gt;=1,_xlfn.XLOOKUP($C679,[1]CRITERIOS!$K$25:$K$42,[1]CRITERIOS!$M$25:$M$42),_xlfn.XLOOKUP($C679,[1]CRITERIOS!$K$25:$K$42,[1]CRITERIOS!$M$25:$M$42))),0),
                    (E679+V679-SUMIF('[1]DATOS PBI Artículos'!A:A,A679,'[1]DATOS PBI Artículos'!X:X)-_xlfn.XLOOKUP(A679,'[1]DATOS PBI Artículos'!A:A,'[1]DATOS PBI Artículos'!W:W))/IF($O679="",$N679,$O679))),0))))</f>
        <v>#N/A</v>
      </c>
      <c r="R679" s="33" t="e">
        <f>IF(U679&lt;&gt;"",U679,IF(F679="DV","MTO",IF(N679=0,"MTO",_xlfn.XLOOKUP(CONCATENATE(S679,T679),[1]CRITERIOS!$K$160:$K$168,[1]CRITERIOS!$N$160:$N$168))))</f>
        <v>#N/A</v>
      </c>
      <c r="S679" s="33" t="e">
        <f>IF(G679="DV","MTO",IF(N679=0,"MTO",IF(OR(AND(N679=0,O679=""),IF(O679="",G679/N679,G679/O679)&gt;[1]CRITERIOS!$G$163),"MTO",IF(IF(O679="",G679/N679,G679/O679)&lt;[1]CRITERIOS!$H$161,"MTS","MTOS"))))</f>
        <v>#N/A</v>
      </c>
      <c r="T679" s="33" t="e">
        <f>IF(F679="DV","MTO",IF(OR(AND($N679=0,O679=""),$F679/$J679&gt;[1]CRITERIOS!$G$170,$F679="DV"),"MTO",IF($F679/$J679&lt;[1]CRITERIOS!$H$168,"MTS","MTOS")))</f>
        <v>#N/A</v>
      </c>
      <c r="V679" s="34" t="e">
        <f t="shared" si="34"/>
        <v>#N/A</v>
      </c>
      <c r="X679" s="34" t="e">
        <f t="shared" si="32"/>
        <v>#N/A</v>
      </c>
      <c r="Y679" s="34" t="e">
        <f t="shared" si="33"/>
        <v>#N/A</v>
      </c>
      <c r="Z679" s="34" t="e">
        <f>IF($R679="MTO",
0,
($H679+$K679*($E679/[1]CRITERIOS!$M$16))/[1]CRITERIOS!$X$48)</f>
        <v>#N/A</v>
      </c>
      <c r="AA679" s="34" t="e">
        <f>ROUNDUP(($Y679/_xlfn.XLOOKUP($A679,'[1]DATOS PBI Artículos'!$A$4:$A$4,'[1]DATOS PBI Artículos'!$Z$4:$Z$4))/_xlfn.XLOOKUP(_xlfn.XLOOKUP($A679,'[1]DATOS PBI Artículos'!$A$4:$A$4,'[1]DATOS PBI Artículos'!$Y$4:$Y$4),[1]CRITERIOS!$P$79:$P$123,[1]CRITERIOS!$S$79:$S$123,),0)</f>
        <v>#N/A</v>
      </c>
      <c r="AB679" s="33" t="e">
        <f t="array" ref="AB679">IF((E679+V679-_xlfn.XLOOKUP(A679,'[1]DATOS PBI Artículos'!$A$4:$A$4,'[1]DATOS PBI Artículos'!$W$4:$W$4))/N679&gt;ROUNDUP([1]CRITERIOS!$M$16/(IF(COUNTIF([1]CRITERIOS!$BG$11:$BG$201,L679)&gt;=1,_xlfn.XLOOKUP(ARTÍCULOS!L679,[1]CRITERIOS!$BG$11:$BG$201,[1]CRITERIOS!$BJ$11:$BJ$201),_xlfn.XLOOKUP(ARTÍCULOS!C679,[1]CRITERIOS!$K$25:$K$42,[1]CRITERIOS!$M$25:$M$42))),0),ROUNDUP([1]CRITERIOS!$M$16/(IF(COUNTIF([1]CRITERIOS!$BG$11:$BG$201,L679)&gt;=1,_xlfn.XLOOKUP(ARTÍCULOS!L679,[1]CRITERIOS!$BG$11:$BG$201:#REF!,[1]CRITERIOS!$BJ$11:$BJ$201),_xlfn.XLOOKUP(ARTÍCULOS!C679,[1]CRITERIOS!$K$25:$K$42,[1]CRITERIOS!$M$25:$M$42))),0),(E679+V679-_xlfn.XLOOKUP(A679,'[1]DATOS PBI Artículos'!$A$4:$A$4,'[1]DATOS PBI Artículos'!$W$4:$W$4))/N679)</f>
        <v>#N/A</v>
      </c>
      <c r="AC679" s="33" t="e">
        <f>IF(N679=0,"",(ROUNDUP((N679/2)/(_xlfn.XLOOKUP(A679,'[1]DATOS PBI Artículos'!$A$4:$A$4,'[1]DATOS PBI Artículos'!$Z$4:$Z$4)*_xlfn.XLOOKUP(_xlfn.XLOOKUP(A679,'[1]DATOS PBI Artículos'!$A$4:$A$4,'[1]DATOS PBI Artículos'!$Y$4:$Y$4),[1]CRITERIOS!$P$79:$P$123,[1]CRITERIOS!$S$79:$S$123)),0)*[1]CRITERIOS!$M$80*([1]CRITERIOS!$M$110/[1]CRITERIOS!$M$86)+(_xlfn.XLOOKUP(A679,'[1]DATOS PBI Artículos'!$A$4:$A$4,'[1]DATOS PBI Artículos'!$AA$4:$AA$4)*([1]CRITERIOS!$M$95+[1]CRITERIOS!$M$98)))/N679)</f>
        <v>#N/A</v>
      </c>
      <c r="AD679" s="33" t="e">
        <f>IF(N679=0,"",(ROUNDUP((N679/2)/(_xlfn.XLOOKUP(A679,'[1]DATOS PBI Artículos'!$A$4:$A$4,'[1]DATOS PBI Artículos'!$Z$4:$Z$4)*_xlfn.XLOOKUP(_xlfn.XLOOKUP(A679,'[1]DATOS PBI Artículos'!$A$4:$A$4,'[1]DATOS PBI Artículos'!$Y$4:$Y$4),[1]CRITERIOS!$P$79:$P$123,[1]CRITERIOS!$S$79:$S$123)),0)*[1]CRITERIOS!$M$80*([1]CRITERIOS!$M$89*[1]CRITERIOS!$M$92)+((_xlfn.XLOOKUP(A679,'[1]DATOS PBI Artículos'!$A$4:$A$4,'[1]DATOS PBI Artículos'!$AA$4:$AA$4)/2)*([1]CRITERIOS!$M$95+[1]CRITERIOS!$M$98)))/N679)</f>
        <v>#N/A</v>
      </c>
      <c r="AE679" s="39" t="e">
        <f>IF($R679="MTO","",
IF($H679=0,ROUNDUP(((_xlfn.XLOOKUP($A679,'[1]DATOS PBI Artículos'!$A:$A,'[1]DATOS PBI Artículos'!$AL:$AL))/(_xlfn.XLOOKUP($AF$1,[1]CRITERIOS!$S$16:$S$39,[1]CRITERIOS!$Y$16:$Y$39))*$J679+$Z679)/$G679,0)*$G679,
((_xlfn.XLOOKUP($A679,'[1]DATOS PBI Artículos'!$A:$A,'[1]DATOS PBI Artículos'!$AL:$AL))/(_xlfn.XLOOKUP($AF$1,[1]CRITERIOS!$S$16:$S$39,[1]CRITERIOS!$Y$16:$Y$39))*$J679+$Z679)))</f>
        <v>#N/A</v>
      </c>
      <c r="AG679" s="39" t="e">
        <f>IF($R679="MTO","",
IF($H679=0,ROUNDUP(((_xlfn.XLOOKUP($A679,'[1]DATOS PBI Artículos'!$A:$A,'[1]DATOS PBI Artículos'!$AM:$AM))/(_xlfn.XLOOKUP($AH$1,[1]CRITERIOS!$S$16:$S$39,[1]CRITERIOS!$Y$16:$Y$39))*$J679+$Z679)/$G679,0)*$G679,
((_xlfn.XLOOKUP($A679,'[1]DATOS PBI Artículos'!$A:$A,'[1]DATOS PBI Artículos'!$AM:$AM))/(_xlfn.XLOOKUP($AH$1,[1]CRITERIOS!$S$16:$S$39,[1]CRITERIOS!$Y$16:$Y$39))*$J679+$Z679)))</f>
        <v>#N/A</v>
      </c>
      <c r="AI679" s="39" t="e">
        <f>IF($R679="MTO","",
IF($H679=0,ROUNDUP(((_xlfn.XLOOKUP($A679,'[1]DATOS PBI Artículos'!$A:$A,'[1]DATOS PBI Artículos'!$AN:$AN))/(_xlfn.XLOOKUP($AJ$1,[1]CRITERIOS!$S$16:$S$39,[1]CRITERIOS!$Y$16:$Y$39))*$J679+$Z679)/$G679,0)*$G679,
((_xlfn.XLOOKUP($A679,'[1]DATOS PBI Artículos'!$A:$A,'[1]DATOS PBI Artículos'!$AN:$AN))/(_xlfn.XLOOKUP($AJ$1,[1]CRITERIOS!$S$16:$S$39,[1]CRITERIOS!$Y$16:$Y$39))*$J679+$Z679)))</f>
        <v>#N/A</v>
      </c>
      <c r="AK679" s="39" t="e">
        <f>IF($R679="MTO","",
IF($H679=0,ROUNDUP(((_xlfn.XLOOKUP($A679,'[1]DATOS PBI Artículos'!$A:$A,'[1]DATOS PBI Artículos'!$AO:$AO))/(_xlfn.XLOOKUP($AL$1,[1]CRITERIOS!$S$16:$S$39,[1]CRITERIOS!$Y$16:$Y$39))*$J679+$Z679)/$G679,0)*$G679,
((_xlfn.XLOOKUP($A679,'[1]DATOS PBI Artículos'!$A:$A,'[1]DATOS PBI Artículos'!$AO:$AO))/(_xlfn.XLOOKUP($AL$1,[1]CRITERIOS!$S$16:$S$39,[1]CRITERIOS!$Y$16:$Y$39))*$J679+$Z679)))</f>
        <v>#N/A</v>
      </c>
    </row>
    <row r="680" spans="1:37" ht="25.8" hidden="1" x14ac:dyDescent="0.4">
      <c r="A680" s="41"/>
      <c r="B680" s="33">
        <f>_xlfn.XLOOKUP($A680,'[1]DATOS PBI Artículos'!A:A,'[1]DATOS PBI Artículos'!B:B)</f>
        <v>0</v>
      </c>
      <c r="C680" s="33">
        <f>_xlfn.XLOOKUP($A680,'[1]DATOS PBI Artículos'!A:A,'[1]DATOS PBI Artículos'!C:C)</f>
        <v>0</v>
      </c>
      <c r="D680" s="33">
        <f>_xlfn.XLOOKUP(A680,'[1]DATOS PBI Artículos'!A:A,'[1]DATOS PBI Artículos'!T:T)</f>
        <v>0</v>
      </c>
      <c r="E680" s="34">
        <f>IF(_xlfn.XLOOKUP($A680,'[1]DATOS PBI Artículos'!A:A,'[1]DATOS PBI Artículos'!AK:AK)="",_xlfn.XLOOKUP($A680,'[1]DATOS PBI Artículos'!A:A,'[1]DATOS PBI Artículos'!AJ:AJ),_xlfn.XLOOKUP($A680,'[1]DATOS PBI Artículos'!A:A,'[1]DATOS PBI Artículos'!AK:AK))</f>
        <v>0</v>
      </c>
      <c r="F680" s="35">
        <f>_xlfn.XLOOKUP($A680,'[1]DATOS PBI Artículos'!A:A,'[1]DATOS PBI Artículos'!AP:AP)</f>
        <v>0</v>
      </c>
      <c r="G680" s="34">
        <f>_xlfn.XLOOKUP($A680,'[1]DATOS PBI Artículos'!A:A,'[1]DATOS PBI Artículos'!AR:AR)</f>
        <v>0</v>
      </c>
      <c r="H680" s="34">
        <f>_xlfn.XLOOKUP($A680,'[1]DATOS PBI Artículos'!A:A,'[1]DATOS PBI Artículos'!AT:AT)</f>
        <v>0</v>
      </c>
      <c r="I680" s="34">
        <f>_xlfn.XLOOKUP($A680,'[1]DATOS PBI Artículos'!A:A,'[1]DATOS PBI Artículos'!AS:AS)</f>
        <v>0</v>
      </c>
      <c r="J680" s="35">
        <f>IF(COUNTIF([1]CRITERIOS!$F$179:$F$199,$A680)&gt;=1,
 IF(O680&lt;&gt;"",
    (O680/_xlfn.XLOOKUP(CONCATENATE(A680,L680),[1]MÁQUINAS!A:A,[1]MÁQUINAS!D:D))/24,
    (N680/_xlfn.XLOOKUP(CONCATENATE(A680,L680),[1]MÁQUINAS!A:A,[1]MÁQUINAS!D:D))/24),
  _xlfn.XLOOKUP($A680,'[1]DATOS PBI Artículos'!A:A,'[1]DATOS PBI Artículos'!AU:AU))</f>
        <v>0</v>
      </c>
      <c r="K680" s="36">
        <f>_xlfn.XLOOKUP($A680,'[1]DATOS PBI Artículos'!A:A,'[1]DATOS PBI Artículos'!AV:AV)</f>
        <v>0</v>
      </c>
      <c r="L680" s="33">
        <f>_xlfn.XLOOKUP(A680,[1]MÁQUINAS!B:B,[1]MÁQUINAS!C:C)</f>
        <v>0</v>
      </c>
      <c r="M680" s="34">
        <f t="array" ref="M680">_xlfn.XLOOKUP(A680,'[1]DATOS PBI Artículos'!A:A,'[1]DATOS PBI Artículos'!AX:$AX)</f>
        <v>0</v>
      </c>
      <c r="N680" s="37" t="e">
        <f>IF(I680="DV",
E680,
IF(COUNTIF([1]CRITERIOS!$I$179:$I$199,$A680)&gt;=1,
_xlfn.XLOOKUP($A680,[1]CRITERIOS!$I$179:$I$199,[1]CRITERIOS!$J$179:$J$199),
IF(COUNTIF([1]CRITERIOS!$L$179:$L$199,$A680)&gt;=1,
_xlfn.CEILING.MATH(IF($M680&gt;$E680,
$E680,
IF($M680&lt;$E680/ROUNDDOWN([1]CRITERIOS!$M$16/_xlfn.XLOOKUP($C680,[1]CRITERIOS!$K$25:$K$42,[1]CRITERIOS!$M$25:$M$42),
1),
E680/ROUNDDOWN([1]CRITERIOS!$M$16/_xlfn.XLOOKUP($C680,[1]CRITERIOS!$K$25:$K$42,[1]CRITERIOS!$M$25:$M$42),
1),
$M680)),
_xlfn.XLOOKUP($A680,[1]CRITERIOS!$L$179:$L$200,[1]CRITERIOS!$M$179:$M$200)),
_xlfn.CEILING.MATH(IF($M680&gt;$E680,
$E680,
IF($M680&lt;$E680/ROUNDDOWN([1]CRITERIOS!$M$16/_xlfn.XLOOKUP($C680,[1]CRITERIOS!$K$25:$K$42,[1]CRITERIOS!$M$25:$M$42),
1),
E680/ROUNDDOWN([1]CRITERIOS!$M$16/_xlfn.XLOOKUP($C680,[1]CRITERIOS!$K$25:$K$42,[1]CRITERIOS!$M$25:$M$42),
1),
$M680)),_xlfn.XLOOKUP(A680,'[1]DATOS PBI Artículos'!A:A,'[1]DATOS PBI Artículos'!Z:Z
)))))</f>
        <v>#N/A</v>
      </c>
      <c r="Q680" s="38" t="e">
        <f>IF(AND(O680="",N680=0),
0,
   IF(COUNTIF([1]CRITERIOS!$F$179:$F$199,$A680)&gt;=1,
   1,
   IF(R680="MTO",
      $D680,
      ROUNDUP(
                    IF(($E680-SUMIF('[1]DATOS PBI Artículos'!A:A,A680,'[1]DATOS PBI Artículos'!X:X)+($V680-_xlfn.XLOOKUP(A680,'[1]DATOS PBI Artículos'!A:A,'[1]DATOS PBI Artículos'!W:W)))&lt;0,
                    0,
                    IF(($E680-SUMIF('[1]DATOS PBI Artículos'!A:A,A680,'[1]DATOS PBI Artículos'!X:X)+$V680-_xlfn.XLOOKUP($A680,'[1]DATOS PBI Artículos'!A:A,'[1]DATOS PBI Artículos'!W:W))/IF($O680="",$N680,$O680)&gt;ROUNDUP([1]CRITERIOS!$M$16/(IF(COUNTIF([1]CRITERIOS!$BG$11:$BG$201,L680)&gt;=1,_xlfn.XLOOKUP($C680,[1]CRITERIOS!$K$25:$K$42,[1]CRITERIOS!$M$25:$M$42),_xlfn.XLOOKUP($C680,[1]CRITERIOS!$K$25:$K$42,[1]CRITERIOS!$M$25:$M$42))),0),
                    ROUNDUP([1]CRITERIOS!$M$16/(IF(COUNTIF([1]CRITERIOS!$BG$11:$BG$201,$L680)&gt;=1,_xlfn.XLOOKUP($C680,[1]CRITERIOS!$K$25:$K$42,[1]CRITERIOS!$M$25:$M$42),_xlfn.XLOOKUP($C680,[1]CRITERIOS!$K$25:$K$42,[1]CRITERIOS!$M$25:$M$42))),0),
                    (E680+V680-SUMIF('[1]DATOS PBI Artículos'!A:A,A680,'[1]DATOS PBI Artículos'!X:X)-_xlfn.XLOOKUP(A680,'[1]DATOS PBI Artículos'!A:A,'[1]DATOS PBI Artículos'!W:W))/IF($O680="",$N680,$O680))),0))))</f>
        <v>#N/A</v>
      </c>
      <c r="R680" s="33" t="e">
        <f>IF(U680&lt;&gt;"",U680,IF(F680="DV","MTO",IF(N680=0,"MTO",_xlfn.XLOOKUP(CONCATENATE(S680,T680),[1]CRITERIOS!$K$160:$K$168,[1]CRITERIOS!$N$160:$N$168))))</f>
        <v>#N/A</v>
      </c>
      <c r="S680" s="33" t="e">
        <f>IF(G680="DV","MTO",IF(N680=0,"MTO",IF(OR(AND(N680=0,O680=""),IF(O680="",G680/N680,G680/O680)&gt;[1]CRITERIOS!$G$163),"MTO",IF(IF(O680="",G680/N680,G680/O680)&lt;[1]CRITERIOS!$H$161,"MTS","MTOS"))))</f>
        <v>#N/A</v>
      </c>
      <c r="T680" s="33" t="e">
        <f>IF(F680="DV","MTO",IF(OR(AND($N680=0,O680=""),$F680/$J680&gt;[1]CRITERIOS!$G$170,$F680="DV"),"MTO",IF($F680/$J680&lt;[1]CRITERIOS!$H$168,"MTS","MTOS")))</f>
        <v>#N/A</v>
      </c>
      <c r="V680" s="34" t="e">
        <f t="shared" si="34"/>
        <v>#N/A</v>
      </c>
      <c r="X680" s="34" t="e">
        <f t="shared" si="32"/>
        <v>#N/A</v>
      </c>
      <c r="Y680" s="34" t="e">
        <f t="shared" si="33"/>
        <v>#N/A</v>
      </c>
      <c r="Z680" s="34" t="e">
        <f>IF($R680="MTO",
0,
($H680+$K680*($E680/[1]CRITERIOS!$M$16))/[1]CRITERIOS!$X$48)</f>
        <v>#N/A</v>
      </c>
      <c r="AA680" s="34" t="e">
        <f>ROUNDUP(($Y680/_xlfn.XLOOKUP($A680,'[1]DATOS PBI Artículos'!$A$4:$A$4,'[1]DATOS PBI Artículos'!$Z$4:$Z$4))/_xlfn.XLOOKUP(_xlfn.XLOOKUP($A680,'[1]DATOS PBI Artículos'!$A$4:$A$4,'[1]DATOS PBI Artículos'!$Y$4:$Y$4),[1]CRITERIOS!$P$79:$P$123,[1]CRITERIOS!$S$79:$S$123,),0)</f>
        <v>#N/A</v>
      </c>
      <c r="AB680" s="33" t="e">
        <f t="array" ref="AB680">IF((E680+V680-_xlfn.XLOOKUP(A680,'[1]DATOS PBI Artículos'!$A$4:$A$4,'[1]DATOS PBI Artículos'!$W$4:$W$4))/N680&gt;ROUNDUP([1]CRITERIOS!$M$16/(IF(COUNTIF([1]CRITERIOS!$BG$11:$BG$201,L680)&gt;=1,_xlfn.XLOOKUP(ARTÍCULOS!L680,[1]CRITERIOS!$BG$11:$BG$201,[1]CRITERIOS!$BJ$11:$BJ$201),_xlfn.XLOOKUP(ARTÍCULOS!C680,[1]CRITERIOS!$K$25:$K$42,[1]CRITERIOS!$M$25:$M$42))),0),ROUNDUP([1]CRITERIOS!$M$16/(IF(COUNTIF([1]CRITERIOS!$BG$11:$BG$201,L680)&gt;=1,_xlfn.XLOOKUP(ARTÍCULOS!L680,[1]CRITERIOS!$BG$11:$BG$201:#REF!,[1]CRITERIOS!$BJ$11:$BJ$201),_xlfn.XLOOKUP(ARTÍCULOS!C680,[1]CRITERIOS!$K$25:$K$42,[1]CRITERIOS!$M$25:$M$42))),0),(E680+V680-_xlfn.XLOOKUP(A680,'[1]DATOS PBI Artículos'!$A$4:$A$4,'[1]DATOS PBI Artículos'!$W$4:$W$4))/N680)</f>
        <v>#N/A</v>
      </c>
      <c r="AC680" s="33" t="e">
        <f>IF(N680=0,"",(ROUNDUP((N680/2)/(_xlfn.XLOOKUP(A680,'[1]DATOS PBI Artículos'!$A$4:$A$4,'[1]DATOS PBI Artículos'!$Z$4:$Z$4)*_xlfn.XLOOKUP(_xlfn.XLOOKUP(A680,'[1]DATOS PBI Artículos'!$A$4:$A$4,'[1]DATOS PBI Artículos'!$Y$4:$Y$4),[1]CRITERIOS!$P$79:$P$123,[1]CRITERIOS!$S$79:$S$123)),0)*[1]CRITERIOS!$M$80*([1]CRITERIOS!$M$110/[1]CRITERIOS!$M$86)+(_xlfn.XLOOKUP(A680,'[1]DATOS PBI Artículos'!$A$4:$A$4,'[1]DATOS PBI Artículos'!$AA$4:$AA$4)*([1]CRITERIOS!$M$95+[1]CRITERIOS!$M$98)))/N680)</f>
        <v>#N/A</v>
      </c>
      <c r="AD680" s="33" t="e">
        <f>IF(N680=0,"",(ROUNDUP((N680/2)/(_xlfn.XLOOKUP(A680,'[1]DATOS PBI Artículos'!$A$4:$A$4,'[1]DATOS PBI Artículos'!$Z$4:$Z$4)*_xlfn.XLOOKUP(_xlfn.XLOOKUP(A680,'[1]DATOS PBI Artículos'!$A$4:$A$4,'[1]DATOS PBI Artículos'!$Y$4:$Y$4),[1]CRITERIOS!$P$79:$P$123,[1]CRITERIOS!$S$79:$S$123)),0)*[1]CRITERIOS!$M$80*([1]CRITERIOS!$M$89*[1]CRITERIOS!$M$92)+((_xlfn.XLOOKUP(A680,'[1]DATOS PBI Artículos'!$A$4:$A$4,'[1]DATOS PBI Artículos'!$AA$4:$AA$4)/2)*([1]CRITERIOS!$M$95+[1]CRITERIOS!$M$98)))/N680)</f>
        <v>#N/A</v>
      </c>
      <c r="AE680" s="39" t="e">
        <f>IF($R680="MTO","",
IF($H680=0,ROUNDUP(((_xlfn.XLOOKUP($A680,'[1]DATOS PBI Artículos'!$A:$A,'[1]DATOS PBI Artículos'!$AL:$AL))/(_xlfn.XLOOKUP($AF$1,[1]CRITERIOS!$S$16:$S$39,[1]CRITERIOS!$Y$16:$Y$39))*$J680+$Z680)/$G680,0)*$G680,
((_xlfn.XLOOKUP($A680,'[1]DATOS PBI Artículos'!$A:$A,'[1]DATOS PBI Artículos'!$AL:$AL))/(_xlfn.XLOOKUP($AF$1,[1]CRITERIOS!$S$16:$S$39,[1]CRITERIOS!$Y$16:$Y$39))*$J680+$Z680)))</f>
        <v>#N/A</v>
      </c>
      <c r="AG680" s="39" t="e">
        <f>IF($R680="MTO","",
IF($H680=0,ROUNDUP(((_xlfn.XLOOKUP($A680,'[1]DATOS PBI Artículos'!$A:$A,'[1]DATOS PBI Artículos'!$AM:$AM))/(_xlfn.XLOOKUP($AH$1,[1]CRITERIOS!$S$16:$S$39,[1]CRITERIOS!$Y$16:$Y$39))*$J680+$Z680)/$G680,0)*$G680,
((_xlfn.XLOOKUP($A680,'[1]DATOS PBI Artículos'!$A:$A,'[1]DATOS PBI Artículos'!$AM:$AM))/(_xlfn.XLOOKUP($AH$1,[1]CRITERIOS!$S$16:$S$39,[1]CRITERIOS!$Y$16:$Y$39))*$J680+$Z680)))</f>
        <v>#N/A</v>
      </c>
      <c r="AI680" s="39" t="e">
        <f>IF($R680="MTO","",
IF($H680=0,ROUNDUP(((_xlfn.XLOOKUP($A680,'[1]DATOS PBI Artículos'!$A:$A,'[1]DATOS PBI Artículos'!$AN:$AN))/(_xlfn.XLOOKUP($AJ$1,[1]CRITERIOS!$S$16:$S$39,[1]CRITERIOS!$Y$16:$Y$39))*$J680+$Z680)/$G680,0)*$G680,
((_xlfn.XLOOKUP($A680,'[1]DATOS PBI Artículos'!$A:$A,'[1]DATOS PBI Artículos'!$AN:$AN))/(_xlfn.XLOOKUP($AJ$1,[1]CRITERIOS!$S$16:$S$39,[1]CRITERIOS!$Y$16:$Y$39))*$J680+$Z680)))</f>
        <v>#N/A</v>
      </c>
      <c r="AK680" s="39" t="e">
        <f>IF($R680="MTO","",
IF($H680=0,ROUNDUP(((_xlfn.XLOOKUP($A680,'[1]DATOS PBI Artículos'!$A:$A,'[1]DATOS PBI Artículos'!$AO:$AO))/(_xlfn.XLOOKUP($AL$1,[1]CRITERIOS!$S$16:$S$39,[1]CRITERIOS!$Y$16:$Y$39))*$J680+$Z680)/$G680,0)*$G680,
((_xlfn.XLOOKUP($A680,'[1]DATOS PBI Artículos'!$A:$A,'[1]DATOS PBI Artículos'!$AO:$AO))/(_xlfn.XLOOKUP($AL$1,[1]CRITERIOS!$S$16:$S$39,[1]CRITERIOS!$Y$16:$Y$39))*$J680+$Z680)))</f>
        <v>#N/A</v>
      </c>
    </row>
    <row r="681" spans="1:37" ht="25.8" hidden="1" x14ac:dyDescent="0.4">
      <c r="A681" s="41"/>
      <c r="B681" s="33">
        <f>_xlfn.XLOOKUP($A681,'[1]DATOS PBI Artículos'!A:A,'[1]DATOS PBI Artículos'!B:B)</f>
        <v>0</v>
      </c>
      <c r="C681" s="33">
        <f>_xlfn.XLOOKUP($A681,'[1]DATOS PBI Artículos'!A:A,'[1]DATOS PBI Artículos'!C:C)</f>
        <v>0</v>
      </c>
      <c r="D681" s="33">
        <f>_xlfn.XLOOKUP(A681,'[1]DATOS PBI Artículos'!A:A,'[1]DATOS PBI Artículos'!T:T)</f>
        <v>0</v>
      </c>
      <c r="E681" s="34">
        <f>IF(_xlfn.XLOOKUP($A681,'[1]DATOS PBI Artículos'!A:A,'[1]DATOS PBI Artículos'!AK:AK)="",_xlfn.XLOOKUP($A681,'[1]DATOS PBI Artículos'!A:A,'[1]DATOS PBI Artículos'!AJ:AJ),_xlfn.XLOOKUP($A681,'[1]DATOS PBI Artículos'!A:A,'[1]DATOS PBI Artículos'!AK:AK))</f>
        <v>0</v>
      </c>
      <c r="F681" s="35">
        <f>_xlfn.XLOOKUP($A681,'[1]DATOS PBI Artículos'!A:A,'[1]DATOS PBI Artículos'!AP:AP)</f>
        <v>0</v>
      </c>
      <c r="G681" s="34">
        <f>_xlfn.XLOOKUP($A681,'[1]DATOS PBI Artículos'!A:A,'[1]DATOS PBI Artículos'!AR:AR)</f>
        <v>0</v>
      </c>
      <c r="H681" s="34">
        <f>_xlfn.XLOOKUP($A681,'[1]DATOS PBI Artículos'!A:A,'[1]DATOS PBI Artículos'!AT:AT)</f>
        <v>0</v>
      </c>
      <c r="I681" s="34">
        <f>_xlfn.XLOOKUP($A681,'[1]DATOS PBI Artículos'!A:A,'[1]DATOS PBI Artículos'!AS:AS)</f>
        <v>0</v>
      </c>
      <c r="J681" s="35">
        <f>IF(COUNTIF([1]CRITERIOS!$F$179:$F$199,$A681)&gt;=1,
 IF(O681&lt;&gt;"",
    (O681/_xlfn.XLOOKUP(CONCATENATE(A681,L681),[1]MÁQUINAS!A:A,[1]MÁQUINAS!D:D))/24,
    (N681/_xlfn.XLOOKUP(CONCATENATE(A681,L681),[1]MÁQUINAS!A:A,[1]MÁQUINAS!D:D))/24),
  _xlfn.XLOOKUP($A681,'[1]DATOS PBI Artículos'!A:A,'[1]DATOS PBI Artículos'!AU:AU))</f>
        <v>0</v>
      </c>
      <c r="K681" s="36">
        <f>_xlfn.XLOOKUP($A681,'[1]DATOS PBI Artículos'!A:A,'[1]DATOS PBI Artículos'!AV:AV)</f>
        <v>0</v>
      </c>
      <c r="L681" s="33">
        <f>_xlfn.XLOOKUP(A681,[1]MÁQUINAS!B:B,[1]MÁQUINAS!C:C)</f>
        <v>0</v>
      </c>
      <c r="M681" s="34">
        <f t="array" ref="M681">_xlfn.XLOOKUP(A681,'[1]DATOS PBI Artículos'!A:A,'[1]DATOS PBI Artículos'!AX:$AX)</f>
        <v>0</v>
      </c>
      <c r="N681" s="37" t="e">
        <f>IF(I681="DV",
E681,
IF(COUNTIF([1]CRITERIOS!$I$179:$I$199,$A681)&gt;=1,
_xlfn.XLOOKUP($A681,[1]CRITERIOS!$I$179:$I$199,[1]CRITERIOS!$J$179:$J$199),
IF(COUNTIF([1]CRITERIOS!$L$179:$L$199,$A681)&gt;=1,
_xlfn.CEILING.MATH(IF($M681&gt;$E681,
$E681,
IF($M681&lt;$E681/ROUNDDOWN([1]CRITERIOS!$M$16/_xlfn.XLOOKUP($C681,[1]CRITERIOS!$K$25:$K$42,[1]CRITERIOS!$M$25:$M$42),
1),
E681/ROUNDDOWN([1]CRITERIOS!$M$16/_xlfn.XLOOKUP($C681,[1]CRITERIOS!$K$25:$K$42,[1]CRITERIOS!$M$25:$M$42),
1),
$M681)),
_xlfn.XLOOKUP($A681,[1]CRITERIOS!$L$179:$L$200,[1]CRITERIOS!$M$179:$M$200)),
_xlfn.CEILING.MATH(IF($M681&gt;$E681,
$E681,
IF($M681&lt;$E681/ROUNDDOWN([1]CRITERIOS!$M$16/_xlfn.XLOOKUP($C681,[1]CRITERIOS!$K$25:$K$42,[1]CRITERIOS!$M$25:$M$42),
1),
E681/ROUNDDOWN([1]CRITERIOS!$M$16/_xlfn.XLOOKUP($C681,[1]CRITERIOS!$K$25:$K$42,[1]CRITERIOS!$M$25:$M$42),
1),
$M681)),_xlfn.XLOOKUP(A681,'[1]DATOS PBI Artículos'!A:A,'[1]DATOS PBI Artículos'!Z:Z
)))))</f>
        <v>#N/A</v>
      </c>
      <c r="Q681" s="38" t="e">
        <f>IF(AND(O681="",N681=0),
0,
   IF(COUNTIF([1]CRITERIOS!$F$179:$F$199,$A681)&gt;=1,
   1,
   IF(R681="MTO",
      $D681,
      ROUNDUP(
                    IF(($E681-SUMIF('[1]DATOS PBI Artículos'!A:A,A681,'[1]DATOS PBI Artículos'!X:X)+($V681-_xlfn.XLOOKUP(A681,'[1]DATOS PBI Artículos'!A:A,'[1]DATOS PBI Artículos'!W:W)))&lt;0,
                    0,
                    IF(($E681-SUMIF('[1]DATOS PBI Artículos'!A:A,A681,'[1]DATOS PBI Artículos'!X:X)+$V681-_xlfn.XLOOKUP($A681,'[1]DATOS PBI Artículos'!A:A,'[1]DATOS PBI Artículos'!W:W))/IF($O681="",$N681,$O681)&gt;ROUNDUP([1]CRITERIOS!$M$16/(IF(COUNTIF([1]CRITERIOS!$BG$11:$BG$201,L681)&gt;=1,_xlfn.XLOOKUP($C681,[1]CRITERIOS!$K$25:$K$42,[1]CRITERIOS!$M$25:$M$42),_xlfn.XLOOKUP($C681,[1]CRITERIOS!$K$25:$K$42,[1]CRITERIOS!$M$25:$M$42))),0),
                    ROUNDUP([1]CRITERIOS!$M$16/(IF(COUNTIF([1]CRITERIOS!$BG$11:$BG$201,$L681)&gt;=1,_xlfn.XLOOKUP($C681,[1]CRITERIOS!$K$25:$K$42,[1]CRITERIOS!$M$25:$M$42),_xlfn.XLOOKUP($C681,[1]CRITERIOS!$K$25:$K$42,[1]CRITERIOS!$M$25:$M$42))),0),
                    (E681+V681-SUMIF('[1]DATOS PBI Artículos'!A:A,A681,'[1]DATOS PBI Artículos'!X:X)-_xlfn.XLOOKUP(A681,'[1]DATOS PBI Artículos'!A:A,'[1]DATOS PBI Artículos'!W:W))/IF($O681="",$N681,$O681))),0))))</f>
        <v>#N/A</v>
      </c>
      <c r="R681" s="33" t="e">
        <f>IF(U681&lt;&gt;"",U681,IF(F681="DV","MTO",IF(N681=0,"MTO",_xlfn.XLOOKUP(CONCATENATE(S681,T681),[1]CRITERIOS!$K$160:$K$168,[1]CRITERIOS!$N$160:$N$168))))</f>
        <v>#N/A</v>
      </c>
      <c r="S681" s="33" t="e">
        <f>IF(G681="DV","MTO",IF(N681=0,"MTO",IF(OR(AND(N681=0,O681=""),IF(O681="",G681/N681,G681/O681)&gt;[1]CRITERIOS!$G$163),"MTO",IF(IF(O681="",G681/N681,G681/O681)&lt;[1]CRITERIOS!$H$161,"MTS","MTOS"))))</f>
        <v>#N/A</v>
      </c>
      <c r="T681" s="33" t="e">
        <f>IF(F681="DV","MTO",IF(OR(AND($N681=0,O681=""),$F681/$J681&gt;[1]CRITERIOS!$G$170,$F681="DV"),"MTO",IF($F681/$J681&lt;[1]CRITERIOS!$H$168,"MTS","MTOS")))</f>
        <v>#N/A</v>
      </c>
      <c r="V681" s="34" t="e">
        <f t="shared" si="34"/>
        <v>#N/A</v>
      </c>
      <c r="X681" s="34" t="e">
        <f t="shared" si="32"/>
        <v>#N/A</v>
      </c>
      <c r="Y681" s="34" t="e">
        <f t="shared" si="33"/>
        <v>#N/A</v>
      </c>
      <c r="Z681" s="34" t="e">
        <f>IF($R681="MTO",
0,
($H681+$K681*($E681/[1]CRITERIOS!$M$16))/[1]CRITERIOS!$X$48)</f>
        <v>#N/A</v>
      </c>
      <c r="AA681" s="34" t="e">
        <f>ROUNDUP(($Y681/_xlfn.XLOOKUP($A681,'[1]DATOS PBI Artículos'!$A$4:$A$4,'[1]DATOS PBI Artículos'!$Z$4:$Z$4))/_xlfn.XLOOKUP(_xlfn.XLOOKUP($A681,'[1]DATOS PBI Artículos'!$A$4:$A$4,'[1]DATOS PBI Artículos'!$Y$4:$Y$4),[1]CRITERIOS!$P$79:$P$123,[1]CRITERIOS!$S$79:$S$123,),0)</f>
        <v>#N/A</v>
      </c>
      <c r="AB681" s="33" t="e">
        <f t="array" ref="AB681">IF((E681+V681-_xlfn.XLOOKUP(A681,'[1]DATOS PBI Artículos'!$A$4:$A$4,'[1]DATOS PBI Artículos'!$W$4:$W$4))/N681&gt;ROUNDUP([1]CRITERIOS!$M$16/(IF(COUNTIF([1]CRITERIOS!$BG$11:$BG$201,L681)&gt;=1,_xlfn.XLOOKUP(ARTÍCULOS!L681,[1]CRITERIOS!$BG$11:$BG$201,[1]CRITERIOS!$BJ$11:$BJ$201),_xlfn.XLOOKUP(ARTÍCULOS!C681,[1]CRITERIOS!$K$25:$K$42,[1]CRITERIOS!$M$25:$M$42))),0),ROUNDUP([1]CRITERIOS!$M$16/(IF(COUNTIF([1]CRITERIOS!$BG$11:$BG$201,L681)&gt;=1,_xlfn.XLOOKUP(ARTÍCULOS!L681,[1]CRITERIOS!$BG$11:$BG$201:#REF!,[1]CRITERIOS!$BJ$11:$BJ$201),_xlfn.XLOOKUP(ARTÍCULOS!C681,[1]CRITERIOS!$K$25:$K$42,[1]CRITERIOS!$M$25:$M$42))),0),(E681+V681-_xlfn.XLOOKUP(A681,'[1]DATOS PBI Artículos'!$A$4:$A$4,'[1]DATOS PBI Artículos'!$W$4:$W$4))/N681)</f>
        <v>#N/A</v>
      </c>
      <c r="AC681" s="33" t="e">
        <f>IF(N681=0,"",(ROUNDUP((N681/2)/(_xlfn.XLOOKUP(A681,'[1]DATOS PBI Artículos'!$A$4:$A$4,'[1]DATOS PBI Artículos'!$Z$4:$Z$4)*_xlfn.XLOOKUP(_xlfn.XLOOKUP(A681,'[1]DATOS PBI Artículos'!$A$4:$A$4,'[1]DATOS PBI Artículos'!$Y$4:$Y$4),[1]CRITERIOS!$P$79:$P$123,[1]CRITERIOS!$S$79:$S$123)),0)*[1]CRITERIOS!$M$80*([1]CRITERIOS!$M$110/[1]CRITERIOS!$M$86)+(_xlfn.XLOOKUP(A681,'[1]DATOS PBI Artículos'!$A$4:$A$4,'[1]DATOS PBI Artículos'!$AA$4:$AA$4)*([1]CRITERIOS!$M$95+[1]CRITERIOS!$M$98)))/N681)</f>
        <v>#N/A</v>
      </c>
      <c r="AD681" s="33" t="e">
        <f>IF(N681=0,"",(ROUNDUP((N681/2)/(_xlfn.XLOOKUP(A681,'[1]DATOS PBI Artículos'!$A$4:$A$4,'[1]DATOS PBI Artículos'!$Z$4:$Z$4)*_xlfn.XLOOKUP(_xlfn.XLOOKUP(A681,'[1]DATOS PBI Artículos'!$A$4:$A$4,'[1]DATOS PBI Artículos'!$Y$4:$Y$4),[1]CRITERIOS!$P$79:$P$123,[1]CRITERIOS!$S$79:$S$123)),0)*[1]CRITERIOS!$M$80*([1]CRITERIOS!$M$89*[1]CRITERIOS!$M$92)+((_xlfn.XLOOKUP(A681,'[1]DATOS PBI Artículos'!$A$4:$A$4,'[1]DATOS PBI Artículos'!$AA$4:$AA$4)/2)*([1]CRITERIOS!$M$95+[1]CRITERIOS!$M$98)))/N681)</f>
        <v>#N/A</v>
      </c>
      <c r="AE681" s="39" t="e">
        <f>IF($R681="MTO","",
IF($H681=0,ROUNDUP(((_xlfn.XLOOKUP($A681,'[1]DATOS PBI Artículos'!$A:$A,'[1]DATOS PBI Artículos'!$AL:$AL))/(_xlfn.XLOOKUP($AF$1,[1]CRITERIOS!$S$16:$S$39,[1]CRITERIOS!$Y$16:$Y$39))*$J681+$Z681)/$G681,0)*$G681,
((_xlfn.XLOOKUP($A681,'[1]DATOS PBI Artículos'!$A:$A,'[1]DATOS PBI Artículos'!$AL:$AL))/(_xlfn.XLOOKUP($AF$1,[1]CRITERIOS!$S$16:$S$39,[1]CRITERIOS!$Y$16:$Y$39))*$J681+$Z681)))</f>
        <v>#N/A</v>
      </c>
      <c r="AG681" s="39" t="e">
        <f>IF($R681="MTO","",
IF($H681=0,ROUNDUP(((_xlfn.XLOOKUP($A681,'[1]DATOS PBI Artículos'!$A:$A,'[1]DATOS PBI Artículos'!$AM:$AM))/(_xlfn.XLOOKUP($AH$1,[1]CRITERIOS!$S$16:$S$39,[1]CRITERIOS!$Y$16:$Y$39))*$J681+$Z681)/$G681,0)*$G681,
((_xlfn.XLOOKUP($A681,'[1]DATOS PBI Artículos'!$A:$A,'[1]DATOS PBI Artículos'!$AM:$AM))/(_xlfn.XLOOKUP($AH$1,[1]CRITERIOS!$S$16:$S$39,[1]CRITERIOS!$Y$16:$Y$39))*$J681+$Z681)))</f>
        <v>#N/A</v>
      </c>
      <c r="AI681" s="39" t="e">
        <f>IF($R681="MTO","",
IF($H681=0,ROUNDUP(((_xlfn.XLOOKUP($A681,'[1]DATOS PBI Artículos'!$A:$A,'[1]DATOS PBI Artículos'!$AN:$AN))/(_xlfn.XLOOKUP($AJ$1,[1]CRITERIOS!$S$16:$S$39,[1]CRITERIOS!$Y$16:$Y$39))*$J681+$Z681)/$G681,0)*$G681,
((_xlfn.XLOOKUP($A681,'[1]DATOS PBI Artículos'!$A:$A,'[1]DATOS PBI Artículos'!$AN:$AN))/(_xlfn.XLOOKUP($AJ$1,[1]CRITERIOS!$S$16:$S$39,[1]CRITERIOS!$Y$16:$Y$39))*$J681+$Z681)))</f>
        <v>#N/A</v>
      </c>
      <c r="AK681" s="39" t="e">
        <f>IF($R681="MTO","",
IF($H681=0,ROUNDUP(((_xlfn.XLOOKUP($A681,'[1]DATOS PBI Artículos'!$A:$A,'[1]DATOS PBI Artículos'!$AO:$AO))/(_xlfn.XLOOKUP($AL$1,[1]CRITERIOS!$S$16:$S$39,[1]CRITERIOS!$Y$16:$Y$39))*$J681+$Z681)/$G681,0)*$G681,
((_xlfn.XLOOKUP($A681,'[1]DATOS PBI Artículos'!$A:$A,'[1]DATOS PBI Artículos'!$AO:$AO))/(_xlfn.XLOOKUP($AL$1,[1]CRITERIOS!$S$16:$S$39,[1]CRITERIOS!$Y$16:$Y$39))*$J681+$Z681)))</f>
        <v>#N/A</v>
      </c>
    </row>
    <row r="682" spans="1:37" ht="25.8" hidden="1" x14ac:dyDescent="0.4">
      <c r="A682" s="41"/>
      <c r="B682" s="33">
        <f>_xlfn.XLOOKUP($A682,'[1]DATOS PBI Artículos'!A:A,'[1]DATOS PBI Artículos'!B:B)</f>
        <v>0</v>
      </c>
      <c r="C682" s="33">
        <f>_xlfn.XLOOKUP($A682,'[1]DATOS PBI Artículos'!A:A,'[1]DATOS PBI Artículos'!C:C)</f>
        <v>0</v>
      </c>
      <c r="D682" s="33">
        <f>_xlfn.XLOOKUP(A682,'[1]DATOS PBI Artículos'!A:A,'[1]DATOS PBI Artículos'!T:T)</f>
        <v>0</v>
      </c>
      <c r="E682" s="34">
        <f>IF(_xlfn.XLOOKUP($A682,'[1]DATOS PBI Artículos'!A:A,'[1]DATOS PBI Artículos'!AK:AK)="",_xlfn.XLOOKUP($A682,'[1]DATOS PBI Artículos'!A:A,'[1]DATOS PBI Artículos'!AJ:AJ),_xlfn.XLOOKUP($A682,'[1]DATOS PBI Artículos'!A:A,'[1]DATOS PBI Artículos'!AK:AK))</f>
        <v>0</v>
      </c>
      <c r="F682" s="35">
        <f>_xlfn.XLOOKUP($A682,'[1]DATOS PBI Artículos'!A:A,'[1]DATOS PBI Artículos'!AP:AP)</f>
        <v>0</v>
      </c>
      <c r="G682" s="34">
        <f>_xlfn.XLOOKUP($A682,'[1]DATOS PBI Artículos'!A:A,'[1]DATOS PBI Artículos'!AR:AR)</f>
        <v>0</v>
      </c>
      <c r="H682" s="34">
        <f>_xlfn.XLOOKUP($A682,'[1]DATOS PBI Artículos'!A:A,'[1]DATOS PBI Artículos'!AT:AT)</f>
        <v>0</v>
      </c>
      <c r="I682" s="34">
        <f>_xlfn.XLOOKUP($A682,'[1]DATOS PBI Artículos'!A:A,'[1]DATOS PBI Artículos'!AS:AS)</f>
        <v>0</v>
      </c>
      <c r="J682" s="35">
        <f>IF(COUNTIF([1]CRITERIOS!$F$179:$F$199,$A682)&gt;=1,
 IF(O682&lt;&gt;"",
    (O682/_xlfn.XLOOKUP(CONCATENATE(A682,L682),[1]MÁQUINAS!A:A,[1]MÁQUINAS!D:D))/24,
    (N682/_xlfn.XLOOKUP(CONCATENATE(A682,L682),[1]MÁQUINAS!A:A,[1]MÁQUINAS!D:D))/24),
  _xlfn.XLOOKUP($A682,'[1]DATOS PBI Artículos'!A:A,'[1]DATOS PBI Artículos'!AU:AU))</f>
        <v>0</v>
      </c>
      <c r="K682" s="36">
        <f>_xlfn.XLOOKUP($A682,'[1]DATOS PBI Artículos'!A:A,'[1]DATOS PBI Artículos'!AV:AV)</f>
        <v>0</v>
      </c>
      <c r="L682" s="33">
        <f>_xlfn.XLOOKUP(A682,[1]MÁQUINAS!B:B,[1]MÁQUINAS!C:C)</f>
        <v>0</v>
      </c>
      <c r="M682" s="34">
        <f t="array" ref="M682">_xlfn.XLOOKUP(A682,'[1]DATOS PBI Artículos'!A:A,'[1]DATOS PBI Artículos'!AX:$AX)</f>
        <v>0</v>
      </c>
      <c r="N682" s="37" t="e">
        <f>IF(I682="DV",
E682,
IF(COUNTIF([1]CRITERIOS!$I$179:$I$199,$A682)&gt;=1,
_xlfn.XLOOKUP($A682,[1]CRITERIOS!$I$179:$I$199,[1]CRITERIOS!$J$179:$J$199),
IF(COUNTIF([1]CRITERIOS!$L$179:$L$199,$A682)&gt;=1,
_xlfn.CEILING.MATH(IF($M682&gt;$E682,
$E682,
IF($M682&lt;$E682/ROUNDDOWN([1]CRITERIOS!$M$16/_xlfn.XLOOKUP($C682,[1]CRITERIOS!$K$25:$K$42,[1]CRITERIOS!$M$25:$M$42),
1),
E682/ROUNDDOWN([1]CRITERIOS!$M$16/_xlfn.XLOOKUP($C682,[1]CRITERIOS!$K$25:$K$42,[1]CRITERIOS!$M$25:$M$42),
1),
$M682)),
_xlfn.XLOOKUP($A682,[1]CRITERIOS!$L$179:$L$200,[1]CRITERIOS!$M$179:$M$200)),
_xlfn.CEILING.MATH(IF($M682&gt;$E682,
$E682,
IF($M682&lt;$E682/ROUNDDOWN([1]CRITERIOS!$M$16/_xlfn.XLOOKUP($C682,[1]CRITERIOS!$K$25:$K$42,[1]CRITERIOS!$M$25:$M$42),
1),
E682/ROUNDDOWN([1]CRITERIOS!$M$16/_xlfn.XLOOKUP($C682,[1]CRITERIOS!$K$25:$K$42,[1]CRITERIOS!$M$25:$M$42),
1),
$M682)),_xlfn.XLOOKUP(A682,'[1]DATOS PBI Artículos'!A:A,'[1]DATOS PBI Artículos'!Z:Z
)))))</f>
        <v>#N/A</v>
      </c>
      <c r="Q682" s="38" t="e">
        <f>IF(AND(O682="",N682=0),
0,
   IF(COUNTIF([1]CRITERIOS!$F$179:$F$199,$A682)&gt;=1,
   1,
   IF(R682="MTO",
      $D682,
      ROUNDUP(
                    IF(($E682-SUMIF('[1]DATOS PBI Artículos'!A:A,A682,'[1]DATOS PBI Artículos'!X:X)+($V682-_xlfn.XLOOKUP(A682,'[1]DATOS PBI Artículos'!A:A,'[1]DATOS PBI Artículos'!W:W)))&lt;0,
                    0,
                    IF(($E682-SUMIF('[1]DATOS PBI Artículos'!A:A,A682,'[1]DATOS PBI Artículos'!X:X)+$V682-_xlfn.XLOOKUP($A682,'[1]DATOS PBI Artículos'!A:A,'[1]DATOS PBI Artículos'!W:W))/IF($O682="",$N682,$O682)&gt;ROUNDUP([1]CRITERIOS!$M$16/(IF(COUNTIF([1]CRITERIOS!$BG$11:$BG$201,L682)&gt;=1,_xlfn.XLOOKUP($C682,[1]CRITERIOS!$K$25:$K$42,[1]CRITERIOS!$M$25:$M$42),_xlfn.XLOOKUP($C682,[1]CRITERIOS!$K$25:$K$42,[1]CRITERIOS!$M$25:$M$42))),0),
                    ROUNDUP([1]CRITERIOS!$M$16/(IF(COUNTIF([1]CRITERIOS!$BG$11:$BG$201,$L682)&gt;=1,_xlfn.XLOOKUP($C682,[1]CRITERIOS!$K$25:$K$42,[1]CRITERIOS!$M$25:$M$42),_xlfn.XLOOKUP($C682,[1]CRITERIOS!$K$25:$K$42,[1]CRITERIOS!$M$25:$M$42))),0),
                    (E682+V682-SUMIF('[1]DATOS PBI Artículos'!A:A,A682,'[1]DATOS PBI Artículos'!X:X)-_xlfn.XLOOKUP(A682,'[1]DATOS PBI Artículos'!A:A,'[1]DATOS PBI Artículos'!W:W))/IF($O682="",$N682,$O682))),0))))</f>
        <v>#N/A</v>
      </c>
      <c r="R682" s="33" t="e">
        <f>IF(U682&lt;&gt;"",U682,IF(F682="DV","MTO",IF(N682=0,"MTO",_xlfn.XLOOKUP(CONCATENATE(S682,T682),[1]CRITERIOS!$K$160:$K$168,[1]CRITERIOS!$N$160:$N$168))))</f>
        <v>#N/A</v>
      </c>
      <c r="S682" s="33" t="e">
        <f>IF(G682="DV","MTO",IF(N682=0,"MTO",IF(OR(AND(N682=0,O682=""),IF(O682="",G682/N682,G682/O682)&gt;[1]CRITERIOS!$G$163),"MTO",IF(IF(O682="",G682/N682,G682/O682)&lt;[1]CRITERIOS!$H$161,"MTS","MTOS"))))</f>
        <v>#N/A</v>
      </c>
      <c r="T682" s="33" t="e">
        <f>IF(F682="DV","MTO",IF(OR(AND($N682=0,O682=""),$F682/$J682&gt;[1]CRITERIOS!$G$170,$F682="DV"),"MTO",IF($F682/$J682&lt;[1]CRITERIOS!$H$168,"MTS","MTOS")))</f>
        <v>#N/A</v>
      </c>
      <c r="V682" s="34" t="e">
        <f t="shared" si="34"/>
        <v>#N/A</v>
      </c>
      <c r="X682" s="34" t="e">
        <f t="shared" si="32"/>
        <v>#N/A</v>
      </c>
      <c r="Y682" s="34" t="e">
        <f t="shared" si="33"/>
        <v>#N/A</v>
      </c>
      <c r="Z682" s="34" t="e">
        <f>IF($R682="MTO",
0,
($H682+$K682*($E682/[1]CRITERIOS!$M$16))/[1]CRITERIOS!$X$48)</f>
        <v>#N/A</v>
      </c>
      <c r="AA682" s="34" t="e">
        <f>ROUNDUP(($Y682/_xlfn.XLOOKUP($A682,'[1]DATOS PBI Artículos'!$A$4:$A$4,'[1]DATOS PBI Artículos'!$Z$4:$Z$4))/_xlfn.XLOOKUP(_xlfn.XLOOKUP($A682,'[1]DATOS PBI Artículos'!$A$4:$A$4,'[1]DATOS PBI Artículos'!$Y$4:$Y$4),[1]CRITERIOS!$P$79:$P$123,[1]CRITERIOS!$S$79:$S$123,),0)</f>
        <v>#N/A</v>
      </c>
      <c r="AB682" s="33" t="e">
        <f t="array" ref="AB682">IF((E682+V682-_xlfn.XLOOKUP(A682,'[1]DATOS PBI Artículos'!$A$4:$A$4,'[1]DATOS PBI Artículos'!$W$4:$W$4))/N682&gt;ROUNDUP([1]CRITERIOS!$M$16/(IF(COUNTIF([1]CRITERIOS!$BG$11:$BG$201,L682)&gt;=1,_xlfn.XLOOKUP(ARTÍCULOS!L682,[1]CRITERIOS!$BG$11:$BG$201,[1]CRITERIOS!$BJ$11:$BJ$201),_xlfn.XLOOKUP(ARTÍCULOS!C682,[1]CRITERIOS!$K$25:$K$42,[1]CRITERIOS!$M$25:$M$42))),0),ROUNDUP([1]CRITERIOS!$M$16/(IF(COUNTIF([1]CRITERIOS!$BG$11:$BG$201,L682)&gt;=1,_xlfn.XLOOKUP(ARTÍCULOS!L682,[1]CRITERIOS!$BG$11:$BG$201:#REF!,[1]CRITERIOS!$BJ$11:$BJ$201),_xlfn.XLOOKUP(ARTÍCULOS!C682,[1]CRITERIOS!$K$25:$K$42,[1]CRITERIOS!$M$25:$M$42))),0),(E682+V682-_xlfn.XLOOKUP(A682,'[1]DATOS PBI Artículos'!$A$4:$A$4,'[1]DATOS PBI Artículos'!$W$4:$W$4))/N682)</f>
        <v>#N/A</v>
      </c>
      <c r="AC682" s="33" t="e">
        <f>IF(N682=0,"",(ROUNDUP((N682/2)/(_xlfn.XLOOKUP(A682,'[1]DATOS PBI Artículos'!$A$4:$A$4,'[1]DATOS PBI Artículos'!$Z$4:$Z$4)*_xlfn.XLOOKUP(_xlfn.XLOOKUP(A682,'[1]DATOS PBI Artículos'!$A$4:$A$4,'[1]DATOS PBI Artículos'!$Y$4:$Y$4),[1]CRITERIOS!$P$79:$P$123,[1]CRITERIOS!$S$79:$S$123)),0)*[1]CRITERIOS!$M$80*([1]CRITERIOS!$M$110/[1]CRITERIOS!$M$86)+(_xlfn.XLOOKUP(A682,'[1]DATOS PBI Artículos'!$A$4:$A$4,'[1]DATOS PBI Artículos'!$AA$4:$AA$4)*([1]CRITERIOS!$M$95+[1]CRITERIOS!$M$98)))/N682)</f>
        <v>#N/A</v>
      </c>
      <c r="AD682" s="33" t="e">
        <f>IF(N682=0,"",(ROUNDUP((N682/2)/(_xlfn.XLOOKUP(A682,'[1]DATOS PBI Artículos'!$A$4:$A$4,'[1]DATOS PBI Artículos'!$Z$4:$Z$4)*_xlfn.XLOOKUP(_xlfn.XLOOKUP(A682,'[1]DATOS PBI Artículos'!$A$4:$A$4,'[1]DATOS PBI Artículos'!$Y$4:$Y$4),[1]CRITERIOS!$P$79:$P$123,[1]CRITERIOS!$S$79:$S$123)),0)*[1]CRITERIOS!$M$80*([1]CRITERIOS!$M$89*[1]CRITERIOS!$M$92)+((_xlfn.XLOOKUP(A682,'[1]DATOS PBI Artículos'!$A$4:$A$4,'[1]DATOS PBI Artículos'!$AA$4:$AA$4)/2)*([1]CRITERIOS!$M$95+[1]CRITERIOS!$M$98)))/N682)</f>
        <v>#N/A</v>
      </c>
      <c r="AE682" s="39" t="e">
        <f>IF($R682="MTO","",
IF($H682=0,ROUNDUP(((_xlfn.XLOOKUP($A682,'[1]DATOS PBI Artículos'!$A:$A,'[1]DATOS PBI Artículos'!$AL:$AL))/(_xlfn.XLOOKUP($AF$1,[1]CRITERIOS!$S$16:$S$39,[1]CRITERIOS!$Y$16:$Y$39))*$J682+$Z682)/$G682,0)*$G682,
((_xlfn.XLOOKUP($A682,'[1]DATOS PBI Artículos'!$A:$A,'[1]DATOS PBI Artículos'!$AL:$AL))/(_xlfn.XLOOKUP($AF$1,[1]CRITERIOS!$S$16:$S$39,[1]CRITERIOS!$Y$16:$Y$39))*$J682+$Z682)))</f>
        <v>#N/A</v>
      </c>
      <c r="AG682" s="39" t="e">
        <f>IF($R682="MTO","",
IF($H682=0,ROUNDUP(((_xlfn.XLOOKUP($A682,'[1]DATOS PBI Artículos'!$A:$A,'[1]DATOS PBI Artículos'!$AM:$AM))/(_xlfn.XLOOKUP($AH$1,[1]CRITERIOS!$S$16:$S$39,[1]CRITERIOS!$Y$16:$Y$39))*$J682+$Z682)/$G682,0)*$G682,
((_xlfn.XLOOKUP($A682,'[1]DATOS PBI Artículos'!$A:$A,'[1]DATOS PBI Artículos'!$AM:$AM))/(_xlfn.XLOOKUP($AH$1,[1]CRITERIOS!$S$16:$S$39,[1]CRITERIOS!$Y$16:$Y$39))*$J682+$Z682)))</f>
        <v>#N/A</v>
      </c>
      <c r="AI682" s="39" t="e">
        <f>IF($R682="MTO","",
IF($H682=0,ROUNDUP(((_xlfn.XLOOKUP($A682,'[1]DATOS PBI Artículos'!$A:$A,'[1]DATOS PBI Artículos'!$AN:$AN))/(_xlfn.XLOOKUP($AJ$1,[1]CRITERIOS!$S$16:$S$39,[1]CRITERIOS!$Y$16:$Y$39))*$J682+$Z682)/$G682,0)*$G682,
((_xlfn.XLOOKUP($A682,'[1]DATOS PBI Artículos'!$A:$A,'[1]DATOS PBI Artículos'!$AN:$AN))/(_xlfn.XLOOKUP($AJ$1,[1]CRITERIOS!$S$16:$S$39,[1]CRITERIOS!$Y$16:$Y$39))*$J682+$Z682)))</f>
        <v>#N/A</v>
      </c>
      <c r="AK682" s="39" t="e">
        <f>IF($R682="MTO","",
IF($H682=0,ROUNDUP(((_xlfn.XLOOKUP($A682,'[1]DATOS PBI Artículos'!$A:$A,'[1]DATOS PBI Artículos'!$AO:$AO))/(_xlfn.XLOOKUP($AL$1,[1]CRITERIOS!$S$16:$S$39,[1]CRITERIOS!$Y$16:$Y$39))*$J682+$Z682)/$G682,0)*$G682,
((_xlfn.XLOOKUP($A682,'[1]DATOS PBI Artículos'!$A:$A,'[1]DATOS PBI Artículos'!$AO:$AO))/(_xlfn.XLOOKUP($AL$1,[1]CRITERIOS!$S$16:$S$39,[1]CRITERIOS!$Y$16:$Y$39))*$J682+$Z682)))</f>
        <v>#N/A</v>
      </c>
    </row>
    <row r="683" spans="1:37" ht="25.8" hidden="1" x14ac:dyDescent="0.4">
      <c r="A683" s="41"/>
      <c r="B683" s="33">
        <f>_xlfn.XLOOKUP($A683,'[1]DATOS PBI Artículos'!A:A,'[1]DATOS PBI Artículos'!B:B)</f>
        <v>0</v>
      </c>
      <c r="C683" s="33">
        <f>_xlfn.XLOOKUP($A683,'[1]DATOS PBI Artículos'!A:A,'[1]DATOS PBI Artículos'!C:C)</f>
        <v>0</v>
      </c>
      <c r="D683" s="33">
        <f>_xlfn.XLOOKUP(A683,'[1]DATOS PBI Artículos'!A:A,'[1]DATOS PBI Artículos'!T:T)</f>
        <v>0</v>
      </c>
      <c r="E683" s="34">
        <f>IF(_xlfn.XLOOKUP($A683,'[1]DATOS PBI Artículos'!A:A,'[1]DATOS PBI Artículos'!AK:AK)="",_xlfn.XLOOKUP($A683,'[1]DATOS PBI Artículos'!A:A,'[1]DATOS PBI Artículos'!AJ:AJ),_xlfn.XLOOKUP($A683,'[1]DATOS PBI Artículos'!A:A,'[1]DATOS PBI Artículos'!AK:AK))</f>
        <v>0</v>
      </c>
      <c r="F683" s="35">
        <f>_xlfn.XLOOKUP($A683,'[1]DATOS PBI Artículos'!A:A,'[1]DATOS PBI Artículos'!AP:AP)</f>
        <v>0</v>
      </c>
      <c r="G683" s="34">
        <f>_xlfn.XLOOKUP($A683,'[1]DATOS PBI Artículos'!A:A,'[1]DATOS PBI Artículos'!AR:AR)</f>
        <v>0</v>
      </c>
      <c r="H683" s="34">
        <f>_xlfn.XLOOKUP($A683,'[1]DATOS PBI Artículos'!A:A,'[1]DATOS PBI Artículos'!AT:AT)</f>
        <v>0</v>
      </c>
      <c r="I683" s="34">
        <f>_xlfn.XLOOKUP($A683,'[1]DATOS PBI Artículos'!A:A,'[1]DATOS PBI Artículos'!AS:AS)</f>
        <v>0</v>
      </c>
      <c r="J683" s="35">
        <f>IF(COUNTIF([1]CRITERIOS!$F$179:$F$199,$A683)&gt;=1,
 IF(O683&lt;&gt;"",
    (O683/_xlfn.XLOOKUP(CONCATENATE(A683,L683),[1]MÁQUINAS!A:A,[1]MÁQUINAS!D:D))/24,
    (N683/_xlfn.XLOOKUP(CONCATENATE(A683,L683),[1]MÁQUINAS!A:A,[1]MÁQUINAS!D:D))/24),
  _xlfn.XLOOKUP($A683,'[1]DATOS PBI Artículos'!A:A,'[1]DATOS PBI Artículos'!AU:AU))</f>
        <v>0</v>
      </c>
      <c r="K683" s="36">
        <f>_xlfn.XLOOKUP($A683,'[1]DATOS PBI Artículos'!A:A,'[1]DATOS PBI Artículos'!AV:AV)</f>
        <v>0</v>
      </c>
      <c r="L683" s="33">
        <f>_xlfn.XLOOKUP(A683,[1]MÁQUINAS!B:B,[1]MÁQUINAS!C:C)</f>
        <v>0</v>
      </c>
      <c r="M683" s="34">
        <f t="array" ref="M683">_xlfn.XLOOKUP(A683,'[1]DATOS PBI Artículos'!A:A,'[1]DATOS PBI Artículos'!AX:$AX)</f>
        <v>0</v>
      </c>
      <c r="N683" s="37" t="e">
        <f>IF(I683="DV",
E683,
IF(COUNTIF([1]CRITERIOS!$I$179:$I$199,$A683)&gt;=1,
_xlfn.XLOOKUP($A683,[1]CRITERIOS!$I$179:$I$199,[1]CRITERIOS!$J$179:$J$199),
IF(COUNTIF([1]CRITERIOS!$L$179:$L$199,$A683)&gt;=1,
_xlfn.CEILING.MATH(IF($M683&gt;$E683,
$E683,
IF($M683&lt;$E683/ROUNDDOWN([1]CRITERIOS!$M$16/_xlfn.XLOOKUP($C683,[1]CRITERIOS!$K$25:$K$42,[1]CRITERIOS!$M$25:$M$42),
1),
E683/ROUNDDOWN([1]CRITERIOS!$M$16/_xlfn.XLOOKUP($C683,[1]CRITERIOS!$K$25:$K$42,[1]CRITERIOS!$M$25:$M$42),
1),
$M683)),
_xlfn.XLOOKUP($A683,[1]CRITERIOS!$L$179:$L$200,[1]CRITERIOS!$M$179:$M$200)),
_xlfn.CEILING.MATH(IF($M683&gt;$E683,
$E683,
IF($M683&lt;$E683/ROUNDDOWN([1]CRITERIOS!$M$16/_xlfn.XLOOKUP($C683,[1]CRITERIOS!$K$25:$K$42,[1]CRITERIOS!$M$25:$M$42),
1),
E683/ROUNDDOWN([1]CRITERIOS!$M$16/_xlfn.XLOOKUP($C683,[1]CRITERIOS!$K$25:$K$42,[1]CRITERIOS!$M$25:$M$42),
1),
$M683)),_xlfn.XLOOKUP(A683,'[1]DATOS PBI Artículos'!A:A,'[1]DATOS PBI Artículos'!Z:Z
)))))</f>
        <v>#N/A</v>
      </c>
      <c r="Q683" s="38" t="e">
        <f>IF(AND(O683="",N683=0),
0,
   IF(COUNTIF([1]CRITERIOS!$F$179:$F$199,$A683)&gt;=1,
   1,
   IF(R683="MTO",
      $D683,
      ROUNDUP(
                    IF(($E683-SUMIF('[1]DATOS PBI Artículos'!A:A,A683,'[1]DATOS PBI Artículos'!X:X)+($V683-_xlfn.XLOOKUP(A683,'[1]DATOS PBI Artículos'!A:A,'[1]DATOS PBI Artículos'!W:W)))&lt;0,
                    0,
                    IF(($E683-SUMIF('[1]DATOS PBI Artículos'!A:A,A683,'[1]DATOS PBI Artículos'!X:X)+$V683-_xlfn.XLOOKUP($A683,'[1]DATOS PBI Artículos'!A:A,'[1]DATOS PBI Artículos'!W:W))/IF($O683="",$N683,$O683)&gt;ROUNDUP([1]CRITERIOS!$M$16/(IF(COUNTIF([1]CRITERIOS!$BG$11:$BG$201,L683)&gt;=1,_xlfn.XLOOKUP($C683,[1]CRITERIOS!$K$25:$K$42,[1]CRITERIOS!$M$25:$M$42),_xlfn.XLOOKUP($C683,[1]CRITERIOS!$K$25:$K$42,[1]CRITERIOS!$M$25:$M$42))),0),
                    ROUNDUP([1]CRITERIOS!$M$16/(IF(COUNTIF([1]CRITERIOS!$BG$11:$BG$201,$L683)&gt;=1,_xlfn.XLOOKUP($C683,[1]CRITERIOS!$K$25:$K$42,[1]CRITERIOS!$M$25:$M$42),_xlfn.XLOOKUP($C683,[1]CRITERIOS!$K$25:$K$42,[1]CRITERIOS!$M$25:$M$42))),0),
                    (E683+V683-SUMIF('[1]DATOS PBI Artículos'!A:A,A683,'[1]DATOS PBI Artículos'!X:X)-_xlfn.XLOOKUP(A683,'[1]DATOS PBI Artículos'!A:A,'[1]DATOS PBI Artículos'!W:W))/IF($O683="",$N683,$O683))),0))))</f>
        <v>#N/A</v>
      </c>
      <c r="R683" s="33" t="e">
        <f>IF(U683&lt;&gt;"",U683,IF(F683="DV","MTO",IF(N683=0,"MTO",_xlfn.XLOOKUP(CONCATENATE(S683,T683),[1]CRITERIOS!$K$160:$K$168,[1]CRITERIOS!$N$160:$N$168))))</f>
        <v>#N/A</v>
      </c>
      <c r="S683" s="33" t="e">
        <f>IF(G683="DV","MTO",IF(N683=0,"MTO",IF(OR(AND(N683=0,O683=""),IF(O683="",G683/N683,G683/O683)&gt;[1]CRITERIOS!$G$163),"MTO",IF(IF(O683="",G683/N683,G683/O683)&lt;[1]CRITERIOS!$H$161,"MTS","MTOS"))))</f>
        <v>#N/A</v>
      </c>
      <c r="T683" s="33" t="e">
        <f>IF(F683="DV","MTO",IF(OR(AND($N683=0,O683=""),$F683/$J683&gt;[1]CRITERIOS!$G$170,$F683="DV"),"MTO",IF($F683/$J683&lt;[1]CRITERIOS!$H$168,"MTS","MTOS")))</f>
        <v>#N/A</v>
      </c>
      <c r="V683" s="34" t="e">
        <f t="shared" si="34"/>
        <v>#N/A</v>
      </c>
      <c r="X683" s="34" t="e">
        <f t="shared" si="32"/>
        <v>#N/A</v>
      </c>
      <c r="Y683" s="34" t="e">
        <f t="shared" si="33"/>
        <v>#N/A</v>
      </c>
      <c r="Z683" s="34" t="e">
        <f>IF($R683="MTO",
0,
($H683+$K683*($E683/[1]CRITERIOS!$M$16))/[1]CRITERIOS!$X$48)</f>
        <v>#N/A</v>
      </c>
      <c r="AA683" s="34" t="e">
        <f>ROUNDUP(($Y683/_xlfn.XLOOKUP($A683,'[1]DATOS PBI Artículos'!$A$4:$A$4,'[1]DATOS PBI Artículos'!$Z$4:$Z$4))/_xlfn.XLOOKUP(_xlfn.XLOOKUP($A683,'[1]DATOS PBI Artículos'!$A$4:$A$4,'[1]DATOS PBI Artículos'!$Y$4:$Y$4),[1]CRITERIOS!$P$79:$P$123,[1]CRITERIOS!$S$79:$S$123,),0)</f>
        <v>#N/A</v>
      </c>
      <c r="AB683" s="33" t="e">
        <f t="array" ref="AB683">IF((E683+V683-_xlfn.XLOOKUP(A683,'[1]DATOS PBI Artículos'!$A$4:$A$4,'[1]DATOS PBI Artículos'!$W$4:$W$4))/N683&gt;ROUNDUP([1]CRITERIOS!$M$16/(IF(COUNTIF([1]CRITERIOS!$BG$11:$BG$201,L683)&gt;=1,_xlfn.XLOOKUP(ARTÍCULOS!L683,[1]CRITERIOS!$BG$11:$BG$201,[1]CRITERIOS!$BJ$11:$BJ$201),_xlfn.XLOOKUP(ARTÍCULOS!C683,[1]CRITERIOS!$K$25:$K$42,[1]CRITERIOS!$M$25:$M$42))),0),ROUNDUP([1]CRITERIOS!$M$16/(IF(COUNTIF([1]CRITERIOS!$BG$11:$BG$201,L683)&gt;=1,_xlfn.XLOOKUP(ARTÍCULOS!L683,[1]CRITERIOS!$BG$11:$BG$201:#REF!,[1]CRITERIOS!$BJ$11:$BJ$201),_xlfn.XLOOKUP(ARTÍCULOS!C683,[1]CRITERIOS!$K$25:$K$42,[1]CRITERIOS!$M$25:$M$42))),0),(E683+V683-_xlfn.XLOOKUP(A683,'[1]DATOS PBI Artículos'!$A$4:$A$4,'[1]DATOS PBI Artículos'!$W$4:$W$4))/N683)</f>
        <v>#N/A</v>
      </c>
      <c r="AC683" s="33" t="e">
        <f>IF(N683=0,"",(ROUNDUP((N683/2)/(_xlfn.XLOOKUP(A683,'[1]DATOS PBI Artículos'!$A$4:$A$4,'[1]DATOS PBI Artículos'!$Z$4:$Z$4)*_xlfn.XLOOKUP(_xlfn.XLOOKUP(A683,'[1]DATOS PBI Artículos'!$A$4:$A$4,'[1]DATOS PBI Artículos'!$Y$4:$Y$4),[1]CRITERIOS!$P$79:$P$123,[1]CRITERIOS!$S$79:$S$123)),0)*[1]CRITERIOS!$M$80*([1]CRITERIOS!$M$110/[1]CRITERIOS!$M$86)+(_xlfn.XLOOKUP(A683,'[1]DATOS PBI Artículos'!$A$4:$A$4,'[1]DATOS PBI Artículos'!$AA$4:$AA$4)*([1]CRITERIOS!$M$95+[1]CRITERIOS!$M$98)))/N683)</f>
        <v>#N/A</v>
      </c>
      <c r="AD683" s="33" t="e">
        <f>IF(N683=0,"",(ROUNDUP((N683/2)/(_xlfn.XLOOKUP(A683,'[1]DATOS PBI Artículos'!$A$4:$A$4,'[1]DATOS PBI Artículos'!$Z$4:$Z$4)*_xlfn.XLOOKUP(_xlfn.XLOOKUP(A683,'[1]DATOS PBI Artículos'!$A$4:$A$4,'[1]DATOS PBI Artículos'!$Y$4:$Y$4),[1]CRITERIOS!$P$79:$P$123,[1]CRITERIOS!$S$79:$S$123)),0)*[1]CRITERIOS!$M$80*([1]CRITERIOS!$M$89*[1]CRITERIOS!$M$92)+((_xlfn.XLOOKUP(A683,'[1]DATOS PBI Artículos'!$A$4:$A$4,'[1]DATOS PBI Artículos'!$AA$4:$AA$4)/2)*([1]CRITERIOS!$M$95+[1]CRITERIOS!$M$98)))/N683)</f>
        <v>#N/A</v>
      </c>
      <c r="AE683" s="39" t="e">
        <f>IF($R683="MTO","",
IF($H683=0,ROUNDUP(((_xlfn.XLOOKUP($A683,'[1]DATOS PBI Artículos'!$A:$A,'[1]DATOS PBI Artículos'!$AL:$AL))/(_xlfn.XLOOKUP($AF$1,[1]CRITERIOS!$S$16:$S$39,[1]CRITERIOS!$Y$16:$Y$39))*$J683+$Z683)/$G683,0)*$G683,
((_xlfn.XLOOKUP($A683,'[1]DATOS PBI Artículos'!$A:$A,'[1]DATOS PBI Artículos'!$AL:$AL))/(_xlfn.XLOOKUP($AF$1,[1]CRITERIOS!$S$16:$S$39,[1]CRITERIOS!$Y$16:$Y$39))*$J683+$Z683)))</f>
        <v>#N/A</v>
      </c>
      <c r="AG683" s="39" t="e">
        <f>IF($R683="MTO","",
IF($H683=0,ROUNDUP(((_xlfn.XLOOKUP($A683,'[1]DATOS PBI Artículos'!$A:$A,'[1]DATOS PBI Artículos'!$AM:$AM))/(_xlfn.XLOOKUP($AH$1,[1]CRITERIOS!$S$16:$S$39,[1]CRITERIOS!$Y$16:$Y$39))*$J683+$Z683)/$G683,0)*$G683,
((_xlfn.XLOOKUP($A683,'[1]DATOS PBI Artículos'!$A:$A,'[1]DATOS PBI Artículos'!$AM:$AM))/(_xlfn.XLOOKUP($AH$1,[1]CRITERIOS!$S$16:$S$39,[1]CRITERIOS!$Y$16:$Y$39))*$J683+$Z683)))</f>
        <v>#N/A</v>
      </c>
      <c r="AI683" s="39" t="e">
        <f>IF($R683="MTO","",
IF($H683=0,ROUNDUP(((_xlfn.XLOOKUP($A683,'[1]DATOS PBI Artículos'!$A:$A,'[1]DATOS PBI Artículos'!$AN:$AN))/(_xlfn.XLOOKUP($AJ$1,[1]CRITERIOS!$S$16:$S$39,[1]CRITERIOS!$Y$16:$Y$39))*$J683+$Z683)/$G683,0)*$G683,
((_xlfn.XLOOKUP($A683,'[1]DATOS PBI Artículos'!$A:$A,'[1]DATOS PBI Artículos'!$AN:$AN))/(_xlfn.XLOOKUP($AJ$1,[1]CRITERIOS!$S$16:$S$39,[1]CRITERIOS!$Y$16:$Y$39))*$J683+$Z683)))</f>
        <v>#N/A</v>
      </c>
      <c r="AK683" s="39" t="e">
        <f>IF($R683="MTO","",
IF($H683=0,ROUNDUP(((_xlfn.XLOOKUP($A683,'[1]DATOS PBI Artículos'!$A:$A,'[1]DATOS PBI Artículos'!$AO:$AO))/(_xlfn.XLOOKUP($AL$1,[1]CRITERIOS!$S$16:$S$39,[1]CRITERIOS!$Y$16:$Y$39))*$J683+$Z683)/$G683,0)*$G683,
((_xlfn.XLOOKUP($A683,'[1]DATOS PBI Artículos'!$A:$A,'[1]DATOS PBI Artículos'!$AO:$AO))/(_xlfn.XLOOKUP($AL$1,[1]CRITERIOS!$S$16:$S$39,[1]CRITERIOS!$Y$16:$Y$39))*$J683+$Z683)))</f>
        <v>#N/A</v>
      </c>
    </row>
    <row r="684" spans="1:37" ht="25.8" hidden="1" x14ac:dyDescent="0.4">
      <c r="A684" s="41"/>
      <c r="B684" s="33">
        <f>_xlfn.XLOOKUP($A684,'[1]DATOS PBI Artículos'!A:A,'[1]DATOS PBI Artículos'!B:B)</f>
        <v>0</v>
      </c>
      <c r="C684" s="33">
        <f>_xlfn.XLOOKUP($A684,'[1]DATOS PBI Artículos'!A:A,'[1]DATOS PBI Artículos'!C:C)</f>
        <v>0</v>
      </c>
      <c r="D684" s="33">
        <f>_xlfn.XLOOKUP(A684,'[1]DATOS PBI Artículos'!A:A,'[1]DATOS PBI Artículos'!T:T)</f>
        <v>0</v>
      </c>
      <c r="E684" s="34">
        <f>IF(_xlfn.XLOOKUP($A684,'[1]DATOS PBI Artículos'!A:A,'[1]DATOS PBI Artículos'!AK:AK)="",_xlfn.XLOOKUP($A684,'[1]DATOS PBI Artículos'!A:A,'[1]DATOS PBI Artículos'!AJ:AJ),_xlfn.XLOOKUP($A684,'[1]DATOS PBI Artículos'!A:A,'[1]DATOS PBI Artículos'!AK:AK))</f>
        <v>0</v>
      </c>
      <c r="F684" s="35">
        <f>_xlfn.XLOOKUP($A684,'[1]DATOS PBI Artículos'!A:A,'[1]DATOS PBI Artículos'!AP:AP)</f>
        <v>0</v>
      </c>
      <c r="G684" s="34">
        <f>_xlfn.XLOOKUP($A684,'[1]DATOS PBI Artículos'!A:A,'[1]DATOS PBI Artículos'!AR:AR)</f>
        <v>0</v>
      </c>
      <c r="H684" s="34">
        <f>_xlfn.XLOOKUP($A684,'[1]DATOS PBI Artículos'!A:A,'[1]DATOS PBI Artículos'!AT:AT)</f>
        <v>0</v>
      </c>
      <c r="I684" s="34">
        <f>_xlfn.XLOOKUP($A684,'[1]DATOS PBI Artículos'!A:A,'[1]DATOS PBI Artículos'!AS:AS)</f>
        <v>0</v>
      </c>
      <c r="J684" s="35">
        <f>IF(COUNTIF([1]CRITERIOS!$F$179:$F$199,$A684)&gt;=1,
 IF(O684&lt;&gt;"",
    (O684/_xlfn.XLOOKUP(CONCATENATE(A684,L684),[1]MÁQUINAS!A:A,[1]MÁQUINAS!D:D))/24,
    (N684/_xlfn.XLOOKUP(CONCATENATE(A684,L684),[1]MÁQUINAS!A:A,[1]MÁQUINAS!D:D))/24),
  _xlfn.XLOOKUP($A684,'[1]DATOS PBI Artículos'!A:A,'[1]DATOS PBI Artículos'!AU:AU))</f>
        <v>0</v>
      </c>
      <c r="K684" s="36">
        <f>_xlfn.XLOOKUP($A684,'[1]DATOS PBI Artículos'!A:A,'[1]DATOS PBI Artículos'!AV:AV)</f>
        <v>0</v>
      </c>
      <c r="L684" s="33">
        <f>_xlfn.XLOOKUP(A684,[1]MÁQUINAS!B:B,[1]MÁQUINAS!C:C)</f>
        <v>0</v>
      </c>
      <c r="M684" s="34">
        <f t="array" ref="M684">_xlfn.XLOOKUP(A684,'[1]DATOS PBI Artículos'!A:A,'[1]DATOS PBI Artículos'!AX:$AX)</f>
        <v>0</v>
      </c>
      <c r="N684" s="37" t="e">
        <f>IF(I684="DV",
E684,
IF(COUNTIF([1]CRITERIOS!$I$179:$I$199,$A684)&gt;=1,
_xlfn.XLOOKUP($A684,[1]CRITERIOS!$I$179:$I$199,[1]CRITERIOS!$J$179:$J$199),
IF(COUNTIF([1]CRITERIOS!$L$179:$L$199,$A684)&gt;=1,
_xlfn.CEILING.MATH(IF($M684&gt;$E684,
$E684,
IF($M684&lt;$E684/ROUNDDOWN([1]CRITERIOS!$M$16/_xlfn.XLOOKUP($C684,[1]CRITERIOS!$K$25:$K$42,[1]CRITERIOS!$M$25:$M$42),
1),
E684/ROUNDDOWN([1]CRITERIOS!$M$16/_xlfn.XLOOKUP($C684,[1]CRITERIOS!$K$25:$K$42,[1]CRITERIOS!$M$25:$M$42),
1),
$M684)),
_xlfn.XLOOKUP($A684,[1]CRITERIOS!$L$179:$L$200,[1]CRITERIOS!$M$179:$M$200)),
_xlfn.CEILING.MATH(IF($M684&gt;$E684,
$E684,
IF($M684&lt;$E684/ROUNDDOWN([1]CRITERIOS!$M$16/_xlfn.XLOOKUP($C684,[1]CRITERIOS!$K$25:$K$42,[1]CRITERIOS!$M$25:$M$42),
1),
E684/ROUNDDOWN([1]CRITERIOS!$M$16/_xlfn.XLOOKUP($C684,[1]CRITERIOS!$K$25:$K$42,[1]CRITERIOS!$M$25:$M$42),
1),
$M684)),_xlfn.XLOOKUP(A684,'[1]DATOS PBI Artículos'!A:A,'[1]DATOS PBI Artículos'!Z:Z
)))))</f>
        <v>#N/A</v>
      </c>
      <c r="Q684" s="38" t="e">
        <f>IF(AND(O684="",N684=0),
0,
   IF(COUNTIF([1]CRITERIOS!$F$179:$F$199,$A684)&gt;=1,
   1,
   IF(R684="MTO",
      $D684,
      ROUNDUP(
                    IF(($E684-SUMIF('[1]DATOS PBI Artículos'!A:A,A684,'[1]DATOS PBI Artículos'!X:X)+($V684-_xlfn.XLOOKUP(A684,'[1]DATOS PBI Artículos'!A:A,'[1]DATOS PBI Artículos'!W:W)))&lt;0,
                    0,
                    IF(($E684-SUMIF('[1]DATOS PBI Artículos'!A:A,A684,'[1]DATOS PBI Artículos'!X:X)+$V684-_xlfn.XLOOKUP($A684,'[1]DATOS PBI Artículos'!A:A,'[1]DATOS PBI Artículos'!W:W))/IF($O684="",$N684,$O684)&gt;ROUNDUP([1]CRITERIOS!$M$16/(IF(COUNTIF([1]CRITERIOS!$BG$11:$BG$201,L684)&gt;=1,_xlfn.XLOOKUP($C684,[1]CRITERIOS!$K$25:$K$42,[1]CRITERIOS!$M$25:$M$42),_xlfn.XLOOKUP($C684,[1]CRITERIOS!$K$25:$K$42,[1]CRITERIOS!$M$25:$M$42))),0),
                    ROUNDUP([1]CRITERIOS!$M$16/(IF(COUNTIF([1]CRITERIOS!$BG$11:$BG$201,$L684)&gt;=1,_xlfn.XLOOKUP($C684,[1]CRITERIOS!$K$25:$K$42,[1]CRITERIOS!$M$25:$M$42),_xlfn.XLOOKUP($C684,[1]CRITERIOS!$K$25:$K$42,[1]CRITERIOS!$M$25:$M$42))),0),
                    (E684+V684-SUMIF('[1]DATOS PBI Artículos'!A:A,A684,'[1]DATOS PBI Artículos'!X:X)-_xlfn.XLOOKUP(A684,'[1]DATOS PBI Artículos'!A:A,'[1]DATOS PBI Artículos'!W:W))/IF($O684="",$N684,$O684))),0))))</f>
        <v>#N/A</v>
      </c>
      <c r="R684" s="33" t="e">
        <f>IF(U684&lt;&gt;"",U684,IF(F684="DV","MTO",IF(N684=0,"MTO",_xlfn.XLOOKUP(CONCATENATE(S684,T684),[1]CRITERIOS!$K$160:$K$168,[1]CRITERIOS!$N$160:$N$168))))</f>
        <v>#N/A</v>
      </c>
      <c r="S684" s="33" t="e">
        <f>IF(G684="DV","MTO",IF(N684=0,"MTO",IF(OR(AND(N684=0,O684=""),IF(O684="",G684/N684,G684/O684)&gt;[1]CRITERIOS!$G$163),"MTO",IF(IF(O684="",G684/N684,G684/O684)&lt;[1]CRITERIOS!$H$161,"MTS","MTOS"))))</f>
        <v>#N/A</v>
      </c>
      <c r="T684" s="33" t="e">
        <f>IF(F684="DV","MTO",IF(OR(AND($N684=0,O684=""),$F684/$J684&gt;[1]CRITERIOS!$G$170,$F684="DV"),"MTO",IF($F684/$J684&lt;[1]CRITERIOS!$H$168,"MTS","MTOS")))</f>
        <v>#N/A</v>
      </c>
      <c r="V684" s="34" t="e">
        <f t="shared" si="34"/>
        <v>#N/A</v>
      </c>
      <c r="X684" s="34" t="e">
        <f t="shared" si="32"/>
        <v>#N/A</v>
      </c>
      <c r="Y684" s="34" t="e">
        <f t="shared" si="33"/>
        <v>#N/A</v>
      </c>
      <c r="Z684" s="34" t="e">
        <f>IF($R684="MTO",
0,
($H684+$K684*($E684/[1]CRITERIOS!$M$16))/[1]CRITERIOS!$X$48)</f>
        <v>#N/A</v>
      </c>
      <c r="AA684" s="34" t="e">
        <f>ROUNDUP(($Y684/_xlfn.XLOOKUP($A684,'[1]DATOS PBI Artículos'!$A$4:$A$4,'[1]DATOS PBI Artículos'!$Z$4:$Z$4))/_xlfn.XLOOKUP(_xlfn.XLOOKUP($A684,'[1]DATOS PBI Artículos'!$A$4:$A$4,'[1]DATOS PBI Artículos'!$Y$4:$Y$4),[1]CRITERIOS!$P$79:$P$123,[1]CRITERIOS!$S$79:$S$123,),0)</f>
        <v>#N/A</v>
      </c>
      <c r="AB684" s="33" t="e">
        <f t="array" ref="AB684">IF((E684+V684-_xlfn.XLOOKUP(A684,'[1]DATOS PBI Artículos'!$A$4:$A$4,'[1]DATOS PBI Artículos'!$W$4:$W$4))/N684&gt;ROUNDUP([1]CRITERIOS!$M$16/(IF(COUNTIF([1]CRITERIOS!$BG$11:$BG$201,L684)&gt;=1,_xlfn.XLOOKUP(ARTÍCULOS!L684,[1]CRITERIOS!$BG$11:$BG$201,[1]CRITERIOS!$BJ$11:$BJ$201),_xlfn.XLOOKUP(ARTÍCULOS!C684,[1]CRITERIOS!$K$25:$K$42,[1]CRITERIOS!$M$25:$M$42))),0),ROUNDUP([1]CRITERIOS!$M$16/(IF(COUNTIF([1]CRITERIOS!$BG$11:$BG$201,L684)&gt;=1,_xlfn.XLOOKUP(ARTÍCULOS!L684,[1]CRITERIOS!$BG$11:$BG$201:#REF!,[1]CRITERIOS!$BJ$11:$BJ$201),_xlfn.XLOOKUP(ARTÍCULOS!C684,[1]CRITERIOS!$K$25:$K$42,[1]CRITERIOS!$M$25:$M$42))),0),(E684+V684-_xlfn.XLOOKUP(A684,'[1]DATOS PBI Artículos'!$A$4:$A$4,'[1]DATOS PBI Artículos'!$W$4:$W$4))/N684)</f>
        <v>#N/A</v>
      </c>
      <c r="AC684" s="33" t="e">
        <f>IF(N684=0,"",(ROUNDUP((N684/2)/(_xlfn.XLOOKUP(A684,'[1]DATOS PBI Artículos'!$A$4:$A$4,'[1]DATOS PBI Artículos'!$Z$4:$Z$4)*_xlfn.XLOOKUP(_xlfn.XLOOKUP(A684,'[1]DATOS PBI Artículos'!$A$4:$A$4,'[1]DATOS PBI Artículos'!$Y$4:$Y$4),[1]CRITERIOS!$P$79:$P$123,[1]CRITERIOS!$S$79:$S$123)),0)*[1]CRITERIOS!$M$80*([1]CRITERIOS!$M$110/[1]CRITERIOS!$M$86)+(_xlfn.XLOOKUP(A684,'[1]DATOS PBI Artículos'!$A$4:$A$4,'[1]DATOS PBI Artículos'!$AA$4:$AA$4)*([1]CRITERIOS!$M$95+[1]CRITERIOS!$M$98)))/N684)</f>
        <v>#N/A</v>
      </c>
      <c r="AD684" s="33" t="e">
        <f>IF(N684=0,"",(ROUNDUP((N684/2)/(_xlfn.XLOOKUP(A684,'[1]DATOS PBI Artículos'!$A$4:$A$4,'[1]DATOS PBI Artículos'!$Z$4:$Z$4)*_xlfn.XLOOKUP(_xlfn.XLOOKUP(A684,'[1]DATOS PBI Artículos'!$A$4:$A$4,'[1]DATOS PBI Artículos'!$Y$4:$Y$4),[1]CRITERIOS!$P$79:$P$123,[1]CRITERIOS!$S$79:$S$123)),0)*[1]CRITERIOS!$M$80*([1]CRITERIOS!$M$89*[1]CRITERIOS!$M$92)+((_xlfn.XLOOKUP(A684,'[1]DATOS PBI Artículos'!$A$4:$A$4,'[1]DATOS PBI Artículos'!$AA$4:$AA$4)/2)*([1]CRITERIOS!$M$95+[1]CRITERIOS!$M$98)))/N684)</f>
        <v>#N/A</v>
      </c>
      <c r="AE684" s="39" t="e">
        <f>IF($R684="MTO","",
IF($H684=0,ROUNDUP(((_xlfn.XLOOKUP($A684,'[1]DATOS PBI Artículos'!$A:$A,'[1]DATOS PBI Artículos'!$AL:$AL))/(_xlfn.XLOOKUP($AF$1,[1]CRITERIOS!$S$16:$S$39,[1]CRITERIOS!$Y$16:$Y$39))*$J684+$Z684)/$G684,0)*$G684,
((_xlfn.XLOOKUP($A684,'[1]DATOS PBI Artículos'!$A:$A,'[1]DATOS PBI Artículos'!$AL:$AL))/(_xlfn.XLOOKUP($AF$1,[1]CRITERIOS!$S$16:$S$39,[1]CRITERIOS!$Y$16:$Y$39))*$J684+$Z684)))</f>
        <v>#N/A</v>
      </c>
      <c r="AG684" s="39" t="e">
        <f>IF($R684="MTO","",
IF($H684=0,ROUNDUP(((_xlfn.XLOOKUP($A684,'[1]DATOS PBI Artículos'!$A:$A,'[1]DATOS PBI Artículos'!$AM:$AM))/(_xlfn.XLOOKUP($AH$1,[1]CRITERIOS!$S$16:$S$39,[1]CRITERIOS!$Y$16:$Y$39))*$J684+$Z684)/$G684,0)*$G684,
((_xlfn.XLOOKUP($A684,'[1]DATOS PBI Artículos'!$A:$A,'[1]DATOS PBI Artículos'!$AM:$AM))/(_xlfn.XLOOKUP($AH$1,[1]CRITERIOS!$S$16:$S$39,[1]CRITERIOS!$Y$16:$Y$39))*$J684+$Z684)))</f>
        <v>#N/A</v>
      </c>
      <c r="AI684" s="39" t="e">
        <f>IF($R684="MTO","",
IF($H684=0,ROUNDUP(((_xlfn.XLOOKUP($A684,'[1]DATOS PBI Artículos'!$A:$A,'[1]DATOS PBI Artículos'!$AN:$AN))/(_xlfn.XLOOKUP($AJ$1,[1]CRITERIOS!$S$16:$S$39,[1]CRITERIOS!$Y$16:$Y$39))*$J684+$Z684)/$G684,0)*$G684,
((_xlfn.XLOOKUP($A684,'[1]DATOS PBI Artículos'!$A:$A,'[1]DATOS PBI Artículos'!$AN:$AN))/(_xlfn.XLOOKUP($AJ$1,[1]CRITERIOS!$S$16:$S$39,[1]CRITERIOS!$Y$16:$Y$39))*$J684+$Z684)))</f>
        <v>#N/A</v>
      </c>
      <c r="AK684" s="39" t="e">
        <f>IF($R684="MTO","",
IF($H684=0,ROUNDUP(((_xlfn.XLOOKUP($A684,'[1]DATOS PBI Artículos'!$A:$A,'[1]DATOS PBI Artículos'!$AO:$AO))/(_xlfn.XLOOKUP($AL$1,[1]CRITERIOS!$S$16:$S$39,[1]CRITERIOS!$Y$16:$Y$39))*$J684+$Z684)/$G684,0)*$G684,
((_xlfn.XLOOKUP($A684,'[1]DATOS PBI Artículos'!$A:$A,'[1]DATOS PBI Artículos'!$AO:$AO))/(_xlfn.XLOOKUP($AL$1,[1]CRITERIOS!$S$16:$S$39,[1]CRITERIOS!$Y$16:$Y$39))*$J684+$Z684)))</f>
        <v>#N/A</v>
      </c>
    </row>
    <row r="685" spans="1:37" ht="25.8" hidden="1" x14ac:dyDescent="0.4">
      <c r="A685" s="41"/>
      <c r="B685" s="33">
        <f>_xlfn.XLOOKUP($A685,'[1]DATOS PBI Artículos'!A:A,'[1]DATOS PBI Artículos'!B:B)</f>
        <v>0</v>
      </c>
      <c r="C685" s="33">
        <f>_xlfn.XLOOKUP($A685,'[1]DATOS PBI Artículos'!A:A,'[1]DATOS PBI Artículos'!C:C)</f>
        <v>0</v>
      </c>
      <c r="D685" s="33">
        <f>_xlfn.XLOOKUP(A685,'[1]DATOS PBI Artículos'!A:A,'[1]DATOS PBI Artículos'!T:T)</f>
        <v>0</v>
      </c>
      <c r="E685" s="34">
        <f>IF(_xlfn.XLOOKUP($A685,'[1]DATOS PBI Artículos'!A:A,'[1]DATOS PBI Artículos'!AK:AK)="",_xlfn.XLOOKUP($A685,'[1]DATOS PBI Artículos'!A:A,'[1]DATOS PBI Artículos'!AJ:AJ),_xlfn.XLOOKUP($A685,'[1]DATOS PBI Artículos'!A:A,'[1]DATOS PBI Artículos'!AK:AK))</f>
        <v>0</v>
      </c>
      <c r="F685" s="35">
        <f>_xlfn.XLOOKUP($A685,'[1]DATOS PBI Artículos'!A:A,'[1]DATOS PBI Artículos'!AP:AP)</f>
        <v>0</v>
      </c>
      <c r="G685" s="34">
        <f>_xlfn.XLOOKUP($A685,'[1]DATOS PBI Artículos'!A:A,'[1]DATOS PBI Artículos'!AR:AR)</f>
        <v>0</v>
      </c>
      <c r="H685" s="34">
        <f>_xlfn.XLOOKUP($A685,'[1]DATOS PBI Artículos'!A:A,'[1]DATOS PBI Artículos'!AT:AT)</f>
        <v>0</v>
      </c>
      <c r="I685" s="34">
        <f>_xlfn.XLOOKUP($A685,'[1]DATOS PBI Artículos'!A:A,'[1]DATOS PBI Artículos'!AS:AS)</f>
        <v>0</v>
      </c>
      <c r="J685" s="35">
        <f>IF(COUNTIF([1]CRITERIOS!$F$179:$F$199,$A685)&gt;=1,
 IF(O685&lt;&gt;"",
    (O685/_xlfn.XLOOKUP(CONCATENATE(A685,L685),[1]MÁQUINAS!A:A,[1]MÁQUINAS!D:D))/24,
    (N685/_xlfn.XLOOKUP(CONCATENATE(A685,L685),[1]MÁQUINAS!A:A,[1]MÁQUINAS!D:D))/24),
  _xlfn.XLOOKUP($A685,'[1]DATOS PBI Artículos'!A:A,'[1]DATOS PBI Artículos'!AU:AU))</f>
        <v>0</v>
      </c>
      <c r="K685" s="36">
        <f>_xlfn.XLOOKUP($A685,'[1]DATOS PBI Artículos'!A:A,'[1]DATOS PBI Artículos'!AV:AV)</f>
        <v>0</v>
      </c>
      <c r="L685" s="33">
        <f>_xlfn.XLOOKUP(A685,[1]MÁQUINAS!B:B,[1]MÁQUINAS!C:C)</f>
        <v>0</v>
      </c>
      <c r="M685" s="34">
        <f t="array" ref="M685">_xlfn.XLOOKUP(A685,'[1]DATOS PBI Artículos'!A:A,'[1]DATOS PBI Artículos'!AX:$AX)</f>
        <v>0</v>
      </c>
      <c r="N685" s="37" t="e">
        <f>IF(I685="DV",
E685,
IF(COUNTIF([1]CRITERIOS!$I$179:$I$199,$A685)&gt;=1,
_xlfn.XLOOKUP($A685,[1]CRITERIOS!$I$179:$I$199,[1]CRITERIOS!$J$179:$J$199),
IF(COUNTIF([1]CRITERIOS!$L$179:$L$199,$A685)&gt;=1,
_xlfn.CEILING.MATH(IF($M685&gt;$E685,
$E685,
IF($M685&lt;$E685/ROUNDDOWN([1]CRITERIOS!$M$16/_xlfn.XLOOKUP($C685,[1]CRITERIOS!$K$25:$K$42,[1]CRITERIOS!$M$25:$M$42),
1),
E685/ROUNDDOWN([1]CRITERIOS!$M$16/_xlfn.XLOOKUP($C685,[1]CRITERIOS!$K$25:$K$42,[1]CRITERIOS!$M$25:$M$42),
1),
$M685)),
_xlfn.XLOOKUP($A685,[1]CRITERIOS!$L$179:$L$200,[1]CRITERIOS!$M$179:$M$200)),
_xlfn.CEILING.MATH(IF($M685&gt;$E685,
$E685,
IF($M685&lt;$E685/ROUNDDOWN([1]CRITERIOS!$M$16/_xlfn.XLOOKUP($C685,[1]CRITERIOS!$K$25:$K$42,[1]CRITERIOS!$M$25:$M$42),
1),
E685/ROUNDDOWN([1]CRITERIOS!$M$16/_xlfn.XLOOKUP($C685,[1]CRITERIOS!$K$25:$K$42,[1]CRITERIOS!$M$25:$M$42),
1),
$M685)),_xlfn.XLOOKUP(A685,'[1]DATOS PBI Artículos'!A:A,'[1]DATOS PBI Artículos'!Z:Z
)))))</f>
        <v>#N/A</v>
      </c>
      <c r="Q685" s="38" t="e">
        <f>IF(AND(O685="",N685=0),
0,
   IF(COUNTIF([1]CRITERIOS!$F$179:$F$199,$A685)&gt;=1,
   1,
   IF(R685="MTO",
      $D685,
      ROUNDUP(
                    IF(($E685-SUMIF('[1]DATOS PBI Artículos'!A:A,A685,'[1]DATOS PBI Artículos'!X:X)+($V685-_xlfn.XLOOKUP(A685,'[1]DATOS PBI Artículos'!A:A,'[1]DATOS PBI Artículos'!W:W)))&lt;0,
                    0,
                    IF(($E685-SUMIF('[1]DATOS PBI Artículos'!A:A,A685,'[1]DATOS PBI Artículos'!X:X)+$V685-_xlfn.XLOOKUP($A685,'[1]DATOS PBI Artículos'!A:A,'[1]DATOS PBI Artículos'!W:W))/IF($O685="",$N685,$O685)&gt;ROUNDUP([1]CRITERIOS!$M$16/(IF(COUNTIF([1]CRITERIOS!$BG$11:$BG$201,L685)&gt;=1,_xlfn.XLOOKUP($C685,[1]CRITERIOS!$K$25:$K$42,[1]CRITERIOS!$M$25:$M$42),_xlfn.XLOOKUP($C685,[1]CRITERIOS!$K$25:$K$42,[1]CRITERIOS!$M$25:$M$42))),0),
                    ROUNDUP([1]CRITERIOS!$M$16/(IF(COUNTIF([1]CRITERIOS!$BG$11:$BG$201,$L685)&gt;=1,_xlfn.XLOOKUP($C685,[1]CRITERIOS!$K$25:$K$42,[1]CRITERIOS!$M$25:$M$42),_xlfn.XLOOKUP($C685,[1]CRITERIOS!$K$25:$K$42,[1]CRITERIOS!$M$25:$M$42))),0),
                    (E685+V685-SUMIF('[1]DATOS PBI Artículos'!A:A,A685,'[1]DATOS PBI Artículos'!X:X)-_xlfn.XLOOKUP(A685,'[1]DATOS PBI Artículos'!A:A,'[1]DATOS PBI Artículos'!W:W))/IF($O685="",$N685,$O685))),0))))</f>
        <v>#N/A</v>
      </c>
      <c r="R685" s="33" t="e">
        <f>IF(U685&lt;&gt;"",U685,IF(F685="DV","MTO",IF(N685=0,"MTO",_xlfn.XLOOKUP(CONCATENATE(S685,T685),[1]CRITERIOS!$K$160:$K$168,[1]CRITERIOS!$N$160:$N$168))))</f>
        <v>#N/A</v>
      </c>
      <c r="S685" s="33" t="e">
        <f>IF(G685="DV","MTO",IF(N685=0,"MTO",IF(OR(AND(N685=0,O685=""),IF(O685="",G685/N685,G685/O685)&gt;[1]CRITERIOS!$G$163),"MTO",IF(IF(O685="",G685/N685,G685/O685)&lt;[1]CRITERIOS!$H$161,"MTS","MTOS"))))</f>
        <v>#N/A</v>
      </c>
      <c r="T685" s="33" t="e">
        <f>IF(F685="DV","MTO",IF(OR(AND($N685=0,O685=""),$F685/$J685&gt;[1]CRITERIOS!$G$170,$F685="DV"),"MTO",IF($F685/$J685&lt;[1]CRITERIOS!$H$168,"MTS","MTOS")))</f>
        <v>#N/A</v>
      </c>
      <c r="V685" s="34" t="e">
        <f t="shared" si="34"/>
        <v>#N/A</v>
      </c>
      <c r="X685" s="34" t="e">
        <f t="shared" si="32"/>
        <v>#N/A</v>
      </c>
      <c r="Y685" s="34" t="e">
        <f t="shared" si="33"/>
        <v>#N/A</v>
      </c>
      <c r="Z685" s="34" t="e">
        <f>IF($R685="MTO",
0,
($H685+$K685*($E685/[1]CRITERIOS!$M$16))/[1]CRITERIOS!$X$48)</f>
        <v>#N/A</v>
      </c>
      <c r="AA685" s="34" t="e">
        <f>ROUNDUP(($Y685/_xlfn.XLOOKUP($A685,'[1]DATOS PBI Artículos'!$A$4:$A$4,'[1]DATOS PBI Artículos'!$Z$4:$Z$4))/_xlfn.XLOOKUP(_xlfn.XLOOKUP($A685,'[1]DATOS PBI Artículos'!$A$4:$A$4,'[1]DATOS PBI Artículos'!$Y$4:$Y$4),[1]CRITERIOS!$P$79:$P$123,[1]CRITERIOS!$S$79:$S$123,),0)</f>
        <v>#N/A</v>
      </c>
      <c r="AB685" s="33" t="e">
        <f t="array" ref="AB685">IF((E685+V685-_xlfn.XLOOKUP(A685,'[1]DATOS PBI Artículos'!$A$4:$A$4,'[1]DATOS PBI Artículos'!$W$4:$W$4))/N685&gt;ROUNDUP([1]CRITERIOS!$M$16/(IF(COUNTIF([1]CRITERIOS!$BG$11:$BG$201,L685)&gt;=1,_xlfn.XLOOKUP(ARTÍCULOS!L685,[1]CRITERIOS!$BG$11:$BG$201,[1]CRITERIOS!$BJ$11:$BJ$201),_xlfn.XLOOKUP(ARTÍCULOS!C685,[1]CRITERIOS!$K$25:$K$42,[1]CRITERIOS!$M$25:$M$42))),0),ROUNDUP([1]CRITERIOS!$M$16/(IF(COUNTIF([1]CRITERIOS!$BG$11:$BG$201,L685)&gt;=1,_xlfn.XLOOKUP(ARTÍCULOS!L685,[1]CRITERIOS!$BG$11:$BG$201:#REF!,[1]CRITERIOS!$BJ$11:$BJ$201),_xlfn.XLOOKUP(ARTÍCULOS!C685,[1]CRITERIOS!$K$25:$K$42,[1]CRITERIOS!$M$25:$M$42))),0),(E685+V685-_xlfn.XLOOKUP(A685,'[1]DATOS PBI Artículos'!$A$4:$A$4,'[1]DATOS PBI Artículos'!$W$4:$W$4))/N685)</f>
        <v>#N/A</v>
      </c>
      <c r="AC685" s="33" t="e">
        <f>IF(N685=0,"",(ROUNDUP((N685/2)/(_xlfn.XLOOKUP(A685,'[1]DATOS PBI Artículos'!$A$4:$A$4,'[1]DATOS PBI Artículos'!$Z$4:$Z$4)*_xlfn.XLOOKUP(_xlfn.XLOOKUP(A685,'[1]DATOS PBI Artículos'!$A$4:$A$4,'[1]DATOS PBI Artículos'!$Y$4:$Y$4),[1]CRITERIOS!$P$79:$P$123,[1]CRITERIOS!$S$79:$S$123)),0)*[1]CRITERIOS!$M$80*([1]CRITERIOS!$M$110/[1]CRITERIOS!$M$86)+(_xlfn.XLOOKUP(A685,'[1]DATOS PBI Artículos'!$A$4:$A$4,'[1]DATOS PBI Artículos'!$AA$4:$AA$4)*([1]CRITERIOS!$M$95+[1]CRITERIOS!$M$98)))/N685)</f>
        <v>#N/A</v>
      </c>
      <c r="AD685" s="33" t="e">
        <f>IF(N685=0,"",(ROUNDUP((N685/2)/(_xlfn.XLOOKUP(A685,'[1]DATOS PBI Artículos'!$A$4:$A$4,'[1]DATOS PBI Artículos'!$Z$4:$Z$4)*_xlfn.XLOOKUP(_xlfn.XLOOKUP(A685,'[1]DATOS PBI Artículos'!$A$4:$A$4,'[1]DATOS PBI Artículos'!$Y$4:$Y$4),[1]CRITERIOS!$P$79:$P$123,[1]CRITERIOS!$S$79:$S$123)),0)*[1]CRITERIOS!$M$80*([1]CRITERIOS!$M$89*[1]CRITERIOS!$M$92)+((_xlfn.XLOOKUP(A685,'[1]DATOS PBI Artículos'!$A$4:$A$4,'[1]DATOS PBI Artículos'!$AA$4:$AA$4)/2)*([1]CRITERIOS!$M$95+[1]CRITERIOS!$M$98)))/N685)</f>
        <v>#N/A</v>
      </c>
      <c r="AE685" s="39" t="e">
        <f>IF($R685="MTO","",
IF($H685=0,ROUNDUP(((_xlfn.XLOOKUP($A685,'[1]DATOS PBI Artículos'!$A:$A,'[1]DATOS PBI Artículos'!$AL:$AL))/(_xlfn.XLOOKUP($AF$1,[1]CRITERIOS!$S$16:$S$39,[1]CRITERIOS!$Y$16:$Y$39))*$J685+$Z685)/$G685,0)*$G685,
((_xlfn.XLOOKUP($A685,'[1]DATOS PBI Artículos'!$A:$A,'[1]DATOS PBI Artículos'!$AL:$AL))/(_xlfn.XLOOKUP($AF$1,[1]CRITERIOS!$S$16:$S$39,[1]CRITERIOS!$Y$16:$Y$39))*$J685+$Z685)))</f>
        <v>#N/A</v>
      </c>
      <c r="AG685" s="39" t="e">
        <f>IF($R685="MTO","",
IF($H685=0,ROUNDUP(((_xlfn.XLOOKUP($A685,'[1]DATOS PBI Artículos'!$A:$A,'[1]DATOS PBI Artículos'!$AM:$AM))/(_xlfn.XLOOKUP($AH$1,[1]CRITERIOS!$S$16:$S$39,[1]CRITERIOS!$Y$16:$Y$39))*$J685+$Z685)/$G685,0)*$G685,
((_xlfn.XLOOKUP($A685,'[1]DATOS PBI Artículos'!$A:$A,'[1]DATOS PBI Artículos'!$AM:$AM))/(_xlfn.XLOOKUP($AH$1,[1]CRITERIOS!$S$16:$S$39,[1]CRITERIOS!$Y$16:$Y$39))*$J685+$Z685)))</f>
        <v>#N/A</v>
      </c>
      <c r="AI685" s="39" t="e">
        <f>IF($R685="MTO","",
IF($H685=0,ROUNDUP(((_xlfn.XLOOKUP($A685,'[1]DATOS PBI Artículos'!$A:$A,'[1]DATOS PBI Artículos'!$AN:$AN))/(_xlfn.XLOOKUP($AJ$1,[1]CRITERIOS!$S$16:$S$39,[1]CRITERIOS!$Y$16:$Y$39))*$J685+$Z685)/$G685,0)*$G685,
((_xlfn.XLOOKUP($A685,'[1]DATOS PBI Artículos'!$A:$A,'[1]DATOS PBI Artículos'!$AN:$AN))/(_xlfn.XLOOKUP($AJ$1,[1]CRITERIOS!$S$16:$S$39,[1]CRITERIOS!$Y$16:$Y$39))*$J685+$Z685)))</f>
        <v>#N/A</v>
      </c>
      <c r="AK685" s="39" t="e">
        <f>IF($R685="MTO","",
IF($H685=0,ROUNDUP(((_xlfn.XLOOKUP($A685,'[1]DATOS PBI Artículos'!$A:$A,'[1]DATOS PBI Artículos'!$AO:$AO))/(_xlfn.XLOOKUP($AL$1,[1]CRITERIOS!$S$16:$S$39,[1]CRITERIOS!$Y$16:$Y$39))*$J685+$Z685)/$G685,0)*$G685,
((_xlfn.XLOOKUP($A685,'[1]DATOS PBI Artículos'!$A:$A,'[1]DATOS PBI Artículos'!$AO:$AO))/(_xlfn.XLOOKUP($AL$1,[1]CRITERIOS!$S$16:$S$39,[1]CRITERIOS!$Y$16:$Y$39))*$J685+$Z685)))</f>
        <v>#N/A</v>
      </c>
    </row>
    <row r="686" spans="1:37" ht="25.8" hidden="1" x14ac:dyDescent="0.4">
      <c r="A686" s="41"/>
      <c r="B686" s="33">
        <f>_xlfn.XLOOKUP($A686,'[1]DATOS PBI Artículos'!A:A,'[1]DATOS PBI Artículos'!B:B)</f>
        <v>0</v>
      </c>
      <c r="C686" s="33">
        <f>_xlfn.XLOOKUP($A686,'[1]DATOS PBI Artículos'!A:A,'[1]DATOS PBI Artículos'!C:C)</f>
        <v>0</v>
      </c>
      <c r="D686" s="33">
        <f>_xlfn.XLOOKUP(A686,'[1]DATOS PBI Artículos'!A:A,'[1]DATOS PBI Artículos'!T:T)</f>
        <v>0</v>
      </c>
      <c r="E686" s="34">
        <f>IF(_xlfn.XLOOKUP($A686,'[1]DATOS PBI Artículos'!A:A,'[1]DATOS PBI Artículos'!AK:AK)="",_xlfn.XLOOKUP($A686,'[1]DATOS PBI Artículos'!A:A,'[1]DATOS PBI Artículos'!AJ:AJ),_xlfn.XLOOKUP($A686,'[1]DATOS PBI Artículos'!A:A,'[1]DATOS PBI Artículos'!AK:AK))</f>
        <v>0</v>
      </c>
      <c r="F686" s="35">
        <f>_xlfn.XLOOKUP($A686,'[1]DATOS PBI Artículos'!A:A,'[1]DATOS PBI Artículos'!AP:AP)</f>
        <v>0</v>
      </c>
      <c r="G686" s="34">
        <f>_xlfn.XLOOKUP($A686,'[1]DATOS PBI Artículos'!A:A,'[1]DATOS PBI Artículos'!AR:AR)</f>
        <v>0</v>
      </c>
      <c r="H686" s="34">
        <f>_xlfn.XLOOKUP($A686,'[1]DATOS PBI Artículos'!A:A,'[1]DATOS PBI Artículos'!AT:AT)</f>
        <v>0</v>
      </c>
      <c r="I686" s="34">
        <f>_xlfn.XLOOKUP($A686,'[1]DATOS PBI Artículos'!A:A,'[1]DATOS PBI Artículos'!AS:AS)</f>
        <v>0</v>
      </c>
      <c r="J686" s="35">
        <f>IF(COUNTIF([1]CRITERIOS!$F$179:$F$199,$A686)&gt;=1,
 IF(O686&lt;&gt;"",
    (O686/_xlfn.XLOOKUP(CONCATENATE(A686,L686),[1]MÁQUINAS!A:A,[1]MÁQUINAS!D:D))/24,
    (N686/_xlfn.XLOOKUP(CONCATENATE(A686,L686),[1]MÁQUINAS!A:A,[1]MÁQUINAS!D:D))/24),
  _xlfn.XLOOKUP($A686,'[1]DATOS PBI Artículos'!A:A,'[1]DATOS PBI Artículos'!AU:AU))</f>
        <v>0</v>
      </c>
      <c r="K686" s="36">
        <f>_xlfn.XLOOKUP($A686,'[1]DATOS PBI Artículos'!A:A,'[1]DATOS PBI Artículos'!AV:AV)</f>
        <v>0</v>
      </c>
      <c r="L686" s="33">
        <f>_xlfn.XLOOKUP(A686,[1]MÁQUINAS!B:B,[1]MÁQUINAS!C:C)</f>
        <v>0</v>
      </c>
      <c r="M686" s="34">
        <f t="array" ref="M686">_xlfn.XLOOKUP(A686,'[1]DATOS PBI Artículos'!A:A,'[1]DATOS PBI Artículos'!AX:$AX)</f>
        <v>0</v>
      </c>
      <c r="N686" s="37" t="e">
        <f>IF(I686="DV",
E686,
IF(COUNTIF([1]CRITERIOS!$I$179:$I$199,$A686)&gt;=1,
_xlfn.XLOOKUP($A686,[1]CRITERIOS!$I$179:$I$199,[1]CRITERIOS!$J$179:$J$199),
IF(COUNTIF([1]CRITERIOS!$L$179:$L$199,$A686)&gt;=1,
_xlfn.CEILING.MATH(IF($M686&gt;$E686,
$E686,
IF($M686&lt;$E686/ROUNDDOWN([1]CRITERIOS!$M$16/_xlfn.XLOOKUP($C686,[1]CRITERIOS!$K$25:$K$42,[1]CRITERIOS!$M$25:$M$42),
1),
E686/ROUNDDOWN([1]CRITERIOS!$M$16/_xlfn.XLOOKUP($C686,[1]CRITERIOS!$K$25:$K$42,[1]CRITERIOS!$M$25:$M$42),
1),
$M686)),
_xlfn.XLOOKUP($A686,[1]CRITERIOS!$L$179:$L$200,[1]CRITERIOS!$M$179:$M$200)),
_xlfn.CEILING.MATH(IF($M686&gt;$E686,
$E686,
IF($M686&lt;$E686/ROUNDDOWN([1]CRITERIOS!$M$16/_xlfn.XLOOKUP($C686,[1]CRITERIOS!$K$25:$K$42,[1]CRITERIOS!$M$25:$M$42),
1),
E686/ROUNDDOWN([1]CRITERIOS!$M$16/_xlfn.XLOOKUP($C686,[1]CRITERIOS!$K$25:$K$42,[1]CRITERIOS!$M$25:$M$42),
1),
$M686)),_xlfn.XLOOKUP(A686,'[1]DATOS PBI Artículos'!A:A,'[1]DATOS PBI Artículos'!Z:Z
)))))</f>
        <v>#N/A</v>
      </c>
      <c r="Q686" s="38" t="e">
        <f>IF(AND(O686="",N686=0),
0,
   IF(COUNTIF([1]CRITERIOS!$F$179:$F$199,$A686)&gt;=1,
   1,
   IF(R686="MTO",
      $D686,
      ROUNDUP(
                    IF(($E686-SUMIF('[1]DATOS PBI Artículos'!A:A,A686,'[1]DATOS PBI Artículos'!X:X)+($V686-_xlfn.XLOOKUP(A686,'[1]DATOS PBI Artículos'!A:A,'[1]DATOS PBI Artículos'!W:W)))&lt;0,
                    0,
                    IF(($E686-SUMIF('[1]DATOS PBI Artículos'!A:A,A686,'[1]DATOS PBI Artículos'!X:X)+$V686-_xlfn.XLOOKUP($A686,'[1]DATOS PBI Artículos'!A:A,'[1]DATOS PBI Artículos'!W:W))/IF($O686="",$N686,$O686)&gt;ROUNDUP([1]CRITERIOS!$M$16/(IF(COUNTIF([1]CRITERIOS!$BG$11:$BG$201,L686)&gt;=1,_xlfn.XLOOKUP($C686,[1]CRITERIOS!$K$25:$K$42,[1]CRITERIOS!$M$25:$M$42),_xlfn.XLOOKUP($C686,[1]CRITERIOS!$K$25:$K$42,[1]CRITERIOS!$M$25:$M$42))),0),
                    ROUNDUP([1]CRITERIOS!$M$16/(IF(COUNTIF([1]CRITERIOS!$BG$11:$BG$201,$L686)&gt;=1,_xlfn.XLOOKUP($C686,[1]CRITERIOS!$K$25:$K$42,[1]CRITERIOS!$M$25:$M$42),_xlfn.XLOOKUP($C686,[1]CRITERIOS!$K$25:$K$42,[1]CRITERIOS!$M$25:$M$42))),0),
                    (E686+V686-SUMIF('[1]DATOS PBI Artículos'!A:A,A686,'[1]DATOS PBI Artículos'!X:X)-_xlfn.XLOOKUP(A686,'[1]DATOS PBI Artículos'!A:A,'[1]DATOS PBI Artículos'!W:W))/IF($O686="",$N686,$O686))),0))))</f>
        <v>#N/A</v>
      </c>
      <c r="R686" s="33" t="e">
        <f>IF(U686&lt;&gt;"",U686,IF(F686="DV","MTO",IF(N686=0,"MTO",_xlfn.XLOOKUP(CONCATENATE(S686,T686),[1]CRITERIOS!$K$160:$K$168,[1]CRITERIOS!$N$160:$N$168))))</f>
        <v>#N/A</v>
      </c>
      <c r="S686" s="33" t="e">
        <f>IF(G686="DV","MTO",IF(N686=0,"MTO",IF(OR(AND(N686=0,O686=""),IF(O686="",G686/N686,G686/O686)&gt;[1]CRITERIOS!$G$163),"MTO",IF(IF(O686="",G686/N686,G686/O686)&lt;[1]CRITERIOS!$H$161,"MTS","MTOS"))))</f>
        <v>#N/A</v>
      </c>
      <c r="T686" s="33" t="e">
        <f>IF(F686="DV","MTO",IF(OR(AND($N686=0,O686=""),$F686/$J686&gt;[1]CRITERIOS!$G$170,$F686="DV"),"MTO",IF($F686/$J686&lt;[1]CRITERIOS!$H$168,"MTS","MTOS")))</f>
        <v>#N/A</v>
      </c>
      <c r="V686" s="34" t="e">
        <f t="shared" si="34"/>
        <v>#N/A</v>
      </c>
      <c r="X686" s="34" t="e">
        <f t="shared" si="32"/>
        <v>#N/A</v>
      </c>
      <c r="Y686" s="34" t="e">
        <f t="shared" si="33"/>
        <v>#N/A</v>
      </c>
      <c r="Z686" s="34" t="e">
        <f>IF($R686="MTO",
0,
($H686+$K686*($E686/[1]CRITERIOS!$M$16))/[1]CRITERIOS!$X$48)</f>
        <v>#N/A</v>
      </c>
      <c r="AA686" s="34" t="e">
        <f>ROUNDUP(($Y686/_xlfn.XLOOKUP($A686,'[1]DATOS PBI Artículos'!$A$4:$A$4,'[1]DATOS PBI Artículos'!$Z$4:$Z$4))/_xlfn.XLOOKUP(_xlfn.XLOOKUP($A686,'[1]DATOS PBI Artículos'!$A$4:$A$4,'[1]DATOS PBI Artículos'!$Y$4:$Y$4),[1]CRITERIOS!$P$79:$P$123,[1]CRITERIOS!$S$79:$S$123,),0)</f>
        <v>#N/A</v>
      </c>
      <c r="AB686" s="33" t="e">
        <f t="array" ref="AB686">IF((E686+V686-_xlfn.XLOOKUP(A686,'[1]DATOS PBI Artículos'!$A$4:$A$4,'[1]DATOS PBI Artículos'!$W$4:$W$4))/N686&gt;ROUNDUP([1]CRITERIOS!$M$16/(IF(COUNTIF([1]CRITERIOS!$BG$11:$BG$201,L686)&gt;=1,_xlfn.XLOOKUP(ARTÍCULOS!L686,[1]CRITERIOS!$BG$11:$BG$201,[1]CRITERIOS!$BJ$11:$BJ$201),_xlfn.XLOOKUP(ARTÍCULOS!C686,[1]CRITERIOS!$K$25:$K$42,[1]CRITERIOS!$M$25:$M$42))),0),ROUNDUP([1]CRITERIOS!$M$16/(IF(COUNTIF([1]CRITERIOS!$BG$11:$BG$201,L686)&gt;=1,_xlfn.XLOOKUP(ARTÍCULOS!L686,[1]CRITERIOS!$BG$11:$BG$201:#REF!,[1]CRITERIOS!$BJ$11:$BJ$201),_xlfn.XLOOKUP(ARTÍCULOS!C686,[1]CRITERIOS!$K$25:$K$42,[1]CRITERIOS!$M$25:$M$42))),0),(E686+V686-_xlfn.XLOOKUP(A686,'[1]DATOS PBI Artículos'!$A$4:$A$4,'[1]DATOS PBI Artículos'!$W$4:$W$4))/N686)</f>
        <v>#N/A</v>
      </c>
      <c r="AC686" s="33" t="e">
        <f>IF(N686=0,"",(ROUNDUP((N686/2)/(_xlfn.XLOOKUP(A686,'[1]DATOS PBI Artículos'!$A$4:$A$4,'[1]DATOS PBI Artículos'!$Z$4:$Z$4)*_xlfn.XLOOKUP(_xlfn.XLOOKUP(A686,'[1]DATOS PBI Artículos'!$A$4:$A$4,'[1]DATOS PBI Artículos'!$Y$4:$Y$4),[1]CRITERIOS!$P$79:$P$123,[1]CRITERIOS!$S$79:$S$123)),0)*[1]CRITERIOS!$M$80*([1]CRITERIOS!$M$110/[1]CRITERIOS!$M$86)+(_xlfn.XLOOKUP(A686,'[1]DATOS PBI Artículos'!$A$4:$A$4,'[1]DATOS PBI Artículos'!$AA$4:$AA$4)*([1]CRITERIOS!$M$95+[1]CRITERIOS!$M$98)))/N686)</f>
        <v>#N/A</v>
      </c>
      <c r="AD686" s="33" t="e">
        <f>IF(N686=0,"",(ROUNDUP((N686/2)/(_xlfn.XLOOKUP(A686,'[1]DATOS PBI Artículos'!$A$4:$A$4,'[1]DATOS PBI Artículos'!$Z$4:$Z$4)*_xlfn.XLOOKUP(_xlfn.XLOOKUP(A686,'[1]DATOS PBI Artículos'!$A$4:$A$4,'[1]DATOS PBI Artículos'!$Y$4:$Y$4),[1]CRITERIOS!$P$79:$P$123,[1]CRITERIOS!$S$79:$S$123)),0)*[1]CRITERIOS!$M$80*([1]CRITERIOS!$M$89*[1]CRITERIOS!$M$92)+((_xlfn.XLOOKUP(A686,'[1]DATOS PBI Artículos'!$A$4:$A$4,'[1]DATOS PBI Artículos'!$AA$4:$AA$4)/2)*([1]CRITERIOS!$M$95+[1]CRITERIOS!$M$98)))/N686)</f>
        <v>#N/A</v>
      </c>
      <c r="AE686" s="39" t="e">
        <f>IF($R686="MTO","",
IF($H686=0,ROUNDUP(((_xlfn.XLOOKUP($A686,'[1]DATOS PBI Artículos'!$A:$A,'[1]DATOS PBI Artículos'!$AL:$AL))/(_xlfn.XLOOKUP($AF$1,[1]CRITERIOS!$S$16:$S$39,[1]CRITERIOS!$Y$16:$Y$39))*$J686+$Z686)/$G686,0)*$G686,
((_xlfn.XLOOKUP($A686,'[1]DATOS PBI Artículos'!$A:$A,'[1]DATOS PBI Artículos'!$AL:$AL))/(_xlfn.XLOOKUP($AF$1,[1]CRITERIOS!$S$16:$S$39,[1]CRITERIOS!$Y$16:$Y$39))*$J686+$Z686)))</f>
        <v>#N/A</v>
      </c>
      <c r="AG686" s="39" t="e">
        <f>IF($R686="MTO","",
IF($H686=0,ROUNDUP(((_xlfn.XLOOKUP($A686,'[1]DATOS PBI Artículos'!$A:$A,'[1]DATOS PBI Artículos'!$AM:$AM))/(_xlfn.XLOOKUP($AH$1,[1]CRITERIOS!$S$16:$S$39,[1]CRITERIOS!$Y$16:$Y$39))*$J686+$Z686)/$G686,0)*$G686,
((_xlfn.XLOOKUP($A686,'[1]DATOS PBI Artículos'!$A:$A,'[1]DATOS PBI Artículos'!$AM:$AM))/(_xlfn.XLOOKUP($AH$1,[1]CRITERIOS!$S$16:$S$39,[1]CRITERIOS!$Y$16:$Y$39))*$J686+$Z686)))</f>
        <v>#N/A</v>
      </c>
      <c r="AI686" s="39" t="e">
        <f>IF($R686="MTO","",
IF($H686=0,ROUNDUP(((_xlfn.XLOOKUP($A686,'[1]DATOS PBI Artículos'!$A:$A,'[1]DATOS PBI Artículos'!$AN:$AN))/(_xlfn.XLOOKUP($AJ$1,[1]CRITERIOS!$S$16:$S$39,[1]CRITERIOS!$Y$16:$Y$39))*$J686+$Z686)/$G686,0)*$G686,
((_xlfn.XLOOKUP($A686,'[1]DATOS PBI Artículos'!$A:$A,'[1]DATOS PBI Artículos'!$AN:$AN))/(_xlfn.XLOOKUP($AJ$1,[1]CRITERIOS!$S$16:$S$39,[1]CRITERIOS!$Y$16:$Y$39))*$J686+$Z686)))</f>
        <v>#N/A</v>
      </c>
      <c r="AK686" s="39" t="e">
        <f>IF($R686="MTO","",
IF($H686=0,ROUNDUP(((_xlfn.XLOOKUP($A686,'[1]DATOS PBI Artículos'!$A:$A,'[1]DATOS PBI Artículos'!$AO:$AO))/(_xlfn.XLOOKUP($AL$1,[1]CRITERIOS!$S$16:$S$39,[1]CRITERIOS!$Y$16:$Y$39))*$J686+$Z686)/$G686,0)*$G686,
((_xlfn.XLOOKUP($A686,'[1]DATOS PBI Artículos'!$A:$A,'[1]DATOS PBI Artículos'!$AO:$AO))/(_xlfn.XLOOKUP($AL$1,[1]CRITERIOS!$S$16:$S$39,[1]CRITERIOS!$Y$16:$Y$39))*$J686+$Z686)))</f>
        <v>#N/A</v>
      </c>
    </row>
    <row r="687" spans="1:37" ht="25.8" hidden="1" x14ac:dyDescent="0.4">
      <c r="A687" s="41"/>
      <c r="B687" s="33">
        <f>_xlfn.XLOOKUP($A687,'[1]DATOS PBI Artículos'!A:A,'[1]DATOS PBI Artículos'!B:B)</f>
        <v>0</v>
      </c>
      <c r="C687" s="33">
        <f>_xlfn.XLOOKUP($A687,'[1]DATOS PBI Artículos'!A:A,'[1]DATOS PBI Artículos'!C:C)</f>
        <v>0</v>
      </c>
      <c r="D687" s="33">
        <f>_xlfn.XLOOKUP(A687,'[1]DATOS PBI Artículos'!A:A,'[1]DATOS PBI Artículos'!T:T)</f>
        <v>0</v>
      </c>
      <c r="E687" s="34">
        <f>IF(_xlfn.XLOOKUP($A687,'[1]DATOS PBI Artículos'!A:A,'[1]DATOS PBI Artículos'!AK:AK)="",_xlfn.XLOOKUP($A687,'[1]DATOS PBI Artículos'!A:A,'[1]DATOS PBI Artículos'!AJ:AJ),_xlfn.XLOOKUP($A687,'[1]DATOS PBI Artículos'!A:A,'[1]DATOS PBI Artículos'!AK:AK))</f>
        <v>0</v>
      </c>
      <c r="F687" s="35">
        <f>_xlfn.XLOOKUP($A687,'[1]DATOS PBI Artículos'!A:A,'[1]DATOS PBI Artículos'!AP:AP)</f>
        <v>0</v>
      </c>
      <c r="G687" s="34">
        <f>_xlfn.XLOOKUP($A687,'[1]DATOS PBI Artículos'!A:A,'[1]DATOS PBI Artículos'!AR:AR)</f>
        <v>0</v>
      </c>
      <c r="H687" s="34">
        <f>_xlfn.XLOOKUP($A687,'[1]DATOS PBI Artículos'!A:A,'[1]DATOS PBI Artículos'!AT:AT)</f>
        <v>0</v>
      </c>
      <c r="I687" s="34">
        <f>_xlfn.XLOOKUP($A687,'[1]DATOS PBI Artículos'!A:A,'[1]DATOS PBI Artículos'!AS:AS)</f>
        <v>0</v>
      </c>
      <c r="J687" s="35">
        <f>IF(COUNTIF([1]CRITERIOS!$F$179:$F$199,$A687)&gt;=1,
 IF(O687&lt;&gt;"",
    (O687/_xlfn.XLOOKUP(CONCATENATE(A687,L687),[1]MÁQUINAS!A:A,[1]MÁQUINAS!D:D))/24,
    (N687/_xlfn.XLOOKUP(CONCATENATE(A687,L687),[1]MÁQUINAS!A:A,[1]MÁQUINAS!D:D))/24),
  _xlfn.XLOOKUP($A687,'[1]DATOS PBI Artículos'!A:A,'[1]DATOS PBI Artículos'!AU:AU))</f>
        <v>0</v>
      </c>
      <c r="K687" s="36">
        <f>_xlfn.XLOOKUP($A687,'[1]DATOS PBI Artículos'!A:A,'[1]DATOS PBI Artículos'!AV:AV)</f>
        <v>0</v>
      </c>
      <c r="L687" s="33">
        <f>_xlfn.XLOOKUP(A687,[1]MÁQUINAS!B:B,[1]MÁQUINAS!C:C)</f>
        <v>0</v>
      </c>
      <c r="M687" s="34">
        <f t="array" ref="M687">_xlfn.XLOOKUP(A687,'[1]DATOS PBI Artículos'!A:A,'[1]DATOS PBI Artículos'!AX:$AX)</f>
        <v>0</v>
      </c>
      <c r="N687" s="37" t="e">
        <f>IF(I687="DV",
E687,
IF(COUNTIF([1]CRITERIOS!$I$179:$I$199,$A687)&gt;=1,
_xlfn.XLOOKUP($A687,[1]CRITERIOS!$I$179:$I$199,[1]CRITERIOS!$J$179:$J$199),
IF(COUNTIF([1]CRITERIOS!$L$179:$L$199,$A687)&gt;=1,
_xlfn.CEILING.MATH(IF($M687&gt;$E687,
$E687,
IF($M687&lt;$E687/ROUNDDOWN([1]CRITERIOS!$M$16/_xlfn.XLOOKUP($C687,[1]CRITERIOS!$K$25:$K$42,[1]CRITERIOS!$M$25:$M$42),
1),
E687/ROUNDDOWN([1]CRITERIOS!$M$16/_xlfn.XLOOKUP($C687,[1]CRITERIOS!$K$25:$K$42,[1]CRITERIOS!$M$25:$M$42),
1),
$M687)),
_xlfn.XLOOKUP($A687,[1]CRITERIOS!$L$179:$L$200,[1]CRITERIOS!$M$179:$M$200)),
_xlfn.CEILING.MATH(IF($M687&gt;$E687,
$E687,
IF($M687&lt;$E687/ROUNDDOWN([1]CRITERIOS!$M$16/_xlfn.XLOOKUP($C687,[1]CRITERIOS!$K$25:$K$42,[1]CRITERIOS!$M$25:$M$42),
1),
E687/ROUNDDOWN([1]CRITERIOS!$M$16/_xlfn.XLOOKUP($C687,[1]CRITERIOS!$K$25:$K$42,[1]CRITERIOS!$M$25:$M$42),
1),
$M687)),_xlfn.XLOOKUP(A687,'[1]DATOS PBI Artículos'!A:A,'[1]DATOS PBI Artículos'!Z:Z
)))))</f>
        <v>#N/A</v>
      </c>
      <c r="Q687" s="38" t="e">
        <f>IF(AND(O687="",N687=0),
0,
   IF(COUNTIF([1]CRITERIOS!$F$179:$F$199,$A687)&gt;=1,
   1,
   IF(R687="MTO",
      $D687,
      ROUNDUP(
                    IF(($E687-SUMIF('[1]DATOS PBI Artículos'!A:A,A687,'[1]DATOS PBI Artículos'!X:X)+($V687-_xlfn.XLOOKUP(A687,'[1]DATOS PBI Artículos'!A:A,'[1]DATOS PBI Artículos'!W:W)))&lt;0,
                    0,
                    IF(($E687-SUMIF('[1]DATOS PBI Artículos'!A:A,A687,'[1]DATOS PBI Artículos'!X:X)+$V687-_xlfn.XLOOKUP($A687,'[1]DATOS PBI Artículos'!A:A,'[1]DATOS PBI Artículos'!W:W))/IF($O687="",$N687,$O687)&gt;ROUNDUP([1]CRITERIOS!$M$16/(IF(COUNTIF([1]CRITERIOS!$BG$11:$BG$201,L687)&gt;=1,_xlfn.XLOOKUP($C687,[1]CRITERIOS!$K$25:$K$42,[1]CRITERIOS!$M$25:$M$42),_xlfn.XLOOKUP($C687,[1]CRITERIOS!$K$25:$K$42,[1]CRITERIOS!$M$25:$M$42))),0),
                    ROUNDUP([1]CRITERIOS!$M$16/(IF(COUNTIF([1]CRITERIOS!$BG$11:$BG$201,$L687)&gt;=1,_xlfn.XLOOKUP($C687,[1]CRITERIOS!$K$25:$K$42,[1]CRITERIOS!$M$25:$M$42),_xlfn.XLOOKUP($C687,[1]CRITERIOS!$K$25:$K$42,[1]CRITERIOS!$M$25:$M$42))),0),
                    (E687+V687-SUMIF('[1]DATOS PBI Artículos'!A:A,A687,'[1]DATOS PBI Artículos'!X:X)-_xlfn.XLOOKUP(A687,'[1]DATOS PBI Artículos'!A:A,'[1]DATOS PBI Artículos'!W:W))/IF($O687="",$N687,$O687))),0))))</f>
        <v>#N/A</v>
      </c>
      <c r="R687" s="33" t="e">
        <f>IF(U687&lt;&gt;"",U687,IF(F687="DV","MTO",IF(N687=0,"MTO",_xlfn.XLOOKUP(CONCATENATE(S687,T687),[1]CRITERIOS!$K$160:$K$168,[1]CRITERIOS!$N$160:$N$168))))</f>
        <v>#N/A</v>
      </c>
      <c r="S687" s="33" t="e">
        <f>IF(G687="DV","MTO",IF(N687=0,"MTO",IF(OR(AND(N687=0,O687=""),IF(O687="",G687/N687,G687/O687)&gt;[1]CRITERIOS!$G$163),"MTO",IF(IF(O687="",G687/N687,G687/O687)&lt;[1]CRITERIOS!$H$161,"MTS","MTOS"))))</f>
        <v>#N/A</v>
      </c>
      <c r="T687" s="33" t="e">
        <f>IF(F687="DV","MTO",IF(OR(AND($N687=0,O687=""),$F687/$J687&gt;[1]CRITERIOS!$G$170,$F687="DV"),"MTO",IF($F687/$J687&lt;[1]CRITERIOS!$H$168,"MTS","MTOS")))</f>
        <v>#N/A</v>
      </c>
      <c r="V687" s="34" t="e">
        <f t="shared" si="34"/>
        <v>#N/A</v>
      </c>
      <c r="X687" s="34" t="e">
        <f t="shared" si="32"/>
        <v>#N/A</v>
      </c>
      <c r="Y687" s="34" t="e">
        <f t="shared" si="33"/>
        <v>#N/A</v>
      </c>
      <c r="Z687" s="34" t="e">
        <f>IF($R687="MTO",
0,
($H687+$K687*($E687/[1]CRITERIOS!$M$16))/[1]CRITERIOS!$X$48)</f>
        <v>#N/A</v>
      </c>
      <c r="AA687" s="34" t="e">
        <f>ROUNDUP(($Y687/_xlfn.XLOOKUP($A687,'[1]DATOS PBI Artículos'!$A$4:$A$4,'[1]DATOS PBI Artículos'!$Z$4:$Z$4))/_xlfn.XLOOKUP(_xlfn.XLOOKUP($A687,'[1]DATOS PBI Artículos'!$A$4:$A$4,'[1]DATOS PBI Artículos'!$Y$4:$Y$4),[1]CRITERIOS!$P$79:$P$123,[1]CRITERIOS!$S$79:$S$123,),0)</f>
        <v>#N/A</v>
      </c>
      <c r="AB687" s="33" t="e">
        <f t="array" ref="AB687">IF((E687+V687-_xlfn.XLOOKUP(A687,'[1]DATOS PBI Artículos'!$A$4:$A$4,'[1]DATOS PBI Artículos'!$W$4:$W$4))/N687&gt;ROUNDUP([1]CRITERIOS!$M$16/(IF(COUNTIF([1]CRITERIOS!$BG$11:$BG$201,L687)&gt;=1,_xlfn.XLOOKUP(ARTÍCULOS!L687,[1]CRITERIOS!$BG$11:$BG$201,[1]CRITERIOS!$BJ$11:$BJ$201),_xlfn.XLOOKUP(ARTÍCULOS!C687,[1]CRITERIOS!$K$25:$K$42,[1]CRITERIOS!$M$25:$M$42))),0),ROUNDUP([1]CRITERIOS!$M$16/(IF(COUNTIF([1]CRITERIOS!$BG$11:$BG$201,L687)&gt;=1,_xlfn.XLOOKUP(ARTÍCULOS!L687,[1]CRITERIOS!$BG$11:$BG$201:#REF!,[1]CRITERIOS!$BJ$11:$BJ$201),_xlfn.XLOOKUP(ARTÍCULOS!C687,[1]CRITERIOS!$K$25:$K$42,[1]CRITERIOS!$M$25:$M$42))),0),(E687+V687-_xlfn.XLOOKUP(A687,'[1]DATOS PBI Artículos'!$A$4:$A$4,'[1]DATOS PBI Artículos'!$W$4:$W$4))/N687)</f>
        <v>#N/A</v>
      </c>
      <c r="AC687" s="33" t="e">
        <f>IF(N687=0,"",(ROUNDUP((N687/2)/(_xlfn.XLOOKUP(A687,'[1]DATOS PBI Artículos'!$A$4:$A$4,'[1]DATOS PBI Artículos'!$Z$4:$Z$4)*_xlfn.XLOOKUP(_xlfn.XLOOKUP(A687,'[1]DATOS PBI Artículos'!$A$4:$A$4,'[1]DATOS PBI Artículos'!$Y$4:$Y$4),[1]CRITERIOS!$P$79:$P$123,[1]CRITERIOS!$S$79:$S$123)),0)*[1]CRITERIOS!$M$80*([1]CRITERIOS!$M$110/[1]CRITERIOS!$M$86)+(_xlfn.XLOOKUP(A687,'[1]DATOS PBI Artículos'!$A$4:$A$4,'[1]DATOS PBI Artículos'!$AA$4:$AA$4)*([1]CRITERIOS!$M$95+[1]CRITERIOS!$M$98)))/N687)</f>
        <v>#N/A</v>
      </c>
      <c r="AD687" s="33" t="e">
        <f>IF(N687=0,"",(ROUNDUP((N687/2)/(_xlfn.XLOOKUP(A687,'[1]DATOS PBI Artículos'!$A$4:$A$4,'[1]DATOS PBI Artículos'!$Z$4:$Z$4)*_xlfn.XLOOKUP(_xlfn.XLOOKUP(A687,'[1]DATOS PBI Artículos'!$A$4:$A$4,'[1]DATOS PBI Artículos'!$Y$4:$Y$4),[1]CRITERIOS!$P$79:$P$123,[1]CRITERIOS!$S$79:$S$123)),0)*[1]CRITERIOS!$M$80*([1]CRITERIOS!$M$89*[1]CRITERIOS!$M$92)+((_xlfn.XLOOKUP(A687,'[1]DATOS PBI Artículos'!$A$4:$A$4,'[1]DATOS PBI Artículos'!$AA$4:$AA$4)/2)*([1]CRITERIOS!$M$95+[1]CRITERIOS!$M$98)))/N687)</f>
        <v>#N/A</v>
      </c>
      <c r="AE687" s="39" t="e">
        <f>IF($R687="MTO","",
IF($H687=0,ROUNDUP(((_xlfn.XLOOKUP($A687,'[1]DATOS PBI Artículos'!$A:$A,'[1]DATOS PBI Artículos'!$AL:$AL))/(_xlfn.XLOOKUP($AF$1,[1]CRITERIOS!$S$16:$S$39,[1]CRITERIOS!$Y$16:$Y$39))*$J687+$Z687)/$G687,0)*$G687,
((_xlfn.XLOOKUP($A687,'[1]DATOS PBI Artículos'!$A:$A,'[1]DATOS PBI Artículos'!$AL:$AL))/(_xlfn.XLOOKUP($AF$1,[1]CRITERIOS!$S$16:$S$39,[1]CRITERIOS!$Y$16:$Y$39))*$J687+$Z687)))</f>
        <v>#N/A</v>
      </c>
      <c r="AG687" s="39" t="e">
        <f>IF($R687="MTO","",
IF($H687=0,ROUNDUP(((_xlfn.XLOOKUP($A687,'[1]DATOS PBI Artículos'!$A:$A,'[1]DATOS PBI Artículos'!$AM:$AM))/(_xlfn.XLOOKUP($AH$1,[1]CRITERIOS!$S$16:$S$39,[1]CRITERIOS!$Y$16:$Y$39))*$J687+$Z687)/$G687,0)*$G687,
((_xlfn.XLOOKUP($A687,'[1]DATOS PBI Artículos'!$A:$A,'[1]DATOS PBI Artículos'!$AM:$AM))/(_xlfn.XLOOKUP($AH$1,[1]CRITERIOS!$S$16:$S$39,[1]CRITERIOS!$Y$16:$Y$39))*$J687+$Z687)))</f>
        <v>#N/A</v>
      </c>
      <c r="AI687" s="39" t="e">
        <f>IF($R687="MTO","",
IF($H687=0,ROUNDUP(((_xlfn.XLOOKUP($A687,'[1]DATOS PBI Artículos'!$A:$A,'[1]DATOS PBI Artículos'!$AN:$AN))/(_xlfn.XLOOKUP($AJ$1,[1]CRITERIOS!$S$16:$S$39,[1]CRITERIOS!$Y$16:$Y$39))*$J687+$Z687)/$G687,0)*$G687,
((_xlfn.XLOOKUP($A687,'[1]DATOS PBI Artículos'!$A:$A,'[1]DATOS PBI Artículos'!$AN:$AN))/(_xlfn.XLOOKUP($AJ$1,[1]CRITERIOS!$S$16:$S$39,[1]CRITERIOS!$Y$16:$Y$39))*$J687+$Z687)))</f>
        <v>#N/A</v>
      </c>
      <c r="AK687" s="39" t="e">
        <f>IF($R687="MTO","",
IF($H687=0,ROUNDUP(((_xlfn.XLOOKUP($A687,'[1]DATOS PBI Artículos'!$A:$A,'[1]DATOS PBI Artículos'!$AO:$AO))/(_xlfn.XLOOKUP($AL$1,[1]CRITERIOS!$S$16:$S$39,[1]CRITERIOS!$Y$16:$Y$39))*$J687+$Z687)/$G687,0)*$G687,
((_xlfn.XLOOKUP($A687,'[1]DATOS PBI Artículos'!$A:$A,'[1]DATOS PBI Artículos'!$AO:$AO))/(_xlfn.XLOOKUP($AL$1,[1]CRITERIOS!$S$16:$S$39,[1]CRITERIOS!$Y$16:$Y$39))*$J687+$Z687)))</f>
        <v>#N/A</v>
      </c>
    </row>
    <row r="688" spans="1:37" ht="25.8" hidden="1" x14ac:dyDescent="0.4">
      <c r="A688" s="41"/>
      <c r="B688" s="33">
        <f>_xlfn.XLOOKUP($A688,'[1]DATOS PBI Artículos'!A:A,'[1]DATOS PBI Artículos'!B:B)</f>
        <v>0</v>
      </c>
      <c r="C688" s="33">
        <f>_xlfn.XLOOKUP($A688,'[1]DATOS PBI Artículos'!A:A,'[1]DATOS PBI Artículos'!C:C)</f>
        <v>0</v>
      </c>
      <c r="D688" s="33">
        <f>_xlfn.XLOOKUP(A688,'[1]DATOS PBI Artículos'!A:A,'[1]DATOS PBI Artículos'!T:T)</f>
        <v>0</v>
      </c>
      <c r="E688" s="34">
        <f>IF(_xlfn.XLOOKUP($A688,'[1]DATOS PBI Artículos'!A:A,'[1]DATOS PBI Artículos'!AK:AK)="",_xlfn.XLOOKUP($A688,'[1]DATOS PBI Artículos'!A:A,'[1]DATOS PBI Artículos'!AJ:AJ),_xlfn.XLOOKUP($A688,'[1]DATOS PBI Artículos'!A:A,'[1]DATOS PBI Artículos'!AK:AK))</f>
        <v>0</v>
      </c>
      <c r="F688" s="35">
        <f>_xlfn.XLOOKUP($A688,'[1]DATOS PBI Artículos'!A:A,'[1]DATOS PBI Artículos'!AP:AP)</f>
        <v>0</v>
      </c>
      <c r="G688" s="34">
        <f>_xlfn.XLOOKUP($A688,'[1]DATOS PBI Artículos'!A:A,'[1]DATOS PBI Artículos'!AR:AR)</f>
        <v>0</v>
      </c>
      <c r="H688" s="34">
        <f>_xlfn.XLOOKUP($A688,'[1]DATOS PBI Artículos'!A:A,'[1]DATOS PBI Artículos'!AT:AT)</f>
        <v>0</v>
      </c>
      <c r="I688" s="34">
        <f>_xlfn.XLOOKUP($A688,'[1]DATOS PBI Artículos'!A:A,'[1]DATOS PBI Artículos'!AS:AS)</f>
        <v>0</v>
      </c>
      <c r="J688" s="35">
        <f>IF(COUNTIF([1]CRITERIOS!$F$179:$F$199,$A688)&gt;=1,
 IF(O688&lt;&gt;"",
    (O688/_xlfn.XLOOKUP(CONCATENATE(A688,L688),[1]MÁQUINAS!A:A,[1]MÁQUINAS!D:D))/24,
    (N688/_xlfn.XLOOKUP(CONCATENATE(A688,L688),[1]MÁQUINAS!A:A,[1]MÁQUINAS!D:D))/24),
  _xlfn.XLOOKUP($A688,'[1]DATOS PBI Artículos'!A:A,'[1]DATOS PBI Artículos'!AU:AU))</f>
        <v>0</v>
      </c>
      <c r="K688" s="36">
        <f>_xlfn.XLOOKUP($A688,'[1]DATOS PBI Artículos'!A:A,'[1]DATOS PBI Artículos'!AV:AV)</f>
        <v>0</v>
      </c>
      <c r="L688" s="33">
        <f>_xlfn.XLOOKUP(A688,[1]MÁQUINAS!B:B,[1]MÁQUINAS!C:C)</f>
        <v>0</v>
      </c>
      <c r="M688" s="34">
        <f t="array" ref="M688">_xlfn.XLOOKUP(A688,'[1]DATOS PBI Artículos'!A:A,'[1]DATOS PBI Artículos'!AX:$AX)</f>
        <v>0</v>
      </c>
      <c r="N688" s="37" t="e">
        <f>IF(I688="DV",
E688,
IF(COUNTIF([1]CRITERIOS!$I$179:$I$199,$A688)&gt;=1,
_xlfn.XLOOKUP($A688,[1]CRITERIOS!$I$179:$I$199,[1]CRITERIOS!$J$179:$J$199),
IF(COUNTIF([1]CRITERIOS!$L$179:$L$199,$A688)&gt;=1,
_xlfn.CEILING.MATH(IF($M688&gt;$E688,
$E688,
IF($M688&lt;$E688/ROUNDDOWN([1]CRITERIOS!$M$16/_xlfn.XLOOKUP($C688,[1]CRITERIOS!$K$25:$K$42,[1]CRITERIOS!$M$25:$M$42),
1),
E688/ROUNDDOWN([1]CRITERIOS!$M$16/_xlfn.XLOOKUP($C688,[1]CRITERIOS!$K$25:$K$42,[1]CRITERIOS!$M$25:$M$42),
1),
$M688)),
_xlfn.XLOOKUP($A688,[1]CRITERIOS!$L$179:$L$200,[1]CRITERIOS!$M$179:$M$200)),
_xlfn.CEILING.MATH(IF($M688&gt;$E688,
$E688,
IF($M688&lt;$E688/ROUNDDOWN([1]CRITERIOS!$M$16/_xlfn.XLOOKUP($C688,[1]CRITERIOS!$K$25:$K$42,[1]CRITERIOS!$M$25:$M$42),
1),
E688/ROUNDDOWN([1]CRITERIOS!$M$16/_xlfn.XLOOKUP($C688,[1]CRITERIOS!$K$25:$K$42,[1]CRITERIOS!$M$25:$M$42),
1),
$M688)),_xlfn.XLOOKUP(A688,'[1]DATOS PBI Artículos'!A:A,'[1]DATOS PBI Artículos'!Z:Z
)))))</f>
        <v>#N/A</v>
      </c>
      <c r="Q688" s="38" t="e">
        <f>IF(AND(O688="",N688=0),
0,
   IF(COUNTIF([1]CRITERIOS!$F$179:$F$199,$A688)&gt;=1,
   1,
   IF(R688="MTO",
      $D688,
      ROUNDUP(
                    IF(($E688-SUMIF('[1]DATOS PBI Artículos'!A:A,A688,'[1]DATOS PBI Artículos'!X:X)+($V688-_xlfn.XLOOKUP(A688,'[1]DATOS PBI Artículos'!A:A,'[1]DATOS PBI Artículos'!W:W)))&lt;0,
                    0,
                    IF(($E688-SUMIF('[1]DATOS PBI Artículos'!A:A,A688,'[1]DATOS PBI Artículos'!X:X)+$V688-_xlfn.XLOOKUP($A688,'[1]DATOS PBI Artículos'!A:A,'[1]DATOS PBI Artículos'!W:W))/IF($O688="",$N688,$O688)&gt;ROUNDUP([1]CRITERIOS!$M$16/(IF(COUNTIF([1]CRITERIOS!$BG$11:$BG$201,L688)&gt;=1,_xlfn.XLOOKUP($C688,[1]CRITERIOS!$K$25:$K$42,[1]CRITERIOS!$M$25:$M$42),_xlfn.XLOOKUP($C688,[1]CRITERIOS!$K$25:$K$42,[1]CRITERIOS!$M$25:$M$42))),0),
                    ROUNDUP([1]CRITERIOS!$M$16/(IF(COUNTIF([1]CRITERIOS!$BG$11:$BG$201,$L688)&gt;=1,_xlfn.XLOOKUP($C688,[1]CRITERIOS!$K$25:$K$42,[1]CRITERIOS!$M$25:$M$42),_xlfn.XLOOKUP($C688,[1]CRITERIOS!$K$25:$K$42,[1]CRITERIOS!$M$25:$M$42))),0),
                    (E688+V688-SUMIF('[1]DATOS PBI Artículos'!A:A,A688,'[1]DATOS PBI Artículos'!X:X)-_xlfn.XLOOKUP(A688,'[1]DATOS PBI Artículos'!A:A,'[1]DATOS PBI Artículos'!W:W))/IF($O688="",$N688,$O688))),0))))</f>
        <v>#N/A</v>
      </c>
      <c r="R688" s="33" t="e">
        <f>IF(U688&lt;&gt;"",U688,IF(F688="DV","MTO",IF(N688=0,"MTO",_xlfn.XLOOKUP(CONCATENATE(S688,T688),[1]CRITERIOS!$K$160:$K$168,[1]CRITERIOS!$N$160:$N$168))))</f>
        <v>#N/A</v>
      </c>
      <c r="S688" s="33" t="e">
        <f>IF(G688="DV","MTO",IF(N688=0,"MTO",IF(OR(AND(N688=0,O688=""),IF(O688="",G688/N688,G688/O688)&gt;[1]CRITERIOS!$G$163),"MTO",IF(IF(O688="",G688/N688,G688/O688)&lt;[1]CRITERIOS!$H$161,"MTS","MTOS"))))</f>
        <v>#N/A</v>
      </c>
      <c r="T688" s="33" t="e">
        <f>IF(F688="DV","MTO",IF(OR(AND($N688=0,O688=""),$F688/$J688&gt;[1]CRITERIOS!$G$170,$F688="DV"),"MTO",IF($F688/$J688&lt;[1]CRITERIOS!$H$168,"MTS","MTOS")))</f>
        <v>#N/A</v>
      </c>
      <c r="V688" s="34" t="e">
        <f t="shared" si="34"/>
        <v>#N/A</v>
      </c>
      <c r="X688" s="34" t="e">
        <f t="shared" si="32"/>
        <v>#N/A</v>
      </c>
      <c r="Y688" s="34" t="e">
        <f t="shared" si="33"/>
        <v>#N/A</v>
      </c>
      <c r="Z688" s="34" t="e">
        <f>IF($R688="MTO",
0,
($H688+$K688*($E688/[1]CRITERIOS!$M$16))/[1]CRITERIOS!$X$48)</f>
        <v>#N/A</v>
      </c>
      <c r="AA688" s="34" t="e">
        <f>ROUNDUP(($Y688/_xlfn.XLOOKUP($A688,'[1]DATOS PBI Artículos'!$A$4:$A$4,'[1]DATOS PBI Artículos'!$Z$4:$Z$4))/_xlfn.XLOOKUP(_xlfn.XLOOKUP($A688,'[1]DATOS PBI Artículos'!$A$4:$A$4,'[1]DATOS PBI Artículos'!$Y$4:$Y$4),[1]CRITERIOS!$P$79:$P$123,[1]CRITERIOS!$S$79:$S$123,),0)</f>
        <v>#N/A</v>
      </c>
      <c r="AB688" s="33" t="e">
        <f t="array" ref="AB688">IF((E688+V688-_xlfn.XLOOKUP(A688,'[1]DATOS PBI Artículos'!$A$4:$A$4,'[1]DATOS PBI Artículos'!$W$4:$W$4))/N688&gt;ROUNDUP([1]CRITERIOS!$M$16/(IF(COUNTIF([1]CRITERIOS!$BG$11:$BG$201,L688)&gt;=1,_xlfn.XLOOKUP(ARTÍCULOS!L688,[1]CRITERIOS!$BG$11:$BG$201,[1]CRITERIOS!$BJ$11:$BJ$201),_xlfn.XLOOKUP(ARTÍCULOS!C688,[1]CRITERIOS!$K$25:$K$42,[1]CRITERIOS!$M$25:$M$42))),0),ROUNDUP([1]CRITERIOS!$M$16/(IF(COUNTIF([1]CRITERIOS!$BG$11:$BG$201,L688)&gt;=1,_xlfn.XLOOKUP(ARTÍCULOS!L688,[1]CRITERIOS!$BG$11:$BG$201:#REF!,[1]CRITERIOS!$BJ$11:$BJ$201),_xlfn.XLOOKUP(ARTÍCULOS!C688,[1]CRITERIOS!$K$25:$K$42,[1]CRITERIOS!$M$25:$M$42))),0),(E688+V688-_xlfn.XLOOKUP(A688,'[1]DATOS PBI Artículos'!$A$4:$A$4,'[1]DATOS PBI Artículos'!$W$4:$W$4))/N688)</f>
        <v>#N/A</v>
      </c>
      <c r="AC688" s="33" t="e">
        <f>IF(N688=0,"",(ROUNDUP((N688/2)/(_xlfn.XLOOKUP(A688,'[1]DATOS PBI Artículos'!$A$4:$A$4,'[1]DATOS PBI Artículos'!$Z$4:$Z$4)*_xlfn.XLOOKUP(_xlfn.XLOOKUP(A688,'[1]DATOS PBI Artículos'!$A$4:$A$4,'[1]DATOS PBI Artículos'!$Y$4:$Y$4),[1]CRITERIOS!$P$79:$P$123,[1]CRITERIOS!$S$79:$S$123)),0)*[1]CRITERIOS!$M$80*([1]CRITERIOS!$M$110/[1]CRITERIOS!$M$86)+(_xlfn.XLOOKUP(A688,'[1]DATOS PBI Artículos'!$A$4:$A$4,'[1]DATOS PBI Artículos'!$AA$4:$AA$4)*([1]CRITERIOS!$M$95+[1]CRITERIOS!$M$98)))/N688)</f>
        <v>#N/A</v>
      </c>
      <c r="AD688" s="33" t="e">
        <f>IF(N688=0,"",(ROUNDUP((N688/2)/(_xlfn.XLOOKUP(A688,'[1]DATOS PBI Artículos'!$A$4:$A$4,'[1]DATOS PBI Artículos'!$Z$4:$Z$4)*_xlfn.XLOOKUP(_xlfn.XLOOKUP(A688,'[1]DATOS PBI Artículos'!$A$4:$A$4,'[1]DATOS PBI Artículos'!$Y$4:$Y$4),[1]CRITERIOS!$P$79:$P$123,[1]CRITERIOS!$S$79:$S$123)),0)*[1]CRITERIOS!$M$80*([1]CRITERIOS!$M$89*[1]CRITERIOS!$M$92)+((_xlfn.XLOOKUP(A688,'[1]DATOS PBI Artículos'!$A$4:$A$4,'[1]DATOS PBI Artículos'!$AA$4:$AA$4)/2)*([1]CRITERIOS!$M$95+[1]CRITERIOS!$M$98)))/N688)</f>
        <v>#N/A</v>
      </c>
      <c r="AE688" s="39" t="e">
        <f>IF($R688="MTO","",
IF($H688=0,ROUNDUP(((_xlfn.XLOOKUP($A688,'[1]DATOS PBI Artículos'!$A:$A,'[1]DATOS PBI Artículos'!$AL:$AL))/(_xlfn.XLOOKUP($AF$1,[1]CRITERIOS!$S$16:$S$39,[1]CRITERIOS!$Y$16:$Y$39))*$J688+$Z688)/$G688,0)*$G688,
((_xlfn.XLOOKUP($A688,'[1]DATOS PBI Artículos'!$A:$A,'[1]DATOS PBI Artículos'!$AL:$AL))/(_xlfn.XLOOKUP($AF$1,[1]CRITERIOS!$S$16:$S$39,[1]CRITERIOS!$Y$16:$Y$39))*$J688+$Z688)))</f>
        <v>#N/A</v>
      </c>
      <c r="AG688" s="39" t="e">
        <f>IF($R688="MTO","",
IF($H688=0,ROUNDUP(((_xlfn.XLOOKUP($A688,'[1]DATOS PBI Artículos'!$A:$A,'[1]DATOS PBI Artículos'!$AM:$AM))/(_xlfn.XLOOKUP($AH$1,[1]CRITERIOS!$S$16:$S$39,[1]CRITERIOS!$Y$16:$Y$39))*$J688+$Z688)/$G688,0)*$G688,
((_xlfn.XLOOKUP($A688,'[1]DATOS PBI Artículos'!$A:$A,'[1]DATOS PBI Artículos'!$AM:$AM))/(_xlfn.XLOOKUP($AH$1,[1]CRITERIOS!$S$16:$S$39,[1]CRITERIOS!$Y$16:$Y$39))*$J688+$Z688)))</f>
        <v>#N/A</v>
      </c>
      <c r="AI688" s="39" t="e">
        <f>IF($R688="MTO","",
IF($H688=0,ROUNDUP(((_xlfn.XLOOKUP($A688,'[1]DATOS PBI Artículos'!$A:$A,'[1]DATOS PBI Artículos'!$AN:$AN))/(_xlfn.XLOOKUP($AJ$1,[1]CRITERIOS!$S$16:$S$39,[1]CRITERIOS!$Y$16:$Y$39))*$J688+$Z688)/$G688,0)*$G688,
((_xlfn.XLOOKUP($A688,'[1]DATOS PBI Artículos'!$A:$A,'[1]DATOS PBI Artículos'!$AN:$AN))/(_xlfn.XLOOKUP($AJ$1,[1]CRITERIOS!$S$16:$S$39,[1]CRITERIOS!$Y$16:$Y$39))*$J688+$Z688)))</f>
        <v>#N/A</v>
      </c>
      <c r="AK688" s="39" t="e">
        <f>IF($R688="MTO","",
IF($H688=0,ROUNDUP(((_xlfn.XLOOKUP($A688,'[1]DATOS PBI Artículos'!$A:$A,'[1]DATOS PBI Artículos'!$AO:$AO))/(_xlfn.XLOOKUP($AL$1,[1]CRITERIOS!$S$16:$S$39,[1]CRITERIOS!$Y$16:$Y$39))*$J688+$Z688)/$G688,0)*$G688,
((_xlfn.XLOOKUP($A688,'[1]DATOS PBI Artículos'!$A:$A,'[1]DATOS PBI Artículos'!$AO:$AO))/(_xlfn.XLOOKUP($AL$1,[1]CRITERIOS!$S$16:$S$39,[1]CRITERIOS!$Y$16:$Y$39))*$J688+$Z688)))</f>
        <v>#N/A</v>
      </c>
    </row>
    <row r="689" spans="1:37" ht="25.8" hidden="1" x14ac:dyDescent="0.4">
      <c r="A689" s="41"/>
      <c r="B689" s="33">
        <f>_xlfn.XLOOKUP($A689,'[1]DATOS PBI Artículos'!A:A,'[1]DATOS PBI Artículos'!B:B)</f>
        <v>0</v>
      </c>
      <c r="C689" s="33">
        <f>_xlfn.XLOOKUP($A689,'[1]DATOS PBI Artículos'!A:A,'[1]DATOS PBI Artículos'!C:C)</f>
        <v>0</v>
      </c>
      <c r="D689" s="33">
        <f>_xlfn.XLOOKUP(A689,'[1]DATOS PBI Artículos'!A:A,'[1]DATOS PBI Artículos'!T:T)</f>
        <v>0</v>
      </c>
      <c r="E689" s="34">
        <f>IF(_xlfn.XLOOKUP($A689,'[1]DATOS PBI Artículos'!A:A,'[1]DATOS PBI Artículos'!AK:AK)="",_xlfn.XLOOKUP($A689,'[1]DATOS PBI Artículos'!A:A,'[1]DATOS PBI Artículos'!AJ:AJ),_xlfn.XLOOKUP($A689,'[1]DATOS PBI Artículos'!A:A,'[1]DATOS PBI Artículos'!AK:AK))</f>
        <v>0</v>
      </c>
      <c r="F689" s="35">
        <f>_xlfn.XLOOKUP($A689,'[1]DATOS PBI Artículos'!A:A,'[1]DATOS PBI Artículos'!AP:AP)</f>
        <v>0</v>
      </c>
      <c r="G689" s="34">
        <f>_xlfn.XLOOKUP($A689,'[1]DATOS PBI Artículos'!A:A,'[1]DATOS PBI Artículos'!AR:AR)</f>
        <v>0</v>
      </c>
      <c r="H689" s="34">
        <f>_xlfn.XLOOKUP($A689,'[1]DATOS PBI Artículos'!A:A,'[1]DATOS PBI Artículos'!AT:AT)</f>
        <v>0</v>
      </c>
      <c r="I689" s="34">
        <f>_xlfn.XLOOKUP($A689,'[1]DATOS PBI Artículos'!A:A,'[1]DATOS PBI Artículos'!AS:AS)</f>
        <v>0</v>
      </c>
      <c r="J689" s="35">
        <f>IF(COUNTIF([1]CRITERIOS!$F$179:$F$199,$A689)&gt;=1,
 IF(O689&lt;&gt;"",
    (O689/_xlfn.XLOOKUP(CONCATENATE(A689,L689),[1]MÁQUINAS!A:A,[1]MÁQUINAS!D:D))/24,
    (N689/_xlfn.XLOOKUP(CONCATENATE(A689,L689),[1]MÁQUINAS!A:A,[1]MÁQUINAS!D:D))/24),
  _xlfn.XLOOKUP($A689,'[1]DATOS PBI Artículos'!A:A,'[1]DATOS PBI Artículos'!AU:AU))</f>
        <v>0</v>
      </c>
      <c r="K689" s="36">
        <f>_xlfn.XLOOKUP($A689,'[1]DATOS PBI Artículos'!A:A,'[1]DATOS PBI Artículos'!AV:AV)</f>
        <v>0</v>
      </c>
      <c r="L689" s="33">
        <f>_xlfn.XLOOKUP(A689,[1]MÁQUINAS!B:B,[1]MÁQUINAS!C:C)</f>
        <v>0</v>
      </c>
      <c r="M689" s="34">
        <f t="array" ref="M689">_xlfn.XLOOKUP(A689,'[1]DATOS PBI Artículos'!A:A,'[1]DATOS PBI Artículos'!AX:$AX)</f>
        <v>0</v>
      </c>
      <c r="N689" s="37" t="e">
        <f>IF(I689="DV",
E689,
IF(COUNTIF([1]CRITERIOS!$I$179:$I$199,$A689)&gt;=1,
_xlfn.XLOOKUP($A689,[1]CRITERIOS!$I$179:$I$199,[1]CRITERIOS!$J$179:$J$199),
IF(COUNTIF([1]CRITERIOS!$L$179:$L$199,$A689)&gt;=1,
_xlfn.CEILING.MATH(IF($M689&gt;$E689,
$E689,
IF($M689&lt;$E689/ROUNDDOWN([1]CRITERIOS!$M$16/_xlfn.XLOOKUP($C689,[1]CRITERIOS!$K$25:$K$42,[1]CRITERIOS!$M$25:$M$42),
1),
E689/ROUNDDOWN([1]CRITERIOS!$M$16/_xlfn.XLOOKUP($C689,[1]CRITERIOS!$K$25:$K$42,[1]CRITERIOS!$M$25:$M$42),
1),
$M689)),
_xlfn.XLOOKUP($A689,[1]CRITERIOS!$L$179:$L$200,[1]CRITERIOS!$M$179:$M$200)),
_xlfn.CEILING.MATH(IF($M689&gt;$E689,
$E689,
IF($M689&lt;$E689/ROUNDDOWN([1]CRITERIOS!$M$16/_xlfn.XLOOKUP($C689,[1]CRITERIOS!$K$25:$K$42,[1]CRITERIOS!$M$25:$M$42),
1),
E689/ROUNDDOWN([1]CRITERIOS!$M$16/_xlfn.XLOOKUP($C689,[1]CRITERIOS!$K$25:$K$42,[1]CRITERIOS!$M$25:$M$42),
1),
$M689)),_xlfn.XLOOKUP(A689,'[1]DATOS PBI Artículos'!A:A,'[1]DATOS PBI Artículos'!Z:Z
)))))</f>
        <v>#N/A</v>
      </c>
      <c r="Q689" s="38" t="e">
        <f>IF(AND(O689="",N689=0),
0,
   IF(COUNTIF([1]CRITERIOS!$F$179:$F$199,$A689)&gt;=1,
   1,
   IF(R689="MTO",
      $D689,
      ROUNDUP(
                    IF(($E689-SUMIF('[1]DATOS PBI Artículos'!A:A,A689,'[1]DATOS PBI Artículos'!X:X)+($V689-_xlfn.XLOOKUP(A689,'[1]DATOS PBI Artículos'!A:A,'[1]DATOS PBI Artículos'!W:W)))&lt;0,
                    0,
                    IF(($E689-SUMIF('[1]DATOS PBI Artículos'!A:A,A689,'[1]DATOS PBI Artículos'!X:X)+$V689-_xlfn.XLOOKUP($A689,'[1]DATOS PBI Artículos'!A:A,'[1]DATOS PBI Artículos'!W:W))/IF($O689="",$N689,$O689)&gt;ROUNDUP([1]CRITERIOS!$M$16/(IF(COUNTIF([1]CRITERIOS!$BG$11:$BG$201,L689)&gt;=1,_xlfn.XLOOKUP($C689,[1]CRITERIOS!$K$25:$K$42,[1]CRITERIOS!$M$25:$M$42),_xlfn.XLOOKUP($C689,[1]CRITERIOS!$K$25:$K$42,[1]CRITERIOS!$M$25:$M$42))),0),
                    ROUNDUP([1]CRITERIOS!$M$16/(IF(COUNTIF([1]CRITERIOS!$BG$11:$BG$201,$L689)&gt;=1,_xlfn.XLOOKUP($C689,[1]CRITERIOS!$K$25:$K$42,[1]CRITERIOS!$M$25:$M$42),_xlfn.XLOOKUP($C689,[1]CRITERIOS!$K$25:$K$42,[1]CRITERIOS!$M$25:$M$42))),0),
                    (E689+V689-SUMIF('[1]DATOS PBI Artículos'!A:A,A689,'[1]DATOS PBI Artículos'!X:X)-_xlfn.XLOOKUP(A689,'[1]DATOS PBI Artículos'!A:A,'[1]DATOS PBI Artículos'!W:W))/IF($O689="",$N689,$O689))),0))))</f>
        <v>#N/A</v>
      </c>
      <c r="R689" s="33" t="e">
        <f>IF(U689&lt;&gt;"",U689,IF(F689="DV","MTO",IF(N689=0,"MTO",_xlfn.XLOOKUP(CONCATENATE(S689,T689),[1]CRITERIOS!$K$160:$K$168,[1]CRITERIOS!$N$160:$N$168))))</f>
        <v>#N/A</v>
      </c>
      <c r="S689" s="33" t="e">
        <f>IF(G689="DV","MTO",IF(N689=0,"MTO",IF(OR(AND(N689=0,O689=""),IF(O689="",G689/N689,G689/O689)&gt;[1]CRITERIOS!$G$163),"MTO",IF(IF(O689="",G689/N689,G689/O689)&lt;[1]CRITERIOS!$H$161,"MTS","MTOS"))))</f>
        <v>#N/A</v>
      </c>
      <c r="T689" s="33" t="e">
        <f>IF(F689="DV","MTO",IF(OR(AND($N689=0,O689=""),$F689/$J689&gt;[1]CRITERIOS!$G$170,$F689="DV"),"MTO",IF($F689/$J689&lt;[1]CRITERIOS!$H$168,"MTS","MTOS")))</f>
        <v>#N/A</v>
      </c>
      <c r="V689" s="34" t="e">
        <f t="shared" si="34"/>
        <v>#N/A</v>
      </c>
      <c r="X689" s="34" t="e">
        <f t="shared" si="32"/>
        <v>#N/A</v>
      </c>
      <c r="Y689" s="34" t="e">
        <f t="shared" si="33"/>
        <v>#N/A</v>
      </c>
      <c r="Z689" s="34" t="e">
        <f>IF($R689="MTO",
0,
($H689+$K689*($E689/[1]CRITERIOS!$M$16))/[1]CRITERIOS!$X$48)</f>
        <v>#N/A</v>
      </c>
      <c r="AA689" s="34" t="e">
        <f>ROUNDUP(($Y689/_xlfn.XLOOKUP($A689,'[1]DATOS PBI Artículos'!$A$4:$A$4,'[1]DATOS PBI Artículos'!$Z$4:$Z$4))/_xlfn.XLOOKUP(_xlfn.XLOOKUP($A689,'[1]DATOS PBI Artículos'!$A$4:$A$4,'[1]DATOS PBI Artículos'!$Y$4:$Y$4),[1]CRITERIOS!$P$79:$P$123,[1]CRITERIOS!$S$79:$S$123,),0)</f>
        <v>#N/A</v>
      </c>
      <c r="AB689" s="33" t="e">
        <f t="array" ref="AB689">IF((E689+V689-_xlfn.XLOOKUP(A689,'[1]DATOS PBI Artículos'!$A$4:$A$4,'[1]DATOS PBI Artículos'!$W$4:$W$4))/N689&gt;ROUNDUP([1]CRITERIOS!$M$16/(IF(COUNTIF([1]CRITERIOS!$BG$11:$BG$201,L689)&gt;=1,_xlfn.XLOOKUP(ARTÍCULOS!L689,[1]CRITERIOS!$BG$11:$BG$201,[1]CRITERIOS!$BJ$11:$BJ$201),_xlfn.XLOOKUP(ARTÍCULOS!C689,[1]CRITERIOS!$K$25:$K$42,[1]CRITERIOS!$M$25:$M$42))),0),ROUNDUP([1]CRITERIOS!$M$16/(IF(COUNTIF([1]CRITERIOS!$BG$11:$BG$201,L689)&gt;=1,_xlfn.XLOOKUP(ARTÍCULOS!L689,[1]CRITERIOS!$BG$11:$BG$201:#REF!,[1]CRITERIOS!$BJ$11:$BJ$201),_xlfn.XLOOKUP(ARTÍCULOS!C689,[1]CRITERIOS!$K$25:$K$42,[1]CRITERIOS!$M$25:$M$42))),0),(E689+V689-_xlfn.XLOOKUP(A689,'[1]DATOS PBI Artículos'!$A$4:$A$4,'[1]DATOS PBI Artículos'!$W$4:$W$4))/N689)</f>
        <v>#N/A</v>
      </c>
      <c r="AC689" s="33" t="e">
        <f>IF(N689=0,"",(ROUNDUP((N689/2)/(_xlfn.XLOOKUP(A689,'[1]DATOS PBI Artículos'!$A$4:$A$4,'[1]DATOS PBI Artículos'!$Z$4:$Z$4)*_xlfn.XLOOKUP(_xlfn.XLOOKUP(A689,'[1]DATOS PBI Artículos'!$A$4:$A$4,'[1]DATOS PBI Artículos'!$Y$4:$Y$4),[1]CRITERIOS!$P$79:$P$123,[1]CRITERIOS!$S$79:$S$123)),0)*[1]CRITERIOS!$M$80*([1]CRITERIOS!$M$110/[1]CRITERIOS!$M$86)+(_xlfn.XLOOKUP(A689,'[1]DATOS PBI Artículos'!$A$4:$A$4,'[1]DATOS PBI Artículos'!$AA$4:$AA$4)*([1]CRITERIOS!$M$95+[1]CRITERIOS!$M$98)))/N689)</f>
        <v>#N/A</v>
      </c>
      <c r="AD689" s="33" t="e">
        <f>IF(N689=0,"",(ROUNDUP((N689/2)/(_xlfn.XLOOKUP(A689,'[1]DATOS PBI Artículos'!$A$4:$A$4,'[1]DATOS PBI Artículos'!$Z$4:$Z$4)*_xlfn.XLOOKUP(_xlfn.XLOOKUP(A689,'[1]DATOS PBI Artículos'!$A$4:$A$4,'[1]DATOS PBI Artículos'!$Y$4:$Y$4),[1]CRITERIOS!$P$79:$P$123,[1]CRITERIOS!$S$79:$S$123)),0)*[1]CRITERIOS!$M$80*([1]CRITERIOS!$M$89*[1]CRITERIOS!$M$92)+((_xlfn.XLOOKUP(A689,'[1]DATOS PBI Artículos'!$A$4:$A$4,'[1]DATOS PBI Artículos'!$AA$4:$AA$4)/2)*([1]CRITERIOS!$M$95+[1]CRITERIOS!$M$98)))/N689)</f>
        <v>#N/A</v>
      </c>
      <c r="AE689" s="39" t="e">
        <f>IF($R689="MTO","",
IF($H689=0,ROUNDUP(((_xlfn.XLOOKUP($A689,'[1]DATOS PBI Artículos'!$A:$A,'[1]DATOS PBI Artículos'!$AL:$AL))/(_xlfn.XLOOKUP($AF$1,[1]CRITERIOS!$S$16:$S$39,[1]CRITERIOS!$Y$16:$Y$39))*$J689+$Z689)/$G689,0)*$G689,
((_xlfn.XLOOKUP($A689,'[1]DATOS PBI Artículos'!$A:$A,'[1]DATOS PBI Artículos'!$AL:$AL))/(_xlfn.XLOOKUP($AF$1,[1]CRITERIOS!$S$16:$S$39,[1]CRITERIOS!$Y$16:$Y$39))*$J689+$Z689)))</f>
        <v>#N/A</v>
      </c>
      <c r="AG689" s="39" t="e">
        <f>IF($R689="MTO","",
IF($H689=0,ROUNDUP(((_xlfn.XLOOKUP($A689,'[1]DATOS PBI Artículos'!$A:$A,'[1]DATOS PBI Artículos'!$AM:$AM))/(_xlfn.XLOOKUP($AH$1,[1]CRITERIOS!$S$16:$S$39,[1]CRITERIOS!$Y$16:$Y$39))*$J689+$Z689)/$G689,0)*$G689,
((_xlfn.XLOOKUP($A689,'[1]DATOS PBI Artículos'!$A:$A,'[1]DATOS PBI Artículos'!$AM:$AM))/(_xlfn.XLOOKUP($AH$1,[1]CRITERIOS!$S$16:$S$39,[1]CRITERIOS!$Y$16:$Y$39))*$J689+$Z689)))</f>
        <v>#N/A</v>
      </c>
      <c r="AI689" s="39" t="e">
        <f>IF($R689="MTO","",
IF($H689=0,ROUNDUP(((_xlfn.XLOOKUP($A689,'[1]DATOS PBI Artículos'!$A:$A,'[1]DATOS PBI Artículos'!$AN:$AN))/(_xlfn.XLOOKUP($AJ$1,[1]CRITERIOS!$S$16:$S$39,[1]CRITERIOS!$Y$16:$Y$39))*$J689+$Z689)/$G689,0)*$G689,
((_xlfn.XLOOKUP($A689,'[1]DATOS PBI Artículos'!$A:$A,'[1]DATOS PBI Artículos'!$AN:$AN))/(_xlfn.XLOOKUP($AJ$1,[1]CRITERIOS!$S$16:$S$39,[1]CRITERIOS!$Y$16:$Y$39))*$J689+$Z689)))</f>
        <v>#N/A</v>
      </c>
      <c r="AK689" s="39" t="e">
        <f>IF($R689="MTO","",
IF($H689=0,ROUNDUP(((_xlfn.XLOOKUP($A689,'[1]DATOS PBI Artículos'!$A:$A,'[1]DATOS PBI Artículos'!$AO:$AO))/(_xlfn.XLOOKUP($AL$1,[1]CRITERIOS!$S$16:$S$39,[1]CRITERIOS!$Y$16:$Y$39))*$J689+$Z689)/$G689,0)*$G689,
((_xlfn.XLOOKUP($A689,'[1]DATOS PBI Artículos'!$A:$A,'[1]DATOS PBI Artículos'!$AO:$AO))/(_xlfn.XLOOKUP($AL$1,[1]CRITERIOS!$S$16:$S$39,[1]CRITERIOS!$Y$16:$Y$39))*$J689+$Z689)))</f>
        <v>#N/A</v>
      </c>
    </row>
    <row r="690" spans="1:37" ht="25.8" hidden="1" x14ac:dyDescent="0.4">
      <c r="A690" s="41"/>
      <c r="B690" s="33">
        <f>_xlfn.XLOOKUP($A690,'[1]DATOS PBI Artículos'!A:A,'[1]DATOS PBI Artículos'!B:B)</f>
        <v>0</v>
      </c>
      <c r="C690" s="33">
        <f>_xlfn.XLOOKUP($A690,'[1]DATOS PBI Artículos'!A:A,'[1]DATOS PBI Artículos'!C:C)</f>
        <v>0</v>
      </c>
      <c r="D690" s="33">
        <f>_xlfn.XLOOKUP(A690,'[1]DATOS PBI Artículos'!A:A,'[1]DATOS PBI Artículos'!T:T)</f>
        <v>0</v>
      </c>
      <c r="E690" s="34">
        <f>IF(_xlfn.XLOOKUP($A690,'[1]DATOS PBI Artículos'!A:A,'[1]DATOS PBI Artículos'!AK:AK)="",_xlfn.XLOOKUP($A690,'[1]DATOS PBI Artículos'!A:A,'[1]DATOS PBI Artículos'!AJ:AJ),_xlfn.XLOOKUP($A690,'[1]DATOS PBI Artículos'!A:A,'[1]DATOS PBI Artículos'!AK:AK))</f>
        <v>0</v>
      </c>
      <c r="F690" s="35">
        <f>_xlfn.XLOOKUP($A690,'[1]DATOS PBI Artículos'!A:A,'[1]DATOS PBI Artículos'!AP:AP)</f>
        <v>0</v>
      </c>
      <c r="G690" s="34">
        <f>_xlfn.XLOOKUP($A690,'[1]DATOS PBI Artículos'!A:A,'[1]DATOS PBI Artículos'!AR:AR)</f>
        <v>0</v>
      </c>
      <c r="H690" s="34">
        <f>_xlfn.XLOOKUP($A690,'[1]DATOS PBI Artículos'!A:A,'[1]DATOS PBI Artículos'!AT:AT)</f>
        <v>0</v>
      </c>
      <c r="I690" s="34">
        <f>_xlfn.XLOOKUP($A690,'[1]DATOS PBI Artículos'!A:A,'[1]DATOS PBI Artículos'!AS:AS)</f>
        <v>0</v>
      </c>
      <c r="J690" s="35">
        <f>IF(COUNTIF([1]CRITERIOS!$F$179:$F$199,$A690)&gt;=1,
 IF(O690&lt;&gt;"",
    (O690/_xlfn.XLOOKUP(CONCATENATE(A690,L690),[1]MÁQUINAS!A:A,[1]MÁQUINAS!D:D))/24,
    (N690/_xlfn.XLOOKUP(CONCATENATE(A690,L690),[1]MÁQUINAS!A:A,[1]MÁQUINAS!D:D))/24),
  _xlfn.XLOOKUP($A690,'[1]DATOS PBI Artículos'!A:A,'[1]DATOS PBI Artículos'!AU:AU))</f>
        <v>0</v>
      </c>
      <c r="K690" s="36">
        <f>_xlfn.XLOOKUP($A690,'[1]DATOS PBI Artículos'!A:A,'[1]DATOS PBI Artículos'!AV:AV)</f>
        <v>0</v>
      </c>
      <c r="L690" s="33">
        <f>_xlfn.XLOOKUP(A690,[1]MÁQUINAS!B:B,[1]MÁQUINAS!C:C)</f>
        <v>0</v>
      </c>
      <c r="M690" s="34">
        <f t="array" ref="M690">_xlfn.XLOOKUP(A690,'[1]DATOS PBI Artículos'!A:A,'[1]DATOS PBI Artículos'!AX:$AX)</f>
        <v>0</v>
      </c>
      <c r="N690" s="37" t="e">
        <f>IF(I690="DV",
E690,
IF(COUNTIF([1]CRITERIOS!$I$179:$I$199,$A690)&gt;=1,
_xlfn.XLOOKUP($A690,[1]CRITERIOS!$I$179:$I$199,[1]CRITERIOS!$J$179:$J$199),
IF(COUNTIF([1]CRITERIOS!$L$179:$L$199,$A690)&gt;=1,
_xlfn.CEILING.MATH(IF($M690&gt;$E690,
$E690,
IF($M690&lt;$E690/ROUNDDOWN([1]CRITERIOS!$M$16/_xlfn.XLOOKUP($C690,[1]CRITERIOS!$K$25:$K$42,[1]CRITERIOS!$M$25:$M$42),
1),
E690/ROUNDDOWN([1]CRITERIOS!$M$16/_xlfn.XLOOKUP($C690,[1]CRITERIOS!$K$25:$K$42,[1]CRITERIOS!$M$25:$M$42),
1),
$M690)),
_xlfn.XLOOKUP($A690,[1]CRITERIOS!$L$179:$L$200,[1]CRITERIOS!$M$179:$M$200)),
_xlfn.CEILING.MATH(IF($M690&gt;$E690,
$E690,
IF($M690&lt;$E690/ROUNDDOWN([1]CRITERIOS!$M$16/_xlfn.XLOOKUP($C690,[1]CRITERIOS!$K$25:$K$42,[1]CRITERIOS!$M$25:$M$42),
1),
E690/ROUNDDOWN([1]CRITERIOS!$M$16/_xlfn.XLOOKUP($C690,[1]CRITERIOS!$K$25:$K$42,[1]CRITERIOS!$M$25:$M$42),
1),
$M690)),_xlfn.XLOOKUP(A690,'[1]DATOS PBI Artículos'!A:A,'[1]DATOS PBI Artículos'!Z:Z
)))))</f>
        <v>#N/A</v>
      </c>
      <c r="Q690" s="38" t="e">
        <f>IF(AND(O690="",N690=0),
0,
   IF(COUNTIF([1]CRITERIOS!$F$179:$F$199,$A690)&gt;=1,
   1,
   IF(R690="MTO",
      $D690,
      ROUNDUP(
                    IF(($E690-SUMIF('[1]DATOS PBI Artículos'!A:A,A690,'[1]DATOS PBI Artículos'!X:X)+($V690-_xlfn.XLOOKUP(A690,'[1]DATOS PBI Artículos'!A:A,'[1]DATOS PBI Artículos'!W:W)))&lt;0,
                    0,
                    IF(($E690-SUMIF('[1]DATOS PBI Artículos'!A:A,A690,'[1]DATOS PBI Artículos'!X:X)+$V690-_xlfn.XLOOKUP($A690,'[1]DATOS PBI Artículos'!A:A,'[1]DATOS PBI Artículos'!W:W))/IF($O690="",$N690,$O690)&gt;ROUNDUP([1]CRITERIOS!$M$16/(IF(COUNTIF([1]CRITERIOS!$BG$11:$BG$201,L690)&gt;=1,_xlfn.XLOOKUP($C690,[1]CRITERIOS!$K$25:$K$42,[1]CRITERIOS!$M$25:$M$42),_xlfn.XLOOKUP($C690,[1]CRITERIOS!$K$25:$K$42,[1]CRITERIOS!$M$25:$M$42))),0),
                    ROUNDUP([1]CRITERIOS!$M$16/(IF(COUNTIF([1]CRITERIOS!$BG$11:$BG$201,$L690)&gt;=1,_xlfn.XLOOKUP($C690,[1]CRITERIOS!$K$25:$K$42,[1]CRITERIOS!$M$25:$M$42),_xlfn.XLOOKUP($C690,[1]CRITERIOS!$K$25:$K$42,[1]CRITERIOS!$M$25:$M$42))),0),
                    (E690+V690-SUMIF('[1]DATOS PBI Artículos'!A:A,A690,'[1]DATOS PBI Artículos'!X:X)-_xlfn.XLOOKUP(A690,'[1]DATOS PBI Artículos'!A:A,'[1]DATOS PBI Artículos'!W:W))/IF($O690="",$N690,$O690))),0))))</f>
        <v>#N/A</v>
      </c>
      <c r="R690" s="33" t="e">
        <f>IF(U690&lt;&gt;"",U690,IF(F690="DV","MTO",IF(N690=0,"MTO",_xlfn.XLOOKUP(CONCATENATE(S690,T690),[1]CRITERIOS!$K$160:$K$168,[1]CRITERIOS!$N$160:$N$168))))</f>
        <v>#N/A</v>
      </c>
      <c r="S690" s="33" t="e">
        <f>IF(G690="DV","MTO",IF(N690=0,"MTO",IF(OR(AND(N690=0,O690=""),IF(O690="",G690/N690,G690/O690)&gt;[1]CRITERIOS!$G$163),"MTO",IF(IF(O690="",G690/N690,G690/O690)&lt;[1]CRITERIOS!$H$161,"MTS","MTOS"))))</f>
        <v>#N/A</v>
      </c>
      <c r="T690" s="33" t="e">
        <f>IF(F690="DV","MTO",IF(OR(AND($N690=0,O690=""),$F690/$J690&gt;[1]CRITERIOS!$G$170,$F690="DV"),"MTO",IF($F690/$J690&lt;[1]CRITERIOS!$H$168,"MTS","MTOS")))</f>
        <v>#N/A</v>
      </c>
      <c r="V690" s="34" t="e">
        <f t="shared" si="34"/>
        <v>#N/A</v>
      </c>
      <c r="X690" s="34" t="e">
        <f t="shared" si="32"/>
        <v>#N/A</v>
      </c>
      <c r="Y690" s="34" t="e">
        <f t="shared" si="33"/>
        <v>#N/A</v>
      </c>
      <c r="Z690" s="34" t="e">
        <f>IF($R690="MTO",
0,
($H690+$K690*($E690/[1]CRITERIOS!$M$16))/[1]CRITERIOS!$X$48)</f>
        <v>#N/A</v>
      </c>
      <c r="AA690" s="34" t="e">
        <f>ROUNDUP(($Y690/_xlfn.XLOOKUP($A690,'[1]DATOS PBI Artículos'!$A$4:$A$4,'[1]DATOS PBI Artículos'!$Z$4:$Z$4))/_xlfn.XLOOKUP(_xlfn.XLOOKUP($A690,'[1]DATOS PBI Artículos'!$A$4:$A$4,'[1]DATOS PBI Artículos'!$Y$4:$Y$4),[1]CRITERIOS!$P$79:$P$123,[1]CRITERIOS!$S$79:$S$123,),0)</f>
        <v>#N/A</v>
      </c>
      <c r="AB690" s="33" t="e">
        <f t="array" ref="AB690">IF((E690+V690-_xlfn.XLOOKUP(A690,'[1]DATOS PBI Artículos'!$A$4:$A$4,'[1]DATOS PBI Artículos'!$W$4:$W$4))/N690&gt;ROUNDUP([1]CRITERIOS!$M$16/(IF(COUNTIF([1]CRITERIOS!$BG$11:$BG$201,L690)&gt;=1,_xlfn.XLOOKUP(ARTÍCULOS!L690,[1]CRITERIOS!$BG$11:$BG$201,[1]CRITERIOS!$BJ$11:$BJ$201),_xlfn.XLOOKUP(ARTÍCULOS!C690,[1]CRITERIOS!$K$25:$K$42,[1]CRITERIOS!$M$25:$M$42))),0),ROUNDUP([1]CRITERIOS!$M$16/(IF(COUNTIF([1]CRITERIOS!$BG$11:$BG$201,L690)&gt;=1,_xlfn.XLOOKUP(ARTÍCULOS!L690,[1]CRITERIOS!$BG$11:$BG$201:#REF!,[1]CRITERIOS!$BJ$11:$BJ$201),_xlfn.XLOOKUP(ARTÍCULOS!C690,[1]CRITERIOS!$K$25:$K$42,[1]CRITERIOS!$M$25:$M$42))),0),(E690+V690-_xlfn.XLOOKUP(A690,'[1]DATOS PBI Artículos'!$A$4:$A$4,'[1]DATOS PBI Artículos'!$W$4:$W$4))/N690)</f>
        <v>#N/A</v>
      </c>
      <c r="AC690" s="33" t="e">
        <f>IF(N690=0,"",(ROUNDUP((N690/2)/(_xlfn.XLOOKUP(A690,'[1]DATOS PBI Artículos'!$A$4:$A$4,'[1]DATOS PBI Artículos'!$Z$4:$Z$4)*_xlfn.XLOOKUP(_xlfn.XLOOKUP(A690,'[1]DATOS PBI Artículos'!$A$4:$A$4,'[1]DATOS PBI Artículos'!$Y$4:$Y$4),[1]CRITERIOS!$P$79:$P$123,[1]CRITERIOS!$S$79:$S$123)),0)*[1]CRITERIOS!$M$80*([1]CRITERIOS!$M$110/[1]CRITERIOS!$M$86)+(_xlfn.XLOOKUP(A690,'[1]DATOS PBI Artículos'!$A$4:$A$4,'[1]DATOS PBI Artículos'!$AA$4:$AA$4)*([1]CRITERIOS!$M$95+[1]CRITERIOS!$M$98)))/N690)</f>
        <v>#N/A</v>
      </c>
      <c r="AD690" s="33" t="e">
        <f>IF(N690=0,"",(ROUNDUP((N690/2)/(_xlfn.XLOOKUP(A690,'[1]DATOS PBI Artículos'!$A$4:$A$4,'[1]DATOS PBI Artículos'!$Z$4:$Z$4)*_xlfn.XLOOKUP(_xlfn.XLOOKUP(A690,'[1]DATOS PBI Artículos'!$A$4:$A$4,'[1]DATOS PBI Artículos'!$Y$4:$Y$4),[1]CRITERIOS!$P$79:$P$123,[1]CRITERIOS!$S$79:$S$123)),0)*[1]CRITERIOS!$M$80*([1]CRITERIOS!$M$89*[1]CRITERIOS!$M$92)+((_xlfn.XLOOKUP(A690,'[1]DATOS PBI Artículos'!$A$4:$A$4,'[1]DATOS PBI Artículos'!$AA$4:$AA$4)/2)*([1]CRITERIOS!$M$95+[1]CRITERIOS!$M$98)))/N690)</f>
        <v>#N/A</v>
      </c>
      <c r="AE690" s="39" t="e">
        <f>IF($R690="MTO","",
IF($H690=0,ROUNDUP(((_xlfn.XLOOKUP($A690,'[1]DATOS PBI Artículos'!$A:$A,'[1]DATOS PBI Artículos'!$AL:$AL))/(_xlfn.XLOOKUP($AF$1,[1]CRITERIOS!$S$16:$S$39,[1]CRITERIOS!$Y$16:$Y$39))*$J690+$Z690)/$G690,0)*$G690,
((_xlfn.XLOOKUP($A690,'[1]DATOS PBI Artículos'!$A:$A,'[1]DATOS PBI Artículos'!$AL:$AL))/(_xlfn.XLOOKUP($AF$1,[1]CRITERIOS!$S$16:$S$39,[1]CRITERIOS!$Y$16:$Y$39))*$J690+$Z690)))</f>
        <v>#N/A</v>
      </c>
      <c r="AG690" s="39" t="e">
        <f>IF($R690="MTO","",
IF($H690=0,ROUNDUP(((_xlfn.XLOOKUP($A690,'[1]DATOS PBI Artículos'!$A:$A,'[1]DATOS PBI Artículos'!$AM:$AM))/(_xlfn.XLOOKUP($AH$1,[1]CRITERIOS!$S$16:$S$39,[1]CRITERIOS!$Y$16:$Y$39))*$J690+$Z690)/$G690,0)*$G690,
((_xlfn.XLOOKUP($A690,'[1]DATOS PBI Artículos'!$A:$A,'[1]DATOS PBI Artículos'!$AM:$AM))/(_xlfn.XLOOKUP($AH$1,[1]CRITERIOS!$S$16:$S$39,[1]CRITERIOS!$Y$16:$Y$39))*$J690+$Z690)))</f>
        <v>#N/A</v>
      </c>
      <c r="AI690" s="39" t="e">
        <f>IF($R690="MTO","",
IF($H690=0,ROUNDUP(((_xlfn.XLOOKUP($A690,'[1]DATOS PBI Artículos'!$A:$A,'[1]DATOS PBI Artículos'!$AN:$AN))/(_xlfn.XLOOKUP($AJ$1,[1]CRITERIOS!$S$16:$S$39,[1]CRITERIOS!$Y$16:$Y$39))*$J690+$Z690)/$G690,0)*$G690,
((_xlfn.XLOOKUP($A690,'[1]DATOS PBI Artículos'!$A:$A,'[1]DATOS PBI Artículos'!$AN:$AN))/(_xlfn.XLOOKUP($AJ$1,[1]CRITERIOS!$S$16:$S$39,[1]CRITERIOS!$Y$16:$Y$39))*$J690+$Z690)))</f>
        <v>#N/A</v>
      </c>
      <c r="AK690" s="39" t="e">
        <f>IF($R690="MTO","",
IF($H690=0,ROUNDUP(((_xlfn.XLOOKUP($A690,'[1]DATOS PBI Artículos'!$A:$A,'[1]DATOS PBI Artículos'!$AO:$AO))/(_xlfn.XLOOKUP($AL$1,[1]CRITERIOS!$S$16:$S$39,[1]CRITERIOS!$Y$16:$Y$39))*$J690+$Z690)/$G690,0)*$G690,
((_xlfn.XLOOKUP($A690,'[1]DATOS PBI Artículos'!$A:$A,'[1]DATOS PBI Artículos'!$AO:$AO))/(_xlfn.XLOOKUP($AL$1,[1]CRITERIOS!$S$16:$S$39,[1]CRITERIOS!$Y$16:$Y$39))*$J690+$Z690)))</f>
        <v>#N/A</v>
      </c>
    </row>
    <row r="691" spans="1:37" ht="25.8" hidden="1" x14ac:dyDescent="0.4">
      <c r="A691" s="41"/>
      <c r="B691" s="33">
        <f>_xlfn.XLOOKUP($A691,'[1]DATOS PBI Artículos'!A:A,'[1]DATOS PBI Artículos'!B:B)</f>
        <v>0</v>
      </c>
      <c r="C691" s="33">
        <f>_xlfn.XLOOKUP($A691,'[1]DATOS PBI Artículos'!A:A,'[1]DATOS PBI Artículos'!C:C)</f>
        <v>0</v>
      </c>
      <c r="D691" s="33">
        <f>_xlfn.XLOOKUP(A691,'[1]DATOS PBI Artículos'!A:A,'[1]DATOS PBI Artículos'!T:T)</f>
        <v>0</v>
      </c>
      <c r="E691" s="34">
        <f>IF(_xlfn.XLOOKUP($A691,'[1]DATOS PBI Artículos'!A:A,'[1]DATOS PBI Artículos'!AK:AK)="",_xlfn.XLOOKUP($A691,'[1]DATOS PBI Artículos'!A:A,'[1]DATOS PBI Artículos'!AJ:AJ),_xlfn.XLOOKUP($A691,'[1]DATOS PBI Artículos'!A:A,'[1]DATOS PBI Artículos'!AK:AK))</f>
        <v>0</v>
      </c>
      <c r="F691" s="35">
        <f>_xlfn.XLOOKUP($A691,'[1]DATOS PBI Artículos'!A:A,'[1]DATOS PBI Artículos'!AP:AP)</f>
        <v>0</v>
      </c>
      <c r="G691" s="34">
        <f>_xlfn.XLOOKUP($A691,'[1]DATOS PBI Artículos'!A:A,'[1]DATOS PBI Artículos'!AR:AR)</f>
        <v>0</v>
      </c>
      <c r="H691" s="34">
        <f>_xlfn.XLOOKUP($A691,'[1]DATOS PBI Artículos'!A:A,'[1]DATOS PBI Artículos'!AT:AT)</f>
        <v>0</v>
      </c>
      <c r="I691" s="34">
        <f>_xlfn.XLOOKUP($A691,'[1]DATOS PBI Artículos'!A:A,'[1]DATOS PBI Artículos'!AS:AS)</f>
        <v>0</v>
      </c>
      <c r="J691" s="35">
        <f>IF(COUNTIF([1]CRITERIOS!$F$179:$F$199,$A691)&gt;=1,
 IF(O691&lt;&gt;"",
    (O691/_xlfn.XLOOKUP(CONCATENATE(A691,L691),[1]MÁQUINAS!A:A,[1]MÁQUINAS!D:D))/24,
    (N691/_xlfn.XLOOKUP(CONCATENATE(A691,L691),[1]MÁQUINAS!A:A,[1]MÁQUINAS!D:D))/24),
  _xlfn.XLOOKUP($A691,'[1]DATOS PBI Artículos'!A:A,'[1]DATOS PBI Artículos'!AU:AU))</f>
        <v>0</v>
      </c>
      <c r="K691" s="36">
        <f>_xlfn.XLOOKUP($A691,'[1]DATOS PBI Artículos'!A:A,'[1]DATOS PBI Artículos'!AV:AV)</f>
        <v>0</v>
      </c>
      <c r="L691" s="33">
        <f>_xlfn.XLOOKUP(A691,[1]MÁQUINAS!B:B,[1]MÁQUINAS!C:C)</f>
        <v>0</v>
      </c>
      <c r="M691" s="34">
        <f t="array" ref="M691">_xlfn.XLOOKUP(A691,'[1]DATOS PBI Artículos'!A:A,'[1]DATOS PBI Artículos'!AX:$AX)</f>
        <v>0</v>
      </c>
      <c r="N691" s="37" t="e">
        <f>IF(I691="DV",
E691,
IF(COUNTIF([1]CRITERIOS!$I$179:$I$199,$A691)&gt;=1,
_xlfn.XLOOKUP($A691,[1]CRITERIOS!$I$179:$I$199,[1]CRITERIOS!$J$179:$J$199),
IF(COUNTIF([1]CRITERIOS!$L$179:$L$199,$A691)&gt;=1,
_xlfn.CEILING.MATH(IF($M691&gt;$E691,
$E691,
IF($M691&lt;$E691/ROUNDDOWN([1]CRITERIOS!$M$16/_xlfn.XLOOKUP($C691,[1]CRITERIOS!$K$25:$K$42,[1]CRITERIOS!$M$25:$M$42),
1),
E691/ROUNDDOWN([1]CRITERIOS!$M$16/_xlfn.XLOOKUP($C691,[1]CRITERIOS!$K$25:$K$42,[1]CRITERIOS!$M$25:$M$42),
1),
$M691)),
_xlfn.XLOOKUP($A691,[1]CRITERIOS!$L$179:$L$200,[1]CRITERIOS!$M$179:$M$200)),
_xlfn.CEILING.MATH(IF($M691&gt;$E691,
$E691,
IF($M691&lt;$E691/ROUNDDOWN([1]CRITERIOS!$M$16/_xlfn.XLOOKUP($C691,[1]CRITERIOS!$K$25:$K$42,[1]CRITERIOS!$M$25:$M$42),
1),
E691/ROUNDDOWN([1]CRITERIOS!$M$16/_xlfn.XLOOKUP($C691,[1]CRITERIOS!$K$25:$K$42,[1]CRITERIOS!$M$25:$M$42),
1),
$M691)),_xlfn.XLOOKUP(A691,'[1]DATOS PBI Artículos'!A:A,'[1]DATOS PBI Artículos'!Z:Z
)))))</f>
        <v>#N/A</v>
      </c>
      <c r="Q691" s="38" t="e">
        <f>IF(AND(O691="",N691=0),
0,
   IF(COUNTIF([1]CRITERIOS!$F$179:$F$199,$A691)&gt;=1,
   1,
   IF(R691="MTO",
      $D691,
      ROUNDUP(
                    IF(($E691-SUMIF('[1]DATOS PBI Artículos'!A:A,A691,'[1]DATOS PBI Artículos'!X:X)+($V691-_xlfn.XLOOKUP(A691,'[1]DATOS PBI Artículos'!A:A,'[1]DATOS PBI Artículos'!W:W)))&lt;0,
                    0,
                    IF(($E691-SUMIF('[1]DATOS PBI Artículos'!A:A,A691,'[1]DATOS PBI Artículos'!X:X)+$V691-_xlfn.XLOOKUP($A691,'[1]DATOS PBI Artículos'!A:A,'[1]DATOS PBI Artículos'!W:W))/IF($O691="",$N691,$O691)&gt;ROUNDUP([1]CRITERIOS!$M$16/(IF(COUNTIF([1]CRITERIOS!$BG$11:$BG$201,L691)&gt;=1,_xlfn.XLOOKUP($C691,[1]CRITERIOS!$K$25:$K$42,[1]CRITERIOS!$M$25:$M$42),_xlfn.XLOOKUP($C691,[1]CRITERIOS!$K$25:$K$42,[1]CRITERIOS!$M$25:$M$42))),0),
                    ROUNDUP([1]CRITERIOS!$M$16/(IF(COUNTIF([1]CRITERIOS!$BG$11:$BG$201,$L691)&gt;=1,_xlfn.XLOOKUP($C691,[1]CRITERIOS!$K$25:$K$42,[1]CRITERIOS!$M$25:$M$42),_xlfn.XLOOKUP($C691,[1]CRITERIOS!$K$25:$K$42,[1]CRITERIOS!$M$25:$M$42))),0),
                    (E691+V691-SUMIF('[1]DATOS PBI Artículos'!A:A,A691,'[1]DATOS PBI Artículos'!X:X)-_xlfn.XLOOKUP(A691,'[1]DATOS PBI Artículos'!A:A,'[1]DATOS PBI Artículos'!W:W))/IF($O691="",$N691,$O691))),0))))</f>
        <v>#N/A</v>
      </c>
      <c r="R691" s="33" t="e">
        <f>IF(U691&lt;&gt;"",U691,IF(F691="DV","MTO",IF(N691=0,"MTO",_xlfn.XLOOKUP(CONCATENATE(S691,T691),[1]CRITERIOS!$K$160:$K$168,[1]CRITERIOS!$N$160:$N$168))))</f>
        <v>#N/A</v>
      </c>
      <c r="S691" s="33" t="e">
        <f>IF(G691="DV","MTO",IF(N691=0,"MTO",IF(OR(AND(N691=0,O691=""),IF(O691="",G691/N691,G691/O691)&gt;[1]CRITERIOS!$G$163),"MTO",IF(IF(O691="",G691/N691,G691/O691)&lt;[1]CRITERIOS!$H$161,"MTS","MTOS"))))</f>
        <v>#N/A</v>
      </c>
      <c r="T691" s="33" t="e">
        <f>IF(F691="DV","MTO",IF(OR(AND($N691=0,O691=""),$F691/$J691&gt;[1]CRITERIOS!$G$170,$F691="DV"),"MTO",IF($F691/$J691&lt;[1]CRITERIOS!$H$168,"MTS","MTOS")))</f>
        <v>#N/A</v>
      </c>
      <c r="V691" s="34" t="e">
        <f t="shared" si="34"/>
        <v>#N/A</v>
      </c>
      <c r="X691" s="34" t="e">
        <f t="shared" si="32"/>
        <v>#N/A</v>
      </c>
      <c r="Y691" s="34" t="e">
        <f t="shared" si="33"/>
        <v>#N/A</v>
      </c>
      <c r="Z691" s="34" t="e">
        <f>IF($R691="MTO",
0,
($H691+$K691*($E691/[1]CRITERIOS!$M$16))/[1]CRITERIOS!$X$48)</f>
        <v>#N/A</v>
      </c>
      <c r="AA691" s="34" t="e">
        <f>ROUNDUP(($Y691/_xlfn.XLOOKUP($A691,'[1]DATOS PBI Artículos'!$A$4:$A$4,'[1]DATOS PBI Artículos'!$Z$4:$Z$4))/_xlfn.XLOOKUP(_xlfn.XLOOKUP($A691,'[1]DATOS PBI Artículos'!$A$4:$A$4,'[1]DATOS PBI Artículos'!$Y$4:$Y$4),[1]CRITERIOS!$P$79:$P$123,[1]CRITERIOS!$S$79:$S$123,),0)</f>
        <v>#N/A</v>
      </c>
      <c r="AB691" s="33" t="e">
        <f t="array" ref="AB691">IF((E691+V691-_xlfn.XLOOKUP(A691,'[1]DATOS PBI Artículos'!$A$4:$A$4,'[1]DATOS PBI Artículos'!$W$4:$W$4))/N691&gt;ROUNDUP([1]CRITERIOS!$M$16/(IF(COUNTIF([1]CRITERIOS!$BG$11:$BG$201,L691)&gt;=1,_xlfn.XLOOKUP(ARTÍCULOS!L691,[1]CRITERIOS!$BG$11:$BG$201,[1]CRITERIOS!$BJ$11:$BJ$201),_xlfn.XLOOKUP(ARTÍCULOS!C691,[1]CRITERIOS!$K$25:$K$42,[1]CRITERIOS!$M$25:$M$42))),0),ROUNDUP([1]CRITERIOS!$M$16/(IF(COUNTIF([1]CRITERIOS!$BG$11:$BG$201,L691)&gt;=1,_xlfn.XLOOKUP(ARTÍCULOS!L691,[1]CRITERIOS!$BG$11:$BG$201:#REF!,[1]CRITERIOS!$BJ$11:$BJ$201),_xlfn.XLOOKUP(ARTÍCULOS!C691,[1]CRITERIOS!$K$25:$K$42,[1]CRITERIOS!$M$25:$M$42))),0),(E691+V691-_xlfn.XLOOKUP(A691,'[1]DATOS PBI Artículos'!$A$4:$A$4,'[1]DATOS PBI Artículos'!$W$4:$W$4))/N691)</f>
        <v>#N/A</v>
      </c>
      <c r="AC691" s="33" t="e">
        <f>IF(N691=0,"",(ROUNDUP((N691/2)/(_xlfn.XLOOKUP(A691,'[1]DATOS PBI Artículos'!$A$4:$A$4,'[1]DATOS PBI Artículos'!$Z$4:$Z$4)*_xlfn.XLOOKUP(_xlfn.XLOOKUP(A691,'[1]DATOS PBI Artículos'!$A$4:$A$4,'[1]DATOS PBI Artículos'!$Y$4:$Y$4),[1]CRITERIOS!$P$79:$P$123,[1]CRITERIOS!$S$79:$S$123)),0)*[1]CRITERIOS!$M$80*([1]CRITERIOS!$M$110/[1]CRITERIOS!$M$86)+(_xlfn.XLOOKUP(A691,'[1]DATOS PBI Artículos'!$A$4:$A$4,'[1]DATOS PBI Artículos'!$AA$4:$AA$4)*([1]CRITERIOS!$M$95+[1]CRITERIOS!$M$98)))/N691)</f>
        <v>#N/A</v>
      </c>
      <c r="AD691" s="33" t="e">
        <f>IF(N691=0,"",(ROUNDUP((N691/2)/(_xlfn.XLOOKUP(A691,'[1]DATOS PBI Artículos'!$A$4:$A$4,'[1]DATOS PBI Artículos'!$Z$4:$Z$4)*_xlfn.XLOOKUP(_xlfn.XLOOKUP(A691,'[1]DATOS PBI Artículos'!$A$4:$A$4,'[1]DATOS PBI Artículos'!$Y$4:$Y$4),[1]CRITERIOS!$P$79:$P$123,[1]CRITERIOS!$S$79:$S$123)),0)*[1]CRITERIOS!$M$80*([1]CRITERIOS!$M$89*[1]CRITERIOS!$M$92)+((_xlfn.XLOOKUP(A691,'[1]DATOS PBI Artículos'!$A$4:$A$4,'[1]DATOS PBI Artículos'!$AA$4:$AA$4)/2)*([1]CRITERIOS!$M$95+[1]CRITERIOS!$M$98)))/N691)</f>
        <v>#N/A</v>
      </c>
      <c r="AE691" s="39" t="e">
        <f>IF($R691="MTO","",
IF($H691=0,ROUNDUP(((_xlfn.XLOOKUP($A691,'[1]DATOS PBI Artículos'!$A:$A,'[1]DATOS PBI Artículos'!$AL:$AL))/(_xlfn.XLOOKUP($AF$1,[1]CRITERIOS!$S$16:$S$39,[1]CRITERIOS!$Y$16:$Y$39))*$J691+$Z691)/$G691,0)*$G691,
((_xlfn.XLOOKUP($A691,'[1]DATOS PBI Artículos'!$A:$A,'[1]DATOS PBI Artículos'!$AL:$AL))/(_xlfn.XLOOKUP($AF$1,[1]CRITERIOS!$S$16:$S$39,[1]CRITERIOS!$Y$16:$Y$39))*$J691+$Z691)))</f>
        <v>#N/A</v>
      </c>
      <c r="AG691" s="39" t="e">
        <f>IF($R691="MTO","",
IF($H691=0,ROUNDUP(((_xlfn.XLOOKUP($A691,'[1]DATOS PBI Artículos'!$A:$A,'[1]DATOS PBI Artículos'!$AM:$AM))/(_xlfn.XLOOKUP($AH$1,[1]CRITERIOS!$S$16:$S$39,[1]CRITERIOS!$Y$16:$Y$39))*$J691+$Z691)/$G691,0)*$G691,
((_xlfn.XLOOKUP($A691,'[1]DATOS PBI Artículos'!$A:$A,'[1]DATOS PBI Artículos'!$AM:$AM))/(_xlfn.XLOOKUP($AH$1,[1]CRITERIOS!$S$16:$S$39,[1]CRITERIOS!$Y$16:$Y$39))*$J691+$Z691)))</f>
        <v>#N/A</v>
      </c>
      <c r="AI691" s="39" t="e">
        <f>IF($R691="MTO","",
IF($H691=0,ROUNDUP(((_xlfn.XLOOKUP($A691,'[1]DATOS PBI Artículos'!$A:$A,'[1]DATOS PBI Artículos'!$AN:$AN))/(_xlfn.XLOOKUP($AJ$1,[1]CRITERIOS!$S$16:$S$39,[1]CRITERIOS!$Y$16:$Y$39))*$J691+$Z691)/$G691,0)*$G691,
((_xlfn.XLOOKUP($A691,'[1]DATOS PBI Artículos'!$A:$A,'[1]DATOS PBI Artículos'!$AN:$AN))/(_xlfn.XLOOKUP($AJ$1,[1]CRITERIOS!$S$16:$S$39,[1]CRITERIOS!$Y$16:$Y$39))*$J691+$Z691)))</f>
        <v>#N/A</v>
      </c>
      <c r="AK691" s="39" t="e">
        <f>IF($R691="MTO","",
IF($H691=0,ROUNDUP(((_xlfn.XLOOKUP($A691,'[1]DATOS PBI Artículos'!$A:$A,'[1]DATOS PBI Artículos'!$AO:$AO))/(_xlfn.XLOOKUP($AL$1,[1]CRITERIOS!$S$16:$S$39,[1]CRITERIOS!$Y$16:$Y$39))*$J691+$Z691)/$G691,0)*$G691,
((_xlfn.XLOOKUP($A691,'[1]DATOS PBI Artículos'!$A:$A,'[1]DATOS PBI Artículos'!$AO:$AO))/(_xlfn.XLOOKUP($AL$1,[1]CRITERIOS!$S$16:$S$39,[1]CRITERIOS!$Y$16:$Y$39))*$J691+$Z691)))</f>
        <v>#N/A</v>
      </c>
    </row>
    <row r="692" spans="1:37" ht="25.8" hidden="1" x14ac:dyDescent="0.4">
      <c r="A692" s="41"/>
      <c r="B692" s="33">
        <f>_xlfn.XLOOKUP($A692,'[1]DATOS PBI Artículos'!A:A,'[1]DATOS PBI Artículos'!B:B)</f>
        <v>0</v>
      </c>
      <c r="C692" s="33">
        <f>_xlfn.XLOOKUP($A692,'[1]DATOS PBI Artículos'!A:A,'[1]DATOS PBI Artículos'!C:C)</f>
        <v>0</v>
      </c>
      <c r="D692" s="33">
        <f>_xlfn.XLOOKUP(A692,'[1]DATOS PBI Artículos'!A:A,'[1]DATOS PBI Artículos'!T:T)</f>
        <v>0</v>
      </c>
      <c r="E692" s="34">
        <f>IF(_xlfn.XLOOKUP($A692,'[1]DATOS PBI Artículos'!A:A,'[1]DATOS PBI Artículos'!AK:AK)="",_xlfn.XLOOKUP($A692,'[1]DATOS PBI Artículos'!A:A,'[1]DATOS PBI Artículos'!AJ:AJ),_xlfn.XLOOKUP($A692,'[1]DATOS PBI Artículos'!A:A,'[1]DATOS PBI Artículos'!AK:AK))</f>
        <v>0</v>
      </c>
      <c r="F692" s="35">
        <f>_xlfn.XLOOKUP($A692,'[1]DATOS PBI Artículos'!A:A,'[1]DATOS PBI Artículos'!AP:AP)</f>
        <v>0</v>
      </c>
      <c r="G692" s="34">
        <f>_xlfn.XLOOKUP($A692,'[1]DATOS PBI Artículos'!A:A,'[1]DATOS PBI Artículos'!AR:AR)</f>
        <v>0</v>
      </c>
      <c r="H692" s="34">
        <f>_xlfn.XLOOKUP($A692,'[1]DATOS PBI Artículos'!A:A,'[1]DATOS PBI Artículos'!AT:AT)</f>
        <v>0</v>
      </c>
      <c r="I692" s="34">
        <f>_xlfn.XLOOKUP($A692,'[1]DATOS PBI Artículos'!A:A,'[1]DATOS PBI Artículos'!AS:AS)</f>
        <v>0</v>
      </c>
      <c r="J692" s="35">
        <f>IF(COUNTIF([1]CRITERIOS!$F$179:$F$199,$A692)&gt;=1,
 IF(O692&lt;&gt;"",
    (O692/_xlfn.XLOOKUP(CONCATENATE(A692,L692),[1]MÁQUINAS!A:A,[1]MÁQUINAS!D:D))/24,
    (N692/_xlfn.XLOOKUP(CONCATENATE(A692,L692),[1]MÁQUINAS!A:A,[1]MÁQUINAS!D:D))/24),
  _xlfn.XLOOKUP($A692,'[1]DATOS PBI Artículos'!A:A,'[1]DATOS PBI Artículos'!AU:AU))</f>
        <v>0</v>
      </c>
      <c r="K692" s="36">
        <f>_xlfn.XLOOKUP($A692,'[1]DATOS PBI Artículos'!A:A,'[1]DATOS PBI Artículos'!AV:AV)</f>
        <v>0</v>
      </c>
      <c r="L692" s="33">
        <f>_xlfn.XLOOKUP(A692,[1]MÁQUINAS!B:B,[1]MÁQUINAS!C:C)</f>
        <v>0</v>
      </c>
      <c r="M692" s="34">
        <f t="array" ref="M692">_xlfn.XLOOKUP(A692,'[1]DATOS PBI Artículos'!A:A,'[1]DATOS PBI Artículos'!AX:$AX)</f>
        <v>0</v>
      </c>
      <c r="N692" s="37" t="e">
        <f>IF(I692="DV",
E692,
IF(COUNTIF([1]CRITERIOS!$I$179:$I$199,$A692)&gt;=1,
_xlfn.XLOOKUP($A692,[1]CRITERIOS!$I$179:$I$199,[1]CRITERIOS!$J$179:$J$199),
IF(COUNTIF([1]CRITERIOS!$L$179:$L$199,$A692)&gt;=1,
_xlfn.CEILING.MATH(IF($M692&gt;$E692,
$E692,
IF($M692&lt;$E692/ROUNDDOWN([1]CRITERIOS!$M$16/_xlfn.XLOOKUP($C692,[1]CRITERIOS!$K$25:$K$42,[1]CRITERIOS!$M$25:$M$42),
1),
E692/ROUNDDOWN([1]CRITERIOS!$M$16/_xlfn.XLOOKUP($C692,[1]CRITERIOS!$K$25:$K$42,[1]CRITERIOS!$M$25:$M$42),
1),
$M692)),
_xlfn.XLOOKUP($A692,[1]CRITERIOS!$L$179:$L$200,[1]CRITERIOS!$M$179:$M$200)),
_xlfn.CEILING.MATH(IF($M692&gt;$E692,
$E692,
IF($M692&lt;$E692/ROUNDDOWN([1]CRITERIOS!$M$16/_xlfn.XLOOKUP($C692,[1]CRITERIOS!$K$25:$K$42,[1]CRITERIOS!$M$25:$M$42),
1),
E692/ROUNDDOWN([1]CRITERIOS!$M$16/_xlfn.XLOOKUP($C692,[1]CRITERIOS!$K$25:$K$42,[1]CRITERIOS!$M$25:$M$42),
1),
$M692)),_xlfn.XLOOKUP(A692,'[1]DATOS PBI Artículos'!A:A,'[1]DATOS PBI Artículos'!Z:Z
)))))</f>
        <v>#N/A</v>
      </c>
      <c r="Q692" s="38" t="e">
        <f>IF(AND(O692="",N692=0),
0,
   IF(COUNTIF([1]CRITERIOS!$F$179:$F$199,$A692)&gt;=1,
   1,
   IF(R692="MTO",
      $D692,
      ROUNDUP(
                    IF(($E692-SUMIF('[1]DATOS PBI Artículos'!A:A,A692,'[1]DATOS PBI Artículos'!X:X)+($V692-_xlfn.XLOOKUP(A692,'[1]DATOS PBI Artículos'!A:A,'[1]DATOS PBI Artículos'!W:W)))&lt;0,
                    0,
                    IF(($E692-SUMIF('[1]DATOS PBI Artículos'!A:A,A692,'[1]DATOS PBI Artículos'!X:X)+$V692-_xlfn.XLOOKUP($A692,'[1]DATOS PBI Artículos'!A:A,'[1]DATOS PBI Artículos'!W:W))/IF($O692="",$N692,$O692)&gt;ROUNDUP([1]CRITERIOS!$M$16/(IF(COUNTIF([1]CRITERIOS!$BG$11:$BG$201,L692)&gt;=1,_xlfn.XLOOKUP($C692,[1]CRITERIOS!$K$25:$K$42,[1]CRITERIOS!$M$25:$M$42),_xlfn.XLOOKUP($C692,[1]CRITERIOS!$K$25:$K$42,[1]CRITERIOS!$M$25:$M$42))),0),
                    ROUNDUP([1]CRITERIOS!$M$16/(IF(COUNTIF([1]CRITERIOS!$BG$11:$BG$201,$L692)&gt;=1,_xlfn.XLOOKUP($C692,[1]CRITERIOS!$K$25:$K$42,[1]CRITERIOS!$M$25:$M$42),_xlfn.XLOOKUP($C692,[1]CRITERIOS!$K$25:$K$42,[1]CRITERIOS!$M$25:$M$42))),0),
                    (E692+V692-SUMIF('[1]DATOS PBI Artículos'!A:A,A692,'[1]DATOS PBI Artículos'!X:X)-_xlfn.XLOOKUP(A692,'[1]DATOS PBI Artículos'!A:A,'[1]DATOS PBI Artículos'!W:W))/IF($O692="",$N692,$O692))),0))))</f>
        <v>#N/A</v>
      </c>
      <c r="R692" s="33" t="e">
        <f>IF(U692&lt;&gt;"",U692,IF(F692="DV","MTO",IF(N692=0,"MTO",_xlfn.XLOOKUP(CONCATENATE(S692,T692),[1]CRITERIOS!$K$160:$K$168,[1]CRITERIOS!$N$160:$N$168))))</f>
        <v>#N/A</v>
      </c>
      <c r="S692" s="33" t="e">
        <f>IF(G692="DV","MTO",IF(N692=0,"MTO",IF(OR(AND(N692=0,O692=""),IF(O692="",G692/N692,G692/O692)&gt;[1]CRITERIOS!$G$163),"MTO",IF(IF(O692="",G692/N692,G692/O692)&lt;[1]CRITERIOS!$H$161,"MTS","MTOS"))))</f>
        <v>#N/A</v>
      </c>
      <c r="T692" s="33" t="e">
        <f>IF(F692="DV","MTO",IF(OR(AND($N692=0,O692=""),$F692/$J692&gt;[1]CRITERIOS!$G$170,$F692="DV"),"MTO",IF($F692/$J692&lt;[1]CRITERIOS!$H$168,"MTS","MTOS")))</f>
        <v>#N/A</v>
      </c>
      <c r="V692" s="34" t="e">
        <f t="shared" si="34"/>
        <v>#N/A</v>
      </c>
      <c r="X692" s="34" t="e">
        <f t="shared" si="32"/>
        <v>#N/A</v>
      </c>
      <c r="Y692" s="34" t="e">
        <f t="shared" si="33"/>
        <v>#N/A</v>
      </c>
      <c r="Z692" s="34" t="e">
        <f>IF($R692="MTO",
0,
($H692+$K692*($E692/[1]CRITERIOS!$M$16))/[1]CRITERIOS!$X$48)</f>
        <v>#N/A</v>
      </c>
      <c r="AA692" s="34" t="e">
        <f>ROUNDUP(($Y692/_xlfn.XLOOKUP($A692,'[1]DATOS PBI Artículos'!$A$4:$A$4,'[1]DATOS PBI Artículos'!$Z$4:$Z$4))/_xlfn.XLOOKUP(_xlfn.XLOOKUP($A692,'[1]DATOS PBI Artículos'!$A$4:$A$4,'[1]DATOS PBI Artículos'!$Y$4:$Y$4),[1]CRITERIOS!$P$79:$P$123,[1]CRITERIOS!$S$79:$S$123,),0)</f>
        <v>#N/A</v>
      </c>
      <c r="AB692" s="33" t="e">
        <f t="array" ref="AB692">IF((E692+V692-_xlfn.XLOOKUP(A692,'[1]DATOS PBI Artículos'!$A$4:$A$4,'[1]DATOS PBI Artículos'!$W$4:$W$4))/N692&gt;ROUNDUP([1]CRITERIOS!$M$16/(IF(COUNTIF([1]CRITERIOS!$BG$11:$BG$201,L692)&gt;=1,_xlfn.XLOOKUP(ARTÍCULOS!L692,[1]CRITERIOS!$BG$11:$BG$201,[1]CRITERIOS!$BJ$11:$BJ$201),_xlfn.XLOOKUP(ARTÍCULOS!C692,[1]CRITERIOS!$K$25:$K$42,[1]CRITERIOS!$M$25:$M$42))),0),ROUNDUP([1]CRITERIOS!$M$16/(IF(COUNTIF([1]CRITERIOS!$BG$11:$BG$201,L692)&gt;=1,_xlfn.XLOOKUP(ARTÍCULOS!L692,[1]CRITERIOS!$BG$11:$BG$201:#REF!,[1]CRITERIOS!$BJ$11:$BJ$201),_xlfn.XLOOKUP(ARTÍCULOS!C692,[1]CRITERIOS!$K$25:$K$42,[1]CRITERIOS!$M$25:$M$42))),0),(E692+V692-_xlfn.XLOOKUP(A692,'[1]DATOS PBI Artículos'!$A$4:$A$4,'[1]DATOS PBI Artículos'!$W$4:$W$4))/N692)</f>
        <v>#N/A</v>
      </c>
      <c r="AC692" s="33" t="e">
        <f>IF(N692=0,"",(ROUNDUP((N692/2)/(_xlfn.XLOOKUP(A692,'[1]DATOS PBI Artículos'!$A$4:$A$4,'[1]DATOS PBI Artículos'!$Z$4:$Z$4)*_xlfn.XLOOKUP(_xlfn.XLOOKUP(A692,'[1]DATOS PBI Artículos'!$A$4:$A$4,'[1]DATOS PBI Artículos'!$Y$4:$Y$4),[1]CRITERIOS!$P$79:$P$123,[1]CRITERIOS!$S$79:$S$123)),0)*[1]CRITERIOS!$M$80*([1]CRITERIOS!$M$110/[1]CRITERIOS!$M$86)+(_xlfn.XLOOKUP(A692,'[1]DATOS PBI Artículos'!$A$4:$A$4,'[1]DATOS PBI Artículos'!$AA$4:$AA$4)*([1]CRITERIOS!$M$95+[1]CRITERIOS!$M$98)))/N692)</f>
        <v>#N/A</v>
      </c>
      <c r="AD692" s="33" t="e">
        <f>IF(N692=0,"",(ROUNDUP((N692/2)/(_xlfn.XLOOKUP(A692,'[1]DATOS PBI Artículos'!$A$4:$A$4,'[1]DATOS PBI Artículos'!$Z$4:$Z$4)*_xlfn.XLOOKUP(_xlfn.XLOOKUP(A692,'[1]DATOS PBI Artículos'!$A$4:$A$4,'[1]DATOS PBI Artículos'!$Y$4:$Y$4),[1]CRITERIOS!$P$79:$P$123,[1]CRITERIOS!$S$79:$S$123)),0)*[1]CRITERIOS!$M$80*([1]CRITERIOS!$M$89*[1]CRITERIOS!$M$92)+((_xlfn.XLOOKUP(A692,'[1]DATOS PBI Artículos'!$A$4:$A$4,'[1]DATOS PBI Artículos'!$AA$4:$AA$4)/2)*([1]CRITERIOS!$M$95+[1]CRITERIOS!$M$98)))/N692)</f>
        <v>#N/A</v>
      </c>
      <c r="AE692" s="39" t="e">
        <f>IF($R692="MTO","",
IF($H692=0,ROUNDUP(((_xlfn.XLOOKUP($A692,'[1]DATOS PBI Artículos'!$A:$A,'[1]DATOS PBI Artículos'!$AL:$AL))/(_xlfn.XLOOKUP($AF$1,[1]CRITERIOS!$S$16:$S$39,[1]CRITERIOS!$Y$16:$Y$39))*$J692+$Z692)/$G692,0)*$G692,
((_xlfn.XLOOKUP($A692,'[1]DATOS PBI Artículos'!$A:$A,'[1]DATOS PBI Artículos'!$AL:$AL))/(_xlfn.XLOOKUP($AF$1,[1]CRITERIOS!$S$16:$S$39,[1]CRITERIOS!$Y$16:$Y$39))*$J692+$Z692)))</f>
        <v>#N/A</v>
      </c>
      <c r="AG692" s="39" t="e">
        <f>IF($R692="MTO","",
IF($H692=0,ROUNDUP(((_xlfn.XLOOKUP($A692,'[1]DATOS PBI Artículos'!$A:$A,'[1]DATOS PBI Artículos'!$AM:$AM))/(_xlfn.XLOOKUP($AH$1,[1]CRITERIOS!$S$16:$S$39,[1]CRITERIOS!$Y$16:$Y$39))*$J692+$Z692)/$G692,0)*$G692,
((_xlfn.XLOOKUP($A692,'[1]DATOS PBI Artículos'!$A:$A,'[1]DATOS PBI Artículos'!$AM:$AM))/(_xlfn.XLOOKUP($AH$1,[1]CRITERIOS!$S$16:$S$39,[1]CRITERIOS!$Y$16:$Y$39))*$J692+$Z692)))</f>
        <v>#N/A</v>
      </c>
      <c r="AI692" s="39" t="e">
        <f>IF($R692="MTO","",
IF($H692=0,ROUNDUP(((_xlfn.XLOOKUP($A692,'[1]DATOS PBI Artículos'!$A:$A,'[1]DATOS PBI Artículos'!$AN:$AN))/(_xlfn.XLOOKUP($AJ$1,[1]CRITERIOS!$S$16:$S$39,[1]CRITERIOS!$Y$16:$Y$39))*$J692+$Z692)/$G692,0)*$G692,
((_xlfn.XLOOKUP($A692,'[1]DATOS PBI Artículos'!$A:$A,'[1]DATOS PBI Artículos'!$AN:$AN))/(_xlfn.XLOOKUP($AJ$1,[1]CRITERIOS!$S$16:$S$39,[1]CRITERIOS!$Y$16:$Y$39))*$J692+$Z692)))</f>
        <v>#N/A</v>
      </c>
      <c r="AK692" s="39" t="e">
        <f>IF($R692="MTO","",
IF($H692=0,ROUNDUP(((_xlfn.XLOOKUP($A692,'[1]DATOS PBI Artículos'!$A:$A,'[1]DATOS PBI Artículos'!$AO:$AO))/(_xlfn.XLOOKUP($AL$1,[1]CRITERIOS!$S$16:$S$39,[1]CRITERIOS!$Y$16:$Y$39))*$J692+$Z692)/$G692,0)*$G692,
((_xlfn.XLOOKUP($A692,'[1]DATOS PBI Artículos'!$A:$A,'[1]DATOS PBI Artículos'!$AO:$AO))/(_xlfn.XLOOKUP($AL$1,[1]CRITERIOS!$S$16:$S$39,[1]CRITERIOS!$Y$16:$Y$39))*$J692+$Z692)))</f>
        <v>#N/A</v>
      </c>
    </row>
    <row r="693" spans="1:37" ht="25.8" hidden="1" x14ac:dyDescent="0.4">
      <c r="A693" s="41"/>
      <c r="B693" s="33">
        <f>_xlfn.XLOOKUP($A693,'[1]DATOS PBI Artículos'!A:A,'[1]DATOS PBI Artículos'!B:B)</f>
        <v>0</v>
      </c>
      <c r="C693" s="33">
        <f>_xlfn.XLOOKUP($A693,'[1]DATOS PBI Artículos'!A:A,'[1]DATOS PBI Artículos'!C:C)</f>
        <v>0</v>
      </c>
      <c r="D693" s="33">
        <f>_xlfn.XLOOKUP(A693,'[1]DATOS PBI Artículos'!A:A,'[1]DATOS PBI Artículos'!T:T)</f>
        <v>0</v>
      </c>
      <c r="E693" s="34">
        <f>IF(_xlfn.XLOOKUP($A693,'[1]DATOS PBI Artículos'!A:A,'[1]DATOS PBI Artículos'!AK:AK)="",_xlfn.XLOOKUP($A693,'[1]DATOS PBI Artículos'!A:A,'[1]DATOS PBI Artículos'!AJ:AJ),_xlfn.XLOOKUP($A693,'[1]DATOS PBI Artículos'!A:A,'[1]DATOS PBI Artículos'!AK:AK))</f>
        <v>0</v>
      </c>
      <c r="F693" s="35">
        <f>_xlfn.XLOOKUP($A693,'[1]DATOS PBI Artículos'!A:A,'[1]DATOS PBI Artículos'!AP:AP)</f>
        <v>0</v>
      </c>
      <c r="G693" s="34">
        <f>_xlfn.XLOOKUP($A693,'[1]DATOS PBI Artículos'!A:A,'[1]DATOS PBI Artículos'!AR:AR)</f>
        <v>0</v>
      </c>
      <c r="H693" s="34">
        <f>_xlfn.XLOOKUP($A693,'[1]DATOS PBI Artículos'!A:A,'[1]DATOS PBI Artículos'!AT:AT)</f>
        <v>0</v>
      </c>
      <c r="I693" s="34">
        <f>_xlfn.XLOOKUP($A693,'[1]DATOS PBI Artículos'!A:A,'[1]DATOS PBI Artículos'!AS:AS)</f>
        <v>0</v>
      </c>
      <c r="J693" s="35">
        <f>IF(COUNTIF([1]CRITERIOS!$F$179:$F$199,$A693)&gt;=1,
 IF(O693&lt;&gt;"",
    (O693/_xlfn.XLOOKUP(CONCATENATE(A693,L693),[1]MÁQUINAS!A:A,[1]MÁQUINAS!D:D))/24,
    (N693/_xlfn.XLOOKUP(CONCATENATE(A693,L693),[1]MÁQUINAS!A:A,[1]MÁQUINAS!D:D))/24),
  _xlfn.XLOOKUP($A693,'[1]DATOS PBI Artículos'!A:A,'[1]DATOS PBI Artículos'!AU:AU))</f>
        <v>0</v>
      </c>
      <c r="K693" s="36">
        <f>_xlfn.XLOOKUP($A693,'[1]DATOS PBI Artículos'!A:A,'[1]DATOS PBI Artículos'!AV:AV)</f>
        <v>0</v>
      </c>
      <c r="L693" s="33">
        <f>_xlfn.XLOOKUP(A693,[1]MÁQUINAS!B:B,[1]MÁQUINAS!C:C)</f>
        <v>0</v>
      </c>
      <c r="M693" s="34">
        <f t="array" ref="M693">_xlfn.XLOOKUP(A693,'[1]DATOS PBI Artículos'!A:A,'[1]DATOS PBI Artículos'!AX:$AX)</f>
        <v>0</v>
      </c>
      <c r="N693" s="37" t="e">
        <f>IF(I693="DV",
E693,
IF(COUNTIF([1]CRITERIOS!$I$179:$I$199,$A693)&gt;=1,
_xlfn.XLOOKUP($A693,[1]CRITERIOS!$I$179:$I$199,[1]CRITERIOS!$J$179:$J$199),
IF(COUNTIF([1]CRITERIOS!$L$179:$L$199,$A693)&gt;=1,
_xlfn.CEILING.MATH(IF($M693&gt;$E693,
$E693,
IF($M693&lt;$E693/ROUNDDOWN([1]CRITERIOS!$M$16/_xlfn.XLOOKUP($C693,[1]CRITERIOS!$K$25:$K$42,[1]CRITERIOS!$M$25:$M$42),
1),
E693/ROUNDDOWN([1]CRITERIOS!$M$16/_xlfn.XLOOKUP($C693,[1]CRITERIOS!$K$25:$K$42,[1]CRITERIOS!$M$25:$M$42),
1),
$M693)),
_xlfn.XLOOKUP($A693,[1]CRITERIOS!$L$179:$L$200,[1]CRITERIOS!$M$179:$M$200)),
_xlfn.CEILING.MATH(IF($M693&gt;$E693,
$E693,
IF($M693&lt;$E693/ROUNDDOWN([1]CRITERIOS!$M$16/_xlfn.XLOOKUP($C693,[1]CRITERIOS!$K$25:$K$42,[1]CRITERIOS!$M$25:$M$42),
1),
E693/ROUNDDOWN([1]CRITERIOS!$M$16/_xlfn.XLOOKUP($C693,[1]CRITERIOS!$K$25:$K$42,[1]CRITERIOS!$M$25:$M$42),
1),
$M693)),_xlfn.XLOOKUP(A693,'[1]DATOS PBI Artículos'!A:A,'[1]DATOS PBI Artículos'!Z:Z
)))))</f>
        <v>#N/A</v>
      </c>
      <c r="Q693" s="38" t="e">
        <f>IF(AND(O693="",N693=0),
0,
   IF(COUNTIF([1]CRITERIOS!$F$179:$F$199,$A693)&gt;=1,
   1,
   IF(R693="MTO",
      $D693,
      ROUNDUP(
                    IF(($E693-SUMIF('[1]DATOS PBI Artículos'!A:A,A693,'[1]DATOS PBI Artículos'!X:X)+($V693-_xlfn.XLOOKUP(A693,'[1]DATOS PBI Artículos'!A:A,'[1]DATOS PBI Artículos'!W:W)))&lt;0,
                    0,
                    IF(($E693-SUMIF('[1]DATOS PBI Artículos'!A:A,A693,'[1]DATOS PBI Artículos'!X:X)+$V693-_xlfn.XLOOKUP($A693,'[1]DATOS PBI Artículos'!A:A,'[1]DATOS PBI Artículos'!W:W))/IF($O693="",$N693,$O693)&gt;ROUNDUP([1]CRITERIOS!$M$16/(IF(COUNTIF([1]CRITERIOS!$BG$11:$BG$201,L693)&gt;=1,_xlfn.XLOOKUP($C693,[1]CRITERIOS!$K$25:$K$42,[1]CRITERIOS!$M$25:$M$42),_xlfn.XLOOKUP($C693,[1]CRITERIOS!$K$25:$K$42,[1]CRITERIOS!$M$25:$M$42))),0),
                    ROUNDUP([1]CRITERIOS!$M$16/(IF(COUNTIF([1]CRITERIOS!$BG$11:$BG$201,$L693)&gt;=1,_xlfn.XLOOKUP($C693,[1]CRITERIOS!$K$25:$K$42,[1]CRITERIOS!$M$25:$M$42),_xlfn.XLOOKUP($C693,[1]CRITERIOS!$K$25:$K$42,[1]CRITERIOS!$M$25:$M$42))),0),
                    (E693+V693-SUMIF('[1]DATOS PBI Artículos'!A:A,A693,'[1]DATOS PBI Artículos'!X:X)-_xlfn.XLOOKUP(A693,'[1]DATOS PBI Artículos'!A:A,'[1]DATOS PBI Artículos'!W:W))/IF($O693="",$N693,$O693))),0))))</f>
        <v>#N/A</v>
      </c>
      <c r="R693" s="33" t="e">
        <f>IF(U693&lt;&gt;"",U693,IF(F693="DV","MTO",IF(N693=0,"MTO",_xlfn.XLOOKUP(CONCATENATE(S693,T693),[1]CRITERIOS!$K$160:$K$168,[1]CRITERIOS!$N$160:$N$168))))</f>
        <v>#N/A</v>
      </c>
      <c r="S693" s="33" t="e">
        <f>IF(G693="DV","MTO",IF(N693=0,"MTO",IF(OR(AND(N693=0,O693=""),IF(O693="",G693/N693,G693/O693)&gt;[1]CRITERIOS!$G$163),"MTO",IF(IF(O693="",G693/N693,G693/O693)&lt;[1]CRITERIOS!$H$161,"MTS","MTOS"))))</f>
        <v>#N/A</v>
      </c>
      <c r="T693" s="33" t="e">
        <f>IF(F693="DV","MTO",IF(OR(AND($N693=0,O693=""),$F693/$J693&gt;[1]CRITERIOS!$G$170,$F693="DV"),"MTO",IF($F693/$J693&lt;[1]CRITERIOS!$H$168,"MTS","MTOS")))</f>
        <v>#N/A</v>
      </c>
      <c r="V693" s="34" t="e">
        <f t="shared" si="34"/>
        <v>#N/A</v>
      </c>
      <c r="X693" s="34" t="e">
        <f t="shared" si="32"/>
        <v>#N/A</v>
      </c>
      <c r="Y693" s="34" t="e">
        <f t="shared" si="33"/>
        <v>#N/A</v>
      </c>
      <c r="Z693" s="34" t="e">
        <f>IF($R693="MTO",
0,
($H693+$K693*($E693/[1]CRITERIOS!$M$16))/[1]CRITERIOS!$X$48)</f>
        <v>#N/A</v>
      </c>
      <c r="AA693" s="34" t="e">
        <f>ROUNDUP(($Y693/_xlfn.XLOOKUP($A693,'[1]DATOS PBI Artículos'!$A$4:$A$4,'[1]DATOS PBI Artículos'!$Z$4:$Z$4))/_xlfn.XLOOKUP(_xlfn.XLOOKUP($A693,'[1]DATOS PBI Artículos'!$A$4:$A$4,'[1]DATOS PBI Artículos'!$Y$4:$Y$4),[1]CRITERIOS!$P$79:$P$123,[1]CRITERIOS!$S$79:$S$123,),0)</f>
        <v>#N/A</v>
      </c>
      <c r="AB693" s="33" t="e">
        <f t="array" ref="AB693">IF((E693+V693-_xlfn.XLOOKUP(A693,'[1]DATOS PBI Artículos'!$A$4:$A$4,'[1]DATOS PBI Artículos'!$W$4:$W$4))/N693&gt;ROUNDUP([1]CRITERIOS!$M$16/(IF(COUNTIF([1]CRITERIOS!$BG$11:$BG$201,L693)&gt;=1,_xlfn.XLOOKUP(ARTÍCULOS!L693,[1]CRITERIOS!$BG$11:$BG$201,[1]CRITERIOS!$BJ$11:$BJ$201),_xlfn.XLOOKUP(ARTÍCULOS!C693,[1]CRITERIOS!$K$25:$K$42,[1]CRITERIOS!$M$25:$M$42))),0),ROUNDUP([1]CRITERIOS!$M$16/(IF(COUNTIF([1]CRITERIOS!$BG$11:$BG$201,L693)&gt;=1,_xlfn.XLOOKUP(ARTÍCULOS!L693,[1]CRITERIOS!$BG$11:$BG$201:#REF!,[1]CRITERIOS!$BJ$11:$BJ$201),_xlfn.XLOOKUP(ARTÍCULOS!C693,[1]CRITERIOS!$K$25:$K$42,[1]CRITERIOS!$M$25:$M$42))),0),(E693+V693-_xlfn.XLOOKUP(A693,'[1]DATOS PBI Artículos'!$A$4:$A$4,'[1]DATOS PBI Artículos'!$W$4:$W$4))/N693)</f>
        <v>#N/A</v>
      </c>
      <c r="AC693" s="33" t="e">
        <f>IF(N693=0,"",(ROUNDUP((N693/2)/(_xlfn.XLOOKUP(A693,'[1]DATOS PBI Artículos'!$A$4:$A$4,'[1]DATOS PBI Artículos'!$Z$4:$Z$4)*_xlfn.XLOOKUP(_xlfn.XLOOKUP(A693,'[1]DATOS PBI Artículos'!$A$4:$A$4,'[1]DATOS PBI Artículos'!$Y$4:$Y$4),[1]CRITERIOS!$P$79:$P$123,[1]CRITERIOS!$S$79:$S$123)),0)*[1]CRITERIOS!$M$80*([1]CRITERIOS!$M$110/[1]CRITERIOS!$M$86)+(_xlfn.XLOOKUP(A693,'[1]DATOS PBI Artículos'!$A$4:$A$4,'[1]DATOS PBI Artículos'!$AA$4:$AA$4)*([1]CRITERIOS!$M$95+[1]CRITERIOS!$M$98)))/N693)</f>
        <v>#N/A</v>
      </c>
      <c r="AD693" s="33" t="e">
        <f>IF(N693=0,"",(ROUNDUP((N693/2)/(_xlfn.XLOOKUP(A693,'[1]DATOS PBI Artículos'!$A$4:$A$4,'[1]DATOS PBI Artículos'!$Z$4:$Z$4)*_xlfn.XLOOKUP(_xlfn.XLOOKUP(A693,'[1]DATOS PBI Artículos'!$A$4:$A$4,'[1]DATOS PBI Artículos'!$Y$4:$Y$4),[1]CRITERIOS!$P$79:$P$123,[1]CRITERIOS!$S$79:$S$123)),0)*[1]CRITERIOS!$M$80*([1]CRITERIOS!$M$89*[1]CRITERIOS!$M$92)+((_xlfn.XLOOKUP(A693,'[1]DATOS PBI Artículos'!$A$4:$A$4,'[1]DATOS PBI Artículos'!$AA$4:$AA$4)/2)*([1]CRITERIOS!$M$95+[1]CRITERIOS!$M$98)))/N693)</f>
        <v>#N/A</v>
      </c>
      <c r="AE693" s="39" t="e">
        <f>IF($R693="MTO","",
IF($H693=0,ROUNDUP(((_xlfn.XLOOKUP($A693,'[1]DATOS PBI Artículos'!$A:$A,'[1]DATOS PBI Artículos'!$AL:$AL))/(_xlfn.XLOOKUP($AF$1,[1]CRITERIOS!$S$16:$S$39,[1]CRITERIOS!$Y$16:$Y$39))*$J693+$Z693)/$G693,0)*$G693,
((_xlfn.XLOOKUP($A693,'[1]DATOS PBI Artículos'!$A:$A,'[1]DATOS PBI Artículos'!$AL:$AL))/(_xlfn.XLOOKUP($AF$1,[1]CRITERIOS!$S$16:$S$39,[1]CRITERIOS!$Y$16:$Y$39))*$J693+$Z693)))</f>
        <v>#N/A</v>
      </c>
      <c r="AG693" s="39" t="e">
        <f>IF($R693="MTO","",
IF($H693=0,ROUNDUP(((_xlfn.XLOOKUP($A693,'[1]DATOS PBI Artículos'!$A:$A,'[1]DATOS PBI Artículos'!$AM:$AM))/(_xlfn.XLOOKUP($AH$1,[1]CRITERIOS!$S$16:$S$39,[1]CRITERIOS!$Y$16:$Y$39))*$J693+$Z693)/$G693,0)*$G693,
((_xlfn.XLOOKUP($A693,'[1]DATOS PBI Artículos'!$A:$A,'[1]DATOS PBI Artículos'!$AM:$AM))/(_xlfn.XLOOKUP($AH$1,[1]CRITERIOS!$S$16:$S$39,[1]CRITERIOS!$Y$16:$Y$39))*$J693+$Z693)))</f>
        <v>#N/A</v>
      </c>
      <c r="AI693" s="39" t="e">
        <f>IF($R693="MTO","",
IF($H693=0,ROUNDUP(((_xlfn.XLOOKUP($A693,'[1]DATOS PBI Artículos'!$A:$A,'[1]DATOS PBI Artículos'!$AN:$AN))/(_xlfn.XLOOKUP($AJ$1,[1]CRITERIOS!$S$16:$S$39,[1]CRITERIOS!$Y$16:$Y$39))*$J693+$Z693)/$G693,0)*$G693,
((_xlfn.XLOOKUP($A693,'[1]DATOS PBI Artículos'!$A:$A,'[1]DATOS PBI Artículos'!$AN:$AN))/(_xlfn.XLOOKUP($AJ$1,[1]CRITERIOS!$S$16:$S$39,[1]CRITERIOS!$Y$16:$Y$39))*$J693+$Z693)))</f>
        <v>#N/A</v>
      </c>
      <c r="AK693" s="39" t="e">
        <f>IF($R693="MTO","",
IF($H693=0,ROUNDUP(((_xlfn.XLOOKUP($A693,'[1]DATOS PBI Artículos'!$A:$A,'[1]DATOS PBI Artículos'!$AO:$AO))/(_xlfn.XLOOKUP($AL$1,[1]CRITERIOS!$S$16:$S$39,[1]CRITERIOS!$Y$16:$Y$39))*$J693+$Z693)/$G693,0)*$G693,
((_xlfn.XLOOKUP($A693,'[1]DATOS PBI Artículos'!$A:$A,'[1]DATOS PBI Artículos'!$AO:$AO))/(_xlfn.XLOOKUP($AL$1,[1]CRITERIOS!$S$16:$S$39,[1]CRITERIOS!$Y$16:$Y$39))*$J693+$Z693)))</f>
        <v>#N/A</v>
      </c>
    </row>
    <row r="694" spans="1:37" ht="25.8" hidden="1" x14ac:dyDescent="0.4">
      <c r="A694" s="41"/>
      <c r="B694" s="33">
        <f>_xlfn.XLOOKUP($A694,'[1]DATOS PBI Artículos'!A:A,'[1]DATOS PBI Artículos'!B:B)</f>
        <v>0</v>
      </c>
      <c r="C694" s="33">
        <f>_xlfn.XLOOKUP($A694,'[1]DATOS PBI Artículos'!A:A,'[1]DATOS PBI Artículos'!C:C)</f>
        <v>0</v>
      </c>
      <c r="D694" s="33">
        <f>_xlfn.XLOOKUP(A694,'[1]DATOS PBI Artículos'!A:A,'[1]DATOS PBI Artículos'!T:T)</f>
        <v>0</v>
      </c>
      <c r="E694" s="34">
        <f>IF(_xlfn.XLOOKUP($A694,'[1]DATOS PBI Artículos'!A:A,'[1]DATOS PBI Artículos'!AK:AK)="",_xlfn.XLOOKUP($A694,'[1]DATOS PBI Artículos'!A:A,'[1]DATOS PBI Artículos'!AJ:AJ),_xlfn.XLOOKUP($A694,'[1]DATOS PBI Artículos'!A:A,'[1]DATOS PBI Artículos'!AK:AK))</f>
        <v>0</v>
      </c>
      <c r="F694" s="35">
        <f>_xlfn.XLOOKUP($A694,'[1]DATOS PBI Artículos'!A:A,'[1]DATOS PBI Artículos'!AP:AP)</f>
        <v>0</v>
      </c>
      <c r="G694" s="34">
        <f>_xlfn.XLOOKUP($A694,'[1]DATOS PBI Artículos'!A:A,'[1]DATOS PBI Artículos'!AR:AR)</f>
        <v>0</v>
      </c>
      <c r="H694" s="34">
        <f>_xlfn.XLOOKUP($A694,'[1]DATOS PBI Artículos'!A:A,'[1]DATOS PBI Artículos'!AT:AT)</f>
        <v>0</v>
      </c>
      <c r="I694" s="34">
        <f>_xlfn.XLOOKUP($A694,'[1]DATOS PBI Artículos'!A:A,'[1]DATOS PBI Artículos'!AS:AS)</f>
        <v>0</v>
      </c>
      <c r="J694" s="35">
        <f>IF(COUNTIF([1]CRITERIOS!$F$179:$F$199,$A694)&gt;=1,
 IF(O694&lt;&gt;"",
    (O694/_xlfn.XLOOKUP(CONCATENATE(A694,L694),[1]MÁQUINAS!A:A,[1]MÁQUINAS!D:D))/24,
    (N694/_xlfn.XLOOKUP(CONCATENATE(A694,L694),[1]MÁQUINAS!A:A,[1]MÁQUINAS!D:D))/24),
  _xlfn.XLOOKUP($A694,'[1]DATOS PBI Artículos'!A:A,'[1]DATOS PBI Artículos'!AU:AU))</f>
        <v>0</v>
      </c>
      <c r="K694" s="36">
        <f>_xlfn.XLOOKUP($A694,'[1]DATOS PBI Artículos'!A:A,'[1]DATOS PBI Artículos'!AV:AV)</f>
        <v>0</v>
      </c>
      <c r="L694" s="33">
        <f>_xlfn.XLOOKUP(A694,[1]MÁQUINAS!B:B,[1]MÁQUINAS!C:C)</f>
        <v>0</v>
      </c>
      <c r="M694" s="34">
        <f t="array" ref="M694">_xlfn.XLOOKUP(A694,'[1]DATOS PBI Artículos'!A:A,'[1]DATOS PBI Artículos'!AX:$AX)</f>
        <v>0</v>
      </c>
      <c r="N694" s="37" t="e">
        <f>IF(I694="DV",
E694,
IF(COUNTIF([1]CRITERIOS!$I$179:$I$199,$A694)&gt;=1,
_xlfn.XLOOKUP($A694,[1]CRITERIOS!$I$179:$I$199,[1]CRITERIOS!$J$179:$J$199),
IF(COUNTIF([1]CRITERIOS!$L$179:$L$199,$A694)&gt;=1,
_xlfn.CEILING.MATH(IF($M694&gt;$E694,
$E694,
IF($M694&lt;$E694/ROUNDDOWN([1]CRITERIOS!$M$16/_xlfn.XLOOKUP($C694,[1]CRITERIOS!$K$25:$K$42,[1]CRITERIOS!$M$25:$M$42),
1),
E694/ROUNDDOWN([1]CRITERIOS!$M$16/_xlfn.XLOOKUP($C694,[1]CRITERIOS!$K$25:$K$42,[1]CRITERIOS!$M$25:$M$42),
1),
$M694)),
_xlfn.XLOOKUP($A694,[1]CRITERIOS!$L$179:$L$200,[1]CRITERIOS!$M$179:$M$200)),
_xlfn.CEILING.MATH(IF($M694&gt;$E694,
$E694,
IF($M694&lt;$E694/ROUNDDOWN([1]CRITERIOS!$M$16/_xlfn.XLOOKUP($C694,[1]CRITERIOS!$K$25:$K$42,[1]CRITERIOS!$M$25:$M$42),
1),
E694/ROUNDDOWN([1]CRITERIOS!$M$16/_xlfn.XLOOKUP($C694,[1]CRITERIOS!$K$25:$K$42,[1]CRITERIOS!$M$25:$M$42),
1),
$M694)),_xlfn.XLOOKUP(A694,'[1]DATOS PBI Artículos'!A:A,'[1]DATOS PBI Artículos'!Z:Z
)))))</f>
        <v>#N/A</v>
      </c>
      <c r="Q694" s="38" t="e">
        <f>IF(AND(O694="",N694=0),
0,
   IF(COUNTIF([1]CRITERIOS!$F$179:$F$199,$A694)&gt;=1,
   1,
   IF(R694="MTO",
      $D694,
      ROUNDUP(
                    IF(($E694-SUMIF('[1]DATOS PBI Artículos'!A:A,A694,'[1]DATOS PBI Artículos'!X:X)+($V694-_xlfn.XLOOKUP(A694,'[1]DATOS PBI Artículos'!A:A,'[1]DATOS PBI Artículos'!W:W)))&lt;0,
                    0,
                    IF(($E694-SUMIF('[1]DATOS PBI Artículos'!A:A,A694,'[1]DATOS PBI Artículos'!X:X)+$V694-_xlfn.XLOOKUP($A694,'[1]DATOS PBI Artículos'!A:A,'[1]DATOS PBI Artículos'!W:W))/IF($O694="",$N694,$O694)&gt;ROUNDUP([1]CRITERIOS!$M$16/(IF(COUNTIF([1]CRITERIOS!$BG$11:$BG$201,L694)&gt;=1,_xlfn.XLOOKUP($C694,[1]CRITERIOS!$K$25:$K$42,[1]CRITERIOS!$M$25:$M$42),_xlfn.XLOOKUP($C694,[1]CRITERIOS!$K$25:$K$42,[1]CRITERIOS!$M$25:$M$42))),0),
                    ROUNDUP([1]CRITERIOS!$M$16/(IF(COUNTIF([1]CRITERIOS!$BG$11:$BG$201,$L694)&gt;=1,_xlfn.XLOOKUP($C694,[1]CRITERIOS!$K$25:$K$42,[1]CRITERIOS!$M$25:$M$42),_xlfn.XLOOKUP($C694,[1]CRITERIOS!$K$25:$K$42,[1]CRITERIOS!$M$25:$M$42))),0),
                    (E694+V694-SUMIF('[1]DATOS PBI Artículos'!A:A,A694,'[1]DATOS PBI Artículos'!X:X)-_xlfn.XLOOKUP(A694,'[1]DATOS PBI Artículos'!A:A,'[1]DATOS PBI Artículos'!W:W))/IF($O694="",$N694,$O694))),0))))</f>
        <v>#N/A</v>
      </c>
      <c r="R694" s="33" t="e">
        <f>IF(U694&lt;&gt;"",U694,IF(F694="DV","MTO",IF(N694=0,"MTO",_xlfn.XLOOKUP(CONCATENATE(S694,T694),[1]CRITERIOS!$K$160:$K$168,[1]CRITERIOS!$N$160:$N$168))))</f>
        <v>#N/A</v>
      </c>
      <c r="S694" s="33" t="e">
        <f>IF(G694="DV","MTO",IF(N694=0,"MTO",IF(OR(AND(N694=0,O694=""),IF(O694="",G694/N694,G694/O694)&gt;[1]CRITERIOS!$G$163),"MTO",IF(IF(O694="",G694/N694,G694/O694)&lt;[1]CRITERIOS!$H$161,"MTS","MTOS"))))</f>
        <v>#N/A</v>
      </c>
      <c r="T694" s="33" t="e">
        <f>IF(F694="DV","MTO",IF(OR(AND($N694=0,O694=""),$F694/$J694&gt;[1]CRITERIOS!$G$170,$F694="DV"),"MTO",IF($F694/$J694&lt;[1]CRITERIOS!$H$168,"MTS","MTOS")))</f>
        <v>#N/A</v>
      </c>
      <c r="V694" s="34" t="e">
        <f t="shared" si="34"/>
        <v>#N/A</v>
      </c>
      <c r="X694" s="34" t="e">
        <f t="shared" si="32"/>
        <v>#N/A</v>
      </c>
      <c r="Y694" s="34" t="e">
        <f t="shared" si="33"/>
        <v>#N/A</v>
      </c>
      <c r="Z694" s="34" t="e">
        <f>IF($R694="MTO",
0,
($H694+$K694*($E694/[1]CRITERIOS!$M$16))/[1]CRITERIOS!$X$48)</f>
        <v>#N/A</v>
      </c>
      <c r="AA694" s="34" t="e">
        <f>ROUNDUP(($Y694/_xlfn.XLOOKUP($A694,'[1]DATOS PBI Artículos'!$A$4:$A$4,'[1]DATOS PBI Artículos'!$Z$4:$Z$4))/_xlfn.XLOOKUP(_xlfn.XLOOKUP($A694,'[1]DATOS PBI Artículos'!$A$4:$A$4,'[1]DATOS PBI Artículos'!$Y$4:$Y$4),[1]CRITERIOS!$P$79:$P$123,[1]CRITERIOS!$S$79:$S$123,),0)</f>
        <v>#N/A</v>
      </c>
      <c r="AB694" s="33" t="e">
        <f t="array" ref="AB694">IF((E694+V694-_xlfn.XLOOKUP(A694,'[1]DATOS PBI Artículos'!$A$4:$A$4,'[1]DATOS PBI Artículos'!$W$4:$W$4))/N694&gt;ROUNDUP([1]CRITERIOS!$M$16/(IF(COUNTIF([1]CRITERIOS!$BG$11:$BG$201,L694)&gt;=1,_xlfn.XLOOKUP(ARTÍCULOS!L694,[1]CRITERIOS!$BG$11:$BG$201,[1]CRITERIOS!$BJ$11:$BJ$201),_xlfn.XLOOKUP(ARTÍCULOS!C694,[1]CRITERIOS!$K$25:$K$42,[1]CRITERIOS!$M$25:$M$42))),0),ROUNDUP([1]CRITERIOS!$M$16/(IF(COUNTIF([1]CRITERIOS!$BG$11:$BG$201,L694)&gt;=1,_xlfn.XLOOKUP(ARTÍCULOS!L694,[1]CRITERIOS!$BG$11:$BG$201:#REF!,[1]CRITERIOS!$BJ$11:$BJ$201),_xlfn.XLOOKUP(ARTÍCULOS!C694,[1]CRITERIOS!$K$25:$K$42,[1]CRITERIOS!$M$25:$M$42))),0),(E694+V694-_xlfn.XLOOKUP(A694,'[1]DATOS PBI Artículos'!$A$4:$A$4,'[1]DATOS PBI Artículos'!$W$4:$W$4))/N694)</f>
        <v>#N/A</v>
      </c>
      <c r="AC694" s="33" t="e">
        <f>IF(N694=0,"",(ROUNDUP((N694/2)/(_xlfn.XLOOKUP(A694,'[1]DATOS PBI Artículos'!$A$4:$A$4,'[1]DATOS PBI Artículos'!$Z$4:$Z$4)*_xlfn.XLOOKUP(_xlfn.XLOOKUP(A694,'[1]DATOS PBI Artículos'!$A$4:$A$4,'[1]DATOS PBI Artículos'!$Y$4:$Y$4),[1]CRITERIOS!$P$79:$P$123,[1]CRITERIOS!$S$79:$S$123)),0)*[1]CRITERIOS!$M$80*([1]CRITERIOS!$M$110/[1]CRITERIOS!$M$86)+(_xlfn.XLOOKUP(A694,'[1]DATOS PBI Artículos'!$A$4:$A$4,'[1]DATOS PBI Artículos'!$AA$4:$AA$4)*([1]CRITERIOS!$M$95+[1]CRITERIOS!$M$98)))/N694)</f>
        <v>#N/A</v>
      </c>
      <c r="AD694" s="33" t="e">
        <f>IF(N694=0,"",(ROUNDUP((N694/2)/(_xlfn.XLOOKUP(A694,'[1]DATOS PBI Artículos'!$A$4:$A$4,'[1]DATOS PBI Artículos'!$Z$4:$Z$4)*_xlfn.XLOOKUP(_xlfn.XLOOKUP(A694,'[1]DATOS PBI Artículos'!$A$4:$A$4,'[1]DATOS PBI Artículos'!$Y$4:$Y$4),[1]CRITERIOS!$P$79:$P$123,[1]CRITERIOS!$S$79:$S$123)),0)*[1]CRITERIOS!$M$80*([1]CRITERIOS!$M$89*[1]CRITERIOS!$M$92)+((_xlfn.XLOOKUP(A694,'[1]DATOS PBI Artículos'!$A$4:$A$4,'[1]DATOS PBI Artículos'!$AA$4:$AA$4)/2)*([1]CRITERIOS!$M$95+[1]CRITERIOS!$M$98)))/N694)</f>
        <v>#N/A</v>
      </c>
      <c r="AE694" s="39" t="e">
        <f>IF($R694="MTO","",
IF($H694=0,ROUNDUP(((_xlfn.XLOOKUP($A694,'[1]DATOS PBI Artículos'!$A:$A,'[1]DATOS PBI Artículos'!$AL:$AL))/(_xlfn.XLOOKUP($AF$1,[1]CRITERIOS!$S$16:$S$39,[1]CRITERIOS!$Y$16:$Y$39))*$J694+$Z694)/$G694,0)*$G694,
((_xlfn.XLOOKUP($A694,'[1]DATOS PBI Artículos'!$A:$A,'[1]DATOS PBI Artículos'!$AL:$AL))/(_xlfn.XLOOKUP($AF$1,[1]CRITERIOS!$S$16:$S$39,[1]CRITERIOS!$Y$16:$Y$39))*$J694+$Z694)))</f>
        <v>#N/A</v>
      </c>
      <c r="AG694" s="39" t="e">
        <f>IF($R694="MTO","",
IF($H694=0,ROUNDUP(((_xlfn.XLOOKUP($A694,'[1]DATOS PBI Artículos'!$A:$A,'[1]DATOS PBI Artículos'!$AM:$AM))/(_xlfn.XLOOKUP($AH$1,[1]CRITERIOS!$S$16:$S$39,[1]CRITERIOS!$Y$16:$Y$39))*$J694+$Z694)/$G694,0)*$G694,
((_xlfn.XLOOKUP($A694,'[1]DATOS PBI Artículos'!$A:$A,'[1]DATOS PBI Artículos'!$AM:$AM))/(_xlfn.XLOOKUP($AH$1,[1]CRITERIOS!$S$16:$S$39,[1]CRITERIOS!$Y$16:$Y$39))*$J694+$Z694)))</f>
        <v>#N/A</v>
      </c>
      <c r="AI694" s="39" t="e">
        <f>IF($R694="MTO","",
IF($H694=0,ROUNDUP(((_xlfn.XLOOKUP($A694,'[1]DATOS PBI Artículos'!$A:$A,'[1]DATOS PBI Artículos'!$AN:$AN))/(_xlfn.XLOOKUP($AJ$1,[1]CRITERIOS!$S$16:$S$39,[1]CRITERIOS!$Y$16:$Y$39))*$J694+$Z694)/$G694,0)*$G694,
((_xlfn.XLOOKUP($A694,'[1]DATOS PBI Artículos'!$A:$A,'[1]DATOS PBI Artículos'!$AN:$AN))/(_xlfn.XLOOKUP($AJ$1,[1]CRITERIOS!$S$16:$S$39,[1]CRITERIOS!$Y$16:$Y$39))*$J694+$Z694)))</f>
        <v>#N/A</v>
      </c>
      <c r="AK694" s="39" t="e">
        <f>IF($R694="MTO","",
IF($H694=0,ROUNDUP(((_xlfn.XLOOKUP($A694,'[1]DATOS PBI Artículos'!$A:$A,'[1]DATOS PBI Artículos'!$AO:$AO))/(_xlfn.XLOOKUP($AL$1,[1]CRITERIOS!$S$16:$S$39,[1]CRITERIOS!$Y$16:$Y$39))*$J694+$Z694)/$G694,0)*$G694,
((_xlfn.XLOOKUP($A694,'[1]DATOS PBI Artículos'!$A:$A,'[1]DATOS PBI Artículos'!$AO:$AO))/(_xlfn.XLOOKUP($AL$1,[1]CRITERIOS!$S$16:$S$39,[1]CRITERIOS!$Y$16:$Y$39))*$J694+$Z694)))</f>
        <v>#N/A</v>
      </c>
    </row>
    <row r="695" spans="1:37" ht="25.8" hidden="1" x14ac:dyDescent="0.4">
      <c r="A695" s="41"/>
      <c r="B695" s="33">
        <f>_xlfn.XLOOKUP($A695,'[1]DATOS PBI Artículos'!A:A,'[1]DATOS PBI Artículos'!B:B)</f>
        <v>0</v>
      </c>
      <c r="C695" s="33">
        <f>_xlfn.XLOOKUP($A695,'[1]DATOS PBI Artículos'!A:A,'[1]DATOS PBI Artículos'!C:C)</f>
        <v>0</v>
      </c>
      <c r="D695" s="33">
        <f>_xlfn.XLOOKUP(A695,'[1]DATOS PBI Artículos'!A:A,'[1]DATOS PBI Artículos'!T:T)</f>
        <v>0</v>
      </c>
      <c r="E695" s="34">
        <f>IF(_xlfn.XLOOKUP($A695,'[1]DATOS PBI Artículos'!A:A,'[1]DATOS PBI Artículos'!AK:AK)="",_xlfn.XLOOKUP($A695,'[1]DATOS PBI Artículos'!A:A,'[1]DATOS PBI Artículos'!AJ:AJ),_xlfn.XLOOKUP($A695,'[1]DATOS PBI Artículos'!A:A,'[1]DATOS PBI Artículos'!AK:AK))</f>
        <v>0</v>
      </c>
      <c r="F695" s="35">
        <f>_xlfn.XLOOKUP($A695,'[1]DATOS PBI Artículos'!A:A,'[1]DATOS PBI Artículos'!AP:AP)</f>
        <v>0</v>
      </c>
      <c r="G695" s="34">
        <f>_xlfn.XLOOKUP($A695,'[1]DATOS PBI Artículos'!A:A,'[1]DATOS PBI Artículos'!AR:AR)</f>
        <v>0</v>
      </c>
      <c r="H695" s="34">
        <f>_xlfn.XLOOKUP($A695,'[1]DATOS PBI Artículos'!A:A,'[1]DATOS PBI Artículos'!AT:AT)</f>
        <v>0</v>
      </c>
      <c r="I695" s="34">
        <f>_xlfn.XLOOKUP($A695,'[1]DATOS PBI Artículos'!A:A,'[1]DATOS PBI Artículos'!AS:AS)</f>
        <v>0</v>
      </c>
      <c r="J695" s="35">
        <f>IF(COUNTIF([1]CRITERIOS!$F$179:$F$199,$A695)&gt;=1,
 IF(O695&lt;&gt;"",
    (O695/_xlfn.XLOOKUP(CONCATENATE(A695,L695),[1]MÁQUINAS!A:A,[1]MÁQUINAS!D:D))/24,
    (N695/_xlfn.XLOOKUP(CONCATENATE(A695,L695),[1]MÁQUINAS!A:A,[1]MÁQUINAS!D:D))/24),
  _xlfn.XLOOKUP($A695,'[1]DATOS PBI Artículos'!A:A,'[1]DATOS PBI Artículos'!AU:AU))</f>
        <v>0</v>
      </c>
      <c r="K695" s="36">
        <f>_xlfn.XLOOKUP($A695,'[1]DATOS PBI Artículos'!A:A,'[1]DATOS PBI Artículos'!AV:AV)</f>
        <v>0</v>
      </c>
      <c r="L695" s="33">
        <f>_xlfn.XLOOKUP(A695,[1]MÁQUINAS!B:B,[1]MÁQUINAS!C:C)</f>
        <v>0</v>
      </c>
      <c r="M695" s="34">
        <f t="array" ref="M695">_xlfn.XLOOKUP(A695,'[1]DATOS PBI Artículos'!A:A,'[1]DATOS PBI Artículos'!AX:$AX)</f>
        <v>0</v>
      </c>
      <c r="N695" s="37" t="e">
        <f>IF(I695="DV",
E695,
IF(COUNTIF([1]CRITERIOS!$I$179:$I$199,$A695)&gt;=1,
_xlfn.XLOOKUP($A695,[1]CRITERIOS!$I$179:$I$199,[1]CRITERIOS!$J$179:$J$199),
IF(COUNTIF([1]CRITERIOS!$L$179:$L$199,$A695)&gt;=1,
_xlfn.CEILING.MATH(IF($M695&gt;$E695,
$E695,
IF($M695&lt;$E695/ROUNDDOWN([1]CRITERIOS!$M$16/_xlfn.XLOOKUP($C695,[1]CRITERIOS!$K$25:$K$42,[1]CRITERIOS!$M$25:$M$42),
1),
E695/ROUNDDOWN([1]CRITERIOS!$M$16/_xlfn.XLOOKUP($C695,[1]CRITERIOS!$K$25:$K$42,[1]CRITERIOS!$M$25:$M$42),
1),
$M695)),
_xlfn.XLOOKUP($A695,[1]CRITERIOS!$L$179:$L$200,[1]CRITERIOS!$M$179:$M$200)),
_xlfn.CEILING.MATH(IF($M695&gt;$E695,
$E695,
IF($M695&lt;$E695/ROUNDDOWN([1]CRITERIOS!$M$16/_xlfn.XLOOKUP($C695,[1]CRITERIOS!$K$25:$K$42,[1]CRITERIOS!$M$25:$M$42),
1),
E695/ROUNDDOWN([1]CRITERIOS!$M$16/_xlfn.XLOOKUP($C695,[1]CRITERIOS!$K$25:$K$42,[1]CRITERIOS!$M$25:$M$42),
1),
$M695)),_xlfn.XLOOKUP(A695,'[1]DATOS PBI Artículos'!A:A,'[1]DATOS PBI Artículos'!Z:Z
)))))</f>
        <v>#N/A</v>
      </c>
      <c r="Q695" s="38" t="e">
        <f>IF(AND(O695="",N695=0),
0,
   IF(COUNTIF([1]CRITERIOS!$F$179:$F$199,$A695)&gt;=1,
   1,
   IF(R695="MTO",
      $D695,
      ROUNDUP(
                    IF(($E695-SUMIF('[1]DATOS PBI Artículos'!A:A,A695,'[1]DATOS PBI Artículos'!X:X)+($V695-_xlfn.XLOOKUP(A695,'[1]DATOS PBI Artículos'!A:A,'[1]DATOS PBI Artículos'!W:W)))&lt;0,
                    0,
                    IF(($E695-SUMIF('[1]DATOS PBI Artículos'!A:A,A695,'[1]DATOS PBI Artículos'!X:X)+$V695-_xlfn.XLOOKUP($A695,'[1]DATOS PBI Artículos'!A:A,'[1]DATOS PBI Artículos'!W:W))/IF($O695="",$N695,$O695)&gt;ROUNDUP([1]CRITERIOS!$M$16/(IF(COUNTIF([1]CRITERIOS!$BG$11:$BG$201,L695)&gt;=1,_xlfn.XLOOKUP($C695,[1]CRITERIOS!$K$25:$K$42,[1]CRITERIOS!$M$25:$M$42),_xlfn.XLOOKUP($C695,[1]CRITERIOS!$K$25:$K$42,[1]CRITERIOS!$M$25:$M$42))),0),
                    ROUNDUP([1]CRITERIOS!$M$16/(IF(COUNTIF([1]CRITERIOS!$BG$11:$BG$201,$L695)&gt;=1,_xlfn.XLOOKUP($C695,[1]CRITERIOS!$K$25:$K$42,[1]CRITERIOS!$M$25:$M$42),_xlfn.XLOOKUP($C695,[1]CRITERIOS!$K$25:$K$42,[1]CRITERIOS!$M$25:$M$42))),0),
                    (E695+V695-SUMIF('[1]DATOS PBI Artículos'!A:A,A695,'[1]DATOS PBI Artículos'!X:X)-_xlfn.XLOOKUP(A695,'[1]DATOS PBI Artículos'!A:A,'[1]DATOS PBI Artículos'!W:W))/IF($O695="",$N695,$O695))),0))))</f>
        <v>#N/A</v>
      </c>
      <c r="R695" s="33" t="e">
        <f>IF(U695&lt;&gt;"",U695,IF(F695="DV","MTO",IF(N695=0,"MTO",_xlfn.XLOOKUP(CONCATENATE(S695,T695),[1]CRITERIOS!$K$160:$K$168,[1]CRITERIOS!$N$160:$N$168))))</f>
        <v>#N/A</v>
      </c>
      <c r="S695" s="33" t="e">
        <f>IF(G695="DV","MTO",IF(N695=0,"MTO",IF(OR(AND(N695=0,O695=""),IF(O695="",G695/N695,G695/O695)&gt;[1]CRITERIOS!$G$163),"MTO",IF(IF(O695="",G695/N695,G695/O695)&lt;[1]CRITERIOS!$H$161,"MTS","MTOS"))))</f>
        <v>#N/A</v>
      </c>
      <c r="T695" s="33" t="e">
        <f>IF(F695="DV","MTO",IF(OR(AND($N695=0,O695=""),$F695/$J695&gt;[1]CRITERIOS!$G$170,$F695="DV"),"MTO",IF($F695/$J695&lt;[1]CRITERIOS!$H$168,"MTS","MTOS")))</f>
        <v>#N/A</v>
      </c>
      <c r="V695" s="34" t="e">
        <f t="shared" si="34"/>
        <v>#N/A</v>
      </c>
      <c r="X695" s="34" t="e">
        <f t="shared" si="32"/>
        <v>#N/A</v>
      </c>
      <c r="Y695" s="34" t="e">
        <f t="shared" si="33"/>
        <v>#N/A</v>
      </c>
      <c r="Z695" s="34" t="e">
        <f>IF($R695="MTO",
0,
($H695+$K695*($E695/[1]CRITERIOS!$M$16))/[1]CRITERIOS!$X$48)</f>
        <v>#N/A</v>
      </c>
      <c r="AA695" s="34" t="e">
        <f>ROUNDUP(($Y695/_xlfn.XLOOKUP($A695,'[1]DATOS PBI Artículos'!$A$4:$A$4,'[1]DATOS PBI Artículos'!$Z$4:$Z$4))/_xlfn.XLOOKUP(_xlfn.XLOOKUP($A695,'[1]DATOS PBI Artículos'!$A$4:$A$4,'[1]DATOS PBI Artículos'!$Y$4:$Y$4),[1]CRITERIOS!$P$79:$P$123,[1]CRITERIOS!$S$79:$S$123,),0)</f>
        <v>#N/A</v>
      </c>
      <c r="AB695" s="33" t="e">
        <f t="array" ref="AB695">IF((E695+V695-_xlfn.XLOOKUP(A695,'[1]DATOS PBI Artículos'!$A$4:$A$4,'[1]DATOS PBI Artículos'!$W$4:$W$4))/N695&gt;ROUNDUP([1]CRITERIOS!$M$16/(IF(COUNTIF([1]CRITERIOS!$BG$11:$BG$201,L695)&gt;=1,_xlfn.XLOOKUP(ARTÍCULOS!L695,[1]CRITERIOS!$BG$11:$BG$201,[1]CRITERIOS!$BJ$11:$BJ$201),_xlfn.XLOOKUP(ARTÍCULOS!C695,[1]CRITERIOS!$K$25:$K$42,[1]CRITERIOS!$M$25:$M$42))),0),ROUNDUP([1]CRITERIOS!$M$16/(IF(COUNTIF([1]CRITERIOS!$BG$11:$BG$201,L695)&gt;=1,_xlfn.XLOOKUP(ARTÍCULOS!L695,[1]CRITERIOS!$BG$11:$BG$201:#REF!,[1]CRITERIOS!$BJ$11:$BJ$201),_xlfn.XLOOKUP(ARTÍCULOS!C695,[1]CRITERIOS!$K$25:$K$42,[1]CRITERIOS!$M$25:$M$42))),0),(E695+V695-_xlfn.XLOOKUP(A695,'[1]DATOS PBI Artículos'!$A$4:$A$4,'[1]DATOS PBI Artículos'!$W$4:$W$4))/N695)</f>
        <v>#N/A</v>
      </c>
      <c r="AC695" s="33" t="e">
        <f>IF(N695=0,"",(ROUNDUP((N695/2)/(_xlfn.XLOOKUP(A695,'[1]DATOS PBI Artículos'!$A$4:$A$4,'[1]DATOS PBI Artículos'!$Z$4:$Z$4)*_xlfn.XLOOKUP(_xlfn.XLOOKUP(A695,'[1]DATOS PBI Artículos'!$A$4:$A$4,'[1]DATOS PBI Artículos'!$Y$4:$Y$4),[1]CRITERIOS!$P$79:$P$123,[1]CRITERIOS!$S$79:$S$123)),0)*[1]CRITERIOS!$M$80*([1]CRITERIOS!$M$110/[1]CRITERIOS!$M$86)+(_xlfn.XLOOKUP(A695,'[1]DATOS PBI Artículos'!$A$4:$A$4,'[1]DATOS PBI Artículos'!$AA$4:$AA$4)*([1]CRITERIOS!$M$95+[1]CRITERIOS!$M$98)))/N695)</f>
        <v>#N/A</v>
      </c>
      <c r="AD695" s="33" t="e">
        <f>IF(N695=0,"",(ROUNDUP((N695/2)/(_xlfn.XLOOKUP(A695,'[1]DATOS PBI Artículos'!$A$4:$A$4,'[1]DATOS PBI Artículos'!$Z$4:$Z$4)*_xlfn.XLOOKUP(_xlfn.XLOOKUP(A695,'[1]DATOS PBI Artículos'!$A$4:$A$4,'[1]DATOS PBI Artículos'!$Y$4:$Y$4),[1]CRITERIOS!$P$79:$P$123,[1]CRITERIOS!$S$79:$S$123)),0)*[1]CRITERIOS!$M$80*([1]CRITERIOS!$M$89*[1]CRITERIOS!$M$92)+((_xlfn.XLOOKUP(A695,'[1]DATOS PBI Artículos'!$A$4:$A$4,'[1]DATOS PBI Artículos'!$AA$4:$AA$4)/2)*([1]CRITERIOS!$M$95+[1]CRITERIOS!$M$98)))/N695)</f>
        <v>#N/A</v>
      </c>
      <c r="AE695" s="39" t="e">
        <f>IF($R695="MTO","",
IF($H695=0,ROUNDUP(((_xlfn.XLOOKUP($A695,'[1]DATOS PBI Artículos'!$A:$A,'[1]DATOS PBI Artículos'!$AL:$AL))/(_xlfn.XLOOKUP($AF$1,[1]CRITERIOS!$S$16:$S$39,[1]CRITERIOS!$Y$16:$Y$39))*$J695+$Z695)/$G695,0)*$G695,
((_xlfn.XLOOKUP($A695,'[1]DATOS PBI Artículos'!$A:$A,'[1]DATOS PBI Artículos'!$AL:$AL))/(_xlfn.XLOOKUP($AF$1,[1]CRITERIOS!$S$16:$S$39,[1]CRITERIOS!$Y$16:$Y$39))*$J695+$Z695)))</f>
        <v>#N/A</v>
      </c>
      <c r="AG695" s="39" t="e">
        <f>IF($R695="MTO","",
IF($H695=0,ROUNDUP(((_xlfn.XLOOKUP($A695,'[1]DATOS PBI Artículos'!$A:$A,'[1]DATOS PBI Artículos'!$AM:$AM))/(_xlfn.XLOOKUP($AH$1,[1]CRITERIOS!$S$16:$S$39,[1]CRITERIOS!$Y$16:$Y$39))*$J695+$Z695)/$G695,0)*$G695,
((_xlfn.XLOOKUP($A695,'[1]DATOS PBI Artículos'!$A:$A,'[1]DATOS PBI Artículos'!$AM:$AM))/(_xlfn.XLOOKUP($AH$1,[1]CRITERIOS!$S$16:$S$39,[1]CRITERIOS!$Y$16:$Y$39))*$J695+$Z695)))</f>
        <v>#N/A</v>
      </c>
      <c r="AI695" s="39" t="e">
        <f>IF($R695="MTO","",
IF($H695=0,ROUNDUP(((_xlfn.XLOOKUP($A695,'[1]DATOS PBI Artículos'!$A:$A,'[1]DATOS PBI Artículos'!$AN:$AN))/(_xlfn.XLOOKUP($AJ$1,[1]CRITERIOS!$S$16:$S$39,[1]CRITERIOS!$Y$16:$Y$39))*$J695+$Z695)/$G695,0)*$G695,
((_xlfn.XLOOKUP($A695,'[1]DATOS PBI Artículos'!$A:$A,'[1]DATOS PBI Artículos'!$AN:$AN))/(_xlfn.XLOOKUP($AJ$1,[1]CRITERIOS!$S$16:$S$39,[1]CRITERIOS!$Y$16:$Y$39))*$J695+$Z695)))</f>
        <v>#N/A</v>
      </c>
      <c r="AK695" s="39" t="e">
        <f>IF($R695="MTO","",
IF($H695=0,ROUNDUP(((_xlfn.XLOOKUP($A695,'[1]DATOS PBI Artículos'!$A:$A,'[1]DATOS PBI Artículos'!$AO:$AO))/(_xlfn.XLOOKUP($AL$1,[1]CRITERIOS!$S$16:$S$39,[1]CRITERIOS!$Y$16:$Y$39))*$J695+$Z695)/$G695,0)*$G695,
((_xlfn.XLOOKUP($A695,'[1]DATOS PBI Artículos'!$A:$A,'[1]DATOS PBI Artículos'!$AO:$AO))/(_xlfn.XLOOKUP($AL$1,[1]CRITERIOS!$S$16:$S$39,[1]CRITERIOS!$Y$16:$Y$39))*$J695+$Z695)))</f>
        <v>#N/A</v>
      </c>
    </row>
    <row r="696" spans="1:37" ht="25.8" hidden="1" x14ac:dyDescent="0.4">
      <c r="A696" s="41"/>
      <c r="B696" s="33">
        <f>_xlfn.XLOOKUP($A696,'[1]DATOS PBI Artículos'!A:A,'[1]DATOS PBI Artículos'!B:B)</f>
        <v>0</v>
      </c>
      <c r="C696" s="33">
        <f>_xlfn.XLOOKUP($A696,'[1]DATOS PBI Artículos'!A:A,'[1]DATOS PBI Artículos'!C:C)</f>
        <v>0</v>
      </c>
      <c r="D696" s="33">
        <f>_xlfn.XLOOKUP(A696,'[1]DATOS PBI Artículos'!A:A,'[1]DATOS PBI Artículos'!T:T)</f>
        <v>0</v>
      </c>
      <c r="E696" s="34">
        <f>IF(_xlfn.XLOOKUP($A696,'[1]DATOS PBI Artículos'!A:A,'[1]DATOS PBI Artículos'!AK:AK)="",_xlfn.XLOOKUP($A696,'[1]DATOS PBI Artículos'!A:A,'[1]DATOS PBI Artículos'!AJ:AJ),_xlfn.XLOOKUP($A696,'[1]DATOS PBI Artículos'!A:A,'[1]DATOS PBI Artículos'!AK:AK))</f>
        <v>0</v>
      </c>
      <c r="F696" s="35">
        <f>_xlfn.XLOOKUP($A696,'[1]DATOS PBI Artículos'!A:A,'[1]DATOS PBI Artículos'!AP:AP)</f>
        <v>0</v>
      </c>
      <c r="G696" s="34">
        <f>_xlfn.XLOOKUP($A696,'[1]DATOS PBI Artículos'!A:A,'[1]DATOS PBI Artículos'!AR:AR)</f>
        <v>0</v>
      </c>
      <c r="H696" s="34">
        <f>_xlfn.XLOOKUP($A696,'[1]DATOS PBI Artículos'!A:A,'[1]DATOS PBI Artículos'!AT:AT)</f>
        <v>0</v>
      </c>
      <c r="I696" s="34">
        <f>_xlfn.XLOOKUP($A696,'[1]DATOS PBI Artículos'!A:A,'[1]DATOS PBI Artículos'!AS:AS)</f>
        <v>0</v>
      </c>
      <c r="J696" s="35">
        <f>IF(COUNTIF([1]CRITERIOS!$F$179:$F$199,$A696)&gt;=1,
 IF(O696&lt;&gt;"",
    (O696/_xlfn.XLOOKUP(CONCATENATE(A696,L696),[1]MÁQUINAS!A:A,[1]MÁQUINAS!D:D))/24,
    (N696/_xlfn.XLOOKUP(CONCATENATE(A696,L696),[1]MÁQUINAS!A:A,[1]MÁQUINAS!D:D))/24),
  _xlfn.XLOOKUP($A696,'[1]DATOS PBI Artículos'!A:A,'[1]DATOS PBI Artículos'!AU:AU))</f>
        <v>0</v>
      </c>
      <c r="K696" s="36">
        <f>_xlfn.XLOOKUP($A696,'[1]DATOS PBI Artículos'!A:A,'[1]DATOS PBI Artículos'!AV:AV)</f>
        <v>0</v>
      </c>
      <c r="L696" s="33">
        <f>_xlfn.XLOOKUP(A696,[1]MÁQUINAS!B:B,[1]MÁQUINAS!C:C)</f>
        <v>0</v>
      </c>
      <c r="M696" s="34">
        <f t="array" ref="M696">_xlfn.XLOOKUP(A696,'[1]DATOS PBI Artículos'!A:A,'[1]DATOS PBI Artículos'!AX:$AX)</f>
        <v>0</v>
      </c>
      <c r="N696" s="37" t="e">
        <f>IF(I696="DV",
E696,
IF(COUNTIF([1]CRITERIOS!$I$179:$I$199,$A696)&gt;=1,
_xlfn.XLOOKUP($A696,[1]CRITERIOS!$I$179:$I$199,[1]CRITERIOS!$J$179:$J$199),
IF(COUNTIF([1]CRITERIOS!$L$179:$L$199,$A696)&gt;=1,
_xlfn.CEILING.MATH(IF($M696&gt;$E696,
$E696,
IF($M696&lt;$E696/ROUNDDOWN([1]CRITERIOS!$M$16/_xlfn.XLOOKUP($C696,[1]CRITERIOS!$K$25:$K$42,[1]CRITERIOS!$M$25:$M$42),
1),
E696/ROUNDDOWN([1]CRITERIOS!$M$16/_xlfn.XLOOKUP($C696,[1]CRITERIOS!$K$25:$K$42,[1]CRITERIOS!$M$25:$M$42),
1),
$M696)),
_xlfn.XLOOKUP($A696,[1]CRITERIOS!$L$179:$L$200,[1]CRITERIOS!$M$179:$M$200)),
_xlfn.CEILING.MATH(IF($M696&gt;$E696,
$E696,
IF($M696&lt;$E696/ROUNDDOWN([1]CRITERIOS!$M$16/_xlfn.XLOOKUP($C696,[1]CRITERIOS!$K$25:$K$42,[1]CRITERIOS!$M$25:$M$42),
1),
E696/ROUNDDOWN([1]CRITERIOS!$M$16/_xlfn.XLOOKUP($C696,[1]CRITERIOS!$K$25:$K$42,[1]CRITERIOS!$M$25:$M$42),
1),
$M696)),_xlfn.XLOOKUP(A696,'[1]DATOS PBI Artículos'!A:A,'[1]DATOS PBI Artículos'!Z:Z
)))))</f>
        <v>#N/A</v>
      </c>
      <c r="Q696" s="38" t="e">
        <f>IF(AND(O696="",N696=0),
0,
   IF(COUNTIF([1]CRITERIOS!$F$179:$F$199,$A696)&gt;=1,
   1,
   IF(R696="MTO",
      $D696,
      ROUNDUP(
                    IF(($E696-SUMIF('[1]DATOS PBI Artículos'!A:A,A696,'[1]DATOS PBI Artículos'!X:X)+($V696-_xlfn.XLOOKUP(A696,'[1]DATOS PBI Artículos'!A:A,'[1]DATOS PBI Artículos'!W:W)))&lt;0,
                    0,
                    IF(($E696-SUMIF('[1]DATOS PBI Artículos'!A:A,A696,'[1]DATOS PBI Artículos'!X:X)+$V696-_xlfn.XLOOKUP($A696,'[1]DATOS PBI Artículos'!A:A,'[1]DATOS PBI Artículos'!W:W))/IF($O696="",$N696,$O696)&gt;ROUNDUP([1]CRITERIOS!$M$16/(IF(COUNTIF([1]CRITERIOS!$BG$11:$BG$201,L696)&gt;=1,_xlfn.XLOOKUP($C696,[1]CRITERIOS!$K$25:$K$42,[1]CRITERIOS!$M$25:$M$42),_xlfn.XLOOKUP($C696,[1]CRITERIOS!$K$25:$K$42,[1]CRITERIOS!$M$25:$M$42))),0),
                    ROUNDUP([1]CRITERIOS!$M$16/(IF(COUNTIF([1]CRITERIOS!$BG$11:$BG$201,$L696)&gt;=1,_xlfn.XLOOKUP($C696,[1]CRITERIOS!$K$25:$K$42,[1]CRITERIOS!$M$25:$M$42),_xlfn.XLOOKUP($C696,[1]CRITERIOS!$K$25:$K$42,[1]CRITERIOS!$M$25:$M$42))),0),
                    (E696+V696-SUMIF('[1]DATOS PBI Artículos'!A:A,A696,'[1]DATOS PBI Artículos'!X:X)-_xlfn.XLOOKUP(A696,'[1]DATOS PBI Artículos'!A:A,'[1]DATOS PBI Artículos'!W:W))/IF($O696="",$N696,$O696))),0))))</f>
        <v>#N/A</v>
      </c>
      <c r="R696" s="33" t="e">
        <f>IF(U696&lt;&gt;"",U696,IF(F696="DV","MTO",IF(N696=0,"MTO",_xlfn.XLOOKUP(CONCATENATE(S696,T696),[1]CRITERIOS!$K$160:$K$168,[1]CRITERIOS!$N$160:$N$168))))</f>
        <v>#N/A</v>
      </c>
      <c r="S696" s="33" t="e">
        <f>IF(G696="DV","MTO",IF(N696=0,"MTO",IF(OR(AND(N696=0,O696=""),IF(O696="",G696/N696,G696/O696)&gt;[1]CRITERIOS!$G$163),"MTO",IF(IF(O696="",G696/N696,G696/O696)&lt;[1]CRITERIOS!$H$161,"MTS","MTOS"))))</f>
        <v>#N/A</v>
      </c>
      <c r="T696" s="33" t="e">
        <f>IF(F696="DV","MTO",IF(OR(AND($N696=0,O696=""),$F696/$J696&gt;[1]CRITERIOS!$G$170,$F696="DV"),"MTO",IF($F696/$J696&lt;[1]CRITERIOS!$H$168,"MTS","MTOS")))</f>
        <v>#N/A</v>
      </c>
      <c r="V696" s="34" t="e">
        <f t="shared" si="34"/>
        <v>#N/A</v>
      </c>
      <c r="X696" s="34" t="e">
        <f t="shared" si="32"/>
        <v>#N/A</v>
      </c>
      <c r="Y696" s="34" t="e">
        <f t="shared" si="33"/>
        <v>#N/A</v>
      </c>
      <c r="Z696" s="34" t="e">
        <f>IF($R696="MTO",
0,
($H696+$K696*($E696/[1]CRITERIOS!$M$16))/[1]CRITERIOS!$X$48)</f>
        <v>#N/A</v>
      </c>
      <c r="AA696" s="34" t="e">
        <f>ROUNDUP(($Y696/_xlfn.XLOOKUP($A696,'[1]DATOS PBI Artículos'!$A$4:$A$4,'[1]DATOS PBI Artículos'!$Z$4:$Z$4))/_xlfn.XLOOKUP(_xlfn.XLOOKUP($A696,'[1]DATOS PBI Artículos'!$A$4:$A$4,'[1]DATOS PBI Artículos'!$Y$4:$Y$4),[1]CRITERIOS!$P$79:$P$123,[1]CRITERIOS!$S$79:$S$123,),0)</f>
        <v>#N/A</v>
      </c>
      <c r="AB696" s="33" t="e">
        <f t="array" ref="AB696">IF((E696+V696-_xlfn.XLOOKUP(A696,'[1]DATOS PBI Artículos'!$A$4:$A$4,'[1]DATOS PBI Artículos'!$W$4:$W$4))/N696&gt;ROUNDUP([1]CRITERIOS!$M$16/(IF(COUNTIF([1]CRITERIOS!$BG$11:$BG$201,L696)&gt;=1,_xlfn.XLOOKUP(ARTÍCULOS!L696,[1]CRITERIOS!$BG$11:$BG$201,[1]CRITERIOS!$BJ$11:$BJ$201),_xlfn.XLOOKUP(ARTÍCULOS!C696,[1]CRITERIOS!$K$25:$K$42,[1]CRITERIOS!$M$25:$M$42))),0),ROUNDUP([1]CRITERIOS!$M$16/(IF(COUNTIF([1]CRITERIOS!$BG$11:$BG$201,L696)&gt;=1,_xlfn.XLOOKUP(ARTÍCULOS!L696,[1]CRITERIOS!$BG$11:$BG$201:#REF!,[1]CRITERIOS!$BJ$11:$BJ$201),_xlfn.XLOOKUP(ARTÍCULOS!C696,[1]CRITERIOS!$K$25:$K$42,[1]CRITERIOS!$M$25:$M$42))),0),(E696+V696-_xlfn.XLOOKUP(A696,'[1]DATOS PBI Artículos'!$A$4:$A$4,'[1]DATOS PBI Artículos'!$W$4:$W$4))/N696)</f>
        <v>#N/A</v>
      </c>
      <c r="AC696" s="33" t="e">
        <f>IF(N696=0,"",(ROUNDUP((N696/2)/(_xlfn.XLOOKUP(A696,'[1]DATOS PBI Artículos'!$A$4:$A$4,'[1]DATOS PBI Artículos'!$Z$4:$Z$4)*_xlfn.XLOOKUP(_xlfn.XLOOKUP(A696,'[1]DATOS PBI Artículos'!$A$4:$A$4,'[1]DATOS PBI Artículos'!$Y$4:$Y$4),[1]CRITERIOS!$P$79:$P$123,[1]CRITERIOS!$S$79:$S$123)),0)*[1]CRITERIOS!$M$80*([1]CRITERIOS!$M$110/[1]CRITERIOS!$M$86)+(_xlfn.XLOOKUP(A696,'[1]DATOS PBI Artículos'!$A$4:$A$4,'[1]DATOS PBI Artículos'!$AA$4:$AA$4)*([1]CRITERIOS!$M$95+[1]CRITERIOS!$M$98)))/N696)</f>
        <v>#N/A</v>
      </c>
      <c r="AD696" s="33" t="e">
        <f>IF(N696=0,"",(ROUNDUP((N696/2)/(_xlfn.XLOOKUP(A696,'[1]DATOS PBI Artículos'!$A$4:$A$4,'[1]DATOS PBI Artículos'!$Z$4:$Z$4)*_xlfn.XLOOKUP(_xlfn.XLOOKUP(A696,'[1]DATOS PBI Artículos'!$A$4:$A$4,'[1]DATOS PBI Artículos'!$Y$4:$Y$4),[1]CRITERIOS!$P$79:$P$123,[1]CRITERIOS!$S$79:$S$123)),0)*[1]CRITERIOS!$M$80*([1]CRITERIOS!$M$89*[1]CRITERIOS!$M$92)+((_xlfn.XLOOKUP(A696,'[1]DATOS PBI Artículos'!$A$4:$A$4,'[1]DATOS PBI Artículos'!$AA$4:$AA$4)/2)*([1]CRITERIOS!$M$95+[1]CRITERIOS!$M$98)))/N696)</f>
        <v>#N/A</v>
      </c>
      <c r="AE696" s="39" t="e">
        <f>IF($R696="MTO","",
IF($H696=0,ROUNDUP(((_xlfn.XLOOKUP($A696,'[1]DATOS PBI Artículos'!$A:$A,'[1]DATOS PBI Artículos'!$AL:$AL))/(_xlfn.XLOOKUP($AF$1,[1]CRITERIOS!$S$16:$S$39,[1]CRITERIOS!$Y$16:$Y$39))*$J696+$Z696)/$G696,0)*$G696,
((_xlfn.XLOOKUP($A696,'[1]DATOS PBI Artículos'!$A:$A,'[1]DATOS PBI Artículos'!$AL:$AL))/(_xlfn.XLOOKUP($AF$1,[1]CRITERIOS!$S$16:$S$39,[1]CRITERIOS!$Y$16:$Y$39))*$J696+$Z696)))</f>
        <v>#N/A</v>
      </c>
      <c r="AG696" s="39" t="e">
        <f>IF($R696="MTO","",
IF($H696=0,ROUNDUP(((_xlfn.XLOOKUP($A696,'[1]DATOS PBI Artículos'!$A:$A,'[1]DATOS PBI Artículos'!$AM:$AM))/(_xlfn.XLOOKUP($AH$1,[1]CRITERIOS!$S$16:$S$39,[1]CRITERIOS!$Y$16:$Y$39))*$J696+$Z696)/$G696,0)*$G696,
((_xlfn.XLOOKUP($A696,'[1]DATOS PBI Artículos'!$A:$A,'[1]DATOS PBI Artículos'!$AM:$AM))/(_xlfn.XLOOKUP($AH$1,[1]CRITERIOS!$S$16:$S$39,[1]CRITERIOS!$Y$16:$Y$39))*$J696+$Z696)))</f>
        <v>#N/A</v>
      </c>
      <c r="AI696" s="39" t="e">
        <f>IF($R696="MTO","",
IF($H696=0,ROUNDUP(((_xlfn.XLOOKUP($A696,'[1]DATOS PBI Artículos'!$A:$A,'[1]DATOS PBI Artículos'!$AN:$AN))/(_xlfn.XLOOKUP($AJ$1,[1]CRITERIOS!$S$16:$S$39,[1]CRITERIOS!$Y$16:$Y$39))*$J696+$Z696)/$G696,0)*$G696,
((_xlfn.XLOOKUP($A696,'[1]DATOS PBI Artículos'!$A:$A,'[1]DATOS PBI Artículos'!$AN:$AN))/(_xlfn.XLOOKUP($AJ$1,[1]CRITERIOS!$S$16:$S$39,[1]CRITERIOS!$Y$16:$Y$39))*$J696+$Z696)))</f>
        <v>#N/A</v>
      </c>
      <c r="AK696" s="39" t="e">
        <f>IF($R696="MTO","",
IF($H696=0,ROUNDUP(((_xlfn.XLOOKUP($A696,'[1]DATOS PBI Artículos'!$A:$A,'[1]DATOS PBI Artículos'!$AO:$AO))/(_xlfn.XLOOKUP($AL$1,[1]CRITERIOS!$S$16:$S$39,[1]CRITERIOS!$Y$16:$Y$39))*$J696+$Z696)/$G696,0)*$G696,
((_xlfn.XLOOKUP($A696,'[1]DATOS PBI Artículos'!$A:$A,'[1]DATOS PBI Artículos'!$AO:$AO))/(_xlfn.XLOOKUP($AL$1,[1]CRITERIOS!$S$16:$S$39,[1]CRITERIOS!$Y$16:$Y$39))*$J696+$Z696)))</f>
        <v>#N/A</v>
      </c>
    </row>
    <row r="697" spans="1:37" ht="25.8" hidden="1" x14ac:dyDescent="0.4">
      <c r="A697" s="41"/>
      <c r="B697" s="33">
        <f>_xlfn.XLOOKUP($A697,'[1]DATOS PBI Artículos'!A:A,'[1]DATOS PBI Artículos'!B:B)</f>
        <v>0</v>
      </c>
      <c r="C697" s="33">
        <f>_xlfn.XLOOKUP($A697,'[1]DATOS PBI Artículos'!A:A,'[1]DATOS PBI Artículos'!C:C)</f>
        <v>0</v>
      </c>
      <c r="D697" s="33">
        <f>_xlfn.XLOOKUP(A697,'[1]DATOS PBI Artículos'!A:A,'[1]DATOS PBI Artículos'!T:T)</f>
        <v>0</v>
      </c>
      <c r="E697" s="34">
        <f>IF(_xlfn.XLOOKUP($A697,'[1]DATOS PBI Artículos'!A:A,'[1]DATOS PBI Artículos'!AK:AK)="",_xlfn.XLOOKUP($A697,'[1]DATOS PBI Artículos'!A:A,'[1]DATOS PBI Artículos'!AJ:AJ),_xlfn.XLOOKUP($A697,'[1]DATOS PBI Artículos'!A:A,'[1]DATOS PBI Artículos'!AK:AK))</f>
        <v>0</v>
      </c>
      <c r="F697" s="35">
        <f>_xlfn.XLOOKUP($A697,'[1]DATOS PBI Artículos'!A:A,'[1]DATOS PBI Artículos'!AP:AP)</f>
        <v>0</v>
      </c>
      <c r="G697" s="34">
        <f>_xlfn.XLOOKUP($A697,'[1]DATOS PBI Artículos'!A:A,'[1]DATOS PBI Artículos'!AR:AR)</f>
        <v>0</v>
      </c>
      <c r="H697" s="34">
        <f>_xlfn.XLOOKUP($A697,'[1]DATOS PBI Artículos'!A:A,'[1]DATOS PBI Artículos'!AT:AT)</f>
        <v>0</v>
      </c>
      <c r="I697" s="34">
        <f>_xlfn.XLOOKUP($A697,'[1]DATOS PBI Artículos'!A:A,'[1]DATOS PBI Artículos'!AS:AS)</f>
        <v>0</v>
      </c>
      <c r="J697" s="35">
        <f>IF(COUNTIF([1]CRITERIOS!$F$179:$F$199,$A697)&gt;=1,
 IF(O697&lt;&gt;"",
    (O697/_xlfn.XLOOKUP(CONCATENATE(A697,L697),[1]MÁQUINAS!A:A,[1]MÁQUINAS!D:D))/24,
    (N697/_xlfn.XLOOKUP(CONCATENATE(A697,L697),[1]MÁQUINAS!A:A,[1]MÁQUINAS!D:D))/24),
  _xlfn.XLOOKUP($A697,'[1]DATOS PBI Artículos'!A:A,'[1]DATOS PBI Artículos'!AU:AU))</f>
        <v>0</v>
      </c>
      <c r="K697" s="36">
        <f>_xlfn.XLOOKUP($A697,'[1]DATOS PBI Artículos'!A:A,'[1]DATOS PBI Artículos'!AV:AV)</f>
        <v>0</v>
      </c>
      <c r="L697" s="33">
        <f>_xlfn.XLOOKUP(A697,[1]MÁQUINAS!B:B,[1]MÁQUINAS!C:C)</f>
        <v>0</v>
      </c>
      <c r="M697" s="34">
        <f t="array" ref="M697">_xlfn.XLOOKUP(A697,'[1]DATOS PBI Artículos'!A:A,'[1]DATOS PBI Artículos'!AX:$AX)</f>
        <v>0</v>
      </c>
      <c r="N697" s="37" t="e">
        <f>IF(I697="DV",
E697,
IF(COUNTIF([1]CRITERIOS!$I$179:$I$199,$A697)&gt;=1,
_xlfn.XLOOKUP($A697,[1]CRITERIOS!$I$179:$I$199,[1]CRITERIOS!$J$179:$J$199),
IF(COUNTIF([1]CRITERIOS!$L$179:$L$199,$A697)&gt;=1,
_xlfn.CEILING.MATH(IF($M697&gt;$E697,
$E697,
IF($M697&lt;$E697/ROUNDDOWN([1]CRITERIOS!$M$16/_xlfn.XLOOKUP($C697,[1]CRITERIOS!$K$25:$K$42,[1]CRITERIOS!$M$25:$M$42),
1),
E697/ROUNDDOWN([1]CRITERIOS!$M$16/_xlfn.XLOOKUP($C697,[1]CRITERIOS!$K$25:$K$42,[1]CRITERIOS!$M$25:$M$42),
1),
$M697)),
_xlfn.XLOOKUP($A697,[1]CRITERIOS!$L$179:$L$200,[1]CRITERIOS!$M$179:$M$200)),
_xlfn.CEILING.MATH(IF($M697&gt;$E697,
$E697,
IF($M697&lt;$E697/ROUNDDOWN([1]CRITERIOS!$M$16/_xlfn.XLOOKUP($C697,[1]CRITERIOS!$K$25:$K$42,[1]CRITERIOS!$M$25:$M$42),
1),
E697/ROUNDDOWN([1]CRITERIOS!$M$16/_xlfn.XLOOKUP($C697,[1]CRITERIOS!$K$25:$K$42,[1]CRITERIOS!$M$25:$M$42),
1),
$M697)),_xlfn.XLOOKUP(A697,'[1]DATOS PBI Artículos'!A:A,'[1]DATOS PBI Artículos'!Z:Z
)))))</f>
        <v>#N/A</v>
      </c>
      <c r="Q697" s="38" t="e">
        <f>IF(AND(O697="",N697=0),
0,
   IF(COUNTIF([1]CRITERIOS!$F$179:$F$199,$A697)&gt;=1,
   1,
   IF(R697="MTO",
      $D697,
      ROUNDUP(
                    IF(($E697-SUMIF('[1]DATOS PBI Artículos'!A:A,A697,'[1]DATOS PBI Artículos'!X:X)+($V697-_xlfn.XLOOKUP(A697,'[1]DATOS PBI Artículos'!A:A,'[1]DATOS PBI Artículos'!W:W)))&lt;0,
                    0,
                    IF(($E697-SUMIF('[1]DATOS PBI Artículos'!A:A,A697,'[1]DATOS PBI Artículos'!X:X)+$V697-_xlfn.XLOOKUP($A697,'[1]DATOS PBI Artículos'!A:A,'[1]DATOS PBI Artículos'!W:W))/IF($O697="",$N697,$O697)&gt;ROUNDUP([1]CRITERIOS!$M$16/(IF(COUNTIF([1]CRITERIOS!$BG$11:$BG$201,L697)&gt;=1,_xlfn.XLOOKUP($C697,[1]CRITERIOS!$K$25:$K$42,[1]CRITERIOS!$M$25:$M$42),_xlfn.XLOOKUP($C697,[1]CRITERIOS!$K$25:$K$42,[1]CRITERIOS!$M$25:$M$42))),0),
                    ROUNDUP([1]CRITERIOS!$M$16/(IF(COUNTIF([1]CRITERIOS!$BG$11:$BG$201,$L697)&gt;=1,_xlfn.XLOOKUP($C697,[1]CRITERIOS!$K$25:$K$42,[1]CRITERIOS!$M$25:$M$42),_xlfn.XLOOKUP($C697,[1]CRITERIOS!$K$25:$K$42,[1]CRITERIOS!$M$25:$M$42))),0),
                    (E697+V697-SUMIF('[1]DATOS PBI Artículos'!A:A,A697,'[1]DATOS PBI Artículos'!X:X)-_xlfn.XLOOKUP(A697,'[1]DATOS PBI Artículos'!A:A,'[1]DATOS PBI Artículos'!W:W))/IF($O697="",$N697,$O697))),0))))</f>
        <v>#N/A</v>
      </c>
      <c r="R697" s="33" t="e">
        <f>IF(U697&lt;&gt;"",U697,IF(F697="DV","MTO",IF(N697=0,"MTO",_xlfn.XLOOKUP(CONCATENATE(S697,T697),[1]CRITERIOS!$K$160:$K$168,[1]CRITERIOS!$N$160:$N$168))))</f>
        <v>#N/A</v>
      </c>
      <c r="S697" s="33" t="e">
        <f>IF(G697="DV","MTO",IF(N697=0,"MTO",IF(OR(AND(N697=0,O697=""),IF(O697="",G697/N697,G697/O697)&gt;[1]CRITERIOS!$G$163),"MTO",IF(IF(O697="",G697/N697,G697/O697)&lt;[1]CRITERIOS!$H$161,"MTS","MTOS"))))</f>
        <v>#N/A</v>
      </c>
      <c r="T697" s="33" t="e">
        <f>IF(F697="DV","MTO",IF(OR(AND($N697=0,O697=""),$F697/$J697&gt;[1]CRITERIOS!$G$170,$F697="DV"),"MTO",IF($F697/$J697&lt;[1]CRITERIOS!$H$168,"MTS","MTOS")))</f>
        <v>#N/A</v>
      </c>
      <c r="V697" s="34" t="e">
        <f t="shared" si="34"/>
        <v>#N/A</v>
      </c>
      <c r="X697" s="34" t="e">
        <f t="shared" si="32"/>
        <v>#N/A</v>
      </c>
      <c r="Y697" s="34" t="e">
        <f t="shared" si="33"/>
        <v>#N/A</v>
      </c>
      <c r="Z697" s="34" t="e">
        <f>IF($R697="MTO",
0,
($H697+$K697*($E697/[1]CRITERIOS!$M$16))/[1]CRITERIOS!$X$48)</f>
        <v>#N/A</v>
      </c>
      <c r="AA697" s="34" t="e">
        <f>ROUNDUP(($Y697/_xlfn.XLOOKUP($A697,'[1]DATOS PBI Artículos'!$A$4:$A$4,'[1]DATOS PBI Artículos'!$Z$4:$Z$4))/_xlfn.XLOOKUP(_xlfn.XLOOKUP($A697,'[1]DATOS PBI Artículos'!$A$4:$A$4,'[1]DATOS PBI Artículos'!$Y$4:$Y$4),[1]CRITERIOS!$P$79:$P$123,[1]CRITERIOS!$S$79:$S$123,),0)</f>
        <v>#N/A</v>
      </c>
      <c r="AB697" s="33" t="e">
        <f t="array" ref="AB697">IF((E697+V697-_xlfn.XLOOKUP(A697,'[1]DATOS PBI Artículos'!$A$4:$A$4,'[1]DATOS PBI Artículos'!$W$4:$W$4))/N697&gt;ROUNDUP([1]CRITERIOS!$M$16/(IF(COUNTIF([1]CRITERIOS!$BG$11:$BG$201,L697)&gt;=1,_xlfn.XLOOKUP(ARTÍCULOS!L697,[1]CRITERIOS!$BG$11:$BG$201,[1]CRITERIOS!$BJ$11:$BJ$201),_xlfn.XLOOKUP(ARTÍCULOS!C697,[1]CRITERIOS!$K$25:$K$42,[1]CRITERIOS!$M$25:$M$42))),0),ROUNDUP([1]CRITERIOS!$M$16/(IF(COUNTIF([1]CRITERIOS!$BG$11:$BG$201,L697)&gt;=1,_xlfn.XLOOKUP(ARTÍCULOS!L697,[1]CRITERIOS!$BG$11:$BG$201:#REF!,[1]CRITERIOS!$BJ$11:$BJ$201),_xlfn.XLOOKUP(ARTÍCULOS!C697,[1]CRITERIOS!$K$25:$K$42,[1]CRITERIOS!$M$25:$M$42))),0),(E697+V697-_xlfn.XLOOKUP(A697,'[1]DATOS PBI Artículos'!$A$4:$A$4,'[1]DATOS PBI Artículos'!$W$4:$W$4))/N697)</f>
        <v>#N/A</v>
      </c>
      <c r="AC697" s="33" t="e">
        <f>IF(N697=0,"",(ROUNDUP((N697/2)/(_xlfn.XLOOKUP(A697,'[1]DATOS PBI Artículos'!$A$4:$A$4,'[1]DATOS PBI Artículos'!$Z$4:$Z$4)*_xlfn.XLOOKUP(_xlfn.XLOOKUP(A697,'[1]DATOS PBI Artículos'!$A$4:$A$4,'[1]DATOS PBI Artículos'!$Y$4:$Y$4),[1]CRITERIOS!$P$79:$P$123,[1]CRITERIOS!$S$79:$S$123)),0)*[1]CRITERIOS!$M$80*([1]CRITERIOS!$M$110/[1]CRITERIOS!$M$86)+(_xlfn.XLOOKUP(A697,'[1]DATOS PBI Artículos'!$A$4:$A$4,'[1]DATOS PBI Artículos'!$AA$4:$AA$4)*([1]CRITERIOS!$M$95+[1]CRITERIOS!$M$98)))/N697)</f>
        <v>#N/A</v>
      </c>
      <c r="AD697" s="33" t="e">
        <f>IF(N697=0,"",(ROUNDUP((N697/2)/(_xlfn.XLOOKUP(A697,'[1]DATOS PBI Artículos'!$A$4:$A$4,'[1]DATOS PBI Artículos'!$Z$4:$Z$4)*_xlfn.XLOOKUP(_xlfn.XLOOKUP(A697,'[1]DATOS PBI Artículos'!$A$4:$A$4,'[1]DATOS PBI Artículos'!$Y$4:$Y$4),[1]CRITERIOS!$P$79:$P$123,[1]CRITERIOS!$S$79:$S$123)),0)*[1]CRITERIOS!$M$80*([1]CRITERIOS!$M$89*[1]CRITERIOS!$M$92)+((_xlfn.XLOOKUP(A697,'[1]DATOS PBI Artículos'!$A$4:$A$4,'[1]DATOS PBI Artículos'!$AA$4:$AA$4)/2)*([1]CRITERIOS!$M$95+[1]CRITERIOS!$M$98)))/N697)</f>
        <v>#N/A</v>
      </c>
      <c r="AE697" s="39" t="e">
        <f>IF($R697="MTO","",
IF($H697=0,ROUNDUP(((_xlfn.XLOOKUP($A697,'[1]DATOS PBI Artículos'!$A:$A,'[1]DATOS PBI Artículos'!$AL:$AL))/(_xlfn.XLOOKUP($AF$1,[1]CRITERIOS!$S$16:$S$39,[1]CRITERIOS!$Y$16:$Y$39))*$J697+$Z697)/$G697,0)*$G697,
((_xlfn.XLOOKUP($A697,'[1]DATOS PBI Artículos'!$A:$A,'[1]DATOS PBI Artículos'!$AL:$AL))/(_xlfn.XLOOKUP($AF$1,[1]CRITERIOS!$S$16:$S$39,[1]CRITERIOS!$Y$16:$Y$39))*$J697+$Z697)))</f>
        <v>#N/A</v>
      </c>
      <c r="AG697" s="39" t="e">
        <f>IF($R697="MTO","",
IF($H697=0,ROUNDUP(((_xlfn.XLOOKUP($A697,'[1]DATOS PBI Artículos'!$A:$A,'[1]DATOS PBI Artículos'!$AM:$AM))/(_xlfn.XLOOKUP($AH$1,[1]CRITERIOS!$S$16:$S$39,[1]CRITERIOS!$Y$16:$Y$39))*$J697+$Z697)/$G697,0)*$G697,
((_xlfn.XLOOKUP($A697,'[1]DATOS PBI Artículos'!$A:$A,'[1]DATOS PBI Artículos'!$AM:$AM))/(_xlfn.XLOOKUP($AH$1,[1]CRITERIOS!$S$16:$S$39,[1]CRITERIOS!$Y$16:$Y$39))*$J697+$Z697)))</f>
        <v>#N/A</v>
      </c>
      <c r="AI697" s="39" t="e">
        <f>IF($R697="MTO","",
IF($H697=0,ROUNDUP(((_xlfn.XLOOKUP($A697,'[1]DATOS PBI Artículos'!$A:$A,'[1]DATOS PBI Artículos'!$AN:$AN))/(_xlfn.XLOOKUP($AJ$1,[1]CRITERIOS!$S$16:$S$39,[1]CRITERIOS!$Y$16:$Y$39))*$J697+$Z697)/$G697,0)*$G697,
((_xlfn.XLOOKUP($A697,'[1]DATOS PBI Artículos'!$A:$A,'[1]DATOS PBI Artículos'!$AN:$AN))/(_xlfn.XLOOKUP($AJ$1,[1]CRITERIOS!$S$16:$S$39,[1]CRITERIOS!$Y$16:$Y$39))*$J697+$Z697)))</f>
        <v>#N/A</v>
      </c>
      <c r="AK697" s="39" t="e">
        <f>IF($R697="MTO","",
IF($H697=0,ROUNDUP(((_xlfn.XLOOKUP($A697,'[1]DATOS PBI Artículos'!$A:$A,'[1]DATOS PBI Artículos'!$AO:$AO))/(_xlfn.XLOOKUP($AL$1,[1]CRITERIOS!$S$16:$S$39,[1]CRITERIOS!$Y$16:$Y$39))*$J697+$Z697)/$G697,0)*$G697,
((_xlfn.XLOOKUP($A697,'[1]DATOS PBI Artículos'!$A:$A,'[1]DATOS PBI Artículos'!$AO:$AO))/(_xlfn.XLOOKUP($AL$1,[1]CRITERIOS!$S$16:$S$39,[1]CRITERIOS!$Y$16:$Y$39))*$J697+$Z697)))</f>
        <v>#N/A</v>
      </c>
    </row>
    <row r="698" spans="1:37" ht="25.8" hidden="1" x14ac:dyDescent="0.4">
      <c r="A698" s="41"/>
      <c r="B698" s="33">
        <f>_xlfn.XLOOKUP($A698,'[1]DATOS PBI Artículos'!A:A,'[1]DATOS PBI Artículos'!B:B)</f>
        <v>0</v>
      </c>
      <c r="C698" s="33">
        <f>_xlfn.XLOOKUP($A698,'[1]DATOS PBI Artículos'!A:A,'[1]DATOS PBI Artículos'!C:C)</f>
        <v>0</v>
      </c>
      <c r="D698" s="33">
        <f>_xlfn.XLOOKUP(A698,'[1]DATOS PBI Artículos'!A:A,'[1]DATOS PBI Artículos'!T:T)</f>
        <v>0</v>
      </c>
      <c r="E698" s="34">
        <f>IF(_xlfn.XLOOKUP($A698,'[1]DATOS PBI Artículos'!A:A,'[1]DATOS PBI Artículos'!AK:AK)="",_xlfn.XLOOKUP($A698,'[1]DATOS PBI Artículos'!A:A,'[1]DATOS PBI Artículos'!AJ:AJ),_xlfn.XLOOKUP($A698,'[1]DATOS PBI Artículos'!A:A,'[1]DATOS PBI Artículos'!AK:AK))</f>
        <v>0</v>
      </c>
      <c r="F698" s="35">
        <f>_xlfn.XLOOKUP($A698,'[1]DATOS PBI Artículos'!A:A,'[1]DATOS PBI Artículos'!AP:AP)</f>
        <v>0</v>
      </c>
      <c r="G698" s="34">
        <f>_xlfn.XLOOKUP($A698,'[1]DATOS PBI Artículos'!A:A,'[1]DATOS PBI Artículos'!AR:AR)</f>
        <v>0</v>
      </c>
      <c r="H698" s="34">
        <f>_xlfn.XLOOKUP($A698,'[1]DATOS PBI Artículos'!A:A,'[1]DATOS PBI Artículos'!AT:AT)</f>
        <v>0</v>
      </c>
      <c r="I698" s="34">
        <f>_xlfn.XLOOKUP($A698,'[1]DATOS PBI Artículos'!A:A,'[1]DATOS PBI Artículos'!AS:AS)</f>
        <v>0</v>
      </c>
      <c r="J698" s="35">
        <f>IF(COUNTIF([1]CRITERIOS!$F$179:$F$199,$A698)&gt;=1,
 IF(O698&lt;&gt;"",
    (O698/_xlfn.XLOOKUP(CONCATENATE(A698,L698),[1]MÁQUINAS!A:A,[1]MÁQUINAS!D:D))/24,
    (N698/_xlfn.XLOOKUP(CONCATENATE(A698,L698),[1]MÁQUINAS!A:A,[1]MÁQUINAS!D:D))/24),
  _xlfn.XLOOKUP($A698,'[1]DATOS PBI Artículos'!A:A,'[1]DATOS PBI Artículos'!AU:AU))</f>
        <v>0</v>
      </c>
      <c r="K698" s="36">
        <f>_xlfn.XLOOKUP($A698,'[1]DATOS PBI Artículos'!A:A,'[1]DATOS PBI Artículos'!AV:AV)</f>
        <v>0</v>
      </c>
      <c r="L698" s="33">
        <f>_xlfn.XLOOKUP(A698,[1]MÁQUINAS!B:B,[1]MÁQUINAS!C:C)</f>
        <v>0</v>
      </c>
      <c r="M698" s="34">
        <f t="array" ref="M698">_xlfn.XLOOKUP(A698,'[1]DATOS PBI Artículos'!A:A,'[1]DATOS PBI Artículos'!AX:$AX)</f>
        <v>0</v>
      </c>
      <c r="N698" s="37" t="e">
        <f>IF(I698="DV",
E698,
IF(COUNTIF([1]CRITERIOS!$I$179:$I$199,$A698)&gt;=1,
_xlfn.XLOOKUP($A698,[1]CRITERIOS!$I$179:$I$199,[1]CRITERIOS!$J$179:$J$199),
IF(COUNTIF([1]CRITERIOS!$L$179:$L$199,$A698)&gt;=1,
_xlfn.CEILING.MATH(IF($M698&gt;$E698,
$E698,
IF($M698&lt;$E698/ROUNDDOWN([1]CRITERIOS!$M$16/_xlfn.XLOOKUP($C698,[1]CRITERIOS!$K$25:$K$42,[1]CRITERIOS!$M$25:$M$42),
1),
E698/ROUNDDOWN([1]CRITERIOS!$M$16/_xlfn.XLOOKUP($C698,[1]CRITERIOS!$K$25:$K$42,[1]CRITERIOS!$M$25:$M$42),
1),
$M698)),
_xlfn.XLOOKUP($A698,[1]CRITERIOS!$L$179:$L$200,[1]CRITERIOS!$M$179:$M$200)),
_xlfn.CEILING.MATH(IF($M698&gt;$E698,
$E698,
IF($M698&lt;$E698/ROUNDDOWN([1]CRITERIOS!$M$16/_xlfn.XLOOKUP($C698,[1]CRITERIOS!$K$25:$K$42,[1]CRITERIOS!$M$25:$M$42),
1),
E698/ROUNDDOWN([1]CRITERIOS!$M$16/_xlfn.XLOOKUP($C698,[1]CRITERIOS!$K$25:$K$42,[1]CRITERIOS!$M$25:$M$42),
1),
$M698)),_xlfn.XLOOKUP(A698,'[1]DATOS PBI Artículos'!A:A,'[1]DATOS PBI Artículos'!Z:Z
)))))</f>
        <v>#N/A</v>
      </c>
      <c r="Q698" s="38" t="e">
        <f>IF(AND(O698="",N698=0),
0,
   IF(COUNTIF([1]CRITERIOS!$F$179:$F$199,$A698)&gt;=1,
   1,
   IF(R698="MTO",
      $D698,
      ROUNDUP(
                    IF(($E698-SUMIF('[1]DATOS PBI Artículos'!A:A,A698,'[1]DATOS PBI Artículos'!X:X)+($V698-_xlfn.XLOOKUP(A698,'[1]DATOS PBI Artículos'!A:A,'[1]DATOS PBI Artículos'!W:W)))&lt;0,
                    0,
                    IF(($E698-SUMIF('[1]DATOS PBI Artículos'!A:A,A698,'[1]DATOS PBI Artículos'!X:X)+$V698-_xlfn.XLOOKUP($A698,'[1]DATOS PBI Artículos'!A:A,'[1]DATOS PBI Artículos'!W:W))/IF($O698="",$N698,$O698)&gt;ROUNDUP([1]CRITERIOS!$M$16/(IF(COUNTIF([1]CRITERIOS!$BG$11:$BG$201,L698)&gt;=1,_xlfn.XLOOKUP($C698,[1]CRITERIOS!$K$25:$K$42,[1]CRITERIOS!$M$25:$M$42),_xlfn.XLOOKUP($C698,[1]CRITERIOS!$K$25:$K$42,[1]CRITERIOS!$M$25:$M$42))),0),
                    ROUNDUP([1]CRITERIOS!$M$16/(IF(COUNTIF([1]CRITERIOS!$BG$11:$BG$201,$L698)&gt;=1,_xlfn.XLOOKUP($C698,[1]CRITERIOS!$K$25:$K$42,[1]CRITERIOS!$M$25:$M$42),_xlfn.XLOOKUP($C698,[1]CRITERIOS!$K$25:$K$42,[1]CRITERIOS!$M$25:$M$42))),0),
                    (E698+V698-SUMIF('[1]DATOS PBI Artículos'!A:A,A698,'[1]DATOS PBI Artículos'!X:X)-_xlfn.XLOOKUP(A698,'[1]DATOS PBI Artículos'!A:A,'[1]DATOS PBI Artículos'!W:W))/IF($O698="",$N698,$O698))),0))))</f>
        <v>#N/A</v>
      </c>
      <c r="R698" s="33" t="e">
        <f>IF(U698&lt;&gt;"",U698,IF(F698="DV","MTO",IF(N698=0,"MTO",_xlfn.XLOOKUP(CONCATENATE(S698,T698),[1]CRITERIOS!$K$160:$K$168,[1]CRITERIOS!$N$160:$N$168))))</f>
        <v>#N/A</v>
      </c>
      <c r="S698" s="33" t="e">
        <f>IF(G698="DV","MTO",IF(N698=0,"MTO",IF(OR(AND(N698=0,O698=""),IF(O698="",G698/N698,G698/O698)&gt;[1]CRITERIOS!$G$163),"MTO",IF(IF(O698="",G698/N698,G698/O698)&lt;[1]CRITERIOS!$H$161,"MTS","MTOS"))))</f>
        <v>#N/A</v>
      </c>
      <c r="T698" s="33" t="e">
        <f>IF(F698="DV","MTO",IF(OR(AND($N698=0,O698=""),$F698/$J698&gt;[1]CRITERIOS!$G$170,$F698="DV"),"MTO",IF($F698/$J698&lt;[1]CRITERIOS!$H$168,"MTS","MTOS")))</f>
        <v>#N/A</v>
      </c>
      <c r="V698" s="34" t="e">
        <f t="shared" si="34"/>
        <v>#N/A</v>
      </c>
      <c r="X698" s="34" t="e">
        <f t="shared" si="32"/>
        <v>#N/A</v>
      </c>
      <c r="Y698" s="34" t="e">
        <f t="shared" si="33"/>
        <v>#N/A</v>
      </c>
      <c r="Z698" s="34" t="e">
        <f>IF($R698="MTO",
0,
($H698+$K698*($E698/[1]CRITERIOS!$M$16))/[1]CRITERIOS!$X$48)</f>
        <v>#N/A</v>
      </c>
      <c r="AA698" s="34" t="e">
        <f>ROUNDUP(($Y698/_xlfn.XLOOKUP($A698,'[1]DATOS PBI Artículos'!$A$4:$A$4,'[1]DATOS PBI Artículos'!$Z$4:$Z$4))/_xlfn.XLOOKUP(_xlfn.XLOOKUP($A698,'[1]DATOS PBI Artículos'!$A$4:$A$4,'[1]DATOS PBI Artículos'!$Y$4:$Y$4),[1]CRITERIOS!$P$79:$P$123,[1]CRITERIOS!$S$79:$S$123,),0)</f>
        <v>#N/A</v>
      </c>
      <c r="AB698" s="33" t="e">
        <f t="array" ref="AB698">IF((E698+V698-_xlfn.XLOOKUP(A698,'[1]DATOS PBI Artículos'!$A$4:$A$4,'[1]DATOS PBI Artículos'!$W$4:$W$4))/N698&gt;ROUNDUP([1]CRITERIOS!$M$16/(IF(COUNTIF([1]CRITERIOS!$BG$11:$BG$201,L698)&gt;=1,_xlfn.XLOOKUP(ARTÍCULOS!L698,[1]CRITERIOS!$BG$11:$BG$201,[1]CRITERIOS!$BJ$11:$BJ$201),_xlfn.XLOOKUP(ARTÍCULOS!C698,[1]CRITERIOS!$K$25:$K$42,[1]CRITERIOS!$M$25:$M$42))),0),ROUNDUP([1]CRITERIOS!$M$16/(IF(COUNTIF([1]CRITERIOS!$BG$11:$BG$201,L698)&gt;=1,_xlfn.XLOOKUP(ARTÍCULOS!L698,[1]CRITERIOS!$BG$11:$BG$201:#REF!,[1]CRITERIOS!$BJ$11:$BJ$201),_xlfn.XLOOKUP(ARTÍCULOS!C698,[1]CRITERIOS!$K$25:$K$42,[1]CRITERIOS!$M$25:$M$42))),0),(E698+V698-_xlfn.XLOOKUP(A698,'[1]DATOS PBI Artículos'!$A$4:$A$4,'[1]DATOS PBI Artículos'!$W$4:$W$4))/N698)</f>
        <v>#N/A</v>
      </c>
      <c r="AC698" s="33" t="e">
        <f>IF(N698=0,"",(ROUNDUP((N698/2)/(_xlfn.XLOOKUP(A698,'[1]DATOS PBI Artículos'!$A$4:$A$4,'[1]DATOS PBI Artículos'!$Z$4:$Z$4)*_xlfn.XLOOKUP(_xlfn.XLOOKUP(A698,'[1]DATOS PBI Artículos'!$A$4:$A$4,'[1]DATOS PBI Artículos'!$Y$4:$Y$4),[1]CRITERIOS!$P$79:$P$123,[1]CRITERIOS!$S$79:$S$123)),0)*[1]CRITERIOS!$M$80*([1]CRITERIOS!$M$110/[1]CRITERIOS!$M$86)+(_xlfn.XLOOKUP(A698,'[1]DATOS PBI Artículos'!$A$4:$A$4,'[1]DATOS PBI Artículos'!$AA$4:$AA$4)*([1]CRITERIOS!$M$95+[1]CRITERIOS!$M$98)))/N698)</f>
        <v>#N/A</v>
      </c>
      <c r="AD698" s="33" t="e">
        <f>IF(N698=0,"",(ROUNDUP((N698/2)/(_xlfn.XLOOKUP(A698,'[1]DATOS PBI Artículos'!$A$4:$A$4,'[1]DATOS PBI Artículos'!$Z$4:$Z$4)*_xlfn.XLOOKUP(_xlfn.XLOOKUP(A698,'[1]DATOS PBI Artículos'!$A$4:$A$4,'[1]DATOS PBI Artículos'!$Y$4:$Y$4),[1]CRITERIOS!$P$79:$P$123,[1]CRITERIOS!$S$79:$S$123)),0)*[1]CRITERIOS!$M$80*([1]CRITERIOS!$M$89*[1]CRITERIOS!$M$92)+((_xlfn.XLOOKUP(A698,'[1]DATOS PBI Artículos'!$A$4:$A$4,'[1]DATOS PBI Artículos'!$AA$4:$AA$4)/2)*([1]CRITERIOS!$M$95+[1]CRITERIOS!$M$98)))/N698)</f>
        <v>#N/A</v>
      </c>
      <c r="AE698" s="39" t="e">
        <f>IF($R698="MTO","",
IF($H698=0,ROUNDUP(((_xlfn.XLOOKUP($A698,'[1]DATOS PBI Artículos'!$A:$A,'[1]DATOS PBI Artículos'!$AL:$AL))/(_xlfn.XLOOKUP($AF$1,[1]CRITERIOS!$S$16:$S$39,[1]CRITERIOS!$Y$16:$Y$39))*$J698+$Z698)/$G698,0)*$G698,
((_xlfn.XLOOKUP($A698,'[1]DATOS PBI Artículos'!$A:$A,'[1]DATOS PBI Artículos'!$AL:$AL))/(_xlfn.XLOOKUP($AF$1,[1]CRITERIOS!$S$16:$S$39,[1]CRITERIOS!$Y$16:$Y$39))*$J698+$Z698)))</f>
        <v>#N/A</v>
      </c>
      <c r="AG698" s="39" t="e">
        <f>IF($R698="MTO","",
IF($H698=0,ROUNDUP(((_xlfn.XLOOKUP($A698,'[1]DATOS PBI Artículos'!$A:$A,'[1]DATOS PBI Artículos'!$AM:$AM))/(_xlfn.XLOOKUP($AH$1,[1]CRITERIOS!$S$16:$S$39,[1]CRITERIOS!$Y$16:$Y$39))*$J698+$Z698)/$G698,0)*$G698,
((_xlfn.XLOOKUP($A698,'[1]DATOS PBI Artículos'!$A:$A,'[1]DATOS PBI Artículos'!$AM:$AM))/(_xlfn.XLOOKUP($AH$1,[1]CRITERIOS!$S$16:$S$39,[1]CRITERIOS!$Y$16:$Y$39))*$J698+$Z698)))</f>
        <v>#N/A</v>
      </c>
      <c r="AI698" s="39" t="e">
        <f>IF($R698="MTO","",
IF($H698=0,ROUNDUP(((_xlfn.XLOOKUP($A698,'[1]DATOS PBI Artículos'!$A:$A,'[1]DATOS PBI Artículos'!$AN:$AN))/(_xlfn.XLOOKUP($AJ$1,[1]CRITERIOS!$S$16:$S$39,[1]CRITERIOS!$Y$16:$Y$39))*$J698+$Z698)/$G698,0)*$G698,
((_xlfn.XLOOKUP($A698,'[1]DATOS PBI Artículos'!$A:$A,'[1]DATOS PBI Artículos'!$AN:$AN))/(_xlfn.XLOOKUP($AJ$1,[1]CRITERIOS!$S$16:$S$39,[1]CRITERIOS!$Y$16:$Y$39))*$J698+$Z698)))</f>
        <v>#N/A</v>
      </c>
      <c r="AK698" s="39" t="e">
        <f>IF($R698="MTO","",
IF($H698=0,ROUNDUP(((_xlfn.XLOOKUP($A698,'[1]DATOS PBI Artículos'!$A:$A,'[1]DATOS PBI Artículos'!$AO:$AO))/(_xlfn.XLOOKUP($AL$1,[1]CRITERIOS!$S$16:$S$39,[1]CRITERIOS!$Y$16:$Y$39))*$J698+$Z698)/$G698,0)*$G698,
((_xlfn.XLOOKUP($A698,'[1]DATOS PBI Artículos'!$A:$A,'[1]DATOS PBI Artículos'!$AO:$AO))/(_xlfn.XLOOKUP($AL$1,[1]CRITERIOS!$S$16:$S$39,[1]CRITERIOS!$Y$16:$Y$39))*$J698+$Z698)))</f>
        <v>#N/A</v>
      </c>
    </row>
    <row r="699" spans="1:37" ht="25.8" hidden="1" x14ac:dyDescent="0.4">
      <c r="A699" s="41"/>
      <c r="B699" s="33">
        <f>_xlfn.XLOOKUP($A699,'[1]DATOS PBI Artículos'!A:A,'[1]DATOS PBI Artículos'!B:B)</f>
        <v>0</v>
      </c>
      <c r="C699" s="33">
        <f>_xlfn.XLOOKUP($A699,'[1]DATOS PBI Artículos'!A:A,'[1]DATOS PBI Artículos'!C:C)</f>
        <v>0</v>
      </c>
      <c r="D699" s="33">
        <f>_xlfn.XLOOKUP(A699,'[1]DATOS PBI Artículos'!A:A,'[1]DATOS PBI Artículos'!T:T)</f>
        <v>0</v>
      </c>
      <c r="E699" s="34">
        <f>IF(_xlfn.XLOOKUP($A699,'[1]DATOS PBI Artículos'!A:A,'[1]DATOS PBI Artículos'!AK:AK)="",_xlfn.XLOOKUP($A699,'[1]DATOS PBI Artículos'!A:A,'[1]DATOS PBI Artículos'!AJ:AJ),_xlfn.XLOOKUP($A699,'[1]DATOS PBI Artículos'!A:A,'[1]DATOS PBI Artículos'!AK:AK))</f>
        <v>0</v>
      </c>
      <c r="F699" s="35">
        <f>_xlfn.XLOOKUP($A699,'[1]DATOS PBI Artículos'!A:A,'[1]DATOS PBI Artículos'!AP:AP)</f>
        <v>0</v>
      </c>
      <c r="G699" s="34">
        <f>_xlfn.XLOOKUP($A699,'[1]DATOS PBI Artículos'!A:A,'[1]DATOS PBI Artículos'!AR:AR)</f>
        <v>0</v>
      </c>
      <c r="H699" s="34">
        <f>_xlfn.XLOOKUP($A699,'[1]DATOS PBI Artículos'!A:A,'[1]DATOS PBI Artículos'!AT:AT)</f>
        <v>0</v>
      </c>
      <c r="I699" s="34">
        <f>_xlfn.XLOOKUP($A699,'[1]DATOS PBI Artículos'!A:A,'[1]DATOS PBI Artículos'!AS:AS)</f>
        <v>0</v>
      </c>
      <c r="J699" s="35">
        <f>IF(COUNTIF([1]CRITERIOS!$F$179:$F$199,$A699)&gt;=1,
 IF(O699&lt;&gt;"",
    (O699/_xlfn.XLOOKUP(CONCATENATE(A699,L699),[1]MÁQUINAS!A:A,[1]MÁQUINAS!D:D))/24,
    (N699/_xlfn.XLOOKUP(CONCATENATE(A699,L699),[1]MÁQUINAS!A:A,[1]MÁQUINAS!D:D))/24),
  _xlfn.XLOOKUP($A699,'[1]DATOS PBI Artículos'!A:A,'[1]DATOS PBI Artículos'!AU:AU))</f>
        <v>0</v>
      </c>
      <c r="K699" s="36">
        <f>_xlfn.XLOOKUP($A699,'[1]DATOS PBI Artículos'!A:A,'[1]DATOS PBI Artículos'!AV:AV)</f>
        <v>0</v>
      </c>
      <c r="L699" s="33">
        <f>_xlfn.XLOOKUP(A699,[1]MÁQUINAS!B:B,[1]MÁQUINAS!C:C)</f>
        <v>0</v>
      </c>
      <c r="M699" s="34">
        <f t="array" ref="M699">_xlfn.XLOOKUP(A699,'[1]DATOS PBI Artículos'!A:A,'[1]DATOS PBI Artículos'!AX:$AX)</f>
        <v>0</v>
      </c>
      <c r="N699" s="37" t="e">
        <f>IF(I699="DV",
E699,
IF(COUNTIF([1]CRITERIOS!$I$179:$I$199,$A699)&gt;=1,
_xlfn.XLOOKUP($A699,[1]CRITERIOS!$I$179:$I$199,[1]CRITERIOS!$J$179:$J$199),
IF(COUNTIF([1]CRITERIOS!$L$179:$L$199,$A699)&gt;=1,
_xlfn.CEILING.MATH(IF($M699&gt;$E699,
$E699,
IF($M699&lt;$E699/ROUNDDOWN([1]CRITERIOS!$M$16/_xlfn.XLOOKUP($C699,[1]CRITERIOS!$K$25:$K$42,[1]CRITERIOS!$M$25:$M$42),
1),
E699/ROUNDDOWN([1]CRITERIOS!$M$16/_xlfn.XLOOKUP($C699,[1]CRITERIOS!$K$25:$K$42,[1]CRITERIOS!$M$25:$M$42),
1),
$M699)),
_xlfn.XLOOKUP($A699,[1]CRITERIOS!$L$179:$L$200,[1]CRITERIOS!$M$179:$M$200)),
_xlfn.CEILING.MATH(IF($M699&gt;$E699,
$E699,
IF($M699&lt;$E699/ROUNDDOWN([1]CRITERIOS!$M$16/_xlfn.XLOOKUP($C699,[1]CRITERIOS!$K$25:$K$42,[1]CRITERIOS!$M$25:$M$42),
1),
E699/ROUNDDOWN([1]CRITERIOS!$M$16/_xlfn.XLOOKUP($C699,[1]CRITERIOS!$K$25:$K$42,[1]CRITERIOS!$M$25:$M$42),
1),
$M699)),_xlfn.XLOOKUP(A699,'[1]DATOS PBI Artículos'!A:A,'[1]DATOS PBI Artículos'!Z:Z
)))))</f>
        <v>#N/A</v>
      </c>
      <c r="Q699" s="38" t="e">
        <f>IF(AND(O699="",N699=0),
0,
   IF(COUNTIF([1]CRITERIOS!$F$179:$F$199,$A699)&gt;=1,
   1,
   IF(R699="MTO",
      $D699,
      ROUNDUP(
                    IF(($E699-SUMIF('[1]DATOS PBI Artículos'!A:A,A699,'[1]DATOS PBI Artículos'!X:X)+($V699-_xlfn.XLOOKUP(A699,'[1]DATOS PBI Artículos'!A:A,'[1]DATOS PBI Artículos'!W:W)))&lt;0,
                    0,
                    IF(($E699-SUMIF('[1]DATOS PBI Artículos'!A:A,A699,'[1]DATOS PBI Artículos'!X:X)+$V699-_xlfn.XLOOKUP($A699,'[1]DATOS PBI Artículos'!A:A,'[1]DATOS PBI Artículos'!W:W))/IF($O699="",$N699,$O699)&gt;ROUNDUP([1]CRITERIOS!$M$16/(IF(COUNTIF([1]CRITERIOS!$BG$11:$BG$201,L699)&gt;=1,_xlfn.XLOOKUP($C699,[1]CRITERIOS!$K$25:$K$42,[1]CRITERIOS!$M$25:$M$42),_xlfn.XLOOKUP($C699,[1]CRITERIOS!$K$25:$K$42,[1]CRITERIOS!$M$25:$M$42))),0),
                    ROUNDUP([1]CRITERIOS!$M$16/(IF(COUNTIF([1]CRITERIOS!$BG$11:$BG$201,$L699)&gt;=1,_xlfn.XLOOKUP($C699,[1]CRITERIOS!$K$25:$K$42,[1]CRITERIOS!$M$25:$M$42),_xlfn.XLOOKUP($C699,[1]CRITERIOS!$K$25:$K$42,[1]CRITERIOS!$M$25:$M$42))),0),
                    (E699+V699-SUMIF('[1]DATOS PBI Artículos'!A:A,A699,'[1]DATOS PBI Artículos'!X:X)-_xlfn.XLOOKUP(A699,'[1]DATOS PBI Artículos'!A:A,'[1]DATOS PBI Artículos'!W:W))/IF($O699="",$N699,$O699))),0))))</f>
        <v>#N/A</v>
      </c>
      <c r="R699" s="33" t="e">
        <f>IF(U699&lt;&gt;"",U699,IF(F699="DV","MTO",IF(N699=0,"MTO",_xlfn.XLOOKUP(CONCATENATE(S699,T699),[1]CRITERIOS!$K$160:$K$168,[1]CRITERIOS!$N$160:$N$168))))</f>
        <v>#N/A</v>
      </c>
      <c r="S699" s="33" t="e">
        <f>IF(G699="DV","MTO",IF(N699=0,"MTO",IF(OR(AND(N699=0,O699=""),IF(O699="",G699/N699,G699/O699)&gt;[1]CRITERIOS!$G$163),"MTO",IF(IF(O699="",G699/N699,G699/O699)&lt;[1]CRITERIOS!$H$161,"MTS","MTOS"))))</f>
        <v>#N/A</v>
      </c>
      <c r="T699" s="33" t="e">
        <f>IF(F699="DV","MTO",IF(OR(AND($N699=0,O699=""),$F699/$J699&gt;[1]CRITERIOS!$G$170,$F699="DV"),"MTO",IF($F699/$J699&lt;[1]CRITERIOS!$H$168,"MTS","MTOS")))</f>
        <v>#N/A</v>
      </c>
      <c r="V699" s="34" t="e">
        <f t="shared" si="34"/>
        <v>#N/A</v>
      </c>
      <c r="X699" s="34" t="e">
        <f t="shared" si="32"/>
        <v>#N/A</v>
      </c>
      <c r="Y699" s="34" t="e">
        <f t="shared" si="33"/>
        <v>#N/A</v>
      </c>
      <c r="Z699" s="34" t="e">
        <f>IF($R699="MTO",
0,
($H699+$K699*($E699/[1]CRITERIOS!$M$16))/[1]CRITERIOS!$X$48)</f>
        <v>#N/A</v>
      </c>
      <c r="AA699" s="34" t="e">
        <f>ROUNDUP(($Y699/_xlfn.XLOOKUP($A699,'[1]DATOS PBI Artículos'!$A$4:$A$4,'[1]DATOS PBI Artículos'!$Z$4:$Z$4))/_xlfn.XLOOKUP(_xlfn.XLOOKUP($A699,'[1]DATOS PBI Artículos'!$A$4:$A$4,'[1]DATOS PBI Artículos'!$Y$4:$Y$4),[1]CRITERIOS!$P$79:$P$123,[1]CRITERIOS!$S$79:$S$123,),0)</f>
        <v>#N/A</v>
      </c>
      <c r="AB699" s="33" t="e">
        <f t="array" ref="AB699">IF((E699+V699-_xlfn.XLOOKUP(A699,'[1]DATOS PBI Artículos'!$A$4:$A$4,'[1]DATOS PBI Artículos'!$W$4:$W$4))/N699&gt;ROUNDUP([1]CRITERIOS!$M$16/(IF(COUNTIF([1]CRITERIOS!$BG$11:$BG$201,L699)&gt;=1,_xlfn.XLOOKUP(ARTÍCULOS!L699,[1]CRITERIOS!$BG$11:$BG$201,[1]CRITERIOS!$BJ$11:$BJ$201),_xlfn.XLOOKUP(ARTÍCULOS!C699,[1]CRITERIOS!$K$25:$K$42,[1]CRITERIOS!$M$25:$M$42))),0),ROUNDUP([1]CRITERIOS!$M$16/(IF(COUNTIF([1]CRITERIOS!$BG$11:$BG$201,L699)&gt;=1,_xlfn.XLOOKUP(ARTÍCULOS!L699,[1]CRITERIOS!$BG$11:$BG$201:#REF!,[1]CRITERIOS!$BJ$11:$BJ$201),_xlfn.XLOOKUP(ARTÍCULOS!C699,[1]CRITERIOS!$K$25:$K$42,[1]CRITERIOS!$M$25:$M$42))),0),(E699+V699-_xlfn.XLOOKUP(A699,'[1]DATOS PBI Artículos'!$A$4:$A$4,'[1]DATOS PBI Artículos'!$W$4:$W$4))/N699)</f>
        <v>#N/A</v>
      </c>
      <c r="AC699" s="33" t="e">
        <f>IF(N699=0,"",(ROUNDUP((N699/2)/(_xlfn.XLOOKUP(A699,'[1]DATOS PBI Artículos'!$A$4:$A$4,'[1]DATOS PBI Artículos'!$Z$4:$Z$4)*_xlfn.XLOOKUP(_xlfn.XLOOKUP(A699,'[1]DATOS PBI Artículos'!$A$4:$A$4,'[1]DATOS PBI Artículos'!$Y$4:$Y$4),[1]CRITERIOS!$P$79:$P$123,[1]CRITERIOS!$S$79:$S$123)),0)*[1]CRITERIOS!$M$80*([1]CRITERIOS!$M$110/[1]CRITERIOS!$M$86)+(_xlfn.XLOOKUP(A699,'[1]DATOS PBI Artículos'!$A$4:$A$4,'[1]DATOS PBI Artículos'!$AA$4:$AA$4)*([1]CRITERIOS!$M$95+[1]CRITERIOS!$M$98)))/N699)</f>
        <v>#N/A</v>
      </c>
      <c r="AD699" s="33" t="e">
        <f>IF(N699=0,"",(ROUNDUP((N699/2)/(_xlfn.XLOOKUP(A699,'[1]DATOS PBI Artículos'!$A$4:$A$4,'[1]DATOS PBI Artículos'!$Z$4:$Z$4)*_xlfn.XLOOKUP(_xlfn.XLOOKUP(A699,'[1]DATOS PBI Artículos'!$A$4:$A$4,'[1]DATOS PBI Artículos'!$Y$4:$Y$4),[1]CRITERIOS!$P$79:$P$123,[1]CRITERIOS!$S$79:$S$123)),0)*[1]CRITERIOS!$M$80*([1]CRITERIOS!$M$89*[1]CRITERIOS!$M$92)+((_xlfn.XLOOKUP(A699,'[1]DATOS PBI Artículos'!$A$4:$A$4,'[1]DATOS PBI Artículos'!$AA$4:$AA$4)/2)*([1]CRITERIOS!$M$95+[1]CRITERIOS!$M$98)))/N699)</f>
        <v>#N/A</v>
      </c>
      <c r="AE699" s="39" t="e">
        <f>IF($R699="MTO","",
IF($H699=0,ROUNDUP(((_xlfn.XLOOKUP($A699,'[1]DATOS PBI Artículos'!$A:$A,'[1]DATOS PBI Artículos'!$AL:$AL))/(_xlfn.XLOOKUP($AF$1,[1]CRITERIOS!$S$16:$S$39,[1]CRITERIOS!$Y$16:$Y$39))*$J699+$Z699)/$G699,0)*$G699,
((_xlfn.XLOOKUP($A699,'[1]DATOS PBI Artículos'!$A:$A,'[1]DATOS PBI Artículos'!$AL:$AL))/(_xlfn.XLOOKUP($AF$1,[1]CRITERIOS!$S$16:$S$39,[1]CRITERIOS!$Y$16:$Y$39))*$J699+$Z699)))</f>
        <v>#N/A</v>
      </c>
      <c r="AG699" s="39" t="e">
        <f>IF($R699="MTO","",
IF($H699=0,ROUNDUP(((_xlfn.XLOOKUP($A699,'[1]DATOS PBI Artículos'!$A:$A,'[1]DATOS PBI Artículos'!$AM:$AM))/(_xlfn.XLOOKUP($AH$1,[1]CRITERIOS!$S$16:$S$39,[1]CRITERIOS!$Y$16:$Y$39))*$J699+$Z699)/$G699,0)*$G699,
((_xlfn.XLOOKUP($A699,'[1]DATOS PBI Artículos'!$A:$A,'[1]DATOS PBI Artículos'!$AM:$AM))/(_xlfn.XLOOKUP($AH$1,[1]CRITERIOS!$S$16:$S$39,[1]CRITERIOS!$Y$16:$Y$39))*$J699+$Z699)))</f>
        <v>#N/A</v>
      </c>
      <c r="AI699" s="39" t="e">
        <f>IF($R699="MTO","",
IF($H699=0,ROUNDUP(((_xlfn.XLOOKUP($A699,'[1]DATOS PBI Artículos'!$A:$A,'[1]DATOS PBI Artículos'!$AN:$AN))/(_xlfn.XLOOKUP($AJ$1,[1]CRITERIOS!$S$16:$S$39,[1]CRITERIOS!$Y$16:$Y$39))*$J699+$Z699)/$G699,0)*$G699,
((_xlfn.XLOOKUP($A699,'[1]DATOS PBI Artículos'!$A:$A,'[1]DATOS PBI Artículos'!$AN:$AN))/(_xlfn.XLOOKUP($AJ$1,[1]CRITERIOS!$S$16:$S$39,[1]CRITERIOS!$Y$16:$Y$39))*$J699+$Z699)))</f>
        <v>#N/A</v>
      </c>
      <c r="AK699" s="39" t="e">
        <f>IF($R699="MTO","",
IF($H699=0,ROUNDUP(((_xlfn.XLOOKUP($A699,'[1]DATOS PBI Artículos'!$A:$A,'[1]DATOS PBI Artículos'!$AO:$AO))/(_xlfn.XLOOKUP($AL$1,[1]CRITERIOS!$S$16:$S$39,[1]CRITERIOS!$Y$16:$Y$39))*$J699+$Z699)/$G699,0)*$G699,
((_xlfn.XLOOKUP($A699,'[1]DATOS PBI Artículos'!$A:$A,'[1]DATOS PBI Artículos'!$AO:$AO))/(_xlfn.XLOOKUP($AL$1,[1]CRITERIOS!$S$16:$S$39,[1]CRITERIOS!$Y$16:$Y$39))*$J699+$Z699)))</f>
        <v>#N/A</v>
      </c>
    </row>
    <row r="700" spans="1:37" ht="25.8" hidden="1" x14ac:dyDescent="0.4">
      <c r="A700" s="41"/>
      <c r="B700" s="33">
        <f>_xlfn.XLOOKUP($A700,'[1]DATOS PBI Artículos'!A:A,'[1]DATOS PBI Artículos'!B:B)</f>
        <v>0</v>
      </c>
      <c r="C700" s="33">
        <f>_xlfn.XLOOKUP($A700,'[1]DATOS PBI Artículos'!A:A,'[1]DATOS PBI Artículos'!C:C)</f>
        <v>0</v>
      </c>
      <c r="D700" s="33">
        <f>_xlfn.XLOOKUP(A700,'[1]DATOS PBI Artículos'!A:A,'[1]DATOS PBI Artículos'!T:T)</f>
        <v>0</v>
      </c>
      <c r="E700" s="34">
        <f>IF(_xlfn.XLOOKUP($A700,'[1]DATOS PBI Artículos'!A:A,'[1]DATOS PBI Artículos'!AK:AK)="",_xlfn.XLOOKUP($A700,'[1]DATOS PBI Artículos'!A:A,'[1]DATOS PBI Artículos'!AJ:AJ),_xlfn.XLOOKUP($A700,'[1]DATOS PBI Artículos'!A:A,'[1]DATOS PBI Artículos'!AK:AK))</f>
        <v>0</v>
      </c>
      <c r="F700" s="35">
        <f>_xlfn.XLOOKUP($A700,'[1]DATOS PBI Artículos'!A:A,'[1]DATOS PBI Artículos'!AP:AP)</f>
        <v>0</v>
      </c>
      <c r="G700" s="34">
        <f>_xlfn.XLOOKUP($A700,'[1]DATOS PBI Artículos'!A:A,'[1]DATOS PBI Artículos'!AR:AR)</f>
        <v>0</v>
      </c>
      <c r="H700" s="34">
        <f>_xlfn.XLOOKUP($A700,'[1]DATOS PBI Artículos'!A:A,'[1]DATOS PBI Artículos'!AT:AT)</f>
        <v>0</v>
      </c>
      <c r="I700" s="34">
        <f>_xlfn.XLOOKUP($A700,'[1]DATOS PBI Artículos'!A:A,'[1]DATOS PBI Artículos'!AS:AS)</f>
        <v>0</v>
      </c>
      <c r="J700" s="35">
        <f>IF(COUNTIF([1]CRITERIOS!$F$179:$F$199,$A700)&gt;=1,
 IF(O700&lt;&gt;"",
    (O700/_xlfn.XLOOKUP(CONCATENATE(A700,L700),[1]MÁQUINAS!A:A,[1]MÁQUINAS!D:D))/24,
    (N700/_xlfn.XLOOKUP(CONCATENATE(A700,L700),[1]MÁQUINAS!A:A,[1]MÁQUINAS!D:D))/24),
  _xlfn.XLOOKUP($A700,'[1]DATOS PBI Artículos'!A:A,'[1]DATOS PBI Artículos'!AU:AU))</f>
        <v>0</v>
      </c>
      <c r="K700" s="36">
        <f>_xlfn.XLOOKUP($A700,'[1]DATOS PBI Artículos'!A:A,'[1]DATOS PBI Artículos'!AV:AV)</f>
        <v>0</v>
      </c>
      <c r="L700" s="33">
        <f>_xlfn.XLOOKUP(A700,[1]MÁQUINAS!B:B,[1]MÁQUINAS!C:C)</f>
        <v>0</v>
      </c>
      <c r="M700" s="34">
        <f t="array" ref="M700">_xlfn.XLOOKUP(A700,'[1]DATOS PBI Artículos'!A:A,'[1]DATOS PBI Artículos'!AX:$AX)</f>
        <v>0</v>
      </c>
      <c r="N700" s="37" t="e">
        <f>IF(I700="DV",
E700,
IF(COUNTIF([1]CRITERIOS!$I$179:$I$199,$A700)&gt;=1,
_xlfn.XLOOKUP($A700,[1]CRITERIOS!$I$179:$I$199,[1]CRITERIOS!$J$179:$J$199),
IF(COUNTIF([1]CRITERIOS!$L$179:$L$199,$A700)&gt;=1,
_xlfn.CEILING.MATH(IF($M700&gt;$E700,
$E700,
IF($M700&lt;$E700/ROUNDDOWN([1]CRITERIOS!$M$16/_xlfn.XLOOKUP($C700,[1]CRITERIOS!$K$25:$K$42,[1]CRITERIOS!$M$25:$M$42),
1),
E700/ROUNDDOWN([1]CRITERIOS!$M$16/_xlfn.XLOOKUP($C700,[1]CRITERIOS!$K$25:$K$42,[1]CRITERIOS!$M$25:$M$42),
1),
$M700)),
_xlfn.XLOOKUP($A700,[1]CRITERIOS!$L$179:$L$200,[1]CRITERIOS!$M$179:$M$200)),
_xlfn.CEILING.MATH(IF($M700&gt;$E700,
$E700,
IF($M700&lt;$E700/ROUNDDOWN([1]CRITERIOS!$M$16/_xlfn.XLOOKUP($C700,[1]CRITERIOS!$K$25:$K$42,[1]CRITERIOS!$M$25:$M$42),
1),
E700/ROUNDDOWN([1]CRITERIOS!$M$16/_xlfn.XLOOKUP($C700,[1]CRITERIOS!$K$25:$K$42,[1]CRITERIOS!$M$25:$M$42),
1),
$M700)),_xlfn.XLOOKUP(A700,'[1]DATOS PBI Artículos'!A:A,'[1]DATOS PBI Artículos'!Z:Z
)))))</f>
        <v>#N/A</v>
      </c>
      <c r="Q700" s="38" t="e">
        <f>IF(AND(O700="",N700=0),
0,
   IF(COUNTIF([1]CRITERIOS!$F$179:$F$199,$A700)&gt;=1,
   1,
   IF(R700="MTO",
      $D700,
      ROUNDUP(
                    IF(($E700-SUMIF('[1]DATOS PBI Artículos'!A:A,A700,'[1]DATOS PBI Artículos'!X:X)+($V700-_xlfn.XLOOKUP(A700,'[1]DATOS PBI Artículos'!A:A,'[1]DATOS PBI Artículos'!W:W)))&lt;0,
                    0,
                    IF(($E700-SUMIF('[1]DATOS PBI Artículos'!A:A,A700,'[1]DATOS PBI Artículos'!X:X)+$V700-_xlfn.XLOOKUP($A700,'[1]DATOS PBI Artículos'!A:A,'[1]DATOS PBI Artículos'!W:W))/IF($O700="",$N700,$O700)&gt;ROUNDUP([1]CRITERIOS!$M$16/(IF(COUNTIF([1]CRITERIOS!$BG$11:$BG$201,L700)&gt;=1,_xlfn.XLOOKUP($C700,[1]CRITERIOS!$K$25:$K$42,[1]CRITERIOS!$M$25:$M$42),_xlfn.XLOOKUP($C700,[1]CRITERIOS!$K$25:$K$42,[1]CRITERIOS!$M$25:$M$42))),0),
                    ROUNDUP([1]CRITERIOS!$M$16/(IF(COUNTIF([1]CRITERIOS!$BG$11:$BG$201,$L700)&gt;=1,_xlfn.XLOOKUP($C700,[1]CRITERIOS!$K$25:$K$42,[1]CRITERIOS!$M$25:$M$42),_xlfn.XLOOKUP($C700,[1]CRITERIOS!$K$25:$K$42,[1]CRITERIOS!$M$25:$M$42))),0),
                    (E700+V700-SUMIF('[1]DATOS PBI Artículos'!A:A,A700,'[1]DATOS PBI Artículos'!X:X)-_xlfn.XLOOKUP(A700,'[1]DATOS PBI Artículos'!A:A,'[1]DATOS PBI Artículos'!W:W))/IF($O700="",$N700,$O700))),0))))</f>
        <v>#N/A</v>
      </c>
      <c r="R700" s="33" t="e">
        <f>IF(U700&lt;&gt;"",U700,IF(F700="DV","MTO",IF(N700=0,"MTO",_xlfn.XLOOKUP(CONCATENATE(S700,T700),[1]CRITERIOS!$K$160:$K$168,[1]CRITERIOS!$N$160:$N$168))))</f>
        <v>#N/A</v>
      </c>
      <c r="S700" s="33" t="e">
        <f>IF(G700="DV","MTO",IF(N700=0,"MTO",IF(OR(AND(N700=0,O700=""),IF(O700="",G700/N700,G700/O700)&gt;[1]CRITERIOS!$G$163),"MTO",IF(IF(O700="",G700/N700,G700/O700)&lt;[1]CRITERIOS!$H$161,"MTS","MTOS"))))</f>
        <v>#N/A</v>
      </c>
      <c r="T700" s="33" t="e">
        <f>IF(F700="DV","MTO",IF(OR(AND($N700=0,O700=""),$F700/$J700&gt;[1]CRITERIOS!$G$170,$F700="DV"),"MTO",IF($F700/$J700&lt;[1]CRITERIOS!$H$168,"MTS","MTOS")))</f>
        <v>#N/A</v>
      </c>
      <c r="V700" s="34" t="e">
        <f t="shared" si="34"/>
        <v>#N/A</v>
      </c>
      <c r="X700" s="34" t="e">
        <f t="shared" si="32"/>
        <v>#N/A</v>
      </c>
      <c r="Y700" s="34" t="e">
        <f t="shared" si="33"/>
        <v>#N/A</v>
      </c>
      <c r="Z700" s="34" t="e">
        <f>IF($R700="MTO",
0,
($H700+$K700*($E700/[1]CRITERIOS!$M$16))/[1]CRITERIOS!$X$48)</f>
        <v>#N/A</v>
      </c>
      <c r="AA700" s="34" t="e">
        <f>ROUNDUP(($Y700/_xlfn.XLOOKUP($A700,'[1]DATOS PBI Artículos'!$A$4:$A$4,'[1]DATOS PBI Artículos'!$Z$4:$Z$4))/_xlfn.XLOOKUP(_xlfn.XLOOKUP($A700,'[1]DATOS PBI Artículos'!$A$4:$A$4,'[1]DATOS PBI Artículos'!$Y$4:$Y$4),[1]CRITERIOS!$P$79:$P$123,[1]CRITERIOS!$S$79:$S$123,),0)</f>
        <v>#N/A</v>
      </c>
      <c r="AB700" s="33" t="e">
        <f t="array" ref="AB700">IF((E700+V700-_xlfn.XLOOKUP(A700,'[1]DATOS PBI Artículos'!$A$4:$A$4,'[1]DATOS PBI Artículos'!$W$4:$W$4))/N700&gt;ROUNDUP([1]CRITERIOS!$M$16/(IF(COUNTIF([1]CRITERIOS!$BG$11:$BG$201,L700)&gt;=1,_xlfn.XLOOKUP(ARTÍCULOS!L700,[1]CRITERIOS!$BG$11:$BG$201,[1]CRITERIOS!$BJ$11:$BJ$201),_xlfn.XLOOKUP(ARTÍCULOS!C700,[1]CRITERIOS!$K$25:$K$42,[1]CRITERIOS!$M$25:$M$42))),0),ROUNDUP([1]CRITERIOS!$M$16/(IF(COUNTIF([1]CRITERIOS!$BG$11:$BG$201,L700)&gt;=1,_xlfn.XLOOKUP(ARTÍCULOS!L700,[1]CRITERIOS!$BG$11:$BG$201:#REF!,[1]CRITERIOS!$BJ$11:$BJ$201),_xlfn.XLOOKUP(ARTÍCULOS!C700,[1]CRITERIOS!$K$25:$K$42,[1]CRITERIOS!$M$25:$M$42))),0),(E700+V700-_xlfn.XLOOKUP(A700,'[1]DATOS PBI Artículos'!$A$4:$A$4,'[1]DATOS PBI Artículos'!$W$4:$W$4))/N700)</f>
        <v>#N/A</v>
      </c>
      <c r="AC700" s="33" t="e">
        <f>IF(N700=0,"",(ROUNDUP((N700/2)/(_xlfn.XLOOKUP(A700,'[1]DATOS PBI Artículos'!$A$4:$A$4,'[1]DATOS PBI Artículos'!$Z$4:$Z$4)*_xlfn.XLOOKUP(_xlfn.XLOOKUP(A700,'[1]DATOS PBI Artículos'!$A$4:$A$4,'[1]DATOS PBI Artículos'!$Y$4:$Y$4),[1]CRITERIOS!$P$79:$P$123,[1]CRITERIOS!$S$79:$S$123)),0)*[1]CRITERIOS!$M$80*([1]CRITERIOS!$M$110/[1]CRITERIOS!$M$86)+(_xlfn.XLOOKUP(A700,'[1]DATOS PBI Artículos'!$A$4:$A$4,'[1]DATOS PBI Artículos'!$AA$4:$AA$4)*([1]CRITERIOS!$M$95+[1]CRITERIOS!$M$98)))/N700)</f>
        <v>#N/A</v>
      </c>
      <c r="AD700" s="33" t="e">
        <f>IF(N700=0,"",(ROUNDUP((N700/2)/(_xlfn.XLOOKUP(A700,'[1]DATOS PBI Artículos'!$A$4:$A$4,'[1]DATOS PBI Artículos'!$Z$4:$Z$4)*_xlfn.XLOOKUP(_xlfn.XLOOKUP(A700,'[1]DATOS PBI Artículos'!$A$4:$A$4,'[1]DATOS PBI Artículos'!$Y$4:$Y$4),[1]CRITERIOS!$P$79:$P$123,[1]CRITERIOS!$S$79:$S$123)),0)*[1]CRITERIOS!$M$80*([1]CRITERIOS!$M$89*[1]CRITERIOS!$M$92)+((_xlfn.XLOOKUP(A700,'[1]DATOS PBI Artículos'!$A$4:$A$4,'[1]DATOS PBI Artículos'!$AA$4:$AA$4)/2)*([1]CRITERIOS!$M$95+[1]CRITERIOS!$M$98)))/N700)</f>
        <v>#N/A</v>
      </c>
      <c r="AE700" s="39" t="e">
        <f>IF($R700="MTO","",
IF($H700=0,ROUNDUP(((_xlfn.XLOOKUP($A700,'[1]DATOS PBI Artículos'!$A:$A,'[1]DATOS PBI Artículos'!$AL:$AL))/(_xlfn.XLOOKUP($AF$1,[1]CRITERIOS!$S$16:$S$39,[1]CRITERIOS!$Y$16:$Y$39))*$J700+$Z700)/$G700,0)*$G700,
((_xlfn.XLOOKUP($A700,'[1]DATOS PBI Artículos'!$A:$A,'[1]DATOS PBI Artículos'!$AL:$AL))/(_xlfn.XLOOKUP($AF$1,[1]CRITERIOS!$S$16:$S$39,[1]CRITERIOS!$Y$16:$Y$39))*$J700+$Z700)))</f>
        <v>#N/A</v>
      </c>
      <c r="AG700" s="39" t="e">
        <f>IF($R700="MTO","",
IF($H700=0,ROUNDUP(((_xlfn.XLOOKUP($A700,'[1]DATOS PBI Artículos'!$A:$A,'[1]DATOS PBI Artículos'!$AM:$AM))/(_xlfn.XLOOKUP($AH$1,[1]CRITERIOS!$S$16:$S$39,[1]CRITERIOS!$Y$16:$Y$39))*$J700+$Z700)/$G700,0)*$G700,
((_xlfn.XLOOKUP($A700,'[1]DATOS PBI Artículos'!$A:$A,'[1]DATOS PBI Artículos'!$AM:$AM))/(_xlfn.XLOOKUP($AH$1,[1]CRITERIOS!$S$16:$S$39,[1]CRITERIOS!$Y$16:$Y$39))*$J700+$Z700)))</f>
        <v>#N/A</v>
      </c>
      <c r="AI700" s="39" t="e">
        <f>IF($R700="MTO","",
IF($H700=0,ROUNDUP(((_xlfn.XLOOKUP($A700,'[1]DATOS PBI Artículos'!$A:$A,'[1]DATOS PBI Artículos'!$AN:$AN))/(_xlfn.XLOOKUP($AJ$1,[1]CRITERIOS!$S$16:$S$39,[1]CRITERIOS!$Y$16:$Y$39))*$J700+$Z700)/$G700,0)*$G700,
((_xlfn.XLOOKUP($A700,'[1]DATOS PBI Artículos'!$A:$A,'[1]DATOS PBI Artículos'!$AN:$AN))/(_xlfn.XLOOKUP($AJ$1,[1]CRITERIOS!$S$16:$S$39,[1]CRITERIOS!$Y$16:$Y$39))*$J700+$Z700)))</f>
        <v>#N/A</v>
      </c>
      <c r="AK700" s="39" t="e">
        <f>IF($R700="MTO","",
IF($H700=0,ROUNDUP(((_xlfn.XLOOKUP($A700,'[1]DATOS PBI Artículos'!$A:$A,'[1]DATOS PBI Artículos'!$AO:$AO))/(_xlfn.XLOOKUP($AL$1,[1]CRITERIOS!$S$16:$S$39,[1]CRITERIOS!$Y$16:$Y$39))*$J700+$Z700)/$G700,0)*$G700,
((_xlfn.XLOOKUP($A700,'[1]DATOS PBI Artículos'!$A:$A,'[1]DATOS PBI Artículos'!$AO:$AO))/(_xlfn.XLOOKUP($AL$1,[1]CRITERIOS!$S$16:$S$39,[1]CRITERIOS!$Y$16:$Y$39))*$J700+$Z700)))</f>
        <v>#N/A</v>
      </c>
    </row>
    <row r="701" spans="1:37" ht="25.8" hidden="1" x14ac:dyDescent="0.4">
      <c r="A701" s="41"/>
      <c r="B701" s="33">
        <f>_xlfn.XLOOKUP($A701,'[1]DATOS PBI Artículos'!A:A,'[1]DATOS PBI Artículos'!B:B)</f>
        <v>0</v>
      </c>
      <c r="C701" s="33">
        <f>_xlfn.XLOOKUP($A701,'[1]DATOS PBI Artículos'!A:A,'[1]DATOS PBI Artículos'!C:C)</f>
        <v>0</v>
      </c>
      <c r="D701" s="33">
        <f>_xlfn.XLOOKUP(A701,'[1]DATOS PBI Artículos'!A:A,'[1]DATOS PBI Artículos'!T:T)</f>
        <v>0</v>
      </c>
      <c r="E701" s="34">
        <f>IF(_xlfn.XLOOKUP($A701,'[1]DATOS PBI Artículos'!A:A,'[1]DATOS PBI Artículos'!AK:AK)="",_xlfn.XLOOKUP($A701,'[1]DATOS PBI Artículos'!A:A,'[1]DATOS PBI Artículos'!AJ:AJ),_xlfn.XLOOKUP($A701,'[1]DATOS PBI Artículos'!A:A,'[1]DATOS PBI Artículos'!AK:AK))</f>
        <v>0</v>
      </c>
      <c r="F701" s="35">
        <f>_xlfn.XLOOKUP($A701,'[1]DATOS PBI Artículos'!A:A,'[1]DATOS PBI Artículos'!AP:AP)</f>
        <v>0</v>
      </c>
      <c r="G701" s="34">
        <f>_xlfn.XLOOKUP($A701,'[1]DATOS PBI Artículos'!A:A,'[1]DATOS PBI Artículos'!AR:AR)</f>
        <v>0</v>
      </c>
      <c r="H701" s="34">
        <f>_xlfn.XLOOKUP($A701,'[1]DATOS PBI Artículos'!A:A,'[1]DATOS PBI Artículos'!AT:AT)</f>
        <v>0</v>
      </c>
      <c r="I701" s="34">
        <f>_xlfn.XLOOKUP($A701,'[1]DATOS PBI Artículos'!A:A,'[1]DATOS PBI Artículos'!AS:AS)</f>
        <v>0</v>
      </c>
      <c r="J701" s="35">
        <f>IF(COUNTIF([1]CRITERIOS!$F$179:$F$199,$A701)&gt;=1,
 IF(O701&lt;&gt;"",
    (O701/_xlfn.XLOOKUP(CONCATENATE(A701,L701),[1]MÁQUINAS!A:A,[1]MÁQUINAS!D:D))/24,
    (N701/_xlfn.XLOOKUP(CONCATENATE(A701,L701),[1]MÁQUINAS!A:A,[1]MÁQUINAS!D:D))/24),
  _xlfn.XLOOKUP($A701,'[1]DATOS PBI Artículos'!A:A,'[1]DATOS PBI Artículos'!AU:AU))</f>
        <v>0</v>
      </c>
      <c r="K701" s="36">
        <f>_xlfn.XLOOKUP($A701,'[1]DATOS PBI Artículos'!A:A,'[1]DATOS PBI Artículos'!AV:AV)</f>
        <v>0</v>
      </c>
      <c r="L701" s="33">
        <f>_xlfn.XLOOKUP(A701,[1]MÁQUINAS!B:B,[1]MÁQUINAS!C:C)</f>
        <v>0</v>
      </c>
      <c r="M701" s="34">
        <f t="array" ref="M701">_xlfn.XLOOKUP(A701,'[1]DATOS PBI Artículos'!A:A,'[1]DATOS PBI Artículos'!AX:$AX)</f>
        <v>0</v>
      </c>
      <c r="N701" s="37" t="e">
        <f>IF(I701="DV",
E701,
IF(COUNTIF([1]CRITERIOS!$I$179:$I$199,$A701)&gt;=1,
_xlfn.XLOOKUP($A701,[1]CRITERIOS!$I$179:$I$199,[1]CRITERIOS!$J$179:$J$199),
IF(COUNTIF([1]CRITERIOS!$L$179:$L$199,$A701)&gt;=1,
_xlfn.CEILING.MATH(IF($M701&gt;$E701,
$E701,
IF($M701&lt;$E701/ROUNDDOWN([1]CRITERIOS!$M$16/_xlfn.XLOOKUP($C701,[1]CRITERIOS!$K$25:$K$42,[1]CRITERIOS!$M$25:$M$42),
1),
E701/ROUNDDOWN([1]CRITERIOS!$M$16/_xlfn.XLOOKUP($C701,[1]CRITERIOS!$K$25:$K$42,[1]CRITERIOS!$M$25:$M$42),
1),
$M701)),
_xlfn.XLOOKUP($A701,[1]CRITERIOS!$L$179:$L$200,[1]CRITERIOS!$M$179:$M$200)),
_xlfn.CEILING.MATH(IF($M701&gt;$E701,
$E701,
IF($M701&lt;$E701/ROUNDDOWN([1]CRITERIOS!$M$16/_xlfn.XLOOKUP($C701,[1]CRITERIOS!$K$25:$K$42,[1]CRITERIOS!$M$25:$M$42),
1),
E701/ROUNDDOWN([1]CRITERIOS!$M$16/_xlfn.XLOOKUP($C701,[1]CRITERIOS!$K$25:$K$42,[1]CRITERIOS!$M$25:$M$42),
1),
$M701)),_xlfn.XLOOKUP(A701,'[1]DATOS PBI Artículos'!A:A,'[1]DATOS PBI Artículos'!Z:Z
)))))</f>
        <v>#N/A</v>
      </c>
      <c r="Q701" s="38" t="e">
        <f>IF(AND(O701="",N701=0),
0,
   IF(COUNTIF([1]CRITERIOS!$F$179:$F$199,$A701)&gt;=1,
   1,
   IF(R701="MTO",
      $D701,
      ROUNDUP(
                    IF(($E701-SUMIF('[1]DATOS PBI Artículos'!A:A,A701,'[1]DATOS PBI Artículos'!X:X)+($V701-_xlfn.XLOOKUP(A701,'[1]DATOS PBI Artículos'!A:A,'[1]DATOS PBI Artículos'!W:W)))&lt;0,
                    0,
                    IF(($E701-SUMIF('[1]DATOS PBI Artículos'!A:A,A701,'[1]DATOS PBI Artículos'!X:X)+$V701-_xlfn.XLOOKUP($A701,'[1]DATOS PBI Artículos'!A:A,'[1]DATOS PBI Artículos'!W:W))/IF($O701="",$N701,$O701)&gt;ROUNDUP([1]CRITERIOS!$M$16/(IF(COUNTIF([1]CRITERIOS!$BG$11:$BG$201,L701)&gt;=1,_xlfn.XLOOKUP($C701,[1]CRITERIOS!$K$25:$K$42,[1]CRITERIOS!$M$25:$M$42),_xlfn.XLOOKUP($C701,[1]CRITERIOS!$K$25:$K$42,[1]CRITERIOS!$M$25:$M$42))),0),
                    ROUNDUP([1]CRITERIOS!$M$16/(IF(COUNTIF([1]CRITERIOS!$BG$11:$BG$201,$L701)&gt;=1,_xlfn.XLOOKUP($C701,[1]CRITERIOS!$K$25:$K$42,[1]CRITERIOS!$M$25:$M$42),_xlfn.XLOOKUP($C701,[1]CRITERIOS!$K$25:$K$42,[1]CRITERIOS!$M$25:$M$42))),0),
                    (E701+V701-SUMIF('[1]DATOS PBI Artículos'!A:A,A701,'[1]DATOS PBI Artículos'!X:X)-_xlfn.XLOOKUP(A701,'[1]DATOS PBI Artículos'!A:A,'[1]DATOS PBI Artículos'!W:W))/IF($O701="",$N701,$O701))),0))))</f>
        <v>#N/A</v>
      </c>
      <c r="R701" s="33" t="e">
        <f>IF(U701&lt;&gt;"",U701,IF(F701="DV","MTO",IF(N701=0,"MTO",_xlfn.XLOOKUP(CONCATENATE(S701,T701),[1]CRITERIOS!$K$160:$K$168,[1]CRITERIOS!$N$160:$N$168))))</f>
        <v>#N/A</v>
      </c>
      <c r="S701" s="33" t="e">
        <f>IF(G701="DV","MTO",IF(N701=0,"MTO",IF(OR(AND(N701=0,O701=""),IF(O701="",G701/N701,G701/O701)&gt;[1]CRITERIOS!$G$163),"MTO",IF(IF(O701="",G701/N701,G701/O701)&lt;[1]CRITERIOS!$H$161,"MTS","MTOS"))))</f>
        <v>#N/A</v>
      </c>
      <c r="T701" s="33" t="e">
        <f>IF(F701="DV","MTO",IF(OR(AND($N701=0,O701=""),$F701/$J701&gt;[1]CRITERIOS!$G$170,$F701="DV"),"MTO",IF($F701/$J701&lt;[1]CRITERIOS!$H$168,"MTS","MTOS")))</f>
        <v>#N/A</v>
      </c>
      <c r="V701" s="34" t="e">
        <f t="shared" si="34"/>
        <v>#N/A</v>
      </c>
      <c r="X701" s="34" t="e">
        <f t="shared" si="32"/>
        <v>#N/A</v>
      </c>
      <c r="Y701" s="34" t="e">
        <f t="shared" si="33"/>
        <v>#N/A</v>
      </c>
      <c r="Z701" s="34" t="e">
        <f>IF($R701="MTO",
0,
($H701+$K701*($E701/[1]CRITERIOS!$M$16))/[1]CRITERIOS!$X$48)</f>
        <v>#N/A</v>
      </c>
      <c r="AA701" s="34" t="e">
        <f>ROUNDUP(($Y701/_xlfn.XLOOKUP($A701,'[1]DATOS PBI Artículos'!$A$4:$A$4,'[1]DATOS PBI Artículos'!$Z$4:$Z$4))/_xlfn.XLOOKUP(_xlfn.XLOOKUP($A701,'[1]DATOS PBI Artículos'!$A$4:$A$4,'[1]DATOS PBI Artículos'!$Y$4:$Y$4),[1]CRITERIOS!$P$79:$P$123,[1]CRITERIOS!$S$79:$S$123,),0)</f>
        <v>#N/A</v>
      </c>
      <c r="AB701" s="33" t="e">
        <f t="array" ref="AB701">IF((E701+V701-_xlfn.XLOOKUP(A701,'[1]DATOS PBI Artículos'!$A$4:$A$4,'[1]DATOS PBI Artículos'!$W$4:$W$4))/N701&gt;ROUNDUP([1]CRITERIOS!$M$16/(IF(COUNTIF([1]CRITERIOS!$BG$11:$BG$201,L701)&gt;=1,_xlfn.XLOOKUP(ARTÍCULOS!L701,[1]CRITERIOS!$BG$11:$BG$201,[1]CRITERIOS!$BJ$11:$BJ$201),_xlfn.XLOOKUP(ARTÍCULOS!C701,[1]CRITERIOS!$K$25:$K$42,[1]CRITERIOS!$M$25:$M$42))),0),ROUNDUP([1]CRITERIOS!$M$16/(IF(COUNTIF([1]CRITERIOS!$BG$11:$BG$201,L701)&gt;=1,_xlfn.XLOOKUP(ARTÍCULOS!L701,[1]CRITERIOS!$BG$11:$BG$201:#REF!,[1]CRITERIOS!$BJ$11:$BJ$201),_xlfn.XLOOKUP(ARTÍCULOS!C701,[1]CRITERIOS!$K$25:$K$42,[1]CRITERIOS!$M$25:$M$42))),0),(E701+V701-_xlfn.XLOOKUP(A701,'[1]DATOS PBI Artículos'!$A$4:$A$4,'[1]DATOS PBI Artículos'!$W$4:$W$4))/N701)</f>
        <v>#N/A</v>
      </c>
      <c r="AC701" s="33" t="e">
        <f>IF(N701=0,"",(ROUNDUP((N701/2)/(_xlfn.XLOOKUP(A701,'[1]DATOS PBI Artículos'!$A$4:$A$4,'[1]DATOS PBI Artículos'!$Z$4:$Z$4)*_xlfn.XLOOKUP(_xlfn.XLOOKUP(A701,'[1]DATOS PBI Artículos'!$A$4:$A$4,'[1]DATOS PBI Artículos'!$Y$4:$Y$4),[1]CRITERIOS!$P$79:$P$123,[1]CRITERIOS!$S$79:$S$123)),0)*[1]CRITERIOS!$M$80*([1]CRITERIOS!$M$110/[1]CRITERIOS!$M$86)+(_xlfn.XLOOKUP(A701,'[1]DATOS PBI Artículos'!$A$4:$A$4,'[1]DATOS PBI Artículos'!$AA$4:$AA$4)*([1]CRITERIOS!$M$95+[1]CRITERIOS!$M$98)))/N701)</f>
        <v>#N/A</v>
      </c>
      <c r="AD701" s="33" t="e">
        <f>IF(N701=0,"",(ROUNDUP((N701/2)/(_xlfn.XLOOKUP(A701,'[1]DATOS PBI Artículos'!$A$4:$A$4,'[1]DATOS PBI Artículos'!$Z$4:$Z$4)*_xlfn.XLOOKUP(_xlfn.XLOOKUP(A701,'[1]DATOS PBI Artículos'!$A$4:$A$4,'[1]DATOS PBI Artículos'!$Y$4:$Y$4),[1]CRITERIOS!$P$79:$P$123,[1]CRITERIOS!$S$79:$S$123)),0)*[1]CRITERIOS!$M$80*([1]CRITERIOS!$M$89*[1]CRITERIOS!$M$92)+((_xlfn.XLOOKUP(A701,'[1]DATOS PBI Artículos'!$A$4:$A$4,'[1]DATOS PBI Artículos'!$AA$4:$AA$4)/2)*([1]CRITERIOS!$M$95+[1]CRITERIOS!$M$98)))/N701)</f>
        <v>#N/A</v>
      </c>
      <c r="AE701" s="39" t="e">
        <f>IF($R701="MTO","",
IF($H701=0,ROUNDUP(((_xlfn.XLOOKUP($A701,'[1]DATOS PBI Artículos'!$A:$A,'[1]DATOS PBI Artículos'!$AL:$AL))/(_xlfn.XLOOKUP($AF$1,[1]CRITERIOS!$S$16:$S$39,[1]CRITERIOS!$Y$16:$Y$39))*$J701+$Z701)/$G701,0)*$G701,
((_xlfn.XLOOKUP($A701,'[1]DATOS PBI Artículos'!$A:$A,'[1]DATOS PBI Artículos'!$AL:$AL))/(_xlfn.XLOOKUP($AF$1,[1]CRITERIOS!$S$16:$S$39,[1]CRITERIOS!$Y$16:$Y$39))*$J701+$Z701)))</f>
        <v>#N/A</v>
      </c>
      <c r="AG701" s="39" t="e">
        <f>IF($R701="MTO","",
IF($H701=0,ROUNDUP(((_xlfn.XLOOKUP($A701,'[1]DATOS PBI Artículos'!$A:$A,'[1]DATOS PBI Artículos'!$AM:$AM))/(_xlfn.XLOOKUP($AH$1,[1]CRITERIOS!$S$16:$S$39,[1]CRITERIOS!$Y$16:$Y$39))*$J701+$Z701)/$G701,0)*$G701,
((_xlfn.XLOOKUP($A701,'[1]DATOS PBI Artículos'!$A:$A,'[1]DATOS PBI Artículos'!$AM:$AM))/(_xlfn.XLOOKUP($AH$1,[1]CRITERIOS!$S$16:$S$39,[1]CRITERIOS!$Y$16:$Y$39))*$J701+$Z701)))</f>
        <v>#N/A</v>
      </c>
      <c r="AI701" s="39" t="e">
        <f>IF($R701="MTO","",
IF($H701=0,ROUNDUP(((_xlfn.XLOOKUP($A701,'[1]DATOS PBI Artículos'!$A:$A,'[1]DATOS PBI Artículos'!$AN:$AN))/(_xlfn.XLOOKUP($AJ$1,[1]CRITERIOS!$S$16:$S$39,[1]CRITERIOS!$Y$16:$Y$39))*$J701+$Z701)/$G701,0)*$G701,
((_xlfn.XLOOKUP($A701,'[1]DATOS PBI Artículos'!$A:$A,'[1]DATOS PBI Artículos'!$AN:$AN))/(_xlfn.XLOOKUP($AJ$1,[1]CRITERIOS!$S$16:$S$39,[1]CRITERIOS!$Y$16:$Y$39))*$J701+$Z701)))</f>
        <v>#N/A</v>
      </c>
      <c r="AK701" s="39" t="e">
        <f>IF($R701="MTO","",
IF($H701=0,ROUNDUP(((_xlfn.XLOOKUP($A701,'[1]DATOS PBI Artículos'!$A:$A,'[1]DATOS PBI Artículos'!$AO:$AO))/(_xlfn.XLOOKUP($AL$1,[1]CRITERIOS!$S$16:$S$39,[1]CRITERIOS!$Y$16:$Y$39))*$J701+$Z701)/$G701,0)*$G701,
((_xlfn.XLOOKUP($A701,'[1]DATOS PBI Artículos'!$A:$A,'[1]DATOS PBI Artículos'!$AO:$AO))/(_xlfn.XLOOKUP($AL$1,[1]CRITERIOS!$S$16:$S$39,[1]CRITERIOS!$Y$16:$Y$39))*$J701+$Z701)))</f>
        <v>#N/A</v>
      </c>
    </row>
    <row r="702" spans="1:37" ht="25.8" hidden="1" x14ac:dyDescent="0.4">
      <c r="A702" s="41"/>
      <c r="B702" s="33">
        <f>_xlfn.XLOOKUP($A702,'[1]DATOS PBI Artículos'!A:A,'[1]DATOS PBI Artículos'!B:B)</f>
        <v>0</v>
      </c>
      <c r="C702" s="33">
        <f>_xlfn.XLOOKUP($A702,'[1]DATOS PBI Artículos'!A:A,'[1]DATOS PBI Artículos'!C:C)</f>
        <v>0</v>
      </c>
      <c r="D702" s="33">
        <f>_xlfn.XLOOKUP(A702,'[1]DATOS PBI Artículos'!A:A,'[1]DATOS PBI Artículos'!T:T)</f>
        <v>0</v>
      </c>
      <c r="E702" s="34">
        <f>IF(_xlfn.XLOOKUP($A702,'[1]DATOS PBI Artículos'!A:A,'[1]DATOS PBI Artículos'!AK:AK)="",_xlfn.XLOOKUP($A702,'[1]DATOS PBI Artículos'!A:A,'[1]DATOS PBI Artículos'!AJ:AJ),_xlfn.XLOOKUP($A702,'[1]DATOS PBI Artículos'!A:A,'[1]DATOS PBI Artículos'!AK:AK))</f>
        <v>0</v>
      </c>
      <c r="F702" s="35">
        <f>_xlfn.XLOOKUP($A702,'[1]DATOS PBI Artículos'!A:A,'[1]DATOS PBI Artículos'!AP:AP)</f>
        <v>0</v>
      </c>
      <c r="G702" s="34">
        <f>_xlfn.XLOOKUP($A702,'[1]DATOS PBI Artículos'!A:A,'[1]DATOS PBI Artículos'!AR:AR)</f>
        <v>0</v>
      </c>
      <c r="H702" s="34">
        <f>_xlfn.XLOOKUP($A702,'[1]DATOS PBI Artículos'!A:A,'[1]DATOS PBI Artículos'!AT:AT)</f>
        <v>0</v>
      </c>
      <c r="I702" s="34">
        <f>_xlfn.XLOOKUP($A702,'[1]DATOS PBI Artículos'!A:A,'[1]DATOS PBI Artículos'!AS:AS)</f>
        <v>0</v>
      </c>
      <c r="J702" s="35">
        <f>IF(COUNTIF([1]CRITERIOS!$F$179:$F$199,$A702)&gt;=1,
 IF(O702&lt;&gt;"",
    (O702/_xlfn.XLOOKUP(CONCATENATE(A702,L702),[1]MÁQUINAS!A:A,[1]MÁQUINAS!D:D))/24,
    (N702/_xlfn.XLOOKUP(CONCATENATE(A702,L702),[1]MÁQUINAS!A:A,[1]MÁQUINAS!D:D))/24),
  _xlfn.XLOOKUP($A702,'[1]DATOS PBI Artículos'!A:A,'[1]DATOS PBI Artículos'!AU:AU))</f>
        <v>0</v>
      </c>
      <c r="K702" s="36">
        <f>_xlfn.XLOOKUP($A702,'[1]DATOS PBI Artículos'!A:A,'[1]DATOS PBI Artículos'!AV:AV)</f>
        <v>0</v>
      </c>
      <c r="L702" s="33">
        <f>_xlfn.XLOOKUP(A702,[1]MÁQUINAS!B:B,[1]MÁQUINAS!C:C)</f>
        <v>0</v>
      </c>
      <c r="M702" s="34">
        <f t="array" ref="M702">_xlfn.XLOOKUP(A702,'[1]DATOS PBI Artículos'!A:A,'[1]DATOS PBI Artículos'!AX:$AX)</f>
        <v>0</v>
      </c>
      <c r="N702" s="37" t="e">
        <f>IF(I702="DV",
E702,
IF(COUNTIF([1]CRITERIOS!$I$179:$I$199,$A702)&gt;=1,
_xlfn.XLOOKUP($A702,[1]CRITERIOS!$I$179:$I$199,[1]CRITERIOS!$J$179:$J$199),
IF(COUNTIF([1]CRITERIOS!$L$179:$L$199,$A702)&gt;=1,
_xlfn.CEILING.MATH(IF($M702&gt;$E702,
$E702,
IF($M702&lt;$E702/ROUNDDOWN([1]CRITERIOS!$M$16/_xlfn.XLOOKUP($C702,[1]CRITERIOS!$K$25:$K$42,[1]CRITERIOS!$M$25:$M$42),
1),
E702/ROUNDDOWN([1]CRITERIOS!$M$16/_xlfn.XLOOKUP($C702,[1]CRITERIOS!$K$25:$K$42,[1]CRITERIOS!$M$25:$M$42),
1),
$M702)),
_xlfn.XLOOKUP($A702,[1]CRITERIOS!$L$179:$L$200,[1]CRITERIOS!$M$179:$M$200)),
_xlfn.CEILING.MATH(IF($M702&gt;$E702,
$E702,
IF($M702&lt;$E702/ROUNDDOWN([1]CRITERIOS!$M$16/_xlfn.XLOOKUP($C702,[1]CRITERIOS!$K$25:$K$42,[1]CRITERIOS!$M$25:$M$42),
1),
E702/ROUNDDOWN([1]CRITERIOS!$M$16/_xlfn.XLOOKUP($C702,[1]CRITERIOS!$K$25:$K$42,[1]CRITERIOS!$M$25:$M$42),
1),
$M702)),_xlfn.XLOOKUP(A702,'[1]DATOS PBI Artículos'!A:A,'[1]DATOS PBI Artículos'!Z:Z
)))))</f>
        <v>#N/A</v>
      </c>
      <c r="Q702" s="38" t="e">
        <f>IF(AND(O702="",N702=0),
0,
   IF(COUNTIF([1]CRITERIOS!$F$179:$F$199,$A702)&gt;=1,
   1,
   IF(R702="MTO",
      $D702,
      ROUNDUP(
                    IF(($E702-SUMIF('[1]DATOS PBI Artículos'!A:A,A702,'[1]DATOS PBI Artículos'!X:X)+($V702-_xlfn.XLOOKUP(A702,'[1]DATOS PBI Artículos'!A:A,'[1]DATOS PBI Artículos'!W:W)))&lt;0,
                    0,
                    IF(($E702-SUMIF('[1]DATOS PBI Artículos'!A:A,A702,'[1]DATOS PBI Artículos'!X:X)+$V702-_xlfn.XLOOKUP($A702,'[1]DATOS PBI Artículos'!A:A,'[1]DATOS PBI Artículos'!W:W))/IF($O702="",$N702,$O702)&gt;ROUNDUP([1]CRITERIOS!$M$16/(IF(COUNTIF([1]CRITERIOS!$BG$11:$BG$201,L702)&gt;=1,_xlfn.XLOOKUP($C702,[1]CRITERIOS!$K$25:$K$42,[1]CRITERIOS!$M$25:$M$42),_xlfn.XLOOKUP($C702,[1]CRITERIOS!$K$25:$K$42,[1]CRITERIOS!$M$25:$M$42))),0),
                    ROUNDUP([1]CRITERIOS!$M$16/(IF(COUNTIF([1]CRITERIOS!$BG$11:$BG$201,$L702)&gt;=1,_xlfn.XLOOKUP($C702,[1]CRITERIOS!$K$25:$K$42,[1]CRITERIOS!$M$25:$M$42),_xlfn.XLOOKUP($C702,[1]CRITERIOS!$K$25:$K$42,[1]CRITERIOS!$M$25:$M$42))),0),
                    (E702+V702-SUMIF('[1]DATOS PBI Artículos'!A:A,A702,'[1]DATOS PBI Artículos'!X:X)-_xlfn.XLOOKUP(A702,'[1]DATOS PBI Artículos'!A:A,'[1]DATOS PBI Artículos'!W:W))/IF($O702="",$N702,$O702))),0))))</f>
        <v>#N/A</v>
      </c>
      <c r="R702" s="33" t="e">
        <f>IF(U702&lt;&gt;"",U702,IF(F702="DV","MTO",IF(N702=0,"MTO",_xlfn.XLOOKUP(CONCATENATE(S702,T702),[1]CRITERIOS!$K$160:$K$168,[1]CRITERIOS!$N$160:$N$168))))</f>
        <v>#N/A</v>
      </c>
      <c r="S702" s="33" t="e">
        <f>IF(G702="DV","MTO",IF(N702=0,"MTO",IF(OR(AND(N702=0,O702=""),IF(O702="",G702/N702,G702/O702)&gt;[1]CRITERIOS!$G$163),"MTO",IF(IF(O702="",G702/N702,G702/O702)&lt;[1]CRITERIOS!$H$161,"MTS","MTOS"))))</f>
        <v>#N/A</v>
      </c>
      <c r="T702" s="33" t="e">
        <f>IF(F702="DV","MTO",IF(OR(AND($N702=0,O702=""),$F702/$J702&gt;[1]CRITERIOS!$G$170,$F702="DV"),"MTO",IF($F702/$J702&lt;[1]CRITERIOS!$H$168,"MTS","MTOS")))</f>
        <v>#N/A</v>
      </c>
      <c r="V702" s="34" t="e">
        <f t="shared" si="34"/>
        <v>#N/A</v>
      </c>
      <c r="X702" s="34" t="e">
        <f t="shared" si="32"/>
        <v>#N/A</v>
      </c>
      <c r="Y702" s="34" t="e">
        <f t="shared" si="33"/>
        <v>#N/A</v>
      </c>
      <c r="Z702" s="34" t="e">
        <f>IF($R702="MTO",
0,
($H702+$K702*($E702/[1]CRITERIOS!$M$16))/[1]CRITERIOS!$X$48)</f>
        <v>#N/A</v>
      </c>
      <c r="AA702" s="34" t="e">
        <f>ROUNDUP(($Y702/_xlfn.XLOOKUP($A702,'[1]DATOS PBI Artículos'!$A$4:$A$4,'[1]DATOS PBI Artículos'!$Z$4:$Z$4))/_xlfn.XLOOKUP(_xlfn.XLOOKUP($A702,'[1]DATOS PBI Artículos'!$A$4:$A$4,'[1]DATOS PBI Artículos'!$Y$4:$Y$4),[1]CRITERIOS!$P$79:$P$123,[1]CRITERIOS!$S$79:$S$123,),0)</f>
        <v>#N/A</v>
      </c>
      <c r="AB702" s="33" t="e">
        <f t="array" ref="AB702">IF((E702+V702-_xlfn.XLOOKUP(A702,'[1]DATOS PBI Artículos'!$A$4:$A$4,'[1]DATOS PBI Artículos'!$W$4:$W$4))/N702&gt;ROUNDUP([1]CRITERIOS!$M$16/(IF(COUNTIF([1]CRITERIOS!$BG$11:$BG$201,L702)&gt;=1,_xlfn.XLOOKUP(ARTÍCULOS!L702,[1]CRITERIOS!$BG$11:$BG$201,[1]CRITERIOS!$BJ$11:$BJ$201),_xlfn.XLOOKUP(ARTÍCULOS!C702,[1]CRITERIOS!$K$25:$K$42,[1]CRITERIOS!$M$25:$M$42))),0),ROUNDUP([1]CRITERIOS!$M$16/(IF(COUNTIF([1]CRITERIOS!$BG$11:$BG$201,L702)&gt;=1,_xlfn.XLOOKUP(ARTÍCULOS!L702,[1]CRITERIOS!$BG$11:$BG$201:#REF!,[1]CRITERIOS!$BJ$11:$BJ$201),_xlfn.XLOOKUP(ARTÍCULOS!C702,[1]CRITERIOS!$K$25:$K$42,[1]CRITERIOS!$M$25:$M$42))),0),(E702+V702-_xlfn.XLOOKUP(A702,'[1]DATOS PBI Artículos'!$A$4:$A$4,'[1]DATOS PBI Artículos'!$W$4:$W$4))/N702)</f>
        <v>#N/A</v>
      </c>
      <c r="AC702" s="33" t="e">
        <f>IF(N702=0,"",(ROUNDUP((N702/2)/(_xlfn.XLOOKUP(A702,'[1]DATOS PBI Artículos'!$A$4:$A$4,'[1]DATOS PBI Artículos'!$Z$4:$Z$4)*_xlfn.XLOOKUP(_xlfn.XLOOKUP(A702,'[1]DATOS PBI Artículos'!$A$4:$A$4,'[1]DATOS PBI Artículos'!$Y$4:$Y$4),[1]CRITERIOS!$P$79:$P$123,[1]CRITERIOS!$S$79:$S$123)),0)*[1]CRITERIOS!$M$80*([1]CRITERIOS!$M$110/[1]CRITERIOS!$M$86)+(_xlfn.XLOOKUP(A702,'[1]DATOS PBI Artículos'!$A$4:$A$4,'[1]DATOS PBI Artículos'!$AA$4:$AA$4)*([1]CRITERIOS!$M$95+[1]CRITERIOS!$M$98)))/N702)</f>
        <v>#N/A</v>
      </c>
      <c r="AD702" s="33" t="e">
        <f>IF(N702=0,"",(ROUNDUP((N702/2)/(_xlfn.XLOOKUP(A702,'[1]DATOS PBI Artículos'!$A$4:$A$4,'[1]DATOS PBI Artículos'!$Z$4:$Z$4)*_xlfn.XLOOKUP(_xlfn.XLOOKUP(A702,'[1]DATOS PBI Artículos'!$A$4:$A$4,'[1]DATOS PBI Artículos'!$Y$4:$Y$4),[1]CRITERIOS!$P$79:$P$123,[1]CRITERIOS!$S$79:$S$123)),0)*[1]CRITERIOS!$M$80*([1]CRITERIOS!$M$89*[1]CRITERIOS!$M$92)+((_xlfn.XLOOKUP(A702,'[1]DATOS PBI Artículos'!$A$4:$A$4,'[1]DATOS PBI Artículos'!$AA$4:$AA$4)/2)*([1]CRITERIOS!$M$95+[1]CRITERIOS!$M$98)))/N702)</f>
        <v>#N/A</v>
      </c>
      <c r="AE702" s="39" t="e">
        <f>IF($R702="MTO","",
IF($H702=0,ROUNDUP(((_xlfn.XLOOKUP($A702,'[1]DATOS PBI Artículos'!$A:$A,'[1]DATOS PBI Artículos'!$AL:$AL))/(_xlfn.XLOOKUP($AF$1,[1]CRITERIOS!$S$16:$S$39,[1]CRITERIOS!$Y$16:$Y$39))*$J702+$Z702)/$G702,0)*$G702,
((_xlfn.XLOOKUP($A702,'[1]DATOS PBI Artículos'!$A:$A,'[1]DATOS PBI Artículos'!$AL:$AL))/(_xlfn.XLOOKUP($AF$1,[1]CRITERIOS!$S$16:$S$39,[1]CRITERIOS!$Y$16:$Y$39))*$J702+$Z702)))</f>
        <v>#N/A</v>
      </c>
      <c r="AG702" s="39" t="e">
        <f>IF($R702="MTO","",
IF($H702=0,ROUNDUP(((_xlfn.XLOOKUP($A702,'[1]DATOS PBI Artículos'!$A:$A,'[1]DATOS PBI Artículos'!$AM:$AM))/(_xlfn.XLOOKUP($AH$1,[1]CRITERIOS!$S$16:$S$39,[1]CRITERIOS!$Y$16:$Y$39))*$J702+$Z702)/$G702,0)*$G702,
((_xlfn.XLOOKUP($A702,'[1]DATOS PBI Artículos'!$A:$A,'[1]DATOS PBI Artículos'!$AM:$AM))/(_xlfn.XLOOKUP($AH$1,[1]CRITERIOS!$S$16:$S$39,[1]CRITERIOS!$Y$16:$Y$39))*$J702+$Z702)))</f>
        <v>#N/A</v>
      </c>
      <c r="AI702" s="39" t="e">
        <f>IF($R702="MTO","",
IF($H702=0,ROUNDUP(((_xlfn.XLOOKUP($A702,'[1]DATOS PBI Artículos'!$A:$A,'[1]DATOS PBI Artículos'!$AN:$AN))/(_xlfn.XLOOKUP($AJ$1,[1]CRITERIOS!$S$16:$S$39,[1]CRITERIOS!$Y$16:$Y$39))*$J702+$Z702)/$G702,0)*$G702,
((_xlfn.XLOOKUP($A702,'[1]DATOS PBI Artículos'!$A:$A,'[1]DATOS PBI Artículos'!$AN:$AN))/(_xlfn.XLOOKUP($AJ$1,[1]CRITERIOS!$S$16:$S$39,[1]CRITERIOS!$Y$16:$Y$39))*$J702+$Z702)))</f>
        <v>#N/A</v>
      </c>
      <c r="AK702" s="39" t="e">
        <f>IF($R702="MTO","",
IF($H702=0,ROUNDUP(((_xlfn.XLOOKUP($A702,'[1]DATOS PBI Artículos'!$A:$A,'[1]DATOS PBI Artículos'!$AO:$AO))/(_xlfn.XLOOKUP($AL$1,[1]CRITERIOS!$S$16:$S$39,[1]CRITERIOS!$Y$16:$Y$39))*$J702+$Z702)/$G702,0)*$G702,
((_xlfn.XLOOKUP($A702,'[1]DATOS PBI Artículos'!$A:$A,'[1]DATOS PBI Artículos'!$AO:$AO))/(_xlfn.XLOOKUP($AL$1,[1]CRITERIOS!$S$16:$S$39,[1]CRITERIOS!$Y$16:$Y$39))*$J702+$Z702)))</f>
        <v>#N/A</v>
      </c>
    </row>
    <row r="703" spans="1:37" ht="25.8" hidden="1" x14ac:dyDescent="0.4">
      <c r="A703" s="41"/>
      <c r="B703" s="33">
        <f>_xlfn.XLOOKUP($A703,'[1]DATOS PBI Artículos'!A:A,'[1]DATOS PBI Artículos'!B:B)</f>
        <v>0</v>
      </c>
      <c r="C703" s="33">
        <f>_xlfn.XLOOKUP($A703,'[1]DATOS PBI Artículos'!A:A,'[1]DATOS PBI Artículos'!C:C)</f>
        <v>0</v>
      </c>
      <c r="D703" s="33">
        <f>_xlfn.XLOOKUP(A703,'[1]DATOS PBI Artículos'!A:A,'[1]DATOS PBI Artículos'!T:T)</f>
        <v>0</v>
      </c>
      <c r="E703" s="34">
        <f>IF(_xlfn.XLOOKUP($A703,'[1]DATOS PBI Artículos'!A:A,'[1]DATOS PBI Artículos'!AK:AK)="",_xlfn.XLOOKUP($A703,'[1]DATOS PBI Artículos'!A:A,'[1]DATOS PBI Artículos'!AJ:AJ),_xlfn.XLOOKUP($A703,'[1]DATOS PBI Artículos'!A:A,'[1]DATOS PBI Artículos'!AK:AK))</f>
        <v>0</v>
      </c>
      <c r="F703" s="35">
        <f>_xlfn.XLOOKUP($A703,'[1]DATOS PBI Artículos'!A:A,'[1]DATOS PBI Artículos'!AP:AP)</f>
        <v>0</v>
      </c>
      <c r="G703" s="34">
        <f>_xlfn.XLOOKUP($A703,'[1]DATOS PBI Artículos'!A:A,'[1]DATOS PBI Artículos'!AR:AR)</f>
        <v>0</v>
      </c>
      <c r="H703" s="34">
        <f>_xlfn.XLOOKUP($A703,'[1]DATOS PBI Artículos'!A:A,'[1]DATOS PBI Artículos'!AT:AT)</f>
        <v>0</v>
      </c>
      <c r="I703" s="34">
        <f>_xlfn.XLOOKUP($A703,'[1]DATOS PBI Artículos'!A:A,'[1]DATOS PBI Artículos'!AS:AS)</f>
        <v>0</v>
      </c>
      <c r="J703" s="35">
        <f>IF(COUNTIF([1]CRITERIOS!$F$179:$F$199,$A703)&gt;=1,
 IF(O703&lt;&gt;"",
    (O703/_xlfn.XLOOKUP(CONCATENATE(A703,L703),[1]MÁQUINAS!A:A,[1]MÁQUINAS!D:D))/24,
    (N703/_xlfn.XLOOKUP(CONCATENATE(A703,L703),[1]MÁQUINAS!A:A,[1]MÁQUINAS!D:D))/24),
  _xlfn.XLOOKUP($A703,'[1]DATOS PBI Artículos'!A:A,'[1]DATOS PBI Artículos'!AU:AU))</f>
        <v>0</v>
      </c>
      <c r="K703" s="36">
        <f>_xlfn.XLOOKUP($A703,'[1]DATOS PBI Artículos'!A:A,'[1]DATOS PBI Artículos'!AV:AV)</f>
        <v>0</v>
      </c>
      <c r="L703" s="33">
        <f>_xlfn.XLOOKUP(A703,[1]MÁQUINAS!B:B,[1]MÁQUINAS!C:C)</f>
        <v>0</v>
      </c>
      <c r="M703" s="34">
        <f t="array" ref="M703">_xlfn.XLOOKUP(A703,'[1]DATOS PBI Artículos'!A:A,'[1]DATOS PBI Artículos'!AX:$AX)</f>
        <v>0</v>
      </c>
      <c r="N703" s="37" t="e">
        <f>IF(I703="DV",
E703,
IF(COUNTIF([1]CRITERIOS!$I$179:$I$199,$A703)&gt;=1,
_xlfn.XLOOKUP($A703,[1]CRITERIOS!$I$179:$I$199,[1]CRITERIOS!$J$179:$J$199),
IF(COUNTIF([1]CRITERIOS!$L$179:$L$199,$A703)&gt;=1,
_xlfn.CEILING.MATH(IF($M703&gt;$E703,
$E703,
IF($M703&lt;$E703/ROUNDDOWN([1]CRITERIOS!$M$16/_xlfn.XLOOKUP($C703,[1]CRITERIOS!$K$25:$K$42,[1]CRITERIOS!$M$25:$M$42),
1),
E703/ROUNDDOWN([1]CRITERIOS!$M$16/_xlfn.XLOOKUP($C703,[1]CRITERIOS!$K$25:$K$42,[1]CRITERIOS!$M$25:$M$42),
1),
$M703)),
_xlfn.XLOOKUP($A703,[1]CRITERIOS!$L$179:$L$200,[1]CRITERIOS!$M$179:$M$200)),
_xlfn.CEILING.MATH(IF($M703&gt;$E703,
$E703,
IF($M703&lt;$E703/ROUNDDOWN([1]CRITERIOS!$M$16/_xlfn.XLOOKUP($C703,[1]CRITERIOS!$K$25:$K$42,[1]CRITERIOS!$M$25:$M$42),
1),
E703/ROUNDDOWN([1]CRITERIOS!$M$16/_xlfn.XLOOKUP($C703,[1]CRITERIOS!$K$25:$K$42,[1]CRITERIOS!$M$25:$M$42),
1),
$M703)),_xlfn.XLOOKUP(A703,'[1]DATOS PBI Artículos'!A:A,'[1]DATOS PBI Artículos'!Z:Z
)))))</f>
        <v>#N/A</v>
      </c>
      <c r="Q703" s="38" t="e">
        <f>IF(AND(O703="",N703=0),
0,
   IF(COUNTIF([1]CRITERIOS!$F$179:$F$199,$A703)&gt;=1,
   1,
   IF(R703="MTO",
      $D703,
      ROUNDUP(
                    IF(($E703-SUMIF('[1]DATOS PBI Artículos'!A:A,A703,'[1]DATOS PBI Artículos'!X:X)+($V703-_xlfn.XLOOKUP(A703,'[1]DATOS PBI Artículos'!A:A,'[1]DATOS PBI Artículos'!W:W)))&lt;0,
                    0,
                    IF(($E703-SUMIF('[1]DATOS PBI Artículos'!A:A,A703,'[1]DATOS PBI Artículos'!X:X)+$V703-_xlfn.XLOOKUP($A703,'[1]DATOS PBI Artículos'!A:A,'[1]DATOS PBI Artículos'!W:W))/IF($O703="",$N703,$O703)&gt;ROUNDUP([1]CRITERIOS!$M$16/(IF(COUNTIF([1]CRITERIOS!$BG$11:$BG$201,L703)&gt;=1,_xlfn.XLOOKUP($C703,[1]CRITERIOS!$K$25:$K$42,[1]CRITERIOS!$M$25:$M$42),_xlfn.XLOOKUP($C703,[1]CRITERIOS!$K$25:$K$42,[1]CRITERIOS!$M$25:$M$42))),0),
                    ROUNDUP([1]CRITERIOS!$M$16/(IF(COUNTIF([1]CRITERIOS!$BG$11:$BG$201,$L703)&gt;=1,_xlfn.XLOOKUP($C703,[1]CRITERIOS!$K$25:$K$42,[1]CRITERIOS!$M$25:$M$42),_xlfn.XLOOKUP($C703,[1]CRITERIOS!$K$25:$K$42,[1]CRITERIOS!$M$25:$M$42))),0),
                    (E703+V703-SUMIF('[1]DATOS PBI Artículos'!A:A,A703,'[1]DATOS PBI Artículos'!X:X)-_xlfn.XLOOKUP(A703,'[1]DATOS PBI Artículos'!A:A,'[1]DATOS PBI Artículos'!W:W))/IF($O703="",$N703,$O703))),0))))</f>
        <v>#N/A</v>
      </c>
      <c r="R703" s="33" t="e">
        <f>IF(U703&lt;&gt;"",U703,IF(F703="DV","MTO",IF(N703=0,"MTO",_xlfn.XLOOKUP(CONCATENATE(S703,T703),[1]CRITERIOS!$K$160:$K$168,[1]CRITERIOS!$N$160:$N$168))))</f>
        <v>#N/A</v>
      </c>
      <c r="S703" s="33" t="e">
        <f>IF(G703="DV","MTO",IF(N703=0,"MTO",IF(OR(AND(N703=0,O703=""),IF(O703="",G703/N703,G703/O703)&gt;[1]CRITERIOS!$G$163),"MTO",IF(IF(O703="",G703/N703,G703/O703)&lt;[1]CRITERIOS!$H$161,"MTS","MTOS"))))</f>
        <v>#N/A</v>
      </c>
      <c r="T703" s="33" t="e">
        <f>IF(F703="DV","MTO",IF(OR(AND($N703=0,O703=""),$F703/$J703&gt;[1]CRITERIOS!$G$170,$F703="DV"),"MTO",IF($F703/$J703&lt;[1]CRITERIOS!$H$168,"MTS","MTOS")))</f>
        <v>#N/A</v>
      </c>
      <c r="V703" s="34" t="e">
        <f t="shared" si="34"/>
        <v>#N/A</v>
      </c>
      <c r="X703" s="34" t="e">
        <f t="shared" si="32"/>
        <v>#N/A</v>
      </c>
      <c r="Y703" s="34" t="e">
        <f t="shared" si="33"/>
        <v>#N/A</v>
      </c>
      <c r="Z703" s="34" t="e">
        <f>IF($R703="MTO",
0,
($H703+$K703*($E703/[1]CRITERIOS!$M$16))/[1]CRITERIOS!$X$48)</f>
        <v>#N/A</v>
      </c>
      <c r="AA703" s="34" t="e">
        <f>ROUNDUP(($Y703/_xlfn.XLOOKUP($A703,'[1]DATOS PBI Artículos'!$A$4:$A$4,'[1]DATOS PBI Artículos'!$Z$4:$Z$4))/_xlfn.XLOOKUP(_xlfn.XLOOKUP($A703,'[1]DATOS PBI Artículos'!$A$4:$A$4,'[1]DATOS PBI Artículos'!$Y$4:$Y$4),[1]CRITERIOS!$P$79:$P$123,[1]CRITERIOS!$S$79:$S$123,),0)</f>
        <v>#N/A</v>
      </c>
      <c r="AB703" s="33" t="e">
        <f t="array" ref="AB703">IF((E703+V703-_xlfn.XLOOKUP(A703,'[1]DATOS PBI Artículos'!$A$4:$A$4,'[1]DATOS PBI Artículos'!$W$4:$W$4))/N703&gt;ROUNDUP([1]CRITERIOS!$M$16/(IF(COUNTIF([1]CRITERIOS!$BG$11:$BG$201,L703)&gt;=1,_xlfn.XLOOKUP(ARTÍCULOS!L703,[1]CRITERIOS!$BG$11:$BG$201,[1]CRITERIOS!$BJ$11:$BJ$201),_xlfn.XLOOKUP(ARTÍCULOS!C703,[1]CRITERIOS!$K$25:$K$42,[1]CRITERIOS!$M$25:$M$42))),0),ROUNDUP([1]CRITERIOS!$M$16/(IF(COUNTIF([1]CRITERIOS!$BG$11:$BG$201,L703)&gt;=1,_xlfn.XLOOKUP(ARTÍCULOS!L703,[1]CRITERIOS!$BG$11:$BG$201:#REF!,[1]CRITERIOS!$BJ$11:$BJ$201),_xlfn.XLOOKUP(ARTÍCULOS!C703,[1]CRITERIOS!$K$25:$K$42,[1]CRITERIOS!$M$25:$M$42))),0),(E703+V703-_xlfn.XLOOKUP(A703,'[1]DATOS PBI Artículos'!$A$4:$A$4,'[1]DATOS PBI Artículos'!$W$4:$W$4))/N703)</f>
        <v>#N/A</v>
      </c>
      <c r="AC703" s="33" t="e">
        <f>IF(N703=0,"",(ROUNDUP((N703/2)/(_xlfn.XLOOKUP(A703,'[1]DATOS PBI Artículos'!$A$4:$A$4,'[1]DATOS PBI Artículos'!$Z$4:$Z$4)*_xlfn.XLOOKUP(_xlfn.XLOOKUP(A703,'[1]DATOS PBI Artículos'!$A$4:$A$4,'[1]DATOS PBI Artículos'!$Y$4:$Y$4),[1]CRITERIOS!$P$79:$P$123,[1]CRITERIOS!$S$79:$S$123)),0)*[1]CRITERIOS!$M$80*([1]CRITERIOS!$M$110/[1]CRITERIOS!$M$86)+(_xlfn.XLOOKUP(A703,'[1]DATOS PBI Artículos'!$A$4:$A$4,'[1]DATOS PBI Artículos'!$AA$4:$AA$4)*([1]CRITERIOS!$M$95+[1]CRITERIOS!$M$98)))/N703)</f>
        <v>#N/A</v>
      </c>
      <c r="AD703" s="33" t="e">
        <f>IF(N703=0,"",(ROUNDUP((N703/2)/(_xlfn.XLOOKUP(A703,'[1]DATOS PBI Artículos'!$A$4:$A$4,'[1]DATOS PBI Artículos'!$Z$4:$Z$4)*_xlfn.XLOOKUP(_xlfn.XLOOKUP(A703,'[1]DATOS PBI Artículos'!$A$4:$A$4,'[1]DATOS PBI Artículos'!$Y$4:$Y$4),[1]CRITERIOS!$P$79:$P$123,[1]CRITERIOS!$S$79:$S$123)),0)*[1]CRITERIOS!$M$80*([1]CRITERIOS!$M$89*[1]CRITERIOS!$M$92)+((_xlfn.XLOOKUP(A703,'[1]DATOS PBI Artículos'!$A$4:$A$4,'[1]DATOS PBI Artículos'!$AA$4:$AA$4)/2)*([1]CRITERIOS!$M$95+[1]CRITERIOS!$M$98)))/N703)</f>
        <v>#N/A</v>
      </c>
      <c r="AE703" s="39" t="e">
        <f>IF($R703="MTO","",
IF($H703=0,ROUNDUP(((_xlfn.XLOOKUP($A703,'[1]DATOS PBI Artículos'!$A:$A,'[1]DATOS PBI Artículos'!$AL:$AL))/(_xlfn.XLOOKUP($AF$1,[1]CRITERIOS!$S$16:$S$39,[1]CRITERIOS!$Y$16:$Y$39))*$J703+$Z703)/$G703,0)*$G703,
((_xlfn.XLOOKUP($A703,'[1]DATOS PBI Artículos'!$A:$A,'[1]DATOS PBI Artículos'!$AL:$AL))/(_xlfn.XLOOKUP($AF$1,[1]CRITERIOS!$S$16:$S$39,[1]CRITERIOS!$Y$16:$Y$39))*$J703+$Z703)))</f>
        <v>#N/A</v>
      </c>
      <c r="AG703" s="39" t="e">
        <f>IF($R703="MTO","",
IF($H703=0,ROUNDUP(((_xlfn.XLOOKUP($A703,'[1]DATOS PBI Artículos'!$A:$A,'[1]DATOS PBI Artículos'!$AM:$AM))/(_xlfn.XLOOKUP($AH$1,[1]CRITERIOS!$S$16:$S$39,[1]CRITERIOS!$Y$16:$Y$39))*$J703+$Z703)/$G703,0)*$G703,
((_xlfn.XLOOKUP($A703,'[1]DATOS PBI Artículos'!$A:$A,'[1]DATOS PBI Artículos'!$AM:$AM))/(_xlfn.XLOOKUP($AH$1,[1]CRITERIOS!$S$16:$S$39,[1]CRITERIOS!$Y$16:$Y$39))*$J703+$Z703)))</f>
        <v>#N/A</v>
      </c>
      <c r="AI703" s="39" t="e">
        <f>IF($R703="MTO","",
IF($H703=0,ROUNDUP(((_xlfn.XLOOKUP($A703,'[1]DATOS PBI Artículos'!$A:$A,'[1]DATOS PBI Artículos'!$AN:$AN))/(_xlfn.XLOOKUP($AJ$1,[1]CRITERIOS!$S$16:$S$39,[1]CRITERIOS!$Y$16:$Y$39))*$J703+$Z703)/$G703,0)*$G703,
((_xlfn.XLOOKUP($A703,'[1]DATOS PBI Artículos'!$A:$A,'[1]DATOS PBI Artículos'!$AN:$AN))/(_xlfn.XLOOKUP($AJ$1,[1]CRITERIOS!$S$16:$S$39,[1]CRITERIOS!$Y$16:$Y$39))*$J703+$Z703)))</f>
        <v>#N/A</v>
      </c>
      <c r="AK703" s="39" t="e">
        <f>IF($R703="MTO","",
IF($H703=0,ROUNDUP(((_xlfn.XLOOKUP($A703,'[1]DATOS PBI Artículos'!$A:$A,'[1]DATOS PBI Artículos'!$AO:$AO))/(_xlfn.XLOOKUP($AL$1,[1]CRITERIOS!$S$16:$S$39,[1]CRITERIOS!$Y$16:$Y$39))*$J703+$Z703)/$G703,0)*$G703,
((_xlfn.XLOOKUP($A703,'[1]DATOS PBI Artículos'!$A:$A,'[1]DATOS PBI Artículos'!$AO:$AO))/(_xlfn.XLOOKUP($AL$1,[1]CRITERIOS!$S$16:$S$39,[1]CRITERIOS!$Y$16:$Y$39))*$J703+$Z703)))</f>
        <v>#N/A</v>
      </c>
    </row>
    <row r="704" spans="1:37" ht="25.8" hidden="1" x14ac:dyDescent="0.4">
      <c r="A704" s="41"/>
      <c r="B704" s="33">
        <f>_xlfn.XLOOKUP($A704,'[1]DATOS PBI Artículos'!A:A,'[1]DATOS PBI Artículos'!B:B)</f>
        <v>0</v>
      </c>
      <c r="C704" s="33">
        <f>_xlfn.XLOOKUP($A704,'[1]DATOS PBI Artículos'!A:A,'[1]DATOS PBI Artículos'!C:C)</f>
        <v>0</v>
      </c>
      <c r="D704" s="33">
        <f>_xlfn.XLOOKUP(A704,'[1]DATOS PBI Artículos'!A:A,'[1]DATOS PBI Artículos'!T:T)</f>
        <v>0</v>
      </c>
      <c r="E704" s="34">
        <f>IF(_xlfn.XLOOKUP($A704,'[1]DATOS PBI Artículos'!A:A,'[1]DATOS PBI Artículos'!AK:AK)="",_xlfn.XLOOKUP($A704,'[1]DATOS PBI Artículos'!A:A,'[1]DATOS PBI Artículos'!AJ:AJ),_xlfn.XLOOKUP($A704,'[1]DATOS PBI Artículos'!A:A,'[1]DATOS PBI Artículos'!AK:AK))</f>
        <v>0</v>
      </c>
      <c r="F704" s="35">
        <f>_xlfn.XLOOKUP($A704,'[1]DATOS PBI Artículos'!A:A,'[1]DATOS PBI Artículos'!AP:AP)</f>
        <v>0</v>
      </c>
      <c r="G704" s="34">
        <f>_xlfn.XLOOKUP($A704,'[1]DATOS PBI Artículos'!A:A,'[1]DATOS PBI Artículos'!AR:AR)</f>
        <v>0</v>
      </c>
      <c r="H704" s="34">
        <f>_xlfn.XLOOKUP($A704,'[1]DATOS PBI Artículos'!A:A,'[1]DATOS PBI Artículos'!AT:AT)</f>
        <v>0</v>
      </c>
      <c r="I704" s="34">
        <f>_xlfn.XLOOKUP($A704,'[1]DATOS PBI Artículos'!A:A,'[1]DATOS PBI Artículos'!AS:AS)</f>
        <v>0</v>
      </c>
      <c r="J704" s="35">
        <f>IF(COUNTIF([1]CRITERIOS!$F$179:$F$199,$A704)&gt;=1,
 IF(O704&lt;&gt;"",
    (O704/_xlfn.XLOOKUP(CONCATENATE(A704,L704),[1]MÁQUINAS!A:A,[1]MÁQUINAS!D:D))/24,
    (N704/_xlfn.XLOOKUP(CONCATENATE(A704,L704),[1]MÁQUINAS!A:A,[1]MÁQUINAS!D:D))/24),
  _xlfn.XLOOKUP($A704,'[1]DATOS PBI Artículos'!A:A,'[1]DATOS PBI Artículos'!AU:AU))</f>
        <v>0</v>
      </c>
      <c r="K704" s="36">
        <f>_xlfn.XLOOKUP($A704,'[1]DATOS PBI Artículos'!A:A,'[1]DATOS PBI Artículos'!AV:AV)</f>
        <v>0</v>
      </c>
      <c r="L704" s="33">
        <f>_xlfn.XLOOKUP(A704,[1]MÁQUINAS!B:B,[1]MÁQUINAS!C:C)</f>
        <v>0</v>
      </c>
      <c r="M704" s="34">
        <f t="array" ref="M704">_xlfn.XLOOKUP(A704,'[1]DATOS PBI Artículos'!A:A,'[1]DATOS PBI Artículos'!AX:$AX)</f>
        <v>0</v>
      </c>
      <c r="N704" s="37" t="e">
        <f>IF(I704="DV",
E704,
IF(COUNTIF([1]CRITERIOS!$I$179:$I$199,$A704)&gt;=1,
_xlfn.XLOOKUP($A704,[1]CRITERIOS!$I$179:$I$199,[1]CRITERIOS!$J$179:$J$199),
IF(COUNTIF([1]CRITERIOS!$L$179:$L$199,$A704)&gt;=1,
_xlfn.CEILING.MATH(IF($M704&gt;$E704,
$E704,
IF($M704&lt;$E704/ROUNDDOWN([1]CRITERIOS!$M$16/_xlfn.XLOOKUP($C704,[1]CRITERIOS!$K$25:$K$42,[1]CRITERIOS!$M$25:$M$42),
1),
E704/ROUNDDOWN([1]CRITERIOS!$M$16/_xlfn.XLOOKUP($C704,[1]CRITERIOS!$K$25:$K$42,[1]CRITERIOS!$M$25:$M$42),
1),
$M704)),
_xlfn.XLOOKUP($A704,[1]CRITERIOS!$L$179:$L$200,[1]CRITERIOS!$M$179:$M$200)),
_xlfn.CEILING.MATH(IF($M704&gt;$E704,
$E704,
IF($M704&lt;$E704/ROUNDDOWN([1]CRITERIOS!$M$16/_xlfn.XLOOKUP($C704,[1]CRITERIOS!$K$25:$K$42,[1]CRITERIOS!$M$25:$M$42),
1),
E704/ROUNDDOWN([1]CRITERIOS!$M$16/_xlfn.XLOOKUP($C704,[1]CRITERIOS!$K$25:$K$42,[1]CRITERIOS!$M$25:$M$42),
1),
$M704)),_xlfn.XLOOKUP(A704,'[1]DATOS PBI Artículos'!A:A,'[1]DATOS PBI Artículos'!Z:Z
)))))</f>
        <v>#N/A</v>
      </c>
      <c r="Q704" s="38" t="e">
        <f>IF(AND(O704="",N704=0),
0,
   IF(COUNTIF([1]CRITERIOS!$F$179:$F$199,$A704)&gt;=1,
   1,
   IF(R704="MTO",
      $D704,
      ROUNDUP(
                    IF(($E704-SUMIF('[1]DATOS PBI Artículos'!A:A,A704,'[1]DATOS PBI Artículos'!X:X)+($V704-_xlfn.XLOOKUP(A704,'[1]DATOS PBI Artículos'!A:A,'[1]DATOS PBI Artículos'!W:W)))&lt;0,
                    0,
                    IF(($E704-SUMIF('[1]DATOS PBI Artículos'!A:A,A704,'[1]DATOS PBI Artículos'!X:X)+$V704-_xlfn.XLOOKUP($A704,'[1]DATOS PBI Artículos'!A:A,'[1]DATOS PBI Artículos'!W:W))/IF($O704="",$N704,$O704)&gt;ROUNDUP([1]CRITERIOS!$M$16/(IF(COUNTIF([1]CRITERIOS!$BG$11:$BG$201,L704)&gt;=1,_xlfn.XLOOKUP($C704,[1]CRITERIOS!$K$25:$K$42,[1]CRITERIOS!$M$25:$M$42),_xlfn.XLOOKUP($C704,[1]CRITERIOS!$K$25:$K$42,[1]CRITERIOS!$M$25:$M$42))),0),
                    ROUNDUP([1]CRITERIOS!$M$16/(IF(COUNTIF([1]CRITERIOS!$BG$11:$BG$201,$L704)&gt;=1,_xlfn.XLOOKUP($C704,[1]CRITERIOS!$K$25:$K$42,[1]CRITERIOS!$M$25:$M$42),_xlfn.XLOOKUP($C704,[1]CRITERIOS!$K$25:$K$42,[1]CRITERIOS!$M$25:$M$42))),0),
                    (E704+V704-SUMIF('[1]DATOS PBI Artículos'!A:A,A704,'[1]DATOS PBI Artículos'!X:X)-_xlfn.XLOOKUP(A704,'[1]DATOS PBI Artículos'!A:A,'[1]DATOS PBI Artículos'!W:W))/IF($O704="",$N704,$O704))),0))))</f>
        <v>#N/A</v>
      </c>
      <c r="R704" s="33" t="e">
        <f>IF(U704&lt;&gt;"",U704,IF(F704="DV","MTO",IF(N704=0,"MTO",_xlfn.XLOOKUP(CONCATENATE(S704,T704),[1]CRITERIOS!$K$160:$K$168,[1]CRITERIOS!$N$160:$N$168))))</f>
        <v>#N/A</v>
      </c>
      <c r="S704" s="33" t="e">
        <f>IF(G704="DV","MTO",IF(N704=0,"MTO",IF(OR(AND(N704=0,O704=""),IF(O704="",G704/N704,G704/O704)&gt;[1]CRITERIOS!$G$163),"MTO",IF(IF(O704="",G704/N704,G704/O704)&lt;[1]CRITERIOS!$H$161,"MTS","MTOS"))))</f>
        <v>#N/A</v>
      </c>
      <c r="T704" s="33" t="e">
        <f>IF(F704="DV","MTO",IF(OR(AND($N704=0,O704=""),$F704/$J704&gt;[1]CRITERIOS!$G$170,$F704="DV"),"MTO",IF($F704/$J704&lt;[1]CRITERIOS!$H$168,"MTS","MTOS")))</f>
        <v>#N/A</v>
      </c>
      <c r="V704" s="34" t="e">
        <f t="shared" si="34"/>
        <v>#N/A</v>
      </c>
      <c r="X704" s="34" t="e">
        <f t="shared" si="32"/>
        <v>#N/A</v>
      </c>
      <c r="Y704" s="34" t="e">
        <f t="shared" si="33"/>
        <v>#N/A</v>
      </c>
      <c r="Z704" s="34" t="e">
        <f>IF($R704="MTO",
0,
($H704+$K704*($E704/[1]CRITERIOS!$M$16))/[1]CRITERIOS!$X$48)</f>
        <v>#N/A</v>
      </c>
      <c r="AA704" s="34" t="e">
        <f>ROUNDUP(($Y704/_xlfn.XLOOKUP($A704,'[1]DATOS PBI Artículos'!$A$4:$A$4,'[1]DATOS PBI Artículos'!$Z$4:$Z$4))/_xlfn.XLOOKUP(_xlfn.XLOOKUP($A704,'[1]DATOS PBI Artículos'!$A$4:$A$4,'[1]DATOS PBI Artículos'!$Y$4:$Y$4),[1]CRITERIOS!$P$79:$P$123,[1]CRITERIOS!$S$79:$S$123,),0)</f>
        <v>#N/A</v>
      </c>
      <c r="AB704" s="33" t="e">
        <f t="array" ref="AB704">IF((E704+V704-_xlfn.XLOOKUP(A704,'[1]DATOS PBI Artículos'!$A$4:$A$4,'[1]DATOS PBI Artículos'!$W$4:$W$4))/N704&gt;ROUNDUP([1]CRITERIOS!$M$16/(IF(COUNTIF([1]CRITERIOS!$BG$11:$BG$201,L704)&gt;=1,_xlfn.XLOOKUP(ARTÍCULOS!L704,[1]CRITERIOS!$BG$11:$BG$201,[1]CRITERIOS!$BJ$11:$BJ$201),_xlfn.XLOOKUP(ARTÍCULOS!C704,[1]CRITERIOS!$K$25:$K$42,[1]CRITERIOS!$M$25:$M$42))),0),ROUNDUP([1]CRITERIOS!$M$16/(IF(COUNTIF([1]CRITERIOS!$BG$11:$BG$201,L704)&gt;=1,_xlfn.XLOOKUP(ARTÍCULOS!L704,[1]CRITERIOS!$BG$11:$BG$201:#REF!,[1]CRITERIOS!$BJ$11:$BJ$201),_xlfn.XLOOKUP(ARTÍCULOS!C704,[1]CRITERIOS!$K$25:$K$42,[1]CRITERIOS!$M$25:$M$42))),0),(E704+V704-_xlfn.XLOOKUP(A704,'[1]DATOS PBI Artículos'!$A$4:$A$4,'[1]DATOS PBI Artículos'!$W$4:$W$4))/N704)</f>
        <v>#N/A</v>
      </c>
      <c r="AC704" s="33" t="e">
        <f>IF(N704=0,"",(ROUNDUP((N704/2)/(_xlfn.XLOOKUP(A704,'[1]DATOS PBI Artículos'!$A$4:$A$4,'[1]DATOS PBI Artículos'!$Z$4:$Z$4)*_xlfn.XLOOKUP(_xlfn.XLOOKUP(A704,'[1]DATOS PBI Artículos'!$A$4:$A$4,'[1]DATOS PBI Artículos'!$Y$4:$Y$4),[1]CRITERIOS!$P$79:$P$123,[1]CRITERIOS!$S$79:$S$123)),0)*[1]CRITERIOS!$M$80*([1]CRITERIOS!$M$110/[1]CRITERIOS!$M$86)+(_xlfn.XLOOKUP(A704,'[1]DATOS PBI Artículos'!$A$4:$A$4,'[1]DATOS PBI Artículos'!$AA$4:$AA$4)*([1]CRITERIOS!$M$95+[1]CRITERIOS!$M$98)))/N704)</f>
        <v>#N/A</v>
      </c>
      <c r="AD704" s="33" t="e">
        <f>IF(N704=0,"",(ROUNDUP((N704/2)/(_xlfn.XLOOKUP(A704,'[1]DATOS PBI Artículos'!$A$4:$A$4,'[1]DATOS PBI Artículos'!$Z$4:$Z$4)*_xlfn.XLOOKUP(_xlfn.XLOOKUP(A704,'[1]DATOS PBI Artículos'!$A$4:$A$4,'[1]DATOS PBI Artículos'!$Y$4:$Y$4),[1]CRITERIOS!$P$79:$P$123,[1]CRITERIOS!$S$79:$S$123)),0)*[1]CRITERIOS!$M$80*([1]CRITERIOS!$M$89*[1]CRITERIOS!$M$92)+((_xlfn.XLOOKUP(A704,'[1]DATOS PBI Artículos'!$A$4:$A$4,'[1]DATOS PBI Artículos'!$AA$4:$AA$4)/2)*([1]CRITERIOS!$M$95+[1]CRITERIOS!$M$98)))/N704)</f>
        <v>#N/A</v>
      </c>
      <c r="AE704" s="39" t="e">
        <f>IF($R704="MTO","",
IF($H704=0,ROUNDUP(((_xlfn.XLOOKUP($A704,'[1]DATOS PBI Artículos'!$A:$A,'[1]DATOS PBI Artículos'!$AL:$AL))/(_xlfn.XLOOKUP($AF$1,[1]CRITERIOS!$S$16:$S$39,[1]CRITERIOS!$Y$16:$Y$39))*$J704+$Z704)/$G704,0)*$G704,
((_xlfn.XLOOKUP($A704,'[1]DATOS PBI Artículos'!$A:$A,'[1]DATOS PBI Artículos'!$AL:$AL))/(_xlfn.XLOOKUP($AF$1,[1]CRITERIOS!$S$16:$S$39,[1]CRITERIOS!$Y$16:$Y$39))*$J704+$Z704)))</f>
        <v>#N/A</v>
      </c>
      <c r="AG704" s="39" t="e">
        <f>IF($R704="MTO","",
IF($H704=0,ROUNDUP(((_xlfn.XLOOKUP($A704,'[1]DATOS PBI Artículos'!$A:$A,'[1]DATOS PBI Artículos'!$AM:$AM))/(_xlfn.XLOOKUP($AH$1,[1]CRITERIOS!$S$16:$S$39,[1]CRITERIOS!$Y$16:$Y$39))*$J704+$Z704)/$G704,0)*$G704,
((_xlfn.XLOOKUP($A704,'[1]DATOS PBI Artículos'!$A:$A,'[1]DATOS PBI Artículos'!$AM:$AM))/(_xlfn.XLOOKUP($AH$1,[1]CRITERIOS!$S$16:$S$39,[1]CRITERIOS!$Y$16:$Y$39))*$J704+$Z704)))</f>
        <v>#N/A</v>
      </c>
      <c r="AI704" s="39" t="e">
        <f>IF($R704="MTO","",
IF($H704=0,ROUNDUP(((_xlfn.XLOOKUP($A704,'[1]DATOS PBI Artículos'!$A:$A,'[1]DATOS PBI Artículos'!$AN:$AN))/(_xlfn.XLOOKUP($AJ$1,[1]CRITERIOS!$S$16:$S$39,[1]CRITERIOS!$Y$16:$Y$39))*$J704+$Z704)/$G704,0)*$G704,
((_xlfn.XLOOKUP($A704,'[1]DATOS PBI Artículos'!$A:$A,'[1]DATOS PBI Artículos'!$AN:$AN))/(_xlfn.XLOOKUP($AJ$1,[1]CRITERIOS!$S$16:$S$39,[1]CRITERIOS!$Y$16:$Y$39))*$J704+$Z704)))</f>
        <v>#N/A</v>
      </c>
      <c r="AK704" s="39" t="e">
        <f>IF($R704="MTO","",
IF($H704=0,ROUNDUP(((_xlfn.XLOOKUP($A704,'[1]DATOS PBI Artículos'!$A:$A,'[1]DATOS PBI Artículos'!$AO:$AO))/(_xlfn.XLOOKUP($AL$1,[1]CRITERIOS!$S$16:$S$39,[1]CRITERIOS!$Y$16:$Y$39))*$J704+$Z704)/$G704,0)*$G704,
((_xlfn.XLOOKUP($A704,'[1]DATOS PBI Artículos'!$A:$A,'[1]DATOS PBI Artículos'!$AO:$AO))/(_xlfn.XLOOKUP($AL$1,[1]CRITERIOS!$S$16:$S$39,[1]CRITERIOS!$Y$16:$Y$39))*$J704+$Z704)))</f>
        <v>#N/A</v>
      </c>
    </row>
    <row r="705" spans="1:37" ht="25.8" hidden="1" x14ac:dyDescent="0.4">
      <c r="A705" s="41"/>
      <c r="B705" s="33">
        <f>_xlfn.XLOOKUP($A705,'[1]DATOS PBI Artículos'!A:A,'[1]DATOS PBI Artículos'!B:B)</f>
        <v>0</v>
      </c>
      <c r="C705" s="33">
        <f>_xlfn.XLOOKUP($A705,'[1]DATOS PBI Artículos'!A:A,'[1]DATOS PBI Artículos'!C:C)</f>
        <v>0</v>
      </c>
      <c r="D705" s="33">
        <f>_xlfn.XLOOKUP(A705,'[1]DATOS PBI Artículos'!A:A,'[1]DATOS PBI Artículos'!T:T)</f>
        <v>0</v>
      </c>
      <c r="E705" s="34">
        <f>IF(_xlfn.XLOOKUP($A705,'[1]DATOS PBI Artículos'!A:A,'[1]DATOS PBI Artículos'!AK:AK)="",_xlfn.XLOOKUP($A705,'[1]DATOS PBI Artículos'!A:A,'[1]DATOS PBI Artículos'!AJ:AJ),_xlfn.XLOOKUP($A705,'[1]DATOS PBI Artículos'!A:A,'[1]DATOS PBI Artículos'!AK:AK))</f>
        <v>0</v>
      </c>
      <c r="F705" s="35">
        <f>_xlfn.XLOOKUP($A705,'[1]DATOS PBI Artículos'!A:A,'[1]DATOS PBI Artículos'!AP:AP)</f>
        <v>0</v>
      </c>
      <c r="G705" s="34">
        <f>_xlfn.XLOOKUP($A705,'[1]DATOS PBI Artículos'!A:A,'[1]DATOS PBI Artículos'!AR:AR)</f>
        <v>0</v>
      </c>
      <c r="H705" s="34">
        <f>_xlfn.XLOOKUP($A705,'[1]DATOS PBI Artículos'!A:A,'[1]DATOS PBI Artículos'!AT:AT)</f>
        <v>0</v>
      </c>
      <c r="I705" s="34">
        <f>_xlfn.XLOOKUP($A705,'[1]DATOS PBI Artículos'!A:A,'[1]DATOS PBI Artículos'!AS:AS)</f>
        <v>0</v>
      </c>
      <c r="J705" s="35">
        <f>IF(COUNTIF([1]CRITERIOS!$F$179:$F$199,$A705)&gt;=1,
 IF(O705&lt;&gt;"",
    (O705/_xlfn.XLOOKUP(CONCATENATE(A705,L705),[1]MÁQUINAS!A:A,[1]MÁQUINAS!D:D))/24,
    (N705/_xlfn.XLOOKUP(CONCATENATE(A705,L705),[1]MÁQUINAS!A:A,[1]MÁQUINAS!D:D))/24),
  _xlfn.XLOOKUP($A705,'[1]DATOS PBI Artículos'!A:A,'[1]DATOS PBI Artículos'!AU:AU))</f>
        <v>0</v>
      </c>
      <c r="K705" s="36">
        <f>_xlfn.XLOOKUP($A705,'[1]DATOS PBI Artículos'!A:A,'[1]DATOS PBI Artículos'!AV:AV)</f>
        <v>0</v>
      </c>
      <c r="L705" s="33">
        <f>_xlfn.XLOOKUP(A705,[1]MÁQUINAS!B:B,[1]MÁQUINAS!C:C)</f>
        <v>0</v>
      </c>
      <c r="M705" s="34">
        <f t="array" ref="M705">_xlfn.XLOOKUP(A705,'[1]DATOS PBI Artículos'!A:A,'[1]DATOS PBI Artículos'!AX:$AX)</f>
        <v>0</v>
      </c>
      <c r="N705" s="37" t="e">
        <f>IF(I705="DV",
E705,
IF(COUNTIF([1]CRITERIOS!$I$179:$I$199,$A705)&gt;=1,
_xlfn.XLOOKUP($A705,[1]CRITERIOS!$I$179:$I$199,[1]CRITERIOS!$J$179:$J$199),
IF(COUNTIF([1]CRITERIOS!$L$179:$L$199,$A705)&gt;=1,
_xlfn.CEILING.MATH(IF($M705&gt;$E705,
$E705,
IF($M705&lt;$E705/ROUNDDOWN([1]CRITERIOS!$M$16/_xlfn.XLOOKUP($C705,[1]CRITERIOS!$K$25:$K$42,[1]CRITERIOS!$M$25:$M$42),
1),
E705/ROUNDDOWN([1]CRITERIOS!$M$16/_xlfn.XLOOKUP($C705,[1]CRITERIOS!$K$25:$K$42,[1]CRITERIOS!$M$25:$M$42),
1),
$M705)),
_xlfn.XLOOKUP($A705,[1]CRITERIOS!$L$179:$L$200,[1]CRITERIOS!$M$179:$M$200)),
_xlfn.CEILING.MATH(IF($M705&gt;$E705,
$E705,
IF($M705&lt;$E705/ROUNDDOWN([1]CRITERIOS!$M$16/_xlfn.XLOOKUP($C705,[1]CRITERIOS!$K$25:$K$42,[1]CRITERIOS!$M$25:$M$42),
1),
E705/ROUNDDOWN([1]CRITERIOS!$M$16/_xlfn.XLOOKUP($C705,[1]CRITERIOS!$K$25:$K$42,[1]CRITERIOS!$M$25:$M$42),
1),
$M705)),_xlfn.XLOOKUP(A705,'[1]DATOS PBI Artículos'!A:A,'[1]DATOS PBI Artículos'!Z:Z
)))))</f>
        <v>#N/A</v>
      </c>
      <c r="Q705" s="38" t="e">
        <f>IF(AND(O705="",N705=0),
0,
   IF(COUNTIF([1]CRITERIOS!$F$179:$F$199,$A705)&gt;=1,
   1,
   IF(R705="MTO",
      $D705,
      ROUNDUP(
                    IF(($E705-SUMIF('[1]DATOS PBI Artículos'!A:A,A705,'[1]DATOS PBI Artículos'!X:X)+($V705-_xlfn.XLOOKUP(A705,'[1]DATOS PBI Artículos'!A:A,'[1]DATOS PBI Artículos'!W:W)))&lt;0,
                    0,
                    IF(($E705-SUMIF('[1]DATOS PBI Artículos'!A:A,A705,'[1]DATOS PBI Artículos'!X:X)+$V705-_xlfn.XLOOKUP($A705,'[1]DATOS PBI Artículos'!A:A,'[1]DATOS PBI Artículos'!W:W))/IF($O705="",$N705,$O705)&gt;ROUNDUP([1]CRITERIOS!$M$16/(IF(COUNTIF([1]CRITERIOS!$BG$11:$BG$201,L705)&gt;=1,_xlfn.XLOOKUP($C705,[1]CRITERIOS!$K$25:$K$42,[1]CRITERIOS!$M$25:$M$42),_xlfn.XLOOKUP($C705,[1]CRITERIOS!$K$25:$K$42,[1]CRITERIOS!$M$25:$M$42))),0),
                    ROUNDUP([1]CRITERIOS!$M$16/(IF(COUNTIF([1]CRITERIOS!$BG$11:$BG$201,$L705)&gt;=1,_xlfn.XLOOKUP($C705,[1]CRITERIOS!$K$25:$K$42,[1]CRITERIOS!$M$25:$M$42),_xlfn.XLOOKUP($C705,[1]CRITERIOS!$K$25:$K$42,[1]CRITERIOS!$M$25:$M$42))),0),
                    (E705+V705-SUMIF('[1]DATOS PBI Artículos'!A:A,A705,'[1]DATOS PBI Artículos'!X:X)-_xlfn.XLOOKUP(A705,'[1]DATOS PBI Artículos'!A:A,'[1]DATOS PBI Artículos'!W:W))/IF($O705="",$N705,$O705))),0))))</f>
        <v>#N/A</v>
      </c>
      <c r="R705" s="33" t="e">
        <f>IF(U705&lt;&gt;"",U705,IF(F705="DV","MTO",IF(N705=0,"MTO",_xlfn.XLOOKUP(CONCATENATE(S705,T705),[1]CRITERIOS!$K$160:$K$168,[1]CRITERIOS!$N$160:$N$168))))</f>
        <v>#N/A</v>
      </c>
      <c r="S705" s="33" t="e">
        <f>IF(G705="DV","MTO",IF(N705=0,"MTO",IF(OR(AND(N705=0,O705=""),IF(O705="",G705/N705,G705/O705)&gt;[1]CRITERIOS!$G$163),"MTO",IF(IF(O705="",G705/N705,G705/O705)&lt;[1]CRITERIOS!$H$161,"MTS","MTOS"))))</f>
        <v>#N/A</v>
      </c>
      <c r="T705" s="33" t="e">
        <f>IF(F705="DV","MTO",IF(OR(AND($N705=0,O705=""),$F705/$J705&gt;[1]CRITERIOS!$G$170,$F705="DV"),"MTO",IF($F705/$J705&lt;[1]CRITERIOS!$H$168,"MTS","MTOS")))</f>
        <v>#N/A</v>
      </c>
      <c r="V705" s="34" t="e">
        <f t="shared" si="34"/>
        <v>#N/A</v>
      </c>
      <c r="X705" s="34" t="e">
        <f t="shared" si="32"/>
        <v>#N/A</v>
      </c>
      <c r="Y705" s="34" t="e">
        <f t="shared" si="33"/>
        <v>#N/A</v>
      </c>
      <c r="Z705" s="34" t="e">
        <f>IF($R705="MTO",
0,
($H705+$K705*($E705/[1]CRITERIOS!$M$16))/[1]CRITERIOS!$X$48)</f>
        <v>#N/A</v>
      </c>
      <c r="AA705" s="34" t="e">
        <f>ROUNDUP(($Y705/_xlfn.XLOOKUP($A705,'[1]DATOS PBI Artículos'!$A$4:$A$4,'[1]DATOS PBI Artículos'!$Z$4:$Z$4))/_xlfn.XLOOKUP(_xlfn.XLOOKUP($A705,'[1]DATOS PBI Artículos'!$A$4:$A$4,'[1]DATOS PBI Artículos'!$Y$4:$Y$4),[1]CRITERIOS!$P$79:$P$123,[1]CRITERIOS!$S$79:$S$123,),0)</f>
        <v>#N/A</v>
      </c>
      <c r="AB705" s="33" t="e">
        <f t="array" ref="AB705">IF((E705+V705-_xlfn.XLOOKUP(A705,'[1]DATOS PBI Artículos'!$A$4:$A$4,'[1]DATOS PBI Artículos'!$W$4:$W$4))/N705&gt;ROUNDUP([1]CRITERIOS!$M$16/(IF(COUNTIF([1]CRITERIOS!$BG$11:$BG$201,L705)&gt;=1,_xlfn.XLOOKUP(ARTÍCULOS!L705,[1]CRITERIOS!$BG$11:$BG$201,[1]CRITERIOS!$BJ$11:$BJ$201),_xlfn.XLOOKUP(ARTÍCULOS!C705,[1]CRITERIOS!$K$25:$K$42,[1]CRITERIOS!$M$25:$M$42))),0),ROUNDUP([1]CRITERIOS!$M$16/(IF(COUNTIF([1]CRITERIOS!$BG$11:$BG$201,L705)&gt;=1,_xlfn.XLOOKUP(ARTÍCULOS!L705,[1]CRITERIOS!$BG$11:$BG$201:#REF!,[1]CRITERIOS!$BJ$11:$BJ$201),_xlfn.XLOOKUP(ARTÍCULOS!C705,[1]CRITERIOS!$K$25:$K$42,[1]CRITERIOS!$M$25:$M$42))),0),(E705+V705-_xlfn.XLOOKUP(A705,'[1]DATOS PBI Artículos'!$A$4:$A$4,'[1]DATOS PBI Artículos'!$W$4:$W$4))/N705)</f>
        <v>#N/A</v>
      </c>
      <c r="AC705" s="33" t="e">
        <f>IF(N705=0,"",(ROUNDUP((N705/2)/(_xlfn.XLOOKUP(A705,'[1]DATOS PBI Artículos'!$A$4:$A$4,'[1]DATOS PBI Artículos'!$Z$4:$Z$4)*_xlfn.XLOOKUP(_xlfn.XLOOKUP(A705,'[1]DATOS PBI Artículos'!$A$4:$A$4,'[1]DATOS PBI Artículos'!$Y$4:$Y$4),[1]CRITERIOS!$P$79:$P$123,[1]CRITERIOS!$S$79:$S$123)),0)*[1]CRITERIOS!$M$80*([1]CRITERIOS!$M$110/[1]CRITERIOS!$M$86)+(_xlfn.XLOOKUP(A705,'[1]DATOS PBI Artículos'!$A$4:$A$4,'[1]DATOS PBI Artículos'!$AA$4:$AA$4)*([1]CRITERIOS!$M$95+[1]CRITERIOS!$M$98)))/N705)</f>
        <v>#N/A</v>
      </c>
      <c r="AD705" s="33" t="e">
        <f>IF(N705=0,"",(ROUNDUP((N705/2)/(_xlfn.XLOOKUP(A705,'[1]DATOS PBI Artículos'!$A$4:$A$4,'[1]DATOS PBI Artículos'!$Z$4:$Z$4)*_xlfn.XLOOKUP(_xlfn.XLOOKUP(A705,'[1]DATOS PBI Artículos'!$A$4:$A$4,'[1]DATOS PBI Artículos'!$Y$4:$Y$4),[1]CRITERIOS!$P$79:$P$123,[1]CRITERIOS!$S$79:$S$123)),0)*[1]CRITERIOS!$M$80*([1]CRITERIOS!$M$89*[1]CRITERIOS!$M$92)+((_xlfn.XLOOKUP(A705,'[1]DATOS PBI Artículos'!$A$4:$A$4,'[1]DATOS PBI Artículos'!$AA$4:$AA$4)/2)*([1]CRITERIOS!$M$95+[1]CRITERIOS!$M$98)))/N705)</f>
        <v>#N/A</v>
      </c>
      <c r="AE705" s="39" t="e">
        <f>IF($R705="MTO","",
IF($H705=0,ROUNDUP(((_xlfn.XLOOKUP($A705,'[1]DATOS PBI Artículos'!$A:$A,'[1]DATOS PBI Artículos'!$AL:$AL))/(_xlfn.XLOOKUP($AF$1,[1]CRITERIOS!$S$16:$S$39,[1]CRITERIOS!$Y$16:$Y$39))*$J705+$Z705)/$G705,0)*$G705,
((_xlfn.XLOOKUP($A705,'[1]DATOS PBI Artículos'!$A:$A,'[1]DATOS PBI Artículos'!$AL:$AL))/(_xlfn.XLOOKUP($AF$1,[1]CRITERIOS!$S$16:$S$39,[1]CRITERIOS!$Y$16:$Y$39))*$J705+$Z705)))</f>
        <v>#N/A</v>
      </c>
      <c r="AG705" s="39" t="e">
        <f>IF($R705="MTO","",
IF($H705=0,ROUNDUP(((_xlfn.XLOOKUP($A705,'[1]DATOS PBI Artículos'!$A:$A,'[1]DATOS PBI Artículos'!$AM:$AM))/(_xlfn.XLOOKUP($AH$1,[1]CRITERIOS!$S$16:$S$39,[1]CRITERIOS!$Y$16:$Y$39))*$J705+$Z705)/$G705,0)*$G705,
((_xlfn.XLOOKUP($A705,'[1]DATOS PBI Artículos'!$A:$A,'[1]DATOS PBI Artículos'!$AM:$AM))/(_xlfn.XLOOKUP($AH$1,[1]CRITERIOS!$S$16:$S$39,[1]CRITERIOS!$Y$16:$Y$39))*$J705+$Z705)))</f>
        <v>#N/A</v>
      </c>
      <c r="AI705" s="39" t="e">
        <f>IF($R705="MTO","",
IF($H705=0,ROUNDUP(((_xlfn.XLOOKUP($A705,'[1]DATOS PBI Artículos'!$A:$A,'[1]DATOS PBI Artículos'!$AN:$AN))/(_xlfn.XLOOKUP($AJ$1,[1]CRITERIOS!$S$16:$S$39,[1]CRITERIOS!$Y$16:$Y$39))*$J705+$Z705)/$G705,0)*$G705,
((_xlfn.XLOOKUP($A705,'[1]DATOS PBI Artículos'!$A:$A,'[1]DATOS PBI Artículos'!$AN:$AN))/(_xlfn.XLOOKUP($AJ$1,[1]CRITERIOS!$S$16:$S$39,[1]CRITERIOS!$Y$16:$Y$39))*$J705+$Z705)))</f>
        <v>#N/A</v>
      </c>
      <c r="AK705" s="39" t="e">
        <f>IF($R705="MTO","",
IF($H705=0,ROUNDUP(((_xlfn.XLOOKUP($A705,'[1]DATOS PBI Artículos'!$A:$A,'[1]DATOS PBI Artículos'!$AO:$AO))/(_xlfn.XLOOKUP($AL$1,[1]CRITERIOS!$S$16:$S$39,[1]CRITERIOS!$Y$16:$Y$39))*$J705+$Z705)/$G705,0)*$G705,
((_xlfn.XLOOKUP($A705,'[1]DATOS PBI Artículos'!$A:$A,'[1]DATOS PBI Artículos'!$AO:$AO))/(_xlfn.XLOOKUP($AL$1,[1]CRITERIOS!$S$16:$S$39,[1]CRITERIOS!$Y$16:$Y$39))*$J705+$Z705)))</f>
        <v>#N/A</v>
      </c>
    </row>
    <row r="706" spans="1:37" ht="25.8" hidden="1" x14ac:dyDescent="0.4">
      <c r="A706" s="41"/>
      <c r="B706" s="33">
        <f>_xlfn.XLOOKUP($A706,'[1]DATOS PBI Artículos'!A:A,'[1]DATOS PBI Artículos'!B:B)</f>
        <v>0</v>
      </c>
      <c r="C706" s="33">
        <f>_xlfn.XLOOKUP($A706,'[1]DATOS PBI Artículos'!A:A,'[1]DATOS PBI Artículos'!C:C)</f>
        <v>0</v>
      </c>
      <c r="D706" s="33">
        <f>_xlfn.XLOOKUP(A706,'[1]DATOS PBI Artículos'!A:A,'[1]DATOS PBI Artículos'!T:T)</f>
        <v>0</v>
      </c>
      <c r="E706" s="34">
        <f>IF(_xlfn.XLOOKUP($A706,'[1]DATOS PBI Artículos'!A:A,'[1]DATOS PBI Artículos'!AK:AK)="",_xlfn.XLOOKUP($A706,'[1]DATOS PBI Artículos'!A:A,'[1]DATOS PBI Artículos'!AJ:AJ),_xlfn.XLOOKUP($A706,'[1]DATOS PBI Artículos'!A:A,'[1]DATOS PBI Artículos'!AK:AK))</f>
        <v>0</v>
      </c>
      <c r="F706" s="35">
        <f>_xlfn.XLOOKUP($A706,'[1]DATOS PBI Artículos'!A:A,'[1]DATOS PBI Artículos'!AP:AP)</f>
        <v>0</v>
      </c>
      <c r="G706" s="34">
        <f>_xlfn.XLOOKUP($A706,'[1]DATOS PBI Artículos'!A:A,'[1]DATOS PBI Artículos'!AR:AR)</f>
        <v>0</v>
      </c>
      <c r="H706" s="34">
        <f>_xlfn.XLOOKUP($A706,'[1]DATOS PBI Artículos'!A:A,'[1]DATOS PBI Artículos'!AT:AT)</f>
        <v>0</v>
      </c>
      <c r="I706" s="34">
        <f>_xlfn.XLOOKUP($A706,'[1]DATOS PBI Artículos'!A:A,'[1]DATOS PBI Artículos'!AS:AS)</f>
        <v>0</v>
      </c>
      <c r="J706" s="35">
        <f>IF(COUNTIF([1]CRITERIOS!$F$179:$F$199,$A706)&gt;=1,
 IF(O706&lt;&gt;"",
    (O706/_xlfn.XLOOKUP(CONCATENATE(A706,L706),[1]MÁQUINAS!A:A,[1]MÁQUINAS!D:D))/24,
    (N706/_xlfn.XLOOKUP(CONCATENATE(A706,L706),[1]MÁQUINAS!A:A,[1]MÁQUINAS!D:D))/24),
  _xlfn.XLOOKUP($A706,'[1]DATOS PBI Artículos'!A:A,'[1]DATOS PBI Artículos'!AU:AU))</f>
        <v>0</v>
      </c>
      <c r="K706" s="36">
        <f>_xlfn.XLOOKUP($A706,'[1]DATOS PBI Artículos'!A:A,'[1]DATOS PBI Artículos'!AV:AV)</f>
        <v>0</v>
      </c>
      <c r="L706" s="33">
        <f>_xlfn.XLOOKUP(A706,[1]MÁQUINAS!B:B,[1]MÁQUINAS!C:C)</f>
        <v>0</v>
      </c>
      <c r="M706" s="34">
        <f t="array" ref="M706">_xlfn.XLOOKUP(A706,'[1]DATOS PBI Artículos'!A:A,'[1]DATOS PBI Artículos'!AX:$AX)</f>
        <v>0</v>
      </c>
      <c r="N706" s="37" t="e">
        <f>IF(I706="DV",
E706,
IF(COUNTIF([1]CRITERIOS!$I$179:$I$199,$A706)&gt;=1,
_xlfn.XLOOKUP($A706,[1]CRITERIOS!$I$179:$I$199,[1]CRITERIOS!$J$179:$J$199),
IF(COUNTIF([1]CRITERIOS!$L$179:$L$199,$A706)&gt;=1,
_xlfn.CEILING.MATH(IF($M706&gt;$E706,
$E706,
IF($M706&lt;$E706/ROUNDDOWN([1]CRITERIOS!$M$16/_xlfn.XLOOKUP($C706,[1]CRITERIOS!$K$25:$K$42,[1]CRITERIOS!$M$25:$M$42),
1),
E706/ROUNDDOWN([1]CRITERIOS!$M$16/_xlfn.XLOOKUP($C706,[1]CRITERIOS!$K$25:$K$42,[1]CRITERIOS!$M$25:$M$42),
1),
$M706)),
_xlfn.XLOOKUP($A706,[1]CRITERIOS!$L$179:$L$200,[1]CRITERIOS!$M$179:$M$200)),
_xlfn.CEILING.MATH(IF($M706&gt;$E706,
$E706,
IF($M706&lt;$E706/ROUNDDOWN([1]CRITERIOS!$M$16/_xlfn.XLOOKUP($C706,[1]CRITERIOS!$K$25:$K$42,[1]CRITERIOS!$M$25:$M$42),
1),
E706/ROUNDDOWN([1]CRITERIOS!$M$16/_xlfn.XLOOKUP($C706,[1]CRITERIOS!$K$25:$K$42,[1]CRITERIOS!$M$25:$M$42),
1),
$M706)),_xlfn.XLOOKUP(A706,'[1]DATOS PBI Artículos'!A:A,'[1]DATOS PBI Artículos'!Z:Z
)))))</f>
        <v>#N/A</v>
      </c>
      <c r="Q706" s="38" t="e">
        <f>IF(AND(O706="",N706=0),
0,
   IF(COUNTIF([1]CRITERIOS!$F$179:$F$199,$A706)&gt;=1,
   1,
   IF(R706="MTO",
      $D706,
      ROUNDUP(
                    IF(($E706-SUMIF('[1]DATOS PBI Artículos'!A:A,A706,'[1]DATOS PBI Artículos'!X:X)+($V706-_xlfn.XLOOKUP(A706,'[1]DATOS PBI Artículos'!A:A,'[1]DATOS PBI Artículos'!W:W)))&lt;0,
                    0,
                    IF(($E706-SUMIF('[1]DATOS PBI Artículos'!A:A,A706,'[1]DATOS PBI Artículos'!X:X)+$V706-_xlfn.XLOOKUP($A706,'[1]DATOS PBI Artículos'!A:A,'[1]DATOS PBI Artículos'!W:W))/IF($O706="",$N706,$O706)&gt;ROUNDUP([1]CRITERIOS!$M$16/(IF(COUNTIF([1]CRITERIOS!$BG$11:$BG$201,L706)&gt;=1,_xlfn.XLOOKUP($C706,[1]CRITERIOS!$K$25:$K$42,[1]CRITERIOS!$M$25:$M$42),_xlfn.XLOOKUP($C706,[1]CRITERIOS!$K$25:$K$42,[1]CRITERIOS!$M$25:$M$42))),0),
                    ROUNDUP([1]CRITERIOS!$M$16/(IF(COUNTIF([1]CRITERIOS!$BG$11:$BG$201,$L706)&gt;=1,_xlfn.XLOOKUP($C706,[1]CRITERIOS!$K$25:$K$42,[1]CRITERIOS!$M$25:$M$42),_xlfn.XLOOKUP($C706,[1]CRITERIOS!$K$25:$K$42,[1]CRITERIOS!$M$25:$M$42))),0),
                    (E706+V706-SUMIF('[1]DATOS PBI Artículos'!A:A,A706,'[1]DATOS PBI Artículos'!X:X)-_xlfn.XLOOKUP(A706,'[1]DATOS PBI Artículos'!A:A,'[1]DATOS PBI Artículos'!W:W))/IF($O706="",$N706,$O706))),0))))</f>
        <v>#N/A</v>
      </c>
      <c r="R706" s="33" t="e">
        <f>IF(U706&lt;&gt;"",U706,IF(F706="DV","MTO",IF(N706=0,"MTO",_xlfn.XLOOKUP(CONCATENATE(S706,T706),[1]CRITERIOS!$K$160:$K$168,[1]CRITERIOS!$N$160:$N$168))))</f>
        <v>#N/A</v>
      </c>
      <c r="S706" s="33" t="e">
        <f>IF(G706="DV","MTO",IF(N706=0,"MTO",IF(OR(AND(N706=0,O706=""),IF(O706="",G706/N706,G706/O706)&gt;[1]CRITERIOS!$G$163),"MTO",IF(IF(O706="",G706/N706,G706/O706)&lt;[1]CRITERIOS!$H$161,"MTS","MTOS"))))</f>
        <v>#N/A</v>
      </c>
      <c r="T706" s="33" t="e">
        <f>IF(F706="DV","MTO",IF(OR(AND($N706=0,O706=""),$F706/$J706&gt;[1]CRITERIOS!$G$170,$F706="DV"),"MTO",IF($F706/$J706&lt;[1]CRITERIOS!$H$168,"MTS","MTOS")))</f>
        <v>#N/A</v>
      </c>
      <c r="V706" s="34" t="e">
        <f t="shared" si="34"/>
        <v>#N/A</v>
      </c>
      <c r="X706" s="34" t="e">
        <f t="shared" si="32"/>
        <v>#N/A</v>
      </c>
      <c r="Y706" s="34" t="e">
        <f t="shared" si="33"/>
        <v>#N/A</v>
      </c>
      <c r="Z706" s="34" t="e">
        <f>IF($R706="MTO",
0,
($H706+$K706*($E706/[1]CRITERIOS!$M$16))/[1]CRITERIOS!$X$48)</f>
        <v>#N/A</v>
      </c>
      <c r="AA706" s="34" t="e">
        <f>ROUNDUP(($Y706/_xlfn.XLOOKUP($A706,'[1]DATOS PBI Artículos'!$A$4:$A$4,'[1]DATOS PBI Artículos'!$Z$4:$Z$4))/_xlfn.XLOOKUP(_xlfn.XLOOKUP($A706,'[1]DATOS PBI Artículos'!$A$4:$A$4,'[1]DATOS PBI Artículos'!$Y$4:$Y$4),[1]CRITERIOS!$P$79:$P$123,[1]CRITERIOS!$S$79:$S$123,),0)</f>
        <v>#N/A</v>
      </c>
      <c r="AB706" s="33" t="e">
        <f t="array" ref="AB706">IF((E706+V706-_xlfn.XLOOKUP(A706,'[1]DATOS PBI Artículos'!$A$4:$A$4,'[1]DATOS PBI Artículos'!$W$4:$W$4))/N706&gt;ROUNDUP([1]CRITERIOS!$M$16/(IF(COUNTIF([1]CRITERIOS!$BG$11:$BG$201,L706)&gt;=1,_xlfn.XLOOKUP(ARTÍCULOS!L706,[1]CRITERIOS!$BG$11:$BG$201,[1]CRITERIOS!$BJ$11:$BJ$201),_xlfn.XLOOKUP(ARTÍCULOS!C706,[1]CRITERIOS!$K$25:$K$42,[1]CRITERIOS!$M$25:$M$42))),0),ROUNDUP([1]CRITERIOS!$M$16/(IF(COUNTIF([1]CRITERIOS!$BG$11:$BG$201,L706)&gt;=1,_xlfn.XLOOKUP(ARTÍCULOS!L706,[1]CRITERIOS!$BG$11:$BG$201:#REF!,[1]CRITERIOS!$BJ$11:$BJ$201),_xlfn.XLOOKUP(ARTÍCULOS!C706,[1]CRITERIOS!$K$25:$K$42,[1]CRITERIOS!$M$25:$M$42))),0),(E706+V706-_xlfn.XLOOKUP(A706,'[1]DATOS PBI Artículos'!$A$4:$A$4,'[1]DATOS PBI Artículos'!$W$4:$W$4))/N706)</f>
        <v>#N/A</v>
      </c>
      <c r="AC706" s="33" t="e">
        <f>IF(N706=0,"",(ROUNDUP((N706/2)/(_xlfn.XLOOKUP(A706,'[1]DATOS PBI Artículos'!$A$4:$A$4,'[1]DATOS PBI Artículos'!$Z$4:$Z$4)*_xlfn.XLOOKUP(_xlfn.XLOOKUP(A706,'[1]DATOS PBI Artículos'!$A$4:$A$4,'[1]DATOS PBI Artículos'!$Y$4:$Y$4),[1]CRITERIOS!$P$79:$P$123,[1]CRITERIOS!$S$79:$S$123)),0)*[1]CRITERIOS!$M$80*([1]CRITERIOS!$M$110/[1]CRITERIOS!$M$86)+(_xlfn.XLOOKUP(A706,'[1]DATOS PBI Artículos'!$A$4:$A$4,'[1]DATOS PBI Artículos'!$AA$4:$AA$4)*([1]CRITERIOS!$M$95+[1]CRITERIOS!$M$98)))/N706)</f>
        <v>#N/A</v>
      </c>
      <c r="AD706" s="33" t="e">
        <f>IF(N706=0,"",(ROUNDUP((N706/2)/(_xlfn.XLOOKUP(A706,'[1]DATOS PBI Artículos'!$A$4:$A$4,'[1]DATOS PBI Artículos'!$Z$4:$Z$4)*_xlfn.XLOOKUP(_xlfn.XLOOKUP(A706,'[1]DATOS PBI Artículos'!$A$4:$A$4,'[1]DATOS PBI Artículos'!$Y$4:$Y$4),[1]CRITERIOS!$P$79:$P$123,[1]CRITERIOS!$S$79:$S$123)),0)*[1]CRITERIOS!$M$80*([1]CRITERIOS!$M$89*[1]CRITERIOS!$M$92)+((_xlfn.XLOOKUP(A706,'[1]DATOS PBI Artículos'!$A$4:$A$4,'[1]DATOS PBI Artículos'!$AA$4:$AA$4)/2)*([1]CRITERIOS!$M$95+[1]CRITERIOS!$M$98)))/N706)</f>
        <v>#N/A</v>
      </c>
      <c r="AE706" s="39" t="e">
        <f>IF($R706="MTO","",
IF($H706=0,ROUNDUP(((_xlfn.XLOOKUP($A706,'[1]DATOS PBI Artículos'!$A:$A,'[1]DATOS PBI Artículos'!$AL:$AL))/(_xlfn.XLOOKUP($AF$1,[1]CRITERIOS!$S$16:$S$39,[1]CRITERIOS!$Y$16:$Y$39))*$J706+$Z706)/$G706,0)*$G706,
((_xlfn.XLOOKUP($A706,'[1]DATOS PBI Artículos'!$A:$A,'[1]DATOS PBI Artículos'!$AL:$AL))/(_xlfn.XLOOKUP($AF$1,[1]CRITERIOS!$S$16:$S$39,[1]CRITERIOS!$Y$16:$Y$39))*$J706+$Z706)))</f>
        <v>#N/A</v>
      </c>
      <c r="AG706" s="39" t="e">
        <f>IF($R706="MTO","",
IF($H706=0,ROUNDUP(((_xlfn.XLOOKUP($A706,'[1]DATOS PBI Artículos'!$A:$A,'[1]DATOS PBI Artículos'!$AM:$AM))/(_xlfn.XLOOKUP($AH$1,[1]CRITERIOS!$S$16:$S$39,[1]CRITERIOS!$Y$16:$Y$39))*$J706+$Z706)/$G706,0)*$G706,
((_xlfn.XLOOKUP($A706,'[1]DATOS PBI Artículos'!$A:$A,'[1]DATOS PBI Artículos'!$AM:$AM))/(_xlfn.XLOOKUP($AH$1,[1]CRITERIOS!$S$16:$S$39,[1]CRITERIOS!$Y$16:$Y$39))*$J706+$Z706)))</f>
        <v>#N/A</v>
      </c>
      <c r="AI706" s="39" t="e">
        <f>IF($R706="MTO","",
IF($H706=0,ROUNDUP(((_xlfn.XLOOKUP($A706,'[1]DATOS PBI Artículos'!$A:$A,'[1]DATOS PBI Artículos'!$AN:$AN))/(_xlfn.XLOOKUP($AJ$1,[1]CRITERIOS!$S$16:$S$39,[1]CRITERIOS!$Y$16:$Y$39))*$J706+$Z706)/$G706,0)*$G706,
((_xlfn.XLOOKUP($A706,'[1]DATOS PBI Artículos'!$A:$A,'[1]DATOS PBI Artículos'!$AN:$AN))/(_xlfn.XLOOKUP($AJ$1,[1]CRITERIOS!$S$16:$S$39,[1]CRITERIOS!$Y$16:$Y$39))*$J706+$Z706)))</f>
        <v>#N/A</v>
      </c>
      <c r="AK706" s="39" t="e">
        <f>IF($R706="MTO","",
IF($H706=0,ROUNDUP(((_xlfn.XLOOKUP($A706,'[1]DATOS PBI Artículos'!$A:$A,'[1]DATOS PBI Artículos'!$AO:$AO))/(_xlfn.XLOOKUP($AL$1,[1]CRITERIOS!$S$16:$S$39,[1]CRITERIOS!$Y$16:$Y$39))*$J706+$Z706)/$G706,0)*$G706,
((_xlfn.XLOOKUP($A706,'[1]DATOS PBI Artículos'!$A:$A,'[1]DATOS PBI Artículos'!$AO:$AO))/(_xlfn.XLOOKUP($AL$1,[1]CRITERIOS!$S$16:$S$39,[1]CRITERIOS!$Y$16:$Y$39))*$J706+$Z706)))</f>
        <v>#N/A</v>
      </c>
    </row>
    <row r="707" spans="1:37" ht="25.8" hidden="1" x14ac:dyDescent="0.4">
      <c r="A707" s="41"/>
      <c r="B707" s="33">
        <f>_xlfn.XLOOKUP($A707,'[1]DATOS PBI Artículos'!A:A,'[1]DATOS PBI Artículos'!B:B)</f>
        <v>0</v>
      </c>
      <c r="C707" s="33">
        <f>_xlfn.XLOOKUP($A707,'[1]DATOS PBI Artículos'!A:A,'[1]DATOS PBI Artículos'!C:C)</f>
        <v>0</v>
      </c>
      <c r="D707" s="33">
        <f>_xlfn.XLOOKUP(A707,'[1]DATOS PBI Artículos'!A:A,'[1]DATOS PBI Artículos'!T:T)</f>
        <v>0</v>
      </c>
      <c r="E707" s="34">
        <f>IF(_xlfn.XLOOKUP($A707,'[1]DATOS PBI Artículos'!A:A,'[1]DATOS PBI Artículos'!AK:AK)="",_xlfn.XLOOKUP($A707,'[1]DATOS PBI Artículos'!A:A,'[1]DATOS PBI Artículos'!AJ:AJ),_xlfn.XLOOKUP($A707,'[1]DATOS PBI Artículos'!A:A,'[1]DATOS PBI Artículos'!AK:AK))</f>
        <v>0</v>
      </c>
      <c r="F707" s="35">
        <f>_xlfn.XLOOKUP($A707,'[1]DATOS PBI Artículos'!A:A,'[1]DATOS PBI Artículos'!AP:AP)</f>
        <v>0</v>
      </c>
      <c r="G707" s="34">
        <f>_xlfn.XLOOKUP($A707,'[1]DATOS PBI Artículos'!A:A,'[1]DATOS PBI Artículos'!AR:AR)</f>
        <v>0</v>
      </c>
      <c r="H707" s="34">
        <f>_xlfn.XLOOKUP($A707,'[1]DATOS PBI Artículos'!A:A,'[1]DATOS PBI Artículos'!AT:AT)</f>
        <v>0</v>
      </c>
      <c r="I707" s="34">
        <f>_xlfn.XLOOKUP($A707,'[1]DATOS PBI Artículos'!A:A,'[1]DATOS PBI Artículos'!AS:AS)</f>
        <v>0</v>
      </c>
      <c r="J707" s="35">
        <f>IF(COUNTIF([1]CRITERIOS!$F$179:$F$199,$A707)&gt;=1,
 IF(O707&lt;&gt;"",
    (O707/_xlfn.XLOOKUP(CONCATENATE(A707,L707),[1]MÁQUINAS!A:A,[1]MÁQUINAS!D:D))/24,
    (N707/_xlfn.XLOOKUP(CONCATENATE(A707,L707),[1]MÁQUINAS!A:A,[1]MÁQUINAS!D:D))/24),
  _xlfn.XLOOKUP($A707,'[1]DATOS PBI Artículos'!A:A,'[1]DATOS PBI Artículos'!AU:AU))</f>
        <v>0</v>
      </c>
      <c r="K707" s="36">
        <f>_xlfn.XLOOKUP($A707,'[1]DATOS PBI Artículos'!A:A,'[1]DATOS PBI Artículos'!AV:AV)</f>
        <v>0</v>
      </c>
      <c r="L707" s="33">
        <f>_xlfn.XLOOKUP(A707,[1]MÁQUINAS!B:B,[1]MÁQUINAS!C:C)</f>
        <v>0</v>
      </c>
      <c r="M707" s="34">
        <f t="array" ref="M707">_xlfn.XLOOKUP(A707,'[1]DATOS PBI Artículos'!A:A,'[1]DATOS PBI Artículos'!AX:$AX)</f>
        <v>0</v>
      </c>
      <c r="N707" s="37" t="e">
        <f>IF(I707="DV",
E707,
IF(COUNTIF([1]CRITERIOS!$I$179:$I$199,$A707)&gt;=1,
_xlfn.XLOOKUP($A707,[1]CRITERIOS!$I$179:$I$199,[1]CRITERIOS!$J$179:$J$199),
IF(COUNTIF([1]CRITERIOS!$L$179:$L$199,$A707)&gt;=1,
_xlfn.CEILING.MATH(IF($M707&gt;$E707,
$E707,
IF($M707&lt;$E707/ROUNDDOWN([1]CRITERIOS!$M$16/_xlfn.XLOOKUP($C707,[1]CRITERIOS!$K$25:$K$42,[1]CRITERIOS!$M$25:$M$42),
1),
E707/ROUNDDOWN([1]CRITERIOS!$M$16/_xlfn.XLOOKUP($C707,[1]CRITERIOS!$K$25:$K$42,[1]CRITERIOS!$M$25:$M$42),
1),
$M707)),
_xlfn.XLOOKUP($A707,[1]CRITERIOS!$L$179:$L$200,[1]CRITERIOS!$M$179:$M$200)),
_xlfn.CEILING.MATH(IF($M707&gt;$E707,
$E707,
IF($M707&lt;$E707/ROUNDDOWN([1]CRITERIOS!$M$16/_xlfn.XLOOKUP($C707,[1]CRITERIOS!$K$25:$K$42,[1]CRITERIOS!$M$25:$M$42),
1),
E707/ROUNDDOWN([1]CRITERIOS!$M$16/_xlfn.XLOOKUP($C707,[1]CRITERIOS!$K$25:$K$42,[1]CRITERIOS!$M$25:$M$42),
1),
$M707)),_xlfn.XLOOKUP(A707,'[1]DATOS PBI Artículos'!A:A,'[1]DATOS PBI Artículos'!Z:Z
)))))</f>
        <v>#N/A</v>
      </c>
      <c r="Q707" s="38" t="e">
        <f>IF(AND(O707="",N707=0),
0,
   IF(COUNTIF([1]CRITERIOS!$F$179:$F$199,$A707)&gt;=1,
   1,
   IF(R707="MTO",
      $D707,
      ROUNDUP(
                    IF(($E707-SUMIF('[1]DATOS PBI Artículos'!A:A,A707,'[1]DATOS PBI Artículos'!X:X)+($V707-_xlfn.XLOOKUP(A707,'[1]DATOS PBI Artículos'!A:A,'[1]DATOS PBI Artículos'!W:W)))&lt;0,
                    0,
                    IF(($E707-SUMIF('[1]DATOS PBI Artículos'!A:A,A707,'[1]DATOS PBI Artículos'!X:X)+$V707-_xlfn.XLOOKUP($A707,'[1]DATOS PBI Artículos'!A:A,'[1]DATOS PBI Artículos'!W:W))/IF($O707="",$N707,$O707)&gt;ROUNDUP([1]CRITERIOS!$M$16/(IF(COUNTIF([1]CRITERIOS!$BG$11:$BG$201,L707)&gt;=1,_xlfn.XLOOKUP($C707,[1]CRITERIOS!$K$25:$K$42,[1]CRITERIOS!$M$25:$M$42),_xlfn.XLOOKUP($C707,[1]CRITERIOS!$K$25:$K$42,[1]CRITERIOS!$M$25:$M$42))),0),
                    ROUNDUP([1]CRITERIOS!$M$16/(IF(COUNTIF([1]CRITERIOS!$BG$11:$BG$201,$L707)&gt;=1,_xlfn.XLOOKUP($C707,[1]CRITERIOS!$K$25:$K$42,[1]CRITERIOS!$M$25:$M$42),_xlfn.XLOOKUP($C707,[1]CRITERIOS!$K$25:$K$42,[1]CRITERIOS!$M$25:$M$42))),0),
                    (E707+V707-SUMIF('[1]DATOS PBI Artículos'!A:A,A707,'[1]DATOS PBI Artículos'!X:X)-_xlfn.XLOOKUP(A707,'[1]DATOS PBI Artículos'!A:A,'[1]DATOS PBI Artículos'!W:W))/IF($O707="",$N707,$O707))),0))))</f>
        <v>#N/A</v>
      </c>
      <c r="R707" s="33" t="e">
        <f>IF(U707&lt;&gt;"",U707,IF(F707="DV","MTO",IF(N707=0,"MTO",_xlfn.XLOOKUP(CONCATENATE(S707,T707),[1]CRITERIOS!$K$160:$K$168,[1]CRITERIOS!$N$160:$N$168))))</f>
        <v>#N/A</v>
      </c>
      <c r="S707" s="33" t="e">
        <f>IF(G707="DV","MTO",IF(N707=0,"MTO",IF(OR(AND(N707=0,O707=""),IF(O707="",G707/N707,G707/O707)&gt;[1]CRITERIOS!$G$163),"MTO",IF(IF(O707="",G707/N707,G707/O707)&lt;[1]CRITERIOS!$H$161,"MTS","MTOS"))))</f>
        <v>#N/A</v>
      </c>
      <c r="T707" s="33" t="e">
        <f>IF(F707="DV","MTO",IF(OR(AND($N707=0,O707=""),$F707/$J707&gt;[1]CRITERIOS!$G$170,$F707="DV"),"MTO",IF($F707/$J707&lt;[1]CRITERIOS!$H$168,"MTS","MTOS")))</f>
        <v>#N/A</v>
      </c>
      <c r="V707" s="34" t="e">
        <f t="shared" si="34"/>
        <v>#N/A</v>
      </c>
      <c r="X707" s="34" t="e">
        <f t="shared" ref="X707:X770" si="35">IF(R707="MTO",0,V707+N707)</f>
        <v>#N/A</v>
      </c>
      <c r="Y707" s="34" t="e">
        <f t="shared" ref="Y707:Y770" si="36">IF(R707="MTO",0,Z707+(N707/2))</f>
        <v>#N/A</v>
      </c>
      <c r="Z707" s="34" t="e">
        <f>IF($R707="MTO",
0,
($H707+$K707*($E707/[1]CRITERIOS!$M$16))/[1]CRITERIOS!$X$48)</f>
        <v>#N/A</v>
      </c>
      <c r="AA707" s="34" t="e">
        <f>ROUNDUP(($Y707/_xlfn.XLOOKUP($A707,'[1]DATOS PBI Artículos'!$A$4:$A$4,'[1]DATOS PBI Artículos'!$Z$4:$Z$4))/_xlfn.XLOOKUP(_xlfn.XLOOKUP($A707,'[1]DATOS PBI Artículos'!$A$4:$A$4,'[1]DATOS PBI Artículos'!$Y$4:$Y$4),[1]CRITERIOS!$P$79:$P$123,[1]CRITERIOS!$S$79:$S$123,),0)</f>
        <v>#N/A</v>
      </c>
      <c r="AB707" s="33" t="e">
        <f t="array" ref="AB707">IF((E707+V707-_xlfn.XLOOKUP(A707,'[1]DATOS PBI Artículos'!$A$4:$A$4,'[1]DATOS PBI Artículos'!$W$4:$W$4))/N707&gt;ROUNDUP([1]CRITERIOS!$M$16/(IF(COUNTIF([1]CRITERIOS!$BG$11:$BG$201,L707)&gt;=1,_xlfn.XLOOKUP(ARTÍCULOS!L707,[1]CRITERIOS!$BG$11:$BG$201,[1]CRITERIOS!$BJ$11:$BJ$201),_xlfn.XLOOKUP(ARTÍCULOS!C707,[1]CRITERIOS!$K$25:$K$42,[1]CRITERIOS!$M$25:$M$42))),0),ROUNDUP([1]CRITERIOS!$M$16/(IF(COUNTIF([1]CRITERIOS!$BG$11:$BG$201,L707)&gt;=1,_xlfn.XLOOKUP(ARTÍCULOS!L707,[1]CRITERIOS!$BG$11:$BG$201:#REF!,[1]CRITERIOS!$BJ$11:$BJ$201),_xlfn.XLOOKUP(ARTÍCULOS!C707,[1]CRITERIOS!$K$25:$K$42,[1]CRITERIOS!$M$25:$M$42))),0),(E707+V707-_xlfn.XLOOKUP(A707,'[1]DATOS PBI Artículos'!$A$4:$A$4,'[1]DATOS PBI Artículos'!$W$4:$W$4))/N707)</f>
        <v>#N/A</v>
      </c>
      <c r="AC707" s="33" t="e">
        <f>IF(N707=0,"",(ROUNDUP((N707/2)/(_xlfn.XLOOKUP(A707,'[1]DATOS PBI Artículos'!$A$4:$A$4,'[1]DATOS PBI Artículos'!$Z$4:$Z$4)*_xlfn.XLOOKUP(_xlfn.XLOOKUP(A707,'[1]DATOS PBI Artículos'!$A$4:$A$4,'[1]DATOS PBI Artículos'!$Y$4:$Y$4),[1]CRITERIOS!$P$79:$P$123,[1]CRITERIOS!$S$79:$S$123)),0)*[1]CRITERIOS!$M$80*([1]CRITERIOS!$M$110/[1]CRITERIOS!$M$86)+(_xlfn.XLOOKUP(A707,'[1]DATOS PBI Artículos'!$A$4:$A$4,'[1]DATOS PBI Artículos'!$AA$4:$AA$4)*([1]CRITERIOS!$M$95+[1]CRITERIOS!$M$98)))/N707)</f>
        <v>#N/A</v>
      </c>
      <c r="AD707" s="33" t="e">
        <f>IF(N707=0,"",(ROUNDUP((N707/2)/(_xlfn.XLOOKUP(A707,'[1]DATOS PBI Artículos'!$A$4:$A$4,'[1]DATOS PBI Artículos'!$Z$4:$Z$4)*_xlfn.XLOOKUP(_xlfn.XLOOKUP(A707,'[1]DATOS PBI Artículos'!$A$4:$A$4,'[1]DATOS PBI Artículos'!$Y$4:$Y$4),[1]CRITERIOS!$P$79:$P$123,[1]CRITERIOS!$S$79:$S$123)),0)*[1]CRITERIOS!$M$80*([1]CRITERIOS!$M$89*[1]CRITERIOS!$M$92)+((_xlfn.XLOOKUP(A707,'[1]DATOS PBI Artículos'!$A$4:$A$4,'[1]DATOS PBI Artículos'!$AA$4:$AA$4)/2)*([1]CRITERIOS!$M$95+[1]CRITERIOS!$M$98)))/N707)</f>
        <v>#N/A</v>
      </c>
      <c r="AE707" s="39" t="e">
        <f>IF($R707="MTO","",
IF($H707=0,ROUNDUP(((_xlfn.XLOOKUP($A707,'[1]DATOS PBI Artículos'!$A:$A,'[1]DATOS PBI Artículos'!$AL:$AL))/(_xlfn.XLOOKUP($AF$1,[1]CRITERIOS!$S$16:$S$39,[1]CRITERIOS!$Y$16:$Y$39))*$J707+$Z707)/$G707,0)*$G707,
((_xlfn.XLOOKUP($A707,'[1]DATOS PBI Artículos'!$A:$A,'[1]DATOS PBI Artículos'!$AL:$AL))/(_xlfn.XLOOKUP($AF$1,[1]CRITERIOS!$S$16:$S$39,[1]CRITERIOS!$Y$16:$Y$39))*$J707+$Z707)))</f>
        <v>#N/A</v>
      </c>
      <c r="AG707" s="39" t="e">
        <f>IF($R707="MTO","",
IF($H707=0,ROUNDUP(((_xlfn.XLOOKUP($A707,'[1]DATOS PBI Artículos'!$A:$A,'[1]DATOS PBI Artículos'!$AM:$AM))/(_xlfn.XLOOKUP($AH$1,[1]CRITERIOS!$S$16:$S$39,[1]CRITERIOS!$Y$16:$Y$39))*$J707+$Z707)/$G707,0)*$G707,
((_xlfn.XLOOKUP($A707,'[1]DATOS PBI Artículos'!$A:$A,'[1]DATOS PBI Artículos'!$AM:$AM))/(_xlfn.XLOOKUP($AH$1,[1]CRITERIOS!$S$16:$S$39,[1]CRITERIOS!$Y$16:$Y$39))*$J707+$Z707)))</f>
        <v>#N/A</v>
      </c>
      <c r="AI707" s="39" t="e">
        <f>IF($R707="MTO","",
IF($H707=0,ROUNDUP(((_xlfn.XLOOKUP($A707,'[1]DATOS PBI Artículos'!$A:$A,'[1]DATOS PBI Artículos'!$AN:$AN))/(_xlfn.XLOOKUP($AJ$1,[1]CRITERIOS!$S$16:$S$39,[1]CRITERIOS!$Y$16:$Y$39))*$J707+$Z707)/$G707,0)*$G707,
((_xlfn.XLOOKUP($A707,'[1]DATOS PBI Artículos'!$A:$A,'[1]DATOS PBI Artículos'!$AN:$AN))/(_xlfn.XLOOKUP($AJ$1,[1]CRITERIOS!$S$16:$S$39,[1]CRITERIOS!$Y$16:$Y$39))*$J707+$Z707)))</f>
        <v>#N/A</v>
      </c>
      <c r="AK707" s="39" t="e">
        <f>IF($R707="MTO","",
IF($H707=0,ROUNDUP(((_xlfn.XLOOKUP($A707,'[1]DATOS PBI Artículos'!$A:$A,'[1]DATOS PBI Artículos'!$AO:$AO))/(_xlfn.XLOOKUP($AL$1,[1]CRITERIOS!$S$16:$S$39,[1]CRITERIOS!$Y$16:$Y$39))*$J707+$Z707)/$G707,0)*$G707,
((_xlfn.XLOOKUP($A707,'[1]DATOS PBI Artículos'!$A:$A,'[1]DATOS PBI Artículos'!$AO:$AO))/(_xlfn.XLOOKUP($AL$1,[1]CRITERIOS!$S$16:$S$39,[1]CRITERIOS!$Y$16:$Y$39))*$J707+$Z707)))</f>
        <v>#N/A</v>
      </c>
    </row>
    <row r="708" spans="1:37" ht="25.8" hidden="1" x14ac:dyDescent="0.4">
      <c r="A708" s="41"/>
      <c r="B708" s="33">
        <f>_xlfn.XLOOKUP($A708,'[1]DATOS PBI Artículos'!A:A,'[1]DATOS PBI Artículos'!B:B)</f>
        <v>0</v>
      </c>
      <c r="C708" s="33">
        <f>_xlfn.XLOOKUP($A708,'[1]DATOS PBI Artículos'!A:A,'[1]DATOS PBI Artículos'!C:C)</f>
        <v>0</v>
      </c>
      <c r="D708" s="33">
        <f>_xlfn.XLOOKUP(A708,'[1]DATOS PBI Artículos'!A:A,'[1]DATOS PBI Artículos'!T:T)</f>
        <v>0</v>
      </c>
      <c r="E708" s="34">
        <f>IF(_xlfn.XLOOKUP($A708,'[1]DATOS PBI Artículos'!A:A,'[1]DATOS PBI Artículos'!AK:AK)="",_xlfn.XLOOKUP($A708,'[1]DATOS PBI Artículos'!A:A,'[1]DATOS PBI Artículos'!AJ:AJ),_xlfn.XLOOKUP($A708,'[1]DATOS PBI Artículos'!A:A,'[1]DATOS PBI Artículos'!AK:AK))</f>
        <v>0</v>
      </c>
      <c r="F708" s="35">
        <f>_xlfn.XLOOKUP($A708,'[1]DATOS PBI Artículos'!A:A,'[1]DATOS PBI Artículos'!AP:AP)</f>
        <v>0</v>
      </c>
      <c r="G708" s="34">
        <f>_xlfn.XLOOKUP($A708,'[1]DATOS PBI Artículos'!A:A,'[1]DATOS PBI Artículos'!AR:AR)</f>
        <v>0</v>
      </c>
      <c r="H708" s="34">
        <f>_xlfn.XLOOKUP($A708,'[1]DATOS PBI Artículos'!A:A,'[1]DATOS PBI Artículos'!AT:AT)</f>
        <v>0</v>
      </c>
      <c r="I708" s="34">
        <f>_xlfn.XLOOKUP($A708,'[1]DATOS PBI Artículos'!A:A,'[1]DATOS PBI Artículos'!AS:AS)</f>
        <v>0</v>
      </c>
      <c r="J708" s="35">
        <f>IF(COUNTIF([1]CRITERIOS!$F$179:$F$199,$A708)&gt;=1,
 IF(O708&lt;&gt;"",
    (O708/_xlfn.XLOOKUP(CONCATENATE(A708,L708),[1]MÁQUINAS!A:A,[1]MÁQUINAS!D:D))/24,
    (N708/_xlfn.XLOOKUP(CONCATENATE(A708,L708),[1]MÁQUINAS!A:A,[1]MÁQUINAS!D:D))/24),
  _xlfn.XLOOKUP($A708,'[1]DATOS PBI Artículos'!A:A,'[1]DATOS PBI Artículos'!AU:AU))</f>
        <v>0</v>
      </c>
      <c r="K708" s="36">
        <f>_xlfn.XLOOKUP($A708,'[1]DATOS PBI Artículos'!A:A,'[1]DATOS PBI Artículos'!AV:AV)</f>
        <v>0</v>
      </c>
      <c r="L708" s="33">
        <f>_xlfn.XLOOKUP(A708,[1]MÁQUINAS!B:B,[1]MÁQUINAS!C:C)</f>
        <v>0</v>
      </c>
      <c r="M708" s="34">
        <f t="array" ref="M708">_xlfn.XLOOKUP(A708,'[1]DATOS PBI Artículos'!A:A,'[1]DATOS PBI Artículos'!AX:$AX)</f>
        <v>0</v>
      </c>
      <c r="N708" s="37" t="e">
        <f>IF(I708="DV",
E708,
IF(COUNTIF([1]CRITERIOS!$I$179:$I$199,$A708)&gt;=1,
_xlfn.XLOOKUP($A708,[1]CRITERIOS!$I$179:$I$199,[1]CRITERIOS!$J$179:$J$199),
IF(COUNTIF([1]CRITERIOS!$L$179:$L$199,$A708)&gt;=1,
_xlfn.CEILING.MATH(IF($M708&gt;$E708,
$E708,
IF($M708&lt;$E708/ROUNDDOWN([1]CRITERIOS!$M$16/_xlfn.XLOOKUP($C708,[1]CRITERIOS!$K$25:$K$42,[1]CRITERIOS!$M$25:$M$42),
1),
E708/ROUNDDOWN([1]CRITERIOS!$M$16/_xlfn.XLOOKUP($C708,[1]CRITERIOS!$K$25:$K$42,[1]CRITERIOS!$M$25:$M$42),
1),
$M708)),
_xlfn.XLOOKUP($A708,[1]CRITERIOS!$L$179:$L$200,[1]CRITERIOS!$M$179:$M$200)),
_xlfn.CEILING.MATH(IF($M708&gt;$E708,
$E708,
IF($M708&lt;$E708/ROUNDDOWN([1]CRITERIOS!$M$16/_xlfn.XLOOKUP($C708,[1]CRITERIOS!$K$25:$K$42,[1]CRITERIOS!$M$25:$M$42),
1),
E708/ROUNDDOWN([1]CRITERIOS!$M$16/_xlfn.XLOOKUP($C708,[1]CRITERIOS!$K$25:$K$42,[1]CRITERIOS!$M$25:$M$42),
1),
$M708)),_xlfn.XLOOKUP(A708,'[1]DATOS PBI Artículos'!A:A,'[1]DATOS PBI Artículos'!Z:Z
)))))</f>
        <v>#N/A</v>
      </c>
      <c r="Q708" s="38" t="e">
        <f>IF(AND(O708="",N708=0),
0,
   IF(COUNTIF([1]CRITERIOS!$F$179:$F$199,$A708)&gt;=1,
   1,
   IF(R708="MTO",
      $D708,
      ROUNDUP(
                    IF(($E708-SUMIF('[1]DATOS PBI Artículos'!A:A,A708,'[1]DATOS PBI Artículos'!X:X)+($V708-_xlfn.XLOOKUP(A708,'[1]DATOS PBI Artículos'!A:A,'[1]DATOS PBI Artículos'!W:W)))&lt;0,
                    0,
                    IF(($E708-SUMIF('[1]DATOS PBI Artículos'!A:A,A708,'[1]DATOS PBI Artículos'!X:X)+$V708-_xlfn.XLOOKUP($A708,'[1]DATOS PBI Artículos'!A:A,'[1]DATOS PBI Artículos'!W:W))/IF($O708="",$N708,$O708)&gt;ROUNDUP([1]CRITERIOS!$M$16/(IF(COUNTIF([1]CRITERIOS!$BG$11:$BG$201,L708)&gt;=1,_xlfn.XLOOKUP($C708,[1]CRITERIOS!$K$25:$K$42,[1]CRITERIOS!$M$25:$M$42),_xlfn.XLOOKUP($C708,[1]CRITERIOS!$K$25:$K$42,[1]CRITERIOS!$M$25:$M$42))),0),
                    ROUNDUP([1]CRITERIOS!$M$16/(IF(COUNTIF([1]CRITERIOS!$BG$11:$BG$201,$L708)&gt;=1,_xlfn.XLOOKUP($C708,[1]CRITERIOS!$K$25:$K$42,[1]CRITERIOS!$M$25:$M$42),_xlfn.XLOOKUP($C708,[1]CRITERIOS!$K$25:$K$42,[1]CRITERIOS!$M$25:$M$42))),0),
                    (E708+V708-SUMIF('[1]DATOS PBI Artículos'!A:A,A708,'[1]DATOS PBI Artículos'!X:X)-_xlfn.XLOOKUP(A708,'[1]DATOS PBI Artículos'!A:A,'[1]DATOS PBI Artículos'!W:W))/IF($O708="",$N708,$O708))),0))))</f>
        <v>#N/A</v>
      </c>
      <c r="R708" s="33" t="e">
        <f>IF(U708&lt;&gt;"",U708,IF(F708="DV","MTO",IF(N708=0,"MTO",_xlfn.XLOOKUP(CONCATENATE(S708,T708),[1]CRITERIOS!$K$160:$K$168,[1]CRITERIOS!$N$160:$N$168))))</f>
        <v>#N/A</v>
      </c>
      <c r="S708" s="33" t="e">
        <f>IF(G708="DV","MTO",IF(N708=0,"MTO",IF(OR(AND(N708=0,O708=""),IF(O708="",G708/N708,G708/O708)&gt;[1]CRITERIOS!$G$163),"MTO",IF(IF(O708="",G708/N708,G708/O708)&lt;[1]CRITERIOS!$H$161,"MTS","MTOS"))))</f>
        <v>#N/A</v>
      </c>
      <c r="T708" s="33" t="e">
        <f>IF(F708="DV","MTO",IF(OR(AND($N708=0,O708=""),$F708/$J708&gt;[1]CRITERIOS!$G$170,$F708="DV"),"MTO",IF($F708/$J708&lt;[1]CRITERIOS!$H$168,"MTS","MTOS")))</f>
        <v>#N/A</v>
      </c>
      <c r="V708" s="34" t="e">
        <f t="shared" si="34"/>
        <v>#N/A</v>
      </c>
      <c r="X708" s="34" t="e">
        <f t="shared" si="35"/>
        <v>#N/A</v>
      </c>
      <c r="Y708" s="34" t="e">
        <f t="shared" si="36"/>
        <v>#N/A</v>
      </c>
      <c r="Z708" s="34" t="e">
        <f>IF($R708="MTO",
0,
($H708+$K708*($E708/[1]CRITERIOS!$M$16))/[1]CRITERIOS!$X$48)</f>
        <v>#N/A</v>
      </c>
      <c r="AA708" s="34" t="e">
        <f>ROUNDUP(($Y708/_xlfn.XLOOKUP($A708,'[1]DATOS PBI Artículos'!$A$4:$A$4,'[1]DATOS PBI Artículos'!$Z$4:$Z$4))/_xlfn.XLOOKUP(_xlfn.XLOOKUP($A708,'[1]DATOS PBI Artículos'!$A$4:$A$4,'[1]DATOS PBI Artículos'!$Y$4:$Y$4),[1]CRITERIOS!$P$79:$P$123,[1]CRITERIOS!$S$79:$S$123,),0)</f>
        <v>#N/A</v>
      </c>
      <c r="AB708" s="33" t="e">
        <f t="array" ref="AB708">IF((E708+V708-_xlfn.XLOOKUP(A708,'[1]DATOS PBI Artículos'!$A$4:$A$4,'[1]DATOS PBI Artículos'!$W$4:$W$4))/N708&gt;ROUNDUP([1]CRITERIOS!$M$16/(IF(COUNTIF([1]CRITERIOS!$BG$11:$BG$201,L708)&gt;=1,_xlfn.XLOOKUP(ARTÍCULOS!L708,[1]CRITERIOS!$BG$11:$BG$201,[1]CRITERIOS!$BJ$11:$BJ$201),_xlfn.XLOOKUP(ARTÍCULOS!C708,[1]CRITERIOS!$K$25:$K$42,[1]CRITERIOS!$M$25:$M$42))),0),ROUNDUP([1]CRITERIOS!$M$16/(IF(COUNTIF([1]CRITERIOS!$BG$11:$BG$201,L708)&gt;=1,_xlfn.XLOOKUP(ARTÍCULOS!L708,[1]CRITERIOS!$BG$11:$BG$201:#REF!,[1]CRITERIOS!$BJ$11:$BJ$201),_xlfn.XLOOKUP(ARTÍCULOS!C708,[1]CRITERIOS!$K$25:$K$42,[1]CRITERIOS!$M$25:$M$42))),0),(E708+V708-_xlfn.XLOOKUP(A708,'[1]DATOS PBI Artículos'!$A$4:$A$4,'[1]DATOS PBI Artículos'!$W$4:$W$4))/N708)</f>
        <v>#N/A</v>
      </c>
      <c r="AC708" s="33" t="e">
        <f>IF(N708=0,"",(ROUNDUP((N708/2)/(_xlfn.XLOOKUP(A708,'[1]DATOS PBI Artículos'!$A$4:$A$4,'[1]DATOS PBI Artículos'!$Z$4:$Z$4)*_xlfn.XLOOKUP(_xlfn.XLOOKUP(A708,'[1]DATOS PBI Artículos'!$A$4:$A$4,'[1]DATOS PBI Artículos'!$Y$4:$Y$4),[1]CRITERIOS!$P$79:$P$123,[1]CRITERIOS!$S$79:$S$123)),0)*[1]CRITERIOS!$M$80*([1]CRITERIOS!$M$110/[1]CRITERIOS!$M$86)+(_xlfn.XLOOKUP(A708,'[1]DATOS PBI Artículos'!$A$4:$A$4,'[1]DATOS PBI Artículos'!$AA$4:$AA$4)*([1]CRITERIOS!$M$95+[1]CRITERIOS!$M$98)))/N708)</f>
        <v>#N/A</v>
      </c>
      <c r="AD708" s="33" t="e">
        <f>IF(N708=0,"",(ROUNDUP((N708/2)/(_xlfn.XLOOKUP(A708,'[1]DATOS PBI Artículos'!$A$4:$A$4,'[1]DATOS PBI Artículos'!$Z$4:$Z$4)*_xlfn.XLOOKUP(_xlfn.XLOOKUP(A708,'[1]DATOS PBI Artículos'!$A$4:$A$4,'[1]DATOS PBI Artículos'!$Y$4:$Y$4),[1]CRITERIOS!$P$79:$P$123,[1]CRITERIOS!$S$79:$S$123)),0)*[1]CRITERIOS!$M$80*([1]CRITERIOS!$M$89*[1]CRITERIOS!$M$92)+((_xlfn.XLOOKUP(A708,'[1]DATOS PBI Artículos'!$A$4:$A$4,'[1]DATOS PBI Artículos'!$AA$4:$AA$4)/2)*([1]CRITERIOS!$M$95+[1]CRITERIOS!$M$98)))/N708)</f>
        <v>#N/A</v>
      </c>
      <c r="AE708" s="39" t="e">
        <f>IF($R708="MTO","",
IF($H708=0,ROUNDUP(((_xlfn.XLOOKUP($A708,'[1]DATOS PBI Artículos'!$A:$A,'[1]DATOS PBI Artículos'!$AL:$AL))/(_xlfn.XLOOKUP($AF$1,[1]CRITERIOS!$S$16:$S$39,[1]CRITERIOS!$Y$16:$Y$39))*$J708+$Z708)/$G708,0)*$G708,
((_xlfn.XLOOKUP($A708,'[1]DATOS PBI Artículos'!$A:$A,'[1]DATOS PBI Artículos'!$AL:$AL))/(_xlfn.XLOOKUP($AF$1,[1]CRITERIOS!$S$16:$S$39,[1]CRITERIOS!$Y$16:$Y$39))*$J708+$Z708)))</f>
        <v>#N/A</v>
      </c>
      <c r="AG708" s="39" t="e">
        <f>IF($R708="MTO","",
IF($H708=0,ROUNDUP(((_xlfn.XLOOKUP($A708,'[1]DATOS PBI Artículos'!$A:$A,'[1]DATOS PBI Artículos'!$AM:$AM))/(_xlfn.XLOOKUP($AH$1,[1]CRITERIOS!$S$16:$S$39,[1]CRITERIOS!$Y$16:$Y$39))*$J708+$Z708)/$G708,0)*$G708,
((_xlfn.XLOOKUP($A708,'[1]DATOS PBI Artículos'!$A:$A,'[1]DATOS PBI Artículos'!$AM:$AM))/(_xlfn.XLOOKUP($AH$1,[1]CRITERIOS!$S$16:$S$39,[1]CRITERIOS!$Y$16:$Y$39))*$J708+$Z708)))</f>
        <v>#N/A</v>
      </c>
      <c r="AI708" s="39" t="e">
        <f>IF($R708="MTO","",
IF($H708=0,ROUNDUP(((_xlfn.XLOOKUP($A708,'[1]DATOS PBI Artículos'!$A:$A,'[1]DATOS PBI Artículos'!$AN:$AN))/(_xlfn.XLOOKUP($AJ$1,[1]CRITERIOS!$S$16:$S$39,[1]CRITERIOS!$Y$16:$Y$39))*$J708+$Z708)/$G708,0)*$G708,
((_xlfn.XLOOKUP($A708,'[1]DATOS PBI Artículos'!$A:$A,'[1]DATOS PBI Artículos'!$AN:$AN))/(_xlfn.XLOOKUP($AJ$1,[1]CRITERIOS!$S$16:$S$39,[1]CRITERIOS!$Y$16:$Y$39))*$J708+$Z708)))</f>
        <v>#N/A</v>
      </c>
      <c r="AK708" s="39" t="e">
        <f>IF($R708="MTO","",
IF($H708=0,ROUNDUP(((_xlfn.XLOOKUP($A708,'[1]DATOS PBI Artículos'!$A:$A,'[1]DATOS PBI Artículos'!$AO:$AO))/(_xlfn.XLOOKUP($AL$1,[1]CRITERIOS!$S$16:$S$39,[1]CRITERIOS!$Y$16:$Y$39))*$J708+$Z708)/$G708,0)*$G708,
((_xlfn.XLOOKUP($A708,'[1]DATOS PBI Artículos'!$A:$A,'[1]DATOS PBI Artículos'!$AO:$AO))/(_xlfn.XLOOKUP($AL$1,[1]CRITERIOS!$S$16:$S$39,[1]CRITERIOS!$Y$16:$Y$39))*$J708+$Z708)))</f>
        <v>#N/A</v>
      </c>
    </row>
    <row r="709" spans="1:37" ht="25.8" hidden="1" x14ac:dyDescent="0.4">
      <c r="A709" s="41"/>
      <c r="B709" s="33">
        <f>_xlfn.XLOOKUP($A709,'[1]DATOS PBI Artículos'!A:A,'[1]DATOS PBI Artículos'!B:B)</f>
        <v>0</v>
      </c>
      <c r="C709" s="33">
        <f>_xlfn.XLOOKUP($A709,'[1]DATOS PBI Artículos'!A:A,'[1]DATOS PBI Artículos'!C:C)</f>
        <v>0</v>
      </c>
      <c r="D709" s="33">
        <f>_xlfn.XLOOKUP(A709,'[1]DATOS PBI Artículos'!A:A,'[1]DATOS PBI Artículos'!T:T)</f>
        <v>0</v>
      </c>
      <c r="E709" s="34">
        <f>IF(_xlfn.XLOOKUP($A709,'[1]DATOS PBI Artículos'!A:A,'[1]DATOS PBI Artículos'!AK:AK)="",_xlfn.XLOOKUP($A709,'[1]DATOS PBI Artículos'!A:A,'[1]DATOS PBI Artículos'!AJ:AJ),_xlfn.XLOOKUP($A709,'[1]DATOS PBI Artículos'!A:A,'[1]DATOS PBI Artículos'!AK:AK))</f>
        <v>0</v>
      </c>
      <c r="F709" s="35">
        <f>_xlfn.XLOOKUP($A709,'[1]DATOS PBI Artículos'!A:A,'[1]DATOS PBI Artículos'!AP:AP)</f>
        <v>0</v>
      </c>
      <c r="G709" s="34">
        <f>_xlfn.XLOOKUP($A709,'[1]DATOS PBI Artículos'!A:A,'[1]DATOS PBI Artículos'!AR:AR)</f>
        <v>0</v>
      </c>
      <c r="H709" s="34">
        <f>_xlfn.XLOOKUP($A709,'[1]DATOS PBI Artículos'!A:A,'[1]DATOS PBI Artículos'!AT:AT)</f>
        <v>0</v>
      </c>
      <c r="I709" s="34">
        <f>_xlfn.XLOOKUP($A709,'[1]DATOS PBI Artículos'!A:A,'[1]DATOS PBI Artículos'!AS:AS)</f>
        <v>0</v>
      </c>
      <c r="J709" s="35">
        <f>IF(COUNTIF([1]CRITERIOS!$F$179:$F$199,$A709)&gt;=1,
 IF(O709&lt;&gt;"",
    (O709/_xlfn.XLOOKUP(CONCATENATE(A709,L709),[1]MÁQUINAS!A:A,[1]MÁQUINAS!D:D))/24,
    (N709/_xlfn.XLOOKUP(CONCATENATE(A709,L709),[1]MÁQUINAS!A:A,[1]MÁQUINAS!D:D))/24),
  _xlfn.XLOOKUP($A709,'[1]DATOS PBI Artículos'!A:A,'[1]DATOS PBI Artículos'!AU:AU))</f>
        <v>0</v>
      </c>
      <c r="K709" s="36">
        <f>_xlfn.XLOOKUP($A709,'[1]DATOS PBI Artículos'!A:A,'[1]DATOS PBI Artículos'!AV:AV)</f>
        <v>0</v>
      </c>
      <c r="L709" s="33">
        <f>_xlfn.XLOOKUP(A709,[1]MÁQUINAS!B:B,[1]MÁQUINAS!C:C)</f>
        <v>0</v>
      </c>
      <c r="M709" s="34">
        <f t="array" ref="M709">_xlfn.XLOOKUP(A709,'[1]DATOS PBI Artículos'!A:A,'[1]DATOS PBI Artículos'!AX:$AX)</f>
        <v>0</v>
      </c>
      <c r="N709" s="37" t="e">
        <f>IF(I709="DV",
E709,
IF(COUNTIF([1]CRITERIOS!$I$179:$I$199,$A709)&gt;=1,
_xlfn.XLOOKUP($A709,[1]CRITERIOS!$I$179:$I$199,[1]CRITERIOS!$J$179:$J$199),
IF(COUNTIF([1]CRITERIOS!$L$179:$L$199,$A709)&gt;=1,
_xlfn.CEILING.MATH(IF($M709&gt;$E709,
$E709,
IF($M709&lt;$E709/ROUNDDOWN([1]CRITERIOS!$M$16/_xlfn.XLOOKUP($C709,[1]CRITERIOS!$K$25:$K$42,[1]CRITERIOS!$M$25:$M$42),
1),
E709/ROUNDDOWN([1]CRITERIOS!$M$16/_xlfn.XLOOKUP($C709,[1]CRITERIOS!$K$25:$K$42,[1]CRITERIOS!$M$25:$M$42),
1),
$M709)),
_xlfn.XLOOKUP($A709,[1]CRITERIOS!$L$179:$L$200,[1]CRITERIOS!$M$179:$M$200)),
_xlfn.CEILING.MATH(IF($M709&gt;$E709,
$E709,
IF($M709&lt;$E709/ROUNDDOWN([1]CRITERIOS!$M$16/_xlfn.XLOOKUP($C709,[1]CRITERIOS!$K$25:$K$42,[1]CRITERIOS!$M$25:$M$42),
1),
E709/ROUNDDOWN([1]CRITERIOS!$M$16/_xlfn.XLOOKUP($C709,[1]CRITERIOS!$K$25:$K$42,[1]CRITERIOS!$M$25:$M$42),
1),
$M709)),_xlfn.XLOOKUP(A709,'[1]DATOS PBI Artículos'!A:A,'[1]DATOS PBI Artículos'!Z:Z
)))))</f>
        <v>#N/A</v>
      </c>
      <c r="Q709" s="38" t="e">
        <f>IF(AND(O709="",N709=0),
0,
   IF(COUNTIF([1]CRITERIOS!$F$179:$F$199,$A709)&gt;=1,
   1,
   IF(R709="MTO",
      $D709,
      ROUNDUP(
                    IF(($E709-SUMIF('[1]DATOS PBI Artículos'!A:A,A709,'[1]DATOS PBI Artículos'!X:X)+($V709-_xlfn.XLOOKUP(A709,'[1]DATOS PBI Artículos'!A:A,'[1]DATOS PBI Artículos'!W:W)))&lt;0,
                    0,
                    IF(($E709-SUMIF('[1]DATOS PBI Artículos'!A:A,A709,'[1]DATOS PBI Artículos'!X:X)+$V709-_xlfn.XLOOKUP($A709,'[1]DATOS PBI Artículos'!A:A,'[1]DATOS PBI Artículos'!W:W))/IF($O709="",$N709,$O709)&gt;ROUNDUP([1]CRITERIOS!$M$16/(IF(COUNTIF([1]CRITERIOS!$BG$11:$BG$201,L709)&gt;=1,_xlfn.XLOOKUP($C709,[1]CRITERIOS!$K$25:$K$42,[1]CRITERIOS!$M$25:$M$42),_xlfn.XLOOKUP($C709,[1]CRITERIOS!$K$25:$K$42,[1]CRITERIOS!$M$25:$M$42))),0),
                    ROUNDUP([1]CRITERIOS!$M$16/(IF(COUNTIF([1]CRITERIOS!$BG$11:$BG$201,$L709)&gt;=1,_xlfn.XLOOKUP($C709,[1]CRITERIOS!$K$25:$K$42,[1]CRITERIOS!$M$25:$M$42),_xlfn.XLOOKUP($C709,[1]CRITERIOS!$K$25:$K$42,[1]CRITERIOS!$M$25:$M$42))),0),
                    (E709+V709-SUMIF('[1]DATOS PBI Artículos'!A:A,A709,'[1]DATOS PBI Artículos'!X:X)-_xlfn.XLOOKUP(A709,'[1]DATOS PBI Artículos'!A:A,'[1]DATOS PBI Artículos'!W:W))/IF($O709="",$N709,$O709))),0))))</f>
        <v>#N/A</v>
      </c>
      <c r="R709" s="33" t="e">
        <f>IF(U709&lt;&gt;"",U709,IF(F709="DV","MTO",IF(N709=0,"MTO",_xlfn.XLOOKUP(CONCATENATE(S709,T709),[1]CRITERIOS!$K$160:$K$168,[1]CRITERIOS!$N$160:$N$168))))</f>
        <v>#N/A</v>
      </c>
      <c r="S709" s="33" t="e">
        <f>IF(G709="DV","MTO",IF(N709=0,"MTO",IF(OR(AND(N709=0,O709=""),IF(O709="",G709/N709,G709/O709)&gt;[1]CRITERIOS!$G$163),"MTO",IF(IF(O709="",G709/N709,G709/O709)&lt;[1]CRITERIOS!$H$161,"MTS","MTOS"))))</f>
        <v>#N/A</v>
      </c>
      <c r="T709" s="33" t="e">
        <f>IF(F709="DV","MTO",IF(OR(AND($N709=0,O709=""),$F709/$J709&gt;[1]CRITERIOS!$G$170,$F709="DV"),"MTO",IF($F709/$J709&lt;[1]CRITERIOS!$H$168,"MTS","MTOS")))</f>
        <v>#N/A</v>
      </c>
      <c r="V709" s="34" t="e">
        <f t="shared" si="34"/>
        <v>#N/A</v>
      </c>
      <c r="X709" s="34" t="e">
        <f t="shared" si="35"/>
        <v>#N/A</v>
      </c>
      <c r="Y709" s="34" t="e">
        <f t="shared" si="36"/>
        <v>#N/A</v>
      </c>
      <c r="Z709" s="34" t="e">
        <f>IF($R709="MTO",
0,
($H709+$K709*($E709/[1]CRITERIOS!$M$16))/[1]CRITERIOS!$X$48)</f>
        <v>#N/A</v>
      </c>
      <c r="AA709" s="34" t="e">
        <f>ROUNDUP(($Y709/_xlfn.XLOOKUP($A709,'[1]DATOS PBI Artículos'!$A$4:$A$4,'[1]DATOS PBI Artículos'!$Z$4:$Z$4))/_xlfn.XLOOKUP(_xlfn.XLOOKUP($A709,'[1]DATOS PBI Artículos'!$A$4:$A$4,'[1]DATOS PBI Artículos'!$Y$4:$Y$4),[1]CRITERIOS!$P$79:$P$123,[1]CRITERIOS!$S$79:$S$123,),0)</f>
        <v>#N/A</v>
      </c>
      <c r="AB709" s="33" t="e">
        <f t="array" ref="AB709">IF((E709+V709-_xlfn.XLOOKUP(A709,'[1]DATOS PBI Artículos'!$A$4:$A$4,'[1]DATOS PBI Artículos'!$W$4:$W$4))/N709&gt;ROUNDUP([1]CRITERIOS!$M$16/(IF(COUNTIF([1]CRITERIOS!$BG$11:$BG$201,L709)&gt;=1,_xlfn.XLOOKUP(ARTÍCULOS!L709,[1]CRITERIOS!$BG$11:$BG$201,[1]CRITERIOS!$BJ$11:$BJ$201),_xlfn.XLOOKUP(ARTÍCULOS!C709,[1]CRITERIOS!$K$25:$K$42,[1]CRITERIOS!$M$25:$M$42))),0),ROUNDUP([1]CRITERIOS!$M$16/(IF(COUNTIF([1]CRITERIOS!$BG$11:$BG$201,L709)&gt;=1,_xlfn.XLOOKUP(ARTÍCULOS!L709,[1]CRITERIOS!$BG$11:$BG$201:#REF!,[1]CRITERIOS!$BJ$11:$BJ$201),_xlfn.XLOOKUP(ARTÍCULOS!C709,[1]CRITERIOS!$K$25:$K$42,[1]CRITERIOS!$M$25:$M$42))),0),(E709+V709-_xlfn.XLOOKUP(A709,'[1]DATOS PBI Artículos'!$A$4:$A$4,'[1]DATOS PBI Artículos'!$W$4:$W$4))/N709)</f>
        <v>#N/A</v>
      </c>
      <c r="AC709" s="33" t="e">
        <f>IF(N709=0,"",(ROUNDUP((N709/2)/(_xlfn.XLOOKUP(A709,'[1]DATOS PBI Artículos'!$A$4:$A$4,'[1]DATOS PBI Artículos'!$Z$4:$Z$4)*_xlfn.XLOOKUP(_xlfn.XLOOKUP(A709,'[1]DATOS PBI Artículos'!$A$4:$A$4,'[1]DATOS PBI Artículos'!$Y$4:$Y$4),[1]CRITERIOS!$P$79:$P$123,[1]CRITERIOS!$S$79:$S$123)),0)*[1]CRITERIOS!$M$80*([1]CRITERIOS!$M$110/[1]CRITERIOS!$M$86)+(_xlfn.XLOOKUP(A709,'[1]DATOS PBI Artículos'!$A$4:$A$4,'[1]DATOS PBI Artículos'!$AA$4:$AA$4)*([1]CRITERIOS!$M$95+[1]CRITERIOS!$M$98)))/N709)</f>
        <v>#N/A</v>
      </c>
      <c r="AD709" s="33" t="e">
        <f>IF(N709=0,"",(ROUNDUP((N709/2)/(_xlfn.XLOOKUP(A709,'[1]DATOS PBI Artículos'!$A$4:$A$4,'[1]DATOS PBI Artículos'!$Z$4:$Z$4)*_xlfn.XLOOKUP(_xlfn.XLOOKUP(A709,'[1]DATOS PBI Artículos'!$A$4:$A$4,'[1]DATOS PBI Artículos'!$Y$4:$Y$4),[1]CRITERIOS!$P$79:$P$123,[1]CRITERIOS!$S$79:$S$123)),0)*[1]CRITERIOS!$M$80*([1]CRITERIOS!$M$89*[1]CRITERIOS!$M$92)+((_xlfn.XLOOKUP(A709,'[1]DATOS PBI Artículos'!$A$4:$A$4,'[1]DATOS PBI Artículos'!$AA$4:$AA$4)/2)*([1]CRITERIOS!$M$95+[1]CRITERIOS!$M$98)))/N709)</f>
        <v>#N/A</v>
      </c>
      <c r="AE709" s="39" t="e">
        <f>IF($R709="MTO","",
IF($H709=0,ROUNDUP(((_xlfn.XLOOKUP($A709,'[1]DATOS PBI Artículos'!$A:$A,'[1]DATOS PBI Artículos'!$AL:$AL))/(_xlfn.XLOOKUP($AF$1,[1]CRITERIOS!$S$16:$S$39,[1]CRITERIOS!$Y$16:$Y$39))*$J709+$Z709)/$G709,0)*$G709,
((_xlfn.XLOOKUP($A709,'[1]DATOS PBI Artículos'!$A:$A,'[1]DATOS PBI Artículos'!$AL:$AL))/(_xlfn.XLOOKUP($AF$1,[1]CRITERIOS!$S$16:$S$39,[1]CRITERIOS!$Y$16:$Y$39))*$J709+$Z709)))</f>
        <v>#N/A</v>
      </c>
      <c r="AG709" s="39" t="e">
        <f>IF($R709="MTO","",
IF($H709=0,ROUNDUP(((_xlfn.XLOOKUP($A709,'[1]DATOS PBI Artículos'!$A:$A,'[1]DATOS PBI Artículos'!$AM:$AM))/(_xlfn.XLOOKUP($AH$1,[1]CRITERIOS!$S$16:$S$39,[1]CRITERIOS!$Y$16:$Y$39))*$J709+$Z709)/$G709,0)*$G709,
((_xlfn.XLOOKUP($A709,'[1]DATOS PBI Artículos'!$A:$A,'[1]DATOS PBI Artículos'!$AM:$AM))/(_xlfn.XLOOKUP($AH$1,[1]CRITERIOS!$S$16:$S$39,[1]CRITERIOS!$Y$16:$Y$39))*$J709+$Z709)))</f>
        <v>#N/A</v>
      </c>
      <c r="AI709" s="39" t="e">
        <f>IF($R709="MTO","",
IF($H709=0,ROUNDUP(((_xlfn.XLOOKUP($A709,'[1]DATOS PBI Artículos'!$A:$A,'[1]DATOS PBI Artículos'!$AN:$AN))/(_xlfn.XLOOKUP($AJ$1,[1]CRITERIOS!$S$16:$S$39,[1]CRITERIOS!$Y$16:$Y$39))*$J709+$Z709)/$G709,0)*$G709,
((_xlfn.XLOOKUP($A709,'[1]DATOS PBI Artículos'!$A:$A,'[1]DATOS PBI Artículos'!$AN:$AN))/(_xlfn.XLOOKUP($AJ$1,[1]CRITERIOS!$S$16:$S$39,[1]CRITERIOS!$Y$16:$Y$39))*$J709+$Z709)))</f>
        <v>#N/A</v>
      </c>
      <c r="AK709" s="39" t="e">
        <f>IF($R709="MTO","",
IF($H709=0,ROUNDUP(((_xlfn.XLOOKUP($A709,'[1]DATOS PBI Artículos'!$A:$A,'[1]DATOS PBI Artículos'!$AO:$AO))/(_xlfn.XLOOKUP($AL$1,[1]CRITERIOS!$S$16:$S$39,[1]CRITERIOS!$Y$16:$Y$39))*$J709+$Z709)/$G709,0)*$G709,
((_xlfn.XLOOKUP($A709,'[1]DATOS PBI Artículos'!$A:$A,'[1]DATOS PBI Artículos'!$AO:$AO))/(_xlfn.XLOOKUP($AL$1,[1]CRITERIOS!$S$16:$S$39,[1]CRITERIOS!$Y$16:$Y$39))*$J709+$Z709)))</f>
        <v>#N/A</v>
      </c>
    </row>
    <row r="710" spans="1:37" ht="25.8" hidden="1" x14ac:dyDescent="0.4">
      <c r="A710" s="41"/>
      <c r="B710" s="33">
        <f>_xlfn.XLOOKUP($A710,'[1]DATOS PBI Artículos'!A:A,'[1]DATOS PBI Artículos'!B:B)</f>
        <v>0</v>
      </c>
      <c r="C710" s="33">
        <f>_xlfn.XLOOKUP($A710,'[1]DATOS PBI Artículos'!A:A,'[1]DATOS PBI Artículos'!C:C)</f>
        <v>0</v>
      </c>
      <c r="D710" s="33">
        <f>_xlfn.XLOOKUP(A710,'[1]DATOS PBI Artículos'!A:A,'[1]DATOS PBI Artículos'!T:T)</f>
        <v>0</v>
      </c>
      <c r="E710" s="34">
        <f>IF(_xlfn.XLOOKUP($A710,'[1]DATOS PBI Artículos'!A:A,'[1]DATOS PBI Artículos'!AK:AK)="",_xlfn.XLOOKUP($A710,'[1]DATOS PBI Artículos'!A:A,'[1]DATOS PBI Artículos'!AJ:AJ),_xlfn.XLOOKUP($A710,'[1]DATOS PBI Artículos'!A:A,'[1]DATOS PBI Artículos'!AK:AK))</f>
        <v>0</v>
      </c>
      <c r="F710" s="35">
        <f>_xlfn.XLOOKUP($A710,'[1]DATOS PBI Artículos'!A:A,'[1]DATOS PBI Artículos'!AP:AP)</f>
        <v>0</v>
      </c>
      <c r="G710" s="34">
        <f>_xlfn.XLOOKUP($A710,'[1]DATOS PBI Artículos'!A:A,'[1]DATOS PBI Artículos'!AR:AR)</f>
        <v>0</v>
      </c>
      <c r="H710" s="34">
        <f>_xlfn.XLOOKUP($A710,'[1]DATOS PBI Artículos'!A:A,'[1]DATOS PBI Artículos'!AT:AT)</f>
        <v>0</v>
      </c>
      <c r="I710" s="34">
        <f>_xlfn.XLOOKUP($A710,'[1]DATOS PBI Artículos'!A:A,'[1]DATOS PBI Artículos'!AS:AS)</f>
        <v>0</v>
      </c>
      <c r="J710" s="35">
        <f>IF(COUNTIF([1]CRITERIOS!$F$179:$F$199,$A710)&gt;=1,
 IF(O710&lt;&gt;"",
    (O710/_xlfn.XLOOKUP(CONCATENATE(A710,L710),[1]MÁQUINAS!A:A,[1]MÁQUINAS!D:D))/24,
    (N710/_xlfn.XLOOKUP(CONCATENATE(A710,L710),[1]MÁQUINAS!A:A,[1]MÁQUINAS!D:D))/24),
  _xlfn.XLOOKUP($A710,'[1]DATOS PBI Artículos'!A:A,'[1]DATOS PBI Artículos'!AU:AU))</f>
        <v>0</v>
      </c>
      <c r="K710" s="36">
        <f>_xlfn.XLOOKUP($A710,'[1]DATOS PBI Artículos'!A:A,'[1]DATOS PBI Artículos'!AV:AV)</f>
        <v>0</v>
      </c>
      <c r="L710" s="33">
        <f>_xlfn.XLOOKUP(A710,[1]MÁQUINAS!B:B,[1]MÁQUINAS!C:C)</f>
        <v>0</v>
      </c>
      <c r="M710" s="34">
        <f t="array" ref="M710">_xlfn.XLOOKUP(A710,'[1]DATOS PBI Artículos'!A:A,'[1]DATOS PBI Artículos'!AX:$AX)</f>
        <v>0</v>
      </c>
      <c r="N710" s="37" t="e">
        <f>IF(I710="DV",
E710,
IF(COUNTIF([1]CRITERIOS!$I$179:$I$199,$A710)&gt;=1,
_xlfn.XLOOKUP($A710,[1]CRITERIOS!$I$179:$I$199,[1]CRITERIOS!$J$179:$J$199),
IF(COUNTIF([1]CRITERIOS!$L$179:$L$199,$A710)&gt;=1,
_xlfn.CEILING.MATH(IF($M710&gt;$E710,
$E710,
IF($M710&lt;$E710/ROUNDDOWN([1]CRITERIOS!$M$16/_xlfn.XLOOKUP($C710,[1]CRITERIOS!$K$25:$K$42,[1]CRITERIOS!$M$25:$M$42),
1),
E710/ROUNDDOWN([1]CRITERIOS!$M$16/_xlfn.XLOOKUP($C710,[1]CRITERIOS!$K$25:$K$42,[1]CRITERIOS!$M$25:$M$42),
1),
$M710)),
_xlfn.XLOOKUP($A710,[1]CRITERIOS!$L$179:$L$200,[1]CRITERIOS!$M$179:$M$200)),
_xlfn.CEILING.MATH(IF($M710&gt;$E710,
$E710,
IF($M710&lt;$E710/ROUNDDOWN([1]CRITERIOS!$M$16/_xlfn.XLOOKUP($C710,[1]CRITERIOS!$K$25:$K$42,[1]CRITERIOS!$M$25:$M$42),
1),
E710/ROUNDDOWN([1]CRITERIOS!$M$16/_xlfn.XLOOKUP($C710,[1]CRITERIOS!$K$25:$K$42,[1]CRITERIOS!$M$25:$M$42),
1),
$M710)),_xlfn.XLOOKUP(A710,'[1]DATOS PBI Artículos'!A:A,'[1]DATOS PBI Artículos'!Z:Z
)))))</f>
        <v>#N/A</v>
      </c>
      <c r="Q710" s="38" t="e">
        <f>IF(AND(O710="",N710=0),
0,
   IF(COUNTIF([1]CRITERIOS!$F$179:$F$199,$A710)&gt;=1,
   1,
   IF(R710="MTO",
      $D710,
      ROUNDUP(
                    IF(($E710-SUMIF('[1]DATOS PBI Artículos'!A:A,A710,'[1]DATOS PBI Artículos'!X:X)+($V710-_xlfn.XLOOKUP(A710,'[1]DATOS PBI Artículos'!A:A,'[1]DATOS PBI Artículos'!W:W)))&lt;0,
                    0,
                    IF(($E710-SUMIF('[1]DATOS PBI Artículos'!A:A,A710,'[1]DATOS PBI Artículos'!X:X)+$V710-_xlfn.XLOOKUP($A710,'[1]DATOS PBI Artículos'!A:A,'[1]DATOS PBI Artículos'!W:W))/IF($O710="",$N710,$O710)&gt;ROUNDUP([1]CRITERIOS!$M$16/(IF(COUNTIF([1]CRITERIOS!$BG$11:$BG$201,L710)&gt;=1,_xlfn.XLOOKUP($C710,[1]CRITERIOS!$K$25:$K$42,[1]CRITERIOS!$M$25:$M$42),_xlfn.XLOOKUP($C710,[1]CRITERIOS!$K$25:$K$42,[1]CRITERIOS!$M$25:$M$42))),0),
                    ROUNDUP([1]CRITERIOS!$M$16/(IF(COUNTIF([1]CRITERIOS!$BG$11:$BG$201,$L710)&gt;=1,_xlfn.XLOOKUP($C710,[1]CRITERIOS!$K$25:$K$42,[1]CRITERIOS!$M$25:$M$42),_xlfn.XLOOKUP($C710,[1]CRITERIOS!$K$25:$K$42,[1]CRITERIOS!$M$25:$M$42))),0),
                    (E710+V710-SUMIF('[1]DATOS PBI Artículos'!A:A,A710,'[1]DATOS PBI Artículos'!X:X)-_xlfn.XLOOKUP(A710,'[1]DATOS PBI Artículos'!A:A,'[1]DATOS PBI Artículos'!W:W))/IF($O710="",$N710,$O710))),0))))</f>
        <v>#N/A</v>
      </c>
      <c r="R710" s="33" t="e">
        <f>IF(U710&lt;&gt;"",U710,IF(F710="DV","MTO",IF(N710=0,"MTO",_xlfn.XLOOKUP(CONCATENATE(S710,T710),[1]CRITERIOS!$K$160:$K$168,[1]CRITERIOS!$N$160:$N$168))))</f>
        <v>#N/A</v>
      </c>
      <c r="S710" s="33" t="e">
        <f>IF(G710="DV","MTO",IF(N710=0,"MTO",IF(OR(AND(N710=0,O710=""),IF(O710="",G710/N710,G710/O710)&gt;[1]CRITERIOS!$G$163),"MTO",IF(IF(O710="",G710/N710,G710/O710)&lt;[1]CRITERIOS!$H$161,"MTS","MTOS"))))</f>
        <v>#N/A</v>
      </c>
      <c r="T710" s="33" t="e">
        <f>IF(F710="DV","MTO",IF(OR(AND($N710=0,O710=""),$F710/$J710&gt;[1]CRITERIOS!$G$170,$F710="DV"),"MTO",IF($F710/$J710&lt;[1]CRITERIOS!$H$168,"MTS","MTOS")))</f>
        <v>#N/A</v>
      </c>
      <c r="V710" s="34" t="e">
        <f t="shared" si="34"/>
        <v>#N/A</v>
      </c>
      <c r="X710" s="34" t="e">
        <f t="shared" si="35"/>
        <v>#N/A</v>
      </c>
      <c r="Y710" s="34" t="e">
        <f t="shared" si="36"/>
        <v>#N/A</v>
      </c>
      <c r="Z710" s="34" t="e">
        <f>IF($R710="MTO",
0,
($H710+$K710*($E710/[1]CRITERIOS!$M$16))/[1]CRITERIOS!$X$48)</f>
        <v>#N/A</v>
      </c>
      <c r="AA710" s="34" t="e">
        <f>ROUNDUP(($Y710/_xlfn.XLOOKUP($A710,'[1]DATOS PBI Artículos'!$A$4:$A$4,'[1]DATOS PBI Artículos'!$Z$4:$Z$4))/_xlfn.XLOOKUP(_xlfn.XLOOKUP($A710,'[1]DATOS PBI Artículos'!$A$4:$A$4,'[1]DATOS PBI Artículos'!$Y$4:$Y$4),[1]CRITERIOS!$P$79:$P$123,[1]CRITERIOS!$S$79:$S$123,),0)</f>
        <v>#N/A</v>
      </c>
      <c r="AB710" s="33" t="e">
        <f t="array" ref="AB710">IF((E710+V710-_xlfn.XLOOKUP(A710,'[1]DATOS PBI Artículos'!$A$4:$A$4,'[1]DATOS PBI Artículos'!$W$4:$W$4))/N710&gt;ROUNDUP([1]CRITERIOS!$M$16/(IF(COUNTIF([1]CRITERIOS!$BG$11:$BG$201,L710)&gt;=1,_xlfn.XLOOKUP(ARTÍCULOS!L710,[1]CRITERIOS!$BG$11:$BG$201,[1]CRITERIOS!$BJ$11:$BJ$201),_xlfn.XLOOKUP(ARTÍCULOS!C710,[1]CRITERIOS!$K$25:$K$42,[1]CRITERIOS!$M$25:$M$42))),0),ROUNDUP([1]CRITERIOS!$M$16/(IF(COUNTIF([1]CRITERIOS!$BG$11:$BG$201,L710)&gt;=1,_xlfn.XLOOKUP(ARTÍCULOS!L710,[1]CRITERIOS!$BG$11:$BG$201:#REF!,[1]CRITERIOS!$BJ$11:$BJ$201),_xlfn.XLOOKUP(ARTÍCULOS!C710,[1]CRITERIOS!$K$25:$K$42,[1]CRITERIOS!$M$25:$M$42))),0),(E710+V710-_xlfn.XLOOKUP(A710,'[1]DATOS PBI Artículos'!$A$4:$A$4,'[1]DATOS PBI Artículos'!$W$4:$W$4))/N710)</f>
        <v>#N/A</v>
      </c>
      <c r="AC710" s="33" t="e">
        <f>IF(N710=0,"",(ROUNDUP((N710/2)/(_xlfn.XLOOKUP(A710,'[1]DATOS PBI Artículos'!$A$4:$A$4,'[1]DATOS PBI Artículos'!$Z$4:$Z$4)*_xlfn.XLOOKUP(_xlfn.XLOOKUP(A710,'[1]DATOS PBI Artículos'!$A$4:$A$4,'[1]DATOS PBI Artículos'!$Y$4:$Y$4),[1]CRITERIOS!$P$79:$P$123,[1]CRITERIOS!$S$79:$S$123)),0)*[1]CRITERIOS!$M$80*([1]CRITERIOS!$M$110/[1]CRITERIOS!$M$86)+(_xlfn.XLOOKUP(A710,'[1]DATOS PBI Artículos'!$A$4:$A$4,'[1]DATOS PBI Artículos'!$AA$4:$AA$4)*([1]CRITERIOS!$M$95+[1]CRITERIOS!$M$98)))/N710)</f>
        <v>#N/A</v>
      </c>
      <c r="AD710" s="33" t="e">
        <f>IF(N710=0,"",(ROUNDUP((N710/2)/(_xlfn.XLOOKUP(A710,'[1]DATOS PBI Artículos'!$A$4:$A$4,'[1]DATOS PBI Artículos'!$Z$4:$Z$4)*_xlfn.XLOOKUP(_xlfn.XLOOKUP(A710,'[1]DATOS PBI Artículos'!$A$4:$A$4,'[1]DATOS PBI Artículos'!$Y$4:$Y$4),[1]CRITERIOS!$P$79:$P$123,[1]CRITERIOS!$S$79:$S$123)),0)*[1]CRITERIOS!$M$80*([1]CRITERIOS!$M$89*[1]CRITERIOS!$M$92)+((_xlfn.XLOOKUP(A710,'[1]DATOS PBI Artículos'!$A$4:$A$4,'[1]DATOS PBI Artículos'!$AA$4:$AA$4)/2)*([1]CRITERIOS!$M$95+[1]CRITERIOS!$M$98)))/N710)</f>
        <v>#N/A</v>
      </c>
      <c r="AE710" s="39" t="e">
        <f>IF($R710="MTO","",
IF($H710=0,ROUNDUP(((_xlfn.XLOOKUP($A710,'[1]DATOS PBI Artículos'!$A:$A,'[1]DATOS PBI Artículos'!$AL:$AL))/(_xlfn.XLOOKUP($AF$1,[1]CRITERIOS!$S$16:$S$39,[1]CRITERIOS!$Y$16:$Y$39))*$J710+$Z710)/$G710,0)*$G710,
((_xlfn.XLOOKUP($A710,'[1]DATOS PBI Artículos'!$A:$A,'[1]DATOS PBI Artículos'!$AL:$AL))/(_xlfn.XLOOKUP($AF$1,[1]CRITERIOS!$S$16:$S$39,[1]CRITERIOS!$Y$16:$Y$39))*$J710+$Z710)))</f>
        <v>#N/A</v>
      </c>
      <c r="AG710" s="39" t="e">
        <f>IF($R710="MTO","",
IF($H710=0,ROUNDUP(((_xlfn.XLOOKUP($A710,'[1]DATOS PBI Artículos'!$A:$A,'[1]DATOS PBI Artículos'!$AM:$AM))/(_xlfn.XLOOKUP($AH$1,[1]CRITERIOS!$S$16:$S$39,[1]CRITERIOS!$Y$16:$Y$39))*$J710+$Z710)/$G710,0)*$G710,
((_xlfn.XLOOKUP($A710,'[1]DATOS PBI Artículos'!$A:$A,'[1]DATOS PBI Artículos'!$AM:$AM))/(_xlfn.XLOOKUP($AH$1,[1]CRITERIOS!$S$16:$S$39,[1]CRITERIOS!$Y$16:$Y$39))*$J710+$Z710)))</f>
        <v>#N/A</v>
      </c>
      <c r="AI710" s="39" t="e">
        <f>IF($R710="MTO","",
IF($H710=0,ROUNDUP(((_xlfn.XLOOKUP($A710,'[1]DATOS PBI Artículos'!$A:$A,'[1]DATOS PBI Artículos'!$AN:$AN))/(_xlfn.XLOOKUP($AJ$1,[1]CRITERIOS!$S$16:$S$39,[1]CRITERIOS!$Y$16:$Y$39))*$J710+$Z710)/$G710,0)*$G710,
((_xlfn.XLOOKUP($A710,'[1]DATOS PBI Artículos'!$A:$A,'[1]DATOS PBI Artículos'!$AN:$AN))/(_xlfn.XLOOKUP($AJ$1,[1]CRITERIOS!$S$16:$S$39,[1]CRITERIOS!$Y$16:$Y$39))*$J710+$Z710)))</f>
        <v>#N/A</v>
      </c>
      <c r="AK710" s="39" t="e">
        <f>IF($R710="MTO","",
IF($H710=0,ROUNDUP(((_xlfn.XLOOKUP($A710,'[1]DATOS PBI Artículos'!$A:$A,'[1]DATOS PBI Artículos'!$AO:$AO))/(_xlfn.XLOOKUP($AL$1,[1]CRITERIOS!$S$16:$S$39,[1]CRITERIOS!$Y$16:$Y$39))*$J710+$Z710)/$G710,0)*$G710,
((_xlfn.XLOOKUP($A710,'[1]DATOS PBI Artículos'!$A:$A,'[1]DATOS PBI Artículos'!$AO:$AO))/(_xlfn.XLOOKUP($AL$1,[1]CRITERIOS!$S$16:$S$39,[1]CRITERIOS!$Y$16:$Y$39))*$J710+$Z710)))</f>
        <v>#N/A</v>
      </c>
    </row>
    <row r="711" spans="1:37" ht="25.8" hidden="1" x14ac:dyDescent="0.4">
      <c r="A711" s="41"/>
      <c r="B711" s="33">
        <f>_xlfn.XLOOKUP($A711,'[1]DATOS PBI Artículos'!A:A,'[1]DATOS PBI Artículos'!B:B)</f>
        <v>0</v>
      </c>
      <c r="C711" s="33">
        <f>_xlfn.XLOOKUP($A711,'[1]DATOS PBI Artículos'!A:A,'[1]DATOS PBI Artículos'!C:C)</f>
        <v>0</v>
      </c>
      <c r="D711" s="33">
        <f>_xlfn.XLOOKUP(A711,'[1]DATOS PBI Artículos'!A:A,'[1]DATOS PBI Artículos'!T:T)</f>
        <v>0</v>
      </c>
      <c r="E711" s="34">
        <f>IF(_xlfn.XLOOKUP($A711,'[1]DATOS PBI Artículos'!A:A,'[1]DATOS PBI Artículos'!AK:AK)="",_xlfn.XLOOKUP($A711,'[1]DATOS PBI Artículos'!A:A,'[1]DATOS PBI Artículos'!AJ:AJ),_xlfn.XLOOKUP($A711,'[1]DATOS PBI Artículos'!A:A,'[1]DATOS PBI Artículos'!AK:AK))</f>
        <v>0</v>
      </c>
      <c r="F711" s="35">
        <f>_xlfn.XLOOKUP($A711,'[1]DATOS PBI Artículos'!A:A,'[1]DATOS PBI Artículos'!AP:AP)</f>
        <v>0</v>
      </c>
      <c r="G711" s="34">
        <f>_xlfn.XLOOKUP($A711,'[1]DATOS PBI Artículos'!A:A,'[1]DATOS PBI Artículos'!AR:AR)</f>
        <v>0</v>
      </c>
      <c r="H711" s="34">
        <f>_xlfn.XLOOKUP($A711,'[1]DATOS PBI Artículos'!A:A,'[1]DATOS PBI Artículos'!AT:AT)</f>
        <v>0</v>
      </c>
      <c r="I711" s="34">
        <f>_xlfn.XLOOKUP($A711,'[1]DATOS PBI Artículos'!A:A,'[1]DATOS PBI Artículos'!AS:AS)</f>
        <v>0</v>
      </c>
      <c r="J711" s="35">
        <f>IF(COUNTIF([1]CRITERIOS!$F$179:$F$199,$A711)&gt;=1,
 IF(O711&lt;&gt;"",
    (O711/_xlfn.XLOOKUP(CONCATENATE(A711,L711),[1]MÁQUINAS!A:A,[1]MÁQUINAS!D:D))/24,
    (N711/_xlfn.XLOOKUP(CONCATENATE(A711,L711),[1]MÁQUINAS!A:A,[1]MÁQUINAS!D:D))/24),
  _xlfn.XLOOKUP($A711,'[1]DATOS PBI Artículos'!A:A,'[1]DATOS PBI Artículos'!AU:AU))</f>
        <v>0</v>
      </c>
      <c r="K711" s="36">
        <f>_xlfn.XLOOKUP($A711,'[1]DATOS PBI Artículos'!A:A,'[1]DATOS PBI Artículos'!AV:AV)</f>
        <v>0</v>
      </c>
      <c r="L711" s="33">
        <f>_xlfn.XLOOKUP(A711,[1]MÁQUINAS!B:B,[1]MÁQUINAS!C:C)</f>
        <v>0</v>
      </c>
      <c r="M711" s="34">
        <f t="array" ref="M711">_xlfn.XLOOKUP(A711,'[1]DATOS PBI Artículos'!A:A,'[1]DATOS PBI Artículos'!AX:$AX)</f>
        <v>0</v>
      </c>
      <c r="N711" s="37" t="e">
        <f>IF(I711="DV",
E711,
IF(COUNTIF([1]CRITERIOS!$I$179:$I$199,$A711)&gt;=1,
_xlfn.XLOOKUP($A711,[1]CRITERIOS!$I$179:$I$199,[1]CRITERIOS!$J$179:$J$199),
IF(COUNTIF([1]CRITERIOS!$L$179:$L$199,$A711)&gt;=1,
_xlfn.CEILING.MATH(IF($M711&gt;$E711,
$E711,
IF($M711&lt;$E711/ROUNDDOWN([1]CRITERIOS!$M$16/_xlfn.XLOOKUP($C711,[1]CRITERIOS!$K$25:$K$42,[1]CRITERIOS!$M$25:$M$42),
1),
E711/ROUNDDOWN([1]CRITERIOS!$M$16/_xlfn.XLOOKUP($C711,[1]CRITERIOS!$K$25:$K$42,[1]CRITERIOS!$M$25:$M$42),
1),
$M711)),
_xlfn.XLOOKUP($A711,[1]CRITERIOS!$L$179:$L$200,[1]CRITERIOS!$M$179:$M$200)),
_xlfn.CEILING.MATH(IF($M711&gt;$E711,
$E711,
IF($M711&lt;$E711/ROUNDDOWN([1]CRITERIOS!$M$16/_xlfn.XLOOKUP($C711,[1]CRITERIOS!$K$25:$K$42,[1]CRITERIOS!$M$25:$M$42),
1),
E711/ROUNDDOWN([1]CRITERIOS!$M$16/_xlfn.XLOOKUP($C711,[1]CRITERIOS!$K$25:$K$42,[1]CRITERIOS!$M$25:$M$42),
1),
$M711)),_xlfn.XLOOKUP(A711,'[1]DATOS PBI Artículos'!A:A,'[1]DATOS PBI Artículos'!Z:Z
)))))</f>
        <v>#N/A</v>
      </c>
      <c r="Q711" s="38" t="e">
        <f>IF(AND(O711="",N711=0),
0,
   IF(COUNTIF([1]CRITERIOS!$F$179:$F$199,$A711)&gt;=1,
   1,
   IF(R711="MTO",
      $D711,
      ROUNDUP(
                    IF(($E711-SUMIF('[1]DATOS PBI Artículos'!A:A,A711,'[1]DATOS PBI Artículos'!X:X)+($V711-_xlfn.XLOOKUP(A711,'[1]DATOS PBI Artículos'!A:A,'[1]DATOS PBI Artículos'!W:W)))&lt;0,
                    0,
                    IF(($E711-SUMIF('[1]DATOS PBI Artículos'!A:A,A711,'[1]DATOS PBI Artículos'!X:X)+$V711-_xlfn.XLOOKUP($A711,'[1]DATOS PBI Artículos'!A:A,'[1]DATOS PBI Artículos'!W:W))/IF($O711="",$N711,$O711)&gt;ROUNDUP([1]CRITERIOS!$M$16/(IF(COUNTIF([1]CRITERIOS!$BG$11:$BG$201,L711)&gt;=1,_xlfn.XLOOKUP($C711,[1]CRITERIOS!$K$25:$K$42,[1]CRITERIOS!$M$25:$M$42),_xlfn.XLOOKUP($C711,[1]CRITERIOS!$K$25:$K$42,[1]CRITERIOS!$M$25:$M$42))),0),
                    ROUNDUP([1]CRITERIOS!$M$16/(IF(COUNTIF([1]CRITERIOS!$BG$11:$BG$201,$L711)&gt;=1,_xlfn.XLOOKUP($C711,[1]CRITERIOS!$K$25:$K$42,[1]CRITERIOS!$M$25:$M$42),_xlfn.XLOOKUP($C711,[1]CRITERIOS!$K$25:$K$42,[1]CRITERIOS!$M$25:$M$42))),0),
                    (E711+V711-SUMIF('[1]DATOS PBI Artículos'!A:A,A711,'[1]DATOS PBI Artículos'!X:X)-_xlfn.XLOOKUP(A711,'[1]DATOS PBI Artículos'!A:A,'[1]DATOS PBI Artículos'!W:W))/IF($O711="",$N711,$O711))),0))))</f>
        <v>#N/A</v>
      </c>
      <c r="R711" s="33" t="e">
        <f>IF(U711&lt;&gt;"",U711,IF(F711="DV","MTO",IF(N711=0,"MTO",_xlfn.XLOOKUP(CONCATENATE(S711,T711),[1]CRITERIOS!$K$160:$K$168,[1]CRITERIOS!$N$160:$N$168))))</f>
        <v>#N/A</v>
      </c>
      <c r="S711" s="33" t="e">
        <f>IF(G711="DV","MTO",IF(N711=0,"MTO",IF(OR(AND(N711=0,O711=""),IF(O711="",G711/N711,G711/O711)&gt;[1]CRITERIOS!$G$163),"MTO",IF(IF(O711="",G711/N711,G711/O711)&lt;[1]CRITERIOS!$H$161,"MTS","MTOS"))))</f>
        <v>#N/A</v>
      </c>
      <c r="T711" s="33" t="e">
        <f>IF(F711="DV","MTO",IF(OR(AND($N711=0,O711=""),$F711/$J711&gt;[1]CRITERIOS!$G$170,$F711="DV"),"MTO",IF($F711/$J711&lt;[1]CRITERIOS!$H$168,"MTS","MTOS")))</f>
        <v>#N/A</v>
      </c>
      <c r="V711" s="34" t="e">
        <f t="shared" si="34"/>
        <v>#N/A</v>
      </c>
      <c r="X711" s="34" t="e">
        <f t="shared" si="35"/>
        <v>#N/A</v>
      </c>
      <c r="Y711" s="34" t="e">
        <f t="shared" si="36"/>
        <v>#N/A</v>
      </c>
      <c r="Z711" s="34" t="e">
        <f>IF($R711="MTO",
0,
($H711+$K711*($E711/[1]CRITERIOS!$M$16))/[1]CRITERIOS!$X$48)</f>
        <v>#N/A</v>
      </c>
      <c r="AA711" s="34" t="e">
        <f>ROUNDUP(($Y711/_xlfn.XLOOKUP($A711,'[1]DATOS PBI Artículos'!$A$4:$A$4,'[1]DATOS PBI Artículos'!$Z$4:$Z$4))/_xlfn.XLOOKUP(_xlfn.XLOOKUP($A711,'[1]DATOS PBI Artículos'!$A$4:$A$4,'[1]DATOS PBI Artículos'!$Y$4:$Y$4),[1]CRITERIOS!$P$79:$P$123,[1]CRITERIOS!$S$79:$S$123,),0)</f>
        <v>#N/A</v>
      </c>
      <c r="AB711" s="33" t="e">
        <f t="array" ref="AB711">IF((E711+V711-_xlfn.XLOOKUP(A711,'[1]DATOS PBI Artículos'!$A$4:$A$4,'[1]DATOS PBI Artículos'!$W$4:$W$4))/N711&gt;ROUNDUP([1]CRITERIOS!$M$16/(IF(COUNTIF([1]CRITERIOS!$BG$11:$BG$201,L711)&gt;=1,_xlfn.XLOOKUP(ARTÍCULOS!L711,[1]CRITERIOS!$BG$11:$BG$201,[1]CRITERIOS!$BJ$11:$BJ$201),_xlfn.XLOOKUP(ARTÍCULOS!C711,[1]CRITERIOS!$K$25:$K$42,[1]CRITERIOS!$M$25:$M$42))),0),ROUNDUP([1]CRITERIOS!$M$16/(IF(COUNTIF([1]CRITERIOS!$BG$11:$BG$201,L711)&gt;=1,_xlfn.XLOOKUP(ARTÍCULOS!L711,[1]CRITERIOS!$BG$11:$BG$201:#REF!,[1]CRITERIOS!$BJ$11:$BJ$201),_xlfn.XLOOKUP(ARTÍCULOS!C711,[1]CRITERIOS!$K$25:$K$42,[1]CRITERIOS!$M$25:$M$42))),0),(E711+V711-_xlfn.XLOOKUP(A711,'[1]DATOS PBI Artículos'!$A$4:$A$4,'[1]DATOS PBI Artículos'!$W$4:$W$4))/N711)</f>
        <v>#N/A</v>
      </c>
      <c r="AC711" s="33" t="e">
        <f>IF(N711=0,"",(ROUNDUP((N711/2)/(_xlfn.XLOOKUP(A711,'[1]DATOS PBI Artículos'!$A$4:$A$4,'[1]DATOS PBI Artículos'!$Z$4:$Z$4)*_xlfn.XLOOKUP(_xlfn.XLOOKUP(A711,'[1]DATOS PBI Artículos'!$A$4:$A$4,'[1]DATOS PBI Artículos'!$Y$4:$Y$4),[1]CRITERIOS!$P$79:$P$123,[1]CRITERIOS!$S$79:$S$123)),0)*[1]CRITERIOS!$M$80*([1]CRITERIOS!$M$110/[1]CRITERIOS!$M$86)+(_xlfn.XLOOKUP(A711,'[1]DATOS PBI Artículos'!$A$4:$A$4,'[1]DATOS PBI Artículos'!$AA$4:$AA$4)*([1]CRITERIOS!$M$95+[1]CRITERIOS!$M$98)))/N711)</f>
        <v>#N/A</v>
      </c>
      <c r="AD711" s="33" t="e">
        <f>IF(N711=0,"",(ROUNDUP((N711/2)/(_xlfn.XLOOKUP(A711,'[1]DATOS PBI Artículos'!$A$4:$A$4,'[1]DATOS PBI Artículos'!$Z$4:$Z$4)*_xlfn.XLOOKUP(_xlfn.XLOOKUP(A711,'[1]DATOS PBI Artículos'!$A$4:$A$4,'[1]DATOS PBI Artículos'!$Y$4:$Y$4),[1]CRITERIOS!$P$79:$P$123,[1]CRITERIOS!$S$79:$S$123)),0)*[1]CRITERIOS!$M$80*([1]CRITERIOS!$M$89*[1]CRITERIOS!$M$92)+((_xlfn.XLOOKUP(A711,'[1]DATOS PBI Artículos'!$A$4:$A$4,'[1]DATOS PBI Artículos'!$AA$4:$AA$4)/2)*([1]CRITERIOS!$M$95+[1]CRITERIOS!$M$98)))/N711)</f>
        <v>#N/A</v>
      </c>
      <c r="AE711" s="39" t="e">
        <f>IF($R711="MTO","",
IF($H711=0,ROUNDUP(((_xlfn.XLOOKUP($A711,'[1]DATOS PBI Artículos'!$A:$A,'[1]DATOS PBI Artículos'!$AL:$AL))/(_xlfn.XLOOKUP($AF$1,[1]CRITERIOS!$S$16:$S$39,[1]CRITERIOS!$Y$16:$Y$39))*$J711+$Z711)/$G711,0)*$G711,
((_xlfn.XLOOKUP($A711,'[1]DATOS PBI Artículos'!$A:$A,'[1]DATOS PBI Artículos'!$AL:$AL))/(_xlfn.XLOOKUP($AF$1,[1]CRITERIOS!$S$16:$S$39,[1]CRITERIOS!$Y$16:$Y$39))*$J711+$Z711)))</f>
        <v>#N/A</v>
      </c>
      <c r="AG711" s="39" t="e">
        <f>IF($R711="MTO","",
IF($H711=0,ROUNDUP(((_xlfn.XLOOKUP($A711,'[1]DATOS PBI Artículos'!$A:$A,'[1]DATOS PBI Artículos'!$AM:$AM))/(_xlfn.XLOOKUP($AH$1,[1]CRITERIOS!$S$16:$S$39,[1]CRITERIOS!$Y$16:$Y$39))*$J711+$Z711)/$G711,0)*$G711,
((_xlfn.XLOOKUP($A711,'[1]DATOS PBI Artículos'!$A:$A,'[1]DATOS PBI Artículos'!$AM:$AM))/(_xlfn.XLOOKUP($AH$1,[1]CRITERIOS!$S$16:$S$39,[1]CRITERIOS!$Y$16:$Y$39))*$J711+$Z711)))</f>
        <v>#N/A</v>
      </c>
      <c r="AI711" s="39" t="e">
        <f>IF($R711="MTO","",
IF($H711=0,ROUNDUP(((_xlfn.XLOOKUP($A711,'[1]DATOS PBI Artículos'!$A:$A,'[1]DATOS PBI Artículos'!$AN:$AN))/(_xlfn.XLOOKUP($AJ$1,[1]CRITERIOS!$S$16:$S$39,[1]CRITERIOS!$Y$16:$Y$39))*$J711+$Z711)/$G711,0)*$G711,
((_xlfn.XLOOKUP($A711,'[1]DATOS PBI Artículos'!$A:$A,'[1]DATOS PBI Artículos'!$AN:$AN))/(_xlfn.XLOOKUP($AJ$1,[1]CRITERIOS!$S$16:$S$39,[1]CRITERIOS!$Y$16:$Y$39))*$J711+$Z711)))</f>
        <v>#N/A</v>
      </c>
      <c r="AK711" s="39" t="e">
        <f>IF($R711="MTO","",
IF($H711=0,ROUNDUP(((_xlfn.XLOOKUP($A711,'[1]DATOS PBI Artículos'!$A:$A,'[1]DATOS PBI Artículos'!$AO:$AO))/(_xlfn.XLOOKUP($AL$1,[1]CRITERIOS!$S$16:$S$39,[1]CRITERIOS!$Y$16:$Y$39))*$J711+$Z711)/$G711,0)*$G711,
((_xlfn.XLOOKUP($A711,'[1]DATOS PBI Artículos'!$A:$A,'[1]DATOS PBI Artículos'!$AO:$AO))/(_xlfn.XLOOKUP($AL$1,[1]CRITERIOS!$S$16:$S$39,[1]CRITERIOS!$Y$16:$Y$39))*$J711+$Z711)))</f>
        <v>#N/A</v>
      </c>
    </row>
    <row r="712" spans="1:37" ht="25.8" hidden="1" x14ac:dyDescent="0.4">
      <c r="A712" s="41"/>
      <c r="B712" s="33">
        <f>_xlfn.XLOOKUP($A712,'[1]DATOS PBI Artículos'!A:A,'[1]DATOS PBI Artículos'!B:B)</f>
        <v>0</v>
      </c>
      <c r="C712" s="33">
        <f>_xlfn.XLOOKUP($A712,'[1]DATOS PBI Artículos'!A:A,'[1]DATOS PBI Artículos'!C:C)</f>
        <v>0</v>
      </c>
      <c r="D712" s="33">
        <f>_xlfn.XLOOKUP(A712,'[1]DATOS PBI Artículos'!A:A,'[1]DATOS PBI Artículos'!T:T)</f>
        <v>0</v>
      </c>
      <c r="E712" s="34">
        <f>IF(_xlfn.XLOOKUP($A712,'[1]DATOS PBI Artículos'!A:A,'[1]DATOS PBI Artículos'!AK:AK)="",_xlfn.XLOOKUP($A712,'[1]DATOS PBI Artículos'!A:A,'[1]DATOS PBI Artículos'!AJ:AJ),_xlfn.XLOOKUP($A712,'[1]DATOS PBI Artículos'!A:A,'[1]DATOS PBI Artículos'!AK:AK))</f>
        <v>0</v>
      </c>
      <c r="F712" s="35">
        <f>_xlfn.XLOOKUP($A712,'[1]DATOS PBI Artículos'!A:A,'[1]DATOS PBI Artículos'!AP:AP)</f>
        <v>0</v>
      </c>
      <c r="G712" s="34">
        <f>_xlfn.XLOOKUP($A712,'[1]DATOS PBI Artículos'!A:A,'[1]DATOS PBI Artículos'!AR:AR)</f>
        <v>0</v>
      </c>
      <c r="H712" s="34">
        <f>_xlfn.XLOOKUP($A712,'[1]DATOS PBI Artículos'!A:A,'[1]DATOS PBI Artículos'!AT:AT)</f>
        <v>0</v>
      </c>
      <c r="I712" s="34">
        <f>_xlfn.XLOOKUP($A712,'[1]DATOS PBI Artículos'!A:A,'[1]DATOS PBI Artículos'!AS:AS)</f>
        <v>0</v>
      </c>
      <c r="J712" s="35">
        <f>IF(COUNTIF([1]CRITERIOS!$F$179:$F$199,$A712)&gt;=1,
 IF(O712&lt;&gt;"",
    (O712/_xlfn.XLOOKUP(CONCATENATE(A712,L712),[1]MÁQUINAS!A:A,[1]MÁQUINAS!D:D))/24,
    (N712/_xlfn.XLOOKUP(CONCATENATE(A712,L712),[1]MÁQUINAS!A:A,[1]MÁQUINAS!D:D))/24),
  _xlfn.XLOOKUP($A712,'[1]DATOS PBI Artículos'!A:A,'[1]DATOS PBI Artículos'!AU:AU))</f>
        <v>0</v>
      </c>
      <c r="K712" s="36">
        <f>_xlfn.XLOOKUP($A712,'[1]DATOS PBI Artículos'!A:A,'[1]DATOS PBI Artículos'!AV:AV)</f>
        <v>0</v>
      </c>
      <c r="L712" s="33">
        <f>_xlfn.XLOOKUP(A712,[1]MÁQUINAS!B:B,[1]MÁQUINAS!C:C)</f>
        <v>0</v>
      </c>
      <c r="M712" s="34">
        <f t="array" ref="M712">_xlfn.XLOOKUP(A712,'[1]DATOS PBI Artículos'!A:A,'[1]DATOS PBI Artículos'!AX:$AX)</f>
        <v>0</v>
      </c>
      <c r="N712" s="37" t="e">
        <f>IF(I712="DV",
E712,
IF(COUNTIF([1]CRITERIOS!$I$179:$I$199,$A712)&gt;=1,
_xlfn.XLOOKUP($A712,[1]CRITERIOS!$I$179:$I$199,[1]CRITERIOS!$J$179:$J$199),
IF(COUNTIF([1]CRITERIOS!$L$179:$L$199,$A712)&gt;=1,
_xlfn.CEILING.MATH(IF($M712&gt;$E712,
$E712,
IF($M712&lt;$E712/ROUNDDOWN([1]CRITERIOS!$M$16/_xlfn.XLOOKUP($C712,[1]CRITERIOS!$K$25:$K$42,[1]CRITERIOS!$M$25:$M$42),
1),
E712/ROUNDDOWN([1]CRITERIOS!$M$16/_xlfn.XLOOKUP($C712,[1]CRITERIOS!$K$25:$K$42,[1]CRITERIOS!$M$25:$M$42),
1),
$M712)),
_xlfn.XLOOKUP($A712,[1]CRITERIOS!$L$179:$L$200,[1]CRITERIOS!$M$179:$M$200)),
_xlfn.CEILING.MATH(IF($M712&gt;$E712,
$E712,
IF($M712&lt;$E712/ROUNDDOWN([1]CRITERIOS!$M$16/_xlfn.XLOOKUP($C712,[1]CRITERIOS!$K$25:$K$42,[1]CRITERIOS!$M$25:$M$42),
1),
E712/ROUNDDOWN([1]CRITERIOS!$M$16/_xlfn.XLOOKUP($C712,[1]CRITERIOS!$K$25:$K$42,[1]CRITERIOS!$M$25:$M$42),
1),
$M712)),_xlfn.XLOOKUP(A712,'[1]DATOS PBI Artículos'!A:A,'[1]DATOS PBI Artículos'!Z:Z
)))))</f>
        <v>#N/A</v>
      </c>
      <c r="Q712" s="38" t="e">
        <f>IF(AND(O712="",N712=0),
0,
   IF(COUNTIF([1]CRITERIOS!$F$179:$F$199,$A712)&gt;=1,
   1,
   IF(R712="MTO",
      $D712,
      ROUNDUP(
                    IF(($E712-SUMIF('[1]DATOS PBI Artículos'!A:A,A712,'[1]DATOS PBI Artículos'!X:X)+($V712-_xlfn.XLOOKUP(A712,'[1]DATOS PBI Artículos'!A:A,'[1]DATOS PBI Artículos'!W:W)))&lt;0,
                    0,
                    IF(($E712-SUMIF('[1]DATOS PBI Artículos'!A:A,A712,'[1]DATOS PBI Artículos'!X:X)+$V712-_xlfn.XLOOKUP($A712,'[1]DATOS PBI Artículos'!A:A,'[1]DATOS PBI Artículos'!W:W))/IF($O712="",$N712,$O712)&gt;ROUNDUP([1]CRITERIOS!$M$16/(IF(COUNTIF([1]CRITERIOS!$BG$11:$BG$201,L712)&gt;=1,_xlfn.XLOOKUP($C712,[1]CRITERIOS!$K$25:$K$42,[1]CRITERIOS!$M$25:$M$42),_xlfn.XLOOKUP($C712,[1]CRITERIOS!$K$25:$K$42,[1]CRITERIOS!$M$25:$M$42))),0),
                    ROUNDUP([1]CRITERIOS!$M$16/(IF(COUNTIF([1]CRITERIOS!$BG$11:$BG$201,$L712)&gt;=1,_xlfn.XLOOKUP($C712,[1]CRITERIOS!$K$25:$K$42,[1]CRITERIOS!$M$25:$M$42),_xlfn.XLOOKUP($C712,[1]CRITERIOS!$K$25:$K$42,[1]CRITERIOS!$M$25:$M$42))),0),
                    (E712+V712-SUMIF('[1]DATOS PBI Artículos'!A:A,A712,'[1]DATOS PBI Artículos'!X:X)-_xlfn.XLOOKUP(A712,'[1]DATOS PBI Artículos'!A:A,'[1]DATOS PBI Artículos'!W:W))/IF($O712="",$N712,$O712))),0))))</f>
        <v>#N/A</v>
      </c>
      <c r="R712" s="33" t="e">
        <f>IF(U712&lt;&gt;"",U712,IF(F712="DV","MTO",IF(N712=0,"MTO",_xlfn.XLOOKUP(CONCATENATE(S712,T712),[1]CRITERIOS!$K$160:$K$168,[1]CRITERIOS!$N$160:$N$168))))</f>
        <v>#N/A</v>
      </c>
      <c r="S712" s="33" t="e">
        <f>IF(G712="DV","MTO",IF(N712=0,"MTO",IF(OR(AND(N712=0,O712=""),IF(O712="",G712/N712,G712/O712)&gt;[1]CRITERIOS!$G$163),"MTO",IF(IF(O712="",G712/N712,G712/O712)&lt;[1]CRITERIOS!$H$161,"MTS","MTOS"))))</f>
        <v>#N/A</v>
      </c>
      <c r="T712" s="33" t="e">
        <f>IF(F712="DV","MTO",IF(OR(AND($N712=0,O712=""),$F712/$J712&gt;[1]CRITERIOS!$G$170,$F712="DV"),"MTO",IF($F712/$J712&lt;[1]CRITERIOS!$H$168,"MTS","MTOS")))</f>
        <v>#N/A</v>
      </c>
      <c r="V712" s="34" t="e">
        <f t="shared" si="34"/>
        <v>#N/A</v>
      </c>
      <c r="X712" s="34" t="e">
        <f t="shared" si="35"/>
        <v>#N/A</v>
      </c>
      <c r="Y712" s="34" t="e">
        <f t="shared" si="36"/>
        <v>#N/A</v>
      </c>
      <c r="Z712" s="34" t="e">
        <f>IF($R712="MTO",
0,
($H712+$K712*($E712/[1]CRITERIOS!$M$16))/[1]CRITERIOS!$X$48)</f>
        <v>#N/A</v>
      </c>
      <c r="AA712" s="34" t="e">
        <f>ROUNDUP(($Y712/_xlfn.XLOOKUP($A712,'[1]DATOS PBI Artículos'!$A$4:$A$4,'[1]DATOS PBI Artículos'!$Z$4:$Z$4))/_xlfn.XLOOKUP(_xlfn.XLOOKUP($A712,'[1]DATOS PBI Artículos'!$A$4:$A$4,'[1]DATOS PBI Artículos'!$Y$4:$Y$4),[1]CRITERIOS!$P$79:$P$123,[1]CRITERIOS!$S$79:$S$123,),0)</f>
        <v>#N/A</v>
      </c>
      <c r="AB712" s="33" t="e">
        <f t="array" ref="AB712">IF((E712+V712-_xlfn.XLOOKUP(A712,'[1]DATOS PBI Artículos'!$A$4:$A$4,'[1]DATOS PBI Artículos'!$W$4:$W$4))/N712&gt;ROUNDUP([1]CRITERIOS!$M$16/(IF(COUNTIF([1]CRITERIOS!$BG$11:$BG$201,L712)&gt;=1,_xlfn.XLOOKUP(ARTÍCULOS!L712,[1]CRITERIOS!$BG$11:$BG$201,[1]CRITERIOS!$BJ$11:$BJ$201),_xlfn.XLOOKUP(ARTÍCULOS!C712,[1]CRITERIOS!$K$25:$K$42,[1]CRITERIOS!$M$25:$M$42))),0),ROUNDUP([1]CRITERIOS!$M$16/(IF(COUNTIF([1]CRITERIOS!$BG$11:$BG$201,L712)&gt;=1,_xlfn.XLOOKUP(ARTÍCULOS!L712,[1]CRITERIOS!$BG$11:$BG$201:#REF!,[1]CRITERIOS!$BJ$11:$BJ$201),_xlfn.XLOOKUP(ARTÍCULOS!C712,[1]CRITERIOS!$K$25:$K$42,[1]CRITERIOS!$M$25:$M$42))),0),(E712+V712-_xlfn.XLOOKUP(A712,'[1]DATOS PBI Artículos'!$A$4:$A$4,'[1]DATOS PBI Artículos'!$W$4:$W$4))/N712)</f>
        <v>#N/A</v>
      </c>
      <c r="AC712" s="33" t="e">
        <f>IF(N712=0,"",(ROUNDUP((N712/2)/(_xlfn.XLOOKUP(A712,'[1]DATOS PBI Artículos'!$A$4:$A$4,'[1]DATOS PBI Artículos'!$Z$4:$Z$4)*_xlfn.XLOOKUP(_xlfn.XLOOKUP(A712,'[1]DATOS PBI Artículos'!$A$4:$A$4,'[1]DATOS PBI Artículos'!$Y$4:$Y$4),[1]CRITERIOS!$P$79:$P$123,[1]CRITERIOS!$S$79:$S$123)),0)*[1]CRITERIOS!$M$80*([1]CRITERIOS!$M$110/[1]CRITERIOS!$M$86)+(_xlfn.XLOOKUP(A712,'[1]DATOS PBI Artículos'!$A$4:$A$4,'[1]DATOS PBI Artículos'!$AA$4:$AA$4)*([1]CRITERIOS!$M$95+[1]CRITERIOS!$M$98)))/N712)</f>
        <v>#N/A</v>
      </c>
      <c r="AD712" s="33" t="e">
        <f>IF(N712=0,"",(ROUNDUP((N712/2)/(_xlfn.XLOOKUP(A712,'[1]DATOS PBI Artículos'!$A$4:$A$4,'[1]DATOS PBI Artículos'!$Z$4:$Z$4)*_xlfn.XLOOKUP(_xlfn.XLOOKUP(A712,'[1]DATOS PBI Artículos'!$A$4:$A$4,'[1]DATOS PBI Artículos'!$Y$4:$Y$4),[1]CRITERIOS!$P$79:$P$123,[1]CRITERIOS!$S$79:$S$123)),0)*[1]CRITERIOS!$M$80*([1]CRITERIOS!$M$89*[1]CRITERIOS!$M$92)+((_xlfn.XLOOKUP(A712,'[1]DATOS PBI Artículos'!$A$4:$A$4,'[1]DATOS PBI Artículos'!$AA$4:$AA$4)/2)*([1]CRITERIOS!$M$95+[1]CRITERIOS!$M$98)))/N712)</f>
        <v>#N/A</v>
      </c>
      <c r="AE712" s="39" t="e">
        <f>IF($R712="MTO","",
IF($H712=0,ROUNDUP(((_xlfn.XLOOKUP($A712,'[1]DATOS PBI Artículos'!$A:$A,'[1]DATOS PBI Artículos'!$AL:$AL))/(_xlfn.XLOOKUP($AF$1,[1]CRITERIOS!$S$16:$S$39,[1]CRITERIOS!$Y$16:$Y$39))*$J712+$Z712)/$G712,0)*$G712,
((_xlfn.XLOOKUP($A712,'[1]DATOS PBI Artículos'!$A:$A,'[1]DATOS PBI Artículos'!$AL:$AL))/(_xlfn.XLOOKUP($AF$1,[1]CRITERIOS!$S$16:$S$39,[1]CRITERIOS!$Y$16:$Y$39))*$J712+$Z712)))</f>
        <v>#N/A</v>
      </c>
      <c r="AG712" s="39" t="e">
        <f>IF($R712="MTO","",
IF($H712=0,ROUNDUP(((_xlfn.XLOOKUP($A712,'[1]DATOS PBI Artículos'!$A:$A,'[1]DATOS PBI Artículos'!$AM:$AM))/(_xlfn.XLOOKUP($AH$1,[1]CRITERIOS!$S$16:$S$39,[1]CRITERIOS!$Y$16:$Y$39))*$J712+$Z712)/$G712,0)*$G712,
((_xlfn.XLOOKUP($A712,'[1]DATOS PBI Artículos'!$A:$A,'[1]DATOS PBI Artículos'!$AM:$AM))/(_xlfn.XLOOKUP($AH$1,[1]CRITERIOS!$S$16:$S$39,[1]CRITERIOS!$Y$16:$Y$39))*$J712+$Z712)))</f>
        <v>#N/A</v>
      </c>
      <c r="AI712" s="39" t="e">
        <f>IF($R712="MTO","",
IF($H712=0,ROUNDUP(((_xlfn.XLOOKUP($A712,'[1]DATOS PBI Artículos'!$A:$A,'[1]DATOS PBI Artículos'!$AN:$AN))/(_xlfn.XLOOKUP($AJ$1,[1]CRITERIOS!$S$16:$S$39,[1]CRITERIOS!$Y$16:$Y$39))*$J712+$Z712)/$G712,0)*$G712,
((_xlfn.XLOOKUP($A712,'[1]DATOS PBI Artículos'!$A:$A,'[1]DATOS PBI Artículos'!$AN:$AN))/(_xlfn.XLOOKUP($AJ$1,[1]CRITERIOS!$S$16:$S$39,[1]CRITERIOS!$Y$16:$Y$39))*$J712+$Z712)))</f>
        <v>#N/A</v>
      </c>
      <c r="AK712" s="39" t="e">
        <f>IF($R712="MTO","",
IF($H712=0,ROUNDUP(((_xlfn.XLOOKUP($A712,'[1]DATOS PBI Artículos'!$A:$A,'[1]DATOS PBI Artículos'!$AO:$AO))/(_xlfn.XLOOKUP($AL$1,[1]CRITERIOS!$S$16:$S$39,[1]CRITERIOS!$Y$16:$Y$39))*$J712+$Z712)/$G712,0)*$G712,
((_xlfn.XLOOKUP($A712,'[1]DATOS PBI Artículos'!$A:$A,'[1]DATOS PBI Artículos'!$AO:$AO))/(_xlfn.XLOOKUP($AL$1,[1]CRITERIOS!$S$16:$S$39,[1]CRITERIOS!$Y$16:$Y$39))*$J712+$Z712)))</f>
        <v>#N/A</v>
      </c>
    </row>
    <row r="713" spans="1:37" ht="25.8" hidden="1" x14ac:dyDescent="0.4">
      <c r="A713" s="41"/>
      <c r="B713" s="33">
        <f>_xlfn.XLOOKUP($A713,'[1]DATOS PBI Artículos'!A:A,'[1]DATOS PBI Artículos'!B:B)</f>
        <v>0</v>
      </c>
      <c r="C713" s="33">
        <f>_xlfn.XLOOKUP($A713,'[1]DATOS PBI Artículos'!A:A,'[1]DATOS PBI Artículos'!C:C)</f>
        <v>0</v>
      </c>
      <c r="D713" s="33">
        <f>_xlfn.XLOOKUP(A713,'[1]DATOS PBI Artículos'!A:A,'[1]DATOS PBI Artículos'!T:T)</f>
        <v>0</v>
      </c>
      <c r="E713" s="34">
        <f>IF(_xlfn.XLOOKUP($A713,'[1]DATOS PBI Artículos'!A:A,'[1]DATOS PBI Artículos'!AK:AK)="",_xlfn.XLOOKUP($A713,'[1]DATOS PBI Artículos'!A:A,'[1]DATOS PBI Artículos'!AJ:AJ),_xlfn.XLOOKUP($A713,'[1]DATOS PBI Artículos'!A:A,'[1]DATOS PBI Artículos'!AK:AK))</f>
        <v>0</v>
      </c>
      <c r="F713" s="35">
        <f>_xlfn.XLOOKUP($A713,'[1]DATOS PBI Artículos'!A:A,'[1]DATOS PBI Artículos'!AP:AP)</f>
        <v>0</v>
      </c>
      <c r="G713" s="34">
        <f>_xlfn.XLOOKUP($A713,'[1]DATOS PBI Artículos'!A:A,'[1]DATOS PBI Artículos'!AR:AR)</f>
        <v>0</v>
      </c>
      <c r="H713" s="34">
        <f>_xlfn.XLOOKUP($A713,'[1]DATOS PBI Artículos'!A:A,'[1]DATOS PBI Artículos'!AT:AT)</f>
        <v>0</v>
      </c>
      <c r="I713" s="34">
        <f>_xlfn.XLOOKUP($A713,'[1]DATOS PBI Artículos'!A:A,'[1]DATOS PBI Artículos'!AS:AS)</f>
        <v>0</v>
      </c>
      <c r="J713" s="35">
        <f>IF(COUNTIF([1]CRITERIOS!$F$179:$F$199,$A713)&gt;=1,
 IF(O713&lt;&gt;"",
    (O713/_xlfn.XLOOKUP(CONCATENATE(A713,L713),[1]MÁQUINAS!A:A,[1]MÁQUINAS!D:D))/24,
    (N713/_xlfn.XLOOKUP(CONCATENATE(A713,L713),[1]MÁQUINAS!A:A,[1]MÁQUINAS!D:D))/24),
  _xlfn.XLOOKUP($A713,'[1]DATOS PBI Artículos'!A:A,'[1]DATOS PBI Artículos'!AU:AU))</f>
        <v>0</v>
      </c>
      <c r="K713" s="36">
        <f>_xlfn.XLOOKUP($A713,'[1]DATOS PBI Artículos'!A:A,'[1]DATOS PBI Artículos'!AV:AV)</f>
        <v>0</v>
      </c>
      <c r="L713" s="33">
        <f>_xlfn.XLOOKUP(A713,[1]MÁQUINAS!B:B,[1]MÁQUINAS!C:C)</f>
        <v>0</v>
      </c>
      <c r="M713" s="34">
        <f t="array" ref="M713">_xlfn.XLOOKUP(A713,'[1]DATOS PBI Artículos'!A:A,'[1]DATOS PBI Artículos'!AX:$AX)</f>
        <v>0</v>
      </c>
      <c r="N713" s="37" t="e">
        <f>IF(I713="DV",
E713,
IF(COUNTIF([1]CRITERIOS!$I$179:$I$199,$A713)&gt;=1,
_xlfn.XLOOKUP($A713,[1]CRITERIOS!$I$179:$I$199,[1]CRITERIOS!$J$179:$J$199),
IF(COUNTIF([1]CRITERIOS!$L$179:$L$199,$A713)&gt;=1,
_xlfn.CEILING.MATH(IF($M713&gt;$E713,
$E713,
IF($M713&lt;$E713/ROUNDDOWN([1]CRITERIOS!$M$16/_xlfn.XLOOKUP($C713,[1]CRITERIOS!$K$25:$K$42,[1]CRITERIOS!$M$25:$M$42),
1),
E713/ROUNDDOWN([1]CRITERIOS!$M$16/_xlfn.XLOOKUP($C713,[1]CRITERIOS!$K$25:$K$42,[1]CRITERIOS!$M$25:$M$42),
1),
$M713)),
_xlfn.XLOOKUP($A713,[1]CRITERIOS!$L$179:$L$200,[1]CRITERIOS!$M$179:$M$200)),
_xlfn.CEILING.MATH(IF($M713&gt;$E713,
$E713,
IF($M713&lt;$E713/ROUNDDOWN([1]CRITERIOS!$M$16/_xlfn.XLOOKUP($C713,[1]CRITERIOS!$K$25:$K$42,[1]CRITERIOS!$M$25:$M$42),
1),
E713/ROUNDDOWN([1]CRITERIOS!$M$16/_xlfn.XLOOKUP($C713,[1]CRITERIOS!$K$25:$K$42,[1]CRITERIOS!$M$25:$M$42),
1),
$M713)),_xlfn.XLOOKUP(A713,'[1]DATOS PBI Artículos'!A:A,'[1]DATOS PBI Artículos'!Z:Z
)))))</f>
        <v>#N/A</v>
      </c>
      <c r="Q713" s="38" t="e">
        <f>IF(AND(O713="",N713=0),
0,
   IF(COUNTIF([1]CRITERIOS!$F$179:$F$199,$A713)&gt;=1,
   1,
   IF(R713="MTO",
      $D713,
      ROUNDUP(
                    IF(($E713-SUMIF('[1]DATOS PBI Artículos'!A:A,A713,'[1]DATOS PBI Artículos'!X:X)+($V713-_xlfn.XLOOKUP(A713,'[1]DATOS PBI Artículos'!A:A,'[1]DATOS PBI Artículos'!W:W)))&lt;0,
                    0,
                    IF(($E713-SUMIF('[1]DATOS PBI Artículos'!A:A,A713,'[1]DATOS PBI Artículos'!X:X)+$V713-_xlfn.XLOOKUP($A713,'[1]DATOS PBI Artículos'!A:A,'[1]DATOS PBI Artículos'!W:W))/IF($O713="",$N713,$O713)&gt;ROUNDUP([1]CRITERIOS!$M$16/(IF(COUNTIF([1]CRITERIOS!$BG$11:$BG$201,L713)&gt;=1,_xlfn.XLOOKUP($C713,[1]CRITERIOS!$K$25:$K$42,[1]CRITERIOS!$M$25:$M$42),_xlfn.XLOOKUP($C713,[1]CRITERIOS!$K$25:$K$42,[1]CRITERIOS!$M$25:$M$42))),0),
                    ROUNDUP([1]CRITERIOS!$M$16/(IF(COUNTIF([1]CRITERIOS!$BG$11:$BG$201,$L713)&gt;=1,_xlfn.XLOOKUP($C713,[1]CRITERIOS!$K$25:$K$42,[1]CRITERIOS!$M$25:$M$42),_xlfn.XLOOKUP($C713,[1]CRITERIOS!$K$25:$K$42,[1]CRITERIOS!$M$25:$M$42))),0),
                    (E713+V713-SUMIF('[1]DATOS PBI Artículos'!A:A,A713,'[1]DATOS PBI Artículos'!X:X)-_xlfn.XLOOKUP(A713,'[1]DATOS PBI Artículos'!A:A,'[1]DATOS PBI Artículos'!W:W))/IF($O713="",$N713,$O713))),0))))</f>
        <v>#N/A</v>
      </c>
      <c r="R713" s="33" t="e">
        <f>IF(U713&lt;&gt;"",U713,IF(F713="DV","MTO",IF(N713=0,"MTO",_xlfn.XLOOKUP(CONCATENATE(S713,T713),[1]CRITERIOS!$K$160:$K$168,[1]CRITERIOS!$N$160:$N$168))))</f>
        <v>#N/A</v>
      </c>
      <c r="S713" s="33" t="e">
        <f>IF(G713="DV","MTO",IF(N713=0,"MTO",IF(OR(AND(N713=0,O713=""),IF(O713="",G713/N713,G713/O713)&gt;[1]CRITERIOS!$G$163),"MTO",IF(IF(O713="",G713/N713,G713/O713)&lt;[1]CRITERIOS!$H$161,"MTS","MTOS"))))</f>
        <v>#N/A</v>
      </c>
      <c r="T713" s="33" t="e">
        <f>IF(F713="DV","MTO",IF(OR(AND($N713=0,O713=""),$F713/$J713&gt;[1]CRITERIOS!$G$170,$F713="DV"),"MTO",IF($F713/$J713&lt;[1]CRITERIOS!$H$168,"MTS","MTOS")))</f>
        <v>#N/A</v>
      </c>
      <c r="V713" s="34" t="e">
        <f t="shared" si="34"/>
        <v>#N/A</v>
      </c>
      <c r="X713" s="34" t="e">
        <f t="shared" si="35"/>
        <v>#N/A</v>
      </c>
      <c r="Y713" s="34" t="e">
        <f t="shared" si="36"/>
        <v>#N/A</v>
      </c>
      <c r="Z713" s="34" t="e">
        <f>IF($R713="MTO",
0,
($H713+$K713*($E713/[1]CRITERIOS!$M$16))/[1]CRITERIOS!$X$48)</f>
        <v>#N/A</v>
      </c>
      <c r="AA713" s="34" t="e">
        <f>ROUNDUP(($Y713/_xlfn.XLOOKUP($A713,'[1]DATOS PBI Artículos'!$A$4:$A$4,'[1]DATOS PBI Artículos'!$Z$4:$Z$4))/_xlfn.XLOOKUP(_xlfn.XLOOKUP($A713,'[1]DATOS PBI Artículos'!$A$4:$A$4,'[1]DATOS PBI Artículos'!$Y$4:$Y$4),[1]CRITERIOS!$P$79:$P$123,[1]CRITERIOS!$S$79:$S$123,),0)</f>
        <v>#N/A</v>
      </c>
      <c r="AB713" s="33" t="e">
        <f t="array" ref="AB713">IF((E713+V713-_xlfn.XLOOKUP(A713,'[1]DATOS PBI Artículos'!$A$4:$A$4,'[1]DATOS PBI Artículos'!$W$4:$W$4))/N713&gt;ROUNDUP([1]CRITERIOS!$M$16/(IF(COUNTIF([1]CRITERIOS!$BG$11:$BG$201,L713)&gt;=1,_xlfn.XLOOKUP(ARTÍCULOS!L713,[1]CRITERIOS!$BG$11:$BG$201,[1]CRITERIOS!$BJ$11:$BJ$201),_xlfn.XLOOKUP(ARTÍCULOS!C713,[1]CRITERIOS!$K$25:$K$42,[1]CRITERIOS!$M$25:$M$42))),0),ROUNDUP([1]CRITERIOS!$M$16/(IF(COUNTIF([1]CRITERIOS!$BG$11:$BG$201,L713)&gt;=1,_xlfn.XLOOKUP(ARTÍCULOS!L713,[1]CRITERIOS!$BG$11:$BG$201:#REF!,[1]CRITERIOS!$BJ$11:$BJ$201),_xlfn.XLOOKUP(ARTÍCULOS!C713,[1]CRITERIOS!$K$25:$K$42,[1]CRITERIOS!$M$25:$M$42))),0),(E713+V713-_xlfn.XLOOKUP(A713,'[1]DATOS PBI Artículos'!$A$4:$A$4,'[1]DATOS PBI Artículos'!$W$4:$W$4))/N713)</f>
        <v>#N/A</v>
      </c>
      <c r="AC713" s="33" t="e">
        <f>IF(N713=0,"",(ROUNDUP((N713/2)/(_xlfn.XLOOKUP(A713,'[1]DATOS PBI Artículos'!$A$4:$A$4,'[1]DATOS PBI Artículos'!$Z$4:$Z$4)*_xlfn.XLOOKUP(_xlfn.XLOOKUP(A713,'[1]DATOS PBI Artículos'!$A$4:$A$4,'[1]DATOS PBI Artículos'!$Y$4:$Y$4),[1]CRITERIOS!$P$79:$P$123,[1]CRITERIOS!$S$79:$S$123)),0)*[1]CRITERIOS!$M$80*([1]CRITERIOS!$M$110/[1]CRITERIOS!$M$86)+(_xlfn.XLOOKUP(A713,'[1]DATOS PBI Artículos'!$A$4:$A$4,'[1]DATOS PBI Artículos'!$AA$4:$AA$4)*([1]CRITERIOS!$M$95+[1]CRITERIOS!$M$98)))/N713)</f>
        <v>#N/A</v>
      </c>
      <c r="AD713" s="33" t="e">
        <f>IF(N713=0,"",(ROUNDUP((N713/2)/(_xlfn.XLOOKUP(A713,'[1]DATOS PBI Artículos'!$A$4:$A$4,'[1]DATOS PBI Artículos'!$Z$4:$Z$4)*_xlfn.XLOOKUP(_xlfn.XLOOKUP(A713,'[1]DATOS PBI Artículos'!$A$4:$A$4,'[1]DATOS PBI Artículos'!$Y$4:$Y$4),[1]CRITERIOS!$P$79:$P$123,[1]CRITERIOS!$S$79:$S$123)),0)*[1]CRITERIOS!$M$80*([1]CRITERIOS!$M$89*[1]CRITERIOS!$M$92)+((_xlfn.XLOOKUP(A713,'[1]DATOS PBI Artículos'!$A$4:$A$4,'[1]DATOS PBI Artículos'!$AA$4:$AA$4)/2)*([1]CRITERIOS!$M$95+[1]CRITERIOS!$M$98)))/N713)</f>
        <v>#N/A</v>
      </c>
      <c r="AE713" s="39" t="e">
        <f>IF($R713="MTO","",
IF($H713=0,ROUNDUP(((_xlfn.XLOOKUP($A713,'[1]DATOS PBI Artículos'!$A:$A,'[1]DATOS PBI Artículos'!$AL:$AL))/(_xlfn.XLOOKUP($AF$1,[1]CRITERIOS!$S$16:$S$39,[1]CRITERIOS!$Y$16:$Y$39))*$J713+$Z713)/$G713,0)*$G713,
((_xlfn.XLOOKUP($A713,'[1]DATOS PBI Artículos'!$A:$A,'[1]DATOS PBI Artículos'!$AL:$AL))/(_xlfn.XLOOKUP($AF$1,[1]CRITERIOS!$S$16:$S$39,[1]CRITERIOS!$Y$16:$Y$39))*$J713+$Z713)))</f>
        <v>#N/A</v>
      </c>
      <c r="AG713" s="39" t="e">
        <f>IF($R713="MTO","",
IF($H713=0,ROUNDUP(((_xlfn.XLOOKUP($A713,'[1]DATOS PBI Artículos'!$A:$A,'[1]DATOS PBI Artículos'!$AM:$AM))/(_xlfn.XLOOKUP($AH$1,[1]CRITERIOS!$S$16:$S$39,[1]CRITERIOS!$Y$16:$Y$39))*$J713+$Z713)/$G713,0)*$G713,
((_xlfn.XLOOKUP($A713,'[1]DATOS PBI Artículos'!$A:$A,'[1]DATOS PBI Artículos'!$AM:$AM))/(_xlfn.XLOOKUP($AH$1,[1]CRITERIOS!$S$16:$S$39,[1]CRITERIOS!$Y$16:$Y$39))*$J713+$Z713)))</f>
        <v>#N/A</v>
      </c>
      <c r="AI713" s="39" t="e">
        <f>IF($R713="MTO","",
IF($H713=0,ROUNDUP(((_xlfn.XLOOKUP($A713,'[1]DATOS PBI Artículos'!$A:$A,'[1]DATOS PBI Artículos'!$AN:$AN))/(_xlfn.XLOOKUP($AJ$1,[1]CRITERIOS!$S$16:$S$39,[1]CRITERIOS!$Y$16:$Y$39))*$J713+$Z713)/$G713,0)*$G713,
((_xlfn.XLOOKUP($A713,'[1]DATOS PBI Artículos'!$A:$A,'[1]DATOS PBI Artículos'!$AN:$AN))/(_xlfn.XLOOKUP($AJ$1,[1]CRITERIOS!$S$16:$S$39,[1]CRITERIOS!$Y$16:$Y$39))*$J713+$Z713)))</f>
        <v>#N/A</v>
      </c>
      <c r="AK713" s="39" t="e">
        <f>IF($R713="MTO","",
IF($H713=0,ROUNDUP(((_xlfn.XLOOKUP($A713,'[1]DATOS PBI Artículos'!$A:$A,'[1]DATOS PBI Artículos'!$AO:$AO))/(_xlfn.XLOOKUP($AL$1,[1]CRITERIOS!$S$16:$S$39,[1]CRITERIOS!$Y$16:$Y$39))*$J713+$Z713)/$G713,0)*$G713,
((_xlfn.XLOOKUP($A713,'[1]DATOS PBI Artículos'!$A:$A,'[1]DATOS PBI Artículos'!$AO:$AO))/(_xlfn.XLOOKUP($AL$1,[1]CRITERIOS!$S$16:$S$39,[1]CRITERIOS!$Y$16:$Y$39))*$J713+$Z713)))</f>
        <v>#N/A</v>
      </c>
    </row>
    <row r="714" spans="1:37" ht="25.8" hidden="1" x14ac:dyDescent="0.4">
      <c r="A714" s="41"/>
      <c r="B714" s="33">
        <f>_xlfn.XLOOKUP($A714,'[1]DATOS PBI Artículos'!A:A,'[1]DATOS PBI Artículos'!B:B)</f>
        <v>0</v>
      </c>
      <c r="C714" s="33">
        <f>_xlfn.XLOOKUP($A714,'[1]DATOS PBI Artículos'!A:A,'[1]DATOS PBI Artículos'!C:C)</f>
        <v>0</v>
      </c>
      <c r="D714" s="33">
        <f>_xlfn.XLOOKUP(A714,'[1]DATOS PBI Artículos'!A:A,'[1]DATOS PBI Artículos'!T:T)</f>
        <v>0</v>
      </c>
      <c r="E714" s="34">
        <f>IF(_xlfn.XLOOKUP($A714,'[1]DATOS PBI Artículos'!A:A,'[1]DATOS PBI Artículos'!AK:AK)="",_xlfn.XLOOKUP($A714,'[1]DATOS PBI Artículos'!A:A,'[1]DATOS PBI Artículos'!AJ:AJ),_xlfn.XLOOKUP($A714,'[1]DATOS PBI Artículos'!A:A,'[1]DATOS PBI Artículos'!AK:AK))</f>
        <v>0</v>
      </c>
      <c r="F714" s="35">
        <f>_xlfn.XLOOKUP($A714,'[1]DATOS PBI Artículos'!A:A,'[1]DATOS PBI Artículos'!AP:AP)</f>
        <v>0</v>
      </c>
      <c r="G714" s="34">
        <f>_xlfn.XLOOKUP($A714,'[1]DATOS PBI Artículos'!A:A,'[1]DATOS PBI Artículos'!AR:AR)</f>
        <v>0</v>
      </c>
      <c r="H714" s="34">
        <f>_xlfn.XLOOKUP($A714,'[1]DATOS PBI Artículos'!A:A,'[1]DATOS PBI Artículos'!AT:AT)</f>
        <v>0</v>
      </c>
      <c r="I714" s="34">
        <f>_xlfn.XLOOKUP($A714,'[1]DATOS PBI Artículos'!A:A,'[1]DATOS PBI Artículos'!AS:AS)</f>
        <v>0</v>
      </c>
      <c r="J714" s="35">
        <f>IF(COUNTIF([1]CRITERIOS!$F$179:$F$199,$A714)&gt;=1,
 IF(O714&lt;&gt;"",
    (O714/_xlfn.XLOOKUP(CONCATENATE(A714,L714),[1]MÁQUINAS!A:A,[1]MÁQUINAS!D:D))/24,
    (N714/_xlfn.XLOOKUP(CONCATENATE(A714,L714),[1]MÁQUINAS!A:A,[1]MÁQUINAS!D:D))/24),
  _xlfn.XLOOKUP($A714,'[1]DATOS PBI Artículos'!A:A,'[1]DATOS PBI Artículos'!AU:AU))</f>
        <v>0</v>
      </c>
      <c r="K714" s="36">
        <f>_xlfn.XLOOKUP($A714,'[1]DATOS PBI Artículos'!A:A,'[1]DATOS PBI Artículos'!AV:AV)</f>
        <v>0</v>
      </c>
      <c r="L714" s="33">
        <f>_xlfn.XLOOKUP(A714,[1]MÁQUINAS!B:B,[1]MÁQUINAS!C:C)</f>
        <v>0</v>
      </c>
      <c r="M714" s="34">
        <f t="array" ref="M714">_xlfn.XLOOKUP(A714,'[1]DATOS PBI Artículos'!A:A,'[1]DATOS PBI Artículos'!AX:$AX)</f>
        <v>0</v>
      </c>
      <c r="N714" s="37" t="e">
        <f>IF(I714="DV",
E714,
IF(COUNTIF([1]CRITERIOS!$I$179:$I$199,$A714)&gt;=1,
_xlfn.XLOOKUP($A714,[1]CRITERIOS!$I$179:$I$199,[1]CRITERIOS!$J$179:$J$199),
IF(COUNTIF([1]CRITERIOS!$L$179:$L$199,$A714)&gt;=1,
_xlfn.CEILING.MATH(IF($M714&gt;$E714,
$E714,
IF($M714&lt;$E714/ROUNDDOWN([1]CRITERIOS!$M$16/_xlfn.XLOOKUP($C714,[1]CRITERIOS!$K$25:$K$42,[1]CRITERIOS!$M$25:$M$42),
1),
E714/ROUNDDOWN([1]CRITERIOS!$M$16/_xlfn.XLOOKUP($C714,[1]CRITERIOS!$K$25:$K$42,[1]CRITERIOS!$M$25:$M$42),
1),
$M714)),
_xlfn.XLOOKUP($A714,[1]CRITERIOS!$L$179:$L$200,[1]CRITERIOS!$M$179:$M$200)),
_xlfn.CEILING.MATH(IF($M714&gt;$E714,
$E714,
IF($M714&lt;$E714/ROUNDDOWN([1]CRITERIOS!$M$16/_xlfn.XLOOKUP($C714,[1]CRITERIOS!$K$25:$K$42,[1]CRITERIOS!$M$25:$M$42),
1),
E714/ROUNDDOWN([1]CRITERIOS!$M$16/_xlfn.XLOOKUP($C714,[1]CRITERIOS!$K$25:$K$42,[1]CRITERIOS!$M$25:$M$42),
1),
$M714)),_xlfn.XLOOKUP(A714,'[1]DATOS PBI Artículos'!A:A,'[1]DATOS PBI Artículos'!Z:Z
)))))</f>
        <v>#N/A</v>
      </c>
      <c r="Q714" s="38" t="e">
        <f>IF(AND(O714="",N714=0),
0,
   IF(COUNTIF([1]CRITERIOS!$F$179:$F$199,$A714)&gt;=1,
   1,
   IF(R714="MTO",
      $D714,
      ROUNDUP(
                    IF(($E714-SUMIF('[1]DATOS PBI Artículos'!A:A,A714,'[1]DATOS PBI Artículos'!X:X)+($V714-_xlfn.XLOOKUP(A714,'[1]DATOS PBI Artículos'!A:A,'[1]DATOS PBI Artículos'!W:W)))&lt;0,
                    0,
                    IF(($E714-SUMIF('[1]DATOS PBI Artículos'!A:A,A714,'[1]DATOS PBI Artículos'!X:X)+$V714-_xlfn.XLOOKUP($A714,'[1]DATOS PBI Artículos'!A:A,'[1]DATOS PBI Artículos'!W:W))/IF($O714="",$N714,$O714)&gt;ROUNDUP([1]CRITERIOS!$M$16/(IF(COUNTIF([1]CRITERIOS!$BG$11:$BG$201,L714)&gt;=1,_xlfn.XLOOKUP($C714,[1]CRITERIOS!$K$25:$K$42,[1]CRITERIOS!$M$25:$M$42),_xlfn.XLOOKUP($C714,[1]CRITERIOS!$K$25:$K$42,[1]CRITERIOS!$M$25:$M$42))),0),
                    ROUNDUP([1]CRITERIOS!$M$16/(IF(COUNTIF([1]CRITERIOS!$BG$11:$BG$201,$L714)&gt;=1,_xlfn.XLOOKUP($C714,[1]CRITERIOS!$K$25:$K$42,[1]CRITERIOS!$M$25:$M$42),_xlfn.XLOOKUP($C714,[1]CRITERIOS!$K$25:$K$42,[1]CRITERIOS!$M$25:$M$42))),0),
                    (E714+V714-SUMIF('[1]DATOS PBI Artículos'!A:A,A714,'[1]DATOS PBI Artículos'!X:X)-_xlfn.XLOOKUP(A714,'[1]DATOS PBI Artículos'!A:A,'[1]DATOS PBI Artículos'!W:W))/IF($O714="",$N714,$O714))),0))))</f>
        <v>#N/A</v>
      </c>
      <c r="R714" s="33" t="e">
        <f>IF(U714&lt;&gt;"",U714,IF(F714="DV","MTO",IF(N714=0,"MTO",_xlfn.XLOOKUP(CONCATENATE(S714,T714),[1]CRITERIOS!$K$160:$K$168,[1]CRITERIOS!$N$160:$N$168))))</f>
        <v>#N/A</v>
      </c>
      <c r="S714" s="33" t="e">
        <f>IF(G714="DV","MTO",IF(N714=0,"MTO",IF(OR(AND(N714=0,O714=""),IF(O714="",G714/N714,G714/O714)&gt;[1]CRITERIOS!$G$163),"MTO",IF(IF(O714="",G714/N714,G714/O714)&lt;[1]CRITERIOS!$H$161,"MTS","MTOS"))))</f>
        <v>#N/A</v>
      </c>
      <c r="T714" s="33" t="e">
        <f>IF(F714="DV","MTO",IF(OR(AND($N714=0,O714=""),$F714/$J714&gt;[1]CRITERIOS!$G$170,$F714="DV"),"MTO",IF($F714/$J714&lt;[1]CRITERIOS!$H$168,"MTS","MTOS")))</f>
        <v>#N/A</v>
      </c>
      <c r="V714" s="34" t="e">
        <f t="shared" si="34"/>
        <v>#N/A</v>
      </c>
      <c r="X714" s="34" t="e">
        <f t="shared" si="35"/>
        <v>#N/A</v>
      </c>
      <c r="Y714" s="34" t="e">
        <f t="shared" si="36"/>
        <v>#N/A</v>
      </c>
      <c r="Z714" s="34" t="e">
        <f>IF($R714="MTO",
0,
($H714+$K714*($E714/[1]CRITERIOS!$M$16))/[1]CRITERIOS!$X$48)</f>
        <v>#N/A</v>
      </c>
      <c r="AA714" s="34" t="e">
        <f>ROUNDUP(($Y714/_xlfn.XLOOKUP($A714,'[1]DATOS PBI Artículos'!$A$4:$A$4,'[1]DATOS PBI Artículos'!$Z$4:$Z$4))/_xlfn.XLOOKUP(_xlfn.XLOOKUP($A714,'[1]DATOS PBI Artículos'!$A$4:$A$4,'[1]DATOS PBI Artículos'!$Y$4:$Y$4),[1]CRITERIOS!$P$79:$P$123,[1]CRITERIOS!$S$79:$S$123,),0)</f>
        <v>#N/A</v>
      </c>
      <c r="AB714" s="33" t="e">
        <f t="array" ref="AB714">IF((E714+V714-_xlfn.XLOOKUP(A714,'[1]DATOS PBI Artículos'!$A$4:$A$4,'[1]DATOS PBI Artículos'!$W$4:$W$4))/N714&gt;ROUNDUP([1]CRITERIOS!$M$16/(IF(COUNTIF([1]CRITERIOS!$BG$11:$BG$201,L714)&gt;=1,_xlfn.XLOOKUP(ARTÍCULOS!L714,[1]CRITERIOS!$BG$11:$BG$201,[1]CRITERIOS!$BJ$11:$BJ$201),_xlfn.XLOOKUP(ARTÍCULOS!C714,[1]CRITERIOS!$K$25:$K$42,[1]CRITERIOS!$M$25:$M$42))),0),ROUNDUP([1]CRITERIOS!$M$16/(IF(COUNTIF([1]CRITERIOS!$BG$11:$BG$201,L714)&gt;=1,_xlfn.XLOOKUP(ARTÍCULOS!L714,[1]CRITERIOS!$BG$11:$BG$201:#REF!,[1]CRITERIOS!$BJ$11:$BJ$201),_xlfn.XLOOKUP(ARTÍCULOS!C714,[1]CRITERIOS!$K$25:$K$42,[1]CRITERIOS!$M$25:$M$42))),0),(E714+V714-_xlfn.XLOOKUP(A714,'[1]DATOS PBI Artículos'!$A$4:$A$4,'[1]DATOS PBI Artículos'!$W$4:$W$4))/N714)</f>
        <v>#N/A</v>
      </c>
      <c r="AC714" s="33" t="e">
        <f>IF(N714=0,"",(ROUNDUP((N714/2)/(_xlfn.XLOOKUP(A714,'[1]DATOS PBI Artículos'!$A$4:$A$4,'[1]DATOS PBI Artículos'!$Z$4:$Z$4)*_xlfn.XLOOKUP(_xlfn.XLOOKUP(A714,'[1]DATOS PBI Artículos'!$A$4:$A$4,'[1]DATOS PBI Artículos'!$Y$4:$Y$4),[1]CRITERIOS!$P$79:$P$123,[1]CRITERIOS!$S$79:$S$123)),0)*[1]CRITERIOS!$M$80*([1]CRITERIOS!$M$110/[1]CRITERIOS!$M$86)+(_xlfn.XLOOKUP(A714,'[1]DATOS PBI Artículos'!$A$4:$A$4,'[1]DATOS PBI Artículos'!$AA$4:$AA$4)*([1]CRITERIOS!$M$95+[1]CRITERIOS!$M$98)))/N714)</f>
        <v>#N/A</v>
      </c>
      <c r="AD714" s="33" t="e">
        <f>IF(N714=0,"",(ROUNDUP((N714/2)/(_xlfn.XLOOKUP(A714,'[1]DATOS PBI Artículos'!$A$4:$A$4,'[1]DATOS PBI Artículos'!$Z$4:$Z$4)*_xlfn.XLOOKUP(_xlfn.XLOOKUP(A714,'[1]DATOS PBI Artículos'!$A$4:$A$4,'[1]DATOS PBI Artículos'!$Y$4:$Y$4),[1]CRITERIOS!$P$79:$P$123,[1]CRITERIOS!$S$79:$S$123)),0)*[1]CRITERIOS!$M$80*([1]CRITERIOS!$M$89*[1]CRITERIOS!$M$92)+((_xlfn.XLOOKUP(A714,'[1]DATOS PBI Artículos'!$A$4:$A$4,'[1]DATOS PBI Artículos'!$AA$4:$AA$4)/2)*([1]CRITERIOS!$M$95+[1]CRITERIOS!$M$98)))/N714)</f>
        <v>#N/A</v>
      </c>
      <c r="AE714" s="39" t="e">
        <f>IF($R714="MTO","",
IF($H714=0,ROUNDUP(((_xlfn.XLOOKUP($A714,'[1]DATOS PBI Artículos'!$A:$A,'[1]DATOS PBI Artículos'!$AL:$AL))/(_xlfn.XLOOKUP($AF$1,[1]CRITERIOS!$S$16:$S$39,[1]CRITERIOS!$Y$16:$Y$39))*$J714+$Z714)/$G714,0)*$G714,
((_xlfn.XLOOKUP($A714,'[1]DATOS PBI Artículos'!$A:$A,'[1]DATOS PBI Artículos'!$AL:$AL))/(_xlfn.XLOOKUP($AF$1,[1]CRITERIOS!$S$16:$S$39,[1]CRITERIOS!$Y$16:$Y$39))*$J714+$Z714)))</f>
        <v>#N/A</v>
      </c>
      <c r="AG714" s="39" t="e">
        <f>IF($R714="MTO","",
IF($H714=0,ROUNDUP(((_xlfn.XLOOKUP($A714,'[1]DATOS PBI Artículos'!$A:$A,'[1]DATOS PBI Artículos'!$AM:$AM))/(_xlfn.XLOOKUP($AH$1,[1]CRITERIOS!$S$16:$S$39,[1]CRITERIOS!$Y$16:$Y$39))*$J714+$Z714)/$G714,0)*$G714,
((_xlfn.XLOOKUP($A714,'[1]DATOS PBI Artículos'!$A:$A,'[1]DATOS PBI Artículos'!$AM:$AM))/(_xlfn.XLOOKUP($AH$1,[1]CRITERIOS!$S$16:$S$39,[1]CRITERIOS!$Y$16:$Y$39))*$J714+$Z714)))</f>
        <v>#N/A</v>
      </c>
      <c r="AI714" s="39" t="e">
        <f>IF($R714="MTO","",
IF($H714=0,ROUNDUP(((_xlfn.XLOOKUP($A714,'[1]DATOS PBI Artículos'!$A:$A,'[1]DATOS PBI Artículos'!$AN:$AN))/(_xlfn.XLOOKUP($AJ$1,[1]CRITERIOS!$S$16:$S$39,[1]CRITERIOS!$Y$16:$Y$39))*$J714+$Z714)/$G714,0)*$G714,
((_xlfn.XLOOKUP($A714,'[1]DATOS PBI Artículos'!$A:$A,'[1]DATOS PBI Artículos'!$AN:$AN))/(_xlfn.XLOOKUP($AJ$1,[1]CRITERIOS!$S$16:$S$39,[1]CRITERIOS!$Y$16:$Y$39))*$J714+$Z714)))</f>
        <v>#N/A</v>
      </c>
      <c r="AK714" s="39" t="e">
        <f>IF($R714="MTO","",
IF($H714=0,ROUNDUP(((_xlfn.XLOOKUP($A714,'[1]DATOS PBI Artículos'!$A:$A,'[1]DATOS PBI Artículos'!$AO:$AO))/(_xlfn.XLOOKUP($AL$1,[1]CRITERIOS!$S$16:$S$39,[1]CRITERIOS!$Y$16:$Y$39))*$J714+$Z714)/$G714,0)*$G714,
((_xlfn.XLOOKUP($A714,'[1]DATOS PBI Artículos'!$A:$A,'[1]DATOS PBI Artículos'!$AO:$AO))/(_xlfn.XLOOKUP($AL$1,[1]CRITERIOS!$S$16:$S$39,[1]CRITERIOS!$Y$16:$Y$39))*$J714+$Z714)))</f>
        <v>#N/A</v>
      </c>
    </row>
    <row r="715" spans="1:37" ht="25.8" hidden="1" x14ac:dyDescent="0.4">
      <c r="A715" s="41"/>
      <c r="B715" s="33">
        <f>_xlfn.XLOOKUP($A715,'[1]DATOS PBI Artículos'!A:A,'[1]DATOS PBI Artículos'!B:B)</f>
        <v>0</v>
      </c>
      <c r="C715" s="33">
        <f>_xlfn.XLOOKUP($A715,'[1]DATOS PBI Artículos'!A:A,'[1]DATOS PBI Artículos'!C:C)</f>
        <v>0</v>
      </c>
      <c r="D715" s="33">
        <f>_xlfn.XLOOKUP(A715,'[1]DATOS PBI Artículos'!A:A,'[1]DATOS PBI Artículos'!T:T)</f>
        <v>0</v>
      </c>
      <c r="E715" s="34">
        <f>IF(_xlfn.XLOOKUP($A715,'[1]DATOS PBI Artículos'!A:A,'[1]DATOS PBI Artículos'!AK:AK)="",_xlfn.XLOOKUP($A715,'[1]DATOS PBI Artículos'!A:A,'[1]DATOS PBI Artículos'!AJ:AJ),_xlfn.XLOOKUP($A715,'[1]DATOS PBI Artículos'!A:A,'[1]DATOS PBI Artículos'!AK:AK))</f>
        <v>0</v>
      </c>
      <c r="F715" s="35">
        <f>_xlfn.XLOOKUP($A715,'[1]DATOS PBI Artículos'!A:A,'[1]DATOS PBI Artículos'!AP:AP)</f>
        <v>0</v>
      </c>
      <c r="G715" s="34">
        <f>_xlfn.XLOOKUP($A715,'[1]DATOS PBI Artículos'!A:A,'[1]DATOS PBI Artículos'!AR:AR)</f>
        <v>0</v>
      </c>
      <c r="H715" s="34">
        <f>_xlfn.XLOOKUP($A715,'[1]DATOS PBI Artículos'!A:A,'[1]DATOS PBI Artículos'!AT:AT)</f>
        <v>0</v>
      </c>
      <c r="I715" s="34">
        <f>_xlfn.XLOOKUP($A715,'[1]DATOS PBI Artículos'!A:A,'[1]DATOS PBI Artículos'!AS:AS)</f>
        <v>0</v>
      </c>
      <c r="J715" s="35">
        <f>IF(COUNTIF([1]CRITERIOS!$F$179:$F$199,$A715)&gt;=1,
 IF(O715&lt;&gt;"",
    (O715/_xlfn.XLOOKUP(CONCATENATE(A715,L715),[1]MÁQUINAS!A:A,[1]MÁQUINAS!D:D))/24,
    (N715/_xlfn.XLOOKUP(CONCATENATE(A715,L715),[1]MÁQUINAS!A:A,[1]MÁQUINAS!D:D))/24),
  _xlfn.XLOOKUP($A715,'[1]DATOS PBI Artículos'!A:A,'[1]DATOS PBI Artículos'!AU:AU))</f>
        <v>0</v>
      </c>
      <c r="K715" s="36">
        <f>_xlfn.XLOOKUP($A715,'[1]DATOS PBI Artículos'!A:A,'[1]DATOS PBI Artículos'!AV:AV)</f>
        <v>0</v>
      </c>
      <c r="L715" s="33">
        <f>_xlfn.XLOOKUP(A715,[1]MÁQUINAS!B:B,[1]MÁQUINAS!C:C)</f>
        <v>0</v>
      </c>
      <c r="M715" s="34">
        <f t="array" ref="M715">_xlfn.XLOOKUP(A715,'[1]DATOS PBI Artículos'!A:A,'[1]DATOS PBI Artículos'!AX:$AX)</f>
        <v>0</v>
      </c>
      <c r="N715" s="37" t="e">
        <f>IF(I715="DV",
E715,
IF(COUNTIF([1]CRITERIOS!$I$179:$I$199,$A715)&gt;=1,
_xlfn.XLOOKUP($A715,[1]CRITERIOS!$I$179:$I$199,[1]CRITERIOS!$J$179:$J$199),
IF(COUNTIF([1]CRITERIOS!$L$179:$L$199,$A715)&gt;=1,
_xlfn.CEILING.MATH(IF($M715&gt;$E715,
$E715,
IF($M715&lt;$E715/ROUNDDOWN([1]CRITERIOS!$M$16/_xlfn.XLOOKUP($C715,[1]CRITERIOS!$K$25:$K$42,[1]CRITERIOS!$M$25:$M$42),
1),
E715/ROUNDDOWN([1]CRITERIOS!$M$16/_xlfn.XLOOKUP($C715,[1]CRITERIOS!$K$25:$K$42,[1]CRITERIOS!$M$25:$M$42),
1),
$M715)),
_xlfn.XLOOKUP($A715,[1]CRITERIOS!$L$179:$L$200,[1]CRITERIOS!$M$179:$M$200)),
_xlfn.CEILING.MATH(IF($M715&gt;$E715,
$E715,
IF($M715&lt;$E715/ROUNDDOWN([1]CRITERIOS!$M$16/_xlfn.XLOOKUP($C715,[1]CRITERIOS!$K$25:$K$42,[1]CRITERIOS!$M$25:$M$42),
1),
E715/ROUNDDOWN([1]CRITERIOS!$M$16/_xlfn.XLOOKUP($C715,[1]CRITERIOS!$K$25:$K$42,[1]CRITERIOS!$M$25:$M$42),
1),
$M715)),_xlfn.XLOOKUP(A715,'[1]DATOS PBI Artículos'!A:A,'[1]DATOS PBI Artículos'!Z:Z
)))))</f>
        <v>#N/A</v>
      </c>
      <c r="Q715" s="38" t="e">
        <f>IF(AND(O715="",N715=0),
0,
   IF(COUNTIF([1]CRITERIOS!$F$179:$F$199,$A715)&gt;=1,
   1,
   IF(R715="MTO",
      $D715,
      ROUNDUP(
                    IF(($E715-SUMIF('[1]DATOS PBI Artículos'!A:A,A715,'[1]DATOS PBI Artículos'!X:X)+($V715-_xlfn.XLOOKUP(A715,'[1]DATOS PBI Artículos'!A:A,'[1]DATOS PBI Artículos'!W:W)))&lt;0,
                    0,
                    IF(($E715-SUMIF('[1]DATOS PBI Artículos'!A:A,A715,'[1]DATOS PBI Artículos'!X:X)+$V715-_xlfn.XLOOKUP($A715,'[1]DATOS PBI Artículos'!A:A,'[1]DATOS PBI Artículos'!W:W))/IF($O715="",$N715,$O715)&gt;ROUNDUP([1]CRITERIOS!$M$16/(IF(COUNTIF([1]CRITERIOS!$BG$11:$BG$201,L715)&gt;=1,_xlfn.XLOOKUP($C715,[1]CRITERIOS!$K$25:$K$42,[1]CRITERIOS!$M$25:$M$42),_xlfn.XLOOKUP($C715,[1]CRITERIOS!$K$25:$K$42,[1]CRITERIOS!$M$25:$M$42))),0),
                    ROUNDUP([1]CRITERIOS!$M$16/(IF(COUNTIF([1]CRITERIOS!$BG$11:$BG$201,$L715)&gt;=1,_xlfn.XLOOKUP($C715,[1]CRITERIOS!$K$25:$K$42,[1]CRITERIOS!$M$25:$M$42),_xlfn.XLOOKUP($C715,[1]CRITERIOS!$K$25:$K$42,[1]CRITERIOS!$M$25:$M$42))),0),
                    (E715+V715-SUMIF('[1]DATOS PBI Artículos'!A:A,A715,'[1]DATOS PBI Artículos'!X:X)-_xlfn.XLOOKUP(A715,'[1]DATOS PBI Artículos'!A:A,'[1]DATOS PBI Artículos'!W:W))/IF($O715="",$N715,$O715))),0))))</f>
        <v>#N/A</v>
      </c>
      <c r="R715" s="33" t="e">
        <f>IF(U715&lt;&gt;"",U715,IF(F715="DV","MTO",IF(N715=0,"MTO",_xlfn.XLOOKUP(CONCATENATE(S715,T715),[1]CRITERIOS!$K$160:$K$168,[1]CRITERIOS!$N$160:$N$168))))</f>
        <v>#N/A</v>
      </c>
      <c r="S715" s="33" t="e">
        <f>IF(G715="DV","MTO",IF(N715=0,"MTO",IF(OR(AND(N715=0,O715=""),IF(O715="",G715/N715,G715/O715)&gt;[1]CRITERIOS!$G$163),"MTO",IF(IF(O715="",G715/N715,G715/O715)&lt;[1]CRITERIOS!$H$161,"MTS","MTOS"))))</f>
        <v>#N/A</v>
      </c>
      <c r="T715" s="33" t="e">
        <f>IF(F715="DV","MTO",IF(OR(AND($N715=0,O715=""),$F715/$J715&gt;[1]CRITERIOS!$G$170,$F715="DV"),"MTO",IF($F715/$J715&lt;[1]CRITERIOS!$H$168,"MTS","MTOS")))</f>
        <v>#N/A</v>
      </c>
      <c r="V715" s="34" t="e">
        <f t="shared" si="34"/>
        <v>#N/A</v>
      </c>
      <c r="X715" s="34" t="e">
        <f t="shared" si="35"/>
        <v>#N/A</v>
      </c>
      <c r="Y715" s="34" t="e">
        <f t="shared" si="36"/>
        <v>#N/A</v>
      </c>
      <c r="Z715" s="34" t="e">
        <f>IF($R715="MTO",
0,
($H715+$K715*($E715/[1]CRITERIOS!$M$16))/[1]CRITERIOS!$X$48)</f>
        <v>#N/A</v>
      </c>
      <c r="AA715" s="34" t="e">
        <f>ROUNDUP(($Y715/_xlfn.XLOOKUP($A715,'[1]DATOS PBI Artículos'!$A$4:$A$4,'[1]DATOS PBI Artículos'!$Z$4:$Z$4))/_xlfn.XLOOKUP(_xlfn.XLOOKUP($A715,'[1]DATOS PBI Artículos'!$A$4:$A$4,'[1]DATOS PBI Artículos'!$Y$4:$Y$4),[1]CRITERIOS!$P$79:$P$123,[1]CRITERIOS!$S$79:$S$123,),0)</f>
        <v>#N/A</v>
      </c>
      <c r="AB715" s="33" t="e">
        <f t="array" ref="AB715">IF((E715+V715-_xlfn.XLOOKUP(A715,'[1]DATOS PBI Artículos'!$A$4:$A$4,'[1]DATOS PBI Artículos'!$W$4:$W$4))/N715&gt;ROUNDUP([1]CRITERIOS!$M$16/(IF(COUNTIF([1]CRITERIOS!$BG$11:$BG$201,L715)&gt;=1,_xlfn.XLOOKUP(ARTÍCULOS!L715,[1]CRITERIOS!$BG$11:$BG$201,[1]CRITERIOS!$BJ$11:$BJ$201),_xlfn.XLOOKUP(ARTÍCULOS!C715,[1]CRITERIOS!$K$25:$K$42,[1]CRITERIOS!$M$25:$M$42))),0),ROUNDUP([1]CRITERIOS!$M$16/(IF(COUNTIF([1]CRITERIOS!$BG$11:$BG$201,L715)&gt;=1,_xlfn.XLOOKUP(ARTÍCULOS!L715,[1]CRITERIOS!$BG$11:$BG$201:#REF!,[1]CRITERIOS!$BJ$11:$BJ$201),_xlfn.XLOOKUP(ARTÍCULOS!C715,[1]CRITERIOS!$K$25:$K$42,[1]CRITERIOS!$M$25:$M$42))),0),(E715+V715-_xlfn.XLOOKUP(A715,'[1]DATOS PBI Artículos'!$A$4:$A$4,'[1]DATOS PBI Artículos'!$W$4:$W$4))/N715)</f>
        <v>#N/A</v>
      </c>
      <c r="AC715" s="33" t="e">
        <f>IF(N715=0,"",(ROUNDUP((N715/2)/(_xlfn.XLOOKUP(A715,'[1]DATOS PBI Artículos'!$A$4:$A$4,'[1]DATOS PBI Artículos'!$Z$4:$Z$4)*_xlfn.XLOOKUP(_xlfn.XLOOKUP(A715,'[1]DATOS PBI Artículos'!$A$4:$A$4,'[1]DATOS PBI Artículos'!$Y$4:$Y$4),[1]CRITERIOS!$P$79:$P$123,[1]CRITERIOS!$S$79:$S$123)),0)*[1]CRITERIOS!$M$80*([1]CRITERIOS!$M$110/[1]CRITERIOS!$M$86)+(_xlfn.XLOOKUP(A715,'[1]DATOS PBI Artículos'!$A$4:$A$4,'[1]DATOS PBI Artículos'!$AA$4:$AA$4)*([1]CRITERIOS!$M$95+[1]CRITERIOS!$M$98)))/N715)</f>
        <v>#N/A</v>
      </c>
      <c r="AD715" s="33" t="e">
        <f>IF(N715=0,"",(ROUNDUP((N715/2)/(_xlfn.XLOOKUP(A715,'[1]DATOS PBI Artículos'!$A$4:$A$4,'[1]DATOS PBI Artículos'!$Z$4:$Z$4)*_xlfn.XLOOKUP(_xlfn.XLOOKUP(A715,'[1]DATOS PBI Artículos'!$A$4:$A$4,'[1]DATOS PBI Artículos'!$Y$4:$Y$4),[1]CRITERIOS!$P$79:$P$123,[1]CRITERIOS!$S$79:$S$123)),0)*[1]CRITERIOS!$M$80*([1]CRITERIOS!$M$89*[1]CRITERIOS!$M$92)+((_xlfn.XLOOKUP(A715,'[1]DATOS PBI Artículos'!$A$4:$A$4,'[1]DATOS PBI Artículos'!$AA$4:$AA$4)/2)*([1]CRITERIOS!$M$95+[1]CRITERIOS!$M$98)))/N715)</f>
        <v>#N/A</v>
      </c>
      <c r="AE715" s="39" t="e">
        <f>IF($R715="MTO","",
IF($H715=0,ROUNDUP(((_xlfn.XLOOKUP($A715,'[1]DATOS PBI Artículos'!$A:$A,'[1]DATOS PBI Artículos'!$AL:$AL))/(_xlfn.XLOOKUP($AF$1,[1]CRITERIOS!$S$16:$S$39,[1]CRITERIOS!$Y$16:$Y$39))*$J715+$Z715)/$G715,0)*$G715,
((_xlfn.XLOOKUP($A715,'[1]DATOS PBI Artículos'!$A:$A,'[1]DATOS PBI Artículos'!$AL:$AL))/(_xlfn.XLOOKUP($AF$1,[1]CRITERIOS!$S$16:$S$39,[1]CRITERIOS!$Y$16:$Y$39))*$J715+$Z715)))</f>
        <v>#N/A</v>
      </c>
      <c r="AG715" s="39" t="e">
        <f>IF($R715="MTO","",
IF($H715=0,ROUNDUP(((_xlfn.XLOOKUP($A715,'[1]DATOS PBI Artículos'!$A:$A,'[1]DATOS PBI Artículos'!$AM:$AM))/(_xlfn.XLOOKUP($AH$1,[1]CRITERIOS!$S$16:$S$39,[1]CRITERIOS!$Y$16:$Y$39))*$J715+$Z715)/$G715,0)*$G715,
((_xlfn.XLOOKUP($A715,'[1]DATOS PBI Artículos'!$A:$A,'[1]DATOS PBI Artículos'!$AM:$AM))/(_xlfn.XLOOKUP($AH$1,[1]CRITERIOS!$S$16:$S$39,[1]CRITERIOS!$Y$16:$Y$39))*$J715+$Z715)))</f>
        <v>#N/A</v>
      </c>
      <c r="AI715" s="39" t="e">
        <f>IF($R715="MTO","",
IF($H715=0,ROUNDUP(((_xlfn.XLOOKUP($A715,'[1]DATOS PBI Artículos'!$A:$A,'[1]DATOS PBI Artículos'!$AN:$AN))/(_xlfn.XLOOKUP($AJ$1,[1]CRITERIOS!$S$16:$S$39,[1]CRITERIOS!$Y$16:$Y$39))*$J715+$Z715)/$G715,0)*$G715,
((_xlfn.XLOOKUP($A715,'[1]DATOS PBI Artículos'!$A:$A,'[1]DATOS PBI Artículos'!$AN:$AN))/(_xlfn.XLOOKUP($AJ$1,[1]CRITERIOS!$S$16:$S$39,[1]CRITERIOS!$Y$16:$Y$39))*$J715+$Z715)))</f>
        <v>#N/A</v>
      </c>
      <c r="AK715" s="39" t="e">
        <f>IF($R715="MTO","",
IF($H715=0,ROUNDUP(((_xlfn.XLOOKUP($A715,'[1]DATOS PBI Artículos'!$A:$A,'[1]DATOS PBI Artículos'!$AO:$AO))/(_xlfn.XLOOKUP($AL$1,[1]CRITERIOS!$S$16:$S$39,[1]CRITERIOS!$Y$16:$Y$39))*$J715+$Z715)/$G715,0)*$G715,
((_xlfn.XLOOKUP($A715,'[1]DATOS PBI Artículos'!$A:$A,'[1]DATOS PBI Artículos'!$AO:$AO))/(_xlfn.XLOOKUP($AL$1,[1]CRITERIOS!$S$16:$S$39,[1]CRITERIOS!$Y$16:$Y$39))*$J715+$Z715)))</f>
        <v>#N/A</v>
      </c>
    </row>
    <row r="716" spans="1:37" ht="25.8" hidden="1" x14ac:dyDescent="0.4">
      <c r="A716" s="41"/>
      <c r="B716" s="33">
        <f>_xlfn.XLOOKUP($A716,'[1]DATOS PBI Artículos'!A:A,'[1]DATOS PBI Artículos'!B:B)</f>
        <v>0</v>
      </c>
      <c r="C716" s="33">
        <f>_xlfn.XLOOKUP($A716,'[1]DATOS PBI Artículos'!A:A,'[1]DATOS PBI Artículos'!C:C)</f>
        <v>0</v>
      </c>
      <c r="D716" s="33">
        <f>_xlfn.XLOOKUP(A716,'[1]DATOS PBI Artículos'!A:A,'[1]DATOS PBI Artículos'!T:T)</f>
        <v>0</v>
      </c>
      <c r="E716" s="34">
        <f>IF(_xlfn.XLOOKUP($A716,'[1]DATOS PBI Artículos'!A:A,'[1]DATOS PBI Artículos'!AK:AK)="",_xlfn.XLOOKUP($A716,'[1]DATOS PBI Artículos'!A:A,'[1]DATOS PBI Artículos'!AJ:AJ),_xlfn.XLOOKUP($A716,'[1]DATOS PBI Artículos'!A:A,'[1]DATOS PBI Artículos'!AK:AK))</f>
        <v>0</v>
      </c>
      <c r="F716" s="35">
        <f>_xlfn.XLOOKUP($A716,'[1]DATOS PBI Artículos'!A:A,'[1]DATOS PBI Artículos'!AP:AP)</f>
        <v>0</v>
      </c>
      <c r="G716" s="34">
        <f>_xlfn.XLOOKUP($A716,'[1]DATOS PBI Artículos'!A:A,'[1]DATOS PBI Artículos'!AR:AR)</f>
        <v>0</v>
      </c>
      <c r="H716" s="34">
        <f>_xlfn.XLOOKUP($A716,'[1]DATOS PBI Artículos'!A:A,'[1]DATOS PBI Artículos'!AT:AT)</f>
        <v>0</v>
      </c>
      <c r="I716" s="34">
        <f>_xlfn.XLOOKUP($A716,'[1]DATOS PBI Artículos'!A:A,'[1]DATOS PBI Artículos'!AS:AS)</f>
        <v>0</v>
      </c>
      <c r="J716" s="35">
        <f>IF(COUNTIF([1]CRITERIOS!$F$179:$F$199,$A716)&gt;=1,
 IF(O716&lt;&gt;"",
    (O716/_xlfn.XLOOKUP(CONCATENATE(A716,L716),[1]MÁQUINAS!A:A,[1]MÁQUINAS!D:D))/24,
    (N716/_xlfn.XLOOKUP(CONCATENATE(A716,L716),[1]MÁQUINAS!A:A,[1]MÁQUINAS!D:D))/24),
  _xlfn.XLOOKUP($A716,'[1]DATOS PBI Artículos'!A:A,'[1]DATOS PBI Artículos'!AU:AU))</f>
        <v>0</v>
      </c>
      <c r="K716" s="36">
        <f>_xlfn.XLOOKUP($A716,'[1]DATOS PBI Artículos'!A:A,'[1]DATOS PBI Artículos'!AV:AV)</f>
        <v>0</v>
      </c>
      <c r="L716" s="33">
        <f>_xlfn.XLOOKUP(A716,[1]MÁQUINAS!B:B,[1]MÁQUINAS!C:C)</f>
        <v>0</v>
      </c>
      <c r="M716" s="34">
        <f t="array" ref="M716">_xlfn.XLOOKUP(A716,'[1]DATOS PBI Artículos'!A:A,'[1]DATOS PBI Artículos'!AX:$AX)</f>
        <v>0</v>
      </c>
      <c r="N716" s="37" t="e">
        <f>IF(I716="DV",
E716,
IF(COUNTIF([1]CRITERIOS!$I$179:$I$199,$A716)&gt;=1,
_xlfn.XLOOKUP($A716,[1]CRITERIOS!$I$179:$I$199,[1]CRITERIOS!$J$179:$J$199),
IF(COUNTIF([1]CRITERIOS!$L$179:$L$199,$A716)&gt;=1,
_xlfn.CEILING.MATH(IF($M716&gt;$E716,
$E716,
IF($M716&lt;$E716/ROUNDDOWN([1]CRITERIOS!$M$16/_xlfn.XLOOKUP($C716,[1]CRITERIOS!$K$25:$K$42,[1]CRITERIOS!$M$25:$M$42),
1),
E716/ROUNDDOWN([1]CRITERIOS!$M$16/_xlfn.XLOOKUP($C716,[1]CRITERIOS!$K$25:$K$42,[1]CRITERIOS!$M$25:$M$42),
1),
$M716)),
_xlfn.XLOOKUP($A716,[1]CRITERIOS!$L$179:$L$200,[1]CRITERIOS!$M$179:$M$200)),
_xlfn.CEILING.MATH(IF($M716&gt;$E716,
$E716,
IF($M716&lt;$E716/ROUNDDOWN([1]CRITERIOS!$M$16/_xlfn.XLOOKUP($C716,[1]CRITERIOS!$K$25:$K$42,[1]CRITERIOS!$M$25:$M$42),
1),
E716/ROUNDDOWN([1]CRITERIOS!$M$16/_xlfn.XLOOKUP($C716,[1]CRITERIOS!$K$25:$K$42,[1]CRITERIOS!$M$25:$M$42),
1),
$M716)),_xlfn.XLOOKUP(A716,'[1]DATOS PBI Artículos'!A:A,'[1]DATOS PBI Artículos'!Z:Z
)))))</f>
        <v>#N/A</v>
      </c>
      <c r="Q716" s="38" t="e">
        <f>IF(AND(O716="",N716=0),
0,
   IF(COUNTIF([1]CRITERIOS!$F$179:$F$199,$A716)&gt;=1,
   1,
   IF(R716="MTO",
      $D716,
      ROUNDUP(
                    IF(($E716-SUMIF('[1]DATOS PBI Artículos'!A:A,A716,'[1]DATOS PBI Artículos'!X:X)+($V716-_xlfn.XLOOKUP(A716,'[1]DATOS PBI Artículos'!A:A,'[1]DATOS PBI Artículos'!W:W)))&lt;0,
                    0,
                    IF(($E716-SUMIF('[1]DATOS PBI Artículos'!A:A,A716,'[1]DATOS PBI Artículos'!X:X)+$V716-_xlfn.XLOOKUP($A716,'[1]DATOS PBI Artículos'!A:A,'[1]DATOS PBI Artículos'!W:W))/IF($O716="",$N716,$O716)&gt;ROUNDUP([1]CRITERIOS!$M$16/(IF(COUNTIF([1]CRITERIOS!$BG$11:$BG$201,L716)&gt;=1,_xlfn.XLOOKUP($C716,[1]CRITERIOS!$K$25:$K$42,[1]CRITERIOS!$M$25:$M$42),_xlfn.XLOOKUP($C716,[1]CRITERIOS!$K$25:$K$42,[1]CRITERIOS!$M$25:$M$42))),0),
                    ROUNDUP([1]CRITERIOS!$M$16/(IF(COUNTIF([1]CRITERIOS!$BG$11:$BG$201,$L716)&gt;=1,_xlfn.XLOOKUP($C716,[1]CRITERIOS!$K$25:$K$42,[1]CRITERIOS!$M$25:$M$42),_xlfn.XLOOKUP($C716,[1]CRITERIOS!$K$25:$K$42,[1]CRITERIOS!$M$25:$M$42))),0),
                    (E716+V716-SUMIF('[1]DATOS PBI Artículos'!A:A,A716,'[1]DATOS PBI Artículos'!X:X)-_xlfn.XLOOKUP(A716,'[1]DATOS PBI Artículos'!A:A,'[1]DATOS PBI Artículos'!W:W))/IF($O716="",$N716,$O716))),0))))</f>
        <v>#N/A</v>
      </c>
      <c r="R716" s="33" t="e">
        <f>IF(U716&lt;&gt;"",U716,IF(F716="DV","MTO",IF(N716=0,"MTO",_xlfn.XLOOKUP(CONCATENATE(S716,T716),[1]CRITERIOS!$K$160:$K$168,[1]CRITERIOS!$N$160:$N$168))))</f>
        <v>#N/A</v>
      </c>
      <c r="S716" s="33" t="e">
        <f>IF(G716="DV","MTO",IF(N716=0,"MTO",IF(OR(AND(N716=0,O716=""),IF(O716="",G716/N716,G716/O716)&gt;[1]CRITERIOS!$G$163),"MTO",IF(IF(O716="",G716/N716,G716/O716)&lt;[1]CRITERIOS!$H$161,"MTS","MTOS"))))</f>
        <v>#N/A</v>
      </c>
      <c r="T716" s="33" t="e">
        <f>IF(F716="DV","MTO",IF(OR(AND($N716=0,O716=""),$F716/$J716&gt;[1]CRITERIOS!$G$170,$F716="DV"),"MTO",IF($F716/$J716&lt;[1]CRITERIOS!$H$168,"MTS","MTOS")))</f>
        <v>#N/A</v>
      </c>
      <c r="V716" s="34" t="e">
        <f t="shared" si="34"/>
        <v>#N/A</v>
      </c>
      <c r="X716" s="34" t="e">
        <f t="shared" si="35"/>
        <v>#N/A</v>
      </c>
      <c r="Y716" s="34" t="e">
        <f t="shared" si="36"/>
        <v>#N/A</v>
      </c>
      <c r="Z716" s="34" t="e">
        <f>IF($R716="MTO",
0,
($H716+$K716*($E716/[1]CRITERIOS!$M$16))/[1]CRITERIOS!$X$48)</f>
        <v>#N/A</v>
      </c>
      <c r="AA716" s="34" t="e">
        <f>ROUNDUP(($Y716/_xlfn.XLOOKUP($A716,'[1]DATOS PBI Artículos'!$A$4:$A$4,'[1]DATOS PBI Artículos'!$Z$4:$Z$4))/_xlfn.XLOOKUP(_xlfn.XLOOKUP($A716,'[1]DATOS PBI Artículos'!$A$4:$A$4,'[1]DATOS PBI Artículos'!$Y$4:$Y$4),[1]CRITERIOS!$P$79:$P$123,[1]CRITERIOS!$S$79:$S$123,),0)</f>
        <v>#N/A</v>
      </c>
      <c r="AC716" s="33" t="e">
        <f>IF(N716=0,"",(ROUNDUP((N716/2)/(_xlfn.XLOOKUP(A716,'[1]DATOS PBI Artículos'!$A$4:$A$4,'[1]DATOS PBI Artículos'!$Z$4:$Z$4)*_xlfn.XLOOKUP(_xlfn.XLOOKUP(A716,'[1]DATOS PBI Artículos'!$A$4:$A$4,'[1]DATOS PBI Artículos'!$Y$4:$Y$4),[1]CRITERIOS!$P$79:$P$123,[1]CRITERIOS!$S$79:$S$123)),0)*[1]CRITERIOS!$M$80*([1]CRITERIOS!$M$110/[1]CRITERIOS!$M$86)+(_xlfn.XLOOKUP(A716,'[1]DATOS PBI Artículos'!$A$4:$A$4,'[1]DATOS PBI Artículos'!$AA$4:$AA$4)*([1]CRITERIOS!$M$95+[1]CRITERIOS!$M$98)))/N716)</f>
        <v>#N/A</v>
      </c>
      <c r="AD716" s="33" t="e">
        <f>IF(N716=0,"",(ROUNDUP((N716/2)/(_xlfn.XLOOKUP(A716,'[1]DATOS PBI Artículos'!$A$4:$A$4,'[1]DATOS PBI Artículos'!$Z$4:$Z$4)*_xlfn.XLOOKUP(_xlfn.XLOOKUP(A716,'[1]DATOS PBI Artículos'!$A$4:$A$4,'[1]DATOS PBI Artículos'!$Y$4:$Y$4),[1]CRITERIOS!$P$79:$P$123,[1]CRITERIOS!$S$79:$S$123)),0)*[1]CRITERIOS!$M$80*([1]CRITERIOS!$M$89*[1]CRITERIOS!$M$92)+((_xlfn.XLOOKUP(A716,'[1]DATOS PBI Artículos'!$A$4:$A$4,'[1]DATOS PBI Artículos'!$AA$4:$AA$4)/2)*([1]CRITERIOS!$M$95+[1]CRITERIOS!$M$98)))/N716)</f>
        <v>#N/A</v>
      </c>
      <c r="AE716" s="39" t="e">
        <f>IF($R716="MTO","",
IF($H716=0,ROUNDUP(((_xlfn.XLOOKUP($A716,'[1]DATOS PBI Artículos'!$A:$A,'[1]DATOS PBI Artículos'!$AL:$AL))/(_xlfn.XLOOKUP($AF$1,[1]CRITERIOS!$S$16:$S$39,[1]CRITERIOS!$Y$16:$Y$39))*$J716+$Z716)/$G716,0)*$G716,
((_xlfn.XLOOKUP($A716,'[1]DATOS PBI Artículos'!$A:$A,'[1]DATOS PBI Artículos'!$AL:$AL))/(_xlfn.XLOOKUP($AF$1,[1]CRITERIOS!$S$16:$S$39,[1]CRITERIOS!$Y$16:$Y$39))*$J716+$Z716)))</f>
        <v>#N/A</v>
      </c>
      <c r="AG716" s="39" t="e">
        <f>IF($R716="MTO","",
IF($H716=0,ROUNDUP(((_xlfn.XLOOKUP($A716,'[1]DATOS PBI Artículos'!$A:$A,'[1]DATOS PBI Artículos'!$AM:$AM))/(_xlfn.XLOOKUP($AH$1,[1]CRITERIOS!$S$16:$S$39,[1]CRITERIOS!$Y$16:$Y$39))*$J716+$Z716)/$G716,0)*$G716,
((_xlfn.XLOOKUP($A716,'[1]DATOS PBI Artículos'!$A:$A,'[1]DATOS PBI Artículos'!$AM:$AM))/(_xlfn.XLOOKUP($AH$1,[1]CRITERIOS!$S$16:$S$39,[1]CRITERIOS!$Y$16:$Y$39))*$J716+$Z716)))</f>
        <v>#N/A</v>
      </c>
      <c r="AI716" s="39" t="e">
        <f>IF($R716="MTO","",
IF($H716=0,ROUNDUP(((_xlfn.XLOOKUP($A716,'[1]DATOS PBI Artículos'!$A:$A,'[1]DATOS PBI Artículos'!$AN:$AN))/(_xlfn.XLOOKUP($AJ$1,[1]CRITERIOS!$S$16:$S$39,[1]CRITERIOS!$Y$16:$Y$39))*$J716+$Z716)/$G716,0)*$G716,
((_xlfn.XLOOKUP($A716,'[1]DATOS PBI Artículos'!$A:$A,'[1]DATOS PBI Artículos'!$AN:$AN))/(_xlfn.XLOOKUP($AJ$1,[1]CRITERIOS!$S$16:$S$39,[1]CRITERIOS!$Y$16:$Y$39))*$J716+$Z716)))</f>
        <v>#N/A</v>
      </c>
      <c r="AK716" s="39" t="e">
        <f>IF($R716="MTO","",
IF($H716=0,ROUNDUP(((_xlfn.XLOOKUP($A716,'[1]DATOS PBI Artículos'!$A:$A,'[1]DATOS PBI Artículos'!$AO:$AO))/(_xlfn.XLOOKUP($AL$1,[1]CRITERIOS!$S$16:$S$39,[1]CRITERIOS!$Y$16:$Y$39))*$J716+$Z716)/$G716,0)*$G716,
((_xlfn.XLOOKUP($A716,'[1]DATOS PBI Artículos'!$A:$A,'[1]DATOS PBI Artículos'!$AO:$AO))/(_xlfn.XLOOKUP($AL$1,[1]CRITERIOS!$S$16:$S$39,[1]CRITERIOS!$Y$16:$Y$39))*$J716+$Z716)))</f>
        <v>#N/A</v>
      </c>
    </row>
    <row r="717" spans="1:37" ht="25.8" hidden="1" x14ac:dyDescent="0.4">
      <c r="A717" s="41"/>
      <c r="B717" s="33">
        <f>_xlfn.XLOOKUP($A717,'[1]DATOS PBI Artículos'!A:A,'[1]DATOS PBI Artículos'!B:B)</f>
        <v>0</v>
      </c>
      <c r="C717" s="33">
        <f>_xlfn.XLOOKUP($A717,'[1]DATOS PBI Artículos'!A:A,'[1]DATOS PBI Artículos'!C:C)</f>
        <v>0</v>
      </c>
      <c r="D717" s="33">
        <f>_xlfn.XLOOKUP(A717,'[1]DATOS PBI Artículos'!A:A,'[1]DATOS PBI Artículos'!T:T)</f>
        <v>0</v>
      </c>
      <c r="E717" s="34">
        <f>IF(_xlfn.XLOOKUP($A717,'[1]DATOS PBI Artículos'!A:A,'[1]DATOS PBI Artículos'!AK:AK)="",_xlfn.XLOOKUP($A717,'[1]DATOS PBI Artículos'!A:A,'[1]DATOS PBI Artículos'!AJ:AJ),_xlfn.XLOOKUP($A717,'[1]DATOS PBI Artículos'!A:A,'[1]DATOS PBI Artículos'!AK:AK))</f>
        <v>0</v>
      </c>
      <c r="F717" s="35">
        <f>_xlfn.XLOOKUP($A717,'[1]DATOS PBI Artículos'!A:A,'[1]DATOS PBI Artículos'!AP:AP)</f>
        <v>0</v>
      </c>
      <c r="G717" s="34">
        <f>_xlfn.XLOOKUP($A717,'[1]DATOS PBI Artículos'!A:A,'[1]DATOS PBI Artículos'!AR:AR)</f>
        <v>0</v>
      </c>
      <c r="H717" s="34">
        <f>_xlfn.XLOOKUP($A717,'[1]DATOS PBI Artículos'!A:A,'[1]DATOS PBI Artículos'!AT:AT)</f>
        <v>0</v>
      </c>
      <c r="I717" s="34">
        <f>_xlfn.XLOOKUP($A717,'[1]DATOS PBI Artículos'!A:A,'[1]DATOS PBI Artículos'!AS:AS)</f>
        <v>0</v>
      </c>
      <c r="J717" s="35">
        <f>IF(COUNTIF([1]CRITERIOS!$F$179:$F$199,$A717)&gt;=1,
 IF(O717&lt;&gt;"",
    (O717/_xlfn.XLOOKUP(CONCATENATE(A717,L717),[1]MÁQUINAS!A:A,[1]MÁQUINAS!D:D))/24,
    (N717/_xlfn.XLOOKUP(CONCATENATE(A717,L717),[1]MÁQUINAS!A:A,[1]MÁQUINAS!D:D))/24),
  _xlfn.XLOOKUP($A717,'[1]DATOS PBI Artículos'!A:A,'[1]DATOS PBI Artículos'!AU:AU))</f>
        <v>0</v>
      </c>
      <c r="K717" s="36">
        <f>_xlfn.XLOOKUP($A717,'[1]DATOS PBI Artículos'!A:A,'[1]DATOS PBI Artículos'!AV:AV)</f>
        <v>0</v>
      </c>
      <c r="L717" s="33">
        <f>_xlfn.XLOOKUP(A717,[1]MÁQUINAS!B:B,[1]MÁQUINAS!C:C)</f>
        <v>0</v>
      </c>
      <c r="M717" s="34">
        <f t="array" ref="M717">_xlfn.XLOOKUP(A717,'[1]DATOS PBI Artículos'!A:A,'[1]DATOS PBI Artículos'!AX:$AX)</f>
        <v>0</v>
      </c>
      <c r="N717" s="37" t="e">
        <f>IF(I717="DV",
E717,
IF(COUNTIF([1]CRITERIOS!$I$179:$I$199,$A717)&gt;=1,
_xlfn.XLOOKUP($A717,[1]CRITERIOS!$I$179:$I$199,[1]CRITERIOS!$J$179:$J$199),
IF(COUNTIF([1]CRITERIOS!$L$179:$L$199,$A717)&gt;=1,
_xlfn.CEILING.MATH(IF($M717&gt;$E717,
$E717,
IF($M717&lt;$E717/ROUNDDOWN([1]CRITERIOS!$M$16/_xlfn.XLOOKUP($C717,[1]CRITERIOS!$K$25:$K$42,[1]CRITERIOS!$M$25:$M$42),
1),
E717/ROUNDDOWN([1]CRITERIOS!$M$16/_xlfn.XLOOKUP($C717,[1]CRITERIOS!$K$25:$K$42,[1]CRITERIOS!$M$25:$M$42),
1),
$M717)),
_xlfn.XLOOKUP($A717,[1]CRITERIOS!$L$179:$L$200,[1]CRITERIOS!$M$179:$M$200)),
_xlfn.CEILING.MATH(IF($M717&gt;$E717,
$E717,
IF($M717&lt;$E717/ROUNDDOWN([1]CRITERIOS!$M$16/_xlfn.XLOOKUP($C717,[1]CRITERIOS!$K$25:$K$42,[1]CRITERIOS!$M$25:$M$42),
1),
E717/ROUNDDOWN([1]CRITERIOS!$M$16/_xlfn.XLOOKUP($C717,[1]CRITERIOS!$K$25:$K$42,[1]CRITERIOS!$M$25:$M$42),
1),
$M717)),_xlfn.XLOOKUP(A717,'[1]DATOS PBI Artículos'!A:A,'[1]DATOS PBI Artículos'!Z:Z
)))))</f>
        <v>#N/A</v>
      </c>
      <c r="Q717" s="38" t="e">
        <f>IF(AND(O717="",N717=0),
0,
   IF(COUNTIF([1]CRITERIOS!$F$179:$F$199,$A717)&gt;=1,
   1,
   IF(R717="MTO",
      $D717,
      ROUNDUP(
                    IF(($E717-SUMIF('[1]DATOS PBI Artículos'!A:A,A717,'[1]DATOS PBI Artículos'!X:X)+($V717-_xlfn.XLOOKUP(A717,'[1]DATOS PBI Artículos'!A:A,'[1]DATOS PBI Artículos'!W:W)))&lt;0,
                    0,
                    IF(($E717-SUMIF('[1]DATOS PBI Artículos'!A:A,A717,'[1]DATOS PBI Artículos'!X:X)+$V717-_xlfn.XLOOKUP($A717,'[1]DATOS PBI Artículos'!A:A,'[1]DATOS PBI Artículos'!W:W))/IF($O717="",$N717,$O717)&gt;ROUNDUP([1]CRITERIOS!$M$16/(IF(COUNTIF([1]CRITERIOS!$BG$11:$BG$201,L717)&gt;=1,_xlfn.XLOOKUP($C717,[1]CRITERIOS!$K$25:$K$42,[1]CRITERIOS!$M$25:$M$42),_xlfn.XLOOKUP($C717,[1]CRITERIOS!$K$25:$K$42,[1]CRITERIOS!$M$25:$M$42))),0),
                    ROUNDUP([1]CRITERIOS!$M$16/(IF(COUNTIF([1]CRITERIOS!$BG$11:$BG$201,$L717)&gt;=1,_xlfn.XLOOKUP($C717,[1]CRITERIOS!$K$25:$K$42,[1]CRITERIOS!$M$25:$M$42),_xlfn.XLOOKUP($C717,[1]CRITERIOS!$K$25:$K$42,[1]CRITERIOS!$M$25:$M$42))),0),
                    (E717+V717-SUMIF('[1]DATOS PBI Artículos'!A:A,A717,'[1]DATOS PBI Artículos'!X:X)-_xlfn.XLOOKUP(A717,'[1]DATOS PBI Artículos'!A:A,'[1]DATOS PBI Artículos'!W:W))/IF($O717="",$N717,$O717))),0))))</f>
        <v>#N/A</v>
      </c>
      <c r="R717" s="33" t="e">
        <f>IF(U717&lt;&gt;"",U717,IF(F717="DV","MTO",IF(N717=0,"MTO",_xlfn.XLOOKUP(CONCATENATE(S717,T717),[1]CRITERIOS!$K$160:$K$168,[1]CRITERIOS!$N$160:$N$168))))</f>
        <v>#N/A</v>
      </c>
      <c r="S717" s="33" t="e">
        <f>IF(G717="DV","MTO",IF(N717=0,"MTO",IF(OR(AND(N717=0,O717=""),IF(O717="",G717/N717,G717/O717)&gt;[1]CRITERIOS!$G$163),"MTO",IF(IF(O717="",G717/N717,G717/O717)&lt;[1]CRITERIOS!$H$161,"MTS","MTOS"))))</f>
        <v>#N/A</v>
      </c>
      <c r="T717" s="33" t="e">
        <f>IF(F717="DV","MTO",IF(OR(AND($N717=0,O717=""),$F717/$J717&gt;[1]CRITERIOS!$G$170,$F717="DV"),"MTO",IF($F717/$J717&lt;[1]CRITERIOS!$H$168,"MTS","MTOS")))</f>
        <v>#N/A</v>
      </c>
      <c r="V717" s="34" t="e">
        <f t="shared" si="34"/>
        <v>#N/A</v>
      </c>
      <c r="X717" s="34" t="e">
        <f t="shared" si="35"/>
        <v>#N/A</v>
      </c>
      <c r="Y717" s="34" t="e">
        <f t="shared" si="36"/>
        <v>#N/A</v>
      </c>
      <c r="Z717" s="34" t="e">
        <f>IF($R717="MTO",
0,
($H717+$K717*($E717/[1]CRITERIOS!$M$16))/[1]CRITERIOS!$X$48)</f>
        <v>#N/A</v>
      </c>
      <c r="AA717" s="34" t="e">
        <f>ROUNDUP(($Y717/_xlfn.XLOOKUP($A717,'[1]DATOS PBI Artículos'!$A$4:$A$4,'[1]DATOS PBI Artículos'!$Z$4:$Z$4))/_xlfn.XLOOKUP(_xlfn.XLOOKUP($A717,'[1]DATOS PBI Artículos'!$A$4:$A$4,'[1]DATOS PBI Artículos'!$Y$4:$Y$4),[1]CRITERIOS!$P$79:$P$123,[1]CRITERIOS!$S$79:$S$123,),0)</f>
        <v>#N/A</v>
      </c>
      <c r="AC717" s="33" t="e">
        <f>IF(N717=0,"",(ROUNDUP((N717/2)/(_xlfn.XLOOKUP(A717,'[1]DATOS PBI Artículos'!$A$4:$A$4,'[1]DATOS PBI Artículos'!$Z$4:$Z$4)*_xlfn.XLOOKUP(_xlfn.XLOOKUP(A717,'[1]DATOS PBI Artículos'!$A$4:$A$4,'[1]DATOS PBI Artículos'!$Y$4:$Y$4),[1]CRITERIOS!$P$79:$P$123,[1]CRITERIOS!$S$79:$S$123)),0)*[1]CRITERIOS!$M$80*([1]CRITERIOS!$M$110/[1]CRITERIOS!$M$86)+(_xlfn.XLOOKUP(A717,'[1]DATOS PBI Artículos'!$A$4:$A$4,'[1]DATOS PBI Artículos'!$AA$4:$AA$4)*([1]CRITERIOS!$M$95+[1]CRITERIOS!$M$98)))/N717)</f>
        <v>#N/A</v>
      </c>
      <c r="AD717" s="33" t="e">
        <f>IF(N717=0,"",(ROUNDUP((N717/2)/(_xlfn.XLOOKUP(A717,'[1]DATOS PBI Artículos'!$A$4:$A$4,'[1]DATOS PBI Artículos'!$Z$4:$Z$4)*_xlfn.XLOOKUP(_xlfn.XLOOKUP(A717,'[1]DATOS PBI Artículos'!$A$4:$A$4,'[1]DATOS PBI Artículos'!$Y$4:$Y$4),[1]CRITERIOS!$P$79:$P$123,[1]CRITERIOS!$S$79:$S$123)),0)*[1]CRITERIOS!$M$80*([1]CRITERIOS!$M$89*[1]CRITERIOS!$M$92)+((_xlfn.XLOOKUP(A717,'[1]DATOS PBI Artículos'!$A$4:$A$4,'[1]DATOS PBI Artículos'!$AA$4:$AA$4)/2)*([1]CRITERIOS!$M$95+[1]CRITERIOS!$M$98)))/N717)</f>
        <v>#N/A</v>
      </c>
      <c r="AE717" s="39" t="e">
        <f>IF($R717="MTO","",
IF($H717=0,ROUNDUP(((_xlfn.XLOOKUP($A717,'[1]DATOS PBI Artículos'!$A:$A,'[1]DATOS PBI Artículos'!$AL:$AL))/(_xlfn.XLOOKUP($AF$1,[1]CRITERIOS!$S$16:$S$39,[1]CRITERIOS!$Y$16:$Y$39))*$J717+$Z717)/$G717,0)*$G717,
((_xlfn.XLOOKUP($A717,'[1]DATOS PBI Artículos'!$A:$A,'[1]DATOS PBI Artículos'!$AL:$AL))/(_xlfn.XLOOKUP($AF$1,[1]CRITERIOS!$S$16:$S$39,[1]CRITERIOS!$Y$16:$Y$39))*$J717+$Z717)))</f>
        <v>#N/A</v>
      </c>
      <c r="AG717" s="39" t="e">
        <f>IF($R717="MTO","",
IF($H717=0,ROUNDUP(((_xlfn.XLOOKUP($A717,'[1]DATOS PBI Artículos'!$A:$A,'[1]DATOS PBI Artículos'!$AM:$AM))/(_xlfn.XLOOKUP($AH$1,[1]CRITERIOS!$S$16:$S$39,[1]CRITERIOS!$Y$16:$Y$39))*$J717+$Z717)/$G717,0)*$G717,
((_xlfn.XLOOKUP($A717,'[1]DATOS PBI Artículos'!$A:$A,'[1]DATOS PBI Artículos'!$AM:$AM))/(_xlfn.XLOOKUP($AH$1,[1]CRITERIOS!$S$16:$S$39,[1]CRITERIOS!$Y$16:$Y$39))*$J717+$Z717)))</f>
        <v>#N/A</v>
      </c>
      <c r="AI717" s="39" t="e">
        <f>IF($R717="MTO","",
IF($H717=0,ROUNDUP(((_xlfn.XLOOKUP($A717,'[1]DATOS PBI Artículos'!$A:$A,'[1]DATOS PBI Artículos'!$AN:$AN))/(_xlfn.XLOOKUP($AJ$1,[1]CRITERIOS!$S$16:$S$39,[1]CRITERIOS!$Y$16:$Y$39))*$J717+$Z717)/$G717,0)*$G717,
((_xlfn.XLOOKUP($A717,'[1]DATOS PBI Artículos'!$A:$A,'[1]DATOS PBI Artículos'!$AN:$AN))/(_xlfn.XLOOKUP($AJ$1,[1]CRITERIOS!$S$16:$S$39,[1]CRITERIOS!$Y$16:$Y$39))*$J717+$Z717)))</f>
        <v>#N/A</v>
      </c>
      <c r="AK717" s="39" t="e">
        <f>IF($R717="MTO","",
IF($H717=0,ROUNDUP(((_xlfn.XLOOKUP($A717,'[1]DATOS PBI Artículos'!$A:$A,'[1]DATOS PBI Artículos'!$AO:$AO))/(_xlfn.XLOOKUP($AL$1,[1]CRITERIOS!$S$16:$S$39,[1]CRITERIOS!$Y$16:$Y$39))*$J717+$Z717)/$G717,0)*$G717,
((_xlfn.XLOOKUP($A717,'[1]DATOS PBI Artículos'!$A:$A,'[1]DATOS PBI Artículos'!$AO:$AO))/(_xlfn.XLOOKUP($AL$1,[1]CRITERIOS!$S$16:$S$39,[1]CRITERIOS!$Y$16:$Y$39))*$J717+$Z717)))</f>
        <v>#N/A</v>
      </c>
    </row>
    <row r="718" spans="1:37" ht="25.8" hidden="1" x14ac:dyDescent="0.4">
      <c r="A718" s="41"/>
      <c r="B718" s="33">
        <f>_xlfn.XLOOKUP($A718,'[1]DATOS PBI Artículos'!A:A,'[1]DATOS PBI Artículos'!B:B)</f>
        <v>0</v>
      </c>
      <c r="C718" s="33">
        <f>_xlfn.XLOOKUP($A718,'[1]DATOS PBI Artículos'!A:A,'[1]DATOS PBI Artículos'!C:C)</f>
        <v>0</v>
      </c>
      <c r="D718" s="33">
        <f>_xlfn.XLOOKUP(A718,'[1]DATOS PBI Artículos'!A:A,'[1]DATOS PBI Artículos'!T:T)</f>
        <v>0</v>
      </c>
      <c r="E718" s="34">
        <f>IF(_xlfn.XLOOKUP($A718,'[1]DATOS PBI Artículos'!A:A,'[1]DATOS PBI Artículos'!AK:AK)="",_xlfn.XLOOKUP($A718,'[1]DATOS PBI Artículos'!A:A,'[1]DATOS PBI Artículos'!AJ:AJ),_xlfn.XLOOKUP($A718,'[1]DATOS PBI Artículos'!A:A,'[1]DATOS PBI Artículos'!AK:AK))</f>
        <v>0</v>
      </c>
      <c r="F718" s="35">
        <f>_xlfn.XLOOKUP($A718,'[1]DATOS PBI Artículos'!A:A,'[1]DATOS PBI Artículos'!AP:AP)</f>
        <v>0</v>
      </c>
      <c r="G718" s="34">
        <f>_xlfn.XLOOKUP($A718,'[1]DATOS PBI Artículos'!A:A,'[1]DATOS PBI Artículos'!AR:AR)</f>
        <v>0</v>
      </c>
      <c r="H718" s="34">
        <f>_xlfn.XLOOKUP($A718,'[1]DATOS PBI Artículos'!A:A,'[1]DATOS PBI Artículos'!AT:AT)</f>
        <v>0</v>
      </c>
      <c r="I718" s="34">
        <f>_xlfn.XLOOKUP($A718,'[1]DATOS PBI Artículos'!A:A,'[1]DATOS PBI Artículos'!AS:AS)</f>
        <v>0</v>
      </c>
      <c r="J718" s="35">
        <f>IF(COUNTIF([1]CRITERIOS!$F$179:$F$199,$A718)&gt;=1,
 IF(O718&lt;&gt;"",
    (O718/_xlfn.XLOOKUP(CONCATENATE(A718,L718),[1]MÁQUINAS!A:A,[1]MÁQUINAS!D:D))/24,
    (N718/_xlfn.XLOOKUP(CONCATENATE(A718,L718),[1]MÁQUINAS!A:A,[1]MÁQUINAS!D:D))/24),
  _xlfn.XLOOKUP($A718,'[1]DATOS PBI Artículos'!A:A,'[1]DATOS PBI Artículos'!AU:AU))</f>
        <v>0</v>
      </c>
      <c r="K718" s="36">
        <f>_xlfn.XLOOKUP($A718,'[1]DATOS PBI Artículos'!A:A,'[1]DATOS PBI Artículos'!AV:AV)</f>
        <v>0</v>
      </c>
      <c r="L718" s="33">
        <f>_xlfn.XLOOKUP(A718,[1]MÁQUINAS!B:B,[1]MÁQUINAS!C:C)</f>
        <v>0</v>
      </c>
      <c r="M718" s="34">
        <f t="array" ref="M718">_xlfn.XLOOKUP(A718,'[1]DATOS PBI Artículos'!A:A,'[1]DATOS PBI Artículos'!AX:$AX)</f>
        <v>0</v>
      </c>
      <c r="N718" s="37" t="e">
        <f>IF(I718="DV",
E718,
IF(COUNTIF([1]CRITERIOS!$I$179:$I$199,$A718)&gt;=1,
_xlfn.XLOOKUP($A718,[1]CRITERIOS!$I$179:$I$199,[1]CRITERIOS!$J$179:$J$199),
IF(COUNTIF([1]CRITERIOS!$L$179:$L$199,$A718)&gt;=1,
_xlfn.CEILING.MATH(IF($M718&gt;$E718,
$E718,
IF($M718&lt;$E718/ROUNDDOWN([1]CRITERIOS!$M$16/_xlfn.XLOOKUP($C718,[1]CRITERIOS!$K$25:$K$42,[1]CRITERIOS!$M$25:$M$42),
1),
E718/ROUNDDOWN([1]CRITERIOS!$M$16/_xlfn.XLOOKUP($C718,[1]CRITERIOS!$K$25:$K$42,[1]CRITERIOS!$M$25:$M$42),
1),
$M718)),
_xlfn.XLOOKUP($A718,[1]CRITERIOS!$L$179:$L$200,[1]CRITERIOS!$M$179:$M$200)),
_xlfn.CEILING.MATH(IF($M718&gt;$E718,
$E718,
IF($M718&lt;$E718/ROUNDDOWN([1]CRITERIOS!$M$16/_xlfn.XLOOKUP($C718,[1]CRITERIOS!$K$25:$K$42,[1]CRITERIOS!$M$25:$M$42),
1),
E718/ROUNDDOWN([1]CRITERIOS!$M$16/_xlfn.XLOOKUP($C718,[1]CRITERIOS!$K$25:$K$42,[1]CRITERIOS!$M$25:$M$42),
1),
$M718)),_xlfn.XLOOKUP(A718,'[1]DATOS PBI Artículos'!A:A,'[1]DATOS PBI Artículos'!Z:Z
)))))</f>
        <v>#N/A</v>
      </c>
      <c r="Q718" s="38" t="e">
        <f>IF(AND(O718="",N718=0),
0,
   IF(COUNTIF([1]CRITERIOS!$F$179:$F$199,$A718)&gt;=1,
   1,
   IF(R718="MTO",
      $D718,
      ROUNDUP(
                    IF(($E718-SUMIF('[1]DATOS PBI Artículos'!A:A,A718,'[1]DATOS PBI Artículos'!X:X)+($V718-_xlfn.XLOOKUP(A718,'[1]DATOS PBI Artículos'!A:A,'[1]DATOS PBI Artículos'!W:W)))&lt;0,
                    0,
                    IF(($E718-SUMIF('[1]DATOS PBI Artículos'!A:A,A718,'[1]DATOS PBI Artículos'!X:X)+$V718-_xlfn.XLOOKUP($A718,'[1]DATOS PBI Artículos'!A:A,'[1]DATOS PBI Artículos'!W:W))/IF($O718="",$N718,$O718)&gt;ROUNDUP([1]CRITERIOS!$M$16/(IF(COUNTIF([1]CRITERIOS!$BG$11:$BG$201,L718)&gt;=1,_xlfn.XLOOKUP($C718,[1]CRITERIOS!$K$25:$K$42,[1]CRITERIOS!$M$25:$M$42),_xlfn.XLOOKUP($C718,[1]CRITERIOS!$K$25:$K$42,[1]CRITERIOS!$M$25:$M$42))),0),
                    ROUNDUP([1]CRITERIOS!$M$16/(IF(COUNTIF([1]CRITERIOS!$BG$11:$BG$201,$L718)&gt;=1,_xlfn.XLOOKUP($C718,[1]CRITERIOS!$K$25:$K$42,[1]CRITERIOS!$M$25:$M$42),_xlfn.XLOOKUP($C718,[1]CRITERIOS!$K$25:$K$42,[1]CRITERIOS!$M$25:$M$42))),0),
                    (E718+V718-SUMIF('[1]DATOS PBI Artículos'!A:A,A718,'[1]DATOS PBI Artículos'!X:X)-_xlfn.XLOOKUP(A718,'[1]DATOS PBI Artículos'!A:A,'[1]DATOS PBI Artículos'!W:W))/IF($O718="",$N718,$O718))),0))))</f>
        <v>#N/A</v>
      </c>
      <c r="R718" s="33" t="e">
        <f>IF(U718&lt;&gt;"",U718,IF(F718="DV","MTO",IF(N718=0,"MTO",_xlfn.XLOOKUP(CONCATENATE(S718,T718),[1]CRITERIOS!$K$160:$K$168,[1]CRITERIOS!$N$160:$N$168))))</f>
        <v>#N/A</v>
      </c>
      <c r="S718" s="33" t="e">
        <f>IF(G718="DV","MTO",IF(N718=0,"MTO",IF(OR(AND(N718=0,O718=""),IF(O718="",G718/N718,G718/O718)&gt;[1]CRITERIOS!$G$163),"MTO",IF(IF(O718="",G718/N718,G718/O718)&lt;[1]CRITERIOS!$H$161,"MTS","MTOS"))))</f>
        <v>#N/A</v>
      </c>
      <c r="T718" s="33" t="e">
        <f>IF(F718="DV","MTO",IF(OR(AND($N718=0,O718=""),$F718/$J718&gt;[1]CRITERIOS!$G$170,$F718="DV"),"MTO",IF($F718/$J718&lt;[1]CRITERIOS!$H$168,"MTS","MTOS")))</f>
        <v>#N/A</v>
      </c>
      <c r="V718" s="34" t="e">
        <f t="shared" si="34"/>
        <v>#N/A</v>
      </c>
      <c r="X718" s="34" t="e">
        <f t="shared" si="35"/>
        <v>#N/A</v>
      </c>
      <c r="Y718" s="34" t="e">
        <f t="shared" si="36"/>
        <v>#N/A</v>
      </c>
      <c r="Z718" s="34" t="e">
        <f>IF($R718="MTO",
0,
($H718+$K718*($E718/[1]CRITERIOS!$M$16))/[1]CRITERIOS!$X$48)</f>
        <v>#N/A</v>
      </c>
      <c r="AA718" s="34" t="e">
        <f>ROUNDUP(($Y718/_xlfn.XLOOKUP($A718,'[1]DATOS PBI Artículos'!$A$4:$A$4,'[1]DATOS PBI Artículos'!$Z$4:$Z$4))/_xlfn.XLOOKUP(_xlfn.XLOOKUP($A718,'[1]DATOS PBI Artículos'!$A$4:$A$4,'[1]DATOS PBI Artículos'!$Y$4:$Y$4),[1]CRITERIOS!$P$79:$P$123,[1]CRITERIOS!$S$79:$S$123,),0)</f>
        <v>#N/A</v>
      </c>
      <c r="AC718" s="33" t="e">
        <f>IF(N718=0,"",(ROUNDUP((N718/2)/(_xlfn.XLOOKUP(A718,'[1]DATOS PBI Artículos'!$A$4:$A$4,'[1]DATOS PBI Artículos'!$Z$4:$Z$4)*_xlfn.XLOOKUP(_xlfn.XLOOKUP(A718,'[1]DATOS PBI Artículos'!$A$4:$A$4,'[1]DATOS PBI Artículos'!$Y$4:$Y$4),[1]CRITERIOS!$P$79:$P$123,[1]CRITERIOS!$S$79:$S$123)),0)*[1]CRITERIOS!$M$80*([1]CRITERIOS!$M$110/[1]CRITERIOS!$M$86)+(_xlfn.XLOOKUP(A718,'[1]DATOS PBI Artículos'!$A$4:$A$4,'[1]DATOS PBI Artículos'!$AA$4:$AA$4)*([1]CRITERIOS!$M$95+[1]CRITERIOS!$M$98)))/N718)</f>
        <v>#N/A</v>
      </c>
      <c r="AD718" s="33" t="e">
        <f>IF(N718=0,"",(ROUNDUP((N718/2)/(_xlfn.XLOOKUP(A718,'[1]DATOS PBI Artículos'!$A$4:$A$4,'[1]DATOS PBI Artículos'!$Z$4:$Z$4)*_xlfn.XLOOKUP(_xlfn.XLOOKUP(A718,'[1]DATOS PBI Artículos'!$A$4:$A$4,'[1]DATOS PBI Artículos'!$Y$4:$Y$4),[1]CRITERIOS!$P$79:$P$123,[1]CRITERIOS!$S$79:$S$123)),0)*[1]CRITERIOS!$M$80*([1]CRITERIOS!$M$89*[1]CRITERIOS!$M$92)+((_xlfn.XLOOKUP(A718,'[1]DATOS PBI Artículos'!$A$4:$A$4,'[1]DATOS PBI Artículos'!$AA$4:$AA$4)/2)*([1]CRITERIOS!$M$95+[1]CRITERIOS!$M$98)))/N718)</f>
        <v>#N/A</v>
      </c>
      <c r="AE718" s="39" t="e">
        <f>IF($R718="MTO","",
IF($H718=0,ROUNDUP(((_xlfn.XLOOKUP($A718,'[1]DATOS PBI Artículos'!$A:$A,'[1]DATOS PBI Artículos'!$AL:$AL))/(_xlfn.XLOOKUP($AF$1,[1]CRITERIOS!$S$16:$S$39,[1]CRITERIOS!$Y$16:$Y$39))*$J718+$Z718)/$G718,0)*$G718,
((_xlfn.XLOOKUP($A718,'[1]DATOS PBI Artículos'!$A:$A,'[1]DATOS PBI Artículos'!$AL:$AL))/(_xlfn.XLOOKUP($AF$1,[1]CRITERIOS!$S$16:$S$39,[1]CRITERIOS!$Y$16:$Y$39))*$J718+$Z718)))</f>
        <v>#N/A</v>
      </c>
      <c r="AG718" s="39" t="e">
        <f>IF($R718="MTO","",
IF($H718=0,ROUNDUP(((_xlfn.XLOOKUP($A718,'[1]DATOS PBI Artículos'!$A:$A,'[1]DATOS PBI Artículos'!$AM:$AM))/(_xlfn.XLOOKUP($AH$1,[1]CRITERIOS!$S$16:$S$39,[1]CRITERIOS!$Y$16:$Y$39))*$J718+$Z718)/$G718,0)*$G718,
((_xlfn.XLOOKUP($A718,'[1]DATOS PBI Artículos'!$A:$A,'[1]DATOS PBI Artículos'!$AM:$AM))/(_xlfn.XLOOKUP($AH$1,[1]CRITERIOS!$S$16:$S$39,[1]CRITERIOS!$Y$16:$Y$39))*$J718+$Z718)))</f>
        <v>#N/A</v>
      </c>
      <c r="AI718" s="39" t="e">
        <f>IF($R718="MTO","",
IF($H718=0,ROUNDUP(((_xlfn.XLOOKUP($A718,'[1]DATOS PBI Artículos'!$A:$A,'[1]DATOS PBI Artículos'!$AN:$AN))/(_xlfn.XLOOKUP($AJ$1,[1]CRITERIOS!$S$16:$S$39,[1]CRITERIOS!$Y$16:$Y$39))*$J718+$Z718)/$G718,0)*$G718,
((_xlfn.XLOOKUP($A718,'[1]DATOS PBI Artículos'!$A:$A,'[1]DATOS PBI Artículos'!$AN:$AN))/(_xlfn.XLOOKUP($AJ$1,[1]CRITERIOS!$S$16:$S$39,[1]CRITERIOS!$Y$16:$Y$39))*$J718+$Z718)))</f>
        <v>#N/A</v>
      </c>
      <c r="AK718" s="39" t="e">
        <f>IF($R718="MTO","",
IF($H718=0,ROUNDUP(((_xlfn.XLOOKUP($A718,'[1]DATOS PBI Artículos'!$A:$A,'[1]DATOS PBI Artículos'!$AO:$AO))/(_xlfn.XLOOKUP($AL$1,[1]CRITERIOS!$S$16:$S$39,[1]CRITERIOS!$Y$16:$Y$39))*$J718+$Z718)/$G718,0)*$G718,
((_xlfn.XLOOKUP($A718,'[1]DATOS PBI Artículos'!$A:$A,'[1]DATOS PBI Artículos'!$AO:$AO))/(_xlfn.XLOOKUP($AL$1,[1]CRITERIOS!$S$16:$S$39,[1]CRITERIOS!$Y$16:$Y$39))*$J718+$Z718)))</f>
        <v>#N/A</v>
      </c>
    </row>
    <row r="719" spans="1:37" ht="25.8" hidden="1" x14ac:dyDescent="0.4">
      <c r="A719" s="41"/>
      <c r="B719" s="33">
        <f>_xlfn.XLOOKUP($A719,'[1]DATOS PBI Artículos'!A:A,'[1]DATOS PBI Artículos'!B:B)</f>
        <v>0</v>
      </c>
      <c r="C719" s="33">
        <f>_xlfn.XLOOKUP($A719,'[1]DATOS PBI Artículos'!A:A,'[1]DATOS PBI Artículos'!C:C)</f>
        <v>0</v>
      </c>
      <c r="D719" s="33">
        <f>_xlfn.XLOOKUP(A719,'[1]DATOS PBI Artículos'!A:A,'[1]DATOS PBI Artículos'!T:T)</f>
        <v>0</v>
      </c>
      <c r="E719" s="34">
        <f>IF(_xlfn.XLOOKUP($A719,'[1]DATOS PBI Artículos'!A:A,'[1]DATOS PBI Artículos'!AK:AK)="",_xlfn.XLOOKUP($A719,'[1]DATOS PBI Artículos'!A:A,'[1]DATOS PBI Artículos'!AJ:AJ),_xlfn.XLOOKUP($A719,'[1]DATOS PBI Artículos'!A:A,'[1]DATOS PBI Artículos'!AK:AK))</f>
        <v>0</v>
      </c>
      <c r="F719" s="35">
        <f>_xlfn.XLOOKUP($A719,'[1]DATOS PBI Artículos'!A:A,'[1]DATOS PBI Artículos'!AP:AP)</f>
        <v>0</v>
      </c>
      <c r="G719" s="34">
        <f>_xlfn.XLOOKUP($A719,'[1]DATOS PBI Artículos'!A:A,'[1]DATOS PBI Artículos'!AR:AR)</f>
        <v>0</v>
      </c>
      <c r="H719" s="34">
        <f>_xlfn.XLOOKUP($A719,'[1]DATOS PBI Artículos'!A:A,'[1]DATOS PBI Artículos'!AT:AT)</f>
        <v>0</v>
      </c>
      <c r="I719" s="34">
        <f>_xlfn.XLOOKUP($A719,'[1]DATOS PBI Artículos'!A:A,'[1]DATOS PBI Artículos'!AS:AS)</f>
        <v>0</v>
      </c>
      <c r="J719" s="35">
        <f>IF(COUNTIF([1]CRITERIOS!$F$179:$F$199,$A719)&gt;=1,
 IF(O719&lt;&gt;"",
    (O719/_xlfn.XLOOKUP(CONCATENATE(A719,L719),[1]MÁQUINAS!A:A,[1]MÁQUINAS!D:D))/24,
    (N719/_xlfn.XLOOKUP(CONCATENATE(A719,L719),[1]MÁQUINAS!A:A,[1]MÁQUINAS!D:D))/24),
  _xlfn.XLOOKUP($A719,'[1]DATOS PBI Artículos'!A:A,'[1]DATOS PBI Artículos'!AU:AU))</f>
        <v>0</v>
      </c>
      <c r="K719" s="36">
        <f>_xlfn.XLOOKUP($A719,'[1]DATOS PBI Artículos'!A:A,'[1]DATOS PBI Artículos'!AV:AV)</f>
        <v>0</v>
      </c>
      <c r="L719" s="33">
        <f>_xlfn.XLOOKUP(A719,[1]MÁQUINAS!B:B,[1]MÁQUINAS!C:C)</f>
        <v>0</v>
      </c>
      <c r="M719" s="34">
        <f t="array" ref="M719">_xlfn.XLOOKUP(A719,'[1]DATOS PBI Artículos'!A:A,'[1]DATOS PBI Artículos'!AX:$AX)</f>
        <v>0</v>
      </c>
      <c r="N719" s="37" t="e">
        <f>IF(I719="DV",
E719,
IF(COUNTIF([1]CRITERIOS!$I$179:$I$199,$A719)&gt;=1,
_xlfn.XLOOKUP($A719,[1]CRITERIOS!$I$179:$I$199,[1]CRITERIOS!$J$179:$J$199),
IF(COUNTIF([1]CRITERIOS!$L$179:$L$199,$A719)&gt;=1,
_xlfn.CEILING.MATH(IF($M719&gt;$E719,
$E719,
IF($M719&lt;$E719/ROUNDDOWN([1]CRITERIOS!$M$16/_xlfn.XLOOKUP($C719,[1]CRITERIOS!$K$25:$K$42,[1]CRITERIOS!$M$25:$M$42),
1),
E719/ROUNDDOWN([1]CRITERIOS!$M$16/_xlfn.XLOOKUP($C719,[1]CRITERIOS!$K$25:$K$42,[1]CRITERIOS!$M$25:$M$42),
1),
$M719)),
_xlfn.XLOOKUP($A719,[1]CRITERIOS!$L$179:$L$200,[1]CRITERIOS!$M$179:$M$200)),
_xlfn.CEILING.MATH(IF($M719&gt;$E719,
$E719,
IF($M719&lt;$E719/ROUNDDOWN([1]CRITERIOS!$M$16/_xlfn.XLOOKUP($C719,[1]CRITERIOS!$K$25:$K$42,[1]CRITERIOS!$M$25:$M$42),
1),
E719/ROUNDDOWN([1]CRITERIOS!$M$16/_xlfn.XLOOKUP($C719,[1]CRITERIOS!$K$25:$K$42,[1]CRITERIOS!$M$25:$M$42),
1),
$M719)),_xlfn.XLOOKUP(A719,'[1]DATOS PBI Artículos'!A:A,'[1]DATOS PBI Artículos'!Z:Z
)))))</f>
        <v>#N/A</v>
      </c>
      <c r="Q719" s="38" t="e">
        <f>IF(AND(O719="",N719=0),
0,
   IF(COUNTIF([1]CRITERIOS!$F$179:$F$199,$A719)&gt;=1,
   1,
   IF(R719="MTO",
      $D719,
      ROUNDUP(
                    IF(($E719-SUMIF('[1]DATOS PBI Artículos'!A:A,A719,'[1]DATOS PBI Artículos'!X:X)+($V719-_xlfn.XLOOKUP(A719,'[1]DATOS PBI Artículos'!A:A,'[1]DATOS PBI Artículos'!W:W)))&lt;0,
                    0,
                    IF(($E719-SUMIF('[1]DATOS PBI Artículos'!A:A,A719,'[1]DATOS PBI Artículos'!X:X)+$V719-_xlfn.XLOOKUP($A719,'[1]DATOS PBI Artículos'!A:A,'[1]DATOS PBI Artículos'!W:W))/IF($O719="",$N719,$O719)&gt;ROUNDUP([1]CRITERIOS!$M$16/(IF(COUNTIF([1]CRITERIOS!$BG$11:$BG$201,L719)&gt;=1,_xlfn.XLOOKUP($C719,[1]CRITERIOS!$K$25:$K$42,[1]CRITERIOS!$M$25:$M$42),_xlfn.XLOOKUP($C719,[1]CRITERIOS!$K$25:$K$42,[1]CRITERIOS!$M$25:$M$42))),0),
                    ROUNDUP([1]CRITERIOS!$M$16/(IF(COUNTIF([1]CRITERIOS!$BG$11:$BG$201,$L719)&gt;=1,_xlfn.XLOOKUP($C719,[1]CRITERIOS!$K$25:$K$42,[1]CRITERIOS!$M$25:$M$42),_xlfn.XLOOKUP($C719,[1]CRITERIOS!$K$25:$K$42,[1]CRITERIOS!$M$25:$M$42))),0),
                    (E719+V719-SUMIF('[1]DATOS PBI Artículos'!A:A,A719,'[1]DATOS PBI Artículos'!X:X)-_xlfn.XLOOKUP(A719,'[1]DATOS PBI Artículos'!A:A,'[1]DATOS PBI Artículos'!W:W))/IF($O719="",$N719,$O719))),0))))</f>
        <v>#N/A</v>
      </c>
      <c r="R719" s="33" t="e">
        <f>IF(U719&lt;&gt;"",U719,IF(F719="DV","MTO",IF(N719=0,"MTO",_xlfn.XLOOKUP(CONCATENATE(S719,T719),[1]CRITERIOS!$K$160:$K$168,[1]CRITERIOS!$N$160:$N$168))))</f>
        <v>#N/A</v>
      </c>
      <c r="S719" s="33" t="e">
        <f>IF(G719="DV","MTO",IF(N719=0,"MTO",IF(OR(AND(N719=0,O719=""),IF(O719="",G719/N719,G719/O719)&gt;[1]CRITERIOS!$G$163),"MTO",IF(IF(O719="",G719/N719,G719/O719)&lt;[1]CRITERIOS!$H$161,"MTS","MTOS"))))</f>
        <v>#N/A</v>
      </c>
      <c r="T719" s="33" t="e">
        <f>IF(F719="DV","MTO",IF(OR(AND($N719=0,O719=""),$F719/$J719&gt;[1]CRITERIOS!$G$170,$F719="DV"),"MTO",IF($F719/$J719&lt;[1]CRITERIOS!$H$168,"MTS","MTOS")))</f>
        <v>#N/A</v>
      </c>
      <c r="V719" s="34" t="e">
        <f t="shared" si="34"/>
        <v>#N/A</v>
      </c>
      <c r="X719" s="34" t="e">
        <f t="shared" si="35"/>
        <v>#N/A</v>
      </c>
      <c r="Y719" s="34" t="e">
        <f t="shared" si="36"/>
        <v>#N/A</v>
      </c>
      <c r="Z719" s="34" t="e">
        <f>IF($R719="MTO",
0,
($H719+$K719*($E719/[1]CRITERIOS!$M$16))/[1]CRITERIOS!$X$48)</f>
        <v>#N/A</v>
      </c>
      <c r="AA719" s="34" t="e">
        <f>ROUNDUP(($Y719/_xlfn.XLOOKUP($A719,'[1]DATOS PBI Artículos'!$A$4:$A$4,'[1]DATOS PBI Artículos'!$Z$4:$Z$4))/_xlfn.XLOOKUP(_xlfn.XLOOKUP($A719,'[1]DATOS PBI Artículos'!$A$4:$A$4,'[1]DATOS PBI Artículos'!$Y$4:$Y$4),[1]CRITERIOS!$P$79:$P$123,[1]CRITERIOS!$S$79:$S$123,),0)</f>
        <v>#N/A</v>
      </c>
      <c r="AC719" s="33" t="e">
        <f>IF(N719=0,"",(ROUNDUP((N719/2)/(_xlfn.XLOOKUP(A719,'[1]DATOS PBI Artículos'!$A$4:$A$4,'[1]DATOS PBI Artículos'!$Z$4:$Z$4)*_xlfn.XLOOKUP(_xlfn.XLOOKUP(A719,'[1]DATOS PBI Artículos'!$A$4:$A$4,'[1]DATOS PBI Artículos'!$Y$4:$Y$4),[1]CRITERIOS!$P$79:$P$123,[1]CRITERIOS!$S$79:$S$123)),0)*[1]CRITERIOS!$M$80*([1]CRITERIOS!$M$110/[1]CRITERIOS!$M$86)+(_xlfn.XLOOKUP(A719,'[1]DATOS PBI Artículos'!$A$4:$A$4,'[1]DATOS PBI Artículos'!$AA$4:$AA$4)*([1]CRITERIOS!$M$95+[1]CRITERIOS!$M$98)))/N719)</f>
        <v>#N/A</v>
      </c>
      <c r="AD719" s="33" t="e">
        <f>IF(N719=0,"",(ROUNDUP((N719/2)/(_xlfn.XLOOKUP(A719,'[1]DATOS PBI Artículos'!$A$4:$A$4,'[1]DATOS PBI Artículos'!$Z$4:$Z$4)*_xlfn.XLOOKUP(_xlfn.XLOOKUP(A719,'[1]DATOS PBI Artículos'!$A$4:$A$4,'[1]DATOS PBI Artículos'!$Y$4:$Y$4),[1]CRITERIOS!$P$79:$P$123,[1]CRITERIOS!$S$79:$S$123)),0)*[1]CRITERIOS!$M$80*([1]CRITERIOS!$M$89*[1]CRITERIOS!$M$92)+((_xlfn.XLOOKUP(A719,'[1]DATOS PBI Artículos'!$A$4:$A$4,'[1]DATOS PBI Artículos'!$AA$4:$AA$4)/2)*([1]CRITERIOS!$M$95+[1]CRITERIOS!$M$98)))/N719)</f>
        <v>#N/A</v>
      </c>
      <c r="AE719" s="39" t="e">
        <f>IF($R719="MTO","",
IF($H719=0,ROUNDUP(((_xlfn.XLOOKUP($A719,'[1]DATOS PBI Artículos'!$A:$A,'[1]DATOS PBI Artículos'!$AL:$AL))/(_xlfn.XLOOKUP($AF$1,[1]CRITERIOS!$S$16:$S$39,[1]CRITERIOS!$Y$16:$Y$39))*$J719+$Z719)/$G719,0)*$G719,
((_xlfn.XLOOKUP($A719,'[1]DATOS PBI Artículos'!$A:$A,'[1]DATOS PBI Artículos'!$AL:$AL))/(_xlfn.XLOOKUP($AF$1,[1]CRITERIOS!$S$16:$S$39,[1]CRITERIOS!$Y$16:$Y$39))*$J719+$Z719)))</f>
        <v>#N/A</v>
      </c>
      <c r="AG719" s="39" t="e">
        <f>IF($R719="MTO","",
IF($H719=0,ROUNDUP(((_xlfn.XLOOKUP($A719,'[1]DATOS PBI Artículos'!$A:$A,'[1]DATOS PBI Artículos'!$AM:$AM))/(_xlfn.XLOOKUP($AH$1,[1]CRITERIOS!$S$16:$S$39,[1]CRITERIOS!$Y$16:$Y$39))*$J719+$Z719)/$G719,0)*$G719,
((_xlfn.XLOOKUP($A719,'[1]DATOS PBI Artículos'!$A:$A,'[1]DATOS PBI Artículos'!$AM:$AM))/(_xlfn.XLOOKUP($AH$1,[1]CRITERIOS!$S$16:$S$39,[1]CRITERIOS!$Y$16:$Y$39))*$J719+$Z719)))</f>
        <v>#N/A</v>
      </c>
      <c r="AI719" s="39" t="e">
        <f>IF($R719="MTO","",
IF($H719=0,ROUNDUP(((_xlfn.XLOOKUP($A719,'[1]DATOS PBI Artículos'!$A:$A,'[1]DATOS PBI Artículos'!$AN:$AN))/(_xlfn.XLOOKUP($AJ$1,[1]CRITERIOS!$S$16:$S$39,[1]CRITERIOS!$Y$16:$Y$39))*$J719+$Z719)/$G719,0)*$G719,
((_xlfn.XLOOKUP($A719,'[1]DATOS PBI Artículos'!$A:$A,'[1]DATOS PBI Artículos'!$AN:$AN))/(_xlfn.XLOOKUP($AJ$1,[1]CRITERIOS!$S$16:$S$39,[1]CRITERIOS!$Y$16:$Y$39))*$J719+$Z719)))</f>
        <v>#N/A</v>
      </c>
      <c r="AK719" s="39" t="e">
        <f>IF($R719="MTO","",
IF($H719=0,ROUNDUP(((_xlfn.XLOOKUP($A719,'[1]DATOS PBI Artículos'!$A:$A,'[1]DATOS PBI Artículos'!$AO:$AO))/(_xlfn.XLOOKUP($AL$1,[1]CRITERIOS!$S$16:$S$39,[1]CRITERIOS!$Y$16:$Y$39))*$J719+$Z719)/$G719,0)*$G719,
((_xlfn.XLOOKUP($A719,'[1]DATOS PBI Artículos'!$A:$A,'[1]DATOS PBI Artículos'!$AO:$AO))/(_xlfn.XLOOKUP($AL$1,[1]CRITERIOS!$S$16:$S$39,[1]CRITERIOS!$Y$16:$Y$39))*$J719+$Z719)))</f>
        <v>#N/A</v>
      </c>
    </row>
    <row r="720" spans="1:37" ht="25.8" hidden="1" x14ac:dyDescent="0.4">
      <c r="A720" s="41"/>
      <c r="B720" s="33">
        <f>_xlfn.XLOOKUP($A720,'[1]DATOS PBI Artículos'!A:A,'[1]DATOS PBI Artículos'!B:B)</f>
        <v>0</v>
      </c>
      <c r="C720" s="33">
        <f>_xlfn.XLOOKUP($A720,'[1]DATOS PBI Artículos'!A:A,'[1]DATOS PBI Artículos'!C:C)</f>
        <v>0</v>
      </c>
      <c r="D720" s="33">
        <f>_xlfn.XLOOKUP(A720,'[1]DATOS PBI Artículos'!A:A,'[1]DATOS PBI Artículos'!T:T)</f>
        <v>0</v>
      </c>
      <c r="E720" s="34">
        <f>IF(_xlfn.XLOOKUP($A720,'[1]DATOS PBI Artículos'!A:A,'[1]DATOS PBI Artículos'!AK:AK)="",_xlfn.XLOOKUP($A720,'[1]DATOS PBI Artículos'!A:A,'[1]DATOS PBI Artículos'!AJ:AJ),_xlfn.XLOOKUP($A720,'[1]DATOS PBI Artículos'!A:A,'[1]DATOS PBI Artículos'!AK:AK))</f>
        <v>0</v>
      </c>
      <c r="F720" s="35">
        <f>_xlfn.XLOOKUP($A720,'[1]DATOS PBI Artículos'!A:A,'[1]DATOS PBI Artículos'!AP:AP)</f>
        <v>0</v>
      </c>
      <c r="G720" s="34">
        <f>_xlfn.XLOOKUP($A720,'[1]DATOS PBI Artículos'!A:A,'[1]DATOS PBI Artículos'!AR:AR)</f>
        <v>0</v>
      </c>
      <c r="H720" s="34">
        <f>_xlfn.XLOOKUP($A720,'[1]DATOS PBI Artículos'!A:A,'[1]DATOS PBI Artículos'!AT:AT)</f>
        <v>0</v>
      </c>
      <c r="I720" s="34">
        <f>_xlfn.XLOOKUP($A720,'[1]DATOS PBI Artículos'!A:A,'[1]DATOS PBI Artículos'!AS:AS)</f>
        <v>0</v>
      </c>
      <c r="J720" s="35">
        <f>IF(COUNTIF([1]CRITERIOS!$F$179:$F$199,$A720)&gt;=1,
 IF(O720&lt;&gt;"",
    (O720/_xlfn.XLOOKUP(CONCATENATE(A720,L720),[1]MÁQUINAS!A:A,[1]MÁQUINAS!D:D))/24,
    (N720/_xlfn.XLOOKUP(CONCATENATE(A720,L720),[1]MÁQUINAS!A:A,[1]MÁQUINAS!D:D))/24),
  _xlfn.XLOOKUP($A720,'[1]DATOS PBI Artículos'!A:A,'[1]DATOS PBI Artículos'!AU:AU))</f>
        <v>0</v>
      </c>
      <c r="K720" s="36">
        <f>_xlfn.XLOOKUP($A720,'[1]DATOS PBI Artículos'!A:A,'[1]DATOS PBI Artículos'!AV:AV)</f>
        <v>0</v>
      </c>
      <c r="L720" s="33">
        <f>_xlfn.XLOOKUP(A720,[1]MÁQUINAS!B:B,[1]MÁQUINAS!C:C)</f>
        <v>0</v>
      </c>
      <c r="M720" s="34">
        <f t="array" ref="M720">_xlfn.XLOOKUP(A720,'[1]DATOS PBI Artículos'!A:A,'[1]DATOS PBI Artículos'!AX:$AX)</f>
        <v>0</v>
      </c>
      <c r="N720" s="37" t="e">
        <f>IF(I720="DV",
E720,
IF(COUNTIF([1]CRITERIOS!$I$179:$I$199,$A720)&gt;=1,
_xlfn.XLOOKUP($A720,[1]CRITERIOS!$I$179:$I$199,[1]CRITERIOS!$J$179:$J$199),
IF(COUNTIF([1]CRITERIOS!$L$179:$L$199,$A720)&gt;=1,
_xlfn.CEILING.MATH(IF($M720&gt;$E720,
$E720,
IF($M720&lt;$E720/ROUNDDOWN([1]CRITERIOS!$M$16/_xlfn.XLOOKUP($C720,[1]CRITERIOS!$K$25:$K$42,[1]CRITERIOS!$M$25:$M$42),
1),
E720/ROUNDDOWN([1]CRITERIOS!$M$16/_xlfn.XLOOKUP($C720,[1]CRITERIOS!$K$25:$K$42,[1]CRITERIOS!$M$25:$M$42),
1),
$M720)),
_xlfn.XLOOKUP($A720,[1]CRITERIOS!$L$179:$L$200,[1]CRITERIOS!$M$179:$M$200)),
_xlfn.CEILING.MATH(IF($M720&gt;$E720,
$E720,
IF($M720&lt;$E720/ROUNDDOWN([1]CRITERIOS!$M$16/_xlfn.XLOOKUP($C720,[1]CRITERIOS!$K$25:$K$42,[1]CRITERIOS!$M$25:$M$42),
1),
E720/ROUNDDOWN([1]CRITERIOS!$M$16/_xlfn.XLOOKUP($C720,[1]CRITERIOS!$K$25:$K$42,[1]CRITERIOS!$M$25:$M$42),
1),
$M720)),_xlfn.XLOOKUP(A720,'[1]DATOS PBI Artículos'!A:A,'[1]DATOS PBI Artículos'!Z:Z
)))))</f>
        <v>#N/A</v>
      </c>
      <c r="Q720" s="38" t="e">
        <f>IF(AND(O720="",N720=0),
0,
   IF(COUNTIF([1]CRITERIOS!$F$179:$F$199,$A720)&gt;=1,
   1,
   IF(R720="MTO",
      $D720,
      ROUNDUP(
                    IF(($E720-SUMIF('[1]DATOS PBI Artículos'!A:A,A720,'[1]DATOS PBI Artículos'!X:X)+($V720-_xlfn.XLOOKUP(A720,'[1]DATOS PBI Artículos'!A:A,'[1]DATOS PBI Artículos'!W:W)))&lt;0,
                    0,
                    IF(($E720-SUMIF('[1]DATOS PBI Artículos'!A:A,A720,'[1]DATOS PBI Artículos'!X:X)+$V720-_xlfn.XLOOKUP($A720,'[1]DATOS PBI Artículos'!A:A,'[1]DATOS PBI Artículos'!W:W))/IF($O720="",$N720,$O720)&gt;ROUNDUP([1]CRITERIOS!$M$16/(IF(COUNTIF([1]CRITERIOS!$BG$11:$BG$201,L720)&gt;=1,_xlfn.XLOOKUP($C720,[1]CRITERIOS!$K$25:$K$42,[1]CRITERIOS!$M$25:$M$42),_xlfn.XLOOKUP($C720,[1]CRITERIOS!$K$25:$K$42,[1]CRITERIOS!$M$25:$M$42))),0),
                    ROUNDUP([1]CRITERIOS!$M$16/(IF(COUNTIF([1]CRITERIOS!$BG$11:$BG$201,$L720)&gt;=1,_xlfn.XLOOKUP($C720,[1]CRITERIOS!$K$25:$K$42,[1]CRITERIOS!$M$25:$M$42),_xlfn.XLOOKUP($C720,[1]CRITERIOS!$K$25:$K$42,[1]CRITERIOS!$M$25:$M$42))),0),
                    (E720+V720-SUMIF('[1]DATOS PBI Artículos'!A:A,A720,'[1]DATOS PBI Artículos'!X:X)-_xlfn.XLOOKUP(A720,'[1]DATOS PBI Artículos'!A:A,'[1]DATOS PBI Artículos'!W:W))/IF($O720="",$N720,$O720))),0))))</f>
        <v>#N/A</v>
      </c>
      <c r="R720" s="33" t="e">
        <f>IF(U720&lt;&gt;"",U720,IF(F720="DV","MTO",IF(N720=0,"MTO",_xlfn.XLOOKUP(CONCATENATE(S720,T720),[1]CRITERIOS!$K$160:$K$168,[1]CRITERIOS!$N$160:$N$168))))</f>
        <v>#N/A</v>
      </c>
      <c r="S720" s="33" t="e">
        <f>IF(G720="DV","MTO",IF(N720=0,"MTO",IF(OR(AND(N720=0,O720=""),IF(O720="",G720/N720,G720/O720)&gt;[1]CRITERIOS!$G$163),"MTO",IF(IF(O720="",G720/N720,G720/O720)&lt;[1]CRITERIOS!$H$161,"MTS","MTOS"))))</f>
        <v>#N/A</v>
      </c>
      <c r="T720" s="33" t="e">
        <f>IF(F720="DV","MTO",IF(OR(AND($N720=0,O720=""),$F720/$J720&gt;[1]CRITERIOS!$G$170,$F720="DV"),"MTO",IF($F720/$J720&lt;[1]CRITERIOS!$H$168,"MTS","MTOS")))</f>
        <v>#N/A</v>
      </c>
      <c r="V720" s="34" t="e">
        <f t="shared" si="34"/>
        <v>#N/A</v>
      </c>
      <c r="X720" s="34" t="e">
        <f t="shared" si="35"/>
        <v>#N/A</v>
      </c>
      <c r="Y720" s="34" t="e">
        <f t="shared" si="36"/>
        <v>#N/A</v>
      </c>
      <c r="Z720" s="34" t="e">
        <f>IF($R720="MTO",
0,
($H720+$K720*($E720/[1]CRITERIOS!$M$16))/[1]CRITERIOS!$X$48)</f>
        <v>#N/A</v>
      </c>
      <c r="AA720" s="34" t="e">
        <f>ROUNDUP(($Y720/_xlfn.XLOOKUP($A720,'[1]DATOS PBI Artículos'!$A$4:$A$4,'[1]DATOS PBI Artículos'!$Z$4:$Z$4))/_xlfn.XLOOKUP(_xlfn.XLOOKUP($A720,'[1]DATOS PBI Artículos'!$A$4:$A$4,'[1]DATOS PBI Artículos'!$Y$4:$Y$4),[1]CRITERIOS!$P$79:$P$123,[1]CRITERIOS!$S$79:$S$123,),0)</f>
        <v>#N/A</v>
      </c>
      <c r="AC720" s="33" t="e">
        <f>IF(N720=0,"",(ROUNDUP((N720/2)/(_xlfn.XLOOKUP(A720,'[1]DATOS PBI Artículos'!$A$4:$A$4,'[1]DATOS PBI Artículos'!$Z$4:$Z$4)*_xlfn.XLOOKUP(_xlfn.XLOOKUP(A720,'[1]DATOS PBI Artículos'!$A$4:$A$4,'[1]DATOS PBI Artículos'!$Y$4:$Y$4),[1]CRITERIOS!$P$79:$P$123,[1]CRITERIOS!$S$79:$S$123)),0)*[1]CRITERIOS!$M$80*([1]CRITERIOS!$M$110/[1]CRITERIOS!$M$86)+(_xlfn.XLOOKUP(A720,'[1]DATOS PBI Artículos'!$A$4:$A$4,'[1]DATOS PBI Artículos'!$AA$4:$AA$4)*([1]CRITERIOS!$M$95+[1]CRITERIOS!$M$98)))/N720)</f>
        <v>#N/A</v>
      </c>
      <c r="AD720" s="33" t="e">
        <f>IF(N720=0,"",(ROUNDUP((N720/2)/(_xlfn.XLOOKUP(A720,'[1]DATOS PBI Artículos'!$A$4:$A$4,'[1]DATOS PBI Artículos'!$Z$4:$Z$4)*_xlfn.XLOOKUP(_xlfn.XLOOKUP(A720,'[1]DATOS PBI Artículos'!$A$4:$A$4,'[1]DATOS PBI Artículos'!$Y$4:$Y$4),[1]CRITERIOS!$P$79:$P$123,[1]CRITERIOS!$S$79:$S$123)),0)*[1]CRITERIOS!$M$80*([1]CRITERIOS!$M$89*[1]CRITERIOS!$M$92)+((_xlfn.XLOOKUP(A720,'[1]DATOS PBI Artículos'!$A$4:$A$4,'[1]DATOS PBI Artículos'!$AA$4:$AA$4)/2)*([1]CRITERIOS!$M$95+[1]CRITERIOS!$M$98)))/N720)</f>
        <v>#N/A</v>
      </c>
      <c r="AE720" s="39" t="e">
        <f>IF($R720="MTO","",
IF($H720=0,ROUNDUP(((_xlfn.XLOOKUP($A720,'[1]DATOS PBI Artículos'!$A:$A,'[1]DATOS PBI Artículos'!$AL:$AL))/(_xlfn.XLOOKUP($AF$1,[1]CRITERIOS!$S$16:$S$39,[1]CRITERIOS!$Y$16:$Y$39))*$J720+$Z720)/$G720,0)*$G720,
((_xlfn.XLOOKUP($A720,'[1]DATOS PBI Artículos'!$A:$A,'[1]DATOS PBI Artículos'!$AL:$AL))/(_xlfn.XLOOKUP($AF$1,[1]CRITERIOS!$S$16:$S$39,[1]CRITERIOS!$Y$16:$Y$39))*$J720+$Z720)))</f>
        <v>#N/A</v>
      </c>
      <c r="AG720" s="39" t="e">
        <f>IF($R720="MTO","",
IF($H720=0,ROUNDUP(((_xlfn.XLOOKUP($A720,'[1]DATOS PBI Artículos'!$A:$A,'[1]DATOS PBI Artículos'!$AM:$AM))/(_xlfn.XLOOKUP($AH$1,[1]CRITERIOS!$S$16:$S$39,[1]CRITERIOS!$Y$16:$Y$39))*$J720+$Z720)/$G720,0)*$G720,
((_xlfn.XLOOKUP($A720,'[1]DATOS PBI Artículos'!$A:$A,'[1]DATOS PBI Artículos'!$AM:$AM))/(_xlfn.XLOOKUP($AH$1,[1]CRITERIOS!$S$16:$S$39,[1]CRITERIOS!$Y$16:$Y$39))*$J720+$Z720)))</f>
        <v>#N/A</v>
      </c>
      <c r="AI720" s="39" t="e">
        <f>IF($R720="MTO","",
IF($H720=0,ROUNDUP(((_xlfn.XLOOKUP($A720,'[1]DATOS PBI Artículos'!$A:$A,'[1]DATOS PBI Artículos'!$AN:$AN))/(_xlfn.XLOOKUP($AJ$1,[1]CRITERIOS!$S$16:$S$39,[1]CRITERIOS!$Y$16:$Y$39))*$J720+$Z720)/$G720,0)*$G720,
((_xlfn.XLOOKUP($A720,'[1]DATOS PBI Artículos'!$A:$A,'[1]DATOS PBI Artículos'!$AN:$AN))/(_xlfn.XLOOKUP($AJ$1,[1]CRITERIOS!$S$16:$S$39,[1]CRITERIOS!$Y$16:$Y$39))*$J720+$Z720)))</f>
        <v>#N/A</v>
      </c>
      <c r="AK720" s="39" t="e">
        <f>IF($R720="MTO","",
IF($H720=0,ROUNDUP(((_xlfn.XLOOKUP($A720,'[1]DATOS PBI Artículos'!$A:$A,'[1]DATOS PBI Artículos'!$AO:$AO))/(_xlfn.XLOOKUP($AL$1,[1]CRITERIOS!$S$16:$S$39,[1]CRITERIOS!$Y$16:$Y$39))*$J720+$Z720)/$G720,0)*$G720,
((_xlfn.XLOOKUP($A720,'[1]DATOS PBI Artículos'!$A:$A,'[1]DATOS PBI Artículos'!$AO:$AO))/(_xlfn.XLOOKUP($AL$1,[1]CRITERIOS!$S$16:$S$39,[1]CRITERIOS!$Y$16:$Y$39))*$J720+$Z720)))</f>
        <v>#N/A</v>
      </c>
    </row>
    <row r="721" spans="1:37" ht="25.8" hidden="1" x14ac:dyDescent="0.4">
      <c r="A721" s="41"/>
      <c r="B721" s="33">
        <f>_xlfn.XLOOKUP($A721,'[1]DATOS PBI Artículos'!A:A,'[1]DATOS PBI Artículos'!B:B)</f>
        <v>0</v>
      </c>
      <c r="C721" s="33">
        <f>_xlfn.XLOOKUP($A721,'[1]DATOS PBI Artículos'!A:A,'[1]DATOS PBI Artículos'!C:C)</f>
        <v>0</v>
      </c>
      <c r="D721" s="33">
        <f>_xlfn.XLOOKUP(A721,'[1]DATOS PBI Artículos'!A:A,'[1]DATOS PBI Artículos'!T:T)</f>
        <v>0</v>
      </c>
      <c r="E721" s="34">
        <f>IF(_xlfn.XLOOKUP($A721,'[1]DATOS PBI Artículos'!A:A,'[1]DATOS PBI Artículos'!AK:AK)="",_xlfn.XLOOKUP($A721,'[1]DATOS PBI Artículos'!A:A,'[1]DATOS PBI Artículos'!AJ:AJ),_xlfn.XLOOKUP($A721,'[1]DATOS PBI Artículos'!A:A,'[1]DATOS PBI Artículos'!AK:AK))</f>
        <v>0</v>
      </c>
      <c r="F721" s="35">
        <f>_xlfn.XLOOKUP($A721,'[1]DATOS PBI Artículos'!A:A,'[1]DATOS PBI Artículos'!AP:AP)</f>
        <v>0</v>
      </c>
      <c r="G721" s="34">
        <f>_xlfn.XLOOKUP($A721,'[1]DATOS PBI Artículos'!A:A,'[1]DATOS PBI Artículos'!AR:AR)</f>
        <v>0</v>
      </c>
      <c r="H721" s="34">
        <f>_xlfn.XLOOKUP($A721,'[1]DATOS PBI Artículos'!A:A,'[1]DATOS PBI Artículos'!AT:AT)</f>
        <v>0</v>
      </c>
      <c r="I721" s="34">
        <f>_xlfn.XLOOKUP($A721,'[1]DATOS PBI Artículos'!A:A,'[1]DATOS PBI Artículos'!AS:AS)</f>
        <v>0</v>
      </c>
      <c r="J721" s="35">
        <f>IF(COUNTIF([1]CRITERIOS!$F$179:$F$199,$A721)&gt;=1,
 IF(O721&lt;&gt;"",
    (O721/_xlfn.XLOOKUP(CONCATENATE(A721,L721),[1]MÁQUINAS!A:A,[1]MÁQUINAS!D:D))/24,
    (N721/_xlfn.XLOOKUP(CONCATENATE(A721,L721),[1]MÁQUINAS!A:A,[1]MÁQUINAS!D:D))/24),
  _xlfn.XLOOKUP($A721,'[1]DATOS PBI Artículos'!A:A,'[1]DATOS PBI Artículos'!AU:AU))</f>
        <v>0</v>
      </c>
      <c r="K721" s="36">
        <f>_xlfn.XLOOKUP($A721,'[1]DATOS PBI Artículos'!A:A,'[1]DATOS PBI Artículos'!AV:AV)</f>
        <v>0</v>
      </c>
      <c r="L721" s="33">
        <f>_xlfn.XLOOKUP(A721,[1]MÁQUINAS!B:B,[1]MÁQUINAS!C:C)</f>
        <v>0</v>
      </c>
      <c r="M721" s="34">
        <f t="array" ref="M721">_xlfn.XLOOKUP(A721,'[1]DATOS PBI Artículos'!A:A,'[1]DATOS PBI Artículos'!AX:$AX)</f>
        <v>0</v>
      </c>
      <c r="N721" s="37" t="e">
        <f>IF(I721="DV",
E721,
IF(COUNTIF([1]CRITERIOS!$I$179:$I$199,$A721)&gt;=1,
_xlfn.XLOOKUP($A721,[1]CRITERIOS!$I$179:$I$199,[1]CRITERIOS!$J$179:$J$199),
IF(COUNTIF([1]CRITERIOS!$L$179:$L$199,$A721)&gt;=1,
_xlfn.CEILING.MATH(IF($M721&gt;$E721,
$E721,
IF($M721&lt;$E721/ROUNDDOWN([1]CRITERIOS!$M$16/_xlfn.XLOOKUP($C721,[1]CRITERIOS!$K$25:$K$42,[1]CRITERIOS!$M$25:$M$42),
1),
E721/ROUNDDOWN([1]CRITERIOS!$M$16/_xlfn.XLOOKUP($C721,[1]CRITERIOS!$K$25:$K$42,[1]CRITERIOS!$M$25:$M$42),
1),
$M721)),
_xlfn.XLOOKUP($A721,[1]CRITERIOS!$L$179:$L$200,[1]CRITERIOS!$M$179:$M$200)),
_xlfn.CEILING.MATH(IF($M721&gt;$E721,
$E721,
IF($M721&lt;$E721/ROUNDDOWN([1]CRITERIOS!$M$16/_xlfn.XLOOKUP($C721,[1]CRITERIOS!$K$25:$K$42,[1]CRITERIOS!$M$25:$M$42),
1),
E721/ROUNDDOWN([1]CRITERIOS!$M$16/_xlfn.XLOOKUP($C721,[1]CRITERIOS!$K$25:$K$42,[1]CRITERIOS!$M$25:$M$42),
1),
$M721)),_xlfn.XLOOKUP(A721,'[1]DATOS PBI Artículos'!A:A,'[1]DATOS PBI Artículos'!Z:Z
)))))</f>
        <v>#N/A</v>
      </c>
      <c r="Q721" s="38" t="e">
        <f>IF(AND(O721="",N721=0),
0,
   IF(COUNTIF([1]CRITERIOS!$F$179:$F$199,$A721)&gt;=1,
   1,
   IF(R721="MTO",
      $D721,
      ROUNDUP(
                    IF(($E721-SUMIF('[1]DATOS PBI Artículos'!A:A,A721,'[1]DATOS PBI Artículos'!X:X)+($V721-_xlfn.XLOOKUP(A721,'[1]DATOS PBI Artículos'!A:A,'[1]DATOS PBI Artículos'!W:W)))&lt;0,
                    0,
                    IF(($E721-SUMIF('[1]DATOS PBI Artículos'!A:A,A721,'[1]DATOS PBI Artículos'!X:X)+$V721-_xlfn.XLOOKUP($A721,'[1]DATOS PBI Artículos'!A:A,'[1]DATOS PBI Artículos'!W:W))/IF($O721="",$N721,$O721)&gt;ROUNDUP([1]CRITERIOS!$M$16/(IF(COUNTIF([1]CRITERIOS!$BG$11:$BG$201,L721)&gt;=1,_xlfn.XLOOKUP($C721,[1]CRITERIOS!$K$25:$K$42,[1]CRITERIOS!$M$25:$M$42),_xlfn.XLOOKUP($C721,[1]CRITERIOS!$K$25:$K$42,[1]CRITERIOS!$M$25:$M$42))),0),
                    ROUNDUP([1]CRITERIOS!$M$16/(IF(COUNTIF([1]CRITERIOS!$BG$11:$BG$201,$L721)&gt;=1,_xlfn.XLOOKUP($C721,[1]CRITERIOS!$K$25:$K$42,[1]CRITERIOS!$M$25:$M$42),_xlfn.XLOOKUP($C721,[1]CRITERIOS!$K$25:$K$42,[1]CRITERIOS!$M$25:$M$42))),0),
                    (E721+V721-SUMIF('[1]DATOS PBI Artículos'!A:A,A721,'[1]DATOS PBI Artículos'!X:X)-_xlfn.XLOOKUP(A721,'[1]DATOS PBI Artículos'!A:A,'[1]DATOS PBI Artículos'!W:W))/IF($O721="",$N721,$O721))),0))))</f>
        <v>#N/A</v>
      </c>
      <c r="R721" s="33" t="e">
        <f>IF(U721&lt;&gt;"",U721,IF(F721="DV","MTO",IF(N721=0,"MTO",_xlfn.XLOOKUP(CONCATENATE(S721,T721),[1]CRITERIOS!$K$160:$K$168,[1]CRITERIOS!$N$160:$N$168))))</f>
        <v>#N/A</v>
      </c>
      <c r="S721" s="33" t="e">
        <f>IF(G721="DV","MTO",IF(N721=0,"MTO",IF(OR(AND(N721=0,O721=""),IF(O721="",G721/N721,G721/O721)&gt;[1]CRITERIOS!$G$163),"MTO",IF(IF(O721="",G721/N721,G721/O721)&lt;[1]CRITERIOS!$H$161,"MTS","MTOS"))))</f>
        <v>#N/A</v>
      </c>
      <c r="T721" s="33" t="e">
        <f>IF(F721="DV","MTO",IF(OR(AND($N721=0,O721=""),$F721/$J721&gt;[1]CRITERIOS!$G$170,$F721="DV"),"MTO",IF($F721/$J721&lt;[1]CRITERIOS!$H$168,"MTS","MTOS")))</f>
        <v>#N/A</v>
      </c>
      <c r="V721" s="34" t="e">
        <f t="shared" si="34"/>
        <v>#N/A</v>
      </c>
      <c r="X721" s="34" t="e">
        <f t="shared" si="35"/>
        <v>#N/A</v>
      </c>
      <c r="Y721" s="34" t="e">
        <f t="shared" si="36"/>
        <v>#N/A</v>
      </c>
      <c r="Z721" s="34" t="e">
        <f>IF($R721="MTO",
0,
($H721+$K721*($E721/[1]CRITERIOS!$M$16))/[1]CRITERIOS!$X$48)</f>
        <v>#N/A</v>
      </c>
      <c r="AA721" s="34" t="e">
        <f>ROUNDUP(($Y721/_xlfn.XLOOKUP($A721,'[1]DATOS PBI Artículos'!$A$4:$A$4,'[1]DATOS PBI Artículos'!$Z$4:$Z$4))/_xlfn.XLOOKUP(_xlfn.XLOOKUP($A721,'[1]DATOS PBI Artículos'!$A$4:$A$4,'[1]DATOS PBI Artículos'!$Y$4:$Y$4),[1]CRITERIOS!$P$79:$P$123,[1]CRITERIOS!$S$79:$S$123,),0)</f>
        <v>#N/A</v>
      </c>
      <c r="AC721" s="33" t="e">
        <f>IF(N721=0,"",(ROUNDUP((N721/2)/(_xlfn.XLOOKUP(A721,'[1]DATOS PBI Artículos'!$A$4:$A$4,'[1]DATOS PBI Artículos'!$Z$4:$Z$4)*_xlfn.XLOOKUP(_xlfn.XLOOKUP(A721,'[1]DATOS PBI Artículos'!$A$4:$A$4,'[1]DATOS PBI Artículos'!$Y$4:$Y$4),[1]CRITERIOS!$P$79:$P$123,[1]CRITERIOS!$S$79:$S$123)),0)*[1]CRITERIOS!$M$80*([1]CRITERIOS!$M$110/[1]CRITERIOS!$M$86)+(_xlfn.XLOOKUP(A721,'[1]DATOS PBI Artículos'!$A$4:$A$4,'[1]DATOS PBI Artículos'!$AA$4:$AA$4)*([1]CRITERIOS!$M$95+[1]CRITERIOS!$M$98)))/N721)</f>
        <v>#N/A</v>
      </c>
      <c r="AD721" s="33" t="e">
        <f>IF(N721=0,"",(ROUNDUP((N721/2)/(_xlfn.XLOOKUP(A721,'[1]DATOS PBI Artículos'!$A$4:$A$4,'[1]DATOS PBI Artículos'!$Z$4:$Z$4)*_xlfn.XLOOKUP(_xlfn.XLOOKUP(A721,'[1]DATOS PBI Artículos'!$A$4:$A$4,'[1]DATOS PBI Artículos'!$Y$4:$Y$4),[1]CRITERIOS!$P$79:$P$123,[1]CRITERIOS!$S$79:$S$123)),0)*[1]CRITERIOS!$M$80*([1]CRITERIOS!$M$89*[1]CRITERIOS!$M$92)+((_xlfn.XLOOKUP(A721,'[1]DATOS PBI Artículos'!$A$4:$A$4,'[1]DATOS PBI Artículos'!$AA$4:$AA$4)/2)*([1]CRITERIOS!$M$95+[1]CRITERIOS!$M$98)))/N721)</f>
        <v>#N/A</v>
      </c>
      <c r="AE721" s="39" t="e">
        <f>IF($R721="MTO","",
IF($H721=0,ROUNDUP(((_xlfn.XLOOKUP($A721,'[1]DATOS PBI Artículos'!$A:$A,'[1]DATOS PBI Artículos'!$AL:$AL))/(_xlfn.XLOOKUP($AF$1,[1]CRITERIOS!$S$16:$S$39,[1]CRITERIOS!$Y$16:$Y$39))*$J721+$Z721)/$G721,0)*$G721,
((_xlfn.XLOOKUP($A721,'[1]DATOS PBI Artículos'!$A:$A,'[1]DATOS PBI Artículos'!$AL:$AL))/(_xlfn.XLOOKUP($AF$1,[1]CRITERIOS!$S$16:$S$39,[1]CRITERIOS!$Y$16:$Y$39))*$J721+$Z721)))</f>
        <v>#N/A</v>
      </c>
      <c r="AG721" s="39" t="e">
        <f>IF($R721="MTO","",
IF($H721=0,ROUNDUP(((_xlfn.XLOOKUP($A721,'[1]DATOS PBI Artículos'!$A:$A,'[1]DATOS PBI Artículos'!$AM:$AM))/(_xlfn.XLOOKUP($AH$1,[1]CRITERIOS!$S$16:$S$39,[1]CRITERIOS!$Y$16:$Y$39))*$J721+$Z721)/$G721,0)*$G721,
((_xlfn.XLOOKUP($A721,'[1]DATOS PBI Artículos'!$A:$A,'[1]DATOS PBI Artículos'!$AM:$AM))/(_xlfn.XLOOKUP($AH$1,[1]CRITERIOS!$S$16:$S$39,[1]CRITERIOS!$Y$16:$Y$39))*$J721+$Z721)))</f>
        <v>#N/A</v>
      </c>
      <c r="AI721" s="39" t="e">
        <f>IF($R721="MTO","",
IF($H721=0,ROUNDUP(((_xlfn.XLOOKUP($A721,'[1]DATOS PBI Artículos'!$A:$A,'[1]DATOS PBI Artículos'!$AN:$AN))/(_xlfn.XLOOKUP($AJ$1,[1]CRITERIOS!$S$16:$S$39,[1]CRITERIOS!$Y$16:$Y$39))*$J721+$Z721)/$G721,0)*$G721,
((_xlfn.XLOOKUP($A721,'[1]DATOS PBI Artículos'!$A:$A,'[1]DATOS PBI Artículos'!$AN:$AN))/(_xlfn.XLOOKUP($AJ$1,[1]CRITERIOS!$S$16:$S$39,[1]CRITERIOS!$Y$16:$Y$39))*$J721+$Z721)))</f>
        <v>#N/A</v>
      </c>
      <c r="AK721" s="39" t="e">
        <f>IF($R721="MTO","",
IF($H721=0,ROUNDUP(((_xlfn.XLOOKUP($A721,'[1]DATOS PBI Artículos'!$A:$A,'[1]DATOS PBI Artículos'!$AO:$AO))/(_xlfn.XLOOKUP($AL$1,[1]CRITERIOS!$S$16:$S$39,[1]CRITERIOS!$Y$16:$Y$39))*$J721+$Z721)/$G721,0)*$G721,
((_xlfn.XLOOKUP($A721,'[1]DATOS PBI Artículos'!$A:$A,'[1]DATOS PBI Artículos'!$AO:$AO))/(_xlfn.XLOOKUP($AL$1,[1]CRITERIOS!$S$16:$S$39,[1]CRITERIOS!$Y$16:$Y$39))*$J721+$Z721)))</f>
        <v>#N/A</v>
      </c>
    </row>
    <row r="722" spans="1:37" ht="25.8" hidden="1" x14ac:dyDescent="0.4">
      <c r="A722" s="41"/>
      <c r="B722" s="33">
        <f>_xlfn.XLOOKUP($A722,'[1]DATOS PBI Artículos'!A:A,'[1]DATOS PBI Artículos'!B:B)</f>
        <v>0</v>
      </c>
      <c r="C722" s="33">
        <f>_xlfn.XLOOKUP($A722,'[1]DATOS PBI Artículos'!A:A,'[1]DATOS PBI Artículos'!C:C)</f>
        <v>0</v>
      </c>
      <c r="D722" s="33">
        <f>_xlfn.XLOOKUP(A722,'[1]DATOS PBI Artículos'!A:A,'[1]DATOS PBI Artículos'!T:T)</f>
        <v>0</v>
      </c>
      <c r="E722" s="34">
        <f>IF(_xlfn.XLOOKUP($A722,'[1]DATOS PBI Artículos'!A:A,'[1]DATOS PBI Artículos'!AK:AK)="",_xlfn.XLOOKUP($A722,'[1]DATOS PBI Artículos'!A:A,'[1]DATOS PBI Artículos'!AJ:AJ),_xlfn.XLOOKUP($A722,'[1]DATOS PBI Artículos'!A:A,'[1]DATOS PBI Artículos'!AK:AK))</f>
        <v>0</v>
      </c>
      <c r="F722" s="35">
        <f>_xlfn.XLOOKUP($A722,'[1]DATOS PBI Artículos'!A:A,'[1]DATOS PBI Artículos'!AP:AP)</f>
        <v>0</v>
      </c>
      <c r="G722" s="34">
        <f>_xlfn.XLOOKUP($A722,'[1]DATOS PBI Artículos'!A:A,'[1]DATOS PBI Artículos'!AR:AR)</f>
        <v>0</v>
      </c>
      <c r="H722" s="34">
        <f>_xlfn.XLOOKUP($A722,'[1]DATOS PBI Artículos'!A:A,'[1]DATOS PBI Artículos'!AT:AT)</f>
        <v>0</v>
      </c>
      <c r="I722" s="34">
        <f>_xlfn.XLOOKUP($A722,'[1]DATOS PBI Artículos'!A:A,'[1]DATOS PBI Artículos'!AS:AS)</f>
        <v>0</v>
      </c>
      <c r="J722" s="35">
        <f>IF(COUNTIF([1]CRITERIOS!$F$179:$F$199,$A722)&gt;=1,
 IF(O722&lt;&gt;"",
    (O722/_xlfn.XLOOKUP(CONCATENATE(A722,L722),[1]MÁQUINAS!A:A,[1]MÁQUINAS!D:D))/24,
    (N722/_xlfn.XLOOKUP(CONCATENATE(A722,L722),[1]MÁQUINAS!A:A,[1]MÁQUINAS!D:D))/24),
  _xlfn.XLOOKUP($A722,'[1]DATOS PBI Artículos'!A:A,'[1]DATOS PBI Artículos'!AU:AU))</f>
        <v>0</v>
      </c>
      <c r="K722" s="36">
        <f>_xlfn.XLOOKUP($A722,'[1]DATOS PBI Artículos'!A:A,'[1]DATOS PBI Artículos'!AV:AV)</f>
        <v>0</v>
      </c>
      <c r="L722" s="33">
        <f>_xlfn.XLOOKUP(A722,[1]MÁQUINAS!B:B,[1]MÁQUINAS!C:C)</f>
        <v>0</v>
      </c>
      <c r="M722" s="34">
        <f t="array" ref="M722">_xlfn.XLOOKUP(A722,'[1]DATOS PBI Artículos'!A:A,'[1]DATOS PBI Artículos'!AX:$AX)</f>
        <v>0</v>
      </c>
      <c r="N722" s="37" t="e">
        <f>IF(I722="DV",
E722,
IF(COUNTIF([1]CRITERIOS!$I$179:$I$199,$A722)&gt;=1,
_xlfn.XLOOKUP($A722,[1]CRITERIOS!$I$179:$I$199,[1]CRITERIOS!$J$179:$J$199),
IF(COUNTIF([1]CRITERIOS!$L$179:$L$199,$A722)&gt;=1,
_xlfn.CEILING.MATH(IF($M722&gt;$E722,
$E722,
IF($M722&lt;$E722/ROUNDDOWN([1]CRITERIOS!$M$16/_xlfn.XLOOKUP($C722,[1]CRITERIOS!$K$25:$K$42,[1]CRITERIOS!$M$25:$M$42),
1),
E722/ROUNDDOWN([1]CRITERIOS!$M$16/_xlfn.XLOOKUP($C722,[1]CRITERIOS!$K$25:$K$42,[1]CRITERIOS!$M$25:$M$42),
1),
$M722)),
_xlfn.XLOOKUP($A722,[1]CRITERIOS!$L$179:$L$200,[1]CRITERIOS!$M$179:$M$200)),
_xlfn.CEILING.MATH(IF($M722&gt;$E722,
$E722,
IF($M722&lt;$E722/ROUNDDOWN([1]CRITERIOS!$M$16/_xlfn.XLOOKUP($C722,[1]CRITERIOS!$K$25:$K$42,[1]CRITERIOS!$M$25:$M$42),
1),
E722/ROUNDDOWN([1]CRITERIOS!$M$16/_xlfn.XLOOKUP($C722,[1]CRITERIOS!$K$25:$K$42,[1]CRITERIOS!$M$25:$M$42),
1),
$M722)),_xlfn.XLOOKUP(A722,'[1]DATOS PBI Artículos'!A:A,'[1]DATOS PBI Artículos'!Z:Z
)))))</f>
        <v>#N/A</v>
      </c>
      <c r="Q722" s="38" t="e">
        <f>IF(AND(O722="",N722=0),
0,
   IF(COUNTIF([1]CRITERIOS!$F$179:$F$199,$A722)&gt;=1,
   1,
   IF(R722="MTO",
      $D722,
      ROUNDUP(
                    IF(($E722-SUMIF('[1]DATOS PBI Artículos'!A:A,A722,'[1]DATOS PBI Artículos'!X:X)+($V722-_xlfn.XLOOKUP(A722,'[1]DATOS PBI Artículos'!A:A,'[1]DATOS PBI Artículos'!W:W)))&lt;0,
                    0,
                    IF(($E722-SUMIF('[1]DATOS PBI Artículos'!A:A,A722,'[1]DATOS PBI Artículos'!X:X)+$V722-_xlfn.XLOOKUP($A722,'[1]DATOS PBI Artículos'!A:A,'[1]DATOS PBI Artículos'!W:W))/IF($O722="",$N722,$O722)&gt;ROUNDUP([1]CRITERIOS!$M$16/(IF(COUNTIF([1]CRITERIOS!$BG$11:$BG$201,L722)&gt;=1,_xlfn.XLOOKUP($C722,[1]CRITERIOS!$K$25:$K$42,[1]CRITERIOS!$M$25:$M$42),_xlfn.XLOOKUP($C722,[1]CRITERIOS!$K$25:$K$42,[1]CRITERIOS!$M$25:$M$42))),0),
                    ROUNDUP([1]CRITERIOS!$M$16/(IF(COUNTIF([1]CRITERIOS!$BG$11:$BG$201,$L722)&gt;=1,_xlfn.XLOOKUP($C722,[1]CRITERIOS!$K$25:$K$42,[1]CRITERIOS!$M$25:$M$42),_xlfn.XLOOKUP($C722,[1]CRITERIOS!$K$25:$K$42,[1]CRITERIOS!$M$25:$M$42))),0),
                    (E722+V722-SUMIF('[1]DATOS PBI Artículos'!A:A,A722,'[1]DATOS PBI Artículos'!X:X)-_xlfn.XLOOKUP(A722,'[1]DATOS PBI Artículos'!A:A,'[1]DATOS PBI Artículos'!W:W))/IF($O722="",$N722,$O722))),0))))</f>
        <v>#N/A</v>
      </c>
      <c r="R722" s="33" t="e">
        <f>IF(U722&lt;&gt;"",U722,IF(F722="DV","MTO",IF(N722=0,"MTO",_xlfn.XLOOKUP(CONCATENATE(S722,T722),[1]CRITERIOS!$K$160:$K$168,[1]CRITERIOS!$N$160:$N$168))))</f>
        <v>#N/A</v>
      </c>
      <c r="S722" s="33" t="e">
        <f>IF(G722="DV","MTO",IF(N722=0,"MTO",IF(OR(AND(N722=0,O722=""),IF(O722="",G722/N722,G722/O722)&gt;[1]CRITERIOS!$G$163),"MTO",IF(IF(O722="",G722/N722,G722/O722)&lt;[1]CRITERIOS!$H$161,"MTS","MTOS"))))</f>
        <v>#N/A</v>
      </c>
      <c r="T722" s="33" t="e">
        <f>IF(F722="DV","MTO",IF(OR(AND($N722=0,O722=""),$F722/$J722&gt;[1]CRITERIOS!$G$170,$F722="DV"),"MTO",IF($F722/$J722&lt;[1]CRITERIOS!$H$168,"MTS","MTOS")))</f>
        <v>#N/A</v>
      </c>
      <c r="V722" s="34" t="e">
        <f t="shared" si="34"/>
        <v>#N/A</v>
      </c>
      <c r="X722" s="34" t="e">
        <f t="shared" si="35"/>
        <v>#N/A</v>
      </c>
      <c r="Y722" s="34" t="e">
        <f t="shared" si="36"/>
        <v>#N/A</v>
      </c>
      <c r="Z722" s="34" t="e">
        <f>IF($R722="MTO",
0,
($H722+$K722*($E722/[1]CRITERIOS!$M$16))/[1]CRITERIOS!$X$48)</f>
        <v>#N/A</v>
      </c>
      <c r="AA722" s="34" t="e">
        <f>ROUNDUP(($Y722/_xlfn.XLOOKUP($A722,'[1]DATOS PBI Artículos'!$A$4:$A$4,'[1]DATOS PBI Artículos'!$Z$4:$Z$4))/_xlfn.XLOOKUP(_xlfn.XLOOKUP($A722,'[1]DATOS PBI Artículos'!$A$4:$A$4,'[1]DATOS PBI Artículos'!$Y$4:$Y$4),[1]CRITERIOS!$P$79:$P$123,[1]CRITERIOS!$S$79:$S$123,),0)</f>
        <v>#N/A</v>
      </c>
      <c r="AC722" s="33" t="e">
        <f>IF(N722=0,"",(ROUNDUP((N722/2)/(_xlfn.XLOOKUP(A722,'[1]DATOS PBI Artículos'!$A$4:$A$4,'[1]DATOS PBI Artículos'!$Z$4:$Z$4)*_xlfn.XLOOKUP(_xlfn.XLOOKUP(A722,'[1]DATOS PBI Artículos'!$A$4:$A$4,'[1]DATOS PBI Artículos'!$Y$4:$Y$4),[1]CRITERIOS!$P$79:$P$123,[1]CRITERIOS!$S$79:$S$123)),0)*[1]CRITERIOS!$M$80*([1]CRITERIOS!$M$110/[1]CRITERIOS!$M$86)+(_xlfn.XLOOKUP(A722,'[1]DATOS PBI Artículos'!$A$4:$A$4,'[1]DATOS PBI Artículos'!$AA$4:$AA$4)*([1]CRITERIOS!$M$95+[1]CRITERIOS!$M$98)))/N722)</f>
        <v>#N/A</v>
      </c>
      <c r="AD722" s="33" t="e">
        <f>IF(N722=0,"",(ROUNDUP((N722/2)/(_xlfn.XLOOKUP(A722,'[1]DATOS PBI Artículos'!$A$4:$A$4,'[1]DATOS PBI Artículos'!$Z$4:$Z$4)*_xlfn.XLOOKUP(_xlfn.XLOOKUP(A722,'[1]DATOS PBI Artículos'!$A$4:$A$4,'[1]DATOS PBI Artículos'!$Y$4:$Y$4),[1]CRITERIOS!$P$79:$P$123,[1]CRITERIOS!$S$79:$S$123)),0)*[1]CRITERIOS!$M$80*([1]CRITERIOS!$M$89*[1]CRITERIOS!$M$92)+((_xlfn.XLOOKUP(A722,'[1]DATOS PBI Artículos'!$A$4:$A$4,'[1]DATOS PBI Artículos'!$AA$4:$AA$4)/2)*([1]CRITERIOS!$M$95+[1]CRITERIOS!$M$98)))/N722)</f>
        <v>#N/A</v>
      </c>
      <c r="AE722" s="39" t="e">
        <f>IF($R722="MTO","",
IF($H722=0,ROUNDUP(((_xlfn.XLOOKUP($A722,'[1]DATOS PBI Artículos'!$A:$A,'[1]DATOS PBI Artículos'!$AL:$AL))/(_xlfn.XLOOKUP($AF$1,[1]CRITERIOS!$S$16:$S$39,[1]CRITERIOS!$Y$16:$Y$39))*$J722+$Z722)/$G722,0)*$G722,
((_xlfn.XLOOKUP($A722,'[1]DATOS PBI Artículos'!$A:$A,'[1]DATOS PBI Artículos'!$AL:$AL))/(_xlfn.XLOOKUP($AF$1,[1]CRITERIOS!$S$16:$S$39,[1]CRITERIOS!$Y$16:$Y$39))*$J722+$Z722)))</f>
        <v>#N/A</v>
      </c>
      <c r="AG722" s="39" t="e">
        <f>IF($R722="MTO","",
IF($H722=0,ROUNDUP(((_xlfn.XLOOKUP($A722,'[1]DATOS PBI Artículos'!$A:$A,'[1]DATOS PBI Artículos'!$AM:$AM))/(_xlfn.XLOOKUP($AH$1,[1]CRITERIOS!$S$16:$S$39,[1]CRITERIOS!$Y$16:$Y$39))*$J722+$Z722)/$G722,0)*$G722,
((_xlfn.XLOOKUP($A722,'[1]DATOS PBI Artículos'!$A:$A,'[1]DATOS PBI Artículos'!$AM:$AM))/(_xlfn.XLOOKUP($AH$1,[1]CRITERIOS!$S$16:$S$39,[1]CRITERIOS!$Y$16:$Y$39))*$J722+$Z722)))</f>
        <v>#N/A</v>
      </c>
      <c r="AI722" s="39" t="e">
        <f>IF($R722="MTO","",
IF($H722=0,ROUNDUP(((_xlfn.XLOOKUP($A722,'[1]DATOS PBI Artículos'!$A:$A,'[1]DATOS PBI Artículos'!$AN:$AN))/(_xlfn.XLOOKUP($AJ$1,[1]CRITERIOS!$S$16:$S$39,[1]CRITERIOS!$Y$16:$Y$39))*$J722+$Z722)/$G722,0)*$G722,
((_xlfn.XLOOKUP($A722,'[1]DATOS PBI Artículos'!$A:$A,'[1]DATOS PBI Artículos'!$AN:$AN))/(_xlfn.XLOOKUP($AJ$1,[1]CRITERIOS!$S$16:$S$39,[1]CRITERIOS!$Y$16:$Y$39))*$J722+$Z722)))</f>
        <v>#N/A</v>
      </c>
      <c r="AK722" s="39" t="e">
        <f>IF($R722="MTO","",
IF($H722=0,ROUNDUP(((_xlfn.XLOOKUP($A722,'[1]DATOS PBI Artículos'!$A:$A,'[1]DATOS PBI Artículos'!$AO:$AO))/(_xlfn.XLOOKUP($AL$1,[1]CRITERIOS!$S$16:$S$39,[1]CRITERIOS!$Y$16:$Y$39))*$J722+$Z722)/$G722,0)*$G722,
((_xlfn.XLOOKUP($A722,'[1]DATOS PBI Artículos'!$A:$A,'[1]DATOS PBI Artículos'!$AO:$AO))/(_xlfn.XLOOKUP($AL$1,[1]CRITERIOS!$S$16:$S$39,[1]CRITERIOS!$Y$16:$Y$39))*$J722+$Z722)))</f>
        <v>#N/A</v>
      </c>
    </row>
    <row r="723" spans="1:37" ht="25.8" hidden="1" x14ac:dyDescent="0.4">
      <c r="A723" s="41"/>
      <c r="B723" s="33">
        <f>_xlfn.XLOOKUP($A723,'[1]DATOS PBI Artículos'!A:A,'[1]DATOS PBI Artículos'!B:B)</f>
        <v>0</v>
      </c>
      <c r="C723" s="33">
        <f>_xlfn.XLOOKUP($A723,'[1]DATOS PBI Artículos'!A:A,'[1]DATOS PBI Artículos'!C:C)</f>
        <v>0</v>
      </c>
      <c r="D723" s="33">
        <f>_xlfn.XLOOKUP(A723,'[1]DATOS PBI Artículos'!A:A,'[1]DATOS PBI Artículos'!T:T)</f>
        <v>0</v>
      </c>
      <c r="E723" s="34">
        <f>IF(_xlfn.XLOOKUP($A723,'[1]DATOS PBI Artículos'!A:A,'[1]DATOS PBI Artículos'!AK:AK)="",_xlfn.XLOOKUP($A723,'[1]DATOS PBI Artículos'!A:A,'[1]DATOS PBI Artículos'!AJ:AJ),_xlfn.XLOOKUP($A723,'[1]DATOS PBI Artículos'!A:A,'[1]DATOS PBI Artículos'!AK:AK))</f>
        <v>0</v>
      </c>
      <c r="F723" s="35">
        <f>_xlfn.XLOOKUP($A723,'[1]DATOS PBI Artículos'!A:A,'[1]DATOS PBI Artículos'!AP:AP)</f>
        <v>0</v>
      </c>
      <c r="G723" s="34">
        <f>_xlfn.XLOOKUP($A723,'[1]DATOS PBI Artículos'!A:A,'[1]DATOS PBI Artículos'!AR:AR)</f>
        <v>0</v>
      </c>
      <c r="H723" s="34">
        <f>_xlfn.XLOOKUP($A723,'[1]DATOS PBI Artículos'!A:A,'[1]DATOS PBI Artículos'!AT:AT)</f>
        <v>0</v>
      </c>
      <c r="I723" s="34">
        <f>_xlfn.XLOOKUP($A723,'[1]DATOS PBI Artículos'!A:A,'[1]DATOS PBI Artículos'!AS:AS)</f>
        <v>0</v>
      </c>
      <c r="J723" s="35">
        <f>IF(COUNTIF([1]CRITERIOS!$F$179:$F$199,$A723)&gt;=1,
 IF(O723&lt;&gt;"",
    (O723/_xlfn.XLOOKUP(CONCATENATE(A723,L723),[1]MÁQUINAS!A:A,[1]MÁQUINAS!D:D))/24,
    (N723/_xlfn.XLOOKUP(CONCATENATE(A723,L723),[1]MÁQUINAS!A:A,[1]MÁQUINAS!D:D))/24),
  _xlfn.XLOOKUP($A723,'[1]DATOS PBI Artículos'!A:A,'[1]DATOS PBI Artículos'!AU:AU))</f>
        <v>0</v>
      </c>
      <c r="K723" s="36">
        <f>_xlfn.XLOOKUP($A723,'[1]DATOS PBI Artículos'!A:A,'[1]DATOS PBI Artículos'!AV:AV)</f>
        <v>0</v>
      </c>
      <c r="L723" s="33">
        <f>_xlfn.XLOOKUP(A723,[1]MÁQUINAS!B:B,[1]MÁQUINAS!C:C)</f>
        <v>0</v>
      </c>
      <c r="M723" s="34">
        <f t="array" ref="M723">_xlfn.XLOOKUP(A723,'[1]DATOS PBI Artículos'!A:A,'[1]DATOS PBI Artículos'!AX:$AX)</f>
        <v>0</v>
      </c>
      <c r="N723" s="37" t="e">
        <f>IF(I723="DV",
E723,
IF(COUNTIF([1]CRITERIOS!$I$179:$I$199,$A723)&gt;=1,
_xlfn.XLOOKUP($A723,[1]CRITERIOS!$I$179:$I$199,[1]CRITERIOS!$J$179:$J$199),
IF(COUNTIF([1]CRITERIOS!$L$179:$L$199,$A723)&gt;=1,
_xlfn.CEILING.MATH(IF($M723&gt;$E723,
$E723,
IF($M723&lt;$E723/ROUNDDOWN([1]CRITERIOS!$M$16/_xlfn.XLOOKUP($C723,[1]CRITERIOS!$K$25:$K$42,[1]CRITERIOS!$M$25:$M$42),
1),
E723/ROUNDDOWN([1]CRITERIOS!$M$16/_xlfn.XLOOKUP($C723,[1]CRITERIOS!$K$25:$K$42,[1]CRITERIOS!$M$25:$M$42),
1),
$M723)),
_xlfn.XLOOKUP($A723,[1]CRITERIOS!$L$179:$L$200,[1]CRITERIOS!$M$179:$M$200)),
_xlfn.CEILING.MATH(IF($M723&gt;$E723,
$E723,
IF($M723&lt;$E723/ROUNDDOWN([1]CRITERIOS!$M$16/_xlfn.XLOOKUP($C723,[1]CRITERIOS!$K$25:$K$42,[1]CRITERIOS!$M$25:$M$42),
1),
E723/ROUNDDOWN([1]CRITERIOS!$M$16/_xlfn.XLOOKUP($C723,[1]CRITERIOS!$K$25:$K$42,[1]CRITERIOS!$M$25:$M$42),
1),
$M723)),_xlfn.XLOOKUP(A723,'[1]DATOS PBI Artículos'!A:A,'[1]DATOS PBI Artículos'!Z:Z
)))))</f>
        <v>#N/A</v>
      </c>
      <c r="Q723" s="38" t="e">
        <f>IF(AND(O723="",N723=0),
0,
   IF(COUNTIF([1]CRITERIOS!$F$179:$F$199,$A723)&gt;=1,
   1,
   IF(R723="MTO",
      $D723,
      ROUNDUP(
                    IF(($E723-SUMIF('[1]DATOS PBI Artículos'!A:A,A723,'[1]DATOS PBI Artículos'!X:X)+($V723-_xlfn.XLOOKUP(A723,'[1]DATOS PBI Artículos'!A:A,'[1]DATOS PBI Artículos'!W:W)))&lt;0,
                    0,
                    IF(($E723-SUMIF('[1]DATOS PBI Artículos'!A:A,A723,'[1]DATOS PBI Artículos'!X:X)+$V723-_xlfn.XLOOKUP($A723,'[1]DATOS PBI Artículos'!A:A,'[1]DATOS PBI Artículos'!W:W))/IF($O723="",$N723,$O723)&gt;ROUNDUP([1]CRITERIOS!$M$16/(IF(COUNTIF([1]CRITERIOS!$BG$11:$BG$201,L723)&gt;=1,_xlfn.XLOOKUP($C723,[1]CRITERIOS!$K$25:$K$42,[1]CRITERIOS!$M$25:$M$42),_xlfn.XLOOKUP($C723,[1]CRITERIOS!$K$25:$K$42,[1]CRITERIOS!$M$25:$M$42))),0),
                    ROUNDUP([1]CRITERIOS!$M$16/(IF(COUNTIF([1]CRITERIOS!$BG$11:$BG$201,$L723)&gt;=1,_xlfn.XLOOKUP($C723,[1]CRITERIOS!$K$25:$K$42,[1]CRITERIOS!$M$25:$M$42),_xlfn.XLOOKUP($C723,[1]CRITERIOS!$K$25:$K$42,[1]CRITERIOS!$M$25:$M$42))),0),
                    (E723+V723-SUMIF('[1]DATOS PBI Artículos'!A:A,A723,'[1]DATOS PBI Artículos'!X:X)-_xlfn.XLOOKUP(A723,'[1]DATOS PBI Artículos'!A:A,'[1]DATOS PBI Artículos'!W:W))/IF($O723="",$N723,$O723))),0))))</f>
        <v>#N/A</v>
      </c>
      <c r="R723" s="33" t="e">
        <f>IF(U723&lt;&gt;"",U723,IF(F723="DV","MTO",IF(N723=0,"MTO",_xlfn.XLOOKUP(CONCATENATE(S723,T723),[1]CRITERIOS!$K$160:$K$168,[1]CRITERIOS!$N$160:$N$168))))</f>
        <v>#N/A</v>
      </c>
      <c r="S723" s="33" t="e">
        <f>IF(G723="DV","MTO",IF(N723=0,"MTO",IF(OR(AND(N723=0,O723=""),IF(O723="",G723/N723,G723/O723)&gt;[1]CRITERIOS!$G$163),"MTO",IF(IF(O723="",G723/N723,G723/O723)&lt;[1]CRITERIOS!$H$161,"MTS","MTOS"))))</f>
        <v>#N/A</v>
      </c>
      <c r="T723" s="33" t="e">
        <f>IF(F723="DV","MTO",IF(OR(AND($N723=0,O723=""),$F723/$J723&gt;[1]CRITERIOS!$G$170,$F723="DV"),"MTO",IF($F723/$J723&lt;[1]CRITERIOS!$H$168,"MTS","MTOS")))</f>
        <v>#N/A</v>
      </c>
      <c r="V723" s="34" t="e">
        <f t="shared" si="34"/>
        <v>#N/A</v>
      </c>
      <c r="X723" s="34" t="e">
        <f t="shared" si="35"/>
        <v>#N/A</v>
      </c>
      <c r="Y723" s="34" t="e">
        <f t="shared" si="36"/>
        <v>#N/A</v>
      </c>
      <c r="Z723" s="34" t="e">
        <f>IF($R723="MTO",
0,
($H723+$K723*($E723/[1]CRITERIOS!$M$16))/[1]CRITERIOS!$X$48)</f>
        <v>#N/A</v>
      </c>
      <c r="AA723" s="34" t="e">
        <f>ROUNDUP(($Y723/_xlfn.XLOOKUP($A723,'[1]DATOS PBI Artículos'!$A$4:$A$4,'[1]DATOS PBI Artículos'!$Z$4:$Z$4))/_xlfn.XLOOKUP(_xlfn.XLOOKUP($A723,'[1]DATOS PBI Artículos'!$A$4:$A$4,'[1]DATOS PBI Artículos'!$Y$4:$Y$4),[1]CRITERIOS!$P$79:$P$123,[1]CRITERIOS!$S$79:$S$123,),0)</f>
        <v>#N/A</v>
      </c>
      <c r="AC723" s="33" t="e">
        <f>IF(N723=0,"",(ROUNDUP((N723/2)/(_xlfn.XLOOKUP(A723,'[1]DATOS PBI Artículos'!$A$4:$A$4,'[1]DATOS PBI Artículos'!$Z$4:$Z$4)*_xlfn.XLOOKUP(_xlfn.XLOOKUP(A723,'[1]DATOS PBI Artículos'!$A$4:$A$4,'[1]DATOS PBI Artículos'!$Y$4:$Y$4),[1]CRITERIOS!$P$79:$P$123,[1]CRITERIOS!$S$79:$S$123)),0)*[1]CRITERIOS!$M$80*([1]CRITERIOS!$M$110/[1]CRITERIOS!$M$86)+(_xlfn.XLOOKUP(A723,'[1]DATOS PBI Artículos'!$A$4:$A$4,'[1]DATOS PBI Artículos'!$AA$4:$AA$4)*([1]CRITERIOS!$M$95+[1]CRITERIOS!$M$98)))/N723)</f>
        <v>#N/A</v>
      </c>
      <c r="AD723" s="33" t="e">
        <f>IF(N723=0,"",(ROUNDUP((N723/2)/(_xlfn.XLOOKUP(A723,'[1]DATOS PBI Artículos'!$A$4:$A$4,'[1]DATOS PBI Artículos'!$Z$4:$Z$4)*_xlfn.XLOOKUP(_xlfn.XLOOKUP(A723,'[1]DATOS PBI Artículos'!$A$4:$A$4,'[1]DATOS PBI Artículos'!$Y$4:$Y$4),[1]CRITERIOS!$P$79:$P$123,[1]CRITERIOS!$S$79:$S$123)),0)*[1]CRITERIOS!$M$80*([1]CRITERIOS!$M$89*[1]CRITERIOS!$M$92)+((_xlfn.XLOOKUP(A723,'[1]DATOS PBI Artículos'!$A$4:$A$4,'[1]DATOS PBI Artículos'!$AA$4:$AA$4)/2)*([1]CRITERIOS!$M$95+[1]CRITERIOS!$M$98)))/N723)</f>
        <v>#N/A</v>
      </c>
      <c r="AE723" s="39" t="e">
        <f>IF($R723="MTO","",
IF($H723=0,ROUNDUP(((_xlfn.XLOOKUP($A723,'[1]DATOS PBI Artículos'!$A:$A,'[1]DATOS PBI Artículos'!$AL:$AL))/(_xlfn.XLOOKUP($AF$1,[1]CRITERIOS!$S$16:$S$39,[1]CRITERIOS!$Y$16:$Y$39))*$J723+$Z723)/$G723,0)*$G723,
((_xlfn.XLOOKUP($A723,'[1]DATOS PBI Artículos'!$A:$A,'[1]DATOS PBI Artículos'!$AL:$AL))/(_xlfn.XLOOKUP($AF$1,[1]CRITERIOS!$S$16:$S$39,[1]CRITERIOS!$Y$16:$Y$39))*$J723+$Z723)))</f>
        <v>#N/A</v>
      </c>
      <c r="AG723" s="39" t="e">
        <f>IF($R723="MTO","",
IF($H723=0,ROUNDUP(((_xlfn.XLOOKUP($A723,'[1]DATOS PBI Artículos'!$A:$A,'[1]DATOS PBI Artículos'!$AM:$AM))/(_xlfn.XLOOKUP($AH$1,[1]CRITERIOS!$S$16:$S$39,[1]CRITERIOS!$Y$16:$Y$39))*$J723+$Z723)/$G723,0)*$G723,
((_xlfn.XLOOKUP($A723,'[1]DATOS PBI Artículos'!$A:$A,'[1]DATOS PBI Artículos'!$AM:$AM))/(_xlfn.XLOOKUP($AH$1,[1]CRITERIOS!$S$16:$S$39,[1]CRITERIOS!$Y$16:$Y$39))*$J723+$Z723)))</f>
        <v>#N/A</v>
      </c>
      <c r="AI723" s="39" t="e">
        <f>IF($R723="MTO","",
IF($H723=0,ROUNDUP(((_xlfn.XLOOKUP($A723,'[1]DATOS PBI Artículos'!$A:$A,'[1]DATOS PBI Artículos'!$AN:$AN))/(_xlfn.XLOOKUP($AJ$1,[1]CRITERIOS!$S$16:$S$39,[1]CRITERIOS!$Y$16:$Y$39))*$J723+$Z723)/$G723,0)*$G723,
((_xlfn.XLOOKUP($A723,'[1]DATOS PBI Artículos'!$A:$A,'[1]DATOS PBI Artículos'!$AN:$AN))/(_xlfn.XLOOKUP($AJ$1,[1]CRITERIOS!$S$16:$S$39,[1]CRITERIOS!$Y$16:$Y$39))*$J723+$Z723)))</f>
        <v>#N/A</v>
      </c>
      <c r="AK723" s="39" t="e">
        <f>IF($R723="MTO","",
IF($H723=0,ROUNDUP(((_xlfn.XLOOKUP($A723,'[1]DATOS PBI Artículos'!$A:$A,'[1]DATOS PBI Artículos'!$AO:$AO))/(_xlfn.XLOOKUP($AL$1,[1]CRITERIOS!$S$16:$S$39,[1]CRITERIOS!$Y$16:$Y$39))*$J723+$Z723)/$G723,0)*$G723,
((_xlfn.XLOOKUP($A723,'[1]DATOS PBI Artículos'!$A:$A,'[1]DATOS PBI Artículos'!$AO:$AO))/(_xlfn.XLOOKUP($AL$1,[1]CRITERIOS!$S$16:$S$39,[1]CRITERIOS!$Y$16:$Y$39))*$J723+$Z723)))</f>
        <v>#N/A</v>
      </c>
    </row>
    <row r="724" spans="1:37" ht="25.8" hidden="1" x14ac:dyDescent="0.4">
      <c r="A724" s="41"/>
      <c r="B724" s="33">
        <f>_xlfn.XLOOKUP($A724,'[1]DATOS PBI Artículos'!A:A,'[1]DATOS PBI Artículos'!B:B)</f>
        <v>0</v>
      </c>
      <c r="C724" s="33">
        <f>_xlfn.XLOOKUP($A724,'[1]DATOS PBI Artículos'!A:A,'[1]DATOS PBI Artículos'!C:C)</f>
        <v>0</v>
      </c>
      <c r="D724" s="33">
        <f>_xlfn.XLOOKUP(A724,'[1]DATOS PBI Artículos'!A:A,'[1]DATOS PBI Artículos'!T:T)</f>
        <v>0</v>
      </c>
      <c r="E724" s="34">
        <f>IF(_xlfn.XLOOKUP($A724,'[1]DATOS PBI Artículos'!A:A,'[1]DATOS PBI Artículos'!AK:AK)="",_xlfn.XLOOKUP($A724,'[1]DATOS PBI Artículos'!A:A,'[1]DATOS PBI Artículos'!AJ:AJ),_xlfn.XLOOKUP($A724,'[1]DATOS PBI Artículos'!A:A,'[1]DATOS PBI Artículos'!AK:AK))</f>
        <v>0</v>
      </c>
      <c r="F724" s="35">
        <f>_xlfn.XLOOKUP($A724,'[1]DATOS PBI Artículos'!A:A,'[1]DATOS PBI Artículos'!AP:AP)</f>
        <v>0</v>
      </c>
      <c r="G724" s="34">
        <f>_xlfn.XLOOKUP($A724,'[1]DATOS PBI Artículos'!A:A,'[1]DATOS PBI Artículos'!AR:AR)</f>
        <v>0</v>
      </c>
      <c r="H724" s="34">
        <f>_xlfn.XLOOKUP($A724,'[1]DATOS PBI Artículos'!A:A,'[1]DATOS PBI Artículos'!AT:AT)</f>
        <v>0</v>
      </c>
      <c r="I724" s="34">
        <f>_xlfn.XLOOKUP($A724,'[1]DATOS PBI Artículos'!A:A,'[1]DATOS PBI Artículos'!AS:AS)</f>
        <v>0</v>
      </c>
      <c r="J724" s="35">
        <f>IF(COUNTIF([1]CRITERIOS!$F$179:$F$199,$A724)&gt;=1,
 IF(O724&lt;&gt;"",
    (O724/_xlfn.XLOOKUP(CONCATENATE(A724,L724),[1]MÁQUINAS!A:A,[1]MÁQUINAS!D:D))/24,
    (N724/_xlfn.XLOOKUP(CONCATENATE(A724,L724),[1]MÁQUINAS!A:A,[1]MÁQUINAS!D:D))/24),
  _xlfn.XLOOKUP($A724,'[1]DATOS PBI Artículos'!A:A,'[1]DATOS PBI Artículos'!AU:AU))</f>
        <v>0</v>
      </c>
      <c r="K724" s="36">
        <f>_xlfn.XLOOKUP($A724,'[1]DATOS PBI Artículos'!A:A,'[1]DATOS PBI Artículos'!AV:AV)</f>
        <v>0</v>
      </c>
      <c r="L724" s="33">
        <f>_xlfn.XLOOKUP(A724,[1]MÁQUINAS!B:B,[1]MÁQUINAS!C:C)</f>
        <v>0</v>
      </c>
      <c r="M724" s="34">
        <f t="array" ref="M724">_xlfn.XLOOKUP(A724,'[1]DATOS PBI Artículos'!A:A,'[1]DATOS PBI Artículos'!AX:$AX)</f>
        <v>0</v>
      </c>
      <c r="N724" s="37" t="e">
        <f>IF(I724="DV",
E724,
IF(COUNTIF([1]CRITERIOS!$I$179:$I$199,$A724)&gt;=1,
_xlfn.XLOOKUP($A724,[1]CRITERIOS!$I$179:$I$199,[1]CRITERIOS!$J$179:$J$199),
IF(COUNTIF([1]CRITERIOS!$L$179:$L$199,$A724)&gt;=1,
_xlfn.CEILING.MATH(IF($M724&gt;$E724,
$E724,
IF($M724&lt;$E724/ROUNDDOWN([1]CRITERIOS!$M$16/_xlfn.XLOOKUP($C724,[1]CRITERIOS!$K$25:$K$42,[1]CRITERIOS!$M$25:$M$42),
1),
E724/ROUNDDOWN([1]CRITERIOS!$M$16/_xlfn.XLOOKUP($C724,[1]CRITERIOS!$K$25:$K$42,[1]CRITERIOS!$M$25:$M$42),
1),
$M724)),
_xlfn.XLOOKUP($A724,[1]CRITERIOS!$L$179:$L$200,[1]CRITERIOS!$M$179:$M$200)),
_xlfn.CEILING.MATH(IF($M724&gt;$E724,
$E724,
IF($M724&lt;$E724/ROUNDDOWN([1]CRITERIOS!$M$16/_xlfn.XLOOKUP($C724,[1]CRITERIOS!$K$25:$K$42,[1]CRITERIOS!$M$25:$M$42),
1),
E724/ROUNDDOWN([1]CRITERIOS!$M$16/_xlfn.XLOOKUP($C724,[1]CRITERIOS!$K$25:$K$42,[1]CRITERIOS!$M$25:$M$42),
1),
$M724)),_xlfn.XLOOKUP(A724,'[1]DATOS PBI Artículos'!A:A,'[1]DATOS PBI Artículos'!Z:Z
)))))</f>
        <v>#N/A</v>
      </c>
      <c r="Q724" s="38" t="e">
        <f>IF(AND(O724="",N724=0),
0,
   IF(COUNTIF([1]CRITERIOS!$F$179:$F$199,$A724)&gt;=1,
   1,
   IF(R724="MTO",
      $D724,
      ROUNDUP(
                    IF(($E724-SUMIF('[1]DATOS PBI Artículos'!A:A,A724,'[1]DATOS PBI Artículos'!X:X)+($V724-_xlfn.XLOOKUP(A724,'[1]DATOS PBI Artículos'!A:A,'[1]DATOS PBI Artículos'!W:W)))&lt;0,
                    0,
                    IF(($E724-SUMIF('[1]DATOS PBI Artículos'!A:A,A724,'[1]DATOS PBI Artículos'!X:X)+$V724-_xlfn.XLOOKUP($A724,'[1]DATOS PBI Artículos'!A:A,'[1]DATOS PBI Artículos'!W:W))/IF($O724="",$N724,$O724)&gt;ROUNDUP([1]CRITERIOS!$M$16/(IF(COUNTIF([1]CRITERIOS!$BG$11:$BG$201,L724)&gt;=1,_xlfn.XLOOKUP($C724,[1]CRITERIOS!$K$25:$K$42,[1]CRITERIOS!$M$25:$M$42),_xlfn.XLOOKUP($C724,[1]CRITERIOS!$K$25:$K$42,[1]CRITERIOS!$M$25:$M$42))),0),
                    ROUNDUP([1]CRITERIOS!$M$16/(IF(COUNTIF([1]CRITERIOS!$BG$11:$BG$201,$L724)&gt;=1,_xlfn.XLOOKUP($C724,[1]CRITERIOS!$K$25:$K$42,[1]CRITERIOS!$M$25:$M$42),_xlfn.XLOOKUP($C724,[1]CRITERIOS!$K$25:$K$42,[1]CRITERIOS!$M$25:$M$42))),0),
                    (E724+V724-SUMIF('[1]DATOS PBI Artículos'!A:A,A724,'[1]DATOS PBI Artículos'!X:X)-_xlfn.XLOOKUP(A724,'[1]DATOS PBI Artículos'!A:A,'[1]DATOS PBI Artículos'!W:W))/IF($O724="",$N724,$O724))),0))))</f>
        <v>#N/A</v>
      </c>
      <c r="R724" s="33" t="e">
        <f>IF(U724&lt;&gt;"",U724,IF(F724="DV","MTO",IF(N724=0,"MTO",_xlfn.XLOOKUP(CONCATENATE(S724,T724),[1]CRITERIOS!$K$160:$K$168,[1]CRITERIOS!$N$160:$N$168))))</f>
        <v>#N/A</v>
      </c>
      <c r="S724" s="33" t="e">
        <f>IF(G724="DV","MTO",IF(N724=0,"MTO",IF(OR(AND(N724=0,O724=""),IF(O724="",G724/N724,G724/O724)&gt;[1]CRITERIOS!$G$163),"MTO",IF(IF(O724="",G724/N724,G724/O724)&lt;[1]CRITERIOS!$H$161,"MTS","MTOS"))))</f>
        <v>#N/A</v>
      </c>
      <c r="T724" s="33" t="e">
        <f>IF(F724="DV","MTO",IF(OR(AND($N724=0,O724=""),$F724/$J724&gt;[1]CRITERIOS!$G$170,$F724="DV"),"MTO",IF($F724/$J724&lt;[1]CRITERIOS!$H$168,"MTS","MTOS")))</f>
        <v>#N/A</v>
      </c>
      <c r="V724" s="34" t="e">
        <f t="shared" si="34"/>
        <v>#N/A</v>
      </c>
      <c r="X724" s="34" t="e">
        <f t="shared" si="35"/>
        <v>#N/A</v>
      </c>
      <c r="Y724" s="34" t="e">
        <f t="shared" si="36"/>
        <v>#N/A</v>
      </c>
      <c r="Z724" s="34" t="e">
        <f>IF($R724="MTO",
0,
($H724+$K724*($E724/[1]CRITERIOS!$M$16))/[1]CRITERIOS!$X$48)</f>
        <v>#N/A</v>
      </c>
      <c r="AA724" s="34" t="e">
        <f>ROUNDUP(($Y724/_xlfn.XLOOKUP($A724,'[1]DATOS PBI Artículos'!$A$4:$A$4,'[1]DATOS PBI Artículos'!$Z$4:$Z$4))/_xlfn.XLOOKUP(_xlfn.XLOOKUP($A724,'[1]DATOS PBI Artículos'!$A$4:$A$4,'[1]DATOS PBI Artículos'!$Y$4:$Y$4),[1]CRITERIOS!$P$79:$P$123,[1]CRITERIOS!$S$79:$S$123,),0)</f>
        <v>#N/A</v>
      </c>
      <c r="AC724" s="33" t="e">
        <f>IF(N724=0,"",(ROUNDUP((N724/2)/(_xlfn.XLOOKUP(A724,'[1]DATOS PBI Artículos'!$A$4:$A$4,'[1]DATOS PBI Artículos'!$Z$4:$Z$4)*_xlfn.XLOOKUP(_xlfn.XLOOKUP(A724,'[1]DATOS PBI Artículos'!$A$4:$A$4,'[1]DATOS PBI Artículos'!$Y$4:$Y$4),[1]CRITERIOS!$P$79:$P$123,[1]CRITERIOS!$S$79:$S$123)),0)*[1]CRITERIOS!$M$80*([1]CRITERIOS!$M$110/[1]CRITERIOS!$M$86)+(_xlfn.XLOOKUP(A724,'[1]DATOS PBI Artículos'!$A$4:$A$4,'[1]DATOS PBI Artículos'!$AA$4:$AA$4)*([1]CRITERIOS!$M$95+[1]CRITERIOS!$M$98)))/N724)</f>
        <v>#N/A</v>
      </c>
      <c r="AD724" s="33" t="e">
        <f>IF(N724=0,"",(ROUNDUP((N724/2)/(_xlfn.XLOOKUP(A724,'[1]DATOS PBI Artículos'!$A$4:$A$4,'[1]DATOS PBI Artículos'!$Z$4:$Z$4)*_xlfn.XLOOKUP(_xlfn.XLOOKUP(A724,'[1]DATOS PBI Artículos'!$A$4:$A$4,'[1]DATOS PBI Artículos'!$Y$4:$Y$4),[1]CRITERIOS!$P$79:$P$123,[1]CRITERIOS!$S$79:$S$123)),0)*[1]CRITERIOS!$M$80*([1]CRITERIOS!$M$89*[1]CRITERIOS!$M$92)+((_xlfn.XLOOKUP(A724,'[1]DATOS PBI Artículos'!$A$4:$A$4,'[1]DATOS PBI Artículos'!$AA$4:$AA$4)/2)*([1]CRITERIOS!$M$95+[1]CRITERIOS!$M$98)))/N724)</f>
        <v>#N/A</v>
      </c>
      <c r="AE724" s="39" t="e">
        <f>IF($R724="MTO","",
IF($H724=0,ROUNDUP(((_xlfn.XLOOKUP($A724,'[1]DATOS PBI Artículos'!$A:$A,'[1]DATOS PBI Artículos'!$AL:$AL))/(_xlfn.XLOOKUP($AF$1,[1]CRITERIOS!$S$16:$S$39,[1]CRITERIOS!$Y$16:$Y$39))*$J724+$Z724)/$G724,0)*$G724,
((_xlfn.XLOOKUP($A724,'[1]DATOS PBI Artículos'!$A:$A,'[1]DATOS PBI Artículos'!$AL:$AL))/(_xlfn.XLOOKUP($AF$1,[1]CRITERIOS!$S$16:$S$39,[1]CRITERIOS!$Y$16:$Y$39))*$J724+$Z724)))</f>
        <v>#N/A</v>
      </c>
      <c r="AG724" s="39" t="e">
        <f>IF($R724="MTO","",
IF($H724=0,ROUNDUP(((_xlfn.XLOOKUP($A724,'[1]DATOS PBI Artículos'!$A:$A,'[1]DATOS PBI Artículos'!$AM:$AM))/(_xlfn.XLOOKUP($AH$1,[1]CRITERIOS!$S$16:$S$39,[1]CRITERIOS!$Y$16:$Y$39))*$J724+$Z724)/$G724,0)*$G724,
((_xlfn.XLOOKUP($A724,'[1]DATOS PBI Artículos'!$A:$A,'[1]DATOS PBI Artículos'!$AM:$AM))/(_xlfn.XLOOKUP($AH$1,[1]CRITERIOS!$S$16:$S$39,[1]CRITERIOS!$Y$16:$Y$39))*$J724+$Z724)))</f>
        <v>#N/A</v>
      </c>
      <c r="AI724" s="39" t="e">
        <f>IF($R724="MTO","",
IF($H724=0,ROUNDUP(((_xlfn.XLOOKUP($A724,'[1]DATOS PBI Artículos'!$A:$A,'[1]DATOS PBI Artículos'!$AN:$AN))/(_xlfn.XLOOKUP($AJ$1,[1]CRITERIOS!$S$16:$S$39,[1]CRITERIOS!$Y$16:$Y$39))*$J724+$Z724)/$G724,0)*$G724,
((_xlfn.XLOOKUP($A724,'[1]DATOS PBI Artículos'!$A:$A,'[1]DATOS PBI Artículos'!$AN:$AN))/(_xlfn.XLOOKUP($AJ$1,[1]CRITERIOS!$S$16:$S$39,[1]CRITERIOS!$Y$16:$Y$39))*$J724+$Z724)))</f>
        <v>#N/A</v>
      </c>
      <c r="AK724" s="39" t="e">
        <f>IF($R724="MTO","",
IF($H724=0,ROUNDUP(((_xlfn.XLOOKUP($A724,'[1]DATOS PBI Artículos'!$A:$A,'[1]DATOS PBI Artículos'!$AO:$AO))/(_xlfn.XLOOKUP($AL$1,[1]CRITERIOS!$S$16:$S$39,[1]CRITERIOS!$Y$16:$Y$39))*$J724+$Z724)/$G724,0)*$G724,
((_xlfn.XLOOKUP($A724,'[1]DATOS PBI Artículos'!$A:$A,'[1]DATOS PBI Artículos'!$AO:$AO))/(_xlfn.XLOOKUP($AL$1,[1]CRITERIOS!$S$16:$S$39,[1]CRITERIOS!$Y$16:$Y$39))*$J724+$Z724)))</f>
        <v>#N/A</v>
      </c>
    </row>
    <row r="725" spans="1:37" ht="25.8" hidden="1" x14ac:dyDescent="0.4">
      <c r="A725" s="41"/>
      <c r="B725" s="33">
        <f>_xlfn.XLOOKUP($A725,'[1]DATOS PBI Artículos'!A:A,'[1]DATOS PBI Artículos'!B:B)</f>
        <v>0</v>
      </c>
      <c r="C725" s="33">
        <f>_xlfn.XLOOKUP($A725,'[1]DATOS PBI Artículos'!A:A,'[1]DATOS PBI Artículos'!C:C)</f>
        <v>0</v>
      </c>
      <c r="D725" s="33">
        <f>_xlfn.XLOOKUP(A725,'[1]DATOS PBI Artículos'!A:A,'[1]DATOS PBI Artículos'!T:T)</f>
        <v>0</v>
      </c>
      <c r="E725" s="34">
        <f>IF(_xlfn.XLOOKUP($A725,'[1]DATOS PBI Artículos'!A:A,'[1]DATOS PBI Artículos'!AK:AK)="",_xlfn.XLOOKUP($A725,'[1]DATOS PBI Artículos'!A:A,'[1]DATOS PBI Artículos'!AJ:AJ),_xlfn.XLOOKUP($A725,'[1]DATOS PBI Artículos'!A:A,'[1]DATOS PBI Artículos'!AK:AK))</f>
        <v>0</v>
      </c>
      <c r="F725" s="35">
        <f>_xlfn.XLOOKUP($A725,'[1]DATOS PBI Artículos'!A:A,'[1]DATOS PBI Artículos'!AP:AP)</f>
        <v>0</v>
      </c>
      <c r="G725" s="34">
        <f>_xlfn.XLOOKUP($A725,'[1]DATOS PBI Artículos'!A:A,'[1]DATOS PBI Artículos'!AR:AR)</f>
        <v>0</v>
      </c>
      <c r="H725" s="34">
        <f>_xlfn.XLOOKUP($A725,'[1]DATOS PBI Artículos'!A:A,'[1]DATOS PBI Artículos'!AT:AT)</f>
        <v>0</v>
      </c>
      <c r="I725" s="34">
        <f>_xlfn.XLOOKUP($A725,'[1]DATOS PBI Artículos'!A:A,'[1]DATOS PBI Artículos'!AS:AS)</f>
        <v>0</v>
      </c>
      <c r="J725" s="35">
        <f>IF(COUNTIF([1]CRITERIOS!$F$179:$F$199,$A725)&gt;=1,
 IF(O725&lt;&gt;"",
    (O725/_xlfn.XLOOKUP(CONCATENATE(A725,L725),[1]MÁQUINAS!A:A,[1]MÁQUINAS!D:D))/24,
    (N725/_xlfn.XLOOKUP(CONCATENATE(A725,L725),[1]MÁQUINAS!A:A,[1]MÁQUINAS!D:D))/24),
  _xlfn.XLOOKUP($A725,'[1]DATOS PBI Artículos'!A:A,'[1]DATOS PBI Artículos'!AU:AU))</f>
        <v>0</v>
      </c>
      <c r="K725" s="36">
        <f>_xlfn.XLOOKUP($A725,'[1]DATOS PBI Artículos'!A:A,'[1]DATOS PBI Artículos'!AV:AV)</f>
        <v>0</v>
      </c>
      <c r="L725" s="33">
        <f>_xlfn.XLOOKUP(A725,[1]MÁQUINAS!B:B,[1]MÁQUINAS!C:C)</f>
        <v>0</v>
      </c>
      <c r="M725" s="34">
        <f t="array" ref="M725">_xlfn.XLOOKUP(A725,'[1]DATOS PBI Artículos'!A:A,'[1]DATOS PBI Artículos'!AX:$AX)</f>
        <v>0</v>
      </c>
      <c r="N725" s="37" t="e">
        <f>IF(I725="DV",
E725,
IF(COUNTIF([1]CRITERIOS!$I$179:$I$199,$A725)&gt;=1,
_xlfn.XLOOKUP($A725,[1]CRITERIOS!$I$179:$I$199,[1]CRITERIOS!$J$179:$J$199),
IF(COUNTIF([1]CRITERIOS!$L$179:$L$199,$A725)&gt;=1,
_xlfn.CEILING.MATH(IF($M725&gt;$E725,
$E725,
IF($M725&lt;$E725/ROUNDDOWN([1]CRITERIOS!$M$16/_xlfn.XLOOKUP($C725,[1]CRITERIOS!$K$25:$K$42,[1]CRITERIOS!$M$25:$M$42),
1),
E725/ROUNDDOWN([1]CRITERIOS!$M$16/_xlfn.XLOOKUP($C725,[1]CRITERIOS!$K$25:$K$42,[1]CRITERIOS!$M$25:$M$42),
1),
$M725)),
_xlfn.XLOOKUP($A725,[1]CRITERIOS!$L$179:$L$200,[1]CRITERIOS!$M$179:$M$200)),
_xlfn.CEILING.MATH(IF($M725&gt;$E725,
$E725,
IF($M725&lt;$E725/ROUNDDOWN([1]CRITERIOS!$M$16/_xlfn.XLOOKUP($C725,[1]CRITERIOS!$K$25:$K$42,[1]CRITERIOS!$M$25:$M$42),
1),
E725/ROUNDDOWN([1]CRITERIOS!$M$16/_xlfn.XLOOKUP($C725,[1]CRITERIOS!$K$25:$K$42,[1]CRITERIOS!$M$25:$M$42),
1),
$M725)),_xlfn.XLOOKUP(A725,'[1]DATOS PBI Artículos'!A:A,'[1]DATOS PBI Artículos'!Z:Z
)))))</f>
        <v>#N/A</v>
      </c>
      <c r="Q725" s="38" t="e">
        <f>IF(AND(O725="",N725=0),
0,
   IF(COUNTIF([1]CRITERIOS!$F$179:$F$199,$A725)&gt;=1,
   1,
   IF(R725="MTO",
      $D725,
      ROUNDUP(
                    IF(($E725-SUMIF('[1]DATOS PBI Artículos'!A:A,A725,'[1]DATOS PBI Artículos'!X:X)+($V725-_xlfn.XLOOKUP(A725,'[1]DATOS PBI Artículos'!A:A,'[1]DATOS PBI Artículos'!W:W)))&lt;0,
                    0,
                    IF(($E725-SUMIF('[1]DATOS PBI Artículos'!A:A,A725,'[1]DATOS PBI Artículos'!X:X)+$V725-_xlfn.XLOOKUP($A725,'[1]DATOS PBI Artículos'!A:A,'[1]DATOS PBI Artículos'!W:W))/IF($O725="",$N725,$O725)&gt;ROUNDUP([1]CRITERIOS!$M$16/(IF(COUNTIF([1]CRITERIOS!$BG$11:$BG$201,L725)&gt;=1,_xlfn.XLOOKUP($C725,[1]CRITERIOS!$K$25:$K$42,[1]CRITERIOS!$M$25:$M$42),_xlfn.XLOOKUP($C725,[1]CRITERIOS!$K$25:$K$42,[1]CRITERIOS!$M$25:$M$42))),0),
                    ROUNDUP([1]CRITERIOS!$M$16/(IF(COUNTIF([1]CRITERIOS!$BG$11:$BG$201,$L725)&gt;=1,_xlfn.XLOOKUP($C725,[1]CRITERIOS!$K$25:$K$42,[1]CRITERIOS!$M$25:$M$42),_xlfn.XLOOKUP($C725,[1]CRITERIOS!$K$25:$K$42,[1]CRITERIOS!$M$25:$M$42))),0),
                    (E725+V725-SUMIF('[1]DATOS PBI Artículos'!A:A,A725,'[1]DATOS PBI Artículos'!X:X)-_xlfn.XLOOKUP(A725,'[1]DATOS PBI Artículos'!A:A,'[1]DATOS PBI Artículos'!W:W))/IF($O725="",$N725,$O725))),0))))</f>
        <v>#N/A</v>
      </c>
      <c r="R725" s="33" t="e">
        <f>IF(U725&lt;&gt;"",U725,IF(F725="DV","MTO",IF(N725=0,"MTO",_xlfn.XLOOKUP(CONCATENATE(S725,T725),[1]CRITERIOS!$K$160:$K$168,[1]CRITERIOS!$N$160:$N$168))))</f>
        <v>#N/A</v>
      </c>
      <c r="S725" s="33" t="e">
        <f>IF(G725="DV","MTO",IF(N725=0,"MTO",IF(OR(AND(N725=0,O725=""),IF(O725="",G725/N725,G725/O725)&gt;[1]CRITERIOS!$G$163),"MTO",IF(IF(O725="",G725/N725,G725/O725)&lt;[1]CRITERIOS!$H$161,"MTS","MTOS"))))</f>
        <v>#N/A</v>
      </c>
      <c r="T725" s="33" t="e">
        <f>IF(F725="DV","MTO",IF(OR(AND($N725=0,O725=""),$F725/$J725&gt;[1]CRITERIOS!$G$170,$F725="DV"),"MTO",IF($F725/$J725&lt;[1]CRITERIOS!$H$168,"MTS","MTOS")))</f>
        <v>#N/A</v>
      </c>
      <c r="V725" s="34" t="e">
        <f t="shared" si="34"/>
        <v>#N/A</v>
      </c>
      <c r="X725" s="34" t="e">
        <f t="shared" si="35"/>
        <v>#N/A</v>
      </c>
      <c r="Y725" s="34" t="e">
        <f t="shared" si="36"/>
        <v>#N/A</v>
      </c>
      <c r="Z725" s="34" t="e">
        <f>IF($R725="MTO",
0,
($H725+$K725*($E725/[1]CRITERIOS!$M$16))/[1]CRITERIOS!$X$48)</f>
        <v>#N/A</v>
      </c>
      <c r="AA725" s="34" t="e">
        <f>ROUNDUP(($Y725/_xlfn.XLOOKUP($A725,'[1]DATOS PBI Artículos'!$A$4:$A$4,'[1]DATOS PBI Artículos'!$Z$4:$Z$4))/_xlfn.XLOOKUP(_xlfn.XLOOKUP($A725,'[1]DATOS PBI Artículos'!$A$4:$A$4,'[1]DATOS PBI Artículos'!$Y$4:$Y$4),[1]CRITERIOS!$P$79:$P$123,[1]CRITERIOS!$S$79:$S$123,),0)</f>
        <v>#N/A</v>
      </c>
      <c r="AC725" s="33" t="e">
        <f>IF(N725=0,"",(ROUNDUP((N725/2)/(_xlfn.XLOOKUP(A725,'[1]DATOS PBI Artículos'!$A$4:$A$4,'[1]DATOS PBI Artículos'!$Z$4:$Z$4)*_xlfn.XLOOKUP(_xlfn.XLOOKUP(A725,'[1]DATOS PBI Artículos'!$A$4:$A$4,'[1]DATOS PBI Artículos'!$Y$4:$Y$4),[1]CRITERIOS!$P$79:$P$123,[1]CRITERIOS!$S$79:$S$123)),0)*[1]CRITERIOS!$M$80*([1]CRITERIOS!$M$110/[1]CRITERIOS!$M$86)+(_xlfn.XLOOKUP(A725,'[1]DATOS PBI Artículos'!$A$4:$A$4,'[1]DATOS PBI Artículos'!$AA$4:$AA$4)*([1]CRITERIOS!$M$95+[1]CRITERIOS!$M$98)))/N725)</f>
        <v>#N/A</v>
      </c>
      <c r="AD725" s="33" t="e">
        <f>IF(N725=0,"",(ROUNDUP((N725/2)/(_xlfn.XLOOKUP(A725,'[1]DATOS PBI Artículos'!$A$4:$A$4,'[1]DATOS PBI Artículos'!$Z$4:$Z$4)*_xlfn.XLOOKUP(_xlfn.XLOOKUP(A725,'[1]DATOS PBI Artículos'!$A$4:$A$4,'[1]DATOS PBI Artículos'!$Y$4:$Y$4),[1]CRITERIOS!$P$79:$P$123,[1]CRITERIOS!$S$79:$S$123)),0)*[1]CRITERIOS!$M$80*([1]CRITERIOS!$M$89*[1]CRITERIOS!$M$92)+((_xlfn.XLOOKUP(A725,'[1]DATOS PBI Artículos'!$A$4:$A$4,'[1]DATOS PBI Artículos'!$AA$4:$AA$4)/2)*([1]CRITERIOS!$M$95+[1]CRITERIOS!$M$98)))/N725)</f>
        <v>#N/A</v>
      </c>
      <c r="AE725" s="39" t="e">
        <f>IF($R725="MTO","",
IF($H725=0,ROUNDUP(((_xlfn.XLOOKUP($A725,'[1]DATOS PBI Artículos'!$A:$A,'[1]DATOS PBI Artículos'!$AL:$AL))/(_xlfn.XLOOKUP($AF$1,[1]CRITERIOS!$S$16:$S$39,[1]CRITERIOS!$Y$16:$Y$39))*$J725+$Z725)/$G725,0)*$G725,
((_xlfn.XLOOKUP($A725,'[1]DATOS PBI Artículos'!$A:$A,'[1]DATOS PBI Artículos'!$AL:$AL))/(_xlfn.XLOOKUP($AF$1,[1]CRITERIOS!$S$16:$S$39,[1]CRITERIOS!$Y$16:$Y$39))*$J725+$Z725)))</f>
        <v>#N/A</v>
      </c>
      <c r="AG725" s="39" t="e">
        <f>IF($R725="MTO","",
IF($H725=0,ROUNDUP(((_xlfn.XLOOKUP($A725,'[1]DATOS PBI Artículos'!$A:$A,'[1]DATOS PBI Artículos'!$AM:$AM))/(_xlfn.XLOOKUP($AH$1,[1]CRITERIOS!$S$16:$S$39,[1]CRITERIOS!$Y$16:$Y$39))*$J725+$Z725)/$G725,0)*$G725,
((_xlfn.XLOOKUP($A725,'[1]DATOS PBI Artículos'!$A:$A,'[1]DATOS PBI Artículos'!$AM:$AM))/(_xlfn.XLOOKUP($AH$1,[1]CRITERIOS!$S$16:$S$39,[1]CRITERIOS!$Y$16:$Y$39))*$J725+$Z725)))</f>
        <v>#N/A</v>
      </c>
      <c r="AI725" s="39" t="e">
        <f>IF($R725="MTO","",
IF($H725=0,ROUNDUP(((_xlfn.XLOOKUP($A725,'[1]DATOS PBI Artículos'!$A:$A,'[1]DATOS PBI Artículos'!$AN:$AN))/(_xlfn.XLOOKUP($AJ$1,[1]CRITERIOS!$S$16:$S$39,[1]CRITERIOS!$Y$16:$Y$39))*$J725+$Z725)/$G725,0)*$G725,
((_xlfn.XLOOKUP($A725,'[1]DATOS PBI Artículos'!$A:$A,'[1]DATOS PBI Artículos'!$AN:$AN))/(_xlfn.XLOOKUP($AJ$1,[1]CRITERIOS!$S$16:$S$39,[1]CRITERIOS!$Y$16:$Y$39))*$J725+$Z725)))</f>
        <v>#N/A</v>
      </c>
      <c r="AK725" s="39" t="e">
        <f>IF($R725="MTO","",
IF($H725=0,ROUNDUP(((_xlfn.XLOOKUP($A725,'[1]DATOS PBI Artículos'!$A:$A,'[1]DATOS PBI Artículos'!$AO:$AO))/(_xlfn.XLOOKUP($AL$1,[1]CRITERIOS!$S$16:$S$39,[1]CRITERIOS!$Y$16:$Y$39))*$J725+$Z725)/$G725,0)*$G725,
((_xlfn.XLOOKUP($A725,'[1]DATOS PBI Artículos'!$A:$A,'[1]DATOS PBI Artículos'!$AO:$AO))/(_xlfn.XLOOKUP($AL$1,[1]CRITERIOS!$S$16:$S$39,[1]CRITERIOS!$Y$16:$Y$39))*$J725+$Z725)))</f>
        <v>#N/A</v>
      </c>
    </row>
    <row r="726" spans="1:37" ht="25.8" hidden="1" x14ac:dyDescent="0.4">
      <c r="A726" s="41"/>
      <c r="B726" s="33">
        <f>_xlfn.XLOOKUP($A726,'[1]DATOS PBI Artículos'!A:A,'[1]DATOS PBI Artículos'!B:B)</f>
        <v>0</v>
      </c>
      <c r="C726" s="33">
        <f>_xlfn.XLOOKUP($A726,'[1]DATOS PBI Artículos'!A:A,'[1]DATOS PBI Artículos'!C:C)</f>
        <v>0</v>
      </c>
      <c r="D726" s="33">
        <f>_xlfn.XLOOKUP(A726,'[1]DATOS PBI Artículos'!A:A,'[1]DATOS PBI Artículos'!T:T)</f>
        <v>0</v>
      </c>
      <c r="E726" s="34">
        <f>IF(_xlfn.XLOOKUP($A726,'[1]DATOS PBI Artículos'!A:A,'[1]DATOS PBI Artículos'!AK:AK)="",_xlfn.XLOOKUP($A726,'[1]DATOS PBI Artículos'!A:A,'[1]DATOS PBI Artículos'!AJ:AJ),_xlfn.XLOOKUP($A726,'[1]DATOS PBI Artículos'!A:A,'[1]DATOS PBI Artículos'!AK:AK))</f>
        <v>0</v>
      </c>
      <c r="F726" s="35">
        <f>_xlfn.XLOOKUP($A726,'[1]DATOS PBI Artículos'!A:A,'[1]DATOS PBI Artículos'!AP:AP)</f>
        <v>0</v>
      </c>
      <c r="G726" s="34">
        <f>_xlfn.XLOOKUP($A726,'[1]DATOS PBI Artículos'!A:A,'[1]DATOS PBI Artículos'!AR:AR)</f>
        <v>0</v>
      </c>
      <c r="H726" s="34">
        <f>_xlfn.XLOOKUP($A726,'[1]DATOS PBI Artículos'!A:A,'[1]DATOS PBI Artículos'!AT:AT)</f>
        <v>0</v>
      </c>
      <c r="I726" s="34">
        <f>_xlfn.XLOOKUP($A726,'[1]DATOS PBI Artículos'!A:A,'[1]DATOS PBI Artículos'!AS:AS)</f>
        <v>0</v>
      </c>
      <c r="J726" s="35">
        <f>IF(COUNTIF([1]CRITERIOS!$F$179:$F$199,$A726)&gt;=1,
 IF(O726&lt;&gt;"",
    (O726/_xlfn.XLOOKUP(CONCATENATE(A726,L726),[1]MÁQUINAS!A:A,[1]MÁQUINAS!D:D))/24,
    (N726/_xlfn.XLOOKUP(CONCATENATE(A726,L726),[1]MÁQUINAS!A:A,[1]MÁQUINAS!D:D))/24),
  _xlfn.XLOOKUP($A726,'[1]DATOS PBI Artículos'!A:A,'[1]DATOS PBI Artículos'!AU:AU))</f>
        <v>0</v>
      </c>
      <c r="K726" s="36">
        <f>_xlfn.XLOOKUP($A726,'[1]DATOS PBI Artículos'!A:A,'[1]DATOS PBI Artículos'!AV:AV)</f>
        <v>0</v>
      </c>
      <c r="L726" s="33">
        <f>_xlfn.XLOOKUP(A726,[1]MÁQUINAS!B:B,[1]MÁQUINAS!C:C)</f>
        <v>0</v>
      </c>
      <c r="M726" s="34">
        <f t="array" ref="M726">_xlfn.XLOOKUP(A726,'[1]DATOS PBI Artículos'!A:A,'[1]DATOS PBI Artículos'!AX:$AX)</f>
        <v>0</v>
      </c>
      <c r="N726" s="37" t="e">
        <f>IF(I726="DV",
E726,
IF(COUNTIF([1]CRITERIOS!$I$179:$I$199,$A726)&gt;=1,
_xlfn.XLOOKUP($A726,[1]CRITERIOS!$I$179:$I$199,[1]CRITERIOS!$J$179:$J$199),
IF(COUNTIF([1]CRITERIOS!$L$179:$L$199,$A726)&gt;=1,
_xlfn.CEILING.MATH(IF($M726&gt;$E726,
$E726,
IF($M726&lt;$E726/ROUNDDOWN([1]CRITERIOS!$M$16/_xlfn.XLOOKUP($C726,[1]CRITERIOS!$K$25:$K$42,[1]CRITERIOS!$M$25:$M$42),
1),
E726/ROUNDDOWN([1]CRITERIOS!$M$16/_xlfn.XLOOKUP($C726,[1]CRITERIOS!$K$25:$K$42,[1]CRITERIOS!$M$25:$M$42),
1),
$M726)),
_xlfn.XLOOKUP($A726,[1]CRITERIOS!$L$179:$L$200,[1]CRITERIOS!$M$179:$M$200)),
_xlfn.CEILING.MATH(IF($M726&gt;$E726,
$E726,
IF($M726&lt;$E726/ROUNDDOWN([1]CRITERIOS!$M$16/_xlfn.XLOOKUP($C726,[1]CRITERIOS!$K$25:$K$42,[1]CRITERIOS!$M$25:$M$42),
1),
E726/ROUNDDOWN([1]CRITERIOS!$M$16/_xlfn.XLOOKUP($C726,[1]CRITERIOS!$K$25:$K$42,[1]CRITERIOS!$M$25:$M$42),
1),
$M726)),_xlfn.XLOOKUP(A726,'[1]DATOS PBI Artículos'!A:A,'[1]DATOS PBI Artículos'!Z:Z
)))))</f>
        <v>#N/A</v>
      </c>
      <c r="Q726" s="38" t="e">
        <f>IF(AND(O726="",N726=0),
0,
   IF(COUNTIF([1]CRITERIOS!$F$179:$F$199,$A726)&gt;=1,
   1,
   IF(R726="MTO",
      $D726,
      ROUNDUP(
                    IF(($E726-SUMIF('[1]DATOS PBI Artículos'!A:A,A726,'[1]DATOS PBI Artículos'!X:X)+($V726-_xlfn.XLOOKUP(A726,'[1]DATOS PBI Artículos'!A:A,'[1]DATOS PBI Artículos'!W:W)))&lt;0,
                    0,
                    IF(($E726-SUMIF('[1]DATOS PBI Artículos'!A:A,A726,'[1]DATOS PBI Artículos'!X:X)+$V726-_xlfn.XLOOKUP($A726,'[1]DATOS PBI Artículos'!A:A,'[1]DATOS PBI Artículos'!W:W))/IF($O726="",$N726,$O726)&gt;ROUNDUP([1]CRITERIOS!$M$16/(IF(COUNTIF([1]CRITERIOS!$BG$11:$BG$201,L726)&gt;=1,_xlfn.XLOOKUP($C726,[1]CRITERIOS!$K$25:$K$42,[1]CRITERIOS!$M$25:$M$42),_xlfn.XLOOKUP($C726,[1]CRITERIOS!$K$25:$K$42,[1]CRITERIOS!$M$25:$M$42))),0),
                    ROUNDUP([1]CRITERIOS!$M$16/(IF(COUNTIF([1]CRITERIOS!$BG$11:$BG$201,$L726)&gt;=1,_xlfn.XLOOKUP($C726,[1]CRITERIOS!$K$25:$K$42,[1]CRITERIOS!$M$25:$M$42),_xlfn.XLOOKUP($C726,[1]CRITERIOS!$K$25:$K$42,[1]CRITERIOS!$M$25:$M$42))),0),
                    (E726+V726-SUMIF('[1]DATOS PBI Artículos'!A:A,A726,'[1]DATOS PBI Artículos'!X:X)-_xlfn.XLOOKUP(A726,'[1]DATOS PBI Artículos'!A:A,'[1]DATOS PBI Artículos'!W:W))/IF($O726="",$N726,$O726))),0))))</f>
        <v>#N/A</v>
      </c>
      <c r="R726" s="33" t="e">
        <f>IF(U726&lt;&gt;"",U726,IF(F726="DV","MTO",IF(N726=0,"MTO",_xlfn.XLOOKUP(CONCATENATE(S726,T726),[1]CRITERIOS!$K$160:$K$168,[1]CRITERIOS!$N$160:$N$168))))</f>
        <v>#N/A</v>
      </c>
      <c r="S726" s="33" t="e">
        <f>IF(G726="DV","MTO",IF(N726=0,"MTO",IF(OR(AND(N726=0,O726=""),IF(O726="",G726/N726,G726/O726)&gt;[1]CRITERIOS!$G$163),"MTO",IF(IF(O726="",G726/N726,G726/O726)&lt;[1]CRITERIOS!$H$161,"MTS","MTOS"))))</f>
        <v>#N/A</v>
      </c>
      <c r="T726" s="33" t="e">
        <f>IF(F726="DV","MTO",IF(OR(AND($N726=0,O726=""),$F726/$J726&gt;[1]CRITERIOS!$G$170,$F726="DV"),"MTO",IF($F726/$J726&lt;[1]CRITERIOS!$H$168,"MTS","MTOS")))</f>
        <v>#N/A</v>
      </c>
      <c r="V726" s="34" t="e">
        <f t="shared" si="34"/>
        <v>#N/A</v>
      </c>
      <c r="X726" s="34" t="e">
        <f t="shared" si="35"/>
        <v>#N/A</v>
      </c>
      <c r="Y726" s="34" t="e">
        <f t="shared" si="36"/>
        <v>#N/A</v>
      </c>
      <c r="Z726" s="34" t="e">
        <f>IF($R726="MTO",
0,
($H726+$K726*($E726/[1]CRITERIOS!$M$16))/[1]CRITERIOS!$X$48)</f>
        <v>#N/A</v>
      </c>
      <c r="AA726" s="34" t="e">
        <f>ROUNDUP(($Y726/_xlfn.XLOOKUP($A726,'[1]DATOS PBI Artículos'!$A$4:$A$4,'[1]DATOS PBI Artículos'!$Z$4:$Z$4))/_xlfn.XLOOKUP(_xlfn.XLOOKUP($A726,'[1]DATOS PBI Artículos'!$A$4:$A$4,'[1]DATOS PBI Artículos'!$Y$4:$Y$4),[1]CRITERIOS!$P$79:$P$123,[1]CRITERIOS!$S$79:$S$123,),0)</f>
        <v>#N/A</v>
      </c>
      <c r="AC726" s="33" t="e">
        <f>IF(N726=0,"",(ROUNDUP((N726/2)/(_xlfn.XLOOKUP(A726,'[1]DATOS PBI Artículos'!$A$4:$A$4,'[1]DATOS PBI Artículos'!$Z$4:$Z$4)*_xlfn.XLOOKUP(_xlfn.XLOOKUP(A726,'[1]DATOS PBI Artículos'!$A$4:$A$4,'[1]DATOS PBI Artículos'!$Y$4:$Y$4),[1]CRITERIOS!$P$79:$P$123,[1]CRITERIOS!$S$79:$S$123)),0)*[1]CRITERIOS!$M$80*([1]CRITERIOS!$M$110/[1]CRITERIOS!$M$86)+(_xlfn.XLOOKUP(A726,'[1]DATOS PBI Artículos'!$A$4:$A$4,'[1]DATOS PBI Artículos'!$AA$4:$AA$4)*([1]CRITERIOS!$M$95+[1]CRITERIOS!$M$98)))/N726)</f>
        <v>#N/A</v>
      </c>
      <c r="AD726" s="33" t="e">
        <f>IF(N726=0,"",(ROUNDUP((N726/2)/(_xlfn.XLOOKUP(A726,'[1]DATOS PBI Artículos'!$A$4:$A$4,'[1]DATOS PBI Artículos'!$Z$4:$Z$4)*_xlfn.XLOOKUP(_xlfn.XLOOKUP(A726,'[1]DATOS PBI Artículos'!$A$4:$A$4,'[1]DATOS PBI Artículos'!$Y$4:$Y$4),[1]CRITERIOS!$P$79:$P$123,[1]CRITERIOS!$S$79:$S$123)),0)*[1]CRITERIOS!$M$80*([1]CRITERIOS!$M$89*[1]CRITERIOS!$M$92)+((_xlfn.XLOOKUP(A726,'[1]DATOS PBI Artículos'!$A$4:$A$4,'[1]DATOS PBI Artículos'!$AA$4:$AA$4)/2)*([1]CRITERIOS!$M$95+[1]CRITERIOS!$M$98)))/N726)</f>
        <v>#N/A</v>
      </c>
      <c r="AE726" s="39" t="e">
        <f>IF($R726="MTO","",
IF($H726=0,ROUNDUP(((_xlfn.XLOOKUP($A726,'[1]DATOS PBI Artículos'!$A:$A,'[1]DATOS PBI Artículos'!$AL:$AL))/(_xlfn.XLOOKUP($AF$1,[1]CRITERIOS!$S$16:$S$39,[1]CRITERIOS!$Y$16:$Y$39))*$J726+$Z726)/$G726,0)*$G726,
((_xlfn.XLOOKUP($A726,'[1]DATOS PBI Artículos'!$A:$A,'[1]DATOS PBI Artículos'!$AL:$AL))/(_xlfn.XLOOKUP($AF$1,[1]CRITERIOS!$S$16:$S$39,[1]CRITERIOS!$Y$16:$Y$39))*$J726+$Z726)))</f>
        <v>#N/A</v>
      </c>
      <c r="AG726" s="39" t="e">
        <f>IF($R726="MTO","",
IF($H726=0,ROUNDUP(((_xlfn.XLOOKUP($A726,'[1]DATOS PBI Artículos'!$A:$A,'[1]DATOS PBI Artículos'!$AM:$AM))/(_xlfn.XLOOKUP($AH$1,[1]CRITERIOS!$S$16:$S$39,[1]CRITERIOS!$Y$16:$Y$39))*$J726+$Z726)/$G726,0)*$G726,
((_xlfn.XLOOKUP($A726,'[1]DATOS PBI Artículos'!$A:$A,'[1]DATOS PBI Artículos'!$AM:$AM))/(_xlfn.XLOOKUP($AH$1,[1]CRITERIOS!$S$16:$S$39,[1]CRITERIOS!$Y$16:$Y$39))*$J726+$Z726)))</f>
        <v>#N/A</v>
      </c>
      <c r="AI726" s="39" t="e">
        <f>IF($R726="MTO","",
IF($H726=0,ROUNDUP(((_xlfn.XLOOKUP($A726,'[1]DATOS PBI Artículos'!$A:$A,'[1]DATOS PBI Artículos'!$AN:$AN))/(_xlfn.XLOOKUP($AJ$1,[1]CRITERIOS!$S$16:$S$39,[1]CRITERIOS!$Y$16:$Y$39))*$J726+$Z726)/$G726,0)*$G726,
((_xlfn.XLOOKUP($A726,'[1]DATOS PBI Artículos'!$A:$A,'[1]DATOS PBI Artículos'!$AN:$AN))/(_xlfn.XLOOKUP($AJ$1,[1]CRITERIOS!$S$16:$S$39,[1]CRITERIOS!$Y$16:$Y$39))*$J726+$Z726)))</f>
        <v>#N/A</v>
      </c>
      <c r="AK726" s="39" t="e">
        <f>IF($R726="MTO","",
IF($H726=0,ROUNDUP(((_xlfn.XLOOKUP($A726,'[1]DATOS PBI Artículos'!$A:$A,'[1]DATOS PBI Artículos'!$AO:$AO))/(_xlfn.XLOOKUP($AL$1,[1]CRITERIOS!$S$16:$S$39,[1]CRITERIOS!$Y$16:$Y$39))*$J726+$Z726)/$G726,0)*$G726,
((_xlfn.XLOOKUP($A726,'[1]DATOS PBI Artículos'!$A:$A,'[1]DATOS PBI Artículos'!$AO:$AO))/(_xlfn.XLOOKUP($AL$1,[1]CRITERIOS!$S$16:$S$39,[1]CRITERIOS!$Y$16:$Y$39))*$J726+$Z726)))</f>
        <v>#N/A</v>
      </c>
    </row>
    <row r="727" spans="1:37" ht="25.8" hidden="1" x14ac:dyDescent="0.4">
      <c r="A727" s="41"/>
      <c r="B727" s="33">
        <f>_xlfn.XLOOKUP($A727,'[1]DATOS PBI Artículos'!A:A,'[1]DATOS PBI Artículos'!B:B)</f>
        <v>0</v>
      </c>
      <c r="C727" s="33">
        <f>_xlfn.XLOOKUP($A727,'[1]DATOS PBI Artículos'!A:A,'[1]DATOS PBI Artículos'!C:C)</f>
        <v>0</v>
      </c>
      <c r="D727" s="33">
        <f>_xlfn.XLOOKUP(A727,'[1]DATOS PBI Artículos'!A:A,'[1]DATOS PBI Artículos'!T:T)</f>
        <v>0</v>
      </c>
      <c r="E727" s="34">
        <f>IF(_xlfn.XLOOKUP($A727,'[1]DATOS PBI Artículos'!A:A,'[1]DATOS PBI Artículos'!AK:AK)="",_xlfn.XLOOKUP($A727,'[1]DATOS PBI Artículos'!A:A,'[1]DATOS PBI Artículos'!AJ:AJ),_xlfn.XLOOKUP($A727,'[1]DATOS PBI Artículos'!A:A,'[1]DATOS PBI Artículos'!AK:AK))</f>
        <v>0</v>
      </c>
      <c r="F727" s="35">
        <f>_xlfn.XLOOKUP($A727,'[1]DATOS PBI Artículos'!A:A,'[1]DATOS PBI Artículos'!AP:AP)</f>
        <v>0</v>
      </c>
      <c r="G727" s="34">
        <f>_xlfn.XLOOKUP($A727,'[1]DATOS PBI Artículos'!A:A,'[1]DATOS PBI Artículos'!AR:AR)</f>
        <v>0</v>
      </c>
      <c r="H727" s="34">
        <f>_xlfn.XLOOKUP($A727,'[1]DATOS PBI Artículos'!A:A,'[1]DATOS PBI Artículos'!AT:AT)</f>
        <v>0</v>
      </c>
      <c r="I727" s="34">
        <f>_xlfn.XLOOKUP($A727,'[1]DATOS PBI Artículos'!A:A,'[1]DATOS PBI Artículos'!AS:AS)</f>
        <v>0</v>
      </c>
      <c r="J727" s="35">
        <f>IF(COUNTIF([1]CRITERIOS!$F$179:$F$199,$A727)&gt;=1,
 IF(O727&lt;&gt;"",
    (O727/_xlfn.XLOOKUP(CONCATENATE(A727,L727),[1]MÁQUINAS!A:A,[1]MÁQUINAS!D:D))/24,
    (N727/_xlfn.XLOOKUP(CONCATENATE(A727,L727),[1]MÁQUINAS!A:A,[1]MÁQUINAS!D:D))/24),
  _xlfn.XLOOKUP($A727,'[1]DATOS PBI Artículos'!A:A,'[1]DATOS PBI Artículos'!AU:AU))</f>
        <v>0</v>
      </c>
      <c r="K727" s="36">
        <f>_xlfn.XLOOKUP($A727,'[1]DATOS PBI Artículos'!A:A,'[1]DATOS PBI Artículos'!AV:AV)</f>
        <v>0</v>
      </c>
      <c r="L727" s="33">
        <f>_xlfn.XLOOKUP(A727,[1]MÁQUINAS!B:B,[1]MÁQUINAS!C:C)</f>
        <v>0</v>
      </c>
      <c r="M727" s="34">
        <f t="array" ref="M727">_xlfn.XLOOKUP(A727,'[1]DATOS PBI Artículos'!A:A,'[1]DATOS PBI Artículos'!AX:$AX)</f>
        <v>0</v>
      </c>
      <c r="N727" s="37" t="e">
        <f>IF(I727="DV",
E727,
IF(COUNTIF([1]CRITERIOS!$I$179:$I$199,$A727)&gt;=1,
_xlfn.XLOOKUP($A727,[1]CRITERIOS!$I$179:$I$199,[1]CRITERIOS!$J$179:$J$199),
IF(COUNTIF([1]CRITERIOS!$L$179:$L$199,$A727)&gt;=1,
_xlfn.CEILING.MATH(IF($M727&gt;$E727,
$E727,
IF($M727&lt;$E727/ROUNDDOWN([1]CRITERIOS!$M$16/_xlfn.XLOOKUP($C727,[1]CRITERIOS!$K$25:$K$42,[1]CRITERIOS!$M$25:$M$42),
1),
E727/ROUNDDOWN([1]CRITERIOS!$M$16/_xlfn.XLOOKUP($C727,[1]CRITERIOS!$K$25:$K$42,[1]CRITERIOS!$M$25:$M$42),
1),
$M727)),
_xlfn.XLOOKUP($A727,[1]CRITERIOS!$L$179:$L$200,[1]CRITERIOS!$M$179:$M$200)),
_xlfn.CEILING.MATH(IF($M727&gt;$E727,
$E727,
IF($M727&lt;$E727/ROUNDDOWN([1]CRITERIOS!$M$16/_xlfn.XLOOKUP($C727,[1]CRITERIOS!$K$25:$K$42,[1]CRITERIOS!$M$25:$M$42),
1),
E727/ROUNDDOWN([1]CRITERIOS!$M$16/_xlfn.XLOOKUP($C727,[1]CRITERIOS!$K$25:$K$42,[1]CRITERIOS!$M$25:$M$42),
1),
$M727)),_xlfn.XLOOKUP(A727,'[1]DATOS PBI Artículos'!A:A,'[1]DATOS PBI Artículos'!Z:Z
)))))</f>
        <v>#N/A</v>
      </c>
      <c r="Q727" s="38" t="e">
        <f>IF(AND(O727="",N727=0),
0,
   IF(COUNTIF([1]CRITERIOS!$F$179:$F$199,$A727)&gt;=1,
   1,
   IF(R727="MTO",
      $D727,
      ROUNDUP(
                    IF(($E727-SUMIF('[1]DATOS PBI Artículos'!A:A,A727,'[1]DATOS PBI Artículos'!X:X)+($V727-_xlfn.XLOOKUP(A727,'[1]DATOS PBI Artículos'!A:A,'[1]DATOS PBI Artículos'!W:W)))&lt;0,
                    0,
                    IF(($E727-SUMIF('[1]DATOS PBI Artículos'!A:A,A727,'[1]DATOS PBI Artículos'!X:X)+$V727-_xlfn.XLOOKUP($A727,'[1]DATOS PBI Artículos'!A:A,'[1]DATOS PBI Artículos'!W:W))/IF($O727="",$N727,$O727)&gt;ROUNDUP([1]CRITERIOS!$M$16/(IF(COUNTIF([1]CRITERIOS!$BG$11:$BG$201,L727)&gt;=1,_xlfn.XLOOKUP($C727,[1]CRITERIOS!$K$25:$K$42,[1]CRITERIOS!$M$25:$M$42),_xlfn.XLOOKUP($C727,[1]CRITERIOS!$K$25:$K$42,[1]CRITERIOS!$M$25:$M$42))),0),
                    ROUNDUP([1]CRITERIOS!$M$16/(IF(COUNTIF([1]CRITERIOS!$BG$11:$BG$201,$L727)&gt;=1,_xlfn.XLOOKUP($C727,[1]CRITERIOS!$K$25:$K$42,[1]CRITERIOS!$M$25:$M$42),_xlfn.XLOOKUP($C727,[1]CRITERIOS!$K$25:$K$42,[1]CRITERIOS!$M$25:$M$42))),0),
                    (E727+V727-SUMIF('[1]DATOS PBI Artículos'!A:A,A727,'[1]DATOS PBI Artículos'!X:X)-_xlfn.XLOOKUP(A727,'[1]DATOS PBI Artículos'!A:A,'[1]DATOS PBI Artículos'!W:W))/IF($O727="",$N727,$O727))),0))))</f>
        <v>#N/A</v>
      </c>
      <c r="R727" s="33" t="e">
        <f>IF(U727&lt;&gt;"",U727,IF(F727="DV","MTO",IF(N727=0,"MTO",_xlfn.XLOOKUP(CONCATENATE(S727,T727),[1]CRITERIOS!$K$160:$K$168,[1]CRITERIOS!$N$160:$N$168))))</f>
        <v>#N/A</v>
      </c>
      <c r="S727" s="33" t="e">
        <f>IF(G727="DV","MTO",IF(N727=0,"MTO",IF(OR(AND(N727=0,O727=""),IF(O727="",G727/N727,G727/O727)&gt;[1]CRITERIOS!$G$163),"MTO",IF(IF(O727="",G727/N727,G727/O727)&lt;[1]CRITERIOS!$H$161,"MTS","MTOS"))))</f>
        <v>#N/A</v>
      </c>
      <c r="T727" s="33" t="e">
        <f>IF(F727="DV","MTO",IF(OR(AND($N727=0,O727=""),$F727/$J727&gt;[1]CRITERIOS!$G$170,$F727="DV"),"MTO",IF($F727/$J727&lt;[1]CRITERIOS!$H$168,"MTS","MTOS")))</f>
        <v>#N/A</v>
      </c>
      <c r="V727" s="34" t="e">
        <f t="shared" si="34"/>
        <v>#N/A</v>
      </c>
      <c r="X727" s="34" t="e">
        <f t="shared" si="35"/>
        <v>#N/A</v>
      </c>
      <c r="Y727" s="34" t="e">
        <f t="shared" si="36"/>
        <v>#N/A</v>
      </c>
      <c r="Z727" s="34" t="e">
        <f>IF($R727="MTO",
0,
($H727+$K727*($E727/[1]CRITERIOS!$M$16))/[1]CRITERIOS!$X$48)</f>
        <v>#N/A</v>
      </c>
      <c r="AA727" s="34" t="e">
        <f>ROUNDUP(($Y727/_xlfn.XLOOKUP($A727,'[1]DATOS PBI Artículos'!$A$4:$A$4,'[1]DATOS PBI Artículos'!$Z$4:$Z$4))/_xlfn.XLOOKUP(_xlfn.XLOOKUP($A727,'[1]DATOS PBI Artículos'!$A$4:$A$4,'[1]DATOS PBI Artículos'!$Y$4:$Y$4),[1]CRITERIOS!$P$79:$P$123,[1]CRITERIOS!$S$79:$S$123,),0)</f>
        <v>#N/A</v>
      </c>
      <c r="AC727" s="33" t="e">
        <f>IF(N727=0,"",(ROUNDUP((N727/2)/(_xlfn.XLOOKUP(A727,'[1]DATOS PBI Artículos'!$A$4:$A$4,'[1]DATOS PBI Artículos'!$Z$4:$Z$4)*_xlfn.XLOOKUP(_xlfn.XLOOKUP(A727,'[1]DATOS PBI Artículos'!$A$4:$A$4,'[1]DATOS PBI Artículos'!$Y$4:$Y$4),[1]CRITERIOS!$P$79:$P$123,[1]CRITERIOS!$S$79:$S$123)),0)*[1]CRITERIOS!$M$80*([1]CRITERIOS!$M$110/[1]CRITERIOS!$M$86)+(_xlfn.XLOOKUP(A727,'[1]DATOS PBI Artículos'!$A$4:$A$4,'[1]DATOS PBI Artículos'!$AA$4:$AA$4)*([1]CRITERIOS!$M$95+[1]CRITERIOS!$M$98)))/N727)</f>
        <v>#N/A</v>
      </c>
      <c r="AD727" s="33" t="e">
        <f>IF(N727=0,"",(ROUNDUP((N727/2)/(_xlfn.XLOOKUP(A727,'[1]DATOS PBI Artículos'!$A$4:$A$4,'[1]DATOS PBI Artículos'!$Z$4:$Z$4)*_xlfn.XLOOKUP(_xlfn.XLOOKUP(A727,'[1]DATOS PBI Artículos'!$A$4:$A$4,'[1]DATOS PBI Artículos'!$Y$4:$Y$4),[1]CRITERIOS!$P$79:$P$123,[1]CRITERIOS!$S$79:$S$123)),0)*[1]CRITERIOS!$M$80*([1]CRITERIOS!$M$89*[1]CRITERIOS!$M$92)+((_xlfn.XLOOKUP(A727,'[1]DATOS PBI Artículos'!$A$4:$A$4,'[1]DATOS PBI Artículos'!$AA$4:$AA$4)/2)*([1]CRITERIOS!$M$95+[1]CRITERIOS!$M$98)))/N727)</f>
        <v>#N/A</v>
      </c>
      <c r="AE727" s="39" t="e">
        <f>IF($R727="MTO","",
IF($H727=0,ROUNDUP(((_xlfn.XLOOKUP($A727,'[1]DATOS PBI Artículos'!$A:$A,'[1]DATOS PBI Artículos'!$AL:$AL))/(_xlfn.XLOOKUP($AF$1,[1]CRITERIOS!$S$16:$S$39,[1]CRITERIOS!$Y$16:$Y$39))*$J727+$Z727)/$G727,0)*$G727,
((_xlfn.XLOOKUP($A727,'[1]DATOS PBI Artículos'!$A:$A,'[1]DATOS PBI Artículos'!$AL:$AL))/(_xlfn.XLOOKUP($AF$1,[1]CRITERIOS!$S$16:$S$39,[1]CRITERIOS!$Y$16:$Y$39))*$J727+$Z727)))</f>
        <v>#N/A</v>
      </c>
      <c r="AG727" s="39" t="e">
        <f>IF($R727="MTO","",
IF($H727=0,ROUNDUP(((_xlfn.XLOOKUP($A727,'[1]DATOS PBI Artículos'!$A:$A,'[1]DATOS PBI Artículos'!$AM:$AM))/(_xlfn.XLOOKUP($AH$1,[1]CRITERIOS!$S$16:$S$39,[1]CRITERIOS!$Y$16:$Y$39))*$J727+$Z727)/$G727,0)*$G727,
((_xlfn.XLOOKUP($A727,'[1]DATOS PBI Artículos'!$A:$A,'[1]DATOS PBI Artículos'!$AM:$AM))/(_xlfn.XLOOKUP($AH$1,[1]CRITERIOS!$S$16:$S$39,[1]CRITERIOS!$Y$16:$Y$39))*$J727+$Z727)))</f>
        <v>#N/A</v>
      </c>
      <c r="AI727" s="39" t="e">
        <f>IF($R727="MTO","",
IF($H727=0,ROUNDUP(((_xlfn.XLOOKUP($A727,'[1]DATOS PBI Artículos'!$A:$A,'[1]DATOS PBI Artículos'!$AN:$AN))/(_xlfn.XLOOKUP($AJ$1,[1]CRITERIOS!$S$16:$S$39,[1]CRITERIOS!$Y$16:$Y$39))*$J727+$Z727)/$G727,0)*$G727,
((_xlfn.XLOOKUP($A727,'[1]DATOS PBI Artículos'!$A:$A,'[1]DATOS PBI Artículos'!$AN:$AN))/(_xlfn.XLOOKUP($AJ$1,[1]CRITERIOS!$S$16:$S$39,[1]CRITERIOS!$Y$16:$Y$39))*$J727+$Z727)))</f>
        <v>#N/A</v>
      </c>
      <c r="AK727" s="39" t="e">
        <f>IF($R727="MTO","",
IF($H727=0,ROUNDUP(((_xlfn.XLOOKUP($A727,'[1]DATOS PBI Artículos'!$A:$A,'[1]DATOS PBI Artículos'!$AO:$AO))/(_xlfn.XLOOKUP($AL$1,[1]CRITERIOS!$S$16:$S$39,[1]CRITERIOS!$Y$16:$Y$39))*$J727+$Z727)/$G727,0)*$G727,
((_xlfn.XLOOKUP($A727,'[1]DATOS PBI Artículos'!$A:$A,'[1]DATOS PBI Artículos'!$AO:$AO))/(_xlfn.XLOOKUP($AL$1,[1]CRITERIOS!$S$16:$S$39,[1]CRITERIOS!$Y$16:$Y$39))*$J727+$Z727)))</f>
        <v>#N/A</v>
      </c>
    </row>
    <row r="728" spans="1:37" ht="25.8" hidden="1" x14ac:dyDescent="0.4">
      <c r="A728" s="41"/>
      <c r="B728" s="33">
        <f>_xlfn.XLOOKUP($A728,'[1]DATOS PBI Artículos'!A:A,'[1]DATOS PBI Artículos'!B:B)</f>
        <v>0</v>
      </c>
      <c r="C728" s="33">
        <f>_xlfn.XLOOKUP($A728,'[1]DATOS PBI Artículos'!A:A,'[1]DATOS PBI Artículos'!C:C)</f>
        <v>0</v>
      </c>
      <c r="D728" s="33">
        <f>_xlfn.XLOOKUP(A728,'[1]DATOS PBI Artículos'!A:A,'[1]DATOS PBI Artículos'!T:T)</f>
        <v>0</v>
      </c>
      <c r="E728" s="34">
        <f>IF(_xlfn.XLOOKUP($A728,'[1]DATOS PBI Artículos'!A:A,'[1]DATOS PBI Artículos'!AK:AK)="",_xlfn.XLOOKUP($A728,'[1]DATOS PBI Artículos'!A:A,'[1]DATOS PBI Artículos'!AJ:AJ),_xlfn.XLOOKUP($A728,'[1]DATOS PBI Artículos'!A:A,'[1]DATOS PBI Artículos'!AK:AK))</f>
        <v>0</v>
      </c>
      <c r="F728" s="35">
        <f>_xlfn.XLOOKUP($A728,'[1]DATOS PBI Artículos'!A:A,'[1]DATOS PBI Artículos'!AP:AP)</f>
        <v>0</v>
      </c>
      <c r="G728" s="34">
        <f>_xlfn.XLOOKUP($A728,'[1]DATOS PBI Artículos'!A:A,'[1]DATOS PBI Artículos'!AR:AR)</f>
        <v>0</v>
      </c>
      <c r="H728" s="34">
        <f>_xlfn.XLOOKUP($A728,'[1]DATOS PBI Artículos'!A:A,'[1]DATOS PBI Artículos'!AT:AT)</f>
        <v>0</v>
      </c>
      <c r="I728" s="34">
        <f>_xlfn.XLOOKUP($A728,'[1]DATOS PBI Artículos'!A:A,'[1]DATOS PBI Artículos'!AS:AS)</f>
        <v>0</v>
      </c>
      <c r="J728" s="35">
        <f>IF(COUNTIF([1]CRITERIOS!$F$179:$F$199,$A728)&gt;=1,
 IF(O728&lt;&gt;"",
    (O728/_xlfn.XLOOKUP(CONCATENATE(A728,L728),[1]MÁQUINAS!A:A,[1]MÁQUINAS!D:D))/24,
    (N728/_xlfn.XLOOKUP(CONCATENATE(A728,L728),[1]MÁQUINAS!A:A,[1]MÁQUINAS!D:D))/24),
  _xlfn.XLOOKUP($A728,'[1]DATOS PBI Artículos'!A:A,'[1]DATOS PBI Artículos'!AU:AU))</f>
        <v>0</v>
      </c>
      <c r="K728" s="36">
        <f>_xlfn.XLOOKUP($A728,'[1]DATOS PBI Artículos'!A:A,'[1]DATOS PBI Artículos'!AV:AV)</f>
        <v>0</v>
      </c>
      <c r="L728" s="33">
        <f>_xlfn.XLOOKUP(A728,[1]MÁQUINAS!B:B,[1]MÁQUINAS!C:C)</f>
        <v>0</v>
      </c>
      <c r="M728" s="34">
        <f t="array" ref="M728">_xlfn.XLOOKUP(A728,'[1]DATOS PBI Artículos'!A:A,'[1]DATOS PBI Artículos'!AX:$AX)</f>
        <v>0</v>
      </c>
      <c r="N728" s="37" t="e">
        <f>IF(I728="DV",
E728,
IF(COUNTIF([1]CRITERIOS!$I$179:$I$199,$A728)&gt;=1,
_xlfn.XLOOKUP($A728,[1]CRITERIOS!$I$179:$I$199,[1]CRITERIOS!$J$179:$J$199),
IF(COUNTIF([1]CRITERIOS!$L$179:$L$199,$A728)&gt;=1,
_xlfn.CEILING.MATH(IF($M728&gt;$E728,
$E728,
IF($M728&lt;$E728/ROUNDDOWN([1]CRITERIOS!$M$16/_xlfn.XLOOKUP($C728,[1]CRITERIOS!$K$25:$K$42,[1]CRITERIOS!$M$25:$M$42),
1),
E728/ROUNDDOWN([1]CRITERIOS!$M$16/_xlfn.XLOOKUP($C728,[1]CRITERIOS!$K$25:$K$42,[1]CRITERIOS!$M$25:$M$42),
1),
$M728)),
_xlfn.XLOOKUP($A728,[1]CRITERIOS!$L$179:$L$200,[1]CRITERIOS!$M$179:$M$200)),
_xlfn.CEILING.MATH(IF($M728&gt;$E728,
$E728,
IF($M728&lt;$E728/ROUNDDOWN([1]CRITERIOS!$M$16/_xlfn.XLOOKUP($C728,[1]CRITERIOS!$K$25:$K$42,[1]CRITERIOS!$M$25:$M$42),
1),
E728/ROUNDDOWN([1]CRITERIOS!$M$16/_xlfn.XLOOKUP($C728,[1]CRITERIOS!$K$25:$K$42,[1]CRITERIOS!$M$25:$M$42),
1),
$M728)),_xlfn.XLOOKUP(A728,'[1]DATOS PBI Artículos'!A:A,'[1]DATOS PBI Artículos'!Z:Z
)))))</f>
        <v>#N/A</v>
      </c>
      <c r="Q728" s="38" t="e">
        <f>IF(AND(O728="",N728=0),
0,
   IF(COUNTIF([1]CRITERIOS!$F$179:$F$199,$A728)&gt;=1,
   1,
   IF(R728="MTO",
      $D728,
      ROUNDUP(
                    IF(($E728-SUMIF('[1]DATOS PBI Artículos'!A:A,A728,'[1]DATOS PBI Artículos'!X:X)+($V728-_xlfn.XLOOKUP(A728,'[1]DATOS PBI Artículos'!A:A,'[1]DATOS PBI Artículos'!W:W)))&lt;0,
                    0,
                    IF(($E728-SUMIF('[1]DATOS PBI Artículos'!A:A,A728,'[1]DATOS PBI Artículos'!X:X)+$V728-_xlfn.XLOOKUP($A728,'[1]DATOS PBI Artículos'!A:A,'[1]DATOS PBI Artículos'!W:W))/IF($O728="",$N728,$O728)&gt;ROUNDUP([1]CRITERIOS!$M$16/(IF(COUNTIF([1]CRITERIOS!$BG$11:$BG$201,L728)&gt;=1,_xlfn.XLOOKUP($C728,[1]CRITERIOS!$K$25:$K$42,[1]CRITERIOS!$M$25:$M$42),_xlfn.XLOOKUP($C728,[1]CRITERIOS!$K$25:$K$42,[1]CRITERIOS!$M$25:$M$42))),0),
                    ROUNDUP([1]CRITERIOS!$M$16/(IF(COUNTIF([1]CRITERIOS!$BG$11:$BG$201,$L728)&gt;=1,_xlfn.XLOOKUP($C728,[1]CRITERIOS!$K$25:$K$42,[1]CRITERIOS!$M$25:$M$42),_xlfn.XLOOKUP($C728,[1]CRITERIOS!$K$25:$K$42,[1]CRITERIOS!$M$25:$M$42))),0),
                    (E728+V728-SUMIF('[1]DATOS PBI Artículos'!A:A,A728,'[1]DATOS PBI Artículos'!X:X)-_xlfn.XLOOKUP(A728,'[1]DATOS PBI Artículos'!A:A,'[1]DATOS PBI Artículos'!W:W))/IF($O728="",$N728,$O728))),0))))</f>
        <v>#N/A</v>
      </c>
      <c r="R728" s="33" t="e">
        <f>IF(U728&lt;&gt;"",U728,IF(F728="DV","MTO",IF(N728=0,"MTO",_xlfn.XLOOKUP(CONCATENATE(S728,T728),[1]CRITERIOS!$K$160:$K$168,[1]CRITERIOS!$N$160:$N$168))))</f>
        <v>#N/A</v>
      </c>
      <c r="S728" s="33" t="e">
        <f>IF(G728="DV","MTO",IF(N728=0,"MTO",IF(OR(AND(N728=0,O728=""),IF(O728="",G728/N728,G728/O728)&gt;[1]CRITERIOS!$G$163),"MTO",IF(IF(O728="",G728/N728,G728/O728)&lt;[1]CRITERIOS!$H$161,"MTS","MTOS"))))</f>
        <v>#N/A</v>
      </c>
      <c r="T728" s="33" t="e">
        <f>IF(F728="DV","MTO",IF(OR(AND($N728=0,O728=""),$F728/$J728&gt;[1]CRITERIOS!$G$170,$F728="DV"),"MTO",IF($F728/$J728&lt;[1]CRITERIOS!$H$168,"MTS","MTOS")))</f>
        <v>#N/A</v>
      </c>
      <c r="V728" s="34" t="e">
        <f t="shared" si="34"/>
        <v>#N/A</v>
      </c>
      <c r="X728" s="34" t="e">
        <f t="shared" si="35"/>
        <v>#N/A</v>
      </c>
      <c r="Y728" s="34" t="e">
        <f t="shared" si="36"/>
        <v>#N/A</v>
      </c>
      <c r="Z728" s="34" t="e">
        <f>IF($R728="MTO",
0,
($H728+$K728*($E728/[1]CRITERIOS!$M$16))/[1]CRITERIOS!$X$48)</f>
        <v>#N/A</v>
      </c>
      <c r="AA728" s="34" t="e">
        <f>ROUNDUP(($Y728/_xlfn.XLOOKUP($A728,'[1]DATOS PBI Artículos'!$A$4:$A$4,'[1]DATOS PBI Artículos'!$Z$4:$Z$4))/_xlfn.XLOOKUP(_xlfn.XLOOKUP($A728,'[1]DATOS PBI Artículos'!$A$4:$A$4,'[1]DATOS PBI Artículos'!$Y$4:$Y$4),[1]CRITERIOS!$P$79:$P$123,[1]CRITERIOS!$S$79:$S$123,),0)</f>
        <v>#N/A</v>
      </c>
      <c r="AC728" s="33" t="e">
        <f>IF(N728=0,"",(ROUNDUP((N728/2)/(_xlfn.XLOOKUP(A728,'[1]DATOS PBI Artículos'!$A$4:$A$4,'[1]DATOS PBI Artículos'!$Z$4:$Z$4)*_xlfn.XLOOKUP(_xlfn.XLOOKUP(A728,'[1]DATOS PBI Artículos'!$A$4:$A$4,'[1]DATOS PBI Artículos'!$Y$4:$Y$4),[1]CRITERIOS!$P$79:$P$123,[1]CRITERIOS!$S$79:$S$123)),0)*[1]CRITERIOS!$M$80*([1]CRITERIOS!$M$110/[1]CRITERIOS!$M$86)+(_xlfn.XLOOKUP(A728,'[1]DATOS PBI Artículos'!$A$4:$A$4,'[1]DATOS PBI Artículos'!$AA$4:$AA$4)*([1]CRITERIOS!$M$95+[1]CRITERIOS!$M$98)))/N728)</f>
        <v>#N/A</v>
      </c>
      <c r="AD728" s="33" t="e">
        <f>IF(N728=0,"",(ROUNDUP((N728/2)/(_xlfn.XLOOKUP(A728,'[1]DATOS PBI Artículos'!$A$4:$A$4,'[1]DATOS PBI Artículos'!$Z$4:$Z$4)*_xlfn.XLOOKUP(_xlfn.XLOOKUP(A728,'[1]DATOS PBI Artículos'!$A$4:$A$4,'[1]DATOS PBI Artículos'!$Y$4:$Y$4),[1]CRITERIOS!$P$79:$P$123,[1]CRITERIOS!$S$79:$S$123)),0)*[1]CRITERIOS!$M$80*([1]CRITERIOS!$M$89*[1]CRITERIOS!$M$92)+((_xlfn.XLOOKUP(A728,'[1]DATOS PBI Artículos'!$A$4:$A$4,'[1]DATOS PBI Artículos'!$AA$4:$AA$4)/2)*([1]CRITERIOS!$M$95+[1]CRITERIOS!$M$98)))/N728)</f>
        <v>#N/A</v>
      </c>
      <c r="AE728" s="39" t="e">
        <f>IF($R728="MTO","",
IF($H728=0,ROUNDUP(((_xlfn.XLOOKUP($A728,'[1]DATOS PBI Artículos'!$A:$A,'[1]DATOS PBI Artículos'!$AL:$AL))/(_xlfn.XLOOKUP($AF$1,[1]CRITERIOS!$S$16:$S$39,[1]CRITERIOS!$Y$16:$Y$39))*$J728+$Z728)/$G728,0)*$G728,
((_xlfn.XLOOKUP($A728,'[1]DATOS PBI Artículos'!$A:$A,'[1]DATOS PBI Artículos'!$AL:$AL))/(_xlfn.XLOOKUP($AF$1,[1]CRITERIOS!$S$16:$S$39,[1]CRITERIOS!$Y$16:$Y$39))*$J728+$Z728)))</f>
        <v>#N/A</v>
      </c>
      <c r="AG728" s="39" t="e">
        <f>IF($R728="MTO","",
IF($H728=0,ROUNDUP(((_xlfn.XLOOKUP($A728,'[1]DATOS PBI Artículos'!$A:$A,'[1]DATOS PBI Artículos'!$AM:$AM))/(_xlfn.XLOOKUP($AH$1,[1]CRITERIOS!$S$16:$S$39,[1]CRITERIOS!$Y$16:$Y$39))*$J728+$Z728)/$G728,0)*$G728,
((_xlfn.XLOOKUP($A728,'[1]DATOS PBI Artículos'!$A:$A,'[1]DATOS PBI Artículos'!$AM:$AM))/(_xlfn.XLOOKUP($AH$1,[1]CRITERIOS!$S$16:$S$39,[1]CRITERIOS!$Y$16:$Y$39))*$J728+$Z728)))</f>
        <v>#N/A</v>
      </c>
      <c r="AI728" s="39" t="e">
        <f>IF($R728="MTO","",
IF($H728=0,ROUNDUP(((_xlfn.XLOOKUP($A728,'[1]DATOS PBI Artículos'!$A:$A,'[1]DATOS PBI Artículos'!$AN:$AN))/(_xlfn.XLOOKUP($AJ$1,[1]CRITERIOS!$S$16:$S$39,[1]CRITERIOS!$Y$16:$Y$39))*$J728+$Z728)/$G728,0)*$G728,
((_xlfn.XLOOKUP($A728,'[1]DATOS PBI Artículos'!$A:$A,'[1]DATOS PBI Artículos'!$AN:$AN))/(_xlfn.XLOOKUP($AJ$1,[1]CRITERIOS!$S$16:$S$39,[1]CRITERIOS!$Y$16:$Y$39))*$J728+$Z728)))</f>
        <v>#N/A</v>
      </c>
      <c r="AK728" s="39" t="e">
        <f>IF($R728="MTO","",
IF($H728=0,ROUNDUP(((_xlfn.XLOOKUP($A728,'[1]DATOS PBI Artículos'!$A:$A,'[1]DATOS PBI Artículos'!$AO:$AO))/(_xlfn.XLOOKUP($AL$1,[1]CRITERIOS!$S$16:$S$39,[1]CRITERIOS!$Y$16:$Y$39))*$J728+$Z728)/$G728,0)*$G728,
((_xlfn.XLOOKUP($A728,'[1]DATOS PBI Artículos'!$A:$A,'[1]DATOS PBI Artículos'!$AO:$AO))/(_xlfn.XLOOKUP($AL$1,[1]CRITERIOS!$S$16:$S$39,[1]CRITERIOS!$Y$16:$Y$39))*$J728+$Z728)))</f>
        <v>#N/A</v>
      </c>
    </row>
    <row r="729" spans="1:37" ht="25.8" hidden="1" x14ac:dyDescent="0.4">
      <c r="A729" s="41"/>
      <c r="B729" s="33">
        <f>_xlfn.XLOOKUP($A729,'[1]DATOS PBI Artículos'!A:A,'[1]DATOS PBI Artículos'!B:B)</f>
        <v>0</v>
      </c>
      <c r="C729" s="33">
        <f>_xlfn.XLOOKUP($A729,'[1]DATOS PBI Artículos'!A:A,'[1]DATOS PBI Artículos'!C:C)</f>
        <v>0</v>
      </c>
      <c r="D729" s="33">
        <f>_xlfn.XLOOKUP(A729,'[1]DATOS PBI Artículos'!A:A,'[1]DATOS PBI Artículos'!T:T)</f>
        <v>0</v>
      </c>
      <c r="E729" s="34">
        <f>IF(_xlfn.XLOOKUP($A729,'[1]DATOS PBI Artículos'!A:A,'[1]DATOS PBI Artículos'!AK:AK)="",_xlfn.XLOOKUP($A729,'[1]DATOS PBI Artículos'!A:A,'[1]DATOS PBI Artículos'!AJ:AJ),_xlfn.XLOOKUP($A729,'[1]DATOS PBI Artículos'!A:A,'[1]DATOS PBI Artículos'!AK:AK))</f>
        <v>0</v>
      </c>
      <c r="F729" s="35">
        <f>_xlfn.XLOOKUP($A729,'[1]DATOS PBI Artículos'!A:A,'[1]DATOS PBI Artículos'!AP:AP)</f>
        <v>0</v>
      </c>
      <c r="G729" s="34">
        <f>_xlfn.XLOOKUP($A729,'[1]DATOS PBI Artículos'!A:A,'[1]DATOS PBI Artículos'!AR:AR)</f>
        <v>0</v>
      </c>
      <c r="H729" s="34">
        <f>_xlfn.XLOOKUP($A729,'[1]DATOS PBI Artículos'!A:A,'[1]DATOS PBI Artículos'!AT:AT)</f>
        <v>0</v>
      </c>
      <c r="I729" s="34">
        <f>_xlfn.XLOOKUP($A729,'[1]DATOS PBI Artículos'!A:A,'[1]DATOS PBI Artículos'!AS:AS)</f>
        <v>0</v>
      </c>
      <c r="J729" s="35">
        <f>IF(COUNTIF([1]CRITERIOS!$F$179:$F$199,$A729)&gt;=1,
 IF(O729&lt;&gt;"",
    (O729/_xlfn.XLOOKUP(CONCATENATE(A729,L729),[1]MÁQUINAS!A:A,[1]MÁQUINAS!D:D))/24,
    (N729/_xlfn.XLOOKUP(CONCATENATE(A729,L729),[1]MÁQUINAS!A:A,[1]MÁQUINAS!D:D))/24),
  _xlfn.XLOOKUP($A729,'[1]DATOS PBI Artículos'!A:A,'[1]DATOS PBI Artículos'!AU:AU))</f>
        <v>0</v>
      </c>
      <c r="K729" s="36">
        <f>_xlfn.XLOOKUP($A729,'[1]DATOS PBI Artículos'!A:A,'[1]DATOS PBI Artículos'!AV:AV)</f>
        <v>0</v>
      </c>
      <c r="L729" s="33">
        <f>_xlfn.XLOOKUP(A729,[1]MÁQUINAS!B:B,[1]MÁQUINAS!C:C)</f>
        <v>0</v>
      </c>
      <c r="M729" s="34">
        <f t="array" ref="M729">_xlfn.XLOOKUP(A729,'[1]DATOS PBI Artículos'!A:A,'[1]DATOS PBI Artículos'!AX:$AX)</f>
        <v>0</v>
      </c>
      <c r="N729" s="37" t="e">
        <f>IF(I729="DV",
E729,
IF(COUNTIF([1]CRITERIOS!$I$179:$I$199,$A729)&gt;=1,
_xlfn.XLOOKUP($A729,[1]CRITERIOS!$I$179:$I$199,[1]CRITERIOS!$J$179:$J$199),
IF(COUNTIF([1]CRITERIOS!$L$179:$L$199,$A729)&gt;=1,
_xlfn.CEILING.MATH(IF($M729&gt;$E729,
$E729,
IF($M729&lt;$E729/ROUNDDOWN([1]CRITERIOS!$M$16/_xlfn.XLOOKUP($C729,[1]CRITERIOS!$K$25:$K$42,[1]CRITERIOS!$M$25:$M$42),
1),
E729/ROUNDDOWN([1]CRITERIOS!$M$16/_xlfn.XLOOKUP($C729,[1]CRITERIOS!$K$25:$K$42,[1]CRITERIOS!$M$25:$M$42),
1),
$M729)),
_xlfn.XLOOKUP($A729,[1]CRITERIOS!$L$179:$L$200,[1]CRITERIOS!$M$179:$M$200)),
_xlfn.CEILING.MATH(IF($M729&gt;$E729,
$E729,
IF($M729&lt;$E729/ROUNDDOWN([1]CRITERIOS!$M$16/_xlfn.XLOOKUP($C729,[1]CRITERIOS!$K$25:$K$42,[1]CRITERIOS!$M$25:$M$42),
1),
E729/ROUNDDOWN([1]CRITERIOS!$M$16/_xlfn.XLOOKUP($C729,[1]CRITERIOS!$K$25:$K$42,[1]CRITERIOS!$M$25:$M$42),
1),
$M729)),_xlfn.XLOOKUP(A729,'[1]DATOS PBI Artículos'!A:A,'[1]DATOS PBI Artículos'!Z:Z
)))))</f>
        <v>#N/A</v>
      </c>
      <c r="Q729" s="38" t="e">
        <f>IF(AND(O729="",N729=0),
0,
   IF(COUNTIF([1]CRITERIOS!$F$179:$F$199,$A729)&gt;=1,
   1,
   IF(R729="MTO",
      $D729,
      ROUNDUP(
                    IF(($E729-SUMIF('[1]DATOS PBI Artículos'!A:A,A729,'[1]DATOS PBI Artículos'!X:X)+($V729-_xlfn.XLOOKUP(A729,'[1]DATOS PBI Artículos'!A:A,'[1]DATOS PBI Artículos'!W:W)))&lt;0,
                    0,
                    IF(($E729-SUMIF('[1]DATOS PBI Artículos'!A:A,A729,'[1]DATOS PBI Artículos'!X:X)+$V729-_xlfn.XLOOKUP($A729,'[1]DATOS PBI Artículos'!A:A,'[1]DATOS PBI Artículos'!W:W))/IF($O729="",$N729,$O729)&gt;ROUNDUP([1]CRITERIOS!$M$16/(IF(COUNTIF([1]CRITERIOS!$BG$11:$BG$201,L729)&gt;=1,_xlfn.XLOOKUP($C729,[1]CRITERIOS!$K$25:$K$42,[1]CRITERIOS!$M$25:$M$42),_xlfn.XLOOKUP($C729,[1]CRITERIOS!$K$25:$K$42,[1]CRITERIOS!$M$25:$M$42))),0),
                    ROUNDUP([1]CRITERIOS!$M$16/(IF(COUNTIF([1]CRITERIOS!$BG$11:$BG$201,$L729)&gt;=1,_xlfn.XLOOKUP($C729,[1]CRITERIOS!$K$25:$K$42,[1]CRITERIOS!$M$25:$M$42),_xlfn.XLOOKUP($C729,[1]CRITERIOS!$K$25:$K$42,[1]CRITERIOS!$M$25:$M$42))),0),
                    (E729+V729-SUMIF('[1]DATOS PBI Artículos'!A:A,A729,'[1]DATOS PBI Artículos'!X:X)-_xlfn.XLOOKUP(A729,'[1]DATOS PBI Artículos'!A:A,'[1]DATOS PBI Artículos'!W:W))/IF($O729="",$N729,$O729))),0))))</f>
        <v>#N/A</v>
      </c>
      <c r="R729" s="33" t="e">
        <f>IF(U729&lt;&gt;"",U729,IF(F729="DV","MTO",IF(N729=0,"MTO",_xlfn.XLOOKUP(CONCATENATE(S729,T729),[1]CRITERIOS!$K$160:$K$168,[1]CRITERIOS!$N$160:$N$168))))</f>
        <v>#N/A</v>
      </c>
      <c r="S729" s="33" t="e">
        <f>IF(G729="DV","MTO",IF(N729=0,"MTO",IF(OR(AND(N729=0,O729=""),IF(O729="",G729/N729,G729/O729)&gt;[1]CRITERIOS!$G$163),"MTO",IF(IF(O729="",G729/N729,G729/O729)&lt;[1]CRITERIOS!$H$161,"MTS","MTOS"))))</f>
        <v>#N/A</v>
      </c>
      <c r="T729" s="33" t="e">
        <f>IF(F729="DV","MTO",IF(OR(AND($N729=0,O729=""),$F729/$J729&gt;[1]CRITERIOS!$G$170,$F729="DV"),"MTO",IF($F729/$J729&lt;[1]CRITERIOS!$H$168,"MTS","MTOS")))</f>
        <v>#N/A</v>
      </c>
      <c r="V729" s="34" t="e">
        <f t="shared" ref="V729:V792" si="37">IF(R729="MTO","",
IF($H729=0,(((($J729/$F729)*$G729)+$Z729)/$G729)*$G729,
(($J729/$F729)*$G729)+$Z729))</f>
        <v>#N/A</v>
      </c>
      <c r="X729" s="34" t="e">
        <f t="shared" si="35"/>
        <v>#N/A</v>
      </c>
      <c r="Y729" s="34" t="e">
        <f t="shared" si="36"/>
        <v>#N/A</v>
      </c>
      <c r="Z729" s="34" t="e">
        <f>IF($R729="MTO",
0,
($H729+$K729*($E729/[1]CRITERIOS!$M$16))/[1]CRITERIOS!$X$48)</f>
        <v>#N/A</v>
      </c>
      <c r="AA729" s="34" t="e">
        <f>ROUNDUP(($Y729/_xlfn.XLOOKUP($A729,'[1]DATOS PBI Artículos'!$A$4:$A$4,'[1]DATOS PBI Artículos'!$Z$4:$Z$4))/_xlfn.XLOOKUP(_xlfn.XLOOKUP($A729,'[1]DATOS PBI Artículos'!$A$4:$A$4,'[1]DATOS PBI Artículos'!$Y$4:$Y$4),[1]CRITERIOS!$P$79:$P$123,[1]CRITERIOS!$S$79:$S$123,),0)</f>
        <v>#N/A</v>
      </c>
      <c r="AC729" s="33" t="e">
        <f>IF(N729=0,"",(ROUNDUP((N729/2)/(_xlfn.XLOOKUP(A729,'[1]DATOS PBI Artículos'!$A$4:$A$4,'[1]DATOS PBI Artículos'!$Z$4:$Z$4)*_xlfn.XLOOKUP(_xlfn.XLOOKUP(A729,'[1]DATOS PBI Artículos'!$A$4:$A$4,'[1]DATOS PBI Artículos'!$Y$4:$Y$4),[1]CRITERIOS!$P$79:$P$123,[1]CRITERIOS!$S$79:$S$123)),0)*[1]CRITERIOS!$M$80*([1]CRITERIOS!$M$110/[1]CRITERIOS!$M$86)+(_xlfn.XLOOKUP(A729,'[1]DATOS PBI Artículos'!$A$4:$A$4,'[1]DATOS PBI Artículos'!$AA$4:$AA$4)*([1]CRITERIOS!$M$95+[1]CRITERIOS!$M$98)))/N729)</f>
        <v>#N/A</v>
      </c>
      <c r="AD729" s="33" t="e">
        <f>IF(N729=0,"",(ROUNDUP((N729/2)/(_xlfn.XLOOKUP(A729,'[1]DATOS PBI Artículos'!$A$4:$A$4,'[1]DATOS PBI Artículos'!$Z$4:$Z$4)*_xlfn.XLOOKUP(_xlfn.XLOOKUP(A729,'[1]DATOS PBI Artículos'!$A$4:$A$4,'[1]DATOS PBI Artículos'!$Y$4:$Y$4),[1]CRITERIOS!$P$79:$P$123,[1]CRITERIOS!$S$79:$S$123)),0)*[1]CRITERIOS!$M$80*([1]CRITERIOS!$M$89*[1]CRITERIOS!$M$92)+((_xlfn.XLOOKUP(A729,'[1]DATOS PBI Artículos'!$A$4:$A$4,'[1]DATOS PBI Artículos'!$AA$4:$AA$4)/2)*([1]CRITERIOS!$M$95+[1]CRITERIOS!$M$98)))/N729)</f>
        <v>#N/A</v>
      </c>
      <c r="AE729" s="39" t="e">
        <f>IF($R729="MTO","",
IF($H729=0,ROUNDUP(((_xlfn.XLOOKUP($A729,'[1]DATOS PBI Artículos'!$A:$A,'[1]DATOS PBI Artículos'!$AL:$AL))/(_xlfn.XLOOKUP($AF$1,[1]CRITERIOS!$S$16:$S$39,[1]CRITERIOS!$Y$16:$Y$39))*$J729+$Z729)/$G729,0)*$G729,
((_xlfn.XLOOKUP($A729,'[1]DATOS PBI Artículos'!$A:$A,'[1]DATOS PBI Artículos'!$AL:$AL))/(_xlfn.XLOOKUP($AF$1,[1]CRITERIOS!$S$16:$S$39,[1]CRITERIOS!$Y$16:$Y$39))*$J729+$Z729)))</f>
        <v>#N/A</v>
      </c>
      <c r="AG729" s="39" t="e">
        <f>IF($R729="MTO","",
IF($H729=0,ROUNDUP(((_xlfn.XLOOKUP($A729,'[1]DATOS PBI Artículos'!$A:$A,'[1]DATOS PBI Artículos'!$AM:$AM))/(_xlfn.XLOOKUP($AH$1,[1]CRITERIOS!$S$16:$S$39,[1]CRITERIOS!$Y$16:$Y$39))*$J729+$Z729)/$G729,0)*$G729,
((_xlfn.XLOOKUP($A729,'[1]DATOS PBI Artículos'!$A:$A,'[1]DATOS PBI Artículos'!$AM:$AM))/(_xlfn.XLOOKUP($AH$1,[1]CRITERIOS!$S$16:$S$39,[1]CRITERIOS!$Y$16:$Y$39))*$J729+$Z729)))</f>
        <v>#N/A</v>
      </c>
      <c r="AI729" s="39" t="e">
        <f>IF($R729="MTO","",
IF($H729=0,ROUNDUP(((_xlfn.XLOOKUP($A729,'[1]DATOS PBI Artículos'!$A:$A,'[1]DATOS PBI Artículos'!$AN:$AN))/(_xlfn.XLOOKUP($AJ$1,[1]CRITERIOS!$S$16:$S$39,[1]CRITERIOS!$Y$16:$Y$39))*$J729+$Z729)/$G729,0)*$G729,
((_xlfn.XLOOKUP($A729,'[1]DATOS PBI Artículos'!$A:$A,'[1]DATOS PBI Artículos'!$AN:$AN))/(_xlfn.XLOOKUP($AJ$1,[1]CRITERIOS!$S$16:$S$39,[1]CRITERIOS!$Y$16:$Y$39))*$J729+$Z729)))</f>
        <v>#N/A</v>
      </c>
      <c r="AK729" s="39" t="e">
        <f>IF($R729="MTO","",
IF($H729=0,ROUNDUP(((_xlfn.XLOOKUP($A729,'[1]DATOS PBI Artículos'!$A:$A,'[1]DATOS PBI Artículos'!$AO:$AO))/(_xlfn.XLOOKUP($AL$1,[1]CRITERIOS!$S$16:$S$39,[1]CRITERIOS!$Y$16:$Y$39))*$J729+$Z729)/$G729,0)*$G729,
((_xlfn.XLOOKUP($A729,'[1]DATOS PBI Artículos'!$A:$A,'[1]DATOS PBI Artículos'!$AO:$AO))/(_xlfn.XLOOKUP($AL$1,[1]CRITERIOS!$S$16:$S$39,[1]CRITERIOS!$Y$16:$Y$39))*$J729+$Z729)))</f>
        <v>#N/A</v>
      </c>
    </row>
    <row r="730" spans="1:37" ht="25.8" hidden="1" x14ac:dyDescent="0.4">
      <c r="A730" s="41"/>
      <c r="B730" s="33">
        <f>_xlfn.XLOOKUP($A730,'[1]DATOS PBI Artículos'!A:A,'[1]DATOS PBI Artículos'!B:B)</f>
        <v>0</v>
      </c>
      <c r="C730" s="33">
        <f>_xlfn.XLOOKUP($A730,'[1]DATOS PBI Artículos'!A:A,'[1]DATOS PBI Artículos'!C:C)</f>
        <v>0</v>
      </c>
      <c r="D730" s="33">
        <f>_xlfn.XLOOKUP(A730,'[1]DATOS PBI Artículos'!A:A,'[1]DATOS PBI Artículos'!T:T)</f>
        <v>0</v>
      </c>
      <c r="E730" s="34">
        <f>IF(_xlfn.XLOOKUP($A730,'[1]DATOS PBI Artículos'!A:A,'[1]DATOS PBI Artículos'!AK:AK)="",_xlfn.XLOOKUP($A730,'[1]DATOS PBI Artículos'!A:A,'[1]DATOS PBI Artículos'!AJ:AJ),_xlfn.XLOOKUP($A730,'[1]DATOS PBI Artículos'!A:A,'[1]DATOS PBI Artículos'!AK:AK))</f>
        <v>0</v>
      </c>
      <c r="F730" s="35">
        <f>_xlfn.XLOOKUP($A730,'[1]DATOS PBI Artículos'!A:A,'[1]DATOS PBI Artículos'!AP:AP)</f>
        <v>0</v>
      </c>
      <c r="G730" s="34">
        <f>_xlfn.XLOOKUP($A730,'[1]DATOS PBI Artículos'!A:A,'[1]DATOS PBI Artículos'!AR:AR)</f>
        <v>0</v>
      </c>
      <c r="H730" s="34">
        <f>_xlfn.XLOOKUP($A730,'[1]DATOS PBI Artículos'!A:A,'[1]DATOS PBI Artículos'!AT:AT)</f>
        <v>0</v>
      </c>
      <c r="I730" s="34">
        <f>_xlfn.XLOOKUP($A730,'[1]DATOS PBI Artículos'!A:A,'[1]DATOS PBI Artículos'!AS:AS)</f>
        <v>0</v>
      </c>
      <c r="J730" s="35">
        <f>IF(COUNTIF([1]CRITERIOS!$F$179:$F$199,$A730)&gt;=1,
 IF(O730&lt;&gt;"",
    (O730/_xlfn.XLOOKUP(CONCATENATE(A730,L730),[1]MÁQUINAS!A:A,[1]MÁQUINAS!D:D))/24,
    (N730/_xlfn.XLOOKUP(CONCATENATE(A730,L730),[1]MÁQUINAS!A:A,[1]MÁQUINAS!D:D))/24),
  _xlfn.XLOOKUP($A730,'[1]DATOS PBI Artículos'!A:A,'[1]DATOS PBI Artículos'!AU:AU))</f>
        <v>0</v>
      </c>
      <c r="K730" s="36">
        <f>_xlfn.XLOOKUP($A730,'[1]DATOS PBI Artículos'!A:A,'[1]DATOS PBI Artículos'!AV:AV)</f>
        <v>0</v>
      </c>
      <c r="L730" s="33">
        <f>_xlfn.XLOOKUP(A730,[1]MÁQUINAS!B:B,[1]MÁQUINAS!C:C)</f>
        <v>0</v>
      </c>
      <c r="M730" s="34">
        <f t="array" ref="M730">_xlfn.XLOOKUP(A730,'[1]DATOS PBI Artículos'!A:A,'[1]DATOS PBI Artículos'!AX:$AX)</f>
        <v>0</v>
      </c>
      <c r="N730" s="37" t="e">
        <f>IF(I730="DV",
E730,
IF(COUNTIF([1]CRITERIOS!$I$179:$I$199,$A730)&gt;=1,
_xlfn.XLOOKUP($A730,[1]CRITERIOS!$I$179:$I$199,[1]CRITERIOS!$J$179:$J$199),
IF(COUNTIF([1]CRITERIOS!$L$179:$L$199,$A730)&gt;=1,
_xlfn.CEILING.MATH(IF($M730&gt;$E730,
$E730,
IF($M730&lt;$E730/ROUNDDOWN([1]CRITERIOS!$M$16/_xlfn.XLOOKUP($C730,[1]CRITERIOS!$K$25:$K$42,[1]CRITERIOS!$M$25:$M$42),
1),
E730/ROUNDDOWN([1]CRITERIOS!$M$16/_xlfn.XLOOKUP($C730,[1]CRITERIOS!$K$25:$K$42,[1]CRITERIOS!$M$25:$M$42),
1),
$M730)),
_xlfn.XLOOKUP($A730,[1]CRITERIOS!$L$179:$L$200,[1]CRITERIOS!$M$179:$M$200)),
_xlfn.CEILING.MATH(IF($M730&gt;$E730,
$E730,
IF($M730&lt;$E730/ROUNDDOWN([1]CRITERIOS!$M$16/_xlfn.XLOOKUP($C730,[1]CRITERIOS!$K$25:$K$42,[1]CRITERIOS!$M$25:$M$42),
1),
E730/ROUNDDOWN([1]CRITERIOS!$M$16/_xlfn.XLOOKUP($C730,[1]CRITERIOS!$K$25:$K$42,[1]CRITERIOS!$M$25:$M$42),
1),
$M730)),_xlfn.XLOOKUP(A730,'[1]DATOS PBI Artículos'!A:A,'[1]DATOS PBI Artículos'!Z:Z
)))))</f>
        <v>#N/A</v>
      </c>
      <c r="Q730" s="38" t="e">
        <f>IF(AND(O730="",N730=0),
0,
   IF(COUNTIF([1]CRITERIOS!$F$179:$F$199,$A730)&gt;=1,
   1,
   IF(R730="MTO",
      $D730,
      ROUNDUP(
                    IF(($E730-SUMIF('[1]DATOS PBI Artículos'!A:A,A730,'[1]DATOS PBI Artículos'!X:X)+($V730-_xlfn.XLOOKUP(A730,'[1]DATOS PBI Artículos'!A:A,'[1]DATOS PBI Artículos'!W:W)))&lt;0,
                    0,
                    IF(($E730-SUMIF('[1]DATOS PBI Artículos'!A:A,A730,'[1]DATOS PBI Artículos'!X:X)+$V730-_xlfn.XLOOKUP($A730,'[1]DATOS PBI Artículos'!A:A,'[1]DATOS PBI Artículos'!W:W))/IF($O730="",$N730,$O730)&gt;ROUNDUP([1]CRITERIOS!$M$16/(IF(COUNTIF([1]CRITERIOS!$BG$11:$BG$201,L730)&gt;=1,_xlfn.XLOOKUP($C730,[1]CRITERIOS!$K$25:$K$42,[1]CRITERIOS!$M$25:$M$42),_xlfn.XLOOKUP($C730,[1]CRITERIOS!$K$25:$K$42,[1]CRITERIOS!$M$25:$M$42))),0),
                    ROUNDUP([1]CRITERIOS!$M$16/(IF(COUNTIF([1]CRITERIOS!$BG$11:$BG$201,$L730)&gt;=1,_xlfn.XLOOKUP($C730,[1]CRITERIOS!$K$25:$K$42,[1]CRITERIOS!$M$25:$M$42),_xlfn.XLOOKUP($C730,[1]CRITERIOS!$K$25:$K$42,[1]CRITERIOS!$M$25:$M$42))),0),
                    (E730+V730-SUMIF('[1]DATOS PBI Artículos'!A:A,A730,'[1]DATOS PBI Artículos'!X:X)-_xlfn.XLOOKUP(A730,'[1]DATOS PBI Artículos'!A:A,'[1]DATOS PBI Artículos'!W:W))/IF($O730="",$N730,$O730))),0))))</f>
        <v>#N/A</v>
      </c>
      <c r="R730" s="33" t="e">
        <f>IF(U730&lt;&gt;"",U730,IF(F730="DV","MTO",IF(N730=0,"MTO",_xlfn.XLOOKUP(CONCATENATE(S730,T730),[1]CRITERIOS!$K$160:$K$168,[1]CRITERIOS!$N$160:$N$168))))</f>
        <v>#N/A</v>
      </c>
      <c r="S730" s="33" t="e">
        <f>IF(G730="DV","MTO",IF(N730=0,"MTO",IF(OR(AND(N730=0,O730=""),IF(O730="",G730/N730,G730/O730)&gt;[1]CRITERIOS!$G$163),"MTO",IF(IF(O730="",G730/N730,G730/O730)&lt;[1]CRITERIOS!$H$161,"MTS","MTOS"))))</f>
        <v>#N/A</v>
      </c>
      <c r="T730" s="33" t="e">
        <f>IF(F730="DV","MTO",IF(OR(AND($N730=0,O730=""),$F730/$J730&gt;[1]CRITERIOS!$G$170,$F730="DV"),"MTO",IF($F730/$J730&lt;[1]CRITERIOS!$H$168,"MTS","MTOS")))</f>
        <v>#N/A</v>
      </c>
      <c r="V730" s="34" t="e">
        <f t="shared" si="37"/>
        <v>#N/A</v>
      </c>
      <c r="X730" s="34" t="e">
        <f t="shared" si="35"/>
        <v>#N/A</v>
      </c>
      <c r="Y730" s="34" t="e">
        <f t="shared" si="36"/>
        <v>#N/A</v>
      </c>
      <c r="Z730" s="34" t="e">
        <f>IF($R730="MTO",
0,
($H730+$K730*($E730/[1]CRITERIOS!$M$16))/[1]CRITERIOS!$X$48)</f>
        <v>#N/A</v>
      </c>
      <c r="AA730" s="34" t="e">
        <f>ROUNDUP(($Y730/_xlfn.XLOOKUP($A730,'[1]DATOS PBI Artículos'!$A$4:$A$4,'[1]DATOS PBI Artículos'!$Z$4:$Z$4))/_xlfn.XLOOKUP(_xlfn.XLOOKUP($A730,'[1]DATOS PBI Artículos'!$A$4:$A$4,'[1]DATOS PBI Artículos'!$Y$4:$Y$4),[1]CRITERIOS!$P$79:$P$123,[1]CRITERIOS!$S$79:$S$123,),0)</f>
        <v>#N/A</v>
      </c>
      <c r="AC730" s="33" t="e">
        <f>IF(N730=0,"",(ROUNDUP((N730/2)/(_xlfn.XLOOKUP(A730,'[1]DATOS PBI Artículos'!$A$4:$A$4,'[1]DATOS PBI Artículos'!$Z$4:$Z$4)*_xlfn.XLOOKUP(_xlfn.XLOOKUP(A730,'[1]DATOS PBI Artículos'!$A$4:$A$4,'[1]DATOS PBI Artículos'!$Y$4:$Y$4),[1]CRITERIOS!$P$79:$P$123,[1]CRITERIOS!$S$79:$S$123)),0)*[1]CRITERIOS!$M$80*([1]CRITERIOS!$M$110/[1]CRITERIOS!$M$86)+(_xlfn.XLOOKUP(A730,'[1]DATOS PBI Artículos'!$A$4:$A$4,'[1]DATOS PBI Artículos'!$AA$4:$AA$4)*([1]CRITERIOS!$M$95+[1]CRITERIOS!$M$98)))/N730)</f>
        <v>#N/A</v>
      </c>
      <c r="AD730" s="33" t="e">
        <f>IF(N730=0,"",(ROUNDUP((N730/2)/(_xlfn.XLOOKUP(A730,'[1]DATOS PBI Artículos'!$A$4:$A$4,'[1]DATOS PBI Artículos'!$Z$4:$Z$4)*_xlfn.XLOOKUP(_xlfn.XLOOKUP(A730,'[1]DATOS PBI Artículos'!$A$4:$A$4,'[1]DATOS PBI Artículos'!$Y$4:$Y$4),[1]CRITERIOS!$P$79:$P$123,[1]CRITERIOS!$S$79:$S$123)),0)*[1]CRITERIOS!$M$80*([1]CRITERIOS!$M$89*[1]CRITERIOS!$M$92)+((_xlfn.XLOOKUP(A730,'[1]DATOS PBI Artículos'!$A$4:$A$4,'[1]DATOS PBI Artículos'!$AA$4:$AA$4)/2)*([1]CRITERIOS!$M$95+[1]CRITERIOS!$M$98)))/N730)</f>
        <v>#N/A</v>
      </c>
      <c r="AE730" s="39" t="e">
        <f>IF($R730="MTO","",
IF($H730=0,ROUNDUP(((_xlfn.XLOOKUP($A730,'[1]DATOS PBI Artículos'!$A:$A,'[1]DATOS PBI Artículos'!$AL:$AL))/(_xlfn.XLOOKUP($AF$1,[1]CRITERIOS!$S$16:$S$39,[1]CRITERIOS!$Y$16:$Y$39))*$J730+$Z730)/$G730,0)*$G730,
((_xlfn.XLOOKUP($A730,'[1]DATOS PBI Artículos'!$A:$A,'[1]DATOS PBI Artículos'!$AL:$AL))/(_xlfn.XLOOKUP($AF$1,[1]CRITERIOS!$S$16:$S$39,[1]CRITERIOS!$Y$16:$Y$39))*$J730+$Z730)))</f>
        <v>#N/A</v>
      </c>
      <c r="AG730" s="39" t="e">
        <f>IF($R730="MTO","",
IF($H730=0,ROUNDUP(((_xlfn.XLOOKUP($A730,'[1]DATOS PBI Artículos'!$A:$A,'[1]DATOS PBI Artículos'!$AM:$AM))/(_xlfn.XLOOKUP($AH$1,[1]CRITERIOS!$S$16:$S$39,[1]CRITERIOS!$Y$16:$Y$39))*$J730+$Z730)/$G730,0)*$G730,
((_xlfn.XLOOKUP($A730,'[1]DATOS PBI Artículos'!$A:$A,'[1]DATOS PBI Artículos'!$AM:$AM))/(_xlfn.XLOOKUP($AH$1,[1]CRITERIOS!$S$16:$S$39,[1]CRITERIOS!$Y$16:$Y$39))*$J730+$Z730)))</f>
        <v>#N/A</v>
      </c>
      <c r="AI730" s="39" t="e">
        <f>IF($R730="MTO","",
IF($H730=0,ROUNDUP(((_xlfn.XLOOKUP($A730,'[1]DATOS PBI Artículos'!$A:$A,'[1]DATOS PBI Artículos'!$AN:$AN))/(_xlfn.XLOOKUP($AJ$1,[1]CRITERIOS!$S$16:$S$39,[1]CRITERIOS!$Y$16:$Y$39))*$J730+$Z730)/$G730,0)*$G730,
((_xlfn.XLOOKUP($A730,'[1]DATOS PBI Artículos'!$A:$A,'[1]DATOS PBI Artículos'!$AN:$AN))/(_xlfn.XLOOKUP($AJ$1,[1]CRITERIOS!$S$16:$S$39,[1]CRITERIOS!$Y$16:$Y$39))*$J730+$Z730)))</f>
        <v>#N/A</v>
      </c>
      <c r="AK730" s="39" t="e">
        <f>IF($R730="MTO","",
IF($H730=0,ROUNDUP(((_xlfn.XLOOKUP($A730,'[1]DATOS PBI Artículos'!$A:$A,'[1]DATOS PBI Artículos'!$AO:$AO))/(_xlfn.XLOOKUP($AL$1,[1]CRITERIOS!$S$16:$S$39,[1]CRITERIOS!$Y$16:$Y$39))*$J730+$Z730)/$G730,0)*$G730,
((_xlfn.XLOOKUP($A730,'[1]DATOS PBI Artículos'!$A:$A,'[1]DATOS PBI Artículos'!$AO:$AO))/(_xlfn.XLOOKUP($AL$1,[1]CRITERIOS!$S$16:$S$39,[1]CRITERIOS!$Y$16:$Y$39))*$J730+$Z730)))</f>
        <v>#N/A</v>
      </c>
    </row>
    <row r="731" spans="1:37" ht="25.8" hidden="1" x14ac:dyDescent="0.4">
      <c r="A731" s="41"/>
      <c r="B731" s="33">
        <f>_xlfn.XLOOKUP($A731,'[1]DATOS PBI Artículos'!A:A,'[1]DATOS PBI Artículos'!B:B)</f>
        <v>0</v>
      </c>
      <c r="C731" s="33">
        <f>_xlfn.XLOOKUP($A731,'[1]DATOS PBI Artículos'!A:A,'[1]DATOS PBI Artículos'!C:C)</f>
        <v>0</v>
      </c>
      <c r="D731" s="33">
        <f>_xlfn.XLOOKUP(A731,'[1]DATOS PBI Artículos'!A:A,'[1]DATOS PBI Artículos'!T:T)</f>
        <v>0</v>
      </c>
      <c r="E731" s="34">
        <f>IF(_xlfn.XLOOKUP($A731,'[1]DATOS PBI Artículos'!A:A,'[1]DATOS PBI Artículos'!AK:AK)="",_xlfn.XLOOKUP($A731,'[1]DATOS PBI Artículos'!A:A,'[1]DATOS PBI Artículos'!AJ:AJ),_xlfn.XLOOKUP($A731,'[1]DATOS PBI Artículos'!A:A,'[1]DATOS PBI Artículos'!AK:AK))</f>
        <v>0</v>
      </c>
      <c r="F731" s="35">
        <f>_xlfn.XLOOKUP($A731,'[1]DATOS PBI Artículos'!A:A,'[1]DATOS PBI Artículos'!AP:AP)</f>
        <v>0</v>
      </c>
      <c r="G731" s="34">
        <f>_xlfn.XLOOKUP($A731,'[1]DATOS PBI Artículos'!A:A,'[1]DATOS PBI Artículos'!AR:AR)</f>
        <v>0</v>
      </c>
      <c r="H731" s="34">
        <f>_xlfn.XLOOKUP($A731,'[1]DATOS PBI Artículos'!A:A,'[1]DATOS PBI Artículos'!AT:AT)</f>
        <v>0</v>
      </c>
      <c r="I731" s="34">
        <f>_xlfn.XLOOKUP($A731,'[1]DATOS PBI Artículos'!A:A,'[1]DATOS PBI Artículos'!AS:AS)</f>
        <v>0</v>
      </c>
      <c r="J731" s="35">
        <f>IF(COUNTIF([1]CRITERIOS!$F$179:$F$199,$A731)&gt;=1,
 IF(O731&lt;&gt;"",
    (O731/_xlfn.XLOOKUP(CONCATENATE(A731,L731),[1]MÁQUINAS!A:A,[1]MÁQUINAS!D:D))/24,
    (N731/_xlfn.XLOOKUP(CONCATENATE(A731,L731),[1]MÁQUINAS!A:A,[1]MÁQUINAS!D:D))/24),
  _xlfn.XLOOKUP($A731,'[1]DATOS PBI Artículos'!A:A,'[1]DATOS PBI Artículos'!AU:AU))</f>
        <v>0</v>
      </c>
      <c r="K731" s="36">
        <f>_xlfn.XLOOKUP($A731,'[1]DATOS PBI Artículos'!A:A,'[1]DATOS PBI Artículos'!AV:AV)</f>
        <v>0</v>
      </c>
      <c r="L731" s="33">
        <f>_xlfn.XLOOKUP(A731,[1]MÁQUINAS!B:B,[1]MÁQUINAS!C:C)</f>
        <v>0</v>
      </c>
      <c r="M731" s="34">
        <f t="array" ref="M731">_xlfn.XLOOKUP(A731,'[1]DATOS PBI Artículos'!A:A,'[1]DATOS PBI Artículos'!AX:$AX)</f>
        <v>0</v>
      </c>
      <c r="N731" s="37" t="e">
        <f>IF(I731="DV",
E731,
IF(COUNTIF([1]CRITERIOS!$I$179:$I$199,$A731)&gt;=1,
_xlfn.XLOOKUP($A731,[1]CRITERIOS!$I$179:$I$199,[1]CRITERIOS!$J$179:$J$199),
IF(COUNTIF([1]CRITERIOS!$L$179:$L$199,$A731)&gt;=1,
_xlfn.CEILING.MATH(IF($M731&gt;$E731,
$E731,
IF($M731&lt;$E731/ROUNDDOWN([1]CRITERIOS!$M$16/_xlfn.XLOOKUP($C731,[1]CRITERIOS!$K$25:$K$42,[1]CRITERIOS!$M$25:$M$42),
1),
E731/ROUNDDOWN([1]CRITERIOS!$M$16/_xlfn.XLOOKUP($C731,[1]CRITERIOS!$K$25:$K$42,[1]CRITERIOS!$M$25:$M$42),
1),
$M731)),
_xlfn.XLOOKUP($A731,[1]CRITERIOS!$L$179:$L$200,[1]CRITERIOS!$M$179:$M$200)),
_xlfn.CEILING.MATH(IF($M731&gt;$E731,
$E731,
IF($M731&lt;$E731/ROUNDDOWN([1]CRITERIOS!$M$16/_xlfn.XLOOKUP($C731,[1]CRITERIOS!$K$25:$K$42,[1]CRITERIOS!$M$25:$M$42),
1),
E731/ROUNDDOWN([1]CRITERIOS!$M$16/_xlfn.XLOOKUP($C731,[1]CRITERIOS!$K$25:$K$42,[1]CRITERIOS!$M$25:$M$42),
1),
$M731)),_xlfn.XLOOKUP(A731,'[1]DATOS PBI Artículos'!A:A,'[1]DATOS PBI Artículos'!Z:Z
)))))</f>
        <v>#N/A</v>
      </c>
      <c r="Q731" s="38" t="e">
        <f>IF(AND(O731="",N731=0),
0,
   IF(COUNTIF([1]CRITERIOS!$F$179:$F$199,$A731)&gt;=1,
   1,
   IF(R731="MTO",
      $D731,
      ROUNDUP(
                    IF(($E731-SUMIF('[1]DATOS PBI Artículos'!A:A,A731,'[1]DATOS PBI Artículos'!X:X)+($V731-_xlfn.XLOOKUP(A731,'[1]DATOS PBI Artículos'!A:A,'[1]DATOS PBI Artículos'!W:W)))&lt;0,
                    0,
                    IF(($E731-SUMIF('[1]DATOS PBI Artículos'!A:A,A731,'[1]DATOS PBI Artículos'!X:X)+$V731-_xlfn.XLOOKUP($A731,'[1]DATOS PBI Artículos'!A:A,'[1]DATOS PBI Artículos'!W:W))/IF($O731="",$N731,$O731)&gt;ROUNDUP([1]CRITERIOS!$M$16/(IF(COUNTIF([1]CRITERIOS!$BG$11:$BG$201,L731)&gt;=1,_xlfn.XLOOKUP($C731,[1]CRITERIOS!$K$25:$K$42,[1]CRITERIOS!$M$25:$M$42),_xlfn.XLOOKUP($C731,[1]CRITERIOS!$K$25:$K$42,[1]CRITERIOS!$M$25:$M$42))),0),
                    ROUNDUP([1]CRITERIOS!$M$16/(IF(COUNTIF([1]CRITERIOS!$BG$11:$BG$201,$L731)&gt;=1,_xlfn.XLOOKUP($C731,[1]CRITERIOS!$K$25:$K$42,[1]CRITERIOS!$M$25:$M$42),_xlfn.XLOOKUP($C731,[1]CRITERIOS!$K$25:$K$42,[1]CRITERIOS!$M$25:$M$42))),0),
                    (E731+V731-SUMIF('[1]DATOS PBI Artículos'!A:A,A731,'[1]DATOS PBI Artículos'!X:X)-_xlfn.XLOOKUP(A731,'[1]DATOS PBI Artículos'!A:A,'[1]DATOS PBI Artículos'!W:W))/IF($O731="",$N731,$O731))),0))))</f>
        <v>#N/A</v>
      </c>
      <c r="R731" s="33" t="e">
        <f>IF(U731&lt;&gt;"",U731,IF(F731="DV","MTO",IF(N731=0,"MTO",_xlfn.XLOOKUP(CONCATENATE(S731,T731),[1]CRITERIOS!$K$160:$K$168,[1]CRITERIOS!$N$160:$N$168))))</f>
        <v>#N/A</v>
      </c>
      <c r="S731" s="33" t="e">
        <f>IF(G731="DV","MTO",IF(N731=0,"MTO",IF(OR(AND(N731=0,O731=""),IF(O731="",G731/N731,G731/O731)&gt;[1]CRITERIOS!$G$163),"MTO",IF(IF(O731="",G731/N731,G731/O731)&lt;[1]CRITERIOS!$H$161,"MTS","MTOS"))))</f>
        <v>#N/A</v>
      </c>
      <c r="T731" s="33" t="e">
        <f>IF(F731="DV","MTO",IF(OR(AND($N731=0,O731=""),$F731/$J731&gt;[1]CRITERIOS!$G$170,$F731="DV"),"MTO",IF($F731/$J731&lt;[1]CRITERIOS!$H$168,"MTS","MTOS")))</f>
        <v>#N/A</v>
      </c>
      <c r="V731" s="34" t="e">
        <f t="shared" si="37"/>
        <v>#N/A</v>
      </c>
      <c r="X731" s="34" t="e">
        <f t="shared" si="35"/>
        <v>#N/A</v>
      </c>
      <c r="Y731" s="34" t="e">
        <f t="shared" si="36"/>
        <v>#N/A</v>
      </c>
      <c r="Z731" s="34" t="e">
        <f>IF($R731="MTO",
0,
($H731+$K731*($E731/[1]CRITERIOS!$M$16))/[1]CRITERIOS!$X$48)</f>
        <v>#N/A</v>
      </c>
      <c r="AA731" s="34" t="e">
        <f>ROUNDUP(($Y731/_xlfn.XLOOKUP($A731,'[1]DATOS PBI Artículos'!$A$4:$A$4,'[1]DATOS PBI Artículos'!$Z$4:$Z$4))/_xlfn.XLOOKUP(_xlfn.XLOOKUP($A731,'[1]DATOS PBI Artículos'!$A$4:$A$4,'[1]DATOS PBI Artículos'!$Y$4:$Y$4),[1]CRITERIOS!$P$79:$P$123,[1]CRITERIOS!$S$79:$S$123,),0)</f>
        <v>#N/A</v>
      </c>
      <c r="AC731" s="33" t="e">
        <f>IF(N731=0,"",(ROUNDUP((N731/2)/(_xlfn.XLOOKUP(A731,'[1]DATOS PBI Artículos'!$A$4:$A$4,'[1]DATOS PBI Artículos'!$Z$4:$Z$4)*_xlfn.XLOOKUP(_xlfn.XLOOKUP(A731,'[1]DATOS PBI Artículos'!$A$4:$A$4,'[1]DATOS PBI Artículos'!$Y$4:$Y$4),[1]CRITERIOS!$P$79:$P$123,[1]CRITERIOS!$S$79:$S$123)),0)*[1]CRITERIOS!$M$80*([1]CRITERIOS!$M$110/[1]CRITERIOS!$M$86)+(_xlfn.XLOOKUP(A731,'[1]DATOS PBI Artículos'!$A$4:$A$4,'[1]DATOS PBI Artículos'!$AA$4:$AA$4)*([1]CRITERIOS!$M$95+[1]CRITERIOS!$M$98)))/N731)</f>
        <v>#N/A</v>
      </c>
      <c r="AD731" s="33" t="e">
        <f>IF(N731=0,"",(ROUNDUP((N731/2)/(_xlfn.XLOOKUP(A731,'[1]DATOS PBI Artículos'!$A$4:$A$4,'[1]DATOS PBI Artículos'!$Z$4:$Z$4)*_xlfn.XLOOKUP(_xlfn.XLOOKUP(A731,'[1]DATOS PBI Artículos'!$A$4:$A$4,'[1]DATOS PBI Artículos'!$Y$4:$Y$4),[1]CRITERIOS!$P$79:$P$123,[1]CRITERIOS!$S$79:$S$123)),0)*[1]CRITERIOS!$M$80*([1]CRITERIOS!$M$89*[1]CRITERIOS!$M$92)+((_xlfn.XLOOKUP(A731,'[1]DATOS PBI Artículos'!$A$4:$A$4,'[1]DATOS PBI Artículos'!$AA$4:$AA$4)/2)*([1]CRITERIOS!$M$95+[1]CRITERIOS!$M$98)))/N731)</f>
        <v>#N/A</v>
      </c>
      <c r="AE731" s="39" t="e">
        <f>IF($R731="MTO","",
IF($H731=0,ROUNDUP(((_xlfn.XLOOKUP($A731,'[1]DATOS PBI Artículos'!$A:$A,'[1]DATOS PBI Artículos'!$AL:$AL))/(_xlfn.XLOOKUP($AF$1,[1]CRITERIOS!$S$16:$S$39,[1]CRITERIOS!$Y$16:$Y$39))*$J731+$Z731)/$G731,0)*$G731,
((_xlfn.XLOOKUP($A731,'[1]DATOS PBI Artículos'!$A:$A,'[1]DATOS PBI Artículos'!$AL:$AL))/(_xlfn.XLOOKUP($AF$1,[1]CRITERIOS!$S$16:$S$39,[1]CRITERIOS!$Y$16:$Y$39))*$J731+$Z731)))</f>
        <v>#N/A</v>
      </c>
      <c r="AG731" s="39" t="e">
        <f>IF($R731="MTO","",
IF($H731=0,ROUNDUP(((_xlfn.XLOOKUP($A731,'[1]DATOS PBI Artículos'!$A:$A,'[1]DATOS PBI Artículos'!$AM:$AM))/(_xlfn.XLOOKUP($AH$1,[1]CRITERIOS!$S$16:$S$39,[1]CRITERIOS!$Y$16:$Y$39))*$J731+$Z731)/$G731,0)*$G731,
((_xlfn.XLOOKUP($A731,'[1]DATOS PBI Artículos'!$A:$A,'[1]DATOS PBI Artículos'!$AM:$AM))/(_xlfn.XLOOKUP($AH$1,[1]CRITERIOS!$S$16:$S$39,[1]CRITERIOS!$Y$16:$Y$39))*$J731+$Z731)))</f>
        <v>#N/A</v>
      </c>
      <c r="AI731" s="39" t="e">
        <f>IF($R731="MTO","",
IF($H731=0,ROUNDUP(((_xlfn.XLOOKUP($A731,'[1]DATOS PBI Artículos'!$A:$A,'[1]DATOS PBI Artículos'!$AN:$AN))/(_xlfn.XLOOKUP($AJ$1,[1]CRITERIOS!$S$16:$S$39,[1]CRITERIOS!$Y$16:$Y$39))*$J731+$Z731)/$G731,0)*$G731,
((_xlfn.XLOOKUP($A731,'[1]DATOS PBI Artículos'!$A:$A,'[1]DATOS PBI Artículos'!$AN:$AN))/(_xlfn.XLOOKUP($AJ$1,[1]CRITERIOS!$S$16:$S$39,[1]CRITERIOS!$Y$16:$Y$39))*$J731+$Z731)))</f>
        <v>#N/A</v>
      </c>
      <c r="AK731" s="39" t="e">
        <f>IF($R731="MTO","",
IF($H731=0,ROUNDUP(((_xlfn.XLOOKUP($A731,'[1]DATOS PBI Artículos'!$A:$A,'[1]DATOS PBI Artículos'!$AO:$AO))/(_xlfn.XLOOKUP($AL$1,[1]CRITERIOS!$S$16:$S$39,[1]CRITERIOS!$Y$16:$Y$39))*$J731+$Z731)/$G731,0)*$G731,
((_xlfn.XLOOKUP($A731,'[1]DATOS PBI Artículos'!$A:$A,'[1]DATOS PBI Artículos'!$AO:$AO))/(_xlfn.XLOOKUP($AL$1,[1]CRITERIOS!$S$16:$S$39,[1]CRITERIOS!$Y$16:$Y$39))*$J731+$Z731)))</f>
        <v>#N/A</v>
      </c>
    </row>
    <row r="732" spans="1:37" ht="25.8" hidden="1" x14ac:dyDescent="0.4">
      <c r="A732" s="41"/>
      <c r="B732" s="33">
        <f>_xlfn.XLOOKUP($A732,'[1]DATOS PBI Artículos'!A:A,'[1]DATOS PBI Artículos'!B:B)</f>
        <v>0</v>
      </c>
      <c r="C732" s="33">
        <f>_xlfn.XLOOKUP($A732,'[1]DATOS PBI Artículos'!A:A,'[1]DATOS PBI Artículos'!C:C)</f>
        <v>0</v>
      </c>
      <c r="D732" s="33">
        <f>_xlfn.XLOOKUP(A732,'[1]DATOS PBI Artículos'!A:A,'[1]DATOS PBI Artículos'!T:T)</f>
        <v>0</v>
      </c>
      <c r="E732" s="34">
        <f>IF(_xlfn.XLOOKUP($A732,'[1]DATOS PBI Artículos'!A:A,'[1]DATOS PBI Artículos'!AK:AK)="",_xlfn.XLOOKUP($A732,'[1]DATOS PBI Artículos'!A:A,'[1]DATOS PBI Artículos'!AJ:AJ),_xlfn.XLOOKUP($A732,'[1]DATOS PBI Artículos'!A:A,'[1]DATOS PBI Artículos'!AK:AK))</f>
        <v>0</v>
      </c>
      <c r="F732" s="35">
        <f>_xlfn.XLOOKUP($A732,'[1]DATOS PBI Artículos'!A:A,'[1]DATOS PBI Artículos'!AP:AP)</f>
        <v>0</v>
      </c>
      <c r="G732" s="34">
        <f>_xlfn.XLOOKUP($A732,'[1]DATOS PBI Artículos'!A:A,'[1]DATOS PBI Artículos'!AR:AR)</f>
        <v>0</v>
      </c>
      <c r="H732" s="34">
        <f>_xlfn.XLOOKUP($A732,'[1]DATOS PBI Artículos'!A:A,'[1]DATOS PBI Artículos'!AT:AT)</f>
        <v>0</v>
      </c>
      <c r="I732" s="34">
        <f>_xlfn.XLOOKUP($A732,'[1]DATOS PBI Artículos'!A:A,'[1]DATOS PBI Artículos'!AS:AS)</f>
        <v>0</v>
      </c>
      <c r="J732" s="35">
        <f>IF(COUNTIF([1]CRITERIOS!$F$179:$F$199,$A732)&gt;=1,
 IF(O732&lt;&gt;"",
    (O732/_xlfn.XLOOKUP(CONCATENATE(A732,L732),[1]MÁQUINAS!A:A,[1]MÁQUINAS!D:D))/24,
    (N732/_xlfn.XLOOKUP(CONCATENATE(A732,L732),[1]MÁQUINAS!A:A,[1]MÁQUINAS!D:D))/24),
  _xlfn.XLOOKUP($A732,'[1]DATOS PBI Artículos'!A:A,'[1]DATOS PBI Artículos'!AU:AU))</f>
        <v>0</v>
      </c>
      <c r="K732" s="36">
        <f>_xlfn.XLOOKUP($A732,'[1]DATOS PBI Artículos'!A:A,'[1]DATOS PBI Artículos'!AV:AV)</f>
        <v>0</v>
      </c>
      <c r="L732" s="33">
        <f>_xlfn.XLOOKUP(A732,[1]MÁQUINAS!B:B,[1]MÁQUINAS!C:C)</f>
        <v>0</v>
      </c>
      <c r="M732" s="34">
        <f t="array" ref="M732">_xlfn.XLOOKUP(A732,'[1]DATOS PBI Artículos'!A:A,'[1]DATOS PBI Artículos'!AX:$AX)</f>
        <v>0</v>
      </c>
      <c r="N732" s="37" t="e">
        <f>IF(I732="DV",
E732,
IF(COUNTIF([1]CRITERIOS!$I$179:$I$199,$A732)&gt;=1,
_xlfn.XLOOKUP($A732,[1]CRITERIOS!$I$179:$I$199,[1]CRITERIOS!$J$179:$J$199),
IF(COUNTIF([1]CRITERIOS!$L$179:$L$199,$A732)&gt;=1,
_xlfn.CEILING.MATH(IF($M732&gt;$E732,
$E732,
IF($M732&lt;$E732/ROUNDDOWN([1]CRITERIOS!$M$16/_xlfn.XLOOKUP($C732,[1]CRITERIOS!$K$25:$K$42,[1]CRITERIOS!$M$25:$M$42),
1),
E732/ROUNDDOWN([1]CRITERIOS!$M$16/_xlfn.XLOOKUP($C732,[1]CRITERIOS!$K$25:$K$42,[1]CRITERIOS!$M$25:$M$42),
1),
$M732)),
_xlfn.XLOOKUP($A732,[1]CRITERIOS!$L$179:$L$200,[1]CRITERIOS!$M$179:$M$200)),
_xlfn.CEILING.MATH(IF($M732&gt;$E732,
$E732,
IF($M732&lt;$E732/ROUNDDOWN([1]CRITERIOS!$M$16/_xlfn.XLOOKUP($C732,[1]CRITERIOS!$K$25:$K$42,[1]CRITERIOS!$M$25:$M$42),
1),
E732/ROUNDDOWN([1]CRITERIOS!$M$16/_xlfn.XLOOKUP($C732,[1]CRITERIOS!$K$25:$K$42,[1]CRITERIOS!$M$25:$M$42),
1),
$M732)),_xlfn.XLOOKUP(A732,'[1]DATOS PBI Artículos'!A:A,'[1]DATOS PBI Artículos'!Z:Z
)))))</f>
        <v>#N/A</v>
      </c>
      <c r="Q732" s="38" t="e">
        <f>IF(AND(O732="",N732=0),
0,
   IF(COUNTIF([1]CRITERIOS!$F$179:$F$199,$A732)&gt;=1,
   1,
   IF(R732="MTO",
      $D732,
      ROUNDUP(
                    IF(($E732-SUMIF('[1]DATOS PBI Artículos'!A:A,A732,'[1]DATOS PBI Artículos'!X:X)+($V732-_xlfn.XLOOKUP(A732,'[1]DATOS PBI Artículos'!A:A,'[1]DATOS PBI Artículos'!W:W)))&lt;0,
                    0,
                    IF(($E732-SUMIF('[1]DATOS PBI Artículos'!A:A,A732,'[1]DATOS PBI Artículos'!X:X)+$V732-_xlfn.XLOOKUP($A732,'[1]DATOS PBI Artículos'!A:A,'[1]DATOS PBI Artículos'!W:W))/IF($O732="",$N732,$O732)&gt;ROUNDUP([1]CRITERIOS!$M$16/(IF(COUNTIF([1]CRITERIOS!$BG$11:$BG$201,L732)&gt;=1,_xlfn.XLOOKUP($C732,[1]CRITERIOS!$K$25:$K$42,[1]CRITERIOS!$M$25:$M$42),_xlfn.XLOOKUP($C732,[1]CRITERIOS!$K$25:$K$42,[1]CRITERIOS!$M$25:$M$42))),0),
                    ROUNDUP([1]CRITERIOS!$M$16/(IF(COUNTIF([1]CRITERIOS!$BG$11:$BG$201,$L732)&gt;=1,_xlfn.XLOOKUP($C732,[1]CRITERIOS!$K$25:$K$42,[1]CRITERIOS!$M$25:$M$42),_xlfn.XLOOKUP($C732,[1]CRITERIOS!$K$25:$K$42,[1]CRITERIOS!$M$25:$M$42))),0),
                    (E732+V732-SUMIF('[1]DATOS PBI Artículos'!A:A,A732,'[1]DATOS PBI Artículos'!X:X)-_xlfn.XLOOKUP(A732,'[1]DATOS PBI Artículos'!A:A,'[1]DATOS PBI Artículos'!W:W))/IF($O732="",$N732,$O732))),0))))</f>
        <v>#N/A</v>
      </c>
      <c r="R732" s="33" t="e">
        <f>IF(U732&lt;&gt;"",U732,IF(F732="DV","MTO",IF(N732=0,"MTO",_xlfn.XLOOKUP(CONCATENATE(S732,T732),[1]CRITERIOS!$K$160:$K$168,[1]CRITERIOS!$N$160:$N$168))))</f>
        <v>#N/A</v>
      </c>
      <c r="S732" s="33" t="e">
        <f>IF(G732="DV","MTO",IF(N732=0,"MTO",IF(OR(AND(N732=0,O732=""),IF(O732="",G732/N732,G732/O732)&gt;[1]CRITERIOS!$G$163),"MTO",IF(IF(O732="",G732/N732,G732/O732)&lt;[1]CRITERIOS!$H$161,"MTS","MTOS"))))</f>
        <v>#N/A</v>
      </c>
      <c r="T732" s="33" t="e">
        <f>IF(F732="DV","MTO",IF(OR(AND($N732=0,O732=""),$F732/$J732&gt;[1]CRITERIOS!$G$170,$F732="DV"),"MTO",IF($F732/$J732&lt;[1]CRITERIOS!$H$168,"MTS","MTOS")))</f>
        <v>#N/A</v>
      </c>
      <c r="V732" s="34" t="e">
        <f t="shared" si="37"/>
        <v>#N/A</v>
      </c>
      <c r="X732" s="34" t="e">
        <f t="shared" si="35"/>
        <v>#N/A</v>
      </c>
      <c r="Y732" s="34" t="e">
        <f t="shared" si="36"/>
        <v>#N/A</v>
      </c>
      <c r="Z732" s="34" t="e">
        <f>IF($R732="MTO",
0,
($H732+$K732*($E732/[1]CRITERIOS!$M$16))/[1]CRITERIOS!$X$48)</f>
        <v>#N/A</v>
      </c>
      <c r="AA732" s="34" t="e">
        <f>ROUNDUP(($Y732/_xlfn.XLOOKUP($A732,'[1]DATOS PBI Artículos'!$A$4:$A$4,'[1]DATOS PBI Artículos'!$Z$4:$Z$4))/_xlfn.XLOOKUP(_xlfn.XLOOKUP($A732,'[1]DATOS PBI Artículos'!$A$4:$A$4,'[1]DATOS PBI Artículos'!$Y$4:$Y$4),[1]CRITERIOS!$P$79:$P$123,[1]CRITERIOS!$S$79:$S$123,),0)</f>
        <v>#N/A</v>
      </c>
      <c r="AC732" s="33" t="e">
        <f>IF(N732=0,"",(ROUNDUP((N732/2)/(_xlfn.XLOOKUP(A732,'[1]DATOS PBI Artículos'!$A$4:$A$4,'[1]DATOS PBI Artículos'!$Z$4:$Z$4)*_xlfn.XLOOKUP(_xlfn.XLOOKUP(A732,'[1]DATOS PBI Artículos'!$A$4:$A$4,'[1]DATOS PBI Artículos'!$Y$4:$Y$4),[1]CRITERIOS!$P$79:$P$123,[1]CRITERIOS!$S$79:$S$123)),0)*[1]CRITERIOS!$M$80*([1]CRITERIOS!$M$110/[1]CRITERIOS!$M$86)+(_xlfn.XLOOKUP(A732,'[1]DATOS PBI Artículos'!$A$4:$A$4,'[1]DATOS PBI Artículos'!$AA$4:$AA$4)*([1]CRITERIOS!$M$95+[1]CRITERIOS!$M$98)))/N732)</f>
        <v>#N/A</v>
      </c>
      <c r="AD732" s="33" t="e">
        <f>IF(N732=0,"",(ROUNDUP((N732/2)/(_xlfn.XLOOKUP(A732,'[1]DATOS PBI Artículos'!$A$4:$A$4,'[1]DATOS PBI Artículos'!$Z$4:$Z$4)*_xlfn.XLOOKUP(_xlfn.XLOOKUP(A732,'[1]DATOS PBI Artículos'!$A$4:$A$4,'[1]DATOS PBI Artículos'!$Y$4:$Y$4),[1]CRITERIOS!$P$79:$P$123,[1]CRITERIOS!$S$79:$S$123)),0)*[1]CRITERIOS!$M$80*([1]CRITERIOS!$M$89*[1]CRITERIOS!$M$92)+((_xlfn.XLOOKUP(A732,'[1]DATOS PBI Artículos'!$A$4:$A$4,'[1]DATOS PBI Artículos'!$AA$4:$AA$4)/2)*([1]CRITERIOS!$M$95+[1]CRITERIOS!$M$98)))/N732)</f>
        <v>#N/A</v>
      </c>
      <c r="AE732" s="39" t="e">
        <f>IF($R732="MTO","",
IF($H732=0,ROUNDUP(((_xlfn.XLOOKUP($A732,'[1]DATOS PBI Artículos'!$A:$A,'[1]DATOS PBI Artículos'!$AL:$AL))/(_xlfn.XLOOKUP($AF$1,[1]CRITERIOS!$S$16:$S$39,[1]CRITERIOS!$Y$16:$Y$39))*$J732+$Z732)/$G732,0)*$G732,
((_xlfn.XLOOKUP($A732,'[1]DATOS PBI Artículos'!$A:$A,'[1]DATOS PBI Artículos'!$AL:$AL))/(_xlfn.XLOOKUP($AF$1,[1]CRITERIOS!$S$16:$S$39,[1]CRITERIOS!$Y$16:$Y$39))*$J732+$Z732)))</f>
        <v>#N/A</v>
      </c>
      <c r="AG732" s="39" t="e">
        <f>IF($R732="MTO","",
IF($H732=0,ROUNDUP(((_xlfn.XLOOKUP($A732,'[1]DATOS PBI Artículos'!$A:$A,'[1]DATOS PBI Artículos'!$AM:$AM))/(_xlfn.XLOOKUP($AH$1,[1]CRITERIOS!$S$16:$S$39,[1]CRITERIOS!$Y$16:$Y$39))*$J732+$Z732)/$G732,0)*$G732,
((_xlfn.XLOOKUP($A732,'[1]DATOS PBI Artículos'!$A:$A,'[1]DATOS PBI Artículos'!$AM:$AM))/(_xlfn.XLOOKUP($AH$1,[1]CRITERIOS!$S$16:$S$39,[1]CRITERIOS!$Y$16:$Y$39))*$J732+$Z732)))</f>
        <v>#N/A</v>
      </c>
      <c r="AI732" s="39" t="e">
        <f>IF($R732="MTO","",
IF($H732=0,ROUNDUP(((_xlfn.XLOOKUP($A732,'[1]DATOS PBI Artículos'!$A:$A,'[1]DATOS PBI Artículos'!$AN:$AN))/(_xlfn.XLOOKUP($AJ$1,[1]CRITERIOS!$S$16:$S$39,[1]CRITERIOS!$Y$16:$Y$39))*$J732+$Z732)/$G732,0)*$G732,
((_xlfn.XLOOKUP($A732,'[1]DATOS PBI Artículos'!$A:$A,'[1]DATOS PBI Artículos'!$AN:$AN))/(_xlfn.XLOOKUP($AJ$1,[1]CRITERIOS!$S$16:$S$39,[1]CRITERIOS!$Y$16:$Y$39))*$J732+$Z732)))</f>
        <v>#N/A</v>
      </c>
      <c r="AK732" s="39" t="e">
        <f>IF($R732="MTO","",
IF($H732=0,ROUNDUP(((_xlfn.XLOOKUP($A732,'[1]DATOS PBI Artículos'!$A:$A,'[1]DATOS PBI Artículos'!$AO:$AO))/(_xlfn.XLOOKUP($AL$1,[1]CRITERIOS!$S$16:$S$39,[1]CRITERIOS!$Y$16:$Y$39))*$J732+$Z732)/$G732,0)*$G732,
((_xlfn.XLOOKUP($A732,'[1]DATOS PBI Artículos'!$A:$A,'[1]DATOS PBI Artículos'!$AO:$AO))/(_xlfn.XLOOKUP($AL$1,[1]CRITERIOS!$S$16:$S$39,[1]CRITERIOS!$Y$16:$Y$39))*$J732+$Z732)))</f>
        <v>#N/A</v>
      </c>
    </row>
    <row r="733" spans="1:37" ht="25.8" hidden="1" x14ac:dyDescent="0.4">
      <c r="A733" s="41"/>
      <c r="B733" s="33">
        <f>_xlfn.XLOOKUP($A733,'[1]DATOS PBI Artículos'!A:A,'[1]DATOS PBI Artículos'!B:B)</f>
        <v>0</v>
      </c>
      <c r="C733" s="33">
        <f>_xlfn.XLOOKUP($A733,'[1]DATOS PBI Artículos'!A:A,'[1]DATOS PBI Artículos'!C:C)</f>
        <v>0</v>
      </c>
      <c r="D733" s="33">
        <f>_xlfn.XLOOKUP(A733,'[1]DATOS PBI Artículos'!A:A,'[1]DATOS PBI Artículos'!T:T)</f>
        <v>0</v>
      </c>
      <c r="E733" s="34">
        <f>IF(_xlfn.XLOOKUP($A733,'[1]DATOS PBI Artículos'!A:A,'[1]DATOS PBI Artículos'!AK:AK)="",_xlfn.XLOOKUP($A733,'[1]DATOS PBI Artículos'!A:A,'[1]DATOS PBI Artículos'!AJ:AJ),_xlfn.XLOOKUP($A733,'[1]DATOS PBI Artículos'!A:A,'[1]DATOS PBI Artículos'!AK:AK))</f>
        <v>0</v>
      </c>
      <c r="F733" s="35">
        <f>_xlfn.XLOOKUP($A733,'[1]DATOS PBI Artículos'!A:A,'[1]DATOS PBI Artículos'!AP:AP)</f>
        <v>0</v>
      </c>
      <c r="G733" s="34">
        <f>_xlfn.XLOOKUP($A733,'[1]DATOS PBI Artículos'!A:A,'[1]DATOS PBI Artículos'!AR:AR)</f>
        <v>0</v>
      </c>
      <c r="H733" s="34">
        <f>_xlfn.XLOOKUP($A733,'[1]DATOS PBI Artículos'!A:A,'[1]DATOS PBI Artículos'!AT:AT)</f>
        <v>0</v>
      </c>
      <c r="I733" s="34">
        <f>_xlfn.XLOOKUP($A733,'[1]DATOS PBI Artículos'!A:A,'[1]DATOS PBI Artículos'!AS:AS)</f>
        <v>0</v>
      </c>
      <c r="J733" s="35">
        <f>IF(COUNTIF([1]CRITERIOS!$F$179:$F$199,$A733)&gt;=1,
 IF(O733&lt;&gt;"",
    (O733/_xlfn.XLOOKUP(CONCATENATE(A733,L733),[1]MÁQUINAS!A:A,[1]MÁQUINAS!D:D))/24,
    (N733/_xlfn.XLOOKUP(CONCATENATE(A733,L733),[1]MÁQUINAS!A:A,[1]MÁQUINAS!D:D))/24),
  _xlfn.XLOOKUP($A733,'[1]DATOS PBI Artículos'!A:A,'[1]DATOS PBI Artículos'!AU:AU))</f>
        <v>0</v>
      </c>
      <c r="K733" s="36">
        <f>_xlfn.XLOOKUP($A733,'[1]DATOS PBI Artículos'!A:A,'[1]DATOS PBI Artículos'!AV:AV)</f>
        <v>0</v>
      </c>
      <c r="L733" s="33">
        <f>_xlfn.XLOOKUP(A733,[1]MÁQUINAS!B:B,[1]MÁQUINAS!C:C)</f>
        <v>0</v>
      </c>
      <c r="M733" s="34">
        <f t="array" ref="M733">_xlfn.XLOOKUP(A733,'[1]DATOS PBI Artículos'!A:A,'[1]DATOS PBI Artículos'!AX:$AX)</f>
        <v>0</v>
      </c>
      <c r="N733" s="37" t="e">
        <f>IF(I733="DV",
E733,
IF(COUNTIF([1]CRITERIOS!$I$179:$I$199,$A733)&gt;=1,
_xlfn.XLOOKUP($A733,[1]CRITERIOS!$I$179:$I$199,[1]CRITERIOS!$J$179:$J$199),
IF(COUNTIF([1]CRITERIOS!$L$179:$L$199,$A733)&gt;=1,
_xlfn.CEILING.MATH(IF($M733&gt;$E733,
$E733,
IF($M733&lt;$E733/ROUNDDOWN([1]CRITERIOS!$M$16/_xlfn.XLOOKUP($C733,[1]CRITERIOS!$K$25:$K$42,[1]CRITERIOS!$M$25:$M$42),
1),
E733/ROUNDDOWN([1]CRITERIOS!$M$16/_xlfn.XLOOKUP($C733,[1]CRITERIOS!$K$25:$K$42,[1]CRITERIOS!$M$25:$M$42),
1),
$M733)),
_xlfn.XLOOKUP($A733,[1]CRITERIOS!$L$179:$L$200,[1]CRITERIOS!$M$179:$M$200)),
_xlfn.CEILING.MATH(IF($M733&gt;$E733,
$E733,
IF($M733&lt;$E733/ROUNDDOWN([1]CRITERIOS!$M$16/_xlfn.XLOOKUP($C733,[1]CRITERIOS!$K$25:$K$42,[1]CRITERIOS!$M$25:$M$42),
1),
E733/ROUNDDOWN([1]CRITERIOS!$M$16/_xlfn.XLOOKUP($C733,[1]CRITERIOS!$K$25:$K$42,[1]CRITERIOS!$M$25:$M$42),
1),
$M733)),_xlfn.XLOOKUP(A733,'[1]DATOS PBI Artículos'!A:A,'[1]DATOS PBI Artículos'!Z:Z
)))))</f>
        <v>#N/A</v>
      </c>
      <c r="Q733" s="38" t="e">
        <f>IF(AND(O733="",N733=0),
0,
   IF(COUNTIF([1]CRITERIOS!$F$179:$F$199,$A733)&gt;=1,
   1,
   IF(R733="MTO",
      $D733,
      ROUNDUP(
                    IF(($E733-SUMIF('[1]DATOS PBI Artículos'!A:A,A733,'[1]DATOS PBI Artículos'!X:X)+($V733-_xlfn.XLOOKUP(A733,'[1]DATOS PBI Artículos'!A:A,'[1]DATOS PBI Artículos'!W:W)))&lt;0,
                    0,
                    IF(($E733-SUMIF('[1]DATOS PBI Artículos'!A:A,A733,'[1]DATOS PBI Artículos'!X:X)+$V733-_xlfn.XLOOKUP($A733,'[1]DATOS PBI Artículos'!A:A,'[1]DATOS PBI Artículos'!W:W))/IF($O733="",$N733,$O733)&gt;ROUNDUP([1]CRITERIOS!$M$16/(IF(COUNTIF([1]CRITERIOS!$BG$11:$BG$201,L733)&gt;=1,_xlfn.XLOOKUP($C733,[1]CRITERIOS!$K$25:$K$42,[1]CRITERIOS!$M$25:$M$42),_xlfn.XLOOKUP($C733,[1]CRITERIOS!$K$25:$K$42,[1]CRITERIOS!$M$25:$M$42))),0),
                    ROUNDUP([1]CRITERIOS!$M$16/(IF(COUNTIF([1]CRITERIOS!$BG$11:$BG$201,$L733)&gt;=1,_xlfn.XLOOKUP($C733,[1]CRITERIOS!$K$25:$K$42,[1]CRITERIOS!$M$25:$M$42),_xlfn.XLOOKUP($C733,[1]CRITERIOS!$K$25:$K$42,[1]CRITERIOS!$M$25:$M$42))),0),
                    (E733+V733-SUMIF('[1]DATOS PBI Artículos'!A:A,A733,'[1]DATOS PBI Artículos'!X:X)-_xlfn.XLOOKUP(A733,'[1]DATOS PBI Artículos'!A:A,'[1]DATOS PBI Artículos'!W:W))/IF($O733="",$N733,$O733))),0))))</f>
        <v>#N/A</v>
      </c>
      <c r="R733" s="33" t="e">
        <f>IF(U733&lt;&gt;"",U733,IF(F733="DV","MTO",IF(N733=0,"MTO",_xlfn.XLOOKUP(CONCATENATE(S733,T733),[1]CRITERIOS!$K$160:$K$168,[1]CRITERIOS!$N$160:$N$168))))</f>
        <v>#N/A</v>
      </c>
      <c r="S733" s="33" t="e">
        <f>IF(G733="DV","MTO",IF(N733=0,"MTO",IF(OR(AND(N733=0,O733=""),IF(O733="",G733/N733,G733/O733)&gt;[1]CRITERIOS!$G$163),"MTO",IF(IF(O733="",G733/N733,G733/O733)&lt;[1]CRITERIOS!$H$161,"MTS","MTOS"))))</f>
        <v>#N/A</v>
      </c>
      <c r="T733" s="33" t="e">
        <f>IF(F733="DV","MTO",IF(OR(AND($N733=0,O733=""),$F733/$J733&gt;[1]CRITERIOS!$G$170,$F733="DV"),"MTO",IF($F733/$J733&lt;[1]CRITERIOS!$H$168,"MTS","MTOS")))</f>
        <v>#N/A</v>
      </c>
      <c r="V733" s="34" t="e">
        <f t="shared" si="37"/>
        <v>#N/A</v>
      </c>
      <c r="X733" s="34" t="e">
        <f t="shared" si="35"/>
        <v>#N/A</v>
      </c>
      <c r="Y733" s="34" t="e">
        <f t="shared" si="36"/>
        <v>#N/A</v>
      </c>
      <c r="Z733" s="34" t="e">
        <f>IF($R733="MTO",
0,
($H733+$K733*($E733/[1]CRITERIOS!$M$16))/[1]CRITERIOS!$X$48)</f>
        <v>#N/A</v>
      </c>
      <c r="AA733" s="34" t="e">
        <f>ROUNDUP(($Y733/_xlfn.XLOOKUP($A733,'[1]DATOS PBI Artículos'!$A$4:$A$4,'[1]DATOS PBI Artículos'!$Z$4:$Z$4))/_xlfn.XLOOKUP(_xlfn.XLOOKUP($A733,'[1]DATOS PBI Artículos'!$A$4:$A$4,'[1]DATOS PBI Artículos'!$Y$4:$Y$4),[1]CRITERIOS!$P$79:$P$123,[1]CRITERIOS!$S$79:$S$123,),0)</f>
        <v>#N/A</v>
      </c>
      <c r="AC733" s="33" t="e">
        <f>IF(N733=0,"",(ROUNDUP((N733/2)/(_xlfn.XLOOKUP(A733,'[1]DATOS PBI Artículos'!$A$4:$A$4,'[1]DATOS PBI Artículos'!$Z$4:$Z$4)*_xlfn.XLOOKUP(_xlfn.XLOOKUP(A733,'[1]DATOS PBI Artículos'!$A$4:$A$4,'[1]DATOS PBI Artículos'!$Y$4:$Y$4),[1]CRITERIOS!$P$79:$P$123,[1]CRITERIOS!$S$79:$S$123)),0)*[1]CRITERIOS!$M$80*([1]CRITERIOS!$M$110/[1]CRITERIOS!$M$86)+(_xlfn.XLOOKUP(A733,'[1]DATOS PBI Artículos'!$A$4:$A$4,'[1]DATOS PBI Artículos'!$AA$4:$AA$4)*([1]CRITERIOS!$M$95+[1]CRITERIOS!$M$98)))/N733)</f>
        <v>#N/A</v>
      </c>
      <c r="AD733" s="33" t="e">
        <f>IF(N733=0,"",(ROUNDUP((N733/2)/(_xlfn.XLOOKUP(A733,'[1]DATOS PBI Artículos'!$A$4:$A$4,'[1]DATOS PBI Artículos'!$Z$4:$Z$4)*_xlfn.XLOOKUP(_xlfn.XLOOKUP(A733,'[1]DATOS PBI Artículos'!$A$4:$A$4,'[1]DATOS PBI Artículos'!$Y$4:$Y$4),[1]CRITERIOS!$P$79:$P$123,[1]CRITERIOS!$S$79:$S$123)),0)*[1]CRITERIOS!$M$80*([1]CRITERIOS!$M$89*[1]CRITERIOS!$M$92)+((_xlfn.XLOOKUP(A733,'[1]DATOS PBI Artículos'!$A$4:$A$4,'[1]DATOS PBI Artículos'!$AA$4:$AA$4)/2)*([1]CRITERIOS!$M$95+[1]CRITERIOS!$M$98)))/N733)</f>
        <v>#N/A</v>
      </c>
      <c r="AE733" s="39" t="e">
        <f>IF($R733="MTO","",
IF($H733=0,ROUNDUP(((_xlfn.XLOOKUP($A733,'[1]DATOS PBI Artículos'!$A:$A,'[1]DATOS PBI Artículos'!$AL:$AL))/(_xlfn.XLOOKUP($AF$1,[1]CRITERIOS!$S$16:$S$39,[1]CRITERIOS!$Y$16:$Y$39))*$J733+$Z733)/$G733,0)*$G733,
((_xlfn.XLOOKUP($A733,'[1]DATOS PBI Artículos'!$A:$A,'[1]DATOS PBI Artículos'!$AL:$AL))/(_xlfn.XLOOKUP($AF$1,[1]CRITERIOS!$S$16:$S$39,[1]CRITERIOS!$Y$16:$Y$39))*$J733+$Z733)))</f>
        <v>#N/A</v>
      </c>
      <c r="AG733" s="39" t="e">
        <f>IF($R733="MTO","",
IF($H733=0,ROUNDUP(((_xlfn.XLOOKUP($A733,'[1]DATOS PBI Artículos'!$A:$A,'[1]DATOS PBI Artículos'!$AM:$AM))/(_xlfn.XLOOKUP($AH$1,[1]CRITERIOS!$S$16:$S$39,[1]CRITERIOS!$Y$16:$Y$39))*$J733+$Z733)/$G733,0)*$G733,
((_xlfn.XLOOKUP($A733,'[1]DATOS PBI Artículos'!$A:$A,'[1]DATOS PBI Artículos'!$AM:$AM))/(_xlfn.XLOOKUP($AH$1,[1]CRITERIOS!$S$16:$S$39,[1]CRITERIOS!$Y$16:$Y$39))*$J733+$Z733)))</f>
        <v>#N/A</v>
      </c>
      <c r="AI733" s="39" t="e">
        <f>IF($R733="MTO","",
IF($H733=0,ROUNDUP(((_xlfn.XLOOKUP($A733,'[1]DATOS PBI Artículos'!$A:$A,'[1]DATOS PBI Artículos'!$AN:$AN))/(_xlfn.XLOOKUP($AJ$1,[1]CRITERIOS!$S$16:$S$39,[1]CRITERIOS!$Y$16:$Y$39))*$J733+$Z733)/$G733,0)*$G733,
((_xlfn.XLOOKUP($A733,'[1]DATOS PBI Artículos'!$A:$A,'[1]DATOS PBI Artículos'!$AN:$AN))/(_xlfn.XLOOKUP($AJ$1,[1]CRITERIOS!$S$16:$S$39,[1]CRITERIOS!$Y$16:$Y$39))*$J733+$Z733)))</f>
        <v>#N/A</v>
      </c>
      <c r="AK733" s="39" t="e">
        <f>IF($R733="MTO","",
IF($H733=0,ROUNDUP(((_xlfn.XLOOKUP($A733,'[1]DATOS PBI Artículos'!$A:$A,'[1]DATOS PBI Artículos'!$AO:$AO))/(_xlfn.XLOOKUP($AL$1,[1]CRITERIOS!$S$16:$S$39,[1]CRITERIOS!$Y$16:$Y$39))*$J733+$Z733)/$G733,0)*$G733,
((_xlfn.XLOOKUP($A733,'[1]DATOS PBI Artículos'!$A:$A,'[1]DATOS PBI Artículos'!$AO:$AO))/(_xlfn.XLOOKUP($AL$1,[1]CRITERIOS!$S$16:$S$39,[1]CRITERIOS!$Y$16:$Y$39))*$J733+$Z733)))</f>
        <v>#N/A</v>
      </c>
    </row>
    <row r="734" spans="1:37" ht="25.8" hidden="1" x14ac:dyDescent="0.4">
      <c r="A734" s="41"/>
      <c r="B734" s="33">
        <f>_xlfn.XLOOKUP($A734,'[1]DATOS PBI Artículos'!A:A,'[1]DATOS PBI Artículos'!B:B)</f>
        <v>0</v>
      </c>
      <c r="C734" s="33">
        <f>_xlfn.XLOOKUP($A734,'[1]DATOS PBI Artículos'!A:A,'[1]DATOS PBI Artículos'!C:C)</f>
        <v>0</v>
      </c>
      <c r="D734" s="33">
        <f>_xlfn.XLOOKUP(A734,'[1]DATOS PBI Artículos'!A:A,'[1]DATOS PBI Artículos'!T:T)</f>
        <v>0</v>
      </c>
      <c r="E734" s="34">
        <f>IF(_xlfn.XLOOKUP($A734,'[1]DATOS PBI Artículos'!A:A,'[1]DATOS PBI Artículos'!AK:AK)="",_xlfn.XLOOKUP($A734,'[1]DATOS PBI Artículos'!A:A,'[1]DATOS PBI Artículos'!AJ:AJ),_xlfn.XLOOKUP($A734,'[1]DATOS PBI Artículos'!A:A,'[1]DATOS PBI Artículos'!AK:AK))</f>
        <v>0</v>
      </c>
      <c r="F734" s="35">
        <f>_xlfn.XLOOKUP($A734,'[1]DATOS PBI Artículos'!A:A,'[1]DATOS PBI Artículos'!AP:AP)</f>
        <v>0</v>
      </c>
      <c r="G734" s="34">
        <f>_xlfn.XLOOKUP($A734,'[1]DATOS PBI Artículos'!A:A,'[1]DATOS PBI Artículos'!AR:AR)</f>
        <v>0</v>
      </c>
      <c r="H734" s="34">
        <f>_xlfn.XLOOKUP($A734,'[1]DATOS PBI Artículos'!A:A,'[1]DATOS PBI Artículos'!AT:AT)</f>
        <v>0</v>
      </c>
      <c r="I734" s="34">
        <f>_xlfn.XLOOKUP($A734,'[1]DATOS PBI Artículos'!A:A,'[1]DATOS PBI Artículos'!AS:AS)</f>
        <v>0</v>
      </c>
      <c r="J734" s="35">
        <f>IF(COUNTIF([1]CRITERIOS!$F$179:$F$199,$A734)&gt;=1,
 IF(O734&lt;&gt;"",
    (O734/_xlfn.XLOOKUP(CONCATENATE(A734,L734),[1]MÁQUINAS!A:A,[1]MÁQUINAS!D:D))/24,
    (N734/_xlfn.XLOOKUP(CONCATENATE(A734,L734),[1]MÁQUINAS!A:A,[1]MÁQUINAS!D:D))/24),
  _xlfn.XLOOKUP($A734,'[1]DATOS PBI Artículos'!A:A,'[1]DATOS PBI Artículos'!AU:AU))</f>
        <v>0</v>
      </c>
      <c r="K734" s="36">
        <f>_xlfn.XLOOKUP($A734,'[1]DATOS PBI Artículos'!A:A,'[1]DATOS PBI Artículos'!AV:AV)</f>
        <v>0</v>
      </c>
      <c r="L734" s="33">
        <f>_xlfn.XLOOKUP(A734,[1]MÁQUINAS!B:B,[1]MÁQUINAS!C:C)</f>
        <v>0</v>
      </c>
      <c r="M734" s="34">
        <f t="array" ref="M734">_xlfn.XLOOKUP(A734,'[1]DATOS PBI Artículos'!A:A,'[1]DATOS PBI Artículos'!AX:$AX)</f>
        <v>0</v>
      </c>
      <c r="N734" s="37" t="e">
        <f>IF(I734="DV",
E734,
IF(COUNTIF([1]CRITERIOS!$I$179:$I$199,$A734)&gt;=1,
_xlfn.XLOOKUP($A734,[1]CRITERIOS!$I$179:$I$199,[1]CRITERIOS!$J$179:$J$199),
IF(COUNTIF([1]CRITERIOS!$L$179:$L$199,$A734)&gt;=1,
_xlfn.CEILING.MATH(IF($M734&gt;$E734,
$E734,
IF($M734&lt;$E734/ROUNDDOWN([1]CRITERIOS!$M$16/_xlfn.XLOOKUP($C734,[1]CRITERIOS!$K$25:$K$42,[1]CRITERIOS!$M$25:$M$42),
1),
E734/ROUNDDOWN([1]CRITERIOS!$M$16/_xlfn.XLOOKUP($C734,[1]CRITERIOS!$K$25:$K$42,[1]CRITERIOS!$M$25:$M$42),
1),
$M734)),
_xlfn.XLOOKUP($A734,[1]CRITERIOS!$L$179:$L$200,[1]CRITERIOS!$M$179:$M$200)),
_xlfn.CEILING.MATH(IF($M734&gt;$E734,
$E734,
IF($M734&lt;$E734/ROUNDDOWN([1]CRITERIOS!$M$16/_xlfn.XLOOKUP($C734,[1]CRITERIOS!$K$25:$K$42,[1]CRITERIOS!$M$25:$M$42),
1),
E734/ROUNDDOWN([1]CRITERIOS!$M$16/_xlfn.XLOOKUP($C734,[1]CRITERIOS!$K$25:$K$42,[1]CRITERIOS!$M$25:$M$42),
1),
$M734)),_xlfn.XLOOKUP(A734,'[1]DATOS PBI Artículos'!A:A,'[1]DATOS PBI Artículos'!Z:Z
)))))</f>
        <v>#N/A</v>
      </c>
      <c r="Q734" s="38" t="e">
        <f>IF(AND(O734="",N734=0),
0,
   IF(COUNTIF([1]CRITERIOS!$F$179:$F$199,$A734)&gt;=1,
   1,
   IF(R734="MTO",
      $D734,
      ROUNDUP(
                    IF(($E734-SUMIF('[1]DATOS PBI Artículos'!A:A,A734,'[1]DATOS PBI Artículos'!X:X)+($V734-_xlfn.XLOOKUP(A734,'[1]DATOS PBI Artículos'!A:A,'[1]DATOS PBI Artículos'!W:W)))&lt;0,
                    0,
                    IF(($E734-SUMIF('[1]DATOS PBI Artículos'!A:A,A734,'[1]DATOS PBI Artículos'!X:X)+$V734-_xlfn.XLOOKUP($A734,'[1]DATOS PBI Artículos'!A:A,'[1]DATOS PBI Artículos'!W:W))/IF($O734="",$N734,$O734)&gt;ROUNDUP([1]CRITERIOS!$M$16/(IF(COUNTIF([1]CRITERIOS!$BG$11:$BG$201,L734)&gt;=1,_xlfn.XLOOKUP($C734,[1]CRITERIOS!$K$25:$K$42,[1]CRITERIOS!$M$25:$M$42),_xlfn.XLOOKUP($C734,[1]CRITERIOS!$K$25:$K$42,[1]CRITERIOS!$M$25:$M$42))),0),
                    ROUNDUP([1]CRITERIOS!$M$16/(IF(COUNTIF([1]CRITERIOS!$BG$11:$BG$201,$L734)&gt;=1,_xlfn.XLOOKUP($C734,[1]CRITERIOS!$K$25:$K$42,[1]CRITERIOS!$M$25:$M$42),_xlfn.XLOOKUP($C734,[1]CRITERIOS!$K$25:$K$42,[1]CRITERIOS!$M$25:$M$42))),0),
                    (E734+V734-SUMIF('[1]DATOS PBI Artículos'!A:A,A734,'[1]DATOS PBI Artículos'!X:X)-_xlfn.XLOOKUP(A734,'[1]DATOS PBI Artículos'!A:A,'[1]DATOS PBI Artículos'!W:W))/IF($O734="",$N734,$O734))),0))))</f>
        <v>#N/A</v>
      </c>
      <c r="R734" s="33" t="e">
        <f>IF(U734&lt;&gt;"",U734,IF(F734="DV","MTO",IF(N734=0,"MTO",_xlfn.XLOOKUP(CONCATENATE(S734,T734),[1]CRITERIOS!$K$160:$K$168,[1]CRITERIOS!$N$160:$N$168))))</f>
        <v>#N/A</v>
      </c>
      <c r="S734" s="33" t="e">
        <f>IF(G734="DV","MTO",IF(N734=0,"MTO",IF(OR(AND(N734=0,O734=""),IF(O734="",G734/N734,G734/O734)&gt;[1]CRITERIOS!$G$163),"MTO",IF(IF(O734="",G734/N734,G734/O734)&lt;[1]CRITERIOS!$H$161,"MTS","MTOS"))))</f>
        <v>#N/A</v>
      </c>
      <c r="T734" s="33" t="e">
        <f>IF(F734="DV","MTO",IF(OR(AND($N734=0,O734=""),$F734/$J734&gt;[1]CRITERIOS!$G$170,$F734="DV"),"MTO",IF($F734/$J734&lt;[1]CRITERIOS!$H$168,"MTS","MTOS")))</f>
        <v>#N/A</v>
      </c>
      <c r="V734" s="34" t="e">
        <f t="shared" si="37"/>
        <v>#N/A</v>
      </c>
      <c r="X734" s="34" t="e">
        <f t="shared" si="35"/>
        <v>#N/A</v>
      </c>
      <c r="Y734" s="34" t="e">
        <f t="shared" si="36"/>
        <v>#N/A</v>
      </c>
      <c r="Z734" s="34" t="e">
        <f>IF($R734="MTO",
0,
($H734+$K734*($E734/[1]CRITERIOS!$M$16))/[1]CRITERIOS!$X$48)</f>
        <v>#N/A</v>
      </c>
      <c r="AA734" s="34" t="e">
        <f>ROUNDUP(($Y734/_xlfn.XLOOKUP($A734,'[1]DATOS PBI Artículos'!$A$4:$A$4,'[1]DATOS PBI Artículos'!$Z$4:$Z$4))/_xlfn.XLOOKUP(_xlfn.XLOOKUP($A734,'[1]DATOS PBI Artículos'!$A$4:$A$4,'[1]DATOS PBI Artículos'!$Y$4:$Y$4),[1]CRITERIOS!$P$79:$P$123,[1]CRITERIOS!$S$79:$S$123,),0)</f>
        <v>#N/A</v>
      </c>
      <c r="AC734" s="33" t="e">
        <f>IF(N734=0,"",(ROUNDUP((N734/2)/(_xlfn.XLOOKUP(A734,'[1]DATOS PBI Artículos'!$A$4:$A$4,'[1]DATOS PBI Artículos'!$Z$4:$Z$4)*_xlfn.XLOOKUP(_xlfn.XLOOKUP(A734,'[1]DATOS PBI Artículos'!$A$4:$A$4,'[1]DATOS PBI Artículos'!$Y$4:$Y$4),[1]CRITERIOS!$P$79:$P$123,[1]CRITERIOS!$S$79:$S$123)),0)*[1]CRITERIOS!$M$80*([1]CRITERIOS!$M$110/[1]CRITERIOS!$M$86)+(_xlfn.XLOOKUP(A734,'[1]DATOS PBI Artículos'!$A$4:$A$4,'[1]DATOS PBI Artículos'!$AA$4:$AA$4)*([1]CRITERIOS!$M$95+[1]CRITERIOS!$M$98)))/N734)</f>
        <v>#N/A</v>
      </c>
      <c r="AD734" s="33" t="e">
        <f>IF(N734=0,"",(ROUNDUP((N734/2)/(_xlfn.XLOOKUP(A734,'[1]DATOS PBI Artículos'!$A$4:$A$4,'[1]DATOS PBI Artículos'!$Z$4:$Z$4)*_xlfn.XLOOKUP(_xlfn.XLOOKUP(A734,'[1]DATOS PBI Artículos'!$A$4:$A$4,'[1]DATOS PBI Artículos'!$Y$4:$Y$4),[1]CRITERIOS!$P$79:$P$123,[1]CRITERIOS!$S$79:$S$123)),0)*[1]CRITERIOS!$M$80*([1]CRITERIOS!$M$89*[1]CRITERIOS!$M$92)+((_xlfn.XLOOKUP(A734,'[1]DATOS PBI Artículos'!$A$4:$A$4,'[1]DATOS PBI Artículos'!$AA$4:$AA$4)/2)*([1]CRITERIOS!$M$95+[1]CRITERIOS!$M$98)))/N734)</f>
        <v>#N/A</v>
      </c>
      <c r="AE734" s="39" t="e">
        <f>IF($R734="MTO","",
IF($H734=0,ROUNDUP(((_xlfn.XLOOKUP($A734,'[1]DATOS PBI Artículos'!$A:$A,'[1]DATOS PBI Artículos'!$AL:$AL))/(_xlfn.XLOOKUP($AF$1,[1]CRITERIOS!$S$16:$S$39,[1]CRITERIOS!$Y$16:$Y$39))*$J734+$Z734)/$G734,0)*$G734,
((_xlfn.XLOOKUP($A734,'[1]DATOS PBI Artículos'!$A:$A,'[1]DATOS PBI Artículos'!$AL:$AL))/(_xlfn.XLOOKUP($AF$1,[1]CRITERIOS!$S$16:$S$39,[1]CRITERIOS!$Y$16:$Y$39))*$J734+$Z734)))</f>
        <v>#N/A</v>
      </c>
      <c r="AG734" s="39" t="e">
        <f>IF($R734="MTO","",
IF($H734=0,ROUNDUP(((_xlfn.XLOOKUP($A734,'[1]DATOS PBI Artículos'!$A:$A,'[1]DATOS PBI Artículos'!$AM:$AM))/(_xlfn.XLOOKUP($AH$1,[1]CRITERIOS!$S$16:$S$39,[1]CRITERIOS!$Y$16:$Y$39))*$J734+$Z734)/$G734,0)*$G734,
((_xlfn.XLOOKUP($A734,'[1]DATOS PBI Artículos'!$A:$A,'[1]DATOS PBI Artículos'!$AM:$AM))/(_xlfn.XLOOKUP($AH$1,[1]CRITERIOS!$S$16:$S$39,[1]CRITERIOS!$Y$16:$Y$39))*$J734+$Z734)))</f>
        <v>#N/A</v>
      </c>
      <c r="AI734" s="39" t="e">
        <f>IF($R734="MTO","",
IF($H734=0,ROUNDUP(((_xlfn.XLOOKUP($A734,'[1]DATOS PBI Artículos'!$A:$A,'[1]DATOS PBI Artículos'!$AN:$AN))/(_xlfn.XLOOKUP($AJ$1,[1]CRITERIOS!$S$16:$S$39,[1]CRITERIOS!$Y$16:$Y$39))*$J734+$Z734)/$G734,0)*$G734,
((_xlfn.XLOOKUP($A734,'[1]DATOS PBI Artículos'!$A:$A,'[1]DATOS PBI Artículos'!$AN:$AN))/(_xlfn.XLOOKUP($AJ$1,[1]CRITERIOS!$S$16:$S$39,[1]CRITERIOS!$Y$16:$Y$39))*$J734+$Z734)))</f>
        <v>#N/A</v>
      </c>
      <c r="AK734" s="39" t="e">
        <f>IF($R734="MTO","",
IF($H734=0,ROUNDUP(((_xlfn.XLOOKUP($A734,'[1]DATOS PBI Artículos'!$A:$A,'[1]DATOS PBI Artículos'!$AO:$AO))/(_xlfn.XLOOKUP($AL$1,[1]CRITERIOS!$S$16:$S$39,[1]CRITERIOS!$Y$16:$Y$39))*$J734+$Z734)/$G734,0)*$G734,
((_xlfn.XLOOKUP($A734,'[1]DATOS PBI Artículos'!$A:$A,'[1]DATOS PBI Artículos'!$AO:$AO))/(_xlfn.XLOOKUP($AL$1,[1]CRITERIOS!$S$16:$S$39,[1]CRITERIOS!$Y$16:$Y$39))*$J734+$Z734)))</f>
        <v>#N/A</v>
      </c>
    </row>
    <row r="735" spans="1:37" ht="25.8" hidden="1" x14ac:dyDescent="0.4">
      <c r="A735" s="41"/>
      <c r="B735" s="33">
        <f>_xlfn.XLOOKUP($A735,'[1]DATOS PBI Artículos'!A:A,'[1]DATOS PBI Artículos'!B:B)</f>
        <v>0</v>
      </c>
      <c r="C735" s="33">
        <f>_xlfn.XLOOKUP($A735,'[1]DATOS PBI Artículos'!A:A,'[1]DATOS PBI Artículos'!C:C)</f>
        <v>0</v>
      </c>
      <c r="D735" s="33">
        <f>_xlfn.XLOOKUP(A735,'[1]DATOS PBI Artículos'!A:A,'[1]DATOS PBI Artículos'!T:T)</f>
        <v>0</v>
      </c>
      <c r="E735" s="34">
        <f>IF(_xlfn.XLOOKUP($A735,'[1]DATOS PBI Artículos'!A:A,'[1]DATOS PBI Artículos'!AK:AK)="",_xlfn.XLOOKUP($A735,'[1]DATOS PBI Artículos'!A:A,'[1]DATOS PBI Artículos'!AJ:AJ),_xlfn.XLOOKUP($A735,'[1]DATOS PBI Artículos'!A:A,'[1]DATOS PBI Artículos'!AK:AK))</f>
        <v>0</v>
      </c>
      <c r="F735" s="35">
        <f>_xlfn.XLOOKUP($A735,'[1]DATOS PBI Artículos'!A:A,'[1]DATOS PBI Artículos'!AP:AP)</f>
        <v>0</v>
      </c>
      <c r="G735" s="34">
        <f>_xlfn.XLOOKUP($A735,'[1]DATOS PBI Artículos'!A:A,'[1]DATOS PBI Artículos'!AR:AR)</f>
        <v>0</v>
      </c>
      <c r="H735" s="34">
        <f>_xlfn.XLOOKUP($A735,'[1]DATOS PBI Artículos'!A:A,'[1]DATOS PBI Artículos'!AT:AT)</f>
        <v>0</v>
      </c>
      <c r="I735" s="34">
        <f>_xlfn.XLOOKUP($A735,'[1]DATOS PBI Artículos'!A:A,'[1]DATOS PBI Artículos'!AS:AS)</f>
        <v>0</v>
      </c>
      <c r="J735" s="35">
        <f>IF(COUNTIF([1]CRITERIOS!$F$179:$F$199,$A735)&gt;=1,
 IF(O735&lt;&gt;"",
    (O735/_xlfn.XLOOKUP(CONCATENATE(A735,L735),[1]MÁQUINAS!A:A,[1]MÁQUINAS!D:D))/24,
    (N735/_xlfn.XLOOKUP(CONCATENATE(A735,L735),[1]MÁQUINAS!A:A,[1]MÁQUINAS!D:D))/24),
  _xlfn.XLOOKUP($A735,'[1]DATOS PBI Artículos'!A:A,'[1]DATOS PBI Artículos'!AU:AU))</f>
        <v>0</v>
      </c>
      <c r="K735" s="36">
        <f>_xlfn.XLOOKUP($A735,'[1]DATOS PBI Artículos'!A:A,'[1]DATOS PBI Artículos'!AV:AV)</f>
        <v>0</v>
      </c>
      <c r="L735" s="33">
        <f>_xlfn.XLOOKUP(A735,[1]MÁQUINAS!B:B,[1]MÁQUINAS!C:C)</f>
        <v>0</v>
      </c>
      <c r="M735" s="34">
        <f t="array" ref="M735">_xlfn.XLOOKUP(A735,'[1]DATOS PBI Artículos'!A:A,'[1]DATOS PBI Artículos'!AX:$AX)</f>
        <v>0</v>
      </c>
      <c r="N735" s="37" t="e">
        <f>IF(I735="DV",
E735,
IF(COUNTIF([1]CRITERIOS!$I$179:$I$199,$A735)&gt;=1,
_xlfn.XLOOKUP($A735,[1]CRITERIOS!$I$179:$I$199,[1]CRITERIOS!$J$179:$J$199),
IF(COUNTIF([1]CRITERIOS!$L$179:$L$199,$A735)&gt;=1,
_xlfn.CEILING.MATH(IF($M735&gt;$E735,
$E735,
IF($M735&lt;$E735/ROUNDDOWN([1]CRITERIOS!$M$16/_xlfn.XLOOKUP($C735,[1]CRITERIOS!$K$25:$K$42,[1]CRITERIOS!$M$25:$M$42),
1),
E735/ROUNDDOWN([1]CRITERIOS!$M$16/_xlfn.XLOOKUP($C735,[1]CRITERIOS!$K$25:$K$42,[1]CRITERIOS!$M$25:$M$42),
1),
$M735)),
_xlfn.XLOOKUP($A735,[1]CRITERIOS!$L$179:$L$200,[1]CRITERIOS!$M$179:$M$200)),
_xlfn.CEILING.MATH(IF($M735&gt;$E735,
$E735,
IF($M735&lt;$E735/ROUNDDOWN([1]CRITERIOS!$M$16/_xlfn.XLOOKUP($C735,[1]CRITERIOS!$K$25:$K$42,[1]CRITERIOS!$M$25:$M$42),
1),
E735/ROUNDDOWN([1]CRITERIOS!$M$16/_xlfn.XLOOKUP($C735,[1]CRITERIOS!$K$25:$K$42,[1]CRITERIOS!$M$25:$M$42),
1),
$M735)),_xlfn.XLOOKUP(A735,'[1]DATOS PBI Artículos'!A:A,'[1]DATOS PBI Artículos'!Z:Z
)))))</f>
        <v>#N/A</v>
      </c>
      <c r="Q735" s="38" t="e">
        <f>IF(AND(O735="",N735=0),
0,
   IF(COUNTIF([1]CRITERIOS!$F$179:$F$199,$A735)&gt;=1,
   1,
   IF(R735="MTO",
      $D735,
      ROUNDUP(
                    IF(($E735-SUMIF('[1]DATOS PBI Artículos'!A:A,A735,'[1]DATOS PBI Artículos'!X:X)+($V735-_xlfn.XLOOKUP(A735,'[1]DATOS PBI Artículos'!A:A,'[1]DATOS PBI Artículos'!W:W)))&lt;0,
                    0,
                    IF(($E735-SUMIF('[1]DATOS PBI Artículos'!A:A,A735,'[1]DATOS PBI Artículos'!X:X)+$V735-_xlfn.XLOOKUP($A735,'[1]DATOS PBI Artículos'!A:A,'[1]DATOS PBI Artículos'!W:W))/IF($O735="",$N735,$O735)&gt;ROUNDUP([1]CRITERIOS!$M$16/(IF(COUNTIF([1]CRITERIOS!$BG$11:$BG$201,L735)&gt;=1,_xlfn.XLOOKUP($C735,[1]CRITERIOS!$K$25:$K$42,[1]CRITERIOS!$M$25:$M$42),_xlfn.XLOOKUP($C735,[1]CRITERIOS!$K$25:$K$42,[1]CRITERIOS!$M$25:$M$42))),0),
                    ROUNDUP([1]CRITERIOS!$M$16/(IF(COUNTIF([1]CRITERIOS!$BG$11:$BG$201,$L735)&gt;=1,_xlfn.XLOOKUP($C735,[1]CRITERIOS!$K$25:$K$42,[1]CRITERIOS!$M$25:$M$42),_xlfn.XLOOKUP($C735,[1]CRITERIOS!$K$25:$K$42,[1]CRITERIOS!$M$25:$M$42))),0),
                    (E735+V735-SUMIF('[1]DATOS PBI Artículos'!A:A,A735,'[1]DATOS PBI Artículos'!X:X)-_xlfn.XLOOKUP(A735,'[1]DATOS PBI Artículos'!A:A,'[1]DATOS PBI Artículos'!W:W))/IF($O735="",$N735,$O735))),0))))</f>
        <v>#N/A</v>
      </c>
      <c r="R735" s="33" t="e">
        <f>IF(U735&lt;&gt;"",U735,IF(F735="DV","MTO",IF(N735=0,"MTO",_xlfn.XLOOKUP(CONCATENATE(S735,T735),[1]CRITERIOS!$K$160:$K$168,[1]CRITERIOS!$N$160:$N$168))))</f>
        <v>#N/A</v>
      </c>
      <c r="S735" s="33" t="e">
        <f>IF(G735="DV","MTO",IF(N735=0,"MTO",IF(OR(AND(N735=0,O735=""),IF(O735="",G735/N735,G735/O735)&gt;[1]CRITERIOS!$G$163),"MTO",IF(IF(O735="",G735/N735,G735/O735)&lt;[1]CRITERIOS!$H$161,"MTS","MTOS"))))</f>
        <v>#N/A</v>
      </c>
      <c r="T735" s="33" t="e">
        <f>IF(F735="DV","MTO",IF(OR(AND($N735=0,O735=""),$F735/$J735&gt;[1]CRITERIOS!$G$170,$F735="DV"),"MTO",IF($F735/$J735&lt;[1]CRITERIOS!$H$168,"MTS","MTOS")))</f>
        <v>#N/A</v>
      </c>
      <c r="V735" s="34" t="e">
        <f t="shared" si="37"/>
        <v>#N/A</v>
      </c>
      <c r="X735" s="34" t="e">
        <f t="shared" si="35"/>
        <v>#N/A</v>
      </c>
      <c r="Y735" s="34" t="e">
        <f t="shared" si="36"/>
        <v>#N/A</v>
      </c>
      <c r="Z735" s="34" t="e">
        <f>IF($R735="MTO",
0,
($H735+$K735*($E735/[1]CRITERIOS!$M$16))/[1]CRITERIOS!$X$48)</f>
        <v>#N/A</v>
      </c>
      <c r="AA735" s="34" t="e">
        <f>ROUNDUP(($Y735/_xlfn.XLOOKUP($A735,'[1]DATOS PBI Artículos'!$A$4:$A$4,'[1]DATOS PBI Artículos'!$Z$4:$Z$4))/_xlfn.XLOOKUP(_xlfn.XLOOKUP($A735,'[1]DATOS PBI Artículos'!$A$4:$A$4,'[1]DATOS PBI Artículos'!$Y$4:$Y$4),[1]CRITERIOS!$P$79:$P$123,[1]CRITERIOS!$S$79:$S$123,),0)</f>
        <v>#N/A</v>
      </c>
      <c r="AC735" s="33" t="e">
        <f>IF(N735=0,"",(ROUNDUP((N735/2)/(_xlfn.XLOOKUP(A735,'[1]DATOS PBI Artículos'!$A$4:$A$4,'[1]DATOS PBI Artículos'!$Z$4:$Z$4)*_xlfn.XLOOKUP(_xlfn.XLOOKUP(A735,'[1]DATOS PBI Artículos'!$A$4:$A$4,'[1]DATOS PBI Artículos'!$Y$4:$Y$4),[1]CRITERIOS!$P$79:$P$123,[1]CRITERIOS!$S$79:$S$123)),0)*[1]CRITERIOS!$M$80*([1]CRITERIOS!$M$110/[1]CRITERIOS!$M$86)+(_xlfn.XLOOKUP(A735,'[1]DATOS PBI Artículos'!$A$4:$A$4,'[1]DATOS PBI Artículos'!$AA$4:$AA$4)*([1]CRITERIOS!$M$95+[1]CRITERIOS!$M$98)))/N735)</f>
        <v>#N/A</v>
      </c>
      <c r="AD735" s="33" t="e">
        <f>IF(N735=0,"",(ROUNDUP((N735/2)/(_xlfn.XLOOKUP(A735,'[1]DATOS PBI Artículos'!$A$4:$A$4,'[1]DATOS PBI Artículos'!$Z$4:$Z$4)*_xlfn.XLOOKUP(_xlfn.XLOOKUP(A735,'[1]DATOS PBI Artículos'!$A$4:$A$4,'[1]DATOS PBI Artículos'!$Y$4:$Y$4),[1]CRITERIOS!$P$79:$P$123,[1]CRITERIOS!$S$79:$S$123)),0)*[1]CRITERIOS!$M$80*([1]CRITERIOS!$M$89*[1]CRITERIOS!$M$92)+((_xlfn.XLOOKUP(A735,'[1]DATOS PBI Artículos'!$A$4:$A$4,'[1]DATOS PBI Artículos'!$AA$4:$AA$4)/2)*([1]CRITERIOS!$M$95+[1]CRITERIOS!$M$98)))/N735)</f>
        <v>#N/A</v>
      </c>
      <c r="AE735" s="39" t="e">
        <f>IF($R735="MTO","",
IF($H735=0,ROUNDUP(((_xlfn.XLOOKUP($A735,'[1]DATOS PBI Artículos'!$A:$A,'[1]DATOS PBI Artículos'!$AL:$AL))/(_xlfn.XLOOKUP($AF$1,[1]CRITERIOS!$S$16:$S$39,[1]CRITERIOS!$Y$16:$Y$39))*$J735+$Z735)/$G735,0)*$G735,
((_xlfn.XLOOKUP($A735,'[1]DATOS PBI Artículos'!$A:$A,'[1]DATOS PBI Artículos'!$AL:$AL))/(_xlfn.XLOOKUP($AF$1,[1]CRITERIOS!$S$16:$S$39,[1]CRITERIOS!$Y$16:$Y$39))*$J735+$Z735)))</f>
        <v>#N/A</v>
      </c>
      <c r="AG735" s="39" t="e">
        <f>IF($R735="MTO","",
IF($H735=0,ROUNDUP(((_xlfn.XLOOKUP($A735,'[1]DATOS PBI Artículos'!$A:$A,'[1]DATOS PBI Artículos'!$AM:$AM))/(_xlfn.XLOOKUP($AH$1,[1]CRITERIOS!$S$16:$S$39,[1]CRITERIOS!$Y$16:$Y$39))*$J735+$Z735)/$G735,0)*$G735,
((_xlfn.XLOOKUP($A735,'[1]DATOS PBI Artículos'!$A:$A,'[1]DATOS PBI Artículos'!$AM:$AM))/(_xlfn.XLOOKUP($AH$1,[1]CRITERIOS!$S$16:$S$39,[1]CRITERIOS!$Y$16:$Y$39))*$J735+$Z735)))</f>
        <v>#N/A</v>
      </c>
      <c r="AI735" s="39" t="e">
        <f>IF($R735="MTO","",
IF($H735=0,ROUNDUP(((_xlfn.XLOOKUP($A735,'[1]DATOS PBI Artículos'!$A:$A,'[1]DATOS PBI Artículos'!$AN:$AN))/(_xlfn.XLOOKUP($AJ$1,[1]CRITERIOS!$S$16:$S$39,[1]CRITERIOS!$Y$16:$Y$39))*$J735+$Z735)/$G735,0)*$G735,
((_xlfn.XLOOKUP($A735,'[1]DATOS PBI Artículos'!$A:$A,'[1]DATOS PBI Artículos'!$AN:$AN))/(_xlfn.XLOOKUP($AJ$1,[1]CRITERIOS!$S$16:$S$39,[1]CRITERIOS!$Y$16:$Y$39))*$J735+$Z735)))</f>
        <v>#N/A</v>
      </c>
      <c r="AK735" s="39" t="e">
        <f>IF($R735="MTO","",
IF($H735=0,ROUNDUP(((_xlfn.XLOOKUP($A735,'[1]DATOS PBI Artículos'!$A:$A,'[1]DATOS PBI Artículos'!$AO:$AO))/(_xlfn.XLOOKUP($AL$1,[1]CRITERIOS!$S$16:$S$39,[1]CRITERIOS!$Y$16:$Y$39))*$J735+$Z735)/$G735,0)*$G735,
((_xlfn.XLOOKUP($A735,'[1]DATOS PBI Artículos'!$A:$A,'[1]DATOS PBI Artículos'!$AO:$AO))/(_xlfn.XLOOKUP($AL$1,[1]CRITERIOS!$S$16:$S$39,[1]CRITERIOS!$Y$16:$Y$39))*$J735+$Z735)))</f>
        <v>#N/A</v>
      </c>
    </row>
    <row r="736" spans="1:37" ht="25.8" hidden="1" x14ac:dyDescent="0.4">
      <c r="A736" s="41"/>
      <c r="B736" s="33">
        <f>_xlfn.XLOOKUP($A736,'[1]DATOS PBI Artículos'!A:A,'[1]DATOS PBI Artículos'!B:B)</f>
        <v>0</v>
      </c>
      <c r="C736" s="33">
        <f>_xlfn.XLOOKUP($A736,'[1]DATOS PBI Artículos'!A:A,'[1]DATOS PBI Artículos'!C:C)</f>
        <v>0</v>
      </c>
      <c r="D736" s="33">
        <f>_xlfn.XLOOKUP(A736,'[1]DATOS PBI Artículos'!A:A,'[1]DATOS PBI Artículos'!T:T)</f>
        <v>0</v>
      </c>
      <c r="E736" s="34">
        <f>IF(_xlfn.XLOOKUP($A736,'[1]DATOS PBI Artículos'!A:A,'[1]DATOS PBI Artículos'!AK:AK)="",_xlfn.XLOOKUP($A736,'[1]DATOS PBI Artículos'!A:A,'[1]DATOS PBI Artículos'!AJ:AJ),_xlfn.XLOOKUP($A736,'[1]DATOS PBI Artículos'!A:A,'[1]DATOS PBI Artículos'!AK:AK))</f>
        <v>0</v>
      </c>
      <c r="F736" s="35">
        <f>_xlfn.XLOOKUP($A736,'[1]DATOS PBI Artículos'!A:A,'[1]DATOS PBI Artículos'!AP:AP)</f>
        <v>0</v>
      </c>
      <c r="G736" s="34">
        <f>_xlfn.XLOOKUP($A736,'[1]DATOS PBI Artículos'!A:A,'[1]DATOS PBI Artículos'!AR:AR)</f>
        <v>0</v>
      </c>
      <c r="H736" s="34">
        <f>_xlfn.XLOOKUP($A736,'[1]DATOS PBI Artículos'!A:A,'[1]DATOS PBI Artículos'!AT:AT)</f>
        <v>0</v>
      </c>
      <c r="I736" s="34">
        <f>_xlfn.XLOOKUP($A736,'[1]DATOS PBI Artículos'!A:A,'[1]DATOS PBI Artículos'!AS:AS)</f>
        <v>0</v>
      </c>
      <c r="J736" s="35">
        <f>IF(COUNTIF([1]CRITERIOS!$F$179:$F$199,$A736)&gt;=1,
 IF(O736&lt;&gt;"",
    (O736/_xlfn.XLOOKUP(CONCATENATE(A736,L736),[1]MÁQUINAS!A:A,[1]MÁQUINAS!D:D))/24,
    (N736/_xlfn.XLOOKUP(CONCATENATE(A736,L736),[1]MÁQUINAS!A:A,[1]MÁQUINAS!D:D))/24),
  _xlfn.XLOOKUP($A736,'[1]DATOS PBI Artículos'!A:A,'[1]DATOS PBI Artículos'!AU:AU))</f>
        <v>0</v>
      </c>
      <c r="K736" s="36">
        <f>_xlfn.XLOOKUP($A736,'[1]DATOS PBI Artículos'!A:A,'[1]DATOS PBI Artículos'!AV:AV)</f>
        <v>0</v>
      </c>
      <c r="L736" s="33">
        <f>_xlfn.XLOOKUP(A736,[1]MÁQUINAS!B:B,[1]MÁQUINAS!C:C)</f>
        <v>0</v>
      </c>
      <c r="M736" s="34">
        <f t="array" ref="M736">_xlfn.XLOOKUP(A736,'[1]DATOS PBI Artículos'!A:A,'[1]DATOS PBI Artículos'!AX:$AX)</f>
        <v>0</v>
      </c>
      <c r="N736" s="37" t="e">
        <f>IF(I736="DV",
E736,
IF(COUNTIF([1]CRITERIOS!$I$179:$I$199,$A736)&gt;=1,
_xlfn.XLOOKUP($A736,[1]CRITERIOS!$I$179:$I$199,[1]CRITERIOS!$J$179:$J$199),
IF(COUNTIF([1]CRITERIOS!$L$179:$L$199,$A736)&gt;=1,
_xlfn.CEILING.MATH(IF($M736&gt;$E736,
$E736,
IF($M736&lt;$E736/ROUNDDOWN([1]CRITERIOS!$M$16/_xlfn.XLOOKUP($C736,[1]CRITERIOS!$K$25:$K$42,[1]CRITERIOS!$M$25:$M$42),
1),
E736/ROUNDDOWN([1]CRITERIOS!$M$16/_xlfn.XLOOKUP($C736,[1]CRITERIOS!$K$25:$K$42,[1]CRITERIOS!$M$25:$M$42),
1),
$M736)),
_xlfn.XLOOKUP($A736,[1]CRITERIOS!$L$179:$L$200,[1]CRITERIOS!$M$179:$M$200)),
_xlfn.CEILING.MATH(IF($M736&gt;$E736,
$E736,
IF($M736&lt;$E736/ROUNDDOWN([1]CRITERIOS!$M$16/_xlfn.XLOOKUP($C736,[1]CRITERIOS!$K$25:$K$42,[1]CRITERIOS!$M$25:$M$42),
1),
E736/ROUNDDOWN([1]CRITERIOS!$M$16/_xlfn.XLOOKUP($C736,[1]CRITERIOS!$K$25:$K$42,[1]CRITERIOS!$M$25:$M$42),
1),
$M736)),_xlfn.XLOOKUP(A736,'[1]DATOS PBI Artículos'!A:A,'[1]DATOS PBI Artículos'!Z:Z
)))))</f>
        <v>#N/A</v>
      </c>
      <c r="Q736" s="38" t="e">
        <f>IF(AND(O736="",N736=0),
0,
   IF(COUNTIF([1]CRITERIOS!$F$179:$F$199,$A736)&gt;=1,
   1,
   IF(R736="MTO",
      $D736,
      ROUNDUP(
                    IF(($E736-SUMIF('[1]DATOS PBI Artículos'!A:A,A736,'[1]DATOS PBI Artículos'!X:X)+($V736-_xlfn.XLOOKUP(A736,'[1]DATOS PBI Artículos'!A:A,'[1]DATOS PBI Artículos'!W:W)))&lt;0,
                    0,
                    IF(($E736-SUMIF('[1]DATOS PBI Artículos'!A:A,A736,'[1]DATOS PBI Artículos'!X:X)+$V736-_xlfn.XLOOKUP($A736,'[1]DATOS PBI Artículos'!A:A,'[1]DATOS PBI Artículos'!W:W))/IF($O736="",$N736,$O736)&gt;ROUNDUP([1]CRITERIOS!$M$16/(IF(COUNTIF([1]CRITERIOS!$BG$11:$BG$201,L736)&gt;=1,_xlfn.XLOOKUP($C736,[1]CRITERIOS!$K$25:$K$42,[1]CRITERIOS!$M$25:$M$42),_xlfn.XLOOKUP($C736,[1]CRITERIOS!$K$25:$K$42,[1]CRITERIOS!$M$25:$M$42))),0),
                    ROUNDUP([1]CRITERIOS!$M$16/(IF(COUNTIF([1]CRITERIOS!$BG$11:$BG$201,$L736)&gt;=1,_xlfn.XLOOKUP($C736,[1]CRITERIOS!$K$25:$K$42,[1]CRITERIOS!$M$25:$M$42),_xlfn.XLOOKUP($C736,[1]CRITERIOS!$K$25:$K$42,[1]CRITERIOS!$M$25:$M$42))),0),
                    (E736+V736-SUMIF('[1]DATOS PBI Artículos'!A:A,A736,'[1]DATOS PBI Artículos'!X:X)-_xlfn.XLOOKUP(A736,'[1]DATOS PBI Artículos'!A:A,'[1]DATOS PBI Artículos'!W:W))/IF($O736="",$N736,$O736))),0))))</f>
        <v>#N/A</v>
      </c>
      <c r="R736" s="33" t="e">
        <f>IF(U736&lt;&gt;"",U736,IF(F736="DV","MTO",IF(N736=0,"MTO",_xlfn.XLOOKUP(CONCATENATE(S736,T736),[1]CRITERIOS!$K$160:$K$168,[1]CRITERIOS!$N$160:$N$168))))</f>
        <v>#N/A</v>
      </c>
      <c r="S736" s="33" t="e">
        <f>IF(G736="DV","MTO",IF(N736=0,"MTO",IF(OR(AND(N736=0,O736=""),IF(O736="",G736/N736,G736/O736)&gt;[1]CRITERIOS!$G$163),"MTO",IF(IF(O736="",G736/N736,G736/O736)&lt;[1]CRITERIOS!$H$161,"MTS","MTOS"))))</f>
        <v>#N/A</v>
      </c>
      <c r="T736" s="33" t="e">
        <f>IF(F736="DV","MTO",IF(OR(AND($N736=0,O736=""),$F736/$J736&gt;[1]CRITERIOS!$G$170,$F736="DV"),"MTO",IF($F736/$J736&lt;[1]CRITERIOS!$H$168,"MTS","MTOS")))</f>
        <v>#N/A</v>
      </c>
      <c r="V736" s="34" t="e">
        <f t="shared" si="37"/>
        <v>#N/A</v>
      </c>
      <c r="X736" s="34" t="e">
        <f t="shared" si="35"/>
        <v>#N/A</v>
      </c>
      <c r="Y736" s="34" t="e">
        <f t="shared" si="36"/>
        <v>#N/A</v>
      </c>
      <c r="Z736" s="34" t="e">
        <f>IF($R736="MTO",
0,
($H736+$K736*($E736/[1]CRITERIOS!$M$16))/[1]CRITERIOS!$X$48)</f>
        <v>#N/A</v>
      </c>
      <c r="AA736" s="34" t="e">
        <f>ROUNDUP(($Y736/_xlfn.XLOOKUP($A736,'[1]DATOS PBI Artículos'!$A$4:$A$4,'[1]DATOS PBI Artículos'!$Z$4:$Z$4))/_xlfn.XLOOKUP(_xlfn.XLOOKUP($A736,'[1]DATOS PBI Artículos'!$A$4:$A$4,'[1]DATOS PBI Artículos'!$Y$4:$Y$4),[1]CRITERIOS!$P$79:$P$123,[1]CRITERIOS!$S$79:$S$123,),0)</f>
        <v>#N/A</v>
      </c>
      <c r="AC736" s="33" t="e">
        <f>IF(N736=0,"",(ROUNDUP((N736/2)/(_xlfn.XLOOKUP(A736,'[1]DATOS PBI Artículos'!$A$4:$A$4,'[1]DATOS PBI Artículos'!$Z$4:$Z$4)*_xlfn.XLOOKUP(_xlfn.XLOOKUP(A736,'[1]DATOS PBI Artículos'!$A$4:$A$4,'[1]DATOS PBI Artículos'!$Y$4:$Y$4),[1]CRITERIOS!$P$79:$P$123,[1]CRITERIOS!$S$79:$S$123)),0)*[1]CRITERIOS!$M$80*([1]CRITERIOS!$M$110/[1]CRITERIOS!$M$86)+(_xlfn.XLOOKUP(A736,'[1]DATOS PBI Artículos'!$A$4:$A$4,'[1]DATOS PBI Artículos'!$AA$4:$AA$4)*([1]CRITERIOS!$M$95+[1]CRITERIOS!$M$98)))/N736)</f>
        <v>#N/A</v>
      </c>
      <c r="AD736" s="33" t="e">
        <f>IF(N736=0,"",(ROUNDUP((N736/2)/(_xlfn.XLOOKUP(A736,'[1]DATOS PBI Artículos'!$A$4:$A$4,'[1]DATOS PBI Artículos'!$Z$4:$Z$4)*_xlfn.XLOOKUP(_xlfn.XLOOKUP(A736,'[1]DATOS PBI Artículos'!$A$4:$A$4,'[1]DATOS PBI Artículos'!$Y$4:$Y$4),[1]CRITERIOS!$P$79:$P$123,[1]CRITERIOS!$S$79:$S$123)),0)*[1]CRITERIOS!$M$80*([1]CRITERIOS!$M$89*[1]CRITERIOS!$M$92)+((_xlfn.XLOOKUP(A736,'[1]DATOS PBI Artículos'!$A$4:$A$4,'[1]DATOS PBI Artículos'!$AA$4:$AA$4)/2)*([1]CRITERIOS!$M$95+[1]CRITERIOS!$M$98)))/N736)</f>
        <v>#N/A</v>
      </c>
      <c r="AE736" s="39" t="e">
        <f>IF($R736="MTO","",
IF($H736=0,ROUNDUP(((_xlfn.XLOOKUP($A736,'[1]DATOS PBI Artículos'!$A:$A,'[1]DATOS PBI Artículos'!$AL:$AL))/(_xlfn.XLOOKUP($AF$1,[1]CRITERIOS!$S$16:$S$39,[1]CRITERIOS!$Y$16:$Y$39))*$J736+$Z736)/$G736,0)*$G736,
((_xlfn.XLOOKUP($A736,'[1]DATOS PBI Artículos'!$A:$A,'[1]DATOS PBI Artículos'!$AL:$AL))/(_xlfn.XLOOKUP($AF$1,[1]CRITERIOS!$S$16:$S$39,[1]CRITERIOS!$Y$16:$Y$39))*$J736+$Z736)))</f>
        <v>#N/A</v>
      </c>
      <c r="AG736" s="39" t="e">
        <f>IF($R736="MTO","",
IF($H736=0,ROUNDUP(((_xlfn.XLOOKUP($A736,'[1]DATOS PBI Artículos'!$A:$A,'[1]DATOS PBI Artículos'!$AM:$AM))/(_xlfn.XLOOKUP($AH$1,[1]CRITERIOS!$S$16:$S$39,[1]CRITERIOS!$Y$16:$Y$39))*$J736+$Z736)/$G736,0)*$G736,
((_xlfn.XLOOKUP($A736,'[1]DATOS PBI Artículos'!$A:$A,'[1]DATOS PBI Artículos'!$AM:$AM))/(_xlfn.XLOOKUP($AH$1,[1]CRITERIOS!$S$16:$S$39,[1]CRITERIOS!$Y$16:$Y$39))*$J736+$Z736)))</f>
        <v>#N/A</v>
      </c>
      <c r="AI736" s="39" t="e">
        <f>IF($R736="MTO","",
IF($H736=0,ROUNDUP(((_xlfn.XLOOKUP($A736,'[1]DATOS PBI Artículos'!$A:$A,'[1]DATOS PBI Artículos'!$AN:$AN))/(_xlfn.XLOOKUP($AJ$1,[1]CRITERIOS!$S$16:$S$39,[1]CRITERIOS!$Y$16:$Y$39))*$J736+$Z736)/$G736,0)*$G736,
((_xlfn.XLOOKUP($A736,'[1]DATOS PBI Artículos'!$A:$A,'[1]DATOS PBI Artículos'!$AN:$AN))/(_xlfn.XLOOKUP($AJ$1,[1]CRITERIOS!$S$16:$S$39,[1]CRITERIOS!$Y$16:$Y$39))*$J736+$Z736)))</f>
        <v>#N/A</v>
      </c>
      <c r="AK736" s="39" t="e">
        <f>IF($R736="MTO","",
IF($H736=0,ROUNDUP(((_xlfn.XLOOKUP($A736,'[1]DATOS PBI Artículos'!$A:$A,'[1]DATOS PBI Artículos'!$AO:$AO))/(_xlfn.XLOOKUP($AL$1,[1]CRITERIOS!$S$16:$S$39,[1]CRITERIOS!$Y$16:$Y$39))*$J736+$Z736)/$G736,0)*$G736,
((_xlfn.XLOOKUP($A736,'[1]DATOS PBI Artículos'!$A:$A,'[1]DATOS PBI Artículos'!$AO:$AO))/(_xlfn.XLOOKUP($AL$1,[1]CRITERIOS!$S$16:$S$39,[1]CRITERIOS!$Y$16:$Y$39))*$J736+$Z736)))</f>
        <v>#N/A</v>
      </c>
    </row>
    <row r="737" spans="1:37" ht="25.8" hidden="1" x14ac:dyDescent="0.4">
      <c r="A737" s="41"/>
      <c r="B737" s="33">
        <f>_xlfn.XLOOKUP($A737,'[1]DATOS PBI Artículos'!A:A,'[1]DATOS PBI Artículos'!B:B)</f>
        <v>0</v>
      </c>
      <c r="C737" s="33">
        <f>_xlfn.XLOOKUP($A737,'[1]DATOS PBI Artículos'!A:A,'[1]DATOS PBI Artículos'!C:C)</f>
        <v>0</v>
      </c>
      <c r="D737" s="33">
        <f>_xlfn.XLOOKUP(A737,'[1]DATOS PBI Artículos'!A:A,'[1]DATOS PBI Artículos'!T:T)</f>
        <v>0</v>
      </c>
      <c r="E737" s="34">
        <f>IF(_xlfn.XLOOKUP($A737,'[1]DATOS PBI Artículos'!A:A,'[1]DATOS PBI Artículos'!AK:AK)="",_xlfn.XLOOKUP($A737,'[1]DATOS PBI Artículos'!A:A,'[1]DATOS PBI Artículos'!AJ:AJ),_xlfn.XLOOKUP($A737,'[1]DATOS PBI Artículos'!A:A,'[1]DATOS PBI Artículos'!AK:AK))</f>
        <v>0</v>
      </c>
      <c r="F737" s="35">
        <f>_xlfn.XLOOKUP($A737,'[1]DATOS PBI Artículos'!A:A,'[1]DATOS PBI Artículos'!AP:AP)</f>
        <v>0</v>
      </c>
      <c r="G737" s="34">
        <f>_xlfn.XLOOKUP($A737,'[1]DATOS PBI Artículos'!A:A,'[1]DATOS PBI Artículos'!AR:AR)</f>
        <v>0</v>
      </c>
      <c r="H737" s="34">
        <f>_xlfn.XLOOKUP($A737,'[1]DATOS PBI Artículos'!A:A,'[1]DATOS PBI Artículos'!AT:AT)</f>
        <v>0</v>
      </c>
      <c r="I737" s="34">
        <f>_xlfn.XLOOKUP($A737,'[1]DATOS PBI Artículos'!A:A,'[1]DATOS PBI Artículos'!AS:AS)</f>
        <v>0</v>
      </c>
      <c r="J737" s="35">
        <f>IF(COUNTIF([1]CRITERIOS!$F$179:$F$199,$A737)&gt;=1,
 IF(O737&lt;&gt;"",
    (O737/_xlfn.XLOOKUP(CONCATENATE(A737,L737),[1]MÁQUINAS!A:A,[1]MÁQUINAS!D:D))/24,
    (N737/_xlfn.XLOOKUP(CONCATENATE(A737,L737),[1]MÁQUINAS!A:A,[1]MÁQUINAS!D:D))/24),
  _xlfn.XLOOKUP($A737,'[1]DATOS PBI Artículos'!A:A,'[1]DATOS PBI Artículos'!AU:AU))</f>
        <v>0</v>
      </c>
      <c r="K737" s="36">
        <f>_xlfn.XLOOKUP($A737,'[1]DATOS PBI Artículos'!A:A,'[1]DATOS PBI Artículos'!AV:AV)</f>
        <v>0</v>
      </c>
      <c r="L737" s="33">
        <f>_xlfn.XLOOKUP(A737,[1]MÁQUINAS!B:B,[1]MÁQUINAS!C:C)</f>
        <v>0</v>
      </c>
      <c r="M737" s="34">
        <f t="array" ref="M737">_xlfn.XLOOKUP(A737,'[1]DATOS PBI Artículos'!A:A,'[1]DATOS PBI Artículos'!AX:$AX)</f>
        <v>0</v>
      </c>
      <c r="N737" s="37" t="e">
        <f>IF(I737="DV",
E737,
IF(COUNTIF([1]CRITERIOS!$I$179:$I$199,$A737)&gt;=1,
_xlfn.XLOOKUP($A737,[1]CRITERIOS!$I$179:$I$199,[1]CRITERIOS!$J$179:$J$199),
IF(COUNTIF([1]CRITERIOS!$L$179:$L$199,$A737)&gt;=1,
_xlfn.CEILING.MATH(IF($M737&gt;$E737,
$E737,
IF($M737&lt;$E737/ROUNDDOWN([1]CRITERIOS!$M$16/_xlfn.XLOOKUP($C737,[1]CRITERIOS!$K$25:$K$42,[1]CRITERIOS!$M$25:$M$42),
1),
E737/ROUNDDOWN([1]CRITERIOS!$M$16/_xlfn.XLOOKUP($C737,[1]CRITERIOS!$K$25:$K$42,[1]CRITERIOS!$M$25:$M$42),
1),
$M737)),
_xlfn.XLOOKUP($A737,[1]CRITERIOS!$L$179:$L$200,[1]CRITERIOS!$M$179:$M$200)),
_xlfn.CEILING.MATH(IF($M737&gt;$E737,
$E737,
IF($M737&lt;$E737/ROUNDDOWN([1]CRITERIOS!$M$16/_xlfn.XLOOKUP($C737,[1]CRITERIOS!$K$25:$K$42,[1]CRITERIOS!$M$25:$M$42),
1),
E737/ROUNDDOWN([1]CRITERIOS!$M$16/_xlfn.XLOOKUP($C737,[1]CRITERIOS!$K$25:$K$42,[1]CRITERIOS!$M$25:$M$42),
1),
$M737)),_xlfn.XLOOKUP(A737,'[1]DATOS PBI Artículos'!A:A,'[1]DATOS PBI Artículos'!Z:Z
)))))</f>
        <v>#N/A</v>
      </c>
      <c r="Q737" s="38" t="e">
        <f>IF(AND(O737="",N737=0),
0,
   IF(COUNTIF([1]CRITERIOS!$F$179:$F$199,$A737)&gt;=1,
   1,
   IF(R737="MTO",
      $D737,
      ROUNDUP(
                    IF(($E737-SUMIF('[1]DATOS PBI Artículos'!A:A,A737,'[1]DATOS PBI Artículos'!X:X)+($V737-_xlfn.XLOOKUP(A737,'[1]DATOS PBI Artículos'!A:A,'[1]DATOS PBI Artículos'!W:W)))&lt;0,
                    0,
                    IF(($E737-SUMIF('[1]DATOS PBI Artículos'!A:A,A737,'[1]DATOS PBI Artículos'!X:X)+$V737-_xlfn.XLOOKUP($A737,'[1]DATOS PBI Artículos'!A:A,'[1]DATOS PBI Artículos'!W:W))/IF($O737="",$N737,$O737)&gt;ROUNDUP([1]CRITERIOS!$M$16/(IF(COUNTIF([1]CRITERIOS!$BG$11:$BG$201,L737)&gt;=1,_xlfn.XLOOKUP($C737,[1]CRITERIOS!$K$25:$K$42,[1]CRITERIOS!$M$25:$M$42),_xlfn.XLOOKUP($C737,[1]CRITERIOS!$K$25:$K$42,[1]CRITERIOS!$M$25:$M$42))),0),
                    ROUNDUP([1]CRITERIOS!$M$16/(IF(COUNTIF([1]CRITERIOS!$BG$11:$BG$201,$L737)&gt;=1,_xlfn.XLOOKUP($C737,[1]CRITERIOS!$K$25:$K$42,[1]CRITERIOS!$M$25:$M$42),_xlfn.XLOOKUP($C737,[1]CRITERIOS!$K$25:$K$42,[1]CRITERIOS!$M$25:$M$42))),0),
                    (E737+V737-SUMIF('[1]DATOS PBI Artículos'!A:A,A737,'[1]DATOS PBI Artículos'!X:X)-_xlfn.XLOOKUP(A737,'[1]DATOS PBI Artículos'!A:A,'[1]DATOS PBI Artículos'!W:W))/IF($O737="",$N737,$O737))),0))))</f>
        <v>#N/A</v>
      </c>
      <c r="R737" s="33" t="e">
        <f>IF(U737&lt;&gt;"",U737,IF(F737="DV","MTO",IF(N737=0,"MTO",_xlfn.XLOOKUP(CONCATENATE(S737,T737),[1]CRITERIOS!$K$160:$K$168,[1]CRITERIOS!$N$160:$N$168))))</f>
        <v>#N/A</v>
      </c>
      <c r="S737" s="33" t="e">
        <f>IF(G737="DV","MTO",IF(N737=0,"MTO",IF(OR(AND(N737=0,O737=""),IF(O737="",G737/N737,G737/O737)&gt;[1]CRITERIOS!$G$163),"MTO",IF(IF(O737="",G737/N737,G737/O737)&lt;[1]CRITERIOS!$H$161,"MTS","MTOS"))))</f>
        <v>#N/A</v>
      </c>
      <c r="T737" s="33" t="e">
        <f>IF(F737="DV","MTO",IF(OR(AND($N737=0,O737=""),$F737/$J737&gt;[1]CRITERIOS!$G$170,$F737="DV"),"MTO",IF($F737/$J737&lt;[1]CRITERIOS!$H$168,"MTS","MTOS")))</f>
        <v>#N/A</v>
      </c>
      <c r="V737" s="34" t="e">
        <f t="shared" si="37"/>
        <v>#N/A</v>
      </c>
      <c r="X737" s="34" t="e">
        <f t="shared" si="35"/>
        <v>#N/A</v>
      </c>
      <c r="Y737" s="34" t="e">
        <f t="shared" si="36"/>
        <v>#N/A</v>
      </c>
      <c r="Z737" s="34" t="e">
        <f>IF($R737="MTO",
0,
($H737+$K737*($E737/[1]CRITERIOS!$M$16))/[1]CRITERIOS!$X$48)</f>
        <v>#N/A</v>
      </c>
      <c r="AA737" s="34" t="e">
        <f>ROUNDUP(($Y737/_xlfn.XLOOKUP($A737,'[1]DATOS PBI Artículos'!$A$4:$A$4,'[1]DATOS PBI Artículos'!$Z$4:$Z$4))/_xlfn.XLOOKUP(_xlfn.XLOOKUP($A737,'[1]DATOS PBI Artículos'!$A$4:$A$4,'[1]DATOS PBI Artículos'!$Y$4:$Y$4),[1]CRITERIOS!$P$79:$P$123,[1]CRITERIOS!$S$79:$S$123,),0)</f>
        <v>#N/A</v>
      </c>
      <c r="AC737" s="33" t="e">
        <f>IF(N737=0,"",(ROUNDUP((N737/2)/(_xlfn.XLOOKUP(A737,'[1]DATOS PBI Artículos'!$A$4:$A$4,'[1]DATOS PBI Artículos'!$Z$4:$Z$4)*_xlfn.XLOOKUP(_xlfn.XLOOKUP(A737,'[1]DATOS PBI Artículos'!$A$4:$A$4,'[1]DATOS PBI Artículos'!$Y$4:$Y$4),[1]CRITERIOS!$P$79:$P$123,[1]CRITERIOS!$S$79:$S$123)),0)*[1]CRITERIOS!$M$80*([1]CRITERIOS!$M$110/[1]CRITERIOS!$M$86)+(_xlfn.XLOOKUP(A737,'[1]DATOS PBI Artículos'!$A$4:$A$4,'[1]DATOS PBI Artículos'!$AA$4:$AA$4)*([1]CRITERIOS!$M$95+[1]CRITERIOS!$M$98)))/N737)</f>
        <v>#N/A</v>
      </c>
      <c r="AD737" s="33" t="e">
        <f>IF(N737=0,"",(ROUNDUP((N737/2)/(_xlfn.XLOOKUP(A737,'[1]DATOS PBI Artículos'!$A$4:$A$4,'[1]DATOS PBI Artículos'!$Z$4:$Z$4)*_xlfn.XLOOKUP(_xlfn.XLOOKUP(A737,'[1]DATOS PBI Artículos'!$A$4:$A$4,'[1]DATOS PBI Artículos'!$Y$4:$Y$4),[1]CRITERIOS!$P$79:$P$123,[1]CRITERIOS!$S$79:$S$123)),0)*[1]CRITERIOS!$M$80*([1]CRITERIOS!$M$89*[1]CRITERIOS!$M$92)+((_xlfn.XLOOKUP(A737,'[1]DATOS PBI Artículos'!$A$4:$A$4,'[1]DATOS PBI Artículos'!$AA$4:$AA$4)/2)*([1]CRITERIOS!$M$95+[1]CRITERIOS!$M$98)))/N737)</f>
        <v>#N/A</v>
      </c>
      <c r="AE737" s="39" t="e">
        <f>IF($R737="MTO","",
IF($H737=0,ROUNDUP(((_xlfn.XLOOKUP($A737,'[1]DATOS PBI Artículos'!$A:$A,'[1]DATOS PBI Artículos'!$AL:$AL))/(_xlfn.XLOOKUP($AF$1,[1]CRITERIOS!$S$16:$S$39,[1]CRITERIOS!$Y$16:$Y$39))*$J737+$Z737)/$G737,0)*$G737,
((_xlfn.XLOOKUP($A737,'[1]DATOS PBI Artículos'!$A:$A,'[1]DATOS PBI Artículos'!$AL:$AL))/(_xlfn.XLOOKUP($AF$1,[1]CRITERIOS!$S$16:$S$39,[1]CRITERIOS!$Y$16:$Y$39))*$J737+$Z737)))</f>
        <v>#N/A</v>
      </c>
      <c r="AG737" s="39" t="e">
        <f>IF($R737="MTO","",
IF($H737=0,ROUNDUP(((_xlfn.XLOOKUP($A737,'[1]DATOS PBI Artículos'!$A:$A,'[1]DATOS PBI Artículos'!$AM:$AM))/(_xlfn.XLOOKUP($AH$1,[1]CRITERIOS!$S$16:$S$39,[1]CRITERIOS!$Y$16:$Y$39))*$J737+$Z737)/$G737,0)*$G737,
((_xlfn.XLOOKUP($A737,'[1]DATOS PBI Artículos'!$A:$A,'[1]DATOS PBI Artículos'!$AM:$AM))/(_xlfn.XLOOKUP($AH$1,[1]CRITERIOS!$S$16:$S$39,[1]CRITERIOS!$Y$16:$Y$39))*$J737+$Z737)))</f>
        <v>#N/A</v>
      </c>
      <c r="AI737" s="39" t="e">
        <f>IF($R737="MTO","",
IF($H737=0,ROUNDUP(((_xlfn.XLOOKUP($A737,'[1]DATOS PBI Artículos'!$A:$A,'[1]DATOS PBI Artículos'!$AN:$AN))/(_xlfn.XLOOKUP($AJ$1,[1]CRITERIOS!$S$16:$S$39,[1]CRITERIOS!$Y$16:$Y$39))*$J737+$Z737)/$G737,0)*$G737,
((_xlfn.XLOOKUP($A737,'[1]DATOS PBI Artículos'!$A:$A,'[1]DATOS PBI Artículos'!$AN:$AN))/(_xlfn.XLOOKUP($AJ$1,[1]CRITERIOS!$S$16:$S$39,[1]CRITERIOS!$Y$16:$Y$39))*$J737+$Z737)))</f>
        <v>#N/A</v>
      </c>
      <c r="AK737" s="39" t="e">
        <f>IF($R737="MTO","",
IF($H737=0,ROUNDUP(((_xlfn.XLOOKUP($A737,'[1]DATOS PBI Artículos'!$A:$A,'[1]DATOS PBI Artículos'!$AO:$AO))/(_xlfn.XLOOKUP($AL$1,[1]CRITERIOS!$S$16:$S$39,[1]CRITERIOS!$Y$16:$Y$39))*$J737+$Z737)/$G737,0)*$G737,
((_xlfn.XLOOKUP($A737,'[1]DATOS PBI Artículos'!$A:$A,'[1]DATOS PBI Artículos'!$AO:$AO))/(_xlfn.XLOOKUP($AL$1,[1]CRITERIOS!$S$16:$S$39,[1]CRITERIOS!$Y$16:$Y$39))*$J737+$Z737)))</f>
        <v>#N/A</v>
      </c>
    </row>
    <row r="738" spans="1:37" ht="25.8" hidden="1" x14ac:dyDescent="0.4">
      <c r="A738" s="41"/>
      <c r="B738" s="33">
        <f>_xlfn.XLOOKUP($A738,'[1]DATOS PBI Artículos'!A:A,'[1]DATOS PBI Artículos'!B:B)</f>
        <v>0</v>
      </c>
      <c r="C738" s="33">
        <f>_xlfn.XLOOKUP($A738,'[1]DATOS PBI Artículos'!A:A,'[1]DATOS PBI Artículos'!C:C)</f>
        <v>0</v>
      </c>
      <c r="D738" s="33">
        <f>_xlfn.XLOOKUP(A738,'[1]DATOS PBI Artículos'!A:A,'[1]DATOS PBI Artículos'!T:T)</f>
        <v>0</v>
      </c>
      <c r="E738" s="34">
        <f>IF(_xlfn.XLOOKUP($A738,'[1]DATOS PBI Artículos'!A:A,'[1]DATOS PBI Artículos'!AK:AK)="",_xlfn.XLOOKUP($A738,'[1]DATOS PBI Artículos'!A:A,'[1]DATOS PBI Artículos'!AJ:AJ),_xlfn.XLOOKUP($A738,'[1]DATOS PBI Artículos'!A:A,'[1]DATOS PBI Artículos'!AK:AK))</f>
        <v>0</v>
      </c>
      <c r="F738" s="35">
        <f>_xlfn.XLOOKUP($A738,'[1]DATOS PBI Artículos'!A:A,'[1]DATOS PBI Artículos'!AP:AP)</f>
        <v>0</v>
      </c>
      <c r="G738" s="34">
        <f>_xlfn.XLOOKUP($A738,'[1]DATOS PBI Artículos'!A:A,'[1]DATOS PBI Artículos'!AR:AR)</f>
        <v>0</v>
      </c>
      <c r="H738" s="34">
        <f>_xlfn.XLOOKUP($A738,'[1]DATOS PBI Artículos'!A:A,'[1]DATOS PBI Artículos'!AT:AT)</f>
        <v>0</v>
      </c>
      <c r="I738" s="34">
        <f>_xlfn.XLOOKUP($A738,'[1]DATOS PBI Artículos'!A:A,'[1]DATOS PBI Artículos'!AS:AS)</f>
        <v>0</v>
      </c>
      <c r="J738" s="35">
        <f>IF(COUNTIF([1]CRITERIOS!$F$179:$F$199,$A738)&gt;=1,
 IF(O738&lt;&gt;"",
    (O738/_xlfn.XLOOKUP(CONCATENATE(A738,L738),[1]MÁQUINAS!A:A,[1]MÁQUINAS!D:D))/24,
    (N738/_xlfn.XLOOKUP(CONCATENATE(A738,L738),[1]MÁQUINAS!A:A,[1]MÁQUINAS!D:D))/24),
  _xlfn.XLOOKUP($A738,'[1]DATOS PBI Artículos'!A:A,'[1]DATOS PBI Artículos'!AU:AU))</f>
        <v>0</v>
      </c>
      <c r="K738" s="36">
        <f>_xlfn.XLOOKUP($A738,'[1]DATOS PBI Artículos'!A:A,'[1]DATOS PBI Artículos'!AV:AV)</f>
        <v>0</v>
      </c>
      <c r="L738" s="33">
        <f>_xlfn.XLOOKUP(A738,[1]MÁQUINAS!B:B,[1]MÁQUINAS!C:C)</f>
        <v>0</v>
      </c>
      <c r="M738" s="34">
        <f t="array" ref="M738">_xlfn.XLOOKUP(A738,'[1]DATOS PBI Artículos'!A:A,'[1]DATOS PBI Artículos'!AX:$AX)</f>
        <v>0</v>
      </c>
      <c r="N738" s="37" t="e">
        <f>IF(I738="DV",
E738,
IF(COUNTIF([1]CRITERIOS!$I$179:$I$199,$A738)&gt;=1,
_xlfn.XLOOKUP($A738,[1]CRITERIOS!$I$179:$I$199,[1]CRITERIOS!$J$179:$J$199),
IF(COUNTIF([1]CRITERIOS!$L$179:$L$199,$A738)&gt;=1,
_xlfn.CEILING.MATH(IF($M738&gt;$E738,
$E738,
IF($M738&lt;$E738/ROUNDDOWN([1]CRITERIOS!$M$16/_xlfn.XLOOKUP($C738,[1]CRITERIOS!$K$25:$K$42,[1]CRITERIOS!$M$25:$M$42),
1),
E738/ROUNDDOWN([1]CRITERIOS!$M$16/_xlfn.XLOOKUP($C738,[1]CRITERIOS!$K$25:$K$42,[1]CRITERIOS!$M$25:$M$42),
1),
$M738)),
_xlfn.XLOOKUP($A738,[1]CRITERIOS!$L$179:$L$200,[1]CRITERIOS!$M$179:$M$200)),
_xlfn.CEILING.MATH(IF($M738&gt;$E738,
$E738,
IF($M738&lt;$E738/ROUNDDOWN([1]CRITERIOS!$M$16/_xlfn.XLOOKUP($C738,[1]CRITERIOS!$K$25:$K$42,[1]CRITERIOS!$M$25:$M$42),
1),
E738/ROUNDDOWN([1]CRITERIOS!$M$16/_xlfn.XLOOKUP($C738,[1]CRITERIOS!$K$25:$K$42,[1]CRITERIOS!$M$25:$M$42),
1),
$M738)),_xlfn.XLOOKUP(A738,'[1]DATOS PBI Artículos'!A:A,'[1]DATOS PBI Artículos'!Z:Z
)))))</f>
        <v>#N/A</v>
      </c>
      <c r="Q738" s="38" t="e">
        <f>IF(AND(O738="",N738=0),
0,
   IF(COUNTIF([1]CRITERIOS!$F$179:$F$199,$A738)&gt;=1,
   1,
   IF(R738="MTO",
      $D738,
      ROUNDUP(
                    IF(($E738-SUMIF('[1]DATOS PBI Artículos'!A:A,A738,'[1]DATOS PBI Artículos'!X:X)+($V738-_xlfn.XLOOKUP(A738,'[1]DATOS PBI Artículos'!A:A,'[1]DATOS PBI Artículos'!W:W)))&lt;0,
                    0,
                    IF(($E738-SUMIF('[1]DATOS PBI Artículos'!A:A,A738,'[1]DATOS PBI Artículos'!X:X)+$V738-_xlfn.XLOOKUP($A738,'[1]DATOS PBI Artículos'!A:A,'[1]DATOS PBI Artículos'!W:W))/IF($O738="",$N738,$O738)&gt;ROUNDUP([1]CRITERIOS!$M$16/(IF(COUNTIF([1]CRITERIOS!$BG$11:$BG$201,L738)&gt;=1,_xlfn.XLOOKUP($C738,[1]CRITERIOS!$K$25:$K$42,[1]CRITERIOS!$M$25:$M$42),_xlfn.XLOOKUP($C738,[1]CRITERIOS!$K$25:$K$42,[1]CRITERIOS!$M$25:$M$42))),0),
                    ROUNDUP([1]CRITERIOS!$M$16/(IF(COUNTIF([1]CRITERIOS!$BG$11:$BG$201,$L738)&gt;=1,_xlfn.XLOOKUP($C738,[1]CRITERIOS!$K$25:$K$42,[1]CRITERIOS!$M$25:$M$42),_xlfn.XLOOKUP($C738,[1]CRITERIOS!$K$25:$K$42,[1]CRITERIOS!$M$25:$M$42))),0),
                    (E738+V738-SUMIF('[1]DATOS PBI Artículos'!A:A,A738,'[1]DATOS PBI Artículos'!X:X)-_xlfn.XLOOKUP(A738,'[1]DATOS PBI Artículos'!A:A,'[1]DATOS PBI Artículos'!W:W))/IF($O738="",$N738,$O738))),0))))</f>
        <v>#N/A</v>
      </c>
      <c r="R738" s="33" t="e">
        <f>IF(U738&lt;&gt;"",U738,IF(F738="DV","MTO",IF(N738=0,"MTO",_xlfn.XLOOKUP(CONCATENATE(S738,T738),[1]CRITERIOS!$K$160:$K$168,[1]CRITERIOS!$N$160:$N$168))))</f>
        <v>#N/A</v>
      </c>
      <c r="S738" s="33" t="e">
        <f>IF(G738="DV","MTO",IF(N738=0,"MTO",IF(OR(AND(N738=0,O738=""),IF(O738="",G738/N738,G738/O738)&gt;[1]CRITERIOS!$G$163),"MTO",IF(IF(O738="",G738/N738,G738/O738)&lt;[1]CRITERIOS!$H$161,"MTS","MTOS"))))</f>
        <v>#N/A</v>
      </c>
      <c r="T738" s="33" t="e">
        <f>IF(F738="DV","MTO",IF(OR(AND($N738=0,O738=""),$F738/$J738&gt;[1]CRITERIOS!$G$170,$F738="DV"),"MTO",IF($F738/$J738&lt;[1]CRITERIOS!$H$168,"MTS","MTOS")))</f>
        <v>#N/A</v>
      </c>
      <c r="V738" s="34" t="e">
        <f t="shared" si="37"/>
        <v>#N/A</v>
      </c>
      <c r="X738" s="34" t="e">
        <f t="shared" si="35"/>
        <v>#N/A</v>
      </c>
      <c r="Y738" s="34" t="e">
        <f t="shared" si="36"/>
        <v>#N/A</v>
      </c>
      <c r="Z738" s="34" t="e">
        <f>IF($R738="MTO",
0,
($H738+$K738*($E738/[1]CRITERIOS!$M$16))/[1]CRITERIOS!$X$48)</f>
        <v>#N/A</v>
      </c>
      <c r="AA738" s="34" t="e">
        <f>ROUNDUP(($Y738/_xlfn.XLOOKUP($A738,'[1]DATOS PBI Artículos'!$A$4:$A$4,'[1]DATOS PBI Artículos'!$Z$4:$Z$4))/_xlfn.XLOOKUP(_xlfn.XLOOKUP($A738,'[1]DATOS PBI Artículos'!$A$4:$A$4,'[1]DATOS PBI Artículos'!$Y$4:$Y$4),[1]CRITERIOS!$P$79:$P$123,[1]CRITERIOS!$S$79:$S$123,),0)</f>
        <v>#N/A</v>
      </c>
      <c r="AC738" s="33" t="e">
        <f>IF(N738=0,"",(ROUNDUP((N738/2)/(_xlfn.XLOOKUP(A738,'[1]DATOS PBI Artículos'!$A$4:$A$4,'[1]DATOS PBI Artículos'!$Z$4:$Z$4)*_xlfn.XLOOKUP(_xlfn.XLOOKUP(A738,'[1]DATOS PBI Artículos'!$A$4:$A$4,'[1]DATOS PBI Artículos'!$Y$4:$Y$4),[1]CRITERIOS!$P$79:$P$123,[1]CRITERIOS!$S$79:$S$123)),0)*[1]CRITERIOS!$M$80*([1]CRITERIOS!$M$110/[1]CRITERIOS!$M$86)+(_xlfn.XLOOKUP(A738,'[1]DATOS PBI Artículos'!$A$4:$A$4,'[1]DATOS PBI Artículos'!$AA$4:$AA$4)*([1]CRITERIOS!$M$95+[1]CRITERIOS!$M$98)))/N738)</f>
        <v>#N/A</v>
      </c>
      <c r="AD738" s="33" t="e">
        <f>IF(N738=0,"",(ROUNDUP((N738/2)/(_xlfn.XLOOKUP(A738,'[1]DATOS PBI Artículos'!$A$4:$A$4,'[1]DATOS PBI Artículos'!$Z$4:$Z$4)*_xlfn.XLOOKUP(_xlfn.XLOOKUP(A738,'[1]DATOS PBI Artículos'!$A$4:$A$4,'[1]DATOS PBI Artículos'!$Y$4:$Y$4),[1]CRITERIOS!$P$79:$P$123,[1]CRITERIOS!$S$79:$S$123)),0)*[1]CRITERIOS!$M$80*([1]CRITERIOS!$M$89*[1]CRITERIOS!$M$92)+((_xlfn.XLOOKUP(A738,'[1]DATOS PBI Artículos'!$A$4:$A$4,'[1]DATOS PBI Artículos'!$AA$4:$AA$4)/2)*([1]CRITERIOS!$M$95+[1]CRITERIOS!$M$98)))/N738)</f>
        <v>#N/A</v>
      </c>
      <c r="AE738" s="39" t="e">
        <f>IF($R738="MTO","",
IF($H738=0,ROUNDUP(((_xlfn.XLOOKUP($A738,'[1]DATOS PBI Artículos'!$A:$A,'[1]DATOS PBI Artículos'!$AL:$AL))/(_xlfn.XLOOKUP($AF$1,[1]CRITERIOS!$S$16:$S$39,[1]CRITERIOS!$Y$16:$Y$39))*$J738+$Z738)/$G738,0)*$G738,
((_xlfn.XLOOKUP($A738,'[1]DATOS PBI Artículos'!$A:$A,'[1]DATOS PBI Artículos'!$AL:$AL))/(_xlfn.XLOOKUP($AF$1,[1]CRITERIOS!$S$16:$S$39,[1]CRITERIOS!$Y$16:$Y$39))*$J738+$Z738)))</f>
        <v>#N/A</v>
      </c>
      <c r="AG738" s="39" t="e">
        <f>IF($R738="MTO","",
IF($H738=0,ROUNDUP(((_xlfn.XLOOKUP($A738,'[1]DATOS PBI Artículos'!$A:$A,'[1]DATOS PBI Artículos'!$AM:$AM))/(_xlfn.XLOOKUP($AH$1,[1]CRITERIOS!$S$16:$S$39,[1]CRITERIOS!$Y$16:$Y$39))*$J738+$Z738)/$G738,0)*$G738,
((_xlfn.XLOOKUP($A738,'[1]DATOS PBI Artículos'!$A:$A,'[1]DATOS PBI Artículos'!$AM:$AM))/(_xlfn.XLOOKUP($AH$1,[1]CRITERIOS!$S$16:$S$39,[1]CRITERIOS!$Y$16:$Y$39))*$J738+$Z738)))</f>
        <v>#N/A</v>
      </c>
      <c r="AI738" s="39" t="e">
        <f>IF($R738="MTO","",
IF($H738=0,ROUNDUP(((_xlfn.XLOOKUP($A738,'[1]DATOS PBI Artículos'!$A:$A,'[1]DATOS PBI Artículos'!$AN:$AN))/(_xlfn.XLOOKUP($AJ$1,[1]CRITERIOS!$S$16:$S$39,[1]CRITERIOS!$Y$16:$Y$39))*$J738+$Z738)/$G738,0)*$G738,
((_xlfn.XLOOKUP($A738,'[1]DATOS PBI Artículos'!$A:$A,'[1]DATOS PBI Artículos'!$AN:$AN))/(_xlfn.XLOOKUP($AJ$1,[1]CRITERIOS!$S$16:$S$39,[1]CRITERIOS!$Y$16:$Y$39))*$J738+$Z738)))</f>
        <v>#N/A</v>
      </c>
      <c r="AK738" s="39" t="e">
        <f>IF($R738="MTO","",
IF($H738=0,ROUNDUP(((_xlfn.XLOOKUP($A738,'[1]DATOS PBI Artículos'!$A:$A,'[1]DATOS PBI Artículos'!$AO:$AO))/(_xlfn.XLOOKUP($AL$1,[1]CRITERIOS!$S$16:$S$39,[1]CRITERIOS!$Y$16:$Y$39))*$J738+$Z738)/$G738,0)*$G738,
((_xlfn.XLOOKUP($A738,'[1]DATOS PBI Artículos'!$A:$A,'[1]DATOS PBI Artículos'!$AO:$AO))/(_xlfn.XLOOKUP($AL$1,[1]CRITERIOS!$S$16:$S$39,[1]CRITERIOS!$Y$16:$Y$39))*$J738+$Z738)))</f>
        <v>#N/A</v>
      </c>
    </row>
    <row r="739" spans="1:37" ht="25.8" hidden="1" x14ac:dyDescent="0.4">
      <c r="A739" s="41"/>
      <c r="B739" s="33">
        <f>_xlfn.XLOOKUP($A739,'[1]DATOS PBI Artículos'!A:A,'[1]DATOS PBI Artículos'!B:B)</f>
        <v>0</v>
      </c>
      <c r="C739" s="33">
        <f>_xlfn.XLOOKUP($A739,'[1]DATOS PBI Artículos'!A:A,'[1]DATOS PBI Artículos'!C:C)</f>
        <v>0</v>
      </c>
      <c r="D739" s="33">
        <f>_xlfn.XLOOKUP(A739,'[1]DATOS PBI Artículos'!A:A,'[1]DATOS PBI Artículos'!T:T)</f>
        <v>0</v>
      </c>
      <c r="E739" s="34">
        <f>IF(_xlfn.XLOOKUP($A739,'[1]DATOS PBI Artículos'!A:A,'[1]DATOS PBI Artículos'!AK:AK)="",_xlfn.XLOOKUP($A739,'[1]DATOS PBI Artículos'!A:A,'[1]DATOS PBI Artículos'!AJ:AJ),_xlfn.XLOOKUP($A739,'[1]DATOS PBI Artículos'!A:A,'[1]DATOS PBI Artículos'!AK:AK))</f>
        <v>0</v>
      </c>
      <c r="F739" s="35">
        <f>_xlfn.XLOOKUP($A739,'[1]DATOS PBI Artículos'!A:A,'[1]DATOS PBI Artículos'!AP:AP)</f>
        <v>0</v>
      </c>
      <c r="G739" s="34">
        <f>_xlfn.XLOOKUP($A739,'[1]DATOS PBI Artículos'!A:A,'[1]DATOS PBI Artículos'!AR:AR)</f>
        <v>0</v>
      </c>
      <c r="H739" s="34">
        <f>_xlfn.XLOOKUP($A739,'[1]DATOS PBI Artículos'!A:A,'[1]DATOS PBI Artículos'!AT:AT)</f>
        <v>0</v>
      </c>
      <c r="I739" s="34">
        <f>_xlfn.XLOOKUP($A739,'[1]DATOS PBI Artículos'!A:A,'[1]DATOS PBI Artículos'!AS:AS)</f>
        <v>0</v>
      </c>
      <c r="J739" s="35">
        <f>IF(COUNTIF([1]CRITERIOS!$F$179:$F$199,$A739)&gt;=1,
 IF(O739&lt;&gt;"",
    (O739/_xlfn.XLOOKUP(CONCATENATE(A739,L739),[1]MÁQUINAS!A:A,[1]MÁQUINAS!D:D))/24,
    (N739/_xlfn.XLOOKUP(CONCATENATE(A739,L739),[1]MÁQUINAS!A:A,[1]MÁQUINAS!D:D))/24),
  _xlfn.XLOOKUP($A739,'[1]DATOS PBI Artículos'!A:A,'[1]DATOS PBI Artículos'!AU:AU))</f>
        <v>0</v>
      </c>
      <c r="K739" s="36">
        <f>_xlfn.XLOOKUP($A739,'[1]DATOS PBI Artículos'!A:A,'[1]DATOS PBI Artículos'!AV:AV)</f>
        <v>0</v>
      </c>
      <c r="L739" s="33">
        <f>_xlfn.XLOOKUP(A739,[1]MÁQUINAS!B:B,[1]MÁQUINAS!C:C)</f>
        <v>0</v>
      </c>
      <c r="M739" s="34">
        <f t="array" ref="M739">_xlfn.XLOOKUP(A739,'[1]DATOS PBI Artículos'!A:A,'[1]DATOS PBI Artículos'!AX:$AX)</f>
        <v>0</v>
      </c>
      <c r="N739" s="37" t="e">
        <f>IF(I739="DV",
E739,
IF(COUNTIF([1]CRITERIOS!$I$179:$I$199,$A739)&gt;=1,
_xlfn.XLOOKUP($A739,[1]CRITERIOS!$I$179:$I$199,[1]CRITERIOS!$J$179:$J$199),
IF(COUNTIF([1]CRITERIOS!$L$179:$L$199,$A739)&gt;=1,
_xlfn.CEILING.MATH(IF($M739&gt;$E739,
$E739,
IF($M739&lt;$E739/ROUNDDOWN([1]CRITERIOS!$M$16/_xlfn.XLOOKUP($C739,[1]CRITERIOS!$K$25:$K$42,[1]CRITERIOS!$M$25:$M$42),
1),
E739/ROUNDDOWN([1]CRITERIOS!$M$16/_xlfn.XLOOKUP($C739,[1]CRITERIOS!$K$25:$K$42,[1]CRITERIOS!$M$25:$M$42),
1),
$M739)),
_xlfn.XLOOKUP($A739,[1]CRITERIOS!$L$179:$L$200,[1]CRITERIOS!$M$179:$M$200)),
_xlfn.CEILING.MATH(IF($M739&gt;$E739,
$E739,
IF($M739&lt;$E739/ROUNDDOWN([1]CRITERIOS!$M$16/_xlfn.XLOOKUP($C739,[1]CRITERIOS!$K$25:$K$42,[1]CRITERIOS!$M$25:$M$42),
1),
E739/ROUNDDOWN([1]CRITERIOS!$M$16/_xlfn.XLOOKUP($C739,[1]CRITERIOS!$K$25:$K$42,[1]CRITERIOS!$M$25:$M$42),
1),
$M739)),_xlfn.XLOOKUP(A739,'[1]DATOS PBI Artículos'!A:A,'[1]DATOS PBI Artículos'!Z:Z
)))))</f>
        <v>#N/A</v>
      </c>
      <c r="Q739" s="38" t="e">
        <f>IF(AND(O739="",N739=0),
0,
   IF(COUNTIF([1]CRITERIOS!$F$179:$F$199,$A739)&gt;=1,
   1,
   IF(R739="MTO",
      $D739,
      ROUNDUP(
                    IF(($E739-SUMIF('[1]DATOS PBI Artículos'!A:A,A739,'[1]DATOS PBI Artículos'!X:X)+($V739-_xlfn.XLOOKUP(A739,'[1]DATOS PBI Artículos'!A:A,'[1]DATOS PBI Artículos'!W:W)))&lt;0,
                    0,
                    IF(($E739-SUMIF('[1]DATOS PBI Artículos'!A:A,A739,'[1]DATOS PBI Artículos'!X:X)+$V739-_xlfn.XLOOKUP($A739,'[1]DATOS PBI Artículos'!A:A,'[1]DATOS PBI Artículos'!W:W))/IF($O739="",$N739,$O739)&gt;ROUNDUP([1]CRITERIOS!$M$16/(IF(COUNTIF([1]CRITERIOS!$BG$11:$BG$201,L739)&gt;=1,_xlfn.XLOOKUP($C739,[1]CRITERIOS!$K$25:$K$42,[1]CRITERIOS!$M$25:$M$42),_xlfn.XLOOKUP($C739,[1]CRITERIOS!$K$25:$K$42,[1]CRITERIOS!$M$25:$M$42))),0),
                    ROUNDUP([1]CRITERIOS!$M$16/(IF(COUNTIF([1]CRITERIOS!$BG$11:$BG$201,$L739)&gt;=1,_xlfn.XLOOKUP($C739,[1]CRITERIOS!$K$25:$K$42,[1]CRITERIOS!$M$25:$M$42),_xlfn.XLOOKUP($C739,[1]CRITERIOS!$K$25:$K$42,[1]CRITERIOS!$M$25:$M$42))),0),
                    (E739+V739-SUMIF('[1]DATOS PBI Artículos'!A:A,A739,'[1]DATOS PBI Artículos'!X:X)-_xlfn.XLOOKUP(A739,'[1]DATOS PBI Artículos'!A:A,'[1]DATOS PBI Artículos'!W:W))/IF($O739="",$N739,$O739))),0))))</f>
        <v>#N/A</v>
      </c>
      <c r="R739" s="33" t="e">
        <f>IF(U739&lt;&gt;"",U739,IF(F739="DV","MTO",IF(N739=0,"MTO",_xlfn.XLOOKUP(CONCATENATE(S739,T739),[1]CRITERIOS!$K$160:$K$168,[1]CRITERIOS!$N$160:$N$168))))</f>
        <v>#N/A</v>
      </c>
      <c r="S739" s="33" t="e">
        <f>IF(G739="DV","MTO",IF(N739=0,"MTO",IF(OR(AND(N739=0,O739=""),IF(O739="",G739/N739,G739/O739)&gt;[1]CRITERIOS!$G$163),"MTO",IF(IF(O739="",G739/N739,G739/O739)&lt;[1]CRITERIOS!$H$161,"MTS","MTOS"))))</f>
        <v>#N/A</v>
      </c>
      <c r="T739" s="33" t="e">
        <f>IF(F739="DV","MTO",IF(OR(AND($N739=0,O739=""),$F739/$J739&gt;[1]CRITERIOS!$G$170,$F739="DV"),"MTO",IF($F739/$J739&lt;[1]CRITERIOS!$H$168,"MTS","MTOS")))</f>
        <v>#N/A</v>
      </c>
      <c r="V739" s="34" t="e">
        <f t="shared" si="37"/>
        <v>#N/A</v>
      </c>
      <c r="X739" s="34" t="e">
        <f t="shared" si="35"/>
        <v>#N/A</v>
      </c>
      <c r="Y739" s="34" t="e">
        <f t="shared" si="36"/>
        <v>#N/A</v>
      </c>
      <c r="Z739" s="34" t="e">
        <f>IF($R739="MTO",
0,
($H739+$K739*($E739/[1]CRITERIOS!$M$16))/[1]CRITERIOS!$X$48)</f>
        <v>#N/A</v>
      </c>
      <c r="AA739" s="34" t="e">
        <f>ROUNDUP(($Y739/_xlfn.XLOOKUP($A739,'[1]DATOS PBI Artículos'!$A$4:$A$4,'[1]DATOS PBI Artículos'!$Z$4:$Z$4))/_xlfn.XLOOKUP(_xlfn.XLOOKUP($A739,'[1]DATOS PBI Artículos'!$A$4:$A$4,'[1]DATOS PBI Artículos'!$Y$4:$Y$4),[1]CRITERIOS!$P$79:$P$123,[1]CRITERIOS!$S$79:$S$123,),0)</f>
        <v>#N/A</v>
      </c>
      <c r="AC739" s="33" t="e">
        <f>IF(N739=0,"",(ROUNDUP((N739/2)/(_xlfn.XLOOKUP(A739,'[1]DATOS PBI Artículos'!$A$4:$A$4,'[1]DATOS PBI Artículos'!$Z$4:$Z$4)*_xlfn.XLOOKUP(_xlfn.XLOOKUP(A739,'[1]DATOS PBI Artículos'!$A$4:$A$4,'[1]DATOS PBI Artículos'!$Y$4:$Y$4),[1]CRITERIOS!$P$79:$P$123,[1]CRITERIOS!$S$79:$S$123)),0)*[1]CRITERIOS!$M$80*([1]CRITERIOS!$M$110/[1]CRITERIOS!$M$86)+(_xlfn.XLOOKUP(A739,'[1]DATOS PBI Artículos'!$A$4:$A$4,'[1]DATOS PBI Artículos'!$AA$4:$AA$4)*([1]CRITERIOS!$M$95+[1]CRITERIOS!$M$98)))/N739)</f>
        <v>#N/A</v>
      </c>
      <c r="AD739" s="33" t="e">
        <f>IF(N739=0,"",(ROUNDUP((N739/2)/(_xlfn.XLOOKUP(A739,'[1]DATOS PBI Artículos'!$A$4:$A$4,'[1]DATOS PBI Artículos'!$Z$4:$Z$4)*_xlfn.XLOOKUP(_xlfn.XLOOKUP(A739,'[1]DATOS PBI Artículos'!$A$4:$A$4,'[1]DATOS PBI Artículos'!$Y$4:$Y$4),[1]CRITERIOS!$P$79:$P$123,[1]CRITERIOS!$S$79:$S$123)),0)*[1]CRITERIOS!$M$80*([1]CRITERIOS!$M$89*[1]CRITERIOS!$M$92)+((_xlfn.XLOOKUP(A739,'[1]DATOS PBI Artículos'!$A$4:$A$4,'[1]DATOS PBI Artículos'!$AA$4:$AA$4)/2)*([1]CRITERIOS!$M$95+[1]CRITERIOS!$M$98)))/N739)</f>
        <v>#N/A</v>
      </c>
      <c r="AE739" s="39" t="e">
        <f>IF($R739="MTO","",
IF($H739=0,ROUNDUP(((_xlfn.XLOOKUP($A739,'[1]DATOS PBI Artículos'!$A:$A,'[1]DATOS PBI Artículos'!$AL:$AL))/(_xlfn.XLOOKUP($AF$1,[1]CRITERIOS!$S$16:$S$39,[1]CRITERIOS!$Y$16:$Y$39))*$J739+$Z739)/$G739,0)*$G739,
((_xlfn.XLOOKUP($A739,'[1]DATOS PBI Artículos'!$A:$A,'[1]DATOS PBI Artículos'!$AL:$AL))/(_xlfn.XLOOKUP($AF$1,[1]CRITERIOS!$S$16:$S$39,[1]CRITERIOS!$Y$16:$Y$39))*$J739+$Z739)))</f>
        <v>#N/A</v>
      </c>
      <c r="AG739" s="39" t="e">
        <f>IF($R739="MTO","",
IF($H739=0,ROUNDUP(((_xlfn.XLOOKUP($A739,'[1]DATOS PBI Artículos'!$A:$A,'[1]DATOS PBI Artículos'!$AM:$AM))/(_xlfn.XLOOKUP($AH$1,[1]CRITERIOS!$S$16:$S$39,[1]CRITERIOS!$Y$16:$Y$39))*$J739+$Z739)/$G739,0)*$G739,
((_xlfn.XLOOKUP($A739,'[1]DATOS PBI Artículos'!$A:$A,'[1]DATOS PBI Artículos'!$AM:$AM))/(_xlfn.XLOOKUP($AH$1,[1]CRITERIOS!$S$16:$S$39,[1]CRITERIOS!$Y$16:$Y$39))*$J739+$Z739)))</f>
        <v>#N/A</v>
      </c>
      <c r="AI739" s="39" t="e">
        <f>IF($R739="MTO","",
IF($H739=0,ROUNDUP(((_xlfn.XLOOKUP($A739,'[1]DATOS PBI Artículos'!$A:$A,'[1]DATOS PBI Artículos'!$AN:$AN))/(_xlfn.XLOOKUP($AJ$1,[1]CRITERIOS!$S$16:$S$39,[1]CRITERIOS!$Y$16:$Y$39))*$J739+$Z739)/$G739,0)*$G739,
((_xlfn.XLOOKUP($A739,'[1]DATOS PBI Artículos'!$A:$A,'[1]DATOS PBI Artículos'!$AN:$AN))/(_xlfn.XLOOKUP($AJ$1,[1]CRITERIOS!$S$16:$S$39,[1]CRITERIOS!$Y$16:$Y$39))*$J739+$Z739)))</f>
        <v>#N/A</v>
      </c>
      <c r="AK739" s="39" t="e">
        <f>IF($R739="MTO","",
IF($H739=0,ROUNDUP(((_xlfn.XLOOKUP($A739,'[1]DATOS PBI Artículos'!$A:$A,'[1]DATOS PBI Artículos'!$AO:$AO))/(_xlfn.XLOOKUP($AL$1,[1]CRITERIOS!$S$16:$S$39,[1]CRITERIOS!$Y$16:$Y$39))*$J739+$Z739)/$G739,0)*$G739,
((_xlfn.XLOOKUP($A739,'[1]DATOS PBI Artículos'!$A:$A,'[1]DATOS PBI Artículos'!$AO:$AO))/(_xlfn.XLOOKUP($AL$1,[1]CRITERIOS!$S$16:$S$39,[1]CRITERIOS!$Y$16:$Y$39))*$J739+$Z739)))</f>
        <v>#N/A</v>
      </c>
    </row>
    <row r="740" spans="1:37" ht="25.8" hidden="1" x14ac:dyDescent="0.4">
      <c r="A740" s="41"/>
      <c r="B740" s="33">
        <f>_xlfn.XLOOKUP($A740,'[1]DATOS PBI Artículos'!A:A,'[1]DATOS PBI Artículos'!B:B)</f>
        <v>0</v>
      </c>
      <c r="C740" s="33">
        <f>_xlfn.XLOOKUP($A740,'[1]DATOS PBI Artículos'!A:A,'[1]DATOS PBI Artículos'!C:C)</f>
        <v>0</v>
      </c>
      <c r="D740" s="33">
        <f>_xlfn.XLOOKUP(A740,'[1]DATOS PBI Artículos'!A:A,'[1]DATOS PBI Artículos'!T:T)</f>
        <v>0</v>
      </c>
      <c r="E740" s="34">
        <f>IF(_xlfn.XLOOKUP($A740,'[1]DATOS PBI Artículos'!A:A,'[1]DATOS PBI Artículos'!AK:AK)="",_xlfn.XLOOKUP($A740,'[1]DATOS PBI Artículos'!A:A,'[1]DATOS PBI Artículos'!AJ:AJ),_xlfn.XLOOKUP($A740,'[1]DATOS PBI Artículos'!A:A,'[1]DATOS PBI Artículos'!AK:AK))</f>
        <v>0</v>
      </c>
      <c r="F740" s="35">
        <f>_xlfn.XLOOKUP($A740,'[1]DATOS PBI Artículos'!A:A,'[1]DATOS PBI Artículos'!AP:AP)</f>
        <v>0</v>
      </c>
      <c r="G740" s="34">
        <f>_xlfn.XLOOKUP($A740,'[1]DATOS PBI Artículos'!A:A,'[1]DATOS PBI Artículos'!AR:AR)</f>
        <v>0</v>
      </c>
      <c r="H740" s="34">
        <f>_xlfn.XLOOKUP($A740,'[1]DATOS PBI Artículos'!A:A,'[1]DATOS PBI Artículos'!AT:AT)</f>
        <v>0</v>
      </c>
      <c r="I740" s="34">
        <f>_xlfn.XLOOKUP($A740,'[1]DATOS PBI Artículos'!A:A,'[1]DATOS PBI Artículos'!AS:AS)</f>
        <v>0</v>
      </c>
      <c r="J740" s="35">
        <f>IF(COUNTIF([1]CRITERIOS!$F$179:$F$199,$A740)&gt;=1,
 IF(O740&lt;&gt;"",
    (O740/_xlfn.XLOOKUP(CONCATENATE(A740,L740),[1]MÁQUINAS!A:A,[1]MÁQUINAS!D:D))/24,
    (N740/_xlfn.XLOOKUP(CONCATENATE(A740,L740),[1]MÁQUINAS!A:A,[1]MÁQUINAS!D:D))/24),
  _xlfn.XLOOKUP($A740,'[1]DATOS PBI Artículos'!A:A,'[1]DATOS PBI Artículos'!AU:AU))</f>
        <v>0</v>
      </c>
      <c r="K740" s="36">
        <f>_xlfn.XLOOKUP($A740,'[1]DATOS PBI Artículos'!A:A,'[1]DATOS PBI Artículos'!AV:AV)</f>
        <v>0</v>
      </c>
      <c r="L740" s="33">
        <f>_xlfn.XLOOKUP(A740,[1]MÁQUINAS!B:B,[1]MÁQUINAS!C:C)</f>
        <v>0</v>
      </c>
      <c r="M740" s="34">
        <f t="array" ref="M740">_xlfn.XLOOKUP(A740,'[1]DATOS PBI Artículos'!A:A,'[1]DATOS PBI Artículos'!AX:$AX)</f>
        <v>0</v>
      </c>
      <c r="N740" s="37" t="e">
        <f>IF(I740="DV",
E740,
IF(COUNTIF([1]CRITERIOS!$I$179:$I$199,$A740)&gt;=1,
_xlfn.XLOOKUP($A740,[1]CRITERIOS!$I$179:$I$199,[1]CRITERIOS!$J$179:$J$199),
IF(COUNTIF([1]CRITERIOS!$L$179:$L$199,$A740)&gt;=1,
_xlfn.CEILING.MATH(IF($M740&gt;$E740,
$E740,
IF($M740&lt;$E740/ROUNDDOWN([1]CRITERIOS!$M$16/_xlfn.XLOOKUP($C740,[1]CRITERIOS!$K$25:$K$42,[1]CRITERIOS!$M$25:$M$42),
1),
E740/ROUNDDOWN([1]CRITERIOS!$M$16/_xlfn.XLOOKUP($C740,[1]CRITERIOS!$K$25:$K$42,[1]CRITERIOS!$M$25:$M$42),
1),
$M740)),
_xlfn.XLOOKUP($A740,[1]CRITERIOS!$L$179:$L$200,[1]CRITERIOS!$M$179:$M$200)),
_xlfn.CEILING.MATH(IF($M740&gt;$E740,
$E740,
IF($M740&lt;$E740/ROUNDDOWN([1]CRITERIOS!$M$16/_xlfn.XLOOKUP($C740,[1]CRITERIOS!$K$25:$K$42,[1]CRITERIOS!$M$25:$M$42),
1),
E740/ROUNDDOWN([1]CRITERIOS!$M$16/_xlfn.XLOOKUP($C740,[1]CRITERIOS!$K$25:$K$42,[1]CRITERIOS!$M$25:$M$42),
1),
$M740)),_xlfn.XLOOKUP(A740,'[1]DATOS PBI Artículos'!A:A,'[1]DATOS PBI Artículos'!Z:Z
)))))</f>
        <v>#N/A</v>
      </c>
      <c r="Q740" s="38" t="e">
        <f>IF(AND(O740="",N740=0),
0,
   IF(COUNTIF([1]CRITERIOS!$F$179:$F$199,$A740)&gt;=1,
   1,
   IF(R740="MTO",
      $D740,
      ROUNDUP(
                    IF(($E740-SUMIF('[1]DATOS PBI Artículos'!A:A,A740,'[1]DATOS PBI Artículos'!X:X)+($V740-_xlfn.XLOOKUP(A740,'[1]DATOS PBI Artículos'!A:A,'[1]DATOS PBI Artículos'!W:W)))&lt;0,
                    0,
                    IF(($E740-SUMIF('[1]DATOS PBI Artículos'!A:A,A740,'[1]DATOS PBI Artículos'!X:X)+$V740-_xlfn.XLOOKUP($A740,'[1]DATOS PBI Artículos'!A:A,'[1]DATOS PBI Artículos'!W:W))/IF($O740="",$N740,$O740)&gt;ROUNDUP([1]CRITERIOS!$M$16/(IF(COUNTIF([1]CRITERIOS!$BG$11:$BG$201,L740)&gt;=1,_xlfn.XLOOKUP($C740,[1]CRITERIOS!$K$25:$K$42,[1]CRITERIOS!$M$25:$M$42),_xlfn.XLOOKUP($C740,[1]CRITERIOS!$K$25:$K$42,[1]CRITERIOS!$M$25:$M$42))),0),
                    ROUNDUP([1]CRITERIOS!$M$16/(IF(COUNTIF([1]CRITERIOS!$BG$11:$BG$201,$L740)&gt;=1,_xlfn.XLOOKUP($C740,[1]CRITERIOS!$K$25:$K$42,[1]CRITERIOS!$M$25:$M$42),_xlfn.XLOOKUP($C740,[1]CRITERIOS!$K$25:$K$42,[1]CRITERIOS!$M$25:$M$42))),0),
                    (E740+V740-SUMIF('[1]DATOS PBI Artículos'!A:A,A740,'[1]DATOS PBI Artículos'!X:X)-_xlfn.XLOOKUP(A740,'[1]DATOS PBI Artículos'!A:A,'[1]DATOS PBI Artículos'!W:W))/IF($O740="",$N740,$O740))),0))))</f>
        <v>#N/A</v>
      </c>
      <c r="R740" s="33" t="e">
        <f>IF(U740&lt;&gt;"",U740,IF(F740="DV","MTO",IF(N740=0,"MTO",_xlfn.XLOOKUP(CONCATENATE(S740,T740),[1]CRITERIOS!$K$160:$K$168,[1]CRITERIOS!$N$160:$N$168))))</f>
        <v>#N/A</v>
      </c>
      <c r="S740" s="33" t="e">
        <f>IF(G740="DV","MTO",IF(N740=0,"MTO",IF(OR(AND(N740=0,O740=""),IF(O740="",G740/N740,G740/O740)&gt;[1]CRITERIOS!$G$163),"MTO",IF(IF(O740="",G740/N740,G740/O740)&lt;[1]CRITERIOS!$H$161,"MTS","MTOS"))))</f>
        <v>#N/A</v>
      </c>
      <c r="T740" s="33" t="e">
        <f>IF(F740="DV","MTO",IF(OR(AND($N740=0,O740=""),$F740/$J740&gt;[1]CRITERIOS!$G$170,$F740="DV"),"MTO",IF($F740/$J740&lt;[1]CRITERIOS!$H$168,"MTS","MTOS")))</f>
        <v>#N/A</v>
      </c>
      <c r="V740" s="34" t="e">
        <f t="shared" si="37"/>
        <v>#N/A</v>
      </c>
      <c r="X740" s="34" t="e">
        <f t="shared" si="35"/>
        <v>#N/A</v>
      </c>
      <c r="Y740" s="34" t="e">
        <f t="shared" si="36"/>
        <v>#N/A</v>
      </c>
      <c r="Z740" s="34" t="e">
        <f>IF($R740="MTO",
0,
($H740+$K740*($E740/[1]CRITERIOS!$M$16))/[1]CRITERIOS!$X$48)</f>
        <v>#N/A</v>
      </c>
      <c r="AA740" s="34" t="e">
        <f>ROUNDUP(($Y740/_xlfn.XLOOKUP($A740,'[1]DATOS PBI Artículos'!$A$4:$A$4,'[1]DATOS PBI Artículos'!$Z$4:$Z$4))/_xlfn.XLOOKUP(_xlfn.XLOOKUP($A740,'[1]DATOS PBI Artículos'!$A$4:$A$4,'[1]DATOS PBI Artículos'!$Y$4:$Y$4),[1]CRITERIOS!$P$79:$P$123,[1]CRITERIOS!$S$79:$S$123,),0)</f>
        <v>#N/A</v>
      </c>
      <c r="AC740" s="33" t="e">
        <f>IF(N740=0,"",(ROUNDUP((N740/2)/(_xlfn.XLOOKUP(A740,'[1]DATOS PBI Artículos'!$A$4:$A$4,'[1]DATOS PBI Artículos'!$Z$4:$Z$4)*_xlfn.XLOOKUP(_xlfn.XLOOKUP(A740,'[1]DATOS PBI Artículos'!$A$4:$A$4,'[1]DATOS PBI Artículos'!$Y$4:$Y$4),[1]CRITERIOS!$P$79:$P$123,[1]CRITERIOS!$S$79:$S$123)),0)*[1]CRITERIOS!$M$80*([1]CRITERIOS!$M$110/[1]CRITERIOS!$M$86)+(_xlfn.XLOOKUP(A740,'[1]DATOS PBI Artículos'!$A$4:$A$4,'[1]DATOS PBI Artículos'!$AA$4:$AA$4)*([1]CRITERIOS!$M$95+[1]CRITERIOS!$M$98)))/N740)</f>
        <v>#N/A</v>
      </c>
      <c r="AD740" s="33" t="e">
        <f>IF(N740=0,"",(ROUNDUP((N740/2)/(_xlfn.XLOOKUP(A740,'[1]DATOS PBI Artículos'!$A$4:$A$4,'[1]DATOS PBI Artículos'!$Z$4:$Z$4)*_xlfn.XLOOKUP(_xlfn.XLOOKUP(A740,'[1]DATOS PBI Artículos'!$A$4:$A$4,'[1]DATOS PBI Artículos'!$Y$4:$Y$4),[1]CRITERIOS!$P$79:$P$123,[1]CRITERIOS!$S$79:$S$123)),0)*[1]CRITERIOS!$M$80*([1]CRITERIOS!$M$89*[1]CRITERIOS!$M$92)+((_xlfn.XLOOKUP(A740,'[1]DATOS PBI Artículos'!$A$4:$A$4,'[1]DATOS PBI Artículos'!$AA$4:$AA$4)/2)*([1]CRITERIOS!$M$95+[1]CRITERIOS!$M$98)))/N740)</f>
        <v>#N/A</v>
      </c>
      <c r="AE740" s="39" t="e">
        <f>IF($R740="MTO","",
IF($H740=0,ROUNDUP(((_xlfn.XLOOKUP($A740,'[1]DATOS PBI Artículos'!$A:$A,'[1]DATOS PBI Artículos'!$AL:$AL))/(_xlfn.XLOOKUP($AF$1,[1]CRITERIOS!$S$16:$S$39,[1]CRITERIOS!$Y$16:$Y$39))*$J740+$Z740)/$G740,0)*$G740,
((_xlfn.XLOOKUP($A740,'[1]DATOS PBI Artículos'!$A:$A,'[1]DATOS PBI Artículos'!$AL:$AL))/(_xlfn.XLOOKUP($AF$1,[1]CRITERIOS!$S$16:$S$39,[1]CRITERIOS!$Y$16:$Y$39))*$J740+$Z740)))</f>
        <v>#N/A</v>
      </c>
      <c r="AG740" s="39" t="e">
        <f>IF($R740="MTO","",
IF($H740=0,ROUNDUP(((_xlfn.XLOOKUP($A740,'[1]DATOS PBI Artículos'!$A:$A,'[1]DATOS PBI Artículos'!$AM:$AM))/(_xlfn.XLOOKUP($AH$1,[1]CRITERIOS!$S$16:$S$39,[1]CRITERIOS!$Y$16:$Y$39))*$J740+$Z740)/$G740,0)*$G740,
((_xlfn.XLOOKUP($A740,'[1]DATOS PBI Artículos'!$A:$A,'[1]DATOS PBI Artículos'!$AM:$AM))/(_xlfn.XLOOKUP($AH$1,[1]CRITERIOS!$S$16:$S$39,[1]CRITERIOS!$Y$16:$Y$39))*$J740+$Z740)))</f>
        <v>#N/A</v>
      </c>
      <c r="AI740" s="39" t="e">
        <f>IF($R740="MTO","",
IF($H740=0,ROUNDUP(((_xlfn.XLOOKUP($A740,'[1]DATOS PBI Artículos'!$A:$A,'[1]DATOS PBI Artículos'!$AN:$AN))/(_xlfn.XLOOKUP($AJ$1,[1]CRITERIOS!$S$16:$S$39,[1]CRITERIOS!$Y$16:$Y$39))*$J740+$Z740)/$G740,0)*$G740,
((_xlfn.XLOOKUP($A740,'[1]DATOS PBI Artículos'!$A:$A,'[1]DATOS PBI Artículos'!$AN:$AN))/(_xlfn.XLOOKUP($AJ$1,[1]CRITERIOS!$S$16:$S$39,[1]CRITERIOS!$Y$16:$Y$39))*$J740+$Z740)))</f>
        <v>#N/A</v>
      </c>
      <c r="AK740" s="39" t="e">
        <f>IF($R740="MTO","",
IF($H740=0,ROUNDUP(((_xlfn.XLOOKUP($A740,'[1]DATOS PBI Artículos'!$A:$A,'[1]DATOS PBI Artículos'!$AO:$AO))/(_xlfn.XLOOKUP($AL$1,[1]CRITERIOS!$S$16:$S$39,[1]CRITERIOS!$Y$16:$Y$39))*$J740+$Z740)/$G740,0)*$G740,
((_xlfn.XLOOKUP($A740,'[1]DATOS PBI Artículos'!$A:$A,'[1]DATOS PBI Artículos'!$AO:$AO))/(_xlfn.XLOOKUP($AL$1,[1]CRITERIOS!$S$16:$S$39,[1]CRITERIOS!$Y$16:$Y$39))*$J740+$Z740)))</f>
        <v>#N/A</v>
      </c>
    </row>
    <row r="741" spans="1:37" ht="25.8" hidden="1" x14ac:dyDescent="0.4">
      <c r="A741" s="41"/>
      <c r="B741" s="33">
        <f>_xlfn.XLOOKUP($A741,'[1]DATOS PBI Artículos'!A:A,'[1]DATOS PBI Artículos'!B:B)</f>
        <v>0</v>
      </c>
      <c r="C741" s="33">
        <f>_xlfn.XLOOKUP($A741,'[1]DATOS PBI Artículos'!A:A,'[1]DATOS PBI Artículos'!C:C)</f>
        <v>0</v>
      </c>
      <c r="D741" s="33">
        <f>_xlfn.XLOOKUP(A741,'[1]DATOS PBI Artículos'!A:A,'[1]DATOS PBI Artículos'!T:T)</f>
        <v>0</v>
      </c>
      <c r="E741" s="34">
        <f>IF(_xlfn.XLOOKUP($A741,'[1]DATOS PBI Artículos'!A:A,'[1]DATOS PBI Artículos'!AK:AK)="",_xlfn.XLOOKUP($A741,'[1]DATOS PBI Artículos'!A:A,'[1]DATOS PBI Artículos'!AJ:AJ),_xlfn.XLOOKUP($A741,'[1]DATOS PBI Artículos'!A:A,'[1]DATOS PBI Artículos'!AK:AK))</f>
        <v>0</v>
      </c>
      <c r="F741" s="35">
        <f>_xlfn.XLOOKUP($A741,'[1]DATOS PBI Artículos'!A:A,'[1]DATOS PBI Artículos'!AP:AP)</f>
        <v>0</v>
      </c>
      <c r="G741" s="34">
        <f>_xlfn.XLOOKUP($A741,'[1]DATOS PBI Artículos'!A:A,'[1]DATOS PBI Artículos'!AR:AR)</f>
        <v>0</v>
      </c>
      <c r="H741" s="34">
        <f>_xlfn.XLOOKUP($A741,'[1]DATOS PBI Artículos'!A:A,'[1]DATOS PBI Artículos'!AT:AT)</f>
        <v>0</v>
      </c>
      <c r="I741" s="34">
        <f>_xlfn.XLOOKUP($A741,'[1]DATOS PBI Artículos'!A:A,'[1]DATOS PBI Artículos'!AS:AS)</f>
        <v>0</v>
      </c>
      <c r="J741" s="35">
        <f>IF(COUNTIF([1]CRITERIOS!$F$179:$F$199,$A741)&gt;=1,
 IF(O741&lt;&gt;"",
    (O741/_xlfn.XLOOKUP(CONCATENATE(A741,L741),[1]MÁQUINAS!A:A,[1]MÁQUINAS!D:D))/24,
    (N741/_xlfn.XLOOKUP(CONCATENATE(A741,L741),[1]MÁQUINAS!A:A,[1]MÁQUINAS!D:D))/24),
  _xlfn.XLOOKUP($A741,'[1]DATOS PBI Artículos'!A:A,'[1]DATOS PBI Artículos'!AU:AU))</f>
        <v>0</v>
      </c>
      <c r="K741" s="36">
        <f>_xlfn.XLOOKUP($A741,'[1]DATOS PBI Artículos'!A:A,'[1]DATOS PBI Artículos'!AV:AV)</f>
        <v>0</v>
      </c>
      <c r="L741" s="33">
        <f>_xlfn.XLOOKUP(A741,[1]MÁQUINAS!B:B,[1]MÁQUINAS!C:C)</f>
        <v>0</v>
      </c>
      <c r="M741" s="34">
        <f t="array" ref="M741">_xlfn.XLOOKUP(A741,'[1]DATOS PBI Artículos'!A:A,'[1]DATOS PBI Artículos'!AX:$AX)</f>
        <v>0</v>
      </c>
      <c r="N741" s="37" t="e">
        <f>IF(I741="DV",
E741,
IF(COUNTIF([1]CRITERIOS!$I$179:$I$199,$A741)&gt;=1,
_xlfn.XLOOKUP($A741,[1]CRITERIOS!$I$179:$I$199,[1]CRITERIOS!$J$179:$J$199),
IF(COUNTIF([1]CRITERIOS!$L$179:$L$199,$A741)&gt;=1,
_xlfn.CEILING.MATH(IF($M741&gt;$E741,
$E741,
IF($M741&lt;$E741/ROUNDDOWN([1]CRITERIOS!$M$16/_xlfn.XLOOKUP($C741,[1]CRITERIOS!$K$25:$K$42,[1]CRITERIOS!$M$25:$M$42),
1),
E741/ROUNDDOWN([1]CRITERIOS!$M$16/_xlfn.XLOOKUP($C741,[1]CRITERIOS!$K$25:$K$42,[1]CRITERIOS!$M$25:$M$42),
1),
$M741)),
_xlfn.XLOOKUP($A741,[1]CRITERIOS!$L$179:$L$200,[1]CRITERIOS!$M$179:$M$200)),
_xlfn.CEILING.MATH(IF($M741&gt;$E741,
$E741,
IF($M741&lt;$E741/ROUNDDOWN([1]CRITERIOS!$M$16/_xlfn.XLOOKUP($C741,[1]CRITERIOS!$K$25:$K$42,[1]CRITERIOS!$M$25:$M$42),
1),
E741/ROUNDDOWN([1]CRITERIOS!$M$16/_xlfn.XLOOKUP($C741,[1]CRITERIOS!$K$25:$K$42,[1]CRITERIOS!$M$25:$M$42),
1),
$M741)),_xlfn.XLOOKUP(A741,'[1]DATOS PBI Artículos'!A:A,'[1]DATOS PBI Artículos'!Z:Z
)))))</f>
        <v>#N/A</v>
      </c>
      <c r="Q741" s="38" t="e">
        <f>IF(AND(O741="",N741=0),
0,
   IF(COUNTIF([1]CRITERIOS!$F$179:$F$199,$A741)&gt;=1,
   1,
   IF(R741="MTO",
      $D741,
      ROUNDUP(
                    IF(($E741-SUMIF('[1]DATOS PBI Artículos'!A:A,A741,'[1]DATOS PBI Artículos'!X:X)+($V741-_xlfn.XLOOKUP(A741,'[1]DATOS PBI Artículos'!A:A,'[1]DATOS PBI Artículos'!W:W)))&lt;0,
                    0,
                    IF(($E741-SUMIF('[1]DATOS PBI Artículos'!A:A,A741,'[1]DATOS PBI Artículos'!X:X)+$V741-_xlfn.XLOOKUP($A741,'[1]DATOS PBI Artículos'!A:A,'[1]DATOS PBI Artículos'!W:W))/IF($O741="",$N741,$O741)&gt;ROUNDUP([1]CRITERIOS!$M$16/(IF(COUNTIF([1]CRITERIOS!$BG$11:$BG$201,L741)&gt;=1,_xlfn.XLOOKUP($C741,[1]CRITERIOS!$K$25:$K$42,[1]CRITERIOS!$M$25:$M$42),_xlfn.XLOOKUP($C741,[1]CRITERIOS!$K$25:$K$42,[1]CRITERIOS!$M$25:$M$42))),0),
                    ROUNDUP([1]CRITERIOS!$M$16/(IF(COUNTIF([1]CRITERIOS!$BG$11:$BG$201,$L741)&gt;=1,_xlfn.XLOOKUP($C741,[1]CRITERIOS!$K$25:$K$42,[1]CRITERIOS!$M$25:$M$42),_xlfn.XLOOKUP($C741,[1]CRITERIOS!$K$25:$K$42,[1]CRITERIOS!$M$25:$M$42))),0),
                    (E741+V741-SUMIF('[1]DATOS PBI Artículos'!A:A,A741,'[1]DATOS PBI Artículos'!X:X)-_xlfn.XLOOKUP(A741,'[1]DATOS PBI Artículos'!A:A,'[1]DATOS PBI Artículos'!W:W))/IF($O741="",$N741,$O741))),0))))</f>
        <v>#N/A</v>
      </c>
      <c r="R741" s="33" t="e">
        <f>IF(U741&lt;&gt;"",U741,IF(F741="DV","MTO",IF(N741=0,"MTO",_xlfn.XLOOKUP(CONCATENATE(S741,T741),[1]CRITERIOS!$K$160:$K$168,[1]CRITERIOS!$N$160:$N$168))))</f>
        <v>#N/A</v>
      </c>
      <c r="S741" s="33" t="e">
        <f>IF(G741="DV","MTO",IF(N741=0,"MTO",IF(OR(AND(N741=0,O741=""),IF(O741="",G741/N741,G741/O741)&gt;[1]CRITERIOS!$G$163),"MTO",IF(IF(O741="",G741/N741,G741/O741)&lt;[1]CRITERIOS!$H$161,"MTS","MTOS"))))</f>
        <v>#N/A</v>
      </c>
      <c r="T741" s="33" t="e">
        <f>IF(F741="DV","MTO",IF(OR(AND($N741=0,O741=""),$F741/$J741&gt;[1]CRITERIOS!$G$170,$F741="DV"),"MTO",IF($F741/$J741&lt;[1]CRITERIOS!$H$168,"MTS","MTOS")))</f>
        <v>#N/A</v>
      </c>
      <c r="V741" s="34" t="e">
        <f t="shared" si="37"/>
        <v>#N/A</v>
      </c>
      <c r="X741" s="34" t="e">
        <f t="shared" si="35"/>
        <v>#N/A</v>
      </c>
      <c r="Y741" s="34" t="e">
        <f t="shared" si="36"/>
        <v>#N/A</v>
      </c>
      <c r="Z741" s="34" t="e">
        <f>IF($R741="MTO",
0,
($H741+$K741*($E741/[1]CRITERIOS!$M$16))/[1]CRITERIOS!$X$48)</f>
        <v>#N/A</v>
      </c>
      <c r="AA741" s="34" t="e">
        <f>ROUNDUP(($Y741/_xlfn.XLOOKUP($A741,'[1]DATOS PBI Artículos'!$A$4:$A$4,'[1]DATOS PBI Artículos'!$Z$4:$Z$4))/_xlfn.XLOOKUP(_xlfn.XLOOKUP($A741,'[1]DATOS PBI Artículos'!$A$4:$A$4,'[1]DATOS PBI Artículos'!$Y$4:$Y$4),[1]CRITERIOS!$P$79:$P$123,[1]CRITERIOS!$S$79:$S$123,),0)</f>
        <v>#N/A</v>
      </c>
      <c r="AC741" s="33" t="e">
        <f>IF(N741=0,"",(ROUNDUP((N741/2)/(_xlfn.XLOOKUP(A741,'[1]DATOS PBI Artículos'!$A$4:$A$4,'[1]DATOS PBI Artículos'!$Z$4:$Z$4)*_xlfn.XLOOKUP(_xlfn.XLOOKUP(A741,'[1]DATOS PBI Artículos'!$A$4:$A$4,'[1]DATOS PBI Artículos'!$Y$4:$Y$4),[1]CRITERIOS!$P$79:$P$123,[1]CRITERIOS!$S$79:$S$123)),0)*[1]CRITERIOS!$M$80*([1]CRITERIOS!$M$110/[1]CRITERIOS!$M$86)+(_xlfn.XLOOKUP(A741,'[1]DATOS PBI Artículos'!$A$4:$A$4,'[1]DATOS PBI Artículos'!$AA$4:$AA$4)*([1]CRITERIOS!$M$95+[1]CRITERIOS!$M$98)))/N741)</f>
        <v>#N/A</v>
      </c>
      <c r="AD741" s="33" t="e">
        <f>IF(N741=0,"",(ROUNDUP((N741/2)/(_xlfn.XLOOKUP(A741,'[1]DATOS PBI Artículos'!$A$4:$A$4,'[1]DATOS PBI Artículos'!$Z$4:$Z$4)*_xlfn.XLOOKUP(_xlfn.XLOOKUP(A741,'[1]DATOS PBI Artículos'!$A$4:$A$4,'[1]DATOS PBI Artículos'!$Y$4:$Y$4),[1]CRITERIOS!$P$79:$P$123,[1]CRITERIOS!$S$79:$S$123)),0)*[1]CRITERIOS!$M$80*([1]CRITERIOS!$M$89*[1]CRITERIOS!$M$92)+((_xlfn.XLOOKUP(A741,'[1]DATOS PBI Artículos'!$A$4:$A$4,'[1]DATOS PBI Artículos'!$AA$4:$AA$4)/2)*([1]CRITERIOS!$M$95+[1]CRITERIOS!$M$98)))/N741)</f>
        <v>#N/A</v>
      </c>
      <c r="AE741" s="39" t="e">
        <f>IF($R741="MTO","",
IF($H741=0,ROUNDUP(((_xlfn.XLOOKUP($A741,'[1]DATOS PBI Artículos'!$A:$A,'[1]DATOS PBI Artículos'!$AL:$AL))/(_xlfn.XLOOKUP($AF$1,[1]CRITERIOS!$S$16:$S$39,[1]CRITERIOS!$Y$16:$Y$39))*$J741+$Z741)/$G741,0)*$G741,
((_xlfn.XLOOKUP($A741,'[1]DATOS PBI Artículos'!$A:$A,'[1]DATOS PBI Artículos'!$AL:$AL))/(_xlfn.XLOOKUP($AF$1,[1]CRITERIOS!$S$16:$S$39,[1]CRITERIOS!$Y$16:$Y$39))*$J741+$Z741)))</f>
        <v>#N/A</v>
      </c>
      <c r="AG741" s="39" t="e">
        <f>IF($R741="MTO","",
IF($H741=0,ROUNDUP(((_xlfn.XLOOKUP($A741,'[1]DATOS PBI Artículos'!$A:$A,'[1]DATOS PBI Artículos'!$AM:$AM))/(_xlfn.XLOOKUP($AH$1,[1]CRITERIOS!$S$16:$S$39,[1]CRITERIOS!$Y$16:$Y$39))*$J741+$Z741)/$G741,0)*$G741,
((_xlfn.XLOOKUP($A741,'[1]DATOS PBI Artículos'!$A:$A,'[1]DATOS PBI Artículos'!$AM:$AM))/(_xlfn.XLOOKUP($AH$1,[1]CRITERIOS!$S$16:$S$39,[1]CRITERIOS!$Y$16:$Y$39))*$J741+$Z741)))</f>
        <v>#N/A</v>
      </c>
      <c r="AI741" s="39" t="e">
        <f>IF($R741="MTO","",
IF($H741=0,ROUNDUP(((_xlfn.XLOOKUP($A741,'[1]DATOS PBI Artículos'!$A:$A,'[1]DATOS PBI Artículos'!$AN:$AN))/(_xlfn.XLOOKUP($AJ$1,[1]CRITERIOS!$S$16:$S$39,[1]CRITERIOS!$Y$16:$Y$39))*$J741+$Z741)/$G741,0)*$G741,
((_xlfn.XLOOKUP($A741,'[1]DATOS PBI Artículos'!$A:$A,'[1]DATOS PBI Artículos'!$AN:$AN))/(_xlfn.XLOOKUP($AJ$1,[1]CRITERIOS!$S$16:$S$39,[1]CRITERIOS!$Y$16:$Y$39))*$J741+$Z741)))</f>
        <v>#N/A</v>
      </c>
      <c r="AK741" s="39" t="e">
        <f>IF($R741="MTO","",
IF($H741=0,ROUNDUP(((_xlfn.XLOOKUP($A741,'[1]DATOS PBI Artículos'!$A:$A,'[1]DATOS PBI Artículos'!$AO:$AO))/(_xlfn.XLOOKUP($AL$1,[1]CRITERIOS!$S$16:$S$39,[1]CRITERIOS!$Y$16:$Y$39))*$J741+$Z741)/$G741,0)*$G741,
((_xlfn.XLOOKUP($A741,'[1]DATOS PBI Artículos'!$A:$A,'[1]DATOS PBI Artículos'!$AO:$AO))/(_xlfn.XLOOKUP($AL$1,[1]CRITERIOS!$S$16:$S$39,[1]CRITERIOS!$Y$16:$Y$39))*$J741+$Z741)))</f>
        <v>#N/A</v>
      </c>
    </row>
    <row r="742" spans="1:37" ht="25.8" hidden="1" x14ac:dyDescent="0.4">
      <c r="A742" s="41"/>
      <c r="B742" s="33">
        <f>_xlfn.XLOOKUP($A742,'[1]DATOS PBI Artículos'!A:A,'[1]DATOS PBI Artículos'!B:B)</f>
        <v>0</v>
      </c>
      <c r="C742" s="33">
        <f>_xlfn.XLOOKUP($A742,'[1]DATOS PBI Artículos'!A:A,'[1]DATOS PBI Artículos'!C:C)</f>
        <v>0</v>
      </c>
      <c r="D742" s="33">
        <f>_xlfn.XLOOKUP(A742,'[1]DATOS PBI Artículos'!A:A,'[1]DATOS PBI Artículos'!T:T)</f>
        <v>0</v>
      </c>
      <c r="E742" s="34">
        <f>IF(_xlfn.XLOOKUP($A742,'[1]DATOS PBI Artículos'!A:A,'[1]DATOS PBI Artículos'!AK:AK)="",_xlfn.XLOOKUP($A742,'[1]DATOS PBI Artículos'!A:A,'[1]DATOS PBI Artículos'!AJ:AJ),_xlfn.XLOOKUP($A742,'[1]DATOS PBI Artículos'!A:A,'[1]DATOS PBI Artículos'!AK:AK))</f>
        <v>0</v>
      </c>
      <c r="F742" s="35">
        <f>_xlfn.XLOOKUP($A742,'[1]DATOS PBI Artículos'!A:A,'[1]DATOS PBI Artículos'!AP:AP)</f>
        <v>0</v>
      </c>
      <c r="G742" s="34">
        <f>_xlfn.XLOOKUP($A742,'[1]DATOS PBI Artículos'!A:A,'[1]DATOS PBI Artículos'!AR:AR)</f>
        <v>0</v>
      </c>
      <c r="H742" s="34">
        <f>_xlfn.XLOOKUP($A742,'[1]DATOS PBI Artículos'!A:A,'[1]DATOS PBI Artículos'!AT:AT)</f>
        <v>0</v>
      </c>
      <c r="I742" s="34">
        <f>_xlfn.XLOOKUP($A742,'[1]DATOS PBI Artículos'!A:A,'[1]DATOS PBI Artículos'!AS:AS)</f>
        <v>0</v>
      </c>
      <c r="J742" s="35">
        <f>IF(COUNTIF([1]CRITERIOS!$F$179:$F$199,$A742)&gt;=1,
 IF(O742&lt;&gt;"",
    (O742/_xlfn.XLOOKUP(CONCATENATE(A742,L742),[1]MÁQUINAS!A:A,[1]MÁQUINAS!D:D))/24,
    (N742/_xlfn.XLOOKUP(CONCATENATE(A742,L742),[1]MÁQUINAS!A:A,[1]MÁQUINAS!D:D))/24),
  _xlfn.XLOOKUP($A742,'[1]DATOS PBI Artículos'!A:A,'[1]DATOS PBI Artículos'!AU:AU))</f>
        <v>0</v>
      </c>
      <c r="K742" s="36">
        <f>_xlfn.XLOOKUP($A742,'[1]DATOS PBI Artículos'!A:A,'[1]DATOS PBI Artículos'!AV:AV)</f>
        <v>0</v>
      </c>
      <c r="L742" s="33">
        <f>_xlfn.XLOOKUP(A742,[1]MÁQUINAS!B:B,[1]MÁQUINAS!C:C)</f>
        <v>0</v>
      </c>
      <c r="M742" s="34">
        <f t="array" ref="M742">_xlfn.XLOOKUP(A742,'[1]DATOS PBI Artículos'!A:A,'[1]DATOS PBI Artículos'!AX:$AX)</f>
        <v>0</v>
      </c>
      <c r="N742" s="37" t="e">
        <f>IF(I742="DV",
E742,
IF(COUNTIF([1]CRITERIOS!$I$179:$I$199,$A742)&gt;=1,
_xlfn.XLOOKUP($A742,[1]CRITERIOS!$I$179:$I$199,[1]CRITERIOS!$J$179:$J$199),
IF(COUNTIF([1]CRITERIOS!$L$179:$L$199,$A742)&gt;=1,
_xlfn.CEILING.MATH(IF($M742&gt;$E742,
$E742,
IF($M742&lt;$E742/ROUNDDOWN([1]CRITERIOS!$M$16/_xlfn.XLOOKUP($C742,[1]CRITERIOS!$K$25:$K$42,[1]CRITERIOS!$M$25:$M$42),
1),
E742/ROUNDDOWN([1]CRITERIOS!$M$16/_xlfn.XLOOKUP($C742,[1]CRITERIOS!$K$25:$K$42,[1]CRITERIOS!$M$25:$M$42),
1),
$M742)),
_xlfn.XLOOKUP($A742,[1]CRITERIOS!$L$179:$L$200,[1]CRITERIOS!$M$179:$M$200)),
_xlfn.CEILING.MATH(IF($M742&gt;$E742,
$E742,
IF($M742&lt;$E742/ROUNDDOWN([1]CRITERIOS!$M$16/_xlfn.XLOOKUP($C742,[1]CRITERIOS!$K$25:$K$42,[1]CRITERIOS!$M$25:$M$42),
1),
E742/ROUNDDOWN([1]CRITERIOS!$M$16/_xlfn.XLOOKUP($C742,[1]CRITERIOS!$K$25:$K$42,[1]CRITERIOS!$M$25:$M$42),
1),
$M742)),_xlfn.XLOOKUP(A742,'[1]DATOS PBI Artículos'!A:A,'[1]DATOS PBI Artículos'!Z:Z
)))))</f>
        <v>#N/A</v>
      </c>
      <c r="Q742" s="38" t="e">
        <f>IF(AND(O742="",N742=0),
0,
   IF(COUNTIF([1]CRITERIOS!$F$179:$F$199,$A742)&gt;=1,
   1,
   IF(R742="MTO",
      $D742,
      ROUNDUP(
                    IF(($E742-SUMIF('[1]DATOS PBI Artículos'!A:A,A742,'[1]DATOS PBI Artículos'!X:X)+($V742-_xlfn.XLOOKUP(A742,'[1]DATOS PBI Artículos'!A:A,'[1]DATOS PBI Artículos'!W:W)))&lt;0,
                    0,
                    IF(($E742-SUMIF('[1]DATOS PBI Artículos'!A:A,A742,'[1]DATOS PBI Artículos'!X:X)+$V742-_xlfn.XLOOKUP($A742,'[1]DATOS PBI Artículos'!A:A,'[1]DATOS PBI Artículos'!W:W))/IF($O742="",$N742,$O742)&gt;ROUNDUP([1]CRITERIOS!$M$16/(IF(COUNTIF([1]CRITERIOS!$BG$11:$BG$201,L742)&gt;=1,_xlfn.XLOOKUP($C742,[1]CRITERIOS!$K$25:$K$42,[1]CRITERIOS!$M$25:$M$42),_xlfn.XLOOKUP($C742,[1]CRITERIOS!$K$25:$K$42,[1]CRITERIOS!$M$25:$M$42))),0),
                    ROUNDUP([1]CRITERIOS!$M$16/(IF(COUNTIF([1]CRITERIOS!$BG$11:$BG$201,$L742)&gt;=1,_xlfn.XLOOKUP($C742,[1]CRITERIOS!$K$25:$K$42,[1]CRITERIOS!$M$25:$M$42),_xlfn.XLOOKUP($C742,[1]CRITERIOS!$K$25:$K$42,[1]CRITERIOS!$M$25:$M$42))),0),
                    (E742+V742-SUMIF('[1]DATOS PBI Artículos'!A:A,A742,'[1]DATOS PBI Artículos'!X:X)-_xlfn.XLOOKUP(A742,'[1]DATOS PBI Artículos'!A:A,'[1]DATOS PBI Artículos'!W:W))/IF($O742="",$N742,$O742))),0))))</f>
        <v>#N/A</v>
      </c>
      <c r="R742" s="33" t="e">
        <f>IF(U742&lt;&gt;"",U742,IF(F742="DV","MTO",IF(N742=0,"MTO",_xlfn.XLOOKUP(CONCATENATE(S742,T742),[1]CRITERIOS!$K$160:$K$168,[1]CRITERIOS!$N$160:$N$168))))</f>
        <v>#N/A</v>
      </c>
      <c r="S742" s="33" t="e">
        <f>IF(G742="DV","MTO",IF(N742=0,"MTO",IF(OR(AND(N742=0,O742=""),IF(O742="",G742/N742,G742/O742)&gt;[1]CRITERIOS!$G$163),"MTO",IF(IF(O742="",G742/N742,G742/O742)&lt;[1]CRITERIOS!$H$161,"MTS","MTOS"))))</f>
        <v>#N/A</v>
      </c>
      <c r="T742" s="33" t="e">
        <f>IF(F742="DV","MTO",IF(OR(AND($N742=0,O742=""),$F742/$J742&gt;[1]CRITERIOS!$G$170,$F742="DV"),"MTO",IF($F742/$J742&lt;[1]CRITERIOS!$H$168,"MTS","MTOS")))</f>
        <v>#N/A</v>
      </c>
      <c r="V742" s="34" t="e">
        <f t="shared" si="37"/>
        <v>#N/A</v>
      </c>
      <c r="X742" s="34" t="e">
        <f t="shared" si="35"/>
        <v>#N/A</v>
      </c>
      <c r="Y742" s="34" t="e">
        <f t="shared" si="36"/>
        <v>#N/A</v>
      </c>
      <c r="Z742" s="34" t="e">
        <f>IF($R742="MTO",
0,
($H742+$K742*($E742/[1]CRITERIOS!$M$16))/[1]CRITERIOS!$X$48)</f>
        <v>#N/A</v>
      </c>
      <c r="AA742" s="34" t="e">
        <f>ROUNDUP(($Y742/_xlfn.XLOOKUP($A742,'[1]DATOS PBI Artículos'!$A$4:$A$4,'[1]DATOS PBI Artículos'!$Z$4:$Z$4))/_xlfn.XLOOKUP(_xlfn.XLOOKUP($A742,'[1]DATOS PBI Artículos'!$A$4:$A$4,'[1]DATOS PBI Artículos'!$Y$4:$Y$4),[1]CRITERIOS!$P$79:$P$123,[1]CRITERIOS!$S$79:$S$123,),0)</f>
        <v>#N/A</v>
      </c>
      <c r="AC742" s="33" t="e">
        <f>IF(N742=0,"",(ROUNDUP((N742/2)/(_xlfn.XLOOKUP(A742,'[1]DATOS PBI Artículos'!$A$4:$A$4,'[1]DATOS PBI Artículos'!$Z$4:$Z$4)*_xlfn.XLOOKUP(_xlfn.XLOOKUP(A742,'[1]DATOS PBI Artículos'!$A$4:$A$4,'[1]DATOS PBI Artículos'!$Y$4:$Y$4),[1]CRITERIOS!$P$79:$P$123,[1]CRITERIOS!$S$79:$S$123)),0)*[1]CRITERIOS!$M$80*([1]CRITERIOS!$M$110/[1]CRITERIOS!$M$86)+(_xlfn.XLOOKUP(A742,'[1]DATOS PBI Artículos'!$A$4:$A$4,'[1]DATOS PBI Artículos'!$AA$4:$AA$4)*([1]CRITERIOS!$M$95+[1]CRITERIOS!$M$98)))/N742)</f>
        <v>#N/A</v>
      </c>
      <c r="AD742" s="33" t="e">
        <f>IF(N742=0,"",(ROUNDUP((N742/2)/(_xlfn.XLOOKUP(A742,'[1]DATOS PBI Artículos'!$A$4:$A$4,'[1]DATOS PBI Artículos'!$Z$4:$Z$4)*_xlfn.XLOOKUP(_xlfn.XLOOKUP(A742,'[1]DATOS PBI Artículos'!$A$4:$A$4,'[1]DATOS PBI Artículos'!$Y$4:$Y$4),[1]CRITERIOS!$P$79:$P$123,[1]CRITERIOS!$S$79:$S$123)),0)*[1]CRITERIOS!$M$80*([1]CRITERIOS!$M$89*[1]CRITERIOS!$M$92)+((_xlfn.XLOOKUP(A742,'[1]DATOS PBI Artículos'!$A$4:$A$4,'[1]DATOS PBI Artículos'!$AA$4:$AA$4)/2)*([1]CRITERIOS!$M$95+[1]CRITERIOS!$M$98)))/N742)</f>
        <v>#N/A</v>
      </c>
      <c r="AE742" s="39" t="e">
        <f>IF($R742="MTO","",
IF($H742=0,ROUNDUP(((_xlfn.XLOOKUP($A742,'[1]DATOS PBI Artículos'!$A:$A,'[1]DATOS PBI Artículos'!$AL:$AL))/(_xlfn.XLOOKUP($AF$1,[1]CRITERIOS!$S$16:$S$39,[1]CRITERIOS!$Y$16:$Y$39))*$J742+$Z742)/$G742,0)*$G742,
((_xlfn.XLOOKUP($A742,'[1]DATOS PBI Artículos'!$A:$A,'[1]DATOS PBI Artículos'!$AL:$AL))/(_xlfn.XLOOKUP($AF$1,[1]CRITERIOS!$S$16:$S$39,[1]CRITERIOS!$Y$16:$Y$39))*$J742+$Z742)))</f>
        <v>#N/A</v>
      </c>
      <c r="AG742" s="39" t="e">
        <f>IF($R742="MTO","",
IF($H742=0,ROUNDUP(((_xlfn.XLOOKUP($A742,'[1]DATOS PBI Artículos'!$A:$A,'[1]DATOS PBI Artículos'!$AM:$AM))/(_xlfn.XLOOKUP($AH$1,[1]CRITERIOS!$S$16:$S$39,[1]CRITERIOS!$Y$16:$Y$39))*$J742+$Z742)/$G742,0)*$G742,
((_xlfn.XLOOKUP($A742,'[1]DATOS PBI Artículos'!$A:$A,'[1]DATOS PBI Artículos'!$AM:$AM))/(_xlfn.XLOOKUP($AH$1,[1]CRITERIOS!$S$16:$S$39,[1]CRITERIOS!$Y$16:$Y$39))*$J742+$Z742)))</f>
        <v>#N/A</v>
      </c>
      <c r="AI742" s="39" t="e">
        <f>IF($R742="MTO","",
IF($H742=0,ROUNDUP(((_xlfn.XLOOKUP($A742,'[1]DATOS PBI Artículos'!$A:$A,'[1]DATOS PBI Artículos'!$AN:$AN))/(_xlfn.XLOOKUP($AJ$1,[1]CRITERIOS!$S$16:$S$39,[1]CRITERIOS!$Y$16:$Y$39))*$J742+$Z742)/$G742,0)*$G742,
((_xlfn.XLOOKUP($A742,'[1]DATOS PBI Artículos'!$A:$A,'[1]DATOS PBI Artículos'!$AN:$AN))/(_xlfn.XLOOKUP($AJ$1,[1]CRITERIOS!$S$16:$S$39,[1]CRITERIOS!$Y$16:$Y$39))*$J742+$Z742)))</f>
        <v>#N/A</v>
      </c>
      <c r="AK742" s="39" t="e">
        <f>IF($R742="MTO","",
IF($H742=0,ROUNDUP(((_xlfn.XLOOKUP($A742,'[1]DATOS PBI Artículos'!$A:$A,'[1]DATOS PBI Artículos'!$AO:$AO))/(_xlfn.XLOOKUP($AL$1,[1]CRITERIOS!$S$16:$S$39,[1]CRITERIOS!$Y$16:$Y$39))*$J742+$Z742)/$G742,0)*$G742,
((_xlfn.XLOOKUP($A742,'[1]DATOS PBI Artículos'!$A:$A,'[1]DATOS PBI Artículos'!$AO:$AO))/(_xlfn.XLOOKUP($AL$1,[1]CRITERIOS!$S$16:$S$39,[1]CRITERIOS!$Y$16:$Y$39))*$J742+$Z742)))</f>
        <v>#N/A</v>
      </c>
    </row>
    <row r="743" spans="1:37" ht="25.8" hidden="1" x14ac:dyDescent="0.4">
      <c r="A743" s="41"/>
      <c r="B743" s="33">
        <f>_xlfn.XLOOKUP($A743,'[1]DATOS PBI Artículos'!A:A,'[1]DATOS PBI Artículos'!B:B)</f>
        <v>0</v>
      </c>
      <c r="C743" s="33">
        <f>_xlfn.XLOOKUP($A743,'[1]DATOS PBI Artículos'!A:A,'[1]DATOS PBI Artículos'!C:C)</f>
        <v>0</v>
      </c>
      <c r="D743" s="33">
        <f>_xlfn.XLOOKUP(A743,'[1]DATOS PBI Artículos'!A:A,'[1]DATOS PBI Artículos'!T:T)</f>
        <v>0</v>
      </c>
      <c r="E743" s="34">
        <f>IF(_xlfn.XLOOKUP($A743,'[1]DATOS PBI Artículos'!A:A,'[1]DATOS PBI Artículos'!AK:AK)="",_xlfn.XLOOKUP($A743,'[1]DATOS PBI Artículos'!A:A,'[1]DATOS PBI Artículos'!AJ:AJ),_xlfn.XLOOKUP($A743,'[1]DATOS PBI Artículos'!A:A,'[1]DATOS PBI Artículos'!AK:AK))</f>
        <v>0</v>
      </c>
      <c r="F743" s="35">
        <f>_xlfn.XLOOKUP($A743,'[1]DATOS PBI Artículos'!A:A,'[1]DATOS PBI Artículos'!AP:AP)</f>
        <v>0</v>
      </c>
      <c r="G743" s="34">
        <f>_xlfn.XLOOKUP($A743,'[1]DATOS PBI Artículos'!A:A,'[1]DATOS PBI Artículos'!AR:AR)</f>
        <v>0</v>
      </c>
      <c r="H743" s="34">
        <f>_xlfn.XLOOKUP($A743,'[1]DATOS PBI Artículos'!A:A,'[1]DATOS PBI Artículos'!AT:AT)</f>
        <v>0</v>
      </c>
      <c r="I743" s="34">
        <f>_xlfn.XLOOKUP($A743,'[1]DATOS PBI Artículos'!A:A,'[1]DATOS PBI Artículos'!AS:AS)</f>
        <v>0</v>
      </c>
      <c r="J743" s="35">
        <f>IF(COUNTIF([1]CRITERIOS!$F$179:$F$199,$A743)&gt;=1,
 IF(O743&lt;&gt;"",
    (O743/_xlfn.XLOOKUP(CONCATENATE(A743,L743),[1]MÁQUINAS!A:A,[1]MÁQUINAS!D:D))/24,
    (N743/_xlfn.XLOOKUP(CONCATENATE(A743,L743),[1]MÁQUINAS!A:A,[1]MÁQUINAS!D:D))/24),
  _xlfn.XLOOKUP($A743,'[1]DATOS PBI Artículos'!A:A,'[1]DATOS PBI Artículos'!AU:AU))</f>
        <v>0</v>
      </c>
      <c r="K743" s="36">
        <f>_xlfn.XLOOKUP($A743,'[1]DATOS PBI Artículos'!A:A,'[1]DATOS PBI Artículos'!AV:AV)</f>
        <v>0</v>
      </c>
      <c r="L743" s="33">
        <f>_xlfn.XLOOKUP(A743,[1]MÁQUINAS!B:B,[1]MÁQUINAS!C:C)</f>
        <v>0</v>
      </c>
      <c r="M743" s="34">
        <f t="array" ref="M743">_xlfn.XLOOKUP(A743,'[1]DATOS PBI Artículos'!A:A,'[1]DATOS PBI Artículos'!AX:$AX)</f>
        <v>0</v>
      </c>
      <c r="N743" s="37" t="e">
        <f>IF(I743="DV",
E743,
IF(COUNTIF([1]CRITERIOS!$I$179:$I$199,$A743)&gt;=1,
_xlfn.XLOOKUP($A743,[1]CRITERIOS!$I$179:$I$199,[1]CRITERIOS!$J$179:$J$199),
IF(COUNTIF([1]CRITERIOS!$L$179:$L$199,$A743)&gt;=1,
_xlfn.CEILING.MATH(IF($M743&gt;$E743,
$E743,
IF($M743&lt;$E743/ROUNDDOWN([1]CRITERIOS!$M$16/_xlfn.XLOOKUP($C743,[1]CRITERIOS!$K$25:$K$42,[1]CRITERIOS!$M$25:$M$42),
1),
E743/ROUNDDOWN([1]CRITERIOS!$M$16/_xlfn.XLOOKUP($C743,[1]CRITERIOS!$K$25:$K$42,[1]CRITERIOS!$M$25:$M$42),
1),
$M743)),
_xlfn.XLOOKUP($A743,[1]CRITERIOS!$L$179:$L$200,[1]CRITERIOS!$M$179:$M$200)),
_xlfn.CEILING.MATH(IF($M743&gt;$E743,
$E743,
IF($M743&lt;$E743/ROUNDDOWN([1]CRITERIOS!$M$16/_xlfn.XLOOKUP($C743,[1]CRITERIOS!$K$25:$K$42,[1]CRITERIOS!$M$25:$M$42),
1),
E743/ROUNDDOWN([1]CRITERIOS!$M$16/_xlfn.XLOOKUP($C743,[1]CRITERIOS!$K$25:$K$42,[1]CRITERIOS!$M$25:$M$42),
1),
$M743)),_xlfn.XLOOKUP(A743,'[1]DATOS PBI Artículos'!A:A,'[1]DATOS PBI Artículos'!Z:Z
)))))</f>
        <v>#N/A</v>
      </c>
      <c r="Q743" s="38" t="e">
        <f>IF(AND(O743="",N743=0),
0,
   IF(COUNTIF([1]CRITERIOS!$F$179:$F$199,$A743)&gt;=1,
   1,
   IF(R743="MTO",
      $D743,
      ROUNDUP(
                    IF(($E743-SUMIF('[1]DATOS PBI Artículos'!A:A,A743,'[1]DATOS PBI Artículos'!X:X)+($V743-_xlfn.XLOOKUP(A743,'[1]DATOS PBI Artículos'!A:A,'[1]DATOS PBI Artículos'!W:W)))&lt;0,
                    0,
                    IF(($E743-SUMIF('[1]DATOS PBI Artículos'!A:A,A743,'[1]DATOS PBI Artículos'!X:X)+$V743-_xlfn.XLOOKUP($A743,'[1]DATOS PBI Artículos'!A:A,'[1]DATOS PBI Artículos'!W:W))/IF($O743="",$N743,$O743)&gt;ROUNDUP([1]CRITERIOS!$M$16/(IF(COUNTIF([1]CRITERIOS!$BG$11:$BG$201,L743)&gt;=1,_xlfn.XLOOKUP($C743,[1]CRITERIOS!$K$25:$K$42,[1]CRITERIOS!$M$25:$M$42),_xlfn.XLOOKUP($C743,[1]CRITERIOS!$K$25:$K$42,[1]CRITERIOS!$M$25:$M$42))),0),
                    ROUNDUP([1]CRITERIOS!$M$16/(IF(COUNTIF([1]CRITERIOS!$BG$11:$BG$201,$L743)&gt;=1,_xlfn.XLOOKUP($C743,[1]CRITERIOS!$K$25:$K$42,[1]CRITERIOS!$M$25:$M$42),_xlfn.XLOOKUP($C743,[1]CRITERIOS!$K$25:$K$42,[1]CRITERIOS!$M$25:$M$42))),0),
                    (E743+V743-SUMIF('[1]DATOS PBI Artículos'!A:A,A743,'[1]DATOS PBI Artículos'!X:X)-_xlfn.XLOOKUP(A743,'[1]DATOS PBI Artículos'!A:A,'[1]DATOS PBI Artículos'!W:W))/IF($O743="",$N743,$O743))),0))))</f>
        <v>#N/A</v>
      </c>
      <c r="R743" s="33" t="e">
        <f>IF(U743&lt;&gt;"",U743,IF(F743="DV","MTO",IF(N743=0,"MTO",_xlfn.XLOOKUP(CONCATENATE(S743,T743),[1]CRITERIOS!$K$160:$K$168,[1]CRITERIOS!$N$160:$N$168))))</f>
        <v>#N/A</v>
      </c>
      <c r="S743" s="33" t="e">
        <f>IF(G743="DV","MTO",IF(N743=0,"MTO",IF(OR(AND(N743=0,O743=""),IF(O743="",G743/N743,G743/O743)&gt;[1]CRITERIOS!$G$163),"MTO",IF(IF(O743="",G743/N743,G743/O743)&lt;[1]CRITERIOS!$H$161,"MTS","MTOS"))))</f>
        <v>#N/A</v>
      </c>
      <c r="T743" s="33" t="e">
        <f>IF(F743="DV","MTO",IF(OR(AND($N743=0,O743=""),$F743/$J743&gt;[1]CRITERIOS!$G$170,$F743="DV"),"MTO",IF($F743/$J743&lt;[1]CRITERIOS!$H$168,"MTS","MTOS")))</f>
        <v>#N/A</v>
      </c>
      <c r="V743" s="34" t="e">
        <f t="shared" si="37"/>
        <v>#N/A</v>
      </c>
      <c r="X743" s="34" t="e">
        <f t="shared" si="35"/>
        <v>#N/A</v>
      </c>
      <c r="Y743" s="34" t="e">
        <f t="shared" si="36"/>
        <v>#N/A</v>
      </c>
      <c r="Z743" s="34" t="e">
        <f>IF($R743="MTO",
0,
($H743+$K743*($E743/[1]CRITERIOS!$M$16))/[1]CRITERIOS!$X$48)</f>
        <v>#N/A</v>
      </c>
      <c r="AA743" s="34" t="e">
        <f>ROUNDUP(($Y743/_xlfn.XLOOKUP($A743,'[1]DATOS PBI Artículos'!$A$4:$A$4,'[1]DATOS PBI Artículos'!$Z$4:$Z$4))/_xlfn.XLOOKUP(_xlfn.XLOOKUP($A743,'[1]DATOS PBI Artículos'!$A$4:$A$4,'[1]DATOS PBI Artículos'!$Y$4:$Y$4),[1]CRITERIOS!$P$79:$P$123,[1]CRITERIOS!$S$79:$S$123,),0)</f>
        <v>#N/A</v>
      </c>
      <c r="AC743" s="33" t="e">
        <f>IF(N743=0,"",(ROUNDUP((N743/2)/(_xlfn.XLOOKUP(A743,'[1]DATOS PBI Artículos'!$A$4:$A$4,'[1]DATOS PBI Artículos'!$Z$4:$Z$4)*_xlfn.XLOOKUP(_xlfn.XLOOKUP(A743,'[1]DATOS PBI Artículos'!$A$4:$A$4,'[1]DATOS PBI Artículos'!$Y$4:$Y$4),[1]CRITERIOS!$P$79:$P$123,[1]CRITERIOS!$S$79:$S$123)),0)*[1]CRITERIOS!$M$80*([1]CRITERIOS!$M$110/[1]CRITERIOS!$M$86)+(_xlfn.XLOOKUP(A743,'[1]DATOS PBI Artículos'!$A$4:$A$4,'[1]DATOS PBI Artículos'!$AA$4:$AA$4)*([1]CRITERIOS!$M$95+[1]CRITERIOS!$M$98)))/N743)</f>
        <v>#N/A</v>
      </c>
      <c r="AD743" s="33" t="e">
        <f>IF(N743=0,"",(ROUNDUP((N743/2)/(_xlfn.XLOOKUP(A743,'[1]DATOS PBI Artículos'!$A$4:$A$4,'[1]DATOS PBI Artículos'!$Z$4:$Z$4)*_xlfn.XLOOKUP(_xlfn.XLOOKUP(A743,'[1]DATOS PBI Artículos'!$A$4:$A$4,'[1]DATOS PBI Artículos'!$Y$4:$Y$4),[1]CRITERIOS!$P$79:$P$123,[1]CRITERIOS!$S$79:$S$123)),0)*[1]CRITERIOS!$M$80*([1]CRITERIOS!$M$89*[1]CRITERIOS!$M$92)+((_xlfn.XLOOKUP(A743,'[1]DATOS PBI Artículos'!$A$4:$A$4,'[1]DATOS PBI Artículos'!$AA$4:$AA$4)/2)*([1]CRITERIOS!$M$95+[1]CRITERIOS!$M$98)))/N743)</f>
        <v>#N/A</v>
      </c>
      <c r="AE743" s="39" t="e">
        <f>IF($R743="MTO","",
IF($H743=0,ROUNDUP(((_xlfn.XLOOKUP($A743,'[1]DATOS PBI Artículos'!$A:$A,'[1]DATOS PBI Artículos'!$AL:$AL))/(_xlfn.XLOOKUP($AF$1,[1]CRITERIOS!$S$16:$S$39,[1]CRITERIOS!$Y$16:$Y$39))*$J743+$Z743)/$G743,0)*$G743,
((_xlfn.XLOOKUP($A743,'[1]DATOS PBI Artículos'!$A:$A,'[1]DATOS PBI Artículos'!$AL:$AL))/(_xlfn.XLOOKUP($AF$1,[1]CRITERIOS!$S$16:$S$39,[1]CRITERIOS!$Y$16:$Y$39))*$J743+$Z743)))</f>
        <v>#N/A</v>
      </c>
      <c r="AG743" s="39" t="e">
        <f>IF($R743="MTO","",
IF($H743=0,ROUNDUP(((_xlfn.XLOOKUP($A743,'[1]DATOS PBI Artículos'!$A:$A,'[1]DATOS PBI Artículos'!$AM:$AM))/(_xlfn.XLOOKUP($AH$1,[1]CRITERIOS!$S$16:$S$39,[1]CRITERIOS!$Y$16:$Y$39))*$J743+$Z743)/$G743,0)*$G743,
((_xlfn.XLOOKUP($A743,'[1]DATOS PBI Artículos'!$A:$A,'[1]DATOS PBI Artículos'!$AM:$AM))/(_xlfn.XLOOKUP($AH$1,[1]CRITERIOS!$S$16:$S$39,[1]CRITERIOS!$Y$16:$Y$39))*$J743+$Z743)))</f>
        <v>#N/A</v>
      </c>
      <c r="AI743" s="39" t="e">
        <f>IF($R743="MTO","",
IF($H743=0,ROUNDUP(((_xlfn.XLOOKUP($A743,'[1]DATOS PBI Artículos'!$A:$A,'[1]DATOS PBI Artículos'!$AN:$AN))/(_xlfn.XLOOKUP($AJ$1,[1]CRITERIOS!$S$16:$S$39,[1]CRITERIOS!$Y$16:$Y$39))*$J743+$Z743)/$G743,0)*$G743,
((_xlfn.XLOOKUP($A743,'[1]DATOS PBI Artículos'!$A:$A,'[1]DATOS PBI Artículos'!$AN:$AN))/(_xlfn.XLOOKUP($AJ$1,[1]CRITERIOS!$S$16:$S$39,[1]CRITERIOS!$Y$16:$Y$39))*$J743+$Z743)))</f>
        <v>#N/A</v>
      </c>
      <c r="AK743" s="39" t="e">
        <f>IF($R743="MTO","",
IF($H743=0,ROUNDUP(((_xlfn.XLOOKUP($A743,'[1]DATOS PBI Artículos'!$A:$A,'[1]DATOS PBI Artículos'!$AO:$AO))/(_xlfn.XLOOKUP($AL$1,[1]CRITERIOS!$S$16:$S$39,[1]CRITERIOS!$Y$16:$Y$39))*$J743+$Z743)/$G743,0)*$G743,
((_xlfn.XLOOKUP($A743,'[1]DATOS PBI Artículos'!$A:$A,'[1]DATOS PBI Artículos'!$AO:$AO))/(_xlfn.XLOOKUP($AL$1,[1]CRITERIOS!$S$16:$S$39,[1]CRITERIOS!$Y$16:$Y$39))*$J743+$Z743)))</f>
        <v>#N/A</v>
      </c>
    </row>
    <row r="744" spans="1:37" ht="25.8" hidden="1" x14ac:dyDescent="0.4">
      <c r="A744" s="41"/>
      <c r="B744" s="33">
        <f>_xlfn.XLOOKUP($A744,'[1]DATOS PBI Artículos'!A:A,'[1]DATOS PBI Artículos'!B:B)</f>
        <v>0</v>
      </c>
      <c r="C744" s="33">
        <f>_xlfn.XLOOKUP($A744,'[1]DATOS PBI Artículos'!A:A,'[1]DATOS PBI Artículos'!C:C)</f>
        <v>0</v>
      </c>
      <c r="D744" s="33">
        <f>_xlfn.XLOOKUP(A744,'[1]DATOS PBI Artículos'!A:A,'[1]DATOS PBI Artículos'!T:T)</f>
        <v>0</v>
      </c>
      <c r="E744" s="34">
        <f>IF(_xlfn.XLOOKUP($A744,'[1]DATOS PBI Artículos'!A:A,'[1]DATOS PBI Artículos'!AK:AK)="",_xlfn.XLOOKUP($A744,'[1]DATOS PBI Artículos'!A:A,'[1]DATOS PBI Artículos'!AJ:AJ),_xlfn.XLOOKUP($A744,'[1]DATOS PBI Artículos'!A:A,'[1]DATOS PBI Artículos'!AK:AK))</f>
        <v>0</v>
      </c>
      <c r="F744" s="35">
        <f>_xlfn.XLOOKUP($A744,'[1]DATOS PBI Artículos'!A:A,'[1]DATOS PBI Artículos'!AP:AP)</f>
        <v>0</v>
      </c>
      <c r="G744" s="34">
        <f>_xlfn.XLOOKUP($A744,'[1]DATOS PBI Artículos'!A:A,'[1]DATOS PBI Artículos'!AR:AR)</f>
        <v>0</v>
      </c>
      <c r="H744" s="34">
        <f>_xlfn.XLOOKUP($A744,'[1]DATOS PBI Artículos'!A:A,'[1]DATOS PBI Artículos'!AT:AT)</f>
        <v>0</v>
      </c>
      <c r="I744" s="34">
        <f>_xlfn.XLOOKUP($A744,'[1]DATOS PBI Artículos'!A:A,'[1]DATOS PBI Artículos'!AS:AS)</f>
        <v>0</v>
      </c>
      <c r="J744" s="35">
        <f>IF(COUNTIF([1]CRITERIOS!$F$179:$F$199,$A744)&gt;=1,
 IF(O744&lt;&gt;"",
    (O744/_xlfn.XLOOKUP(CONCATENATE(A744,L744),[1]MÁQUINAS!A:A,[1]MÁQUINAS!D:D))/24,
    (N744/_xlfn.XLOOKUP(CONCATENATE(A744,L744),[1]MÁQUINAS!A:A,[1]MÁQUINAS!D:D))/24),
  _xlfn.XLOOKUP($A744,'[1]DATOS PBI Artículos'!A:A,'[1]DATOS PBI Artículos'!AU:AU))</f>
        <v>0</v>
      </c>
      <c r="K744" s="36">
        <f>_xlfn.XLOOKUP($A744,'[1]DATOS PBI Artículos'!A:A,'[1]DATOS PBI Artículos'!AV:AV)</f>
        <v>0</v>
      </c>
      <c r="L744" s="33">
        <f>_xlfn.XLOOKUP(A744,[1]MÁQUINAS!B:B,[1]MÁQUINAS!C:C)</f>
        <v>0</v>
      </c>
      <c r="M744" s="34">
        <f t="array" ref="M744">_xlfn.XLOOKUP(A744,'[1]DATOS PBI Artículos'!A:A,'[1]DATOS PBI Artículos'!AX:$AX)</f>
        <v>0</v>
      </c>
      <c r="N744" s="37" t="e">
        <f>IF(I744="DV",
E744,
IF(COUNTIF([1]CRITERIOS!$I$179:$I$199,$A744)&gt;=1,
_xlfn.XLOOKUP($A744,[1]CRITERIOS!$I$179:$I$199,[1]CRITERIOS!$J$179:$J$199),
IF(COUNTIF([1]CRITERIOS!$L$179:$L$199,$A744)&gt;=1,
_xlfn.CEILING.MATH(IF($M744&gt;$E744,
$E744,
IF($M744&lt;$E744/ROUNDDOWN([1]CRITERIOS!$M$16/_xlfn.XLOOKUP($C744,[1]CRITERIOS!$K$25:$K$42,[1]CRITERIOS!$M$25:$M$42),
1),
E744/ROUNDDOWN([1]CRITERIOS!$M$16/_xlfn.XLOOKUP($C744,[1]CRITERIOS!$K$25:$K$42,[1]CRITERIOS!$M$25:$M$42),
1),
$M744)),
_xlfn.XLOOKUP($A744,[1]CRITERIOS!$L$179:$L$200,[1]CRITERIOS!$M$179:$M$200)),
_xlfn.CEILING.MATH(IF($M744&gt;$E744,
$E744,
IF($M744&lt;$E744/ROUNDDOWN([1]CRITERIOS!$M$16/_xlfn.XLOOKUP($C744,[1]CRITERIOS!$K$25:$K$42,[1]CRITERIOS!$M$25:$M$42),
1),
E744/ROUNDDOWN([1]CRITERIOS!$M$16/_xlfn.XLOOKUP($C744,[1]CRITERIOS!$K$25:$K$42,[1]CRITERIOS!$M$25:$M$42),
1),
$M744)),_xlfn.XLOOKUP(A744,'[1]DATOS PBI Artículos'!A:A,'[1]DATOS PBI Artículos'!Z:Z
)))))</f>
        <v>#N/A</v>
      </c>
      <c r="Q744" s="38" t="e">
        <f>IF(AND(O744="",N744=0),
0,
   IF(COUNTIF([1]CRITERIOS!$F$179:$F$199,$A744)&gt;=1,
   1,
   IF(R744="MTO",
      $D744,
      ROUNDUP(
                    IF(($E744-SUMIF('[1]DATOS PBI Artículos'!A:A,A744,'[1]DATOS PBI Artículos'!X:X)+($V744-_xlfn.XLOOKUP(A744,'[1]DATOS PBI Artículos'!A:A,'[1]DATOS PBI Artículos'!W:W)))&lt;0,
                    0,
                    IF(($E744-SUMIF('[1]DATOS PBI Artículos'!A:A,A744,'[1]DATOS PBI Artículos'!X:X)+$V744-_xlfn.XLOOKUP($A744,'[1]DATOS PBI Artículos'!A:A,'[1]DATOS PBI Artículos'!W:W))/IF($O744="",$N744,$O744)&gt;ROUNDUP([1]CRITERIOS!$M$16/(IF(COUNTIF([1]CRITERIOS!$BG$11:$BG$201,L744)&gt;=1,_xlfn.XLOOKUP($C744,[1]CRITERIOS!$K$25:$K$42,[1]CRITERIOS!$M$25:$M$42),_xlfn.XLOOKUP($C744,[1]CRITERIOS!$K$25:$K$42,[1]CRITERIOS!$M$25:$M$42))),0),
                    ROUNDUP([1]CRITERIOS!$M$16/(IF(COUNTIF([1]CRITERIOS!$BG$11:$BG$201,$L744)&gt;=1,_xlfn.XLOOKUP($C744,[1]CRITERIOS!$K$25:$K$42,[1]CRITERIOS!$M$25:$M$42),_xlfn.XLOOKUP($C744,[1]CRITERIOS!$K$25:$K$42,[1]CRITERIOS!$M$25:$M$42))),0),
                    (E744+V744-SUMIF('[1]DATOS PBI Artículos'!A:A,A744,'[1]DATOS PBI Artículos'!X:X)-_xlfn.XLOOKUP(A744,'[1]DATOS PBI Artículos'!A:A,'[1]DATOS PBI Artículos'!W:W))/IF($O744="",$N744,$O744))),0))))</f>
        <v>#N/A</v>
      </c>
      <c r="R744" s="33" t="e">
        <f>IF(U744&lt;&gt;"",U744,IF(F744="DV","MTO",IF(N744=0,"MTO",_xlfn.XLOOKUP(CONCATENATE(S744,T744),[1]CRITERIOS!$K$160:$K$168,[1]CRITERIOS!$N$160:$N$168))))</f>
        <v>#N/A</v>
      </c>
      <c r="S744" s="33" t="e">
        <f>IF(G744="DV","MTO",IF(N744=0,"MTO",IF(OR(AND(N744=0,O744=""),IF(O744="",G744/N744,G744/O744)&gt;[1]CRITERIOS!$G$163),"MTO",IF(IF(O744="",G744/N744,G744/O744)&lt;[1]CRITERIOS!$H$161,"MTS","MTOS"))))</f>
        <v>#N/A</v>
      </c>
      <c r="T744" s="33" t="e">
        <f>IF(F744="DV","MTO",IF(OR(AND($N744=0,O744=""),$F744/$J744&gt;[1]CRITERIOS!$G$170,$F744="DV"),"MTO",IF($F744/$J744&lt;[1]CRITERIOS!$H$168,"MTS","MTOS")))</f>
        <v>#N/A</v>
      </c>
      <c r="V744" s="34" t="e">
        <f t="shared" si="37"/>
        <v>#N/A</v>
      </c>
      <c r="X744" s="34" t="e">
        <f t="shared" si="35"/>
        <v>#N/A</v>
      </c>
      <c r="Y744" s="34" t="e">
        <f t="shared" si="36"/>
        <v>#N/A</v>
      </c>
      <c r="Z744" s="34" t="e">
        <f>IF($R744="MTO",
0,
($H744+$K744*($E744/[1]CRITERIOS!$M$16))/[1]CRITERIOS!$X$48)</f>
        <v>#N/A</v>
      </c>
      <c r="AA744" s="34" t="e">
        <f>ROUNDUP(($Y744/_xlfn.XLOOKUP($A744,'[1]DATOS PBI Artículos'!$A$4:$A$4,'[1]DATOS PBI Artículos'!$Z$4:$Z$4))/_xlfn.XLOOKUP(_xlfn.XLOOKUP($A744,'[1]DATOS PBI Artículos'!$A$4:$A$4,'[1]DATOS PBI Artículos'!$Y$4:$Y$4),[1]CRITERIOS!$P$79:$P$123,[1]CRITERIOS!$S$79:$S$123,),0)</f>
        <v>#N/A</v>
      </c>
      <c r="AC744" s="33" t="e">
        <f>IF(N744=0,"",(ROUNDUP((N744/2)/(_xlfn.XLOOKUP(A744,'[1]DATOS PBI Artículos'!$A$4:$A$4,'[1]DATOS PBI Artículos'!$Z$4:$Z$4)*_xlfn.XLOOKUP(_xlfn.XLOOKUP(A744,'[1]DATOS PBI Artículos'!$A$4:$A$4,'[1]DATOS PBI Artículos'!$Y$4:$Y$4),[1]CRITERIOS!$P$79:$P$123,[1]CRITERIOS!$S$79:$S$123)),0)*[1]CRITERIOS!$M$80*([1]CRITERIOS!$M$110/[1]CRITERIOS!$M$86)+(_xlfn.XLOOKUP(A744,'[1]DATOS PBI Artículos'!$A$4:$A$4,'[1]DATOS PBI Artículos'!$AA$4:$AA$4)*([1]CRITERIOS!$M$95+[1]CRITERIOS!$M$98)))/N744)</f>
        <v>#N/A</v>
      </c>
      <c r="AD744" s="33" t="e">
        <f>IF(N744=0,"",(ROUNDUP((N744/2)/(_xlfn.XLOOKUP(A744,'[1]DATOS PBI Artículos'!$A$4:$A$4,'[1]DATOS PBI Artículos'!$Z$4:$Z$4)*_xlfn.XLOOKUP(_xlfn.XLOOKUP(A744,'[1]DATOS PBI Artículos'!$A$4:$A$4,'[1]DATOS PBI Artículos'!$Y$4:$Y$4),[1]CRITERIOS!$P$79:$P$123,[1]CRITERIOS!$S$79:$S$123)),0)*[1]CRITERIOS!$M$80*([1]CRITERIOS!$M$89*[1]CRITERIOS!$M$92)+((_xlfn.XLOOKUP(A744,'[1]DATOS PBI Artículos'!$A$4:$A$4,'[1]DATOS PBI Artículos'!$AA$4:$AA$4)/2)*([1]CRITERIOS!$M$95+[1]CRITERIOS!$M$98)))/N744)</f>
        <v>#N/A</v>
      </c>
      <c r="AE744" s="39" t="e">
        <f>IF($R744="MTO","",
IF($H744=0,ROUNDUP(((_xlfn.XLOOKUP($A744,'[1]DATOS PBI Artículos'!$A:$A,'[1]DATOS PBI Artículos'!$AL:$AL))/(_xlfn.XLOOKUP($AF$1,[1]CRITERIOS!$S$16:$S$39,[1]CRITERIOS!$Y$16:$Y$39))*$J744+$Z744)/$G744,0)*$G744,
((_xlfn.XLOOKUP($A744,'[1]DATOS PBI Artículos'!$A:$A,'[1]DATOS PBI Artículos'!$AL:$AL))/(_xlfn.XLOOKUP($AF$1,[1]CRITERIOS!$S$16:$S$39,[1]CRITERIOS!$Y$16:$Y$39))*$J744+$Z744)))</f>
        <v>#N/A</v>
      </c>
      <c r="AG744" s="39" t="e">
        <f>IF($R744="MTO","",
IF($H744=0,ROUNDUP(((_xlfn.XLOOKUP($A744,'[1]DATOS PBI Artículos'!$A:$A,'[1]DATOS PBI Artículos'!$AM:$AM))/(_xlfn.XLOOKUP($AH$1,[1]CRITERIOS!$S$16:$S$39,[1]CRITERIOS!$Y$16:$Y$39))*$J744+$Z744)/$G744,0)*$G744,
((_xlfn.XLOOKUP($A744,'[1]DATOS PBI Artículos'!$A:$A,'[1]DATOS PBI Artículos'!$AM:$AM))/(_xlfn.XLOOKUP($AH$1,[1]CRITERIOS!$S$16:$S$39,[1]CRITERIOS!$Y$16:$Y$39))*$J744+$Z744)))</f>
        <v>#N/A</v>
      </c>
      <c r="AI744" s="39" t="e">
        <f>IF($R744="MTO","",
IF($H744=0,ROUNDUP(((_xlfn.XLOOKUP($A744,'[1]DATOS PBI Artículos'!$A:$A,'[1]DATOS PBI Artículos'!$AN:$AN))/(_xlfn.XLOOKUP($AJ$1,[1]CRITERIOS!$S$16:$S$39,[1]CRITERIOS!$Y$16:$Y$39))*$J744+$Z744)/$G744,0)*$G744,
((_xlfn.XLOOKUP($A744,'[1]DATOS PBI Artículos'!$A:$A,'[1]DATOS PBI Artículos'!$AN:$AN))/(_xlfn.XLOOKUP($AJ$1,[1]CRITERIOS!$S$16:$S$39,[1]CRITERIOS!$Y$16:$Y$39))*$J744+$Z744)))</f>
        <v>#N/A</v>
      </c>
      <c r="AK744" s="39" t="e">
        <f>IF($R744="MTO","",
IF($H744=0,ROUNDUP(((_xlfn.XLOOKUP($A744,'[1]DATOS PBI Artículos'!$A:$A,'[1]DATOS PBI Artículos'!$AO:$AO))/(_xlfn.XLOOKUP($AL$1,[1]CRITERIOS!$S$16:$S$39,[1]CRITERIOS!$Y$16:$Y$39))*$J744+$Z744)/$G744,0)*$G744,
((_xlfn.XLOOKUP($A744,'[1]DATOS PBI Artículos'!$A:$A,'[1]DATOS PBI Artículos'!$AO:$AO))/(_xlfn.XLOOKUP($AL$1,[1]CRITERIOS!$S$16:$S$39,[1]CRITERIOS!$Y$16:$Y$39))*$J744+$Z744)))</f>
        <v>#N/A</v>
      </c>
    </row>
    <row r="745" spans="1:37" ht="25.8" hidden="1" x14ac:dyDescent="0.4">
      <c r="A745" s="41"/>
      <c r="B745" s="33">
        <f>_xlfn.XLOOKUP($A745,'[1]DATOS PBI Artículos'!A:A,'[1]DATOS PBI Artículos'!B:B)</f>
        <v>0</v>
      </c>
      <c r="C745" s="33">
        <f>_xlfn.XLOOKUP($A745,'[1]DATOS PBI Artículos'!A:A,'[1]DATOS PBI Artículos'!C:C)</f>
        <v>0</v>
      </c>
      <c r="D745" s="33">
        <f>_xlfn.XLOOKUP(A745,'[1]DATOS PBI Artículos'!A:A,'[1]DATOS PBI Artículos'!T:T)</f>
        <v>0</v>
      </c>
      <c r="E745" s="34">
        <f>IF(_xlfn.XLOOKUP($A745,'[1]DATOS PBI Artículos'!A:A,'[1]DATOS PBI Artículos'!AK:AK)="",_xlfn.XLOOKUP($A745,'[1]DATOS PBI Artículos'!A:A,'[1]DATOS PBI Artículos'!AJ:AJ),_xlfn.XLOOKUP($A745,'[1]DATOS PBI Artículos'!A:A,'[1]DATOS PBI Artículos'!AK:AK))</f>
        <v>0</v>
      </c>
      <c r="F745" s="35">
        <f>_xlfn.XLOOKUP($A745,'[1]DATOS PBI Artículos'!A:A,'[1]DATOS PBI Artículos'!AP:AP)</f>
        <v>0</v>
      </c>
      <c r="G745" s="34">
        <f>_xlfn.XLOOKUP($A745,'[1]DATOS PBI Artículos'!A:A,'[1]DATOS PBI Artículos'!AR:AR)</f>
        <v>0</v>
      </c>
      <c r="H745" s="34">
        <f>_xlfn.XLOOKUP($A745,'[1]DATOS PBI Artículos'!A:A,'[1]DATOS PBI Artículos'!AT:AT)</f>
        <v>0</v>
      </c>
      <c r="I745" s="34">
        <f>_xlfn.XLOOKUP($A745,'[1]DATOS PBI Artículos'!A:A,'[1]DATOS PBI Artículos'!AS:AS)</f>
        <v>0</v>
      </c>
      <c r="J745" s="35">
        <f>IF(COUNTIF([1]CRITERIOS!$F$179:$F$199,$A745)&gt;=1,
 IF(O745&lt;&gt;"",
    (O745/_xlfn.XLOOKUP(CONCATENATE(A745,L745),[1]MÁQUINAS!A:A,[1]MÁQUINAS!D:D))/24,
    (N745/_xlfn.XLOOKUP(CONCATENATE(A745,L745),[1]MÁQUINAS!A:A,[1]MÁQUINAS!D:D))/24),
  _xlfn.XLOOKUP($A745,'[1]DATOS PBI Artículos'!A:A,'[1]DATOS PBI Artículos'!AU:AU))</f>
        <v>0</v>
      </c>
      <c r="K745" s="36">
        <f>_xlfn.XLOOKUP($A745,'[1]DATOS PBI Artículos'!A:A,'[1]DATOS PBI Artículos'!AV:AV)</f>
        <v>0</v>
      </c>
      <c r="L745" s="33">
        <f>_xlfn.XLOOKUP(A745,[1]MÁQUINAS!B:B,[1]MÁQUINAS!C:C)</f>
        <v>0</v>
      </c>
      <c r="M745" s="34">
        <f t="array" ref="M745">_xlfn.XLOOKUP(A745,'[1]DATOS PBI Artículos'!A:A,'[1]DATOS PBI Artículos'!AX:$AX)</f>
        <v>0</v>
      </c>
      <c r="N745" s="37" t="e">
        <f>IF(I745="DV",
E745,
IF(COUNTIF([1]CRITERIOS!$I$179:$I$199,$A745)&gt;=1,
_xlfn.XLOOKUP($A745,[1]CRITERIOS!$I$179:$I$199,[1]CRITERIOS!$J$179:$J$199),
IF(COUNTIF([1]CRITERIOS!$L$179:$L$199,$A745)&gt;=1,
_xlfn.CEILING.MATH(IF($M745&gt;$E745,
$E745,
IF($M745&lt;$E745/ROUNDDOWN([1]CRITERIOS!$M$16/_xlfn.XLOOKUP($C745,[1]CRITERIOS!$K$25:$K$42,[1]CRITERIOS!$M$25:$M$42),
1),
E745/ROUNDDOWN([1]CRITERIOS!$M$16/_xlfn.XLOOKUP($C745,[1]CRITERIOS!$K$25:$K$42,[1]CRITERIOS!$M$25:$M$42),
1),
$M745)),
_xlfn.XLOOKUP($A745,[1]CRITERIOS!$L$179:$L$200,[1]CRITERIOS!$M$179:$M$200)),
_xlfn.CEILING.MATH(IF($M745&gt;$E745,
$E745,
IF($M745&lt;$E745/ROUNDDOWN([1]CRITERIOS!$M$16/_xlfn.XLOOKUP($C745,[1]CRITERIOS!$K$25:$K$42,[1]CRITERIOS!$M$25:$M$42),
1),
E745/ROUNDDOWN([1]CRITERIOS!$M$16/_xlfn.XLOOKUP($C745,[1]CRITERIOS!$K$25:$K$42,[1]CRITERIOS!$M$25:$M$42),
1),
$M745)),_xlfn.XLOOKUP(A745,'[1]DATOS PBI Artículos'!A:A,'[1]DATOS PBI Artículos'!Z:Z
)))))</f>
        <v>#N/A</v>
      </c>
      <c r="Q745" s="38" t="e">
        <f>IF(AND(O745="",N745=0),
0,
   IF(COUNTIF([1]CRITERIOS!$F$179:$F$199,$A745)&gt;=1,
   1,
   IF(R745="MTO",
      $D745,
      ROUNDUP(
                    IF(($E745-SUMIF('[1]DATOS PBI Artículos'!A:A,A745,'[1]DATOS PBI Artículos'!X:X)+($V745-_xlfn.XLOOKUP(A745,'[1]DATOS PBI Artículos'!A:A,'[1]DATOS PBI Artículos'!W:W)))&lt;0,
                    0,
                    IF(($E745-SUMIF('[1]DATOS PBI Artículos'!A:A,A745,'[1]DATOS PBI Artículos'!X:X)+$V745-_xlfn.XLOOKUP($A745,'[1]DATOS PBI Artículos'!A:A,'[1]DATOS PBI Artículos'!W:W))/IF($O745="",$N745,$O745)&gt;ROUNDUP([1]CRITERIOS!$M$16/(IF(COUNTIF([1]CRITERIOS!$BG$11:$BG$201,L745)&gt;=1,_xlfn.XLOOKUP($C745,[1]CRITERIOS!$K$25:$K$42,[1]CRITERIOS!$M$25:$M$42),_xlfn.XLOOKUP($C745,[1]CRITERIOS!$K$25:$K$42,[1]CRITERIOS!$M$25:$M$42))),0),
                    ROUNDUP([1]CRITERIOS!$M$16/(IF(COUNTIF([1]CRITERIOS!$BG$11:$BG$201,$L745)&gt;=1,_xlfn.XLOOKUP($C745,[1]CRITERIOS!$K$25:$K$42,[1]CRITERIOS!$M$25:$M$42),_xlfn.XLOOKUP($C745,[1]CRITERIOS!$K$25:$K$42,[1]CRITERIOS!$M$25:$M$42))),0),
                    (E745+V745-SUMIF('[1]DATOS PBI Artículos'!A:A,A745,'[1]DATOS PBI Artículos'!X:X)-_xlfn.XLOOKUP(A745,'[1]DATOS PBI Artículos'!A:A,'[1]DATOS PBI Artículos'!W:W))/IF($O745="",$N745,$O745))),0))))</f>
        <v>#N/A</v>
      </c>
      <c r="R745" s="33" t="e">
        <f>IF(U745&lt;&gt;"",U745,IF(F745="DV","MTO",IF(N745=0,"MTO",_xlfn.XLOOKUP(CONCATENATE(S745,T745),[1]CRITERIOS!$K$160:$K$168,[1]CRITERIOS!$N$160:$N$168))))</f>
        <v>#N/A</v>
      </c>
      <c r="S745" s="33" t="e">
        <f>IF(G745="DV","MTO",IF(N745=0,"MTO",IF(OR(AND(N745=0,O745=""),IF(O745="",G745/N745,G745/O745)&gt;[1]CRITERIOS!$G$163),"MTO",IF(IF(O745="",G745/N745,G745/O745)&lt;[1]CRITERIOS!$H$161,"MTS","MTOS"))))</f>
        <v>#N/A</v>
      </c>
      <c r="T745" s="33" t="e">
        <f>IF(F745="DV","MTO",IF(OR(AND($N745=0,O745=""),$F745/$J745&gt;[1]CRITERIOS!$G$170,$F745="DV"),"MTO",IF($F745/$J745&lt;[1]CRITERIOS!$H$168,"MTS","MTOS")))</f>
        <v>#N/A</v>
      </c>
      <c r="V745" s="34" t="e">
        <f t="shared" si="37"/>
        <v>#N/A</v>
      </c>
      <c r="X745" s="34" t="e">
        <f t="shared" si="35"/>
        <v>#N/A</v>
      </c>
      <c r="Y745" s="34" t="e">
        <f t="shared" si="36"/>
        <v>#N/A</v>
      </c>
      <c r="Z745" s="34" t="e">
        <f>IF($R745="MTO",
0,
($H745+$K745*($E745/[1]CRITERIOS!$M$16))/[1]CRITERIOS!$X$48)</f>
        <v>#N/A</v>
      </c>
      <c r="AA745" s="34" t="e">
        <f>ROUNDUP(($Y745/_xlfn.XLOOKUP($A745,'[1]DATOS PBI Artículos'!$A$4:$A$4,'[1]DATOS PBI Artículos'!$Z$4:$Z$4))/_xlfn.XLOOKUP(_xlfn.XLOOKUP($A745,'[1]DATOS PBI Artículos'!$A$4:$A$4,'[1]DATOS PBI Artículos'!$Y$4:$Y$4),[1]CRITERIOS!$P$79:$P$123,[1]CRITERIOS!$S$79:$S$123,),0)</f>
        <v>#N/A</v>
      </c>
      <c r="AC745" s="33" t="e">
        <f>IF(N745=0,"",(ROUNDUP((N745/2)/(_xlfn.XLOOKUP(A745,'[1]DATOS PBI Artículos'!$A$4:$A$4,'[1]DATOS PBI Artículos'!$Z$4:$Z$4)*_xlfn.XLOOKUP(_xlfn.XLOOKUP(A745,'[1]DATOS PBI Artículos'!$A$4:$A$4,'[1]DATOS PBI Artículos'!$Y$4:$Y$4),[1]CRITERIOS!$P$79:$P$123,[1]CRITERIOS!$S$79:$S$123)),0)*[1]CRITERIOS!$M$80*([1]CRITERIOS!$M$110/[1]CRITERIOS!$M$86)+(_xlfn.XLOOKUP(A745,'[1]DATOS PBI Artículos'!$A$4:$A$4,'[1]DATOS PBI Artículos'!$AA$4:$AA$4)*([1]CRITERIOS!$M$95+[1]CRITERIOS!$M$98)))/N745)</f>
        <v>#N/A</v>
      </c>
      <c r="AD745" s="33" t="e">
        <f>IF(N745=0,"",(ROUNDUP((N745/2)/(_xlfn.XLOOKUP(A745,'[1]DATOS PBI Artículos'!$A$4:$A$4,'[1]DATOS PBI Artículos'!$Z$4:$Z$4)*_xlfn.XLOOKUP(_xlfn.XLOOKUP(A745,'[1]DATOS PBI Artículos'!$A$4:$A$4,'[1]DATOS PBI Artículos'!$Y$4:$Y$4),[1]CRITERIOS!$P$79:$P$123,[1]CRITERIOS!$S$79:$S$123)),0)*[1]CRITERIOS!$M$80*([1]CRITERIOS!$M$89*[1]CRITERIOS!$M$92)+((_xlfn.XLOOKUP(A745,'[1]DATOS PBI Artículos'!$A$4:$A$4,'[1]DATOS PBI Artículos'!$AA$4:$AA$4)/2)*([1]CRITERIOS!$M$95+[1]CRITERIOS!$M$98)))/N745)</f>
        <v>#N/A</v>
      </c>
      <c r="AE745" s="39" t="e">
        <f>IF($R745="MTO","",
IF($H745=0,ROUNDUP(((_xlfn.XLOOKUP($A745,'[1]DATOS PBI Artículos'!$A:$A,'[1]DATOS PBI Artículos'!$AL:$AL))/(_xlfn.XLOOKUP($AF$1,[1]CRITERIOS!$S$16:$S$39,[1]CRITERIOS!$Y$16:$Y$39))*$J745+$Z745)/$G745,0)*$G745,
((_xlfn.XLOOKUP($A745,'[1]DATOS PBI Artículos'!$A:$A,'[1]DATOS PBI Artículos'!$AL:$AL))/(_xlfn.XLOOKUP($AF$1,[1]CRITERIOS!$S$16:$S$39,[1]CRITERIOS!$Y$16:$Y$39))*$J745+$Z745)))</f>
        <v>#N/A</v>
      </c>
      <c r="AG745" s="39" t="e">
        <f>IF($R745="MTO","",
IF($H745=0,ROUNDUP(((_xlfn.XLOOKUP($A745,'[1]DATOS PBI Artículos'!$A:$A,'[1]DATOS PBI Artículos'!$AM:$AM))/(_xlfn.XLOOKUP($AH$1,[1]CRITERIOS!$S$16:$S$39,[1]CRITERIOS!$Y$16:$Y$39))*$J745+$Z745)/$G745,0)*$G745,
((_xlfn.XLOOKUP($A745,'[1]DATOS PBI Artículos'!$A:$A,'[1]DATOS PBI Artículos'!$AM:$AM))/(_xlfn.XLOOKUP($AH$1,[1]CRITERIOS!$S$16:$S$39,[1]CRITERIOS!$Y$16:$Y$39))*$J745+$Z745)))</f>
        <v>#N/A</v>
      </c>
      <c r="AI745" s="39" t="e">
        <f>IF($R745="MTO","",
IF($H745=0,ROUNDUP(((_xlfn.XLOOKUP($A745,'[1]DATOS PBI Artículos'!$A:$A,'[1]DATOS PBI Artículos'!$AN:$AN))/(_xlfn.XLOOKUP($AJ$1,[1]CRITERIOS!$S$16:$S$39,[1]CRITERIOS!$Y$16:$Y$39))*$J745+$Z745)/$G745,0)*$G745,
((_xlfn.XLOOKUP($A745,'[1]DATOS PBI Artículos'!$A:$A,'[1]DATOS PBI Artículos'!$AN:$AN))/(_xlfn.XLOOKUP($AJ$1,[1]CRITERIOS!$S$16:$S$39,[1]CRITERIOS!$Y$16:$Y$39))*$J745+$Z745)))</f>
        <v>#N/A</v>
      </c>
      <c r="AK745" s="39" t="e">
        <f>IF($R745="MTO","",
IF($H745=0,ROUNDUP(((_xlfn.XLOOKUP($A745,'[1]DATOS PBI Artículos'!$A:$A,'[1]DATOS PBI Artículos'!$AO:$AO))/(_xlfn.XLOOKUP($AL$1,[1]CRITERIOS!$S$16:$S$39,[1]CRITERIOS!$Y$16:$Y$39))*$J745+$Z745)/$G745,0)*$G745,
((_xlfn.XLOOKUP($A745,'[1]DATOS PBI Artículos'!$A:$A,'[1]DATOS PBI Artículos'!$AO:$AO))/(_xlfn.XLOOKUP($AL$1,[1]CRITERIOS!$S$16:$S$39,[1]CRITERIOS!$Y$16:$Y$39))*$J745+$Z745)))</f>
        <v>#N/A</v>
      </c>
    </row>
    <row r="746" spans="1:37" ht="25.8" hidden="1" x14ac:dyDescent="0.4">
      <c r="A746" s="41"/>
      <c r="B746" s="33">
        <f>_xlfn.XLOOKUP($A746,'[1]DATOS PBI Artículos'!A:A,'[1]DATOS PBI Artículos'!B:B)</f>
        <v>0</v>
      </c>
      <c r="C746" s="33">
        <f>_xlfn.XLOOKUP($A746,'[1]DATOS PBI Artículos'!A:A,'[1]DATOS PBI Artículos'!C:C)</f>
        <v>0</v>
      </c>
      <c r="D746" s="33">
        <f>_xlfn.XLOOKUP(A746,'[1]DATOS PBI Artículos'!A:A,'[1]DATOS PBI Artículos'!T:T)</f>
        <v>0</v>
      </c>
      <c r="E746" s="34">
        <f>IF(_xlfn.XLOOKUP($A746,'[1]DATOS PBI Artículos'!A:A,'[1]DATOS PBI Artículos'!AK:AK)="",_xlfn.XLOOKUP($A746,'[1]DATOS PBI Artículos'!A:A,'[1]DATOS PBI Artículos'!AJ:AJ),_xlfn.XLOOKUP($A746,'[1]DATOS PBI Artículos'!A:A,'[1]DATOS PBI Artículos'!AK:AK))</f>
        <v>0</v>
      </c>
      <c r="F746" s="35">
        <f>_xlfn.XLOOKUP($A746,'[1]DATOS PBI Artículos'!A:A,'[1]DATOS PBI Artículos'!AP:AP)</f>
        <v>0</v>
      </c>
      <c r="G746" s="34">
        <f>_xlfn.XLOOKUP($A746,'[1]DATOS PBI Artículos'!A:A,'[1]DATOS PBI Artículos'!AR:AR)</f>
        <v>0</v>
      </c>
      <c r="H746" s="34">
        <f>_xlfn.XLOOKUP($A746,'[1]DATOS PBI Artículos'!A:A,'[1]DATOS PBI Artículos'!AT:AT)</f>
        <v>0</v>
      </c>
      <c r="I746" s="34">
        <f>_xlfn.XLOOKUP($A746,'[1]DATOS PBI Artículos'!A:A,'[1]DATOS PBI Artículos'!AS:AS)</f>
        <v>0</v>
      </c>
      <c r="J746" s="35">
        <f>IF(COUNTIF([1]CRITERIOS!$F$179:$F$199,$A746)&gt;=1,
 IF(O746&lt;&gt;"",
    (O746/_xlfn.XLOOKUP(CONCATENATE(A746,L746),[1]MÁQUINAS!A:A,[1]MÁQUINAS!D:D))/24,
    (N746/_xlfn.XLOOKUP(CONCATENATE(A746,L746),[1]MÁQUINAS!A:A,[1]MÁQUINAS!D:D))/24),
  _xlfn.XLOOKUP($A746,'[1]DATOS PBI Artículos'!A:A,'[1]DATOS PBI Artículos'!AU:AU))</f>
        <v>0</v>
      </c>
      <c r="K746" s="36">
        <f>_xlfn.XLOOKUP($A746,'[1]DATOS PBI Artículos'!A:A,'[1]DATOS PBI Artículos'!AV:AV)</f>
        <v>0</v>
      </c>
      <c r="L746" s="33">
        <f>_xlfn.XLOOKUP(A746,[1]MÁQUINAS!B:B,[1]MÁQUINAS!C:C)</f>
        <v>0</v>
      </c>
      <c r="M746" s="34">
        <f t="array" ref="M746">_xlfn.XLOOKUP(A746,'[1]DATOS PBI Artículos'!A:A,'[1]DATOS PBI Artículos'!AX:$AX)</f>
        <v>0</v>
      </c>
      <c r="N746" s="37" t="e">
        <f>IF(I746="DV",
E746,
IF(COUNTIF([1]CRITERIOS!$I$179:$I$199,$A746)&gt;=1,
_xlfn.XLOOKUP($A746,[1]CRITERIOS!$I$179:$I$199,[1]CRITERIOS!$J$179:$J$199),
IF(COUNTIF([1]CRITERIOS!$L$179:$L$199,$A746)&gt;=1,
_xlfn.CEILING.MATH(IF($M746&gt;$E746,
$E746,
IF($M746&lt;$E746/ROUNDDOWN([1]CRITERIOS!$M$16/_xlfn.XLOOKUP($C746,[1]CRITERIOS!$K$25:$K$42,[1]CRITERIOS!$M$25:$M$42),
1),
E746/ROUNDDOWN([1]CRITERIOS!$M$16/_xlfn.XLOOKUP($C746,[1]CRITERIOS!$K$25:$K$42,[1]CRITERIOS!$M$25:$M$42),
1),
$M746)),
_xlfn.XLOOKUP($A746,[1]CRITERIOS!$L$179:$L$200,[1]CRITERIOS!$M$179:$M$200)),
_xlfn.CEILING.MATH(IF($M746&gt;$E746,
$E746,
IF($M746&lt;$E746/ROUNDDOWN([1]CRITERIOS!$M$16/_xlfn.XLOOKUP($C746,[1]CRITERIOS!$K$25:$K$42,[1]CRITERIOS!$M$25:$M$42),
1),
E746/ROUNDDOWN([1]CRITERIOS!$M$16/_xlfn.XLOOKUP($C746,[1]CRITERIOS!$K$25:$K$42,[1]CRITERIOS!$M$25:$M$42),
1),
$M746)),_xlfn.XLOOKUP(A746,'[1]DATOS PBI Artículos'!A:A,'[1]DATOS PBI Artículos'!Z:Z
)))))</f>
        <v>#N/A</v>
      </c>
      <c r="Q746" s="38" t="e">
        <f>IF(AND(O746="",N746=0),
0,
   IF(COUNTIF([1]CRITERIOS!$F$179:$F$199,$A746)&gt;=1,
   1,
   IF(R746="MTO",
      $D746,
      ROUNDUP(
                    IF(($E746-SUMIF('[1]DATOS PBI Artículos'!A:A,A746,'[1]DATOS PBI Artículos'!X:X)+($V746-_xlfn.XLOOKUP(A746,'[1]DATOS PBI Artículos'!A:A,'[1]DATOS PBI Artículos'!W:W)))&lt;0,
                    0,
                    IF(($E746-SUMIF('[1]DATOS PBI Artículos'!A:A,A746,'[1]DATOS PBI Artículos'!X:X)+$V746-_xlfn.XLOOKUP($A746,'[1]DATOS PBI Artículos'!A:A,'[1]DATOS PBI Artículos'!W:W))/IF($O746="",$N746,$O746)&gt;ROUNDUP([1]CRITERIOS!$M$16/(IF(COUNTIF([1]CRITERIOS!$BG$11:$BG$201,L746)&gt;=1,_xlfn.XLOOKUP($C746,[1]CRITERIOS!$K$25:$K$42,[1]CRITERIOS!$M$25:$M$42),_xlfn.XLOOKUP($C746,[1]CRITERIOS!$K$25:$K$42,[1]CRITERIOS!$M$25:$M$42))),0),
                    ROUNDUP([1]CRITERIOS!$M$16/(IF(COUNTIF([1]CRITERIOS!$BG$11:$BG$201,$L746)&gt;=1,_xlfn.XLOOKUP($C746,[1]CRITERIOS!$K$25:$K$42,[1]CRITERIOS!$M$25:$M$42),_xlfn.XLOOKUP($C746,[1]CRITERIOS!$K$25:$K$42,[1]CRITERIOS!$M$25:$M$42))),0),
                    (E746+V746-SUMIF('[1]DATOS PBI Artículos'!A:A,A746,'[1]DATOS PBI Artículos'!X:X)-_xlfn.XLOOKUP(A746,'[1]DATOS PBI Artículos'!A:A,'[1]DATOS PBI Artículos'!W:W))/IF($O746="",$N746,$O746))),0))))</f>
        <v>#N/A</v>
      </c>
      <c r="R746" s="33" t="e">
        <f>IF(U746&lt;&gt;"",U746,IF(F746="DV","MTO",IF(N746=0,"MTO",_xlfn.XLOOKUP(CONCATENATE(S746,T746),[1]CRITERIOS!$K$160:$K$168,[1]CRITERIOS!$N$160:$N$168))))</f>
        <v>#N/A</v>
      </c>
      <c r="S746" s="33" t="e">
        <f>IF(G746="DV","MTO",IF(N746=0,"MTO",IF(OR(AND(N746=0,O746=""),IF(O746="",G746/N746,G746/O746)&gt;[1]CRITERIOS!$G$163),"MTO",IF(IF(O746="",G746/N746,G746/O746)&lt;[1]CRITERIOS!$H$161,"MTS","MTOS"))))</f>
        <v>#N/A</v>
      </c>
      <c r="T746" s="33" t="e">
        <f>IF(F746="DV","MTO",IF(OR(AND($N746=0,O746=""),$F746/$J746&gt;[1]CRITERIOS!$G$170,$F746="DV"),"MTO",IF($F746/$J746&lt;[1]CRITERIOS!$H$168,"MTS","MTOS")))</f>
        <v>#N/A</v>
      </c>
      <c r="V746" s="34" t="e">
        <f t="shared" si="37"/>
        <v>#N/A</v>
      </c>
      <c r="X746" s="34" t="e">
        <f t="shared" si="35"/>
        <v>#N/A</v>
      </c>
      <c r="Y746" s="34" t="e">
        <f t="shared" si="36"/>
        <v>#N/A</v>
      </c>
      <c r="Z746" s="34" t="e">
        <f>IF($R746="MTO",
0,
($H746+$K746*($E746/[1]CRITERIOS!$M$16))/[1]CRITERIOS!$X$48)</f>
        <v>#N/A</v>
      </c>
      <c r="AA746" s="34" t="e">
        <f>ROUNDUP(($Y746/_xlfn.XLOOKUP($A746,'[1]DATOS PBI Artículos'!$A$4:$A$4,'[1]DATOS PBI Artículos'!$Z$4:$Z$4))/_xlfn.XLOOKUP(_xlfn.XLOOKUP($A746,'[1]DATOS PBI Artículos'!$A$4:$A$4,'[1]DATOS PBI Artículos'!$Y$4:$Y$4),[1]CRITERIOS!$P$79:$P$123,[1]CRITERIOS!$S$79:$S$123,),0)</f>
        <v>#N/A</v>
      </c>
      <c r="AC746" s="33" t="e">
        <f>IF(N746=0,"",(ROUNDUP((N746/2)/(_xlfn.XLOOKUP(A746,'[1]DATOS PBI Artículos'!$A$4:$A$4,'[1]DATOS PBI Artículos'!$Z$4:$Z$4)*_xlfn.XLOOKUP(_xlfn.XLOOKUP(A746,'[1]DATOS PBI Artículos'!$A$4:$A$4,'[1]DATOS PBI Artículos'!$Y$4:$Y$4),[1]CRITERIOS!$P$79:$P$123,[1]CRITERIOS!$S$79:$S$123)),0)*[1]CRITERIOS!$M$80*([1]CRITERIOS!$M$110/[1]CRITERIOS!$M$86)+(_xlfn.XLOOKUP(A746,'[1]DATOS PBI Artículos'!$A$4:$A$4,'[1]DATOS PBI Artículos'!$AA$4:$AA$4)*([1]CRITERIOS!$M$95+[1]CRITERIOS!$M$98)))/N746)</f>
        <v>#N/A</v>
      </c>
      <c r="AD746" s="33" t="e">
        <f>IF(N746=0,"",(ROUNDUP((N746/2)/(_xlfn.XLOOKUP(A746,'[1]DATOS PBI Artículos'!$A$4:$A$4,'[1]DATOS PBI Artículos'!$Z$4:$Z$4)*_xlfn.XLOOKUP(_xlfn.XLOOKUP(A746,'[1]DATOS PBI Artículos'!$A$4:$A$4,'[1]DATOS PBI Artículos'!$Y$4:$Y$4),[1]CRITERIOS!$P$79:$P$123,[1]CRITERIOS!$S$79:$S$123)),0)*[1]CRITERIOS!$M$80*([1]CRITERIOS!$M$89*[1]CRITERIOS!$M$92)+((_xlfn.XLOOKUP(A746,'[1]DATOS PBI Artículos'!$A$4:$A$4,'[1]DATOS PBI Artículos'!$AA$4:$AA$4)/2)*([1]CRITERIOS!$M$95+[1]CRITERIOS!$M$98)))/N746)</f>
        <v>#N/A</v>
      </c>
      <c r="AE746" s="39" t="e">
        <f>IF($R746="MTO","",
IF($H746=0,ROUNDUP(((_xlfn.XLOOKUP($A746,'[1]DATOS PBI Artículos'!$A:$A,'[1]DATOS PBI Artículos'!$AL:$AL))/(_xlfn.XLOOKUP($AF$1,[1]CRITERIOS!$S$16:$S$39,[1]CRITERIOS!$Y$16:$Y$39))*$J746+$Z746)/$G746,0)*$G746,
((_xlfn.XLOOKUP($A746,'[1]DATOS PBI Artículos'!$A:$A,'[1]DATOS PBI Artículos'!$AL:$AL))/(_xlfn.XLOOKUP($AF$1,[1]CRITERIOS!$S$16:$S$39,[1]CRITERIOS!$Y$16:$Y$39))*$J746+$Z746)))</f>
        <v>#N/A</v>
      </c>
      <c r="AG746" s="39" t="e">
        <f>IF($R746="MTO","",
IF($H746=0,ROUNDUP(((_xlfn.XLOOKUP($A746,'[1]DATOS PBI Artículos'!$A:$A,'[1]DATOS PBI Artículos'!$AM:$AM))/(_xlfn.XLOOKUP($AH$1,[1]CRITERIOS!$S$16:$S$39,[1]CRITERIOS!$Y$16:$Y$39))*$J746+$Z746)/$G746,0)*$G746,
((_xlfn.XLOOKUP($A746,'[1]DATOS PBI Artículos'!$A:$A,'[1]DATOS PBI Artículos'!$AM:$AM))/(_xlfn.XLOOKUP($AH$1,[1]CRITERIOS!$S$16:$S$39,[1]CRITERIOS!$Y$16:$Y$39))*$J746+$Z746)))</f>
        <v>#N/A</v>
      </c>
      <c r="AI746" s="39" t="e">
        <f>IF($R746="MTO","",
IF($H746=0,ROUNDUP(((_xlfn.XLOOKUP($A746,'[1]DATOS PBI Artículos'!$A:$A,'[1]DATOS PBI Artículos'!$AN:$AN))/(_xlfn.XLOOKUP($AJ$1,[1]CRITERIOS!$S$16:$S$39,[1]CRITERIOS!$Y$16:$Y$39))*$J746+$Z746)/$G746,0)*$G746,
((_xlfn.XLOOKUP($A746,'[1]DATOS PBI Artículos'!$A:$A,'[1]DATOS PBI Artículos'!$AN:$AN))/(_xlfn.XLOOKUP($AJ$1,[1]CRITERIOS!$S$16:$S$39,[1]CRITERIOS!$Y$16:$Y$39))*$J746+$Z746)))</f>
        <v>#N/A</v>
      </c>
      <c r="AK746" s="39" t="e">
        <f>IF($R746="MTO","",
IF($H746=0,ROUNDUP(((_xlfn.XLOOKUP($A746,'[1]DATOS PBI Artículos'!$A:$A,'[1]DATOS PBI Artículos'!$AO:$AO))/(_xlfn.XLOOKUP($AL$1,[1]CRITERIOS!$S$16:$S$39,[1]CRITERIOS!$Y$16:$Y$39))*$J746+$Z746)/$G746,0)*$G746,
((_xlfn.XLOOKUP($A746,'[1]DATOS PBI Artículos'!$A:$A,'[1]DATOS PBI Artículos'!$AO:$AO))/(_xlfn.XLOOKUP($AL$1,[1]CRITERIOS!$S$16:$S$39,[1]CRITERIOS!$Y$16:$Y$39))*$J746+$Z746)))</f>
        <v>#N/A</v>
      </c>
    </row>
    <row r="747" spans="1:37" ht="25.8" hidden="1" x14ac:dyDescent="0.4">
      <c r="A747" s="41"/>
      <c r="B747" s="33">
        <f>_xlfn.XLOOKUP($A747,'[1]DATOS PBI Artículos'!A:A,'[1]DATOS PBI Artículos'!B:B)</f>
        <v>0</v>
      </c>
      <c r="C747" s="33">
        <f>_xlfn.XLOOKUP($A747,'[1]DATOS PBI Artículos'!A:A,'[1]DATOS PBI Artículos'!C:C)</f>
        <v>0</v>
      </c>
      <c r="D747" s="33">
        <f>_xlfn.XLOOKUP(A747,'[1]DATOS PBI Artículos'!A:A,'[1]DATOS PBI Artículos'!T:T)</f>
        <v>0</v>
      </c>
      <c r="E747" s="34">
        <f>IF(_xlfn.XLOOKUP($A747,'[1]DATOS PBI Artículos'!A:A,'[1]DATOS PBI Artículos'!AK:AK)="",_xlfn.XLOOKUP($A747,'[1]DATOS PBI Artículos'!A:A,'[1]DATOS PBI Artículos'!AJ:AJ),_xlfn.XLOOKUP($A747,'[1]DATOS PBI Artículos'!A:A,'[1]DATOS PBI Artículos'!AK:AK))</f>
        <v>0</v>
      </c>
      <c r="F747" s="35">
        <f>_xlfn.XLOOKUP($A747,'[1]DATOS PBI Artículos'!A:A,'[1]DATOS PBI Artículos'!AP:AP)</f>
        <v>0</v>
      </c>
      <c r="G747" s="34">
        <f>_xlfn.XLOOKUP($A747,'[1]DATOS PBI Artículos'!A:A,'[1]DATOS PBI Artículos'!AR:AR)</f>
        <v>0</v>
      </c>
      <c r="H747" s="34">
        <f>_xlfn.XLOOKUP($A747,'[1]DATOS PBI Artículos'!A:A,'[1]DATOS PBI Artículos'!AT:AT)</f>
        <v>0</v>
      </c>
      <c r="I747" s="34">
        <f>_xlfn.XLOOKUP($A747,'[1]DATOS PBI Artículos'!A:A,'[1]DATOS PBI Artículos'!AS:AS)</f>
        <v>0</v>
      </c>
      <c r="J747" s="35">
        <f>IF(COUNTIF([1]CRITERIOS!$F$179:$F$199,$A747)&gt;=1,
 IF(O747&lt;&gt;"",
    (O747/_xlfn.XLOOKUP(CONCATENATE(A747,L747),[1]MÁQUINAS!A:A,[1]MÁQUINAS!D:D))/24,
    (N747/_xlfn.XLOOKUP(CONCATENATE(A747,L747),[1]MÁQUINAS!A:A,[1]MÁQUINAS!D:D))/24),
  _xlfn.XLOOKUP($A747,'[1]DATOS PBI Artículos'!A:A,'[1]DATOS PBI Artículos'!AU:AU))</f>
        <v>0</v>
      </c>
      <c r="K747" s="36">
        <f>_xlfn.XLOOKUP($A747,'[1]DATOS PBI Artículos'!A:A,'[1]DATOS PBI Artículos'!AV:AV)</f>
        <v>0</v>
      </c>
      <c r="L747" s="33">
        <f>_xlfn.XLOOKUP(A747,[1]MÁQUINAS!B:B,[1]MÁQUINAS!C:C)</f>
        <v>0</v>
      </c>
      <c r="M747" s="34">
        <f t="array" ref="M747">_xlfn.XLOOKUP(A747,'[1]DATOS PBI Artículos'!A:A,'[1]DATOS PBI Artículos'!AX:$AX)</f>
        <v>0</v>
      </c>
      <c r="N747" s="37" t="e">
        <f>IF(I747="DV",
E747,
IF(COUNTIF([1]CRITERIOS!$I$179:$I$199,$A747)&gt;=1,
_xlfn.XLOOKUP($A747,[1]CRITERIOS!$I$179:$I$199,[1]CRITERIOS!$J$179:$J$199),
IF(COUNTIF([1]CRITERIOS!$L$179:$L$199,$A747)&gt;=1,
_xlfn.CEILING.MATH(IF($M747&gt;$E747,
$E747,
IF($M747&lt;$E747/ROUNDDOWN([1]CRITERIOS!$M$16/_xlfn.XLOOKUP($C747,[1]CRITERIOS!$K$25:$K$42,[1]CRITERIOS!$M$25:$M$42),
1),
E747/ROUNDDOWN([1]CRITERIOS!$M$16/_xlfn.XLOOKUP($C747,[1]CRITERIOS!$K$25:$K$42,[1]CRITERIOS!$M$25:$M$42),
1),
$M747)),
_xlfn.XLOOKUP($A747,[1]CRITERIOS!$L$179:$L$200,[1]CRITERIOS!$M$179:$M$200)),
_xlfn.CEILING.MATH(IF($M747&gt;$E747,
$E747,
IF($M747&lt;$E747/ROUNDDOWN([1]CRITERIOS!$M$16/_xlfn.XLOOKUP($C747,[1]CRITERIOS!$K$25:$K$42,[1]CRITERIOS!$M$25:$M$42),
1),
E747/ROUNDDOWN([1]CRITERIOS!$M$16/_xlfn.XLOOKUP($C747,[1]CRITERIOS!$K$25:$K$42,[1]CRITERIOS!$M$25:$M$42),
1),
$M747)),_xlfn.XLOOKUP(A747,'[1]DATOS PBI Artículos'!A:A,'[1]DATOS PBI Artículos'!Z:Z
)))))</f>
        <v>#N/A</v>
      </c>
      <c r="Q747" s="38" t="e">
        <f>IF(AND(O747="",N747=0),
0,
   IF(COUNTIF([1]CRITERIOS!$F$179:$F$199,$A747)&gt;=1,
   1,
   IF(R747="MTO",
      $D747,
      ROUNDUP(
                    IF(($E747-SUMIF('[1]DATOS PBI Artículos'!A:A,A747,'[1]DATOS PBI Artículos'!X:X)+($V747-_xlfn.XLOOKUP(A747,'[1]DATOS PBI Artículos'!A:A,'[1]DATOS PBI Artículos'!W:W)))&lt;0,
                    0,
                    IF(($E747-SUMIF('[1]DATOS PBI Artículos'!A:A,A747,'[1]DATOS PBI Artículos'!X:X)+$V747-_xlfn.XLOOKUP($A747,'[1]DATOS PBI Artículos'!A:A,'[1]DATOS PBI Artículos'!W:W))/IF($O747="",$N747,$O747)&gt;ROUNDUP([1]CRITERIOS!$M$16/(IF(COUNTIF([1]CRITERIOS!$BG$11:$BG$201,L747)&gt;=1,_xlfn.XLOOKUP($C747,[1]CRITERIOS!$K$25:$K$42,[1]CRITERIOS!$M$25:$M$42),_xlfn.XLOOKUP($C747,[1]CRITERIOS!$K$25:$K$42,[1]CRITERIOS!$M$25:$M$42))),0),
                    ROUNDUP([1]CRITERIOS!$M$16/(IF(COUNTIF([1]CRITERIOS!$BG$11:$BG$201,$L747)&gt;=1,_xlfn.XLOOKUP($C747,[1]CRITERIOS!$K$25:$K$42,[1]CRITERIOS!$M$25:$M$42),_xlfn.XLOOKUP($C747,[1]CRITERIOS!$K$25:$K$42,[1]CRITERIOS!$M$25:$M$42))),0),
                    (E747+V747-SUMIF('[1]DATOS PBI Artículos'!A:A,A747,'[1]DATOS PBI Artículos'!X:X)-_xlfn.XLOOKUP(A747,'[1]DATOS PBI Artículos'!A:A,'[1]DATOS PBI Artículos'!W:W))/IF($O747="",$N747,$O747))),0))))</f>
        <v>#N/A</v>
      </c>
      <c r="R747" s="33" t="e">
        <f>IF(U747&lt;&gt;"",U747,IF(F747="DV","MTO",IF(N747=0,"MTO",_xlfn.XLOOKUP(CONCATENATE(S747,T747),[1]CRITERIOS!$K$160:$K$168,[1]CRITERIOS!$N$160:$N$168))))</f>
        <v>#N/A</v>
      </c>
      <c r="S747" s="33" t="e">
        <f>IF(G747="DV","MTO",IF(N747=0,"MTO",IF(OR(AND(N747=0,O747=""),IF(O747="",G747/N747,G747/O747)&gt;[1]CRITERIOS!$G$163),"MTO",IF(IF(O747="",G747/N747,G747/O747)&lt;[1]CRITERIOS!$H$161,"MTS","MTOS"))))</f>
        <v>#N/A</v>
      </c>
      <c r="T747" s="33" t="e">
        <f>IF(F747="DV","MTO",IF(OR(AND($N747=0,O747=""),$F747/$J747&gt;[1]CRITERIOS!$G$170,$F747="DV"),"MTO",IF($F747/$J747&lt;[1]CRITERIOS!$H$168,"MTS","MTOS")))</f>
        <v>#N/A</v>
      </c>
      <c r="V747" s="34" t="e">
        <f t="shared" si="37"/>
        <v>#N/A</v>
      </c>
      <c r="X747" s="34" t="e">
        <f t="shared" si="35"/>
        <v>#N/A</v>
      </c>
      <c r="Y747" s="34" t="e">
        <f t="shared" si="36"/>
        <v>#N/A</v>
      </c>
      <c r="Z747" s="34" t="e">
        <f>IF($R747="MTO",
0,
($H747+$K747*($E747/[1]CRITERIOS!$M$16))/[1]CRITERIOS!$X$48)</f>
        <v>#N/A</v>
      </c>
      <c r="AA747" s="34" t="e">
        <f>ROUNDUP(($Y747/_xlfn.XLOOKUP($A747,'[1]DATOS PBI Artículos'!$A$4:$A$4,'[1]DATOS PBI Artículos'!$Z$4:$Z$4))/_xlfn.XLOOKUP(_xlfn.XLOOKUP($A747,'[1]DATOS PBI Artículos'!$A$4:$A$4,'[1]DATOS PBI Artículos'!$Y$4:$Y$4),[1]CRITERIOS!$P$79:$P$123,[1]CRITERIOS!$S$79:$S$123,),0)</f>
        <v>#N/A</v>
      </c>
      <c r="AC747" s="33" t="e">
        <f>IF(N747=0,"",(ROUNDUP((N747/2)/(_xlfn.XLOOKUP(A747,'[1]DATOS PBI Artículos'!$A$4:$A$4,'[1]DATOS PBI Artículos'!$Z$4:$Z$4)*_xlfn.XLOOKUP(_xlfn.XLOOKUP(A747,'[1]DATOS PBI Artículos'!$A$4:$A$4,'[1]DATOS PBI Artículos'!$Y$4:$Y$4),[1]CRITERIOS!$P$79:$P$123,[1]CRITERIOS!$S$79:$S$123)),0)*[1]CRITERIOS!$M$80*([1]CRITERIOS!$M$110/[1]CRITERIOS!$M$86)+(_xlfn.XLOOKUP(A747,'[1]DATOS PBI Artículos'!$A$4:$A$4,'[1]DATOS PBI Artículos'!$AA$4:$AA$4)*([1]CRITERIOS!$M$95+[1]CRITERIOS!$M$98)))/N747)</f>
        <v>#N/A</v>
      </c>
      <c r="AD747" s="33" t="e">
        <f>IF(N747=0,"",(ROUNDUP((N747/2)/(_xlfn.XLOOKUP(A747,'[1]DATOS PBI Artículos'!$A$4:$A$4,'[1]DATOS PBI Artículos'!$Z$4:$Z$4)*_xlfn.XLOOKUP(_xlfn.XLOOKUP(A747,'[1]DATOS PBI Artículos'!$A$4:$A$4,'[1]DATOS PBI Artículos'!$Y$4:$Y$4),[1]CRITERIOS!$P$79:$P$123,[1]CRITERIOS!$S$79:$S$123)),0)*[1]CRITERIOS!$M$80*([1]CRITERIOS!$M$89*[1]CRITERIOS!$M$92)+((_xlfn.XLOOKUP(A747,'[1]DATOS PBI Artículos'!$A$4:$A$4,'[1]DATOS PBI Artículos'!$AA$4:$AA$4)/2)*([1]CRITERIOS!$M$95+[1]CRITERIOS!$M$98)))/N747)</f>
        <v>#N/A</v>
      </c>
      <c r="AE747" s="39" t="e">
        <f>IF($R747="MTO","",
IF($H747=0,ROUNDUP(((_xlfn.XLOOKUP($A747,'[1]DATOS PBI Artículos'!$A:$A,'[1]DATOS PBI Artículos'!$AL:$AL))/(_xlfn.XLOOKUP($AF$1,[1]CRITERIOS!$S$16:$S$39,[1]CRITERIOS!$Y$16:$Y$39))*$J747+$Z747)/$G747,0)*$G747,
((_xlfn.XLOOKUP($A747,'[1]DATOS PBI Artículos'!$A:$A,'[1]DATOS PBI Artículos'!$AL:$AL))/(_xlfn.XLOOKUP($AF$1,[1]CRITERIOS!$S$16:$S$39,[1]CRITERIOS!$Y$16:$Y$39))*$J747+$Z747)))</f>
        <v>#N/A</v>
      </c>
      <c r="AG747" s="39" t="e">
        <f>IF($R747="MTO","",
IF($H747=0,ROUNDUP(((_xlfn.XLOOKUP($A747,'[1]DATOS PBI Artículos'!$A:$A,'[1]DATOS PBI Artículos'!$AM:$AM))/(_xlfn.XLOOKUP($AH$1,[1]CRITERIOS!$S$16:$S$39,[1]CRITERIOS!$Y$16:$Y$39))*$J747+$Z747)/$G747,0)*$G747,
((_xlfn.XLOOKUP($A747,'[1]DATOS PBI Artículos'!$A:$A,'[1]DATOS PBI Artículos'!$AM:$AM))/(_xlfn.XLOOKUP($AH$1,[1]CRITERIOS!$S$16:$S$39,[1]CRITERIOS!$Y$16:$Y$39))*$J747+$Z747)))</f>
        <v>#N/A</v>
      </c>
      <c r="AI747" s="39" t="e">
        <f>IF($R747="MTO","",
IF($H747=0,ROUNDUP(((_xlfn.XLOOKUP($A747,'[1]DATOS PBI Artículos'!$A:$A,'[1]DATOS PBI Artículos'!$AN:$AN))/(_xlfn.XLOOKUP($AJ$1,[1]CRITERIOS!$S$16:$S$39,[1]CRITERIOS!$Y$16:$Y$39))*$J747+$Z747)/$G747,0)*$G747,
((_xlfn.XLOOKUP($A747,'[1]DATOS PBI Artículos'!$A:$A,'[1]DATOS PBI Artículos'!$AN:$AN))/(_xlfn.XLOOKUP($AJ$1,[1]CRITERIOS!$S$16:$S$39,[1]CRITERIOS!$Y$16:$Y$39))*$J747+$Z747)))</f>
        <v>#N/A</v>
      </c>
      <c r="AK747" s="39" t="e">
        <f>IF($R747="MTO","",
IF($H747=0,ROUNDUP(((_xlfn.XLOOKUP($A747,'[1]DATOS PBI Artículos'!$A:$A,'[1]DATOS PBI Artículos'!$AO:$AO))/(_xlfn.XLOOKUP($AL$1,[1]CRITERIOS!$S$16:$S$39,[1]CRITERIOS!$Y$16:$Y$39))*$J747+$Z747)/$G747,0)*$G747,
((_xlfn.XLOOKUP($A747,'[1]DATOS PBI Artículos'!$A:$A,'[1]DATOS PBI Artículos'!$AO:$AO))/(_xlfn.XLOOKUP($AL$1,[1]CRITERIOS!$S$16:$S$39,[1]CRITERIOS!$Y$16:$Y$39))*$J747+$Z747)))</f>
        <v>#N/A</v>
      </c>
    </row>
    <row r="748" spans="1:37" ht="25.8" hidden="1" x14ac:dyDescent="0.4">
      <c r="A748" s="41"/>
      <c r="B748" s="33">
        <f>_xlfn.XLOOKUP($A748,'[1]DATOS PBI Artículos'!A:A,'[1]DATOS PBI Artículos'!B:B)</f>
        <v>0</v>
      </c>
      <c r="C748" s="33">
        <f>_xlfn.XLOOKUP($A748,'[1]DATOS PBI Artículos'!A:A,'[1]DATOS PBI Artículos'!C:C)</f>
        <v>0</v>
      </c>
      <c r="D748" s="33">
        <f>_xlfn.XLOOKUP(A748,'[1]DATOS PBI Artículos'!A:A,'[1]DATOS PBI Artículos'!T:T)</f>
        <v>0</v>
      </c>
      <c r="E748" s="34">
        <f>IF(_xlfn.XLOOKUP($A748,'[1]DATOS PBI Artículos'!A:A,'[1]DATOS PBI Artículos'!AK:AK)="",_xlfn.XLOOKUP($A748,'[1]DATOS PBI Artículos'!A:A,'[1]DATOS PBI Artículos'!AJ:AJ),_xlfn.XLOOKUP($A748,'[1]DATOS PBI Artículos'!A:A,'[1]DATOS PBI Artículos'!AK:AK))</f>
        <v>0</v>
      </c>
      <c r="F748" s="35">
        <f>_xlfn.XLOOKUP($A748,'[1]DATOS PBI Artículos'!A:A,'[1]DATOS PBI Artículos'!AP:AP)</f>
        <v>0</v>
      </c>
      <c r="G748" s="34">
        <f>_xlfn.XLOOKUP($A748,'[1]DATOS PBI Artículos'!A:A,'[1]DATOS PBI Artículos'!AR:AR)</f>
        <v>0</v>
      </c>
      <c r="H748" s="34">
        <f>_xlfn.XLOOKUP($A748,'[1]DATOS PBI Artículos'!A:A,'[1]DATOS PBI Artículos'!AT:AT)</f>
        <v>0</v>
      </c>
      <c r="I748" s="34">
        <f>_xlfn.XLOOKUP($A748,'[1]DATOS PBI Artículos'!A:A,'[1]DATOS PBI Artículos'!AS:AS)</f>
        <v>0</v>
      </c>
      <c r="J748" s="35">
        <f>IF(COUNTIF([1]CRITERIOS!$F$179:$F$199,$A748)&gt;=1,
 IF(O748&lt;&gt;"",
    (O748/_xlfn.XLOOKUP(CONCATENATE(A748,L748),[1]MÁQUINAS!A:A,[1]MÁQUINAS!D:D))/24,
    (N748/_xlfn.XLOOKUP(CONCATENATE(A748,L748),[1]MÁQUINAS!A:A,[1]MÁQUINAS!D:D))/24),
  _xlfn.XLOOKUP($A748,'[1]DATOS PBI Artículos'!A:A,'[1]DATOS PBI Artículos'!AU:AU))</f>
        <v>0</v>
      </c>
      <c r="K748" s="36">
        <f>_xlfn.XLOOKUP($A748,'[1]DATOS PBI Artículos'!A:A,'[1]DATOS PBI Artículos'!AV:AV)</f>
        <v>0</v>
      </c>
      <c r="L748" s="33">
        <f>_xlfn.XLOOKUP(A748,[1]MÁQUINAS!B:B,[1]MÁQUINAS!C:C)</f>
        <v>0</v>
      </c>
      <c r="M748" s="34">
        <f t="array" ref="M748">_xlfn.XLOOKUP(A748,'[1]DATOS PBI Artículos'!A:A,'[1]DATOS PBI Artículos'!AX:$AX)</f>
        <v>0</v>
      </c>
      <c r="N748" s="37" t="e">
        <f>IF(I748="DV",
E748,
IF(COUNTIF([1]CRITERIOS!$I$179:$I$199,$A748)&gt;=1,
_xlfn.XLOOKUP($A748,[1]CRITERIOS!$I$179:$I$199,[1]CRITERIOS!$J$179:$J$199),
IF(COUNTIF([1]CRITERIOS!$L$179:$L$199,$A748)&gt;=1,
_xlfn.CEILING.MATH(IF($M748&gt;$E748,
$E748,
IF($M748&lt;$E748/ROUNDDOWN([1]CRITERIOS!$M$16/_xlfn.XLOOKUP($C748,[1]CRITERIOS!$K$25:$K$42,[1]CRITERIOS!$M$25:$M$42),
1),
E748/ROUNDDOWN([1]CRITERIOS!$M$16/_xlfn.XLOOKUP($C748,[1]CRITERIOS!$K$25:$K$42,[1]CRITERIOS!$M$25:$M$42),
1),
$M748)),
_xlfn.XLOOKUP($A748,[1]CRITERIOS!$L$179:$L$200,[1]CRITERIOS!$M$179:$M$200)),
_xlfn.CEILING.MATH(IF($M748&gt;$E748,
$E748,
IF($M748&lt;$E748/ROUNDDOWN([1]CRITERIOS!$M$16/_xlfn.XLOOKUP($C748,[1]CRITERIOS!$K$25:$K$42,[1]CRITERIOS!$M$25:$M$42),
1),
E748/ROUNDDOWN([1]CRITERIOS!$M$16/_xlfn.XLOOKUP($C748,[1]CRITERIOS!$K$25:$K$42,[1]CRITERIOS!$M$25:$M$42),
1),
$M748)),_xlfn.XLOOKUP(A748,'[1]DATOS PBI Artículos'!A:A,'[1]DATOS PBI Artículos'!Z:Z
)))))</f>
        <v>#N/A</v>
      </c>
      <c r="Q748" s="38" t="e">
        <f>IF(AND(O748="",N748=0),
0,
   IF(COUNTIF([1]CRITERIOS!$F$179:$F$199,$A748)&gt;=1,
   1,
   IF(R748="MTO",
      $D748,
      ROUNDUP(
                    IF(($E748-SUMIF('[1]DATOS PBI Artículos'!A:A,A748,'[1]DATOS PBI Artículos'!X:X)+($V748-_xlfn.XLOOKUP(A748,'[1]DATOS PBI Artículos'!A:A,'[1]DATOS PBI Artículos'!W:W)))&lt;0,
                    0,
                    IF(($E748-SUMIF('[1]DATOS PBI Artículos'!A:A,A748,'[1]DATOS PBI Artículos'!X:X)+$V748-_xlfn.XLOOKUP($A748,'[1]DATOS PBI Artículos'!A:A,'[1]DATOS PBI Artículos'!W:W))/IF($O748="",$N748,$O748)&gt;ROUNDUP([1]CRITERIOS!$M$16/(IF(COUNTIF([1]CRITERIOS!$BG$11:$BG$201,L748)&gt;=1,_xlfn.XLOOKUP($C748,[1]CRITERIOS!$K$25:$K$42,[1]CRITERIOS!$M$25:$M$42),_xlfn.XLOOKUP($C748,[1]CRITERIOS!$K$25:$K$42,[1]CRITERIOS!$M$25:$M$42))),0),
                    ROUNDUP([1]CRITERIOS!$M$16/(IF(COUNTIF([1]CRITERIOS!$BG$11:$BG$201,$L748)&gt;=1,_xlfn.XLOOKUP($C748,[1]CRITERIOS!$K$25:$K$42,[1]CRITERIOS!$M$25:$M$42),_xlfn.XLOOKUP($C748,[1]CRITERIOS!$K$25:$K$42,[1]CRITERIOS!$M$25:$M$42))),0),
                    (E748+V748-SUMIF('[1]DATOS PBI Artículos'!A:A,A748,'[1]DATOS PBI Artículos'!X:X)-_xlfn.XLOOKUP(A748,'[1]DATOS PBI Artículos'!A:A,'[1]DATOS PBI Artículos'!W:W))/IF($O748="",$N748,$O748))),0))))</f>
        <v>#N/A</v>
      </c>
      <c r="R748" s="33" t="e">
        <f>IF(U748&lt;&gt;"",U748,IF(F748="DV","MTO",IF(N748=0,"MTO",_xlfn.XLOOKUP(CONCATENATE(S748,T748),[1]CRITERIOS!$K$160:$K$168,[1]CRITERIOS!$N$160:$N$168))))</f>
        <v>#N/A</v>
      </c>
      <c r="S748" s="33" t="e">
        <f>IF(G748="DV","MTO",IF(N748=0,"MTO",IF(OR(AND(N748=0,O748=""),IF(O748="",G748/N748,G748/O748)&gt;[1]CRITERIOS!$G$163),"MTO",IF(IF(O748="",G748/N748,G748/O748)&lt;[1]CRITERIOS!$H$161,"MTS","MTOS"))))</f>
        <v>#N/A</v>
      </c>
      <c r="T748" s="33" t="e">
        <f>IF(F748="DV","MTO",IF(OR(AND($N748=0,O748=""),$F748/$J748&gt;[1]CRITERIOS!$G$170,$F748="DV"),"MTO",IF($F748/$J748&lt;[1]CRITERIOS!$H$168,"MTS","MTOS")))</f>
        <v>#N/A</v>
      </c>
      <c r="V748" s="34" t="e">
        <f t="shared" si="37"/>
        <v>#N/A</v>
      </c>
      <c r="X748" s="34" t="e">
        <f t="shared" si="35"/>
        <v>#N/A</v>
      </c>
      <c r="Y748" s="34" t="e">
        <f t="shared" si="36"/>
        <v>#N/A</v>
      </c>
      <c r="Z748" s="34" t="e">
        <f>IF($R748="MTO",
0,
($H748+$K748*($E748/[1]CRITERIOS!$M$16))/[1]CRITERIOS!$X$48)</f>
        <v>#N/A</v>
      </c>
      <c r="AA748" s="34" t="e">
        <f>ROUNDUP(($Y748/_xlfn.XLOOKUP($A748,'[1]DATOS PBI Artículos'!$A$4:$A$4,'[1]DATOS PBI Artículos'!$Z$4:$Z$4))/_xlfn.XLOOKUP(_xlfn.XLOOKUP($A748,'[1]DATOS PBI Artículos'!$A$4:$A$4,'[1]DATOS PBI Artículos'!$Y$4:$Y$4),[1]CRITERIOS!$P$79:$P$123,[1]CRITERIOS!$S$79:$S$123,),0)</f>
        <v>#N/A</v>
      </c>
      <c r="AC748" s="33" t="e">
        <f>IF(N748=0,"",(ROUNDUP((N748/2)/(_xlfn.XLOOKUP(A748,'[1]DATOS PBI Artículos'!$A$4:$A$4,'[1]DATOS PBI Artículos'!$Z$4:$Z$4)*_xlfn.XLOOKUP(_xlfn.XLOOKUP(A748,'[1]DATOS PBI Artículos'!$A$4:$A$4,'[1]DATOS PBI Artículos'!$Y$4:$Y$4),[1]CRITERIOS!$P$79:$P$123,[1]CRITERIOS!$S$79:$S$123)),0)*[1]CRITERIOS!$M$80*([1]CRITERIOS!$M$110/[1]CRITERIOS!$M$86)+(_xlfn.XLOOKUP(A748,'[1]DATOS PBI Artículos'!$A$4:$A$4,'[1]DATOS PBI Artículos'!$AA$4:$AA$4)*([1]CRITERIOS!$M$95+[1]CRITERIOS!$M$98)))/N748)</f>
        <v>#N/A</v>
      </c>
      <c r="AD748" s="33" t="e">
        <f>IF(N748=0,"",(ROUNDUP((N748/2)/(_xlfn.XLOOKUP(A748,'[1]DATOS PBI Artículos'!$A$4:$A$4,'[1]DATOS PBI Artículos'!$Z$4:$Z$4)*_xlfn.XLOOKUP(_xlfn.XLOOKUP(A748,'[1]DATOS PBI Artículos'!$A$4:$A$4,'[1]DATOS PBI Artículos'!$Y$4:$Y$4),[1]CRITERIOS!$P$79:$P$123,[1]CRITERIOS!$S$79:$S$123)),0)*[1]CRITERIOS!$M$80*([1]CRITERIOS!$M$89*[1]CRITERIOS!$M$92)+((_xlfn.XLOOKUP(A748,'[1]DATOS PBI Artículos'!$A$4:$A$4,'[1]DATOS PBI Artículos'!$AA$4:$AA$4)/2)*([1]CRITERIOS!$M$95+[1]CRITERIOS!$M$98)))/N748)</f>
        <v>#N/A</v>
      </c>
      <c r="AE748" s="39" t="e">
        <f>IF($R748="MTO","",
IF($H748=0,ROUNDUP(((_xlfn.XLOOKUP($A748,'[1]DATOS PBI Artículos'!$A:$A,'[1]DATOS PBI Artículos'!$AL:$AL))/(_xlfn.XLOOKUP($AF$1,[1]CRITERIOS!$S$16:$S$39,[1]CRITERIOS!$Y$16:$Y$39))*$J748+$Z748)/$G748,0)*$G748,
((_xlfn.XLOOKUP($A748,'[1]DATOS PBI Artículos'!$A:$A,'[1]DATOS PBI Artículos'!$AL:$AL))/(_xlfn.XLOOKUP($AF$1,[1]CRITERIOS!$S$16:$S$39,[1]CRITERIOS!$Y$16:$Y$39))*$J748+$Z748)))</f>
        <v>#N/A</v>
      </c>
      <c r="AG748" s="39" t="e">
        <f>IF($R748="MTO","",
IF($H748=0,ROUNDUP(((_xlfn.XLOOKUP($A748,'[1]DATOS PBI Artículos'!$A:$A,'[1]DATOS PBI Artículos'!$AM:$AM))/(_xlfn.XLOOKUP($AH$1,[1]CRITERIOS!$S$16:$S$39,[1]CRITERIOS!$Y$16:$Y$39))*$J748+$Z748)/$G748,0)*$G748,
((_xlfn.XLOOKUP($A748,'[1]DATOS PBI Artículos'!$A:$A,'[1]DATOS PBI Artículos'!$AM:$AM))/(_xlfn.XLOOKUP($AH$1,[1]CRITERIOS!$S$16:$S$39,[1]CRITERIOS!$Y$16:$Y$39))*$J748+$Z748)))</f>
        <v>#N/A</v>
      </c>
      <c r="AI748" s="39" t="e">
        <f>IF($R748="MTO","",
IF($H748=0,ROUNDUP(((_xlfn.XLOOKUP($A748,'[1]DATOS PBI Artículos'!$A:$A,'[1]DATOS PBI Artículos'!$AN:$AN))/(_xlfn.XLOOKUP($AJ$1,[1]CRITERIOS!$S$16:$S$39,[1]CRITERIOS!$Y$16:$Y$39))*$J748+$Z748)/$G748,0)*$G748,
((_xlfn.XLOOKUP($A748,'[1]DATOS PBI Artículos'!$A:$A,'[1]DATOS PBI Artículos'!$AN:$AN))/(_xlfn.XLOOKUP($AJ$1,[1]CRITERIOS!$S$16:$S$39,[1]CRITERIOS!$Y$16:$Y$39))*$J748+$Z748)))</f>
        <v>#N/A</v>
      </c>
      <c r="AK748" s="39" t="e">
        <f>IF($R748="MTO","",
IF($H748=0,ROUNDUP(((_xlfn.XLOOKUP($A748,'[1]DATOS PBI Artículos'!$A:$A,'[1]DATOS PBI Artículos'!$AO:$AO))/(_xlfn.XLOOKUP($AL$1,[1]CRITERIOS!$S$16:$S$39,[1]CRITERIOS!$Y$16:$Y$39))*$J748+$Z748)/$G748,0)*$G748,
((_xlfn.XLOOKUP($A748,'[1]DATOS PBI Artículos'!$A:$A,'[1]DATOS PBI Artículos'!$AO:$AO))/(_xlfn.XLOOKUP($AL$1,[1]CRITERIOS!$S$16:$S$39,[1]CRITERIOS!$Y$16:$Y$39))*$J748+$Z748)))</f>
        <v>#N/A</v>
      </c>
    </row>
    <row r="749" spans="1:37" ht="25.8" hidden="1" x14ac:dyDescent="0.4">
      <c r="A749" s="41"/>
      <c r="B749" s="33">
        <f>_xlfn.XLOOKUP($A749,'[1]DATOS PBI Artículos'!A:A,'[1]DATOS PBI Artículos'!B:B)</f>
        <v>0</v>
      </c>
      <c r="C749" s="33">
        <f>_xlfn.XLOOKUP($A749,'[1]DATOS PBI Artículos'!A:A,'[1]DATOS PBI Artículos'!C:C)</f>
        <v>0</v>
      </c>
      <c r="D749" s="33">
        <f>_xlfn.XLOOKUP(A749,'[1]DATOS PBI Artículos'!A:A,'[1]DATOS PBI Artículos'!T:T)</f>
        <v>0</v>
      </c>
      <c r="E749" s="34">
        <f>IF(_xlfn.XLOOKUP($A749,'[1]DATOS PBI Artículos'!A:A,'[1]DATOS PBI Artículos'!AK:AK)="",_xlfn.XLOOKUP($A749,'[1]DATOS PBI Artículos'!A:A,'[1]DATOS PBI Artículos'!AJ:AJ),_xlfn.XLOOKUP($A749,'[1]DATOS PBI Artículos'!A:A,'[1]DATOS PBI Artículos'!AK:AK))</f>
        <v>0</v>
      </c>
      <c r="F749" s="35">
        <f>_xlfn.XLOOKUP($A749,'[1]DATOS PBI Artículos'!A:A,'[1]DATOS PBI Artículos'!AP:AP)</f>
        <v>0</v>
      </c>
      <c r="G749" s="34">
        <f>_xlfn.XLOOKUP($A749,'[1]DATOS PBI Artículos'!A:A,'[1]DATOS PBI Artículos'!AR:AR)</f>
        <v>0</v>
      </c>
      <c r="H749" s="34">
        <f>_xlfn.XLOOKUP($A749,'[1]DATOS PBI Artículos'!A:A,'[1]DATOS PBI Artículos'!AT:AT)</f>
        <v>0</v>
      </c>
      <c r="I749" s="34">
        <f>_xlfn.XLOOKUP($A749,'[1]DATOS PBI Artículos'!A:A,'[1]DATOS PBI Artículos'!AS:AS)</f>
        <v>0</v>
      </c>
      <c r="J749" s="35">
        <f>IF(COUNTIF([1]CRITERIOS!$F$179:$F$199,$A749)&gt;=1,
 IF(O749&lt;&gt;"",
    (O749/_xlfn.XLOOKUP(CONCATENATE(A749,L749),[1]MÁQUINAS!A:A,[1]MÁQUINAS!D:D))/24,
    (N749/_xlfn.XLOOKUP(CONCATENATE(A749,L749),[1]MÁQUINAS!A:A,[1]MÁQUINAS!D:D))/24),
  _xlfn.XLOOKUP($A749,'[1]DATOS PBI Artículos'!A:A,'[1]DATOS PBI Artículos'!AU:AU))</f>
        <v>0</v>
      </c>
      <c r="K749" s="36">
        <f>_xlfn.XLOOKUP($A749,'[1]DATOS PBI Artículos'!A:A,'[1]DATOS PBI Artículos'!AV:AV)</f>
        <v>0</v>
      </c>
      <c r="L749" s="33">
        <f>_xlfn.XLOOKUP(A749,[1]MÁQUINAS!B:B,[1]MÁQUINAS!C:C)</f>
        <v>0</v>
      </c>
      <c r="M749" s="34">
        <f t="array" ref="M749">_xlfn.XLOOKUP(A749,'[1]DATOS PBI Artículos'!A:A,'[1]DATOS PBI Artículos'!AX:$AX)</f>
        <v>0</v>
      </c>
      <c r="N749" s="37" t="e">
        <f>IF(I749="DV",
E749,
IF(COUNTIF([1]CRITERIOS!$I$179:$I$199,$A749)&gt;=1,
_xlfn.XLOOKUP($A749,[1]CRITERIOS!$I$179:$I$199,[1]CRITERIOS!$J$179:$J$199),
IF(COUNTIF([1]CRITERIOS!$L$179:$L$199,$A749)&gt;=1,
_xlfn.CEILING.MATH(IF($M749&gt;$E749,
$E749,
IF($M749&lt;$E749/ROUNDDOWN([1]CRITERIOS!$M$16/_xlfn.XLOOKUP($C749,[1]CRITERIOS!$K$25:$K$42,[1]CRITERIOS!$M$25:$M$42),
1),
E749/ROUNDDOWN([1]CRITERIOS!$M$16/_xlfn.XLOOKUP($C749,[1]CRITERIOS!$K$25:$K$42,[1]CRITERIOS!$M$25:$M$42),
1),
$M749)),
_xlfn.XLOOKUP($A749,[1]CRITERIOS!$L$179:$L$200,[1]CRITERIOS!$M$179:$M$200)),
_xlfn.CEILING.MATH(IF($M749&gt;$E749,
$E749,
IF($M749&lt;$E749/ROUNDDOWN([1]CRITERIOS!$M$16/_xlfn.XLOOKUP($C749,[1]CRITERIOS!$K$25:$K$42,[1]CRITERIOS!$M$25:$M$42),
1),
E749/ROUNDDOWN([1]CRITERIOS!$M$16/_xlfn.XLOOKUP($C749,[1]CRITERIOS!$K$25:$K$42,[1]CRITERIOS!$M$25:$M$42),
1),
$M749)),_xlfn.XLOOKUP(A749,'[1]DATOS PBI Artículos'!A:A,'[1]DATOS PBI Artículos'!Z:Z
)))))</f>
        <v>#N/A</v>
      </c>
      <c r="Q749" s="38" t="e">
        <f>IF(AND(O749="",N749=0),
0,
   IF(COUNTIF([1]CRITERIOS!$F$179:$F$199,$A749)&gt;=1,
   1,
   IF(R749="MTO",
      $D749,
      ROUNDUP(
                    IF(($E749-SUMIF('[1]DATOS PBI Artículos'!A:A,A749,'[1]DATOS PBI Artículos'!X:X)+($V749-_xlfn.XLOOKUP(A749,'[1]DATOS PBI Artículos'!A:A,'[1]DATOS PBI Artículos'!W:W)))&lt;0,
                    0,
                    IF(($E749-SUMIF('[1]DATOS PBI Artículos'!A:A,A749,'[1]DATOS PBI Artículos'!X:X)+$V749-_xlfn.XLOOKUP($A749,'[1]DATOS PBI Artículos'!A:A,'[1]DATOS PBI Artículos'!W:W))/IF($O749="",$N749,$O749)&gt;ROUNDUP([1]CRITERIOS!$M$16/(IF(COUNTIF([1]CRITERIOS!$BG$11:$BG$201,L749)&gt;=1,_xlfn.XLOOKUP($C749,[1]CRITERIOS!$K$25:$K$42,[1]CRITERIOS!$M$25:$M$42),_xlfn.XLOOKUP($C749,[1]CRITERIOS!$K$25:$K$42,[1]CRITERIOS!$M$25:$M$42))),0),
                    ROUNDUP([1]CRITERIOS!$M$16/(IF(COUNTIF([1]CRITERIOS!$BG$11:$BG$201,$L749)&gt;=1,_xlfn.XLOOKUP($C749,[1]CRITERIOS!$K$25:$K$42,[1]CRITERIOS!$M$25:$M$42),_xlfn.XLOOKUP($C749,[1]CRITERIOS!$K$25:$K$42,[1]CRITERIOS!$M$25:$M$42))),0),
                    (E749+V749-SUMIF('[1]DATOS PBI Artículos'!A:A,A749,'[1]DATOS PBI Artículos'!X:X)-_xlfn.XLOOKUP(A749,'[1]DATOS PBI Artículos'!A:A,'[1]DATOS PBI Artículos'!W:W))/IF($O749="",$N749,$O749))),0))))</f>
        <v>#N/A</v>
      </c>
      <c r="R749" s="33" t="e">
        <f>IF(U749&lt;&gt;"",U749,IF(F749="DV","MTO",IF(N749=0,"MTO",_xlfn.XLOOKUP(CONCATENATE(S749,T749),[1]CRITERIOS!$K$160:$K$168,[1]CRITERIOS!$N$160:$N$168))))</f>
        <v>#N/A</v>
      </c>
      <c r="S749" s="33" t="e">
        <f>IF(G749="DV","MTO",IF(N749=0,"MTO",IF(OR(AND(N749=0,O749=""),IF(O749="",G749/N749,G749/O749)&gt;[1]CRITERIOS!$G$163),"MTO",IF(IF(O749="",G749/N749,G749/O749)&lt;[1]CRITERIOS!$H$161,"MTS","MTOS"))))</f>
        <v>#N/A</v>
      </c>
      <c r="T749" s="33" t="e">
        <f>IF(F749="DV","MTO",IF(OR(AND($N749=0,O749=""),$F749/$J749&gt;[1]CRITERIOS!$G$170,$F749="DV"),"MTO",IF($F749/$J749&lt;[1]CRITERIOS!$H$168,"MTS","MTOS")))</f>
        <v>#N/A</v>
      </c>
      <c r="V749" s="34" t="e">
        <f t="shared" si="37"/>
        <v>#N/A</v>
      </c>
      <c r="X749" s="34" t="e">
        <f t="shared" si="35"/>
        <v>#N/A</v>
      </c>
      <c r="Y749" s="34" t="e">
        <f t="shared" si="36"/>
        <v>#N/A</v>
      </c>
      <c r="Z749" s="34" t="e">
        <f>IF($R749="MTO",
0,
($H749+$K749*($E749/[1]CRITERIOS!$M$16))/[1]CRITERIOS!$X$48)</f>
        <v>#N/A</v>
      </c>
      <c r="AA749" s="34" t="e">
        <f>ROUNDUP(($Y749/_xlfn.XLOOKUP($A749,'[1]DATOS PBI Artículos'!$A$4:$A$4,'[1]DATOS PBI Artículos'!$Z$4:$Z$4))/_xlfn.XLOOKUP(_xlfn.XLOOKUP($A749,'[1]DATOS PBI Artículos'!$A$4:$A$4,'[1]DATOS PBI Artículos'!$Y$4:$Y$4),[1]CRITERIOS!$P$79:$P$123,[1]CRITERIOS!$S$79:$S$123,),0)</f>
        <v>#N/A</v>
      </c>
      <c r="AC749" s="33" t="e">
        <f>IF(N749=0,"",(ROUNDUP((N749/2)/(_xlfn.XLOOKUP(A749,'[1]DATOS PBI Artículos'!$A$4:$A$4,'[1]DATOS PBI Artículos'!$Z$4:$Z$4)*_xlfn.XLOOKUP(_xlfn.XLOOKUP(A749,'[1]DATOS PBI Artículos'!$A$4:$A$4,'[1]DATOS PBI Artículos'!$Y$4:$Y$4),[1]CRITERIOS!$P$79:$P$123,[1]CRITERIOS!$S$79:$S$123)),0)*[1]CRITERIOS!$M$80*([1]CRITERIOS!$M$110/[1]CRITERIOS!$M$86)+(_xlfn.XLOOKUP(A749,'[1]DATOS PBI Artículos'!$A$4:$A$4,'[1]DATOS PBI Artículos'!$AA$4:$AA$4)*([1]CRITERIOS!$M$95+[1]CRITERIOS!$M$98)))/N749)</f>
        <v>#N/A</v>
      </c>
      <c r="AD749" s="33" t="e">
        <f>IF(N749=0,"",(ROUNDUP((N749/2)/(_xlfn.XLOOKUP(A749,'[1]DATOS PBI Artículos'!$A$4:$A$4,'[1]DATOS PBI Artículos'!$Z$4:$Z$4)*_xlfn.XLOOKUP(_xlfn.XLOOKUP(A749,'[1]DATOS PBI Artículos'!$A$4:$A$4,'[1]DATOS PBI Artículos'!$Y$4:$Y$4),[1]CRITERIOS!$P$79:$P$123,[1]CRITERIOS!$S$79:$S$123)),0)*[1]CRITERIOS!$M$80*([1]CRITERIOS!$M$89*[1]CRITERIOS!$M$92)+((_xlfn.XLOOKUP(A749,'[1]DATOS PBI Artículos'!$A$4:$A$4,'[1]DATOS PBI Artículos'!$AA$4:$AA$4)/2)*([1]CRITERIOS!$M$95+[1]CRITERIOS!$M$98)))/N749)</f>
        <v>#N/A</v>
      </c>
      <c r="AE749" s="39" t="e">
        <f>IF($R749="MTO","",
IF($H749=0,ROUNDUP(((_xlfn.XLOOKUP($A749,'[1]DATOS PBI Artículos'!$A:$A,'[1]DATOS PBI Artículos'!$AL:$AL))/(_xlfn.XLOOKUP($AF$1,[1]CRITERIOS!$S$16:$S$39,[1]CRITERIOS!$Y$16:$Y$39))*$J749+$Z749)/$G749,0)*$G749,
((_xlfn.XLOOKUP($A749,'[1]DATOS PBI Artículos'!$A:$A,'[1]DATOS PBI Artículos'!$AL:$AL))/(_xlfn.XLOOKUP($AF$1,[1]CRITERIOS!$S$16:$S$39,[1]CRITERIOS!$Y$16:$Y$39))*$J749+$Z749)))</f>
        <v>#N/A</v>
      </c>
      <c r="AG749" s="39" t="e">
        <f>IF($R749="MTO","",
IF($H749=0,ROUNDUP(((_xlfn.XLOOKUP($A749,'[1]DATOS PBI Artículos'!$A:$A,'[1]DATOS PBI Artículos'!$AM:$AM))/(_xlfn.XLOOKUP($AH$1,[1]CRITERIOS!$S$16:$S$39,[1]CRITERIOS!$Y$16:$Y$39))*$J749+$Z749)/$G749,0)*$G749,
((_xlfn.XLOOKUP($A749,'[1]DATOS PBI Artículos'!$A:$A,'[1]DATOS PBI Artículos'!$AM:$AM))/(_xlfn.XLOOKUP($AH$1,[1]CRITERIOS!$S$16:$S$39,[1]CRITERIOS!$Y$16:$Y$39))*$J749+$Z749)))</f>
        <v>#N/A</v>
      </c>
      <c r="AI749" s="39" t="e">
        <f>IF($R749="MTO","",
IF($H749=0,ROUNDUP(((_xlfn.XLOOKUP($A749,'[1]DATOS PBI Artículos'!$A:$A,'[1]DATOS PBI Artículos'!$AN:$AN))/(_xlfn.XLOOKUP($AJ$1,[1]CRITERIOS!$S$16:$S$39,[1]CRITERIOS!$Y$16:$Y$39))*$J749+$Z749)/$G749,0)*$G749,
((_xlfn.XLOOKUP($A749,'[1]DATOS PBI Artículos'!$A:$A,'[1]DATOS PBI Artículos'!$AN:$AN))/(_xlfn.XLOOKUP($AJ$1,[1]CRITERIOS!$S$16:$S$39,[1]CRITERIOS!$Y$16:$Y$39))*$J749+$Z749)))</f>
        <v>#N/A</v>
      </c>
      <c r="AK749" s="39" t="e">
        <f>IF($R749="MTO","",
IF($H749=0,ROUNDUP(((_xlfn.XLOOKUP($A749,'[1]DATOS PBI Artículos'!$A:$A,'[1]DATOS PBI Artículos'!$AO:$AO))/(_xlfn.XLOOKUP($AL$1,[1]CRITERIOS!$S$16:$S$39,[1]CRITERIOS!$Y$16:$Y$39))*$J749+$Z749)/$G749,0)*$G749,
((_xlfn.XLOOKUP($A749,'[1]DATOS PBI Artículos'!$A:$A,'[1]DATOS PBI Artículos'!$AO:$AO))/(_xlfn.XLOOKUP($AL$1,[1]CRITERIOS!$S$16:$S$39,[1]CRITERIOS!$Y$16:$Y$39))*$J749+$Z749)))</f>
        <v>#N/A</v>
      </c>
    </row>
    <row r="750" spans="1:37" ht="25.8" hidden="1" x14ac:dyDescent="0.4">
      <c r="A750" s="41"/>
      <c r="B750" s="33">
        <f>_xlfn.XLOOKUP($A750,'[1]DATOS PBI Artículos'!A:A,'[1]DATOS PBI Artículos'!B:B)</f>
        <v>0</v>
      </c>
      <c r="C750" s="33">
        <f>_xlfn.XLOOKUP($A750,'[1]DATOS PBI Artículos'!A:A,'[1]DATOS PBI Artículos'!C:C)</f>
        <v>0</v>
      </c>
      <c r="D750" s="33">
        <f>_xlfn.XLOOKUP(A750,'[1]DATOS PBI Artículos'!A:A,'[1]DATOS PBI Artículos'!T:T)</f>
        <v>0</v>
      </c>
      <c r="E750" s="34">
        <f>IF(_xlfn.XLOOKUP($A750,'[1]DATOS PBI Artículos'!A:A,'[1]DATOS PBI Artículos'!AK:AK)="",_xlfn.XLOOKUP($A750,'[1]DATOS PBI Artículos'!A:A,'[1]DATOS PBI Artículos'!AJ:AJ),_xlfn.XLOOKUP($A750,'[1]DATOS PBI Artículos'!A:A,'[1]DATOS PBI Artículos'!AK:AK))</f>
        <v>0</v>
      </c>
      <c r="F750" s="35">
        <f>_xlfn.XLOOKUP($A750,'[1]DATOS PBI Artículos'!A:A,'[1]DATOS PBI Artículos'!AP:AP)</f>
        <v>0</v>
      </c>
      <c r="G750" s="34">
        <f>_xlfn.XLOOKUP($A750,'[1]DATOS PBI Artículos'!A:A,'[1]DATOS PBI Artículos'!AR:AR)</f>
        <v>0</v>
      </c>
      <c r="H750" s="34">
        <f>_xlfn.XLOOKUP($A750,'[1]DATOS PBI Artículos'!A:A,'[1]DATOS PBI Artículos'!AT:AT)</f>
        <v>0</v>
      </c>
      <c r="I750" s="34">
        <f>_xlfn.XLOOKUP($A750,'[1]DATOS PBI Artículos'!A:A,'[1]DATOS PBI Artículos'!AS:AS)</f>
        <v>0</v>
      </c>
      <c r="J750" s="35">
        <f>IF(COUNTIF([1]CRITERIOS!$F$179:$F$199,$A750)&gt;=1,
 IF(O750&lt;&gt;"",
    (O750/_xlfn.XLOOKUP(CONCATENATE(A750,L750),[1]MÁQUINAS!A:A,[1]MÁQUINAS!D:D))/24,
    (N750/_xlfn.XLOOKUP(CONCATENATE(A750,L750),[1]MÁQUINAS!A:A,[1]MÁQUINAS!D:D))/24),
  _xlfn.XLOOKUP($A750,'[1]DATOS PBI Artículos'!A:A,'[1]DATOS PBI Artículos'!AU:AU))</f>
        <v>0</v>
      </c>
      <c r="K750" s="36">
        <f>_xlfn.XLOOKUP($A750,'[1]DATOS PBI Artículos'!A:A,'[1]DATOS PBI Artículos'!AV:AV)</f>
        <v>0</v>
      </c>
      <c r="L750" s="33">
        <f>_xlfn.XLOOKUP(A750,[1]MÁQUINAS!B:B,[1]MÁQUINAS!C:C)</f>
        <v>0</v>
      </c>
      <c r="M750" s="34">
        <f t="array" ref="M750">_xlfn.XLOOKUP(A750,'[1]DATOS PBI Artículos'!A:A,'[1]DATOS PBI Artículos'!AX:$AX)</f>
        <v>0</v>
      </c>
      <c r="N750" s="37" t="e">
        <f>IF(I750="DV",
E750,
IF(COUNTIF([1]CRITERIOS!$I$179:$I$199,$A750)&gt;=1,
_xlfn.XLOOKUP($A750,[1]CRITERIOS!$I$179:$I$199,[1]CRITERIOS!$J$179:$J$199),
IF(COUNTIF([1]CRITERIOS!$L$179:$L$199,$A750)&gt;=1,
_xlfn.CEILING.MATH(IF($M750&gt;$E750,
$E750,
IF($M750&lt;$E750/ROUNDDOWN([1]CRITERIOS!$M$16/_xlfn.XLOOKUP($C750,[1]CRITERIOS!$K$25:$K$42,[1]CRITERIOS!$M$25:$M$42),
1),
E750/ROUNDDOWN([1]CRITERIOS!$M$16/_xlfn.XLOOKUP($C750,[1]CRITERIOS!$K$25:$K$42,[1]CRITERIOS!$M$25:$M$42),
1),
$M750)),
_xlfn.XLOOKUP($A750,[1]CRITERIOS!$L$179:$L$200,[1]CRITERIOS!$M$179:$M$200)),
_xlfn.CEILING.MATH(IF($M750&gt;$E750,
$E750,
IF($M750&lt;$E750/ROUNDDOWN([1]CRITERIOS!$M$16/_xlfn.XLOOKUP($C750,[1]CRITERIOS!$K$25:$K$42,[1]CRITERIOS!$M$25:$M$42),
1),
E750/ROUNDDOWN([1]CRITERIOS!$M$16/_xlfn.XLOOKUP($C750,[1]CRITERIOS!$K$25:$K$42,[1]CRITERIOS!$M$25:$M$42),
1),
$M750)),_xlfn.XLOOKUP(A750,'[1]DATOS PBI Artículos'!A:A,'[1]DATOS PBI Artículos'!Z:Z
)))))</f>
        <v>#N/A</v>
      </c>
      <c r="Q750" s="38" t="e">
        <f>IF(AND(O750="",N750=0),
0,
   IF(COUNTIF([1]CRITERIOS!$F$179:$F$199,$A750)&gt;=1,
   1,
   IF(R750="MTO",
      $D750,
      ROUNDUP(
                    IF(($E750-SUMIF('[1]DATOS PBI Artículos'!A:A,A750,'[1]DATOS PBI Artículos'!X:X)+($V750-_xlfn.XLOOKUP(A750,'[1]DATOS PBI Artículos'!A:A,'[1]DATOS PBI Artículos'!W:W)))&lt;0,
                    0,
                    IF(($E750-SUMIF('[1]DATOS PBI Artículos'!A:A,A750,'[1]DATOS PBI Artículos'!X:X)+$V750-_xlfn.XLOOKUP($A750,'[1]DATOS PBI Artículos'!A:A,'[1]DATOS PBI Artículos'!W:W))/IF($O750="",$N750,$O750)&gt;ROUNDUP([1]CRITERIOS!$M$16/(IF(COUNTIF([1]CRITERIOS!$BG$11:$BG$201,L750)&gt;=1,_xlfn.XLOOKUP($C750,[1]CRITERIOS!$K$25:$K$42,[1]CRITERIOS!$M$25:$M$42),_xlfn.XLOOKUP($C750,[1]CRITERIOS!$K$25:$K$42,[1]CRITERIOS!$M$25:$M$42))),0),
                    ROUNDUP([1]CRITERIOS!$M$16/(IF(COUNTIF([1]CRITERIOS!$BG$11:$BG$201,$L750)&gt;=1,_xlfn.XLOOKUP($C750,[1]CRITERIOS!$K$25:$K$42,[1]CRITERIOS!$M$25:$M$42),_xlfn.XLOOKUP($C750,[1]CRITERIOS!$K$25:$K$42,[1]CRITERIOS!$M$25:$M$42))),0),
                    (E750+V750-SUMIF('[1]DATOS PBI Artículos'!A:A,A750,'[1]DATOS PBI Artículos'!X:X)-_xlfn.XLOOKUP(A750,'[1]DATOS PBI Artículos'!A:A,'[1]DATOS PBI Artículos'!W:W))/IF($O750="",$N750,$O750))),0))))</f>
        <v>#N/A</v>
      </c>
      <c r="R750" s="33" t="e">
        <f>IF(U750&lt;&gt;"",U750,IF(F750="DV","MTO",IF(N750=0,"MTO",_xlfn.XLOOKUP(CONCATENATE(S750,T750),[1]CRITERIOS!$K$160:$K$168,[1]CRITERIOS!$N$160:$N$168))))</f>
        <v>#N/A</v>
      </c>
      <c r="S750" s="33" t="e">
        <f>IF(G750="DV","MTO",IF(N750=0,"MTO",IF(OR(AND(N750=0,O750=""),IF(O750="",G750/N750,G750/O750)&gt;[1]CRITERIOS!$G$163),"MTO",IF(IF(O750="",G750/N750,G750/O750)&lt;[1]CRITERIOS!$H$161,"MTS","MTOS"))))</f>
        <v>#N/A</v>
      </c>
      <c r="T750" s="33" t="e">
        <f>IF(F750="DV","MTO",IF(OR(AND($N750=0,O750=""),$F750/$J750&gt;[1]CRITERIOS!$G$170,$F750="DV"),"MTO",IF($F750/$J750&lt;[1]CRITERIOS!$H$168,"MTS","MTOS")))</f>
        <v>#N/A</v>
      </c>
      <c r="V750" s="34" t="e">
        <f t="shared" si="37"/>
        <v>#N/A</v>
      </c>
      <c r="X750" s="34" t="e">
        <f t="shared" si="35"/>
        <v>#N/A</v>
      </c>
      <c r="Y750" s="34" t="e">
        <f t="shared" si="36"/>
        <v>#N/A</v>
      </c>
      <c r="Z750" s="34" t="e">
        <f>IF($R750="MTO",
0,
($H750+$K750*($E750/[1]CRITERIOS!$M$16))/[1]CRITERIOS!$X$48)</f>
        <v>#N/A</v>
      </c>
      <c r="AA750" s="34" t="e">
        <f>ROUNDUP(($Y750/_xlfn.XLOOKUP($A750,'[1]DATOS PBI Artículos'!$A$4:$A$4,'[1]DATOS PBI Artículos'!$Z$4:$Z$4))/_xlfn.XLOOKUP(_xlfn.XLOOKUP($A750,'[1]DATOS PBI Artículos'!$A$4:$A$4,'[1]DATOS PBI Artículos'!$Y$4:$Y$4),[1]CRITERIOS!$P$79:$P$123,[1]CRITERIOS!$S$79:$S$123,),0)</f>
        <v>#N/A</v>
      </c>
      <c r="AC750" s="33" t="e">
        <f>IF(N750=0,"",(ROUNDUP((N750/2)/(_xlfn.XLOOKUP(A750,'[1]DATOS PBI Artículos'!$A$4:$A$4,'[1]DATOS PBI Artículos'!$Z$4:$Z$4)*_xlfn.XLOOKUP(_xlfn.XLOOKUP(A750,'[1]DATOS PBI Artículos'!$A$4:$A$4,'[1]DATOS PBI Artículos'!$Y$4:$Y$4),[1]CRITERIOS!$P$79:$P$123,[1]CRITERIOS!$S$79:$S$123)),0)*[1]CRITERIOS!$M$80*([1]CRITERIOS!$M$110/[1]CRITERIOS!$M$86)+(_xlfn.XLOOKUP(A750,'[1]DATOS PBI Artículos'!$A$4:$A$4,'[1]DATOS PBI Artículos'!$AA$4:$AA$4)*([1]CRITERIOS!$M$95+[1]CRITERIOS!$M$98)))/N750)</f>
        <v>#N/A</v>
      </c>
      <c r="AD750" s="33" t="e">
        <f>IF(N750=0,"",(ROUNDUP((N750/2)/(_xlfn.XLOOKUP(A750,'[1]DATOS PBI Artículos'!$A$4:$A$4,'[1]DATOS PBI Artículos'!$Z$4:$Z$4)*_xlfn.XLOOKUP(_xlfn.XLOOKUP(A750,'[1]DATOS PBI Artículos'!$A$4:$A$4,'[1]DATOS PBI Artículos'!$Y$4:$Y$4),[1]CRITERIOS!$P$79:$P$123,[1]CRITERIOS!$S$79:$S$123)),0)*[1]CRITERIOS!$M$80*([1]CRITERIOS!$M$89*[1]CRITERIOS!$M$92)+((_xlfn.XLOOKUP(A750,'[1]DATOS PBI Artículos'!$A$4:$A$4,'[1]DATOS PBI Artículos'!$AA$4:$AA$4)/2)*([1]CRITERIOS!$M$95+[1]CRITERIOS!$M$98)))/N750)</f>
        <v>#N/A</v>
      </c>
      <c r="AE750" s="39" t="e">
        <f>IF($R750="MTO","",
IF($H750=0,ROUNDUP(((_xlfn.XLOOKUP($A750,'[1]DATOS PBI Artículos'!$A:$A,'[1]DATOS PBI Artículos'!$AL:$AL))/(_xlfn.XLOOKUP($AF$1,[1]CRITERIOS!$S$16:$S$39,[1]CRITERIOS!$Y$16:$Y$39))*$J750+$Z750)/$G750,0)*$G750,
((_xlfn.XLOOKUP($A750,'[1]DATOS PBI Artículos'!$A:$A,'[1]DATOS PBI Artículos'!$AL:$AL))/(_xlfn.XLOOKUP($AF$1,[1]CRITERIOS!$S$16:$S$39,[1]CRITERIOS!$Y$16:$Y$39))*$J750+$Z750)))</f>
        <v>#N/A</v>
      </c>
      <c r="AG750" s="39" t="e">
        <f>IF($R750="MTO","",
IF($H750=0,ROUNDUP(((_xlfn.XLOOKUP($A750,'[1]DATOS PBI Artículos'!$A:$A,'[1]DATOS PBI Artículos'!$AM:$AM))/(_xlfn.XLOOKUP($AH$1,[1]CRITERIOS!$S$16:$S$39,[1]CRITERIOS!$Y$16:$Y$39))*$J750+$Z750)/$G750,0)*$G750,
((_xlfn.XLOOKUP($A750,'[1]DATOS PBI Artículos'!$A:$A,'[1]DATOS PBI Artículos'!$AM:$AM))/(_xlfn.XLOOKUP($AH$1,[1]CRITERIOS!$S$16:$S$39,[1]CRITERIOS!$Y$16:$Y$39))*$J750+$Z750)))</f>
        <v>#N/A</v>
      </c>
      <c r="AI750" s="39" t="e">
        <f>IF($R750="MTO","",
IF($H750=0,ROUNDUP(((_xlfn.XLOOKUP($A750,'[1]DATOS PBI Artículos'!$A:$A,'[1]DATOS PBI Artículos'!$AN:$AN))/(_xlfn.XLOOKUP($AJ$1,[1]CRITERIOS!$S$16:$S$39,[1]CRITERIOS!$Y$16:$Y$39))*$J750+$Z750)/$G750,0)*$G750,
((_xlfn.XLOOKUP($A750,'[1]DATOS PBI Artículos'!$A:$A,'[1]DATOS PBI Artículos'!$AN:$AN))/(_xlfn.XLOOKUP($AJ$1,[1]CRITERIOS!$S$16:$S$39,[1]CRITERIOS!$Y$16:$Y$39))*$J750+$Z750)))</f>
        <v>#N/A</v>
      </c>
      <c r="AK750" s="39" t="e">
        <f>IF($R750="MTO","",
IF($H750=0,ROUNDUP(((_xlfn.XLOOKUP($A750,'[1]DATOS PBI Artículos'!$A:$A,'[1]DATOS PBI Artículos'!$AO:$AO))/(_xlfn.XLOOKUP($AL$1,[1]CRITERIOS!$S$16:$S$39,[1]CRITERIOS!$Y$16:$Y$39))*$J750+$Z750)/$G750,0)*$G750,
((_xlfn.XLOOKUP($A750,'[1]DATOS PBI Artículos'!$A:$A,'[1]DATOS PBI Artículos'!$AO:$AO))/(_xlfn.XLOOKUP($AL$1,[1]CRITERIOS!$S$16:$S$39,[1]CRITERIOS!$Y$16:$Y$39))*$J750+$Z750)))</f>
        <v>#N/A</v>
      </c>
    </row>
    <row r="751" spans="1:37" ht="25.8" hidden="1" x14ac:dyDescent="0.4">
      <c r="A751" s="41"/>
      <c r="B751" s="33">
        <f>_xlfn.XLOOKUP($A751,'[1]DATOS PBI Artículos'!A:A,'[1]DATOS PBI Artículos'!B:B)</f>
        <v>0</v>
      </c>
      <c r="C751" s="33">
        <f>_xlfn.XLOOKUP($A751,'[1]DATOS PBI Artículos'!A:A,'[1]DATOS PBI Artículos'!C:C)</f>
        <v>0</v>
      </c>
      <c r="D751" s="33">
        <f>_xlfn.XLOOKUP(A751,'[1]DATOS PBI Artículos'!A:A,'[1]DATOS PBI Artículos'!T:T)</f>
        <v>0</v>
      </c>
      <c r="E751" s="34">
        <f>IF(_xlfn.XLOOKUP($A751,'[1]DATOS PBI Artículos'!A:A,'[1]DATOS PBI Artículos'!AK:AK)="",_xlfn.XLOOKUP($A751,'[1]DATOS PBI Artículos'!A:A,'[1]DATOS PBI Artículos'!AJ:AJ),_xlfn.XLOOKUP($A751,'[1]DATOS PBI Artículos'!A:A,'[1]DATOS PBI Artículos'!AK:AK))</f>
        <v>0</v>
      </c>
      <c r="F751" s="35">
        <f>_xlfn.XLOOKUP($A751,'[1]DATOS PBI Artículos'!A:A,'[1]DATOS PBI Artículos'!AP:AP)</f>
        <v>0</v>
      </c>
      <c r="G751" s="34">
        <f>_xlfn.XLOOKUP($A751,'[1]DATOS PBI Artículos'!A:A,'[1]DATOS PBI Artículos'!AR:AR)</f>
        <v>0</v>
      </c>
      <c r="H751" s="34">
        <f>_xlfn.XLOOKUP($A751,'[1]DATOS PBI Artículos'!A:A,'[1]DATOS PBI Artículos'!AT:AT)</f>
        <v>0</v>
      </c>
      <c r="I751" s="34">
        <f>_xlfn.XLOOKUP($A751,'[1]DATOS PBI Artículos'!A:A,'[1]DATOS PBI Artículos'!AS:AS)</f>
        <v>0</v>
      </c>
      <c r="J751" s="35">
        <f>IF(COUNTIF([1]CRITERIOS!$F$179:$F$199,$A751)&gt;=1,
 IF(O751&lt;&gt;"",
    (O751/_xlfn.XLOOKUP(CONCATENATE(A751,L751),[1]MÁQUINAS!A:A,[1]MÁQUINAS!D:D))/24,
    (N751/_xlfn.XLOOKUP(CONCATENATE(A751,L751),[1]MÁQUINAS!A:A,[1]MÁQUINAS!D:D))/24),
  _xlfn.XLOOKUP($A751,'[1]DATOS PBI Artículos'!A:A,'[1]DATOS PBI Artículos'!AU:AU))</f>
        <v>0</v>
      </c>
      <c r="K751" s="36">
        <f>_xlfn.XLOOKUP($A751,'[1]DATOS PBI Artículos'!A:A,'[1]DATOS PBI Artículos'!AV:AV)</f>
        <v>0</v>
      </c>
      <c r="L751" s="33">
        <f>_xlfn.XLOOKUP(A751,[1]MÁQUINAS!B:B,[1]MÁQUINAS!C:C)</f>
        <v>0</v>
      </c>
      <c r="M751" s="34">
        <f t="array" ref="M751">_xlfn.XLOOKUP(A751,'[1]DATOS PBI Artículos'!A:A,'[1]DATOS PBI Artículos'!AX:$AX)</f>
        <v>0</v>
      </c>
      <c r="N751" s="37" t="e">
        <f>IF(I751="DV",
E751,
IF(COUNTIF([1]CRITERIOS!$I$179:$I$199,$A751)&gt;=1,
_xlfn.XLOOKUP($A751,[1]CRITERIOS!$I$179:$I$199,[1]CRITERIOS!$J$179:$J$199),
IF(COUNTIF([1]CRITERIOS!$L$179:$L$199,$A751)&gt;=1,
_xlfn.CEILING.MATH(IF($M751&gt;$E751,
$E751,
IF($M751&lt;$E751/ROUNDDOWN([1]CRITERIOS!$M$16/_xlfn.XLOOKUP($C751,[1]CRITERIOS!$K$25:$K$42,[1]CRITERIOS!$M$25:$M$42),
1),
E751/ROUNDDOWN([1]CRITERIOS!$M$16/_xlfn.XLOOKUP($C751,[1]CRITERIOS!$K$25:$K$42,[1]CRITERIOS!$M$25:$M$42),
1),
$M751)),
_xlfn.XLOOKUP($A751,[1]CRITERIOS!$L$179:$L$200,[1]CRITERIOS!$M$179:$M$200)),
_xlfn.CEILING.MATH(IF($M751&gt;$E751,
$E751,
IF($M751&lt;$E751/ROUNDDOWN([1]CRITERIOS!$M$16/_xlfn.XLOOKUP($C751,[1]CRITERIOS!$K$25:$K$42,[1]CRITERIOS!$M$25:$M$42),
1),
E751/ROUNDDOWN([1]CRITERIOS!$M$16/_xlfn.XLOOKUP($C751,[1]CRITERIOS!$K$25:$K$42,[1]CRITERIOS!$M$25:$M$42),
1),
$M751)),_xlfn.XLOOKUP(A751,'[1]DATOS PBI Artículos'!A:A,'[1]DATOS PBI Artículos'!Z:Z
)))))</f>
        <v>#N/A</v>
      </c>
      <c r="Q751" s="38" t="e">
        <f>IF(AND(O751="",N751=0),
0,
   IF(COUNTIF([1]CRITERIOS!$F$179:$F$199,$A751)&gt;=1,
   1,
   IF(R751="MTO",
      $D751,
      ROUNDUP(
                    IF(($E751-SUMIF('[1]DATOS PBI Artículos'!A:A,A751,'[1]DATOS PBI Artículos'!X:X)+($V751-_xlfn.XLOOKUP(A751,'[1]DATOS PBI Artículos'!A:A,'[1]DATOS PBI Artículos'!W:W)))&lt;0,
                    0,
                    IF(($E751-SUMIF('[1]DATOS PBI Artículos'!A:A,A751,'[1]DATOS PBI Artículos'!X:X)+$V751-_xlfn.XLOOKUP($A751,'[1]DATOS PBI Artículos'!A:A,'[1]DATOS PBI Artículos'!W:W))/IF($O751="",$N751,$O751)&gt;ROUNDUP([1]CRITERIOS!$M$16/(IF(COUNTIF([1]CRITERIOS!$BG$11:$BG$201,L751)&gt;=1,_xlfn.XLOOKUP($C751,[1]CRITERIOS!$K$25:$K$42,[1]CRITERIOS!$M$25:$M$42),_xlfn.XLOOKUP($C751,[1]CRITERIOS!$K$25:$K$42,[1]CRITERIOS!$M$25:$M$42))),0),
                    ROUNDUP([1]CRITERIOS!$M$16/(IF(COUNTIF([1]CRITERIOS!$BG$11:$BG$201,$L751)&gt;=1,_xlfn.XLOOKUP($C751,[1]CRITERIOS!$K$25:$K$42,[1]CRITERIOS!$M$25:$M$42),_xlfn.XLOOKUP($C751,[1]CRITERIOS!$K$25:$K$42,[1]CRITERIOS!$M$25:$M$42))),0),
                    (E751+V751-SUMIF('[1]DATOS PBI Artículos'!A:A,A751,'[1]DATOS PBI Artículos'!X:X)-_xlfn.XLOOKUP(A751,'[1]DATOS PBI Artículos'!A:A,'[1]DATOS PBI Artículos'!W:W))/IF($O751="",$N751,$O751))),0))))</f>
        <v>#N/A</v>
      </c>
      <c r="R751" s="33" t="e">
        <f>IF(U751&lt;&gt;"",U751,IF(F751="DV","MTO",IF(N751=0,"MTO",_xlfn.XLOOKUP(CONCATENATE(S751,T751),[1]CRITERIOS!$K$160:$K$168,[1]CRITERIOS!$N$160:$N$168))))</f>
        <v>#N/A</v>
      </c>
      <c r="S751" s="33" t="e">
        <f>IF(G751="DV","MTO",IF(N751=0,"MTO",IF(OR(AND(N751=0,O751=""),IF(O751="",G751/N751,G751/O751)&gt;[1]CRITERIOS!$G$163),"MTO",IF(IF(O751="",G751/N751,G751/O751)&lt;[1]CRITERIOS!$H$161,"MTS","MTOS"))))</f>
        <v>#N/A</v>
      </c>
      <c r="T751" s="33" t="e">
        <f>IF(F751="DV","MTO",IF(OR(AND($N751=0,O751=""),$F751/$J751&gt;[1]CRITERIOS!$G$170,$F751="DV"),"MTO",IF($F751/$J751&lt;[1]CRITERIOS!$H$168,"MTS","MTOS")))</f>
        <v>#N/A</v>
      </c>
      <c r="V751" s="34" t="e">
        <f t="shared" si="37"/>
        <v>#N/A</v>
      </c>
      <c r="X751" s="34" t="e">
        <f t="shared" si="35"/>
        <v>#N/A</v>
      </c>
      <c r="Y751" s="34" t="e">
        <f t="shared" si="36"/>
        <v>#N/A</v>
      </c>
      <c r="Z751" s="34" t="e">
        <f>IF($R751="MTO",
0,
($H751+$K751*($E751/[1]CRITERIOS!$M$16))/[1]CRITERIOS!$X$48)</f>
        <v>#N/A</v>
      </c>
      <c r="AA751" s="34" t="e">
        <f>ROUNDUP(($Y751/_xlfn.XLOOKUP($A751,'[1]DATOS PBI Artículos'!$A$4:$A$4,'[1]DATOS PBI Artículos'!$Z$4:$Z$4))/_xlfn.XLOOKUP(_xlfn.XLOOKUP($A751,'[1]DATOS PBI Artículos'!$A$4:$A$4,'[1]DATOS PBI Artículos'!$Y$4:$Y$4),[1]CRITERIOS!$P$79:$P$123,[1]CRITERIOS!$S$79:$S$123,),0)</f>
        <v>#N/A</v>
      </c>
      <c r="AC751" s="33" t="e">
        <f>IF(N751=0,"",(ROUNDUP((N751/2)/(_xlfn.XLOOKUP(A751,'[1]DATOS PBI Artículos'!$A$4:$A$4,'[1]DATOS PBI Artículos'!$Z$4:$Z$4)*_xlfn.XLOOKUP(_xlfn.XLOOKUP(A751,'[1]DATOS PBI Artículos'!$A$4:$A$4,'[1]DATOS PBI Artículos'!$Y$4:$Y$4),[1]CRITERIOS!$P$79:$P$123,[1]CRITERIOS!$S$79:$S$123)),0)*[1]CRITERIOS!$M$80*([1]CRITERIOS!$M$110/[1]CRITERIOS!$M$86)+(_xlfn.XLOOKUP(A751,'[1]DATOS PBI Artículos'!$A$4:$A$4,'[1]DATOS PBI Artículos'!$AA$4:$AA$4)*([1]CRITERIOS!$M$95+[1]CRITERIOS!$M$98)))/N751)</f>
        <v>#N/A</v>
      </c>
      <c r="AD751" s="33" t="e">
        <f>IF(N751=0,"",(ROUNDUP((N751/2)/(_xlfn.XLOOKUP(A751,'[1]DATOS PBI Artículos'!$A$4:$A$4,'[1]DATOS PBI Artículos'!$Z$4:$Z$4)*_xlfn.XLOOKUP(_xlfn.XLOOKUP(A751,'[1]DATOS PBI Artículos'!$A$4:$A$4,'[1]DATOS PBI Artículos'!$Y$4:$Y$4),[1]CRITERIOS!$P$79:$P$123,[1]CRITERIOS!$S$79:$S$123)),0)*[1]CRITERIOS!$M$80*([1]CRITERIOS!$M$89*[1]CRITERIOS!$M$92)+((_xlfn.XLOOKUP(A751,'[1]DATOS PBI Artículos'!$A$4:$A$4,'[1]DATOS PBI Artículos'!$AA$4:$AA$4)/2)*([1]CRITERIOS!$M$95+[1]CRITERIOS!$M$98)))/N751)</f>
        <v>#N/A</v>
      </c>
      <c r="AE751" s="39" t="e">
        <f>IF($R751="MTO","",
IF($H751=0,ROUNDUP(((_xlfn.XLOOKUP($A751,'[1]DATOS PBI Artículos'!$A:$A,'[1]DATOS PBI Artículos'!$AL:$AL))/(_xlfn.XLOOKUP($AF$1,[1]CRITERIOS!$S$16:$S$39,[1]CRITERIOS!$Y$16:$Y$39))*$J751+$Z751)/$G751,0)*$G751,
((_xlfn.XLOOKUP($A751,'[1]DATOS PBI Artículos'!$A:$A,'[1]DATOS PBI Artículos'!$AL:$AL))/(_xlfn.XLOOKUP($AF$1,[1]CRITERIOS!$S$16:$S$39,[1]CRITERIOS!$Y$16:$Y$39))*$J751+$Z751)))</f>
        <v>#N/A</v>
      </c>
      <c r="AG751" s="39" t="e">
        <f>IF($R751="MTO","",
IF($H751=0,ROUNDUP(((_xlfn.XLOOKUP($A751,'[1]DATOS PBI Artículos'!$A:$A,'[1]DATOS PBI Artículos'!$AM:$AM))/(_xlfn.XLOOKUP($AH$1,[1]CRITERIOS!$S$16:$S$39,[1]CRITERIOS!$Y$16:$Y$39))*$J751+$Z751)/$G751,0)*$G751,
((_xlfn.XLOOKUP($A751,'[1]DATOS PBI Artículos'!$A:$A,'[1]DATOS PBI Artículos'!$AM:$AM))/(_xlfn.XLOOKUP($AH$1,[1]CRITERIOS!$S$16:$S$39,[1]CRITERIOS!$Y$16:$Y$39))*$J751+$Z751)))</f>
        <v>#N/A</v>
      </c>
      <c r="AI751" s="39" t="e">
        <f>IF($R751="MTO","",
IF($H751=0,ROUNDUP(((_xlfn.XLOOKUP($A751,'[1]DATOS PBI Artículos'!$A:$A,'[1]DATOS PBI Artículos'!$AN:$AN))/(_xlfn.XLOOKUP($AJ$1,[1]CRITERIOS!$S$16:$S$39,[1]CRITERIOS!$Y$16:$Y$39))*$J751+$Z751)/$G751,0)*$G751,
((_xlfn.XLOOKUP($A751,'[1]DATOS PBI Artículos'!$A:$A,'[1]DATOS PBI Artículos'!$AN:$AN))/(_xlfn.XLOOKUP($AJ$1,[1]CRITERIOS!$S$16:$S$39,[1]CRITERIOS!$Y$16:$Y$39))*$J751+$Z751)))</f>
        <v>#N/A</v>
      </c>
      <c r="AK751" s="39" t="e">
        <f>IF($R751="MTO","",
IF($H751=0,ROUNDUP(((_xlfn.XLOOKUP($A751,'[1]DATOS PBI Artículos'!$A:$A,'[1]DATOS PBI Artículos'!$AO:$AO))/(_xlfn.XLOOKUP($AL$1,[1]CRITERIOS!$S$16:$S$39,[1]CRITERIOS!$Y$16:$Y$39))*$J751+$Z751)/$G751,0)*$G751,
((_xlfn.XLOOKUP($A751,'[1]DATOS PBI Artículos'!$A:$A,'[1]DATOS PBI Artículos'!$AO:$AO))/(_xlfn.XLOOKUP($AL$1,[1]CRITERIOS!$S$16:$S$39,[1]CRITERIOS!$Y$16:$Y$39))*$J751+$Z751)))</f>
        <v>#N/A</v>
      </c>
    </row>
    <row r="752" spans="1:37" ht="25.8" hidden="1" x14ac:dyDescent="0.4">
      <c r="A752" s="41"/>
      <c r="B752" s="33">
        <f>_xlfn.XLOOKUP($A752,'[1]DATOS PBI Artículos'!A:A,'[1]DATOS PBI Artículos'!B:B)</f>
        <v>0</v>
      </c>
      <c r="C752" s="33">
        <f>_xlfn.XLOOKUP($A752,'[1]DATOS PBI Artículos'!A:A,'[1]DATOS PBI Artículos'!C:C)</f>
        <v>0</v>
      </c>
      <c r="D752" s="33">
        <f>_xlfn.XLOOKUP(A752,'[1]DATOS PBI Artículos'!A:A,'[1]DATOS PBI Artículos'!T:T)</f>
        <v>0</v>
      </c>
      <c r="E752" s="34">
        <f>IF(_xlfn.XLOOKUP($A752,'[1]DATOS PBI Artículos'!A:A,'[1]DATOS PBI Artículos'!AK:AK)="",_xlfn.XLOOKUP($A752,'[1]DATOS PBI Artículos'!A:A,'[1]DATOS PBI Artículos'!AJ:AJ),_xlfn.XLOOKUP($A752,'[1]DATOS PBI Artículos'!A:A,'[1]DATOS PBI Artículos'!AK:AK))</f>
        <v>0</v>
      </c>
      <c r="F752" s="35">
        <f>_xlfn.XLOOKUP($A752,'[1]DATOS PBI Artículos'!A:A,'[1]DATOS PBI Artículos'!AP:AP)</f>
        <v>0</v>
      </c>
      <c r="G752" s="34">
        <f>_xlfn.XLOOKUP($A752,'[1]DATOS PBI Artículos'!A:A,'[1]DATOS PBI Artículos'!AR:AR)</f>
        <v>0</v>
      </c>
      <c r="H752" s="34">
        <f>_xlfn.XLOOKUP($A752,'[1]DATOS PBI Artículos'!A:A,'[1]DATOS PBI Artículos'!AT:AT)</f>
        <v>0</v>
      </c>
      <c r="I752" s="34">
        <f>_xlfn.XLOOKUP($A752,'[1]DATOS PBI Artículos'!A:A,'[1]DATOS PBI Artículos'!AS:AS)</f>
        <v>0</v>
      </c>
      <c r="J752" s="35">
        <f>IF(COUNTIF([1]CRITERIOS!$F$179:$F$199,$A752)&gt;=1,
 IF(O752&lt;&gt;"",
    (O752/_xlfn.XLOOKUP(CONCATENATE(A752,L752),[1]MÁQUINAS!A:A,[1]MÁQUINAS!D:D))/24,
    (N752/_xlfn.XLOOKUP(CONCATENATE(A752,L752),[1]MÁQUINAS!A:A,[1]MÁQUINAS!D:D))/24),
  _xlfn.XLOOKUP($A752,'[1]DATOS PBI Artículos'!A:A,'[1]DATOS PBI Artículos'!AU:AU))</f>
        <v>0</v>
      </c>
      <c r="K752" s="36">
        <f>_xlfn.XLOOKUP($A752,'[1]DATOS PBI Artículos'!A:A,'[1]DATOS PBI Artículos'!AV:AV)</f>
        <v>0</v>
      </c>
      <c r="L752" s="33">
        <f>_xlfn.XLOOKUP(A752,[1]MÁQUINAS!B:B,[1]MÁQUINAS!C:C)</f>
        <v>0</v>
      </c>
      <c r="M752" s="34">
        <f t="array" ref="M752">_xlfn.XLOOKUP(A752,'[1]DATOS PBI Artículos'!A:A,'[1]DATOS PBI Artículos'!AX:$AX)</f>
        <v>0</v>
      </c>
      <c r="N752" s="37" t="e">
        <f>IF(I752="DV",
E752,
IF(COUNTIF([1]CRITERIOS!$I$179:$I$199,$A752)&gt;=1,
_xlfn.XLOOKUP($A752,[1]CRITERIOS!$I$179:$I$199,[1]CRITERIOS!$J$179:$J$199),
IF(COUNTIF([1]CRITERIOS!$L$179:$L$199,$A752)&gt;=1,
_xlfn.CEILING.MATH(IF($M752&gt;$E752,
$E752,
IF($M752&lt;$E752/ROUNDDOWN([1]CRITERIOS!$M$16/_xlfn.XLOOKUP($C752,[1]CRITERIOS!$K$25:$K$42,[1]CRITERIOS!$M$25:$M$42),
1),
E752/ROUNDDOWN([1]CRITERIOS!$M$16/_xlfn.XLOOKUP($C752,[1]CRITERIOS!$K$25:$K$42,[1]CRITERIOS!$M$25:$M$42),
1),
$M752)),
_xlfn.XLOOKUP($A752,[1]CRITERIOS!$L$179:$L$200,[1]CRITERIOS!$M$179:$M$200)),
_xlfn.CEILING.MATH(IF($M752&gt;$E752,
$E752,
IF($M752&lt;$E752/ROUNDDOWN([1]CRITERIOS!$M$16/_xlfn.XLOOKUP($C752,[1]CRITERIOS!$K$25:$K$42,[1]CRITERIOS!$M$25:$M$42),
1),
E752/ROUNDDOWN([1]CRITERIOS!$M$16/_xlfn.XLOOKUP($C752,[1]CRITERIOS!$K$25:$K$42,[1]CRITERIOS!$M$25:$M$42),
1),
$M752)),_xlfn.XLOOKUP(A752,'[1]DATOS PBI Artículos'!A:A,'[1]DATOS PBI Artículos'!Z:Z
)))))</f>
        <v>#N/A</v>
      </c>
      <c r="Q752" s="38" t="e">
        <f>IF(AND(O752="",N752=0),
0,
   IF(COUNTIF([1]CRITERIOS!$F$179:$F$199,$A752)&gt;=1,
   1,
   IF(R752="MTO",
      $D752,
      ROUNDUP(
                    IF(($E752-SUMIF('[1]DATOS PBI Artículos'!A:A,A752,'[1]DATOS PBI Artículos'!X:X)+($V752-_xlfn.XLOOKUP(A752,'[1]DATOS PBI Artículos'!A:A,'[1]DATOS PBI Artículos'!W:W)))&lt;0,
                    0,
                    IF(($E752-SUMIF('[1]DATOS PBI Artículos'!A:A,A752,'[1]DATOS PBI Artículos'!X:X)+$V752-_xlfn.XLOOKUP($A752,'[1]DATOS PBI Artículos'!A:A,'[1]DATOS PBI Artículos'!W:W))/IF($O752="",$N752,$O752)&gt;ROUNDUP([1]CRITERIOS!$M$16/(IF(COUNTIF([1]CRITERIOS!$BG$11:$BG$201,L752)&gt;=1,_xlfn.XLOOKUP($C752,[1]CRITERIOS!$K$25:$K$42,[1]CRITERIOS!$M$25:$M$42),_xlfn.XLOOKUP($C752,[1]CRITERIOS!$K$25:$K$42,[1]CRITERIOS!$M$25:$M$42))),0),
                    ROUNDUP([1]CRITERIOS!$M$16/(IF(COUNTIF([1]CRITERIOS!$BG$11:$BG$201,$L752)&gt;=1,_xlfn.XLOOKUP($C752,[1]CRITERIOS!$K$25:$K$42,[1]CRITERIOS!$M$25:$M$42),_xlfn.XLOOKUP($C752,[1]CRITERIOS!$K$25:$K$42,[1]CRITERIOS!$M$25:$M$42))),0),
                    (E752+V752-SUMIF('[1]DATOS PBI Artículos'!A:A,A752,'[1]DATOS PBI Artículos'!X:X)-_xlfn.XLOOKUP(A752,'[1]DATOS PBI Artículos'!A:A,'[1]DATOS PBI Artículos'!W:W))/IF($O752="",$N752,$O752))),0))))</f>
        <v>#N/A</v>
      </c>
      <c r="R752" s="33" t="e">
        <f>IF(U752&lt;&gt;"",U752,IF(F752="DV","MTO",IF(N752=0,"MTO",_xlfn.XLOOKUP(CONCATENATE(S752,T752),[1]CRITERIOS!$K$160:$K$168,[1]CRITERIOS!$N$160:$N$168))))</f>
        <v>#N/A</v>
      </c>
      <c r="S752" s="33" t="e">
        <f>IF(G752="DV","MTO",IF(N752=0,"MTO",IF(OR(AND(N752=0,O752=""),IF(O752="",G752/N752,G752/O752)&gt;[1]CRITERIOS!$G$163),"MTO",IF(IF(O752="",G752/N752,G752/O752)&lt;[1]CRITERIOS!$H$161,"MTS","MTOS"))))</f>
        <v>#N/A</v>
      </c>
      <c r="T752" s="33" t="e">
        <f>IF(F752="DV","MTO",IF(OR(AND($N752=0,O752=""),$F752/$J752&gt;[1]CRITERIOS!$G$170,$F752="DV"),"MTO",IF($F752/$J752&lt;[1]CRITERIOS!$H$168,"MTS","MTOS")))</f>
        <v>#N/A</v>
      </c>
      <c r="V752" s="34" t="e">
        <f t="shared" si="37"/>
        <v>#N/A</v>
      </c>
      <c r="X752" s="34" t="e">
        <f t="shared" si="35"/>
        <v>#N/A</v>
      </c>
      <c r="Y752" s="34" t="e">
        <f t="shared" si="36"/>
        <v>#N/A</v>
      </c>
      <c r="Z752" s="34" t="e">
        <f>IF($R752="MTO",
0,
($H752+$K752*($E752/[1]CRITERIOS!$M$16))/[1]CRITERIOS!$X$48)</f>
        <v>#N/A</v>
      </c>
      <c r="AA752" s="34" t="e">
        <f>ROUNDUP(($Y752/_xlfn.XLOOKUP($A752,'[1]DATOS PBI Artículos'!$A$4:$A$4,'[1]DATOS PBI Artículos'!$Z$4:$Z$4))/_xlfn.XLOOKUP(_xlfn.XLOOKUP($A752,'[1]DATOS PBI Artículos'!$A$4:$A$4,'[1]DATOS PBI Artículos'!$Y$4:$Y$4),[1]CRITERIOS!$P$79:$P$123,[1]CRITERIOS!$S$79:$S$123,),0)</f>
        <v>#N/A</v>
      </c>
      <c r="AC752" s="33" t="e">
        <f>IF(N752=0,"",(ROUNDUP((N752/2)/(_xlfn.XLOOKUP(A752,'[1]DATOS PBI Artículos'!$A$4:$A$4,'[1]DATOS PBI Artículos'!$Z$4:$Z$4)*_xlfn.XLOOKUP(_xlfn.XLOOKUP(A752,'[1]DATOS PBI Artículos'!$A$4:$A$4,'[1]DATOS PBI Artículos'!$Y$4:$Y$4),[1]CRITERIOS!$P$79:$P$123,[1]CRITERIOS!$S$79:$S$123)),0)*[1]CRITERIOS!$M$80*([1]CRITERIOS!$M$110/[1]CRITERIOS!$M$86)+(_xlfn.XLOOKUP(A752,'[1]DATOS PBI Artículos'!$A$4:$A$4,'[1]DATOS PBI Artículos'!$AA$4:$AA$4)*([1]CRITERIOS!$M$95+[1]CRITERIOS!$M$98)))/N752)</f>
        <v>#N/A</v>
      </c>
      <c r="AD752" s="33" t="e">
        <f>IF(N752=0,"",(ROUNDUP((N752/2)/(_xlfn.XLOOKUP(A752,'[1]DATOS PBI Artículos'!$A$4:$A$4,'[1]DATOS PBI Artículos'!$Z$4:$Z$4)*_xlfn.XLOOKUP(_xlfn.XLOOKUP(A752,'[1]DATOS PBI Artículos'!$A$4:$A$4,'[1]DATOS PBI Artículos'!$Y$4:$Y$4),[1]CRITERIOS!$P$79:$P$123,[1]CRITERIOS!$S$79:$S$123)),0)*[1]CRITERIOS!$M$80*([1]CRITERIOS!$M$89*[1]CRITERIOS!$M$92)+((_xlfn.XLOOKUP(A752,'[1]DATOS PBI Artículos'!$A$4:$A$4,'[1]DATOS PBI Artículos'!$AA$4:$AA$4)/2)*([1]CRITERIOS!$M$95+[1]CRITERIOS!$M$98)))/N752)</f>
        <v>#N/A</v>
      </c>
      <c r="AE752" s="39" t="e">
        <f>IF($R752="MTO","",
IF($H752=0,ROUNDUP(((_xlfn.XLOOKUP($A752,'[1]DATOS PBI Artículos'!$A:$A,'[1]DATOS PBI Artículos'!$AL:$AL))/(_xlfn.XLOOKUP($AF$1,[1]CRITERIOS!$S$16:$S$39,[1]CRITERIOS!$Y$16:$Y$39))*$J752+$Z752)/$G752,0)*$G752,
((_xlfn.XLOOKUP($A752,'[1]DATOS PBI Artículos'!$A:$A,'[1]DATOS PBI Artículos'!$AL:$AL))/(_xlfn.XLOOKUP($AF$1,[1]CRITERIOS!$S$16:$S$39,[1]CRITERIOS!$Y$16:$Y$39))*$J752+$Z752)))</f>
        <v>#N/A</v>
      </c>
      <c r="AG752" s="39" t="e">
        <f>IF($R752="MTO","",
IF($H752=0,ROUNDUP(((_xlfn.XLOOKUP($A752,'[1]DATOS PBI Artículos'!$A:$A,'[1]DATOS PBI Artículos'!$AM:$AM))/(_xlfn.XLOOKUP($AH$1,[1]CRITERIOS!$S$16:$S$39,[1]CRITERIOS!$Y$16:$Y$39))*$J752+$Z752)/$G752,0)*$G752,
((_xlfn.XLOOKUP($A752,'[1]DATOS PBI Artículos'!$A:$A,'[1]DATOS PBI Artículos'!$AM:$AM))/(_xlfn.XLOOKUP($AH$1,[1]CRITERIOS!$S$16:$S$39,[1]CRITERIOS!$Y$16:$Y$39))*$J752+$Z752)))</f>
        <v>#N/A</v>
      </c>
      <c r="AI752" s="39" t="e">
        <f>IF($R752="MTO","",
IF($H752=0,ROUNDUP(((_xlfn.XLOOKUP($A752,'[1]DATOS PBI Artículos'!$A:$A,'[1]DATOS PBI Artículos'!$AN:$AN))/(_xlfn.XLOOKUP($AJ$1,[1]CRITERIOS!$S$16:$S$39,[1]CRITERIOS!$Y$16:$Y$39))*$J752+$Z752)/$G752,0)*$G752,
((_xlfn.XLOOKUP($A752,'[1]DATOS PBI Artículos'!$A:$A,'[1]DATOS PBI Artículos'!$AN:$AN))/(_xlfn.XLOOKUP($AJ$1,[1]CRITERIOS!$S$16:$S$39,[1]CRITERIOS!$Y$16:$Y$39))*$J752+$Z752)))</f>
        <v>#N/A</v>
      </c>
      <c r="AK752" s="39" t="e">
        <f>IF($R752="MTO","",
IF($H752=0,ROUNDUP(((_xlfn.XLOOKUP($A752,'[1]DATOS PBI Artículos'!$A:$A,'[1]DATOS PBI Artículos'!$AO:$AO))/(_xlfn.XLOOKUP($AL$1,[1]CRITERIOS!$S$16:$S$39,[1]CRITERIOS!$Y$16:$Y$39))*$J752+$Z752)/$G752,0)*$G752,
((_xlfn.XLOOKUP($A752,'[1]DATOS PBI Artículos'!$A:$A,'[1]DATOS PBI Artículos'!$AO:$AO))/(_xlfn.XLOOKUP($AL$1,[1]CRITERIOS!$S$16:$S$39,[1]CRITERIOS!$Y$16:$Y$39))*$J752+$Z752)))</f>
        <v>#N/A</v>
      </c>
    </row>
    <row r="753" spans="1:37" ht="25.8" hidden="1" x14ac:dyDescent="0.4">
      <c r="A753" s="41"/>
      <c r="B753" s="33">
        <f>_xlfn.XLOOKUP($A753,'[1]DATOS PBI Artículos'!A:A,'[1]DATOS PBI Artículos'!B:B)</f>
        <v>0</v>
      </c>
      <c r="C753" s="33">
        <f>_xlfn.XLOOKUP($A753,'[1]DATOS PBI Artículos'!A:A,'[1]DATOS PBI Artículos'!C:C)</f>
        <v>0</v>
      </c>
      <c r="D753" s="33">
        <f>_xlfn.XLOOKUP(A753,'[1]DATOS PBI Artículos'!A:A,'[1]DATOS PBI Artículos'!T:T)</f>
        <v>0</v>
      </c>
      <c r="E753" s="34">
        <f>IF(_xlfn.XLOOKUP($A753,'[1]DATOS PBI Artículos'!A:A,'[1]DATOS PBI Artículos'!AK:AK)="",_xlfn.XLOOKUP($A753,'[1]DATOS PBI Artículos'!A:A,'[1]DATOS PBI Artículos'!AJ:AJ),_xlfn.XLOOKUP($A753,'[1]DATOS PBI Artículos'!A:A,'[1]DATOS PBI Artículos'!AK:AK))</f>
        <v>0</v>
      </c>
      <c r="F753" s="35">
        <f>_xlfn.XLOOKUP($A753,'[1]DATOS PBI Artículos'!A:A,'[1]DATOS PBI Artículos'!AP:AP)</f>
        <v>0</v>
      </c>
      <c r="G753" s="34">
        <f>_xlfn.XLOOKUP($A753,'[1]DATOS PBI Artículos'!A:A,'[1]DATOS PBI Artículos'!AR:AR)</f>
        <v>0</v>
      </c>
      <c r="H753" s="34">
        <f>_xlfn.XLOOKUP($A753,'[1]DATOS PBI Artículos'!A:A,'[1]DATOS PBI Artículos'!AT:AT)</f>
        <v>0</v>
      </c>
      <c r="I753" s="34">
        <f>_xlfn.XLOOKUP($A753,'[1]DATOS PBI Artículos'!A:A,'[1]DATOS PBI Artículos'!AS:AS)</f>
        <v>0</v>
      </c>
      <c r="J753" s="35">
        <f>IF(COUNTIF([1]CRITERIOS!$F$179:$F$199,$A753)&gt;=1,
 IF(O753&lt;&gt;"",
    (O753/_xlfn.XLOOKUP(CONCATENATE(A753,L753),[1]MÁQUINAS!A:A,[1]MÁQUINAS!D:D))/24,
    (N753/_xlfn.XLOOKUP(CONCATENATE(A753,L753),[1]MÁQUINAS!A:A,[1]MÁQUINAS!D:D))/24),
  _xlfn.XLOOKUP($A753,'[1]DATOS PBI Artículos'!A:A,'[1]DATOS PBI Artículos'!AU:AU))</f>
        <v>0</v>
      </c>
      <c r="K753" s="36">
        <f>_xlfn.XLOOKUP($A753,'[1]DATOS PBI Artículos'!A:A,'[1]DATOS PBI Artículos'!AV:AV)</f>
        <v>0</v>
      </c>
      <c r="L753" s="33">
        <f>_xlfn.XLOOKUP(A753,[1]MÁQUINAS!B:B,[1]MÁQUINAS!C:C)</f>
        <v>0</v>
      </c>
      <c r="M753" s="34">
        <f t="array" ref="M753">_xlfn.XLOOKUP(A753,'[1]DATOS PBI Artículos'!A:A,'[1]DATOS PBI Artículos'!AX:$AX)</f>
        <v>0</v>
      </c>
      <c r="N753" s="37" t="e">
        <f>IF(I753="DV",
E753,
IF(COUNTIF([1]CRITERIOS!$I$179:$I$199,$A753)&gt;=1,
_xlfn.XLOOKUP($A753,[1]CRITERIOS!$I$179:$I$199,[1]CRITERIOS!$J$179:$J$199),
IF(COUNTIF([1]CRITERIOS!$L$179:$L$199,$A753)&gt;=1,
_xlfn.CEILING.MATH(IF($M753&gt;$E753,
$E753,
IF($M753&lt;$E753/ROUNDDOWN([1]CRITERIOS!$M$16/_xlfn.XLOOKUP($C753,[1]CRITERIOS!$K$25:$K$42,[1]CRITERIOS!$M$25:$M$42),
1),
E753/ROUNDDOWN([1]CRITERIOS!$M$16/_xlfn.XLOOKUP($C753,[1]CRITERIOS!$K$25:$K$42,[1]CRITERIOS!$M$25:$M$42),
1),
$M753)),
_xlfn.XLOOKUP($A753,[1]CRITERIOS!$L$179:$L$200,[1]CRITERIOS!$M$179:$M$200)),
_xlfn.CEILING.MATH(IF($M753&gt;$E753,
$E753,
IF($M753&lt;$E753/ROUNDDOWN([1]CRITERIOS!$M$16/_xlfn.XLOOKUP($C753,[1]CRITERIOS!$K$25:$K$42,[1]CRITERIOS!$M$25:$M$42),
1),
E753/ROUNDDOWN([1]CRITERIOS!$M$16/_xlfn.XLOOKUP($C753,[1]CRITERIOS!$K$25:$K$42,[1]CRITERIOS!$M$25:$M$42),
1),
$M753)),_xlfn.XLOOKUP(A753,'[1]DATOS PBI Artículos'!A:A,'[1]DATOS PBI Artículos'!Z:Z
)))))</f>
        <v>#N/A</v>
      </c>
      <c r="Q753" s="38" t="e">
        <f>IF(AND(O753="",N753=0),
0,
   IF(COUNTIF([1]CRITERIOS!$F$179:$F$199,$A753)&gt;=1,
   1,
   IF(R753="MTO",
      $D753,
      ROUNDUP(
                    IF(($E753-SUMIF('[1]DATOS PBI Artículos'!A:A,A753,'[1]DATOS PBI Artículos'!X:X)+($V753-_xlfn.XLOOKUP(A753,'[1]DATOS PBI Artículos'!A:A,'[1]DATOS PBI Artículos'!W:W)))&lt;0,
                    0,
                    IF(($E753-SUMIF('[1]DATOS PBI Artículos'!A:A,A753,'[1]DATOS PBI Artículos'!X:X)+$V753-_xlfn.XLOOKUP($A753,'[1]DATOS PBI Artículos'!A:A,'[1]DATOS PBI Artículos'!W:W))/IF($O753="",$N753,$O753)&gt;ROUNDUP([1]CRITERIOS!$M$16/(IF(COUNTIF([1]CRITERIOS!$BG$11:$BG$201,L753)&gt;=1,_xlfn.XLOOKUP($C753,[1]CRITERIOS!$K$25:$K$42,[1]CRITERIOS!$M$25:$M$42),_xlfn.XLOOKUP($C753,[1]CRITERIOS!$K$25:$K$42,[1]CRITERIOS!$M$25:$M$42))),0),
                    ROUNDUP([1]CRITERIOS!$M$16/(IF(COUNTIF([1]CRITERIOS!$BG$11:$BG$201,$L753)&gt;=1,_xlfn.XLOOKUP($C753,[1]CRITERIOS!$K$25:$K$42,[1]CRITERIOS!$M$25:$M$42),_xlfn.XLOOKUP($C753,[1]CRITERIOS!$K$25:$K$42,[1]CRITERIOS!$M$25:$M$42))),0),
                    (E753+V753-SUMIF('[1]DATOS PBI Artículos'!A:A,A753,'[1]DATOS PBI Artículos'!X:X)-_xlfn.XLOOKUP(A753,'[1]DATOS PBI Artículos'!A:A,'[1]DATOS PBI Artículos'!W:W))/IF($O753="",$N753,$O753))),0))))</f>
        <v>#N/A</v>
      </c>
      <c r="R753" s="33" t="e">
        <f>IF(U753&lt;&gt;"",U753,IF(F753="DV","MTO",IF(N753=0,"MTO",_xlfn.XLOOKUP(CONCATENATE(S753,T753),[1]CRITERIOS!$K$160:$K$168,[1]CRITERIOS!$N$160:$N$168))))</f>
        <v>#N/A</v>
      </c>
      <c r="S753" s="33" t="e">
        <f>IF(G753="DV","MTO",IF(N753=0,"MTO",IF(OR(AND(N753=0,O753=""),IF(O753="",G753/N753,G753/O753)&gt;[1]CRITERIOS!$G$163),"MTO",IF(IF(O753="",G753/N753,G753/O753)&lt;[1]CRITERIOS!$H$161,"MTS","MTOS"))))</f>
        <v>#N/A</v>
      </c>
      <c r="T753" s="33" t="e">
        <f>IF(F753="DV","MTO",IF(OR(AND($N753=0,O753=""),$F753/$J753&gt;[1]CRITERIOS!$G$170,$F753="DV"),"MTO",IF($F753/$J753&lt;[1]CRITERIOS!$H$168,"MTS","MTOS")))</f>
        <v>#N/A</v>
      </c>
      <c r="V753" s="34" t="e">
        <f t="shared" si="37"/>
        <v>#N/A</v>
      </c>
      <c r="X753" s="34" t="e">
        <f t="shared" si="35"/>
        <v>#N/A</v>
      </c>
      <c r="Y753" s="34" t="e">
        <f t="shared" si="36"/>
        <v>#N/A</v>
      </c>
      <c r="Z753" s="34" t="e">
        <f>IF($R753="MTO",
0,
($H753+$K753*($E753/[1]CRITERIOS!$M$16))/[1]CRITERIOS!$X$48)</f>
        <v>#N/A</v>
      </c>
      <c r="AA753" s="34" t="e">
        <f>ROUNDUP(($Y753/_xlfn.XLOOKUP($A753,'[1]DATOS PBI Artículos'!$A$4:$A$4,'[1]DATOS PBI Artículos'!$Z$4:$Z$4))/_xlfn.XLOOKUP(_xlfn.XLOOKUP($A753,'[1]DATOS PBI Artículos'!$A$4:$A$4,'[1]DATOS PBI Artículos'!$Y$4:$Y$4),[1]CRITERIOS!$P$79:$P$123,[1]CRITERIOS!$S$79:$S$123,),0)</f>
        <v>#N/A</v>
      </c>
      <c r="AC753" s="33" t="e">
        <f>IF(N753=0,"",(ROUNDUP((N753/2)/(_xlfn.XLOOKUP(A753,'[1]DATOS PBI Artículos'!$A$4:$A$4,'[1]DATOS PBI Artículos'!$Z$4:$Z$4)*_xlfn.XLOOKUP(_xlfn.XLOOKUP(A753,'[1]DATOS PBI Artículos'!$A$4:$A$4,'[1]DATOS PBI Artículos'!$Y$4:$Y$4),[1]CRITERIOS!$P$79:$P$123,[1]CRITERIOS!$S$79:$S$123)),0)*[1]CRITERIOS!$M$80*([1]CRITERIOS!$M$110/[1]CRITERIOS!$M$86)+(_xlfn.XLOOKUP(A753,'[1]DATOS PBI Artículos'!$A$4:$A$4,'[1]DATOS PBI Artículos'!$AA$4:$AA$4)*([1]CRITERIOS!$M$95+[1]CRITERIOS!$M$98)))/N753)</f>
        <v>#N/A</v>
      </c>
      <c r="AD753" s="33" t="e">
        <f>IF(N753=0,"",(ROUNDUP((N753/2)/(_xlfn.XLOOKUP(A753,'[1]DATOS PBI Artículos'!$A$4:$A$4,'[1]DATOS PBI Artículos'!$Z$4:$Z$4)*_xlfn.XLOOKUP(_xlfn.XLOOKUP(A753,'[1]DATOS PBI Artículos'!$A$4:$A$4,'[1]DATOS PBI Artículos'!$Y$4:$Y$4),[1]CRITERIOS!$P$79:$P$123,[1]CRITERIOS!$S$79:$S$123)),0)*[1]CRITERIOS!$M$80*([1]CRITERIOS!$M$89*[1]CRITERIOS!$M$92)+((_xlfn.XLOOKUP(A753,'[1]DATOS PBI Artículos'!$A$4:$A$4,'[1]DATOS PBI Artículos'!$AA$4:$AA$4)/2)*([1]CRITERIOS!$M$95+[1]CRITERIOS!$M$98)))/N753)</f>
        <v>#N/A</v>
      </c>
      <c r="AE753" s="39" t="e">
        <f>IF($R753="MTO","",
IF($H753=0,ROUNDUP(((_xlfn.XLOOKUP($A753,'[1]DATOS PBI Artículos'!$A:$A,'[1]DATOS PBI Artículos'!$AL:$AL))/(_xlfn.XLOOKUP($AF$1,[1]CRITERIOS!$S$16:$S$39,[1]CRITERIOS!$Y$16:$Y$39))*$J753+$Z753)/$G753,0)*$G753,
((_xlfn.XLOOKUP($A753,'[1]DATOS PBI Artículos'!$A:$A,'[1]DATOS PBI Artículos'!$AL:$AL))/(_xlfn.XLOOKUP($AF$1,[1]CRITERIOS!$S$16:$S$39,[1]CRITERIOS!$Y$16:$Y$39))*$J753+$Z753)))</f>
        <v>#N/A</v>
      </c>
      <c r="AG753" s="39" t="e">
        <f>IF($R753="MTO","",
IF($H753=0,ROUNDUP(((_xlfn.XLOOKUP($A753,'[1]DATOS PBI Artículos'!$A:$A,'[1]DATOS PBI Artículos'!$AM:$AM))/(_xlfn.XLOOKUP($AH$1,[1]CRITERIOS!$S$16:$S$39,[1]CRITERIOS!$Y$16:$Y$39))*$J753+$Z753)/$G753,0)*$G753,
((_xlfn.XLOOKUP($A753,'[1]DATOS PBI Artículos'!$A:$A,'[1]DATOS PBI Artículos'!$AM:$AM))/(_xlfn.XLOOKUP($AH$1,[1]CRITERIOS!$S$16:$S$39,[1]CRITERIOS!$Y$16:$Y$39))*$J753+$Z753)))</f>
        <v>#N/A</v>
      </c>
      <c r="AI753" s="39" t="e">
        <f>IF($R753="MTO","",
IF($H753=0,ROUNDUP(((_xlfn.XLOOKUP($A753,'[1]DATOS PBI Artículos'!$A:$A,'[1]DATOS PBI Artículos'!$AN:$AN))/(_xlfn.XLOOKUP($AJ$1,[1]CRITERIOS!$S$16:$S$39,[1]CRITERIOS!$Y$16:$Y$39))*$J753+$Z753)/$G753,0)*$G753,
((_xlfn.XLOOKUP($A753,'[1]DATOS PBI Artículos'!$A:$A,'[1]DATOS PBI Artículos'!$AN:$AN))/(_xlfn.XLOOKUP($AJ$1,[1]CRITERIOS!$S$16:$S$39,[1]CRITERIOS!$Y$16:$Y$39))*$J753+$Z753)))</f>
        <v>#N/A</v>
      </c>
      <c r="AK753" s="39" t="e">
        <f>IF($R753="MTO","",
IF($H753=0,ROUNDUP(((_xlfn.XLOOKUP($A753,'[1]DATOS PBI Artículos'!$A:$A,'[1]DATOS PBI Artículos'!$AO:$AO))/(_xlfn.XLOOKUP($AL$1,[1]CRITERIOS!$S$16:$S$39,[1]CRITERIOS!$Y$16:$Y$39))*$J753+$Z753)/$G753,0)*$G753,
((_xlfn.XLOOKUP($A753,'[1]DATOS PBI Artículos'!$A:$A,'[1]DATOS PBI Artículos'!$AO:$AO))/(_xlfn.XLOOKUP($AL$1,[1]CRITERIOS!$S$16:$S$39,[1]CRITERIOS!$Y$16:$Y$39))*$J753+$Z753)))</f>
        <v>#N/A</v>
      </c>
    </row>
    <row r="754" spans="1:37" ht="25.8" hidden="1" x14ac:dyDescent="0.4">
      <c r="A754" s="41"/>
      <c r="B754" s="33">
        <f>_xlfn.XLOOKUP($A754,'[1]DATOS PBI Artículos'!A:A,'[1]DATOS PBI Artículos'!B:B)</f>
        <v>0</v>
      </c>
      <c r="C754" s="33">
        <f>_xlfn.XLOOKUP($A754,'[1]DATOS PBI Artículos'!A:A,'[1]DATOS PBI Artículos'!C:C)</f>
        <v>0</v>
      </c>
      <c r="D754" s="33">
        <f>_xlfn.XLOOKUP(A754,'[1]DATOS PBI Artículos'!A:A,'[1]DATOS PBI Artículos'!T:T)</f>
        <v>0</v>
      </c>
      <c r="E754" s="34">
        <f>IF(_xlfn.XLOOKUP($A754,'[1]DATOS PBI Artículos'!A:A,'[1]DATOS PBI Artículos'!AK:AK)="",_xlfn.XLOOKUP($A754,'[1]DATOS PBI Artículos'!A:A,'[1]DATOS PBI Artículos'!AJ:AJ),_xlfn.XLOOKUP($A754,'[1]DATOS PBI Artículos'!A:A,'[1]DATOS PBI Artículos'!AK:AK))</f>
        <v>0</v>
      </c>
      <c r="F754" s="35">
        <f>_xlfn.XLOOKUP($A754,'[1]DATOS PBI Artículos'!A:A,'[1]DATOS PBI Artículos'!AP:AP)</f>
        <v>0</v>
      </c>
      <c r="G754" s="34">
        <f>_xlfn.XLOOKUP($A754,'[1]DATOS PBI Artículos'!A:A,'[1]DATOS PBI Artículos'!AR:AR)</f>
        <v>0</v>
      </c>
      <c r="H754" s="34">
        <f>_xlfn.XLOOKUP($A754,'[1]DATOS PBI Artículos'!A:A,'[1]DATOS PBI Artículos'!AT:AT)</f>
        <v>0</v>
      </c>
      <c r="I754" s="34">
        <f>_xlfn.XLOOKUP($A754,'[1]DATOS PBI Artículos'!A:A,'[1]DATOS PBI Artículos'!AS:AS)</f>
        <v>0</v>
      </c>
      <c r="J754" s="35">
        <f>IF(COUNTIF([1]CRITERIOS!$F$179:$F$199,$A754)&gt;=1,
 IF(O754&lt;&gt;"",
    (O754/_xlfn.XLOOKUP(CONCATENATE(A754,L754),[1]MÁQUINAS!A:A,[1]MÁQUINAS!D:D))/24,
    (N754/_xlfn.XLOOKUP(CONCATENATE(A754,L754),[1]MÁQUINAS!A:A,[1]MÁQUINAS!D:D))/24),
  _xlfn.XLOOKUP($A754,'[1]DATOS PBI Artículos'!A:A,'[1]DATOS PBI Artículos'!AU:AU))</f>
        <v>0</v>
      </c>
      <c r="K754" s="36">
        <f>_xlfn.XLOOKUP($A754,'[1]DATOS PBI Artículos'!A:A,'[1]DATOS PBI Artículos'!AV:AV)</f>
        <v>0</v>
      </c>
      <c r="L754" s="33">
        <f>_xlfn.XLOOKUP(A754,[1]MÁQUINAS!B:B,[1]MÁQUINAS!C:C)</f>
        <v>0</v>
      </c>
      <c r="M754" s="34">
        <f t="array" ref="M754">_xlfn.XLOOKUP(A754,'[1]DATOS PBI Artículos'!A:A,'[1]DATOS PBI Artículos'!AX:$AX)</f>
        <v>0</v>
      </c>
      <c r="N754" s="37" t="e">
        <f>IF(I754="DV",
E754,
IF(COUNTIF([1]CRITERIOS!$I$179:$I$199,$A754)&gt;=1,
_xlfn.XLOOKUP($A754,[1]CRITERIOS!$I$179:$I$199,[1]CRITERIOS!$J$179:$J$199),
IF(COUNTIF([1]CRITERIOS!$L$179:$L$199,$A754)&gt;=1,
_xlfn.CEILING.MATH(IF($M754&gt;$E754,
$E754,
IF($M754&lt;$E754/ROUNDDOWN([1]CRITERIOS!$M$16/_xlfn.XLOOKUP($C754,[1]CRITERIOS!$K$25:$K$42,[1]CRITERIOS!$M$25:$M$42),
1),
E754/ROUNDDOWN([1]CRITERIOS!$M$16/_xlfn.XLOOKUP($C754,[1]CRITERIOS!$K$25:$K$42,[1]CRITERIOS!$M$25:$M$42),
1),
$M754)),
_xlfn.XLOOKUP($A754,[1]CRITERIOS!$L$179:$L$200,[1]CRITERIOS!$M$179:$M$200)),
_xlfn.CEILING.MATH(IF($M754&gt;$E754,
$E754,
IF($M754&lt;$E754/ROUNDDOWN([1]CRITERIOS!$M$16/_xlfn.XLOOKUP($C754,[1]CRITERIOS!$K$25:$K$42,[1]CRITERIOS!$M$25:$M$42),
1),
E754/ROUNDDOWN([1]CRITERIOS!$M$16/_xlfn.XLOOKUP($C754,[1]CRITERIOS!$K$25:$K$42,[1]CRITERIOS!$M$25:$M$42),
1),
$M754)),_xlfn.XLOOKUP(A754,'[1]DATOS PBI Artículos'!A:A,'[1]DATOS PBI Artículos'!Z:Z
)))))</f>
        <v>#N/A</v>
      </c>
      <c r="Q754" s="38" t="e">
        <f>IF(AND(O754="",N754=0),
0,
   IF(COUNTIF([1]CRITERIOS!$F$179:$F$199,$A754)&gt;=1,
   1,
   IF(R754="MTO",
      $D754,
      ROUNDUP(
                    IF(($E754-SUMIF('[1]DATOS PBI Artículos'!A:A,A754,'[1]DATOS PBI Artículos'!X:X)+($V754-_xlfn.XLOOKUP(A754,'[1]DATOS PBI Artículos'!A:A,'[1]DATOS PBI Artículos'!W:W)))&lt;0,
                    0,
                    IF(($E754-SUMIF('[1]DATOS PBI Artículos'!A:A,A754,'[1]DATOS PBI Artículos'!X:X)+$V754-_xlfn.XLOOKUP($A754,'[1]DATOS PBI Artículos'!A:A,'[1]DATOS PBI Artículos'!W:W))/IF($O754="",$N754,$O754)&gt;ROUNDUP([1]CRITERIOS!$M$16/(IF(COUNTIF([1]CRITERIOS!$BG$11:$BG$201,L754)&gt;=1,_xlfn.XLOOKUP($C754,[1]CRITERIOS!$K$25:$K$42,[1]CRITERIOS!$M$25:$M$42),_xlfn.XLOOKUP($C754,[1]CRITERIOS!$K$25:$K$42,[1]CRITERIOS!$M$25:$M$42))),0),
                    ROUNDUP([1]CRITERIOS!$M$16/(IF(COUNTIF([1]CRITERIOS!$BG$11:$BG$201,$L754)&gt;=1,_xlfn.XLOOKUP($C754,[1]CRITERIOS!$K$25:$K$42,[1]CRITERIOS!$M$25:$M$42),_xlfn.XLOOKUP($C754,[1]CRITERIOS!$K$25:$K$42,[1]CRITERIOS!$M$25:$M$42))),0),
                    (E754+V754-SUMIF('[1]DATOS PBI Artículos'!A:A,A754,'[1]DATOS PBI Artículos'!X:X)-_xlfn.XLOOKUP(A754,'[1]DATOS PBI Artículos'!A:A,'[1]DATOS PBI Artículos'!W:W))/IF($O754="",$N754,$O754))),0))))</f>
        <v>#N/A</v>
      </c>
      <c r="R754" s="33" t="e">
        <f>IF(U754&lt;&gt;"",U754,IF(F754="DV","MTO",IF(N754=0,"MTO",_xlfn.XLOOKUP(CONCATENATE(S754,T754),[1]CRITERIOS!$K$160:$K$168,[1]CRITERIOS!$N$160:$N$168))))</f>
        <v>#N/A</v>
      </c>
      <c r="S754" s="33" t="e">
        <f>IF(G754="DV","MTO",IF(N754=0,"MTO",IF(OR(AND(N754=0,O754=""),IF(O754="",G754/N754,G754/O754)&gt;[1]CRITERIOS!$G$163),"MTO",IF(IF(O754="",G754/N754,G754/O754)&lt;[1]CRITERIOS!$H$161,"MTS","MTOS"))))</f>
        <v>#N/A</v>
      </c>
      <c r="T754" s="33" t="e">
        <f>IF(F754="DV","MTO",IF(OR(AND($N754=0,O754=""),$F754/$J754&gt;[1]CRITERIOS!$G$170,$F754="DV"),"MTO",IF($F754/$J754&lt;[1]CRITERIOS!$H$168,"MTS","MTOS")))</f>
        <v>#N/A</v>
      </c>
      <c r="V754" s="34" t="e">
        <f t="shared" si="37"/>
        <v>#N/A</v>
      </c>
      <c r="X754" s="34" t="e">
        <f t="shared" si="35"/>
        <v>#N/A</v>
      </c>
      <c r="Y754" s="34" t="e">
        <f t="shared" si="36"/>
        <v>#N/A</v>
      </c>
      <c r="Z754" s="34" t="e">
        <f>IF($R754="MTO",
0,
($H754+$K754*($E754/[1]CRITERIOS!$M$16))/[1]CRITERIOS!$X$48)</f>
        <v>#N/A</v>
      </c>
      <c r="AA754" s="34" t="e">
        <f>ROUNDUP(($Y754/_xlfn.XLOOKUP($A754,'[1]DATOS PBI Artículos'!$A$4:$A$4,'[1]DATOS PBI Artículos'!$Z$4:$Z$4))/_xlfn.XLOOKUP(_xlfn.XLOOKUP($A754,'[1]DATOS PBI Artículos'!$A$4:$A$4,'[1]DATOS PBI Artículos'!$Y$4:$Y$4),[1]CRITERIOS!$P$79:$P$123,[1]CRITERIOS!$S$79:$S$123,),0)</f>
        <v>#N/A</v>
      </c>
      <c r="AC754" s="33" t="e">
        <f>IF(N754=0,"",(ROUNDUP((N754/2)/(_xlfn.XLOOKUP(A754,'[1]DATOS PBI Artículos'!$A$4:$A$4,'[1]DATOS PBI Artículos'!$Z$4:$Z$4)*_xlfn.XLOOKUP(_xlfn.XLOOKUP(A754,'[1]DATOS PBI Artículos'!$A$4:$A$4,'[1]DATOS PBI Artículos'!$Y$4:$Y$4),[1]CRITERIOS!$P$79:$P$123,[1]CRITERIOS!$S$79:$S$123)),0)*[1]CRITERIOS!$M$80*([1]CRITERIOS!$M$110/[1]CRITERIOS!$M$86)+(_xlfn.XLOOKUP(A754,'[1]DATOS PBI Artículos'!$A$4:$A$4,'[1]DATOS PBI Artículos'!$AA$4:$AA$4)*([1]CRITERIOS!$M$95+[1]CRITERIOS!$M$98)))/N754)</f>
        <v>#N/A</v>
      </c>
      <c r="AD754" s="33" t="e">
        <f>IF(N754=0,"",(ROUNDUP((N754/2)/(_xlfn.XLOOKUP(A754,'[1]DATOS PBI Artículos'!$A$4:$A$4,'[1]DATOS PBI Artículos'!$Z$4:$Z$4)*_xlfn.XLOOKUP(_xlfn.XLOOKUP(A754,'[1]DATOS PBI Artículos'!$A$4:$A$4,'[1]DATOS PBI Artículos'!$Y$4:$Y$4),[1]CRITERIOS!$P$79:$P$123,[1]CRITERIOS!$S$79:$S$123)),0)*[1]CRITERIOS!$M$80*([1]CRITERIOS!$M$89*[1]CRITERIOS!$M$92)+((_xlfn.XLOOKUP(A754,'[1]DATOS PBI Artículos'!$A$4:$A$4,'[1]DATOS PBI Artículos'!$AA$4:$AA$4)/2)*([1]CRITERIOS!$M$95+[1]CRITERIOS!$M$98)))/N754)</f>
        <v>#N/A</v>
      </c>
      <c r="AE754" s="39" t="e">
        <f>IF($R754="MTO","",
IF($H754=0,ROUNDUP(((_xlfn.XLOOKUP($A754,'[1]DATOS PBI Artículos'!$A:$A,'[1]DATOS PBI Artículos'!$AL:$AL))/(_xlfn.XLOOKUP($AF$1,[1]CRITERIOS!$S$16:$S$39,[1]CRITERIOS!$Y$16:$Y$39))*$J754+$Z754)/$G754,0)*$G754,
((_xlfn.XLOOKUP($A754,'[1]DATOS PBI Artículos'!$A:$A,'[1]DATOS PBI Artículos'!$AL:$AL))/(_xlfn.XLOOKUP($AF$1,[1]CRITERIOS!$S$16:$S$39,[1]CRITERIOS!$Y$16:$Y$39))*$J754+$Z754)))</f>
        <v>#N/A</v>
      </c>
      <c r="AG754" s="39" t="e">
        <f>IF($R754="MTO","",
IF($H754=0,ROUNDUP(((_xlfn.XLOOKUP($A754,'[1]DATOS PBI Artículos'!$A:$A,'[1]DATOS PBI Artículos'!$AM:$AM))/(_xlfn.XLOOKUP($AH$1,[1]CRITERIOS!$S$16:$S$39,[1]CRITERIOS!$Y$16:$Y$39))*$J754+$Z754)/$G754,0)*$G754,
((_xlfn.XLOOKUP($A754,'[1]DATOS PBI Artículos'!$A:$A,'[1]DATOS PBI Artículos'!$AM:$AM))/(_xlfn.XLOOKUP($AH$1,[1]CRITERIOS!$S$16:$S$39,[1]CRITERIOS!$Y$16:$Y$39))*$J754+$Z754)))</f>
        <v>#N/A</v>
      </c>
      <c r="AI754" s="39" t="e">
        <f>IF($R754="MTO","",
IF($H754=0,ROUNDUP(((_xlfn.XLOOKUP($A754,'[1]DATOS PBI Artículos'!$A:$A,'[1]DATOS PBI Artículos'!$AN:$AN))/(_xlfn.XLOOKUP($AJ$1,[1]CRITERIOS!$S$16:$S$39,[1]CRITERIOS!$Y$16:$Y$39))*$J754+$Z754)/$G754,0)*$G754,
((_xlfn.XLOOKUP($A754,'[1]DATOS PBI Artículos'!$A:$A,'[1]DATOS PBI Artículos'!$AN:$AN))/(_xlfn.XLOOKUP($AJ$1,[1]CRITERIOS!$S$16:$S$39,[1]CRITERIOS!$Y$16:$Y$39))*$J754+$Z754)))</f>
        <v>#N/A</v>
      </c>
      <c r="AK754" s="39" t="e">
        <f>IF($R754="MTO","",
IF($H754=0,ROUNDUP(((_xlfn.XLOOKUP($A754,'[1]DATOS PBI Artículos'!$A:$A,'[1]DATOS PBI Artículos'!$AO:$AO))/(_xlfn.XLOOKUP($AL$1,[1]CRITERIOS!$S$16:$S$39,[1]CRITERIOS!$Y$16:$Y$39))*$J754+$Z754)/$G754,0)*$G754,
((_xlfn.XLOOKUP($A754,'[1]DATOS PBI Artículos'!$A:$A,'[1]DATOS PBI Artículos'!$AO:$AO))/(_xlfn.XLOOKUP($AL$1,[1]CRITERIOS!$S$16:$S$39,[1]CRITERIOS!$Y$16:$Y$39))*$J754+$Z754)))</f>
        <v>#N/A</v>
      </c>
    </row>
    <row r="755" spans="1:37" ht="25.8" hidden="1" x14ac:dyDescent="0.4">
      <c r="A755" s="41"/>
      <c r="B755" s="33">
        <f>_xlfn.XLOOKUP($A755,'[1]DATOS PBI Artículos'!A:A,'[1]DATOS PBI Artículos'!B:B)</f>
        <v>0</v>
      </c>
      <c r="C755" s="33">
        <f>_xlfn.XLOOKUP($A755,'[1]DATOS PBI Artículos'!A:A,'[1]DATOS PBI Artículos'!C:C)</f>
        <v>0</v>
      </c>
      <c r="D755" s="33">
        <f>_xlfn.XLOOKUP(A755,'[1]DATOS PBI Artículos'!A:A,'[1]DATOS PBI Artículos'!T:T)</f>
        <v>0</v>
      </c>
      <c r="E755" s="34">
        <f>IF(_xlfn.XLOOKUP($A755,'[1]DATOS PBI Artículos'!A:A,'[1]DATOS PBI Artículos'!AK:AK)="",_xlfn.XLOOKUP($A755,'[1]DATOS PBI Artículos'!A:A,'[1]DATOS PBI Artículos'!AJ:AJ),_xlfn.XLOOKUP($A755,'[1]DATOS PBI Artículos'!A:A,'[1]DATOS PBI Artículos'!AK:AK))</f>
        <v>0</v>
      </c>
      <c r="F755" s="35">
        <f>_xlfn.XLOOKUP($A755,'[1]DATOS PBI Artículos'!A:A,'[1]DATOS PBI Artículos'!AP:AP)</f>
        <v>0</v>
      </c>
      <c r="G755" s="34">
        <f>_xlfn.XLOOKUP($A755,'[1]DATOS PBI Artículos'!A:A,'[1]DATOS PBI Artículos'!AR:AR)</f>
        <v>0</v>
      </c>
      <c r="H755" s="34">
        <f>_xlfn.XLOOKUP($A755,'[1]DATOS PBI Artículos'!A:A,'[1]DATOS PBI Artículos'!AT:AT)</f>
        <v>0</v>
      </c>
      <c r="I755" s="34">
        <f>_xlfn.XLOOKUP($A755,'[1]DATOS PBI Artículos'!A:A,'[1]DATOS PBI Artículos'!AS:AS)</f>
        <v>0</v>
      </c>
      <c r="J755" s="35">
        <f>IF(COUNTIF([1]CRITERIOS!$F$179:$F$199,$A755)&gt;=1,
 IF(O755&lt;&gt;"",
    (O755/_xlfn.XLOOKUP(CONCATENATE(A755,L755),[1]MÁQUINAS!A:A,[1]MÁQUINAS!D:D))/24,
    (N755/_xlfn.XLOOKUP(CONCATENATE(A755,L755),[1]MÁQUINAS!A:A,[1]MÁQUINAS!D:D))/24),
  _xlfn.XLOOKUP($A755,'[1]DATOS PBI Artículos'!A:A,'[1]DATOS PBI Artículos'!AU:AU))</f>
        <v>0</v>
      </c>
      <c r="K755" s="36">
        <f>_xlfn.XLOOKUP($A755,'[1]DATOS PBI Artículos'!A:A,'[1]DATOS PBI Artículos'!AV:AV)</f>
        <v>0</v>
      </c>
      <c r="L755" s="33">
        <f>_xlfn.XLOOKUP(A755,[1]MÁQUINAS!B:B,[1]MÁQUINAS!C:C)</f>
        <v>0</v>
      </c>
      <c r="M755" s="34">
        <f t="array" ref="M755">_xlfn.XLOOKUP(A755,'[1]DATOS PBI Artículos'!A:A,'[1]DATOS PBI Artículos'!AX:$AX)</f>
        <v>0</v>
      </c>
      <c r="N755" s="37" t="e">
        <f>IF(I755="DV",
E755,
IF(COUNTIF([1]CRITERIOS!$I$179:$I$199,$A755)&gt;=1,
_xlfn.XLOOKUP($A755,[1]CRITERIOS!$I$179:$I$199,[1]CRITERIOS!$J$179:$J$199),
IF(COUNTIF([1]CRITERIOS!$L$179:$L$199,$A755)&gt;=1,
_xlfn.CEILING.MATH(IF($M755&gt;$E755,
$E755,
IF($M755&lt;$E755/ROUNDDOWN([1]CRITERIOS!$M$16/_xlfn.XLOOKUP($C755,[1]CRITERIOS!$K$25:$K$42,[1]CRITERIOS!$M$25:$M$42),
1),
E755/ROUNDDOWN([1]CRITERIOS!$M$16/_xlfn.XLOOKUP($C755,[1]CRITERIOS!$K$25:$K$42,[1]CRITERIOS!$M$25:$M$42),
1),
$M755)),
_xlfn.XLOOKUP($A755,[1]CRITERIOS!$L$179:$L$200,[1]CRITERIOS!$M$179:$M$200)),
_xlfn.CEILING.MATH(IF($M755&gt;$E755,
$E755,
IF($M755&lt;$E755/ROUNDDOWN([1]CRITERIOS!$M$16/_xlfn.XLOOKUP($C755,[1]CRITERIOS!$K$25:$K$42,[1]CRITERIOS!$M$25:$M$42),
1),
E755/ROUNDDOWN([1]CRITERIOS!$M$16/_xlfn.XLOOKUP($C755,[1]CRITERIOS!$K$25:$K$42,[1]CRITERIOS!$M$25:$M$42),
1),
$M755)),_xlfn.XLOOKUP(A755,'[1]DATOS PBI Artículos'!A:A,'[1]DATOS PBI Artículos'!Z:Z
)))))</f>
        <v>#N/A</v>
      </c>
      <c r="Q755" s="38" t="e">
        <f>IF(AND(O755="",N755=0),
0,
   IF(COUNTIF([1]CRITERIOS!$F$179:$F$199,$A755)&gt;=1,
   1,
   IF(R755="MTO",
      $D755,
      ROUNDUP(
                    IF(($E755-SUMIF('[1]DATOS PBI Artículos'!A:A,A755,'[1]DATOS PBI Artículos'!X:X)+($V755-_xlfn.XLOOKUP(A755,'[1]DATOS PBI Artículos'!A:A,'[1]DATOS PBI Artículos'!W:W)))&lt;0,
                    0,
                    IF(($E755-SUMIF('[1]DATOS PBI Artículos'!A:A,A755,'[1]DATOS PBI Artículos'!X:X)+$V755-_xlfn.XLOOKUP($A755,'[1]DATOS PBI Artículos'!A:A,'[1]DATOS PBI Artículos'!W:W))/IF($O755="",$N755,$O755)&gt;ROUNDUP([1]CRITERIOS!$M$16/(IF(COUNTIF([1]CRITERIOS!$BG$11:$BG$201,L755)&gt;=1,_xlfn.XLOOKUP($C755,[1]CRITERIOS!$K$25:$K$42,[1]CRITERIOS!$M$25:$M$42),_xlfn.XLOOKUP($C755,[1]CRITERIOS!$K$25:$K$42,[1]CRITERIOS!$M$25:$M$42))),0),
                    ROUNDUP([1]CRITERIOS!$M$16/(IF(COUNTIF([1]CRITERIOS!$BG$11:$BG$201,$L755)&gt;=1,_xlfn.XLOOKUP($C755,[1]CRITERIOS!$K$25:$K$42,[1]CRITERIOS!$M$25:$M$42),_xlfn.XLOOKUP($C755,[1]CRITERIOS!$K$25:$K$42,[1]CRITERIOS!$M$25:$M$42))),0),
                    (E755+V755-SUMIF('[1]DATOS PBI Artículos'!A:A,A755,'[1]DATOS PBI Artículos'!X:X)-_xlfn.XLOOKUP(A755,'[1]DATOS PBI Artículos'!A:A,'[1]DATOS PBI Artículos'!W:W))/IF($O755="",$N755,$O755))),0))))</f>
        <v>#N/A</v>
      </c>
      <c r="R755" s="33" t="e">
        <f>IF(U755&lt;&gt;"",U755,IF(F755="DV","MTO",IF(N755=0,"MTO",_xlfn.XLOOKUP(CONCATENATE(S755,T755),[1]CRITERIOS!$K$160:$K$168,[1]CRITERIOS!$N$160:$N$168))))</f>
        <v>#N/A</v>
      </c>
      <c r="S755" s="33" t="e">
        <f>IF(G755="DV","MTO",IF(N755=0,"MTO",IF(OR(AND(N755=0,O755=""),IF(O755="",G755/N755,G755/O755)&gt;[1]CRITERIOS!$G$163),"MTO",IF(IF(O755="",G755/N755,G755/O755)&lt;[1]CRITERIOS!$H$161,"MTS","MTOS"))))</f>
        <v>#N/A</v>
      </c>
      <c r="T755" s="33" t="e">
        <f>IF(F755="DV","MTO",IF(OR(AND($N755=0,O755=""),$F755/$J755&gt;[1]CRITERIOS!$G$170,$F755="DV"),"MTO",IF($F755/$J755&lt;[1]CRITERIOS!$H$168,"MTS","MTOS")))</f>
        <v>#N/A</v>
      </c>
      <c r="V755" s="34" t="e">
        <f t="shared" si="37"/>
        <v>#N/A</v>
      </c>
      <c r="X755" s="34" t="e">
        <f t="shared" si="35"/>
        <v>#N/A</v>
      </c>
      <c r="Y755" s="34" t="e">
        <f t="shared" si="36"/>
        <v>#N/A</v>
      </c>
      <c r="Z755" s="34" t="e">
        <f>IF($R755="MTO",
0,
($H755+$K755*($E755/[1]CRITERIOS!$M$16))/[1]CRITERIOS!$X$48)</f>
        <v>#N/A</v>
      </c>
      <c r="AA755" s="34" t="e">
        <f>ROUNDUP(($Y755/_xlfn.XLOOKUP($A755,'[1]DATOS PBI Artículos'!$A$4:$A$4,'[1]DATOS PBI Artículos'!$Z$4:$Z$4))/_xlfn.XLOOKUP(_xlfn.XLOOKUP($A755,'[1]DATOS PBI Artículos'!$A$4:$A$4,'[1]DATOS PBI Artículos'!$Y$4:$Y$4),[1]CRITERIOS!$P$79:$P$123,[1]CRITERIOS!$S$79:$S$123,),0)</f>
        <v>#N/A</v>
      </c>
      <c r="AC755" s="33" t="e">
        <f>IF(N755=0,"",(ROUNDUP((N755/2)/(_xlfn.XLOOKUP(A755,'[1]DATOS PBI Artículos'!$A$4:$A$4,'[1]DATOS PBI Artículos'!$Z$4:$Z$4)*_xlfn.XLOOKUP(_xlfn.XLOOKUP(A755,'[1]DATOS PBI Artículos'!$A$4:$A$4,'[1]DATOS PBI Artículos'!$Y$4:$Y$4),[1]CRITERIOS!$P$79:$P$123,[1]CRITERIOS!$S$79:$S$123)),0)*[1]CRITERIOS!$M$80*([1]CRITERIOS!$M$110/[1]CRITERIOS!$M$86)+(_xlfn.XLOOKUP(A755,'[1]DATOS PBI Artículos'!$A$4:$A$4,'[1]DATOS PBI Artículos'!$AA$4:$AA$4)*([1]CRITERIOS!$M$95+[1]CRITERIOS!$M$98)))/N755)</f>
        <v>#N/A</v>
      </c>
      <c r="AD755" s="33" t="e">
        <f>IF(N755=0,"",(ROUNDUP((N755/2)/(_xlfn.XLOOKUP(A755,'[1]DATOS PBI Artículos'!$A$4:$A$4,'[1]DATOS PBI Artículos'!$Z$4:$Z$4)*_xlfn.XLOOKUP(_xlfn.XLOOKUP(A755,'[1]DATOS PBI Artículos'!$A$4:$A$4,'[1]DATOS PBI Artículos'!$Y$4:$Y$4),[1]CRITERIOS!$P$79:$P$123,[1]CRITERIOS!$S$79:$S$123)),0)*[1]CRITERIOS!$M$80*([1]CRITERIOS!$M$89*[1]CRITERIOS!$M$92)+((_xlfn.XLOOKUP(A755,'[1]DATOS PBI Artículos'!$A$4:$A$4,'[1]DATOS PBI Artículos'!$AA$4:$AA$4)/2)*([1]CRITERIOS!$M$95+[1]CRITERIOS!$M$98)))/N755)</f>
        <v>#N/A</v>
      </c>
      <c r="AE755" s="39" t="e">
        <f>IF($R755="MTO","",
IF($H755=0,ROUNDUP(((_xlfn.XLOOKUP($A755,'[1]DATOS PBI Artículos'!$A:$A,'[1]DATOS PBI Artículos'!$AL:$AL))/(_xlfn.XLOOKUP($AF$1,[1]CRITERIOS!$S$16:$S$39,[1]CRITERIOS!$Y$16:$Y$39))*$J755+$Z755)/$G755,0)*$G755,
((_xlfn.XLOOKUP($A755,'[1]DATOS PBI Artículos'!$A:$A,'[1]DATOS PBI Artículos'!$AL:$AL))/(_xlfn.XLOOKUP($AF$1,[1]CRITERIOS!$S$16:$S$39,[1]CRITERIOS!$Y$16:$Y$39))*$J755+$Z755)))</f>
        <v>#N/A</v>
      </c>
      <c r="AG755" s="39" t="e">
        <f>IF($R755="MTO","",
IF($H755=0,ROUNDUP(((_xlfn.XLOOKUP($A755,'[1]DATOS PBI Artículos'!$A:$A,'[1]DATOS PBI Artículos'!$AM:$AM))/(_xlfn.XLOOKUP($AH$1,[1]CRITERIOS!$S$16:$S$39,[1]CRITERIOS!$Y$16:$Y$39))*$J755+$Z755)/$G755,0)*$G755,
((_xlfn.XLOOKUP($A755,'[1]DATOS PBI Artículos'!$A:$A,'[1]DATOS PBI Artículos'!$AM:$AM))/(_xlfn.XLOOKUP($AH$1,[1]CRITERIOS!$S$16:$S$39,[1]CRITERIOS!$Y$16:$Y$39))*$J755+$Z755)))</f>
        <v>#N/A</v>
      </c>
      <c r="AI755" s="39" t="e">
        <f>IF($R755="MTO","",
IF($H755=0,ROUNDUP(((_xlfn.XLOOKUP($A755,'[1]DATOS PBI Artículos'!$A:$A,'[1]DATOS PBI Artículos'!$AN:$AN))/(_xlfn.XLOOKUP($AJ$1,[1]CRITERIOS!$S$16:$S$39,[1]CRITERIOS!$Y$16:$Y$39))*$J755+$Z755)/$G755,0)*$G755,
((_xlfn.XLOOKUP($A755,'[1]DATOS PBI Artículos'!$A:$A,'[1]DATOS PBI Artículos'!$AN:$AN))/(_xlfn.XLOOKUP($AJ$1,[1]CRITERIOS!$S$16:$S$39,[1]CRITERIOS!$Y$16:$Y$39))*$J755+$Z755)))</f>
        <v>#N/A</v>
      </c>
      <c r="AK755" s="39" t="e">
        <f>IF($R755="MTO","",
IF($H755=0,ROUNDUP(((_xlfn.XLOOKUP($A755,'[1]DATOS PBI Artículos'!$A:$A,'[1]DATOS PBI Artículos'!$AO:$AO))/(_xlfn.XLOOKUP($AL$1,[1]CRITERIOS!$S$16:$S$39,[1]CRITERIOS!$Y$16:$Y$39))*$J755+$Z755)/$G755,0)*$G755,
((_xlfn.XLOOKUP($A755,'[1]DATOS PBI Artículos'!$A:$A,'[1]DATOS PBI Artículos'!$AO:$AO))/(_xlfn.XLOOKUP($AL$1,[1]CRITERIOS!$S$16:$S$39,[1]CRITERIOS!$Y$16:$Y$39))*$J755+$Z755)))</f>
        <v>#N/A</v>
      </c>
    </row>
    <row r="756" spans="1:37" ht="25.8" hidden="1" x14ac:dyDescent="0.4">
      <c r="A756" s="41"/>
      <c r="B756" s="33">
        <f>_xlfn.XLOOKUP($A756,'[1]DATOS PBI Artículos'!A:A,'[1]DATOS PBI Artículos'!B:B)</f>
        <v>0</v>
      </c>
      <c r="C756" s="33">
        <f>_xlfn.XLOOKUP($A756,'[1]DATOS PBI Artículos'!A:A,'[1]DATOS PBI Artículos'!C:C)</f>
        <v>0</v>
      </c>
      <c r="D756" s="33">
        <f>_xlfn.XLOOKUP(A756,'[1]DATOS PBI Artículos'!A:A,'[1]DATOS PBI Artículos'!T:T)</f>
        <v>0</v>
      </c>
      <c r="E756" s="34">
        <f>IF(_xlfn.XLOOKUP($A756,'[1]DATOS PBI Artículos'!A:A,'[1]DATOS PBI Artículos'!AK:AK)="",_xlfn.XLOOKUP($A756,'[1]DATOS PBI Artículos'!A:A,'[1]DATOS PBI Artículos'!AJ:AJ),_xlfn.XLOOKUP($A756,'[1]DATOS PBI Artículos'!A:A,'[1]DATOS PBI Artículos'!AK:AK))</f>
        <v>0</v>
      </c>
      <c r="F756" s="35">
        <f>_xlfn.XLOOKUP($A756,'[1]DATOS PBI Artículos'!A:A,'[1]DATOS PBI Artículos'!AP:AP)</f>
        <v>0</v>
      </c>
      <c r="G756" s="34">
        <f>_xlfn.XLOOKUP($A756,'[1]DATOS PBI Artículos'!A:A,'[1]DATOS PBI Artículos'!AR:AR)</f>
        <v>0</v>
      </c>
      <c r="H756" s="34">
        <f>_xlfn.XLOOKUP($A756,'[1]DATOS PBI Artículos'!A:A,'[1]DATOS PBI Artículos'!AT:AT)</f>
        <v>0</v>
      </c>
      <c r="I756" s="34">
        <f>_xlfn.XLOOKUP($A756,'[1]DATOS PBI Artículos'!A:A,'[1]DATOS PBI Artículos'!AS:AS)</f>
        <v>0</v>
      </c>
      <c r="J756" s="35">
        <f>IF(COUNTIF([1]CRITERIOS!$F$179:$F$199,$A756)&gt;=1,
 IF(O756&lt;&gt;"",
    (O756/_xlfn.XLOOKUP(CONCATENATE(A756,L756),[1]MÁQUINAS!A:A,[1]MÁQUINAS!D:D))/24,
    (N756/_xlfn.XLOOKUP(CONCATENATE(A756,L756),[1]MÁQUINAS!A:A,[1]MÁQUINAS!D:D))/24),
  _xlfn.XLOOKUP($A756,'[1]DATOS PBI Artículos'!A:A,'[1]DATOS PBI Artículos'!AU:AU))</f>
        <v>0</v>
      </c>
      <c r="K756" s="36">
        <f>_xlfn.XLOOKUP($A756,'[1]DATOS PBI Artículos'!A:A,'[1]DATOS PBI Artículos'!AV:AV)</f>
        <v>0</v>
      </c>
      <c r="L756" s="33">
        <f>_xlfn.XLOOKUP(A756,[1]MÁQUINAS!B:B,[1]MÁQUINAS!C:C)</f>
        <v>0</v>
      </c>
      <c r="M756" s="34">
        <f t="array" ref="M756">_xlfn.XLOOKUP(A756,'[1]DATOS PBI Artículos'!A:A,'[1]DATOS PBI Artículos'!AX:$AX)</f>
        <v>0</v>
      </c>
      <c r="N756" s="37" t="e">
        <f>IF(I756="DV",
E756,
IF(COUNTIF([1]CRITERIOS!$I$179:$I$199,$A756)&gt;=1,
_xlfn.XLOOKUP($A756,[1]CRITERIOS!$I$179:$I$199,[1]CRITERIOS!$J$179:$J$199),
IF(COUNTIF([1]CRITERIOS!$L$179:$L$199,$A756)&gt;=1,
_xlfn.CEILING.MATH(IF($M756&gt;$E756,
$E756,
IF($M756&lt;$E756/ROUNDDOWN([1]CRITERIOS!$M$16/_xlfn.XLOOKUP($C756,[1]CRITERIOS!$K$25:$K$42,[1]CRITERIOS!$M$25:$M$42),
1),
E756/ROUNDDOWN([1]CRITERIOS!$M$16/_xlfn.XLOOKUP($C756,[1]CRITERIOS!$K$25:$K$42,[1]CRITERIOS!$M$25:$M$42),
1),
$M756)),
_xlfn.XLOOKUP($A756,[1]CRITERIOS!$L$179:$L$200,[1]CRITERIOS!$M$179:$M$200)),
_xlfn.CEILING.MATH(IF($M756&gt;$E756,
$E756,
IF($M756&lt;$E756/ROUNDDOWN([1]CRITERIOS!$M$16/_xlfn.XLOOKUP($C756,[1]CRITERIOS!$K$25:$K$42,[1]CRITERIOS!$M$25:$M$42),
1),
E756/ROUNDDOWN([1]CRITERIOS!$M$16/_xlfn.XLOOKUP($C756,[1]CRITERIOS!$K$25:$K$42,[1]CRITERIOS!$M$25:$M$42),
1),
$M756)),_xlfn.XLOOKUP(A756,'[1]DATOS PBI Artículos'!A:A,'[1]DATOS PBI Artículos'!Z:Z
)))))</f>
        <v>#N/A</v>
      </c>
      <c r="Q756" s="38" t="e">
        <f>IF(AND(O756="",N756=0),
0,
   IF(COUNTIF([1]CRITERIOS!$F$179:$F$199,$A756)&gt;=1,
   1,
   IF(R756="MTO",
      $D756,
      ROUNDUP(
                    IF(($E756-SUMIF('[1]DATOS PBI Artículos'!A:A,A756,'[1]DATOS PBI Artículos'!X:X)+($V756-_xlfn.XLOOKUP(A756,'[1]DATOS PBI Artículos'!A:A,'[1]DATOS PBI Artículos'!W:W)))&lt;0,
                    0,
                    IF(($E756-SUMIF('[1]DATOS PBI Artículos'!A:A,A756,'[1]DATOS PBI Artículos'!X:X)+$V756-_xlfn.XLOOKUP($A756,'[1]DATOS PBI Artículos'!A:A,'[1]DATOS PBI Artículos'!W:W))/IF($O756="",$N756,$O756)&gt;ROUNDUP([1]CRITERIOS!$M$16/(IF(COUNTIF([1]CRITERIOS!$BG$11:$BG$201,L756)&gt;=1,_xlfn.XLOOKUP($C756,[1]CRITERIOS!$K$25:$K$42,[1]CRITERIOS!$M$25:$M$42),_xlfn.XLOOKUP($C756,[1]CRITERIOS!$K$25:$K$42,[1]CRITERIOS!$M$25:$M$42))),0),
                    ROUNDUP([1]CRITERIOS!$M$16/(IF(COUNTIF([1]CRITERIOS!$BG$11:$BG$201,$L756)&gt;=1,_xlfn.XLOOKUP($C756,[1]CRITERIOS!$K$25:$K$42,[1]CRITERIOS!$M$25:$M$42),_xlfn.XLOOKUP($C756,[1]CRITERIOS!$K$25:$K$42,[1]CRITERIOS!$M$25:$M$42))),0),
                    (E756+V756-SUMIF('[1]DATOS PBI Artículos'!A:A,A756,'[1]DATOS PBI Artículos'!X:X)-_xlfn.XLOOKUP(A756,'[1]DATOS PBI Artículos'!A:A,'[1]DATOS PBI Artículos'!W:W))/IF($O756="",$N756,$O756))),0))))</f>
        <v>#N/A</v>
      </c>
      <c r="R756" s="33" t="e">
        <f>IF(U756&lt;&gt;"",U756,IF(F756="DV","MTO",IF(N756=0,"MTO",_xlfn.XLOOKUP(CONCATENATE(S756,T756),[1]CRITERIOS!$K$160:$K$168,[1]CRITERIOS!$N$160:$N$168))))</f>
        <v>#N/A</v>
      </c>
      <c r="S756" s="33" t="e">
        <f>IF(G756="DV","MTO",IF(N756=0,"MTO",IF(OR(AND(N756=0,O756=""),IF(O756="",G756/N756,G756/O756)&gt;[1]CRITERIOS!$G$163),"MTO",IF(IF(O756="",G756/N756,G756/O756)&lt;[1]CRITERIOS!$H$161,"MTS","MTOS"))))</f>
        <v>#N/A</v>
      </c>
      <c r="T756" s="33" t="e">
        <f>IF(F756="DV","MTO",IF(OR(AND($N756=0,O756=""),$F756/$J756&gt;[1]CRITERIOS!$G$170,$F756="DV"),"MTO",IF($F756/$J756&lt;[1]CRITERIOS!$H$168,"MTS","MTOS")))</f>
        <v>#N/A</v>
      </c>
      <c r="V756" s="34" t="e">
        <f t="shared" si="37"/>
        <v>#N/A</v>
      </c>
      <c r="X756" s="34" t="e">
        <f t="shared" si="35"/>
        <v>#N/A</v>
      </c>
      <c r="Y756" s="34" t="e">
        <f t="shared" si="36"/>
        <v>#N/A</v>
      </c>
      <c r="Z756" s="34" t="e">
        <f>IF($R756="MTO",
0,
($H756+$K756*($E756/[1]CRITERIOS!$M$16))/[1]CRITERIOS!$X$48)</f>
        <v>#N/A</v>
      </c>
      <c r="AA756" s="34" t="e">
        <f>ROUNDUP(($Y756/_xlfn.XLOOKUP($A756,'[1]DATOS PBI Artículos'!$A$4:$A$4,'[1]DATOS PBI Artículos'!$Z$4:$Z$4))/_xlfn.XLOOKUP(_xlfn.XLOOKUP($A756,'[1]DATOS PBI Artículos'!$A$4:$A$4,'[1]DATOS PBI Artículos'!$Y$4:$Y$4),[1]CRITERIOS!$P$79:$P$123,[1]CRITERIOS!$S$79:$S$123,),0)</f>
        <v>#N/A</v>
      </c>
      <c r="AC756" s="33" t="e">
        <f>IF(N756=0,"",(ROUNDUP((N756/2)/(_xlfn.XLOOKUP(A756,'[1]DATOS PBI Artículos'!$A$4:$A$4,'[1]DATOS PBI Artículos'!$Z$4:$Z$4)*_xlfn.XLOOKUP(_xlfn.XLOOKUP(A756,'[1]DATOS PBI Artículos'!$A$4:$A$4,'[1]DATOS PBI Artículos'!$Y$4:$Y$4),[1]CRITERIOS!$P$79:$P$123,[1]CRITERIOS!$S$79:$S$123)),0)*[1]CRITERIOS!$M$80*([1]CRITERIOS!$M$110/[1]CRITERIOS!$M$86)+(_xlfn.XLOOKUP(A756,'[1]DATOS PBI Artículos'!$A$4:$A$4,'[1]DATOS PBI Artículos'!$AA$4:$AA$4)*([1]CRITERIOS!$M$95+[1]CRITERIOS!$M$98)))/N756)</f>
        <v>#N/A</v>
      </c>
      <c r="AD756" s="33" t="e">
        <f>IF(N756=0,"",(ROUNDUP((N756/2)/(_xlfn.XLOOKUP(A756,'[1]DATOS PBI Artículos'!$A$4:$A$4,'[1]DATOS PBI Artículos'!$Z$4:$Z$4)*_xlfn.XLOOKUP(_xlfn.XLOOKUP(A756,'[1]DATOS PBI Artículos'!$A$4:$A$4,'[1]DATOS PBI Artículos'!$Y$4:$Y$4),[1]CRITERIOS!$P$79:$P$123,[1]CRITERIOS!$S$79:$S$123)),0)*[1]CRITERIOS!$M$80*([1]CRITERIOS!$M$89*[1]CRITERIOS!$M$92)+((_xlfn.XLOOKUP(A756,'[1]DATOS PBI Artículos'!$A$4:$A$4,'[1]DATOS PBI Artículos'!$AA$4:$AA$4)/2)*([1]CRITERIOS!$M$95+[1]CRITERIOS!$M$98)))/N756)</f>
        <v>#N/A</v>
      </c>
      <c r="AE756" s="39" t="e">
        <f>IF($R756="MTO","",
IF($H756=0,ROUNDUP(((_xlfn.XLOOKUP($A756,'[1]DATOS PBI Artículos'!$A:$A,'[1]DATOS PBI Artículos'!$AL:$AL))/(_xlfn.XLOOKUP($AF$1,[1]CRITERIOS!$S$16:$S$39,[1]CRITERIOS!$Y$16:$Y$39))*$J756+$Z756)/$G756,0)*$G756,
((_xlfn.XLOOKUP($A756,'[1]DATOS PBI Artículos'!$A:$A,'[1]DATOS PBI Artículos'!$AL:$AL))/(_xlfn.XLOOKUP($AF$1,[1]CRITERIOS!$S$16:$S$39,[1]CRITERIOS!$Y$16:$Y$39))*$J756+$Z756)))</f>
        <v>#N/A</v>
      </c>
      <c r="AG756" s="39" t="e">
        <f>IF($R756="MTO","",
IF($H756=0,ROUNDUP(((_xlfn.XLOOKUP($A756,'[1]DATOS PBI Artículos'!$A:$A,'[1]DATOS PBI Artículos'!$AM:$AM))/(_xlfn.XLOOKUP($AH$1,[1]CRITERIOS!$S$16:$S$39,[1]CRITERIOS!$Y$16:$Y$39))*$J756+$Z756)/$G756,0)*$G756,
((_xlfn.XLOOKUP($A756,'[1]DATOS PBI Artículos'!$A:$A,'[1]DATOS PBI Artículos'!$AM:$AM))/(_xlfn.XLOOKUP($AH$1,[1]CRITERIOS!$S$16:$S$39,[1]CRITERIOS!$Y$16:$Y$39))*$J756+$Z756)))</f>
        <v>#N/A</v>
      </c>
      <c r="AI756" s="39" t="e">
        <f>IF($R756="MTO","",
IF($H756=0,ROUNDUP(((_xlfn.XLOOKUP($A756,'[1]DATOS PBI Artículos'!$A:$A,'[1]DATOS PBI Artículos'!$AN:$AN))/(_xlfn.XLOOKUP($AJ$1,[1]CRITERIOS!$S$16:$S$39,[1]CRITERIOS!$Y$16:$Y$39))*$J756+$Z756)/$G756,0)*$G756,
((_xlfn.XLOOKUP($A756,'[1]DATOS PBI Artículos'!$A:$A,'[1]DATOS PBI Artículos'!$AN:$AN))/(_xlfn.XLOOKUP($AJ$1,[1]CRITERIOS!$S$16:$S$39,[1]CRITERIOS!$Y$16:$Y$39))*$J756+$Z756)))</f>
        <v>#N/A</v>
      </c>
      <c r="AK756" s="39" t="e">
        <f>IF($R756="MTO","",
IF($H756=0,ROUNDUP(((_xlfn.XLOOKUP($A756,'[1]DATOS PBI Artículos'!$A:$A,'[1]DATOS PBI Artículos'!$AO:$AO))/(_xlfn.XLOOKUP($AL$1,[1]CRITERIOS!$S$16:$S$39,[1]CRITERIOS!$Y$16:$Y$39))*$J756+$Z756)/$G756,0)*$G756,
((_xlfn.XLOOKUP($A756,'[1]DATOS PBI Artículos'!$A:$A,'[1]DATOS PBI Artículos'!$AO:$AO))/(_xlfn.XLOOKUP($AL$1,[1]CRITERIOS!$S$16:$S$39,[1]CRITERIOS!$Y$16:$Y$39))*$J756+$Z756)))</f>
        <v>#N/A</v>
      </c>
    </row>
    <row r="757" spans="1:37" ht="25.8" hidden="1" x14ac:dyDescent="0.4">
      <c r="A757" s="41"/>
      <c r="B757" s="33">
        <f>_xlfn.XLOOKUP($A757,'[1]DATOS PBI Artículos'!A:A,'[1]DATOS PBI Artículos'!B:B)</f>
        <v>0</v>
      </c>
      <c r="C757" s="33">
        <f>_xlfn.XLOOKUP($A757,'[1]DATOS PBI Artículos'!A:A,'[1]DATOS PBI Artículos'!C:C)</f>
        <v>0</v>
      </c>
      <c r="D757" s="33">
        <f>_xlfn.XLOOKUP(A757,'[1]DATOS PBI Artículos'!A:A,'[1]DATOS PBI Artículos'!T:T)</f>
        <v>0</v>
      </c>
      <c r="E757" s="34">
        <f>IF(_xlfn.XLOOKUP($A757,'[1]DATOS PBI Artículos'!A:A,'[1]DATOS PBI Artículos'!AK:AK)="",_xlfn.XLOOKUP($A757,'[1]DATOS PBI Artículos'!A:A,'[1]DATOS PBI Artículos'!AJ:AJ),_xlfn.XLOOKUP($A757,'[1]DATOS PBI Artículos'!A:A,'[1]DATOS PBI Artículos'!AK:AK))</f>
        <v>0</v>
      </c>
      <c r="F757" s="35">
        <f>_xlfn.XLOOKUP($A757,'[1]DATOS PBI Artículos'!A:A,'[1]DATOS PBI Artículos'!AP:AP)</f>
        <v>0</v>
      </c>
      <c r="G757" s="34">
        <f>_xlfn.XLOOKUP($A757,'[1]DATOS PBI Artículos'!A:A,'[1]DATOS PBI Artículos'!AR:AR)</f>
        <v>0</v>
      </c>
      <c r="H757" s="34">
        <f>_xlfn.XLOOKUP($A757,'[1]DATOS PBI Artículos'!A:A,'[1]DATOS PBI Artículos'!AT:AT)</f>
        <v>0</v>
      </c>
      <c r="I757" s="34">
        <f>_xlfn.XLOOKUP($A757,'[1]DATOS PBI Artículos'!A:A,'[1]DATOS PBI Artículos'!AS:AS)</f>
        <v>0</v>
      </c>
      <c r="J757" s="35">
        <f>IF(COUNTIF([1]CRITERIOS!$F$179:$F$199,$A757)&gt;=1,
 IF(O757&lt;&gt;"",
    (O757/_xlfn.XLOOKUP(CONCATENATE(A757,L757),[1]MÁQUINAS!A:A,[1]MÁQUINAS!D:D))/24,
    (N757/_xlfn.XLOOKUP(CONCATENATE(A757,L757),[1]MÁQUINAS!A:A,[1]MÁQUINAS!D:D))/24),
  _xlfn.XLOOKUP($A757,'[1]DATOS PBI Artículos'!A:A,'[1]DATOS PBI Artículos'!AU:AU))</f>
        <v>0</v>
      </c>
      <c r="K757" s="36">
        <f>_xlfn.XLOOKUP($A757,'[1]DATOS PBI Artículos'!A:A,'[1]DATOS PBI Artículos'!AV:AV)</f>
        <v>0</v>
      </c>
      <c r="L757" s="33">
        <f>_xlfn.XLOOKUP(A757,[1]MÁQUINAS!B:B,[1]MÁQUINAS!C:C)</f>
        <v>0</v>
      </c>
      <c r="M757" s="34">
        <f t="array" ref="M757">_xlfn.XLOOKUP(A757,'[1]DATOS PBI Artículos'!A:A,'[1]DATOS PBI Artículos'!AX:$AX)</f>
        <v>0</v>
      </c>
      <c r="N757" s="37" t="e">
        <f>IF(I757="DV",
E757,
IF(COUNTIF([1]CRITERIOS!$I$179:$I$199,$A757)&gt;=1,
_xlfn.XLOOKUP($A757,[1]CRITERIOS!$I$179:$I$199,[1]CRITERIOS!$J$179:$J$199),
IF(COUNTIF([1]CRITERIOS!$L$179:$L$199,$A757)&gt;=1,
_xlfn.CEILING.MATH(IF($M757&gt;$E757,
$E757,
IF($M757&lt;$E757/ROUNDDOWN([1]CRITERIOS!$M$16/_xlfn.XLOOKUP($C757,[1]CRITERIOS!$K$25:$K$42,[1]CRITERIOS!$M$25:$M$42),
1),
E757/ROUNDDOWN([1]CRITERIOS!$M$16/_xlfn.XLOOKUP($C757,[1]CRITERIOS!$K$25:$K$42,[1]CRITERIOS!$M$25:$M$42),
1),
$M757)),
_xlfn.XLOOKUP($A757,[1]CRITERIOS!$L$179:$L$200,[1]CRITERIOS!$M$179:$M$200)),
_xlfn.CEILING.MATH(IF($M757&gt;$E757,
$E757,
IF($M757&lt;$E757/ROUNDDOWN([1]CRITERIOS!$M$16/_xlfn.XLOOKUP($C757,[1]CRITERIOS!$K$25:$K$42,[1]CRITERIOS!$M$25:$M$42),
1),
E757/ROUNDDOWN([1]CRITERIOS!$M$16/_xlfn.XLOOKUP($C757,[1]CRITERIOS!$K$25:$K$42,[1]CRITERIOS!$M$25:$M$42),
1),
$M757)),_xlfn.XLOOKUP(A757,'[1]DATOS PBI Artículos'!A:A,'[1]DATOS PBI Artículos'!Z:Z
)))))</f>
        <v>#N/A</v>
      </c>
      <c r="Q757" s="38" t="e">
        <f>IF(AND(O757="",N757=0),
0,
   IF(COUNTIF([1]CRITERIOS!$F$179:$F$199,$A757)&gt;=1,
   1,
   IF(R757="MTO",
      $D757,
      ROUNDUP(
                    IF(($E757-SUMIF('[1]DATOS PBI Artículos'!A:A,A757,'[1]DATOS PBI Artículos'!X:X)+($V757-_xlfn.XLOOKUP(A757,'[1]DATOS PBI Artículos'!A:A,'[1]DATOS PBI Artículos'!W:W)))&lt;0,
                    0,
                    IF(($E757-SUMIF('[1]DATOS PBI Artículos'!A:A,A757,'[1]DATOS PBI Artículos'!X:X)+$V757-_xlfn.XLOOKUP($A757,'[1]DATOS PBI Artículos'!A:A,'[1]DATOS PBI Artículos'!W:W))/IF($O757="",$N757,$O757)&gt;ROUNDUP([1]CRITERIOS!$M$16/(IF(COUNTIF([1]CRITERIOS!$BG$11:$BG$201,L757)&gt;=1,_xlfn.XLOOKUP($C757,[1]CRITERIOS!$K$25:$K$42,[1]CRITERIOS!$M$25:$M$42),_xlfn.XLOOKUP($C757,[1]CRITERIOS!$K$25:$K$42,[1]CRITERIOS!$M$25:$M$42))),0),
                    ROUNDUP([1]CRITERIOS!$M$16/(IF(COUNTIF([1]CRITERIOS!$BG$11:$BG$201,$L757)&gt;=1,_xlfn.XLOOKUP($C757,[1]CRITERIOS!$K$25:$K$42,[1]CRITERIOS!$M$25:$M$42),_xlfn.XLOOKUP($C757,[1]CRITERIOS!$K$25:$K$42,[1]CRITERIOS!$M$25:$M$42))),0),
                    (E757+V757-SUMIF('[1]DATOS PBI Artículos'!A:A,A757,'[1]DATOS PBI Artículos'!X:X)-_xlfn.XLOOKUP(A757,'[1]DATOS PBI Artículos'!A:A,'[1]DATOS PBI Artículos'!W:W))/IF($O757="",$N757,$O757))),0))))</f>
        <v>#N/A</v>
      </c>
      <c r="R757" s="33" t="e">
        <f>IF(U757&lt;&gt;"",U757,IF(F757="DV","MTO",IF(N757=0,"MTO",_xlfn.XLOOKUP(CONCATENATE(S757,T757),[1]CRITERIOS!$K$160:$K$168,[1]CRITERIOS!$N$160:$N$168))))</f>
        <v>#N/A</v>
      </c>
      <c r="S757" s="33" t="e">
        <f>IF(G757="DV","MTO",IF(N757=0,"MTO",IF(OR(AND(N757=0,O757=""),IF(O757="",G757/N757,G757/O757)&gt;[1]CRITERIOS!$G$163),"MTO",IF(IF(O757="",G757/N757,G757/O757)&lt;[1]CRITERIOS!$H$161,"MTS","MTOS"))))</f>
        <v>#N/A</v>
      </c>
      <c r="T757" s="33" t="e">
        <f>IF(F757="DV","MTO",IF(OR(AND($N757=0,O757=""),$F757/$J757&gt;[1]CRITERIOS!$G$170,$F757="DV"),"MTO",IF($F757/$J757&lt;[1]CRITERIOS!$H$168,"MTS","MTOS")))</f>
        <v>#N/A</v>
      </c>
      <c r="V757" s="34" t="e">
        <f t="shared" si="37"/>
        <v>#N/A</v>
      </c>
      <c r="X757" s="34" t="e">
        <f t="shared" si="35"/>
        <v>#N/A</v>
      </c>
      <c r="Y757" s="34" t="e">
        <f t="shared" si="36"/>
        <v>#N/A</v>
      </c>
      <c r="Z757" s="34" t="e">
        <f>IF($R757="MTO",
0,
($H757+$K757*($E757/[1]CRITERIOS!$M$16))/[1]CRITERIOS!$X$48)</f>
        <v>#N/A</v>
      </c>
      <c r="AA757" s="34" t="e">
        <f>ROUNDUP(($Y757/_xlfn.XLOOKUP($A757,'[1]DATOS PBI Artículos'!$A$4:$A$4,'[1]DATOS PBI Artículos'!$Z$4:$Z$4))/_xlfn.XLOOKUP(_xlfn.XLOOKUP($A757,'[1]DATOS PBI Artículos'!$A$4:$A$4,'[1]DATOS PBI Artículos'!$Y$4:$Y$4),[1]CRITERIOS!$P$79:$P$123,[1]CRITERIOS!$S$79:$S$123,),0)</f>
        <v>#N/A</v>
      </c>
      <c r="AC757" s="33" t="e">
        <f>IF(N757=0,"",(ROUNDUP((N757/2)/(_xlfn.XLOOKUP(A757,'[1]DATOS PBI Artículos'!$A$4:$A$4,'[1]DATOS PBI Artículos'!$Z$4:$Z$4)*_xlfn.XLOOKUP(_xlfn.XLOOKUP(A757,'[1]DATOS PBI Artículos'!$A$4:$A$4,'[1]DATOS PBI Artículos'!$Y$4:$Y$4),[1]CRITERIOS!$P$79:$P$123,[1]CRITERIOS!$S$79:$S$123)),0)*[1]CRITERIOS!$M$80*([1]CRITERIOS!$M$110/[1]CRITERIOS!$M$86)+(_xlfn.XLOOKUP(A757,'[1]DATOS PBI Artículos'!$A$4:$A$4,'[1]DATOS PBI Artículos'!$AA$4:$AA$4)*([1]CRITERIOS!$M$95+[1]CRITERIOS!$M$98)))/N757)</f>
        <v>#N/A</v>
      </c>
      <c r="AD757" s="33" t="e">
        <f>IF(N757=0,"",(ROUNDUP((N757/2)/(_xlfn.XLOOKUP(A757,'[1]DATOS PBI Artículos'!$A$4:$A$4,'[1]DATOS PBI Artículos'!$Z$4:$Z$4)*_xlfn.XLOOKUP(_xlfn.XLOOKUP(A757,'[1]DATOS PBI Artículos'!$A$4:$A$4,'[1]DATOS PBI Artículos'!$Y$4:$Y$4),[1]CRITERIOS!$P$79:$P$123,[1]CRITERIOS!$S$79:$S$123)),0)*[1]CRITERIOS!$M$80*([1]CRITERIOS!$M$89*[1]CRITERIOS!$M$92)+((_xlfn.XLOOKUP(A757,'[1]DATOS PBI Artículos'!$A$4:$A$4,'[1]DATOS PBI Artículos'!$AA$4:$AA$4)/2)*([1]CRITERIOS!$M$95+[1]CRITERIOS!$M$98)))/N757)</f>
        <v>#N/A</v>
      </c>
      <c r="AE757" s="39" t="e">
        <f>IF($R757="MTO","",
IF($H757=0,ROUNDUP(((_xlfn.XLOOKUP($A757,'[1]DATOS PBI Artículos'!$A:$A,'[1]DATOS PBI Artículos'!$AL:$AL))/(_xlfn.XLOOKUP($AF$1,[1]CRITERIOS!$S$16:$S$39,[1]CRITERIOS!$Y$16:$Y$39))*$J757+$Z757)/$G757,0)*$G757,
((_xlfn.XLOOKUP($A757,'[1]DATOS PBI Artículos'!$A:$A,'[1]DATOS PBI Artículos'!$AL:$AL))/(_xlfn.XLOOKUP($AF$1,[1]CRITERIOS!$S$16:$S$39,[1]CRITERIOS!$Y$16:$Y$39))*$J757+$Z757)))</f>
        <v>#N/A</v>
      </c>
      <c r="AG757" s="39" t="e">
        <f>IF($R757="MTO","",
IF($H757=0,ROUNDUP(((_xlfn.XLOOKUP($A757,'[1]DATOS PBI Artículos'!$A:$A,'[1]DATOS PBI Artículos'!$AM:$AM))/(_xlfn.XLOOKUP($AH$1,[1]CRITERIOS!$S$16:$S$39,[1]CRITERIOS!$Y$16:$Y$39))*$J757+$Z757)/$G757,0)*$G757,
((_xlfn.XLOOKUP($A757,'[1]DATOS PBI Artículos'!$A:$A,'[1]DATOS PBI Artículos'!$AM:$AM))/(_xlfn.XLOOKUP($AH$1,[1]CRITERIOS!$S$16:$S$39,[1]CRITERIOS!$Y$16:$Y$39))*$J757+$Z757)))</f>
        <v>#N/A</v>
      </c>
      <c r="AI757" s="39" t="e">
        <f>IF($R757="MTO","",
IF($H757=0,ROUNDUP(((_xlfn.XLOOKUP($A757,'[1]DATOS PBI Artículos'!$A:$A,'[1]DATOS PBI Artículos'!$AN:$AN))/(_xlfn.XLOOKUP($AJ$1,[1]CRITERIOS!$S$16:$S$39,[1]CRITERIOS!$Y$16:$Y$39))*$J757+$Z757)/$G757,0)*$G757,
((_xlfn.XLOOKUP($A757,'[1]DATOS PBI Artículos'!$A:$A,'[1]DATOS PBI Artículos'!$AN:$AN))/(_xlfn.XLOOKUP($AJ$1,[1]CRITERIOS!$S$16:$S$39,[1]CRITERIOS!$Y$16:$Y$39))*$J757+$Z757)))</f>
        <v>#N/A</v>
      </c>
      <c r="AK757" s="39" t="e">
        <f>IF($R757="MTO","",
IF($H757=0,ROUNDUP(((_xlfn.XLOOKUP($A757,'[1]DATOS PBI Artículos'!$A:$A,'[1]DATOS PBI Artículos'!$AO:$AO))/(_xlfn.XLOOKUP($AL$1,[1]CRITERIOS!$S$16:$S$39,[1]CRITERIOS!$Y$16:$Y$39))*$J757+$Z757)/$G757,0)*$G757,
((_xlfn.XLOOKUP($A757,'[1]DATOS PBI Artículos'!$A:$A,'[1]DATOS PBI Artículos'!$AO:$AO))/(_xlfn.XLOOKUP($AL$1,[1]CRITERIOS!$S$16:$S$39,[1]CRITERIOS!$Y$16:$Y$39))*$J757+$Z757)))</f>
        <v>#N/A</v>
      </c>
    </row>
    <row r="758" spans="1:37" ht="25.8" hidden="1" x14ac:dyDescent="0.4">
      <c r="A758" s="41"/>
      <c r="B758" s="33">
        <f>_xlfn.XLOOKUP($A758,'[1]DATOS PBI Artículos'!A:A,'[1]DATOS PBI Artículos'!B:B)</f>
        <v>0</v>
      </c>
      <c r="C758" s="33">
        <f>_xlfn.XLOOKUP($A758,'[1]DATOS PBI Artículos'!A:A,'[1]DATOS PBI Artículos'!C:C)</f>
        <v>0</v>
      </c>
      <c r="D758" s="33">
        <f>_xlfn.XLOOKUP(A758,'[1]DATOS PBI Artículos'!A:A,'[1]DATOS PBI Artículos'!T:T)</f>
        <v>0</v>
      </c>
      <c r="E758" s="34">
        <f>IF(_xlfn.XLOOKUP($A758,'[1]DATOS PBI Artículos'!A:A,'[1]DATOS PBI Artículos'!AK:AK)="",_xlfn.XLOOKUP($A758,'[1]DATOS PBI Artículos'!A:A,'[1]DATOS PBI Artículos'!AJ:AJ),_xlfn.XLOOKUP($A758,'[1]DATOS PBI Artículos'!A:A,'[1]DATOS PBI Artículos'!AK:AK))</f>
        <v>0</v>
      </c>
      <c r="F758" s="35">
        <f>_xlfn.XLOOKUP($A758,'[1]DATOS PBI Artículos'!A:A,'[1]DATOS PBI Artículos'!AP:AP)</f>
        <v>0</v>
      </c>
      <c r="G758" s="34">
        <f>_xlfn.XLOOKUP($A758,'[1]DATOS PBI Artículos'!A:A,'[1]DATOS PBI Artículos'!AR:AR)</f>
        <v>0</v>
      </c>
      <c r="H758" s="34">
        <f>_xlfn.XLOOKUP($A758,'[1]DATOS PBI Artículos'!A:A,'[1]DATOS PBI Artículos'!AT:AT)</f>
        <v>0</v>
      </c>
      <c r="I758" s="34">
        <f>_xlfn.XLOOKUP($A758,'[1]DATOS PBI Artículos'!A:A,'[1]DATOS PBI Artículos'!AS:AS)</f>
        <v>0</v>
      </c>
      <c r="J758" s="35">
        <f>IF(COUNTIF([1]CRITERIOS!$F$179:$F$199,$A758)&gt;=1,
 IF(O758&lt;&gt;"",
    (O758/_xlfn.XLOOKUP(CONCATENATE(A758,L758),[1]MÁQUINAS!A:A,[1]MÁQUINAS!D:D))/24,
    (N758/_xlfn.XLOOKUP(CONCATENATE(A758,L758),[1]MÁQUINAS!A:A,[1]MÁQUINAS!D:D))/24),
  _xlfn.XLOOKUP($A758,'[1]DATOS PBI Artículos'!A:A,'[1]DATOS PBI Artículos'!AU:AU))</f>
        <v>0</v>
      </c>
      <c r="K758" s="36">
        <f>_xlfn.XLOOKUP($A758,'[1]DATOS PBI Artículos'!A:A,'[1]DATOS PBI Artículos'!AV:AV)</f>
        <v>0</v>
      </c>
      <c r="L758" s="33">
        <f>_xlfn.XLOOKUP(A758,[1]MÁQUINAS!B:B,[1]MÁQUINAS!C:C)</f>
        <v>0</v>
      </c>
      <c r="M758" s="34">
        <f t="array" ref="M758">_xlfn.XLOOKUP(A758,'[1]DATOS PBI Artículos'!A:A,'[1]DATOS PBI Artículos'!AX:$AX)</f>
        <v>0</v>
      </c>
      <c r="N758" s="37" t="e">
        <f>IF(I758="DV",
E758,
IF(COUNTIF([1]CRITERIOS!$I$179:$I$199,$A758)&gt;=1,
_xlfn.XLOOKUP($A758,[1]CRITERIOS!$I$179:$I$199,[1]CRITERIOS!$J$179:$J$199),
IF(COUNTIF([1]CRITERIOS!$L$179:$L$199,$A758)&gt;=1,
_xlfn.CEILING.MATH(IF($M758&gt;$E758,
$E758,
IF($M758&lt;$E758/ROUNDDOWN([1]CRITERIOS!$M$16/_xlfn.XLOOKUP($C758,[1]CRITERIOS!$K$25:$K$42,[1]CRITERIOS!$M$25:$M$42),
1),
E758/ROUNDDOWN([1]CRITERIOS!$M$16/_xlfn.XLOOKUP($C758,[1]CRITERIOS!$K$25:$K$42,[1]CRITERIOS!$M$25:$M$42),
1),
$M758)),
_xlfn.XLOOKUP($A758,[1]CRITERIOS!$L$179:$L$200,[1]CRITERIOS!$M$179:$M$200)),
_xlfn.CEILING.MATH(IF($M758&gt;$E758,
$E758,
IF($M758&lt;$E758/ROUNDDOWN([1]CRITERIOS!$M$16/_xlfn.XLOOKUP($C758,[1]CRITERIOS!$K$25:$K$42,[1]CRITERIOS!$M$25:$M$42),
1),
E758/ROUNDDOWN([1]CRITERIOS!$M$16/_xlfn.XLOOKUP($C758,[1]CRITERIOS!$K$25:$K$42,[1]CRITERIOS!$M$25:$M$42),
1),
$M758)),_xlfn.XLOOKUP(A758,'[1]DATOS PBI Artículos'!A:A,'[1]DATOS PBI Artículos'!Z:Z
)))))</f>
        <v>#N/A</v>
      </c>
      <c r="Q758" s="38" t="e">
        <f>IF(AND(O758="",N758=0),
0,
   IF(COUNTIF([1]CRITERIOS!$F$179:$F$199,$A758)&gt;=1,
   1,
   IF(R758="MTO",
      $D758,
      ROUNDUP(
                    IF(($E758-SUMIF('[1]DATOS PBI Artículos'!A:A,A758,'[1]DATOS PBI Artículos'!X:X)+($V758-_xlfn.XLOOKUP(A758,'[1]DATOS PBI Artículos'!A:A,'[1]DATOS PBI Artículos'!W:W)))&lt;0,
                    0,
                    IF(($E758-SUMIF('[1]DATOS PBI Artículos'!A:A,A758,'[1]DATOS PBI Artículos'!X:X)+$V758-_xlfn.XLOOKUP($A758,'[1]DATOS PBI Artículos'!A:A,'[1]DATOS PBI Artículos'!W:W))/IF($O758="",$N758,$O758)&gt;ROUNDUP([1]CRITERIOS!$M$16/(IF(COUNTIF([1]CRITERIOS!$BG$11:$BG$201,L758)&gt;=1,_xlfn.XLOOKUP($C758,[1]CRITERIOS!$K$25:$K$42,[1]CRITERIOS!$M$25:$M$42),_xlfn.XLOOKUP($C758,[1]CRITERIOS!$K$25:$K$42,[1]CRITERIOS!$M$25:$M$42))),0),
                    ROUNDUP([1]CRITERIOS!$M$16/(IF(COUNTIF([1]CRITERIOS!$BG$11:$BG$201,$L758)&gt;=1,_xlfn.XLOOKUP($C758,[1]CRITERIOS!$K$25:$K$42,[1]CRITERIOS!$M$25:$M$42),_xlfn.XLOOKUP($C758,[1]CRITERIOS!$K$25:$K$42,[1]CRITERIOS!$M$25:$M$42))),0),
                    (E758+V758-SUMIF('[1]DATOS PBI Artículos'!A:A,A758,'[1]DATOS PBI Artículos'!X:X)-_xlfn.XLOOKUP(A758,'[1]DATOS PBI Artículos'!A:A,'[1]DATOS PBI Artículos'!W:W))/IF($O758="",$N758,$O758))),0))))</f>
        <v>#N/A</v>
      </c>
      <c r="R758" s="33" t="e">
        <f>IF(U758&lt;&gt;"",U758,IF(F758="DV","MTO",IF(N758=0,"MTO",_xlfn.XLOOKUP(CONCATENATE(S758,T758),[1]CRITERIOS!$K$160:$K$168,[1]CRITERIOS!$N$160:$N$168))))</f>
        <v>#N/A</v>
      </c>
      <c r="S758" s="33" t="e">
        <f>IF(G758="DV","MTO",IF(N758=0,"MTO",IF(OR(AND(N758=0,O758=""),IF(O758="",G758/N758,G758/O758)&gt;[1]CRITERIOS!$G$163),"MTO",IF(IF(O758="",G758/N758,G758/O758)&lt;[1]CRITERIOS!$H$161,"MTS","MTOS"))))</f>
        <v>#N/A</v>
      </c>
      <c r="T758" s="33" t="e">
        <f>IF(F758="DV","MTO",IF(OR(AND($N758=0,O758=""),$F758/$J758&gt;[1]CRITERIOS!$G$170,$F758="DV"),"MTO",IF($F758/$J758&lt;[1]CRITERIOS!$H$168,"MTS","MTOS")))</f>
        <v>#N/A</v>
      </c>
      <c r="V758" s="34" t="e">
        <f t="shared" si="37"/>
        <v>#N/A</v>
      </c>
      <c r="X758" s="34" t="e">
        <f t="shared" si="35"/>
        <v>#N/A</v>
      </c>
      <c r="Y758" s="34" t="e">
        <f t="shared" si="36"/>
        <v>#N/A</v>
      </c>
      <c r="Z758" s="34" t="e">
        <f>IF($R758="MTO",
0,
($H758+$K758*($E758/[1]CRITERIOS!$M$16))/[1]CRITERIOS!$X$48)</f>
        <v>#N/A</v>
      </c>
      <c r="AA758" s="34" t="e">
        <f>ROUNDUP(($Y758/_xlfn.XLOOKUP($A758,'[1]DATOS PBI Artículos'!$A$4:$A$4,'[1]DATOS PBI Artículos'!$Z$4:$Z$4))/_xlfn.XLOOKUP(_xlfn.XLOOKUP($A758,'[1]DATOS PBI Artículos'!$A$4:$A$4,'[1]DATOS PBI Artículos'!$Y$4:$Y$4),[1]CRITERIOS!$P$79:$P$123,[1]CRITERIOS!$S$79:$S$123,),0)</f>
        <v>#N/A</v>
      </c>
      <c r="AC758" s="33" t="e">
        <f>IF(N758=0,"",(ROUNDUP((N758/2)/(_xlfn.XLOOKUP(A758,'[1]DATOS PBI Artículos'!$A$4:$A$4,'[1]DATOS PBI Artículos'!$Z$4:$Z$4)*_xlfn.XLOOKUP(_xlfn.XLOOKUP(A758,'[1]DATOS PBI Artículos'!$A$4:$A$4,'[1]DATOS PBI Artículos'!$Y$4:$Y$4),[1]CRITERIOS!$P$79:$P$123,[1]CRITERIOS!$S$79:$S$123)),0)*[1]CRITERIOS!$M$80*([1]CRITERIOS!$M$110/[1]CRITERIOS!$M$86)+(_xlfn.XLOOKUP(A758,'[1]DATOS PBI Artículos'!$A$4:$A$4,'[1]DATOS PBI Artículos'!$AA$4:$AA$4)*([1]CRITERIOS!$M$95+[1]CRITERIOS!$M$98)))/N758)</f>
        <v>#N/A</v>
      </c>
      <c r="AD758" s="33" t="e">
        <f>IF(N758=0,"",(ROUNDUP((N758/2)/(_xlfn.XLOOKUP(A758,'[1]DATOS PBI Artículos'!$A$4:$A$4,'[1]DATOS PBI Artículos'!$Z$4:$Z$4)*_xlfn.XLOOKUP(_xlfn.XLOOKUP(A758,'[1]DATOS PBI Artículos'!$A$4:$A$4,'[1]DATOS PBI Artículos'!$Y$4:$Y$4),[1]CRITERIOS!$P$79:$P$123,[1]CRITERIOS!$S$79:$S$123)),0)*[1]CRITERIOS!$M$80*([1]CRITERIOS!$M$89*[1]CRITERIOS!$M$92)+((_xlfn.XLOOKUP(A758,'[1]DATOS PBI Artículos'!$A$4:$A$4,'[1]DATOS PBI Artículos'!$AA$4:$AA$4)/2)*([1]CRITERIOS!$M$95+[1]CRITERIOS!$M$98)))/N758)</f>
        <v>#N/A</v>
      </c>
      <c r="AE758" s="39" t="e">
        <f>IF($R758="MTO","",
IF($H758=0,ROUNDUP(((_xlfn.XLOOKUP($A758,'[1]DATOS PBI Artículos'!$A:$A,'[1]DATOS PBI Artículos'!$AL:$AL))/(_xlfn.XLOOKUP($AF$1,[1]CRITERIOS!$S$16:$S$39,[1]CRITERIOS!$Y$16:$Y$39))*$J758+$Z758)/$G758,0)*$G758,
((_xlfn.XLOOKUP($A758,'[1]DATOS PBI Artículos'!$A:$A,'[1]DATOS PBI Artículos'!$AL:$AL))/(_xlfn.XLOOKUP($AF$1,[1]CRITERIOS!$S$16:$S$39,[1]CRITERIOS!$Y$16:$Y$39))*$J758+$Z758)))</f>
        <v>#N/A</v>
      </c>
      <c r="AG758" s="39" t="e">
        <f>IF($R758="MTO","",
IF($H758=0,ROUNDUP(((_xlfn.XLOOKUP($A758,'[1]DATOS PBI Artículos'!$A:$A,'[1]DATOS PBI Artículos'!$AM:$AM))/(_xlfn.XLOOKUP($AH$1,[1]CRITERIOS!$S$16:$S$39,[1]CRITERIOS!$Y$16:$Y$39))*$J758+$Z758)/$G758,0)*$G758,
((_xlfn.XLOOKUP($A758,'[1]DATOS PBI Artículos'!$A:$A,'[1]DATOS PBI Artículos'!$AM:$AM))/(_xlfn.XLOOKUP($AH$1,[1]CRITERIOS!$S$16:$S$39,[1]CRITERIOS!$Y$16:$Y$39))*$J758+$Z758)))</f>
        <v>#N/A</v>
      </c>
      <c r="AI758" s="39" t="e">
        <f>IF($R758="MTO","",
IF($H758=0,ROUNDUP(((_xlfn.XLOOKUP($A758,'[1]DATOS PBI Artículos'!$A:$A,'[1]DATOS PBI Artículos'!$AN:$AN))/(_xlfn.XLOOKUP($AJ$1,[1]CRITERIOS!$S$16:$S$39,[1]CRITERIOS!$Y$16:$Y$39))*$J758+$Z758)/$G758,0)*$G758,
((_xlfn.XLOOKUP($A758,'[1]DATOS PBI Artículos'!$A:$A,'[1]DATOS PBI Artículos'!$AN:$AN))/(_xlfn.XLOOKUP($AJ$1,[1]CRITERIOS!$S$16:$S$39,[1]CRITERIOS!$Y$16:$Y$39))*$J758+$Z758)))</f>
        <v>#N/A</v>
      </c>
      <c r="AK758" s="39" t="e">
        <f>IF($R758="MTO","",
IF($H758=0,ROUNDUP(((_xlfn.XLOOKUP($A758,'[1]DATOS PBI Artículos'!$A:$A,'[1]DATOS PBI Artículos'!$AO:$AO))/(_xlfn.XLOOKUP($AL$1,[1]CRITERIOS!$S$16:$S$39,[1]CRITERIOS!$Y$16:$Y$39))*$J758+$Z758)/$G758,0)*$G758,
((_xlfn.XLOOKUP($A758,'[1]DATOS PBI Artículos'!$A:$A,'[1]DATOS PBI Artículos'!$AO:$AO))/(_xlfn.XLOOKUP($AL$1,[1]CRITERIOS!$S$16:$S$39,[1]CRITERIOS!$Y$16:$Y$39))*$J758+$Z758)))</f>
        <v>#N/A</v>
      </c>
    </row>
    <row r="759" spans="1:37" ht="25.8" hidden="1" x14ac:dyDescent="0.4">
      <c r="A759" s="41"/>
      <c r="B759" s="33">
        <f>_xlfn.XLOOKUP($A759,'[1]DATOS PBI Artículos'!A:A,'[1]DATOS PBI Artículos'!B:B)</f>
        <v>0</v>
      </c>
      <c r="C759" s="33">
        <f>_xlfn.XLOOKUP($A759,'[1]DATOS PBI Artículos'!A:A,'[1]DATOS PBI Artículos'!C:C)</f>
        <v>0</v>
      </c>
      <c r="D759" s="33">
        <f>_xlfn.XLOOKUP(A759,'[1]DATOS PBI Artículos'!A:A,'[1]DATOS PBI Artículos'!T:T)</f>
        <v>0</v>
      </c>
      <c r="E759" s="34">
        <f>IF(_xlfn.XLOOKUP($A759,'[1]DATOS PBI Artículos'!A:A,'[1]DATOS PBI Artículos'!AK:AK)="",_xlfn.XLOOKUP($A759,'[1]DATOS PBI Artículos'!A:A,'[1]DATOS PBI Artículos'!AJ:AJ),_xlfn.XLOOKUP($A759,'[1]DATOS PBI Artículos'!A:A,'[1]DATOS PBI Artículos'!AK:AK))</f>
        <v>0</v>
      </c>
      <c r="F759" s="35">
        <f>_xlfn.XLOOKUP($A759,'[1]DATOS PBI Artículos'!A:A,'[1]DATOS PBI Artículos'!AP:AP)</f>
        <v>0</v>
      </c>
      <c r="G759" s="34">
        <f>_xlfn.XLOOKUP($A759,'[1]DATOS PBI Artículos'!A:A,'[1]DATOS PBI Artículos'!AR:AR)</f>
        <v>0</v>
      </c>
      <c r="H759" s="34">
        <f>_xlfn.XLOOKUP($A759,'[1]DATOS PBI Artículos'!A:A,'[1]DATOS PBI Artículos'!AT:AT)</f>
        <v>0</v>
      </c>
      <c r="I759" s="34">
        <f>_xlfn.XLOOKUP($A759,'[1]DATOS PBI Artículos'!A:A,'[1]DATOS PBI Artículos'!AS:AS)</f>
        <v>0</v>
      </c>
      <c r="J759" s="35">
        <f>IF(COUNTIF([1]CRITERIOS!$F$179:$F$199,$A759)&gt;=1,
 IF(O759&lt;&gt;"",
    (O759/_xlfn.XLOOKUP(CONCATENATE(A759,L759),[1]MÁQUINAS!A:A,[1]MÁQUINAS!D:D))/24,
    (N759/_xlfn.XLOOKUP(CONCATENATE(A759,L759),[1]MÁQUINAS!A:A,[1]MÁQUINAS!D:D))/24),
  _xlfn.XLOOKUP($A759,'[1]DATOS PBI Artículos'!A:A,'[1]DATOS PBI Artículos'!AU:AU))</f>
        <v>0</v>
      </c>
      <c r="K759" s="36">
        <f>_xlfn.XLOOKUP($A759,'[1]DATOS PBI Artículos'!A:A,'[1]DATOS PBI Artículos'!AV:AV)</f>
        <v>0</v>
      </c>
      <c r="L759" s="33">
        <f>_xlfn.XLOOKUP(A759,[1]MÁQUINAS!B:B,[1]MÁQUINAS!C:C)</f>
        <v>0</v>
      </c>
      <c r="M759" s="34">
        <f t="array" ref="M759">_xlfn.XLOOKUP(A759,'[1]DATOS PBI Artículos'!A:A,'[1]DATOS PBI Artículos'!AX:$AX)</f>
        <v>0</v>
      </c>
      <c r="N759" s="37" t="e">
        <f>IF(I759="DV",
E759,
IF(COUNTIF([1]CRITERIOS!$I$179:$I$199,$A759)&gt;=1,
_xlfn.XLOOKUP($A759,[1]CRITERIOS!$I$179:$I$199,[1]CRITERIOS!$J$179:$J$199),
IF(COUNTIF([1]CRITERIOS!$L$179:$L$199,$A759)&gt;=1,
_xlfn.CEILING.MATH(IF($M759&gt;$E759,
$E759,
IF($M759&lt;$E759/ROUNDDOWN([1]CRITERIOS!$M$16/_xlfn.XLOOKUP($C759,[1]CRITERIOS!$K$25:$K$42,[1]CRITERIOS!$M$25:$M$42),
1),
E759/ROUNDDOWN([1]CRITERIOS!$M$16/_xlfn.XLOOKUP($C759,[1]CRITERIOS!$K$25:$K$42,[1]CRITERIOS!$M$25:$M$42),
1),
$M759)),
_xlfn.XLOOKUP($A759,[1]CRITERIOS!$L$179:$L$200,[1]CRITERIOS!$M$179:$M$200)),
_xlfn.CEILING.MATH(IF($M759&gt;$E759,
$E759,
IF($M759&lt;$E759/ROUNDDOWN([1]CRITERIOS!$M$16/_xlfn.XLOOKUP($C759,[1]CRITERIOS!$K$25:$K$42,[1]CRITERIOS!$M$25:$M$42),
1),
E759/ROUNDDOWN([1]CRITERIOS!$M$16/_xlfn.XLOOKUP($C759,[1]CRITERIOS!$K$25:$K$42,[1]CRITERIOS!$M$25:$M$42),
1),
$M759)),_xlfn.XLOOKUP(A759,'[1]DATOS PBI Artículos'!A:A,'[1]DATOS PBI Artículos'!Z:Z
)))))</f>
        <v>#N/A</v>
      </c>
      <c r="Q759" s="38" t="e">
        <f>IF(AND(O759="",N759=0),
0,
   IF(COUNTIF([1]CRITERIOS!$F$179:$F$199,$A759)&gt;=1,
   1,
   IF(R759="MTO",
      $D759,
      ROUNDUP(
                    IF(($E759-SUMIF('[1]DATOS PBI Artículos'!A:A,A759,'[1]DATOS PBI Artículos'!X:X)+($V759-_xlfn.XLOOKUP(A759,'[1]DATOS PBI Artículos'!A:A,'[1]DATOS PBI Artículos'!W:W)))&lt;0,
                    0,
                    IF(($E759-SUMIF('[1]DATOS PBI Artículos'!A:A,A759,'[1]DATOS PBI Artículos'!X:X)+$V759-_xlfn.XLOOKUP($A759,'[1]DATOS PBI Artículos'!A:A,'[1]DATOS PBI Artículos'!W:W))/IF($O759="",$N759,$O759)&gt;ROUNDUP([1]CRITERIOS!$M$16/(IF(COUNTIF([1]CRITERIOS!$BG$11:$BG$201,L759)&gt;=1,_xlfn.XLOOKUP($C759,[1]CRITERIOS!$K$25:$K$42,[1]CRITERIOS!$M$25:$M$42),_xlfn.XLOOKUP($C759,[1]CRITERIOS!$K$25:$K$42,[1]CRITERIOS!$M$25:$M$42))),0),
                    ROUNDUP([1]CRITERIOS!$M$16/(IF(COUNTIF([1]CRITERIOS!$BG$11:$BG$201,$L759)&gt;=1,_xlfn.XLOOKUP($C759,[1]CRITERIOS!$K$25:$K$42,[1]CRITERIOS!$M$25:$M$42),_xlfn.XLOOKUP($C759,[1]CRITERIOS!$K$25:$K$42,[1]CRITERIOS!$M$25:$M$42))),0),
                    (E759+V759-SUMIF('[1]DATOS PBI Artículos'!A:A,A759,'[1]DATOS PBI Artículos'!X:X)-_xlfn.XLOOKUP(A759,'[1]DATOS PBI Artículos'!A:A,'[1]DATOS PBI Artículos'!W:W))/IF($O759="",$N759,$O759))),0))))</f>
        <v>#N/A</v>
      </c>
      <c r="R759" s="33" t="e">
        <f>IF(U759&lt;&gt;"",U759,IF(F759="DV","MTO",IF(N759=0,"MTO",_xlfn.XLOOKUP(CONCATENATE(S759,T759),[1]CRITERIOS!$K$160:$K$168,[1]CRITERIOS!$N$160:$N$168))))</f>
        <v>#N/A</v>
      </c>
      <c r="S759" s="33" t="e">
        <f>IF(G759="DV","MTO",IF(N759=0,"MTO",IF(OR(AND(N759=0,O759=""),IF(O759="",G759/N759,G759/O759)&gt;[1]CRITERIOS!$G$163),"MTO",IF(IF(O759="",G759/N759,G759/O759)&lt;[1]CRITERIOS!$H$161,"MTS","MTOS"))))</f>
        <v>#N/A</v>
      </c>
      <c r="T759" s="33" t="e">
        <f>IF(F759="DV","MTO",IF(OR(AND($N759=0,O759=""),$F759/$J759&gt;[1]CRITERIOS!$G$170,$F759="DV"),"MTO",IF($F759/$J759&lt;[1]CRITERIOS!$H$168,"MTS","MTOS")))</f>
        <v>#N/A</v>
      </c>
      <c r="V759" s="34" t="e">
        <f t="shared" si="37"/>
        <v>#N/A</v>
      </c>
      <c r="X759" s="34" t="e">
        <f t="shared" si="35"/>
        <v>#N/A</v>
      </c>
      <c r="Y759" s="34" t="e">
        <f t="shared" si="36"/>
        <v>#N/A</v>
      </c>
      <c r="Z759" s="34" t="e">
        <f>IF($R759="MTO",
0,
($H759+$K759*($E759/[1]CRITERIOS!$M$16))/[1]CRITERIOS!$X$48)</f>
        <v>#N/A</v>
      </c>
      <c r="AA759" s="34" t="e">
        <f>ROUNDUP(($Y759/_xlfn.XLOOKUP($A759,'[1]DATOS PBI Artículos'!$A$4:$A$4,'[1]DATOS PBI Artículos'!$Z$4:$Z$4))/_xlfn.XLOOKUP(_xlfn.XLOOKUP($A759,'[1]DATOS PBI Artículos'!$A$4:$A$4,'[1]DATOS PBI Artículos'!$Y$4:$Y$4),[1]CRITERIOS!$P$79:$P$123,[1]CRITERIOS!$S$79:$S$123,),0)</f>
        <v>#N/A</v>
      </c>
      <c r="AC759" s="33" t="e">
        <f>IF(N759=0,"",(ROUNDUP((N759/2)/(_xlfn.XLOOKUP(A759,'[1]DATOS PBI Artículos'!$A$4:$A$4,'[1]DATOS PBI Artículos'!$Z$4:$Z$4)*_xlfn.XLOOKUP(_xlfn.XLOOKUP(A759,'[1]DATOS PBI Artículos'!$A$4:$A$4,'[1]DATOS PBI Artículos'!$Y$4:$Y$4),[1]CRITERIOS!$P$79:$P$123,[1]CRITERIOS!$S$79:$S$123)),0)*[1]CRITERIOS!$M$80*([1]CRITERIOS!$M$110/[1]CRITERIOS!$M$86)+(_xlfn.XLOOKUP(A759,'[1]DATOS PBI Artículos'!$A$4:$A$4,'[1]DATOS PBI Artículos'!$AA$4:$AA$4)*([1]CRITERIOS!$M$95+[1]CRITERIOS!$M$98)))/N759)</f>
        <v>#N/A</v>
      </c>
      <c r="AD759" s="33" t="e">
        <f>IF(N759=0,"",(ROUNDUP((N759/2)/(_xlfn.XLOOKUP(A759,'[1]DATOS PBI Artículos'!$A$4:$A$4,'[1]DATOS PBI Artículos'!$Z$4:$Z$4)*_xlfn.XLOOKUP(_xlfn.XLOOKUP(A759,'[1]DATOS PBI Artículos'!$A$4:$A$4,'[1]DATOS PBI Artículos'!$Y$4:$Y$4),[1]CRITERIOS!$P$79:$P$123,[1]CRITERIOS!$S$79:$S$123)),0)*[1]CRITERIOS!$M$80*([1]CRITERIOS!$M$89*[1]CRITERIOS!$M$92)+((_xlfn.XLOOKUP(A759,'[1]DATOS PBI Artículos'!$A$4:$A$4,'[1]DATOS PBI Artículos'!$AA$4:$AA$4)/2)*([1]CRITERIOS!$M$95+[1]CRITERIOS!$M$98)))/N759)</f>
        <v>#N/A</v>
      </c>
      <c r="AE759" s="39" t="e">
        <f>IF($R759="MTO","",
IF($H759=0,ROUNDUP(((_xlfn.XLOOKUP($A759,'[1]DATOS PBI Artículos'!$A:$A,'[1]DATOS PBI Artículos'!$AL:$AL))/(_xlfn.XLOOKUP($AF$1,[1]CRITERIOS!$S$16:$S$39,[1]CRITERIOS!$Y$16:$Y$39))*$J759+$Z759)/$G759,0)*$G759,
((_xlfn.XLOOKUP($A759,'[1]DATOS PBI Artículos'!$A:$A,'[1]DATOS PBI Artículos'!$AL:$AL))/(_xlfn.XLOOKUP($AF$1,[1]CRITERIOS!$S$16:$S$39,[1]CRITERIOS!$Y$16:$Y$39))*$J759+$Z759)))</f>
        <v>#N/A</v>
      </c>
      <c r="AG759" s="39" t="e">
        <f>IF($R759="MTO","",
IF($H759=0,ROUNDUP(((_xlfn.XLOOKUP($A759,'[1]DATOS PBI Artículos'!$A:$A,'[1]DATOS PBI Artículos'!$AM:$AM))/(_xlfn.XLOOKUP($AH$1,[1]CRITERIOS!$S$16:$S$39,[1]CRITERIOS!$Y$16:$Y$39))*$J759+$Z759)/$G759,0)*$G759,
((_xlfn.XLOOKUP($A759,'[1]DATOS PBI Artículos'!$A:$A,'[1]DATOS PBI Artículos'!$AM:$AM))/(_xlfn.XLOOKUP($AH$1,[1]CRITERIOS!$S$16:$S$39,[1]CRITERIOS!$Y$16:$Y$39))*$J759+$Z759)))</f>
        <v>#N/A</v>
      </c>
      <c r="AI759" s="39" t="e">
        <f>IF($R759="MTO","",
IF($H759=0,ROUNDUP(((_xlfn.XLOOKUP($A759,'[1]DATOS PBI Artículos'!$A:$A,'[1]DATOS PBI Artículos'!$AN:$AN))/(_xlfn.XLOOKUP($AJ$1,[1]CRITERIOS!$S$16:$S$39,[1]CRITERIOS!$Y$16:$Y$39))*$J759+$Z759)/$G759,0)*$G759,
((_xlfn.XLOOKUP($A759,'[1]DATOS PBI Artículos'!$A:$A,'[1]DATOS PBI Artículos'!$AN:$AN))/(_xlfn.XLOOKUP($AJ$1,[1]CRITERIOS!$S$16:$S$39,[1]CRITERIOS!$Y$16:$Y$39))*$J759+$Z759)))</f>
        <v>#N/A</v>
      </c>
      <c r="AK759" s="39" t="e">
        <f>IF($R759="MTO","",
IF($H759=0,ROUNDUP(((_xlfn.XLOOKUP($A759,'[1]DATOS PBI Artículos'!$A:$A,'[1]DATOS PBI Artículos'!$AO:$AO))/(_xlfn.XLOOKUP($AL$1,[1]CRITERIOS!$S$16:$S$39,[1]CRITERIOS!$Y$16:$Y$39))*$J759+$Z759)/$G759,0)*$G759,
((_xlfn.XLOOKUP($A759,'[1]DATOS PBI Artículos'!$A:$A,'[1]DATOS PBI Artículos'!$AO:$AO))/(_xlfn.XLOOKUP($AL$1,[1]CRITERIOS!$S$16:$S$39,[1]CRITERIOS!$Y$16:$Y$39))*$J759+$Z759)))</f>
        <v>#N/A</v>
      </c>
    </row>
    <row r="760" spans="1:37" ht="25.8" hidden="1" x14ac:dyDescent="0.4">
      <c r="A760" s="41"/>
      <c r="B760" s="33">
        <f>_xlfn.XLOOKUP($A760,'[1]DATOS PBI Artículos'!A:A,'[1]DATOS PBI Artículos'!B:B)</f>
        <v>0</v>
      </c>
      <c r="C760" s="33">
        <f>_xlfn.XLOOKUP($A760,'[1]DATOS PBI Artículos'!A:A,'[1]DATOS PBI Artículos'!C:C)</f>
        <v>0</v>
      </c>
      <c r="D760" s="33">
        <f>_xlfn.XLOOKUP(A760,'[1]DATOS PBI Artículos'!A:A,'[1]DATOS PBI Artículos'!T:T)</f>
        <v>0</v>
      </c>
      <c r="E760" s="34">
        <f>IF(_xlfn.XLOOKUP($A760,'[1]DATOS PBI Artículos'!A:A,'[1]DATOS PBI Artículos'!AK:AK)="",_xlfn.XLOOKUP($A760,'[1]DATOS PBI Artículos'!A:A,'[1]DATOS PBI Artículos'!AJ:AJ),_xlfn.XLOOKUP($A760,'[1]DATOS PBI Artículos'!A:A,'[1]DATOS PBI Artículos'!AK:AK))</f>
        <v>0</v>
      </c>
      <c r="F760" s="35">
        <f>_xlfn.XLOOKUP($A760,'[1]DATOS PBI Artículos'!A:A,'[1]DATOS PBI Artículos'!AP:AP)</f>
        <v>0</v>
      </c>
      <c r="G760" s="34">
        <f>_xlfn.XLOOKUP($A760,'[1]DATOS PBI Artículos'!A:A,'[1]DATOS PBI Artículos'!AR:AR)</f>
        <v>0</v>
      </c>
      <c r="H760" s="34">
        <f>_xlfn.XLOOKUP($A760,'[1]DATOS PBI Artículos'!A:A,'[1]DATOS PBI Artículos'!AT:AT)</f>
        <v>0</v>
      </c>
      <c r="I760" s="34">
        <f>_xlfn.XLOOKUP($A760,'[1]DATOS PBI Artículos'!A:A,'[1]DATOS PBI Artículos'!AS:AS)</f>
        <v>0</v>
      </c>
      <c r="J760" s="35">
        <f>IF(COUNTIF([1]CRITERIOS!$F$179:$F$199,$A760)&gt;=1,
 IF(O760&lt;&gt;"",
    (O760/_xlfn.XLOOKUP(CONCATENATE(A760,L760),[1]MÁQUINAS!A:A,[1]MÁQUINAS!D:D))/24,
    (N760/_xlfn.XLOOKUP(CONCATENATE(A760,L760),[1]MÁQUINAS!A:A,[1]MÁQUINAS!D:D))/24),
  _xlfn.XLOOKUP($A760,'[1]DATOS PBI Artículos'!A:A,'[1]DATOS PBI Artículos'!AU:AU))</f>
        <v>0</v>
      </c>
      <c r="K760" s="36">
        <f>_xlfn.XLOOKUP($A760,'[1]DATOS PBI Artículos'!A:A,'[1]DATOS PBI Artículos'!AV:AV)</f>
        <v>0</v>
      </c>
      <c r="L760" s="33">
        <f>_xlfn.XLOOKUP(A760,[1]MÁQUINAS!B:B,[1]MÁQUINAS!C:C)</f>
        <v>0</v>
      </c>
      <c r="M760" s="34">
        <f t="array" ref="M760">_xlfn.XLOOKUP(A760,'[1]DATOS PBI Artículos'!A:A,'[1]DATOS PBI Artículos'!AX:$AX)</f>
        <v>0</v>
      </c>
      <c r="N760" s="37" t="e">
        <f>IF(I760="DV",
E760,
IF(COUNTIF([1]CRITERIOS!$I$179:$I$199,$A760)&gt;=1,
_xlfn.XLOOKUP($A760,[1]CRITERIOS!$I$179:$I$199,[1]CRITERIOS!$J$179:$J$199),
IF(COUNTIF([1]CRITERIOS!$L$179:$L$199,$A760)&gt;=1,
_xlfn.CEILING.MATH(IF($M760&gt;$E760,
$E760,
IF($M760&lt;$E760/ROUNDDOWN([1]CRITERIOS!$M$16/_xlfn.XLOOKUP($C760,[1]CRITERIOS!$K$25:$K$42,[1]CRITERIOS!$M$25:$M$42),
1),
E760/ROUNDDOWN([1]CRITERIOS!$M$16/_xlfn.XLOOKUP($C760,[1]CRITERIOS!$K$25:$K$42,[1]CRITERIOS!$M$25:$M$42),
1),
$M760)),
_xlfn.XLOOKUP($A760,[1]CRITERIOS!$L$179:$L$200,[1]CRITERIOS!$M$179:$M$200)),
_xlfn.CEILING.MATH(IF($M760&gt;$E760,
$E760,
IF($M760&lt;$E760/ROUNDDOWN([1]CRITERIOS!$M$16/_xlfn.XLOOKUP($C760,[1]CRITERIOS!$K$25:$K$42,[1]CRITERIOS!$M$25:$M$42),
1),
E760/ROUNDDOWN([1]CRITERIOS!$M$16/_xlfn.XLOOKUP($C760,[1]CRITERIOS!$K$25:$K$42,[1]CRITERIOS!$M$25:$M$42),
1),
$M760)),_xlfn.XLOOKUP(A760,'[1]DATOS PBI Artículos'!A:A,'[1]DATOS PBI Artículos'!Z:Z
)))))</f>
        <v>#N/A</v>
      </c>
      <c r="Q760" s="38" t="e">
        <f>IF(AND(O760="",N760=0),
0,
   IF(COUNTIF([1]CRITERIOS!$F$179:$F$199,$A760)&gt;=1,
   1,
   IF(R760="MTO",
      $D760,
      ROUNDUP(
                    IF(($E760-SUMIF('[1]DATOS PBI Artículos'!A:A,A760,'[1]DATOS PBI Artículos'!X:X)+($V760-_xlfn.XLOOKUP(A760,'[1]DATOS PBI Artículos'!A:A,'[1]DATOS PBI Artículos'!W:W)))&lt;0,
                    0,
                    IF(($E760-SUMIF('[1]DATOS PBI Artículos'!A:A,A760,'[1]DATOS PBI Artículos'!X:X)+$V760-_xlfn.XLOOKUP($A760,'[1]DATOS PBI Artículos'!A:A,'[1]DATOS PBI Artículos'!W:W))/IF($O760="",$N760,$O760)&gt;ROUNDUP([1]CRITERIOS!$M$16/(IF(COUNTIF([1]CRITERIOS!$BG$11:$BG$201,L760)&gt;=1,_xlfn.XLOOKUP($C760,[1]CRITERIOS!$K$25:$K$42,[1]CRITERIOS!$M$25:$M$42),_xlfn.XLOOKUP($C760,[1]CRITERIOS!$K$25:$K$42,[1]CRITERIOS!$M$25:$M$42))),0),
                    ROUNDUP([1]CRITERIOS!$M$16/(IF(COUNTIF([1]CRITERIOS!$BG$11:$BG$201,$L760)&gt;=1,_xlfn.XLOOKUP($C760,[1]CRITERIOS!$K$25:$K$42,[1]CRITERIOS!$M$25:$M$42),_xlfn.XLOOKUP($C760,[1]CRITERIOS!$K$25:$K$42,[1]CRITERIOS!$M$25:$M$42))),0),
                    (E760+V760-SUMIF('[1]DATOS PBI Artículos'!A:A,A760,'[1]DATOS PBI Artículos'!X:X)-_xlfn.XLOOKUP(A760,'[1]DATOS PBI Artículos'!A:A,'[1]DATOS PBI Artículos'!W:W))/IF($O760="",$N760,$O760))),0))))</f>
        <v>#N/A</v>
      </c>
      <c r="R760" s="33" t="e">
        <f>IF(U760&lt;&gt;"",U760,IF(F760="DV","MTO",IF(N760=0,"MTO",_xlfn.XLOOKUP(CONCATENATE(S760,T760),[1]CRITERIOS!$K$160:$K$168,[1]CRITERIOS!$N$160:$N$168))))</f>
        <v>#N/A</v>
      </c>
      <c r="S760" s="33" t="e">
        <f>IF(G760="DV","MTO",IF(N760=0,"MTO",IF(OR(AND(N760=0,O760=""),IF(O760="",G760/N760,G760/O760)&gt;[1]CRITERIOS!$G$163),"MTO",IF(IF(O760="",G760/N760,G760/O760)&lt;[1]CRITERIOS!$H$161,"MTS","MTOS"))))</f>
        <v>#N/A</v>
      </c>
      <c r="T760" s="33" t="e">
        <f>IF(F760="DV","MTO",IF(OR(AND($N760=0,O760=""),$F760/$J760&gt;[1]CRITERIOS!$G$170,$F760="DV"),"MTO",IF($F760/$J760&lt;[1]CRITERIOS!$H$168,"MTS","MTOS")))</f>
        <v>#N/A</v>
      </c>
      <c r="V760" s="34" t="e">
        <f t="shared" si="37"/>
        <v>#N/A</v>
      </c>
      <c r="X760" s="34" t="e">
        <f t="shared" si="35"/>
        <v>#N/A</v>
      </c>
      <c r="Y760" s="34" t="e">
        <f t="shared" si="36"/>
        <v>#N/A</v>
      </c>
      <c r="Z760" s="34" t="e">
        <f>IF($R760="MTO",
0,
($H760+$K760*($E760/[1]CRITERIOS!$M$16))/[1]CRITERIOS!$X$48)</f>
        <v>#N/A</v>
      </c>
      <c r="AA760" s="34" t="e">
        <f>ROUNDUP(($Y760/_xlfn.XLOOKUP($A760,'[1]DATOS PBI Artículos'!$A$4:$A$4,'[1]DATOS PBI Artículos'!$Z$4:$Z$4))/_xlfn.XLOOKUP(_xlfn.XLOOKUP($A760,'[1]DATOS PBI Artículos'!$A$4:$A$4,'[1]DATOS PBI Artículos'!$Y$4:$Y$4),[1]CRITERIOS!$P$79:$P$123,[1]CRITERIOS!$S$79:$S$123,),0)</f>
        <v>#N/A</v>
      </c>
      <c r="AC760" s="33" t="e">
        <f>IF(N760=0,"",(ROUNDUP((N760/2)/(_xlfn.XLOOKUP(A760,'[1]DATOS PBI Artículos'!$A$4:$A$4,'[1]DATOS PBI Artículos'!$Z$4:$Z$4)*_xlfn.XLOOKUP(_xlfn.XLOOKUP(A760,'[1]DATOS PBI Artículos'!$A$4:$A$4,'[1]DATOS PBI Artículos'!$Y$4:$Y$4),[1]CRITERIOS!$P$79:$P$123,[1]CRITERIOS!$S$79:$S$123)),0)*[1]CRITERIOS!$M$80*([1]CRITERIOS!$M$110/[1]CRITERIOS!$M$86)+(_xlfn.XLOOKUP(A760,'[1]DATOS PBI Artículos'!$A$4:$A$4,'[1]DATOS PBI Artículos'!$AA$4:$AA$4)*([1]CRITERIOS!$M$95+[1]CRITERIOS!$M$98)))/N760)</f>
        <v>#N/A</v>
      </c>
      <c r="AD760" s="33" t="e">
        <f>IF(N760=0,"",(ROUNDUP((N760/2)/(_xlfn.XLOOKUP(A760,'[1]DATOS PBI Artículos'!$A$4:$A$4,'[1]DATOS PBI Artículos'!$Z$4:$Z$4)*_xlfn.XLOOKUP(_xlfn.XLOOKUP(A760,'[1]DATOS PBI Artículos'!$A$4:$A$4,'[1]DATOS PBI Artículos'!$Y$4:$Y$4),[1]CRITERIOS!$P$79:$P$123,[1]CRITERIOS!$S$79:$S$123)),0)*[1]CRITERIOS!$M$80*([1]CRITERIOS!$M$89*[1]CRITERIOS!$M$92)+((_xlfn.XLOOKUP(A760,'[1]DATOS PBI Artículos'!$A$4:$A$4,'[1]DATOS PBI Artículos'!$AA$4:$AA$4)/2)*([1]CRITERIOS!$M$95+[1]CRITERIOS!$M$98)))/N760)</f>
        <v>#N/A</v>
      </c>
      <c r="AE760" s="39" t="e">
        <f>IF($R760="MTO","",
IF($H760=0,ROUNDUP(((_xlfn.XLOOKUP($A760,'[1]DATOS PBI Artículos'!$A:$A,'[1]DATOS PBI Artículos'!$AL:$AL))/(_xlfn.XLOOKUP($AF$1,[1]CRITERIOS!$S$16:$S$39,[1]CRITERIOS!$Y$16:$Y$39))*$J760+$Z760)/$G760,0)*$G760,
((_xlfn.XLOOKUP($A760,'[1]DATOS PBI Artículos'!$A:$A,'[1]DATOS PBI Artículos'!$AL:$AL))/(_xlfn.XLOOKUP($AF$1,[1]CRITERIOS!$S$16:$S$39,[1]CRITERIOS!$Y$16:$Y$39))*$J760+$Z760)))</f>
        <v>#N/A</v>
      </c>
      <c r="AG760" s="39" t="e">
        <f>IF($R760="MTO","",
IF($H760=0,ROUNDUP(((_xlfn.XLOOKUP($A760,'[1]DATOS PBI Artículos'!$A:$A,'[1]DATOS PBI Artículos'!$AM:$AM))/(_xlfn.XLOOKUP($AH$1,[1]CRITERIOS!$S$16:$S$39,[1]CRITERIOS!$Y$16:$Y$39))*$J760+$Z760)/$G760,0)*$G760,
((_xlfn.XLOOKUP($A760,'[1]DATOS PBI Artículos'!$A:$A,'[1]DATOS PBI Artículos'!$AM:$AM))/(_xlfn.XLOOKUP($AH$1,[1]CRITERIOS!$S$16:$S$39,[1]CRITERIOS!$Y$16:$Y$39))*$J760+$Z760)))</f>
        <v>#N/A</v>
      </c>
      <c r="AI760" s="39" t="e">
        <f>IF($R760="MTO","",
IF($H760=0,ROUNDUP(((_xlfn.XLOOKUP($A760,'[1]DATOS PBI Artículos'!$A:$A,'[1]DATOS PBI Artículos'!$AN:$AN))/(_xlfn.XLOOKUP($AJ$1,[1]CRITERIOS!$S$16:$S$39,[1]CRITERIOS!$Y$16:$Y$39))*$J760+$Z760)/$G760,0)*$G760,
((_xlfn.XLOOKUP($A760,'[1]DATOS PBI Artículos'!$A:$A,'[1]DATOS PBI Artículos'!$AN:$AN))/(_xlfn.XLOOKUP($AJ$1,[1]CRITERIOS!$S$16:$S$39,[1]CRITERIOS!$Y$16:$Y$39))*$J760+$Z760)))</f>
        <v>#N/A</v>
      </c>
      <c r="AK760" s="39" t="e">
        <f>IF($R760="MTO","",
IF($H760=0,ROUNDUP(((_xlfn.XLOOKUP($A760,'[1]DATOS PBI Artículos'!$A:$A,'[1]DATOS PBI Artículos'!$AO:$AO))/(_xlfn.XLOOKUP($AL$1,[1]CRITERIOS!$S$16:$S$39,[1]CRITERIOS!$Y$16:$Y$39))*$J760+$Z760)/$G760,0)*$G760,
((_xlfn.XLOOKUP($A760,'[1]DATOS PBI Artículos'!$A:$A,'[1]DATOS PBI Artículos'!$AO:$AO))/(_xlfn.XLOOKUP($AL$1,[1]CRITERIOS!$S$16:$S$39,[1]CRITERIOS!$Y$16:$Y$39))*$J760+$Z760)))</f>
        <v>#N/A</v>
      </c>
    </row>
    <row r="761" spans="1:37" ht="25.8" hidden="1" x14ac:dyDescent="0.4">
      <c r="A761" s="41"/>
      <c r="B761" s="33">
        <f>_xlfn.XLOOKUP($A761,'[1]DATOS PBI Artículos'!A:A,'[1]DATOS PBI Artículos'!B:B)</f>
        <v>0</v>
      </c>
      <c r="C761" s="33">
        <f>_xlfn.XLOOKUP($A761,'[1]DATOS PBI Artículos'!A:A,'[1]DATOS PBI Artículos'!C:C)</f>
        <v>0</v>
      </c>
      <c r="D761" s="33">
        <f>_xlfn.XLOOKUP(A761,'[1]DATOS PBI Artículos'!A:A,'[1]DATOS PBI Artículos'!T:T)</f>
        <v>0</v>
      </c>
      <c r="E761" s="34">
        <f>IF(_xlfn.XLOOKUP($A761,'[1]DATOS PBI Artículos'!A:A,'[1]DATOS PBI Artículos'!AK:AK)="",_xlfn.XLOOKUP($A761,'[1]DATOS PBI Artículos'!A:A,'[1]DATOS PBI Artículos'!AJ:AJ),_xlfn.XLOOKUP($A761,'[1]DATOS PBI Artículos'!A:A,'[1]DATOS PBI Artículos'!AK:AK))</f>
        <v>0</v>
      </c>
      <c r="F761" s="35">
        <f>_xlfn.XLOOKUP($A761,'[1]DATOS PBI Artículos'!A:A,'[1]DATOS PBI Artículos'!AP:AP)</f>
        <v>0</v>
      </c>
      <c r="G761" s="34">
        <f>_xlfn.XLOOKUP($A761,'[1]DATOS PBI Artículos'!A:A,'[1]DATOS PBI Artículos'!AR:AR)</f>
        <v>0</v>
      </c>
      <c r="H761" s="34">
        <f>_xlfn.XLOOKUP($A761,'[1]DATOS PBI Artículos'!A:A,'[1]DATOS PBI Artículos'!AT:AT)</f>
        <v>0</v>
      </c>
      <c r="I761" s="34">
        <f>_xlfn.XLOOKUP($A761,'[1]DATOS PBI Artículos'!A:A,'[1]DATOS PBI Artículos'!AS:AS)</f>
        <v>0</v>
      </c>
      <c r="J761" s="35">
        <f>IF(COUNTIF([1]CRITERIOS!$F$179:$F$199,$A761)&gt;=1,
 IF(O761&lt;&gt;"",
    (O761/_xlfn.XLOOKUP(CONCATENATE(A761,L761),[1]MÁQUINAS!A:A,[1]MÁQUINAS!D:D))/24,
    (N761/_xlfn.XLOOKUP(CONCATENATE(A761,L761),[1]MÁQUINAS!A:A,[1]MÁQUINAS!D:D))/24),
  _xlfn.XLOOKUP($A761,'[1]DATOS PBI Artículos'!A:A,'[1]DATOS PBI Artículos'!AU:AU))</f>
        <v>0</v>
      </c>
      <c r="K761" s="36">
        <f>_xlfn.XLOOKUP($A761,'[1]DATOS PBI Artículos'!A:A,'[1]DATOS PBI Artículos'!AV:AV)</f>
        <v>0</v>
      </c>
      <c r="L761" s="33">
        <f>_xlfn.XLOOKUP(A761,[1]MÁQUINAS!B:B,[1]MÁQUINAS!C:C)</f>
        <v>0</v>
      </c>
      <c r="M761" s="34">
        <f t="array" ref="M761">_xlfn.XLOOKUP(A761,'[1]DATOS PBI Artículos'!A:A,'[1]DATOS PBI Artículos'!AX:$AX)</f>
        <v>0</v>
      </c>
      <c r="N761" s="37" t="e">
        <f>IF(I761="DV",
E761,
IF(COUNTIF([1]CRITERIOS!$I$179:$I$199,$A761)&gt;=1,
_xlfn.XLOOKUP($A761,[1]CRITERIOS!$I$179:$I$199,[1]CRITERIOS!$J$179:$J$199),
IF(COUNTIF([1]CRITERIOS!$L$179:$L$199,$A761)&gt;=1,
_xlfn.CEILING.MATH(IF($M761&gt;$E761,
$E761,
IF($M761&lt;$E761/ROUNDDOWN([1]CRITERIOS!$M$16/_xlfn.XLOOKUP($C761,[1]CRITERIOS!$K$25:$K$42,[1]CRITERIOS!$M$25:$M$42),
1),
E761/ROUNDDOWN([1]CRITERIOS!$M$16/_xlfn.XLOOKUP($C761,[1]CRITERIOS!$K$25:$K$42,[1]CRITERIOS!$M$25:$M$42),
1),
$M761)),
_xlfn.XLOOKUP($A761,[1]CRITERIOS!$L$179:$L$200,[1]CRITERIOS!$M$179:$M$200)),
_xlfn.CEILING.MATH(IF($M761&gt;$E761,
$E761,
IF($M761&lt;$E761/ROUNDDOWN([1]CRITERIOS!$M$16/_xlfn.XLOOKUP($C761,[1]CRITERIOS!$K$25:$K$42,[1]CRITERIOS!$M$25:$M$42),
1),
E761/ROUNDDOWN([1]CRITERIOS!$M$16/_xlfn.XLOOKUP($C761,[1]CRITERIOS!$K$25:$K$42,[1]CRITERIOS!$M$25:$M$42),
1),
$M761)),_xlfn.XLOOKUP(A761,'[1]DATOS PBI Artículos'!A:A,'[1]DATOS PBI Artículos'!Z:Z
)))))</f>
        <v>#N/A</v>
      </c>
      <c r="Q761" s="38" t="e">
        <f>IF(AND(O761="",N761=0),
0,
   IF(COUNTIF([1]CRITERIOS!$F$179:$F$199,$A761)&gt;=1,
   1,
   IF(R761="MTO",
      $D761,
      ROUNDUP(
                    IF(($E761-SUMIF('[1]DATOS PBI Artículos'!A:A,A761,'[1]DATOS PBI Artículos'!X:X)+($V761-_xlfn.XLOOKUP(A761,'[1]DATOS PBI Artículos'!A:A,'[1]DATOS PBI Artículos'!W:W)))&lt;0,
                    0,
                    IF(($E761-SUMIF('[1]DATOS PBI Artículos'!A:A,A761,'[1]DATOS PBI Artículos'!X:X)+$V761-_xlfn.XLOOKUP($A761,'[1]DATOS PBI Artículos'!A:A,'[1]DATOS PBI Artículos'!W:W))/IF($O761="",$N761,$O761)&gt;ROUNDUP([1]CRITERIOS!$M$16/(IF(COUNTIF([1]CRITERIOS!$BG$11:$BG$201,L761)&gt;=1,_xlfn.XLOOKUP($C761,[1]CRITERIOS!$K$25:$K$42,[1]CRITERIOS!$M$25:$M$42),_xlfn.XLOOKUP($C761,[1]CRITERIOS!$K$25:$K$42,[1]CRITERIOS!$M$25:$M$42))),0),
                    ROUNDUP([1]CRITERIOS!$M$16/(IF(COUNTIF([1]CRITERIOS!$BG$11:$BG$201,$L761)&gt;=1,_xlfn.XLOOKUP($C761,[1]CRITERIOS!$K$25:$K$42,[1]CRITERIOS!$M$25:$M$42),_xlfn.XLOOKUP($C761,[1]CRITERIOS!$K$25:$K$42,[1]CRITERIOS!$M$25:$M$42))),0),
                    (E761+V761-SUMIF('[1]DATOS PBI Artículos'!A:A,A761,'[1]DATOS PBI Artículos'!X:X)-_xlfn.XLOOKUP(A761,'[1]DATOS PBI Artículos'!A:A,'[1]DATOS PBI Artículos'!W:W))/IF($O761="",$N761,$O761))),0))))</f>
        <v>#N/A</v>
      </c>
      <c r="R761" s="33" t="e">
        <f>IF(U761&lt;&gt;"",U761,IF(F761="DV","MTO",IF(N761=0,"MTO",_xlfn.XLOOKUP(CONCATENATE(S761,T761),[1]CRITERIOS!$K$160:$K$168,[1]CRITERIOS!$N$160:$N$168))))</f>
        <v>#N/A</v>
      </c>
      <c r="S761" s="33" t="e">
        <f>IF(G761="DV","MTO",IF(N761=0,"MTO",IF(OR(AND(N761=0,O761=""),IF(O761="",G761/N761,G761/O761)&gt;[1]CRITERIOS!$G$163),"MTO",IF(IF(O761="",G761/N761,G761/O761)&lt;[1]CRITERIOS!$H$161,"MTS","MTOS"))))</f>
        <v>#N/A</v>
      </c>
      <c r="T761" s="33" t="e">
        <f>IF(F761="DV","MTO",IF(OR(AND($N761=0,O761=""),$F761/$J761&gt;[1]CRITERIOS!$G$170,$F761="DV"),"MTO",IF($F761/$J761&lt;[1]CRITERIOS!$H$168,"MTS","MTOS")))</f>
        <v>#N/A</v>
      </c>
      <c r="V761" s="34" t="e">
        <f t="shared" si="37"/>
        <v>#N/A</v>
      </c>
      <c r="X761" s="34" t="e">
        <f t="shared" si="35"/>
        <v>#N/A</v>
      </c>
      <c r="Y761" s="34" t="e">
        <f t="shared" si="36"/>
        <v>#N/A</v>
      </c>
      <c r="Z761" s="34" t="e">
        <f>IF($R761="MTO",
0,
($H761+$K761*($E761/[1]CRITERIOS!$M$16))/[1]CRITERIOS!$X$48)</f>
        <v>#N/A</v>
      </c>
      <c r="AA761" s="34" t="e">
        <f>ROUNDUP(($Y761/_xlfn.XLOOKUP($A761,'[1]DATOS PBI Artículos'!$A$4:$A$4,'[1]DATOS PBI Artículos'!$Z$4:$Z$4))/_xlfn.XLOOKUP(_xlfn.XLOOKUP($A761,'[1]DATOS PBI Artículos'!$A$4:$A$4,'[1]DATOS PBI Artículos'!$Y$4:$Y$4),[1]CRITERIOS!$P$79:$P$123,[1]CRITERIOS!$S$79:$S$123,),0)</f>
        <v>#N/A</v>
      </c>
      <c r="AC761" s="33" t="e">
        <f>IF(N761=0,"",(ROUNDUP((N761/2)/(_xlfn.XLOOKUP(A761,'[1]DATOS PBI Artículos'!$A$4:$A$4,'[1]DATOS PBI Artículos'!$Z$4:$Z$4)*_xlfn.XLOOKUP(_xlfn.XLOOKUP(A761,'[1]DATOS PBI Artículos'!$A$4:$A$4,'[1]DATOS PBI Artículos'!$Y$4:$Y$4),[1]CRITERIOS!$P$79:$P$123,[1]CRITERIOS!$S$79:$S$123)),0)*[1]CRITERIOS!$M$80*([1]CRITERIOS!$M$110/[1]CRITERIOS!$M$86)+(_xlfn.XLOOKUP(A761,'[1]DATOS PBI Artículos'!$A$4:$A$4,'[1]DATOS PBI Artículos'!$AA$4:$AA$4)*([1]CRITERIOS!$M$95+[1]CRITERIOS!$M$98)))/N761)</f>
        <v>#N/A</v>
      </c>
      <c r="AD761" s="33" t="e">
        <f>IF(N761=0,"",(ROUNDUP((N761/2)/(_xlfn.XLOOKUP(A761,'[1]DATOS PBI Artículos'!$A$4:$A$4,'[1]DATOS PBI Artículos'!$Z$4:$Z$4)*_xlfn.XLOOKUP(_xlfn.XLOOKUP(A761,'[1]DATOS PBI Artículos'!$A$4:$A$4,'[1]DATOS PBI Artículos'!$Y$4:$Y$4),[1]CRITERIOS!$P$79:$P$123,[1]CRITERIOS!$S$79:$S$123)),0)*[1]CRITERIOS!$M$80*([1]CRITERIOS!$M$89*[1]CRITERIOS!$M$92)+((_xlfn.XLOOKUP(A761,'[1]DATOS PBI Artículos'!$A$4:$A$4,'[1]DATOS PBI Artículos'!$AA$4:$AA$4)/2)*([1]CRITERIOS!$M$95+[1]CRITERIOS!$M$98)))/N761)</f>
        <v>#N/A</v>
      </c>
      <c r="AE761" s="39" t="e">
        <f>IF($R761="MTO","",
IF($H761=0,ROUNDUP(((_xlfn.XLOOKUP($A761,'[1]DATOS PBI Artículos'!$A:$A,'[1]DATOS PBI Artículos'!$AL:$AL))/(_xlfn.XLOOKUP($AF$1,[1]CRITERIOS!$S$16:$S$39,[1]CRITERIOS!$Y$16:$Y$39))*$J761+$Z761)/$G761,0)*$G761,
((_xlfn.XLOOKUP($A761,'[1]DATOS PBI Artículos'!$A:$A,'[1]DATOS PBI Artículos'!$AL:$AL))/(_xlfn.XLOOKUP($AF$1,[1]CRITERIOS!$S$16:$S$39,[1]CRITERIOS!$Y$16:$Y$39))*$J761+$Z761)))</f>
        <v>#N/A</v>
      </c>
      <c r="AG761" s="39" t="e">
        <f>IF($R761="MTO","",
IF($H761=0,ROUNDUP(((_xlfn.XLOOKUP($A761,'[1]DATOS PBI Artículos'!$A:$A,'[1]DATOS PBI Artículos'!$AM:$AM))/(_xlfn.XLOOKUP($AH$1,[1]CRITERIOS!$S$16:$S$39,[1]CRITERIOS!$Y$16:$Y$39))*$J761+$Z761)/$G761,0)*$G761,
((_xlfn.XLOOKUP($A761,'[1]DATOS PBI Artículos'!$A:$A,'[1]DATOS PBI Artículos'!$AM:$AM))/(_xlfn.XLOOKUP($AH$1,[1]CRITERIOS!$S$16:$S$39,[1]CRITERIOS!$Y$16:$Y$39))*$J761+$Z761)))</f>
        <v>#N/A</v>
      </c>
      <c r="AI761" s="39" t="e">
        <f>IF($R761="MTO","",
IF($H761=0,ROUNDUP(((_xlfn.XLOOKUP($A761,'[1]DATOS PBI Artículos'!$A:$A,'[1]DATOS PBI Artículos'!$AN:$AN))/(_xlfn.XLOOKUP($AJ$1,[1]CRITERIOS!$S$16:$S$39,[1]CRITERIOS!$Y$16:$Y$39))*$J761+$Z761)/$G761,0)*$G761,
((_xlfn.XLOOKUP($A761,'[1]DATOS PBI Artículos'!$A:$A,'[1]DATOS PBI Artículos'!$AN:$AN))/(_xlfn.XLOOKUP($AJ$1,[1]CRITERIOS!$S$16:$S$39,[1]CRITERIOS!$Y$16:$Y$39))*$J761+$Z761)))</f>
        <v>#N/A</v>
      </c>
      <c r="AK761" s="39" t="e">
        <f>IF($R761="MTO","",
IF($H761=0,ROUNDUP(((_xlfn.XLOOKUP($A761,'[1]DATOS PBI Artículos'!$A:$A,'[1]DATOS PBI Artículos'!$AO:$AO))/(_xlfn.XLOOKUP($AL$1,[1]CRITERIOS!$S$16:$S$39,[1]CRITERIOS!$Y$16:$Y$39))*$J761+$Z761)/$G761,0)*$G761,
((_xlfn.XLOOKUP($A761,'[1]DATOS PBI Artículos'!$A:$A,'[1]DATOS PBI Artículos'!$AO:$AO))/(_xlfn.XLOOKUP($AL$1,[1]CRITERIOS!$S$16:$S$39,[1]CRITERIOS!$Y$16:$Y$39))*$J761+$Z761)))</f>
        <v>#N/A</v>
      </c>
    </row>
    <row r="762" spans="1:37" ht="25.8" hidden="1" x14ac:dyDescent="0.4">
      <c r="A762" s="41"/>
      <c r="B762" s="33">
        <f>_xlfn.XLOOKUP($A762,'[1]DATOS PBI Artículos'!A:A,'[1]DATOS PBI Artículos'!B:B)</f>
        <v>0</v>
      </c>
      <c r="C762" s="33">
        <f>_xlfn.XLOOKUP($A762,'[1]DATOS PBI Artículos'!A:A,'[1]DATOS PBI Artículos'!C:C)</f>
        <v>0</v>
      </c>
      <c r="D762" s="33">
        <f>_xlfn.XLOOKUP(A762,'[1]DATOS PBI Artículos'!A:A,'[1]DATOS PBI Artículos'!T:T)</f>
        <v>0</v>
      </c>
      <c r="E762" s="34">
        <f>IF(_xlfn.XLOOKUP($A762,'[1]DATOS PBI Artículos'!A:A,'[1]DATOS PBI Artículos'!AK:AK)="",_xlfn.XLOOKUP($A762,'[1]DATOS PBI Artículos'!A:A,'[1]DATOS PBI Artículos'!AJ:AJ),_xlfn.XLOOKUP($A762,'[1]DATOS PBI Artículos'!A:A,'[1]DATOS PBI Artículos'!AK:AK))</f>
        <v>0</v>
      </c>
      <c r="F762" s="35">
        <f>_xlfn.XLOOKUP($A762,'[1]DATOS PBI Artículos'!A:A,'[1]DATOS PBI Artículos'!AP:AP)</f>
        <v>0</v>
      </c>
      <c r="G762" s="34">
        <f>_xlfn.XLOOKUP($A762,'[1]DATOS PBI Artículos'!A:A,'[1]DATOS PBI Artículos'!AR:AR)</f>
        <v>0</v>
      </c>
      <c r="H762" s="34">
        <f>_xlfn.XLOOKUP($A762,'[1]DATOS PBI Artículos'!A:A,'[1]DATOS PBI Artículos'!AT:AT)</f>
        <v>0</v>
      </c>
      <c r="I762" s="34">
        <f>_xlfn.XLOOKUP($A762,'[1]DATOS PBI Artículos'!A:A,'[1]DATOS PBI Artículos'!AS:AS)</f>
        <v>0</v>
      </c>
      <c r="J762" s="35">
        <f>IF(COUNTIF([1]CRITERIOS!$F$179:$F$199,$A762)&gt;=1,
 IF(O762&lt;&gt;"",
    (O762/_xlfn.XLOOKUP(CONCATENATE(A762,L762),[1]MÁQUINAS!A:A,[1]MÁQUINAS!D:D))/24,
    (N762/_xlfn.XLOOKUP(CONCATENATE(A762,L762),[1]MÁQUINAS!A:A,[1]MÁQUINAS!D:D))/24),
  _xlfn.XLOOKUP($A762,'[1]DATOS PBI Artículos'!A:A,'[1]DATOS PBI Artículos'!AU:AU))</f>
        <v>0</v>
      </c>
      <c r="K762" s="36">
        <f>_xlfn.XLOOKUP($A762,'[1]DATOS PBI Artículos'!A:A,'[1]DATOS PBI Artículos'!AV:AV)</f>
        <v>0</v>
      </c>
      <c r="L762" s="33">
        <f>_xlfn.XLOOKUP(A762,[1]MÁQUINAS!B:B,[1]MÁQUINAS!C:C)</f>
        <v>0</v>
      </c>
      <c r="M762" s="34">
        <f t="array" ref="M762">_xlfn.XLOOKUP(A762,'[1]DATOS PBI Artículos'!A:A,'[1]DATOS PBI Artículos'!AX:$AX)</f>
        <v>0</v>
      </c>
      <c r="N762" s="37" t="e">
        <f>IF(I762="DV",
E762,
IF(COUNTIF([1]CRITERIOS!$I$179:$I$199,$A762)&gt;=1,
_xlfn.XLOOKUP($A762,[1]CRITERIOS!$I$179:$I$199,[1]CRITERIOS!$J$179:$J$199),
IF(COUNTIF([1]CRITERIOS!$L$179:$L$199,$A762)&gt;=1,
_xlfn.CEILING.MATH(IF($M762&gt;$E762,
$E762,
IF($M762&lt;$E762/ROUNDDOWN([1]CRITERIOS!$M$16/_xlfn.XLOOKUP($C762,[1]CRITERIOS!$K$25:$K$42,[1]CRITERIOS!$M$25:$M$42),
1),
E762/ROUNDDOWN([1]CRITERIOS!$M$16/_xlfn.XLOOKUP($C762,[1]CRITERIOS!$K$25:$K$42,[1]CRITERIOS!$M$25:$M$42),
1),
$M762)),
_xlfn.XLOOKUP($A762,[1]CRITERIOS!$L$179:$L$200,[1]CRITERIOS!$M$179:$M$200)),
_xlfn.CEILING.MATH(IF($M762&gt;$E762,
$E762,
IF($M762&lt;$E762/ROUNDDOWN([1]CRITERIOS!$M$16/_xlfn.XLOOKUP($C762,[1]CRITERIOS!$K$25:$K$42,[1]CRITERIOS!$M$25:$M$42),
1),
E762/ROUNDDOWN([1]CRITERIOS!$M$16/_xlfn.XLOOKUP($C762,[1]CRITERIOS!$K$25:$K$42,[1]CRITERIOS!$M$25:$M$42),
1),
$M762)),_xlfn.XLOOKUP(A762,'[1]DATOS PBI Artículos'!A:A,'[1]DATOS PBI Artículos'!Z:Z
)))))</f>
        <v>#N/A</v>
      </c>
      <c r="Q762" s="38" t="e">
        <f>IF(AND(O762="",N762=0),
0,
   IF(COUNTIF([1]CRITERIOS!$F$179:$F$199,$A762)&gt;=1,
   1,
   IF(R762="MTO",
      $D762,
      ROUNDUP(
                    IF(($E762-SUMIF('[1]DATOS PBI Artículos'!A:A,A762,'[1]DATOS PBI Artículos'!X:X)+($V762-_xlfn.XLOOKUP(A762,'[1]DATOS PBI Artículos'!A:A,'[1]DATOS PBI Artículos'!W:W)))&lt;0,
                    0,
                    IF(($E762-SUMIF('[1]DATOS PBI Artículos'!A:A,A762,'[1]DATOS PBI Artículos'!X:X)+$V762-_xlfn.XLOOKUP($A762,'[1]DATOS PBI Artículos'!A:A,'[1]DATOS PBI Artículos'!W:W))/IF($O762="",$N762,$O762)&gt;ROUNDUP([1]CRITERIOS!$M$16/(IF(COUNTIF([1]CRITERIOS!$BG$11:$BG$201,L762)&gt;=1,_xlfn.XLOOKUP($C762,[1]CRITERIOS!$K$25:$K$42,[1]CRITERIOS!$M$25:$M$42),_xlfn.XLOOKUP($C762,[1]CRITERIOS!$K$25:$K$42,[1]CRITERIOS!$M$25:$M$42))),0),
                    ROUNDUP([1]CRITERIOS!$M$16/(IF(COUNTIF([1]CRITERIOS!$BG$11:$BG$201,$L762)&gt;=1,_xlfn.XLOOKUP($C762,[1]CRITERIOS!$K$25:$K$42,[1]CRITERIOS!$M$25:$M$42),_xlfn.XLOOKUP($C762,[1]CRITERIOS!$K$25:$K$42,[1]CRITERIOS!$M$25:$M$42))),0),
                    (E762+V762-SUMIF('[1]DATOS PBI Artículos'!A:A,A762,'[1]DATOS PBI Artículos'!X:X)-_xlfn.XLOOKUP(A762,'[1]DATOS PBI Artículos'!A:A,'[1]DATOS PBI Artículos'!W:W))/IF($O762="",$N762,$O762))),0))))</f>
        <v>#N/A</v>
      </c>
      <c r="R762" s="33" t="e">
        <f>IF(U762&lt;&gt;"",U762,IF(F762="DV","MTO",IF(N762=0,"MTO",_xlfn.XLOOKUP(CONCATENATE(S762,T762),[1]CRITERIOS!$K$160:$K$168,[1]CRITERIOS!$N$160:$N$168))))</f>
        <v>#N/A</v>
      </c>
      <c r="S762" s="33" t="e">
        <f>IF(G762="DV","MTO",IF(N762=0,"MTO",IF(OR(AND(N762=0,O762=""),IF(O762="",G762/N762,G762/O762)&gt;[1]CRITERIOS!$G$163),"MTO",IF(IF(O762="",G762/N762,G762/O762)&lt;[1]CRITERIOS!$H$161,"MTS","MTOS"))))</f>
        <v>#N/A</v>
      </c>
      <c r="T762" s="33" t="e">
        <f>IF(F762="DV","MTO",IF(OR(AND($N762=0,O762=""),$F762/$J762&gt;[1]CRITERIOS!$G$170,$F762="DV"),"MTO",IF($F762/$J762&lt;[1]CRITERIOS!$H$168,"MTS","MTOS")))</f>
        <v>#N/A</v>
      </c>
      <c r="V762" s="34" t="e">
        <f t="shared" si="37"/>
        <v>#N/A</v>
      </c>
      <c r="X762" s="34" t="e">
        <f t="shared" si="35"/>
        <v>#N/A</v>
      </c>
      <c r="Y762" s="34" t="e">
        <f t="shared" si="36"/>
        <v>#N/A</v>
      </c>
      <c r="Z762" s="34" t="e">
        <f>IF($R762="MTO",
0,
($H762+$K762*($E762/[1]CRITERIOS!$M$16))/[1]CRITERIOS!$X$48)</f>
        <v>#N/A</v>
      </c>
      <c r="AA762" s="34" t="e">
        <f>ROUNDUP(($Y762/_xlfn.XLOOKUP($A762,'[1]DATOS PBI Artículos'!$A$4:$A$4,'[1]DATOS PBI Artículos'!$Z$4:$Z$4))/_xlfn.XLOOKUP(_xlfn.XLOOKUP($A762,'[1]DATOS PBI Artículos'!$A$4:$A$4,'[1]DATOS PBI Artículos'!$Y$4:$Y$4),[1]CRITERIOS!$P$79:$P$123,[1]CRITERIOS!$S$79:$S$123,),0)</f>
        <v>#N/A</v>
      </c>
      <c r="AC762" s="33" t="e">
        <f>IF(N762=0,"",(ROUNDUP((N762/2)/(_xlfn.XLOOKUP(A762,'[1]DATOS PBI Artículos'!$A$4:$A$4,'[1]DATOS PBI Artículos'!$Z$4:$Z$4)*_xlfn.XLOOKUP(_xlfn.XLOOKUP(A762,'[1]DATOS PBI Artículos'!$A$4:$A$4,'[1]DATOS PBI Artículos'!$Y$4:$Y$4),[1]CRITERIOS!$P$79:$P$123,[1]CRITERIOS!$S$79:$S$123)),0)*[1]CRITERIOS!$M$80*([1]CRITERIOS!$M$110/[1]CRITERIOS!$M$86)+(_xlfn.XLOOKUP(A762,'[1]DATOS PBI Artículos'!$A$4:$A$4,'[1]DATOS PBI Artículos'!$AA$4:$AA$4)*([1]CRITERIOS!$M$95+[1]CRITERIOS!$M$98)))/N762)</f>
        <v>#N/A</v>
      </c>
      <c r="AD762" s="33" t="e">
        <f>IF(N762=0,"",(ROUNDUP((N762/2)/(_xlfn.XLOOKUP(A762,'[1]DATOS PBI Artículos'!$A$4:$A$4,'[1]DATOS PBI Artículos'!$Z$4:$Z$4)*_xlfn.XLOOKUP(_xlfn.XLOOKUP(A762,'[1]DATOS PBI Artículos'!$A$4:$A$4,'[1]DATOS PBI Artículos'!$Y$4:$Y$4),[1]CRITERIOS!$P$79:$P$123,[1]CRITERIOS!$S$79:$S$123)),0)*[1]CRITERIOS!$M$80*([1]CRITERIOS!$M$89*[1]CRITERIOS!$M$92)+((_xlfn.XLOOKUP(A762,'[1]DATOS PBI Artículos'!$A$4:$A$4,'[1]DATOS PBI Artículos'!$AA$4:$AA$4)/2)*([1]CRITERIOS!$M$95+[1]CRITERIOS!$M$98)))/N762)</f>
        <v>#N/A</v>
      </c>
      <c r="AE762" s="39" t="e">
        <f>IF($R762="MTO","",
IF($H762=0,ROUNDUP(((_xlfn.XLOOKUP($A762,'[1]DATOS PBI Artículos'!$A:$A,'[1]DATOS PBI Artículos'!$AL:$AL))/(_xlfn.XLOOKUP($AF$1,[1]CRITERIOS!$S$16:$S$39,[1]CRITERIOS!$Y$16:$Y$39))*$J762+$Z762)/$G762,0)*$G762,
((_xlfn.XLOOKUP($A762,'[1]DATOS PBI Artículos'!$A:$A,'[1]DATOS PBI Artículos'!$AL:$AL))/(_xlfn.XLOOKUP($AF$1,[1]CRITERIOS!$S$16:$S$39,[1]CRITERIOS!$Y$16:$Y$39))*$J762+$Z762)))</f>
        <v>#N/A</v>
      </c>
      <c r="AG762" s="39" t="e">
        <f>IF($R762="MTO","",
IF($H762=0,ROUNDUP(((_xlfn.XLOOKUP($A762,'[1]DATOS PBI Artículos'!$A:$A,'[1]DATOS PBI Artículos'!$AM:$AM))/(_xlfn.XLOOKUP($AH$1,[1]CRITERIOS!$S$16:$S$39,[1]CRITERIOS!$Y$16:$Y$39))*$J762+$Z762)/$G762,0)*$G762,
((_xlfn.XLOOKUP($A762,'[1]DATOS PBI Artículos'!$A:$A,'[1]DATOS PBI Artículos'!$AM:$AM))/(_xlfn.XLOOKUP($AH$1,[1]CRITERIOS!$S$16:$S$39,[1]CRITERIOS!$Y$16:$Y$39))*$J762+$Z762)))</f>
        <v>#N/A</v>
      </c>
      <c r="AI762" s="39" t="e">
        <f>IF($R762="MTO","",
IF($H762=0,ROUNDUP(((_xlfn.XLOOKUP($A762,'[1]DATOS PBI Artículos'!$A:$A,'[1]DATOS PBI Artículos'!$AN:$AN))/(_xlfn.XLOOKUP($AJ$1,[1]CRITERIOS!$S$16:$S$39,[1]CRITERIOS!$Y$16:$Y$39))*$J762+$Z762)/$G762,0)*$G762,
((_xlfn.XLOOKUP($A762,'[1]DATOS PBI Artículos'!$A:$A,'[1]DATOS PBI Artículos'!$AN:$AN))/(_xlfn.XLOOKUP($AJ$1,[1]CRITERIOS!$S$16:$S$39,[1]CRITERIOS!$Y$16:$Y$39))*$J762+$Z762)))</f>
        <v>#N/A</v>
      </c>
      <c r="AK762" s="39" t="e">
        <f>IF($R762="MTO","",
IF($H762=0,ROUNDUP(((_xlfn.XLOOKUP($A762,'[1]DATOS PBI Artículos'!$A:$A,'[1]DATOS PBI Artículos'!$AO:$AO))/(_xlfn.XLOOKUP($AL$1,[1]CRITERIOS!$S$16:$S$39,[1]CRITERIOS!$Y$16:$Y$39))*$J762+$Z762)/$G762,0)*$G762,
((_xlfn.XLOOKUP($A762,'[1]DATOS PBI Artículos'!$A:$A,'[1]DATOS PBI Artículos'!$AO:$AO))/(_xlfn.XLOOKUP($AL$1,[1]CRITERIOS!$S$16:$S$39,[1]CRITERIOS!$Y$16:$Y$39))*$J762+$Z762)))</f>
        <v>#N/A</v>
      </c>
    </row>
    <row r="763" spans="1:37" ht="25.8" hidden="1" x14ac:dyDescent="0.4">
      <c r="A763" s="41"/>
      <c r="B763" s="33">
        <f>_xlfn.XLOOKUP($A763,'[1]DATOS PBI Artículos'!A:A,'[1]DATOS PBI Artículos'!B:B)</f>
        <v>0</v>
      </c>
      <c r="C763" s="33">
        <f>_xlfn.XLOOKUP($A763,'[1]DATOS PBI Artículos'!A:A,'[1]DATOS PBI Artículos'!C:C)</f>
        <v>0</v>
      </c>
      <c r="D763" s="33">
        <f>_xlfn.XLOOKUP(A763,'[1]DATOS PBI Artículos'!A:A,'[1]DATOS PBI Artículos'!T:T)</f>
        <v>0</v>
      </c>
      <c r="E763" s="34">
        <f>IF(_xlfn.XLOOKUP($A763,'[1]DATOS PBI Artículos'!A:A,'[1]DATOS PBI Artículos'!AK:AK)="",_xlfn.XLOOKUP($A763,'[1]DATOS PBI Artículos'!A:A,'[1]DATOS PBI Artículos'!AJ:AJ),_xlfn.XLOOKUP($A763,'[1]DATOS PBI Artículos'!A:A,'[1]DATOS PBI Artículos'!AK:AK))</f>
        <v>0</v>
      </c>
      <c r="F763" s="35">
        <f>_xlfn.XLOOKUP($A763,'[1]DATOS PBI Artículos'!A:A,'[1]DATOS PBI Artículos'!AP:AP)</f>
        <v>0</v>
      </c>
      <c r="G763" s="34">
        <f>_xlfn.XLOOKUP($A763,'[1]DATOS PBI Artículos'!A:A,'[1]DATOS PBI Artículos'!AR:AR)</f>
        <v>0</v>
      </c>
      <c r="H763" s="34">
        <f>_xlfn.XLOOKUP($A763,'[1]DATOS PBI Artículos'!A:A,'[1]DATOS PBI Artículos'!AT:AT)</f>
        <v>0</v>
      </c>
      <c r="I763" s="34">
        <f>_xlfn.XLOOKUP($A763,'[1]DATOS PBI Artículos'!A:A,'[1]DATOS PBI Artículos'!AS:AS)</f>
        <v>0</v>
      </c>
      <c r="J763" s="35">
        <f>IF(COUNTIF([1]CRITERIOS!$F$179:$F$199,$A763)&gt;=1,
 IF(O763&lt;&gt;"",
    (O763/_xlfn.XLOOKUP(CONCATENATE(A763,L763),[1]MÁQUINAS!A:A,[1]MÁQUINAS!D:D))/24,
    (N763/_xlfn.XLOOKUP(CONCATENATE(A763,L763),[1]MÁQUINAS!A:A,[1]MÁQUINAS!D:D))/24),
  _xlfn.XLOOKUP($A763,'[1]DATOS PBI Artículos'!A:A,'[1]DATOS PBI Artículos'!AU:AU))</f>
        <v>0</v>
      </c>
      <c r="K763" s="36">
        <f>_xlfn.XLOOKUP($A763,'[1]DATOS PBI Artículos'!A:A,'[1]DATOS PBI Artículos'!AV:AV)</f>
        <v>0</v>
      </c>
      <c r="L763" s="33">
        <f>_xlfn.XLOOKUP(A763,[1]MÁQUINAS!B:B,[1]MÁQUINAS!C:C)</f>
        <v>0</v>
      </c>
      <c r="M763" s="34">
        <f t="array" ref="M763">_xlfn.XLOOKUP(A763,'[1]DATOS PBI Artículos'!A:A,'[1]DATOS PBI Artículos'!AX:$AX)</f>
        <v>0</v>
      </c>
      <c r="N763" s="37" t="e">
        <f>IF(I763="DV",
E763,
IF(COUNTIF([1]CRITERIOS!$I$179:$I$199,$A763)&gt;=1,
_xlfn.XLOOKUP($A763,[1]CRITERIOS!$I$179:$I$199,[1]CRITERIOS!$J$179:$J$199),
IF(COUNTIF([1]CRITERIOS!$L$179:$L$199,$A763)&gt;=1,
_xlfn.CEILING.MATH(IF($M763&gt;$E763,
$E763,
IF($M763&lt;$E763/ROUNDDOWN([1]CRITERIOS!$M$16/_xlfn.XLOOKUP($C763,[1]CRITERIOS!$K$25:$K$42,[1]CRITERIOS!$M$25:$M$42),
1),
E763/ROUNDDOWN([1]CRITERIOS!$M$16/_xlfn.XLOOKUP($C763,[1]CRITERIOS!$K$25:$K$42,[1]CRITERIOS!$M$25:$M$42),
1),
$M763)),
_xlfn.XLOOKUP($A763,[1]CRITERIOS!$L$179:$L$200,[1]CRITERIOS!$M$179:$M$200)),
_xlfn.CEILING.MATH(IF($M763&gt;$E763,
$E763,
IF($M763&lt;$E763/ROUNDDOWN([1]CRITERIOS!$M$16/_xlfn.XLOOKUP($C763,[1]CRITERIOS!$K$25:$K$42,[1]CRITERIOS!$M$25:$M$42),
1),
E763/ROUNDDOWN([1]CRITERIOS!$M$16/_xlfn.XLOOKUP($C763,[1]CRITERIOS!$K$25:$K$42,[1]CRITERIOS!$M$25:$M$42),
1),
$M763)),_xlfn.XLOOKUP(A763,'[1]DATOS PBI Artículos'!A:A,'[1]DATOS PBI Artículos'!Z:Z
)))))</f>
        <v>#N/A</v>
      </c>
      <c r="Q763" s="38" t="e">
        <f>IF(AND(O763="",N763=0),
0,
   IF(COUNTIF([1]CRITERIOS!$F$179:$F$199,$A763)&gt;=1,
   1,
   IF(R763="MTO",
      $D763,
      ROUNDUP(
                    IF(($E763-SUMIF('[1]DATOS PBI Artículos'!A:A,A763,'[1]DATOS PBI Artículos'!X:X)+($V763-_xlfn.XLOOKUP(A763,'[1]DATOS PBI Artículos'!A:A,'[1]DATOS PBI Artículos'!W:W)))&lt;0,
                    0,
                    IF(($E763-SUMIF('[1]DATOS PBI Artículos'!A:A,A763,'[1]DATOS PBI Artículos'!X:X)+$V763-_xlfn.XLOOKUP($A763,'[1]DATOS PBI Artículos'!A:A,'[1]DATOS PBI Artículos'!W:W))/IF($O763="",$N763,$O763)&gt;ROUNDUP([1]CRITERIOS!$M$16/(IF(COUNTIF([1]CRITERIOS!$BG$11:$BG$201,L763)&gt;=1,_xlfn.XLOOKUP($C763,[1]CRITERIOS!$K$25:$K$42,[1]CRITERIOS!$M$25:$M$42),_xlfn.XLOOKUP($C763,[1]CRITERIOS!$K$25:$K$42,[1]CRITERIOS!$M$25:$M$42))),0),
                    ROUNDUP([1]CRITERIOS!$M$16/(IF(COUNTIF([1]CRITERIOS!$BG$11:$BG$201,$L763)&gt;=1,_xlfn.XLOOKUP($C763,[1]CRITERIOS!$K$25:$K$42,[1]CRITERIOS!$M$25:$M$42),_xlfn.XLOOKUP($C763,[1]CRITERIOS!$K$25:$K$42,[1]CRITERIOS!$M$25:$M$42))),0),
                    (E763+V763-SUMIF('[1]DATOS PBI Artículos'!A:A,A763,'[1]DATOS PBI Artículos'!X:X)-_xlfn.XLOOKUP(A763,'[1]DATOS PBI Artículos'!A:A,'[1]DATOS PBI Artículos'!W:W))/IF($O763="",$N763,$O763))),0))))</f>
        <v>#N/A</v>
      </c>
      <c r="R763" s="33" t="e">
        <f>IF(U763&lt;&gt;"",U763,IF(F763="DV","MTO",IF(N763=0,"MTO",_xlfn.XLOOKUP(CONCATENATE(S763,T763),[1]CRITERIOS!$K$160:$K$168,[1]CRITERIOS!$N$160:$N$168))))</f>
        <v>#N/A</v>
      </c>
      <c r="S763" s="33" t="e">
        <f>IF(G763="DV","MTO",IF(N763=0,"MTO",IF(OR(AND(N763=0,O763=""),IF(O763="",G763/N763,G763/O763)&gt;[1]CRITERIOS!$G$163),"MTO",IF(IF(O763="",G763/N763,G763/O763)&lt;[1]CRITERIOS!$H$161,"MTS","MTOS"))))</f>
        <v>#N/A</v>
      </c>
      <c r="T763" s="33" t="e">
        <f>IF(F763="DV","MTO",IF(OR(AND($N763=0,O763=""),$F763/$J763&gt;[1]CRITERIOS!$G$170,$F763="DV"),"MTO",IF($F763/$J763&lt;[1]CRITERIOS!$H$168,"MTS","MTOS")))</f>
        <v>#N/A</v>
      </c>
      <c r="V763" s="34" t="e">
        <f t="shared" si="37"/>
        <v>#N/A</v>
      </c>
      <c r="X763" s="34" t="e">
        <f t="shared" si="35"/>
        <v>#N/A</v>
      </c>
      <c r="Y763" s="34" t="e">
        <f t="shared" si="36"/>
        <v>#N/A</v>
      </c>
      <c r="Z763" s="34" t="e">
        <f>IF($R763="MTO",
0,
($H763+$K763*($E763/[1]CRITERIOS!$M$16))/[1]CRITERIOS!$X$48)</f>
        <v>#N/A</v>
      </c>
      <c r="AA763" s="34" t="e">
        <f>ROUNDUP(($Y763/_xlfn.XLOOKUP($A763,'[1]DATOS PBI Artículos'!$A$4:$A$4,'[1]DATOS PBI Artículos'!$Z$4:$Z$4))/_xlfn.XLOOKUP(_xlfn.XLOOKUP($A763,'[1]DATOS PBI Artículos'!$A$4:$A$4,'[1]DATOS PBI Artículos'!$Y$4:$Y$4),[1]CRITERIOS!$P$79:$P$123,[1]CRITERIOS!$S$79:$S$123,),0)</f>
        <v>#N/A</v>
      </c>
      <c r="AC763" s="33" t="e">
        <f>IF(N763=0,"",(ROUNDUP((N763/2)/(_xlfn.XLOOKUP(A763,'[1]DATOS PBI Artículos'!$A$4:$A$4,'[1]DATOS PBI Artículos'!$Z$4:$Z$4)*_xlfn.XLOOKUP(_xlfn.XLOOKUP(A763,'[1]DATOS PBI Artículos'!$A$4:$A$4,'[1]DATOS PBI Artículos'!$Y$4:$Y$4),[1]CRITERIOS!$P$79:$P$123,[1]CRITERIOS!$S$79:$S$123)),0)*[1]CRITERIOS!$M$80*([1]CRITERIOS!$M$110/[1]CRITERIOS!$M$86)+(_xlfn.XLOOKUP(A763,'[1]DATOS PBI Artículos'!$A$4:$A$4,'[1]DATOS PBI Artículos'!$AA$4:$AA$4)*([1]CRITERIOS!$M$95+[1]CRITERIOS!$M$98)))/N763)</f>
        <v>#N/A</v>
      </c>
      <c r="AD763" s="33" t="e">
        <f>IF(N763=0,"",(ROUNDUP((N763/2)/(_xlfn.XLOOKUP(A763,'[1]DATOS PBI Artículos'!$A$4:$A$4,'[1]DATOS PBI Artículos'!$Z$4:$Z$4)*_xlfn.XLOOKUP(_xlfn.XLOOKUP(A763,'[1]DATOS PBI Artículos'!$A$4:$A$4,'[1]DATOS PBI Artículos'!$Y$4:$Y$4),[1]CRITERIOS!$P$79:$P$123,[1]CRITERIOS!$S$79:$S$123)),0)*[1]CRITERIOS!$M$80*([1]CRITERIOS!$M$89*[1]CRITERIOS!$M$92)+((_xlfn.XLOOKUP(A763,'[1]DATOS PBI Artículos'!$A$4:$A$4,'[1]DATOS PBI Artículos'!$AA$4:$AA$4)/2)*([1]CRITERIOS!$M$95+[1]CRITERIOS!$M$98)))/N763)</f>
        <v>#N/A</v>
      </c>
      <c r="AE763" s="39" t="e">
        <f>IF($R763="MTO","",
IF($H763=0,ROUNDUP(((_xlfn.XLOOKUP($A763,'[1]DATOS PBI Artículos'!$A:$A,'[1]DATOS PBI Artículos'!$AL:$AL))/(_xlfn.XLOOKUP($AF$1,[1]CRITERIOS!$S$16:$S$39,[1]CRITERIOS!$Y$16:$Y$39))*$J763+$Z763)/$G763,0)*$G763,
((_xlfn.XLOOKUP($A763,'[1]DATOS PBI Artículos'!$A:$A,'[1]DATOS PBI Artículos'!$AL:$AL))/(_xlfn.XLOOKUP($AF$1,[1]CRITERIOS!$S$16:$S$39,[1]CRITERIOS!$Y$16:$Y$39))*$J763+$Z763)))</f>
        <v>#N/A</v>
      </c>
      <c r="AG763" s="39" t="e">
        <f>IF($R763="MTO","",
IF($H763=0,ROUNDUP(((_xlfn.XLOOKUP($A763,'[1]DATOS PBI Artículos'!$A:$A,'[1]DATOS PBI Artículos'!$AM:$AM))/(_xlfn.XLOOKUP($AH$1,[1]CRITERIOS!$S$16:$S$39,[1]CRITERIOS!$Y$16:$Y$39))*$J763+$Z763)/$G763,0)*$G763,
((_xlfn.XLOOKUP($A763,'[1]DATOS PBI Artículos'!$A:$A,'[1]DATOS PBI Artículos'!$AM:$AM))/(_xlfn.XLOOKUP($AH$1,[1]CRITERIOS!$S$16:$S$39,[1]CRITERIOS!$Y$16:$Y$39))*$J763+$Z763)))</f>
        <v>#N/A</v>
      </c>
      <c r="AI763" s="39" t="e">
        <f>IF($R763="MTO","",
IF($H763=0,ROUNDUP(((_xlfn.XLOOKUP($A763,'[1]DATOS PBI Artículos'!$A:$A,'[1]DATOS PBI Artículos'!$AN:$AN))/(_xlfn.XLOOKUP($AJ$1,[1]CRITERIOS!$S$16:$S$39,[1]CRITERIOS!$Y$16:$Y$39))*$J763+$Z763)/$G763,0)*$G763,
((_xlfn.XLOOKUP($A763,'[1]DATOS PBI Artículos'!$A:$A,'[1]DATOS PBI Artículos'!$AN:$AN))/(_xlfn.XLOOKUP($AJ$1,[1]CRITERIOS!$S$16:$S$39,[1]CRITERIOS!$Y$16:$Y$39))*$J763+$Z763)))</f>
        <v>#N/A</v>
      </c>
      <c r="AK763" s="39" t="e">
        <f>IF($R763="MTO","",
IF($H763=0,ROUNDUP(((_xlfn.XLOOKUP($A763,'[1]DATOS PBI Artículos'!$A:$A,'[1]DATOS PBI Artículos'!$AO:$AO))/(_xlfn.XLOOKUP($AL$1,[1]CRITERIOS!$S$16:$S$39,[1]CRITERIOS!$Y$16:$Y$39))*$J763+$Z763)/$G763,0)*$G763,
((_xlfn.XLOOKUP($A763,'[1]DATOS PBI Artículos'!$A:$A,'[1]DATOS PBI Artículos'!$AO:$AO))/(_xlfn.XLOOKUP($AL$1,[1]CRITERIOS!$S$16:$S$39,[1]CRITERIOS!$Y$16:$Y$39))*$J763+$Z763)))</f>
        <v>#N/A</v>
      </c>
    </row>
    <row r="764" spans="1:37" ht="25.8" hidden="1" x14ac:dyDescent="0.4">
      <c r="A764" s="41"/>
      <c r="B764" s="33">
        <f>_xlfn.XLOOKUP($A764,'[1]DATOS PBI Artículos'!A:A,'[1]DATOS PBI Artículos'!B:B)</f>
        <v>0</v>
      </c>
      <c r="C764" s="33">
        <f>_xlfn.XLOOKUP($A764,'[1]DATOS PBI Artículos'!A:A,'[1]DATOS PBI Artículos'!C:C)</f>
        <v>0</v>
      </c>
      <c r="D764" s="33">
        <f>_xlfn.XLOOKUP(A764,'[1]DATOS PBI Artículos'!A:A,'[1]DATOS PBI Artículos'!T:T)</f>
        <v>0</v>
      </c>
      <c r="E764" s="34">
        <f>IF(_xlfn.XLOOKUP($A764,'[1]DATOS PBI Artículos'!A:A,'[1]DATOS PBI Artículos'!AK:AK)="",_xlfn.XLOOKUP($A764,'[1]DATOS PBI Artículos'!A:A,'[1]DATOS PBI Artículos'!AJ:AJ),_xlfn.XLOOKUP($A764,'[1]DATOS PBI Artículos'!A:A,'[1]DATOS PBI Artículos'!AK:AK))</f>
        <v>0</v>
      </c>
      <c r="F764" s="35">
        <f>_xlfn.XLOOKUP($A764,'[1]DATOS PBI Artículos'!A:A,'[1]DATOS PBI Artículos'!AP:AP)</f>
        <v>0</v>
      </c>
      <c r="G764" s="34">
        <f>_xlfn.XLOOKUP($A764,'[1]DATOS PBI Artículos'!A:A,'[1]DATOS PBI Artículos'!AR:AR)</f>
        <v>0</v>
      </c>
      <c r="H764" s="34">
        <f>_xlfn.XLOOKUP($A764,'[1]DATOS PBI Artículos'!A:A,'[1]DATOS PBI Artículos'!AT:AT)</f>
        <v>0</v>
      </c>
      <c r="I764" s="34">
        <f>_xlfn.XLOOKUP($A764,'[1]DATOS PBI Artículos'!A:A,'[1]DATOS PBI Artículos'!AS:AS)</f>
        <v>0</v>
      </c>
      <c r="J764" s="35">
        <f>IF(COUNTIF([1]CRITERIOS!$F$179:$F$199,$A764)&gt;=1,
 IF(O764&lt;&gt;"",
    (O764/_xlfn.XLOOKUP(CONCATENATE(A764,L764),[1]MÁQUINAS!A:A,[1]MÁQUINAS!D:D))/24,
    (N764/_xlfn.XLOOKUP(CONCATENATE(A764,L764),[1]MÁQUINAS!A:A,[1]MÁQUINAS!D:D))/24),
  _xlfn.XLOOKUP($A764,'[1]DATOS PBI Artículos'!A:A,'[1]DATOS PBI Artículos'!AU:AU))</f>
        <v>0</v>
      </c>
      <c r="K764" s="36">
        <f>_xlfn.XLOOKUP($A764,'[1]DATOS PBI Artículos'!A:A,'[1]DATOS PBI Artículos'!AV:AV)</f>
        <v>0</v>
      </c>
      <c r="L764" s="33">
        <f>_xlfn.XLOOKUP(A764,[1]MÁQUINAS!B:B,[1]MÁQUINAS!C:C)</f>
        <v>0</v>
      </c>
      <c r="M764" s="34">
        <f t="array" ref="M764">_xlfn.XLOOKUP(A764,'[1]DATOS PBI Artículos'!A:A,'[1]DATOS PBI Artículos'!AX:$AX)</f>
        <v>0</v>
      </c>
      <c r="N764" s="37" t="e">
        <f>IF(I764="DV",
E764,
IF(COUNTIF([1]CRITERIOS!$I$179:$I$199,$A764)&gt;=1,
_xlfn.XLOOKUP($A764,[1]CRITERIOS!$I$179:$I$199,[1]CRITERIOS!$J$179:$J$199),
IF(COUNTIF([1]CRITERIOS!$L$179:$L$199,$A764)&gt;=1,
_xlfn.CEILING.MATH(IF($M764&gt;$E764,
$E764,
IF($M764&lt;$E764/ROUNDDOWN([1]CRITERIOS!$M$16/_xlfn.XLOOKUP($C764,[1]CRITERIOS!$K$25:$K$42,[1]CRITERIOS!$M$25:$M$42),
1),
E764/ROUNDDOWN([1]CRITERIOS!$M$16/_xlfn.XLOOKUP($C764,[1]CRITERIOS!$K$25:$K$42,[1]CRITERIOS!$M$25:$M$42),
1),
$M764)),
_xlfn.XLOOKUP($A764,[1]CRITERIOS!$L$179:$L$200,[1]CRITERIOS!$M$179:$M$200)),
_xlfn.CEILING.MATH(IF($M764&gt;$E764,
$E764,
IF($M764&lt;$E764/ROUNDDOWN([1]CRITERIOS!$M$16/_xlfn.XLOOKUP($C764,[1]CRITERIOS!$K$25:$K$42,[1]CRITERIOS!$M$25:$M$42),
1),
E764/ROUNDDOWN([1]CRITERIOS!$M$16/_xlfn.XLOOKUP($C764,[1]CRITERIOS!$K$25:$K$42,[1]CRITERIOS!$M$25:$M$42),
1),
$M764)),_xlfn.XLOOKUP(A764,'[1]DATOS PBI Artículos'!A:A,'[1]DATOS PBI Artículos'!Z:Z
)))))</f>
        <v>#N/A</v>
      </c>
      <c r="Q764" s="38" t="e">
        <f>IF(AND(O764="",N764=0),
0,
   IF(COUNTIF([1]CRITERIOS!$F$179:$F$199,$A764)&gt;=1,
   1,
   IF(R764="MTO",
      $D764,
      ROUNDUP(
                    IF(($E764-SUMIF('[1]DATOS PBI Artículos'!A:A,A764,'[1]DATOS PBI Artículos'!X:X)+($V764-_xlfn.XLOOKUP(A764,'[1]DATOS PBI Artículos'!A:A,'[1]DATOS PBI Artículos'!W:W)))&lt;0,
                    0,
                    IF(($E764-SUMIF('[1]DATOS PBI Artículos'!A:A,A764,'[1]DATOS PBI Artículos'!X:X)+$V764-_xlfn.XLOOKUP($A764,'[1]DATOS PBI Artículos'!A:A,'[1]DATOS PBI Artículos'!W:W))/IF($O764="",$N764,$O764)&gt;ROUNDUP([1]CRITERIOS!$M$16/(IF(COUNTIF([1]CRITERIOS!$BG$11:$BG$201,L764)&gt;=1,_xlfn.XLOOKUP($C764,[1]CRITERIOS!$K$25:$K$42,[1]CRITERIOS!$M$25:$M$42),_xlfn.XLOOKUP($C764,[1]CRITERIOS!$K$25:$K$42,[1]CRITERIOS!$M$25:$M$42))),0),
                    ROUNDUP([1]CRITERIOS!$M$16/(IF(COUNTIF([1]CRITERIOS!$BG$11:$BG$201,$L764)&gt;=1,_xlfn.XLOOKUP($C764,[1]CRITERIOS!$K$25:$K$42,[1]CRITERIOS!$M$25:$M$42),_xlfn.XLOOKUP($C764,[1]CRITERIOS!$K$25:$K$42,[1]CRITERIOS!$M$25:$M$42))),0),
                    (E764+V764-SUMIF('[1]DATOS PBI Artículos'!A:A,A764,'[1]DATOS PBI Artículos'!X:X)-_xlfn.XLOOKUP(A764,'[1]DATOS PBI Artículos'!A:A,'[1]DATOS PBI Artículos'!W:W))/IF($O764="",$N764,$O764))),0))))</f>
        <v>#N/A</v>
      </c>
      <c r="R764" s="33" t="e">
        <f>IF(U764&lt;&gt;"",U764,IF(F764="DV","MTO",IF(N764=0,"MTO",_xlfn.XLOOKUP(CONCATENATE(S764,T764),[1]CRITERIOS!$K$160:$K$168,[1]CRITERIOS!$N$160:$N$168))))</f>
        <v>#N/A</v>
      </c>
      <c r="S764" s="33" t="e">
        <f>IF(G764="DV","MTO",IF(N764=0,"MTO",IF(OR(AND(N764=0,O764=""),IF(O764="",G764/N764,G764/O764)&gt;[1]CRITERIOS!$G$163),"MTO",IF(IF(O764="",G764/N764,G764/O764)&lt;[1]CRITERIOS!$H$161,"MTS","MTOS"))))</f>
        <v>#N/A</v>
      </c>
      <c r="T764" s="33" t="e">
        <f>IF(F764="DV","MTO",IF(OR(AND($N764=0,O764=""),$F764/$J764&gt;[1]CRITERIOS!$G$170,$F764="DV"),"MTO",IF($F764/$J764&lt;[1]CRITERIOS!$H$168,"MTS","MTOS")))</f>
        <v>#N/A</v>
      </c>
      <c r="V764" s="34" t="e">
        <f t="shared" si="37"/>
        <v>#N/A</v>
      </c>
      <c r="X764" s="34" t="e">
        <f t="shared" si="35"/>
        <v>#N/A</v>
      </c>
      <c r="Y764" s="34" t="e">
        <f t="shared" si="36"/>
        <v>#N/A</v>
      </c>
      <c r="Z764" s="34" t="e">
        <f>IF($R764="MTO",
0,
($H764+$K764*($E764/[1]CRITERIOS!$M$16))/[1]CRITERIOS!$X$48)</f>
        <v>#N/A</v>
      </c>
      <c r="AA764" s="34" t="e">
        <f>ROUNDUP(($Y764/_xlfn.XLOOKUP($A764,'[1]DATOS PBI Artículos'!$A$4:$A$4,'[1]DATOS PBI Artículos'!$Z$4:$Z$4))/_xlfn.XLOOKUP(_xlfn.XLOOKUP($A764,'[1]DATOS PBI Artículos'!$A$4:$A$4,'[1]DATOS PBI Artículos'!$Y$4:$Y$4),[1]CRITERIOS!$P$79:$P$123,[1]CRITERIOS!$S$79:$S$123,),0)</f>
        <v>#N/A</v>
      </c>
      <c r="AC764" s="33" t="e">
        <f>IF(N764=0,"",(ROUNDUP((N764/2)/(_xlfn.XLOOKUP(A764,'[1]DATOS PBI Artículos'!$A$4:$A$4,'[1]DATOS PBI Artículos'!$Z$4:$Z$4)*_xlfn.XLOOKUP(_xlfn.XLOOKUP(A764,'[1]DATOS PBI Artículos'!$A$4:$A$4,'[1]DATOS PBI Artículos'!$Y$4:$Y$4),[1]CRITERIOS!$P$79:$P$123,[1]CRITERIOS!$S$79:$S$123)),0)*[1]CRITERIOS!$M$80*([1]CRITERIOS!$M$110/[1]CRITERIOS!$M$86)+(_xlfn.XLOOKUP(A764,'[1]DATOS PBI Artículos'!$A$4:$A$4,'[1]DATOS PBI Artículos'!$AA$4:$AA$4)*([1]CRITERIOS!$M$95+[1]CRITERIOS!$M$98)))/N764)</f>
        <v>#N/A</v>
      </c>
      <c r="AD764" s="33" t="e">
        <f>IF(N764=0,"",(ROUNDUP((N764/2)/(_xlfn.XLOOKUP(A764,'[1]DATOS PBI Artículos'!$A$4:$A$4,'[1]DATOS PBI Artículos'!$Z$4:$Z$4)*_xlfn.XLOOKUP(_xlfn.XLOOKUP(A764,'[1]DATOS PBI Artículos'!$A$4:$A$4,'[1]DATOS PBI Artículos'!$Y$4:$Y$4),[1]CRITERIOS!$P$79:$P$123,[1]CRITERIOS!$S$79:$S$123)),0)*[1]CRITERIOS!$M$80*([1]CRITERIOS!$M$89*[1]CRITERIOS!$M$92)+((_xlfn.XLOOKUP(A764,'[1]DATOS PBI Artículos'!$A$4:$A$4,'[1]DATOS PBI Artículos'!$AA$4:$AA$4)/2)*([1]CRITERIOS!$M$95+[1]CRITERIOS!$M$98)))/N764)</f>
        <v>#N/A</v>
      </c>
      <c r="AE764" s="39" t="e">
        <f>IF($R764="MTO","",
IF($H764=0,ROUNDUP(((_xlfn.XLOOKUP($A764,'[1]DATOS PBI Artículos'!$A:$A,'[1]DATOS PBI Artículos'!$AL:$AL))/(_xlfn.XLOOKUP($AF$1,[1]CRITERIOS!$S$16:$S$39,[1]CRITERIOS!$Y$16:$Y$39))*$J764+$Z764)/$G764,0)*$G764,
((_xlfn.XLOOKUP($A764,'[1]DATOS PBI Artículos'!$A:$A,'[1]DATOS PBI Artículos'!$AL:$AL))/(_xlfn.XLOOKUP($AF$1,[1]CRITERIOS!$S$16:$S$39,[1]CRITERIOS!$Y$16:$Y$39))*$J764+$Z764)))</f>
        <v>#N/A</v>
      </c>
      <c r="AG764" s="39" t="e">
        <f>IF($R764="MTO","",
IF($H764=0,ROUNDUP(((_xlfn.XLOOKUP($A764,'[1]DATOS PBI Artículos'!$A:$A,'[1]DATOS PBI Artículos'!$AM:$AM))/(_xlfn.XLOOKUP($AH$1,[1]CRITERIOS!$S$16:$S$39,[1]CRITERIOS!$Y$16:$Y$39))*$J764+$Z764)/$G764,0)*$G764,
((_xlfn.XLOOKUP($A764,'[1]DATOS PBI Artículos'!$A:$A,'[1]DATOS PBI Artículos'!$AM:$AM))/(_xlfn.XLOOKUP($AH$1,[1]CRITERIOS!$S$16:$S$39,[1]CRITERIOS!$Y$16:$Y$39))*$J764+$Z764)))</f>
        <v>#N/A</v>
      </c>
      <c r="AI764" s="39" t="e">
        <f>IF($R764="MTO","",
IF($H764=0,ROUNDUP(((_xlfn.XLOOKUP($A764,'[1]DATOS PBI Artículos'!$A:$A,'[1]DATOS PBI Artículos'!$AN:$AN))/(_xlfn.XLOOKUP($AJ$1,[1]CRITERIOS!$S$16:$S$39,[1]CRITERIOS!$Y$16:$Y$39))*$J764+$Z764)/$G764,0)*$G764,
((_xlfn.XLOOKUP($A764,'[1]DATOS PBI Artículos'!$A:$A,'[1]DATOS PBI Artículos'!$AN:$AN))/(_xlfn.XLOOKUP($AJ$1,[1]CRITERIOS!$S$16:$S$39,[1]CRITERIOS!$Y$16:$Y$39))*$J764+$Z764)))</f>
        <v>#N/A</v>
      </c>
      <c r="AK764" s="39" t="e">
        <f>IF($R764="MTO","",
IF($H764=0,ROUNDUP(((_xlfn.XLOOKUP($A764,'[1]DATOS PBI Artículos'!$A:$A,'[1]DATOS PBI Artículos'!$AO:$AO))/(_xlfn.XLOOKUP($AL$1,[1]CRITERIOS!$S$16:$S$39,[1]CRITERIOS!$Y$16:$Y$39))*$J764+$Z764)/$G764,0)*$G764,
((_xlfn.XLOOKUP($A764,'[1]DATOS PBI Artículos'!$A:$A,'[1]DATOS PBI Artículos'!$AO:$AO))/(_xlfn.XLOOKUP($AL$1,[1]CRITERIOS!$S$16:$S$39,[1]CRITERIOS!$Y$16:$Y$39))*$J764+$Z764)))</f>
        <v>#N/A</v>
      </c>
    </row>
    <row r="765" spans="1:37" ht="25.8" hidden="1" x14ac:dyDescent="0.4">
      <c r="A765" s="41"/>
      <c r="B765" s="33">
        <f>_xlfn.XLOOKUP($A765,'[1]DATOS PBI Artículos'!A:A,'[1]DATOS PBI Artículos'!B:B)</f>
        <v>0</v>
      </c>
      <c r="C765" s="33">
        <f>_xlfn.XLOOKUP($A765,'[1]DATOS PBI Artículos'!A:A,'[1]DATOS PBI Artículos'!C:C)</f>
        <v>0</v>
      </c>
      <c r="D765" s="33">
        <f>_xlfn.XLOOKUP(A765,'[1]DATOS PBI Artículos'!A:A,'[1]DATOS PBI Artículos'!T:T)</f>
        <v>0</v>
      </c>
      <c r="E765" s="34">
        <f>IF(_xlfn.XLOOKUP($A765,'[1]DATOS PBI Artículos'!A:A,'[1]DATOS PBI Artículos'!AK:AK)="",_xlfn.XLOOKUP($A765,'[1]DATOS PBI Artículos'!A:A,'[1]DATOS PBI Artículos'!AJ:AJ),_xlfn.XLOOKUP($A765,'[1]DATOS PBI Artículos'!A:A,'[1]DATOS PBI Artículos'!AK:AK))</f>
        <v>0</v>
      </c>
      <c r="F765" s="35">
        <f>_xlfn.XLOOKUP($A765,'[1]DATOS PBI Artículos'!A:A,'[1]DATOS PBI Artículos'!AP:AP)</f>
        <v>0</v>
      </c>
      <c r="G765" s="34">
        <f>_xlfn.XLOOKUP($A765,'[1]DATOS PBI Artículos'!A:A,'[1]DATOS PBI Artículos'!AR:AR)</f>
        <v>0</v>
      </c>
      <c r="H765" s="34">
        <f>_xlfn.XLOOKUP($A765,'[1]DATOS PBI Artículos'!A:A,'[1]DATOS PBI Artículos'!AT:AT)</f>
        <v>0</v>
      </c>
      <c r="I765" s="34">
        <f>_xlfn.XLOOKUP($A765,'[1]DATOS PBI Artículos'!A:A,'[1]DATOS PBI Artículos'!AS:AS)</f>
        <v>0</v>
      </c>
      <c r="J765" s="35">
        <f>IF(COUNTIF([1]CRITERIOS!$F$179:$F$199,$A765)&gt;=1,
 IF(O765&lt;&gt;"",
    (O765/_xlfn.XLOOKUP(CONCATENATE(A765,L765),[1]MÁQUINAS!A:A,[1]MÁQUINAS!D:D))/24,
    (N765/_xlfn.XLOOKUP(CONCATENATE(A765,L765),[1]MÁQUINAS!A:A,[1]MÁQUINAS!D:D))/24),
  _xlfn.XLOOKUP($A765,'[1]DATOS PBI Artículos'!A:A,'[1]DATOS PBI Artículos'!AU:AU))</f>
        <v>0</v>
      </c>
      <c r="K765" s="36">
        <f>_xlfn.XLOOKUP($A765,'[1]DATOS PBI Artículos'!A:A,'[1]DATOS PBI Artículos'!AV:AV)</f>
        <v>0</v>
      </c>
      <c r="L765" s="33">
        <f>_xlfn.XLOOKUP(A765,[1]MÁQUINAS!B:B,[1]MÁQUINAS!C:C)</f>
        <v>0</v>
      </c>
      <c r="M765" s="34">
        <f t="array" ref="M765">_xlfn.XLOOKUP(A765,'[1]DATOS PBI Artículos'!A:A,'[1]DATOS PBI Artículos'!AX:$AX)</f>
        <v>0</v>
      </c>
      <c r="N765" s="37" t="e">
        <f>IF(I765="DV",
E765,
IF(COUNTIF([1]CRITERIOS!$I$179:$I$199,$A765)&gt;=1,
_xlfn.XLOOKUP($A765,[1]CRITERIOS!$I$179:$I$199,[1]CRITERIOS!$J$179:$J$199),
IF(COUNTIF([1]CRITERIOS!$L$179:$L$199,$A765)&gt;=1,
_xlfn.CEILING.MATH(IF($M765&gt;$E765,
$E765,
IF($M765&lt;$E765/ROUNDDOWN([1]CRITERIOS!$M$16/_xlfn.XLOOKUP($C765,[1]CRITERIOS!$K$25:$K$42,[1]CRITERIOS!$M$25:$M$42),
1),
E765/ROUNDDOWN([1]CRITERIOS!$M$16/_xlfn.XLOOKUP($C765,[1]CRITERIOS!$K$25:$K$42,[1]CRITERIOS!$M$25:$M$42),
1),
$M765)),
_xlfn.XLOOKUP($A765,[1]CRITERIOS!$L$179:$L$200,[1]CRITERIOS!$M$179:$M$200)),
_xlfn.CEILING.MATH(IF($M765&gt;$E765,
$E765,
IF($M765&lt;$E765/ROUNDDOWN([1]CRITERIOS!$M$16/_xlfn.XLOOKUP($C765,[1]CRITERIOS!$K$25:$K$42,[1]CRITERIOS!$M$25:$M$42),
1),
E765/ROUNDDOWN([1]CRITERIOS!$M$16/_xlfn.XLOOKUP($C765,[1]CRITERIOS!$K$25:$K$42,[1]CRITERIOS!$M$25:$M$42),
1),
$M765)),_xlfn.XLOOKUP(A765,'[1]DATOS PBI Artículos'!A:A,'[1]DATOS PBI Artículos'!Z:Z
)))))</f>
        <v>#N/A</v>
      </c>
      <c r="Q765" s="38" t="e">
        <f>IF(AND(O765="",N765=0),
0,
   IF(COUNTIF([1]CRITERIOS!$F$179:$F$199,$A765)&gt;=1,
   1,
   IF(R765="MTO",
      $D765,
      ROUNDUP(
                    IF(($E765-SUMIF('[1]DATOS PBI Artículos'!A:A,A765,'[1]DATOS PBI Artículos'!X:X)+($V765-_xlfn.XLOOKUP(A765,'[1]DATOS PBI Artículos'!A:A,'[1]DATOS PBI Artículos'!W:W)))&lt;0,
                    0,
                    IF(($E765-SUMIF('[1]DATOS PBI Artículos'!A:A,A765,'[1]DATOS PBI Artículos'!X:X)+$V765-_xlfn.XLOOKUP($A765,'[1]DATOS PBI Artículos'!A:A,'[1]DATOS PBI Artículos'!W:W))/IF($O765="",$N765,$O765)&gt;ROUNDUP([1]CRITERIOS!$M$16/(IF(COUNTIF([1]CRITERIOS!$BG$11:$BG$201,L765)&gt;=1,_xlfn.XLOOKUP($C765,[1]CRITERIOS!$K$25:$K$42,[1]CRITERIOS!$M$25:$M$42),_xlfn.XLOOKUP($C765,[1]CRITERIOS!$K$25:$K$42,[1]CRITERIOS!$M$25:$M$42))),0),
                    ROUNDUP([1]CRITERIOS!$M$16/(IF(COUNTIF([1]CRITERIOS!$BG$11:$BG$201,$L765)&gt;=1,_xlfn.XLOOKUP($C765,[1]CRITERIOS!$K$25:$K$42,[1]CRITERIOS!$M$25:$M$42),_xlfn.XLOOKUP($C765,[1]CRITERIOS!$K$25:$K$42,[1]CRITERIOS!$M$25:$M$42))),0),
                    (E765+V765-SUMIF('[1]DATOS PBI Artículos'!A:A,A765,'[1]DATOS PBI Artículos'!X:X)-_xlfn.XLOOKUP(A765,'[1]DATOS PBI Artículos'!A:A,'[1]DATOS PBI Artículos'!W:W))/IF($O765="",$N765,$O765))),0))))</f>
        <v>#N/A</v>
      </c>
      <c r="R765" s="33" t="e">
        <f>IF(U765&lt;&gt;"",U765,IF(F765="DV","MTO",IF(N765=0,"MTO",_xlfn.XLOOKUP(CONCATENATE(S765,T765),[1]CRITERIOS!$K$160:$K$168,[1]CRITERIOS!$N$160:$N$168))))</f>
        <v>#N/A</v>
      </c>
      <c r="S765" s="33" t="e">
        <f>IF(G765="DV","MTO",IF(N765=0,"MTO",IF(OR(AND(N765=0,O765=""),IF(O765="",G765/N765,G765/O765)&gt;[1]CRITERIOS!$G$163),"MTO",IF(IF(O765="",G765/N765,G765/O765)&lt;[1]CRITERIOS!$H$161,"MTS","MTOS"))))</f>
        <v>#N/A</v>
      </c>
      <c r="T765" s="33" t="e">
        <f>IF(F765="DV","MTO",IF(OR(AND($N765=0,O765=""),$F765/$J765&gt;[1]CRITERIOS!$G$170,$F765="DV"),"MTO",IF($F765/$J765&lt;[1]CRITERIOS!$H$168,"MTS","MTOS")))</f>
        <v>#N/A</v>
      </c>
      <c r="V765" s="34" t="e">
        <f t="shared" si="37"/>
        <v>#N/A</v>
      </c>
      <c r="X765" s="34" t="e">
        <f t="shared" si="35"/>
        <v>#N/A</v>
      </c>
      <c r="Y765" s="34" t="e">
        <f t="shared" si="36"/>
        <v>#N/A</v>
      </c>
      <c r="Z765" s="34" t="e">
        <f>IF($R765="MTO",
0,
($H765+$K765*($E765/[1]CRITERIOS!$M$16))/[1]CRITERIOS!$X$48)</f>
        <v>#N/A</v>
      </c>
      <c r="AA765" s="34" t="e">
        <f>ROUNDUP(($Y765/_xlfn.XLOOKUP($A765,'[1]DATOS PBI Artículos'!$A$4:$A$4,'[1]DATOS PBI Artículos'!$Z$4:$Z$4))/_xlfn.XLOOKUP(_xlfn.XLOOKUP($A765,'[1]DATOS PBI Artículos'!$A$4:$A$4,'[1]DATOS PBI Artículos'!$Y$4:$Y$4),[1]CRITERIOS!$P$79:$P$123,[1]CRITERIOS!$S$79:$S$123,),0)</f>
        <v>#N/A</v>
      </c>
      <c r="AC765" s="33" t="e">
        <f>IF(N765=0,"",(ROUNDUP((N765/2)/(_xlfn.XLOOKUP(A765,'[1]DATOS PBI Artículos'!$A$4:$A$4,'[1]DATOS PBI Artículos'!$Z$4:$Z$4)*_xlfn.XLOOKUP(_xlfn.XLOOKUP(A765,'[1]DATOS PBI Artículos'!$A$4:$A$4,'[1]DATOS PBI Artículos'!$Y$4:$Y$4),[1]CRITERIOS!$P$79:$P$123,[1]CRITERIOS!$S$79:$S$123)),0)*[1]CRITERIOS!$M$80*([1]CRITERIOS!$M$110/[1]CRITERIOS!$M$86)+(_xlfn.XLOOKUP(A765,'[1]DATOS PBI Artículos'!$A$4:$A$4,'[1]DATOS PBI Artículos'!$AA$4:$AA$4)*([1]CRITERIOS!$M$95+[1]CRITERIOS!$M$98)))/N765)</f>
        <v>#N/A</v>
      </c>
      <c r="AD765" s="33" t="e">
        <f>IF(N765=0,"",(ROUNDUP((N765/2)/(_xlfn.XLOOKUP(A765,'[1]DATOS PBI Artículos'!$A$4:$A$4,'[1]DATOS PBI Artículos'!$Z$4:$Z$4)*_xlfn.XLOOKUP(_xlfn.XLOOKUP(A765,'[1]DATOS PBI Artículos'!$A$4:$A$4,'[1]DATOS PBI Artículos'!$Y$4:$Y$4),[1]CRITERIOS!$P$79:$P$123,[1]CRITERIOS!$S$79:$S$123)),0)*[1]CRITERIOS!$M$80*([1]CRITERIOS!$M$89*[1]CRITERIOS!$M$92)+((_xlfn.XLOOKUP(A765,'[1]DATOS PBI Artículos'!$A$4:$A$4,'[1]DATOS PBI Artículos'!$AA$4:$AA$4)/2)*([1]CRITERIOS!$M$95+[1]CRITERIOS!$M$98)))/N765)</f>
        <v>#N/A</v>
      </c>
      <c r="AE765" s="39" t="e">
        <f>IF($R765="MTO","",
IF($H765=0,ROUNDUP(((_xlfn.XLOOKUP($A765,'[1]DATOS PBI Artículos'!$A:$A,'[1]DATOS PBI Artículos'!$AL:$AL))/(_xlfn.XLOOKUP($AF$1,[1]CRITERIOS!$S$16:$S$39,[1]CRITERIOS!$Y$16:$Y$39))*$J765+$Z765)/$G765,0)*$G765,
((_xlfn.XLOOKUP($A765,'[1]DATOS PBI Artículos'!$A:$A,'[1]DATOS PBI Artículos'!$AL:$AL))/(_xlfn.XLOOKUP($AF$1,[1]CRITERIOS!$S$16:$S$39,[1]CRITERIOS!$Y$16:$Y$39))*$J765+$Z765)))</f>
        <v>#N/A</v>
      </c>
      <c r="AG765" s="39" t="e">
        <f>IF($R765="MTO","",
IF($H765=0,ROUNDUP(((_xlfn.XLOOKUP($A765,'[1]DATOS PBI Artículos'!$A:$A,'[1]DATOS PBI Artículos'!$AM:$AM))/(_xlfn.XLOOKUP($AH$1,[1]CRITERIOS!$S$16:$S$39,[1]CRITERIOS!$Y$16:$Y$39))*$J765+$Z765)/$G765,0)*$G765,
((_xlfn.XLOOKUP($A765,'[1]DATOS PBI Artículos'!$A:$A,'[1]DATOS PBI Artículos'!$AM:$AM))/(_xlfn.XLOOKUP($AH$1,[1]CRITERIOS!$S$16:$S$39,[1]CRITERIOS!$Y$16:$Y$39))*$J765+$Z765)))</f>
        <v>#N/A</v>
      </c>
      <c r="AI765" s="39" t="e">
        <f>IF($R765="MTO","",
IF($H765=0,ROUNDUP(((_xlfn.XLOOKUP($A765,'[1]DATOS PBI Artículos'!$A:$A,'[1]DATOS PBI Artículos'!$AN:$AN))/(_xlfn.XLOOKUP($AJ$1,[1]CRITERIOS!$S$16:$S$39,[1]CRITERIOS!$Y$16:$Y$39))*$J765+$Z765)/$G765,0)*$G765,
((_xlfn.XLOOKUP($A765,'[1]DATOS PBI Artículos'!$A:$A,'[1]DATOS PBI Artículos'!$AN:$AN))/(_xlfn.XLOOKUP($AJ$1,[1]CRITERIOS!$S$16:$S$39,[1]CRITERIOS!$Y$16:$Y$39))*$J765+$Z765)))</f>
        <v>#N/A</v>
      </c>
      <c r="AK765" s="39" t="e">
        <f>IF($R765="MTO","",
IF($H765=0,ROUNDUP(((_xlfn.XLOOKUP($A765,'[1]DATOS PBI Artículos'!$A:$A,'[1]DATOS PBI Artículos'!$AO:$AO))/(_xlfn.XLOOKUP($AL$1,[1]CRITERIOS!$S$16:$S$39,[1]CRITERIOS!$Y$16:$Y$39))*$J765+$Z765)/$G765,0)*$G765,
((_xlfn.XLOOKUP($A765,'[1]DATOS PBI Artículos'!$A:$A,'[1]DATOS PBI Artículos'!$AO:$AO))/(_xlfn.XLOOKUP($AL$1,[1]CRITERIOS!$S$16:$S$39,[1]CRITERIOS!$Y$16:$Y$39))*$J765+$Z765)))</f>
        <v>#N/A</v>
      </c>
    </row>
    <row r="766" spans="1:37" ht="25.8" hidden="1" x14ac:dyDescent="0.4">
      <c r="A766" s="41"/>
      <c r="B766" s="33">
        <f>_xlfn.XLOOKUP($A766,'[1]DATOS PBI Artículos'!A:A,'[1]DATOS PBI Artículos'!B:B)</f>
        <v>0</v>
      </c>
      <c r="C766" s="33">
        <f>_xlfn.XLOOKUP($A766,'[1]DATOS PBI Artículos'!A:A,'[1]DATOS PBI Artículos'!C:C)</f>
        <v>0</v>
      </c>
      <c r="D766" s="33">
        <f>_xlfn.XLOOKUP(A766,'[1]DATOS PBI Artículos'!A:A,'[1]DATOS PBI Artículos'!T:T)</f>
        <v>0</v>
      </c>
      <c r="E766" s="34">
        <f>IF(_xlfn.XLOOKUP($A766,'[1]DATOS PBI Artículos'!A:A,'[1]DATOS PBI Artículos'!AK:AK)="",_xlfn.XLOOKUP($A766,'[1]DATOS PBI Artículos'!A:A,'[1]DATOS PBI Artículos'!AJ:AJ),_xlfn.XLOOKUP($A766,'[1]DATOS PBI Artículos'!A:A,'[1]DATOS PBI Artículos'!AK:AK))</f>
        <v>0</v>
      </c>
      <c r="F766" s="35">
        <f>_xlfn.XLOOKUP($A766,'[1]DATOS PBI Artículos'!A:A,'[1]DATOS PBI Artículos'!AP:AP)</f>
        <v>0</v>
      </c>
      <c r="G766" s="34">
        <f>_xlfn.XLOOKUP($A766,'[1]DATOS PBI Artículos'!A:A,'[1]DATOS PBI Artículos'!AR:AR)</f>
        <v>0</v>
      </c>
      <c r="H766" s="34">
        <f>_xlfn.XLOOKUP($A766,'[1]DATOS PBI Artículos'!A:A,'[1]DATOS PBI Artículos'!AT:AT)</f>
        <v>0</v>
      </c>
      <c r="I766" s="34">
        <f>_xlfn.XLOOKUP($A766,'[1]DATOS PBI Artículos'!A:A,'[1]DATOS PBI Artículos'!AS:AS)</f>
        <v>0</v>
      </c>
      <c r="J766" s="35">
        <f>IF(COUNTIF([1]CRITERIOS!$F$179:$F$199,$A766)&gt;=1,
 IF(O766&lt;&gt;"",
    (O766/_xlfn.XLOOKUP(CONCATENATE(A766,L766),[1]MÁQUINAS!A:A,[1]MÁQUINAS!D:D))/24,
    (N766/_xlfn.XLOOKUP(CONCATENATE(A766,L766),[1]MÁQUINAS!A:A,[1]MÁQUINAS!D:D))/24),
  _xlfn.XLOOKUP($A766,'[1]DATOS PBI Artículos'!A:A,'[1]DATOS PBI Artículos'!AU:AU))</f>
        <v>0</v>
      </c>
      <c r="K766" s="36">
        <f>_xlfn.XLOOKUP($A766,'[1]DATOS PBI Artículos'!A:A,'[1]DATOS PBI Artículos'!AV:AV)</f>
        <v>0</v>
      </c>
      <c r="L766" s="33">
        <f>_xlfn.XLOOKUP(A766,[1]MÁQUINAS!B:B,[1]MÁQUINAS!C:C)</f>
        <v>0</v>
      </c>
      <c r="M766" s="34">
        <f t="array" ref="M766">_xlfn.XLOOKUP(A766,'[1]DATOS PBI Artículos'!A:A,'[1]DATOS PBI Artículos'!AX:$AX)</f>
        <v>0</v>
      </c>
      <c r="N766" s="37" t="e">
        <f>IF(I766="DV",
E766,
IF(COUNTIF([1]CRITERIOS!$I$179:$I$199,$A766)&gt;=1,
_xlfn.XLOOKUP($A766,[1]CRITERIOS!$I$179:$I$199,[1]CRITERIOS!$J$179:$J$199),
IF(COUNTIF([1]CRITERIOS!$L$179:$L$199,$A766)&gt;=1,
_xlfn.CEILING.MATH(IF($M766&gt;$E766,
$E766,
IF($M766&lt;$E766/ROUNDDOWN([1]CRITERIOS!$M$16/_xlfn.XLOOKUP($C766,[1]CRITERIOS!$K$25:$K$42,[1]CRITERIOS!$M$25:$M$42),
1),
E766/ROUNDDOWN([1]CRITERIOS!$M$16/_xlfn.XLOOKUP($C766,[1]CRITERIOS!$K$25:$K$42,[1]CRITERIOS!$M$25:$M$42),
1),
$M766)),
_xlfn.XLOOKUP($A766,[1]CRITERIOS!$L$179:$L$200,[1]CRITERIOS!$M$179:$M$200)),
_xlfn.CEILING.MATH(IF($M766&gt;$E766,
$E766,
IF($M766&lt;$E766/ROUNDDOWN([1]CRITERIOS!$M$16/_xlfn.XLOOKUP($C766,[1]CRITERIOS!$K$25:$K$42,[1]CRITERIOS!$M$25:$M$42),
1),
E766/ROUNDDOWN([1]CRITERIOS!$M$16/_xlfn.XLOOKUP($C766,[1]CRITERIOS!$K$25:$K$42,[1]CRITERIOS!$M$25:$M$42),
1),
$M766)),_xlfn.XLOOKUP(A766,'[1]DATOS PBI Artículos'!A:A,'[1]DATOS PBI Artículos'!Z:Z
)))))</f>
        <v>#N/A</v>
      </c>
      <c r="Q766" s="38" t="e">
        <f>IF(AND(O766="",N766=0),
0,
   IF(COUNTIF([1]CRITERIOS!$F$179:$F$199,$A766)&gt;=1,
   1,
   IF(R766="MTO",
      $D766,
      ROUNDUP(
                    IF(($E766-SUMIF('[1]DATOS PBI Artículos'!A:A,A766,'[1]DATOS PBI Artículos'!X:X)+($V766-_xlfn.XLOOKUP(A766,'[1]DATOS PBI Artículos'!A:A,'[1]DATOS PBI Artículos'!W:W)))&lt;0,
                    0,
                    IF(($E766-SUMIF('[1]DATOS PBI Artículos'!A:A,A766,'[1]DATOS PBI Artículos'!X:X)+$V766-_xlfn.XLOOKUP($A766,'[1]DATOS PBI Artículos'!A:A,'[1]DATOS PBI Artículos'!W:W))/IF($O766="",$N766,$O766)&gt;ROUNDUP([1]CRITERIOS!$M$16/(IF(COUNTIF([1]CRITERIOS!$BG$11:$BG$201,L766)&gt;=1,_xlfn.XLOOKUP($C766,[1]CRITERIOS!$K$25:$K$42,[1]CRITERIOS!$M$25:$M$42),_xlfn.XLOOKUP($C766,[1]CRITERIOS!$K$25:$K$42,[1]CRITERIOS!$M$25:$M$42))),0),
                    ROUNDUP([1]CRITERIOS!$M$16/(IF(COUNTIF([1]CRITERIOS!$BG$11:$BG$201,$L766)&gt;=1,_xlfn.XLOOKUP($C766,[1]CRITERIOS!$K$25:$K$42,[1]CRITERIOS!$M$25:$M$42),_xlfn.XLOOKUP($C766,[1]CRITERIOS!$K$25:$K$42,[1]CRITERIOS!$M$25:$M$42))),0),
                    (E766+V766-SUMIF('[1]DATOS PBI Artículos'!A:A,A766,'[1]DATOS PBI Artículos'!X:X)-_xlfn.XLOOKUP(A766,'[1]DATOS PBI Artículos'!A:A,'[1]DATOS PBI Artículos'!W:W))/IF($O766="",$N766,$O766))),0))))</f>
        <v>#N/A</v>
      </c>
      <c r="R766" s="33" t="e">
        <f>IF(U766&lt;&gt;"",U766,IF(F766="DV","MTO",IF(N766=0,"MTO",_xlfn.XLOOKUP(CONCATENATE(S766,T766),[1]CRITERIOS!$K$160:$K$168,[1]CRITERIOS!$N$160:$N$168))))</f>
        <v>#N/A</v>
      </c>
      <c r="S766" s="33" t="e">
        <f>IF(G766="DV","MTO",IF(N766=0,"MTO",IF(OR(AND(N766=0,O766=""),IF(O766="",G766/N766,G766/O766)&gt;[1]CRITERIOS!$G$163),"MTO",IF(IF(O766="",G766/N766,G766/O766)&lt;[1]CRITERIOS!$H$161,"MTS","MTOS"))))</f>
        <v>#N/A</v>
      </c>
      <c r="T766" s="33" t="e">
        <f>IF(F766="DV","MTO",IF(OR(AND($N766=0,O766=""),$F766/$J766&gt;[1]CRITERIOS!$G$170,$F766="DV"),"MTO",IF($F766/$J766&lt;[1]CRITERIOS!$H$168,"MTS","MTOS")))</f>
        <v>#N/A</v>
      </c>
      <c r="V766" s="34" t="e">
        <f t="shared" si="37"/>
        <v>#N/A</v>
      </c>
      <c r="X766" s="34" t="e">
        <f t="shared" si="35"/>
        <v>#N/A</v>
      </c>
      <c r="Y766" s="34" t="e">
        <f t="shared" si="36"/>
        <v>#N/A</v>
      </c>
      <c r="Z766" s="34" t="e">
        <f>IF($R766="MTO",
0,
($H766+$K766*($E766/[1]CRITERIOS!$M$16))/[1]CRITERIOS!$X$48)</f>
        <v>#N/A</v>
      </c>
      <c r="AA766" s="34" t="e">
        <f>ROUNDUP(($Y766/_xlfn.XLOOKUP($A766,'[1]DATOS PBI Artículos'!$A$4:$A$4,'[1]DATOS PBI Artículos'!$Z$4:$Z$4))/_xlfn.XLOOKUP(_xlfn.XLOOKUP($A766,'[1]DATOS PBI Artículos'!$A$4:$A$4,'[1]DATOS PBI Artículos'!$Y$4:$Y$4),[1]CRITERIOS!$P$79:$P$123,[1]CRITERIOS!$S$79:$S$123,),0)</f>
        <v>#N/A</v>
      </c>
      <c r="AC766" s="33" t="e">
        <f>IF(N766=0,"",(ROUNDUP((N766/2)/(_xlfn.XLOOKUP(A766,'[1]DATOS PBI Artículos'!$A$4:$A$4,'[1]DATOS PBI Artículos'!$Z$4:$Z$4)*_xlfn.XLOOKUP(_xlfn.XLOOKUP(A766,'[1]DATOS PBI Artículos'!$A$4:$A$4,'[1]DATOS PBI Artículos'!$Y$4:$Y$4),[1]CRITERIOS!$P$79:$P$123,[1]CRITERIOS!$S$79:$S$123)),0)*[1]CRITERIOS!$M$80*([1]CRITERIOS!$M$110/[1]CRITERIOS!$M$86)+(_xlfn.XLOOKUP(A766,'[1]DATOS PBI Artículos'!$A$4:$A$4,'[1]DATOS PBI Artículos'!$AA$4:$AA$4)*([1]CRITERIOS!$M$95+[1]CRITERIOS!$M$98)))/N766)</f>
        <v>#N/A</v>
      </c>
      <c r="AD766" s="33" t="e">
        <f>IF(N766=0,"",(ROUNDUP((N766/2)/(_xlfn.XLOOKUP(A766,'[1]DATOS PBI Artículos'!$A$4:$A$4,'[1]DATOS PBI Artículos'!$Z$4:$Z$4)*_xlfn.XLOOKUP(_xlfn.XLOOKUP(A766,'[1]DATOS PBI Artículos'!$A$4:$A$4,'[1]DATOS PBI Artículos'!$Y$4:$Y$4),[1]CRITERIOS!$P$79:$P$123,[1]CRITERIOS!$S$79:$S$123)),0)*[1]CRITERIOS!$M$80*([1]CRITERIOS!$M$89*[1]CRITERIOS!$M$92)+((_xlfn.XLOOKUP(A766,'[1]DATOS PBI Artículos'!$A$4:$A$4,'[1]DATOS PBI Artículos'!$AA$4:$AA$4)/2)*([1]CRITERIOS!$M$95+[1]CRITERIOS!$M$98)))/N766)</f>
        <v>#N/A</v>
      </c>
      <c r="AE766" s="39" t="e">
        <f>IF($R766="MTO","",
IF($H766=0,ROUNDUP(((_xlfn.XLOOKUP($A766,'[1]DATOS PBI Artículos'!$A:$A,'[1]DATOS PBI Artículos'!$AL:$AL))/(_xlfn.XLOOKUP($AF$1,[1]CRITERIOS!$S$16:$S$39,[1]CRITERIOS!$Y$16:$Y$39))*$J766+$Z766)/$G766,0)*$G766,
((_xlfn.XLOOKUP($A766,'[1]DATOS PBI Artículos'!$A:$A,'[1]DATOS PBI Artículos'!$AL:$AL))/(_xlfn.XLOOKUP($AF$1,[1]CRITERIOS!$S$16:$S$39,[1]CRITERIOS!$Y$16:$Y$39))*$J766+$Z766)))</f>
        <v>#N/A</v>
      </c>
      <c r="AG766" s="39" t="e">
        <f>IF($R766="MTO","",
IF($H766=0,ROUNDUP(((_xlfn.XLOOKUP($A766,'[1]DATOS PBI Artículos'!$A:$A,'[1]DATOS PBI Artículos'!$AM:$AM))/(_xlfn.XLOOKUP($AH$1,[1]CRITERIOS!$S$16:$S$39,[1]CRITERIOS!$Y$16:$Y$39))*$J766+$Z766)/$G766,0)*$G766,
((_xlfn.XLOOKUP($A766,'[1]DATOS PBI Artículos'!$A:$A,'[1]DATOS PBI Artículos'!$AM:$AM))/(_xlfn.XLOOKUP($AH$1,[1]CRITERIOS!$S$16:$S$39,[1]CRITERIOS!$Y$16:$Y$39))*$J766+$Z766)))</f>
        <v>#N/A</v>
      </c>
      <c r="AI766" s="39" t="e">
        <f>IF($R766="MTO","",
IF($H766=0,ROUNDUP(((_xlfn.XLOOKUP($A766,'[1]DATOS PBI Artículos'!$A:$A,'[1]DATOS PBI Artículos'!$AN:$AN))/(_xlfn.XLOOKUP($AJ$1,[1]CRITERIOS!$S$16:$S$39,[1]CRITERIOS!$Y$16:$Y$39))*$J766+$Z766)/$G766,0)*$G766,
((_xlfn.XLOOKUP($A766,'[1]DATOS PBI Artículos'!$A:$A,'[1]DATOS PBI Artículos'!$AN:$AN))/(_xlfn.XLOOKUP($AJ$1,[1]CRITERIOS!$S$16:$S$39,[1]CRITERIOS!$Y$16:$Y$39))*$J766+$Z766)))</f>
        <v>#N/A</v>
      </c>
      <c r="AK766" s="39" t="e">
        <f>IF($R766="MTO","",
IF($H766=0,ROUNDUP(((_xlfn.XLOOKUP($A766,'[1]DATOS PBI Artículos'!$A:$A,'[1]DATOS PBI Artículos'!$AO:$AO))/(_xlfn.XLOOKUP($AL$1,[1]CRITERIOS!$S$16:$S$39,[1]CRITERIOS!$Y$16:$Y$39))*$J766+$Z766)/$G766,0)*$G766,
((_xlfn.XLOOKUP($A766,'[1]DATOS PBI Artículos'!$A:$A,'[1]DATOS PBI Artículos'!$AO:$AO))/(_xlfn.XLOOKUP($AL$1,[1]CRITERIOS!$S$16:$S$39,[1]CRITERIOS!$Y$16:$Y$39))*$J766+$Z766)))</f>
        <v>#N/A</v>
      </c>
    </row>
    <row r="767" spans="1:37" ht="25.8" hidden="1" x14ac:dyDescent="0.4">
      <c r="A767" s="41"/>
      <c r="B767" s="33">
        <f>_xlfn.XLOOKUP($A767,'[1]DATOS PBI Artículos'!A:A,'[1]DATOS PBI Artículos'!B:B)</f>
        <v>0</v>
      </c>
      <c r="C767" s="33">
        <f>_xlfn.XLOOKUP($A767,'[1]DATOS PBI Artículos'!A:A,'[1]DATOS PBI Artículos'!C:C)</f>
        <v>0</v>
      </c>
      <c r="D767" s="33">
        <f>_xlfn.XLOOKUP(A767,'[1]DATOS PBI Artículos'!A:A,'[1]DATOS PBI Artículos'!T:T)</f>
        <v>0</v>
      </c>
      <c r="E767" s="34">
        <f>IF(_xlfn.XLOOKUP($A767,'[1]DATOS PBI Artículos'!A:A,'[1]DATOS PBI Artículos'!AK:AK)="",_xlfn.XLOOKUP($A767,'[1]DATOS PBI Artículos'!A:A,'[1]DATOS PBI Artículos'!AJ:AJ),_xlfn.XLOOKUP($A767,'[1]DATOS PBI Artículos'!A:A,'[1]DATOS PBI Artículos'!AK:AK))</f>
        <v>0</v>
      </c>
      <c r="F767" s="35">
        <f>_xlfn.XLOOKUP($A767,'[1]DATOS PBI Artículos'!A:A,'[1]DATOS PBI Artículos'!AP:AP)</f>
        <v>0</v>
      </c>
      <c r="G767" s="34">
        <f>_xlfn.XLOOKUP($A767,'[1]DATOS PBI Artículos'!A:A,'[1]DATOS PBI Artículos'!AR:AR)</f>
        <v>0</v>
      </c>
      <c r="H767" s="34">
        <f>_xlfn.XLOOKUP($A767,'[1]DATOS PBI Artículos'!A:A,'[1]DATOS PBI Artículos'!AT:AT)</f>
        <v>0</v>
      </c>
      <c r="I767" s="34">
        <f>_xlfn.XLOOKUP($A767,'[1]DATOS PBI Artículos'!A:A,'[1]DATOS PBI Artículos'!AS:AS)</f>
        <v>0</v>
      </c>
      <c r="J767" s="35">
        <f>IF(COUNTIF([1]CRITERIOS!$F$179:$F$199,$A767)&gt;=1,
 IF(O767&lt;&gt;"",
    (O767/_xlfn.XLOOKUP(CONCATENATE(A767,L767),[1]MÁQUINAS!A:A,[1]MÁQUINAS!D:D))/24,
    (N767/_xlfn.XLOOKUP(CONCATENATE(A767,L767),[1]MÁQUINAS!A:A,[1]MÁQUINAS!D:D))/24),
  _xlfn.XLOOKUP($A767,'[1]DATOS PBI Artículos'!A:A,'[1]DATOS PBI Artículos'!AU:AU))</f>
        <v>0</v>
      </c>
      <c r="K767" s="36">
        <f>_xlfn.XLOOKUP($A767,'[1]DATOS PBI Artículos'!A:A,'[1]DATOS PBI Artículos'!AV:AV)</f>
        <v>0</v>
      </c>
      <c r="L767" s="33">
        <f>_xlfn.XLOOKUP(A767,[1]MÁQUINAS!B:B,[1]MÁQUINAS!C:C)</f>
        <v>0</v>
      </c>
      <c r="M767" s="34">
        <f t="array" ref="M767">_xlfn.XLOOKUP(A767,'[1]DATOS PBI Artículos'!A:A,'[1]DATOS PBI Artículos'!AX:$AX)</f>
        <v>0</v>
      </c>
      <c r="N767" s="37" t="e">
        <f>IF(I767="DV",
E767,
IF(COUNTIF([1]CRITERIOS!$I$179:$I$199,$A767)&gt;=1,
_xlfn.XLOOKUP($A767,[1]CRITERIOS!$I$179:$I$199,[1]CRITERIOS!$J$179:$J$199),
IF(COUNTIF([1]CRITERIOS!$L$179:$L$199,$A767)&gt;=1,
_xlfn.CEILING.MATH(IF($M767&gt;$E767,
$E767,
IF($M767&lt;$E767/ROUNDDOWN([1]CRITERIOS!$M$16/_xlfn.XLOOKUP($C767,[1]CRITERIOS!$K$25:$K$42,[1]CRITERIOS!$M$25:$M$42),
1),
E767/ROUNDDOWN([1]CRITERIOS!$M$16/_xlfn.XLOOKUP($C767,[1]CRITERIOS!$K$25:$K$42,[1]CRITERIOS!$M$25:$M$42),
1),
$M767)),
_xlfn.XLOOKUP($A767,[1]CRITERIOS!$L$179:$L$200,[1]CRITERIOS!$M$179:$M$200)),
_xlfn.CEILING.MATH(IF($M767&gt;$E767,
$E767,
IF($M767&lt;$E767/ROUNDDOWN([1]CRITERIOS!$M$16/_xlfn.XLOOKUP($C767,[1]CRITERIOS!$K$25:$K$42,[1]CRITERIOS!$M$25:$M$42),
1),
E767/ROUNDDOWN([1]CRITERIOS!$M$16/_xlfn.XLOOKUP($C767,[1]CRITERIOS!$K$25:$K$42,[1]CRITERIOS!$M$25:$M$42),
1),
$M767)),_xlfn.XLOOKUP(A767,'[1]DATOS PBI Artículos'!A:A,'[1]DATOS PBI Artículos'!Z:Z
)))))</f>
        <v>#N/A</v>
      </c>
      <c r="Q767" s="38" t="e">
        <f>IF(AND(O767="",N767=0),
0,
   IF(COUNTIF([1]CRITERIOS!$F$179:$F$199,$A767)&gt;=1,
   1,
   IF(R767="MTO",
      $D767,
      ROUNDUP(
                    IF(($E767-SUMIF('[1]DATOS PBI Artículos'!A:A,A767,'[1]DATOS PBI Artículos'!X:X)+($V767-_xlfn.XLOOKUP(A767,'[1]DATOS PBI Artículos'!A:A,'[1]DATOS PBI Artículos'!W:W)))&lt;0,
                    0,
                    IF(($E767-SUMIF('[1]DATOS PBI Artículos'!A:A,A767,'[1]DATOS PBI Artículos'!X:X)+$V767-_xlfn.XLOOKUP($A767,'[1]DATOS PBI Artículos'!A:A,'[1]DATOS PBI Artículos'!W:W))/IF($O767="",$N767,$O767)&gt;ROUNDUP([1]CRITERIOS!$M$16/(IF(COUNTIF([1]CRITERIOS!$BG$11:$BG$201,L767)&gt;=1,_xlfn.XLOOKUP($C767,[1]CRITERIOS!$K$25:$K$42,[1]CRITERIOS!$M$25:$M$42),_xlfn.XLOOKUP($C767,[1]CRITERIOS!$K$25:$K$42,[1]CRITERIOS!$M$25:$M$42))),0),
                    ROUNDUP([1]CRITERIOS!$M$16/(IF(COUNTIF([1]CRITERIOS!$BG$11:$BG$201,$L767)&gt;=1,_xlfn.XLOOKUP($C767,[1]CRITERIOS!$K$25:$K$42,[1]CRITERIOS!$M$25:$M$42),_xlfn.XLOOKUP($C767,[1]CRITERIOS!$K$25:$K$42,[1]CRITERIOS!$M$25:$M$42))),0),
                    (E767+V767-SUMIF('[1]DATOS PBI Artículos'!A:A,A767,'[1]DATOS PBI Artículos'!X:X)-_xlfn.XLOOKUP(A767,'[1]DATOS PBI Artículos'!A:A,'[1]DATOS PBI Artículos'!W:W))/IF($O767="",$N767,$O767))),0))))</f>
        <v>#N/A</v>
      </c>
      <c r="R767" s="33" t="e">
        <f>IF(U767&lt;&gt;"",U767,IF(F767="DV","MTO",IF(N767=0,"MTO",_xlfn.XLOOKUP(CONCATENATE(S767,T767),[1]CRITERIOS!$K$160:$K$168,[1]CRITERIOS!$N$160:$N$168))))</f>
        <v>#N/A</v>
      </c>
      <c r="S767" s="33" t="e">
        <f>IF(G767="DV","MTO",IF(N767=0,"MTO",IF(OR(AND(N767=0,O767=""),IF(O767="",G767/N767,G767/O767)&gt;[1]CRITERIOS!$G$163),"MTO",IF(IF(O767="",G767/N767,G767/O767)&lt;[1]CRITERIOS!$H$161,"MTS","MTOS"))))</f>
        <v>#N/A</v>
      </c>
      <c r="T767" s="33" t="e">
        <f>IF(F767="DV","MTO",IF(OR(AND($N767=0,O767=""),$F767/$J767&gt;[1]CRITERIOS!$G$170,$F767="DV"),"MTO",IF($F767/$J767&lt;[1]CRITERIOS!$H$168,"MTS","MTOS")))</f>
        <v>#N/A</v>
      </c>
      <c r="V767" s="34" t="e">
        <f t="shared" si="37"/>
        <v>#N/A</v>
      </c>
      <c r="X767" s="34" t="e">
        <f t="shared" si="35"/>
        <v>#N/A</v>
      </c>
      <c r="Y767" s="34" t="e">
        <f t="shared" si="36"/>
        <v>#N/A</v>
      </c>
      <c r="Z767" s="34" t="e">
        <f>IF($R767="MTO",
0,
($H767+$K767*($E767/[1]CRITERIOS!$M$16))/[1]CRITERIOS!$X$48)</f>
        <v>#N/A</v>
      </c>
      <c r="AA767" s="34" t="e">
        <f>ROUNDUP(($Y767/_xlfn.XLOOKUP($A767,'[1]DATOS PBI Artículos'!$A$4:$A$4,'[1]DATOS PBI Artículos'!$Z$4:$Z$4))/_xlfn.XLOOKUP(_xlfn.XLOOKUP($A767,'[1]DATOS PBI Artículos'!$A$4:$A$4,'[1]DATOS PBI Artículos'!$Y$4:$Y$4),[1]CRITERIOS!$P$79:$P$123,[1]CRITERIOS!$S$79:$S$123,),0)</f>
        <v>#N/A</v>
      </c>
      <c r="AC767" s="33" t="e">
        <f>IF(N767=0,"",(ROUNDUP((N767/2)/(_xlfn.XLOOKUP(A767,'[1]DATOS PBI Artículos'!$A$4:$A$4,'[1]DATOS PBI Artículos'!$Z$4:$Z$4)*_xlfn.XLOOKUP(_xlfn.XLOOKUP(A767,'[1]DATOS PBI Artículos'!$A$4:$A$4,'[1]DATOS PBI Artículos'!$Y$4:$Y$4),[1]CRITERIOS!$P$79:$P$123,[1]CRITERIOS!$S$79:$S$123)),0)*[1]CRITERIOS!$M$80*([1]CRITERIOS!$M$110/[1]CRITERIOS!$M$86)+(_xlfn.XLOOKUP(A767,'[1]DATOS PBI Artículos'!$A$4:$A$4,'[1]DATOS PBI Artículos'!$AA$4:$AA$4)*([1]CRITERIOS!$M$95+[1]CRITERIOS!$M$98)))/N767)</f>
        <v>#N/A</v>
      </c>
      <c r="AD767" s="33" t="e">
        <f>IF(N767=0,"",(ROUNDUP((N767/2)/(_xlfn.XLOOKUP(A767,'[1]DATOS PBI Artículos'!$A$4:$A$4,'[1]DATOS PBI Artículos'!$Z$4:$Z$4)*_xlfn.XLOOKUP(_xlfn.XLOOKUP(A767,'[1]DATOS PBI Artículos'!$A$4:$A$4,'[1]DATOS PBI Artículos'!$Y$4:$Y$4),[1]CRITERIOS!$P$79:$P$123,[1]CRITERIOS!$S$79:$S$123)),0)*[1]CRITERIOS!$M$80*([1]CRITERIOS!$M$89*[1]CRITERIOS!$M$92)+((_xlfn.XLOOKUP(A767,'[1]DATOS PBI Artículos'!$A$4:$A$4,'[1]DATOS PBI Artículos'!$AA$4:$AA$4)/2)*([1]CRITERIOS!$M$95+[1]CRITERIOS!$M$98)))/N767)</f>
        <v>#N/A</v>
      </c>
      <c r="AE767" s="39" t="e">
        <f>IF($R767="MTO","",
IF($H767=0,ROUNDUP(((_xlfn.XLOOKUP($A767,'[1]DATOS PBI Artículos'!$A:$A,'[1]DATOS PBI Artículos'!$AL:$AL))/(_xlfn.XLOOKUP($AF$1,[1]CRITERIOS!$S$16:$S$39,[1]CRITERIOS!$Y$16:$Y$39))*$J767+$Z767)/$G767,0)*$G767,
((_xlfn.XLOOKUP($A767,'[1]DATOS PBI Artículos'!$A:$A,'[1]DATOS PBI Artículos'!$AL:$AL))/(_xlfn.XLOOKUP($AF$1,[1]CRITERIOS!$S$16:$S$39,[1]CRITERIOS!$Y$16:$Y$39))*$J767+$Z767)))</f>
        <v>#N/A</v>
      </c>
      <c r="AG767" s="39" t="e">
        <f>IF($R767="MTO","",
IF($H767=0,ROUNDUP(((_xlfn.XLOOKUP($A767,'[1]DATOS PBI Artículos'!$A:$A,'[1]DATOS PBI Artículos'!$AM:$AM))/(_xlfn.XLOOKUP($AH$1,[1]CRITERIOS!$S$16:$S$39,[1]CRITERIOS!$Y$16:$Y$39))*$J767+$Z767)/$G767,0)*$G767,
((_xlfn.XLOOKUP($A767,'[1]DATOS PBI Artículos'!$A:$A,'[1]DATOS PBI Artículos'!$AM:$AM))/(_xlfn.XLOOKUP($AH$1,[1]CRITERIOS!$S$16:$S$39,[1]CRITERIOS!$Y$16:$Y$39))*$J767+$Z767)))</f>
        <v>#N/A</v>
      </c>
      <c r="AI767" s="39" t="e">
        <f>IF($R767="MTO","",
IF($H767=0,ROUNDUP(((_xlfn.XLOOKUP($A767,'[1]DATOS PBI Artículos'!$A:$A,'[1]DATOS PBI Artículos'!$AN:$AN))/(_xlfn.XLOOKUP($AJ$1,[1]CRITERIOS!$S$16:$S$39,[1]CRITERIOS!$Y$16:$Y$39))*$J767+$Z767)/$G767,0)*$G767,
((_xlfn.XLOOKUP($A767,'[1]DATOS PBI Artículos'!$A:$A,'[1]DATOS PBI Artículos'!$AN:$AN))/(_xlfn.XLOOKUP($AJ$1,[1]CRITERIOS!$S$16:$S$39,[1]CRITERIOS!$Y$16:$Y$39))*$J767+$Z767)))</f>
        <v>#N/A</v>
      </c>
      <c r="AK767" s="39" t="e">
        <f>IF($R767="MTO","",
IF($H767=0,ROUNDUP(((_xlfn.XLOOKUP($A767,'[1]DATOS PBI Artículos'!$A:$A,'[1]DATOS PBI Artículos'!$AO:$AO))/(_xlfn.XLOOKUP($AL$1,[1]CRITERIOS!$S$16:$S$39,[1]CRITERIOS!$Y$16:$Y$39))*$J767+$Z767)/$G767,0)*$G767,
((_xlfn.XLOOKUP($A767,'[1]DATOS PBI Artículos'!$A:$A,'[1]DATOS PBI Artículos'!$AO:$AO))/(_xlfn.XLOOKUP($AL$1,[1]CRITERIOS!$S$16:$S$39,[1]CRITERIOS!$Y$16:$Y$39))*$J767+$Z767)))</f>
        <v>#N/A</v>
      </c>
    </row>
    <row r="768" spans="1:37" ht="25.8" hidden="1" x14ac:dyDescent="0.4">
      <c r="A768" s="41"/>
      <c r="B768" s="33">
        <f>_xlfn.XLOOKUP($A768,'[1]DATOS PBI Artículos'!A:A,'[1]DATOS PBI Artículos'!B:B)</f>
        <v>0</v>
      </c>
      <c r="C768" s="33">
        <f>_xlfn.XLOOKUP($A768,'[1]DATOS PBI Artículos'!A:A,'[1]DATOS PBI Artículos'!C:C)</f>
        <v>0</v>
      </c>
      <c r="D768" s="33">
        <f>_xlfn.XLOOKUP(A768,'[1]DATOS PBI Artículos'!A:A,'[1]DATOS PBI Artículos'!T:T)</f>
        <v>0</v>
      </c>
      <c r="E768" s="34">
        <f>IF(_xlfn.XLOOKUP($A768,'[1]DATOS PBI Artículos'!A:A,'[1]DATOS PBI Artículos'!AK:AK)="",_xlfn.XLOOKUP($A768,'[1]DATOS PBI Artículos'!A:A,'[1]DATOS PBI Artículos'!AJ:AJ),_xlfn.XLOOKUP($A768,'[1]DATOS PBI Artículos'!A:A,'[1]DATOS PBI Artículos'!AK:AK))</f>
        <v>0</v>
      </c>
      <c r="F768" s="35">
        <f>_xlfn.XLOOKUP($A768,'[1]DATOS PBI Artículos'!A:A,'[1]DATOS PBI Artículos'!AP:AP)</f>
        <v>0</v>
      </c>
      <c r="G768" s="34">
        <f>_xlfn.XLOOKUP($A768,'[1]DATOS PBI Artículos'!A:A,'[1]DATOS PBI Artículos'!AR:AR)</f>
        <v>0</v>
      </c>
      <c r="H768" s="34">
        <f>_xlfn.XLOOKUP($A768,'[1]DATOS PBI Artículos'!A:A,'[1]DATOS PBI Artículos'!AT:AT)</f>
        <v>0</v>
      </c>
      <c r="I768" s="34">
        <f>_xlfn.XLOOKUP($A768,'[1]DATOS PBI Artículos'!A:A,'[1]DATOS PBI Artículos'!AS:AS)</f>
        <v>0</v>
      </c>
      <c r="J768" s="35">
        <f>IF(COUNTIF([1]CRITERIOS!$F$179:$F$199,$A768)&gt;=1,
 IF(O768&lt;&gt;"",
    (O768/_xlfn.XLOOKUP(CONCATENATE(A768,L768),[1]MÁQUINAS!A:A,[1]MÁQUINAS!D:D))/24,
    (N768/_xlfn.XLOOKUP(CONCATENATE(A768,L768),[1]MÁQUINAS!A:A,[1]MÁQUINAS!D:D))/24),
  _xlfn.XLOOKUP($A768,'[1]DATOS PBI Artículos'!A:A,'[1]DATOS PBI Artículos'!AU:AU))</f>
        <v>0</v>
      </c>
      <c r="K768" s="36">
        <f>_xlfn.XLOOKUP($A768,'[1]DATOS PBI Artículos'!A:A,'[1]DATOS PBI Artículos'!AV:AV)</f>
        <v>0</v>
      </c>
      <c r="L768" s="33">
        <f>_xlfn.XLOOKUP(A768,[1]MÁQUINAS!B:B,[1]MÁQUINAS!C:C)</f>
        <v>0</v>
      </c>
      <c r="M768" s="34">
        <f t="array" ref="M768">_xlfn.XLOOKUP(A768,'[1]DATOS PBI Artículos'!A:A,'[1]DATOS PBI Artículos'!AX:$AX)</f>
        <v>0</v>
      </c>
      <c r="N768" s="37" t="e">
        <f>IF(I768="DV",
E768,
IF(COUNTIF([1]CRITERIOS!$I$179:$I$199,$A768)&gt;=1,
_xlfn.XLOOKUP($A768,[1]CRITERIOS!$I$179:$I$199,[1]CRITERIOS!$J$179:$J$199),
IF(COUNTIF([1]CRITERIOS!$L$179:$L$199,$A768)&gt;=1,
_xlfn.CEILING.MATH(IF($M768&gt;$E768,
$E768,
IF($M768&lt;$E768/ROUNDDOWN([1]CRITERIOS!$M$16/_xlfn.XLOOKUP($C768,[1]CRITERIOS!$K$25:$K$42,[1]CRITERIOS!$M$25:$M$42),
1),
E768/ROUNDDOWN([1]CRITERIOS!$M$16/_xlfn.XLOOKUP($C768,[1]CRITERIOS!$K$25:$K$42,[1]CRITERIOS!$M$25:$M$42),
1),
$M768)),
_xlfn.XLOOKUP($A768,[1]CRITERIOS!$L$179:$L$200,[1]CRITERIOS!$M$179:$M$200)),
_xlfn.CEILING.MATH(IF($M768&gt;$E768,
$E768,
IF($M768&lt;$E768/ROUNDDOWN([1]CRITERIOS!$M$16/_xlfn.XLOOKUP($C768,[1]CRITERIOS!$K$25:$K$42,[1]CRITERIOS!$M$25:$M$42),
1),
E768/ROUNDDOWN([1]CRITERIOS!$M$16/_xlfn.XLOOKUP($C768,[1]CRITERIOS!$K$25:$K$42,[1]CRITERIOS!$M$25:$M$42),
1),
$M768)),_xlfn.XLOOKUP(A768,'[1]DATOS PBI Artículos'!A:A,'[1]DATOS PBI Artículos'!Z:Z
)))))</f>
        <v>#N/A</v>
      </c>
      <c r="Q768" s="38" t="e">
        <f>IF(AND(O768="",N768=0),
0,
   IF(COUNTIF([1]CRITERIOS!$F$179:$F$199,$A768)&gt;=1,
   1,
   IF(R768="MTO",
      $D768,
      ROUNDUP(
                    IF(($E768-SUMIF('[1]DATOS PBI Artículos'!A:A,A768,'[1]DATOS PBI Artículos'!X:X)+($V768-_xlfn.XLOOKUP(A768,'[1]DATOS PBI Artículos'!A:A,'[1]DATOS PBI Artículos'!W:W)))&lt;0,
                    0,
                    IF(($E768-SUMIF('[1]DATOS PBI Artículos'!A:A,A768,'[1]DATOS PBI Artículos'!X:X)+$V768-_xlfn.XLOOKUP($A768,'[1]DATOS PBI Artículos'!A:A,'[1]DATOS PBI Artículos'!W:W))/IF($O768="",$N768,$O768)&gt;ROUNDUP([1]CRITERIOS!$M$16/(IF(COUNTIF([1]CRITERIOS!$BG$11:$BG$201,L768)&gt;=1,_xlfn.XLOOKUP($C768,[1]CRITERIOS!$K$25:$K$42,[1]CRITERIOS!$M$25:$M$42),_xlfn.XLOOKUP($C768,[1]CRITERIOS!$K$25:$K$42,[1]CRITERIOS!$M$25:$M$42))),0),
                    ROUNDUP([1]CRITERIOS!$M$16/(IF(COUNTIF([1]CRITERIOS!$BG$11:$BG$201,$L768)&gt;=1,_xlfn.XLOOKUP($C768,[1]CRITERIOS!$K$25:$K$42,[1]CRITERIOS!$M$25:$M$42),_xlfn.XLOOKUP($C768,[1]CRITERIOS!$K$25:$K$42,[1]CRITERIOS!$M$25:$M$42))),0),
                    (E768+V768-SUMIF('[1]DATOS PBI Artículos'!A:A,A768,'[1]DATOS PBI Artículos'!X:X)-_xlfn.XLOOKUP(A768,'[1]DATOS PBI Artículos'!A:A,'[1]DATOS PBI Artículos'!W:W))/IF($O768="",$N768,$O768))),0))))</f>
        <v>#N/A</v>
      </c>
      <c r="R768" s="33" t="e">
        <f>IF(U768&lt;&gt;"",U768,IF(F768="DV","MTO",IF(N768=0,"MTO",_xlfn.XLOOKUP(CONCATENATE(S768,T768),[1]CRITERIOS!$K$160:$K$168,[1]CRITERIOS!$N$160:$N$168))))</f>
        <v>#N/A</v>
      </c>
      <c r="S768" s="33" t="e">
        <f>IF(G768="DV","MTO",IF(N768=0,"MTO",IF(OR(AND(N768=0,O768=""),IF(O768="",G768/N768,G768/O768)&gt;[1]CRITERIOS!$G$163),"MTO",IF(IF(O768="",G768/N768,G768/O768)&lt;[1]CRITERIOS!$H$161,"MTS","MTOS"))))</f>
        <v>#N/A</v>
      </c>
      <c r="T768" s="33" t="e">
        <f>IF(F768="DV","MTO",IF(OR(AND($N768=0,O768=""),$F768/$J768&gt;[1]CRITERIOS!$G$170,$F768="DV"),"MTO",IF($F768/$J768&lt;[1]CRITERIOS!$H$168,"MTS","MTOS")))</f>
        <v>#N/A</v>
      </c>
      <c r="V768" s="34" t="e">
        <f t="shared" si="37"/>
        <v>#N/A</v>
      </c>
      <c r="X768" s="34" t="e">
        <f t="shared" si="35"/>
        <v>#N/A</v>
      </c>
      <c r="Y768" s="34" t="e">
        <f t="shared" si="36"/>
        <v>#N/A</v>
      </c>
      <c r="Z768" s="34" t="e">
        <f>IF($R768="MTO",
0,
($H768+$K768*($E768/[1]CRITERIOS!$M$16))/[1]CRITERIOS!$X$48)</f>
        <v>#N/A</v>
      </c>
      <c r="AA768" s="34" t="e">
        <f>ROUNDUP(($Y768/_xlfn.XLOOKUP($A768,'[1]DATOS PBI Artículos'!$A$4:$A$4,'[1]DATOS PBI Artículos'!$Z$4:$Z$4))/_xlfn.XLOOKUP(_xlfn.XLOOKUP($A768,'[1]DATOS PBI Artículos'!$A$4:$A$4,'[1]DATOS PBI Artículos'!$Y$4:$Y$4),[1]CRITERIOS!$P$79:$P$123,[1]CRITERIOS!$S$79:$S$123,),0)</f>
        <v>#N/A</v>
      </c>
      <c r="AC768" s="33" t="e">
        <f>IF(N768=0,"",(ROUNDUP((N768/2)/(_xlfn.XLOOKUP(A768,'[1]DATOS PBI Artículos'!$A$4:$A$4,'[1]DATOS PBI Artículos'!$Z$4:$Z$4)*_xlfn.XLOOKUP(_xlfn.XLOOKUP(A768,'[1]DATOS PBI Artículos'!$A$4:$A$4,'[1]DATOS PBI Artículos'!$Y$4:$Y$4),[1]CRITERIOS!$P$79:$P$123,[1]CRITERIOS!$S$79:$S$123)),0)*[1]CRITERIOS!$M$80*([1]CRITERIOS!$M$110/[1]CRITERIOS!$M$86)+(_xlfn.XLOOKUP(A768,'[1]DATOS PBI Artículos'!$A$4:$A$4,'[1]DATOS PBI Artículos'!$AA$4:$AA$4)*([1]CRITERIOS!$M$95+[1]CRITERIOS!$M$98)))/N768)</f>
        <v>#N/A</v>
      </c>
      <c r="AD768" s="33" t="e">
        <f>IF(N768=0,"",(ROUNDUP((N768/2)/(_xlfn.XLOOKUP(A768,'[1]DATOS PBI Artículos'!$A$4:$A$4,'[1]DATOS PBI Artículos'!$Z$4:$Z$4)*_xlfn.XLOOKUP(_xlfn.XLOOKUP(A768,'[1]DATOS PBI Artículos'!$A$4:$A$4,'[1]DATOS PBI Artículos'!$Y$4:$Y$4),[1]CRITERIOS!$P$79:$P$123,[1]CRITERIOS!$S$79:$S$123)),0)*[1]CRITERIOS!$M$80*([1]CRITERIOS!$M$89*[1]CRITERIOS!$M$92)+((_xlfn.XLOOKUP(A768,'[1]DATOS PBI Artículos'!$A$4:$A$4,'[1]DATOS PBI Artículos'!$AA$4:$AA$4)/2)*([1]CRITERIOS!$M$95+[1]CRITERIOS!$M$98)))/N768)</f>
        <v>#N/A</v>
      </c>
      <c r="AE768" s="39" t="e">
        <f>IF($R768="MTO","",
IF($H768=0,ROUNDUP(((_xlfn.XLOOKUP($A768,'[1]DATOS PBI Artículos'!$A:$A,'[1]DATOS PBI Artículos'!$AL:$AL))/(_xlfn.XLOOKUP($AF$1,[1]CRITERIOS!$S$16:$S$39,[1]CRITERIOS!$Y$16:$Y$39))*$J768+$Z768)/$G768,0)*$G768,
((_xlfn.XLOOKUP($A768,'[1]DATOS PBI Artículos'!$A:$A,'[1]DATOS PBI Artículos'!$AL:$AL))/(_xlfn.XLOOKUP($AF$1,[1]CRITERIOS!$S$16:$S$39,[1]CRITERIOS!$Y$16:$Y$39))*$J768+$Z768)))</f>
        <v>#N/A</v>
      </c>
      <c r="AG768" s="39" t="e">
        <f>IF($R768="MTO","",
IF($H768=0,ROUNDUP(((_xlfn.XLOOKUP($A768,'[1]DATOS PBI Artículos'!$A:$A,'[1]DATOS PBI Artículos'!$AM:$AM))/(_xlfn.XLOOKUP($AH$1,[1]CRITERIOS!$S$16:$S$39,[1]CRITERIOS!$Y$16:$Y$39))*$J768+$Z768)/$G768,0)*$G768,
((_xlfn.XLOOKUP($A768,'[1]DATOS PBI Artículos'!$A:$A,'[1]DATOS PBI Artículos'!$AM:$AM))/(_xlfn.XLOOKUP($AH$1,[1]CRITERIOS!$S$16:$S$39,[1]CRITERIOS!$Y$16:$Y$39))*$J768+$Z768)))</f>
        <v>#N/A</v>
      </c>
      <c r="AI768" s="39" t="e">
        <f>IF($R768="MTO","",
IF($H768=0,ROUNDUP(((_xlfn.XLOOKUP($A768,'[1]DATOS PBI Artículos'!$A:$A,'[1]DATOS PBI Artículos'!$AN:$AN))/(_xlfn.XLOOKUP($AJ$1,[1]CRITERIOS!$S$16:$S$39,[1]CRITERIOS!$Y$16:$Y$39))*$J768+$Z768)/$G768,0)*$G768,
((_xlfn.XLOOKUP($A768,'[1]DATOS PBI Artículos'!$A:$A,'[1]DATOS PBI Artículos'!$AN:$AN))/(_xlfn.XLOOKUP($AJ$1,[1]CRITERIOS!$S$16:$S$39,[1]CRITERIOS!$Y$16:$Y$39))*$J768+$Z768)))</f>
        <v>#N/A</v>
      </c>
      <c r="AK768" s="39" t="e">
        <f>IF($R768="MTO","",
IF($H768=0,ROUNDUP(((_xlfn.XLOOKUP($A768,'[1]DATOS PBI Artículos'!$A:$A,'[1]DATOS PBI Artículos'!$AO:$AO))/(_xlfn.XLOOKUP($AL$1,[1]CRITERIOS!$S$16:$S$39,[1]CRITERIOS!$Y$16:$Y$39))*$J768+$Z768)/$G768,0)*$G768,
((_xlfn.XLOOKUP($A768,'[1]DATOS PBI Artículos'!$A:$A,'[1]DATOS PBI Artículos'!$AO:$AO))/(_xlfn.XLOOKUP($AL$1,[1]CRITERIOS!$S$16:$S$39,[1]CRITERIOS!$Y$16:$Y$39))*$J768+$Z768)))</f>
        <v>#N/A</v>
      </c>
    </row>
    <row r="769" spans="1:37" ht="25.8" hidden="1" x14ac:dyDescent="0.4">
      <c r="A769" s="41"/>
      <c r="B769" s="33">
        <f>_xlfn.XLOOKUP($A769,'[1]DATOS PBI Artículos'!A:A,'[1]DATOS PBI Artículos'!B:B)</f>
        <v>0</v>
      </c>
      <c r="C769" s="33">
        <f>_xlfn.XLOOKUP($A769,'[1]DATOS PBI Artículos'!A:A,'[1]DATOS PBI Artículos'!C:C)</f>
        <v>0</v>
      </c>
      <c r="D769" s="33">
        <f>_xlfn.XLOOKUP(A769,'[1]DATOS PBI Artículos'!A:A,'[1]DATOS PBI Artículos'!T:T)</f>
        <v>0</v>
      </c>
      <c r="E769" s="34">
        <f>IF(_xlfn.XLOOKUP($A769,'[1]DATOS PBI Artículos'!A:A,'[1]DATOS PBI Artículos'!AK:AK)="",_xlfn.XLOOKUP($A769,'[1]DATOS PBI Artículos'!A:A,'[1]DATOS PBI Artículos'!AJ:AJ),_xlfn.XLOOKUP($A769,'[1]DATOS PBI Artículos'!A:A,'[1]DATOS PBI Artículos'!AK:AK))</f>
        <v>0</v>
      </c>
      <c r="F769" s="35">
        <f>_xlfn.XLOOKUP($A769,'[1]DATOS PBI Artículos'!A:A,'[1]DATOS PBI Artículos'!AP:AP)</f>
        <v>0</v>
      </c>
      <c r="G769" s="34">
        <f>_xlfn.XLOOKUP($A769,'[1]DATOS PBI Artículos'!A:A,'[1]DATOS PBI Artículos'!AR:AR)</f>
        <v>0</v>
      </c>
      <c r="H769" s="34">
        <f>_xlfn.XLOOKUP($A769,'[1]DATOS PBI Artículos'!A:A,'[1]DATOS PBI Artículos'!AT:AT)</f>
        <v>0</v>
      </c>
      <c r="I769" s="34">
        <f>_xlfn.XLOOKUP($A769,'[1]DATOS PBI Artículos'!A:A,'[1]DATOS PBI Artículos'!AS:AS)</f>
        <v>0</v>
      </c>
      <c r="J769" s="35">
        <f>IF(COUNTIF([1]CRITERIOS!$F$179:$F$199,$A769)&gt;=1,
 IF(O769&lt;&gt;"",
    (O769/_xlfn.XLOOKUP(CONCATENATE(A769,L769),[1]MÁQUINAS!A:A,[1]MÁQUINAS!D:D))/24,
    (N769/_xlfn.XLOOKUP(CONCATENATE(A769,L769),[1]MÁQUINAS!A:A,[1]MÁQUINAS!D:D))/24),
  _xlfn.XLOOKUP($A769,'[1]DATOS PBI Artículos'!A:A,'[1]DATOS PBI Artículos'!AU:AU))</f>
        <v>0</v>
      </c>
      <c r="K769" s="36">
        <f>_xlfn.XLOOKUP($A769,'[1]DATOS PBI Artículos'!A:A,'[1]DATOS PBI Artículos'!AV:AV)</f>
        <v>0</v>
      </c>
      <c r="L769" s="33">
        <f>_xlfn.XLOOKUP(A769,[1]MÁQUINAS!B:B,[1]MÁQUINAS!C:C)</f>
        <v>0</v>
      </c>
      <c r="M769" s="34">
        <f t="array" ref="M769">_xlfn.XLOOKUP(A769,'[1]DATOS PBI Artículos'!A:A,'[1]DATOS PBI Artículos'!AX:$AX)</f>
        <v>0</v>
      </c>
      <c r="N769" s="37" t="e">
        <f>IF(I769="DV",
E769,
IF(COUNTIF([1]CRITERIOS!$I$179:$I$199,$A769)&gt;=1,
_xlfn.XLOOKUP($A769,[1]CRITERIOS!$I$179:$I$199,[1]CRITERIOS!$J$179:$J$199),
IF(COUNTIF([1]CRITERIOS!$L$179:$L$199,$A769)&gt;=1,
_xlfn.CEILING.MATH(IF($M769&gt;$E769,
$E769,
IF($M769&lt;$E769/ROUNDDOWN([1]CRITERIOS!$M$16/_xlfn.XLOOKUP($C769,[1]CRITERIOS!$K$25:$K$42,[1]CRITERIOS!$M$25:$M$42),
1),
E769/ROUNDDOWN([1]CRITERIOS!$M$16/_xlfn.XLOOKUP($C769,[1]CRITERIOS!$K$25:$K$42,[1]CRITERIOS!$M$25:$M$42),
1),
$M769)),
_xlfn.XLOOKUP($A769,[1]CRITERIOS!$L$179:$L$200,[1]CRITERIOS!$M$179:$M$200)),
_xlfn.CEILING.MATH(IF($M769&gt;$E769,
$E769,
IF($M769&lt;$E769/ROUNDDOWN([1]CRITERIOS!$M$16/_xlfn.XLOOKUP($C769,[1]CRITERIOS!$K$25:$K$42,[1]CRITERIOS!$M$25:$M$42),
1),
E769/ROUNDDOWN([1]CRITERIOS!$M$16/_xlfn.XLOOKUP($C769,[1]CRITERIOS!$K$25:$K$42,[1]CRITERIOS!$M$25:$M$42),
1),
$M769)),_xlfn.XLOOKUP(A769,'[1]DATOS PBI Artículos'!A:A,'[1]DATOS PBI Artículos'!Z:Z
)))))</f>
        <v>#N/A</v>
      </c>
      <c r="Q769" s="38" t="e">
        <f>IF(AND(O769="",N769=0),
0,
   IF(COUNTIF([1]CRITERIOS!$F$179:$F$199,$A769)&gt;=1,
   1,
   IF(R769="MTO",
      $D769,
      ROUNDUP(
                    IF(($E769-SUMIF('[1]DATOS PBI Artículos'!A:A,A769,'[1]DATOS PBI Artículos'!X:X)+($V769-_xlfn.XLOOKUP(A769,'[1]DATOS PBI Artículos'!A:A,'[1]DATOS PBI Artículos'!W:W)))&lt;0,
                    0,
                    IF(($E769-SUMIF('[1]DATOS PBI Artículos'!A:A,A769,'[1]DATOS PBI Artículos'!X:X)+$V769-_xlfn.XLOOKUP($A769,'[1]DATOS PBI Artículos'!A:A,'[1]DATOS PBI Artículos'!W:W))/IF($O769="",$N769,$O769)&gt;ROUNDUP([1]CRITERIOS!$M$16/(IF(COUNTIF([1]CRITERIOS!$BG$11:$BG$201,L769)&gt;=1,_xlfn.XLOOKUP($C769,[1]CRITERIOS!$K$25:$K$42,[1]CRITERIOS!$M$25:$M$42),_xlfn.XLOOKUP($C769,[1]CRITERIOS!$K$25:$K$42,[1]CRITERIOS!$M$25:$M$42))),0),
                    ROUNDUP([1]CRITERIOS!$M$16/(IF(COUNTIF([1]CRITERIOS!$BG$11:$BG$201,$L769)&gt;=1,_xlfn.XLOOKUP($C769,[1]CRITERIOS!$K$25:$K$42,[1]CRITERIOS!$M$25:$M$42),_xlfn.XLOOKUP($C769,[1]CRITERIOS!$K$25:$K$42,[1]CRITERIOS!$M$25:$M$42))),0),
                    (E769+V769-SUMIF('[1]DATOS PBI Artículos'!A:A,A769,'[1]DATOS PBI Artículos'!X:X)-_xlfn.XLOOKUP(A769,'[1]DATOS PBI Artículos'!A:A,'[1]DATOS PBI Artículos'!W:W))/IF($O769="",$N769,$O769))),0))))</f>
        <v>#N/A</v>
      </c>
      <c r="R769" s="33" t="e">
        <f>IF(U769&lt;&gt;"",U769,IF(F769="DV","MTO",IF(N769=0,"MTO",_xlfn.XLOOKUP(CONCATENATE(S769,T769),[1]CRITERIOS!$K$160:$K$168,[1]CRITERIOS!$N$160:$N$168))))</f>
        <v>#N/A</v>
      </c>
      <c r="S769" s="33" t="e">
        <f>IF(G769="DV","MTO",IF(N769=0,"MTO",IF(OR(AND(N769=0,O769=""),IF(O769="",G769/N769,G769/O769)&gt;[1]CRITERIOS!$G$163),"MTO",IF(IF(O769="",G769/N769,G769/O769)&lt;[1]CRITERIOS!$H$161,"MTS","MTOS"))))</f>
        <v>#N/A</v>
      </c>
      <c r="T769" s="33" t="e">
        <f>IF(F769="DV","MTO",IF(OR(AND($N769=0,O769=""),$F769/$J769&gt;[1]CRITERIOS!$G$170,$F769="DV"),"MTO",IF($F769/$J769&lt;[1]CRITERIOS!$H$168,"MTS","MTOS")))</f>
        <v>#N/A</v>
      </c>
      <c r="V769" s="34" t="e">
        <f t="shared" si="37"/>
        <v>#N/A</v>
      </c>
      <c r="X769" s="34" t="e">
        <f t="shared" si="35"/>
        <v>#N/A</v>
      </c>
      <c r="Y769" s="34" t="e">
        <f t="shared" si="36"/>
        <v>#N/A</v>
      </c>
      <c r="Z769" s="34" t="e">
        <f>IF($R769="MTO",
0,
($H769+$K769*($E769/[1]CRITERIOS!$M$16))/[1]CRITERIOS!$X$48)</f>
        <v>#N/A</v>
      </c>
      <c r="AA769" s="34" t="e">
        <f>ROUNDUP(($Y769/_xlfn.XLOOKUP($A769,'[1]DATOS PBI Artículos'!$A$4:$A$4,'[1]DATOS PBI Artículos'!$Z$4:$Z$4))/_xlfn.XLOOKUP(_xlfn.XLOOKUP($A769,'[1]DATOS PBI Artículos'!$A$4:$A$4,'[1]DATOS PBI Artículos'!$Y$4:$Y$4),[1]CRITERIOS!$P$79:$P$123,[1]CRITERIOS!$S$79:$S$123,),0)</f>
        <v>#N/A</v>
      </c>
      <c r="AC769" s="33" t="e">
        <f>IF(N769=0,"",(ROUNDUP((N769/2)/(_xlfn.XLOOKUP(A769,'[1]DATOS PBI Artículos'!$A$4:$A$4,'[1]DATOS PBI Artículos'!$Z$4:$Z$4)*_xlfn.XLOOKUP(_xlfn.XLOOKUP(A769,'[1]DATOS PBI Artículos'!$A$4:$A$4,'[1]DATOS PBI Artículos'!$Y$4:$Y$4),[1]CRITERIOS!$P$79:$P$123,[1]CRITERIOS!$S$79:$S$123)),0)*[1]CRITERIOS!$M$80*([1]CRITERIOS!$M$110/[1]CRITERIOS!$M$86)+(_xlfn.XLOOKUP(A769,'[1]DATOS PBI Artículos'!$A$4:$A$4,'[1]DATOS PBI Artículos'!$AA$4:$AA$4)*([1]CRITERIOS!$M$95+[1]CRITERIOS!$M$98)))/N769)</f>
        <v>#N/A</v>
      </c>
      <c r="AD769" s="33" t="e">
        <f>IF(N769=0,"",(ROUNDUP((N769/2)/(_xlfn.XLOOKUP(A769,'[1]DATOS PBI Artículos'!$A$4:$A$4,'[1]DATOS PBI Artículos'!$Z$4:$Z$4)*_xlfn.XLOOKUP(_xlfn.XLOOKUP(A769,'[1]DATOS PBI Artículos'!$A$4:$A$4,'[1]DATOS PBI Artículos'!$Y$4:$Y$4),[1]CRITERIOS!$P$79:$P$123,[1]CRITERIOS!$S$79:$S$123)),0)*[1]CRITERIOS!$M$80*([1]CRITERIOS!$M$89*[1]CRITERIOS!$M$92)+((_xlfn.XLOOKUP(A769,'[1]DATOS PBI Artículos'!$A$4:$A$4,'[1]DATOS PBI Artículos'!$AA$4:$AA$4)/2)*([1]CRITERIOS!$M$95+[1]CRITERIOS!$M$98)))/N769)</f>
        <v>#N/A</v>
      </c>
      <c r="AE769" s="39" t="e">
        <f>IF($R769="MTO","",
IF($H769=0,ROUNDUP(((_xlfn.XLOOKUP($A769,'[1]DATOS PBI Artículos'!$A:$A,'[1]DATOS PBI Artículos'!$AL:$AL))/(_xlfn.XLOOKUP($AF$1,[1]CRITERIOS!$S$16:$S$39,[1]CRITERIOS!$Y$16:$Y$39))*$J769+$Z769)/$G769,0)*$G769,
((_xlfn.XLOOKUP($A769,'[1]DATOS PBI Artículos'!$A:$A,'[1]DATOS PBI Artículos'!$AL:$AL))/(_xlfn.XLOOKUP($AF$1,[1]CRITERIOS!$S$16:$S$39,[1]CRITERIOS!$Y$16:$Y$39))*$J769+$Z769)))</f>
        <v>#N/A</v>
      </c>
      <c r="AG769" s="39" t="e">
        <f>IF($R769="MTO","",
IF($H769=0,ROUNDUP(((_xlfn.XLOOKUP($A769,'[1]DATOS PBI Artículos'!$A:$A,'[1]DATOS PBI Artículos'!$AM:$AM))/(_xlfn.XLOOKUP($AH$1,[1]CRITERIOS!$S$16:$S$39,[1]CRITERIOS!$Y$16:$Y$39))*$J769+$Z769)/$G769,0)*$G769,
((_xlfn.XLOOKUP($A769,'[1]DATOS PBI Artículos'!$A:$A,'[1]DATOS PBI Artículos'!$AM:$AM))/(_xlfn.XLOOKUP($AH$1,[1]CRITERIOS!$S$16:$S$39,[1]CRITERIOS!$Y$16:$Y$39))*$J769+$Z769)))</f>
        <v>#N/A</v>
      </c>
      <c r="AI769" s="39" t="e">
        <f>IF($R769="MTO","",
IF($H769=0,ROUNDUP(((_xlfn.XLOOKUP($A769,'[1]DATOS PBI Artículos'!$A:$A,'[1]DATOS PBI Artículos'!$AN:$AN))/(_xlfn.XLOOKUP($AJ$1,[1]CRITERIOS!$S$16:$S$39,[1]CRITERIOS!$Y$16:$Y$39))*$J769+$Z769)/$G769,0)*$G769,
((_xlfn.XLOOKUP($A769,'[1]DATOS PBI Artículos'!$A:$A,'[1]DATOS PBI Artículos'!$AN:$AN))/(_xlfn.XLOOKUP($AJ$1,[1]CRITERIOS!$S$16:$S$39,[1]CRITERIOS!$Y$16:$Y$39))*$J769+$Z769)))</f>
        <v>#N/A</v>
      </c>
      <c r="AK769" s="39" t="e">
        <f>IF($R769="MTO","",
IF($H769=0,ROUNDUP(((_xlfn.XLOOKUP($A769,'[1]DATOS PBI Artículos'!$A:$A,'[1]DATOS PBI Artículos'!$AO:$AO))/(_xlfn.XLOOKUP($AL$1,[1]CRITERIOS!$S$16:$S$39,[1]CRITERIOS!$Y$16:$Y$39))*$J769+$Z769)/$G769,0)*$G769,
((_xlfn.XLOOKUP($A769,'[1]DATOS PBI Artículos'!$A:$A,'[1]DATOS PBI Artículos'!$AO:$AO))/(_xlfn.XLOOKUP($AL$1,[1]CRITERIOS!$S$16:$S$39,[1]CRITERIOS!$Y$16:$Y$39))*$J769+$Z769)))</f>
        <v>#N/A</v>
      </c>
    </row>
    <row r="770" spans="1:37" ht="25.8" hidden="1" x14ac:dyDescent="0.4">
      <c r="A770" s="41"/>
      <c r="B770" s="33">
        <f>_xlfn.XLOOKUP($A770,'[1]DATOS PBI Artículos'!A:A,'[1]DATOS PBI Artículos'!B:B)</f>
        <v>0</v>
      </c>
      <c r="C770" s="33">
        <f>_xlfn.XLOOKUP($A770,'[1]DATOS PBI Artículos'!A:A,'[1]DATOS PBI Artículos'!C:C)</f>
        <v>0</v>
      </c>
      <c r="D770" s="33">
        <f>_xlfn.XLOOKUP(A770,'[1]DATOS PBI Artículos'!A:A,'[1]DATOS PBI Artículos'!T:T)</f>
        <v>0</v>
      </c>
      <c r="E770" s="34">
        <f>IF(_xlfn.XLOOKUP($A770,'[1]DATOS PBI Artículos'!A:A,'[1]DATOS PBI Artículos'!AK:AK)="",_xlfn.XLOOKUP($A770,'[1]DATOS PBI Artículos'!A:A,'[1]DATOS PBI Artículos'!AJ:AJ),_xlfn.XLOOKUP($A770,'[1]DATOS PBI Artículos'!A:A,'[1]DATOS PBI Artículos'!AK:AK))</f>
        <v>0</v>
      </c>
      <c r="F770" s="35">
        <f>_xlfn.XLOOKUP($A770,'[1]DATOS PBI Artículos'!A:A,'[1]DATOS PBI Artículos'!AP:AP)</f>
        <v>0</v>
      </c>
      <c r="G770" s="34">
        <f>_xlfn.XLOOKUP($A770,'[1]DATOS PBI Artículos'!A:A,'[1]DATOS PBI Artículos'!AR:AR)</f>
        <v>0</v>
      </c>
      <c r="H770" s="34">
        <f>_xlfn.XLOOKUP($A770,'[1]DATOS PBI Artículos'!A:A,'[1]DATOS PBI Artículos'!AT:AT)</f>
        <v>0</v>
      </c>
      <c r="I770" s="34">
        <f>_xlfn.XLOOKUP($A770,'[1]DATOS PBI Artículos'!A:A,'[1]DATOS PBI Artículos'!AS:AS)</f>
        <v>0</v>
      </c>
      <c r="J770" s="35">
        <f>IF(COUNTIF([1]CRITERIOS!$F$179:$F$199,$A770)&gt;=1,
 IF(O770&lt;&gt;"",
    (O770/_xlfn.XLOOKUP(CONCATENATE(A770,L770),[1]MÁQUINAS!A:A,[1]MÁQUINAS!D:D))/24,
    (N770/_xlfn.XLOOKUP(CONCATENATE(A770,L770),[1]MÁQUINAS!A:A,[1]MÁQUINAS!D:D))/24),
  _xlfn.XLOOKUP($A770,'[1]DATOS PBI Artículos'!A:A,'[1]DATOS PBI Artículos'!AU:AU))</f>
        <v>0</v>
      </c>
      <c r="K770" s="36">
        <f>_xlfn.XLOOKUP($A770,'[1]DATOS PBI Artículos'!A:A,'[1]DATOS PBI Artículos'!AV:AV)</f>
        <v>0</v>
      </c>
      <c r="L770" s="33">
        <f>_xlfn.XLOOKUP(A770,[1]MÁQUINAS!B:B,[1]MÁQUINAS!C:C)</f>
        <v>0</v>
      </c>
      <c r="M770" s="34">
        <f t="array" ref="M770">_xlfn.XLOOKUP(A770,'[1]DATOS PBI Artículos'!A:A,'[1]DATOS PBI Artículos'!AX:$AX)</f>
        <v>0</v>
      </c>
      <c r="N770" s="37" t="e">
        <f>IF(I770="DV",
E770,
IF(COUNTIF([1]CRITERIOS!$I$179:$I$199,$A770)&gt;=1,
_xlfn.XLOOKUP($A770,[1]CRITERIOS!$I$179:$I$199,[1]CRITERIOS!$J$179:$J$199),
IF(COUNTIF([1]CRITERIOS!$L$179:$L$199,$A770)&gt;=1,
_xlfn.CEILING.MATH(IF($M770&gt;$E770,
$E770,
IF($M770&lt;$E770/ROUNDDOWN([1]CRITERIOS!$M$16/_xlfn.XLOOKUP($C770,[1]CRITERIOS!$K$25:$K$42,[1]CRITERIOS!$M$25:$M$42),
1),
E770/ROUNDDOWN([1]CRITERIOS!$M$16/_xlfn.XLOOKUP($C770,[1]CRITERIOS!$K$25:$K$42,[1]CRITERIOS!$M$25:$M$42),
1),
$M770)),
_xlfn.XLOOKUP($A770,[1]CRITERIOS!$L$179:$L$200,[1]CRITERIOS!$M$179:$M$200)),
_xlfn.CEILING.MATH(IF($M770&gt;$E770,
$E770,
IF($M770&lt;$E770/ROUNDDOWN([1]CRITERIOS!$M$16/_xlfn.XLOOKUP($C770,[1]CRITERIOS!$K$25:$K$42,[1]CRITERIOS!$M$25:$M$42),
1),
E770/ROUNDDOWN([1]CRITERIOS!$M$16/_xlfn.XLOOKUP($C770,[1]CRITERIOS!$K$25:$K$42,[1]CRITERIOS!$M$25:$M$42),
1),
$M770)),_xlfn.XLOOKUP(A770,'[1]DATOS PBI Artículos'!A:A,'[1]DATOS PBI Artículos'!Z:Z
)))))</f>
        <v>#N/A</v>
      </c>
      <c r="Q770" s="38" t="e">
        <f>IF(AND(O770="",N770=0),
0,
   IF(COUNTIF([1]CRITERIOS!$F$179:$F$199,$A770)&gt;=1,
   1,
   IF(R770="MTO",
      $D770,
      ROUNDUP(
                    IF(($E770-SUMIF('[1]DATOS PBI Artículos'!A:A,A770,'[1]DATOS PBI Artículos'!X:X)+($V770-_xlfn.XLOOKUP(A770,'[1]DATOS PBI Artículos'!A:A,'[1]DATOS PBI Artículos'!W:W)))&lt;0,
                    0,
                    IF(($E770-SUMIF('[1]DATOS PBI Artículos'!A:A,A770,'[1]DATOS PBI Artículos'!X:X)+$V770-_xlfn.XLOOKUP($A770,'[1]DATOS PBI Artículos'!A:A,'[1]DATOS PBI Artículos'!W:W))/IF($O770="",$N770,$O770)&gt;ROUNDUP([1]CRITERIOS!$M$16/(IF(COUNTIF([1]CRITERIOS!$BG$11:$BG$201,L770)&gt;=1,_xlfn.XLOOKUP($C770,[1]CRITERIOS!$K$25:$K$42,[1]CRITERIOS!$M$25:$M$42),_xlfn.XLOOKUP($C770,[1]CRITERIOS!$K$25:$K$42,[1]CRITERIOS!$M$25:$M$42))),0),
                    ROUNDUP([1]CRITERIOS!$M$16/(IF(COUNTIF([1]CRITERIOS!$BG$11:$BG$201,$L770)&gt;=1,_xlfn.XLOOKUP($C770,[1]CRITERIOS!$K$25:$K$42,[1]CRITERIOS!$M$25:$M$42),_xlfn.XLOOKUP($C770,[1]CRITERIOS!$K$25:$K$42,[1]CRITERIOS!$M$25:$M$42))),0),
                    (E770+V770-SUMIF('[1]DATOS PBI Artículos'!A:A,A770,'[1]DATOS PBI Artículos'!X:X)-_xlfn.XLOOKUP(A770,'[1]DATOS PBI Artículos'!A:A,'[1]DATOS PBI Artículos'!W:W))/IF($O770="",$N770,$O770))),0))))</f>
        <v>#N/A</v>
      </c>
      <c r="R770" s="33" t="e">
        <f>IF(U770&lt;&gt;"",U770,IF(F770="DV","MTO",IF(N770=0,"MTO",_xlfn.XLOOKUP(CONCATENATE(S770,T770),[1]CRITERIOS!$K$160:$K$168,[1]CRITERIOS!$N$160:$N$168))))</f>
        <v>#N/A</v>
      </c>
      <c r="S770" s="33" t="e">
        <f>IF(G770="DV","MTO",IF(N770=0,"MTO",IF(OR(AND(N770=0,O770=""),IF(O770="",G770/N770,G770/O770)&gt;[1]CRITERIOS!$G$163),"MTO",IF(IF(O770="",G770/N770,G770/O770)&lt;[1]CRITERIOS!$H$161,"MTS","MTOS"))))</f>
        <v>#N/A</v>
      </c>
      <c r="T770" s="33" t="e">
        <f>IF(F770="DV","MTO",IF(OR(AND($N770=0,O770=""),$F770/$J770&gt;[1]CRITERIOS!$G$170,$F770="DV"),"MTO",IF($F770/$J770&lt;[1]CRITERIOS!$H$168,"MTS","MTOS")))</f>
        <v>#N/A</v>
      </c>
      <c r="V770" s="34" t="e">
        <f t="shared" si="37"/>
        <v>#N/A</v>
      </c>
      <c r="X770" s="34" t="e">
        <f t="shared" si="35"/>
        <v>#N/A</v>
      </c>
      <c r="Y770" s="34" t="e">
        <f t="shared" si="36"/>
        <v>#N/A</v>
      </c>
      <c r="Z770" s="34" t="e">
        <f>IF($R770="MTO",
0,
($H770+$K770*($E770/[1]CRITERIOS!$M$16))/[1]CRITERIOS!$X$48)</f>
        <v>#N/A</v>
      </c>
      <c r="AA770" s="34" t="e">
        <f>ROUNDUP(($Y770/_xlfn.XLOOKUP($A770,'[1]DATOS PBI Artículos'!$A$4:$A$4,'[1]DATOS PBI Artículos'!$Z$4:$Z$4))/_xlfn.XLOOKUP(_xlfn.XLOOKUP($A770,'[1]DATOS PBI Artículos'!$A$4:$A$4,'[1]DATOS PBI Artículos'!$Y$4:$Y$4),[1]CRITERIOS!$P$79:$P$123,[1]CRITERIOS!$S$79:$S$123,),0)</f>
        <v>#N/A</v>
      </c>
      <c r="AC770" s="33" t="e">
        <f>IF(N770=0,"",(ROUNDUP((N770/2)/(_xlfn.XLOOKUP(A770,'[1]DATOS PBI Artículos'!$A$4:$A$4,'[1]DATOS PBI Artículos'!$Z$4:$Z$4)*_xlfn.XLOOKUP(_xlfn.XLOOKUP(A770,'[1]DATOS PBI Artículos'!$A$4:$A$4,'[1]DATOS PBI Artículos'!$Y$4:$Y$4),[1]CRITERIOS!$P$79:$P$123,[1]CRITERIOS!$S$79:$S$123)),0)*[1]CRITERIOS!$M$80*([1]CRITERIOS!$M$110/[1]CRITERIOS!$M$86)+(_xlfn.XLOOKUP(A770,'[1]DATOS PBI Artículos'!$A$4:$A$4,'[1]DATOS PBI Artículos'!$AA$4:$AA$4)*([1]CRITERIOS!$M$95+[1]CRITERIOS!$M$98)))/N770)</f>
        <v>#N/A</v>
      </c>
      <c r="AD770" s="33" t="e">
        <f>IF(N770=0,"",(ROUNDUP((N770/2)/(_xlfn.XLOOKUP(A770,'[1]DATOS PBI Artículos'!$A$4:$A$4,'[1]DATOS PBI Artículos'!$Z$4:$Z$4)*_xlfn.XLOOKUP(_xlfn.XLOOKUP(A770,'[1]DATOS PBI Artículos'!$A$4:$A$4,'[1]DATOS PBI Artículos'!$Y$4:$Y$4),[1]CRITERIOS!$P$79:$P$123,[1]CRITERIOS!$S$79:$S$123)),0)*[1]CRITERIOS!$M$80*([1]CRITERIOS!$M$89*[1]CRITERIOS!$M$92)+((_xlfn.XLOOKUP(A770,'[1]DATOS PBI Artículos'!$A$4:$A$4,'[1]DATOS PBI Artículos'!$AA$4:$AA$4)/2)*([1]CRITERIOS!$M$95+[1]CRITERIOS!$M$98)))/N770)</f>
        <v>#N/A</v>
      </c>
      <c r="AE770" s="39" t="e">
        <f>IF($R770="MTO","",
IF($H770=0,ROUNDUP(((_xlfn.XLOOKUP($A770,'[1]DATOS PBI Artículos'!$A:$A,'[1]DATOS PBI Artículos'!$AL:$AL))/(_xlfn.XLOOKUP($AF$1,[1]CRITERIOS!$S$16:$S$39,[1]CRITERIOS!$Y$16:$Y$39))*$J770+$Z770)/$G770,0)*$G770,
((_xlfn.XLOOKUP($A770,'[1]DATOS PBI Artículos'!$A:$A,'[1]DATOS PBI Artículos'!$AL:$AL))/(_xlfn.XLOOKUP($AF$1,[1]CRITERIOS!$S$16:$S$39,[1]CRITERIOS!$Y$16:$Y$39))*$J770+$Z770)))</f>
        <v>#N/A</v>
      </c>
      <c r="AG770" s="39" t="e">
        <f>IF($R770="MTO","",
IF($H770=0,ROUNDUP(((_xlfn.XLOOKUP($A770,'[1]DATOS PBI Artículos'!$A:$A,'[1]DATOS PBI Artículos'!$AM:$AM))/(_xlfn.XLOOKUP($AH$1,[1]CRITERIOS!$S$16:$S$39,[1]CRITERIOS!$Y$16:$Y$39))*$J770+$Z770)/$G770,0)*$G770,
((_xlfn.XLOOKUP($A770,'[1]DATOS PBI Artículos'!$A:$A,'[1]DATOS PBI Artículos'!$AM:$AM))/(_xlfn.XLOOKUP($AH$1,[1]CRITERIOS!$S$16:$S$39,[1]CRITERIOS!$Y$16:$Y$39))*$J770+$Z770)))</f>
        <v>#N/A</v>
      </c>
      <c r="AI770" s="39" t="e">
        <f>IF($R770="MTO","",
IF($H770=0,ROUNDUP(((_xlfn.XLOOKUP($A770,'[1]DATOS PBI Artículos'!$A:$A,'[1]DATOS PBI Artículos'!$AN:$AN))/(_xlfn.XLOOKUP($AJ$1,[1]CRITERIOS!$S$16:$S$39,[1]CRITERIOS!$Y$16:$Y$39))*$J770+$Z770)/$G770,0)*$G770,
((_xlfn.XLOOKUP($A770,'[1]DATOS PBI Artículos'!$A:$A,'[1]DATOS PBI Artículos'!$AN:$AN))/(_xlfn.XLOOKUP($AJ$1,[1]CRITERIOS!$S$16:$S$39,[1]CRITERIOS!$Y$16:$Y$39))*$J770+$Z770)))</f>
        <v>#N/A</v>
      </c>
      <c r="AK770" s="39" t="e">
        <f>IF($R770="MTO","",
IF($H770=0,ROUNDUP(((_xlfn.XLOOKUP($A770,'[1]DATOS PBI Artículos'!$A:$A,'[1]DATOS PBI Artículos'!$AO:$AO))/(_xlfn.XLOOKUP($AL$1,[1]CRITERIOS!$S$16:$S$39,[1]CRITERIOS!$Y$16:$Y$39))*$J770+$Z770)/$G770,0)*$G770,
((_xlfn.XLOOKUP($A770,'[1]DATOS PBI Artículos'!$A:$A,'[1]DATOS PBI Artículos'!$AO:$AO))/(_xlfn.XLOOKUP($AL$1,[1]CRITERIOS!$S$16:$S$39,[1]CRITERIOS!$Y$16:$Y$39))*$J770+$Z770)))</f>
        <v>#N/A</v>
      </c>
    </row>
    <row r="771" spans="1:37" ht="25.8" hidden="1" x14ac:dyDescent="0.4">
      <c r="A771" s="41"/>
      <c r="B771" s="33">
        <f>_xlfn.XLOOKUP($A771,'[1]DATOS PBI Artículos'!A:A,'[1]DATOS PBI Artículos'!B:B)</f>
        <v>0</v>
      </c>
      <c r="C771" s="33">
        <f>_xlfn.XLOOKUP($A771,'[1]DATOS PBI Artículos'!A:A,'[1]DATOS PBI Artículos'!C:C)</f>
        <v>0</v>
      </c>
      <c r="D771" s="33">
        <f>_xlfn.XLOOKUP(A771,'[1]DATOS PBI Artículos'!A:A,'[1]DATOS PBI Artículos'!T:T)</f>
        <v>0</v>
      </c>
      <c r="E771" s="34">
        <f>IF(_xlfn.XLOOKUP($A771,'[1]DATOS PBI Artículos'!A:A,'[1]DATOS PBI Artículos'!AK:AK)="",_xlfn.XLOOKUP($A771,'[1]DATOS PBI Artículos'!A:A,'[1]DATOS PBI Artículos'!AJ:AJ),_xlfn.XLOOKUP($A771,'[1]DATOS PBI Artículos'!A:A,'[1]DATOS PBI Artículos'!AK:AK))</f>
        <v>0</v>
      </c>
      <c r="F771" s="35">
        <f>_xlfn.XLOOKUP($A771,'[1]DATOS PBI Artículos'!A:A,'[1]DATOS PBI Artículos'!AP:AP)</f>
        <v>0</v>
      </c>
      <c r="G771" s="34">
        <f>_xlfn.XLOOKUP($A771,'[1]DATOS PBI Artículos'!A:A,'[1]DATOS PBI Artículos'!AR:AR)</f>
        <v>0</v>
      </c>
      <c r="H771" s="34">
        <f>_xlfn.XLOOKUP($A771,'[1]DATOS PBI Artículos'!A:A,'[1]DATOS PBI Artículos'!AT:AT)</f>
        <v>0</v>
      </c>
      <c r="I771" s="34">
        <f>_xlfn.XLOOKUP($A771,'[1]DATOS PBI Artículos'!A:A,'[1]DATOS PBI Artículos'!AS:AS)</f>
        <v>0</v>
      </c>
      <c r="J771" s="35">
        <f>IF(COUNTIF([1]CRITERIOS!$F$179:$F$199,$A771)&gt;=1,
 IF(O771&lt;&gt;"",
    (O771/_xlfn.XLOOKUP(CONCATENATE(A771,L771),[1]MÁQUINAS!A:A,[1]MÁQUINAS!D:D))/24,
    (N771/_xlfn.XLOOKUP(CONCATENATE(A771,L771),[1]MÁQUINAS!A:A,[1]MÁQUINAS!D:D))/24),
  _xlfn.XLOOKUP($A771,'[1]DATOS PBI Artículos'!A:A,'[1]DATOS PBI Artículos'!AU:AU))</f>
        <v>0</v>
      </c>
      <c r="K771" s="36">
        <f>_xlfn.XLOOKUP($A771,'[1]DATOS PBI Artículos'!A:A,'[1]DATOS PBI Artículos'!AV:AV)</f>
        <v>0</v>
      </c>
      <c r="L771" s="33">
        <f>_xlfn.XLOOKUP(A771,[1]MÁQUINAS!B:B,[1]MÁQUINAS!C:C)</f>
        <v>0</v>
      </c>
      <c r="M771" s="34">
        <f t="array" ref="M771">_xlfn.XLOOKUP(A771,'[1]DATOS PBI Artículos'!A:A,'[1]DATOS PBI Artículos'!AX:$AX)</f>
        <v>0</v>
      </c>
      <c r="N771" s="37" t="e">
        <f>IF(I771="DV",
E771,
IF(COUNTIF([1]CRITERIOS!$I$179:$I$199,$A771)&gt;=1,
_xlfn.XLOOKUP($A771,[1]CRITERIOS!$I$179:$I$199,[1]CRITERIOS!$J$179:$J$199),
IF(COUNTIF([1]CRITERIOS!$L$179:$L$199,$A771)&gt;=1,
_xlfn.CEILING.MATH(IF($M771&gt;$E771,
$E771,
IF($M771&lt;$E771/ROUNDDOWN([1]CRITERIOS!$M$16/_xlfn.XLOOKUP($C771,[1]CRITERIOS!$K$25:$K$42,[1]CRITERIOS!$M$25:$M$42),
1),
E771/ROUNDDOWN([1]CRITERIOS!$M$16/_xlfn.XLOOKUP($C771,[1]CRITERIOS!$K$25:$K$42,[1]CRITERIOS!$M$25:$M$42),
1),
$M771)),
_xlfn.XLOOKUP($A771,[1]CRITERIOS!$L$179:$L$200,[1]CRITERIOS!$M$179:$M$200)),
_xlfn.CEILING.MATH(IF($M771&gt;$E771,
$E771,
IF($M771&lt;$E771/ROUNDDOWN([1]CRITERIOS!$M$16/_xlfn.XLOOKUP($C771,[1]CRITERIOS!$K$25:$K$42,[1]CRITERIOS!$M$25:$M$42),
1),
E771/ROUNDDOWN([1]CRITERIOS!$M$16/_xlfn.XLOOKUP($C771,[1]CRITERIOS!$K$25:$K$42,[1]CRITERIOS!$M$25:$M$42),
1),
$M771)),_xlfn.XLOOKUP(A771,'[1]DATOS PBI Artículos'!A:A,'[1]DATOS PBI Artículos'!Z:Z
)))))</f>
        <v>#N/A</v>
      </c>
      <c r="Q771" s="38" t="e">
        <f>IF(AND(O771="",N771=0),
0,
   IF(COUNTIF([1]CRITERIOS!$F$179:$F$199,$A771)&gt;=1,
   1,
   IF(R771="MTO",
      $D771,
      ROUNDUP(
                    IF(($E771-SUMIF('[1]DATOS PBI Artículos'!A:A,A771,'[1]DATOS PBI Artículos'!X:X)+($V771-_xlfn.XLOOKUP(A771,'[1]DATOS PBI Artículos'!A:A,'[1]DATOS PBI Artículos'!W:W)))&lt;0,
                    0,
                    IF(($E771-SUMIF('[1]DATOS PBI Artículos'!A:A,A771,'[1]DATOS PBI Artículos'!X:X)+$V771-_xlfn.XLOOKUP($A771,'[1]DATOS PBI Artículos'!A:A,'[1]DATOS PBI Artículos'!W:W))/IF($O771="",$N771,$O771)&gt;ROUNDUP([1]CRITERIOS!$M$16/(IF(COUNTIF([1]CRITERIOS!$BG$11:$BG$201,L771)&gt;=1,_xlfn.XLOOKUP($C771,[1]CRITERIOS!$K$25:$K$42,[1]CRITERIOS!$M$25:$M$42),_xlfn.XLOOKUP($C771,[1]CRITERIOS!$K$25:$K$42,[1]CRITERIOS!$M$25:$M$42))),0),
                    ROUNDUP([1]CRITERIOS!$M$16/(IF(COUNTIF([1]CRITERIOS!$BG$11:$BG$201,$L771)&gt;=1,_xlfn.XLOOKUP($C771,[1]CRITERIOS!$K$25:$K$42,[1]CRITERIOS!$M$25:$M$42),_xlfn.XLOOKUP($C771,[1]CRITERIOS!$K$25:$K$42,[1]CRITERIOS!$M$25:$M$42))),0),
                    (E771+V771-SUMIF('[1]DATOS PBI Artículos'!A:A,A771,'[1]DATOS PBI Artículos'!X:X)-_xlfn.XLOOKUP(A771,'[1]DATOS PBI Artículos'!A:A,'[1]DATOS PBI Artículos'!W:W))/IF($O771="",$N771,$O771))),0))))</f>
        <v>#N/A</v>
      </c>
      <c r="R771" s="33" t="e">
        <f>IF(U771&lt;&gt;"",U771,IF(F771="DV","MTO",IF(N771=0,"MTO",_xlfn.XLOOKUP(CONCATENATE(S771,T771),[1]CRITERIOS!$K$160:$K$168,[1]CRITERIOS!$N$160:$N$168))))</f>
        <v>#N/A</v>
      </c>
      <c r="S771" s="33" t="e">
        <f>IF(G771="DV","MTO",IF(N771=0,"MTO",IF(OR(AND(N771=0,O771=""),IF(O771="",G771/N771,G771/O771)&gt;[1]CRITERIOS!$G$163),"MTO",IF(IF(O771="",G771/N771,G771/O771)&lt;[1]CRITERIOS!$H$161,"MTS","MTOS"))))</f>
        <v>#N/A</v>
      </c>
      <c r="T771" s="33" t="e">
        <f>IF(F771="DV","MTO",IF(OR(AND($N771=0,O771=""),$F771/$J771&gt;[1]CRITERIOS!$G$170,$F771="DV"),"MTO",IF($F771/$J771&lt;[1]CRITERIOS!$H$168,"MTS","MTOS")))</f>
        <v>#N/A</v>
      </c>
      <c r="V771" s="34" t="e">
        <f t="shared" si="37"/>
        <v>#N/A</v>
      </c>
      <c r="X771" s="34" t="e">
        <f t="shared" ref="X771:X835" si="38">IF(R771="MTO",0,V771+N771)</f>
        <v>#N/A</v>
      </c>
      <c r="Y771" s="34" t="e">
        <f t="shared" ref="Y771:Y834" si="39">IF(R771="MTO",0,Z771+(N771/2))</f>
        <v>#N/A</v>
      </c>
      <c r="Z771" s="34" t="e">
        <f>IF($R771="MTO",
0,
($H771+$K771*($E771/[1]CRITERIOS!$M$16))/[1]CRITERIOS!$X$48)</f>
        <v>#N/A</v>
      </c>
      <c r="AA771" s="34" t="e">
        <f>ROUNDUP(($Y771/_xlfn.XLOOKUP($A771,'[1]DATOS PBI Artículos'!$A$4:$A$4,'[1]DATOS PBI Artículos'!$Z$4:$Z$4))/_xlfn.XLOOKUP(_xlfn.XLOOKUP($A771,'[1]DATOS PBI Artículos'!$A$4:$A$4,'[1]DATOS PBI Artículos'!$Y$4:$Y$4),[1]CRITERIOS!$P$79:$P$123,[1]CRITERIOS!$S$79:$S$123,),0)</f>
        <v>#N/A</v>
      </c>
      <c r="AC771" s="33" t="e">
        <f>IF(N771=0,"",(ROUNDUP((N771/2)/(_xlfn.XLOOKUP(A771,'[1]DATOS PBI Artículos'!$A$4:$A$4,'[1]DATOS PBI Artículos'!$Z$4:$Z$4)*_xlfn.XLOOKUP(_xlfn.XLOOKUP(A771,'[1]DATOS PBI Artículos'!$A$4:$A$4,'[1]DATOS PBI Artículos'!$Y$4:$Y$4),[1]CRITERIOS!$P$79:$P$123,[1]CRITERIOS!$S$79:$S$123)),0)*[1]CRITERIOS!$M$80*([1]CRITERIOS!$M$110/[1]CRITERIOS!$M$86)+(_xlfn.XLOOKUP(A771,'[1]DATOS PBI Artículos'!$A$4:$A$4,'[1]DATOS PBI Artículos'!$AA$4:$AA$4)*([1]CRITERIOS!$M$95+[1]CRITERIOS!$M$98)))/N771)</f>
        <v>#N/A</v>
      </c>
      <c r="AD771" s="33" t="e">
        <f>IF(N771=0,"",(ROUNDUP((N771/2)/(_xlfn.XLOOKUP(A771,'[1]DATOS PBI Artículos'!$A$4:$A$4,'[1]DATOS PBI Artículos'!$Z$4:$Z$4)*_xlfn.XLOOKUP(_xlfn.XLOOKUP(A771,'[1]DATOS PBI Artículos'!$A$4:$A$4,'[1]DATOS PBI Artículos'!$Y$4:$Y$4),[1]CRITERIOS!$P$79:$P$123,[1]CRITERIOS!$S$79:$S$123)),0)*[1]CRITERIOS!$M$80*([1]CRITERIOS!$M$89*[1]CRITERIOS!$M$92)+((_xlfn.XLOOKUP(A771,'[1]DATOS PBI Artículos'!$A$4:$A$4,'[1]DATOS PBI Artículos'!$AA$4:$AA$4)/2)*([1]CRITERIOS!$M$95+[1]CRITERIOS!$M$98)))/N771)</f>
        <v>#N/A</v>
      </c>
      <c r="AE771" s="39" t="e">
        <f>IF($R771="MTO","",
IF($H771=0,ROUNDUP(((_xlfn.XLOOKUP($A771,'[1]DATOS PBI Artículos'!$A:$A,'[1]DATOS PBI Artículos'!$AL:$AL))/(_xlfn.XLOOKUP($AF$1,[1]CRITERIOS!$S$16:$S$39,[1]CRITERIOS!$Y$16:$Y$39))*$J771+$Z771)/$G771,0)*$G771,
((_xlfn.XLOOKUP($A771,'[1]DATOS PBI Artículos'!$A:$A,'[1]DATOS PBI Artículos'!$AL:$AL))/(_xlfn.XLOOKUP($AF$1,[1]CRITERIOS!$S$16:$S$39,[1]CRITERIOS!$Y$16:$Y$39))*$J771+$Z771)))</f>
        <v>#N/A</v>
      </c>
      <c r="AG771" s="39" t="e">
        <f>IF($R771="MTO","",
IF($H771=0,ROUNDUP(((_xlfn.XLOOKUP($A771,'[1]DATOS PBI Artículos'!$A:$A,'[1]DATOS PBI Artículos'!$AM:$AM))/(_xlfn.XLOOKUP($AH$1,[1]CRITERIOS!$S$16:$S$39,[1]CRITERIOS!$Y$16:$Y$39))*$J771+$Z771)/$G771,0)*$G771,
((_xlfn.XLOOKUP($A771,'[1]DATOS PBI Artículos'!$A:$A,'[1]DATOS PBI Artículos'!$AM:$AM))/(_xlfn.XLOOKUP($AH$1,[1]CRITERIOS!$S$16:$S$39,[1]CRITERIOS!$Y$16:$Y$39))*$J771+$Z771)))</f>
        <v>#N/A</v>
      </c>
      <c r="AI771" s="39" t="e">
        <f>IF($R771="MTO","",
IF($H771=0,ROUNDUP(((_xlfn.XLOOKUP($A771,'[1]DATOS PBI Artículos'!$A:$A,'[1]DATOS PBI Artículos'!$AN:$AN))/(_xlfn.XLOOKUP($AJ$1,[1]CRITERIOS!$S$16:$S$39,[1]CRITERIOS!$Y$16:$Y$39))*$J771+$Z771)/$G771,0)*$G771,
((_xlfn.XLOOKUP($A771,'[1]DATOS PBI Artículos'!$A:$A,'[1]DATOS PBI Artículos'!$AN:$AN))/(_xlfn.XLOOKUP($AJ$1,[1]CRITERIOS!$S$16:$S$39,[1]CRITERIOS!$Y$16:$Y$39))*$J771+$Z771)))</f>
        <v>#N/A</v>
      </c>
      <c r="AK771" s="39" t="e">
        <f>IF($R771="MTO","",
IF($H771=0,ROUNDUP(((_xlfn.XLOOKUP($A771,'[1]DATOS PBI Artículos'!$A:$A,'[1]DATOS PBI Artículos'!$AO:$AO))/(_xlfn.XLOOKUP($AL$1,[1]CRITERIOS!$S$16:$S$39,[1]CRITERIOS!$Y$16:$Y$39))*$J771+$Z771)/$G771,0)*$G771,
((_xlfn.XLOOKUP($A771,'[1]DATOS PBI Artículos'!$A:$A,'[1]DATOS PBI Artículos'!$AO:$AO))/(_xlfn.XLOOKUP($AL$1,[1]CRITERIOS!$S$16:$S$39,[1]CRITERIOS!$Y$16:$Y$39))*$J771+$Z771)))</f>
        <v>#N/A</v>
      </c>
    </row>
    <row r="772" spans="1:37" ht="25.8" hidden="1" x14ac:dyDescent="0.4">
      <c r="A772" s="41"/>
      <c r="B772" s="33">
        <f>_xlfn.XLOOKUP($A772,'[1]DATOS PBI Artículos'!A:A,'[1]DATOS PBI Artículos'!B:B)</f>
        <v>0</v>
      </c>
      <c r="C772" s="33">
        <f>_xlfn.XLOOKUP($A772,'[1]DATOS PBI Artículos'!A:A,'[1]DATOS PBI Artículos'!C:C)</f>
        <v>0</v>
      </c>
      <c r="D772" s="33">
        <f>_xlfn.XLOOKUP(A772,'[1]DATOS PBI Artículos'!A:A,'[1]DATOS PBI Artículos'!T:T)</f>
        <v>0</v>
      </c>
      <c r="E772" s="34">
        <f>IF(_xlfn.XLOOKUP($A772,'[1]DATOS PBI Artículos'!A:A,'[1]DATOS PBI Artículos'!AK:AK)="",_xlfn.XLOOKUP($A772,'[1]DATOS PBI Artículos'!A:A,'[1]DATOS PBI Artículos'!AJ:AJ),_xlfn.XLOOKUP($A772,'[1]DATOS PBI Artículos'!A:A,'[1]DATOS PBI Artículos'!AK:AK))</f>
        <v>0</v>
      </c>
      <c r="F772" s="35">
        <f>_xlfn.XLOOKUP($A772,'[1]DATOS PBI Artículos'!A:A,'[1]DATOS PBI Artículos'!AP:AP)</f>
        <v>0</v>
      </c>
      <c r="G772" s="34">
        <f>_xlfn.XLOOKUP($A772,'[1]DATOS PBI Artículos'!A:A,'[1]DATOS PBI Artículos'!AR:AR)</f>
        <v>0</v>
      </c>
      <c r="H772" s="34">
        <f>_xlfn.XLOOKUP($A772,'[1]DATOS PBI Artículos'!A:A,'[1]DATOS PBI Artículos'!AT:AT)</f>
        <v>0</v>
      </c>
      <c r="I772" s="34">
        <f>_xlfn.XLOOKUP($A772,'[1]DATOS PBI Artículos'!A:A,'[1]DATOS PBI Artículos'!AS:AS)</f>
        <v>0</v>
      </c>
      <c r="J772" s="35">
        <f>IF(COUNTIF([1]CRITERIOS!$F$179:$F$199,$A772)&gt;=1,
 IF(O772&lt;&gt;"",
    (O772/_xlfn.XLOOKUP(CONCATENATE(A772,L772),[1]MÁQUINAS!A:A,[1]MÁQUINAS!D:D))/24,
    (N772/_xlfn.XLOOKUP(CONCATENATE(A772,L772),[1]MÁQUINAS!A:A,[1]MÁQUINAS!D:D))/24),
  _xlfn.XLOOKUP($A772,'[1]DATOS PBI Artículos'!A:A,'[1]DATOS PBI Artículos'!AU:AU))</f>
        <v>0</v>
      </c>
      <c r="K772" s="36">
        <f>_xlfn.XLOOKUP($A772,'[1]DATOS PBI Artículos'!A:A,'[1]DATOS PBI Artículos'!AV:AV)</f>
        <v>0</v>
      </c>
      <c r="L772" s="33">
        <f>_xlfn.XLOOKUP(A772,[1]MÁQUINAS!B:B,[1]MÁQUINAS!C:C)</f>
        <v>0</v>
      </c>
      <c r="M772" s="34">
        <f t="array" ref="M772">_xlfn.XLOOKUP(A772,'[1]DATOS PBI Artículos'!A:A,'[1]DATOS PBI Artículos'!AX:$AX)</f>
        <v>0</v>
      </c>
      <c r="N772" s="37" t="e">
        <f>IF(I772="DV",
E772,
IF(COUNTIF([1]CRITERIOS!$I$179:$I$199,$A772)&gt;=1,
_xlfn.XLOOKUP($A772,[1]CRITERIOS!$I$179:$I$199,[1]CRITERIOS!$J$179:$J$199),
IF(COUNTIF([1]CRITERIOS!$L$179:$L$199,$A772)&gt;=1,
_xlfn.CEILING.MATH(IF($M772&gt;$E772,
$E772,
IF($M772&lt;$E772/ROUNDDOWN([1]CRITERIOS!$M$16/_xlfn.XLOOKUP($C772,[1]CRITERIOS!$K$25:$K$42,[1]CRITERIOS!$M$25:$M$42),
1),
E772/ROUNDDOWN([1]CRITERIOS!$M$16/_xlfn.XLOOKUP($C772,[1]CRITERIOS!$K$25:$K$42,[1]CRITERIOS!$M$25:$M$42),
1),
$M772)),
_xlfn.XLOOKUP($A772,[1]CRITERIOS!$L$179:$L$200,[1]CRITERIOS!$M$179:$M$200)),
_xlfn.CEILING.MATH(IF($M772&gt;$E772,
$E772,
IF($M772&lt;$E772/ROUNDDOWN([1]CRITERIOS!$M$16/_xlfn.XLOOKUP($C772,[1]CRITERIOS!$K$25:$K$42,[1]CRITERIOS!$M$25:$M$42),
1),
E772/ROUNDDOWN([1]CRITERIOS!$M$16/_xlfn.XLOOKUP($C772,[1]CRITERIOS!$K$25:$K$42,[1]CRITERIOS!$M$25:$M$42),
1),
$M772)),_xlfn.XLOOKUP(A772,'[1]DATOS PBI Artículos'!A:A,'[1]DATOS PBI Artículos'!Z:Z
)))))</f>
        <v>#N/A</v>
      </c>
      <c r="Q772" s="38" t="e">
        <f>IF(AND(O772="",N772=0),
0,
   IF(COUNTIF([1]CRITERIOS!$F$179:$F$199,$A772)&gt;=1,
   1,
   IF(R772="MTO",
      $D772,
      ROUNDUP(
                    IF(($E772-SUMIF('[1]DATOS PBI Artículos'!A:A,A772,'[1]DATOS PBI Artículos'!X:X)+($V772-_xlfn.XLOOKUP(A772,'[1]DATOS PBI Artículos'!A:A,'[1]DATOS PBI Artículos'!W:W)))&lt;0,
                    0,
                    IF(($E772-SUMIF('[1]DATOS PBI Artículos'!A:A,A772,'[1]DATOS PBI Artículos'!X:X)+$V772-_xlfn.XLOOKUP($A772,'[1]DATOS PBI Artículos'!A:A,'[1]DATOS PBI Artículos'!W:W))/IF($O772="",$N772,$O772)&gt;ROUNDUP([1]CRITERIOS!$M$16/(IF(COUNTIF([1]CRITERIOS!$BG$11:$BG$201,L772)&gt;=1,_xlfn.XLOOKUP($C772,[1]CRITERIOS!$K$25:$K$42,[1]CRITERIOS!$M$25:$M$42),_xlfn.XLOOKUP($C772,[1]CRITERIOS!$K$25:$K$42,[1]CRITERIOS!$M$25:$M$42))),0),
                    ROUNDUP([1]CRITERIOS!$M$16/(IF(COUNTIF([1]CRITERIOS!$BG$11:$BG$201,$L772)&gt;=1,_xlfn.XLOOKUP($C772,[1]CRITERIOS!$K$25:$K$42,[1]CRITERIOS!$M$25:$M$42),_xlfn.XLOOKUP($C772,[1]CRITERIOS!$K$25:$K$42,[1]CRITERIOS!$M$25:$M$42))),0),
                    (E772+V772-SUMIF('[1]DATOS PBI Artículos'!A:A,A772,'[1]DATOS PBI Artículos'!X:X)-_xlfn.XLOOKUP(A772,'[1]DATOS PBI Artículos'!A:A,'[1]DATOS PBI Artículos'!W:W))/IF($O772="",$N772,$O772))),0))))</f>
        <v>#N/A</v>
      </c>
      <c r="R772" s="33" t="e">
        <f>IF(U772&lt;&gt;"",U772,IF(F772="DV","MTO",IF(N772=0,"MTO",_xlfn.XLOOKUP(CONCATENATE(S772,T772),[1]CRITERIOS!$K$160:$K$168,[1]CRITERIOS!$N$160:$N$168))))</f>
        <v>#N/A</v>
      </c>
      <c r="S772" s="33" t="e">
        <f>IF(G772="DV","MTO",IF(N772=0,"MTO",IF(OR(AND(N772=0,O772=""),IF(O772="",G772/N772,G772/O772)&gt;[1]CRITERIOS!$G$163),"MTO",IF(IF(O772="",G772/N772,G772/O772)&lt;[1]CRITERIOS!$H$161,"MTS","MTOS"))))</f>
        <v>#N/A</v>
      </c>
      <c r="T772" s="33" t="e">
        <f>IF(F772="DV","MTO",IF(OR(AND($N772=0,O772=""),$F772/$J772&gt;[1]CRITERIOS!$G$170,$F772="DV"),"MTO",IF($F772/$J772&lt;[1]CRITERIOS!$H$168,"MTS","MTOS")))</f>
        <v>#N/A</v>
      </c>
      <c r="V772" s="34" t="e">
        <f t="shared" si="37"/>
        <v>#N/A</v>
      </c>
      <c r="X772" s="34" t="e">
        <f t="shared" si="38"/>
        <v>#N/A</v>
      </c>
      <c r="Y772" s="34" t="e">
        <f t="shared" si="39"/>
        <v>#N/A</v>
      </c>
      <c r="Z772" s="34" t="e">
        <f>IF($R772="MTO",
0,
($H772+$K772*($E772/[1]CRITERIOS!$M$16))/[1]CRITERIOS!$X$48)</f>
        <v>#N/A</v>
      </c>
      <c r="AA772" s="34" t="e">
        <f>ROUNDUP(($Y772/_xlfn.XLOOKUP($A772,'[1]DATOS PBI Artículos'!$A$4:$A$4,'[1]DATOS PBI Artículos'!$Z$4:$Z$4))/_xlfn.XLOOKUP(_xlfn.XLOOKUP($A772,'[1]DATOS PBI Artículos'!$A$4:$A$4,'[1]DATOS PBI Artículos'!$Y$4:$Y$4),[1]CRITERIOS!$P$79:$P$123,[1]CRITERIOS!$S$79:$S$123,),0)</f>
        <v>#N/A</v>
      </c>
      <c r="AC772" s="33" t="e">
        <f>IF(N772=0,"",(ROUNDUP((N772/2)/(_xlfn.XLOOKUP(A772,'[1]DATOS PBI Artículos'!$A$4:$A$4,'[1]DATOS PBI Artículos'!$Z$4:$Z$4)*_xlfn.XLOOKUP(_xlfn.XLOOKUP(A772,'[1]DATOS PBI Artículos'!$A$4:$A$4,'[1]DATOS PBI Artículos'!$Y$4:$Y$4),[1]CRITERIOS!$P$79:$P$123,[1]CRITERIOS!$S$79:$S$123)),0)*[1]CRITERIOS!$M$80*([1]CRITERIOS!$M$110/[1]CRITERIOS!$M$86)+(_xlfn.XLOOKUP(A772,'[1]DATOS PBI Artículos'!$A$4:$A$4,'[1]DATOS PBI Artículos'!$AA$4:$AA$4)*([1]CRITERIOS!$M$95+[1]CRITERIOS!$M$98)))/N772)</f>
        <v>#N/A</v>
      </c>
      <c r="AD772" s="33" t="e">
        <f>IF(N772=0,"",(ROUNDUP((N772/2)/(_xlfn.XLOOKUP(A772,'[1]DATOS PBI Artículos'!$A$4:$A$4,'[1]DATOS PBI Artículos'!$Z$4:$Z$4)*_xlfn.XLOOKUP(_xlfn.XLOOKUP(A772,'[1]DATOS PBI Artículos'!$A$4:$A$4,'[1]DATOS PBI Artículos'!$Y$4:$Y$4),[1]CRITERIOS!$P$79:$P$123,[1]CRITERIOS!$S$79:$S$123)),0)*[1]CRITERIOS!$M$80*([1]CRITERIOS!$M$89*[1]CRITERIOS!$M$92)+((_xlfn.XLOOKUP(A772,'[1]DATOS PBI Artículos'!$A$4:$A$4,'[1]DATOS PBI Artículos'!$AA$4:$AA$4)/2)*([1]CRITERIOS!$M$95+[1]CRITERIOS!$M$98)))/N772)</f>
        <v>#N/A</v>
      </c>
      <c r="AE772" s="39" t="e">
        <f>IF($R772="MTO","",
IF($H772=0,ROUNDUP(((_xlfn.XLOOKUP($A772,'[1]DATOS PBI Artículos'!$A:$A,'[1]DATOS PBI Artículos'!$AL:$AL))/(_xlfn.XLOOKUP($AF$1,[1]CRITERIOS!$S$16:$S$39,[1]CRITERIOS!$Y$16:$Y$39))*$J772+$Z772)/$G772,0)*$G772,
((_xlfn.XLOOKUP($A772,'[1]DATOS PBI Artículos'!$A:$A,'[1]DATOS PBI Artículos'!$AL:$AL))/(_xlfn.XLOOKUP($AF$1,[1]CRITERIOS!$S$16:$S$39,[1]CRITERIOS!$Y$16:$Y$39))*$J772+$Z772)))</f>
        <v>#N/A</v>
      </c>
      <c r="AG772" s="39" t="e">
        <f>IF($R772="MTO","",
IF($H772=0,ROUNDUP(((_xlfn.XLOOKUP($A772,'[1]DATOS PBI Artículos'!$A:$A,'[1]DATOS PBI Artículos'!$AM:$AM))/(_xlfn.XLOOKUP($AH$1,[1]CRITERIOS!$S$16:$S$39,[1]CRITERIOS!$Y$16:$Y$39))*$J772+$Z772)/$G772,0)*$G772,
((_xlfn.XLOOKUP($A772,'[1]DATOS PBI Artículos'!$A:$A,'[1]DATOS PBI Artículos'!$AM:$AM))/(_xlfn.XLOOKUP($AH$1,[1]CRITERIOS!$S$16:$S$39,[1]CRITERIOS!$Y$16:$Y$39))*$J772+$Z772)))</f>
        <v>#N/A</v>
      </c>
      <c r="AI772" s="39" t="e">
        <f>IF($R772="MTO","",
IF($H772=0,ROUNDUP(((_xlfn.XLOOKUP($A772,'[1]DATOS PBI Artículos'!$A:$A,'[1]DATOS PBI Artículos'!$AN:$AN))/(_xlfn.XLOOKUP($AJ$1,[1]CRITERIOS!$S$16:$S$39,[1]CRITERIOS!$Y$16:$Y$39))*$J772+$Z772)/$G772,0)*$G772,
((_xlfn.XLOOKUP($A772,'[1]DATOS PBI Artículos'!$A:$A,'[1]DATOS PBI Artículos'!$AN:$AN))/(_xlfn.XLOOKUP($AJ$1,[1]CRITERIOS!$S$16:$S$39,[1]CRITERIOS!$Y$16:$Y$39))*$J772+$Z772)))</f>
        <v>#N/A</v>
      </c>
      <c r="AK772" s="39" t="e">
        <f>IF($R772="MTO","",
IF($H772=0,ROUNDUP(((_xlfn.XLOOKUP($A772,'[1]DATOS PBI Artículos'!$A:$A,'[1]DATOS PBI Artículos'!$AO:$AO))/(_xlfn.XLOOKUP($AL$1,[1]CRITERIOS!$S$16:$S$39,[1]CRITERIOS!$Y$16:$Y$39))*$J772+$Z772)/$G772,0)*$G772,
((_xlfn.XLOOKUP($A772,'[1]DATOS PBI Artículos'!$A:$A,'[1]DATOS PBI Artículos'!$AO:$AO))/(_xlfn.XLOOKUP($AL$1,[1]CRITERIOS!$S$16:$S$39,[1]CRITERIOS!$Y$16:$Y$39))*$J772+$Z772)))</f>
        <v>#N/A</v>
      </c>
    </row>
    <row r="773" spans="1:37" ht="25.8" hidden="1" x14ac:dyDescent="0.4">
      <c r="A773" s="41"/>
      <c r="B773" s="33">
        <f>_xlfn.XLOOKUP($A773,'[1]DATOS PBI Artículos'!A:A,'[1]DATOS PBI Artículos'!B:B)</f>
        <v>0</v>
      </c>
      <c r="C773" s="33">
        <f>_xlfn.XLOOKUP($A773,'[1]DATOS PBI Artículos'!A:A,'[1]DATOS PBI Artículos'!C:C)</f>
        <v>0</v>
      </c>
      <c r="D773" s="33">
        <f>_xlfn.XLOOKUP(A773,'[1]DATOS PBI Artículos'!A:A,'[1]DATOS PBI Artículos'!T:T)</f>
        <v>0</v>
      </c>
      <c r="E773" s="34">
        <f>IF(_xlfn.XLOOKUP($A773,'[1]DATOS PBI Artículos'!A:A,'[1]DATOS PBI Artículos'!AK:AK)="",_xlfn.XLOOKUP($A773,'[1]DATOS PBI Artículos'!A:A,'[1]DATOS PBI Artículos'!AJ:AJ),_xlfn.XLOOKUP($A773,'[1]DATOS PBI Artículos'!A:A,'[1]DATOS PBI Artículos'!AK:AK))</f>
        <v>0</v>
      </c>
      <c r="F773" s="35">
        <f>_xlfn.XLOOKUP($A773,'[1]DATOS PBI Artículos'!A:A,'[1]DATOS PBI Artículos'!AP:AP)</f>
        <v>0</v>
      </c>
      <c r="G773" s="34">
        <f>_xlfn.XLOOKUP($A773,'[1]DATOS PBI Artículos'!A:A,'[1]DATOS PBI Artículos'!AR:AR)</f>
        <v>0</v>
      </c>
      <c r="H773" s="34">
        <f>_xlfn.XLOOKUP($A773,'[1]DATOS PBI Artículos'!A:A,'[1]DATOS PBI Artículos'!AT:AT)</f>
        <v>0</v>
      </c>
      <c r="I773" s="34">
        <f>_xlfn.XLOOKUP($A773,'[1]DATOS PBI Artículos'!A:A,'[1]DATOS PBI Artículos'!AS:AS)</f>
        <v>0</v>
      </c>
      <c r="J773" s="35">
        <f>IF(COUNTIF([1]CRITERIOS!$F$179:$F$199,$A773)&gt;=1,
 IF(O773&lt;&gt;"",
    (O773/_xlfn.XLOOKUP(CONCATENATE(A773,L773),[1]MÁQUINAS!A:A,[1]MÁQUINAS!D:D))/24,
    (N773/_xlfn.XLOOKUP(CONCATENATE(A773,L773),[1]MÁQUINAS!A:A,[1]MÁQUINAS!D:D))/24),
  _xlfn.XLOOKUP($A773,'[1]DATOS PBI Artículos'!A:A,'[1]DATOS PBI Artículos'!AU:AU))</f>
        <v>0</v>
      </c>
      <c r="K773" s="36">
        <f>_xlfn.XLOOKUP($A773,'[1]DATOS PBI Artículos'!A:A,'[1]DATOS PBI Artículos'!AV:AV)</f>
        <v>0</v>
      </c>
      <c r="L773" s="33">
        <f>_xlfn.XLOOKUP(A773,[1]MÁQUINAS!B:B,[1]MÁQUINAS!C:C)</f>
        <v>0</v>
      </c>
      <c r="M773" s="34">
        <f t="array" ref="M773">_xlfn.XLOOKUP(A773,'[1]DATOS PBI Artículos'!A:A,'[1]DATOS PBI Artículos'!AX:$AX)</f>
        <v>0</v>
      </c>
      <c r="N773" s="37" t="e">
        <f>IF(I773="DV",
E773,
IF(COUNTIF([1]CRITERIOS!$I$179:$I$199,$A773)&gt;=1,
_xlfn.XLOOKUP($A773,[1]CRITERIOS!$I$179:$I$199,[1]CRITERIOS!$J$179:$J$199),
IF(COUNTIF([1]CRITERIOS!$L$179:$L$199,$A773)&gt;=1,
_xlfn.CEILING.MATH(IF($M773&gt;$E773,
$E773,
IF($M773&lt;$E773/ROUNDDOWN([1]CRITERIOS!$M$16/_xlfn.XLOOKUP($C773,[1]CRITERIOS!$K$25:$K$42,[1]CRITERIOS!$M$25:$M$42),
1),
E773/ROUNDDOWN([1]CRITERIOS!$M$16/_xlfn.XLOOKUP($C773,[1]CRITERIOS!$K$25:$K$42,[1]CRITERIOS!$M$25:$M$42),
1),
$M773)),
_xlfn.XLOOKUP($A773,[1]CRITERIOS!$L$179:$L$200,[1]CRITERIOS!$M$179:$M$200)),
_xlfn.CEILING.MATH(IF($M773&gt;$E773,
$E773,
IF($M773&lt;$E773/ROUNDDOWN([1]CRITERIOS!$M$16/_xlfn.XLOOKUP($C773,[1]CRITERIOS!$K$25:$K$42,[1]CRITERIOS!$M$25:$M$42),
1),
E773/ROUNDDOWN([1]CRITERIOS!$M$16/_xlfn.XLOOKUP($C773,[1]CRITERIOS!$K$25:$K$42,[1]CRITERIOS!$M$25:$M$42),
1),
$M773)),_xlfn.XLOOKUP(A773,'[1]DATOS PBI Artículos'!A:A,'[1]DATOS PBI Artículos'!Z:Z
)))))</f>
        <v>#N/A</v>
      </c>
      <c r="Q773" s="38" t="e">
        <f>IF(AND(O773="",N773=0),
0,
   IF(COUNTIF([1]CRITERIOS!$F$179:$F$199,$A773)&gt;=1,
   1,
   IF(R773="MTO",
      $D773,
      ROUNDUP(
                    IF(($E773-SUMIF('[1]DATOS PBI Artículos'!A:A,A773,'[1]DATOS PBI Artículos'!X:X)+($V773-_xlfn.XLOOKUP(A773,'[1]DATOS PBI Artículos'!A:A,'[1]DATOS PBI Artículos'!W:W)))&lt;0,
                    0,
                    IF(($E773-SUMIF('[1]DATOS PBI Artículos'!A:A,A773,'[1]DATOS PBI Artículos'!X:X)+$V773-_xlfn.XLOOKUP($A773,'[1]DATOS PBI Artículos'!A:A,'[1]DATOS PBI Artículos'!W:W))/IF($O773="",$N773,$O773)&gt;ROUNDUP([1]CRITERIOS!$M$16/(IF(COUNTIF([1]CRITERIOS!$BG$11:$BG$201,L773)&gt;=1,_xlfn.XLOOKUP($C773,[1]CRITERIOS!$K$25:$K$42,[1]CRITERIOS!$M$25:$M$42),_xlfn.XLOOKUP($C773,[1]CRITERIOS!$K$25:$K$42,[1]CRITERIOS!$M$25:$M$42))),0),
                    ROUNDUP([1]CRITERIOS!$M$16/(IF(COUNTIF([1]CRITERIOS!$BG$11:$BG$201,$L773)&gt;=1,_xlfn.XLOOKUP($C773,[1]CRITERIOS!$K$25:$K$42,[1]CRITERIOS!$M$25:$M$42),_xlfn.XLOOKUP($C773,[1]CRITERIOS!$K$25:$K$42,[1]CRITERIOS!$M$25:$M$42))),0),
                    (E773+V773-SUMIF('[1]DATOS PBI Artículos'!A:A,A773,'[1]DATOS PBI Artículos'!X:X)-_xlfn.XLOOKUP(A773,'[1]DATOS PBI Artículos'!A:A,'[1]DATOS PBI Artículos'!W:W))/IF($O773="",$N773,$O773))),0))))</f>
        <v>#N/A</v>
      </c>
      <c r="R773" s="33" t="e">
        <f>IF(U773&lt;&gt;"",U773,IF(F773="DV","MTO",IF(N773=0,"MTO",_xlfn.XLOOKUP(CONCATENATE(S773,T773),[1]CRITERIOS!$K$160:$K$168,[1]CRITERIOS!$N$160:$N$168))))</f>
        <v>#N/A</v>
      </c>
      <c r="S773" s="33" t="e">
        <f>IF(G773="DV","MTO",IF(N773=0,"MTO",IF(OR(AND(N773=0,O773=""),IF(O773="",G773/N773,G773/O773)&gt;[1]CRITERIOS!$G$163),"MTO",IF(IF(O773="",G773/N773,G773/O773)&lt;[1]CRITERIOS!$H$161,"MTS","MTOS"))))</f>
        <v>#N/A</v>
      </c>
      <c r="T773" s="33" t="e">
        <f>IF(F773="DV","MTO",IF(OR(AND($N773=0,O773=""),$F773/$J773&gt;[1]CRITERIOS!$G$170,$F773="DV"),"MTO",IF($F773/$J773&lt;[1]CRITERIOS!$H$168,"MTS","MTOS")))</f>
        <v>#N/A</v>
      </c>
      <c r="V773" s="34" t="e">
        <f t="shared" si="37"/>
        <v>#N/A</v>
      </c>
      <c r="X773" s="34" t="e">
        <f t="shared" si="38"/>
        <v>#N/A</v>
      </c>
      <c r="Y773" s="34" t="e">
        <f t="shared" si="39"/>
        <v>#N/A</v>
      </c>
      <c r="Z773" s="34" t="e">
        <f>IF($R773="MTO",
0,
($H773+$K773*($E773/[1]CRITERIOS!$M$16))/[1]CRITERIOS!$X$48)</f>
        <v>#N/A</v>
      </c>
      <c r="AA773" s="34" t="e">
        <f>ROUNDUP(($Y773/_xlfn.XLOOKUP($A773,'[1]DATOS PBI Artículos'!$A$4:$A$4,'[1]DATOS PBI Artículos'!$Z$4:$Z$4))/_xlfn.XLOOKUP(_xlfn.XLOOKUP($A773,'[1]DATOS PBI Artículos'!$A$4:$A$4,'[1]DATOS PBI Artículos'!$Y$4:$Y$4),[1]CRITERIOS!$P$79:$P$123,[1]CRITERIOS!$S$79:$S$123,),0)</f>
        <v>#N/A</v>
      </c>
      <c r="AC773" s="33" t="e">
        <f>IF(N773=0,"",(ROUNDUP((N773/2)/(_xlfn.XLOOKUP(A773,'[1]DATOS PBI Artículos'!$A$4:$A$4,'[1]DATOS PBI Artículos'!$Z$4:$Z$4)*_xlfn.XLOOKUP(_xlfn.XLOOKUP(A773,'[1]DATOS PBI Artículos'!$A$4:$A$4,'[1]DATOS PBI Artículos'!$Y$4:$Y$4),[1]CRITERIOS!$P$79:$P$123,[1]CRITERIOS!$S$79:$S$123)),0)*[1]CRITERIOS!$M$80*([1]CRITERIOS!$M$110/[1]CRITERIOS!$M$86)+(_xlfn.XLOOKUP(A773,'[1]DATOS PBI Artículos'!$A$4:$A$4,'[1]DATOS PBI Artículos'!$AA$4:$AA$4)*([1]CRITERIOS!$M$95+[1]CRITERIOS!$M$98)))/N773)</f>
        <v>#N/A</v>
      </c>
      <c r="AD773" s="33" t="e">
        <f>IF(N773=0,"",(ROUNDUP((N773/2)/(_xlfn.XLOOKUP(A773,'[1]DATOS PBI Artículos'!$A$4:$A$4,'[1]DATOS PBI Artículos'!$Z$4:$Z$4)*_xlfn.XLOOKUP(_xlfn.XLOOKUP(A773,'[1]DATOS PBI Artículos'!$A$4:$A$4,'[1]DATOS PBI Artículos'!$Y$4:$Y$4),[1]CRITERIOS!$P$79:$P$123,[1]CRITERIOS!$S$79:$S$123)),0)*[1]CRITERIOS!$M$80*([1]CRITERIOS!$M$89*[1]CRITERIOS!$M$92)+((_xlfn.XLOOKUP(A773,'[1]DATOS PBI Artículos'!$A$4:$A$4,'[1]DATOS PBI Artículos'!$AA$4:$AA$4)/2)*([1]CRITERIOS!$M$95+[1]CRITERIOS!$M$98)))/N773)</f>
        <v>#N/A</v>
      </c>
      <c r="AE773" s="39" t="e">
        <f>IF($R773="MTO","",
IF($H773=0,ROUNDUP(((_xlfn.XLOOKUP($A773,'[1]DATOS PBI Artículos'!$A:$A,'[1]DATOS PBI Artículos'!$AL:$AL))/(_xlfn.XLOOKUP($AF$1,[1]CRITERIOS!$S$16:$S$39,[1]CRITERIOS!$Y$16:$Y$39))*$J773+$Z773)/$G773,0)*$G773,
((_xlfn.XLOOKUP($A773,'[1]DATOS PBI Artículos'!$A:$A,'[1]DATOS PBI Artículos'!$AL:$AL))/(_xlfn.XLOOKUP($AF$1,[1]CRITERIOS!$S$16:$S$39,[1]CRITERIOS!$Y$16:$Y$39))*$J773+$Z773)))</f>
        <v>#N/A</v>
      </c>
      <c r="AG773" s="39" t="e">
        <f>IF($R773="MTO","",
IF($H773=0,ROUNDUP(((_xlfn.XLOOKUP($A773,'[1]DATOS PBI Artículos'!$A:$A,'[1]DATOS PBI Artículos'!$AM:$AM))/(_xlfn.XLOOKUP($AH$1,[1]CRITERIOS!$S$16:$S$39,[1]CRITERIOS!$Y$16:$Y$39))*$J773+$Z773)/$G773,0)*$G773,
((_xlfn.XLOOKUP($A773,'[1]DATOS PBI Artículos'!$A:$A,'[1]DATOS PBI Artículos'!$AM:$AM))/(_xlfn.XLOOKUP($AH$1,[1]CRITERIOS!$S$16:$S$39,[1]CRITERIOS!$Y$16:$Y$39))*$J773+$Z773)))</f>
        <v>#N/A</v>
      </c>
      <c r="AI773" s="39" t="e">
        <f>IF($R773="MTO","",
IF($H773=0,ROUNDUP(((_xlfn.XLOOKUP($A773,'[1]DATOS PBI Artículos'!$A:$A,'[1]DATOS PBI Artículos'!$AN:$AN))/(_xlfn.XLOOKUP($AJ$1,[1]CRITERIOS!$S$16:$S$39,[1]CRITERIOS!$Y$16:$Y$39))*$J773+$Z773)/$G773,0)*$G773,
((_xlfn.XLOOKUP($A773,'[1]DATOS PBI Artículos'!$A:$A,'[1]DATOS PBI Artículos'!$AN:$AN))/(_xlfn.XLOOKUP($AJ$1,[1]CRITERIOS!$S$16:$S$39,[1]CRITERIOS!$Y$16:$Y$39))*$J773+$Z773)))</f>
        <v>#N/A</v>
      </c>
      <c r="AK773" s="39" t="e">
        <f>IF($R773="MTO","",
IF($H773=0,ROUNDUP(((_xlfn.XLOOKUP($A773,'[1]DATOS PBI Artículos'!$A:$A,'[1]DATOS PBI Artículos'!$AO:$AO))/(_xlfn.XLOOKUP($AL$1,[1]CRITERIOS!$S$16:$S$39,[1]CRITERIOS!$Y$16:$Y$39))*$J773+$Z773)/$G773,0)*$G773,
((_xlfn.XLOOKUP($A773,'[1]DATOS PBI Artículos'!$A:$A,'[1]DATOS PBI Artículos'!$AO:$AO))/(_xlfn.XLOOKUP($AL$1,[1]CRITERIOS!$S$16:$S$39,[1]CRITERIOS!$Y$16:$Y$39))*$J773+$Z773)))</f>
        <v>#N/A</v>
      </c>
    </row>
    <row r="774" spans="1:37" ht="25.8" hidden="1" x14ac:dyDescent="0.4">
      <c r="A774" s="41"/>
      <c r="B774" s="33">
        <f>_xlfn.XLOOKUP($A774,'[1]DATOS PBI Artículos'!A:A,'[1]DATOS PBI Artículos'!B:B)</f>
        <v>0</v>
      </c>
      <c r="C774" s="33">
        <f>_xlfn.XLOOKUP($A774,'[1]DATOS PBI Artículos'!A:A,'[1]DATOS PBI Artículos'!C:C)</f>
        <v>0</v>
      </c>
      <c r="D774" s="33">
        <f>_xlfn.XLOOKUP(A774,'[1]DATOS PBI Artículos'!A:A,'[1]DATOS PBI Artículos'!T:T)</f>
        <v>0</v>
      </c>
      <c r="E774" s="34">
        <f>IF(_xlfn.XLOOKUP($A774,'[1]DATOS PBI Artículos'!A:A,'[1]DATOS PBI Artículos'!AK:AK)="",_xlfn.XLOOKUP($A774,'[1]DATOS PBI Artículos'!A:A,'[1]DATOS PBI Artículos'!AJ:AJ),_xlfn.XLOOKUP($A774,'[1]DATOS PBI Artículos'!A:A,'[1]DATOS PBI Artículos'!AK:AK))</f>
        <v>0</v>
      </c>
      <c r="F774" s="35">
        <f>_xlfn.XLOOKUP($A774,'[1]DATOS PBI Artículos'!A:A,'[1]DATOS PBI Artículos'!AP:AP)</f>
        <v>0</v>
      </c>
      <c r="G774" s="34">
        <f>_xlfn.XLOOKUP($A774,'[1]DATOS PBI Artículos'!A:A,'[1]DATOS PBI Artículos'!AR:AR)</f>
        <v>0</v>
      </c>
      <c r="H774" s="34">
        <f>_xlfn.XLOOKUP($A774,'[1]DATOS PBI Artículos'!A:A,'[1]DATOS PBI Artículos'!AT:AT)</f>
        <v>0</v>
      </c>
      <c r="I774" s="34">
        <f>_xlfn.XLOOKUP($A774,'[1]DATOS PBI Artículos'!A:A,'[1]DATOS PBI Artículos'!AS:AS)</f>
        <v>0</v>
      </c>
      <c r="J774" s="35">
        <f>IF(COUNTIF([1]CRITERIOS!$F$179:$F$199,$A774)&gt;=1,
 IF(O774&lt;&gt;"",
    (O774/_xlfn.XLOOKUP(CONCATENATE(A774,L774),[1]MÁQUINAS!A:A,[1]MÁQUINAS!D:D))/24,
    (N774/_xlfn.XLOOKUP(CONCATENATE(A774,L774),[1]MÁQUINAS!A:A,[1]MÁQUINAS!D:D))/24),
  _xlfn.XLOOKUP($A774,'[1]DATOS PBI Artículos'!A:A,'[1]DATOS PBI Artículos'!AU:AU))</f>
        <v>0</v>
      </c>
      <c r="K774" s="36">
        <f>_xlfn.XLOOKUP($A774,'[1]DATOS PBI Artículos'!A:A,'[1]DATOS PBI Artículos'!AV:AV)</f>
        <v>0</v>
      </c>
      <c r="L774" s="33">
        <f>_xlfn.XLOOKUP(A774,[1]MÁQUINAS!B:B,[1]MÁQUINAS!C:C)</f>
        <v>0</v>
      </c>
      <c r="M774" s="34">
        <f t="array" ref="M774">_xlfn.XLOOKUP(A774,'[1]DATOS PBI Artículos'!A:A,'[1]DATOS PBI Artículos'!AX:$AX)</f>
        <v>0</v>
      </c>
      <c r="N774" s="37" t="e">
        <f>IF(I774="DV",
E774,
IF(COUNTIF([1]CRITERIOS!$I$179:$I$199,$A774)&gt;=1,
_xlfn.XLOOKUP($A774,[1]CRITERIOS!$I$179:$I$199,[1]CRITERIOS!$J$179:$J$199),
IF(COUNTIF([1]CRITERIOS!$L$179:$L$199,$A774)&gt;=1,
_xlfn.CEILING.MATH(IF($M774&gt;$E774,
$E774,
IF($M774&lt;$E774/ROUNDDOWN([1]CRITERIOS!$M$16/_xlfn.XLOOKUP($C774,[1]CRITERIOS!$K$25:$K$42,[1]CRITERIOS!$M$25:$M$42),
1),
E774/ROUNDDOWN([1]CRITERIOS!$M$16/_xlfn.XLOOKUP($C774,[1]CRITERIOS!$K$25:$K$42,[1]CRITERIOS!$M$25:$M$42),
1),
$M774)),
_xlfn.XLOOKUP($A774,[1]CRITERIOS!$L$179:$L$200,[1]CRITERIOS!$M$179:$M$200)),
_xlfn.CEILING.MATH(IF($M774&gt;$E774,
$E774,
IF($M774&lt;$E774/ROUNDDOWN([1]CRITERIOS!$M$16/_xlfn.XLOOKUP($C774,[1]CRITERIOS!$K$25:$K$42,[1]CRITERIOS!$M$25:$M$42),
1),
E774/ROUNDDOWN([1]CRITERIOS!$M$16/_xlfn.XLOOKUP($C774,[1]CRITERIOS!$K$25:$K$42,[1]CRITERIOS!$M$25:$M$42),
1),
$M774)),_xlfn.XLOOKUP(A774,'[1]DATOS PBI Artículos'!A:A,'[1]DATOS PBI Artículos'!Z:Z
)))))</f>
        <v>#N/A</v>
      </c>
      <c r="Q774" s="38" t="e">
        <f>IF(AND(O774="",N774=0),
0,
   IF(COUNTIF([1]CRITERIOS!$F$179:$F$199,$A774)&gt;=1,
   1,
   IF(R774="MTO",
      $D774,
      ROUNDUP(
                    IF(($E774-SUMIF('[1]DATOS PBI Artículos'!A:A,A774,'[1]DATOS PBI Artículos'!X:X)+($V774-_xlfn.XLOOKUP(A774,'[1]DATOS PBI Artículos'!A:A,'[1]DATOS PBI Artículos'!W:W)))&lt;0,
                    0,
                    IF(($E774-SUMIF('[1]DATOS PBI Artículos'!A:A,A774,'[1]DATOS PBI Artículos'!X:X)+$V774-_xlfn.XLOOKUP($A774,'[1]DATOS PBI Artículos'!A:A,'[1]DATOS PBI Artículos'!W:W))/IF($O774="",$N774,$O774)&gt;ROUNDUP([1]CRITERIOS!$M$16/(IF(COUNTIF([1]CRITERIOS!$BG$11:$BG$201,L774)&gt;=1,_xlfn.XLOOKUP($C774,[1]CRITERIOS!$K$25:$K$42,[1]CRITERIOS!$M$25:$M$42),_xlfn.XLOOKUP($C774,[1]CRITERIOS!$K$25:$K$42,[1]CRITERIOS!$M$25:$M$42))),0),
                    ROUNDUP([1]CRITERIOS!$M$16/(IF(COUNTIF([1]CRITERIOS!$BG$11:$BG$201,$L774)&gt;=1,_xlfn.XLOOKUP($C774,[1]CRITERIOS!$K$25:$K$42,[1]CRITERIOS!$M$25:$M$42),_xlfn.XLOOKUP($C774,[1]CRITERIOS!$K$25:$K$42,[1]CRITERIOS!$M$25:$M$42))),0),
                    (E774+V774-SUMIF('[1]DATOS PBI Artículos'!A:A,A774,'[1]DATOS PBI Artículos'!X:X)-_xlfn.XLOOKUP(A774,'[1]DATOS PBI Artículos'!A:A,'[1]DATOS PBI Artículos'!W:W))/IF($O774="",$N774,$O774))),0))))</f>
        <v>#N/A</v>
      </c>
      <c r="R774" s="33" t="e">
        <f>IF(U774&lt;&gt;"",U774,IF(F774="DV","MTO",IF(N774=0,"MTO",_xlfn.XLOOKUP(CONCATENATE(S774,T774),[1]CRITERIOS!$K$160:$K$168,[1]CRITERIOS!$N$160:$N$168))))</f>
        <v>#N/A</v>
      </c>
      <c r="S774" s="33" t="e">
        <f>IF(G774="DV","MTO",IF(N774=0,"MTO",IF(OR(AND(N774=0,O774=""),IF(O774="",G774/N774,G774/O774)&gt;[1]CRITERIOS!$G$163),"MTO",IF(IF(O774="",G774/N774,G774/O774)&lt;[1]CRITERIOS!$H$161,"MTS","MTOS"))))</f>
        <v>#N/A</v>
      </c>
      <c r="T774" s="33" t="e">
        <f>IF(F774="DV","MTO",IF(OR(AND($N774=0,O774=""),$F774/$J774&gt;[1]CRITERIOS!$G$170,$F774="DV"),"MTO",IF($F774/$J774&lt;[1]CRITERIOS!$H$168,"MTS","MTOS")))</f>
        <v>#N/A</v>
      </c>
      <c r="V774" s="34" t="e">
        <f t="shared" si="37"/>
        <v>#N/A</v>
      </c>
      <c r="X774" s="34" t="e">
        <f t="shared" si="38"/>
        <v>#N/A</v>
      </c>
      <c r="Y774" s="34" t="e">
        <f t="shared" si="39"/>
        <v>#N/A</v>
      </c>
      <c r="Z774" s="34" t="e">
        <f>IF($R774="MTO",
0,
($H774+$K774*($E774/[1]CRITERIOS!$M$16))/[1]CRITERIOS!$X$48)</f>
        <v>#N/A</v>
      </c>
      <c r="AA774" s="34" t="e">
        <f>ROUNDUP(($Y774/_xlfn.XLOOKUP($A774,'[1]DATOS PBI Artículos'!$A$4:$A$4,'[1]DATOS PBI Artículos'!$Z$4:$Z$4))/_xlfn.XLOOKUP(_xlfn.XLOOKUP($A774,'[1]DATOS PBI Artículos'!$A$4:$A$4,'[1]DATOS PBI Artículos'!$Y$4:$Y$4),[1]CRITERIOS!$P$79:$P$123,[1]CRITERIOS!$S$79:$S$123,),0)</f>
        <v>#N/A</v>
      </c>
      <c r="AC774" s="33" t="e">
        <f>IF(N774=0,"",(ROUNDUP((N774/2)/(_xlfn.XLOOKUP(A774,'[1]DATOS PBI Artículos'!$A$4:$A$4,'[1]DATOS PBI Artículos'!$Z$4:$Z$4)*_xlfn.XLOOKUP(_xlfn.XLOOKUP(A774,'[1]DATOS PBI Artículos'!$A$4:$A$4,'[1]DATOS PBI Artículos'!$Y$4:$Y$4),[1]CRITERIOS!$P$79:$P$123,[1]CRITERIOS!$S$79:$S$123)),0)*[1]CRITERIOS!$M$80*([1]CRITERIOS!$M$110/[1]CRITERIOS!$M$86)+(_xlfn.XLOOKUP(A774,'[1]DATOS PBI Artículos'!$A$4:$A$4,'[1]DATOS PBI Artículos'!$AA$4:$AA$4)*([1]CRITERIOS!$M$95+[1]CRITERIOS!$M$98)))/N774)</f>
        <v>#N/A</v>
      </c>
      <c r="AD774" s="33" t="e">
        <f>IF(N774=0,"",(ROUNDUP((N774/2)/(_xlfn.XLOOKUP(A774,'[1]DATOS PBI Artículos'!$A$4:$A$4,'[1]DATOS PBI Artículos'!$Z$4:$Z$4)*_xlfn.XLOOKUP(_xlfn.XLOOKUP(A774,'[1]DATOS PBI Artículos'!$A$4:$A$4,'[1]DATOS PBI Artículos'!$Y$4:$Y$4),[1]CRITERIOS!$P$79:$P$123,[1]CRITERIOS!$S$79:$S$123)),0)*[1]CRITERIOS!$M$80*([1]CRITERIOS!$M$89*[1]CRITERIOS!$M$92)+((_xlfn.XLOOKUP(A774,'[1]DATOS PBI Artículos'!$A$4:$A$4,'[1]DATOS PBI Artículos'!$AA$4:$AA$4)/2)*([1]CRITERIOS!$M$95+[1]CRITERIOS!$M$98)))/N774)</f>
        <v>#N/A</v>
      </c>
      <c r="AE774" s="39" t="e">
        <f>IF($R774="MTO","",
IF($H774=0,ROUNDUP(((_xlfn.XLOOKUP($A774,'[1]DATOS PBI Artículos'!$A:$A,'[1]DATOS PBI Artículos'!$AL:$AL))/(_xlfn.XLOOKUP($AF$1,[1]CRITERIOS!$S$16:$S$39,[1]CRITERIOS!$Y$16:$Y$39))*$J774+$Z774)/$G774,0)*$G774,
((_xlfn.XLOOKUP($A774,'[1]DATOS PBI Artículos'!$A:$A,'[1]DATOS PBI Artículos'!$AL:$AL))/(_xlfn.XLOOKUP($AF$1,[1]CRITERIOS!$S$16:$S$39,[1]CRITERIOS!$Y$16:$Y$39))*$J774+$Z774)))</f>
        <v>#N/A</v>
      </c>
      <c r="AG774" s="39" t="e">
        <f>IF($R774="MTO","",
IF($H774=0,ROUNDUP(((_xlfn.XLOOKUP($A774,'[1]DATOS PBI Artículos'!$A:$A,'[1]DATOS PBI Artículos'!$AM:$AM))/(_xlfn.XLOOKUP($AH$1,[1]CRITERIOS!$S$16:$S$39,[1]CRITERIOS!$Y$16:$Y$39))*$J774+$Z774)/$G774,0)*$G774,
((_xlfn.XLOOKUP($A774,'[1]DATOS PBI Artículos'!$A:$A,'[1]DATOS PBI Artículos'!$AM:$AM))/(_xlfn.XLOOKUP($AH$1,[1]CRITERIOS!$S$16:$S$39,[1]CRITERIOS!$Y$16:$Y$39))*$J774+$Z774)))</f>
        <v>#N/A</v>
      </c>
      <c r="AI774" s="39" t="e">
        <f>IF($R774="MTO","",
IF($H774=0,ROUNDUP(((_xlfn.XLOOKUP($A774,'[1]DATOS PBI Artículos'!$A:$A,'[1]DATOS PBI Artículos'!$AN:$AN))/(_xlfn.XLOOKUP($AJ$1,[1]CRITERIOS!$S$16:$S$39,[1]CRITERIOS!$Y$16:$Y$39))*$J774+$Z774)/$G774,0)*$G774,
((_xlfn.XLOOKUP($A774,'[1]DATOS PBI Artículos'!$A:$A,'[1]DATOS PBI Artículos'!$AN:$AN))/(_xlfn.XLOOKUP($AJ$1,[1]CRITERIOS!$S$16:$S$39,[1]CRITERIOS!$Y$16:$Y$39))*$J774+$Z774)))</f>
        <v>#N/A</v>
      </c>
      <c r="AK774" s="39" t="e">
        <f>IF($R774="MTO","",
IF($H774=0,ROUNDUP(((_xlfn.XLOOKUP($A774,'[1]DATOS PBI Artículos'!$A:$A,'[1]DATOS PBI Artículos'!$AO:$AO))/(_xlfn.XLOOKUP($AL$1,[1]CRITERIOS!$S$16:$S$39,[1]CRITERIOS!$Y$16:$Y$39))*$J774+$Z774)/$G774,0)*$G774,
((_xlfn.XLOOKUP($A774,'[1]DATOS PBI Artículos'!$A:$A,'[1]DATOS PBI Artículos'!$AO:$AO))/(_xlfn.XLOOKUP($AL$1,[1]CRITERIOS!$S$16:$S$39,[1]CRITERIOS!$Y$16:$Y$39))*$J774+$Z774)))</f>
        <v>#N/A</v>
      </c>
    </row>
    <row r="775" spans="1:37" ht="25.8" hidden="1" x14ac:dyDescent="0.4">
      <c r="A775" s="41"/>
      <c r="B775" s="33">
        <f>_xlfn.XLOOKUP($A775,'[1]DATOS PBI Artículos'!A:A,'[1]DATOS PBI Artículos'!B:B)</f>
        <v>0</v>
      </c>
      <c r="C775" s="33">
        <f>_xlfn.XLOOKUP($A775,'[1]DATOS PBI Artículos'!A:A,'[1]DATOS PBI Artículos'!C:C)</f>
        <v>0</v>
      </c>
      <c r="D775" s="33">
        <f>_xlfn.XLOOKUP(A775,'[1]DATOS PBI Artículos'!A:A,'[1]DATOS PBI Artículos'!T:T)</f>
        <v>0</v>
      </c>
      <c r="E775" s="34">
        <f>IF(_xlfn.XLOOKUP($A775,'[1]DATOS PBI Artículos'!A:A,'[1]DATOS PBI Artículos'!AK:AK)="",_xlfn.XLOOKUP($A775,'[1]DATOS PBI Artículos'!A:A,'[1]DATOS PBI Artículos'!AJ:AJ),_xlfn.XLOOKUP($A775,'[1]DATOS PBI Artículos'!A:A,'[1]DATOS PBI Artículos'!AK:AK))</f>
        <v>0</v>
      </c>
      <c r="F775" s="35">
        <f>_xlfn.XLOOKUP($A775,'[1]DATOS PBI Artículos'!A:A,'[1]DATOS PBI Artículos'!AP:AP)</f>
        <v>0</v>
      </c>
      <c r="G775" s="34">
        <f>_xlfn.XLOOKUP($A775,'[1]DATOS PBI Artículos'!A:A,'[1]DATOS PBI Artículos'!AR:AR)</f>
        <v>0</v>
      </c>
      <c r="H775" s="34">
        <f>_xlfn.XLOOKUP($A775,'[1]DATOS PBI Artículos'!A:A,'[1]DATOS PBI Artículos'!AT:AT)</f>
        <v>0</v>
      </c>
      <c r="I775" s="34">
        <f>_xlfn.XLOOKUP($A775,'[1]DATOS PBI Artículos'!A:A,'[1]DATOS PBI Artículos'!AS:AS)</f>
        <v>0</v>
      </c>
      <c r="J775" s="35">
        <f>IF(COUNTIF([1]CRITERIOS!$F$179:$F$199,$A775)&gt;=1,
 IF(O775&lt;&gt;"",
    (O775/_xlfn.XLOOKUP(CONCATENATE(A775,L775),[1]MÁQUINAS!A:A,[1]MÁQUINAS!D:D))/24,
    (N775/_xlfn.XLOOKUP(CONCATENATE(A775,L775),[1]MÁQUINAS!A:A,[1]MÁQUINAS!D:D))/24),
  _xlfn.XLOOKUP($A775,'[1]DATOS PBI Artículos'!A:A,'[1]DATOS PBI Artículos'!AU:AU))</f>
        <v>0</v>
      </c>
      <c r="K775" s="36">
        <f>_xlfn.XLOOKUP($A775,'[1]DATOS PBI Artículos'!A:A,'[1]DATOS PBI Artículos'!AV:AV)</f>
        <v>0</v>
      </c>
      <c r="L775" s="33">
        <f>_xlfn.XLOOKUP(A775,[1]MÁQUINAS!B:B,[1]MÁQUINAS!C:C)</f>
        <v>0</v>
      </c>
      <c r="M775" s="34">
        <f t="array" ref="M775">_xlfn.XLOOKUP(A775,'[1]DATOS PBI Artículos'!A:A,'[1]DATOS PBI Artículos'!AX:$AX)</f>
        <v>0</v>
      </c>
      <c r="N775" s="37" t="e">
        <f>IF(I775="DV",
E775,
IF(COUNTIF([1]CRITERIOS!$I$179:$I$199,$A775)&gt;=1,
_xlfn.XLOOKUP($A775,[1]CRITERIOS!$I$179:$I$199,[1]CRITERIOS!$J$179:$J$199),
IF(COUNTIF([1]CRITERIOS!$L$179:$L$199,$A775)&gt;=1,
_xlfn.CEILING.MATH(IF($M775&gt;$E775,
$E775,
IF($M775&lt;$E775/ROUNDDOWN([1]CRITERIOS!$M$16/_xlfn.XLOOKUP($C775,[1]CRITERIOS!$K$25:$K$42,[1]CRITERIOS!$M$25:$M$42),
1),
E775/ROUNDDOWN([1]CRITERIOS!$M$16/_xlfn.XLOOKUP($C775,[1]CRITERIOS!$K$25:$K$42,[1]CRITERIOS!$M$25:$M$42),
1),
$M775)),
_xlfn.XLOOKUP($A775,[1]CRITERIOS!$L$179:$L$200,[1]CRITERIOS!$M$179:$M$200)),
_xlfn.CEILING.MATH(IF($M775&gt;$E775,
$E775,
IF($M775&lt;$E775/ROUNDDOWN([1]CRITERIOS!$M$16/_xlfn.XLOOKUP($C775,[1]CRITERIOS!$K$25:$K$42,[1]CRITERIOS!$M$25:$M$42),
1),
E775/ROUNDDOWN([1]CRITERIOS!$M$16/_xlfn.XLOOKUP($C775,[1]CRITERIOS!$K$25:$K$42,[1]CRITERIOS!$M$25:$M$42),
1),
$M775)),_xlfn.XLOOKUP(A775,'[1]DATOS PBI Artículos'!A:A,'[1]DATOS PBI Artículos'!Z:Z
)))))</f>
        <v>#N/A</v>
      </c>
      <c r="Q775" s="38" t="e">
        <f>IF(AND(O775="",N775=0),
0,
   IF(COUNTIF([1]CRITERIOS!$F$179:$F$199,$A775)&gt;=1,
   1,
   IF(R775="MTO",
      $D775,
      ROUNDUP(
                    IF(($E775-SUMIF('[1]DATOS PBI Artículos'!A:A,A775,'[1]DATOS PBI Artículos'!X:X)+($V775-_xlfn.XLOOKUP(A775,'[1]DATOS PBI Artículos'!A:A,'[1]DATOS PBI Artículos'!W:W)))&lt;0,
                    0,
                    IF(($E775-SUMIF('[1]DATOS PBI Artículos'!A:A,A775,'[1]DATOS PBI Artículos'!X:X)+$V775-_xlfn.XLOOKUP($A775,'[1]DATOS PBI Artículos'!A:A,'[1]DATOS PBI Artículos'!W:W))/IF($O775="",$N775,$O775)&gt;ROUNDUP([1]CRITERIOS!$M$16/(IF(COUNTIF([1]CRITERIOS!$BG$11:$BG$201,L775)&gt;=1,_xlfn.XLOOKUP($C775,[1]CRITERIOS!$K$25:$K$42,[1]CRITERIOS!$M$25:$M$42),_xlfn.XLOOKUP($C775,[1]CRITERIOS!$K$25:$K$42,[1]CRITERIOS!$M$25:$M$42))),0),
                    ROUNDUP([1]CRITERIOS!$M$16/(IF(COUNTIF([1]CRITERIOS!$BG$11:$BG$201,$L775)&gt;=1,_xlfn.XLOOKUP($C775,[1]CRITERIOS!$K$25:$K$42,[1]CRITERIOS!$M$25:$M$42),_xlfn.XLOOKUP($C775,[1]CRITERIOS!$K$25:$K$42,[1]CRITERIOS!$M$25:$M$42))),0),
                    (E775+V775-SUMIF('[1]DATOS PBI Artículos'!A:A,A775,'[1]DATOS PBI Artículos'!X:X)-_xlfn.XLOOKUP(A775,'[1]DATOS PBI Artículos'!A:A,'[1]DATOS PBI Artículos'!W:W))/IF($O775="",$N775,$O775))),0))))</f>
        <v>#N/A</v>
      </c>
      <c r="R775" s="33" t="e">
        <f>IF(U775&lt;&gt;"",U775,IF(F775="DV","MTO",IF(N775=0,"MTO",_xlfn.XLOOKUP(CONCATENATE(S775,T775),[1]CRITERIOS!$K$160:$K$168,[1]CRITERIOS!$N$160:$N$168))))</f>
        <v>#N/A</v>
      </c>
      <c r="S775" s="33" t="e">
        <f>IF(G775="DV","MTO",IF(N775=0,"MTO",IF(OR(AND(N775=0,O775=""),IF(O775="",G775/N775,G775/O775)&gt;[1]CRITERIOS!$G$163),"MTO",IF(IF(O775="",G775/N775,G775/O775)&lt;[1]CRITERIOS!$H$161,"MTS","MTOS"))))</f>
        <v>#N/A</v>
      </c>
      <c r="T775" s="33" t="e">
        <f>IF(F775="DV","MTO",IF(OR(AND($N775=0,O775=""),$F775/$J775&gt;[1]CRITERIOS!$G$170,$F775="DV"),"MTO",IF($F775/$J775&lt;[1]CRITERIOS!$H$168,"MTS","MTOS")))</f>
        <v>#N/A</v>
      </c>
      <c r="V775" s="34" t="e">
        <f t="shared" si="37"/>
        <v>#N/A</v>
      </c>
      <c r="X775" s="34" t="e">
        <f t="shared" si="38"/>
        <v>#N/A</v>
      </c>
      <c r="Y775" s="34" t="e">
        <f t="shared" si="39"/>
        <v>#N/A</v>
      </c>
      <c r="Z775" s="34" t="e">
        <f>IF($R775="MTO",
0,
($H775+$K775*($E775/[1]CRITERIOS!$M$16))/[1]CRITERIOS!$X$48)</f>
        <v>#N/A</v>
      </c>
      <c r="AA775" s="34" t="e">
        <f>ROUNDUP(($Y775/_xlfn.XLOOKUP($A775,'[1]DATOS PBI Artículos'!$A$4:$A$4,'[1]DATOS PBI Artículos'!$Z$4:$Z$4))/_xlfn.XLOOKUP(_xlfn.XLOOKUP($A775,'[1]DATOS PBI Artículos'!$A$4:$A$4,'[1]DATOS PBI Artículos'!$Y$4:$Y$4),[1]CRITERIOS!$P$79:$P$123,[1]CRITERIOS!$S$79:$S$123,),0)</f>
        <v>#N/A</v>
      </c>
      <c r="AC775" s="33" t="e">
        <f>IF(N775=0,"",(ROUNDUP((N775/2)/(_xlfn.XLOOKUP(A775,'[1]DATOS PBI Artículos'!$A$4:$A$4,'[1]DATOS PBI Artículos'!$Z$4:$Z$4)*_xlfn.XLOOKUP(_xlfn.XLOOKUP(A775,'[1]DATOS PBI Artículos'!$A$4:$A$4,'[1]DATOS PBI Artículos'!$Y$4:$Y$4),[1]CRITERIOS!$P$79:$P$123,[1]CRITERIOS!$S$79:$S$123)),0)*[1]CRITERIOS!$M$80*([1]CRITERIOS!$M$110/[1]CRITERIOS!$M$86)+(_xlfn.XLOOKUP(A775,'[1]DATOS PBI Artículos'!$A$4:$A$4,'[1]DATOS PBI Artículos'!$AA$4:$AA$4)*([1]CRITERIOS!$M$95+[1]CRITERIOS!$M$98)))/N775)</f>
        <v>#N/A</v>
      </c>
      <c r="AD775" s="33" t="e">
        <f>IF(N775=0,"",(ROUNDUP((N775/2)/(_xlfn.XLOOKUP(A775,'[1]DATOS PBI Artículos'!$A$4:$A$4,'[1]DATOS PBI Artículos'!$Z$4:$Z$4)*_xlfn.XLOOKUP(_xlfn.XLOOKUP(A775,'[1]DATOS PBI Artículos'!$A$4:$A$4,'[1]DATOS PBI Artículos'!$Y$4:$Y$4),[1]CRITERIOS!$P$79:$P$123,[1]CRITERIOS!$S$79:$S$123)),0)*[1]CRITERIOS!$M$80*([1]CRITERIOS!$M$89*[1]CRITERIOS!$M$92)+((_xlfn.XLOOKUP(A775,'[1]DATOS PBI Artículos'!$A$4:$A$4,'[1]DATOS PBI Artículos'!$AA$4:$AA$4)/2)*([1]CRITERIOS!$M$95+[1]CRITERIOS!$M$98)))/N775)</f>
        <v>#N/A</v>
      </c>
      <c r="AE775" s="39" t="e">
        <f>IF($R775="MTO","",
IF($H775=0,ROUNDUP(((_xlfn.XLOOKUP($A775,'[1]DATOS PBI Artículos'!$A:$A,'[1]DATOS PBI Artículos'!$AL:$AL))/(_xlfn.XLOOKUP($AF$1,[1]CRITERIOS!$S$16:$S$39,[1]CRITERIOS!$Y$16:$Y$39))*$J775+$Z775)/$G775,0)*$G775,
((_xlfn.XLOOKUP($A775,'[1]DATOS PBI Artículos'!$A:$A,'[1]DATOS PBI Artículos'!$AL:$AL))/(_xlfn.XLOOKUP($AF$1,[1]CRITERIOS!$S$16:$S$39,[1]CRITERIOS!$Y$16:$Y$39))*$J775+$Z775)))</f>
        <v>#N/A</v>
      </c>
      <c r="AG775" s="39" t="e">
        <f>IF($R775="MTO","",
IF($H775=0,ROUNDUP(((_xlfn.XLOOKUP($A775,'[1]DATOS PBI Artículos'!$A:$A,'[1]DATOS PBI Artículos'!$AM:$AM))/(_xlfn.XLOOKUP($AH$1,[1]CRITERIOS!$S$16:$S$39,[1]CRITERIOS!$Y$16:$Y$39))*$J775+$Z775)/$G775,0)*$G775,
((_xlfn.XLOOKUP($A775,'[1]DATOS PBI Artículos'!$A:$A,'[1]DATOS PBI Artículos'!$AM:$AM))/(_xlfn.XLOOKUP($AH$1,[1]CRITERIOS!$S$16:$S$39,[1]CRITERIOS!$Y$16:$Y$39))*$J775+$Z775)))</f>
        <v>#N/A</v>
      </c>
      <c r="AI775" s="39" t="e">
        <f>IF($R775="MTO","",
IF($H775=0,ROUNDUP(((_xlfn.XLOOKUP($A775,'[1]DATOS PBI Artículos'!$A:$A,'[1]DATOS PBI Artículos'!$AN:$AN))/(_xlfn.XLOOKUP($AJ$1,[1]CRITERIOS!$S$16:$S$39,[1]CRITERIOS!$Y$16:$Y$39))*$J775+$Z775)/$G775,0)*$G775,
((_xlfn.XLOOKUP($A775,'[1]DATOS PBI Artículos'!$A:$A,'[1]DATOS PBI Artículos'!$AN:$AN))/(_xlfn.XLOOKUP($AJ$1,[1]CRITERIOS!$S$16:$S$39,[1]CRITERIOS!$Y$16:$Y$39))*$J775+$Z775)))</f>
        <v>#N/A</v>
      </c>
      <c r="AK775" s="39" t="e">
        <f>IF($R775="MTO","",
IF($H775=0,ROUNDUP(((_xlfn.XLOOKUP($A775,'[1]DATOS PBI Artículos'!$A:$A,'[1]DATOS PBI Artículos'!$AO:$AO))/(_xlfn.XLOOKUP($AL$1,[1]CRITERIOS!$S$16:$S$39,[1]CRITERIOS!$Y$16:$Y$39))*$J775+$Z775)/$G775,0)*$G775,
((_xlfn.XLOOKUP($A775,'[1]DATOS PBI Artículos'!$A:$A,'[1]DATOS PBI Artículos'!$AO:$AO))/(_xlfn.XLOOKUP($AL$1,[1]CRITERIOS!$S$16:$S$39,[1]CRITERIOS!$Y$16:$Y$39))*$J775+$Z775)))</f>
        <v>#N/A</v>
      </c>
    </row>
    <row r="776" spans="1:37" ht="25.8" hidden="1" x14ac:dyDescent="0.4">
      <c r="A776" s="41"/>
      <c r="B776" s="33">
        <f>_xlfn.XLOOKUP($A776,'[1]DATOS PBI Artículos'!A:A,'[1]DATOS PBI Artículos'!B:B)</f>
        <v>0</v>
      </c>
      <c r="C776" s="33">
        <f>_xlfn.XLOOKUP($A776,'[1]DATOS PBI Artículos'!A:A,'[1]DATOS PBI Artículos'!C:C)</f>
        <v>0</v>
      </c>
      <c r="D776" s="33">
        <f>_xlfn.XLOOKUP(A776,'[1]DATOS PBI Artículos'!A:A,'[1]DATOS PBI Artículos'!T:T)</f>
        <v>0</v>
      </c>
      <c r="E776" s="34">
        <f>IF(_xlfn.XLOOKUP($A776,'[1]DATOS PBI Artículos'!A:A,'[1]DATOS PBI Artículos'!AK:AK)="",_xlfn.XLOOKUP($A776,'[1]DATOS PBI Artículos'!A:A,'[1]DATOS PBI Artículos'!AJ:AJ),_xlfn.XLOOKUP($A776,'[1]DATOS PBI Artículos'!A:A,'[1]DATOS PBI Artículos'!AK:AK))</f>
        <v>0</v>
      </c>
      <c r="F776" s="35">
        <f>_xlfn.XLOOKUP($A776,'[1]DATOS PBI Artículos'!A:A,'[1]DATOS PBI Artículos'!AP:AP)</f>
        <v>0</v>
      </c>
      <c r="G776" s="34">
        <f>_xlfn.XLOOKUP($A776,'[1]DATOS PBI Artículos'!A:A,'[1]DATOS PBI Artículos'!AR:AR)</f>
        <v>0</v>
      </c>
      <c r="H776" s="34">
        <f>_xlfn.XLOOKUP($A776,'[1]DATOS PBI Artículos'!A:A,'[1]DATOS PBI Artículos'!AT:AT)</f>
        <v>0</v>
      </c>
      <c r="I776" s="34">
        <f>_xlfn.XLOOKUP($A776,'[1]DATOS PBI Artículos'!A:A,'[1]DATOS PBI Artículos'!AS:AS)</f>
        <v>0</v>
      </c>
      <c r="J776" s="35">
        <f>IF(COUNTIF([1]CRITERIOS!$F$179:$F$199,$A776)&gt;=1,
 IF(O776&lt;&gt;"",
    (O776/_xlfn.XLOOKUP(CONCATENATE(A776,L776),[1]MÁQUINAS!A:A,[1]MÁQUINAS!D:D))/24,
    (N776/_xlfn.XLOOKUP(CONCATENATE(A776,L776),[1]MÁQUINAS!A:A,[1]MÁQUINAS!D:D))/24),
  _xlfn.XLOOKUP($A776,'[1]DATOS PBI Artículos'!A:A,'[1]DATOS PBI Artículos'!AU:AU))</f>
        <v>0</v>
      </c>
      <c r="K776" s="36">
        <f>_xlfn.XLOOKUP($A776,'[1]DATOS PBI Artículos'!A:A,'[1]DATOS PBI Artículos'!AV:AV)</f>
        <v>0</v>
      </c>
      <c r="L776" s="33">
        <f>_xlfn.XLOOKUP(A776,[1]MÁQUINAS!B:B,[1]MÁQUINAS!C:C)</f>
        <v>0</v>
      </c>
      <c r="M776" s="34">
        <f t="array" ref="M776">_xlfn.XLOOKUP(A776,'[1]DATOS PBI Artículos'!A:A,'[1]DATOS PBI Artículos'!AX:$AX)</f>
        <v>0</v>
      </c>
      <c r="N776" s="37" t="e">
        <f>IF(I776="DV",
E776,
IF(COUNTIF([1]CRITERIOS!$I$179:$I$199,$A776)&gt;=1,
_xlfn.XLOOKUP($A776,[1]CRITERIOS!$I$179:$I$199,[1]CRITERIOS!$J$179:$J$199),
IF(COUNTIF([1]CRITERIOS!$L$179:$L$199,$A776)&gt;=1,
_xlfn.CEILING.MATH(IF($M776&gt;$E776,
$E776,
IF($M776&lt;$E776/ROUNDDOWN([1]CRITERIOS!$M$16/_xlfn.XLOOKUP($C776,[1]CRITERIOS!$K$25:$K$42,[1]CRITERIOS!$M$25:$M$42),
1),
E776/ROUNDDOWN([1]CRITERIOS!$M$16/_xlfn.XLOOKUP($C776,[1]CRITERIOS!$K$25:$K$42,[1]CRITERIOS!$M$25:$M$42),
1),
$M776)),
_xlfn.XLOOKUP($A776,[1]CRITERIOS!$L$179:$L$200,[1]CRITERIOS!$M$179:$M$200)),
_xlfn.CEILING.MATH(IF($M776&gt;$E776,
$E776,
IF($M776&lt;$E776/ROUNDDOWN([1]CRITERIOS!$M$16/_xlfn.XLOOKUP($C776,[1]CRITERIOS!$K$25:$K$42,[1]CRITERIOS!$M$25:$M$42),
1),
E776/ROUNDDOWN([1]CRITERIOS!$M$16/_xlfn.XLOOKUP($C776,[1]CRITERIOS!$K$25:$K$42,[1]CRITERIOS!$M$25:$M$42),
1),
$M776)),_xlfn.XLOOKUP(A776,'[1]DATOS PBI Artículos'!A:A,'[1]DATOS PBI Artículos'!Z:Z
)))))</f>
        <v>#N/A</v>
      </c>
      <c r="Q776" s="38" t="e">
        <f>IF(AND(O776="",N776=0),
0,
   IF(COUNTIF([1]CRITERIOS!$F$179:$F$199,$A776)&gt;=1,
   1,
   IF(R776="MTO",
      $D776,
      ROUNDUP(
                    IF(($E776-SUMIF('[1]DATOS PBI Artículos'!A:A,A776,'[1]DATOS PBI Artículos'!X:X)+($V776-_xlfn.XLOOKUP(A776,'[1]DATOS PBI Artículos'!A:A,'[1]DATOS PBI Artículos'!W:W)))&lt;0,
                    0,
                    IF(($E776-SUMIF('[1]DATOS PBI Artículos'!A:A,A776,'[1]DATOS PBI Artículos'!X:X)+$V776-_xlfn.XLOOKUP($A776,'[1]DATOS PBI Artículos'!A:A,'[1]DATOS PBI Artículos'!W:W))/IF($O776="",$N776,$O776)&gt;ROUNDUP([1]CRITERIOS!$M$16/(IF(COUNTIF([1]CRITERIOS!$BG$11:$BG$201,L776)&gt;=1,_xlfn.XLOOKUP($C776,[1]CRITERIOS!$K$25:$K$42,[1]CRITERIOS!$M$25:$M$42),_xlfn.XLOOKUP($C776,[1]CRITERIOS!$K$25:$K$42,[1]CRITERIOS!$M$25:$M$42))),0),
                    ROUNDUP([1]CRITERIOS!$M$16/(IF(COUNTIF([1]CRITERIOS!$BG$11:$BG$201,$L776)&gt;=1,_xlfn.XLOOKUP($C776,[1]CRITERIOS!$K$25:$K$42,[1]CRITERIOS!$M$25:$M$42),_xlfn.XLOOKUP($C776,[1]CRITERIOS!$K$25:$K$42,[1]CRITERIOS!$M$25:$M$42))),0),
                    (E776+V776-SUMIF('[1]DATOS PBI Artículos'!A:A,A776,'[1]DATOS PBI Artículos'!X:X)-_xlfn.XLOOKUP(A776,'[1]DATOS PBI Artículos'!A:A,'[1]DATOS PBI Artículos'!W:W))/IF($O776="",$N776,$O776))),0))))</f>
        <v>#N/A</v>
      </c>
      <c r="R776" s="33" t="e">
        <f>IF(U776&lt;&gt;"",U776,IF(F776="DV","MTO",IF(N776=0,"MTO",_xlfn.XLOOKUP(CONCATENATE(S776,T776),[1]CRITERIOS!$K$160:$K$168,[1]CRITERIOS!$N$160:$N$168))))</f>
        <v>#N/A</v>
      </c>
      <c r="S776" s="33" t="e">
        <f>IF(G776="DV","MTO",IF(N776=0,"MTO",IF(OR(AND(N776=0,O776=""),IF(O776="",G776/N776,G776/O776)&gt;[1]CRITERIOS!$G$163),"MTO",IF(IF(O776="",G776/N776,G776/O776)&lt;[1]CRITERIOS!$H$161,"MTS","MTOS"))))</f>
        <v>#N/A</v>
      </c>
      <c r="T776" s="33" t="e">
        <f>IF(F776="DV","MTO",IF(OR(AND($N776=0,O776=""),$F776/$J776&gt;[1]CRITERIOS!$G$170,$F776="DV"),"MTO",IF($F776/$J776&lt;[1]CRITERIOS!$H$168,"MTS","MTOS")))</f>
        <v>#N/A</v>
      </c>
      <c r="V776" s="34" t="e">
        <f t="shared" si="37"/>
        <v>#N/A</v>
      </c>
      <c r="X776" s="34" t="e">
        <f t="shared" si="38"/>
        <v>#N/A</v>
      </c>
      <c r="Y776" s="34" t="e">
        <f t="shared" si="39"/>
        <v>#N/A</v>
      </c>
      <c r="Z776" s="34" t="e">
        <f>IF($R776="MTO",
0,
($H776+$K776*($E776/[1]CRITERIOS!$M$16))/[1]CRITERIOS!$X$48)</f>
        <v>#N/A</v>
      </c>
      <c r="AA776" s="34" t="e">
        <f>ROUNDUP(($Y776/_xlfn.XLOOKUP($A776,'[1]DATOS PBI Artículos'!$A$4:$A$4,'[1]DATOS PBI Artículos'!$Z$4:$Z$4))/_xlfn.XLOOKUP(_xlfn.XLOOKUP($A776,'[1]DATOS PBI Artículos'!$A$4:$A$4,'[1]DATOS PBI Artículos'!$Y$4:$Y$4),[1]CRITERIOS!$P$79:$P$123,[1]CRITERIOS!$S$79:$S$123,),0)</f>
        <v>#N/A</v>
      </c>
      <c r="AC776" s="33" t="e">
        <f>IF(N776=0,"",(ROUNDUP((N776/2)/(_xlfn.XLOOKUP(A776,'[1]DATOS PBI Artículos'!$A$4:$A$4,'[1]DATOS PBI Artículos'!$Z$4:$Z$4)*_xlfn.XLOOKUP(_xlfn.XLOOKUP(A776,'[1]DATOS PBI Artículos'!$A$4:$A$4,'[1]DATOS PBI Artículos'!$Y$4:$Y$4),[1]CRITERIOS!$P$79:$P$123,[1]CRITERIOS!$S$79:$S$123)),0)*[1]CRITERIOS!$M$80*([1]CRITERIOS!$M$110/[1]CRITERIOS!$M$86)+(_xlfn.XLOOKUP(A776,'[1]DATOS PBI Artículos'!$A$4:$A$4,'[1]DATOS PBI Artículos'!$AA$4:$AA$4)*([1]CRITERIOS!$M$95+[1]CRITERIOS!$M$98)))/N776)</f>
        <v>#N/A</v>
      </c>
      <c r="AD776" s="33" t="e">
        <f>IF(N776=0,"",(ROUNDUP((N776/2)/(_xlfn.XLOOKUP(A776,'[1]DATOS PBI Artículos'!$A$4:$A$4,'[1]DATOS PBI Artículos'!$Z$4:$Z$4)*_xlfn.XLOOKUP(_xlfn.XLOOKUP(A776,'[1]DATOS PBI Artículos'!$A$4:$A$4,'[1]DATOS PBI Artículos'!$Y$4:$Y$4),[1]CRITERIOS!$P$79:$P$123,[1]CRITERIOS!$S$79:$S$123)),0)*[1]CRITERIOS!$M$80*([1]CRITERIOS!$M$89*[1]CRITERIOS!$M$92)+((_xlfn.XLOOKUP(A776,'[1]DATOS PBI Artículos'!$A$4:$A$4,'[1]DATOS PBI Artículos'!$AA$4:$AA$4)/2)*([1]CRITERIOS!$M$95+[1]CRITERIOS!$M$98)))/N776)</f>
        <v>#N/A</v>
      </c>
      <c r="AE776" s="39" t="e">
        <f>IF($R776="MTO","",
IF($H776=0,ROUNDUP(((_xlfn.XLOOKUP($A776,'[1]DATOS PBI Artículos'!$A:$A,'[1]DATOS PBI Artículos'!$AL:$AL))/(_xlfn.XLOOKUP($AF$1,[1]CRITERIOS!$S$16:$S$39,[1]CRITERIOS!$Y$16:$Y$39))*$J776+$Z776)/$G776,0)*$G776,
((_xlfn.XLOOKUP($A776,'[1]DATOS PBI Artículos'!$A:$A,'[1]DATOS PBI Artículos'!$AL:$AL))/(_xlfn.XLOOKUP($AF$1,[1]CRITERIOS!$S$16:$S$39,[1]CRITERIOS!$Y$16:$Y$39))*$J776+$Z776)))</f>
        <v>#N/A</v>
      </c>
      <c r="AG776" s="39" t="e">
        <f>IF($R776="MTO","",
IF($H776=0,ROUNDUP(((_xlfn.XLOOKUP($A776,'[1]DATOS PBI Artículos'!$A:$A,'[1]DATOS PBI Artículos'!$AM:$AM))/(_xlfn.XLOOKUP($AH$1,[1]CRITERIOS!$S$16:$S$39,[1]CRITERIOS!$Y$16:$Y$39))*$J776+$Z776)/$G776,0)*$G776,
((_xlfn.XLOOKUP($A776,'[1]DATOS PBI Artículos'!$A:$A,'[1]DATOS PBI Artículos'!$AM:$AM))/(_xlfn.XLOOKUP($AH$1,[1]CRITERIOS!$S$16:$S$39,[1]CRITERIOS!$Y$16:$Y$39))*$J776+$Z776)))</f>
        <v>#N/A</v>
      </c>
      <c r="AI776" s="39" t="e">
        <f>IF($R776="MTO","",
IF($H776=0,ROUNDUP(((_xlfn.XLOOKUP($A776,'[1]DATOS PBI Artículos'!$A:$A,'[1]DATOS PBI Artículos'!$AN:$AN))/(_xlfn.XLOOKUP($AJ$1,[1]CRITERIOS!$S$16:$S$39,[1]CRITERIOS!$Y$16:$Y$39))*$J776+$Z776)/$G776,0)*$G776,
((_xlfn.XLOOKUP($A776,'[1]DATOS PBI Artículos'!$A:$A,'[1]DATOS PBI Artículos'!$AN:$AN))/(_xlfn.XLOOKUP($AJ$1,[1]CRITERIOS!$S$16:$S$39,[1]CRITERIOS!$Y$16:$Y$39))*$J776+$Z776)))</f>
        <v>#N/A</v>
      </c>
      <c r="AK776" s="39" t="e">
        <f>IF($R776="MTO","",
IF($H776=0,ROUNDUP(((_xlfn.XLOOKUP($A776,'[1]DATOS PBI Artículos'!$A:$A,'[1]DATOS PBI Artículos'!$AO:$AO))/(_xlfn.XLOOKUP($AL$1,[1]CRITERIOS!$S$16:$S$39,[1]CRITERIOS!$Y$16:$Y$39))*$J776+$Z776)/$G776,0)*$G776,
((_xlfn.XLOOKUP($A776,'[1]DATOS PBI Artículos'!$A:$A,'[1]DATOS PBI Artículos'!$AO:$AO))/(_xlfn.XLOOKUP($AL$1,[1]CRITERIOS!$S$16:$S$39,[1]CRITERIOS!$Y$16:$Y$39))*$J776+$Z776)))</f>
        <v>#N/A</v>
      </c>
    </row>
    <row r="777" spans="1:37" ht="25.8" hidden="1" x14ac:dyDescent="0.4">
      <c r="A777" s="41"/>
      <c r="B777" s="33">
        <f>_xlfn.XLOOKUP($A777,'[1]DATOS PBI Artículos'!A:A,'[1]DATOS PBI Artículos'!B:B)</f>
        <v>0</v>
      </c>
      <c r="C777" s="33">
        <f>_xlfn.XLOOKUP($A777,'[1]DATOS PBI Artículos'!A:A,'[1]DATOS PBI Artículos'!C:C)</f>
        <v>0</v>
      </c>
      <c r="D777" s="33">
        <f>_xlfn.XLOOKUP(A777,'[1]DATOS PBI Artículos'!A:A,'[1]DATOS PBI Artículos'!T:T)</f>
        <v>0</v>
      </c>
      <c r="E777" s="34">
        <f>IF(_xlfn.XLOOKUP($A777,'[1]DATOS PBI Artículos'!A:A,'[1]DATOS PBI Artículos'!AK:AK)="",_xlfn.XLOOKUP($A777,'[1]DATOS PBI Artículos'!A:A,'[1]DATOS PBI Artículos'!AJ:AJ),_xlfn.XLOOKUP($A777,'[1]DATOS PBI Artículos'!A:A,'[1]DATOS PBI Artículos'!AK:AK))</f>
        <v>0</v>
      </c>
      <c r="F777" s="35">
        <f>_xlfn.XLOOKUP($A777,'[1]DATOS PBI Artículos'!A:A,'[1]DATOS PBI Artículos'!AP:AP)</f>
        <v>0</v>
      </c>
      <c r="G777" s="34">
        <f>_xlfn.XLOOKUP($A777,'[1]DATOS PBI Artículos'!A:A,'[1]DATOS PBI Artículos'!AR:AR)</f>
        <v>0</v>
      </c>
      <c r="H777" s="34">
        <f>_xlfn.XLOOKUP($A777,'[1]DATOS PBI Artículos'!A:A,'[1]DATOS PBI Artículos'!AT:AT)</f>
        <v>0</v>
      </c>
      <c r="I777" s="34">
        <f>_xlfn.XLOOKUP($A777,'[1]DATOS PBI Artículos'!A:A,'[1]DATOS PBI Artículos'!AS:AS)</f>
        <v>0</v>
      </c>
      <c r="J777" s="35">
        <f>IF(COUNTIF([1]CRITERIOS!$F$179:$F$199,$A777)&gt;=1,
 IF(O777&lt;&gt;"",
    (O777/_xlfn.XLOOKUP(CONCATENATE(A777,L777),[1]MÁQUINAS!A:A,[1]MÁQUINAS!D:D))/24,
    (N777/_xlfn.XLOOKUP(CONCATENATE(A777,L777),[1]MÁQUINAS!A:A,[1]MÁQUINAS!D:D))/24),
  _xlfn.XLOOKUP($A777,'[1]DATOS PBI Artículos'!A:A,'[1]DATOS PBI Artículos'!AU:AU))</f>
        <v>0</v>
      </c>
      <c r="K777" s="36">
        <f>_xlfn.XLOOKUP($A777,'[1]DATOS PBI Artículos'!A:A,'[1]DATOS PBI Artículos'!AV:AV)</f>
        <v>0</v>
      </c>
      <c r="L777" s="33">
        <f>_xlfn.XLOOKUP(A777,[1]MÁQUINAS!B:B,[1]MÁQUINAS!C:C)</f>
        <v>0</v>
      </c>
      <c r="M777" s="34">
        <f t="array" ref="M777">_xlfn.XLOOKUP(A777,'[1]DATOS PBI Artículos'!A:A,'[1]DATOS PBI Artículos'!AX:$AX)</f>
        <v>0</v>
      </c>
      <c r="N777" s="37" t="e">
        <f>IF(I777="DV",
E777,
IF(COUNTIF([1]CRITERIOS!$I$179:$I$199,$A777)&gt;=1,
_xlfn.XLOOKUP($A777,[1]CRITERIOS!$I$179:$I$199,[1]CRITERIOS!$J$179:$J$199),
IF(COUNTIF([1]CRITERIOS!$L$179:$L$199,$A777)&gt;=1,
_xlfn.CEILING.MATH(IF($M777&gt;$E777,
$E777,
IF($M777&lt;$E777/ROUNDDOWN([1]CRITERIOS!$M$16/_xlfn.XLOOKUP($C777,[1]CRITERIOS!$K$25:$K$42,[1]CRITERIOS!$M$25:$M$42),
1),
E777/ROUNDDOWN([1]CRITERIOS!$M$16/_xlfn.XLOOKUP($C777,[1]CRITERIOS!$K$25:$K$42,[1]CRITERIOS!$M$25:$M$42),
1),
$M777)),
_xlfn.XLOOKUP($A777,[1]CRITERIOS!$L$179:$L$200,[1]CRITERIOS!$M$179:$M$200)),
_xlfn.CEILING.MATH(IF($M777&gt;$E777,
$E777,
IF($M777&lt;$E777/ROUNDDOWN([1]CRITERIOS!$M$16/_xlfn.XLOOKUP($C777,[1]CRITERIOS!$K$25:$K$42,[1]CRITERIOS!$M$25:$M$42),
1),
E777/ROUNDDOWN([1]CRITERIOS!$M$16/_xlfn.XLOOKUP($C777,[1]CRITERIOS!$K$25:$K$42,[1]CRITERIOS!$M$25:$M$42),
1),
$M777)),_xlfn.XLOOKUP(A777,'[1]DATOS PBI Artículos'!A:A,'[1]DATOS PBI Artículos'!Z:Z
)))))</f>
        <v>#N/A</v>
      </c>
      <c r="Q777" s="38" t="e">
        <f>IF(AND(O777="",N777=0),
0,
   IF(COUNTIF([1]CRITERIOS!$F$179:$F$199,$A777)&gt;=1,
   1,
   IF(R777="MTO",
      $D777,
      ROUNDUP(
                    IF(($E777-SUMIF('[1]DATOS PBI Artículos'!A:A,A777,'[1]DATOS PBI Artículos'!X:X)+($V777-_xlfn.XLOOKUP(A777,'[1]DATOS PBI Artículos'!A:A,'[1]DATOS PBI Artículos'!W:W)))&lt;0,
                    0,
                    IF(($E777-SUMIF('[1]DATOS PBI Artículos'!A:A,A777,'[1]DATOS PBI Artículos'!X:X)+$V777-_xlfn.XLOOKUP($A777,'[1]DATOS PBI Artículos'!A:A,'[1]DATOS PBI Artículos'!W:W))/IF($O777="",$N777,$O777)&gt;ROUNDUP([1]CRITERIOS!$M$16/(IF(COUNTIF([1]CRITERIOS!$BG$11:$BG$201,L777)&gt;=1,_xlfn.XLOOKUP($C777,[1]CRITERIOS!$K$25:$K$42,[1]CRITERIOS!$M$25:$M$42),_xlfn.XLOOKUP($C777,[1]CRITERIOS!$K$25:$K$42,[1]CRITERIOS!$M$25:$M$42))),0),
                    ROUNDUP([1]CRITERIOS!$M$16/(IF(COUNTIF([1]CRITERIOS!$BG$11:$BG$201,$L777)&gt;=1,_xlfn.XLOOKUP($C777,[1]CRITERIOS!$K$25:$K$42,[1]CRITERIOS!$M$25:$M$42),_xlfn.XLOOKUP($C777,[1]CRITERIOS!$K$25:$K$42,[1]CRITERIOS!$M$25:$M$42))),0),
                    (E777+V777-SUMIF('[1]DATOS PBI Artículos'!A:A,A777,'[1]DATOS PBI Artículos'!X:X)-_xlfn.XLOOKUP(A777,'[1]DATOS PBI Artículos'!A:A,'[1]DATOS PBI Artículos'!W:W))/IF($O777="",$N777,$O777))),0))))</f>
        <v>#N/A</v>
      </c>
      <c r="R777" s="33" t="e">
        <f>IF(U777&lt;&gt;"",U777,IF(F777="DV","MTO",IF(N777=0,"MTO",_xlfn.XLOOKUP(CONCATENATE(S777,T777),[1]CRITERIOS!$K$160:$K$168,[1]CRITERIOS!$N$160:$N$168))))</f>
        <v>#N/A</v>
      </c>
      <c r="S777" s="33" t="e">
        <f>IF(G777="DV","MTO",IF(N777=0,"MTO",IF(OR(AND(N777=0,O777=""),IF(O777="",G777/N777,G777/O777)&gt;[1]CRITERIOS!$G$163),"MTO",IF(IF(O777="",G777/N777,G777/O777)&lt;[1]CRITERIOS!$H$161,"MTS","MTOS"))))</f>
        <v>#N/A</v>
      </c>
      <c r="T777" s="33" t="e">
        <f>IF(F777="DV","MTO",IF(OR(AND($N777=0,O777=""),$F777/$J777&gt;[1]CRITERIOS!$G$170,$F777="DV"),"MTO",IF($F777/$J777&lt;[1]CRITERIOS!$H$168,"MTS","MTOS")))</f>
        <v>#N/A</v>
      </c>
      <c r="V777" s="34" t="e">
        <f t="shared" si="37"/>
        <v>#N/A</v>
      </c>
      <c r="X777" s="34" t="e">
        <f t="shared" si="38"/>
        <v>#N/A</v>
      </c>
      <c r="Y777" s="34" t="e">
        <f t="shared" si="39"/>
        <v>#N/A</v>
      </c>
      <c r="Z777" s="34" t="e">
        <f>IF($R777="MTO",
0,
($H777+$K777*($E777/[1]CRITERIOS!$M$16))/[1]CRITERIOS!$X$48)</f>
        <v>#N/A</v>
      </c>
      <c r="AA777" s="34" t="e">
        <f>ROUNDUP(($Y777/_xlfn.XLOOKUP($A777,'[1]DATOS PBI Artículos'!$A$4:$A$4,'[1]DATOS PBI Artículos'!$Z$4:$Z$4))/_xlfn.XLOOKUP(_xlfn.XLOOKUP($A777,'[1]DATOS PBI Artículos'!$A$4:$A$4,'[1]DATOS PBI Artículos'!$Y$4:$Y$4),[1]CRITERIOS!$P$79:$P$123,[1]CRITERIOS!$S$79:$S$123,),0)</f>
        <v>#N/A</v>
      </c>
      <c r="AC777" s="33" t="e">
        <f>IF(N777=0,"",(ROUNDUP((N777/2)/(_xlfn.XLOOKUP(A777,'[1]DATOS PBI Artículos'!$A$4:$A$4,'[1]DATOS PBI Artículos'!$Z$4:$Z$4)*_xlfn.XLOOKUP(_xlfn.XLOOKUP(A777,'[1]DATOS PBI Artículos'!$A$4:$A$4,'[1]DATOS PBI Artículos'!$Y$4:$Y$4),[1]CRITERIOS!$P$79:$P$123,[1]CRITERIOS!$S$79:$S$123)),0)*[1]CRITERIOS!$M$80*([1]CRITERIOS!$M$110/[1]CRITERIOS!$M$86)+(_xlfn.XLOOKUP(A777,'[1]DATOS PBI Artículos'!$A$4:$A$4,'[1]DATOS PBI Artículos'!$AA$4:$AA$4)*([1]CRITERIOS!$M$95+[1]CRITERIOS!$M$98)))/N777)</f>
        <v>#N/A</v>
      </c>
      <c r="AD777" s="33" t="e">
        <f>IF(N777=0,"",(ROUNDUP((N777/2)/(_xlfn.XLOOKUP(A777,'[1]DATOS PBI Artículos'!$A$4:$A$4,'[1]DATOS PBI Artículos'!$Z$4:$Z$4)*_xlfn.XLOOKUP(_xlfn.XLOOKUP(A777,'[1]DATOS PBI Artículos'!$A$4:$A$4,'[1]DATOS PBI Artículos'!$Y$4:$Y$4),[1]CRITERIOS!$P$79:$P$123,[1]CRITERIOS!$S$79:$S$123)),0)*[1]CRITERIOS!$M$80*([1]CRITERIOS!$M$89*[1]CRITERIOS!$M$92)+((_xlfn.XLOOKUP(A777,'[1]DATOS PBI Artículos'!$A$4:$A$4,'[1]DATOS PBI Artículos'!$AA$4:$AA$4)/2)*([1]CRITERIOS!$M$95+[1]CRITERIOS!$M$98)))/N777)</f>
        <v>#N/A</v>
      </c>
      <c r="AE777" s="39" t="e">
        <f>IF($R777="MTO","",
IF($H777=0,ROUNDUP(((_xlfn.XLOOKUP($A777,'[1]DATOS PBI Artículos'!$A:$A,'[1]DATOS PBI Artículos'!$AL:$AL))/(_xlfn.XLOOKUP($AF$1,[1]CRITERIOS!$S$16:$S$39,[1]CRITERIOS!$Y$16:$Y$39))*$J777+$Z777)/$G777,0)*$G777,
((_xlfn.XLOOKUP($A777,'[1]DATOS PBI Artículos'!$A:$A,'[1]DATOS PBI Artículos'!$AL:$AL))/(_xlfn.XLOOKUP($AF$1,[1]CRITERIOS!$S$16:$S$39,[1]CRITERIOS!$Y$16:$Y$39))*$J777+$Z777)))</f>
        <v>#N/A</v>
      </c>
      <c r="AG777" s="39" t="e">
        <f>IF($R777="MTO","",
IF($H777=0,ROUNDUP(((_xlfn.XLOOKUP($A777,'[1]DATOS PBI Artículos'!$A:$A,'[1]DATOS PBI Artículos'!$AM:$AM))/(_xlfn.XLOOKUP($AH$1,[1]CRITERIOS!$S$16:$S$39,[1]CRITERIOS!$Y$16:$Y$39))*$J777+$Z777)/$G777,0)*$G777,
((_xlfn.XLOOKUP($A777,'[1]DATOS PBI Artículos'!$A:$A,'[1]DATOS PBI Artículos'!$AM:$AM))/(_xlfn.XLOOKUP($AH$1,[1]CRITERIOS!$S$16:$S$39,[1]CRITERIOS!$Y$16:$Y$39))*$J777+$Z777)))</f>
        <v>#N/A</v>
      </c>
      <c r="AI777" s="39" t="e">
        <f>IF($R777="MTO","",
IF($H777=0,ROUNDUP(((_xlfn.XLOOKUP($A777,'[1]DATOS PBI Artículos'!$A:$A,'[1]DATOS PBI Artículos'!$AN:$AN))/(_xlfn.XLOOKUP($AJ$1,[1]CRITERIOS!$S$16:$S$39,[1]CRITERIOS!$Y$16:$Y$39))*$J777+$Z777)/$G777,0)*$G777,
((_xlfn.XLOOKUP($A777,'[1]DATOS PBI Artículos'!$A:$A,'[1]DATOS PBI Artículos'!$AN:$AN))/(_xlfn.XLOOKUP($AJ$1,[1]CRITERIOS!$S$16:$S$39,[1]CRITERIOS!$Y$16:$Y$39))*$J777+$Z777)))</f>
        <v>#N/A</v>
      </c>
      <c r="AK777" s="39" t="e">
        <f>IF($R777="MTO","",
IF($H777=0,ROUNDUP(((_xlfn.XLOOKUP($A777,'[1]DATOS PBI Artículos'!$A:$A,'[1]DATOS PBI Artículos'!$AO:$AO))/(_xlfn.XLOOKUP($AL$1,[1]CRITERIOS!$S$16:$S$39,[1]CRITERIOS!$Y$16:$Y$39))*$J777+$Z777)/$G777,0)*$G777,
((_xlfn.XLOOKUP($A777,'[1]DATOS PBI Artículos'!$A:$A,'[1]DATOS PBI Artículos'!$AO:$AO))/(_xlfn.XLOOKUP($AL$1,[1]CRITERIOS!$S$16:$S$39,[1]CRITERIOS!$Y$16:$Y$39))*$J777+$Z777)))</f>
        <v>#N/A</v>
      </c>
    </row>
    <row r="778" spans="1:37" ht="25.8" hidden="1" x14ac:dyDescent="0.4">
      <c r="A778" s="41"/>
      <c r="B778" s="33">
        <f>_xlfn.XLOOKUP($A778,'[1]DATOS PBI Artículos'!A:A,'[1]DATOS PBI Artículos'!B:B)</f>
        <v>0</v>
      </c>
      <c r="C778" s="33">
        <f>_xlfn.XLOOKUP($A778,'[1]DATOS PBI Artículos'!A:A,'[1]DATOS PBI Artículos'!C:C)</f>
        <v>0</v>
      </c>
      <c r="D778" s="33">
        <f>_xlfn.XLOOKUP(A778,'[1]DATOS PBI Artículos'!A:A,'[1]DATOS PBI Artículos'!T:T)</f>
        <v>0</v>
      </c>
      <c r="E778" s="34">
        <f>IF(_xlfn.XLOOKUP($A778,'[1]DATOS PBI Artículos'!A:A,'[1]DATOS PBI Artículos'!AK:AK)="",_xlfn.XLOOKUP($A778,'[1]DATOS PBI Artículos'!A:A,'[1]DATOS PBI Artículos'!AJ:AJ),_xlfn.XLOOKUP($A778,'[1]DATOS PBI Artículos'!A:A,'[1]DATOS PBI Artículos'!AK:AK))</f>
        <v>0</v>
      </c>
      <c r="F778" s="35">
        <f>_xlfn.XLOOKUP($A778,'[1]DATOS PBI Artículos'!A:A,'[1]DATOS PBI Artículos'!AP:AP)</f>
        <v>0</v>
      </c>
      <c r="G778" s="34">
        <f>_xlfn.XLOOKUP($A778,'[1]DATOS PBI Artículos'!A:A,'[1]DATOS PBI Artículos'!AR:AR)</f>
        <v>0</v>
      </c>
      <c r="H778" s="34">
        <f>_xlfn.XLOOKUP($A778,'[1]DATOS PBI Artículos'!A:A,'[1]DATOS PBI Artículos'!AT:AT)</f>
        <v>0</v>
      </c>
      <c r="I778" s="34">
        <f>_xlfn.XLOOKUP($A778,'[1]DATOS PBI Artículos'!A:A,'[1]DATOS PBI Artículos'!AS:AS)</f>
        <v>0</v>
      </c>
      <c r="J778" s="35">
        <f>IF(COUNTIF([1]CRITERIOS!$F$179:$F$199,$A778)&gt;=1,
 IF(O778&lt;&gt;"",
    (O778/_xlfn.XLOOKUP(CONCATENATE(A778,L778),[1]MÁQUINAS!A:A,[1]MÁQUINAS!D:D))/24,
    (N778/_xlfn.XLOOKUP(CONCATENATE(A778,L778),[1]MÁQUINAS!A:A,[1]MÁQUINAS!D:D))/24),
  _xlfn.XLOOKUP($A778,'[1]DATOS PBI Artículos'!A:A,'[1]DATOS PBI Artículos'!AU:AU))</f>
        <v>0</v>
      </c>
      <c r="K778" s="36">
        <f>_xlfn.XLOOKUP($A778,'[1]DATOS PBI Artículos'!A:A,'[1]DATOS PBI Artículos'!AV:AV)</f>
        <v>0</v>
      </c>
      <c r="L778" s="33">
        <f>_xlfn.XLOOKUP(A778,[1]MÁQUINAS!B:B,[1]MÁQUINAS!C:C)</f>
        <v>0</v>
      </c>
      <c r="M778" s="34">
        <f t="array" ref="M778">_xlfn.XLOOKUP(A778,'[1]DATOS PBI Artículos'!A:A,'[1]DATOS PBI Artículos'!AX:$AX)</f>
        <v>0</v>
      </c>
      <c r="N778" s="37" t="e">
        <f>IF(I778="DV",
E778,
IF(COUNTIF([1]CRITERIOS!$I$179:$I$199,$A778)&gt;=1,
_xlfn.XLOOKUP($A778,[1]CRITERIOS!$I$179:$I$199,[1]CRITERIOS!$J$179:$J$199),
IF(COUNTIF([1]CRITERIOS!$L$179:$L$199,$A778)&gt;=1,
_xlfn.CEILING.MATH(IF($M778&gt;$E778,
$E778,
IF($M778&lt;$E778/ROUNDDOWN([1]CRITERIOS!$M$16/_xlfn.XLOOKUP($C778,[1]CRITERIOS!$K$25:$K$42,[1]CRITERIOS!$M$25:$M$42),
1),
E778/ROUNDDOWN([1]CRITERIOS!$M$16/_xlfn.XLOOKUP($C778,[1]CRITERIOS!$K$25:$K$42,[1]CRITERIOS!$M$25:$M$42),
1),
$M778)),
_xlfn.XLOOKUP($A778,[1]CRITERIOS!$L$179:$L$200,[1]CRITERIOS!$M$179:$M$200)),
_xlfn.CEILING.MATH(IF($M778&gt;$E778,
$E778,
IF($M778&lt;$E778/ROUNDDOWN([1]CRITERIOS!$M$16/_xlfn.XLOOKUP($C778,[1]CRITERIOS!$K$25:$K$42,[1]CRITERIOS!$M$25:$M$42),
1),
E778/ROUNDDOWN([1]CRITERIOS!$M$16/_xlfn.XLOOKUP($C778,[1]CRITERIOS!$K$25:$K$42,[1]CRITERIOS!$M$25:$M$42),
1),
$M778)),_xlfn.XLOOKUP(A778,'[1]DATOS PBI Artículos'!A:A,'[1]DATOS PBI Artículos'!Z:Z
)))))</f>
        <v>#N/A</v>
      </c>
      <c r="Q778" s="38" t="e">
        <f>IF(AND(O778="",N778=0),
0,
   IF(COUNTIF([1]CRITERIOS!$F$179:$F$199,$A778)&gt;=1,
   1,
   IF(R778="MTO",
      $D778,
      ROUNDUP(
                    IF(($E778-SUMIF('[1]DATOS PBI Artículos'!A:A,A778,'[1]DATOS PBI Artículos'!X:X)+($V778-_xlfn.XLOOKUP(A778,'[1]DATOS PBI Artículos'!A:A,'[1]DATOS PBI Artículos'!W:W)))&lt;0,
                    0,
                    IF(($E778-SUMIF('[1]DATOS PBI Artículos'!A:A,A778,'[1]DATOS PBI Artículos'!X:X)+$V778-_xlfn.XLOOKUP($A778,'[1]DATOS PBI Artículos'!A:A,'[1]DATOS PBI Artículos'!W:W))/IF($O778="",$N778,$O778)&gt;ROUNDUP([1]CRITERIOS!$M$16/(IF(COUNTIF([1]CRITERIOS!$BG$11:$BG$201,L778)&gt;=1,_xlfn.XLOOKUP($C778,[1]CRITERIOS!$K$25:$K$42,[1]CRITERIOS!$M$25:$M$42),_xlfn.XLOOKUP($C778,[1]CRITERIOS!$K$25:$K$42,[1]CRITERIOS!$M$25:$M$42))),0),
                    ROUNDUP([1]CRITERIOS!$M$16/(IF(COUNTIF([1]CRITERIOS!$BG$11:$BG$201,$L778)&gt;=1,_xlfn.XLOOKUP($C778,[1]CRITERIOS!$K$25:$K$42,[1]CRITERIOS!$M$25:$M$42),_xlfn.XLOOKUP($C778,[1]CRITERIOS!$K$25:$K$42,[1]CRITERIOS!$M$25:$M$42))),0),
                    (E778+V778-SUMIF('[1]DATOS PBI Artículos'!A:A,A778,'[1]DATOS PBI Artículos'!X:X)-_xlfn.XLOOKUP(A778,'[1]DATOS PBI Artículos'!A:A,'[1]DATOS PBI Artículos'!W:W))/IF($O778="",$N778,$O778))),0))))</f>
        <v>#N/A</v>
      </c>
      <c r="R778" s="33" t="e">
        <f>IF(U778&lt;&gt;"",U778,IF(F778="DV","MTO",IF(N778=0,"MTO",_xlfn.XLOOKUP(CONCATENATE(S778,T778),[1]CRITERIOS!$K$160:$K$168,[1]CRITERIOS!$N$160:$N$168))))</f>
        <v>#N/A</v>
      </c>
      <c r="S778" s="33" t="e">
        <f>IF(G778="DV","MTO",IF(N778=0,"MTO",IF(OR(AND(N778=0,O778=""),IF(O778="",G778/N778,G778/O778)&gt;[1]CRITERIOS!$G$163),"MTO",IF(IF(O778="",G778/N778,G778/O778)&lt;[1]CRITERIOS!$H$161,"MTS","MTOS"))))</f>
        <v>#N/A</v>
      </c>
      <c r="T778" s="33" t="e">
        <f>IF(F778="DV","MTO",IF(OR(AND($N778=0,O778=""),$F778/$J778&gt;[1]CRITERIOS!$G$170,$F778="DV"),"MTO",IF($F778/$J778&lt;[1]CRITERIOS!$H$168,"MTS","MTOS")))</f>
        <v>#N/A</v>
      </c>
      <c r="V778" s="34" t="e">
        <f t="shared" si="37"/>
        <v>#N/A</v>
      </c>
      <c r="X778" s="34" t="e">
        <f t="shared" si="38"/>
        <v>#N/A</v>
      </c>
      <c r="Y778" s="34" t="e">
        <f t="shared" si="39"/>
        <v>#N/A</v>
      </c>
      <c r="Z778" s="34" t="e">
        <f>IF($R778="MTO",
0,
($H778+$K778*($E778/[1]CRITERIOS!$M$16))/[1]CRITERIOS!$X$48)</f>
        <v>#N/A</v>
      </c>
      <c r="AA778" s="34" t="e">
        <f>ROUNDUP(($Y778/_xlfn.XLOOKUP($A778,'[1]DATOS PBI Artículos'!$A$4:$A$4,'[1]DATOS PBI Artículos'!$Z$4:$Z$4))/_xlfn.XLOOKUP(_xlfn.XLOOKUP($A778,'[1]DATOS PBI Artículos'!$A$4:$A$4,'[1]DATOS PBI Artículos'!$Y$4:$Y$4),[1]CRITERIOS!$P$79:$P$123,[1]CRITERIOS!$S$79:$S$123,),0)</f>
        <v>#N/A</v>
      </c>
      <c r="AC778" s="33" t="e">
        <f>IF(N778=0,"",(ROUNDUP((N778/2)/(_xlfn.XLOOKUP(A778,'[1]DATOS PBI Artículos'!$A$4:$A$4,'[1]DATOS PBI Artículos'!$Z$4:$Z$4)*_xlfn.XLOOKUP(_xlfn.XLOOKUP(A778,'[1]DATOS PBI Artículos'!$A$4:$A$4,'[1]DATOS PBI Artículos'!$Y$4:$Y$4),[1]CRITERIOS!$P$79:$P$123,[1]CRITERIOS!$S$79:$S$123)),0)*[1]CRITERIOS!$M$80*([1]CRITERIOS!$M$110/[1]CRITERIOS!$M$86)+(_xlfn.XLOOKUP(A778,'[1]DATOS PBI Artículos'!$A$4:$A$4,'[1]DATOS PBI Artículos'!$AA$4:$AA$4)*([1]CRITERIOS!$M$95+[1]CRITERIOS!$M$98)))/N778)</f>
        <v>#N/A</v>
      </c>
      <c r="AD778" s="33" t="e">
        <f>IF(N778=0,"",(ROUNDUP((N778/2)/(_xlfn.XLOOKUP(A778,'[1]DATOS PBI Artículos'!$A$4:$A$4,'[1]DATOS PBI Artículos'!$Z$4:$Z$4)*_xlfn.XLOOKUP(_xlfn.XLOOKUP(A778,'[1]DATOS PBI Artículos'!$A$4:$A$4,'[1]DATOS PBI Artículos'!$Y$4:$Y$4),[1]CRITERIOS!$P$79:$P$123,[1]CRITERIOS!$S$79:$S$123)),0)*[1]CRITERIOS!$M$80*([1]CRITERIOS!$M$89*[1]CRITERIOS!$M$92)+((_xlfn.XLOOKUP(A778,'[1]DATOS PBI Artículos'!$A$4:$A$4,'[1]DATOS PBI Artículos'!$AA$4:$AA$4)/2)*([1]CRITERIOS!$M$95+[1]CRITERIOS!$M$98)))/N778)</f>
        <v>#N/A</v>
      </c>
      <c r="AE778" s="39" t="e">
        <f>IF($R778="MTO","",
IF($H778=0,ROUNDUP(((_xlfn.XLOOKUP($A778,'[1]DATOS PBI Artículos'!$A:$A,'[1]DATOS PBI Artículos'!$AL:$AL))/(_xlfn.XLOOKUP($AF$1,[1]CRITERIOS!$S$16:$S$39,[1]CRITERIOS!$Y$16:$Y$39))*$J778+$Z778)/$G778,0)*$G778,
((_xlfn.XLOOKUP($A778,'[1]DATOS PBI Artículos'!$A:$A,'[1]DATOS PBI Artículos'!$AL:$AL))/(_xlfn.XLOOKUP($AF$1,[1]CRITERIOS!$S$16:$S$39,[1]CRITERIOS!$Y$16:$Y$39))*$J778+$Z778)))</f>
        <v>#N/A</v>
      </c>
      <c r="AG778" s="39" t="e">
        <f>IF($R778="MTO","",
IF($H778=0,ROUNDUP(((_xlfn.XLOOKUP($A778,'[1]DATOS PBI Artículos'!$A:$A,'[1]DATOS PBI Artículos'!$AM:$AM))/(_xlfn.XLOOKUP($AH$1,[1]CRITERIOS!$S$16:$S$39,[1]CRITERIOS!$Y$16:$Y$39))*$J778+$Z778)/$G778,0)*$G778,
((_xlfn.XLOOKUP($A778,'[1]DATOS PBI Artículos'!$A:$A,'[1]DATOS PBI Artículos'!$AM:$AM))/(_xlfn.XLOOKUP($AH$1,[1]CRITERIOS!$S$16:$S$39,[1]CRITERIOS!$Y$16:$Y$39))*$J778+$Z778)))</f>
        <v>#N/A</v>
      </c>
      <c r="AI778" s="39" t="e">
        <f>IF($R778="MTO","",
IF($H778=0,ROUNDUP(((_xlfn.XLOOKUP($A778,'[1]DATOS PBI Artículos'!$A:$A,'[1]DATOS PBI Artículos'!$AN:$AN))/(_xlfn.XLOOKUP($AJ$1,[1]CRITERIOS!$S$16:$S$39,[1]CRITERIOS!$Y$16:$Y$39))*$J778+$Z778)/$G778,0)*$G778,
((_xlfn.XLOOKUP($A778,'[1]DATOS PBI Artículos'!$A:$A,'[1]DATOS PBI Artículos'!$AN:$AN))/(_xlfn.XLOOKUP($AJ$1,[1]CRITERIOS!$S$16:$S$39,[1]CRITERIOS!$Y$16:$Y$39))*$J778+$Z778)))</f>
        <v>#N/A</v>
      </c>
      <c r="AK778" s="39" t="e">
        <f>IF($R778="MTO","",
IF($H778=0,ROUNDUP(((_xlfn.XLOOKUP($A778,'[1]DATOS PBI Artículos'!$A:$A,'[1]DATOS PBI Artículos'!$AO:$AO))/(_xlfn.XLOOKUP($AL$1,[1]CRITERIOS!$S$16:$S$39,[1]CRITERIOS!$Y$16:$Y$39))*$J778+$Z778)/$G778,0)*$G778,
((_xlfn.XLOOKUP($A778,'[1]DATOS PBI Artículos'!$A:$A,'[1]DATOS PBI Artículos'!$AO:$AO))/(_xlfn.XLOOKUP($AL$1,[1]CRITERIOS!$S$16:$S$39,[1]CRITERIOS!$Y$16:$Y$39))*$J778+$Z778)))</f>
        <v>#N/A</v>
      </c>
    </row>
    <row r="779" spans="1:37" ht="25.8" hidden="1" x14ac:dyDescent="0.4">
      <c r="A779" s="41"/>
      <c r="B779" s="33">
        <f>_xlfn.XLOOKUP($A779,'[1]DATOS PBI Artículos'!A:A,'[1]DATOS PBI Artículos'!B:B)</f>
        <v>0</v>
      </c>
      <c r="C779" s="33">
        <f>_xlfn.XLOOKUP($A779,'[1]DATOS PBI Artículos'!A:A,'[1]DATOS PBI Artículos'!C:C)</f>
        <v>0</v>
      </c>
      <c r="D779" s="33">
        <f>_xlfn.XLOOKUP(A779,'[1]DATOS PBI Artículos'!A:A,'[1]DATOS PBI Artículos'!T:T)</f>
        <v>0</v>
      </c>
      <c r="E779" s="34">
        <f>IF(_xlfn.XLOOKUP($A779,'[1]DATOS PBI Artículos'!A:A,'[1]DATOS PBI Artículos'!AK:AK)="",_xlfn.XLOOKUP($A779,'[1]DATOS PBI Artículos'!A:A,'[1]DATOS PBI Artículos'!AJ:AJ),_xlfn.XLOOKUP($A779,'[1]DATOS PBI Artículos'!A:A,'[1]DATOS PBI Artículos'!AK:AK))</f>
        <v>0</v>
      </c>
      <c r="F779" s="35">
        <f>_xlfn.XLOOKUP($A779,'[1]DATOS PBI Artículos'!A:A,'[1]DATOS PBI Artículos'!AP:AP)</f>
        <v>0</v>
      </c>
      <c r="G779" s="34">
        <f>_xlfn.XLOOKUP($A779,'[1]DATOS PBI Artículos'!A:A,'[1]DATOS PBI Artículos'!AR:AR)</f>
        <v>0</v>
      </c>
      <c r="H779" s="34">
        <f>_xlfn.XLOOKUP($A779,'[1]DATOS PBI Artículos'!A:A,'[1]DATOS PBI Artículos'!AT:AT)</f>
        <v>0</v>
      </c>
      <c r="I779" s="34">
        <f>_xlfn.XLOOKUP($A779,'[1]DATOS PBI Artículos'!A:A,'[1]DATOS PBI Artículos'!AS:AS)</f>
        <v>0</v>
      </c>
      <c r="J779" s="35">
        <f>IF(COUNTIF([1]CRITERIOS!$F$179:$F$199,$A779)&gt;=1,
 IF(O779&lt;&gt;"",
    (O779/_xlfn.XLOOKUP(CONCATENATE(A779,L779),[1]MÁQUINAS!A:A,[1]MÁQUINAS!D:D))/24,
    (N779/_xlfn.XLOOKUP(CONCATENATE(A779,L779),[1]MÁQUINAS!A:A,[1]MÁQUINAS!D:D))/24),
  _xlfn.XLOOKUP($A779,'[1]DATOS PBI Artículos'!A:A,'[1]DATOS PBI Artículos'!AU:AU))</f>
        <v>0</v>
      </c>
      <c r="K779" s="36">
        <f>_xlfn.XLOOKUP($A779,'[1]DATOS PBI Artículos'!A:A,'[1]DATOS PBI Artículos'!AV:AV)</f>
        <v>0</v>
      </c>
      <c r="L779" s="33">
        <f>_xlfn.XLOOKUP(A779,[1]MÁQUINAS!B:B,[1]MÁQUINAS!C:C)</f>
        <v>0</v>
      </c>
      <c r="M779" s="34">
        <f t="array" ref="M779">_xlfn.XLOOKUP(A779,'[1]DATOS PBI Artículos'!A:A,'[1]DATOS PBI Artículos'!AX:$AX)</f>
        <v>0</v>
      </c>
      <c r="N779" s="37" t="e">
        <f>IF(I779="DV",
E779,
IF(COUNTIF([1]CRITERIOS!$I$179:$I$199,$A779)&gt;=1,
_xlfn.XLOOKUP($A779,[1]CRITERIOS!$I$179:$I$199,[1]CRITERIOS!$J$179:$J$199),
IF(COUNTIF([1]CRITERIOS!$L$179:$L$199,$A779)&gt;=1,
_xlfn.CEILING.MATH(IF($M779&gt;$E779,
$E779,
IF($M779&lt;$E779/ROUNDDOWN([1]CRITERIOS!$M$16/_xlfn.XLOOKUP($C779,[1]CRITERIOS!$K$25:$K$42,[1]CRITERIOS!$M$25:$M$42),
1),
E779/ROUNDDOWN([1]CRITERIOS!$M$16/_xlfn.XLOOKUP($C779,[1]CRITERIOS!$K$25:$K$42,[1]CRITERIOS!$M$25:$M$42),
1),
$M779)),
_xlfn.XLOOKUP($A779,[1]CRITERIOS!$L$179:$L$200,[1]CRITERIOS!$M$179:$M$200)),
_xlfn.CEILING.MATH(IF($M779&gt;$E779,
$E779,
IF($M779&lt;$E779/ROUNDDOWN([1]CRITERIOS!$M$16/_xlfn.XLOOKUP($C779,[1]CRITERIOS!$K$25:$K$42,[1]CRITERIOS!$M$25:$M$42),
1),
E779/ROUNDDOWN([1]CRITERIOS!$M$16/_xlfn.XLOOKUP($C779,[1]CRITERIOS!$K$25:$K$42,[1]CRITERIOS!$M$25:$M$42),
1),
$M779)),_xlfn.XLOOKUP(A779,'[1]DATOS PBI Artículos'!A:A,'[1]DATOS PBI Artículos'!Z:Z
)))))</f>
        <v>#N/A</v>
      </c>
      <c r="Q779" s="38" t="e">
        <f>IF(AND(O779="",N779=0),
0,
   IF(COUNTIF([1]CRITERIOS!$F$179:$F$199,$A779)&gt;=1,
   1,
   IF(R779="MTO",
      $D779,
      ROUNDUP(
                    IF(($E779-SUMIF('[1]DATOS PBI Artículos'!A:A,A779,'[1]DATOS PBI Artículos'!X:X)+($V779-_xlfn.XLOOKUP(A779,'[1]DATOS PBI Artículos'!A:A,'[1]DATOS PBI Artículos'!W:W)))&lt;0,
                    0,
                    IF(($E779-SUMIF('[1]DATOS PBI Artículos'!A:A,A779,'[1]DATOS PBI Artículos'!X:X)+$V779-_xlfn.XLOOKUP($A779,'[1]DATOS PBI Artículos'!A:A,'[1]DATOS PBI Artículos'!W:W))/IF($O779="",$N779,$O779)&gt;ROUNDUP([1]CRITERIOS!$M$16/(IF(COUNTIF([1]CRITERIOS!$BG$11:$BG$201,L779)&gt;=1,_xlfn.XLOOKUP($C779,[1]CRITERIOS!$K$25:$K$42,[1]CRITERIOS!$M$25:$M$42),_xlfn.XLOOKUP($C779,[1]CRITERIOS!$K$25:$K$42,[1]CRITERIOS!$M$25:$M$42))),0),
                    ROUNDUP([1]CRITERIOS!$M$16/(IF(COUNTIF([1]CRITERIOS!$BG$11:$BG$201,$L779)&gt;=1,_xlfn.XLOOKUP($C779,[1]CRITERIOS!$K$25:$K$42,[1]CRITERIOS!$M$25:$M$42),_xlfn.XLOOKUP($C779,[1]CRITERIOS!$K$25:$K$42,[1]CRITERIOS!$M$25:$M$42))),0),
                    (E779+V779-SUMIF('[1]DATOS PBI Artículos'!A:A,A779,'[1]DATOS PBI Artículos'!X:X)-_xlfn.XLOOKUP(A779,'[1]DATOS PBI Artículos'!A:A,'[1]DATOS PBI Artículos'!W:W))/IF($O779="",$N779,$O779))),0))))</f>
        <v>#N/A</v>
      </c>
      <c r="R779" s="33" t="e">
        <f>IF(U779&lt;&gt;"",U779,IF(F779="DV","MTO",IF(N779=0,"MTO",_xlfn.XLOOKUP(CONCATENATE(S779,T779),[1]CRITERIOS!$K$160:$K$168,[1]CRITERIOS!$N$160:$N$168))))</f>
        <v>#N/A</v>
      </c>
      <c r="S779" s="33" t="e">
        <f>IF(G779="DV","MTO",IF(N779=0,"MTO",IF(OR(AND(N779=0,O779=""),IF(O779="",G779/N779,G779/O779)&gt;[1]CRITERIOS!$G$163),"MTO",IF(IF(O779="",G779/N779,G779/O779)&lt;[1]CRITERIOS!$H$161,"MTS","MTOS"))))</f>
        <v>#N/A</v>
      </c>
      <c r="T779" s="33" t="e">
        <f>IF(F779="DV","MTO",IF(OR(AND($N779=0,O779=""),$F779/$J779&gt;[1]CRITERIOS!$G$170,$F779="DV"),"MTO",IF($F779/$J779&lt;[1]CRITERIOS!$H$168,"MTS","MTOS")))</f>
        <v>#N/A</v>
      </c>
      <c r="V779" s="34" t="e">
        <f t="shared" si="37"/>
        <v>#N/A</v>
      </c>
      <c r="X779" s="34" t="e">
        <f t="shared" si="38"/>
        <v>#N/A</v>
      </c>
      <c r="Y779" s="34" t="e">
        <f t="shared" si="39"/>
        <v>#N/A</v>
      </c>
      <c r="Z779" s="34" t="e">
        <f>IF($R779="MTO",
0,
($H779+$K779*($E779/[1]CRITERIOS!$M$16))/[1]CRITERIOS!$X$48)</f>
        <v>#N/A</v>
      </c>
      <c r="AA779" s="34" t="e">
        <f>ROUNDUP(($Y779/_xlfn.XLOOKUP($A779,'[1]DATOS PBI Artículos'!$A$4:$A$4,'[1]DATOS PBI Artículos'!$Z$4:$Z$4))/_xlfn.XLOOKUP(_xlfn.XLOOKUP($A779,'[1]DATOS PBI Artículos'!$A$4:$A$4,'[1]DATOS PBI Artículos'!$Y$4:$Y$4),[1]CRITERIOS!$P$79:$P$123,[1]CRITERIOS!$S$79:$S$123,),0)</f>
        <v>#N/A</v>
      </c>
      <c r="AC779" s="33" t="e">
        <f>IF(N779=0,"",(ROUNDUP((N779/2)/(_xlfn.XLOOKUP(A779,'[1]DATOS PBI Artículos'!$A$4:$A$4,'[1]DATOS PBI Artículos'!$Z$4:$Z$4)*_xlfn.XLOOKUP(_xlfn.XLOOKUP(A779,'[1]DATOS PBI Artículos'!$A$4:$A$4,'[1]DATOS PBI Artículos'!$Y$4:$Y$4),[1]CRITERIOS!$P$79:$P$123,[1]CRITERIOS!$S$79:$S$123)),0)*[1]CRITERIOS!$M$80*([1]CRITERIOS!$M$110/[1]CRITERIOS!$M$86)+(_xlfn.XLOOKUP(A779,'[1]DATOS PBI Artículos'!$A$4:$A$4,'[1]DATOS PBI Artículos'!$AA$4:$AA$4)*([1]CRITERIOS!$M$95+[1]CRITERIOS!$M$98)))/N779)</f>
        <v>#N/A</v>
      </c>
      <c r="AD779" s="33" t="e">
        <f>IF(N779=0,"",(ROUNDUP((N779/2)/(_xlfn.XLOOKUP(A779,'[1]DATOS PBI Artículos'!$A$4:$A$4,'[1]DATOS PBI Artículos'!$Z$4:$Z$4)*_xlfn.XLOOKUP(_xlfn.XLOOKUP(A779,'[1]DATOS PBI Artículos'!$A$4:$A$4,'[1]DATOS PBI Artículos'!$Y$4:$Y$4),[1]CRITERIOS!$P$79:$P$123,[1]CRITERIOS!$S$79:$S$123)),0)*[1]CRITERIOS!$M$80*([1]CRITERIOS!$M$89*[1]CRITERIOS!$M$92)+((_xlfn.XLOOKUP(A779,'[1]DATOS PBI Artículos'!$A$4:$A$4,'[1]DATOS PBI Artículos'!$AA$4:$AA$4)/2)*([1]CRITERIOS!$M$95+[1]CRITERIOS!$M$98)))/N779)</f>
        <v>#N/A</v>
      </c>
      <c r="AE779" s="39" t="e">
        <f>IF($R779="MTO","",
IF($H779=0,ROUNDUP(((_xlfn.XLOOKUP($A779,'[1]DATOS PBI Artículos'!$A:$A,'[1]DATOS PBI Artículos'!$AL:$AL))/(_xlfn.XLOOKUP($AF$1,[1]CRITERIOS!$S$16:$S$39,[1]CRITERIOS!$Y$16:$Y$39))*$J779+$Z779)/$G779,0)*$G779,
((_xlfn.XLOOKUP($A779,'[1]DATOS PBI Artículos'!$A:$A,'[1]DATOS PBI Artículos'!$AL:$AL))/(_xlfn.XLOOKUP($AF$1,[1]CRITERIOS!$S$16:$S$39,[1]CRITERIOS!$Y$16:$Y$39))*$J779+$Z779)))</f>
        <v>#N/A</v>
      </c>
      <c r="AG779" s="39" t="e">
        <f>IF($R779="MTO","",
IF($H779=0,ROUNDUP(((_xlfn.XLOOKUP($A779,'[1]DATOS PBI Artículos'!$A:$A,'[1]DATOS PBI Artículos'!$AM:$AM))/(_xlfn.XLOOKUP($AH$1,[1]CRITERIOS!$S$16:$S$39,[1]CRITERIOS!$Y$16:$Y$39))*$J779+$Z779)/$G779,0)*$G779,
((_xlfn.XLOOKUP($A779,'[1]DATOS PBI Artículos'!$A:$A,'[1]DATOS PBI Artículos'!$AM:$AM))/(_xlfn.XLOOKUP($AH$1,[1]CRITERIOS!$S$16:$S$39,[1]CRITERIOS!$Y$16:$Y$39))*$J779+$Z779)))</f>
        <v>#N/A</v>
      </c>
      <c r="AI779" s="39" t="e">
        <f>IF($R779="MTO","",
IF($H779=0,ROUNDUP(((_xlfn.XLOOKUP($A779,'[1]DATOS PBI Artículos'!$A:$A,'[1]DATOS PBI Artículos'!$AN:$AN))/(_xlfn.XLOOKUP($AJ$1,[1]CRITERIOS!$S$16:$S$39,[1]CRITERIOS!$Y$16:$Y$39))*$J779+$Z779)/$G779,0)*$G779,
((_xlfn.XLOOKUP($A779,'[1]DATOS PBI Artículos'!$A:$A,'[1]DATOS PBI Artículos'!$AN:$AN))/(_xlfn.XLOOKUP($AJ$1,[1]CRITERIOS!$S$16:$S$39,[1]CRITERIOS!$Y$16:$Y$39))*$J779+$Z779)))</f>
        <v>#N/A</v>
      </c>
      <c r="AK779" s="39" t="e">
        <f>IF($R779="MTO","",
IF($H779=0,ROUNDUP(((_xlfn.XLOOKUP($A779,'[1]DATOS PBI Artículos'!$A:$A,'[1]DATOS PBI Artículos'!$AO:$AO))/(_xlfn.XLOOKUP($AL$1,[1]CRITERIOS!$S$16:$S$39,[1]CRITERIOS!$Y$16:$Y$39))*$J779+$Z779)/$G779,0)*$G779,
((_xlfn.XLOOKUP($A779,'[1]DATOS PBI Artículos'!$A:$A,'[1]DATOS PBI Artículos'!$AO:$AO))/(_xlfn.XLOOKUP($AL$1,[1]CRITERIOS!$S$16:$S$39,[1]CRITERIOS!$Y$16:$Y$39))*$J779+$Z779)))</f>
        <v>#N/A</v>
      </c>
    </row>
    <row r="780" spans="1:37" ht="25.8" hidden="1" x14ac:dyDescent="0.4">
      <c r="A780" s="41"/>
      <c r="B780" s="33">
        <f>_xlfn.XLOOKUP($A780,'[1]DATOS PBI Artículos'!A:A,'[1]DATOS PBI Artículos'!B:B)</f>
        <v>0</v>
      </c>
      <c r="C780" s="33">
        <f>_xlfn.XLOOKUP($A780,'[1]DATOS PBI Artículos'!A:A,'[1]DATOS PBI Artículos'!C:C)</f>
        <v>0</v>
      </c>
      <c r="D780" s="33">
        <f>_xlfn.XLOOKUP(A780,'[1]DATOS PBI Artículos'!A:A,'[1]DATOS PBI Artículos'!T:T)</f>
        <v>0</v>
      </c>
      <c r="E780" s="34">
        <f>IF(_xlfn.XLOOKUP($A780,'[1]DATOS PBI Artículos'!A:A,'[1]DATOS PBI Artículos'!AK:AK)="",_xlfn.XLOOKUP($A780,'[1]DATOS PBI Artículos'!A:A,'[1]DATOS PBI Artículos'!AJ:AJ),_xlfn.XLOOKUP($A780,'[1]DATOS PBI Artículos'!A:A,'[1]DATOS PBI Artículos'!AK:AK))</f>
        <v>0</v>
      </c>
      <c r="F780" s="35">
        <f>_xlfn.XLOOKUP($A780,'[1]DATOS PBI Artículos'!A:A,'[1]DATOS PBI Artículos'!AP:AP)</f>
        <v>0</v>
      </c>
      <c r="G780" s="34">
        <f>_xlfn.XLOOKUP($A780,'[1]DATOS PBI Artículos'!A:A,'[1]DATOS PBI Artículos'!AR:AR)</f>
        <v>0</v>
      </c>
      <c r="H780" s="34">
        <f>_xlfn.XLOOKUP($A780,'[1]DATOS PBI Artículos'!A:A,'[1]DATOS PBI Artículos'!AT:AT)</f>
        <v>0</v>
      </c>
      <c r="I780" s="34">
        <f>_xlfn.XLOOKUP($A780,'[1]DATOS PBI Artículos'!A:A,'[1]DATOS PBI Artículos'!AS:AS)</f>
        <v>0</v>
      </c>
      <c r="J780" s="35">
        <f>IF(COUNTIF([1]CRITERIOS!$F$179:$F$199,$A780)&gt;=1,
 IF(O780&lt;&gt;"",
    (O780/_xlfn.XLOOKUP(CONCATENATE(A780,L780),[1]MÁQUINAS!A:A,[1]MÁQUINAS!D:D))/24,
    (N780/_xlfn.XLOOKUP(CONCATENATE(A780,L780),[1]MÁQUINAS!A:A,[1]MÁQUINAS!D:D))/24),
  _xlfn.XLOOKUP($A780,'[1]DATOS PBI Artículos'!A:A,'[1]DATOS PBI Artículos'!AU:AU))</f>
        <v>0</v>
      </c>
      <c r="K780" s="36">
        <f>_xlfn.XLOOKUP($A780,'[1]DATOS PBI Artículos'!A:A,'[1]DATOS PBI Artículos'!AV:AV)</f>
        <v>0</v>
      </c>
      <c r="L780" s="33">
        <f>_xlfn.XLOOKUP(A780,[1]MÁQUINAS!B:B,[1]MÁQUINAS!C:C)</f>
        <v>0</v>
      </c>
      <c r="M780" s="34">
        <f t="array" ref="M780">_xlfn.XLOOKUP(A780,'[1]DATOS PBI Artículos'!A:A,'[1]DATOS PBI Artículos'!AX:$AX)</f>
        <v>0</v>
      </c>
      <c r="N780" s="37" t="e">
        <f>IF(I780="DV",
E780,
IF(COUNTIF([1]CRITERIOS!$I$179:$I$199,$A780)&gt;=1,
_xlfn.XLOOKUP($A780,[1]CRITERIOS!$I$179:$I$199,[1]CRITERIOS!$J$179:$J$199),
IF(COUNTIF([1]CRITERIOS!$L$179:$L$199,$A780)&gt;=1,
_xlfn.CEILING.MATH(IF($M780&gt;$E780,
$E780,
IF($M780&lt;$E780/ROUNDDOWN([1]CRITERIOS!$M$16/_xlfn.XLOOKUP($C780,[1]CRITERIOS!$K$25:$K$42,[1]CRITERIOS!$M$25:$M$42),
1),
E780/ROUNDDOWN([1]CRITERIOS!$M$16/_xlfn.XLOOKUP($C780,[1]CRITERIOS!$K$25:$K$42,[1]CRITERIOS!$M$25:$M$42),
1),
$M780)),
_xlfn.XLOOKUP($A780,[1]CRITERIOS!$L$179:$L$200,[1]CRITERIOS!$M$179:$M$200)),
_xlfn.CEILING.MATH(IF($M780&gt;$E780,
$E780,
IF($M780&lt;$E780/ROUNDDOWN([1]CRITERIOS!$M$16/_xlfn.XLOOKUP($C780,[1]CRITERIOS!$K$25:$K$42,[1]CRITERIOS!$M$25:$M$42),
1),
E780/ROUNDDOWN([1]CRITERIOS!$M$16/_xlfn.XLOOKUP($C780,[1]CRITERIOS!$K$25:$K$42,[1]CRITERIOS!$M$25:$M$42),
1),
$M780)),_xlfn.XLOOKUP(A780,'[1]DATOS PBI Artículos'!A:A,'[1]DATOS PBI Artículos'!Z:Z
)))))</f>
        <v>#N/A</v>
      </c>
      <c r="Q780" s="38" t="e">
        <f>IF(AND(O780="",N780=0),
0,
   IF(COUNTIF([1]CRITERIOS!$F$179:$F$199,$A780)&gt;=1,
   1,
   IF(R780="MTO",
      $D780,
      ROUNDUP(
                    IF(($E780-SUMIF('[1]DATOS PBI Artículos'!A:A,A780,'[1]DATOS PBI Artículos'!X:X)+($V780-_xlfn.XLOOKUP(A780,'[1]DATOS PBI Artículos'!A:A,'[1]DATOS PBI Artículos'!W:W)))&lt;0,
                    0,
                    IF(($E780-SUMIF('[1]DATOS PBI Artículos'!A:A,A780,'[1]DATOS PBI Artículos'!X:X)+$V780-_xlfn.XLOOKUP($A780,'[1]DATOS PBI Artículos'!A:A,'[1]DATOS PBI Artículos'!W:W))/IF($O780="",$N780,$O780)&gt;ROUNDUP([1]CRITERIOS!$M$16/(IF(COUNTIF([1]CRITERIOS!$BG$11:$BG$201,L780)&gt;=1,_xlfn.XLOOKUP($C780,[1]CRITERIOS!$K$25:$K$42,[1]CRITERIOS!$M$25:$M$42),_xlfn.XLOOKUP($C780,[1]CRITERIOS!$K$25:$K$42,[1]CRITERIOS!$M$25:$M$42))),0),
                    ROUNDUP([1]CRITERIOS!$M$16/(IF(COUNTIF([1]CRITERIOS!$BG$11:$BG$201,$L780)&gt;=1,_xlfn.XLOOKUP($C780,[1]CRITERIOS!$K$25:$K$42,[1]CRITERIOS!$M$25:$M$42),_xlfn.XLOOKUP($C780,[1]CRITERIOS!$K$25:$K$42,[1]CRITERIOS!$M$25:$M$42))),0),
                    (E780+V780-SUMIF('[1]DATOS PBI Artículos'!A:A,A780,'[1]DATOS PBI Artículos'!X:X)-_xlfn.XLOOKUP(A780,'[1]DATOS PBI Artículos'!A:A,'[1]DATOS PBI Artículos'!W:W))/IF($O780="",$N780,$O780))),0))))</f>
        <v>#N/A</v>
      </c>
      <c r="R780" s="33" t="e">
        <f>IF(U780&lt;&gt;"",U780,IF(F780="DV","MTO",IF(N780=0,"MTO",_xlfn.XLOOKUP(CONCATENATE(S780,T780),[1]CRITERIOS!$K$160:$K$168,[1]CRITERIOS!$N$160:$N$168))))</f>
        <v>#N/A</v>
      </c>
      <c r="S780" s="33" t="e">
        <f>IF(G780="DV","MTO",IF(N780=0,"MTO",IF(OR(AND(N780=0,O780=""),IF(O780="",G780/N780,G780/O780)&gt;[1]CRITERIOS!$G$163),"MTO",IF(IF(O780="",G780/N780,G780/O780)&lt;[1]CRITERIOS!$H$161,"MTS","MTOS"))))</f>
        <v>#N/A</v>
      </c>
      <c r="T780" s="33" t="e">
        <f>IF(F780="DV","MTO",IF(OR(AND($N780=0,O780=""),$F780/$J780&gt;[1]CRITERIOS!$G$170,$F780="DV"),"MTO",IF($F780/$J780&lt;[1]CRITERIOS!$H$168,"MTS","MTOS")))</f>
        <v>#N/A</v>
      </c>
      <c r="V780" s="34" t="e">
        <f t="shared" si="37"/>
        <v>#N/A</v>
      </c>
      <c r="X780" s="34" t="e">
        <f t="shared" si="38"/>
        <v>#N/A</v>
      </c>
      <c r="Y780" s="34" t="e">
        <f t="shared" si="39"/>
        <v>#N/A</v>
      </c>
      <c r="Z780" s="34" t="e">
        <f>IF($R780="MTO",
0,
($H780+$K780*($E780/[1]CRITERIOS!$M$16))/[1]CRITERIOS!$X$48)</f>
        <v>#N/A</v>
      </c>
      <c r="AA780" s="34" t="e">
        <f>ROUNDUP(($Y780/_xlfn.XLOOKUP($A780,'[1]DATOS PBI Artículos'!$A$4:$A$4,'[1]DATOS PBI Artículos'!$Z$4:$Z$4))/_xlfn.XLOOKUP(_xlfn.XLOOKUP($A780,'[1]DATOS PBI Artículos'!$A$4:$A$4,'[1]DATOS PBI Artículos'!$Y$4:$Y$4),[1]CRITERIOS!$P$79:$P$123,[1]CRITERIOS!$S$79:$S$123,),0)</f>
        <v>#N/A</v>
      </c>
      <c r="AC780" s="33" t="e">
        <f>IF(N780=0,"",(ROUNDUP((N780/2)/(_xlfn.XLOOKUP(A780,'[1]DATOS PBI Artículos'!$A$4:$A$4,'[1]DATOS PBI Artículos'!$Z$4:$Z$4)*_xlfn.XLOOKUP(_xlfn.XLOOKUP(A780,'[1]DATOS PBI Artículos'!$A$4:$A$4,'[1]DATOS PBI Artículos'!$Y$4:$Y$4),[1]CRITERIOS!$P$79:$P$123,[1]CRITERIOS!$S$79:$S$123)),0)*[1]CRITERIOS!$M$80*([1]CRITERIOS!$M$110/[1]CRITERIOS!$M$86)+(_xlfn.XLOOKUP(A780,'[1]DATOS PBI Artículos'!$A$4:$A$4,'[1]DATOS PBI Artículos'!$AA$4:$AA$4)*([1]CRITERIOS!$M$95+[1]CRITERIOS!$M$98)))/N780)</f>
        <v>#N/A</v>
      </c>
      <c r="AD780" s="33" t="e">
        <f>IF(N780=0,"",(ROUNDUP((N780/2)/(_xlfn.XLOOKUP(A780,'[1]DATOS PBI Artículos'!$A$4:$A$4,'[1]DATOS PBI Artículos'!$Z$4:$Z$4)*_xlfn.XLOOKUP(_xlfn.XLOOKUP(A780,'[1]DATOS PBI Artículos'!$A$4:$A$4,'[1]DATOS PBI Artículos'!$Y$4:$Y$4),[1]CRITERIOS!$P$79:$P$123,[1]CRITERIOS!$S$79:$S$123)),0)*[1]CRITERIOS!$M$80*([1]CRITERIOS!$M$89*[1]CRITERIOS!$M$92)+((_xlfn.XLOOKUP(A780,'[1]DATOS PBI Artículos'!$A$4:$A$4,'[1]DATOS PBI Artículos'!$AA$4:$AA$4)/2)*([1]CRITERIOS!$M$95+[1]CRITERIOS!$M$98)))/N780)</f>
        <v>#N/A</v>
      </c>
      <c r="AE780" s="39" t="e">
        <f>IF($R780="MTO","",
IF($H780=0,ROUNDUP(((_xlfn.XLOOKUP($A780,'[1]DATOS PBI Artículos'!$A:$A,'[1]DATOS PBI Artículos'!$AL:$AL))/(_xlfn.XLOOKUP($AF$1,[1]CRITERIOS!$S$16:$S$39,[1]CRITERIOS!$Y$16:$Y$39))*$J780+$Z780)/$G780,0)*$G780,
((_xlfn.XLOOKUP($A780,'[1]DATOS PBI Artículos'!$A:$A,'[1]DATOS PBI Artículos'!$AL:$AL))/(_xlfn.XLOOKUP($AF$1,[1]CRITERIOS!$S$16:$S$39,[1]CRITERIOS!$Y$16:$Y$39))*$J780+$Z780)))</f>
        <v>#N/A</v>
      </c>
      <c r="AG780" s="39" t="e">
        <f>IF($R780="MTO","",
IF($H780=0,ROUNDUP(((_xlfn.XLOOKUP($A780,'[1]DATOS PBI Artículos'!$A:$A,'[1]DATOS PBI Artículos'!$AM:$AM))/(_xlfn.XLOOKUP($AH$1,[1]CRITERIOS!$S$16:$S$39,[1]CRITERIOS!$Y$16:$Y$39))*$J780+$Z780)/$G780,0)*$G780,
((_xlfn.XLOOKUP($A780,'[1]DATOS PBI Artículos'!$A:$A,'[1]DATOS PBI Artículos'!$AM:$AM))/(_xlfn.XLOOKUP($AH$1,[1]CRITERIOS!$S$16:$S$39,[1]CRITERIOS!$Y$16:$Y$39))*$J780+$Z780)))</f>
        <v>#N/A</v>
      </c>
      <c r="AI780" s="39" t="e">
        <f>IF($R780="MTO","",
IF($H780=0,ROUNDUP(((_xlfn.XLOOKUP($A780,'[1]DATOS PBI Artículos'!$A:$A,'[1]DATOS PBI Artículos'!$AN:$AN))/(_xlfn.XLOOKUP($AJ$1,[1]CRITERIOS!$S$16:$S$39,[1]CRITERIOS!$Y$16:$Y$39))*$J780+$Z780)/$G780,0)*$G780,
((_xlfn.XLOOKUP($A780,'[1]DATOS PBI Artículos'!$A:$A,'[1]DATOS PBI Artículos'!$AN:$AN))/(_xlfn.XLOOKUP($AJ$1,[1]CRITERIOS!$S$16:$S$39,[1]CRITERIOS!$Y$16:$Y$39))*$J780+$Z780)))</f>
        <v>#N/A</v>
      </c>
      <c r="AK780" s="39" t="e">
        <f>IF($R780="MTO","",
IF($H780=0,ROUNDUP(((_xlfn.XLOOKUP($A780,'[1]DATOS PBI Artículos'!$A:$A,'[1]DATOS PBI Artículos'!$AO:$AO))/(_xlfn.XLOOKUP($AL$1,[1]CRITERIOS!$S$16:$S$39,[1]CRITERIOS!$Y$16:$Y$39))*$J780+$Z780)/$G780,0)*$G780,
((_xlfn.XLOOKUP($A780,'[1]DATOS PBI Artículos'!$A:$A,'[1]DATOS PBI Artículos'!$AO:$AO))/(_xlfn.XLOOKUP($AL$1,[1]CRITERIOS!$S$16:$S$39,[1]CRITERIOS!$Y$16:$Y$39))*$J780+$Z780)))</f>
        <v>#N/A</v>
      </c>
    </row>
    <row r="781" spans="1:37" ht="25.8" hidden="1" x14ac:dyDescent="0.4">
      <c r="A781" s="41"/>
      <c r="B781" s="33">
        <f>_xlfn.XLOOKUP($A781,'[1]DATOS PBI Artículos'!A:A,'[1]DATOS PBI Artículos'!B:B)</f>
        <v>0</v>
      </c>
      <c r="C781" s="33">
        <f>_xlfn.XLOOKUP($A781,'[1]DATOS PBI Artículos'!A:A,'[1]DATOS PBI Artículos'!C:C)</f>
        <v>0</v>
      </c>
      <c r="D781" s="33">
        <f>_xlfn.XLOOKUP(A781,'[1]DATOS PBI Artículos'!A:A,'[1]DATOS PBI Artículos'!T:T)</f>
        <v>0</v>
      </c>
      <c r="E781" s="34">
        <f>IF(_xlfn.XLOOKUP($A781,'[1]DATOS PBI Artículos'!A:A,'[1]DATOS PBI Artículos'!AK:AK)="",_xlfn.XLOOKUP($A781,'[1]DATOS PBI Artículos'!A:A,'[1]DATOS PBI Artículos'!AJ:AJ),_xlfn.XLOOKUP($A781,'[1]DATOS PBI Artículos'!A:A,'[1]DATOS PBI Artículos'!AK:AK))</f>
        <v>0</v>
      </c>
      <c r="F781" s="35">
        <f>_xlfn.XLOOKUP($A781,'[1]DATOS PBI Artículos'!A:A,'[1]DATOS PBI Artículos'!AP:AP)</f>
        <v>0</v>
      </c>
      <c r="G781" s="34">
        <f>_xlfn.XLOOKUP($A781,'[1]DATOS PBI Artículos'!A:A,'[1]DATOS PBI Artículos'!AR:AR)</f>
        <v>0</v>
      </c>
      <c r="H781" s="34">
        <f>_xlfn.XLOOKUP($A781,'[1]DATOS PBI Artículos'!A:A,'[1]DATOS PBI Artículos'!AT:AT)</f>
        <v>0</v>
      </c>
      <c r="I781" s="34">
        <f>_xlfn.XLOOKUP($A781,'[1]DATOS PBI Artículos'!A:A,'[1]DATOS PBI Artículos'!AS:AS)</f>
        <v>0</v>
      </c>
      <c r="J781" s="35">
        <f>IF(COUNTIF([1]CRITERIOS!$F$179:$F$199,$A781)&gt;=1,
 IF(O781&lt;&gt;"",
    (O781/_xlfn.XLOOKUP(CONCATENATE(A781,L781),[1]MÁQUINAS!A:A,[1]MÁQUINAS!D:D))/24,
    (N781/_xlfn.XLOOKUP(CONCATENATE(A781,L781),[1]MÁQUINAS!A:A,[1]MÁQUINAS!D:D))/24),
  _xlfn.XLOOKUP($A781,'[1]DATOS PBI Artículos'!A:A,'[1]DATOS PBI Artículos'!AU:AU))</f>
        <v>0</v>
      </c>
      <c r="K781" s="36">
        <f>_xlfn.XLOOKUP($A781,'[1]DATOS PBI Artículos'!A:A,'[1]DATOS PBI Artículos'!AV:AV)</f>
        <v>0</v>
      </c>
      <c r="L781" s="33">
        <f>_xlfn.XLOOKUP(A781,[1]MÁQUINAS!B:B,[1]MÁQUINAS!C:C)</f>
        <v>0</v>
      </c>
      <c r="M781" s="34">
        <f t="array" ref="M781">_xlfn.XLOOKUP(A781,'[1]DATOS PBI Artículos'!A:A,'[1]DATOS PBI Artículos'!AX:$AX)</f>
        <v>0</v>
      </c>
      <c r="N781" s="37" t="e">
        <f>IF(I781="DV",
E781,
IF(COUNTIF([1]CRITERIOS!$I$179:$I$199,$A781)&gt;=1,
_xlfn.XLOOKUP($A781,[1]CRITERIOS!$I$179:$I$199,[1]CRITERIOS!$J$179:$J$199),
IF(COUNTIF([1]CRITERIOS!$L$179:$L$199,$A781)&gt;=1,
_xlfn.CEILING.MATH(IF($M781&gt;$E781,
$E781,
IF($M781&lt;$E781/ROUNDDOWN([1]CRITERIOS!$M$16/_xlfn.XLOOKUP($C781,[1]CRITERIOS!$K$25:$K$42,[1]CRITERIOS!$M$25:$M$42),
1),
E781/ROUNDDOWN([1]CRITERIOS!$M$16/_xlfn.XLOOKUP($C781,[1]CRITERIOS!$K$25:$K$42,[1]CRITERIOS!$M$25:$M$42),
1),
$M781)),
_xlfn.XLOOKUP($A781,[1]CRITERIOS!$L$179:$L$200,[1]CRITERIOS!$M$179:$M$200)),
_xlfn.CEILING.MATH(IF($M781&gt;$E781,
$E781,
IF($M781&lt;$E781/ROUNDDOWN([1]CRITERIOS!$M$16/_xlfn.XLOOKUP($C781,[1]CRITERIOS!$K$25:$K$42,[1]CRITERIOS!$M$25:$M$42),
1),
E781/ROUNDDOWN([1]CRITERIOS!$M$16/_xlfn.XLOOKUP($C781,[1]CRITERIOS!$K$25:$K$42,[1]CRITERIOS!$M$25:$M$42),
1),
$M781)),_xlfn.XLOOKUP(A781,'[1]DATOS PBI Artículos'!A:A,'[1]DATOS PBI Artículos'!Z:Z
)))))</f>
        <v>#N/A</v>
      </c>
      <c r="Q781" s="38" t="e">
        <f>IF(AND(O781="",N781=0),
0,
   IF(COUNTIF([1]CRITERIOS!$F$179:$F$199,$A781)&gt;=1,
   1,
   IF(R781="MTO",
      $D781,
      ROUNDUP(
                    IF(($E781-SUMIF('[1]DATOS PBI Artículos'!A:A,A781,'[1]DATOS PBI Artículos'!X:X)+($V781-_xlfn.XLOOKUP(A781,'[1]DATOS PBI Artículos'!A:A,'[1]DATOS PBI Artículos'!W:W)))&lt;0,
                    0,
                    IF(($E781-SUMIF('[1]DATOS PBI Artículos'!A:A,A781,'[1]DATOS PBI Artículos'!X:X)+$V781-_xlfn.XLOOKUP($A781,'[1]DATOS PBI Artículos'!A:A,'[1]DATOS PBI Artículos'!W:W))/IF($O781="",$N781,$O781)&gt;ROUNDUP([1]CRITERIOS!$M$16/(IF(COUNTIF([1]CRITERIOS!$BG$11:$BG$201,L781)&gt;=1,_xlfn.XLOOKUP($C781,[1]CRITERIOS!$K$25:$K$42,[1]CRITERIOS!$M$25:$M$42),_xlfn.XLOOKUP($C781,[1]CRITERIOS!$K$25:$K$42,[1]CRITERIOS!$M$25:$M$42))),0),
                    ROUNDUP([1]CRITERIOS!$M$16/(IF(COUNTIF([1]CRITERIOS!$BG$11:$BG$201,$L781)&gt;=1,_xlfn.XLOOKUP($C781,[1]CRITERIOS!$K$25:$K$42,[1]CRITERIOS!$M$25:$M$42),_xlfn.XLOOKUP($C781,[1]CRITERIOS!$K$25:$K$42,[1]CRITERIOS!$M$25:$M$42))),0),
                    (E781+V781-SUMIF('[1]DATOS PBI Artículos'!A:A,A781,'[1]DATOS PBI Artículos'!X:X)-_xlfn.XLOOKUP(A781,'[1]DATOS PBI Artículos'!A:A,'[1]DATOS PBI Artículos'!W:W))/IF($O781="",$N781,$O781))),0))))</f>
        <v>#N/A</v>
      </c>
      <c r="R781" s="33" t="e">
        <f>IF(U781&lt;&gt;"",U781,IF(F781="DV","MTO",IF(N781=0,"MTO",_xlfn.XLOOKUP(CONCATENATE(S781,T781),[1]CRITERIOS!$K$160:$K$168,[1]CRITERIOS!$N$160:$N$168))))</f>
        <v>#N/A</v>
      </c>
      <c r="S781" s="33" t="e">
        <f>IF(G781="DV","MTO",IF(N781=0,"MTO",IF(OR(AND(N781=0,O781=""),IF(O781="",G781/N781,G781/O781)&gt;[1]CRITERIOS!$G$163),"MTO",IF(IF(O781="",G781/N781,G781/O781)&lt;[1]CRITERIOS!$H$161,"MTS","MTOS"))))</f>
        <v>#N/A</v>
      </c>
      <c r="T781" s="33" t="e">
        <f>IF(F781="DV","MTO",IF(OR(AND($N781=0,O781=""),$F781/$J781&gt;[1]CRITERIOS!$G$170,$F781="DV"),"MTO",IF($F781/$J781&lt;[1]CRITERIOS!$H$168,"MTS","MTOS")))</f>
        <v>#N/A</v>
      </c>
      <c r="V781" s="34" t="e">
        <f t="shared" si="37"/>
        <v>#N/A</v>
      </c>
      <c r="X781" s="34" t="e">
        <f t="shared" si="38"/>
        <v>#N/A</v>
      </c>
      <c r="Y781" s="34" t="e">
        <f t="shared" si="39"/>
        <v>#N/A</v>
      </c>
      <c r="Z781" s="34" t="e">
        <f>IF($R781="MTO",
0,
($H781+$K781*($E781/[1]CRITERIOS!$M$16))/[1]CRITERIOS!$X$48)</f>
        <v>#N/A</v>
      </c>
      <c r="AA781" s="34" t="e">
        <f>ROUNDUP(($Y781/_xlfn.XLOOKUP($A781,'[1]DATOS PBI Artículos'!$A$4:$A$4,'[1]DATOS PBI Artículos'!$Z$4:$Z$4))/_xlfn.XLOOKUP(_xlfn.XLOOKUP($A781,'[1]DATOS PBI Artículos'!$A$4:$A$4,'[1]DATOS PBI Artículos'!$Y$4:$Y$4),[1]CRITERIOS!$P$79:$P$123,[1]CRITERIOS!$S$79:$S$123,),0)</f>
        <v>#N/A</v>
      </c>
      <c r="AC781" s="33" t="e">
        <f>IF(N781=0,"",(ROUNDUP((N781/2)/(_xlfn.XLOOKUP(A781,'[1]DATOS PBI Artículos'!$A$4:$A$4,'[1]DATOS PBI Artículos'!$Z$4:$Z$4)*_xlfn.XLOOKUP(_xlfn.XLOOKUP(A781,'[1]DATOS PBI Artículos'!$A$4:$A$4,'[1]DATOS PBI Artículos'!$Y$4:$Y$4),[1]CRITERIOS!$P$79:$P$123,[1]CRITERIOS!$S$79:$S$123)),0)*[1]CRITERIOS!$M$80*([1]CRITERIOS!$M$110/[1]CRITERIOS!$M$86)+(_xlfn.XLOOKUP(A781,'[1]DATOS PBI Artículos'!$A$4:$A$4,'[1]DATOS PBI Artículos'!$AA$4:$AA$4)*([1]CRITERIOS!$M$95+[1]CRITERIOS!$M$98)))/N781)</f>
        <v>#N/A</v>
      </c>
      <c r="AD781" s="33" t="e">
        <f>IF(N781=0,"",(ROUNDUP((N781/2)/(_xlfn.XLOOKUP(A781,'[1]DATOS PBI Artículos'!$A$4:$A$4,'[1]DATOS PBI Artículos'!$Z$4:$Z$4)*_xlfn.XLOOKUP(_xlfn.XLOOKUP(A781,'[1]DATOS PBI Artículos'!$A$4:$A$4,'[1]DATOS PBI Artículos'!$Y$4:$Y$4),[1]CRITERIOS!$P$79:$P$123,[1]CRITERIOS!$S$79:$S$123)),0)*[1]CRITERIOS!$M$80*([1]CRITERIOS!$M$89*[1]CRITERIOS!$M$92)+((_xlfn.XLOOKUP(A781,'[1]DATOS PBI Artículos'!$A$4:$A$4,'[1]DATOS PBI Artículos'!$AA$4:$AA$4)/2)*([1]CRITERIOS!$M$95+[1]CRITERIOS!$M$98)))/N781)</f>
        <v>#N/A</v>
      </c>
      <c r="AE781" s="39" t="e">
        <f>IF($R781="MTO","",
IF($H781=0,ROUNDUP(((_xlfn.XLOOKUP($A781,'[1]DATOS PBI Artículos'!$A:$A,'[1]DATOS PBI Artículos'!$AL:$AL))/(_xlfn.XLOOKUP($AF$1,[1]CRITERIOS!$S$16:$S$39,[1]CRITERIOS!$Y$16:$Y$39))*$J781+$Z781)/$G781,0)*$G781,
((_xlfn.XLOOKUP($A781,'[1]DATOS PBI Artículos'!$A:$A,'[1]DATOS PBI Artículos'!$AL:$AL))/(_xlfn.XLOOKUP($AF$1,[1]CRITERIOS!$S$16:$S$39,[1]CRITERIOS!$Y$16:$Y$39))*$J781+$Z781)))</f>
        <v>#N/A</v>
      </c>
      <c r="AG781" s="39" t="e">
        <f>IF($R781="MTO","",
IF($H781=0,ROUNDUP(((_xlfn.XLOOKUP($A781,'[1]DATOS PBI Artículos'!$A:$A,'[1]DATOS PBI Artículos'!$AM:$AM))/(_xlfn.XLOOKUP($AH$1,[1]CRITERIOS!$S$16:$S$39,[1]CRITERIOS!$Y$16:$Y$39))*$J781+$Z781)/$G781,0)*$G781,
((_xlfn.XLOOKUP($A781,'[1]DATOS PBI Artículos'!$A:$A,'[1]DATOS PBI Artículos'!$AM:$AM))/(_xlfn.XLOOKUP($AH$1,[1]CRITERIOS!$S$16:$S$39,[1]CRITERIOS!$Y$16:$Y$39))*$J781+$Z781)))</f>
        <v>#N/A</v>
      </c>
      <c r="AI781" s="39" t="e">
        <f>IF($R781="MTO","",
IF($H781=0,ROUNDUP(((_xlfn.XLOOKUP($A781,'[1]DATOS PBI Artículos'!$A:$A,'[1]DATOS PBI Artículos'!$AN:$AN))/(_xlfn.XLOOKUP($AJ$1,[1]CRITERIOS!$S$16:$S$39,[1]CRITERIOS!$Y$16:$Y$39))*$J781+$Z781)/$G781,0)*$G781,
((_xlfn.XLOOKUP($A781,'[1]DATOS PBI Artículos'!$A:$A,'[1]DATOS PBI Artículos'!$AN:$AN))/(_xlfn.XLOOKUP($AJ$1,[1]CRITERIOS!$S$16:$S$39,[1]CRITERIOS!$Y$16:$Y$39))*$J781+$Z781)))</f>
        <v>#N/A</v>
      </c>
      <c r="AK781" s="39" t="e">
        <f>IF($R781="MTO","",
IF($H781=0,ROUNDUP(((_xlfn.XLOOKUP($A781,'[1]DATOS PBI Artículos'!$A:$A,'[1]DATOS PBI Artículos'!$AO:$AO))/(_xlfn.XLOOKUP($AL$1,[1]CRITERIOS!$S$16:$S$39,[1]CRITERIOS!$Y$16:$Y$39))*$J781+$Z781)/$G781,0)*$G781,
((_xlfn.XLOOKUP($A781,'[1]DATOS PBI Artículos'!$A:$A,'[1]DATOS PBI Artículos'!$AO:$AO))/(_xlfn.XLOOKUP($AL$1,[1]CRITERIOS!$S$16:$S$39,[1]CRITERIOS!$Y$16:$Y$39))*$J781+$Z781)))</f>
        <v>#N/A</v>
      </c>
    </row>
    <row r="782" spans="1:37" ht="25.8" hidden="1" x14ac:dyDescent="0.4">
      <c r="A782" s="41"/>
      <c r="B782" s="33">
        <f>_xlfn.XLOOKUP($A782,'[1]DATOS PBI Artículos'!A:A,'[1]DATOS PBI Artículos'!B:B)</f>
        <v>0</v>
      </c>
      <c r="C782" s="33">
        <f>_xlfn.XLOOKUP($A782,'[1]DATOS PBI Artículos'!A:A,'[1]DATOS PBI Artículos'!C:C)</f>
        <v>0</v>
      </c>
      <c r="D782" s="33">
        <f>_xlfn.XLOOKUP(A782,'[1]DATOS PBI Artículos'!A:A,'[1]DATOS PBI Artículos'!T:T)</f>
        <v>0</v>
      </c>
      <c r="E782" s="34">
        <f>IF(_xlfn.XLOOKUP($A782,'[1]DATOS PBI Artículos'!A:A,'[1]DATOS PBI Artículos'!AK:AK)="",_xlfn.XLOOKUP($A782,'[1]DATOS PBI Artículos'!A:A,'[1]DATOS PBI Artículos'!AJ:AJ),_xlfn.XLOOKUP($A782,'[1]DATOS PBI Artículos'!A:A,'[1]DATOS PBI Artículos'!AK:AK))</f>
        <v>0</v>
      </c>
      <c r="F782" s="35">
        <f>_xlfn.XLOOKUP($A782,'[1]DATOS PBI Artículos'!A:A,'[1]DATOS PBI Artículos'!AP:AP)</f>
        <v>0</v>
      </c>
      <c r="G782" s="34">
        <f>_xlfn.XLOOKUP($A782,'[1]DATOS PBI Artículos'!A:A,'[1]DATOS PBI Artículos'!AR:AR)</f>
        <v>0</v>
      </c>
      <c r="H782" s="34">
        <f>_xlfn.XLOOKUP($A782,'[1]DATOS PBI Artículos'!A:A,'[1]DATOS PBI Artículos'!AT:AT)</f>
        <v>0</v>
      </c>
      <c r="I782" s="34">
        <f>_xlfn.XLOOKUP($A782,'[1]DATOS PBI Artículos'!A:A,'[1]DATOS PBI Artículos'!AS:AS)</f>
        <v>0</v>
      </c>
      <c r="J782" s="35">
        <f>IF(COUNTIF([1]CRITERIOS!$F$179:$F$199,$A782)&gt;=1,
 IF(O782&lt;&gt;"",
    (O782/_xlfn.XLOOKUP(CONCATENATE(A782,L782),[1]MÁQUINAS!A:A,[1]MÁQUINAS!D:D))/24,
    (N782/_xlfn.XLOOKUP(CONCATENATE(A782,L782),[1]MÁQUINAS!A:A,[1]MÁQUINAS!D:D))/24),
  _xlfn.XLOOKUP($A782,'[1]DATOS PBI Artículos'!A:A,'[1]DATOS PBI Artículos'!AU:AU))</f>
        <v>0</v>
      </c>
      <c r="K782" s="36">
        <f>_xlfn.XLOOKUP($A782,'[1]DATOS PBI Artículos'!A:A,'[1]DATOS PBI Artículos'!AV:AV)</f>
        <v>0</v>
      </c>
      <c r="L782" s="33">
        <f>_xlfn.XLOOKUP(A782,[1]MÁQUINAS!B:B,[1]MÁQUINAS!C:C)</f>
        <v>0</v>
      </c>
      <c r="M782" s="34">
        <f t="array" ref="M782">_xlfn.XLOOKUP(A782,'[1]DATOS PBI Artículos'!A:A,'[1]DATOS PBI Artículos'!AX:$AX)</f>
        <v>0</v>
      </c>
      <c r="N782" s="37" t="e">
        <f>IF(I782="DV",
E782,
IF(COUNTIF([1]CRITERIOS!$I$179:$I$199,$A782)&gt;=1,
_xlfn.XLOOKUP($A782,[1]CRITERIOS!$I$179:$I$199,[1]CRITERIOS!$J$179:$J$199),
IF(COUNTIF([1]CRITERIOS!$L$179:$L$199,$A782)&gt;=1,
_xlfn.CEILING.MATH(IF($M782&gt;$E782,
$E782,
IF($M782&lt;$E782/ROUNDDOWN([1]CRITERIOS!$M$16/_xlfn.XLOOKUP($C782,[1]CRITERIOS!$K$25:$K$42,[1]CRITERIOS!$M$25:$M$42),
1),
E782/ROUNDDOWN([1]CRITERIOS!$M$16/_xlfn.XLOOKUP($C782,[1]CRITERIOS!$K$25:$K$42,[1]CRITERIOS!$M$25:$M$42),
1),
$M782)),
_xlfn.XLOOKUP($A782,[1]CRITERIOS!$L$179:$L$200,[1]CRITERIOS!$M$179:$M$200)),
_xlfn.CEILING.MATH(IF($M782&gt;$E782,
$E782,
IF($M782&lt;$E782/ROUNDDOWN([1]CRITERIOS!$M$16/_xlfn.XLOOKUP($C782,[1]CRITERIOS!$K$25:$K$42,[1]CRITERIOS!$M$25:$M$42),
1),
E782/ROUNDDOWN([1]CRITERIOS!$M$16/_xlfn.XLOOKUP($C782,[1]CRITERIOS!$K$25:$K$42,[1]CRITERIOS!$M$25:$M$42),
1),
$M782)),_xlfn.XLOOKUP(A782,'[1]DATOS PBI Artículos'!A:A,'[1]DATOS PBI Artículos'!Z:Z
)))))</f>
        <v>#N/A</v>
      </c>
      <c r="Q782" s="38" t="e">
        <f>IF(AND(O782="",N782=0),
0,
   IF(COUNTIF([1]CRITERIOS!$F$179:$F$199,$A782)&gt;=1,
   1,
   IF(R782="MTO",
      $D782,
      ROUNDUP(
                    IF(($E782-SUMIF('[1]DATOS PBI Artículos'!A:A,A782,'[1]DATOS PBI Artículos'!X:X)+($V782-_xlfn.XLOOKUP(A782,'[1]DATOS PBI Artículos'!A:A,'[1]DATOS PBI Artículos'!W:W)))&lt;0,
                    0,
                    IF(($E782-SUMIF('[1]DATOS PBI Artículos'!A:A,A782,'[1]DATOS PBI Artículos'!X:X)+$V782-_xlfn.XLOOKUP($A782,'[1]DATOS PBI Artículos'!A:A,'[1]DATOS PBI Artículos'!W:W))/IF($O782="",$N782,$O782)&gt;ROUNDUP([1]CRITERIOS!$M$16/(IF(COUNTIF([1]CRITERIOS!$BG$11:$BG$201,L782)&gt;=1,_xlfn.XLOOKUP($C782,[1]CRITERIOS!$K$25:$K$42,[1]CRITERIOS!$M$25:$M$42),_xlfn.XLOOKUP($C782,[1]CRITERIOS!$K$25:$K$42,[1]CRITERIOS!$M$25:$M$42))),0),
                    ROUNDUP([1]CRITERIOS!$M$16/(IF(COUNTIF([1]CRITERIOS!$BG$11:$BG$201,$L782)&gt;=1,_xlfn.XLOOKUP($C782,[1]CRITERIOS!$K$25:$K$42,[1]CRITERIOS!$M$25:$M$42),_xlfn.XLOOKUP($C782,[1]CRITERIOS!$K$25:$K$42,[1]CRITERIOS!$M$25:$M$42))),0),
                    (E782+V782-SUMIF('[1]DATOS PBI Artículos'!A:A,A782,'[1]DATOS PBI Artículos'!X:X)-_xlfn.XLOOKUP(A782,'[1]DATOS PBI Artículos'!A:A,'[1]DATOS PBI Artículos'!W:W))/IF($O782="",$N782,$O782))),0))))</f>
        <v>#N/A</v>
      </c>
      <c r="R782" s="33" t="e">
        <f>IF(U782&lt;&gt;"",U782,IF(F782="DV","MTO",IF(N782=0,"MTO",_xlfn.XLOOKUP(CONCATENATE(S782,T782),[1]CRITERIOS!$K$160:$K$168,[1]CRITERIOS!$N$160:$N$168))))</f>
        <v>#N/A</v>
      </c>
      <c r="S782" s="33" t="e">
        <f>IF(G782="DV","MTO",IF(N782=0,"MTO",IF(OR(AND(N782=0,O782=""),IF(O782="",G782/N782,G782/O782)&gt;[1]CRITERIOS!$G$163),"MTO",IF(IF(O782="",G782/N782,G782/O782)&lt;[1]CRITERIOS!$H$161,"MTS","MTOS"))))</f>
        <v>#N/A</v>
      </c>
      <c r="T782" s="33" t="e">
        <f>IF(F782="DV","MTO",IF(OR(AND($N782=0,O782=""),$F782/$J782&gt;[1]CRITERIOS!$G$170,$F782="DV"),"MTO",IF($F782/$J782&lt;[1]CRITERIOS!$H$168,"MTS","MTOS")))</f>
        <v>#N/A</v>
      </c>
      <c r="V782" s="34" t="e">
        <f t="shared" si="37"/>
        <v>#N/A</v>
      </c>
      <c r="X782" s="34" t="e">
        <f t="shared" si="38"/>
        <v>#N/A</v>
      </c>
      <c r="Y782" s="34" t="e">
        <f t="shared" si="39"/>
        <v>#N/A</v>
      </c>
      <c r="Z782" s="34" t="e">
        <f>IF($R782="MTO",
0,
($H782+$K782*($E782/[1]CRITERIOS!$M$16))/[1]CRITERIOS!$X$48)</f>
        <v>#N/A</v>
      </c>
      <c r="AA782" s="34" t="e">
        <f>ROUNDUP(($Y782/_xlfn.XLOOKUP($A782,'[1]DATOS PBI Artículos'!$A$4:$A$4,'[1]DATOS PBI Artículos'!$Z$4:$Z$4))/_xlfn.XLOOKUP(_xlfn.XLOOKUP($A782,'[1]DATOS PBI Artículos'!$A$4:$A$4,'[1]DATOS PBI Artículos'!$Y$4:$Y$4),[1]CRITERIOS!$P$79:$P$123,[1]CRITERIOS!$S$79:$S$123,),0)</f>
        <v>#N/A</v>
      </c>
      <c r="AC782" s="33" t="e">
        <f>IF(N782=0,"",(ROUNDUP((N782/2)/(_xlfn.XLOOKUP(A782,'[1]DATOS PBI Artículos'!$A$4:$A$4,'[1]DATOS PBI Artículos'!$Z$4:$Z$4)*_xlfn.XLOOKUP(_xlfn.XLOOKUP(A782,'[1]DATOS PBI Artículos'!$A$4:$A$4,'[1]DATOS PBI Artículos'!$Y$4:$Y$4),[1]CRITERIOS!$P$79:$P$123,[1]CRITERIOS!$S$79:$S$123)),0)*[1]CRITERIOS!$M$80*([1]CRITERIOS!$M$110/[1]CRITERIOS!$M$86)+(_xlfn.XLOOKUP(A782,'[1]DATOS PBI Artículos'!$A$4:$A$4,'[1]DATOS PBI Artículos'!$AA$4:$AA$4)*([1]CRITERIOS!$M$95+[1]CRITERIOS!$M$98)))/N782)</f>
        <v>#N/A</v>
      </c>
      <c r="AD782" s="33" t="e">
        <f>IF(N782=0,"",(ROUNDUP((N782/2)/(_xlfn.XLOOKUP(A782,'[1]DATOS PBI Artículos'!$A$4:$A$4,'[1]DATOS PBI Artículos'!$Z$4:$Z$4)*_xlfn.XLOOKUP(_xlfn.XLOOKUP(A782,'[1]DATOS PBI Artículos'!$A$4:$A$4,'[1]DATOS PBI Artículos'!$Y$4:$Y$4),[1]CRITERIOS!$P$79:$P$123,[1]CRITERIOS!$S$79:$S$123)),0)*[1]CRITERIOS!$M$80*([1]CRITERIOS!$M$89*[1]CRITERIOS!$M$92)+((_xlfn.XLOOKUP(A782,'[1]DATOS PBI Artículos'!$A$4:$A$4,'[1]DATOS PBI Artículos'!$AA$4:$AA$4)/2)*([1]CRITERIOS!$M$95+[1]CRITERIOS!$M$98)))/N782)</f>
        <v>#N/A</v>
      </c>
      <c r="AE782" s="39" t="e">
        <f>IF($R782="MTO","",
IF($H782=0,ROUNDUP(((_xlfn.XLOOKUP($A782,'[1]DATOS PBI Artículos'!$A:$A,'[1]DATOS PBI Artículos'!$AL:$AL))/(_xlfn.XLOOKUP($AF$1,[1]CRITERIOS!$S$16:$S$39,[1]CRITERIOS!$Y$16:$Y$39))*$J782+$Z782)/$G782,0)*$G782,
((_xlfn.XLOOKUP($A782,'[1]DATOS PBI Artículos'!$A:$A,'[1]DATOS PBI Artículos'!$AL:$AL))/(_xlfn.XLOOKUP($AF$1,[1]CRITERIOS!$S$16:$S$39,[1]CRITERIOS!$Y$16:$Y$39))*$J782+$Z782)))</f>
        <v>#N/A</v>
      </c>
      <c r="AG782" s="39" t="e">
        <f>IF($R782="MTO","",
IF($H782=0,ROUNDUP(((_xlfn.XLOOKUP($A782,'[1]DATOS PBI Artículos'!$A:$A,'[1]DATOS PBI Artículos'!$AM:$AM))/(_xlfn.XLOOKUP($AH$1,[1]CRITERIOS!$S$16:$S$39,[1]CRITERIOS!$Y$16:$Y$39))*$J782+$Z782)/$G782,0)*$G782,
((_xlfn.XLOOKUP($A782,'[1]DATOS PBI Artículos'!$A:$A,'[1]DATOS PBI Artículos'!$AM:$AM))/(_xlfn.XLOOKUP($AH$1,[1]CRITERIOS!$S$16:$S$39,[1]CRITERIOS!$Y$16:$Y$39))*$J782+$Z782)))</f>
        <v>#N/A</v>
      </c>
      <c r="AI782" s="39" t="e">
        <f>IF($R782="MTO","",
IF($H782=0,ROUNDUP(((_xlfn.XLOOKUP($A782,'[1]DATOS PBI Artículos'!$A:$A,'[1]DATOS PBI Artículos'!$AN:$AN))/(_xlfn.XLOOKUP($AJ$1,[1]CRITERIOS!$S$16:$S$39,[1]CRITERIOS!$Y$16:$Y$39))*$J782+$Z782)/$G782,0)*$G782,
((_xlfn.XLOOKUP($A782,'[1]DATOS PBI Artículos'!$A:$A,'[1]DATOS PBI Artículos'!$AN:$AN))/(_xlfn.XLOOKUP($AJ$1,[1]CRITERIOS!$S$16:$S$39,[1]CRITERIOS!$Y$16:$Y$39))*$J782+$Z782)))</f>
        <v>#N/A</v>
      </c>
      <c r="AK782" s="39" t="e">
        <f>IF($R782="MTO","",
IF($H782=0,ROUNDUP(((_xlfn.XLOOKUP($A782,'[1]DATOS PBI Artículos'!$A:$A,'[1]DATOS PBI Artículos'!$AO:$AO))/(_xlfn.XLOOKUP($AL$1,[1]CRITERIOS!$S$16:$S$39,[1]CRITERIOS!$Y$16:$Y$39))*$J782+$Z782)/$G782,0)*$G782,
((_xlfn.XLOOKUP($A782,'[1]DATOS PBI Artículos'!$A:$A,'[1]DATOS PBI Artículos'!$AO:$AO))/(_xlfn.XLOOKUP($AL$1,[1]CRITERIOS!$S$16:$S$39,[1]CRITERIOS!$Y$16:$Y$39))*$J782+$Z782)))</f>
        <v>#N/A</v>
      </c>
    </row>
    <row r="783" spans="1:37" ht="25.8" hidden="1" x14ac:dyDescent="0.4">
      <c r="A783" s="41"/>
      <c r="B783" s="33">
        <f>_xlfn.XLOOKUP($A783,'[1]DATOS PBI Artículos'!A:A,'[1]DATOS PBI Artículos'!B:B)</f>
        <v>0</v>
      </c>
      <c r="C783" s="33">
        <f>_xlfn.XLOOKUP($A783,'[1]DATOS PBI Artículos'!A:A,'[1]DATOS PBI Artículos'!C:C)</f>
        <v>0</v>
      </c>
      <c r="D783" s="33">
        <f>_xlfn.XLOOKUP(A783,'[1]DATOS PBI Artículos'!A:A,'[1]DATOS PBI Artículos'!T:T)</f>
        <v>0</v>
      </c>
      <c r="E783" s="34">
        <f>IF(_xlfn.XLOOKUP($A783,'[1]DATOS PBI Artículos'!A:A,'[1]DATOS PBI Artículos'!AK:AK)="",_xlfn.XLOOKUP($A783,'[1]DATOS PBI Artículos'!A:A,'[1]DATOS PBI Artículos'!AJ:AJ),_xlfn.XLOOKUP($A783,'[1]DATOS PBI Artículos'!A:A,'[1]DATOS PBI Artículos'!AK:AK))</f>
        <v>0</v>
      </c>
      <c r="F783" s="35">
        <f>_xlfn.XLOOKUP($A783,'[1]DATOS PBI Artículos'!A:A,'[1]DATOS PBI Artículos'!AP:AP)</f>
        <v>0</v>
      </c>
      <c r="G783" s="34">
        <f>_xlfn.XLOOKUP($A783,'[1]DATOS PBI Artículos'!A:A,'[1]DATOS PBI Artículos'!AR:AR)</f>
        <v>0</v>
      </c>
      <c r="H783" s="34">
        <f>_xlfn.XLOOKUP($A783,'[1]DATOS PBI Artículos'!A:A,'[1]DATOS PBI Artículos'!AT:AT)</f>
        <v>0</v>
      </c>
      <c r="I783" s="34">
        <f>_xlfn.XLOOKUP($A783,'[1]DATOS PBI Artículos'!A:A,'[1]DATOS PBI Artículos'!AS:AS)</f>
        <v>0</v>
      </c>
      <c r="J783" s="35">
        <f>IF(COUNTIF([1]CRITERIOS!$F$179:$F$199,$A783)&gt;=1,
 IF(O783&lt;&gt;"",
    (O783/_xlfn.XLOOKUP(CONCATENATE(A783,L783),[1]MÁQUINAS!A:A,[1]MÁQUINAS!D:D))/24,
    (N783/_xlfn.XLOOKUP(CONCATENATE(A783,L783),[1]MÁQUINAS!A:A,[1]MÁQUINAS!D:D))/24),
  _xlfn.XLOOKUP($A783,'[1]DATOS PBI Artículos'!A:A,'[1]DATOS PBI Artículos'!AU:AU))</f>
        <v>0</v>
      </c>
      <c r="K783" s="36">
        <f>_xlfn.XLOOKUP($A783,'[1]DATOS PBI Artículos'!A:A,'[1]DATOS PBI Artículos'!AV:AV)</f>
        <v>0</v>
      </c>
      <c r="L783" s="33">
        <f>_xlfn.XLOOKUP(A783,[1]MÁQUINAS!B:B,[1]MÁQUINAS!C:C)</f>
        <v>0</v>
      </c>
      <c r="M783" s="34">
        <f t="array" ref="M783">_xlfn.XLOOKUP(A783,'[1]DATOS PBI Artículos'!A:A,'[1]DATOS PBI Artículos'!AX:$AX)</f>
        <v>0</v>
      </c>
      <c r="N783" s="37" t="e">
        <f>IF(I783="DV",
E783,
IF(COUNTIF([1]CRITERIOS!$I$179:$I$199,$A783)&gt;=1,
_xlfn.XLOOKUP($A783,[1]CRITERIOS!$I$179:$I$199,[1]CRITERIOS!$J$179:$J$199),
IF(COUNTIF([1]CRITERIOS!$L$179:$L$199,$A783)&gt;=1,
_xlfn.CEILING.MATH(IF($M783&gt;$E783,
$E783,
IF($M783&lt;$E783/ROUNDDOWN([1]CRITERIOS!$M$16/_xlfn.XLOOKUP($C783,[1]CRITERIOS!$K$25:$K$42,[1]CRITERIOS!$M$25:$M$42),
1),
E783/ROUNDDOWN([1]CRITERIOS!$M$16/_xlfn.XLOOKUP($C783,[1]CRITERIOS!$K$25:$K$42,[1]CRITERIOS!$M$25:$M$42),
1),
$M783)),
_xlfn.XLOOKUP($A783,[1]CRITERIOS!$L$179:$L$200,[1]CRITERIOS!$M$179:$M$200)),
_xlfn.CEILING.MATH(IF($M783&gt;$E783,
$E783,
IF($M783&lt;$E783/ROUNDDOWN([1]CRITERIOS!$M$16/_xlfn.XLOOKUP($C783,[1]CRITERIOS!$K$25:$K$42,[1]CRITERIOS!$M$25:$M$42),
1),
E783/ROUNDDOWN([1]CRITERIOS!$M$16/_xlfn.XLOOKUP($C783,[1]CRITERIOS!$K$25:$K$42,[1]CRITERIOS!$M$25:$M$42),
1),
$M783)),_xlfn.XLOOKUP(A783,'[1]DATOS PBI Artículos'!A:A,'[1]DATOS PBI Artículos'!Z:Z
)))))</f>
        <v>#N/A</v>
      </c>
      <c r="Q783" s="38" t="e">
        <f>IF(AND(O783="",N783=0),
0,
   IF(COUNTIF([1]CRITERIOS!$F$179:$F$199,$A783)&gt;=1,
   1,
   IF(R783="MTO",
      $D783,
      ROUNDUP(
                    IF(($E783-SUMIF('[1]DATOS PBI Artículos'!A:A,A783,'[1]DATOS PBI Artículos'!X:X)+($V783-_xlfn.XLOOKUP(A783,'[1]DATOS PBI Artículos'!A:A,'[1]DATOS PBI Artículos'!W:W)))&lt;0,
                    0,
                    IF(($E783-SUMIF('[1]DATOS PBI Artículos'!A:A,A783,'[1]DATOS PBI Artículos'!X:X)+$V783-_xlfn.XLOOKUP($A783,'[1]DATOS PBI Artículos'!A:A,'[1]DATOS PBI Artículos'!W:W))/IF($O783="",$N783,$O783)&gt;ROUNDUP([1]CRITERIOS!$M$16/(IF(COUNTIF([1]CRITERIOS!$BG$11:$BG$201,L783)&gt;=1,_xlfn.XLOOKUP($C783,[1]CRITERIOS!$K$25:$K$42,[1]CRITERIOS!$M$25:$M$42),_xlfn.XLOOKUP($C783,[1]CRITERIOS!$K$25:$K$42,[1]CRITERIOS!$M$25:$M$42))),0),
                    ROUNDUP([1]CRITERIOS!$M$16/(IF(COUNTIF([1]CRITERIOS!$BG$11:$BG$201,$L783)&gt;=1,_xlfn.XLOOKUP($C783,[1]CRITERIOS!$K$25:$K$42,[1]CRITERIOS!$M$25:$M$42),_xlfn.XLOOKUP($C783,[1]CRITERIOS!$K$25:$K$42,[1]CRITERIOS!$M$25:$M$42))),0),
                    (E783+V783-SUMIF('[1]DATOS PBI Artículos'!A:A,A783,'[1]DATOS PBI Artículos'!X:X)-_xlfn.XLOOKUP(A783,'[1]DATOS PBI Artículos'!A:A,'[1]DATOS PBI Artículos'!W:W))/IF($O783="",$N783,$O783))),0))))</f>
        <v>#N/A</v>
      </c>
      <c r="R783" s="33" t="e">
        <f>IF(U783&lt;&gt;"",U783,IF(F783="DV","MTO",IF(N783=0,"MTO",_xlfn.XLOOKUP(CONCATENATE(S783,T783),[1]CRITERIOS!$K$160:$K$168,[1]CRITERIOS!$N$160:$N$168))))</f>
        <v>#N/A</v>
      </c>
      <c r="S783" s="33" t="e">
        <f>IF(G783="DV","MTO",IF(N783=0,"MTO",IF(OR(AND(N783=0,O783=""),IF(O783="",G783/N783,G783/O783)&gt;[1]CRITERIOS!$G$163),"MTO",IF(IF(O783="",G783/N783,G783/O783)&lt;[1]CRITERIOS!$H$161,"MTS","MTOS"))))</f>
        <v>#N/A</v>
      </c>
      <c r="T783" s="33" t="e">
        <f>IF(F783="DV","MTO",IF(OR(AND($N783=0,O783=""),$F783/$J783&gt;[1]CRITERIOS!$G$170,$F783="DV"),"MTO",IF($F783/$J783&lt;[1]CRITERIOS!$H$168,"MTS","MTOS")))</f>
        <v>#N/A</v>
      </c>
      <c r="V783" s="34" t="e">
        <f t="shared" si="37"/>
        <v>#N/A</v>
      </c>
      <c r="X783" s="34" t="e">
        <f t="shared" si="38"/>
        <v>#N/A</v>
      </c>
      <c r="Y783" s="34" t="e">
        <f t="shared" si="39"/>
        <v>#N/A</v>
      </c>
      <c r="Z783" s="34" t="e">
        <f>IF($R783="MTO",
0,
($H783+$K783*($E783/[1]CRITERIOS!$M$16))/[1]CRITERIOS!$X$48)</f>
        <v>#N/A</v>
      </c>
      <c r="AA783" s="34" t="e">
        <f>ROUNDUP(($Y783/_xlfn.XLOOKUP($A783,'[1]DATOS PBI Artículos'!$A$4:$A$4,'[1]DATOS PBI Artículos'!$Z$4:$Z$4))/_xlfn.XLOOKUP(_xlfn.XLOOKUP($A783,'[1]DATOS PBI Artículos'!$A$4:$A$4,'[1]DATOS PBI Artículos'!$Y$4:$Y$4),[1]CRITERIOS!$P$79:$P$123,[1]CRITERIOS!$S$79:$S$123,),0)</f>
        <v>#N/A</v>
      </c>
      <c r="AC783" s="33" t="e">
        <f>IF(N783=0,"",(ROUNDUP((N783/2)/(_xlfn.XLOOKUP(A783,'[1]DATOS PBI Artículos'!$A$4:$A$4,'[1]DATOS PBI Artículos'!$Z$4:$Z$4)*_xlfn.XLOOKUP(_xlfn.XLOOKUP(A783,'[1]DATOS PBI Artículos'!$A$4:$A$4,'[1]DATOS PBI Artículos'!$Y$4:$Y$4),[1]CRITERIOS!$P$79:$P$123,[1]CRITERIOS!$S$79:$S$123)),0)*[1]CRITERIOS!$M$80*([1]CRITERIOS!$M$110/[1]CRITERIOS!$M$86)+(_xlfn.XLOOKUP(A783,'[1]DATOS PBI Artículos'!$A$4:$A$4,'[1]DATOS PBI Artículos'!$AA$4:$AA$4)*([1]CRITERIOS!$M$95+[1]CRITERIOS!$M$98)))/N783)</f>
        <v>#N/A</v>
      </c>
      <c r="AD783" s="33" t="e">
        <f>IF(N783=0,"",(ROUNDUP((N783/2)/(_xlfn.XLOOKUP(A783,'[1]DATOS PBI Artículos'!$A$4:$A$4,'[1]DATOS PBI Artículos'!$Z$4:$Z$4)*_xlfn.XLOOKUP(_xlfn.XLOOKUP(A783,'[1]DATOS PBI Artículos'!$A$4:$A$4,'[1]DATOS PBI Artículos'!$Y$4:$Y$4),[1]CRITERIOS!$P$79:$P$123,[1]CRITERIOS!$S$79:$S$123)),0)*[1]CRITERIOS!$M$80*([1]CRITERIOS!$M$89*[1]CRITERIOS!$M$92)+((_xlfn.XLOOKUP(A783,'[1]DATOS PBI Artículos'!$A$4:$A$4,'[1]DATOS PBI Artículos'!$AA$4:$AA$4)/2)*([1]CRITERIOS!$M$95+[1]CRITERIOS!$M$98)))/N783)</f>
        <v>#N/A</v>
      </c>
      <c r="AE783" s="39" t="e">
        <f>IF($R783="MTO","",
IF($H783=0,ROUNDUP(((_xlfn.XLOOKUP($A783,'[1]DATOS PBI Artículos'!$A:$A,'[1]DATOS PBI Artículos'!$AL:$AL))/(_xlfn.XLOOKUP($AF$1,[1]CRITERIOS!$S$16:$S$39,[1]CRITERIOS!$Y$16:$Y$39))*$J783+$Z783)/$G783,0)*$G783,
((_xlfn.XLOOKUP($A783,'[1]DATOS PBI Artículos'!$A:$A,'[1]DATOS PBI Artículos'!$AL:$AL))/(_xlfn.XLOOKUP($AF$1,[1]CRITERIOS!$S$16:$S$39,[1]CRITERIOS!$Y$16:$Y$39))*$J783+$Z783)))</f>
        <v>#N/A</v>
      </c>
      <c r="AG783" s="39" t="e">
        <f>IF($R783="MTO","",
IF($H783=0,ROUNDUP(((_xlfn.XLOOKUP($A783,'[1]DATOS PBI Artículos'!$A:$A,'[1]DATOS PBI Artículos'!$AM:$AM))/(_xlfn.XLOOKUP($AH$1,[1]CRITERIOS!$S$16:$S$39,[1]CRITERIOS!$Y$16:$Y$39))*$J783+$Z783)/$G783,0)*$G783,
((_xlfn.XLOOKUP($A783,'[1]DATOS PBI Artículos'!$A:$A,'[1]DATOS PBI Artículos'!$AM:$AM))/(_xlfn.XLOOKUP($AH$1,[1]CRITERIOS!$S$16:$S$39,[1]CRITERIOS!$Y$16:$Y$39))*$J783+$Z783)))</f>
        <v>#N/A</v>
      </c>
      <c r="AI783" s="39" t="e">
        <f>IF($R783="MTO","",
IF($H783=0,ROUNDUP(((_xlfn.XLOOKUP($A783,'[1]DATOS PBI Artículos'!$A:$A,'[1]DATOS PBI Artículos'!$AN:$AN))/(_xlfn.XLOOKUP($AJ$1,[1]CRITERIOS!$S$16:$S$39,[1]CRITERIOS!$Y$16:$Y$39))*$J783+$Z783)/$G783,0)*$G783,
((_xlfn.XLOOKUP($A783,'[1]DATOS PBI Artículos'!$A:$A,'[1]DATOS PBI Artículos'!$AN:$AN))/(_xlfn.XLOOKUP($AJ$1,[1]CRITERIOS!$S$16:$S$39,[1]CRITERIOS!$Y$16:$Y$39))*$J783+$Z783)))</f>
        <v>#N/A</v>
      </c>
      <c r="AK783" s="39" t="e">
        <f>IF($R783="MTO","",
IF($H783=0,ROUNDUP(((_xlfn.XLOOKUP($A783,'[1]DATOS PBI Artículos'!$A:$A,'[1]DATOS PBI Artículos'!$AO:$AO))/(_xlfn.XLOOKUP($AL$1,[1]CRITERIOS!$S$16:$S$39,[1]CRITERIOS!$Y$16:$Y$39))*$J783+$Z783)/$G783,0)*$G783,
((_xlfn.XLOOKUP($A783,'[1]DATOS PBI Artículos'!$A:$A,'[1]DATOS PBI Artículos'!$AO:$AO))/(_xlfn.XLOOKUP($AL$1,[1]CRITERIOS!$S$16:$S$39,[1]CRITERIOS!$Y$16:$Y$39))*$J783+$Z783)))</f>
        <v>#N/A</v>
      </c>
    </row>
    <row r="784" spans="1:37" ht="25.8" hidden="1" x14ac:dyDescent="0.4">
      <c r="A784" s="41"/>
      <c r="B784" s="33">
        <f>_xlfn.XLOOKUP($A784,'[1]DATOS PBI Artículos'!A:A,'[1]DATOS PBI Artículos'!B:B)</f>
        <v>0</v>
      </c>
      <c r="C784" s="33">
        <f>_xlfn.XLOOKUP($A784,'[1]DATOS PBI Artículos'!A:A,'[1]DATOS PBI Artículos'!C:C)</f>
        <v>0</v>
      </c>
      <c r="D784" s="33">
        <f>_xlfn.XLOOKUP(A784,'[1]DATOS PBI Artículos'!A:A,'[1]DATOS PBI Artículos'!T:T)</f>
        <v>0</v>
      </c>
      <c r="E784" s="34">
        <f>IF(_xlfn.XLOOKUP($A784,'[1]DATOS PBI Artículos'!A:A,'[1]DATOS PBI Artículos'!AK:AK)="",_xlfn.XLOOKUP($A784,'[1]DATOS PBI Artículos'!A:A,'[1]DATOS PBI Artículos'!AJ:AJ),_xlfn.XLOOKUP($A784,'[1]DATOS PBI Artículos'!A:A,'[1]DATOS PBI Artículos'!AK:AK))</f>
        <v>0</v>
      </c>
      <c r="F784" s="35">
        <f>_xlfn.XLOOKUP($A784,'[1]DATOS PBI Artículos'!A:A,'[1]DATOS PBI Artículos'!AP:AP)</f>
        <v>0</v>
      </c>
      <c r="G784" s="34">
        <f>_xlfn.XLOOKUP($A784,'[1]DATOS PBI Artículos'!A:A,'[1]DATOS PBI Artículos'!AR:AR)</f>
        <v>0</v>
      </c>
      <c r="H784" s="34">
        <f>_xlfn.XLOOKUP($A784,'[1]DATOS PBI Artículos'!A:A,'[1]DATOS PBI Artículos'!AT:AT)</f>
        <v>0</v>
      </c>
      <c r="I784" s="34">
        <f>_xlfn.XLOOKUP($A784,'[1]DATOS PBI Artículos'!A:A,'[1]DATOS PBI Artículos'!AS:AS)</f>
        <v>0</v>
      </c>
      <c r="J784" s="35">
        <f>IF(COUNTIF([1]CRITERIOS!$F$179:$F$199,$A784)&gt;=1,
 IF(O784&lt;&gt;"",
    (O784/_xlfn.XLOOKUP(CONCATENATE(A784,L784),[1]MÁQUINAS!A:A,[1]MÁQUINAS!D:D))/24,
    (N784/_xlfn.XLOOKUP(CONCATENATE(A784,L784),[1]MÁQUINAS!A:A,[1]MÁQUINAS!D:D))/24),
  _xlfn.XLOOKUP($A784,'[1]DATOS PBI Artículos'!A:A,'[1]DATOS PBI Artículos'!AU:AU))</f>
        <v>0</v>
      </c>
      <c r="K784" s="36">
        <f>_xlfn.XLOOKUP($A784,'[1]DATOS PBI Artículos'!A:A,'[1]DATOS PBI Artículos'!AV:AV)</f>
        <v>0</v>
      </c>
      <c r="L784" s="33">
        <f>_xlfn.XLOOKUP(A784,[1]MÁQUINAS!B:B,[1]MÁQUINAS!C:C)</f>
        <v>0</v>
      </c>
      <c r="M784" s="34">
        <f t="array" ref="M784">_xlfn.XLOOKUP(A784,'[1]DATOS PBI Artículos'!A:A,'[1]DATOS PBI Artículos'!AX:$AX)</f>
        <v>0</v>
      </c>
      <c r="N784" s="37" t="e">
        <f>IF(I784="DV",
E784,
IF(COUNTIF([1]CRITERIOS!$I$179:$I$199,$A784)&gt;=1,
_xlfn.XLOOKUP($A784,[1]CRITERIOS!$I$179:$I$199,[1]CRITERIOS!$J$179:$J$199),
IF(COUNTIF([1]CRITERIOS!$L$179:$L$199,$A784)&gt;=1,
_xlfn.CEILING.MATH(IF($M784&gt;$E784,
$E784,
IF($M784&lt;$E784/ROUNDDOWN([1]CRITERIOS!$M$16/_xlfn.XLOOKUP($C784,[1]CRITERIOS!$K$25:$K$42,[1]CRITERIOS!$M$25:$M$42),
1),
E784/ROUNDDOWN([1]CRITERIOS!$M$16/_xlfn.XLOOKUP($C784,[1]CRITERIOS!$K$25:$K$42,[1]CRITERIOS!$M$25:$M$42),
1),
$M784)),
_xlfn.XLOOKUP($A784,[1]CRITERIOS!$L$179:$L$200,[1]CRITERIOS!$M$179:$M$200)),
_xlfn.CEILING.MATH(IF($M784&gt;$E784,
$E784,
IF($M784&lt;$E784/ROUNDDOWN([1]CRITERIOS!$M$16/_xlfn.XLOOKUP($C784,[1]CRITERIOS!$K$25:$K$42,[1]CRITERIOS!$M$25:$M$42),
1),
E784/ROUNDDOWN([1]CRITERIOS!$M$16/_xlfn.XLOOKUP($C784,[1]CRITERIOS!$K$25:$K$42,[1]CRITERIOS!$M$25:$M$42),
1),
$M784)),_xlfn.XLOOKUP(A784,'[1]DATOS PBI Artículos'!A:A,'[1]DATOS PBI Artículos'!Z:Z
)))))</f>
        <v>#N/A</v>
      </c>
      <c r="Q784" s="38" t="e">
        <f>IF(AND(O784="",N784=0),
0,
   IF(COUNTIF([1]CRITERIOS!$F$179:$F$199,$A784)&gt;=1,
   1,
   IF(R784="MTO",
      $D784,
      ROUNDUP(
                    IF(($E784-SUMIF('[1]DATOS PBI Artículos'!A:A,A784,'[1]DATOS PBI Artículos'!X:X)+($V784-_xlfn.XLOOKUP(A784,'[1]DATOS PBI Artículos'!A:A,'[1]DATOS PBI Artículos'!W:W)))&lt;0,
                    0,
                    IF(($E784-SUMIF('[1]DATOS PBI Artículos'!A:A,A784,'[1]DATOS PBI Artículos'!X:X)+$V784-_xlfn.XLOOKUP($A784,'[1]DATOS PBI Artículos'!A:A,'[1]DATOS PBI Artículos'!W:W))/IF($O784="",$N784,$O784)&gt;ROUNDUP([1]CRITERIOS!$M$16/(IF(COUNTIF([1]CRITERIOS!$BG$11:$BG$201,L784)&gt;=1,_xlfn.XLOOKUP($C784,[1]CRITERIOS!$K$25:$K$42,[1]CRITERIOS!$M$25:$M$42),_xlfn.XLOOKUP($C784,[1]CRITERIOS!$K$25:$K$42,[1]CRITERIOS!$M$25:$M$42))),0),
                    ROUNDUP([1]CRITERIOS!$M$16/(IF(COUNTIF([1]CRITERIOS!$BG$11:$BG$201,$L784)&gt;=1,_xlfn.XLOOKUP($C784,[1]CRITERIOS!$K$25:$K$42,[1]CRITERIOS!$M$25:$M$42),_xlfn.XLOOKUP($C784,[1]CRITERIOS!$K$25:$K$42,[1]CRITERIOS!$M$25:$M$42))),0),
                    (E784+V784-SUMIF('[1]DATOS PBI Artículos'!A:A,A784,'[1]DATOS PBI Artículos'!X:X)-_xlfn.XLOOKUP(A784,'[1]DATOS PBI Artículos'!A:A,'[1]DATOS PBI Artículos'!W:W))/IF($O784="",$N784,$O784))),0))))</f>
        <v>#N/A</v>
      </c>
      <c r="R784" s="33" t="e">
        <f>IF(U784&lt;&gt;"",U784,IF(F784="DV","MTO",IF(N784=0,"MTO",_xlfn.XLOOKUP(CONCATENATE(S784,T784),[1]CRITERIOS!$K$160:$K$168,[1]CRITERIOS!$N$160:$N$168))))</f>
        <v>#N/A</v>
      </c>
      <c r="S784" s="33" t="e">
        <f>IF(G784="DV","MTO",IF(N784=0,"MTO",IF(OR(AND(N784=0,O784=""),IF(O784="",G784/N784,G784/O784)&gt;[1]CRITERIOS!$G$163),"MTO",IF(IF(O784="",G784/N784,G784/O784)&lt;[1]CRITERIOS!$H$161,"MTS","MTOS"))))</f>
        <v>#N/A</v>
      </c>
      <c r="T784" s="33" t="e">
        <f>IF(F784="DV","MTO",IF(OR(AND($N784=0,O784=""),$F784/$J784&gt;[1]CRITERIOS!$G$170,$F784="DV"),"MTO",IF($F784/$J784&lt;[1]CRITERIOS!$H$168,"MTS","MTOS")))</f>
        <v>#N/A</v>
      </c>
      <c r="V784" s="34" t="e">
        <f t="shared" si="37"/>
        <v>#N/A</v>
      </c>
      <c r="X784" s="34" t="e">
        <f t="shared" si="38"/>
        <v>#N/A</v>
      </c>
      <c r="Y784" s="34" t="e">
        <f t="shared" si="39"/>
        <v>#N/A</v>
      </c>
      <c r="Z784" s="34" t="e">
        <f>IF($R784="MTO",
0,
($H784+$K784*($E784/[1]CRITERIOS!$M$16))/[1]CRITERIOS!$X$48)</f>
        <v>#N/A</v>
      </c>
      <c r="AA784" s="34" t="e">
        <f>ROUNDUP(($Y784/_xlfn.XLOOKUP($A784,'[1]DATOS PBI Artículos'!$A$4:$A$4,'[1]DATOS PBI Artículos'!$Z$4:$Z$4))/_xlfn.XLOOKUP(_xlfn.XLOOKUP($A784,'[1]DATOS PBI Artículos'!$A$4:$A$4,'[1]DATOS PBI Artículos'!$Y$4:$Y$4),[1]CRITERIOS!$P$79:$P$123,[1]CRITERIOS!$S$79:$S$123,),0)</f>
        <v>#N/A</v>
      </c>
      <c r="AC784" s="33" t="e">
        <f>IF(N784=0,"",(ROUNDUP((N784/2)/(_xlfn.XLOOKUP(A784,'[1]DATOS PBI Artículos'!$A$4:$A$4,'[1]DATOS PBI Artículos'!$Z$4:$Z$4)*_xlfn.XLOOKUP(_xlfn.XLOOKUP(A784,'[1]DATOS PBI Artículos'!$A$4:$A$4,'[1]DATOS PBI Artículos'!$Y$4:$Y$4),[1]CRITERIOS!$P$79:$P$123,[1]CRITERIOS!$S$79:$S$123)),0)*[1]CRITERIOS!$M$80*([1]CRITERIOS!$M$110/[1]CRITERIOS!$M$86)+(_xlfn.XLOOKUP(A784,'[1]DATOS PBI Artículos'!$A$4:$A$4,'[1]DATOS PBI Artículos'!$AA$4:$AA$4)*([1]CRITERIOS!$M$95+[1]CRITERIOS!$M$98)))/N784)</f>
        <v>#N/A</v>
      </c>
      <c r="AD784" s="33" t="e">
        <f>IF(N784=0,"",(ROUNDUP((N784/2)/(_xlfn.XLOOKUP(A784,'[1]DATOS PBI Artículos'!$A$4:$A$4,'[1]DATOS PBI Artículos'!$Z$4:$Z$4)*_xlfn.XLOOKUP(_xlfn.XLOOKUP(A784,'[1]DATOS PBI Artículos'!$A$4:$A$4,'[1]DATOS PBI Artículos'!$Y$4:$Y$4),[1]CRITERIOS!$P$79:$P$123,[1]CRITERIOS!$S$79:$S$123)),0)*[1]CRITERIOS!$M$80*([1]CRITERIOS!$M$89*[1]CRITERIOS!$M$92)+((_xlfn.XLOOKUP(A784,'[1]DATOS PBI Artículos'!$A$4:$A$4,'[1]DATOS PBI Artículos'!$AA$4:$AA$4)/2)*([1]CRITERIOS!$M$95+[1]CRITERIOS!$M$98)))/N784)</f>
        <v>#N/A</v>
      </c>
      <c r="AE784" s="39" t="e">
        <f>IF($R784="MTO","",
IF($H784=0,ROUNDUP(((_xlfn.XLOOKUP($A784,'[1]DATOS PBI Artículos'!$A:$A,'[1]DATOS PBI Artículos'!$AL:$AL))/(_xlfn.XLOOKUP($AF$1,[1]CRITERIOS!$S$16:$S$39,[1]CRITERIOS!$Y$16:$Y$39))*$J784+$Z784)/$G784,0)*$G784,
((_xlfn.XLOOKUP($A784,'[1]DATOS PBI Artículos'!$A:$A,'[1]DATOS PBI Artículos'!$AL:$AL))/(_xlfn.XLOOKUP($AF$1,[1]CRITERIOS!$S$16:$S$39,[1]CRITERIOS!$Y$16:$Y$39))*$J784+$Z784)))</f>
        <v>#N/A</v>
      </c>
      <c r="AG784" s="39" t="e">
        <f>IF($R784="MTO","",
IF($H784=0,ROUNDUP(((_xlfn.XLOOKUP($A784,'[1]DATOS PBI Artículos'!$A:$A,'[1]DATOS PBI Artículos'!$AM:$AM))/(_xlfn.XLOOKUP($AH$1,[1]CRITERIOS!$S$16:$S$39,[1]CRITERIOS!$Y$16:$Y$39))*$J784+$Z784)/$G784,0)*$G784,
((_xlfn.XLOOKUP($A784,'[1]DATOS PBI Artículos'!$A:$A,'[1]DATOS PBI Artículos'!$AM:$AM))/(_xlfn.XLOOKUP($AH$1,[1]CRITERIOS!$S$16:$S$39,[1]CRITERIOS!$Y$16:$Y$39))*$J784+$Z784)))</f>
        <v>#N/A</v>
      </c>
      <c r="AI784" s="39" t="e">
        <f>IF($R784="MTO","",
IF($H784=0,ROUNDUP(((_xlfn.XLOOKUP($A784,'[1]DATOS PBI Artículos'!$A:$A,'[1]DATOS PBI Artículos'!$AN:$AN))/(_xlfn.XLOOKUP($AJ$1,[1]CRITERIOS!$S$16:$S$39,[1]CRITERIOS!$Y$16:$Y$39))*$J784+$Z784)/$G784,0)*$G784,
((_xlfn.XLOOKUP($A784,'[1]DATOS PBI Artículos'!$A:$A,'[1]DATOS PBI Artículos'!$AN:$AN))/(_xlfn.XLOOKUP($AJ$1,[1]CRITERIOS!$S$16:$S$39,[1]CRITERIOS!$Y$16:$Y$39))*$J784+$Z784)))</f>
        <v>#N/A</v>
      </c>
      <c r="AK784" s="39" t="e">
        <f>IF($R784="MTO","",
IF($H784=0,ROUNDUP(((_xlfn.XLOOKUP($A784,'[1]DATOS PBI Artículos'!$A:$A,'[1]DATOS PBI Artículos'!$AO:$AO))/(_xlfn.XLOOKUP($AL$1,[1]CRITERIOS!$S$16:$S$39,[1]CRITERIOS!$Y$16:$Y$39))*$J784+$Z784)/$G784,0)*$G784,
((_xlfn.XLOOKUP($A784,'[1]DATOS PBI Artículos'!$A:$A,'[1]DATOS PBI Artículos'!$AO:$AO))/(_xlfn.XLOOKUP($AL$1,[1]CRITERIOS!$S$16:$S$39,[1]CRITERIOS!$Y$16:$Y$39))*$J784+$Z784)))</f>
        <v>#N/A</v>
      </c>
    </row>
    <row r="785" spans="1:37" ht="25.8" hidden="1" x14ac:dyDescent="0.4">
      <c r="A785" s="41"/>
      <c r="B785" s="33">
        <f>_xlfn.XLOOKUP($A785,'[1]DATOS PBI Artículos'!A:A,'[1]DATOS PBI Artículos'!B:B)</f>
        <v>0</v>
      </c>
      <c r="C785" s="33">
        <f>_xlfn.XLOOKUP($A785,'[1]DATOS PBI Artículos'!A:A,'[1]DATOS PBI Artículos'!C:C)</f>
        <v>0</v>
      </c>
      <c r="D785" s="33">
        <f>_xlfn.XLOOKUP(A785,'[1]DATOS PBI Artículos'!A:A,'[1]DATOS PBI Artículos'!T:T)</f>
        <v>0</v>
      </c>
      <c r="E785" s="34">
        <f>IF(_xlfn.XLOOKUP($A785,'[1]DATOS PBI Artículos'!A:A,'[1]DATOS PBI Artículos'!AK:AK)="",_xlfn.XLOOKUP($A785,'[1]DATOS PBI Artículos'!A:A,'[1]DATOS PBI Artículos'!AJ:AJ),_xlfn.XLOOKUP($A785,'[1]DATOS PBI Artículos'!A:A,'[1]DATOS PBI Artículos'!AK:AK))</f>
        <v>0</v>
      </c>
      <c r="F785" s="35">
        <f>_xlfn.XLOOKUP($A785,'[1]DATOS PBI Artículos'!A:A,'[1]DATOS PBI Artículos'!AP:AP)</f>
        <v>0</v>
      </c>
      <c r="G785" s="34">
        <f>_xlfn.XLOOKUP($A785,'[1]DATOS PBI Artículos'!A:A,'[1]DATOS PBI Artículos'!AR:AR)</f>
        <v>0</v>
      </c>
      <c r="H785" s="34">
        <f>_xlfn.XLOOKUP($A785,'[1]DATOS PBI Artículos'!A:A,'[1]DATOS PBI Artículos'!AT:AT)</f>
        <v>0</v>
      </c>
      <c r="I785" s="34">
        <f>_xlfn.XLOOKUP($A785,'[1]DATOS PBI Artículos'!A:A,'[1]DATOS PBI Artículos'!AS:AS)</f>
        <v>0</v>
      </c>
      <c r="J785" s="35">
        <f>IF(COUNTIF([1]CRITERIOS!$F$179:$F$199,$A785)&gt;=1,
 IF(O785&lt;&gt;"",
    (O785/_xlfn.XLOOKUP(CONCATENATE(A785,L785),[1]MÁQUINAS!A:A,[1]MÁQUINAS!D:D))/24,
    (N785/_xlfn.XLOOKUP(CONCATENATE(A785,L785),[1]MÁQUINAS!A:A,[1]MÁQUINAS!D:D))/24),
  _xlfn.XLOOKUP($A785,'[1]DATOS PBI Artículos'!A:A,'[1]DATOS PBI Artículos'!AU:AU))</f>
        <v>0</v>
      </c>
      <c r="K785" s="36">
        <f>_xlfn.XLOOKUP($A785,'[1]DATOS PBI Artículos'!A:A,'[1]DATOS PBI Artículos'!AV:AV)</f>
        <v>0</v>
      </c>
      <c r="L785" s="33">
        <f>_xlfn.XLOOKUP(A785,[1]MÁQUINAS!B:B,[1]MÁQUINAS!C:C)</f>
        <v>0</v>
      </c>
      <c r="M785" s="34">
        <f t="array" ref="M785">_xlfn.XLOOKUP(A785,'[1]DATOS PBI Artículos'!A:A,'[1]DATOS PBI Artículos'!AX:$AX)</f>
        <v>0</v>
      </c>
      <c r="N785" s="37" t="e">
        <f>IF(I785="DV",
E785,
IF(COUNTIF([1]CRITERIOS!$I$179:$I$199,$A785)&gt;=1,
_xlfn.XLOOKUP($A785,[1]CRITERIOS!$I$179:$I$199,[1]CRITERIOS!$J$179:$J$199),
IF(COUNTIF([1]CRITERIOS!$L$179:$L$199,$A785)&gt;=1,
_xlfn.CEILING.MATH(IF($M785&gt;$E785,
$E785,
IF($M785&lt;$E785/ROUNDDOWN([1]CRITERIOS!$M$16/_xlfn.XLOOKUP($C785,[1]CRITERIOS!$K$25:$K$42,[1]CRITERIOS!$M$25:$M$42),
1),
E785/ROUNDDOWN([1]CRITERIOS!$M$16/_xlfn.XLOOKUP($C785,[1]CRITERIOS!$K$25:$K$42,[1]CRITERIOS!$M$25:$M$42),
1),
$M785)),
_xlfn.XLOOKUP($A785,[1]CRITERIOS!$L$179:$L$200,[1]CRITERIOS!$M$179:$M$200)),
_xlfn.CEILING.MATH(IF($M785&gt;$E785,
$E785,
IF($M785&lt;$E785/ROUNDDOWN([1]CRITERIOS!$M$16/_xlfn.XLOOKUP($C785,[1]CRITERIOS!$K$25:$K$42,[1]CRITERIOS!$M$25:$M$42),
1),
E785/ROUNDDOWN([1]CRITERIOS!$M$16/_xlfn.XLOOKUP($C785,[1]CRITERIOS!$K$25:$K$42,[1]CRITERIOS!$M$25:$M$42),
1),
$M785)),_xlfn.XLOOKUP(A785,'[1]DATOS PBI Artículos'!A:A,'[1]DATOS PBI Artículos'!Z:Z
)))))</f>
        <v>#N/A</v>
      </c>
      <c r="Q785" s="38" t="e">
        <f>IF(AND(O785="",N785=0),
0,
   IF(COUNTIF([1]CRITERIOS!$F$179:$F$199,$A785)&gt;=1,
   1,
   IF(R785="MTO",
      $D785,
      ROUNDUP(
                    IF(($E785-SUMIF('[1]DATOS PBI Artículos'!A:A,A785,'[1]DATOS PBI Artículos'!X:X)+($V785-_xlfn.XLOOKUP(A785,'[1]DATOS PBI Artículos'!A:A,'[1]DATOS PBI Artículos'!W:W)))&lt;0,
                    0,
                    IF(($E785-SUMIF('[1]DATOS PBI Artículos'!A:A,A785,'[1]DATOS PBI Artículos'!X:X)+$V785-_xlfn.XLOOKUP($A785,'[1]DATOS PBI Artículos'!A:A,'[1]DATOS PBI Artículos'!W:W))/IF($O785="",$N785,$O785)&gt;ROUNDUP([1]CRITERIOS!$M$16/(IF(COUNTIF([1]CRITERIOS!$BG$11:$BG$201,L785)&gt;=1,_xlfn.XLOOKUP($C785,[1]CRITERIOS!$K$25:$K$42,[1]CRITERIOS!$M$25:$M$42),_xlfn.XLOOKUP($C785,[1]CRITERIOS!$K$25:$K$42,[1]CRITERIOS!$M$25:$M$42))),0),
                    ROUNDUP([1]CRITERIOS!$M$16/(IF(COUNTIF([1]CRITERIOS!$BG$11:$BG$201,$L785)&gt;=1,_xlfn.XLOOKUP($C785,[1]CRITERIOS!$K$25:$K$42,[1]CRITERIOS!$M$25:$M$42),_xlfn.XLOOKUP($C785,[1]CRITERIOS!$K$25:$K$42,[1]CRITERIOS!$M$25:$M$42))),0),
                    (E785+V785-SUMIF('[1]DATOS PBI Artículos'!A:A,A785,'[1]DATOS PBI Artículos'!X:X)-_xlfn.XLOOKUP(A785,'[1]DATOS PBI Artículos'!A:A,'[1]DATOS PBI Artículos'!W:W))/IF($O785="",$N785,$O785))),0))))</f>
        <v>#N/A</v>
      </c>
      <c r="R785" s="33" t="e">
        <f>IF(U785&lt;&gt;"",U785,IF(F785="DV","MTO",IF(N785=0,"MTO",_xlfn.XLOOKUP(CONCATENATE(S785,T785),[1]CRITERIOS!$K$160:$K$168,[1]CRITERIOS!$N$160:$N$168))))</f>
        <v>#N/A</v>
      </c>
      <c r="S785" s="33" t="e">
        <f>IF(G785="DV","MTO",IF(N785=0,"MTO",IF(OR(AND(N785=0,O785=""),IF(O785="",G785/N785,G785/O785)&gt;[1]CRITERIOS!$G$163),"MTO",IF(IF(O785="",G785/N785,G785/O785)&lt;[1]CRITERIOS!$H$161,"MTS","MTOS"))))</f>
        <v>#N/A</v>
      </c>
      <c r="T785" s="33" t="e">
        <f>IF(F785="DV","MTO",IF(OR(AND($N785=0,O785=""),$F785/$J785&gt;[1]CRITERIOS!$G$170,$F785="DV"),"MTO",IF($F785/$J785&lt;[1]CRITERIOS!$H$168,"MTS","MTOS")))</f>
        <v>#N/A</v>
      </c>
      <c r="V785" s="34" t="e">
        <f t="shared" si="37"/>
        <v>#N/A</v>
      </c>
      <c r="X785" s="34" t="e">
        <f t="shared" si="38"/>
        <v>#N/A</v>
      </c>
      <c r="Y785" s="34" t="e">
        <f t="shared" si="39"/>
        <v>#N/A</v>
      </c>
      <c r="Z785" s="34" t="e">
        <f>IF($R785="MTO",
0,
($H785+$K785*($E785/[1]CRITERIOS!$M$16))/[1]CRITERIOS!$X$48)</f>
        <v>#N/A</v>
      </c>
      <c r="AA785" s="34" t="e">
        <f>ROUNDUP(($Y785/_xlfn.XLOOKUP($A785,'[1]DATOS PBI Artículos'!$A$4:$A$4,'[1]DATOS PBI Artículos'!$Z$4:$Z$4))/_xlfn.XLOOKUP(_xlfn.XLOOKUP($A785,'[1]DATOS PBI Artículos'!$A$4:$A$4,'[1]DATOS PBI Artículos'!$Y$4:$Y$4),[1]CRITERIOS!$P$79:$P$123,[1]CRITERIOS!$S$79:$S$123,),0)</f>
        <v>#N/A</v>
      </c>
      <c r="AC785" s="33" t="e">
        <f>IF(N785=0,"",(ROUNDUP((N785/2)/(_xlfn.XLOOKUP(A785,'[1]DATOS PBI Artículos'!$A$4:$A$4,'[1]DATOS PBI Artículos'!$Z$4:$Z$4)*_xlfn.XLOOKUP(_xlfn.XLOOKUP(A785,'[1]DATOS PBI Artículos'!$A$4:$A$4,'[1]DATOS PBI Artículos'!$Y$4:$Y$4),[1]CRITERIOS!$P$79:$P$123,[1]CRITERIOS!$S$79:$S$123)),0)*[1]CRITERIOS!$M$80*([1]CRITERIOS!$M$110/[1]CRITERIOS!$M$86)+(_xlfn.XLOOKUP(A785,'[1]DATOS PBI Artículos'!$A$4:$A$4,'[1]DATOS PBI Artículos'!$AA$4:$AA$4)*([1]CRITERIOS!$M$95+[1]CRITERIOS!$M$98)))/N785)</f>
        <v>#N/A</v>
      </c>
      <c r="AD785" s="33" t="e">
        <f>IF(N785=0,"",(ROUNDUP((N785/2)/(_xlfn.XLOOKUP(A785,'[1]DATOS PBI Artículos'!$A$4:$A$4,'[1]DATOS PBI Artículos'!$Z$4:$Z$4)*_xlfn.XLOOKUP(_xlfn.XLOOKUP(A785,'[1]DATOS PBI Artículos'!$A$4:$A$4,'[1]DATOS PBI Artículos'!$Y$4:$Y$4),[1]CRITERIOS!$P$79:$P$123,[1]CRITERIOS!$S$79:$S$123)),0)*[1]CRITERIOS!$M$80*([1]CRITERIOS!$M$89*[1]CRITERIOS!$M$92)+((_xlfn.XLOOKUP(A785,'[1]DATOS PBI Artículos'!$A$4:$A$4,'[1]DATOS PBI Artículos'!$AA$4:$AA$4)/2)*([1]CRITERIOS!$M$95+[1]CRITERIOS!$M$98)))/N785)</f>
        <v>#N/A</v>
      </c>
      <c r="AE785" s="39" t="e">
        <f>IF($R785="MTO","",
IF($H785=0,ROUNDUP(((_xlfn.XLOOKUP($A785,'[1]DATOS PBI Artículos'!$A:$A,'[1]DATOS PBI Artículos'!$AL:$AL))/(_xlfn.XLOOKUP($AF$1,[1]CRITERIOS!$S$16:$S$39,[1]CRITERIOS!$Y$16:$Y$39))*$J785+$Z785)/$G785,0)*$G785,
((_xlfn.XLOOKUP($A785,'[1]DATOS PBI Artículos'!$A:$A,'[1]DATOS PBI Artículos'!$AL:$AL))/(_xlfn.XLOOKUP($AF$1,[1]CRITERIOS!$S$16:$S$39,[1]CRITERIOS!$Y$16:$Y$39))*$J785+$Z785)))</f>
        <v>#N/A</v>
      </c>
      <c r="AG785" s="39" t="e">
        <f>IF($R785="MTO","",
IF($H785=0,ROUNDUP(((_xlfn.XLOOKUP($A785,'[1]DATOS PBI Artículos'!$A:$A,'[1]DATOS PBI Artículos'!$AM:$AM))/(_xlfn.XLOOKUP($AH$1,[1]CRITERIOS!$S$16:$S$39,[1]CRITERIOS!$Y$16:$Y$39))*$J785+$Z785)/$G785,0)*$G785,
((_xlfn.XLOOKUP($A785,'[1]DATOS PBI Artículos'!$A:$A,'[1]DATOS PBI Artículos'!$AM:$AM))/(_xlfn.XLOOKUP($AH$1,[1]CRITERIOS!$S$16:$S$39,[1]CRITERIOS!$Y$16:$Y$39))*$J785+$Z785)))</f>
        <v>#N/A</v>
      </c>
      <c r="AI785" s="39" t="e">
        <f>IF($R785="MTO","",
IF($H785=0,ROUNDUP(((_xlfn.XLOOKUP($A785,'[1]DATOS PBI Artículos'!$A:$A,'[1]DATOS PBI Artículos'!$AN:$AN))/(_xlfn.XLOOKUP($AJ$1,[1]CRITERIOS!$S$16:$S$39,[1]CRITERIOS!$Y$16:$Y$39))*$J785+$Z785)/$G785,0)*$G785,
((_xlfn.XLOOKUP($A785,'[1]DATOS PBI Artículos'!$A:$A,'[1]DATOS PBI Artículos'!$AN:$AN))/(_xlfn.XLOOKUP($AJ$1,[1]CRITERIOS!$S$16:$S$39,[1]CRITERIOS!$Y$16:$Y$39))*$J785+$Z785)))</f>
        <v>#N/A</v>
      </c>
      <c r="AK785" s="39" t="e">
        <f>IF($R785="MTO","",
IF($H785=0,ROUNDUP(((_xlfn.XLOOKUP($A785,'[1]DATOS PBI Artículos'!$A:$A,'[1]DATOS PBI Artículos'!$AO:$AO))/(_xlfn.XLOOKUP($AL$1,[1]CRITERIOS!$S$16:$S$39,[1]CRITERIOS!$Y$16:$Y$39))*$J785+$Z785)/$G785,0)*$G785,
((_xlfn.XLOOKUP($A785,'[1]DATOS PBI Artículos'!$A:$A,'[1]DATOS PBI Artículos'!$AO:$AO))/(_xlfn.XLOOKUP($AL$1,[1]CRITERIOS!$S$16:$S$39,[1]CRITERIOS!$Y$16:$Y$39))*$J785+$Z785)))</f>
        <v>#N/A</v>
      </c>
    </row>
    <row r="786" spans="1:37" ht="25.8" hidden="1" x14ac:dyDescent="0.4">
      <c r="A786" s="41"/>
      <c r="B786" s="33">
        <f>_xlfn.XLOOKUP($A786,'[1]DATOS PBI Artículos'!A:A,'[1]DATOS PBI Artículos'!B:B)</f>
        <v>0</v>
      </c>
      <c r="C786" s="33">
        <f>_xlfn.XLOOKUP($A786,'[1]DATOS PBI Artículos'!A:A,'[1]DATOS PBI Artículos'!C:C)</f>
        <v>0</v>
      </c>
      <c r="D786" s="33">
        <f>_xlfn.XLOOKUP(A786,'[1]DATOS PBI Artículos'!A:A,'[1]DATOS PBI Artículos'!T:T)</f>
        <v>0</v>
      </c>
      <c r="E786" s="34">
        <f>IF(_xlfn.XLOOKUP($A786,'[1]DATOS PBI Artículos'!A:A,'[1]DATOS PBI Artículos'!AK:AK)="",_xlfn.XLOOKUP($A786,'[1]DATOS PBI Artículos'!A:A,'[1]DATOS PBI Artículos'!AJ:AJ),_xlfn.XLOOKUP($A786,'[1]DATOS PBI Artículos'!A:A,'[1]DATOS PBI Artículos'!AK:AK))</f>
        <v>0</v>
      </c>
      <c r="F786" s="35">
        <f>_xlfn.XLOOKUP($A786,'[1]DATOS PBI Artículos'!A:A,'[1]DATOS PBI Artículos'!AP:AP)</f>
        <v>0</v>
      </c>
      <c r="G786" s="34">
        <f>_xlfn.XLOOKUP($A786,'[1]DATOS PBI Artículos'!A:A,'[1]DATOS PBI Artículos'!AR:AR)</f>
        <v>0</v>
      </c>
      <c r="H786" s="34">
        <f>_xlfn.XLOOKUP($A786,'[1]DATOS PBI Artículos'!A:A,'[1]DATOS PBI Artículos'!AT:AT)</f>
        <v>0</v>
      </c>
      <c r="I786" s="34">
        <f>_xlfn.XLOOKUP($A786,'[1]DATOS PBI Artículos'!A:A,'[1]DATOS PBI Artículos'!AS:AS)</f>
        <v>0</v>
      </c>
      <c r="J786" s="35">
        <f>IF(COUNTIF([1]CRITERIOS!$F$179:$F$199,$A786)&gt;=1,
 IF(O786&lt;&gt;"",
    (O786/_xlfn.XLOOKUP(CONCATENATE(A786,L786),[1]MÁQUINAS!A:A,[1]MÁQUINAS!D:D))/24,
    (N786/_xlfn.XLOOKUP(CONCATENATE(A786,L786),[1]MÁQUINAS!A:A,[1]MÁQUINAS!D:D))/24),
  _xlfn.XLOOKUP($A786,'[1]DATOS PBI Artículos'!A:A,'[1]DATOS PBI Artículos'!AU:AU))</f>
        <v>0</v>
      </c>
      <c r="K786" s="36">
        <f>_xlfn.XLOOKUP($A786,'[1]DATOS PBI Artículos'!A:A,'[1]DATOS PBI Artículos'!AV:AV)</f>
        <v>0</v>
      </c>
      <c r="L786" s="33">
        <f>_xlfn.XLOOKUP(A786,[1]MÁQUINAS!B:B,[1]MÁQUINAS!C:C)</f>
        <v>0</v>
      </c>
      <c r="M786" s="34">
        <f t="array" ref="M786">_xlfn.XLOOKUP(A786,'[1]DATOS PBI Artículos'!A:A,'[1]DATOS PBI Artículos'!AX:$AX)</f>
        <v>0</v>
      </c>
      <c r="N786" s="37" t="e">
        <f>IF(I786="DV",
E786,
IF(COUNTIF([1]CRITERIOS!$I$179:$I$199,$A786)&gt;=1,
_xlfn.XLOOKUP($A786,[1]CRITERIOS!$I$179:$I$199,[1]CRITERIOS!$J$179:$J$199),
IF(COUNTIF([1]CRITERIOS!$L$179:$L$199,$A786)&gt;=1,
_xlfn.CEILING.MATH(IF($M786&gt;$E786,
$E786,
IF($M786&lt;$E786/ROUNDDOWN([1]CRITERIOS!$M$16/_xlfn.XLOOKUP($C786,[1]CRITERIOS!$K$25:$K$42,[1]CRITERIOS!$M$25:$M$42),
1),
E786/ROUNDDOWN([1]CRITERIOS!$M$16/_xlfn.XLOOKUP($C786,[1]CRITERIOS!$K$25:$K$42,[1]CRITERIOS!$M$25:$M$42),
1),
$M786)),
_xlfn.XLOOKUP($A786,[1]CRITERIOS!$L$179:$L$200,[1]CRITERIOS!$M$179:$M$200)),
_xlfn.CEILING.MATH(IF($M786&gt;$E786,
$E786,
IF($M786&lt;$E786/ROUNDDOWN([1]CRITERIOS!$M$16/_xlfn.XLOOKUP($C786,[1]CRITERIOS!$K$25:$K$42,[1]CRITERIOS!$M$25:$M$42),
1),
E786/ROUNDDOWN([1]CRITERIOS!$M$16/_xlfn.XLOOKUP($C786,[1]CRITERIOS!$K$25:$K$42,[1]CRITERIOS!$M$25:$M$42),
1),
$M786)),_xlfn.XLOOKUP(A786,'[1]DATOS PBI Artículos'!A:A,'[1]DATOS PBI Artículos'!Z:Z
)))))</f>
        <v>#N/A</v>
      </c>
      <c r="Q786" s="38" t="e">
        <f>IF(AND(O786="",N786=0),
0,
   IF(COUNTIF([1]CRITERIOS!$F$179:$F$199,$A786)&gt;=1,
   1,
   IF(R786="MTO",
      $D786,
      ROUNDUP(
                    IF(($E786-SUMIF('[1]DATOS PBI Artículos'!A:A,A786,'[1]DATOS PBI Artículos'!X:X)+($V786-_xlfn.XLOOKUP(A786,'[1]DATOS PBI Artículos'!A:A,'[1]DATOS PBI Artículos'!W:W)))&lt;0,
                    0,
                    IF(($E786-SUMIF('[1]DATOS PBI Artículos'!A:A,A786,'[1]DATOS PBI Artículos'!X:X)+$V786-_xlfn.XLOOKUP($A786,'[1]DATOS PBI Artículos'!A:A,'[1]DATOS PBI Artículos'!W:W))/IF($O786="",$N786,$O786)&gt;ROUNDUP([1]CRITERIOS!$M$16/(IF(COUNTIF([1]CRITERIOS!$BG$11:$BG$201,L786)&gt;=1,_xlfn.XLOOKUP($C786,[1]CRITERIOS!$K$25:$K$42,[1]CRITERIOS!$M$25:$M$42),_xlfn.XLOOKUP($C786,[1]CRITERIOS!$K$25:$K$42,[1]CRITERIOS!$M$25:$M$42))),0),
                    ROUNDUP([1]CRITERIOS!$M$16/(IF(COUNTIF([1]CRITERIOS!$BG$11:$BG$201,$L786)&gt;=1,_xlfn.XLOOKUP($C786,[1]CRITERIOS!$K$25:$K$42,[1]CRITERIOS!$M$25:$M$42),_xlfn.XLOOKUP($C786,[1]CRITERIOS!$K$25:$K$42,[1]CRITERIOS!$M$25:$M$42))),0),
                    (E786+V786-SUMIF('[1]DATOS PBI Artículos'!A:A,A786,'[1]DATOS PBI Artículos'!X:X)-_xlfn.XLOOKUP(A786,'[1]DATOS PBI Artículos'!A:A,'[1]DATOS PBI Artículos'!W:W))/IF($O786="",$N786,$O786))),0))))</f>
        <v>#N/A</v>
      </c>
      <c r="R786" s="33" t="e">
        <f>IF(U786&lt;&gt;"",U786,IF(F786="DV","MTO",IF(N786=0,"MTO",_xlfn.XLOOKUP(CONCATENATE(S786,T786),[1]CRITERIOS!$K$160:$K$168,[1]CRITERIOS!$N$160:$N$168))))</f>
        <v>#N/A</v>
      </c>
      <c r="S786" s="33" t="e">
        <f>IF(G786="DV","MTO",IF(N786=0,"MTO",IF(OR(AND(N786=0,O786=""),IF(O786="",G786/N786,G786/O786)&gt;[1]CRITERIOS!$G$163),"MTO",IF(IF(O786="",G786/N786,G786/O786)&lt;[1]CRITERIOS!$H$161,"MTS","MTOS"))))</f>
        <v>#N/A</v>
      </c>
      <c r="T786" s="33" t="e">
        <f>IF(F786="DV","MTO",IF(OR(AND($N786=0,O786=""),$F786/$J786&gt;[1]CRITERIOS!$G$170,$F786="DV"),"MTO",IF($F786/$J786&lt;[1]CRITERIOS!$H$168,"MTS","MTOS")))</f>
        <v>#N/A</v>
      </c>
      <c r="V786" s="34" t="e">
        <f t="shared" si="37"/>
        <v>#N/A</v>
      </c>
      <c r="X786" s="34" t="e">
        <f t="shared" si="38"/>
        <v>#N/A</v>
      </c>
      <c r="Y786" s="34" t="e">
        <f t="shared" si="39"/>
        <v>#N/A</v>
      </c>
      <c r="Z786" s="34" t="e">
        <f>IF($R786="MTO",
0,
($H786+$K786*($E786/[1]CRITERIOS!$M$16))/[1]CRITERIOS!$X$48)</f>
        <v>#N/A</v>
      </c>
      <c r="AA786" s="34" t="e">
        <f>ROUNDUP(($Y786/_xlfn.XLOOKUP($A786,'[1]DATOS PBI Artículos'!$A$4:$A$4,'[1]DATOS PBI Artículos'!$Z$4:$Z$4))/_xlfn.XLOOKUP(_xlfn.XLOOKUP($A786,'[1]DATOS PBI Artículos'!$A$4:$A$4,'[1]DATOS PBI Artículos'!$Y$4:$Y$4),[1]CRITERIOS!$P$79:$P$123,[1]CRITERIOS!$S$79:$S$123,),0)</f>
        <v>#N/A</v>
      </c>
      <c r="AC786" s="33" t="e">
        <f>IF(N786=0,"",(ROUNDUP((N786/2)/(_xlfn.XLOOKUP(A786,'[1]DATOS PBI Artículos'!$A$4:$A$4,'[1]DATOS PBI Artículos'!$Z$4:$Z$4)*_xlfn.XLOOKUP(_xlfn.XLOOKUP(A786,'[1]DATOS PBI Artículos'!$A$4:$A$4,'[1]DATOS PBI Artículos'!$Y$4:$Y$4),[1]CRITERIOS!$P$79:$P$123,[1]CRITERIOS!$S$79:$S$123)),0)*[1]CRITERIOS!$M$80*([1]CRITERIOS!$M$110/[1]CRITERIOS!$M$86)+(_xlfn.XLOOKUP(A786,'[1]DATOS PBI Artículos'!$A$4:$A$4,'[1]DATOS PBI Artículos'!$AA$4:$AA$4)*([1]CRITERIOS!$M$95+[1]CRITERIOS!$M$98)))/N786)</f>
        <v>#N/A</v>
      </c>
      <c r="AD786" s="33" t="e">
        <f>IF(N786=0,"",(ROUNDUP((N786/2)/(_xlfn.XLOOKUP(A786,'[1]DATOS PBI Artículos'!$A$4:$A$4,'[1]DATOS PBI Artículos'!$Z$4:$Z$4)*_xlfn.XLOOKUP(_xlfn.XLOOKUP(A786,'[1]DATOS PBI Artículos'!$A$4:$A$4,'[1]DATOS PBI Artículos'!$Y$4:$Y$4),[1]CRITERIOS!$P$79:$P$123,[1]CRITERIOS!$S$79:$S$123)),0)*[1]CRITERIOS!$M$80*([1]CRITERIOS!$M$89*[1]CRITERIOS!$M$92)+((_xlfn.XLOOKUP(A786,'[1]DATOS PBI Artículos'!$A$4:$A$4,'[1]DATOS PBI Artículos'!$AA$4:$AA$4)/2)*([1]CRITERIOS!$M$95+[1]CRITERIOS!$M$98)))/N786)</f>
        <v>#N/A</v>
      </c>
      <c r="AE786" s="39" t="e">
        <f>IF($R786="MTO","",
IF($H786=0,ROUNDUP(((_xlfn.XLOOKUP($A786,'[1]DATOS PBI Artículos'!$A:$A,'[1]DATOS PBI Artículos'!$AL:$AL))/(_xlfn.XLOOKUP($AF$1,[1]CRITERIOS!$S$16:$S$39,[1]CRITERIOS!$Y$16:$Y$39))*$J786+$Z786)/$G786,0)*$G786,
((_xlfn.XLOOKUP($A786,'[1]DATOS PBI Artículos'!$A:$A,'[1]DATOS PBI Artículos'!$AL:$AL))/(_xlfn.XLOOKUP($AF$1,[1]CRITERIOS!$S$16:$S$39,[1]CRITERIOS!$Y$16:$Y$39))*$J786+$Z786)))</f>
        <v>#N/A</v>
      </c>
      <c r="AG786" s="39" t="e">
        <f>IF($R786="MTO","",
IF($H786=0,ROUNDUP(((_xlfn.XLOOKUP($A786,'[1]DATOS PBI Artículos'!$A:$A,'[1]DATOS PBI Artículos'!$AM:$AM))/(_xlfn.XLOOKUP($AH$1,[1]CRITERIOS!$S$16:$S$39,[1]CRITERIOS!$Y$16:$Y$39))*$J786+$Z786)/$G786,0)*$G786,
((_xlfn.XLOOKUP($A786,'[1]DATOS PBI Artículos'!$A:$A,'[1]DATOS PBI Artículos'!$AM:$AM))/(_xlfn.XLOOKUP($AH$1,[1]CRITERIOS!$S$16:$S$39,[1]CRITERIOS!$Y$16:$Y$39))*$J786+$Z786)))</f>
        <v>#N/A</v>
      </c>
      <c r="AI786" s="39" t="e">
        <f>IF($R786="MTO","",
IF($H786=0,ROUNDUP(((_xlfn.XLOOKUP($A786,'[1]DATOS PBI Artículos'!$A:$A,'[1]DATOS PBI Artículos'!$AN:$AN))/(_xlfn.XLOOKUP($AJ$1,[1]CRITERIOS!$S$16:$S$39,[1]CRITERIOS!$Y$16:$Y$39))*$J786+$Z786)/$G786,0)*$G786,
((_xlfn.XLOOKUP($A786,'[1]DATOS PBI Artículos'!$A:$A,'[1]DATOS PBI Artículos'!$AN:$AN))/(_xlfn.XLOOKUP($AJ$1,[1]CRITERIOS!$S$16:$S$39,[1]CRITERIOS!$Y$16:$Y$39))*$J786+$Z786)))</f>
        <v>#N/A</v>
      </c>
      <c r="AK786" s="39" t="e">
        <f>IF($R786="MTO","",
IF($H786=0,ROUNDUP(((_xlfn.XLOOKUP($A786,'[1]DATOS PBI Artículos'!$A:$A,'[1]DATOS PBI Artículos'!$AO:$AO))/(_xlfn.XLOOKUP($AL$1,[1]CRITERIOS!$S$16:$S$39,[1]CRITERIOS!$Y$16:$Y$39))*$J786+$Z786)/$G786,0)*$G786,
((_xlfn.XLOOKUP($A786,'[1]DATOS PBI Artículos'!$A:$A,'[1]DATOS PBI Artículos'!$AO:$AO))/(_xlfn.XLOOKUP($AL$1,[1]CRITERIOS!$S$16:$S$39,[1]CRITERIOS!$Y$16:$Y$39))*$J786+$Z786)))</f>
        <v>#N/A</v>
      </c>
    </row>
    <row r="787" spans="1:37" ht="25.8" hidden="1" x14ac:dyDescent="0.4">
      <c r="A787" s="41"/>
      <c r="B787" s="33">
        <f>_xlfn.XLOOKUP($A787,'[1]DATOS PBI Artículos'!A:A,'[1]DATOS PBI Artículos'!B:B)</f>
        <v>0</v>
      </c>
      <c r="C787" s="33">
        <f>_xlfn.XLOOKUP($A787,'[1]DATOS PBI Artículos'!A:A,'[1]DATOS PBI Artículos'!C:C)</f>
        <v>0</v>
      </c>
      <c r="D787" s="33">
        <f>_xlfn.XLOOKUP(A787,'[1]DATOS PBI Artículos'!A:A,'[1]DATOS PBI Artículos'!T:T)</f>
        <v>0</v>
      </c>
      <c r="E787" s="34">
        <f>IF(_xlfn.XLOOKUP($A787,'[1]DATOS PBI Artículos'!A:A,'[1]DATOS PBI Artículos'!AK:AK)="",_xlfn.XLOOKUP($A787,'[1]DATOS PBI Artículos'!A:A,'[1]DATOS PBI Artículos'!AJ:AJ),_xlfn.XLOOKUP($A787,'[1]DATOS PBI Artículos'!A:A,'[1]DATOS PBI Artículos'!AK:AK))</f>
        <v>0</v>
      </c>
      <c r="F787" s="35">
        <f>_xlfn.XLOOKUP($A787,'[1]DATOS PBI Artículos'!A:A,'[1]DATOS PBI Artículos'!AP:AP)</f>
        <v>0</v>
      </c>
      <c r="G787" s="34">
        <f>_xlfn.XLOOKUP($A787,'[1]DATOS PBI Artículos'!A:A,'[1]DATOS PBI Artículos'!AR:AR)</f>
        <v>0</v>
      </c>
      <c r="H787" s="34">
        <f>_xlfn.XLOOKUP($A787,'[1]DATOS PBI Artículos'!A:A,'[1]DATOS PBI Artículos'!AT:AT)</f>
        <v>0</v>
      </c>
      <c r="I787" s="34">
        <f>_xlfn.XLOOKUP($A787,'[1]DATOS PBI Artículos'!A:A,'[1]DATOS PBI Artículos'!AS:AS)</f>
        <v>0</v>
      </c>
      <c r="J787" s="35">
        <f>IF(COUNTIF([1]CRITERIOS!$F$179:$F$199,$A787)&gt;=1,
 IF(O787&lt;&gt;"",
    (O787/_xlfn.XLOOKUP(CONCATENATE(A787,L787),[1]MÁQUINAS!A:A,[1]MÁQUINAS!D:D))/24,
    (N787/_xlfn.XLOOKUP(CONCATENATE(A787,L787),[1]MÁQUINAS!A:A,[1]MÁQUINAS!D:D))/24),
  _xlfn.XLOOKUP($A787,'[1]DATOS PBI Artículos'!A:A,'[1]DATOS PBI Artículos'!AU:AU))</f>
        <v>0</v>
      </c>
      <c r="K787" s="36">
        <f>_xlfn.XLOOKUP($A787,'[1]DATOS PBI Artículos'!A:A,'[1]DATOS PBI Artículos'!AV:AV)</f>
        <v>0</v>
      </c>
      <c r="L787" s="33">
        <f>_xlfn.XLOOKUP(A787,[1]MÁQUINAS!B:B,[1]MÁQUINAS!C:C)</f>
        <v>0</v>
      </c>
      <c r="M787" s="34">
        <f t="array" ref="M787">_xlfn.XLOOKUP(A787,'[1]DATOS PBI Artículos'!A:A,'[1]DATOS PBI Artículos'!AX:$AX)</f>
        <v>0</v>
      </c>
      <c r="N787" s="37" t="e">
        <f>IF(I787="DV",
E787,
IF(COUNTIF([1]CRITERIOS!$I$179:$I$199,$A787)&gt;=1,
_xlfn.XLOOKUP($A787,[1]CRITERIOS!$I$179:$I$199,[1]CRITERIOS!$J$179:$J$199),
IF(COUNTIF([1]CRITERIOS!$L$179:$L$199,$A787)&gt;=1,
_xlfn.CEILING.MATH(IF($M787&gt;$E787,
$E787,
IF($M787&lt;$E787/ROUNDDOWN([1]CRITERIOS!$M$16/_xlfn.XLOOKUP($C787,[1]CRITERIOS!$K$25:$K$42,[1]CRITERIOS!$M$25:$M$42),
1),
E787/ROUNDDOWN([1]CRITERIOS!$M$16/_xlfn.XLOOKUP($C787,[1]CRITERIOS!$K$25:$K$42,[1]CRITERIOS!$M$25:$M$42),
1),
$M787)),
_xlfn.XLOOKUP($A787,[1]CRITERIOS!$L$179:$L$200,[1]CRITERIOS!$M$179:$M$200)),
_xlfn.CEILING.MATH(IF($M787&gt;$E787,
$E787,
IF($M787&lt;$E787/ROUNDDOWN([1]CRITERIOS!$M$16/_xlfn.XLOOKUP($C787,[1]CRITERIOS!$K$25:$K$42,[1]CRITERIOS!$M$25:$M$42),
1),
E787/ROUNDDOWN([1]CRITERIOS!$M$16/_xlfn.XLOOKUP($C787,[1]CRITERIOS!$K$25:$K$42,[1]CRITERIOS!$M$25:$M$42),
1),
$M787)),_xlfn.XLOOKUP(A787,'[1]DATOS PBI Artículos'!A:A,'[1]DATOS PBI Artículos'!Z:Z
)))))</f>
        <v>#N/A</v>
      </c>
      <c r="Q787" s="38" t="e">
        <f>IF(AND(O787="",N787=0),
0,
   IF(COUNTIF([1]CRITERIOS!$F$179:$F$199,$A787)&gt;=1,
   1,
   IF(R787="MTO",
      $D787,
      ROUNDUP(
                    IF(($E787-SUMIF('[1]DATOS PBI Artículos'!A:A,A787,'[1]DATOS PBI Artículos'!X:X)+($V787-_xlfn.XLOOKUP(A787,'[1]DATOS PBI Artículos'!A:A,'[1]DATOS PBI Artículos'!W:W)))&lt;0,
                    0,
                    IF(($E787-SUMIF('[1]DATOS PBI Artículos'!A:A,A787,'[1]DATOS PBI Artículos'!X:X)+$V787-_xlfn.XLOOKUP($A787,'[1]DATOS PBI Artículos'!A:A,'[1]DATOS PBI Artículos'!W:W))/IF($O787="",$N787,$O787)&gt;ROUNDUP([1]CRITERIOS!$M$16/(IF(COUNTIF([1]CRITERIOS!$BG$11:$BG$201,L787)&gt;=1,_xlfn.XLOOKUP($C787,[1]CRITERIOS!$K$25:$K$42,[1]CRITERIOS!$M$25:$M$42),_xlfn.XLOOKUP($C787,[1]CRITERIOS!$K$25:$K$42,[1]CRITERIOS!$M$25:$M$42))),0),
                    ROUNDUP([1]CRITERIOS!$M$16/(IF(COUNTIF([1]CRITERIOS!$BG$11:$BG$201,$L787)&gt;=1,_xlfn.XLOOKUP($C787,[1]CRITERIOS!$K$25:$K$42,[1]CRITERIOS!$M$25:$M$42),_xlfn.XLOOKUP($C787,[1]CRITERIOS!$K$25:$K$42,[1]CRITERIOS!$M$25:$M$42))),0),
                    (E787+V787-SUMIF('[1]DATOS PBI Artículos'!A:A,A787,'[1]DATOS PBI Artículos'!X:X)-_xlfn.XLOOKUP(A787,'[1]DATOS PBI Artículos'!A:A,'[1]DATOS PBI Artículos'!W:W))/IF($O787="",$N787,$O787))),0))))</f>
        <v>#N/A</v>
      </c>
      <c r="R787" s="33" t="e">
        <f>IF(U787&lt;&gt;"",U787,IF(F787="DV","MTO",IF(N787=0,"MTO",_xlfn.XLOOKUP(CONCATENATE(S787,T787),[1]CRITERIOS!$K$160:$K$168,[1]CRITERIOS!$N$160:$N$168))))</f>
        <v>#N/A</v>
      </c>
      <c r="S787" s="33" t="e">
        <f>IF(G787="DV","MTO",IF(N787=0,"MTO",IF(OR(AND(N787=0,O787=""),IF(O787="",G787/N787,G787/O787)&gt;[1]CRITERIOS!$G$163),"MTO",IF(IF(O787="",G787/N787,G787/O787)&lt;[1]CRITERIOS!$H$161,"MTS","MTOS"))))</f>
        <v>#N/A</v>
      </c>
      <c r="T787" s="33" t="e">
        <f>IF(F787="DV","MTO",IF(OR(AND($N787=0,O787=""),$F787/$J787&gt;[1]CRITERIOS!$G$170,$F787="DV"),"MTO",IF($F787/$J787&lt;[1]CRITERIOS!$H$168,"MTS","MTOS")))</f>
        <v>#N/A</v>
      </c>
      <c r="V787" s="34" t="e">
        <f t="shared" si="37"/>
        <v>#N/A</v>
      </c>
      <c r="X787" s="34" t="e">
        <f t="shared" si="38"/>
        <v>#N/A</v>
      </c>
      <c r="Y787" s="34" t="e">
        <f t="shared" si="39"/>
        <v>#N/A</v>
      </c>
      <c r="Z787" s="34" t="e">
        <f>IF($R787="MTO",
0,
($H787+$K787*($E787/[1]CRITERIOS!$M$16))/[1]CRITERIOS!$X$48)</f>
        <v>#N/A</v>
      </c>
      <c r="AA787" s="34" t="e">
        <f>ROUNDUP(($Y787/_xlfn.XLOOKUP($A787,'[1]DATOS PBI Artículos'!$A$4:$A$4,'[1]DATOS PBI Artículos'!$Z$4:$Z$4))/_xlfn.XLOOKUP(_xlfn.XLOOKUP($A787,'[1]DATOS PBI Artículos'!$A$4:$A$4,'[1]DATOS PBI Artículos'!$Y$4:$Y$4),[1]CRITERIOS!$P$79:$P$123,[1]CRITERIOS!$S$79:$S$123,),0)</f>
        <v>#N/A</v>
      </c>
      <c r="AC787" s="33" t="e">
        <f>IF(N787=0,"",(ROUNDUP((N787/2)/(_xlfn.XLOOKUP(A787,'[1]DATOS PBI Artículos'!$A$4:$A$4,'[1]DATOS PBI Artículos'!$Z$4:$Z$4)*_xlfn.XLOOKUP(_xlfn.XLOOKUP(A787,'[1]DATOS PBI Artículos'!$A$4:$A$4,'[1]DATOS PBI Artículos'!$Y$4:$Y$4),[1]CRITERIOS!$P$79:$P$123,[1]CRITERIOS!$S$79:$S$123)),0)*[1]CRITERIOS!$M$80*([1]CRITERIOS!$M$110/[1]CRITERIOS!$M$86)+(_xlfn.XLOOKUP(A787,'[1]DATOS PBI Artículos'!$A$4:$A$4,'[1]DATOS PBI Artículos'!$AA$4:$AA$4)*([1]CRITERIOS!$M$95+[1]CRITERIOS!$M$98)))/N787)</f>
        <v>#N/A</v>
      </c>
      <c r="AD787" s="33" t="e">
        <f>IF(N787=0,"",(ROUNDUP((N787/2)/(_xlfn.XLOOKUP(A787,'[1]DATOS PBI Artículos'!$A$4:$A$4,'[1]DATOS PBI Artículos'!$Z$4:$Z$4)*_xlfn.XLOOKUP(_xlfn.XLOOKUP(A787,'[1]DATOS PBI Artículos'!$A$4:$A$4,'[1]DATOS PBI Artículos'!$Y$4:$Y$4),[1]CRITERIOS!$P$79:$P$123,[1]CRITERIOS!$S$79:$S$123)),0)*[1]CRITERIOS!$M$80*([1]CRITERIOS!$M$89*[1]CRITERIOS!$M$92)+((_xlfn.XLOOKUP(A787,'[1]DATOS PBI Artículos'!$A$4:$A$4,'[1]DATOS PBI Artículos'!$AA$4:$AA$4)/2)*([1]CRITERIOS!$M$95+[1]CRITERIOS!$M$98)))/N787)</f>
        <v>#N/A</v>
      </c>
      <c r="AE787" s="39" t="e">
        <f>IF($R787="MTO","",
IF($H787=0,ROUNDUP(((_xlfn.XLOOKUP($A787,'[1]DATOS PBI Artículos'!$A:$A,'[1]DATOS PBI Artículos'!$AL:$AL))/(_xlfn.XLOOKUP($AF$1,[1]CRITERIOS!$S$16:$S$39,[1]CRITERIOS!$Y$16:$Y$39))*$J787+$Z787)/$G787,0)*$G787,
((_xlfn.XLOOKUP($A787,'[1]DATOS PBI Artículos'!$A:$A,'[1]DATOS PBI Artículos'!$AL:$AL))/(_xlfn.XLOOKUP($AF$1,[1]CRITERIOS!$S$16:$S$39,[1]CRITERIOS!$Y$16:$Y$39))*$J787+$Z787)))</f>
        <v>#N/A</v>
      </c>
      <c r="AG787" s="39" t="e">
        <f>IF($R787="MTO","",
IF($H787=0,ROUNDUP(((_xlfn.XLOOKUP($A787,'[1]DATOS PBI Artículos'!$A:$A,'[1]DATOS PBI Artículos'!$AM:$AM))/(_xlfn.XLOOKUP($AH$1,[1]CRITERIOS!$S$16:$S$39,[1]CRITERIOS!$Y$16:$Y$39))*$J787+$Z787)/$G787,0)*$G787,
((_xlfn.XLOOKUP($A787,'[1]DATOS PBI Artículos'!$A:$A,'[1]DATOS PBI Artículos'!$AM:$AM))/(_xlfn.XLOOKUP($AH$1,[1]CRITERIOS!$S$16:$S$39,[1]CRITERIOS!$Y$16:$Y$39))*$J787+$Z787)))</f>
        <v>#N/A</v>
      </c>
      <c r="AI787" s="39" t="e">
        <f>IF($R787="MTO","",
IF($H787=0,ROUNDUP(((_xlfn.XLOOKUP($A787,'[1]DATOS PBI Artículos'!$A:$A,'[1]DATOS PBI Artículos'!$AN:$AN))/(_xlfn.XLOOKUP($AJ$1,[1]CRITERIOS!$S$16:$S$39,[1]CRITERIOS!$Y$16:$Y$39))*$J787+$Z787)/$G787,0)*$G787,
((_xlfn.XLOOKUP($A787,'[1]DATOS PBI Artículos'!$A:$A,'[1]DATOS PBI Artículos'!$AN:$AN))/(_xlfn.XLOOKUP($AJ$1,[1]CRITERIOS!$S$16:$S$39,[1]CRITERIOS!$Y$16:$Y$39))*$J787+$Z787)))</f>
        <v>#N/A</v>
      </c>
      <c r="AK787" s="39" t="e">
        <f>IF($R787="MTO","",
IF($H787=0,ROUNDUP(((_xlfn.XLOOKUP($A787,'[1]DATOS PBI Artículos'!$A:$A,'[1]DATOS PBI Artículos'!$AO:$AO))/(_xlfn.XLOOKUP($AL$1,[1]CRITERIOS!$S$16:$S$39,[1]CRITERIOS!$Y$16:$Y$39))*$J787+$Z787)/$G787,0)*$G787,
((_xlfn.XLOOKUP($A787,'[1]DATOS PBI Artículos'!$A:$A,'[1]DATOS PBI Artículos'!$AO:$AO))/(_xlfn.XLOOKUP($AL$1,[1]CRITERIOS!$S$16:$S$39,[1]CRITERIOS!$Y$16:$Y$39))*$J787+$Z787)))</f>
        <v>#N/A</v>
      </c>
    </row>
    <row r="788" spans="1:37" ht="25.8" hidden="1" x14ac:dyDescent="0.4">
      <c r="A788" s="41"/>
      <c r="B788" s="33">
        <f>_xlfn.XLOOKUP($A788,'[1]DATOS PBI Artículos'!A:A,'[1]DATOS PBI Artículos'!B:B)</f>
        <v>0</v>
      </c>
      <c r="C788" s="33">
        <f>_xlfn.XLOOKUP($A788,'[1]DATOS PBI Artículos'!A:A,'[1]DATOS PBI Artículos'!C:C)</f>
        <v>0</v>
      </c>
      <c r="D788" s="33">
        <f>_xlfn.XLOOKUP(A788,'[1]DATOS PBI Artículos'!A:A,'[1]DATOS PBI Artículos'!T:T)</f>
        <v>0</v>
      </c>
      <c r="E788" s="34">
        <f>IF(_xlfn.XLOOKUP($A788,'[1]DATOS PBI Artículos'!A:A,'[1]DATOS PBI Artículos'!AK:AK)="",_xlfn.XLOOKUP($A788,'[1]DATOS PBI Artículos'!A:A,'[1]DATOS PBI Artículos'!AJ:AJ),_xlfn.XLOOKUP($A788,'[1]DATOS PBI Artículos'!A:A,'[1]DATOS PBI Artículos'!AK:AK))</f>
        <v>0</v>
      </c>
      <c r="F788" s="35">
        <f>_xlfn.XLOOKUP($A788,'[1]DATOS PBI Artículos'!A:A,'[1]DATOS PBI Artículos'!AP:AP)</f>
        <v>0</v>
      </c>
      <c r="G788" s="34">
        <f>_xlfn.XLOOKUP($A788,'[1]DATOS PBI Artículos'!A:A,'[1]DATOS PBI Artículos'!AR:AR)</f>
        <v>0</v>
      </c>
      <c r="H788" s="34">
        <f>_xlfn.XLOOKUP($A788,'[1]DATOS PBI Artículos'!A:A,'[1]DATOS PBI Artículos'!AT:AT)</f>
        <v>0</v>
      </c>
      <c r="I788" s="34">
        <f>_xlfn.XLOOKUP($A788,'[1]DATOS PBI Artículos'!A:A,'[1]DATOS PBI Artículos'!AS:AS)</f>
        <v>0</v>
      </c>
      <c r="J788" s="35">
        <f>IF(COUNTIF([1]CRITERIOS!$F$179:$F$199,$A788)&gt;=1,
 IF(O788&lt;&gt;"",
    (O788/_xlfn.XLOOKUP(CONCATENATE(A788,L788),[1]MÁQUINAS!A:A,[1]MÁQUINAS!D:D))/24,
    (N788/_xlfn.XLOOKUP(CONCATENATE(A788,L788),[1]MÁQUINAS!A:A,[1]MÁQUINAS!D:D))/24),
  _xlfn.XLOOKUP($A788,'[1]DATOS PBI Artículos'!A:A,'[1]DATOS PBI Artículos'!AU:AU))</f>
        <v>0</v>
      </c>
      <c r="K788" s="36">
        <f>_xlfn.XLOOKUP($A788,'[1]DATOS PBI Artículos'!A:A,'[1]DATOS PBI Artículos'!AV:AV)</f>
        <v>0</v>
      </c>
      <c r="L788" s="33">
        <f>_xlfn.XLOOKUP(A788,[1]MÁQUINAS!B:B,[1]MÁQUINAS!C:C)</f>
        <v>0</v>
      </c>
      <c r="M788" s="34">
        <f t="array" ref="M788">_xlfn.XLOOKUP(A788,'[1]DATOS PBI Artículos'!A:A,'[1]DATOS PBI Artículos'!AX:$AX)</f>
        <v>0</v>
      </c>
      <c r="N788" s="37" t="e">
        <f>IF(I788="DV",
E788,
IF(COUNTIF([1]CRITERIOS!$I$179:$I$199,$A788)&gt;=1,
_xlfn.XLOOKUP($A788,[1]CRITERIOS!$I$179:$I$199,[1]CRITERIOS!$J$179:$J$199),
IF(COUNTIF([1]CRITERIOS!$L$179:$L$199,$A788)&gt;=1,
_xlfn.CEILING.MATH(IF($M788&gt;$E788,
$E788,
IF($M788&lt;$E788/ROUNDDOWN([1]CRITERIOS!$M$16/_xlfn.XLOOKUP($C788,[1]CRITERIOS!$K$25:$K$42,[1]CRITERIOS!$M$25:$M$42),
1),
E788/ROUNDDOWN([1]CRITERIOS!$M$16/_xlfn.XLOOKUP($C788,[1]CRITERIOS!$K$25:$K$42,[1]CRITERIOS!$M$25:$M$42),
1),
$M788)),
_xlfn.XLOOKUP($A788,[1]CRITERIOS!$L$179:$L$200,[1]CRITERIOS!$M$179:$M$200)),
_xlfn.CEILING.MATH(IF($M788&gt;$E788,
$E788,
IF($M788&lt;$E788/ROUNDDOWN([1]CRITERIOS!$M$16/_xlfn.XLOOKUP($C788,[1]CRITERIOS!$K$25:$K$42,[1]CRITERIOS!$M$25:$M$42),
1),
E788/ROUNDDOWN([1]CRITERIOS!$M$16/_xlfn.XLOOKUP($C788,[1]CRITERIOS!$K$25:$K$42,[1]CRITERIOS!$M$25:$M$42),
1),
$M788)),_xlfn.XLOOKUP(A788,'[1]DATOS PBI Artículos'!A:A,'[1]DATOS PBI Artículos'!Z:Z
)))))</f>
        <v>#N/A</v>
      </c>
      <c r="Q788" s="38" t="e">
        <f>IF(AND(O788="",N788=0),
0,
   IF(COUNTIF([1]CRITERIOS!$F$179:$F$199,$A788)&gt;=1,
   1,
   IF(R788="MTO",
      $D788,
      ROUNDUP(
                    IF(($E788-SUMIF('[1]DATOS PBI Artículos'!A:A,A788,'[1]DATOS PBI Artículos'!X:X)+($V788-_xlfn.XLOOKUP(A788,'[1]DATOS PBI Artículos'!A:A,'[1]DATOS PBI Artículos'!W:W)))&lt;0,
                    0,
                    IF(($E788-SUMIF('[1]DATOS PBI Artículos'!A:A,A788,'[1]DATOS PBI Artículos'!X:X)+$V788-_xlfn.XLOOKUP($A788,'[1]DATOS PBI Artículos'!A:A,'[1]DATOS PBI Artículos'!W:W))/IF($O788="",$N788,$O788)&gt;ROUNDUP([1]CRITERIOS!$M$16/(IF(COUNTIF([1]CRITERIOS!$BG$11:$BG$201,L788)&gt;=1,_xlfn.XLOOKUP($C788,[1]CRITERIOS!$K$25:$K$42,[1]CRITERIOS!$M$25:$M$42),_xlfn.XLOOKUP($C788,[1]CRITERIOS!$K$25:$K$42,[1]CRITERIOS!$M$25:$M$42))),0),
                    ROUNDUP([1]CRITERIOS!$M$16/(IF(COUNTIF([1]CRITERIOS!$BG$11:$BG$201,$L788)&gt;=1,_xlfn.XLOOKUP($C788,[1]CRITERIOS!$K$25:$K$42,[1]CRITERIOS!$M$25:$M$42),_xlfn.XLOOKUP($C788,[1]CRITERIOS!$K$25:$K$42,[1]CRITERIOS!$M$25:$M$42))),0),
                    (E788+V788-SUMIF('[1]DATOS PBI Artículos'!A:A,A788,'[1]DATOS PBI Artículos'!X:X)-_xlfn.XLOOKUP(A788,'[1]DATOS PBI Artículos'!A:A,'[1]DATOS PBI Artículos'!W:W))/IF($O788="",$N788,$O788))),0))))</f>
        <v>#N/A</v>
      </c>
      <c r="R788" s="33" t="e">
        <f>IF(U788&lt;&gt;"",U788,IF(F788="DV","MTO",IF(N788=0,"MTO",_xlfn.XLOOKUP(CONCATENATE(S788,T788),[1]CRITERIOS!$K$160:$K$168,[1]CRITERIOS!$N$160:$N$168))))</f>
        <v>#N/A</v>
      </c>
      <c r="S788" s="33" t="e">
        <f>IF(G788="DV","MTO",IF(N788=0,"MTO",IF(OR(AND(N788=0,O788=""),IF(O788="",G788/N788,G788/O788)&gt;[1]CRITERIOS!$G$163),"MTO",IF(IF(O788="",G788/N788,G788/O788)&lt;[1]CRITERIOS!$H$161,"MTS","MTOS"))))</f>
        <v>#N/A</v>
      </c>
      <c r="T788" s="33" t="e">
        <f>IF(F788="DV","MTO",IF(OR(AND($N788=0,O788=""),$F788/$J788&gt;[1]CRITERIOS!$G$170,$F788="DV"),"MTO",IF($F788/$J788&lt;[1]CRITERIOS!$H$168,"MTS","MTOS")))</f>
        <v>#N/A</v>
      </c>
      <c r="V788" s="34" t="e">
        <f t="shared" si="37"/>
        <v>#N/A</v>
      </c>
      <c r="X788" s="34" t="e">
        <f t="shared" si="38"/>
        <v>#N/A</v>
      </c>
      <c r="Y788" s="34" t="e">
        <f t="shared" si="39"/>
        <v>#N/A</v>
      </c>
      <c r="Z788" s="34" t="e">
        <f>IF($R788="MTO",
0,
($H788+$K788*($E788/[1]CRITERIOS!$M$16))/[1]CRITERIOS!$X$48)</f>
        <v>#N/A</v>
      </c>
      <c r="AA788" s="34" t="e">
        <f>ROUNDUP(($Y788/_xlfn.XLOOKUP($A788,'[1]DATOS PBI Artículos'!$A$4:$A$4,'[1]DATOS PBI Artículos'!$Z$4:$Z$4))/_xlfn.XLOOKUP(_xlfn.XLOOKUP($A788,'[1]DATOS PBI Artículos'!$A$4:$A$4,'[1]DATOS PBI Artículos'!$Y$4:$Y$4),[1]CRITERIOS!$P$79:$P$123,[1]CRITERIOS!$S$79:$S$123,),0)</f>
        <v>#N/A</v>
      </c>
      <c r="AC788" s="33" t="e">
        <f>IF(N788=0,"",(ROUNDUP((N788/2)/(_xlfn.XLOOKUP(A788,'[1]DATOS PBI Artículos'!$A$4:$A$4,'[1]DATOS PBI Artículos'!$Z$4:$Z$4)*_xlfn.XLOOKUP(_xlfn.XLOOKUP(A788,'[1]DATOS PBI Artículos'!$A$4:$A$4,'[1]DATOS PBI Artículos'!$Y$4:$Y$4),[1]CRITERIOS!$P$79:$P$123,[1]CRITERIOS!$S$79:$S$123)),0)*[1]CRITERIOS!$M$80*([1]CRITERIOS!$M$110/[1]CRITERIOS!$M$86)+(_xlfn.XLOOKUP(A788,'[1]DATOS PBI Artículos'!$A$4:$A$4,'[1]DATOS PBI Artículos'!$AA$4:$AA$4)*([1]CRITERIOS!$M$95+[1]CRITERIOS!$M$98)))/N788)</f>
        <v>#N/A</v>
      </c>
      <c r="AD788" s="33" t="e">
        <f>IF(N788=0,"",(ROUNDUP((N788/2)/(_xlfn.XLOOKUP(A788,'[1]DATOS PBI Artículos'!$A$4:$A$4,'[1]DATOS PBI Artículos'!$Z$4:$Z$4)*_xlfn.XLOOKUP(_xlfn.XLOOKUP(A788,'[1]DATOS PBI Artículos'!$A$4:$A$4,'[1]DATOS PBI Artículos'!$Y$4:$Y$4),[1]CRITERIOS!$P$79:$P$123,[1]CRITERIOS!$S$79:$S$123)),0)*[1]CRITERIOS!$M$80*([1]CRITERIOS!$M$89*[1]CRITERIOS!$M$92)+((_xlfn.XLOOKUP(A788,'[1]DATOS PBI Artículos'!$A$4:$A$4,'[1]DATOS PBI Artículos'!$AA$4:$AA$4)/2)*([1]CRITERIOS!$M$95+[1]CRITERIOS!$M$98)))/N788)</f>
        <v>#N/A</v>
      </c>
      <c r="AE788" s="39" t="e">
        <f>IF($R788="MTO","",
IF($H788=0,ROUNDUP(((_xlfn.XLOOKUP($A788,'[1]DATOS PBI Artículos'!$A:$A,'[1]DATOS PBI Artículos'!$AL:$AL))/(_xlfn.XLOOKUP($AF$1,[1]CRITERIOS!$S$16:$S$39,[1]CRITERIOS!$Y$16:$Y$39))*$J788+$Z788)/$G788,0)*$G788,
((_xlfn.XLOOKUP($A788,'[1]DATOS PBI Artículos'!$A:$A,'[1]DATOS PBI Artículos'!$AL:$AL))/(_xlfn.XLOOKUP($AF$1,[1]CRITERIOS!$S$16:$S$39,[1]CRITERIOS!$Y$16:$Y$39))*$J788+$Z788)))</f>
        <v>#N/A</v>
      </c>
      <c r="AG788" s="39" t="e">
        <f>IF($R788="MTO","",
IF($H788=0,ROUNDUP(((_xlfn.XLOOKUP($A788,'[1]DATOS PBI Artículos'!$A:$A,'[1]DATOS PBI Artículos'!$AM:$AM))/(_xlfn.XLOOKUP($AH$1,[1]CRITERIOS!$S$16:$S$39,[1]CRITERIOS!$Y$16:$Y$39))*$J788+$Z788)/$G788,0)*$G788,
((_xlfn.XLOOKUP($A788,'[1]DATOS PBI Artículos'!$A:$A,'[1]DATOS PBI Artículos'!$AM:$AM))/(_xlfn.XLOOKUP($AH$1,[1]CRITERIOS!$S$16:$S$39,[1]CRITERIOS!$Y$16:$Y$39))*$J788+$Z788)))</f>
        <v>#N/A</v>
      </c>
      <c r="AI788" s="39" t="e">
        <f>IF($R788="MTO","",
IF($H788=0,ROUNDUP(((_xlfn.XLOOKUP($A788,'[1]DATOS PBI Artículos'!$A:$A,'[1]DATOS PBI Artículos'!$AN:$AN))/(_xlfn.XLOOKUP($AJ$1,[1]CRITERIOS!$S$16:$S$39,[1]CRITERIOS!$Y$16:$Y$39))*$J788+$Z788)/$G788,0)*$G788,
((_xlfn.XLOOKUP($A788,'[1]DATOS PBI Artículos'!$A:$A,'[1]DATOS PBI Artículos'!$AN:$AN))/(_xlfn.XLOOKUP($AJ$1,[1]CRITERIOS!$S$16:$S$39,[1]CRITERIOS!$Y$16:$Y$39))*$J788+$Z788)))</f>
        <v>#N/A</v>
      </c>
      <c r="AK788" s="39" t="e">
        <f>IF($R788="MTO","",
IF($H788=0,ROUNDUP(((_xlfn.XLOOKUP($A788,'[1]DATOS PBI Artículos'!$A:$A,'[1]DATOS PBI Artículos'!$AO:$AO))/(_xlfn.XLOOKUP($AL$1,[1]CRITERIOS!$S$16:$S$39,[1]CRITERIOS!$Y$16:$Y$39))*$J788+$Z788)/$G788,0)*$G788,
((_xlfn.XLOOKUP($A788,'[1]DATOS PBI Artículos'!$A:$A,'[1]DATOS PBI Artículos'!$AO:$AO))/(_xlfn.XLOOKUP($AL$1,[1]CRITERIOS!$S$16:$S$39,[1]CRITERIOS!$Y$16:$Y$39))*$J788+$Z788)))</f>
        <v>#N/A</v>
      </c>
    </row>
    <row r="789" spans="1:37" ht="25.8" hidden="1" x14ac:dyDescent="0.4">
      <c r="A789" s="41"/>
      <c r="B789" s="33">
        <f>_xlfn.XLOOKUP($A789,'[1]DATOS PBI Artículos'!A:A,'[1]DATOS PBI Artículos'!B:B)</f>
        <v>0</v>
      </c>
      <c r="C789" s="33">
        <f>_xlfn.XLOOKUP($A789,'[1]DATOS PBI Artículos'!A:A,'[1]DATOS PBI Artículos'!C:C)</f>
        <v>0</v>
      </c>
      <c r="D789" s="33">
        <f>_xlfn.XLOOKUP(A789,'[1]DATOS PBI Artículos'!A:A,'[1]DATOS PBI Artículos'!T:T)</f>
        <v>0</v>
      </c>
      <c r="E789" s="34">
        <f>IF(_xlfn.XLOOKUP($A789,'[1]DATOS PBI Artículos'!A:A,'[1]DATOS PBI Artículos'!AK:AK)="",_xlfn.XLOOKUP($A789,'[1]DATOS PBI Artículos'!A:A,'[1]DATOS PBI Artículos'!AJ:AJ),_xlfn.XLOOKUP($A789,'[1]DATOS PBI Artículos'!A:A,'[1]DATOS PBI Artículos'!AK:AK))</f>
        <v>0</v>
      </c>
      <c r="F789" s="35">
        <f>_xlfn.XLOOKUP($A789,'[1]DATOS PBI Artículos'!A:A,'[1]DATOS PBI Artículos'!AP:AP)</f>
        <v>0</v>
      </c>
      <c r="G789" s="34">
        <f>_xlfn.XLOOKUP($A789,'[1]DATOS PBI Artículos'!A:A,'[1]DATOS PBI Artículos'!AR:AR)</f>
        <v>0</v>
      </c>
      <c r="H789" s="34">
        <f>_xlfn.XLOOKUP($A789,'[1]DATOS PBI Artículos'!A:A,'[1]DATOS PBI Artículos'!AT:AT)</f>
        <v>0</v>
      </c>
      <c r="I789" s="34">
        <f>_xlfn.XLOOKUP($A789,'[1]DATOS PBI Artículos'!A:A,'[1]DATOS PBI Artículos'!AS:AS)</f>
        <v>0</v>
      </c>
      <c r="J789" s="35">
        <f>IF(COUNTIF([1]CRITERIOS!$F$179:$F$199,$A789)&gt;=1,
 IF(O789&lt;&gt;"",
    (O789/_xlfn.XLOOKUP(CONCATENATE(A789,L789),[1]MÁQUINAS!A:A,[1]MÁQUINAS!D:D))/24,
    (N789/_xlfn.XLOOKUP(CONCATENATE(A789,L789),[1]MÁQUINAS!A:A,[1]MÁQUINAS!D:D))/24),
  _xlfn.XLOOKUP($A789,'[1]DATOS PBI Artículos'!A:A,'[1]DATOS PBI Artículos'!AU:AU))</f>
        <v>0</v>
      </c>
      <c r="K789" s="36">
        <f>_xlfn.XLOOKUP($A789,'[1]DATOS PBI Artículos'!A:A,'[1]DATOS PBI Artículos'!AV:AV)</f>
        <v>0</v>
      </c>
      <c r="L789" s="33">
        <f>_xlfn.XLOOKUP(A789,[1]MÁQUINAS!B:B,[1]MÁQUINAS!C:C)</f>
        <v>0</v>
      </c>
      <c r="M789" s="34">
        <f t="array" ref="M789">_xlfn.XLOOKUP(A789,'[1]DATOS PBI Artículos'!A:A,'[1]DATOS PBI Artículos'!AX:$AX)</f>
        <v>0</v>
      </c>
      <c r="N789" s="37" t="e">
        <f>IF(I789="DV",
E789,
IF(COUNTIF([1]CRITERIOS!$I$179:$I$199,$A789)&gt;=1,
_xlfn.XLOOKUP($A789,[1]CRITERIOS!$I$179:$I$199,[1]CRITERIOS!$J$179:$J$199),
IF(COUNTIF([1]CRITERIOS!$L$179:$L$199,$A789)&gt;=1,
_xlfn.CEILING.MATH(IF($M789&gt;$E789,
$E789,
IF($M789&lt;$E789/ROUNDDOWN([1]CRITERIOS!$M$16/_xlfn.XLOOKUP($C789,[1]CRITERIOS!$K$25:$K$42,[1]CRITERIOS!$M$25:$M$42),
1),
E789/ROUNDDOWN([1]CRITERIOS!$M$16/_xlfn.XLOOKUP($C789,[1]CRITERIOS!$K$25:$K$42,[1]CRITERIOS!$M$25:$M$42),
1),
$M789)),
_xlfn.XLOOKUP($A789,[1]CRITERIOS!$L$179:$L$200,[1]CRITERIOS!$M$179:$M$200)),
_xlfn.CEILING.MATH(IF($M789&gt;$E789,
$E789,
IF($M789&lt;$E789/ROUNDDOWN([1]CRITERIOS!$M$16/_xlfn.XLOOKUP($C789,[1]CRITERIOS!$K$25:$K$42,[1]CRITERIOS!$M$25:$M$42),
1),
E789/ROUNDDOWN([1]CRITERIOS!$M$16/_xlfn.XLOOKUP($C789,[1]CRITERIOS!$K$25:$K$42,[1]CRITERIOS!$M$25:$M$42),
1),
$M789)),_xlfn.XLOOKUP(A789,'[1]DATOS PBI Artículos'!A:A,'[1]DATOS PBI Artículos'!Z:Z
)))))</f>
        <v>#N/A</v>
      </c>
      <c r="Q789" s="38" t="e">
        <f>IF(AND(O789="",N789=0),
0,
   IF(COUNTIF([1]CRITERIOS!$F$179:$F$199,$A789)&gt;=1,
   1,
   IF(R789="MTO",
      $D789,
      ROUNDUP(
                    IF(($E789-SUMIF('[1]DATOS PBI Artículos'!A:A,A789,'[1]DATOS PBI Artículos'!X:X)+($V789-_xlfn.XLOOKUP(A789,'[1]DATOS PBI Artículos'!A:A,'[1]DATOS PBI Artículos'!W:W)))&lt;0,
                    0,
                    IF(($E789-SUMIF('[1]DATOS PBI Artículos'!A:A,A789,'[1]DATOS PBI Artículos'!X:X)+$V789-_xlfn.XLOOKUP($A789,'[1]DATOS PBI Artículos'!A:A,'[1]DATOS PBI Artículos'!W:W))/IF($O789="",$N789,$O789)&gt;ROUNDUP([1]CRITERIOS!$M$16/(IF(COUNTIF([1]CRITERIOS!$BG$11:$BG$201,L789)&gt;=1,_xlfn.XLOOKUP($C789,[1]CRITERIOS!$K$25:$K$42,[1]CRITERIOS!$M$25:$M$42),_xlfn.XLOOKUP($C789,[1]CRITERIOS!$K$25:$K$42,[1]CRITERIOS!$M$25:$M$42))),0),
                    ROUNDUP([1]CRITERIOS!$M$16/(IF(COUNTIF([1]CRITERIOS!$BG$11:$BG$201,$L789)&gt;=1,_xlfn.XLOOKUP($C789,[1]CRITERIOS!$K$25:$K$42,[1]CRITERIOS!$M$25:$M$42),_xlfn.XLOOKUP($C789,[1]CRITERIOS!$K$25:$K$42,[1]CRITERIOS!$M$25:$M$42))),0),
                    (E789+V789-SUMIF('[1]DATOS PBI Artículos'!A:A,A789,'[1]DATOS PBI Artículos'!X:X)-_xlfn.XLOOKUP(A789,'[1]DATOS PBI Artículos'!A:A,'[1]DATOS PBI Artículos'!W:W))/IF($O789="",$N789,$O789))),0))))</f>
        <v>#N/A</v>
      </c>
      <c r="R789" s="33" t="e">
        <f>IF(U789&lt;&gt;"",U789,IF(F789="DV","MTO",IF(N789=0,"MTO",_xlfn.XLOOKUP(CONCATENATE(S789,T789),[1]CRITERIOS!$K$160:$K$168,[1]CRITERIOS!$N$160:$N$168))))</f>
        <v>#N/A</v>
      </c>
      <c r="S789" s="33" t="e">
        <f>IF(G789="DV","MTO",IF(N789=0,"MTO",IF(OR(AND(N789=0,O789=""),IF(O789="",G789/N789,G789/O789)&gt;[1]CRITERIOS!$G$163),"MTO",IF(IF(O789="",G789/N789,G789/O789)&lt;[1]CRITERIOS!$H$161,"MTS","MTOS"))))</f>
        <v>#N/A</v>
      </c>
      <c r="T789" s="33" t="e">
        <f>IF(F789="DV","MTO",IF(OR(AND($N789=0,O789=""),$F789/$J789&gt;[1]CRITERIOS!$G$170,$F789="DV"),"MTO",IF($F789/$J789&lt;[1]CRITERIOS!$H$168,"MTS","MTOS")))</f>
        <v>#N/A</v>
      </c>
      <c r="V789" s="34" t="e">
        <f t="shared" si="37"/>
        <v>#N/A</v>
      </c>
      <c r="X789" s="34" t="e">
        <f t="shared" si="38"/>
        <v>#N/A</v>
      </c>
      <c r="Y789" s="34" t="e">
        <f t="shared" si="39"/>
        <v>#N/A</v>
      </c>
      <c r="Z789" s="34" t="e">
        <f>IF($R789="MTO",
0,
($H789+$K789*($E789/[1]CRITERIOS!$M$16))/[1]CRITERIOS!$X$48)</f>
        <v>#N/A</v>
      </c>
      <c r="AA789" s="34" t="e">
        <f>ROUNDUP(($Y789/_xlfn.XLOOKUP($A789,'[1]DATOS PBI Artículos'!$A$4:$A$4,'[1]DATOS PBI Artículos'!$Z$4:$Z$4))/_xlfn.XLOOKUP(_xlfn.XLOOKUP($A789,'[1]DATOS PBI Artículos'!$A$4:$A$4,'[1]DATOS PBI Artículos'!$Y$4:$Y$4),[1]CRITERIOS!$P$79:$P$123,[1]CRITERIOS!$S$79:$S$123,),0)</f>
        <v>#N/A</v>
      </c>
      <c r="AC789" s="33" t="e">
        <f>IF(N789=0,"",(ROUNDUP((N789/2)/(_xlfn.XLOOKUP(A789,'[1]DATOS PBI Artículos'!$A$4:$A$4,'[1]DATOS PBI Artículos'!$Z$4:$Z$4)*_xlfn.XLOOKUP(_xlfn.XLOOKUP(A789,'[1]DATOS PBI Artículos'!$A$4:$A$4,'[1]DATOS PBI Artículos'!$Y$4:$Y$4),[1]CRITERIOS!$P$79:$P$123,[1]CRITERIOS!$S$79:$S$123)),0)*[1]CRITERIOS!$M$80*([1]CRITERIOS!$M$110/[1]CRITERIOS!$M$86)+(_xlfn.XLOOKUP(A789,'[1]DATOS PBI Artículos'!$A$4:$A$4,'[1]DATOS PBI Artículos'!$AA$4:$AA$4)*([1]CRITERIOS!$M$95+[1]CRITERIOS!$M$98)))/N789)</f>
        <v>#N/A</v>
      </c>
      <c r="AD789" s="33" t="e">
        <f>IF(N789=0,"",(ROUNDUP((N789/2)/(_xlfn.XLOOKUP(A789,'[1]DATOS PBI Artículos'!$A$4:$A$4,'[1]DATOS PBI Artículos'!$Z$4:$Z$4)*_xlfn.XLOOKUP(_xlfn.XLOOKUP(A789,'[1]DATOS PBI Artículos'!$A$4:$A$4,'[1]DATOS PBI Artículos'!$Y$4:$Y$4),[1]CRITERIOS!$P$79:$P$123,[1]CRITERIOS!$S$79:$S$123)),0)*[1]CRITERIOS!$M$80*([1]CRITERIOS!$M$89*[1]CRITERIOS!$M$92)+((_xlfn.XLOOKUP(A789,'[1]DATOS PBI Artículos'!$A$4:$A$4,'[1]DATOS PBI Artículos'!$AA$4:$AA$4)/2)*([1]CRITERIOS!$M$95+[1]CRITERIOS!$M$98)))/N789)</f>
        <v>#N/A</v>
      </c>
      <c r="AE789" s="39" t="e">
        <f>IF($R789="MTO","",
IF($H789=0,ROUNDUP(((_xlfn.XLOOKUP($A789,'[1]DATOS PBI Artículos'!$A:$A,'[1]DATOS PBI Artículos'!$AL:$AL))/(_xlfn.XLOOKUP($AF$1,[1]CRITERIOS!$S$16:$S$39,[1]CRITERIOS!$Y$16:$Y$39))*$J789+$Z789)/$G789,0)*$G789,
((_xlfn.XLOOKUP($A789,'[1]DATOS PBI Artículos'!$A:$A,'[1]DATOS PBI Artículos'!$AL:$AL))/(_xlfn.XLOOKUP($AF$1,[1]CRITERIOS!$S$16:$S$39,[1]CRITERIOS!$Y$16:$Y$39))*$J789+$Z789)))</f>
        <v>#N/A</v>
      </c>
      <c r="AG789" s="39" t="e">
        <f>IF($R789="MTO","",
IF($H789=0,ROUNDUP(((_xlfn.XLOOKUP($A789,'[1]DATOS PBI Artículos'!$A:$A,'[1]DATOS PBI Artículos'!$AM:$AM))/(_xlfn.XLOOKUP($AH$1,[1]CRITERIOS!$S$16:$S$39,[1]CRITERIOS!$Y$16:$Y$39))*$J789+$Z789)/$G789,0)*$G789,
((_xlfn.XLOOKUP($A789,'[1]DATOS PBI Artículos'!$A:$A,'[1]DATOS PBI Artículos'!$AM:$AM))/(_xlfn.XLOOKUP($AH$1,[1]CRITERIOS!$S$16:$S$39,[1]CRITERIOS!$Y$16:$Y$39))*$J789+$Z789)))</f>
        <v>#N/A</v>
      </c>
      <c r="AI789" s="39" t="e">
        <f>IF($R789="MTO","",
IF($H789=0,ROUNDUP(((_xlfn.XLOOKUP($A789,'[1]DATOS PBI Artículos'!$A:$A,'[1]DATOS PBI Artículos'!$AN:$AN))/(_xlfn.XLOOKUP($AJ$1,[1]CRITERIOS!$S$16:$S$39,[1]CRITERIOS!$Y$16:$Y$39))*$J789+$Z789)/$G789,0)*$G789,
((_xlfn.XLOOKUP($A789,'[1]DATOS PBI Artículos'!$A:$A,'[1]DATOS PBI Artículos'!$AN:$AN))/(_xlfn.XLOOKUP($AJ$1,[1]CRITERIOS!$S$16:$S$39,[1]CRITERIOS!$Y$16:$Y$39))*$J789+$Z789)))</f>
        <v>#N/A</v>
      </c>
      <c r="AK789" s="39" t="e">
        <f>IF($R789="MTO","",
IF($H789=0,ROUNDUP(((_xlfn.XLOOKUP($A789,'[1]DATOS PBI Artículos'!$A:$A,'[1]DATOS PBI Artículos'!$AO:$AO))/(_xlfn.XLOOKUP($AL$1,[1]CRITERIOS!$S$16:$S$39,[1]CRITERIOS!$Y$16:$Y$39))*$J789+$Z789)/$G789,0)*$G789,
((_xlfn.XLOOKUP($A789,'[1]DATOS PBI Artículos'!$A:$A,'[1]DATOS PBI Artículos'!$AO:$AO))/(_xlfn.XLOOKUP($AL$1,[1]CRITERIOS!$S$16:$S$39,[1]CRITERIOS!$Y$16:$Y$39))*$J789+$Z789)))</f>
        <v>#N/A</v>
      </c>
    </row>
    <row r="790" spans="1:37" ht="25.8" hidden="1" x14ac:dyDescent="0.4">
      <c r="A790" s="41"/>
      <c r="B790" s="33">
        <f>_xlfn.XLOOKUP($A790,'[1]DATOS PBI Artículos'!A:A,'[1]DATOS PBI Artículos'!B:B)</f>
        <v>0</v>
      </c>
      <c r="C790" s="33">
        <f>_xlfn.XLOOKUP($A790,'[1]DATOS PBI Artículos'!A:A,'[1]DATOS PBI Artículos'!C:C)</f>
        <v>0</v>
      </c>
      <c r="D790" s="33">
        <f>_xlfn.XLOOKUP(A790,'[1]DATOS PBI Artículos'!A:A,'[1]DATOS PBI Artículos'!T:T)</f>
        <v>0</v>
      </c>
      <c r="E790" s="34">
        <f>IF(_xlfn.XLOOKUP($A790,'[1]DATOS PBI Artículos'!A:A,'[1]DATOS PBI Artículos'!AK:AK)="",_xlfn.XLOOKUP($A790,'[1]DATOS PBI Artículos'!A:A,'[1]DATOS PBI Artículos'!AJ:AJ),_xlfn.XLOOKUP($A790,'[1]DATOS PBI Artículos'!A:A,'[1]DATOS PBI Artículos'!AK:AK))</f>
        <v>0</v>
      </c>
      <c r="F790" s="35">
        <f>_xlfn.XLOOKUP($A790,'[1]DATOS PBI Artículos'!A:A,'[1]DATOS PBI Artículos'!AP:AP)</f>
        <v>0</v>
      </c>
      <c r="G790" s="34">
        <f>_xlfn.XLOOKUP($A790,'[1]DATOS PBI Artículos'!A:A,'[1]DATOS PBI Artículos'!AR:AR)</f>
        <v>0</v>
      </c>
      <c r="H790" s="34">
        <f>_xlfn.XLOOKUP($A790,'[1]DATOS PBI Artículos'!A:A,'[1]DATOS PBI Artículos'!AT:AT)</f>
        <v>0</v>
      </c>
      <c r="I790" s="34">
        <f>_xlfn.XLOOKUP($A790,'[1]DATOS PBI Artículos'!A:A,'[1]DATOS PBI Artículos'!AS:AS)</f>
        <v>0</v>
      </c>
      <c r="J790" s="35">
        <f>IF(COUNTIF([1]CRITERIOS!$F$179:$F$199,$A790)&gt;=1,
 IF(O790&lt;&gt;"",
    (O790/_xlfn.XLOOKUP(CONCATENATE(A790,L790),[1]MÁQUINAS!A:A,[1]MÁQUINAS!D:D))/24,
    (N790/_xlfn.XLOOKUP(CONCATENATE(A790,L790),[1]MÁQUINAS!A:A,[1]MÁQUINAS!D:D))/24),
  _xlfn.XLOOKUP($A790,'[1]DATOS PBI Artículos'!A:A,'[1]DATOS PBI Artículos'!AU:AU))</f>
        <v>0</v>
      </c>
      <c r="K790" s="36">
        <f>_xlfn.XLOOKUP($A790,'[1]DATOS PBI Artículos'!A:A,'[1]DATOS PBI Artículos'!AV:AV)</f>
        <v>0</v>
      </c>
      <c r="L790" s="33">
        <f>_xlfn.XLOOKUP(A790,[1]MÁQUINAS!B:B,[1]MÁQUINAS!C:C)</f>
        <v>0</v>
      </c>
      <c r="M790" s="34">
        <f t="array" ref="M790">_xlfn.XLOOKUP(A790,'[1]DATOS PBI Artículos'!A:A,'[1]DATOS PBI Artículos'!AX:$AX)</f>
        <v>0</v>
      </c>
      <c r="N790" s="37" t="e">
        <f>IF(I790="DV",
E790,
IF(COUNTIF([1]CRITERIOS!$I$179:$I$199,$A790)&gt;=1,
_xlfn.XLOOKUP($A790,[1]CRITERIOS!$I$179:$I$199,[1]CRITERIOS!$J$179:$J$199),
IF(COUNTIF([1]CRITERIOS!$L$179:$L$199,$A790)&gt;=1,
_xlfn.CEILING.MATH(IF($M790&gt;$E790,
$E790,
IF($M790&lt;$E790/ROUNDDOWN([1]CRITERIOS!$M$16/_xlfn.XLOOKUP($C790,[1]CRITERIOS!$K$25:$K$42,[1]CRITERIOS!$M$25:$M$42),
1),
E790/ROUNDDOWN([1]CRITERIOS!$M$16/_xlfn.XLOOKUP($C790,[1]CRITERIOS!$K$25:$K$42,[1]CRITERIOS!$M$25:$M$42),
1),
$M790)),
_xlfn.XLOOKUP($A790,[1]CRITERIOS!$L$179:$L$200,[1]CRITERIOS!$M$179:$M$200)),
_xlfn.CEILING.MATH(IF($M790&gt;$E790,
$E790,
IF($M790&lt;$E790/ROUNDDOWN([1]CRITERIOS!$M$16/_xlfn.XLOOKUP($C790,[1]CRITERIOS!$K$25:$K$42,[1]CRITERIOS!$M$25:$M$42),
1),
E790/ROUNDDOWN([1]CRITERIOS!$M$16/_xlfn.XLOOKUP($C790,[1]CRITERIOS!$K$25:$K$42,[1]CRITERIOS!$M$25:$M$42),
1),
$M790)),_xlfn.XLOOKUP(A790,'[1]DATOS PBI Artículos'!A:A,'[1]DATOS PBI Artículos'!Z:Z
)))))</f>
        <v>#N/A</v>
      </c>
      <c r="Q790" s="38" t="e">
        <f>IF(AND(O790="",N790=0),
0,
   IF(COUNTIF([1]CRITERIOS!$F$179:$F$199,$A790)&gt;=1,
   1,
   IF(R790="MTO",
      $D790,
      ROUNDUP(
                    IF(($E790-SUMIF('[1]DATOS PBI Artículos'!A:A,A790,'[1]DATOS PBI Artículos'!X:X)+($V790-_xlfn.XLOOKUP(A790,'[1]DATOS PBI Artículos'!A:A,'[1]DATOS PBI Artículos'!W:W)))&lt;0,
                    0,
                    IF(($E790-SUMIF('[1]DATOS PBI Artículos'!A:A,A790,'[1]DATOS PBI Artículos'!X:X)+$V790-_xlfn.XLOOKUP($A790,'[1]DATOS PBI Artículos'!A:A,'[1]DATOS PBI Artículos'!W:W))/IF($O790="",$N790,$O790)&gt;ROUNDUP([1]CRITERIOS!$M$16/(IF(COUNTIF([1]CRITERIOS!$BG$11:$BG$201,L790)&gt;=1,_xlfn.XLOOKUP($C790,[1]CRITERIOS!$K$25:$K$42,[1]CRITERIOS!$M$25:$M$42),_xlfn.XLOOKUP($C790,[1]CRITERIOS!$K$25:$K$42,[1]CRITERIOS!$M$25:$M$42))),0),
                    ROUNDUP([1]CRITERIOS!$M$16/(IF(COUNTIF([1]CRITERIOS!$BG$11:$BG$201,$L790)&gt;=1,_xlfn.XLOOKUP($C790,[1]CRITERIOS!$K$25:$K$42,[1]CRITERIOS!$M$25:$M$42),_xlfn.XLOOKUP($C790,[1]CRITERIOS!$K$25:$K$42,[1]CRITERIOS!$M$25:$M$42))),0),
                    (E790+V790-SUMIF('[1]DATOS PBI Artículos'!A:A,A790,'[1]DATOS PBI Artículos'!X:X)-_xlfn.XLOOKUP(A790,'[1]DATOS PBI Artículos'!A:A,'[1]DATOS PBI Artículos'!W:W))/IF($O790="",$N790,$O790))),0))))</f>
        <v>#N/A</v>
      </c>
      <c r="R790" s="33" t="e">
        <f>IF(U790&lt;&gt;"",U790,IF(F790="DV","MTO",IF(N790=0,"MTO",_xlfn.XLOOKUP(CONCATENATE(S790,T790),[1]CRITERIOS!$K$160:$K$168,[1]CRITERIOS!$N$160:$N$168))))</f>
        <v>#N/A</v>
      </c>
      <c r="S790" s="33" t="e">
        <f>IF(G790="DV","MTO",IF(N790=0,"MTO",IF(OR(AND(N790=0,O790=""),IF(O790="",G790/N790,G790/O790)&gt;[1]CRITERIOS!$G$163),"MTO",IF(IF(O790="",G790/N790,G790/O790)&lt;[1]CRITERIOS!$H$161,"MTS","MTOS"))))</f>
        <v>#N/A</v>
      </c>
      <c r="T790" s="33" t="e">
        <f>IF(F790="DV","MTO",IF(OR(AND($N790=0,O790=""),$F790/$J790&gt;[1]CRITERIOS!$G$170,$F790="DV"),"MTO",IF($F790/$J790&lt;[1]CRITERIOS!$H$168,"MTS","MTOS")))</f>
        <v>#N/A</v>
      </c>
      <c r="V790" s="34" t="e">
        <f t="shared" si="37"/>
        <v>#N/A</v>
      </c>
      <c r="X790" s="34" t="e">
        <f t="shared" si="38"/>
        <v>#N/A</v>
      </c>
      <c r="Y790" s="34" t="e">
        <f t="shared" si="39"/>
        <v>#N/A</v>
      </c>
      <c r="Z790" s="34" t="e">
        <f>IF($R790="MTO",
0,
($H790+$K790*($E790/[1]CRITERIOS!$M$16))/[1]CRITERIOS!$X$48)</f>
        <v>#N/A</v>
      </c>
      <c r="AA790" s="34" t="e">
        <f>ROUNDUP(($Y790/_xlfn.XLOOKUP($A790,'[1]DATOS PBI Artículos'!$A$4:$A$4,'[1]DATOS PBI Artículos'!$Z$4:$Z$4))/_xlfn.XLOOKUP(_xlfn.XLOOKUP($A790,'[1]DATOS PBI Artículos'!$A$4:$A$4,'[1]DATOS PBI Artículos'!$Y$4:$Y$4),[1]CRITERIOS!$P$79:$P$123,[1]CRITERIOS!$S$79:$S$123,),0)</f>
        <v>#N/A</v>
      </c>
      <c r="AC790" s="33" t="e">
        <f>IF(N790=0,"",(ROUNDUP((N790/2)/(_xlfn.XLOOKUP(A790,'[1]DATOS PBI Artículos'!$A$4:$A$4,'[1]DATOS PBI Artículos'!$Z$4:$Z$4)*_xlfn.XLOOKUP(_xlfn.XLOOKUP(A790,'[1]DATOS PBI Artículos'!$A$4:$A$4,'[1]DATOS PBI Artículos'!$Y$4:$Y$4),[1]CRITERIOS!$P$79:$P$123,[1]CRITERIOS!$S$79:$S$123)),0)*[1]CRITERIOS!$M$80*([1]CRITERIOS!$M$110/[1]CRITERIOS!$M$86)+(_xlfn.XLOOKUP(A790,'[1]DATOS PBI Artículos'!$A$4:$A$4,'[1]DATOS PBI Artículos'!$AA$4:$AA$4)*([1]CRITERIOS!$M$95+[1]CRITERIOS!$M$98)))/N790)</f>
        <v>#N/A</v>
      </c>
      <c r="AD790" s="33" t="e">
        <f>IF(N790=0,"",(ROUNDUP((N790/2)/(_xlfn.XLOOKUP(A790,'[1]DATOS PBI Artículos'!$A$4:$A$4,'[1]DATOS PBI Artículos'!$Z$4:$Z$4)*_xlfn.XLOOKUP(_xlfn.XLOOKUP(A790,'[1]DATOS PBI Artículos'!$A$4:$A$4,'[1]DATOS PBI Artículos'!$Y$4:$Y$4),[1]CRITERIOS!$P$79:$P$123,[1]CRITERIOS!$S$79:$S$123)),0)*[1]CRITERIOS!$M$80*([1]CRITERIOS!$M$89*[1]CRITERIOS!$M$92)+((_xlfn.XLOOKUP(A790,'[1]DATOS PBI Artículos'!$A$4:$A$4,'[1]DATOS PBI Artículos'!$AA$4:$AA$4)/2)*([1]CRITERIOS!$M$95+[1]CRITERIOS!$M$98)))/N790)</f>
        <v>#N/A</v>
      </c>
      <c r="AE790" s="39" t="e">
        <f>IF($R790="MTO","",
IF($H790=0,ROUNDUP(((_xlfn.XLOOKUP($A790,'[1]DATOS PBI Artículos'!$A:$A,'[1]DATOS PBI Artículos'!$AL:$AL))/(_xlfn.XLOOKUP($AF$1,[1]CRITERIOS!$S$16:$S$39,[1]CRITERIOS!$Y$16:$Y$39))*$J790+$Z790)/$G790,0)*$G790,
((_xlfn.XLOOKUP($A790,'[1]DATOS PBI Artículos'!$A:$A,'[1]DATOS PBI Artículos'!$AL:$AL))/(_xlfn.XLOOKUP($AF$1,[1]CRITERIOS!$S$16:$S$39,[1]CRITERIOS!$Y$16:$Y$39))*$J790+$Z790)))</f>
        <v>#N/A</v>
      </c>
      <c r="AG790" s="39" t="e">
        <f>IF($R790="MTO","",
IF($H790=0,ROUNDUP(((_xlfn.XLOOKUP($A790,'[1]DATOS PBI Artículos'!$A:$A,'[1]DATOS PBI Artículos'!$AM:$AM))/(_xlfn.XLOOKUP($AH$1,[1]CRITERIOS!$S$16:$S$39,[1]CRITERIOS!$Y$16:$Y$39))*$J790+$Z790)/$G790,0)*$G790,
((_xlfn.XLOOKUP($A790,'[1]DATOS PBI Artículos'!$A:$A,'[1]DATOS PBI Artículos'!$AM:$AM))/(_xlfn.XLOOKUP($AH$1,[1]CRITERIOS!$S$16:$S$39,[1]CRITERIOS!$Y$16:$Y$39))*$J790+$Z790)))</f>
        <v>#N/A</v>
      </c>
      <c r="AI790" s="39" t="e">
        <f>IF($R790="MTO","",
IF($H790=0,ROUNDUP(((_xlfn.XLOOKUP($A790,'[1]DATOS PBI Artículos'!$A:$A,'[1]DATOS PBI Artículos'!$AN:$AN))/(_xlfn.XLOOKUP($AJ$1,[1]CRITERIOS!$S$16:$S$39,[1]CRITERIOS!$Y$16:$Y$39))*$J790+$Z790)/$G790,0)*$G790,
((_xlfn.XLOOKUP($A790,'[1]DATOS PBI Artículos'!$A:$A,'[1]DATOS PBI Artículos'!$AN:$AN))/(_xlfn.XLOOKUP($AJ$1,[1]CRITERIOS!$S$16:$S$39,[1]CRITERIOS!$Y$16:$Y$39))*$J790+$Z790)))</f>
        <v>#N/A</v>
      </c>
      <c r="AK790" s="39" t="e">
        <f>IF($R790="MTO","",
IF($H790=0,ROUNDUP(((_xlfn.XLOOKUP($A790,'[1]DATOS PBI Artículos'!$A:$A,'[1]DATOS PBI Artículos'!$AO:$AO))/(_xlfn.XLOOKUP($AL$1,[1]CRITERIOS!$S$16:$S$39,[1]CRITERIOS!$Y$16:$Y$39))*$J790+$Z790)/$G790,0)*$G790,
((_xlfn.XLOOKUP($A790,'[1]DATOS PBI Artículos'!$A:$A,'[1]DATOS PBI Artículos'!$AO:$AO))/(_xlfn.XLOOKUP($AL$1,[1]CRITERIOS!$S$16:$S$39,[1]CRITERIOS!$Y$16:$Y$39))*$J790+$Z790)))</f>
        <v>#N/A</v>
      </c>
    </row>
    <row r="791" spans="1:37" ht="25.8" hidden="1" x14ac:dyDescent="0.4">
      <c r="A791" s="41"/>
      <c r="B791" s="33">
        <f>_xlfn.XLOOKUP($A791,'[1]DATOS PBI Artículos'!A:A,'[1]DATOS PBI Artículos'!B:B)</f>
        <v>0</v>
      </c>
      <c r="C791" s="33">
        <f>_xlfn.XLOOKUP($A791,'[1]DATOS PBI Artículos'!A:A,'[1]DATOS PBI Artículos'!C:C)</f>
        <v>0</v>
      </c>
      <c r="D791" s="33">
        <f>_xlfn.XLOOKUP(A791,'[1]DATOS PBI Artículos'!A:A,'[1]DATOS PBI Artículos'!T:T)</f>
        <v>0</v>
      </c>
      <c r="E791" s="34">
        <f>IF(_xlfn.XLOOKUP($A791,'[1]DATOS PBI Artículos'!A:A,'[1]DATOS PBI Artículos'!AK:AK)="",_xlfn.XLOOKUP($A791,'[1]DATOS PBI Artículos'!A:A,'[1]DATOS PBI Artículos'!AJ:AJ),_xlfn.XLOOKUP($A791,'[1]DATOS PBI Artículos'!A:A,'[1]DATOS PBI Artículos'!AK:AK))</f>
        <v>0</v>
      </c>
      <c r="F791" s="35">
        <f>_xlfn.XLOOKUP($A791,'[1]DATOS PBI Artículos'!A:A,'[1]DATOS PBI Artículos'!AP:AP)</f>
        <v>0</v>
      </c>
      <c r="G791" s="34">
        <f>_xlfn.XLOOKUP($A791,'[1]DATOS PBI Artículos'!A:A,'[1]DATOS PBI Artículos'!AR:AR)</f>
        <v>0</v>
      </c>
      <c r="H791" s="34">
        <f>_xlfn.XLOOKUP($A791,'[1]DATOS PBI Artículos'!A:A,'[1]DATOS PBI Artículos'!AT:AT)</f>
        <v>0</v>
      </c>
      <c r="I791" s="34">
        <f>_xlfn.XLOOKUP($A791,'[1]DATOS PBI Artículos'!A:A,'[1]DATOS PBI Artículos'!AS:AS)</f>
        <v>0</v>
      </c>
      <c r="J791" s="35">
        <f>IF(COUNTIF([1]CRITERIOS!$F$179:$F$199,$A791)&gt;=1,
 IF(O791&lt;&gt;"",
    (O791/_xlfn.XLOOKUP(CONCATENATE(A791,L791),[1]MÁQUINAS!A:A,[1]MÁQUINAS!D:D))/24,
    (N791/_xlfn.XLOOKUP(CONCATENATE(A791,L791),[1]MÁQUINAS!A:A,[1]MÁQUINAS!D:D))/24),
  _xlfn.XLOOKUP($A791,'[1]DATOS PBI Artículos'!A:A,'[1]DATOS PBI Artículos'!AU:AU))</f>
        <v>0</v>
      </c>
      <c r="K791" s="36">
        <f>_xlfn.XLOOKUP($A791,'[1]DATOS PBI Artículos'!A:A,'[1]DATOS PBI Artículos'!AV:AV)</f>
        <v>0</v>
      </c>
      <c r="L791" s="33">
        <f>_xlfn.XLOOKUP(A791,[1]MÁQUINAS!B:B,[1]MÁQUINAS!C:C)</f>
        <v>0</v>
      </c>
      <c r="M791" s="34">
        <f t="array" ref="M791">_xlfn.XLOOKUP(A791,'[1]DATOS PBI Artículos'!A:A,'[1]DATOS PBI Artículos'!AX:$AX)</f>
        <v>0</v>
      </c>
      <c r="N791" s="37" t="e">
        <f>IF(I791="DV",
E791,
IF(COUNTIF([1]CRITERIOS!$I$179:$I$199,$A791)&gt;=1,
_xlfn.XLOOKUP($A791,[1]CRITERIOS!$I$179:$I$199,[1]CRITERIOS!$J$179:$J$199),
IF(COUNTIF([1]CRITERIOS!$L$179:$L$199,$A791)&gt;=1,
_xlfn.CEILING.MATH(IF($M791&gt;$E791,
$E791,
IF($M791&lt;$E791/ROUNDDOWN([1]CRITERIOS!$M$16/_xlfn.XLOOKUP($C791,[1]CRITERIOS!$K$25:$K$42,[1]CRITERIOS!$M$25:$M$42),
1),
E791/ROUNDDOWN([1]CRITERIOS!$M$16/_xlfn.XLOOKUP($C791,[1]CRITERIOS!$K$25:$K$42,[1]CRITERIOS!$M$25:$M$42),
1),
$M791)),
_xlfn.XLOOKUP($A791,[1]CRITERIOS!$L$179:$L$200,[1]CRITERIOS!$M$179:$M$200)),
_xlfn.CEILING.MATH(IF($M791&gt;$E791,
$E791,
IF($M791&lt;$E791/ROUNDDOWN([1]CRITERIOS!$M$16/_xlfn.XLOOKUP($C791,[1]CRITERIOS!$K$25:$K$42,[1]CRITERIOS!$M$25:$M$42),
1),
E791/ROUNDDOWN([1]CRITERIOS!$M$16/_xlfn.XLOOKUP($C791,[1]CRITERIOS!$K$25:$K$42,[1]CRITERIOS!$M$25:$M$42),
1),
$M791)),_xlfn.XLOOKUP(A791,'[1]DATOS PBI Artículos'!A:A,'[1]DATOS PBI Artículos'!Z:Z
)))))</f>
        <v>#N/A</v>
      </c>
      <c r="Q791" s="38" t="e">
        <f>IF(AND(O791="",N791=0),
0,
   IF(COUNTIF([1]CRITERIOS!$F$179:$F$199,$A791)&gt;=1,
   1,
   IF(R791="MTO",
      $D791,
      ROUNDUP(
                    IF(($E791-SUMIF('[1]DATOS PBI Artículos'!A:A,A791,'[1]DATOS PBI Artículos'!X:X)+($V791-_xlfn.XLOOKUP(A791,'[1]DATOS PBI Artículos'!A:A,'[1]DATOS PBI Artículos'!W:W)))&lt;0,
                    0,
                    IF(($E791-SUMIF('[1]DATOS PBI Artículos'!A:A,A791,'[1]DATOS PBI Artículos'!X:X)+$V791-_xlfn.XLOOKUP($A791,'[1]DATOS PBI Artículos'!A:A,'[1]DATOS PBI Artículos'!W:W))/IF($O791="",$N791,$O791)&gt;ROUNDUP([1]CRITERIOS!$M$16/(IF(COUNTIF([1]CRITERIOS!$BG$11:$BG$201,L791)&gt;=1,_xlfn.XLOOKUP($C791,[1]CRITERIOS!$K$25:$K$42,[1]CRITERIOS!$M$25:$M$42),_xlfn.XLOOKUP($C791,[1]CRITERIOS!$K$25:$K$42,[1]CRITERIOS!$M$25:$M$42))),0),
                    ROUNDUP([1]CRITERIOS!$M$16/(IF(COUNTIF([1]CRITERIOS!$BG$11:$BG$201,$L791)&gt;=1,_xlfn.XLOOKUP($C791,[1]CRITERIOS!$K$25:$K$42,[1]CRITERIOS!$M$25:$M$42),_xlfn.XLOOKUP($C791,[1]CRITERIOS!$K$25:$K$42,[1]CRITERIOS!$M$25:$M$42))),0),
                    (E791+V791-SUMIF('[1]DATOS PBI Artículos'!A:A,A791,'[1]DATOS PBI Artículos'!X:X)-_xlfn.XLOOKUP(A791,'[1]DATOS PBI Artículos'!A:A,'[1]DATOS PBI Artículos'!W:W))/IF($O791="",$N791,$O791))),0))))</f>
        <v>#N/A</v>
      </c>
      <c r="R791" s="33" t="e">
        <f>IF(U791&lt;&gt;"",U791,IF(F791="DV","MTO",IF(N791=0,"MTO",_xlfn.XLOOKUP(CONCATENATE(S791,T791),[1]CRITERIOS!$K$160:$K$168,[1]CRITERIOS!$N$160:$N$168))))</f>
        <v>#N/A</v>
      </c>
      <c r="S791" s="33" t="e">
        <f>IF(G791="DV","MTO",IF(N791=0,"MTO",IF(OR(AND(N791=0,O791=""),IF(O791="",G791/N791,G791/O791)&gt;[1]CRITERIOS!$G$163),"MTO",IF(IF(O791="",G791/N791,G791/O791)&lt;[1]CRITERIOS!$H$161,"MTS","MTOS"))))</f>
        <v>#N/A</v>
      </c>
      <c r="T791" s="33" t="e">
        <f>IF(F791="DV","MTO",IF(OR(AND($N791=0,O791=""),$F791/$J791&gt;[1]CRITERIOS!$G$170,$F791="DV"),"MTO",IF($F791/$J791&lt;[1]CRITERIOS!$H$168,"MTS","MTOS")))</f>
        <v>#N/A</v>
      </c>
      <c r="V791" s="34" t="e">
        <f t="shared" si="37"/>
        <v>#N/A</v>
      </c>
      <c r="X791" s="34" t="e">
        <f t="shared" si="38"/>
        <v>#N/A</v>
      </c>
      <c r="Y791" s="34" t="e">
        <f t="shared" si="39"/>
        <v>#N/A</v>
      </c>
      <c r="Z791" s="34" t="e">
        <f>IF($R791="MTO",
0,
($H791+$K791*($E791/[1]CRITERIOS!$M$16))/[1]CRITERIOS!$X$48)</f>
        <v>#N/A</v>
      </c>
      <c r="AA791" s="34" t="e">
        <f>ROUNDUP(($Y791/_xlfn.XLOOKUP($A791,'[1]DATOS PBI Artículos'!$A$4:$A$4,'[1]DATOS PBI Artículos'!$Z$4:$Z$4))/_xlfn.XLOOKUP(_xlfn.XLOOKUP($A791,'[1]DATOS PBI Artículos'!$A$4:$A$4,'[1]DATOS PBI Artículos'!$Y$4:$Y$4),[1]CRITERIOS!$P$79:$P$123,[1]CRITERIOS!$S$79:$S$123,),0)</f>
        <v>#N/A</v>
      </c>
      <c r="AC791" s="33" t="e">
        <f>IF(N791=0,"",(ROUNDUP((N791/2)/(_xlfn.XLOOKUP(A791,'[1]DATOS PBI Artículos'!$A$4:$A$4,'[1]DATOS PBI Artículos'!$Z$4:$Z$4)*_xlfn.XLOOKUP(_xlfn.XLOOKUP(A791,'[1]DATOS PBI Artículos'!$A$4:$A$4,'[1]DATOS PBI Artículos'!$Y$4:$Y$4),[1]CRITERIOS!$P$79:$P$123,[1]CRITERIOS!$S$79:$S$123)),0)*[1]CRITERIOS!$M$80*([1]CRITERIOS!$M$110/[1]CRITERIOS!$M$86)+(_xlfn.XLOOKUP(A791,'[1]DATOS PBI Artículos'!$A$4:$A$4,'[1]DATOS PBI Artículos'!$AA$4:$AA$4)*([1]CRITERIOS!$M$95+[1]CRITERIOS!$M$98)))/N791)</f>
        <v>#N/A</v>
      </c>
      <c r="AD791" s="33" t="e">
        <f>IF(N791=0,"",(ROUNDUP((N791/2)/(_xlfn.XLOOKUP(A791,'[1]DATOS PBI Artículos'!$A$4:$A$4,'[1]DATOS PBI Artículos'!$Z$4:$Z$4)*_xlfn.XLOOKUP(_xlfn.XLOOKUP(A791,'[1]DATOS PBI Artículos'!$A$4:$A$4,'[1]DATOS PBI Artículos'!$Y$4:$Y$4),[1]CRITERIOS!$P$79:$P$123,[1]CRITERIOS!$S$79:$S$123)),0)*[1]CRITERIOS!$M$80*([1]CRITERIOS!$M$89*[1]CRITERIOS!$M$92)+((_xlfn.XLOOKUP(A791,'[1]DATOS PBI Artículos'!$A$4:$A$4,'[1]DATOS PBI Artículos'!$AA$4:$AA$4)/2)*([1]CRITERIOS!$M$95+[1]CRITERIOS!$M$98)))/N791)</f>
        <v>#N/A</v>
      </c>
      <c r="AE791" s="39" t="e">
        <f>IF($R791="MTO","",
IF($H791=0,ROUNDUP(((_xlfn.XLOOKUP($A791,'[1]DATOS PBI Artículos'!$A:$A,'[1]DATOS PBI Artículos'!$AL:$AL))/(_xlfn.XLOOKUP($AF$1,[1]CRITERIOS!$S$16:$S$39,[1]CRITERIOS!$Y$16:$Y$39))*$J791+$Z791)/$G791,0)*$G791,
((_xlfn.XLOOKUP($A791,'[1]DATOS PBI Artículos'!$A:$A,'[1]DATOS PBI Artículos'!$AL:$AL))/(_xlfn.XLOOKUP($AF$1,[1]CRITERIOS!$S$16:$S$39,[1]CRITERIOS!$Y$16:$Y$39))*$J791+$Z791)))</f>
        <v>#N/A</v>
      </c>
      <c r="AG791" s="39" t="e">
        <f>IF($R791="MTO","",
IF($H791=0,ROUNDUP(((_xlfn.XLOOKUP($A791,'[1]DATOS PBI Artículos'!$A:$A,'[1]DATOS PBI Artículos'!$AM:$AM))/(_xlfn.XLOOKUP($AH$1,[1]CRITERIOS!$S$16:$S$39,[1]CRITERIOS!$Y$16:$Y$39))*$J791+$Z791)/$G791,0)*$G791,
((_xlfn.XLOOKUP($A791,'[1]DATOS PBI Artículos'!$A:$A,'[1]DATOS PBI Artículos'!$AM:$AM))/(_xlfn.XLOOKUP($AH$1,[1]CRITERIOS!$S$16:$S$39,[1]CRITERIOS!$Y$16:$Y$39))*$J791+$Z791)))</f>
        <v>#N/A</v>
      </c>
      <c r="AI791" s="39" t="e">
        <f>IF($R791="MTO","",
IF($H791=0,ROUNDUP(((_xlfn.XLOOKUP($A791,'[1]DATOS PBI Artículos'!$A:$A,'[1]DATOS PBI Artículos'!$AN:$AN))/(_xlfn.XLOOKUP($AJ$1,[1]CRITERIOS!$S$16:$S$39,[1]CRITERIOS!$Y$16:$Y$39))*$J791+$Z791)/$G791,0)*$G791,
((_xlfn.XLOOKUP($A791,'[1]DATOS PBI Artículos'!$A:$A,'[1]DATOS PBI Artículos'!$AN:$AN))/(_xlfn.XLOOKUP($AJ$1,[1]CRITERIOS!$S$16:$S$39,[1]CRITERIOS!$Y$16:$Y$39))*$J791+$Z791)))</f>
        <v>#N/A</v>
      </c>
      <c r="AK791" s="39" t="e">
        <f>IF($R791="MTO","",
IF($H791=0,ROUNDUP(((_xlfn.XLOOKUP($A791,'[1]DATOS PBI Artículos'!$A:$A,'[1]DATOS PBI Artículos'!$AO:$AO))/(_xlfn.XLOOKUP($AL$1,[1]CRITERIOS!$S$16:$S$39,[1]CRITERIOS!$Y$16:$Y$39))*$J791+$Z791)/$G791,0)*$G791,
((_xlfn.XLOOKUP($A791,'[1]DATOS PBI Artículos'!$A:$A,'[1]DATOS PBI Artículos'!$AO:$AO))/(_xlfn.XLOOKUP($AL$1,[1]CRITERIOS!$S$16:$S$39,[1]CRITERIOS!$Y$16:$Y$39))*$J791+$Z791)))</f>
        <v>#N/A</v>
      </c>
    </row>
    <row r="792" spans="1:37" ht="25.8" hidden="1" x14ac:dyDescent="0.4">
      <c r="A792" s="41"/>
      <c r="B792" s="33">
        <f>_xlfn.XLOOKUP($A792,'[1]DATOS PBI Artículos'!A:A,'[1]DATOS PBI Artículos'!B:B)</f>
        <v>0</v>
      </c>
      <c r="C792" s="33">
        <f>_xlfn.XLOOKUP($A792,'[1]DATOS PBI Artículos'!A:A,'[1]DATOS PBI Artículos'!C:C)</f>
        <v>0</v>
      </c>
      <c r="D792" s="33">
        <f>_xlfn.XLOOKUP(A792,'[1]DATOS PBI Artículos'!A:A,'[1]DATOS PBI Artículos'!T:T)</f>
        <v>0</v>
      </c>
      <c r="E792" s="34">
        <f>IF(_xlfn.XLOOKUP($A792,'[1]DATOS PBI Artículos'!A:A,'[1]DATOS PBI Artículos'!AK:AK)="",_xlfn.XLOOKUP($A792,'[1]DATOS PBI Artículos'!A:A,'[1]DATOS PBI Artículos'!AJ:AJ),_xlfn.XLOOKUP($A792,'[1]DATOS PBI Artículos'!A:A,'[1]DATOS PBI Artículos'!AK:AK))</f>
        <v>0</v>
      </c>
      <c r="F792" s="35">
        <f>_xlfn.XLOOKUP($A792,'[1]DATOS PBI Artículos'!A:A,'[1]DATOS PBI Artículos'!AP:AP)</f>
        <v>0</v>
      </c>
      <c r="G792" s="34">
        <f>_xlfn.XLOOKUP($A792,'[1]DATOS PBI Artículos'!A:A,'[1]DATOS PBI Artículos'!AR:AR)</f>
        <v>0</v>
      </c>
      <c r="H792" s="34">
        <f>_xlfn.XLOOKUP($A792,'[1]DATOS PBI Artículos'!A:A,'[1]DATOS PBI Artículos'!AT:AT)</f>
        <v>0</v>
      </c>
      <c r="I792" s="34">
        <f>_xlfn.XLOOKUP($A792,'[1]DATOS PBI Artículos'!A:A,'[1]DATOS PBI Artículos'!AS:AS)</f>
        <v>0</v>
      </c>
      <c r="J792" s="35">
        <f>IF(COUNTIF([1]CRITERIOS!$F$179:$F$199,$A792)&gt;=1,
 IF(O792&lt;&gt;"",
    (O792/_xlfn.XLOOKUP(CONCATENATE(A792,L792),[1]MÁQUINAS!A:A,[1]MÁQUINAS!D:D))/24,
    (N792/_xlfn.XLOOKUP(CONCATENATE(A792,L792),[1]MÁQUINAS!A:A,[1]MÁQUINAS!D:D))/24),
  _xlfn.XLOOKUP($A792,'[1]DATOS PBI Artículos'!A:A,'[1]DATOS PBI Artículos'!AU:AU))</f>
        <v>0</v>
      </c>
      <c r="K792" s="36">
        <f>_xlfn.XLOOKUP($A792,'[1]DATOS PBI Artículos'!A:A,'[1]DATOS PBI Artículos'!AV:AV)</f>
        <v>0</v>
      </c>
      <c r="L792" s="33">
        <f>_xlfn.XLOOKUP(A792,[1]MÁQUINAS!B:B,[1]MÁQUINAS!C:C)</f>
        <v>0</v>
      </c>
      <c r="M792" s="34">
        <f t="array" ref="M792">_xlfn.XLOOKUP(A792,'[1]DATOS PBI Artículos'!A:A,'[1]DATOS PBI Artículos'!AX:$AX)</f>
        <v>0</v>
      </c>
      <c r="N792" s="37" t="e">
        <f>IF(I792="DV",
E792,
IF(COUNTIF([1]CRITERIOS!$I$179:$I$199,$A792)&gt;=1,
_xlfn.XLOOKUP($A792,[1]CRITERIOS!$I$179:$I$199,[1]CRITERIOS!$J$179:$J$199),
IF(COUNTIF([1]CRITERIOS!$L$179:$L$199,$A792)&gt;=1,
_xlfn.CEILING.MATH(IF($M792&gt;$E792,
$E792,
IF($M792&lt;$E792/ROUNDDOWN([1]CRITERIOS!$M$16/_xlfn.XLOOKUP($C792,[1]CRITERIOS!$K$25:$K$42,[1]CRITERIOS!$M$25:$M$42),
1),
E792/ROUNDDOWN([1]CRITERIOS!$M$16/_xlfn.XLOOKUP($C792,[1]CRITERIOS!$K$25:$K$42,[1]CRITERIOS!$M$25:$M$42),
1),
$M792)),
_xlfn.XLOOKUP($A792,[1]CRITERIOS!$L$179:$L$200,[1]CRITERIOS!$M$179:$M$200)),
_xlfn.CEILING.MATH(IF($M792&gt;$E792,
$E792,
IF($M792&lt;$E792/ROUNDDOWN([1]CRITERIOS!$M$16/_xlfn.XLOOKUP($C792,[1]CRITERIOS!$K$25:$K$42,[1]CRITERIOS!$M$25:$M$42),
1),
E792/ROUNDDOWN([1]CRITERIOS!$M$16/_xlfn.XLOOKUP($C792,[1]CRITERIOS!$K$25:$K$42,[1]CRITERIOS!$M$25:$M$42),
1),
$M792)),_xlfn.XLOOKUP(A792,'[1]DATOS PBI Artículos'!A:A,'[1]DATOS PBI Artículos'!Z:Z
)))))</f>
        <v>#N/A</v>
      </c>
      <c r="Q792" s="38" t="e">
        <f>IF(AND(O792="",N792=0),
0,
   IF(COUNTIF([1]CRITERIOS!$F$179:$F$199,$A792)&gt;=1,
   1,
   IF(R792="MTO",
      $D792,
      ROUNDUP(
                    IF(($E792-SUMIF('[1]DATOS PBI Artículos'!A:A,A792,'[1]DATOS PBI Artículos'!X:X)+($V792-_xlfn.XLOOKUP(A792,'[1]DATOS PBI Artículos'!A:A,'[1]DATOS PBI Artículos'!W:W)))&lt;0,
                    0,
                    IF(($E792-SUMIF('[1]DATOS PBI Artículos'!A:A,A792,'[1]DATOS PBI Artículos'!X:X)+$V792-_xlfn.XLOOKUP($A792,'[1]DATOS PBI Artículos'!A:A,'[1]DATOS PBI Artículos'!W:W))/IF($O792="",$N792,$O792)&gt;ROUNDUP([1]CRITERIOS!$M$16/(IF(COUNTIF([1]CRITERIOS!$BG$11:$BG$201,L792)&gt;=1,_xlfn.XLOOKUP($C792,[1]CRITERIOS!$K$25:$K$42,[1]CRITERIOS!$M$25:$M$42),_xlfn.XLOOKUP($C792,[1]CRITERIOS!$K$25:$K$42,[1]CRITERIOS!$M$25:$M$42))),0),
                    ROUNDUP([1]CRITERIOS!$M$16/(IF(COUNTIF([1]CRITERIOS!$BG$11:$BG$201,$L792)&gt;=1,_xlfn.XLOOKUP($C792,[1]CRITERIOS!$K$25:$K$42,[1]CRITERIOS!$M$25:$M$42),_xlfn.XLOOKUP($C792,[1]CRITERIOS!$K$25:$K$42,[1]CRITERIOS!$M$25:$M$42))),0),
                    (E792+V792-SUMIF('[1]DATOS PBI Artículos'!A:A,A792,'[1]DATOS PBI Artículos'!X:X)-_xlfn.XLOOKUP(A792,'[1]DATOS PBI Artículos'!A:A,'[1]DATOS PBI Artículos'!W:W))/IF($O792="",$N792,$O792))),0))))</f>
        <v>#N/A</v>
      </c>
      <c r="R792" s="33" t="e">
        <f>IF(U792&lt;&gt;"",U792,IF(F792="DV","MTO",IF(N792=0,"MTO",_xlfn.XLOOKUP(CONCATENATE(S792,T792),[1]CRITERIOS!$K$160:$K$168,[1]CRITERIOS!$N$160:$N$168))))</f>
        <v>#N/A</v>
      </c>
      <c r="S792" s="33" t="e">
        <f>IF(G792="DV","MTO",IF(N792=0,"MTO",IF(OR(AND(N792=0,O792=""),IF(O792="",G792/N792,G792/O792)&gt;[1]CRITERIOS!$G$163),"MTO",IF(IF(O792="",G792/N792,G792/O792)&lt;[1]CRITERIOS!$H$161,"MTS","MTOS"))))</f>
        <v>#N/A</v>
      </c>
      <c r="T792" s="33" t="e">
        <f>IF(F792="DV","MTO",IF(OR(AND($N792=0,O792=""),$F792/$J792&gt;[1]CRITERIOS!$G$170,$F792="DV"),"MTO",IF($F792/$J792&lt;[1]CRITERIOS!$H$168,"MTS","MTOS")))</f>
        <v>#N/A</v>
      </c>
      <c r="V792" s="34" t="e">
        <f t="shared" si="37"/>
        <v>#N/A</v>
      </c>
      <c r="X792" s="34" t="e">
        <f t="shared" si="38"/>
        <v>#N/A</v>
      </c>
      <c r="Y792" s="34" t="e">
        <f t="shared" si="39"/>
        <v>#N/A</v>
      </c>
      <c r="Z792" s="34" t="e">
        <f>IF($R792="MTO",
0,
($H792+$K792*($E792/[1]CRITERIOS!$M$16))/[1]CRITERIOS!$X$48)</f>
        <v>#N/A</v>
      </c>
      <c r="AA792" s="34" t="e">
        <f>ROUNDUP(($Y792/_xlfn.XLOOKUP($A792,'[1]DATOS PBI Artículos'!$A$4:$A$4,'[1]DATOS PBI Artículos'!$Z$4:$Z$4))/_xlfn.XLOOKUP(_xlfn.XLOOKUP($A792,'[1]DATOS PBI Artículos'!$A$4:$A$4,'[1]DATOS PBI Artículos'!$Y$4:$Y$4),[1]CRITERIOS!$P$79:$P$123,[1]CRITERIOS!$S$79:$S$123,),0)</f>
        <v>#N/A</v>
      </c>
      <c r="AC792" s="33" t="e">
        <f>IF(N792=0,"",(ROUNDUP((N792/2)/(_xlfn.XLOOKUP(A792,'[1]DATOS PBI Artículos'!$A$4:$A$4,'[1]DATOS PBI Artículos'!$Z$4:$Z$4)*_xlfn.XLOOKUP(_xlfn.XLOOKUP(A792,'[1]DATOS PBI Artículos'!$A$4:$A$4,'[1]DATOS PBI Artículos'!$Y$4:$Y$4),[1]CRITERIOS!$P$79:$P$123,[1]CRITERIOS!$S$79:$S$123)),0)*[1]CRITERIOS!$M$80*([1]CRITERIOS!$M$110/[1]CRITERIOS!$M$86)+(_xlfn.XLOOKUP(A792,'[1]DATOS PBI Artículos'!$A$4:$A$4,'[1]DATOS PBI Artículos'!$AA$4:$AA$4)*([1]CRITERIOS!$M$95+[1]CRITERIOS!$M$98)))/N792)</f>
        <v>#N/A</v>
      </c>
      <c r="AD792" s="33" t="e">
        <f>IF(N792=0,"",(ROUNDUP((N792/2)/(_xlfn.XLOOKUP(A792,'[1]DATOS PBI Artículos'!$A$4:$A$4,'[1]DATOS PBI Artículos'!$Z$4:$Z$4)*_xlfn.XLOOKUP(_xlfn.XLOOKUP(A792,'[1]DATOS PBI Artículos'!$A$4:$A$4,'[1]DATOS PBI Artículos'!$Y$4:$Y$4),[1]CRITERIOS!$P$79:$P$123,[1]CRITERIOS!$S$79:$S$123)),0)*[1]CRITERIOS!$M$80*([1]CRITERIOS!$M$89*[1]CRITERIOS!$M$92)+((_xlfn.XLOOKUP(A792,'[1]DATOS PBI Artículos'!$A$4:$A$4,'[1]DATOS PBI Artículos'!$AA$4:$AA$4)/2)*([1]CRITERIOS!$M$95+[1]CRITERIOS!$M$98)))/N792)</f>
        <v>#N/A</v>
      </c>
      <c r="AE792" s="39" t="e">
        <f>IF($R792="MTO","",
IF($H792=0,ROUNDUP(((_xlfn.XLOOKUP($A792,'[1]DATOS PBI Artículos'!$A:$A,'[1]DATOS PBI Artículos'!$AL:$AL))/(_xlfn.XLOOKUP($AF$1,[1]CRITERIOS!$S$16:$S$39,[1]CRITERIOS!$Y$16:$Y$39))*$J792+$Z792)/$G792,0)*$G792,
((_xlfn.XLOOKUP($A792,'[1]DATOS PBI Artículos'!$A:$A,'[1]DATOS PBI Artículos'!$AL:$AL))/(_xlfn.XLOOKUP($AF$1,[1]CRITERIOS!$S$16:$S$39,[1]CRITERIOS!$Y$16:$Y$39))*$J792+$Z792)))</f>
        <v>#N/A</v>
      </c>
      <c r="AG792" s="39" t="e">
        <f>IF($R792="MTO","",
IF($H792=0,ROUNDUP(((_xlfn.XLOOKUP($A792,'[1]DATOS PBI Artículos'!$A:$A,'[1]DATOS PBI Artículos'!$AM:$AM))/(_xlfn.XLOOKUP($AH$1,[1]CRITERIOS!$S$16:$S$39,[1]CRITERIOS!$Y$16:$Y$39))*$J792+$Z792)/$G792,0)*$G792,
((_xlfn.XLOOKUP($A792,'[1]DATOS PBI Artículos'!$A:$A,'[1]DATOS PBI Artículos'!$AM:$AM))/(_xlfn.XLOOKUP($AH$1,[1]CRITERIOS!$S$16:$S$39,[1]CRITERIOS!$Y$16:$Y$39))*$J792+$Z792)))</f>
        <v>#N/A</v>
      </c>
      <c r="AI792" s="39" t="e">
        <f>IF($R792="MTO","",
IF($H792=0,ROUNDUP(((_xlfn.XLOOKUP($A792,'[1]DATOS PBI Artículos'!$A:$A,'[1]DATOS PBI Artículos'!$AN:$AN))/(_xlfn.XLOOKUP($AJ$1,[1]CRITERIOS!$S$16:$S$39,[1]CRITERIOS!$Y$16:$Y$39))*$J792+$Z792)/$G792,0)*$G792,
((_xlfn.XLOOKUP($A792,'[1]DATOS PBI Artículos'!$A:$A,'[1]DATOS PBI Artículos'!$AN:$AN))/(_xlfn.XLOOKUP($AJ$1,[1]CRITERIOS!$S$16:$S$39,[1]CRITERIOS!$Y$16:$Y$39))*$J792+$Z792)))</f>
        <v>#N/A</v>
      </c>
      <c r="AK792" s="39" t="e">
        <f>IF($R792="MTO","",
IF($H792=0,ROUNDUP(((_xlfn.XLOOKUP($A792,'[1]DATOS PBI Artículos'!$A:$A,'[1]DATOS PBI Artículos'!$AO:$AO))/(_xlfn.XLOOKUP($AL$1,[1]CRITERIOS!$S$16:$S$39,[1]CRITERIOS!$Y$16:$Y$39))*$J792+$Z792)/$G792,0)*$G792,
((_xlfn.XLOOKUP($A792,'[1]DATOS PBI Artículos'!$A:$A,'[1]DATOS PBI Artículos'!$AO:$AO))/(_xlfn.XLOOKUP($AL$1,[1]CRITERIOS!$S$16:$S$39,[1]CRITERIOS!$Y$16:$Y$39))*$J792+$Z792)))</f>
        <v>#N/A</v>
      </c>
    </row>
    <row r="793" spans="1:37" ht="25.8" hidden="1" x14ac:dyDescent="0.4">
      <c r="A793" s="41"/>
      <c r="B793" s="33">
        <f>_xlfn.XLOOKUP($A793,'[1]DATOS PBI Artículos'!A:A,'[1]DATOS PBI Artículos'!B:B)</f>
        <v>0</v>
      </c>
      <c r="C793" s="33">
        <f>_xlfn.XLOOKUP($A793,'[1]DATOS PBI Artículos'!A:A,'[1]DATOS PBI Artículos'!C:C)</f>
        <v>0</v>
      </c>
      <c r="D793" s="33">
        <f>_xlfn.XLOOKUP(A793,'[1]DATOS PBI Artículos'!A:A,'[1]DATOS PBI Artículos'!T:T)</f>
        <v>0</v>
      </c>
      <c r="E793" s="34">
        <f>IF(_xlfn.XLOOKUP($A793,'[1]DATOS PBI Artículos'!A:A,'[1]DATOS PBI Artículos'!AK:AK)="",_xlfn.XLOOKUP($A793,'[1]DATOS PBI Artículos'!A:A,'[1]DATOS PBI Artículos'!AJ:AJ),_xlfn.XLOOKUP($A793,'[1]DATOS PBI Artículos'!A:A,'[1]DATOS PBI Artículos'!AK:AK))</f>
        <v>0</v>
      </c>
      <c r="F793" s="35">
        <f>_xlfn.XLOOKUP($A793,'[1]DATOS PBI Artículos'!A:A,'[1]DATOS PBI Artículos'!AP:AP)</f>
        <v>0</v>
      </c>
      <c r="G793" s="34">
        <f>_xlfn.XLOOKUP($A793,'[1]DATOS PBI Artículos'!A:A,'[1]DATOS PBI Artículos'!AR:AR)</f>
        <v>0</v>
      </c>
      <c r="H793" s="34">
        <f>_xlfn.XLOOKUP($A793,'[1]DATOS PBI Artículos'!A:A,'[1]DATOS PBI Artículos'!AT:AT)</f>
        <v>0</v>
      </c>
      <c r="I793" s="34">
        <f>_xlfn.XLOOKUP($A793,'[1]DATOS PBI Artículos'!A:A,'[1]DATOS PBI Artículos'!AS:AS)</f>
        <v>0</v>
      </c>
      <c r="J793" s="35">
        <f>IF(COUNTIF([1]CRITERIOS!$F$179:$F$199,$A793)&gt;=1,
 IF(O793&lt;&gt;"",
    (O793/_xlfn.XLOOKUP(CONCATENATE(A793,L793),[1]MÁQUINAS!A:A,[1]MÁQUINAS!D:D))/24,
    (N793/_xlfn.XLOOKUP(CONCATENATE(A793,L793),[1]MÁQUINAS!A:A,[1]MÁQUINAS!D:D))/24),
  _xlfn.XLOOKUP($A793,'[1]DATOS PBI Artículos'!A:A,'[1]DATOS PBI Artículos'!AU:AU))</f>
        <v>0</v>
      </c>
      <c r="K793" s="36">
        <f>_xlfn.XLOOKUP($A793,'[1]DATOS PBI Artículos'!A:A,'[1]DATOS PBI Artículos'!AV:AV)</f>
        <v>0</v>
      </c>
      <c r="L793" s="33">
        <f>_xlfn.XLOOKUP(A793,[1]MÁQUINAS!B:B,[1]MÁQUINAS!C:C)</f>
        <v>0</v>
      </c>
      <c r="M793" s="34">
        <f t="array" ref="M793">_xlfn.XLOOKUP(A793,'[1]DATOS PBI Artículos'!A:A,'[1]DATOS PBI Artículos'!AX:$AX)</f>
        <v>0</v>
      </c>
      <c r="N793" s="37" t="e">
        <f>IF(I793="DV",
E793,
IF(COUNTIF([1]CRITERIOS!$I$179:$I$199,$A793)&gt;=1,
_xlfn.XLOOKUP($A793,[1]CRITERIOS!$I$179:$I$199,[1]CRITERIOS!$J$179:$J$199),
IF(COUNTIF([1]CRITERIOS!$L$179:$L$199,$A793)&gt;=1,
_xlfn.CEILING.MATH(IF($M793&gt;$E793,
$E793,
IF($M793&lt;$E793/ROUNDDOWN([1]CRITERIOS!$M$16/_xlfn.XLOOKUP($C793,[1]CRITERIOS!$K$25:$K$42,[1]CRITERIOS!$M$25:$M$42),
1),
E793/ROUNDDOWN([1]CRITERIOS!$M$16/_xlfn.XLOOKUP($C793,[1]CRITERIOS!$K$25:$K$42,[1]CRITERIOS!$M$25:$M$42),
1),
$M793)),
_xlfn.XLOOKUP($A793,[1]CRITERIOS!$L$179:$L$200,[1]CRITERIOS!$M$179:$M$200)),
_xlfn.CEILING.MATH(IF($M793&gt;$E793,
$E793,
IF($M793&lt;$E793/ROUNDDOWN([1]CRITERIOS!$M$16/_xlfn.XLOOKUP($C793,[1]CRITERIOS!$K$25:$K$42,[1]CRITERIOS!$M$25:$M$42),
1),
E793/ROUNDDOWN([1]CRITERIOS!$M$16/_xlfn.XLOOKUP($C793,[1]CRITERIOS!$K$25:$K$42,[1]CRITERIOS!$M$25:$M$42),
1),
$M793)),_xlfn.XLOOKUP(A793,'[1]DATOS PBI Artículos'!A:A,'[1]DATOS PBI Artículos'!Z:Z
)))))</f>
        <v>#N/A</v>
      </c>
      <c r="Q793" s="38" t="e">
        <f>IF(AND(O793="",N793=0),
0,
   IF(COUNTIF([1]CRITERIOS!$F$179:$F$199,$A793)&gt;=1,
   1,
   IF(R793="MTO",
      $D793,
      ROUNDUP(
                    IF(($E793-SUMIF('[1]DATOS PBI Artículos'!A:A,A793,'[1]DATOS PBI Artículos'!X:X)+($V793-_xlfn.XLOOKUP(A793,'[1]DATOS PBI Artículos'!A:A,'[1]DATOS PBI Artículos'!W:W)))&lt;0,
                    0,
                    IF(($E793-SUMIF('[1]DATOS PBI Artículos'!A:A,A793,'[1]DATOS PBI Artículos'!X:X)+$V793-_xlfn.XLOOKUP($A793,'[1]DATOS PBI Artículos'!A:A,'[1]DATOS PBI Artículos'!W:W))/IF($O793="",$N793,$O793)&gt;ROUNDUP([1]CRITERIOS!$M$16/(IF(COUNTIF([1]CRITERIOS!$BG$11:$BG$201,L793)&gt;=1,_xlfn.XLOOKUP($C793,[1]CRITERIOS!$K$25:$K$42,[1]CRITERIOS!$M$25:$M$42),_xlfn.XLOOKUP($C793,[1]CRITERIOS!$K$25:$K$42,[1]CRITERIOS!$M$25:$M$42))),0),
                    ROUNDUP([1]CRITERIOS!$M$16/(IF(COUNTIF([1]CRITERIOS!$BG$11:$BG$201,$L793)&gt;=1,_xlfn.XLOOKUP($C793,[1]CRITERIOS!$K$25:$K$42,[1]CRITERIOS!$M$25:$M$42),_xlfn.XLOOKUP($C793,[1]CRITERIOS!$K$25:$K$42,[1]CRITERIOS!$M$25:$M$42))),0),
                    (E793+V793-SUMIF('[1]DATOS PBI Artículos'!A:A,A793,'[1]DATOS PBI Artículos'!X:X)-_xlfn.XLOOKUP(A793,'[1]DATOS PBI Artículos'!A:A,'[1]DATOS PBI Artículos'!W:W))/IF($O793="",$N793,$O793))),0))))</f>
        <v>#N/A</v>
      </c>
      <c r="R793" s="33" t="e">
        <f>IF(U793&lt;&gt;"",U793,IF(F793="DV","MTO",IF(N793=0,"MTO",_xlfn.XLOOKUP(CONCATENATE(S793,T793),[1]CRITERIOS!$K$160:$K$168,[1]CRITERIOS!$N$160:$N$168))))</f>
        <v>#N/A</v>
      </c>
      <c r="S793" s="33" t="e">
        <f>IF(G793="DV","MTO",IF(N793=0,"MTO",IF(OR(AND(N793=0,O793=""),IF(O793="",G793/N793,G793/O793)&gt;[1]CRITERIOS!$G$163),"MTO",IF(IF(O793="",G793/N793,G793/O793)&lt;[1]CRITERIOS!$H$161,"MTS","MTOS"))))</f>
        <v>#N/A</v>
      </c>
      <c r="T793" s="33" t="e">
        <f>IF(F793="DV","MTO",IF(OR(AND($N793=0,O793=""),$F793/$J793&gt;[1]CRITERIOS!$G$170,$F793="DV"),"MTO",IF($F793/$J793&lt;[1]CRITERIOS!$H$168,"MTS","MTOS")))</f>
        <v>#N/A</v>
      </c>
      <c r="V793" s="34" t="e">
        <f t="shared" ref="V793:V815" si="40">IF(R793="MTO","",
IF($H793=0,(((($J793/$F793)*$G793)+$Z793)/$G793)*$G793,
(($J793/$F793)*$G793)+$Z793))</f>
        <v>#N/A</v>
      </c>
      <c r="X793" s="34" t="e">
        <f t="shared" si="38"/>
        <v>#N/A</v>
      </c>
      <c r="Y793" s="34" t="e">
        <f t="shared" si="39"/>
        <v>#N/A</v>
      </c>
      <c r="Z793" s="34" t="e">
        <f>IF($R793="MTO",
0,
($H793+$K793*($E793/[1]CRITERIOS!$M$16))/[1]CRITERIOS!$X$48)</f>
        <v>#N/A</v>
      </c>
      <c r="AA793" s="34" t="e">
        <f>ROUNDUP(($Y793/_xlfn.XLOOKUP($A793,'[1]DATOS PBI Artículos'!$A$4:$A$4,'[1]DATOS PBI Artículos'!$Z$4:$Z$4))/_xlfn.XLOOKUP(_xlfn.XLOOKUP($A793,'[1]DATOS PBI Artículos'!$A$4:$A$4,'[1]DATOS PBI Artículos'!$Y$4:$Y$4),[1]CRITERIOS!$P$79:$P$123,[1]CRITERIOS!$S$79:$S$123,),0)</f>
        <v>#N/A</v>
      </c>
      <c r="AC793" s="33" t="e">
        <f>IF(N793=0,"",(ROUNDUP((N793/2)/(_xlfn.XLOOKUP(A793,'[1]DATOS PBI Artículos'!$A$4:$A$4,'[1]DATOS PBI Artículos'!$Z$4:$Z$4)*_xlfn.XLOOKUP(_xlfn.XLOOKUP(A793,'[1]DATOS PBI Artículos'!$A$4:$A$4,'[1]DATOS PBI Artículos'!$Y$4:$Y$4),[1]CRITERIOS!$P$79:$P$123,[1]CRITERIOS!$S$79:$S$123)),0)*[1]CRITERIOS!$M$80*([1]CRITERIOS!$M$110/[1]CRITERIOS!$M$86)+(_xlfn.XLOOKUP(A793,'[1]DATOS PBI Artículos'!$A$4:$A$4,'[1]DATOS PBI Artículos'!$AA$4:$AA$4)*([1]CRITERIOS!$M$95+[1]CRITERIOS!$M$98)))/N793)</f>
        <v>#N/A</v>
      </c>
      <c r="AD793" s="33" t="e">
        <f>IF(N793=0,"",(ROUNDUP((N793/2)/(_xlfn.XLOOKUP(A793,'[1]DATOS PBI Artículos'!$A$4:$A$4,'[1]DATOS PBI Artículos'!$Z$4:$Z$4)*_xlfn.XLOOKUP(_xlfn.XLOOKUP(A793,'[1]DATOS PBI Artículos'!$A$4:$A$4,'[1]DATOS PBI Artículos'!$Y$4:$Y$4),[1]CRITERIOS!$P$79:$P$123,[1]CRITERIOS!$S$79:$S$123)),0)*[1]CRITERIOS!$M$80*([1]CRITERIOS!$M$89*[1]CRITERIOS!$M$92)+((_xlfn.XLOOKUP(A793,'[1]DATOS PBI Artículos'!$A$4:$A$4,'[1]DATOS PBI Artículos'!$AA$4:$AA$4)/2)*([1]CRITERIOS!$M$95+[1]CRITERIOS!$M$98)))/N793)</f>
        <v>#N/A</v>
      </c>
      <c r="AE793" s="39" t="e">
        <f>IF($R793="MTO","",
IF($H793=0,ROUNDUP(((_xlfn.XLOOKUP($A793,'[1]DATOS PBI Artículos'!$A:$A,'[1]DATOS PBI Artículos'!$AL:$AL))/(_xlfn.XLOOKUP($AF$1,[1]CRITERIOS!$S$16:$S$39,[1]CRITERIOS!$Y$16:$Y$39))*$J793+$Z793)/$G793,0)*$G793,
((_xlfn.XLOOKUP($A793,'[1]DATOS PBI Artículos'!$A:$A,'[1]DATOS PBI Artículos'!$AL:$AL))/(_xlfn.XLOOKUP($AF$1,[1]CRITERIOS!$S$16:$S$39,[1]CRITERIOS!$Y$16:$Y$39))*$J793+$Z793)))</f>
        <v>#N/A</v>
      </c>
      <c r="AG793" s="39" t="e">
        <f>IF($R793="MTO","",
IF($H793=0,ROUNDUP(((_xlfn.XLOOKUP($A793,'[1]DATOS PBI Artículos'!$A:$A,'[1]DATOS PBI Artículos'!$AM:$AM))/(_xlfn.XLOOKUP($AH$1,[1]CRITERIOS!$S$16:$S$39,[1]CRITERIOS!$Y$16:$Y$39))*$J793+$Z793)/$G793,0)*$G793,
((_xlfn.XLOOKUP($A793,'[1]DATOS PBI Artículos'!$A:$A,'[1]DATOS PBI Artículos'!$AM:$AM))/(_xlfn.XLOOKUP($AH$1,[1]CRITERIOS!$S$16:$S$39,[1]CRITERIOS!$Y$16:$Y$39))*$J793+$Z793)))</f>
        <v>#N/A</v>
      </c>
      <c r="AI793" s="39" t="e">
        <f>IF($R793="MTO","",
IF($H793=0,ROUNDUP(((_xlfn.XLOOKUP($A793,'[1]DATOS PBI Artículos'!$A:$A,'[1]DATOS PBI Artículos'!$AN:$AN))/(_xlfn.XLOOKUP($AJ$1,[1]CRITERIOS!$S$16:$S$39,[1]CRITERIOS!$Y$16:$Y$39))*$J793+$Z793)/$G793,0)*$G793,
((_xlfn.XLOOKUP($A793,'[1]DATOS PBI Artículos'!$A:$A,'[1]DATOS PBI Artículos'!$AN:$AN))/(_xlfn.XLOOKUP($AJ$1,[1]CRITERIOS!$S$16:$S$39,[1]CRITERIOS!$Y$16:$Y$39))*$J793+$Z793)))</f>
        <v>#N/A</v>
      </c>
      <c r="AK793" s="39" t="e">
        <f>IF($R793="MTO","",
IF($H793=0,ROUNDUP(((_xlfn.XLOOKUP($A793,'[1]DATOS PBI Artículos'!$A:$A,'[1]DATOS PBI Artículos'!$AO:$AO))/(_xlfn.XLOOKUP($AL$1,[1]CRITERIOS!$S$16:$S$39,[1]CRITERIOS!$Y$16:$Y$39))*$J793+$Z793)/$G793,0)*$G793,
((_xlfn.XLOOKUP($A793,'[1]DATOS PBI Artículos'!$A:$A,'[1]DATOS PBI Artículos'!$AO:$AO))/(_xlfn.XLOOKUP($AL$1,[1]CRITERIOS!$S$16:$S$39,[1]CRITERIOS!$Y$16:$Y$39))*$J793+$Z793)))</f>
        <v>#N/A</v>
      </c>
    </row>
    <row r="794" spans="1:37" ht="25.8" hidden="1" x14ac:dyDescent="0.4">
      <c r="A794" s="41"/>
      <c r="B794" s="33">
        <f>_xlfn.XLOOKUP($A794,'[1]DATOS PBI Artículos'!A:A,'[1]DATOS PBI Artículos'!B:B)</f>
        <v>0</v>
      </c>
      <c r="C794" s="33">
        <f>_xlfn.XLOOKUP($A794,'[1]DATOS PBI Artículos'!A:A,'[1]DATOS PBI Artículos'!C:C)</f>
        <v>0</v>
      </c>
      <c r="D794" s="33">
        <f>_xlfn.XLOOKUP(A794,'[1]DATOS PBI Artículos'!A:A,'[1]DATOS PBI Artículos'!T:T)</f>
        <v>0</v>
      </c>
      <c r="E794" s="34">
        <f>IF(_xlfn.XLOOKUP($A794,'[1]DATOS PBI Artículos'!A:A,'[1]DATOS PBI Artículos'!AK:AK)="",_xlfn.XLOOKUP($A794,'[1]DATOS PBI Artículos'!A:A,'[1]DATOS PBI Artículos'!AJ:AJ),_xlfn.XLOOKUP($A794,'[1]DATOS PBI Artículos'!A:A,'[1]DATOS PBI Artículos'!AK:AK))</f>
        <v>0</v>
      </c>
      <c r="F794" s="35">
        <f>_xlfn.XLOOKUP($A794,'[1]DATOS PBI Artículos'!A:A,'[1]DATOS PBI Artículos'!AP:AP)</f>
        <v>0</v>
      </c>
      <c r="G794" s="34">
        <f>_xlfn.XLOOKUP($A794,'[1]DATOS PBI Artículos'!A:A,'[1]DATOS PBI Artículos'!AR:AR)</f>
        <v>0</v>
      </c>
      <c r="H794" s="34">
        <f>_xlfn.XLOOKUP($A794,'[1]DATOS PBI Artículos'!A:A,'[1]DATOS PBI Artículos'!AT:AT)</f>
        <v>0</v>
      </c>
      <c r="I794" s="34">
        <f>_xlfn.XLOOKUP($A794,'[1]DATOS PBI Artículos'!A:A,'[1]DATOS PBI Artículos'!AS:AS)</f>
        <v>0</v>
      </c>
      <c r="J794" s="35">
        <f>IF(COUNTIF([1]CRITERIOS!$F$179:$F$199,$A794)&gt;=1,
 IF(O794&lt;&gt;"",
    (O794/_xlfn.XLOOKUP(CONCATENATE(A794,L794),[1]MÁQUINAS!A:A,[1]MÁQUINAS!D:D))/24,
    (N794/_xlfn.XLOOKUP(CONCATENATE(A794,L794),[1]MÁQUINAS!A:A,[1]MÁQUINAS!D:D))/24),
  _xlfn.XLOOKUP($A794,'[1]DATOS PBI Artículos'!A:A,'[1]DATOS PBI Artículos'!AU:AU))</f>
        <v>0</v>
      </c>
      <c r="K794" s="36">
        <f>_xlfn.XLOOKUP($A794,'[1]DATOS PBI Artículos'!A:A,'[1]DATOS PBI Artículos'!AV:AV)</f>
        <v>0</v>
      </c>
      <c r="L794" s="33">
        <f>_xlfn.XLOOKUP(A794,[1]MÁQUINAS!B:B,[1]MÁQUINAS!C:C)</f>
        <v>0</v>
      </c>
      <c r="M794" s="34">
        <f t="array" ref="M794">_xlfn.XLOOKUP(A794,'[1]DATOS PBI Artículos'!A:A,'[1]DATOS PBI Artículos'!AX:$AX)</f>
        <v>0</v>
      </c>
      <c r="N794" s="37" t="e">
        <f>IF(I794="DV",
E794,
IF(COUNTIF([1]CRITERIOS!$I$179:$I$199,$A794)&gt;=1,
_xlfn.XLOOKUP($A794,[1]CRITERIOS!$I$179:$I$199,[1]CRITERIOS!$J$179:$J$199),
IF(COUNTIF([1]CRITERIOS!$L$179:$L$199,$A794)&gt;=1,
_xlfn.CEILING.MATH(IF($M794&gt;$E794,
$E794,
IF($M794&lt;$E794/ROUNDDOWN([1]CRITERIOS!$M$16/_xlfn.XLOOKUP($C794,[1]CRITERIOS!$K$25:$K$42,[1]CRITERIOS!$M$25:$M$42),
1),
E794/ROUNDDOWN([1]CRITERIOS!$M$16/_xlfn.XLOOKUP($C794,[1]CRITERIOS!$K$25:$K$42,[1]CRITERIOS!$M$25:$M$42),
1),
$M794)),
_xlfn.XLOOKUP($A794,[1]CRITERIOS!$L$179:$L$200,[1]CRITERIOS!$M$179:$M$200)),
_xlfn.CEILING.MATH(IF($M794&gt;$E794,
$E794,
IF($M794&lt;$E794/ROUNDDOWN([1]CRITERIOS!$M$16/_xlfn.XLOOKUP($C794,[1]CRITERIOS!$K$25:$K$42,[1]CRITERIOS!$M$25:$M$42),
1),
E794/ROUNDDOWN([1]CRITERIOS!$M$16/_xlfn.XLOOKUP($C794,[1]CRITERIOS!$K$25:$K$42,[1]CRITERIOS!$M$25:$M$42),
1),
$M794)),_xlfn.XLOOKUP(A794,'[1]DATOS PBI Artículos'!A:A,'[1]DATOS PBI Artículos'!Z:Z
)))))</f>
        <v>#N/A</v>
      </c>
      <c r="Q794" s="38" t="e">
        <f>IF(AND(O794="",N794=0),
0,
   IF(COUNTIF([1]CRITERIOS!$F$179:$F$199,$A794)&gt;=1,
   1,
   IF(R794="MTO",
      $D794,
      ROUNDUP(
                    IF(($E794-SUMIF('[1]DATOS PBI Artículos'!A:A,A794,'[1]DATOS PBI Artículos'!X:X)+($V794-_xlfn.XLOOKUP(A794,'[1]DATOS PBI Artículos'!A:A,'[1]DATOS PBI Artículos'!W:W)))&lt;0,
                    0,
                    IF(($E794-SUMIF('[1]DATOS PBI Artículos'!A:A,A794,'[1]DATOS PBI Artículos'!X:X)+$V794-_xlfn.XLOOKUP($A794,'[1]DATOS PBI Artículos'!A:A,'[1]DATOS PBI Artículos'!W:W))/IF($O794="",$N794,$O794)&gt;ROUNDUP([1]CRITERIOS!$M$16/(IF(COUNTIF([1]CRITERIOS!$BG$11:$BG$201,L794)&gt;=1,_xlfn.XLOOKUP($C794,[1]CRITERIOS!$K$25:$K$42,[1]CRITERIOS!$M$25:$M$42),_xlfn.XLOOKUP($C794,[1]CRITERIOS!$K$25:$K$42,[1]CRITERIOS!$M$25:$M$42))),0),
                    ROUNDUP([1]CRITERIOS!$M$16/(IF(COUNTIF([1]CRITERIOS!$BG$11:$BG$201,$L794)&gt;=1,_xlfn.XLOOKUP($C794,[1]CRITERIOS!$K$25:$K$42,[1]CRITERIOS!$M$25:$M$42),_xlfn.XLOOKUP($C794,[1]CRITERIOS!$K$25:$K$42,[1]CRITERIOS!$M$25:$M$42))),0),
                    (E794+V794-SUMIF('[1]DATOS PBI Artículos'!A:A,A794,'[1]DATOS PBI Artículos'!X:X)-_xlfn.XLOOKUP(A794,'[1]DATOS PBI Artículos'!A:A,'[1]DATOS PBI Artículos'!W:W))/IF($O794="",$N794,$O794))),0))))</f>
        <v>#N/A</v>
      </c>
      <c r="R794" s="33" t="e">
        <f>IF(U794&lt;&gt;"",U794,IF(F794="DV","MTO",IF(N794=0,"MTO",_xlfn.XLOOKUP(CONCATENATE(S794,T794),[1]CRITERIOS!$K$160:$K$168,[1]CRITERIOS!$N$160:$N$168))))</f>
        <v>#N/A</v>
      </c>
      <c r="S794" s="33" t="e">
        <f>IF(G794="DV","MTO",IF(N794=0,"MTO",IF(OR(AND(N794=0,O794=""),IF(O794="",G794/N794,G794/O794)&gt;[1]CRITERIOS!$G$163),"MTO",IF(IF(O794="",G794/N794,G794/O794)&lt;[1]CRITERIOS!$H$161,"MTS","MTOS"))))</f>
        <v>#N/A</v>
      </c>
      <c r="T794" s="33" t="e">
        <f>IF(F794="DV","MTO",IF(OR(AND($N794=0,O794=""),$F794/$J794&gt;[1]CRITERIOS!$G$170,$F794="DV"),"MTO",IF($F794/$J794&lt;[1]CRITERIOS!$H$168,"MTS","MTOS")))</f>
        <v>#N/A</v>
      </c>
      <c r="V794" s="34" t="e">
        <f t="shared" si="40"/>
        <v>#N/A</v>
      </c>
      <c r="X794" s="34" t="e">
        <f t="shared" si="38"/>
        <v>#N/A</v>
      </c>
      <c r="Y794" s="34" t="e">
        <f t="shared" si="39"/>
        <v>#N/A</v>
      </c>
      <c r="Z794" s="34" t="e">
        <f>IF($R794="MTO",
0,
($H794+$K794*($E794/[1]CRITERIOS!$M$16))/[1]CRITERIOS!$X$48)</f>
        <v>#N/A</v>
      </c>
      <c r="AA794" s="34" t="e">
        <f>ROUNDUP(($Y794/_xlfn.XLOOKUP($A794,'[1]DATOS PBI Artículos'!$A$4:$A$4,'[1]DATOS PBI Artículos'!$Z$4:$Z$4))/_xlfn.XLOOKUP(_xlfn.XLOOKUP($A794,'[1]DATOS PBI Artículos'!$A$4:$A$4,'[1]DATOS PBI Artículos'!$Y$4:$Y$4),[1]CRITERIOS!$P$79:$P$123,[1]CRITERIOS!$S$79:$S$123,),0)</f>
        <v>#N/A</v>
      </c>
      <c r="AC794" s="33" t="e">
        <f>IF(N794=0,"",(ROUNDUP((N794/2)/(_xlfn.XLOOKUP(A794,'[1]DATOS PBI Artículos'!$A$4:$A$4,'[1]DATOS PBI Artículos'!$Z$4:$Z$4)*_xlfn.XLOOKUP(_xlfn.XLOOKUP(A794,'[1]DATOS PBI Artículos'!$A$4:$A$4,'[1]DATOS PBI Artículos'!$Y$4:$Y$4),[1]CRITERIOS!$P$79:$P$123,[1]CRITERIOS!$S$79:$S$123)),0)*[1]CRITERIOS!$M$80*([1]CRITERIOS!$M$110/[1]CRITERIOS!$M$86)+(_xlfn.XLOOKUP(A794,'[1]DATOS PBI Artículos'!$A$4:$A$4,'[1]DATOS PBI Artículos'!$AA$4:$AA$4)*([1]CRITERIOS!$M$95+[1]CRITERIOS!$M$98)))/N794)</f>
        <v>#N/A</v>
      </c>
      <c r="AD794" s="33" t="e">
        <f>IF(N794=0,"",(ROUNDUP((N794/2)/(_xlfn.XLOOKUP(A794,'[1]DATOS PBI Artículos'!$A$4:$A$4,'[1]DATOS PBI Artículos'!$Z$4:$Z$4)*_xlfn.XLOOKUP(_xlfn.XLOOKUP(A794,'[1]DATOS PBI Artículos'!$A$4:$A$4,'[1]DATOS PBI Artículos'!$Y$4:$Y$4),[1]CRITERIOS!$P$79:$P$123,[1]CRITERIOS!$S$79:$S$123)),0)*[1]CRITERIOS!$M$80*([1]CRITERIOS!$M$89*[1]CRITERIOS!$M$92)+((_xlfn.XLOOKUP(A794,'[1]DATOS PBI Artículos'!$A$4:$A$4,'[1]DATOS PBI Artículos'!$AA$4:$AA$4)/2)*([1]CRITERIOS!$M$95+[1]CRITERIOS!$M$98)))/N794)</f>
        <v>#N/A</v>
      </c>
      <c r="AE794" s="39" t="e">
        <f>IF($R794="MTO","",
IF($H794=0,ROUNDUP(((_xlfn.XLOOKUP($A794,'[1]DATOS PBI Artículos'!$A:$A,'[1]DATOS PBI Artículos'!$AL:$AL))/(_xlfn.XLOOKUP($AF$1,[1]CRITERIOS!$S$16:$S$39,[1]CRITERIOS!$Y$16:$Y$39))*$J794+$Z794)/$G794,0)*$G794,
((_xlfn.XLOOKUP($A794,'[1]DATOS PBI Artículos'!$A:$A,'[1]DATOS PBI Artículos'!$AL:$AL))/(_xlfn.XLOOKUP($AF$1,[1]CRITERIOS!$S$16:$S$39,[1]CRITERIOS!$Y$16:$Y$39))*$J794+$Z794)))</f>
        <v>#N/A</v>
      </c>
      <c r="AG794" s="39" t="e">
        <f>IF($R794="MTO","",
IF($H794=0,ROUNDUP(((_xlfn.XLOOKUP($A794,'[1]DATOS PBI Artículos'!$A:$A,'[1]DATOS PBI Artículos'!$AM:$AM))/(_xlfn.XLOOKUP($AH$1,[1]CRITERIOS!$S$16:$S$39,[1]CRITERIOS!$Y$16:$Y$39))*$J794+$Z794)/$G794,0)*$G794,
((_xlfn.XLOOKUP($A794,'[1]DATOS PBI Artículos'!$A:$A,'[1]DATOS PBI Artículos'!$AM:$AM))/(_xlfn.XLOOKUP($AH$1,[1]CRITERIOS!$S$16:$S$39,[1]CRITERIOS!$Y$16:$Y$39))*$J794+$Z794)))</f>
        <v>#N/A</v>
      </c>
      <c r="AI794" s="39" t="e">
        <f>IF($R794="MTO","",
IF($H794=0,ROUNDUP(((_xlfn.XLOOKUP($A794,'[1]DATOS PBI Artículos'!$A:$A,'[1]DATOS PBI Artículos'!$AN:$AN))/(_xlfn.XLOOKUP($AJ$1,[1]CRITERIOS!$S$16:$S$39,[1]CRITERIOS!$Y$16:$Y$39))*$J794+$Z794)/$G794,0)*$G794,
((_xlfn.XLOOKUP($A794,'[1]DATOS PBI Artículos'!$A:$A,'[1]DATOS PBI Artículos'!$AN:$AN))/(_xlfn.XLOOKUP($AJ$1,[1]CRITERIOS!$S$16:$S$39,[1]CRITERIOS!$Y$16:$Y$39))*$J794+$Z794)))</f>
        <v>#N/A</v>
      </c>
      <c r="AK794" s="39" t="e">
        <f>IF($R794="MTO","",
IF($H794=0,ROUNDUP(((_xlfn.XLOOKUP($A794,'[1]DATOS PBI Artículos'!$A:$A,'[1]DATOS PBI Artículos'!$AO:$AO))/(_xlfn.XLOOKUP($AL$1,[1]CRITERIOS!$S$16:$S$39,[1]CRITERIOS!$Y$16:$Y$39))*$J794+$Z794)/$G794,0)*$G794,
((_xlfn.XLOOKUP($A794,'[1]DATOS PBI Artículos'!$A:$A,'[1]DATOS PBI Artículos'!$AO:$AO))/(_xlfn.XLOOKUP($AL$1,[1]CRITERIOS!$S$16:$S$39,[1]CRITERIOS!$Y$16:$Y$39))*$J794+$Z794)))</f>
        <v>#N/A</v>
      </c>
    </row>
    <row r="795" spans="1:37" ht="25.8" hidden="1" x14ac:dyDescent="0.4">
      <c r="A795" s="41"/>
      <c r="B795" s="33">
        <f>_xlfn.XLOOKUP($A795,'[1]DATOS PBI Artículos'!A:A,'[1]DATOS PBI Artículos'!B:B)</f>
        <v>0</v>
      </c>
      <c r="C795" s="33">
        <f>_xlfn.XLOOKUP($A795,'[1]DATOS PBI Artículos'!A:A,'[1]DATOS PBI Artículos'!C:C)</f>
        <v>0</v>
      </c>
      <c r="D795" s="33">
        <f>_xlfn.XLOOKUP(A795,'[1]DATOS PBI Artículos'!A:A,'[1]DATOS PBI Artículos'!T:T)</f>
        <v>0</v>
      </c>
      <c r="E795" s="34">
        <f>IF(_xlfn.XLOOKUP($A795,'[1]DATOS PBI Artículos'!A:A,'[1]DATOS PBI Artículos'!AK:AK)="",_xlfn.XLOOKUP($A795,'[1]DATOS PBI Artículos'!A:A,'[1]DATOS PBI Artículos'!AJ:AJ),_xlfn.XLOOKUP($A795,'[1]DATOS PBI Artículos'!A:A,'[1]DATOS PBI Artículos'!AK:AK))</f>
        <v>0</v>
      </c>
      <c r="F795" s="35">
        <f>_xlfn.XLOOKUP($A795,'[1]DATOS PBI Artículos'!A:A,'[1]DATOS PBI Artículos'!AP:AP)</f>
        <v>0</v>
      </c>
      <c r="G795" s="34">
        <f>_xlfn.XLOOKUP($A795,'[1]DATOS PBI Artículos'!A:A,'[1]DATOS PBI Artículos'!AR:AR)</f>
        <v>0</v>
      </c>
      <c r="H795" s="34">
        <f>_xlfn.XLOOKUP($A795,'[1]DATOS PBI Artículos'!A:A,'[1]DATOS PBI Artículos'!AT:AT)</f>
        <v>0</v>
      </c>
      <c r="I795" s="34">
        <f>_xlfn.XLOOKUP($A795,'[1]DATOS PBI Artículos'!A:A,'[1]DATOS PBI Artículos'!AS:AS)</f>
        <v>0</v>
      </c>
      <c r="J795" s="35">
        <f>IF(COUNTIF([1]CRITERIOS!$F$179:$F$199,$A795)&gt;=1,
 IF(O795&lt;&gt;"",
    (O795/_xlfn.XLOOKUP(CONCATENATE(A795,L795),[1]MÁQUINAS!A:A,[1]MÁQUINAS!D:D))/24,
    (N795/_xlfn.XLOOKUP(CONCATENATE(A795,L795),[1]MÁQUINAS!A:A,[1]MÁQUINAS!D:D))/24),
  _xlfn.XLOOKUP($A795,'[1]DATOS PBI Artículos'!A:A,'[1]DATOS PBI Artículos'!AU:AU))</f>
        <v>0</v>
      </c>
      <c r="K795" s="36">
        <f>_xlfn.XLOOKUP($A795,'[1]DATOS PBI Artículos'!A:A,'[1]DATOS PBI Artículos'!AV:AV)</f>
        <v>0</v>
      </c>
      <c r="L795" s="33">
        <f>_xlfn.XLOOKUP(A795,[1]MÁQUINAS!B:B,[1]MÁQUINAS!C:C)</f>
        <v>0</v>
      </c>
      <c r="M795" s="34">
        <f t="array" ref="M795">_xlfn.XLOOKUP(A795,'[1]DATOS PBI Artículos'!A:A,'[1]DATOS PBI Artículos'!AX:$AX)</f>
        <v>0</v>
      </c>
      <c r="N795" s="37" t="e">
        <f>IF(I795="DV",
E795,
IF(COUNTIF([1]CRITERIOS!$I$179:$I$199,$A795)&gt;=1,
_xlfn.XLOOKUP($A795,[1]CRITERIOS!$I$179:$I$199,[1]CRITERIOS!$J$179:$J$199),
IF(COUNTIF([1]CRITERIOS!$L$179:$L$199,$A795)&gt;=1,
_xlfn.CEILING.MATH(IF($M795&gt;$E795,
$E795,
IF($M795&lt;$E795/ROUNDDOWN([1]CRITERIOS!$M$16/_xlfn.XLOOKUP($C795,[1]CRITERIOS!$K$25:$K$42,[1]CRITERIOS!$M$25:$M$42),
1),
E795/ROUNDDOWN([1]CRITERIOS!$M$16/_xlfn.XLOOKUP($C795,[1]CRITERIOS!$K$25:$K$42,[1]CRITERIOS!$M$25:$M$42),
1),
$M795)),
_xlfn.XLOOKUP($A795,[1]CRITERIOS!$L$179:$L$200,[1]CRITERIOS!$M$179:$M$200)),
_xlfn.CEILING.MATH(IF($M795&gt;$E795,
$E795,
IF($M795&lt;$E795/ROUNDDOWN([1]CRITERIOS!$M$16/_xlfn.XLOOKUP($C795,[1]CRITERIOS!$K$25:$K$42,[1]CRITERIOS!$M$25:$M$42),
1),
E795/ROUNDDOWN([1]CRITERIOS!$M$16/_xlfn.XLOOKUP($C795,[1]CRITERIOS!$K$25:$K$42,[1]CRITERIOS!$M$25:$M$42),
1),
$M795)),_xlfn.XLOOKUP(A795,'[1]DATOS PBI Artículos'!A:A,'[1]DATOS PBI Artículos'!Z:Z
)))))</f>
        <v>#N/A</v>
      </c>
      <c r="Q795" s="38" t="e">
        <f>IF(AND(O795="",N795=0),
0,
   IF(COUNTIF([1]CRITERIOS!$F$179:$F$199,$A795)&gt;=1,
   1,
   IF(R795="MTO",
      $D795,
      ROUNDUP(
                    IF(($E795-SUMIF('[1]DATOS PBI Artículos'!A:A,A795,'[1]DATOS PBI Artículos'!X:X)+($V795-_xlfn.XLOOKUP(A795,'[1]DATOS PBI Artículos'!A:A,'[1]DATOS PBI Artículos'!W:W)))&lt;0,
                    0,
                    IF(($E795-SUMIF('[1]DATOS PBI Artículos'!A:A,A795,'[1]DATOS PBI Artículos'!X:X)+$V795-_xlfn.XLOOKUP($A795,'[1]DATOS PBI Artículos'!A:A,'[1]DATOS PBI Artículos'!W:W))/IF($O795="",$N795,$O795)&gt;ROUNDUP([1]CRITERIOS!$M$16/(IF(COUNTIF([1]CRITERIOS!$BG$11:$BG$201,L795)&gt;=1,_xlfn.XLOOKUP($C795,[1]CRITERIOS!$K$25:$K$42,[1]CRITERIOS!$M$25:$M$42),_xlfn.XLOOKUP($C795,[1]CRITERIOS!$K$25:$K$42,[1]CRITERIOS!$M$25:$M$42))),0),
                    ROUNDUP([1]CRITERIOS!$M$16/(IF(COUNTIF([1]CRITERIOS!$BG$11:$BG$201,$L795)&gt;=1,_xlfn.XLOOKUP($C795,[1]CRITERIOS!$K$25:$K$42,[1]CRITERIOS!$M$25:$M$42),_xlfn.XLOOKUP($C795,[1]CRITERIOS!$K$25:$K$42,[1]CRITERIOS!$M$25:$M$42))),0),
                    (E795+V795-SUMIF('[1]DATOS PBI Artículos'!A:A,A795,'[1]DATOS PBI Artículos'!X:X)-_xlfn.XLOOKUP(A795,'[1]DATOS PBI Artículos'!A:A,'[1]DATOS PBI Artículos'!W:W))/IF($O795="",$N795,$O795))),0))))</f>
        <v>#N/A</v>
      </c>
      <c r="R795" s="33" t="e">
        <f>IF(U795&lt;&gt;"",U795,IF(F795="DV","MTO",IF(N795=0,"MTO",_xlfn.XLOOKUP(CONCATENATE(S795,T795),[1]CRITERIOS!$K$160:$K$168,[1]CRITERIOS!$N$160:$N$168))))</f>
        <v>#N/A</v>
      </c>
      <c r="S795" s="33" t="e">
        <f>IF(G795="DV","MTO",IF(N795=0,"MTO",IF(OR(AND(N795=0,O795=""),IF(O795="",G795/N795,G795/O795)&gt;[1]CRITERIOS!$G$163),"MTO",IF(IF(O795="",G795/N795,G795/O795)&lt;[1]CRITERIOS!$H$161,"MTS","MTOS"))))</f>
        <v>#N/A</v>
      </c>
      <c r="T795" s="33" t="e">
        <f>IF(F795="DV","MTO",IF(OR(AND($N795=0,O795=""),$F795/$J795&gt;[1]CRITERIOS!$G$170,$F795="DV"),"MTO",IF($F795/$J795&lt;[1]CRITERIOS!$H$168,"MTS","MTOS")))</f>
        <v>#N/A</v>
      </c>
      <c r="V795" s="34" t="e">
        <f t="shared" si="40"/>
        <v>#N/A</v>
      </c>
      <c r="X795" s="34" t="e">
        <f t="shared" si="38"/>
        <v>#N/A</v>
      </c>
      <c r="Y795" s="34" t="e">
        <f t="shared" si="39"/>
        <v>#N/A</v>
      </c>
      <c r="Z795" s="34" t="e">
        <f>IF($R795="MTO",
0,
($H795+$K795*($E795/[1]CRITERIOS!$M$16))/[1]CRITERIOS!$X$48)</f>
        <v>#N/A</v>
      </c>
      <c r="AA795" s="34" t="e">
        <f>ROUNDUP(($Y795/_xlfn.XLOOKUP($A795,'[1]DATOS PBI Artículos'!$A$4:$A$4,'[1]DATOS PBI Artículos'!$Z$4:$Z$4))/_xlfn.XLOOKUP(_xlfn.XLOOKUP($A795,'[1]DATOS PBI Artículos'!$A$4:$A$4,'[1]DATOS PBI Artículos'!$Y$4:$Y$4),[1]CRITERIOS!$P$79:$P$123,[1]CRITERIOS!$S$79:$S$123,),0)</f>
        <v>#N/A</v>
      </c>
      <c r="AC795" s="33" t="e">
        <f>IF(N795=0,"",(ROUNDUP((N795/2)/(_xlfn.XLOOKUP(A795,'[1]DATOS PBI Artículos'!$A$4:$A$4,'[1]DATOS PBI Artículos'!$Z$4:$Z$4)*_xlfn.XLOOKUP(_xlfn.XLOOKUP(A795,'[1]DATOS PBI Artículos'!$A$4:$A$4,'[1]DATOS PBI Artículos'!$Y$4:$Y$4),[1]CRITERIOS!$P$79:$P$123,[1]CRITERIOS!$S$79:$S$123)),0)*[1]CRITERIOS!$M$80*([1]CRITERIOS!$M$110/[1]CRITERIOS!$M$86)+(_xlfn.XLOOKUP(A795,'[1]DATOS PBI Artículos'!$A$4:$A$4,'[1]DATOS PBI Artículos'!$AA$4:$AA$4)*([1]CRITERIOS!$M$95+[1]CRITERIOS!$M$98)))/N795)</f>
        <v>#N/A</v>
      </c>
      <c r="AD795" s="33" t="e">
        <f>IF(N795=0,"",(ROUNDUP((N795/2)/(_xlfn.XLOOKUP(A795,'[1]DATOS PBI Artículos'!$A$4:$A$4,'[1]DATOS PBI Artículos'!$Z$4:$Z$4)*_xlfn.XLOOKUP(_xlfn.XLOOKUP(A795,'[1]DATOS PBI Artículos'!$A$4:$A$4,'[1]DATOS PBI Artículos'!$Y$4:$Y$4),[1]CRITERIOS!$P$79:$P$123,[1]CRITERIOS!$S$79:$S$123)),0)*[1]CRITERIOS!$M$80*([1]CRITERIOS!$M$89*[1]CRITERIOS!$M$92)+((_xlfn.XLOOKUP(A795,'[1]DATOS PBI Artículos'!$A$4:$A$4,'[1]DATOS PBI Artículos'!$AA$4:$AA$4)/2)*([1]CRITERIOS!$M$95+[1]CRITERIOS!$M$98)))/N795)</f>
        <v>#N/A</v>
      </c>
      <c r="AE795" s="39" t="e">
        <f>IF($R795="MTO","",
IF($H795=0,ROUNDUP(((_xlfn.XLOOKUP($A795,'[1]DATOS PBI Artículos'!$A:$A,'[1]DATOS PBI Artículos'!$AL:$AL))/(_xlfn.XLOOKUP($AF$1,[1]CRITERIOS!$S$16:$S$39,[1]CRITERIOS!$Y$16:$Y$39))*$J795+$Z795)/$G795,0)*$G795,
((_xlfn.XLOOKUP($A795,'[1]DATOS PBI Artículos'!$A:$A,'[1]DATOS PBI Artículos'!$AL:$AL))/(_xlfn.XLOOKUP($AF$1,[1]CRITERIOS!$S$16:$S$39,[1]CRITERIOS!$Y$16:$Y$39))*$J795+$Z795)))</f>
        <v>#N/A</v>
      </c>
      <c r="AG795" s="39" t="e">
        <f>IF($R795="MTO","",
IF($H795=0,ROUNDUP(((_xlfn.XLOOKUP($A795,'[1]DATOS PBI Artículos'!$A:$A,'[1]DATOS PBI Artículos'!$AM:$AM))/(_xlfn.XLOOKUP($AH$1,[1]CRITERIOS!$S$16:$S$39,[1]CRITERIOS!$Y$16:$Y$39))*$J795+$Z795)/$G795,0)*$G795,
((_xlfn.XLOOKUP($A795,'[1]DATOS PBI Artículos'!$A:$A,'[1]DATOS PBI Artículos'!$AM:$AM))/(_xlfn.XLOOKUP($AH$1,[1]CRITERIOS!$S$16:$S$39,[1]CRITERIOS!$Y$16:$Y$39))*$J795+$Z795)))</f>
        <v>#N/A</v>
      </c>
      <c r="AI795" s="39" t="e">
        <f>IF($R795="MTO","",
IF($H795=0,ROUNDUP(((_xlfn.XLOOKUP($A795,'[1]DATOS PBI Artículos'!$A:$A,'[1]DATOS PBI Artículos'!$AN:$AN))/(_xlfn.XLOOKUP($AJ$1,[1]CRITERIOS!$S$16:$S$39,[1]CRITERIOS!$Y$16:$Y$39))*$J795+$Z795)/$G795,0)*$G795,
((_xlfn.XLOOKUP($A795,'[1]DATOS PBI Artículos'!$A:$A,'[1]DATOS PBI Artículos'!$AN:$AN))/(_xlfn.XLOOKUP($AJ$1,[1]CRITERIOS!$S$16:$S$39,[1]CRITERIOS!$Y$16:$Y$39))*$J795+$Z795)))</f>
        <v>#N/A</v>
      </c>
      <c r="AK795" s="39" t="e">
        <f>IF($R795="MTO","",
IF($H795=0,ROUNDUP(((_xlfn.XLOOKUP($A795,'[1]DATOS PBI Artículos'!$A:$A,'[1]DATOS PBI Artículos'!$AO:$AO))/(_xlfn.XLOOKUP($AL$1,[1]CRITERIOS!$S$16:$S$39,[1]CRITERIOS!$Y$16:$Y$39))*$J795+$Z795)/$G795,0)*$G795,
((_xlfn.XLOOKUP($A795,'[1]DATOS PBI Artículos'!$A:$A,'[1]DATOS PBI Artículos'!$AO:$AO))/(_xlfn.XLOOKUP($AL$1,[1]CRITERIOS!$S$16:$S$39,[1]CRITERIOS!$Y$16:$Y$39))*$J795+$Z795)))</f>
        <v>#N/A</v>
      </c>
    </row>
    <row r="796" spans="1:37" ht="25.8" hidden="1" x14ac:dyDescent="0.4">
      <c r="A796" s="41"/>
      <c r="B796" s="33">
        <f>_xlfn.XLOOKUP($A796,'[1]DATOS PBI Artículos'!A:A,'[1]DATOS PBI Artículos'!B:B)</f>
        <v>0</v>
      </c>
      <c r="C796" s="33">
        <f>_xlfn.XLOOKUP($A796,'[1]DATOS PBI Artículos'!A:A,'[1]DATOS PBI Artículos'!C:C)</f>
        <v>0</v>
      </c>
      <c r="D796" s="33">
        <f>_xlfn.XLOOKUP(A796,'[1]DATOS PBI Artículos'!A:A,'[1]DATOS PBI Artículos'!T:T)</f>
        <v>0</v>
      </c>
      <c r="E796" s="34">
        <f>IF(_xlfn.XLOOKUP($A796,'[1]DATOS PBI Artículos'!A:A,'[1]DATOS PBI Artículos'!AK:AK)="",_xlfn.XLOOKUP($A796,'[1]DATOS PBI Artículos'!A:A,'[1]DATOS PBI Artículos'!AJ:AJ),_xlfn.XLOOKUP($A796,'[1]DATOS PBI Artículos'!A:A,'[1]DATOS PBI Artículos'!AK:AK))</f>
        <v>0</v>
      </c>
      <c r="F796" s="35">
        <f>_xlfn.XLOOKUP($A796,'[1]DATOS PBI Artículos'!A:A,'[1]DATOS PBI Artículos'!AP:AP)</f>
        <v>0</v>
      </c>
      <c r="G796" s="34">
        <f>_xlfn.XLOOKUP($A796,'[1]DATOS PBI Artículos'!A:A,'[1]DATOS PBI Artículos'!AR:AR)</f>
        <v>0</v>
      </c>
      <c r="H796" s="34">
        <f>_xlfn.XLOOKUP($A796,'[1]DATOS PBI Artículos'!A:A,'[1]DATOS PBI Artículos'!AT:AT)</f>
        <v>0</v>
      </c>
      <c r="I796" s="34">
        <f>_xlfn.XLOOKUP($A796,'[1]DATOS PBI Artículos'!A:A,'[1]DATOS PBI Artículos'!AS:AS)</f>
        <v>0</v>
      </c>
      <c r="J796" s="35">
        <f>IF(COUNTIF([1]CRITERIOS!$F$179:$F$199,$A796)&gt;=1,
 IF(O796&lt;&gt;"",
    (O796/_xlfn.XLOOKUP(CONCATENATE(A796,L796),[1]MÁQUINAS!A:A,[1]MÁQUINAS!D:D))/24,
    (N796/_xlfn.XLOOKUP(CONCATENATE(A796,L796),[1]MÁQUINAS!A:A,[1]MÁQUINAS!D:D))/24),
  _xlfn.XLOOKUP($A796,'[1]DATOS PBI Artículos'!A:A,'[1]DATOS PBI Artículos'!AU:AU))</f>
        <v>0</v>
      </c>
      <c r="K796" s="36">
        <f>_xlfn.XLOOKUP($A796,'[1]DATOS PBI Artículos'!A:A,'[1]DATOS PBI Artículos'!AV:AV)</f>
        <v>0</v>
      </c>
      <c r="L796" s="33">
        <f>_xlfn.XLOOKUP(A796,[1]MÁQUINAS!B:B,[1]MÁQUINAS!C:C)</f>
        <v>0</v>
      </c>
      <c r="M796" s="34">
        <f t="array" ref="M796">_xlfn.XLOOKUP(A796,'[1]DATOS PBI Artículos'!A:A,'[1]DATOS PBI Artículos'!AX:$AX)</f>
        <v>0</v>
      </c>
      <c r="N796" s="37" t="e">
        <f>IF(I796="DV",
E796,
IF(COUNTIF([1]CRITERIOS!$I$179:$I$199,$A796)&gt;=1,
_xlfn.XLOOKUP($A796,[1]CRITERIOS!$I$179:$I$199,[1]CRITERIOS!$J$179:$J$199),
IF(COUNTIF([1]CRITERIOS!$L$179:$L$199,$A796)&gt;=1,
_xlfn.CEILING.MATH(IF($M796&gt;$E796,
$E796,
IF($M796&lt;$E796/ROUNDDOWN([1]CRITERIOS!$M$16/_xlfn.XLOOKUP($C796,[1]CRITERIOS!$K$25:$K$42,[1]CRITERIOS!$M$25:$M$42),
1),
E796/ROUNDDOWN([1]CRITERIOS!$M$16/_xlfn.XLOOKUP($C796,[1]CRITERIOS!$K$25:$K$42,[1]CRITERIOS!$M$25:$M$42),
1),
$M796)),
_xlfn.XLOOKUP($A796,[1]CRITERIOS!$L$179:$L$200,[1]CRITERIOS!$M$179:$M$200)),
_xlfn.CEILING.MATH(IF($M796&gt;$E796,
$E796,
IF($M796&lt;$E796/ROUNDDOWN([1]CRITERIOS!$M$16/_xlfn.XLOOKUP($C796,[1]CRITERIOS!$K$25:$K$42,[1]CRITERIOS!$M$25:$M$42),
1),
E796/ROUNDDOWN([1]CRITERIOS!$M$16/_xlfn.XLOOKUP($C796,[1]CRITERIOS!$K$25:$K$42,[1]CRITERIOS!$M$25:$M$42),
1),
$M796)),_xlfn.XLOOKUP(A796,'[1]DATOS PBI Artículos'!A:A,'[1]DATOS PBI Artículos'!Z:Z
)))))</f>
        <v>#N/A</v>
      </c>
      <c r="Q796" s="38" t="e">
        <f>IF(AND(O796="",N796=0),
0,
   IF(COUNTIF([1]CRITERIOS!$F$179:$F$199,$A796)&gt;=1,
   1,
   IF(R796="MTO",
      $D796,
      ROUNDUP(
                    IF(($E796-SUMIF('[1]DATOS PBI Artículos'!A:A,A796,'[1]DATOS PBI Artículos'!X:X)+($V796-_xlfn.XLOOKUP(A796,'[1]DATOS PBI Artículos'!A:A,'[1]DATOS PBI Artículos'!W:W)))&lt;0,
                    0,
                    IF(($E796-SUMIF('[1]DATOS PBI Artículos'!A:A,A796,'[1]DATOS PBI Artículos'!X:X)+$V796-_xlfn.XLOOKUP($A796,'[1]DATOS PBI Artículos'!A:A,'[1]DATOS PBI Artículos'!W:W))/IF($O796="",$N796,$O796)&gt;ROUNDUP([1]CRITERIOS!$M$16/(IF(COUNTIF([1]CRITERIOS!$BG$11:$BG$201,L796)&gt;=1,_xlfn.XLOOKUP($C796,[1]CRITERIOS!$K$25:$K$42,[1]CRITERIOS!$M$25:$M$42),_xlfn.XLOOKUP($C796,[1]CRITERIOS!$K$25:$K$42,[1]CRITERIOS!$M$25:$M$42))),0),
                    ROUNDUP([1]CRITERIOS!$M$16/(IF(COUNTIF([1]CRITERIOS!$BG$11:$BG$201,$L796)&gt;=1,_xlfn.XLOOKUP($C796,[1]CRITERIOS!$K$25:$K$42,[1]CRITERIOS!$M$25:$M$42),_xlfn.XLOOKUP($C796,[1]CRITERIOS!$K$25:$K$42,[1]CRITERIOS!$M$25:$M$42))),0),
                    (E796+V796-SUMIF('[1]DATOS PBI Artículos'!A:A,A796,'[1]DATOS PBI Artículos'!X:X)-_xlfn.XLOOKUP(A796,'[1]DATOS PBI Artículos'!A:A,'[1]DATOS PBI Artículos'!W:W))/IF($O796="",$N796,$O796))),0))))</f>
        <v>#N/A</v>
      </c>
      <c r="R796" s="33" t="e">
        <f>IF(U796&lt;&gt;"",U796,IF(F796="DV","MTO",IF(N796=0,"MTO",_xlfn.XLOOKUP(CONCATENATE(S796,T796),[1]CRITERIOS!$K$160:$K$168,[1]CRITERIOS!$N$160:$N$168))))</f>
        <v>#N/A</v>
      </c>
      <c r="S796" s="33" t="e">
        <f>IF(G796="DV","MTO",IF(N796=0,"MTO",IF(OR(AND(N796=0,O796=""),IF(O796="",G796/N796,G796/O796)&gt;[1]CRITERIOS!$G$163),"MTO",IF(IF(O796="",G796/N796,G796/O796)&lt;[1]CRITERIOS!$H$161,"MTS","MTOS"))))</f>
        <v>#N/A</v>
      </c>
      <c r="T796" s="33" t="e">
        <f>IF(F796="DV","MTO",IF(OR(AND($N796=0,O796=""),$F796/$J796&gt;[1]CRITERIOS!$G$170,$F796="DV"),"MTO",IF($F796/$J796&lt;[1]CRITERIOS!$H$168,"MTS","MTOS")))</f>
        <v>#N/A</v>
      </c>
      <c r="V796" s="34" t="e">
        <f t="shared" si="40"/>
        <v>#N/A</v>
      </c>
      <c r="X796" s="34" t="e">
        <f t="shared" si="38"/>
        <v>#N/A</v>
      </c>
      <c r="Y796" s="34" t="e">
        <f t="shared" si="39"/>
        <v>#N/A</v>
      </c>
      <c r="Z796" s="34" t="e">
        <f>IF($R796="MTO",
0,
($H796+$K796*($E796/[1]CRITERIOS!$M$16))/[1]CRITERIOS!$X$48)</f>
        <v>#N/A</v>
      </c>
      <c r="AA796" s="34" t="e">
        <f>ROUNDUP(($Y796/_xlfn.XLOOKUP($A796,'[1]DATOS PBI Artículos'!$A$4:$A$4,'[1]DATOS PBI Artículos'!$Z$4:$Z$4))/_xlfn.XLOOKUP(_xlfn.XLOOKUP($A796,'[1]DATOS PBI Artículos'!$A$4:$A$4,'[1]DATOS PBI Artículos'!$Y$4:$Y$4),[1]CRITERIOS!$P$79:$P$123,[1]CRITERIOS!$S$79:$S$123,),0)</f>
        <v>#N/A</v>
      </c>
      <c r="AC796" s="33" t="e">
        <f>IF(N796=0,"",(ROUNDUP((N796/2)/(_xlfn.XLOOKUP(A796,'[1]DATOS PBI Artículos'!$A$4:$A$4,'[1]DATOS PBI Artículos'!$Z$4:$Z$4)*_xlfn.XLOOKUP(_xlfn.XLOOKUP(A796,'[1]DATOS PBI Artículos'!$A$4:$A$4,'[1]DATOS PBI Artículos'!$Y$4:$Y$4),[1]CRITERIOS!$P$79:$P$123,[1]CRITERIOS!$S$79:$S$123)),0)*[1]CRITERIOS!$M$80*([1]CRITERIOS!$M$110/[1]CRITERIOS!$M$86)+(_xlfn.XLOOKUP(A796,'[1]DATOS PBI Artículos'!$A$4:$A$4,'[1]DATOS PBI Artículos'!$AA$4:$AA$4)*([1]CRITERIOS!$M$95+[1]CRITERIOS!$M$98)))/N796)</f>
        <v>#N/A</v>
      </c>
      <c r="AD796" s="33" t="e">
        <f>IF(N796=0,"",(ROUNDUP((N796/2)/(_xlfn.XLOOKUP(A796,'[1]DATOS PBI Artículos'!$A$4:$A$4,'[1]DATOS PBI Artículos'!$Z$4:$Z$4)*_xlfn.XLOOKUP(_xlfn.XLOOKUP(A796,'[1]DATOS PBI Artículos'!$A$4:$A$4,'[1]DATOS PBI Artículos'!$Y$4:$Y$4),[1]CRITERIOS!$P$79:$P$123,[1]CRITERIOS!$S$79:$S$123)),0)*[1]CRITERIOS!$M$80*([1]CRITERIOS!$M$89*[1]CRITERIOS!$M$92)+((_xlfn.XLOOKUP(A796,'[1]DATOS PBI Artículos'!$A$4:$A$4,'[1]DATOS PBI Artículos'!$AA$4:$AA$4)/2)*([1]CRITERIOS!$M$95+[1]CRITERIOS!$M$98)))/N796)</f>
        <v>#N/A</v>
      </c>
      <c r="AE796" s="39" t="e">
        <f>IF($R796="MTO","",
IF($H796=0,ROUNDUP(((_xlfn.XLOOKUP($A796,'[1]DATOS PBI Artículos'!$A:$A,'[1]DATOS PBI Artículos'!$AL:$AL))/(_xlfn.XLOOKUP($AF$1,[1]CRITERIOS!$S$16:$S$39,[1]CRITERIOS!$Y$16:$Y$39))*$J796+$Z796)/$G796,0)*$G796,
((_xlfn.XLOOKUP($A796,'[1]DATOS PBI Artículos'!$A:$A,'[1]DATOS PBI Artículos'!$AL:$AL))/(_xlfn.XLOOKUP($AF$1,[1]CRITERIOS!$S$16:$S$39,[1]CRITERIOS!$Y$16:$Y$39))*$J796+$Z796)))</f>
        <v>#N/A</v>
      </c>
      <c r="AG796" s="39" t="e">
        <f>IF($R796="MTO","",
IF($H796=0,ROUNDUP(((_xlfn.XLOOKUP($A796,'[1]DATOS PBI Artículos'!$A:$A,'[1]DATOS PBI Artículos'!$AM:$AM))/(_xlfn.XLOOKUP($AH$1,[1]CRITERIOS!$S$16:$S$39,[1]CRITERIOS!$Y$16:$Y$39))*$J796+$Z796)/$G796,0)*$G796,
((_xlfn.XLOOKUP($A796,'[1]DATOS PBI Artículos'!$A:$A,'[1]DATOS PBI Artículos'!$AM:$AM))/(_xlfn.XLOOKUP($AH$1,[1]CRITERIOS!$S$16:$S$39,[1]CRITERIOS!$Y$16:$Y$39))*$J796+$Z796)))</f>
        <v>#N/A</v>
      </c>
      <c r="AI796" s="39" t="e">
        <f>IF($R796="MTO","",
IF($H796=0,ROUNDUP(((_xlfn.XLOOKUP($A796,'[1]DATOS PBI Artículos'!$A:$A,'[1]DATOS PBI Artículos'!$AN:$AN))/(_xlfn.XLOOKUP($AJ$1,[1]CRITERIOS!$S$16:$S$39,[1]CRITERIOS!$Y$16:$Y$39))*$J796+$Z796)/$G796,0)*$G796,
((_xlfn.XLOOKUP($A796,'[1]DATOS PBI Artículos'!$A:$A,'[1]DATOS PBI Artículos'!$AN:$AN))/(_xlfn.XLOOKUP($AJ$1,[1]CRITERIOS!$S$16:$S$39,[1]CRITERIOS!$Y$16:$Y$39))*$J796+$Z796)))</f>
        <v>#N/A</v>
      </c>
      <c r="AK796" s="39" t="e">
        <f>IF($R796="MTO","",
IF($H796=0,ROUNDUP(((_xlfn.XLOOKUP($A796,'[1]DATOS PBI Artículos'!$A:$A,'[1]DATOS PBI Artículos'!$AO:$AO))/(_xlfn.XLOOKUP($AL$1,[1]CRITERIOS!$S$16:$S$39,[1]CRITERIOS!$Y$16:$Y$39))*$J796+$Z796)/$G796,0)*$G796,
((_xlfn.XLOOKUP($A796,'[1]DATOS PBI Artículos'!$A:$A,'[1]DATOS PBI Artículos'!$AO:$AO))/(_xlfn.XLOOKUP($AL$1,[1]CRITERIOS!$S$16:$S$39,[1]CRITERIOS!$Y$16:$Y$39))*$J796+$Z796)))</f>
        <v>#N/A</v>
      </c>
    </row>
    <row r="797" spans="1:37" ht="25.8" hidden="1" x14ac:dyDescent="0.4">
      <c r="A797" s="41"/>
      <c r="B797" s="33">
        <f>_xlfn.XLOOKUP($A797,'[1]DATOS PBI Artículos'!A:A,'[1]DATOS PBI Artículos'!B:B)</f>
        <v>0</v>
      </c>
      <c r="C797" s="33">
        <f>_xlfn.XLOOKUP($A797,'[1]DATOS PBI Artículos'!A:A,'[1]DATOS PBI Artículos'!C:C)</f>
        <v>0</v>
      </c>
      <c r="D797" s="33">
        <f>_xlfn.XLOOKUP(A797,'[1]DATOS PBI Artículos'!A:A,'[1]DATOS PBI Artículos'!T:T)</f>
        <v>0</v>
      </c>
      <c r="E797" s="34">
        <f>IF(_xlfn.XLOOKUP($A797,'[1]DATOS PBI Artículos'!A:A,'[1]DATOS PBI Artículos'!AK:AK)="",_xlfn.XLOOKUP($A797,'[1]DATOS PBI Artículos'!A:A,'[1]DATOS PBI Artículos'!AJ:AJ),_xlfn.XLOOKUP($A797,'[1]DATOS PBI Artículos'!A:A,'[1]DATOS PBI Artículos'!AK:AK))</f>
        <v>0</v>
      </c>
      <c r="F797" s="35">
        <f>_xlfn.XLOOKUP($A797,'[1]DATOS PBI Artículos'!A:A,'[1]DATOS PBI Artículos'!AP:AP)</f>
        <v>0</v>
      </c>
      <c r="G797" s="34">
        <f>_xlfn.XLOOKUP($A797,'[1]DATOS PBI Artículos'!A:A,'[1]DATOS PBI Artículos'!AR:AR)</f>
        <v>0</v>
      </c>
      <c r="H797" s="34">
        <f>_xlfn.XLOOKUP($A797,'[1]DATOS PBI Artículos'!A:A,'[1]DATOS PBI Artículos'!AT:AT)</f>
        <v>0</v>
      </c>
      <c r="I797" s="34">
        <f>_xlfn.XLOOKUP($A797,'[1]DATOS PBI Artículos'!A:A,'[1]DATOS PBI Artículos'!AS:AS)</f>
        <v>0</v>
      </c>
      <c r="J797" s="35">
        <f>IF(COUNTIF([1]CRITERIOS!$F$179:$F$199,$A797)&gt;=1,
 IF(O797&lt;&gt;"",
    (O797/_xlfn.XLOOKUP(CONCATENATE(A797,L797),[1]MÁQUINAS!A:A,[1]MÁQUINAS!D:D))/24,
    (N797/_xlfn.XLOOKUP(CONCATENATE(A797,L797),[1]MÁQUINAS!A:A,[1]MÁQUINAS!D:D))/24),
  _xlfn.XLOOKUP($A797,'[1]DATOS PBI Artículos'!A:A,'[1]DATOS PBI Artículos'!AU:AU))</f>
        <v>0</v>
      </c>
      <c r="K797" s="36">
        <f>_xlfn.XLOOKUP($A797,'[1]DATOS PBI Artículos'!A:A,'[1]DATOS PBI Artículos'!AV:AV)</f>
        <v>0</v>
      </c>
      <c r="L797" s="33">
        <f>_xlfn.XLOOKUP(A797,[1]MÁQUINAS!B:B,[1]MÁQUINAS!C:C)</f>
        <v>0</v>
      </c>
      <c r="M797" s="34">
        <f t="array" ref="M797">_xlfn.XLOOKUP(A797,'[1]DATOS PBI Artículos'!A:A,'[1]DATOS PBI Artículos'!AX:$AX)</f>
        <v>0</v>
      </c>
      <c r="N797" s="37" t="e">
        <f>IF(I797="DV",
E797,
IF(COUNTIF([1]CRITERIOS!$I$179:$I$199,$A797)&gt;=1,
_xlfn.XLOOKUP($A797,[1]CRITERIOS!$I$179:$I$199,[1]CRITERIOS!$J$179:$J$199),
IF(COUNTIF([1]CRITERIOS!$L$179:$L$199,$A797)&gt;=1,
_xlfn.CEILING.MATH(IF($M797&gt;$E797,
$E797,
IF($M797&lt;$E797/ROUNDDOWN([1]CRITERIOS!$M$16/_xlfn.XLOOKUP($C797,[1]CRITERIOS!$K$25:$K$42,[1]CRITERIOS!$M$25:$M$42),
1),
E797/ROUNDDOWN([1]CRITERIOS!$M$16/_xlfn.XLOOKUP($C797,[1]CRITERIOS!$K$25:$K$42,[1]CRITERIOS!$M$25:$M$42),
1),
$M797)),
_xlfn.XLOOKUP($A797,[1]CRITERIOS!$L$179:$L$200,[1]CRITERIOS!$M$179:$M$200)),
_xlfn.CEILING.MATH(IF($M797&gt;$E797,
$E797,
IF($M797&lt;$E797/ROUNDDOWN([1]CRITERIOS!$M$16/_xlfn.XLOOKUP($C797,[1]CRITERIOS!$K$25:$K$42,[1]CRITERIOS!$M$25:$M$42),
1),
E797/ROUNDDOWN([1]CRITERIOS!$M$16/_xlfn.XLOOKUP($C797,[1]CRITERIOS!$K$25:$K$42,[1]CRITERIOS!$M$25:$M$42),
1),
$M797)),_xlfn.XLOOKUP(A797,'[1]DATOS PBI Artículos'!A:A,'[1]DATOS PBI Artículos'!Z:Z
)))))</f>
        <v>#N/A</v>
      </c>
      <c r="Q797" s="38" t="e">
        <f>IF(AND(O797="",N797=0),
0,
   IF(COUNTIF([1]CRITERIOS!$F$179:$F$199,$A797)&gt;=1,
   1,
   IF(R797="MTO",
      $D797,
      ROUNDUP(
                    IF(($E797-SUMIF('[1]DATOS PBI Artículos'!A:A,A797,'[1]DATOS PBI Artículos'!X:X)+($V797-_xlfn.XLOOKUP(A797,'[1]DATOS PBI Artículos'!A:A,'[1]DATOS PBI Artículos'!W:W)))&lt;0,
                    0,
                    IF(($E797-SUMIF('[1]DATOS PBI Artículos'!A:A,A797,'[1]DATOS PBI Artículos'!X:X)+$V797-_xlfn.XLOOKUP($A797,'[1]DATOS PBI Artículos'!A:A,'[1]DATOS PBI Artículos'!W:W))/IF($O797="",$N797,$O797)&gt;ROUNDUP([1]CRITERIOS!$M$16/(IF(COUNTIF([1]CRITERIOS!$BG$11:$BG$201,L797)&gt;=1,_xlfn.XLOOKUP($C797,[1]CRITERIOS!$K$25:$K$42,[1]CRITERIOS!$M$25:$M$42),_xlfn.XLOOKUP($C797,[1]CRITERIOS!$K$25:$K$42,[1]CRITERIOS!$M$25:$M$42))),0),
                    ROUNDUP([1]CRITERIOS!$M$16/(IF(COUNTIF([1]CRITERIOS!$BG$11:$BG$201,$L797)&gt;=1,_xlfn.XLOOKUP($C797,[1]CRITERIOS!$K$25:$K$42,[1]CRITERIOS!$M$25:$M$42),_xlfn.XLOOKUP($C797,[1]CRITERIOS!$K$25:$K$42,[1]CRITERIOS!$M$25:$M$42))),0),
                    (E797+V797-SUMIF('[1]DATOS PBI Artículos'!A:A,A797,'[1]DATOS PBI Artículos'!X:X)-_xlfn.XLOOKUP(A797,'[1]DATOS PBI Artículos'!A:A,'[1]DATOS PBI Artículos'!W:W))/IF($O797="",$N797,$O797))),0))))</f>
        <v>#N/A</v>
      </c>
      <c r="R797" s="33" t="e">
        <f>IF(U797&lt;&gt;"",U797,IF(F797="DV","MTO",IF(N797=0,"MTO",_xlfn.XLOOKUP(CONCATENATE(S797,T797),[1]CRITERIOS!$K$160:$K$168,[1]CRITERIOS!$N$160:$N$168))))</f>
        <v>#N/A</v>
      </c>
      <c r="S797" s="33" t="e">
        <f>IF(G797="DV","MTO",IF(N797=0,"MTO",IF(OR(AND(N797=0,O797=""),IF(O797="",G797/N797,G797/O797)&gt;[1]CRITERIOS!$G$163),"MTO",IF(IF(O797="",G797/N797,G797/O797)&lt;[1]CRITERIOS!$H$161,"MTS","MTOS"))))</f>
        <v>#N/A</v>
      </c>
      <c r="T797" s="33" t="e">
        <f>IF(F797="DV","MTO",IF(OR(AND($N797=0,O797=""),$F797/$J797&gt;[1]CRITERIOS!$G$170,$F797="DV"),"MTO",IF($F797/$J797&lt;[1]CRITERIOS!$H$168,"MTS","MTOS")))</f>
        <v>#N/A</v>
      </c>
      <c r="V797" s="34" t="e">
        <f t="shared" si="40"/>
        <v>#N/A</v>
      </c>
      <c r="X797" s="34" t="e">
        <f t="shared" si="38"/>
        <v>#N/A</v>
      </c>
      <c r="Y797" s="34" t="e">
        <f t="shared" si="39"/>
        <v>#N/A</v>
      </c>
      <c r="Z797" s="34" t="e">
        <f>IF($R797="MTO",
0,
($H797+$K797*($E797/[1]CRITERIOS!$M$16))/[1]CRITERIOS!$X$48)</f>
        <v>#N/A</v>
      </c>
      <c r="AA797" s="34" t="e">
        <f>ROUNDUP(($Y797/_xlfn.XLOOKUP($A797,'[1]DATOS PBI Artículos'!$A$4:$A$4,'[1]DATOS PBI Artículos'!$Z$4:$Z$4))/_xlfn.XLOOKUP(_xlfn.XLOOKUP($A797,'[1]DATOS PBI Artículos'!$A$4:$A$4,'[1]DATOS PBI Artículos'!$Y$4:$Y$4),[1]CRITERIOS!$P$79:$P$123,[1]CRITERIOS!$S$79:$S$123,),0)</f>
        <v>#N/A</v>
      </c>
      <c r="AC797" s="33" t="e">
        <f>IF(N797=0,"",(ROUNDUP((N797/2)/(_xlfn.XLOOKUP(A797,'[1]DATOS PBI Artículos'!$A$4:$A$4,'[1]DATOS PBI Artículos'!$Z$4:$Z$4)*_xlfn.XLOOKUP(_xlfn.XLOOKUP(A797,'[1]DATOS PBI Artículos'!$A$4:$A$4,'[1]DATOS PBI Artículos'!$Y$4:$Y$4),[1]CRITERIOS!$P$79:$P$123,[1]CRITERIOS!$S$79:$S$123)),0)*[1]CRITERIOS!$M$80*([1]CRITERIOS!$M$110/[1]CRITERIOS!$M$86)+(_xlfn.XLOOKUP(A797,'[1]DATOS PBI Artículos'!$A$4:$A$4,'[1]DATOS PBI Artículos'!$AA$4:$AA$4)*([1]CRITERIOS!$M$95+[1]CRITERIOS!$M$98)))/N797)</f>
        <v>#N/A</v>
      </c>
      <c r="AD797" s="33" t="e">
        <f>IF(N797=0,"",(ROUNDUP((N797/2)/(_xlfn.XLOOKUP(A797,'[1]DATOS PBI Artículos'!$A$4:$A$4,'[1]DATOS PBI Artículos'!$Z$4:$Z$4)*_xlfn.XLOOKUP(_xlfn.XLOOKUP(A797,'[1]DATOS PBI Artículos'!$A$4:$A$4,'[1]DATOS PBI Artículos'!$Y$4:$Y$4),[1]CRITERIOS!$P$79:$P$123,[1]CRITERIOS!$S$79:$S$123)),0)*[1]CRITERIOS!$M$80*([1]CRITERIOS!$M$89*[1]CRITERIOS!$M$92)+((_xlfn.XLOOKUP(A797,'[1]DATOS PBI Artículos'!$A$4:$A$4,'[1]DATOS PBI Artículos'!$AA$4:$AA$4)/2)*([1]CRITERIOS!$M$95+[1]CRITERIOS!$M$98)))/N797)</f>
        <v>#N/A</v>
      </c>
      <c r="AE797" s="39" t="e">
        <f>IF($R797="MTO","",
IF($H797=0,ROUNDUP(((_xlfn.XLOOKUP($A797,'[1]DATOS PBI Artículos'!$A:$A,'[1]DATOS PBI Artículos'!$AL:$AL))/(_xlfn.XLOOKUP($AF$1,[1]CRITERIOS!$S$16:$S$39,[1]CRITERIOS!$Y$16:$Y$39))*$J797+$Z797)/$G797,0)*$G797,
((_xlfn.XLOOKUP($A797,'[1]DATOS PBI Artículos'!$A:$A,'[1]DATOS PBI Artículos'!$AL:$AL))/(_xlfn.XLOOKUP($AF$1,[1]CRITERIOS!$S$16:$S$39,[1]CRITERIOS!$Y$16:$Y$39))*$J797+$Z797)))</f>
        <v>#N/A</v>
      </c>
      <c r="AG797" s="39" t="e">
        <f>IF($R797="MTO","",
IF($H797=0,ROUNDUP(((_xlfn.XLOOKUP($A797,'[1]DATOS PBI Artículos'!$A:$A,'[1]DATOS PBI Artículos'!$AM:$AM))/(_xlfn.XLOOKUP($AH$1,[1]CRITERIOS!$S$16:$S$39,[1]CRITERIOS!$Y$16:$Y$39))*$J797+$Z797)/$G797,0)*$G797,
((_xlfn.XLOOKUP($A797,'[1]DATOS PBI Artículos'!$A:$A,'[1]DATOS PBI Artículos'!$AM:$AM))/(_xlfn.XLOOKUP($AH$1,[1]CRITERIOS!$S$16:$S$39,[1]CRITERIOS!$Y$16:$Y$39))*$J797+$Z797)))</f>
        <v>#N/A</v>
      </c>
      <c r="AI797" s="39" t="e">
        <f>IF($R797="MTO","",
IF($H797=0,ROUNDUP(((_xlfn.XLOOKUP($A797,'[1]DATOS PBI Artículos'!$A:$A,'[1]DATOS PBI Artículos'!$AN:$AN))/(_xlfn.XLOOKUP($AJ$1,[1]CRITERIOS!$S$16:$S$39,[1]CRITERIOS!$Y$16:$Y$39))*$J797+$Z797)/$G797,0)*$G797,
((_xlfn.XLOOKUP($A797,'[1]DATOS PBI Artículos'!$A:$A,'[1]DATOS PBI Artículos'!$AN:$AN))/(_xlfn.XLOOKUP($AJ$1,[1]CRITERIOS!$S$16:$S$39,[1]CRITERIOS!$Y$16:$Y$39))*$J797+$Z797)))</f>
        <v>#N/A</v>
      </c>
      <c r="AK797" s="39" t="e">
        <f>IF($R797="MTO","",
IF($H797=0,ROUNDUP(((_xlfn.XLOOKUP($A797,'[1]DATOS PBI Artículos'!$A:$A,'[1]DATOS PBI Artículos'!$AO:$AO))/(_xlfn.XLOOKUP($AL$1,[1]CRITERIOS!$S$16:$S$39,[1]CRITERIOS!$Y$16:$Y$39))*$J797+$Z797)/$G797,0)*$G797,
((_xlfn.XLOOKUP($A797,'[1]DATOS PBI Artículos'!$A:$A,'[1]DATOS PBI Artículos'!$AO:$AO))/(_xlfn.XLOOKUP($AL$1,[1]CRITERIOS!$S$16:$S$39,[1]CRITERIOS!$Y$16:$Y$39))*$J797+$Z797)))</f>
        <v>#N/A</v>
      </c>
    </row>
    <row r="798" spans="1:37" ht="25.8" hidden="1" x14ac:dyDescent="0.4">
      <c r="A798" s="41"/>
      <c r="B798" s="33">
        <f>_xlfn.XLOOKUP($A798,'[1]DATOS PBI Artículos'!A:A,'[1]DATOS PBI Artículos'!B:B)</f>
        <v>0</v>
      </c>
      <c r="C798" s="33">
        <f>_xlfn.XLOOKUP($A798,'[1]DATOS PBI Artículos'!A:A,'[1]DATOS PBI Artículos'!C:C)</f>
        <v>0</v>
      </c>
      <c r="D798" s="33">
        <f>_xlfn.XLOOKUP(A798,'[1]DATOS PBI Artículos'!A:A,'[1]DATOS PBI Artículos'!T:T)</f>
        <v>0</v>
      </c>
      <c r="E798" s="34">
        <f>IF(_xlfn.XLOOKUP($A798,'[1]DATOS PBI Artículos'!A:A,'[1]DATOS PBI Artículos'!AK:AK)="",_xlfn.XLOOKUP($A798,'[1]DATOS PBI Artículos'!A:A,'[1]DATOS PBI Artículos'!AJ:AJ),_xlfn.XLOOKUP($A798,'[1]DATOS PBI Artículos'!A:A,'[1]DATOS PBI Artículos'!AK:AK))</f>
        <v>0</v>
      </c>
      <c r="F798" s="35">
        <f>_xlfn.XLOOKUP($A798,'[1]DATOS PBI Artículos'!A:A,'[1]DATOS PBI Artículos'!AP:AP)</f>
        <v>0</v>
      </c>
      <c r="G798" s="34">
        <f>_xlfn.XLOOKUP($A798,'[1]DATOS PBI Artículos'!A:A,'[1]DATOS PBI Artículos'!AR:AR)</f>
        <v>0</v>
      </c>
      <c r="H798" s="34">
        <f>_xlfn.XLOOKUP($A798,'[1]DATOS PBI Artículos'!A:A,'[1]DATOS PBI Artículos'!AT:AT)</f>
        <v>0</v>
      </c>
      <c r="I798" s="34">
        <f>_xlfn.XLOOKUP($A798,'[1]DATOS PBI Artículos'!A:A,'[1]DATOS PBI Artículos'!AS:AS)</f>
        <v>0</v>
      </c>
      <c r="J798" s="35">
        <f>IF(COUNTIF([1]CRITERIOS!$F$179:$F$199,$A798)&gt;=1,
 IF(O798&lt;&gt;"",
    (O798/_xlfn.XLOOKUP(CONCATENATE(A798,L798),[1]MÁQUINAS!A:A,[1]MÁQUINAS!D:D))/24,
    (N798/_xlfn.XLOOKUP(CONCATENATE(A798,L798),[1]MÁQUINAS!A:A,[1]MÁQUINAS!D:D))/24),
  _xlfn.XLOOKUP($A798,'[1]DATOS PBI Artículos'!A:A,'[1]DATOS PBI Artículos'!AU:AU))</f>
        <v>0</v>
      </c>
      <c r="K798" s="36">
        <f>_xlfn.XLOOKUP($A798,'[1]DATOS PBI Artículos'!A:A,'[1]DATOS PBI Artículos'!AV:AV)</f>
        <v>0</v>
      </c>
      <c r="L798" s="33">
        <f>_xlfn.XLOOKUP(A798,[1]MÁQUINAS!B:B,[1]MÁQUINAS!C:C)</f>
        <v>0</v>
      </c>
      <c r="M798" s="34">
        <f t="array" ref="M798">_xlfn.XLOOKUP(A798,'[1]DATOS PBI Artículos'!A:A,'[1]DATOS PBI Artículos'!AX:$AX)</f>
        <v>0</v>
      </c>
      <c r="N798" s="37" t="e">
        <f>IF(I798="DV",
E798,
IF(COUNTIF([1]CRITERIOS!$I$179:$I$199,$A798)&gt;=1,
_xlfn.XLOOKUP($A798,[1]CRITERIOS!$I$179:$I$199,[1]CRITERIOS!$J$179:$J$199),
IF(COUNTIF([1]CRITERIOS!$L$179:$L$199,$A798)&gt;=1,
_xlfn.CEILING.MATH(IF($M798&gt;$E798,
$E798,
IF($M798&lt;$E798/ROUNDDOWN([1]CRITERIOS!$M$16/_xlfn.XLOOKUP($C798,[1]CRITERIOS!$K$25:$K$42,[1]CRITERIOS!$M$25:$M$42),
1),
E798/ROUNDDOWN([1]CRITERIOS!$M$16/_xlfn.XLOOKUP($C798,[1]CRITERIOS!$K$25:$K$42,[1]CRITERIOS!$M$25:$M$42),
1),
$M798)),
_xlfn.XLOOKUP($A798,[1]CRITERIOS!$L$179:$L$200,[1]CRITERIOS!$M$179:$M$200)),
_xlfn.CEILING.MATH(IF($M798&gt;$E798,
$E798,
IF($M798&lt;$E798/ROUNDDOWN([1]CRITERIOS!$M$16/_xlfn.XLOOKUP($C798,[1]CRITERIOS!$K$25:$K$42,[1]CRITERIOS!$M$25:$M$42),
1),
E798/ROUNDDOWN([1]CRITERIOS!$M$16/_xlfn.XLOOKUP($C798,[1]CRITERIOS!$K$25:$K$42,[1]CRITERIOS!$M$25:$M$42),
1),
$M798)),_xlfn.XLOOKUP(A798,'[1]DATOS PBI Artículos'!A:A,'[1]DATOS PBI Artículos'!Z:Z
)))))</f>
        <v>#N/A</v>
      </c>
      <c r="Q798" s="38" t="e">
        <f>IF(AND(O798="",N798=0),
0,
   IF(COUNTIF([1]CRITERIOS!$F$179:$F$199,$A798)&gt;=1,
   1,
   IF(R798="MTO",
      $D798,
      ROUNDUP(
                    IF(($E798-SUMIF('[1]DATOS PBI Artículos'!A:A,A798,'[1]DATOS PBI Artículos'!X:X)+($V798-_xlfn.XLOOKUP(A798,'[1]DATOS PBI Artículos'!A:A,'[1]DATOS PBI Artículos'!W:W)))&lt;0,
                    0,
                    IF(($E798-SUMIF('[1]DATOS PBI Artículos'!A:A,A798,'[1]DATOS PBI Artículos'!X:X)+$V798-_xlfn.XLOOKUP($A798,'[1]DATOS PBI Artículos'!A:A,'[1]DATOS PBI Artículos'!W:W))/IF($O798="",$N798,$O798)&gt;ROUNDUP([1]CRITERIOS!$M$16/(IF(COUNTIF([1]CRITERIOS!$BG$11:$BG$201,L798)&gt;=1,_xlfn.XLOOKUP($C798,[1]CRITERIOS!$K$25:$K$42,[1]CRITERIOS!$M$25:$M$42),_xlfn.XLOOKUP($C798,[1]CRITERIOS!$K$25:$K$42,[1]CRITERIOS!$M$25:$M$42))),0),
                    ROUNDUP([1]CRITERIOS!$M$16/(IF(COUNTIF([1]CRITERIOS!$BG$11:$BG$201,$L798)&gt;=1,_xlfn.XLOOKUP($C798,[1]CRITERIOS!$K$25:$K$42,[1]CRITERIOS!$M$25:$M$42),_xlfn.XLOOKUP($C798,[1]CRITERIOS!$K$25:$K$42,[1]CRITERIOS!$M$25:$M$42))),0),
                    (E798+V798-SUMIF('[1]DATOS PBI Artículos'!A:A,A798,'[1]DATOS PBI Artículos'!X:X)-_xlfn.XLOOKUP(A798,'[1]DATOS PBI Artículos'!A:A,'[1]DATOS PBI Artículos'!W:W))/IF($O798="",$N798,$O798))),0))))</f>
        <v>#N/A</v>
      </c>
      <c r="R798" s="33" t="e">
        <f>IF(U798&lt;&gt;"",U798,IF(F798="DV","MTO",IF(N798=0,"MTO",_xlfn.XLOOKUP(CONCATENATE(S798,T798),[1]CRITERIOS!$K$160:$K$168,[1]CRITERIOS!$N$160:$N$168))))</f>
        <v>#N/A</v>
      </c>
      <c r="S798" s="33" t="e">
        <f>IF(G798="DV","MTO",IF(N798=0,"MTO",IF(OR(AND(N798=0,O798=""),IF(O798="",G798/N798,G798/O798)&gt;[1]CRITERIOS!$G$163),"MTO",IF(IF(O798="",G798/N798,G798/O798)&lt;[1]CRITERIOS!$H$161,"MTS","MTOS"))))</f>
        <v>#N/A</v>
      </c>
      <c r="T798" s="33" t="e">
        <f>IF(F798="DV","MTO",IF(OR(AND($N798=0,O798=""),$F798/$J798&gt;[1]CRITERIOS!$G$170,$F798="DV"),"MTO",IF($F798/$J798&lt;[1]CRITERIOS!$H$168,"MTS","MTOS")))</f>
        <v>#N/A</v>
      </c>
      <c r="V798" s="34" t="e">
        <f t="shared" si="40"/>
        <v>#N/A</v>
      </c>
      <c r="X798" s="34" t="e">
        <f t="shared" si="38"/>
        <v>#N/A</v>
      </c>
      <c r="Y798" s="34" t="e">
        <f t="shared" si="39"/>
        <v>#N/A</v>
      </c>
      <c r="Z798" s="34" t="e">
        <f>IF($R798="MTO",
0,
($H798+$K798*($E798/[1]CRITERIOS!$M$16))/[1]CRITERIOS!$X$48)</f>
        <v>#N/A</v>
      </c>
      <c r="AA798" s="34" t="e">
        <f>ROUNDUP(($Y798/_xlfn.XLOOKUP($A798,'[1]DATOS PBI Artículos'!$A$4:$A$4,'[1]DATOS PBI Artículos'!$Z$4:$Z$4))/_xlfn.XLOOKUP(_xlfn.XLOOKUP($A798,'[1]DATOS PBI Artículos'!$A$4:$A$4,'[1]DATOS PBI Artículos'!$Y$4:$Y$4),[1]CRITERIOS!$P$79:$P$123,[1]CRITERIOS!$S$79:$S$123,),0)</f>
        <v>#N/A</v>
      </c>
      <c r="AC798" s="33" t="e">
        <f>IF(N798=0,"",(ROUNDUP((N798/2)/(_xlfn.XLOOKUP(A798,'[1]DATOS PBI Artículos'!$A$4:$A$4,'[1]DATOS PBI Artículos'!$Z$4:$Z$4)*_xlfn.XLOOKUP(_xlfn.XLOOKUP(A798,'[1]DATOS PBI Artículos'!$A$4:$A$4,'[1]DATOS PBI Artículos'!$Y$4:$Y$4),[1]CRITERIOS!$P$79:$P$123,[1]CRITERIOS!$S$79:$S$123)),0)*[1]CRITERIOS!$M$80*([1]CRITERIOS!$M$110/[1]CRITERIOS!$M$86)+(_xlfn.XLOOKUP(A798,'[1]DATOS PBI Artículos'!$A$4:$A$4,'[1]DATOS PBI Artículos'!$AA$4:$AA$4)*([1]CRITERIOS!$M$95+[1]CRITERIOS!$M$98)))/N798)</f>
        <v>#N/A</v>
      </c>
      <c r="AD798" s="33" t="e">
        <f>IF(N798=0,"",(ROUNDUP((N798/2)/(_xlfn.XLOOKUP(A798,'[1]DATOS PBI Artículos'!$A$4:$A$4,'[1]DATOS PBI Artículos'!$Z$4:$Z$4)*_xlfn.XLOOKUP(_xlfn.XLOOKUP(A798,'[1]DATOS PBI Artículos'!$A$4:$A$4,'[1]DATOS PBI Artículos'!$Y$4:$Y$4),[1]CRITERIOS!$P$79:$P$123,[1]CRITERIOS!$S$79:$S$123)),0)*[1]CRITERIOS!$M$80*([1]CRITERIOS!$M$89*[1]CRITERIOS!$M$92)+((_xlfn.XLOOKUP(A798,'[1]DATOS PBI Artículos'!$A$4:$A$4,'[1]DATOS PBI Artículos'!$AA$4:$AA$4)/2)*([1]CRITERIOS!$M$95+[1]CRITERIOS!$M$98)))/N798)</f>
        <v>#N/A</v>
      </c>
      <c r="AE798" s="39" t="e">
        <f>IF($R798="MTO","",
IF($H798=0,ROUNDUP(((_xlfn.XLOOKUP($A798,'[1]DATOS PBI Artículos'!$A:$A,'[1]DATOS PBI Artículos'!$AL:$AL))/(_xlfn.XLOOKUP($AF$1,[1]CRITERIOS!$S$16:$S$39,[1]CRITERIOS!$Y$16:$Y$39))*$J798+$Z798)/$G798,0)*$G798,
((_xlfn.XLOOKUP($A798,'[1]DATOS PBI Artículos'!$A:$A,'[1]DATOS PBI Artículos'!$AL:$AL))/(_xlfn.XLOOKUP($AF$1,[1]CRITERIOS!$S$16:$S$39,[1]CRITERIOS!$Y$16:$Y$39))*$J798+$Z798)))</f>
        <v>#N/A</v>
      </c>
      <c r="AG798" s="39" t="e">
        <f>IF($R798="MTO","",
IF($H798=0,ROUNDUP(((_xlfn.XLOOKUP($A798,'[1]DATOS PBI Artículos'!$A:$A,'[1]DATOS PBI Artículos'!$AM:$AM))/(_xlfn.XLOOKUP($AH$1,[1]CRITERIOS!$S$16:$S$39,[1]CRITERIOS!$Y$16:$Y$39))*$J798+$Z798)/$G798,0)*$G798,
((_xlfn.XLOOKUP($A798,'[1]DATOS PBI Artículos'!$A:$A,'[1]DATOS PBI Artículos'!$AM:$AM))/(_xlfn.XLOOKUP($AH$1,[1]CRITERIOS!$S$16:$S$39,[1]CRITERIOS!$Y$16:$Y$39))*$J798+$Z798)))</f>
        <v>#N/A</v>
      </c>
      <c r="AI798" s="39" t="e">
        <f>IF($R798="MTO","",
IF($H798=0,ROUNDUP(((_xlfn.XLOOKUP($A798,'[1]DATOS PBI Artículos'!$A:$A,'[1]DATOS PBI Artículos'!$AN:$AN))/(_xlfn.XLOOKUP($AJ$1,[1]CRITERIOS!$S$16:$S$39,[1]CRITERIOS!$Y$16:$Y$39))*$J798+$Z798)/$G798,0)*$G798,
((_xlfn.XLOOKUP($A798,'[1]DATOS PBI Artículos'!$A:$A,'[1]DATOS PBI Artículos'!$AN:$AN))/(_xlfn.XLOOKUP($AJ$1,[1]CRITERIOS!$S$16:$S$39,[1]CRITERIOS!$Y$16:$Y$39))*$J798+$Z798)))</f>
        <v>#N/A</v>
      </c>
      <c r="AK798" s="39" t="e">
        <f>IF($R798="MTO","",
IF($H798=0,ROUNDUP(((_xlfn.XLOOKUP($A798,'[1]DATOS PBI Artículos'!$A:$A,'[1]DATOS PBI Artículos'!$AO:$AO))/(_xlfn.XLOOKUP($AL$1,[1]CRITERIOS!$S$16:$S$39,[1]CRITERIOS!$Y$16:$Y$39))*$J798+$Z798)/$G798,0)*$G798,
((_xlfn.XLOOKUP($A798,'[1]DATOS PBI Artículos'!$A:$A,'[1]DATOS PBI Artículos'!$AO:$AO))/(_xlfn.XLOOKUP($AL$1,[1]CRITERIOS!$S$16:$S$39,[1]CRITERIOS!$Y$16:$Y$39))*$J798+$Z798)))</f>
        <v>#N/A</v>
      </c>
    </row>
    <row r="799" spans="1:37" ht="25.8" hidden="1" x14ac:dyDescent="0.4">
      <c r="A799" s="41"/>
      <c r="B799" s="33">
        <f>_xlfn.XLOOKUP($A799,'[1]DATOS PBI Artículos'!A:A,'[1]DATOS PBI Artículos'!B:B)</f>
        <v>0</v>
      </c>
      <c r="C799" s="33">
        <f>_xlfn.XLOOKUP($A799,'[1]DATOS PBI Artículos'!A:A,'[1]DATOS PBI Artículos'!C:C)</f>
        <v>0</v>
      </c>
      <c r="D799" s="33">
        <f>_xlfn.XLOOKUP(A799,'[1]DATOS PBI Artículos'!A:A,'[1]DATOS PBI Artículos'!T:T)</f>
        <v>0</v>
      </c>
      <c r="E799" s="34">
        <f>IF(_xlfn.XLOOKUP($A799,'[1]DATOS PBI Artículos'!A:A,'[1]DATOS PBI Artículos'!AK:AK)="",_xlfn.XLOOKUP($A799,'[1]DATOS PBI Artículos'!A:A,'[1]DATOS PBI Artículos'!AJ:AJ),_xlfn.XLOOKUP($A799,'[1]DATOS PBI Artículos'!A:A,'[1]DATOS PBI Artículos'!AK:AK))</f>
        <v>0</v>
      </c>
      <c r="F799" s="35">
        <f>_xlfn.XLOOKUP($A799,'[1]DATOS PBI Artículos'!A:A,'[1]DATOS PBI Artículos'!AP:AP)</f>
        <v>0</v>
      </c>
      <c r="G799" s="34">
        <f>_xlfn.XLOOKUP($A799,'[1]DATOS PBI Artículos'!A:A,'[1]DATOS PBI Artículos'!AR:AR)</f>
        <v>0</v>
      </c>
      <c r="H799" s="34">
        <f>_xlfn.XLOOKUP($A799,'[1]DATOS PBI Artículos'!A:A,'[1]DATOS PBI Artículos'!AT:AT)</f>
        <v>0</v>
      </c>
      <c r="I799" s="34">
        <f>_xlfn.XLOOKUP($A799,'[1]DATOS PBI Artículos'!A:A,'[1]DATOS PBI Artículos'!AS:AS)</f>
        <v>0</v>
      </c>
      <c r="J799" s="35">
        <f>IF(COUNTIF([1]CRITERIOS!$F$179:$F$199,$A799)&gt;=1,
 IF(O799&lt;&gt;"",
    (O799/_xlfn.XLOOKUP(CONCATENATE(A799,L799),[1]MÁQUINAS!A:A,[1]MÁQUINAS!D:D))/24,
    (N799/_xlfn.XLOOKUP(CONCATENATE(A799,L799),[1]MÁQUINAS!A:A,[1]MÁQUINAS!D:D))/24),
  _xlfn.XLOOKUP($A799,'[1]DATOS PBI Artículos'!A:A,'[1]DATOS PBI Artículos'!AU:AU))</f>
        <v>0</v>
      </c>
      <c r="K799" s="36">
        <f>_xlfn.XLOOKUP($A799,'[1]DATOS PBI Artículos'!A:A,'[1]DATOS PBI Artículos'!AV:AV)</f>
        <v>0</v>
      </c>
      <c r="L799" s="33">
        <f>_xlfn.XLOOKUP(A799,[1]MÁQUINAS!B:B,[1]MÁQUINAS!C:C)</f>
        <v>0</v>
      </c>
      <c r="M799" s="34">
        <f t="array" ref="M799">_xlfn.XLOOKUP(A799,'[1]DATOS PBI Artículos'!A:A,'[1]DATOS PBI Artículos'!AX:$AX)</f>
        <v>0</v>
      </c>
      <c r="N799" s="37" t="e">
        <f>IF(I799="DV",
E799,
IF(COUNTIF([1]CRITERIOS!$I$179:$I$199,$A799)&gt;=1,
_xlfn.XLOOKUP($A799,[1]CRITERIOS!$I$179:$I$199,[1]CRITERIOS!$J$179:$J$199),
IF(COUNTIF([1]CRITERIOS!$L$179:$L$199,$A799)&gt;=1,
_xlfn.CEILING.MATH(IF($M799&gt;$E799,
$E799,
IF($M799&lt;$E799/ROUNDDOWN([1]CRITERIOS!$M$16/_xlfn.XLOOKUP($C799,[1]CRITERIOS!$K$25:$K$42,[1]CRITERIOS!$M$25:$M$42),
1),
E799/ROUNDDOWN([1]CRITERIOS!$M$16/_xlfn.XLOOKUP($C799,[1]CRITERIOS!$K$25:$K$42,[1]CRITERIOS!$M$25:$M$42),
1),
$M799)),
_xlfn.XLOOKUP($A799,[1]CRITERIOS!$L$179:$L$200,[1]CRITERIOS!$M$179:$M$200)),
_xlfn.CEILING.MATH(IF($M799&gt;$E799,
$E799,
IF($M799&lt;$E799/ROUNDDOWN([1]CRITERIOS!$M$16/_xlfn.XLOOKUP($C799,[1]CRITERIOS!$K$25:$K$42,[1]CRITERIOS!$M$25:$M$42),
1),
E799/ROUNDDOWN([1]CRITERIOS!$M$16/_xlfn.XLOOKUP($C799,[1]CRITERIOS!$K$25:$K$42,[1]CRITERIOS!$M$25:$M$42),
1),
$M799)),_xlfn.XLOOKUP(A799,'[1]DATOS PBI Artículos'!A:A,'[1]DATOS PBI Artículos'!Z:Z
)))))</f>
        <v>#N/A</v>
      </c>
      <c r="Q799" s="38" t="e">
        <f>IF(AND(O799="",N799=0),
0,
   IF(COUNTIF([1]CRITERIOS!$F$179:$F$199,$A799)&gt;=1,
   1,
   IF(R799="MTO",
      $D799,
      ROUNDUP(
                    IF(($E799-SUMIF('[1]DATOS PBI Artículos'!A:A,A799,'[1]DATOS PBI Artículos'!X:X)+($V799-_xlfn.XLOOKUP(A799,'[1]DATOS PBI Artículos'!A:A,'[1]DATOS PBI Artículos'!W:W)))&lt;0,
                    0,
                    IF(($E799-SUMIF('[1]DATOS PBI Artículos'!A:A,A799,'[1]DATOS PBI Artículos'!X:X)+$V799-_xlfn.XLOOKUP($A799,'[1]DATOS PBI Artículos'!A:A,'[1]DATOS PBI Artículos'!W:W))/IF($O799="",$N799,$O799)&gt;ROUNDUP([1]CRITERIOS!$M$16/(IF(COUNTIF([1]CRITERIOS!$BG$11:$BG$201,L799)&gt;=1,_xlfn.XLOOKUP($C799,[1]CRITERIOS!$K$25:$K$42,[1]CRITERIOS!$M$25:$M$42),_xlfn.XLOOKUP($C799,[1]CRITERIOS!$K$25:$K$42,[1]CRITERIOS!$M$25:$M$42))),0),
                    ROUNDUP([1]CRITERIOS!$M$16/(IF(COUNTIF([1]CRITERIOS!$BG$11:$BG$201,$L799)&gt;=1,_xlfn.XLOOKUP($C799,[1]CRITERIOS!$K$25:$K$42,[1]CRITERIOS!$M$25:$M$42),_xlfn.XLOOKUP($C799,[1]CRITERIOS!$K$25:$K$42,[1]CRITERIOS!$M$25:$M$42))),0),
                    (E799+V799-SUMIF('[1]DATOS PBI Artículos'!A:A,A799,'[1]DATOS PBI Artículos'!X:X)-_xlfn.XLOOKUP(A799,'[1]DATOS PBI Artículos'!A:A,'[1]DATOS PBI Artículos'!W:W))/IF($O799="",$N799,$O799))),0))))</f>
        <v>#N/A</v>
      </c>
      <c r="R799" s="33" t="e">
        <f>IF(U799&lt;&gt;"",U799,IF(F799="DV","MTO",IF(N799=0,"MTO",_xlfn.XLOOKUP(CONCATENATE(S799,T799),[1]CRITERIOS!$K$160:$K$168,[1]CRITERIOS!$N$160:$N$168))))</f>
        <v>#N/A</v>
      </c>
      <c r="S799" s="33" t="e">
        <f>IF(G799="DV","MTO",IF(N799=0,"MTO",IF(OR(AND(N799=0,O799=""),IF(O799="",G799/N799,G799/O799)&gt;[1]CRITERIOS!$G$163),"MTO",IF(IF(O799="",G799/N799,G799/O799)&lt;[1]CRITERIOS!$H$161,"MTS","MTOS"))))</f>
        <v>#N/A</v>
      </c>
      <c r="T799" s="33" t="e">
        <f>IF(F799="DV","MTO",IF(OR(AND($N799=0,O799=""),$F799/$J799&gt;[1]CRITERIOS!$G$170,$F799="DV"),"MTO",IF($F799/$J799&lt;[1]CRITERIOS!$H$168,"MTS","MTOS")))</f>
        <v>#N/A</v>
      </c>
      <c r="V799" s="34" t="e">
        <f t="shared" si="40"/>
        <v>#N/A</v>
      </c>
      <c r="X799" s="34" t="e">
        <f t="shared" si="38"/>
        <v>#N/A</v>
      </c>
      <c r="Y799" s="34" t="e">
        <f t="shared" si="39"/>
        <v>#N/A</v>
      </c>
      <c r="Z799" s="34" t="e">
        <f>IF($R799="MTO",
0,
($H799+$K799*($E799/[1]CRITERIOS!$M$16))/[1]CRITERIOS!$X$48)</f>
        <v>#N/A</v>
      </c>
      <c r="AA799" s="34" t="e">
        <f>ROUNDUP(($Y799/_xlfn.XLOOKUP($A799,'[1]DATOS PBI Artículos'!$A$4:$A$4,'[1]DATOS PBI Artículos'!$Z$4:$Z$4))/_xlfn.XLOOKUP(_xlfn.XLOOKUP($A799,'[1]DATOS PBI Artículos'!$A$4:$A$4,'[1]DATOS PBI Artículos'!$Y$4:$Y$4),[1]CRITERIOS!$P$79:$P$123,[1]CRITERIOS!$S$79:$S$123,),0)</f>
        <v>#N/A</v>
      </c>
      <c r="AC799" s="33" t="e">
        <f>IF(N799=0,"",(ROUNDUP((N799/2)/(_xlfn.XLOOKUP(A799,'[1]DATOS PBI Artículos'!$A$4:$A$4,'[1]DATOS PBI Artículos'!$Z$4:$Z$4)*_xlfn.XLOOKUP(_xlfn.XLOOKUP(A799,'[1]DATOS PBI Artículos'!$A$4:$A$4,'[1]DATOS PBI Artículos'!$Y$4:$Y$4),[1]CRITERIOS!$P$79:$P$123,[1]CRITERIOS!$S$79:$S$123)),0)*[1]CRITERIOS!$M$80*([1]CRITERIOS!$M$110/[1]CRITERIOS!$M$86)+(_xlfn.XLOOKUP(A799,'[1]DATOS PBI Artículos'!$A$4:$A$4,'[1]DATOS PBI Artículos'!$AA$4:$AA$4)*([1]CRITERIOS!$M$95+[1]CRITERIOS!$M$98)))/N799)</f>
        <v>#N/A</v>
      </c>
      <c r="AD799" s="33" t="e">
        <f>IF(N799=0,"",(ROUNDUP((N799/2)/(_xlfn.XLOOKUP(A799,'[1]DATOS PBI Artículos'!$A$4:$A$4,'[1]DATOS PBI Artículos'!$Z$4:$Z$4)*_xlfn.XLOOKUP(_xlfn.XLOOKUP(A799,'[1]DATOS PBI Artículos'!$A$4:$A$4,'[1]DATOS PBI Artículos'!$Y$4:$Y$4),[1]CRITERIOS!$P$79:$P$123,[1]CRITERIOS!$S$79:$S$123)),0)*[1]CRITERIOS!$M$80*([1]CRITERIOS!$M$89*[1]CRITERIOS!$M$92)+((_xlfn.XLOOKUP(A799,'[1]DATOS PBI Artículos'!$A$4:$A$4,'[1]DATOS PBI Artículos'!$AA$4:$AA$4)/2)*([1]CRITERIOS!$M$95+[1]CRITERIOS!$M$98)))/N799)</f>
        <v>#N/A</v>
      </c>
      <c r="AE799" s="39" t="e">
        <f>IF($R799="MTO","",
IF($H799=0,ROUNDUP(((_xlfn.XLOOKUP($A799,'[1]DATOS PBI Artículos'!$A:$A,'[1]DATOS PBI Artículos'!$AL:$AL))/(_xlfn.XLOOKUP($AF$1,[1]CRITERIOS!$S$16:$S$39,[1]CRITERIOS!$Y$16:$Y$39))*$J799+$Z799)/$G799,0)*$G799,
((_xlfn.XLOOKUP($A799,'[1]DATOS PBI Artículos'!$A:$A,'[1]DATOS PBI Artículos'!$AL:$AL))/(_xlfn.XLOOKUP($AF$1,[1]CRITERIOS!$S$16:$S$39,[1]CRITERIOS!$Y$16:$Y$39))*$J799+$Z799)))</f>
        <v>#N/A</v>
      </c>
      <c r="AG799" s="39" t="e">
        <f>IF($R799="MTO","",
IF($H799=0,ROUNDUP(((_xlfn.XLOOKUP($A799,'[1]DATOS PBI Artículos'!$A:$A,'[1]DATOS PBI Artículos'!$AM:$AM))/(_xlfn.XLOOKUP($AH$1,[1]CRITERIOS!$S$16:$S$39,[1]CRITERIOS!$Y$16:$Y$39))*$J799+$Z799)/$G799,0)*$G799,
((_xlfn.XLOOKUP($A799,'[1]DATOS PBI Artículos'!$A:$A,'[1]DATOS PBI Artículos'!$AM:$AM))/(_xlfn.XLOOKUP($AH$1,[1]CRITERIOS!$S$16:$S$39,[1]CRITERIOS!$Y$16:$Y$39))*$J799+$Z799)))</f>
        <v>#N/A</v>
      </c>
      <c r="AI799" s="39" t="e">
        <f>IF($R799="MTO","",
IF($H799=0,ROUNDUP(((_xlfn.XLOOKUP($A799,'[1]DATOS PBI Artículos'!$A:$A,'[1]DATOS PBI Artículos'!$AN:$AN))/(_xlfn.XLOOKUP($AJ$1,[1]CRITERIOS!$S$16:$S$39,[1]CRITERIOS!$Y$16:$Y$39))*$J799+$Z799)/$G799,0)*$G799,
((_xlfn.XLOOKUP($A799,'[1]DATOS PBI Artículos'!$A:$A,'[1]DATOS PBI Artículos'!$AN:$AN))/(_xlfn.XLOOKUP($AJ$1,[1]CRITERIOS!$S$16:$S$39,[1]CRITERIOS!$Y$16:$Y$39))*$J799+$Z799)))</f>
        <v>#N/A</v>
      </c>
      <c r="AK799" s="39" t="e">
        <f>IF($R799="MTO","",
IF($H799=0,ROUNDUP(((_xlfn.XLOOKUP($A799,'[1]DATOS PBI Artículos'!$A:$A,'[1]DATOS PBI Artículos'!$AO:$AO))/(_xlfn.XLOOKUP($AL$1,[1]CRITERIOS!$S$16:$S$39,[1]CRITERIOS!$Y$16:$Y$39))*$J799+$Z799)/$G799,0)*$G799,
((_xlfn.XLOOKUP($A799,'[1]DATOS PBI Artículos'!$A:$A,'[1]DATOS PBI Artículos'!$AO:$AO))/(_xlfn.XLOOKUP($AL$1,[1]CRITERIOS!$S$16:$S$39,[1]CRITERIOS!$Y$16:$Y$39))*$J799+$Z799)))</f>
        <v>#N/A</v>
      </c>
    </row>
    <row r="800" spans="1:37" ht="25.8" hidden="1" x14ac:dyDescent="0.4">
      <c r="A800" s="41"/>
      <c r="B800" s="33">
        <f>_xlfn.XLOOKUP($A800,'[1]DATOS PBI Artículos'!A:A,'[1]DATOS PBI Artículos'!B:B)</f>
        <v>0</v>
      </c>
      <c r="C800" s="33">
        <f>_xlfn.XLOOKUP($A800,'[1]DATOS PBI Artículos'!A:A,'[1]DATOS PBI Artículos'!C:C)</f>
        <v>0</v>
      </c>
      <c r="D800" s="33">
        <f>_xlfn.XLOOKUP(A800,'[1]DATOS PBI Artículos'!A:A,'[1]DATOS PBI Artículos'!T:T)</f>
        <v>0</v>
      </c>
      <c r="E800" s="34">
        <f>IF(_xlfn.XLOOKUP($A800,'[1]DATOS PBI Artículos'!A:A,'[1]DATOS PBI Artículos'!AK:AK)="",_xlfn.XLOOKUP($A800,'[1]DATOS PBI Artículos'!A:A,'[1]DATOS PBI Artículos'!AJ:AJ),_xlfn.XLOOKUP($A800,'[1]DATOS PBI Artículos'!A:A,'[1]DATOS PBI Artículos'!AK:AK))</f>
        <v>0</v>
      </c>
      <c r="F800" s="35">
        <f>_xlfn.XLOOKUP($A800,'[1]DATOS PBI Artículos'!A:A,'[1]DATOS PBI Artículos'!AP:AP)</f>
        <v>0</v>
      </c>
      <c r="G800" s="34">
        <f>_xlfn.XLOOKUP($A800,'[1]DATOS PBI Artículos'!A:A,'[1]DATOS PBI Artículos'!AR:AR)</f>
        <v>0</v>
      </c>
      <c r="H800" s="34">
        <f>_xlfn.XLOOKUP($A800,'[1]DATOS PBI Artículos'!A:A,'[1]DATOS PBI Artículos'!AT:AT)</f>
        <v>0</v>
      </c>
      <c r="I800" s="34">
        <f>_xlfn.XLOOKUP($A800,'[1]DATOS PBI Artículos'!A:A,'[1]DATOS PBI Artículos'!AS:AS)</f>
        <v>0</v>
      </c>
      <c r="J800" s="35">
        <f>IF(COUNTIF([1]CRITERIOS!$F$179:$F$199,$A800)&gt;=1,
 IF(O800&lt;&gt;"",
    (O800/_xlfn.XLOOKUP(CONCATENATE(A800,L800),[1]MÁQUINAS!A:A,[1]MÁQUINAS!D:D))/24,
    (N800/_xlfn.XLOOKUP(CONCATENATE(A800,L800),[1]MÁQUINAS!A:A,[1]MÁQUINAS!D:D))/24),
  _xlfn.XLOOKUP($A800,'[1]DATOS PBI Artículos'!A:A,'[1]DATOS PBI Artículos'!AU:AU))</f>
        <v>0</v>
      </c>
      <c r="K800" s="36">
        <f>_xlfn.XLOOKUP($A800,'[1]DATOS PBI Artículos'!A:A,'[1]DATOS PBI Artículos'!AV:AV)</f>
        <v>0</v>
      </c>
      <c r="L800" s="33">
        <f>_xlfn.XLOOKUP(A800,[1]MÁQUINAS!B:B,[1]MÁQUINAS!C:C)</f>
        <v>0</v>
      </c>
      <c r="M800" s="34">
        <f t="array" ref="M800">_xlfn.XLOOKUP(A800,'[1]DATOS PBI Artículos'!A:A,'[1]DATOS PBI Artículos'!AX:$AX)</f>
        <v>0</v>
      </c>
      <c r="N800" s="37" t="e">
        <f>IF(I800="DV",
E800,
IF(COUNTIF([1]CRITERIOS!$I$179:$I$199,$A800)&gt;=1,
_xlfn.XLOOKUP($A800,[1]CRITERIOS!$I$179:$I$199,[1]CRITERIOS!$J$179:$J$199),
IF(COUNTIF([1]CRITERIOS!$L$179:$L$199,$A800)&gt;=1,
_xlfn.CEILING.MATH(IF($M800&gt;$E800,
$E800,
IF($M800&lt;$E800/ROUNDDOWN([1]CRITERIOS!$M$16/_xlfn.XLOOKUP($C800,[1]CRITERIOS!$K$25:$K$42,[1]CRITERIOS!$M$25:$M$42),
1),
E800/ROUNDDOWN([1]CRITERIOS!$M$16/_xlfn.XLOOKUP($C800,[1]CRITERIOS!$K$25:$K$42,[1]CRITERIOS!$M$25:$M$42),
1),
$M800)),
_xlfn.XLOOKUP($A800,[1]CRITERIOS!$L$179:$L$200,[1]CRITERIOS!$M$179:$M$200)),
_xlfn.CEILING.MATH(IF($M800&gt;$E800,
$E800,
IF($M800&lt;$E800/ROUNDDOWN([1]CRITERIOS!$M$16/_xlfn.XLOOKUP($C800,[1]CRITERIOS!$K$25:$K$42,[1]CRITERIOS!$M$25:$M$42),
1),
E800/ROUNDDOWN([1]CRITERIOS!$M$16/_xlfn.XLOOKUP($C800,[1]CRITERIOS!$K$25:$K$42,[1]CRITERIOS!$M$25:$M$42),
1),
$M800)),_xlfn.XLOOKUP(A800,'[1]DATOS PBI Artículos'!A:A,'[1]DATOS PBI Artículos'!Z:Z
)))))</f>
        <v>#N/A</v>
      </c>
      <c r="Q800" s="38" t="e">
        <f>IF(AND(O800="",N800=0),
0,
   IF(COUNTIF([1]CRITERIOS!$F$179:$F$199,$A800)&gt;=1,
   1,
   IF(R800="MTO",
      $D800,
      ROUNDUP(
                    IF(($E800-SUMIF('[1]DATOS PBI Artículos'!A:A,A800,'[1]DATOS PBI Artículos'!X:X)+($V800-_xlfn.XLOOKUP(A800,'[1]DATOS PBI Artículos'!A:A,'[1]DATOS PBI Artículos'!W:W)))&lt;0,
                    0,
                    IF(($E800-SUMIF('[1]DATOS PBI Artículos'!A:A,A800,'[1]DATOS PBI Artículos'!X:X)+$V800-_xlfn.XLOOKUP($A800,'[1]DATOS PBI Artículos'!A:A,'[1]DATOS PBI Artículos'!W:W))/IF($O800="",$N800,$O800)&gt;ROUNDUP([1]CRITERIOS!$M$16/(IF(COUNTIF([1]CRITERIOS!$BG$11:$BG$201,L800)&gt;=1,_xlfn.XLOOKUP($C800,[1]CRITERIOS!$K$25:$K$42,[1]CRITERIOS!$M$25:$M$42),_xlfn.XLOOKUP($C800,[1]CRITERIOS!$K$25:$K$42,[1]CRITERIOS!$M$25:$M$42))),0),
                    ROUNDUP([1]CRITERIOS!$M$16/(IF(COUNTIF([1]CRITERIOS!$BG$11:$BG$201,$L800)&gt;=1,_xlfn.XLOOKUP($C800,[1]CRITERIOS!$K$25:$K$42,[1]CRITERIOS!$M$25:$M$42),_xlfn.XLOOKUP($C800,[1]CRITERIOS!$K$25:$K$42,[1]CRITERIOS!$M$25:$M$42))),0),
                    (E800+V800-SUMIF('[1]DATOS PBI Artículos'!A:A,A800,'[1]DATOS PBI Artículos'!X:X)-_xlfn.XLOOKUP(A800,'[1]DATOS PBI Artículos'!A:A,'[1]DATOS PBI Artículos'!W:W))/IF($O800="",$N800,$O800))),0))))</f>
        <v>#N/A</v>
      </c>
      <c r="R800" s="33" t="e">
        <f>IF(U800&lt;&gt;"",U800,IF(F800="DV","MTO",IF(N800=0,"MTO",_xlfn.XLOOKUP(CONCATENATE(S800,T800),[1]CRITERIOS!$K$160:$K$168,[1]CRITERIOS!$N$160:$N$168))))</f>
        <v>#N/A</v>
      </c>
      <c r="S800" s="33" t="e">
        <f>IF(G800="DV","MTO",IF(N800=0,"MTO",IF(OR(AND(N800=0,O800=""),IF(O800="",G800/N800,G800/O800)&gt;[1]CRITERIOS!$G$163),"MTO",IF(IF(O800="",G800/N800,G800/O800)&lt;[1]CRITERIOS!$H$161,"MTS","MTOS"))))</f>
        <v>#N/A</v>
      </c>
      <c r="T800" s="33" t="e">
        <f>IF(F800="DV","MTO",IF(OR(AND($N800=0,O800=""),$F800/$J800&gt;[1]CRITERIOS!$G$170,$F800="DV"),"MTO",IF($F800/$J800&lt;[1]CRITERIOS!$H$168,"MTS","MTOS")))</f>
        <v>#N/A</v>
      </c>
      <c r="V800" s="34" t="e">
        <f t="shared" si="40"/>
        <v>#N/A</v>
      </c>
      <c r="X800" s="34" t="e">
        <f t="shared" si="38"/>
        <v>#N/A</v>
      </c>
      <c r="Y800" s="34" t="e">
        <f t="shared" si="39"/>
        <v>#N/A</v>
      </c>
      <c r="Z800" s="34" t="e">
        <f>IF($R800="MTO",
0,
($H800+$K800*($E800/[1]CRITERIOS!$M$16))/[1]CRITERIOS!$X$48)</f>
        <v>#N/A</v>
      </c>
      <c r="AA800" s="34" t="e">
        <f>ROUNDUP(($Y800/_xlfn.XLOOKUP($A800,'[1]DATOS PBI Artículos'!$A$4:$A$4,'[1]DATOS PBI Artículos'!$Z$4:$Z$4))/_xlfn.XLOOKUP(_xlfn.XLOOKUP($A800,'[1]DATOS PBI Artículos'!$A$4:$A$4,'[1]DATOS PBI Artículos'!$Y$4:$Y$4),[1]CRITERIOS!$P$79:$P$123,[1]CRITERIOS!$S$79:$S$123,),0)</f>
        <v>#N/A</v>
      </c>
      <c r="AC800" s="33" t="e">
        <f>IF(N800=0,"",(ROUNDUP((N800/2)/(_xlfn.XLOOKUP(A800,'[1]DATOS PBI Artículos'!$A$4:$A$4,'[1]DATOS PBI Artículos'!$Z$4:$Z$4)*_xlfn.XLOOKUP(_xlfn.XLOOKUP(A800,'[1]DATOS PBI Artículos'!$A$4:$A$4,'[1]DATOS PBI Artículos'!$Y$4:$Y$4),[1]CRITERIOS!$P$79:$P$123,[1]CRITERIOS!$S$79:$S$123)),0)*[1]CRITERIOS!$M$80*([1]CRITERIOS!$M$110/[1]CRITERIOS!$M$86)+(_xlfn.XLOOKUP(A800,'[1]DATOS PBI Artículos'!$A$4:$A$4,'[1]DATOS PBI Artículos'!$AA$4:$AA$4)*([1]CRITERIOS!$M$95+[1]CRITERIOS!$M$98)))/N800)</f>
        <v>#N/A</v>
      </c>
      <c r="AD800" s="33" t="e">
        <f>IF(N800=0,"",(ROUNDUP((N800/2)/(_xlfn.XLOOKUP(A800,'[1]DATOS PBI Artículos'!$A$4:$A$4,'[1]DATOS PBI Artículos'!$Z$4:$Z$4)*_xlfn.XLOOKUP(_xlfn.XLOOKUP(A800,'[1]DATOS PBI Artículos'!$A$4:$A$4,'[1]DATOS PBI Artículos'!$Y$4:$Y$4),[1]CRITERIOS!$P$79:$P$123,[1]CRITERIOS!$S$79:$S$123)),0)*[1]CRITERIOS!$M$80*([1]CRITERIOS!$M$89*[1]CRITERIOS!$M$92)+((_xlfn.XLOOKUP(A800,'[1]DATOS PBI Artículos'!$A$4:$A$4,'[1]DATOS PBI Artículos'!$AA$4:$AA$4)/2)*([1]CRITERIOS!$M$95+[1]CRITERIOS!$M$98)))/N800)</f>
        <v>#N/A</v>
      </c>
      <c r="AE800" s="39" t="e">
        <f>IF($R800="MTO","",
IF($H800=0,ROUNDUP(((_xlfn.XLOOKUP($A800,'[1]DATOS PBI Artículos'!$A:$A,'[1]DATOS PBI Artículos'!$AL:$AL))/(_xlfn.XLOOKUP($AF$1,[1]CRITERIOS!$S$16:$S$39,[1]CRITERIOS!$Y$16:$Y$39))*$J800+$Z800)/$G800,0)*$G800,
((_xlfn.XLOOKUP($A800,'[1]DATOS PBI Artículos'!$A:$A,'[1]DATOS PBI Artículos'!$AL:$AL))/(_xlfn.XLOOKUP($AF$1,[1]CRITERIOS!$S$16:$S$39,[1]CRITERIOS!$Y$16:$Y$39))*$J800+$Z800)))</f>
        <v>#N/A</v>
      </c>
      <c r="AG800" s="39" t="e">
        <f>IF($R800="MTO","",
IF($H800=0,ROUNDUP(((_xlfn.XLOOKUP($A800,'[1]DATOS PBI Artículos'!$A:$A,'[1]DATOS PBI Artículos'!$AM:$AM))/(_xlfn.XLOOKUP($AH$1,[1]CRITERIOS!$S$16:$S$39,[1]CRITERIOS!$Y$16:$Y$39))*$J800+$Z800)/$G800,0)*$G800,
((_xlfn.XLOOKUP($A800,'[1]DATOS PBI Artículos'!$A:$A,'[1]DATOS PBI Artículos'!$AM:$AM))/(_xlfn.XLOOKUP($AH$1,[1]CRITERIOS!$S$16:$S$39,[1]CRITERIOS!$Y$16:$Y$39))*$J800+$Z800)))</f>
        <v>#N/A</v>
      </c>
      <c r="AI800" s="39" t="e">
        <f>IF($R800="MTO","",
IF($H800=0,ROUNDUP(((_xlfn.XLOOKUP($A800,'[1]DATOS PBI Artículos'!$A:$A,'[1]DATOS PBI Artículos'!$AN:$AN))/(_xlfn.XLOOKUP($AJ$1,[1]CRITERIOS!$S$16:$S$39,[1]CRITERIOS!$Y$16:$Y$39))*$J800+$Z800)/$G800,0)*$G800,
((_xlfn.XLOOKUP($A800,'[1]DATOS PBI Artículos'!$A:$A,'[1]DATOS PBI Artículos'!$AN:$AN))/(_xlfn.XLOOKUP($AJ$1,[1]CRITERIOS!$S$16:$S$39,[1]CRITERIOS!$Y$16:$Y$39))*$J800+$Z800)))</f>
        <v>#N/A</v>
      </c>
      <c r="AK800" s="39" t="e">
        <f>IF($R800="MTO","",
IF($H800=0,ROUNDUP(((_xlfn.XLOOKUP($A800,'[1]DATOS PBI Artículos'!$A:$A,'[1]DATOS PBI Artículos'!$AO:$AO))/(_xlfn.XLOOKUP($AL$1,[1]CRITERIOS!$S$16:$S$39,[1]CRITERIOS!$Y$16:$Y$39))*$J800+$Z800)/$G800,0)*$G800,
((_xlfn.XLOOKUP($A800,'[1]DATOS PBI Artículos'!$A:$A,'[1]DATOS PBI Artículos'!$AO:$AO))/(_xlfn.XLOOKUP($AL$1,[1]CRITERIOS!$S$16:$S$39,[1]CRITERIOS!$Y$16:$Y$39))*$J800+$Z800)))</f>
        <v>#N/A</v>
      </c>
    </row>
    <row r="801" spans="1:37" ht="25.8" hidden="1" x14ac:dyDescent="0.4">
      <c r="A801" s="41"/>
      <c r="B801" s="33">
        <f>_xlfn.XLOOKUP($A801,'[1]DATOS PBI Artículos'!A:A,'[1]DATOS PBI Artículos'!B:B)</f>
        <v>0</v>
      </c>
      <c r="C801" s="33">
        <f>_xlfn.XLOOKUP($A801,'[1]DATOS PBI Artículos'!A:A,'[1]DATOS PBI Artículos'!C:C)</f>
        <v>0</v>
      </c>
      <c r="D801" s="33">
        <f>_xlfn.XLOOKUP(A801,'[1]DATOS PBI Artículos'!A:A,'[1]DATOS PBI Artículos'!T:T)</f>
        <v>0</v>
      </c>
      <c r="E801" s="34">
        <f>IF(_xlfn.XLOOKUP($A801,'[1]DATOS PBI Artículos'!A:A,'[1]DATOS PBI Artículos'!AK:AK)="",_xlfn.XLOOKUP($A801,'[1]DATOS PBI Artículos'!A:A,'[1]DATOS PBI Artículos'!AJ:AJ),_xlfn.XLOOKUP($A801,'[1]DATOS PBI Artículos'!A:A,'[1]DATOS PBI Artículos'!AK:AK))</f>
        <v>0</v>
      </c>
      <c r="F801" s="35">
        <f>_xlfn.XLOOKUP($A801,'[1]DATOS PBI Artículos'!A:A,'[1]DATOS PBI Artículos'!AP:AP)</f>
        <v>0</v>
      </c>
      <c r="G801" s="34">
        <f>_xlfn.XLOOKUP($A801,'[1]DATOS PBI Artículos'!A:A,'[1]DATOS PBI Artículos'!AR:AR)</f>
        <v>0</v>
      </c>
      <c r="H801" s="34">
        <f>_xlfn.XLOOKUP($A801,'[1]DATOS PBI Artículos'!A:A,'[1]DATOS PBI Artículos'!AT:AT)</f>
        <v>0</v>
      </c>
      <c r="I801" s="34">
        <f>_xlfn.XLOOKUP($A801,'[1]DATOS PBI Artículos'!A:A,'[1]DATOS PBI Artículos'!AS:AS)</f>
        <v>0</v>
      </c>
      <c r="J801" s="35">
        <f>IF(COUNTIF([1]CRITERIOS!$F$179:$F$199,$A801)&gt;=1,
 IF(O801&lt;&gt;"",
    (O801/_xlfn.XLOOKUP(CONCATENATE(A801,L801),[1]MÁQUINAS!A:A,[1]MÁQUINAS!D:D))/24,
    (N801/_xlfn.XLOOKUP(CONCATENATE(A801,L801),[1]MÁQUINAS!A:A,[1]MÁQUINAS!D:D))/24),
  _xlfn.XLOOKUP($A801,'[1]DATOS PBI Artículos'!A:A,'[1]DATOS PBI Artículos'!AU:AU))</f>
        <v>0</v>
      </c>
      <c r="K801" s="36">
        <f>_xlfn.XLOOKUP($A801,'[1]DATOS PBI Artículos'!A:A,'[1]DATOS PBI Artículos'!AV:AV)</f>
        <v>0</v>
      </c>
      <c r="L801" s="33">
        <f>_xlfn.XLOOKUP(A801,[1]MÁQUINAS!B:B,[1]MÁQUINAS!C:C)</f>
        <v>0</v>
      </c>
      <c r="M801" s="34">
        <f t="array" ref="M801">_xlfn.XLOOKUP(A801,'[1]DATOS PBI Artículos'!A:A,'[1]DATOS PBI Artículos'!AX:$AX)</f>
        <v>0</v>
      </c>
      <c r="N801" s="37" t="e">
        <f>IF(I801="DV",
E801,
IF(COUNTIF([1]CRITERIOS!$I$179:$I$199,$A801)&gt;=1,
_xlfn.XLOOKUP($A801,[1]CRITERIOS!$I$179:$I$199,[1]CRITERIOS!$J$179:$J$199),
IF(COUNTIF([1]CRITERIOS!$L$179:$L$199,$A801)&gt;=1,
_xlfn.CEILING.MATH(IF($M801&gt;$E801,
$E801,
IF($M801&lt;$E801/ROUNDDOWN([1]CRITERIOS!$M$16/_xlfn.XLOOKUP($C801,[1]CRITERIOS!$K$25:$K$42,[1]CRITERIOS!$M$25:$M$42),
1),
E801/ROUNDDOWN([1]CRITERIOS!$M$16/_xlfn.XLOOKUP($C801,[1]CRITERIOS!$K$25:$K$42,[1]CRITERIOS!$M$25:$M$42),
1),
$M801)),
_xlfn.XLOOKUP($A801,[1]CRITERIOS!$L$179:$L$200,[1]CRITERIOS!$M$179:$M$200)),
_xlfn.CEILING.MATH(IF($M801&gt;$E801,
$E801,
IF($M801&lt;$E801/ROUNDDOWN([1]CRITERIOS!$M$16/_xlfn.XLOOKUP($C801,[1]CRITERIOS!$K$25:$K$42,[1]CRITERIOS!$M$25:$M$42),
1),
E801/ROUNDDOWN([1]CRITERIOS!$M$16/_xlfn.XLOOKUP($C801,[1]CRITERIOS!$K$25:$K$42,[1]CRITERIOS!$M$25:$M$42),
1),
$M801)),_xlfn.XLOOKUP(A801,'[1]DATOS PBI Artículos'!A:A,'[1]DATOS PBI Artículos'!Z:Z
)))))</f>
        <v>#N/A</v>
      </c>
      <c r="Q801" s="38" t="e">
        <f>IF(AND(O801="",N801=0),
0,
   IF(COUNTIF([1]CRITERIOS!$F$179:$F$199,$A801)&gt;=1,
   1,
   IF(R801="MTO",
      $D801,
      ROUNDUP(
                    IF(($E801-SUMIF('[1]DATOS PBI Artículos'!A:A,A801,'[1]DATOS PBI Artículos'!X:X)+($V801-_xlfn.XLOOKUP(A801,'[1]DATOS PBI Artículos'!A:A,'[1]DATOS PBI Artículos'!W:W)))&lt;0,
                    0,
                    IF(($E801-SUMIF('[1]DATOS PBI Artículos'!A:A,A801,'[1]DATOS PBI Artículos'!X:X)+$V801-_xlfn.XLOOKUP($A801,'[1]DATOS PBI Artículos'!A:A,'[1]DATOS PBI Artículos'!W:W))/IF($O801="",$N801,$O801)&gt;ROUNDUP([1]CRITERIOS!$M$16/(IF(COUNTIF([1]CRITERIOS!$BG$11:$BG$201,L801)&gt;=1,_xlfn.XLOOKUP($C801,[1]CRITERIOS!$K$25:$K$42,[1]CRITERIOS!$M$25:$M$42),_xlfn.XLOOKUP($C801,[1]CRITERIOS!$K$25:$K$42,[1]CRITERIOS!$M$25:$M$42))),0),
                    ROUNDUP([1]CRITERIOS!$M$16/(IF(COUNTIF([1]CRITERIOS!$BG$11:$BG$201,$L801)&gt;=1,_xlfn.XLOOKUP($C801,[1]CRITERIOS!$K$25:$K$42,[1]CRITERIOS!$M$25:$M$42),_xlfn.XLOOKUP($C801,[1]CRITERIOS!$K$25:$K$42,[1]CRITERIOS!$M$25:$M$42))),0),
                    (E801+V801-SUMIF('[1]DATOS PBI Artículos'!A:A,A801,'[1]DATOS PBI Artículos'!X:X)-_xlfn.XLOOKUP(A801,'[1]DATOS PBI Artículos'!A:A,'[1]DATOS PBI Artículos'!W:W))/IF($O801="",$N801,$O801))),0))))</f>
        <v>#N/A</v>
      </c>
      <c r="R801" s="33" t="e">
        <f>IF(U801&lt;&gt;"",U801,IF(F801="DV","MTO",IF(N801=0,"MTO",_xlfn.XLOOKUP(CONCATENATE(S801,T801),[1]CRITERIOS!$K$160:$K$168,[1]CRITERIOS!$N$160:$N$168))))</f>
        <v>#N/A</v>
      </c>
      <c r="S801" s="33" t="e">
        <f>IF(G801="DV","MTO",IF(N801=0,"MTO",IF(OR(AND(N801=0,O801=""),IF(O801="",G801/N801,G801/O801)&gt;[1]CRITERIOS!$G$163),"MTO",IF(IF(O801="",G801/N801,G801/O801)&lt;[1]CRITERIOS!$H$161,"MTS","MTOS"))))</f>
        <v>#N/A</v>
      </c>
      <c r="T801" s="33" t="e">
        <f>IF(F801="DV","MTO",IF(OR(AND($N801=0,O801=""),$F801/$J801&gt;[1]CRITERIOS!$G$170,$F801="DV"),"MTO",IF($F801/$J801&lt;[1]CRITERIOS!$H$168,"MTS","MTOS")))</f>
        <v>#N/A</v>
      </c>
      <c r="V801" s="34" t="e">
        <f t="shared" si="40"/>
        <v>#N/A</v>
      </c>
      <c r="X801" s="34" t="e">
        <f t="shared" si="38"/>
        <v>#N/A</v>
      </c>
      <c r="Y801" s="34" t="e">
        <f t="shared" si="39"/>
        <v>#N/A</v>
      </c>
      <c r="Z801" s="34" t="e">
        <f>IF($R801="MTO",
0,
($H801+$K801*($E801/[1]CRITERIOS!$M$16))/[1]CRITERIOS!$X$48)</f>
        <v>#N/A</v>
      </c>
      <c r="AA801" s="34" t="e">
        <f>ROUNDUP(($Y801/_xlfn.XLOOKUP($A801,'[1]DATOS PBI Artículos'!$A$4:$A$4,'[1]DATOS PBI Artículos'!$Z$4:$Z$4))/_xlfn.XLOOKUP(_xlfn.XLOOKUP($A801,'[1]DATOS PBI Artículos'!$A$4:$A$4,'[1]DATOS PBI Artículos'!$Y$4:$Y$4),[1]CRITERIOS!$P$79:$P$123,[1]CRITERIOS!$S$79:$S$123,),0)</f>
        <v>#N/A</v>
      </c>
      <c r="AC801" s="33" t="e">
        <f>IF(N801=0,"",(ROUNDUP((N801/2)/(_xlfn.XLOOKUP(A801,'[1]DATOS PBI Artículos'!$A$4:$A$4,'[1]DATOS PBI Artículos'!$Z$4:$Z$4)*_xlfn.XLOOKUP(_xlfn.XLOOKUP(A801,'[1]DATOS PBI Artículos'!$A$4:$A$4,'[1]DATOS PBI Artículos'!$Y$4:$Y$4),[1]CRITERIOS!$P$79:$P$123,[1]CRITERIOS!$S$79:$S$123)),0)*[1]CRITERIOS!$M$80*([1]CRITERIOS!$M$110/[1]CRITERIOS!$M$86)+(_xlfn.XLOOKUP(A801,'[1]DATOS PBI Artículos'!$A$4:$A$4,'[1]DATOS PBI Artículos'!$AA$4:$AA$4)*([1]CRITERIOS!$M$95+[1]CRITERIOS!$M$98)))/N801)</f>
        <v>#N/A</v>
      </c>
      <c r="AD801" s="33" t="e">
        <f>IF(N801=0,"",(ROUNDUP((N801/2)/(_xlfn.XLOOKUP(A801,'[1]DATOS PBI Artículos'!$A$4:$A$4,'[1]DATOS PBI Artículos'!$Z$4:$Z$4)*_xlfn.XLOOKUP(_xlfn.XLOOKUP(A801,'[1]DATOS PBI Artículos'!$A$4:$A$4,'[1]DATOS PBI Artículos'!$Y$4:$Y$4),[1]CRITERIOS!$P$79:$P$123,[1]CRITERIOS!$S$79:$S$123)),0)*[1]CRITERIOS!$M$80*([1]CRITERIOS!$M$89*[1]CRITERIOS!$M$92)+((_xlfn.XLOOKUP(A801,'[1]DATOS PBI Artículos'!$A$4:$A$4,'[1]DATOS PBI Artículos'!$AA$4:$AA$4)/2)*([1]CRITERIOS!$M$95+[1]CRITERIOS!$M$98)))/N801)</f>
        <v>#N/A</v>
      </c>
      <c r="AE801" s="39" t="e">
        <f>IF($R801="MTO","",
IF($H801=0,ROUNDUP(((_xlfn.XLOOKUP($A801,'[1]DATOS PBI Artículos'!$A:$A,'[1]DATOS PBI Artículos'!$AL:$AL))/(_xlfn.XLOOKUP($AF$1,[1]CRITERIOS!$S$16:$S$39,[1]CRITERIOS!$Y$16:$Y$39))*$J801+$Z801)/$G801,0)*$G801,
((_xlfn.XLOOKUP($A801,'[1]DATOS PBI Artículos'!$A:$A,'[1]DATOS PBI Artículos'!$AL:$AL))/(_xlfn.XLOOKUP($AF$1,[1]CRITERIOS!$S$16:$S$39,[1]CRITERIOS!$Y$16:$Y$39))*$J801+$Z801)))</f>
        <v>#N/A</v>
      </c>
      <c r="AG801" s="39" t="e">
        <f>IF($R801="MTO","",
IF($H801=0,ROUNDUP(((_xlfn.XLOOKUP($A801,'[1]DATOS PBI Artículos'!$A:$A,'[1]DATOS PBI Artículos'!$AM:$AM))/(_xlfn.XLOOKUP($AH$1,[1]CRITERIOS!$S$16:$S$39,[1]CRITERIOS!$Y$16:$Y$39))*$J801+$Z801)/$G801,0)*$G801,
((_xlfn.XLOOKUP($A801,'[1]DATOS PBI Artículos'!$A:$A,'[1]DATOS PBI Artículos'!$AM:$AM))/(_xlfn.XLOOKUP($AH$1,[1]CRITERIOS!$S$16:$S$39,[1]CRITERIOS!$Y$16:$Y$39))*$J801+$Z801)))</f>
        <v>#N/A</v>
      </c>
      <c r="AI801" s="39" t="e">
        <f>IF($R801="MTO","",
IF($H801=0,ROUNDUP(((_xlfn.XLOOKUP($A801,'[1]DATOS PBI Artículos'!$A:$A,'[1]DATOS PBI Artículos'!$AN:$AN))/(_xlfn.XLOOKUP($AJ$1,[1]CRITERIOS!$S$16:$S$39,[1]CRITERIOS!$Y$16:$Y$39))*$J801+$Z801)/$G801,0)*$G801,
((_xlfn.XLOOKUP($A801,'[1]DATOS PBI Artículos'!$A:$A,'[1]DATOS PBI Artículos'!$AN:$AN))/(_xlfn.XLOOKUP($AJ$1,[1]CRITERIOS!$S$16:$S$39,[1]CRITERIOS!$Y$16:$Y$39))*$J801+$Z801)))</f>
        <v>#N/A</v>
      </c>
      <c r="AK801" s="39" t="e">
        <f>IF($R801="MTO","",
IF($H801=0,ROUNDUP(((_xlfn.XLOOKUP($A801,'[1]DATOS PBI Artículos'!$A:$A,'[1]DATOS PBI Artículos'!$AO:$AO))/(_xlfn.XLOOKUP($AL$1,[1]CRITERIOS!$S$16:$S$39,[1]CRITERIOS!$Y$16:$Y$39))*$J801+$Z801)/$G801,0)*$G801,
((_xlfn.XLOOKUP($A801,'[1]DATOS PBI Artículos'!$A:$A,'[1]DATOS PBI Artículos'!$AO:$AO))/(_xlfn.XLOOKUP($AL$1,[1]CRITERIOS!$S$16:$S$39,[1]CRITERIOS!$Y$16:$Y$39))*$J801+$Z801)))</f>
        <v>#N/A</v>
      </c>
    </row>
    <row r="802" spans="1:37" ht="25.8" hidden="1" x14ac:dyDescent="0.4">
      <c r="A802" s="41"/>
      <c r="B802" s="33">
        <f>_xlfn.XLOOKUP($A802,'[1]DATOS PBI Artículos'!A:A,'[1]DATOS PBI Artículos'!B:B)</f>
        <v>0</v>
      </c>
      <c r="C802" s="33">
        <f>_xlfn.XLOOKUP($A802,'[1]DATOS PBI Artículos'!A:A,'[1]DATOS PBI Artículos'!C:C)</f>
        <v>0</v>
      </c>
      <c r="D802" s="33">
        <f>_xlfn.XLOOKUP(A802,'[1]DATOS PBI Artículos'!A:A,'[1]DATOS PBI Artículos'!T:T)</f>
        <v>0</v>
      </c>
      <c r="E802" s="34">
        <f>IF(_xlfn.XLOOKUP($A802,'[1]DATOS PBI Artículos'!A:A,'[1]DATOS PBI Artículos'!AK:AK)="",_xlfn.XLOOKUP($A802,'[1]DATOS PBI Artículos'!A:A,'[1]DATOS PBI Artículos'!AJ:AJ),_xlfn.XLOOKUP($A802,'[1]DATOS PBI Artículos'!A:A,'[1]DATOS PBI Artículos'!AK:AK))</f>
        <v>0</v>
      </c>
      <c r="F802" s="35">
        <f>_xlfn.XLOOKUP($A802,'[1]DATOS PBI Artículos'!A:A,'[1]DATOS PBI Artículos'!AP:AP)</f>
        <v>0</v>
      </c>
      <c r="G802" s="34">
        <f>_xlfn.XLOOKUP($A802,'[1]DATOS PBI Artículos'!A:A,'[1]DATOS PBI Artículos'!AR:AR)</f>
        <v>0</v>
      </c>
      <c r="H802" s="34">
        <f>_xlfn.XLOOKUP($A802,'[1]DATOS PBI Artículos'!A:A,'[1]DATOS PBI Artículos'!AT:AT)</f>
        <v>0</v>
      </c>
      <c r="I802" s="34">
        <f>_xlfn.XLOOKUP($A802,'[1]DATOS PBI Artículos'!A:A,'[1]DATOS PBI Artículos'!AS:AS)</f>
        <v>0</v>
      </c>
      <c r="J802" s="35">
        <f>IF(COUNTIF([1]CRITERIOS!$F$179:$F$199,$A802)&gt;=1,
 IF(O802&lt;&gt;"",
    (O802/_xlfn.XLOOKUP(CONCATENATE(A802,L802),[1]MÁQUINAS!A:A,[1]MÁQUINAS!D:D))/24,
    (N802/_xlfn.XLOOKUP(CONCATENATE(A802,L802),[1]MÁQUINAS!A:A,[1]MÁQUINAS!D:D))/24),
  _xlfn.XLOOKUP($A802,'[1]DATOS PBI Artículos'!A:A,'[1]DATOS PBI Artículos'!AU:AU))</f>
        <v>0</v>
      </c>
      <c r="K802" s="36">
        <f>_xlfn.XLOOKUP($A802,'[1]DATOS PBI Artículos'!A:A,'[1]DATOS PBI Artículos'!AV:AV)</f>
        <v>0</v>
      </c>
      <c r="L802" s="33">
        <f>_xlfn.XLOOKUP(A802,[1]MÁQUINAS!B:B,[1]MÁQUINAS!C:C)</f>
        <v>0</v>
      </c>
      <c r="M802" s="34">
        <f t="array" ref="M802">_xlfn.XLOOKUP(A802,'[1]DATOS PBI Artículos'!A:A,'[1]DATOS PBI Artículos'!AX:$AX)</f>
        <v>0</v>
      </c>
      <c r="N802" s="37" t="e">
        <f>IF(I802="DV",
E802,
IF(COUNTIF([1]CRITERIOS!$I$179:$I$199,$A802)&gt;=1,
_xlfn.XLOOKUP($A802,[1]CRITERIOS!$I$179:$I$199,[1]CRITERIOS!$J$179:$J$199),
IF(COUNTIF([1]CRITERIOS!$L$179:$L$199,$A802)&gt;=1,
_xlfn.CEILING.MATH(IF($M802&gt;$E802,
$E802,
IF($M802&lt;$E802/ROUNDDOWN([1]CRITERIOS!$M$16/_xlfn.XLOOKUP($C802,[1]CRITERIOS!$K$25:$K$42,[1]CRITERIOS!$M$25:$M$42),
1),
E802/ROUNDDOWN([1]CRITERIOS!$M$16/_xlfn.XLOOKUP($C802,[1]CRITERIOS!$K$25:$K$42,[1]CRITERIOS!$M$25:$M$42),
1),
$M802)),
_xlfn.XLOOKUP($A802,[1]CRITERIOS!$L$179:$L$200,[1]CRITERIOS!$M$179:$M$200)),
_xlfn.CEILING.MATH(IF($M802&gt;$E802,
$E802,
IF($M802&lt;$E802/ROUNDDOWN([1]CRITERIOS!$M$16/_xlfn.XLOOKUP($C802,[1]CRITERIOS!$K$25:$K$42,[1]CRITERIOS!$M$25:$M$42),
1),
E802/ROUNDDOWN([1]CRITERIOS!$M$16/_xlfn.XLOOKUP($C802,[1]CRITERIOS!$K$25:$K$42,[1]CRITERIOS!$M$25:$M$42),
1),
$M802)),_xlfn.XLOOKUP(A802,'[1]DATOS PBI Artículos'!A:A,'[1]DATOS PBI Artículos'!Z:Z
)))))</f>
        <v>#N/A</v>
      </c>
      <c r="Q802" s="38" t="e">
        <f>IF(AND(O802="",N802=0),
0,
   IF(COUNTIF([1]CRITERIOS!$F$179:$F$199,$A802)&gt;=1,
   1,
   IF(R802="MTO",
      $D802,
      ROUNDUP(
                    IF(($E802-SUMIF('[1]DATOS PBI Artículos'!A:A,A802,'[1]DATOS PBI Artículos'!X:X)+($V802-_xlfn.XLOOKUP(A802,'[1]DATOS PBI Artículos'!A:A,'[1]DATOS PBI Artículos'!W:W)))&lt;0,
                    0,
                    IF(($E802-SUMIF('[1]DATOS PBI Artículos'!A:A,A802,'[1]DATOS PBI Artículos'!X:X)+$V802-_xlfn.XLOOKUP($A802,'[1]DATOS PBI Artículos'!A:A,'[1]DATOS PBI Artículos'!W:W))/IF($O802="",$N802,$O802)&gt;ROUNDUP([1]CRITERIOS!$M$16/(IF(COUNTIF([1]CRITERIOS!$BG$11:$BG$201,L802)&gt;=1,_xlfn.XLOOKUP($C802,[1]CRITERIOS!$K$25:$K$42,[1]CRITERIOS!$M$25:$M$42),_xlfn.XLOOKUP($C802,[1]CRITERIOS!$K$25:$K$42,[1]CRITERIOS!$M$25:$M$42))),0),
                    ROUNDUP([1]CRITERIOS!$M$16/(IF(COUNTIF([1]CRITERIOS!$BG$11:$BG$201,$L802)&gt;=1,_xlfn.XLOOKUP($C802,[1]CRITERIOS!$K$25:$K$42,[1]CRITERIOS!$M$25:$M$42),_xlfn.XLOOKUP($C802,[1]CRITERIOS!$K$25:$K$42,[1]CRITERIOS!$M$25:$M$42))),0),
                    (E802+V802-SUMIF('[1]DATOS PBI Artículos'!A:A,A802,'[1]DATOS PBI Artículos'!X:X)-_xlfn.XLOOKUP(A802,'[1]DATOS PBI Artículos'!A:A,'[1]DATOS PBI Artículos'!W:W))/IF($O802="",$N802,$O802))),0))))</f>
        <v>#N/A</v>
      </c>
      <c r="R802" s="33" t="e">
        <f>IF(U802&lt;&gt;"",U802,IF(F802="DV","MTO",IF(N802=0,"MTO",_xlfn.XLOOKUP(CONCATENATE(S802,T802),[1]CRITERIOS!$K$160:$K$168,[1]CRITERIOS!$N$160:$N$168))))</f>
        <v>#N/A</v>
      </c>
      <c r="S802" s="33" t="e">
        <f>IF(G802="DV","MTO",IF(N802=0,"MTO",IF(OR(AND(N802=0,O802=""),IF(O802="",G802/N802,G802/O802)&gt;[1]CRITERIOS!$G$163),"MTO",IF(IF(O802="",G802/N802,G802/O802)&lt;[1]CRITERIOS!$H$161,"MTS","MTOS"))))</f>
        <v>#N/A</v>
      </c>
      <c r="T802" s="33" t="e">
        <f>IF(F802="DV","MTO",IF(OR(AND($N802=0,O802=""),$F802/$J802&gt;[1]CRITERIOS!$G$170,$F802="DV"),"MTO",IF($F802/$J802&lt;[1]CRITERIOS!$H$168,"MTS","MTOS")))</f>
        <v>#N/A</v>
      </c>
      <c r="V802" s="34" t="e">
        <f t="shared" si="40"/>
        <v>#N/A</v>
      </c>
      <c r="X802" s="34" t="e">
        <f t="shared" si="38"/>
        <v>#N/A</v>
      </c>
      <c r="Y802" s="34" t="e">
        <f t="shared" si="39"/>
        <v>#N/A</v>
      </c>
      <c r="Z802" s="34" t="e">
        <f>IF($R802="MTO",
0,
($H802+$K802*($E802/[1]CRITERIOS!$M$16))/[1]CRITERIOS!$X$48)</f>
        <v>#N/A</v>
      </c>
      <c r="AA802" s="34" t="e">
        <f>ROUNDUP(($Y802/_xlfn.XLOOKUP($A802,'[1]DATOS PBI Artículos'!$A$4:$A$4,'[1]DATOS PBI Artículos'!$Z$4:$Z$4))/_xlfn.XLOOKUP(_xlfn.XLOOKUP($A802,'[1]DATOS PBI Artículos'!$A$4:$A$4,'[1]DATOS PBI Artículos'!$Y$4:$Y$4),[1]CRITERIOS!$P$79:$P$123,[1]CRITERIOS!$S$79:$S$123,),0)</f>
        <v>#N/A</v>
      </c>
      <c r="AC802" s="33" t="e">
        <f>IF(N802=0,"",(ROUNDUP((N802/2)/(_xlfn.XLOOKUP(A802,'[1]DATOS PBI Artículos'!$A$4:$A$4,'[1]DATOS PBI Artículos'!$Z$4:$Z$4)*_xlfn.XLOOKUP(_xlfn.XLOOKUP(A802,'[1]DATOS PBI Artículos'!$A$4:$A$4,'[1]DATOS PBI Artículos'!$Y$4:$Y$4),[1]CRITERIOS!$P$79:$P$123,[1]CRITERIOS!$S$79:$S$123)),0)*[1]CRITERIOS!$M$80*([1]CRITERIOS!$M$110/[1]CRITERIOS!$M$86)+(_xlfn.XLOOKUP(A802,'[1]DATOS PBI Artículos'!$A$4:$A$4,'[1]DATOS PBI Artículos'!$AA$4:$AA$4)*([1]CRITERIOS!$M$95+[1]CRITERIOS!$M$98)))/N802)</f>
        <v>#N/A</v>
      </c>
      <c r="AD802" s="33" t="e">
        <f>IF(N802=0,"",(ROUNDUP((N802/2)/(_xlfn.XLOOKUP(A802,'[1]DATOS PBI Artículos'!$A$4:$A$4,'[1]DATOS PBI Artículos'!$Z$4:$Z$4)*_xlfn.XLOOKUP(_xlfn.XLOOKUP(A802,'[1]DATOS PBI Artículos'!$A$4:$A$4,'[1]DATOS PBI Artículos'!$Y$4:$Y$4),[1]CRITERIOS!$P$79:$P$123,[1]CRITERIOS!$S$79:$S$123)),0)*[1]CRITERIOS!$M$80*([1]CRITERIOS!$M$89*[1]CRITERIOS!$M$92)+((_xlfn.XLOOKUP(A802,'[1]DATOS PBI Artículos'!$A$4:$A$4,'[1]DATOS PBI Artículos'!$AA$4:$AA$4)/2)*([1]CRITERIOS!$M$95+[1]CRITERIOS!$M$98)))/N802)</f>
        <v>#N/A</v>
      </c>
      <c r="AE802" s="39" t="e">
        <f>IF($R802="MTO","",
IF($H802=0,ROUNDUP(((_xlfn.XLOOKUP($A802,'[1]DATOS PBI Artículos'!$A:$A,'[1]DATOS PBI Artículos'!$AL:$AL))/(_xlfn.XLOOKUP($AF$1,[1]CRITERIOS!$S$16:$S$39,[1]CRITERIOS!$Y$16:$Y$39))*$J802+$Z802)/$G802,0)*$G802,
((_xlfn.XLOOKUP($A802,'[1]DATOS PBI Artículos'!$A:$A,'[1]DATOS PBI Artículos'!$AL:$AL))/(_xlfn.XLOOKUP($AF$1,[1]CRITERIOS!$S$16:$S$39,[1]CRITERIOS!$Y$16:$Y$39))*$J802+$Z802)))</f>
        <v>#N/A</v>
      </c>
      <c r="AG802" s="39" t="e">
        <f>IF($R802="MTO","",
IF($H802=0,ROUNDUP(((_xlfn.XLOOKUP($A802,'[1]DATOS PBI Artículos'!$A:$A,'[1]DATOS PBI Artículos'!$AM:$AM))/(_xlfn.XLOOKUP($AH$1,[1]CRITERIOS!$S$16:$S$39,[1]CRITERIOS!$Y$16:$Y$39))*$J802+$Z802)/$G802,0)*$G802,
((_xlfn.XLOOKUP($A802,'[1]DATOS PBI Artículos'!$A:$A,'[1]DATOS PBI Artículos'!$AM:$AM))/(_xlfn.XLOOKUP($AH$1,[1]CRITERIOS!$S$16:$S$39,[1]CRITERIOS!$Y$16:$Y$39))*$J802+$Z802)))</f>
        <v>#N/A</v>
      </c>
      <c r="AI802" s="39" t="e">
        <f>IF($R802="MTO","",
IF($H802=0,ROUNDUP(((_xlfn.XLOOKUP($A802,'[1]DATOS PBI Artículos'!$A:$A,'[1]DATOS PBI Artículos'!$AN:$AN))/(_xlfn.XLOOKUP($AJ$1,[1]CRITERIOS!$S$16:$S$39,[1]CRITERIOS!$Y$16:$Y$39))*$J802+$Z802)/$G802,0)*$G802,
((_xlfn.XLOOKUP($A802,'[1]DATOS PBI Artículos'!$A:$A,'[1]DATOS PBI Artículos'!$AN:$AN))/(_xlfn.XLOOKUP($AJ$1,[1]CRITERIOS!$S$16:$S$39,[1]CRITERIOS!$Y$16:$Y$39))*$J802+$Z802)))</f>
        <v>#N/A</v>
      </c>
      <c r="AK802" s="39" t="e">
        <f>IF($R802="MTO","",
IF($H802=0,ROUNDUP(((_xlfn.XLOOKUP($A802,'[1]DATOS PBI Artículos'!$A:$A,'[1]DATOS PBI Artículos'!$AO:$AO))/(_xlfn.XLOOKUP($AL$1,[1]CRITERIOS!$S$16:$S$39,[1]CRITERIOS!$Y$16:$Y$39))*$J802+$Z802)/$G802,0)*$G802,
((_xlfn.XLOOKUP($A802,'[1]DATOS PBI Artículos'!$A:$A,'[1]DATOS PBI Artículos'!$AO:$AO))/(_xlfn.XLOOKUP($AL$1,[1]CRITERIOS!$S$16:$S$39,[1]CRITERIOS!$Y$16:$Y$39))*$J802+$Z802)))</f>
        <v>#N/A</v>
      </c>
    </row>
    <row r="803" spans="1:37" ht="25.8" hidden="1" x14ac:dyDescent="0.4">
      <c r="A803" s="41"/>
      <c r="B803" s="33">
        <f>_xlfn.XLOOKUP($A803,'[1]DATOS PBI Artículos'!A:A,'[1]DATOS PBI Artículos'!B:B)</f>
        <v>0</v>
      </c>
      <c r="C803" s="33">
        <f>_xlfn.XLOOKUP($A803,'[1]DATOS PBI Artículos'!A:A,'[1]DATOS PBI Artículos'!C:C)</f>
        <v>0</v>
      </c>
      <c r="D803" s="33">
        <f>_xlfn.XLOOKUP(A803,'[1]DATOS PBI Artículos'!A:A,'[1]DATOS PBI Artículos'!T:T)</f>
        <v>0</v>
      </c>
      <c r="E803" s="34">
        <f>IF(_xlfn.XLOOKUP($A803,'[1]DATOS PBI Artículos'!A:A,'[1]DATOS PBI Artículos'!AK:AK)="",_xlfn.XLOOKUP($A803,'[1]DATOS PBI Artículos'!A:A,'[1]DATOS PBI Artículos'!AJ:AJ),_xlfn.XLOOKUP($A803,'[1]DATOS PBI Artículos'!A:A,'[1]DATOS PBI Artículos'!AK:AK))</f>
        <v>0</v>
      </c>
      <c r="F803" s="35">
        <f>_xlfn.XLOOKUP($A803,'[1]DATOS PBI Artículos'!A:A,'[1]DATOS PBI Artículos'!AP:AP)</f>
        <v>0</v>
      </c>
      <c r="G803" s="34">
        <f>_xlfn.XLOOKUP($A803,'[1]DATOS PBI Artículos'!A:A,'[1]DATOS PBI Artículos'!AR:AR)</f>
        <v>0</v>
      </c>
      <c r="H803" s="34">
        <f>_xlfn.XLOOKUP($A803,'[1]DATOS PBI Artículos'!A:A,'[1]DATOS PBI Artículos'!AT:AT)</f>
        <v>0</v>
      </c>
      <c r="I803" s="34">
        <f>_xlfn.XLOOKUP($A803,'[1]DATOS PBI Artículos'!A:A,'[1]DATOS PBI Artículos'!AS:AS)</f>
        <v>0</v>
      </c>
      <c r="J803" s="35">
        <f>IF(COUNTIF([1]CRITERIOS!$F$179:$F$199,$A803)&gt;=1,
 IF(O803&lt;&gt;"",
    (O803/_xlfn.XLOOKUP(CONCATENATE(A803,L803),[1]MÁQUINAS!A:A,[1]MÁQUINAS!D:D))/24,
    (N803/_xlfn.XLOOKUP(CONCATENATE(A803,L803),[1]MÁQUINAS!A:A,[1]MÁQUINAS!D:D))/24),
  _xlfn.XLOOKUP($A803,'[1]DATOS PBI Artículos'!A:A,'[1]DATOS PBI Artículos'!AU:AU))</f>
        <v>0</v>
      </c>
      <c r="K803" s="36">
        <f>_xlfn.XLOOKUP($A803,'[1]DATOS PBI Artículos'!A:A,'[1]DATOS PBI Artículos'!AV:AV)</f>
        <v>0</v>
      </c>
      <c r="L803" s="33">
        <f>_xlfn.XLOOKUP(A803,[1]MÁQUINAS!B:B,[1]MÁQUINAS!C:C)</f>
        <v>0</v>
      </c>
      <c r="M803" s="34">
        <f t="array" ref="M803">_xlfn.XLOOKUP(A803,'[1]DATOS PBI Artículos'!A:A,'[1]DATOS PBI Artículos'!AX:$AX)</f>
        <v>0</v>
      </c>
      <c r="N803" s="37" t="e">
        <f>IF(I803="DV",
E803,
IF(COUNTIF([1]CRITERIOS!$I$179:$I$199,$A803)&gt;=1,
_xlfn.XLOOKUP($A803,[1]CRITERIOS!$I$179:$I$199,[1]CRITERIOS!$J$179:$J$199),
IF(COUNTIF([1]CRITERIOS!$L$179:$L$199,$A803)&gt;=1,
_xlfn.CEILING.MATH(IF($M803&gt;$E803,
$E803,
IF($M803&lt;$E803/ROUNDDOWN([1]CRITERIOS!$M$16/_xlfn.XLOOKUP($C803,[1]CRITERIOS!$K$25:$K$42,[1]CRITERIOS!$M$25:$M$42),
1),
E803/ROUNDDOWN([1]CRITERIOS!$M$16/_xlfn.XLOOKUP($C803,[1]CRITERIOS!$K$25:$K$42,[1]CRITERIOS!$M$25:$M$42),
1),
$M803)),
_xlfn.XLOOKUP($A803,[1]CRITERIOS!$L$179:$L$200,[1]CRITERIOS!$M$179:$M$200)),
_xlfn.CEILING.MATH(IF($M803&gt;$E803,
$E803,
IF($M803&lt;$E803/ROUNDDOWN([1]CRITERIOS!$M$16/_xlfn.XLOOKUP($C803,[1]CRITERIOS!$K$25:$K$42,[1]CRITERIOS!$M$25:$M$42),
1),
E803/ROUNDDOWN([1]CRITERIOS!$M$16/_xlfn.XLOOKUP($C803,[1]CRITERIOS!$K$25:$K$42,[1]CRITERIOS!$M$25:$M$42),
1),
$M803)),_xlfn.XLOOKUP(A803,'[1]DATOS PBI Artículos'!A:A,'[1]DATOS PBI Artículos'!Z:Z
)))))</f>
        <v>#N/A</v>
      </c>
      <c r="Q803" s="38" t="e">
        <f>IF(AND(O803="",N803=0),
0,
   IF(COUNTIF([1]CRITERIOS!$F$179:$F$199,$A803)&gt;=1,
   1,
   IF(R803="MTO",
      $D803,
      ROUNDUP(
                    IF(($E803-SUMIF('[1]DATOS PBI Artículos'!A:A,A803,'[1]DATOS PBI Artículos'!X:X)+($V803-_xlfn.XLOOKUP(A803,'[1]DATOS PBI Artículos'!A:A,'[1]DATOS PBI Artículos'!W:W)))&lt;0,
                    0,
                    IF(($E803-SUMIF('[1]DATOS PBI Artículos'!A:A,A803,'[1]DATOS PBI Artículos'!X:X)+$V803-_xlfn.XLOOKUP($A803,'[1]DATOS PBI Artículos'!A:A,'[1]DATOS PBI Artículos'!W:W))/IF($O803="",$N803,$O803)&gt;ROUNDUP([1]CRITERIOS!$M$16/(IF(COUNTIF([1]CRITERIOS!$BG$11:$BG$201,L803)&gt;=1,_xlfn.XLOOKUP($C803,[1]CRITERIOS!$K$25:$K$42,[1]CRITERIOS!$M$25:$M$42),_xlfn.XLOOKUP($C803,[1]CRITERIOS!$K$25:$K$42,[1]CRITERIOS!$M$25:$M$42))),0),
                    ROUNDUP([1]CRITERIOS!$M$16/(IF(COUNTIF([1]CRITERIOS!$BG$11:$BG$201,$L803)&gt;=1,_xlfn.XLOOKUP($C803,[1]CRITERIOS!$K$25:$K$42,[1]CRITERIOS!$M$25:$M$42),_xlfn.XLOOKUP($C803,[1]CRITERIOS!$K$25:$K$42,[1]CRITERIOS!$M$25:$M$42))),0),
                    (E803+V803-SUMIF('[1]DATOS PBI Artículos'!A:A,A803,'[1]DATOS PBI Artículos'!X:X)-_xlfn.XLOOKUP(A803,'[1]DATOS PBI Artículos'!A:A,'[1]DATOS PBI Artículos'!W:W))/IF($O803="",$N803,$O803))),0))))</f>
        <v>#N/A</v>
      </c>
      <c r="R803" s="33" t="e">
        <f>IF(U803&lt;&gt;"",U803,IF(F803="DV","MTO",IF(N803=0,"MTO",_xlfn.XLOOKUP(CONCATENATE(S803,T803),[1]CRITERIOS!$K$160:$K$168,[1]CRITERIOS!$N$160:$N$168))))</f>
        <v>#N/A</v>
      </c>
      <c r="S803" s="33" t="e">
        <f>IF(G803="DV","MTO",IF(N803=0,"MTO",IF(OR(AND(N803=0,O803=""),IF(O803="",G803/N803,G803/O803)&gt;[1]CRITERIOS!$G$163),"MTO",IF(IF(O803="",G803/N803,G803/O803)&lt;[1]CRITERIOS!$H$161,"MTS","MTOS"))))</f>
        <v>#N/A</v>
      </c>
      <c r="T803" s="33" t="e">
        <f>IF(F803="DV","MTO",IF(OR(AND($N803=0,O803=""),$F803/$J803&gt;[1]CRITERIOS!$G$170,$F803="DV"),"MTO",IF($F803/$J803&lt;[1]CRITERIOS!$H$168,"MTS","MTOS")))</f>
        <v>#N/A</v>
      </c>
      <c r="V803" s="34" t="e">
        <f t="shared" si="40"/>
        <v>#N/A</v>
      </c>
      <c r="X803" s="34" t="e">
        <f t="shared" si="38"/>
        <v>#N/A</v>
      </c>
      <c r="Y803" s="34" t="e">
        <f t="shared" si="39"/>
        <v>#N/A</v>
      </c>
      <c r="Z803" s="34" t="e">
        <f>IF($R803="MTO",
0,
($H803+$K803*($E803/[1]CRITERIOS!$M$16))/[1]CRITERIOS!$X$48)</f>
        <v>#N/A</v>
      </c>
      <c r="AA803" s="34" t="e">
        <f>ROUNDUP(($Y803/_xlfn.XLOOKUP($A803,'[1]DATOS PBI Artículos'!$A$4:$A$4,'[1]DATOS PBI Artículos'!$Z$4:$Z$4))/_xlfn.XLOOKUP(_xlfn.XLOOKUP($A803,'[1]DATOS PBI Artículos'!$A$4:$A$4,'[1]DATOS PBI Artículos'!$Y$4:$Y$4),[1]CRITERIOS!$P$79:$P$123,[1]CRITERIOS!$S$79:$S$123,),0)</f>
        <v>#N/A</v>
      </c>
      <c r="AC803" s="33" t="e">
        <f>IF(N803=0,"",(ROUNDUP((N803/2)/(_xlfn.XLOOKUP(A803,'[1]DATOS PBI Artículos'!$A$4:$A$4,'[1]DATOS PBI Artículos'!$Z$4:$Z$4)*_xlfn.XLOOKUP(_xlfn.XLOOKUP(A803,'[1]DATOS PBI Artículos'!$A$4:$A$4,'[1]DATOS PBI Artículos'!$Y$4:$Y$4),[1]CRITERIOS!$P$79:$P$123,[1]CRITERIOS!$S$79:$S$123)),0)*[1]CRITERIOS!$M$80*([1]CRITERIOS!$M$110/[1]CRITERIOS!$M$86)+(_xlfn.XLOOKUP(A803,'[1]DATOS PBI Artículos'!$A$4:$A$4,'[1]DATOS PBI Artículos'!$AA$4:$AA$4)*([1]CRITERIOS!$M$95+[1]CRITERIOS!$M$98)))/N803)</f>
        <v>#N/A</v>
      </c>
      <c r="AD803" s="33" t="e">
        <f>IF(N803=0,"",(ROUNDUP((N803/2)/(_xlfn.XLOOKUP(A803,'[1]DATOS PBI Artículos'!$A$4:$A$4,'[1]DATOS PBI Artículos'!$Z$4:$Z$4)*_xlfn.XLOOKUP(_xlfn.XLOOKUP(A803,'[1]DATOS PBI Artículos'!$A$4:$A$4,'[1]DATOS PBI Artículos'!$Y$4:$Y$4),[1]CRITERIOS!$P$79:$P$123,[1]CRITERIOS!$S$79:$S$123)),0)*[1]CRITERIOS!$M$80*([1]CRITERIOS!$M$89*[1]CRITERIOS!$M$92)+((_xlfn.XLOOKUP(A803,'[1]DATOS PBI Artículos'!$A$4:$A$4,'[1]DATOS PBI Artículos'!$AA$4:$AA$4)/2)*([1]CRITERIOS!$M$95+[1]CRITERIOS!$M$98)))/N803)</f>
        <v>#N/A</v>
      </c>
      <c r="AE803" s="39" t="e">
        <f>IF($R803="MTO","",
IF($H803=0,ROUNDUP(((_xlfn.XLOOKUP($A803,'[1]DATOS PBI Artículos'!$A:$A,'[1]DATOS PBI Artículos'!$AL:$AL))/(_xlfn.XLOOKUP($AF$1,[1]CRITERIOS!$S$16:$S$39,[1]CRITERIOS!$Y$16:$Y$39))*$J803+$Z803)/$G803,0)*$G803,
((_xlfn.XLOOKUP($A803,'[1]DATOS PBI Artículos'!$A:$A,'[1]DATOS PBI Artículos'!$AL:$AL))/(_xlfn.XLOOKUP($AF$1,[1]CRITERIOS!$S$16:$S$39,[1]CRITERIOS!$Y$16:$Y$39))*$J803+$Z803)))</f>
        <v>#N/A</v>
      </c>
      <c r="AG803" s="39" t="e">
        <f>IF($R803="MTO","",
IF($H803=0,ROUNDUP(((_xlfn.XLOOKUP($A803,'[1]DATOS PBI Artículos'!$A:$A,'[1]DATOS PBI Artículos'!$AM:$AM))/(_xlfn.XLOOKUP($AH$1,[1]CRITERIOS!$S$16:$S$39,[1]CRITERIOS!$Y$16:$Y$39))*$J803+$Z803)/$G803,0)*$G803,
((_xlfn.XLOOKUP($A803,'[1]DATOS PBI Artículos'!$A:$A,'[1]DATOS PBI Artículos'!$AM:$AM))/(_xlfn.XLOOKUP($AH$1,[1]CRITERIOS!$S$16:$S$39,[1]CRITERIOS!$Y$16:$Y$39))*$J803+$Z803)))</f>
        <v>#N/A</v>
      </c>
      <c r="AI803" s="39" t="e">
        <f>IF($R803="MTO","",
IF($H803=0,ROUNDUP(((_xlfn.XLOOKUP($A803,'[1]DATOS PBI Artículos'!$A:$A,'[1]DATOS PBI Artículos'!$AN:$AN))/(_xlfn.XLOOKUP($AJ$1,[1]CRITERIOS!$S$16:$S$39,[1]CRITERIOS!$Y$16:$Y$39))*$J803+$Z803)/$G803,0)*$G803,
((_xlfn.XLOOKUP($A803,'[1]DATOS PBI Artículos'!$A:$A,'[1]DATOS PBI Artículos'!$AN:$AN))/(_xlfn.XLOOKUP($AJ$1,[1]CRITERIOS!$S$16:$S$39,[1]CRITERIOS!$Y$16:$Y$39))*$J803+$Z803)))</f>
        <v>#N/A</v>
      </c>
      <c r="AK803" s="39" t="e">
        <f>IF($R803="MTO","",
IF($H803=0,ROUNDUP(((_xlfn.XLOOKUP($A803,'[1]DATOS PBI Artículos'!$A:$A,'[1]DATOS PBI Artículos'!$AO:$AO))/(_xlfn.XLOOKUP($AL$1,[1]CRITERIOS!$S$16:$S$39,[1]CRITERIOS!$Y$16:$Y$39))*$J803+$Z803)/$G803,0)*$G803,
((_xlfn.XLOOKUP($A803,'[1]DATOS PBI Artículos'!$A:$A,'[1]DATOS PBI Artículos'!$AO:$AO))/(_xlfn.XLOOKUP($AL$1,[1]CRITERIOS!$S$16:$S$39,[1]CRITERIOS!$Y$16:$Y$39))*$J803+$Z803)))</f>
        <v>#N/A</v>
      </c>
    </row>
    <row r="804" spans="1:37" ht="25.8" hidden="1" x14ac:dyDescent="0.4">
      <c r="A804" s="41"/>
      <c r="B804" s="33">
        <f>_xlfn.XLOOKUP($A804,'[1]DATOS PBI Artículos'!A:A,'[1]DATOS PBI Artículos'!B:B)</f>
        <v>0</v>
      </c>
      <c r="C804" s="33">
        <f>_xlfn.XLOOKUP($A804,'[1]DATOS PBI Artículos'!A:A,'[1]DATOS PBI Artículos'!C:C)</f>
        <v>0</v>
      </c>
      <c r="D804" s="33">
        <f>_xlfn.XLOOKUP(A804,'[1]DATOS PBI Artículos'!A:A,'[1]DATOS PBI Artículos'!T:T)</f>
        <v>0</v>
      </c>
      <c r="E804" s="34">
        <f>IF(_xlfn.XLOOKUP($A804,'[1]DATOS PBI Artículos'!A:A,'[1]DATOS PBI Artículos'!AK:AK)="",_xlfn.XLOOKUP($A804,'[1]DATOS PBI Artículos'!A:A,'[1]DATOS PBI Artículos'!AJ:AJ),_xlfn.XLOOKUP($A804,'[1]DATOS PBI Artículos'!A:A,'[1]DATOS PBI Artículos'!AK:AK))</f>
        <v>0</v>
      </c>
      <c r="F804" s="35">
        <f>_xlfn.XLOOKUP($A804,'[1]DATOS PBI Artículos'!A:A,'[1]DATOS PBI Artículos'!AP:AP)</f>
        <v>0</v>
      </c>
      <c r="G804" s="34">
        <f>_xlfn.XLOOKUP($A804,'[1]DATOS PBI Artículos'!A:A,'[1]DATOS PBI Artículos'!AR:AR)</f>
        <v>0</v>
      </c>
      <c r="H804" s="34">
        <f>_xlfn.XLOOKUP($A804,'[1]DATOS PBI Artículos'!A:A,'[1]DATOS PBI Artículos'!AT:AT)</f>
        <v>0</v>
      </c>
      <c r="I804" s="34">
        <f>_xlfn.XLOOKUP($A804,'[1]DATOS PBI Artículos'!A:A,'[1]DATOS PBI Artículos'!AS:AS)</f>
        <v>0</v>
      </c>
      <c r="J804" s="35">
        <f>IF(COUNTIF([1]CRITERIOS!$F$179:$F$199,$A804)&gt;=1,
 IF(O804&lt;&gt;"",
    (O804/_xlfn.XLOOKUP(CONCATENATE(A804,L804),[1]MÁQUINAS!A:A,[1]MÁQUINAS!D:D))/24,
    (N804/_xlfn.XLOOKUP(CONCATENATE(A804,L804),[1]MÁQUINAS!A:A,[1]MÁQUINAS!D:D))/24),
  _xlfn.XLOOKUP($A804,'[1]DATOS PBI Artículos'!A:A,'[1]DATOS PBI Artículos'!AU:AU))</f>
        <v>0</v>
      </c>
      <c r="K804" s="36">
        <f>_xlfn.XLOOKUP($A804,'[1]DATOS PBI Artículos'!A:A,'[1]DATOS PBI Artículos'!AV:AV)</f>
        <v>0</v>
      </c>
      <c r="L804" s="33">
        <f>_xlfn.XLOOKUP(A804,[1]MÁQUINAS!B:B,[1]MÁQUINAS!C:C)</f>
        <v>0</v>
      </c>
      <c r="M804" s="34">
        <f t="array" ref="M804">_xlfn.XLOOKUP(A804,'[1]DATOS PBI Artículos'!A:A,'[1]DATOS PBI Artículos'!AX:$AX)</f>
        <v>0</v>
      </c>
      <c r="N804" s="37" t="e">
        <f>IF(I804="DV",
E804,
IF(COUNTIF([1]CRITERIOS!$I$179:$I$199,$A804)&gt;=1,
_xlfn.XLOOKUP($A804,[1]CRITERIOS!$I$179:$I$199,[1]CRITERIOS!$J$179:$J$199),
IF(COUNTIF([1]CRITERIOS!$L$179:$L$199,$A804)&gt;=1,
_xlfn.CEILING.MATH(IF($M804&gt;$E804,
$E804,
IF($M804&lt;$E804/ROUNDDOWN([1]CRITERIOS!$M$16/_xlfn.XLOOKUP($C804,[1]CRITERIOS!$K$25:$K$42,[1]CRITERIOS!$M$25:$M$42),
1),
E804/ROUNDDOWN([1]CRITERIOS!$M$16/_xlfn.XLOOKUP($C804,[1]CRITERIOS!$K$25:$K$42,[1]CRITERIOS!$M$25:$M$42),
1),
$M804)),
_xlfn.XLOOKUP($A804,[1]CRITERIOS!$L$179:$L$200,[1]CRITERIOS!$M$179:$M$200)),
_xlfn.CEILING.MATH(IF($M804&gt;$E804,
$E804,
IF($M804&lt;$E804/ROUNDDOWN([1]CRITERIOS!$M$16/_xlfn.XLOOKUP($C804,[1]CRITERIOS!$K$25:$K$42,[1]CRITERIOS!$M$25:$M$42),
1),
E804/ROUNDDOWN([1]CRITERIOS!$M$16/_xlfn.XLOOKUP($C804,[1]CRITERIOS!$K$25:$K$42,[1]CRITERIOS!$M$25:$M$42),
1),
$M804)),_xlfn.XLOOKUP(A804,'[1]DATOS PBI Artículos'!A:A,'[1]DATOS PBI Artículos'!Z:Z
)))))</f>
        <v>#N/A</v>
      </c>
      <c r="Q804" s="38" t="e">
        <f>IF(AND(O804="",N804=0),
0,
   IF(COUNTIF([1]CRITERIOS!$F$179:$F$199,$A804)&gt;=1,
   1,
   IF(R804="MTO",
      $D804,
      ROUNDUP(
                    IF(($E804-SUMIF('[1]DATOS PBI Artículos'!A:A,A804,'[1]DATOS PBI Artículos'!X:X)+($V804-_xlfn.XLOOKUP(A804,'[1]DATOS PBI Artículos'!A:A,'[1]DATOS PBI Artículos'!W:W)))&lt;0,
                    0,
                    IF(($E804-SUMIF('[1]DATOS PBI Artículos'!A:A,A804,'[1]DATOS PBI Artículos'!X:X)+$V804-_xlfn.XLOOKUP($A804,'[1]DATOS PBI Artículos'!A:A,'[1]DATOS PBI Artículos'!W:W))/IF($O804="",$N804,$O804)&gt;ROUNDUP([1]CRITERIOS!$M$16/(IF(COUNTIF([1]CRITERIOS!$BG$11:$BG$201,L804)&gt;=1,_xlfn.XLOOKUP($C804,[1]CRITERIOS!$K$25:$K$42,[1]CRITERIOS!$M$25:$M$42),_xlfn.XLOOKUP($C804,[1]CRITERIOS!$K$25:$K$42,[1]CRITERIOS!$M$25:$M$42))),0),
                    ROUNDUP([1]CRITERIOS!$M$16/(IF(COUNTIF([1]CRITERIOS!$BG$11:$BG$201,$L804)&gt;=1,_xlfn.XLOOKUP($C804,[1]CRITERIOS!$K$25:$K$42,[1]CRITERIOS!$M$25:$M$42),_xlfn.XLOOKUP($C804,[1]CRITERIOS!$K$25:$K$42,[1]CRITERIOS!$M$25:$M$42))),0),
                    (E804+V804-SUMIF('[1]DATOS PBI Artículos'!A:A,A804,'[1]DATOS PBI Artículos'!X:X)-_xlfn.XLOOKUP(A804,'[1]DATOS PBI Artículos'!A:A,'[1]DATOS PBI Artículos'!W:W))/IF($O804="",$N804,$O804))),0))))</f>
        <v>#N/A</v>
      </c>
      <c r="R804" s="33" t="e">
        <f>IF(U804&lt;&gt;"",U804,IF(F804="DV","MTO",IF(N804=0,"MTO",_xlfn.XLOOKUP(CONCATENATE(S804,T804),[1]CRITERIOS!$K$160:$K$168,[1]CRITERIOS!$N$160:$N$168))))</f>
        <v>#N/A</v>
      </c>
      <c r="S804" s="33" t="e">
        <f>IF(G804="DV","MTO",IF(N804=0,"MTO",IF(OR(AND(N804=0,O804=""),IF(O804="",G804/N804,G804/O804)&gt;[1]CRITERIOS!$G$163),"MTO",IF(IF(O804="",G804/N804,G804/O804)&lt;[1]CRITERIOS!$H$161,"MTS","MTOS"))))</f>
        <v>#N/A</v>
      </c>
      <c r="T804" s="33" t="e">
        <f>IF(F804="DV","MTO",IF(OR(AND($N804=0,O804=""),$F804/$J804&gt;[1]CRITERIOS!$G$170,$F804="DV"),"MTO",IF($F804/$J804&lt;[1]CRITERIOS!$H$168,"MTS","MTOS")))</f>
        <v>#N/A</v>
      </c>
      <c r="V804" s="34" t="e">
        <f t="shared" si="40"/>
        <v>#N/A</v>
      </c>
      <c r="X804" s="34" t="e">
        <f t="shared" si="38"/>
        <v>#N/A</v>
      </c>
      <c r="Y804" s="34" t="e">
        <f t="shared" si="39"/>
        <v>#N/A</v>
      </c>
      <c r="Z804" s="34" t="e">
        <f>IF($R804="MTO",
0,
($H804+$K804*($E804/[1]CRITERIOS!$M$16))/[1]CRITERIOS!$X$48)</f>
        <v>#N/A</v>
      </c>
      <c r="AA804" s="34" t="e">
        <f>ROUNDUP(($Y804/_xlfn.XLOOKUP($A804,'[1]DATOS PBI Artículos'!$A$4:$A$4,'[1]DATOS PBI Artículos'!$Z$4:$Z$4))/_xlfn.XLOOKUP(_xlfn.XLOOKUP($A804,'[1]DATOS PBI Artículos'!$A$4:$A$4,'[1]DATOS PBI Artículos'!$Y$4:$Y$4),[1]CRITERIOS!$P$79:$P$123,[1]CRITERIOS!$S$79:$S$123,),0)</f>
        <v>#N/A</v>
      </c>
      <c r="AC804" s="33" t="e">
        <f>IF(N804=0,"",(ROUNDUP((N804/2)/(_xlfn.XLOOKUP(A804,'[1]DATOS PBI Artículos'!$A$4:$A$4,'[1]DATOS PBI Artículos'!$Z$4:$Z$4)*_xlfn.XLOOKUP(_xlfn.XLOOKUP(A804,'[1]DATOS PBI Artículos'!$A$4:$A$4,'[1]DATOS PBI Artículos'!$Y$4:$Y$4),[1]CRITERIOS!$P$79:$P$123,[1]CRITERIOS!$S$79:$S$123)),0)*[1]CRITERIOS!$M$80*([1]CRITERIOS!$M$110/[1]CRITERIOS!$M$86)+(_xlfn.XLOOKUP(A804,'[1]DATOS PBI Artículos'!$A$4:$A$4,'[1]DATOS PBI Artículos'!$AA$4:$AA$4)*([1]CRITERIOS!$M$95+[1]CRITERIOS!$M$98)))/N804)</f>
        <v>#N/A</v>
      </c>
      <c r="AD804" s="33" t="e">
        <f>IF(N804=0,"",(ROUNDUP((N804/2)/(_xlfn.XLOOKUP(A804,'[1]DATOS PBI Artículos'!$A$4:$A$4,'[1]DATOS PBI Artículos'!$Z$4:$Z$4)*_xlfn.XLOOKUP(_xlfn.XLOOKUP(A804,'[1]DATOS PBI Artículos'!$A$4:$A$4,'[1]DATOS PBI Artículos'!$Y$4:$Y$4),[1]CRITERIOS!$P$79:$P$123,[1]CRITERIOS!$S$79:$S$123)),0)*[1]CRITERIOS!$M$80*([1]CRITERIOS!$M$89*[1]CRITERIOS!$M$92)+((_xlfn.XLOOKUP(A804,'[1]DATOS PBI Artículos'!$A$4:$A$4,'[1]DATOS PBI Artículos'!$AA$4:$AA$4)/2)*([1]CRITERIOS!$M$95+[1]CRITERIOS!$M$98)))/N804)</f>
        <v>#N/A</v>
      </c>
      <c r="AE804" s="39" t="e">
        <f>IF($R804="MTO","",
IF($H804=0,ROUNDUP(((_xlfn.XLOOKUP($A804,'[1]DATOS PBI Artículos'!$A:$A,'[1]DATOS PBI Artículos'!$AL:$AL))/(_xlfn.XLOOKUP($AF$1,[1]CRITERIOS!$S$16:$S$39,[1]CRITERIOS!$Y$16:$Y$39))*$J804+$Z804)/$G804,0)*$G804,
((_xlfn.XLOOKUP($A804,'[1]DATOS PBI Artículos'!$A:$A,'[1]DATOS PBI Artículos'!$AL:$AL))/(_xlfn.XLOOKUP($AF$1,[1]CRITERIOS!$S$16:$S$39,[1]CRITERIOS!$Y$16:$Y$39))*$J804+$Z804)))</f>
        <v>#N/A</v>
      </c>
      <c r="AG804" s="39" t="e">
        <f>IF($R804="MTO","",
IF($H804=0,ROUNDUP(((_xlfn.XLOOKUP($A804,'[1]DATOS PBI Artículos'!$A:$A,'[1]DATOS PBI Artículos'!$AM:$AM))/(_xlfn.XLOOKUP($AH$1,[1]CRITERIOS!$S$16:$S$39,[1]CRITERIOS!$Y$16:$Y$39))*$J804+$Z804)/$G804,0)*$G804,
((_xlfn.XLOOKUP($A804,'[1]DATOS PBI Artículos'!$A:$A,'[1]DATOS PBI Artículos'!$AM:$AM))/(_xlfn.XLOOKUP($AH$1,[1]CRITERIOS!$S$16:$S$39,[1]CRITERIOS!$Y$16:$Y$39))*$J804+$Z804)))</f>
        <v>#N/A</v>
      </c>
      <c r="AI804" s="39" t="e">
        <f>IF($R804="MTO","",
IF($H804=0,ROUNDUP(((_xlfn.XLOOKUP($A804,'[1]DATOS PBI Artículos'!$A:$A,'[1]DATOS PBI Artículos'!$AN:$AN))/(_xlfn.XLOOKUP($AJ$1,[1]CRITERIOS!$S$16:$S$39,[1]CRITERIOS!$Y$16:$Y$39))*$J804+$Z804)/$G804,0)*$G804,
((_xlfn.XLOOKUP($A804,'[1]DATOS PBI Artículos'!$A:$A,'[1]DATOS PBI Artículos'!$AN:$AN))/(_xlfn.XLOOKUP($AJ$1,[1]CRITERIOS!$S$16:$S$39,[1]CRITERIOS!$Y$16:$Y$39))*$J804+$Z804)))</f>
        <v>#N/A</v>
      </c>
      <c r="AK804" s="39" t="e">
        <f>IF($R804="MTO","",
IF($H804=0,ROUNDUP(((_xlfn.XLOOKUP($A804,'[1]DATOS PBI Artículos'!$A:$A,'[1]DATOS PBI Artículos'!$AO:$AO))/(_xlfn.XLOOKUP($AL$1,[1]CRITERIOS!$S$16:$S$39,[1]CRITERIOS!$Y$16:$Y$39))*$J804+$Z804)/$G804,0)*$G804,
((_xlfn.XLOOKUP($A804,'[1]DATOS PBI Artículos'!$A:$A,'[1]DATOS PBI Artículos'!$AO:$AO))/(_xlfn.XLOOKUP($AL$1,[1]CRITERIOS!$S$16:$S$39,[1]CRITERIOS!$Y$16:$Y$39))*$J804+$Z804)))</f>
        <v>#N/A</v>
      </c>
    </row>
    <row r="805" spans="1:37" ht="25.8" hidden="1" x14ac:dyDescent="0.4">
      <c r="A805" s="41"/>
      <c r="B805" s="33">
        <f>_xlfn.XLOOKUP($A805,'[1]DATOS PBI Artículos'!A:A,'[1]DATOS PBI Artículos'!B:B)</f>
        <v>0</v>
      </c>
      <c r="C805" s="33">
        <f>_xlfn.XLOOKUP($A805,'[1]DATOS PBI Artículos'!A:A,'[1]DATOS PBI Artículos'!C:C)</f>
        <v>0</v>
      </c>
      <c r="D805" s="33">
        <f>_xlfn.XLOOKUP(A805,'[1]DATOS PBI Artículos'!A:A,'[1]DATOS PBI Artículos'!T:T)</f>
        <v>0</v>
      </c>
      <c r="E805" s="34">
        <f>IF(_xlfn.XLOOKUP($A805,'[1]DATOS PBI Artículos'!A:A,'[1]DATOS PBI Artículos'!AK:AK)="",_xlfn.XLOOKUP($A805,'[1]DATOS PBI Artículos'!A:A,'[1]DATOS PBI Artículos'!AJ:AJ),_xlfn.XLOOKUP($A805,'[1]DATOS PBI Artículos'!A:A,'[1]DATOS PBI Artículos'!AK:AK))</f>
        <v>0</v>
      </c>
      <c r="F805" s="35">
        <f>_xlfn.XLOOKUP($A805,'[1]DATOS PBI Artículos'!A:A,'[1]DATOS PBI Artículos'!AP:AP)</f>
        <v>0</v>
      </c>
      <c r="G805" s="34">
        <f>_xlfn.XLOOKUP($A805,'[1]DATOS PBI Artículos'!A:A,'[1]DATOS PBI Artículos'!AR:AR)</f>
        <v>0</v>
      </c>
      <c r="H805" s="34">
        <f>_xlfn.XLOOKUP($A805,'[1]DATOS PBI Artículos'!A:A,'[1]DATOS PBI Artículos'!AT:AT)</f>
        <v>0</v>
      </c>
      <c r="I805" s="34">
        <f>_xlfn.XLOOKUP($A805,'[1]DATOS PBI Artículos'!A:A,'[1]DATOS PBI Artículos'!AS:AS)</f>
        <v>0</v>
      </c>
      <c r="J805" s="35">
        <f>IF(COUNTIF([1]CRITERIOS!$F$179:$F$199,$A805)&gt;=1,
 IF(O805&lt;&gt;"",
    (O805/_xlfn.XLOOKUP(CONCATENATE(A805,L805),[1]MÁQUINAS!A:A,[1]MÁQUINAS!D:D))/24,
    (N805/_xlfn.XLOOKUP(CONCATENATE(A805,L805),[1]MÁQUINAS!A:A,[1]MÁQUINAS!D:D))/24),
  _xlfn.XLOOKUP($A805,'[1]DATOS PBI Artículos'!A:A,'[1]DATOS PBI Artículos'!AU:AU))</f>
        <v>0</v>
      </c>
      <c r="K805" s="36">
        <f>_xlfn.XLOOKUP($A805,'[1]DATOS PBI Artículos'!A:A,'[1]DATOS PBI Artículos'!AV:AV)</f>
        <v>0</v>
      </c>
      <c r="L805" s="33">
        <f>_xlfn.XLOOKUP(A805,[1]MÁQUINAS!B:B,[1]MÁQUINAS!C:C)</f>
        <v>0</v>
      </c>
      <c r="M805" s="34">
        <f t="array" ref="M805">_xlfn.XLOOKUP(A805,'[1]DATOS PBI Artículos'!A:A,'[1]DATOS PBI Artículos'!AX:$AX)</f>
        <v>0</v>
      </c>
      <c r="N805" s="37" t="e">
        <f>IF(I805="DV",
E805,
IF(COUNTIF([1]CRITERIOS!$I$179:$I$199,$A805)&gt;=1,
_xlfn.XLOOKUP($A805,[1]CRITERIOS!$I$179:$I$199,[1]CRITERIOS!$J$179:$J$199),
IF(COUNTIF([1]CRITERIOS!$L$179:$L$199,$A805)&gt;=1,
_xlfn.CEILING.MATH(IF($M805&gt;$E805,
$E805,
IF($M805&lt;$E805/ROUNDDOWN([1]CRITERIOS!$M$16/_xlfn.XLOOKUP($C805,[1]CRITERIOS!$K$25:$K$42,[1]CRITERIOS!$M$25:$M$42),
1),
E805/ROUNDDOWN([1]CRITERIOS!$M$16/_xlfn.XLOOKUP($C805,[1]CRITERIOS!$K$25:$K$42,[1]CRITERIOS!$M$25:$M$42),
1),
$M805)),
_xlfn.XLOOKUP($A805,[1]CRITERIOS!$L$179:$L$200,[1]CRITERIOS!$M$179:$M$200)),
_xlfn.CEILING.MATH(IF($M805&gt;$E805,
$E805,
IF($M805&lt;$E805/ROUNDDOWN([1]CRITERIOS!$M$16/_xlfn.XLOOKUP($C805,[1]CRITERIOS!$K$25:$K$42,[1]CRITERIOS!$M$25:$M$42),
1),
E805/ROUNDDOWN([1]CRITERIOS!$M$16/_xlfn.XLOOKUP($C805,[1]CRITERIOS!$K$25:$K$42,[1]CRITERIOS!$M$25:$M$42),
1),
$M805)),_xlfn.XLOOKUP(A805,'[1]DATOS PBI Artículos'!A:A,'[1]DATOS PBI Artículos'!Z:Z
)))))</f>
        <v>#N/A</v>
      </c>
      <c r="Q805" s="38" t="e">
        <f>IF(AND(O805="",N805=0),
0,
   IF(COUNTIF([1]CRITERIOS!$F$179:$F$199,$A805)&gt;=1,
   1,
   IF(R805="MTO",
      $D805,
      ROUNDUP(
                    IF(($E805-SUMIF('[1]DATOS PBI Artículos'!A:A,A805,'[1]DATOS PBI Artículos'!X:X)+($V805-_xlfn.XLOOKUP(A805,'[1]DATOS PBI Artículos'!A:A,'[1]DATOS PBI Artículos'!W:W)))&lt;0,
                    0,
                    IF(($E805-SUMIF('[1]DATOS PBI Artículos'!A:A,A805,'[1]DATOS PBI Artículos'!X:X)+$V805-_xlfn.XLOOKUP($A805,'[1]DATOS PBI Artículos'!A:A,'[1]DATOS PBI Artículos'!W:W))/IF($O805="",$N805,$O805)&gt;ROUNDUP([1]CRITERIOS!$M$16/(IF(COUNTIF([1]CRITERIOS!$BG$11:$BG$201,L805)&gt;=1,_xlfn.XLOOKUP($C805,[1]CRITERIOS!$K$25:$K$42,[1]CRITERIOS!$M$25:$M$42),_xlfn.XLOOKUP($C805,[1]CRITERIOS!$K$25:$K$42,[1]CRITERIOS!$M$25:$M$42))),0),
                    ROUNDUP([1]CRITERIOS!$M$16/(IF(COUNTIF([1]CRITERIOS!$BG$11:$BG$201,$L805)&gt;=1,_xlfn.XLOOKUP($C805,[1]CRITERIOS!$K$25:$K$42,[1]CRITERIOS!$M$25:$M$42),_xlfn.XLOOKUP($C805,[1]CRITERIOS!$K$25:$K$42,[1]CRITERIOS!$M$25:$M$42))),0),
                    (E805+V805-SUMIF('[1]DATOS PBI Artículos'!A:A,A805,'[1]DATOS PBI Artículos'!X:X)-_xlfn.XLOOKUP(A805,'[1]DATOS PBI Artículos'!A:A,'[1]DATOS PBI Artículos'!W:W))/IF($O805="",$N805,$O805))),0))))</f>
        <v>#N/A</v>
      </c>
      <c r="R805" s="33" t="e">
        <f>IF(U805&lt;&gt;"",U805,IF(F805="DV","MTO",IF(N805=0,"MTO",_xlfn.XLOOKUP(CONCATENATE(S805,T805),[1]CRITERIOS!$K$160:$K$168,[1]CRITERIOS!$N$160:$N$168))))</f>
        <v>#N/A</v>
      </c>
      <c r="S805" s="33" t="e">
        <f>IF(G805="DV","MTO",IF(N805=0,"MTO",IF(OR(AND(N805=0,O805=""),IF(O805="",G805/N805,G805/O805)&gt;[1]CRITERIOS!$G$163),"MTO",IF(IF(O805="",G805/N805,G805/O805)&lt;[1]CRITERIOS!$H$161,"MTS","MTOS"))))</f>
        <v>#N/A</v>
      </c>
      <c r="T805" s="33" t="e">
        <f>IF(F805="DV","MTO",IF(OR(AND($N805=0,O805=""),$F805/$J805&gt;[1]CRITERIOS!$G$170,$F805="DV"),"MTO",IF($F805/$J805&lt;[1]CRITERIOS!$H$168,"MTS","MTOS")))</f>
        <v>#N/A</v>
      </c>
      <c r="V805" s="34" t="e">
        <f t="shared" si="40"/>
        <v>#N/A</v>
      </c>
      <c r="X805" s="34" t="e">
        <f t="shared" si="38"/>
        <v>#N/A</v>
      </c>
      <c r="Y805" s="34" t="e">
        <f t="shared" si="39"/>
        <v>#N/A</v>
      </c>
      <c r="Z805" s="34" t="e">
        <f>IF($R805="MTO",
0,
($H805+$K805*($E805/[1]CRITERIOS!$M$16))/[1]CRITERIOS!$X$48)</f>
        <v>#N/A</v>
      </c>
      <c r="AA805" s="34" t="e">
        <f>ROUNDUP(($Y805/_xlfn.XLOOKUP($A805,'[1]DATOS PBI Artículos'!$A$4:$A$4,'[1]DATOS PBI Artículos'!$Z$4:$Z$4))/_xlfn.XLOOKUP(_xlfn.XLOOKUP($A805,'[1]DATOS PBI Artículos'!$A$4:$A$4,'[1]DATOS PBI Artículos'!$Y$4:$Y$4),[1]CRITERIOS!$P$79:$P$123,[1]CRITERIOS!$S$79:$S$123,),0)</f>
        <v>#N/A</v>
      </c>
      <c r="AC805" s="33" t="e">
        <f>IF(N805=0,"",(ROUNDUP((N805/2)/(_xlfn.XLOOKUP(A805,'[1]DATOS PBI Artículos'!$A$4:$A$4,'[1]DATOS PBI Artículos'!$Z$4:$Z$4)*_xlfn.XLOOKUP(_xlfn.XLOOKUP(A805,'[1]DATOS PBI Artículos'!$A$4:$A$4,'[1]DATOS PBI Artículos'!$Y$4:$Y$4),[1]CRITERIOS!$P$79:$P$123,[1]CRITERIOS!$S$79:$S$123)),0)*[1]CRITERIOS!$M$80*([1]CRITERIOS!$M$110/[1]CRITERIOS!$M$86)+(_xlfn.XLOOKUP(A805,'[1]DATOS PBI Artículos'!$A$4:$A$4,'[1]DATOS PBI Artículos'!$AA$4:$AA$4)*([1]CRITERIOS!$M$95+[1]CRITERIOS!$M$98)))/N805)</f>
        <v>#N/A</v>
      </c>
      <c r="AD805" s="33" t="e">
        <f>IF(N805=0,"",(ROUNDUP((N805/2)/(_xlfn.XLOOKUP(A805,'[1]DATOS PBI Artículos'!$A$4:$A$4,'[1]DATOS PBI Artículos'!$Z$4:$Z$4)*_xlfn.XLOOKUP(_xlfn.XLOOKUP(A805,'[1]DATOS PBI Artículos'!$A$4:$A$4,'[1]DATOS PBI Artículos'!$Y$4:$Y$4),[1]CRITERIOS!$P$79:$P$123,[1]CRITERIOS!$S$79:$S$123)),0)*[1]CRITERIOS!$M$80*([1]CRITERIOS!$M$89*[1]CRITERIOS!$M$92)+((_xlfn.XLOOKUP(A805,'[1]DATOS PBI Artículos'!$A$4:$A$4,'[1]DATOS PBI Artículos'!$AA$4:$AA$4)/2)*([1]CRITERIOS!$M$95+[1]CRITERIOS!$M$98)))/N805)</f>
        <v>#N/A</v>
      </c>
      <c r="AE805" s="39" t="e">
        <f>IF($R805="MTO","",
IF($H805=0,ROUNDUP(((_xlfn.XLOOKUP($A805,'[1]DATOS PBI Artículos'!$A:$A,'[1]DATOS PBI Artículos'!$AL:$AL))/(_xlfn.XLOOKUP($AF$1,[1]CRITERIOS!$S$16:$S$39,[1]CRITERIOS!$Y$16:$Y$39))*$J805+$Z805)/$G805,0)*$G805,
((_xlfn.XLOOKUP($A805,'[1]DATOS PBI Artículos'!$A:$A,'[1]DATOS PBI Artículos'!$AL:$AL))/(_xlfn.XLOOKUP($AF$1,[1]CRITERIOS!$S$16:$S$39,[1]CRITERIOS!$Y$16:$Y$39))*$J805+$Z805)))</f>
        <v>#N/A</v>
      </c>
      <c r="AG805" s="39" t="e">
        <f>IF($R805="MTO","",
IF($H805=0,ROUNDUP(((_xlfn.XLOOKUP($A805,'[1]DATOS PBI Artículos'!$A:$A,'[1]DATOS PBI Artículos'!$AM:$AM))/(_xlfn.XLOOKUP($AH$1,[1]CRITERIOS!$S$16:$S$39,[1]CRITERIOS!$Y$16:$Y$39))*$J805+$Z805)/$G805,0)*$G805,
((_xlfn.XLOOKUP($A805,'[1]DATOS PBI Artículos'!$A:$A,'[1]DATOS PBI Artículos'!$AM:$AM))/(_xlfn.XLOOKUP($AH$1,[1]CRITERIOS!$S$16:$S$39,[1]CRITERIOS!$Y$16:$Y$39))*$J805+$Z805)))</f>
        <v>#N/A</v>
      </c>
      <c r="AI805" s="39" t="e">
        <f>IF($R805="MTO","",
IF($H805=0,ROUNDUP(((_xlfn.XLOOKUP($A805,'[1]DATOS PBI Artículos'!$A:$A,'[1]DATOS PBI Artículos'!$AN:$AN))/(_xlfn.XLOOKUP($AJ$1,[1]CRITERIOS!$S$16:$S$39,[1]CRITERIOS!$Y$16:$Y$39))*$J805+$Z805)/$G805,0)*$G805,
((_xlfn.XLOOKUP($A805,'[1]DATOS PBI Artículos'!$A:$A,'[1]DATOS PBI Artículos'!$AN:$AN))/(_xlfn.XLOOKUP($AJ$1,[1]CRITERIOS!$S$16:$S$39,[1]CRITERIOS!$Y$16:$Y$39))*$J805+$Z805)))</f>
        <v>#N/A</v>
      </c>
      <c r="AK805" s="39" t="e">
        <f>IF($R805="MTO","",
IF($H805=0,ROUNDUP(((_xlfn.XLOOKUP($A805,'[1]DATOS PBI Artículos'!$A:$A,'[1]DATOS PBI Artículos'!$AO:$AO))/(_xlfn.XLOOKUP($AL$1,[1]CRITERIOS!$S$16:$S$39,[1]CRITERIOS!$Y$16:$Y$39))*$J805+$Z805)/$G805,0)*$G805,
((_xlfn.XLOOKUP($A805,'[1]DATOS PBI Artículos'!$A:$A,'[1]DATOS PBI Artículos'!$AO:$AO))/(_xlfn.XLOOKUP($AL$1,[1]CRITERIOS!$S$16:$S$39,[1]CRITERIOS!$Y$16:$Y$39))*$J805+$Z805)))</f>
        <v>#N/A</v>
      </c>
    </row>
    <row r="806" spans="1:37" ht="25.8" hidden="1" x14ac:dyDescent="0.4">
      <c r="A806" s="41"/>
      <c r="B806" s="33">
        <f>_xlfn.XLOOKUP($A806,'[1]DATOS PBI Artículos'!A:A,'[1]DATOS PBI Artículos'!B:B)</f>
        <v>0</v>
      </c>
      <c r="C806" s="33">
        <f>_xlfn.XLOOKUP($A806,'[1]DATOS PBI Artículos'!A:A,'[1]DATOS PBI Artículos'!C:C)</f>
        <v>0</v>
      </c>
      <c r="D806" s="33">
        <f>_xlfn.XLOOKUP(A806,'[1]DATOS PBI Artículos'!A:A,'[1]DATOS PBI Artículos'!T:T)</f>
        <v>0</v>
      </c>
      <c r="E806" s="34">
        <f>IF(_xlfn.XLOOKUP($A806,'[1]DATOS PBI Artículos'!A:A,'[1]DATOS PBI Artículos'!AK:AK)="",_xlfn.XLOOKUP($A806,'[1]DATOS PBI Artículos'!A:A,'[1]DATOS PBI Artículos'!AJ:AJ),_xlfn.XLOOKUP($A806,'[1]DATOS PBI Artículos'!A:A,'[1]DATOS PBI Artículos'!AK:AK))</f>
        <v>0</v>
      </c>
      <c r="F806" s="35">
        <f>_xlfn.XLOOKUP($A806,'[1]DATOS PBI Artículos'!A:A,'[1]DATOS PBI Artículos'!AP:AP)</f>
        <v>0</v>
      </c>
      <c r="G806" s="34">
        <f>_xlfn.XLOOKUP($A806,'[1]DATOS PBI Artículos'!A:A,'[1]DATOS PBI Artículos'!AR:AR)</f>
        <v>0</v>
      </c>
      <c r="H806" s="34">
        <f>_xlfn.XLOOKUP($A806,'[1]DATOS PBI Artículos'!A:A,'[1]DATOS PBI Artículos'!AT:AT)</f>
        <v>0</v>
      </c>
      <c r="I806" s="34">
        <f>_xlfn.XLOOKUP($A806,'[1]DATOS PBI Artículos'!A:A,'[1]DATOS PBI Artículos'!AS:AS)</f>
        <v>0</v>
      </c>
      <c r="J806" s="35">
        <f>IF(COUNTIF([1]CRITERIOS!$F$179:$F$199,$A806)&gt;=1,
 IF(O806&lt;&gt;"",
    (O806/_xlfn.XLOOKUP(CONCATENATE(A806,L806),[1]MÁQUINAS!A:A,[1]MÁQUINAS!D:D))/24,
    (N806/_xlfn.XLOOKUP(CONCATENATE(A806,L806),[1]MÁQUINAS!A:A,[1]MÁQUINAS!D:D))/24),
  _xlfn.XLOOKUP($A806,'[1]DATOS PBI Artículos'!A:A,'[1]DATOS PBI Artículos'!AU:AU))</f>
        <v>0</v>
      </c>
      <c r="K806" s="36">
        <f>_xlfn.XLOOKUP($A806,'[1]DATOS PBI Artículos'!A:A,'[1]DATOS PBI Artículos'!AV:AV)</f>
        <v>0</v>
      </c>
      <c r="L806" s="33">
        <f>_xlfn.XLOOKUP(A806,[1]MÁQUINAS!B:B,[1]MÁQUINAS!C:C)</f>
        <v>0</v>
      </c>
      <c r="M806" s="34">
        <f t="array" ref="M806">_xlfn.XLOOKUP(A806,'[1]DATOS PBI Artículos'!A:A,'[1]DATOS PBI Artículos'!AX:$AX)</f>
        <v>0</v>
      </c>
      <c r="N806" s="37" t="e">
        <f>IF(I806="DV",
E806,
IF(COUNTIF([1]CRITERIOS!$I$179:$I$199,$A806)&gt;=1,
_xlfn.XLOOKUP($A806,[1]CRITERIOS!$I$179:$I$199,[1]CRITERIOS!$J$179:$J$199),
IF(COUNTIF([1]CRITERIOS!$L$179:$L$199,$A806)&gt;=1,
_xlfn.CEILING.MATH(IF($M806&gt;$E806,
$E806,
IF($M806&lt;$E806/ROUNDDOWN([1]CRITERIOS!$M$16/_xlfn.XLOOKUP($C806,[1]CRITERIOS!$K$25:$K$42,[1]CRITERIOS!$M$25:$M$42),
1),
E806/ROUNDDOWN([1]CRITERIOS!$M$16/_xlfn.XLOOKUP($C806,[1]CRITERIOS!$K$25:$K$42,[1]CRITERIOS!$M$25:$M$42),
1),
$M806)),
_xlfn.XLOOKUP($A806,[1]CRITERIOS!$L$179:$L$200,[1]CRITERIOS!$M$179:$M$200)),
_xlfn.CEILING.MATH(IF($M806&gt;$E806,
$E806,
IF($M806&lt;$E806/ROUNDDOWN([1]CRITERIOS!$M$16/_xlfn.XLOOKUP($C806,[1]CRITERIOS!$K$25:$K$42,[1]CRITERIOS!$M$25:$M$42),
1),
E806/ROUNDDOWN([1]CRITERIOS!$M$16/_xlfn.XLOOKUP($C806,[1]CRITERIOS!$K$25:$K$42,[1]CRITERIOS!$M$25:$M$42),
1),
$M806)),_xlfn.XLOOKUP(A806,'[1]DATOS PBI Artículos'!A:A,'[1]DATOS PBI Artículos'!Z:Z
)))))</f>
        <v>#N/A</v>
      </c>
      <c r="Q806" s="38" t="e">
        <f>IF(AND(O806="",N806=0),
0,
   IF(COUNTIF([1]CRITERIOS!$F$179:$F$199,$A806)&gt;=1,
   1,
   IF(R806="MTO",
      $D806,
      ROUNDUP(
                    IF(($E806-SUMIF('[1]DATOS PBI Artículos'!A:A,A806,'[1]DATOS PBI Artículos'!X:X)+($V806-_xlfn.XLOOKUP(A806,'[1]DATOS PBI Artículos'!A:A,'[1]DATOS PBI Artículos'!W:W)))&lt;0,
                    0,
                    IF(($E806-SUMIF('[1]DATOS PBI Artículos'!A:A,A806,'[1]DATOS PBI Artículos'!X:X)+$V806-_xlfn.XLOOKUP($A806,'[1]DATOS PBI Artículos'!A:A,'[1]DATOS PBI Artículos'!W:W))/IF($O806="",$N806,$O806)&gt;ROUNDUP([1]CRITERIOS!$M$16/(IF(COUNTIF([1]CRITERIOS!$BG$11:$BG$201,L806)&gt;=1,_xlfn.XLOOKUP($C806,[1]CRITERIOS!$K$25:$K$42,[1]CRITERIOS!$M$25:$M$42),_xlfn.XLOOKUP($C806,[1]CRITERIOS!$K$25:$K$42,[1]CRITERIOS!$M$25:$M$42))),0),
                    ROUNDUP([1]CRITERIOS!$M$16/(IF(COUNTIF([1]CRITERIOS!$BG$11:$BG$201,$L806)&gt;=1,_xlfn.XLOOKUP($C806,[1]CRITERIOS!$K$25:$K$42,[1]CRITERIOS!$M$25:$M$42),_xlfn.XLOOKUP($C806,[1]CRITERIOS!$K$25:$K$42,[1]CRITERIOS!$M$25:$M$42))),0),
                    (E806+V806-SUMIF('[1]DATOS PBI Artículos'!A:A,A806,'[1]DATOS PBI Artículos'!X:X)-_xlfn.XLOOKUP(A806,'[1]DATOS PBI Artículos'!A:A,'[1]DATOS PBI Artículos'!W:W))/IF($O806="",$N806,$O806))),0))))</f>
        <v>#N/A</v>
      </c>
      <c r="R806" s="33" t="e">
        <f>IF(U806&lt;&gt;"",U806,IF(F806="DV","MTO",IF(N806=0,"MTO",_xlfn.XLOOKUP(CONCATENATE(S806,T806),[1]CRITERIOS!$K$160:$K$168,[1]CRITERIOS!$N$160:$N$168))))</f>
        <v>#N/A</v>
      </c>
      <c r="S806" s="33" t="e">
        <f>IF(G806="DV","MTO",IF(N806=0,"MTO",IF(OR(AND(N806=0,O806=""),IF(O806="",G806/N806,G806/O806)&gt;[1]CRITERIOS!$G$163),"MTO",IF(IF(O806="",G806/N806,G806/O806)&lt;[1]CRITERIOS!$H$161,"MTS","MTOS"))))</f>
        <v>#N/A</v>
      </c>
      <c r="T806" s="33" t="e">
        <f>IF(F806="DV","MTO",IF(OR(AND($N806=0,O806=""),$F806/$J806&gt;[1]CRITERIOS!$G$170,$F806="DV"),"MTO",IF($F806/$J806&lt;[1]CRITERIOS!$H$168,"MTS","MTOS")))</f>
        <v>#N/A</v>
      </c>
      <c r="V806" s="34" t="e">
        <f t="shared" si="40"/>
        <v>#N/A</v>
      </c>
      <c r="X806" s="34" t="e">
        <f t="shared" si="38"/>
        <v>#N/A</v>
      </c>
      <c r="Y806" s="34" t="e">
        <f t="shared" si="39"/>
        <v>#N/A</v>
      </c>
      <c r="Z806" s="34" t="e">
        <f>IF($R806="MTO",
0,
($H806+$K806*($E806/[1]CRITERIOS!$M$16))/[1]CRITERIOS!$X$48)</f>
        <v>#N/A</v>
      </c>
      <c r="AA806" s="34" t="e">
        <f>ROUNDUP(($Y806/_xlfn.XLOOKUP($A806,'[1]DATOS PBI Artículos'!$A$4:$A$4,'[1]DATOS PBI Artículos'!$Z$4:$Z$4))/_xlfn.XLOOKUP(_xlfn.XLOOKUP($A806,'[1]DATOS PBI Artículos'!$A$4:$A$4,'[1]DATOS PBI Artículos'!$Y$4:$Y$4),[1]CRITERIOS!$P$79:$P$123,[1]CRITERIOS!$S$79:$S$123,),0)</f>
        <v>#N/A</v>
      </c>
      <c r="AC806" s="33" t="e">
        <f>IF(N806=0,"",(ROUNDUP((N806/2)/(_xlfn.XLOOKUP(A806,'[1]DATOS PBI Artículos'!$A$4:$A$4,'[1]DATOS PBI Artículos'!$Z$4:$Z$4)*_xlfn.XLOOKUP(_xlfn.XLOOKUP(A806,'[1]DATOS PBI Artículos'!$A$4:$A$4,'[1]DATOS PBI Artículos'!$Y$4:$Y$4),[1]CRITERIOS!$P$79:$P$123,[1]CRITERIOS!$S$79:$S$123)),0)*[1]CRITERIOS!$M$80*([1]CRITERIOS!$M$110/[1]CRITERIOS!$M$86)+(_xlfn.XLOOKUP(A806,'[1]DATOS PBI Artículos'!$A$4:$A$4,'[1]DATOS PBI Artículos'!$AA$4:$AA$4)*([1]CRITERIOS!$M$95+[1]CRITERIOS!$M$98)))/N806)</f>
        <v>#N/A</v>
      </c>
      <c r="AD806" s="33" t="e">
        <f>IF(N806=0,"",(ROUNDUP((N806/2)/(_xlfn.XLOOKUP(A806,'[1]DATOS PBI Artículos'!$A$4:$A$4,'[1]DATOS PBI Artículos'!$Z$4:$Z$4)*_xlfn.XLOOKUP(_xlfn.XLOOKUP(A806,'[1]DATOS PBI Artículos'!$A$4:$A$4,'[1]DATOS PBI Artículos'!$Y$4:$Y$4),[1]CRITERIOS!$P$79:$P$123,[1]CRITERIOS!$S$79:$S$123)),0)*[1]CRITERIOS!$M$80*([1]CRITERIOS!$M$89*[1]CRITERIOS!$M$92)+((_xlfn.XLOOKUP(A806,'[1]DATOS PBI Artículos'!$A$4:$A$4,'[1]DATOS PBI Artículos'!$AA$4:$AA$4)/2)*([1]CRITERIOS!$M$95+[1]CRITERIOS!$M$98)))/N806)</f>
        <v>#N/A</v>
      </c>
      <c r="AE806" s="39" t="e">
        <f>IF($R806="MTO","",
IF($H806=0,ROUNDUP(((_xlfn.XLOOKUP($A806,'[1]DATOS PBI Artículos'!$A:$A,'[1]DATOS PBI Artículos'!$AL:$AL))/(_xlfn.XLOOKUP($AF$1,[1]CRITERIOS!$S$16:$S$39,[1]CRITERIOS!$Y$16:$Y$39))*$J806+$Z806)/$G806,0)*$G806,
((_xlfn.XLOOKUP($A806,'[1]DATOS PBI Artículos'!$A:$A,'[1]DATOS PBI Artículos'!$AL:$AL))/(_xlfn.XLOOKUP($AF$1,[1]CRITERIOS!$S$16:$S$39,[1]CRITERIOS!$Y$16:$Y$39))*$J806+$Z806)))</f>
        <v>#N/A</v>
      </c>
      <c r="AG806" s="39" t="e">
        <f>IF($R806="MTO","",
IF($H806=0,ROUNDUP(((_xlfn.XLOOKUP($A806,'[1]DATOS PBI Artículos'!$A:$A,'[1]DATOS PBI Artículos'!$AM:$AM))/(_xlfn.XLOOKUP($AH$1,[1]CRITERIOS!$S$16:$S$39,[1]CRITERIOS!$Y$16:$Y$39))*$J806+$Z806)/$G806,0)*$G806,
((_xlfn.XLOOKUP($A806,'[1]DATOS PBI Artículos'!$A:$A,'[1]DATOS PBI Artículos'!$AM:$AM))/(_xlfn.XLOOKUP($AH$1,[1]CRITERIOS!$S$16:$S$39,[1]CRITERIOS!$Y$16:$Y$39))*$J806+$Z806)))</f>
        <v>#N/A</v>
      </c>
      <c r="AI806" s="39" t="e">
        <f>IF($R806="MTO","",
IF($H806=0,ROUNDUP(((_xlfn.XLOOKUP($A806,'[1]DATOS PBI Artículos'!$A:$A,'[1]DATOS PBI Artículos'!$AN:$AN))/(_xlfn.XLOOKUP($AJ$1,[1]CRITERIOS!$S$16:$S$39,[1]CRITERIOS!$Y$16:$Y$39))*$J806+$Z806)/$G806,0)*$G806,
((_xlfn.XLOOKUP($A806,'[1]DATOS PBI Artículos'!$A:$A,'[1]DATOS PBI Artículos'!$AN:$AN))/(_xlfn.XLOOKUP($AJ$1,[1]CRITERIOS!$S$16:$S$39,[1]CRITERIOS!$Y$16:$Y$39))*$J806+$Z806)))</f>
        <v>#N/A</v>
      </c>
      <c r="AK806" s="39" t="e">
        <f>IF($R806="MTO","",
IF($H806=0,ROUNDUP(((_xlfn.XLOOKUP($A806,'[1]DATOS PBI Artículos'!$A:$A,'[1]DATOS PBI Artículos'!$AO:$AO))/(_xlfn.XLOOKUP($AL$1,[1]CRITERIOS!$S$16:$S$39,[1]CRITERIOS!$Y$16:$Y$39))*$J806+$Z806)/$G806,0)*$G806,
((_xlfn.XLOOKUP($A806,'[1]DATOS PBI Artículos'!$A:$A,'[1]DATOS PBI Artículos'!$AO:$AO))/(_xlfn.XLOOKUP($AL$1,[1]CRITERIOS!$S$16:$S$39,[1]CRITERIOS!$Y$16:$Y$39))*$J806+$Z806)))</f>
        <v>#N/A</v>
      </c>
    </row>
    <row r="807" spans="1:37" ht="25.8" hidden="1" x14ac:dyDescent="0.4">
      <c r="A807" s="41"/>
      <c r="B807" s="33">
        <f>_xlfn.XLOOKUP($A807,'[1]DATOS PBI Artículos'!A:A,'[1]DATOS PBI Artículos'!B:B)</f>
        <v>0</v>
      </c>
      <c r="C807" s="33">
        <f>_xlfn.XLOOKUP($A807,'[1]DATOS PBI Artículos'!A:A,'[1]DATOS PBI Artículos'!C:C)</f>
        <v>0</v>
      </c>
      <c r="D807" s="33">
        <f>_xlfn.XLOOKUP(A807,'[1]DATOS PBI Artículos'!A:A,'[1]DATOS PBI Artículos'!T:T)</f>
        <v>0</v>
      </c>
      <c r="E807" s="34">
        <f>IF(_xlfn.XLOOKUP($A807,'[1]DATOS PBI Artículos'!A:A,'[1]DATOS PBI Artículos'!AK:AK)="",_xlfn.XLOOKUP($A807,'[1]DATOS PBI Artículos'!A:A,'[1]DATOS PBI Artículos'!AJ:AJ),_xlfn.XLOOKUP($A807,'[1]DATOS PBI Artículos'!A:A,'[1]DATOS PBI Artículos'!AK:AK))</f>
        <v>0</v>
      </c>
      <c r="F807" s="35">
        <f>_xlfn.XLOOKUP($A807,'[1]DATOS PBI Artículos'!A:A,'[1]DATOS PBI Artículos'!AP:AP)</f>
        <v>0</v>
      </c>
      <c r="G807" s="34">
        <f>_xlfn.XLOOKUP($A807,'[1]DATOS PBI Artículos'!A:A,'[1]DATOS PBI Artículos'!AR:AR)</f>
        <v>0</v>
      </c>
      <c r="H807" s="34">
        <f>_xlfn.XLOOKUP($A807,'[1]DATOS PBI Artículos'!A:A,'[1]DATOS PBI Artículos'!AT:AT)</f>
        <v>0</v>
      </c>
      <c r="I807" s="34">
        <f>_xlfn.XLOOKUP($A807,'[1]DATOS PBI Artículos'!A:A,'[1]DATOS PBI Artículos'!AS:AS)</f>
        <v>0</v>
      </c>
      <c r="J807" s="35">
        <f>IF(COUNTIF([1]CRITERIOS!$F$179:$F$199,$A807)&gt;=1,
 IF(O807&lt;&gt;"",
    (O807/_xlfn.XLOOKUP(CONCATENATE(A807,L807),[1]MÁQUINAS!A:A,[1]MÁQUINAS!D:D))/24,
    (N807/_xlfn.XLOOKUP(CONCATENATE(A807,L807),[1]MÁQUINAS!A:A,[1]MÁQUINAS!D:D))/24),
  _xlfn.XLOOKUP($A807,'[1]DATOS PBI Artículos'!A:A,'[1]DATOS PBI Artículos'!AU:AU))</f>
        <v>0</v>
      </c>
      <c r="K807" s="36">
        <f>_xlfn.XLOOKUP($A807,'[1]DATOS PBI Artículos'!A:A,'[1]DATOS PBI Artículos'!AV:AV)</f>
        <v>0</v>
      </c>
      <c r="L807" s="33">
        <f>_xlfn.XLOOKUP(A807,[1]MÁQUINAS!B:B,[1]MÁQUINAS!C:C)</f>
        <v>0</v>
      </c>
      <c r="M807" s="34">
        <f t="array" ref="M807">_xlfn.XLOOKUP(A807,'[1]DATOS PBI Artículos'!A:A,'[1]DATOS PBI Artículos'!AX:$AX)</f>
        <v>0</v>
      </c>
      <c r="N807" s="37" t="e">
        <f>IF(I807="DV",
E807,
IF(COUNTIF([1]CRITERIOS!$I$179:$I$199,$A807)&gt;=1,
_xlfn.XLOOKUP($A807,[1]CRITERIOS!$I$179:$I$199,[1]CRITERIOS!$J$179:$J$199),
IF(COUNTIF([1]CRITERIOS!$L$179:$L$199,$A807)&gt;=1,
_xlfn.CEILING.MATH(IF($M807&gt;$E807,
$E807,
IF($M807&lt;$E807/ROUNDDOWN([1]CRITERIOS!$M$16/_xlfn.XLOOKUP($C807,[1]CRITERIOS!$K$25:$K$42,[1]CRITERIOS!$M$25:$M$42),
1),
E807/ROUNDDOWN([1]CRITERIOS!$M$16/_xlfn.XLOOKUP($C807,[1]CRITERIOS!$K$25:$K$42,[1]CRITERIOS!$M$25:$M$42),
1),
$M807)),
_xlfn.XLOOKUP($A807,[1]CRITERIOS!$L$179:$L$200,[1]CRITERIOS!$M$179:$M$200)),
_xlfn.CEILING.MATH(IF($M807&gt;$E807,
$E807,
IF($M807&lt;$E807/ROUNDDOWN([1]CRITERIOS!$M$16/_xlfn.XLOOKUP($C807,[1]CRITERIOS!$K$25:$K$42,[1]CRITERIOS!$M$25:$M$42),
1),
E807/ROUNDDOWN([1]CRITERIOS!$M$16/_xlfn.XLOOKUP($C807,[1]CRITERIOS!$K$25:$K$42,[1]CRITERIOS!$M$25:$M$42),
1),
$M807)),_xlfn.XLOOKUP(A807,'[1]DATOS PBI Artículos'!A:A,'[1]DATOS PBI Artículos'!Z:Z
)))))</f>
        <v>#N/A</v>
      </c>
      <c r="Q807" s="38" t="e">
        <f>IF(AND(O807="",N807=0),
0,
   IF(COUNTIF([1]CRITERIOS!$F$179:$F$199,$A807)&gt;=1,
   1,
   IF(R807="MTO",
      $D807,
      ROUNDUP(
                    IF(($E807-SUMIF('[1]DATOS PBI Artículos'!A:A,A807,'[1]DATOS PBI Artículos'!X:X)+($V807-_xlfn.XLOOKUP(A807,'[1]DATOS PBI Artículos'!A:A,'[1]DATOS PBI Artículos'!W:W)))&lt;0,
                    0,
                    IF(($E807-SUMIF('[1]DATOS PBI Artículos'!A:A,A807,'[1]DATOS PBI Artículos'!X:X)+$V807-_xlfn.XLOOKUP($A807,'[1]DATOS PBI Artículos'!A:A,'[1]DATOS PBI Artículos'!W:W))/IF($O807="",$N807,$O807)&gt;ROUNDUP([1]CRITERIOS!$M$16/(IF(COUNTIF([1]CRITERIOS!$BG$11:$BG$201,L807)&gt;=1,_xlfn.XLOOKUP($C807,[1]CRITERIOS!$K$25:$K$42,[1]CRITERIOS!$M$25:$M$42),_xlfn.XLOOKUP($C807,[1]CRITERIOS!$K$25:$K$42,[1]CRITERIOS!$M$25:$M$42))),0),
                    ROUNDUP([1]CRITERIOS!$M$16/(IF(COUNTIF([1]CRITERIOS!$BG$11:$BG$201,$L807)&gt;=1,_xlfn.XLOOKUP($C807,[1]CRITERIOS!$K$25:$K$42,[1]CRITERIOS!$M$25:$M$42),_xlfn.XLOOKUP($C807,[1]CRITERIOS!$K$25:$K$42,[1]CRITERIOS!$M$25:$M$42))),0),
                    (E807+V807-SUMIF('[1]DATOS PBI Artículos'!A:A,A807,'[1]DATOS PBI Artículos'!X:X)-_xlfn.XLOOKUP(A807,'[1]DATOS PBI Artículos'!A:A,'[1]DATOS PBI Artículos'!W:W))/IF($O807="",$N807,$O807))),0))))</f>
        <v>#N/A</v>
      </c>
      <c r="R807" s="33" t="e">
        <f>IF(U807&lt;&gt;"",U807,IF(F807="DV","MTO",IF(N807=0,"MTO",_xlfn.XLOOKUP(CONCATENATE(S807,T807),[1]CRITERIOS!$K$160:$K$168,[1]CRITERIOS!$N$160:$N$168))))</f>
        <v>#N/A</v>
      </c>
      <c r="S807" s="33" t="e">
        <f>IF(G807="DV","MTO",IF(N807=0,"MTO",IF(OR(AND(N807=0,O807=""),IF(O807="",G807/N807,G807/O807)&gt;[1]CRITERIOS!$G$163),"MTO",IF(IF(O807="",G807/N807,G807/O807)&lt;[1]CRITERIOS!$H$161,"MTS","MTOS"))))</f>
        <v>#N/A</v>
      </c>
      <c r="T807" s="33" t="e">
        <f>IF(F807="DV","MTO",IF(OR(AND($N807=0,O807=""),$F807/$J807&gt;[1]CRITERIOS!$G$170,$F807="DV"),"MTO",IF($F807/$J807&lt;[1]CRITERIOS!$H$168,"MTS","MTOS")))</f>
        <v>#N/A</v>
      </c>
      <c r="V807" s="34" t="e">
        <f t="shared" si="40"/>
        <v>#N/A</v>
      </c>
      <c r="X807" s="34" t="e">
        <f t="shared" si="38"/>
        <v>#N/A</v>
      </c>
      <c r="Y807" s="34" t="e">
        <f t="shared" si="39"/>
        <v>#N/A</v>
      </c>
      <c r="Z807" s="34" t="e">
        <f>IF($R807="MTO",
0,
($H807+$K807*($E807/[1]CRITERIOS!$M$16))/[1]CRITERIOS!$X$48)</f>
        <v>#N/A</v>
      </c>
      <c r="AA807" s="34" t="e">
        <f>ROUNDUP(($Y807/_xlfn.XLOOKUP($A807,'[1]DATOS PBI Artículos'!$A$4:$A$4,'[1]DATOS PBI Artículos'!$Z$4:$Z$4))/_xlfn.XLOOKUP(_xlfn.XLOOKUP($A807,'[1]DATOS PBI Artículos'!$A$4:$A$4,'[1]DATOS PBI Artículos'!$Y$4:$Y$4),[1]CRITERIOS!$P$79:$P$123,[1]CRITERIOS!$S$79:$S$123,),0)</f>
        <v>#N/A</v>
      </c>
      <c r="AC807" s="33" t="e">
        <f>IF(N807=0,"",(ROUNDUP((N807/2)/(_xlfn.XLOOKUP(A807,'[1]DATOS PBI Artículos'!$A$4:$A$4,'[1]DATOS PBI Artículos'!$Z$4:$Z$4)*_xlfn.XLOOKUP(_xlfn.XLOOKUP(A807,'[1]DATOS PBI Artículos'!$A$4:$A$4,'[1]DATOS PBI Artículos'!$Y$4:$Y$4),[1]CRITERIOS!$P$79:$P$123,[1]CRITERIOS!$S$79:$S$123)),0)*[1]CRITERIOS!$M$80*([1]CRITERIOS!$M$110/[1]CRITERIOS!$M$86)+(_xlfn.XLOOKUP(A807,'[1]DATOS PBI Artículos'!$A$4:$A$4,'[1]DATOS PBI Artículos'!$AA$4:$AA$4)*([1]CRITERIOS!$M$95+[1]CRITERIOS!$M$98)))/N807)</f>
        <v>#N/A</v>
      </c>
      <c r="AD807" s="33" t="e">
        <f>IF(N807=0,"",(ROUNDUP((N807/2)/(_xlfn.XLOOKUP(A807,'[1]DATOS PBI Artículos'!$A$4:$A$4,'[1]DATOS PBI Artículos'!$Z$4:$Z$4)*_xlfn.XLOOKUP(_xlfn.XLOOKUP(A807,'[1]DATOS PBI Artículos'!$A$4:$A$4,'[1]DATOS PBI Artículos'!$Y$4:$Y$4),[1]CRITERIOS!$P$79:$P$123,[1]CRITERIOS!$S$79:$S$123)),0)*[1]CRITERIOS!$M$80*([1]CRITERIOS!$M$89*[1]CRITERIOS!$M$92)+((_xlfn.XLOOKUP(A807,'[1]DATOS PBI Artículos'!$A$4:$A$4,'[1]DATOS PBI Artículos'!$AA$4:$AA$4)/2)*([1]CRITERIOS!$M$95+[1]CRITERIOS!$M$98)))/N807)</f>
        <v>#N/A</v>
      </c>
      <c r="AE807" s="39" t="e">
        <f>IF($R807="MTO","",
IF($H807=0,ROUNDUP(((_xlfn.XLOOKUP($A807,'[1]DATOS PBI Artículos'!$A:$A,'[1]DATOS PBI Artículos'!$AL:$AL))/(_xlfn.XLOOKUP($AF$1,[1]CRITERIOS!$S$16:$S$39,[1]CRITERIOS!$Y$16:$Y$39))*$J807+$Z807)/$G807,0)*$G807,
((_xlfn.XLOOKUP($A807,'[1]DATOS PBI Artículos'!$A:$A,'[1]DATOS PBI Artículos'!$AL:$AL))/(_xlfn.XLOOKUP($AF$1,[1]CRITERIOS!$S$16:$S$39,[1]CRITERIOS!$Y$16:$Y$39))*$J807+$Z807)))</f>
        <v>#N/A</v>
      </c>
      <c r="AG807" s="39" t="e">
        <f>IF($R807="MTO","",
IF($H807=0,ROUNDUP(((_xlfn.XLOOKUP($A807,'[1]DATOS PBI Artículos'!$A:$A,'[1]DATOS PBI Artículos'!$AM:$AM))/(_xlfn.XLOOKUP($AH$1,[1]CRITERIOS!$S$16:$S$39,[1]CRITERIOS!$Y$16:$Y$39))*$J807+$Z807)/$G807,0)*$G807,
((_xlfn.XLOOKUP($A807,'[1]DATOS PBI Artículos'!$A:$A,'[1]DATOS PBI Artículos'!$AM:$AM))/(_xlfn.XLOOKUP($AH$1,[1]CRITERIOS!$S$16:$S$39,[1]CRITERIOS!$Y$16:$Y$39))*$J807+$Z807)))</f>
        <v>#N/A</v>
      </c>
      <c r="AI807" s="39" t="e">
        <f>IF($R807="MTO","",
IF($H807=0,ROUNDUP(((_xlfn.XLOOKUP($A807,'[1]DATOS PBI Artículos'!$A:$A,'[1]DATOS PBI Artículos'!$AN:$AN))/(_xlfn.XLOOKUP($AJ$1,[1]CRITERIOS!$S$16:$S$39,[1]CRITERIOS!$Y$16:$Y$39))*$J807+$Z807)/$G807,0)*$G807,
((_xlfn.XLOOKUP($A807,'[1]DATOS PBI Artículos'!$A:$A,'[1]DATOS PBI Artículos'!$AN:$AN))/(_xlfn.XLOOKUP($AJ$1,[1]CRITERIOS!$S$16:$S$39,[1]CRITERIOS!$Y$16:$Y$39))*$J807+$Z807)))</f>
        <v>#N/A</v>
      </c>
      <c r="AK807" s="39" t="e">
        <f>IF($R807="MTO","",
IF($H807=0,ROUNDUP(((_xlfn.XLOOKUP($A807,'[1]DATOS PBI Artículos'!$A:$A,'[1]DATOS PBI Artículos'!$AO:$AO))/(_xlfn.XLOOKUP($AL$1,[1]CRITERIOS!$S$16:$S$39,[1]CRITERIOS!$Y$16:$Y$39))*$J807+$Z807)/$G807,0)*$G807,
((_xlfn.XLOOKUP($A807,'[1]DATOS PBI Artículos'!$A:$A,'[1]DATOS PBI Artículos'!$AO:$AO))/(_xlfn.XLOOKUP($AL$1,[1]CRITERIOS!$S$16:$S$39,[1]CRITERIOS!$Y$16:$Y$39))*$J807+$Z807)))</f>
        <v>#N/A</v>
      </c>
    </row>
    <row r="808" spans="1:37" ht="25.8" hidden="1" x14ac:dyDescent="0.4">
      <c r="A808" s="41"/>
      <c r="B808" s="33">
        <f>_xlfn.XLOOKUP($A808,'[1]DATOS PBI Artículos'!A:A,'[1]DATOS PBI Artículos'!B:B)</f>
        <v>0</v>
      </c>
      <c r="C808" s="33">
        <f>_xlfn.XLOOKUP($A808,'[1]DATOS PBI Artículos'!A:A,'[1]DATOS PBI Artículos'!C:C)</f>
        <v>0</v>
      </c>
      <c r="D808" s="33">
        <f>_xlfn.XLOOKUP(A808,'[1]DATOS PBI Artículos'!A:A,'[1]DATOS PBI Artículos'!T:T)</f>
        <v>0</v>
      </c>
      <c r="E808" s="34">
        <f>IF(_xlfn.XLOOKUP($A808,'[1]DATOS PBI Artículos'!A:A,'[1]DATOS PBI Artículos'!AK:AK)="",_xlfn.XLOOKUP($A808,'[1]DATOS PBI Artículos'!A:A,'[1]DATOS PBI Artículos'!AJ:AJ),_xlfn.XLOOKUP($A808,'[1]DATOS PBI Artículos'!A:A,'[1]DATOS PBI Artículos'!AK:AK))</f>
        <v>0</v>
      </c>
      <c r="F808" s="35">
        <f>_xlfn.XLOOKUP($A808,'[1]DATOS PBI Artículos'!A:A,'[1]DATOS PBI Artículos'!AP:AP)</f>
        <v>0</v>
      </c>
      <c r="G808" s="34">
        <f>_xlfn.XLOOKUP($A808,'[1]DATOS PBI Artículos'!A:A,'[1]DATOS PBI Artículos'!AR:AR)</f>
        <v>0</v>
      </c>
      <c r="H808" s="34">
        <f>_xlfn.XLOOKUP($A808,'[1]DATOS PBI Artículos'!A:A,'[1]DATOS PBI Artículos'!AT:AT)</f>
        <v>0</v>
      </c>
      <c r="I808" s="34">
        <f>_xlfn.XLOOKUP($A808,'[1]DATOS PBI Artículos'!A:A,'[1]DATOS PBI Artículos'!AS:AS)</f>
        <v>0</v>
      </c>
      <c r="J808" s="35">
        <f>IF(COUNTIF([1]CRITERIOS!$F$179:$F$199,$A808)&gt;=1,
 IF(O808&lt;&gt;"",
    (O808/_xlfn.XLOOKUP(CONCATENATE(A808,L808),[1]MÁQUINAS!A:A,[1]MÁQUINAS!D:D))/24,
    (N808/_xlfn.XLOOKUP(CONCATENATE(A808,L808),[1]MÁQUINAS!A:A,[1]MÁQUINAS!D:D))/24),
  _xlfn.XLOOKUP($A808,'[1]DATOS PBI Artículos'!A:A,'[1]DATOS PBI Artículos'!AU:AU))</f>
        <v>0</v>
      </c>
      <c r="K808" s="36">
        <f>_xlfn.XLOOKUP($A808,'[1]DATOS PBI Artículos'!A:A,'[1]DATOS PBI Artículos'!AV:AV)</f>
        <v>0</v>
      </c>
      <c r="L808" s="33">
        <f>_xlfn.XLOOKUP(A808,[1]MÁQUINAS!B:B,[1]MÁQUINAS!C:C)</f>
        <v>0</v>
      </c>
      <c r="M808" s="34">
        <f t="array" ref="M808">_xlfn.XLOOKUP(A808,'[1]DATOS PBI Artículos'!A:A,'[1]DATOS PBI Artículos'!AX:$AX)</f>
        <v>0</v>
      </c>
      <c r="N808" s="37" t="e">
        <f>IF(I808="DV",
E808,
IF(COUNTIF([1]CRITERIOS!$I$179:$I$199,$A808)&gt;=1,
_xlfn.XLOOKUP($A808,[1]CRITERIOS!$I$179:$I$199,[1]CRITERIOS!$J$179:$J$199),
IF(COUNTIF([1]CRITERIOS!$L$179:$L$199,$A808)&gt;=1,
_xlfn.CEILING.MATH(IF($M808&gt;$E808,
$E808,
IF($M808&lt;$E808/ROUNDDOWN([1]CRITERIOS!$M$16/_xlfn.XLOOKUP($C808,[1]CRITERIOS!$K$25:$K$42,[1]CRITERIOS!$M$25:$M$42),
1),
E808/ROUNDDOWN([1]CRITERIOS!$M$16/_xlfn.XLOOKUP($C808,[1]CRITERIOS!$K$25:$K$42,[1]CRITERIOS!$M$25:$M$42),
1),
$M808)),
_xlfn.XLOOKUP($A808,[1]CRITERIOS!$L$179:$L$200,[1]CRITERIOS!$M$179:$M$200)),
_xlfn.CEILING.MATH(IF($M808&gt;$E808,
$E808,
IF($M808&lt;$E808/ROUNDDOWN([1]CRITERIOS!$M$16/_xlfn.XLOOKUP($C808,[1]CRITERIOS!$K$25:$K$42,[1]CRITERIOS!$M$25:$M$42),
1),
E808/ROUNDDOWN([1]CRITERIOS!$M$16/_xlfn.XLOOKUP($C808,[1]CRITERIOS!$K$25:$K$42,[1]CRITERIOS!$M$25:$M$42),
1),
$M808)),_xlfn.XLOOKUP(A808,'[1]DATOS PBI Artículos'!A:A,'[1]DATOS PBI Artículos'!Z:Z
)))))</f>
        <v>#N/A</v>
      </c>
      <c r="Q808" s="38" t="e">
        <f>IF(AND(O808="",N808=0),
0,
   IF(COUNTIF([1]CRITERIOS!$F$179:$F$199,$A808)&gt;=1,
   1,
   IF(R808="MTO",
      $D808,
      ROUNDUP(
                    IF(($E808-SUMIF('[1]DATOS PBI Artículos'!A:A,A808,'[1]DATOS PBI Artículos'!X:X)+($V808-_xlfn.XLOOKUP(A808,'[1]DATOS PBI Artículos'!A:A,'[1]DATOS PBI Artículos'!W:W)))&lt;0,
                    0,
                    IF(($E808-SUMIF('[1]DATOS PBI Artículos'!A:A,A808,'[1]DATOS PBI Artículos'!X:X)+$V808-_xlfn.XLOOKUP($A808,'[1]DATOS PBI Artículos'!A:A,'[1]DATOS PBI Artículos'!W:W))/IF($O808="",$N808,$O808)&gt;ROUNDUP([1]CRITERIOS!$M$16/(IF(COUNTIF([1]CRITERIOS!$BG$11:$BG$201,L808)&gt;=1,_xlfn.XLOOKUP($C808,[1]CRITERIOS!$K$25:$K$42,[1]CRITERIOS!$M$25:$M$42),_xlfn.XLOOKUP($C808,[1]CRITERIOS!$K$25:$K$42,[1]CRITERIOS!$M$25:$M$42))),0),
                    ROUNDUP([1]CRITERIOS!$M$16/(IF(COUNTIF([1]CRITERIOS!$BG$11:$BG$201,$L808)&gt;=1,_xlfn.XLOOKUP($C808,[1]CRITERIOS!$K$25:$K$42,[1]CRITERIOS!$M$25:$M$42),_xlfn.XLOOKUP($C808,[1]CRITERIOS!$K$25:$K$42,[1]CRITERIOS!$M$25:$M$42))),0),
                    (E808+V808-SUMIF('[1]DATOS PBI Artículos'!A:A,A808,'[1]DATOS PBI Artículos'!X:X)-_xlfn.XLOOKUP(A808,'[1]DATOS PBI Artículos'!A:A,'[1]DATOS PBI Artículos'!W:W))/IF($O808="",$N808,$O808))),0))))</f>
        <v>#N/A</v>
      </c>
      <c r="R808" s="33" t="e">
        <f>IF(U808&lt;&gt;"",U808,IF(F808="DV","MTO",IF(N808=0,"MTO",_xlfn.XLOOKUP(CONCATENATE(S808,T808),[1]CRITERIOS!$K$160:$K$168,[1]CRITERIOS!$N$160:$N$168))))</f>
        <v>#N/A</v>
      </c>
      <c r="S808" s="33" t="e">
        <f>IF(G808="DV","MTO",IF(N808=0,"MTO",IF(OR(AND(N808=0,O808=""),IF(O808="",G808/N808,G808/O808)&gt;[1]CRITERIOS!$G$163),"MTO",IF(IF(O808="",G808/N808,G808/O808)&lt;[1]CRITERIOS!$H$161,"MTS","MTOS"))))</f>
        <v>#N/A</v>
      </c>
      <c r="T808" s="33" t="e">
        <f>IF(F808="DV","MTO",IF(OR(AND($N808=0,O808=""),$F808/$J808&gt;[1]CRITERIOS!$G$170,$F808="DV"),"MTO",IF($F808/$J808&lt;[1]CRITERIOS!$H$168,"MTS","MTOS")))</f>
        <v>#N/A</v>
      </c>
      <c r="V808" s="34" t="e">
        <f t="shared" si="40"/>
        <v>#N/A</v>
      </c>
      <c r="X808" s="34" t="e">
        <f t="shared" si="38"/>
        <v>#N/A</v>
      </c>
      <c r="Y808" s="34" t="e">
        <f t="shared" si="39"/>
        <v>#N/A</v>
      </c>
      <c r="Z808" s="34" t="e">
        <f>IF($R808="MTO",
0,
($H808+$K808*($E808/[1]CRITERIOS!$M$16))/[1]CRITERIOS!$X$48)</f>
        <v>#N/A</v>
      </c>
      <c r="AA808" s="34" t="e">
        <f>ROUNDUP(($Y808/_xlfn.XLOOKUP($A808,'[1]DATOS PBI Artículos'!$A$4:$A$4,'[1]DATOS PBI Artículos'!$Z$4:$Z$4))/_xlfn.XLOOKUP(_xlfn.XLOOKUP($A808,'[1]DATOS PBI Artículos'!$A$4:$A$4,'[1]DATOS PBI Artículos'!$Y$4:$Y$4),[1]CRITERIOS!$P$79:$P$123,[1]CRITERIOS!$S$79:$S$123,),0)</f>
        <v>#N/A</v>
      </c>
      <c r="AC808" s="33" t="e">
        <f>IF(N808=0,"",(ROUNDUP((N808/2)/(_xlfn.XLOOKUP(A808,'[1]DATOS PBI Artículos'!$A$4:$A$4,'[1]DATOS PBI Artículos'!$Z$4:$Z$4)*_xlfn.XLOOKUP(_xlfn.XLOOKUP(A808,'[1]DATOS PBI Artículos'!$A$4:$A$4,'[1]DATOS PBI Artículos'!$Y$4:$Y$4),[1]CRITERIOS!$P$79:$P$123,[1]CRITERIOS!$S$79:$S$123)),0)*[1]CRITERIOS!$M$80*([1]CRITERIOS!$M$110/[1]CRITERIOS!$M$86)+(_xlfn.XLOOKUP(A808,'[1]DATOS PBI Artículos'!$A$4:$A$4,'[1]DATOS PBI Artículos'!$AA$4:$AA$4)*([1]CRITERIOS!$M$95+[1]CRITERIOS!$M$98)))/N808)</f>
        <v>#N/A</v>
      </c>
      <c r="AD808" s="33" t="e">
        <f>IF(N808=0,"",(ROUNDUP((N808/2)/(_xlfn.XLOOKUP(A808,'[1]DATOS PBI Artículos'!$A$4:$A$4,'[1]DATOS PBI Artículos'!$Z$4:$Z$4)*_xlfn.XLOOKUP(_xlfn.XLOOKUP(A808,'[1]DATOS PBI Artículos'!$A$4:$A$4,'[1]DATOS PBI Artículos'!$Y$4:$Y$4),[1]CRITERIOS!$P$79:$P$123,[1]CRITERIOS!$S$79:$S$123)),0)*[1]CRITERIOS!$M$80*([1]CRITERIOS!$M$89*[1]CRITERIOS!$M$92)+((_xlfn.XLOOKUP(A808,'[1]DATOS PBI Artículos'!$A$4:$A$4,'[1]DATOS PBI Artículos'!$AA$4:$AA$4)/2)*([1]CRITERIOS!$M$95+[1]CRITERIOS!$M$98)))/N808)</f>
        <v>#N/A</v>
      </c>
      <c r="AE808" s="39" t="e">
        <f>IF($R808="MTO","",
IF($H808=0,ROUNDUP(((_xlfn.XLOOKUP($A808,'[1]DATOS PBI Artículos'!$A:$A,'[1]DATOS PBI Artículos'!$AL:$AL))/(_xlfn.XLOOKUP($AF$1,[1]CRITERIOS!$S$16:$S$39,[1]CRITERIOS!$Y$16:$Y$39))*$J808+$Z808)/$G808,0)*$G808,
((_xlfn.XLOOKUP($A808,'[1]DATOS PBI Artículos'!$A:$A,'[1]DATOS PBI Artículos'!$AL:$AL))/(_xlfn.XLOOKUP($AF$1,[1]CRITERIOS!$S$16:$S$39,[1]CRITERIOS!$Y$16:$Y$39))*$J808+$Z808)))</f>
        <v>#N/A</v>
      </c>
      <c r="AG808" s="39" t="e">
        <f>IF($R808="MTO","",
IF($H808=0,ROUNDUP(((_xlfn.XLOOKUP($A808,'[1]DATOS PBI Artículos'!$A:$A,'[1]DATOS PBI Artículos'!$AM:$AM))/(_xlfn.XLOOKUP($AH$1,[1]CRITERIOS!$S$16:$S$39,[1]CRITERIOS!$Y$16:$Y$39))*$J808+$Z808)/$G808,0)*$G808,
((_xlfn.XLOOKUP($A808,'[1]DATOS PBI Artículos'!$A:$A,'[1]DATOS PBI Artículos'!$AM:$AM))/(_xlfn.XLOOKUP($AH$1,[1]CRITERIOS!$S$16:$S$39,[1]CRITERIOS!$Y$16:$Y$39))*$J808+$Z808)))</f>
        <v>#N/A</v>
      </c>
      <c r="AI808" s="39" t="e">
        <f>IF($R808="MTO","",
IF($H808=0,ROUNDUP(((_xlfn.XLOOKUP($A808,'[1]DATOS PBI Artículos'!$A:$A,'[1]DATOS PBI Artículos'!$AN:$AN))/(_xlfn.XLOOKUP($AJ$1,[1]CRITERIOS!$S$16:$S$39,[1]CRITERIOS!$Y$16:$Y$39))*$J808+$Z808)/$G808,0)*$G808,
((_xlfn.XLOOKUP($A808,'[1]DATOS PBI Artículos'!$A:$A,'[1]DATOS PBI Artículos'!$AN:$AN))/(_xlfn.XLOOKUP($AJ$1,[1]CRITERIOS!$S$16:$S$39,[1]CRITERIOS!$Y$16:$Y$39))*$J808+$Z808)))</f>
        <v>#N/A</v>
      </c>
      <c r="AK808" s="39" t="e">
        <f>IF($R808="MTO","",
IF($H808=0,ROUNDUP(((_xlfn.XLOOKUP($A808,'[1]DATOS PBI Artículos'!$A:$A,'[1]DATOS PBI Artículos'!$AO:$AO))/(_xlfn.XLOOKUP($AL$1,[1]CRITERIOS!$S$16:$S$39,[1]CRITERIOS!$Y$16:$Y$39))*$J808+$Z808)/$G808,0)*$G808,
((_xlfn.XLOOKUP($A808,'[1]DATOS PBI Artículos'!$A:$A,'[1]DATOS PBI Artículos'!$AO:$AO))/(_xlfn.XLOOKUP($AL$1,[1]CRITERIOS!$S$16:$S$39,[1]CRITERIOS!$Y$16:$Y$39))*$J808+$Z808)))</f>
        <v>#N/A</v>
      </c>
    </row>
    <row r="809" spans="1:37" ht="25.8" hidden="1" x14ac:dyDescent="0.4">
      <c r="A809" s="41"/>
      <c r="B809" s="33">
        <f>_xlfn.XLOOKUP($A809,'[1]DATOS PBI Artículos'!A:A,'[1]DATOS PBI Artículos'!B:B)</f>
        <v>0</v>
      </c>
      <c r="C809" s="33">
        <f>_xlfn.XLOOKUP($A809,'[1]DATOS PBI Artículos'!A:A,'[1]DATOS PBI Artículos'!C:C)</f>
        <v>0</v>
      </c>
      <c r="D809" s="33">
        <f>_xlfn.XLOOKUP(A809,'[1]DATOS PBI Artículos'!A:A,'[1]DATOS PBI Artículos'!T:T)</f>
        <v>0</v>
      </c>
      <c r="E809" s="34">
        <f>IF(_xlfn.XLOOKUP($A809,'[1]DATOS PBI Artículos'!A:A,'[1]DATOS PBI Artículos'!AK:AK)="",_xlfn.XLOOKUP($A809,'[1]DATOS PBI Artículos'!A:A,'[1]DATOS PBI Artículos'!AJ:AJ),_xlfn.XLOOKUP($A809,'[1]DATOS PBI Artículos'!A:A,'[1]DATOS PBI Artículos'!AK:AK))</f>
        <v>0</v>
      </c>
      <c r="F809" s="35">
        <f>_xlfn.XLOOKUP($A809,'[1]DATOS PBI Artículos'!A:A,'[1]DATOS PBI Artículos'!AP:AP)</f>
        <v>0</v>
      </c>
      <c r="G809" s="34">
        <f>_xlfn.XLOOKUP($A809,'[1]DATOS PBI Artículos'!A:A,'[1]DATOS PBI Artículos'!AR:AR)</f>
        <v>0</v>
      </c>
      <c r="H809" s="34">
        <f>_xlfn.XLOOKUP($A809,'[1]DATOS PBI Artículos'!A:A,'[1]DATOS PBI Artículos'!AT:AT)</f>
        <v>0</v>
      </c>
      <c r="I809" s="34">
        <f>_xlfn.XLOOKUP($A809,'[1]DATOS PBI Artículos'!A:A,'[1]DATOS PBI Artículos'!AS:AS)</f>
        <v>0</v>
      </c>
      <c r="J809" s="35">
        <f>IF(COUNTIF([1]CRITERIOS!$F$179:$F$199,$A809)&gt;=1,
 IF(O809&lt;&gt;"",
    (O809/_xlfn.XLOOKUP(CONCATENATE(A809,L809),[1]MÁQUINAS!A:A,[1]MÁQUINAS!D:D))/24,
    (N809/_xlfn.XLOOKUP(CONCATENATE(A809,L809),[1]MÁQUINAS!A:A,[1]MÁQUINAS!D:D))/24),
  _xlfn.XLOOKUP($A809,'[1]DATOS PBI Artículos'!A:A,'[1]DATOS PBI Artículos'!AU:AU))</f>
        <v>0</v>
      </c>
      <c r="K809" s="36">
        <f>_xlfn.XLOOKUP($A809,'[1]DATOS PBI Artículos'!A:A,'[1]DATOS PBI Artículos'!AV:AV)</f>
        <v>0</v>
      </c>
      <c r="L809" s="33">
        <f>_xlfn.XLOOKUP(A809,[1]MÁQUINAS!B:B,[1]MÁQUINAS!C:C)</f>
        <v>0</v>
      </c>
      <c r="M809" s="34">
        <f t="array" ref="M809">_xlfn.XLOOKUP(A809,'[1]DATOS PBI Artículos'!A:A,'[1]DATOS PBI Artículos'!AX:$AX)</f>
        <v>0</v>
      </c>
      <c r="N809" s="37" t="e">
        <f>IF(I809="DV",
E809,
IF(COUNTIF([1]CRITERIOS!$I$179:$I$199,$A809)&gt;=1,
_xlfn.XLOOKUP($A809,[1]CRITERIOS!$I$179:$I$199,[1]CRITERIOS!$J$179:$J$199),
IF(COUNTIF([1]CRITERIOS!$L$179:$L$199,$A809)&gt;=1,
_xlfn.CEILING.MATH(IF($M809&gt;$E809,
$E809,
IF($M809&lt;$E809/ROUNDDOWN([1]CRITERIOS!$M$16/_xlfn.XLOOKUP($C809,[1]CRITERIOS!$K$25:$K$42,[1]CRITERIOS!$M$25:$M$42),
1),
E809/ROUNDDOWN([1]CRITERIOS!$M$16/_xlfn.XLOOKUP($C809,[1]CRITERIOS!$K$25:$K$42,[1]CRITERIOS!$M$25:$M$42),
1),
$M809)),
_xlfn.XLOOKUP($A809,[1]CRITERIOS!$L$179:$L$200,[1]CRITERIOS!$M$179:$M$200)),
_xlfn.CEILING.MATH(IF($M809&gt;$E809,
$E809,
IF($M809&lt;$E809/ROUNDDOWN([1]CRITERIOS!$M$16/_xlfn.XLOOKUP($C809,[1]CRITERIOS!$K$25:$K$42,[1]CRITERIOS!$M$25:$M$42),
1),
E809/ROUNDDOWN([1]CRITERIOS!$M$16/_xlfn.XLOOKUP($C809,[1]CRITERIOS!$K$25:$K$42,[1]CRITERIOS!$M$25:$M$42),
1),
$M809)),_xlfn.XLOOKUP(A809,'[1]DATOS PBI Artículos'!A:A,'[1]DATOS PBI Artículos'!Z:Z
)))))</f>
        <v>#N/A</v>
      </c>
      <c r="Q809" s="38" t="e">
        <f>IF(AND(O809="",N809=0),
0,
   IF(COUNTIF([1]CRITERIOS!$F$179:$F$199,$A809)&gt;=1,
   1,
   IF(R809="MTO",
      $D809,
      ROUNDUP(
                    IF(($E809-SUMIF('[1]DATOS PBI Artículos'!A:A,A809,'[1]DATOS PBI Artículos'!X:X)+($V809-_xlfn.XLOOKUP(A809,'[1]DATOS PBI Artículos'!A:A,'[1]DATOS PBI Artículos'!W:W)))&lt;0,
                    0,
                    IF(($E809-SUMIF('[1]DATOS PBI Artículos'!A:A,A809,'[1]DATOS PBI Artículos'!X:X)+$V809-_xlfn.XLOOKUP($A809,'[1]DATOS PBI Artículos'!A:A,'[1]DATOS PBI Artículos'!W:W))/IF($O809="",$N809,$O809)&gt;ROUNDUP([1]CRITERIOS!$M$16/(IF(COUNTIF([1]CRITERIOS!$BG$11:$BG$201,L809)&gt;=1,_xlfn.XLOOKUP($C809,[1]CRITERIOS!$K$25:$K$42,[1]CRITERIOS!$M$25:$M$42),_xlfn.XLOOKUP($C809,[1]CRITERIOS!$K$25:$K$42,[1]CRITERIOS!$M$25:$M$42))),0),
                    ROUNDUP([1]CRITERIOS!$M$16/(IF(COUNTIF([1]CRITERIOS!$BG$11:$BG$201,$L809)&gt;=1,_xlfn.XLOOKUP($C809,[1]CRITERIOS!$K$25:$K$42,[1]CRITERIOS!$M$25:$M$42),_xlfn.XLOOKUP($C809,[1]CRITERIOS!$K$25:$K$42,[1]CRITERIOS!$M$25:$M$42))),0),
                    (E809+V809-SUMIF('[1]DATOS PBI Artículos'!A:A,A809,'[1]DATOS PBI Artículos'!X:X)-_xlfn.XLOOKUP(A809,'[1]DATOS PBI Artículos'!A:A,'[1]DATOS PBI Artículos'!W:W))/IF($O809="",$N809,$O809))),0))))</f>
        <v>#N/A</v>
      </c>
      <c r="R809" s="33" t="e">
        <f>IF(U809&lt;&gt;"",U809,IF(F809="DV","MTO",IF(N809=0,"MTO",_xlfn.XLOOKUP(CONCATENATE(S809,T809),[1]CRITERIOS!$K$160:$K$168,[1]CRITERIOS!$N$160:$N$168))))</f>
        <v>#N/A</v>
      </c>
      <c r="S809" s="33" t="e">
        <f>IF(G809="DV","MTO",IF(N809=0,"MTO",IF(OR(AND(N809=0,O809=""),IF(O809="",G809/N809,G809/O809)&gt;[1]CRITERIOS!$G$163),"MTO",IF(IF(O809="",G809/N809,G809/O809)&lt;[1]CRITERIOS!$H$161,"MTS","MTOS"))))</f>
        <v>#N/A</v>
      </c>
      <c r="T809" s="33" t="e">
        <f>IF(F809="DV","MTO",IF(OR(AND($N809=0,O809=""),$F809/$J809&gt;[1]CRITERIOS!$G$170,$F809="DV"),"MTO",IF($F809/$J809&lt;[1]CRITERIOS!$H$168,"MTS","MTOS")))</f>
        <v>#N/A</v>
      </c>
      <c r="V809" s="34" t="e">
        <f t="shared" si="40"/>
        <v>#N/A</v>
      </c>
      <c r="X809" s="34" t="e">
        <f t="shared" si="38"/>
        <v>#N/A</v>
      </c>
      <c r="Y809" s="34" t="e">
        <f t="shared" si="39"/>
        <v>#N/A</v>
      </c>
      <c r="Z809" s="34" t="e">
        <f>IF($R809="MTO",
0,
($H809+$K809*($E809/[1]CRITERIOS!$M$16))/[1]CRITERIOS!$X$48)</f>
        <v>#N/A</v>
      </c>
      <c r="AA809" s="34" t="e">
        <f>ROUNDUP(($Y809/_xlfn.XLOOKUP($A809,'[1]DATOS PBI Artículos'!$A$4:$A$4,'[1]DATOS PBI Artículos'!$Z$4:$Z$4))/_xlfn.XLOOKUP(_xlfn.XLOOKUP($A809,'[1]DATOS PBI Artículos'!$A$4:$A$4,'[1]DATOS PBI Artículos'!$Y$4:$Y$4),[1]CRITERIOS!$P$79:$P$123,[1]CRITERIOS!$S$79:$S$123,),0)</f>
        <v>#N/A</v>
      </c>
      <c r="AC809" s="33" t="e">
        <f>IF(N809=0,"",(ROUNDUP((N809/2)/(_xlfn.XLOOKUP(A809,'[1]DATOS PBI Artículos'!$A$4:$A$4,'[1]DATOS PBI Artículos'!$Z$4:$Z$4)*_xlfn.XLOOKUP(_xlfn.XLOOKUP(A809,'[1]DATOS PBI Artículos'!$A$4:$A$4,'[1]DATOS PBI Artículos'!$Y$4:$Y$4),[1]CRITERIOS!$P$79:$P$123,[1]CRITERIOS!$S$79:$S$123)),0)*[1]CRITERIOS!$M$80*([1]CRITERIOS!$M$110/[1]CRITERIOS!$M$86)+(_xlfn.XLOOKUP(A809,'[1]DATOS PBI Artículos'!$A$4:$A$4,'[1]DATOS PBI Artículos'!$AA$4:$AA$4)*([1]CRITERIOS!$M$95+[1]CRITERIOS!$M$98)))/N809)</f>
        <v>#N/A</v>
      </c>
      <c r="AD809" s="33" t="e">
        <f>IF(N809=0,"",(ROUNDUP((N809/2)/(_xlfn.XLOOKUP(A809,'[1]DATOS PBI Artículos'!$A$4:$A$4,'[1]DATOS PBI Artículos'!$Z$4:$Z$4)*_xlfn.XLOOKUP(_xlfn.XLOOKUP(A809,'[1]DATOS PBI Artículos'!$A$4:$A$4,'[1]DATOS PBI Artículos'!$Y$4:$Y$4),[1]CRITERIOS!$P$79:$P$123,[1]CRITERIOS!$S$79:$S$123)),0)*[1]CRITERIOS!$M$80*([1]CRITERIOS!$M$89*[1]CRITERIOS!$M$92)+((_xlfn.XLOOKUP(A809,'[1]DATOS PBI Artículos'!$A$4:$A$4,'[1]DATOS PBI Artículos'!$AA$4:$AA$4)/2)*([1]CRITERIOS!$M$95+[1]CRITERIOS!$M$98)))/N809)</f>
        <v>#N/A</v>
      </c>
      <c r="AE809" s="39" t="e">
        <f>IF($R809="MTO","",
IF($H809=0,ROUNDUP(((_xlfn.XLOOKUP($A809,'[1]DATOS PBI Artículos'!$A:$A,'[1]DATOS PBI Artículos'!$AL:$AL))/(_xlfn.XLOOKUP($AF$1,[1]CRITERIOS!$S$16:$S$39,[1]CRITERIOS!$Y$16:$Y$39))*$J809+$Z809)/$G809,0)*$G809,
((_xlfn.XLOOKUP($A809,'[1]DATOS PBI Artículos'!$A:$A,'[1]DATOS PBI Artículos'!$AL:$AL))/(_xlfn.XLOOKUP($AF$1,[1]CRITERIOS!$S$16:$S$39,[1]CRITERIOS!$Y$16:$Y$39))*$J809+$Z809)))</f>
        <v>#N/A</v>
      </c>
      <c r="AG809" s="39" t="e">
        <f>IF($R809="MTO","",
IF($H809=0,ROUNDUP(((_xlfn.XLOOKUP($A809,'[1]DATOS PBI Artículos'!$A:$A,'[1]DATOS PBI Artículos'!$AM:$AM))/(_xlfn.XLOOKUP($AH$1,[1]CRITERIOS!$S$16:$S$39,[1]CRITERIOS!$Y$16:$Y$39))*$J809+$Z809)/$G809,0)*$G809,
((_xlfn.XLOOKUP($A809,'[1]DATOS PBI Artículos'!$A:$A,'[1]DATOS PBI Artículos'!$AM:$AM))/(_xlfn.XLOOKUP($AH$1,[1]CRITERIOS!$S$16:$S$39,[1]CRITERIOS!$Y$16:$Y$39))*$J809+$Z809)))</f>
        <v>#N/A</v>
      </c>
      <c r="AI809" s="39" t="e">
        <f>IF($R809="MTO","",
IF($H809=0,ROUNDUP(((_xlfn.XLOOKUP($A809,'[1]DATOS PBI Artículos'!$A:$A,'[1]DATOS PBI Artículos'!$AN:$AN))/(_xlfn.XLOOKUP($AJ$1,[1]CRITERIOS!$S$16:$S$39,[1]CRITERIOS!$Y$16:$Y$39))*$J809+$Z809)/$G809,0)*$G809,
((_xlfn.XLOOKUP($A809,'[1]DATOS PBI Artículos'!$A:$A,'[1]DATOS PBI Artículos'!$AN:$AN))/(_xlfn.XLOOKUP($AJ$1,[1]CRITERIOS!$S$16:$S$39,[1]CRITERIOS!$Y$16:$Y$39))*$J809+$Z809)))</f>
        <v>#N/A</v>
      </c>
      <c r="AK809" s="39" t="e">
        <f>IF($R809="MTO","",
IF($H809=0,ROUNDUP(((_xlfn.XLOOKUP($A809,'[1]DATOS PBI Artículos'!$A:$A,'[1]DATOS PBI Artículos'!$AO:$AO))/(_xlfn.XLOOKUP($AL$1,[1]CRITERIOS!$S$16:$S$39,[1]CRITERIOS!$Y$16:$Y$39))*$J809+$Z809)/$G809,0)*$G809,
((_xlfn.XLOOKUP($A809,'[1]DATOS PBI Artículos'!$A:$A,'[1]DATOS PBI Artículos'!$AO:$AO))/(_xlfn.XLOOKUP($AL$1,[1]CRITERIOS!$S$16:$S$39,[1]CRITERIOS!$Y$16:$Y$39))*$J809+$Z809)))</f>
        <v>#N/A</v>
      </c>
    </row>
    <row r="810" spans="1:37" ht="25.8" hidden="1" x14ac:dyDescent="0.4">
      <c r="A810" s="41"/>
      <c r="B810" s="33">
        <f>_xlfn.XLOOKUP($A810,'[1]DATOS PBI Artículos'!A:A,'[1]DATOS PBI Artículos'!B:B)</f>
        <v>0</v>
      </c>
      <c r="C810" s="33">
        <f>_xlfn.XLOOKUP($A810,'[1]DATOS PBI Artículos'!A:A,'[1]DATOS PBI Artículos'!C:C)</f>
        <v>0</v>
      </c>
      <c r="D810" s="33">
        <f>_xlfn.XLOOKUP(A810,'[1]DATOS PBI Artículos'!A:A,'[1]DATOS PBI Artículos'!T:T)</f>
        <v>0</v>
      </c>
      <c r="E810" s="34">
        <f>IF(_xlfn.XLOOKUP($A810,'[1]DATOS PBI Artículos'!A:A,'[1]DATOS PBI Artículos'!AK:AK)="",_xlfn.XLOOKUP($A810,'[1]DATOS PBI Artículos'!A:A,'[1]DATOS PBI Artículos'!AJ:AJ),_xlfn.XLOOKUP($A810,'[1]DATOS PBI Artículos'!A:A,'[1]DATOS PBI Artículos'!AK:AK))</f>
        <v>0</v>
      </c>
      <c r="F810" s="35">
        <f>_xlfn.XLOOKUP($A810,'[1]DATOS PBI Artículos'!A:A,'[1]DATOS PBI Artículos'!AP:AP)</f>
        <v>0</v>
      </c>
      <c r="G810" s="34">
        <f>_xlfn.XLOOKUP($A810,'[1]DATOS PBI Artículos'!A:A,'[1]DATOS PBI Artículos'!AR:AR)</f>
        <v>0</v>
      </c>
      <c r="H810" s="34">
        <f>_xlfn.XLOOKUP($A810,'[1]DATOS PBI Artículos'!A:A,'[1]DATOS PBI Artículos'!AT:AT)</f>
        <v>0</v>
      </c>
      <c r="I810" s="34">
        <f>_xlfn.XLOOKUP($A810,'[1]DATOS PBI Artículos'!A:A,'[1]DATOS PBI Artículos'!AS:AS)</f>
        <v>0</v>
      </c>
      <c r="J810" s="35">
        <f>IF(COUNTIF([1]CRITERIOS!$F$179:$F$199,$A810)&gt;=1,
 IF(O810&lt;&gt;"",
    (O810/_xlfn.XLOOKUP(CONCATENATE(A810,L810),[1]MÁQUINAS!A:A,[1]MÁQUINAS!D:D))/24,
    (N810/_xlfn.XLOOKUP(CONCATENATE(A810,L810),[1]MÁQUINAS!A:A,[1]MÁQUINAS!D:D))/24),
  _xlfn.XLOOKUP($A810,'[1]DATOS PBI Artículos'!A:A,'[1]DATOS PBI Artículos'!AU:AU))</f>
        <v>0</v>
      </c>
      <c r="K810" s="36">
        <f>_xlfn.XLOOKUP($A810,'[1]DATOS PBI Artículos'!A:A,'[1]DATOS PBI Artículos'!AV:AV)</f>
        <v>0</v>
      </c>
      <c r="L810" s="33">
        <f>_xlfn.XLOOKUP(A810,[1]MÁQUINAS!B:B,[1]MÁQUINAS!C:C)</f>
        <v>0</v>
      </c>
      <c r="M810" s="34">
        <f t="array" ref="M810">_xlfn.XLOOKUP(A810,'[1]DATOS PBI Artículos'!A:A,'[1]DATOS PBI Artículos'!AX:$AX)</f>
        <v>0</v>
      </c>
      <c r="N810" s="37" t="e">
        <f>IF(I810="DV",
E810,
IF(COUNTIF([1]CRITERIOS!$I$179:$I$199,$A810)&gt;=1,
_xlfn.XLOOKUP($A810,[1]CRITERIOS!$I$179:$I$199,[1]CRITERIOS!$J$179:$J$199),
IF(COUNTIF([1]CRITERIOS!$L$179:$L$199,$A810)&gt;=1,
_xlfn.CEILING.MATH(IF($M810&gt;$E810,
$E810,
IF($M810&lt;$E810/ROUNDDOWN([1]CRITERIOS!$M$16/_xlfn.XLOOKUP($C810,[1]CRITERIOS!$K$25:$K$42,[1]CRITERIOS!$M$25:$M$42),
1),
E810/ROUNDDOWN([1]CRITERIOS!$M$16/_xlfn.XLOOKUP($C810,[1]CRITERIOS!$K$25:$K$42,[1]CRITERIOS!$M$25:$M$42),
1),
$M810)),
_xlfn.XLOOKUP($A810,[1]CRITERIOS!$L$179:$L$200,[1]CRITERIOS!$M$179:$M$200)),
_xlfn.CEILING.MATH(IF($M810&gt;$E810,
$E810,
IF($M810&lt;$E810/ROUNDDOWN([1]CRITERIOS!$M$16/_xlfn.XLOOKUP($C810,[1]CRITERIOS!$K$25:$K$42,[1]CRITERIOS!$M$25:$M$42),
1),
E810/ROUNDDOWN([1]CRITERIOS!$M$16/_xlfn.XLOOKUP($C810,[1]CRITERIOS!$K$25:$K$42,[1]CRITERIOS!$M$25:$M$42),
1),
$M810)),_xlfn.XLOOKUP(A810,'[1]DATOS PBI Artículos'!A:A,'[1]DATOS PBI Artículos'!Z:Z
)))))</f>
        <v>#N/A</v>
      </c>
      <c r="Q810" s="38" t="e">
        <f>IF(AND(O810="",N810=0),
0,
   IF(COUNTIF([1]CRITERIOS!$F$179:$F$199,$A810)&gt;=1,
   1,
   IF(R810="MTO",
      $D810,
      ROUNDUP(
                    IF(($E810-SUMIF('[1]DATOS PBI Artículos'!A:A,A810,'[1]DATOS PBI Artículos'!X:X)+($V810-_xlfn.XLOOKUP(A810,'[1]DATOS PBI Artículos'!A:A,'[1]DATOS PBI Artículos'!W:W)))&lt;0,
                    0,
                    IF(($E810-SUMIF('[1]DATOS PBI Artículos'!A:A,A810,'[1]DATOS PBI Artículos'!X:X)+$V810-_xlfn.XLOOKUP($A810,'[1]DATOS PBI Artículos'!A:A,'[1]DATOS PBI Artículos'!W:W))/IF($O810="",$N810,$O810)&gt;ROUNDUP([1]CRITERIOS!$M$16/(IF(COUNTIF([1]CRITERIOS!$BG$11:$BG$201,L810)&gt;=1,_xlfn.XLOOKUP($C810,[1]CRITERIOS!$K$25:$K$42,[1]CRITERIOS!$M$25:$M$42),_xlfn.XLOOKUP($C810,[1]CRITERIOS!$K$25:$K$42,[1]CRITERIOS!$M$25:$M$42))),0),
                    ROUNDUP([1]CRITERIOS!$M$16/(IF(COUNTIF([1]CRITERIOS!$BG$11:$BG$201,$L810)&gt;=1,_xlfn.XLOOKUP($C810,[1]CRITERIOS!$K$25:$K$42,[1]CRITERIOS!$M$25:$M$42),_xlfn.XLOOKUP($C810,[1]CRITERIOS!$K$25:$K$42,[1]CRITERIOS!$M$25:$M$42))),0),
                    (E810+V810-SUMIF('[1]DATOS PBI Artículos'!A:A,A810,'[1]DATOS PBI Artículos'!X:X)-_xlfn.XLOOKUP(A810,'[1]DATOS PBI Artículos'!A:A,'[1]DATOS PBI Artículos'!W:W))/IF($O810="",$N810,$O810))),0))))</f>
        <v>#N/A</v>
      </c>
      <c r="R810" s="33" t="e">
        <f>IF(U810&lt;&gt;"",U810,IF(F810="DV","MTO",IF(N810=0,"MTO",_xlfn.XLOOKUP(CONCATENATE(S810,T810),[1]CRITERIOS!$K$160:$K$168,[1]CRITERIOS!$N$160:$N$168))))</f>
        <v>#N/A</v>
      </c>
      <c r="S810" s="33" t="e">
        <f>IF(G810="DV","MTO",IF(N810=0,"MTO",IF(OR(AND(N810=0,O810=""),IF(O810="",G810/N810,G810/O810)&gt;[1]CRITERIOS!$G$163),"MTO",IF(IF(O810="",G810/N810,G810/O810)&lt;[1]CRITERIOS!$H$161,"MTS","MTOS"))))</f>
        <v>#N/A</v>
      </c>
      <c r="T810" s="33" t="e">
        <f>IF(F810="DV","MTO",IF(OR(AND($N810=0,O810=""),$F810/$J810&gt;[1]CRITERIOS!$G$170,$F810="DV"),"MTO",IF($F810/$J810&lt;[1]CRITERIOS!$H$168,"MTS","MTOS")))</f>
        <v>#N/A</v>
      </c>
      <c r="V810" s="34" t="e">
        <f t="shared" si="40"/>
        <v>#N/A</v>
      </c>
      <c r="X810" s="34" t="e">
        <f t="shared" si="38"/>
        <v>#N/A</v>
      </c>
      <c r="Y810" s="34" t="e">
        <f t="shared" si="39"/>
        <v>#N/A</v>
      </c>
      <c r="Z810" s="34" t="e">
        <f>IF($R810="MTO",
0,
($H810+$K810*($E810/[1]CRITERIOS!$M$16))/[1]CRITERIOS!$X$48)</f>
        <v>#N/A</v>
      </c>
      <c r="AA810" s="34" t="e">
        <f>ROUNDUP(($Y810/_xlfn.XLOOKUP($A810,'[1]DATOS PBI Artículos'!$A$4:$A$4,'[1]DATOS PBI Artículos'!$Z$4:$Z$4))/_xlfn.XLOOKUP(_xlfn.XLOOKUP($A810,'[1]DATOS PBI Artículos'!$A$4:$A$4,'[1]DATOS PBI Artículos'!$Y$4:$Y$4),[1]CRITERIOS!$P$79:$P$123,[1]CRITERIOS!$S$79:$S$123,),0)</f>
        <v>#N/A</v>
      </c>
      <c r="AC810" s="33" t="e">
        <f>IF(N810=0,"",(ROUNDUP((N810/2)/(_xlfn.XLOOKUP(A810,'[1]DATOS PBI Artículos'!$A$4:$A$4,'[1]DATOS PBI Artículos'!$Z$4:$Z$4)*_xlfn.XLOOKUP(_xlfn.XLOOKUP(A810,'[1]DATOS PBI Artículos'!$A$4:$A$4,'[1]DATOS PBI Artículos'!$Y$4:$Y$4),[1]CRITERIOS!$P$79:$P$123,[1]CRITERIOS!$S$79:$S$123)),0)*[1]CRITERIOS!$M$80*([1]CRITERIOS!$M$110/[1]CRITERIOS!$M$86)+(_xlfn.XLOOKUP(A810,'[1]DATOS PBI Artículos'!$A$4:$A$4,'[1]DATOS PBI Artículos'!$AA$4:$AA$4)*([1]CRITERIOS!$M$95+[1]CRITERIOS!$M$98)))/N810)</f>
        <v>#N/A</v>
      </c>
      <c r="AD810" s="33" t="e">
        <f>IF(N810=0,"",(ROUNDUP((N810/2)/(_xlfn.XLOOKUP(A810,'[1]DATOS PBI Artículos'!$A$4:$A$4,'[1]DATOS PBI Artículos'!$Z$4:$Z$4)*_xlfn.XLOOKUP(_xlfn.XLOOKUP(A810,'[1]DATOS PBI Artículos'!$A$4:$A$4,'[1]DATOS PBI Artículos'!$Y$4:$Y$4),[1]CRITERIOS!$P$79:$P$123,[1]CRITERIOS!$S$79:$S$123)),0)*[1]CRITERIOS!$M$80*([1]CRITERIOS!$M$89*[1]CRITERIOS!$M$92)+((_xlfn.XLOOKUP(A810,'[1]DATOS PBI Artículos'!$A$4:$A$4,'[1]DATOS PBI Artículos'!$AA$4:$AA$4)/2)*([1]CRITERIOS!$M$95+[1]CRITERIOS!$M$98)))/N810)</f>
        <v>#N/A</v>
      </c>
      <c r="AE810" s="39" t="e">
        <f>IF($R810="MTO","",
IF($H810=0,ROUNDUP(((_xlfn.XLOOKUP($A810,'[1]DATOS PBI Artículos'!$A:$A,'[1]DATOS PBI Artículos'!$AL:$AL))/(_xlfn.XLOOKUP($AF$1,[1]CRITERIOS!$S$16:$S$39,[1]CRITERIOS!$Y$16:$Y$39))*$J810+$Z810)/$G810,0)*$G810,
((_xlfn.XLOOKUP($A810,'[1]DATOS PBI Artículos'!$A:$A,'[1]DATOS PBI Artículos'!$AL:$AL))/(_xlfn.XLOOKUP($AF$1,[1]CRITERIOS!$S$16:$S$39,[1]CRITERIOS!$Y$16:$Y$39))*$J810+$Z810)))</f>
        <v>#N/A</v>
      </c>
      <c r="AG810" s="39" t="e">
        <f>IF($R810="MTO","",
IF($H810=0,ROUNDUP(((_xlfn.XLOOKUP($A810,'[1]DATOS PBI Artículos'!$A:$A,'[1]DATOS PBI Artículos'!$AM:$AM))/(_xlfn.XLOOKUP($AH$1,[1]CRITERIOS!$S$16:$S$39,[1]CRITERIOS!$Y$16:$Y$39))*$J810+$Z810)/$G810,0)*$G810,
((_xlfn.XLOOKUP($A810,'[1]DATOS PBI Artículos'!$A:$A,'[1]DATOS PBI Artículos'!$AM:$AM))/(_xlfn.XLOOKUP($AH$1,[1]CRITERIOS!$S$16:$S$39,[1]CRITERIOS!$Y$16:$Y$39))*$J810+$Z810)))</f>
        <v>#N/A</v>
      </c>
      <c r="AI810" s="39" t="e">
        <f>IF($R810="MTO","",
IF($H810=0,ROUNDUP(((_xlfn.XLOOKUP($A810,'[1]DATOS PBI Artículos'!$A:$A,'[1]DATOS PBI Artículos'!$AN:$AN))/(_xlfn.XLOOKUP($AJ$1,[1]CRITERIOS!$S$16:$S$39,[1]CRITERIOS!$Y$16:$Y$39))*$J810+$Z810)/$G810,0)*$G810,
((_xlfn.XLOOKUP($A810,'[1]DATOS PBI Artículos'!$A:$A,'[1]DATOS PBI Artículos'!$AN:$AN))/(_xlfn.XLOOKUP($AJ$1,[1]CRITERIOS!$S$16:$S$39,[1]CRITERIOS!$Y$16:$Y$39))*$J810+$Z810)))</f>
        <v>#N/A</v>
      </c>
      <c r="AK810" s="39" t="e">
        <f>IF($R810="MTO","",
IF($H810=0,ROUNDUP(((_xlfn.XLOOKUP($A810,'[1]DATOS PBI Artículos'!$A:$A,'[1]DATOS PBI Artículos'!$AO:$AO))/(_xlfn.XLOOKUP($AL$1,[1]CRITERIOS!$S$16:$S$39,[1]CRITERIOS!$Y$16:$Y$39))*$J810+$Z810)/$G810,0)*$G810,
((_xlfn.XLOOKUP($A810,'[1]DATOS PBI Artículos'!$A:$A,'[1]DATOS PBI Artículos'!$AO:$AO))/(_xlfn.XLOOKUP($AL$1,[1]CRITERIOS!$S$16:$S$39,[1]CRITERIOS!$Y$16:$Y$39))*$J810+$Z810)))</f>
        <v>#N/A</v>
      </c>
    </row>
    <row r="811" spans="1:37" ht="25.8" hidden="1" x14ac:dyDescent="0.4">
      <c r="A811" s="41"/>
      <c r="B811" s="33">
        <f>_xlfn.XLOOKUP($A811,'[1]DATOS PBI Artículos'!A:A,'[1]DATOS PBI Artículos'!B:B)</f>
        <v>0</v>
      </c>
      <c r="C811" s="33">
        <f>_xlfn.XLOOKUP($A811,'[1]DATOS PBI Artículos'!A:A,'[1]DATOS PBI Artículos'!C:C)</f>
        <v>0</v>
      </c>
      <c r="D811" s="33">
        <f>_xlfn.XLOOKUP(A811,'[1]DATOS PBI Artículos'!A:A,'[1]DATOS PBI Artículos'!T:T)</f>
        <v>0</v>
      </c>
      <c r="E811" s="34">
        <f>IF(_xlfn.XLOOKUP($A811,'[1]DATOS PBI Artículos'!A:A,'[1]DATOS PBI Artículos'!AK:AK)="",_xlfn.XLOOKUP($A811,'[1]DATOS PBI Artículos'!A:A,'[1]DATOS PBI Artículos'!AJ:AJ),_xlfn.XLOOKUP($A811,'[1]DATOS PBI Artículos'!A:A,'[1]DATOS PBI Artículos'!AK:AK))</f>
        <v>0</v>
      </c>
      <c r="F811" s="35">
        <f>_xlfn.XLOOKUP($A811,'[1]DATOS PBI Artículos'!A:A,'[1]DATOS PBI Artículos'!AP:AP)</f>
        <v>0</v>
      </c>
      <c r="G811" s="34">
        <f>_xlfn.XLOOKUP($A811,'[1]DATOS PBI Artículos'!A:A,'[1]DATOS PBI Artículos'!AR:AR)</f>
        <v>0</v>
      </c>
      <c r="H811" s="34">
        <f>_xlfn.XLOOKUP($A811,'[1]DATOS PBI Artículos'!A:A,'[1]DATOS PBI Artículos'!AT:AT)</f>
        <v>0</v>
      </c>
      <c r="I811" s="34">
        <f>_xlfn.XLOOKUP($A811,'[1]DATOS PBI Artículos'!A:A,'[1]DATOS PBI Artículos'!AS:AS)</f>
        <v>0</v>
      </c>
      <c r="J811" s="35">
        <f>IF(COUNTIF([1]CRITERIOS!$F$179:$F$199,$A811)&gt;=1,
 IF(O811&lt;&gt;"",
    (O811/_xlfn.XLOOKUP(CONCATENATE(A811,L811),[1]MÁQUINAS!A:A,[1]MÁQUINAS!D:D))/24,
    (N811/_xlfn.XLOOKUP(CONCATENATE(A811,L811),[1]MÁQUINAS!A:A,[1]MÁQUINAS!D:D))/24),
  _xlfn.XLOOKUP($A811,'[1]DATOS PBI Artículos'!A:A,'[1]DATOS PBI Artículos'!AU:AU))</f>
        <v>0</v>
      </c>
      <c r="K811" s="36">
        <f>_xlfn.XLOOKUP($A811,'[1]DATOS PBI Artículos'!A:A,'[1]DATOS PBI Artículos'!AV:AV)</f>
        <v>0</v>
      </c>
      <c r="L811" s="33">
        <f>_xlfn.XLOOKUP(A811,[1]MÁQUINAS!B:B,[1]MÁQUINAS!C:C)</f>
        <v>0</v>
      </c>
      <c r="M811" s="34">
        <f t="array" ref="M811">_xlfn.XLOOKUP(A811,'[1]DATOS PBI Artículos'!A:A,'[1]DATOS PBI Artículos'!AX:$AX)</f>
        <v>0</v>
      </c>
      <c r="N811" s="37" t="e">
        <f>IF(I811="DV",
E811,
IF(COUNTIF([1]CRITERIOS!$I$179:$I$199,$A811)&gt;=1,
_xlfn.XLOOKUP($A811,[1]CRITERIOS!$I$179:$I$199,[1]CRITERIOS!$J$179:$J$199),
IF(COUNTIF([1]CRITERIOS!$L$179:$L$199,$A811)&gt;=1,
_xlfn.CEILING.MATH(IF($M811&gt;$E811,
$E811,
IF($M811&lt;$E811/ROUNDDOWN([1]CRITERIOS!$M$16/_xlfn.XLOOKUP($C811,[1]CRITERIOS!$K$25:$K$42,[1]CRITERIOS!$M$25:$M$42),
1),
E811/ROUNDDOWN([1]CRITERIOS!$M$16/_xlfn.XLOOKUP($C811,[1]CRITERIOS!$K$25:$K$42,[1]CRITERIOS!$M$25:$M$42),
1),
$M811)),
_xlfn.XLOOKUP($A811,[1]CRITERIOS!$L$179:$L$200,[1]CRITERIOS!$M$179:$M$200)),
_xlfn.CEILING.MATH(IF($M811&gt;$E811,
$E811,
IF($M811&lt;$E811/ROUNDDOWN([1]CRITERIOS!$M$16/_xlfn.XLOOKUP($C811,[1]CRITERIOS!$K$25:$K$42,[1]CRITERIOS!$M$25:$M$42),
1),
E811/ROUNDDOWN([1]CRITERIOS!$M$16/_xlfn.XLOOKUP($C811,[1]CRITERIOS!$K$25:$K$42,[1]CRITERIOS!$M$25:$M$42),
1),
$M811)),_xlfn.XLOOKUP(A811,'[1]DATOS PBI Artículos'!A:A,'[1]DATOS PBI Artículos'!Z:Z
)))))</f>
        <v>#N/A</v>
      </c>
      <c r="Q811" s="38" t="e">
        <f>IF(AND(O811="",N811=0),
0,
   IF(COUNTIF([1]CRITERIOS!$F$179:$F$199,$A811)&gt;=1,
   1,
   IF(R811="MTO",
      $D811,
      ROUNDUP(
                    IF(($E811-SUMIF('[1]DATOS PBI Artículos'!A:A,A811,'[1]DATOS PBI Artículos'!X:X)+($V811-_xlfn.XLOOKUP(A811,'[1]DATOS PBI Artículos'!A:A,'[1]DATOS PBI Artículos'!W:W)))&lt;0,
                    0,
                    IF(($E811-SUMIF('[1]DATOS PBI Artículos'!A:A,A811,'[1]DATOS PBI Artículos'!X:X)+$V811-_xlfn.XLOOKUP($A811,'[1]DATOS PBI Artículos'!A:A,'[1]DATOS PBI Artículos'!W:W))/IF($O811="",$N811,$O811)&gt;ROUNDUP([1]CRITERIOS!$M$16/(IF(COUNTIF([1]CRITERIOS!$BG$11:$BG$201,L811)&gt;=1,_xlfn.XLOOKUP($C811,[1]CRITERIOS!$K$25:$K$42,[1]CRITERIOS!$M$25:$M$42),_xlfn.XLOOKUP($C811,[1]CRITERIOS!$K$25:$K$42,[1]CRITERIOS!$M$25:$M$42))),0),
                    ROUNDUP([1]CRITERIOS!$M$16/(IF(COUNTIF([1]CRITERIOS!$BG$11:$BG$201,$L811)&gt;=1,_xlfn.XLOOKUP($C811,[1]CRITERIOS!$K$25:$K$42,[1]CRITERIOS!$M$25:$M$42),_xlfn.XLOOKUP($C811,[1]CRITERIOS!$K$25:$K$42,[1]CRITERIOS!$M$25:$M$42))),0),
                    (E811+V811-SUMIF('[1]DATOS PBI Artículos'!A:A,A811,'[1]DATOS PBI Artículos'!X:X)-_xlfn.XLOOKUP(A811,'[1]DATOS PBI Artículos'!A:A,'[1]DATOS PBI Artículos'!W:W))/IF($O811="",$N811,$O811))),0))))</f>
        <v>#N/A</v>
      </c>
      <c r="R811" s="33" t="e">
        <f>IF(U811&lt;&gt;"",U811,IF(F811="DV","MTO",IF(N811=0,"MTO",_xlfn.XLOOKUP(CONCATENATE(S811,T811),[1]CRITERIOS!$K$160:$K$168,[1]CRITERIOS!$N$160:$N$168))))</f>
        <v>#N/A</v>
      </c>
      <c r="S811" s="33" t="e">
        <f>IF(G811="DV","MTO",IF(N811=0,"MTO",IF(OR(AND(N811=0,O811=""),IF(O811="",G811/N811,G811/O811)&gt;[1]CRITERIOS!$G$163),"MTO",IF(IF(O811="",G811/N811,G811/O811)&lt;[1]CRITERIOS!$H$161,"MTS","MTOS"))))</f>
        <v>#N/A</v>
      </c>
      <c r="T811" s="33" t="e">
        <f>IF(F811="DV","MTO",IF(OR(AND($N811=0,O811=""),$F811/$J811&gt;[1]CRITERIOS!$G$170,$F811="DV"),"MTO",IF($F811/$J811&lt;[1]CRITERIOS!$H$168,"MTS","MTOS")))</f>
        <v>#N/A</v>
      </c>
      <c r="V811" s="34" t="e">
        <f t="shared" si="40"/>
        <v>#N/A</v>
      </c>
      <c r="X811" s="34" t="e">
        <f t="shared" si="38"/>
        <v>#N/A</v>
      </c>
      <c r="Y811" s="34" t="e">
        <f t="shared" si="39"/>
        <v>#N/A</v>
      </c>
      <c r="Z811" s="34" t="e">
        <f>IF($R811="MTO",
0,
($H811+$K811*($E811/[1]CRITERIOS!$M$16))/[1]CRITERIOS!$X$48)</f>
        <v>#N/A</v>
      </c>
      <c r="AA811" s="34" t="e">
        <f>ROUNDUP(($Y811/_xlfn.XLOOKUP($A811,'[1]DATOS PBI Artículos'!$A$4:$A$4,'[1]DATOS PBI Artículos'!$Z$4:$Z$4))/_xlfn.XLOOKUP(_xlfn.XLOOKUP($A811,'[1]DATOS PBI Artículos'!$A$4:$A$4,'[1]DATOS PBI Artículos'!$Y$4:$Y$4),[1]CRITERIOS!$P$79:$P$123,[1]CRITERIOS!$S$79:$S$123,),0)</f>
        <v>#N/A</v>
      </c>
      <c r="AC811" s="33" t="e">
        <f>IF(N811=0,"",(ROUNDUP((N811/2)/(_xlfn.XLOOKUP(A811,'[1]DATOS PBI Artículos'!$A$4:$A$4,'[1]DATOS PBI Artículos'!$Z$4:$Z$4)*_xlfn.XLOOKUP(_xlfn.XLOOKUP(A811,'[1]DATOS PBI Artículos'!$A$4:$A$4,'[1]DATOS PBI Artículos'!$Y$4:$Y$4),[1]CRITERIOS!$P$79:$P$123,[1]CRITERIOS!$S$79:$S$123)),0)*[1]CRITERIOS!$M$80*([1]CRITERIOS!$M$110/[1]CRITERIOS!$M$86)+(_xlfn.XLOOKUP(A811,'[1]DATOS PBI Artículos'!$A$4:$A$4,'[1]DATOS PBI Artículos'!$AA$4:$AA$4)*([1]CRITERIOS!$M$95+[1]CRITERIOS!$M$98)))/N811)</f>
        <v>#N/A</v>
      </c>
      <c r="AD811" s="33" t="e">
        <f>IF(N811=0,"",(ROUNDUP((N811/2)/(_xlfn.XLOOKUP(A811,'[1]DATOS PBI Artículos'!$A$4:$A$4,'[1]DATOS PBI Artículos'!$Z$4:$Z$4)*_xlfn.XLOOKUP(_xlfn.XLOOKUP(A811,'[1]DATOS PBI Artículos'!$A$4:$A$4,'[1]DATOS PBI Artículos'!$Y$4:$Y$4),[1]CRITERIOS!$P$79:$P$123,[1]CRITERIOS!$S$79:$S$123)),0)*[1]CRITERIOS!$M$80*([1]CRITERIOS!$M$89*[1]CRITERIOS!$M$92)+((_xlfn.XLOOKUP(A811,'[1]DATOS PBI Artículos'!$A$4:$A$4,'[1]DATOS PBI Artículos'!$AA$4:$AA$4)/2)*([1]CRITERIOS!$M$95+[1]CRITERIOS!$M$98)))/N811)</f>
        <v>#N/A</v>
      </c>
      <c r="AE811" s="39" t="e">
        <f>IF($R811="MTO","",
IF($H811=0,ROUNDUP(((_xlfn.XLOOKUP($A811,'[1]DATOS PBI Artículos'!$A:$A,'[1]DATOS PBI Artículos'!$AL:$AL))/(_xlfn.XLOOKUP($AF$1,[1]CRITERIOS!$S$16:$S$39,[1]CRITERIOS!$Y$16:$Y$39))*$J811+$Z811)/$G811,0)*$G811,
((_xlfn.XLOOKUP($A811,'[1]DATOS PBI Artículos'!$A:$A,'[1]DATOS PBI Artículos'!$AL:$AL))/(_xlfn.XLOOKUP($AF$1,[1]CRITERIOS!$S$16:$S$39,[1]CRITERIOS!$Y$16:$Y$39))*$J811+$Z811)))</f>
        <v>#N/A</v>
      </c>
      <c r="AG811" s="39" t="e">
        <f>IF($R811="MTO","",
IF($H811=0,ROUNDUP(((_xlfn.XLOOKUP($A811,'[1]DATOS PBI Artículos'!$A:$A,'[1]DATOS PBI Artículos'!$AM:$AM))/(_xlfn.XLOOKUP($AH$1,[1]CRITERIOS!$S$16:$S$39,[1]CRITERIOS!$Y$16:$Y$39))*$J811+$Z811)/$G811,0)*$G811,
((_xlfn.XLOOKUP($A811,'[1]DATOS PBI Artículos'!$A:$A,'[1]DATOS PBI Artículos'!$AM:$AM))/(_xlfn.XLOOKUP($AH$1,[1]CRITERIOS!$S$16:$S$39,[1]CRITERIOS!$Y$16:$Y$39))*$J811+$Z811)))</f>
        <v>#N/A</v>
      </c>
      <c r="AI811" s="39" t="e">
        <f>IF($R811="MTO","",
IF($H811=0,ROUNDUP(((_xlfn.XLOOKUP($A811,'[1]DATOS PBI Artículos'!$A:$A,'[1]DATOS PBI Artículos'!$AN:$AN))/(_xlfn.XLOOKUP($AJ$1,[1]CRITERIOS!$S$16:$S$39,[1]CRITERIOS!$Y$16:$Y$39))*$J811+$Z811)/$G811,0)*$G811,
((_xlfn.XLOOKUP($A811,'[1]DATOS PBI Artículos'!$A:$A,'[1]DATOS PBI Artículos'!$AN:$AN))/(_xlfn.XLOOKUP($AJ$1,[1]CRITERIOS!$S$16:$S$39,[1]CRITERIOS!$Y$16:$Y$39))*$J811+$Z811)))</f>
        <v>#N/A</v>
      </c>
      <c r="AK811" s="39" t="e">
        <f>IF($R811="MTO","",
IF($H811=0,ROUNDUP(((_xlfn.XLOOKUP($A811,'[1]DATOS PBI Artículos'!$A:$A,'[1]DATOS PBI Artículos'!$AO:$AO))/(_xlfn.XLOOKUP($AL$1,[1]CRITERIOS!$S$16:$S$39,[1]CRITERIOS!$Y$16:$Y$39))*$J811+$Z811)/$G811,0)*$G811,
((_xlfn.XLOOKUP($A811,'[1]DATOS PBI Artículos'!$A:$A,'[1]DATOS PBI Artículos'!$AO:$AO))/(_xlfn.XLOOKUP($AL$1,[1]CRITERIOS!$S$16:$S$39,[1]CRITERIOS!$Y$16:$Y$39))*$J811+$Z811)))</f>
        <v>#N/A</v>
      </c>
    </row>
    <row r="812" spans="1:37" ht="25.8" hidden="1" x14ac:dyDescent="0.4">
      <c r="A812" s="41"/>
      <c r="B812" s="33">
        <f>_xlfn.XLOOKUP($A812,'[1]DATOS PBI Artículos'!A:A,'[1]DATOS PBI Artículos'!B:B)</f>
        <v>0</v>
      </c>
      <c r="C812" s="33">
        <f>_xlfn.XLOOKUP($A812,'[1]DATOS PBI Artículos'!A:A,'[1]DATOS PBI Artículos'!C:C)</f>
        <v>0</v>
      </c>
      <c r="D812" s="33">
        <f>_xlfn.XLOOKUP(A812,'[1]DATOS PBI Artículos'!A:A,'[1]DATOS PBI Artículos'!T:T)</f>
        <v>0</v>
      </c>
      <c r="E812" s="34">
        <f>IF(_xlfn.XLOOKUP($A812,'[1]DATOS PBI Artículos'!A:A,'[1]DATOS PBI Artículos'!AK:AK)="",_xlfn.XLOOKUP($A812,'[1]DATOS PBI Artículos'!A:A,'[1]DATOS PBI Artículos'!AJ:AJ),_xlfn.XLOOKUP($A812,'[1]DATOS PBI Artículos'!A:A,'[1]DATOS PBI Artículos'!AK:AK))</f>
        <v>0</v>
      </c>
      <c r="F812" s="35">
        <f>_xlfn.XLOOKUP($A812,'[1]DATOS PBI Artículos'!A:A,'[1]DATOS PBI Artículos'!AP:AP)</f>
        <v>0</v>
      </c>
      <c r="G812" s="34">
        <f>_xlfn.XLOOKUP($A812,'[1]DATOS PBI Artículos'!A:A,'[1]DATOS PBI Artículos'!AR:AR)</f>
        <v>0</v>
      </c>
      <c r="H812" s="34">
        <f>_xlfn.XLOOKUP($A812,'[1]DATOS PBI Artículos'!A:A,'[1]DATOS PBI Artículos'!AT:AT)</f>
        <v>0</v>
      </c>
      <c r="I812" s="34">
        <f>_xlfn.XLOOKUP($A812,'[1]DATOS PBI Artículos'!A:A,'[1]DATOS PBI Artículos'!AS:AS)</f>
        <v>0</v>
      </c>
      <c r="J812" s="35">
        <f>IF(COUNTIF([1]CRITERIOS!$F$179:$F$199,$A812)&gt;=1,
 IF(O812&lt;&gt;"",
    (O812/_xlfn.XLOOKUP(CONCATENATE(A812,L812),[1]MÁQUINAS!A:A,[1]MÁQUINAS!D:D))/24,
    (N812/_xlfn.XLOOKUP(CONCATENATE(A812,L812),[1]MÁQUINAS!A:A,[1]MÁQUINAS!D:D))/24),
  _xlfn.XLOOKUP($A812,'[1]DATOS PBI Artículos'!A:A,'[1]DATOS PBI Artículos'!AU:AU))</f>
        <v>0</v>
      </c>
      <c r="K812" s="36">
        <f>_xlfn.XLOOKUP($A812,'[1]DATOS PBI Artículos'!A:A,'[1]DATOS PBI Artículos'!AV:AV)</f>
        <v>0</v>
      </c>
      <c r="L812" s="33">
        <f>_xlfn.XLOOKUP(A812,[1]MÁQUINAS!B:B,[1]MÁQUINAS!C:C)</f>
        <v>0</v>
      </c>
      <c r="M812" s="34">
        <f t="array" ref="M812">_xlfn.XLOOKUP(A812,'[1]DATOS PBI Artículos'!A:A,'[1]DATOS PBI Artículos'!AX:$AX)</f>
        <v>0</v>
      </c>
      <c r="N812" s="37" t="e">
        <f>IF(I812="DV",
E812,
IF(COUNTIF([1]CRITERIOS!$I$179:$I$199,$A812)&gt;=1,
_xlfn.XLOOKUP($A812,[1]CRITERIOS!$I$179:$I$199,[1]CRITERIOS!$J$179:$J$199),
IF(COUNTIF([1]CRITERIOS!$L$179:$L$199,$A812)&gt;=1,
_xlfn.CEILING.MATH(IF($M812&gt;$E812,
$E812,
IF($M812&lt;$E812/ROUNDDOWN([1]CRITERIOS!$M$16/_xlfn.XLOOKUP($C812,[1]CRITERIOS!$K$25:$K$42,[1]CRITERIOS!$M$25:$M$42),
1),
E812/ROUNDDOWN([1]CRITERIOS!$M$16/_xlfn.XLOOKUP($C812,[1]CRITERIOS!$K$25:$K$42,[1]CRITERIOS!$M$25:$M$42),
1),
$M812)),
_xlfn.XLOOKUP($A812,[1]CRITERIOS!$L$179:$L$200,[1]CRITERIOS!$M$179:$M$200)),
_xlfn.CEILING.MATH(IF($M812&gt;$E812,
$E812,
IF($M812&lt;$E812/ROUNDDOWN([1]CRITERIOS!$M$16/_xlfn.XLOOKUP($C812,[1]CRITERIOS!$K$25:$K$42,[1]CRITERIOS!$M$25:$M$42),
1),
E812/ROUNDDOWN([1]CRITERIOS!$M$16/_xlfn.XLOOKUP($C812,[1]CRITERIOS!$K$25:$K$42,[1]CRITERIOS!$M$25:$M$42),
1),
$M812)),_xlfn.XLOOKUP(A812,'[1]DATOS PBI Artículos'!A:A,'[1]DATOS PBI Artículos'!Z:Z
)))))</f>
        <v>#N/A</v>
      </c>
      <c r="Q812" s="38" t="e">
        <f>IF(AND(O812="",N812=0),
0,
   IF(COUNTIF([1]CRITERIOS!$F$179:$F$199,$A812)&gt;=1,
   1,
   IF(R812="MTO",
      $D812,
      ROUNDUP(
                    IF(($E812-SUMIF('[1]DATOS PBI Artículos'!A:A,A812,'[1]DATOS PBI Artículos'!X:X)+($V812-_xlfn.XLOOKUP(A812,'[1]DATOS PBI Artículos'!A:A,'[1]DATOS PBI Artículos'!W:W)))&lt;0,
                    0,
                    IF(($E812-SUMIF('[1]DATOS PBI Artículos'!A:A,A812,'[1]DATOS PBI Artículos'!X:X)+$V812-_xlfn.XLOOKUP($A812,'[1]DATOS PBI Artículos'!A:A,'[1]DATOS PBI Artículos'!W:W))/IF($O812="",$N812,$O812)&gt;ROUNDUP([1]CRITERIOS!$M$16/(IF(COUNTIF([1]CRITERIOS!$BG$11:$BG$201,L812)&gt;=1,_xlfn.XLOOKUP($C812,[1]CRITERIOS!$K$25:$K$42,[1]CRITERIOS!$M$25:$M$42),_xlfn.XLOOKUP($C812,[1]CRITERIOS!$K$25:$K$42,[1]CRITERIOS!$M$25:$M$42))),0),
                    ROUNDUP([1]CRITERIOS!$M$16/(IF(COUNTIF([1]CRITERIOS!$BG$11:$BG$201,$L812)&gt;=1,_xlfn.XLOOKUP($C812,[1]CRITERIOS!$K$25:$K$42,[1]CRITERIOS!$M$25:$M$42),_xlfn.XLOOKUP($C812,[1]CRITERIOS!$K$25:$K$42,[1]CRITERIOS!$M$25:$M$42))),0),
                    (E812+V812-SUMIF('[1]DATOS PBI Artículos'!A:A,A812,'[1]DATOS PBI Artículos'!X:X)-_xlfn.XLOOKUP(A812,'[1]DATOS PBI Artículos'!A:A,'[1]DATOS PBI Artículos'!W:W))/IF($O812="",$N812,$O812))),0))))</f>
        <v>#N/A</v>
      </c>
      <c r="R812" s="33" t="e">
        <f>IF(U812&lt;&gt;"",U812,IF(F812="DV","MTO",IF(N812=0,"MTO",_xlfn.XLOOKUP(CONCATENATE(S812,T812),[1]CRITERIOS!$K$160:$K$168,[1]CRITERIOS!$N$160:$N$168))))</f>
        <v>#N/A</v>
      </c>
      <c r="S812" s="33" t="e">
        <f>IF(G812="DV","MTO",IF(N812=0,"MTO",IF(OR(AND(N812=0,O812=""),IF(O812="",G812/N812,G812/O812)&gt;[1]CRITERIOS!$G$163),"MTO",IF(IF(O812="",G812/N812,G812/O812)&lt;[1]CRITERIOS!$H$161,"MTS","MTOS"))))</f>
        <v>#N/A</v>
      </c>
      <c r="T812" s="33" t="e">
        <f>IF(F812="DV","MTO",IF(OR(AND($N812=0,O812=""),$F812/$J812&gt;[1]CRITERIOS!$G$170,$F812="DV"),"MTO",IF($F812/$J812&lt;[1]CRITERIOS!$H$168,"MTS","MTOS")))</f>
        <v>#N/A</v>
      </c>
      <c r="V812" s="34" t="e">
        <f t="shared" si="40"/>
        <v>#N/A</v>
      </c>
      <c r="X812" s="34" t="e">
        <f t="shared" si="38"/>
        <v>#N/A</v>
      </c>
      <c r="Y812" s="34" t="e">
        <f t="shared" si="39"/>
        <v>#N/A</v>
      </c>
      <c r="Z812" s="34" t="e">
        <f>IF($R812="MTO",
0,
($H812+$K812*($E812/[1]CRITERIOS!$M$16))/[1]CRITERIOS!$X$48)</f>
        <v>#N/A</v>
      </c>
      <c r="AA812" s="34" t="e">
        <f>ROUNDUP(($Y812/_xlfn.XLOOKUP($A812,'[1]DATOS PBI Artículos'!$A$4:$A$4,'[1]DATOS PBI Artículos'!$Z$4:$Z$4))/_xlfn.XLOOKUP(_xlfn.XLOOKUP($A812,'[1]DATOS PBI Artículos'!$A$4:$A$4,'[1]DATOS PBI Artículos'!$Y$4:$Y$4),[1]CRITERIOS!$P$79:$P$123,[1]CRITERIOS!$S$79:$S$123,),0)</f>
        <v>#N/A</v>
      </c>
      <c r="AC812" s="33" t="e">
        <f>IF(N812=0,"",(ROUNDUP((N812/2)/(_xlfn.XLOOKUP(A812,'[1]DATOS PBI Artículos'!$A$4:$A$4,'[1]DATOS PBI Artículos'!$Z$4:$Z$4)*_xlfn.XLOOKUP(_xlfn.XLOOKUP(A812,'[1]DATOS PBI Artículos'!$A$4:$A$4,'[1]DATOS PBI Artículos'!$Y$4:$Y$4),[1]CRITERIOS!$P$79:$P$123,[1]CRITERIOS!$S$79:$S$123)),0)*[1]CRITERIOS!$M$80*([1]CRITERIOS!$M$110/[1]CRITERIOS!$M$86)+(_xlfn.XLOOKUP(A812,'[1]DATOS PBI Artículos'!$A$4:$A$4,'[1]DATOS PBI Artículos'!$AA$4:$AA$4)*([1]CRITERIOS!$M$95+[1]CRITERIOS!$M$98)))/N812)</f>
        <v>#N/A</v>
      </c>
      <c r="AD812" s="33" t="e">
        <f>IF(N812=0,"",(ROUNDUP((N812/2)/(_xlfn.XLOOKUP(A812,'[1]DATOS PBI Artículos'!$A$4:$A$4,'[1]DATOS PBI Artículos'!$Z$4:$Z$4)*_xlfn.XLOOKUP(_xlfn.XLOOKUP(A812,'[1]DATOS PBI Artículos'!$A$4:$A$4,'[1]DATOS PBI Artículos'!$Y$4:$Y$4),[1]CRITERIOS!$P$79:$P$123,[1]CRITERIOS!$S$79:$S$123)),0)*[1]CRITERIOS!$M$80*([1]CRITERIOS!$M$89*[1]CRITERIOS!$M$92)+((_xlfn.XLOOKUP(A812,'[1]DATOS PBI Artículos'!$A$4:$A$4,'[1]DATOS PBI Artículos'!$AA$4:$AA$4)/2)*([1]CRITERIOS!$M$95+[1]CRITERIOS!$M$98)))/N812)</f>
        <v>#N/A</v>
      </c>
      <c r="AE812" s="39" t="e">
        <f>IF($R812="MTO","",
IF($H812=0,ROUNDUP(((_xlfn.XLOOKUP($A812,'[1]DATOS PBI Artículos'!$A:$A,'[1]DATOS PBI Artículos'!$AL:$AL))/(_xlfn.XLOOKUP($AF$1,[1]CRITERIOS!$S$16:$S$39,[1]CRITERIOS!$Y$16:$Y$39))*$J812+$Z812)/$G812,0)*$G812,
((_xlfn.XLOOKUP($A812,'[1]DATOS PBI Artículos'!$A:$A,'[1]DATOS PBI Artículos'!$AL:$AL))/(_xlfn.XLOOKUP($AF$1,[1]CRITERIOS!$S$16:$S$39,[1]CRITERIOS!$Y$16:$Y$39))*$J812+$Z812)))</f>
        <v>#N/A</v>
      </c>
      <c r="AG812" s="39" t="e">
        <f>IF($R812="MTO","",
IF($H812=0,ROUNDUP(((_xlfn.XLOOKUP($A812,'[1]DATOS PBI Artículos'!$A:$A,'[1]DATOS PBI Artículos'!$AM:$AM))/(_xlfn.XLOOKUP($AH$1,[1]CRITERIOS!$S$16:$S$39,[1]CRITERIOS!$Y$16:$Y$39))*$J812+$Z812)/$G812,0)*$G812,
((_xlfn.XLOOKUP($A812,'[1]DATOS PBI Artículos'!$A:$A,'[1]DATOS PBI Artículos'!$AM:$AM))/(_xlfn.XLOOKUP($AH$1,[1]CRITERIOS!$S$16:$S$39,[1]CRITERIOS!$Y$16:$Y$39))*$J812+$Z812)))</f>
        <v>#N/A</v>
      </c>
      <c r="AI812" s="39" t="e">
        <f>IF($R812="MTO","",
IF($H812=0,ROUNDUP(((_xlfn.XLOOKUP($A812,'[1]DATOS PBI Artículos'!$A:$A,'[1]DATOS PBI Artículos'!$AN:$AN))/(_xlfn.XLOOKUP($AJ$1,[1]CRITERIOS!$S$16:$S$39,[1]CRITERIOS!$Y$16:$Y$39))*$J812+$Z812)/$G812,0)*$G812,
((_xlfn.XLOOKUP($A812,'[1]DATOS PBI Artículos'!$A:$A,'[1]DATOS PBI Artículos'!$AN:$AN))/(_xlfn.XLOOKUP($AJ$1,[1]CRITERIOS!$S$16:$S$39,[1]CRITERIOS!$Y$16:$Y$39))*$J812+$Z812)))</f>
        <v>#N/A</v>
      </c>
      <c r="AK812" s="39" t="e">
        <f>IF($R812="MTO","",
IF($H812=0,ROUNDUP(((_xlfn.XLOOKUP($A812,'[1]DATOS PBI Artículos'!$A:$A,'[1]DATOS PBI Artículos'!$AO:$AO))/(_xlfn.XLOOKUP($AL$1,[1]CRITERIOS!$S$16:$S$39,[1]CRITERIOS!$Y$16:$Y$39))*$J812+$Z812)/$G812,0)*$G812,
((_xlfn.XLOOKUP($A812,'[1]DATOS PBI Artículos'!$A:$A,'[1]DATOS PBI Artículos'!$AO:$AO))/(_xlfn.XLOOKUP($AL$1,[1]CRITERIOS!$S$16:$S$39,[1]CRITERIOS!$Y$16:$Y$39))*$J812+$Z812)))</f>
        <v>#N/A</v>
      </c>
    </row>
    <row r="813" spans="1:37" ht="25.8" hidden="1" x14ac:dyDescent="0.4">
      <c r="A813" s="41"/>
      <c r="B813" s="33">
        <f>_xlfn.XLOOKUP($A813,'[1]DATOS PBI Artículos'!A:A,'[1]DATOS PBI Artículos'!B:B)</f>
        <v>0</v>
      </c>
      <c r="C813" s="33">
        <f>_xlfn.XLOOKUP($A813,'[1]DATOS PBI Artículos'!A:A,'[1]DATOS PBI Artículos'!C:C)</f>
        <v>0</v>
      </c>
      <c r="D813" s="33">
        <f>_xlfn.XLOOKUP(A813,'[1]DATOS PBI Artículos'!A:A,'[1]DATOS PBI Artículos'!T:T)</f>
        <v>0</v>
      </c>
      <c r="E813" s="34">
        <f>IF(_xlfn.XLOOKUP($A813,'[1]DATOS PBI Artículos'!A:A,'[1]DATOS PBI Artículos'!AK:AK)="",_xlfn.XLOOKUP($A813,'[1]DATOS PBI Artículos'!A:A,'[1]DATOS PBI Artículos'!AJ:AJ),_xlfn.XLOOKUP($A813,'[1]DATOS PBI Artículos'!A:A,'[1]DATOS PBI Artículos'!AK:AK))</f>
        <v>0</v>
      </c>
      <c r="F813" s="35">
        <f>_xlfn.XLOOKUP($A813,'[1]DATOS PBI Artículos'!A:A,'[1]DATOS PBI Artículos'!AP:AP)</f>
        <v>0</v>
      </c>
      <c r="G813" s="34">
        <f>_xlfn.XLOOKUP($A813,'[1]DATOS PBI Artículos'!A:A,'[1]DATOS PBI Artículos'!AR:AR)</f>
        <v>0</v>
      </c>
      <c r="H813" s="34">
        <f>_xlfn.XLOOKUP($A813,'[1]DATOS PBI Artículos'!A:A,'[1]DATOS PBI Artículos'!AT:AT)</f>
        <v>0</v>
      </c>
      <c r="I813" s="34">
        <f>_xlfn.XLOOKUP($A813,'[1]DATOS PBI Artículos'!A:A,'[1]DATOS PBI Artículos'!AS:AS)</f>
        <v>0</v>
      </c>
      <c r="J813" s="35">
        <f>IF(COUNTIF([1]CRITERIOS!$F$179:$F$199,$A813)&gt;=1,
 IF(O813&lt;&gt;"",
    (O813/_xlfn.XLOOKUP(CONCATENATE(A813,L813),[1]MÁQUINAS!A:A,[1]MÁQUINAS!D:D))/24,
    (N813/_xlfn.XLOOKUP(CONCATENATE(A813,L813),[1]MÁQUINAS!A:A,[1]MÁQUINAS!D:D))/24),
  _xlfn.XLOOKUP($A813,'[1]DATOS PBI Artículos'!A:A,'[1]DATOS PBI Artículos'!AU:AU))</f>
        <v>0</v>
      </c>
      <c r="K813" s="36">
        <f>_xlfn.XLOOKUP($A813,'[1]DATOS PBI Artículos'!A:A,'[1]DATOS PBI Artículos'!AV:AV)</f>
        <v>0</v>
      </c>
      <c r="L813" s="33">
        <f>_xlfn.XLOOKUP(A813,[1]MÁQUINAS!B:B,[1]MÁQUINAS!C:C)</f>
        <v>0</v>
      </c>
      <c r="M813" s="34">
        <f t="array" ref="M813">_xlfn.XLOOKUP(A813,'[1]DATOS PBI Artículos'!A:A,'[1]DATOS PBI Artículos'!AX:$AX)</f>
        <v>0</v>
      </c>
      <c r="N813" s="37" t="e">
        <f>IF(I813="DV",
E813,
IF(COUNTIF([1]CRITERIOS!$I$179:$I$199,$A813)&gt;=1,
_xlfn.XLOOKUP($A813,[1]CRITERIOS!$I$179:$I$199,[1]CRITERIOS!$J$179:$J$199),
IF(COUNTIF([1]CRITERIOS!$L$179:$L$199,$A813)&gt;=1,
_xlfn.CEILING.MATH(IF($M813&gt;$E813,
$E813,
IF($M813&lt;$E813/ROUNDDOWN([1]CRITERIOS!$M$16/_xlfn.XLOOKUP($C813,[1]CRITERIOS!$K$25:$K$42,[1]CRITERIOS!$M$25:$M$42),
1),
E813/ROUNDDOWN([1]CRITERIOS!$M$16/_xlfn.XLOOKUP($C813,[1]CRITERIOS!$K$25:$K$42,[1]CRITERIOS!$M$25:$M$42),
1),
$M813)),
_xlfn.XLOOKUP($A813,[1]CRITERIOS!$L$179:$L$200,[1]CRITERIOS!$M$179:$M$200)),
_xlfn.CEILING.MATH(IF($M813&gt;$E813,
$E813,
IF($M813&lt;$E813/ROUNDDOWN([1]CRITERIOS!$M$16/_xlfn.XLOOKUP($C813,[1]CRITERIOS!$K$25:$K$42,[1]CRITERIOS!$M$25:$M$42),
1),
E813/ROUNDDOWN([1]CRITERIOS!$M$16/_xlfn.XLOOKUP($C813,[1]CRITERIOS!$K$25:$K$42,[1]CRITERIOS!$M$25:$M$42),
1),
$M813)),_xlfn.XLOOKUP(A813,'[1]DATOS PBI Artículos'!A:A,'[1]DATOS PBI Artículos'!Z:Z
)))))</f>
        <v>#N/A</v>
      </c>
      <c r="Q813" s="38" t="e">
        <f>IF(AND(O813="",N813=0),
0,
   IF(COUNTIF([1]CRITERIOS!$F$179:$F$199,$A813)&gt;=1,
   1,
   IF(R813="MTO",
      $D813,
      ROUNDUP(
                    IF(($E813-SUMIF('[1]DATOS PBI Artículos'!A:A,A813,'[1]DATOS PBI Artículos'!X:X)+($V813-_xlfn.XLOOKUP(A813,'[1]DATOS PBI Artículos'!A:A,'[1]DATOS PBI Artículos'!W:W)))&lt;0,
                    0,
                    IF(($E813-SUMIF('[1]DATOS PBI Artículos'!A:A,A813,'[1]DATOS PBI Artículos'!X:X)+$V813-_xlfn.XLOOKUP($A813,'[1]DATOS PBI Artículos'!A:A,'[1]DATOS PBI Artículos'!W:W))/IF($O813="",$N813,$O813)&gt;ROUNDUP([1]CRITERIOS!$M$16/(IF(COUNTIF([1]CRITERIOS!$BG$11:$BG$201,L813)&gt;=1,_xlfn.XLOOKUP($C813,[1]CRITERIOS!$K$25:$K$42,[1]CRITERIOS!$M$25:$M$42),_xlfn.XLOOKUP($C813,[1]CRITERIOS!$K$25:$K$42,[1]CRITERIOS!$M$25:$M$42))),0),
                    ROUNDUP([1]CRITERIOS!$M$16/(IF(COUNTIF([1]CRITERIOS!$BG$11:$BG$201,$L813)&gt;=1,_xlfn.XLOOKUP($C813,[1]CRITERIOS!$K$25:$K$42,[1]CRITERIOS!$M$25:$M$42),_xlfn.XLOOKUP($C813,[1]CRITERIOS!$K$25:$K$42,[1]CRITERIOS!$M$25:$M$42))),0),
                    (E813+V813-SUMIF('[1]DATOS PBI Artículos'!A:A,A813,'[1]DATOS PBI Artículos'!X:X)-_xlfn.XLOOKUP(A813,'[1]DATOS PBI Artículos'!A:A,'[1]DATOS PBI Artículos'!W:W))/IF($O813="",$N813,$O813))),0))))</f>
        <v>#N/A</v>
      </c>
      <c r="R813" s="33" t="e">
        <f>IF(U813&lt;&gt;"",U813,IF(F813="DV","MTO",IF(N813=0,"MTO",_xlfn.XLOOKUP(CONCATENATE(S813,T813),[1]CRITERIOS!$K$160:$K$168,[1]CRITERIOS!$N$160:$N$168))))</f>
        <v>#N/A</v>
      </c>
      <c r="S813" s="33" t="e">
        <f>IF(G813="DV","MTO",IF(N813=0,"MTO",IF(OR(AND(N813=0,O813=""),IF(O813="",G813/N813,G813/O813)&gt;[1]CRITERIOS!$G$163),"MTO",IF(IF(O813="",G813/N813,G813/O813)&lt;[1]CRITERIOS!$H$161,"MTS","MTOS"))))</f>
        <v>#N/A</v>
      </c>
      <c r="T813" s="33" t="e">
        <f>IF(F813="DV","MTO",IF(OR(AND($N813=0,O813=""),$F813/$J813&gt;[1]CRITERIOS!$G$170,$F813="DV"),"MTO",IF($F813/$J813&lt;[1]CRITERIOS!$H$168,"MTS","MTOS")))</f>
        <v>#N/A</v>
      </c>
      <c r="V813" s="34" t="e">
        <f t="shared" si="40"/>
        <v>#N/A</v>
      </c>
      <c r="X813" s="34" t="e">
        <f t="shared" si="38"/>
        <v>#N/A</v>
      </c>
      <c r="Y813" s="34" t="e">
        <f t="shared" si="39"/>
        <v>#N/A</v>
      </c>
      <c r="Z813" s="34" t="e">
        <f>IF($R813="MTO",
0,
($H813+$K813*($E813/[1]CRITERIOS!$M$16))/[1]CRITERIOS!$X$48)</f>
        <v>#N/A</v>
      </c>
      <c r="AA813" s="34" t="e">
        <f>ROUNDUP(($Y813/_xlfn.XLOOKUP($A813,'[1]DATOS PBI Artículos'!$A$4:$A$4,'[1]DATOS PBI Artículos'!$Z$4:$Z$4))/_xlfn.XLOOKUP(_xlfn.XLOOKUP($A813,'[1]DATOS PBI Artículos'!$A$4:$A$4,'[1]DATOS PBI Artículos'!$Y$4:$Y$4),[1]CRITERIOS!$P$79:$P$123,[1]CRITERIOS!$S$79:$S$123,),0)</f>
        <v>#N/A</v>
      </c>
      <c r="AC813" s="33" t="e">
        <f>IF(N813=0,"",(ROUNDUP((N813/2)/(_xlfn.XLOOKUP(A813,'[1]DATOS PBI Artículos'!$A$4:$A$4,'[1]DATOS PBI Artículos'!$Z$4:$Z$4)*_xlfn.XLOOKUP(_xlfn.XLOOKUP(A813,'[1]DATOS PBI Artículos'!$A$4:$A$4,'[1]DATOS PBI Artículos'!$Y$4:$Y$4),[1]CRITERIOS!$P$79:$P$123,[1]CRITERIOS!$S$79:$S$123)),0)*[1]CRITERIOS!$M$80*([1]CRITERIOS!$M$110/[1]CRITERIOS!$M$86)+(_xlfn.XLOOKUP(A813,'[1]DATOS PBI Artículos'!$A$4:$A$4,'[1]DATOS PBI Artículos'!$AA$4:$AA$4)*([1]CRITERIOS!$M$95+[1]CRITERIOS!$M$98)))/N813)</f>
        <v>#N/A</v>
      </c>
      <c r="AD813" s="33" t="e">
        <f>IF(N813=0,"",(ROUNDUP((N813/2)/(_xlfn.XLOOKUP(A813,'[1]DATOS PBI Artículos'!$A$4:$A$4,'[1]DATOS PBI Artículos'!$Z$4:$Z$4)*_xlfn.XLOOKUP(_xlfn.XLOOKUP(A813,'[1]DATOS PBI Artículos'!$A$4:$A$4,'[1]DATOS PBI Artículos'!$Y$4:$Y$4),[1]CRITERIOS!$P$79:$P$123,[1]CRITERIOS!$S$79:$S$123)),0)*[1]CRITERIOS!$M$80*([1]CRITERIOS!$M$89*[1]CRITERIOS!$M$92)+((_xlfn.XLOOKUP(A813,'[1]DATOS PBI Artículos'!$A$4:$A$4,'[1]DATOS PBI Artículos'!$AA$4:$AA$4)/2)*([1]CRITERIOS!$M$95+[1]CRITERIOS!$M$98)))/N813)</f>
        <v>#N/A</v>
      </c>
      <c r="AE813" s="39" t="e">
        <f>IF($R813="MTO","",
IF($H813=0,ROUNDUP(((_xlfn.XLOOKUP($A813,'[1]DATOS PBI Artículos'!$A:$A,'[1]DATOS PBI Artículos'!$AL:$AL))/(_xlfn.XLOOKUP($AF$1,[1]CRITERIOS!$S$16:$S$39,[1]CRITERIOS!$Y$16:$Y$39))*$J813+$Z813)/$G813,0)*$G813,
((_xlfn.XLOOKUP($A813,'[1]DATOS PBI Artículos'!$A:$A,'[1]DATOS PBI Artículos'!$AL:$AL))/(_xlfn.XLOOKUP($AF$1,[1]CRITERIOS!$S$16:$S$39,[1]CRITERIOS!$Y$16:$Y$39))*$J813+$Z813)))</f>
        <v>#N/A</v>
      </c>
      <c r="AG813" s="39" t="e">
        <f>IF($R813="MTO","",
IF($H813=0,ROUNDUP(((_xlfn.XLOOKUP($A813,'[1]DATOS PBI Artículos'!$A:$A,'[1]DATOS PBI Artículos'!$AM:$AM))/(_xlfn.XLOOKUP($AH$1,[1]CRITERIOS!$S$16:$S$39,[1]CRITERIOS!$Y$16:$Y$39))*$J813+$Z813)/$G813,0)*$G813,
((_xlfn.XLOOKUP($A813,'[1]DATOS PBI Artículos'!$A:$A,'[1]DATOS PBI Artículos'!$AM:$AM))/(_xlfn.XLOOKUP($AH$1,[1]CRITERIOS!$S$16:$S$39,[1]CRITERIOS!$Y$16:$Y$39))*$J813+$Z813)))</f>
        <v>#N/A</v>
      </c>
      <c r="AI813" s="39" t="e">
        <f>IF($R813="MTO","",
IF($H813=0,ROUNDUP(((_xlfn.XLOOKUP($A813,'[1]DATOS PBI Artículos'!$A:$A,'[1]DATOS PBI Artículos'!$AN:$AN))/(_xlfn.XLOOKUP($AJ$1,[1]CRITERIOS!$S$16:$S$39,[1]CRITERIOS!$Y$16:$Y$39))*$J813+$Z813)/$G813,0)*$G813,
((_xlfn.XLOOKUP($A813,'[1]DATOS PBI Artículos'!$A:$A,'[1]DATOS PBI Artículos'!$AN:$AN))/(_xlfn.XLOOKUP($AJ$1,[1]CRITERIOS!$S$16:$S$39,[1]CRITERIOS!$Y$16:$Y$39))*$J813+$Z813)))</f>
        <v>#N/A</v>
      </c>
      <c r="AK813" s="39" t="e">
        <f>IF($R813="MTO","",
IF($H813=0,ROUNDUP(((_xlfn.XLOOKUP($A813,'[1]DATOS PBI Artículos'!$A:$A,'[1]DATOS PBI Artículos'!$AO:$AO))/(_xlfn.XLOOKUP($AL$1,[1]CRITERIOS!$S$16:$S$39,[1]CRITERIOS!$Y$16:$Y$39))*$J813+$Z813)/$G813,0)*$G813,
((_xlfn.XLOOKUP($A813,'[1]DATOS PBI Artículos'!$A:$A,'[1]DATOS PBI Artículos'!$AO:$AO))/(_xlfn.XLOOKUP($AL$1,[1]CRITERIOS!$S$16:$S$39,[1]CRITERIOS!$Y$16:$Y$39))*$J813+$Z813)))</f>
        <v>#N/A</v>
      </c>
    </row>
  </sheetData>
  <autoFilter ref="A2:AL813" xr:uid="{00000000-0001-0000-0900-000000000000}">
    <filterColumn colId="4">
      <filters>
        <filter val="1.200.000"/>
        <filter val="1.300.000"/>
        <filter val="1.900.000"/>
        <filter val="10.000"/>
        <filter val="10.080"/>
        <filter val="10.500"/>
        <filter val="10.800"/>
        <filter val="100.000"/>
        <filter val="102.000"/>
        <filter val="108.000"/>
        <filter val="112.000"/>
        <filter val="114.000"/>
        <filter val="115.200"/>
        <filter val="115.400"/>
        <filter val="118.400"/>
        <filter val="12.000"/>
        <filter val="120.000"/>
        <filter val="121.680"/>
        <filter val="13.865"/>
        <filter val="136.000"/>
        <filter val="140.000"/>
        <filter val="144.000"/>
        <filter val="15.000"/>
        <filter val="15.120"/>
        <filter val="150.000"/>
        <filter val="150.150"/>
        <filter val="151.200"/>
        <filter val="16.000"/>
        <filter val="16.200"/>
        <filter val="17.400"/>
        <filter val="172.800"/>
        <filter val="18.000"/>
        <filter val="180.000"/>
        <filter val="181.250"/>
        <filter val="183.770"/>
        <filter val="19.200"/>
        <filter val="192.000"/>
        <filter val="2.000"/>
        <filter val="2.400"/>
        <filter val="2.500"/>
        <filter val="2.681.280"/>
        <filter val="2.832.000"/>
        <filter val="20.000"/>
        <filter val="200.000"/>
        <filter val="201.000"/>
        <filter val="210.000"/>
        <filter val="22.000"/>
        <filter val="220.000"/>
        <filter val="220.500"/>
        <filter val="225.000"/>
        <filter val="232.500"/>
        <filter val="237.600"/>
        <filter val="24.000"/>
        <filter val="240.000"/>
        <filter val="25.000"/>
        <filter val="25.500"/>
        <filter val="250.000"/>
        <filter val="252.000"/>
        <filter val="260.000"/>
        <filter val="27.500"/>
        <filter val="28.800"/>
        <filter val="280.000"/>
        <filter val="288.000"/>
        <filter val="29.490"/>
        <filter val="296.000"/>
        <filter val="3.000"/>
        <filter val="30.000"/>
        <filter val="30.240"/>
        <filter val="300.000"/>
        <filter val="31.200"/>
        <filter val="312.000"/>
        <filter val="316.000"/>
        <filter val="316.800"/>
        <filter val="318.600"/>
        <filter val="32.000"/>
        <filter val="32.400"/>
        <filter val="320.000"/>
        <filter val="33.440"/>
        <filter val="332.000"/>
        <filter val="340.000"/>
        <filter val="35.200"/>
        <filter val="350.000"/>
        <filter val="357.000"/>
        <filter val="36.000"/>
        <filter val="366.000"/>
        <filter val="384.000"/>
        <filter val="39.000"/>
        <filter val="4.000"/>
        <filter val="40.000"/>
        <filter val="400.000"/>
        <filter val="42.000"/>
        <filter val="420.000"/>
        <filter val="43.000"/>
        <filter val="438.600"/>
        <filter val="448.560"/>
        <filter val="45.500"/>
        <filter val="462.000"/>
        <filter val="474.045"/>
        <filter val="48.000"/>
        <filter val="5"/>
        <filter val="5.000"/>
        <filter val="5.176.000"/>
        <filter val="5.990"/>
        <filter val="50.000"/>
        <filter val="500.000"/>
        <filter val="514.000"/>
        <filter val="540.000"/>
        <filter val="55.000"/>
        <filter val="550.000"/>
        <filter val="6.000"/>
        <filter val="60.000"/>
        <filter val="604.800"/>
        <filter val="64.000"/>
        <filter val="68.400"/>
        <filter val="69.300"/>
        <filter val="690.000"/>
        <filter val="7.000"/>
        <filter val="7.040"/>
        <filter val="70.000"/>
        <filter val="70.400"/>
        <filter val="700.000"/>
        <filter val="72.000"/>
        <filter val="730.000"/>
        <filter val="8.000"/>
        <filter val="8.440"/>
        <filter val="80.000"/>
        <filter val="800"/>
        <filter val="800.000"/>
        <filter val="81.000"/>
        <filter val="81.600"/>
        <filter val="83.200"/>
        <filter val="86.000"/>
        <filter val="9.000"/>
        <filter val="9.116.000"/>
        <filter val="90.000"/>
        <filter val="90.720"/>
        <filter val="93.800"/>
        <filter val="96.000"/>
        <filter val="990.000"/>
      </filters>
    </filterColumn>
  </autoFilter>
  <mergeCells count="4">
    <mergeCell ref="R1:U1"/>
    <mergeCell ref="V1:W1"/>
    <mergeCell ref="X1:AB1"/>
    <mergeCell ref="AC1:AD1"/>
  </mergeCells>
  <hyperlinks>
    <hyperlink ref="Q2" r:id="rId1" xr:uid="{1ADCF7D0-979C-4669-A6B1-30A31712B655}"/>
    <hyperlink ref="N2" r:id="rId2" xr:uid="{E4CFEA08-990D-4A5C-B46F-4D48712F3D12}"/>
    <hyperlink ref="T2" r:id="rId3" xr:uid="{9B90C910-E7F4-4588-928D-DBD17173778D}"/>
    <hyperlink ref="S2" r:id="rId4" xr:uid="{925543D8-93BA-4D0F-B567-1BADE20F83D2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Rodriguez</dc:creator>
  <cp:lastModifiedBy>Ismael Rodriguez</cp:lastModifiedBy>
  <dcterms:created xsi:type="dcterms:W3CDTF">2026-03-23T11:21:18Z</dcterms:created>
  <dcterms:modified xsi:type="dcterms:W3CDTF">2026-03-23T11:22:18Z</dcterms:modified>
</cp:coreProperties>
</file>